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19020" windowHeight="12150"/>
  </bookViews>
  <sheets>
    <sheet name="data" sheetId="1" r:id="rId1"/>
    <sheet name="config" sheetId="2" r:id="rId2"/>
  </sheets>
  <functionGroups builtInGroupCount="17"/>
  <definedNames>
    <definedName name="config_CSV_export">config!$K$9</definedName>
    <definedName name="config_Holiday_Calendar_US">config!$B$10:$B$52</definedName>
    <definedName name="config_UL">config!$G$3</definedName>
    <definedName name="today">config!$C$3</definedName>
    <definedName name="yesterday">config!$C$4</definedName>
  </definedNames>
  <calcPr calcId="145621" calcOnSave="0"/>
</workbook>
</file>

<file path=xl/calcChain.xml><?xml version="1.0" encoding="utf-8"?>
<calcChain xmlns="http://schemas.openxmlformats.org/spreadsheetml/2006/main">
  <c r="A2" i="1" l="1"/>
  <c r="G5" i="2"/>
  <c r="G4" i="2"/>
  <c r="C3" i="2"/>
  <c r="C4" i="2" s="1"/>
  <c r="C5" i="2" s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A3" i="1" l="1"/>
  <c r="B2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A4" i="1" l="1"/>
  <c r="B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A5" i="1" l="1"/>
  <c r="B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A6" i="1" l="1"/>
  <c r="B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A7" i="1" l="1"/>
  <c r="B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A8" i="1" l="1"/>
  <c r="B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A9" i="1" l="1"/>
  <c r="B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A10" i="1" l="1"/>
  <c r="B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A11" i="1" l="1"/>
  <c r="B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A12" i="1" l="1"/>
  <c r="B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A13" i="1" l="1"/>
  <c r="B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A14" i="1" l="1"/>
  <c r="B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A15" i="1" l="1"/>
  <c r="B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A16" i="1" l="1"/>
  <c r="B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A17" i="1" l="1"/>
  <c r="B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A18" i="1" l="1"/>
  <c r="B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A19" i="1" l="1"/>
  <c r="B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A20" i="1" l="1"/>
  <c r="B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A21" i="1" l="1"/>
  <c r="B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A22" i="1" l="1"/>
  <c r="B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A23" i="1" l="1"/>
  <c r="B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A24" i="1" l="1"/>
  <c r="B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A25" i="1" l="1"/>
  <c r="B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A26" i="1" l="1"/>
  <c r="B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A27" i="1" l="1"/>
  <c r="B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A28" i="1" l="1"/>
  <c r="B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A29" i="1" l="1"/>
  <c r="B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A30" i="1" l="1"/>
  <c r="B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A31" i="1" l="1"/>
  <c r="B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A32" i="1" l="1"/>
  <c r="B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A33" i="1" l="1"/>
  <c r="B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A34" i="1" l="1"/>
  <c r="B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A35" i="1" l="1"/>
  <c r="B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A36" i="1" l="1"/>
  <c r="B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A37" i="1" l="1"/>
  <c r="B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A38" i="1" l="1"/>
  <c r="B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A39" i="1" l="1"/>
  <c r="B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A40" i="1" l="1"/>
  <c r="B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A41" i="1" l="1"/>
  <c r="B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A42" i="1" l="1"/>
  <c r="B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A43" i="1" l="1"/>
  <c r="B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A44" i="1" l="1"/>
  <c r="B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A45" i="1" l="1"/>
  <c r="B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A46" i="1" l="1"/>
  <c r="B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A47" i="1" l="1"/>
  <c r="B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A48" i="1" l="1"/>
  <c r="B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A49" i="1" l="1"/>
  <c r="B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A50" i="1" l="1"/>
  <c r="B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A51" i="1" l="1"/>
  <c r="B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A52" i="1" l="1"/>
  <c r="B51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A53" i="1" l="1"/>
  <c r="B52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A54" i="1" l="1"/>
  <c r="B53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A55" i="1" l="1"/>
  <c r="B54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A56" i="1" l="1"/>
  <c r="B55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A57" i="1" l="1"/>
  <c r="B56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A58" i="1" l="1"/>
  <c r="B57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A59" i="1" l="1"/>
  <c r="B58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A60" i="1" l="1"/>
  <c r="B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A61" i="1" l="1"/>
  <c r="B60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A62" i="1" l="1"/>
  <c r="B61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A63" i="1" l="1"/>
  <c r="B62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A64" i="1" l="1"/>
  <c r="B63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A65" i="1" l="1"/>
  <c r="B64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A66" i="1" l="1"/>
  <c r="B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A67" i="1" l="1"/>
  <c r="B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A68" i="1" l="1"/>
  <c r="B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A69" i="1" l="1"/>
  <c r="B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A70" i="1" l="1"/>
  <c r="B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A71" i="1" l="1"/>
  <c r="B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A72" i="1" l="1"/>
  <c r="B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A73" i="1" l="1"/>
  <c r="B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A74" i="1" l="1"/>
  <c r="B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A75" i="1" l="1"/>
  <c r="B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A76" i="1" l="1"/>
  <c r="B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A77" i="1" l="1"/>
  <c r="B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A78" i="1" l="1"/>
  <c r="B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A79" i="1" l="1"/>
  <c r="B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A80" i="1" l="1"/>
  <c r="B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A81" i="1" l="1"/>
  <c r="B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A82" i="1" l="1"/>
  <c r="B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A83" i="1" l="1"/>
  <c r="B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A84" i="1" l="1"/>
  <c r="B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A85" i="1" l="1"/>
  <c r="B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A86" i="1" l="1"/>
  <c r="B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A87" i="1" l="1"/>
  <c r="B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A88" i="1" l="1"/>
  <c r="B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A89" i="1" l="1"/>
  <c r="B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A90" i="1" l="1"/>
  <c r="B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A91" i="1" l="1"/>
  <c r="B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A92" i="1" l="1"/>
  <c r="B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A93" i="1" l="1"/>
  <c r="B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A94" i="1" l="1"/>
  <c r="B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A95" i="1" l="1"/>
  <c r="B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A96" i="1" l="1"/>
  <c r="B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A97" i="1" l="1"/>
  <c r="B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A98" i="1" l="1"/>
  <c r="B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A99" i="1" l="1"/>
  <c r="B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A100" i="1" l="1"/>
  <c r="B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A101" i="1" l="1"/>
  <c r="B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A102" i="1" l="1"/>
  <c r="B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A103" i="1" l="1"/>
  <c r="B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A104" i="1" l="1"/>
  <c r="B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A105" i="1" l="1"/>
  <c r="B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A106" i="1" l="1"/>
  <c r="B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A107" i="1" l="1"/>
  <c r="B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A108" i="1" l="1"/>
  <c r="B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A109" i="1" l="1"/>
  <c r="B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A110" i="1" l="1"/>
  <c r="B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A111" i="1" l="1"/>
  <c r="B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A112" i="1" l="1"/>
  <c r="B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A113" i="1" l="1"/>
  <c r="B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A114" i="1" l="1"/>
  <c r="B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A115" i="1" l="1"/>
  <c r="B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A116" i="1" l="1"/>
  <c r="B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A117" i="1" l="1"/>
  <c r="B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A118" i="1" l="1"/>
  <c r="B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A119" i="1" l="1"/>
  <c r="B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A120" i="1" l="1"/>
  <c r="B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A121" i="1" l="1"/>
  <c r="B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A122" i="1" l="1"/>
  <c r="B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A123" i="1" l="1"/>
  <c r="B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A124" i="1" l="1"/>
  <c r="B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A125" i="1" l="1"/>
  <c r="B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A126" i="1" l="1"/>
  <c r="B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A127" i="1" l="1"/>
  <c r="B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A128" i="1" l="1"/>
  <c r="B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A129" i="1" l="1"/>
  <c r="B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A130" i="1" l="1"/>
  <c r="B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A131" i="1" l="1"/>
  <c r="B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A132" i="1" l="1"/>
  <c r="B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A133" i="1" l="1"/>
  <c r="B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A134" i="1" l="1"/>
  <c r="B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A135" i="1" l="1"/>
  <c r="B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A136" i="1" l="1"/>
  <c r="B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A137" i="1" l="1"/>
  <c r="B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A138" i="1" l="1"/>
  <c r="B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A139" i="1" l="1"/>
  <c r="B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A140" i="1" l="1"/>
  <c r="B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A141" i="1" l="1"/>
  <c r="B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A142" i="1" l="1"/>
  <c r="B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A143" i="1" l="1"/>
  <c r="B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A144" i="1" l="1"/>
  <c r="B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A145" i="1" l="1"/>
  <c r="B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A146" i="1" l="1"/>
  <c r="B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A147" i="1" l="1"/>
  <c r="B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A148" i="1" l="1"/>
  <c r="B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A149" i="1" l="1"/>
  <c r="B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A150" i="1" l="1"/>
  <c r="B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A151" i="1" l="1"/>
  <c r="B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A152" i="1" l="1"/>
  <c r="B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A153" i="1" l="1"/>
  <c r="B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A154" i="1" l="1"/>
  <c r="B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A155" i="1" l="1"/>
  <c r="B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A156" i="1" l="1"/>
  <c r="B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A157" i="1" l="1"/>
  <c r="B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A158" i="1" l="1"/>
  <c r="B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A159" i="1" l="1"/>
  <c r="B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A160" i="1" l="1"/>
  <c r="B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A161" i="1" l="1"/>
  <c r="B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A162" i="1" l="1"/>
  <c r="B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A163" i="1" l="1"/>
  <c r="B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A164" i="1" l="1"/>
  <c r="B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A165" i="1" l="1"/>
  <c r="B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A166" i="1" l="1"/>
  <c r="B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A167" i="1" l="1"/>
  <c r="B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A168" i="1" l="1"/>
  <c r="B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A169" i="1" l="1"/>
  <c r="B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A170" i="1" l="1"/>
  <c r="B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A171" i="1" l="1"/>
  <c r="B170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A172" i="1" l="1"/>
  <c r="B171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A173" i="1" l="1"/>
  <c r="B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A174" i="1" l="1"/>
  <c r="B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A175" i="1" l="1"/>
  <c r="B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A176" i="1" l="1"/>
  <c r="B175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A177" i="1" l="1"/>
  <c r="B176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A178" i="1" l="1"/>
  <c r="B177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A179" i="1" l="1"/>
  <c r="B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A180" i="1" l="1"/>
  <c r="B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A181" i="1" l="1"/>
  <c r="B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A182" i="1" l="1"/>
  <c r="B181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A183" i="1" l="1"/>
  <c r="B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A184" i="1" l="1"/>
  <c r="B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A185" i="1" l="1"/>
  <c r="B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A186" i="1" l="1"/>
  <c r="B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A187" i="1" l="1"/>
  <c r="B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A188" i="1" l="1"/>
  <c r="B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A189" i="1" l="1"/>
  <c r="B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A190" i="1" l="1"/>
  <c r="B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A191" i="1" l="1"/>
  <c r="B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A192" i="1" l="1"/>
  <c r="B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A193" i="1" l="1"/>
  <c r="B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A194" i="1" l="1"/>
  <c r="B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A195" i="1" l="1"/>
  <c r="B194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A196" i="1" l="1"/>
  <c r="B195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A197" i="1" l="1"/>
  <c r="B196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A198" i="1" l="1"/>
  <c r="B197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A199" i="1" l="1"/>
  <c r="B198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A200" i="1" l="1"/>
  <c r="B199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A201" i="1" l="1"/>
  <c r="B200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A202" i="1" l="1"/>
  <c r="B201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A203" i="1" l="1"/>
  <c r="B202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A204" i="1" l="1"/>
  <c r="B203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A205" i="1" l="1"/>
  <c r="B204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A206" i="1" l="1"/>
  <c r="B205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A207" i="1" l="1"/>
  <c r="B206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A208" i="1" l="1"/>
  <c r="B207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A209" i="1" l="1"/>
  <c r="B208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A210" i="1" l="1"/>
  <c r="B209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A211" i="1" l="1"/>
  <c r="B210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A212" i="1" l="1"/>
  <c r="B211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A213" i="1" l="1"/>
  <c r="B212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A214" i="1" l="1"/>
  <c r="B213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A215" i="1" l="1"/>
  <c r="B214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A216" i="1" l="1"/>
  <c r="B215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A217" i="1" l="1"/>
  <c r="B216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A218" i="1" l="1"/>
  <c r="B217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A219" i="1" l="1"/>
  <c r="B218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A220" i="1" l="1"/>
  <c r="B219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A221" i="1" l="1"/>
  <c r="B220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A222" i="1" l="1"/>
  <c r="B221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A223" i="1" l="1"/>
  <c r="B222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A224" i="1" l="1"/>
  <c r="B223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A225" i="1" l="1"/>
  <c r="B224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A226" i="1" l="1"/>
  <c r="B225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A227" i="1" l="1"/>
  <c r="B226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A228" i="1" l="1"/>
  <c r="B227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A229" i="1" l="1"/>
  <c r="B228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A230" i="1" l="1"/>
  <c r="B229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A231" i="1" l="1"/>
  <c r="B230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A232" i="1" l="1"/>
  <c r="B231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A233" i="1" l="1"/>
  <c r="B232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A234" i="1" l="1"/>
  <c r="B233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A235" i="1" l="1"/>
  <c r="B234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A236" i="1" l="1"/>
  <c r="B235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A237" i="1" l="1"/>
  <c r="B236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A238" i="1" l="1"/>
  <c r="B237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A239" i="1" l="1"/>
  <c r="B238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A240" i="1" l="1"/>
  <c r="B239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A241" i="1" l="1"/>
  <c r="B240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A242" i="1" l="1"/>
  <c r="B241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A243" i="1" l="1"/>
  <c r="B242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A244" i="1" l="1"/>
  <c r="B243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A245" i="1" l="1"/>
  <c r="B244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A246" i="1" l="1"/>
  <c r="B245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A247" i="1" l="1"/>
  <c r="B246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A248" i="1" l="1"/>
  <c r="B247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A249" i="1" l="1"/>
  <c r="B248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A250" i="1" l="1"/>
  <c r="B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A251" i="1" l="1"/>
  <c r="B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A252" i="1" l="1"/>
  <c r="B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A253" i="1" l="1"/>
  <c r="B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A254" i="1" l="1"/>
  <c r="B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A255" i="1" l="1"/>
  <c r="B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A256" i="1" l="1"/>
  <c r="B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A257" i="1" l="1"/>
  <c r="B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A258" i="1" l="1"/>
  <c r="B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A259" i="1" l="1"/>
  <c r="B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A260" i="1" l="1"/>
  <c r="B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A261" i="1" l="1"/>
  <c r="B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A262" i="1" l="1"/>
  <c r="B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A263" i="1" l="1"/>
  <c r="B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A264" i="1" l="1"/>
  <c r="B263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A265" i="1" l="1"/>
  <c r="B264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A266" i="1" l="1"/>
  <c r="B265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A267" i="1" l="1"/>
  <c r="B266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A268" i="1" l="1"/>
  <c r="B267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A269" i="1" l="1"/>
  <c r="B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A270" i="1" l="1"/>
  <c r="B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A271" i="1" l="1"/>
  <c r="B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A272" i="1" l="1"/>
  <c r="B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A273" i="1" l="1"/>
  <c r="B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A274" i="1" l="1"/>
  <c r="B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A275" i="1" l="1"/>
  <c r="B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A276" i="1" l="1"/>
  <c r="B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A277" i="1" l="1"/>
  <c r="B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A278" i="1" l="1"/>
  <c r="B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A279" i="1" l="1"/>
  <c r="B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A280" i="1" l="1"/>
  <c r="B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A281" i="1" l="1"/>
  <c r="B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A282" i="1" l="1"/>
  <c r="B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A283" i="1" l="1"/>
  <c r="B282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A284" i="1" l="1"/>
  <c r="B283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A285" i="1" l="1"/>
  <c r="B284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A286" i="1" l="1"/>
  <c r="B28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A287" i="1" l="1"/>
  <c r="B286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A288" i="1" l="1"/>
  <c r="B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A289" i="1" l="1"/>
  <c r="B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A290" i="1" l="1"/>
  <c r="B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A291" i="1" l="1"/>
  <c r="B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A292" i="1" l="1"/>
  <c r="B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A293" i="1" l="1"/>
  <c r="B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A294" i="1" l="1"/>
  <c r="B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A295" i="1" l="1"/>
  <c r="B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A296" i="1" l="1"/>
  <c r="B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A297" i="1" l="1"/>
  <c r="B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A298" i="1" l="1"/>
  <c r="B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A299" i="1" l="1"/>
  <c r="B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A300" i="1" l="1"/>
  <c r="B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A301" i="1" l="1"/>
  <c r="B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A302" i="1" l="1"/>
  <c r="B301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A303" i="1" l="1"/>
  <c r="B302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A304" i="1" l="1"/>
  <c r="B303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A305" i="1" l="1"/>
  <c r="B304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A306" i="1" l="1"/>
  <c r="B305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A307" i="1" l="1"/>
  <c r="B306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A308" i="1" l="1"/>
  <c r="B307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A309" i="1" l="1"/>
  <c r="B308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A310" i="1" l="1"/>
  <c r="B309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A311" i="1" l="1"/>
  <c r="B310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A312" i="1" l="1"/>
  <c r="B311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A313" i="1" l="1"/>
  <c r="B312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A314" i="1" l="1"/>
  <c r="B313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A315" i="1" l="1"/>
  <c r="B314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A316" i="1" l="1"/>
  <c r="B315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A317" i="1" l="1"/>
  <c r="B316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A318" i="1" l="1"/>
  <c r="B317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A319" i="1" l="1"/>
  <c r="B318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A320" i="1" l="1"/>
  <c r="B319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A321" i="1" l="1"/>
  <c r="B320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A322" i="1" l="1"/>
  <c r="B321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A323" i="1" l="1"/>
  <c r="B322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A324" i="1" l="1"/>
  <c r="B323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A325" i="1" l="1"/>
  <c r="B324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A326" i="1" l="1"/>
  <c r="B325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A327" i="1" l="1"/>
  <c r="B326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A328" i="1" l="1"/>
  <c r="B327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A329" i="1" l="1"/>
  <c r="B328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A330" i="1" l="1"/>
  <c r="B329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A331" i="1" l="1"/>
  <c r="B330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A332" i="1" l="1"/>
  <c r="B331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A333" i="1" l="1"/>
  <c r="B332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A334" i="1" l="1"/>
  <c r="B333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A335" i="1" l="1"/>
  <c r="B334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A336" i="1" l="1"/>
  <c r="B335" i="1"/>
  <c r="C336" i="1"/>
  <c r="D336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A337" i="1" l="1"/>
  <c r="B336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A338" i="1" l="1"/>
  <c r="B337" i="1"/>
  <c r="C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A339" i="1" l="1"/>
  <c r="B338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A340" i="1" l="1"/>
  <c r="B339" i="1"/>
  <c r="C340" i="1"/>
  <c r="D340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A341" i="1" l="1"/>
  <c r="B340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A342" i="1" l="1"/>
  <c r="B341" i="1"/>
  <c r="C342" i="1"/>
  <c r="D342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A343" i="1" l="1"/>
  <c r="B342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A344" i="1" l="1"/>
  <c r="B343" i="1"/>
  <c r="C344" i="1"/>
  <c r="D344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A345" i="1" l="1"/>
  <c r="B344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A346" i="1" l="1"/>
  <c r="B345" i="1"/>
  <c r="C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A347" i="1" l="1"/>
  <c r="B346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A348" i="1" l="1"/>
  <c r="B347" i="1"/>
  <c r="C348" i="1"/>
  <c r="D348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A349" i="1" l="1"/>
  <c r="B34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A350" i="1" l="1"/>
  <c r="B349" i="1"/>
  <c r="C350" i="1"/>
  <c r="D350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A351" i="1" l="1"/>
  <c r="B350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A352" i="1" l="1"/>
  <c r="B351" i="1"/>
  <c r="C352" i="1"/>
  <c r="D352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A353" i="1" l="1"/>
  <c r="B352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A354" i="1" l="1"/>
  <c r="B353" i="1"/>
  <c r="C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A355" i="1" l="1"/>
  <c r="B354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A356" i="1" l="1"/>
  <c r="B355" i="1"/>
  <c r="C356" i="1"/>
  <c r="D356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A357" i="1" l="1"/>
  <c r="B356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A358" i="1" l="1"/>
  <c r="B357" i="1"/>
  <c r="C358" i="1"/>
  <c r="D358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A359" i="1" l="1"/>
  <c r="B358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A360" i="1" l="1"/>
  <c r="B359" i="1"/>
  <c r="C360" i="1"/>
  <c r="D360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A361" i="1" l="1"/>
  <c r="B360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A362" i="1" l="1"/>
  <c r="B361" i="1"/>
  <c r="C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A363" i="1" l="1"/>
  <c r="B362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A364" i="1" l="1"/>
  <c r="B363" i="1"/>
  <c r="C364" i="1"/>
  <c r="D364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A365" i="1" l="1"/>
  <c r="B364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A366" i="1" l="1"/>
  <c r="B365" i="1"/>
  <c r="C366" i="1"/>
  <c r="D366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A367" i="1" l="1"/>
  <c r="B366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A368" i="1" l="1"/>
  <c r="B367" i="1"/>
  <c r="C368" i="1"/>
  <c r="D368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A369" i="1" l="1"/>
  <c r="B368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A370" i="1" l="1"/>
  <c r="B369" i="1"/>
  <c r="C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A371" i="1" l="1"/>
  <c r="B370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A372" i="1" l="1"/>
  <c r="B371" i="1"/>
  <c r="C372" i="1"/>
  <c r="D372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A373" i="1" l="1"/>
  <c r="B372" i="1"/>
  <c r="C373" i="1"/>
  <c r="D373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A374" i="1" l="1"/>
  <c r="B373" i="1"/>
  <c r="C374" i="1"/>
  <c r="D374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A375" i="1" l="1"/>
  <c r="B374" i="1"/>
  <c r="C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A376" i="1" l="1"/>
  <c r="B375" i="1"/>
  <c r="C376" i="1"/>
  <c r="D376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A377" i="1" l="1"/>
  <c r="B376" i="1"/>
  <c r="C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A378" i="1" l="1"/>
  <c r="B377" i="1"/>
  <c r="C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A379" i="1" l="1"/>
  <c r="B378" i="1"/>
  <c r="C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A380" i="1" l="1"/>
  <c r="B379" i="1"/>
  <c r="C380" i="1"/>
  <c r="D380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A381" i="1" l="1"/>
  <c r="B380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A382" i="1" l="1"/>
  <c r="B381" i="1"/>
  <c r="C382" i="1"/>
  <c r="D382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A383" i="1" l="1"/>
  <c r="B382" i="1"/>
  <c r="C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A384" i="1" l="1"/>
  <c r="B383" i="1"/>
  <c r="C384" i="1"/>
  <c r="D384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A385" i="1" l="1"/>
  <c r="B384" i="1"/>
  <c r="C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A386" i="1" l="1"/>
  <c r="B385" i="1"/>
  <c r="C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A387" i="1" l="1"/>
  <c r="B386" i="1"/>
  <c r="C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A388" i="1" l="1"/>
  <c r="B387" i="1"/>
  <c r="C388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A389" i="1" l="1"/>
  <c r="B388" i="1"/>
  <c r="C389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A390" i="1" l="1"/>
  <c r="B389" i="1"/>
  <c r="C390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A391" i="1" l="1"/>
  <c r="B390" i="1"/>
  <c r="C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A392" i="1" l="1"/>
  <c r="B391" i="1"/>
  <c r="C392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A393" i="1" l="1"/>
  <c r="B392" i="1"/>
  <c r="C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A394" i="1" l="1"/>
  <c r="B393" i="1"/>
  <c r="C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A395" i="1" l="1"/>
  <c r="B394" i="1"/>
  <c r="C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A396" i="1" l="1"/>
  <c r="B395" i="1"/>
  <c r="C396" i="1"/>
  <c r="D396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A397" i="1" l="1"/>
  <c r="B396" i="1"/>
  <c r="C397" i="1"/>
  <c r="D397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A398" i="1" l="1"/>
  <c r="B397" i="1"/>
  <c r="C398" i="1"/>
  <c r="D398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A399" i="1" l="1"/>
  <c r="B398" i="1"/>
  <c r="C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A400" i="1" l="1"/>
  <c r="B399" i="1"/>
  <c r="C400" i="1"/>
  <c r="D400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A401" i="1" l="1"/>
  <c r="B400" i="1"/>
  <c r="C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A402" i="1" l="1"/>
  <c r="B401" i="1"/>
  <c r="C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A403" i="1" l="1"/>
  <c r="B402" i="1"/>
  <c r="C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A404" i="1" l="1"/>
  <c r="B403" i="1"/>
  <c r="C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A405" i="1" l="1"/>
  <c r="B404" i="1"/>
  <c r="C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A406" i="1" l="1"/>
  <c r="B405" i="1"/>
  <c r="C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A407" i="1" l="1"/>
  <c r="B406" i="1"/>
  <c r="C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A408" i="1" l="1"/>
  <c r="B407" i="1"/>
  <c r="C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A409" i="1" l="1"/>
  <c r="B408" i="1"/>
  <c r="C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A410" i="1" l="1"/>
  <c r="B409" i="1"/>
  <c r="C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A411" i="1" l="1"/>
  <c r="B410" i="1"/>
  <c r="C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A412" i="1" l="1"/>
  <c r="B411" i="1"/>
  <c r="C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A413" i="1" l="1"/>
  <c r="B412" i="1"/>
  <c r="C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A414" i="1" l="1"/>
  <c r="B413" i="1"/>
  <c r="C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A415" i="1" l="1"/>
  <c r="B414" i="1"/>
  <c r="C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A416" i="1" l="1"/>
  <c r="B415" i="1"/>
  <c r="C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A417" i="1" l="1"/>
  <c r="B416" i="1"/>
  <c r="C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A418" i="1" l="1"/>
  <c r="B417" i="1"/>
  <c r="C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A419" i="1" l="1"/>
  <c r="B418" i="1"/>
  <c r="C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A420" i="1" l="1"/>
  <c r="B419" i="1"/>
  <c r="C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A421" i="1" l="1"/>
  <c r="B420" i="1"/>
  <c r="C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A422" i="1" l="1"/>
  <c r="B421" i="1"/>
  <c r="C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A423" i="1" l="1"/>
  <c r="B422" i="1"/>
  <c r="C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A424" i="1" l="1"/>
  <c r="B423" i="1"/>
  <c r="C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A425" i="1" l="1"/>
  <c r="B424" i="1"/>
  <c r="C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A426" i="1" l="1"/>
  <c r="B425" i="1"/>
  <c r="C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A427" i="1" l="1"/>
  <c r="B426" i="1"/>
  <c r="C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A428" i="1" l="1"/>
  <c r="B427" i="1"/>
  <c r="C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A429" i="1" l="1"/>
  <c r="B428" i="1"/>
  <c r="C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A430" i="1" l="1"/>
  <c r="B429" i="1"/>
  <c r="C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A431" i="1" l="1"/>
  <c r="B430" i="1"/>
  <c r="C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A432" i="1" l="1"/>
  <c r="B431" i="1"/>
  <c r="C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A433" i="1" l="1"/>
  <c r="B432" i="1"/>
  <c r="C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A434" i="1" l="1"/>
  <c r="B433" i="1"/>
  <c r="C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A435" i="1" l="1"/>
  <c r="B434" i="1"/>
  <c r="C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A436" i="1" l="1"/>
  <c r="B435" i="1"/>
  <c r="C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A437" i="1" l="1"/>
  <c r="B436" i="1"/>
  <c r="C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A438" i="1" l="1"/>
  <c r="B437" i="1"/>
  <c r="C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A439" i="1" l="1"/>
  <c r="B438" i="1"/>
  <c r="C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A440" i="1" l="1"/>
  <c r="B439" i="1"/>
  <c r="C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A441" i="1" l="1"/>
  <c r="B440" i="1"/>
  <c r="C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A442" i="1" l="1"/>
  <c r="B441" i="1"/>
  <c r="C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A443" i="1" l="1"/>
  <c r="B442" i="1"/>
  <c r="C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A444" i="1" l="1"/>
  <c r="B443" i="1"/>
  <c r="C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A445" i="1" l="1"/>
  <c r="B444" i="1"/>
  <c r="C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A446" i="1" l="1"/>
  <c r="B445" i="1"/>
  <c r="C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A447" i="1" l="1"/>
  <c r="B446" i="1"/>
  <c r="C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A448" i="1" l="1"/>
  <c r="B447" i="1"/>
  <c r="C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A449" i="1" l="1"/>
  <c r="B448" i="1"/>
  <c r="C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A450" i="1" l="1"/>
  <c r="B449" i="1"/>
  <c r="C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A451" i="1" l="1"/>
  <c r="B450" i="1"/>
  <c r="C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A452" i="1" l="1"/>
  <c r="B451" i="1"/>
  <c r="C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A453" i="1" l="1"/>
  <c r="B452" i="1"/>
  <c r="C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A454" i="1" l="1"/>
  <c r="B453" i="1"/>
  <c r="C454" i="1"/>
  <c r="D454" i="1"/>
  <c r="E454" i="1"/>
  <c r="F454" i="1"/>
  <c r="G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A455" i="1" l="1"/>
  <c r="B454" i="1"/>
  <c r="C455" i="1"/>
  <c r="D455" i="1"/>
  <c r="E455" i="1"/>
  <c r="F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A456" i="1" l="1"/>
  <c r="B455" i="1"/>
  <c r="C456" i="1"/>
  <c r="D456" i="1"/>
  <c r="E456" i="1"/>
  <c r="F456" i="1"/>
  <c r="G456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A457" i="1" l="1"/>
  <c r="B456" i="1"/>
  <c r="C457" i="1"/>
  <c r="D457" i="1"/>
  <c r="E457" i="1"/>
  <c r="F457" i="1"/>
  <c r="G457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A458" i="1" l="1"/>
  <c r="B457" i="1"/>
  <c r="C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A459" i="1" l="1"/>
  <c r="B458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A460" i="1" l="1"/>
  <c r="B459" i="1"/>
  <c r="C460" i="1"/>
  <c r="D460" i="1"/>
  <c r="E460" i="1"/>
  <c r="F460" i="1"/>
  <c r="G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A461" i="1" l="1"/>
  <c r="B460" i="1"/>
  <c r="C461" i="1"/>
  <c r="D461" i="1"/>
  <c r="E461" i="1"/>
  <c r="F461" i="1"/>
  <c r="G461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A462" i="1" l="1"/>
  <c r="B461" i="1"/>
  <c r="C462" i="1"/>
  <c r="D462" i="1"/>
  <c r="E462" i="1"/>
  <c r="F462" i="1"/>
  <c r="G462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A463" i="1" l="1"/>
  <c r="B462" i="1"/>
  <c r="C463" i="1"/>
  <c r="D463" i="1"/>
  <c r="E463" i="1"/>
  <c r="F463" i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A464" i="1" l="1"/>
  <c r="B463" i="1"/>
  <c r="C464" i="1"/>
  <c r="D464" i="1"/>
  <c r="E464" i="1"/>
  <c r="F464" i="1"/>
  <c r="G464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A465" i="1" l="1"/>
  <c r="B464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A466" i="1" l="1"/>
  <c r="B465" i="1"/>
  <c r="C466" i="1"/>
  <c r="D466" i="1"/>
  <c r="E466" i="1"/>
  <c r="F466" i="1"/>
  <c r="G466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A467" i="1" l="1"/>
  <c r="B466" i="1"/>
  <c r="C467" i="1"/>
  <c r="D467" i="1"/>
  <c r="E467" i="1"/>
  <c r="F467" i="1"/>
  <c r="G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A468" i="1" l="1"/>
  <c r="B467" i="1"/>
  <c r="C468" i="1"/>
  <c r="D468" i="1"/>
  <c r="E468" i="1"/>
  <c r="F468" i="1"/>
  <c r="G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A469" i="1" l="1"/>
  <c r="B468" i="1"/>
  <c r="C469" i="1"/>
  <c r="D469" i="1"/>
  <c r="E469" i="1"/>
  <c r="F469" i="1"/>
  <c r="G469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A470" i="1" l="1"/>
  <c r="B469" i="1"/>
  <c r="C470" i="1"/>
  <c r="D470" i="1"/>
  <c r="E470" i="1"/>
  <c r="F470" i="1"/>
  <c r="G470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A471" i="1" l="1"/>
  <c r="B470" i="1"/>
  <c r="C471" i="1"/>
  <c r="D471" i="1"/>
  <c r="E471" i="1"/>
  <c r="F471" i="1"/>
  <c r="G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A472" i="1" l="1"/>
  <c r="B471" i="1"/>
  <c r="C472" i="1"/>
  <c r="D472" i="1"/>
  <c r="E472" i="1"/>
  <c r="F472" i="1"/>
  <c r="G472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A473" i="1" l="1"/>
  <c r="B472" i="1"/>
  <c r="C473" i="1"/>
  <c r="D473" i="1"/>
  <c r="E473" i="1"/>
  <c r="F473" i="1"/>
  <c r="G473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A474" i="1" l="1"/>
  <c r="B473" i="1"/>
  <c r="C474" i="1"/>
  <c r="D474" i="1"/>
  <c r="E474" i="1"/>
  <c r="F474" i="1"/>
  <c r="G474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A475" i="1" l="1"/>
  <c r="B474" i="1"/>
  <c r="C475" i="1"/>
  <c r="D475" i="1"/>
  <c r="E475" i="1"/>
  <c r="F475" i="1"/>
  <c r="G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A476" i="1" l="1"/>
  <c r="B475" i="1"/>
  <c r="C476" i="1"/>
  <c r="D476" i="1"/>
  <c r="E476" i="1"/>
  <c r="F476" i="1"/>
  <c r="G476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A477" i="1" l="1"/>
  <c r="B476" i="1"/>
  <c r="C477" i="1"/>
  <c r="D477" i="1"/>
  <c r="E477" i="1"/>
  <c r="F477" i="1"/>
  <c r="G477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A478" i="1" l="1"/>
  <c r="B477" i="1"/>
  <c r="C478" i="1"/>
  <c r="D478" i="1"/>
  <c r="E478" i="1"/>
  <c r="F478" i="1"/>
  <c r="G478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A479" i="1" l="1"/>
  <c r="B478" i="1"/>
  <c r="C479" i="1"/>
  <c r="D479" i="1"/>
  <c r="E479" i="1"/>
  <c r="F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A480" i="1" l="1"/>
  <c r="B479" i="1"/>
  <c r="C480" i="1"/>
  <c r="D480" i="1"/>
  <c r="E480" i="1"/>
  <c r="F480" i="1"/>
  <c r="G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A481" i="1" l="1"/>
  <c r="B480" i="1"/>
  <c r="C481" i="1"/>
  <c r="D481" i="1"/>
  <c r="E481" i="1"/>
  <c r="F481" i="1"/>
  <c r="G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A482" i="1" l="1"/>
  <c r="B481" i="1"/>
  <c r="C482" i="1"/>
  <c r="D482" i="1"/>
  <c r="E482" i="1"/>
  <c r="F482" i="1"/>
  <c r="G482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A483" i="1" l="1"/>
  <c r="B482" i="1"/>
  <c r="C483" i="1"/>
  <c r="D483" i="1"/>
  <c r="E483" i="1"/>
  <c r="F483" i="1"/>
  <c r="G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A484" i="1" l="1"/>
  <c r="B483" i="1"/>
  <c r="C484" i="1"/>
  <c r="D484" i="1"/>
  <c r="E484" i="1"/>
  <c r="F484" i="1"/>
  <c r="G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A485" i="1" l="1"/>
  <c r="B484" i="1"/>
  <c r="C485" i="1"/>
  <c r="D485" i="1"/>
  <c r="E485" i="1"/>
  <c r="F485" i="1"/>
  <c r="G485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A486" i="1" l="1"/>
  <c r="B485" i="1"/>
  <c r="C486" i="1"/>
  <c r="D486" i="1"/>
  <c r="E486" i="1"/>
  <c r="F486" i="1"/>
  <c r="G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A487" i="1" l="1"/>
  <c r="B486" i="1"/>
  <c r="C487" i="1"/>
  <c r="D487" i="1"/>
  <c r="E487" i="1"/>
  <c r="F487" i="1"/>
  <c r="G487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A488" i="1" l="1"/>
  <c r="B487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A489" i="1" l="1"/>
  <c r="B488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A490" i="1" l="1"/>
  <c r="B489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A491" i="1" l="1"/>
  <c r="B490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A492" i="1" l="1"/>
  <c r="B491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A493" i="1" l="1"/>
  <c r="B492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W493" i="1"/>
  <c r="A494" i="1" l="1"/>
  <c r="B493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V494" i="1"/>
  <c r="W494" i="1"/>
  <c r="A495" i="1" l="1"/>
  <c r="B494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A496" i="1" l="1"/>
  <c r="B495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W496" i="1"/>
  <c r="A497" i="1" l="1"/>
  <c r="B496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A498" i="1" l="1"/>
  <c r="B497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A499" i="1" l="1"/>
  <c r="B498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A500" i="1" l="1"/>
  <c r="B499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V500" i="1"/>
  <c r="W500" i="1"/>
  <c r="A501" i="1" l="1"/>
  <c r="B500" i="1"/>
  <c r="V501" i="1" l="1"/>
  <c r="N501" i="1"/>
  <c r="F501" i="1"/>
  <c r="S501" i="1"/>
  <c r="O501" i="1"/>
  <c r="U501" i="1"/>
  <c r="M501" i="1"/>
  <c r="E501" i="1"/>
  <c r="K501" i="1"/>
  <c r="I501" i="1"/>
  <c r="H501" i="1"/>
  <c r="W501" i="1"/>
  <c r="T501" i="1"/>
  <c r="L501" i="1"/>
  <c r="D501" i="1"/>
  <c r="C501" i="1"/>
  <c r="P501" i="1"/>
  <c r="R501" i="1"/>
  <c r="J501" i="1"/>
  <c r="B501" i="1"/>
  <c r="Q501" i="1"/>
  <c r="A502" i="1"/>
  <c r="G501" i="1"/>
  <c r="W502" i="1" l="1"/>
  <c r="O502" i="1"/>
  <c r="G502" i="1"/>
  <c r="R502" i="1"/>
  <c r="Q502" i="1"/>
  <c r="V502" i="1"/>
  <c r="N502" i="1"/>
  <c r="F502" i="1"/>
  <c r="L502" i="1"/>
  <c r="J502" i="1"/>
  <c r="I502" i="1"/>
  <c r="A503" i="1"/>
  <c r="U502" i="1"/>
  <c r="M502" i="1"/>
  <c r="E502" i="1"/>
  <c r="T502" i="1"/>
  <c r="D502" i="1"/>
  <c r="B502" i="1"/>
  <c r="H502" i="1"/>
  <c r="S502" i="1"/>
  <c r="K502" i="1"/>
  <c r="C502" i="1"/>
  <c r="P502" i="1"/>
  <c r="A504" i="1" l="1"/>
  <c r="P503" i="1"/>
  <c r="H503" i="1"/>
  <c r="M503" i="1"/>
  <c r="Q503" i="1"/>
  <c r="W503" i="1"/>
  <c r="O503" i="1"/>
  <c r="G503" i="1"/>
  <c r="E503" i="1"/>
  <c r="S503" i="1"/>
  <c r="J503" i="1"/>
  <c r="V503" i="1"/>
  <c r="N503" i="1"/>
  <c r="F503" i="1"/>
  <c r="U503" i="1"/>
  <c r="C503" i="1"/>
  <c r="B503" i="1"/>
  <c r="I503" i="1"/>
  <c r="T503" i="1"/>
  <c r="L503" i="1"/>
  <c r="D503" i="1"/>
  <c r="K503" i="1"/>
  <c r="R503" i="1"/>
  <c r="Q504" i="1" l="1"/>
  <c r="I504" i="1"/>
  <c r="V504" i="1"/>
  <c r="L504" i="1"/>
  <c r="S504" i="1"/>
  <c r="A505" i="1"/>
  <c r="P504" i="1"/>
  <c r="H504" i="1"/>
  <c r="F504" i="1"/>
  <c r="T504" i="1"/>
  <c r="K504" i="1"/>
  <c r="B504" i="1"/>
  <c r="W504" i="1"/>
  <c r="O504" i="1"/>
  <c r="G504" i="1"/>
  <c r="N504" i="1"/>
  <c r="D504" i="1"/>
  <c r="C504" i="1"/>
  <c r="R504" i="1"/>
  <c r="U504" i="1"/>
  <c r="M504" i="1"/>
  <c r="E504" i="1"/>
  <c r="J504" i="1"/>
  <c r="R505" i="1" l="1"/>
  <c r="J505" i="1"/>
  <c r="B505" i="1"/>
  <c r="C505" i="1"/>
  <c r="Q505" i="1"/>
  <c r="I505" i="1"/>
  <c r="W505" i="1"/>
  <c r="G505" i="1"/>
  <c r="U505" i="1"/>
  <c r="T505" i="1"/>
  <c r="K505" i="1"/>
  <c r="A506" i="1"/>
  <c r="P505" i="1"/>
  <c r="H505" i="1"/>
  <c r="O505" i="1"/>
  <c r="M505" i="1"/>
  <c r="D505" i="1"/>
  <c r="S505" i="1"/>
  <c r="V505" i="1"/>
  <c r="N505" i="1"/>
  <c r="F505" i="1"/>
  <c r="E505" i="1"/>
  <c r="L505" i="1"/>
  <c r="S506" i="1" l="1"/>
  <c r="K506" i="1"/>
  <c r="C506" i="1"/>
  <c r="H506" i="1"/>
  <c r="F506" i="1"/>
  <c r="T506" i="1"/>
  <c r="R506" i="1"/>
  <c r="J506" i="1"/>
  <c r="B506" i="1"/>
  <c r="A507" i="1"/>
  <c r="M506" i="1"/>
  <c r="D506" i="1"/>
  <c r="Q506" i="1"/>
  <c r="I506" i="1"/>
  <c r="P506" i="1"/>
  <c r="N506" i="1"/>
  <c r="E506" i="1"/>
  <c r="W506" i="1"/>
  <c r="O506" i="1"/>
  <c r="G506" i="1"/>
  <c r="V506" i="1"/>
  <c r="U506" i="1"/>
  <c r="L506" i="1"/>
  <c r="T507" i="1" l="1"/>
  <c r="L507" i="1"/>
  <c r="D507" i="1"/>
  <c r="Q507" i="1"/>
  <c r="W507" i="1"/>
  <c r="F507" i="1"/>
  <c r="S507" i="1"/>
  <c r="K507" i="1"/>
  <c r="C507" i="1"/>
  <c r="G507" i="1"/>
  <c r="N507" i="1"/>
  <c r="M507" i="1"/>
  <c r="R507" i="1"/>
  <c r="J507" i="1"/>
  <c r="B507" i="1"/>
  <c r="I507" i="1"/>
  <c r="O507" i="1"/>
  <c r="V507" i="1"/>
  <c r="U507" i="1"/>
  <c r="E507" i="1"/>
  <c r="A508" i="1"/>
  <c r="P507" i="1"/>
  <c r="H507" i="1"/>
  <c r="U508" i="1" l="1"/>
  <c r="M508" i="1"/>
  <c r="E508" i="1"/>
  <c r="V508" i="1"/>
  <c r="T508" i="1"/>
  <c r="L508" i="1"/>
  <c r="D508" i="1"/>
  <c r="R508" i="1"/>
  <c r="B508" i="1"/>
  <c r="H508" i="1"/>
  <c r="O508" i="1"/>
  <c r="N508" i="1"/>
  <c r="S508" i="1"/>
  <c r="K508" i="1"/>
  <c r="C508" i="1"/>
  <c r="J508" i="1"/>
  <c r="A509" i="1"/>
  <c r="W508" i="1"/>
  <c r="Q508" i="1"/>
  <c r="I508" i="1"/>
  <c r="P508" i="1"/>
  <c r="G508" i="1"/>
  <c r="F508" i="1"/>
  <c r="V509" i="1" l="1"/>
  <c r="N509" i="1"/>
  <c r="F509" i="1"/>
  <c r="C509" i="1"/>
  <c r="Q509" i="1"/>
  <c r="A510" i="1"/>
  <c r="U509" i="1"/>
  <c r="M509" i="1"/>
  <c r="E509" i="1"/>
  <c r="S509" i="1"/>
  <c r="I509" i="1"/>
  <c r="H509" i="1"/>
  <c r="O509" i="1"/>
  <c r="T509" i="1"/>
  <c r="L509" i="1"/>
  <c r="D509" i="1"/>
  <c r="K509" i="1"/>
  <c r="P509" i="1"/>
  <c r="W509" i="1"/>
  <c r="G509" i="1"/>
  <c r="R509" i="1"/>
  <c r="J509" i="1"/>
  <c r="B509" i="1"/>
  <c r="W510" i="1" l="1"/>
  <c r="O510" i="1"/>
  <c r="G510" i="1"/>
  <c r="L510" i="1"/>
  <c r="A511" i="1"/>
  <c r="V510" i="1"/>
  <c r="N510" i="1"/>
  <c r="F510" i="1"/>
  <c r="T510" i="1"/>
  <c r="R510" i="1"/>
  <c r="Q510" i="1"/>
  <c r="P510" i="1"/>
  <c r="U510" i="1"/>
  <c r="M510" i="1"/>
  <c r="E510" i="1"/>
  <c r="D510" i="1"/>
  <c r="J510" i="1"/>
  <c r="S510" i="1"/>
  <c r="K510" i="1"/>
  <c r="C510" i="1"/>
  <c r="B510" i="1"/>
  <c r="I510" i="1"/>
  <c r="H510" i="1"/>
  <c r="A512" i="1" l="1"/>
  <c r="P511" i="1"/>
  <c r="H511" i="1"/>
  <c r="U511" i="1"/>
  <c r="C511" i="1"/>
  <c r="W511" i="1"/>
  <c r="O511" i="1"/>
  <c r="G511" i="1"/>
  <c r="M511" i="1"/>
  <c r="K511" i="1"/>
  <c r="R511" i="1"/>
  <c r="Q511" i="1"/>
  <c r="V511" i="1"/>
  <c r="N511" i="1"/>
  <c r="F511" i="1"/>
  <c r="E511" i="1"/>
  <c r="S511" i="1"/>
  <c r="J511" i="1"/>
  <c r="B511" i="1"/>
  <c r="I511" i="1"/>
  <c r="T511" i="1"/>
  <c r="L511" i="1"/>
  <c r="D511" i="1"/>
  <c r="Q512" i="1" l="1"/>
  <c r="I512" i="1"/>
  <c r="T512" i="1"/>
  <c r="A513" i="1"/>
  <c r="P512" i="1"/>
  <c r="H512" i="1"/>
  <c r="N512" i="1"/>
  <c r="L512" i="1"/>
  <c r="S512" i="1"/>
  <c r="R512" i="1"/>
  <c r="W512" i="1"/>
  <c r="O512" i="1"/>
  <c r="G512" i="1"/>
  <c r="V512" i="1"/>
  <c r="F512" i="1"/>
  <c r="K512" i="1"/>
  <c r="B512" i="1"/>
  <c r="U512" i="1"/>
  <c r="M512" i="1"/>
  <c r="E512" i="1"/>
  <c r="D512" i="1"/>
  <c r="C512" i="1"/>
  <c r="J512" i="1"/>
  <c r="R513" i="1" l="1"/>
  <c r="J513" i="1"/>
  <c r="B513" i="1"/>
  <c r="W513" i="1"/>
  <c r="T513" i="1"/>
  <c r="C513" i="1"/>
  <c r="Q513" i="1"/>
  <c r="I513" i="1"/>
  <c r="G513" i="1"/>
  <c r="M513" i="1"/>
  <c r="L513" i="1"/>
  <c r="S513" i="1"/>
  <c r="A514" i="1"/>
  <c r="P513" i="1"/>
  <c r="H513" i="1"/>
  <c r="O513" i="1"/>
  <c r="E513" i="1"/>
  <c r="D513" i="1"/>
  <c r="K513" i="1"/>
  <c r="V513" i="1"/>
  <c r="N513" i="1"/>
  <c r="F513" i="1"/>
  <c r="U513" i="1"/>
  <c r="S514" i="1" l="1"/>
  <c r="K514" i="1"/>
  <c r="C514" i="1"/>
  <c r="V514" i="1"/>
  <c r="R514" i="1"/>
  <c r="J514" i="1"/>
  <c r="B514" i="1"/>
  <c r="A515" i="1"/>
  <c r="H514" i="1"/>
  <c r="F514" i="1"/>
  <c r="U514" i="1"/>
  <c r="L514" i="1"/>
  <c r="Q514" i="1"/>
  <c r="I514" i="1"/>
  <c r="P514" i="1"/>
  <c r="N514" i="1"/>
  <c r="M514" i="1"/>
  <c r="D514" i="1"/>
  <c r="W514" i="1"/>
  <c r="O514" i="1"/>
  <c r="G514" i="1"/>
  <c r="E514" i="1"/>
  <c r="T514" i="1"/>
  <c r="T515" i="1" l="1"/>
  <c r="L515" i="1"/>
  <c r="D515" i="1"/>
  <c r="S515" i="1"/>
  <c r="K515" i="1"/>
  <c r="C515" i="1"/>
  <c r="I515" i="1"/>
  <c r="W515" i="1"/>
  <c r="G515" i="1"/>
  <c r="V515" i="1"/>
  <c r="M515" i="1"/>
  <c r="R515" i="1"/>
  <c r="J515" i="1"/>
  <c r="B515" i="1"/>
  <c r="Q515" i="1"/>
  <c r="O515" i="1"/>
  <c r="F515" i="1"/>
  <c r="U515" i="1"/>
  <c r="E515" i="1"/>
  <c r="A516" i="1"/>
  <c r="P515" i="1"/>
  <c r="H515" i="1"/>
  <c r="N515" i="1"/>
  <c r="U516" i="1" l="1"/>
  <c r="M516" i="1"/>
  <c r="E516" i="1"/>
  <c r="F516" i="1"/>
  <c r="T516" i="1"/>
  <c r="L516" i="1"/>
  <c r="D516" i="1"/>
  <c r="R516" i="1"/>
  <c r="B516" i="1"/>
  <c r="A517" i="1"/>
  <c r="O516" i="1"/>
  <c r="N516" i="1"/>
  <c r="S516" i="1"/>
  <c r="K516" i="1"/>
  <c r="C516" i="1"/>
  <c r="J516" i="1"/>
  <c r="P516" i="1"/>
  <c r="W516" i="1"/>
  <c r="G516" i="1"/>
  <c r="V516" i="1"/>
  <c r="Q516" i="1"/>
  <c r="I516" i="1"/>
  <c r="H516" i="1"/>
  <c r="U517" i="1" l="1"/>
  <c r="T517" i="1"/>
  <c r="S517" i="1"/>
  <c r="N517" i="1"/>
  <c r="F517" i="1"/>
  <c r="C517" i="1"/>
  <c r="Q517" i="1"/>
  <c r="H517" i="1"/>
  <c r="A518" i="1"/>
  <c r="M517" i="1"/>
  <c r="E517" i="1"/>
  <c r="V517" i="1"/>
  <c r="P517" i="1"/>
  <c r="G517" i="1"/>
  <c r="W517" i="1"/>
  <c r="L517" i="1"/>
  <c r="D517" i="1"/>
  <c r="K517" i="1"/>
  <c r="I517" i="1"/>
  <c r="R517" i="1"/>
  <c r="J517" i="1"/>
  <c r="B517" i="1"/>
  <c r="O517" i="1"/>
  <c r="V518" i="1" l="1"/>
  <c r="N518" i="1"/>
  <c r="F518" i="1"/>
  <c r="U518" i="1"/>
  <c r="M518" i="1"/>
  <c r="E518" i="1"/>
  <c r="T518" i="1"/>
  <c r="L518" i="1"/>
  <c r="D518" i="1"/>
  <c r="R518" i="1"/>
  <c r="J518" i="1"/>
  <c r="B518" i="1"/>
  <c r="S518" i="1"/>
  <c r="C518" i="1"/>
  <c r="Q518" i="1"/>
  <c r="W518" i="1"/>
  <c r="P518" i="1"/>
  <c r="O518" i="1"/>
  <c r="I518" i="1"/>
  <c r="H518" i="1"/>
  <c r="G518" i="1"/>
  <c r="K518" i="1"/>
  <c r="A519" i="1"/>
  <c r="W519" i="1" l="1"/>
  <c r="O519" i="1"/>
  <c r="G519" i="1"/>
  <c r="V519" i="1"/>
  <c r="N519" i="1"/>
  <c r="F519" i="1"/>
  <c r="U519" i="1"/>
  <c r="M519" i="1"/>
  <c r="E519" i="1"/>
  <c r="S519" i="1"/>
  <c r="K519" i="1"/>
  <c r="C519" i="1"/>
  <c r="L519" i="1"/>
  <c r="J519" i="1"/>
  <c r="H519" i="1"/>
  <c r="B519" i="1"/>
  <c r="Q519" i="1"/>
  <c r="I519" i="1"/>
  <c r="A520" i="1"/>
  <c r="R519" i="1"/>
  <c r="P519" i="1"/>
  <c r="T519" i="1"/>
  <c r="D519" i="1"/>
  <c r="A521" i="1" l="1"/>
  <c r="P520" i="1"/>
  <c r="H520" i="1"/>
  <c r="W520" i="1"/>
  <c r="O520" i="1"/>
  <c r="G520" i="1"/>
  <c r="V520" i="1"/>
  <c r="N520" i="1"/>
  <c r="F520" i="1"/>
  <c r="T520" i="1"/>
  <c r="L520" i="1"/>
  <c r="D520" i="1"/>
  <c r="U520" i="1"/>
  <c r="E520" i="1"/>
  <c r="S520" i="1"/>
  <c r="C520" i="1"/>
  <c r="Q520" i="1"/>
  <c r="K520" i="1"/>
  <c r="R520" i="1"/>
  <c r="B520" i="1"/>
  <c r="J520" i="1"/>
  <c r="I520" i="1"/>
  <c r="M520" i="1"/>
  <c r="Q521" i="1" l="1"/>
  <c r="I521" i="1"/>
  <c r="A522" i="1"/>
  <c r="P521" i="1"/>
  <c r="H521" i="1"/>
  <c r="W521" i="1"/>
  <c r="O521" i="1"/>
  <c r="G521" i="1"/>
  <c r="U521" i="1"/>
  <c r="M521" i="1"/>
  <c r="E521" i="1"/>
  <c r="N521" i="1"/>
  <c r="B521" i="1"/>
  <c r="L521" i="1"/>
  <c r="S521" i="1"/>
  <c r="C521" i="1"/>
  <c r="R521" i="1"/>
  <c r="K521" i="1"/>
  <c r="J521" i="1"/>
  <c r="T521" i="1"/>
  <c r="V521" i="1"/>
  <c r="F521" i="1"/>
  <c r="D521" i="1"/>
  <c r="R522" i="1" l="1"/>
  <c r="J522" i="1"/>
  <c r="B522" i="1"/>
  <c r="Q522" i="1"/>
  <c r="I522" i="1"/>
  <c r="A523" i="1"/>
  <c r="P522" i="1"/>
  <c r="H522" i="1"/>
  <c r="V522" i="1"/>
  <c r="N522" i="1"/>
  <c r="F522" i="1"/>
  <c r="W522" i="1"/>
  <c r="G522" i="1"/>
  <c r="S522" i="1"/>
  <c r="U522" i="1"/>
  <c r="E522" i="1"/>
  <c r="C522" i="1"/>
  <c r="M522" i="1"/>
  <c r="T522" i="1"/>
  <c r="D522" i="1"/>
  <c r="L522" i="1"/>
  <c r="O522" i="1"/>
  <c r="K522" i="1"/>
  <c r="S523" i="1" l="1"/>
  <c r="K523" i="1"/>
  <c r="C523" i="1"/>
  <c r="R523" i="1"/>
  <c r="J523" i="1"/>
  <c r="B523" i="1"/>
  <c r="Q523" i="1"/>
  <c r="I523" i="1"/>
  <c r="W523" i="1"/>
  <c r="O523" i="1"/>
  <c r="G523" i="1"/>
  <c r="P523" i="1"/>
  <c r="F523" i="1"/>
  <c r="E523" i="1"/>
  <c r="N523" i="1"/>
  <c r="L523" i="1"/>
  <c r="T523" i="1"/>
  <c r="M523" i="1"/>
  <c r="V523" i="1"/>
  <c r="D523" i="1"/>
  <c r="A524" i="1"/>
  <c r="H523" i="1"/>
  <c r="U523" i="1"/>
  <c r="T524" i="1" l="1"/>
  <c r="L524" i="1"/>
  <c r="D524" i="1"/>
  <c r="S524" i="1"/>
  <c r="K524" i="1"/>
  <c r="C524" i="1"/>
  <c r="R524" i="1"/>
  <c r="J524" i="1"/>
  <c r="B524" i="1"/>
  <c r="A525" i="1"/>
  <c r="P524" i="1"/>
  <c r="H524" i="1"/>
  <c r="I524" i="1"/>
  <c r="W524" i="1"/>
  <c r="G524" i="1"/>
  <c r="U524" i="1"/>
  <c r="N524" i="1"/>
  <c r="V524" i="1"/>
  <c r="F524" i="1"/>
  <c r="E524" i="1"/>
  <c r="O524" i="1"/>
  <c r="M524" i="1"/>
  <c r="Q524" i="1"/>
  <c r="U525" i="1" l="1"/>
  <c r="M525" i="1"/>
  <c r="E525" i="1"/>
  <c r="T525" i="1"/>
  <c r="L525" i="1"/>
  <c r="D525" i="1"/>
  <c r="S525" i="1"/>
  <c r="K525" i="1"/>
  <c r="C525" i="1"/>
  <c r="Q525" i="1"/>
  <c r="I525" i="1"/>
  <c r="R525" i="1"/>
  <c r="B525" i="1"/>
  <c r="P525" i="1"/>
  <c r="H525" i="1"/>
  <c r="W525" i="1"/>
  <c r="F525" i="1"/>
  <c r="O525" i="1"/>
  <c r="N525" i="1"/>
  <c r="G525" i="1"/>
  <c r="J525" i="1"/>
  <c r="A526" i="1"/>
  <c r="V525" i="1"/>
  <c r="V526" i="1" l="1"/>
  <c r="N526" i="1"/>
  <c r="F526" i="1"/>
  <c r="U526" i="1"/>
  <c r="M526" i="1"/>
  <c r="E526" i="1"/>
  <c r="T526" i="1"/>
  <c r="L526" i="1"/>
  <c r="D526" i="1"/>
  <c r="R526" i="1"/>
  <c r="J526" i="1"/>
  <c r="B526" i="1"/>
  <c r="K526" i="1"/>
  <c r="I526" i="1"/>
  <c r="G526" i="1"/>
  <c r="Q526" i="1"/>
  <c r="A527" i="1"/>
  <c r="H526" i="1"/>
  <c r="W526" i="1"/>
  <c r="P526" i="1"/>
  <c r="O526" i="1"/>
  <c r="S526" i="1"/>
  <c r="C526" i="1"/>
  <c r="W527" i="1" l="1"/>
  <c r="O527" i="1"/>
  <c r="G527" i="1"/>
  <c r="V527" i="1"/>
  <c r="N527" i="1"/>
  <c r="F527" i="1"/>
  <c r="U527" i="1"/>
  <c r="M527" i="1"/>
  <c r="E527" i="1"/>
  <c r="S527" i="1"/>
  <c r="K527" i="1"/>
  <c r="C527" i="1"/>
  <c r="T527" i="1"/>
  <c r="D527" i="1"/>
  <c r="A528" i="1"/>
  <c r="R527" i="1"/>
  <c r="B527" i="1"/>
  <c r="P527" i="1"/>
  <c r="I527" i="1"/>
  <c r="H527" i="1"/>
  <c r="Q527" i="1"/>
  <c r="J527" i="1"/>
  <c r="L527" i="1"/>
  <c r="A529" i="1" l="1"/>
  <c r="P528" i="1"/>
  <c r="H528" i="1"/>
  <c r="W528" i="1"/>
  <c r="O528" i="1"/>
  <c r="G528" i="1"/>
  <c r="V528" i="1"/>
  <c r="N528" i="1"/>
  <c r="F528" i="1"/>
  <c r="T528" i="1"/>
  <c r="L528" i="1"/>
  <c r="D528" i="1"/>
  <c r="M528" i="1"/>
  <c r="S528" i="1"/>
  <c r="K528" i="1"/>
  <c r="I528" i="1"/>
  <c r="C528" i="1"/>
  <c r="J528" i="1"/>
  <c r="B528" i="1"/>
  <c r="Q528" i="1"/>
  <c r="U528" i="1"/>
  <c r="E528" i="1"/>
  <c r="R528" i="1"/>
  <c r="Q529" i="1" l="1"/>
  <c r="I529" i="1"/>
  <c r="A530" i="1"/>
  <c r="P529" i="1"/>
  <c r="H529" i="1"/>
  <c r="W529" i="1"/>
  <c r="O529" i="1"/>
  <c r="G529" i="1"/>
  <c r="U529" i="1"/>
  <c r="M529" i="1"/>
  <c r="E529" i="1"/>
  <c r="V529" i="1"/>
  <c r="F529" i="1"/>
  <c r="K529" i="1"/>
  <c r="T529" i="1"/>
  <c r="D529" i="1"/>
  <c r="B529" i="1"/>
  <c r="J529" i="1"/>
  <c r="S529" i="1"/>
  <c r="C529" i="1"/>
  <c r="R529" i="1"/>
  <c r="L529" i="1"/>
  <c r="N529" i="1"/>
  <c r="R530" i="1" l="1"/>
  <c r="J530" i="1"/>
  <c r="B530" i="1"/>
  <c r="Q530" i="1"/>
  <c r="I530" i="1"/>
  <c r="A531" i="1"/>
  <c r="P530" i="1"/>
  <c r="H530" i="1"/>
  <c r="V530" i="1"/>
  <c r="N530" i="1"/>
  <c r="F530" i="1"/>
  <c r="O530" i="1"/>
  <c r="K530" i="1"/>
  <c r="M530" i="1"/>
  <c r="E530" i="1"/>
  <c r="D530" i="1"/>
  <c r="L530" i="1"/>
  <c r="T530" i="1"/>
  <c r="S530" i="1"/>
  <c r="W530" i="1"/>
  <c r="G530" i="1"/>
  <c r="U530" i="1"/>
  <c r="C530" i="1"/>
  <c r="S531" i="1" l="1"/>
  <c r="K531" i="1"/>
  <c r="C531" i="1"/>
  <c r="R531" i="1"/>
  <c r="J531" i="1"/>
  <c r="B531" i="1"/>
  <c r="Q531" i="1"/>
  <c r="I531" i="1"/>
  <c r="W531" i="1"/>
  <c r="O531" i="1"/>
  <c r="G531" i="1"/>
  <c r="A532" i="1"/>
  <c r="H531" i="1"/>
  <c r="V531" i="1"/>
  <c r="F531" i="1"/>
  <c r="D531" i="1"/>
  <c r="L531" i="1"/>
  <c r="U531" i="1"/>
  <c r="E531" i="1"/>
  <c r="T531" i="1"/>
  <c r="N531" i="1"/>
  <c r="M531" i="1"/>
  <c r="P531" i="1"/>
  <c r="T532" i="1" l="1"/>
  <c r="L532" i="1"/>
  <c r="D532" i="1"/>
  <c r="S532" i="1"/>
  <c r="K532" i="1"/>
  <c r="C532" i="1"/>
  <c r="R532" i="1"/>
  <c r="J532" i="1"/>
  <c r="B532" i="1"/>
  <c r="A533" i="1"/>
  <c r="P532" i="1"/>
  <c r="H532" i="1"/>
  <c r="Q532" i="1"/>
  <c r="O532" i="1"/>
  <c r="M532" i="1"/>
  <c r="G532" i="1"/>
  <c r="F532" i="1"/>
  <c r="U532" i="1"/>
  <c r="N532" i="1"/>
  <c r="W532" i="1"/>
  <c r="E532" i="1"/>
  <c r="I532" i="1"/>
  <c r="V532" i="1"/>
  <c r="U533" i="1" l="1"/>
  <c r="M533" i="1"/>
  <c r="E533" i="1"/>
  <c r="T533" i="1"/>
  <c r="L533" i="1"/>
  <c r="D533" i="1"/>
  <c r="S533" i="1"/>
  <c r="K533" i="1"/>
  <c r="C533" i="1"/>
  <c r="Q533" i="1"/>
  <c r="I533" i="1"/>
  <c r="J533" i="1"/>
  <c r="A534" i="1"/>
  <c r="H533" i="1"/>
  <c r="V533" i="1"/>
  <c r="P533" i="1"/>
  <c r="W533" i="1"/>
  <c r="G533" i="1"/>
  <c r="F533" i="1"/>
  <c r="O533" i="1"/>
  <c r="R533" i="1"/>
  <c r="B533" i="1"/>
  <c r="N533" i="1"/>
  <c r="V534" i="1" l="1"/>
  <c r="N534" i="1"/>
  <c r="F534" i="1"/>
  <c r="U534" i="1"/>
  <c r="M534" i="1"/>
  <c r="E534" i="1"/>
  <c r="T534" i="1"/>
  <c r="L534" i="1"/>
  <c r="D534" i="1"/>
  <c r="R534" i="1"/>
  <c r="J534" i="1"/>
  <c r="B534" i="1"/>
  <c r="S534" i="1"/>
  <c r="C534" i="1"/>
  <c r="A535" i="1"/>
  <c r="W534" i="1"/>
  <c r="Q534" i="1"/>
  <c r="H534" i="1"/>
  <c r="P534" i="1"/>
  <c r="O534" i="1"/>
  <c r="I534" i="1"/>
  <c r="G534" i="1"/>
  <c r="K534" i="1"/>
  <c r="W535" i="1" l="1"/>
  <c r="O535" i="1"/>
  <c r="G535" i="1"/>
  <c r="V535" i="1"/>
  <c r="N535" i="1"/>
  <c r="F535" i="1"/>
  <c r="U535" i="1"/>
  <c r="M535" i="1"/>
  <c r="E535" i="1"/>
  <c r="S535" i="1"/>
  <c r="K535" i="1"/>
  <c r="C535" i="1"/>
  <c r="L535" i="1"/>
  <c r="J535" i="1"/>
  <c r="H535" i="1"/>
  <c r="B535" i="1"/>
  <c r="P535" i="1"/>
  <c r="I535" i="1"/>
  <c r="A536" i="1"/>
  <c r="Q535" i="1"/>
  <c r="T535" i="1"/>
  <c r="D535" i="1"/>
  <c r="R535" i="1"/>
  <c r="A537" i="1" l="1"/>
  <c r="P536" i="1"/>
  <c r="H536" i="1"/>
  <c r="W536" i="1"/>
  <c r="O536" i="1"/>
  <c r="G536" i="1"/>
  <c r="V536" i="1"/>
  <c r="N536" i="1"/>
  <c r="F536" i="1"/>
  <c r="T536" i="1"/>
  <c r="L536" i="1"/>
  <c r="D536" i="1"/>
  <c r="U536" i="1"/>
  <c r="E536" i="1"/>
  <c r="K536" i="1"/>
  <c r="S536" i="1"/>
  <c r="C536" i="1"/>
  <c r="Q536" i="1"/>
  <c r="J536" i="1"/>
  <c r="R536" i="1"/>
  <c r="B536" i="1"/>
  <c r="I536" i="1"/>
  <c r="M536" i="1"/>
  <c r="Q537" i="1" l="1"/>
  <c r="I537" i="1"/>
  <c r="A538" i="1"/>
  <c r="P537" i="1"/>
  <c r="H537" i="1"/>
  <c r="W537" i="1"/>
  <c r="O537" i="1"/>
  <c r="G537" i="1"/>
  <c r="U537" i="1"/>
  <c r="M537" i="1"/>
  <c r="E537" i="1"/>
  <c r="N537" i="1"/>
  <c r="L537" i="1"/>
  <c r="T537" i="1"/>
  <c r="K537" i="1"/>
  <c r="J537" i="1"/>
  <c r="D537" i="1"/>
  <c r="S537" i="1"/>
  <c r="B537" i="1"/>
  <c r="V537" i="1"/>
  <c r="F537" i="1"/>
  <c r="C537" i="1"/>
  <c r="R537" i="1"/>
  <c r="R538" i="1" l="1"/>
  <c r="J538" i="1"/>
  <c r="B538" i="1"/>
  <c r="Q538" i="1"/>
  <c r="I538" i="1"/>
  <c r="A539" i="1"/>
  <c r="P538" i="1"/>
  <c r="H538" i="1"/>
  <c r="V538" i="1"/>
  <c r="N538" i="1"/>
  <c r="F538" i="1"/>
  <c r="W538" i="1"/>
  <c r="G538" i="1"/>
  <c r="U538" i="1"/>
  <c r="E538" i="1"/>
  <c r="C538" i="1"/>
  <c r="L538" i="1"/>
  <c r="K538" i="1"/>
  <c r="T538" i="1"/>
  <c r="D538" i="1"/>
  <c r="S538" i="1"/>
  <c r="M538" i="1"/>
  <c r="O538" i="1"/>
  <c r="S539" i="1" l="1"/>
  <c r="K539" i="1"/>
  <c r="C539" i="1"/>
  <c r="R539" i="1"/>
  <c r="J539" i="1"/>
  <c r="B539" i="1"/>
  <c r="Q539" i="1"/>
  <c r="I539" i="1"/>
  <c r="W539" i="1"/>
  <c r="O539" i="1"/>
  <c r="G539" i="1"/>
  <c r="P539" i="1"/>
  <c r="N539" i="1"/>
  <c r="L539" i="1"/>
  <c r="F539" i="1"/>
  <c r="U539" i="1"/>
  <c r="T539" i="1"/>
  <c r="M539" i="1"/>
  <c r="E539" i="1"/>
  <c r="D539" i="1"/>
  <c r="A540" i="1"/>
  <c r="H539" i="1"/>
  <c r="V539" i="1"/>
  <c r="T540" i="1" l="1"/>
  <c r="L540" i="1"/>
  <c r="D540" i="1"/>
  <c r="S540" i="1"/>
  <c r="K540" i="1"/>
  <c r="C540" i="1"/>
  <c r="R540" i="1"/>
  <c r="J540" i="1"/>
  <c r="B540" i="1"/>
  <c r="A541" i="1"/>
  <c r="P540" i="1"/>
  <c r="H540" i="1"/>
  <c r="I540" i="1"/>
  <c r="E540" i="1"/>
  <c r="W540" i="1"/>
  <c r="G540" i="1"/>
  <c r="U540" i="1"/>
  <c r="V540" i="1"/>
  <c r="F540" i="1"/>
  <c r="O540" i="1"/>
  <c r="M540" i="1"/>
  <c r="Q540" i="1"/>
  <c r="N540" i="1"/>
  <c r="U541" i="1" l="1"/>
  <c r="M541" i="1"/>
  <c r="E541" i="1"/>
  <c r="T541" i="1"/>
  <c r="L541" i="1"/>
  <c r="D541" i="1"/>
  <c r="S541" i="1"/>
  <c r="K541" i="1"/>
  <c r="C541" i="1"/>
  <c r="Q541" i="1"/>
  <c r="I541" i="1"/>
  <c r="R541" i="1"/>
  <c r="B541" i="1"/>
  <c r="V541" i="1"/>
  <c r="P541" i="1"/>
  <c r="A542" i="1"/>
  <c r="H541" i="1"/>
  <c r="W541" i="1"/>
  <c r="O541" i="1"/>
  <c r="N541" i="1"/>
  <c r="G541" i="1"/>
  <c r="J541" i="1"/>
  <c r="F541" i="1"/>
  <c r="V542" i="1" l="1"/>
  <c r="N542" i="1"/>
  <c r="F542" i="1"/>
  <c r="U542" i="1"/>
  <c r="M542" i="1"/>
  <c r="E542" i="1"/>
  <c r="T542" i="1"/>
  <c r="L542" i="1"/>
  <c r="D542" i="1"/>
  <c r="R542" i="1"/>
  <c r="J542" i="1"/>
  <c r="B542" i="1"/>
  <c r="K542" i="1"/>
  <c r="P542" i="1"/>
  <c r="I542" i="1"/>
  <c r="W542" i="1"/>
  <c r="O542" i="1"/>
  <c r="A543" i="1"/>
  <c r="H542" i="1"/>
  <c r="G542" i="1"/>
  <c r="Q542" i="1"/>
  <c r="S542" i="1"/>
  <c r="C542" i="1"/>
  <c r="W543" i="1" l="1"/>
  <c r="O543" i="1"/>
  <c r="G543" i="1"/>
  <c r="V543" i="1"/>
  <c r="N543" i="1"/>
  <c r="F543" i="1"/>
  <c r="U543" i="1"/>
  <c r="M543" i="1"/>
  <c r="E543" i="1"/>
  <c r="S543" i="1"/>
  <c r="K543" i="1"/>
  <c r="C543" i="1"/>
  <c r="T543" i="1"/>
  <c r="D543" i="1"/>
  <c r="R543" i="1"/>
  <c r="B543" i="1"/>
  <c r="J543" i="1"/>
  <c r="A544" i="1"/>
  <c r="Q543" i="1"/>
  <c r="P543" i="1"/>
  <c r="I543" i="1"/>
  <c r="H543" i="1"/>
  <c r="L543" i="1"/>
  <c r="A545" i="1" l="1"/>
  <c r="P544" i="1"/>
  <c r="H544" i="1"/>
  <c r="W544" i="1"/>
  <c r="O544" i="1"/>
  <c r="G544" i="1"/>
  <c r="V544" i="1"/>
  <c r="N544" i="1"/>
  <c r="F544" i="1"/>
  <c r="T544" i="1"/>
  <c r="L544" i="1"/>
  <c r="D544" i="1"/>
  <c r="M544" i="1"/>
  <c r="K544" i="1"/>
  <c r="I544" i="1"/>
  <c r="B544" i="1"/>
  <c r="J544" i="1"/>
  <c r="S544" i="1"/>
  <c r="Q544" i="1"/>
  <c r="U544" i="1"/>
  <c r="E544" i="1"/>
  <c r="C544" i="1"/>
  <c r="R544" i="1"/>
  <c r="Q545" i="1" l="1"/>
  <c r="I545" i="1"/>
  <c r="A546" i="1"/>
  <c r="P545" i="1"/>
  <c r="H545" i="1"/>
  <c r="W545" i="1"/>
  <c r="O545" i="1"/>
  <c r="G545" i="1"/>
  <c r="U545" i="1"/>
  <c r="M545" i="1"/>
  <c r="E545" i="1"/>
  <c r="V545" i="1"/>
  <c r="F545" i="1"/>
  <c r="T545" i="1"/>
  <c r="D545" i="1"/>
  <c r="R545" i="1"/>
  <c r="L545" i="1"/>
  <c r="S545" i="1"/>
  <c r="C545" i="1"/>
  <c r="B545" i="1"/>
  <c r="K545" i="1"/>
  <c r="N545" i="1"/>
  <c r="J545" i="1"/>
  <c r="R546" i="1" l="1"/>
  <c r="J546" i="1"/>
  <c r="B546" i="1"/>
  <c r="Q546" i="1"/>
  <c r="I546" i="1"/>
  <c r="A547" i="1"/>
  <c r="P546" i="1"/>
  <c r="H546" i="1"/>
  <c r="V546" i="1"/>
  <c r="N546" i="1"/>
  <c r="F546" i="1"/>
  <c r="O546" i="1"/>
  <c r="E546" i="1"/>
  <c r="M546" i="1"/>
  <c r="D546" i="1"/>
  <c r="C546" i="1"/>
  <c r="L546" i="1"/>
  <c r="K546" i="1"/>
  <c r="U546" i="1"/>
  <c r="T546" i="1"/>
  <c r="S546" i="1"/>
  <c r="W546" i="1"/>
  <c r="G546" i="1"/>
  <c r="S547" i="1" l="1"/>
  <c r="K547" i="1"/>
  <c r="C547" i="1"/>
  <c r="R547" i="1"/>
  <c r="J547" i="1"/>
  <c r="B547" i="1"/>
  <c r="Q547" i="1"/>
  <c r="I547" i="1"/>
  <c r="W547" i="1"/>
  <c r="O547" i="1"/>
  <c r="G547" i="1"/>
  <c r="A548" i="1"/>
  <c r="H547" i="1"/>
  <c r="V547" i="1"/>
  <c r="F547" i="1"/>
  <c r="D547" i="1"/>
  <c r="N547" i="1"/>
  <c r="M547" i="1"/>
  <c r="U547" i="1"/>
  <c r="E547" i="1"/>
  <c r="T547" i="1"/>
  <c r="L547" i="1"/>
  <c r="P547" i="1"/>
  <c r="T548" i="1" l="1"/>
  <c r="L548" i="1"/>
  <c r="D548" i="1"/>
  <c r="S548" i="1"/>
  <c r="K548" i="1"/>
  <c r="C548" i="1"/>
  <c r="R548" i="1"/>
  <c r="J548" i="1"/>
  <c r="B548" i="1"/>
  <c r="A549" i="1"/>
  <c r="P548" i="1"/>
  <c r="H548" i="1"/>
  <c r="Q548" i="1"/>
  <c r="O548" i="1"/>
  <c r="M548" i="1"/>
  <c r="W548" i="1"/>
  <c r="E548" i="1"/>
  <c r="N548" i="1"/>
  <c r="V548" i="1"/>
  <c r="I548" i="1"/>
  <c r="G548" i="1"/>
  <c r="F548" i="1"/>
  <c r="U548" i="1"/>
  <c r="U549" i="1" l="1"/>
  <c r="M549" i="1"/>
  <c r="E549" i="1"/>
  <c r="T549" i="1"/>
  <c r="L549" i="1"/>
  <c r="D549" i="1"/>
  <c r="S549" i="1"/>
  <c r="K549" i="1"/>
  <c r="C549" i="1"/>
  <c r="Q549" i="1"/>
  <c r="I549" i="1"/>
  <c r="J549" i="1"/>
  <c r="O549" i="1"/>
  <c r="N549" i="1"/>
  <c r="A550" i="1"/>
  <c r="H549" i="1"/>
  <c r="V549" i="1"/>
  <c r="W549" i="1"/>
  <c r="G549" i="1"/>
  <c r="F549" i="1"/>
  <c r="P549" i="1"/>
  <c r="R549" i="1"/>
  <c r="B549" i="1"/>
  <c r="V550" i="1" l="1"/>
  <c r="N550" i="1"/>
  <c r="F550" i="1"/>
  <c r="U550" i="1"/>
  <c r="M550" i="1"/>
  <c r="E550" i="1"/>
  <c r="T550" i="1"/>
  <c r="L550" i="1"/>
  <c r="D550" i="1"/>
  <c r="R550" i="1"/>
  <c r="J550" i="1"/>
  <c r="B550" i="1"/>
  <c r="S550" i="1"/>
  <c r="C550" i="1"/>
  <c r="Q550" i="1"/>
  <c r="I550" i="1"/>
  <c r="H550" i="1"/>
  <c r="W550" i="1"/>
  <c r="P550" i="1"/>
  <c r="O550" i="1"/>
  <c r="A551" i="1"/>
  <c r="G550" i="1"/>
  <c r="K550" i="1"/>
  <c r="W551" i="1" l="1"/>
  <c r="O551" i="1"/>
  <c r="G551" i="1"/>
  <c r="V551" i="1"/>
  <c r="N551" i="1"/>
  <c r="F551" i="1"/>
  <c r="U551" i="1"/>
  <c r="M551" i="1"/>
  <c r="E551" i="1"/>
  <c r="S551" i="1"/>
  <c r="K551" i="1"/>
  <c r="C551" i="1"/>
  <c r="L551" i="1"/>
  <c r="J551" i="1"/>
  <c r="H551" i="1"/>
  <c r="R551" i="1"/>
  <c r="Q551" i="1"/>
  <c r="P551" i="1"/>
  <c r="I551" i="1"/>
  <c r="A552" i="1"/>
  <c r="B551" i="1"/>
  <c r="T551" i="1"/>
  <c r="D551" i="1"/>
  <c r="A553" i="1" l="1"/>
  <c r="P552" i="1"/>
  <c r="H552" i="1"/>
  <c r="W552" i="1"/>
  <c r="O552" i="1"/>
  <c r="G552" i="1"/>
  <c r="V552" i="1"/>
  <c r="N552" i="1"/>
  <c r="F552" i="1"/>
  <c r="T552" i="1"/>
  <c r="L552" i="1"/>
  <c r="D552" i="1"/>
  <c r="U552" i="1"/>
  <c r="E552" i="1"/>
  <c r="Q552" i="1"/>
  <c r="S552" i="1"/>
  <c r="C552" i="1"/>
  <c r="R552" i="1"/>
  <c r="B552" i="1"/>
  <c r="I552" i="1"/>
  <c r="M552" i="1"/>
  <c r="K552" i="1"/>
  <c r="J552" i="1"/>
  <c r="Q553" i="1" l="1"/>
  <c r="I553" i="1"/>
  <c r="A554" i="1"/>
  <c r="P553" i="1"/>
  <c r="H553" i="1"/>
  <c r="W553" i="1"/>
  <c r="O553" i="1"/>
  <c r="G553" i="1"/>
  <c r="U553" i="1"/>
  <c r="M553" i="1"/>
  <c r="E553" i="1"/>
  <c r="N553" i="1"/>
  <c r="L553" i="1"/>
  <c r="D553" i="1"/>
  <c r="S553" i="1"/>
  <c r="R553" i="1"/>
  <c r="K553" i="1"/>
  <c r="J553" i="1"/>
  <c r="T553" i="1"/>
  <c r="C553" i="1"/>
  <c r="V553" i="1"/>
  <c r="F553" i="1"/>
  <c r="B553" i="1"/>
  <c r="R554" i="1" l="1"/>
  <c r="J554" i="1"/>
  <c r="B554" i="1"/>
  <c r="Q554" i="1"/>
  <c r="I554" i="1"/>
  <c r="A555" i="1"/>
  <c r="P554" i="1"/>
  <c r="H554" i="1"/>
  <c r="V554" i="1"/>
  <c r="N554" i="1"/>
  <c r="F554" i="1"/>
  <c r="W554" i="1"/>
  <c r="G554" i="1"/>
  <c r="U554" i="1"/>
  <c r="E554" i="1"/>
  <c r="C554" i="1"/>
  <c r="M554" i="1"/>
  <c r="L554" i="1"/>
  <c r="T554" i="1"/>
  <c r="D554" i="1"/>
  <c r="S554" i="1"/>
  <c r="K554" i="1"/>
  <c r="O554" i="1"/>
  <c r="S555" i="1" l="1"/>
  <c r="K555" i="1"/>
  <c r="C555" i="1"/>
  <c r="R555" i="1"/>
  <c r="J555" i="1"/>
  <c r="B555" i="1"/>
  <c r="Q555" i="1"/>
  <c r="I555" i="1"/>
  <c r="W555" i="1"/>
  <c r="O555" i="1"/>
  <c r="G555" i="1"/>
  <c r="P555" i="1"/>
  <c r="U555" i="1"/>
  <c r="N555" i="1"/>
  <c r="L555" i="1"/>
  <c r="V555" i="1"/>
  <c r="D555" i="1"/>
  <c r="M555" i="1"/>
  <c r="F555" i="1"/>
  <c r="E555" i="1"/>
  <c r="T555" i="1"/>
  <c r="A556" i="1"/>
  <c r="H555" i="1"/>
  <c r="T556" i="1" l="1"/>
  <c r="L556" i="1"/>
  <c r="D556" i="1"/>
  <c r="S556" i="1"/>
  <c r="K556" i="1"/>
  <c r="C556" i="1"/>
  <c r="R556" i="1"/>
  <c r="J556" i="1"/>
  <c r="B556" i="1"/>
  <c r="A557" i="1"/>
  <c r="P556" i="1"/>
  <c r="H556" i="1"/>
  <c r="I556" i="1"/>
  <c r="W556" i="1"/>
  <c r="G556" i="1"/>
  <c r="N556" i="1"/>
  <c r="V556" i="1"/>
  <c r="F556" i="1"/>
  <c r="U556" i="1"/>
  <c r="E556" i="1"/>
  <c r="Q556" i="1"/>
  <c r="O556" i="1"/>
  <c r="M556" i="1"/>
  <c r="U557" i="1" l="1"/>
  <c r="M557" i="1"/>
  <c r="E557" i="1"/>
  <c r="T557" i="1"/>
  <c r="L557" i="1"/>
  <c r="D557" i="1"/>
  <c r="S557" i="1"/>
  <c r="K557" i="1"/>
  <c r="C557" i="1"/>
  <c r="Q557" i="1"/>
  <c r="I557" i="1"/>
  <c r="R557" i="1"/>
  <c r="B557" i="1"/>
  <c r="V557" i="1"/>
  <c r="P557" i="1"/>
  <c r="N557" i="1"/>
  <c r="A558" i="1"/>
  <c r="F557" i="1"/>
  <c r="O557" i="1"/>
  <c r="H557" i="1"/>
  <c r="W557" i="1"/>
  <c r="J557" i="1"/>
  <c r="G557" i="1"/>
  <c r="V558" i="1" l="1"/>
  <c r="N558" i="1"/>
  <c r="F558" i="1"/>
  <c r="U558" i="1"/>
  <c r="M558" i="1"/>
  <c r="E558" i="1"/>
  <c r="T558" i="1"/>
  <c r="L558" i="1"/>
  <c r="D558" i="1"/>
  <c r="R558" i="1"/>
  <c r="J558" i="1"/>
  <c r="B558" i="1"/>
  <c r="K558" i="1"/>
  <c r="I558" i="1"/>
  <c r="W558" i="1"/>
  <c r="Q558" i="1"/>
  <c r="P558" i="1"/>
  <c r="A559" i="1"/>
  <c r="H558" i="1"/>
  <c r="G558" i="1"/>
  <c r="O558" i="1"/>
  <c r="S558" i="1"/>
  <c r="C558" i="1"/>
  <c r="W559" i="1" l="1"/>
  <c r="O559" i="1"/>
  <c r="G559" i="1"/>
  <c r="V559" i="1"/>
  <c r="N559" i="1"/>
  <c r="F559" i="1"/>
  <c r="U559" i="1"/>
  <c r="M559" i="1"/>
  <c r="E559" i="1"/>
  <c r="S559" i="1"/>
  <c r="K559" i="1"/>
  <c r="C559" i="1"/>
  <c r="T559" i="1"/>
  <c r="D559" i="1"/>
  <c r="R559" i="1"/>
  <c r="B559" i="1"/>
  <c r="P559" i="1"/>
  <c r="H559" i="1"/>
  <c r="Q559" i="1"/>
  <c r="J559" i="1"/>
  <c r="I559" i="1"/>
  <c r="L559" i="1"/>
  <c r="A560" i="1"/>
  <c r="A561" i="1" l="1"/>
  <c r="P560" i="1"/>
  <c r="H560" i="1"/>
  <c r="W560" i="1"/>
  <c r="O560" i="1"/>
  <c r="G560" i="1"/>
  <c r="V560" i="1"/>
  <c r="N560" i="1"/>
  <c r="F560" i="1"/>
  <c r="T560" i="1"/>
  <c r="L560" i="1"/>
  <c r="D560" i="1"/>
  <c r="M560" i="1"/>
  <c r="K560" i="1"/>
  <c r="S560" i="1"/>
  <c r="B560" i="1"/>
  <c r="Q560" i="1"/>
  <c r="J560" i="1"/>
  <c r="I560" i="1"/>
  <c r="U560" i="1"/>
  <c r="E560" i="1"/>
  <c r="C560" i="1"/>
  <c r="R560" i="1"/>
  <c r="Q561" i="1" l="1"/>
  <c r="I561" i="1"/>
  <c r="A562" i="1"/>
  <c r="P561" i="1"/>
  <c r="H561" i="1"/>
  <c r="W561" i="1"/>
  <c r="O561" i="1"/>
  <c r="G561" i="1"/>
  <c r="U561" i="1"/>
  <c r="M561" i="1"/>
  <c r="E561" i="1"/>
  <c r="V561" i="1"/>
  <c r="F561" i="1"/>
  <c r="T561" i="1"/>
  <c r="D561" i="1"/>
  <c r="B561" i="1"/>
  <c r="S561" i="1"/>
  <c r="C561" i="1"/>
  <c r="R561" i="1"/>
  <c r="L561" i="1"/>
  <c r="K561" i="1"/>
  <c r="J561" i="1"/>
  <c r="N561" i="1"/>
  <c r="R562" i="1" l="1"/>
  <c r="J562" i="1"/>
  <c r="B562" i="1"/>
  <c r="Q562" i="1"/>
  <c r="I562" i="1"/>
  <c r="A563" i="1"/>
  <c r="P562" i="1"/>
  <c r="H562" i="1"/>
  <c r="V562" i="1"/>
  <c r="N562" i="1"/>
  <c r="F562" i="1"/>
  <c r="O562" i="1"/>
  <c r="T562" i="1"/>
  <c r="M562" i="1"/>
  <c r="K562" i="1"/>
  <c r="D562" i="1"/>
  <c r="C562" i="1"/>
  <c r="L562" i="1"/>
  <c r="U562" i="1"/>
  <c r="S562" i="1"/>
  <c r="W562" i="1"/>
  <c r="G562" i="1"/>
  <c r="E562" i="1"/>
  <c r="S563" i="1" l="1"/>
  <c r="K563" i="1"/>
  <c r="C563" i="1"/>
  <c r="R563" i="1"/>
  <c r="J563" i="1"/>
  <c r="B563" i="1"/>
  <c r="Q563" i="1"/>
  <c r="I563" i="1"/>
  <c r="W563" i="1"/>
  <c r="O563" i="1"/>
  <c r="G563" i="1"/>
  <c r="A564" i="1"/>
  <c r="H563" i="1"/>
  <c r="V563" i="1"/>
  <c r="F563" i="1"/>
  <c r="T563" i="1"/>
  <c r="L563" i="1"/>
  <c r="U563" i="1"/>
  <c r="E563" i="1"/>
  <c r="D563" i="1"/>
  <c r="P563" i="1"/>
  <c r="N563" i="1"/>
  <c r="M563" i="1"/>
  <c r="T564" i="1" l="1"/>
  <c r="L564" i="1"/>
  <c r="D564" i="1"/>
  <c r="S564" i="1"/>
  <c r="K564" i="1"/>
  <c r="C564" i="1"/>
  <c r="R564" i="1"/>
  <c r="J564" i="1"/>
  <c r="B564" i="1"/>
  <c r="A565" i="1"/>
  <c r="P564" i="1"/>
  <c r="H564" i="1"/>
  <c r="Q564" i="1"/>
  <c r="O564" i="1"/>
  <c r="G564" i="1"/>
  <c r="F564" i="1"/>
  <c r="N564" i="1"/>
  <c r="M564" i="1"/>
  <c r="W564" i="1"/>
  <c r="V564" i="1"/>
  <c r="E564" i="1"/>
  <c r="I564" i="1"/>
  <c r="U564" i="1"/>
  <c r="U565" i="1" l="1"/>
  <c r="M565" i="1"/>
  <c r="E565" i="1"/>
  <c r="T565" i="1"/>
  <c r="L565" i="1"/>
  <c r="D565" i="1"/>
  <c r="S565" i="1"/>
  <c r="K565" i="1"/>
  <c r="C565" i="1"/>
  <c r="Q565" i="1"/>
  <c r="I565" i="1"/>
  <c r="J565" i="1"/>
  <c r="A566" i="1"/>
  <c r="H565" i="1"/>
  <c r="V565" i="1"/>
  <c r="O565" i="1"/>
  <c r="N565" i="1"/>
  <c r="W565" i="1"/>
  <c r="G565" i="1"/>
  <c r="F565" i="1"/>
  <c r="R565" i="1"/>
  <c r="B565" i="1"/>
  <c r="P565" i="1"/>
  <c r="V566" i="1" l="1"/>
  <c r="N566" i="1"/>
  <c r="F566" i="1"/>
  <c r="U566" i="1"/>
  <c r="M566" i="1"/>
  <c r="E566" i="1"/>
  <c r="T566" i="1"/>
  <c r="L566" i="1"/>
  <c r="D566" i="1"/>
  <c r="R566" i="1"/>
  <c r="J566" i="1"/>
  <c r="B566" i="1"/>
  <c r="S566" i="1"/>
  <c r="C566" i="1"/>
  <c r="W566" i="1"/>
  <c r="Q566" i="1"/>
  <c r="A567" i="1"/>
  <c r="P566" i="1"/>
  <c r="O566" i="1"/>
  <c r="H566" i="1"/>
  <c r="G566" i="1"/>
  <c r="K566" i="1"/>
  <c r="I566" i="1"/>
  <c r="W567" i="1" l="1"/>
  <c r="O567" i="1"/>
  <c r="G567" i="1"/>
  <c r="V567" i="1"/>
  <c r="N567" i="1"/>
  <c r="F567" i="1"/>
  <c r="U567" i="1"/>
  <c r="M567" i="1"/>
  <c r="E567" i="1"/>
  <c r="S567" i="1"/>
  <c r="K567" i="1"/>
  <c r="C567" i="1"/>
  <c r="L567" i="1"/>
  <c r="A568" i="1"/>
  <c r="J567" i="1"/>
  <c r="H567" i="1"/>
  <c r="P567" i="1"/>
  <c r="I567" i="1"/>
  <c r="Q567" i="1"/>
  <c r="T567" i="1"/>
  <c r="D567" i="1"/>
  <c r="R567" i="1"/>
  <c r="B567" i="1"/>
  <c r="A569" i="1" l="1"/>
  <c r="P568" i="1"/>
  <c r="H568" i="1"/>
  <c r="W568" i="1"/>
  <c r="O568" i="1"/>
  <c r="G568" i="1"/>
  <c r="V568" i="1"/>
  <c r="N568" i="1"/>
  <c r="F568" i="1"/>
  <c r="T568" i="1"/>
  <c r="L568" i="1"/>
  <c r="D568" i="1"/>
  <c r="U568" i="1"/>
  <c r="E568" i="1"/>
  <c r="S568" i="1"/>
  <c r="C568" i="1"/>
  <c r="R568" i="1"/>
  <c r="B568" i="1"/>
  <c r="Q568" i="1"/>
  <c r="I568" i="1"/>
  <c r="M568" i="1"/>
  <c r="K568" i="1"/>
  <c r="J568" i="1"/>
  <c r="Q569" i="1" l="1"/>
  <c r="I569" i="1"/>
  <c r="A570" i="1"/>
  <c r="P569" i="1"/>
  <c r="H569" i="1"/>
  <c r="W569" i="1"/>
  <c r="O569" i="1"/>
  <c r="G569" i="1"/>
  <c r="U569" i="1"/>
  <c r="M569" i="1"/>
  <c r="E569" i="1"/>
  <c r="N569" i="1"/>
  <c r="L569" i="1"/>
  <c r="J569" i="1"/>
  <c r="C569" i="1"/>
  <c r="R569" i="1"/>
  <c r="K569" i="1"/>
  <c r="S569" i="1"/>
  <c r="V569" i="1"/>
  <c r="F569" i="1"/>
  <c r="T569" i="1"/>
  <c r="D569" i="1"/>
  <c r="B569" i="1"/>
  <c r="R570" i="1" l="1"/>
  <c r="J570" i="1"/>
  <c r="B570" i="1"/>
  <c r="Q570" i="1"/>
  <c r="I570" i="1"/>
  <c r="A571" i="1"/>
  <c r="P570" i="1"/>
  <c r="H570" i="1"/>
  <c r="V570" i="1"/>
  <c r="N570" i="1"/>
  <c r="F570" i="1"/>
  <c r="W570" i="1"/>
  <c r="G570" i="1"/>
  <c r="L570" i="1"/>
  <c r="U570" i="1"/>
  <c r="E570" i="1"/>
  <c r="S570" i="1"/>
  <c r="T570" i="1"/>
  <c r="D570" i="1"/>
  <c r="C570" i="1"/>
  <c r="K570" i="1"/>
  <c r="O570" i="1"/>
  <c r="M570" i="1"/>
  <c r="S571" i="1" l="1"/>
  <c r="K571" i="1"/>
  <c r="C571" i="1"/>
  <c r="R571" i="1"/>
  <c r="J571" i="1"/>
  <c r="B571" i="1"/>
  <c r="Q571" i="1"/>
  <c r="I571" i="1"/>
  <c r="W571" i="1"/>
  <c r="O571" i="1"/>
  <c r="G571" i="1"/>
  <c r="P571" i="1"/>
  <c r="N571" i="1"/>
  <c r="L571" i="1"/>
  <c r="E571" i="1"/>
  <c r="D571" i="1"/>
  <c r="M571" i="1"/>
  <c r="U571" i="1"/>
  <c r="T571" i="1"/>
  <c r="A572" i="1"/>
  <c r="H571" i="1"/>
  <c r="V571" i="1"/>
  <c r="F571" i="1"/>
  <c r="T572" i="1" l="1"/>
  <c r="L572" i="1"/>
  <c r="D572" i="1"/>
  <c r="S572" i="1"/>
  <c r="K572" i="1"/>
  <c r="C572" i="1"/>
  <c r="R572" i="1"/>
  <c r="J572" i="1"/>
  <c r="B572" i="1"/>
  <c r="A573" i="1"/>
  <c r="P572" i="1"/>
  <c r="H572" i="1"/>
  <c r="I572" i="1"/>
  <c r="W572" i="1"/>
  <c r="G572" i="1"/>
  <c r="U572" i="1"/>
  <c r="M572" i="1"/>
  <c r="V572" i="1"/>
  <c r="F572" i="1"/>
  <c r="E572" i="1"/>
  <c r="Q572" i="1"/>
  <c r="O572" i="1"/>
  <c r="N572" i="1"/>
  <c r="U573" i="1" l="1"/>
  <c r="M573" i="1"/>
  <c r="E573" i="1"/>
  <c r="T573" i="1"/>
  <c r="L573" i="1"/>
  <c r="D573" i="1"/>
  <c r="S573" i="1"/>
  <c r="K573" i="1"/>
  <c r="C573" i="1"/>
  <c r="Q573" i="1"/>
  <c r="I573" i="1"/>
  <c r="R573" i="1"/>
  <c r="B573" i="1"/>
  <c r="P573" i="1"/>
  <c r="G573" i="1"/>
  <c r="O573" i="1"/>
  <c r="N573" i="1"/>
  <c r="W573" i="1"/>
  <c r="V573" i="1"/>
  <c r="J573" i="1"/>
  <c r="A574" i="1"/>
  <c r="H573" i="1"/>
  <c r="F573" i="1"/>
  <c r="V574" i="1" l="1"/>
  <c r="N574" i="1"/>
  <c r="F574" i="1"/>
  <c r="U574" i="1"/>
  <c r="M574" i="1"/>
  <c r="E574" i="1"/>
  <c r="T574" i="1"/>
  <c r="L574" i="1"/>
  <c r="D574" i="1"/>
  <c r="R574" i="1"/>
  <c r="J574" i="1"/>
  <c r="B574" i="1"/>
  <c r="K574" i="1"/>
  <c r="I574" i="1"/>
  <c r="G574" i="1"/>
  <c r="P574" i="1"/>
  <c r="O574" i="1"/>
  <c r="A575" i="1"/>
  <c r="H574" i="1"/>
  <c r="W574" i="1"/>
  <c r="Q574" i="1"/>
  <c r="S574" i="1"/>
  <c r="C574" i="1"/>
  <c r="W575" i="1" l="1"/>
  <c r="O575" i="1"/>
  <c r="G575" i="1"/>
  <c r="V575" i="1"/>
  <c r="N575" i="1"/>
  <c r="F575" i="1"/>
  <c r="U575" i="1"/>
  <c r="M575" i="1"/>
  <c r="E575" i="1"/>
  <c r="S575" i="1"/>
  <c r="K575" i="1"/>
  <c r="C575" i="1"/>
  <c r="T575" i="1"/>
  <c r="D575" i="1"/>
  <c r="R575" i="1"/>
  <c r="B575" i="1"/>
  <c r="P575" i="1"/>
  <c r="J575" i="1"/>
  <c r="I575" i="1"/>
  <c r="H575" i="1"/>
  <c r="Q575" i="1"/>
  <c r="A576" i="1"/>
  <c r="L575" i="1"/>
  <c r="A577" i="1" l="1"/>
  <c r="P576" i="1"/>
  <c r="H576" i="1"/>
  <c r="W576" i="1"/>
  <c r="O576" i="1"/>
  <c r="G576" i="1"/>
  <c r="V576" i="1"/>
  <c r="N576" i="1"/>
  <c r="F576" i="1"/>
  <c r="T576" i="1"/>
  <c r="L576" i="1"/>
  <c r="D576" i="1"/>
  <c r="M576" i="1"/>
  <c r="C576" i="1"/>
  <c r="Q576" i="1"/>
  <c r="K576" i="1"/>
  <c r="J576" i="1"/>
  <c r="I576" i="1"/>
  <c r="R576" i="1"/>
  <c r="U576" i="1"/>
  <c r="E576" i="1"/>
  <c r="S576" i="1"/>
  <c r="B576" i="1"/>
  <c r="V577" i="1" l="1"/>
  <c r="N577" i="1"/>
  <c r="U577" i="1"/>
  <c r="M577" i="1"/>
  <c r="E577" i="1"/>
  <c r="T577" i="1"/>
  <c r="L577" i="1"/>
  <c r="R577" i="1"/>
  <c r="J577" i="1"/>
  <c r="K577" i="1"/>
  <c r="I577" i="1"/>
  <c r="A578" i="1"/>
  <c r="H577" i="1"/>
  <c r="S577" i="1"/>
  <c r="F577" i="1"/>
  <c r="G577" i="1"/>
  <c r="D577" i="1"/>
  <c r="B577" i="1"/>
  <c r="P577" i="1"/>
  <c r="C577" i="1"/>
  <c r="W577" i="1"/>
  <c r="Q577" i="1"/>
  <c r="O577" i="1"/>
  <c r="W578" i="1" l="1"/>
  <c r="O578" i="1"/>
  <c r="G578" i="1"/>
  <c r="V578" i="1"/>
  <c r="N578" i="1"/>
  <c r="F578" i="1"/>
  <c r="U578" i="1"/>
  <c r="M578" i="1"/>
  <c r="E578" i="1"/>
  <c r="S578" i="1"/>
  <c r="K578" i="1"/>
  <c r="C578" i="1"/>
  <c r="T578" i="1"/>
  <c r="D578" i="1"/>
  <c r="R578" i="1"/>
  <c r="B578" i="1"/>
  <c r="Q578" i="1"/>
  <c r="L578" i="1"/>
  <c r="P578" i="1"/>
  <c r="J578" i="1"/>
  <c r="A579" i="1"/>
  <c r="I578" i="1"/>
  <c r="H578" i="1"/>
  <c r="A580" i="1" l="1"/>
  <c r="P579" i="1"/>
  <c r="H579" i="1"/>
  <c r="W579" i="1"/>
  <c r="O579" i="1"/>
  <c r="G579" i="1"/>
  <c r="V579" i="1"/>
  <c r="N579" i="1"/>
  <c r="F579" i="1"/>
  <c r="T579" i="1"/>
  <c r="L579" i="1"/>
  <c r="D579" i="1"/>
  <c r="M579" i="1"/>
  <c r="K579" i="1"/>
  <c r="J579" i="1"/>
  <c r="U579" i="1"/>
  <c r="E579" i="1"/>
  <c r="S579" i="1"/>
  <c r="Q579" i="1"/>
  <c r="R579" i="1"/>
  <c r="B579" i="1"/>
  <c r="I579" i="1"/>
  <c r="C579" i="1"/>
  <c r="Q580" i="1" l="1"/>
  <c r="I580" i="1"/>
  <c r="A581" i="1"/>
  <c r="P580" i="1"/>
  <c r="H580" i="1"/>
  <c r="W580" i="1"/>
  <c r="O580" i="1"/>
  <c r="G580" i="1"/>
  <c r="U580" i="1"/>
  <c r="M580" i="1"/>
  <c r="E580" i="1"/>
  <c r="V580" i="1"/>
  <c r="F580" i="1"/>
  <c r="T580" i="1"/>
  <c r="D580" i="1"/>
  <c r="S580" i="1"/>
  <c r="C580" i="1"/>
  <c r="N580" i="1"/>
  <c r="B580" i="1"/>
  <c r="K580" i="1"/>
  <c r="J580" i="1"/>
  <c r="R580" i="1"/>
  <c r="L580" i="1"/>
  <c r="R581" i="1" l="1"/>
  <c r="J581" i="1"/>
  <c r="B581" i="1"/>
  <c r="Q581" i="1"/>
  <c r="I581" i="1"/>
  <c r="A582" i="1"/>
  <c r="P581" i="1"/>
  <c r="H581" i="1"/>
  <c r="V581" i="1"/>
  <c r="N581" i="1"/>
  <c r="F581" i="1"/>
  <c r="O581" i="1"/>
  <c r="M581" i="1"/>
  <c r="L581" i="1"/>
  <c r="W581" i="1"/>
  <c r="G581" i="1"/>
  <c r="K581" i="1"/>
  <c r="E581" i="1"/>
  <c r="T581" i="1"/>
  <c r="D581" i="1"/>
  <c r="C581" i="1"/>
  <c r="S581" i="1"/>
  <c r="U581" i="1"/>
  <c r="S582" i="1" l="1"/>
  <c r="K582" i="1"/>
  <c r="C582" i="1"/>
  <c r="R582" i="1"/>
  <c r="J582" i="1"/>
  <c r="B582" i="1"/>
  <c r="Q582" i="1"/>
  <c r="I582" i="1"/>
  <c r="W582" i="1"/>
  <c r="O582" i="1"/>
  <c r="G582" i="1"/>
  <c r="A583" i="1"/>
  <c r="H582" i="1"/>
  <c r="V582" i="1"/>
  <c r="F582" i="1"/>
  <c r="U582" i="1"/>
  <c r="E582" i="1"/>
  <c r="P582" i="1"/>
  <c r="T582" i="1"/>
  <c r="N582" i="1"/>
  <c r="L582" i="1"/>
  <c r="M582" i="1"/>
  <c r="D582" i="1"/>
  <c r="T583" i="1" l="1"/>
  <c r="L583" i="1"/>
  <c r="D583" i="1"/>
  <c r="S583" i="1"/>
  <c r="K583" i="1"/>
  <c r="C583" i="1"/>
  <c r="R583" i="1"/>
  <c r="J583" i="1"/>
  <c r="B583" i="1"/>
  <c r="A584" i="1"/>
  <c r="P583" i="1"/>
  <c r="H583" i="1"/>
  <c r="Q583" i="1"/>
  <c r="O583" i="1"/>
  <c r="N583" i="1"/>
  <c r="I583" i="1"/>
  <c r="W583" i="1"/>
  <c r="E583" i="1"/>
  <c r="V583" i="1"/>
  <c r="U583" i="1"/>
  <c r="F583" i="1"/>
  <c r="M583" i="1"/>
  <c r="G583" i="1"/>
  <c r="U584" i="1" l="1"/>
  <c r="M584" i="1"/>
  <c r="E584" i="1"/>
  <c r="T584" i="1"/>
  <c r="L584" i="1"/>
  <c r="D584" i="1"/>
  <c r="S584" i="1"/>
  <c r="K584" i="1"/>
  <c r="C584" i="1"/>
  <c r="Q584" i="1"/>
  <c r="I584" i="1"/>
  <c r="J584" i="1"/>
  <c r="A585" i="1"/>
  <c r="H584" i="1"/>
  <c r="W584" i="1"/>
  <c r="G584" i="1"/>
  <c r="R584" i="1"/>
  <c r="B584" i="1"/>
  <c r="F584" i="1"/>
  <c r="V584" i="1"/>
  <c r="P584" i="1"/>
  <c r="O584" i="1"/>
  <c r="N584" i="1"/>
  <c r="V585" i="1" l="1"/>
  <c r="N585" i="1"/>
  <c r="F585" i="1"/>
  <c r="U585" i="1"/>
  <c r="M585" i="1"/>
  <c r="E585" i="1"/>
  <c r="T585" i="1"/>
  <c r="L585" i="1"/>
  <c r="D585" i="1"/>
  <c r="R585" i="1"/>
  <c r="J585" i="1"/>
  <c r="B585" i="1"/>
  <c r="S585" i="1"/>
  <c r="C585" i="1"/>
  <c r="Q585" i="1"/>
  <c r="P585" i="1"/>
  <c r="K585" i="1"/>
  <c r="O585" i="1"/>
  <c r="I585" i="1"/>
  <c r="G585" i="1"/>
  <c r="A586" i="1"/>
  <c r="H585" i="1"/>
  <c r="W585" i="1"/>
  <c r="W586" i="1" l="1"/>
  <c r="O586" i="1"/>
  <c r="G586" i="1"/>
  <c r="V586" i="1"/>
  <c r="N586" i="1"/>
  <c r="F586" i="1"/>
  <c r="U586" i="1"/>
  <c r="M586" i="1"/>
  <c r="E586" i="1"/>
  <c r="S586" i="1"/>
  <c r="K586" i="1"/>
  <c r="C586" i="1"/>
  <c r="L586" i="1"/>
  <c r="J586" i="1"/>
  <c r="I586" i="1"/>
  <c r="T586" i="1"/>
  <c r="D586" i="1"/>
  <c r="A587" i="1"/>
  <c r="R586" i="1"/>
  <c r="Q586" i="1"/>
  <c r="P586" i="1"/>
  <c r="H586" i="1"/>
  <c r="B586" i="1"/>
  <c r="A588" i="1" l="1"/>
  <c r="P587" i="1"/>
  <c r="H587" i="1"/>
  <c r="W587" i="1"/>
  <c r="O587" i="1"/>
  <c r="G587" i="1"/>
  <c r="V587" i="1"/>
  <c r="N587" i="1"/>
  <c r="F587" i="1"/>
  <c r="T587" i="1"/>
  <c r="L587" i="1"/>
  <c r="D587" i="1"/>
  <c r="U587" i="1"/>
  <c r="E587" i="1"/>
  <c r="S587" i="1"/>
  <c r="C587" i="1"/>
  <c r="R587" i="1"/>
  <c r="B587" i="1"/>
  <c r="M587" i="1"/>
  <c r="I587" i="1"/>
  <c r="J587" i="1"/>
  <c r="Q587" i="1"/>
  <c r="K587" i="1"/>
  <c r="Q588" i="1" l="1"/>
  <c r="I588" i="1"/>
  <c r="A589" i="1"/>
  <c r="P588" i="1"/>
  <c r="H588" i="1"/>
  <c r="W588" i="1"/>
  <c r="O588" i="1"/>
  <c r="G588" i="1"/>
  <c r="U588" i="1"/>
  <c r="M588" i="1"/>
  <c r="E588" i="1"/>
  <c r="N588" i="1"/>
  <c r="L588" i="1"/>
  <c r="K588" i="1"/>
  <c r="V588" i="1"/>
  <c r="F588" i="1"/>
  <c r="J588" i="1"/>
  <c r="D588" i="1"/>
  <c r="S588" i="1"/>
  <c r="C588" i="1"/>
  <c r="B588" i="1"/>
  <c r="R588" i="1"/>
  <c r="T588" i="1"/>
  <c r="R589" i="1" l="1"/>
  <c r="J589" i="1"/>
  <c r="B589" i="1"/>
  <c r="Q589" i="1"/>
  <c r="I589" i="1"/>
  <c r="A590" i="1"/>
  <c r="P589" i="1"/>
  <c r="H589" i="1"/>
  <c r="V589" i="1"/>
  <c r="N589" i="1"/>
  <c r="F589" i="1"/>
  <c r="W589" i="1"/>
  <c r="G589" i="1"/>
  <c r="U589" i="1"/>
  <c r="E589" i="1"/>
  <c r="T589" i="1"/>
  <c r="D589" i="1"/>
  <c r="O589" i="1"/>
  <c r="S589" i="1"/>
  <c r="M589" i="1"/>
  <c r="K589" i="1"/>
  <c r="L589" i="1"/>
  <c r="C589" i="1"/>
  <c r="S590" i="1" l="1"/>
  <c r="K590" i="1"/>
  <c r="C590" i="1"/>
  <c r="R590" i="1"/>
  <c r="J590" i="1"/>
  <c r="B590" i="1"/>
  <c r="Q590" i="1"/>
  <c r="I590" i="1"/>
  <c r="W590" i="1"/>
  <c r="O590" i="1"/>
  <c r="G590" i="1"/>
  <c r="P590" i="1"/>
  <c r="N590" i="1"/>
  <c r="M590" i="1"/>
  <c r="A591" i="1"/>
  <c r="H590" i="1"/>
  <c r="V590" i="1"/>
  <c r="D590" i="1"/>
  <c r="U590" i="1"/>
  <c r="T590" i="1"/>
  <c r="E590" i="1"/>
  <c r="L590" i="1"/>
  <c r="F590" i="1"/>
  <c r="T591" i="1" l="1"/>
  <c r="L591" i="1"/>
  <c r="D591" i="1"/>
  <c r="S591" i="1"/>
  <c r="K591" i="1"/>
  <c r="C591" i="1"/>
  <c r="R591" i="1"/>
  <c r="J591" i="1"/>
  <c r="B591" i="1"/>
  <c r="A592" i="1"/>
  <c r="P591" i="1"/>
  <c r="H591" i="1"/>
  <c r="I591" i="1"/>
  <c r="W591" i="1"/>
  <c r="G591" i="1"/>
  <c r="V591" i="1"/>
  <c r="F591" i="1"/>
  <c r="Q591" i="1"/>
  <c r="E591" i="1"/>
  <c r="U591" i="1"/>
  <c r="O591" i="1"/>
  <c r="N591" i="1"/>
  <c r="M591" i="1"/>
  <c r="U592" i="1" l="1"/>
  <c r="M592" i="1"/>
  <c r="E592" i="1"/>
  <c r="T592" i="1"/>
  <c r="L592" i="1"/>
  <c r="D592" i="1"/>
  <c r="S592" i="1"/>
  <c r="K592" i="1"/>
  <c r="C592" i="1"/>
  <c r="Q592" i="1"/>
  <c r="I592" i="1"/>
  <c r="R592" i="1"/>
  <c r="B592" i="1"/>
  <c r="P592" i="1"/>
  <c r="O592" i="1"/>
  <c r="J592" i="1"/>
  <c r="N592" i="1"/>
  <c r="H592" i="1"/>
  <c r="F592" i="1"/>
  <c r="W592" i="1"/>
  <c r="G592" i="1"/>
  <c r="V592" i="1"/>
  <c r="A593" i="1"/>
  <c r="V593" i="1" l="1"/>
  <c r="N593" i="1"/>
  <c r="F593" i="1"/>
  <c r="U593" i="1"/>
  <c r="M593" i="1"/>
  <c r="E593" i="1"/>
  <c r="T593" i="1"/>
  <c r="L593" i="1"/>
  <c r="D593" i="1"/>
  <c r="R593" i="1"/>
  <c r="J593" i="1"/>
  <c r="B593" i="1"/>
  <c r="K593" i="1"/>
  <c r="I593" i="1"/>
  <c r="A594" i="1"/>
  <c r="H593" i="1"/>
  <c r="S593" i="1"/>
  <c r="C593" i="1"/>
  <c r="W593" i="1"/>
  <c r="Q593" i="1"/>
  <c r="O593" i="1"/>
  <c r="P593" i="1"/>
  <c r="G593" i="1"/>
  <c r="W594" i="1" l="1"/>
  <c r="O594" i="1"/>
  <c r="G594" i="1"/>
  <c r="V594" i="1"/>
  <c r="N594" i="1"/>
  <c r="F594" i="1"/>
  <c r="U594" i="1"/>
  <c r="M594" i="1"/>
  <c r="E594" i="1"/>
  <c r="S594" i="1"/>
  <c r="K594" i="1"/>
  <c r="C594" i="1"/>
  <c r="T594" i="1"/>
  <c r="D594" i="1"/>
  <c r="R594" i="1"/>
  <c r="B594" i="1"/>
  <c r="Q594" i="1"/>
  <c r="L594" i="1"/>
  <c r="H594" i="1"/>
  <c r="A595" i="1"/>
  <c r="I594" i="1"/>
  <c r="P594" i="1"/>
  <c r="J594" i="1"/>
  <c r="A596" i="1" l="1"/>
  <c r="P595" i="1"/>
  <c r="H595" i="1"/>
  <c r="W595" i="1"/>
  <c r="O595" i="1"/>
  <c r="G595" i="1"/>
  <c r="V595" i="1"/>
  <c r="N595" i="1"/>
  <c r="F595" i="1"/>
  <c r="T595" i="1"/>
  <c r="L595" i="1"/>
  <c r="D595" i="1"/>
  <c r="M595" i="1"/>
  <c r="K595" i="1"/>
  <c r="J595" i="1"/>
  <c r="U595" i="1"/>
  <c r="E595" i="1"/>
  <c r="I595" i="1"/>
  <c r="Q595" i="1"/>
  <c r="C595" i="1"/>
  <c r="R595" i="1"/>
  <c r="B595" i="1"/>
  <c r="S595" i="1"/>
  <c r="Q596" i="1" l="1"/>
  <c r="I596" i="1"/>
  <c r="A597" i="1"/>
  <c r="P596" i="1"/>
  <c r="H596" i="1"/>
  <c r="W596" i="1"/>
  <c r="O596" i="1"/>
  <c r="G596" i="1"/>
  <c r="U596" i="1"/>
  <c r="M596" i="1"/>
  <c r="E596" i="1"/>
  <c r="V596" i="1"/>
  <c r="F596" i="1"/>
  <c r="T596" i="1"/>
  <c r="D596" i="1"/>
  <c r="S596" i="1"/>
  <c r="C596" i="1"/>
  <c r="N596" i="1"/>
  <c r="R596" i="1"/>
  <c r="L596" i="1"/>
  <c r="J596" i="1"/>
  <c r="K596" i="1"/>
  <c r="B596" i="1"/>
  <c r="R597" i="1" l="1"/>
  <c r="J597" i="1"/>
  <c r="B597" i="1"/>
  <c r="Q597" i="1"/>
  <c r="I597" i="1"/>
  <c r="A598" i="1"/>
  <c r="P597" i="1"/>
  <c r="H597" i="1"/>
  <c r="V597" i="1"/>
  <c r="N597" i="1"/>
  <c r="F597" i="1"/>
  <c r="O597" i="1"/>
  <c r="M597" i="1"/>
  <c r="L597" i="1"/>
  <c r="W597" i="1"/>
  <c r="G597" i="1"/>
  <c r="U597" i="1"/>
  <c r="T597" i="1"/>
  <c r="S597" i="1"/>
  <c r="D597" i="1"/>
  <c r="C597" i="1"/>
  <c r="K597" i="1"/>
  <c r="E597" i="1"/>
  <c r="S598" i="1" l="1"/>
  <c r="K598" i="1"/>
  <c r="C598" i="1"/>
  <c r="R598" i="1"/>
  <c r="J598" i="1"/>
  <c r="B598" i="1"/>
  <c r="Q598" i="1"/>
  <c r="I598" i="1"/>
  <c r="W598" i="1"/>
  <c r="O598" i="1"/>
  <c r="G598" i="1"/>
  <c r="A599" i="1"/>
  <c r="H598" i="1"/>
  <c r="V598" i="1"/>
  <c r="F598" i="1"/>
  <c r="U598" i="1"/>
  <c r="E598" i="1"/>
  <c r="P598" i="1"/>
  <c r="D598" i="1"/>
  <c r="M598" i="1"/>
  <c r="L598" i="1"/>
  <c r="T598" i="1"/>
  <c r="N598" i="1"/>
  <c r="T599" i="1" l="1"/>
  <c r="L599" i="1"/>
  <c r="D599" i="1"/>
  <c r="S599" i="1"/>
  <c r="K599" i="1"/>
  <c r="C599" i="1"/>
  <c r="R599" i="1"/>
  <c r="J599" i="1"/>
  <c r="B599" i="1"/>
  <c r="A600" i="1"/>
  <c r="P599" i="1"/>
  <c r="H599" i="1"/>
  <c r="Q599" i="1"/>
  <c r="O599" i="1"/>
  <c r="N599" i="1"/>
  <c r="I599" i="1"/>
  <c r="M599" i="1"/>
  <c r="G599" i="1"/>
  <c r="E599" i="1"/>
  <c r="F599" i="1"/>
  <c r="W599" i="1"/>
  <c r="V599" i="1"/>
  <c r="U599" i="1"/>
  <c r="U600" i="1" l="1"/>
  <c r="M600" i="1"/>
  <c r="E600" i="1"/>
  <c r="T600" i="1"/>
  <c r="L600" i="1"/>
  <c r="D600" i="1"/>
  <c r="S600" i="1"/>
  <c r="K600" i="1"/>
  <c r="C600" i="1"/>
  <c r="Q600" i="1"/>
  <c r="I600" i="1"/>
  <c r="J600" i="1"/>
  <c r="A601" i="1"/>
  <c r="H600" i="1"/>
  <c r="W600" i="1"/>
  <c r="G600" i="1"/>
  <c r="R600" i="1"/>
  <c r="B600" i="1"/>
  <c r="V600" i="1"/>
  <c r="P600" i="1"/>
  <c r="O600" i="1"/>
  <c r="N600" i="1"/>
  <c r="F600" i="1"/>
  <c r="V601" i="1" l="1"/>
  <c r="N601" i="1"/>
  <c r="F601" i="1"/>
  <c r="U601" i="1"/>
  <c r="M601" i="1"/>
  <c r="E601" i="1"/>
  <c r="T601" i="1"/>
  <c r="L601" i="1"/>
  <c r="D601" i="1"/>
  <c r="R601" i="1"/>
  <c r="J601" i="1"/>
  <c r="B601" i="1"/>
  <c r="S601" i="1"/>
  <c r="C601" i="1"/>
  <c r="Q601" i="1"/>
  <c r="P601" i="1"/>
  <c r="K601" i="1"/>
  <c r="W601" i="1"/>
  <c r="H601" i="1"/>
  <c r="G601" i="1"/>
  <c r="A602" i="1"/>
  <c r="O601" i="1"/>
  <c r="I601" i="1"/>
  <c r="W602" i="1" l="1"/>
  <c r="O602" i="1"/>
  <c r="G602" i="1"/>
  <c r="V602" i="1"/>
  <c r="N602" i="1"/>
  <c r="F602" i="1"/>
  <c r="U602" i="1"/>
  <c r="M602" i="1"/>
  <c r="E602" i="1"/>
  <c r="S602" i="1"/>
  <c r="K602" i="1"/>
  <c r="C602" i="1"/>
  <c r="L602" i="1"/>
  <c r="J602" i="1"/>
  <c r="I602" i="1"/>
  <c r="T602" i="1"/>
  <c r="D602" i="1"/>
  <c r="H602" i="1"/>
  <c r="B602" i="1"/>
  <c r="Q602" i="1"/>
  <c r="P602" i="1"/>
  <c r="A603" i="1"/>
  <c r="R602" i="1"/>
  <c r="A604" i="1" l="1"/>
  <c r="P603" i="1"/>
  <c r="H603" i="1"/>
  <c r="W603" i="1"/>
  <c r="O603" i="1"/>
  <c r="G603" i="1"/>
  <c r="V603" i="1"/>
  <c r="N603" i="1"/>
  <c r="F603" i="1"/>
  <c r="T603" i="1"/>
  <c r="L603" i="1"/>
  <c r="D603" i="1"/>
  <c r="U603" i="1"/>
  <c r="E603" i="1"/>
  <c r="S603" i="1"/>
  <c r="C603" i="1"/>
  <c r="R603" i="1"/>
  <c r="B603" i="1"/>
  <c r="M603" i="1"/>
  <c r="Q603" i="1"/>
  <c r="K603" i="1"/>
  <c r="I603" i="1"/>
  <c r="J603" i="1"/>
  <c r="Q604" i="1" l="1"/>
  <c r="I604" i="1"/>
  <c r="A605" i="1"/>
  <c r="P604" i="1"/>
  <c r="H604" i="1"/>
  <c r="W604" i="1"/>
  <c r="O604" i="1"/>
  <c r="G604" i="1"/>
  <c r="U604" i="1"/>
  <c r="M604" i="1"/>
  <c r="E604" i="1"/>
  <c r="N604" i="1"/>
  <c r="L604" i="1"/>
  <c r="K604" i="1"/>
  <c r="V604" i="1"/>
  <c r="F604" i="1"/>
  <c r="T604" i="1"/>
  <c r="B604" i="1"/>
  <c r="S604" i="1"/>
  <c r="R604" i="1"/>
  <c r="C604" i="1"/>
  <c r="J604" i="1"/>
  <c r="D604" i="1"/>
  <c r="R605" i="1" l="1"/>
  <c r="J605" i="1"/>
  <c r="B605" i="1"/>
  <c r="Q605" i="1"/>
  <c r="I605" i="1"/>
  <c r="A606" i="1"/>
  <c r="P605" i="1"/>
  <c r="H605" i="1"/>
  <c r="V605" i="1"/>
  <c r="N605" i="1"/>
  <c r="F605" i="1"/>
  <c r="W605" i="1"/>
  <c r="G605" i="1"/>
  <c r="U605" i="1"/>
  <c r="E605" i="1"/>
  <c r="T605" i="1"/>
  <c r="D605" i="1"/>
  <c r="O605" i="1"/>
  <c r="C605" i="1"/>
  <c r="L605" i="1"/>
  <c r="S605" i="1"/>
  <c r="M605" i="1"/>
  <c r="K605" i="1"/>
  <c r="S606" i="1" l="1"/>
  <c r="K606" i="1"/>
  <c r="C606" i="1"/>
  <c r="R606" i="1"/>
  <c r="J606" i="1"/>
  <c r="B606" i="1"/>
  <c r="Q606" i="1"/>
  <c r="I606" i="1"/>
  <c r="W606" i="1"/>
  <c r="O606" i="1"/>
  <c r="G606" i="1"/>
  <c r="P606" i="1"/>
  <c r="N606" i="1"/>
  <c r="M606" i="1"/>
  <c r="A607" i="1"/>
  <c r="H606" i="1"/>
  <c r="L606" i="1"/>
  <c r="F606" i="1"/>
  <c r="D606" i="1"/>
  <c r="E606" i="1"/>
  <c r="T606" i="1"/>
  <c r="V606" i="1"/>
  <c r="U606" i="1"/>
  <c r="T607" i="1" l="1"/>
  <c r="L607" i="1"/>
  <c r="D607" i="1"/>
  <c r="S607" i="1"/>
  <c r="K607" i="1"/>
  <c r="C607" i="1"/>
  <c r="R607" i="1"/>
  <c r="J607" i="1"/>
  <c r="B607" i="1"/>
  <c r="A608" i="1"/>
  <c r="P607" i="1"/>
  <c r="H607" i="1"/>
  <c r="I607" i="1"/>
  <c r="W607" i="1"/>
  <c r="G607" i="1"/>
  <c r="V607" i="1"/>
  <c r="F607" i="1"/>
  <c r="Q607" i="1"/>
  <c r="U607" i="1"/>
  <c r="O607" i="1"/>
  <c r="N607" i="1"/>
  <c r="M607" i="1"/>
  <c r="E607" i="1"/>
  <c r="U608" i="1" l="1"/>
  <c r="M608" i="1"/>
  <c r="E608" i="1"/>
  <c r="T608" i="1"/>
  <c r="L608" i="1"/>
  <c r="D608" i="1"/>
  <c r="S608" i="1"/>
  <c r="K608" i="1"/>
  <c r="C608" i="1"/>
  <c r="Q608" i="1"/>
  <c r="I608" i="1"/>
  <c r="R608" i="1"/>
  <c r="B608" i="1"/>
  <c r="P608" i="1"/>
  <c r="O608" i="1"/>
  <c r="J608" i="1"/>
  <c r="A609" i="1"/>
  <c r="V608" i="1"/>
  <c r="F608" i="1"/>
  <c r="W608" i="1"/>
  <c r="G608" i="1"/>
  <c r="N608" i="1"/>
  <c r="H608" i="1"/>
  <c r="V609" i="1" l="1"/>
  <c r="N609" i="1"/>
  <c r="F609" i="1"/>
  <c r="U609" i="1"/>
  <c r="M609" i="1"/>
  <c r="E609" i="1"/>
  <c r="T609" i="1"/>
  <c r="L609" i="1"/>
  <c r="D609" i="1"/>
  <c r="R609" i="1"/>
  <c r="J609" i="1"/>
  <c r="B609" i="1"/>
  <c r="K609" i="1"/>
  <c r="I609" i="1"/>
  <c r="A610" i="1"/>
  <c r="H609" i="1"/>
  <c r="S609" i="1"/>
  <c r="C609" i="1"/>
  <c r="G609" i="1"/>
  <c r="P609" i="1"/>
  <c r="O609" i="1"/>
  <c r="W609" i="1"/>
  <c r="Q609" i="1"/>
  <c r="W610" i="1" l="1"/>
  <c r="O610" i="1"/>
  <c r="G610" i="1"/>
  <c r="V610" i="1"/>
  <c r="N610" i="1"/>
  <c r="F610" i="1"/>
  <c r="U610" i="1"/>
  <c r="M610" i="1"/>
  <c r="E610" i="1"/>
  <c r="S610" i="1"/>
  <c r="K610" i="1"/>
  <c r="C610" i="1"/>
  <c r="T610" i="1"/>
  <c r="D610" i="1"/>
  <c r="R610" i="1"/>
  <c r="B610" i="1"/>
  <c r="Q610" i="1"/>
  <c r="L610" i="1"/>
  <c r="P610" i="1"/>
  <c r="J610" i="1"/>
  <c r="I610" i="1"/>
  <c r="H610" i="1"/>
  <c r="A611" i="1"/>
  <c r="A612" i="1" l="1"/>
  <c r="P611" i="1"/>
  <c r="H611" i="1"/>
  <c r="W611" i="1"/>
  <c r="O611" i="1"/>
  <c r="G611" i="1"/>
  <c r="V611" i="1"/>
  <c r="N611" i="1"/>
  <c r="F611" i="1"/>
  <c r="T611" i="1"/>
  <c r="L611" i="1"/>
  <c r="D611" i="1"/>
  <c r="M611" i="1"/>
  <c r="K611" i="1"/>
  <c r="J611" i="1"/>
  <c r="U611" i="1"/>
  <c r="E611" i="1"/>
  <c r="S611" i="1"/>
  <c r="Q611" i="1"/>
  <c r="R611" i="1"/>
  <c r="B611" i="1"/>
  <c r="I611" i="1"/>
  <c r="C611" i="1"/>
  <c r="Q612" i="1" l="1"/>
  <c r="I612" i="1"/>
  <c r="A613" i="1"/>
  <c r="P612" i="1"/>
  <c r="H612" i="1"/>
  <c r="W612" i="1"/>
  <c r="O612" i="1"/>
  <c r="G612" i="1"/>
  <c r="U612" i="1"/>
  <c r="M612" i="1"/>
  <c r="E612" i="1"/>
  <c r="V612" i="1"/>
  <c r="F612" i="1"/>
  <c r="T612" i="1"/>
  <c r="D612" i="1"/>
  <c r="S612" i="1"/>
  <c r="C612" i="1"/>
  <c r="N612" i="1"/>
  <c r="B612" i="1"/>
  <c r="K612" i="1"/>
  <c r="J612" i="1"/>
  <c r="R612" i="1"/>
  <c r="L612" i="1"/>
  <c r="R613" i="1" l="1"/>
  <c r="J613" i="1"/>
  <c r="B613" i="1"/>
  <c r="Q613" i="1"/>
  <c r="I613" i="1"/>
  <c r="A614" i="1"/>
  <c r="P613" i="1"/>
  <c r="H613" i="1"/>
  <c r="V613" i="1"/>
  <c r="N613" i="1"/>
  <c r="F613" i="1"/>
  <c r="O613" i="1"/>
  <c r="M613" i="1"/>
  <c r="L613" i="1"/>
  <c r="W613" i="1"/>
  <c r="G613" i="1"/>
  <c r="K613" i="1"/>
  <c r="S613" i="1"/>
  <c r="E613" i="1"/>
  <c r="D613" i="1"/>
  <c r="C613" i="1"/>
  <c r="U613" i="1"/>
  <c r="T613" i="1"/>
  <c r="S614" i="1" l="1"/>
  <c r="K614" i="1"/>
  <c r="C614" i="1"/>
  <c r="R614" i="1"/>
  <c r="J614" i="1"/>
  <c r="B614" i="1"/>
  <c r="Q614" i="1"/>
  <c r="I614" i="1"/>
  <c r="W614" i="1"/>
  <c r="O614" i="1"/>
  <c r="G614" i="1"/>
  <c r="A615" i="1"/>
  <c r="H614" i="1"/>
  <c r="V614" i="1"/>
  <c r="F614" i="1"/>
  <c r="U614" i="1"/>
  <c r="E614" i="1"/>
  <c r="P614" i="1"/>
  <c r="T614" i="1"/>
  <c r="N614" i="1"/>
  <c r="M614" i="1"/>
  <c r="L614" i="1"/>
  <c r="D614" i="1"/>
  <c r="T615" i="1" l="1"/>
  <c r="L615" i="1"/>
  <c r="D615" i="1"/>
  <c r="S615" i="1"/>
  <c r="K615" i="1"/>
  <c r="C615" i="1"/>
  <c r="R615" i="1"/>
  <c r="J615" i="1"/>
  <c r="B615" i="1"/>
  <c r="A616" i="1"/>
  <c r="P615" i="1"/>
  <c r="H615" i="1"/>
  <c r="Q615" i="1"/>
  <c r="O615" i="1"/>
  <c r="N615" i="1"/>
  <c r="I615" i="1"/>
  <c r="W615" i="1"/>
  <c r="U615" i="1"/>
  <c r="V615" i="1"/>
  <c r="F615" i="1"/>
  <c r="E615" i="1"/>
  <c r="M615" i="1"/>
  <c r="G615" i="1"/>
  <c r="U616" i="1" l="1"/>
  <c r="M616" i="1"/>
  <c r="E616" i="1"/>
  <c r="T616" i="1"/>
  <c r="L616" i="1"/>
  <c r="D616" i="1"/>
  <c r="S616" i="1"/>
  <c r="K616" i="1"/>
  <c r="C616" i="1"/>
  <c r="Q616" i="1"/>
  <c r="I616" i="1"/>
  <c r="J616" i="1"/>
  <c r="A617" i="1"/>
  <c r="H616" i="1"/>
  <c r="W616" i="1"/>
  <c r="G616" i="1"/>
  <c r="R616" i="1"/>
  <c r="B616" i="1"/>
  <c r="F616" i="1"/>
  <c r="O616" i="1"/>
  <c r="N616" i="1"/>
  <c r="V616" i="1"/>
  <c r="P616" i="1"/>
  <c r="V617" i="1" l="1"/>
  <c r="N617" i="1"/>
  <c r="F617" i="1"/>
  <c r="U617" i="1"/>
  <c r="M617" i="1"/>
  <c r="E617" i="1"/>
  <c r="T617" i="1"/>
  <c r="L617" i="1"/>
  <c r="D617" i="1"/>
  <c r="R617" i="1"/>
  <c r="J617" i="1"/>
  <c r="B617" i="1"/>
  <c r="S617" i="1"/>
  <c r="C617" i="1"/>
  <c r="Q617" i="1"/>
  <c r="P617" i="1"/>
  <c r="K617" i="1"/>
  <c r="O617" i="1"/>
  <c r="A618" i="1"/>
  <c r="I617" i="1"/>
  <c r="W617" i="1"/>
  <c r="H617" i="1"/>
  <c r="G617" i="1"/>
  <c r="W618" i="1" l="1"/>
  <c r="O618" i="1"/>
  <c r="G618" i="1"/>
  <c r="V618" i="1"/>
  <c r="N618" i="1"/>
  <c r="F618" i="1"/>
  <c r="U618" i="1"/>
  <c r="M618" i="1"/>
  <c r="E618" i="1"/>
  <c r="S618" i="1"/>
  <c r="K618" i="1"/>
  <c r="C618" i="1"/>
  <c r="L618" i="1"/>
  <c r="J618" i="1"/>
  <c r="I618" i="1"/>
  <c r="T618" i="1"/>
  <c r="D618" i="1"/>
  <c r="A619" i="1"/>
  <c r="R618" i="1"/>
  <c r="Q618" i="1"/>
  <c r="P618" i="1"/>
  <c r="H618" i="1"/>
  <c r="B618" i="1"/>
  <c r="A620" i="1" l="1"/>
  <c r="P619" i="1"/>
  <c r="H619" i="1"/>
  <c r="W619" i="1"/>
  <c r="O619" i="1"/>
  <c r="G619" i="1"/>
  <c r="V619" i="1"/>
  <c r="N619" i="1"/>
  <c r="F619" i="1"/>
  <c r="T619" i="1"/>
  <c r="L619" i="1"/>
  <c r="D619" i="1"/>
  <c r="U619" i="1"/>
  <c r="E619" i="1"/>
  <c r="S619" i="1"/>
  <c r="C619" i="1"/>
  <c r="R619" i="1"/>
  <c r="B619" i="1"/>
  <c r="M619" i="1"/>
  <c r="J619" i="1"/>
  <c r="Q619" i="1"/>
  <c r="K619" i="1"/>
  <c r="I619" i="1"/>
  <c r="Q620" i="1" l="1"/>
  <c r="I620" i="1"/>
  <c r="A621" i="1"/>
  <c r="P620" i="1"/>
  <c r="H620" i="1"/>
  <c r="W620" i="1"/>
  <c r="O620" i="1"/>
  <c r="G620" i="1"/>
  <c r="U620" i="1"/>
  <c r="M620" i="1"/>
  <c r="E620" i="1"/>
  <c r="N620" i="1"/>
  <c r="L620" i="1"/>
  <c r="K620" i="1"/>
  <c r="V620" i="1"/>
  <c r="F620" i="1"/>
  <c r="J620" i="1"/>
  <c r="D620" i="1"/>
  <c r="B620" i="1"/>
  <c r="C620" i="1"/>
  <c r="S620" i="1"/>
  <c r="R620" i="1"/>
  <c r="T620" i="1"/>
  <c r="R621" i="1" l="1"/>
  <c r="J621" i="1"/>
  <c r="B621" i="1"/>
  <c r="Q621" i="1"/>
  <c r="I621" i="1"/>
  <c r="A622" i="1"/>
  <c r="P621" i="1"/>
  <c r="H621" i="1"/>
  <c r="V621" i="1"/>
  <c r="N621" i="1"/>
  <c r="F621" i="1"/>
  <c r="W621" i="1"/>
  <c r="G621" i="1"/>
  <c r="U621" i="1"/>
  <c r="E621" i="1"/>
  <c r="T621" i="1"/>
  <c r="D621" i="1"/>
  <c r="O621" i="1"/>
  <c r="S621" i="1"/>
  <c r="M621" i="1"/>
  <c r="L621" i="1"/>
  <c r="K621" i="1"/>
  <c r="C621" i="1"/>
  <c r="S622" i="1" l="1"/>
  <c r="K622" i="1"/>
  <c r="C622" i="1"/>
  <c r="R622" i="1"/>
  <c r="J622" i="1"/>
  <c r="B622" i="1"/>
  <c r="Q622" i="1"/>
  <c r="I622" i="1"/>
  <c r="W622" i="1"/>
  <c r="O622" i="1"/>
  <c r="G622" i="1"/>
  <c r="P622" i="1"/>
  <c r="N622" i="1"/>
  <c r="M622" i="1"/>
  <c r="A623" i="1"/>
  <c r="H622" i="1"/>
  <c r="V622" i="1"/>
  <c r="T622" i="1"/>
  <c r="D622" i="1"/>
  <c r="U622" i="1"/>
  <c r="L622" i="1"/>
  <c r="F622" i="1"/>
  <c r="E622" i="1"/>
  <c r="T623" i="1" l="1"/>
  <c r="L623" i="1"/>
  <c r="D623" i="1"/>
  <c r="S623" i="1"/>
  <c r="K623" i="1"/>
  <c r="C623" i="1"/>
  <c r="R623" i="1"/>
  <c r="J623" i="1"/>
  <c r="B623" i="1"/>
  <c r="A624" i="1"/>
  <c r="P623" i="1"/>
  <c r="H623" i="1"/>
  <c r="I623" i="1"/>
  <c r="W623" i="1"/>
  <c r="G623" i="1"/>
  <c r="V623" i="1"/>
  <c r="F623" i="1"/>
  <c r="Q623" i="1"/>
  <c r="E623" i="1"/>
  <c r="N623" i="1"/>
  <c r="M623" i="1"/>
  <c r="U623" i="1"/>
  <c r="O623" i="1"/>
  <c r="U624" i="1" l="1"/>
  <c r="M624" i="1"/>
  <c r="E624" i="1"/>
  <c r="T624" i="1"/>
  <c r="L624" i="1"/>
  <c r="D624" i="1"/>
  <c r="S624" i="1"/>
  <c r="K624" i="1"/>
  <c r="C624" i="1"/>
  <c r="Q624" i="1"/>
  <c r="I624" i="1"/>
  <c r="R624" i="1"/>
  <c r="B624" i="1"/>
  <c r="P624" i="1"/>
  <c r="O624" i="1"/>
  <c r="J624" i="1"/>
  <c r="N624" i="1"/>
  <c r="H624" i="1"/>
  <c r="W624" i="1"/>
  <c r="V624" i="1"/>
  <c r="G624" i="1"/>
  <c r="F624" i="1"/>
  <c r="A625" i="1"/>
  <c r="V625" i="1" l="1"/>
  <c r="N625" i="1"/>
  <c r="F625" i="1"/>
  <c r="U625" i="1"/>
  <c r="M625" i="1"/>
  <c r="E625" i="1"/>
  <c r="T625" i="1"/>
  <c r="L625" i="1"/>
  <c r="D625" i="1"/>
  <c r="R625" i="1"/>
  <c r="J625" i="1"/>
  <c r="B625" i="1"/>
  <c r="K625" i="1"/>
  <c r="I625" i="1"/>
  <c r="A626" i="1"/>
  <c r="H625" i="1"/>
  <c r="S625" i="1"/>
  <c r="C625" i="1"/>
  <c r="W625" i="1"/>
  <c r="Q625" i="1"/>
  <c r="O625" i="1"/>
  <c r="P625" i="1"/>
  <c r="G625" i="1"/>
  <c r="W626" i="1" l="1"/>
  <c r="O626" i="1"/>
  <c r="G626" i="1"/>
  <c r="V626" i="1"/>
  <c r="N626" i="1"/>
  <c r="F626" i="1"/>
  <c r="U626" i="1"/>
  <c r="M626" i="1"/>
  <c r="E626" i="1"/>
  <c r="S626" i="1"/>
  <c r="K626" i="1"/>
  <c r="C626" i="1"/>
  <c r="T626" i="1"/>
  <c r="D626" i="1"/>
  <c r="R626" i="1"/>
  <c r="B626" i="1"/>
  <c r="Q626" i="1"/>
  <c r="L626" i="1"/>
  <c r="A627" i="1"/>
  <c r="I626" i="1"/>
  <c r="H626" i="1"/>
  <c r="P626" i="1"/>
  <c r="J626" i="1"/>
  <c r="A628" i="1" l="1"/>
  <c r="P627" i="1"/>
  <c r="H627" i="1"/>
  <c r="W627" i="1"/>
  <c r="O627" i="1"/>
  <c r="G627" i="1"/>
  <c r="V627" i="1"/>
  <c r="N627" i="1"/>
  <c r="F627" i="1"/>
  <c r="T627" i="1"/>
  <c r="L627" i="1"/>
  <c r="D627" i="1"/>
  <c r="M627" i="1"/>
  <c r="K627" i="1"/>
  <c r="J627" i="1"/>
  <c r="U627" i="1"/>
  <c r="E627" i="1"/>
  <c r="I627" i="1"/>
  <c r="C627" i="1"/>
  <c r="R627" i="1"/>
  <c r="Q627" i="1"/>
  <c r="B627" i="1"/>
  <c r="S627" i="1"/>
  <c r="Q628" i="1" l="1"/>
  <c r="I628" i="1"/>
  <c r="A629" i="1"/>
  <c r="P628" i="1"/>
  <c r="H628" i="1"/>
  <c r="W628" i="1"/>
  <c r="O628" i="1"/>
  <c r="G628" i="1"/>
  <c r="U628" i="1"/>
  <c r="M628" i="1"/>
  <c r="E628" i="1"/>
  <c r="V628" i="1"/>
  <c r="F628" i="1"/>
  <c r="T628" i="1"/>
  <c r="D628" i="1"/>
  <c r="S628" i="1"/>
  <c r="C628" i="1"/>
  <c r="N628" i="1"/>
  <c r="R628" i="1"/>
  <c r="L628" i="1"/>
  <c r="J628" i="1"/>
  <c r="K628" i="1"/>
  <c r="B628" i="1"/>
  <c r="R629" i="1" l="1"/>
  <c r="J629" i="1"/>
  <c r="B629" i="1"/>
  <c r="Q629" i="1"/>
  <c r="I629" i="1"/>
  <c r="A630" i="1"/>
  <c r="P629" i="1"/>
  <c r="H629" i="1"/>
  <c r="V629" i="1"/>
  <c r="N629" i="1"/>
  <c r="F629" i="1"/>
  <c r="O629" i="1"/>
  <c r="M629" i="1"/>
  <c r="L629" i="1"/>
  <c r="W629" i="1"/>
  <c r="G629" i="1"/>
  <c r="U629" i="1"/>
  <c r="T629" i="1"/>
  <c r="S629" i="1"/>
  <c r="D629" i="1"/>
  <c r="C629" i="1"/>
  <c r="K629" i="1"/>
  <c r="E629" i="1"/>
  <c r="S630" i="1" l="1"/>
  <c r="K630" i="1"/>
  <c r="C630" i="1"/>
  <c r="R630" i="1"/>
  <c r="J630" i="1"/>
  <c r="B630" i="1"/>
  <c r="Q630" i="1"/>
  <c r="I630" i="1"/>
  <c r="W630" i="1"/>
  <c r="O630" i="1"/>
  <c r="G630" i="1"/>
  <c r="A631" i="1"/>
  <c r="H630" i="1"/>
  <c r="V630" i="1"/>
  <c r="F630" i="1"/>
  <c r="U630" i="1"/>
  <c r="E630" i="1"/>
  <c r="P630" i="1"/>
  <c r="D630" i="1"/>
  <c r="M630" i="1"/>
  <c r="T630" i="1"/>
  <c r="N630" i="1"/>
  <c r="L630" i="1"/>
  <c r="T631" i="1" l="1"/>
  <c r="L631" i="1"/>
  <c r="D631" i="1"/>
  <c r="S631" i="1"/>
  <c r="K631" i="1"/>
  <c r="C631" i="1"/>
  <c r="R631" i="1"/>
  <c r="J631" i="1"/>
  <c r="B631" i="1"/>
  <c r="A632" i="1"/>
  <c r="P631" i="1"/>
  <c r="H631" i="1"/>
  <c r="Q631" i="1"/>
  <c r="O631" i="1"/>
  <c r="N631" i="1"/>
  <c r="I631" i="1"/>
  <c r="M631" i="1"/>
  <c r="G631" i="1"/>
  <c r="U631" i="1"/>
  <c r="F631" i="1"/>
  <c r="E631" i="1"/>
  <c r="V631" i="1"/>
  <c r="W631" i="1"/>
  <c r="U632" i="1" l="1"/>
  <c r="M632" i="1"/>
  <c r="E632" i="1"/>
  <c r="T632" i="1"/>
  <c r="L632" i="1"/>
  <c r="D632" i="1"/>
  <c r="S632" i="1"/>
  <c r="K632" i="1"/>
  <c r="C632" i="1"/>
  <c r="Q632" i="1"/>
  <c r="I632" i="1"/>
  <c r="J632" i="1"/>
  <c r="A633" i="1"/>
  <c r="H632" i="1"/>
  <c r="W632" i="1"/>
  <c r="G632" i="1"/>
  <c r="R632" i="1"/>
  <c r="B632" i="1"/>
  <c r="V632" i="1"/>
  <c r="P632" i="1"/>
  <c r="N632" i="1"/>
  <c r="O632" i="1"/>
  <c r="F632" i="1"/>
  <c r="V633" i="1" l="1"/>
  <c r="N633" i="1"/>
  <c r="F633" i="1"/>
  <c r="U633" i="1"/>
  <c r="M633" i="1"/>
  <c r="E633" i="1"/>
  <c r="T633" i="1"/>
  <c r="L633" i="1"/>
  <c r="D633" i="1"/>
  <c r="R633" i="1"/>
  <c r="J633" i="1"/>
  <c r="B633" i="1"/>
  <c r="S633" i="1"/>
  <c r="C633" i="1"/>
  <c r="Q633" i="1"/>
  <c r="P633" i="1"/>
  <c r="K633" i="1"/>
  <c r="A634" i="1"/>
  <c r="W633" i="1"/>
  <c r="G633" i="1"/>
  <c r="O633" i="1"/>
  <c r="I633" i="1"/>
  <c r="H633" i="1"/>
  <c r="W634" i="1" l="1"/>
  <c r="O634" i="1"/>
  <c r="G634" i="1"/>
  <c r="V634" i="1"/>
  <c r="N634" i="1"/>
  <c r="F634" i="1"/>
  <c r="U634" i="1"/>
  <c r="M634" i="1"/>
  <c r="E634" i="1"/>
  <c r="S634" i="1"/>
  <c r="K634" i="1"/>
  <c r="C634" i="1"/>
  <c r="L634" i="1"/>
  <c r="J634" i="1"/>
  <c r="I634" i="1"/>
  <c r="T634" i="1"/>
  <c r="D634" i="1"/>
  <c r="H634" i="1"/>
  <c r="B634" i="1"/>
  <c r="Q634" i="1"/>
  <c r="P634" i="1"/>
  <c r="A635" i="1"/>
  <c r="R634" i="1"/>
  <c r="A636" i="1" l="1"/>
  <c r="P635" i="1"/>
  <c r="H635" i="1"/>
  <c r="W635" i="1"/>
  <c r="O635" i="1"/>
  <c r="G635" i="1"/>
  <c r="V635" i="1"/>
  <c r="N635" i="1"/>
  <c r="F635" i="1"/>
  <c r="T635" i="1"/>
  <c r="L635" i="1"/>
  <c r="D635" i="1"/>
  <c r="U635" i="1"/>
  <c r="E635" i="1"/>
  <c r="S635" i="1"/>
  <c r="C635" i="1"/>
  <c r="R635" i="1"/>
  <c r="B635" i="1"/>
  <c r="M635" i="1"/>
  <c r="Q635" i="1"/>
  <c r="K635" i="1"/>
  <c r="I635" i="1"/>
  <c r="J635" i="1"/>
  <c r="U636" i="1" l="1"/>
  <c r="T636" i="1"/>
  <c r="S636" i="1"/>
  <c r="Q636" i="1"/>
  <c r="R636" i="1"/>
  <c r="I636" i="1"/>
  <c r="P636" i="1"/>
  <c r="H636" i="1"/>
  <c r="O636" i="1"/>
  <c r="G636" i="1"/>
  <c r="M636" i="1"/>
  <c r="E636" i="1"/>
  <c r="N636" i="1"/>
  <c r="L636" i="1"/>
  <c r="K636" i="1"/>
  <c r="F636" i="1"/>
  <c r="A637" i="1"/>
  <c r="V636" i="1"/>
  <c r="C636" i="1"/>
  <c r="W636" i="1"/>
  <c r="B636" i="1"/>
  <c r="J636" i="1"/>
  <c r="D636" i="1"/>
  <c r="V637" i="1" l="1"/>
  <c r="N637" i="1"/>
  <c r="F637" i="1"/>
  <c r="U637" i="1"/>
  <c r="M637" i="1"/>
  <c r="E637" i="1"/>
  <c r="T637" i="1"/>
  <c r="L637" i="1"/>
  <c r="D637" i="1"/>
  <c r="R637" i="1"/>
  <c r="J637" i="1"/>
  <c r="B637" i="1"/>
  <c r="K637" i="1"/>
  <c r="I637" i="1"/>
  <c r="A638" i="1"/>
  <c r="H637" i="1"/>
  <c r="S637" i="1"/>
  <c r="C637" i="1"/>
  <c r="W637" i="1"/>
  <c r="Q637" i="1"/>
  <c r="P637" i="1"/>
  <c r="G637" i="1"/>
  <c r="O637" i="1"/>
  <c r="W638" i="1" l="1"/>
  <c r="O638" i="1"/>
  <c r="G638" i="1"/>
  <c r="V638" i="1"/>
  <c r="N638" i="1"/>
  <c r="F638" i="1"/>
  <c r="U638" i="1"/>
  <c r="M638" i="1"/>
  <c r="E638" i="1"/>
  <c r="S638" i="1"/>
  <c r="K638" i="1"/>
  <c r="C638" i="1"/>
  <c r="T638" i="1"/>
  <c r="D638" i="1"/>
  <c r="R638" i="1"/>
  <c r="B638" i="1"/>
  <c r="Q638" i="1"/>
  <c r="L638" i="1"/>
  <c r="P638" i="1"/>
  <c r="H638" i="1"/>
  <c r="I638" i="1"/>
  <c r="A639" i="1"/>
  <c r="J638" i="1"/>
  <c r="A640" i="1" l="1"/>
  <c r="P639" i="1"/>
  <c r="H639" i="1"/>
  <c r="W639" i="1"/>
  <c r="O639" i="1"/>
  <c r="G639" i="1"/>
  <c r="V639" i="1"/>
  <c r="N639" i="1"/>
  <c r="F639" i="1"/>
  <c r="T639" i="1"/>
  <c r="L639" i="1"/>
  <c r="D639" i="1"/>
  <c r="M639" i="1"/>
  <c r="K639" i="1"/>
  <c r="J639" i="1"/>
  <c r="U639" i="1"/>
  <c r="E639" i="1"/>
  <c r="I639" i="1"/>
  <c r="C639" i="1"/>
  <c r="B639" i="1"/>
  <c r="S639" i="1"/>
  <c r="R639" i="1"/>
  <c r="Q639" i="1"/>
  <c r="Q640" i="1" l="1"/>
  <c r="I640" i="1"/>
  <c r="A641" i="1"/>
  <c r="P640" i="1"/>
  <c r="H640" i="1"/>
  <c r="W640" i="1"/>
  <c r="O640" i="1"/>
  <c r="G640" i="1"/>
  <c r="U640" i="1"/>
  <c r="M640" i="1"/>
  <c r="E640" i="1"/>
  <c r="V640" i="1"/>
  <c r="F640" i="1"/>
  <c r="T640" i="1"/>
  <c r="D640" i="1"/>
  <c r="S640" i="1"/>
  <c r="C640" i="1"/>
  <c r="N640" i="1"/>
  <c r="R640" i="1"/>
  <c r="L640" i="1"/>
  <c r="K640" i="1"/>
  <c r="B640" i="1"/>
  <c r="J640" i="1"/>
  <c r="R641" i="1" l="1"/>
  <c r="J641" i="1"/>
  <c r="B641" i="1"/>
  <c r="Q641" i="1"/>
  <c r="I641" i="1"/>
  <c r="A642" i="1"/>
  <c r="P641" i="1"/>
  <c r="H641" i="1"/>
  <c r="V641" i="1"/>
  <c r="N641" i="1"/>
  <c r="F641" i="1"/>
  <c r="O641" i="1"/>
  <c r="M641" i="1"/>
  <c r="L641" i="1"/>
  <c r="W641" i="1"/>
  <c r="G641" i="1"/>
  <c r="U641" i="1"/>
  <c r="T641" i="1"/>
  <c r="K641" i="1"/>
  <c r="D641" i="1"/>
  <c r="C641" i="1"/>
  <c r="S641" i="1"/>
  <c r="E641" i="1"/>
  <c r="S642" i="1" l="1"/>
  <c r="K642" i="1"/>
  <c r="C642" i="1"/>
  <c r="R642" i="1"/>
  <c r="J642" i="1"/>
  <c r="B642" i="1"/>
  <c r="Q642" i="1"/>
  <c r="I642" i="1"/>
  <c r="W642" i="1"/>
  <c r="O642" i="1"/>
  <c r="G642" i="1"/>
  <c r="A643" i="1"/>
  <c r="H642" i="1"/>
  <c r="V642" i="1"/>
  <c r="F642" i="1"/>
  <c r="U642" i="1"/>
  <c r="E642" i="1"/>
  <c r="P642" i="1"/>
  <c r="D642" i="1"/>
  <c r="T642" i="1"/>
  <c r="N642" i="1"/>
  <c r="L642" i="1"/>
  <c r="M642" i="1"/>
  <c r="T643" i="1" l="1"/>
  <c r="L643" i="1"/>
  <c r="D643" i="1"/>
  <c r="S643" i="1"/>
  <c r="K643" i="1"/>
  <c r="C643" i="1"/>
  <c r="R643" i="1"/>
  <c r="J643" i="1"/>
  <c r="B643" i="1"/>
  <c r="A644" i="1"/>
  <c r="P643" i="1"/>
  <c r="H643" i="1"/>
  <c r="Q643" i="1"/>
  <c r="O643" i="1"/>
  <c r="N643" i="1"/>
  <c r="I643" i="1"/>
  <c r="M643" i="1"/>
  <c r="G643" i="1"/>
  <c r="F643" i="1"/>
  <c r="E643" i="1"/>
  <c r="U643" i="1"/>
  <c r="V643" i="1"/>
  <c r="W643" i="1"/>
  <c r="U644" i="1" l="1"/>
  <c r="M644" i="1"/>
  <c r="E644" i="1"/>
  <c r="T644" i="1"/>
  <c r="L644" i="1"/>
  <c r="D644" i="1"/>
  <c r="S644" i="1"/>
  <c r="K644" i="1"/>
  <c r="C644" i="1"/>
  <c r="Q644" i="1"/>
  <c r="I644" i="1"/>
  <c r="J644" i="1"/>
  <c r="A645" i="1"/>
  <c r="H644" i="1"/>
  <c r="W644" i="1"/>
  <c r="G644" i="1"/>
  <c r="R644" i="1"/>
  <c r="B644" i="1"/>
  <c r="V644" i="1"/>
  <c r="P644" i="1"/>
  <c r="O644" i="1"/>
  <c r="F644" i="1"/>
  <c r="N644" i="1"/>
  <c r="V645" i="1" l="1"/>
  <c r="N645" i="1"/>
  <c r="F645" i="1"/>
  <c r="U645" i="1"/>
  <c r="M645" i="1"/>
  <c r="E645" i="1"/>
  <c r="T645" i="1"/>
  <c r="L645" i="1"/>
  <c r="D645" i="1"/>
  <c r="R645" i="1"/>
  <c r="J645" i="1"/>
  <c r="B645" i="1"/>
  <c r="S645" i="1"/>
  <c r="C645" i="1"/>
  <c r="Q645" i="1"/>
  <c r="P645" i="1"/>
  <c r="K645" i="1"/>
  <c r="A646" i="1"/>
  <c r="O645" i="1"/>
  <c r="W645" i="1"/>
  <c r="I645" i="1"/>
  <c r="H645" i="1"/>
  <c r="G645" i="1"/>
  <c r="W646" i="1" l="1"/>
  <c r="O646" i="1"/>
  <c r="G646" i="1"/>
  <c r="V646" i="1"/>
  <c r="N646" i="1"/>
  <c r="F646" i="1"/>
  <c r="U646" i="1"/>
  <c r="M646" i="1"/>
  <c r="E646" i="1"/>
  <c r="S646" i="1"/>
  <c r="K646" i="1"/>
  <c r="C646" i="1"/>
  <c r="L646" i="1"/>
  <c r="J646" i="1"/>
  <c r="I646" i="1"/>
  <c r="T646" i="1"/>
  <c r="D646" i="1"/>
  <c r="H646" i="1"/>
  <c r="B646" i="1"/>
  <c r="A647" i="1"/>
  <c r="Q646" i="1"/>
  <c r="P646" i="1"/>
  <c r="R646" i="1"/>
  <c r="A648" i="1" l="1"/>
  <c r="P647" i="1"/>
  <c r="H647" i="1"/>
  <c r="W647" i="1"/>
  <c r="O647" i="1"/>
  <c r="G647" i="1"/>
  <c r="V647" i="1"/>
  <c r="N647" i="1"/>
  <c r="F647" i="1"/>
  <c r="T647" i="1"/>
  <c r="L647" i="1"/>
  <c r="D647" i="1"/>
  <c r="U647" i="1"/>
  <c r="E647" i="1"/>
  <c r="S647" i="1"/>
  <c r="C647" i="1"/>
  <c r="R647" i="1"/>
  <c r="B647" i="1"/>
  <c r="M647" i="1"/>
  <c r="Q647" i="1"/>
  <c r="K647" i="1"/>
  <c r="J647" i="1"/>
  <c r="I647" i="1"/>
  <c r="Q648" i="1" l="1"/>
  <c r="I648" i="1"/>
  <c r="A649" i="1"/>
  <c r="P648" i="1"/>
  <c r="H648" i="1"/>
  <c r="W648" i="1"/>
  <c r="O648" i="1"/>
  <c r="G648" i="1"/>
  <c r="U648" i="1"/>
  <c r="M648" i="1"/>
  <c r="E648" i="1"/>
  <c r="N648" i="1"/>
  <c r="L648" i="1"/>
  <c r="K648" i="1"/>
  <c r="V648" i="1"/>
  <c r="F648" i="1"/>
  <c r="T648" i="1"/>
  <c r="S648" i="1"/>
  <c r="J648" i="1"/>
  <c r="R648" i="1"/>
  <c r="D648" i="1"/>
  <c r="B648" i="1"/>
  <c r="C648" i="1"/>
  <c r="R649" i="1" l="1"/>
  <c r="J649" i="1"/>
  <c r="B649" i="1"/>
  <c r="Q649" i="1"/>
  <c r="I649" i="1"/>
  <c r="A650" i="1"/>
  <c r="P649" i="1"/>
  <c r="H649" i="1"/>
  <c r="V649" i="1"/>
  <c r="N649" i="1"/>
  <c r="F649" i="1"/>
  <c r="W649" i="1"/>
  <c r="G649" i="1"/>
  <c r="U649" i="1"/>
  <c r="E649" i="1"/>
  <c r="T649" i="1"/>
  <c r="D649" i="1"/>
  <c r="O649" i="1"/>
  <c r="C649" i="1"/>
  <c r="S649" i="1"/>
  <c r="L649" i="1"/>
  <c r="K649" i="1"/>
  <c r="M649" i="1"/>
  <c r="S650" i="1" l="1"/>
  <c r="K650" i="1"/>
  <c r="C650" i="1"/>
  <c r="R650" i="1"/>
  <c r="J650" i="1"/>
  <c r="B650" i="1"/>
  <c r="Q650" i="1"/>
  <c r="I650" i="1"/>
  <c r="W650" i="1"/>
  <c r="O650" i="1"/>
  <c r="G650" i="1"/>
  <c r="P650" i="1"/>
  <c r="N650" i="1"/>
  <c r="M650" i="1"/>
  <c r="A651" i="1"/>
  <c r="H650" i="1"/>
  <c r="L650" i="1"/>
  <c r="F650" i="1"/>
  <c r="E650" i="1"/>
  <c r="V650" i="1"/>
  <c r="U650" i="1"/>
  <c r="T650" i="1"/>
  <c r="D650" i="1"/>
  <c r="T651" i="1" l="1"/>
  <c r="L651" i="1"/>
  <c r="D651" i="1"/>
  <c r="S651" i="1"/>
  <c r="K651" i="1"/>
  <c r="C651" i="1"/>
  <c r="R651" i="1"/>
  <c r="J651" i="1"/>
  <c r="B651" i="1"/>
  <c r="A652" i="1"/>
  <c r="P651" i="1"/>
  <c r="H651" i="1"/>
  <c r="I651" i="1"/>
  <c r="W651" i="1"/>
  <c r="G651" i="1"/>
  <c r="V651" i="1"/>
  <c r="F651" i="1"/>
  <c r="Q651" i="1"/>
  <c r="U651" i="1"/>
  <c r="O651" i="1"/>
  <c r="N651" i="1"/>
  <c r="E651" i="1"/>
  <c r="M651" i="1"/>
  <c r="U652" i="1" l="1"/>
  <c r="M652" i="1"/>
  <c r="E652" i="1"/>
  <c r="T652" i="1"/>
  <c r="L652" i="1"/>
  <c r="D652" i="1"/>
  <c r="S652" i="1"/>
  <c r="K652" i="1"/>
  <c r="C652" i="1"/>
  <c r="Q652" i="1"/>
  <c r="I652" i="1"/>
  <c r="R652" i="1"/>
  <c r="B652" i="1"/>
  <c r="P652" i="1"/>
  <c r="O652" i="1"/>
  <c r="J652" i="1"/>
  <c r="A653" i="1"/>
  <c r="W652" i="1"/>
  <c r="N652" i="1"/>
  <c r="G652" i="1"/>
  <c r="F652" i="1"/>
  <c r="V652" i="1"/>
  <c r="H652" i="1"/>
  <c r="V653" i="1" l="1"/>
  <c r="N653" i="1"/>
  <c r="F653" i="1"/>
  <c r="U653" i="1"/>
  <c r="M653" i="1"/>
  <c r="E653" i="1"/>
  <c r="T653" i="1"/>
  <c r="L653" i="1"/>
  <c r="D653" i="1"/>
  <c r="R653" i="1"/>
  <c r="J653" i="1"/>
  <c r="B653" i="1"/>
  <c r="K653" i="1"/>
  <c r="I653" i="1"/>
  <c r="A654" i="1"/>
  <c r="H653" i="1"/>
  <c r="S653" i="1"/>
  <c r="C653" i="1"/>
  <c r="G653" i="1"/>
  <c r="W653" i="1"/>
  <c r="Q653" i="1"/>
  <c r="O653" i="1"/>
  <c r="P653" i="1"/>
  <c r="W654" i="1" l="1"/>
  <c r="O654" i="1"/>
  <c r="G654" i="1"/>
  <c r="V654" i="1"/>
  <c r="N654" i="1"/>
  <c r="F654" i="1"/>
  <c r="U654" i="1"/>
  <c r="M654" i="1"/>
  <c r="E654" i="1"/>
  <c r="S654" i="1"/>
  <c r="K654" i="1"/>
  <c r="C654" i="1"/>
  <c r="T654" i="1"/>
  <c r="D654" i="1"/>
  <c r="R654" i="1"/>
  <c r="B654" i="1"/>
  <c r="Q654" i="1"/>
  <c r="L654" i="1"/>
  <c r="P654" i="1"/>
  <c r="J654" i="1"/>
  <c r="I654" i="1"/>
  <c r="H654" i="1"/>
  <c r="A655" i="1"/>
  <c r="A656" i="1" l="1"/>
  <c r="P655" i="1"/>
  <c r="H655" i="1"/>
  <c r="W655" i="1"/>
  <c r="O655" i="1"/>
  <c r="G655" i="1"/>
  <c r="V655" i="1"/>
  <c r="N655" i="1"/>
  <c r="F655" i="1"/>
  <c r="T655" i="1"/>
  <c r="L655" i="1"/>
  <c r="D655" i="1"/>
  <c r="M655" i="1"/>
  <c r="K655" i="1"/>
  <c r="J655" i="1"/>
  <c r="U655" i="1"/>
  <c r="E655" i="1"/>
  <c r="S655" i="1"/>
  <c r="R655" i="1"/>
  <c r="I655" i="1"/>
  <c r="B655" i="1"/>
  <c r="Q655" i="1"/>
  <c r="C655" i="1"/>
  <c r="Q656" i="1" l="1"/>
  <c r="I656" i="1"/>
  <c r="A657" i="1"/>
  <c r="P656" i="1"/>
  <c r="H656" i="1"/>
  <c r="W656" i="1"/>
  <c r="O656" i="1"/>
  <c r="G656" i="1"/>
  <c r="U656" i="1"/>
  <c r="M656" i="1"/>
  <c r="E656" i="1"/>
  <c r="V656" i="1"/>
  <c r="F656" i="1"/>
  <c r="T656" i="1"/>
  <c r="D656" i="1"/>
  <c r="S656" i="1"/>
  <c r="C656" i="1"/>
  <c r="N656" i="1"/>
  <c r="B656" i="1"/>
  <c r="R656" i="1"/>
  <c r="L656" i="1"/>
  <c r="K656" i="1"/>
  <c r="J656" i="1"/>
  <c r="R657" i="1" l="1"/>
  <c r="J657" i="1"/>
  <c r="B657" i="1"/>
  <c r="Q657" i="1"/>
  <c r="I657" i="1"/>
  <c r="A658" i="1"/>
  <c r="P657" i="1"/>
  <c r="H657" i="1"/>
  <c r="V657" i="1"/>
  <c r="N657" i="1"/>
  <c r="F657" i="1"/>
  <c r="O657" i="1"/>
  <c r="M657" i="1"/>
  <c r="L657" i="1"/>
  <c r="W657" i="1"/>
  <c r="G657" i="1"/>
  <c r="K657" i="1"/>
  <c r="E657" i="1"/>
  <c r="D657" i="1"/>
  <c r="C657" i="1"/>
  <c r="T657" i="1"/>
  <c r="U657" i="1"/>
  <c r="S657" i="1"/>
  <c r="S658" i="1" l="1"/>
  <c r="K658" i="1"/>
  <c r="C658" i="1"/>
  <c r="R658" i="1"/>
  <c r="J658" i="1"/>
  <c r="B658" i="1"/>
  <c r="Q658" i="1"/>
  <c r="I658" i="1"/>
  <c r="W658" i="1"/>
  <c r="O658" i="1"/>
  <c r="G658" i="1"/>
  <c r="A659" i="1"/>
  <c r="H658" i="1"/>
  <c r="V658" i="1"/>
  <c r="F658" i="1"/>
  <c r="U658" i="1"/>
  <c r="E658" i="1"/>
  <c r="P658" i="1"/>
  <c r="T658" i="1"/>
  <c r="N658" i="1"/>
  <c r="M658" i="1"/>
  <c r="D658" i="1"/>
  <c r="L658" i="1"/>
  <c r="T659" i="1" l="1"/>
  <c r="L659" i="1"/>
  <c r="D659" i="1"/>
  <c r="S659" i="1"/>
  <c r="K659" i="1"/>
  <c r="C659" i="1"/>
  <c r="R659" i="1"/>
  <c r="J659" i="1"/>
  <c r="B659" i="1"/>
  <c r="A660" i="1"/>
  <c r="P659" i="1"/>
  <c r="H659" i="1"/>
  <c r="Q659" i="1"/>
  <c r="O659" i="1"/>
  <c r="N659" i="1"/>
  <c r="I659" i="1"/>
  <c r="W659" i="1"/>
  <c r="V659" i="1"/>
  <c r="M659" i="1"/>
  <c r="U659" i="1"/>
  <c r="G659" i="1"/>
  <c r="F659" i="1"/>
  <c r="E659" i="1"/>
  <c r="U660" i="1" l="1"/>
  <c r="M660" i="1"/>
  <c r="E660" i="1"/>
  <c r="T660" i="1"/>
  <c r="L660" i="1"/>
  <c r="D660" i="1"/>
  <c r="S660" i="1"/>
  <c r="K660" i="1"/>
  <c r="C660" i="1"/>
  <c r="Q660" i="1"/>
  <c r="I660" i="1"/>
  <c r="J660" i="1"/>
  <c r="A661" i="1"/>
  <c r="H660" i="1"/>
  <c r="W660" i="1"/>
  <c r="G660" i="1"/>
  <c r="R660" i="1"/>
  <c r="B660" i="1"/>
  <c r="F660" i="1"/>
  <c r="V660" i="1"/>
  <c r="N660" i="1"/>
  <c r="P660" i="1"/>
  <c r="O660" i="1"/>
  <c r="V661" i="1" l="1"/>
  <c r="N661" i="1"/>
  <c r="F661" i="1"/>
  <c r="U661" i="1"/>
  <c r="M661" i="1"/>
  <c r="E661" i="1"/>
  <c r="T661" i="1"/>
  <c r="L661" i="1"/>
  <c r="D661" i="1"/>
  <c r="R661" i="1"/>
  <c r="J661" i="1"/>
  <c r="B661" i="1"/>
  <c r="S661" i="1"/>
  <c r="C661" i="1"/>
  <c r="Q661" i="1"/>
  <c r="P661" i="1"/>
  <c r="K661" i="1"/>
  <c r="O661" i="1"/>
  <c r="I661" i="1"/>
  <c r="H661" i="1"/>
  <c r="W661" i="1"/>
  <c r="A662" i="1"/>
  <c r="G661" i="1"/>
  <c r="W662" i="1" l="1"/>
  <c r="O662" i="1"/>
  <c r="G662" i="1"/>
  <c r="V662" i="1"/>
  <c r="N662" i="1"/>
  <c r="F662" i="1"/>
  <c r="U662" i="1"/>
  <c r="M662" i="1"/>
  <c r="E662" i="1"/>
  <c r="S662" i="1"/>
  <c r="K662" i="1"/>
  <c r="C662" i="1"/>
  <c r="L662" i="1"/>
  <c r="J662" i="1"/>
  <c r="I662" i="1"/>
  <c r="T662" i="1"/>
  <c r="D662" i="1"/>
  <c r="A663" i="1"/>
  <c r="R662" i="1"/>
  <c r="Q662" i="1"/>
  <c r="H662" i="1"/>
  <c r="P662" i="1"/>
  <c r="B662" i="1"/>
  <c r="A664" i="1" l="1"/>
  <c r="P663" i="1"/>
  <c r="H663" i="1"/>
  <c r="W663" i="1"/>
  <c r="O663" i="1"/>
  <c r="G663" i="1"/>
  <c r="V663" i="1"/>
  <c r="N663" i="1"/>
  <c r="F663" i="1"/>
  <c r="T663" i="1"/>
  <c r="L663" i="1"/>
  <c r="D663" i="1"/>
  <c r="U663" i="1"/>
  <c r="E663" i="1"/>
  <c r="S663" i="1"/>
  <c r="C663" i="1"/>
  <c r="R663" i="1"/>
  <c r="B663" i="1"/>
  <c r="M663" i="1"/>
  <c r="Q663" i="1"/>
  <c r="I663" i="1"/>
  <c r="J663" i="1"/>
  <c r="K663" i="1"/>
  <c r="Q664" i="1" l="1"/>
  <c r="I664" i="1"/>
  <c r="A665" i="1"/>
  <c r="P664" i="1"/>
  <c r="H664" i="1"/>
  <c r="W664" i="1"/>
  <c r="O664" i="1"/>
  <c r="G664" i="1"/>
  <c r="U664" i="1"/>
  <c r="M664" i="1"/>
  <c r="E664" i="1"/>
  <c r="N664" i="1"/>
  <c r="L664" i="1"/>
  <c r="K664" i="1"/>
  <c r="V664" i="1"/>
  <c r="F664" i="1"/>
  <c r="J664" i="1"/>
  <c r="D664" i="1"/>
  <c r="C664" i="1"/>
  <c r="T664" i="1"/>
  <c r="S664" i="1"/>
  <c r="R664" i="1"/>
  <c r="B664" i="1"/>
  <c r="R665" i="1" l="1"/>
  <c r="J665" i="1"/>
  <c r="B665" i="1"/>
  <c r="Q665" i="1"/>
  <c r="I665" i="1"/>
  <c r="A666" i="1"/>
  <c r="P665" i="1"/>
  <c r="H665" i="1"/>
  <c r="V665" i="1"/>
  <c r="N665" i="1"/>
  <c r="F665" i="1"/>
  <c r="W665" i="1"/>
  <c r="G665" i="1"/>
  <c r="U665" i="1"/>
  <c r="E665" i="1"/>
  <c r="T665" i="1"/>
  <c r="D665" i="1"/>
  <c r="O665" i="1"/>
  <c r="S665" i="1"/>
  <c r="M665" i="1"/>
  <c r="L665" i="1"/>
  <c r="C665" i="1"/>
  <c r="K665" i="1"/>
  <c r="S666" i="1" l="1"/>
  <c r="K666" i="1"/>
  <c r="C666" i="1"/>
  <c r="R666" i="1"/>
  <c r="J666" i="1"/>
  <c r="B666" i="1"/>
  <c r="Q666" i="1"/>
  <c r="I666" i="1"/>
  <c r="W666" i="1"/>
  <c r="O666" i="1"/>
  <c r="G666" i="1"/>
  <c r="P666" i="1"/>
  <c r="N666" i="1"/>
  <c r="M666" i="1"/>
  <c r="A667" i="1"/>
  <c r="H666" i="1"/>
  <c r="V666" i="1"/>
  <c r="U666" i="1"/>
  <c r="L666" i="1"/>
  <c r="E666" i="1"/>
  <c r="D666" i="1"/>
  <c r="T666" i="1"/>
  <c r="F666" i="1"/>
  <c r="T667" i="1" l="1"/>
  <c r="L667" i="1"/>
  <c r="D667" i="1"/>
  <c r="S667" i="1"/>
  <c r="K667" i="1"/>
  <c r="C667" i="1"/>
  <c r="R667" i="1"/>
  <c r="J667" i="1"/>
  <c r="B667" i="1"/>
  <c r="A668" i="1"/>
  <c r="P667" i="1"/>
  <c r="H667" i="1"/>
  <c r="I667" i="1"/>
  <c r="W667" i="1"/>
  <c r="G667" i="1"/>
  <c r="V667" i="1"/>
  <c r="F667" i="1"/>
  <c r="Q667" i="1"/>
  <c r="E667" i="1"/>
  <c r="U667" i="1"/>
  <c r="O667" i="1"/>
  <c r="M667" i="1"/>
  <c r="N667" i="1"/>
  <c r="U668" i="1" l="1"/>
  <c r="M668" i="1"/>
  <c r="E668" i="1"/>
  <c r="T668" i="1"/>
  <c r="L668" i="1"/>
  <c r="D668" i="1"/>
  <c r="S668" i="1"/>
  <c r="K668" i="1"/>
  <c r="C668" i="1"/>
  <c r="Q668" i="1"/>
  <c r="I668" i="1"/>
  <c r="R668" i="1"/>
  <c r="B668" i="1"/>
  <c r="P668" i="1"/>
  <c r="O668" i="1"/>
  <c r="J668" i="1"/>
  <c r="N668" i="1"/>
  <c r="H668" i="1"/>
  <c r="G668" i="1"/>
  <c r="F668" i="1"/>
  <c r="V668" i="1"/>
  <c r="W668" i="1"/>
  <c r="A669" i="1"/>
  <c r="V669" i="1" l="1"/>
  <c r="N669" i="1"/>
  <c r="F669" i="1"/>
  <c r="U669" i="1"/>
  <c r="M669" i="1"/>
  <c r="E669" i="1"/>
  <c r="T669" i="1"/>
  <c r="L669" i="1"/>
  <c r="D669" i="1"/>
  <c r="R669" i="1"/>
  <c r="J669" i="1"/>
  <c r="B669" i="1"/>
  <c r="K669" i="1"/>
  <c r="I669" i="1"/>
  <c r="A670" i="1"/>
  <c r="H669" i="1"/>
  <c r="S669" i="1"/>
  <c r="C669" i="1"/>
  <c r="W669" i="1"/>
  <c r="Q669" i="1"/>
  <c r="P669" i="1"/>
  <c r="G669" i="1"/>
  <c r="O669" i="1"/>
  <c r="W670" i="1" l="1"/>
  <c r="O670" i="1"/>
  <c r="G670" i="1"/>
  <c r="V670" i="1"/>
  <c r="N670" i="1"/>
  <c r="F670" i="1"/>
  <c r="U670" i="1"/>
  <c r="M670" i="1"/>
  <c r="E670" i="1"/>
  <c r="S670" i="1"/>
  <c r="K670" i="1"/>
  <c r="C670" i="1"/>
  <c r="T670" i="1"/>
  <c r="D670" i="1"/>
  <c r="R670" i="1"/>
  <c r="B670" i="1"/>
  <c r="Q670" i="1"/>
  <c r="L670" i="1"/>
  <c r="P670" i="1"/>
  <c r="A671" i="1"/>
  <c r="J670" i="1"/>
  <c r="I670" i="1"/>
  <c r="H670" i="1"/>
  <c r="A672" i="1" l="1"/>
  <c r="P671" i="1"/>
  <c r="H671" i="1"/>
  <c r="W671" i="1"/>
  <c r="O671" i="1"/>
  <c r="G671" i="1"/>
  <c r="V671" i="1"/>
  <c r="N671" i="1"/>
  <c r="F671" i="1"/>
  <c r="T671" i="1"/>
  <c r="L671" i="1"/>
  <c r="D671" i="1"/>
  <c r="M671" i="1"/>
  <c r="K671" i="1"/>
  <c r="J671" i="1"/>
  <c r="U671" i="1"/>
  <c r="E671" i="1"/>
  <c r="I671" i="1"/>
  <c r="C671" i="1"/>
  <c r="B671" i="1"/>
  <c r="R671" i="1"/>
  <c r="Q671" i="1"/>
  <c r="S671" i="1"/>
  <c r="Q672" i="1" l="1"/>
  <c r="I672" i="1"/>
  <c r="A673" i="1"/>
  <c r="P672" i="1"/>
  <c r="H672" i="1"/>
  <c r="W672" i="1"/>
  <c r="O672" i="1"/>
  <c r="G672" i="1"/>
  <c r="U672" i="1"/>
  <c r="M672" i="1"/>
  <c r="E672" i="1"/>
  <c r="V672" i="1"/>
  <c r="F672" i="1"/>
  <c r="T672" i="1"/>
  <c r="D672" i="1"/>
  <c r="S672" i="1"/>
  <c r="C672" i="1"/>
  <c r="N672" i="1"/>
  <c r="R672" i="1"/>
  <c r="L672" i="1"/>
  <c r="K672" i="1"/>
  <c r="B672" i="1"/>
  <c r="J672" i="1"/>
  <c r="R673" i="1" l="1"/>
  <c r="J673" i="1"/>
  <c r="B673" i="1"/>
  <c r="Q673" i="1"/>
  <c r="I673" i="1"/>
  <c r="A674" i="1"/>
  <c r="P673" i="1"/>
  <c r="H673" i="1"/>
  <c r="V673" i="1"/>
  <c r="N673" i="1"/>
  <c r="F673" i="1"/>
  <c r="O673" i="1"/>
  <c r="M673" i="1"/>
  <c r="L673" i="1"/>
  <c r="W673" i="1"/>
  <c r="G673" i="1"/>
  <c r="U673" i="1"/>
  <c r="T673" i="1"/>
  <c r="K673" i="1"/>
  <c r="S673" i="1"/>
  <c r="E673" i="1"/>
  <c r="C673" i="1"/>
  <c r="D673" i="1"/>
  <c r="S674" i="1" l="1"/>
  <c r="K674" i="1"/>
  <c r="C674" i="1"/>
  <c r="R674" i="1"/>
  <c r="J674" i="1"/>
  <c r="B674" i="1"/>
  <c r="Q674" i="1"/>
  <c r="I674" i="1"/>
  <c r="W674" i="1"/>
  <c r="O674" i="1"/>
  <c r="G674" i="1"/>
  <c r="A675" i="1"/>
  <c r="H674" i="1"/>
  <c r="V674" i="1"/>
  <c r="F674" i="1"/>
  <c r="U674" i="1"/>
  <c r="E674" i="1"/>
  <c r="P674" i="1"/>
  <c r="D674" i="1"/>
  <c r="T674" i="1"/>
  <c r="L674" i="1"/>
  <c r="M674" i="1"/>
  <c r="N674" i="1"/>
  <c r="T675" i="1" l="1"/>
  <c r="L675" i="1"/>
  <c r="D675" i="1"/>
  <c r="S675" i="1"/>
  <c r="K675" i="1"/>
  <c r="C675" i="1"/>
  <c r="R675" i="1"/>
  <c r="J675" i="1"/>
  <c r="B675" i="1"/>
  <c r="A676" i="1"/>
  <c r="P675" i="1"/>
  <c r="H675" i="1"/>
  <c r="Q675" i="1"/>
  <c r="O675" i="1"/>
  <c r="N675" i="1"/>
  <c r="I675" i="1"/>
  <c r="M675" i="1"/>
  <c r="G675" i="1"/>
  <c r="F675" i="1"/>
  <c r="W675" i="1"/>
  <c r="V675" i="1"/>
  <c r="U675" i="1"/>
  <c r="E675" i="1"/>
  <c r="U676" i="1" l="1"/>
  <c r="M676" i="1"/>
  <c r="E676" i="1"/>
  <c r="T676" i="1"/>
  <c r="L676" i="1"/>
  <c r="D676" i="1"/>
  <c r="S676" i="1"/>
  <c r="K676" i="1"/>
  <c r="C676" i="1"/>
  <c r="Q676" i="1"/>
  <c r="I676" i="1"/>
  <c r="J676" i="1"/>
  <c r="A677" i="1"/>
  <c r="H676" i="1"/>
  <c r="W676" i="1"/>
  <c r="G676" i="1"/>
  <c r="R676" i="1"/>
  <c r="B676" i="1"/>
  <c r="V676" i="1"/>
  <c r="P676" i="1"/>
  <c r="O676" i="1"/>
  <c r="F676" i="1"/>
  <c r="N676" i="1"/>
  <c r="V677" i="1" l="1"/>
  <c r="N677" i="1"/>
  <c r="F677" i="1"/>
  <c r="U677" i="1"/>
  <c r="M677" i="1"/>
  <c r="E677" i="1"/>
  <c r="T677" i="1"/>
  <c r="L677" i="1"/>
  <c r="D677" i="1"/>
  <c r="R677" i="1"/>
  <c r="J677" i="1"/>
  <c r="B677" i="1"/>
  <c r="S677" i="1"/>
  <c r="C677" i="1"/>
  <c r="Q677" i="1"/>
  <c r="P677" i="1"/>
  <c r="K677" i="1"/>
  <c r="A678" i="1"/>
  <c r="O677" i="1"/>
  <c r="H677" i="1"/>
  <c r="G677" i="1"/>
  <c r="W677" i="1"/>
  <c r="I677" i="1"/>
  <c r="W678" i="1" l="1"/>
  <c r="O678" i="1"/>
  <c r="G678" i="1"/>
  <c r="V678" i="1"/>
  <c r="N678" i="1"/>
  <c r="F678" i="1"/>
  <c r="U678" i="1"/>
  <c r="M678" i="1"/>
  <c r="E678" i="1"/>
  <c r="S678" i="1"/>
  <c r="K678" i="1"/>
  <c r="C678" i="1"/>
  <c r="L678" i="1"/>
  <c r="J678" i="1"/>
  <c r="I678" i="1"/>
  <c r="T678" i="1"/>
  <c r="D678" i="1"/>
  <c r="H678" i="1"/>
  <c r="B678" i="1"/>
  <c r="A679" i="1"/>
  <c r="R678" i="1"/>
  <c r="P678" i="1"/>
  <c r="Q678" i="1"/>
  <c r="A680" i="1" l="1"/>
  <c r="P679" i="1"/>
  <c r="H679" i="1"/>
  <c r="W679" i="1"/>
  <c r="O679" i="1"/>
  <c r="G679" i="1"/>
  <c r="V679" i="1"/>
  <c r="N679" i="1"/>
  <c r="F679" i="1"/>
  <c r="T679" i="1"/>
  <c r="L679" i="1"/>
  <c r="D679" i="1"/>
  <c r="U679" i="1"/>
  <c r="E679" i="1"/>
  <c r="S679" i="1"/>
  <c r="C679" i="1"/>
  <c r="R679" i="1"/>
  <c r="B679" i="1"/>
  <c r="M679" i="1"/>
  <c r="Q679" i="1"/>
  <c r="K679" i="1"/>
  <c r="J679" i="1"/>
  <c r="I679" i="1"/>
  <c r="Q680" i="1" l="1"/>
  <c r="I680" i="1"/>
  <c r="A681" i="1"/>
  <c r="P680" i="1"/>
  <c r="H680" i="1"/>
  <c r="W680" i="1"/>
  <c r="O680" i="1"/>
  <c r="G680" i="1"/>
  <c r="U680" i="1"/>
  <c r="M680" i="1"/>
  <c r="E680" i="1"/>
  <c r="N680" i="1"/>
  <c r="L680" i="1"/>
  <c r="K680" i="1"/>
  <c r="V680" i="1"/>
  <c r="F680" i="1"/>
  <c r="T680" i="1"/>
  <c r="S680" i="1"/>
  <c r="J680" i="1"/>
  <c r="C680" i="1"/>
  <c r="B680" i="1"/>
  <c r="R680" i="1"/>
  <c r="D680" i="1"/>
  <c r="R681" i="1" l="1"/>
  <c r="J681" i="1"/>
  <c r="B681" i="1"/>
  <c r="Q681" i="1"/>
  <c r="I681" i="1"/>
  <c r="A682" i="1"/>
  <c r="P681" i="1"/>
  <c r="H681" i="1"/>
  <c r="V681" i="1"/>
  <c r="N681" i="1"/>
  <c r="F681" i="1"/>
  <c r="W681" i="1"/>
  <c r="G681" i="1"/>
  <c r="U681" i="1"/>
  <c r="E681" i="1"/>
  <c r="T681" i="1"/>
  <c r="D681" i="1"/>
  <c r="O681" i="1"/>
  <c r="C681" i="1"/>
  <c r="S681" i="1"/>
  <c r="M681" i="1"/>
  <c r="L681" i="1"/>
  <c r="K681" i="1"/>
  <c r="S682" i="1" l="1"/>
  <c r="K682" i="1"/>
  <c r="C682" i="1"/>
  <c r="R682" i="1"/>
  <c r="J682" i="1"/>
  <c r="B682" i="1"/>
  <c r="Q682" i="1"/>
  <c r="I682" i="1"/>
  <c r="W682" i="1"/>
  <c r="O682" i="1"/>
  <c r="G682" i="1"/>
  <c r="P682" i="1"/>
  <c r="N682" i="1"/>
  <c r="M682" i="1"/>
  <c r="A683" i="1"/>
  <c r="H682" i="1"/>
  <c r="L682" i="1"/>
  <c r="F682" i="1"/>
  <c r="E682" i="1"/>
  <c r="D682" i="1"/>
  <c r="T682" i="1"/>
  <c r="U682" i="1"/>
  <c r="V682" i="1"/>
  <c r="T683" i="1" l="1"/>
  <c r="L683" i="1"/>
  <c r="D683" i="1"/>
  <c r="S683" i="1"/>
  <c r="K683" i="1"/>
  <c r="C683" i="1"/>
  <c r="R683" i="1"/>
  <c r="J683" i="1"/>
  <c r="B683" i="1"/>
  <c r="A684" i="1"/>
  <c r="P683" i="1"/>
  <c r="H683" i="1"/>
  <c r="I683" i="1"/>
  <c r="W683" i="1"/>
  <c r="G683" i="1"/>
  <c r="V683" i="1"/>
  <c r="F683" i="1"/>
  <c r="Q683" i="1"/>
  <c r="U683" i="1"/>
  <c r="O683" i="1"/>
  <c r="N683" i="1"/>
  <c r="E683" i="1"/>
  <c r="M683" i="1"/>
  <c r="U684" i="1" l="1"/>
  <c r="M684" i="1"/>
  <c r="E684" i="1"/>
  <c r="T684" i="1"/>
  <c r="L684" i="1"/>
  <c r="D684" i="1"/>
  <c r="S684" i="1"/>
  <c r="K684" i="1"/>
  <c r="C684" i="1"/>
  <c r="Q684" i="1"/>
  <c r="I684" i="1"/>
  <c r="R684" i="1"/>
  <c r="B684" i="1"/>
  <c r="P684" i="1"/>
  <c r="O684" i="1"/>
  <c r="J684" i="1"/>
  <c r="A685" i="1"/>
  <c r="W684" i="1"/>
  <c r="N684" i="1"/>
  <c r="V684" i="1"/>
  <c r="H684" i="1"/>
  <c r="F684" i="1"/>
  <c r="G684" i="1"/>
  <c r="V685" i="1" l="1"/>
  <c r="N685" i="1"/>
  <c r="F685" i="1"/>
  <c r="U685" i="1"/>
  <c r="M685" i="1"/>
  <c r="E685" i="1"/>
  <c r="T685" i="1"/>
  <c r="L685" i="1"/>
  <c r="D685" i="1"/>
  <c r="R685" i="1"/>
  <c r="J685" i="1"/>
  <c r="B685" i="1"/>
  <c r="K685" i="1"/>
  <c r="I685" i="1"/>
  <c r="A686" i="1"/>
  <c r="H685" i="1"/>
  <c r="S685" i="1"/>
  <c r="C685" i="1"/>
  <c r="G685" i="1"/>
  <c r="W685" i="1"/>
  <c r="P685" i="1"/>
  <c r="O685" i="1"/>
  <c r="Q685" i="1"/>
  <c r="W686" i="1" l="1"/>
  <c r="O686" i="1"/>
  <c r="G686" i="1"/>
  <c r="V686" i="1"/>
  <c r="N686" i="1"/>
  <c r="F686" i="1"/>
  <c r="U686" i="1"/>
  <c r="M686" i="1"/>
  <c r="E686" i="1"/>
  <c r="S686" i="1"/>
  <c r="K686" i="1"/>
  <c r="C686" i="1"/>
  <c r="T686" i="1"/>
  <c r="D686" i="1"/>
  <c r="R686" i="1"/>
  <c r="B686" i="1"/>
  <c r="Q686" i="1"/>
  <c r="L686" i="1"/>
  <c r="P686" i="1"/>
  <c r="J686" i="1"/>
  <c r="I686" i="1"/>
  <c r="A687" i="1"/>
  <c r="H686" i="1"/>
  <c r="A688" i="1" l="1"/>
  <c r="P687" i="1"/>
  <c r="H687" i="1"/>
  <c r="W687" i="1"/>
  <c r="O687" i="1"/>
  <c r="G687" i="1"/>
  <c r="V687" i="1"/>
  <c r="N687" i="1"/>
  <c r="F687" i="1"/>
  <c r="T687" i="1"/>
  <c r="L687" i="1"/>
  <c r="D687" i="1"/>
  <c r="M687" i="1"/>
  <c r="K687" i="1"/>
  <c r="J687" i="1"/>
  <c r="U687" i="1"/>
  <c r="E687" i="1"/>
  <c r="S687" i="1"/>
  <c r="R687" i="1"/>
  <c r="I687" i="1"/>
  <c r="Q687" i="1"/>
  <c r="C687" i="1"/>
  <c r="B687" i="1"/>
  <c r="Q688" i="1" l="1"/>
  <c r="I688" i="1"/>
  <c r="A689" i="1"/>
  <c r="P688" i="1"/>
  <c r="H688" i="1"/>
  <c r="W688" i="1"/>
  <c r="O688" i="1"/>
  <c r="G688" i="1"/>
  <c r="U688" i="1"/>
  <c r="M688" i="1"/>
  <c r="E688" i="1"/>
  <c r="V688" i="1"/>
  <c r="F688" i="1"/>
  <c r="T688" i="1"/>
  <c r="D688" i="1"/>
  <c r="S688" i="1"/>
  <c r="C688" i="1"/>
  <c r="N688" i="1"/>
  <c r="B688" i="1"/>
  <c r="R688" i="1"/>
  <c r="J688" i="1"/>
  <c r="K688" i="1"/>
  <c r="L688" i="1"/>
  <c r="R689" i="1" l="1"/>
  <c r="J689" i="1"/>
  <c r="B689" i="1"/>
  <c r="Q689" i="1"/>
  <c r="I689" i="1"/>
  <c r="A690" i="1"/>
  <c r="P689" i="1"/>
  <c r="H689" i="1"/>
  <c r="V689" i="1"/>
  <c r="N689" i="1"/>
  <c r="F689" i="1"/>
  <c r="O689" i="1"/>
  <c r="M689" i="1"/>
  <c r="L689" i="1"/>
  <c r="W689" i="1"/>
  <c r="G689" i="1"/>
  <c r="K689" i="1"/>
  <c r="E689" i="1"/>
  <c r="D689" i="1"/>
  <c r="U689" i="1"/>
  <c r="S689" i="1"/>
  <c r="T689" i="1"/>
  <c r="C689" i="1"/>
  <c r="S690" i="1" l="1"/>
  <c r="K690" i="1"/>
  <c r="C690" i="1"/>
  <c r="R690" i="1"/>
  <c r="J690" i="1"/>
  <c r="B690" i="1"/>
  <c r="Q690" i="1"/>
  <c r="I690" i="1"/>
  <c r="W690" i="1"/>
  <c r="O690" i="1"/>
  <c r="G690" i="1"/>
  <c r="A691" i="1"/>
  <c r="H690" i="1"/>
  <c r="V690" i="1"/>
  <c r="F690" i="1"/>
  <c r="U690" i="1"/>
  <c r="E690" i="1"/>
  <c r="P690" i="1"/>
  <c r="T690" i="1"/>
  <c r="N690" i="1"/>
  <c r="M690" i="1"/>
  <c r="D690" i="1"/>
  <c r="L690" i="1"/>
  <c r="T691" i="1" l="1"/>
  <c r="L691" i="1"/>
  <c r="D691" i="1"/>
  <c r="S691" i="1"/>
  <c r="K691" i="1"/>
  <c r="C691" i="1"/>
  <c r="R691" i="1"/>
  <c r="J691" i="1"/>
  <c r="B691" i="1"/>
  <c r="A692" i="1"/>
  <c r="P691" i="1"/>
  <c r="H691" i="1"/>
  <c r="Q691" i="1"/>
  <c r="O691" i="1"/>
  <c r="N691" i="1"/>
  <c r="I691" i="1"/>
  <c r="W691" i="1"/>
  <c r="V691" i="1"/>
  <c r="M691" i="1"/>
  <c r="F691" i="1"/>
  <c r="E691" i="1"/>
  <c r="U691" i="1"/>
  <c r="G691" i="1"/>
  <c r="U692" i="1" l="1"/>
  <c r="M692" i="1"/>
  <c r="E692" i="1"/>
  <c r="T692" i="1"/>
  <c r="L692" i="1"/>
  <c r="D692" i="1"/>
  <c r="S692" i="1"/>
  <c r="K692" i="1"/>
  <c r="C692" i="1"/>
  <c r="Q692" i="1"/>
  <c r="I692" i="1"/>
  <c r="J692" i="1"/>
  <c r="A693" i="1"/>
  <c r="H692" i="1"/>
  <c r="W692" i="1"/>
  <c r="G692" i="1"/>
  <c r="R692" i="1"/>
  <c r="B692" i="1"/>
  <c r="F692" i="1"/>
  <c r="V692" i="1"/>
  <c r="P692" i="1"/>
  <c r="O692" i="1"/>
  <c r="N692" i="1"/>
  <c r="V693" i="1" l="1"/>
  <c r="N693" i="1"/>
  <c r="F693" i="1"/>
  <c r="U693" i="1"/>
  <c r="M693" i="1"/>
  <c r="E693" i="1"/>
  <c r="T693" i="1"/>
  <c r="L693" i="1"/>
  <c r="D693" i="1"/>
  <c r="R693" i="1"/>
  <c r="J693" i="1"/>
  <c r="B693" i="1"/>
  <c r="S693" i="1"/>
  <c r="C693" i="1"/>
  <c r="Q693" i="1"/>
  <c r="P693" i="1"/>
  <c r="K693" i="1"/>
  <c r="O693" i="1"/>
  <c r="I693" i="1"/>
  <c r="H693" i="1"/>
  <c r="G693" i="1"/>
  <c r="W693" i="1"/>
  <c r="A694" i="1"/>
  <c r="W694" i="1" l="1"/>
  <c r="O694" i="1"/>
  <c r="G694" i="1"/>
  <c r="V694" i="1"/>
  <c r="N694" i="1"/>
  <c r="F694" i="1"/>
  <c r="U694" i="1"/>
  <c r="M694" i="1"/>
  <c r="E694" i="1"/>
  <c r="S694" i="1"/>
  <c r="K694" i="1"/>
  <c r="C694" i="1"/>
  <c r="L694" i="1"/>
  <c r="J694" i="1"/>
  <c r="I694" i="1"/>
  <c r="T694" i="1"/>
  <c r="D694" i="1"/>
  <c r="A695" i="1"/>
  <c r="R694" i="1"/>
  <c r="Q694" i="1"/>
  <c r="H694" i="1"/>
  <c r="P694" i="1"/>
  <c r="B694" i="1"/>
  <c r="A696" i="1" l="1"/>
  <c r="P695" i="1"/>
  <c r="H695" i="1"/>
  <c r="W695" i="1"/>
  <c r="O695" i="1"/>
  <c r="G695" i="1"/>
  <c r="V695" i="1"/>
  <c r="N695" i="1"/>
  <c r="F695" i="1"/>
  <c r="T695" i="1"/>
  <c r="L695" i="1"/>
  <c r="D695" i="1"/>
  <c r="U695" i="1"/>
  <c r="E695" i="1"/>
  <c r="S695" i="1"/>
  <c r="C695" i="1"/>
  <c r="R695" i="1"/>
  <c r="B695" i="1"/>
  <c r="M695" i="1"/>
  <c r="Q695" i="1"/>
  <c r="K695" i="1"/>
  <c r="I695" i="1"/>
  <c r="J695" i="1"/>
  <c r="U696" i="1" l="1"/>
  <c r="M696" i="1"/>
  <c r="E696" i="1"/>
  <c r="T696" i="1"/>
  <c r="L696" i="1"/>
  <c r="D696" i="1"/>
  <c r="S696" i="1"/>
  <c r="K696" i="1"/>
  <c r="C696" i="1"/>
  <c r="Q696" i="1"/>
  <c r="I696" i="1"/>
  <c r="R696" i="1"/>
  <c r="B696" i="1"/>
  <c r="P696" i="1"/>
  <c r="O696" i="1"/>
  <c r="J696" i="1"/>
  <c r="A697" i="1"/>
  <c r="W696" i="1"/>
  <c r="N696" i="1"/>
  <c r="V696" i="1"/>
  <c r="H696" i="1"/>
  <c r="G696" i="1"/>
  <c r="F696" i="1"/>
  <c r="V697" i="1" l="1"/>
  <c r="N697" i="1"/>
  <c r="F697" i="1"/>
  <c r="U697" i="1"/>
  <c r="M697" i="1"/>
  <c r="E697" i="1"/>
  <c r="T697" i="1"/>
  <c r="L697" i="1"/>
  <c r="D697" i="1"/>
  <c r="R697" i="1"/>
  <c r="J697" i="1"/>
  <c r="B697" i="1"/>
  <c r="K697" i="1"/>
  <c r="I697" i="1"/>
  <c r="A698" i="1"/>
  <c r="H697" i="1"/>
  <c r="S697" i="1"/>
  <c r="C697" i="1"/>
  <c r="G697" i="1"/>
  <c r="W697" i="1"/>
  <c r="P697" i="1"/>
  <c r="O697" i="1"/>
  <c r="Q697" i="1"/>
  <c r="W698" i="1" l="1"/>
  <c r="O698" i="1"/>
  <c r="G698" i="1"/>
  <c r="V698" i="1"/>
  <c r="N698" i="1"/>
  <c r="F698" i="1"/>
  <c r="U698" i="1"/>
  <c r="M698" i="1"/>
  <c r="E698" i="1"/>
  <c r="S698" i="1"/>
  <c r="K698" i="1"/>
  <c r="C698" i="1"/>
  <c r="T698" i="1"/>
  <c r="D698" i="1"/>
  <c r="R698" i="1"/>
  <c r="B698" i="1"/>
  <c r="Q698" i="1"/>
  <c r="L698" i="1"/>
  <c r="P698" i="1"/>
  <c r="J698" i="1"/>
  <c r="I698" i="1"/>
  <c r="H698" i="1"/>
  <c r="A699" i="1"/>
  <c r="A700" i="1" l="1"/>
  <c r="P699" i="1"/>
  <c r="H699" i="1"/>
  <c r="W699" i="1"/>
  <c r="O699" i="1"/>
  <c r="G699" i="1"/>
  <c r="V699" i="1"/>
  <c r="N699" i="1"/>
  <c r="F699" i="1"/>
  <c r="T699" i="1"/>
  <c r="L699" i="1"/>
  <c r="D699" i="1"/>
  <c r="M699" i="1"/>
  <c r="K699" i="1"/>
  <c r="J699" i="1"/>
  <c r="U699" i="1"/>
  <c r="E699" i="1"/>
  <c r="S699" i="1"/>
  <c r="R699" i="1"/>
  <c r="I699" i="1"/>
  <c r="Q699" i="1"/>
  <c r="C699" i="1"/>
  <c r="B699" i="1"/>
  <c r="Q700" i="1" l="1"/>
  <c r="I700" i="1"/>
  <c r="A701" i="1"/>
  <c r="P700" i="1"/>
  <c r="H700" i="1"/>
  <c r="W700" i="1"/>
  <c r="O700" i="1"/>
  <c r="G700" i="1"/>
  <c r="U700" i="1"/>
  <c r="M700" i="1"/>
  <c r="E700" i="1"/>
  <c r="V700" i="1"/>
  <c r="F700" i="1"/>
  <c r="T700" i="1"/>
  <c r="D700" i="1"/>
  <c r="S700" i="1"/>
  <c r="C700" i="1"/>
  <c r="N700" i="1"/>
  <c r="B700" i="1"/>
  <c r="R700" i="1"/>
  <c r="L700" i="1"/>
  <c r="K700" i="1"/>
  <c r="J700" i="1"/>
  <c r="R701" i="1" l="1"/>
  <c r="J701" i="1"/>
  <c r="B701" i="1"/>
  <c r="Q701" i="1"/>
  <c r="I701" i="1"/>
  <c r="A702" i="1"/>
  <c r="P701" i="1"/>
  <c r="H701" i="1"/>
  <c r="V701" i="1"/>
  <c r="N701" i="1"/>
  <c r="F701" i="1"/>
  <c r="O701" i="1"/>
  <c r="M701" i="1"/>
  <c r="L701" i="1"/>
  <c r="W701" i="1"/>
  <c r="G701" i="1"/>
  <c r="K701" i="1"/>
  <c r="E701" i="1"/>
  <c r="D701" i="1"/>
  <c r="U701" i="1"/>
  <c r="T701" i="1"/>
  <c r="C701" i="1"/>
  <c r="S701" i="1"/>
  <c r="S702" i="1" l="1"/>
  <c r="K702" i="1"/>
  <c r="C702" i="1"/>
  <c r="R702" i="1"/>
  <c r="J702" i="1"/>
  <c r="B702" i="1"/>
  <c r="Q702" i="1"/>
  <c r="I702" i="1"/>
  <c r="W702" i="1"/>
  <c r="O702" i="1"/>
  <c r="G702" i="1"/>
  <c r="A703" i="1"/>
  <c r="H702" i="1"/>
  <c r="V702" i="1"/>
  <c r="F702" i="1"/>
  <c r="U702" i="1"/>
  <c r="E702" i="1"/>
  <c r="P702" i="1"/>
  <c r="T702" i="1"/>
  <c r="N702" i="1"/>
  <c r="M702" i="1"/>
  <c r="D702" i="1"/>
  <c r="L702" i="1"/>
  <c r="T703" i="1" l="1"/>
  <c r="L703" i="1"/>
  <c r="D703" i="1"/>
  <c r="S703" i="1"/>
  <c r="K703" i="1"/>
  <c r="C703" i="1"/>
  <c r="R703" i="1"/>
  <c r="J703" i="1"/>
  <c r="B703" i="1"/>
  <c r="A704" i="1"/>
  <c r="P703" i="1"/>
  <c r="H703" i="1"/>
  <c r="Q703" i="1"/>
  <c r="O703" i="1"/>
  <c r="N703" i="1"/>
  <c r="I703" i="1"/>
  <c r="W703" i="1"/>
  <c r="V703" i="1"/>
  <c r="M703" i="1"/>
  <c r="U703" i="1"/>
  <c r="E703" i="1"/>
  <c r="F703" i="1"/>
  <c r="G703" i="1"/>
  <c r="U704" i="1" l="1"/>
  <c r="M704" i="1"/>
  <c r="E704" i="1"/>
  <c r="T704" i="1"/>
  <c r="L704" i="1"/>
  <c r="D704" i="1"/>
  <c r="S704" i="1"/>
  <c r="K704" i="1"/>
  <c r="C704" i="1"/>
  <c r="Q704" i="1"/>
  <c r="I704" i="1"/>
  <c r="J704" i="1"/>
  <c r="A705" i="1"/>
  <c r="H704" i="1"/>
  <c r="W704" i="1"/>
  <c r="G704" i="1"/>
  <c r="R704" i="1"/>
  <c r="B704" i="1"/>
  <c r="F704" i="1"/>
  <c r="V704" i="1"/>
  <c r="P704" i="1"/>
  <c r="O704" i="1"/>
  <c r="N704" i="1"/>
  <c r="V705" i="1" l="1"/>
  <c r="N705" i="1"/>
  <c r="F705" i="1"/>
  <c r="U705" i="1"/>
  <c r="M705" i="1"/>
  <c r="E705" i="1"/>
  <c r="T705" i="1"/>
  <c r="L705" i="1"/>
  <c r="D705" i="1"/>
  <c r="R705" i="1"/>
  <c r="J705" i="1"/>
  <c r="B705" i="1"/>
  <c r="S705" i="1"/>
  <c r="C705" i="1"/>
  <c r="Q705" i="1"/>
  <c r="P705" i="1"/>
  <c r="K705" i="1"/>
  <c r="O705" i="1"/>
  <c r="I705" i="1"/>
  <c r="H705" i="1"/>
  <c r="G705" i="1"/>
  <c r="A706" i="1"/>
  <c r="W705" i="1"/>
  <c r="W706" i="1" l="1"/>
  <c r="O706" i="1"/>
  <c r="G706" i="1"/>
  <c r="V706" i="1"/>
  <c r="N706" i="1"/>
  <c r="F706" i="1"/>
  <c r="U706" i="1"/>
  <c r="M706" i="1"/>
  <c r="E706" i="1"/>
  <c r="S706" i="1"/>
  <c r="K706" i="1"/>
  <c r="C706" i="1"/>
  <c r="L706" i="1"/>
  <c r="J706" i="1"/>
  <c r="I706" i="1"/>
  <c r="T706" i="1"/>
  <c r="D706" i="1"/>
  <c r="A707" i="1"/>
  <c r="R706" i="1"/>
  <c r="Q706" i="1"/>
  <c r="H706" i="1"/>
  <c r="P706" i="1"/>
  <c r="B706" i="1"/>
  <c r="A708" i="1" l="1"/>
  <c r="P707" i="1"/>
  <c r="H707" i="1"/>
  <c r="W707" i="1"/>
  <c r="O707" i="1"/>
  <c r="G707" i="1"/>
  <c r="V707" i="1"/>
  <c r="N707" i="1"/>
  <c r="F707" i="1"/>
  <c r="T707" i="1"/>
  <c r="L707" i="1"/>
  <c r="D707" i="1"/>
  <c r="U707" i="1"/>
  <c r="E707" i="1"/>
  <c r="S707" i="1"/>
  <c r="C707" i="1"/>
  <c r="R707" i="1"/>
  <c r="B707" i="1"/>
  <c r="M707" i="1"/>
  <c r="Q707" i="1"/>
  <c r="K707" i="1"/>
  <c r="J707" i="1"/>
  <c r="I707" i="1"/>
  <c r="Q708" i="1" l="1"/>
  <c r="I708" i="1"/>
  <c r="A709" i="1"/>
  <c r="P708" i="1"/>
  <c r="H708" i="1"/>
  <c r="W708" i="1"/>
  <c r="O708" i="1"/>
  <c r="G708" i="1"/>
  <c r="U708" i="1"/>
  <c r="M708" i="1"/>
  <c r="E708" i="1"/>
  <c r="N708" i="1"/>
  <c r="L708" i="1"/>
  <c r="K708" i="1"/>
  <c r="V708" i="1"/>
  <c r="F708" i="1"/>
  <c r="J708" i="1"/>
  <c r="D708" i="1"/>
  <c r="C708" i="1"/>
  <c r="B708" i="1"/>
  <c r="S708" i="1"/>
  <c r="R708" i="1"/>
  <c r="T708" i="1"/>
  <c r="R709" i="1" l="1"/>
  <c r="J709" i="1"/>
  <c r="B709" i="1"/>
  <c r="Q709" i="1"/>
  <c r="I709" i="1"/>
  <c r="A710" i="1"/>
  <c r="P709" i="1"/>
  <c r="H709" i="1"/>
  <c r="V709" i="1"/>
  <c r="N709" i="1"/>
  <c r="F709" i="1"/>
  <c r="W709" i="1"/>
  <c r="G709" i="1"/>
  <c r="U709" i="1"/>
  <c r="E709" i="1"/>
  <c r="T709" i="1"/>
  <c r="D709" i="1"/>
  <c r="O709" i="1"/>
  <c r="S709" i="1"/>
  <c r="M709" i="1"/>
  <c r="L709" i="1"/>
  <c r="C709" i="1"/>
  <c r="K709" i="1"/>
  <c r="S710" i="1" l="1"/>
  <c r="K710" i="1"/>
  <c r="C710" i="1"/>
  <c r="R710" i="1"/>
  <c r="J710" i="1"/>
  <c r="B710" i="1"/>
  <c r="Q710" i="1"/>
  <c r="I710" i="1"/>
  <c r="W710" i="1"/>
  <c r="O710" i="1"/>
  <c r="G710" i="1"/>
  <c r="P710" i="1"/>
  <c r="N710" i="1"/>
  <c r="M710" i="1"/>
  <c r="A711" i="1"/>
  <c r="H710" i="1"/>
  <c r="V710" i="1"/>
  <c r="U710" i="1"/>
  <c r="L710" i="1"/>
  <c r="T710" i="1"/>
  <c r="F710" i="1"/>
  <c r="E710" i="1"/>
  <c r="D710" i="1"/>
  <c r="T711" i="1" l="1"/>
  <c r="L711" i="1"/>
  <c r="D711" i="1"/>
  <c r="S711" i="1"/>
  <c r="K711" i="1"/>
  <c r="C711" i="1"/>
  <c r="R711" i="1"/>
  <c r="J711" i="1"/>
  <c r="B711" i="1"/>
  <c r="A712" i="1"/>
  <c r="P711" i="1"/>
  <c r="H711" i="1"/>
  <c r="I711" i="1"/>
  <c r="W711" i="1"/>
  <c r="G711" i="1"/>
  <c r="V711" i="1"/>
  <c r="F711" i="1"/>
  <c r="Q711" i="1"/>
  <c r="E711" i="1"/>
  <c r="U711" i="1"/>
  <c r="O711" i="1"/>
  <c r="M711" i="1"/>
  <c r="N711" i="1"/>
  <c r="U712" i="1" l="1"/>
  <c r="M712" i="1"/>
  <c r="E712" i="1"/>
  <c r="T712" i="1"/>
  <c r="L712" i="1"/>
  <c r="D712" i="1"/>
  <c r="S712" i="1"/>
  <c r="K712" i="1"/>
  <c r="C712" i="1"/>
  <c r="Q712" i="1"/>
  <c r="I712" i="1"/>
  <c r="R712" i="1"/>
  <c r="B712" i="1"/>
  <c r="P712" i="1"/>
  <c r="O712" i="1"/>
  <c r="J712" i="1"/>
  <c r="N712" i="1"/>
  <c r="H712" i="1"/>
  <c r="G712" i="1"/>
  <c r="A713" i="1"/>
  <c r="W712" i="1"/>
  <c r="F712" i="1"/>
  <c r="V712" i="1"/>
  <c r="V713" i="1" l="1"/>
  <c r="N713" i="1"/>
  <c r="F713" i="1"/>
  <c r="U713" i="1"/>
  <c r="M713" i="1"/>
  <c r="E713" i="1"/>
  <c r="T713" i="1"/>
  <c r="L713" i="1"/>
  <c r="D713" i="1"/>
  <c r="R713" i="1"/>
  <c r="J713" i="1"/>
  <c r="B713" i="1"/>
  <c r="K713" i="1"/>
  <c r="I713" i="1"/>
  <c r="A714" i="1"/>
  <c r="H713" i="1"/>
  <c r="S713" i="1"/>
  <c r="C713" i="1"/>
  <c r="W713" i="1"/>
  <c r="Q713" i="1"/>
  <c r="P713" i="1"/>
  <c r="G713" i="1"/>
  <c r="O713" i="1"/>
  <c r="W714" i="1" l="1"/>
  <c r="O714" i="1"/>
  <c r="G714" i="1"/>
  <c r="V714" i="1"/>
  <c r="N714" i="1"/>
  <c r="F714" i="1"/>
  <c r="U714" i="1"/>
  <c r="M714" i="1"/>
  <c r="E714" i="1"/>
  <c r="S714" i="1"/>
  <c r="K714" i="1"/>
  <c r="C714" i="1"/>
  <c r="T714" i="1"/>
  <c r="D714" i="1"/>
  <c r="R714" i="1"/>
  <c r="B714" i="1"/>
  <c r="Q714" i="1"/>
  <c r="L714" i="1"/>
  <c r="P714" i="1"/>
  <c r="A715" i="1"/>
  <c r="H714" i="1"/>
  <c r="I714" i="1"/>
  <c r="J714" i="1"/>
  <c r="A716" i="1" l="1"/>
  <c r="P715" i="1"/>
  <c r="H715" i="1"/>
  <c r="W715" i="1"/>
  <c r="O715" i="1"/>
  <c r="G715" i="1"/>
  <c r="V715" i="1"/>
  <c r="N715" i="1"/>
  <c r="F715" i="1"/>
  <c r="T715" i="1"/>
  <c r="L715" i="1"/>
  <c r="D715" i="1"/>
  <c r="M715" i="1"/>
  <c r="K715" i="1"/>
  <c r="J715" i="1"/>
  <c r="U715" i="1"/>
  <c r="E715" i="1"/>
  <c r="I715" i="1"/>
  <c r="C715" i="1"/>
  <c r="B715" i="1"/>
  <c r="S715" i="1"/>
  <c r="R715" i="1"/>
  <c r="Q715" i="1"/>
  <c r="Q716" i="1" l="1"/>
  <c r="I716" i="1"/>
  <c r="A717" i="1"/>
  <c r="P716" i="1"/>
  <c r="H716" i="1"/>
  <c r="W716" i="1"/>
  <c r="O716" i="1"/>
  <c r="G716" i="1"/>
  <c r="U716" i="1"/>
  <c r="M716" i="1"/>
  <c r="E716" i="1"/>
  <c r="V716" i="1"/>
  <c r="F716" i="1"/>
  <c r="T716" i="1"/>
  <c r="D716" i="1"/>
  <c r="S716" i="1"/>
  <c r="C716" i="1"/>
  <c r="N716" i="1"/>
  <c r="R716" i="1"/>
  <c r="L716" i="1"/>
  <c r="K716" i="1"/>
  <c r="B716" i="1"/>
  <c r="J716" i="1"/>
  <c r="R717" i="1" l="1"/>
  <c r="J717" i="1"/>
  <c r="B717" i="1"/>
  <c r="Q717" i="1"/>
  <c r="I717" i="1"/>
  <c r="A718" i="1"/>
  <c r="P717" i="1"/>
  <c r="H717" i="1"/>
  <c r="V717" i="1"/>
  <c r="N717" i="1"/>
  <c r="F717" i="1"/>
  <c r="O717" i="1"/>
  <c r="M717" i="1"/>
  <c r="L717" i="1"/>
  <c r="W717" i="1"/>
  <c r="G717" i="1"/>
  <c r="U717" i="1"/>
  <c r="T717" i="1"/>
  <c r="K717" i="1"/>
  <c r="S717" i="1"/>
  <c r="E717" i="1"/>
  <c r="D717" i="1"/>
  <c r="C717" i="1"/>
  <c r="S718" i="1" l="1"/>
  <c r="K718" i="1"/>
  <c r="C718" i="1"/>
  <c r="R718" i="1"/>
  <c r="J718" i="1"/>
  <c r="B718" i="1"/>
  <c r="Q718" i="1"/>
  <c r="I718" i="1"/>
  <c r="W718" i="1"/>
  <c r="O718" i="1"/>
  <c r="G718" i="1"/>
  <c r="A719" i="1"/>
  <c r="H718" i="1"/>
  <c r="V718" i="1"/>
  <c r="F718" i="1"/>
  <c r="U718" i="1"/>
  <c r="E718" i="1"/>
  <c r="P718" i="1"/>
  <c r="D718" i="1"/>
  <c r="T718" i="1"/>
  <c r="N718" i="1"/>
  <c r="M718" i="1"/>
  <c r="L718" i="1"/>
  <c r="T719" i="1" l="1"/>
  <c r="L719" i="1"/>
  <c r="D719" i="1"/>
  <c r="S719" i="1"/>
  <c r="K719" i="1"/>
  <c r="C719" i="1"/>
  <c r="R719" i="1"/>
  <c r="J719" i="1"/>
  <c r="B719" i="1"/>
  <c r="A720" i="1"/>
  <c r="P719" i="1"/>
  <c r="H719" i="1"/>
  <c r="Q719" i="1"/>
  <c r="O719" i="1"/>
  <c r="N719" i="1"/>
  <c r="I719" i="1"/>
  <c r="M719" i="1"/>
  <c r="G719" i="1"/>
  <c r="F719" i="1"/>
  <c r="E719" i="1"/>
  <c r="V719" i="1"/>
  <c r="U719" i="1"/>
  <c r="W719" i="1"/>
  <c r="U720" i="1" l="1"/>
  <c r="M720" i="1"/>
  <c r="E720" i="1"/>
  <c r="T720" i="1"/>
  <c r="L720" i="1"/>
  <c r="D720" i="1"/>
  <c r="S720" i="1"/>
  <c r="K720" i="1"/>
  <c r="C720" i="1"/>
  <c r="Q720" i="1"/>
  <c r="I720" i="1"/>
  <c r="J720" i="1"/>
  <c r="A721" i="1"/>
  <c r="H720" i="1"/>
  <c r="W720" i="1"/>
  <c r="G720" i="1"/>
  <c r="R720" i="1"/>
  <c r="B720" i="1"/>
  <c r="V720" i="1"/>
  <c r="P720" i="1"/>
  <c r="O720" i="1"/>
  <c r="F720" i="1"/>
  <c r="N720" i="1"/>
  <c r="V721" i="1" l="1"/>
  <c r="N721" i="1"/>
  <c r="F721" i="1"/>
  <c r="U721" i="1"/>
  <c r="M721" i="1"/>
  <c r="E721" i="1"/>
  <c r="T721" i="1"/>
  <c r="L721" i="1"/>
  <c r="D721" i="1"/>
  <c r="R721" i="1"/>
  <c r="J721" i="1"/>
  <c r="B721" i="1"/>
  <c r="S721" i="1"/>
  <c r="C721" i="1"/>
  <c r="Q721" i="1"/>
  <c r="P721" i="1"/>
  <c r="K721" i="1"/>
  <c r="A722" i="1"/>
  <c r="O721" i="1"/>
  <c r="W721" i="1"/>
  <c r="I721" i="1"/>
  <c r="H721" i="1"/>
  <c r="G721" i="1"/>
  <c r="W722" i="1" l="1"/>
  <c r="O722" i="1"/>
  <c r="G722" i="1"/>
  <c r="V722" i="1"/>
  <c r="N722" i="1"/>
  <c r="F722" i="1"/>
  <c r="U722" i="1"/>
  <c r="M722" i="1"/>
  <c r="E722" i="1"/>
  <c r="S722" i="1"/>
  <c r="K722" i="1"/>
  <c r="C722" i="1"/>
  <c r="L722" i="1"/>
  <c r="J722" i="1"/>
  <c r="I722" i="1"/>
  <c r="T722" i="1"/>
  <c r="D722" i="1"/>
  <c r="H722" i="1"/>
  <c r="B722" i="1"/>
  <c r="A723" i="1"/>
  <c r="R722" i="1"/>
  <c r="P722" i="1"/>
  <c r="Q722" i="1"/>
  <c r="A724" i="1" l="1"/>
  <c r="P723" i="1"/>
  <c r="H723" i="1"/>
  <c r="W723" i="1"/>
  <c r="O723" i="1"/>
  <c r="G723" i="1"/>
  <c r="V723" i="1"/>
  <c r="N723" i="1"/>
  <c r="F723" i="1"/>
  <c r="T723" i="1"/>
  <c r="L723" i="1"/>
  <c r="D723" i="1"/>
  <c r="U723" i="1"/>
  <c r="E723" i="1"/>
  <c r="S723" i="1"/>
  <c r="C723" i="1"/>
  <c r="R723" i="1"/>
  <c r="B723" i="1"/>
  <c r="M723" i="1"/>
  <c r="Q723" i="1"/>
  <c r="K723" i="1"/>
  <c r="J723" i="1"/>
  <c r="I723" i="1"/>
  <c r="Q724" i="1" l="1"/>
  <c r="I724" i="1"/>
  <c r="A725" i="1"/>
  <c r="P724" i="1"/>
  <c r="H724" i="1"/>
  <c r="W724" i="1"/>
  <c r="O724" i="1"/>
  <c r="G724" i="1"/>
  <c r="U724" i="1"/>
  <c r="M724" i="1"/>
  <c r="E724" i="1"/>
  <c r="N724" i="1"/>
  <c r="L724" i="1"/>
  <c r="K724" i="1"/>
  <c r="V724" i="1"/>
  <c r="F724" i="1"/>
  <c r="T724" i="1"/>
  <c r="S724" i="1"/>
  <c r="J724" i="1"/>
  <c r="R724" i="1"/>
  <c r="D724" i="1"/>
  <c r="C724" i="1"/>
  <c r="B724" i="1"/>
  <c r="R725" i="1" l="1"/>
  <c r="J725" i="1"/>
  <c r="B725" i="1"/>
  <c r="Q725" i="1"/>
  <c r="I725" i="1"/>
  <c r="A726" i="1"/>
  <c r="P725" i="1"/>
  <c r="H725" i="1"/>
  <c r="V725" i="1"/>
  <c r="N725" i="1"/>
  <c r="F725" i="1"/>
  <c r="W725" i="1"/>
  <c r="G725" i="1"/>
  <c r="U725" i="1"/>
  <c r="E725" i="1"/>
  <c r="T725" i="1"/>
  <c r="D725" i="1"/>
  <c r="O725" i="1"/>
  <c r="C725" i="1"/>
  <c r="S725" i="1"/>
  <c r="K725" i="1"/>
  <c r="L725" i="1"/>
  <c r="M725" i="1"/>
  <c r="S726" i="1" l="1"/>
  <c r="K726" i="1"/>
  <c r="C726" i="1"/>
  <c r="R726" i="1"/>
  <c r="J726" i="1"/>
  <c r="B726" i="1"/>
  <c r="Q726" i="1"/>
  <c r="I726" i="1"/>
  <c r="W726" i="1"/>
  <c r="O726" i="1"/>
  <c r="G726" i="1"/>
  <c r="P726" i="1"/>
  <c r="N726" i="1"/>
  <c r="M726" i="1"/>
  <c r="A727" i="1"/>
  <c r="H726" i="1"/>
  <c r="L726" i="1"/>
  <c r="F726" i="1"/>
  <c r="E726" i="1"/>
  <c r="V726" i="1"/>
  <c r="U726" i="1"/>
  <c r="D726" i="1"/>
  <c r="T726" i="1"/>
  <c r="T727" i="1" l="1"/>
  <c r="L727" i="1"/>
  <c r="D727" i="1"/>
  <c r="S727" i="1"/>
  <c r="K727" i="1"/>
  <c r="C727" i="1"/>
  <c r="R727" i="1"/>
  <c r="J727" i="1"/>
  <c r="B727" i="1"/>
  <c r="A728" i="1"/>
  <c r="P727" i="1"/>
  <c r="H727" i="1"/>
  <c r="I727" i="1"/>
  <c r="W727" i="1"/>
  <c r="G727" i="1"/>
  <c r="V727" i="1"/>
  <c r="F727" i="1"/>
  <c r="Q727" i="1"/>
  <c r="U727" i="1"/>
  <c r="O727" i="1"/>
  <c r="N727" i="1"/>
  <c r="E727" i="1"/>
  <c r="M727" i="1"/>
  <c r="U728" i="1" l="1"/>
  <c r="M728" i="1"/>
  <c r="E728" i="1"/>
  <c r="T728" i="1"/>
  <c r="L728" i="1"/>
  <c r="D728" i="1"/>
  <c r="S728" i="1"/>
  <c r="K728" i="1"/>
  <c r="C728" i="1"/>
  <c r="Q728" i="1"/>
  <c r="I728" i="1"/>
  <c r="R728" i="1"/>
  <c r="B728" i="1"/>
  <c r="P728" i="1"/>
  <c r="O728" i="1"/>
  <c r="J728" i="1"/>
  <c r="A729" i="1"/>
  <c r="W728" i="1"/>
  <c r="N728" i="1"/>
  <c r="V728" i="1"/>
  <c r="H728" i="1"/>
  <c r="G728" i="1"/>
  <c r="F728" i="1"/>
  <c r="V729" i="1" l="1"/>
  <c r="N729" i="1"/>
  <c r="F729" i="1"/>
  <c r="U729" i="1"/>
  <c r="M729" i="1"/>
  <c r="E729" i="1"/>
  <c r="T729" i="1"/>
  <c r="L729" i="1"/>
  <c r="D729" i="1"/>
  <c r="R729" i="1"/>
  <c r="J729" i="1"/>
  <c r="B729" i="1"/>
  <c r="K729" i="1"/>
  <c r="I729" i="1"/>
  <c r="A730" i="1"/>
  <c r="H729" i="1"/>
  <c r="S729" i="1"/>
  <c r="C729" i="1"/>
  <c r="G729" i="1"/>
  <c r="W729" i="1"/>
  <c r="Q729" i="1"/>
  <c r="P729" i="1"/>
  <c r="O729" i="1"/>
  <c r="W730" i="1" l="1"/>
  <c r="O730" i="1"/>
  <c r="G730" i="1"/>
  <c r="V730" i="1"/>
  <c r="N730" i="1"/>
  <c r="F730" i="1"/>
  <c r="U730" i="1"/>
  <c r="M730" i="1"/>
  <c r="E730" i="1"/>
  <c r="S730" i="1"/>
  <c r="K730" i="1"/>
  <c r="C730" i="1"/>
  <c r="T730" i="1"/>
  <c r="D730" i="1"/>
  <c r="R730" i="1"/>
  <c r="B730" i="1"/>
  <c r="Q730" i="1"/>
  <c r="L730" i="1"/>
  <c r="P730" i="1"/>
  <c r="J730" i="1"/>
  <c r="I730" i="1"/>
  <c r="H730" i="1"/>
  <c r="A731" i="1"/>
  <c r="A732" i="1" l="1"/>
  <c r="P731" i="1"/>
  <c r="H731" i="1"/>
  <c r="W731" i="1"/>
  <c r="O731" i="1"/>
  <c r="G731" i="1"/>
  <c r="V731" i="1"/>
  <c r="N731" i="1"/>
  <c r="F731" i="1"/>
  <c r="T731" i="1"/>
  <c r="L731" i="1"/>
  <c r="D731" i="1"/>
  <c r="M731" i="1"/>
  <c r="K731" i="1"/>
  <c r="J731" i="1"/>
  <c r="U731" i="1"/>
  <c r="E731" i="1"/>
  <c r="S731" i="1"/>
  <c r="R731" i="1"/>
  <c r="I731" i="1"/>
  <c r="Q731" i="1"/>
  <c r="B731" i="1"/>
  <c r="C731" i="1"/>
  <c r="Q732" i="1" l="1"/>
  <c r="I732" i="1"/>
  <c r="A733" i="1"/>
  <c r="P732" i="1"/>
  <c r="H732" i="1"/>
  <c r="W732" i="1"/>
  <c r="O732" i="1"/>
  <c r="G732" i="1"/>
  <c r="U732" i="1"/>
  <c r="M732" i="1"/>
  <c r="E732" i="1"/>
  <c r="V732" i="1"/>
  <c r="F732" i="1"/>
  <c r="T732" i="1"/>
  <c r="D732" i="1"/>
  <c r="S732" i="1"/>
  <c r="C732" i="1"/>
  <c r="N732" i="1"/>
  <c r="B732" i="1"/>
  <c r="R732" i="1"/>
  <c r="L732" i="1"/>
  <c r="K732" i="1"/>
  <c r="J732" i="1"/>
  <c r="R733" i="1" l="1"/>
  <c r="J733" i="1"/>
  <c r="B733" i="1"/>
  <c r="Q733" i="1"/>
  <c r="I733" i="1"/>
  <c r="A734" i="1"/>
  <c r="P733" i="1"/>
  <c r="H733" i="1"/>
  <c r="V733" i="1"/>
  <c r="N733" i="1"/>
  <c r="F733" i="1"/>
  <c r="O733" i="1"/>
  <c r="M733" i="1"/>
  <c r="L733" i="1"/>
  <c r="W733" i="1"/>
  <c r="G733" i="1"/>
  <c r="K733" i="1"/>
  <c r="E733" i="1"/>
  <c r="D733" i="1"/>
  <c r="C733" i="1"/>
  <c r="U733" i="1"/>
  <c r="S733" i="1"/>
  <c r="T733" i="1"/>
  <c r="S734" i="1" l="1"/>
  <c r="K734" i="1"/>
  <c r="C734" i="1"/>
  <c r="R734" i="1"/>
  <c r="J734" i="1"/>
  <c r="B734" i="1"/>
  <c r="Q734" i="1"/>
  <c r="I734" i="1"/>
  <c r="W734" i="1"/>
  <c r="O734" i="1"/>
  <c r="G734" i="1"/>
  <c r="A735" i="1"/>
  <c r="H734" i="1"/>
  <c r="V734" i="1"/>
  <c r="F734" i="1"/>
  <c r="U734" i="1"/>
  <c r="E734" i="1"/>
  <c r="P734" i="1"/>
  <c r="T734" i="1"/>
  <c r="N734" i="1"/>
  <c r="M734" i="1"/>
  <c r="D734" i="1"/>
  <c r="L734" i="1"/>
  <c r="T735" i="1" l="1"/>
  <c r="L735" i="1"/>
  <c r="D735" i="1"/>
  <c r="S735" i="1"/>
  <c r="K735" i="1"/>
  <c r="C735" i="1"/>
  <c r="R735" i="1"/>
  <c r="J735" i="1"/>
  <c r="B735" i="1"/>
  <c r="A736" i="1"/>
  <c r="P735" i="1"/>
  <c r="H735" i="1"/>
  <c r="Q735" i="1"/>
  <c r="O735" i="1"/>
  <c r="N735" i="1"/>
  <c r="I735" i="1"/>
  <c r="W735" i="1"/>
  <c r="V735" i="1"/>
  <c r="M735" i="1"/>
  <c r="U735" i="1"/>
  <c r="G735" i="1"/>
  <c r="F735" i="1"/>
  <c r="E735" i="1"/>
  <c r="U736" i="1" l="1"/>
  <c r="M736" i="1"/>
  <c r="E736" i="1"/>
  <c r="T736" i="1"/>
  <c r="L736" i="1"/>
  <c r="D736" i="1"/>
  <c r="S736" i="1"/>
  <c r="K736" i="1"/>
  <c r="C736" i="1"/>
  <c r="Q736" i="1"/>
  <c r="I736" i="1"/>
  <c r="J736" i="1"/>
  <c r="A737" i="1"/>
  <c r="H736" i="1"/>
  <c r="W736" i="1"/>
  <c r="G736" i="1"/>
  <c r="R736" i="1"/>
  <c r="B736" i="1"/>
  <c r="F736" i="1"/>
  <c r="V736" i="1"/>
  <c r="O736" i="1"/>
  <c r="N736" i="1"/>
  <c r="P736" i="1"/>
  <c r="V737" i="1" l="1"/>
  <c r="N737" i="1"/>
  <c r="F737" i="1"/>
  <c r="U737" i="1"/>
  <c r="M737" i="1"/>
  <c r="E737" i="1"/>
  <c r="T737" i="1"/>
  <c r="L737" i="1"/>
  <c r="D737" i="1"/>
  <c r="R737" i="1"/>
  <c r="J737" i="1"/>
  <c r="B737" i="1"/>
  <c r="S737" i="1"/>
  <c r="C737" i="1"/>
  <c r="Q737" i="1"/>
  <c r="P737" i="1"/>
  <c r="K737" i="1"/>
  <c r="O737" i="1"/>
  <c r="I737" i="1"/>
  <c r="H737" i="1"/>
  <c r="A738" i="1"/>
  <c r="G737" i="1"/>
  <c r="W737" i="1"/>
  <c r="W738" i="1" l="1"/>
  <c r="O738" i="1"/>
  <c r="G738" i="1"/>
  <c r="V738" i="1"/>
  <c r="N738" i="1"/>
  <c r="F738" i="1"/>
  <c r="U738" i="1"/>
  <c r="M738" i="1"/>
  <c r="E738" i="1"/>
  <c r="S738" i="1"/>
  <c r="K738" i="1"/>
  <c r="C738" i="1"/>
  <c r="L738" i="1"/>
  <c r="J738" i="1"/>
  <c r="I738" i="1"/>
  <c r="T738" i="1"/>
  <c r="D738" i="1"/>
  <c r="A739" i="1"/>
  <c r="R738" i="1"/>
  <c r="Q738" i="1"/>
  <c r="H738" i="1"/>
  <c r="P738" i="1"/>
  <c r="B738" i="1"/>
  <c r="A740" i="1" l="1"/>
  <c r="P739" i="1"/>
  <c r="H739" i="1"/>
  <c r="W739" i="1"/>
  <c r="O739" i="1"/>
  <c r="G739" i="1"/>
  <c r="V739" i="1"/>
  <c r="N739" i="1"/>
  <c r="F739" i="1"/>
  <c r="T739" i="1"/>
  <c r="L739" i="1"/>
  <c r="D739" i="1"/>
  <c r="U739" i="1"/>
  <c r="E739" i="1"/>
  <c r="S739" i="1"/>
  <c r="C739" i="1"/>
  <c r="R739" i="1"/>
  <c r="B739" i="1"/>
  <c r="M739" i="1"/>
  <c r="Q739" i="1"/>
  <c r="K739" i="1"/>
  <c r="J739" i="1"/>
  <c r="I739" i="1"/>
  <c r="Q740" i="1" l="1"/>
  <c r="I740" i="1"/>
  <c r="A741" i="1"/>
  <c r="P740" i="1"/>
  <c r="H740" i="1"/>
  <c r="W740" i="1"/>
  <c r="O740" i="1"/>
  <c r="G740" i="1"/>
  <c r="U740" i="1"/>
  <c r="M740" i="1"/>
  <c r="E740" i="1"/>
  <c r="N740" i="1"/>
  <c r="L740" i="1"/>
  <c r="K740" i="1"/>
  <c r="V740" i="1"/>
  <c r="F740" i="1"/>
  <c r="J740" i="1"/>
  <c r="D740" i="1"/>
  <c r="C740" i="1"/>
  <c r="T740" i="1"/>
  <c r="S740" i="1"/>
  <c r="B740" i="1"/>
  <c r="R740" i="1"/>
  <c r="R741" i="1" l="1"/>
  <c r="J741" i="1"/>
  <c r="B741" i="1"/>
  <c r="Q741" i="1"/>
  <c r="I741" i="1"/>
  <c r="A742" i="1"/>
  <c r="P741" i="1"/>
  <c r="H741" i="1"/>
  <c r="V741" i="1"/>
  <c r="N741" i="1"/>
  <c r="F741" i="1"/>
  <c r="W741" i="1"/>
  <c r="G741" i="1"/>
  <c r="U741" i="1"/>
  <c r="E741" i="1"/>
  <c r="T741" i="1"/>
  <c r="D741" i="1"/>
  <c r="O741" i="1"/>
  <c r="S741" i="1"/>
  <c r="M741" i="1"/>
  <c r="L741" i="1"/>
  <c r="C741" i="1"/>
  <c r="K741" i="1"/>
  <c r="S742" i="1" l="1"/>
  <c r="K742" i="1"/>
  <c r="C742" i="1"/>
  <c r="R742" i="1"/>
  <c r="J742" i="1"/>
  <c r="B742" i="1"/>
  <c r="Q742" i="1"/>
  <c r="I742" i="1"/>
  <c r="W742" i="1"/>
  <c r="O742" i="1"/>
  <c r="G742" i="1"/>
  <c r="P742" i="1"/>
  <c r="N742" i="1"/>
  <c r="M742" i="1"/>
  <c r="A743" i="1"/>
  <c r="H742" i="1"/>
  <c r="V742" i="1"/>
  <c r="U742" i="1"/>
  <c r="L742" i="1"/>
  <c r="T742" i="1"/>
  <c r="E742" i="1"/>
  <c r="D742" i="1"/>
  <c r="F742" i="1"/>
  <c r="T743" i="1" l="1"/>
  <c r="L743" i="1"/>
  <c r="D743" i="1"/>
  <c r="S743" i="1"/>
  <c r="K743" i="1"/>
  <c r="C743" i="1"/>
  <c r="R743" i="1"/>
  <c r="J743" i="1"/>
  <c r="B743" i="1"/>
  <c r="A744" i="1"/>
  <c r="P743" i="1"/>
  <c r="H743" i="1"/>
  <c r="I743" i="1"/>
  <c r="W743" i="1"/>
  <c r="G743" i="1"/>
  <c r="V743" i="1"/>
  <c r="F743" i="1"/>
  <c r="Q743" i="1"/>
  <c r="E743" i="1"/>
  <c r="U743" i="1"/>
  <c r="O743" i="1"/>
  <c r="N743" i="1"/>
  <c r="M743" i="1"/>
  <c r="U744" i="1" l="1"/>
  <c r="M744" i="1"/>
  <c r="E744" i="1"/>
  <c r="T744" i="1"/>
  <c r="L744" i="1"/>
  <c r="D744" i="1"/>
  <c r="S744" i="1"/>
  <c r="K744" i="1"/>
  <c r="C744" i="1"/>
  <c r="Q744" i="1"/>
  <c r="I744" i="1"/>
  <c r="R744" i="1"/>
  <c r="B744" i="1"/>
  <c r="P744" i="1"/>
  <c r="O744" i="1"/>
  <c r="J744" i="1"/>
  <c r="N744" i="1"/>
  <c r="H744" i="1"/>
  <c r="G744" i="1"/>
  <c r="F744" i="1"/>
  <c r="A745" i="1"/>
  <c r="V744" i="1"/>
  <c r="W744" i="1"/>
  <c r="V745" i="1" l="1"/>
  <c r="N745" i="1"/>
  <c r="F745" i="1"/>
  <c r="U745" i="1"/>
  <c r="M745" i="1"/>
  <c r="E745" i="1"/>
  <c r="T745" i="1"/>
  <c r="L745" i="1"/>
  <c r="D745" i="1"/>
  <c r="R745" i="1"/>
  <c r="J745" i="1"/>
  <c r="B745" i="1"/>
  <c r="K745" i="1"/>
  <c r="I745" i="1"/>
  <c r="A746" i="1"/>
  <c r="H745" i="1"/>
  <c r="S745" i="1"/>
  <c r="C745" i="1"/>
  <c r="W745" i="1"/>
  <c r="Q745" i="1"/>
  <c r="P745" i="1"/>
  <c r="G745" i="1"/>
  <c r="O745" i="1"/>
  <c r="W746" i="1" l="1"/>
  <c r="O746" i="1"/>
  <c r="G746" i="1"/>
  <c r="V746" i="1"/>
  <c r="N746" i="1"/>
  <c r="F746" i="1"/>
  <c r="U746" i="1"/>
  <c r="M746" i="1"/>
  <c r="E746" i="1"/>
  <c r="S746" i="1"/>
  <c r="K746" i="1"/>
  <c r="C746" i="1"/>
  <c r="T746" i="1"/>
  <c r="D746" i="1"/>
  <c r="R746" i="1"/>
  <c r="B746" i="1"/>
  <c r="Q746" i="1"/>
  <c r="L746" i="1"/>
  <c r="P746" i="1"/>
  <c r="A747" i="1"/>
  <c r="J746" i="1"/>
  <c r="I746" i="1"/>
  <c r="H746" i="1"/>
  <c r="A748" i="1" l="1"/>
  <c r="P747" i="1"/>
  <c r="H747" i="1"/>
  <c r="W747" i="1"/>
  <c r="O747" i="1"/>
  <c r="G747" i="1"/>
  <c r="V747" i="1"/>
  <c r="N747" i="1"/>
  <c r="F747" i="1"/>
  <c r="T747" i="1"/>
  <c r="L747" i="1"/>
  <c r="D747" i="1"/>
  <c r="M747" i="1"/>
  <c r="K747" i="1"/>
  <c r="J747" i="1"/>
  <c r="U747" i="1"/>
  <c r="E747" i="1"/>
  <c r="I747" i="1"/>
  <c r="C747" i="1"/>
  <c r="B747" i="1"/>
  <c r="R747" i="1"/>
  <c r="Q747" i="1"/>
  <c r="S747" i="1"/>
  <c r="Q748" i="1" l="1"/>
  <c r="I748" i="1"/>
  <c r="A749" i="1"/>
  <c r="P748" i="1"/>
  <c r="H748" i="1"/>
  <c r="W748" i="1"/>
  <c r="O748" i="1"/>
  <c r="G748" i="1"/>
  <c r="U748" i="1"/>
  <c r="M748" i="1"/>
  <c r="E748" i="1"/>
  <c r="V748" i="1"/>
  <c r="F748" i="1"/>
  <c r="T748" i="1"/>
  <c r="D748" i="1"/>
  <c r="S748" i="1"/>
  <c r="C748" i="1"/>
  <c r="N748" i="1"/>
  <c r="R748" i="1"/>
  <c r="L748" i="1"/>
  <c r="K748" i="1"/>
  <c r="B748" i="1"/>
  <c r="J748" i="1"/>
  <c r="R749" i="1" l="1"/>
  <c r="J749" i="1"/>
  <c r="B749" i="1"/>
  <c r="Q749" i="1"/>
  <c r="I749" i="1"/>
  <c r="A750" i="1"/>
  <c r="P749" i="1"/>
  <c r="H749" i="1"/>
  <c r="V749" i="1"/>
  <c r="N749" i="1"/>
  <c r="F749" i="1"/>
  <c r="O749" i="1"/>
  <c r="M749" i="1"/>
  <c r="L749" i="1"/>
  <c r="W749" i="1"/>
  <c r="G749" i="1"/>
  <c r="U749" i="1"/>
  <c r="T749" i="1"/>
  <c r="K749" i="1"/>
  <c r="S749" i="1"/>
  <c r="E749" i="1"/>
  <c r="D749" i="1"/>
  <c r="C749" i="1"/>
  <c r="S750" i="1" l="1"/>
  <c r="K750" i="1"/>
  <c r="C750" i="1"/>
  <c r="R750" i="1"/>
  <c r="J750" i="1"/>
  <c r="B750" i="1"/>
  <c r="Q750" i="1"/>
  <c r="I750" i="1"/>
  <c r="W750" i="1"/>
  <c r="O750" i="1"/>
  <c r="G750" i="1"/>
  <c r="A751" i="1"/>
  <c r="H750" i="1"/>
  <c r="V750" i="1"/>
  <c r="F750" i="1"/>
  <c r="U750" i="1"/>
  <c r="E750" i="1"/>
  <c r="P750" i="1"/>
  <c r="D750" i="1"/>
  <c r="T750" i="1"/>
  <c r="N750" i="1"/>
  <c r="M750" i="1"/>
  <c r="L750" i="1"/>
  <c r="T751" i="1" l="1"/>
  <c r="L751" i="1"/>
  <c r="D751" i="1"/>
  <c r="S751" i="1"/>
  <c r="K751" i="1"/>
  <c r="C751" i="1"/>
  <c r="R751" i="1"/>
  <c r="J751" i="1"/>
  <c r="B751" i="1"/>
  <c r="A752" i="1"/>
  <c r="P751" i="1"/>
  <c r="H751" i="1"/>
  <c r="Q751" i="1"/>
  <c r="O751" i="1"/>
  <c r="N751" i="1"/>
  <c r="I751" i="1"/>
  <c r="M751" i="1"/>
  <c r="G751" i="1"/>
  <c r="F751" i="1"/>
  <c r="W751" i="1"/>
  <c r="V751" i="1"/>
  <c r="E751" i="1"/>
  <c r="U751" i="1"/>
  <c r="U752" i="1" l="1"/>
  <c r="M752" i="1"/>
  <c r="E752" i="1"/>
  <c r="T752" i="1"/>
  <c r="L752" i="1"/>
  <c r="D752" i="1"/>
  <c r="S752" i="1"/>
  <c r="K752" i="1"/>
  <c r="C752" i="1"/>
  <c r="Q752" i="1"/>
  <c r="I752" i="1"/>
  <c r="J752" i="1"/>
  <c r="A753" i="1"/>
  <c r="H752" i="1"/>
  <c r="W752" i="1"/>
  <c r="G752" i="1"/>
  <c r="R752" i="1"/>
  <c r="B752" i="1"/>
  <c r="V752" i="1"/>
  <c r="P752" i="1"/>
  <c r="O752" i="1"/>
  <c r="F752" i="1"/>
  <c r="N752" i="1"/>
  <c r="V753" i="1" l="1"/>
  <c r="N753" i="1"/>
  <c r="F753" i="1"/>
  <c r="U753" i="1"/>
  <c r="M753" i="1"/>
  <c r="E753" i="1"/>
  <c r="T753" i="1"/>
  <c r="L753" i="1"/>
  <c r="D753" i="1"/>
  <c r="R753" i="1"/>
  <c r="J753" i="1"/>
  <c r="B753" i="1"/>
  <c r="S753" i="1"/>
  <c r="C753" i="1"/>
  <c r="Q753" i="1"/>
  <c r="P753" i="1"/>
  <c r="K753" i="1"/>
  <c r="A754" i="1"/>
  <c r="O753" i="1"/>
  <c r="W753" i="1"/>
  <c r="G753" i="1"/>
  <c r="H753" i="1"/>
  <c r="I753" i="1"/>
  <c r="W754" i="1" l="1"/>
  <c r="O754" i="1"/>
  <c r="G754" i="1"/>
  <c r="V754" i="1"/>
  <c r="N754" i="1"/>
  <c r="F754" i="1"/>
  <c r="U754" i="1"/>
  <c r="M754" i="1"/>
  <c r="E754" i="1"/>
  <c r="S754" i="1"/>
  <c r="K754" i="1"/>
  <c r="C754" i="1"/>
  <c r="L754" i="1"/>
  <c r="J754" i="1"/>
  <c r="I754" i="1"/>
  <c r="T754" i="1"/>
  <c r="D754" i="1"/>
  <c r="H754" i="1"/>
  <c r="B754" i="1"/>
  <c r="A755" i="1"/>
  <c r="R754" i="1"/>
  <c r="Q754" i="1"/>
  <c r="P754" i="1"/>
  <c r="A756" i="1" l="1"/>
  <c r="P755" i="1"/>
  <c r="H755" i="1"/>
  <c r="W755" i="1"/>
  <c r="O755" i="1"/>
  <c r="G755" i="1"/>
  <c r="V755" i="1"/>
  <c r="N755" i="1"/>
  <c r="F755" i="1"/>
  <c r="T755" i="1"/>
  <c r="L755" i="1"/>
  <c r="D755" i="1"/>
  <c r="U755" i="1"/>
  <c r="E755" i="1"/>
  <c r="S755" i="1"/>
  <c r="C755" i="1"/>
  <c r="R755" i="1"/>
  <c r="B755" i="1"/>
  <c r="M755" i="1"/>
  <c r="Q755" i="1"/>
  <c r="K755" i="1"/>
  <c r="J755" i="1"/>
  <c r="I755" i="1"/>
  <c r="Q756" i="1" l="1"/>
  <c r="I756" i="1"/>
  <c r="A757" i="1"/>
  <c r="P756" i="1"/>
  <c r="H756" i="1"/>
  <c r="W756" i="1"/>
  <c r="O756" i="1"/>
  <c r="G756" i="1"/>
  <c r="U756" i="1"/>
  <c r="M756" i="1"/>
  <c r="E756" i="1"/>
  <c r="N756" i="1"/>
  <c r="L756" i="1"/>
  <c r="K756" i="1"/>
  <c r="V756" i="1"/>
  <c r="F756" i="1"/>
  <c r="T756" i="1"/>
  <c r="S756" i="1"/>
  <c r="J756" i="1"/>
  <c r="R756" i="1"/>
  <c r="D756" i="1"/>
  <c r="B756" i="1"/>
  <c r="C756" i="1"/>
  <c r="R757" i="1" l="1"/>
  <c r="J757" i="1"/>
  <c r="B757" i="1"/>
  <c r="Q757" i="1"/>
  <c r="I757" i="1"/>
  <c r="A758" i="1"/>
  <c r="P757" i="1"/>
  <c r="H757" i="1"/>
  <c r="V757" i="1"/>
  <c r="N757" i="1"/>
  <c r="F757" i="1"/>
  <c r="W757" i="1"/>
  <c r="G757" i="1"/>
  <c r="U757" i="1"/>
  <c r="E757" i="1"/>
  <c r="T757" i="1"/>
  <c r="D757" i="1"/>
  <c r="O757" i="1"/>
  <c r="C757" i="1"/>
  <c r="S757" i="1"/>
  <c r="M757" i="1"/>
  <c r="L757" i="1"/>
  <c r="K757" i="1"/>
  <c r="S758" i="1" l="1"/>
  <c r="K758" i="1"/>
  <c r="C758" i="1"/>
  <c r="R758" i="1"/>
  <c r="J758" i="1"/>
  <c r="B758" i="1"/>
  <c r="Q758" i="1"/>
  <c r="I758" i="1"/>
  <c r="W758" i="1"/>
  <c r="O758" i="1"/>
  <c r="G758" i="1"/>
  <c r="P758" i="1"/>
  <c r="N758" i="1"/>
  <c r="M758" i="1"/>
  <c r="A759" i="1"/>
  <c r="H758" i="1"/>
  <c r="L758" i="1"/>
  <c r="F758" i="1"/>
  <c r="E758" i="1"/>
  <c r="D758" i="1"/>
  <c r="U758" i="1"/>
  <c r="T758" i="1"/>
  <c r="V758" i="1"/>
  <c r="T759" i="1" l="1"/>
  <c r="L759" i="1"/>
  <c r="D759" i="1"/>
  <c r="S759" i="1"/>
  <c r="K759" i="1"/>
  <c r="C759" i="1"/>
  <c r="R759" i="1"/>
  <c r="J759" i="1"/>
  <c r="B759" i="1"/>
  <c r="A760" i="1"/>
  <c r="P759" i="1"/>
  <c r="H759" i="1"/>
  <c r="I759" i="1"/>
  <c r="W759" i="1"/>
  <c r="G759" i="1"/>
  <c r="V759" i="1"/>
  <c r="F759" i="1"/>
  <c r="Q759" i="1"/>
  <c r="U759" i="1"/>
  <c r="O759" i="1"/>
  <c r="N759" i="1"/>
  <c r="E759" i="1"/>
  <c r="M759" i="1"/>
  <c r="U760" i="1" l="1"/>
  <c r="M760" i="1"/>
  <c r="E760" i="1"/>
  <c r="T760" i="1"/>
  <c r="L760" i="1"/>
  <c r="D760" i="1"/>
  <c r="S760" i="1"/>
  <c r="K760" i="1"/>
  <c r="C760" i="1"/>
  <c r="Q760" i="1"/>
  <c r="I760" i="1"/>
  <c r="R760" i="1"/>
  <c r="B760" i="1"/>
  <c r="P760" i="1"/>
  <c r="O760" i="1"/>
  <c r="J760" i="1"/>
  <c r="A761" i="1"/>
  <c r="W760" i="1"/>
  <c r="N760" i="1"/>
  <c r="V760" i="1"/>
  <c r="H760" i="1"/>
  <c r="G760" i="1"/>
  <c r="F760" i="1"/>
  <c r="V761" i="1" l="1"/>
  <c r="N761" i="1"/>
  <c r="F761" i="1"/>
  <c r="U761" i="1"/>
  <c r="M761" i="1"/>
  <c r="E761" i="1"/>
  <c r="T761" i="1"/>
  <c r="L761" i="1"/>
  <c r="D761" i="1"/>
  <c r="R761" i="1"/>
  <c r="J761" i="1"/>
  <c r="B761" i="1"/>
  <c r="K761" i="1"/>
  <c r="I761" i="1"/>
  <c r="A762" i="1"/>
  <c r="H761" i="1"/>
  <c r="S761" i="1"/>
  <c r="C761" i="1"/>
  <c r="G761" i="1"/>
  <c r="W761" i="1"/>
  <c r="Q761" i="1"/>
  <c r="P761" i="1"/>
  <c r="O761" i="1"/>
  <c r="W762" i="1" l="1"/>
  <c r="O762" i="1"/>
  <c r="G762" i="1"/>
  <c r="V762" i="1"/>
  <c r="N762" i="1"/>
  <c r="F762" i="1"/>
  <c r="U762" i="1"/>
  <c r="M762" i="1"/>
  <c r="E762" i="1"/>
  <c r="S762" i="1"/>
  <c r="K762" i="1"/>
  <c r="C762" i="1"/>
  <c r="T762" i="1"/>
  <c r="D762" i="1"/>
  <c r="R762" i="1"/>
  <c r="B762" i="1"/>
  <c r="Q762" i="1"/>
  <c r="L762" i="1"/>
  <c r="P762" i="1"/>
  <c r="J762" i="1"/>
  <c r="I762" i="1"/>
  <c r="H762" i="1"/>
  <c r="A763" i="1"/>
  <c r="A764" i="1" l="1"/>
  <c r="P763" i="1"/>
  <c r="H763" i="1"/>
  <c r="W763" i="1"/>
  <c r="O763" i="1"/>
  <c r="G763" i="1"/>
  <c r="V763" i="1"/>
  <c r="N763" i="1"/>
  <c r="F763" i="1"/>
  <c r="T763" i="1"/>
  <c r="L763" i="1"/>
  <c r="D763" i="1"/>
  <c r="M763" i="1"/>
  <c r="K763" i="1"/>
  <c r="J763" i="1"/>
  <c r="U763" i="1"/>
  <c r="E763" i="1"/>
  <c r="S763" i="1"/>
  <c r="R763" i="1"/>
  <c r="I763" i="1"/>
  <c r="Q763" i="1"/>
  <c r="C763" i="1"/>
  <c r="B763" i="1"/>
  <c r="Q764" i="1" l="1"/>
  <c r="I764" i="1"/>
  <c r="A765" i="1"/>
  <c r="P764" i="1"/>
  <c r="H764" i="1"/>
  <c r="W764" i="1"/>
  <c r="O764" i="1"/>
  <c r="G764" i="1"/>
  <c r="U764" i="1"/>
  <c r="M764" i="1"/>
  <c r="E764" i="1"/>
  <c r="V764" i="1"/>
  <c r="F764" i="1"/>
  <c r="T764" i="1"/>
  <c r="D764" i="1"/>
  <c r="S764" i="1"/>
  <c r="C764" i="1"/>
  <c r="N764" i="1"/>
  <c r="B764" i="1"/>
  <c r="R764" i="1"/>
  <c r="J764" i="1"/>
  <c r="K764" i="1"/>
  <c r="L764" i="1"/>
  <c r="R765" i="1" l="1"/>
  <c r="J765" i="1"/>
  <c r="B765" i="1"/>
  <c r="Q765" i="1"/>
  <c r="I765" i="1"/>
  <c r="A766" i="1"/>
  <c r="P765" i="1"/>
  <c r="H765" i="1"/>
  <c r="V765" i="1"/>
  <c r="N765" i="1"/>
  <c r="F765" i="1"/>
  <c r="O765" i="1"/>
  <c r="M765" i="1"/>
  <c r="L765" i="1"/>
  <c r="W765" i="1"/>
  <c r="G765" i="1"/>
  <c r="K765" i="1"/>
  <c r="E765" i="1"/>
  <c r="D765" i="1"/>
  <c r="U765" i="1"/>
  <c r="T765" i="1"/>
  <c r="C765" i="1"/>
  <c r="S765" i="1"/>
  <c r="S766" i="1" l="1"/>
  <c r="K766" i="1"/>
  <c r="C766" i="1"/>
  <c r="R766" i="1"/>
  <c r="J766" i="1"/>
  <c r="B766" i="1"/>
  <c r="Q766" i="1"/>
  <c r="I766" i="1"/>
  <c r="W766" i="1"/>
  <c r="O766" i="1"/>
  <c r="G766" i="1"/>
  <c r="A767" i="1"/>
  <c r="H766" i="1"/>
  <c r="V766" i="1"/>
  <c r="F766" i="1"/>
  <c r="U766" i="1"/>
  <c r="E766" i="1"/>
  <c r="P766" i="1"/>
  <c r="T766" i="1"/>
  <c r="N766" i="1"/>
  <c r="M766" i="1"/>
  <c r="D766" i="1"/>
  <c r="L766" i="1"/>
  <c r="T767" i="1" l="1"/>
  <c r="L767" i="1"/>
  <c r="D767" i="1"/>
  <c r="S767" i="1"/>
  <c r="K767" i="1"/>
  <c r="C767" i="1"/>
  <c r="R767" i="1"/>
  <c r="J767" i="1"/>
  <c r="B767" i="1"/>
  <c r="A768" i="1"/>
  <c r="P767" i="1"/>
  <c r="H767" i="1"/>
  <c r="Q767" i="1"/>
  <c r="O767" i="1"/>
  <c r="N767" i="1"/>
  <c r="I767" i="1"/>
  <c r="W767" i="1"/>
  <c r="V767" i="1"/>
  <c r="M767" i="1"/>
  <c r="U767" i="1"/>
  <c r="G767" i="1"/>
  <c r="E767" i="1"/>
  <c r="F767" i="1"/>
  <c r="U768" i="1" l="1"/>
  <c r="M768" i="1"/>
  <c r="E768" i="1"/>
  <c r="T768" i="1"/>
  <c r="L768" i="1"/>
  <c r="D768" i="1"/>
  <c r="S768" i="1"/>
  <c r="K768" i="1"/>
  <c r="C768" i="1"/>
  <c r="Q768" i="1"/>
  <c r="I768" i="1"/>
  <c r="J768" i="1"/>
  <c r="A769" i="1"/>
  <c r="H768" i="1"/>
  <c r="W768" i="1"/>
  <c r="G768" i="1"/>
  <c r="R768" i="1"/>
  <c r="B768" i="1"/>
  <c r="F768" i="1"/>
  <c r="V768" i="1"/>
  <c r="P768" i="1"/>
  <c r="O768" i="1"/>
  <c r="N768" i="1"/>
  <c r="V769" i="1" l="1"/>
  <c r="N769" i="1"/>
  <c r="F769" i="1"/>
  <c r="U769" i="1"/>
  <c r="M769" i="1"/>
  <c r="E769" i="1"/>
  <c r="T769" i="1"/>
  <c r="L769" i="1"/>
  <c r="D769" i="1"/>
  <c r="R769" i="1"/>
  <c r="J769" i="1"/>
  <c r="B769" i="1"/>
  <c r="S769" i="1"/>
  <c r="C769" i="1"/>
  <c r="Q769" i="1"/>
  <c r="P769" i="1"/>
  <c r="K769" i="1"/>
  <c r="O769" i="1"/>
  <c r="I769" i="1"/>
  <c r="H769" i="1"/>
  <c r="G769" i="1"/>
  <c r="A770" i="1"/>
  <c r="W769" i="1"/>
  <c r="W770" i="1" l="1"/>
  <c r="O770" i="1"/>
  <c r="G770" i="1"/>
  <c r="V770" i="1"/>
  <c r="N770" i="1"/>
  <c r="F770" i="1"/>
  <c r="U770" i="1"/>
  <c r="M770" i="1"/>
  <c r="E770" i="1"/>
  <c r="S770" i="1"/>
  <c r="K770" i="1"/>
  <c r="C770" i="1"/>
  <c r="L770" i="1"/>
  <c r="J770" i="1"/>
  <c r="I770" i="1"/>
  <c r="T770" i="1"/>
  <c r="D770" i="1"/>
  <c r="A771" i="1"/>
  <c r="R770" i="1"/>
  <c r="Q770" i="1"/>
  <c r="H770" i="1"/>
  <c r="P770" i="1"/>
  <c r="B770" i="1"/>
  <c r="A772" i="1" l="1"/>
  <c r="P771" i="1"/>
  <c r="H771" i="1"/>
  <c r="W771" i="1"/>
  <c r="O771" i="1"/>
  <c r="G771" i="1"/>
  <c r="V771" i="1"/>
  <c r="N771" i="1"/>
  <c r="F771" i="1"/>
  <c r="T771" i="1"/>
  <c r="L771" i="1"/>
  <c r="D771" i="1"/>
  <c r="U771" i="1"/>
  <c r="E771" i="1"/>
  <c r="S771" i="1"/>
  <c r="C771" i="1"/>
  <c r="R771" i="1"/>
  <c r="B771" i="1"/>
  <c r="M771" i="1"/>
  <c r="Q771" i="1"/>
  <c r="K771" i="1"/>
  <c r="J771" i="1"/>
  <c r="I771" i="1"/>
  <c r="Q772" i="1" l="1"/>
  <c r="I772" i="1"/>
  <c r="A773" i="1"/>
  <c r="P772" i="1"/>
  <c r="H772" i="1"/>
  <c r="W772" i="1"/>
  <c r="O772" i="1"/>
  <c r="G772" i="1"/>
  <c r="U772" i="1"/>
  <c r="M772" i="1"/>
  <c r="E772" i="1"/>
  <c r="N772" i="1"/>
  <c r="L772" i="1"/>
  <c r="K772" i="1"/>
  <c r="V772" i="1"/>
  <c r="F772" i="1"/>
  <c r="J772" i="1"/>
  <c r="D772" i="1"/>
  <c r="C772" i="1"/>
  <c r="B772" i="1"/>
  <c r="T772" i="1"/>
  <c r="S772" i="1"/>
  <c r="R772" i="1"/>
  <c r="R773" i="1" l="1"/>
  <c r="J773" i="1"/>
  <c r="B773" i="1"/>
  <c r="Q773" i="1"/>
  <c r="I773" i="1"/>
  <c r="A774" i="1"/>
  <c r="P773" i="1"/>
  <c r="H773" i="1"/>
  <c r="V773" i="1"/>
  <c r="N773" i="1"/>
  <c r="F773" i="1"/>
  <c r="W773" i="1"/>
  <c r="G773" i="1"/>
  <c r="U773" i="1"/>
  <c r="E773" i="1"/>
  <c r="T773" i="1"/>
  <c r="D773" i="1"/>
  <c r="O773" i="1"/>
  <c r="S773" i="1"/>
  <c r="M773" i="1"/>
  <c r="L773" i="1"/>
  <c r="C773" i="1"/>
  <c r="K773" i="1"/>
  <c r="S774" i="1" l="1"/>
  <c r="K774" i="1"/>
  <c r="C774" i="1"/>
  <c r="R774" i="1"/>
  <c r="J774" i="1"/>
  <c r="B774" i="1"/>
  <c r="Q774" i="1"/>
  <c r="I774" i="1"/>
  <c r="W774" i="1"/>
  <c r="O774" i="1"/>
  <c r="G774" i="1"/>
  <c r="P774" i="1"/>
  <c r="N774" i="1"/>
  <c r="M774" i="1"/>
  <c r="A775" i="1"/>
  <c r="H774" i="1"/>
  <c r="V774" i="1"/>
  <c r="U774" i="1"/>
  <c r="L774" i="1"/>
  <c r="T774" i="1"/>
  <c r="F774" i="1"/>
  <c r="E774" i="1"/>
  <c r="D774" i="1"/>
  <c r="T775" i="1" l="1"/>
  <c r="L775" i="1"/>
  <c r="D775" i="1"/>
  <c r="S775" i="1"/>
  <c r="K775" i="1"/>
  <c r="C775" i="1"/>
  <c r="R775" i="1"/>
  <c r="J775" i="1"/>
  <c r="B775" i="1"/>
  <c r="A776" i="1"/>
  <c r="P775" i="1"/>
  <c r="H775" i="1"/>
  <c r="I775" i="1"/>
  <c r="W775" i="1"/>
  <c r="G775" i="1"/>
  <c r="V775" i="1"/>
  <c r="F775" i="1"/>
  <c r="Q775" i="1"/>
  <c r="E775" i="1"/>
  <c r="U775" i="1"/>
  <c r="M775" i="1"/>
  <c r="N775" i="1"/>
  <c r="O775" i="1"/>
  <c r="U776" i="1" l="1"/>
  <c r="M776" i="1"/>
  <c r="E776" i="1"/>
  <c r="T776" i="1"/>
  <c r="L776" i="1"/>
  <c r="D776" i="1"/>
  <c r="S776" i="1"/>
  <c r="K776" i="1"/>
  <c r="C776" i="1"/>
  <c r="Q776" i="1"/>
  <c r="I776" i="1"/>
  <c r="R776" i="1"/>
  <c r="B776" i="1"/>
  <c r="P776" i="1"/>
  <c r="O776" i="1"/>
  <c r="J776" i="1"/>
  <c r="N776" i="1"/>
  <c r="H776" i="1"/>
  <c r="G776" i="1"/>
  <c r="A777" i="1"/>
  <c r="W776" i="1"/>
  <c r="F776" i="1"/>
  <c r="V776" i="1"/>
  <c r="V777" i="1" l="1"/>
  <c r="N777" i="1"/>
  <c r="F777" i="1"/>
  <c r="U777" i="1"/>
  <c r="M777" i="1"/>
  <c r="E777" i="1"/>
  <c r="T777" i="1"/>
  <c r="L777" i="1"/>
  <c r="D777" i="1"/>
  <c r="R777" i="1"/>
  <c r="J777" i="1"/>
  <c r="B777" i="1"/>
  <c r="K777" i="1"/>
  <c r="I777" i="1"/>
  <c r="A778" i="1"/>
  <c r="H777" i="1"/>
  <c r="S777" i="1"/>
  <c r="C777" i="1"/>
  <c r="W777" i="1"/>
  <c r="Q777" i="1"/>
  <c r="P777" i="1"/>
  <c r="G777" i="1"/>
  <c r="O777" i="1"/>
  <c r="W778" i="1" l="1"/>
  <c r="O778" i="1"/>
  <c r="G778" i="1"/>
  <c r="V778" i="1"/>
  <c r="N778" i="1"/>
  <c r="F778" i="1"/>
  <c r="U778" i="1"/>
  <c r="M778" i="1"/>
  <c r="E778" i="1"/>
  <c r="S778" i="1"/>
  <c r="K778" i="1"/>
  <c r="C778" i="1"/>
  <c r="T778" i="1"/>
  <c r="D778" i="1"/>
  <c r="R778" i="1"/>
  <c r="B778" i="1"/>
  <c r="Q778" i="1"/>
  <c r="L778" i="1"/>
  <c r="P778" i="1"/>
  <c r="A779" i="1"/>
  <c r="J778" i="1"/>
  <c r="H778" i="1"/>
  <c r="I778" i="1"/>
  <c r="A780" i="1" l="1"/>
  <c r="P779" i="1"/>
  <c r="H779" i="1"/>
  <c r="W779" i="1"/>
  <c r="O779" i="1"/>
  <c r="G779" i="1"/>
  <c r="V779" i="1"/>
  <c r="N779" i="1"/>
  <c r="F779" i="1"/>
  <c r="T779" i="1"/>
  <c r="L779" i="1"/>
  <c r="D779" i="1"/>
  <c r="M779" i="1"/>
  <c r="K779" i="1"/>
  <c r="J779" i="1"/>
  <c r="U779" i="1"/>
  <c r="E779" i="1"/>
  <c r="I779" i="1"/>
  <c r="C779" i="1"/>
  <c r="B779" i="1"/>
  <c r="S779" i="1"/>
  <c r="R779" i="1"/>
  <c r="Q779" i="1"/>
  <c r="Q780" i="1" l="1"/>
  <c r="I780" i="1"/>
  <c r="A781" i="1"/>
  <c r="P780" i="1"/>
  <c r="H780" i="1"/>
  <c r="W780" i="1"/>
  <c r="O780" i="1"/>
  <c r="G780" i="1"/>
  <c r="U780" i="1"/>
  <c r="M780" i="1"/>
  <c r="E780" i="1"/>
  <c r="V780" i="1"/>
  <c r="F780" i="1"/>
  <c r="T780" i="1"/>
  <c r="D780" i="1"/>
  <c r="S780" i="1"/>
  <c r="C780" i="1"/>
  <c r="N780" i="1"/>
  <c r="R780" i="1"/>
  <c r="L780" i="1"/>
  <c r="K780" i="1"/>
  <c r="B780" i="1"/>
  <c r="J780" i="1"/>
  <c r="R781" i="1" l="1"/>
  <c r="J781" i="1"/>
  <c r="B781" i="1"/>
  <c r="Q781" i="1"/>
  <c r="I781" i="1"/>
  <c r="A782" i="1"/>
  <c r="P781" i="1"/>
  <c r="H781" i="1"/>
  <c r="V781" i="1"/>
  <c r="N781" i="1"/>
  <c r="F781" i="1"/>
  <c r="O781" i="1"/>
  <c r="M781" i="1"/>
  <c r="L781" i="1"/>
  <c r="W781" i="1"/>
  <c r="G781" i="1"/>
  <c r="U781" i="1"/>
  <c r="T781" i="1"/>
  <c r="K781" i="1"/>
  <c r="S781" i="1"/>
  <c r="D781" i="1"/>
  <c r="C781" i="1"/>
  <c r="E781" i="1"/>
  <c r="S782" i="1" l="1"/>
  <c r="K782" i="1"/>
  <c r="C782" i="1"/>
  <c r="R782" i="1"/>
  <c r="J782" i="1"/>
  <c r="B782" i="1"/>
  <c r="Q782" i="1"/>
  <c r="I782" i="1"/>
  <c r="W782" i="1"/>
  <c r="O782" i="1"/>
  <c r="G782" i="1"/>
  <c r="A783" i="1"/>
  <c r="H782" i="1"/>
  <c r="V782" i="1"/>
  <c r="F782" i="1"/>
  <c r="U782" i="1"/>
  <c r="E782" i="1"/>
  <c r="P782" i="1"/>
  <c r="D782" i="1"/>
  <c r="T782" i="1"/>
  <c r="N782" i="1"/>
  <c r="M782" i="1"/>
  <c r="L782" i="1"/>
  <c r="T783" i="1" l="1"/>
  <c r="L783" i="1"/>
  <c r="D783" i="1"/>
  <c r="S783" i="1"/>
  <c r="K783" i="1"/>
  <c r="C783" i="1"/>
  <c r="R783" i="1"/>
  <c r="J783" i="1"/>
  <c r="B783" i="1"/>
  <c r="A784" i="1"/>
  <c r="P783" i="1"/>
  <c r="H783" i="1"/>
  <c r="Q783" i="1"/>
  <c r="O783" i="1"/>
  <c r="N783" i="1"/>
  <c r="I783" i="1"/>
  <c r="M783" i="1"/>
  <c r="G783" i="1"/>
  <c r="F783" i="1"/>
  <c r="E783" i="1"/>
  <c r="W783" i="1"/>
  <c r="V783" i="1"/>
  <c r="U783" i="1"/>
  <c r="A785" i="1" l="1"/>
  <c r="W784" i="1"/>
  <c r="V784" i="1"/>
  <c r="U784" i="1"/>
  <c r="M784" i="1"/>
  <c r="E784" i="1"/>
  <c r="T784" i="1"/>
  <c r="L784" i="1"/>
  <c r="D784" i="1"/>
  <c r="S784" i="1"/>
  <c r="K784" i="1"/>
  <c r="C784" i="1"/>
  <c r="Q784" i="1"/>
  <c r="I784" i="1"/>
  <c r="J784" i="1"/>
  <c r="H784" i="1"/>
  <c r="G784" i="1"/>
  <c r="R784" i="1"/>
  <c r="B784" i="1"/>
  <c r="P784" i="1"/>
  <c r="O784" i="1"/>
  <c r="F784" i="1"/>
  <c r="N784" i="1"/>
  <c r="Q785" i="1" l="1"/>
  <c r="I785" i="1"/>
  <c r="A786" i="1"/>
  <c r="P785" i="1"/>
  <c r="H785" i="1"/>
  <c r="W785" i="1"/>
  <c r="O785" i="1"/>
  <c r="G785" i="1"/>
  <c r="U785" i="1"/>
  <c r="M785" i="1"/>
  <c r="E785" i="1"/>
  <c r="N785" i="1"/>
  <c r="L785" i="1"/>
  <c r="K785" i="1"/>
  <c r="V785" i="1"/>
  <c r="F785" i="1"/>
  <c r="J785" i="1"/>
  <c r="D785" i="1"/>
  <c r="C785" i="1"/>
  <c r="B785" i="1"/>
  <c r="T785" i="1"/>
  <c r="S785" i="1"/>
  <c r="R785" i="1"/>
  <c r="R786" i="1" l="1"/>
  <c r="J786" i="1"/>
  <c r="B786" i="1"/>
  <c r="Q786" i="1"/>
  <c r="I786" i="1"/>
  <c r="A787" i="1"/>
  <c r="P786" i="1"/>
  <c r="H786" i="1"/>
  <c r="V786" i="1"/>
  <c r="N786" i="1"/>
  <c r="F786" i="1"/>
  <c r="W786" i="1"/>
  <c r="G786" i="1"/>
  <c r="U786" i="1"/>
  <c r="E786" i="1"/>
  <c r="T786" i="1"/>
  <c r="D786" i="1"/>
  <c r="O786" i="1"/>
  <c r="S786" i="1"/>
  <c r="M786" i="1"/>
  <c r="L786" i="1"/>
  <c r="C786" i="1"/>
  <c r="K786" i="1"/>
  <c r="S787" i="1" l="1"/>
  <c r="K787" i="1"/>
  <c r="C787" i="1"/>
  <c r="R787" i="1"/>
  <c r="J787" i="1"/>
  <c r="B787" i="1"/>
  <c r="Q787" i="1"/>
  <c r="I787" i="1"/>
  <c r="W787" i="1"/>
  <c r="O787" i="1"/>
  <c r="G787" i="1"/>
  <c r="P787" i="1"/>
  <c r="N787" i="1"/>
  <c r="M787" i="1"/>
  <c r="A788" i="1"/>
  <c r="H787" i="1"/>
  <c r="V787" i="1"/>
  <c r="U787" i="1"/>
  <c r="L787" i="1"/>
  <c r="T787" i="1"/>
  <c r="F787" i="1"/>
  <c r="E787" i="1"/>
  <c r="D787" i="1"/>
  <c r="T788" i="1" l="1"/>
  <c r="L788" i="1"/>
  <c r="D788" i="1"/>
  <c r="S788" i="1"/>
  <c r="K788" i="1"/>
  <c r="C788" i="1"/>
  <c r="R788" i="1"/>
  <c r="J788" i="1"/>
  <c r="B788" i="1"/>
  <c r="A789" i="1"/>
  <c r="P788" i="1"/>
  <c r="H788" i="1"/>
  <c r="I788" i="1"/>
  <c r="W788" i="1"/>
  <c r="G788" i="1"/>
  <c r="V788" i="1"/>
  <c r="F788" i="1"/>
  <c r="Q788" i="1"/>
  <c r="E788" i="1"/>
  <c r="U788" i="1"/>
  <c r="M788" i="1"/>
  <c r="N788" i="1"/>
  <c r="O788" i="1"/>
  <c r="U789" i="1" l="1"/>
  <c r="M789" i="1"/>
  <c r="E789" i="1"/>
  <c r="T789" i="1"/>
  <c r="L789" i="1"/>
  <c r="D789" i="1"/>
  <c r="S789" i="1"/>
  <c r="K789" i="1"/>
  <c r="C789" i="1"/>
  <c r="Q789" i="1"/>
  <c r="I789" i="1"/>
  <c r="R789" i="1"/>
  <c r="B789" i="1"/>
  <c r="P789" i="1"/>
  <c r="O789" i="1"/>
  <c r="J789" i="1"/>
  <c r="N789" i="1"/>
  <c r="H789" i="1"/>
  <c r="G789" i="1"/>
  <c r="A790" i="1"/>
  <c r="W789" i="1"/>
  <c r="F789" i="1"/>
  <c r="V789" i="1"/>
  <c r="V790" i="1" l="1"/>
  <c r="N790" i="1"/>
  <c r="F790" i="1"/>
  <c r="U790" i="1"/>
  <c r="M790" i="1"/>
  <c r="E790" i="1"/>
  <c r="T790" i="1"/>
  <c r="L790" i="1"/>
  <c r="D790" i="1"/>
  <c r="R790" i="1"/>
  <c r="J790" i="1"/>
  <c r="B790" i="1"/>
  <c r="K790" i="1"/>
  <c r="I790" i="1"/>
  <c r="A791" i="1"/>
  <c r="H790" i="1"/>
  <c r="S790" i="1"/>
  <c r="C790" i="1"/>
  <c r="W790" i="1"/>
  <c r="Q790" i="1"/>
  <c r="P790" i="1"/>
  <c r="G790" i="1"/>
  <c r="O790" i="1"/>
  <c r="W791" i="1" l="1"/>
  <c r="O791" i="1"/>
  <c r="G791" i="1"/>
  <c r="V791" i="1"/>
  <c r="N791" i="1"/>
  <c r="F791" i="1"/>
  <c r="U791" i="1"/>
  <c r="M791" i="1"/>
  <c r="E791" i="1"/>
  <c r="S791" i="1"/>
  <c r="K791" i="1"/>
  <c r="C791" i="1"/>
  <c r="T791" i="1"/>
  <c r="D791" i="1"/>
  <c r="R791" i="1"/>
  <c r="B791" i="1"/>
  <c r="Q791" i="1"/>
  <c r="L791" i="1"/>
  <c r="P791" i="1"/>
  <c r="A792" i="1"/>
  <c r="J791" i="1"/>
  <c r="I791" i="1"/>
  <c r="H791" i="1"/>
  <c r="A793" i="1" l="1"/>
  <c r="P792" i="1"/>
  <c r="H792" i="1"/>
  <c r="W792" i="1"/>
  <c r="O792" i="1"/>
  <c r="G792" i="1"/>
  <c r="V792" i="1"/>
  <c r="N792" i="1"/>
  <c r="F792" i="1"/>
  <c r="T792" i="1"/>
  <c r="L792" i="1"/>
  <c r="D792" i="1"/>
  <c r="M792" i="1"/>
  <c r="K792" i="1"/>
  <c r="J792" i="1"/>
  <c r="U792" i="1"/>
  <c r="E792" i="1"/>
  <c r="I792" i="1"/>
  <c r="C792" i="1"/>
  <c r="B792" i="1"/>
  <c r="S792" i="1"/>
  <c r="R792" i="1"/>
  <c r="Q792" i="1"/>
  <c r="Q793" i="1" l="1"/>
  <c r="I793" i="1"/>
  <c r="A794" i="1"/>
  <c r="P793" i="1"/>
  <c r="H793" i="1"/>
  <c r="W793" i="1"/>
  <c r="O793" i="1"/>
  <c r="G793" i="1"/>
  <c r="U793" i="1"/>
  <c r="M793" i="1"/>
  <c r="E793" i="1"/>
  <c r="V793" i="1"/>
  <c r="F793" i="1"/>
  <c r="T793" i="1"/>
  <c r="D793" i="1"/>
  <c r="S793" i="1"/>
  <c r="C793" i="1"/>
  <c r="N793" i="1"/>
  <c r="R793" i="1"/>
  <c r="L793" i="1"/>
  <c r="K793" i="1"/>
  <c r="B793" i="1"/>
  <c r="J793" i="1"/>
  <c r="R794" i="1" l="1"/>
  <c r="J794" i="1"/>
  <c r="B794" i="1"/>
  <c r="Q794" i="1"/>
  <c r="I794" i="1"/>
  <c r="A795" i="1"/>
  <c r="P794" i="1"/>
  <c r="H794" i="1"/>
  <c r="V794" i="1"/>
  <c r="N794" i="1"/>
  <c r="F794" i="1"/>
  <c r="O794" i="1"/>
  <c r="M794" i="1"/>
  <c r="L794" i="1"/>
  <c r="W794" i="1"/>
  <c r="G794" i="1"/>
  <c r="U794" i="1"/>
  <c r="T794" i="1"/>
  <c r="K794" i="1"/>
  <c r="S794" i="1"/>
  <c r="E794" i="1"/>
  <c r="C794" i="1"/>
  <c r="D794" i="1"/>
  <c r="S795" i="1" l="1"/>
  <c r="K795" i="1"/>
  <c r="C795" i="1"/>
  <c r="R795" i="1"/>
  <c r="J795" i="1"/>
  <c r="B795" i="1"/>
  <c r="Q795" i="1"/>
  <c r="I795" i="1"/>
  <c r="W795" i="1"/>
  <c r="O795" i="1"/>
  <c r="G795" i="1"/>
  <c r="A796" i="1"/>
  <c r="H795" i="1"/>
  <c r="V795" i="1"/>
  <c r="F795" i="1"/>
  <c r="U795" i="1"/>
  <c r="E795" i="1"/>
  <c r="P795" i="1"/>
  <c r="D795" i="1"/>
  <c r="T795" i="1"/>
  <c r="N795" i="1"/>
  <c r="M795" i="1"/>
  <c r="L795" i="1"/>
  <c r="T796" i="1" l="1"/>
  <c r="L796" i="1"/>
  <c r="D796" i="1"/>
  <c r="S796" i="1"/>
  <c r="K796" i="1"/>
  <c r="C796" i="1"/>
  <c r="R796" i="1"/>
  <c r="J796" i="1"/>
  <c r="B796" i="1"/>
  <c r="A797" i="1"/>
  <c r="P796" i="1"/>
  <c r="H796" i="1"/>
  <c r="Q796" i="1"/>
  <c r="O796" i="1"/>
  <c r="N796" i="1"/>
  <c r="I796" i="1"/>
  <c r="M796" i="1"/>
  <c r="G796" i="1"/>
  <c r="F796" i="1"/>
  <c r="E796" i="1"/>
  <c r="W796" i="1"/>
  <c r="V796" i="1"/>
  <c r="U796" i="1"/>
  <c r="U797" i="1" l="1"/>
  <c r="M797" i="1"/>
  <c r="E797" i="1"/>
  <c r="T797" i="1"/>
  <c r="L797" i="1"/>
  <c r="D797" i="1"/>
  <c r="S797" i="1"/>
  <c r="K797" i="1"/>
  <c r="C797" i="1"/>
  <c r="Q797" i="1"/>
  <c r="I797" i="1"/>
  <c r="J797" i="1"/>
  <c r="A798" i="1"/>
  <c r="H797" i="1"/>
  <c r="W797" i="1"/>
  <c r="G797" i="1"/>
  <c r="R797" i="1"/>
  <c r="B797" i="1"/>
  <c r="V797" i="1"/>
  <c r="P797" i="1"/>
  <c r="O797" i="1"/>
  <c r="F797" i="1"/>
  <c r="N797" i="1"/>
  <c r="V798" i="1" l="1"/>
  <c r="N798" i="1"/>
  <c r="F798" i="1"/>
  <c r="U798" i="1"/>
  <c r="M798" i="1"/>
  <c r="E798" i="1"/>
  <c r="T798" i="1"/>
  <c r="L798" i="1"/>
  <c r="D798" i="1"/>
  <c r="R798" i="1"/>
  <c r="J798" i="1"/>
  <c r="B798" i="1"/>
  <c r="S798" i="1"/>
  <c r="C798" i="1"/>
  <c r="Q798" i="1"/>
  <c r="P798" i="1"/>
  <c r="K798" i="1"/>
  <c r="A799" i="1"/>
  <c r="O798" i="1"/>
  <c r="W798" i="1"/>
  <c r="I798" i="1"/>
  <c r="H798" i="1"/>
  <c r="G798" i="1"/>
  <c r="W799" i="1" l="1"/>
  <c r="O799" i="1"/>
  <c r="G799" i="1"/>
  <c r="V799" i="1"/>
  <c r="N799" i="1"/>
  <c r="F799" i="1"/>
  <c r="U799" i="1"/>
  <c r="M799" i="1"/>
  <c r="E799" i="1"/>
  <c r="S799" i="1"/>
  <c r="K799" i="1"/>
  <c r="C799" i="1"/>
  <c r="L799" i="1"/>
  <c r="J799" i="1"/>
  <c r="I799" i="1"/>
  <c r="T799" i="1"/>
  <c r="D799" i="1"/>
  <c r="H799" i="1"/>
  <c r="B799" i="1"/>
  <c r="A800" i="1"/>
  <c r="P799" i="1"/>
  <c r="R799" i="1"/>
  <c r="Q799" i="1"/>
  <c r="A801" i="1" l="1"/>
  <c r="P800" i="1"/>
  <c r="H800" i="1"/>
  <c r="W800" i="1"/>
  <c r="O800" i="1"/>
  <c r="G800" i="1"/>
  <c r="V800" i="1"/>
  <c r="N800" i="1"/>
  <c r="F800" i="1"/>
  <c r="T800" i="1"/>
  <c r="L800" i="1"/>
  <c r="D800" i="1"/>
  <c r="U800" i="1"/>
  <c r="E800" i="1"/>
  <c r="S800" i="1"/>
  <c r="C800" i="1"/>
  <c r="R800" i="1"/>
  <c r="B800" i="1"/>
  <c r="M800" i="1"/>
  <c r="Q800" i="1"/>
  <c r="K800" i="1"/>
  <c r="J800" i="1"/>
  <c r="I800" i="1"/>
  <c r="Q801" i="1" l="1"/>
  <c r="I801" i="1"/>
  <c r="A802" i="1"/>
  <c r="P801" i="1"/>
  <c r="H801" i="1"/>
  <c r="W801" i="1"/>
  <c r="O801" i="1"/>
  <c r="G801" i="1"/>
  <c r="U801" i="1"/>
  <c r="M801" i="1"/>
  <c r="E801" i="1"/>
  <c r="N801" i="1"/>
  <c r="L801" i="1"/>
  <c r="K801" i="1"/>
  <c r="V801" i="1"/>
  <c r="F801" i="1"/>
  <c r="T801" i="1"/>
  <c r="S801" i="1"/>
  <c r="J801" i="1"/>
  <c r="R801" i="1"/>
  <c r="D801" i="1"/>
  <c r="C801" i="1"/>
  <c r="B801" i="1"/>
  <c r="R802" i="1" l="1"/>
  <c r="J802" i="1"/>
  <c r="B802" i="1"/>
  <c r="Q802" i="1"/>
  <c r="I802" i="1"/>
  <c r="A803" i="1"/>
  <c r="P802" i="1"/>
  <c r="H802" i="1"/>
  <c r="V802" i="1"/>
  <c r="N802" i="1"/>
  <c r="F802" i="1"/>
  <c r="W802" i="1"/>
  <c r="G802" i="1"/>
  <c r="U802" i="1"/>
  <c r="E802" i="1"/>
  <c r="T802" i="1"/>
  <c r="D802" i="1"/>
  <c r="O802" i="1"/>
  <c r="C802" i="1"/>
  <c r="S802" i="1"/>
  <c r="M802" i="1"/>
  <c r="L802" i="1"/>
  <c r="K802" i="1"/>
  <c r="S803" i="1" l="1"/>
  <c r="K803" i="1"/>
  <c r="C803" i="1"/>
  <c r="R803" i="1"/>
  <c r="J803" i="1"/>
  <c r="B803" i="1"/>
  <c r="Q803" i="1"/>
  <c r="I803" i="1"/>
  <c r="W803" i="1"/>
  <c r="O803" i="1"/>
  <c r="G803" i="1"/>
  <c r="P803" i="1"/>
  <c r="N803" i="1"/>
  <c r="M803" i="1"/>
  <c r="A804" i="1"/>
  <c r="H803" i="1"/>
  <c r="L803" i="1"/>
  <c r="F803" i="1"/>
  <c r="E803" i="1"/>
  <c r="V803" i="1"/>
  <c r="U803" i="1"/>
  <c r="D803" i="1"/>
  <c r="T803" i="1"/>
  <c r="T804" i="1" l="1"/>
  <c r="L804" i="1"/>
  <c r="D804" i="1"/>
  <c r="S804" i="1"/>
  <c r="K804" i="1"/>
  <c r="C804" i="1"/>
  <c r="R804" i="1"/>
  <c r="J804" i="1"/>
  <c r="B804" i="1"/>
  <c r="A805" i="1"/>
  <c r="P804" i="1"/>
  <c r="H804" i="1"/>
  <c r="I804" i="1"/>
  <c r="W804" i="1"/>
  <c r="G804" i="1"/>
  <c r="V804" i="1"/>
  <c r="F804" i="1"/>
  <c r="Q804" i="1"/>
  <c r="U804" i="1"/>
  <c r="O804" i="1"/>
  <c r="N804" i="1"/>
  <c r="E804" i="1"/>
  <c r="M804" i="1"/>
  <c r="U805" i="1" l="1"/>
  <c r="M805" i="1"/>
  <c r="E805" i="1"/>
  <c r="T805" i="1"/>
  <c r="L805" i="1"/>
  <c r="D805" i="1"/>
  <c r="S805" i="1"/>
  <c r="K805" i="1"/>
  <c r="C805" i="1"/>
  <c r="Q805" i="1"/>
  <c r="I805" i="1"/>
  <c r="R805" i="1"/>
  <c r="B805" i="1"/>
  <c r="P805" i="1"/>
  <c r="O805" i="1"/>
  <c r="J805" i="1"/>
  <c r="A806" i="1"/>
  <c r="W805" i="1"/>
  <c r="N805" i="1"/>
  <c r="V805" i="1"/>
  <c r="H805" i="1"/>
  <c r="G805" i="1"/>
  <c r="F805" i="1"/>
  <c r="V806" i="1" l="1"/>
  <c r="N806" i="1"/>
  <c r="F806" i="1"/>
  <c r="U806" i="1"/>
  <c r="M806" i="1"/>
  <c r="E806" i="1"/>
  <c r="T806" i="1"/>
  <c r="L806" i="1"/>
  <c r="D806" i="1"/>
  <c r="R806" i="1"/>
  <c r="J806" i="1"/>
  <c r="B806" i="1"/>
  <c r="K806" i="1"/>
  <c r="I806" i="1"/>
  <c r="A807" i="1"/>
  <c r="H806" i="1"/>
  <c r="S806" i="1"/>
  <c r="C806" i="1"/>
  <c r="G806" i="1"/>
  <c r="W806" i="1"/>
  <c r="Q806" i="1"/>
  <c r="P806" i="1"/>
  <c r="O806" i="1"/>
  <c r="W807" i="1" l="1"/>
  <c r="O807" i="1"/>
  <c r="G807" i="1"/>
  <c r="V807" i="1"/>
  <c r="N807" i="1"/>
  <c r="F807" i="1"/>
  <c r="U807" i="1"/>
  <c r="M807" i="1"/>
  <c r="E807" i="1"/>
  <c r="S807" i="1"/>
  <c r="K807" i="1"/>
  <c r="C807" i="1"/>
  <c r="T807" i="1"/>
  <c r="D807" i="1"/>
  <c r="R807" i="1"/>
  <c r="B807" i="1"/>
  <c r="Q807" i="1"/>
  <c r="L807" i="1"/>
  <c r="P807" i="1"/>
  <c r="J807" i="1"/>
  <c r="I807" i="1"/>
  <c r="H807" i="1"/>
  <c r="A808" i="1"/>
  <c r="A809" i="1" l="1"/>
  <c r="P808" i="1"/>
  <c r="H808" i="1"/>
  <c r="W808" i="1"/>
  <c r="O808" i="1"/>
  <c r="G808" i="1"/>
  <c r="V808" i="1"/>
  <c r="N808" i="1"/>
  <c r="F808" i="1"/>
  <c r="T808" i="1"/>
  <c r="L808" i="1"/>
  <c r="D808" i="1"/>
  <c r="M808" i="1"/>
  <c r="K808" i="1"/>
  <c r="J808" i="1"/>
  <c r="U808" i="1"/>
  <c r="E808" i="1"/>
  <c r="S808" i="1"/>
  <c r="R808" i="1"/>
  <c r="I808" i="1"/>
  <c r="Q808" i="1"/>
  <c r="C808" i="1"/>
  <c r="B808" i="1"/>
  <c r="Q809" i="1" l="1"/>
  <c r="I809" i="1"/>
  <c r="A810" i="1"/>
  <c r="P809" i="1"/>
  <c r="H809" i="1"/>
  <c r="W809" i="1"/>
  <c r="O809" i="1"/>
  <c r="G809" i="1"/>
  <c r="U809" i="1"/>
  <c r="M809" i="1"/>
  <c r="E809" i="1"/>
  <c r="V809" i="1"/>
  <c r="F809" i="1"/>
  <c r="T809" i="1"/>
  <c r="D809" i="1"/>
  <c r="S809" i="1"/>
  <c r="C809" i="1"/>
  <c r="N809" i="1"/>
  <c r="B809" i="1"/>
  <c r="R809" i="1"/>
  <c r="L809" i="1"/>
  <c r="K809" i="1"/>
  <c r="J809" i="1"/>
  <c r="R810" i="1" l="1"/>
  <c r="J810" i="1"/>
  <c r="B810" i="1"/>
  <c r="Q810" i="1"/>
  <c r="I810" i="1"/>
  <c r="A811" i="1"/>
  <c r="P810" i="1"/>
  <c r="H810" i="1"/>
  <c r="V810" i="1"/>
  <c r="N810" i="1"/>
  <c r="F810" i="1"/>
  <c r="O810" i="1"/>
  <c r="M810" i="1"/>
  <c r="L810" i="1"/>
  <c r="W810" i="1"/>
  <c r="G810" i="1"/>
  <c r="K810" i="1"/>
  <c r="E810" i="1"/>
  <c r="D810" i="1"/>
  <c r="C810" i="1"/>
  <c r="T810" i="1"/>
  <c r="U810" i="1"/>
  <c r="S810" i="1"/>
  <c r="S811" i="1" l="1"/>
  <c r="K811" i="1"/>
  <c r="C811" i="1"/>
  <c r="R811" i="1"/>
  <c r="J811" i="1"/>
  <c r="B811" i="1"/>
  <c r="Q811" i="1"/>
  <c r="I811" i="1"/>
  <c r="W811" i="1"/>
  <c r="O811" i="1"/>
  <c r="G811" i="1"/>
  <c r="A812" i="1"/>
  <c r="H811" i="1"/>
  <c r="V811" i="1"/>
  <c r="F811" i="1"/>
  <c r="U811" i="1"/>
  <c r="E811" i="1"/>
  <c r="P811" i="1"/>
  <c r="T811" i="1"/>
  <c r="N811" i="1"/>
  <c r="M811" i="1"/>
  <c r="D811" i="1"/>
  <c r="L811" i="1"/>
  <c r="T812" i="1" l="1"/>
  <c r="L812" i="1"/>
  <c r="D812" i="1"/>
  <c r="S812" i="1"/>
  <c r="K812" i="1"/>
  <c r="C812" i="1"/>
  <c r="R812" i="1"/>
  <c r="J812" i="1"/>
  <c r="B812" i="1"/>
  <c r="A813" i="1"/>
  <c r="P812" i="1"/>
  <c r="H812" i="1"/>
  <c r="Q812" i="1"/>
  <c r="O812" i="1"/>
  <c r="N812" i="1"/>
  <c r="I812" i="1"/>
  <c r="W812" i="1"/>
  <c r="V812" i="1"/>
  <c r="M812" i="1"/>
  <c r="U812" i="1"/>
  <c r="G812" i="1"/>
  <c r="F812" i="1"/>
  <c r="E812" i="1"/>
  <c r="U813" i="1" l="1"/>
  <c r="M813" i="1"/>
  <c r="E813" i="1"/>
  <c r="T813" i="1"/>
  <c r="L813" i="1"/>
  <c r="D813" i="1"/>
  <c r="S813" i="1"/>
  <c r="K813" i="1"/>
  <c r="C813" i="1"/>
  <c r="Q813" i="1"/>
  <c r="I813" i="1"/>
  <c r="J813" i="1"/>
  <c r="A814" i="1"/>
  <c r="H813" i="1"/>
  <c r="W813" i="1"/>
  <c r="G813" i="1"/>
  <c r="R813" i="1"/>
  <c r="B813" i="1"/>
  <c r="F813" i="1"/>
  <c r="V813" i="1"/>
  <c r="P813" i="1"/>
  <c r="O813" i="1"/>
  <c r="N813" i="1"/>
  <c r="R814" i="1" l="1"/>
  <c r="J814" i="1"/>
  <c r="Q814" i="1"/>
  <c r="I814" i="1"/>
  <c r="A815" i="1"/>
  <c r="P814" i="1"/>
  <c r="S814" i="1"/>
  <c r="F814" i="1"/>
  <c r="O814" i="1"/>
  <c r="E814" i="1"/>
  <c r="N814" i="1"/>
  <c r="D814" i="1"/>
  <c r="W814" i="1"/>
  <c r="L814" i="1"/>
  <c r="B814" i="1"/>
  <c r="C814" i="1"/>
  <c r="V814" i="1"/>
  <c r="U814" i="1"/>
  <c r="M814" i="1"/>
  <c r="T814" i="1"/>
  <c r="K814" i="1"/>
  <c r="H814" i="1"/>
  <c r="G814" i="1"/>
  <c r="S815" i="1" l="1"/>
  <c r="K815" i="1"/>
  <c r="C815" i="1"/>
  <c r="R815" i="1"/>
  <c r="J815" i="1"/>
  <c r="B815" i="1"/>
  <c r="Q815" i="1"/>
  <c r="I815" i="1"/>
  <c r="U815" i="1"/>
  <c r="G815" i="1"/>
  <c r="T815" i="1"/>
  <c r="F815" i="1"/>
  <c r="P815" i="1"/>
  <c r="E815" i="1"/>
  <c r="N815" i="1"/>
  <c r="D815" i="1"/>
  <c r="A816" i="1"/>
  <c r="W815" i="1"/>
  <c r="O815" i="1"/>
  <c r="V815" i="1"/>
  <c r="M815" i="1"/>
  <c r="L815" i="1"/>
  <c r="H815" i="1"/>
  <c r="T816" i="1" l="1"/>
  <c r="L816" i="1"/>
  <c r="D816" i="1"/>
  <c r="S816" i="1"/>
  <c r="K816" i="1"/>
  <c r="C816" i="1"/>
  <c r="R816" i="1"/>
  <c r="J816" i="1"/>
  <c r="B816" i="1"/>
  <c r="A817" i="1"/>
  <c r="P816" i="1"/>
  <c r="I816" i="1"/>
  <c r="W816" i="1"/>
  <c r="H816" i="1"/>
  <c r="V816" i="1"/>
  <c r="G816" i="1"/>
  <c r="Q816" i="1"/>
  <c r="E816" i="1"/>
  <c r="F816" i="1"/>
  <c r="U816" i="1"/>
  <c r="O816" i="1"/>
  <c r="N816" i="1"/>
  <c r="M816" i="1"/>
  <c r="U817" i="1" l="1"/>
  <c r="M817" i="1"/>
  <c r="E817" i="1"/>
  <c r="T817" i="1"/>
  <c r="L817" i="1"/>
  <c r="D817" i="1"/>
  <c r="S817" i="1"/>
  <c r="K817" i="1"/>
  <c r="C817" i="1"/>
  <c r="Q817" i="1"/>
  <c r="I817" i="1"/>
  <c r="R817" i="1"/>
  <c r="B817" i="1"/>
  <c r="P817" i="1"/>
  <c r="O817" i="1"/>
  <c r="J817" i="1"/>
  <c r="N817" i="1"/>
  <c r="H817" i="1"/>
  <c r="G817" i="1"/>
  <c r="F817" i="1"/>
  <c r="V817" i="1"/>
  <c r="A818" i="1"/>
  <c r="W817" i="1"/>
  <c r="V818" i="1" l="1"/>
  <c r="N818" i="1"/>
  <c r="F818" i="1"/>
  <c r="U818" i="1"/>
  <c r="M818" i="1"/>
  <c r="E818" i="1"/>
  <c r="T818" i="1"/>
  <c r="L818" i="1"/>
  <c r="D818" i="1"/>
  <c r="R818" i="1"/>
  <c r="J818" i="1"/>
  <c r="B818" i="1"/>
  <c r="K818" i="1"/>
  <c r="I818" i="1"/>
  <c r="A819" i="1"/>
  <c r="H818" i="1"/>
  <c r="S818" i="1"/>
  <c r="C818" i="1"/>
  <c r="W818" i="1"/>
  <c r="Q818" i="1"/>
  <c r="P818" i="1"/>
  <c r="G818" i="1"/>
  <c r="O818" i="1"/>
  <c r="W819" i="1" l="1"/>
  <c r="O819" i="1"/>
  <c r="G819" i="1"/>
  <c r="V819" i="1"/>
  <c r="N819" i="1"/>
  <c r="F819" i="1"/>
  <c r="U819" i="1"/>
  <c r="M819" i="1"/>
  <c r="E819" i="1"/>
  <c r="S819" i="1"/>
  <c r="K819" i="1"/>
  <c r="C819" i="1"/>
  <c r="T819" i="1"/>
  <c r="D819" i="1"/>
  <c r="R819" i="1"/>
  <c r="B819" i="1"/>
  <c r="Q819" i="1"/>
  <c r="L819" i="1"/>
  <c r="P819" i="1"/>
  <c r="A820" i="1"/>
  <c r="J819" i="1"/>
  <c r="I819" i="1"/>
  <c r="H819" i="1"/>
  <c r="A821" i="1" l="1"/>
  <c r="P820" i="1"/>
  <c r="H820" i="1"/>
  <c r="W820" i="1"/>
  <c r="O820" i="1"/>
  <c r="G820" i="1"/>
  <c r="V820" i="1"/>
  <c r="N820" i="1"/>
  <c r="F820" i="1"/>
  <c r="T820" i="1"/>
  <c r="L820" i="1"/>
  <c r="D820" i="1"/>
  <c r="M820" i="1"/>
  <c r="K820" i="1"/>
  <c r="J820" i="1"/>
  <c r="U820" i="1"/>
  <c r="E820" i="1"/>
  <c r="I820" i="1"/>
  <c r="C820" i="1"/>
  <c r="B820" i="1"/>
  <c r="S820" i="1"/>
  <c r="R820" i="1"/>
  <c r="Q820" i="1"/>
  <c r="Q821" i="1" l="1"/>
  <c r="I821" i="1"/>
  <c r="A822" i="1"/>
  <c r="P821" i="1"/>
  <c r="H821" i="1"/>
  <c r="W821" i="1"/>
  <c r="O821" i="1"/>
  <c r="G821" i="1"/>
  <c r="U821" i="1"/>
  <c r="M821" i="1"/>
  <c r="E821" i="1"/>
  <c r="V821" i="1"/>
  <c r="F821" i="1"/>
  <c r="T821" i="1"/>
  <c r="D821" i="1"/>
  <c r="S821" i="1"/>
  <c r="C821" i="1"/>
  <c r="N821" i="1"/>
  <c r="R821" i="1"/>
  <c r="L821" i="1"/>
  <c r="K821" i="1"/>
  <c r="B821" i="1"/>
  <c r="J821" i="1"/>
  <c r="R822" i="1" l="1"/>
  <c r="J822" i="1"/>
  <c r="B822" i="1"/>
  <c r="Q822" i="1"/>
  <c r="I822" i="1"/>
  <c r="A823" i="1"/>
  <c r="P822" i="1"/>
  <c r="H822" i="1"/>
  <c r="V822" i="1"/>
  <c r="N822" i="1"/>
  <c r="F822" i="1"/>
  <c r="O822" i="1"/>
  <c r="M822" i="1"/>
  <c r="L822" i="1"/>
  <c r="W822" i="1"/>
  <c r="G822" i="1"/>
  <c r="U822" i="1"/>
  <c r="T822" i="1"/>
  <c r="K822" i="1"/>
  <c r="S822" i="1"/>
  <c r="E822" i="1"/>
  <c r="D822" i="1"/>
  <c r="C822" i="1"/>
  <c r="S823" i="1" l="1"/>
  <c r="K823" i="1"/>
  <c r="C823" i="1"/>
  <c r="R823" i="1"/>
  <c r="J823" i="1"/>
  <c r="B823" i="1"/>
  <c r="Q823" i="1"/>
  <c r="I823" i="1"/>
  <c r="W823" i="1"/>
  <c r="O823" i="1"/>
  <c r="G823" i="1"/>
  <c r="A824" i="1"/>
  <c r="H823" i="1"/>
  <c r="V823" i="1"/>
  <c r="F823" i="1"/>
  <c r="U823" i="1"/>
  <c r="E823" i="1"/>
  <c r="P823" i="1"/>
  <c r="D823" i="1"/>
  <c r="T823" i="1"/>
  <c r="N823" i="1"/>
  <c r="M823" i="1"/>
  <c r="L823" i="1"/>
  <c r="T824" i="1" l="1"/>
  <c r="L824" i="1"/>
  <c r="D824" i="1"/>
  <c r="S824" i="1"/>
  <c r="K824" i="1"/>
  <c r="C824" i="1"/>
  <c r="R824" i="1"/>
  <c r="J824" i="1"/>
  <c r="B824" i="1"/>
  <c r="A825" i="1"/>
  <c r="P824" i="1"/>
  <c r="H824" i="1"/>
  <c r="Q824" i="1"/>
  <c r="O824" i="1"/>
  <c r="N824" i="1"/>
  <c r="I824" i="1"/>
  <c r="M824" i="1"/>
  <c r="G824" i="1"/>
  <c r="F824" i="1"/>
  <c r="W824" i="1"/>
  <c r="V824" i="1"/>
  <c r="E824" i="1"/>
  <c r="U824" i="1"/>
  <c r="U825" i="1" l="1"/>
  <c r="M825" i="1"/>
  <c r="E825" i="1"/>
  <c r="T825" i="1"/>
  <c r="L825" i="1"/>
  <c r="D825" i="1"/>
  <c r="S825" i="1"/>
  <c r="K825" i="1"/>
  <c r="C825" i="1"/>
  <c r="Q825" i="1"/>
  <c r="I825" i="1"/>
  <c r="J825" i="1"/>
  <c r="A826" i="1"/>
  <c r="H825" i="1"/>
  <c r="W825" i="1"/>
  <c r="G825" i="1"/>
  <c r="R825" i="1"/>
  <c r="B825" i="1"/>
  <c r="V825" i="1"/>
  <c r="P825" i="1"/>
  <c r="O825" i="1"/>
  <c r="F825" i="1"/>
  <c r="N825" i="1"/>
  <c r="V826" i="1" l="1"/>
  <c r="N826" i="1"/>
  <c r="F826" i="1"/>
  <c r="U826" i="1"/>
  <c r="M826" i="1"/>
  <c r="E826" i="1"/>
  <c r="T826" i="1"/>
  <c r="L826" i="1"/>
  <c r="D826" i="1"/>
  <c r="R826" i="1"/>
  <c r="J826" i="1"/>
  <c r="B826" i="1"/>
  <c r="S826" i="1"/>
  <c r="C826" i="1"/>
  <c r="Q826" i="1"/>
  <c r="P826" i="1"/>
  <c r="K826" i="1"/>
  <c r="A827" i="1"/>
  <c r="O826" i="1"/>
  <c r="W826" i="1"/>
  <c r="I826" i="1"/>
  <c r="H826" i="1"/>
  <c r="G826" i="1"/>
  <c r="W827" i="1" l="1"/>
  <c r="O827" i="1"/>
  <c r="G827" i="1"/>
  <c r="V827" i="1"/>
  <c r="N827" i="1"/>
  <c r="F827" i="1"/>
  <c r="U827" i="1"/>
  <c r="M827" i="1"/>
  <c r="E827" i="1"/>
  <c r="S827" i="1"/>
  <c r="K827" i="1"/>
  <c r="C827" i="1"/>
  <c r="L827" i="1"/>
  <c r="J827" i="1"/>
  <c r="I827" i="1"/>
  <c r="T827" i="1"/>
  <c r="D827" i="1"/>
  <c r="H827" i="1"/>
  <c r="B827" i="1"/>
  <c r="A828" i="1"/>
  <c r="R827" i="1"/>
  <c r="Q827" i="1"/>
  <c r="P827" i="1"/>
  <c r="A829" i="1" l="1"/>
  <c r="P828" i="1"/>
  <c r="H828" i="1"/>
  <c r="W828" i="1"/>
  <c r="O828" i="1"/>
  <c r="G828" i="1"/>
  <c r="V828" i="1"/>
  <c r="N828" i="1"/>
  <c r="F828" i="1"/>
  <c r="T828" i="1"/>
  <c r="L828" i="1"/>
  <c r="D828" i="1"/>
  <c r="U828" i="1"/>
  <c r="E828" i="1"/>
  <c r="S828" i="1"/>
  <c r="C828" i="1"/>
  <c r="R828" i="1"/>
  <c r="B828" i="1"/>
  <c r="M828" i="1"/>
  <c r="Q828" i="1"/>
  <c r="K828" i="1"/>
  <c r="J828" i="1"/>
  <c r="I828" i="1"/>
  <c r="Q829" i="1" l="1"/>
  <c r="I829" i="1"/>
  <c r="A830" i="1"/>
  <c r="P829" i="1"/>
  <c r="H829" i="1"/>
  <c r="W829" i="1"/>
  <c r="O829" i="1"/>
  <c r="G829" i="1"/>
  <c r="U829" i="1"/>
  <c r="M829" i="1"/>
  <c r="E829" i="1"/>
  <c r="N829" i="1"/>
  <c r="L829" i="1"/>
  <c r="K829" i="1"/>
  <c r="V829" i="1"/>
  <c r="F829" i="1"/>
  <c r="T829" i="1"/>
  <c r="S829" i="1"/>
  <c r="J829" i="1"/>
  <c r="R829" i="1"/>
  <c r="C829" i="1"/>
  <c r="B829" i="1"/>
  <c r="D829" i="1"/>
  <c r="R830" i="1" l="1"/>
  <c r="J830" i="1"/>
  <c r="B830" i="1"/>
  <c r="Q830" i="1"/>
  <c r="I830" i="1"/>
  <c r="A831" i="1"/>
  <c r="P830" i="1"/>
  <c r="H830" i="1"/>
  <c r="V830" i="1"/>
  <c r="N830" i="1"/>
  <c r="F830" i="1"/>
  <c r="W830" i="1"/>
  <c r="G830" i="1"/>
  <c r="U830" i="1"/>
  <c r="E830" i="1"/>
  <c r="T830" i="1"/>
  <c r="D830" i="1"/>
  <c r="O830" i="1"/>
  <c r="C830" i="1"/>
  <c r="S830" i="1"/>
  <c r="M830" i="1"/>
  <c r="L830" i="1"/>
  <c r="K830" i="1"/>
  <c r="S831" i="1" l="1"/>
  <c r="K831" i="1"/>
  <c r="C831" i="1"/>
  <c r="R831" i="1"/>
  <c r="J831" i="1"/>
  <c r="B831" i="1"/>
  <c r="Q831" i="1"/>
  <c r="I831" i="1"/>
  <c r="W831" i="1"/>
  <c r="O831" i="1"/>
  <c r="G831" i="1"/>
  <c r="P831" i="1"/>
  <c r="N831" i="1"/>
  <c r="M831" i="1"/>
  <c r="A832" i="1"/>
  <c r="H831" i="1"/>
  <c r="L831" i="1"/>
  <c r="F831" i="1"/>
  <c r="E831" i="1"/>
  <c r="D831" i="1"/>
  <c r="V831" i="1"/>
  <c r="U831" i="1"/>
  <c r="T831" i="1"/>
  <c r="T832" i="1" l="1"/>
  <c r="L832" i="1"/>
  <c r="D832" i="1"/>
  <c r="S832" i="1"/>
  <c r="K832" i="1"/>
  <c r="C832" i="1"/>
  <c r="R832" i="1"/>
  <c r="J832" i="1"/>
  <c r="B832" i="1"/>
  <c r="A833" i="1"/>
  <c r="P832" i="1"/>
  <c r="H832" i="1"/>
  <c r="I832" i="1"/>
  <c r="W832" i="1"/>
  <c r="G832" i="1"/>
  <c r="V832" i="1"/>
  <c r="F832" i="1"/>
  <c r="Q832" i="1"/>
  <c r="U832" i="1"/>
  <c r="O832" i="1"/>
  <c r="N832" i="1"/>
  <c r="E832" i="1"/>
  <c r="M832" i="1"/>
  <c r="U833" i="1" l="1"/>
  <c r="M833" i="1"/>
  <c r="E833" i="1"/>
  <c r="T833" i="1"/>
  <c r="L833" i="1"/>
  <c r="D833" i="1"/>
  <c r="S833" i="1"/>
  <c r="K833" i="1"/>
  <c r="C833" i="1"/>
  <c r="Q833" i="1"/>
  <c r="I833" i="1"/>
  <c r="R833" i="1"/>
  <c r="B833" i="1"/>
  <c r="P833" i="1"/>
  <c r="O833" i="1"/>
  <c r="J833" i="1"/>
  <c r="A834" i="1"/>
  <c r="W833" i="1"/>
  <c r="N833" i="1"/>
  <c r="V833" i="1"/>
  <c r="H833" i="1"/>
  <c r="G833" i="1"/>
  <c r="F833" i="1"/>
  <c r="V834" i="1" l="1"/>
  <c r="N834" i="1"/>
  <c r="F834" i="1"/>
  <c r="U834" i="1"/>
  <c r="M834" i="1"/>
  <c r="E834" i="1"/>
  <c r="T834" i="1"/>
  <c r="L834" i="1"/>
  <c r="D834" i="1"/>
  <c r="R834" i="1"/>
  <c r="J834" i="1"/>
  <c r="B834" i="1"/>
  <c r="K834" i="1"/>
  <c r="I834" i="1"/>
  <c r="A835" i="1"/>
  <c r="H834" i="1"/>
  <c r="S834" i="1"/>
  <c r="C834" i="1"/>
  <c r="G834" i="1"/>
  <c r="W834" i="1"/>
  <c r="Q834" i="1"/>
  <c r="P834" i="1"/>
  <c r="O834" i="1"/>
  <c r="W835" i="1" l="1"/>
  <c r="O835" i="1"/>
  <c r="G835" i="1"/>
  <c r="V835" i="1"/>
  <c r="N835" i="1"/>
  <c r="F835" i="1"/>
  <c r="U835" i="1"/>
  <c r="M835" i="1"/>
  <c r="E835" i="1"/>
  <c r="S835" i="1"/>
  <c r="K835" i="1"/>
  <c r="C835" i="1"/>
  <c r="T835" i="1"/>
  <c r="D835" i="1"/>
  <c r="R835" i="1"/>
  <c r="B835" i="1"/>
  <c r="Q835" i="1"/>
  <c r="L835" i="1"/>
  <c r="P835" i="1"/>
  <c r="J835" i="1"/>
  <c r="I835" i="1"/>
  <c r="H835" i="1"/>
  <c r="A836" i="1"/>
  <c r="A837" i="1" l="1"/>
  <c r="P836" i="1"/>
  <c r="H836" i="1"/>
  <c r="W836" i="1"/>
  <c r="O836" i="1"/>
  <c r="G836" i="1"/>
  <c r="V836" i="1"/>
  <c r="N836" i="1"/>
  <c r="F836" i="1"/>
  <c r="T836" i="1"/>
  <c r="L836" i="1"/>
  <c r="D836" i="1"/>
  <c r="M836" i="1"/>
  <c r="K836" i="1"/>
  <c r="J836" i="1"/>
  <c r="U836" i="1"/>
  <c r="E836" i="1"/>
  <c r="S836" i="1"/>
  <c r="R836" i="1"/>
  <c r="I836" i="1"/>
  <c r="Q836" i="1"/>
  <c r="C836" i="1"/>
  <c r="B836" i="1"/>
  <c r="Q837" i="1" l="1"/>
  <c r="I837" i="1"/>
  <c r="A838" i="1"/>
  <c r="P837" i="1"/>
  <c r="H837" i="1"/>
  <c r="W837" i="1"/>
  <c r="O837" i="1"/>
  <c r="G837" i="1"/>
  <c r="U837" i="1"/>
  <c r="M837" i="1"/>
  <c r="E837" i="1"/>
  <c r="V837" i="1"/>
  <c r="F837" i="1"/>
  <c r="T837" i="1"/>
  <c r="D837" i="1"/>
  <c r="S837" i="1"/>
  <c r="C837" i="1"/>
  <c r="N837" i="1"/>
  <c r="B837" i="1"/>
  <c r="R837" i="1"/>
  <c r="L837" i="1"/>
  <c r="K837" i="1"/>
  <c r="J837" i="1"/>
  <c r="R838" i="1" l="1"/>
  <c r="J838" i="1"/>
  <c r="B838" i="1"/>
  <c r="Q838" i="1"/>
  <c r="I838" i="1"/>
  <c r="A839" i="1"/>
  <c r="P838" i="1"/>
  <c r="H838" i="1"/>
  <c r="V838" i="1"/>
  <c r="N838" i="1"/>
  <c r="F838" i="1"/>
  <c r="O838" i="1"/>
  <c r="M838" i="1"/>
  <c r="L838" i="1"/>
  <c r="W838" i="1"/>
  <c r="G838" i="1"/>
  <c r="K838" i="1"/>
  <c r="E838" i="1"/>
  <c r="D838" i="1"/>
  <c r="U838" i="1"/>
  <c r="T838" i="1"/>
  <c r="C838" i="1"/>
  <c r="S838" i="1"/>
  <c r="S839" i="1" l="1"/>
  <c r="K839" i="1"/>
  <c r="C839" i="1"/>
  <c r="R839" i="1"/>
  <c r="J839" i="1"/>
  <c r="B839" i="1"/>
  <c r="Q839" i="1"/>
  <c r="I839" i="1"/>
  <c r="W839" i="1"/>
  <c r="O839" i="1"/>
  <c r="G839" i="1"/>
  <c r="A840" i="1"/>
  <c r="H839" i="1"/>
  <c r="V839" i="1"/>
  <c r="F839" i="1"/>
  <c r="U839" i="1"/>
  <c r="E839" i="1"/>
  <c r="P839" i="1"/>
  <c r="T839" i="1"/>
  <c r="N839" i="1"/>
  <c r="M839" i="1"/>
  <c r="D839" i="1"/>
  <c r="L839" i="1"/>
  <c r="T840" i="1" l="1"/>
  <c r="L840" i="1"/>
  <c r="D840" i="1"/>
  <c r="S840" i="1"/>
  <c r="K840" i="1"/>
  <c r="C840" i="1"/>
  <c r="R840" i="1"/>
  <c r="J840" i="1"/>
  <c r="B840" i="1"/>
  <c r="A841" i="1"/>
  <c r="P840" i="1"/>
  <c r="H840" i="1"/>
  <c r="Q840" i="1"/>
  <c r="O840" i="1"/>
  <c r="N840" i="1"/>
  <c r="I840" i="1"/>
  <c r="W840" i="1"/>
  <c r="V840" i="1"/>
  <c r="M840" i="1"/>
  <c r="U840" i="1"/>
  <c r="G840" i="1"/>
  <c r="F840" i="1"/>
  <c r="E840" i="1"/>
  <c r="U841" i="1" l="1"/>
  <c r="M841" i="1"/>
  <c r="E841" i="1"/>
  <c r="T841" i="1"/>
  <c r="L841" i="1"/>
  <c r="D841" i="1"/>
  <c r="S841" i="1"/>
  <c r="K841" i="1"/>
  <c r="C841" i="1"/>
  <c r="Q841" i="1"/>
  <c r="I841" i="1"/>
  <c r="J841" i="1"/>
  <c r="A842" i="1"/>
  <c r="H841" i="1"/>
  <c r="W841" i="1"/>
  <c r="G841" i="1"/>
  <c r="R841" i="1"/>
  <c r="B841" i="1"/>
  <c r="F841" i="1"/>
  <c r="V841" i="1"/>
  <c r="P841" i="1"/>
  <c r="O841" i="1"/>
  <c r="N841" i="1"/>
  <c r="V842" i="1" l="1"/>
  <c r="N842" i="1"/>
  <c r="F842" i="1"/>
  <c r="U842" i="1"/>
  <c r="M842" i="1"/>
  <c r="E842" i="1"/>
  <c r="T842" i="1"/>
  <c r="L842" i="1"/>
  <c r="D842" i="1"/>
  <c r="R842" i="1"/>
  <c r="J842" i="1"/>
  <c r="B842" i="1"/>
  <c r="S842" i="1"/>
  <c r="C842" i="1"/>
  <c r="Q842" i="1"/>
  <c r="P842" i="1"/>
  <c r="K842" i="1"/>
  <c r="O842" i="1"/>
  <c r="I842" i="1"/>
  <c r="H842" i="1"/>
  <c r="G842" i="1"/>
  <c r="A843" i="1"/>
  <c r="W842" i="1"/>
  <c r="W843" i="1" l="1"/>
  <c r="O843" i="1"/>
  <c r="G843" i="1"/>
  <c r="V843" i="1"/>
  <c r="N843" i="1"/>
  <c r="F843" i="1"/>
  <c r="U843" i="1"/>
  <c r="M843" i="1"/>
  <c r="E843" i="1"/>
  <c r="S843" i="1"/>
  <c r="K843" i="1"/>
  <c r="C843" i="1"/>
  <c r="L843" i="1"/>
  <c r="J843" i="1"/>
  <c r="I843" i="1"/>
  <c r="T843" i="1"/>
  <c r="D843" i="1"/>
  <c r="A844" i="1"/>
  <c r="R843" i="1"/>
  <c r="Q843" i="1"/>
  <c r="H843" i="1"/>
  <c r="P843" i="1"/>
  <c r="B843" i="1"/>
  <c r="A845" i="1" l="1"/>
  <c r="P844" i="1"/>
  <c r="H844" i="1"/>
  <c r="W844" i="1"/>
  <c r="O844" i="1"/>
  <c r="G844" i="1"/>
  <c r="V844" i="1"/>
  <c r="N844" i="1"/>
  <c r="F844" i="1"/>
  <c r="T844" i="1"/>
  <c r="L844" i="1"/>
  <c r="D844" i="1"/>
  <c r="U844" i="1"/>
  <c r="E844" i="1"/>
  <c r="S844" i="1"/>
  <c r="C844" i="1"/>
  <c r="R844" i="1"/>
  <c r="B844" i="1"/>
  <c r="M844" i="1"/>
  <c r="Q844" i="1"/>
  <c r="K844" i="1"/>
  <c r="J844" i="1"/>
  <c r="I844" i="1"/>
  <c r="Q845" i="1" l="1"/>
  <c r="I845" i="1"/>
  <c r="A846" i="1"/>
  <c r="P845" i="1"/>
  <c r="H845" i="1"/>
  <c r="W845" i="1"/>
  <c r="O845" i="1"/>
  <c r="G845" i="1"/>
  <c r="U845" i="1"/>
  <c r="M845" i="1"/>
  <c r="E845" i="1"/>
  <c r="N845" i="1"/>
  <c r="L845" i="1"/>
  <c r="K845" i="1"/>
  <c r="V845" i="1"/>
  <c r="F845" i="1"/>
  <c r="J845" i="1"/>
  <c r="D845" i="1"/>
  <c r="C845" i="1"/>
  <c r="B845" i="1"/>
  <c r="T845" i="1"/>
  <c r="S845" i="1"/>
  <c r="R845" i="1"/>
  <c r="R846" i="1" l="1"/>
  <c r="J846" i="1"/>
  <c r="B846" i="1"/>
  <c r="Q846" i="1"/>
  <c r="I846" i="1"/>
  <c r="A847" i="1"/>
  <c r="P846" i="1"/>
  <c r="H846" i="1"/>
  <c r="V846" i="1"/>
  <c r="N846" i="1"/>
  <c r="F846" i="1"/>
  <c r="W846" i="1"/>
  <c r="G846" i="1"/>
  <c r="U846" i="1"/>
  <c r="E846" i="1"/>
  <c r="T846" i="1"/>
  <c r="D846" i="1"/>
  <c r="O846" i="1"/>
  <c r="S846" i="1"/>
  <c r="M846" i="1"/>
  <c r="L846" i="1"/>
  <c r="C846" i="1"/>
  <c r="K846" i="1"/>
  <c r="S847" i="1" l="1"/>
  <c r="K847" i="1"/>
  <c r="C847" i="1"/>
  <c r="R847" i="1"/>
  <c r="J847" i="1"/>
  <c r="B847" i="1"/>
  <c r="Q847" i="1"/>
  <c r="I847" i="1"/>
  <c r="W847" i="1"/>
  <c r="O847" i="1"/>
  <c r="G847" i="1"/>
  <c r="P847" i="1"/>
  <c r="N847" i="1"/>
  <c r="M847" i="1"/>
  <c r="A848" i="1"/>
  <c r="H847" i="1"/>
  <c r="V847" i="1"/>
  <c r="U847" i="1"/>
  <c r="L847" i="1"/>
  <c r="T847" i="1"/>
  <c r="F847" i="1"/>
  <c r="E847" i="1"/>
  <c r="D847" i="1"/>
  <c r="U848" i="1" l="1"/>
  <c r="T848" i="1"/>
  <c r="L848" i="1"/>
  <c r="D848" i="1"/>
  <c r="S848" i="1"/>
  <c r="K848" i="1"/>
  <c r="C848" i="1"/>
  <c r="R848" i="1"/>
  <c r="J848" i="1"/>
  <c r="B848" i="1"/>
  <c r="P848" i="1"/>
  <c r="H848" i="1"/>
  <c r="I848" i="1"/>
  <c r="A849" i="1"/>
  <c r="G848" i="1"/>
  <c r="W848" i="1"/>
  <c r="F848" i="1"/>
  <c r="Q848" i="1"/>
  <c r="E848" i="1"/>
  <c r="V848" i="1"/>
  <c r="O848" i="1"/>
  <c r="N848" i="1"/>
  <c r="M848" i="1"/>
  <c r="V849" i="1" l="1"/>
  <c r="N849" i="1"/>
  <c r="F849" i="1"/>
  <c r="P849" i="1"/>
  <c r="G849" i="1"/>
  <c r="A850" i="1"/>
  <c r="O849" i="1"/>
  <c r="E849" i="1"/>
  <c r="W849" i="1"/>
  <c r="M849" i="1"/>
  <c r="D849" i="1"/>
  <c r="T849" i="1"/>
  <c r="K849" i="1"/>
  <c r="B849" i="1"/>
  <c r="U849" i="1"/>
  <c r="C849" i="1"/>
  <c r="S849" i="1"/>
  <c r="R849" i="1"/>
  <c r="L849" i="1"/>
  <c r="Q849" i="1"/>
  <c r="J849" i="1"/>
  <c r="I849" i="1"/>
  <c r="H849" i="1"/>
  <c r="W850" i="1" l="1"/>
  <c r="O850" i="1"/>
  <c r="G850" i="1"/>
  <c r="T850" i="1"/>
  <c r="K850" i="1"/>
  <c r="B850" i="1"/>
  <c r="S850" i="1"/>
  <c r="J850" i="1"/>
  <c r="R850" i="1"/>
  <c r="I850" i="1"/>
  <c r="P850" i="1"/>
  <c r="F850" i="1"/>
  <c r="Q850" i="1"/>
  <c r="N850" i="1"/>
  <c r="M850" i="1"/>
  <c r="H850" i="1"/>
  <c r="A851" i="1"/>
  <c r="V850" i="1"/>
  <c r="L850" i="1"/>
  <c r="U850" i="1"/>
  <c r="E850" i="1"/>
  <c r="D850" i="1"/>
  <c r="C850" i="1"/>
  <c r="A852" i="1" l="1"/>
  <c r="P851" i="1"/>
  <c r="H851" i="1"/>
  <c r="O851" i="1"/>
  <c r="F851" i="1"/>
  <c r="W851" i="1"/>
  <c r="N851" i="1"/>
  <c r="E851" i="1"/>
  <c r="V851" i="1"/>
  <c r="M851" i="1"/>
  <c r="D851" i="1"/>
  <c r="T851" i="1"/>
  <c r="K851" i="1"/>
  <c r="B851" i="1"/>
  <c r="L851" i="1"/>
  <c r="J851" i="1"/>
  <c r="I851" i="1"/>
  <c r="U851" i="1"/>
  <c r="C851" i="1"/>
  <c r="G851" i="1"/>
  <c r="R851" i="1"/>
  <c r="Q851" i="1"/>
  <c r="S851" i="1"/>
  <c r="Q852" i="1" l="1"/>
  <c r="I852" i="1"/>
  <c r="T852" i="1"/>
  <c r="K852" i="1"/>
  <c r="B852" i="1"/>
  <c r="S852" i="1"/>
  <c r="J852" i="1"/>
  <c r="R852" i="1"/>
  <c r="H852" i="1"/>
  <c r="A853" i="1"/>
  <c r="O852" i="1"/>
  <c r="F852" i="1"/>
  <c r="G852" i="1"/>
  <c r="W852" i="1"/>
  <c r="E852" i="1"/>
  <c r="V852" i="1"/>
  <c r="D852" i="1"/>
  <c r="P852" i="1"/>
  <c r="U852" i="1"/>
  <c r="N852" i="1"/>
  <c r="M852" i="1"/>
  <c r="C852" i="1"/>
  <c r="L852" i="1"/>
  <c r="R853" i="1" l="1"/>
  <c r="J853" i="1"/>
  <c r="B853" i="1"/>
  <c r="A854" i="1"/>
  <c r="O853" i="1"/>
  <c r="F853" i="1"/>
  <c r="W853" i="1"/>
  <c r="N853" i="1"/>
  <c r="E853" i="1"/>
  <c r="V853" i="1"/>
  <c r="M853" i="1"/>
  <c r="D853" i="1"/>
  <c r="T853" i="1"/>
  <c r="K853" i="1"/>
  <c r="U853" i="1"/>
  <c r="C853" i="1"/>
  <c r="S853" i="1"/>
  <c r="Q853" i="1"/>
  <c r="L853" i="1"/>
  <c r="P853" i="1"/>
  <c r="I853" i="1"/>
  <c r="H853" i="1"/>
  <c r="G853" i="1"/>
  <c r="S854" i="1" l="1"/>
  <c r="K854" i="1"/>
  <c r="C854" i="1"/>
  <c r="T854" i="1"/>
  <c r="J854" i="1"/>
  <c r="R854" i="1"/>
  <c r="I854" i="1"/>
  <c r="Q854" i="1"/>
  <c r="H854" i="1"/>
  <c r="A855" i="1"/>
  <c r="O854" i="1"/>
  <c r="F854" i="1"/>
  <c r="P854" i="1"/>
  <c r="N854" i="1"/>
  <c r="M854" i="1"/>
  <c r="G854" i="1"/>
  <c r="L854" i="1"/>
  <c r="E854" i="1"/>
  <c r="D854" i="1"/>
  <c r="B854" i="1"/>
  <c r="W854" i="1"/>
  <c r="V854" i="1"/>
  <c r="U854" i="1"/>
  <c r="T855" i="1" l="1"/>
  <c r="L855" i="1"/>
  <c r="D855" i="1"/>
  <c r="A856" i="1"/>
  <c r="O855" i="1"/>
  <c r="F855" i="1"/>
  <c r="W855" i="1"/>
  <c r="N855" i="1"/>
  <c r="E855" i="1"/>
  <c r="V855" i="1"/>
  <c r="M855" i="1"/>
  <c r="C855" i="1"/>
  <c r="S855" i="1"/>
  <c r="J855" i="1"/>
  <c r="K855" i="1"/>
  <c r="I855" i="1"/>
  <c r="H855" i="1"/>
  <c r="U855" i="1"/>
  <c r="B855" i="1"/>
  <c r="R855" i="1"/>
  <c r="Q855" i="1"/>
  <c r="G855" i="1"/>
  <c r="P855" i="1"/>
  <c r="U856" i="1" l="1"/>
  <c r="M856" i="1"/>
  <c r="E856" i="1"/>
  <c r="S856" i="1"/>
  <c r="J856" i="1"/>
  <c r="R856" i="1"/>
  <c r="I856" i="1"/>
  <c r="Q856" i="1"/>
  <c r="H856" i="1"/>
  <c r="A857" i="1"/>
  <c r="O856" i="1"/>
  <c r="F856" i="1"/>
  <c r="G856" i="1"/>
  <c r="W856" i="1"/>
  <c r="D856" i="1"/>
  <c r="V856" i="1"/>
  <c r="C856" i="1"/>
  <c r="P856" i="1"/>
  <c r="B856" i="1"/>
  <c r="T856" i="1"/>
  <c r="N856" i="1"/>
  <c r="L856" i="1"/>
  <c r="K856" i="1"/>
  <c r="A858" i="1" l="1"/>
  <c r="P857" i="1"/>
  <c r="H857" i="1"/>
  <c r="V857" i="1"/>
  <c r="N857" i="1"/>
  <c r="F857" i="1"/>
  <c r="Q857" i="1"/>
  <c r="E857" i="1"/>
  <c r="O857" i="1"/>
  <c r="D857" i="1"/>
  <c r="M857" i="1"/>
  <c r="C857" i="1"/>
  <c r="U857" i="1"/>
  <c r="K857" i="1"/>
  <c r="W857" i="1"/>
  <c r="B857" i="1"/>
  <c r="T857" i="1"/>
  <c r="S857" i="1"/>
  <c r="L857" i="1"/>
  <c r="R857" i="1"/>
  <c r="J857" i="1"/>
  <c r="I857" i="1"/>
  <c r="G857" i="1"/>
  <c r="Q858" i="1" l="1"/>
  <c r="I858" i="1"/>
  <c r="W858" i="1"/>
  <c r="O858" i="1"/>
  <c r="G858" i="1"/>
  <c r="N858" i="1"/>
  <c r="D858" i="1"/>
  <c r="A859" i="1"/>
  <c r="M858" i="1"/>
  <c r="C858" i="1"/>
  <c r="V858" i="1"/>
  <c r="L858" i="1"/>
  <c r="B858" i="1"/>
  <c r="T858" i="1"/>
  <c r="J858" i="1"/>
  <c r="U858" i="1"/>
  <c r="S858" i="1"/>
  <c r="R858" i="1"/>
  <c r="K858" i="1"/>
  <c r="P858" i="1"/>
  <c r="H858" i="1"/>
  <c r="F858" i="1"/>
  <c r="E858" i="1"/>
  <c r="A860" i="1" l="1"/>
  <c r="P859" i="1"/>
  <c r="V859" i="1"/>
  <c r="N859" i="1"/>
  <c r="T859" i="1"/>
  <c r="J859" i="1"/>
  <c r="B859" i="1"/>
  <c r="R859" i="1"/>
  <c r="H859" i="1"/>
  <c r="M859" i="1"/>
  <c r="C859" i="1"/>
  <c r="L859" i="1"/>
  <c r="K859" i="1"/>
  <c r="U859" i="1"/>
  <c r="G859" i="1"/>
  <c r="W859" i="1"/>
  <c r="S859" i="1"/>
  <c r="Q859" i="1"/>
  <c r="I859" i="1"/>
  <c r="O859" i="1"/>
  <c r="F859" i="1"/>
  <c r="E859" i="1"/>
  <c r="D859" i="1"/>
  <c r="Q860" i="1" l="1"/>
  <c r="I860" i="1"/>
  <c r="W860" i="1"/>
  <c r="O860" i="1"/>
  <c r="G860" i="1"/>
  <c r="T860" i="1"/>
  <c r="S860" i="1"/>
  <c r="H860" i="1"/>
  <c r="P860" i="1"/>
  <c r="E860" i="1"/>
  <c r="U860" i="1"/>
  <c r="D860" i="1"/>
  <c r="R860" i="1"/>
  <c r="C860" i="1"/>
  <c r="N860" i="1"/>
  <c r="B860" i="1"/>
  <c r="L860" i="1"/>
  <c r="A861" i="1"/>
  <c r="M860" i="1"/>
  <c r="V860" i="1"/>
  <c r="K860" i="1"/>
  <c r="J860" i="1"/>
  <c r="F860" i="1"/>
  <c r="S861" i="1" l="1"/>
  <c r="K861" i="1"/>
  <c r="R861" i="1"/>
  <c r="J861" i="1"/>
  <c r="B861" i="1"/>
  <c r="A862" i="1"/>
  <c r="P861" i="1"/>
  <c r="H861" i="1"/>
  <c r="U861" i="1"/>
  <c r="G861" i="1"/>
  <c r="T861" i="1"/>
  <c r="F861" i="1"/>
  <c r="O861" i="1"/>
  <c r="D861" i="1"/>
  <c r="N861" i="1"/>
  <c r="Q861" i="1"/>
  <c r="M861" i="1"/>
  <c r="L861" i="1"/>
  <c r="E861" i="1"/>
  <c r="I861" i="1"/>
  <c r="C861" i="1"/>
  <c r="W861" i="1"/>
  <c r="V861" i="1"/>
  <c r="T862" i="1" l="1"/>
  <c r="L862" i="1"/>
  <c r="D862" i="1"/>
  <c r="S862" i="1"/>
  <c r="K862" i="1"/>
  <c r="C862" i="1"/>
  <c r="Q862" i="1"/>
  <c r="I862" i="1"/>
  <c r="W862" i="1"/>
  <c r="J862" i="1"/>
  <c r="V862" i="1"/>
  <c r="H862" i="1"/>
  <c r="R862" i="1"/>
  <c r="F862" i="1"/>
  <c r="P862" i="1"/>
  <c r="E862" i="1"/>
  <c r="U862" i="1"/>
  <c r="O862" i="1"/>
  <c r="N862" i="1"/>
  <c r="G862" i="1"/>
  <c r="M862" i="1"/>
  <c r="A863" i="1"/>
  <c r="B862" i="1"/>
  <c r="U863" i="1" l="1"/>
  <c r="M863" i="1"/>
  <c r="E863" i="1"/>
  <c r="T863" i="1"/>
  <c r="L863" i="1"/>
  <c r="D863" i="1"/>
  <c r="R863" i="1"/>
  <c r="J863" i="1"/>
  <c r="B863" i="1"/>
  <c r="N863" i="1"/>
  <c r="A864" i="1"/>
  <c r="K863" i="1"/>
  <c r="V863" i="1"/>
  <c r="H863" i="1"/>
  <c r="S863" i="1"/>
  <c r="G863" i="1"/>
  <c r="W863" i="1"/>
  <c r="Q863" i="1"/>
  <c r="P863" i="1"/>
  <c r="I863" i="1"/>
  <c r="O863" i="1"/>
  <c r="F863" i="1"/>
  <c r="C863" i="1"/>
  <c r="V864" i="1" l="1"/>
  <c r="N864" i="1"/>
  <c r="F864" i="1"/>
  <c r="U864" i="1"/>
  <c r="M864" i="1"/>
  <c r="E864" i="1"/>
  <c r="S864" i="1"/>
  <c r="K864" i="1"/>
  <c r="C864" i="1"/>
  <c r="P864" i="1"/>
  <c r="B864" i="1"/>
  <c r="O864" i="1"/>
  <c r="A865" i="1"/>
  <c r="J864" i="1"/>
  <c r="W864" i="1"/>
  <c r="I864" i="1"/>
  <c r="T864" i="1"/>
  <c r="R864" i="1"/>
  <c r="L864" i="1"/>
  <c r="Q864" i="1"/>
  <c r="H864" i="1"/>
  <c r="G864" i="1"/>
  <c r="D864" i="1"/>
  <c r="W865" i="1" l="1"/>
  <c r="O865" i="1"/>
  <c r="G865" i="1"/>
  <c r="V865" i="1"/>
  <c r="N865" i="1"/>
  <c r="F865" i="1"/>
  <c r="T865" i="1"/>
  <c r="L865" i="1"/>
  <c r="D865" i="1"/>
  <c r="R865" i="1"/>
  <c r="E865" i="1"/>
  <c r="Q865" i="1"/>
  <c r="C865" i="1"/>
  <c r="M865" i="1"/>
  <c r="K865" i="1"/>
  <c r="B865" i="1"/>
  <c r="A866" i="1"/>
  <c r="U865" i="1"/>
  <c r="P865" i="1"/>
  <c r="S865" i="1"/>
  <c r="J865" i="1"/>
  <c r="I865" i="1"/>
  <c r="H865" i="1"/>
  <c r="A867" i="1" l="1"/>
  <c r="P866" i="1"/>
  <c r="H866" i="1"/>
  <c r="W866" i="1"/>
  <c r="O866" i="1"/>
  <c r="G866" i="1"/>
  <c r="U866" i="1"/>
  <c r="M866" i="1"/>
  <c r="E866" i="1"/>
  <c r="T866" i="1"/>
  <c r="I866" i="1"/>
  <c r="S866" i="1"/>
  <c r="F866" i="1"/>
  <c r="Q866" i="1"/>
  <c r="C866" i="1"/>
  <c r="N866" i="1"/>
  <c r="B866" i="1"/>
  <c r="D866" i="1"/>
  <c r="R866" i="1"/>
  <c r="V866" i="1"/>
  <c r="L866" i="1"/>
  <c r="K866" i="1"/>
  <c r="J866" i="1"/>
  <c r="Q867" i="1" l="1"/>
  <c r="I867" i="1"/>
  <c r="A868" i="1"/>
  <c r="P867" i="1"/>
  <c r="H867" i="1"/>
  <c r="V867" i="1"/>
  <c r="N867" i="1"/>
  <c r="F867" i="1"/>
  <c r="W867" i="1"/>
  <c r="K867" i="1"/>
  <c r="U867" i="1"/>
  <c r="J867" i="1"/>
  <c r="S867" i="1"/>
  <c r="E867" i="1"/>
  <c r="R867" i="1"/>
  <c r="D867" i="1"/>
  <c r="G867" i="1"/>
  <c r="C867" i="1"/>
  <c r="B867" i="1"/>
  <c r="T867" i="1"/>
  <c r="O867" i="1"/>
  <c r="M867" i="1"/>
  <c r="L867" i="1"/>
  <c r="R868" i="1" l="1"/>
  <c r="J868" i="1"/>
  <c r="B868" i="1"/>
  <c r="Q868" i="1"/>
  <c r="I868" i="1"/>
  <c r="W868" i="1"/>
  <c r="O868" i="1"/>
  <c r="G868" i="1"/>
  <c r="M868" i="1"/>
  <c r="A869" i="1"/>
  <c r="L868" i="1"/>
  <c r="U868" i="1"/>
  <c r="H868" i="1"/>
  <c r="T868" i="1"/>
  <c r="F868" i="1"/>
  <c r="K868" i="1"/>
  <c r="E868" i="1"/>
  <c r="D868" i="1"/>
  <c r="V868" i="1"/>
  <c r="C868" i="1"/>
  <c r="S868" i="1"/>
  <c r="P868" i="1"/>
  <c r="N868" i="1"/>
  <c r="S869" i="1" l="1"/>
  <c r="K869" i="1"/>
  <c r="C869" i="1"/>
  <c r="R869" i="1"/>
  <c r="J869" i="1"/>
  <c r="B869" i="1"/>
  <c r="A870" i="1"/>
  <c r="P869" i="1"/>
  <c r="H869" i="1"/>
  <c r="V869" i="1"/>
  <c r="N869" i="1"/>
  <c r="Q869" i="1"/>
  <c r="D869" i="1"/>
  <c r="O869" i="1"/>
  <c r="L869" i="1"/>
  <c r="I869" i="1"/>
  <c r="M869" i="1"/>
  <c r="G869" i="1"/>
  <c r="F869" i="1"/>
  <c r="W869" i="1"/>
  <c r="U869" i="1"/>
  <c r="E869" i="1"/>
  <c r="T869" i="1"/>
  <c r="T870" i="1" l="1"/>
  <c r="L870" i="1"/>
  <c r="D870" i="1"/>
  <c r="S870" i="1"/>
  <c r="K870" i="1"/>
  <c r="C870" i="1"/>
  <c r="Q870" i="1"/>
  <c r="I870" i="1"/>
  <c r="W870" i="1"/>
  <c r="O870" i="1"/>
  <c r="G870" i="1"/>
  <c r="J870" i="1"/>
  <c r="A871" i="1"/>
  <c r="H870" i="1"/>
  <c r="U870" i="1"/>
  <c r="E870" i="1"/>
  <c r="R870" i="1"/>
  <c r="B870" i="1"/>
  <c r="V870" i="1"/>
  <c r="P870" i="1"/>
  <c r="N870" i="1"/>
  <c r="F870" i="1"/>
  <c r="M870" i="1"/>
  <c r="U871" i="1" l="1"/>
  <c r="M871" i="1"/>
  <c r="E871" i="1"/>
  <c r="T871" i="1"/>
  <c r="L871" i="1"/>
  <c r="D871" i="1"/>
  <c r="R871" i="1"/>
  <c r="J871" i="1"/>
  <c r="B871" i="1"/>
  <c r="A872" i="1"/>
  <c r="P871" i="1"/>
  <c r="H871" i="1"/>
  <c r="S871" i="1"/>
  <c r="C871" i="1"/>
  <c r="Q871" i="1"/>
  <c r="N871" i="1"/>
  <c r="K871" i="1"/>
  <c r="W871" i="1"/>
  <c r="O871" i="1"/>
  <c r="V871" i="1"/>
  <c r="I871" i="1"/>
  <c r="G871" i="1"/>
  <c r="F871" i="1"/>
  <c r="V872" i="1" l="1"/>
  <c r="N872" i="1"/>
  <c r="F872" i="1"/>
  <c r="U872" i="1"/>
  <c r="M872" i="1"/>
  <c r="E872" i="1"/>
  <c r="S872" i="1"/>
  <c r="K872" i="1"/>
  <c r="C872" i="1"/>
  <c r="Q872" i="1"/>
  <c r="I872" i="1"/>
  <c r="L872" i="1"/>
  <c r="J872" i="1"/>
  <c r="W872" i="1"/>
  <c r="G872" i="1"/>
  <c r="T872" i="1"/>
  <c r="D872" i="1"/>
  <c r="H872" i="1"/>
  <c r="B872" i="1"/>
  <c r="A873" i="1"/>
  <c r="R872" i="1"/>
  <c r="P872" i="1"/>
  <c r="O872" i="1"/>
  <c r="W873" i="1" l="1"/>
  <c r="O873" i="1"/>
  <c r="G873" i="1"/>
  <c r="V873" i="1"/>
  <c r="N873" i="1"/>
  <c r="F873" i="1"/>
  <c r="T873" i="1"/>
  <c r="L873" i="1"/>
  <c r="D873" i="1"/>
  <c r="R873" i="1"/>
  <c r="J873" i="1"/>
  <c r="B873" i="1"/>
  <c r="U873" i="1"/>
  <c r="E873" i="1"/>
  <c r="S873" i="1"/>
  <c r="C873" i="1"/>
  <c r="P873" i="1"/>
  <c r="M873" i="1"/>
  <c r="Q873" i="1"/>
  <c r="K873" i="1"/>
  <c r="I873" i="1"/>
  <c r="H873" i="1"/>
  <c r="A874" i="1"/>
  <c r="A875" i="1" l="1"/>
  <c r="P874" i="1"/>
  <c r="H874" i="1"/>
  <c r="W874" i="1"/>
  <c r="O874" i="1"/>
  <c r="G874" i="1"/>
  <c r="U874" i="1"/>
  <c r="M874" i="1"/>
  <c r="E874" i="1"/>
  <c r="S874" i="1"/>
  <c r="K874" i="1"/>
  <c r="C874" i="1"/>
  <c r="N874" i="1"/>
  <c r="L874" i="1"/>
  <c r="I874" i="1"/>
  <c r="V874" i="1"/>
  <c r="F874" i="1"/>
  <c r="T874" i="1"/>
  <c r="R874" i="1"/>
  <c r="J874" i="1"/>
  <c r="Q874" i="1"/>
  <c r="D874" i="1"/>
  <c r="B874" i="1"/>
  <c r="Q875" i="1" l="1"/>
  <c r="I875" i="1"/>
  <c r="A876" i="1"/>
  <c r="P875" i="1"/>
  <c r="H875" i="1"/>
  <c r="V875" i="1"/>
  <c r="N875" i="1"/>
  <c r="F875" i="1"/>
  <c r="T875" i="1"/>
  <c r="L875" i="1"/>
  <c r="D875" i="1"/>
  <c r="W875" i="1"/>
  <c r="G875" i="1"/>
  <c r="U875" i="1"/>
  <c r="E875" i="1"/>
  <c r="R875" i="1"/>
  <c r="B875" i="1"/>
  <c r="O875" i="1"/>
  <c r="C875" i="1"/>
  <c r="S875" i="1"/>
  <c r="M875" i="1"/>
  <c r="K875" i="1"/>
  <c r="J875" i="1"/>
  <c r="R876" i="1" l="1"/>
  <c r="J876" i="1"/>
  <c r="B876" i="1"/>
  <c r="Q876" i="1"/>
  <c r="I876" i="1"/>
  <c r="W876" i="1"/>
  <c r="O876" i="1"/>
  <c r="G876" i="1"/>
  <c r="U876" i="1"/>
  <c r="M876" i="1"/>
  <c r="E876" i="1"/>
  <c r="P876" i="1"/>
  <c r="N876" i="1"/>
  <c r="K876" i="1"/>
  <c r="A877" i="1"/>
  <c r="H876" i="1"/>
  <c r="L876" i="1"/>
  <c r="F876" i="1"/>
  <c r="D876" i="1"/>
  <c r="C876" i="1"/>
  <c r="V876" i="1"/>
  <c r="T876" i="1"/>
  <c r="S876" i="1"/>
  <c r="S877" i="1" l="1"/>
  <c r="K877" i="1"/>
  <c r="C877" i="1"/>
  <c r="R877" i="1"/>
  <c r="J877" i="1"/>
  <c r="B877" i="1"/>
  <c r="A878" i="1"/>
  <c r="P877" i="1"/>
  <c r="H877" i="1"/>
  <c r="V877" i="1"/>
  <c r="N877" i="1"/>
  <c r="F877" i="1"/>
  <c r="I877" i="1"/>
  <c r="W877" i="1"/>
  <c r="G877" i="1"/>
  <c r="T877" i="1"/>
  <c r="D877" i="1"/>
  <c r="Q877" i="1"/>
  <c r="U877" i="1"/>
  <c r="O877" i="1"/>
  <c r="M877" i="1"/>
  <c r="E877" i="1"/>
  <c r="L877" i="1"/>
  <c r="T878" i="1" l="1"/>
  <c r="L878" i="1"/>
  <c r="D878" i="1"/>
  <c r="S878" i="1"/>
  <c r="K878" i="1"/>
  <c r="C878" i="1"/>
  <c r="Q878" i="1"/>
  <c r="I878" i="1"/>
  <c r="W878" i="1"/>
  <c r="O878" i="1"/>
  <c r="G878" i="1"/>
  <c r="R878" i="1"/>
  <c r="B878" i="1"/>
  <c r="P878" i="1"/>
  <c r="M878" i="1"/>
  <c r="J878" i="1"/>
  <c r="A879" i="1"/>
  <c r="V878" i="1"/>
  <c r="N878" i="1"/>
  <c r="U878" i="1"/>
  <c r="H878" i="1"/>
  <c r="F878" i="1"/>
  <c r="E878" i="1"/>
  <c r="U879" i="1" l="1"/>
  <c r="M879" i="1"/>
  <c r="E879" i="1"/>
  <c r="T879" i="1"/>
  <c r="L879" i="1"/>
  <c r="D879" i="1"/>
  <c r="R879" i="1"/>
  <c r="J879" i="1"/>
  <c r="B879" i="1"/>
  <c r="A880" i="1"/>
  <c r="P879" i="1"/>
  <c r="H879" i="1"/>
  <c r="K879" i="1"/>
  <c r="I879" i="1"/>
  <c r="V879" i="1"/>
  <c r="F879" i="1"/>
  <c r="S879" i="1"/>
  <c r="C879" i="1"/>
  <c r="G879" i="1"/>
  <c r="W879" i="1"/>
  <c r="Q879" i="1"/>
  <c r="O879" i="1"/>
  <c r="N879" i="1"/>
  <c r="V880" i="1" l="1"/>
  <c r="N880" i="1"/>
  <c r="F880" i="1"/>
  <c r="U880" i="1"/>
  <c r="M880" i="1"/>
  <c r="E880" i="1"/>
  <c r="S880" i="1"/>
  <c r="K880" i="1"/>
  <c r="C880" i="1"/>
  <c r="Q880" i="1"/>
  <c r="I880" i="1"/>
  <c r="T880" i="1"/>
  <c r="D880" i="1"/>
  <c r="R880" i="1"/>
  <c r="B880" i="1"/>
  <c r="O880" i="1"/>
  <c r="L880" i="1"/>
  <c r="P880" i="1"/>
  <c r="J880" i="1"/>
  <c r="H880" i="1"/>
  <c r="A881" i="1"/>
  <c r="G880" i="1"/>
  <c r="W880" i="1"/>
  <c r="W881" i="1" l="1"/>
  <c r="O881" i="1"/>
  <c r="G881" i="1"/>
  <c r="V881" i="1"/>
  <c r="N881" i="1"/>
  <c r="F881" i="1"/>
  <c r="T881" i="1"/>
  <c r="L881" i="1"/>
  <c r="D881" i="1"/>
  <c r="R881" i="1"/>
  <c r="J881" i="1"/>
  <c r="B881" i="1"/>
  <c r="M881" i="1"/>
  <c r="K881" i="1"/>
  <c r="A882" i="1"/>
  <c r="H881" i="1"/>
  <c r="U881" i="1"/>
  <c r="E881" i="1"/>
  <c r="S881" i="1"/>
  <c r="Q881" i="1"/>
  <c r="I881" i="1"/>
  <c r="P881" i="1"/>
  <c r="C881" i="1"/>
  <c r="A883" i="1" l="1"/>
  <c r="P882" i="1"/>
  <c r="H882" i="1"/>
  <c r="W882" i="1"/>
  <c r="O882" i="1"/>
  <c r="G882" i="1"/>
  <c r="U882" i="1"/>
  <c r="M882" i="1"/>
  <c r="E882" i="1"/>
  <c r="S882" i="1"/>
  <c r="K882" i="1"/>
  <c r="C882" i="1"/>
  <c r="V882" i="1"/>
  <c r="F882" i="1"/>
  <c r="T882" i="1"/>
  <c r="D882" i="1"/>
  <c r="Q882" i="1"/>
  <c r="N882" i="1"/>
  <c r="B882" i="1"/>
  <c r="R882" i="1"/>
  <c r="L882" i="1"/>
  <c r="J882" i="1"/>
  <c r="I882" i="1"/>
  <c r="Q883" i="1" l="1"/>
  <c r="I883" i="1"/>
  <c r="A884" i="1"/>
  <c r="P883" i="1"/>
  <c r="H883" i="1"/>
  <c r="V883" i="1"/>
  <c r="N883" i="1"/>
  <c r="F883" i="1"/>
  <c r="T883" i="1"/>
  <c r="L883" i="1"/>
  <c r="D883" i="1"/>
  <c r="O883" i="1"/>
  <c r="M883" i="1"/>
  <c r="J883" i="1"/>
  <c r="W883" i="1"/>
  <c r="G883" i="1"/>
  <c r="K883" i="1"/>
  <c r="E883" i="1"/>
  <c r="C883" i="1"/>
  <c r="U883" i="1"/>
  <c r="S883" i="1"/>
  <c r="B883" i="1"/>
  <c r="R883" i="1"/>
  <c r="R884" i="1" l="1"/>
  <c r="J884" i="1"/>
  <c r="B884" i="1"/>
  <c r="Q884" i="1"/>
  <c r="I884" i="1"/>
  <c r="W884" i="1"/>
  <c r="O884" i="1"/>
  <c r="G884" i="1"/>
  <c r="U884" i="1"/>
  <c r="M884" i="1"/>
  <c r="E884" i="1"/>
  <c r="A885" i="1"/>
  <c r="H884" i="1"/>
  <c r="V884" i="1"/>
  <c r="F884" i="1"/>
  <c r="S884" i="1"/>
  <c r="C884" i="1"/>
  <c r="P884" i="1"/>
  <c r="T884" i="1"/>
  <c r="N884" i="1"/>
  <c r="L884" i="1"/>
  <c r="D884" i="1"/>
  <c r="K884" i="1"/>
  <c r="S885" i="1" l="1"/>
  <c r="K885" i="1"/>
  <c r="C885" i="1"/>
  <c r="R885" i="1"/>
  <c r="J885" i="1"/>
  <c r="B885" i="1"/>
  <c r="A886" i="1"/>
  <c r="P885" i="1"/>
  <c r="H885" i="1"/>
  <c r="V885" i="1"/>
  <c r="N885" i="1"/>
  <c r="F885" i="1"/>
  <c r="Q885" i="1"/>
  <c r="O885" i="1"/>
  <c r="L885" i="1"/>
  <c r="I885" i="1"/>
  <c r="W885" i="1"/>
  <c r="U885" i="1"/>
  <c r="M885" i="1"/>
  <c r="T885" i="1"/>
  <c r="G885" i="1"/>
  <c r="E885" i="1"/>
  <c r="D885" i="1"/>
  <c r="T886" i="1" l="1"/>
  <c r="L886" i="1"/>
  <c r="D886" i="1"/>
  <c r="S886" i="1"/>
  <c r="K886" i="1"/>
  <c r="C886" i="1"/>
  <c r="Q886" i="1"/>
  <c r="I886" i="1"/>
  <c r="W886" i="1"/>
  <c r="O886" i="1"/>
  <c r="G886" i="1"/>
  <c r="J886" i="1"/>
  <c r="A887" i="1"/>
  <c r="H886" i="1"/>
  <c r="U886" i="1"/>
  <c r="E886" i="1"/>
  <c r="R886" i="1"/>
  <c r="B886" i="1"/>
  <c r="F886" i="1"/>
  <c r="V886" i="1"/>
  <c r="P886" i="1"/>
  <c r="N886" i="1"/>
  <c r="M886" i="1"/>
  <c r="U887" i="1" l="1"/>
  <c r="M887" i="1"/>
  <c r="E887" i="1"/>
  <c r="T887" i="1"/>
  <c r="L887" i="1"/>
  <c r="D887" i="1"/>
  <c r="R887" i="1"/>
  <c r="J887" i="1"/>
  <c r="B887" i="1"/>
  <c r="A888" i="1"/>
  <c r="P887" i="1"/>
  <c r="H887" i="1"/>
  <c r="S887" i="1"/>
  <c r="C887" i="1"/>
  <c r="Q887" i="1"/>
  <c r="N887" i="1"/>
  <c r="K887" i="1"/>
  <c r="O887" i="1"/>
  <c r="I887" i="1"/>
  <c r="G887" i="1"/>
  <c r="F887" i="1"/>
  <c r="W887" i="1"/>
  <c r="V887" i="1"/>
  <c r="V888" i="1" l="1"/>
  <c r="N888" i="1"/>
  <c r="F888" i="1"/>
  <c r="U888" i="1"/>
  <c r="M888" i="1"/>
  <c r="E888" i="1"/>
  <c r="S888" i="1"/>
  <c r="K888" i="1"/>
  <c r="C888" i="1"/>
  <c r="Q888" i="1"/>
  <c r="I888" i="1"/>
  <c r="L888" i="1"/>
  <c r="J888" i="1"/>
  <c r="W888" i="1"/>
  <c r="G888" i="1"/>
  <c r="T888" i="1"/>
  <c r="D888" i="1"/>
  <c r="A889" i="1"/>
  <c r="R888" i="1"/>
  <c r="P888" i="1"/>
  <c r="H888" i="1"/>
  <c r="O888" i="1"/>
  <c r="B888" i="1"/>
  <c r="W889" i="1" l="1"/>
  <c r="O889" i="1"/>
  <c r="G889" i="1"/>
  <c r="V889" i="1"/>
  <c r="N889" i="1"/>
  <c r="F889" i="1"/>
  <c r="T889" i="1"/>
  <c r="L889" i="1"/>
  <c r="D889" i="1"/>
  <c r="R889" i="1"/>
  <c r="J889" i="1"/>
  <c r="B889" i="1"/>
  <c r="U889" i="1"/>
  <c r="E889" i="1"/>
  <c r="S889" i="1"/>
  <c r="C889" i="1"/>
  <c r="P889" i="1"/>
  <c r="M889" i="1"/>
  <c r="Q889" i="1"/>
  <c r="A890" i="1"/>
  <c r="K889" i="1"/>
  <c r="I889" i="1"/>
  <c r="H889" i="1"/>
  <c r="U890" i="1" l="1"/>
  <c r="M890" i="1"/>
  <c r="E890" i="1"/>
  <c r="R890" i="1"/>
  <c r="I890" i="1"/>
  <c r="Q890" i="1"/>
  <c r="H890" i="1"/>
  <c r="A891" i="1"/>
  <c r="O890" i="1"/>
  <c r="F890" i="1"/>
  <c r="V890" i="1"/>
  <c r="L890" i="1"/>
  <c r="C890" i="1"/>
  <c r="P890" i="1"/>
  <c r="N890" i="1"/>
  <c r="J890" i="1"/>
  <c r="G890" i="1"/>
  <c r="K890" i="1"/>
  <c r="D890" i="1"/>
  <c r="B890" i="1"/>
  <c r="W890" i="1"/>
  <c r="T890" i="1"/>
  <c r="S890" i="1"/>
  <c r="V891" i="1" l="1"/>
  <c r="N891" i="1"/>
  <c r="F891" i="1"/>
  <c r="W891" i="1"/>
  <c r="M891" i="1"/>
  <c r="D891" i="1"/>
  <c r="U891" i="1"/>
  <c r="L891" i="1"/>
  <c r="C891" i="1"/>
  <c r="S891" i="1"/>
  <c r="J891" i="1"/>
  <c r="Q891" i="1"/>
  <c r="H891" i="1"/>
  <c r="K891" i="1"/>
  <c r="I891" i="1"/>
  <c r="A892" i="1"/>
  <c r="E891" i="1"/>
  <c r="T891" i="1"/>
  <c r="B891" i="1"/>
  <c r="R891" i="1"/>
  <c r="P891" i="1"/>
  <c r="G891" i="1"/>
  <c r="O891" i="1"/>
  <c r="W892" i="1" l="1"/>
  <c r="O892" i="1"/>
  <c r="G892" i="1"/>
  <c r="R892" i="1"/>
  <c r="I892" i="1"/>
  <c r="Q892" i="1"/>
  <c r="H892" i="1"/>
  <c r="A893" i="1"/>
  <c r="N892" i="1"/>
  <c r="E892" i="1"/>
  <c r="U892" i="1"/>
  <c r="L892" i="1"/>
  <c r="C892" i="1"/>
  <c r="F892" i="1"/>
  <c r="V892" i="1"/>
  <c r="D892" i="1"/>
  <c r="S892" i="1"/>
  <c r="P892" i="1"/>
  <c r="B892" i="1"/>
  <c r="T892" i="1"/>
  <c r="M892" i="1"/>
  <c r="K892" i="1"/>
  <c r="J892" i="1"/>
  <c r="A894" i="1" l="1"/>
  <c r="P893" i="1"/>
  <c r="H893" i="1"/>
  <c r="V893" i="1"/>
  <c r="M893" i="1"/>
  <c r="D893" i="1"/>
  <c r="U893" i="1"/>
  <c r="L893" i="1"/>
  <c r="C893" i="1"/>
  <c r="S893" i="1"/>
  <c r="J893" i="1"/>
  <c r="Q893" i="1"/>
  <c r="G893" i="1"/>
  <c r="T893" i="1"/>
  <c r="B893" i="1"/>
  <c r="R893" i="1"/>
  <c r="N893" i="1"/>
  <c r="K893" i="1"/>
  <c r="O893" i="1"/>
  <c r="I893" i="1"/>
  <c r="F893" i="1"/>
  <c r="E893" i="1"/>
  <c r="W893" i="1"/>
  <c r="Q894" i="1" l="1"/>
  <c r="I894" i="1"/>
  <c r="R894" i="1"/>
  <c r="H894" i="1"/>
  <c r="P894" i="1"/>
  <c r="G894" i="1"/>
  <c r="W894" i="1"/>
  <c r="N894" i="1"/>
  <c r="E894" i="1"/>
  <c r="U894" i="1"/>
  <c r="L894" i="1"/>
  <c r="C894" i="1"/>
  <c r="O894" i="1"/>
  <c r="M894" i="1"/>
  <c r="J894" i="1"/>
  <c r="A895" i="1"/>
  <c r="F894" i="1"/>
  <c r="V894" i="1"/>
  <c r="T894" i="1"/>
  <c r="K894" i="1"/>
  <c r="S894" i="1"/>
  <c r="D894" i="1"/>
  <c r="B894" i="1"/>
  <c r="R895" i="1" l="1"/>
  <c r="J895" i="1"/>
  <c r="B895" i="1"/>
  <c r="V895" i="1"/>
  <c r="M895" i="1"/>
  <c r="D895" i="1"/>
  <c r="U895" i="1"/>
  <c r="L895" i="1"/>
  <c r="C895" i="1"/>
  <c r="S895" i="1"/>
  <c r="I895" i="1"/>
  <c r="P895" i="1"/>
  <c r="G895" i="1"/>
  <c r="K895" i="1"/>
  <c r="H895" i="1"/>
  <c r="W895" i="1"/>
  <c r="E895" i="1"/>
  <c r="T895" i="1"/>
  <c r="F895" i="1"/>
  <c r="A896" i="1"/>
  <c r="Q895" i="1"/>
  <c r="O895" i="1"/>
  <c r="N895" i="1"/>
  <c r="S896" i="1" l="1"/>
  <c r="K896" i="1"/>
  <c r="C896" i="1"/>
  <c r="Q896" i="1"/>
  <c r="H896" i="1"/>
  <c r="P896" i="1"/>
  <c r="G896" i="1"/>
  <c r="W896" i="1"/>
  <c r="N896" i="1"/>
  <c r="E896" i="1"/>
  <c r="U896" i="1"/>
  <c r="L896" i="1"/>
  <c r="B896" i="1"/>
  <c r="A897" i="1"/>
  <c r="F896" i="1"/>
  <c r="V896" i="1"/>
  <c r="D896" i="1"/>
  <c r="R896" i="1"/>
  <c r="O896" i="1"/>
  <c r="T896" i="1"/>
  <c r="M896" i="1"/>
  <c r="J896" i="1"/>
  <c r="I896" i="1"/>
  <c r="T897" i="1" l="1"/>
  <c r="L897" i="1"/>
  <c r="D897" i="1"/>
  <c r="V897" i="1"/>
  <c r="M897" i="1"/>
  <c r="C897" i="1"/>
  <c r="U897" i="1"/>
  <c r="K897" i="1"/>
  <c r="B897" i="1"/>
  <c r="R897" i="1"/>
  <c r="I897" i="1"/>
  <c r="P897" i="1"/>
  <c r="G897" i="1"/>
  <c r="S897" i="1"/>
  <c r="Q897" i="1"/>
  <c r="N897" i="1"/>
  <c r="J897" i="1"/>
  <c r="A898" i="1"/>
  <c r="O897" i="1"/>
  <c r="W897" i="1"/>
  <c r="H897" i="1"/>
  <c r="F897" i="1"/>
  <c r="E897" i="1"/>
  <c r="U898" i="1" l="1"/>
  <c r="M898" i="1"/>
  <c r="E898" i="1"/>
  <c r="Q898" i="1"/>
  <c r="H898" i="1"/>
  <c r="P898" i="1"/>
  <c r="G898" i="1"/>
  <c r="W898" i="1"/>
  <c r="N898" i="1"/>
  <c r="D898" i="1"/>
  <c r="T898" i="1"/>
  <c r="K898" i="1"/>
  <c r="B898" i="1"/>
  <c r="O898" i="1"/>
  <c r="L898" i="1"/>
  <c r="I898" i="1"/>
  <c r="A899" i="1"/>
  <c r="F898" i="1"/>
  <c r="J898" i="1"/>
  <c r="C898" i="1"/>
  <c r="V898" i="1"/>
  <c r="S898" i="1"/>
  <c r="R898" i="1"/>
  <c r="V899" i="1" l="1"/>
  <c r="N899" i="1"/>
  <c r="F899" i="1"/>
  <c r="U899" i="1"/>
  <c r="L899" i="1"/>
  <c r="C899" i="1"/>
  <c r="T899" i="1"/>
  <c r="K899" i="1"/>
  <c r="B899" i="1"/>
  <c r="R899" i="1"/>
  <c r="I899" i="1"/>
  <c r="P899" i="1"/>
  <c r="G899" i="1"/>
  <c r="J899" i="1"/>
  <c r="H899" i="1"/>
  <c r="W899" i="1"/>
  <c r="D899" i="1"/>
  <c r="S899" i="1"/>
  <c r="A900" i="1"/>
  <c r="Q899" i="1"/>
  <c r="O899" i="1"/>
  <c r="E899" i="1"/>
  <c r="M899" i="1"/>
  <c r="W900" i="1" l="1"/>
  <c r="O900" i="1"/>
  <c r="G900" i="1"/>
  <c r="U900" i="1"/>
  <c r="Q900" i="1"/>
  <c r="H900" i="1"/>
  <c r="P900" i="1"/>
  <c r="F900" i="1"/>
  <c r="A901" i="1"/>
  <c r="M900" i="1"/>
  <c r="D900" i="1"/>
  <c r="T900" i="1"/>
  <c r="K900" i="1"/>
  <c r="B900" i="1"/>
  <c r="E900" i="1"/>
  <c r="V900" i="1"/>
  <c r="C900" i="1"/>
  <c r="R900" i="1"/>
  <c r="N900" i="1"/>
  <c r="S900" i="1"/>
  <c r="L900" i="1"/>
  <c r="J900" i="1"/>
  <c r="I900" i="1"/>
  <c r="A902" i="1" l="1"/>
  <c r="P901" i="1"/>
  <c r="H901" i="1"/>
  <c r="S901" i="1"/>
  <c r="Q901" i="1"/>
  <c r="G901" i="1"/>
  <c r="N901" i="1"/>
  <c r="D901" i="1"/>
  <c r="M901" i="1"/>
  <c r="C901" i="1"/>
  <c r="V901" i="1"/>
  <c r="K901" i="1"/>
  <c r="T901" i="1"/>
  <c r="I901" i="1"/>
  <c r="W901" i="1"/>
  <c r="B901" i="1"/>
  <c r="U901" i="1"/>
  <c r="O901" i="1"/>
  <c r="L901" i="1"/>
  <c r="R901" i="1"/>
  <c r="J901" i="1"/>
  <c r="F901" i="1"/>
  <c r="E901" i="1"/>
  <c r="Q902" i="1" l="1"/>
  <c r="I902" i="1"/>
  <c r="T902" i="1"/>
  <c r="L902" i="1"/>
  <c r="D902" i="1"/>
  <c r="O902" i="1"/>
  <c r="E902" i="1"/>
  <c r="P902" i="1"/>
  <c r="C902" i="1"/>
  <c r="N902" i="1"/>
  <c r="B902" i="1"/>
  <c r="W902" i="1"/>
  <c r="K902" i="1"/>
  <c r="U902" i="1"/>
  <c r="H902" i="1"/>
  <c r="A903" i="1"/>
  <c r="V902" i="1"/>
  <c r="R902" i="1"/>
  <c r="M902" i="1"/>
  <c r="S902" i="1"/>
  <c r="J902" i="1"/>
  <c r="G902" i="1"/>
  <c r="F902" i="1"/>
  <c r="R903" i="1" l="1"/>
  <c r="J903" i="1"/>
  <c r="B903" i="1"/>
  <c r="U903" i="1"/>
  <c r="M903" i="1"/>
  <c r="E903" i="1"/>
  <c r="A904" i="1"/>
  <c r="N903" i="1"/>
  <c r="C903" i="1"/>
  <c r="Q903" i="1"/>
  <c r="F903" i="1"/>
  <c r="P903" i="1"/>
  <c r="D903" i="1"/>
  <c r="L903" i="1"/>
  <c r="V903" i="1"/>
  <c r="I903" i="1"/>
  <c r="W903" i="1"/>
  <c r="S903" i="1"/>
  <c r="O903" i="1"/>
  <c r="T903" i="1"/>
  <c r="K903" i="1"/>
  <c r="H903" i="1"/>
  <c r="G903" i="1"/>
  <c r="S904" i="1" l="1"/>
  <c r="K904" i="1"/>
  <c r="C904" i="1"/>
  <c r="V904" i="1"/>
  <c r="N904" i="1"/>
  <c r="F904" i="1"/>
  <c r="W904" i="1"/>
  <c r="L904" i="1"/>
  <c r="R904" i="1"/>
  <c r="G904" i="1"/>
  <c r="Q904" i="1"/>
  <c r="E904" i="1"/>
  <c r="O904" i="1"/>
  <c r="B904" i="1"/>
  <c r="A905" i="1"/>
  <c r="J904" i="1"/>
  <c r="D904" i="1"/>
  <c r="T904" i="1"/>
  <c r="P904" i="1"/>
  <c r="U904" i="1"/>
  <c r="M904" i="1"/>
  <c r="I904" i="1"/>
  <c r="H904" i="1"/>
  <c r="T905" i="1" l="1"/>
  <c r="L905" i="1"/>
  <c r="D905" i="1"/>
  <c r="W905" i="1"/>
  <c r="O905" i="1"/>
  <c r="G905" i="1"/>
  <c r="U905" i="1"/>
  <c r="J905" i="1"/>
  <c r="S905" i="1"/>
  <c r="H905" i="1"/>
  <c r="R905" i="1"/>
  <c r="F905" i="1"/>
  <c r="P905" i="1"/>
  <c r="C905" i="1"/>
  <c r="M905" i="1"/>
  <c r="E905" i="1"/>
  <c r="B905" i="1"/>
  <c r="V905" i="1"/>
  <c r="Q905" i="1"/>
  <c r="A906" i="1"/>
  <c r="N905" i="1"/>
  <c r="K905" i="1"/>
  <c r="I905" i="1"/>
  <c r="U906" i="1" l="1"/>
  <c r="M906" i="1"/>
  <c r="E906" i="1"/>
  <c r="A907" i="1"/>
  <c r="P906" i="1"/>
  <c r="H906" i="1"/>
  <c r="S906" i="1"/>
  <c r="I906" i="1"/>
  <c r="V906" i="1"/>
  <c r="J906" i="1"/>
  <c r="T906" i="1"/>
  <c r="G906" i="1"/>
  <c r="Q906" i="1"/>
  <c r="D906" i="1"/>
  <c r="N906" i="1"/>
  <c r="B906" i="1"/>
  <c r="F906" i="1"/>
  <c r="C906" i="1"/>
  <c r="W906" i="1"/>
  <c r="R906" i="1"/>
  <c r="O906" i="1"/>
  <c r="L906" i="1"/>
  <c r="K906" i="1"/>
  <c r="V907" i="1" l="1"/>
  <c r="N907" i="1"/>
  <c r="F907" i="1"/>
  <c r="Q907" i="1"/>
  <c r="I907" i="1"/>
  <c r="R907" i="1"/>
  <c r="G907" i="1"/>
  <c r="W907" i="1"/>
  <c r="K907" i="1"/>
  <c r="U907" i="1"/>
  <c r="J907" i="1"/>
  <c r="S907" i="1"/>
  <c r="E907" i="1"/>
  <c r="O907" i="1"/>
  <c r="C907" i="1"/>
  <c r="H907" i="1"/>
  <c r="D907" i="1"/>
  <c r="A908" i="1"/>
  <c r="T907" i="1"/>
  <c r="P907" i="1"/>
  <c r="M907" i="1"/>
  <c r="B907" i="1"/>
  <c r="L907" i="1"/>
  <c r="W908" i="1" l="1"/>
  <c r="O908" i="1"/>
  <c r="G908" i="1"/>
  <c r="R908" i="1"/>
  <c r="J908" i="1"/>
  <c r="B908" i="1"/>
  <c r="P908" i="1"/>
  <c r="E908" i="1"/>
  <c r="A909" i="1"/>
  <c r="L908" i="1"/>
  <c r="V908" i="1"/>
  <c r="K908" i="1"/>
  <c r="T908" i="1"/>
  <c r="H908" i="1"/>
  <c r="Q908" i="1"/>
  <c r="D908" i="1"/>
  <c r="I908" i="1"/>
  <c r="F908" i="1"/>
  <c r="U908" i="1"/>
  <c r="C908" i="1"/>
  <c r="S908" i="1"/>
  <c r="N908" i="1"/>
  <c r="M908" i="1"/>
  <c r="A910" i="1" l="1"/>
  <c r="P909" i="1"/>
  <c r="H909" i="1"/>
  <c r="S909" i="1"/>
  <c r="K909" i="1"/>
  <c r="C909" i="1"/>
  <c r="N909" i="1"/>
  <c r="D909" i="1"/>
  <c r="M909" i="1"/>
  <c r="W909" i="1"/>
  <c r="L909" i="1"/>
  <c r="U909" i="1"/>
  <c r="I909" i="1"/>
  <c r="R909" i="1"/>
  <c r="F909" i="1"/>
  <c r="J909" i="1"/>
  <c r="G909" i="1"/>
  <c r="B909" i="1"/>
  <c r="V909" i="1"/>
  <c r="T909" i="1"/>
  <c r="Q909" i="1"/>
  <c r="E909" i="1"/>
  <c r="O909" i="1"/>
  <c r="Q910" i="1" l="1"/>
  <c r="I910" i="1"/>
  <c r="T910" i="1"/>
  <c r="L910" i="1"/>
  <c r="D910" i="1"/>
  <c r="W910" i="1"/>
  <c r="M910" i="1"/>
  <c r="B910" i="1"/>
  <c r="O910" i="1"/>
  <c r="C910" i="1"/>
  <c r="N910" i="1"/>
  <c r="V910" i="1"/>
  <c r="J910" i="1"/>
  <c r="S910" i="1"/>
  <c r="G910" i="1"/>
  <c r="K910" i="1"/>
  <c r="H910" i="1"/>
  <c r="E910" i="1"/>
  <c r="A911" i="1"/>
  <c r="F910" i="1"/>
  <c r="U910" i="1"/>
  <c r="R910" i="1"/>
  <c r="P910" i="1"/>
  <c r="R911" i="1" l="1"/>
  <c r="J911" i="1"/>
  <c r="B911" i="1"/>
  <c r="U911" i="1"/>
  <c r="M911" i="1"/>
  <c r="E911" i="1"/>
  <c r="V911" i="1"/>
  <c r="K911" i="1"/>
  <c r="P911" i="1"/>
  <c r="D911" i="1"/>
  <c r="O911" i="1"/>
  <c r="C911" i="1"/>
  <c r="A912" i="1"/>
  <c r="L911" i="1"/>
  <c r="T911" i="1"/>
  <c r="H911" i="1"/>
  <c r="N911" i="1"/>
  <c r="I911" i="1"/>
  <c r="F911" i="1"/>
  <c r="W911" i="1"/>
  <c r="S911" i="1"/>
  <c r="G911" i="1"/>
  <c r="Q911" i="1"/>
  <c r="S912" i="1" l="1"/>
  <c r="K912" i="1"/>
  <c r="C912" i="1"/>
  <c r="V912" i="1"/>
  <c r="N912" i="1"/>
  <c r="F912" i="1"/>
  <c r="T912" i="1"/>
  <c r="I912" i="1"/>
  <c r="Q912" i="1"/>
  <c r="E912" i="1"/>
  <c r="P912" i="1"/>
  <c r="D912" i="1"/>
  <c r="M912" i="1"/>
  <c r="W912" i="1"/>
  <c r="J912" i="1"/>
  <c r="O912" i="1"/>
  <c r="L912" i="1"/>
  <c r="G912" i="1"/>
  <c r="B912" i="1"/>
  <c r="H912" i="1"/>
  <c r="A913" i="1"/>
  <c r="U912" i="1"/>
  <c r="R912" i="1"/>
  <c r="T913" i="1" l="1"/>
  <c r="L913" i="1"/>
  <c r="D913" i="1"/>
  <c r="W913" i="1"/>
  <c r="O913" i="1"/>
  <c r="G913" i="1"/>
  <c r="R913" i="1"/>
  <c r="H913" i="1"/>
  <c r="S913" i="1"/>
  <c r="F913" i="1"/>
  <c r="Q913" i="1"/>
  <c r="E913" i="1"/>
  <c r="N913" i="1"/>
  <c r="B913" i="1"/>
  <c r="A914" i="1"/>
  <c r="K913" i="1"/>
  <c r="P913" i="1"/>
  <c r="M913" i="1"/>
  <c r="I913" i="1"/>
  <c r="C913" i="1"/>
  <c r="V913" i="1"/>
  <c r="J913" i="1"/>
  <c r="U913" i="1"/>
  <c r="U914" i="1" l="1"/>
  <c r="M914" i="1"/>
  <c r="E914" i="1"/>
  <c r="A915" i="1"/>
  <c r="P914" i="1"/>
  <c r="H914" i="1"/>
  <c r="S914" i="1"/>
  <c r="I914" i="1"/>
  <c r="Q914" i="1"/>
  <c r="F914" i="1"/>
  <c r="W914" i="1"/>
  <c r="J914" i="1"/>
  <c r="V914" i="1"/>
  <c r="G914" i="1"/>
  <c r="R914" i="1"/>
  <c r="C914" i="1"/>
  <c r="N914" i="1"/>
  <c r="T914" i="1"/>
  <c r="O914" i="1"/>
  <c r="K914" i="1"/>
  <c r="D914" i="1"/>
  <c r="L914" i="1"/>
  <c r="B914" i="1"/>
  <c r="V915" i="1" l="1"/>
  <c r="N915" i="1"/>
  <c r="F915" i="1"/>
  <c r="Q915" i="1"/>
  <c r="I915" i="1"/>
  <c r="R915" i="1"/>
  <c r="G915" i="1"/>
  <c r="O915" i="1"/>
  <c r="D915" i="1"/>
  <c r="M915" i="1"/>
  <c r="L915" i="1"/>
  <c r="W915" i="1"/>
  <c r="J915" i="1"/>
  <c r="T915" i="1"/>
  <c r="E915" i="1"/>
  <c r="A916" i="1"/>
  <c r="U915" i="1"/>
  <c r="P915" i="1"/>
  <c r="K915" i="1"/>
  <c r="S915" i="1"/>
  <c r="H915" i="1"/>
  <c r="C915" i="1"/>
  <c r="B915" i="1"/>
  <c r="W916" i="1" l="1"/>
  <c r="O916" i="1"/>
  <c r="G916" i="1"/>
  <c r="R916" i="1"/>
  <c r="J916" i="1"/>
  <c r="B916" i="1"/>
  <c r="Q916" i="1"/>
  <c r="P916" i="1"/>
  <c r="E916" i="1"/>
  <c r="A917" i="1"/>
  <c r="M916" i="1"/>
  <c r="C916" i="1"/>
  <c r="U916" i="1"/>
  <c r="F916" i="1"/>
  <c r="T916" i="1"/>
  <c r="D916" i="1"/>
  <c r="N916" i="1"/>
  <c r="K916" i="1"/>
  <c r="V916" i="1"/>
  <c r="S916" i="1"/>
  <c r="L916" i="1"/>
  <c r="I916" i="1"/>
  <c r="H916" i="1"/>
  <c r="A918" i="1" l="1"/>
  <c r="P917" i="1"/>
  <c r="H917" i="1"/>
  <c r="S917" i="1"/>
  <c r="K917" i="1"/>
  <c r="C917" i="1"/>
  <c r="O917" i="1"/>
  <c r="E917" i="1"/>
  <c r="N917" i="1"/>
  <c r="D917" i="1"/>
  <c r="V917" i="1"/>
  <c r="L917" i="1"/>
  <c r="Q917" i="1"/>
  <c r="M917" i="1"/>
  <c r="I917" i="1"/>
  <c r="U917" i="1"/>
  <c r="F917" i="1"/>
  <c r="J917" i="1"/>
  <c r="G917" i="1"/>
  <c r="B917" i="1"/>
  <c r="W917" i="1"/>
  <c r="T917" i="1"/>
  <c r="R917" i="1"/>
  <c r="Q918" i="1" l="1"/>
  <c r="I918" i="1"/>
  <c r="T918" i="1"/>
  <c r="L918" i="1"/>
  <c r="D918" i="1"/>
  <c r="A919" i="1"/>
  <c r="N918" i="1"/>
  <c r="C918" i="1"/>
  <c r="W918" i="1"/>
  <c r="M918" i="1"/>
  <c r="B918" i="1"/>
  <c r="U918" i="1"/>
  <c r="J918" i="1"/>
  <c r="S918" i="1"/>
  <c r="H918" i="1"/>
  <c r="K918" i="1"/>
  <c r="G918" i="1"/>
  <c r="E918" i="1"/>
  <c r="R918" i="1"/>
  <c r="V918" i="1"/>
  <c r="O918" i="1"/>
  <c r="F918" i="1"/>
  <c r="P918" i="1"/>
  <c r="R919" i="1" l="1"/>
  <c r="J919" i="1"/>
  <c r="B919" i="1"/>
  <c r="U919" i="1"/>
  <c r="M919" i="1"/>
  <c r="E919" i="1"/>
  <c r="W919" i="1"/>
  <c r="L919" i="1"/>
  <c r="V919" i="1"/>
  <c r="K919" i="1"/>
  <c r="S919" i="1"/>
  <c r="H919" i="1"/>
  <c r="Q919" i="1"/>
  <c r="G919" i="1"/>
  <c r="I919" i="1"/>
  <c r="F919" i="1"/>
  <c r="A920" i="1"/>
  <c r="C919" i="1"/>
  <c r="P919" i="1"/>
  <c r="D919" i="1"/>
  <c r="T919" i="1"/>
  <c r="O919" i="1"/>
  <c r="N919" i="1"/>
  <c r="S920" i="1" l="1"/>
  <c r="K920" i="1"/>
  <c r="C920" i="1"/>
  <c r="V920" i="1"/>
  <c r="N920" i="1"/>
  <c r="F920" i="1"/>
  <c r="U920" i="1"/>
  <c r="J920" i="1"/>
  <c r="T920" i="1"/>
  <c r="I920" i="1"/>
  <c r="Q920" i="1"/>
  <c r="G920" i="1"/>
  <c r="P920" i="1"/>
  <c r="E920" i="1"/>
  <c r="H920" i="1"/>
  <c r="D920" i="1"/>
  <c r="W920" i="1"/>
  <c r="O920" i="1"/>
  <c r="A921" i="1"/>
  <c r="R920" i="1"/>
  <c r="L920" i="1"/>
  <c r="B920" i="1"/>
  <c r="M920" i="1"/>
  <c r="T921" i="1" l="1"/>
  <c r="L921" i="1"/>
  <c r="D921" i="1"/>
  <c r="S921" i="1"/>
  <c r="K921" i="1"/>
  <c r="C921" i="1"/>
  <c r="W921" i="1"/>
  <c r="O921" i="1"/>
  <c r="G921" i="1"/>
  <c r="A922" i="1"/>
  <c r="J921" i="1"/>
  <c r="V921" i="1"/>
  <c r="I921" i="1"/>
  <c r="R921" i="1"/>
  <c r="F921" i="1"/>
  <c r="Q921" i="1"/>
  <c r="E921" i="1"/>
  <c r="H921" i="1"/>
  <c r="B921" i="1"/>
  <c r="P921" i="1"/>
  <c r="U921" i="1"/>
  <c r="N921" i="1"/>
  <c r="M921" i="1"/>
  <c r="U922" i="1" l="1"/>
  <c r="M922" i="1"/>
  <c r="E922" i="1"/>
  <c r="T922" i="1"/>
  <c r="L922" i="1"/>
  <c r="D922" i="1"/>
  <c r="A923" i="1"/>
  <c r="P922" i="1"/>
  <c r="H922" i="1"/>
  <c r="N922" i="1"/>
  <c r="K922" i="1"/>
  <c r="V922" i="1"/>
  <c r="I922" i="1"/>
  <c r="S922" i="1"/>
  <c r="G922" i="1"/>
  <c r="J922" i="1"/>
  <c r="F922" i="1"/>
  <c r="B922" i="1"/>
  <c r="R922" i="1"/>
  <c r="W922" i="1"/>
  <c r="O922" i="1"/>
  <c r="C922" i="1"/>
  <c r="Q922" i="1"/>
  <c r="V923" i="1" l="1"/>
  <c r="N923" i="1"/>
  <c r="F923" i="1"/>
  <c r="U923" i="1"/>
  <c r="M923" i="1"/>
  <c r="E923" i="1"/>
  <c r="R923" i="1"/>
  <c r="J923" i="1"/>
  <c r="B923" i="1"/>
  <c r="Q923" i="1"/>
  <c r="I923" i="1"/>
  <c r="T923" i="1"/>
  <c r="D923" i="1"/>
  <c r="S923" i="1"/>
  <c r="C923" i="1"/>
  <c r="O923" i="1"/>
  <c r="L923" i="1"/>
  <c r="P923" i="1"/>
  <c r="K923" i="1"/>
  <c r="G923" i="1"/>
  <c r="H923" i="1"/>
  <c r="A924" i="1"/>
  <c r="W923" i="1"/>
  <c r="W924" i="1" l="1"/>
  <c r="O924" i="1"/>
  <c r="G924" i="1"/>
  <c r="V924" i="1"/>
  <c r="N924" i="1"/>
  <c r="F924" i="1"/>
  <c r="S924" i="1"/>
  <c r="K924" i="1"/>
  <c r="C924" i="1"/>
  <c r="R924" i="1"/>
  <c r="J924" i="1"/>
  <c r="B924" i="1"/>
  <c r="M924" i="1"/>
  <c r="L924" i="1"/>
  <c r="A925" i="1"/>
  <c r="H924" i="1"/>
  <c r="U924" i="1"/>
  <c r="E924" i="1"/>
  <c r="T924" i="1"/>
  <c r="P924" i="1"/>
  <c r="D924" i="1"/>
  <c r="Q924" i="1"/>
  <c r="I924" i="1"/>
  <c r="A926" i="1" l="1"/>
  <c r="P925" i="1"/>
  <c r="H925" i="1"/>
  <c r="W925" i="1"/>
  <c r="O925" i="1"/>
  <c r="G925" i="1"/>
  <c r="T925" i="1"/>
  <c r="L925" i="1"/>
  <c r="D925" i="1"/>
  <c r="S925" i="1"/>
  <c r="K925" i="1"/>
  <c r="C925" i="1"/>
  <c r="V925" i="1"/>
  <c r="F925" i="1"/>
  <c r="U925" i="1"/>
  <c r="E925" i="1"/>
  <c r="Q925" i="1"/>
  <c r="N925" i="1"/>
  <c r="B925" i="1"/>
  <c r="M925" i="1"/>
  <c r="R925" i="1"/>
  <c r="I925" i="1"/>
  <c r="J925" i="1"/>
  <c r="Q926" i="1" l="1"/>
  <c r="I926" i="1"/>
  <c r="A927" i="1"/>
  <c r="P926" i="1"/>
  <c r="H926" i="1"/>
  <c r="U926" i="1"/>
  <c r="M926" i="1"/>
  <c r="E926" i="1"/>
  <c r="T926" i="1"/>
  <c r="L926" i="1"/>
  <c r="D926" i="1"/>
  <c r="O926" i="1"/>
  <c r="N926" i="1"/>
  <c r="J926" i="1"/>
  <c r="W926" i="1"/>
  <c r="G926" i="1"/>
  <c r="K926" i="1"/>
  <c r="F926" i="1"/>
  <c r="B926" i="1"/>
  <c r="V926" i="1"/>
  <c r="C926" i="1"/>
  <c r="S926" i="1"/>
  <c r="R926" i="1"/>
  <c r="R927" i="1" l="1"/>
  <c r="J927" i="1"/>
  <c r="B927" i="1"/>
  <c r="Q927" i="1"/>
  <c r="I927" i="1"/>
  <c r="V927" i="1"/>
  <c r="N927" i="1"/>
  <c r="F927" i="1"/>
  <c r="U927" i="1"/>
  <c r="M927" i="1"/>
  <c r="E927" i="1"/>
  <c r="A928" i="1"/>
  <c r="H927" i="1"/>
  <c r="W927" i="1"/>
  <c r="G927" i="1"/>
  <c r="S927" i="1"/>
  <c r="C927" i="1"/>
  <c r="P927" i="1"/>
  <c r="T927" i="1"/>
  <c r="O927" i="1"/>
  <c r="K927" i="1"/>
  <c r="L927" i="1"/>
  <c r="D927" i="1"/>
  <c r="S928" i="1" l="1"/>
  <c r="K928" i="1"/>
  <c r="C928" i="1"/>
  <c r="R928" i="1"/>
  <c r="J928" i="1"/>
  <c r="B928" i="1"/>
  <c r="W928" i="1"/>
  <c r="O928" i="1"/>
  <c r="G928" i="1"/>
  <c r="V928" i="1"/>
  <c r="N928" i="1"/>
  <c r="F928" i="1"/>
  <c r="Q928" i="1"/>
  <c r="P928" i="1"/>
  <c r="L928" i="1"/>
  <c r="I928" i="1"/>
  <c r="A929" i="1"/>
  <c r="T928" i="1"/>
  <c r="H928" i="1"/>
  <c r="U928" i="1"/>
  <c r="M928" i="1"/>
  <c r="D928" i="1"/>
  <c r="E928" i="1"/>
  <c r="T929" i="1" l="1"/>
  <c r="L929" i="1"/>
  <c r="D929" i="1"/>
  <c r="S929" i="1"/>
  <c r="K929" i="1"/>
  <c r="C929" i="1"/>
  <c r="A930" i="1"/>
  <c r="P929" i="1"/>
  <c r="H929" i="1"/>
  <c r="W929" i="1"/>
  <c r="O929" i="1"/>
  <c r="G929" i="1"/>
  <c r="J929" i="1"/>
  <c r="I929" i="1"/>
  <c r="U929" i="1"/>
  <c r="E929" i="1"/>
  <c r="R929" i="1"/>
  <c r="B929" i="1"/>
  <c r="F929" i="1"/>
  <c r="Q929" i="1"/>
  <c r="V929" i="1"/>
  <c r="N929" i="1"/>
  <c r="M929" i="1"/>
  <c r="R930" i="1" l="1"/>
  <c r="A931" i="1"/>
  <c r="V930" i="1"/>
  <c r="M930" i="1"/>
  <c r="E930" i="1"/>
  <c r="U930" i="1"/>
  <c r="L930" i="1"/>
  <c r="D930" i="1"/>
  <c r="Q930" i="1"/>
  <c r="I930" i="1"/>
  <c r="P930" i="1"/>
  <c r="H930" i="1"/>
  <c r="T930" i="1"/>
  <c r="C930" i="1"/>
  <c r="S930" i="1"/>
  <c r="B930" i="1"/>
  <c r="N930" i="1"/>
  <c r="K930" i="1"/>
  <c r="O930" i="1"/>
  <c r="J930" i="1"/>
  <c r="F930" i="1"/>
  <c r="W930" i="1"/>
  <c r="G930" i="1"/>
  <c r="S931" i="1" l="1"/>
  <c r="K931" i="1"/>
  <c r="C931" i="1"/>
  <c r="R931" i="1"/>
  <c r="J931" i="1"/>
  <c r="B931" i="1"/>
  <c r="Q931" i="1"/>
  <c r="I931" i="1"/>
  <c r="A932" i="1"/>
  <c r="M931" i="1"/>
  <c r="W931" i="1"/>
  <c r="L931" i="1"/>
  <c r="T931" i="1"/>
  <c r="F931" i="1"/>
  <c r="P931" i="1"/>
  <c r="E931" i="1"/>
  <c r="V931" i="1"/>
  <c r="U931" i="1"/>
  <c r="N931" i="1"/>
  <c r="H931" i="1"/>
  <c r="G931" i="1"/>
  <c r="O931" i="1"/>
  <c r="D931" i="1"/>
  <c r="T932" i="1" l="1"/>
  <c r="L932" i="1"/>
  <c r="D932" i="1"/>
  <c r="S932" i="1"/>
  <c r="K932" i="1"/>
  <c r="C932" i="1"/>
  <c r="R932" i="1"/>
  <c r="J932" i="1"/>
  <c r="B932" i="1"/>
  <c r="O932" i="1"/>
  <c r="N932" i="1"/>
  <c r="V932" i="1"/>
  <c r="H932" i="1"/>
  <c r="U932" i="1"/>
  <c r="G932" i="1"/>
  <c r="A933" i="1"/>
  <c r="W932" i="1"/>
  <c r="P932" i="1"/>
  <c r="M932" i="1"/>
  <c r="Q932" i="1"/>
  <c r="I932" i="1"/>
  <c r="E932" i="1"/>
  <c r="F932" i="1"/>
  <c r="U933" i="1" l="1"/>
  <c r="M933" i="1"/>
  <c r="E933" i="1"/>
  <c r="T933" i="1"/>
  <c r="L933" i="1"/>
  <c r="D933" i="1"/>
  <c r="S933" i="1"/>
  <c r="K933" i="1"/>
  <c r="C933" i="1"/>
  <c r="Q933" i="1"/>
  <c r="F933" i="1"/>
  <c r="P933" i="1"/>
  <c r="B933" i="1"/>
  <c r="A934" i="1"/>
  <c r="J933" i="1"/>
  <c r="W933" i="1"/>
  <c r="I933" i="1"/>
  <c r="R933" i="1"/>
  <c r="O933" i="1"/>
  <c r="N933" i="1"/>
  <c r="V933" i="1"/>
  <c r="H933" i="1"/>
  <c r="G933" i="1"/>
  <c r="V934" i="1" l="1"/>
  <c r="N934" i="1"/>
  <c r="F934" i="1"/>
  <c r="U934" i="1"/>
  <c r="M934" i="1"/>
  <c r="E934" i="1"/>
  <c r="T934" i="1"/>
  <c r="L934" i="1"/>
  <c r="D934" i="1"/>
  <c r="S934" i="1"/>
  <c r="H934" i="1"/>
  <c r="R934" i="1"/>
  <c r="G934" i="1"/>
  <c r="O934" i="1"/>
  <c r="K934" i="1"/>
  <c r="C934" i="1"/>
  <c r="B934" i="1"/>
  <c r="W934" i="1"/>
  <c r="Q934" i="1"/>
  <c r="A935" i="1"/>
  <c r="P934" i="1"/>
  <c r="I934" i="1"/>
  <c r="J934" i="1"/>
  <c r="W935" i="1" l="1"/>
  <c r="O935" i="1"/>
  <c r="G935" i="1"/>
  <c r="V935" i="1"/>
  <c r="N935" i="1"/>
  <c r="F935" i="1"/>
  <c r="U935" i="1"/>
  <c r="M935" i="1"/>
  <c r="E935" i="1"/>
  <c r="A936" i="1"/>
  <c r="J935" i="1"/>
  <c r="T935" i="1"/>
  <c r="I935" i="1"/>
  <c r="Q935" i="1"/>
  <c r="C935" i="1"/>
  <c r="P935" i="1"/>
  <c r="B935" i="1"/>
  <c r="H935" i="1"/>
  <c r="D935" i="1"/>
  <c r="S935" i="1"/>
  <c r="R935" i="1"/>
  <c r="K935" i="1"/>
  <c r="L935" i="1"/>
  <c r="A937" i="1" l="1"/>
  <c r="P936" i="1"/>
  <c r="H936" i="1"/>
  <c r="W936" i="1"/>
  <c r="O936" i="1"/>
  <c r="G936" i="1"/>
  <c r="V936" i="1"/>
  <c r="N936" i="1"/>
  <c r="F936" i="1"/>
  <c r="S936" i="1"/>
  <c r="K936" i="1"/>
  <c r="M936" i="1"/>
  <c r="L936" i="1"/>
  <c r="U936" i="1"/>
  <c r="E936" i="1"/>
  <c r="T936" i="1"/>
  <c r="D936" i="1"/>
  <c r="J936" i="1"/>
  <c r="I936" i="1"/>
  <c r="B936" i="1"/>
  <c r="Q936" i="1"/>
  <c r="R936" i="1"/>
  <c r="C936" i="1"/>
  <c r="Q937" i="1" l="1"/>
  <c r="I937" i="1"/>
  <c r="A938" i="1"/>
  <c r="P937" i="1"/>
  <c r="H937" i="1"/>
  <c r="W937" i="1"/>
  <c r="O937" i="1"/>
  <c r="G937" i="1"/>
  <c r="T937" i="1"/>
  <c r="L937" i="1"/>
  <c r="D937" i="1"/>
  <c r="V937" i="1"/>
  <c r="F937" i="1"/>
  <c r="U937" i="1"/>
  <c r="E937" i="1"/>
  <c r="N937" i="1"/>
  <c r="M937" i="1"/>
  <c r="S937" i="1"/>
  <c r="R937" i="1"/>
  <c r="J937" i="1"/>
  <c r="C937" i="1"/>
  <c r="K937" i="1"/>
  <c r="B937" i="1"/>
  <c r="R938" i="1" l="1"/>
  <c r="J938" i="1"/>
  <c r="B938" i="1"/>
  <c r="Q938" i="1"/>
  <c r="I938" i="1"/>
  <c r="A939" i="1"/>
  <c r="P938" i="1"/>
  <c r="H938" i="1"/>
  <c r="U938" i="1"/>
  <c r="M938" i="1"/>
  <c r="E938" i="1"/>
  <c r="O938" i="1"/>
  <c r="N938" i="1"/>
  <c r="W938" i="1"/>
  <c r="G938" i="1"/>
  <c r="V938" i="1"/>
  <c r="F938" i="1"/>
  <c r="S938" i="1"/>
  <c r="L938" i="1"/>
  <c r="K938" i="1"/>
  <c r="T938" i="1"/>
  <c r="D938" i="1"/>
  <c r="C938" i="1"/>
  <c r="S939" i="1" l="1"/>
  <c r="K939" i="1"/>
  <c r="C939" i="1"/>
  <c r="R939" i="1"/>
  <c r="J939" i="1"/>
  <c r="B939" i="1"/>
  <c r="Q939" i="1"/>
  <c r="I939" i="1"/>
  <c r="V939" i="1"/>
  <c r="N939" i="1"/>
  <c r="F939" i="1"/>
  <c r="A940" i="1"/>
  <c r="H939" i="1"/>
  <c r="W939" i="1"/>
  <c r="G939" i="1"/>
  <c r="P939" i="1"/>
  <c r="O939" i="1"/>
  <c r="E939" i="1"/>
  <c r="D939" i="1"/>
  <c r="U939" i="1"/>
  <c r="T939" i="1"/>
  <c r="L939" i="1"/>
  <c r="M939" i="1"/>
  <c r="T940" i="1" l="1"/>
  <c r="L940" i="1"/>
  <c r="D940" i="1"/>
  <c r="S940" i="1"/>
  <c r="K940" i="1"/>
  <c r="C940" i="1"/>
  <c r="R940" i="1"/>
  <c r="J940" i="1"/>
  <c r="B940" i="1"/>
  <c r="W940" i="1"/>
  <c r="O940" i="1"/>
  <c r="G940" i="1"/>
  <c r="Q940" i="1"/>
  <c r="P940" i="1"/>
  <c r="I940" i="1"/>
  <c r="A941" i="1"/>
  <c r="H940" i="1"/>
  <c r="N940" i="1"/>
  <c r="M940" i="1"/>
  <c r="E940" i="1"/>
  <c r="F940" i="1"/>
  <c r="U940" i="1"/>
  <c r="V940" i="1"/>
  <c r="U941" i="1" l="1"/>
  <c r="M941" i="1"/>
  <c r="E941" i="1"/>
  <c r="T941" i="1"/>
  <c r="L941" i="1"/>
  <c r="D941" i="1"/>
  <c r="S941" i="1"/>
  <c r="K941" i="1"/>
  <c r="C941" i="1"/>
  <c r="A942" i="1"/>
  <c r="P941" i="1"/>
  <c r="H941" i="1"/>
  <c r="J941" i="1"/>
  <c r="I941" i="1"/>
  <c r="R941" i="1"/>
  <c r="B941" i="1"/>
  <c r="Q941" i="1"/>
  <c r="W941" i="1"/>
  <c r="V941" i="1"/>
  <c r="N941" i="1"/>
  <c r="G941" i="1"/>
  <c r="F941" i="1"/>
  <c r="O941" i="1"/>
  <c r="V942" i="1" l="1"/>
  <c r="N942" i="1"/>
  <c r="F942" i="1"/>
  <c r="U942" i="1"/>
  <c r="M942" i="1"/>
  <c r="E942" i="1"/>
  <c r="T942" i="1"/>
  <c r="L942" i="1"/>
  <c r="D942" i="1"/>
  <c r="Q942" i="1"/>
  <c r="I942" i="1"/>
  <c r="S942" i="1"/>
  <c r="C942" i="1"/>
  <c r="R942" i="1"/>
  <c r="B942" i="1"/>
  <c r="K942" i="1"/>
  <c r="J942" i="1"/>
  <c r="W942" i="1"/>
  <c r="P942" i="1"/>
  <c r="A943" i="1"/>
  <c r="O942" i="1"/>
  <c r="G942" i="1"/>
  <c r="H942" i="1"/>
  <c r="W943" i="1" l="1"/>
  <c r="O943" i="1"/>
  <c r="G943" i="1"/>
  <c r="V943" i="1"/>
  <c r="N943" i="1"/>
  <c r="F943" i="1"/>
  <c r="U943" i="1"/>
  <c r="M943" i="1"/>
  <c r="E943" i="1"/>
  <c r="R943" i="1"/>
  <c r="J943" i="1"/>
  <c r="B943" i="1"/>
  <c r="L943" i="1"/>
  <c r="K943" i="1"/>
  <c r="T943" i="1"/>
  <c r="D943" i="1"/>
  <c r="S943" i="1"/>
  <c r="C943" i="1"/>
  <c r="I943" i="1"/>
  <c r="H943" i="1"/>
  <c r="A944" i="1"/>
  <c r="Q943" i="1"/>
  <c r="P943" i="1"/>
  <c r="A945" i="1" l="1"/>
  <c r="P944" i="1"/>
  <c r="H944" i="1"/>
  <c r="W944" i="1"/>
  <c r="O944" i="1"/>
  <c r="G944" i="1"/>
  <c r="V944" i="1"/>
  <c r="N944" i="1"/>
  <c r="F944" i="1"/>
  <c r="S944" i="1"/>
  <c r="K944" i="1"/>
  <c r="C944" i="1"/>
  <c r="U944" i="1"/>
  <c r="E944" i="1"/>
  <c r="T944" i="1"/>
  <c r="D944" i="1"/>
  <c r="M944" i="1"/>
  <c r="L944" i="1"/>
  <c r="R944" i="1"/>
  <c r="Q944" i="1"/>
  <c r="I944" i="1"/>
  <c r="B944" i="1"/>
  <c r="J944" i="1"/>
  <c r="Q945" i="1" l="1"/>
  <c r="I945" i="1"/>
  <c r="A946" i="1"/>
  <c r="P945" i="1"/>
  <c r="H945" i="1"/>
  <c r="W945" i="1"/>
  <c r="O945" i="1"/>
  <c r="G945" i="1"/>
  <c r="T945" i="1"/>
  <c r="L945" i="1"/>
  <c r="D945" i="1"/>
  <c r="N945" i="1"/>
  <c r="M945" i="1"/>
  <c r="V945" i="1"/>
  <c r="F945" i="1"/>
  <c r="U945" i="1"/>
  <c r="E945" i="1"/>
  <c r="R945" i="1"/>
  <c r="K945" i="1"/>
  <c r="S945" i="1"/>
  <c r="J945" i="1"/>
  <c r="B945" i="1"/>
  <c r="C945" i="1"/>
  <c r="R946" i="1" l="1"/>
  <c r="J946" i="1"/>
  <c r="B946" i="1"/>
  <c r="Q946" i="1"/>
  <c r="I946" i="1"/>
  <c r="A947" i="1"/>
  <c r="P946" i="1"/>
  <c r="H946" i="1"/>
  <c r="U946" i="1"/>
  <c r="M946" i="1"/>
  <c r="E946" i="1"/>
  <c r="W946" i="1"/>
  <c r="G946" i="1"/>
  <c r="V946" i="1"/>
  <c r="F946" i="1"/>
  <c r="O946" i="1"/>
  <c r="N946" i="1"/>
  <c r="D946" i="1"/>
  <c r="C946" i="1"/>
  <c r="T946" i="1"/>
  <c r="S946" i="1"/>
  <c r="K946" i="1"/>
  <c r="L946" i="1"/>
  <c r="S947" i="1" l="1"/>
  <c r="K947" i="1"/>
  <c r="C947" i="1"/>
  <c r="R947" i="1"/>
  <c r="J947" i="1"/>
  <c r="B947" i="1"/>
  <c r="Q947" i="1"/>
  <c r="I947" i="1"/>
  <c r="V947" i="1"/>
  <c r="N947" i="1"/>
  <c r="F947" i="1"/>
  <c r="P947" i="1"/>
  <c r="O947" i="1"/>
  <c r="A948" i="1"/>
  <c r="H947" i="1"/>
  <c r="W947" i="1"/>
  <c r="G947" i="1"/>
  <c r="M947" i="1"/>
  <c r="L947" i="1"/>
  <c r="D947" i="1"/>
  <c r="T947" i="1"/>
  <c r="U947" i="1"/>
  <c r="E947" i="1"/>
  <c r="T948" i="1" l="1"/>
  <c r="L948" i="1"/>
  <c r="D948" i="1"/>
  <c r="S948" i="1"/>
  <c r="K948" i="1"/>
  <c r="C948" i="1"/>
  <c r="R948" i="1"/>
  <c r="J948" i="1"/>
  <c r="B948" i="1"/>
  <c r="W948" i="1"/>
  <c r="O948" i="1"/>
  <c r="G948" i="1"/>
  <c r="I948" i="1"/>
  <c r="A949" i="1"/>
  <c r="H948" i="1"/>
  <c r="Q948" i="1"/>
  <c r="P948" i="1"/>
  <c r="V948" i="1"/>
  <c r="U948" i="1"/>
  <c r="M948" i="1"/>
  <c r="F948" i="1"/>
  <c r="N948" i="1"/>
  <c r="E948" i="1"/>
  <c r="U949" i="1" l="1"/>
  <c r="M949" i="1"/>
  <c r="E949" i="1"/>
  <c r="T949" i="1"/>
  <c r="L949" i="1"/>
  <c r="D949" i="1"/>
  <c r="S949" i="1"/>
  <c r="K949" i="1"/>
  <c r="C949" i="1"/>
  <c r="A950" i="1"/>
  <c r="P949" i="1"/>
  <c r="H949" i="1"/>
  <c r="R949" i="1"/>
  <c r="B949" i="1"/>
  <c r="Q949" i="1"/>
  <c r="J949" i="1"/>
  <c r="I949" i="1"/>
  <c r="V949" i="1"/>
  <c r="O949" i="1"/>
  <c r="N949" i="1"/>
  <c r="W949" i="1"/>
  <c r="G949" i="1"/>
  <c r="F949" i="1"/>
  <c r="V950" i="1" l="1"/>
  <c r="N950" i="1"/>
  <c r="F950" i="1"/>
  <c r="U950" i="1"/>
  <c r="M950" i="1"/>
  <c r="E950" i="1"/>
  <c r="T950" i="1"/>
  <c r="L950" i="1"/>
  <c r="D950" i="1"/>
  <c r="Q950" i="1"/>
  <c r="I950" i="1"/>
  <c r="K950" i="1"/>
  <c r="J950" i="1"/>
  <c r="S950" i="1"/>
  <c r="C950" i="1"/>
  <c r="R950" i="1"/>
  <c r="B950" i="1"/>
  <c r="H950" i="1"/>
  <c r="G950" i="1"/>
  <c r="A951" i="1"/>
  <c r="W950" i="1"/>
  <c r="O950" i="1"/>
  <c r="P950" i="1"/>
  <c r="R951" i="1" l="1"/>
  <c r="J951" i="1"/>
  <c r="B951" i="1"/>
  <c r="A952" i="1"/>
  <c r="P951" i="1"/>
  <c r="H951" i="1"/>
  <c r="V951" i="1"/>
  <c r="N951" i="1"/>
  <c r="F951" i="1"/>
  <c r="W951" i="1"/>
  <c r="K951" i="1"/>
  <c r="U951" i="1"/>
  <c r="I951" i="1"/>
  <c r="T951" i="1"/>
  <c r="G951" i="1"/>
  <c r="O951" i="1"/>
  <c r="C951" i="1"/>
  <c r="E951" i="1"/>
  <c r="D951" i="1"/>
  <c r="S951" i="1"/>
  <c r="Q951" i="1"/>
  <c r="L951" i="1"/>
  <c r="M951" i="1"/>
  <c r="S952" i="1" l="1"/>
  <c r="K952" i="1"/>
  <c r="C952" i="1"/>
  <c r="R952" i="1"/>
  <c r="J952" i="1"/>
  <c r="B952" i="1"/>
  <c r="Q952" i="1"/>
  <c r="I952" i="1"/>
  <c r="W952" i="1"/>
  <c r="O952" i="1"/>
  <c r="G952" i="1"/>
  <c r="P952" i="1"/>
  <c r="N952" i="1"/>
  <c r="M952" i="1"/>
  <c r="V952" i="1"/>
  <c r="F952" i="1"/>
  <c r="L952" i="1"/>
  <c r="H952" i="1"/>
  <c r="A953" i="1"/>
  <c r="E952" i="1"/>
  <c r="D952" i="1"/>
  <c r="T952" i="1"/>
  <c r="U952" i="1"/>
  <c r="T953" i="1" l="1"/>
  <c r="L953" i="1"/>
  <c r="D953" i="1"/>
  <c r="S953" i="1"/>
  <c r="K953" i="1"/>
  <c r="C953" i="1"/>
  <c r="R953" i="1"/>
  <c r="J953" i="1"/>
  <c r="B953" i="1"/>
  <c r="A954" i="1"/>
  <c r="P953" i="1"/>
  <c r="H953" i="1"/>
  <c r="I953" i="1"/>
  <c r="W953" i="1"/>
  <c r="G953" i="1"/>
  <c r="V953" i="1"/>
  <c r="F953" i="1"/>
  <c r="O953" i="1"/>
  <c r="U953" i="1"/>
  <c r="Q953" i="1"/>
  <c r="E953" i="1"/>
  <c r="N953" i="1"/>
  <c r="M953" i="1"/>
  <c r="U954" i="1" l="1"/>
  <c r="M954" i="1"/>
  <c r="E954" i="1"/>
  <c r="T954" i="1"/>
  <c r="L954" i="1"/>
  <c r="D954" i="1"/>
  <c r="S954" i="1"/>
  <c r="K954" i="1"/>
  <c r="C954" i="1"/>
  <c r="Q954" i="1"/>
  <c r="I954" i="1"/>
  <c r="R954" i="1"/>
  <c r="B954" i="1"/>
  <c r="P954" i="1"/>
  <c r="O954" i="1"/>
  <c r="A955" i="1"/>
  <c r="H954" i="1"/>
  <c r="N954" i="1"/>
  <c r="J954" i="1"/>
  <c r="W954" i="1"/>
  <c r="V954" i="1"/>
  <c r="F954" i="1"/>
  <c r="G954" i="1"/>
  <c r="V955" i="1" l="1"/>
  <c r="N955" i="1"/>
  <c r="F955" i="1"/>
  <c r="U955" i="1"/>
  <c r="M955" i="1"/>
  <c r="E955" i="1"/>
  <c r="T955" i="1"/>
  <c r="L955" i="1"/>
  <c r="D955" i="1"/>
  <c r="R955" i="1"/>
  <c r="J955" i="1"/>
  <c r="B955" i="1"/>
  <c r="K955" i="1"/>
  <c r="I955" i="1"/>
  <c r="A956" i="1"/>
  <c r="H955" i="1"/>
  <c r="Q955" i="1"/>
  <c r="G955" i="1"/>
  <c r="C955" i="1"/>
  <c r="W955" i="1"/>
  <c r="S955" i="1"/>
  <c r="O955" i="1"/>
  <c r="P955" i="1"/>
  <c r="W956" i="1" l="1"/>
  <c r="O956" i="1"/>
  <c r="G956" i="1"/>
  <c r="V956" i="1"/>
  <c r="N956" i="1"/>
  <c r="F956" i="1"/>
  <c r="U956" i="1"/>
  <c r="M956" i="1"/>
  <c r="E956" i="1"/>
  <c r="S956" i="1"/>
  <c r="K956" i="1"/>
  <c r="C956" i="1"/>
  <c r="T956" i="1"/>
  <c r="D956" i="1"/>
  <c r="R956" i="1"/>
  <c r="B956" i="1"/>
  <c r="Q956" i="1"/>
  <c r="J956" i="1"/>
  <c r="P956" i="1"/>
  <c r="L956" i="1"/>
  <c r="A957" i="1"/>
  <c r="I956" i="1"/>
  <c r="H956" i="1"/>
  <c r="A958" i="1" l="1"/>
  <c r="P957" i="1"/>
  <c r="H957" i="1"/>
  <c r="W957" i="1"/>
  <c r="O957" i="1"/>
  <c r="G957" i="1"/>
  <c r="V957" i="1"/>
  <c r="N957" i="1"/>
  <c r="F957" i="1"/>
  <c r="T957" i="1"/>
  <c r="L957" i="1"/>
  <c r="D957" i="1"/>
  <c r="M957" i="1"/>
  <c r="K957" i="1"/>
  <c r="J957" i="1"/>
  <c r="S957" i="1"/>
  <c r="C957" i="1"/>
  <c r="U957" i="1"/>
  <c r="I957" i="1"/>
  <c r="E957" i="1"/>
  <c r="R957" i="1"/>
  <c r="Q957" i="1"/>
  <c r="B957" i="1"/>
  <c r="Q958" i="1" l="1"/>
  <c r="I958" i="1"/>
  <c r="A959" i="1"/>
  <c r="P958" i="1"/>
  <c r="H958" i="1"/>
  <c r="W958" i="1"/>
  <c r="O958" i="1"/>
  <c r="G958" i="1"/>
  <c r="U958" i="1"/>
  <c r="M958" i="1"/>
  <c r="E958" i="1"/>
  <c r="V958" i="1"/>
  <c r="F958" i="1"/>
  <c r="T958" i="1"/>
  <c r="D958" i="1"/>
  <c r="S958" i="1"/>
  <c r="C958" i="1"/>
  <c r="L958" i="1"/>
  <c r="B958" i="1"/>
  <c r="R958" i="1"/>
  <c r="N958" i="1"/>
  <c r="K958" i="1"/>
  <c r="J958" i="1"/>
  <c r="R959" i="1" l="1"/>
  <c r="J959" i="1"/>
  <c r="B959" i="1"/>
  <c r="Q959" i="1"/>
  <c r="I959" i="1"/>
  <c r="A960" i="1"/>
  <c r="P959" i="1"/>
  <c r="H959" i="1"/>
  <c r="V959" i="1"/>
  <c r="N959" i="1"/>
  <c r="F959" i="1"/>
  <c r="O959" i="1"/>
  <c r="M959" i="1"/>
  <c r="L959" i="1"/>
  <c r="U959" i="1"/>
  <c r="E959" i="1"/>
  <c r="K959" i="1"/>
  <c r="G959" i="1"/>
  <c r="W959" i="1"/>
  <c r="S959" i="1"/>
  <c r="D959" i="1"/>
  <c r="C959" i="1"/>
  <c r="T959" i="1"/>
  <c r="S960" i="1" l="1"/>
  <c r="K960" i="1"/>
  <c r="C960" i="1"/>
  <c r="R960" i="1"/>
  <c r="J960" i="1"/>
  <c r="B960" i="1"/>
  <c r="Q960" i="1"/>
  <c r="I960" i="1"/>
  <c r="W960" i="1"/>
  <c r="O960" i="1"/>
  <c r="G960" i="1"/>
  <c r="A961" i="1"/>
  <c r="H960" i="1"/>
  <c r="V960" i="1"/>
  <c r="F960" i="1"/>
  <c r="U960" i="1"/>
  <c r="E960" i="1"/>
  <c r="N960" i="1"/>
  <c r="T960" i="1"/>
  <c r="P960" i="1"/>
  <c r="D960" i="1"/>
  <c r="M960" i="1"/>
  <c r="L960" i="1"/>
  <c r="T961" i="1" l="1"/>
  <c r="L961" i="1"/>
  <c r="D961" i="1"/>
  <c r="S961" i="1"/>
  <c r="K961" i="1"/>
  <c r="C961" i="1"/>
  <c r="R961" i="1"/>
  <c r="J961" i="1"/>
  <c r="B961" i="1"/>
  <c r="A962" i="1"/>
  <c r="P961" i="1"/>
  <c r="H961" i="1"/>
  <c r="Q961" i="1"/>
  <c r="O961" i="1"/>
  <c r="N961" i="1"/>
  <c r="W961" i="1"/>
  <c r="G961" i="1"/>
  <c r="M961" i="1"/>
  <c r="I961" i="1"/>
  <c r="V961" i="1"/>
  <c r="U961" i="1"/>
  <c r="E961" i="1"/>
  <c r="F961" i="1"/>
  <c r="W962" i="1" l="1"/>
  <c r="U962" i="1"/>
  <c r="M962" i="1"/>
  <c r="E962" i="1"/>
  <c r="T962" i="1"/>
  <c r="L962" i="1"/>
  <c r="D962" i="1"/>
  <c r="S962" i="1"/>
  <c r="K962" i="1"/>
  <c r="C962" i="1"/>
  <c r="Q962" i="1"/>
  <c r="I962" i="1"/>
  <c r="J962" i="1"/>
  <c r="H962" i="1"/>
  <c r="A963" i="1"/>
  <c r="G962" i="1"/>
  <c r="P962" i="1"/>
  <c r="F962" i="1"/>
  <c r="B962" i="1"/>
  <c r="V962" i="1"/>
  <c r="R962" i="1"/>
  <c r="N962" i="1"/>
  <c r="O962" i="1"/>
  <c r="A964" i="1" l="1"/>
  <c r="P963" i="1"/>
  <c r="H963" i="1"/>
  <c r="Q963" i="1"/>
  <c r="G963" i="1"/>
  <c r="O963" i="1"/>
  <c r="F963" i="1"/>
  <c r="W963" i="1"/>
  <c r="N963" i="1"/>
  <c r="E963" i="1"/>
  <c r="U963" i="1"/>
  <c r="L963" i="1"/>
  <c r="C963" i="1"/>
  <c r="V963" i="1"/>
  <c r="D963" i="1"/>
  <c r="T963" i="1"/>
  <c r="B963" i="1"/>
  <c r="S963" i="1"/>
  <c r="K963" i="1"/>
  <c r="R963" i="1"/>
  <c r="M963" i="1"/>
  <c r="J963" i="1"/>
  <c r="I963" i="1"/>
  <c r="Q964" i="1" l="1"/>
  <c r="I964" i="1"/>
  <c r="U964" i="1"/>
  <c r="L964" i="1"/>
  <c r="C964" i="1"/>
  <c r="T964" i="1"/>
  <c r="K964" i="1"/>
  <c r="B964" i="1"/>
  <c r="S964" i="1"/>
  <c r="J964" i="1"/>
  <c r="P964" i="1"/>
  <c r="G964" i="1"/>
  <c r="R964" i="1"/>
  <c r="O964" i="1"/>
  <c r="N964" i="1"/>
  <c r="A965" i="1"/>
  <c r="F964" i="1"/>
  <c r="M964" i="1"/>
  <c r="H964" i="1"/>
  <c r="W964" i="1"/>
  <c r="V964" i="1"/>
  <c r="D964" i="1"/>
  <c r="E964" i="1"/>
  <c r="R965" i="1" l="1"/>
  <c r="J965" i="1"/>
  <c r="B965" i="1"/>
  <c r="P965" i="1"/>
  <c r="G965" i="1"/>
  <c r="A966" i="1"/>
  <c r="O965" i="1"/>
  <c r="F965" i="1"/>
  <c r="W965" i="1"/>
  <c r="N965" i="1"/>
  <c r="E965" i="1"/>
  <c r="U965" i="1"/>
  <c r="L965" i="1"/>
  <c r="C965" i="1"/>
  <c r="M965" i="1"/>
  <c r="K965" i="1"/>
  <c r="I965" i="1"/>
  <c r="T965" i="1"/>
  <c r="H965" i="1"/>
  <c r="D965" i="1"/>
  <c r="V965" i="1"/>
  <c r="Q965" i="1"/>
  <c r="S965" i="1"/>
  <c r="S966" i="1" l="1"/>
  <c r="K966" i="1"/>
  <c r="C966" i="1"/>
  <c r="U966" i="1"/>
  <c r="L966" i="1"/>
  <c r="B966" i="1"/>
  <c r="T966" i="1"/>
  <c r="J966" i="1"/>
  <c r="R966" i="1"/>
  <c r="I966" i="1"/>
  <c r="P966" i="1"/>
  <c r="G966" i="1"/>
  <c r="H966" i="1"/>
  <c r="A967" i="1"/>
  <c r="F966" i="1"/>
  <c r="W966" i="1"/>
  <c r="E966" i="1"/>
  <c r="O966" i="1"/>
  <c r="V966" i="1"/>
  <c r="Q966" i="1"/>
  <c r="D966" i="1"/>
  <c r="N966" i="1"/>
  <c r="M966" i="1"/>
  <c r="T967" i="1" l="1"/>
  <c r="L967" i="1"/>
  <c r="D967" i="1"/>
  <c r="P967" i="1"/>
  <c r="G967" i="1"/>
  <c r="A968" i="1"/>
  <c r="O967" i="1"/>
  <c r="F967" i="1"/>
  <c r="W967" i="1"/>
  <c r="N967" i="1"/>
  <c r="E967" i="1"/>
  <c r="U967" i="1"/>
  <c r="K967" i="1"/>
  <c r="B967" i="1"/>
  <c r="V967" i="1"/>
  <c r="C967" i="1"/>
  <c r="S967" i="1"/>
  <c r="R967" i="1"/>
  <c r="J967" i="1"/>
  <c r="Q967" i="1"/>
  <c r="M967" i="1"/>
  <c r="H967" i="1"/>
  <c r="I967" i="1"/>
  <c r="U968" i="1" l="1"/>
  <c r="M968" i="1"/>
  <c r="E968" i="1"/>
  <c r="T968" i="1"/>
  <c r="K968" i="1"/>
  <c r="B968" i="1"/>
  <c r="S968" i="1"/>
  <c r="J968" i="1"/>
  <c r="R968" i="1"/>
  <c r="I968" i="1"/>
  <c r="P968" i="1"/>
  <c r="G968" i="1"/>
  <c r="Q968" i="1"/>
  <c r="O968" i="1"/>
  <c r="N968" i="1"/>
  <c r="A969" i="1"/>
  <c r="F968" i="1"/>
  <c r="L968" i="1"/>
  <c r="H968" i="1"/>
  <c r="V968" i="1"/>
  <c r="D968" i="1"/>
  <c r="W968" i="1"/>
  <c r="C968" i="1"/>
  <c r="V969" i="1" l="1"/>
  <c r="N969" i="1"/>
  <c r="F969" i="1"/>
  <c r="R969" i="1"/>
  <c r="J969" i="1"/>
  <c r="Q969" i="1"/>
  <c r="G969" i="1"/>
  <c r="P969" i="1"/>
  <c r="E969" i="1"/>
  <c r="O969" i="1"/>
  <c r="D969" i="1"/>
  <c r="W969" i="1"/>
  <c r="L969" i="1"/>
  <c r="B969" i="1"/>
  <c r="M969" i="1"/>
  <c r="K969" i="1"/>
  <c r="I969" i="1"/>
  <c r="U969" i="1"/>
  <c r="A970" i="1"/>
  <c r="H969" i="1"/>
  <c r="C969" i="1"/>
  <c r="T969" i="1"/>
  <c r="S969" i="1"/>
  <c r="W970" i="1" l="1"/>
  <c r="O970" i="1"/>
  <c r="G970" i="1"/>
  <c r="V970" i="1"/>
  <c r="N970" i="1"/>
  <c r="S970" i="1"/>
  <c r="K970" i="1"/>
  <c r="C970" i="1"/>
  <c r="Q970" i="1"/>
  <c r="E970" i="1"/>
  <c r="P970" i="1"/>
  <c r="D970" i="1"/>
  <c r="M970" i="1"/>
  <c r="B970" i="1"/>
  <c r="A971" i="1"/>
  <c r="J970" i="1"/>
  <c r="L970" i="1"/>
  <c r="I970" i="1"/>
  <c r="H970" i="1"/>
  <c r="U970" i="1"/>
  <c r="F970" i="1"/>
  <c r="T970" i="1"/>
  <c r="R970" i="1"/>
  <c r="Q971" i="1" l="1"/>
  <c r="W971" i="1"/>
  <c r="O971" i="1"/>
  <c r="R971" i="1"/>
  <c r="H971" i="1"/>
  <c r="P971" i="1"/>
  <c r="G971" i="1"/>
  <c r="V971" i="1"/>
  <c r="L971" i="1"/>
  <c r="D971" i="1"/>
  <c r="U971" i="1"/>
  <c r="F971" i="1"/>
  <c r="T971" i="1"/>
  <c r="E971" i="1"/>
  <c r="S971" i="1"/>
  <c r="C971" i="1"/>
  <c r="M971" i="1"/>
  <c r="N971" i="1"/>
  <c r="K971" i="1"/>
  <c r="J971" i="1"/>
  <c r="I971" i="1"/>
  <c r="B971" i="1"/>
  <c r="A972" i="1"/>
  <c r="R972" i="1" l="1"/>
  <c r="J972" i="1"/>
  <c r="B972" i="1"/>
  <c r="A973" i="1"/>
  <c r="P972" i="1"/>
  <c r="H972" i="1"/>
  <c r="O972" i="1"/>
  <c r="E972" i="1"/>
  <c r="N972" i="1"/>
  <c r="D972" i="1"/>
  <c r="U972" i="1"/>
  <c r="K972" i="1"/>
  <c r="Q972" i="1"/>
  <c r="M972" i="1"/>
  <c r="L972" i="1"/>
  <c r="W972" i="1"/>
  <c r="G972" i="1"/>
  <c r="V972" i="1"/>
  <c r="T972" i="1"/>
  <c r="F972" i="1"/>
  <c r="S972" i="1"/>
  <c r="I972" i="1"/>
  <c r="C972" i="1"/>
  <c r="S973" i="1" l="1"/>
  <c r="K973" i="1"/>
  <c r="C973" i="1"/>
  <c r="Q973" i="1"/>
  <c r="I973" i="1"/>
  <c r="A974" i="1"/>
  <c r="N973" i="1"/>
  <c r="D973" i="1"/>
  <c r="W973" i="1"/>
  <c r="M973" i="1"/>
  <c r="B973" i="1"/>
  <c r="T973" i="1"/>
  <c r="H973" i="1"/>
  <c r="J973" i="1"/>
  <c r="G973" i="1"/>
  <c r="V973" i="1"/>
  <c r="F973" i="1"/>
  <c r="R973" i="1"/>
  <c r="E973" i="1"/>
  <c r="P973" i="1"/>
  <c r="U973" i="1"/>
  <c r="L973" i="1"/>
  <c r="O973" i="1"/>
  <c r="T974" i="1" l="1"/>
  <c r="L974" i="1"/>
  <c r="D974" i="1"/>
  <c r="R974" i="1"/>
  <c r="J974" i="1"/>
  <c r="B974" i="1"/>
  <c r="W974" i="1"/>
  <c r="M974" i="1"/>
  <c r="V974" i="1"/>
  <c r="K974" i="1"/>
  <c r="Q974" i="1"/>
  <c r="G974" i="1"/>
  <c r="U974" i="1"/>
  <c r="E974" i="1"/>
  <c r="S974" i="1"/>
  <c r="C974" i="1"/>
  <c r="P974" i="1"/>
  <c r="N974" i="1"/>
  <c r="O974" i="1"/>
  <c r="I974" i="1"/>
  <c r="H974" i="1"/>
  <c r="F974" i="1"/>
  <c r="A975" i="1"/>
  <c r="U975" i="1" l="1"/>
  <c r="M975" i="1"/>
  <c r="E975" i="1"/>
  <c r="S975" i="1"/>
  <c r="K975" i="1"/>
  <c r="C975" i="1"/>
  <c r="V975" i="1"/>
  <c r="J975" i="1"/>
  <c r="T975" i="1"/>
  <c r="I975" i="1"/>
  <c r="R975" i="1"/>
  <c r="H975" i="1"/>
  <c r="P975" i="1"/>
  <c r="F975" i="1"/>
  <c r="Q975" i="1"/>
  <c r="O975" i="1"/>
  <c r="N975" i="1"/>
  <c r="G975" i="1"/>
  <c r="A976" i="1"/>
  <c r="D975" i="1"/>
  <c r="W975" i="1"/>
  <c r="L975" i="1"/>
  <c r="B975" i="1"/>
  <c r="V976" i="1" l="1"/>
  <c r="N976" i="1"/>
  <c r="F976" i="1"/>
  <c r="T976" i="1"/>
  <c r="L976" i="1"/>
  <c r="D976" i="1"/>
  <c r="S976" i="1"/>
  <c r="I976" i="1"/>
  <c r="R976" i="1"/>
  <c r="H976" i="1"/>
  <c r="Q976" i="1"/>
  <c r="G976" i="1"/>
  <c r="O976" i="1"/>
  <c r="C976" i="1"/>
  <c r="P976" i="1"/>
  <c r="M976" i="1"/>
  <c r="K976" i="1"/>
  <c r="E976" i="1"/>
  <c r="J976" i="1"/>
  <c r="B976" i="1"/>
  <c r="A977" i="1"/>
  <c r="U976" i="1"/>
  <c r="W976" i="1"/>
  <c r="W977" i="1" l="1"/>
  <c r="O977" i="1"/>
  <c r="G977" i="1"/>
  <c r="U977" i="1"/>
  <c r="M977" i="1"/>
  <c r="E977" i="1"/>
  <c r="R977" i="1"/>
  <c r="H977" i="1"/>
  <c r="Q977" i="1"/>
  <c r="F977" i="1"/>
  <c r="P977" i="1"/>
  <c r="D977" i="1"/>
  <c r="A978" i="1"/>
  <c r="L977" i="1"/>
  <c r="B977" i="1"/>
  <c r="N977" i="1"/>
  <c r="K977" i="1"/>
  <c r="J977" i="1"/>
  <c r="C977" i="1"/>
  <c r="V977" i="1"/>
  <c r="T977" i="1"/>
  <c r="S977" i="1"/>
  <c r="I977" i="1"/>
  <c r="A979" i="1" l="1"/>
  <c r="P978" i="1"/>
  <c r="H978" i="1"/>
  <c r="V978" i="1"/>
  <c r="N978" i="1"/>
  <c r="F978" i="1"/>
  <c r="Q978" i="1"/>
  <c r="E978" i="1"/>
  <c r="O978" i="1"/>
  <c r="D978" i="1"/>
  <c r="M978" i="1"/>
  <c r="C978" i="1"/>
  <c r="U978" i="1"/>
  <c r="K978" i="1"/>
  <c r="L978" i="1"/>
  <c r="J978" i="1"/>
  <c r="I978" i="1"/>
  <c r="W978" i="1"/>
  <c r="B978" i="1"/>
  <c r="G978" i="1"/>
  <c r="T978" i="1"/>
  <c r="S978" i="1"/>
  <c r="R978" i="1"/>
  <c r="Q979" i="1" l="1"/>
  <c r="I979" i="1"/>
  <c r="W979" i="1"/>
  <c r="O979" i="1"/>
  <c r="G979" i="1"/>
  <c r="N979" i="1"/>
  <c r="D979" i="1"/>
  <c r="A980" i="1"/>
  <c r="M979" i="1"/>
  <c r="C979" i="1"/>
  <c r="V979" i="1"/>
  <c r="L979" i="1"/>
  <c r="B979" i="1"/>
  <c r="T979" i="1"/>
  <c r="J979" i="1"/>
  <c r="K979" i="1"/>
  <c r="H979" i="1"/>
  <c r="F979" i="1"/>
  <c r="U979" i="1"/>
  <c r="S979" i="1"/>
  <c r="R979" i="1"/>
  <c r="P979" i="1"/>
  <c r="E979" i="1"/>
  <c r="R980" i="1" l="1"/>
  <c r="J980" i="1"/>
  <c r="B980" i="1"/>
  <c r="A981" i="1"/>
  <c r="P980" i="1"/>
  <c r="H980" i="1"/>
  <c r="W980" i="1"/>
  <c r="M980" i="1"/>
  <c r="C980" i="1"/>
  <c r="V980" i="1"/>
  <c r="L980" i="1"/>
  <c r="U980" i="1"/>
  <c r="K980" i="1"/>
  <c r="S980" i="1"/>
  <c r="G980" i="1"/>
  <c r="I980" i="1"/>
  <c r="F980" i="1"/>
  <c r="E980" i="1"/>
  <c r="T980" i="1"/>
  <c r="D980" i="1"/>
  <c r="Q980" i="1"/>
  <c r="N980" i="1"/>
  <c r="O980" i="1"/>
  <c r="S981" i="1" l="1"/>
  <c r="K981" i="1"/>
  <c r="C981" i="1"/>
  <c r="Q981" i="1"/>
  <c r="I981" i="1"/>
  <c r="V981" i="1"/>
  <c r="L981" i="1"/>
  <c r="U981" i="1"/>
  <c r="J981" i="1"/>
  <c r="T981" i="1"/>
  <c r="H981" i="1"/>
  <c r="P981" i="1"/>
  <c r="F981" i="1"/>
  <c r="G981" i="1"/>
  <c r="E981" i="1"/>
  <c r="A982" i="1"/>
  <c r="D981" i="1"/>
  <c r="R981" i="1"/>
  <c r="W981" i="1"/>
  <c r="O981" i="1"/>
  <c r="N981" i="1"/>
  <c r="M981" i="1"/>
  <c r="B981" i="1"/>
  <c r="T982" i="1" l="1"/>
  <c r="L982" i="1"/>
  <c r="D982" i="1"/>
  <c r="R982" i="1"/>
  <c r="J982" i="1"/>
  <c r="B982" i="1"/>
  <c r="U982" i="1"/>
  <c r="I982" i="1"/>
  <c r="S982" i="1"/>
  <c r="H982" i="1"/>
  <c r="Q982" i="1"/>
  <c r="G982" i="1"/>
  <c r="O982" i="1"/>
  <c r="E982" i="1"/>
  <c r="F982" i="1"/>
  <c r="A983" i="1"/>
  <c r="C982" i="1"/>
  <c r="W982" i="1"/>
  <c r="P982" i="1"/>
  <c r="N982" i="1"/>
  <c r="V982" i="1"/>
  <c r="M982" i="1"/>
  <c r="K982" i="1"/>
  <c r="U983" i="1" l="1"/>
  <c r="M983" i="1"/>
  <c r="E983" i="1"/>
  <c r="S983" i="1"/>
  <c r="K983" i="1"/>
  <c r="C983" i="1"/>
  <c r="R983" i="1"/>
  <c r="H983" i="1"/>
  <c r="Q983" i="1"/>
  <c r="G983" i="1"/>
  <c r="P983" i="1"/>
  <c r="F983" i="1"/>
  <c r="A984" i="1"/>
  <c r="N983" i="1"/>
  <c r="B983" i="1"/>
  <c r="D983" i="1"/>
  <c r="W983" i="1"/>
  <c r="V983" i="1"/>
  <c r="O983" i="1"/>
  <c r="T983" i="1"/>
  <c r="L983" i="1"/>
  <c r="J983" i="1"/>
  <c r="I983" i="1"/>
  <c r="V984" i="1" l="1"/>
  <c r="N984" i="1"/>
  <c r="F984" i="1"/>
  <c r="T984" i="1"/>
  <c r="L984" i="1"/>
  <c r="D984" i="1"/>
  <c r="Q984" i="1"/>
  <c r="G984" i="1"/>
  <c r="P984" i="1"/>
  <c r="E984" i="1"/>
  <c r="O984" i="1"/>
  <c r="C984" i="1"/>
  <c r="W984" i="1"/>
  <c r="K984" i="1"/>
  <c r="A985" i="1"/>
  <c r="B984" i="1"/>
  <c r="U984" i="1"/>
  <c r="S984" i="1"/>
  <c r="M984" i="1"/>
  <c r="J984" i="1"/>
  <c r="R984" i="1"/>
  <c r="H984" i="1"/>
  <c r="I984" i="1"/>
  <c r="W985" i="1" l="1"/>
  <c r="O985" i="1"/>
  <c r="G985" i="1"/>
  <c r="U985" i="1"/>
  <c r="M985" i="1"/>
  <c r="E985" i="1"/>
  <c r="P985" i="1"/>
  <c r="D985" i="1"/>
  <c r="N985" i="1"/>
  <c r="C985" i="1"/>
  <c r="A986" i="1"/>
  <c r="L985" i="1"/>
  <c r="B985" i="1"/>
  <c r="T985" i="1"/>
  <c r="J985" i="1"/>
  <c r="V985" i="1"/>
  <c r="S985" i="1"/>
  <c r="R985" i="1"/>
  <c r="K985" i="1"/>
  <c r="Q985" i="1"/>
  <c r="I985" i="1"/>
  <c r="H985" i="1"/>
  <c r="F985" i="1"/>
  <c r="A987" i="1" l="1"/>
  <c r="P986" i="1"/>
  <c r="H986" i="1"/>
  <c r="V986" i="1"/>
  <c r="N986" i="1"/>
  <c r="F986" i="1"/>
  <c r="M986" i="1"/>
  <c r="C986" i="1"/>
  <c r="W986" i="1"/>
  <c r="L986" i="1"/>
  <c r="B986" i="1"/>
  <c r="U986" i="1"/>
  <c r="K986" i="1"/>
  <c r="S986" i="1"/>
  <c r="I986" i="1"/>
  <c r="T986" i="1"/>
  <c r="R986" i="1"/>
  <c r="Q986" i="1"/>
  <c r="J986" i="1"/>
  <c r="G986" i="1"/>
  <c r="O986" i="1"/>
  <c r="E986" i="1"/>
  <c r="D986" i="1"/>
  <c r="Q987" i="1" l="1"/>
  <c r="I987" i="1"/>
  <c r="W987" i="1"/>
  <c r="O987" i="1"/>
  <c r="G987" i="1"/>
  <c r="V987" i="1"/>
  <c r="L987" i="1"/>
  <c r="B987" i="1"/>
  <c r="U987" i="1"/>
  <c r="K987" i="1"/>
  <c r="T987" i="1"/>
  <c r="J987" i="1"/>
  <c r="R987" i="1"/>
  <c r="F987" i="1"/>
  <c r="S987" i="1"/>
  <c r="P987" i="1"/>
  <c r="N987" i="1"/>
  <c r="H987" i="1"/>
  <c r="M987" i="1"/>
  <c r="E987" i="1"/>
  <c r="D987" i="1"/>
  <c r="C987" i="1"/>
  <c r="A988" i="1"/>
  <c r="R988" i="1" l="1"/>
  <c r="J988" i="1"/>
  <c r="B988" i="1"/>
  <c r="A989" i="1"/>
  <c r="P988" i="1"/>
  <c r="H988" i="1"/>
  <c r="U988" i="1"/>
  <c r="K988" i="1"/>
  <c r="T988" i="1"/>
  <c r="I988" i="1"/>
  <c r="S988" i="1"/>
  <c r="G988" i="1"/>
  <c r="O988" i="1"/>
  <c r="E988" i="1"/>
  <c r="Q988" i="1"/>
  <c r="N988" i="1"/>
  <c r="M988" i="1"/>
  <c r="F988" i="1"/>
  <c r="W988" i="1"/>
  <c r="D988" i="1"/>
  <c r="V988" i="1"/>
  <c r="L988" i="1"/>
  <c r="C988" i="1"/>
  <c r="S989" i="1" l="1"/>
  <c r="K989" i="1"/>
  <c r="C989" i="1"/>
  <c r="Q989" i="1"/>
  <c r="I989" i="1"/>
  <c r="A990" i="1"/>
  <c r="T989" i="1"/>
  <c r="H989" i="1"/>
  <c r="R989" i="1"/>
  <c r="G989" i="1"/>
  <c r="P989" i="1"/>
  <c r="F989" i="1"/>
  <c r="N989" i="1"/>
  <c r="D989" i="1"/>
  <c r="O989" i="1"/>
  <c r="M989" i="1"/>
  <c r="L989" i="1"/>
  <c r="E989" i="1"/>
  <c r="J989" i="1"/>
  <c r="B989" i="1"/>
  <c r="W989" i="1"/>
  <c r="V989" i="1"/>
  <c r="U989" i="1"/>
  <c r="T990" i="1" l="1"/>
  <c r="L990" i="1"/>
  <c r="D990" i="1"/>
  <c r="R990" i="1"/>
  <c r="J990" i="1"/>
  <c r="B990" i="1"/>
  <c r="Q990" i="1"/>
  <c r="I990" i="1"/>
  <c r="V990" i="1"/>
  <c r="H990" i="1"/>
  <c r="U990" i="1"/>
  <c r="G990" i="1"/>
  <c r="S990" i="1"/>
  <c r="F990" i="1"/>
  <c r="O990" i="1"/>
  <c r="C990" i="1"/>
  <c r="P990" i="1"/>
  <c r="N990" i="1"/>
  <c r="M990" i="1"/>
  <c r="E990" i="1"/>
  <c r="A991" i="1"/>
  <c r="W990" i="1"/>
  <c r="K990" i="1"/>
  <c r="U991" i="1" l="1"/>
  <c r="M991" i="1"/>
  <c r="E991" i="1"/>
  <c r="S991" i="1"/>
  <c r="K991" i="1"/>
  <c r="C991" i="1"/>
  <c r="R991" i="1"/>
  <c r="J991" i="1"/>
  <c r="B991" i="1"/>
  <c r="A992" i="1"/>
  <c r="L991" i="1"/>
  <c r="W991" i="1"/>
  <c r="I991" i="1"/>
  <c r="V991" i="1"/>
  <c r="H991" i="1"/>
  <c r="Q991" i="1"/>
  <c r="F991" i="1"/>
  <c r="T991" i="1"/>
  <c r="P991" i="1"/>
  <c r="O991" i="1"/>
  <c r="G991" i="1"/>
  <c r="N991" i="1"/>
  <c r="D991" i="1"/>
  <c r="V992" i="1" l="1"/>
  <c r="N992" i="1"/>
  <c r="F992" i="1"/>
  <c r="T992" i="1"/>
  <c r="L992" i="1"/>
  <c r="D992" i="1"/>
  <c r="S992" i="1"/>
  <c r="K992" i="1"/>
  <c r="C992" i="1"/>
  <c r="O992" i="1"/>
  <c r="M992" i="1"/>
  <c r="A993" i="1"/>
  <c r="J992" i="1"/>
  <c r="U992" i="1"/>
  <c r="H992" i="1"/>
  <c r="W992" i="1"/>
  <c r="R992" i="1"/>
  <c r="Q992" i="1"/>
  <c r="I992" i="1"/>
  <c r="G992" i="1"/>
  <c r="P992" i="1"/>
  <c r="B992" i="1"/>
  <c r="E992" i="1"/>
  <c r="W993" i="1" l="1"/>
  <c r="O993" i="1"/>
  <c r="G993" i="1"/>
  <c r="U993" i="1"/>
  <c r="M993" i="1"/>
  <c r="E993" i="1"/>
  <c r="T993" i="1"/>
  <c r="L993" i="1"/>
  <c r="D993" i="1"/>
  <c r="Q993" i="1"/>
  <c r="C993" i="1"/>
  <c r="P993" i="1"/>
  <c r="B993" i="1"/>
  <c r="N993" i="1"/>
  <c r="A994" i="1"/>
  <c r="J993" i="1"/>
  <c r="V993" i="1"/>
  <c r="S993" i="1"/>
  <c r="K993" i="1"/>
  <c r="R993" i="1"/>
  <c r="I993" i="1"/>
  <c r="H993" i="1"/>
  <c r="F993" i="1"/>
  <c r="A995" i="1" l="1"/>
  <c r="P994" i="1"/>
  <c r="H994" i="1"/>
  <c r="V994" i="1"/>
  <c r="N994" i="1"/>
  <c r="F994" i="1"/>
  <c r="U994" i="1"/>
  <c r="M994" i="1"/>
  <c r="E994" i="1"/>
  <c r="S994" i="1"/>
  <c r="G994" i="1"/>
  <c r="R994" i="1"/>
  <c r="D994" i="1"/>
  <c r="Q994" i="1"/>
  <c r="C994" i="1"/>
  <c r="L994" i="1"/>
  <c r="B994" i="1"/>
  <c r="W994" i="1"/>
  <c r="O994" i="1"/>
  <c r="K994" i="1"/>
  <c r="T994" i="1"/>
  <c r="J994" i="1"/>
  <c r="I994" i="1"/>
  <c r="Q995" i="1" l="1"/>
  <c r="I995" i="1"/>
  <c r="W995" i="1"/>
  <c r="O995" i="1"/>
  <c r="G995" i="1"/>
  <c r="V995" i="1"/>
  <c r="N995" i="1"/>
  <c r="F995" i="1"/>
  <c r="U995" i="1"/>
  <c r="J995" i="1"/>
  <c r="T995" i="1"/>
  <c r="H995" i="1"/>
  <c r="S995" i="1"/>
  <c r="E995" i="1"/>
  <c r="P995" i="1"/>
  <c r="C995" i="1"/>
  <c r="D995" i="1"/>
  <c r="B995" i="1"/>
  <c r="R995" i="1"/>
  <c r="A996" i="1"/>
  <c r="M995" i="1"/>
  <c r="L995" i="1"/>
  <c r="K995" i="1"/>
  <c r="R996" i="1" l="1"/>
  <c r="J996" i="1"/>
  <c r="B996" i="1"/>
  <c r="A997" i="1"/>
  <c r="P996" i="1"/>
  <c r="H996" i="1"/>
  <c r="W996" i="1"/>
  <c r="O996" i="1"/>
  <c r="G996" i="1"/>
  <c r="L996" i="1"/>
  <c r="V996" i="1"/>
  <c r="K996" i="1"/>
  <c r="U996" i="1"/>
  <c r="I996" i="1"/>
  <c r="S996" i="1"/>
  <c r="E996" i="1"/>
  <c r="F996" i="1"/>
  <c r="D996" i="1"/>
  <c r="C996" i="1"/>
  <c r="T996" i="1"/>
  <c r="Q996" i="1"/>
  <c r="M996" i="1"/>
  <c r="N996" i="1"/>
  <c r="S997" i="1" l="1"/>
  <c r="K997" i="1"/>
  <c r="C997" i="1"/>
  <c r="Q997" i="1"/>
  <c r="I997" i="1"/>
  <c r="A998" i="1"/>
  <c r="P997" i="1"/>
  <c r="H997" i="1"/>
  <c r="N997" i="1"/>
  <c r="B997" i="1"/>
  <c r="M997" i="1"/>
  <c r="W997" i="1"/>
  <c r="L997" i="1"/>
  <c r="U997" i="1"/>
  <c r="G997" i="1"/>
  <c r="J997" i="1"/>
  <c r="F997" i="1"/>
  <c r="E997" i="1"/>
  <c r="V997" i="1"/>
  <c r="T997" i="1"/>
  <c r="R997" i="1"/>
  <c r="O997" i="1"/>
  <c r="D997" i="1"/>
  <c r="T998" i="1" l="1"/>
  <c r="L998" i="1"/>
  <c r="D998" i="1"/>
  <c r="R998" i="1"/>
  <c r="J998" i="1"/>
  <c r="B998" i="1"/>
  <c r="Q998" i="1"/>
  <c r="I998" i="1"/>
  <c r="P998" i="1"/>
  <c r="E998" i="1"/>
  <c r="O998" i="1"/>
  <c r="C998" i="1"/>
  <c r="N998" i="1"/>
  <c r="W998" i="1"/>
  <c r="K998" i="1"/>
  <c r="M998" i="1"/>
  <c r="H998" i="1"/>
  <c r="G998" i="1"/>
  <c r="A999" i="1"/>
  <c r="F998" i="1"/>
  <c r="V998" i="1"/>
  <c r="U998" i="1"/>
  <c r="S998" i="1"/>
  <c r="U999" i="1" l="1"/>
  <c r="M999" i="1"/>
  <c r="E999" i="1"/>
  <c r="S999" i="1"/>
  <c r="K999" i="1"/>
  <c r="C999" i="1"/>
  <c r="R999" i="1"/>
  <c r="J999" i="1"/>
  <c r="B999" i="1"/>
  <c r="T999" i="1"/>
  <c r="G999" i="1"/>
  <c r="Q999" i="1"/>
  <c r="F999" i="1"/>
  <c r="P999" i="1"/>
  <c r="D999" i="1"/>
  <c r="N999" i="1"/>
  <c r="O999" i="1"/>
  <c r="L999" i="1"/>
  <c r="I999" i="1"/>
  <c r="A1000" i="1"/>
  <c r="W999" i="1"/>
  <c r="V999" i="1"/>
  <c r="H999" i="1"/>
  <c r="V1000" i="1" l="1"/>
  <c r="N1000" i="1"/>
  <c r="F1000" i="1"/>
  <c r="T1000" i="1"/>
  <c r="L1000" i="1"/>
  <c r="D1000" i="1"/>
  <c r="S1000" i="1"/>
  <c r="K1000" i="1"/>
  <c r="C1000" i="1"/>
  <c r="W1000" i="1"/>
  <c r="I1000" i="1"/>
  <c r="U1000" i="1"/>
  <c r="H1000" i="1"/>
  <c r="R1000" i="1"/>
  <c r="G1000" i="1"/>
  <c r="P1000" i="1"/>
  <c r="B1000" i="1"/>
  <c r="Q1000" i="1"/>
  <c r="O1000" i="1"/>
  <c r="M1000" i="1"/>
  <c r="E1000" i="1"/>
  <c r="J1000" i="1"/>
</calcChain>
</file>

<file path=xl/sharedStrings.xml><?xml version="1.0" encoding="utf-8"?>
<sst xmlns="http://schemas.openxmlformats.org/spreadsheetml/2006/main" count="139" uniqueCount="64">
  <si>
    <t>Dates</t>
  </si>
  <si>
    <t>y</t>
  </si>
  <si>
    <t>PX_OPEN</t>
  </si>
  <si>
    <t>PX_HIGH</t>
  </si>
  <si>
    <t>PX_LOW</t>
  </si>
  <si>
    <t>PX_VOLUME</t>
  </si>
  <si>
    <t>MOV_AVG_5D</t>
  </si>
  <si>
    <t>MOV_AVG_30D</t>
  </si>
  <si>
    <t>CHG_PCT_1D</t>
  </si>
  <si>
    <t>CHG_PCT_5D</t>
  </si>
  <si>
    <t>RSI_9D</t>
  </si>
  <si>
    <t>RSI_14D</t>
  </si>
  <si>
    <t>VOLUME_TOTAL_CALL</t>
  </si>
  <si>
    <t>VOLUME_TOTAL_PUT</t>
  </si>
  <si>
    <t>PX_LAST</t>
  </si>
  <si>
    <t>VOLATILITY_10D</t>
  </si>
  <si>
    <t>VOLATILITY_30D</t>
  </si>
  <si>
    <t>30DAY_IMPVOL_105.0%MNY_DF</t>
  </si>
  <si>
    <t>30DAY_IMPVOL_100.0%MNY_DF</t>
  </si>
  <si>
    <t>30DAY_IMPVOL_95.0%MNY_DF</t>
  </si>
  <si>
    <t>30DAY_IMPVOL_110.0%MNY_DF</t>
  </si>
  <si>
    <t>30DAY_IMPVOL_90.0%MNY_DF</t>
  </si>
  <si>
    <t>Today</t>
  </si>
  <si>
    <t>Yesterday</t>
  </si>
  <si>
    <t>2bb -Today</t>
  </si>
  <si>
    <t>US Holiday calendar</t>
  </si>
  <si>
    <t>Date</t>
  </si>
  <si>
    <t>Holiday Name</t>
  </si>
  <si>
    <t>Settlement Info.</t>
  </si>
  <si>
    <t>Trading Info.</t>
  </si>
  <si>
    <t>Comment</t>
  </si>
  <si>
    <t>New Year's Day</t>
  </si>
  <si>
    <t>No Settlement</t>
  </si>
  <si>
    <t>Martin L. King Day</t>
  </si>
  <si>
    <t>Daylight Saving Begins</t>
  </si>
  <si>
    <t>Weekend</t>
  </si>
  <si>
    <t>Good Friday (not Fed Hol)</t>
  </si>
  <si>
    <t>Memorial Day</t>
  </si>
  <si>
    <t>Independence Dy(not Fedhol</t>
  </si>
  <si>
    <t>Independence Day</t>
  </si>
  <si>
    <t>Labor Day</t>
  </si>
  <si>
    <t>Columbus Day (exch Open)</t>
  </si>
  <si>
    <t>Daylight Saving Ends</t>
  </si>
  <si>
    <t>Veterans' Day (exch Open)</t>
  </si>
  <si>
    <t>Thanksgiving</t>
  </si>
  <si>
    <t>Christmas Day</t>
  </si>
  <si>
    <t>Presidents' Day</t>
  </si>
  <si>
    <t>Christmas Day (obs)</t>
  </si>
  <si>
    <t>New Years Day (obs)</t>
  </si>
  <si>
    <t>Veterans' Day</t>
  </si>
  <si>
    <t>Dates Frame</t>
  </si>
  <si>
    <t>Start Date</t>
  </si>
  <si>
    <t>End Date</t>
  </si>
  <si>
    <t>Data</t>
  </si>
  <si>
    <t>1st Nearby</t>
  </si>
  <si>
    <t>2nd Neaby</t>
  </si>
  <si>
    <t>CL</t>
  </si>
  <si>
    <t>#</t>
  </si>
  <si>
    <t>RSI_30D</t>
  </si>
  <si>
    <t>Index</t>
  </si>
  <si>
    <t>SPGSCLP Index</t>
  </si>
  <si>
    <t>No vol quotes</t>
  </si>
  <si>
    <t>CSV Export Tab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</si>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</sst>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DFFE6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/>
    <xf numFmtId="0" fontId="1" fillId="2" borderId="0" xfId="0" applyFont="1" applyFill="1"/>
    <xf numFmtId="14" fontId="1" fillId="2" borderId="0" xfId="0" applyNumberFormat="1" applyFont="1" applyFill="1"/>
    <xf numFmtId="0" fontId="2" fillId="3" borderId="0" xfId="0" applyFont="1" applyFill="1"/>
    <xf numFmtId="0" fontId="3" fillId="3" borderId="0" xfId="0" applyFont="1" applyFill="1"/>
    <xf numFmtId="0" fontId="1" fillId="2" borderId="0" xfId="0" applyFont="1" applyFill="1"/>
    <xf numFmtId="14" fontId="1" fillId="2" borderId="0" xfId="0" applyNumberFormat="1" applyFont="1" applyFill="1"/>
    <xf numFmtId="0" fontId="2" fillId="3" borderId="0" xfId="0" applyFont="1" applyFill="1"/>
    <xf numFmtId="0" fontId="3" fillId="3" borderId="0" xfId="0" applyFont="1" applyFill="1"/>
    <xf numFmtId="0" fontId="1" fillId="4" borderId="0" xfId="0" applyFont="1" applyFill="1"/>
    <xf numFmtId="0" fontId="1" fillId="5" borderId="0" xfId="0" applyFont="1" applyFill="1"/>
    <xf numFmtId="14" fontId="1" fillId="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DFFE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55.2</v>
        <stp/>
        <stp>##V3_BDHV12</stp>
        <stp>CL2 Comdty</stp>
        <stp>PX_HIGH</stp>
        <stp>06/01/2017</stp>
        <stp>06/01/2017</stp>
        <stp>[Bbg_Market_Data_CL.xlsm]data!R66C6</stp>
        <tr r="F66" s="1"/>
      </tp>
      <tp t="s">
        <v>#N/A Requesting Data...</v>
        <stp/>
        <stp>##V3_BDHV12</stp>
        <stp>CL1 Comdty</stp>
        <stp>PX_HIGH</stp>
        <stp>06/02/2017</stp>
        <stp>06/02/2017</stp>
        <stp>[Bbg_Market_Data_CL.xlsm]data!R46C6</stp>
        <tr r="F46" s="1"/>
      </tp>
      <tp t="s">
        <v>#N/A Requesting Data...</v>
        <stp/>
        <stp>##V3_BDHV12</stp>
        <stp>CL1 Comdty</stp>
        <stp>PX_HIGH</stp>
        <stp>21/11/2016</stp>
        <stp>21/11/2016</stp>
        <stp>[Bbg_Market_Data_CL.xlsm]data!R97C6</stp>
        <tr r="F97" s="1"/>
      </tp>
      <tp>
        <v>53.77</v>
        <stp/>
        <stp>##V3_BDHV12</stp>
        <stp>CL2 Comdty</stp>
        <stp>PX_HIGH</stp>
        <stp>20/12/2016</stp>
        <stp>20/12/2016</stp>
        <stp>[Bbg_Market_Data_CL.xlsm]data!R77C6</stp>
        <tr r="F77" s="1"/>
      </tp>
      <tp>
        <v>49.48</v>
        <stp/>
        <stp>##V3_BDHV12</stp>
        <stp>CL2 Comdty</stp>
        <stp>PX_HIGH</stp>
        <stp>21/03/2017</stp>
        <stp>21/03/2017</stp>
        <stp>[Bbg_Market_Data_CL.xlsm]data!R16C6</stp>
        <tr r="F16" s="1"/>
      </tp>
      <tp t="s">
        <v>#N/A Requesting Data...</v>
        <stp/>
        <stp>##V3_BDHV12</stp>
        <stp>CL1 Comdty</stp>
        <stp>PX_HIGH</stp>
        <stp>06/12/2016</stp>
        <stp>06/12/2016</stp>
        <stp>[Bbg_Market_Data_CL.xlsm]data!R87C6</stp>
        <tr r="F87" s="1"/>
      </tp>
      <tp t="s">
        <v>#N/A Requesting Data...</v>
        <stp/>
        <stp>##V3_BDHV12</stp>
        <stp>CL1 Comdty</stp>
        <stp>PX_HIGH</stp>
        <stp>07/03/2017</stp>
        <stp>07/03/2017</stp>
        <stp>[Bbg_Market_Data_CL.xlsm]data!R26C6</stp>
        <tr r="F26" s="1"/>
      </tp>
      <tp>
        <v>55.03</v>
        <stp/>
        <stp>##V3_BDHV12</stp>
        <stp>CL2 Comdty</stp>
        <stp>PX_HIGH</stp>
        <stp>21/02/2017</stp>
        <stp>21/02/2017</stp>
        <stp>[Bbg_Market_Data_CL.xlsm]data!R36C6</stp>
        <tr r="F36" s="1"/>
      </tp>
      <tp t="s">
        <v>#N/A Requesting Data...</v>
        <stp/>
        <stp>##V3_BDHV12</stp>
        <stp>CL1 Comdty</stp>
        <stp>PX_HIGH</stp>
        <stp>23/01/2017</stp>
        <stp>23/01/2017</stp>
        <stp>[Bbg_Market_Data_CL.xlsm]data!R56C6</stp>
        <tr r="F56" s="1"/>
      </tp>
      <tp>
        <v>52.68</v>
        <stp/>
        <stp>##V3_BDHV12</stp>
        <stp>CL2 Comdty</stp>
        <stp>PX_HIGH</stp>
        <stp>06/12/2016</stp>
        <stp>06/12/2016</stp>
        <stp>[Bbg_Market_Data_CL.xlsm]data!R87C6</stp>
        <tr r="F87" s="1"/>
      </tp>
      <tp>
        <v>54.29</v>
        <stp/>
        <stp>##V3_BDHV12</stp>
        <stp>CL2 Comdty</stp>
        <stp>PX_HIGH</stp>
        <stp>07/03/2017</stp>
        <stp>07/03/2017</stp>
        <stp>[Bbg_Market_Data_CL.xlsm]data!R26C6</stp>
        <tr r="F26" s="1"/>
      </tp>
      <tp t="s">
        <v>#N/A Requesting Data...</v>
        <stp/>
        <stp>##V3_BDHV12</stp>
        <stp>CL1 Comdty</stp>
        <stp>PX_HIGH</stp>
        <stp>21/02/2017</stp>
        <stp>21/02/2017</stp>
        <stp>[Bbg_Market_Data_CL.xlsm]data!R36C6</stp>
        <tr r="F36" s="1"/>
      </tp>
      <tp>
        <v>54.17</v>
        <stp/>
        <stp>##V3_BDHV12</stp>
        <stp>CL2 Comdty</stp>
        <stp>PX_HIGH</stp>
        <stp>23/01/2017</stp>
        <stp>23/01/2017</stp>
        <stp>[Bbg_Market_Data_CL.xlsm]data!R56C6</stp>
        <tr r="F56" s="1"/>
      </tp>
      <tp t="s">
        <v>#N/A Requesting Data...</v>
        <stp/>
        <stp>##V3_BDHV12</stp>
        <stp>CL1 Comdty</stp>
        <stp>PX_HIGH</stp>
        <stp>06/01/2017</stp>
        <stp>06/01/2017</stp>
        <stp>[Bbg_Market_Data_CL.xlsm]data!R66C6</stp>
        <tr r="F66" s="1"/>
      </tp>
      <tp>
        <v>54.77</v>
        <stp/>
        <stp>##V3_BDHV12</stp>
        <stp>CL2 Comdty</stp>
        <stp>PX_HIGH</stp>
        <stp>06/02/2017</stp>
        <stp>06/02/2017</stp>
        <stp>[Bbg_Market_Data_CL.xlsm]data!R46C6</stp>
        <tr r="F46" s="1"/>
      </tp>
      <tp>
        <v>48.51</v>
        <stp/>
        <stp>##V3_BDHV12</stp>
        <stp>CL2 Comdty</stp>
        <stp>PX_HIGH</stp>
        <stp>21/11/2016</stp>
        <stp>21/11/2016</stp>
        <stp>[Bbg_Market_Data_CL.xlsm]data!R97C6</stp>
        <tr r="F97" s="1"/>
      </tp>
      <tp t="s">
        <v>#N/A Requesting Data...</v>
        <stp/>
        <stp>##V3_BDHV12</stp>
        <stp>CL1 Comdty</stp>
        <stp>PX_HIGH</stp>
        <stp>20/12/2016</stp>
        <stp>20/12/2016</stp>
        <stp>[Bbg_Market_Data_CL.xlsm]data!R77C6</stp>
        <tr r="F77" s="1"/>
      </tp>
      <tp t="s">
        <v>#N/A Requesting Data...</v>
        <stp/>
        <stp>##V3_BDHV12</stp>
        <stp>CL1 Comdty</stp>
        <stp>PX_HIGH</stp>
        <stp>21/03/2017</stp>
        <stp>21/03/2017</stp>
        <stp>[Bbg_Market_Data_CL.xlsm]data!R16C6</stp>
        <tr r="F16" s="1"/>
      </tp>
      <tp>
        <v>49.22</v>
        <stp/>
        <stp>##V3_BDHV12</stp>
        <stp>CL2 Comdty</stp>
        <stp>PX_OPEN</stp>
        <stp>15/03/2017</stp>
        <stp>15/03/2017</stp>
        <stp>[Bbg_Market_Data_CL.xlsm]data!R20C5</stp>
        <tr r="E20" s="1"/>
      </tp>
      <tp>
        <v>53.42</v>
        <stp/>
        <stp>##V3_BDHV12</stp>
        <stp>CL2 Comdty</stp>
        <stp>PX_OPEN</stp>
        <stp>14/12/2016</stp>
        <stp>14/12/2016</stp>
        <stp>[Bbg_Market_Data_CL.xlsm]data!R81C5</stp>
        <tr r="E81" s="1"/>
      </tp>
      <tp>
        <v>53.23</v>
        <stp/>
        <stp>##V3_BDHV12</stp>
        <stp>CL2 Comdty</stp>
        <stp>PX_OPEN</stp>
        <stp>31/01/2017</stp>
        <stp>31/01/2017</stp>
        <stp>[Bbg_Market_Data_CL.xlsm]data!R50C5</stp>
        <tr r="E50" s="1"/>
      </tp>
      <tp t="s">
        <v>#N/A Requesting Data...</v>
        <stp/>
        <stp>##V3_BDHV12</stp>
        <stp>CL1 Comdty</stp>
        <stp>PX_OPEN</stp>
        <stp>29/12/2016</stp>
        <stp>29/12/2016</stp>
        <stp>[Bbg_Market_Data_CL.xlsm]data!R71C5</stp>
        <tr r="E71" s="1"/>
      </tp>
      <tp t="s">
        <v>#N/A Requesting Data...</v>
        <stp/>
        <stp>##V3_BDHV12</stp>
        <stp>CL1 Comdty</stp>
        <stp>PX_OPEN</stp>
        <stp>29/03/2017</stp>
        <stp>29/03/2017</stp>
        <stp>[Bbg_Market_Data_CL.xlsm]data!R10C5</stp>
        <tr r="E10" s="1"/>
      </tp>
      <tp t="s">
        <v>#N/A Requesting Data...</v>
        <stp/>
        <stp>##V3_BDHV12</stp>
        <stp>CL1 Comdty</stp>
        <stp>PX_OPEN</stp>
        <stp>17/01/2017</stp>
        <stp>17/01/2017</stp>
        <stp>[Bbg_Market_Data_CL.xlsm]data!R60C5</stp>
        <tr r="E60" s="1"/>
      </tp>
      <tp>
        <v>53.42</v>
        <stp/>
        <stp>##V3_BDHV12</stp>
        <stp>CL2 Comdty</stp>
        <stp>PX_OPEN</stp>
        <stp>14/02/2017</stp>
        <stp>14/02/2017</stp>
        <stp>[Bbg_Market_Data_CL.xlsm]data!R40C5</stp>
        <tr r="E40" s="1"/>
      </tp>
      <tp>
        <v>46.22</v>
        <stp/>
        <stp>##V3_BDHV12</stp>
        <stp>CL2 Comdty</stp>
        <stp>PX_OPEN</stp>
        <stp>30/11/2016</stp>
        <stp>30/11/2016</stp>
        <stp>[Bbg_Market_Data_CL.xlsm]data!R91C5</stp>
        <tr r="E91" s="1"/>
      </tp>
      <tp>
        <v>54.41</v>
        <stp/>
        <stp>##V3_BDHV12</stp>
        <stp>CL2 Comdty</stp>
        <stp>PX_OPEN</stp>
        <stp>01/03/2017</stp>
        <stp>01/03/2017</stp>
        <stp>[Bbg_Market_Data_CL.xlsm]data!R30C5</stp>
        <tr r="E30" s="1"/>
      </tp>
      <tp>
        <v>53.31</v>
        <stp/>
        <stp>##V3_BDHV12</stp>
        <stp>CL2 Comdty</stp>
        <stp>PX_OPEN</stp>
        <stp>17/01/2017</stp>
        <stp>17/01/2017</stp>
        <stp>[Bbg_Market_Data_CL.xlsm]data!R60C5</stp>
        <tr r="E60" s="1"/>
      </tp>
      <tp t="s">
        <v>#N/A Requesting Data...</v>
        <stp/>
        <stp>##V3_BDHV12</stp>
        <stp>CL1 Comdty</stp>
        <stp>PX_OPEN</stp>
        <stp>14/02/2017</stp>
        <stp>14/02/2017</stp>
        <stp>[Bbg_Market_Data_CL.xlsm]data!R40C5</stp>
        <tr r="E40" s="1"/>
      </tp>
      <tp t="s">
        <v>#N/A Requesting Data...</v>
        <stp/>
        <stp>##V3_BDHV12</stp>
        <stp>CL1 Comdty</stp>
        <stp>PX_OPEN</stp>
        <stp>30/11/2016</stp>
        <stp>30/11/2016</stp>
        <stp>[Bbg_Market_Data_CL.xlsm]data!R91C5</stp>
        <tr r="E91" s="1"/>
      </tp>
      <tp t="s">
        <v>#N/A Requesting Data...</v>
        <stp/>
        <stp>##V3_BDHV12</stp>
        <stp>CL1 Comdty</stp>
        <stp>PX_OPEN</stp>
        <stp>01/03/2017</stp>
        <stp>01/03/2017</stp>
        <stp>[Bbg_Market_Data_CL.xlsm]data!R30C5</stp>
        <tr r="E30" s="1"/>
      </tp>
      <tp t="s">
        <v>#N/A Requesting Data...</v>
        <stp/>
        <stp>##V3_BDHV12</stp>
        <stp>CL1 Comdty</stp>
        <stp>PX_OPEN</stp>
        <stp>15/03/2017</stp>
        <stp>15/03/2017</stp>
        <stp>[Bbg_Market_Data_CL.xlsm]data!R20C5</stp>
        <tr r="E20" s="1"/>
      </tp>
      <tp t="s">
        <v>#N/A Requesting Data...</v>
        <stp/>
        <stp>##V3_BDHV12</stp>
        <stp>CL1 Comdty</stp>
        <stp>PX_OPEN</stp>
        <stp>14/12/2016</stp>
        <stp>14/12/2016</stp>
        <stp>[Bbg_Market_Data_CL.xlsm]data!R81C5</stp>
        <tr r="E81" s="1"/>
      </tp>
      <tp t="s">
        <v>#N/A Requesting Data...</v>
        <stp/>
        <stp>##V3_BDHV12</stp>
        <stp>CL1 Comdty</stp>
        <stp>PX_OPEN</stp>
        <stp>31/01/2017</stp>
        <stp>31/01/2017</stp>
        <stp>[Bbg_Market_Data_CL.xlsm]data!R50C5</stp>
        <tr r="E50" s="1"/>
      </tp>
      <tp>
        <v>54.53</v>
        <stp/>
        <stp>##V3_BDHV12</stp>
        <stp>CL2 Comdty</stp>
        <stp>PX_OPEN</stp>
        <stp>29/12/2016</stp>
        <stp>29/12/2016</stp>
        <stp>[Bbg_Market_Data_CL.xlsm]data!R71C5</stp>
        <tr r="E71" s="1"/>
      </tp>
      <tp>
        <v>48.99</v>
        <stp/>
        <stp>##V3_BDHV12</stp>
        <stp>CL2 Comdty</stp>
        <stp>PX_OPEN</stp>
        <stp>29/03/2017</stp>
        <stp>29/03/2017</stp>
        <stp>[Bbg_Market_Data_CL.xlsm]data!R10C5</stp>
        <tr r="E10" s="1"/>
      </tp>
      <tp t="s">
        <v>#N/A Requesting Data...</v>
        <stp/>
        <stp>##V3_BDHV12</stp>
        <stp>CL1 Comdty</stp>
        <stp>MOV_AVG_5D</stp>
        <stp>03/12/2015</stp>
        <stp>03/12/2015</stp>
        <stp>[Bbg_Market_Data_CL.xlsm]data!R337C10</stp>
        <tr r="J337" s="1"/>
      </tp>
      <tp t="s">
        <v>#N/A Requesting Data...</v>
        <stp/>
        <stp>##V3_BDHV12</stp>
        <stp>CL1 Comdty</stp>
        <stp>MOV_AVG_5D</stp>
        <stp>24/07/2015</stp>
        <stp>24/07/2015</stp>
        <stp>[Bbg_Market_Data_CL.xlsm]data!R427C10</stp>
        <tr r="J427" s="1"/>
      </tp>
      <tp t="s">
        <v>#N/A Requesting Data...</v>
        <stp/>
        <stp>##V3_BDHV12</stp>
        <stp>CL2 Comdty</stp>
        <stp>MOV_AVG_5D</stp>
        <stp>14/07/2015</stp>
        <stp>14/07/2015</stp>
        <stp>[Bbg_Market_Data_CL.xlsm]data!R435C10</stp>
        <tr r="J435" s="1"/>
      </tp>
      <tp t="s">
        <v>#N/A Requesting Data...</v>
        <stp/>
        <stp>##V3_BDHV12</stp>
        <stp>CL2 Comdty</stp>
        <stp>MOV_AVG_5D</stp>
        <stp>03/11/2015</stp>
        <stp>03/11/2015</stp>
        <stp>[Bbg_Market_Data_CL.xlsm]data!R357C10</stp>
        <tr r="J357" s="1"/>
      </tp>
      <tp t="s">
        <v>#N/A Requesting Data...</v>
        <stp/>
        <stp>##V3_BDHV12</stp>
        <stp>CL2 Comdty</stp>
        <stp>MOV_AVG_5D</stp>
        <stp>31/03/2016</stp>
        <stp>31/03/2016</stp>
        <stp>[Bbg_Market_Data_CL.xlsm]data!R258C10</stp>
        <tr r="J258" s="1"/>
      </tp>
      <tp t="s">
        <v>#N/A Requesting Data...</v>
        <stp/>
        <stp>##V3_BDHV12</stp>
        <stp>CL2 Comdty</stp>
        <stp>MOV_AVG_5D</stp>
        <stp>04/06/2015</stp>
        <stp>04/06/2015</stp>
        <stp>[Bbg_Market_Data_CL.xlsm]data!R462C10</stp>
        <tr r="J462" s="1"/>
      </tp>
      <tp t="s">
        <v>#N/A Requesting Data...</v>
        <stp/>
        <stp>##V3_BDHV12</stp>
        <stp>CL2 Comdty</stp>
        <stp>MOV_AVG_5D</stp>
        <stp>13/10/2015</stp>
        <stp>13/10/2015</stp>
        <stp>[Bbg_Market_Data_CL.xlsm]data!R372C10</stp>
        <tr r="J372" s="1"/>
      </tp>
      <tp t="s">
        <v>#N/A Requesting Data...</v>
        <stp/>
        <stp>##V3_BDHV12</stp>
        <stp>CL1 Comdty</stp>
        <stp>MOV_AVG_5D</stp>
        <stp>01/03/2016</stp>
        <stp>01/03/2016</stp>
        <stp>[Bbg_Market_Data_CL.xlsm]data!R279C10</stp>
        <tr r="J279" s="1"/>
      </tp>
      <tp t="s">
        <v>#N/A Requesting Data...</v>
        <stp/>
        <stp>##V3_BDHV12</stp>
        <stp>CL1 Comdty</stp>
        <stp>MOV_AVG_5D</stp>
        <stp>23/10/2015</stp>
        <stp>23/10/2015</stp>
        <stp>[Bbg_Market_Data_CL.xlsm]data!R364C10</stp>
        <tr r="J364" s="1"/>
      </tp>
      <tp t="s">
        <v>#N/A Requesting Data...</v>
        <stp/>
        <stp>##V3_BDHV12</stp>
        <stp>CL1 Comdty</stp>
        <stp>MOV_AVG_5D</stp>
        <stp>04/05/2015</stp>
        <stp>04/05/2015</stp>
        <stp>[Bbg_Market_Data_CL.xlsm]data!R484C10</stp>
        <tr r="J484" s="1"/>
      </tp>
      <tp t="s">
        <v>#N/A Requesting Data...</v>
        <stp/>
        <stp>##V3_BDHV12</stp>
        <stp>CL1 Comdty</stp>
        <stp>MOV_AVG_5D</stp>
        <stp>14/04/2015</stp>
        <stp>14/04/2015</stp>
        <stp>[Bbg_Market_Data_CL.xlsm]data!R498C10</stp>
        <tr r="J498" s="1"/>
      </tp>
      <tp t="s">
        <v>#N/A Requesting Data...</v>
        <stp/>
        <stp>##V3_BDHV12</stp>
        <stp>CL2 Comdty</stp>
        <stp>MOV_AVG_5D</stp>
        <stp>24/04/2015</stp>
        <stp>24/04/2015</stp>
        <stp>[Bbg_Market_Data_CL.xlsm]data!R490C10</stp>
        <tr r="J490" s="1"/>
      </tp>
      <tp t="s">
        <v>#N/A Requesting Data...</v>
        <stp/>
        <stp>##V3_BDHV12</stp>
        <stp>CL1 Comdty</stp>
        <stp>MOV_AVG_5D</stp>
        <stp>11/02/2016</stp>
        <stp>11/02/2016</stp>
        <stp>[Bbg_Market_Data_CL.xlsm]data!R290C10</stp>
        <tr r="J290" s="1"/>
      </tp>
      <tp t="s">
        <v>#N/A Requesting Data...</v>
        <stp/>
        <stp>##V3_BDHV12</stp>
        <stp>CL1 Comdty</stp>
        <stp>MOV_AVG_5D</stp>
        <stp>21/01/2016</stp>
        <stp>21/01/2016</stp>
        <stp>[Bbg_Market_Data_CL.xlsm]data!R305C10</stp>
        <tr r="J305" s="1"/>
      </tp>
      <tp t="s">
        <v>#N/A Requesting Data...</v>
        <stp/>
        <stp>##V3_BDHV12</stp>
        <stp>CL1 Comdty</stp>
        <stp>MOV_AVG_5D</stp>
        <stp>03/11/2016</stp>
        <stp>03/11/2016</stp>
        <stp>[Bbg_Market_Data_CL.xlsm]data!R108C10</stp>
        <tr r="J108" s="1"/>
      </tp>
      <tp t="s">
        <v>#N/A Requesting Data...</v>
        <stp/>
        <stp>##V3_BDHV12</stp>
        <stp>CL2 Comdty</stp>
        <stp>MOV_AVG_5D</stp>
        <stp>11/01/2016</stp>
        <stp>11/01/2016</stp>
        <stp>[Bbg_Market_Data_CL.xlsm]data!R312C10</stp>
        <tr r="J312" s="1"/>
      </tp>
      <tp t="s">
        <v>#N/A Requesting Data...</v>
        <stp/>
        <stp>##V3_BDHV12</stp>
        <stp>CL2 Comdty</stp>
        <stp>MOV_AVG_5D</stp>
        <stp>22/12/2015</stp>
        <stp>22/12/2015</stp>
        <stp>[Bbg_Market_Data_CL.xlsm]data!R324C10</stp>
        <tr r="J324" s="1"/>
      </tp>
      <tp t="s">
        <v>#N/A Requesting Data...</v>
        <stp/>
        <stp>##V3_BDHV12</stp>
        <stp>CL1 Comdty</stp>
        <stp>MOV_AVG_5D</stp>
        <stp>13/10/2016</stp>
        <stp>13/10/2016</stp>
        <stp>[Bbg_Market_Data_CL.xlsm]data!R123C10</stp>
        <tr r="J123" s="1"/>
      </tp>
      <tp t="s">
        <v>#N/A Requesting Data...</v>
        <stp/>
        <stp>##V3_BDHV12</stp>
        <stp>CL2 Comdty</stp>
        <stp>MOV_AVG_5D</stp>
        <stp>12/11/2015</stp>
        <stp>12/11/2015</stp>
        <stp>[Bbg_Market_Data_CL.xlsm]data!R351C10</stp>
        <tr r="J351" s="1"/>
      </tp>
      <tp t="s">
        <v>#N/A Requesting Data...</v>
        <stp/>
        <stp>##V3_BDHV12</stp>
        <stp>CL1 Comdty</stp>
        <stp>MOV_AVG_5D</stp>
        <stp>25/06/2015</stp>
        <stp>25/06/2015</stp>
        <stp>[Bbg_Market_Data_CL.xlsm]data!R447C10</stp>
        <tr r="J447" s="1"/>
      </tp>
      <tp t="s">
        <v>#N/A Requesting Data...</v>
        <stp/>
        <stp>##V3_BDHV12</stp>
        <stp>CL2 Comdty</stp>
        <stp>MOV_AVG_5D</stp>
        <stp>15/06/2015</stp>
        <stp>15/06/2015</stp>
        <stp>[Bbg_Market_Data_CL.xlsm]data!R455C10</stp>
        <tr r="J455" s="1"/>
      </tp>
      <tp t="s">
        <v>#N/A Requesting Data...</v>
        <stp/>
        <stp>##V3_BDHV12</stp>
        <stp>CL2 Comdty</stp>
        <stp>MOV_AVG_5D</stp>
        <stp>02/10/2015</stp>
        <stp>02/10/2015</stp>
        <stp>[Bbg_Market_Data_CL.xlsm]data!R378C10</stp>
        <tr r="J378" s="1"/>
      </tp>
      <tp t="s">
        <v>#N/A Requesting Data...</v>
        <stp/>
        <stp>##V3_BDHV12</stp>
        <stp>CL1 Comdty</stp>
        <stp>MOV_AVG_5D</stp>
        <stp>15/05/2015</stp>
        <stp>15/05/2015</stp>
        <stp>[Bbg_Market_Data_CL.xlsm]data!R475C10</stp>
        <tr r="J475" s="1"/>
      </tp>
      <tp t="s">
        <v>#N/A Requesting Data...</v>
        <stp/>
        <stp>##V3_BDHV12</stp>
        <stp>CL1 Comdty</stp>
        <stp>MOV_AVG_5D</stp>
        <stp>10/03/2016</stp>
        <stp>10/03/2016</stp>
        <stp>[Bbg_Market_Data_CL.xlsm]data!R272C10</stp>
        <tr r="J272" s="1"/>
      </tp>
      <tp t="s">
        <v>#N/A Requesting Data...</v>
        <stp/>
        <stp>##V3_BDHV12</stp>
        <stp>CL1 Comdty</stp>
        <stp>MOV_AVG_5D</stp>
        <stp>20/10/2016</stp>
        <stp>20/10/2016</stp>
        <stp>[Bbg_Market_Data_CL.xlsm]data!R118C10</stp>
        <tr r="J118" s="1"/>
      </tp>
      <tp t="s">
        <v>#N/A Requesting Data...</v>
        <stp/>
        <stp>##V3_BDHV12</stp>
        <stp>CL2 Comdty</stp>
        <stp>MOV_AVG_5D</stp>
        <stp>22/01/2016</stp>
        <stp>22/01/2016</stp>
        <stp>[Bbg_Market_Data_CL.xlsm]data!R304C10</stp>
        <tr r="J304" s="1"/>
      </tp>
      <tp t="s">
        <v>#N/A Requesting Data...</v>
        <stp/>
        <stp>##V3_BDHV12</stp>
        <stp>CL1 Comdty</stp>
        <stp>MOV_AVG_5D</stp>
        <stp>12/01/2016</stp>
        <stp>12/01/2016</stp>
        <stp>[Bbg_Market_Data_CL.xlsm]data!R311C10</stp>
        <tr r="J311" s="1"/>
      </tp>
      <tp t="s">
        <v>#N/A Requesting Data...</v>
        <stp/>
        <stp>##V3_BDHV12</stp>
        <stp>CL2 Comdty</stp>
        <stp>MOV_AVG_5D</stp>
        <stp>11/12/2015</stp>
        <stp>11/12/2015</stp>
        <stp>[Bbg_Market_Data_CL.xlsm]data!R331C10</stp>
        <tr r="J331" s="1"/>
      </tp>
      <tp t="s">
        <v>#N/A Requesting Data...</v>
        <stp/>
        <stp>##V3_BDHV12</stp>
        <stp>CL1 Comdty</stp>
        <stp>MOV_AVG_5D</stp>
        <stp>21/12/2015</stp>
        <stp>21/12/2015</stp>
        <stp>[Bbg_Market_Data_CL.xlsm]data!R325C10</stp>
        <tr r="J325" s="1"/>
      </tp>
      <tp t="s">
        <v>#N/A Requesting Data...</v>
        <stp/>
        <stp>##V3_BDHV12</stp>
        <stp>CL1 Comdty</stp>
        <stp>MOV_AVG_5D</stp>
        <stp>06/07/2015</stp>
        <stp>06/07/2015</stp>
        <stp>[Bbg_Market_Data_CL.xlsm]data!R441C10</stp>
        <tr r="J441" s="1"/>
      </tp>
      <tp t="s">
        <v>#N/A Requesting Data...</v>
        <stp/>
        <stp>##V3_BDHV12</stp>
        <stp>CL2 Comdty</stp>
        <stp>MOV_AVG_5D</stp>
        <stp>26/06/2015</stp>
        <stp>26/06/2015</stp>
        <stp>[Bbg_Market_Data_CL.xlsm]data!R446C10</stp>
        <tr r="J446" s="1"/>
      </tp>
      <tp t="s">
        <v>#N/A Requesting Data...</v>
        <stp/>
        <stp>##V3_BDHV12</stp>
        <stp>CL1 Comdty</stp>
        <stp>MOV_AVG_5D</stp>
        <stp>16/06/2015</stp>
        <stp>16/06/2015</stp>
        <stp>[Bbg_Market_Data_CL.xlsm]data!R454C10</stp>
        <tr r="J454" s="1"/>
      </tp>
      <tp t="s">
        <v>#N/A Requesting Data...</v>
        <stp/>
        <stp>##V3_BDHV12</stp>
        <stp>CL1 Comdty</stp>
        <stp>MOV_AVG_5D</stp>
        <stp>26/05/2015</stp>
        <stp>26/05/2015</stp>
        <stp>[Bbg_Market_Data_CL.xlsm]data!R469C10</stp>
        <tr r="J469" s="1"/>
      </tp>
      <tp t="s">
        <v>#N/A Requesting Data...</v>
        <stp/>
        <stp>##V3_BDHV12</stp>
        <stp>CL1 Comdty</stp>
        <stp>MOV_AVG_5D</stp>
        <stp>01/10/2015</stp>
        <stp>01/10/2015</stp>
        <stp>[Bbg_Market_Data_CL.xlsm]data!R379C10</stp>
        <tr r="J379" s="1"/>
      </tp>
      <tp t="s">
        <v>#N/A Requesting Data...</v>
        <stp/>
        <stp>##V3_BDHV12</stp>
        <stp>CL1 Comdty</stp>
        <stp>MOV_AVG_5D</stp>
        <stp>23/03/2016</stp>
        <stp>23/03/2016</stp>
        <stp>[Bbg_Market_Data_CL.xlsm]data!R263C10</stp>
        <tr r="J263" s="1"/>
      </tp>
      <tp t="s">
        <v>#N/A Requesting Data...</v>
        <stp/>
        <stp>##V3_BDHV12</stp>
        <stp>CL2 Comdty</stp>
        <stp>MOV_AVG_5D</stp>
        <stp>03/02/2016</stp>
        <stp>03/02/2016</stp>
        <stp>[Bbg_Market_Data_CL.xlsm]data!R296C10</stp>
        <tr r="J296" s="1"/>
      </tp>
      <tp t="s">
        <v>#N/A Requesting Data...</v>
        <stp/>
        <stp>##V3_BDHV12</stp>
        <stp>CL1 Comdty</stp>
        <stp>MOV_AVG_5D</stp>
        <stp>30/12/2015</stp>
        <stp>30/12/2015</stp>
        <stp>[Bbg_Market_Data_CL.xlsm]data!R319C10</stp>
        <tr r="J319" s="1"/>
      </tp>
      <tp t="s">
        <v>#N/A Requesting Data...</v>
        <stp/>
        <stp>##V3_BDHV12</stp>
        <stp>CL1 Comdty</stp>
        <stp>MOV_AVG_5D</stp>
        <stp>31/10/2016</stp>
        <stp>31/10/2016</stp>
        <stp>[Bbg_Market_Data_CL.xlsm]data!R111C10</stp>
        <tr r="J111" s="1"/>
      </tp>
      <tp t="s">
        <v>#N/A Requesting Data...</v>
        <stp/>
        <stp>##V3_BDHV12</stp>
        <stp>CL2 Comdty</stp>
        <stp>MOV_AVG_5D</stp>
        <stp>27/07/2015</stp>
        <stp>27/07/2015</stp>
        <stp>[Bbg_Market_Data_CL.xlsm]data!R426C10</stp>
        <tr r="J426" s="1"/>
      </tp>
      <tp t="s">
        <v>#N/A Requesting Data...</v>
        <stp/>
        <stp>##V3_BDHV12</stp>
        <stp>CL1 Comdty</stp>
        <stp>MOV_AVG_5D</stp>
        <stp>17/07/2015</stp>
        <stp>17/07/2015</stp>
        <stp>[Bbg_Market_Data_CL.xlsm]data!R432C10</stp>
        <tr r="J432" s="1"/>
      </tp>
      <tp t="s">
        <v>#N/A Requesting Data...</v>
        <stp/>
        <stp>##V3_BDHV12</stp>
        <stp>CL2 Comdty</stp>
        <stp>MOV_AVG_5D</stp>
        <stp>30/11/2015</stp>
        <stp>30/11/2015</stp>
        <stp>[Bbg_Market_Data_CL.xlsm]data!R340C10</stp>
        <tr r="J340" s="1"/>
      </tp>
      <tp t="s">
        <v>#N/A Requesting Data...</v>
        <stp/>
        <stp>##V3_BDHV12</stp>
        <stp>CL2 Comdty</stp>
        <stp>MOV_AVG_5D</stp>
        <stp>02/03/2016</stp>
        <stp>02/03/2016</stp>
        <stp>[Bbg_Market_Data_CL.xlsm]data!R278C10</stp>
        <tr r="J278" s="1"/>
      </tp>
      <tp t="s">
        <v>#N/A Requesting Data...</v>
        <stp/>
        <stp>##V3_BDHV12</stp>
        <stp>CL2 Comdty</stp>
        <stp>MOV_AVG_5D</stp>
        <stp>20/10/2015</stp>
        <stp>20/10/2015</stp>
        <stp>[Bbg_Market_Data_CL.xlsm]data!R367C10</stp>
        <tr r="J367" s="1"/>
      </tp>
      <tp t="s">
        <v>#N/A Requesting Data...</v>
        <stp/>
        <stp>##V3_BDHV12</stp>
        <stp>CL1 Comdty</stp>
        <stp>MOV_AVG_5D</stp>
        <stp>27/04/2015</stp>
        <stp>27/04/2015</stp>
        <stp>[Bbg_Market_Data_CL.xlsm]data!R489C10</stp>
        <tr r="J489" s="1"/>
      </tp>
      <tp t="s">
        <v>#N/A Requesting Data...</v>
        <stp/>
        <stp>##V3_BDHV12</stp>
        <stp>CL2 Comdty</stp>
        <stp>MOV_AVG_5D</stp>
        <stp>12/02/2016</stp>
        <stp>12/02/2016</stp>
        <stp>[Bbg_Market_Data_CL.xlsm]data!R289C10</stp>
        <tr r="J289" s="1"/>
      </tp>
      <tp t="s">
        <v>#N/A Requesting Data...</v>
        <stp/>
        <stp>##V3_BDHV12</stp>
        <stp>CL1 Comdty</stp>
        <stp>MOV_AVG_5D</stp>
        <stp>22/02/2016</stp>
        <stp>22/02/2016</stp>
        <stp>[Bbg_Market_Data_CL.xlsm]data!R285C10</stp>
        <tr r="J285" s="1"/>
      </tp>
      <tp t="s">
        <v>#N/A Requesting Data...</v>
        <stp/>
        <stp>##V3_BDHV12</stp>
        <stp>CL2 Comdty</stp>
        <stp>MOV_AVG_5D</stp>
        <stp>07/05/2015</stp>
        <stp>07/05/2015</stp>
        <stp>[Bbg_Market_Data_CL.xlsm]data!R481C10</stp>
        <tr r="J481" s="1"/>
      </tp>
      <tp t="s">
        <v>#N/A Requesting Data...</v>
        <stp/>
        <stp>##V3_BDHV12</stp>
        <stp>CL2 Comdty</stp>
        <stp>MOV_AVG_5D</stp>
        <stp>17/04/2015</stp>
        <stp>17/04/2015</stp>
        <stp>[Bbg_Market_Data_CL.xlsm]data!R495C10</stp>
        <tr r="J495" s="1"/>
      </tp>
      <tp t="s">
        <v>#N/A Requesting Data...</v>
        <stp/>
        <stp>##V3_BDHV12</stp>
        <stp>CL1 Comdty</stp>
        <stp>MOV_AVG_5D</stp>
        <stp>15/06/2016</stp>
        <stp>15/06/2016</stp>
        <stp>[Bbg_Market_Data_CL.xlsm]data!R205C10</stp>
        <tr r="J205" s="1"/>
      </tp>
      <tp t="s">
        <v>#N/A Requesting Data...</v>
        <stp/>
        <stp>##V3_BDHV12</stp>
        <stp>CL1 Comdty</stp>
        <stp>MOV_AVG_5D</stp>
        <stp>25/05/2016</stp>
        <stp>25/05/2016</stp>
        <stp>[Bbg_Market_Data_CL.xlsm]data!R219C10</stp>
        <tr r="J219" s="1"/>
      </tp>
      <tp t="s">
        <v>#N/A Requesting Data...</v>
        <stp/>
        <stp>##V3_BDHV12</stp>
        <stp>CL2 Comdty</stp>
        <stp>MOV_AVG_5D</stp>
        <stp>05/04/2016</stp>
        <stp>05/04/2016</stp>
        <stp>[Bbg_Market_Data_CL.xlsm]data!R255C10</stp>
        <tr r="J255" s="1"/>
      </tp>
      <tp t="s">
        <v>#N/A Requesting Data...</v>
        <stp/>
        <stp>##V3_BDHV12</stp>
        <stp>CL2 Comdty</stp>
        <stp>MOV_AVG_5D</stp>
        <stp>06/07/2016</stp>
        <stp>06/07/2016</stp>
        <stp>[Bbg_Market_Data_CL.xlsm]data!R191C10</stp>
        <tr r="J191" s="1"/>
      </tp>
      <tp t="s">
        <v>#N/A Requesting Data...</v>
        <stp/>
        <stp>##V3_BDHV12</stp>
        <stp>CL2 Comdty</stp>
        <stp>MOV_AVG_5D</stp>
        <stp>04/05/2016</stp>
        <stp>04/05/2016</stp>
        <stp>[Bbg_Market_Data_CL.xlsm]data!R234C10</stp>
        <tr r="J234" s="1"/>
      </tp>
      <tp t="s">
        <v>#N/A Requesting Data...</v>
        <stp/>
        <stp>##V3_BDHV12</stp>
        <stp>CL2 Comdty</stp>
        <stp>MOV_AVG_5D</stp>
        <stp>14/04/2016</stp>
        <stp>14/04/2016</stp>
        <stp>[Bbg_Market_Data_CL.xlsm]data!R248C10</stp>
        <tr r="J248" s="1"/>
      </tp>
      <tp t="s">
        <v>#N/A Requesting Data...</v>
        <stp/>
        <stp>##V3_BDHV12</stp>
        <stp>CL1 Comdty</stp>
        <stp>MOV_AVG_5D</stp>
        <stp>27/07/2016</stp>
        <stp>27/07/2016</stp>
        <stp>[Bbg_Market_Data_CL.xlsm]data!R176C10</stp>
        <tr r="J176" s="1"/>
      </tp>
      <tp t="s">
        <v>#N/A Requesting Data...</v>
        <stp/>
        <stp>##V3_BDHV12</stp>
        <stp>CL2 Comdty</stp>
        <stp>MOV_AVG_5D</stp>
        <stp>07/06/2016</stp>
        <stp>07/06/2016</stp>
        <stp>[Bbg_Market_Data_CL.xlsm]data!R211C10</stp>
        <tr r="J211" s="1"/>
      </tp>
      <tp t="s">
        <v>#N/A Requesting Data...</v>
        <stp/>
        <stp>##V3_BDHV12</stp>
        <stp>CL2 Comdty</stp>
        <stp>MOV_AVG_5D</stp>
        <stp>27/04/2016</stp>
        <stp>27/04/2016</stp>
        <stp>[Bbg_Market_Data_CL.xlsm]data!R239C10</stp>
        <tr r="J239" s="1"/>
      </tp>
      <tp t="s">
        <v>#N/A Requesting Data...</v>
        <stp/>
        <stp>##V3_BDHV12</stp>
        <stp>CL1 Comdty</stp>
        <stp>MOV_AVG_5D</stp>
        <stp>14/07/2016</stp>
        <stp>14/07/2016</stp>
        <stp>[Bbg_Market_Data_CL.xlsm]data!R185C10</stp>
        <tr r="J185" s="1"/>
      </tp>
      <tp t="s">
        <v>#N/A Requesting Data...</v>
        <stp/>
        <stp>##V3_BDHV12</stp>
        <stp>CL2 Comdty</stp>
        <stp>MOV_AVG_5D</stp>
        <stp>16/06/2016</stp>
        <stp>16/06/2016</stp>
        <stp>[Bbg_Market_Data_CL.xlsm]data!R204C10</stp>
        <tr r="J204" s="1"/>
      </tp>
      <tp t="s">
        <v>#N/A Requesting Data...</v>
        <stp/>
        <stp>##V3_BDHV12</stp>
        <stp>CL2 Comdty</stp>
        <stp>MOV_AVG_5D</stp>
        <stp>26/05/2016</stp>
        <stp>26/05/2016</stp>
        <stp>[Bbg_Market_Data_CL.xlsm]data!R218C10</stp>
        <tr r="J218" s="1"/>
      </tp>
      <tp t="s">
        <v>#N/A Requesting Data...</v>
        <stp/>
        <stp>##V3_BDHV12</stp>
        <stp>CL1 Comdty</stp>
        <stp>MOV_AVG_5D</stp>
        <stp>16/05/2016</stp>
        <stp>16/05/2016</stp>
        <stp>[Bbg_Market_Data_CL.xlsm]data!R226C10</stp>
        <tr r="J226" s="1"/>
      </tp>
      <tp t="s">
        <v>#N/A Requesting Data...</v>
        <stp/>
        <stp>##V3_BDHV12</stp>
        <stp>CL1 Comdty</stp>
        <stp>MOV_AVG_5D</stp>
        <stp>06/04/2016</stp>
        <stp>06/04/2016</stp>
        <stp>[Bbg_Market_Data_CL.xlsm]data!R254C10</stp>
        <tr r="J254" s="1"/>
      </tp>
      <tp t="s">
        <v>#N/A Requesting Data...</v>
        <stp/>
        <stp>##V3_BDHV12</stp>
        <stp>CL1 Comdty</stp>
        <stp>MOV_AVG_5D</stp>
        <stp>05/07/2016</stp>
        <stp>05/07/2016</stp>
        <stp>[Bbg_Market_Data_CL.xlsm]data!R192C10</stp>
        <tr r="J192" s="1"/>
      </tp>
      <tp t="s">
        <v>#N/A Requesting Data...</v>
        <stp/>
        <stp>##V3_BDHV12</stp>
        <stp>CL2 Comdty</stp>
        <stp>MOV_AVG_5D</stp>
        <stp>08/09/2016</stp>
        <stp>08/09/2016</stp>
        <stp>[Bbg_Market_Data_CL.xlsm]data!R147C10</stp>
        <tr r="J147" s="1"/>
      </tp>
      <tp t="s">
        <v>#N/A Requesting Data...</v>
        <stp/>
        <stp>##V3_BDHV12</stp>
        <stp>CL2 Comdty</stp>
        <stp>MOV_AVG_5D</stp>
        <stp>18/08/2016</stp>
        <stp>18/08/2016</stp>
        <stp>[Bbg_Market_Data_CL.xlsm]data!R161C10</stp>
        <tr r="J161" s="1"/>
      </tp>
      <tp t="s">
        <v>#N/A Requesting Data...</v>
        <stp/>
        <stp>##V3_BDHV12</stp>
        <stp>CL2 Comdty</stp>
        <stp>MOV_AVG_5D</stp>
        <stp>29/09/2015</stp>
        <stp>29/09/2015</stp>
        <stp>[Bbg_Market_Data_CL.xlsm]data!R381C10</stp>
        <tr r="J381" s="1"/>
      </tp>
      <tp t="s">
        <v>#N/A Requesting Data...</v>
        <stp/>
        <stp>##V3_BDHV12</stp>
        <stp>CL1 Comdty</stp>
        <stp>MOV_AVG_5D</stp>
        <stp>29/09/2016</stp>
        <stp>29/09/2016</stp>
        <stp>[Bbg_Market_Data_CL.xlsm]data!R132C10</stp>
        <tr r="J132" s="1"/>
      </tp>
      <tp t="s">
        <v>#N/A Requesting Data...</v>
        <stp/>
        <stp>##V3_BDHV12</stp>
        <stp>CL2 Comdty</stp>
        <stp>MOV_AVG_5D</stp>
        <stp>19/09/2016</stp>
        <stp>19/09/2016</stp>
        <stp>[Bbg_Market_Data_CL.xlsm]data!R140C10</stp>
        <tr r="J140" s="1"/>
      </tp>
      <tp t="s">
        <v>#N/A Requesting Data...</v>
        <stp/>
        <stp>##V3_BDHV12</stp>
        <stp>CL2 Comdty</stp>
        <stp>MOV_AVG_5D</stp>
        <stp>09/08/2016</stp>
        <stp>09/08/2016</stp>
        <stp>[Bbg_Market_Data_CL.xlsm]data!R168C10</stp>
        <tr r="J168" s="1"/>
      </tp>
      <tp t="s">
        <v>#N/A Requesting Data...</v>
        <stp/>
        <stp>##V3_BDHV12</stp>
        <stp>CL1 Comdty</stp>
        <stp>MOV_AVG_5D</stp>
        <stp>08/09/2015</stp>
        <stp>08/09/2015</stp>
        <stp>[Bbg_Market_Data_CL.xlsm]data!R396C10</stp>
        <tr r="J396" s="1"/>
      </tp>
      <tp t="s">
        <v>#N/A Requesting Data...</v>
        <stp/>
        <stp>##V3_BDHV12</stp>
        <stp>CL2 Comdty</stp>
        <stp>MOV_AVG_5D</stp>
        <stp>28/08/2015</stp>
        <stp>28/08/2015</stp>
        <stp>[Bbg_Market_Data_CL.xlsm]data!R402C10</stp>
        <tr r="J402" s="1"/>
      </tp>
      <tp t="s">
        <v>#N/A Requesting Data...</v>
        <stp/>
        <stp>##V3_BDHV12</stp>
        <stp>CL1 Comdty</stp>
        <stp>MOV_AVG_5D</stp>
        <stp>18/08/2015</stp>
        <stp>18/08/2015</stp>
        <stp>[Bbg_Market_Data_CL.xlsm]data!R410C10</stp>
        <tr r="J410" s="1"/>
      </tp>
      <tp>
        <v>55.06</v>
        <stp/>
        <stp>##V3_BDHV12</stp>
        <stp>CL2 Comdty</stp>
        <stp>PX_HIGH</stp>
        <stp>05/01/2017</stp>
        <stp>05/01/2017</stp>
        <stp>[Bbg_Market_Data_CL.xlsm]data!R67C6</stp>
        <tr r="F67" s="1"/>
      </tp>
      <tp t="s">
        <v>#N/A Requesting Data...</v>
        <stp/>
        <stp>##V3_BDHV12</stp>
        <stp>CL1 Comdty</stp>
        <stp>PX_HIGH</stp>
        <stp>03/02/2017</stp>
        <stp>03/02/2017</stp>
        <stp>[Bbg_Market_Data_CL.xlsm]data!R47C6</stp>
        <tr r="F47" s="1"/>
      </tp>
      <tp>
        <v>49.36</v>
        <stp/>
        <stp>##V3_BDHV12</stp>
        <stp>CL2 Comdty</stp>
        <stp>PX_HIGH</stp>
        <stp>20/03/2017</stp>
        <stp>20/03/2017</stp>
        <stp>[Bbg_Market_Data_CL.xlsm]data!R17C6</stp>
        <tr r="F17" s="1"/>
      </tp>
      <tp t="s">
        <v>#N/A Requesting Data...</v>
        <stp/>
        <stp>##V3_BDHV12</stp>
        <stp>CL1 Comdty</stp>
        <stp>PX_HIGH</stp>
        <stp>22/11/2016</stp>
        <stp>22/11/2016</stp>
        <stp>[Bbg_Market_Data_CL.xlsm]data!R96C6</stp>
        <tr r="F96" s="1"/>
      </tp>
      <tp>
        <v>54.64</v>
        <stp/>
        <stp>##V3_BDHV12</stp>
        <stp>CL2 Comdty</stp>
        <stp>PX_HIGH</stp>
        <stp>21/12/2016</stp>
        <stp>21/12/2016</stp>
        <stp>[Bbg_Market_Data_CL.xlsm]data!R76C6</stp>
        <tr r="F76" s="1"/>
      </tp>
      <tp t="s">
        <v>#N/A Requesting Data...</v>
        <stp/>
        <stp>##V3_BDHV12</stp>
        <stp>CL1 Comdty</stp>
        <stp>PX_HIGH</stp>
        <stp>06/03/2017</stp>
        <stp>06/03/2017</stp>
        <stp>[Bbg_Market_Data_CL.xlsm]data!R27C6</stp>
        <tr r="F27" s="1"/>
      </tp>
      <tp t="s">
        <v>#N/A Requesting Data...</v>
        <stp/>
        <stp>##V3_BDHV12</stp>
        <stp>CL1 Comdty</stp>
        <stp>PX_HIGH</stp>
        <stp>07/12/2016</stp>
        <stp>07/12/2016</stp>
        <stp>[Bbg_Market_Data_CL.xlsm]data!R86C6</stp>
        <tr r="F86" s="1"/>
      </tp>
      <tp t="s">
        <v>#N/A Requesting Data...</v>
        <stp/>
        <stp>##V3_BDHV12</stp>
        <stp>CL1 Comdty</stp>
        <stp>PX_HIGH</stp>
        <stp>17/02/2017</stp>
        <stp>17/02/2017</stp>
        <stp>[Bbg_Market_Data_CL.xlsm]data!R37C6</stp>
        <tr r="F37" s="1"/>
      </tp>
      <tp t="s">
        <v>#N/A Requesting Data...</v>
        <stp/>
        <stp>##V3_BDHV12</stp>
        <stp>CL1 Comdty</stp>
        <stp>PX_HIGH</stp>
        <stp>20/01/2017</stp>
        <stp>20/01/2017</stp>
        <stp>[Bbg_Market_Data_CL.xlsm]data!R57C6</stp>
        <tr r="F57" s="1"/>
      </tp>
      <tp>
        <v>54.03</v>
        <stp/>
        <stp>##V3_BDHV12</stp>
        <stp>CL2 Comdty</stp>
        <stp>PX_HIGH</stp>
        <stp>06/03/2017</stp>
        <stp>06/03/2017</stp>
        <stp>[Bbg_Market_Data_CL.xlsm]data!R27C6</stp>
        <tr r="F27" s="1"/>
      </tp>
      <tp>
        <v>52.28</v>
        <stp/>
        <stp>##V3_BDHV12</stp>
        <stp>CL2 Comdty</stp>
        <stp>PX_HIGH</stp>
        <stp>07/12/2016</stp>
        <stp>07/12/2016</stp>
        <stp>[Bbg_Market_Data_CL.xlsm]data!R86C6</stp>
        <tr r="F86" s="1"/>
      </tp>
      <tp>
        <v>53.91</v>
        <stp/>
        <stp>##V3_BDHV12</stp>
        <stp>CL2 Comdty</stp>
        <stp>PX_HIGH</stp>
        <stp>17/02/2017</stp>
        <stp>17/02/2017</stp>
        <stp>[Bbg_Market_Data_CL.xlsm]data!R37C6</stp>
        <tr r="F37" s="1"/>
      </tp>
      <tp>
        <v>53.67</v>
        <stp/>
        <stp>##V3_BDHV12</stp>
        <stp>CL2 Comdty</stp>
        <stp>PX_HIGH</stp>
        <stp>20/01/2017</stp>
        <stp>20/01/2017</stp>
        <stp>[Bbg_Market_Data_CL.xlsm]data!R57C6</stp>
        <tr r="F57" s="1"/>
      </tp>
      <tp t="s">
        <v>#N/A Requesting Data...</v>
        <stp/>
        <stp>##V3_BDHV12</stp>
        <stp>CL1 Comdty</stp>
        <stp>PX_HIGH</stp>
        <stp>05/01/2017</stp>
        <stp>05/01/2017</stp>
        <stp>[Bbg_Market_Data_CL.xlsm]data!R67C6</stp>
        <tr r="F67" s="1"/>
      </tp>
      <tp>
        <v>54.84</v>
        <stp/>
        <stp>##V3_BDHV12</stp>
        <stp>CL2 Comdty</stp>
        <stp>PX_HIGH</stp>
        <stp>03/02/2017</stp>
        <stp>03/02/2017</stp>
        <stp>[Bbg_Market_Data_CL.xlsm]data!R47C6</stp>
        <tr r="F47" s="1"/>
      </tp>
      <tp t="s">
        <v>#N/A Requesting Data...</v>
        <stp/>
        <stp>##V3_BDHV12</stp>
        <stp>CL1 Comdty</stp>
        <stp>PX_HIGH</stp>
        <stp>20/03/2017</stp>
        <stp>20/03/2017</stp>
        <stp>[Bbg_Market_Data_CL.xlsm]data!R17C6</stp>
        <tr r="F17" s="1"/>
      </tp>
      <tp>
        <v>50.02</v>
        <stp/>
        <stp>##V3_BDHV12</stp>
        <stp>CL2 Comdty</stp>
        <stp>PX_HIGH</stp>
        <stp>22/11/2016</stp>
        <stp>22/11/2016</stp>
        <stp>[Bbg_Market_Data_CL.xlsm]data!R96C6</stp>
        <tr r="F96" s="1"/>
      </tp>
      <tp t="s">
        <v>#N/A Requesting Data...</v>
        <stp/>
        <stp>##V3_BDHV12</stp>
        <stp>CL1 Comdty</stp>
        <stp>PX_HIGH</stp>
        <stp>21/12/2016</stp>
        <stp>21/12/2016</stp>
        <stp>[Bbg_Market_Data_CL.xlsm]data!R76C6</stp>
        <tr r="F76" s="1"/>
      </tp>
      <tp>
        <v>51.84</v>
        <stp/>
        <stp>##V3_BDHV12</stp>
        <stp>CL2 Comdty</stp>
        <stp>PX_OPEN</stp>
        <stp>15/12/2016</stp>
        <stp>15/12/2016</stp>
        <stp>[Bbg_Market_Data_CL.xlsm]data!R80C5</stp>
        <tr r="E80" s="1"/>
      </tp>
      <tp>
        <v>49</v>
        <stp/>
        <stp>##V3_BDHV12</stp>
        <stp>CL2 Comdty</stp>
        <stp>PX_OPEN</stp>
        <stp>14/03/2017</stp>
        <stp>14/03/2017</stp>
        <stp>[Bbg_Market_Data_CL.xlsm]data!R21C5</stp>
        <tr r="E21" s="1"/>
      </tp>
      <tp>
        <v>53.68</v>
        <stp/>
        <stp>##V3_BDHV12</stp>
        <stp>CL2 Comdty</stp>
        <stp>PX_OPEN</stp>
        <stp>30/01/2017</stp>
        <stp>30/01/2017</stp>
        <stp>[Bbg_Market_Data_CL.xlsm]data!R51C5</stp>
        <tr r="E51" s="1"/>
      </tp>
      <tp t="s">
        <v>#N/A Requesting Data...</v>
        <stp/>
        <stp>##V3_BDHV12</stp>
        <stp>CL1 Comdty</stp>
        <stp>PX_OPEN</stp>
        <stp>28/03/2017</stp>
        <stp>28/03/2017</stp>
        <stp>[Bbg_Market_Data_CL.xlsm]data!R11C5</stp>
        <tr r="E11" s="1"/>
      </tp>
      <tp>
        <v>54.32</v>
        <stp/>
        <stp>##V3_BDHV12</stp>
        <stp>CL2 Comdty</stp>
        <stp>PX_OPEN</stp>
        <stp>13/02/2017</stp>
        <stp>13/02/2017</stp>
        <stp>[Bbg_Market_Data_CL.xlsm]data!R41C5</stp>
        <tr r="E41" s="1"/>
      </tp>
      <tp t="s">
        <v>#N/A Requesting Data...</v>
        <stp/>
        <stp>##V3_BDHV12</stp>
        <stp>CL1 Comdty</stp>
        <stp>PX_OPEN</stp>
        <stp>30/12/2016</stp>
        <stp>30/12/2016</stp>
        <stp>[Bbg_Market_Data_CL.xlsm]data!R70C5</stp>
        <tr r="E70" s="1"/>
      </tp>
      <tp t="s">
        <v>#N/A Requesting Data...</v>
        <stp/>
        <stp>##V3_BDHV12</stp>
        <stp>CL1 Comdty</stp>
        <stp>PX_OPEN</stp>
        <stp>13/01/2017</stp>
        <stp>13/01/2017</stp>
        <stp>[Bbg_Market_Data_CL.xlsm]data!R61C5</stp>
        <tr r="E61" s="1"/>
      </tp>
      <tp>
        <v>50</v>
        <stp/>
        <stp>##V3_BDHV12</stp>
        <stp>CL2 Comdty</stp>
        <stp>PX_OPEN</stp>
        <stp>01/12/2016</stp>
        <stp>01/12/2016</stp>
        <stp>[Bbg_Market_Data_CL.xlsm]data!R90C5</stp>
        <tr r="E90" s="1"/>
      </tp>
      <tp t="s">
        <v>#N/A Requesting Data...</v>
        <stp/>
        <stp>##V3_BDHV12</stp>
        <stp>CL1 Comdty</stp>
        <stp>PX_OPEN</stp>
        <stp>28/02/2017</stp>
        <stp>28/02/2017</stp>
        <stp>[Bbg_Market_Data_CL.xlsm]data!R31C5</stp>
        <tr r="E31" s="1"/>
      </tp>
      <tp t="s">
        <v>#N/A Requesting Data...</v>
        <stp/>
        <stp>##V3_BDHV12</stp>
        <stp>CL1 Comdty</stp>
        <stp>PX_OPEN</stp>
        <stp>13/02/2017</stp>
        <stp>13/02/2017</stp>
        <stp>[Bbg_Market_Data_CL.xlsm]data!R41C5</stp>
        <tr r="E41" s="1"/>
      </tp>
      <tp>
        <v>54.81</v>
        <stp/>
        <stp>##V3_BDHV12</stp>
        <stp>CL2 Comdty</stp>
        <stp>PX_OPEN</stp>
        <stp>30/12/2016</stp>
        <stp>30/12/2016</stp>
        <stp>[Bbg_Market_Data_CL.xlsm]data!R70C5</stp>
        <tr r="E70" s="1"/>
      </tp>
      <tp>
        <v>53.87</v>
        <stp/>
        <stp>##V3_BDHV12</stp>
        <stp>CL2 Comdty</stp>
        <stp>PX_OPEN</stp>
        <stp>13/01/2017</stp>
        <stp>13/01/2017</stp>
        <stp>[Bbg_Market_Data_CL.xlsm]data!R61C5</stp>
        <tr r="E61" s="1"/>
      </tp>
      <tp t="s">
        <v>#N/A Requesting Data...</v>
        <stp/>
        <stp>##V3_BDHV12</stp>
        <stp>CL1 Comdty</stp>
        <stp>PX_OPEN</stp>
        <stp>01/12/2016</stp>
        <stp>01/12/2016</stp>
        <stp>[Bbg_Market_Data_CL.xlsm]data!R90C5</stp>
        <tr r="E90" s="1"/>
      </tp>
      <tp>
        <v>54.4</v>
        <stp/>
        <stp>##V3_BDHV12</stp>
        <stp>CL2 Comdty</stp>
        <stp>PX_OPEN</stp>
        <stp>28/02/2017</stp>
        <stp>28/02/2017</stp>
        <stp>[Bbg_Market_Data_CL.xlsm]data!R31C5</stp>
        <tr r="E31" s="1"/>
      </tp>
      <tp t="s">
        <v>#N/A Requesting Data...</v>
        <stp/>
        <stp>##V3_BDHV12</stp>
        <stp>CL1 Comdty</stp>
        <stp>PX_OPEN</stp>
        <stp>15/12/2016</stp>
        <stp>15/12/2016</stp>
        <stp>[Bbg_Market_Data_CL.xlsm]data!R80C5</stp>
        <tr r="E80" s="1"/>
      </tp>
      <tp t="s">
        <v>#N/A Requesting Data...</v>
        <stp/>
        <stp>##V3_BDHV12</stp>
        <stp>CL1 Comdty</stp>
        <stp>PX_OPEN</stp>
        <stp>14/03/2017</stp>
        <stp>14/03/2017</stp>
        <stp>[Bbg_Market_Data_CL.xlsm]data!R21C5</stp>
        <tr r="E21" s="1"/>
      </tp>
      <tp t="s">
        <v>#N/A Requesting Data...</v>
        <stp/>
        <stp>##V3_BDHV12</stp>
        <stp>CL1 Comdty</stp>
        <stp>PX_OPEN</stp>
        <stp>30/01/2017</stp>
        <stp>30/01/2017</stp>
        <stp>[Bbg_Market_Data_CL.xlsm]data!R51C5</stp>
        <tr r="E51" s="1"/>
      </tp>
      <tp>
        <v>48.4</v>
        <stp/>
        <stp>##V3_BDHV12</stp>
        <stp>CL2 Comdty</stp>
        <stp>PX_OPEN</stp>
        <stp>28/03/2017</stp>
        <stp>28/03/2017</stp>
        <stp>[Bbg_Market_Data_CL.xlsm]data!R11C5</stp>
        <tr r="E11" s="1"/>
      </tp>
      <tp t="s">
        <v>#N/A Requesting Data...</v>
        <stp/>
        <stp>##V3_BDHV12</stp>
        <stp>CL1 Comdty</stp>
        <stp>MOV_AVG_5D</stp>
        <stp>20/01/2016</stp>
        <stp>20/01/2016</stp>
        <stp>[Bbg_Market_Data_CL.xlsm]data!R306C10</stp>
        <tr r="J306" s="1"/>
      </tp>
      <tp t="s">
        <v>#N/A Requesting Data...</v>
        <stp/>
        <stp>##V3_BDHV12</stp>
        <stp>CL1 Comdty</stp>
        <stp>MOV_AVG_5D</stp>
        <stp>02/11/2016</stp>
        <stp>02/11/2016</stp>
        <stp>[Bbg_Market_Data_CL.xlsm]data!R109C10</stp>
        <tr r="J109" s="1"/>
      </tp>
      <tp t="s">
        <v>#N/A Requesting Data...</v>
        <stp/>
        <stp>##V3_BDHV12</stp>
        <stp>CL1 Comdty</stp>
        <stp>MOV_AVG_5D</stp>
        <stp>12/10/2016</stp>
        <stp>12/10/2016</stp>
        <stp>[Bbg_Market_Data_CL.xlsm]data!R124C10</stp>
        <tr r="J124" s="1"/>
      </tp>
      <tp t="s">
        <v>#N/A Requesting Data...</v>
        <stp/>
        <stp>##V3_BDHV12</stp>
        <stp>CL2 Comdty</stp>
        <stp>MOV_AVG_5D</stp>
        <stp>23/12/2015</stp>
        <stp>23/12/2015</stp>
        <stp>[Bbg_Market_Data_CL.xlsm]data!R323C10</stp>
        <tr r="J323" s="1"/>
      </tp>
      <tp t="s">
        <v>#N/A Requesting Data...</v>
        <stp/>
        <stp>##V3_BDHV12</stp>
        <stp>CL1 Comdty</stp>
        <stp>MOV_AVG_5D</stp>
        <stp>24/06/2015</stp>
        <stp>24/06/2015</stp>
        <stp>[Bbg_Market_Data_CL.xlsm]data!R448C10</stp>
        <tr r="J448" s="1"/>
      </tp>
      <tp t="s">
        <v>#N/A Requesting Data...</v>
        <stp/>
        <stp>##V3_BDHV12</stp>
        <stp>CL2 Comdty</stp>
        <stp>MOV_AVG_5D</stp>
        <stp>13/11/2015</stp>
        <stp>13/11/2015</stp>
        <stp>[Bbg_Market_Data_CL.xlsm]data!R350C10</stp>
        <tr r="J350" s="1"/>
      </tp>
      <tp t="s">
        <v>#N/A Requesting Data...</v>
        <stp/>
        <stp>##V3_BDHV12</stp>
        <stp>CL1 Comdty</stp>
        <stp>MOV_AVG_5D</stp>
        <stp>23/11/2015</stp>
        <stp>23/11/2015</stp>
        <stp>[Bbg_Market_Data_CL.xlsm]data!R344C10</stp>
        <tr r="J344" s="1"/>
      </tp>
      <tp t="s">
        <v>#N/A Requesting Data...</v>
        <stp/>
        <stp>##V3_BDHV12</stp>
        <stp>CL2 Comdty</stp>
        <stp>MOV_AVG_5D</stp>
        <stp>21/03/2016</stp>
        <stp>21/03/2016</stp>
        <stp>[Bbg_Market_Data_CL.xlsm]data!R265C10</stp>
        <tr r="J265" s="1"/>
      </tp>
      <tp t="s">
        <v>#N/A Requesting Data...</v>
        <stp/>
        <stp>##V3_BDHV12</stp>
        <stp>CL1 Comdty</stp>
        <stp>MOV_AVG_5D</stp>
        <stp>11/03/2016</stp>
        <stp>11/03/2016</stp>
        <stp>[Bbg_Market_Data_CL.xlsm]data!R271C10</stp>
        <tr r="J271" s="1"/>
      </tp>
      <tp t="s">
        <v>#N/A Requesting Data...</v>
        <stp/>
        <stp>##V3_BDHV12</stp>
        <stp>CL1 Comdty</stp>
        <stp>MOV_AVG_5D</stp>
        <stp>14/05/2015</stp>
        <stp>14/05/2015</stp>
        <stp>[Bbg_Market_Data_CL.xlsm]data!R476C10</stp>
        <tr r="J476" s="1"/>
      </tp>
      <tp t="s">
        <v>#N/A Requesting Data...</v>
        <stp/>
        <stp>##V3_BDHV12</stp>
        <stp>CL1 Comdty</stp>
        <stp>MOV_AVG_5D</stp>
        <stp>01/02/2016</stp>
        <stp>01/02/2016</stp>
        <stp>[Bbg_Market_Data_CL.xlsm]data!R298C10</stp>
        <tr r="J298" s="1"/>
      </tp>
      <tp t="s">
        <v>#N/A Requesting Data...</v>
        <stp/>
        <stp>##V3_BDHV12</stp>
        <stp>CL1 Comdty</stp>
        <stp>MOV_AVG_5D</stp>
        <stp>02/12/2015</stp>
        <stp>02/12/2015</stp>
        <stp>[Bbg_Market_Data_CL.xlsm]data!R338C10</stp>
        <tr r="J338" s="1"/>
      </tp>
      <tp t="s">
        <v>#N/A Requesting Data...</v>
        <stp/>
        <stp>##V3_BDHV12</stp>
        <stp>CL1 Comdty</stp>
        <stp>MOV_AVG_5D</stp>
        <stp>03/10/2016</stp>
        <stp>03/10/2016</stp>
        <stp>[Bbg_Market_Data_CL.xlsm]data!R130C10</stp>
        <tr r="J130" s="1"/>
      </tp>
      <tp t="s">
        <v>#N/A Requesting Data...</v>
        <stp/>
        <stp>##V3_BDHV12</stp>
        <stp>CL2 Comdty</stp>
        <stp>MOV_AVG_5D</stp>
        <stp>15/07/2015</stp>
        <stp>15/07/2015</stp>
        <stp>[Bbg_Market_Data_CL.xlsm]data!R434C10</stp>
        <tr r="J434" s="1"/>
      </tp>
      <tp t="s">
        <v>#N/A Requesting Data...</v>
        <stp/>
        <stp>##V3_BDHV12</stp>
        <stp>CL2 Comdty</stp>
        <stp>MOV_AVG_5D</stp>
        <stp>02/11/2015</stp>
        <stp>02/11/2015</stp>
        <stp>[Bbg_Market_Data_CL.xlsm]data!R358C10</stp>
        <tr r="J358" s="1"/>
      </tp>
      <tp t="s">
        <v>#N/A Requesting Data...</v>
        <stp/>
        <stp>##V3_BDHV12</stp>
        <stp>CL2 Comdty</stp>
        <stp>MOV_AVG_5D</stp>
        <stp>30/03/2016</stp>
        <stp>30/03/2016</stp>
        <stp>[Bbg_Market_Data_CL.xlsm]data!R259C10</stp>
        <tr r="J259" s="1"/>
      </tp>
      <tp t="s">
        <v>#N/A Requesting Data...</v>
        <stp/>
        <stp>##V3_BDHV12</stp>
        <stp>CL2 Comdty</stp>
        <stp>MOV_AVG_5D</stp>
        <stp>05/06/2015</stp>
        <stp>05/06/2015</stp>
        <stp>[Bbg_Market_Data_CL.xlsm]data!R461C10</stp>
        <tr r="J461" s="1"/>
      </tp>
      <tp t="s">
        <v>#N/A Requesting Data...</v>
        <stp/>
        <stp>##V3_BDHV12</stp>
        <stp>CL1 Comdty</stp>
        <stp>MOV_AVG_5D</stp>
        <stp>22/10/2015</stp>
        <stp>22/10/2015</stp>
        <stp>[Bbg_Market_Data_CL.xlsm]data!R365C10</stp>
        <tr r="J365" s="1"/>
      </tp>
      <tp t="s">
        <v>#N/A Requesting Data...</v>
        <stp/>
        <stp>##V3_BDHV12</stp>
        <stp>CL1 Comdty</stp>
        <stp>MOV_AVG_5D</stp>
        <stp>05/05/2015</stp>
        <stp>05/05/2015</stp>
        <stp>[Bbg_Market_Data_CL.xlsm]data!R483C10</stp>
        <tr r="J483" s="1"/>
      </tp>
      <tp t="s">
        <v>#N/A Requesting Data...</v>
        <stp/>
        <stp>##V3_BDHV12</stp>
        <stp>CL1 Comdty</stp>
        <stp>MOV_AVG_5D</stp>
        <stp>10/02/2016</stp>
        <stp>10/02/2016</stp>
        <stp>[Bbg_Market_Data_CL.xlsm]data!R291C10</stp>
        <tr r="J291" s="1"/>
      </tp>
      <tp t="s">
        <v>#N/A Requesting Data...</v>
        <stp/>
        <stp>##V3_BDHV12</stp>
        <stp>CL1 Comdty</stp>
        <stp>MOV_AVG_5D</stp>
        <stp>15/04/2015</stp>
        <stp>15/04/2015</stp>
        <stp>[Bbg_Market_Data_CL.xlsm]data!R497C10</stp>
        <tr r="J497" s="1"/>
      </tp>
      <tp t="s">
        <v>#N/A Requesting Data...</v>
        <stp/>
        <stp>##V3_BDHV12</stp>
        <stp>CL1 Comdty</stp>
        <stp>MOV_AVG_5D</stp>
        <stp>31/12/2015</stp>
        <stp>31/12/2015</stp>
        <stp>[Bbg_Market_Data_CL.xlsm]data!R318C10</stp>
        <tr r="J318" s="1"/>
      </tp>
      <tp t="s">
        <v>#N/A Requesting Data...</v>
        <stp/>
        <stp>##V3_BDHV12</stp>
        <stp>CL2 Comdty</stp>
        <stp>MOV_AVG_5D</stp>
        <stp>10/11/2016</stp>
        <stp>10/11/2016</stp>
        <stp>[Bbg_Market_Data_CL.xlsm]data!R103C10</stp>
        <tr r="J103" s="1"/>
      </tp>
      <tp t="s">
        <v>#N/A Requesting Data...</v>
        <stp/>
        <stp>##V3_BDHV12</stp>
        <stp>CL2 Comdty</stp>
        <stp>MOV_AVG_5D</stp>
        <stp>01/12/2015</stp>
        <stp>01/12/2015</stp>
        <stp>[Bbg_Market_Data_CL.xlsm]data!R339C10</stp>
        <tr r="J339" s="1"/>
      </tp>
      <tp t="s">
        <v>#N/A Requesting Data...</v>
        <stp/>
        <stp>##V3_BDHV12</stp>
        <stp>CL1 Comdty</stp>
        <stp>MOV_AVG_5D</stp>
        <stp>16/07/2015</stp>
        <stp>16/07/2015</stp>
        <stp>[Bbg_Market_Data_CL.xlsm]data!R433C10</stp>
        <tr r="J433" s="1"/>
      </tp>
      <tp t="s">
        <v>#N/A Requesting Data...</v>
        <stp/>
        <stp>##V3_BDHV12</stp>
        <stp>CL2 Comdty</stp>
        <stp>MOV_AVG_5D</stp>
        <stp>21/10/2015</stp>
        <stp>21/10/2015</stp>
        <stp>[Bbg_Market_Data_CL.xlsm]data!R366C10</stp>
        <tr r="J366" s="1"/>
      </tp>
      <tp t="s">
        <v>#N/A Requesting Data...</v>
        <stp/>
        <stp>##V3_BDHV12</stp>
        <stp>CL2 Comdty</stp>
        <stp>MOV_AVG_5D</stp>
        <stp>03/03/2016</stp>
        <stp>03/03/2016</stp>
        <stp>[Bbg_Market_Data_CL.xlsm]data!R277C10</stp>
        <tr r="J277" s="1"/>
      </tp>
      <tp t="s">
        <v>#N/A Requesting Data...</v>
        <stp/>
        <stp>##V3_BDHV12</stp>
        <stp>CL1 Comdty</stp>
        <stp>MOV_AVG_5D</stp>
        <stp>23/02/2016</stp>
        <stp>23/02/2016</stp>
        <stp>[Bbg_Market_Data_CL.xlsm]data!R284C10</stp>
        <tr r="J284" s="1"/>
      </tp>
      <tp t="s">
        <v>#N/A Requesting Data...</v>
        <stp/>
        <stp>##V3_BDHV12</stp>
        <stp>CL2 Comdty</stp>
        <stp>MOV_AVG_5D</stp>
        <stp>06/05/2015</stp>
        <stp>06/05/2015</stp>
        <stp>[Bbg_Market_Data_CL.xlsm]data!R482C10</stp>
        <tr r="J482" s="1"/>
      </tp>
      <tp t="s">
        <v>#N/A Requesting Data...</v>
        <stp/>
        <stp>##V3_BDHV12</stp>
        <stp>CL2 Comdty</stp>
        <stp>MOV_AVG_5D</stp>
        <stp>16/04/2015</stp>
        <stp>16/04/2015</stp>
        <stp>[Bbg_Market_Data_CL.xlsm]data!R496C10</stp>
        <tr r="J496" s="1"/>
      </tp>
      <tp t="s">
        <v>#N/A Requesting Data...</v>
        <stp/>
        <stp>##V3_BDHV12</stp>
        <stp>CL1 Comdty</stp>
        <stp>MOV_AVG_5D</stp>
        <stp>21/10/2016</stp>
        <stp>21/10/2016</stp>
        <stp>[Bbg_Market_Data_CL.xlsm]data!R117C10</stp>
        <tr r="J117" s="1"/>
      </tp>
      <tp t="s">
        <v>#N/A Requesting Data...</v>
        <stp/>
        <stp>##V3_BDHV12</stp>
        <stp>CL2 Comdty</stp>
        <stp>MOV_AVG_5D</stp>
        <stp>01/11/2016</stp>
        <stp>01/11/2016</stp>
        <stp>[Bbg_Market_Data_CL.xlsm]data!R110C10</stp>
        <tr r="J110" s="1"/>
      </tp>
      <tp t="s">
        <v>#N/A Requesting Data...</v>
        <stp/>
        <stp>##V3_BDHV12</stp>
        <stp>CL1 Comdty</stp>
        <stp>MOV_AVG_5D</stp>
        <stp>13/01/2016</stp>
        <stp>13/01/2016</stp>
        <stp>[Bbg_Market_Data_CL.xlsm]data!R310C10</stp>
        <tr r="J310" s="1"/>
      </tp>
      <tp t="s">
        <v>#N/A Requesting Data...</v>
        <stp/>
        <stp>##V3_BDHV12</stp>
        <stp>CL2 Comdty</stp>
        <stp>MOV_AVG_5D</stp>
        <stp>10/12/2015</stp>
        <stp>10/12/2015</stp>
        <stp>[Bbg_Market_Data_CL.xlsm]data!R332C10</stp>
        <tr r="J332" s="1"/>
      </tp>
      <tp t="s">
        <v>#N/A Requesting Data...</v>
        <stp/>
        <stp>##V3_BDHV12</stp>
        <stp>CL2 Comdty</stp>
        <stp>MOV_AVG_5D</stp>
        <stp>11/10/2016</stp>
        <stp>11/10/2016</stp>
        <stp>[Bbg_Market_Data_CL.xlsm]data!R125C10</stp>
        <tr r="J125" s="1"/>
      </tp>
      <tp t="s">
        <v>#N/A Requesting Data...</v>
        <stp/>
        <stp>##V3_BDHV12</stp>
        <stp>CL2 Comdty</stp>
        <stp>MOV_AVG_5D</stp>
        <stp>30/10/2015</stp>
        <stp>30/10/2015</stp>
        <stp>[Bbg_Market_Data_CL.xlsm]data!R359C10</stp>
        <tr r="J359" s="1"/>
      </tp>
      <tp t="s">
        <v>#N/A Requesting Data...</v>
        <stp/>
        <stp>##V3_BDHV12</stp>
        <stp>CL1 Comdty</stp>
        <stp>MOV_AVG_5D</stp>
        <stp>07/07/2015</stp>
        <stp>07/07/2015</stp>
        <stp>[Bbg_Market_Data_CL.xlsm]data!R440C10</stp>
        <tr r="J440" s="1"/>
      </tp>
      <tp t="s">
        <v>#N/A Requesting Data...</v>
        <stp/>
        <stp>##V3_BDHV12</stp>
        <stp>CL1 Comdty</stp>
        <stp>MOV_AVG_5D</stp>
        <stp>10/11/2015</stp>
        <stp>10/11/2015</stp>
        <stp>[Bbg_Market_Data_CL.xlsm]data!R352C10</stp>
        <tr r="J352" s="1"/>
      </tp>
      <tp t="s">
        <v>#N/A Requesting Data...</v>
        <stp/>
        <stp>##V3_BDHV12</stp>
        <stp>CL1 Comdty</stp>
        <stp>MOV_AVG_5D</stp>
        <stp>17/06/2015</stp>
        <stp>17/06/2015</stp>
        <stp>[Bbg_Market_Data_CL.xlsm]data!R453C10</stp>
        <tr r="J453" s="1"/>
      </tp>
      <tp t="s">
        <v>#N/A Requesting Data...</v>
        <stp/>
        <stp>##V3_BDHV12</stp>
        <stp>CL2 Comdty</stp>
        <stp>MOV_AVG_5D</stp>
        <stp>20/11/2015</stp>
        <stp>20/11/2015</stp>
        <stp>[Bbg_Market_Data_CL.xlsm]data!R345C10</stp>
        <tr r="J345" s="1"/>
      </tp>
      <tp t="s">
        <v>#N/A Requesting Data...</v>
        <stp/>
        <stp>##V3_BDHV12</stp>
        <stp>CL1 Comdty</stp>
        <stp>MOV_AVG_5D</stp>
        <stp>27/05/2015</stp>
        <stp>27/05/2015</stp>
        <stp>[Bbg_Market_Data_CL.xlsm]data!R468C10</stp>
        <tr r="J468" s="1"/>
      </tp>
      <tp t="s">
        <v>#N/A Requesting Data...</v>
        <stp/>
        <stp>##V3_BDHV12</stp>
        <stp>CL1 Comdty</stp>
        <stp>MOV_AVG_5D</stp>
        <stp>22/03/2016</stp>
        <stp>22/03/2016</stp>
        <stp>[Bbg_Market_Data_CL.xlsm]data!R264C10</stp>
        <tr r="J264" s="1"/>
      </tp>
      <tp t="s">
        <v>#N/A Requesting Data...</v>
        <stp/>
        <stp>##V3_BDHV12</stp>
        <stp>CL2 Comdty</stp>
        <stp>MOV_AVG_5D</stp>
        <stp>02/02/2016</stp>
        <stp>02/02/2016</stp>
        <stp>[Bbg_Market_Data_CL.xlsm]data!R297C10</stp>
        <tr r="J297" s="1"/>
      </tp>
      <tp t="s">
        <v>#N/A Requesting Data...</v>
        <stp/>
        <stp>##V3_BDHV12</stp>
        <stp>CL2 Comdty</stp>
        <stp>MOV_AVG_5D</stp>
        <stp>05/05/2016</stp>
        <stp>05/05/2016</stp>
        <stp>[Bbg_Market_Data_CL.xlsm]data!R233C10</stp>
        <tr r="J233" s="1"/>
      </tp>
      <tp t="s">
        <v>#N/A Requesting Data...</v>
        <stp/>
        <stp>##V3_BDHV12</stp>
        <stp>CL1 Comdty</stp>
        <stp>MOV_AVG_5D</stp>
        <stp>25/04/2016</stp>
        <stp>25/04/2016</stp>
        <stp>[Bbg_Market_Data_CL.xlsm]data!R241C10</stp>
        <tr r="J241" s="1"/>
      </tp>
      <tp t="s">
        <v>#N/A Requesting Data...</v>
        <stp/>
        <stp>##V3_BDHV12</stp>
        <stp>CL2 Comdty</stp>
        <stp>MOV_AVG_5D</stp>
        <stp>15/04/2016</stp>
        <stp>15/04/2016</stp>
        <stp>[Bbg_Market_Data_CL.xlsm]data!R247C10</stp>
        <tr r="J247" s="1"/>
      </tp>
      <tp t="s">
        <v>#N/A Requesting Data...</v>
        <stp/>
        <stp>##V3_BDHV12</stp>
        <stp>CL1 Comdty</stp>
        <stp>MOV_AVG_5D</stp>
        <stp>26/07/2016</stp>
        <stp>26/07/2016</stp>
        <stp>[Bbg_Market_Data_CL.xlsm]data!R177C10</stp>
        <tr r="J177" s="1"/>
      </tp>
      <tp t="s">
        <v>#N/A Requesting Data...</v>
        <stp/>
        <stp>##V3_BDHV12</stp>
        <stp>CL1 Comdty</stp>
        <stp>MOV_AVG_5D</stp>
        <stp>14/06/2016</stp>
        <stp>14/06/2016</stp>
        <stp>[Bbg_Market_Data_CL.xlsm]data!R206C10</stp>
        <tr r="J206" s="1"/>
      </tp>
      <tp t="s">
        <v>#N/A Requesting Data...</v>
        <stp/>
        <stp>##V3_BDHV12</stp>
        <stp>CL1 Comdty</stp>
        <stp>MOV_AVG_5D</stp>
        <stp>24/05/2016</stp>
        <stp>24/05/2016</stp>
        <stp>[Bbg_Market_Data_CL.xlsm]data!R220C10</stp>
        <tr r="J220" s="1"/>
      </tp>
      <tp t="s">
        <v>#N/A Requesting Data...</v>
        <stp/>
        <stp>##V3_BDHV12</stp>
        <stp>CL2 Comdty</stp>
        <stp>MOV_AVG_5D</stp>
        <stp>04/04/2016</stp>
        <stp>04/04/2016</stp>
        <stp>[Bbg_Market_Data_CL.xlsm]data!R256C10</stp>
        <tr r="J256" s="1"/>
      </tp>
      <tp t="s">
        <v>#N/A Requesting Data...</v>
        <stp/>
        <stp>##V3_BDHV12</stp>
        <stp>CL2 Comdty</stp>
        <stp>MOV_AVG_5D</stp>
        <stp>07/07/2016</stp>
        <stp>07/07/2016</stp>
        <stp>[Bbg_Market_Data_CL.xlsm]data!R190C10</stp>
        <tr r="J190" s="1"/>
      </tp>
      <tp t="s">
        <v>#N/A Requesting Data...</v>
        <stp/>
        <stp>##V3_BDHV12</stp>
        <stp>CL1 Comdty</stp>
        <stp>MOV_AVG_5D</stp>
        <stp>27/06/2016</stp>
        <stp>27/06/2016</stp>
        <stp>[Bbg_Market_Data_CL.xlsm]data!R197C10</stp>
        <tr r="J197" s="1"/>
      </tp>
      <tp t="s">
        <v>#N/A Requesting Data...</v>
        <stp/>
        <stp>##V3_BDHV12</stp>
        <stp>CL2 Comdty</stp>
        <stp>MOV_AVG_5D</stp>
        <stp>17/06/2016</stp>
        <stp>17/06/2016</stp>
        <stp>[Bbg_Market_Data_CL.xlsm]data!R203C10</stp>
        <tr r="J203" s="1"/>
      </tp>
      <tp t="s">
        <v>#N/A Requesting Data...</v>
        <stp/>
        <stp>##V3_BDHV12</stp>
        <stp>CL2 Comdty</stp>
        <stp>MOV_AVG_5D</stp>
        <stp>27/05/2016</stp>
        <stp>27/05/2016</stp>
        <stp>[Bbg_Market_Data_CL.xlsm]data!R217C10</stp>
        <tr r="J217" s="1"/>
      </tp>
      <tp t="s">
        <v>#N/A Requesting Data...</v>
        <stp/>
        <stp>##V3_BDHV12</stp>
        <stp>CL1 Comdty</stp>
        <stp>MOV_AVG_5D</stp>
        <stp>17/05/2016</stp>
        <stp>17/05/2016</stp>
        <stp>[Bbg_Market_Data_CL.xlsm]data!R225C10</stp>
        <tr r="J225" s="1"/>
      </tp>
      <tp t="s">
        <v>#N/A Requesting Data...</v>
        <stp/>
        <stp>##V3_BDHV12</stp>
        <stp>CL1 Comdty</stp>
        <stp>MOV_AVG_5D</stp>
        <stp>07/04/2016</stp>
        <stp>07/04/2016</stp>
        <stp>[Bbg_Market_Data_CL.xlsm]data!R253C10</stp>
        <tr r="J253" s="1"/>
      </tp>
      <tp t="s">
        <v>#N/A Requesting Data...</v>
        <stp/>
        <stp>##V3_BDHV12</stp>
        <stp>CL2 Comdty</stp>
        <stp>MOV_AVG_5D</stp>
        <stp>24/06/2016</stp>
        <stp>24/06/2016</stp>
        <stp>[Bbg_Market_Data_CL.xlsm]data!R198C10</stp>
        <tr r="J198" s="1"/>
      </tp>
      <tp t="s">
        <v>#N/A Requesting Data...</v>
        <stp/>
        <stp>##V3_BDHV12</stp>
        <stp>CL2 Comdty</stp>
        <stp>MOV_AVG_5D</stp>
        <stp>06/06/2016</stp>
        <stp>06/06/2016</stp>
        <stp>[Bbg_Market_Data_CL.xlsm]data!R212C10</stp>
        <tr r="J212" s="1"/>
      </tp>
      <tp t="s">
        <v>#N/A Requesting Data...</v>
        <stp/>
        <stp>##V3_BDHV12</stp>
        <stp>CL1 Comdty</stp>
        <stp>MOV_AVG_5D</stp>
        <stp>06/05/2016</stp>
        <stp>06/05/2016</stp>
        <stp>[Bbg_Market_Data_CL.xlsm]data!R232C10</stp>
        <tr r="J232" s="1"/>
      </tp>
      <tp t="s">
        <v>#N/A Requesting Data...</v>
        <stp/>
        <stp>##V3_BDHV12</stp>
        <stp>CL2 Comdty</stp>
        <stp>MOV_AVG_5D</stp>
        <stp>26/04/2016</stp>
        <stp>26/04/2016</stp>
        <stp>[Bbg_Market_Data_CL.xlsm]data!R240C10</stp>
        <tr r="J240" s="1"/>
      </tp>
      <tp t="s">
        <v>#N/A Requesting Data...</v>
        <stp/>
        <stp>##V3_BDHV12</stp>
        <stp>CL2 Comdty</stp>
        <stp>MOV_AVG_5D</stp>
        <stp>25/07/2016</stp>
        <stp>25/07/2016</stp>
        <stp>[Bbg_Market_Data_CL.xlsm]data!R178C10</stp>
        <tr r="J178" s="1"/>
      </tp>
      <tp t="s">
        <v>#N/A Requesting Data...</v>
        <stp/>
        <stp>##V3_BDHV12</stp>
        <stp>CL1 Comdty</stp>
        <stp>MOV_AVG_5D</stp>
        <stp>15/07/2016</stp>
        <stp>15/07/2016</stp>
        <stp>[Bbg_Market_Data_CL.xlsm]data!R184C10</stp>
        <tr r="J184" s="1"/>
      </tp>
      <tp t="s">
        <v>#N/A Requesting Data...</v>
        <stp/>
        <stp>##V3_BDHV12</stp>
        <stp>CL1 Comdty</stp>
        <stp>MOV_AVG_5D</stp>
        <stp>28/09/2016</stp>
        <stp>28/09/2016</stp>
        <stp>[Bbg_Market_Data_CL.xlsm]data!R133C10</stp>
        <tr r="J133" s="1"/>
      </tp>
      <tp t="s">
        <v>#N/A Requesting Data...</v>
        <stp/>
        <stp>##V3_BDHV12</stp>
        <stp>CL1 Comdty</stp>
        <stp>MOV_AVG_5D</stp>
        <stp>09/09/2015</stp>
        <stp>09/09/2015</stp>
        <stp>[Bbg_Market_Data_CL.xlsm]data!R395C10</stp>
        <tr r="J395" s="1"/>
      </tp>
      <tp t="s">
        <v>#N/A Requesting Data...</v>
        <stp/>
        <stp>##V3_BDHV12</stp>
        <stp>CL2 Comdty</stp>
        <stp>MOV_AVG_5D</stp>
        <stp>09/09/2016</stp>
        <stp>09/09/2016</stp>
        <stp>[Bbg_Market_Data_CL.xlsm]data!R146C10</stp>
        <tr r="J146" s="1"/>
      </tp>
      <tp t="s">
        <v>#N/A Requesting Data...</v>
        <stp/>
        <stp>##V3_BDHV12</stp>
        <stp>CL1 Comdty</stp>
        <stp>MOV_AVG_5D</stp>
        <stp>29/08/2016</stp>
        <stp>29/08/2016</stp>
        <stp>[Bbg_Market_Data_CL.xlsm]data!R154C10</stp>
        <tr r="J154" s="1"/>
      </tp>
      <tp t="s">
        <v>#N/A Requesting Data...</v>
        <stp/>
        <stp>##V3_BDHV12</stp>
        <stp>CL2 Comdty</stp>
        <stp>MOV_AVG_5D</stp>
        <stp>19/08/2016</stp>
        <stp>19/08/2016</stp>
        <stp>[Bbg_Market_Data_CL.xlsm]data!R160C10</stp>
        <tr r="J160" s="1"/>
      </tp>
      <tp t="s">
        <v>#N/A Requesting Data...</v>
        <stp/>
        <stp>##V3_BDHV12</stp>
        <stp>CL2 Comdty</stp>
        <stp>MOV_AVG_5D</stp>
        <stp>28/09/2015</stp>
        <stp>28/09/2015</stp>
        <stp>[Bbg_Market_Data_CL.xlsm]data!R382C10</stp>
        <tr r="J382" s="1"/>
      </tp>
      <tp t="s">
        <v>#N/A Requesting Data...</v>
        <stp/>
        <stp>##V3_BDHV12</stp>
        <stp>CL1 Comdty</stp>
        <stp>MOV_AVG_5D</stp>
        <stp>18/09/2015</stp>
        <stp>18/09/2015</stp>
        <stp>[Bbg_Market_Data_CL.xlsm]data!R388C10</stp>
        <tr r="J388" s="1"/>
      </tp>
      <tp t="s">
        <v>#N/A Requesting Data...</v>
        <stp/>
        <stp>##V3_BDHV12</stp>
        <stp>CL1 Comdty</stp>
        <stp>MOV_AVG_5D</stp>
        <stp>19/08/2015</stp>
        <stp>19/08/2015</stp>
        <stp>[Bbg_Market_Data_CL.xlsm]data!R409C10</stp>
        <tr r="J409" s="1"/>
      </tp>
      <tp t="s">
        <v>#N/A Requesting Data...</v>
        <stp/>
        <stp>##V3_BDHV12</stp>
        <stp>CL1 Comdty</stp>
        <stp>PX_HIGH</stp>
        <stp>08/02/2017</stp>
        <stp>08/02/2017</stp>
        <stp>[Bbg_Market_Data_CL.xlsm]data!R44C6</stp>
        <tr r="F44" s="1"/>
      </tp>
      <tp>
        <v>54.08</v>
        <stp/>
        <stp>##V3_BDHV12</stp>
        <stp>CL2 Comdty</stp>
        <stp>PX_HIGH</stp>
        <stp>22/12/2016</stp>
        <stp>22/12/2016</stp>
        <stp>[Bbg_Market_Data_CL.xlsm]data!R75C6</stp>
        <tr r="F75" s="1"/>
      </tp>
      <tp>
        <v>49</v>
        <stp/>
        <stp>##V3_BDHV12</stp>
        <stp>CL2 Comdty</stp>
        <stp>PX_HIGH</stp>
        <stp>23/03/2017</stp>
        <stp>23/03/2017</stp>
        <stp>[Bbg_Market_Data_CL.xlsm]data!R14C6</stp>
        <tr r="F14" s="1"/>
      </tp>
      <tp t="s">
        <v>#N/A Requesting Data...</v>
        <stp/>
        <stp>##V3_BDHV12</stp>
        <stp>CL1 Comdty</stp>
        <stp>PX_HIGH</stp>
        <stp>23/11/2016</stp>
        <stp>23/11/2016</stp>
        <stp>[Bbg_Market_Data_CL.xlsm]data!R95C6</stp>
        <tr r="F95" s="1"/>
      </tp>
      <tp t="s">
        <v>#N/A Requesting Data...</v>
        <stp/>
        <stp>##V3_BDHV12</stp>
        <stp>CL1 Comdty</stp>
        <stp>PX_HIGH</stp>
        <stp>08/12/2016</stp>
        <stp>08/12/2016</stp>
        <stp>[Bbg_Market_Data_CL.xlsm]data!R85C6</stp>
        <tr r="F85" s="1"/>
      </tp>
      <tp t="s">
        <v>#N/A Requesting Data...</v>
        <stp/>
        <stp>##V3_BDHV12</stp>
        <stp>CL1 Comdty</stp>
        <stp>PX_HIGH</stp>
        <stp>09/03/2017</stp>
        <stp>09/03/2017</stp>
        <stp>[Bbg_Market_Data_CL.xlsm]data!R24C6</stp>
        <tr r="F24" s="1"/>
      </tp>
      <tp t="s">
        <v>#N/A Requesting Data...</v>
        <stp/>
        <stp>##V3_BDHV12</stp>
        <stp>CL1 Comdty</stp>
        <stp>PX_HIGH</stp>
        <stp>25/01/2017</stp>
        <stp>25/01/2017</stp>
        <stp>[Bbg_Market_Data_CL.xlsm]data!R54C6</stp>
        <tr r="F54" s="1"/>
      </tp>
      <tp>
        <v>55.25</v>
        <stp/>
        <stp>##V3_BDHV12</stp>
        <stp>CL2 Comdty</stp>
        <stp>PX_HIGH</stp>
        <stp>23/02/2017</stp>
        <stp>23/02/2017</stp>
        <stp>[Bbg_Market_Data_CL.xlsm]data!R34C6</stp>
        <tr r="F34" s="1"/>
      </tp>
      <tp>
        <v>53.25</v>
        <stp/>
        <stp>##V3_BDHV12</stp>
        <stp>CL2 Comdty</stp>
        <stp>PX_HIGH</stp>
        <stp>10/01/2017</stp>
        <stp>10/01/2017</stp>
        <stp>[Bbg_Market_Data_CL.xlsm]data!R64C6</stp>
        <tr r="F64" s="1"/>
      </tp>
      <tp>
        <v>52</v>
        <stp/>
        <stp>##V3_BDHV12</stp>
        <stp>CL2 Comdty</stp>
        <stp>PX_HIGH</stp>
        <stp>08/12/2016</stp>
        <stp>08/12/2016</stp>
        <stp>[Bbg_Market_Data_CL.xlsm]data!R85C6</stp>
        <tr r="F85" s="1"/>
      </tp>
      <tp>
        <v>51.4</v>
        <stp/>
        <stp>##V3_BDHV12</stp>
        <stp>CL2 Comdty</stp>
        <stp>PX_HIGH</stp>
        <stp>09/03/2017</stp>
        <stp>09/03/2017</stp>
        <stp>[Bbg_Market_Data_CL.xlsm]data!R24C6</stp>
        <tr r="F24" s="1"/>
      </tp>
      <tp>
        <v>54.1</v>
        <stp/>
        <stp>##V3_BDHV12</stp>
        <stp>CL2 Comdty</stp>
        <stp>PX_HIGH</stp>
        <stp>25/01/2017</stp>
        <stp>25/01/2017</stp>
        <stp>[Bbg_Market_Data_CL.xlsm]data!R54C6</stp>
        <tr r="F54" s="1"/>
      </tp>
      <tp t="s">
        <v>#N/A Requesting Data...</v>
        <stp/>
        <stp>##V3_BDHV12</stp>
        <stp>CL1 Comdty</stp>
        <stp>PX_HIGH</stp>
        <stp>23/02/2017</stp>
        <stp>23/02/2017</stp>
        <stp>[Bbg_Market_Data_CL.xlsm]data!R34C6</stp>
        <tr r="F34" s="1"/>
      </tp>
      <tp t="s">
        <v>#N/A Requesting Data...</v>
        <stp/>
        <stp>##V3_BDHV12</stp>
        <stp>CL1 Comdty</stp>
        <stp>PX_HIGH</stp>
        <stp>10/01/2017</stp>
        <stp>10/01/2017</stp>
        <stp>[Bbg_Market_Data_CL.xlsm]data!R64C6</stp>
        <tr r="F64" s="1"/>
      </tp>
      <tp>
        <v>53.24</v>
        <stp/>
        <stp>##V3_BDHV12</stp>
        <stp>CL2 Comdty</stp>
        <stp>PX_HIGH</stp>
        <stp>08/02/2017</stp>
        <stp>08/02/2017</stp>
        <stp>[Bbg_Market_Data_CL.xlsm]data!R44C6</stp>
        <tr r="F44" s="1"/>
      </tp>
      <tp t="s">
        <v>#N/A Requesting Data...</v>
        <stp/>
        <stp>##V3_BDHV12</stp>
        <stp>CL1 Comdty</stp>
        <stp>PX_HIGH</stp>
        <stp>22/12/2016</stp>
        <stp>22/12/2016</stp>
        <stp>[Bbg_Market_Data_CL.xlsm]data!R75C6</stp>
        <tr r="F75" s="1"/>
      </tp>
      <tp t="s">
        <v>#N/A Requesting Data...</v>
        <stp/>
        <stp>##V3_BDHV12</stp>
        <stp>CL1 Comdty</stp>
        <stp>PX_HIGH</stp>
        <stp>23/03/2017</stp>
        <stp>23/03/2017</stp>
        <stp>[Bbg_Market_Data_CL.xlsm]data!R14C6</stp>
        <tr r="F14" s="1"/>
      </tp>
      <tp>
        <v>49.3</v>
        <stp/>
        <stp>##V3_BDHV12</stp>
        <stp>CL2 Comdty</stp>
        <stp>PX_HIGH</stp>
        <stp>23/11/2016</stp>
        <stp>23/11/2016</stp>
        <stp>[Bbg_Market_Data_CL.xlsm]data!R95C6</stp>
        <tr r="F95" s="1"/>
      </tp>
      <tp t="s">
        <v>#N/A Requesting Data...</v>
        <stp/>
        <stp>##V3_BDHV12</stp>
        <stp>CL1 Comdty</stp>
        <stp>PX_OPEN</stp>
        <stp>27/03/2017</stp>
        <stp>27/03/2017</stp>
        <stp>[Bbg_Market_Data_CL.xlsm]data!R12C5</stp>
        <tr r="E12" s="1"/>
      </tp>
      <tp t="s">
        <v>#N/A Requesting Data...</v>
        <stp/>
        <stp>##V3_BDHV12</stp>
        <stp>CL1 Comdty</stp>
        <stp>PX_OPEN</stp>
        <stp>27/12/2016</stp>
        <stp>27/12/2016</stp>
        <stp>[Bbg_Market_Data_CL.xlsm]data!R73C5</stp>
        <tr r="E73" s="1"/>
      </tp>
      <tp>
        <v>49</v>
        <stp/>
        <stp>##V3_BDHV12</stp>
        <stp>CL2 Comdty</stp>
        <stp>PX_OPEN</stp>
        <stp>13/03/2017</stp>
        <stp>13/03/2017</stp>
        <stp>[Bbg_Market_Data_CL.xlsm]data!R22C5</stp>
        <tr r="E22" s="1"/>
      </tp>
      <tp>
        <v>53.7</v>
        <stp/>
        <stp>##V3_BDHV12</stp>
        <stp>CL2 Comdty</stp>
        <stp>PX_OPEN</stp>
        <stp>12/12/2016</stp>
        <stp>12/12/2016</stp>
        <stp>[Bbg_Market_Data_CL.xlsm]data!R83C5</stp>
        <tr r="E83" s="1"/>
      </tp>
      <tp>
        <v>46.66</v>
        <stp/>
        <stp>##V3_BDHV12</stp>
        <stp>CL2 Comdty</stp>
        <stp>PX_OPEN</stp>
        <stp>28/11/2016</stp>
        <stp>28/11/2016</stp>
        <stp>[Bbg_Market_Data_CL.xlsm]data!R93C5</stp>
        <tr r="E93" s="1"/>
      </tp>
      <tp>
        <v>54.38</v>
        <stp/>
        <stp>##V3_BDHV12</stp>
        <stp>CL2 Comdty</stp>
        <stp>PX_OPEN</stp>
        <stp>27/01/2017</stp>
        <stp>27/01/2017</stp>
        <stp>[Bbg_Market_Data_CL.xlsm]data!R52C5</stp>
        <tr r="E52" s="1"/>
      </tp>
      <tp t="s">
        <v>#N/A Requesting Data...</v>
        <stp/>
        <stp>##V3_BDHV12</stp>
        <stp>CL1 Comdty</stp>
        <stp>PX_OPEN</stp>
        <stp>27/02/2017</stp>
        <stp>27/02/2017</stp>
        <stp>[Bbg_Market_Data_CL.xlsm]data!R32C5</stp>
        <tr r="E32" s="1"/>
      </tp>
      <tp>
        <v>53.55</v>
        <stp/>
        <stp>##V3_BDHV12</stp>
        <stp>CL2 Comdty</stp>
        <stp>PX_OPEN</stp>
        <stp>10/02/2017</stp>
        <stp>10/02/2017</stp>
        <stp>[Bbg_Market_Data_CL.xlsm]data!R42C5</stp>
        <tr r="E42" s="1"/>
      </tp>
      <tp t="s">
        <v>#N/A Requesting Data...</v>
        <stp/>
        <stp>##V3_BDHV12</stp>
        <stp>CL1 Comdty</stp>
        <stp>PX_OPEN</stp>
        <stp>12/01/2017</stp>
        <stp>12/01/2017</stp>
        <stp>[Bbg_Market_Data_CL.xlsm]data!R62C5</stp>
        <tr r="E62" s="1"/>
      </tp>
      <tp t="s">
        <v>#N/A Requesting Data...</v>
        <stp/>
        <stp>##V3_BDHV12</stp>
        <stp>CL1 Comdty</stp>
        <stp>PX_OPEN</stp>
        <stp>27/01/2017</stp>
        <stp>27/01/2017</stp>
        <stp>[Bbg_Market_Data_CL.xlsm]data!R52C5</stp>
        <tr r="E52" s="1"/>
      </tp>
      <tp>
        <v>54.34</v>
        <stp/>
        <stp>##V3_BDHV12</stp>
        <stp>CL2 Comdty</stp>
        <stp>PX_OPEN</stp>
        <stp>27/02/2017</stp>
        <stp>27/02/2017</stp>
        <stp>[Bbg_Market_Data_CL.xlsm]data!R32C5</stp>
        <tr r="E32" s="1"/>
      </tp>
      <tp t="s">
        <v>#N/A Requesting Data...</v>
        <stp/>
        <stp>##V3_BDHV12</stp>
        <stp>CL1 Comdty</stp>
        <stp>PX_OPEN</stp>
        <stp>10/02/2017</stp>
        <stp>10/02/2017</stp>
        <stp>[Bbg_Market_Data_CL.xlsm]data!R42C5</stp>
        <tr r="E42" s="1"/>
      </tp>
      <tp>
        <v>53.12</v>
        <stp/>
        <stp>##V3_BDHV12</stp>
        <stp>CL2 Comdty</stp>
        <stp>PX_OPEN</stp>
        <stp>12/01/2017</stp>
        <stp>12/01/2017</stp>
        <stp>[Bbg_Market_Data_CL.xlsm]data!R62C5</stp>
        <tr r="E62" s="1"/>
      </tp>
      <tp>
        <v>48.69</v>
        <stp/>
        <stp>##V3_BDHV12</stp>
        <stp>CL2 Comdty</stp>
        <stp>PX_OPEN</stp>
        <stp>27/03/2017</stp>
        <stp>27/03/2017</stp>
        <stp>[Bbg_Market_Data_CL.xlsm]data!R12C5</stp>
        <tr r="E12" s="1"/>
      </tp>
      <tp>
        <v>54.18</v>
        <stp/>
        <stp>##V3_BDHV12</stp>
        <stp>CL2 Comdty</stp>
        <stp>PX_OPEN</stp>
        <stp>27/12/2016</stp>
        <stp>27/12/2016</stp>
        <stp>[Bbg_Market_Data_CL.xlsm]data!R73C5</stp>
        <tr r="E73" s="1"/>
      </tp>
      <tp t="s">
        <v>#N/A Requesting Data...</v>
        <stp/>
        <stp>##V3_BDHV12</stp>
        <stp>CL1 Comdty</stp>
        <stp>PX_OPEN</stp>
        <stp>13/03/2017</stp>
        <stp>13/03/2017</stp>
        <stp>[Bbg_Market_Data_CL.xlsm]data!R22C5</stp>
        <tr r="E22" s="1"/>
      </tp>
      <tp t="s">
        <v>#N/A Requesting Data...</v>
        <stp/>
        <stp>##V3_BDHV12</stp>
        <stp>CL1 Comdty</stp>
        <stp>PX_OPEN</stp>
        <stp>12/12/2016</stp>
        <stp>12/12/2016</stp>
        <stp>[Bbg_Market_Data_CL.xlsm]data!R83C5</stp>
        <tr r="E83" s="1"/>
      </tp>
      <tp t="s">
        <v>#N/A Requesting Data...</v>
        <stp/>
        <stp>##V3_BDHV12</stp>
        <stp>CL1 Comdty</stp>
        <stp>PX_OPEN</stp>
        <stp>28/11/2016</stp>
        <stp>28/11/2016</stp>
        <stp>[Bbg_Market_Data_CL.xlsm]data!R93C5</stp>
        <tr r="E93" s="1"/>
      </tp>
      <tp t="s">
        <v>#N/A Requesting Data...</v>
        <stp/>
        <stp>##V3_BDHV12</stp>
        <stp>CL1 Comdty</stp>
        <stp>PX_VOLUME</stp>
        <stp>02/03/2017</stp>
        <stp>02/03/2017</stp>
        <stp>[Bbg_Market_Data_CL.xlsm]data!R29C8</stp>
        <tr r="H29" s="1"/>
      </tp>
      <tp>
        <v>176399</v>
        <stp/>
        <stp>##V3_BDHV12</stp>
        <stp>CL2 Comdty</stp>
        <stp>PX_VOLUME</stp>
        <stp>02/03/2017</stp>
        <stp>02/03/2017</stp>
        <stp>[Bbg_Market_Data_CL.xlsm]data!R29C8</stp>
        <tr r="H29" s="1"/>
      </tp>
      <tp>
        <v>258043</v>
        <stp/>
        <stp>##V3_BDHV12</stp>
        <stp>CL2 Comdty</stp>
        <stp>PX_VOLUME</stp>
        <stp>15/02/2017</stp>
        <stp>15/02/2017</stp>
        <stp>[Bbg_Market_Data_CL.xlsm]data!R39C8</stp>
        <tr r="H39" s="1"/>
      </tp>
      <tp t="s">
        <v>#N/A Requesting Data...</v>
        <stp/>
        <stp>##V3_BDHV12</stp>
        <stp>CL1 Comdty</stp>
        <stp>PX_VOLUME</stp>
        <stp>15/02/2017</stp>
        <stp>15/02/2017</stp>
        <stp>[Bbg_Market_Data_CL.xlsm]data!R39C8</stp>
        <tr r="H39" s="1"/>
      </tp>
      <tp t="s">
        <v>#N/A Requesting Data...</v>
        <stp/>
        <stp>##V3_BDHV12</stp>
        <stp>CL1 Comdty</stp>
        <stp>PX_VOLUME</stp>
        <stp>05/12/2016</stp>
        <stp>05/12/2016</stp>
        <stp>[Bbg_Market_Data_CL.xlsm]data!R88C8</stp>
        <tr r="H88" s="1"/>
      </tp>
      <tp>
        <v>194120</v>
        <stp/>
        <stp>##V3_BDHV12</stp>
        <stp>CL2 Comdty</stp>
        <stp>PX_VOLUME</stp>
        <stp>05/12/2016</stp>
        <stp>05/12/2016</stp>
        <stp>[Bbg_Market_Data_CL.xlsm]data!R88C8</stp>
        <tr r="H88" s="1"/>
      </tp>
      <tp t="s">
        <v>#N/A Requesting Data...</v>
        <stp/>
        <stp>##V3_BDHV12</stp>
        <stp>CL1 Comdty</stp>
        <stp>PX_VOLUME</stp>
        <stp>01/02/2017</stp>
        <stp>01/02/2017</stp>
        <stp>[Bbg_Market_Data_CL.xlsm]data!R49C8</stp>
        <tr r="H49" s="1"/>
      </tp>
      <tp>
        <v>162124</v>
        <stp/>
        <stp>##V3_BDHV12</stp>
        <stp>CL2 Comdty</stp>
        <stp>PX_VOLUME</stp>
        <stp>01/02/2017</stp>
        <stp>01/02/2017</stp>
        <stp>[Bbg_Market_Data_CL.xlsm]data!R49C8</stp>
        <tr r="H49" s="1"/>
      </tp>
      <tp>
        <v>376317</v>
        <stp/>
        <stp>##V3_BDHV12</stp>
        <stp>CL2 Comdty</stp>
        <stp>PX_VOLUME</stp>
        <stp>16/03/2017</stp>
        <stp>16/03/2017</stp>
        <stp>[Bbg_Market_Data_CL.xlsm]data!R19C8</stp>
        <tr r="H19" s="1"/>
      </tp>
      <tp t="s">
        <v>#N/A Requesting Data...</v>
        <stp/>
        <stp>##V3_BDHV12</stp>
        <stp>CL1 Comdty</stp>
        <stp>PX_VOLUME</stp>
        <stp>16/03/2017</stp>
        <stp>16/03/2017</stp>
        <stp>[Bbg_Market_Data_CL.xlsm]data!R19C8</stp>
        <tr r="H19" s="1"/>
      </tp>
      <tp>
        <v>482552</v>
        <stp/>
        <stp>##V3_BDHV12</stp>
        <stp>CL2 Comdty</stp>
        <stp>PX_VOLUME</stp>
        <stp>19/12/2016</stp>
        <stp>19/12/2016</stp>
        <stp>[Bbg_Market_Data_CL.xlsm]data!R78C8</stp>
        <tr r="H78" s="1"/>
      </tp>
      <tp t="s">
        <v>#N/A Requesting Data...</v>
        <stp/>
        <stp>##V3_BDHV12</stp>
        <stp>CL1 Comdty</stp>
        <stp>PX_VOLUME</stp>
        <stp>19/12/2016</stp>
        <stp>19/12/2016</stp>
        <stp>[Bbg_Market_Data_CL.xlsm]data!R78C8</stp>
        <tr r="H78" s="1"/>
      </tp>
      <tp t="s">
        <v>#N/A Requesting Data...</v>
        <stp/>
        <stp>##V3_BDHV12</stp>
        <stp>CL1 Comdty</stp>
        <stp>PX_VOLUME</stp>
        <stp>03/01/2017</stp>
        <stp>03/01/2017</stp>
        <stp>[Bbg_Market_Data_CL.xlsm]data!R69C8</stp>
        <tr r="H69" s="1"/>
      </tp>
      <tp>
        <v>239830</v>
        <stp/>
        <stp>##V3_BDHV12</stp>
        <stp>CL2 Comdty</stp>
        <stp>PX_VOLUME</stp>
        <stp>03/01/2017</stp>
        <stp>03/01/2017</stp>
        <stp>[Bbg_Market_Data_CL.xlsm]data!R69C8</stp>
        <tr r="H69" s="1"/>
      </tp>
      <tp t="s">
        <v>#N/A Requesting Data...</v>
        <stp/>
        <stp>##V3_BDHV12</stp>
        <stp>CL1 Comdty</stp>
        <stp>PX_VOLUME</stp>
        <stp>18/11/2016</stp>
        <stp>18/11/2016</stp>
        <stp>[Bbg_Market_Data_CL.xlsm]data!R98C8</stp>
        <tr r="H98" s="1"/>
      </tp>
      <tp>
        <v>660408</v>
        <stp/>
        <stp>##V3_BDHV12</stp>
        <stp>CL2 Comdty</stp>
        <stp>PX_VOLUME</stp>
        <stp>18/11/2016</stp>
        <stp>18/11/2016</stp>
        <stp>[Bbg_Market_Data_CL.xlsm]data!R98C8</stp>
        <tr r="H98" s="1"/>
      </tp>
      <tp t="s">
        <v>#N/A Requesting Data...</v>
        <stp/>
        <stp>##V3_BDHV12</stp>
        <stp>CL1 Comdty</stp>
        <stp>PX_VOLUME</stp>
        <stp>18/01/2017</stp>
        <stp>18/01/2017</stp>
        <stp>[Bbg_Market_Data_CL.xlsm]data!R59C8</stp>
        <tr r="H59" s="1"/>
      </tp>
      <tp>
        <v>559512</v>
        <stp/>
        <stp>##V3_BDHV12</stp>
        <stp>CL2 Comdty</stp>
        <stp>PX_VOLUME</stp>
        <stp>18/01/2017</stp>
        <stp>18/01/2017</stp>
        <stp>[Bbg_Market_Data_CL.xlsm]data!R59C8</stp>
        <tr r="H59" s="1"/>
      </tp>
      <tp t="s">
        <v>#N/A Requesting Data...</v>
        <stp/>
        <stp>##V3_BDHV12</stp>
        <stp>CL2 Comdty</stp>
        <stp>MOV_AVG_5D</stp>
        <stp>20/01/2016</stp>
        <stp>20/01/2016</stp>
        <stp>[Bbg_Market_Data_CL.xlsm]data!R306C10</stp>
        <tr r="J306" s="1"/>
      </tp>
      <tp t="s">
        <v>#N/A Requesting Data...</v>
        <stp/>
        <stp>##V3_BDHV12</stp>
        <stp>CL2 Comdty</stp>
        <stp>MOV_AVG_5D</stp>
        <stp>02/11/2016</stp>
        <stp>02/11/2016</stp>
        <stp>[Bbg_Market_Data_CL.xlsm]data!R109C10</stp>
        <tr r="J109" s="1"/>
      </tp>
      <tp t="s">
        <v>#N/A Requesting Data...</v>
        <stp/>
        <stp>##V3_BDHV12</stp>
        <stp>CL2 Comdty</stp>
        <stp>MOV_AVG_5D</stp>
        <stp>12/10/2016</stp>
        <stp>12/10/2016</stp>
        <stp>[Bbg_Market_Data_CL.xlsm]data!R124C10</stp>
        <tr r="J124" s="1"/>
      </tp>
      <tp t="s">
        <v>#N/A Requesting Data...</v>
        <stp/>
        <stp>##V3_BDHV12</stp>
        <stp>CL1 Comdty</stp>
        <stp>MOV_AVG_5D</stp>
        <stp>23/12/2015</stp>
        <stp>23/12/2015</stp>
        <stp>[Bbg_Market_Data_CL.xlsm]data!R323C10</stp>
        <tr r="J323" s="1"/>
      </tp>
      <tp t="s">
        <v>#N/A Requesting Data...</v>
        <stp/>
        <stp>##V3_BDHV12</stp>
        <stp>CL2 Comdty</stp>
        <stp>MOV_AVG_5D</stp>
        <stp>24/06/2015</stp>
        <stp>24/06/2015</stp>
        <stp>[Bbg_Market_Data_CL.xlsm]data!R448C10</stp>
        <tr r="J448" s="1"/>
      </tp>
      <tp t="s">
        <v>#N/A Requesting Data...</v>
        <stp/>
        <stp>##V3_BDHV12</stp>
        <stp>CL1 Comdty</stp>
        <stp>MOV_AVG_5D</stp>
        <stp>13/11/2015</stp>
        <stp>13/11/2015</stp>
        <stp>[Bbg_Market_Data_CL.xlsm]data!R350C10</stp>
        <tr r="J350" s="1"/>
      </tp>
      <tp t="s">
        <v>#N/A Requesting Data...</v>
        <stp/>
        <stp>##V3_BDHV12</stp>
        <stp>CL2 Comdty</stp>
        <stp>MOV_AVG_5D</stp>
        <stp>23/11/2015</stp>
        <stp>23/11/2015</stp>
        <stp>[Bbg_Market_Data_CL.xlsm]data!R344C10</stp>
        <tr r="J344" s="1"/>
      </tp>
      <tp t="s">
        <v>#N/A Requesting Data...</v>
        <stp/>
        <stp>##V3_BDHV12</stp>
        <stp>CL1 Comdty</stp>
        <stp>MOV_AVG_5D</stp>
        <stp>21/03/2016</stp>
        <stp>21/03/2016</stp>
        <stp>[Bbg_Market_Data_CL.xlsm]data!R265C10</stp>
        <tr r="J265" s="1"/>
      </tp>
      <tp t="s">
        <v>#N/A Requesting Data...</v>
        <stp/>
        <stp>##V3_BDHV12</stp>
        <stp>CL2 Comdty</stp>
        <stp>MOV_AVG_5D</stp>
        <stp>11/03/2016</stp>
        <stp>11/03/2016</stp>
        <stp>[Bbg_Market_Data_CL.xlsm]data!R271C10</stp>
        <tr r="J271" s="1"/>
      </tp>
      <tp t="s">
        <v>#N/A Requesting Data...</v>
        <stp/>
        <stp>##V3_BDHV12</stp>
        <stp>CL2 Comdty</stp>
        <stp>MOV_AVG_5D</stp>
        <stp>14/05/2015</stp>
        <stp>14/05/2015</stp>
        <stp>[Bbg_Market_Data_CL.xlsm]data!R476C10</stp>
        <tr r="J476" s="1"/>
      </tp>
      <tp t="s">
        <v>#N/A Requesting Data...</v>
        <stp/>
        <stp>##V3_BDHV12</stp>
        <stp>CL2 Comdty</stp>
        <stp>MOV_AVG_5D</stp>
        <stp>01/02/2016</stp>
        <stp>01/02/2016</stp>
        <stp>[Bbg_Market_Data_CL.xlsm]data!R298C10</stp>
        <tr r="J298" s="1"/>
      </tp>
      <tp t="s">
        <v>#N/A Requesting Data...</v>
        <stp/>
        <stp>##V3_BDHV12</stp>
        <stp>CL2 Comdty</stp>
        <stp>MOV_AVG_5D</stp>
        <stp>02/12/2015</stp>
        <stp>02/12/2015</stp>
        <stp>[Bbg_Market_Data_CL.xlsm]data!R338C10</stp>
        <tr r="J338" s="1"/>
      </tp>
      <tp t="s">
        <v>#N/A Requesting Data...</v>
        <stp/>
        <stp>##V3_BDHV12</stp>
        <stp>CL2 Comdty</stp>
        <stp>MOV_AVG_5D</stp>
        <stp>03/10/2016</stp>
        <stp>03/10/2016</stp>
        <stp>[Bbg_Market_Data_CL.xlsm]data!R130C10</stp>
        <tr r="J130" s="1"/>
      </tp>
      <tp t="s">
        <v>#N/A Requesting Data...</v>
        <stp/>
        <stp>##V3_BDHV12</stp>
        <stp>CL1 Comdty</stp>
        <stp>MOV_AVG_5D</stp>
        <stp>15/07/2015</stp>
        <stp>15/07/2015</stp>
        <stp>[Bbg_Market_Data_CL.xlsm]data!R434C10</stp>
        <tr r="J434" s="1"/>
      </tp>
      <tp t="s">
        <v>#N/A Requesting Data...</v>
        <stp/>
        <stp>##V3_BDHV12</stp>
        <stp>CL1 Comdty</stp>
        <stp>MOV_AVG_5D</stp>
        <stp>02/11/2015</stp>
        <stp>02/11/2015</stp>
        <stp>[Bbg_Market_Data_CL.xlsm]data!R358C10</stp>
        <tr r="J358" s="1"/>
      </tp>
      <tp t="s">
        <v>#N/A Requesting Data...</v>
        <stp/>
        <stp>##V3_BDHV12</stp>
        <stp>CL1 Comdty</stp>
        <stp>MOV_AVG_5D</stp>
        <stp>30/03/2016</stp>
        <stp>30/03/2016</stp>
        <stp>[Bbg_Market_Data_CL.xlsm]data!R259C10</stp>
        <tr r="J259" s="1"/>
      </tp>
      <tp t="s">
        <v>#N/A Requesting Data...</v>
        <stp/>
        <stp>##V3_BDHV12</stp>
        <stp>CL1 Comdty</stp>
        <stp>MOV_AVG_5D</stp>
        <stp>05/06/2015</stp>
        <stp>05/06/2015</stp>
        <stp>[Bbg_Market_Data_CL.xlsm]data!R461C10</stp>
        <tr r="J461" s="1"/>
      </tp>
      <tp t="s">
        <v>#N/A Requesting Data...</v>
        <stp/>
        <stp>##V3_BDHV12</stp>
        <stp>CL2 Comdty</stp>
        <stp>MOV_AVG_5D</stp>
        <stp>22/10/2015</stp>
        <stp>22/10/2015</stp>
        <stp>[Bbg_Market_Data_CL.xlsm]data!R365C10</stp>
        <tr r="J365" s="1"/>
      </tp>
      <tp t="s">
        <v>#N/A Requesting Data...</v>
        <stp/>
        <stp>##V3_BDHV12</stp>
        <stp>CL2 Comdty</stp>
        <stp>MOV_AVG_5D</stp>
        <stp>05/05/2015</stp>
        <stp>05/05/2015</stp>
        <stp>[Bbg_Market_Data_CL.xlsm]data!R483C10</stp>
        <tr r="J483" s="1"/>
      </tp>
      <tp t="s">
        <v>#N/A Requesting Data...</v>
        <stp/>
        <stp>##V3_BDHV12</stp>
        <stp>CL2 Comdty</stp>
        <stp>MOV_AVG_5D</stp>
        <stp>10/02/2016</stp>
        <stp>10/02/2016</stp>
        <stp>[Bbg_Market_Data_CL.xlsm]data!R291C10</stp>
        <tr r="J291" s="1"/>
      </tp>
      <tp t="s">
        <v>#N/A Requesting Data...</v>
        <stp/>
        <stp>##V3_BDHV12</stp>
        <stp>CL2 Comdty</stp>
        <stp>MOV_AVG_5D</stp>
        <stp>15/04/2015</stp>
        <stp>15/04/2015</stp>
        <stp>[Bbg_Market_Data_CL.xlsm]data!R497C10</stp>
        <tr r="J497" s="1"/>
      </tp>
      <tp t="s">
        <v>#N/A Requesting Data...</v>
        <stp/>
        <stp>##V3_BDHV12</stp>
        <stp>CL2 Comdty</stp>
        <stp>MOV_AVG_5D</stp>
        <stp>31/12/2015</stp>
        <stp>31/12/2015</stp>
        <stp>[Bbg_Market_Data_CL.xlsm]data!R318C10</stp>
        <tr r="J318" s="1"/>
      </tp>
      <tp t="s">
        <v>#N/A Requesting Data...</v>
        <stp/>
        <stp>##V3_BDHV12</stp>
        <stp>CL1 Comdty</stp>
        <stp>MOV_AVG_5D</stp>
        <stp>10/11/2016</stp>
        <stp>10/11/2016</stp>
        <stp>[Bbg_Market_Data_CL.xlsm]data!R103C10</stp>
        <tr r="J103" s="1"/>
      </tp>
      <tp t="s">
        <v>#N/A Requesting Data...</v>
        <stp/>
        <stp>##V3_BDHV12</stp>
        <stp>CL1 Comdty</stp>
        <stp>MOV_AVG_5D</stp>
        <stp>01/12/2015</stp>
        <stp>01/12/2015</stp>
        <stp>[Bbg_Market_Data_CL.xlsm]data!R339C10</stp>
        <tr r="J339" s="1"/>
      </tp>
      <tp t="s">
        <v>#N/A Requesting Data...</v>
        <stp/>
        <stp>##V3_BDHV12</stp>
        <stp>CL2 Comdty</stp>
        <stp>MOV_AVG_5D</stp>
        <stp>16/07/2015</stp>
        <stp>16/07/2015</stp>
        <stp>[Bbg_Market_Data_CL.xlsm]data!R433C10</stp>
        <tr r="J433" s="1"/>
      </tp>
      <tp t="s">
        <v>#N/A Requesting Data...</v>
        <stp/>
        <stp>##V3_BDHV12</stp>
        <stp>CL1 Comdty</stp>
        <stp>MOV_AVG_5D</stp>
        <stp>21/10/2015</stp>
        <stp>21/10/2015</stp>
        <stp>[Bbg_Market_Data_CL.xlsm]data!R366C10</stp>
        <tr r="J366" s="1"/>
      </tp>
      <tp t="s">
        <v>#N/A Requesting Data...</v>
        <stp/>
        <stp>##V3_BDHV12</stp>
        <stp>CL1 Comdty</stp>
        <stp>MOV_AVG_5D</stp>
        <stp>03/03/2016</stp>
        <stp>03/03/2016</stp>
        <stp>[Bbg_Market_Data_CL.xlsm]data!R277C10</stp>
        <tr r="J277" s="1"/>
      </tp>
      <tp t="s">
        <v>#N/A Requesting Data...</v>
        <stp/>
        <stp>##V3_BDHV12</stp>
        <stp>CL2 Comdty</stp>
        <stp>MOV_AVG_5D</stp>
        <stp>23/02/2016</stp>
        <stp>23/02/2016</stp>
        <stp>[Bbg_Market_Data_CL.xlsm]data!R284C10</stp>
        <tr r="J284" s="1"/>
      </tp>
      <tp t="s">
        <v>#N/A Requesting Data...</v>
        <stp/>
        <stp>##V3_BDHV12</stp>
        <stp>CL1 Comdty</stp>
        <stp>MOV_AVG_5D</stp>
        <stp>06/05/2015</stp>
        <stp>06/05/2015</stp>
        <stp>[Bbg_Market_Data_CL.xlsm]data!R482C10</stp>
        <tr r="J482" s="1"/>
      </tp>
      <tp t="s">
        <v>#N/A Requesting Data...</v>
        <stp/>
        <stp>##V3_BDHV12</stp>
        <stp>CL1 Comdty</stp>
        <stp>MOV_AVG_5D</stp>
        <stp>16/04/2015</stp>
        <stp>16/04/2015</stp>
        <stp>[Bbg_Market_Data_CL.xlsm]data!R496C10</stp>
        <tr r="J496" s="1"/>
      </tp>
      <tp t="s">
        <v>#N/A Requesting Data...</v>
        <stp/>
        <stp>##V3_BDHV12</stp>
        <stp>CL2 Comdty</stp>
        <stp>MOV_AVG_5D</stp>
        <stp>21/10/2016</stp>
        <stp>21/10/2016</stp>
        <stp>[Bbg_Market_Data_CL.xlsm]data!R117C10</stp>
        <tr r="J117" s="1"/>
      </tp>
      <tp t="s">
        <v>#N/A Requesting Data...</v>
        <stp/>
        <stp>##V3_BDHV12</stp>
        <stp>CL1 Comdty</stp>
        <stp>MOV_AVG_5D</stp>
        <stp>01/11/2016</stp>
        <stp>01/11/2016</stp>
        <stp>[Bbg_Market_Data_CL.xlsm]data!R110C10</stp>
        <tr r="J110" s="1"/>
      </tp>
      <tp t="s">
        <v>#N/A Requesting Data...</v>
        <stp/>
        <stp>##V3_BDHV12</stp>
        <stp>CL2 Comdty</stp>
        <stp>MOV_AVG_5D</stp>
        <stp>13/01/2016</stp>
        <stp>13/01/2016</stp>
        <stp>[Bbg_Market_Data_CL.xlsm]data!R310C10</stp>
        <tr r="J310" s="1"/>
      </tp>
      <tp t="s">
        <v>#N/A Requesting Data...</v>
        <stp/>
        <stp>##V3_BDHV12</stp>
        <stp>CL1 Comdty</stp>
        <stp>MOV_AVG_5D</stp>
        <stp>10/12/2015</stp>
        <stp>10/12/2015</stp>
        <stp>[Bbg_Market_Data_CL.xlsm]data!R332C10</stp>
        <tr r="J332" s="1"/>
      </tp>
      <tp t="s">
        <v>#N/A Requesting Data...</v>
        <stp/>
        <stp>##V3_BDHV12</stp>
        <stp>CL1 Comdty</stp>
        <stp>MOV_AVG_5D</stp>
        <stp>11/10/2016</stp>
        <stp>11/10/2016</stp>
        <stp>[Bbg_Market_Data_CL.xlsm]data!R125C10</stp>
        <tr r="J125" s="1"/>
      </tp>
      <tp t="s">
        <v>#N/A Requesting Data...</v>
        <stp/>
        <stp>##V3_BDHV12</stp>
        <stp>CL1 Comdty</stp>
        <stp>MOV_AVG_5D</stp>
        <stp>30/10/2015</stp>
        <stp>30/10/2015</stp>
        <stp>[Bbg_Market_Data_CL.xlsm]data!R359C10</stp>
        <tr r="J359" s="1"/>
      </tp>
      <tp t="s">
        <v>#N/A Requesting Data...</v>
        <stp/>
        <stp>##V3_BDHV12</stp>
        <stp>CL2 Comdty</stp>
        <stp>MOV_AVG_5D</stp>
        <stp>07/07/2015</stp>
        <stp>07/07/2015</stp>
        <stp>[Bbg_Market_Data_CL.xlsm]data!R440C10</stp>
        <tr r="J440" s="1"/>
      </tp>
      <tp t="s">
        <v>#N/A Requesting Data...</v>
        <stp/>
        <stp>##V3_BDHV12</stp>
        <stp>CL2 Comdty</stp>
        <stp>MOV_AVG_5D</stp>
        <stp>10/11/2015</stp>
        <stp>10/11/2015</stp>
        <stp>[Bbg_Market_Data_CL.xlsm]data!R352C10</stp>
        <tr r="J352" s="1"/>
      </tp>
      <tp t="s">
        <v>#N/A Requesting Data...</v>
        <stp/>
        <stp>##V3_BDHV12</stp>
        <stp>CL2 Comdty</stp>
        <stp>MOV_AVG_5D</stp>
        <stp>17/06/2015</stp>
        <stp>17/06/2015</stp>
        <stp>[Bbg_Market_Data_CL.xlsm]data!R453C10</stp>
        <tr r="J453" s="1"/>
      </tp>
      <tp t="s">
        <v>#N/A Requesting Data...</v>
        <stp/>
        <stp>##V3_BDHV12</stp>
        <stp>CL1 Comdty</stp>
        <stp>MOV_AVG_5D</stp>
        <stp>20/11/2015</stp>
        <stp>20/11/2015</stp>
        <stp>[Bbg_Market_Data_CL.xlsm]data!R345C10</stp>
        <tr r="J345" s="1"/>
      </tp>
      <tp t="s">
        <v>#N/A Requesting Data...</v>
        <stp/>
        <stp>##V3_BDHV12</stp>
        <stp>CL2 Comdty</stp>
        <stp>MOV_AVG_5D</stp>
        <stp>27/05/2015</stp>
        <stp>27/05/2015</stp>
        <stp>[Bbg_Market_Data_CL.xlsm]data!R468C10</stp>
        <tr r="J468" s="1"/>
      </tp>
      <tp t="s">
        <v>#N/A Requesting Data...</v>
        <stp/>
        <stp>##V3_BDHV12</stp>
        <stp>CL2 Comdty</stp>
        <stp>MOV_AVG_5D</stp>
        <stp>22/03/2016</stp>
        <stp>22/03/2016</stp>
        <stp>[Bbg_Market_Data_CL.xlsm]data!R264C10</stp>
        <tr r="J264" s="1"/>
      </tp>
      <tp t="s">
        <v>#N/A Requesting Data...</v>
        <stp/>
        <stp>##V3_BDHV12</stp>
        <stp>CL1 Comdty</stp>
        <stp>MOV_AVG_5D</stp>
        <stp>02/02/2016</stp>
        <stp>02/02/2016</stp>
        <stp>[Bbg_Market_Data_CL.xlsm]data!R297C10</stp>
        <tr r="J297" s="1"/>
      </tp>
      <tp t="s">
        <v>#N/A Requesting Data...</v>
        <stp/>
        <stp>##V3_BDHV12</stp>
        <stp>CL1 Comdty</stp>
        <stp>MOV_AVG_5D</stp>
        <stp>05/05/2016</stp>
        <stp>05/05/2016</stp>
        <stp>[Bbg_Market_Data_CL.xlsm]data!R233C10</stp>
        <tr r="J233" s="1"/>
      </tp>
      <tp t="s">
        <v>#N/A Requesting Data...</v>
        <stp/>
        <stp>##V3_BDHV12</stp>
        <stp>CL2 Comdty</stp>
        <stp>MOV_AVG_5D</stp>
        <stp>25/04/2016</stp>
        <stp>25/04/2016</stp>
        <stp>[Bbg_Market_Data_CL.xlsm]data!R241C10</stp>
        <tr r="J241" s="1"/>
      </tp>
      <tp t="s">
        <v>#N/A Requesting Data...</v>
        <stp/>
        <stp>##V3_BDHV12</stp>
        <stp>CL1 Comdty</stp>
        <stp>MOV_AVG_5D</stp>
        <stp>15/04/2016</stp>
        <stp>15/04/2016</stp>
        <stp>[Bbg_Market_Data_CL.xlsm]data!R247C10</stp>
        <tr r="J247" s="1"/>
      </tp>
      <tp t="s">
        <v>#N/A Requesting Data...</v>
        <stp/>
        <stp>##V3_BDHV12</stp>
        <stp>CL2 Comdty</stp>
        <stp>MOV_AVG_5D</stp>
        <stp>26/07/2016</stp>
        <stp>26/07/2016</stp>
        <stp>[Bbg_Market_Data_CL.xlsm]data!R177C10</stp>
        <tr r="J177" s="1"/>
      </tp>
      <tp t="s">
        <v>#N/A Requesting Data...</v>
        <stp/>
        <stp>##V3_BDHV12</stp>
        <stp>CL2 Comdty</stp>
        <stp>MOV_AVG_5D</stp>
        <stp>14/06/2016</stp>
        <stp>14/06/2016</stp>
        <stp>[Bbg_Market_Data_CL.xlsm]data!R206C10</stp>
        <tr r="J206" s="1"/>
      </tp>
      <tp t="s">
        <v>#N/A Requesting Data...</v>
        <stp/>
        <stp>##V3_BDHV12</stp>
        <stp>CL2 Comdty</stp>
        <stp>MOV_AVG_5D</stp>
        <stp>24/05/2016</stp>
        <stp>24/05/2016</stp>
        <stp>[Bbg_Market_Data_CL.xlsm]data!R220C10</stp>
        <tr r="J220" s="1"/>
      </tp>
      <tp t="s">
        <v>#N/A Requesting Data...</v>
        <stp/>
        <stp>##V3_BDHV12</stp>
        <stp>CL1 Comdty</stp>
        <stp>MOV_AVG_5D</stp>
        <stp>04/04/2016</stp>
        <stp>04/04/2016</stp>
        <stp>[Bbg_Market_Data_CL.xlsm]data!R256C10</stp>
        <tr r="J256" s="1"/>
      </tp>
      <tp t="s">
        <v>#N/A Requesting Data...</v>
        <stp/>
        <stp>##V3_BDHV12</stp>
        <stp>CL1 Comdty</stp>
        <stp>MOV_AVG_5D</stp>
        <stp>07/07/2016</stp>
        <stp>07/07/2016</stp>
        <stp>[Bbg_Market_Data_CL.xlsm]data!R190C10</stp>
        <tr r="J190" s="1"/>
      </tp>
      <tp t="s">
        <v>#N/A Requesting Data...</v>
        <stp/>
        <stp>##V3_BDHV12</stp>
        <stp>CL2 Comdty</stp>
        <stp>MOV_AVG_5D</stp>
        <stp>27/06/2016</stp>
        <stp>27/06/2016</stp>
        <stp>[Bbg_Market_Data_CL.xlsm]data!R197C10</stp>
        <tr r="J197" s="1"/>
      </tp>
      <tp t="s">
        <v>#N/A Requesting Data...</v>
        <stp/>
        <stp>##V3_BDHV12</stp>
        <stp>CL1 Comdty</stp>
        <stp>MOV_AVG_5D</stp>
        <stp>17/06/2016</stp>
        <stp>17/06/2016</stp>
        <stp>[Bbg_Market_Data_CL.xlsm]data!R203C10</stp>
        <tr r="J203" s="1"/>
      </tp>
      <tp t="s">
        <v>#N/A Requesting Data...</v>
        <stp/>
        <stp>##V3_BDHV12</stp>
        <stp>CL1 Comdty</stp>
        <stp>MOV_AVG_5D</stp>
        <stp>27/05/2016</stp>
        <stp>27/05/2016</stp>
        <stp>[Bbg_Market_Data_CL.xlsm]data!R217C10</stp>
        <tr r="J217" s="1"/>
      </tp>
      <tp t="s">
        <v>#N/A Requesting Data...</v>
        <stp/>
        <stp>##V3_BDHV12</stp>
        <stp>CL2 Comdty</stp>
        <stp>MOV_AVG_5D</stp>
        <stp>17/05/2016</stp>
        <stp>17/05/2016</stp>
        <stp>[Bbg_Market_Data_CL.xlsm]data!R225C10</stp>
        <tr r="J225" s="1"/>
      </tp>
      <tp t="s">
        <v>#N/A Requesting Data...</v>
        <stp/>
        <stp>##V3_BDHV12</stp>
        <stp>CL2 Comdty</stp>
        <stp>MOV_AVG_5D</stp>
        <stp>07/04/2016</stp>
        <stp>07/04/2016</stp>
        <stp>[Bbg_Market_Data_CL.xlsm]data!R253C10</stp>
        <tr r="J253" s="1"/>
      </tp>
      <tp t="s">
        <v>#N/A Requesting Data...</v>
        <stp/>
        <stp>##V3_BDHV12</stp>
        <stp>CL1 Comdty</stp>
        <stp>MOV_AVG_5D</stp>
        <stp>24/06/2016</stp>
        <stp>24/06/2016</stp>
        <stp>[Bbg_Market_Data_CL.xlsm]data!R198C10</stp>
        <tr r="J198" s="1"/>
      </tp>
      <tp t="s">
        <v>#N/A Requesting Data...</v>
        <stp/>
        <stp>##V3_BDHV12</stp>
        <stp>CL1 Comdty</stp>
        <stp>MOV_AVG_5D</stp>
        <stp>06/06/2016</stp>
        <stp>06/06/2016</stp>
        <stp>[Bbg_Market_Data_CL.xlsm]data!R212C10</stp>
        <tr r="J212" s="1"/>
      </tp>
      <tp t="s">
        <v>#N/A Requesting Data...</v>
        <stp/>
        <stp>##V3_BDHV12</stp>
        <stp>CL2 Comdty</stp>
        <stp>MOV_AVG_5D</stp>
        <stp>06/05/2016</stp>
        <stp>06/05/2016</stp>
        <stp>[Bbg_Market_Data_CL.xlsm]data!R232C10</stp>
        <tr r="J232" s="1"/>
      </tp>
      <tp t="s">
        <v>#N/A Requesting Data...</v>
        <stp/>
        <stp>##V3_BDHV12</stp>
        <stp>CL1 Comdty</stp>
        <stp>MOV_AVG_5D</stp>
        <stp>26/04/2016</stp>
        <stp>26/04/2016</stp>
        <stp>[Bbg_Market_Data_CL.xlsm]data!R240C10</stp>
        <tr r="J240" s="1"/>
      </tp>
      <tp t="s">
        <v>#N/A Requesting Data...</v>
        <stp/>
        <stp>##V3_BDHV12</stp>
        <stp>CL1 Comdty</stp>
        <stp>MOV_AVG_5D</stp>
        <stp>25/07/2016</stp>
        <stp>25/07/2016</stp>
        <stp>[Bbg_Market_Data_CL.xlsm]data!R178C10</stp>
        <tr r="J178" s="1"/>
      </tp>
      <tp t="s">
        <v>#N/A Requesting Data...</v>
        <stp/>
        <stp>##V3_BDHV12</stp>
        <stp>CL2 Comdty</stp>
        <stp>MOV_AVG_5D</stp>
        <stp>15/07/2016</stp>
        <stp>15/07/2016</stp>
        <stp>[Bbg_Market_Data_CL.xlsm]data!R184C10</stp>
        <tr r="J184" s="1"/>
      </tp>
      <tp t="s">
        <v>#N/A Requesting Data...</v>
        <stp/>
        <stp>##V3_BDHV12</stp>
        <stp>CL2 Comdty</stp>
        <stp>MOV_AVG_5D</stp>
        <stp>28/09/2016</stp>
        <stp>28/09/2016</stp>
        <stp>[Bbg_Market_Data_CL.xlsm]data!R133C10</stp>
        <tr r="J133" s="1"/>
      </tp>
      <tp t="s">
        <v>#N/A Requesting Data...</v>
        <stp/>
        <stp>##V3_BDHV12</stp>
        <stp>CL2 Comdty</stp>
        <stp>MOV_AVG_5D</stp>
        <stp>09/09/2015</stp>
        <stp>09/09/2015</stp>
        <stp>[Bbg_Market_Data_CL.xlsm]data!R395C10</stp>
        <tr r="J395" s="1"/>
      </tp>
      <tp t="s">
        <v>#N/A Requesting Data...</v>
        <stp/>
        <stp>##V3_BDHV12</stp>
        <stp>CL1 Comdty</stp>
        <stp>MOV_AVG_5D</stp>
        <stp>09/09/2016</stp>
        <stp>09/09/2016</stp>
        <stp>[Bbg_Market_Data_CL.xlsm]data!R146C10</stp>
        <tr r="J146" s="1"/>
      </tp>
      <tp t="s">
        <v>#N/A Requesting Data...</v>
        <stp/>
        <stp>##V3_BDHV12</stp>
        <stp>CL2 Comdty</stp>
        <stp>MOV_AVG_5D</stp>
        <stp>29/08/2016</stp>
        <stp>29/08/2016</stp>
        <stp>[Bbg_Market_Data_CL.xlsm]data!R154C10</stp>
        <tr r="J154" s="1"/>
      </tp>
      <tp t="s">
        <v>#N/A Requesting Data...</v>
        <stp/>
        <stp>##V3_BDHV12</stp>
        <stp>CL1 Comdty</stp>
        <stp>MOV_AVG_5D</stp>
        <stp>19/08/2016</stp>
        <stp>19/08/2016</stp>
        <stp>[Bbg_Market_Data_CL.xlsm]data!R160C10</stp>
        <tr r="J160" s="1"/>
      </tp>
      <tp t="s">
        <v>#N/A Requesting Data...</v>
        <stp/>
        <stp>##V3_BDHV12</stp>
        <stp>CL1 Comdty</stp>
        <stp>MOV_AVG_5D</stp>
        <stp>28/09/2015</stp>
        <stp>28/09/2015</stp>
        <stp>[Bbg_Market_Data_CL.xlsm]data!R382C10</stp>
        <tr r="J382" s="1"/>
      </tp>
      <tp t="s">
        <v>#N/A Requesting Data...</v>
        <stp/>
        <stp>##V3_BDHV12</stp>
        <stp>CL2 Comdty</stp>
        <stp>MOV_AVG_5D</stp>
        <stp>18/09/2015</stp>
        <stp>18/09/2015</stp>
        <stp>[Bbg_Market_Data_CL.xlsm]data!R388C10</stp>
        <tr r="J388" s="1"/>
      </tp>
      <tp t="s">
        <v>#N/A Requesting Data...</v>
        <stp/>
        <stp>##V3_BDHV12</stp>
        <stp>CL2 Comdty</stp>
        <stp>MOV_AVG_5D</stp>
        <stp>19/08/2015</stp>
        <stp>19/08/2015</stp>
        <stp>[Bbg_Market_Data_CL.xlsm]data!R409C10</stp>
        <tr r="J409" s="1"/>
      </tp>
      <tp>
        <v>54.73</v>
        <stp/>
        <stp>##V3_BDHV12</stp>
        <stp>CL2 Comdty</stp>
        <stp>PX_HIGH</stp>
        <stp>09/01/2017</stp>
        <stp>09/01/2017</stp>
        <stp>[Bbg_Market_Data_CL.xlsm]data!R65C6</stp>
        <tr r="F65" s="1"/>
      </tp>
      <tp t="s">
        <v>#N/A Requesting Data...</v>
        <stp/>
        <stp>##V3_BDHV12</stp>
        <stp>CL1 Comdty</stp>
        <stp>PX_HIGH</stp>
        <stp>25/11/2016</stp>
        <stp>25/11/2016</stp>
        <stp>[Bbg_Market_Data_CL.xlsm]data!R94C6</stp>
        <tr r="F94" s="1"/>
      </tp>
      <tp t="s">
        <v>#N/A Requesting Data...</v>
        <stp/>
        <stp>##V3_BDHV12</stp>
        <stp>CL1 Comdty</stp>
        <stp>PX_HIGH</stp>
        <stp>07/02/2017</stp>
        <stp>07/02/2017</stp>
        <stp>[Bbg_Market_Data_CL.xlsm]data!R45C6</stp>
        <tr r="F45" s="1"/>
      </tp>
      <tp>
        <v>48.84</v>
        <stp/>
        <stp>##V3_BDHV12</stp>
        <stp>CL2 Comdty</stp>
        <stp>PX_HIGH</stp>
        <stp>22/03/2017</stp>
        <stp>22/03/2017</stp>
        <stp>[Bbg_Market_Data_CL.xlsm]data!R15C6</stp>
        <tr r="F15" s="1"/>
      </tp>
      <tp>
        <v>54.18</v>
        <stp/>
        <stp>##V3_BDHV12</stp>
        <stp>CL2 Comdty</stp>
        <stp>PX_HIGH</stp>
        <stp>23/12/2016</stp>
        <stp>23/12/2016</stp>
        <stp>[Bbg_Market_Data_CL.xlsm]data!R74C6</stp>
        <tr r="F74" s="1"/>
      </tp>
      <tp t="s">
        <v>#N/A Requesting Data...</v>
        <stp/>
        <stp>##V3_BDHV12</stp>
        <stp>CL1 Comdty</stp>
        <stp>PX_HIGH</stp>
        <stp>08/03/2017</stp>
        <stp>08/03/2017</stp>
        <stp>[Bbg_Market_Data_CL.xlsm]data!R25C6</stp>
        <tr r="F25" s="1"/>
      </tp>
      <tp t="s">
        <v>#N/A Requesting Data...</v>
        <stp/>
        <stp>##V3_BDHV12</stp>
        <stp>CL1 Comdty</stp>
        <stp>PX_HIGH</stp>
        <stp>09/12/2016</stp>
        <stp>09/12/2016</stp>
        <stp>[Bbg_Market_Data_CL.xlsm]data!R84C6</stp>
        <tr r="F84" s="1"/>
      </tp>
      <tp t="s">
        <v>#N/A Requesting Data...</v>
        <stp/>
        <stp>##V3_BDHV12</stp>
        <stp>CL1 Comdty</stp>
        <stp>PX_HIGH</stp>
        <stp>24/01/2017</stp>
        <stp>24/01/2017</stp>
        <stp>[Bbg_Market_Data_CL.xlsm]data!R55C6</stp>
        <tr r="F55" s="1"/>
      </tp>
      <tp>
        <v>54.87</v>
        <stp/>
        <stp>##V3_BDHV12</stp>
        <stp>CL2 Comdty</stp>
        <stp>PX_HIGH</stp>
        <stp>22/02/2017</stp>
        <stp>22/02/2017</stp>
        <stp>[Bbg_Market_Data_CL.xlsm]data!R35C6</stp>
        <tr r="F35" s="1"/>
      </tp>
      <tp>
        <v>53.43</v>
        <stp/>
        <stp>##V3_BDHV12</stp>
        <stp>CL2 Comdty</stp>
        <stp>PX_HIGH</stp>
        <stp>08/03/2017</stp>
        <stp>08/03/2017</stp>
        <stp>[Bbg_Market_Data_CL.xlsm]data!R25C6</stp>
        <tr r="F25" s="1"/>
      </tp>
      <tp>
        <v>52.6</v>
        <stp/>
        <stp>##V3_BDHV12</stp>
        <stp>CL2 Comdty</stp>
        <stp>PX_HIGH</stp>
        <stp>09/12/2016</stp>
        <stp>09/12/2016</stp>
        <stp>[Bbg_Market_Data_CL.xlsm]data!R84C6</stp>
        <tr r="F84" s="1"/>
      </tp>
      <tp>
        <v>54.23</v>
        <stp/>
        <stp>##V3_BDHV12</stp>
        <stp>CL2 Comdty</stp>
        <stp>PX_HIGH</stp>
        <stp>24/01/2017</stp>
        <stp>24/01/2017</stp>
        <stp>[Bbg_Market_Data_CL.xlsm]data!R55C6</stp>
        <tr r="F55" s="1"/>
      </tp>
      <tp t="s">
        <v>#N/A Requesting Data...</v>
        <stp/>
        <stp>##V3_BDHV12</stp>
        <stp>CL1 Comdty</stp>
        <stp>PX_HIGH</stp>
        <stp>22/02/2017</stp>
        <stp>22/02/2017</stp>
        <stp>[Bbg_Market_Data_CL.xlsm]data!R35C6</stp>
        <tr r="F35" s="1"/>
      </tp>
      <tp t="s">
        <v>#N/A Requesting Data...</v>
        <stp/>
        <stp>##V3_BDHV12</stp>
        <stp>CL1 Comdty</stp>
        <stp>PX_HIGH</stp>
        <stp>09/01/2017</stp>
        <stp>09/01/2017</stp>
        <stp>[Bbg_Market_Data_CL.xlsm]data!R65C6</stp>
        <tr r="F65" s="1"/>
      </tp>
      <tp>
        <v>49.13</v>
        <stp/>
        <stp>##V3_BDHV12</stp>
        <stp>CL2 Comdty</stp>
        <stp>PX_HIGH</stp>
        <stp>25/11/2016</stp>
        <stp>25/11/2016</stp>
        <stp>[Bbg_Market_Data_CL.xlsm]data!R94C6</stp>
        <tr r="F94" s="1"/>
      </tp>
      <tp>
        <v>53.85</v>
        <stp/>
        <stp>##V3_BDHV12</stp>
        <stp>CL2 Comdty</stp>
        <stp>PX_HIGH</stp>
        <stp>07/02/2017</stp>
        <stp>07/02/2017</stp>
        <stp>[Bbg_Market_Data_CL.xlsm]data!R45C6</stp>
        <tr r="F45" s="1"/>
      </tp>
      <tp t="s">
        <v>#N/A Requesting Data...</v>
        <stp/>
        <stp>##V3_BDHV12</stp>
        <stp>CL1 Comdty</stp>
        <stp>PX_HIGH</stp>
        <stp>22/03/2017</stp>
        <stp>22/03/2017</stp>
        <stp>[Bbg_Market_Data_CL.xlsm]data!R15C6</stp>
        <tr r="F15" s="1"/>
      </tp>
      <tp t="s">
        <v>#N/A Requesting Data...</v>
        <stp/>
        <stp>##V3_BDHV12</stp>
        <stp>CL1 Comdty</stp>
        <stp>PX_HIGH</stp>
        <stp>23/12/2016</stp>
        <stp>23/12/2016</stp>
        <stp>[Bbg_Market_Data_CL.xlsm]data!R74C6</stp>
        <tr r="F74" s="1"/>
      </tp>
      <tp t="s">
        <v>#N/A Requesting Data...</v>
        <stp/>
        <stp>##V3_BDHV12</stp>
        <stp>CL1 Comdty</stp>
        <stp>PX_OPEN</stp>
        <stp>24/03/2017</stp>
        <stp>24/03/2017</stp>
        <stp>[Bbg_Market_Data_CL.xlsm]data!R13C5</stp>
        <tr r="E13" s="1"/>
      </tp>
      <tp>
        <v>53.59</v>
        <stp/>
        <stp>##V3_BDHV12</stp>
        <stp>CL2 Comdty</stp>
        <stp>PX_OPEN</stp>
        <stp>13/12/2016</stp>
        <stp>13/12/2016</stp>
        <stp>[Bbg_Market_Data_CL.xlsm]data!R82C5</stp>
        <tr r="E82" s="1"/>
      </tp>
      <tp>
        <v>50.15</v>
        <stp/>
        <stp>##V3_BDHV12</stp>
        <stp>CL2 Comdty</stp>
        <stp>PX_OPEN</stp>
        <stp>10/03/2017</stp>
        <stp>10/03/2017</stp>
        <stp>[Bbg_Market_Data_CL.xlsm]data!R23C5</stp>
        <tr r="E23" s="1"/>
      </tp>
      <tp t="s">
        <v>#N/A Requesting Data...</v>
        <stp/>
        <stp>##V3_BDHV12</stp>
        <stp>CL1 Comdty</stp>
        <stp>PX_OPEN</stp>
        <stp>28/12/2016</stp>
        <stp>28/12/2016</stp>
        <stp>[Bbg_Market_Data_CL.xlsm]data!R72C5</stp>
        <tr r="E72" s="1"/>
      </tp>
      <tp>
        <v>52.98</v>
        <stp/>
        <stp>##V3_BDHV12</stp>
        <stp>CL2 Comdty</stp>
        <stp>PX_OPEN</stp>
        <stp>09/02/2017</stp>
        <stp>09/02/2017</stp>
        <stp>[Bbg_Market_Data_CL.xlsm]data!R43C5</stp>
        <tr r="E43" s="1"/>
      </tp>
      <tp>
        <v>47.85</v>
        <stp/>
        <stp>##V3_BDHV12</stp>
        <stp>CL2 Comdty</stp>
        <stp>PX_OPEN</stp>
        <stp>29/11/2016</stp>
        <stp>29/11/2016</stp>
        <stp>[Bbg_Market_Data_CL.xlsm]data!R92C5</stp>
        <tr r="E92" s="1"/>
      </tp>
      <tp>
        <v>53.6</v>
        <stp/>
        <stp>##V3_BDHV12</stp>
        <stp>CL2 Comdty</stp>
        <stp>PX_OPEN</stp>
        <stp>26/01/2017</stp>
        <stp>26/01/2017</stp>
        <stp>[Bbg_Market_Data_CL.xlsm]data!R53C5</stp>
        <tr r="E53" s="1"/>
      </tp>
      <tp t="s">
        <v>#N/A Requesting Data...</v>
        <stp/>
        <stp>##V3_BDHV12</stp>
        <stp>CL1 Comdty</stp>
        <stp>PX_OPEN</stp>
        <stp>24/02/2017</stp>
        <stp>24/02/2017</stp>
        <stp>[Bbg_Market_Data_CL.xlsm]data!R33C5</stp>
        <tr r="E33" s="1"/>
      </tp>
      <tp t="s">
        <v>#N/A Requesting Data...</v>
        <stp/>
        <stp>##V3_BDHV12</stp>
        <stp>CL1 Comdty</stp>
        <stp>PX_OPEN</stp>
        <stp>11/01/2017</stp>
        <stp>11/01/2017</stp>
        <stp>[Bbg_Market_Data_CL.xlsm]data!R63C5</stp>
        <tr r="E63" s="1"/>
      </tp>
      <tp t="s">
        <v>#N/A Requesting Data...</v>
        <stp/>
        <stp>##V3_BDHV12</stp>
        <stp>CL1 Comdty</stp>
        <stp>PX_OPEN</stp>
        <stp>26/01/2017</stp>
        <stp>26/01/2017</stp>
        <stp>[Bbg_Market_Data_CL.xlsm]data!R53C5</stp>
        <tr r="E53" s="1"/>
      </tp>
      <tp>
        <v>54.62</v>
        <stp/>
        <stp>##V3_BDHV12</stp>
        <stp>CL2 Comdty</stp>
        <stp>PX_OPEN</stp>
        <stp>24/02/2017</stp>
        <stp>24/02/2017</stp>
        <stp>[Bbg_Market_Data_CL.xlsm]data!R33C5</stp>
        <tr r="E33" s="1"/>
      </tp>
      <tp>
        <v>51.75</v>
        <stp/>
        <stp>##V3_BDHV12</stp>
        <stp>CL2 Comdty</stp>
        <stp>PX_OPEN</stp>
        <stp>11/01/2017</stp>
        <stp>11/01/2017</stp>
        <stp>[Bbg_Market_Data_CL.xlsm]data!R63C5</stp>
        <tr r="E63" s="1"/>
      </tp>
      <tp>
        <v>48.21</v>
        <stp/>
        <stp>##V3_BDHV12</stp>
        <stp>CL2 Comdty</stp>
        <stp>PX_OPEN</stp>
        <stp>24/03/2017</stp>
        <stp>24/03/2017</stp>
        <stp>[Bbg_Market_Data_CL.xlsm]data!R13C5</stp>
        <tr r="E13" s="1"/>
      </tp>
      <tp t="s">
        <v>#N/A Requesting Data...</v>
        <stp/>
        <stp>##V3_BDHV12</stp>
        <stp>CL1 Comdty</stp>
        <stp>PX_OPEN</stp>
        <stp>13/12/2016</stp>
        <stp>13/12/2016</stp>
        <stp>[Bbg_Market_Data_CL.xlsm]data!R82C5</stp>
        <tr r="E82" s="1"/>
      </tp>
      <tp t="s">
        <v>#N/A Requesting Data...</v>
        <stp/>
        <stp>##V3_BDHV12</stp>
        <stp>CL1 Comdty</stp>
        <stp>PX_OPEN</stp>
        <stp>10/03/2017</stp>
        <stp>10/03/2017</stp>
        <stp>[Bbg_Market_Data_CL.xlsm]data!R23C5</stp>
        <tr r="E23" s="1"/>
      </tp>
      <tp>
        <v>54.8</v>
        <stp/>
        <stp>##V3_BDHV12</stp>
        <stp>CL2 Comdty</stp>
        <stp>PX_OPEN</stp>
        <stp>28/12/2016</stp>
        <stp>28/12/2016</stp>
        <stp>[Bbg_Market_Data_CL.xlsm]data!R72C5</stp>
        <tr r="E72" s="1"/>
      </tp>
      <tp t="s">
        <v>#N/A Requesting Data...</v>
        <stp/>
        <stp>##V3_BDHV12</stp>
        <stp>CL1 Comdty</stp>
        <stp>PX_OPEN</stp>
        <stp>09/02/2017</stp>
        <stp>09/02/2017</stp>
        <stp>[Bbg_Market_Data_CL.xlsm]data!R43C5</stp>
        <tr r="E43" s="1"/>
      </tp>
      <tp t="s">
        <v>#N/A Requesting Data...</v>
        <stp/>
        <stp>##V3_BDHV12</stp>
        <stp>CL1 Comdty</stp>
        <stp>PX_OPEN</stp>
        <stp>29/11/2016</stp>
        <stp>29/11/2016</stp>
        <stp>[Bbg_Market_Data_CL.xlsm]data!R92C5</stp>
        <tr r="E92" s="1"/>
      </tp>
      <tp t="s">
        <v>#N/A Requesting Data...</v>
        <stp/>
        <stp>##V3_BDHV12</stp>
        <stp>CL1 Comdty</stp>
        <stp>PX_VOLUME</stp>
        <stp>03/03/2017</stp>
        <stp>03/03/2017</stp>
        <stp>[Bbg_Market_Data_CL.xlsm]data!R28C8</stp>
        <tr r="H28" s="1"/>
      </tp>
      <tp>
        <v>105653</v>
        <stp/>
        <stp>##V3_BDHV12</stp>
        <stp>CL2 Comdty</stp>
        <stp>PX_VOLUME</stp>
        <stp>03/03/2017</stp>
        <stp>03/03/2017</stp>
        <stp>[Bbg_Market_Data_CL.xlsm]data!R28C8</stp>
        <tr r="H28" s="1"/>
      </tp>
      <tp>
        <v>180911</v>
        <stp/>
        <stp>##V3_BDHV12</stp>
        <stp>CL2 Comdty</stp>
        <stp>PX_VOLUME</stp>
        <stp>02/12/2016</stp>
        <stp>02/12/2016</stp>
        <stp>[Bbg_Market_Data_CL.xlsm]data!R89C8</stp>
        <tr r="H89" s="1"/>
      </tp>
      <tp t="s">
        <v>#N/A Requesting Data...</v>
        <stp/>
        <stp>##V3_BDHV12</stp>
        <stp>CL1 Comdty</stp>
        <stp>PX_VOLUME</stp>
        <stp>02/12/2016</stp>
        <stp>02/12/2016</stp>
        <stp>[Bbg_Market_Data_CL.xlsm]data!R89C8</stp>
        <tr r="H89" s="1"/>
      </tp>
      <tp t="s">
        <v>#N/A Requesting Data...</v>
        <stp/>
        <stp>##V3_BDHV12</stp>
        <stp>CL1 Comdty</stp>
        <stp>PX_VOLUME</stp>
        <stp>16/02/2017</stp>
        <stp>16/02/2017</stp>
        <stp>[Bbg_Market_Data_CL.xlsm]data!R38C8</stp>
        <tr r="H38" s="1"/>
      </tp>
      <tp>
        <v>453226</v>
        <stp/>
        <stp>##V3_BDHV12</stp>
        <stp>CL2 Comdty</stp>
        <stp>PX_VOLUME</stp>
        <stp>16/02/2017</stp>
        <stp>16/02/2017</stp>
        <stp>[Bbg_Market_Data_CL.xlsm]data!R38C8</stp>
        <tr r="H38" s="1"/>
      </tp>
      <tp>
        <v>121991</v>
        <stp/>
        <stp>##V3_BDHV12</stp>
        <stp>CL2 Comdty</stp>
        <stp>PX_VOLUME</stp>
        <stp>02/02/2017</stp>
        <stp>02/02/2017</stp>
        <stp>[Bbg_Market_Data_CL.xlsm]data!R48C8</stp>
        <tr r="H48" s="1"/>
      </tp>
      <tp t="s">
        <v>#N/A Requesting Data...</v>
        <stp/>
        <stp>##V3_BDHV12</stp>
        <stp>CL1 Comdty</stp>
        <stp>PX_VOLUME</stp>
        <stp>02/02/2017</stp>
        <stp>02/02/2017</stp>
        <stp>[Bbg_Market_Data_CL.xlsm]data!R48C8</stp>
        <tr r="H48" s="1"/>
      </tp>
      <tp t="s">
        <v>#N/A Requesting Data...</v>
        <stp/>
        <stp>##V3_BDHV12</stp>
        <stp>CL1 Comdty</stp>
        <stp>PX_VOLUME</stp>
        <stp>16/12/2016</stp>
        <stp>16/12/2016</stp>
        <stp>[Bbg_Market_Data_CL.xlsm]data!R79C8</stp>
        <tr r="H79" s="1"/>
      </tp>
      <tp>
        <v>413536</v>
        <stp/>
        <stp>##V3_BDHV12</stp>
        <stp>CL2 Comdty</stp>
        <stp>PX_VOLUME</stp>
        <stp>16/12/2016</stp>
        <stp>16/12/2016</stp>
        <stp>[Bbg_Market_Data_CL.xlsm]data!R79C8</stp>
        <tr r="H79" s="1"/>
      </tp>
      <tp>
        <v>345780</v>
        <stp/>
        <stp>##V3_BDHV12</stp>
        <stp>CL2 Comdty</stp>
        <stp>PX_VOLUME</stp>
        <stp>17/03/2017</stp>
        <stp>17/03/2017</stp>
        <stp>[Bbg_Market_Data_CL.xlsm]data!R18C8</stp>
        <tr r="H18" s="1"/>
      </tp>
      <tp t="s">
        <v>#N/A Requesting Data...</v>
        <stp/>
        <stp>##V3_BDHV12</stp>
        <stp>CL1 Comdty</stp>
        <stp>PX_VOLUME</stp>
        <stp>17/03/2017</stp>
        <stp>17/03/2017</stp>
        <stp>[Bbg_Market_Data_CL.xlsm]data!R18C8</stp>
        <tr r="H18" s="1"/>
      </tp>
      <tp>
        <v>490898</v>
        <stp/>
        <stp>##V3_BDHV12</stp>
        <stp>CL2 Comdty</stp>
        <stp>PX_VOLUME</stp>
        <stp>17/11/2016</stp>
        <stp>17/11/2016</stp>
        <stp>[Bbg_Market_Data_CL.xlsm]data!R99C8</stp>
        <tr r="H99" s="1"/>
      </tp>
      <tp t="s">
        <v>#N/A Requesting Data...</v>
        <stp/>
        <stp>##V3_BDHV12</stp>
        <stp>CL1 Comdty</stp>
        <stp>PX_VOLUME</stp>
        <stp>17/11/2016</stp>
        <stp>17/11/2016</stp>
        <stp>[Bbg_Market_Data_CL.xlsm]data!R99C8</stp>
        <tr r="H99" s="1"/>
      </tp>
      <tp>
        <v>157504</v>
        <stp/>
        <stp>##V3_BDHV12</stp>
        <stp>CL2 Comdty</stp>
        <stp>PX_VOLUME</stp>
        <stp>04/01/2017</stp>
        <stp>04/01/2017</stp>
        <stp>[Bbg_Market_Data_CL.xlsm]data!R68C8</stp>
        <tr r="H68" s="1"/>
      </tp>
      <tp t="s">
        <v>#N/A Requesting Data...</v>
        <stp/>
        <stp>##V3_BDHV12</stp>
        <stp>CL1 Comdty</stp>
        <stp>PX_VOLUME</stp>
        <stp>04/01/2017</stp>
        <stp>04/01/2017</stp>
        <stp>[Bbg_Market_Data_CL.xlsm]data!R68C8</stp>
        <tr r="H68" s="1"/>
      </tp>
      <tp t="s">
        <v>#N/A Requesting Data...</v>
        <stp/>
        <stp>##V3_BDHV12</stp>
        <stp>CL1 Comdty</stp>
        <stp>PX_VOLUME</stp>
        <stp>19/01/2017</stp>
        <stp>19/01/2017</stp>
        <stp>[Bbg_Market_Data_CL.xlsm]data!R58C8</stp>
        <tr r="H58" s="1"/>
      </tp>
      <tp>
        <v>577762</v>
        <stp/>
        <stp>##V3_BDHV12</stp>
        <stp>CL2 Comdty</stp>
        <stp>PX_VOLUME</stp>
        <stp>19/01/2017</stp>
        <stp>19/01/2017</stp>
        <stp>[Bbg_Market_Data_CL.xlsm]data!R58C8</stp>
        <tr r="H58" s="1"/>
      </tp>
      <tp t="s">
        <v>#N/A Requesting Data...</v>
        <stp/>
        <stp>##V3_BDHV12</stp>
        <stp>CL1 Comdty</stp>
        <stp>PX_LAST</stp>
        <stp>31/03/2017</stp>
        <stp>31/03/2017</stp>
        <stp>[Bbg_Market_Data_CL.xlsm]data!R8C9</stp>
        <tr r="I8" s="1"/>
      </tp>
      <tp t="s">
        <v>#N/A Requesting Data...</v>
        <stp/>
        <stp>##V3_BDHV12</stp>
        <stp>CL1 Comdty</stp>
        <stp>PX_LAST</stp>
        <stp>30/03/2017</stp>
        <stp>30/03/2017</stp>
        <stp>[Bbg_Market_Data_CL.xlsm]data!R9C9</stp>
        <tr r="I9" s="1"/>
      </tp>
      <tp t="s">
        <v>#N/A Requesting Data...</v>
        <stp/>
        <stp>##V3_BDHV12</stp>
        <stp>CL2 Comdty</stp>
        <stp>PX_LAST</stp>
        <stp>31/03/2017</stp>
        <stp>31/03/2017</stp>
        <stp>[Bbg_Market_Data_CL.xlsm]data!R8C9</stp>
        <tr r="I8" s="1"/>
      </tp>
      <tp t="s">
        <v>#N/A Requesting Data...</v>
        <stp/>
        <stp>##V3_BDHV12</stp>
        <stp>CL2 Comdty</stp>
        <stp>PX_LAST</stp>
        <stp>30/03/2017</stp>
        <stp>30/03/2017</stp>
        <stp>[Bbg_Market_Data_CL.xlsm]data!R9C9</stp>
        <tr r="I9" s="1"/>
      </tp>
      <tp t="s">
        <v>#N/A Requesting Data...</v>
        <stp/>
        <stp>##V3_BDHV12</stp>
        <stp>CL2 Comdty</stp>
        <stp>MOV_AVG_5D</stp>
        <stp>03/12/2015</stp>
        <stp>03/12/2015</stp>
        <stp>[Bbg_Market_Data_CL.xlsm]data!R337C10</stp>
        <tr r="J337" s="1"/>
      </tp>
      <tp t="s">
        <v>#N/A Requesting Data...</v>
        <stp/>
        <stp>##V3_BDHV12</stp>
        <stp>CL2 Comdty</stp>
        <stp>MOV_AVG_5D</stp>
        <stp>24/07/2015</stp>
        <stp>24/07/2015</stp>
        <stp>[Bbg_Market_Data_CL.xlsm]data!R427C10</stp>
        <tr r="J427" s="1"/>
      </tp>
      <tp t="s">
        <v>#N/A Requesting Data...</v>
        <stp/>
        <stp>##V3_BDHV12</stp>
        <stp>CL1 Comdty</stp>
        <stp>MOV_AVG_5D</stp>
        <stp>14/07/2015</stp>
        <stp>14/07/2015</stp>
        <stp>[Bbg_Market_Data_CL.xlsm]data!R435C10</stp>
        <tr r="J435" s="1"/>
      </tp>
      <tp t="s">
        <v>#N/A Requesting Data...</v>
        <stp/>
        <stp>##V3_BDHV12</stp>
        <stp>CL1 Comdty</stp>
        <stp>MOV_AVG_5D</stp>
        <stp>03/11/2015</stp>
        <stp>03/11/2015</stp>
        <stp>[Bbg_Market_Data_CL.xlsm]data!R357C10</stp>
        <tr r="J357" s="1"/>
      </tp>
      <tp t="s">
        <v>#N/A Requesting Data...</v>
        <stp/>
        <stp>##V3_BDHV12</stp>
        <stp>CL1 Comdty</stp>
        <stp>MOV_AVG_5D</stp>
        <stp>31/03/2016</stp>
        <stp>31/03/2016</stp>
        <stp>[Bbg_Market_Data_CL.xlsm]data!R258C10</stp>
        <tr r="J258" s="1"/>
      </tp>
      <tp t="s">
        <v>#N/A Requesting Data...</v>
        <stp/>
        <stp>##V3_BDHV12</stp>
        <stp>CL1 Comdty</stp>
        <stp>MOV_AVG_5D</stp>
        <stp>04/06/2015</stp>
        <stp>04/06/2015</stp>
        <stp>[Bbg_Market_Data_CL.xlsm]data!R462C10</stp>
        <tr r="J462" s="1"/>
      </tp>
      <tp t="s">
        <v>#N/A Requesting Data...</v>
        <stp/>
        <stp>##V3_BDHV12</stp>
        <stp>CL1 Comdty</stp>
        <stp>MOV_AVG_5D</stp>
        <stp>13/10/2015</stp>
        <stp>13/10/2015</stp>
        <stp>[Bbg_Market_Data_CL.xlsm]data!R372C10</stp>
        <tr r="J372" s="1"/>
      </tp>
      <tp t="s">
        <v>#N/A Requesting Data...</v>
        <stp/>
        <stp>##V3_BDHV12</stp>
        <stp>CL2 Comdty</stp>
        <stp>MOV_AVG_5D</stp>
        <stp>01/03/2016</stp>
        <stp>01/03/2016</stp>
        <stp>[Bbg_Market_Data_CL.xlsm]data!R279C10</stp>
        <tr r="J279" s="1"/>
      </tp>
      <tp t="s">
        <v>#N/A Requesting Data...</v>
        <stp/>
        <stp>##V3_BDHV12</stp>
        <stp>CL2 Comdty</stp>
        <stp>MOV_AVG_5D</stp>
        <stp>23/10/2015</stp>
        <stp>23/10/2015</stp>
        <stp>[Bbg_Market_Data_CL.xlsm]data!R364C10</stp>
        <tr r="J364" s="1"/>
      </tp>
      <tp t="s">
        <v>#N/A Requesting Data...</v>
        <stp/>
        <stp>##V3_BDHV12</stp>
        <stp>CL2 Comdty</stp>
        <stp>MOV_AVG_5D</stp>
        <stp>04/05/2015</stp>
        <stp>04/05/2015</stp>
        <stp>[Bbg_Market_Data_CL.xlsm]data!R484C10</stp>
        <tr r="J484" s="1"/>
      </tp>
      <tp t="s">
        <v>#N/A Requesting Data...</v>
        <stp/>
        <stp>##V3_BDHV12</stp>
        <stp>CL2 Comdty</stp>
        <stp>MOV_AVG_5D</stp>
        <stp>14/04/2015</stp>
        <stp>14/04/2015</stp>
        <stp>[Bbg_Market_Data_CL.xlsm]data!R498C10</stp>
        <tr r="J498" s="1"/>
      </tp>
      <tp t="s">
        <v>#N/A Requesting Data...</v>
        <stp/>
        <stp>##V3_BDHV12</stp>
        <stp>CL1 Comdty</stp>
        <stp>MOV_AVG_5D</stp>
        <stp>24/04/2015</stp>
        <stp>24/04/2015</stp>
        <stp>[Bbg_Market_Data_CL.xlsm]data!R490C10</stp>
        <tr r="J490" s="1"/>
      </tp>
      <tp t="s">
        <v>#N/A Requesting Data...</v>
        <stp/>
        <stp>##V3_BDHV12</stp>
        <stp>CL2 Comdty</stp>
        <stp>MOV_AVG_5D</stp>
        <stp>11/02/2016</stp>
        <stp>11/02/2016</stp>
        <stp>[Bbg_Market_Data_CL.xlsm]data!R290C10</stp>
        <tr r="J290" s="1"/>
      </tp>
      <tp t="s">
        <v>#N/A Requesting Data...</v>
        <stp/>
        <stp>##V3_BDHV12</stp>
        <stp>CL2 Comdty</stp>
        <stp>MOV_AVG_5D</stp>
        <stp>21/01/2016</stp>
        <stp>21/01/2016</stp>
        <stp>[Bbg_Market_Data_CL.xlsm]data!R305C10</stp>
        <tr r="J305" s="1"/>
      </tp>
      <tp t="s">
        <v>#N/A Requesting Data...</v>
        <stp/>
        <stp>##V3_BDHV12</stp>
        <stp>CL2 Comdty</stp>
        <stp>MOV_AVG_5D</stp>
        <stp>03/11/2016</stp>
        <stp>03/11/2016</stp>
        <stp>[Bbg_Market_Data_CL.xlsm]data!R108C10</stp>
        <tr r="J108" s="1"/>
      </tp>
      <tp t="s">
        <v>#N/A Requesting Data...</v>
        <stp/>
        <stp>##V3_BDHV12</stp>
        <stp>CL1 Comdty</stp>
        <stp>MOV_AVG_5D</stp>
        <stp>11/01/2016</stp>
        <stp>11/01/2016</stp>
        <stp>[Bbg_Market_Data_CL.xlsm]data!R312C10</stp>
        <tr r="J312" s="1"/>
      </tp>
      <tp t="s">
        <v>#N/A Requesting Data...</v>
        <stp/>
        <stp>##V3_BDHV12</stp>
        <stp>CL1 Comdty</stp>
        <stp>MOV_AVG_5D</stp>
        <stp>22/12/2015</stp>
        <stp>22/12/2015</stp>
        <stp>[Bbg_Market_Data_CL.xlsm]data!R324C10</stp>
        <tr r="J324" s="1"/>
      </tp>
      <tp t="s">
        <v>#N/A Requesting Data...</v>
        <stp/>
        <stp>##V3_BDHV12</stp>
        <stp>CL2 Comdty</stp>
        <stp>MOV_AVG_5D</stp>
        <stp>13/10/2016</stp>
        <stp>13/10/2016</stp>
        <stp>[Bbg_Market_Data_CL.xlsm]data!R123C10</stp>
        <tr r="J123" s="1"/>
      </tp>
      <tp t="s">
        <v>#N/A Requesting Data...</v>
        <stp/>
        <stp>##V3_BDHV12</stp>
        <stp>CL1 Comdty</stp>
        <stp>MOV_AVG_5D</stp>
        <stp>12/11/2015</stp>
        <stp>12/11/2015</stp>
        <stp>[Bbg_Market_Data_CL.xlsm]data!R351C10</stp>
        <tr r="J351" s="1"/>
      </tp>
      <tp t="s">
        <v>#N/A Requesting Data...</v>
        <stp/>
        <stp>##V3_BDHV12</stp>
        <stp>CL2 Comdty</stp>
        <stp>MOV_AVG_5D</stp>
        <stp>25/06/2015</stp>
        <stp>25/06/2015</stp>
        <stp>[Bbg_Market_Data_CL.xlsm]data!R447C10</stp>
        <tr r="J447" s="1"/>
      </tp>
      <tp t="s">
        <v>#N/A Requesting Data...</v>
        <stp/>
        <stp>##V3_BDHV12</stp>
        <stp>CL1 Comdty</stp>
        <stp>MOV_AVG_5D</stp>
        <stp>15/06/2015</stp>
        <stp>15/06/2015</stp>
        <stp>[Bbg_Market_Data_CL.xlsm]data!R455C10</stp>
        <tr r="J455" s="1"/>
      </tp>
      <tp t="s">
        <v>#N/A Requesting Data...</v>
        <stp/>
        <stp>##V3_BDHV12</stp>
        <stp>CL1 Comdty</stp>
        <stp>MOV_AVG_5D</stp>
        <stp>02/10/2015</stp>
        <stp>02/10/2015</stp>
        <stp>[Bbg_Market_Data_CL.xlsm]data!R378C10</stp>
        <tr r="J378" s="1"/>
      </tp>
      <tp t="s">
        <v>#N/A Requesting Data...</v>
        <stp/>
        <stp>##V3_BDHV12</stp>
        <stp>CL2 Comdty</stp>
        <stp>MOV_AVG_5D</stp>
        <stp>15/05/2015</stp>
        <stp>15/05/2015</stp>
        <stp>[Bbg_Market_Data_CL.xlsm]data!R475C10</stp>
        <tr r="J475" s="1"/>
      </tp>
      <tp t="s">
        <v>#N/A Requesting Data...</v>
        <stp/>
        <stp>##V3_BDHV12</stp>
        <stp>CL2 Comdty</stp>
        <stp>MOV_AVG_5D</stp>
        <stp>10/03/2016</stp>
        <stp>10/03/2016</stp>
        <stp>[Bbg_Market_Data_CL.xlsm]data!R272C10</stp>
        <tr r="J272" s="1"/>
      </tp>
      <tp t="s">
        <v>#N/A Requesting Data...</v>
        <stp/>
        <stp>##V3_BDHV12</stp>
        <stp>CL2 Comdty</stp>
        <stp>MOV_AVG_5D</stp>
        <stp>20/10/2016</stp>
        <stp>20/10/2016</stp>
        <stp>[Bbg_Market_Data_CL.xlsm]data!R118C10</stp>
        <tr r="J118" s="1"/>
      </tp>
      <tp t="s">
        <v>#N/A Requesting Data...</v>
        <stp/>
        <stp>##V3_BDHV12</stp>
        <stp>CL1 Comdty</stp>
        <stp>MOV_AVG_5D</stp>
        <stp>22/01/2016</stp>
        <stp>22/01/2016</stp>
        <stp>[Bbg_Market_Data_CL.xlsm]data!R304C10</stp>
        <tr r="J304" s="1"/>
      </tp>
      <tp t="s">
        <v>#N/A Requesting Data...</v>
        <stp/>
        <stp>##V3_BDHV12</stp>
        <stp>CL2 Comdty</stp>
        <stp>MOV_AVG_5D</stp>
        <stp>12/01/2016</stp>
        <stp>12/01/2016</stp>
        <stp>[Bbg_Market_Data_CL.xlsm]data!R311C10</stp>
        <tr r="J311" s="1"/>
      </tp>
      <tp t="s">
        <v>#N/A Requesting Data...</v>
        <stp/>
        <stp>##V3_BDHV12</stp>
        <stp>CL1 Comdty</stp>
        <stp>MOV_AVG_5D</stp>
        <stp>11/12/2015</stp>
        <stp>11/12/2015</stp>
        <stp>[Bbg_Market_Data_CL.xlsm]data!R331C10</stp>
        <tr r="J331" s="1"/>
      </tp>
      <tp t="s">
        <v>#N/A Requesting Data...</v>
        <stp/>
        <stp>##V3_BDHV12</stp>
        <stp>CL2 Comdty</stp>
        <stp>MOV_AVG_5D</stp>
        <stp>21/12/2015</stp>
        <stp>21/12/2015</stp>
        <stp>[Bbg_Market_Data_CL.xlsm]data!R325C10</stp>
        <tr r="J325" s="1"/>
      </tp>
      <tp t="s">
        <v>#N/A Requesting Data...</v>
        <stp/>
        <stp>##V3_BDHV12</stp>
        <stp>CL2 Comdty</stp>
        <stp>MOV_AVG_5D</stp>
        <stp>06/07/2015</stp>
        <stp>06/07/2015</stp>
        <stp>[Bbg_Market_Data_CL.xlsm]data!R441C10</stp>
        <tr r="J441" s="1"/>
      </tp>
      <tp t="s">
        <v>#N/A Requesting Data...</v>
        <stp/>
        <stp>##V3_BDHV12</stp>
        <stp>CL1 Comdty</stp>
        <stp>MOV_AVG_5D</stp>
        <stp>26/06/2015</stp>
        <stp>26/06/2015</stp>
        <stp>[Bbg_Market_Data_CL.xlsm]data!R446C10</stp>
        <tr r="J446" s="1"/>
      </tp>
      <tp t="s">
        <v>#N/A Requesting Data...</v>
        <stp/>
        <stp>##V3_BDHV12</stp>
        <stp>CL2 Comdty</stp>
        <stp>MOV_AVG_5D</stp>
        <stp>16/06/2015</stp>
        <stp>16/06/2015</stp>
        <stp>[Bbg_Market_Data_CL.xlsm]data!R454C10</stp>
        <tr r="J454" s="1"/>
      </tp>
      <tp t="s">
        <v>#N/A Requesting Data...</v>
        <stp/>
        <stp>##V3_BDHV12</stp>
        <stp>CL2 Comdty</stp>
        <stp>MOV_AVG_5D</stp>
        <stp>26/05/2015</stp>
        <stp>26/05/2015</stp>
        <stp>[Bbg_Market_Data_CL.xlsm]data!R469C10</stp>
        <tr r="J469" s="1"/>
      </tp>
      <tp t="s">
        <v>#N/A Requesting Data...</v>
        <stp/>
        <stp>##V3_BDHV12</stp>
        <stp>CL2 Comdty</stp>
        <stp>MOV_AVG_5D</stp>
        <stp>01/10/2015</stp>
        <stp>01/10/2015</stp>
        <stp>[Bbg_Market_Data_CL.xlsm]data!R379C10</stp>
        <tr r="J379" s="1"/>
      </tp>
      <tp t="s">
        <v>#N/A Requesting Data...</v>
        <stp/>
        <stp>##V3_BDHV12</stp>
        <stp>CL2 Comdty</stp>
        <stp>MOV_AVG_5D</stp>
        <stp>23/03/2016</stp>
        <stp>23/03/2016</stp>
        <stp>[Bbg_Market_Data_CL.xlsm]data!R263C10</stp>
        <tr r="J263" s="1"/>
      </tp>
      <tp t="s">
        <v>#N/A Requesting Data...</v>
        <stp/>
        <stp>##V3_BDHV12</stp>
        <stp>CL1 Comdty</stp>
        <stp>MOV_AVG_5D</stp>
        <stp>03/02/2016</stp>
        <stp>03/02/2016</stp>
        <stp>[Bbg_Market_Data_CL.xlsm]data!R296C10</stp>
        <tr r="J296" s="1"/>
      </tp>
      <tp t="s">
        <v>#N/A Requesting Data...</v>
        <stp/>
        <stp>##V3_BDHV12</stp>
        <stp>CL2 Comdty</stp>
        <stp>MOV_AVG_5D</stp>
        <stp>30/12/2015</stp>
        <stp>30/12/2015</stp>
        <stp>[Bbg_Market_Data_CL.xlsm]data!R319C10</stp>
        <tr r="J319" s="1"/>
      </tp>
      <tp t="s">
        <v>#N/A Requesting Data...</v>
        <stp/>
        <stp>##V3_BDHV12</stp>
        <stp>CL2 Comdty</stp>
        <stp>MOV_AVG_5D</stp>
        <stp>31/10/2016</stp>
        <stp>31/10/2016</stp>
        <stp>[Bbg_Market_Data_CL.xlsm]data!R111C10</stp>
        <tr r="J111" s="1"/>
      </tp>
      <tp t="s">
        <v>#N/A Requesting Data...</v>
        <stp/>
        <stp>##V3_BDHV12</stp>
        <stp>CL1 Comdty</stp>
        <stp>MOV_AVG_5D</stp>
        <stp>27/07/2015</stp>
        <stp>27/07/2015</stp>
        <stp>[Bbg_Market_Data_CL.xlsm]data!R426C10</stp>
        <tr r="J426" s="1"/>
      </tp>
      <tp t="s">
        <v>#N/A Requesting Data...</v>
        <stp/>
        <stp>##V3_BDHV12</stp>
        <stp>CL2 Comdty</stp>
        <stp>MOV_AVG_5D</stp>
        <stp>17/07/2015</stp>
        <stp>17/07/2015</stp>
        <stp>[Bbg_Market_Data_CL.xlsm]data!R432C10</stp>
        <tr r="J432" s="1"/>
      </tp>
      <tp t="s">
        <v>#N/A Requesting Data...</v>
        <stp/>
        <stp>##V3_BDHV12</stp>
        <stp>CL1 Comdty</stp>
        <stp>MOV_AVG_5D</stp>
        <stp>30/11/2015</stp>
        <stp>30/11/2015</stp>
        <stp>[Bbg_Market_Data_CL.xlsm]data!R340C10</stp>
        <tr r="J340" s="1"/>
      </tp>
      <tp t="s">
        <v>#N/A Requesting Data...</v>
        <stp/>
        <stp>##V3_BDHV12</stp>
        <stp>CL1 Comdty</stp>
        <stp>MOV_AVG_5D</stp>
        <stp>02/03/2016</stp>
        <stp>02/03/2016</stp>
        <stp>[Bbg_Market_Data_CL.xlsm]data!R278C10</stp>
        <tr r="J278" s="1"/>
      </tp>
      <tp t="s">
        <v>#N/A Requesting Data...</v>
        <stp/>
        <stp>##V3_BDHV12</stp>
        <stp>CL1 Comdty</stp>
        <stp>MOV_AVG_5D</stp>
        <stp>20/10/2015</stp>
        <stp>20/10/2015</stp>
        <stp>[Bbg_Market_Data_CL.xlsm]data!R367C10</stp>
        <tr r="J367" s="1"/>
      </tp>
      <tp t="s">
        <v>#N/A Requesting Data...</v>
        <stp/>
        <stp>##V3_BDHV12</stp>
        <stp>CL2 Comdty</stp>
        <stp>MOV_AVG_5D</stp>
        <stp>27/04/2015</stp>
        <stp>27/04/2015</stp>
        <stp>[Bbg_Market_Data_CL.xlsm]data!R489C10</stp>
        <tr r="J489" s="1"/>
      </tp>
      <tp t="s">
        <v>#N/A Requesting Data...</v>
        <stp/>
        <stp>##V3_BDHV12</stp>
        <stp>CL1 Comdty</stp>
        <stp>MOV_AVG_5D</stp>
        <stp>12/02/2016</stp>
        <stp>12/02/2016</stp>
        <stp>[Bbg_Market_Data_CL.xlsm]data!R289C10</stp>
        <tr r="J289" s="1"/>
      </tp>
      <tp t="s">
        <v>#N/A Requesting Data...</v>
        <stp/>
        <stp>##V3_BDHV12</stp>
        <stp>CL2 Comdty</stp>
        <stp>MOV_AVG_5D</stp>
        <stp>22/02/2016</stp>
        <stp>22/02/2016</stp>
        <stp>[Bbg_Market_Data_CL.xlsm]data!R285C10</stp>
        <tr r="J285" s="1"/>
      </tp>
      <tp t="s">
        <v>#N/A Requesting Data...</v>
        <stp/>
        <stp>##V3_BDHV12</stp>
        <stp>CL1 Comdty</stp>
        <stp>MOV_AVG_5D</stp>
        <stp>07/05/2015</stp>
        <stp>07/05/2015</stp>
        <stp>[Bbg_Market_Data_CL.xlsm]data!R481C10</stp>
        <tr r="J481" s="1"/>
      </tp>
      <tp t="s">
        <v>#N/A Requesting Data...</v>
        <stp/>
        <stp>##V3_BDHV12</stp>
        <stp>CL1 Comdty</stp>
        <stp>MOV_AVG_5D</stp>
        <stp>17/04/2015</stp>
        <stp>17/04/2015</stp>
        <stp>[Bbg_Market_Data_CL.xlsm]data!R495C10</stp>
        <tr r="J495" s="1"/>
      </tp>
      <tp t="s">
        <v>#N/A Requesting Data...</v>
        <stp/>
        <stp>##V3_BDHV12</stp>
        <stp>CL2 Comdty</stp>
        <stp>MOV_AVG_5D</stp>
        <stp>15/06/2016</stp>
        <stp>15/06/2016</stp>
        <stp>[Bbg_Market_Data_CL.xlsm]data!R205C10</stp>
        <tr r="J205" s="1"/>
      </tp>
      <tp t="s">
        <v>#N/A Requesting Data...</v>
        <stp/>
        <stp>##V3_BDHV12</stp>
        <stp>CL2 Comdty</stp>
        <stp>MOV_AVG_5D</stp>
        <stp>25/05/2016</stp>
        <stp>25/05/2016</stp>
        <stp>[Bbg_Market_Data_CL.xlsm]data!R219C10</stp>
        <tr r="J219" s="1"/>
      </tp>
      <tp t="s">
        <v>#N/A Requesting Data...</v>
        <stp/>
        <stp>##V3_BDHV12</stp>
        <stp>CL1 Comdty</stp>
        <stp>MOV_AVG_5D</stp>
        <stp>05/04/2016</stp>
        <stp>05/04/2016</stp>
        <stp>[Bbg_Market_Data_CL.xlsm]data!R255C10</stp>
        <tr r="J255" s="1"/>
      </tp>
      <tp t="s">
        <v>#N/A Requesting Data...</v>
        <stp/>
        <stp>##V3_BDHV12</stp>
        <stp>CL1 Comdty</stp>
        <stp>MOV_AVG_5D</stp>
        <stp>06/07/2016</stp>
        <stp>06/07/2016</stp>
        <stp>[Bbg_Market_Data_CL.xlsm]data!R191C10</stp>
        <tr r="J191" s="1"/>
      </tp>
      <tp t="s">
        <v>#N/A Requesting Data...</v>
        <stp/>
        <stp>##V3_BDHV12</stp>
        <stp>CL1 Comdty</stp>
        <stp>MOV_AVG_5D</stp>
        <stp>04/05/2016</stp>
        <stp>04/05/2016</stp>
        <stp>[Bbg_Market_Data_CL.xlsm]data!R234C10</stp>
        <tr r="J234" s="1"/>
      </tp>
      <tp t="s">
        <v>#N/A Requesting Data...</v>
        <stp/>
        <stp>##V3_BDHV12</stp>
        <stp>CL1 Comdty</stp>
        <stp>MOV_AVG_5D</stp>
        <stp>14/04/2016</stp>
        <stp>14/04/2016</stp>
        <stp>[Bbg_Market_Data_CL.xlsm]data!R248C10</stp>
        <tr r="J248" s="1"/>
      </tp>
      <tp t="s">
        <v>#N/A Requesting Data...</v>
        <stp/>
        <stp>##V3_BDHV12</stp>
        <stp>CL2 Comdty</stp>
        <stp>MOV_AVG_5D</stp>
        <stp>27/07/2016</stp>
        <stp>27/07/2016</stp>
        <stp>[Bbg_Market_Data_CL.xlsm]data!R176C10</stp>
        <tr r="J176" s="1"/>
      </tp>
      <tp t="s">
        <v>#N/A Requesting Data...</v>
        <stp/>
        <stp>##V3_BDHV12</stp>
        <stp>CL1 Comdty</stp>
        <stp>MOV_AVG_5D</stp>
        <stp>07/06/2016</stp>
        <stp>07/06/2016</stp>
        <stp>[Bbg_Market_Data_CL.xlsm]data!R211C10</stp>
        <tr r="J211" s="1"/>
      </tp>
      <tp t="s">
        <v>#N/A Requesting Data...</v>
        <stp/>
        <stp>##V3_BDHV12</stp>
        <stp>CL1 Comdty</stp>
        <stp>MOV_AVG_5D</stp>
        <stp>27/04/2016</stp>
        <stp>27/04/2016</stp>
        <stp>[Bbg_Market_Data_CL.xlsm]data!R239C10</stp>
        <tr r="J239" s="1"/>
      </tp>
      <tp t="s">
        <v>#N/A Requesting Data...</v>
        <stp/>
        <stp>##V3_BDHV12</stp>
        <stp>CL2 Comdty</stp>
        <stp>MOV_AVG_5D</stp>
        <stp>14/07/2016</stp>
        <stp>14/07/2016</stp>
        <stp>[Bbg_Market_Data_CL.xlsm]data!R185C10</stp>
        <tr r="J185" s="1"/>
      </tp>
      <tp t="s">
        <v>#N/A Requesting Data...</v>
        <stp/>
        <stp>##V3_BDHV12</stp>
        <stp>CL1 Comdty</stp>
        <stp>MOV_AVG_5D</stp>
        <stp>16/06/2016</stp>
        <stp>16/06/2016</stp>
        <stp>[Bbg_Market_Data_CL.xlsm]data!R204C10</stp>
        <tr r="J204" s="1"/>
      </tp>
      <tp t="s">
        <v>#N/A Requesting Data...</v>
        <stp/>
        <stp>##V3_BDHV12</stp>
        <stp>CL1 Comdty</stp>
        <stp>MOV_AVG_5D</stp>
        <stp>26/05/2016</stp>
        <stp>26/05/2016</stp>
        <stp>[Bbg_Market_Data_CL.xlsm]data!R218C10</stp>
        <tr r="J218" s="1"/>
      </tp>
      <tp t="s">
        <v>#N/A Requesting Data...</v>
        <stp/>
        <stp>##V3_BDHV12</stp>
        <stp>CL2 Comdty</stp>
        <stp>MOV_AVG_5D</stp>
        <stp>16/05/2016</stp>
        <stp>16/05/2016</stp>
        <stp>[Bbg_Market_Data_CL.xlsm]data!R226C10</stp>
        <tr r="J226" s="1"/>
      </tp>
      <tp t="s">
        <v>#N/A Requesting Data...</v>
        <stp/>
        <stp>##V3_BDHV12</stp>
        <stp>CL2 Comdty</stp>
        <stp>MOV_AVG_5D</stp>
        <stp>06/04/2016</stp>
        <stp>06/04/2016</stp>
        <stp>[Bbg_Market_Data_CL.xlsm]data!R254C10</stp>
        <tr r="J254" s="1"/>
      </tp>
      <tp t="s">
        <v>#N/A Requesting Data...</v>
        <stp/>
        <stp>##V3_BDHV12</stp>
        <stp>CL2 Comdty</stp>
        <stp>MOV_AVG_5D</stp>
        <stp>05/07/2016</stp>
        <stp>05/07/2016</stp>
        <stp>[Bbg_Market_Data_CL.xlsm]data!R192C10</stp>
        <tr r="J192" s="1"/>
      </tp>
      <tp t="s">
        <v>#N/A Requesting Data...</v>
        <stp/>
        <stp>##V3_BDHV12</stp>
        <stp>CL2 Comdty</stp>
        <stp>MOV_AVG_5D</stp>
        <stp>07/04/2017</stp>
        <stp>07/04/2017</stp>
        <stp>[Bbg_Market_Data_CL.xlsm]data!R3C10</stp>
        <tr r="J3" s="1"/>
      </tp>
      <tp t="s">
        <v>#N/A Requesting Data...</v>
        <stp/>
        <stp>##V3_BDHV12</stp>
        <stp>CL1 Comdty</stp>
        <stp>MOV_AVG_5D</stp>
        <stp>04/04/2017</stp>
        <stp>04/04/2017</stp>
        <stp>[Bbg_Market_Data_CL.xlsm]data!R6C10</stp>
        <tr r="J6" s="1"/>
      </tp>
      <tp t="s">
        <v>#N/A Requesting Data...</v>
        <stp/>
        <stp>##V3_BDHV12</stp>
        <stp>CL1 Comdty</stp>
        <stp>MOV_AVG_5D</stp>
        <stp>05/04/2017</stp>
        <stp>05/04/2017</stp>
        <stp>[Bbg_Market_Data_CL.xlsm]data!R5C10</stp>
        <tr r="J5" s="1"/>
      </tp>
      <tp t="s">
        <v>#N/A Requesting Data...</v>
        <stp/>
        <stp>##V3_BDHV12</stp>
        <stp>CL2 Comdty</stp>
        <stp>MOV_AVG_5D</stp>
        <stp>06/04/2017</stp>
        <stp>06/04/2017</stp>
        <stp>[Bbg_Market_Data_CL.xlsm]data!R4C10</stp>
        <tr r="J4" s="1"/>
      </tp>
      <tp t="s">
        <v>#N/A Requesting Data...</v>
        <stp/>
        <stp>##V3_BDHV12</stp>
        <stp>CL2 Comdty</stp>
        <stp>MOV_AVG_5D</stp>
        <stp>05/04/2017</stp>
        <stp>05/04/2017</stp>
        <stp>[Bbg_Market_Data_CL.xlsm]data!R5C10</stp>
        <tr r="J5" s="1"/>
      </tp>
      <tp t="s">
        <v>#N/A Requesting Data...</v>
        <stp/>
        <stp>##V3_BDHV12</stp>
        <stp>CL1 Comdty</stp>
        <stp>MOV_AVG_5D</stp>
        <stp>06/04/2017</stp>
        <stp>06/04/2017</stp>
        <stp>[Bbg_Market_Data_CL.xlsm]data!R4C10</stp>
        <tr r="J4" s="1"/>
      </tp>
      <tp t="s">
        <v>#N/A Requesting Data...</v>
        <stp/>
        <stp>##V3_BDHV12</stp>
        <stp>CL1 Comdty</stp>
        <stp>MOV_AVG_5D</stp>
        <stp>07/04/2017</stp>
        <stp>07/04/2017</stp>
        <stp>[Bbg_Market_Data_CL.xlsm]data!R3C10</stp>
        <tr r="J3" s="1"/>
      </tp>
      <tp t="s">
        <v>#N/A Requesting Data...</v>
        <stp/>
        <stp>##V3_BDHV12</stp>
        <stp>CL2 Comdty</stp>
        <stp>MOV_AVG_5D</stp>
        <stp>04/04/2017</stp>
        <stp>04/04/2017</stp>
        <stp>[Bbg_Market_Data_CL.xlsm]data!R6C10</stp>
        <tr r="J6" s="1"/>
      </tp>
      <tp t="s">
        <v>#N/A Requesting Data...</v>
        <stp/>
        <stp>##V3_BDHV12</stp>
        <stp>CL2 Comdty</stp>
        <stp>MOV_AVG_5D</stp>
        <stp>03/04/2017</stp>
        <stp>03/04/2017</stp>
        <stp>[Bbg_Market_Data_CL.xlsm]data!R7C10</stp>
        <tr r="J7" s="1"/>
      </tp>
      <tp t="s">
        <v>#N/A Requesting Data...</v>
        <stp/>
        <stp>##V3_BDHV12</stp>
        <stp>CL1 Comdty</stp>
        <stp>MOV_AVG_5D</stp>
        <stp>03/04/2017</stp>
        <stp>03/04/2017</stp>
        <stp>[Bbg_Market_Data_CL.xlsm]data!R7C10</stp>
        <tr r="J7" s="1"/>
      </tp>
      <tp t="s">
        <v>#N/A Requesting Data...</v>
        <stp/>
        <stp>##V3_BDHV12</stp>
        <stp>CL1 Comdty</stp>
        <stp>MOV_AVG_5D</stp>
        <stp>10/04/2017</stp>
        <stp>10/04/2017</stp>
        <stp>[Bbg_Market_Data_CL.xlsm]data!R2C10</stp>
        <tr r="J2" s="1"/>
      </tp>
      <tp t="s">
        <v>#N/A Requesting Data...</v>
        <stp/>
        <stp>##V3_BDHV12</stp>
        <stp>CL2 Comdty</stp>
        <stp>MOV_AVG_5D</stp>
        <stp>10/04/2017</stp>
        <stp>10/04/2017</stp>
        <stp>[Bbg_Market_Data_CL.xlsm]data!R2C10</stp>
        <tr r="J2" s="1"/>
      </tp>
      <tp t="s">
        <v>#N/A Requesting Data...</v>
        <stp/>
        <stp>##V3_BDHV12</stp>
        <stp>CL1 Comdty</stp>
        <stp>MOV_AVG_5D</stp>
        <stp>08/09/2016</stp>
        <stp>08/09/2016</stp>
        <stp>[Bbg_Market_Data_CL.xlsm]data!R147C10</stp>
        <tr r="J147" s="1"/>
      </tp>
      <tp t="s">
        <v>#N/A Requesting Data...</v>
        <stp/>
        <stp>##V3_BDHV12</stp>
        <stp>CL1 Comdty</stp>
        <stp>MOV_AVG_5D</stp>
        <stp>18/08/2016</stp>
        <stp>18/08/2016</stp>
        <stp>[Bbg_Market_Data_CL.xlsm]data!R161C10</stp>
        <tr r="J161" s="1"/>
      </tp>
      <tp t="s">
        <v>#N/A Requesting Data...</v>
        <stp/>
        <stp>##V3_BDHV12</stp>
        <stp>CL1 Comdty</stp>
        <stp>MOV_AVG_5D</stp>
        <stp>29/09/2015</stp>
        <stp>29/09/2015</stp>
        <stp>[Bbg_Market_Data_CL.xlsm]data!R381C10</stp>
        <tr r="J381" s="1"/>
      </tp>
      <tp t="s">
        <v>#N/A Requesting Data...</v>
        <stp/>
        <stp>##V3_BDHV12</stp>
        <stp>CL2 Comdty</stp>
        <stp>MOV_AVG_5D</stp>
        <stp>29/09/2016</stp>
        <stp>29/09/2016</stp>
        <stp>[Bbg_Market_Data_CL.xlsm]data!R132C10</stp>
        <tr r="J132" s="1"/>
      </tp>
      <tp t="s">
        <v>#N/A Requesting Data...</v>
        <stp/>
        <stp>##V3_BDHV12</stp>
        <stp>CL1 Comdty</stp>
        <stp>MOV_AVG_5D</stp>
        <stp>19/09/2016</stp>
        <stp>19/09/2016</stp>
        <stp>[Bbg_Market_Data_CL.xlsm]data!R140C10</stp>
        <tr r="J140" s="1"/>
      </tp>
      <tp t="s">
        <v>#N/A Requesting Data...</v>
        <stp/>
        <stp>##V3_BDHV12</stp>
        <stp>CL1 Comdty</stp>
        <stp>MOV_AVG_5D</stp>
        <stp>09/08/2016</stp>
        <stp>09/08/2016</stp>
        <stp>[Bbg_Market_Data_CL.xlsm]data!R168C10</stp>
        <tr r="J168" s="1"/>
      </tp>
      <tp t="s">
        <v>#N/A Requesting Data...</v>
        <stp/>
        <stp>##V3_BDHV12</stp>
        <stp>CL2 Comdty</stp>
        <stp>MOV_AVG_5D</stp>
        <stp>08/09/2015</stp>
        <stp>08/09/2015</stp>
        <stp>[Bbg_Market_Data_CL.xlsm]data!R396C10</stp>
        <tr r="J396" s="1"/>
      </tp>
      <tp t="s">
        <v>#N/A Requesting Data...</v>
        <stp/>
        <stp>##V3_BDHV12</stp>
        <stp>CL1 Comdty</stp>
        <stp>MOV_AVG_5D</stp>
        <stp>28/08/2015</stp>
        <stp>28/08/2015</stp>
        <stp>[Bbg_Market_Data_CL.xlsm]data!R402C10</stp>
        <tr r="J402" s="1"/>
      </tp>
      <tp t="s">
        <v>#N/A Requesting Data...</v>
        <stp/>
        <stp>##V3_BDHV12</stp>
        <stp>CL2 Comdty</stp>
        <stp>MOV_AVG_5D</stp>
        <stp>18/08/2015</stp>
        <stp>18/08/2015</stp>
        <stp>[Bbg_Market_Data_CL.xlsm]data!R410C10</stp>
        <tr r="J410" s="1"/>
      </tp>
      <tp t="s">
        <v>#N/A Requesting Data...</v>
        <stp/>
        <stp>##V3_BDHV12</stp>
        <stp>CL1 Comdty</stp>
        <stp>MOV_AVG_5D</stp>
        <stp>30/03/2017</stp>
        <stp>30/03/2017</stp>
        <stp>[Bbg_Market_Data_CL.xlsm]data!R9C10</stp>
        <tr r="J9" s="1"/>
      </tp>
      <tp t="s">
        <v>#N/A Requesting Data...</v>
        <stp/>
        <stp>##V3_BDHV12</stp>
        <stp>CL1 Comdty</stp>
        <stp>MOV_AVG_5D</stp>
        <stp>31/03/2017</stp>
        <stp>31/03/2017</stp>
        <stp>[Bbg_Market_Data_CL.xlsm]data!R8C10</stp>
        <tr r="J8" s="1"/>
      </tp>
      <tp t="s">
        <v>#N/A Requesting Data...</v>
        <stp/>
        <stp>##V3_BDHV12</stp>
        <stp>CL2 Comdty</stp>
        <stp>MOV_AVG_5D</stp>
        <stp>31/03/2017</stp>
        <stp>31/03/2017</stp>
        <stp>[Bbg_Market_Data_CL.xlsm]data!R8C10</stp>
        <tr r="J8" s="1"/>
      </tp>
      <tp t="s">
        <v>#N/A Requesting Data...</v>
        <stp/>
        <stp>##V3_BDHV12</stp>
        <stp>CL2 Comdty</stp>
        <stp>MOV_AVG_5D</stp>
        <stp>30/03/2017</stp>
        <stp>30/03/2017</stp>
        <stp>[Bbg_Market_Data_CL.xlsm]data!R9C10</stp>
        <tr r="J9" s="1"/>
      </tp>
      <tp t="s">
        <v>#N/A Requesting Data...</v>
        <stp/>
        <stp>##V3_BDHV12</stp>
        <stp>CL1 Comdty</stp>
        <stp>PX_HIGH</stp>
        <stp>28/11/2016</stp>
        <stp>28/11/2016</stp>
        <stp>[Bbg_Market_Data_CL.xlsm]data!R93C6</stp>
        <tr r="F93" s="1"/>
      </tp>
      <tp>
        <v>48.81</v>
        <stp/>
        <stp>##V3_BDHV12</stp>
        <stp>CL2 Comdty</stp>
        <stp>PX_HIGH</stp>
        <stp>27/03/2017</stp>
        <stp>27/03/2017</stp>
        <stp>[Bbg_Market_Data_CL.xlsm]data!R12C6</stp>
        <tr r="F12" s="1"/>
      </tp>
      <tp>
        <v>54.98</v>
        <stp/>
        <stp>##V3_BDHV12</stp>
        <stp>CL2 Comdty</stp>
        <stp>PX_HIGH</stp>
        <stp>27/12/2016</stp>
        <stp>27/12/2016</stp>
        <stp>[Bbg_Market_Data_CL.xlsm]data!R73C6</stp>
        <tr r="F73" s="1"/>
      </tp>
      <tp t="s">
        <v>#N/A Requesting Data...</v>
        <stp/>
        <stp>##V3_BDHV12</stp>
        <stp>CL1 Comdty</stp>
        <stp>PX_HIGH</stp>
        <stp>13/03/2017</stp>
        <stp>13/03/2017</stp>
        <stp>[Bbg_Market_Data_CL.xlsm]data!R22C6</stp>
        <tr r="F22" s="1"/>
      </tp>
      <tp t="s">
        <v>#N/A Requesting Data...</v>
        <stp/>
        <stp>##V3_BDHV12</stp>
        <stp>CL1 Comdty</stp>
        <stp>PX_HIGH</stp>
        <stp>12/12/2016</stp>
        <stp>12/12/2016</stp>
        <stp>[Bbg_Market_Data_CL.xlsm]data!R83C6</stp>
        <tr r="F83" s="1"/>
      </tp>
      <tp>
        <v>54.93</v>
        <stp/>
        <stp>##V3_BDHV12</stp>
        <stp>CL2 Comdty</stp>
        <stp>PX_HIGH</stp>
        <stp>27/02/2017</stp>
        <stp>27/02/2017</stp>
        <stp>[Bbg_Market_Data_CL.xlsm]data!R32C6</stp>
        <tr r="F32" s="1"/>
      </tp>
      <tp t="s">
        <v>#N/A Requesting Data...</v>
        <stp/>
        <stp>##V3_BDHV12</stp>
        <stp>CL1 Comdty</stp>
        <stp>PX_HIGH</stp>
        <stp>27/01/2017</stp>
        <stp>27/01/2017</stp>
        <stp>[Bbg_Market_Data_CL.xlsm]data!R52C6</stp>
        <tr r="F52" s="1"/>
      </tp>
      <tp t="s">
        <v>#N/A Requesting Data...</v>
        <stp/>
        <stp>##V3_BDHV12</stp>
        <stp>CL1 Comdty</stp>
        <stp>PX_HIGH</stp>
        <stp>10/02/2017</stp>
        <stp>10/02/2017</stp>
        <stp>[Bbg_Market_Data_CL.xlsm]data!R42C6</stp>
        <tr r="F42" s="1"/>
      </tp>
      <tp>
        <v>54.29</v>
        <stp/>
        <stp>##V3_BDHV12</stp>
        <stp>CL2 Comdty</stp>
        <stp>PX_HIGH</stp>
        <stp>12/01/2017</stp>
        <stp>12/01/2017</stp>
        <stp>[Bbg_Market_Data_CL.xlsm]data!R62C6</stp>
        <tr r="F62" s="1"/>
      </tp>
      <tp t="s">
        <v>#N/A Requesting Data...</v>
        <stp/>
        <stp>##V3_BDHV12</stp>
        <stp>CL1 Comdty</stp>
        <stp>PX_HIGH</stp>
        <stp>27/02/2017</stp>
        <stp>27/02/2017</stp>
        <stp>[Bbg_Market_Data_CL.xlsm]data!R32C6</stp>
        <tr r="F32" s="1"/>
      </tp>
      <tp>
        <v>54.68</v>
        <stp/>
        <stp>##V3_BDHV12</stp>
        <stp>CL2 Comdty</stp>
        <stp>PX_HIGH</stp>
        <stp>27/01/2017</stp>
        <stp>27/01/2017</stp>
        <stp>[Bbg_Market_Data_CL.xlsm]data!R52C6</stp>
        <tr r="F52" s="1"/>
      </tp>
      <tp>
        <v>54.55</v>
        <stp/>
        <stp>##V3_BDHV12</stp>
        <stp>CL2 Comdty</stp>
        <stp>PX_HIGH</stp>
        <stp>10/02/2017</stp>
        <stp>10/02/2017</stp>
        <stp>[Bbg_Market_Data_CL.xlsm]data!R42C6</stp>
        <tr r="F42" s="1"/>
      </tp>
      <tp t="s">
        <v>#N/A Requesting Data...</v>
        <stp/>
        <stp>##V3_BDHV12</stp>
        <stp>CL1 Comdty</stp>
        <stp>PX_HIGH</stp>
        <stp>12/01/2017</stp>
        <stp>12/01/2017</stp>
        <stp>[Bbg_Market_Data_CL.xlsm]data!R62C6</stp>
        <tr r="F62" s="1"/>
      </tp>
      <tp>
        <v>48.55</v>
        <stp/>
        <stp>##V3_BDHV12</stp>
        <stp>CL2 Comdty</stp>
        <stp>PX_HIGH</stp>
        <stp>28/11/2016</stp>
        <stp>28/11/2016</stp>
        <stp>[Bbg_Market_Data_CL.xlsm]data!R93C6</stp>
        <tr r="F93" s="1"/>
      </tp>
      <tp t="s">
        <v>#N/A Requesting Data...</v>
        <stp/>
        <stp>##V3_BDHV12</stp>
        <stp>CL1 Comdty</stp>
        <stp>PX_HIGH</stp>
        <stp>27/03/2017</stp>
        <stp>27/03/2017</stp>
        <stp>[Bbg_Market_Data_CL.xlsm]data!R12C6</stp>
        <tr r="F12" s="1"/>
      </tp>
      <tp t="s">
        <v>#N/A Requesting Data...</v>
        <stp/>
        <stp>##V3_BDHV12</stp>
        <stp>CL1 Comdty</stp>
        <stp>PX_HIGH</stp>
        <stp>27/12/2016</stp>
        <stp>27/12/2016</stp>
        <stp>[Bbg_Market_Data_CL.xlsm]data!R73C6</stp>
        <tr r="F73" s="1"/>
      </tp>
      <tp>
        <v>49.25</v>
        <stp/>
        <stp>##V3_BDHV12</stp>
        <stp>CL2 Comdty</stp>
        <stp>PX_HIGH</stp>
        <stp>13/03/2017</stp>
        <stp>13/03/2017</stp>
        <stp>[Bbg_Market_Data_CL.xlsm]data!R22C6</stp>
        <tr r="F22" s="1"/>
      </tp>
      <tp>
        <v>55.44</v>
        <stp/>
        <stp>##V3_BDHV12</stp>
        <stp>CL2 Comdty</stp>
        <stp>PX_HIGH</stp>
        <stp>12/12/2016</stp>
        <stp>12/12/2016</stp>
        <stp>[Bbg_Market_Data_CL.xlsm]data!R83C6</stp>
        <tr r="F83" s="1"/>
      </tp>
      <tp>
        <v>48.87</v>
        <stp/>
        <stp>##V3_BDHV12</stp>
        <stp>CL2 Comdty</stp>
        <stp>PX_OPEN</stp>
        <stp>23/11/2016</stp>
        <stp>23/11/2016</stp>
        <stp>[Bbg_Market_Data_CL.xlsm]data!R95C5</stp>
        <tr r="E95" s="1"/>
      </tp>
      <tp t="s">
        <v>#N/A Requesting Data...</v>
        <stp/>
        <stp>##V3_BDHV12</stp>
        <stp>CL1 Comdty</stp>
        <stp>PX_OPEN</stp>
        <stp>22/12/2016</stp>
        <stp>22/12/2016</stp>
        <stp>[Bbg_Market_Data_CL.xlsm]data!R75C5</stp>
        <tr r="E75" s="1"/>
      </tp>
      <tp t="s">
        <v>#N/A Requesting Data...</v>
        <stp/>
        <stp>##V3_BDHV12</stp>
        <stp>CL1 Comdty</stp>
        <stp>PX_OPEN</stp>
        <stp>23/03/2017</stp>
        <stp>23/03/2017</stp>
        <stp>[Bbg_Market_Data_CL.xlsm]data!R14C5</stp>
        <tr r="E14" s="1"/>
      </tp>
      <tp>
        <v>52.35</v>
        <stp/>
        <stp>##V3_BDHV12</stp>
        <stp>CL2 Comdty</stp>
        <stp>PX_OPEN</stp>
        <stp>08/02/2017</stp>
        <stp>08/02/2017</stp>
        <stp>[Bbg_Market_Data_CL.xlsm]data!R44C5</stp>
        <tr r="E44" s="1"/>
      </tp>
      <tp>
        <v>53.65</v>
        <stp/>
        <stp>##V3_BDHV12</stp>
        <stp>CL2 Comdty</stp>
        <stp>PX_OPEN</stp>
        <stp>25/01/2017</stp>
        <stp>25/01/2017</stp>
        <stp>[Bbg_Market_Data_CL.xlsm]data!R54C5</stp>
        <tr r="E54" s="1"/>
      </tp>
      <tp t="s">
        <v>#N/A Requesting Data...</v>
        <stp/>
        <stp>##V3_BDHV12</stp>
        <stp>CL1 Comdty</stp>
        <stp>PX_OPEN</stp>
        <stp>10/01/2017</stp>
        <stp>10/01/2017</stp>
        <stp>[Bbg_Market_Data_CL.xlsm]data!R64C5</stp>
        <tr r="E64" s="1"/>
      </tp>
      <tp t="s">
        <v>#N/A Requesting Data...</v>
        <stp/>
        <stp>##V3_BDHV12</stp>
        <stp>CL1 Comdty</stp>
        <stp>PX_OPEN</stp>
        <stp>23/02/2017</stp>
        <stp>23/02/2017</stp>
        <stp>[Bbg_Market_Data_CL.xlsm]data!R34C5</stp>
        <tr r="E34" s="1"/>
      </tp>
      <tp>
        <v>50.98</v>
        <stp/>
        <stp>##V3_BDHV12</stp>
        <stp>CL2 Comdty</stp>
        <stp>PX_OPEN</stp>
        <stp>08/12/2016</stp>
        <stp>08/12/2016</stp>
        <stp>[Bbg_Market_Data_CL.xlsm]data!R85C5</stp>
        <tr r="E85" s="1"/>
      </tp>
      <tp>
        <v>50.76</v>
        <stp/>
        <stp>##V3_BDHV12</stp>
        <stp>CL2 Comdty</stp>
        <stp>PX_OPEN</stp>
        <stp>09/03/2017</stp>
        <stp>09/03/2017</stp>
        <stp>[Bbg_Market_Data_CL.xlsm]data!R24C5</stp>
        <tr r="E24" s="1"/>
      </tp>
      <tp t="s">
        <v>#N/A Requesting Data...</v>
        <stp/>
        <stp>##V3_BDHV12</stp>
        <stp>CL1 Comdty</stp>
        <stp>PX_OPEN</stp>
        <stp>25/01/2017</stp>
        <stp>25/01/2017</stp>
        <stp>[Bbg_Market_Data_CL.xlsm]data!R54C5</stp>
        <tr r="E54" s="1"/>
      </tp>
      <tp>
        <v>52.72</v>
        <stp/>
        <stp>##V3_BDHV12</stp>
        <stp>CL2 Comdty</stp>
        <stp>PX_OPEN</stp>
        <stp>10/01/2017</stp>
        <stp>10/01/2017</stp>
        <stp>[Bbg_Market_Data_CL.xlsm]data!R64C5</stp>
        <tr r="E64" s="1"/>
      </tp>
      <tp>
        <v>54.2</v>
        <stp/>
        <stp>##V3_BDHV12</stp>
        <stp>CL2 Comdty</stp>
        <stp>PX_OPEN</stp>
        <stp>23/02/2017</stp>
        <stp>23/02/2017</stp>
        <stp>[Bbg_Market_Data_CL.xlsm]data!R34C5</stp>
        <tr r="E34" s="1"/>
      </tp>
      <tp t="s">
        <v>#N/A Requesting Data...</v>
        <stp/>
        <stp>##V3_BDHV12</stp>
        <stp>CL1 Comdty</stp>
        <stp>PX_OPEN</stp>
        <stp>08/12/2016</stp>
        <stp>08/12/2016</stp>
        <stp>[Bbg_Market_Data_CL.xlsm]data!R85C5</stp>
        <tr r="E85" s="1"/>
      </tp>
      <tp t="s">
        <v>#N/A Requesting Data...</v>
        <stp/>
        <stp>##V3_BDHV12</stp>
        <stp>CL1 Comdty</stp>
        <stp>PX_OPEN</stp>
        <stp>09/03/2017</stp>
        <stp>09/03/2017</stp>
        <stp>[Bbg_Market_Data_CL.xlsm]data!R24C5</stp>
        <tr r="E24" s="1"/>
      </tp>
      <tp t="s">
        <v>#N/A Requesting Data...</v>
        <stp/>
        <stp>##V3_BDHV12</stp>
        <stp>CL1 Comdty</stp>
        <stp>PX_OPEN</stp>
        <stp>23/11/2016</stp>
        <stp>23/11/2016</stp>
        <stp>[Bbg_Market_Data_CL.xlsm]data!R95C5</stp>
        <tr r="E95" s="1"/>
      </tp>
      <tp>
        <v>53.41</v>
        <stp/>
        <stp>##V3_BDHV12</stp>
        <stp>CL2 Comdty</stp>
        <stp>PX_OPEN</stp>
        <stp>22/12/2016</stp>
        <stp>22/12/2016</stp>
        <stp>[Bbg_Market_Data_CL.xlsm]data!R75C5</stp>
        <tr r="E75" s="1"/>
      </tp>
      <tp>
        <v>48.65</v>
        <stp/>
        <stp>##V3_BDHV12</stp>
        <stp>CL2 Comdty</stp>
        <stp>PX_OPEN</stp>
        <stp>23/03/2017</stp>
        <stp>23/03/2017</stp>
        <stp>[Bbg_Market_Data_CL.xlsm]data!R14C5</stp>
        <tr r="E14" s="1"/>
      </tp>
      <tp t="s">
        <v>#N/A Requesting Data...</v>
        <stp/>
        <stp>##V3_BDHV12</stp>
        <stp>CL1 Comdty</stp>
        <stp>PX_OPEN</stp>
        <stp>08/02/2017</stp>
        <stp>08/02/2017</stp>
        <stp>[Bbg_Market_Data_CL.xlsm]data!R44C5</stp>
        <tr r="E44" s="1"/>
      </tp>
      <tp t="s">
        <v>#N/A Requesting Data...</v>
        <stp/>
        <stp>##V3_BDHV12</stp>
        <stp>CL2 Comdty</stp>
        <stp>MOV_AVG_5D</stp>
        <stp>21/06/2016</stp>
        <stp>21/06/2016</stp>
        <stp>[Bbg_Market_Data_CL.xlsm]data!R201C10</stp>
        <tr r="J201" s="1"/>
      </tp>
      <tp t="s">
        <v>#N/A Requesting Data...</v>
        <stp/>
        <stp>##V3_BDHV12</stp>
        <stp>CL2 Comdty</stp>
        <stp>MOV_AVG_5D</stp>
        <stp>11/05/2016</stp>
        <stp>11/05/2016</stp>
        <stp>[Bbg_Market_Data_CL.xlsm]data!R229C10</stp>
        <tr r="J229" s="1"/>
      </tp>
      <tp t="s">
        <v>#N/A Requesting Data...</v>
        <stp/>
        <stp>##V3_BDHV12</stp>
        <stp>CL2 Comdty</stp>
        <stp>MOV_AVG_5D</stp>
        <stp>01/04/2016</stp>
        <stp>01/04/2016</stp>
        <stp>[Bbg_Market_Data_CL.xlsm]data!R257C10</stp>
        <tr r="J257" s="1"/>
      </tp>
      <tp t="s">
        <v>#N/A Requesting Data...</v>
        <stp/>
        <stp>##V3_BDHV12</stp>
        <stp>CL1 Comdty</stp>
        <stp>MOV_AVG_5D</stp>
        <stp>20/04/2016</stp>
        <stp>20/04/2016</stp>
        <stp>[Bbg_Market_Data_CL.xlsm]data!R244C10</stp>
        <tr r="J244" s="1"/>
      </tp>
      <tp t="s">
        <v>#N/A Requesting Data...</v>
        <stp/>
        <stp>##V3_BDHV12</stp>
        <stp>CL2 Comdty</stp>
        <stp>MOV_AVG_5D</stp>
        <stp>13/07/2016</stp>
        <stp>13/07/2016</stp>
        <stp>[Bbg_Market_Data_CL.xlsm]data!R186C10</stp>
        <tr r="J186" s="1"/>
      </tp>
      <tp t="s">
        <v>#N/A Requesting Data...</v>
        <stp/>
        <stp>##V3_BDHV12</stp>
        <stp>CL2 Comdty</stp>
        <stp>MOV_AVG_5D</stp>
        <stp>03/06/2016</stp>
        <stp>03/06/2016</stp>
        <stp>[Bbg_Market_Data_CL.xlsm]data!R213C10</stp>
        <tr r="J213" s="1"/>
      </tp>
      <tp t="s">
        <v>#N/A Requesting Data...</v>
        <stp/>
        <stp>##V3_BDHV12</stp>
        <stp>CL1 Comdty</stp>
        <stp>MOV_AVG_5D</stp>
        <stp>03/05/2016</stp>
        <stp>03/05/2016</stp>
        <stp>[Bbg_Market_Data_CL.xlsm]data!R235C10</stp>
        <tr r="J235" s="1"/>
      </tp>
      <tp t="s">
        <v>#N/A Requesting Data...</v>
        <stp/>
        <stp>##V3_BDHV12</stp>
        <stp>CL1 Comdty</stp>
        <stp>MOV_AVG_5D</stp>
        <stp>13/04/2016</stp>
        <stp>13/04/2016</stp>
        <stp>[Bbg_Market_Data_CL.xlsm]data!R249C10</stp>
        <tr r="J249" s="1"/>
      </tp>
      <tp t="s">
        <v>#N/A Requesting Data...</v>
        <stp/>
        <stp>##V3_BDHV12</stp>
        <stp>CL2 Comdty</stp>
        <stp>MOV_AVG_5D</stp>
        <stp>20/07/2016</stp>
        <stp>20/07/2016</stp>
        <stp>[Bbg_Market_Data_CL.xlsm]data!R181C10</stp>
        <tr r="J181" s="1"/>
      </tp>
      <tp t="s">
        <v>#N/A Requesting Data...</v>
        <stp/>
        <stp>##V3_BDHV12</stp>
        <stp>CL2 Comdty</stp>
        <stp>MOV_AVG_5D</stp>
        <stp>30/06/2016</stp>
        <stp>30/06/2016</stp>
        <stp>[Bbg_Market_Data_CL.xlsm]data!R194C10</stp>
        <tr r="J194" s="1"/>
      </tp>
      <tp t="s">
        <v>#N/A Requesting Data...</v>
        <stp/>
        <stp>##V3_BDHV12</stp>
        <stp>CL1 Comdty</stp>
        <stp>MOV_AVG_5D</stp>
        <stp>22/06/2016</stp>
        <stp>22/06/2016</stp>
        <stp>[Bbg_Market_Data_CL.xlsm]data!R200C10</stp>
        <tr r="J200" s="1"/>
      </tp>
      <tp t="s">
        <v>#N/A Requesting Data...</v>
        <stp/>
        <stp>##V3_BDHV12</stp>
        <stp>CL1 Comdty</stp>
        <stp>MOV_AVG_5D</stp>
        <stp>12/05/2016</stp>
        <stp>12/05/2016</stp>
        <stp>[Bbg_Market_Data_CL.xlsm]data!R228C10</stp>
        <tr r="J228" s="1"/>
      </tp>
      <tp t="s">
        <v>#N/A Requesting Data...</v>
        <stp/>
        <stp>##V3_BDHV12</stp>
        <stp>CL1 Comdty</stp>
        <stp>MOV_AVG_5D</stp>
        <stp>01/07/2016</stp>
        <stp>01/07/2016</stp>
        <stp>[Bbg_Market_Data_CL.xlsm]data!R193C10</stp>
        <tr r="J193" s="1"/>
      </tp>
      <tp t="s">
        <v>#N/A Requesting Data...</v>
        <stp/>
        <stp>##V3_BDHV12</stp>
        <stp>CL2 Comdty</stp>
        <stp>MOV_AVG_5D</stp>
        <stp>04/01/2016</stp>
        <stp>04/01/2016</stp>
        <stp>[Bbg_Market_Data_CL.xlsm]data!R317C10</stp>
        <tr r="J317" s="1"/>
      </tp>
      <tp t="s">
        <v>#N/A Requesting Data...</v>
        <stp/>
        <stp>##V3_BDHV12</stp>
        <stp>CL1 Comdty</stp>
        <stp>MOV_AVG_5D</stp>
        <stp>16/11/2016</stp>
        <stp>16/11/2016</stp>
        <stp>[Bbg_Market_Data_CL.xlsm]data!R100C10</stp>
        <tr r="J100" s="1"/>
      </tp>
      <tp t="s">
        <v>#N/A Requesting Data...</v>
        <stp/>
        <stp>##V3_BDHV12</stp>
        <stp>CL1 Comdty</stp>
        <stp>MOV_AVG_5D</stp>
        <stp>07/12/2015</stp>
        <stp>07/12/2015</stp>
        <stp>[Bbg_Market_Data_CL.xlsm]data!R335C10</stp>
        <tr r="J335" s="1"/>
      </tp>
      <tp t="s">
        <v>#N/A Requesting Data...</v>
        <stp/>
        <stp>##V3_BDHV12</stp>
        <stp>CL1 Comdty</stp>
        <stp>MOV_AVG_5D</stp>
        <stp>20/07/2015</stp>
        <stp>20/07/2015</stp>
        <stp>[Bbg_Market_Data_CL.xlsm]data!R431C10</stp>
        <tr r="J431" s="1"/>
      </tp>
      <tp t="s">
        <v>#N/A Requesting Data...</v>
        <stp/>
        <stp>##V3_BDHV12</stp>
        <stp>CL1 Comdty</stp>
        <stp>MOV_AVG_5D</stp>
        <stp>06/10/2016</stp>
        <stp>06/10/2016</stp>
        <stp>[Bbg_Market_Data_CL.xlsm]data!R127C10</stp>
        <tr r="J127" s="1"/>
      </tp>
      <tp t="s">
        <v>#N/A Requesting Data...</v>
        <stp/>
        <stp>##V3_BDHV12</stp>
        <stp>CL2 Comdty</stp>
        <stp>MOV_AVG_5D</stp>
        <stp>10/07/2015</stp>
        <stp>10/07/2015</stp>
        <stp>[Bbg_Market_Data_CL.xlsm]data!R437C10</stp>
        <tr r="J437" s="1"/>
      </tp>
      <tp t="s">
        <v>#N/A Requesting Data...</v>
        <stp/>
        <stp>##V3_BDHV12</stp>
        <stp>CL1 Comdty</stp>
        <stp>MOV_AVG_5D</stp>
        <stp>30/06/2015</stp>
        <stp>30/06/2015</stp>
        <stp>[Bbg_Market_Data_CL.xlsm]data!R444C10</stp>
        <tr r="J444" s="1"/>
      </tp>
      <tp t="s">
        <v>#N/A Requesting Data...</v>
        <stp/>
        <stp>##V3_BDHV12</stp>
        <stp>CL1 Comdty</stp>
        <stp>MOV_AVG_5D</stp>
        <stp>27/10/2015</stp>
        <stp>27/10/2015</stp>
        <stp>[Bbg_Market_Data_CL.xlsm]data!R362C10</stp>
        <tr r="J362" s="1"/>
      </tp>
      <tp t="s">
        <v>#N/A Requesting Data...</v>
        <stp/>
        <stp>##V3_BDHV12</stp>
        <stp>CL2 Comdty</stp>
        <stp>MOV_AVG_5D</stp>
        <stp>25/02/2016</stp>
        <stp>25/02/2016</stp>
        <stp>[Bbg_Market_Data_CL.xlsm]data!R282C10</stp>
        <tr r="J282" s="1"/>
      </tp>
      <tp t="s">
        <v>#N/A Requesting Data...</v>
        <stp/>
        <stp>##V3_BDHV12</stp>
        <stp>CL2 Comdty</stp>
        <stp>MOV_AVG_5D</stp>
        <stp>20/04/2015</stp>
        <stp>20/04/2015</stp>
        <stp>[Bbg_Market_Data_CL.xlsm]data!R494C10</stp>
        <tr r="J494" s="1"/>
      </tp>
      <tp t="s">
        <v>#N/A Requesting Data...</v>
        <stp/>
        <stp>##V3_BDHV12</stp>
        <stp>CL2 Comdty</stp>
        <stp>MOV_AVG_5D</stp>
        <stp>15/01/2016</stp>
        <stp>15/01/2016</stp>
        <stp>[Bbg_Market_Data_CL.xlsm]data!R308C10</stp>
        <tr r="J308" s="1"/>
      </tp>
      <tp t="s">
        <v>#N/A Requesting Data...</v>
        <stp/>
        <stp>##V3_BDHV12</stp>
        <stp>CL1 Comdty</stp>
        <stp>MOV_AVG_5D</stp>
        <stp>10/04/2015</stp>
        <stp>10/04/2015</stp>
        <stp>[Bbg_Market_Data_CL.xlsm]data!R500C10</stp>
        <tr r="J500" s="1"/>
      </tp>
      <tp t="s">
        <v>#N/A Requesting Data...</v>
        <stp/>
        <stp>##V3_BDHV12</stp>
        <stp>CL1 Comdty</stp>
        <stp>MOV_AVG_5D</stp>
        <stp>25/01/2016</stp>
        <stp>25/01/2016</stp>
        <stp>[Bbg_Market_Data_CL.xlsm]data!R303C10</stp>
        <tr r="J303" s="1"/>
      </tp>
      <tp t="s">
        <v>#N/A Requesting Data...</v>
        <stp/>
        <stp>##V3_BDHV12</stp>
        <stp>CL2 Comdty</stp>
        <stp>MOV_AVG_5D</stp>
        <stp>27/10/2016</stp>
        <stp>27/10/2016</stp>
        <stp>[Bbg_Market_Data_CL.xlsm]data!R113C10</stp>
        <tr r="J113" s="1"/>
      </tp>
      <tp t="s">
        <v>#N/A Requesting Data...</v>
        <stp/>
        <stp>##V3_BDHV12</stp>
        <stp>CL1 Comdty</stp>
        <stp>MOV_AVG_5D</stp>
        <stp>07/11/2016</stp>
        <stp>07/11/2016</stp>
        <stp>[Bbg_Market_Data_CL.xlsm]data!R106C10</stp>
        <tr r="J106" s="1"/>
      </tp>
      <tp t="s">
        <v>#N/A Requesting Data...</v>
        <stp/>
        <stp>##V3_BDHV12</stp>
        <stp>CL1 Comdty</stp>
        <stp>MOV_AVG_5D</stp>
        <stp>31/07/2015</stp>
        <stp>31/07/2015</stp>
        <stp>[Bbg_Market_Data_CL.xlsm]data!R422C10</stp>
        <tr r="J422" s="1"/>
      </tp>
      <tp t="s">
        <v>#N/A Requesting Data...</v>
        <stp/>
        <stp>##V3_BDHV12</stp>
        <stp>CL1 Comdty</stp>
        <stp>MOV_AVG_5D</stp>
        <stp>16/12/2015</stp>
        <stp>16/12/2015</stp>
        <stp>[Bbg_Market_Data_CL.xlsm]data!R328C10</stp>
        <tr r="J328" s="1"/>
      </tp>
      <tp t="s">
        <v>#N/A Requesting Data...</v>
        <stp/>
        <stp>##V3_BDHV12</stp>
        <stp>CL1 Comdty</stp>
        <stp>MOV_AVG_5D</stp>
        <stp>17/10/2016</stp>
        <stp>17/10/2016</stp>
        <stp>[Bbg_Market_Data_CL.xlsm]data!R121C10</stp>
        <tr r="J121" s="1"/>
      </tp>
      <tp t="s">
        <v>#N/A Requesting Data...</v>
        <stp/>
        <stp>##V3_BDHV12</stp>
        <stp>CL2 Comdty</stp>
        <stp>MOV_AVG_5D</stp>
        <stp>01/07/2015</stp>
        <stp>01/07/2015</stp>
        <stp>[Bbg_Market_Data_CL.xlsm]data!R443C10</stp>
        <tr r="J443" s="1"/>
      </tp>
      <tp t="s">
        <v>#N/A Requesting Data...</v>
        <stp/>
        <stp>##V3_BDHV12</stp>
        <stp>CL2 Comdty</stp>
        <stp>MOV_AVG_5D</stp>
        <stp>16/11/2015</stp>
        <stp>16/11/2015</stp>
        <stp>[Bbg_Market_Data_CL.xlsm]data!R349C10</stp>
        <tr r="J349" s="1"/>
      </tp>
      <tp t="s">
        <v>#N/A Requesting Data...</v>
        <stp/>
        <stp>##V3_BDHV12</stp>
        <stp>CL2 Comdty</stp>
        <stp>MOV_AVG_5D</stp>
        <stp>11/06/2015</stp>
        <stp>11/06/2015</stp>
        <stp>[Bbg_Market_Data_CL.xlsm]data!R457C10</stp>
        <tr r="J457" s="1"/>
      </tp>
      <tp t="s">
        <v>#N/A Requesting Data...</v>
        <stp/>
        <stp>##V3_BDHV12</stp>
        <stp>CL2 Comdty</stp>
        <stp>MOV_AVG_5D</stp>
        <stp>06/10/2015</stp>
        <stp>06/10/2015</stp>
        <stp>[Bbg_Market_Data_CL.xlsm]data!R376C10</stp>
        <tr r="J376" s="1"/>
      </tp>
      <tp t="s">
        <v>#N/A Requesting Data...</v>
        <stp/>
        <stp>##V3_BDHV12</stp>
        <stp>CL2 Comdty</stp>
        <stp>MOV_AVG_5D</stp>
        <stp>24/03/2016</stp>
        <stp>24/03/2016</stp>
        <stp>[Bbg_Market_Data_CL.xlsm]data!R262C10</stp>
        <tr r="J262" s="1"/>
      </tp>
      <tp t="s">
        <v>#N/A Requesting Data...</v>
        <stp/>
        <stp>##V3_BDHV12</stp>
        <stp>CL1 Comdty</stp>
        <stp>MOV_AVG_5D</stp>
        <stp>11/05/2015</stp>
        <stp>11/05/2015</stp>
        <stp>[Bbg_Market_Data_CL.xlsm]data!R479C10</stp>
        <tr r="J479" s="1"/>
      </tp>
      <tp t="s">
        <v>#N/A Requesting Data...</v>
        <stp/>
        <stp>##V3_BDHV12</stp>
        <stp>CL2 Comdty</stp>
        <stp>MOV_AVG_5D</stp>
        <stp>21/05/2015</stp>
        <stp>21/05/2015</stp>
        <stp>[Bbg_Market_Data_CL.xlsm]data!R471C10</stp>
        <tr r="J471" s="1"/>
      </tp>
      <tp t="s">
        <v>#N/A Requesting Data...</v>
        <stp/>
        <stp>##V3_BDHV12</stp>
        <stp>CL1 Comdty</stp>
        <stp>MOV_AVG_5D</stp>
        <stp>14/03/2016</stp>
        <stp>14/03/2016</stp>
        <stp>[Bbg_Market_Data_CL.xlsm]data!R270C10</stp>
        <tr r="J270" s="1"/>
      </tp>
      <tp t="s">
        <v>#N/A Requesting Data...</v>
        <stp/>
        <stp>##V3_BDHV12</stp>
        <stp>CL1 Comdty</stp>
        <stp>MOV_AVG_5D</stp>
        <stp>04/02/2016</stp>
        <stp>04/02/2016</stp>
        <stp>[Bbg_Market_Data_CL.xlsm]data!R295C10</stp>
        <tr r="J295" s="1"/>
      </tp>
      <tp t="s">
        <v>#N/A Requesting Data...</v>
        <stp/>
        <stp>##V3_BDHV12</stp>
        <stp>CL1 Comdty</stp>
        <stp>MOV_AVG_5D</stp>
        <stp>24/10/2016</stp>
        <stp>24/10/2016</stp>
        <stp>[Bbg_Market_Data_CL.xlsm]data!R116C10</stp>
        <tr r="J116" s="1"/>
      </tp>
      <tp t="s">
        <v>#N/A Requesting Data...</v>
        <stp/>
        <stp>##V3_BDHV12</stp>
        <stp>CL2 Comdty</stp>
        <stp>MOV_AVG_5D</stp>
        <stp>26/01/2016</stp>
        <stp>26/01/2016</stp>
        <stp>[Bbg_Market_Data_CL.xlsm]data!R302C10</stp>
        <tr r="J302" s="1"/>
      </tp>
      <tp t="s">
        <v>#N/A Requesting Data...</v>
        <stp/>
        <stp>##V3_BDHV12</stp>
        <stp>CL2 Comdty</stp>
        <stp>MOV_AVG_5D</stp>
        <stp>04/11/2016</stp>
        <stp>04/11/2016</stp>
        <stp>[Bbg_Market_Data_CL.xlsm]data!R107C10</stp>
        <tr r="J107" s="1"/>
      </tp>
      <tp t="s">
        <v>#N/A Requesting Data...</v>
        <stp/>
        <stp>##V3_BDHV12</stp>
        <stp>CL2 Comdty</stp>
        <stp>MOV_AVG_5D</stp>
        <stp>15/12/2015</stp>
        <stp>15/12/2015</stp>
        <stp>[Bbg_Market_Data_CL.xlsm]data!R329C10</stp>
        <tr r="J329" s="1"/>
      </tp>
      <tp t="s">
        <v>#N/A Requesting Data...</v>
        <stp/>
        <stp>##V3_BDHV12</stp>
        <stp>CL2 Comdty</stp>
        <stp>MOV_AVG_5D</stp>
        <stp>14/10/2016</stp>
        <stp>14/10/2016</stp>
        <stp>[Bbg_Market_Data_CL.xlsm]data!R122C10</stp>
        <tr r="J122" s="1"/>
      </tp>
      <tp t="s">
        <v>#N/A Requesting Data...</v>
        <stp/>
        <stp>##V3_BDHV12</stp>
        <stp>CL1 Comdty</stp>
        <stp>MOV_AVG_5D</stp>
        <stp>02/07/2015</stp>
        <stp>02/07/2015</stp>
        <stp>[Bbg_Market_Data_CL.xlsm]data!R442C10</stp>
        <tr r="J442" s="1"/>
      </tp>
      <tp t="s">
        <v>#N/A Requesting Data...</v>
        <stp/>
        <stp>##V3_BDHV12</stp>
        <stp>CL2 Comdty</stp>
        <stp>MOV_AVG_5D</stp>
        <stp>22/06/2015</stp>
        <stp>22/06/2015</stp>
        <stp>[Bbg_Market_Data_CL.xlsm]data!R450C10</stp>
        <tr r="J450" s="1"/>
      </tp>
      <tp t="s">
        <v>#N/A Requesting Data...</v>
        <stp/>
        <stp>##V3_BDHV12</stp>
        <stp>CL1 Comdty</stp>
        <stp>MOV_AVG_5D</stp>
        <stp>12/06/2015</stp>
        <stp>12/06/2015</stp>
        <stp>[Bbg_Market_Data_CL.xlsm]data!R456C10</stp>
        <tr r="J456" s="1"/>
      </tp>
      <tp t="s">
        <v>#N/A Requesting Data...</v>
        <stp/>
        <stp>##V3_BDHV12</stp>
        <stp>CL2 Comdty</stp>
        <stp>MOV_AVG_5D</stp>
        <stp>25/11/2015</stp>
        <stp>25/11/2015</stp>
        <stp>[Bbg_Market_Data_CL.xlsm]data!R342C10</stp>
        <tr r="J342" s="1"/>
      </tp>
      <tp t="s">
        <v>#N/A Requesting Data...</v>
        <stp/>
        <stp>##V3_BDHV12</stp>
        <stp>CL2 Comdty</stp>
        <stp>MOV_AVG_5D</stp>
        <stp>17/03/2016</stp>
        <stp>17/03/2016</stp>
        <stp>[Bbg_Market_Data_CL.xlsm]data!R267C10</stp>
        <tr r="J267" s="1"/>
      </tp>
      <tp t="s">
        <v>#N/A Requesting Data...</v>
        <stp/>
        <stp>##V3_BDHV12</stp>
        <stp>CL1 Comdty</stp>
        <stp>MOV_AVG_5D</stp>
        <stp>05/10/2015</stp>
        <stp>05/10/2015</stp>
        <stp>[Bbg_Market_Data_CL.xlsm]data!R377C10</stp>
        <tr r="J377" s="1"/>
      </tp>
      <tp t="s">
        <v>#N/A Requesting Data...</v>
        <stp/>
        <stp>##V3_BDHV12</stp>
        <stp>CL2 Comdty</stp>
        <stp>MOV_AVG_5D</stp>
        <stp>12/05/2015</stp>
        <stp>12/05/2015</stp>
        <stp>[Bbg_Market_Data_CL.xlsm]data!R478C10</stp>
        <tr r="J478" s="1"/>
      </tp>
      <tp t="s">
        <v>#N/A Requesting Data...</v>
        <stp/>
        <stp>##V3_BDHV12</stp>
        <stp>CL1 Comdty</stp>
        <stp>MOV_AVG_5D</stp>
        <stp>22/05/2015</stp>
        <stp>22/05/2015</stp>
        <stp>[Bbg_Market_Data_CL.xlsm]data!R470C10</stp>
        <tr r="J470" s="1"/>
      </tp>
      <tp t="s">
        <v>#N/A Requesting Data...</v>
        <stp/>
        <stp>##V3_BDHV12</stp>
        <stp>CL1 Comdty</stp>
        <stp>MOV_AVG_5D</stp>
        <stp>07/01/2016</stp>
        <stp>07/01/2016</stp>
        <stp>[Bbg_Market_Data_CL.xlsm]data!R314C10</stp>
        <tr r="J314" s="1"/>
      </tp>
      <tp t="s">
        <v>#N/A Requesting Data...</v>
        <stp/>
        <stp>##V3_BDHV12</stp>
        <stp>CL2 Comdty</stp>
        <stp>MOV_AVG_5D</stp>
        <stp>15/11/2016</stp>
        <stp>15/11/2016</stp>
        <stp>[Bbg_Market_Data_CL.xlsm]data!R101C10</stp>
        <tr r="J101" s="1"/>
      </tp>
      <tp t="s">
        <v>#N/A Requesting Data...</v>
        <stp/>
        <stp>##V3_BDHV12</stp>
        <stp>CL2 Comdty</stp>
        <stp>MOV_AVG_5D</stp>
        <stp>23/07/2015</stp>
        <stp>23/07/2015</stp>
        <stp>[Bbg_Market_Data_CL.xlsm]data!R428C10</stp>
        <tr r="J428" s="1"/>
      </tp>
      <tp t="s">
        <v>#N/A Requesting Data...</v>
        <stp/>
        <stp>##V3_BDHV12</stp>
        <stp>CL2 Comdty</stp>
        <stp>MOV_AVG_5D</stp>
        <stp>04/12/2015</stp>
        <stp>04/12/2015</stp>
        <stp>[Bbg_Market_Data_CL.xlsm]data!R336C10</stp>
        <tr r="J336" s="1"/>
      </tp>
      <tp t="s">
        <v>#N/A Requesting Data...</v>
        <stp/>
        <stp>##V3_BDHV12</stp>
        <stp>CL2 Comdty</stp>
        <stp>MOV_AVG_5D</stp>
        <stp>05/10/2016</stp>
        <stp>05/10/2016</stp>
        <stp>[Bbg_Market_Data_CL.xlsm]data!R128C10</stp>
        <tr r="J128" s="1"/>
      </tp>
      <tp t="s">
        <v>#N/A Requesting Data...</v>
        <stp/>
        <stp>##V3_BDHV12</stp>
        <stp>CL1 Comdty</stp>
        <stp>MOV_AVG_5D</stp>
        <stp>13/07/2015</stp>
        <stp>13/07/2015</stp>
        <stp>[Bbg_Market_Data_CL.xlsm]data!R436C10</stp>
        <tr r="J436" s="1"/>
      </tp>
      <tp t="s">
        <v>#N/A Requesting Data...</v>
        <stp/>
        <stp>##V3_BDHV12</stp>
        <stp>CL1 Comdty</stp>
        <stp>MOV_AVG_5D</stp>
        <stp>04/11/2015</stp>
        <stp>04/11/2015</stp>
        <stp>[Bbg_Market_Data_CL.xlsm]data!R356C10</stp>
        <tr r="J356" s="1"/>
      </tp>
      <tp t="s">
        <v>#N/A Requesting Data...</v>
        <stp/>
        <stp>##V3_BDHV12</stp>
        <stp>CL1 Comdty</stp>
        <stp>MOV_AVG_5D</stp>
        <stp>03/06/2015</stp>
        <stp>03/06/2015</stp>
        <stp>[Bbg_Market_Data_CL.xlsm]data!R463C10</stp>
        <tr r="J463" s="1"/>
      </tp>
      <tp t="s">
        <v>#N/A Requesting Data...</v>
        <stp/>
        <stp>##V3_BDHV12</stp>
        <stp>CL1 Comdty</stp>
        <stp>MOV_AVG_5D</stp>
        <stp>14/10/2015</stp>
        <stp>14/10/2015</stp>
        <stp>[Bbg_Market_Data_CL.xlsm]data!R371C10</stp>
        <tr r="J371" s="1"/>
      </tp>
      <tp t="s">
        <v>#N/A Requesting Data...</v>
        <stp/>
        <stp>##V3_BDHV12</stp>
        <stp>CL1 Comdty</stp>
        <stp>MOV_AVG_5D</stp>
        <stp>26/02/2016</stp>
        <stp>26/02/2016</stp>
        <stp>[Bbg_Market_Data_CL.xlsm]data!R281C10</stp>
        <tr r="J281" s="1"/>
      </tp>
      <tp t="s">
        <v>#N/A Requesting Data...</v>
        <stp/>
        <stp>##V3_BDHV12</stp>
        <stp>CL2 Comdty</stp>
        <stp>MOV_AVG_5D</stp>
        <stp>13/04/2015</stp>
        <stp>13/04/2015</stp>
        <stp>[Bbg_Market_Data_CL.xlsm]data!R499C10</stp>
        <tr r="J499" s="1"/>
      </tp>
      <tp t="s">
        <v>#N/A Requesting Data...</v>
        <stp/>
        <stp>##V3_BDHV12</stp>
        <stp>CL1 Comdty</stp>
        <stp>MOV_AVG_5D</stp>
        <stp>23/04/2015</stp>
        <stp>23/04/2015</stp>
        <stp>[Bbg_Market_Data_CL.xlsm]data!R491C10</stp>
        <tr r="J491" s="1"/>
      </tp>
      <tp t="s">
        <v>#N/A Requesting Data...</v>
        <stp/>
        <stp>##V3_BDHV12</stp>
        <stp>CL1 Comdty</stp>
        <stp>PX_HIGH</stp>
        <stp>09/02/2017</stp>
        <stp>09/02/2017</stp>
        <stp>[Bbg_Market_Data_CL.xlsm]data!R43C6</stp>
        <tr r="F43" s="1"/>
      </tp>
      <tp t="s">
        <v>#N/A Requesting Data...</v>
        <stp/>
        <stp>##V3_BDHV12</stp>
        <stp>CL1 Comdty</stp>
        <stp>PX_HIGH</stp>
        <stp>29/11/2016</stp>
        <stp>29/11/2016</stp>
        <stp>[Bbg_Market_Data_CL.xlsm]data!R92C6</stp>
        <tr r="F92" s="1"/>
      </tp>
      <tp>
        <v>55.22</v>
        <stp/>
        <stp>##V3_BDHV12</stp>
        <stp>CL2 Comdty</stp>
        <stp>PX_HIGH</stp>
        <stp>28/12/2016</stp>
        <stp>28/12/2016</stp>
        <stp>[Bbg_Market_Data_CL.xlsm]data!R72C6</stp>
        <tr r="F72" s="1"/>
      </tp>
      <tp>
        <v>48.74</v>
        <stp/>
        <stp>##V3_BDHV12</stp>
        <stp>CL2 Comdty</stp>
        <stp>PX_HIGH</stp>
        <stp>24/03/2017</stp>
        <stp>24/03/2017</stp>
        <stp>[Bbg_Market_Data_CL.xlsm]data!R13C6</stp>
        <tr r="F13" s="1"/>
      </tp>
      <tp t="s">
        <v>#N/A Requesting Data...</v>
        <stp/>
        <stp>##V3_BDHV12</stp>
        <stp>CL1 Comdty</stp>
        <stp>PX_HIGH</stp>
        <stp>10/03/2017</stp>
        <stp>10/03/2017</stp>
        <stp>[Bbg_Market_Data_CL.xlsm]data!R23C6</stp>
        <tr r="F23" s="1"/>
      </tp>
      <tp t="s">
        <v>#N/A Requesting Data...</v>
        <stp/>
        <stp>##V3_BDHV12</stp>
        <stp>CL1 Comdty</stp>
        <stp>PX_HIGH</stp>
        <stp>13/12/2016</stp>
        <stp>13/12/2016</stp>
        <stp>[Bbg_Market_Data_CL.xlsm]data!R82C6</stp>
        <tr r="F82" s="1"/>
      </tp>
      <tp t="s">
        <v>#N/A Requesting Data...</v>
        <stp/>
        <stp>##V3_BDHV12</stp>
        <stp>CL1 Comdty</stp>
        <stp>PX_HIGH</stp>
        <stp>26/01/2017</stp>
        <stp>26/01/2017</stp>
        <stp>[Bbg_Market_Data_CL.xlsm]data!R53C6</stp>
        <tr r="F53" s="1"/>
      </tp>
      <tp>
        <v>54.81</v>
        <stp/>
        <stp>##V3_BDHV12</stp>
        <stp>CL2 Comdty</stp>
        <stp>PX_HIGH</stp>
        <stp>24/02/2017</stp>
        <stp>24/02/2017</stp>
        <stp>[Bbg_Market_Data_CL.xlsm]data!R33C6</stp>
        <tr r="F33" s="1"/>
      </tp>
      <tp>
        <v>53.6</v>
        <stp/>
        <stp>##V3_BDHV12</stp>
        <stp>CL2 Comdty</stp>
        <stp>PX_HIGH</stp>
        <stp>11/01/2017</stp>
        <stp>11/01/2017</stp>
        <stp>[Bbg_Market_Data_CL.xlsm]data!R63C6</stp>
        <tr r="F63" s="1"/>
      </tp>
      <tp>
        <v>54.65</v>
        <stp/>
        <stp>##V3_BDHV12</stp>
        <stp>CL2 Comdty</stp>
        <stp>PX_HIGH</stp>
        <stp>26/01/2017</stp>
        <stp>26/01/2017</stp>
        <stp>[Bbg_Market_Data_CL.xlsm]data!R53C6</stp>
        <tr r="F53" s="1"/>
      </tp>
      <tp t="s">
        <v>#N/A Requesting Data...</v>
        <stp/>
        <stp>##V3_BDHV12</stp>
        <stp>CL1 Comdty</stp>
        <stp>PX_HIGH</stp>
        <stp>24/02/2017</stp>
        <stp>24/02/2017</stp>
        <stp>[Bbg_Market_Data_CL.xlsm]data!R33C6</stp>
        <tr r="F33" s="1"/>
      </tp>
      <tp t="s">
        <v>#N/A Requesting Data...</v>
        <stp/>
        <stp>##V3_BDHV12</stp>
        <stp>CL1 Comdty</stp>
        <stp>PX_HIGH</stp>
        <stp>11/01/2017</stp>
        <stp>11/01/2017</stp>
        <stp>[Bbg_Market_Data_CL.xlsm]data!R63C6</stp>
        <tr r="F63" s="1"/>
      </tp>
      <tp>
        <v>53.7</v>
        <stp/>
        <stp>##V3_BDHV12</stp>
        <stp>CL2 Comdty</stp>
        <stp>PX_HIGH</stp>
        <stp>09/02/2017</stp>
        <stp>09/02/2017</stp>
        <stp>[Bbg_Market_Data_CL.xlsm]data!R43C6</stp>
        <tr r="F43" s="1"/>
      </tp>
      <tp>
        <v>47.86</v>
        <stp/>
        <stp>##V3_BDHV12</stp>
        <stp>CL2 Comdty</stp>
        <stp>PX_HIGH</stp>
        <stp>29/11/2016</stp>
        <stp>29/11/2016</stp>
        <stp>[Bbg_Market_Data_CL.xlsm]data!R92C6</stp>
        <tr r="F92" s="1"/>
      </tp>
      <tp t="s">
        <v>#N/A Requesting Data...</v>
        <stp/>
        <stp>##V3_BDHV12</stp>
        <stp>CL1 Comdty</stp>
        <stp>PX_HIGH</stp>
        <stp>28/12/2016</stp>
        <stp>28/12/2016</stp>
        <stp>[Bbg_Market_Data_CL.xlsm]data!R72C6</stp>
        <tr r="F72" s="1"/>
      </tp>
      <tp t="s">
        <v>#N/A Requesting Data...</v>
        <stp/>
        <stp>##V3_BDHV12</stp>
        <stp>CL1 Comdty</stp>
        <stp>PX_HIGH</stp>
        <stp>24/03/2017</stp>
        <stp>24/03/2017</stp>
        <stp>[Bbg_Market_Data_CL.xlsm]data!R13C6</stp>
        <tr r="F13" s="1"/>
      </tp>
      <tp>
        <v>50.64</v>
        <stp/>
        <stp>##V3_BDHV12</stp>
        <stp>CL2 Comdty</stp>
        <stp>PX_HIGH</stp>
        <stp>10/03/2017</stp>
        <stp>10/03/2017</stp>
        <stp>[Bbg_Market_Data_CL.xlsm]data!R23C6</stp>
        <tr r="F23" s="1"/>
      </tp>
      <tp>
        <v>54.4</v>
        <stp/>
        <stp>##V3_BDHV12</stp>
        <stp>CL2 Comdty</stp>
        <stp>PX_HIGH</stp>
        <stp>13/12/2016</stp>
        <stp>13/12/2016</stp>
        <stp>[Bbg_Market_Data_CL.xlsm]data!R82C6</stp>
        <tr r="F82" s="1"/>
      </tp>
      <tp>
        <v>53.71</v>
        <stp/>
        <stp>##V3_BDHV12</stp>
        <stp>CL2 Comdty</stp>
        <stp>PX_OPEN</stp>
        <stp>07/02/2017</stp>
        <stp>07/02/2017</stp>
        <stp>[Bbg_Market_Data_CL.xlsm]data!R45C5</stp>
        <tr r="E45" s="1"/>
      </tp>
      <tp>
        <v>48.87</v>
        <stp/>
        <stp>##V3_BDHV12</stp>
        <stp>CL2 Comdty</stp>
        <stp>PX_OPEN</stp>
        <stp>25/11/2016</stp>
        <stp>25/11/2016</stp>
        <stp>[Bbg_Market_Data_CL.xlsm]data!R94C5</stp>
        <tr r="E94" s="1"/>
      </tp>
      <tp t="s">
        <v>#N/A Requesting Data...</v>
        <stp/>
        <stp>##V3_BDHV12</stp>
        <stp>CL1 Comdty</stp>
        <stp>PX_OPEN</stp>
        <stp>22/03/2017</stp>
        <stp>22/03/2017</stp>
        <stp>[Bbg_Market_Data_CL.xlsm]data!R15C5</stp>
        <tr r="E15" s="1"/>
      </tp>
      <tp t="s">
        <v>#N/A Requesting Data...</v>
        <stp/>
        <stp>##V3_BDHV12</stp>
        <stp>CL1 Comdty</stp>
        <stp>PX_OPEN</stp>
        <stp>23/12/2016</stp>
        <stp>23/12/2016</stp>
        <stp>[Bbg_Market_Data_CL.xlsm]data!R74C5</stp>
        <tr r="E74" s="1"/>
      </tp>
      <tp t="s">
        <v>#N/A Requesting Data...</v>
        <stp/>
        <stp>##V3_BDHV12</stp>
        <stp>CL1 Comdty</stp>
        <stp>PX_OPEN</stp>
        <stp>09/01/2017</stp>
        <stp>09/01/2017</stp>
        <stp>[Bbg_Market_Data_CL.xlsm]data!R65C5</stp>
        <tr r="E65" s="1"/>
      </tp>
      <tp>
        <v>53.66</v>
        <stp/>
        <stp>##V3_BDHV12</stp>
        <stp>CL2 Comdty</stp>
        <stp>PX_OPEN</stp>
        <stp>24/01/2017</stp>
        <stp>24/01/2017</stp>
        <stp>[Bbg_Market_Data_CL.xlsm]data!R55C5</stp>
        <tr r="E55" s="1"/>
      </tp>
      <tp t="s">
        <v>#N/A Requesting Data...</v>
        <stp/>
        <stp>##V3_BDHV12</stp>
        <stp>CL1 Comdty</stp>
        <stp>PX_OPEN</stp>
        <stp>22/02/2017</stp>
        <stp>22/02/2017</stp>
        <stp>[Bbg_Market_Data_CL.xlsm]data!R35C5</stp>
        <tr r="E35" s="1"/>
      </tp>
      <tp>
        <v>53.3</v>
        <stp/>
        <stp>##V3_BDHV12</stp>
        <stp>CL2 Comdty</stp>
        <stp>PX_OPEN</stp>
        <stp>08/03/2017</stp>
        <stp>08/03/2017</stp>
        <stp>[Bbg_Market_Data_CL.xlsm]data!R25C5</stp>
        <tr r="E25" s="1"/>
      </tp>
      <tp>
        <v>51.89</v>
        <stp/>
        <stp>##V3_BDHV12</stp>
        <stp>CL2 Comdty</stp>
        <stp>PX_OPEN</stp>
        <stp>09/12/2016</stp>
        <stp>09/12/2016</stp>
        <stp>[Bbg_Market_Data_CL.xlsm]data!R84C5</stp>
        <tr r="E84" s="1"/>
      </tp>
      <tp t="s">
        <v>#N/A Requesting Data...</v>
        <stp/>
        <stp>##V3_BDHV12</stp>
        <stp>CL1 Comdty</stp>
        <stp>PX_OPEN</stp>
        <stp>24/01/2017</stp>
        <stp>24/01/2017</stp>
        <stp>[Bbg_Market_Data_CL.xlsm]data!R55C5</stp>
        <tr r="E55" s="1"/>
      </tp>
      <tp>
        <v>54.5</v>
        <stp/>
        <stp>##V3_BDHV12</stp>
        <stp>CL2 Comdty</stp>
        <stp>PX_OPEN</stp>
        <stp>22/02/2017</stp>
        <stp>22/02/2017</stp>
        <stp>[Bbg_Market_Data_CL.xlsm]data!R35C5</stp>
        <tr r="E35" s="1"/>
      </tp>
      <tp t="s">
        <v>#N/A Requesting Data...</v>
        <stp/>
        <stp>##V3_BDHV12</stp>
        <stp>CL1 Comdty</stp>
        <stp>PX_OPEN</stp>
        <stp>08/03/2017</stp>
        <stp>08/03/2017</stp>
        <stp>[Bbg_Market_Data_CL.xlsm]data!R25C5</stp>
        <tr r="E25" s="1"/>
      </tp>
      <tp t="s">
        <v>#N/A Requesting Data...</v>
        <stp/>
        <stp>##V3_BDHV12</stp>
        <stp>CL1 Comdty</stp>
        <stp>PX_OPEN</stp>
        <stp>09/12/2016</stp>
        <stp>09/12/2016</stp>
        <stp>[Bbg_Market_Data_CL.xlsm]data!R84C5</stp>
        <tr r="E84" s="1"/>
      </tp>
      <tp t="s">
        <v>#N/A Requesting Data...</v>
        <stp/>
        <stp>##V3_BDHV12</stp>
        <stp>CL1 Comdty</stp>
        <stp>PX_OPEN</stp>
        <stp>07/02/2017</stp>
        <stp>07/02/2017</stp>
        <stp>[Bbg_Market_Data_CL.xlsm]data!R45C5</stp>
        <tr r="E45" s="1"/>
      </tp>
      <tp t="s">
        <v>#N/A Requesting Data...</v>
        <stp/>
        <stp>##V3_BDHV12</stp>
        <stp>CL1 Comdty</stp>
        <stp>PX_OPEN</stp>
        <stp>25/11/2016</stp>
        <stp>25/11/2016</stp>
        <stp>[Bbg_Market_Data_CL.xlsm]data!R94C5</stp>
        <tr r="E94" s="1"/>
      </tp>
      <tp>
        <v>48.66</v>
        <stp/>
        <stp>##V3_BDHV12</stp>
        <stp>CL2 Comdty</stp>
        <stp>PX_OPEN</stp>
        <stp>22/03/2017</stp>
        <stp>22/03/2017</stp>
        <stp>[Bbg_Market_Data_CL.xlsm]data!R15C5</stp>
        <tr r="E15" s="1"/>
      </tp>
      <tp>
        <v>53.59</v>
        <stp/>
        <stp>##V3_BDHV12</stp>
        <stp>CL2 Comdty</stp>
        <stp>PX_OPEN</stp>
        <stp>23/12/2016</stp>
        <stp>23/12/2016</stp>
        <stp>[Bbg_Market_Data_CL.xlsm]data!R74C5</stp>
        <tr r="E74" s="1"/>
      </tp>
      <tp>
        <v>54.6</v>
        <stp/>
        <stp>##V3_BDHV12</stp>
        <stp>CL2 Comdty</stp>
        <stp>PX_OPEN</stp>
        <stp>09/01/2017</stp>
        <stp>09/01/2017</stp>
        <stp>[Bbg_Market_Data_CL.xlsm]data!R65C5</stp>
        <tr r="E65" s="1"/>
      </tp>
      <tp t="s">
        <v>#N/A Requesting Data...</v>
        <stp/>
        <stp>##V3_BDHV12</stp>
        <stp>CL1 Comdty</stp>
        <stp>MOV_AVG_5D</stp>
        <stp>31/05/2016</stp>
        <stp>31/05/2016</stp>
        <stp>[Bbg_Market_Data_CL.xlsm]data!R216C10</stp>
        <tr r="J216" s="1"/>
      </tp>
      <tp t="s">
        <v>#N/A Requesting Data...</v>
        <stp/>
        <stp>##V3_BDHV12</stp>
        <stp>CL1 Comdty</stp>
        <stp>MOV_AVG_5D</stp>
        <stp>01/06/2016</stp>
        <stp>01/06/2016</stp>
        <stp>[Bbg_Market_Data_CL.xlsm]data!R215C10</stp>
        <tr r="J215" s="1"/>
      </tp>
      <tp t="s">
        <v>#N/A Requesting Data...</v>
        <stp/>
        <stp>##V3_BDHV12</stp>
        <stp>CL1 Comdty</stp>
        <stp>MOV_AVG_5D</stp>
        <stp>21/04/2016</stp>
        <stp>21/04/2016</stp>
        <stp>[Bbg_Market_Data_CL.xlsm]data!R243C10</stp>
        <tr r="J243" s="1"/>
      </tp>
      <tp t="s">
        <v>#N/A Requesting Data...</v>
        <stp/>
        <stp>##V3_BDHV12</stp>
        <stp>CL2 Comdty</stp>
        <stp>MOV_AVG_5D</stp>
        <stp>11/04/2016</stp>
        <stp>11/04/2016</stp>
        <stp>[Bbg_Market_Data_CL.xlsm]data!R251C10</stp>
        <tr r="J251" s="1"/>
      </tp>
      <tp t="s">
        <v>#N/A Requesting Data...</v>
        <stp/>
        <stp>##V3_BDHV12</stp>
        <stp>CL1 Comdty</stp>
        <stp>MOV_AVG_5D</stp>
        <stp>22/07/2016</stp>
        <stp>22/07/2016</stp>
        <stp>[Bbg_Market_Data_CL.xlsm]data!R179C10</stp>
        <tr r="J179" s="1"/>
      </tp>
      <tp t="s">
        <v>#N/A Requesting Data...</v>
        <stp/>
        <stp>##V3_BDHV12</stp>
        <stp>CL2 Comdty</stp>
        <stp>MOV_AVG_5D</stp>
        <stp>12/07/2016</stp>
        <stp>12/07/2016</stp>
        <stp>[Bbg_Market_Data_CL.xlsm]data!R187C10</stp>
        <tr r="J187" s="1"/>
      </tp>
      <tp t="s">
        <v>#N/A Requesting Data...</v>
        <stp/>
        <stp>##V3_BDHV12</stp>
        <stp>CL1 Comdty</stp>
        <stp>MOV_AVG_5D</stp>
        <stp>10/06/2016</stp>
        <stp>10/06/2016</stp>
        <stp>[Bbg_Market_Data_CL.xlsm]data!R208C10</stp>
        <tr r="J208" s="1"/>
      </tp>
      <tp t="s">
        <v>#N/A Requesting Data...</v>
        <stp/>
        <stp>##V3_BDHV12</stp>
        <stp>CL2 Comdty</stp>
        <stp>MOV_AVG_5D</stp>
        <stp>20/06/2016</stp>
        <stp>20/06/2016</stp>
        <stp>[Bbg_Market_Data_CL.xlsm]data!R202C10</stp>
        <tr r="J202" s="1"/>
      </tp>
      <tp t="s">
        <v>#N/A Requesting Data...</v>
        <stp/>
        <stp>##V3_BDHV12</stp>
        <stp>CL1 Comdty</stp>
        <stp>MOV_AVG_5D</stp>
        <stp>20/05/2016</stp>
        <stp>20/05/2016</stp>
        <stp>[Bbg_Market_Data_CL.xlsm]data!R222C10</stp>
        <tr r="J222" s="1"/>
      </tp>
      <tp t="s">
        <v>#N/A Requesting Data...</v>
        <stp/>
        <stp>##V3_BDHV12</stp>
        <stp>CL2 Comdty</stp>
        <stp>MOV_AVG_5D</stp>
        <stp>10/05/2016</stp>
        <stp>10/05/2016</stp>
        <stp>[Bbg_Market_Data_CL.xlsm]data!R230C10</stp>
        <tr r="J230" s="1"/>
      </tp>
      <tp t="s">
        <v>#N/A Requesting Data...</v>
        <stp/>
        <stp>##V3_BDHV12</stp>
        <stp>CL1 Comdty</stp>
        <stp>MOV_AVG_5D</stp>
        <stp>23/06/2016</stp>
        <stp>23/06/2016</stp>
        <stp>[Bbg_Market_Data_CL.xlsm]data!R199C10</stp>
        <tr r="J199" s="1"/>
      </tp>
      <tp t="s">
        <v>#N/A Requesting Data...</v>
        <stp/>
        <stp>##V3_BDHV12</stp>
        <stp>CL2 Comdty</stp>
        <stp>MOV_AVG_5D</stp>
        <stp>13/06/2016</stp>
        <stp>13/06/2016</stp>
        <stp>[Bbg_Market_Data_CL.xlsm]data!R207C10</stp>
        <tr r="J207" s="1"/>
      </tp>
      <tp t="s">
        <v>#N/A Requesting Data...</v>
        <stp/>
        <stp>##V3_BDHV12</stp>
        <stp>CL2 Comdty</stp>
        <stp>MOV_AVG_5D</stp>
        <stp>23/05/2016</stp>
        <stp>23/05/2016</stp>
        <stp>[Bbg_Market_Data_CL.xlsm]data!R221C10</stp>
        <tr r="J221" s="1"/>
      </tp>
      <tp t="s">
        <v>#N/A Requesting Data...</v>
        <stp/>
        <stp>##V3_BDHV12</stp>
        <stp>CL1 Comdty</stp>
        <stp>MOV_AVG_5D</stp>
        <stp>13/05/2016</stp>
        <stp>13/05/2016</stp>
        <stp>[Bbg_Market_Data_CL.xlsm]data!R227C10</stp>
        <tr r="J227" s="1"/>
      </tp>
      <tp t="s">
        <v>#N/A Requesting Data...</v>
        <stp/>
        <stp>##V3_BDHV12</stp>
        <stp>CL2 Comdty</stp>
        <stp>MOV_AVG_5D</stp>
        <stp>02/06/2016</stp>
        <stp>02/06/2016</stp>
        <stp>[Bbg_Market_Data_CL.xlsm]data!R214C10</stp>
        <tr r="J214" s="1"/>
      </tp>
      <tp t="s">
        <v>#N/A Requesting Data...</v>
        <stp/>
        <stp>##V3_BDHV12</stp>
        <stp>CL1 Comdty</stp>
        <stp>MOV_AVG_5D</stp>
        <stp>02/05/2016</stp>
        <stp>02/05/2016</stp>
        <stp>[Bbg_Market_Data_CL.xlsm]data!R236C10</stp>
        <tr r="J236" s="1"/>
      </tp>
      <tp t="s">
        <v>#N/A Requesting Data...</v>
        <stp/>
        <stp>##V3_BDHV12</stp>
        <stp>CL2 Comdty</stp>
        <stp>MOV_AVG_5D</stp>
        <stp>22/04/2016</stp>
        <stp>22/04/2016</stp>
        <stp>[Bbg_Market_Data_CL.xlsm]data!R242C10</stp>
        <tr r="J242" s="1"/>
      </tp>
      <tp t="s">
        <v>#N/A Requesting Data...</v>
        <stp/>
        <stp>##V3_BDHV12</stp>
        <stp>CL1 Comdty</stp>
        <stp>MOV_AVG_5D</stp>
        <stp>12/04/2016</stp>
        <stp>12/04/2016</stp>
        <stp>[Bbg_Market_Data_CL.xlsm]data!R250C10</stp>
        <tr r="J250" s="1"/>
      </tp>
      <tp t="s">
        <v>#N/A Requesting Data...</v>
        <stp/>
        <stp>##V3_BDHV12</stp>
        <stp>CL1 Comdty</stp>
        <stp>MOV_AVG_5D</stp>
        <stp>11/07/2016</stp>
        <stp>11/07/2016</stp>
        <stp>[Bbg_Market_Data_CL.xlsm]data!R188C10</stp>
        <tr r="J188" s="1"/>
      </tp>
      <tp t="s">
        <v>#N/A Requesting Data...</v>
        <stp/>
        <stp>##V3_BDHV12</stp>
        <stp>CL2 Comdty</stp>
        <stp>MOV_AVG_5D</stp>
        <stp>21/07/2016</stp>
        <stp>21/07/2016</stp>
        <stp>[Bbg_Market_Data_CL.xlsm]data!R180C10</stp>
        <tr r="J180" s="1"/>
      </tp>
      <tp t="s">
        <v>#N/A Requesting Data...</v>
        <stp/>
        <stp>##V3_BDHV12</stp>
        <stp>CL2 Comdty</stp>
        <stp>MOV_AVG_5D</stp>
        <stp>14/01/2016</stp>
        <stp>14/01/2016</stp>
        <stp>[Bbg_Market_Data_CL.xlsm]data!R309C10</stp>
        <tr r="J309" s="1"/>
      </tp>
      <tp t="s">
        <v>#N/A Requesting Data...</v>
        <stp/>
        <stp>##V3_BDHV12</stp>
        <stp>CL2 Comdty</stp>
        <stp>MOV_AVG_5D</stp>
        <stp>26/10/2016</stp>
        <stp>26/10/2016</stp>
        <stp>[Bbg_Market_Data_CL.xlsm]data!R114C10</stp>
        <tr r="J114" s="1"/>
      </tp>
      <tp t="s">
        <v>#N/A Requesting Data...</v>
        <stp/>
        <stp>##V3_BDHV12</stp>
        <stp>CL1 Comdty</stp>
        <stp>MOV_AVG_5D</stp>
        <stp>30/07/2015</stp>
        <stp>30/07/2015</stp>
        <stp>[Bbg_Market_Data_CL.xlsm]data!R423C10</stp>
        <tr r="J423" s="1"/>
      </tp>
      <tp t="s">
        <v>#N/A Requesting Data...</v>
        <stp/>
        <stp>##V3_BDHV12</stp>
        <stp>CL1 Comdty</stp>
        <stp>MOV_AVG_5D</stp>
        <stp>17/12/2015</stp>
        <stp>17/12/2015</stp>
        <stp>[Bbg_Market_Data_CL.xlsm]data!R327C10</stp>
        <tr r="J327" s="1"/>
      </tp>
      <tp t="s">
        <v>#N/A Requesting Data...</v>
        <stp/>
        <stp>##V3_BDHV12</stp>
        <stp>CL2 Comdty</stp>
        <stp>MOV_AVG_5D</stp>
        <stp>10/06/2015</stp>
        <stp>10/06/2015</stp>
        <stp>[Bbg_Market_Data_CL.xlsm]data!R458C10</stp>
        <tr r="J458" s="1"/>
      </tp>
      <tp t="s">
        <v>#N/A Requesting Data...</v>
        <stp/>
        <stp>##V3_BDHV12</stp>
        <stp>CL2 Comdty</stp>
        <stp>MOV_AVG_5D</stp>
        <stp>17/11/2015</stp>
        <stp>17/11/2015</stp>
        <stp>[Bbg_Market_Data_CL.xlsm]data!R348C10</stp>
        <tr r="J348" s="1"/>
      </tp>
      <tp t="s">
        <v>#N/A Requesting Data...</v>
        <stp/>
        <stp>##V3_BDHV12</stp>
        <stp>CL1 Comdty</stp>
        <stp>MOV_AVG_5D</stp>
        <stp>27/11/2015</stp>
        <stp>27/11/2015</stp>
        <stp>[Bbg_Market_Data_CL.xlsm]data!R341C10</stp>
        <tr r="J341" s="1"/>
      </tp>
      <tp t="s">
        <v>#N/A Requesting Data...</v>
        <stp/>
        <stp>##V3_BDHV12</stp>
        <stp>CL1 Comdty</stp>
        <stp>MOV_AVG_5D</stp>
        <stp>15/03/2016</stp>
        <stp>15/03/2016</stp>
        <stp>[Bbg_Market_Data_CL.xlsm]data!R269C10</stp>
        <tr r="J269" s="1"/>
      </tp>
      <tp t="s">
        <v>#N/A Requesting Data...</v>
        <stp/>
        <stp>##V3_BDHV12</stp>
        <stp>CL2 Comdty</stp>
        <stp>MOV_AVG_5D</stp>
        <stp>07/10/2015</stp>
        <stp>07/10/2015</stp>
        <stp>[Bbg_Market_Data_CL.xlsm]data!R375C10</stp>
        <tr r="J375" s="1"/>
      </tp>
      <tp t="s">
        <v>#N/A Requesting Data...</v>
        <stp/>
        <stp>##V3_BDHV12</stp>
        <stp>CL2 Comdty</stp>
        <stp>MOV_AVG_5D</stp>
        <stp>20/05/2015</stp>
        <stp>20/05/2015</stp>
        <stp>[Bbg_Market_Data_CL.xlsm]data!R472C10</stp>
        <tr r="J472" s="1"/>
      </tp>
      <tp t="s">
        <v>#N/A Requesting Data...</v>
        <stp/>
        <stp>##V3_BDHV12</stp>
        <stp>CL2 Comdty</stp>
        <stp>MOV_AVG_5D</stp>
        <stp>30/04/2015</stp>
        <stp>30/04/2015</stp>
        <stp>[Bbg_Market_Data_CL.xlsm]data!R486C10</stp>
        <tr r="J486" s="1"/>
      </tp>
      <tp t="s">
        <v>#N/A Requesting Data...</v>
        <stp/>
        <stp>##V3_BDHV12</stp>
        <stp>CL1 Comdty</stp>
        <stp>MOV_AVG_5D</stp>
        <stp>05/02/2016</stp>
        <stp>05/02/2016</stp>
        <stp>[Bbg_Market_Data_CL.xlsm]data!R294C10</stp>
        <tr r="J294" s="1"/>
      </tp>
      <tp t="s">
        <v>#N/A Requesting Data...</v>
        <stp/>
        <stp>##V3_BDHV12</stp>
        <stp>CL2 Comdty</stp>
        <stp>MOV_AVG_5D</stp>
        <stp>05/01/2016</stp>
        <stp>05/01/2016</stp>
        <stp>[Bbg_Market_Data_CL.xlsm]data!R316C10</stp>
        <tr r="J316" s="1"/>
      </tp>
      <tp t="s">
        <v>#N/A Requesting Data...</v>
        <stp/>
        <stp>##V3_BDHV12</stp>
        <stp>CL1 Comdty</stp>
        <stp>MOV_AVG_5D</stp>
        <stp>21/07/2015</stp>
        <stp>21/07/2015</stp>
        <stp>[Bbg_Market_Data_CL.xlsm]data!R430C10</stp>
        <tr r="J430" s="1"/>
      </tp>
      <tp t="s">
        <v>#N/A Requesting Data...</v>
        <stp/>
        <stp>##V3_BDHV12</stp>
        <stp>CL1 Comdty</stp>
        <stp>MOV_AVG_5D</stp>
        <stp>07/10/2016</stp>
        <stp>07/10/2016</stp>
        <stp>[Bbg_Market_Data_CL.xlsm]data!R126C10</stp>
        <tr r="J126" s="1"/>
      </tp>
      <tp t="s">
        <v>#N/A Requesting Data...</v>
        <stp/>
        <stp>##V3_BDHV12</stp>
        <stp>CL2 Comdty</stp>
        <stp>MOV_AVG_5D</stp>
        <stp>06/11/2015</stp>
        <stp>06/11/2015</stp>
        <stp>[Bbg_Market_Data_CL.xlsm]data!R354C10</stp>
        <tr r="J354" s="1"/>
      </tp>
      <tp t="s">
        <v>#N/A Requesting Data...</v>
        <stp/>
        <stp>##V3_BDHV12</stp>
        <stp>CL2 Comdty</stp>
        <stp>MOV_AVG_5D</stp>
        <stp>01/06/2015</stp>
        <stp>01/06/2015</stp>
        <stp>[Bbg_Market_Data_CL.xlsm]data!R465C10</stp>
        <tr r="J465" s="1"/>
      </tp>
      <tp t="s">
        <v>#N/A Requesting Data...</v>
        <stp/>
        <stp>##V3_BDHV12</stp>
        <stp>CL2 Comdty</stp>
        <stp>MOV_AVG_5D</stp>
        <stp>16/10/2015</stp>
        <stp>16/10/2015</stp>
        <stp>[Bbg_Market_Data_CL.xlsm]data!R369C10</stp>
        <tr r="J369" s="1"/>
      </tp>
      <tp t="s">
        <v>#N/A Requesting Data...</v>
        <stp/>
        <stp>##V3_BDHV12</stp>
        <stp>CL1 Comdty</stp>
        <stp>MOV_AVG_5D</stp>
        <stp>04/03/2016</stp>
        <stp>04/03/2016</stp>
        <stp>[Bbg_Market_Data_CL.xlsm]data!R276C10</stp>
        <tr r="J276" s="1"/>
      </tp>
      <tp t="s">
        <v>#N/A Requesting Data...</v>
        <stp/>
        <stp>##V3_BDHV12</stp>
        <stp>CL1 Comdty</stp>
        <stp>MOV_AVG_5D</stp>
        <stp>26/10/2015</stp>
        <stp>26/10/2015</stp>
        <stp>[Bbg_Market_Data_CL.xlsm]data!R363C10</stp>
        <tr r="J363" s="1"/>
      </tp>
      <tp t="s">
        <v>#N/A Requesting Data...</v>
        <stp/>
        <stp>##V3_BDHV12</stp>
        <stp>CL1 Comdty</stp>
        <stp>MOV_AVG_5D</stp>
        <stp>01/05/2015</stp>
        <stp>01/05/2015</stp>
        <stp>[Bbg_Market_Data_CL.xlsm]data!R485C10</stp>
        <tr r="J485" s="1"/>
      </tp>
      <tp t="s">
        <v>#N/A Requesting Data...</v>
        <stp/>
        <stp>##V3_BDHV12</stp>
        <stp>CL2 Comdty</stp>
        <stp>MOV_AVG_5D</stp>
        <stp>24/02/2016</stp>
        <stp>24/02/2016</stp>
        <stp>[Bbg_Market_Data_CL.xlsm]data!R283C10</stp>
        <tr r="J283" s="1"/>
      </tp>
      <tp t="s">
        <v>#N/A Requesting Data...</v>
        <stp/>
        <stp>##V3_BDHV12</stp>
        <stp>CL2 Comdty</stp>
        <stp>MOV_AVG_5D</stp>
        <stp>21/04/2015</stp>
        <stp>21/04/2015</stp>
        <stp>[Bbg_Market_Data_CL.xlsm]data!R493C10</stp>
        <tr r="J493" s="1"/>
      </tp>
      <tp t="s">
        <v>#N/A Requesting Data...</v>
        <stp/>
        <stp>##V3_BDHV12</stp>
        <stp>CL1 Comdty</stp>
        <stp>MOV_AVG_5D</stp>
        <stp>06/01/2016</stp>
        <stp>06/01/2016</stp>
        <stp>[Bbg_Market_Data_CL.xlsm]data!R315C10</stp>
        <tr r="J315" s="1"/>
      </tp>
      <tp t="s">
        <v>#N/A Requesting Data...</v>
        <stp/>
        <stp>##V3_BDHV12</stp>
        <stp>CL2 Comdty</stp>
        <stp>MOV_AVG_5D</stp>
        <stp>14/11/2016</stp>
        <stp>14/11/2016</stp>
        <stp>[Bbg_Market_Data_CL.xlsm]data!R102C10</stp>
        <tr r="J102" s="1"/>
      </tp>
      <tp t="s">
        <v>#N/A Requesting Data...</v>
        <stp/>
        <stp>##V3_BDHV12</stp>
        <stp>CL2 Comdty</stp>
        <stp>MOV_AVG_5D</stp>
        <stp>22/07/2015</stp>
        <stp>22/07/2015</stp>
        <stp>[Bbg_Market_Data_CL.xlsm]data!R429C10</stp>
        <tr r="J429" s="1"/>
      </tp>
      <tp t="s">
        <v>#N/A Requesting Data...</v>
        <stp/>
        <stp>##V3_BDHV12</stp>
        <stp>CL2 Comdty</stp>
        <stp>MOV_AVG_5D</stp>
        <stp>04/10/2016</stp>
        <stp>04/10/2016</stp>
        <stp>[Bbg_Market_Data_CL.xlsm]data!R129C10</stp>
        <tr r="J129" s="1"/>
      </tp>
      <tp t="s">
        <v>#N/A Requesting Data...</v>
        <stp/>
        <stp>##V3_BDHV12</stp>
        <stp>CL1 Comdty</stp>
        <stp>MOV_AVG_5D</stp>
        <stp>05/11/2015</stp>
        <stp>05/11/2015</stp>
        <stp>[Bbg_Market_Data_CL.xlsm]data!R355C10</stp>
        <tr r="J355" s="1"/>
      </tp>
      <tp t="s">
        <v>#N/A Requesting Data...</v>
        <stp/>
        <stp>##V3_BDHV12</stp>
        <stp>CL1 Comdty</stp>
        <stp>MOV_AVG_5D</stp>
        <stp>15/10/2015</stp>
        <stp>15/10/2015</stp>
        <stp>[Bbg_Market_Data_CL.xlsm]data!R370C10</stp>
        <tr r="J370" s="1"/>
      </tp>
      <tp t="s">
        <v>#N/A Requesting Data...</v>
        <stp/>
        <stp>##V3_BDHV12</stp>
        <stp>CL1 Comdty</stp>
        <stp>MOV_AVG_5D</stp>
        <stp>02/06/2015</stp>
        <stp>02/06/2015</stp>
        <stp>[Bbg_Market_Data_CL.xlsm]data!R464C10</stp>
        <tr r="J464" s="1"/>
      </tp>
      <tp t="s">
        <v>#N/A Requesting Data...</v>
        <stp/>
        <stp>##V3_BDHV12</stp>
        <stp>CL2 Comdty</stp>
        <stp>MOV_AVG_5D</stp>
        <stp>07/03/2016</stp>
        <stp>07/03/2016</stp>
        <stp>[Bbg_Market_Data_CL.xlsm]data!R275C10</stp>
        <tr r="J275" s="1"/>
      </tp>
      <tp t="s">
        <v>#N/A Requesting Data...</v>
        <stp/>
        <stp>##V3_BDHV12</stp>
        <stp>CL2 Comdty</stp>
        <stp>MOV_AVG_5D</stp>
        <stp>17/02/2016</stp>
        <stp>17/02/2016</stp>
        <stp>[Bbg_Market_Data_CL.xlsm]data!R288C10</stp>
        <tr r="J288" s="1"/>
      </tp>
      <tp t="s">
        <v>#N/A Requesting Data...</v>
        <stp/>
        <stp>##V3_BDHV12</stp>
        <stp>CL1 Comdty</stp>
        <stp>MOV_AVG_5D</stp>
        <stp>22/04/2015</stp>
        <stp>22/04/2015</stp>
        <stp>[Bbg_Market_Data_CL.xlsm]data!R492C10</stp>
        <tr r="J492" s="1"/>
      </tp>
      <tp t="s">
        <v>#N/A Requesting Data...</v>
        <stp/>
        <stp>##V3_BDHV12</stp>
        <stp>CL1 Comdty</stp>
        <stp>MOV_AVG_5D</stp>
        <stp>25/10/2016</stp>
        <stp>25/10/2016</stp>
        <stp>[Bbg_Market_Data_CL.xlsm]data!R115C10</stp>
        <tr r="J115" s="1"/>
      </tp>
      <tp t="s">
        <v>#N/A Requesting Data...</v>
        <stp/>
        <stp>##V3_BDHV12</stp>
        <stp>CL2 Comdty</stp>
        <stp>MOV_AVG_5D</stp>
        <stp>27/01/2016</stp>
        <stp>27/01/2016</stp>
        <stp>[Bbg_Market_Data_CL.xlsm]data!R301C10</stp>
        <tr r="J301" s="1"/>
      </tp>
      <tp t="s">
        <v>#N/A Requesting Data...</v>
        <stp/>
        <stp>##V3_BDHV12</stp>
        <stp>CL2 Comdty</stp>
        <stp>MOV_AVG_5D</stp>
        <stp>14/12/2015</stp>
        <stp>14/12/2015</stp>
        <stp>[Bbg_Market_Data_CL.xlsm]data!R330C10</stp>
        <tr r="J330" s="1"/>
      </tp>
      <tp t="s">
        <v>#N/A Requesting Data...</v>
        <stp/>
        <stp>##V3_BDHV12</stp>
        <stp>CL1 Comdty</stp>
        <stp>MOV_AVG_5D</stp>
        <stp>24/12/2015</stp>
        <stp>24/12/2015</stp>
        <stp>[Bbg_Market_Data_CL.xlsm]data!R322C10</stp>
        <tr r="J322" s="1"/>
      </tp>
      <tp t="s">
        <v>#N/A Requesting Data...</v>
        <stp/>
        <stp>##V3_BDHV12</stp>
        <stp>CL2 Comdty</stp>
        <stp>MOV_AVG_5D</stp>
        <stp>23/06/2015</stp>
        <stp>23/06/2015</stp>
        <stp>[Bbg_Market_Data_CL.xlsm]data!R449C10</stp>
        <tr r="J449" s="1"/>
      </tp>
      <tp t="s">
        <v>#N/A Requesting Data...</v>
        <stp/>
        <stp>##V3_BDHV12</stp>
        <stp>CL2 Comdty</stp>
        <stp>MOV_AVG_5D</stp>
        <stp>24/11/2015</stp>
        <stp>24/11/2015</stp>
        <stp>[Bbg_Market_Data_CL.xlsm]data!R343C10</stp>
        <tr r="J343" s="1"/>
      </tp>
      <tp t="s">
        <v>#N/A Requesting Data...</v>
        <stp/>
        <stp>##V3_BDHV12</stp>
        <stp>CL2 Comdty</stp>
        <stp>MOV_AVG_5D</stp>
        <stp>16/03/2016</stp>
        <stp>16/03/2016</stp>
        <stp>[Bbg_Market_Data_CL.xlsm]data!R268C10</stp>
        <tr r="J268" s="1"/>
      </tp>
      <tp t="s">
        <v>#N/A Requesting Data...</v>
        <stp/>
        <stp>##V3_BDHV12</stp>
        <stp>CL2 Comdty</stp>
        <stp>MOV_AVG_5D</stp>
        <stp>13/05/2015</stp>
        <stp>13/05/2015</stp>
        <stp>[Bbg_Market_Data_CL.xlsm]data!R477C10</stp>
        <tr r="J477" s="1"/>
      </tp>
      <tp>
        <v>55.15</v>
        <stp/>
        <stp>##V3_BDHV12</stp>
        <stp>CL2 Comdty</stp>
        <stp>PX_HIGH</stp>
        <stp>29/12/2016</stp>
        <stp>29/12/2016</stp>
        <stp>[Bbg_Market_Data_CL.xlsm]data!R71C6</stp>
        <tr r="F71" s="1"/>
      </tp>
      <tp>
        <v>50.1</v>
        <stp/>
        <stp>##V3_BDHV12</stp>
        <stp>CL2 Comdty</stp>
        <stp>PX_HIGH</stp>
        <stp>29/03/2017</stp>
        <stp>29/03/2017</stp>
        <stp>[Bbg_Market_Data_CL.xlsm]data!R10C6</stp>
        <tr r="F10" s="1"/>
      </tp>
      <tp t="s">
        <v>#N/A Requesting Data...</v>
        <stp/>
        <stp>##V3_BDHV12</stp>
        <stp>CL1 Comdty</stp>
        <stp>PX_HIGH</stp>
        <stp>15/03/2017</stp>
        <stp>15/03/2017</stp>
        <stp>[Bbg_Market_Data_CL.xlsm]data!R20C6</stp>
        <tr r="F20" s="1"/>
      </tp>
      <tp t="s">
        <v>#N/A Requesting Data...</v>
        <stp/>
        <stp>##V3_BDHV12</stp>
        <stp>CL1 Comdty</stp>
        <stp>PX_HIGH</stp>
        <stp>14/12/2016</stp>
        <stp>14/12/2016</stp>
        <stp>[Bbg_Market_Data_CL.xlsm]data!R81C6</stp>
        <tr r="F81" s="1"/>
      </tp>
      <tp t="s">
        <v>#N/A Requesting Data...</v>
        <stp/>
        <stp>##V3_BDHV12</stp>
        <stp>CL1 Comdty</stp>
        <stp>PX_HIGH</stp>
        <stp>31/01/2017</stp>
        <stp>31/01/2017</stp>
        <stp>[Bbg_Market_Data_CL.xlsm]data!R50C6</stp>
        <tr r="F50" s="1"/>
      </tp>
      <tp>
        <v>54.32</v>
        <stp/>
        <stp>##V3_BDHV12</stp>
        <stp>CL2 Comdty</stp>
        <stp>PX_HIGH</stp>
        <stp>17/01/2017</stp>
        <stp>17/01/2017</stp>
        <stp>[Bbg_Market_Data_CL.xlsm]data!R60C6</stp>
        <tr r="F60" s="1"/>
      </tp>
      <tp t="s">
        <v>#N/A Requesting Data...</v>
        <stp/>
        <stp>##V3_BDHV12</stp>
        <stp>CL1 Comdty</stp>
        <stp>PX_HIGH</stp>
        <stp>14/02/2017</stp>
        <stp>14/02/2017</stp>
        <stp>[Bbg_Market_Data_CL.xlsm]data!R40C6</stp>
        <tr r="F40" s="1"/>
      </tp>
      <tp t="s">
        <v>#N/A Requesting Data...</v>
        <stp/>
        <stp>##V3_BDHV12</stp>
        <stp>CL1 Comdty</stp>
        <stp>PX_HIGH</stp>
        <stp>30/11/2016</stp>
        <stp>30/11/2016</stp>
        <stp>[Bbg_Market_Data_CL.xlsm]data!R91C6</stp>
        <tr r="F91" s="1"/>
      </tp>
      <tp t="s">
        <v>#N/A Requesting Data...</v>
        <stp/>
        <stp>##V3_BDHV12</stp>
        <stp>CL1 Comdty</stp>
        <stp>PX_HIGH</stp>
        <stp>01/03/2017</stp>
        <stp>01/03/2017</stp>
        <stp>[Bbg_Market_Data_CL.xlsm]data!R30C6</stp>
        <tr r="F30" s="1"/>
      </tp>
      <tp t="s">
        <v>#N/A Requesting Data...</v>
        <stp/>
        <stp>##V3_BDHV12</stp>
        <stp>CL1 Comdty</stp>
        <stp>PX_HIGH</stp>
        <stp>17/01/2017</stp>
        <stp>17/01/2017</stp>
        <stp>[Bbg_Market_Data_CL.xlsm]data!R60C6</stp>
        <tr r="F60" s="1"/>
      </tp>
      <tp>
        <v>54.19</v>
        <stp/>
        <stp>##V3_BDHV12</stp>
        <stp>CL2 Comdty</stp>
        <stp>PX_HIGH</stp>
        <stp>14/02/2017</stp>
        <stp>14/02/2017</stp>
        <stp>[Bbg_Market_Data_CL.xlsm]data!R40C6</stp>
        <tr r="F40" s="1"/>
      </tp>
      <tp>
        <v>50.8</v>
        <stp/>
        <stp>##V3_BDHV12</stp>
        <stp>CL2 Comdty</stp>
        <stp>PX_HIGH</stp>
        <stp>30/11/2016</stp>
        <stp>30/11/2016</stp>
        <stp>[Bbg_Market_Data_CL.xlsm]data!R91C6</stp>
        <tr r="F91" s="1"/>
      </tp>
      <tp>
        <v>54.85</v>
        <stp/>
        <stp>##V3_BDHV12</stp>
        <stp>CL2 Comdty</stp>
        <stp>PX_HIGH</stp>
        <stp>01/03/2017</stp>
        <stp>01/03/2017</stp>
        <stp>[Bbg_Market_Data_CL.xlsm]data!R30C6</stp>
        <tr r="F30" s="1"/>
      </tp>
      <tp t="s">
        <v>#N/A Requesting Data...</v>
        <stp/>
        <stp>##V3_BDHV12</stp>
        <stp>CL1 Comdty</stp>
        <stp>PX_HIGH</stp>
        <stp>29/12/2016</stp>
        <stp>29/12/2016</stp>
        <stp>[Bbg_Market_Data_CL.xlsm]data!R71C6</stp>
        <tr r="F71" s="1"/>
      </tp>
      <tp t="s">
        <v>#N/A Requesting Data...</v>
        <stp/>
        <stp>##V3_BDHV12</stp>
        <stp>CL1 Comdty</stp>
        <stp>PX_HIGH</stp>
        <stp>29/03/2017</stp>
        <stp>29/03/2017</stp>
        <stp>[Bbg_Market_Data_CL.xlsm]data!R10C6</stp>
        <tr r="F10" s="1"/>
      </tp>
      <tp>
        <v>49.58</v>
        <stp/>
        <stp>##V3_BDHV12</stp>
        <stp>CL2 Comdty</stp>
        <stp>PX_HIGH</stp>
        <stp>15/03/2017</stp>
        <stp>15/03/2017</stp>
        <stp>[Bbg_Market_Data_CL.xlsm]data!R20C6</stp>
        <tr r="F20" s="1"/>
      </tp>
      <tp>
        <v>53.8</v>
        <stp/>
        <stp>##V3_BDHV12</stp>
        <stp>CL2 Comdty</stp>
        <stp>PX_HIGH</stp>
        <stp>14/12/2016</stp>
        <stp>14/12/2016</stp>
        <stp>[Bbg_Market_Data_CL.xlsm]data!R81C6</stp>
        <tr r="F81" s="1"/>
      </tp>
      <tp>
        <v>54.2</v>
        <stp/>
        <stp>##V3_BDHV12</stp>
        <stp>CL2 Comdty</stp>
        <stp>PX_HIGH</stp>
        <stp>31/01/2017</stp>
        <stp>31/01/2017</stp>
        <stp>[Bbg_Market_Data_CL.xlsm]data!R50C6</stp>
        <tr r="F50" s="1"/>
      </tp>
      <tp>
        <v>54.48</v>
        <stp/>
        <stp>##V3_BDHV12</stp>
        <stp>CL2 Comdty</stp>
        <stp>PX_OPEN</stp>
        <stp>06/02/2017</stp>
        <stp>06/02/2017</stp>
        <stp>[Bbg_Market_Data_CL.xlsm]data!R46C5</stp>
        <tr r="E46" s="1"/>
      </tp>
      <tp t="s">
        <v>#N/A Requesting Data...</v>
        <stp/>
        <stp>##V3_BDHV12</stp>
        <stp>CL1 Comdty</stp>
        <stp>PX_OPEN</stp>
        <stp>06/01/2017</stp>
        <stp>06/01/2017</stp>
        <stp>[Bbg_Market_Data_CL.xlsm]data!R66C5</stp>
        <tr r="E66" s="1"/>
      </tp>
      <tp t="s">
        <v>#N/A Requesting Data...</v>
        <stp/>
        <stp>##V3_BDHV12</stp>
        <stp>CL1 Comdty</stp>
        <stp>PX_OPEN</stp>
        <stp>20/12/2016</stp>
        <stp>20/12/2016</stp>
        <stp>[Bbg_Market_Data_CL.xlsm]data!R77C5</stp>
        <tr r="E77" s="1"/>
      </tp>
      <tp t="s">
        <v>#N/A Requesting Data...</v>
        <stp/>
        <stp>##V3_BDHV12</stp>
        <stp>CL1 Comdty</stp>
        <stp>PX_OPEN</stp>
        <stp>21/03/2017</stp>
        <stp>21/03/2017</stp>
        <stp>[Bbg_Market_Data_CL.xlsm]data!R16C5</stp>
        <tr r="E16" s="1"/>
      </tp>
      <tp>
        <v>46.6</v>
        <stp/>
        <stp>##V3_BDHV12</stp>
        <stp>CL2 Comdty</stp>
        <stp>PX_OPEN</stp>
        <stp>21/11/2016</stp>
        <stp>21/11/2016</stp>
        <stp>[Bbg_Market_Data_CL.xlsm]data!R97C5</stp>
        <tr r="E97" s="1"/>
      </tp>
      <tp>
        <v>52</v>
        <stp/>
        <stp>##V3_BDHV12</stp>
        <stp>CL2 Comdty</stp>
        <stp>PX_OPEN</stp>
        <stp>06/12/2016</stp>
        <stp>06/12/2016</stp>
        <stp>[Bbg_Market_Data_CL.xlsm]data!R87C5</stp>
        <tr r="E87" s="1"/>
      </tp>
      <tp>
        <v>53.66</v>
        <stp/>
        <stp>##V3_BDHV12</stp>
        <stp>CL2 Comdty</stp>
        <stp>PX_OPEN</stp>
        <stp>07/03/2017</stp>
        <stp>07/03/2017</stp>
        <stp>[Bbg_Market_Data_CL.xlsm]data!R26C5</stp>
        <tr r="E26" s="1"/>
      </tp>
      <tp t="s">
        <v>#N/A Requesting Data...</v>
        <stp/>
        <stp>##V3_BDHV12</stp>
        <stp>CL1 Comdty</stp>
        <stp>PX_OPEN</stp>
        <stp>21/02/2017</stp>
        <stp>21/02/2017</stp>
        <stp>[Bbg_Market_Data_CL.xlsm]data!R36C5</stp>
        <tr r="E36" s="1"/>
      </tp>
      <tp>
        <v>53.99</v>
        <stp/>
        <stp>##V3_BDHV12</stp>
        <stp>CL2 Comdty</stp>
        <stp>PX_OPEN</stp>
        <stp>23/01/2017</stp>
        <stp>23/01/2017</stp>
        <stp>[Bbg_Market_Data_CL.xlsm]data!R56C5</stp>
        <tr r="E56" s="1"/>
      </tp>
      <tp t="s">
        <v>#N/A Requesting Data...</v>
        <stp/>
        <stp>##V3_BDHV12</stp>
        <stp>CL1 Comdty</stp>
        <stp>PX_OPEN</stp>
        <stp>06/12/2016</stp>
        <stp>06/12/2016</stp>
        <stp>[Bbg_Market_Data_CL.xlsm]data!R87C5</stp>
        <tr r="E87" s="1"/>
      </tp>
      <tp t="s">
        <v>#N/A Requesting Data...</v>
        <stp/>
        <stp>##V3_BDHV12</stp>
        <stp>CL1 Comdty</stp>
        <stp>PX_OPEN</stp>
        <stp>07/03/2017</stp>
        <stp>07/03/2017</stp>
        <stp>[Bbg_Market_Data_CL.xlsm]data!R26C5</stp>
        <tr r="E26" s="1"/>
      </tp>
      <tp>
        <v>53.9</v>
        <stp/>
        <stp>##V3_BDHV12</stp>
        <stp>CL2 Comdty</stp>
        <stp>PX_OPEN</stp>
        <stp>21/02/2017</stp>
        <stp>21/02/2017</stp>
        <stp>[Bbg_Market_Data_CL.xlsm]data!R36C5</stp>
        <tr r="E36" s="1"/>
      </tp>
      <tp t="s">
        <v>#N/A Requesting Data...</v>
        <stp/>
        <stp>##V3_BDHV12</stp>
        <stp>CL1 Comdty</stp>
        <stp>PX_OPEN</stp>
        <stp>23/01/2017</stp>
        <stp>23/01/2017</stp>
        <stp>[Bbg_Market_Data_CL.xlsm]data!R56C5</stp>
        <tr r="E56" s="1"/>
      </tp>
      <tp t="s">
        <v>#N/A Requesting Data...</v>
        <stp/>
        <stp>##V3_BDHV12</stp>
        <stp>CL1 Comdty</stp>
        <stp>PX_OPEN</stp>
        <stp>06/02/2017</stp>
        <stp>06/02/2017</stp>
        <stp>[Bbg_Market_Data_CL.xlsm]data!R46C5</stp>
        <tr r="E46" s="1"/>
      </tp>
      <tp>
        <v>54.62</v>
        <stp/>
        <stp>##V3_BDHV12</stp>
        <stp>CL2 Comdty</stp>
        <stp>PX_OPEN</stp>
        <stp>06/01/2017</stp>
        <stp>06/01/2017</stp>
        <stp>[Bbg_Market_Data_CL.xlsm]data!R66C5</stp>
        <tr r="E66" s="1"/>
      </tp>
      <tp>
        <v>53.14</v>
        <stp/>
        <stp>##V3_BDHV12</stp>
        <stp>CL2 Comdty</stp>
        <stp>PX_OPEN</stp>
        <stp>20/12/2016</stp>
        <stp>20/12/2016</stp>
        <stp>[Bbg_Market_Data_CL.xlsm]data!R77C5</stp>
        <tr r="E77" s="1"/>
      </tp>
      <tp>
        <v>48.91</v>
        <stp/>
        <stp>##V3_BDHV12</stp>
        <stp>CL2 Comdty</stp>
        <stp>PX_OPEN</stp>
        <stp>21/03/2017</stp>
        <stp>21/03/2017</stp>
        <stp>[Bbg_Market_Data_CL.xlsm]data!R16C5</stp>
        <tr r="E16" s="1"/>
      </tp>
      <tp t="s">
        <v>#N/A Requesting Data...</v>
        <stp/>
        <stp>##V3_BDHV12</stp>
        <stp>CL1 Comdty</stp>
        <stp>PX_OPEN</stp>
        <stp>21/11/2016</stp>
        <stp>21/11/2016</stp>
        <stp>[Bbg_Market_Data_CL.xlsm]data!R97C5</stp>
        <tr r="E97" s="1"/>
      </tp>
      <tp t="s">
        <v>#N/A Requesting Data...</v>
        <stp/>
        <stp>##V3_BDHV12</stp>
        <stp>CL2 Comdty</stp>
        <stp>MOV_AVG_5D</stp>
        <stp>31/05/2016</stp>
        <stp>31/05/2016</stp>
        <stp>[Bbg_Market_Data_CL.xlsm]data!R216C10</stp>
        <tr r="J216" s="1"/>
      </tp>
      <tp t="s">
        <v>#N/A Requesting Data...</v>
        <stp/>
        <stp>##V3_BDHV12</stp>
        <stp>CL2 Comdty</stp>
        <stp>MOV_AVG_5D</stp>
        <stp>01/06/2016</stp>
        <stp>01/06/2016</stp>
        <stp>[Bbg_Market_Data_CL.xlsm]data!R215C10</stp>
        <tr r="J215" s="1"/>
      </tp>
      <tp t="s">
        <v>#N/A Requesting Data...</v>
        <stp/>
        <stp>##V3_BDHV12</stp>
        <stp>CL2 Comdty</stp>
        <stp>MOV_AVG_5D</stp>
        <stp>21/04/2016</stp>
        <stp>21/04/2016</stp>
        <stp>[Bbg_Market_Data_CL.xlsm]data!R243C10</stp>
        <tr r="J243" s="1"/>
      </tp>
      <tp t="s">
        <v>#N/A Requesting Data...</v>
        <stp/>
        <stp>##V3_BDHV12</stp>
        <stp>CL1 Comdty</stp>
        <stp>MOV_AVG_5D</stp>
        <stp>11/04/2016</stp>
        <stp>11/04/2016</stp>
        <stp>[Bbg_Market_Data_CL.xlsm]data!R251C10</stp>
        <tr r="J251" s="1"/>
      </tp>
      <tp t="s">
        <v>#N/A Requesting Data...</v>
        <stp/>
        <stp>##V3_BDHV12</stp>
        <stp>CL2 Comdty</stp>
        <stp>MOV_AVG_5D</stp>
        <stp>22/07/2016</stp>
        <stp>22/07/2016</stp>
        <stp>[Bbg_Market_Data_CL.xlsm]data!R179C10</stp>
        <tr r="J179" s="1"/>
      </tp>
      <tp t="s">
        <v>#N/A Requesting Data...</v>
        <stp/>
        <stp>##V3_BDHV12</stp>
        <stp>CL1 Comdty</stp>
        <stp>MOV_AVG_5D</stp>
        <stp>12/07/2016</stp>
        <stp>12/07/2016</stp>
        <stp>[Bbg_Market_Data_CL.xlsm]data!R187C10</stp>
        <tr r="J187" s="1"/>
      </tp>
      <tp t="s">
        <v>#N/A Requesting Data...</v>
        <stp/>
        <stp>##V3_BDHV12</stp>
        <stp>CL2 Comdty</stp>
        <stp>MOV_AVG_5D</stp>
        <stp>10/06/2016</stp>
        <stp>10/06/2016</stp>
        <stp>[Bbg_Market_Data_CL.xlsm]data!R208C10</stp>
        <tr r="J208" s="1"/>
      </tp>
      <tp t="s">
        <v>#N/A Requesting Data...</v>
        <stp/>
        <stp>##V3_BDHV12</stp>
        <stp>CL1 Comdty</stp>
        <stp>MOV_AVG_5D</stp>
        <stp>20/06/2016</stp>
        <stp>20/06/2016</stp>
        <stp>[Bbg_Market_Data_CL.xlsm]data!R202C10</stp>
        <tr r="J202" s="1"/>
      </tp>
      <tp t="s">
        <v>#N/A Requesting Data...</v>
        <stp/>
        <stp>##V3_BDHV12</stp>
        <stp>CL2 Comdty</stp>
        <stp>MOV_AVG_5D</stp>
        <stp>20/05/2016</stp>
        <stp>20/05/2016</stp>
        <stp>[Bbg_Market_Data_CL.xlsm]data!R222C10</stp>
        <tr r="J222" s="1"/>
      </tp>
      <tp t="s">
        <v>#N/A Requesting Data...</v>
        <stp/>
        <stp>##V3_BDHV12</stp>
        <stp>CL1 Comdty</stp>
        <stp>MOV_AVG_5D</stp>
        <stp>10/05/2016</stp>
        <stp>10/05/2016</stp>
        <stp>[Bbg_Market_Data_CL.xlsm]data!R230C10</stp>
        <tr r="J230" s="1"/>
      </tp>
      <tp t="s">
        <v>#N/A Requesting Data...</v>
        <stp/>
        <stp>##V3_BDHV12</stp>
        <stp>CL2 Comdty</stp>
        <stp>MOV_AVG_5D</stp>
        <stp>23/06/2016</stp>
        <stp>23/06/2016</stp>
        <stp>[Bbg_Market_Data_CL.xlsm]data!R199C10</stp>
        <tr r="J199" s="1"/>
      </tp>
      <tp t="s">
        <v>#N/A Requesting Data...</v>
        <stp/>
        <stp>##V3_BDHV12</stp>
        <stp>CL1 Comdty</stp>
        <stp>MOV_AVG_5D</stp>
        <stp>13/06/2016</stp>
        <stp>13/06/2016</stp>
        <stp>[Bbg_Market_Data_CL.xlsm]data!R207C10</stp>
        <tr r="J207" s="1"/>
      </tp>
      <tp t="s">
        <v>#N/A Requesting Data...</v>
        <stp/>
        <stp>##V3_BDHV12</stp>
        <stp>CL1 Comdty</stp>
        <stp>MOV_AVG_5D</stp>
        <stp>23/05/2016</stp>
        <stp>23/05/2016</stp>
        <stp>[Bbg_Market_Data_CL.xlsm]data!R221C10</stp>
        <tr r="J221" s="1"/>
      </tp>
      <tp t="s">
        <v>#N/A Requesting Data...</v>
        <stp/>
        <stp>##V3_BDHV12</stp>
        <stp>CL2 Comdty</stp>
        <stp>MOV_AVG_5D</stp>
        <stp>13/05/2016</stp>
        <stp>13/05/2016</stp>
        <stp>[Bbg_Market_Data_CL.xlsm]data!R227C10</stp>
        <tr r="J227" s="1"/>
      </tp>
      <tp t="s">
        <v>#N/A Requesting Data...</v>
        <stp/>
        <stp>##V3_BDHV12</stp>
        <stp>CL1 Comdty</stp>
        <stp>MOV_AVG_5D</stp>
        <stp>02/06/2016</stp>
        <stp>02/06/2016</stp>
        <stp>[Bbg_Market_Data_CL.xlsm]data!R214C10</stp>
        <tr r="J214" s="1"/>
      </tp>
      <tp t="s">
        <v>#N/A Requesting Data...</v>
        <stp/>
        <stp>##V3_BDHV12</stp>
        <stp>CL2 Comdty</stp>
        <stp>MOV_AVG_5D</stp>
        <stp>02/05/2016</stp>
        <stp>02/05/2016</stp>
        <stp>[Bbg_Market_Data_CL.xlsm]data!R236C10</stp>
        <tr r="J236" s="1"/>
      </tp>
      <tp t="s">
        <v>#N/A Requesting Data...</v>
        <stp/>
        <stp>##V3_BDHV12</stp>
        <stp>CL1 Comdty</stp>
        <stp>MOV_AVG_5D</stp>
        <stp>22/04/2016</stp>
        <stp>22/04/2016</stp>
        <stp>[Bbg_Market_Data_CL.xlsm]data!R242C10</stp>
        <tr r="J242" s="1"/>
      </tp>
      <tp t="s">
        <v>#N/A Requesting Data...</v>
        <stp/>
        <stp>##V3_BDHV12</stp>
        <stp>CL2 Comdty</stp>
        <stp>MOV_AVG_5D</stp>
        <stp>12/04/2016</stp>
        <stp>12/04/2016</stp>
        <stp>[Bbg_Market_Data_CL.xlsm]data!R250C10</stp>
        <tr r="J250" s="1"/>
      </tp>
      <tp t="s">
        <v>#N/A Requesting Data...</v>
        <stp/>
        <stp>##V3_BDHV12</stp>
        <stp>CL2 Comdty</stp>
        <stp>MOV_AVG_5D</stp>
        <stp>11/07/2016</stp>
        <stp>11/07/2016</stp>
        <stp>[Bbg_Market_Data_CL.xlsm]data!R188C10</stp>
        <tr r="J188" s="1"/>
      </tp>
      <tp t="s">
        <v>#N/A Requesting Data...</v>
        <stp/>
        <stp>##V3_BDHV12</stp>
        <stp>CL1 Comdty</stp>
        <stp>MOV_AVG_5D</stp>
        <stp>21/07/2016</stp>
        <stp>21/07/2016</stp>
        <stp>[Bbg_Market_Data_CL.xlsm]data!R180C10</stp>
        <tr r="J180" s="1"/>
      </tp>
      <tp t="s">
        <v>#N/A Requesting Data...</v>
        <stp/>
        <stp>##V3_BDHV12</stp>
        <stp>CL1 Comdty</stp>
        <stp>MOV_AVG_5D</stp>
        <stp>14/01/2016</stp>
        <stp>14/01/2016</stp>
        <stp>[Bbg_Market_Data_CL.xlsm]data!R309C10</stp>
        <tr r="J309" s="1"/>
      </tp>
      <tp t="s">
        <v>#N/A Requesting Data...</v>
        <stp/>
        <stp>##V3_BDHV12</stp>
        <stp>CL1 Comdty</stp>
        <stp>MOV_AVG_5D</stp>
        <stp>26/10/2016</stp>
        <stp>26/10/2016</stp>
        <stp>[Bbg_Market_Data_CL.xlsm]data!R114C10</stp>
        <tr r="J114" s="1"/>
      </tp>
      <tp t="s">
        <v>#N/A Requesting Data...</v>
        <stp/>
        <stp>##V3_BDHV12</stp>
        <stp>CL2 Comdty</stp>
        <stp>MOV_AVG_5D</stp>
        <stp>30/07/2015</stp>
        <stp>30/07/2015</stp>
        <stp>[Bbg_Market_Data_CL.xlsm]data!R423C10</stp>
        <tr r="J423" s="1"/>
      </tp>
      <tp t="s">
        <v>#N/A Requesting Data...</v>
        <stp/>
        <stp>##V3_BDHV12</stp>
        <stp>CL2 Comdty</stp>
        <stp>MOV_AVG_5D</stp>
        <stp>17/12/2015</stp>
        <stp>17/12/2015</stp>
        <stp>[Bbg_Market_Data_CL.xlsm]data!R327C10</stp>
        <tr r="J327" s="1"/>
      </tp>
      <tp t="s">
        <v>#N/A Requesting Data...</v>
        <stp/>
        <stp>##V3_BDHV12</stp>
        <stp>CL1 Comdty</stp>
        <stp>MOV_AVG_5D</stp>
        <stp>10/06/2015</stp>
        <stp>10/06/2015</stp>
        <stp>[Bbg_Market_Data_CL.xlsm]data!R458C10</stp>
        <tr r="J458" s="1"/>
      </tp>
      <tp t="s">
        <v>#N/A Requesting Data...</v>
        <stp/>
        <stp>##V3_BDHV12</stp>
        <stp>CL1 Comdty</stp>
        <stp>MOV_AVG_5D</stp>
        <stp>17/11/2015</stp>
        <stp>17/11/2015</stp>
        <stp>[Bbg_Market_Data_CL.xlsm]data!R348C10</stp>
        <tr r="J348" s="1"/>
      </tp>
      <tp t="s">
        <v>#N/A Requesting Data...</v>
        <stp/>
        <stp>##V3_BDHV12</stp>
        <stp>CL2 Comdty</stp>
        <stp>MOV_AVG_5D</stp>
        <stp>27/11/2015</stp>
        <stp>27/11/2015</stp>
        <stp>[Bbg_Market_Data_CL.xlsm]data!R341C10</stp>
        <tr r="J341" s="1"/>
      </tp>
      <tp t="s">
        <v>#N/A Requesting Data...</v>
        <stp/>
        <stp>##V3_BDHV12</stp>
        <stp>CL2 Comdty</stp>
        <stp>MOV_AVG_5D</stp>
        <stp>15/03/2016</stp>
        <stp>15/03/2016</stp>
        <stp>[Bbg_Market_Data_CL.xlsm]data!R269C10</stp>
        <tr r="J269" s="1"/>
      </tp>
      <tp t="s">
        <v>#N/A Requesting Data...</v>
        <stp/>
        <stp>##V3_BDHV12</stp>
        <stp>CL1 Comdty</stp>
        <stp>MOV_AVG_5D</stp>
        <stp>07/10/2015</stp>
        <stp>07/10/2015</stp>
        <stp>[Bbg_Market_Data_CL.xlsm]data!R375C10</stp>
        <tr r="J375" s="1"/>
      </tp>
      <tp t="s">
        <v>#N/A Requesting Data...</v>
        <stp/>
        <stp>##V3_BDHV12</stp>
        <stp>CL1 Comdty</stp>
        <stp>MOV_AVG_5D</stp>
        <stp>20/05/2015</stp>
        <stp>20/05/2015</stp>
        <stp>[Bbg_Market_Data_CL.xlsm]data!R472C10</stp>
        <tr r="J472" s="1"/>
      </tp>
      <tp t="s">
        <v>#N/A Requesting Data...</v>
        <stp/>
        <stp>##V3_BDHV12</stp>
        <stp>CL1 Comdty</stp>
        <stp>MOV_AVG_5D</stp>
        <stp>30/04/2015</stp>
        <stp>30/04/2015</stp>
        <stp>[Bbg_Market_Data_CL.xlsm]data!R486C10</stp>
        <tr r="J486" s="1"/>
      </tp>
      <tp t="s">
        <v>#N/A Requesting Data...</v>
        <stp/>
        <stp>##V3_BDHV12</stp>
        <stp>CL2 Comdty</stp>
        <stp>MOV_AVG_5D</stp>
        <stp>05/02/2016</stp>
        <stp>05/02/2016</stp>
        <stp>[Bbg_Market_Data_CL.xlsm]data!R294C10</stp>
        <tr r="J294" s="1"/>
      </tp>
      <tp t="s">
        <v>#N/A Requesting Data...</v>
        <stp/>
        <stp>##V3_BDHV12</stp>
        <stp>CL1 Comdty</stp>
        <stp>MOV_AVG_5D</stp>
        <stp>05/01/2016</stp>
        <stp>05/01/2016</stp>
        <stp>[Bbg_Market_Data_CL.xlsm]data!R316C10</stp>
        <tr r="J316" s="1"/>
      </tp>
      <tp t="s">
        <v>#N/A Requesting Data...</v>
        <stp/>
        <stp>##V3_BDHV12</stp>
        <stp>CL2 Comdty</stp>
        <stp>MOV_AVG_5D</stp>
        <stp>21/07/2015</stp>
        <stp>21/07/2015</stp>
        <stp>[Bbg_Market_Data_CL.xlsm]data!R430C10</stp>
        <tr r="J430" s="1"/>
      </tp>
      <tp t="s">
        <v>#N/A Requesting Data...</v>
        <stp/>
        <stp>##V3_BDHV12</stp>
        <stp>CL2 Comdty</stp>
        <stp>MOV_AVG_5D</stp>
        <stp>07/10/2016</stp>
        <stp>07/10/2016</stp>
        <stp>[Bbg_Market_Data_CL.xlsm]data!R126C10</stp>
        <tr r="J126" s="1"/>
      </tp>
      <tp t="s">
        <v>#N/A Requesting Data...</v>
        <stp/>
        <stp>##V3_BDHV12</stp>
        <stp>CL1 Comdty</stp>
        <stp>MOV_AVG_5D</stp>
        <stp>06/11/2015</stp>
        <stp>06/11/2015</stp>
        <stp>[Bbg_Market_Data_CL.xlsm]data!R354C10</stp>
        <tr r="J354" s="1"/>
      </tp>
      <tp t="s">
        <v>#N/A Requesting Data...</v>
        <stp/>
        <stp>##V3_BDHV12</stp>
        <stp>CL1 Comdty</stp>
        <stp>MOV_AVG_5D</stp>
        <stp>01/06/2015</stp>
        <stp>01/06/2015</stp>
        <stp>[Bbg_Market_Data_CL.xlsm]data!R465C10</stp>
        <tr r="J465" s="1"/>
      </tp>
      <tp t="s">
        <v>#N/A Requesting Data...</v>
        <stp/>
        <stp>##V3_BDHV12</stp>
        <stp>CL1 Comdty</stp>
        <stp>MOV_AVG_5D</stp>
        <stp>16/10/2015</stp>
        <stp>16/10/2015</stp>
        <stp>[Bbg_Market_Data_CL.xlsm]data!R369C10</stp>
        <tr r="J369" s="1"/>
      </tp>
      <tp t="s">
        <v>#N/A Requesting Data...</v>
        <stp/>
        <stp>##V3_BDHV12</stp>
        <stp>CL2 Comdty</stp>
        <stp>MOV_AVG_5D</stp>
        <stp>04/03/2016</stp>
        <stp>04/03/2016</stp>
        <stp>[Bbg_Market_Data_CL.xlsm]data!R276C10</stp>
        <tr r="J276" s="1"/>
      </tp>
      <tp t="s">
        <v>#N/A Requesting Data...</v>
        <stp/>
        <stp>##V3_BDHV12</stp>
        <stp>CL2 Comdty</stp>
        <stp>MOV_AVG_5D</stp>
        <stp>26/10/2015</stp>
        <stp>26/10/2015</stp>
        <stp>[Bbg_Market_Data_CL.xlsm]data!R363C10</stp>
        <tr r="J363" s="1"/>
      </tp>
      <tp t="s">
        <v>#N/A Requesting Data...</v>
        <stp/>
        <stp>##V3_BDHV12</stp>
        <stp>CL2 Comdty</stp>
        <stp>MOV_AVG_5D</stp>
        <stp>01/05/2015</stp>
        <stp>01/05/2015</stp>
        <stp>[Bbg_Market_Data_CL.xlsm]data!R485C10</stp>
        <tr r="J485" s="1"/>
      </tp>
      <tp t="s">
        <v>#N/A Requesting Data...</v>
        <stp/>
        <stp>##V3_BDHV12</stp>
        <stp>CL1 Comdty</stp>
        <stp>MOV_AVG_5D</stp>
        <stp>24/02/2016</stp>
        <stp>24/02/2016</stp>
        <stp>[Bbg_Market_Data_CL.xlsm]data!R283C10</stp>
        <tr r="J283" s="1"/>
      </tp>
      <tp t="s">
        <v>#N/A Requesting Data...</v>
        <stp/>
        <stp>##V3_BDHV12</stp>
        <stp>CL1 Comdty</stp>
        <stp>MOV_AVG_5D</stp>
        <stp>21/04/2015</stp>
        <stp>21/04/2015</stp>
        <stp>[Bbg_Market_Data_CL.xlsm]data!R493C10</stp>
        <tr r="J493" s="1"/>
      </tp>
      <tp t="s">
        <v>#N/A Requesting Data...</v>
        <stp/>
        <stp>##V3_BDHV12</stp>
        <stp>CL2 Comdty</stp>
        <stp>MOV_AVG_5D</stp>
        <stp>06/01/2016</stp>
        <stp>06/01/2016</stp>
        <stp>[Bbg_Market_Data_CL.xlsm]data!R315C10</stp>
        <tr r="J315" s="1"/>
      </tp>
      <tp t="s">
        <v>#N/A Requesting Data...</v>
        <stp/>
        <stp>##V3_BDHV12</stp>
        <stp>CL1 Comdty</stp>
        <stp>MOV_AVG_5D</stp>
        <stp>14/11/2016</stp>
        <stp>14/11/2016</stp>
        <stp>[Bbg_Market_Data_CL.xlsm]data!R102C10</stp>
        <tr r="J102" s="1"/>
      </tp>
      <tp t="s">
        <v>#N/A Requesting Data...</v>
        <stp/>
        <stp>##V3_BDHV12</stp>
        <stp>CL1 Comdty</stp>
        <stp>MOV_AVG_5D</stp>
        <stp>22/07/2015</stp>
        <stp>22/07/2015</stp>
        <stp>[Bbg_Market_Data_CL.xlsm]data!R429C10</stp>
        <tr r="J429" s="1"/>
      </tp>
      <tp t="s">
        <v>#N/A Requesting Data...</v>
        <stp/>
        <stp>##V3_BDHV12</stp>
        <stp>CL1 Comdty</stp>
        <stp>MOV_AVG_5D</stp>
        <stp>04/10/2016</stp>
        <stp>04/10/2016</stp>
        <stp>[Bbg_Market_Data_CL.xlsm]data!R129C10</stp>
        <tr r="J129" s="1"/>
      </tp>
      <tp t="s">
        <v>#N/A Requesting Data...</v>
        <stp/>
        <stp>##V3_BDHV12</stp>
        <stp>CL2 Comdty</stp>
        <stp>MOV_AVG_5D</stp>
        <stp>05/11/2015</stp>
        <stp>05/11/2015</stp>
        <stp>[Bbg_Market_Data_CL.xlsm]data!R355C10</stp>
        <tr r="J355" s="1"/>
      </tp>
      <tp t="s">
        <v>#N/A Requesting Data...</v>
        <stp/>
        <stp>##V3_BDHV12</stp>
        <stp>CL2 Comdty</stp>
        <stp>MOV_AVG_5D</stp>
        <stp>15/10/2015</stp>
        <stp>15/10/2015</stp>
        <stp>[Bbg_Market_Data_CL.xlsm]data!R370C10</stp>
        <tr r="J370" s="1"/>
      </tp>
      <tp t="s">
        <v>#N/A Requesting Data...</v>
        <stp/>
        <stp>##V3_BDHV12</stp>
        <stp>CL2 Comdty</stp>
        <stp>MOV_AVG_5D</stp>
        <stp>02/06/2015</stp>
        <stp>02/06/2015</stp>
        <stp>[Bbg_Market_Data_CL.xlsm]data!R464C10</stp>
        <tr r="J464" s="1"/>
      </tp>
      <tp t="s">
        <v>#N/A Requesting Data...</v>
        <stp/>
        <stp>##V3_BDHV12</stp>
        <stp>CL1 Comdty</stp>
        <stp>MOV_AVG_5D</stp>
        <stp>07/03/2016</stp>
        <stp>07/03/2016</stp>
        <stp>[Bbg_Market_Data_CL.xlsm]data!R275C10</stp>
        <tr r="J275" s="1"/>
      </tp>
      <tp t="s">
        <v>#N/A Requesting Data...</v>
        <stp/>
        <stp>##V3_BDHV12</stp>
        <stp>CL1 Comdty</stp>
        <stp>MOV_AVG_5D</stp>
        <stp>17/02/2016</stp>
        <stp>17/02/2016</stp>
        <stp>[Bbg_Market_Data_CL.xlsm]data!R288C10</stp>
        <tr r="J288" s="1"/>
      </tp>
      <tp t="s">
        <v>#N/A Requesting Data...</v>
        <stp/>
        <stp>##V3_BDHV12</stp>
        <stp>CL2 Comdty</stp>
        <stp>MOV_AVG_5D</stp>
        <stp>22/04/2015</stp>
        <stp>22/04/2015</stp>
        <stp>[Bbg_Market_Data_CL.xlsm]data!R492C10</stp>
        <tr r="J492" s="1"/>
      </tp>
      <tp t="s">
        <v>#N/A Requesting Data...</v>
        <stp/>
        <stp>##V3_BDHV12</stp>
        <stp>CL2 Comdty</stp>
        <stp>MOV_AVG_5D</stp>
        <stp>25/10/2016</stp>
        <stp>25/10/2016</stp>
        <stp>[Bbg_Market_Data_CL.xlsm]data!R115C10</stp>
        <tr r="J115" s="1"/>
      </tp>
      <tp t="s">
        <v>#N/A Requesting Data...</v>
        <stp/>
        <stp>##V3_BDHV12</stp>
        <stp>CL1 Comdty</stp>
        <stp>MOV_AVG_5D</stp>
        <stp>27/01/2016</stp>
        <stp>27/01/2016</stp>
        <stp>[Bbg_Market_Data_CL.xlsm]data!R301C10</stp>
        <tr r="J301" s="1"/>
      </tp>
      <tp t="s">
        <v>#N/A Requesting Data...</v>
        <stp/>
        <stp>##V3_BDHV12</stp>
        <stp>CL1 Comdty</stp>
        <stp>MOV_AVG_5D</stp>
        <stp>14/12/2015</stp>
        <stp>14/12/2015</stp>
        <stp>[Bbg_Market_Data_CL.xlsm]data!R330C10</stp>
        <tr r="J330" s="1"/>
      </tp>
      <tp t="s">
        <v>#N/A Requesting Data...</v>
        <stp/>
        <stp>##V3_BDHV12</stp>
        <stp>CL2 Comdty</stp>
        <stp>MOV_AVG_5D</stp>
        <stp>24/12/2015</stp>
        <stp>24/12/2015</stp>
        <stp>[Bbg_Market_Data_CL.xlsm]data!R322C10</stp>
        <tr r="J322" s="1"/>
      </tp>
      <tp t="s">
        <v>#N/A Requesting Data...</v>
        <stp/>
        <stp>##V3_BDHV12</stp>
        <stp>CL1 Comdty</stp>
        <stp>MOV_AVG_5D</stp>
        <stp>23/06/2015</stp>
        <stp>23/06/2015</stp>
        <stp>[Bbg_Market_Data_CL.xlsm]data!R449C10</stp>
        <tr r="J449" s="1"/>
      </tp>
      <tp t="s">
        <v>#N/A Requesting Data...</v>
        <stp/>
        <stp>##V3_BDHV12</stp>
        <stp>CL1 Comdty</stp>
        <stp>MOV_AVG_5D</stp>
        <stp>24/11/2015</stp>
        <stp>24/11/2015</stp>
        <stp>[Bbg_Market_Data_CL.xlsm]data!R343C10</stp>
        <tr r="J343" s="1"/>
      </tp>
      <tp t="s">
        <v>#N/A Requesting Data...</v>
        <stp/>
        <stp>##V3_BDHV12</stp>
        <stp>CL1 Comdty</stp>
        <stp>MOV_AVG_5D</stp>
        <stp>16/03/2016</stp>
        <stp>16/03/2016</stp>
        <stp>[Bbg_Market_Data_CL.xlsm]data!R268C10</stp>
        <tr r="J268" s="1"/>
      </tp>
      <tp t="s">
        <v>#N/A Requesting Data...</v>
        <stp/>
        <stp>##V3_BDHV12</stp>
        <stp>CL1 Comdty</stp>
        <stp>MOV_AVG_5D</stp>
        <stp>13/05/2015</stp>
        <stp>13/05/2015</stp>
        <stp>[Bbg_Market_Data_CL.xlsm]data!R477C10</stp>
        <tr r="J477" s="1"/>
      </tp>
      <tp>
        <v>49.29</v>
        <stp/>
        <stp>##V3_BDHV12</stp>
        <stp>CL2 Comdty</stp>
        <stp>PX_HIGH</stp>
        <stp>28/03/2017</stp>
        <stp>28/03/2017</stp>
        <stp>[Bbg_Market_Data_CL.xlsm]data!R11C6</stp>
        <tr r="F11" s="1"/>
      </tp>
      <tp t="s">
        <v>#N/A Requesting Data...</v>
        <stp/>
        <stp>##V3_BDHV12</stp>
        <stp>CL1 Comdty</stp>
        <stp>PX_HIGH</stp>
        <stp>15/12/2016</stp>
        <stp>15/12/2016</stp>
        <stp>[Bbg_Market_Data_CL.xlsm]data!R80C6</stp>
        <tr r="F80" s="1"/>
      </tp>
      <tp t="s">
        <v>#N/A Requesting Data...</v>
        <stp/>
        <stp>##V3_BDHV12</stp>
        <stp>CL1 Comdty</stp>
        <stp>PX_HIGH</stp>
        <stp>14/03/2017</stp>
        <stp>14/03/2017</stp>
        <stp>[Bbg_Market_Data_CL.xlsm]data!R21C6</stp>
        <tr r="F21" s="1"/>
      </tp>
      <tp t="s">
        <v>#N/A Requesting Data...</v>
        <stp/>
        <stp>##V3_BDHV12</stp>
        <stp>CL1 Comdty</stp>
        <stp>PX_HIGH</stp>
        <stp>30/01/2017</stp>
        <stp>30/01/2017</stp>
        <stp>[Bbg_Market_Data_CL.xlsm]data!R51C6</stp>
        <tr r="F51" s="1"/>
      </tp>
      <tp>
        <v>54.61</v>
        <stp/>
        <stp>##V3_BDHV12</stp>
        <stp>CL2 Comdty</stp>
        <stp>PX_HIGH</stp>
        <stp>28/02/2017</stp>
        <stp>28/02/2017</stp>
        <stp>[Bbg_Market_Data_CL.xlsm]data!R31C6</stp>
        <tr r="F31" s="1"/>
      </tp>
      <tp>
        <v>54</v>
        <stp/>
        <stp>##V3_BDHV12</stp>
        <stp>CL2 Comdty</stp>
        <stp>PX_HIGH</stp>
        <stp>13/01/2017</stp>
        <stp>13/01/2017</stp>
        <stp>[Bbg_Market_Data_CL.xlsm]data!R61C6</stp>
        <tr r="F61" s="1"/>
      </tp>
      <tp t="s">
        <v>#N/A Requesting Data...</v>
        <stp/>
        <stp>##V3_BDHV12</stp>
        <stp>CL1 Comdty</stp>
        <stp>PX_HIGH</stp>
        <stp>01/12/2016</stp>
        <stp>01/12/2016</stp>
        <stp>[Bbg_Market_Data_CL.xlsm]data!R90C6</stp>
        <tr r="F90" s="1"/>
      </tp>
      <tp t="s">
        <v>#N/A Requesting Data...</v>
        <stp/>
        <stp>##V3_BDHV12</stp>
        <stp>CL1 Comdty</stp>
        <stp>PX_HIGH</stp>
        <stp>13/02/2017</stp>
        <stp>13/02/2017</stp>
        <stp>[Bbg_Market_Data_CL.xlsm]data!R41C6</stp>
        <tr r="F41" s="1"/>
      </tp>
      <tp>
        <v>55.02</v>
        <stp/>
        <stp>##V3_BDHV12</stp>
        <stp>CL2 Comdty</stp>
        <stp>PX_HIGH</stp>
        <stp>30/12/2016</stp>
        <stp>30/12/2016</stp>
        <stp>[Bbg_Market_Data_CL.xlsm]data!R70C6</stp>
        <tr r="F70" s="1"/>
      </tp>
      <tp t="s">
        <v>#N/A Requesting Data...</v>
        <stp/>
        <stp>##V3_BDHV12</stp>
        <stp>CL1 Comdty</stp>
        <stp>PX_HIGH</stp>
        <stp>28/02/2017</stp>
        <stp>28/02/2017</stp>
        <stp>[Bbg_Market_Data_CL.xlsm]data!R31C6</stp>
        <tr r="F31" s="1"/>
      </tp>
      <tp t="s">
        <v>#N/A Requesting Data...</v>
        <stp/>
        <stp>##V3_BDHV12</stp>
        <stp>CL1 Comdty</stp>
        <stp>PX_HIGH</stp>
        <stp>13/01/2017</stp>
        <stp>13/01/2017</stp>
        <stp>[Bbg_Market_Data_CL.xlsm]data!R61C6</stp>
        <tr r="F61" s="1"/>
      </tp>
      <tp>
        <v>52.67</v>
        <stp/>
        <stp>##V3_BDHV12</stp>
        <stp>CL2 Comdty</stp>
        <stp>PX_HIGH</stp>
        <stp>01/12/2016</stp>
        <stp>01/12/2016</stp>
        <stp>[Bbg_Market_Data_CL.xlsm]data!R90C6</stp>
        <tr r="F90" s="1"/>
      </tp>
      <tp>
        <v>54.42</v>
        <stp/>
        <stp>##V3_BDHV12</stp>
        <stp>CL2 Comdty</stp>
        <stp>PX_HIGH</stp>
        <stp>13/02/2017</stp>
        <stp>13/02/2017</stp>
        <stp>[Bbg_Market_Data_CL.xlsm]data!R41C6</stp>
        <tr r="F41" s="1"/>
      </tp>
      <tp t="s">
        <v>#N/A Requesting Data...</v>
        <stp/>
        <stp>##V3_BDHV12</stp>
        <stp>CL1 Comdty</stp>
        <stp>PX_HIGH</stp>
        <stp>30/12/2016</stp>
        <stp>30/12/2016</stp>
        <stp>[Bbg_Market_Data_CL.xlsm]data!R70C6</stp>
        <tr r="F70" s="1"/>
      </tp>
      <tp t="s">
        <v>#N/A Requesting Data...</v>
        <stp/>
        <stp>##V3_BDHV12</stp>
        <stp>CL1 Comdty</stp>
        <stp>PX_HIGH</stp>
        <stp>28/03/2017</stp>
        <stp>28/03/2017</stp>
        <stp>[Bbg_Market_Data_CL.xlsm]data!R11C6</stp>
        <tr r="F11" s="1"/>
      </tp>
      <tp>
        <v>52.55</v>
        <stp/>
        <stp>##V3_BDHV12</stp>
        <stp>CL2 Comdty</stp>
        <stp>PX_HIGH</stp>
        <stp>15/12/2016</stp>
        <stp>15/12/2016</stp>
        <stp>[Bbg_Market_Data_CL.xlsm]data!R80C6</stp>
        <tr r="F80" s="1"/>
      </tp>
      <tp>
        <v>49.36</v>
        <stp/>
        <stp>##V3_BDHV12</stp>
        <stp>CL2 Comdty</stp>
        <stp>PX_HIGH</stp>
        <stp>14/03/2017</stp>
        <stp>14/03/2017</stp>
        <stp>[Bbg_Market_Data_CL.xlsm]data!R21C6</stp>
        <tr r="F21" s="1"/>
      </tp>
      <tp>
        <v>53.99</v>
        <stp/>
        <stp>##V3_BDHV12</stp>
        <stp>CL2 Comdty</stp>
        <stp>PX_HIGH</stp>
        <stp>30/01/2017</stp>
        <stp>30/01/2017</stp>
        <stp>[Bbg_Market_Data_CL.xlsm]data!R51C6</stp>
        <tr r="F51" s="1"/>
      </tp>
      <tp t="s">
        <v>#N/A Requesting Data...</v>
        <stp/>
        <stp>##V3_BDHV12</stp>
        <stp>CL1 Comdty</stp>
        <stp>PX_OPEN</stp>
        <stp>05/01/2017</stp>
        <stp>05/01/2017</stp>
        <stp>[Bbg_Market_Data_CL.xlsm]data!R67C5</stp>
        <tr r="E67" s="1"/>
      </tp>
      <tp>
        <v>54.34</v>
        <stp/>
        <stp>##V3_BDHV12</stp>
        <stp>CL2 Comdty</stp>
        <stp>PX_OPEN</stp>
        <stp>03/02/2017</stp>
        <stp>03/02/2017</stp>
        <stp>[Bbg_Market_Data_CL.xlsm]data!R47C5</stp>
        <tr r="E47" s="1"/>
      </tp>
      <tp t="s">
        <v>#N/A Requesting Data...</v>
        <stp/>
        <stp>##V3_BDHV12</stp>
        <stp>CL1 Comdty</stp>
        <stp>PX_OPEN</stp>
        <stp>20/03/2017</stp>
        <stp>20/03/2017</stp>
        <stp>[Bbg_Market_Data_CL.xlsm]data!R17C5</stp>
        <tr r="E17" s="1"/>
      </tp>
      <tp>
        <v>49.24</v>
        <stp/>
        <stp>##V3_BDHV12</stp>
        <stp>CL2 Comdty</stp>
        <stp>PX_OPEN</stp>
        <stp>22/11/2016</stp>
        <stp>22/11/2016</stp>
        <stp>[Bbg_Market_Data_CL.xlsm]data!R96C5</stp>
        <tr r="E96" s="1"/>
      </tp>
      <tp t="s">
        <v>#N/A Requesting Data...</v>
        <stp/>
        <stp>##V3_BDHV12</stp>
        <stp>CL1 Comdty</stp>
        <stp>PX_OPEN</stp>
        <stp>21/12/2016</stp>
        <stp>21/12/2016</stp>
        <stp>[Bbg_Market_Data_CL.xlsm]data!R76C5</stp>
        <tr r="E76" s="1"/>
      </tp>
      <tp>
        <v>53.65</v>
        <stp/>
        <stp>##V3_BDHV12</stp>
        <stp>CL2 Comdty</stp>
        <stp>PX_OPEN</stp>
        <stp>06/03/2017</stp>
        <stp>06/03/2017</stp>
        <stp>[Bbg_Market_Data_CL.xlsm]data!R27C5</stp>
        <tr r="E27" s="1"/>
      </tp>
      <tp>
        <v>51.98</v>
        <stp/>
        <stp>##V3_BDHV12</stp>
        <stp>CL2 Comdty</stp>
        <stp>PX_OPEN</stp>
        <stp>07/12/2016</stp>
        <stp>07/12/2016</stp>
        <stp>[Bbg_Market_Data_CL.xlsm]data!R86C5</stp>
        <tr r="E86" s="1"/>
      </tp>
      <tp>
        <v>53.87</v>
        <stp/>
        <stp>##V3_BDHV12</stp>
        <stp>CL2 Comdty</stp>
        <stp>PX_OPEN</stp>
        <stp>17/02/2017</stp>
        <stp>17/02/2017</stp>
        <stp>[Bbg_Market_Data_CL.xlsm]data!R37C5</stp>
        <tr r="E37" s="1"/>
      </tp>
      <tp>
        <v>52.2</v>
        <stp/>
        <stp>##V3_BDHV12</stp>
        <stp>CL2 Comdty</stp>
        <stp>PX_OPEN</stp>
        <stp>20/01/2017</stp>
        <stp>20/01/2017</stp>
        <stp>[Bbg_Market_Data_CL.xlsm]data!R57C5</stp>
        <tr r="E57" s="1"/>
      </tp>
      <tp t="s">
        <v>#N/A Requesting Data...</v>
        <stp/>
        <stp>##V3_BDHV12</stp>
        <stp>CL1 Comdty</stp>
        <stp>PX_OPEN</stp>
        <stp>06/03/2017</stp>
        <stp>06/03/2017</stp>
        <stp>[Bbg_Market_Data_CL.xlsm]data!R27C5</stp>
        <tr r="E27" s="1"/>
      </tp>
      <tp t="s">
        <v>#N/A Requesting Data...</v>
        <stp/>
        <stp>##V3_BDHV12</stp>
        <stp>CL1 Comdty</stp>
        <stp>PX_OPEN</stp>
        <stp>07/12/2016</stp>
        <stp>07/12/2016</stp>
        <stp>[Bbg_Market_Data_CL.xlsm]data!R86C5</stp>
        <tr r="E86" s="1"/>
      </tp>
      <tp t="s">
        <v>#N/A Requesting Data...</v>
        <stp/>
        <stp>##V3_BDHV12</stp>
        <stp>CL1 Comdty</stp>
        <stp>PX_OPEN</stp>
        <stp>17/02/2017</stp>
        <stp>17/02/2017</stp>
        <stp>[Bbg_Market_Data_CL.xlsm]data!R37C5</stp>
        <tr r="E37" s="1"/>
      </tp>
      <tp t="s">
        <v>#N/A Requesting Data...</v>
        <stp/>
        <stp>##V3_BDHV12</stp>
        <stp>CL1 Comdty</stp>
        <stp>PX_OPEN</stp>
        <stp>20/01/2017</stp>
        <stp>20/01/2017</stp>
        <stp>[Bbg_Market_Data_CL.xlsm]data!R57C5</stp>
        <tr r="E57" s="1"/>
      </tp>
      <tp>
        <v>54.31</v>
        <stp/>
        <stp>##V3_BDHV12</stp>
        <stp>CL2 Comdty</stp>
        <stp>PX_OPEN</stp>
        <stp>05/01/2017</stp>
        <stp>05/01/2017</stp>
        <stp>[Bbg_Market_Data_CL.xlsm]data!R67C5</stp>
        <tr r="E67" s="1"/>
      </tp>
      <tp t="s">
        <v>#N/A Requesting Data...</v>
        <stp/>
        <stp>##V3_BDHV12</stp>
        <stp>CL1 Comdty</stp>
        <stp>PX_OPEN</stp>
        <stp>03/02/2017</stp>
        <stp>03/02/2017</stp>
        <stp>[Bbg_Market_Data_CL.xlsm]data!R47C5</stp>
        <tr r="E47" s="1"/>
      </tp>
      <tp>
        <v>49.25</v>
        <stp/>
        <stp>##V3_BDHV12</stp>
        <stp>CL2 Comdty</stp>
        <stp>PX_OPEN</stp>
        <stp>20/03/2017</stp>
        <stp>20/03/2017</stp>
        <stp>[Bbg_Market_Data_CL.xlsm]data!R17C5</stp>
        <tr r="E17" s="1"/>
      </tp>
      <tp t="s">
        <v>#N/A Requesting Data...</v>
        <stp/>
        <stp>##V3_BDHV12</stp>
        <stp>CL1 Comdty</stp>
        <stp>PX_OPEN</stp>
        <stp>22/11/2016</stp>
        <stp>22/11/2016</stp>
        <stp>[Bbg_Market_Data_CL.xlsm]data!R96C5</stp>
        <tr r="E96" s="1"/>
      </tp>
      <tp>
        <v>54.34</v>
        <stp/>
        <stp>##V3_BDHV12</stp>
        <stp>CL2 Comdty</stp>
        <stp>PX_OPEN</stp>
        <stp>21/12/2016</stp>
        <stp>21/12/2016</stp>
        <stp>[Bbg_Market_Data_CL.xlsm]data!R76C5</stp>
        <tr r="E76" s="1"/>
      </tp>
      <tp t="s">
        <v>#N/A Requesting Data...</v>
        <stp/>
        <stp>##V3_BDHV12</stp>
        <stp>CL1 Comdty</stp>
        <stp>MOV_AVG_5D</stp>
        <stp>21/06/2016</stp>
        <stp>21/06/2016</stp>
        <stp>[Bbg_Market_Data_CL.xlsm]data!R201C10</stp>
        <tr r="J201" s="1"/>
      </tp>
      <tp t="s">
        <v>#N/A Requesting Data...</v>
        <stp/>
        <stp>##V3_BDHV12</stp>
        <stp>CL1 Comdty</stp>
        <stp>MOV_AVG_5D</stp>
        <stp>11/05/2016</stp>
        <stp>11/05/2016</stp>
        <stp>[Bbg_Market_Data_CL.xlsm]data!R229C10</stp>
        <tr r="J229" s="1"/>
      </tp>
      <tp t="s">
        <v>#N/A Requesting Data...</v>
        <stp/>
        <stp>##V3_BDHV12</stp>
        <stp>CL1 Comdty</stp>
        <stp>MOV_AVG_5D</stp>
        <stp>01/04/2016</stp>
        <stp>01/04/2016</stp>
        <stp>[Bbg_Market_Data_CL.xlsm]data!R257C10</stp>
        <tr r="J257" s="1"/>
      </tp>
      <tp t="s">
        <v>#N/A Requesting Data...</v>
        <stp/>
        <stp>##V3_BDHV12</stp>
        <stp>CL2 Comdty</stp>
        <stp>MOV_AVG_5D</stp>
        <stp>20/04/2016</stp>
        <stp>20/04/2016</stp>
        <stp>[Bbg_Market_Data_CL.xlsm]data!R244C10</stp>
        <tr r="J244" s="1"/>
      </tp>
      <tp t="s">
        <v>#N/A Requesting Data...</v>
        <stp/>
        <stp>##V3_BDHV12</stp>
        <stp>CL1 Comdty</stp>
        <stp>MOV_AVG_5D</stp>
        <stp>13/07/2016</stp>
        <stp>13/07/2016</stp>
        <stp>[Bbg_Market_Data_CL.xlsm]data!R186C10</stp>
        <tr r="J186" s="1"/>
      </tp>
      <tp t="s">
        <v>#N/A Requesting Data...</v>
        <stp/>
        <stp>##V3_BDHV12</stp>
        <stp>CL1 Comdty</stp>
        <stp>MOV_AVG_5D</stp>
        <stp>03/06/2016</stp>
        <stp>03/06/2016</stp>
        <stp>[Bbg_Market_Data_CL.xlsm]data!R213C10</stp>
        <tr r="J213" s="1"/>
      </tp>
      <tp t="s">
        <v>#N/A Requesting Data...</v>
        <stp/>
        <stp>##V3_BDHV12</stp>
        <stp>CL2 Comdty</stp>
        <stp>MOV_AVG_5D</stp>
        <stp>03/05/2016</stp>
        <stp>03/05/2016</stp>
        <stp>[Bbg_Market_Data_CL.xlsm]data!R235C10</stp>
        <tr r="J235" s="1"/>
      </tp>
      <tp t="s">
        <v>#N/A Requesting Data...</v>
        <stp/>
        <stp>##V3_BDHV12</stp>
        <stp>CL2 Comdty</stp>
        <stp>MOV_AVG_5D</stp>
        <stp>13/04/2016</stp>
        <stp>13/04/2016</stp>
        <stp>[Bbg_Market_Data_CL.xlsm]data!R249C10</stp>
        <tr r="J249" s="1"/>
      </tp>
      <tp t="s">
        <v>#N/A Requesting Data...</v>
        <stp/>
        <stp>##V3_BDHV12</stp>
        <stp>CL1 Comdty</stp>
        <stp>MOV_AVG_5D</stp>
        <stp>20/07/2016</stp>
        <stp>20/07/2016</stp>
        <stp>[Bbg_Market_Data_CL.xlsm]data!R181C10</stp>
        <tr r="J181" s="1"/>
      </tp>
      <tp t="s">
        <v>#N/A Requesting Data...</v>
        <stp/>
        <stp>##V3_BDHV12</stp>
        <stp>CL1 Comdty</stp>
        <stp>MOV_AVG_5D</stp>
        <stp>30/06/2016</stp>
        <stp>30/06/2016</stp>
        <stp>[Bbg_Market_Data_CL.xlsm]data!R194C10</stp>
        <tr r="J194" s="1"/>
      </tp>
      <tp t="s">
        <v>#N/A Requesting Data...</v>
        <stp/>
        <stp>##V3_BDHV12</stp>
        <stp>CL2 Comdty</stp>
        <stp>MOV_AVG_5D</stp>
        <stp>22/06/2016</stp>
        <stp>22/06/2016</stp>
        <stp>[Bbg_Market_Data_CL.xlsm]data!R200C10</stp>
        <tr r="J200" s="1"/>
      </tp>
      <tp t="s">
        <v>#N/A Requesting Data...</v>
        <stp/>
        <stp>##V3_BDHV12</stp>
        <stp>CL2 Comdty</stp>
        <stp>MOV_AVG_5D</stp>
        <stp>12/05/2016</stp>
        <stp>12/05/2016</stp>
        <stp>[Bbg_Market_Data_CL.xlsm]data!R228C10</stp>
        <tr r="J228" s="1"/>
      </tp>
      <tp t="s">
        <v>#N/A Requesting Data...</v>
        <stp/>
        <stp>##V3_BDHV12</stp>
        <stp>CL2 Comdty</stp>
        <stp>MOV_AVG_5D</stp>
        <stp>01/07/2016</stp>
        <stp>01/07/2016</stp>
        <stp>[Bbg_Market_Data_CL.xlsm]data!R193C10</stp>
        <tr r="J193" s="1"/>
      </tp>
      <tp t="s">
        <v>#N/A Requesting Data...</v>
        <stp/>
        <stp>##V3_BDHV12</stp>
        <stp>CL1 Comdty</stp>
        <stp>MOV_AVG_5D</stp>
        <stp>04/01/2016</stp>
        <stp>04/01/2016</stp>
        <stp>[Bbg_Market_Data_CL.xlsm]data!R317C10</stp>
        <tr r="J317" s="1"/>
      </tp>
      <tp t="s">
        <v>#N/A Requesting Data...</v>
        <stp/>
        <stp>##V3_BDHV12</stp>
        <stp>CL2 Comdty</stp>
        <stp>MOV_AVG_5D</stp>
        <stp>16/11/2016</stp>
        <stp>16/11/2016</stp>
        <stp>[Bbg_Market_Data_CL.xlsm]data!R100C10</stp>
        <tr r="J100" s="1"/>
      </tp>
      <tp t="s">
        <v>#N/A Requesting Data...</v>
        <stp/>
        <stp>##V3_BDHV12</stp>
        <stp>CL2 Comdty</stp>
        <stp>MOV_AVG_5D</stp>
        <stp>07/12/2015</stp>
        <stp>07/12/2015</stp>
        <stp>[Bbg_Market_Data_CL.xlsm]data!R335C10</stp>
        <tr r="J335" s="1"/>
      </tp>
      <tp t="s">
        <v>#N/A Requesting Data...</v>
        <stp/>
        <stp>##V3_BDHV12</stp>
        <stp>CL2 Comdty</stp>
        <stp>MOV_AVG_5D</stp>
        <stp>20/07/2015</stp>
        <stp>20/07/2015</stp>
        <stp>[Bbg_Market_Data_CL.xlsm]data!R431C10</stp>
        <tr r="J431" s="1"/>
      </tp>
      <tp t="s">
        <v>#N/A Requesting Data...</v>
        <stp/>
        <stp>##V3_BDHV12</stp>
        <stp>CL2 Comdty</stp>
        <stp>MOV_AVG_5D</stp>
        <stp>06/10/2016</stp>
        <stp>06/10/2016</stp>
        <stp>[Bbg_Market_Data_CL.xlsm]data!R127C10</stp>
        <tr r="J127" s="1"/>
      </tp>
      <tp t="s">
        <v>#N/A Requesting Data...</v>
        <stp/>
        <stp>##V3_BDHV12</stp>
        <stp>CL1 Comdty</stp>
        <stp>MOV_AVG_5D</stp>
        <stp>10/07/2015</stp>
        <stp>10/07/2015</stp>
        <stp>[Bbg_Market_Data_CL.xlsm]data!R437C10</stp>
        <tr r="J437" s="1"/>
      </tp>
      <tp t="s">
        <v>#N/A Requesting Data...</v>
        <stp/>
        <stp>##V3_BDHV12</stp>
        <stp>CL2 Comdty</stp>
        <stp>MOV_AVG_5D</stp>
        <stp>30/06/2015</stp>
        <stp>30/06/2015</stp>
        <stp>[Bbg_Market_Data_CL.xlsm]data!R444C10</stp>
        <tr r="J444" s="1"/>
      </tp>
      <tp t="s">
        <v>#N/A Requesting Data...</v>
        <stp/>
        <stp>##V3_BDHV12</stp>
        <stp>CL2 Comdty</stp>
        <stp>MOV_AVG_5D</stp>
        <stp>27/10/2015</stp>
        <stp>27/10/2015</stp>
        <stp>[Bbg_Market_Data_CL.xlsm]data!R362C10</stp>
        <tr r="J362" s="1"/>
      </tp>
      <tp t="s">
        <v>#N/A Requesting Data...</v>
        <stp/>
        <stp>##V3_BDHV12</stp>
        <stp>CL1 Comdty</stp>
        <stp>MOV_AVG_5D</stp>
        <stp>25/02/2016</stp>
        <stp>25/02/2016</stp>
        <stp>[Bbg_Market_Data_CL.xlsm]data!R282C10</stp>
        <tr r="J282" s="1"/>
      </tp>
      <tp t="s">
        <v>#N/A Requesting Data...</v>
        <stp/>
        <stp>##V3_BDHV12</stp>
        <stp>CL1 Comdty</stp>
        <stp>MOV_AVG_5D</stp>
        <stp>20/04/2015</stp>
        <stp>20/04/2015</stp>
        <stp>[Bbg_Market_Data_CL.xlsm]data!R494C10</stp>
        <tr r="J494" s="1"/>
      </tp>
      <tp t="s">
        <v>#N/A Requesting Data...</v>
        <stp/>
        <stp>##V3_BDHV12</stp>
        <stp>CL1 Comdty</stp>
        <stp>MOV_AVG_5D</stp>
        <stp>15/01/2016</stp>
        <stp>15/01/2016</stp>
        <stp>[Bbg_Market_Data_CL.xlsm]data!R308C10</stp>
        <tr r="J308" s="1"/>
      </tp>
      <tp t="s">
        <v>#N/A Requesting Data...</v>
        <stp/>
        <stp>##V3_BDHV12</stp>
        <stp>CL2 Comdty</stp>
        <stp>MOV_AVG_5D</stp>
        <stp>10/04/2015</stp>
        <stp>10/04/2015</stp>
        <stp>[Bbg_Market_Data_CL.xlsm]data!R500C10</stp>
        <tr r="J500" s="1"/>
      </tp>
      <tp t="s">
        <v>#N/A Requesting Data...</v>
        <stp/>
        <stp>##V3_BDHV12</stp>
        <stp>CL1 Comdty</stp>
        <stp>MOV_AVG_5D</stp>
        <stp>27/10/2016</stp>
        <stp>27/10/2016</stp>
        <stp>[Bbg_Market_Data_CL.xlsm]data!R113C10</stp>
        <tr r="J113" s="1"/>
      </tp>
      <tp t="s">
        <v>#N/A Requesting Data...</v>
        <stp/>
        <stp>##V3_BDHV12</stp>
        <stp>CL2 Comdty</stp>
        <stp>MOV_AVG_5D</stp>
        <stp>25/01/2016</stp>
        <stp>25/01/2016</stp>
        <stp>[Bbg_Market_Data_CL.xlsm]data!R303C10</stp>
        <tr r="J303" s="1"/>
      </tp>
      <tp t="s">
        <v>#N/A Requesting Data...</v>
        <stp/>
        <stp>##V3_BDHV12</stp>
        <stp>CL2 Comdty</stp>
        <stp>MOV_AVG_5D</stp>
        <stp>07/11/2016</stp>
        <stp>07/11/2016</stp>
        <stp>[Bbg_Market_Data_CL.xlsm]data!R106C10</stp>
        <tr r="J106" s="1"/>
      </tp>
      <tp t="s">
        <v>#N/A Requesting Data...</v>
        <stp/>
        <stp>##V3_BDHV12</stp>
        <stp>CL2 Comdty</stp>
        <stp>MOV_AVG_5D</stp>
        <stp>31/07/2015</stp>
        <stp>31/07/2015</stp>
        <stp>[Bbg_Market_Data_CL.xlsm]data!R422C10</stp>
        <tr r="J422" s="1"/>
      </tp>
      <tp t="s">
        <v>#N/A Requesting Data...</v>
        <stp/>
        <stp>##V3_BDHV12</stp>
        <stp>CL2 Comdty</stp>
        <stp>MOV_AVG_5D</stp>
        <stp>16/12/2015</stp>
        <stp>16/12/2015</stp>
        <stp>[Bbg_Market_Data_CL.xlsm]data!R328C10</stp>
        <tr r="J328" s="1"/>
      </tp>
      <tp t="s">
        <v>#N/A Requesting Data...</v>
        <stp/>
        <stp>##V3_BDHV12</stp>
        <stp>CL2 Comdty</stp>
        <stp>MOV_AVG_5D</stp>
        <stp>17/10/2016</stp>
        <stp>17/10/2016</stp>
        <stp>[Bbg_Market_Data_CL.xlsm]data!R121C10</stp>
        <tr r="J121" s="1"/>
      </tp>
      <tp t="s">
        <v>#N/A Requesting Data...</v>
        <stp/>
        <stp>##V3_BDHV12</stp>
        <stp>CL1 Comdty</stp>
        <stp>MOV_AVG_5D</stp>
        <stp>01/07/2015</stp>
        <stp>01/07/2015</stp>
        <stp>[Bbg_Market_Data_CL.xlsm]data!R443C10</stp>
        <tr r="J443" s="1"/>
      </tp>
      <tp t="s">
        <v>#N/A Requesting Data...</v>
        <stp/>
        <stp>##V3_BDHV12</stp>
        <stp>CL1 Comdty</stp>
        <stp>MOV_AVG_5D</stp>
        <stp>16/11/2015</stp>
        <stp>16/11/2015</stp>
        <stp>[Bbg_Market_Data_CL.xlsm]data!R349C10</stp>
        <tr r="J349" s="1"/>
      </tp>
      <tp t="s">
        <v>#N/A Requesting Data...</v>
        <stp/>
        <stp>##V3_BDHV12</stp>
        <stp>CL1 Comdty</stp>
        <stp>MOV_AVG_5D</stp>
        <stp>11/06/2015</stp>
        <stp>11/06/2015</stp>
        <stp>[Bbg_Market_Data_CL.xlsm]data!R457C10</stp>
        <tr r="J457" s="1"/>
      </tp>
      <tp t="s">
        <v>#N/A Requesting Data...</v>
        <stp/>
        <stp>##V3_BDHV12</stp>
        <stp>CL1 Comdty</stp>
        <stp>MOV_AVG_5D</stp>
        <stp>06/10/2015</stp>
        <stp>06/10/2015</stp>
        <stp>[Bbg_Market_Data_CL.xlsm]data!R376C10</stp>
        <tr r="J376" s="1"/>
      </tp>
      <tp t="s">
        <v>#N/A Requesting Data...</v>
        <stp/>
        <stp>##V3_BDHV12</stp>
        <stp>CL1 Comdty</stp>
        <stp>MOV_AVG_5D</stp>
        <stp>24/03/2016</stp>
        <stp>24/03/2016</stp>
        <stp>[Bbg_Market_Data_CL.xlsm]data!R262C10</stp>
        <tr r="J262" s="1"/>
      </tp>
      <tp t="s">
        <v>#N/A Requesting Data...</v>
        <stp/>
        <stp>##V3_BDHV12</stp>
        <stp>CL2 Comdty</stp>
        <stp>MOV_AVG_5D</stp>
        <stp>11/05/2015</stp>
        <stp>11/05/2015</stp>
        <stp>[Bbg_Market_Data_CL.xlsm]data!R479C10</stp>
        <tr r="J479" s="1"/>
      </tp>
      <tp t="s">
        <v>#N/A Requesting Data...</v>
        <stp/>
        <stp>##V3_BDHV12</stp>
        <stp>CL1 Comdty</stp>
        <stp>MOV_AVG_5D</stp>
        <stp>21/05/2015</stp>
        <stp>21/05/2015</stp>
        <stp>[Bbg_Market_Data_CL.xlsm]data!R471C10</stp>
        <tr r="J471" s="1"/>
      </tp>
      <tp t="s">
        <v>#N/A Requesting Data...</v>
        <stp/>
        <stp>##V3_BDHV12</stp>
        <stp>CL2 Comdty</stp>
        <stp>MOV_AVG_5D</stp>
        <stp>14/03/2016</stp>
        <stp>14/03/2016</stp>
        <stp>[Bbg_Market_Data_CL.xlsm]data!R270C10</stp>
        <tr r="J270" s="1"/>
      </tp>
      <tp t="s">
        <v>#N/A Requesting Data...</v>
        <stp/>
        <stp>##V3_BDHV12</stp>
        <stp>CL2 Comdty</stp>
        <stp>MOV_AVG_5D</stp>
        <stp>04/02/2016</stp>
        <stp>04/02/2016</stp>
        <stp>[Bbg_Market_Data_CL.xlsm]data!R295C10</stp>
        <tr r="J295" s="1"/>
      </tp>
      <tp t="s">
        <v>#N/A Requesting Data...</v>
        <stp/>
        <stp>##V3_BDHV12</stp>
        <stp>CL2 Comdty</stp>
        <stp>MOV_AVG_5D</stp>
        <stp>24/10/2016</stp>
        <stp>24/10/2016</stp>
        <stp>[Bbg_Market_Data_CL.xlsm]data!R116C10</stp>
        <tr r="J116" s="1"/>
      </tp>
      <tp t="s">
        <v>#N/A Requesting Data...</v>
        <stp/>
        <stp>##V3_BDHV12</stp>
        <stp>CL1 Comdty</stp>
        <stp>MOV_AVG_5D</stp>
        <stp>26/01/2016</stp>
        <stp>26/01/2016</stp>
        <stp>[Bbg_Market_Data_CL.xlsm]data!R302C10</stp>
        <tr r="J302" s="1"/>
      </tp>
      <tp t="s">
        <v>#N/A Requesting Data...</v>
        <stp/>
        <stp>##V3_BDHV12</stp>
        <stp>CL1 Comdty</stp>
        <stp>MOV_AVG_5D</stp>
        <stp>04/11/2016</stp>
        <stp>04/11/2016</stp>
        <stp>[Bbg_Market_Data_CL.xlsm]data!R107C10</stp>
        <tr r="J107" s="1"/>
      </tp>
      <tp t="s">
        <v>#N/A Requesting Data...</v>
        <stp/>
        <stp>##V3_BDHV12</stp>
        <stp>CL1 Comdty</stp>
        <stp>MOV_AVG_5D</stp>
        <stp>15/12/2015</stp>
        <stp>15/12/2015</stp>
        <stp>[Bbg_Market_Data_CL.xlsm]data!R329C10</stp>
        <tr r="J329" s="1"/>
      </tp>
      <tp t="s">
        <v>#N/A Requesting Data...</v>
        <stp/>
        <stp>##V3_BDHV12</stp>
        <stp>CL1 Comdty</stp>
        <stp>MOV_AVG_5D</stp>
        <stp>14/10/2016</stp>
        <stp>14/10/2016</stp>
        <stp>[Bbg_Market_Data_CL.xlsm]data!R122C10</stp>
        <tr r="J122" s="1"/>
      </tp>
      <tp t="s">
        <v>#N/A Requesting Data...</v>
        <stp/>
        <stp>##V3_BDHV12</stp>
        <stp>CL2 Comdty</stp>
        <stp>MOV_AVG_5D</stp>
        <stp>02/07/2015</stp>
        <stp>02/07/2015</stp>
        <stp>[Bbg_Market_Data_CL.xlsm]data!R442C10</stp>
        <tr r="J442" s="1"/>
      </tp>
      <tp t="s">
        <v>#N/A Requesting Data...</v>
        <stp/>
        <stp>##V3_BDHV12</stp>
        <stp>CL1 Comdty</stp>
        <stp>MOV_AVG_5D</stp>
        <stp>22/06/2015</stp>
        <stp>22/06/2015</stp>
        <stp>[Bbg_Market_Data_CL.xlsm]data!R450C10</stp>
        <tr r="J450" s="1"/>
      </tp>
      <tp t="s">
        <v>#N/A Requesting Data...</v>
        <stp/>
        <stp>##V3_BDHV12</stp>
        <stp>CL2 Comdty</stp>
        <stp>MOV_AVG_5D</stp>
        <stp>12/06/2015</stp>
        <stp>12/06/2015</stp>
        <stp>[Bbg_Market_Data_CL.xlsm]data!R456C10</stp>
        <tr r="J456" s="1"/>
      </tp>
      <tp t="s">
        <v>#N/A Requesting Data...</v>
        <stp/>
        <stp>##V3_BDHV12</stp>
        <stp>CL1 Comdty</stp>
        <stp>MOV_AVG_5D</stp>
        <stp>25/11/2015</stp>
        <stp>25/11/2015</stp>
        <stp>[Bbg_Market_Data_CL.xlsm]data!R342C10</stp>
        <tr r="J342" s="1"/>
      </tp>
      <tp t="s">
        <v>#N/A Requesting Data...</v>
        <stp/>
        <stp>##V3_BDHV12</stp>
        <stp>CL1 Comdty</stp>
        <stp>MOV_AVG_5D</stp>
        <stp>17/03/2016</stp>
        <stp>17/03/2016</stp>
        <stp>[Bbg_Market_Data_CL.xlsm]data!R267C10</stp>
        <tr r="J267" s="1"/>
      </tp>
      <tp t="s">
        <v>#N/A Requesting Data...</v>
        <stp/>
        <stp>##V3_BDHV12</stp>
        <stp>CL2 Comdty</stp>
        <stp>MOV_AVG_5D</stp>
        <stp>05/10/2015</stp>
        <stp>05/10/2015</stp>
        <stp>[Bbg_Market_Data_CL.xlsm]data!R377C10</stp>
        <tr r="J377" s="1"/>
      </tp>
      <tp t="s">
        <v>#N/A Requesting Data...</v>
        <stp/>
        <stp>##V3_BDHV12</stp>
        <stp>CL1 Comdty</stp>
        <stp>MOV_AVG_5D</stp>
        <stp>12/05/2015</stp>
        <stp>12/05/2015</stp>
        <stp>[Bbg_Market_Data_CL.xlsm]data!R478C10</stp>
        <tr r="J478" s="1"/>
      </tp>
      <tp t="s">
        <v>#N/A Requesting Data...</v>
        <stp/>
        <stp>##V3_BDHV12</stp>
        <stp>CL2 Comdty</stp>
        <stp>MOV_AVG_5D</stp>
        <stp>22/05/2015</stp>
        <stp>22/05/2015</stp>
        <stp>[Bbg_Market_Data_CL.xlsm]data!R470C10</stp>
        <tr r="J470" s="1"/>
      </tp>
      <tp t="s">
        <v>#N/A Requesting Data...</v>
        <stp/>
        <stp>##V3_BDHV12</stp>
        <stp>CL2 Comdty</stp>
        <stp>MOV_AVG_5D</stp>
        <stp>07/01/2016</stp>
        <stp>07/01/2016</stp>
        <stp>[Bbg_Market_Data_CL.xlsm]data!R314C10</stp>
        <tr r="J314" s="1"/>
      </tp>
      <tp t="s">
        <v>#N/A Requesting Data...</v>
        <stp/>
        <stp>##V3_BDHV12</stp>
        <stp>CL1 Comdty</stp>
        <stp>MOV_AVG_5D</stp>
        <stp>15/11/2016</stp>
        <stp>15/11/2016</stp>
        <stp>[Bbg_Market_Data_CL.xlsm]data!R101C10</stp>
        <tr r="J101" s="1"/>
      </tp>
      <tp t="s">
        <v>#N/A Requesting Data...</v>
        <stp/>
        <stp>##V3_BDHV12</stp>
        <stp>CL1 Comdty</stp>
        <stp>MOV_AVG_5D</stp>
        <stp>23/07/2015</stp>
        <stp>23/07/2015</stp>
        <stp>[Bbg_Market_Data_CL.xlsm]data!R428C10</stp>
        <tr r="J428" s="1"/>
      </tp>
      <tp t="s">
        <v>#N/A Requesting Data...</v>
        <stp/>
        <stp>##V3_BDHV12</stp>
        <stp>CL1 Comdty</stp>
        <stp>MOV_AVG_5D</stp>
        <stp>04/12/2015</stp>
        <stp>04/12/2015</stp>
        <stp>[Bbg_Market_Data_CL.xlsm]data!R336C10</stp>
        <tr r="J336" s="1"/>
      </tp>
      <tp t="s">
        <v>#N/A Requesting Data...</v>
        <stp/>
        <stp>##V3_BDHV12</stp>
        <stp>CL1 Comdty</stp>
        <stp>MOV_AVG_5D</stp>
        <stp>05/10/2016</stp>
        <stp>05/10/2016</stp>
        <stp>[Bbg_Market_Data_CL.xlsm]data!R128C10</stp>
        <tr r="J128" s="1"/>
      </tp>
      <tp t="s">
        <v>#N/A Requesting Data...</v>
        <stp/>
        <stp>##V3_BDHV12</stp>
        <stp>CL2 Comdty</stp>
        <stp>MOV_AVG_5D</stp>
        <stp>13/07/2015</stp>
        <stp>13/07/2015</stp>
        <stp>[Bbg_Market_Data_CL.xlsm]data!R436C10</stp>
        <tr r="J436" s="1"/>
      </tp>
      <tp t="s">
        <v>#N/A Requesting Data...</v>
        <stp/>
        <stp>##V3_BDHV12</stp>
        <stp>CL2 Comdty</stp>
        <stp>MOV_AVG_5D</stp>
        <stp>04/11/2015</stp>
        <stp>04/11/2015</stp>
        <stp>[Bbg_Market_Data_CL.xlsm]data!R356C10</stp>
        <tr r="J356" s="1"/>
      </tp>
      <tp t="s">
        <v>#N/A Requesting Data...</v>
        <stp/>
        <stp>##V3_BDHV12</stp>
        <stp>CL2 Comdty</stp>
        <stp>MOV_AVG_5D</stp>
        <stp>03/06/2015</stp>
        <stp>03/06/2015</stp>
        <stp>[Bbg_Market_Data_CL.xlsm]data!R463C10</stp>
        <tr r="J463" s="1"/>
      </tp>
      <tp t="s">
        <v>#N/A Requesting Data...</v>
        <stp/>
        <stp>##V3_BDHV12</stp>
        <stp>CL2 Comdty</stp>
        <stp>MOV_AVG_5D</stp>
        <stp>14/10/2015</stp>
        <stp>14/10/2015</stp>
        <stp>[Bbg_Market_Data_CL.xlsm]data!R371C10</stp>
        <tr r="J371" s="1"/>
      </tp>
      <tp t="s">
        <v>#N/A Requesting Data...</v>
        <stp/>
        <stp>##V3_BDHV12</stp>
        <stp>CL2 Comdty</stp>
        <stp>MOV_AVG_5D</stp>
        <stp>26/02/2016</stp>
        <stp>26/02/2016</stp>
        <stp>[Bbg_Market_Data_CL.xlsm]data!R281C10</stp>
        <tr r="J281" s="1"/>
      </tp>
      <tp t="s">
        <v>#N/A Requesting Data...</v>
        <stp/>
        <stp>##V3_BDHV12</stp>
        <stp>CL1 Comdty</stp>
        <stp>MOV_AVG_5D</stp>
        <stp>13/04/2015</stp>
        <stp>13/04/2015</stp>
        <stp>[Bbg_Market_Data_CL.xlsm]data!R499C10</stp>
        <tr r="J499" s="1"/>
      </tp>
      <tp t="s">
        <v>#N/A Requesting Data...</v>
        <stp/>
        <stp>##V3_BDHV12</stp>
        <stp>CL2 Comdty</stp>
        <stp>MOV_AVG_5D</stp>
        <stp>23/04/2015</stp>
        <stp>23/04/2015</stp>
        <stp>[Bbg_Market_Data_CL.xlsm]data!R491C10</stp>
        <tr r="J491" s="1"/>
      </tp>
      <tp>
        <v>49.29</v>
        <stp/>
        <stp>##V3_BDHV12</stp>
        <stp>CL2 Comdty</stp>
        <stp>PX_OPEN</stp>
        <stp>17/03/2017</stp>
        <stp>17/03/2017</stp>
        <stp>[Bbg_Market_Data_CL.xlsm]data!R18C5</stp>
        <tr r="E18" s="1"/>
      </tp>
      <tp t="s">
        <v>#N/A Requesting Data...</v>
        <stp/>
        <stp>##V3_BDHV12</stp>
        <stp>CL1 Comdty</stp>
        <stp>PX_OPEN</stp>
        <stp>04/01/2017</stp>
        <stp>04/01/2017</stp>
        <stp>[Bbg_Market_Data_CL.xlsm]data!R68C5</stp>
        <tr r="E68" s="1"/>
      </tp>
      <tp>
        <v>52.19</v>
        <stp/>
        <stp>##V3_BDHV12</stp>
        <stp>CL2 Comdty</stp>
        <stp>PX_OPEN</stp>
        <stp>16/12/2016</stp>
        <stp>16/12/2016</stp>
        <stp>[Bbg_Market_Data_CL.xlsm]data!R79C5</stp>
        <tr r="E79" s="1"/>
      </tp>
      <tp t="s">
        <v>#N/A Requesting Data...</v>
        <stp/>
        <stp>##V3_BDHV12</stp>
        <stp>CL1 Comdty</stp>
        <stp>PX_OPEN</stp>
        <stp>17/11/2016</stp>
        <stp>17/11/2016</stp>
        <stp>[Bbg_Market_Data_CL.xlsm]data!R99C5</stp>
        <tr r="E99" s="1"/>
      </tp>
      <tp>
        <v>54.16</v>
        <stp/>
        <stp>##V3_BDHV12</stp>
        <stp>CL2 Comdty</stp>
        <stp>PX_OPEN</stp>
        <stp>02/02/2017</stp>
        <stp>02/02/2017</stp>
        <stp>[Bbg_Market_Data_CL.xlsm]data!R48C5</stp>
        <tr r="E48" s="1"/>
      </tp>
      <tp>
        <v>53.54</v>
        <stp/>
        <stp>##V3_BDHV12</stp>
        <stp>CL2 Comdty</stp>
        <stp>PX_OPEN</stp>
        <stp>16/02/2017</stp>
        <stp>16/02/2017</stp>
        <stp>[Bbg_Market_Data_CL.xlsm]data!R38C5</stp>
        <tr r="E38" s="1"/>
      </tp>
      <tp>
        <v>52.25</v>
        <stp/>
        <stp>##V3_BDHV12</stp>
        <stp>CL2 Comdty</stp>
        <stp>PX_OPEN</stp>
        <stp>02/12/2016</stp>
        <stp>02/12/2016</stp>
        <stp>[Bbg_Market_Data_CL.xlsm]data!R89C5</stp>
        <tr r="E89" s="1"/>
      </tp>
      <tp>
        <v>53.02</v>
        <stp/>
        <stp>##V3_BDHV12</stp>
        <stp>CL2 Comdty</stp>
        <stp>PX_OPEN</stp>
        <stp>03/03/2017</stp>
        <stp>03/03/2017</stp>
        <stp>[Bbg_Market_Data_CL.xlsm]data!R28C5</stp>
        <tr r="E28" s="1"/>
      </tp>
      <tp t="s">
        <v>#N/A Requesting Data...</v>
        <stp/>
        <stp>##V3_BDHV12</stp>
        <stp>CL1 Comdty</stp>
        <stp>PX_OPEN</stp>
        <stp>19/01/2017</stp>
        <stp>19/01/2017</stp>
        <stp>[Bbg_Market_Data_CL.xlsm]data!R58C5</stp>
        <tr r="E58" s="1"/>
      </tp>
      <tp t="s">
        <v>#N/A Requesting Data...</v>
        <stp/>
        <stp>##V3_BDHV12</stp>
        <stp>CL1 Comdty</stp>
        <stp>PX_OPEN</stp>
        <stp>16/02/2017</stp>
        <stp>16/02/2017</stp>
        <stp>[Bbg_Market_Data_CL.xlsm]data!R38C5</stp>
        <tr r="E38" s="1"/>
      </tp>
      <tp t="s">
        <v>#N/A Requesting Data...</v>
        <stp/>
        <stp>##V3_BDHV12</stp>
        <stp>CL1 Comdty</stp>
        <stp>PX_OPEN</stp>
        <stp>02/12/2016</stp>
        <stp>02/12/2016</stp>
        <stp>[Bbg_Market_Data_CL.xlsm]data!R89C5</stp>
        <tr r="E89" s="1"/>
      </tp>
      <tp t="s">
        <v>#N/A Requesting Data...</v>
        <stp/>
        <stp>##V3_BDHV12</stp>
        <stp>CL1 Comdty</stp>
        <stp>PX_OPEN</stp>
        <stp>03/03/2017</stp>
        <stp>03/03/2017</stp>
        <stp>[Bbg_Market_Data_CL.xlsm]data!R28C5</stp>
        <tr r="E28" s="1"/>
      </tp>
      <tp>
        <v>52.19</v>
        <stp/>
        <stp>##V3_BDHV12</stp>
        <stp>CL2 Comdty</stp>
        <stp>PX_OPEN</stp>
        <stp>19/01/2017</stp>
        <stp>19/01/2017</stp>
        <stp>[Bbg_Market_Data_CL.xlsm]data!R58C5</stp>
        <tr r="E58" s="1"/>
      </tp>
      <tp t="s">
        <v>#N/A Requesting Data...</v>
        <stp/>
        <stp>##V3_BDHV12</stp>
        <stp>CL1 Comdty</stp>
        <stp>PX_OPEN</stp>
        <stp>17/03/2017</stp>
        <stp>17/03/2017</stp>
        <stp>[Bbg_Market_Data_CL.xlsm]data!R18C5</stp>
        <tr r="E18" s="1"/>
      </tp>
      <tp>
        <v>53.48</v>
        <stp/>
        <stp>##V3_BDHV12</stp>
        <stp>CL2 Comdty</stp>
        <stp>PX_OPEN</stp>
        <stp>04/01/2017</stp>
        <stp>04/01/2017</stp>
        <stp>[Bbg_Market_Data_CL.xlsm]data!R68C5</stp>
        <tr r="E68" s="1"/>
      </tp>
      <tp t="s">
        <v>#N/A Requesting Data...</v>
        <stp/>
        <stp>##V3_BDHV12</stp>
        <stp>CL1 Comdty</stp>
        <stp>PX_OPEN</stp>
        <stp>16/12/2016</stp>
        <stp>16/12/2016</stp>
        <stp>[Bbg_Market_Data_CL.xlsm]data!R79C5</stp>
        <tr r="E79" s="1"/>
      </tp>
      <tp>
        <v>45.87</v>
        <stp/>
        <stp>##V3_BDHV12</stp>
        <stp>CL2 Comdty</stp>
        <stp>PX_OPEN</stp>
        <stp>17/11/2016</stp>
        <stp>17/11/2016</stp>
        <stp>[Bbg_Market_Data_CL.xlsm]data!R99C5</stp>
        <tr r="E99" s="1"/>
      </tp>
      <tp t="s">
        <v>#N/A Requesting Data...</v>
        <stp/>
        <stp>##V3_BDHV12</stp>
        <stp>CL1 Comdty</stp>
        <stp>PX_OPEN</stp>
        <stp>02/02/2017</stp>
        <stp>02/02/2017</stp>
        <stp>[Bbg_Market_Data_CL.xlsm]data!R48C5</stp>
        <tr r="E48" s="1"/>
      </tp>
      <tp>
        <v>141091</v>
        <stp/>
        <stp>##V3_BDHV12</stp>
        <stp>CL2 Comdty</stp>
        <stp>PX_VOLUME</stp>
        <stp>26/01/2017</stp>
        <stp>26/01/2017</stp>
        <stp>[Bbg_Market_Data_CL.xlsm]data!R53C8</stp>
        <tr r="H53" s="1"/>
      </tp>
      <tp t="s">
        <v>#N/A Requesting Data...</v>
        <stp/>
        <stp>##V3_BDHV12</stp>
        <stp>CL1 Comdty</stp>
        <stp>PX_VOLUME</stp>
        <stp>26/01/2017</stp>
        <stp>26/01/2017</stp>
        <stp>[Bbg_Market_Data_CL.xlsm]data!R53C8</stp>
        <tr r="H53" s="1"/>
      </tp>
      <tp>
        <v>273046</v>
        <stp/>
        <stp>##V3_BDHV12</stp>
        <stp>CL2 Comdty</stp>
        <stp>PX_VOLUME</stp>
        <stp>10/03/2017</stp>
        <stp>10/03/2017</stp>
        <stp>[Bbg_Market_Data_CL.xlsm]data!R23C8</stp>
        <tr r="H23" s="1"/>
      </tp>
      <tp t="s">
        <v>#N/A Requesting Data...</v>
        <stp/>
        <stp>##V3_BDHV12</stp>
        <stp>CL1 Comdty</stp>
        <stp>PX_VOLUME</stp>
        <stp>10/03/2017</stp>
        <stp>10/03/2017</stp>
        <stp>[Bbg_Market_Data_CL.xlsm]data!R23C8</stp>
        <tr r="H23" s="1"/>
      </tp>
      <tp>
        <v>311649</v>
        <stp/>
        <stp>##V3_BDHV12</stp>
        <stp>CL2 Comdty</stp>
        <stp>PX_VOLUME</stp>
        <stp>13/12/2016</stp>
        <stp>13/12/2016</stp>
        <stp>[Bbg_Market_Data_CL.xlsm]data!R82C8</stp>
        <tr r="H82" s="1"/>
      </tp>
      <tp t="s">
        <v>#N/A Requesting Data...</v>
        <stp/>
        <stp>##V3_BDHV12</stp>
        <stp>CL1 Comdty</stp>
        <stp>PX_VOLUME</stp>
        <stp>13/12/2016</stp>
        <stp>13/12/2016</stp>
        <stp>[Bbg_Market_Data_CL.xlsm]data!R82C8</stp>
        <tr r="H82" s="1"/>
      </tp>
      <tp t="s">
        <v>#N/A Requesting Data...</v>
        <stp/>
        <stp>##V3_BDHV12</stp>
        <stp>CL1 Comdty</stp>
        <stp>PX_VOLUME</stp>
        <stp>29/11/2016</stp>
        <stp>29/11/2016</stp>
        <stp>[Bbg_Market_Data_CL.xlsm]data!R92C8</stp>
        <tr r="H92" s="1"/>
      </tp>
      <tp>
        <v>198019</v>
        <stp/>
        <stp>##V3_BDHV12</stp>
        <stp>CL2 Comdty</stp>
        <stp>PX_VOLUME</stp>
        <stp>29/11/2016</stp>
        <stp>29/11/2016</stp>
        <stp>[Bbg_Market_Data_CL.xlsm]data!R92C8</stp>
        <tr r="H92" s="1"/>
      </tp>
      <tp t="s">
        <v>#N/A Requesting Data...</v>
        <stp/>
        <stp>##V3_BDHV12</stp>
        <stp>CL1 Comdty</stp>
        <stp>PX_VOLUME</stp>
        <stp>09/02/2017</stp>
        <stp>09/02/2017</stp>
        <stp>[Bbg_Market_Data_CL.xlsm]data!R43C8</stp>
        <tr r="H43" s="1"/>
      </tp>
      <tp>
        <v>323665</v>
        <stp/>
        <stp>##V3_BDHV12</stp>
        <stp>CL2 Comdty</stp>
        <stp>PX_VOLUME</stp>
        <stp>09/02/2017</stp>
        <stp>09/02/2017</stp>
        <stp>[Bbg_Market_Data_CL.xlsm]data!R43C8</stp>
        <tr r="H43" s="1"/>
      </tp>
      <tp t="s">
        <v>#N/A Requesting Data...</v>
        <stp/>
        <stp>##V3_BDHV12</stp>
        <stp>CL1 Comdty</stp>
        <stp>PX_VOLUME</stp>
        <stp>24/03/2017</stp>
        <stp>24/03/2017</stp>
        <stp>[Bbg_Market_Data_CL.xlsm]data!R13C8</stp>
        <tr r="H13" s="1"/>
      </tp>
      <tp>
        <v>128442</v>
        <stp/>
        <stp>##V3_BDHV12</stp>
        <stp>CL2 Comdty</stp>
        <stp>PX_VOLUME</stp>
        <stp>24/03/2017</stp>
        <stp>24/03/2017</stp>
        <stp>[Bbg_Market_Data_CL.xlsm]data!R13C8</stp>
        <tr r="H13" s="1"/>
      </tp>
      <tp>
        <v>82747</v>
        <stp/>
        <stp>##V3_BDHV12</stp>
        <stp>CL2 Comdty</stp>
        <stp>PX_VOLUME</stp>
        <stp>28/12/2016</stp>
        <stp>28/12/2016</stp>
        <stp>[Bbg_Market_Data_CL.xlsm]data!R72C8</stp>
        <tr r="H72" s="1"/>
      </tp>
      <tp t="s">
        <v>#N/A Requesting Data...</v>
        <stp/>
        <stp>##V3_BDHV12</stp>
        <stp>CL1 Comdty</stp>
        <stp>PX_VOLUME</stp>
        <stp>28/12/2016</stp>
        <stp>28/12/2016</stp>
        <stp>[Bbg_Market_Data_CL.xlsm]data!R72C8</stp>
        <tr r="H72" s="1"/>
      </tp>
      <tp>
        <v>368220</v>
        <stp/>
        <stp>##V3_BDHV12</stp>
        <stp>CL2 Comdty</stp>
        <stp>PX_VOLUME</stp>
        <stp>11/01/2017</stp>
        <stp>11/01/2017</stp>
        <stp>[Bbg_Market_Data_CL.xlsm]data!R63C8</stp>
        <tr r="H63" s="1"/>
      </tp>
      <tp t="s">
        <v>#N/A Requesting Data...</v>
        <stp/>
        <stp>##V3_BDHV12</stp>
        <stp>CL1 Comdty</stp>
        <stp>PX_VOLUME</stp>
        <stp>11/01/2017</stp>
        <stp>11/01/2017</stp>
        <stp>[Bbg_Market_Data_CL.xlsm]data!R63C8</stp>
        <tr r="H63" s="1"/>
      </tp>
      <tp>
        <v>84501</v>
        <stp/>
        <stp>##V3_BDHV12</stp>
        <stp>CL2 Comdty</stp>
        <stp>PX_VOLUME</stp>
        <stp>24/02/2017</stp>
        <stp>24/02/2017</stp>
        <stp>[Bbg_Market_Data_CL.xlsm]data!R33C8</stp>
        <tr r="H33" s="1"/>
      </tp>
      <tp t="s">
        <v>#N/A Requesting Data...</v>
        <stp/>
        <stp>##V3_BDHV12</stp>
        <stp>CL1 Comdty</stp>
        <stp>PX_VOLUME</stp>
        <stp>24/02/2017</stp>
        <stp>24/02/2017</stp>
        <stp>[Bbg_Market_Data_CL.xlsm]data!R33C8</stp>
        <tr r="H33" s="1"/>
      </tp>
      <tp t="s">
        <v>#N/A Requesting Data...</v>
        <stp/>
        <stp>##V3_BDHV12</stp>
        <stp>CL1 Comdty</stp>
        <stp>PX_LAST</stp>
        <stp>04/04/2017</stp>
        <stp>04/04/2017</stp>
        <stp>[Bbg_Market_Data_CL.xlsm]data!R6C9</stp>
        <tr r="I6" s="1"/>
      </tp>
      <tp t="s">
        <v>#N/A Requesting Data...</v>
        <stp/>
        <stp>##V3_BDHV12</stp>
        <stp>CL1 Comdty</stp>
        <stp>PX_LAST</stp>
        <stp>06/04/2017</stp>
        <stp>06/04/2017</stp>
        <stp>[Bbg_Market_Data_CL.xlsm]data!R4C9</stp>
        <tr r="I4" s="1"/>
      </tp>
      <tp t="s">
        <v>#N/A Requesting Data...</v>
        <stp/>
        <stp>##V3_BDHV12</stp>
        <stp>CL1 Comdty</stp>
        <stp>PX_LAST</stp>
        <stp>10/04/2017</stp>
        <stp>10/04/2017</stp>
        <stp>[Bbg_Market_Data_CL.xlsm]data!R2C9</stp>
        <tr r="I2" s="1"/>
      </tp>
      <tp t="s">
        <v>#N/A Requesting Data...</v>
        <stp/>
        <stp>##V3_BDHV12</stp>
        <stp>CL2 Comdty</stp>
        <stp>PX_LAST</stp>
        <stp>10/04/2017</stp>
        <stp>10/04/2017</stp>
        <stp>[Bbg_Market_Data_CL.xlsm]data!R2C9</stp>
        <tr r="I2" s="1"/>
      </tp>
      <tp t="s">
        <v>#N/A Requesting Data...</v>
        <stp/>
        <stp>##V3_BDHV12</stp>
        <stp>CL2 Comdty</stp>
        <stp>PX_LAST</stp>
        <stp>04/04/2017</stp>
        <stp>04/04/2017</stp>
        <stp>[Bbg_Market_Data_CL.xlsm]data!R6C9</stp>
        <tr r="I6" s="1"/>
      </tp>
      <tp t="s">
        <v>#N/A Requesting Data...</v>
        <stp/>
        <stp>##V3_BDHV12</stp>
        <stp>CL2 Comdty</stp>
        <stp>PX_LAST</stp>
        <stp>06/04/2017</stp>
        <stp>06/04/2017</stp>
        <stp>[Bbg_Market_Data_CL.xlsm]data!R4C9</stp>
        <tr r="I4" s="1"/>
      </tp>
      <tp t="s">
        <v>#N/A Requesting Data...</v>
        <stp/>
        <stp>##V3_BDHV12</stp>
        <stp>CL2 Comdty</stp>
        <stp>MOV_AVG_5D</stp>
        <stp>22/09/2016</stp>
        <stp>22/09/2016</stp>
        <stp>[Bbg_Market_Data_CL.xlsm]data!R137C10</stp>
        <tr r="J137" s="1"/>
      </tp>
      <tp t="s">
        <v>#N/A Requesting Data...</v>
        <stp/>
        <stp>##V3_BDHV12</stp>
        <stp>CL1 Comdty</stp>
        <stp>MOV_AVG_5D</stp>
        <stp>12/09/2016</stp>
        <stp>12/09/2016</stp>
        <stp>[Bbg_Market_Data_CL.xlsm]data!R145C10</stp>
        <tr r="J145" s="1"/>
      </tp>
      <tp t="s">
        <v>#N/A Requesting Data...</v>
        <stp/>
        <stp>##V3_BDHV12</stp>
        <stp>CL1 Comdty</stp>
        <stp>MOV_AVG_5D</stp>
        <stp>02/08/2016</stp>
        <stp>02/08/2016</stp>
        <stp>[Bbg_Market_Data_CL.xlsm]data!R172C10</stp>
        <tr r="J172" s="1"/>
      </tp>
      <tp t="s">
        <v>#N/A Requesting Data...</v>
        <stp/>
        <stp>##V3_BDHV12</stp>
        <stp>CL2 Comdty</stp>
        <stp>MOV_AVG_5D</stp>
        <stp>03/09/2015</stp>
        <stp>03/09/2015</stp>
        <stp>[Bbg_Market_Data_CL.xlsm]data!R398C10</stp>
        <tr r="J398" s="1"/>
      </tp>
      <tp t="s">
        <v>#N/A Requesting Data...</v>
        <stp/>
        <stp>##V3_BDHV12</stp>
        <stp>CL2 Comdty</stp>
        <stp>MOV_AVG_5D</stp>
        <stp>23/08/2016</stp>
        <stp>23/08/2016</stp>
        <stp>[Bbg_Market_Data_CL.xlsm]data!R158C10</stp>
        <tr r="J158" s="1"/>
      </tp>
      <tp t="s">
        <v>#N/A Requesting Data...</v>
        <stp/>
        <stp>##V3_BDHV12</stp>
        <stp>CL1 Comdty</stp>
        <stp>MOV_AVG_5D</stp>
        <stp>22/09/2015</stp>
        <stp>22/09/2015</stp>
        <stp>[Bbg_Market_Data_CL.xlsm]data!R386C10</stp>
        <tr r="J386" s="1"/>
      </tp>
      <tp t="s">
        <v>#N/A Requesting Data...</v>
        <stp/>
        <stp>##V3_BDHV12</stp>
        <stp>CL1 Comdty</stp>
        <stp>MOV_AVG_5D</stp>
        <stp>30/09/2016</stp>
        <stp>30/09/2016</stp>
        <stp>[Bbg_Market_Data_CL.xlsm]data!R131C10</stp>
        <tr r="J131" s="1"/>
      </tp>
      <tp t="s">
        <v>#N/A Requesting Data...</v>
        <stp/>
        <stp>##V3_BDHV12</stp>
        <stp>CL2 Comdty</stp>
        <stp>MOV_AVG_5D</stp>
        <stp>10/08/2016</stp>
        <stp>10/08/2016</stp>
        <stp>[Bbg_Market_Data_CL.xlsm]data!R167C10</stp>
        <tr r="J167" s="1"/>
      </tp>
      <tp t="s">
        <v>#N/A Requesting Data...</v>
        <stp/>
        <stp>##V3_BDHV12</stp>
        <stp>CL2 Comdty</stp>
        <stp>MOV_AVG_5D</stp>
        <stp>21/09/2015</stp>
        <stp>21/09/2015</stp>
        <stp>[Bbg_Market_Data_CL.xlsm]data!R387C10</stp>
        <tr r="J387" s="1"/>
      </tp>
      <tp t="s">
        <v>#N/A Requesting Data...</v>
        <stp/>
        <stp>##V3_BDHV12</stp>
        <stp>CL1 Comdty</stp>
        <stp>MOV_AVG_5D</stp>
        <stp>11/09/2015</stp>
        <stp>11/09/2015</stp>
        <stp>[Bbg_Market_Data_CL.xlsm]data!R393C10</stp>
        <tr r="J393" s="1"/>
      </tp>
      <tp t="s">
        <v>#N/A Requesting Data...</v>
        <stp/>
        <stp>##V3_BDHV12</stp>
        <stp>CL1 Comdty</stp>
        <stp>MOV_AVG_5D</stp>
        <stp>21/09/2016</stp>
        <stp>21/09/2016</stp>
        <stp>[Bbg_Market_Data_CL.xlsm]data!R138C10</stp>
        <tr r="J138" s="1"/>
      </tp>
      <tp t="s">
        <v>#N/A Requesting Data...</v>
        <stp/>
        <stp>##V3_BDHV12</stp>
        <stp>CL1 Comdty</stp>
        <stp>MOV_AVG_5D</stp>
        <stp>31/08/2016</stp>
        <stp>31/08/2016</stp>
        <stp>[Bbg_Market_Data_CL.xlsm]data!R152C10</stp>
        <tr r="J152" s="1"/>
      </tp>
      <tp t="s">
        <v>#N/A Requesting Data...</v>
        <stp/>
        <stp>##V3_BDHV12</stp>
        <stp>CL2 Comdty</stp>
        <stp>MOV_AVG_5D</stp>
        <stp>01/08/2016</stp>
        <stp>01/08/2016</stp>
        <stp>[Bbg_Market_Data_CL.xlsm]data!R173C10</stp>
        <tr r="J173" s="1"/>
      </tp>
      <tp t="s">
        <v>#N/A Requesting Data...</v>
        <stp/>
        <stp>##V3_BDHV12</stp>
        <stp>CL2 Comdty</stp>
        <stp>MOV_AVG_5D</stp>
        <stp>30/09/2015</stp>
        <stp>30/09/2015</stp>
        <stp>[Bbg_Market_Data_CL.xlsm]data!R380C10</stp>
        <tr r="J380" s="1"/>
      </tp>
      <tp t="s">
        <v>#N/A Requesting Data...</v>
        <stp/>
        <stp>##V3_BDHV12</stp>
        <stp>CL2 Comdty</stp>
        <stp>MOV_AVG_5D</stp>
        <stp>20/08/2015</stp>
        <stp>20/08/2015</stp>
        <stp>[Bbg_Market_Data_CL.xlsm]data!R408C10</stp>
        <tr r="J408" s="1"/>
      </tp>
      <tp t="s">
        <v>#N/A Requesting Data...</v>
        <stp/>
        <stp>##V3_BDHV12</stp>
        <stp>CL1 Comdty</stp>
        <stp>MOV_AVG_5D</stp>
        <stp>10/08/2015</stp>
        <stp>10/08/2015</stp>
        <stp>[Bbg_Market_Data_CL.xlsm]data!R416C10</stp>
        <tr r="J416" s="1"/>
      </tp>
      <tp t="s">
        <v>#N/A Requesting Data...</v>
        <stp/>
        <stp>##V3_BDHV12</stp>
        <stp>CL2 Comdty</stp>
        <stp>MOV_AVG_5D</stp>
        <stp>31/08/2015</stp>
        <stp>31/08/2015</stp>
        <stp>[Bbg_Market_Data_CL.xlsm]data!R401C10</stp>
        <tr r="J401" s="1"/>
      </tp>
      <tp t="s">
        <v>#N/A Requesting Data...</v>
        <stp/>
        <stp>##V3_BDHV12</stp>
        <stp>CL2 Comdty</stp>
        <stp>MOV_AVG_5D</stp>
        <stp>13/08/2015</stp>
        <stp>13/08/2015</stp>
        <stp>[Bbg_Market_Data_CL.xlsm]data!R413C10</stp>
        <tr r="J413" s="1"/>
      </tp>
      <tp t="s">
        <v>#N/A Requesting Data...</v>
        <stp/>
        <stp>##V3_BDHV12</stp>
        <stp>CL2 Comdty</stp>
        <stp>MOV_AVG_5D</stp>
        <stp>08/01/2016</stp>
        <stp>08/01/2016</stp>
        <stp>[Bbg_Market_Data_CL.xlsm]data!R313C10</stp>
        <tr r="J313" s="1"/>
      </tp>
      <tp t="s">
        <v>#N/A Requesting Data...</v>
        <stp/>
        <stp>##V3_BDHV12</stp>
        <stp>CL1 Comdty</stp>
        <stp>MOV_AVG_5D</stp>
        <stp>09/03/2016</stp>
        <stp>09/03/2016</stp>
        <stp>[Bbg_Market_Data_CL.xlsm]data!R273C10</stp>
        <tr r="J273" s="1"/>
      </tp>
      <tp t="s">
        <v>#N/A Requesting Data...</v>
        <stp/>
        <stp>##V3_BDHV12</stp>
        <stp>CL1 Comdty</stp>
        <stp>MOV_AVG_5D</stp>
        <stp>19/02/2016</stp>
        <stp>19/02/2016</stp>
        <stp>[Bbg_Market_Data_CL.xlsm]data!R286C10</stp>
        <tr r="J286" s="1"/>
      </tp>
      <tp t="s">
        <v>#N/A Requesting Data...</v>
        <stp/>
        <stp>##V3_BDHV12</stp>
        <stp>CL2 Comdty</stp>
        <stp>MOV_AVG_5D</stp>
        <stp>29/02/2016</stp>
        <stp>29/02/2016</stp>
        <stp>[Bbg_Market_Data_CL.xlsm]data!R280C10</stp>
        <tr r="J280" s="1"/>
      </tp>
      <tp t="s">
        <v>#N/A Requesting Data...</v>
        <stp/>
        <stp>##V3_BDHV12</stp>
        <stp>CL1 Comdty</stp>
        <stp>MOV_AVG_5D</stp>
        <stp>29/01/2016</stp>
        <stp>29/01/2016</stp>
        <stp>[Bbg_Market_Data_CL.xlsm]data!R299C10</stp>
        <tr r="J299" s="1"/>
      </tp>
      <tp t="s">
        <v>#N/A Requesting Data...</v>
        <stp/>
        <stp>##V3_BDHV12</stp>
        <stp>CL2 Comdty</stp>
        <stp>MOV_AVG_5D</stp>
        <stp>19/01/2016</stp>
        <stp>19/01/2016</stp>
        <stp>[Bbg_Market_Data_CL.xlsm]data!R307C10</stp>
        <tr r="J307" s="1"/>
      </tp>
      <tp t="s">
        <v>#N/A Requesting Data...</v>
        <stp/>
        <stp>##V3_BDHV12</stp>
        <stp>CL1 Comdty</stp>
        <stp>MOV_AVG_5D</stp>
        <stp>18/03/2016</stp>
        <stp>18/03/2016</stp>
        <stp>[Bbg_Market_Data_CL.xlsm]data!R266C10</stp>
        <tr r="J266" s="1"/>
      </tp>
      <tp t="s">
        <v>#N/A Requesting Data...</v>
        <stp/>
        <stp>##V3_BDHV12</stp>
        <stp>CL2 Comdty</stp>
        <stp>MOV_AVG_5D</stp>
        <stp>28/03/2016</stp>
        <stp>28/03/2016</stp>
        <stp>[Bbg_Market_Data_CL.xlsm]data!R261C10</stp>
        <tr r="J261" s="1"/>
      </tp>
      <tp t="s">
        <v>#N/A Requesting Data...</v>
        <stp/>
        <stp>##V3_BDHV12</stp>
        <stp>CL1 Comdty</stp>
        <stp>MOV_AVG_5D</stp>
        <stp>08/02/2016</stp>
        <stp>08/02/2016</stp>
        <stp>[Bbg_Market_Data_CL.xlsm]data!R293C10</stp>
        <tr r="J293" s="1"/>
      </tp>
      <tp t="s">
        <v>#N/A Requesting Data...</v>
        <stp/>
        <stp>##V3_BDHV12</stp>
        <stp>CL1 Comdty</stp>
        <stp>MOV_AVG_5D</stp>
        <stp>28/10/2016</stp>
        <stp>28/10/2016</stp>
        <stp>[Bbg_Market_Data_CL.xlsm]data!R112C10</stp>
        <tr r="J112" s="1"/>
      </tp>
      <tp t="s">
        <v>#N/A Requesting Data...</v>
        <stp/>
        <stp>##V3_BDHV12</stp>
        <stp>CL2 Comdty</stp>
        <stp>MOV_AVG_5D</stp>
        <stp>08/11/2016</stp>
        <stp>08/11/2016</stp>
        <stp>[Bbg_Market_Data_CL.xlsm]data!R105C10</stp>
        <tr r="J105" s="1"/>
      </tp>
      <tp t="s">
        <v>#N/A Requesting Data...</v>
        <stp/>
        <stp>##V3_BDHV12</stp>
        <stp>CL1 Comdty</stp>
        <stp>MOV_AVG_5D</stp>
        <stp>29/12/2015</stp>
        <stp>29/12/2015</stp>
        <stp>[Bbg_Market_Data_CL.xlsm]data!R320C10</stp>
        <tr r="J320" s="1"/>
      </tp>
      <tp t="s">
        <v>#N/A Requesting Data...</v>
        <stp/>
        <stp>##V3_BDHV12</stp>
        <stp>CL2 Comdty</stp>
        <stp>MOV_AVG_5D</stp>
        <stp>18/10/2016</stp>
        <stp>18/10/2016</stp>
        <stp>[Bbg_Market_Data_CL.xlsm]data!R120C10</stp>
        <tr r="J120" s="1"/>
      </tp>
      <tp t="s">
        <v>#N/A Requesting Data...</v>
        <stp/>
        <stp>##V3_BDHV12</stp>
        <stp>CL1 Comdty</stp>
        <stp>MOV_AVG_5D</stp>
        <stp>19/11/2015</stp>
        <stp>19/11/2015</stp>
        <stp>[Bbg_Market_Data_CL.xlsm]data!R346C10</stp>
        <tr r="J346" s="1"/>
      </tp>
      <tp t="s">
        <v>#N/A Requesting Data...</v>
        <stp/>
        <stp>##V3_BDHV12</stp>
        <stp>CL1 Comdty</stp>
        <stp>MOV_AVG_5D</stp>
        <stp>09/10/2015</stp>
        <stp>09/10/2015</stp>
        <stp>[Bbg_Market_Data_CL.xlsm]data!R373C10</stp>
        <tr r="J373" s="1"/>
      </tp>
      <tp t="s">
        <v>#N/A Requesting Data...</v>
        <stp/>
        <stp>##V3_BDHV12</stp>
        <stp>CL2 Comdty</stp>
        <stp>MOV_AVG_5D</stp>
        <stp>08/12/2015</stp>
        <stp>08/12/2015</stp>
        <stp>[Bbg_Market_Data_CL.xlsm]data!R334C10</stp>
        <tr r="J334" s="1"/>
      </tp>
      <tp t="s">
        <v>#N/A Requesting Data...</v>
        <stp/>
        <stp>##V3_BDHV12</stp>
        <stp>CL2 Comdty</stp>
        <stp>MOV_AVG_5D</stp>
        <stp>28/10/2015</stp>
        <stp>28/10/2015</stp>
        <stp>[Bbg_Market_Data_CL.xlsm]data!R361C10</stp>
        <tr r="J361" s="1"/>
      </tp>
      <tp>
        <v>49.6</v>
        <stp/>
        <stp>##V3_BDHV12</stp>
        <stp>CL2 Comdty</stp>
        <stp>PX_OPEN</stp>
        <stp>16/03/2017</stp>
        <stp>16/03/2017</stp>
        <stp>[Bbg_Market_Data_CL.xlsm]data!R19C5</stp>
        <tr r="E19" s="1"/>
      </tp>
      <tp>
        <v>53.42</v>
        <stp/>
        <stp>##V3_BDHV12</stp>
        <stp>CL2 Comdty</stp>
        <stp>PX_OPEN</stp>
        <stp>01/02/2017</stp>
        <stp>01/02/2017</stp>
        <stp>[Bbg_Market_Data_CL.xlsm]data!R49C5</stp>
        <tr r="E49" s="1"/>
      </tp>
      <tp t="s">
        <v>#N/A Requesting Data...</v>
        <stp/>
        <stp>##V3_BDHV12</stp>
        <stp>CL1 Comdty</stp>
        <stp>PX_OPEN</stp>
        <stp>03/01/2017</stp>
        <stp>03/01/2017</stp>
        <stp>[Bbg_Market_Data_CL.xlsm]data!R69C5</stp>
        <tr r="E69" s="1"/>
      </tp>
      <tp t="s">
        <v>#N/A Requesting Data...</v>
        <stp/>
        <stp>##V3_BDHV12</stp>
        <stp>CL1 Comdty</stp>
        <stp>PX_OPEN</stp>
        <stp>18/11/2016</stp>
        <stp>18/11/2016</stp>
        <stp>[Bbg_Market_Data_CL.xlsm]data!R98C5</stp>
        <tr r="E98" s="1"/>
      </tp>
      <tp>
        <v>53.25</v>
        <stp/>
        <stp>##V3_BDHV12</stp>
        <stp>CL2 Comdty</stp>
        <stp>PX_OPEN</stp>
        <stp>19/12/2016</stp>
        <stp>19/12/2016</stp>
        <stp>[Bbg_Market_Data_CL.xlsm]data!R78C5</stp>
        <tr r="E78" s="1"/>
      </tp>
      <tp>
        <v>52.57</v>
        <stp/>
        <stp>##V3_BDHV12</stp>
        <stp>CL2 Comdty</stp>
        <stp>PX_OPEN</stp>
        <stp>05/12/2016</stp>
        <stp>05/12/2016</stp>
        <stp>[Bbg_Market_Data_CL.xlsm]data!R88C5</stp>
        <tr r="E88" s="1"/>
      </tp>
      <tp>
        <v>53.5</v>
        <stp/>
        <stp>##V3_BDHV12</stp>
        <stp>CL2 Comdty</stp>
        <stp>PX_OPEN</stp>
        <stp>15/02/2017</stp>
        <stp>15/02/2017</stp>
        <stp>[Bbg_Market_Data_CL.xlsm]data!R39C5</stp>
        <tr r="E39" s="1"/>
      </tp>
      <tp>
        <v>54.16</v>
        <stp/>
        <stp>##V3_BDHV12</stp>
        <stp>CL2 Comdty</stp>
        <stp>PX_OPEN</stp>
        <stp>02/03/2017</stp>
        <stp>02/03/2017</stp>
        <stp>[Bbg_Market_Data_CL.xlsm]data!R29C5</stp>
        <tr r="E29" s="1"/>
      </tp>
      <tp t="s">
        <v>#N/A Requesting Data...</v>
        <stp/>
        <stp>##V3_BDHV12</stp>
        <stp>CL1 Comdty</stp>
        <stp>PX_OPEN</stp>
        <stp>18/01/2017</stp>
        <stp>18/01/2017</stp>
        <stp>[Bbg_Market_Data_CL.xlsm]data!R59C5</stp>
        <tr r="E59" s="1"/>
      </tp>
      <tp t="s">
        <v>#N/A Requesting Data...</v>
        <stp/>
        <stp>##V3_BDHV12</stp>
        <stp>CL1 Comdty</stp>
        <stp>PX_OPEN</stp>
        <stp>05/12/2016</stp>
        <stp>05/12/2016</stp>
        <stp>[Bbg_Market_Data_CL.xlsm]data!R88C5</stp>
        <tr r="E88" s="1"/>
      </tp>
      <tp t="s">
        <v>#N/A Requesting Data...</v>
        <stp/>
        <stp>##V3_BDHV12</stp>
        <stp>CL1 Comdty</stp>
        <stp>PX_OPEN</stp>
        <stp>15/02/2017</stp>
        <stp>15/02/2017</stp>
        <stp>[Bbg_Market_Data_CL.xlsm]data!R39C5</stp>
        <tr r="E39" s="1"/>
      </tp>
      <tp t="s">
        <v>#N/A Requesting Data...</v>
        <stp/>
        <stp>##V3_BDHV12</stp>
        <stp>CL1 Comdty</stp>
        <stp>PX_OPEN</stp>
        <stp>02/03/2017</stp>
        <stp>02/03/2017</stp>
        <stp>[Bbg_Market_Data_CL.xlsm]data!R29C5</stp>
        <tr r="E29" s="1"/>
      </tp>
      <tp>
        <v>53.33</v>
        <stp/>
        <stp>##V3_BDHV12</stp>
        <stp>CL2 Comdty</stp>
        <stp>PX_OPEN</stp>
        <stp>18/01/2017</stp>
        <stp>18/01/2017</stp>
        <stp>[Bbg_Market_Data_CL.xlsm]data!R59C5</stp>
        <tr r="E59" s="1"/>
      </tp>
      <tp t="s">
        <v>#N/A Requesting Data...</v>
        <stp/>
        <stp>##V3_BDHV12</stp>
        <stp>CL1 Comdty</stp>
        <stp>PX_OPEN</stp>
        <stp>16/03/2017</stp>
        <stp>16/03/2017</stp>
        <stp>[Bbg_Market_Data_CL.xlsm]data!R19C5</stp>
        <tr r="E19" s="1"/>
      </tp>
      <tp t="s">
        <v>#N/A Requesting Data...</v>
        <stp/>
        <stp>##V3_BDHV12</stp>
        <stp>CL1 Comdty</stp>
        <stp>PX_OPEN</stp>
        <stp>01/02/2017</stp>
        <stp>01/02/2017</stp>
        <stp>[Bbg_Market_Data_CL.xlsm]data!R49C5</stp>
        <tr r="E49" s="1"/>
      </tp>
      <tp>
        <v>55.05</v>
        <stp/>
        <stp>##V3_BDHV12</stp>
        <stp>CL2 Comdty</stp>
        <stp>PX_OPEN</stp>
        <stp>03/01/2017</stp>
        <stp>03/01/2017</stp>
        <stp>[Bbg_Market_Data_CL.xlsm]data!R69C5</stp>
        <tr r="E69" s="1"/>
      </tp>
      <tp>
        <v>45.51</v>
        <stp/>
        <stp>##V3_BDHV12</stp>
        <stp>CL2 Comdty</stp>
        <stp>PX_OPEN</stp>
        <stp>18/11/2016</stp>
        <stp>18/11/2016</stp>
        <stp>[Bbg_Market_Data_CL.xlsm]data!R98C5</stp>
        <tr r="E98" s="1"/>
      </tp>
      <tp t="s">
        <v>#N/A Requesting Data...</v>
        <stp/>
        <stp>##V3_BDHV12</stp>
        <stp>CL1 Comdty</stp>
        <stp>PX_OPEN</stp>
        <stp>19/12/2016</stp>
        <stp>19/12/2016</stp>
        <stp>[Bbg_Market_Data_CL.xlsm]data!R78C5</stp>
        <tr r="E78" s="1"/>
      </tp>
      <tp t="s">
        <v>#N/A Requesting Data...</v>
        <stp/>
        <stp>##V3_BDHV12</stp>
        <stp>CL1 Comdty</stp>
        <stp>PX_VOLUME</stp>
        <stp>10/02/2017</stp>
        <stp>10/02/2017</stp>
        <stp>[Bbg_Market_Data_CL.xlsm]data!R42C8</stp>
        <tr r="H42" s="1"/>
      </tp>
      <tp>
        <v>292306</v>
        <stp/>
        <stp>##V3_BDHV12</stp>
        <stp>CL2 Comdty</stp>
        <stp>PX_VOLUME</stp>
        <stp>10/02/2017</stp>
        <stp>10/02/2017</stp>
        <stp>[Bbg_Market_Data_CL.xlsm]data!R42C8</stp>
        <tr r="H42" s="1"/>
      </tp>
      <tp>
        <v>101965</v>
        <stp/>
        <stp>##V3_BDHV12</stp>
        <stp>CL2 Comdty</stp>
        <stp>PX_VOLUME</stp>
        <stp>27/01/2017</stp>
        <stp>27/01/2017</stp>
        <stp>[Bbg_Market_Data_CL.xlsm]data!R52C8</stp>
        <tr r="H52" s="1"/>
      </tp>
      <tp t="s">
        <v>#N/A Requesting Data...</v>
        <stp/>
        <stp>##V3_BDHV12</stp>
        <stp>CL1 Comdty</stp>
        <stp>PX_VOLUME</stp>
        <stp>27/01/2017</stp>
        <stp>27/01/2017</stp>
        <stp>[Bbg_Market_Data_CL.xlsm]data!R52C8</stp>
        <tr r="H52" s="1"/>
      </tp>
      <tp>
        <v>381103</v>
        <stp/>
        <stp>##V3_BDHV12</stp>
        <stp>CL2 Comdty</stp>
        <stp>PX_VOLUME</stp>
        <stp>12/12/2016</stp>
        <stp>12/12/2016</stp>
        <stp>[Bbg_Market_Data_CL.xlsm]data!R83C8</stp>
        <tr r="H83" s="1"/>
      </tp>
      <tp t="s">
        <v>#N/A Requesting Data...</v>
        <stp/>
        <stp>##V3_BDHV12</stp>
        <stp>CL1 Comdty</stp>
        <stp>PX_VOLUME</stp>
        <stp>12/12/2016</stp>
        <stp>12/12/2016</stp>
        <stp>[Bbg_Market_Data_CL.xlsm]data!R83C8</stp>
        <tr r="H83" s="1"/>
      </tp>
      <tp t="s">
        <v>#N/A Requesting Data...</v>
        <stp/>
        <stp>##V3_BDHV12</stp>
        <stp>CL1 Comdty</stp>
        <stp>PX_VOLUME</stp>
        <stp>13/03/2017</stp>
        <stp>13/03/2017</stp>
        <stp>[Bbg_Market_Data_CL.xlsm]data!R22C8</stp>
        <tr r="H22" s="1"/>
      </tp>
      <tp>
        <v>254113</v>
        <stp/>
        <stp>##V3_BDHV12</stp>
        <stp>CL2 Comdty</stp>
        <stp>PX_VOLUME</stp>
        <stp>13/03/2017</stp>
        <stp>13/03/2017</stp>
        <stp>[Bbg_Market_Data_CL.xlsm]data!R22C8</stp>
        <tr r="H22" s="1"/>
      </tp>
      <tp t="s">
        <v>#N/A Requesting Data...</v>
        <stp/>
        <stp>##V3_BDHV12</stp>
        <stp>CL1 Comdty</stp>
        <stp>PX_VOLUME</stp>
        <stp>28/11/2016</stp>
        <stp>28/11/2016</stp>
        <stp>[Bbg_Market_Data_CL.xlsm]data!R93C8</stp>
        <tr r="H93" s="1"/>
      </tp>
      <tp>
        <v>152438</v>
        <stp/>
        <stp>##V3_BDHV12</stp>
        <stp>CL2 Comdty</stp>
        <stp>PX_VOLUME</stp>
        <stp>28/11/2016</stp>
        <stp>28/11/2016</stp>
        <stp>[Bbg_Market_Data_CL.xlsm]data!R93C8</stp>
        <tr r="H93" s="1"/>
      </tp>
      <tp>
        <v>104492</v>
        <stp/>
        <stp>##V3_BDHV12</stp>
        <stp>CL2 Comdty</stp>
        <stp>PX_VOLUME</stp>
        <stp>27/03/2017</stp>
        <stp>27/03/2017</stp>
        <stp>[Bbg_Market_Data_CL.xlsm]data!R12C8</stp>
        <tr r="H12" s="1"/>
      </tp>
      <tp t="s">
        <v>#N/A Requesting Data...</v>
        <stp/>
        <stp>##V3_BDHV12</stp>
        <stp>CL1 Comdty</stp>
        <stp>PX_VOLUME</stp>
        <stp>27/03/2017</stp>
        <stp>27/03/2017</stp>
        <stp>[Bbg_Market_Data_CL.xlsm]data!R12C8</stp>
        <tr r="H12" s="1"/>
      </tp>
      <tp t="s">
        <v>#N/A Requesting Data...</v>
        <stp/>
        <stp>##V3_BDHV12</stp>
        <stp>CL1 Comdty</stp>
        <stp>PX_VOLUME</stp>
        <stp>27/12/2016</stp>
        <stp>27/12/2016</stp>
        <stp>[Bbg_Market_Data_CL.xlsm]data!R73C8</stp>
        <tr r="H73" s="1"/>
      </tp>
      <tp>
        <v>61836</v>
        <stp/>
        <stp>##V3_BDHV12</stp>
        <stp>CL2 Comdty</stp>
        <stp>PX_VOLUME</stp>
        <stp>27/12/2016</stp>
        <stp>27/12/2016</stp>
        <stp>[Bbg_Market_Data_CL.xlsm]data!R73C8</stp>
        <tr r="H73" s="1"/>
      </tp>
      <tp t="s">
        <v>#N/A Requesting Data...</v>
        <stp/>
        <stp>##V3_BDHV12</stp>
        <stp>CL1 Comdty</stp>
        <stp>PX_VOLUME</stp>
        <stp>12/01/2017</stp>
        <stp>12/01/2017</stp>
        <stp>[Bbg_Market_Data_CL.xlsm]data!R62C8</stp>
        <tr r="H62" s="1"/>
      </tp>
      <tp>
        <v>376875</v>
        <stp/>
        <stp>##V3_BDHV12</stp>
        <stp>CL2 Comdty</stp>
        <stp>PX_VOLUME</stp>
        <stp>12/01/2017</stp>
        <stp>12/01/2017</stp>
        <stp>[Bbg_Market_Data_CL.xlsm]data!R62C8</stp>
        <tr r="H62" s="1"/>
      </tp>
      <tp t="s">
        <v>#N/A Requesting Data...</v>
        <stp/>
        <stp>##V3_BDHV12</stp>
        <stp>CL1 Comdty</stp>
        <stp>PX_VOLUME</stp>
        <stp>27/02/2017</stp>
        <stp>27/02/2017</stp>
        <stp>[Bbg_Market_Data_CL.xlsm]data!R32C8</stp>
        <tr r="H32" s="1"/>
      </tp>
      <tp>
        <v>129483</v>
        <stp/>
        <stp>##V3_BDHV12</stp>
        <stp>CL2 Comdty</stp>
        <stp>PX_VOLUME</stp>
        <stp>27/02/2017</stp>
        <stp>27/02/2017</stp>
        <stp>[Bbg_Market_Data_CL.xlsm]data!R32C8</stp>
        <tr r="H32" s="1"/>
      </tp>
      <tp t="s">
        <v>#N/A Requesting Data...</v>
        <stp/>
        <stp>##V3_BDHV12</stp>
        <stp>CL1 Comdty</stp>
        <stp>MOV_AVG_5D</stp>
        <stp>02/09/2016</stp>
        <stp>02/09/2016</stp>
        <stp>[Bbg_Market_Data_CL.xlsm]data!R150C10</stp>
        <tr r="J150" s="1"/>
      </tp>
      <tp t="s">
        <v>#N/A Requesting Data...</v>
        <stp/>
        <stp>##V3_BDHV12</stp>
        <stp>CL2 Comdty</stp>
        <stp>MOV_AVG_5D</stp>
        <stp>22/08/2016</stp>
        <stp>22/08/2016</stp>
        <stp>[Bbg_Market_Data_CL.xlsm]data!R159C10</stp>
        <tr r="J159" s="1"/>
      </tp>
      <tp t="s">
        <v>#N/A Requesting Data...</v>
        <stp/>
        <stp>##V3_BDHV12</stp>
        <stp>CL1 Comdty</stp>
        <stp>MOV_AVG_5D</stp>
        <stp>12/08/2016</stp>
        <stp>12/08/2016</stp>
        <stp>[Bbg_Market_Data_CL.xlsm]data!R165C10</stp>
        <tr r="J165" s="1"/>
      </tp>
      <tp t="s">
        <v>#N/A Requesting Data...</v>
        <stp/>
        <stp>##V3_BDHV12</stp>
        <stp>CL1 Comdty</stp>
        <stp>MOV_AVG_5D</stp>
        <stp>23/09/2015</stp>
        <stp>23/09/2015</stp>
        <stp>[Bbg_Market_Data_CL.xlsm]data!R385C10</stp>
        <tr r="J385" s="1"/>
      </tp>
      <tp t="s">
        <v>#N/A Requesting Data...</v>
        <stp/>
        <stp>##V3_BDHV12</stp>
        <stp>CL2 Comdty</stp>
        <stp>MOV_AVG_5D</stp>
        <stp>23/09/2016</stp>
        <stp>23/09/2016</stp>
        <stp>[Bbg_Market_Data_CL.xlsm]data!R136C10</stp>
        <tr r="J136" s="1"/>
      </tp>
      <tp t="s">
        <v>#N/A Requesting Data...</v>
        <stp/>
        <stp>##V3_BDHV12</stp>
        <stp>CL1 Comdty</stp>
        <stp>MOV_AVG_5D</stp>
        <stp>13/09/2016</stp>
        <stp>13/09/2016</stp>
        <stp>[Bbg_Market_Data_CL.xlsm]data!R144C10</stp>
        <tr r="J144" s="1"/>
      </tp>
      <tp t="s">
        <v>#N/A Requesting Data...</v>
        <stp/>
        <stp>##V3_BDHV12</stp>
        <stp>CL1 Comdty</stp>
        <stp>MOV_AVG_5D</stp>
        <stp>03/08/2016</stp>
        <stp>03/08/2016</stp>
        <stp>[Bbg_Market_Data_CL.xlsm]data!R171C10</stp>
        <tr r="J171" s="1"/>
      </tp>
      <tp t="s">
        <v>#N/A Requesting Data...</v>
        <stp/>
        <stp>##V3_BDHV12</stp>
        <stp>CL2 Comdty</stp>
        <stp>MOV_AVG_5D</stp>
        <stp>02/09/2015</stp>
        <stp>02/09/2015</stp>
        <stp>[Bbg_Market_Data_CL.xlsm]data!R399C10</stp>
        <tr r="J399" s="1"/>
      </tp>
      <tp t="s">
        <v>#N/A Requesting Data...</v>
        <stp/>
        <stp>##V3_BDHV12</stp>
        <stp>CL1 Comdty</stp>
        <stp>MOV_AVG_5D</stp>
        <stp>20/09/2016</stp>
        <stp>20/09/2016</stp>
        <stp>[Bbg_Market_Data_CL.xlsm]data!R139C10</stp>
        <tr r="J139" s="1"/>
      </tp>
      <tp t="s">
        <v>#N/A Requesting Data...</v>
        <stp/>
        <stp>##V3_BDHV12</stp>
        <stp>CL1 Comdty</stp>
        <stp>MOV_AVG_5D</stp>
        <stp>30/08/2016</stp>
        <stp>30/08/2016</stp>
        <stp>[Bbg_Market_Data_CL.xlsm]data!R153C10</stp>
        <tr r="J153" s="1"/>
      </tp>
      <tp t="s">
        <v>#N/A Requesting Data...</v>
        <stp/>
        <stp>##V3_BDHV12</stp>
        <stp>CL2 Comdty</stp>
        <stp>MOV_AVG_5D</stp>
        <stp>01/09/2016</stp>
        <stp>01/09/2016</stp>
        <stp>[Bbg_Market_Data_CL.xlsm]data!R151C10</stp>
        <tr r="J151" s="1"/>
      </tp>
      <tp t="s">
        <v>#N/A Requesting Data...</v>
        <stp/>
        <stp>##V3_BDHV12</stp>
        <stp>CL2 Comdty</stp>
        <stp>MOV_AVG_5D</stp>
        <stp>11/08/2016</stp>
        <stp>11/08/2016</stp>
        <stp>[Bbg_Market_Data_CL.xlsm]data!R166C10</stp>
        <tr r="J166" s="1"/>
      </tp>
      <tp t="s">
        <v>#N/A Requesting Data...</v>
        <stp/>
        <stp>##V3_BDHV12</stp>
        <stp>CL1 Comdty</stp>
        <stp>MOV_AVG_5D</stp>
        <stp>10/09/2015</stp>
        <stp>10/09/2015</stp>
        <stp>[Bbg_Market_Data_CL.xlsm]data!R394C10</stp>
        <tr r="J394" s="1"/>
      </tp>
      <tp t="s">
        <v>#N/A Requesting Data...</v>
        <stp/>
        <stp>##V3_BDHV12</stp>
        <stp>CL2 Comdty</stp>
        <stp>MOV_AVG_5D</stp>
        <stp>21/08/2015</stp>
        <stp>21/08/2015</stp>
        <stp>[Bbg_Market_Data_CL.xlsm]data!R407C10</stp>
        <tr r="J407" s="1"/>
      </tp>
      <tp t="s">
        <v>#N/A Requesting Data...</v>
        <stp/>
        <stp>##V3_BDHV12</stp>
        <stp>CL1 Comdty</stp>
        <stp>MOV_AVG_5D</stp>
        <stp>01/09/2015</stp>
        <stp>01/09/2015</stp>
        <stp>[Bbg_Market_Data_CL.xlsm]data!R400C10</stp>
        <tr r="J400" s="1"/>
      </tp>
      <tp t="s">
        <v>#N/A Requesting Data...</v>
        <stp/>
        <stp>##V3_BDHV12</stp>
        <stp>CL1 Comdty</stp>
        <stp>MOV_AVG_5D</stp>
        <stp>11/08/2015</stp>
        <stp>11/08/2015</stp>
        <stp>[Bbg_Market_Data_CL.xlsm]data!R415C10</stp>
        <tr r="J415" s="1"/>
      </tp>
      <tp t="s">
        <v>#N/A Requesting Data...</v>
        <stp/>
        <stp>##V3_BDHV12</stp>
        <stp>CL2 Comdty</stp>
        <stp>MOV_AVG_5D</stp>
        <stp>12/08/2015</stp>
        <stp>12/08/2015</stp>
        <stp>[Bbg_Market_Data_CL.xlsm]data!R414C10</stp>
        <tr r="J414" s="1"/>
      </tp>
      <tp t="s">
        <v>#N/A Requesting Data...</v>
        <stp/>
        <stp>##V3_BDHV12</stp>
        <stp>CL2 Comdty</stp>
        <stp>MOV_AVG_5D</stp>
        <stp>03/08/2015</stp>
        <stp>03/08/2015</stp>
        <stp>[Bbg_Market_Data_CL.xlsm]data!R421C10</stp>
        <tr r="J421" s="1"/>
      </tp>
      <tp t="s">
        <v>#N/A Requesting Data...</v>
        <stp/>
        <stp>##V3_BDHV12</stp>
        <stp>CL1 Comdty</stp>
        <stp>MOV_AVG_5D</stp>
        <stp>28/01/2016</stp>
        <stp>28/01/2016</stp>
        <stp>[Bbg_Market_Data_CL.xlsm]data!R300C10</stp>
        <tr r="J300" s="1"/>
      </tp>
      <tp t="s">
        <v>#N/A Requesting Data...</v>
        <stp/>
        <stp>##V3_BDHV12</stp>
        <stp>CL2 Comdty</stp>
        <stp>MOV_AVG_5D</stp>
        <stp>29/03/2016</stp>
        <stp>29/03/2016</stp>
        <stp>[Bbg_Market_Data_CL.xlsm]data!R260C10</stp>
        <tr r="J260" s="1"/>
      </tp>
      <tp t="s">
        <v>#N/A Requesting Data...</v>
        <stp/>
        <stp>##V3_BDHV12</stp>
        <stp>CL1 Comdty</stp>
        <stp>MOV_AVG_5D</stp>
        <stp>09/02/2016</stp>
        <stp>09/02/2016</stp>
        <stp>[Bbg_Market_Data_CL.xlsm]data!R292C10</stp>
        <tr r="J292" s="1"/>
      </tp>
      <tp t="s">
        <v>#N/A Requesting Data...</v>
        <stp/>
        <stp>##V3_BDHV12</stp>
        <stp>CL1 Comdty</stp>
        <stp>MOV_AVG_5D</stp>
        <stp>08/03/2016</stp>
        <stp>08/03/2016</stp>
        <stp>[Bbg_Market_Data_CL.xlsm]data!R274C10</stp>
        <tr r="J274" s="1"/>
      </tp>
      <tp t="s">
        <v>#N/A Requesting Data...</v>
        <stp/>
        <stp>##V3_BDHV12</stp>
        <stp>CL1 Comdty</stp>
        <stp>MOV_AVG_5D</stp>
        <stp>18/02/2016</stp>
        <stp>18/02/2016</stp>
        <stp>[Bbg_Market_Data_CL.xlsm]data!R287C10</stp>
        <tr r="J287" s="1"/>
      </tp>
      <tp t="s">
        <v>#N/A Requesting Data...</v>
        <stp/>
        <stp>##V3_BDHV12</stp>
        <stp>CL2 Comdty</stp>
        <stp>MOV_AVG_5D</stp>
        <stp>09/12/2015</stp>
        <stp>09/12/2015</stp>
        <stp>[Bbg_Market_Data_CL.xlsm]data!R333C10</stp>
        <tr r="J333" s="1"/>
      </tp>
      <tp t="s">
        <v>#N/A Requesting Data...</v>
        <stp/>
        <stp>##V3_BDHV12</stp>
        <stp>CL1 Comdty</stp>
        <stp>MOV_AVG_5D</stp>
        <stp>09/11/2015</stp>
        <stp>09/11/2015</stp>
        <stp>[Bbg_Market_Data_CL.xlsm]data!R353C10</stp>
        <tr r="J353" s="1"/>
      </tp>
      <tp t="s">
        <v>#N/A Requesting Data...</v>
        <stp/>
        <stp>##V3_BDHV12</stp>
        <stp>CL1 Comdty</stp>
        <stp>MOV_AVG_5D</stp>
        <stp>19/10/2015</stp>
        <stp>19/10/2015</stp>
        <stp>[Bbg_Market_Data_CL.xlsm]data!R368C10</stp>
        <tr r="J368" s="1"/>
      </tp>
      <tp t="s">
        <v>#N/A Requesting Data...</v>
        <stp/>
        <stp>##V3_BDHV12</stp>
        <stp>CL2 Comdty</stp>
        <stp>MOV_AVG_5D</stp>
        <stp>29/10/2015</stp>
        <stp>29/10/2015</stp>
        <stp>[Bbg_Market_Data_CL.xlsm]data!R360C10</stp>
        <tr r="J360" s="1"/>
      </tp>
      <tp t="s">
        <v>#N/A Requesting Data...</v>
        <stp/>
        <stp>##V3_BDHV12</stp>
        <stp>CL2 Comdty</stp>
        <stp>MOV_AVG_5D</stp>
        <stp>19/10/2016</stp>
        <stp>19/10/2016</stp>
        <stp>[Bbg_Market_Data_CL.xlsm]data!R119C10</stp>
        <tr r="J119" s="1"/>
      </tp>
      <tp t="s">
        <v>#N/A Requesting Data...</v>
        <stp/>
        <stp>##V3_BDHV12</stp>
        <stp>CL2 Comdty</stp>
        <stp>MOV_AVG_5D</stp>
        <stp>09/11/2016</stp>
        <stp>09/11/2016</stp>
        <stp>[Bbg_Market_Data_CL.xlsm]data!R104C10</stp>
        <tr r="J104" s="1"/>
      </tp>
      <tp t="s">
        <v>#N/A Requesting Data...</v>
        <stp/>
        <stp>##V3_BDHV12</stp>
        <stp>CL2 Comdty</stp>
        <stp>MOV_AVG_5D</stp>
        <stp>18/12/2015</stp>
        <stp>18/12/2015</stp>
        <stp>[Bbg_Market_Data_CL.xlsm]data!R326C10</stp>
        <tr r="J326" s="1"/>
      </tp>
      <tp t="s">
        <v>#N/A Requesting Data...</v>
        <stp/>
        <stp>##V3_BDHV12</stp>
        <stp>CL1 Comdty</stp>
        <stp>MOV_AVG_5D</stp>
        <stp>28/12/2015</stp>
        <stp>28/12/2015</stp>
        <stp>[Bbg_Market_Data_CL.xlsm]data!R321C10</stp>
        <tr r="J321" s="1"/>
      </tp>
      <tp t="s">
        <v>#N/A Requesting Data...</v>
        <stp/>
        <stp>##V3_BDHV12</stp>
        <stp>CL1 Comdty</stp>
        <stp>MOV_AVG_5D</stp>
        <stp>18/11/2015</stp>
        <stp>18/11/2015</stp>
        <stp>[Bbg_Market_Data_CL.xlsm]data!R347C10</stp>
        <tr r="J347" s="1"/>
      </tp>
      <tp t="s">
        <v>#N/A Requesting Data...</v>
        <stp/>
        <stp>##V3_BDHV12</stp>
        <stp>CL1 Comdty</stp>
        <stp>MOV_AVG_5D</stp>
        <stp>08/10/2015</stp>
        <stp>08/10/2015</stp>
        <stp>[Bbg_Market_Data_CL.xlsm]data!R374C10</stp>
        <tr r="J374" s="1"/>
      </tp>
      <tp t="s">
        <v>#N/A Requesting Data...</v>
        <stp/>
        <stp>##V3_BDHV12</stp>
        <stp>CL1 Comdty</stp>
        <stp>PX_VOLUME</stp>
        <stp>01/12/2016</stp>
        <stp>01/12/2016</stp>
        <stp>[Bbg_Market_Data_CL.xlsm]data!R90C8</stp>
        <tr r="H90" s="1"/>
      </tp>
      <tp>
        <v>320570</v>
        <stp/>
        <stp>##V3_BDHV12</stp>
        <stp>CL2 Comdty</stp>
        <stp>PX_VOLUME</stp>
        <stp>01/12/2016</stp>
        <stp>01/12/2016</stp>
        <stp>[Bbg_Market_Data_CL.xlsm]data!R90C8</stp>
        <tr r="H90" s="1"/>
      </tp>
      <tp>
        <v>266515</v>
        <stp/>
        <stp>##V3_BDHV12</stp>
        <stp>CL2 Comdty</stp>
        <stp>PX_VOLUME</stp>
        <stp>13/02/2017</stp>
        <stp>13/02/2017</stp>
        <stp>[Bbg_Market_Data_CL.xlsm]data!R41C8</stp>
        <tr r="H41" s="1"/>
      </tp>
      <tp t="s">
        <v>#N/A Requesting Data...</v>
        <stp/>
        <stp>##V3_BDHV12</stp>
        <stp>CL1 Comdty</stp>
        <stp>PX_VOLUME</stp>
        <stp>13/02/2017</stp>
        <stp>13/02/2017</stp>
        <stp>[Bbg_Market_Data_CL.xlsm]data!R41C8</stp>
        <tr r="H41" s="1"/>
      </tp>
      <tp t="s">
        <v>#N/A Requesting Data...</v>
        <stp/>
        <stp>##V3_BDHV12</stp>
        <stp>CL1 Comdty</stp>
        <stp>PX_VOLUME</stp>
        <stp>30/01/2017</stp>
        <stp>30/01/2017</stp>
        <stp>[Bbg_Market_Data_CL.xlsm]data!R51C8</stp>
        <tr r="H51" s="1"/>
      </tp>
      <tp>
        <v>147053</v>
        <stp/>
        <stp>##V3_BDHV12</stp>
        <stp>CL2 Comdty</stp>
        <stp>PX_VOLUME</stp>
        <stp>30/01/2017</stp>
        <stp>30/01/2017</stp>
        <stp>[Bbg_Market_Data_CL.xlsm]data!R51C8</stp>
        <tr r="H51" s="1"/>
      </tp>
      <tp>
        <v>393761</v>
        <stp/>
        <stp>##V3_BDHV12</stp>
        <stp>CL2 Comdty</stp>
        <stp>PX_VOLUME</stp>
        <stp>14/03/2017</stp>
        <stp>14/03/2017</stp>
        <stp>[Bbg_Market_Data_CL.xlsm]data!R21C8</stp>
        <tr r="H21" s="1"/>
      </tp>
      <tp t="s">
        <v>#N/A Requesting Data...</v>
        <stp/>
        <stp>##V3_BDHV12</stp>
        <stp>CL1 Comdty</stp>
        <stp>PX_VOLUME</stp>
        <stp>14/03/2017</stp>
        <stp>14/03/2017</stp>
        <stp>[Bbg_Market_Data_CL.xlsm]data!R21C8</stp>
        <tr r="H21" s="1"/>
      </tp>
      <tp t="s">
        <v>#N/A Requesting Data...</v>
        <stp/>
        <stp>##V3_BDHV12</stp>
        <stp>CL1 Comdty</stp>
        <stp>PX_VOLUME</stp>
        <stp>15/12/2016</stp>
        <stp>15/12/2016</stp>
        <stp>[Bbg_Market_Data_CL.xlsm]data!R80C8</stp>
        <tr r="H80" s="1"/>
      </tp>
      <tp>
        <v>395078</v>
        <stp/>
        <stp>##V3_BDHV12</stp>
        <stp>CL2 Comdty</stp>
        <stp>PX_VOLUME</stp>
        <stp>15/12/2016</stp>
        <stp>15/12/2016</stp>
        <stp>[Bbg_Market_Data_CL.xlsm]data!R80C8</stp>
        <tr r="H80" s="1"/>
      </tp>
      <tp t="s">
        <v>#N/A Requesting Data...</v>
        <stp/>
        <stp>##V3_BDHV12</stp>
        <stp>CL1 Comdty</stp>
        <stp>PX_VOLUME</stp>
        <stp>28/03/2017</stp>
        <stp>28/03/2017</stp>
        <stp>[Bbg_Market_Data_CL.xlsm]data!R11C8</stp>
        <tr r="H11" s="1"/>
      </tp>
      <tp>
        <v>147134</v>
        <stp/>
        <stp>##V3_BDHV12</stp>
        <stp>CL2 Comdty</stp>
        <stp>PX_VOLUME</stp>
        <stp>28/03/2017</stp>
        <stp>28/03/2017</stp>
        <stp>[Bbg_Market_Data_CL.xlsm]data!R11C8</stp>
        <tr r="H11" s="1"/>
      </tp>
      <tp t="s">
        <v>#N/A Requesting Data...</v>
        <stp/>
        <stp>##V3_BDHV12</stp>
        <stp>CL1 Comdty</stp>
        <stp>PX_VOLUME</stp>
        <stp>13/01/2017</stp>
        <stp>13/01/2017</stp>
        <stp>[Bbg_Market_Data_CL.xlsm]data!R61C8</stp>
        <tr r="H61" s="1"/>
      </tp>
      <tp>
        <v>253202</v>
        <stp/>
        <stp>##V3_BDHV12</stp>
        <stp>CL2 Comdty</stp>
        <stp>PX_VOLUME</stp>
        <stp>13/01/2017</stp>
        <stp>13/01/2017</stp>
        <stp>[Bbg_Market_Data_CL.xlsm]data!R61C8</stp>
        <tr r="H61" s="1"/>
      </tp>
      <tp>
        <v>76883</v>
        <stp/>
        <stp>##V3_BDHV12</stp>
        <stp>CL2 Comdty</stp>
        <stp>PX_VOLUME</stp>
        <stp>30/12/2016</stp>
        <stp>30/12/2016</stp>
        <stp>[Bbg_Market_Data_CL.xlsm]data!R70C8</stp>
        <tr r="H70" s="1"/>
      </tp>
      <tp t="s">
        <v>#N/A Requesting Data...</v>
        <stp/>
        <stp>##V3_BDHV12</stp>
        <stp>CL1 Comdty</stp>
        <stp>PX_VOLUME</stp>
        <stp>30/12/2016</stp>
        <stp>30/12/2016</stp>
        <stp>[Bbg_Market_Data_CL.xlsm]data!R70C8</stp>
        <tr r="H70" s="1"/>
      </tp>
      <tp>
        <v>193975</v>
        <stp/>
        <stp>##V3_BDHV12</stp>
        <stp>CL2 Comdty</stp>
        <stp>PX_VOLUME</stp>
        <stp>28/02/2017</stp>
        <stp>28/02/2017</stp>
        <stp>[Bbg_Market_Data_CL.xlsm]data!R31C8</stp>
        <tr r="H31" s="1"/>
      </tp>
      <tp t="s">
        <v>#N/A Requesting Data...</v>
        <stp/>
        <stp>##V3_BDHV12</stp>
        <stp>CL1 Comdty</stp>
        <stp>PX_VOLUME</stp>
        <stp>28/02/2017</stp>
        <stp>28/02/2017</stp>
        <stp>[Bbg_Market_Data_CL.xlsm]data!R31C8</stp>
        <tr r="H31" s="1"/>
      </tp>
      <tp t="s">
        <v>#N/A Requesting Data...</v>
        <stp/>
        <stp>##V3_BDHV12</stp>
        <stp>CL1 Comdty</stp>
        <stp>PX_LAST</stp>
        <stp>05/04/2017</stp>
        <stp>05/04/2017</stp>
        <stp>[Bbg_Market_Data_CL.xlsm]data!R5C9</stp>
        <tr r="I5" s="1"/>
      </tp>
      <tp t="s">
        <v>#N/A Requesting Data...</v>
        <stp/>
        <stp>##V3_BDHV12</stp>
        <stp>CL2 Comdty</stp>
        <stp>PX_LAST</stp>
        <stp>05/04/2017</stp>
        <stp>05/04/2017</stp>
        <stp>[Bbg_Market_Data_CL.xlsm]data!R5C9</stp>
        <tr r="I5" s="1"/>
      </tp>
      <tp t="s">
        <v>#N/A Requesting Data...</v>
        <stp/>
        <stp>##V3_BDHV12</stp>
        <stp>CL2 Comdty</stp>
        <stp>MOV_AVG_5D</stp>
        <stp>02/09/2016</stp>
        <stp>02/09/2016</stp>
        <stp>[Bbg_Market_Data_CL.xlsm]data!R150C10</stp>
        <tr r="J150" s="1"/>
      </tp>
      <tp t="s">
        <v>#N/A Requesting Data...</v>
        <stp/>
        <stp>##V3_BDHV12</stp>
        <stp>CL1 Comdty</stp>
        <stp>MOV_AVG_5D</stp>
        <stp>22/08/2016</stp>
        <stp>22/08/2016</stp>
        <stp>[Bbg_Market_Data_CL.xlsm]data!R159C10</stp>
        <tr r="J159" s="1"/>
      </tp>
      <tp t="s">
        <v>#N/A Requesting Data...</v>
        <stp/>
        <stp>##V3_BDHV12</stp>
        <stp>CL2 Comdty</stp>
        <stp>MOV_AVG_5D</stp>
        <stp>12/08/2016</stp>
        <stp>12/08/2016</stp>
        <stp>[Bbg_Market_Data_CL.xlsm]data!R165C10</stp>
        <tr r="J165" s="1"/>
      </tp>
      <tp t="s">
        <v>#N/A Requesting Data...</v>
        <stp/>
        <stp>##V3_BDHV12</stp>
        <stp>CL2 Comdty</stp>
        <stp>MOV_AVG_5D</stp>
        <stp>23/09/2015</stp>
        <stp>23/09/2015</stp>
        <stp>[Bbg_Market_Data_CL.xlsm]data!R385C10</stp>
        <tr r="J385" s="1"/>
      </tp>
      <tp t="s">
        <v>#N/A Requesting Data...</v>
        <stp/>
        <stp>##V3_BDHV12</stp>
        <stp>CL1 Comdty</stp>
        <stp>MOV_AVG_5D</stp>
        <stp>23/09/2016</stp>
        <stp>23/09/2016</stp>
        <stp>[Bbg_Market_Data_CL.xlsm]data!R136C10</stp>
        <tr r="J136" s="1"/>
      </tp>
      <tp t="s">
        <v>#N/A Requesting Data...</v>
        <stp/>
        <stp>##V3_BDHV12</stp>
        <stp>CL2 Comdty</stp>
        <stp>MOV_AVG_5D</stp>
        <stp>13/09/2016</stp>
        <stp>13/09/2016</stp>
        <stp>[Bbg_Market_Data_CL.xlsm]data!R144C10</stp>
        <tr r="J144" s="1"/>
      </tp>
      <tp t="s">
        <v>#N/A Requesting Data...</v>
        <stp/>
        <stp>##V3_BDHV12</stp>
        <stp>CL2 Comdty</stp>
        <stp>MOV_AVG_5D</stp>
        <stp>03/08/2016</stp>
        <stp>03/08/2016</stp>
        <stp>[Bbg_Market_Data_CL.xlsm]data!R171C10</stp>
        <tr r="J171" s="1"/>
      </tp>
      <tp t="s">
        <v>#N/A Requesting Data...</v>
        <stp/>
        <stp>##V3_BDHV12</stp>
        <stp>CL1 Comdty</stp>
        <stp>MOV_AVG_5D</stp>
        <stp>02/09/2015</stp>
        <stp>02/09/2015</stp>
        <stp>[Bbg_Market_Data_CL.xlsm]data!R399C10</stp>
        <tr r="J399" s="1"/>
      </tp>
      <tp t="s">
        <v>#N/A Requesting Data...</v>
        <stp/>
        <stp>##V3_BDHV12</stp>
        <stp>CL2 Comdty</stp>
        <stp>MOV_AVG_5D</stp>
        <stp>20/09/2016</stp>
        <stp>20/09/2016</stp>
        <stp>[Bbg_Market_Data_CL.xlsm]data!R139C10</stp>
        <tr r="J139" s="1"/>
      </tp>
      <tp t="s">
        <v>#N/A Requesting Data...</v>
        <stp/>
        <stp>##V3_BDHV12</stp>
        <stp>CL2 Comdty</stp>
        <stp>MOV_AVG_5D</stp>
        <stp>30/08/2016</stp>
        <stp>30/08/2016</stp>
        <stp>[Bbg_Market_Data_CL.xlsm]data!R153C10</stp>
        <tr r="J153" s="1"/>
      </tp>
      <tp t="s">
        <v>#N/A Requesting Data...</v>
        <stp/>
        <stp>##V3_BDHV12</stp>
        <stp>CL1 Comdty</stp>
        <stp>MOV_AVG_5D</stp>
        <stp>01/09/2016</stp>
        <stp>01/09/2016</stp>
        <stp>[Bbg_Market_Data_CL.xlsm]data!R151C10</stp>
        <tr r="J151" s="1"/>
      </tp>
      <tp t="s">
        <v>#N/A Requesting Data...</v>
        <stp/>
        <stp>##V3_BDHV12</stp>
        <stp>CL1 Comdty</stp>
        <stp>MOV_AVG_5D</stp>
        <stp>11/08/2016</stp>
        <stp>11/08/2016</stp>
        <stp>[Bbg_Market_Data_CL.xlsm]data!R166C10</stp>
        <tr r="J166" s="1"/>
      </tp>
      <tp t="s">
        <v>#N/A Requesting Data...</v>
        <stp/>
        <stp>##V3_BDHV12</stp>
        <stp>CL2 Comdty</stp>
        <stp>MOV_AVG_5D</stp>
        <stp>10/09/2015</stp>
        <stp>10/09/2015</stp>
        <stp>[Bbg_Market_Data_CL.xlsm]data!R394C10</stp>
        <tr r="J394" s="1"/>
      </tp>
      <tp t="s">
        <v>#N/A Requesting Data...</v>
        <stp/>
        <stp>##V3_BDHV12</stp>
        <stp>CL1 Comdty</stp>
        <stp>MOV_AVG_5D</stp>
        <stp>21/08/2015</stp>
        <stp>21/08/2015</stp>
        <stp>[Bbg_Market_Data_CL.xlsm]data!R407C10</stp>
        <tr r="J407" s="1"/>
      </tp>
      <tp t="s">
        <v>#N/A Requesting Data...</v>
        <stp/>
        <stp>##V3_BDHV12</stp>
        <stp>CL2 Comdty</stp>
        <stp>MOV_AVG_5D</stp>
        <stp>01/09/2015</stp>
        <stp>01/09/2015</stp>
        <stp>[Bbg_Market_Data_CL.xlsm]data!R400C10</stp>
        <tr r="J400" s="1"/>
      </tp>
      <tp t="s">
        <v>#N/A Requesting Data...</v>
        <stp/>
        <stp>##V3_BDHV12</stp>
        <stp>CL2 Comdty</stp>
        <stp>MOV_AVG_5D</stp>
        <stp>11/08/2015</stp>
        <stp>11/08/2015</stp>
        <stp>[Bbg_Market_Data_CL.xlsm]data!R415C10</stp>
        <tr r="J415" s="1"/>
      </tp>
      <tp t="s">
        <v>#N/A Requesting Data...</v>
        <stp/>
        <stp>##V3_BDHV12</stp>
        <stp>CL1 Comdty</stp>
        <stp>MOV_AVG_5D</stp>
        <stp>12/08/2015</stp>
        <stp>12/08/2015</stp>
        <stp>[Bbg_Market_Data_CL.xlsm]data!R414C10</stp>
        <tr r="J414" s="1"/>
      </tp>
      <tp t="s">
        <v>#N/A Requesting Data...</v>
        <stp/>
        <stp>##V3_BDHV12</stp>
        <stp>CL1 Comdty</stp>
        <stp>MOV_AVG_5D</stp>
        <stp>03/08/2015</stp>
        <stp>03/08/2015</stp>
        <stp>[Bbg_Market_Data_CL.xlsm]data!R421C10</stp>
        <tr r="J421" s="1"/>
      </tp>
      <tp t="s">
        <v>#N/A Requesting Data...</v>
        <stp/>
        <stp>##V3_BDHV12</stp>
        <stp>CL2 Comdty</stp>
        <stp>MOV_AVG_5D</stp>
        <stp>28/01/2016</stp>
        <stp>28/01/2016</stp>
        <stp>[Bbg_Market_Data_CL.xlsm]data!R300C10</stp>
        <tr r="J300" s="1"/>
      </tp>
      <tp t="s">
        <v>#N/A Requesting Data...</v>
        <stp/>
        <stp>##V3_BDHV12</stp>
        <stp>CL1 Comdty</stp>
        <stp>MOV_AVG_5D</stp>
        <stp>29/03/2016</stp>
        <stp>29/03/2016</stp>
        <stp>[Bbg_Market_Data_CL.xlsm]data!R260C10</stp>
        <tr r="J260" s="1"/>
      </tp>
      <tp t="s">
        <v>#N/A Requesting Data...</v>
        <stp/>
        <stp>##V3_BDHV12</stp>
        <stp>CL2 Comdty</stp>
        <stp>MOV_AVG_5D</stp>
        <stp>09/02/2016</stp>
        <stp>09/02/2016</stp>
        <stp>[Bbg_Market_Data_CL.xlsm]data!R292C10</stp>
        <tr r="J292" s="1"/>
      </tp>
      <tp t="s">
        <v>#N/A Requesting Data...</v>
        <stp/>
        <stp>##V3_BDHV12</stp>
        <stp>CL2 Comdty</stp>
        <stp>MOV_AVG_5D</stp>
        <stp>08/03/2016</stp>
        <stp>08/03/2016</stp>
        <stp>[Bbg_Market_Data_CL.xlsm]data!R274C10</stp>
        <tr r="J274" s="1"/>
      </tp>
      <tp t="s">
        <v>#N/A Requesting Data...</v>
        <stp/>
        <stp>##V3_BDHV12</stp>
        <stp>CL2 Comdty</stp>
        <stp>MOV_AVG_5D</stp>
        <stp>18/02/2016</stp>
        <stp>18/02/2016</stp>
        <stp>[Bbg_Market_Data_CL.xlsm]data!R287C10</stp>
        <tr r="J287" s="1"/>
      </tp>
      <tp t="s">
        <v>#N/A Requesting Data...</v>
        <stp/>
        <stp>##V3_BDHV12</stp>
        <stp>CL1 Comdty</stp>
        <stp>MOV_AVG_5D</stp>
        <stp>09/12/2015</stp>
        <stp>09/12/2015</stp>
        <stp>[Bbg_Market_Data_CL.xlsm]data!R333C10</stp>
        <tr r="J333" s="1"/>
      </tp>
      <tp t="s">
        <v>#N/A Requesting Data...</v>
        <stp/>
        <stp>##V3_BDHV12</stp>
        <stp>CL2 Comdty</stp>
        <stp>MOV_AVG_5D</stp>
        <stp>09/11/2015</stp>
        <stp>09/11/2015</stp>
        <stp>[Bbg_Market_Data_CL.xlsm]data!R353C10</stp>
        <tr r="J353" s="1"/>
      </tp>
      <tp t="s">
        <v>#N/A Requesting Data...</v>
        <stp/>
        <stp>##V3_BDHV12</stp>
        <stp>CL2 Comdty</stp>
        <stp>MOV_AVG_5D</stp>
        <stp>19/10/2015</stp>
        <stp>19/10/2015</stp>
        <stp>[Bbg_Market_Data_CL.xlsm]data!R368C10</stp>
        <tr r="J368" s="1"/>
      </tp>
      <tp t="s">
        <v>#N/A Requesting Data...</v>
        <stp/>
        <stp>##V3_BDHV12</stp>
        <stp>CL1 Comdty</stp>
        <stp>MOV_AVG_5D</stp>
        <stp>29/10/2015</stp>
        <stp>29/10/2015</stp>
        <stp>[Bbg_Market_Data_CL.xlsm]data!R360C10</stp>
        <tr r="J360" s="1"/>
      </tp>
      <tp t="s">
        <v>#N/A Requesting Data...</v>
        <stp/>
        <stp>##V3_BDHV12</stp>
        <stp>CL1 Comdty</stp>
        <stp>MOV_AVG_5D</stp>
        <stp>19/10/2016</stp>
        <stp>19/10/2016</stp>
        <stp>[Bbg_Market_Data_CL.xlsm]data!R119C10</stp>
        <tr r="J119" s="1"/>
      </tp>
      <tp t="s">
        <v>#N/A Requesting Data...</v>
        <stp/>
        <stp>##V3_BDHV12</stp>
        <stp>CL1 Comdty</stp>
        <stp>MOV_AVG_5D</stp>
        <stp>09/11/2016</stp>
        <stp>09/11/2016</stp>
        <stp>[Bbg_Market_Data_CL.xlsm]data!R104C10</stp>
        <tr r="J104" s="1"/>
      </tp>
      <tp t="s">
        <v>#N/A Requesting Data...</v>
        <stp/>
        <stp>##V3_BDHV12</stp>
        <stp>CL1 Comdty</stp>
        <stp>MOV_AVG_5D</stp>
        <stp>18/12/2015</stp>
        <stp>18/12/2015</stp>
        <stp>[Bbg_Market_Data_CL.xlsm]data!R326C10</stp>
        <tr r="J326" s="1"/>
      </tp>
      <tp t="s">
        <v>#N/A Requesting Data...</v>
        <stp/>
        <stp>##V3_BDHV12</stp>
        <stp>CL2 Comdty</stp>
        <stp>MOV_AVG_5D</stp>
        <stp>28/12/2015</stp>
        <stp>28/12/2015</stp>
        <stp>[Bbg_Market_Data_CL.xlsm]data!R321C10</stp>
        <tr r="J321" s="1"/>
      </tp>
      <tp t="s">
        <v>#N/A Requesting Data...</v>
        <stp/>
        <stp>##V3_BDHV12</stp>
        <stp>CL2 Comdty</stp>
        <stp>MOV_AVG_5D</stp>
        <stp>18/11/2015</stp>
        <stp>18/11/2015</stp>
        <stp>[Bbg_Market_Data_CL.xlsm]data!R347C10</stp>
        <tr r="J347" s="1"/>
      </tp>
      <tp t="s">
        <v>#N/A Requesting Data...</v>
        <stp/>
        <stp>##V3_BDHV12</stp>
        <stp>CL2 Comdty</stp>
        <stp>MOV_AVG_5D</stp>
        <stp>08/10/2015</stp>
        <stp>08/10/2015</stp>
        <stp>[Bbg_Market_Data_CL.xlsm]data!R374C10</stp>
        <tr r="J374" s="1"/>
      </tp>
      <tp>
        <v>125116</v>
        <stp/>
        <stp>##V3_BDHV12</stp>
        <stp>CL2 Comdty</stp>
        <stp>PX_VOLUME</stp>
        <stp>01/03/2017</stp>
        <stp>01/03/2017</stp>
        <stp>[Bbg_Market_Data_CL.xlsm]data!R30C8</stp>
        <tr r="H30" s="1"/>
      </tp>
      <tp t="s">
        <v>#N/A Requesting Data...</v>
        <stp/>
        <stp>##V3_BDHV12</stp>
        <stp>CL1 Comdty</stp>
        <stp>PX_VOLUME</stp>
        <stp>01/03/2017</stp>
        <stp>01/03/2017</stp>
        <stp>[Bbg_Market_Data_CL.xlsm]data!R30C8</stp>
        <tr r="H30" s="1"/>
      </tp>
      <tp t="s">
        <v>#N/A Requesting Data...</v>
        <stp/>
        <stp>##V3_BDHV12</stp>
        <stp>CL1 Comdty</stp>
        <stp>PX_VOLUME</stp>
        <stp>30/11/2016</stp>
        <stp>30/11/2016</stp>
        <stp>[Bbg_Market_Data_CL.xlsm]data!R91C8</stp>
        <tr r="H91" s="1"/>
      </tp>
      <tp>
        <v>381490</v>
        <stp/>
        <stp>##V3_BDHV12</stp>
        <stp>CL2 Comdty</stp>
        <stp>PX_VOLUME</stp>
        <stp>30/11/2016</stp>
        <stp>30/11/2016</stp>
        <stp>[Bbg_Market_Data_CL.xlsm]data!R91C8</stp>
        <tr r="H91" s="1"/>
      </tp>
      <tp t="s">
        <v>#N/A Requesting Data...</v>
        <stp/>
        <stp>##V3_BDHV12</stp>
        <stp>CL1 Comdty</stp>
        <stp>PX_VOLUME</stp>
        <stp>14/02/2017</stp>
        <stp>14/02/2017</stp>
        <stp>[Bbg_Market_Data_CL.xlsm]data!R40C8</stp>
        <tr r="H40" s="1"/>
      </tp>
      <tp>
        <v>253676</v>
        <stp/>
        <stp>##V3_BDHV12</stp>
        <stp>CL2 Comdty</stp>
        <stp>PX_VOLUME</stp>
        <stp>14/02/2017</stp>
        <stp>14/02/2017</stp>
        <stp>[Bbg_Market_Data_CL.xlsm]data!R40C8</stp>
        <tr r="H40" s="1"/>
      </tp>
      <tp t="s">
        <v>#N/A Requesting Data...</v>
        <stp/>
        <stp>##V3_BDHV12</stp>
        <stp>CL1 Comdty</stp>
        <stp>PX_VOLUME</stp>
        <stp>31/01/2017</stp>
        <stp>31/01/2017</stp>
        <stp>[Bbg_Market_Data_CL.xlsm]data!R50C8</stp>
        <tr r="H50" s="1"/>
      </tp>
      <tp>
        <v>227176</v>
        <stp/>
        <stp>##V3_BDHV12</stp>
        <stp>CL2 Comdty</stp>
        <stp>PX_VOLUME</stp>
        <stp>31/01/2017</stp>
        <stp>31/01/2017</stp>
        <stp>[Bbg_Market_Data_CL.xlsm]data!R50C8</stp>
        <tr r="H50" s="1"/>
      </tp>
      <tp t="s">
        <v>#N/A Requesting Data...</v>
        <stp/>
        <stp>##V3_BDHV12</stp>
        <stp>CL1 Comdty</stp>
        <stp>PX_VOLUME</stp>
        <stp>14/12/2016</stp>
        <stp>14/12/2016</stp>
        <stp>[Bbg_Market_Data_CL.xlsm]data!R81C8</stp>
        <tr r="H81" s="1"/>
      </tp>
      <tp>
        <v>356887</v>
        <stp/>
        <stp>##V3_BDHV12</stp>
        <stp>CL2 Comdty</stp>
        <stp>PX_VOLUME</stp>
        <stp>14/12/2016</stp>
        <stp>14/12/2016</stp>
        <stp>[Bbg_Market_Data_CL.xlsm]data!R81C8</stp>
        <tr r="H81" s="1"/>
      </tp>
      <tp>
        <v>388673</v>
        <stp/>
        <stp>##V3_BDHV12</stp>
        <stp>CL2 Comdty</stp>
        <stp>PX_VOLUME</stp>
        <stp>15/03/2017</stp>
        <stp>15/03/2017</stp>
        <stp>[Bbg_Market_Data_CL.xlsm]data!R20C8</stp>
        <tr r="H20" s="1"/>
      </tp>
      <tp t="s">
        <v>#N/A Requesting Data...</v>
        <stp/>
        <stp>##V3_BDHV12</stp>
        <stp>CL1 Comdty</stp>
        <stp>PX_VOLUME</stp>
        <stp>15/03/2017</stp>
        <stp>15/03/2017</stp>
        <stp>[Bbg_Market_Data_CL.xlsm]data!R20C8</stp>
        <tr r="H20" s="1"/>
      </tp>
      <tp>
        <v>128316</v>
        <stp/>
        <stp>##V3_BDHV12</stp>
        <stp>CL2 Comdty</stp>
        <stp>PX_VOLUME</stp>
        <stp>29/12/2016</stp>
        <stp>29/12/2016</stp>
        <stp>[Bbg_Market_Data_CL.xlsm]data!R71C8</stp>
        <tr r="H71" s="1"/>
      </tp>
      <tp t="s">
        <v>#N/A Requesting Data...</v>
        <stp/>
        <stp>##V3_BDHV12</stp>
        <stp>CL1 Comdty</stp>
        <stp>PX_VOLUME</stp>
        <stp>29/12/2016</stp>
        <stp>29/12/2016</stp>
        <stp>[Bbg_Market_Data_CL.xlsm]data!R71C8</stp>
        <tr r="H71" s="1"/>
      </tp>
      <tp t="s">
        <v>#N/A Requesting Data...</v>
        <stp/>
        <stp>##V3_BDHV12</stp>
        <stp>CL1 Comdty</stp>
        <stp>PX_VOLUME</stp>
        <stp>29/03/2017</stp>
        <stp>29/03/2017</stp>
        <stp>[Bbg_Market_Data_CL.xlsm]data!R10C8</stp>
        <tr r="H10" s="1"/>
      </tp>
      <tp>
        <v>168108</v>
        <stp/>
        <stp>##V3_BDHV12</stp>
        <stp>CL2 Comdty</stp>
        <stp>PX_VOLUME</stp>
        <stp>29/03/2017</stp>
        <stp>29/03/2017</stp>
        <stp>[Bbg_Market_Data_CL.xlsm]data!R10C8</stp>
        <tr r="H10" s="1"/>
      </tp>
      <tp t="s">
        <v>#N/A Requesting Data...</v>
        <stp/>
        <stp>##V3_BDHV12</stp>
        <stp>CL1 Comdty</stp>
        <stp>PX_VOLUME</stp>
        <stp>17/01/2017</stp>
        <stp>17/01/2017</stp>
        <stp>[Bbg_Market_Data_CL.xlsm]data!R60C8</stp>
        <tr r="H60" s="1"/>
      </tp>
      <tp>
        <v>424660</v>
        <stp/>
        <stp>##V3_BDHV12</stp>
        <stp>CL2 Comdty</stp>
        <stp>PX_VOLUME</stp>
        <stp>17/01/2017</stp>
        <stp>17/01/2017</stp>
        <stp>[Bbg_Market_Data_CL.xlsm]data!R60C8</stp>
        <tr r="H60" s="1"/>
      </tp>
      <tp t="s">
        <v>#N/A Requesting Data...</v>
        <stp/>
        <stp>##V3_BDHV12</stp>
        <stp>CL1 Comdty</stp>
        <stp>MOV_AVG_5D</stp>
        <stp>22/09/2016</stp>
        <stp>22/09/2016</stp>
        <stp>[Bbg_Market_Data_CL.xlsm]data!R137C10</stp>
        <tr r="J137" s="1"/>
      </tp>
      <tp t="s">
        <v>#N/A Requesting Data...</v>
        <stp/>
        <stp>##V3_BDHV12</stp>
        <stp>CL2 Comdty</stp>
        <stp>MOV_AVG_5D</stp>
        <stp>12/09/2016</stp>
        <stp>12/09/2016</stp>
        <stp>[Bbg_Market_Data_CL.xlsm]data!R145C10</stp>
        <tr r="J145" s="1"/>
      </tp>
      <tp t="s">
        <v>#N/A Requesting Data...</v>
        <stp/>
        <stp>##V3_BDHV12</stp>
        <stp>CL2 Comdty</stp>
        <stp>MOV_AVG_5D</stp>
        <stp>02/08/2016</stp>
        <stp>02/08/2016</stp>
        <stp>[Bbg_Market_Data_CL.xlsm]data!R172C10</stp>
        <tr r="J172" s="1"/>
      </tp>
      <tp t="s">
        <v>#N/A Requesting Data...</v>
        <stp/>
        <stp>##V3_BDHV12</stp>
        <stp>CL1 Comdty</stp>
        <stp>MOV_AVG_5D</stp>
        <stp>03/09/2015</stp>
        <stp>03/09/2015</stp>
        <stp>[Bbg_Market_Data_CL.xlsm]data!R398C10</stp>
        <tr r="J398" s="1"/>
      </tp>
      <tp t="s">
        <v>#N/A Requesting Data...</v>
        <stp/>
        <stp>##V3_BDHV12</stp>
        <stp>CL1 Comdty</stp>
        <stp>MOV_AVG_5D</stp>
        <stp>23/08/2016</stp>
        <stp>23/08/2016</stp>
        <stp>[Bbg_Market_Data_CL.xlsm]data!R158C10</stp>
        <tr r="J158" s="1"/>
      </tp>
      <tp t="s">
        <v>#N/A Requesting Data...</v>
        <stp/>
        <stp>##V3_BDHV12</stp>
        <stp>CL2 Comdty</stp>
        <stp>MOV_AVG_5D</stp>
        <stp>22/09/2015</stp>
        <stp>22/09/2015</stp>
        <stp>[Bbg_Market_Data_CL.xlsm]data!R386C10</stp>
        <tr r="J386" s="1"/>
      </tp>
      <tp t="s">
        <v>#N/A Requesting Data...</v>
        <stp/>
        <stp>##V3_BDHV12</stp>
        <stp>CL2 Comdty</stp>
        <stp>MOV_AVG_5D</stp>
        <stp>30/09/2016</stp>
        <stp>30/09/2016</stp>
        <stp>[Bbg_Market_Data_CL.xlsm]data!R131C10</stp>
        <tr r="J131" s="1"/>
      </tp>
      <tp t="s">
        <v>#N/A Requesting Data...</v>
        <stp/>
        <stp>##V3_BDHV12</stp>
        <stp>CL1 Comdty</stp>
        <stp>MOV_AVG_5D</stp>
        <stp>10/08/2016</stp>
        <stp>10/08/2016</stp>
        <stp>[Bbg_Market_Data_CL.xlsm]data!R167C10</stp>
        <tr r="J167" s="1"/>
      </tp>
      <tp t="s">
        <v>#N/A Requesting Data...</v>
        <stp/>
        <stp>##V3_BDHV12</stp>
        <stp>CL1 Comdty</stp>
        <stp>MOV_AVG_5D</stp>
        <stp>21/09/2015</stp>
        <stp>21/09/2015</stp>
        <stp>[Bbg_Market_Data_CL.xlsm]data!R387C10</stp>
        <tr r="J387" s="1"/>
      </tp>
      <tp t="s">
        <v>#N/A Requesting Data...</v>
        <stp/>
        <stp>##V3_BDHV12</stp>
        <stp>CL2 Comdty</stp>
        <stp>MOV_AVG_5D</stp>
        <stp>11/09/2015</stp>
        <stp>11/09/2015</stp>
        <stp>[Bbg_Market_Data_CL.xlsm]data!R393C10</stp>
        <tr r="J393" s="1"/>
      </tp>
      <tp t="s">
        <v>#N/A Requesting Data...</v>
        <stp/>
        <stp>##V3_BDHV12</stp>
        <stp>CL2 Comdty</stp>
        <stp>MOV_AVG_5D</stp>
        <stp>21/09/2016</stp>
        <stp>21/09/2016</stp>
        <stp>[Bbg_Market_Data_CL.xlsm]data!R138C10</stp>
        <tr r="J138" s="1"/>
      </tp>
      <tp t="s">
        <v>#N/A Requesting Data...</v>
        <stp/>
        <stp>##V3_BDHV12</stp>
        <stp>CL2 Comdty</stp>
        <stp>MOV_AVG_5D</stp>
        <stp>31/08/2016</stp>
        <stp>31/08/2016</stp>
        <stp>[Bbg_Market_Data_CL.xlsm]data!R152C10</stp>
        <tr r="J152" s="1"/>
      </tp>
      <tp t="s">
        <v>#N/A Requesting Data...</v>
        <stp/>
        <stp>##V3_BDHV12</stp>
        <stp>CL1 Comdty</stp>
        <stp>MOV_AVG_5D</stp>
        <stp>01/08/2016</stp>
        <stp>01/08/2016</stp>
        <stp>[Bbg_Market_Data_CL.xlsm]data!R173C10</stp>
        <tr r="J173" s="1"/>
      </tp>
      <tp t="s">
        <v>#N/A Requesting Data...</v>
        <stp/>
        <stp>##V3_BDHV12</stp>
        <stp>CL1 Comdty</stp>
        <stp>MOV_AVG_5D</stp>
        <stp>30/09/2015</stp>
        <stp>30/09/2015</stp>
        <stp>[Bbg_Market_Data_CL.xlsm]data!R380C10</stp>
        <tr r="J380" s="1"/>
      </tp>
      <tp t="s">
        <v>#N/A Requesting Data...</v>
        <stp/>
        <stp>##V3_BDHV12</stp>
        <stp>CL1 Comdty</stp>
        <stp>MOV_AVG_5D</stp>
        <stp>20/08/2015</stp>
        <stp>20/08/2015</stp>
        <stp>[Bbg_Market_Data_CL.xlsm]data!R408C10</stp>
        <tr r="J408" s="1"/>
      </tp>
      <tp t="s">
        <v>#N/A Requesting Data...</v>
        <stp/>
        <stp>##V3_BDHV12</stp>
        <stp>CL2 Comdty</stp>
        <stp>MOV_AVG_5D</stp>
        <stp>10/08/2015</stp>
        <stp>10/08/2015</stp>
        <stp>[Bbg_Market_Data_CL.xlsm]data!R416C10</stp>
        <tr r="J416" s="1"/>
      </tp>
      <tp t="s">
        <v>#N/A Requesting Data...</v>
        <stp/>
        <stp>##V3_BDHV12</stp>
        <stp>CL1 Comdty</stp>
        <stp>MOV_AVG_5D</stp>
        <stp>31/08/2015</stp>
        <stp>31/08/2015</stp>
        <stp>[Bbg_Market_Data_CL.xlsm]data!R401C10</stp>
        <tr r="J401" s="1"/>
      </tp>
      <tp t="s">
        <v>#N/A Requesting Data...</v>
        <stp/>
        <stp>##V3_BDHV12</stp>
        <stp>CL1 Comdty</stp>
        <stp>MOV_AVG_5D</stp>
        <stp>13/08/2015</stp>
        <stp>13/08/2015</stp>
        <stp>[Bbg_Market_Data_CL.xlsm]data!R413C10</stp>
        <tr r="J413" s="1"/>
      </tp>
      <tp t="s">
        <v>#N/A Requesting Data...</v>
        <stp/>
        <stp>##V3_BDHV12</stp>
        <stp>CL1 Comdty</stp>
        <stp>MOV_AVG_5D</stp>
        <stp>08/01/2016</stp>
        <stp>08/01/2016</stp>
        <stp>[Bbg_Market_Data_CL.xlsm]data!R313C10</stp>
        <tr r="J313" s="1"/>
      </tp>
      <tp t="s">
        <v>#N/A Requesting Data...</v>
        <stp/>
        <stp>##V3_BDHV12</stp>
        <stp>CL2 Comdty</stp>
        <stp>MOV_AVG_5D</stp>
        <stp>09/03/2016</stp>
        <stp>09/03/2016</stp>
        <stp>[Bbg_Market_Data_CL.xlsm]data!R273C10</stp>
        <tr r="J273" s="1"/>
      </tp>
      <tp t="s">
        <v>#N/A Requesting Data...</v>
        <stp/>
        <stp>##V3_BDHV12</stp>
        <stp>CL2 Comdty</stp>
        <stp>MOV_AVG_5D</stp>
        <stp>19/02/2016</stp>
        <stp>19/02/2016</stp>
        <stp>[Bbg_Market_Data_CL.xlsm]data!R286C10</stp>
        <tr r="J286" s="1"/>
      </tp>
      <tp t="s">
        <v>#N/A Requesting Data...</v>
        <stp/>
        <stp>##V3_BDHV12</stp>
        <stp>CL1 Comdty</stp>
        <stp>MOV_AVG_5D</stp>
        <stp>29/02/2016</stp>
        <stp>29/02/2016</stp>
        <stp>[Bbg_Market_Data_CL.xlsm]data!R280C10</stp>
        <tr r="J280" s="1"/>
      </tp>
      <tp t="s">
        <v>#N/A Requesting Data...</v>
        <stp/>
        <stp>##V3_BDHV12</stp>
        <stp>CL2 Comdty</stp>
        <stp>MOV_AVG_5D</stp>
        <stp>29/01/2016</stp>
        <stp>29/01/2016</stp>
        <stp>[Bbg_Market_Data_CL.xlsm]data!R299C10</stp>
        <tr r="J299" s="1"/>
      </tp>
      <tp t="s">
        <v>#N/A Requesting Data...</v>
        <stp/>
        <stp>##V3_BDHV12</stp>
        <stp>CL1 Comdty</stp>
        <stp>MOV_AVG_5D</stp>
        <stp>19/01/2016</stp>
        <stp>19/01/2016</stp>
        <stp>[Bbg_Market_Data_CL.xlsm]data!R307C10</stp>
        <tr r="J307" s="1"/>
      </tp>
      <tp t="s">
        <v>#N/A Requesting Data...</v>
        <stp/>
        <stp>##V3_BDHV12</stp>
        <stp>CL2 Comdty</stp>
        <stp>MOV_AVG_5D</stp>
        <stp>18/03/2016</stp>
        <stp>18/03/2016</stp>
        <stp>[Bbg_Market_Data_CL.xlsm]data!R266C10</stp>
        <tr r="J266" s="1"/>
      </tp>
      <tp t="s">
        <v>#N/A Requesting Data...</v>
        <stp/>
        <stp>##V3_BDHV12</stp>
        <stp>CL1 Comdty</stp>
        <stp>MOV_AVG_5D</stp>
        <stp>28/03/2016</stp>
        <stp>28/03/2016</stp>
        <stp>[Bbg_Market_Data_CL.xlsm]data!R261C10</stp>
        <tr r="J261" s="1"/>
      </tp>
      <tp t="s">
        <v>#N/A Requesting Data...</v>
        <stp/>
        <stp>##V3_BDHV12</stp>
        <stp>CL2 Comdty</stp>
        <stp>MOV_AVG_5D</stp>
        <stp>08/02/2016</stp>
        <stp>08/02/2016</stp>
        <stp>[Bbg_Market_Data_CL.xlsm]data!R293C10</stp>
        <tr r="J293" s="1"/>
      </tp>
      <tp t="s">
        <v>#N/A Requesting Data...</v>
        <stp/>
        <stp>##V3_BDHV12</stp>
        <stp>CL2 Comdty</stp>
        <stp>MOV_AVG_5D</stp>
        <stp>28/10/2016</stp>
        <stp>28/10/2016</stp>
        <stp>[Bbg_Market_Data_CL.xlsm]data!R112C10</stp>
        <tr r="J112" s="1"/>
      </tp>
      <tp t="s">
        <v>#N/A Requesting Data...</v>
        <stp/>
        <stp>##V3_BDHV12</stp>
        <stp>CL1 Comdty</stp>
        <stp>MOV_AVG_5D</stp>
        <stp>08/11/2016</stp>
        <stp>08/11/2016</stp>
        <stp>[Bbg_Market_Data_CL.xlsm]data!R105C10</stp>
        <tr r="J105" s="1"/>
      </tp>
      <tp t="s">
        <v>#N/A Requesting Data...</v>
        <stp/>
        <stp>##V3_BDHV12</stp>
        <stp>CL2 Comdty</stp>
        <stp>MOV_AVG_5D</stp>
        <stp>29/12/2015</stp>
        <stp>29/12/2015</stp>
        <stp>[Bbg_Market_Data_CL.xlsm]data!R320C10</stp>
        <tr r="J320" s="1"/>
      </tp>
      <tp t="s">
        <v>#N/A Requesting Data...</v>
        <stp/>
        <stp>##V3_BDHV12</stp>
        <stp>CL1 Comdty</stp>
        <stp>MOV_AVG_5D</stp>
        <stp>18/10/2016</stp>
        <stp>18/10/2016</stp>
        <stp>[Bbg_Market_Data_CL.xlsm]data!R120C10</stp>
        <tr r="J120" s="1"/>
      </tp>
      <tp t="s">
        <v>#N/A Requesting Data...</v>
        <stp/>
        <stp>##V3_BDHV12</stp>
        <stp>CL2 Comdty</stp>
        <stp>MOV_AVG_5D</stp>
        <stp>19/11/2015</stp>
        <stp>19/11/2015</stp>
        <stp>[Bbg_Market_Data_CL.xlsm]data!R346C10</stp>
        <tr r="J346" s="1"/>
      </tp>
      <tp t="s">
        <v>#N/A Requesting Data...</v>
        <stp/>
        <stp>##V3_BDHV12</stp>
        <stp>CL2 Comdty</stp>
        <stp>MOV_AVG_5D</stp>
        <stp>09/10/2015</stp>
        <stp>09/10/2015</stp>
        <stp>[Bbg_Market_Data_CL.xlsm]data!R373C10</stp>
        <tr r="J373" s="1"/>
      </tp>
      <tp t="s">
        <v>#N/A Requesting Data...</v>
        <stp/>
        <stp>##V3_BDHV12</stp>
        <stp>CL1 Comdty</stp>
        <stp>MOV_AVG_5D</stp>
        <stp>08/12/2015</stp>
        <stp>08/12/2015</stp>
        <stp>[Bbg_Market_Data_CL.xlsm]data!R334C10</stp>
        <tr r="J334" s="1"/>
      </tp>
      <tp t="s">
        <v>#N/A Requesting Data...</v>
        <stp/>
        <stp>##V3_BDHV12</stp>
        <stp>CL1 Comdty</stp>
        <stp>MOV_AVG_5D</stp>
        <stp>28/10/2015</stp>
        <stp>28/10/2015</stp>
        <stp>[Bbg_Market_Data_CL.xlsm]data!R361C10</stp>
        <tr r="J361" s="1"/>
      </tp>
      <tp t="s">
        <v>#N/A Requesting Data...</v>
        <stp/>
        <stp>##V3_BDHV12</stp>
        <stp>CL1 Comdty</stp>
        <stp>PX_VOLUME</stp>
        <stp>20/01/2017</stp>
        <stp>20/01/2017</stp>
        <stp>[Bbg_Market_Data_CL.xlsm]data!R57C8</stp>
        <tr r="H57" s="1"/>
      </tp>
      <tp>
        <v>567231</v>
        <stp/>
        <stp>##V3_BDHV12</stp>
        <stp>CL2 Comdty</stp>
        <stp>PX_VOLUME</stp>
        <stp>20/01/2017</stp>
        <stp>20/01/2017</stp>
        <stp>[Bbg_Market_Data_CL.xlsm]data!R57C8</stp>
        <tr r="H57" s="1"/>
      </tp>
      <tp t="s">
        <v>#N/A Requesting Data...</v>
        <stp/>
        <stp>##V3_BDHV12</stp>
        <stp>CL1 Comdty</stp>
        <stp>PX_VOLUME</stp>
        <stp>17/02/2017</stp>
        <stp>17/02/2017</stp>
        <stp>[Bbg_Market_Data_CL.xlsm]data!R37C8</stp>
        <tr r="H37" s="1"/>
      </tp>
      <tp>
        <v>411983</v>
        <stp/>
        <stp>##V3_BDHV12</stp>
        <stp>CL2 Comdty</stp>
        <stp>PX_VOLUME</stp>
        <stp>17/02/2017</stp>
        <stp>17/02/2017</stp>
        <stp>[Bbg_Market_Data_CL.xlsm]data!R37C8</stp>
        <tr r="H37" s="1"/>
      </tp>
      <tp>
        <v>341680</v>
        <stp/>
        <stp>##V3_BDHV12</stp>
        <stp>CL2 Comdty</stp>
        <stp>PX_VOLUME</stp>
        <stp>07/12/2016</stp>
        <stp>07/12/2016</stp>
        <stp>[Bbg_Market_Data_CL.xlsm]data!R86C8</stp>
        <tr r="H86" s="1"/>
      </tp>
      <tp t="s">
        <v>#N/A Requesting Data...</v>
        <stp/>
        <stp>##V3_BDHV12</stp>
        <stp>CL1 Comdty</stp>
        <stp>PX_VOLUME</stp>
        <stp>07/12/2016</stp>
        <stp>07/12/2016</stp>
        <stp>[Bbg_Market_Data_CL.xlsm]data!R86C8</stp>
        <tr r="H86" s="1"/>
      </tp>
      <tp t="s">
        <v>#N/A Requesting Data...</v>
        <stp/>
        <stp>##V3_BDHV12</stp>
        <stp>CL1 Comdty</stp>
        <stp>PX_VOLUME</stp>
        <stp>06/03/2017</stp>
        <stp>06/03/2017</stp>
        <stp>[Bbg_Market_Data_CL.xlsm]data!R27C8</stp>
        <tr r="H27" s="1"/>
      </tp>
      <tp>
        <v>187845</v>
        <stp/>
        <stp>##V3_BDHV12</stp>
        <stp>CL2 Comdty</stp>
        <stp>PX_VOLUME</stp>
        <stp>06/03/2017</stp>
        <stp>06/03/2017</stp>
        <stp>[Bbg_Market_Data_CL.xlsm]data!R27C8</stp>
        <tr r="H27" s="1"/>
      </tp>
      <tp>
        <v>201329</v>
        <stp/>
        <stp>##V3_BDHV12</stp>
        <stp>CL2 Comdty</stp>
        <stp>PX_VOLUME</stp>
        <stp>22/11/2016</stp>
        <stp>22/11/2016</stp>
        <stp>[Bbg_Market_Data_CL.xlsm]data!R96C8</stp>
        <tr r="H96" s="1"/>
      </tp>
      <tp t="s">
        <v>#N/A Requesting Data...</v>
        <stp/>
        <stp>##V3_BDHV12</stp>
        <stp>CL1 Comdty</stp>
        <stp>PX_VOLUME</stp>
        <stp>22/11/2016</stp>
        <stp>22/11/2016</stp>
        <stp>[Bbg_Market_Data_CL.xlsm]data!R96C8</stp>
        <tr r="H96" s="1"/>
      </tp>
      <tp>
        <v>113295</v>
        <stp/>
        <stp>##V3_BDHV12</stp>
        <stp>CL2 Comdty</stp>
        <stp>PX_VOLUME</stp>
        <stp>03/02/2017</stp>
        <stp>03/02/2017</stp>
        <stp>[Bbg_Market_Data_CL.xlsm]data!R47C8</stp>
        <tr r="H47" s="1"/>
      </tp>
      <tp t="s">
        <v>#N/A Requesting Data...</v>
        <stp/>
        <stp>##V3_BDHV12</stp>
        <stp>CL1 Comdty</stp>
        <stp>PX_VOLUME</stp>
        <stp>03/02/2017</stp>
        <stp>03/02/2017</stp>
        <stp>[Bbg_Market_Data_CL.xlsm]data!R47C8</stp>
        <tr r="H47" s="1"/>
      </tp>
      <tp>
        <v>133736</v>
        <stp/>
        <stp>##V3_BDHV12</stp>
        <stp>CL2 Comdty</stp>
        <stp>PX_VOLUME</stp>
        <stp>21/12/2016</stp>
        <stp>21/12/2016</stp>
        <stp>[Bbg_Market_Data_CL.xlsm]data!R76C8</stp>
        <tr r="H76" s="1"/>
      </tp>
      <tp t="s">
        <v>#N/A Requesting Data...</v>
        <stp/>
        <stp>##V3_BDHV12</stp>
        <stp>CL1 Comdty</stp>
        <stp>PX_VOLUME</stp>
        <stp>21/12/2016</stp>
        <stp>21/12/2016</stp>
        <stp>[Bbg_Market_Data_CL.xlsm]data!R76C8</stp>
        <tr r="H76" s="1"/>
      </tp>
      <tp t="s">
        <v>#N/A Requesting Data...</v>
        <stp/>
        <stp>##V3_BDHV12</stp>
        <stp>CL1 Comdty</stp>
        <stp>PX_VOLUME</stp>
        <stp>20/03/2017</stp>
        <stp>20/03/2017</stp>
        <stp>[Bbg_Market_Data_CL.xlsm]data!R17C8</stp>
        <tr r="H17" s="1"/>
      </tp>
      <tp>
        <v>593698</v>
        <stp/>
        <stp>##V3_BDHV12</stp>
        <stp>CL2 Comdty</stp>
        <stp>PX_VOLUME</stp>
        <stp>20/03/2017</stp>
        <stp>20/03/2017</stp>
        <stp>[Bbg_Market_Data_CL.xlsm]data!R17C8</stp>
        <tr r="H17" s="1"/>
      </tp>
      <tp>
        <v>150609</v>
        <stp/>
        <stp>##V3_BDHV12</stp>
        <stp>CL2 Comdty</stp>
        <stp>PX_VOLUME</stp>
        <stp>05/01/2017</stp>
        <stp>05/01/2017</stp>
        <stp>[Bbg_Market_Data_CL.xlsm]data!R67C8</stp>
        <tr r="H67" s="1"/>
      </tp>
      <tp t="s">
        <v>#N/A Requesting Data...</v>
        <stp/>
        <stp>##V3_BDHV12</stp>
        <stp>CL1 Comdty</stp>
        <stp>PX_VOLUME</stp>
        <stp>05/01/2017</stp>
        <stp>05/01/2017</stp>
        <stp>[Bbg_Market_Data_CL.xlsm]data!R67C8</stp>
        <tr r="H67" s="1"/>
      </tp>
      <tp t="s">
        <v>#N/A Requesting Data...</v>
        <stp/>
        <stp>##V3_BDHV12</stp>
        <stp>CL2 Comdty</stp>
        <stp>MOV_AVG_5D</stp>
        <stp>24/08/2015</stp>
        <stp>24/08/2015</stp>
        <stp>[Bbg_Market_Data_CL.xlsm]data!R406C10</stp>
        <tr r="J406" s="1"/>
      </tp>
      <tp t="s">
        <v>#N/A Requesting Data...</v>
        <stp/>
        <stp>##V3_BDHV12</stp>
        <stp>CL1 Comdty</stp>
        <stp>MOV_AVG_5D</stp>
        <stp>14/08/2015</stp>
        <stp>14/08/2015</stp>
        <stp>[Bbg_Market_Data_CL.xlsm]data!R412C10</stp>
        <tr r="J412" s="1"/>
      </tp>
      <tp t="s">
        <v>#N/A Requesting Data...</v>
        <stp/>
        <stp>##V3_BDHV12</stp>
        <stp>CL2 Comdty</stp>
        <stp>MOV_AVG_5D</stp>
        <stp>10/03/2017</stp>
        <stp>10/03/2017</stp>
        <stp>[Bbg_Market_Data_CL.xlsm]data!R23C10</stp>
        <tr r="J23" s="1"/>
      </tp>
      <tp t="s">
        <v>#N/A Requesting Data...</v>
        <stp/>
        <stp>##V3_BDHV12</stp>
        <stp>CL1 Comdty</stp>
        <stp>MOV_AVG_5D</stp>
        <stp>13/03/2017</stp>
        <stp>13/03/2017</stp>
        <stp>[Bbg_Market_Data_CL.xlsm]data!R22C10</stp>
        <tr r="J22" s="1"/>
      </tp>
      <tp t="s">
        <v>#N/A Requesting Data...</v>
        <stp/>
        <stp>##V3_BDHV12</stp>
        <stp>CL1 Comdty</stp>
        <stp>MOV_AVG_5D</stp>
        <stp>03/02/2017</stp>
        <stp>03/02/2017</stp>
        <stp>[Bbg_Market_Data_CL.xlsm]data!R47C10</stp>
        <tr r="J47" s="1"/>
      </tp>
      <tp t="s">
        <v>#N/A Requesting Data...</v>
        <stp/>
        <stp>##V3_BDHV12</stp>
        <stp>CL2 Comdty</stp>
        <stp>MOV_AVG_5D</stp>
        <stp>30/01/2017</stp>
        <stp>30/01/2017</stp>
        <stp>[Bbg_Market_Data_CL.xlsm]data!R51C10</stp>
        <tr r="J51" s="1"/>
      </tp>
      <tp t="s">
        <v>#N/A Requesting Data...</v>
        <stp/>
        <stp>##V3_BDHV12</stp>
        <stp>CL1 Comdty</stp>
        <stp>MOV_AVG_5D</stp>
        <stp>13/12/2016</stp>
        <stp>13/12/2016</stp>
        <stp>[Bbg_Market_Data_CL.xlsm]data!R82C10</stp>
        <tr r="J82" s="1"/>
      </tp>
      <tp t="s">
        <v>#N/A Requesting Data...</v>
        <stp/>
        <stp>##V3_BDHV12</stp>
        <stp>CL1 Comdty</stp>
        <stp>MOV_AVG_5D</stp>
        <stp>23/11/2016</stp>
        <stp>23/11/2016</stp>
        <stp>[Bbg_Market_Data_CL.xlsm]data!R95C10</stp>
        <tr r="J95" s="1"/>
      </tp>
      <tp t="s">
        <v>#N/A Requesting Data...</v>
        <stp/>
        <stp>##V3_BDHV12</stp>
        <stp>CL1 Comdty</stp>
        <stp>MOV_AVG_5D</stp>
        <stp>05/08/2015</stp>
        <stp>05/08/2015</stp>
        <stp>[Bbg_Market_Data_CL.xlsm]data!R419C10</stp>
        <tr r="J419" s="1"/>
      </tp>
      <tp t="s">
        <v>#N/A Requesting Data...</v>
        <stp/>
        <stp>##V3_BDHV12</stp>
        <stp>CL1 Comdty</stp>
        <stp>MOV_AVG_5D</stp>
        <stp>02/02/2017</stp>
        <stp>02/02/2017</stp>
        <stp>[Bbg_Market_Data_CL.xlsm]data!R48C10</stp>
        <tr r="J48" s="1"/>
      </tp>
      <tp t="s">
        <v>#N/A Requesting Data...</v>
        <stp/>
        <stp>##V3_BDHV12</stp>
        <stp>CL2 Comdty</stp>
        <stp>MOV_AVG_5D</stp>
        <stp>31/01/2017</stp>
        <stp>31/01/2017</stp>
        <stp>[Bbg_Market_Data_CL.xlsm]data!R50C10</stp>
        <tr r="J50" s="1"/>
      </tp>
      <tp t="s">
        <v>#N/A Requesting Data...</v>
        <stp/>
        <stp>##V3_BDHV12</stp>
        <stp>CL2 Comdty</stp>
        <stp>MOV_AVG_5D</stp>
        <stp>01/02/2017</stp>
        <stp>01/02/2017</stp>
        <stp>[Bbg_Market_Data_CL.xlsm]data!R49C10</stp>
        <tr r="J49" s="1"/>
      </tp>
      <tp t="s">
        <v>#N/A Requesting Data...</v>
        <stp/>
        <stp>##V3_BDHV12</stp>
        <stp>CL1 Comdty</stp>
        <stp>MOV_AVG_5D</stp>
        <stp>22/11/2016</stp>
        <stp>22/11/2016</stp>
        <stp>[Bbg_Market_Data_CL.xlsm]data!R96C10</stp>
        <tr r="J96" s="1"/>
      </tp>
      <tp t="s">
        <v>#N/A Requesting Data...</v>
        <stp/>
        <stp>##V3_BDHV12</stp>
        <stp>CL1 Comdty</stp>
        <stp>MOV_AVG_5D</stp>
        <stp>12/12/2016</stp>
        <stp>12/12/2016</stp>
        <stp>[Bbg_Market_Data_CL.xlsm]data!R83C10</stp>
        <tr r="J83" s="1"/>
      </tp>
      <tp t="s">
        <v>#N/A Requesting Data...</v>
        <stp/>
        <stp>##V3_BDHV12</stp>
        <stp>CL2 Comdty</stp>
        <stp>MOV_AVG_5D</stp>
        <stp>21/11/2016</stp>
        <stp>21/11/2016</stp>
        <stp>[Bbg_Market_Data_CL.xlsm]data!R97C10</stp>
        <tr r="J97" s="1"/>
      </tp>
      <tp t="s">
        <v>#N/A Requesting Data...</v>
        <stp/>
        <stp>##V3_BDHV12</stp>
        <stp>CL2 Comdty</stp>
        <stp>MOV_AVG_5D</stp>
        <stp>06/08/2015</stp>
        <stp>06/08/2015</stp>
        <stp>[Bbg_Market_Data_CL.xlsm]data!R418C10</stp>
        <tr r="J418" s="1"/>
      </tp>
      <tp t="s">
        <v>#N/A Requesting Data...</v>
        <stp/>
        <stp>##V3_BDHV12</stp>
        <stp>CL2 Comdty</stp>
        <stp>MOV_AVG_5D</stp>
        <stp>02/02/2017</stp>
        <stp>02/02/2017</stp>
        <stp>[Bbg_Market_Data_CL.xlsm]data!R48C10</stp>
        <tr r="J48" s="1"/>
      </tp>
      <tp t="s">
        <v>#N/A Requesting Data...</v>
        <stp/>
        <stp>##V3_BDHV12</stp>
        <stp>CL1 Comdty</stp>
        <stp>MOV_AVG_5D</stp>
        <stp>31/01/2017</stp>
        <stp>31/01/2017</stp>
        <stp>[Bbg_Market_Data_CL.xlsm]data!R50C10</stp>
        <tr r="J50" s="1"/>
      </tp>
      <tp t="s">
        <v>#N/A Requesting Data...</v>
        <stp/>
        <stp>##V3_BDHV12</stp>
        <stp>CL1 Comdty</stp>
        <stp>MOV_AVG_5D</stp>
        <stp>01/02/2017</stp>
        <stp>01/02/2017</stp>
        <stp>[Bbg_Market_Data_CL.xlsm]data!R49C10</stp>
        <tr r="J49" s="1"/>
      </tp>
      <tp t="s">
        <v>#N/A Requesting Data...</v>
        <stp/>
        <stp>##V3_BDHV12</stp>
        <stp>CL2 Comdty</stp>
        <stp>MOV_AVG_5D</stp>
        <stp>22/11/2016</stp>
        <stp>22/11/2016</stp>
        <stp>[Bbg_Market_Data_CL.xlsm]data!R96C10</stp>
        <tr r="J96" s="1"/>
      </tp>
      <tp t="s">
        <v>#N/A Requesting Data...</v>
        <stp/>
        <stp>##V3_BDHV12</stp>
        <stp>CL2 Comdty</stp>
        <stp>MOV_AVG_5D</stp>
        <stp>12/12/2016</stp>
        <stp>12/12/2016</stp>
        <stp>[Bbg_Market_Data_CL.xlsm]data!R83C10</stp>
        <tr r="J83" s="1"/>
      </tp>
      <tp t="s">
        <v>#N/A Requesting Data...</v>
        <stp/>
        <stp>##V3_BDHV12</stp>
        <stp>CL1 Comdty</stp>
        <stp>MOV_AVG_5D</stp>
        <stp>21/11/2016</stp>
        <stp>21/11/2016</stp>
        <stp>[Bbg_Market_Data_CL.xlsm]data!R97C10</stp>
        <tr r="J97" s="1"/>
      </tp>
      <tp t="s">
        <v>#N/A Requesting Data...</v>
        <stp/>
        <stp>##V3_BDHV12</stp>
        <stp>CL1 Comdty</stp>
        <stp>MOV_AVG_5D</stp>
        <stp>27/08/2015</stp>
        <stp>27/08/2015</stp>
        <stp>[Bbg_Market_Data_CL.xlsm]data!R403C10</stp>
        <tr r="J403" s="1"/>
      </tp>
      <tp t="s">
        <v>#N/A Requesting Data...</v>
        <stp/>
        <stp>##V3_BDHV12</stp>
        <stp>CL2 Comdty</stp>
        <stp>MOV_AVG_5D</stp>
        <stp>17/08/2015</stp>
        <stp>17/08/2015</stp>
        <stp>[Bbg_Market_Data_CL.xlsm]data!R411C10</stp>
        <tr r="J411" s="1"/>
      </tp>
      <tp t="s">
        <v>#N/A Requesting Data...</v>
        <stp/>
        <stp>##V3_BDHV12</stp>
        <stp>CL1 Comdty</stp>
        <stp>MOV_AVG_5D</stp>
        <stp>10/03/2017</stp>
        <stp>10/03/2017</stp>
        <stp>[Bbg_Market_Data_CL.xlsm]data!R23C10</stp>
        <tr r="J23" s="1"/>
      </tp>
      <tp t="s">
        <v>#N/A Requesting Data...</v>
        <stp/>
        <stp>##V3_BDHV12</stp>
        <stp>CL2 Comdty</stp>
        <stp>MOV_AVG_5D</stp>
        <stp>13/03/2017</stp>
        <stp>13/03/2017</stp>
        <stp>[Bbg_Market_Data_CL.xlsm]data!R22C10</stp>
        <tr r="J22" s="1"/>
      </tp>
      <tp t="s">
        <v>#N/A Requesting Data...</v>
        <stp/>
        <stp>##V3_BDHV12</stp>
        <stp>CL2 Comdty</stp>
        <stp>MOV_AVG_5D</stp>
        <stp>03/02/2017</stp>
        <stp>03/02/2017</stp>
        <stp>[Bbg_Market_Data_CL.xlsm]data!R47C10</stp>
        <tr r="J47" s="1"/>
      </tp>
      <tp t="s">
        <v>#N/A Requesting Data...</v>
        <stp/>
        <stp>##V3_BDHV12</stp>
        <stp>CL1 Comdty</stp>
        <stp>MOV_AVG_5D</stp>
        <stp>30/01/2017</stp>
        <stp>30/01/2017</stp>
        <stp>[Bbg_Market_Data_CL.xlsm]data!R51C10</stp>
        <tr r="J51" s="1"/>
      </tp>
      <tp t="s">
        <v>#N/A Requesting Data...</v>
        <stp/>
        <stp>##V3_BDHV12</stp>
        <stp>CL2 Comdty</stp>
        <stp>MOV_AVG_5D</stp>
        <stp>13/12/2016</stp>
        <stp>13/12/2016</stp>
        <stp>[Bbg_Market_Data_CL.xlsm]data!R82C10</stp>
        <tr r="J82" s="1"/>
      </tp>
      <tp t="s">
        <v>#N/A Requesting Data...</v>
        <stp/>
        <stp>##V3_BDHV12</stp>
        <stp>CL2 Comdty</stp>
        <stp>MOV_AVG_5D</stp>
        <stp>23/11/2016</stp>
        <stp>23/11/2016</stp>
        <stp>[Bbg_Market_Data_CL.xlsm]data!R95C10</stp>
        <tr r="J95" s="1"/>
      </tp>
      <tp t="s">
        <v>#N/A Requesting Data...</v>
        <stp/>
        <stp>##V3_BDHV12</stp>
        <stp>CL2 Comdty</stp>
        <stp>MOV_AVG_5D</stp>
        <stp>26/09/2016</stp>
        <stp>26/09/2016</stp>
        <stp>[Bbg_Market_Data_CL.xlsm]data!R135C10</stp>
        <tr r="J135" s="1"/>
      </tp>
      <tp t="s">
        <v>#N/A Requesting Data...</v>
        <stp/>
        <stp>##V3_BDHV12</stp>
        <stp>CL1 Comdty</stp>
        <stp>MOV_AVG_5D</stp>
        <stp>16/09/2016</stp>
        <stp>16/09/2016</stp>
        <stp>[Bbg_Market_Data_CL.xlsm]data!R141C10</stp>
        <tr r="J141" s="1"/>
      </tp>
      <tp t="s">
        <v>#N/A Requesting Data...</v>
        <stp/>
        <stp>##V3_BDHV12</stp>
        <stp>CL1 Comdty</stp>
        <stp>MOV_AVG_5D</stp>
        <stp>07/02/2017</stp>
        <stp>07/02/2017</stp>
        <stp>[Bbg_Market_Data_CL.xlsm]data!R45C10</stp>
        <tr r="J45" s="1"/>
      </tp>
      <tp t="s">
        <v>#N/A Requesting Data...</v>
        <stp/>
        <stp>##V3_BDHV12</stp>
        <stp>CL2 Comdty</stp>
        <stp>MOV_AVG_5D</stp>
        <stp>14/03/2017</stp>
        <stp>14/03/2017</stp>
        <stp>[Bbg_Market_Data_CL.xlsm]data!R21C10</stp>
        <tr r="J21" s="1"/>
      </tp>
      <tp t="s">
        <v>#N/A Requesting Data...</v>
        <stp/>
        <stp>##V3_BDHV12</stp>
        <stp>CL1 Comdty</stp>
        <stp>MOV_AVG_5D</stp>
        <stp>17/03/2017</stp>
        <stp>17/03/2017</stp>
        <stp>[Bbg_Market_Data_CL.xlsm]data!R18C10</stp>
        <tr r="J18" s="1"/>
      </tp>
      <tp t="s">
        <v>#N/A Requesting Data...</v>
        <stp/>
        <stp>##V3_BDHV12</stp>
        <stp>CL2 Comdty</stp>
        <stp>MOV_AVG_5D</stp>
        <stp>14/12/2016</stp>
        <stp>14/12/2016</stp>
        <stp>[Bbg_Market_Data_CL.xlsm]data!R81C10</stp>
        <tr r="J81" s="1"/>
      </tp>
      <tp t="s">
        <v>#N/A Requesting Data...</v>
        <stp/>
        <stp>##V3_BDHV12</stp>
        <stp>CL1 Comdty</stp>
        <stp>MOV_AVG_5D</stp>
        <stp>07/09/2016</stp>
        <stp>07/09/2016</stp>
        <stp>[Bbg_Market_Data_CL.xlsm]data!R148C10</stp>
        <tr r="J148" s="1"/>
      </tp>
      <tp t="s">
        <v>#N/A Requesting Data...</v>
        <stp/>
        <stp>##V3_BDHV12</stp>
        <stp>CL1 Comdty</stp>
        <stp>MOV_AVG_5D</stp>
        <stp>17/08/2016</stp>
        <stp>17/08/2016</stp>
        <stp>[Bbg_Market_Data_CL.xlsm]data!R162C10</stp>
        <tr r="J162" s="1"/>
      </tp>
      <tp t="s">
        <v>#N/A Requesting Data...</v>
        <stp/>
        <stp>##V3_BDHV12</stp>
        <stp>CL2 Comdty</stp>
        <stp>MOV_AVG_5D</stp>
        <stp>16/09/2015</stp>
        <stp>16/09/2015</stp>
        <stp>[Bbg_Market_Data_CL.xlsm]data!R390C10</stp>
        <tr r="J390" s="1"/>
      </tp>
      <tp t="s">
        <v>#N/A Requesting Data...</v>
        <stp/>
        <stp>##V3_BDHV12</stp>
        <stp>CL1 Comdty</stp>
        <stp>MOV_AVG_5D</stp>
        <stp>06/02/2017</stp>
        <stp>06/02/2017</stp>
        <stp>[Bbg_Market_Data_CL.xlsm]data!R46C10</stp>
        <tr r="J46" s="1"/>
      </tp>
      <tp t="s">
        <v>#N/A Requesting Data...</v>
        <stp/>
        <stp>##V3_BDHV12</stp>
        <stp>CL1 Comdty</stp>
        <stp>MOV_AVG_5D</stp>
        <stp>16/12/2016</stp>
        <stp>16/12/2016</stp>
        <stp>[Bbg_Market_Data_CL.xlsm]data!R79C10</stp>
        <tr r="J79" s="1"/>
      </tp>
      <tp t="s">
        <v>#N/A Requesting Data...</v>
        <stp/>
        <stp>##V3_BDHV12</stp>
        <stp>CL2 Comdty</stp>
        <stp>MOV_AVG_5D</stp>
        <stp>15/03/2017</stp>
        <stp>15/03/2017</stp>
        <stp>[Bbg_Market_Data_CL.xlsm]data!R20C10</stp>
        <tr r="J20" s="1"/>
      </tp>
      <tp t="s">
        <v>#N/A Requesting Data...</v>
        <stp/>
        <stp>##V3_BDHV12</stp>
        <stp>CL1 Comdty</stp>
        <stp>MOV_AVG_5D</stp>
        <stp>16/03/2017</stp>
        <stp>16/03/2017</stp>
        <stp>[Bbg_Market_Data_CL.xlsm]data!R19C10</stp>
        <tr r="J19" s="1"/>
      </tp>
      <tp t="s">
        <v>#N/A Requesting Data...</v>
        <stp/>
        <stp>##V3_BDHV12</stp>
        <stp>CL2 Comdty</stp>
        <stp>MOV_AVG_5D</stp>
        <stp>15/12/2016</stp>
        <stp>15/12/2016</stp>
        <stp>[Bbg_Market_Data_CL.xlsm]data!R80C10</stp>
        <tr r="J80" s="1"/>
      </tp>
      <tp t="s">
        <v>#N/A Requesting Data...</v>
        <stp/>
        <stp>##V3_BDHV12</stp>
        <stp>CL2 Comdty</stp>
        <stp>MOV_AVG_5D</stp>
        <stp>25/11/2016</stp>
        <stp>25/11/2016</stp>
        <stp>[Bbg_Market_Data_CL.xlsm]data!R94C10</stp>
        <tr r="J94" s="1"/>
      </tp>
      <tp t="s">
        <v>#N/A Requesting Data...</v>
        <stp/>
        <stp>##V3_BDHV12</stp>
        <stp>CL1 Comdty</stp>
        <stp>MOV_AVG_5D</stp>
        <stp>24/08/2016</stp>
        <stp>24/08/2016</stp>
        <stp>[Bbg_Market_Data_CL.xlsm]data!R157C10</stp>
        <tr r="J157" s="1"/>
      </tp>
      <tp t="s">
        <v>#N/A Requesting Data...</v>
        <stp/>
        <stp>##V3_BDHV12</stp>
        <stp>CL2 Comdty</stp>
        <stp>MOV_AVG_5D</stp>
        <stp>25/09/2015</stp>
        <stp>25/09/2015</stp>
        <stp>[Bbg_Market_Data_CL.xlsm]data!R383C10</stp>
        <tr r="J383" s="1"/>
      </tp>
      <tp t="s">
        <v>#N/A Requesting Data...</v>
        <stp/>
        <stp>##V3_BDHV12</stp>
        <stp>CL1 Comdty</stp>
        <stp>MOV_AVG_5D</stp>
        <stp>15/09/2015</stp>
        <stp>15/09/2015</stp>
        <stp>[Bbg_Market_Data_CL.xlsm]data!R391C10</stp>
        <tr r="J391" s="1"/>
      </tp>
      <tp t="s">
        <v>#N/A Requesting Data...</v>
        <stp/>
        <stp>##V3_BDHV12</stp>
        <stp>CL2 Comdty</stp>
        <stp>MOV_AVG_5D</stp>
        <stp>06/02/2017</stp>
        <stp>06/02/2017</stp>
        <stp>[Bbg_Market_Data_CL.xlsm]data!R46C10</stp>
        <tr r="J46" s="1"/>
      </tp>
      <tp t="s">
        <v>#N/A Requesting Data...</v>
        <stp/>
        <stp>##V3_BDHV12</stp>
        <stp>CL2 Comdty</stp>
        <stp>MOV_AVG_5D</stp>
        <stp>16/12/2016</stp>
        <stp>16/12/2016</stp>
        <stp>[Bbg_Market_Data_CL.xlsm]data!R79C10</stp>
        <tr r="J79" s="1"/>
      </tp>
      <tp t="s">
        <v>#N/A Requesting Data...</v>
        <stp/>
        <stp>##V3_BDHV12</stp>
        <stp>CL1 Comdty</stp>
        <stp>MOV_AVG_5D</stp>
        <stp>15/03/2017</stp>
        <stp>15/03/2017</stp>
        <stp>[Bbg_Market_Data_CL.xlsm]data!R20C10</stp>
        <tr r="J20" s="1"/>
      </tp>
      <tp t="s">
        <v>#N/A Requesting Data...</v>
        <stp/>
        <stp>##V3_BDHV12</stp>
        <stp>CL2 Comdty</stp>
        <stp>MOV_AVG_5D</stp>
        <stp>16/03/2017</stp>
        <stp>16/03/2017</stp>
        <stp>[Bbg_Market_Data_CL.xlsm]data!R19C10</stp>
        <tr r="J19" s="1"/>
      </tp>
      <tp t="s">
        <v>#N/A Requesting Data...</v>
        <stp/>
        <stp>##V3_BDHV12</stp>
        <stp>CL1 Comdty</stp>
        <stp>MOV_AVG_5D</stp>
        <stp>15/12/2016</stp>
        <stp>15/12/2016</stp>
        <stp>[Bbg_Market_Data_CL.xlsm]data!R80C10</stp>
        <tr r="J80" s="1"/>
      </tp>
      <tp t="s">
        <v>#N/A Requesting Data...</v>
        <stp/>
        <stp>##V3_BDHV12</stp>
        <stp>CL1 Comdty</stp>
        <stp>MOV_AVG_5D</stp>
        <stp>25/11/2016</stp>
        <stp>25/11/2016</stp>
        <stp>[Bbg_Market_Data_CL.xlsm]data!R94C10</stp>
        <tr r="J94" s="1"/>
      </tp>
      <tp t="s">
        <v>#N/A Requesting Data...</v>
        <stp/>
        <stp>##V3_BDHV12</stp>
        <stp>CL2 Comdty</stp>
        <stp>MOV_AVG_5D</stp>
        <stp>15/09/2016</stp>
        <stp>15/09/2016</stp>
        <stp>[Bbg_Market_Data_CL.xlsm]data!R142C10</stp>
        <tr r="J142" s="1"/>
      </tp>
      <tp t="s">
        <v>#N/A Requesting Data...</v>
        <stp/>
        <stp>##V3_BDHV12</stp>
        <stp>CL2 Comdty</stp>
        <stp>MOV_AVG_5D</stp>
        <stp>05/08/2016</stp>
        <stp>05/08/2016</stp>
        <stp>[Bbg_Market_Data_CL.xlsm]data!R169C10</stp>
        <tr r="J169" s="1"/>
      </tp>
      <tp t="s">
        <v>#N/A Requesting Data...</v>
        <stp/>
        <stp>##V3_BDHV12</stp>
        <stp>CL1 Comdty</stp>
        <stp>MOV_AVG_5D</stp>
        <stp>04/09/2015</stp>
        <stp>04/09/2015</stp>
        <stp>[Bbg_Market_Data_CL.xlsm]data!R397C10</stp>
        <tr r="J397" s="1"/>
      </tp>
      <tp t="s">
        <v>#N/A Requesting Data...</v>
        <stp/>
        <stp>##V3_BDHV12</stp>
        <stp>CL2 Comdty</stp>
        <stp>MOV_AVG_5D</stp>
        <stp>07/02/2017</stp>
        <stp>07/02/2017</stp>
        <stp>[Bbg_Market_Data_CL.xlsm]data!R45C10</stp>
        <tr r="J45" s="1"/>
      </tp>
      <tp t="s">
        <v>#N/A Requesting Data...</v>
        <stp/>
        <stp>##V3_BDHV12</stp>
        <stp>CL1 Comdty</stp>
        <stp>MOV_AVG_5D</stp>
        <stp>14/03/2017</stp>
        <stp>14/03/2017</stp>
        <stp>[Bbg_Market_Data_CL.xlsm]data!R21C10</stp>
        <tr r="J21" s="1"/>
      </tp>
      <tp t="s">
        <v>#N/A Requesting Data...</v>
        <stp/>
        <stp>##V3_BDHV12</stp>
        <stp>CL2 Comdty</stp>
        <stp>MOV_AVG_5D</stp>
        <stp>17/03/2017</stp>
        <stp>17/03/2017</stp>
        <stp>[Bbg_Market_Data_CL.xlsm]data!R18C10</stp>
        <tr r="J18" s="1"/>
      </tp>
      <tp t="s">
        <v>#N/A Requesting Data...</v>
        <stp/>
        <stp>##V3_BDHV12</stp>
        <stp>CL1 Comdty</stp>
        <stp>MOV_AVG_5D</stp>
        <stp>14/12/2016</stp>
        <stp>14/12/2016</stp>
        <stp>[Bbg_Market_Data_CL.xlsm]data!R81C10</stp>
        <tr r="J81" s="1"/>
      </tp>
      <tp t="s">
        <v>#N/A Requesting Data...</v>
        <stp/>
        <stp>##V3_BDHV12</stp>
        <stp>CL2 Comdty</stp>
        <stp>MOV_AVG_5D</stp>
        <stp>19/05/2016</stp>
        <stp>19/05/2016</stp>
        <stp>[Bbg_Market_Data_CL.xlsm]data!R223C10</stp>
        <tr r="J223" s="1"/>
      </tp>
      <tp t="s">
        <v>#N/A Requesting Data...</v>
        <stp/>
        <stp>##V3_BDHV12</stp>
        <stp>CL2 Comdty</stp>
        <stp>MOV_AVG_5D</stp>
        <stp>28/11/2016</stp>
        <stp>28/11/2016</stp>
        <stp>[Bbg_Market_Data_CL.xlsm]data!R93C10</stp>
        <tr r="J93" s="1"/>
      </tp>
      <tp t="s">
        <v>#N/A Requesting Data...</v>
        <stp/>
        <stp>##V3_BDHV12</stp>
        <stp>CL2 Comdty</stp>
        <stp>MOV_AVG_5D</stp>
        <stp>08/02/2017</stp>
        <stp>08/02/2017</stp>
        <stp>[Bbg_Market_Data_CL.xlsm]data!R44C10</stp>
        <tr r="J44" s="1"/>
      </tp>
      <tp t="s">
        <v>#N/A Requesting Data...</v>
        <stp/>
        <stp>##V3_BDHV12</stp>
        <stp>CL1 Comdty</stp>
        <stp>MOV_AVG_5D</stp>
        <stp>08/06/2016</stp>
        <stp>08/06/2016</stp>
        <stp>[Bbg_Market_Data_CL.xlsm]data!R210C10</stp>
        <tr r="J210" s="1"/>
      </tp>
      <tp t="s">
        <v>#N/A Requesting Data...</v>
        <stp/>
        <stp>##V3_BDHV12</stp>
        <stp>CL1 Comdty</stp>
        <stp>MOV_AVG_5D</stp>
        <stp>28/04/2016</stp>
        <stp>28/04/2016</stp>
        <stp>[Bbg_Market_Data_CL.xlsm]data!R238C10</stp>
        <tr r="J238" s="1"/>
      </tp>
      <tp t="s">
        <v>#N/A Requesting Data...</v>
        <stp/>
        <stp>##V3_BDHV12</stp>
        <stp>CL2 Comdty</stp>
        <stp>MOV_AVG_5D</stp>
        <stp>18/04/2016</stp>
        <stp>18/04/2016</stp>
        <stp>[Bbg_Market_Data_CL.xlsm]data!R246C10</stp>
        <tr r="J246" s="1"/>
      </tp>
      <tp t="s">
        <v>#N/A Requesting Data...</v>
        <stp/>
        <stp>##V3_BDHV12</stp>
        <stp>CL2 Comdty</stp>
        <stp>MOV_AVG_5D</stp>
        <stp>29/11/2016</stp>
        <stp>29/11/2016</stp>
        <stp>[Bbg_Market_Data_CL.xlsm]data!R92C10</stp>
        <tr r="J92" s="1"/>
      </tp>
      <tp t="s">
        <v>#N/A Requesting Data...</v>
        <stp/>
        <stp>##V3_BDHV12</stp>
        <stp>CL2 Comdty</stp>
        <stp>MOV_AVG_5D</stp>
        <stp>19/12/2016</stp>
        <stp>19/12/2016</stp>
        <stp>[Bbg_Market_Data_CL.xlsm]data!R78C10</stp>
        <tr r="J78" s="1"/>
      </tp>
      <tp t="s">
        <v>#N/A Requesting Data...</v>
        <stp/>
        <stp>##V3_BDHV12</stp>
        <stp>CL2 Comdty</stp>
        <stp>MOV_AVG_5D</stp>
        <stp>09/02/2017</stp>
        <stp>09/02/2017</stp>
        <stp>[Bbg_Market_Data_CL.xlsm]data!R43C10</stp>
        <tr r="J43" s="1"/>
      </tp>
      <tp t="s">
        <v>#N/A Requesting Data...</v>
        <stp/>
        <stp>##V3_BDHV12</stp>
        <stp>CL2 Comdty</stp>
        <stp>MOV_AVG_5D</stp>
        <stp>28/07/2016</stp>
        <stp>28/07/2016</stp>
        <stp>[Bbg_Market_Data_CL.xlsm]data!R175C10</stp>
        <tr r="J175" s="1"/>
      </tp>
      <tp t="s">
        <v>#N/A Requesting Data...</v>
        <stp/>
        <stp>##V3_BDHV12</stp>
        <stp>CL1 Comdty</stp>
        <stp>MOV_AVG_5D</stp>
        <stp>18/07/2016</stp>
        <stp>18/07/2016</stp>
        <stp>[Bbg_Market_Data_CL.xlsm]data!R183C10</stp>
        <tr r="J183" s="1"/>
      </tp>
      <tp t="s">
        <v>#N/A Requesting Data...</v>
        <stp/>
        <stp>##V3_BDHV12</stp>
        <stp>CL1 Comdty</stp>
        <stp>MOV_AVG_5D</stp>
        <stp>29/11/2016</stp>
        <stp>29/11/2016</stp>
        <stp>[Bbg_Market_Data_CL.xlsm]data!R92C10</stp>
        <tr r="J92" s="1"/>
      </tp>
      <tp t="s">
        <v>#N/A Requesting Data...</v>
        <stp/>
        <stp>##V3_BDHV12</stp>
        <stp>CL1 Comdty</stp>
        <stp>MOV_AVG_5D</stp>
        <stp>19/12/2016</stp>
        <stp>19/12/2016</stp>
        <stp>[Bbg_Market_Data_CL.xlsm]data!R78C10</stp>
        <tr r="J78" s="1"/>
      </tp>
      <tp t="s">
        <v>#N/A Requesting Data...</v>
        <stp/>
        <stp>##V3_BDHV12</stp>
        <stp>CL1 Comdty</stp>
        <stp>MOV_AVG_5D</stp>
        <stp>09/02/2017</stp>
        <stp>09/02/2017</stp>
        <stp>[Bbg_Market_Data_CL.xlsm]data!R43C10</stp>
        <tr r="J43" s="1"/>
      </tp>
      <tp t="s">
        <v>#N/A Requesting Data...</v>
        <stp/>
        <stp>##V3_BDHV12</stp>
        <stp>CL2 Comdty</stp>
        <stp>MOV_AVG_5D</stp>
        <stp>29/06/2016</stp>
        <stp>29/06/2016</stp>
        <stp>[Bbg_Market_Data_CL.xlsm]data!R195C10</stp>
        <tr r="J195" s="1"/>
      </tp>
      <tp t="s">
        <v>#N/A Requesting Data...</v>
        <stp/>
        <stp>##V3_BDHV12</stp>
        <stp>CL1 Comdty</stp>
        <stp>MOV_AVG_5D</stp>
        <stp>28/11/2016</stp>
        <stp>28/11/2016</stp>
        <stp>[Bbg_Market_Data_CL.xlsm]data!R93C10</stp>
        <tr r="J93" s="1"/>
      </tp>
      <tp t="s">
        <v>#N/A Requesting Data...</v>
        <stp/>
        <stp>##V3_BDHV12</stp>
        <stp>CL1 Comdty</stp>
        <stp>MOV_AVG_5D</stp>
        <stp>08/02/2017</stp>
        <stp>08/02/2017</stp>
        <stp>[Bbg_Market_Data_CL.xlsm]data!R44C10</stp>
        <tr r="J44" s="1"/>
      </tp>
      <tp t="s">
        <v>#N/A Requesting Data...</v>
        <stp/>
        <stp>##V3_BDHV12</stp>
        <stp>CL1 Comdty</stp>
        <stp>MOV_AVG_5D</stp>
        <stp>28/07/2015</stp>
        <stp>28/07/2015</stp>
        <stp>[Bbg_Market_Data_CL.xlsm]data!R425C10</stp>
        <tr r="J425" s="1"/>
      </tp>
      <tp t="s">
        <v>#N/A Requesting Data...</v>
        <stp/>
        <stp>##V3_BDHV12</stp>
        <stp>CL2 Comdty</stp>
        <stp>MOV_AVG_5D</stp>
        <stp>08/06/2015</stp>
        <stp>08/06/2015</stp>
        <stp>[Bbg_Market_Data_CL.xlsm]data!R460C10</stp>
        <tr r="J460" s="1"/>
      </tp>
      <tp t="s">
        <v>#N/A Requesting Data...</v>
        <stp/>
        <stp>##V3_BDHV12</stp>
        <stp>CL2 Comdty</stp>
        <stp>MOV_AVG_5D</stp>
        <stp>28/04/2015</stp>
        <stp>28/04/2015</stp>
        <stp>[Bbg_Market_Data_CL.xlsm]data!R488C10</stp>
        <tr r="J488" s="1"/>
      </tp>
      <tp t="s">
        <v>#N/A Requesting Data...</v>
        <stp/>
        <stp>##V3_BDHV12</stp>
        <stp>CL1 Comdty</stp>
        <stp>MOV_AVG_5D</stp>
        <stp>08/05/2015</stp>
        <stp>08/05/2015</stp>
        <stp>[Bbg_Market_Data_CL.xlsm]data!R480C10</stp>
        <tr r="J480" s="1"/>
      </tp>
      <tp t="s">
        <v>#N/A Requesting Data...</v>
        <stp/>
        <stp>##V3_BDHV12</stp>
        <stp>CL2 Comdty</stp>
        <stp>MOV_AVG_5D</stp>
        <stp>09/07/2015</stp>
        <stp>09/07/2015</stp>
        <stp>[Bbg_Market_Data_CL.xlsm]data!R438C10</stp>
        <tr r="J438" s="1"/>
      </tp>
      <tp t="s">
        <v>#N/A Requesting Data...</v>
        <stp/>
        <stp>##V3_BDHV12</stp>
        <stp>CL1 Comdty</stp>
        <stp>MOV_AVG_5D</stp>
        <stp>29/06/2015</stp>
        <stp>29/06/2015</stp>
        <stp>[Bbg_Market_Data_CL.xlsm]data!R445C10</stp>
        <tr r="J445" s="1"/>
      </tp>
      <tp t="s">
        <v>#N/A Requesting Data...</v>
        <stp/>
        <stp>##V3_BDHV12</stp>
        <stp>CL2 Comdty</stp>
        <stp>MOV_AVG_5D</stp>
        <stp>19/06/2015</stp>
        <stp>19/06/2015</stp>
        <stp>[Bbg_Market_Data_CL.xlsm]data!R451C10</stp>
        <tr r="J451" s="1"/>
      </tp>
      <tp t="s">
        <v>#N/A Requesting Data...</v>
        <stp/>
        <stp>##V3_BDHV12</stp>
        <stp>CL2 Comdty</stp>
        <stp>MOV_AVG_5D</stp>
        <stp>29/05/2015</stp>
        <stp>29/05/2015</stp>
        <stp>[Bbg_Market_Data_CL.xlsm]data!R466C10</stp>
        <tr r="J466" s="1"/>
      </tp>
      <tp t="s">
        <v>#N/A Requesting Data...</v>
        <stp/>
        <stp>##V3_BDHV12</stp>
        <stp>CL1 Comdty</stp>
        <stp>MOV_AVG_5D</stp>
        <stp>19/05/2015</stp>
        <stp>19/05/2015</stp>
        <stp>[Bbg_Market_Data_CL.xlsm]data!R473C10</stp>
        <tr r="J473" s="1"/>
      </tp>
      <tp>
        <v>99455</v>
        <stp/>
        <stp>##V3_BDHV12</stp>
        <stp>CL2 Comdty</stp>
        <stp>PX_VOLUME</stp>
        <stp>23/01/2017</stp>
        <stp>23/01/2017</stp>
        <stp>[Bbg_Market_Data_CL.xlsm]data!R56C8</stp>
        <tr r="H56" s="1"/>
      </tp>
      <tp t="s">
        <v>#N/A Requesting Data...</v>
        <stp/>
        <stp>##V3_BDHV12</stp>
        <stp>CL1 Comdty</stp>
        <stp>PX_VOLUME</stp>
        <stp>23/01/2017</stp>
        <stp>23/01/2017</stp>
        <stp>[Bbg_Market_Data_CL.xlsm]data!R56C8</stp>
        <tr r="H56" s="1"/>
      </tp>
      <tp t="s">
        <v>#N/A Requesting Data...</v>
        <stp/>
        <stp>##V3_BDHV12</stp>
        <stp>CL1 Comdty</stp>
        <stp>PX_VOLUME</stp>
        <stp>07/03/2017</stp>
        <stp>07/03/2017</stp>
        <stp>[Bbg_Market_Data_CL.xlsm]data!R26C8</stp>
        <tr r="H26" s="1"/>
      </tp>
      <tp>
        <v>193186</v>
        <stp/>
        <stp>##V3_BDHV12</stp>
        <stp>CL2 Comdty</stp>
        <stp>PX_VOLUME</stp>
        <stp>07/03/2017</stp>
        <stp>07/03/2017</stp>
        <stp>[Bbg_Market_Data_CL.xlsm]data!R26C8</stp>
        <tr r="H26" s="1"/>
      </tp>
      <tp>
        <v>214298</v>
        <stp/>
        <stp>##V3_BDHV12</stp>
        <stp>CL2 Comdty</stp>
        <stp>PX_VOLUME</stp>
        <stp>06/12/2016</stp>
        <stp>06/12/2016</stp>
        <stp>[Bbg_Market_Data_CL.xlsm]data!R87C8</stp>
        <tr r="H87" s="1"/>
      </tp>
      <tp t="s">
        <v>#N/A Requesting Data...</v>
        <stp/>
        <stp>##V3_BDHV12</stp>
        <stp>CL1 Comdty</stp>
        <stp>PX_VOLUME</stp>
        <stp>06/12/2016</stp>
        <stp>06/12/2016</stp>
        <stp>[Bbg_Market_Data_CL.xlsm]data!R87C8</stp>
        <tr r="H87" s="1"/>
      </tp>
      <tp t="s">
        <v>#N/A Requesting Data...</v>
        <stp/>
        <stp>##V3_BDHV12</stp>
        <stp>CL1 Comdty</stp>
        <stp>PX_VOLUME</stp>
        <stp>21/11/2016</stp>
        <stp>21/11/2016</stp>
        <stp>[Bbg_Market_Data_CL.xlsm]data!R97C8</stp>
        <tr r="H97" s="1"/>
      </tp>
      <tp>
        <v>665326</v>
        <stp/>
        <stp>##V3_BDHV12</stp>
        <stp>CL2 Comdty</stp>
        <stp>PX_VOLUME</stp>
        <stp>21/11/2016</stp>
        <stp>21/11/2016</stp>
        <stp>[Bbg_Market_Data_CL.xlsm]data!R97C8</stp>
        <tr r="H97" s="1"/>
      </tp>
      <tp>
        <v>111500</v>
        <stp/>
        <stp>##V3_BDHV12</stp>
        <stp>CL2 Comdty</stp>
        <stp>PX_VOLUME</stp>
        <stp>06/02/2017</stp>
        <stp>06/02/2017</stp>
        <stp>[Bbg_Market_Data_CL.xlsm]data!R46C8</stp>
        <tr r="H46" s="1"/>
      </tp>
      <tp t="s">
        <v>#N/A Requesting Data...</v>
        <stp/>
        <stp>##V3_BDHV12</stp>
        <stp>CL1 Comdty</stp>
        <stp>PX_VOLUME</stp>
        <stp>06/02/2017</stp>
        <stp>06/02/2017</stp>
        <stp>[Bbg_Market_Data_CL.xlsm]data!R46C8</stp>
        <tr r="H46" s="1"/>
      </tp>
      <tp t="s">
        <v>#N/A Requesting Data...</v>
        <stp/>
        <stp>##V3_BDHV12</stp>
        <stp>CL1 Comdty</stp>
        <stp>PX_VOLUME</stp>
        <stp>21/03/2017</stp>
        <stp>21/03/2017</stp>
        <stp>[Bbg_Market_Data_CL.xlsm]data!R16C8</stp>
        <tr r="H16" s="1"/>
      </tp>
      <tp>
        <v>628119</v>
        <stp/>
        <stp>##V3_BDHV12</stp>
        <stp>CL2 Comdty</stp>
        <stp>PX_VOLUME</stp>
        <stp>21/03/2017</stp>
        <stp>21/03/2017</stp>
        <stp>[Bbg_Market_Data_CL.xlsm]data!R16C8</stp>
        <tr r="H16" s="1"/>
      </tp>
      <tp>
        <v>416592</v>
        <stp/>
        <stp>##V3_BDHV12</stp>
        <stp>CL2 Comdty</stp>
        <stp>PX_VOLUME</stp>
        <stp>20/12/2016</stp>
        <stp>20/12/2016</stp>
        <stp>[Bbg_Market_Data_CL.xlsm]data!R77C8</stp>
        <tr r="H77" s="1"/>
      </tp>
      <tp t="s">
        <v>#N/A Requesting Data...</v>
        <stp/>
        <stp>##V3_BDHV12</stp>
        <stp>CL1 Comdty</stp>
        <stp>PX_VOLUME</stp>
        <stp>20/12/2016</stp>
        <stp>20/12/2016</stp>
        <stp>[Bbg_Market_Data_CL.xlsm]data!R77C8</stp>
        <tr r="H77" s="1"/>
      </tp>
      <tp t="s">
        <v>#N/A Requesting Data...</v>
        <stp/>
        <stp>##V3_BDHV12</stp>
        <stp>CL1 Comdty</stp>
        <stp>PX_VOLUME</stp>
        <stp>06/01/2017</stp>
        <stp>06/01/2017</stp>
        <stp>[Bbg_Market_Data_CL.xlsm]data!R66C8</stp>
        <tr r="H66" s="1"/>
      </tp>
      <tp>
        <v>193150</v>
        <stp/>
        <stp>##V3_BDHV12</stp>
        <stp>CL2 Comdty</stp>
        <stp>PX_VOLUME</stp>
        <stp>06/01/2017</stp>
        <stp>06/01/2017</stp>
        <stp>[Bbg_Market_Data_CL.xlsm]data!R66C8</stp>
        <tr r="H66" s="1"/>
      </tp>
      <tp>
        <v>665310</v>
        <stp/>
        <stp>##V3_BDHV12</stp>
        <stp>CL2 Comdty</stp>
        <stp>PX_VOLUME</stp>
        <stp>21/02/2017</stp>
        <stp>21/02/2017</stp>
        <stp>[Bbg_Market_Data_CL.xlsm]data!R36C8</stp>
        <tr r="H36" s="1"/>
      </tp>
      <tp t="s">
        <v>#N/A Requesting Data...</v>
        <stp/>
        <stp>##V3_BDHV12</stp>
        <stp>CL1 Comdty</stp>
        <stp>PX_VOLUME</stp>
        <stp>21/02/2017</stp>
        <stp>21/02/2017</stp>
        <stp>[Bbg_Market_Data_CL.xlsm]data!R36C8</stp>
        <tr r="H36" s="1"/>
      </tp>
      <tp t="s">
        <v>#N/A Requesting Data...</v>
        <stp/>
        <stp>##V3_BDHV12</stp>
        <stp>CL1 Comdty</stp>
        <stp>MOV_AVG_5D</stp>
        <stp>04/08/2015</stp>
        <stp>04/08/2015</stp>
        <stp>[Bbg_Market_Data_CL.xlsm]data!R420C10</stp>
        <tr r="J420" s="1"/>
      </tp>
      <tp t="s">
        <v>#N/A Requesting Data...</v>
        <stp/>
        <stp>##V3_BDHV12</stp>
        <stp>CL2 Comdty</stp>
        <stp>MOV_AVG_5D</stp>
        <stp>01/03/2017</stp>
        <stp>01/03/2017</stp>
        <stp>[Bbg_Market_Data_CL.xlsm]data!R30C10</stp>
        <tr r="J30" s="1"/>
      </tp>
      <tp t="s">
        <v>#N/A Requesting Data...</v>
        <stp/>
        <stp>##V3_BDHV12</stp>
        <stp>CL1 Comdty</stp>
        <stp>MOV_AVG_5D</stp>
        <stp>02/03/2017</stp>
        <stp>02/03/2017</stp>
        <stp>[Bbg_Market_Data_CL.xlsm]data!R29C10</stp>
        <tr r="J29" s="1"/>
      </tp>
      <tp t="s">
        <v>#N/A Requesting Data...</v>
        <stp/>
        <stp>##V3_BDHV12</stp>
        <stp>CL1 Comdty</stp>
        <stp>MOV_AVG_5D</stp>
        <stp>02/12/2016</stp>
        <stp>02/12/2016</stp>
        <stp>[Bbg_Market_Data_CL.xlsm]data!R89C10</stp>
        <tr r="J89" s="1"/>
      </tp>
      <tp t="s">
        <v>#N/A Requesting Data...</v>
        <stp/>
        <stp>##V3_BDHV12</stp>
        <stp>CL2 Comdty</stp>
        <stp>MOV_AVG_5D</stp>
        <stp>01/12/2016</stp>
        <stp>01/12/2016</stp>
        <stp>[Bbg_Market_Data_CL.xlsm]data!R90C10</stp>
        <tr r="J90" s="1"/>
      </tp>
      <tp t="s">
        <v>#N/A Requesting Data...</v>
        <stp/>
        <stp>##V3_BDHV12</stp>
        <stp>CL2 Comdty</stp>
        <stp>MOV_AVG_5D</stp>
        <stp>25/08/2015</stp>
        <stp>25/08/2015</stp>
        <stp>[Bbg_Market_Data_CL.xlsm]data!R405C10</stp>
        <tr r="J405" s="1"/>
      </tp>
      <tp t="s">
        <v>#N/A Requesting Data...</v>
        <stp/>
        <stp>##V3_BDHV12</stp>
        <stp>CL1 Comdty</stp>
        <stp>MOV_AVG_5D</stp>
        <stp>03/03/2017</stp>
        <stp>03/03/2017</stp>
        <stp>[Bbg_Market_Data_CL.xlsm]data!R28C10</stp>
        <tr r="J28" s="1"/>
      </tp>
      <tp t="s">
        <v>#N/A Requesting Data...</v>
        <stp/>
        <stp>##V3_BDHV12</stp>
        <stp>CL1 Comdty</stp>
        <stp>MOV_AVG_5D</stp>
        <stp>23/01/2017</stp>
        <stp>23/01/2017</stp>
        <stp>[Bbg_Market_Data_CL.xlsm]data!R56C10</stp>
        <tr r="J56" s="1"/>
      </tp>
      <tp t="s">
        <v>#N/A Requesting Data...</v>
        <stp/>
        <stp>##V3_BDHV12</stp>
        <stp>CL1 Comdty</stp>
        <stp>MOV_AVG_5D</stp>
        <stp>13/02/2017</stp>
        <stp>13/02/2017</stp>
        <stp>[Bbg_Market_Data_CL.xlsm]data!R41C10</stp>
        <tr r="J41" s="1"/>
      </tp>
      <tp t="s">
        <v>#N/A Requesting Data...</v>
        <stp/>
        <stp>##V3_BDHV12</stp>
        <stp>CL2 Comdty</stp>
        <stp>MOV_AVG_5D</stp>
        <stp>10/02/2017</stp>
        <stp>10/02/2017</stp>
        <stp>[Bbg_Market_Data_CL.xlsm]data!R42C10</stp>
        <tr r="J42" s="1"/>
      </tp>
      <tp t="s">
        <v>#N/A Requesting Data...</v>
        <stp/>
        <stp>##V3_BDHV12</stp>
        <stp>CL2 Comdty</stp>
        <stp>MOV_AVG_5D</stp>
        <stp>20/01/2017</stp>
        <stp>20/01/2017</stp>
        <stp>[Bbg_Market_Data_CL.xlsm]data!R57C10</stp>
        <tr r="J57" s="1"/>
      </tp>
      <tp t="s">
        <v>#N/A Requesting Data...</v>
        <stp/>
        <stp>##V3_BDHV12</stp>
        <stp>CL2 Comdty</stp>
        <stp>MOV_AVG_5D</stp>
        <stp>30/11/2016</stp>
        <stp>30/11/2016</stp>
        <stp>[Bbg_Market_Data_CL.xlsm]data!R91C10</stp>
        <tr r="J91" s="1"/>
      </tp>
      <tp t="s">
        <v>#N/A Requesting Data...</v>
        <stp/>
        <stp>##V3_BDHV12</stp>
        <stp>CL1 Comdty</stp>
        <stp>MOV_AVG_5D</stp>
        <stp>26/08/2015</stp>
        <stp>26/08/2015</stp>
        <stp>[Bbg_Market_Data_CL.xlsm]data!R404C10</stp>
        <tr r="J404" s="1"/>
      </tp>
      <tp t="s">
        <v>#N/A Requesting Data...</v>
        <stp/>
        <stp>##V3_BDHV12</stp>
        <stp>CL2 Comdty</stp>
        <stp>MOV_AVG_5D</stp>
        <stp>03/03/2017</stp>
        <stp>03/03/2017</stp>
        <stp>[Bbg_Market_Data_CL.xlsm]data!R28C10</stp>
        <tr r="J28" s="1"/>
      </tp>
      <tp t="s">
        <v>#N/A Requesting Data...</v>
        <stp/>
        <stp>##V3_BDHV12</stp>
        <stp>CL2 Comdty</stp>
        <stp>MOV_AVG_5D</stp>
        <stp>23/01/2017</stp>
        <stp>23/01/2017</stp>
        <stp>[Bbg_Market_Data_CL.xlsm]data!R56C10</stp>
        <tr r="J56" s="1"/>
      </tp>
      <tp t="s">
        <v>#N/A Requesting Data...</v>
        <stp/>
        <stp>##V3_BDHV12</stp>
        <stp>CL2 Comdty</stp>
        <stp>MOV_AVG_5D</stp>
        <stp>13/02/2017</stp>
        <stp>13/02/2017</stp>
        <stp>[Bbg_Market_Data_CL.xlsm]data!R41C10</stp>
        <tr r="J41" s="1"/>
      </tp>
      <tp t="s">
        <v>#N/A Requesting Data...</v>
        <stp/>
        <stp>##V3_BDHV12</stp>
        <stp>CL1 Comdty</stp>
        <stp>MOV_AVG_5D</stp>
        <stp>10/02/2017</stp>
        <stp>10/02/2017</stp>
        <stp>[Bbg_Market_Data_CL.xlsm]data!R42C10</stp>
        <tr r="J42" s="1"/>
      </tp>
      <tp t="s">
        <v>#N/A Requesting Data...</v>
        <stp/>
        <stp>##V3_BDHV12</stp>
        <stp>CL1 Comdty</stp>
        <stp>MOV_AVG_5D</stp>
        <stp>20/01/2017</stp>
        <stp>20/01/2017</stp>
        <stp>[Bbg_Market_Data_CL.xlsm]data!R57C10</stp>
        <tr r="J57" s="1"/>
      </tp>
      <tp t="s">
        <v>#N/A Requesting Data...</v>
        <stp/>
        <stp>##V3_BDHV12</stp>
        <stp>CL1 Comdty</stp>
        <stp>MOV_AVG_5D</stp>
        <stp>30/11/2016</stp>
        <stp>30/11/2016</stp>
        <stp>[Bbg_Market_Data_CL.xlsm]data!R91C10</stp>
        <tr r="J91" s="1"/>
      </tp>
      <tp t="s">
        <v>#N/A Requesting Data...</v>
        <stp/>
        <stp>##V3_BDHV12</stp>
        <stp>CL2 Comdty</stp>
        <stp>MOV_AVG_5D</stp>
        <stp>07/08/2015</stp>
        <stp>07/08/2015</stp>
        <stp>[Bbg_Market_Data_CL.xlsm]data!R417C10</stp>
        <tr r="J417" s="1"/>
      </tp>
      <tp t="s">
        <v>#N/A Requesting Data...</v>
        <stp/>
        <stp>##V3_BDHV12</stp>
        <stp>CL1 Comdty</stp>
        <stp>MOV_AVG_5D</stp>
        <stp>01/03/2017</stp>
        <stp>01/03/2017</stp>
        <stp>[Bbg_Market_Data_CL.xlsm]data!R30C10</stp>
        <tr r="J30" s="1"/>
      </tp>
      <tp t="s">
        <v>#N/A Requesting Data...</v>
        <stp/>
        <stp>##V3_BDHV12</stp>
        <stp>CL2 Comdty</stp>
        <stp>MOV_AVG_5D</stp>
        <stp>02/03/2017</stp>
        <stp>02/03/2017</stp>
        <stp>[Bbg_Market_Data_CL.xlsm]data!R29C10</stp>
        <tr r="J29" s="1"/>
      </tp>
      <tp t="s">
        <v>#N/A Requesting Data...</v>
        <stp/>
        <stp>##V3_BDHV12</stp>
        <stp>CL2 Comdty</stp>
        <stp>MOV_AVG_5D</stp>
        <stp>02/12/2016</stp>
        <stp>02/12/2016</stp>
        <stp>[Bbg_Market_Data_CL.xlsm]data!R89C10</stp>
        <tr r="J89" s="1"/>
      </tp>
      <tp t="s">
        <v>#N/A Requesting Data...</v>
        <stp/>
        <stp>##V3_BDHV12</stp>
        <stp>CL1 Comdty</stp>
        <stp>MOV_AVG_5D</stp>
        <stp>01/12/2016</stp>
        <stp>01/12/2016</stp>
        <stp>[Bbg_Market_Data_CL.xlsm]data!R90C10</stp>
        <tr r="J90" s="1"/>
      </tp>
      <tp t="s">
        <v>#N/A Requesting Data...</v>
        <stp/>
        <stp>##V3_BDHV12</stp>
        <stp>CL1 Comdty</stp>
        <stp>MOV_AVG_5D</stp>
        <stp>06/09/2016</stp>
        <stp>06/09/2016</stp>
        <stp>[Bbg_Market_Data_CL.xlsm]data!R149C10</stp>
        <tr r="J149" s="1"/>
      </tp>
      <tp t="s">
        <v>#N/A Requesting Data...</v>
        <stp/>
        <stp>##V3_BDHV12</stp>
        <stp>CL2 Comdty</stp>
        <stp>MOV_AVG_5D</stp>
        <stp>26/08/2016</stp>
        <stp>26/08/2016</stp>
        <stp>[Bbg_Market_Data_CL.xlsm]data!R155C10</stp>
        <tr r="J155" s="1"/>
      </tp>
      <tp t="s">
        <v>#N/A Requesting Data...</v>
        <stp/>
        <stp>##V3_BDHV12</stp>
        <stp>CL1 Comdty</stp>
        <stp>MOV_AVG_5D</stp>
        <stp>16/08/2016</stp>
        <stp>16/08/2016</stp>
        <stp>[Bbg_Market_Data_CL.xlsm]data!R163C10</stp>
        <tr r="J163" s="1"/>
      </tp>
      <tp t="s">
        <v>#N/A Requesting Data...</v>
        <stp/>
        <stp>##V3_BDHV12</stp>
        <stp>CL2 Comdty</stp>
        <stp>MOV_AVG_5D</stp>
        <stp>17/09/2015</stp>
        <stp>17/09/2015</stp>
        <stp>[Bbg_Market_Data_CL.xlsm]data!R389C10</stp>
        <tr r="J389" s="1"/>
      </tp>
      <tp t="s">
        <v>#N/A Requesting Data...</v>
        <stp/>
        <stp>##V3_BDHV12</stp>
        <stp>CL1 Comdty</stp>
        <stp>MOV_AVG_5D</stp>
        <stp>26/01/2017</stp>
        <stp>26/01/2017</stp>
        <stp>[Bbg_Market_Data_CL.xlsm]data!R53C10</stp>
        <tr r="J53" s="1"/>
      </tp>
      <tp t="s">
        <v>#N/A Requesting Data...</v>
        <stp/>
        <stp>##V3_BDHV12</stp>
        <stp>CL2 Comdty</stp>
        <stp>MOV_AVG_5D</stp>
        <stp>25/01/2017</stp>
        <stp>25/01/2017</stp>
        <stp>[Bbg_Market_Data_CL.xlsm]data!R54C10</stp>
        <tr r="J54" s="1"/>
      </tp>
      <tp t="s">
        <v>#N/A Requesting Data...</v>
        <stp/>
        <stp>##V3_BDHV12</stp>
        <stp>CL2 Comdty</stp>
        <stp>MOV_AVG_5D</stp>
        <stp>15/02/2017</stp>
        <stp>15/02/2017</stp>
        <stp>[Bbg_Market_Data_CL.xlsm]data!R39C10</stp>
        <tr r="J39" s="1"/>
      </tp>
      <tp t="s">
        <v>#N/A Requesting Data...</v>
        <stp/>
        <stp>##V3_BDHV12</stp>
        <stp>CL1 Comdty</stp>
        <stp>MOV_AVG_5D</stp>
        <stp>06/03/2017</stp>
        <stp>06/03/2017</stp>
        <stp>[Bbg_Market_Data_CL.xlsm]data!R27C10</stp>
        <tr r="J27" s="1"/>
      </tp>
      <tp t="s">
        <v>#N/A Requesting Data...</v>
        <stp/>
        <stp>##V3_BDHV12</stp>
        <stp>CL1 Comdty</stp>
        <stp>MOV_AVG_5D</stp>
        <stp>16/02/2017</stp>
        <stp>16/02/2017</stp>
        <stp>[Bbg_Market_Data_CL.xlsm]data!R38C10</stp>
        <tr r="J38" s="1"/>
      </tp>
      <tp t="s">
        <v>#N/A Requesting Data...</v>
        <stp/>
        <stp>##V3_BDHV12</stp>
        <stp>CL1 Comdty</stp>
        <stp>MOV_AVG_5D</stp>
        <stp>06/12/2016</stp>
        <stp>06/12/2016</stp>
        <stp>[Bbg_Market_Data_CL.xlsm]data!R87C10</stp>
        <tr r="J87" s="1"/>
      </tp>
      <tp t="s">
        <v>#N/A Requesting Data...</v>
        <stp/>
        <stp>##V3_BDHV12</stp>
        <stp>CL2 Comdty</stp>
        <stp>MOV_AVG_5D</stp>
        <stp>05/12/2016</stp>
        <stp>05/12/2016</stp>
        <stp>[Bbg_Market_Data_CL.xlsm]data!R88C10</stp>
        <tr r="J88" s="1"/>
      </tp>
      <tp t="s">
        <v>#N/A Requesting Data...</v>
        <stp/>
        <stp>##V3_BDHV12</stp>
        <stp>CL2 Comdty</stp>
        <stp>MOV_AVG_5D</stp>
        <stp>27/09/2016</stp>
        <stp>27/09/2016</stp>
        <stp>[Bbg_Market_Data_CL.xlsm]data!R134C10</stp>
        <tr r="J134" s="1"/>
      </tp>
      <tp t="s">
        <v>#N/A Requesting Data...</v>
        <stp/>
        <stp>##V3_BDHV12</stp>
        <stp>CL1 Comdty</stp>
        <stp>MOV_AVG_5D</stp>
        <stp>27/01/2017</stp>
        <stp>27/01/2017</stp>
        <stp>[Bbg_Market_Data_CL.xlsm]data!R52C10</stp>
        <tr r="J52" s="1"/>
      </tp>
      <tp t="s">
        <v>#N/A Requesting Data...</v>
        <stp/>
        <stp>##V3_BDHV12</stp>
        <stp>CL2 Comdty</stp>
        <stp>MOV_AVG_5D</stp>
        <stp>14/02/2017</stp>
        <stp>14/02/2017</stp>
        <stp>[Bbg_Market_Data_CL.xlsm]data!R40C10</stp>
        <tr r="J40" s="1"/>
      </tp>
      <tp t="s">
        <v>#N/A Requesting Data...</v>
        <stp/>
        <stp>##V3_BDHV12</stp>
        <stp>CL2 Comdty</stp>
        <stp>MOV_AVG_5D</stp>
        <stp>24/01/2017</stp>
        <stp>24/01/2017</stp>
        <stp>[Bbg_Market_Data_CL.xlsm]data!R55C10</stp>
        <tr r="J55" s="1"/>
      </tp>
      <tp t="s">
        <v>#N/A Requesting Data...</v>
        <stp/>
        <stp>##V3_BDHV12</stp>
        <stp>CL1 Comdty</stp>
        <stp>MOV_AVG_5D</stp>
        <stp>17/02/2017</stp>
        <stp>17/02/2017</stp>
        <stp>[Bbg_Market_Data_CL.xlsm]data!R37C10</stp>
        <tr r="J37" s="1"/>
      </tp>
      <tp t="s">
        <v>#N/A Requesting Data...</v>
        <stp/>
        <stp>##V3_BDHV12</stp>
        <stp>CL1 Comdty</stp>
        <stp>MOV_AVG_5D</stp>
        <stp>07/03/2017</stp>
        <stp>07/03/2017</stp>
        <stp>[Bbg_Market_Data_CL.xlsm]data!R26C10</stp>
        <tr r="J26" s="1"/>
      </tp>
      <tp t="s">
        <v>#N/A Requesting Data...</v>
        <stp/>
        <stp>##V3_BDHV12</stp>
        <stp>CL1 Comdty</stp>
        <stp>MOV_AVG_5D</stp>
        <stp>07/12/2016</stp>
        <stp>07/12/2016</stp>
        <stp>[Bbg_Market_Data_CL.xlsm]data!R86C10</stp>
        <tr r="J86" s="1"/>
      </tp>
      <tp t="s">
        <v>#N/A Requesting Data...</v>
        <stp/>
        <stp>##V3_BDHV12</stp>
        <stp>CL2 Comdty</stp>
        <stp>MOV_AVG_5D</stp>
        <stp>14/09/2016</stp>
        <stp>14/09/2016</stp>
        <stp>[Bbg_Market_Data_CL.xlsm]data!R143C10</stp>
        <tr r="J143" s="1"/>
      </tp>
      <tp t="s">
        <v>#N/A Requesting Data...</v>
        <stp/>
        <stp>##V3_BDHV12</stp>
        <stp>CL2 Comdty</stp>
        <stp>MOV_AVG_5D</stp>
        <stp>04/08/2016</stp>
        <stp>04/08/2016</stp>
        <stp>[Bbg_Market_Data_CL.xlsm]data!R170C10</stp>
        <tr r="J170" s="1"/>
      </tp>
      <tp t="s">
        <v>#N/A Requesting Data...</v>
        <stp/>
        <stp>##V3_BDHV12</stp>
        <stp>CL2 Comdty</stp>
        <stp>MOV_AVG_5D</stp>
        <stp>27/01/2017</stp>
        <stp>27/01/2017</stp>
        <stp>[Bbg_Market_Data_CL.xlsm]data!R52C10</stp>
        <tr r="J52" s="1"/>
      </tp>
      <tp t="s">
        <v>#N/A Requesting Data...</v>
        <stp/>
        <stp>##V3_BDHV12</stp>
        <stp>CL1 Comdty</stp>
        <stp>MOV_AVG_5D</stp>
        <stp>14/02/2017</stp>
        <stp>14/02/2017</stp>
        <stp>[Bbg_Market_Data_CL.xlsm]data!R40C10</stp>
        <tr r="J40" s="1"/>
      </tp>
      <tp t="s">
        <v>#N/A Requesting Data...</v>
        <stp/>
        <stp>##V3_BDHV12</stp>
        <stp>CL1 Comdty</stp>
        <stp>MOV_AVG_5D</stp>
        <stp>24/01/2017</stp>
        <stp>24/01/2017</stp>
        <stp>[Bbg_Market_Data_CL.xlsm]data!R55C10</stp>
        <tr r="J55" s="1"/>
      </tp>
      <tp t="s">
        <v>#N/A Requesting Data...</v>
        <stp/>
        <stp>##V3_BDHV12</stp>
        <stp>CL2 Comdty</stp>
        <stp>MOV_AVG_5D</stp>
        <stp>17/02/2017</stp>
        <stp>17/02/2017</stp>
        <stp>[Bbg_Market_Data_CL.xlsm]data!R37C10</stp>
        <tr r="J37" s="1"/>
      </tp>
      <tp t="s">
        <v>#N/A Requesting Data...</v>
        <stp/>
        <stp>##V3_BDHV12</stp>
        <stp>CL2 Comdty</stp>
        <stp>MOV_AVG_5D</stp>
        <stp>07/03/2017</stp>
        <stp>07/03/2017</stp>
        <stp>[Bbg_Market_Data_CL.xlsm]data!R26C10</stp>
        <tr r="J26" s="1"/>
      </tp>
      <tp t="s">
        <v>#N/A Requesting Data...</v>
        <stp/>
        <stp>##V3_BDHV12</stp>
        <stp>CL2 Comdty</stp>
        <stp>MOV_AVG_5D</stp>
        <stp>07/12/2016</stp>
        <stp>07/12/2016</stp>
        <stp>[Bbg_Market_Data_CL.xlsm]data!R86C10</stp>
        <tr r="J86" s="1"/>
      </tp>
      <tp t="s">
        <v>#N/A Requesting Data...</v>
        <stp/>
        <stp>##V3_BDHV12</stp>
        <stp>CL1 Comdty</stp>
        <stp>MOV_AVG_5D</stp>
        <stp>25/08/2016</stp>
        <stp>25/08/2016</stp>
        <stp>[Bbg_Market_Data_CL.xlsm]data!R156C10</stp>
        <tr r="J156" s="1"/>
      </tp>
      <tp t="s">
        <v>#N/A Requesting Data...</v>
        <stp/>
        <stp>##V3_BDHV12</stp>
        <stp>CL2 Comdty</stp>
        <stp>MOV_AVG_5D</stp>
        <stp>15/08/2016</stp>
        <stp>15/08/2016</stp>
        <stp>[Bbg_Market_Data_CL.xlsm]data!R164C10</stp>
        <tr r="J164" s="1"/>
      </tp>
      <tp t="s">
        <v>#N/A Requesting Data...</v>
        <stp/>
        <stp>##V3_BDHV12</stp>
        <stp>CL2 Comdty</stp>
        <stp>MOV_AVG_5D</stp>
        <stp>24/09/2015</stp>
        <stp>24/09/2015</stp>
        <stp>[Bbg_Market_Data_CL.xlsm]data!R384C10</stp>
        <tr r="J384" s="1"/>
      </tp>
      <tp t="s">
        <v>#N/A Requesting Data...</v>
        <stp/>
        <stp>##V3_BDHV12</stp>
        <stp>CL1 Comdty</stp>
        <stp>MOV_AVG_5D</stp>
        <stp>14/09/2015</stp>
        <stp>14/09/2015</stp>
        <stp>[Bbg_Market_Data_CL.xlsm]data!R392C10</stp>
        <tr r="J392" s="1"/>
      </tp>
      <tp t="s">
        <v>#N/A Requesting Data...</v>
        <stp/>
        <stp>##V3_BDHV12</stp>
        <stp>CL2 Comdty</stp>
        <stp>MOV_AVG_5D</stp>
        <stp>26/01/2017</stp>
        <stp>26/01/2017</stp>
        <stp>[Bbg_Market_Data_CL.xlsm]data!R53C10</stp>
        <tr r="J53" s="1"/>
      </tp>
      <tp t="s">
        <v>#N/A Requesting Data...</v>
        <stp/>
        <stp>##V3_BDHV12</stp>
        <stp>CL1 Comdty</stp>
        <stp>MOV_AVG_5D</stp>
        <stp>25/01/2017</stp>
        <stp>25/01/2017</stp>
        <stp>[Bbg_Market_Data_CL.xlsm]data!R54C10</stp>
        <tr r="J54" s="1"/>
      </tp>
      <tp t="s">
        <v>#N/A Requesting Data...</v>
        <stp/>
        <stp>##V3_BDHV12</stp>
        <stp>CL1 Comdty</stp>
        <stp>MOV_AVG_5D</stp>
        <stp>15/02/2017</stp>
        <stp>15/02/2017</stp>
        <stp>[Bbg_Market_Data_CL.xlsm]data!R39C10</stp>
        <tr r="J39" s="1"/>
      </tp>
      <tp t="s">
        <v>#N/A Requesting Data...</v>
        <stp/>
        <stp>##V3_BDHV12</stp>
        <stp>CL2 Comdty</stp>
        <stp>MOV_AVG_5D</stp>
        <stp>06/03/2017</stp>
        <stp>06/03/2017</stp>
        <stp>[Bbg_Market_Data_CL.xlsm]data!R27C10</stp>
        <tr r="J27" s="1"/>
      </tp>
      <tp t="s">
        <v>#N/A Requesting Data...</v>
        <stp/>
        <stp>##V3_BDHV12</stp>
        <stp>CL2 Comdty</stp>
        <stp>MOV_AVG_5D</stp>
        <stp>16/02/2017</stp>
        <stp>16/02/2017</stp>
        <stp>[Bbg_Market_Data_CL.xlsm]data!R38C10</stp>
        <tr r="J38" s="1"/>
      </tp>
      <tp t="s">
        <v>#N/A Requesting Data...</v>
        <stp/>
        <stp>##V3_BDHV12</stp>
        <stp>CL2 Comdty</stp>
        <stp>MOV_AVG_5D</stp>
        <stp>06/12/2016</stp>
        <stp>06/12/2016</stp>
        <stp>[Bbg_Market_Data_CL.xlsm]data!R87C10</stp>
        <tr r="J87" s="1"/>
      </tp>
      <tp t="s">
        <v>#N/A Requesting Data...</v>
        <stp/>
        <stp>##V3_BDHV12</stp>
        <stp>CL1 Comdty</stp>
        <stp>MOV_AVG_5D</stp>
        <stp>05/12/2016</stp>
        <stp>05/12/2016</stp>
        <stp>[Bbg_Market_Data_CL.xlsm]data!R88C10</stp>
        <tr r="J88" s="1"/>
      </tp>
      <tp t="s">
        <v>#N/A Requesting Data...</v>
        <stp/>
        <stp>##V3_BDHV12</stp>
        <stp>CL1 Comdty</stp>
        <stp>MOV_AVG_5D</stp>
        <stp>09/06/2016</stp>
        <stp>09/06/2016</stp>
        <stp>[Bbg_Market_Data_CL.xlsm]data!R209C10</stp>
        <tr r="J209" s="1"/>
      </tp>
      <tp t="s">
        <v>#N/A Requesting Data...</v>
        <stp/>
        <stp>##V3_BDHV12</stp>
        <stp>CL2 Comdty</stp>
        <stp>MOV_AVG_5D</stp>
        <stp>09/05/2016</stp>
        <stp>09/05/2016</stp>
        <stp>[Bbg_Market_Data_CL.xlsm]data!R231C10</stp>
        <tr r="J231" s="1"/>
      </tp>
      <tp t="s">
        <v>#N/A Requesting Data...</v>
        <stp/>
        <stp>##V3_BDHV12</stp>
        <stp>CL1 Comdty</stp>
        <stp>MOV_AVG_5D</stp>
        <stp>29/04/2016</stp>
        <stp>29/04/2016</stp>
        <stp>[Bbg_Market_Data_CL.xlsm]data!R237C10</stp>
        <tr r="J237" s="1"/>
      </tp>
      <tp t="s">
        <v>#N/A Requesting Data...</v>
        <stp/>
        <stp>##V3_BDHV12</stp>
        <stp>CL2 Comdty</stp>
        <stp>MOV_AVG_5D</stp>
        <stp>19/04/2016</stp>
        <stp>19/04/2016</stp>
        <stp>[Bbg_Market_Data_CL.xlsm]data!R245C10</stp>
        <tr r="J245" s="1"/>
      </tp>
      <tp t="s">
        <v>#N/A Requesting Data...</v>
        <stp/>
        <stp>##V3_BDHV12</stp>
        <stp>CL2 Comdty</stp>
        <stp>MOV_AVG_5D</stp>
        <stp>09/12/2016</stp>
        <stp>09/12/2016</stp>
        <stp>[Bbg_Market_Data_CL.xlsm]data!R84C10</stp>
        <tr r="J84" s="1"/>
      </tp>
      <tp t="s">
        <v>#N/A Requesting Data...</v>
        <stp/>
        <stp>##V3_BDHV12</stp>
        <stp>CL2 Comdty</stp>
        <stp>MOV_AVG_5D</stp>
        <stp>09/03/2017</stp>
        <stp>09/03/2017</stp>
        <stp>[Bbg_Market_Data_CL.xlsm]data!R24C10</stp>
        <tr r="J24" s="1"/>
      </tp>
      <tp t="s">
        <v>#N/A Requesting Data...</v>
        <stp/>
        <stp>##V3_BDHV12</stp>
        <stp>CL2 Comdty</stp>
        <stp>MOV_AVG_5D</stp>
        <stp>18/05/2016</stp>
        <stp>18/05/2016</stp>
        <stp>[Bbg_Market_Data_CL.xlsm]data!R224C10</stp>
        <tr r="J224" s="1"/>
      </tp>
      <tp t="s">
        <v>#N/A Requesting Data...</v>
        <stp/>
        <stp>##V3_BDHV12</stp>
        <stp>CL2 Comdty</stp>
        <stp>MOV_AVG_5D</stp>
        <stp>08/04/2016</stp>
        <stp>08/04/2016</stp>
        <stp>[Bbg_Market_Data_CL.xlsm]data!R252C10</stp>
        <tr r="J252" s="1"/>
      </tp>
      <tp t="s">
        <v>#N/A Requesting Data...</v>
        <stp/>
        <stp>##V3_BDHV12</stp>
        <stp>CL2 Comdty</stp>
        <stp>MOV_AVG_5D</stp>
        <stp>08/12/2016</stp>
        <stp>08/12/2016</stp>
        <stp>[Bbg_Market_Data_CL.xlsm]data!R85C10</stp>
        <tr r="J85" s="1"/>
      </tp>
      <tp t="s">
        <v>#N/A Requesting Data...</v>
        <stp/>
        <stp>##V3_BDHV12</stp>
        <stp>CL2 Comdty</stp>
        <stp>MOV_AVG_5D</stp>
        <stp>08/03/2017</stp>
        <stp>08/03/2017</stp>
        <stp>[Bbg_Market_Data_CL.xlsm]data!R25C10</stp>
        <tr r="J25" s="1"/>
      </tp>
      <tp t="s">
        <v>#N/A Requesting Data...</v>
        <stp/>
        <stp>##V3_BDHV12</stp>
        <stp>CL1 Comdty</stp>
        <stp>MOV_AVG_5D</stp>
        <stp>08/07/2016</stp>
        <stp>08/07/2016</stp>
        <stp>[Bbg_Market_Data_CL.xlsm]data!R189C10</stp>
        <tr r="J189" s="1"/>
      </tp>
      <tp t="s">
        <v>#N/A Requesting Data...</v>
        <stp/>
        <stp>##V3_BDHV12</stp>
        <stp>CL2 Comdty</stp>
        <stp>MOV_AVG_5D</stp>
        <stp>28/06/2016</stp>
        <stp>28/06/2016</stp>
        <stp>[Bbg_Market_Data_CL.xlsm]data!R196C10</stp>
        <tr r="J196" s="1"/>
      </tp>
      <tp t="s">
        <v>#N/A Requesting Data...</v>
        <stp/>
        <stp>##V3_BDHV12</stp>
        <stp>CL1 Comdty</stp>
        <stp>MOV_AVG_5D</stp>
        <stp>08/12/2016</stp>
        <stp>08/12/2016</stp>
        <stp>[Bbg_Market_Data_CL.xlsm]data!R85C10</stp>
        <tr r="J85" s="1"/>
      </tp>
      <tp t="s">
        <v>#N/A Requesting Data...</v>
        <stp/>
        <stp>##V3_BDHV12</stp>
        <stp>CL1 Comdty</stp>
        <stp>MOV_AVG_5D</stp>
        <stp>08/03/2017</stp>
        <stp>08/03/2017</stp>
        <stp>[Bbg_Market_Data_CL.xlsm]data!R25C10</stp>
        <tr r="J25" s="1"/>
      </tp>
      <tp t="s">
        <v>#N/A Requesting Data...</v>
        <stp/>
        <stp>##V3_BDHV12</stp>
        <stp>CL2 Comdty</stp>
        <stp>MOV_AVG_5D</stp>
        <stp>29/07/2016</stp>
        <stp>29/07/2016</stp>
        <stp>[Bbg_Market_Data_CL.xlsm]data!R174C10</stp>
        <tr r="J174" s="1"/>
      </tp>
      <tp t="s">
        <v>#N/A Requesting Data...</v>
        <stp/>
        <stp>##V3_BDHV12</stp>
        <stp>CL1 Comdty</stp>
        <stp>MOV_AVG_5D</stp>
        <stp>19/07/2016</stp>
        <stp>19/07/2016</stp>
        <stp>[Bbg_Market_Data_CL.xlsm]data!R182C10</stp>
        <tr r="J182" s="1"/>
      </tp>
      <tp t="s">
        <v>#N/A Requesting Data...</v>
        <stp/>
        <stp>##V3_BDHV12</stp>
        <stp>CL1 Comdty</stp>
        <stp>MOV_AVG_5D</stp>
        <stp>09/12/2016</stp>
        <stp>09/12/2016</stp>
        <stp>[Bbg_Market_Data_CL.xlsm]data!R84C10</stp>
        <tr r="J84" s="1"/>
      </tp>
      <tp t="s">
        <v>#N/A Requesting Data...</v>
        <stp/>
        <stp>##V3_BDHV12</stp>
        <stp>CL1 Comdty</stp>
        <stp>MOV_AVG_5D</stp>
        <stp>09/03/2017</stp>
        <stp>09/03/2017</stp>
        <stp>[Bbg_Market_Data_CL.xlsm]data!R24C10</stp>
        <tr r="J24" s="1"/>
      </tp>
      <tp t="s">
        <v>#N/A Requesting Data...</v>
        <stp/>
        <stp>##V3_BDHV12</stp>
        <stp>CL2 Comdty</stp>
        <stp>MOV_AVG_5D</stp>
        <stp>08/07/2015</stp>
        <stp>08/07/2015</stp>
        <stp>[Bbg_Market_Data_CL.xlsm]data!R439C10</stp>
        <tr r="J439" s="1"/>
      </tp>
      <tp t="s">
        <v>#N/A Requesting Data...</v>
        <stp/>
        <stp>##V3_BDHV12</stp>
        <stp>CL2 Comdty</stp>
        <stp>MOV_AVG_5D</stp>
        <stp>18/06/2015</stp>
        <stp>18/06/2015</stp>
        <stp>[Bbg_Market_Data_CL.xlsm]data!R452C10</stp>
        <tr r="J452" s="1"/>
      </tp>
      <tp t="s">
        <v>#N/A Requesting Data...</v>
        <stp/>
        <stp>##V3_BDHV12</stp>
        <stp>CL2 Comdty</stp>
        <stp>MOV_AVG_5D</stp>
        <stp>28/05/2015</stp>
        <stp>28/05/2015</stp>
        <stp>[Bbg_Market_Data_CL.xlsm]data!R467C10</stp>
        <tr r="J467" s="1"/>
      </tp>
      <tp t="s">
        <v>#N/A Requesting Data...</v>
        <stp/>
        <stp>##V3_BDHV12</stp>
        <stp>CL1 Comdty</stp>
        <stp>MOV_AVG_5D</stp>
        <stp>18/05/2015</stp>
        <stp>18/05/2015</stp>
        <stp>[Bbg_Market_Data_CL.xlsm]data!R474C10</stp>
        <tr r="J474" s="1"/>
      </tp>
      <tp t="s">
        <v>#N/A Requesting Data...</v>
        <stp/>
        <stp>##V3_BDHV12</stp>
        <stp>CL1 Comdty</stp>
        <stp>MOV_AVG_5D</stp>
        <stp>29/07/2015</stp>
        <stp>29/07/2015</stp>
        <stp>[Bbg_Market_Data_CL.xlsm]data!R424C10</stp>
        <tr r="J424" s="1"/>
      </tp>
      <tp t="s">
        <v>#N/A Requesting Data...</v>
        <stp/>
        <stp>##V3_BDHV12</stp>
        <stp>CL2 Comdty</stp>
        <stp>MOV_AVG_5D</stp>
        <stp>09/06/2015</stp>
        <stp>09/06/2015</stp>
        <stp>[Bbg_Market_Data_CL.xlsm]data!R459C10</stp>
        <tr r="J459" s="1"/>
      </tp>
      <tp t="s">
        <v>#N/A Requesting Data...</v>
        <stp/>
        <stp>##V3_BDHV12</stp>
        <stp>CL2 Comdty</stp>
        <stp>MOV_AVG_5D</stp>
        <stp>29/04/2015</stp>
        <stp>29/04/2015</stp>
        <stp>[Bbg_Market_Data_CL.xlsm]data!R487C10</stp>
        <tr r="J487" s="1"/>
      </tp>
      <tp>
        <v>47.12</v>
        <stp/>
        <stp>##V3_BDHV12</stp>
        <stp>CL2 Comdty</stp>
        <stp>PX_HIGH</stp>
        <stp>17/11/2016</stp>
        <stp>17/11/2016</stp>
        <stp>[Bbg_Market_Data_CL.xlsm]data!R99C6</stp>
        <tr r="F99" s="1"/>
      </tp>
      <tp t="s">
        <v>#N/A Requesting Data...</v>
        <stp/>
        <stp>##V3_BDHV12</stp>
        <stp>CL1 Comdty</stp>
        <stp>PX_HIGH</stp>
        <stp>17/03/2017</stp>
        <stp>17/03/2017</stp>
        <stp>[Bbg_Market_Data_CL.xlsm]data!R18C6</stp>
        <tr r="F18" s="1"/>
      </tp>
      <tp>
        <v>54.38</v>
        <stp/>
        <stp>##V3_BDHV12</stp>
        <stp>CL2 Comdty</stp>
        <stp>PX_HIGH</stp>
        <stp>04/01/2017</stp>
        <stp>04/01/2017</stp>
        <stp>[Bbg_Market_Data_CL.xlsm]data!R68C6</stp>
        <tr r="F68" s="1"/>
      </tp>
      <tp t="s">
        <v>#N/A Requesting Data...</v>
        <stp/>
        <stp>##V3_BDHV12</stp>
        <stp>CL1 Comdty</stp>
        <stp>PX_HIGH</stp>
        <stp>16/12/2016</stp>
        <stp>16/12/2016</stp>
        <stp>[Bbg_Market_Data_CL.xlsm]data!R79C6</stp>
        <tr r="F79" s="1"/>
      </tp>
      <tp t="s">
        <v>#N/A Requesting Data...</v>
        <stp/>
        <stp>##V3_BDHV12</stp>
        <stp>CL1 Comdty</stp>
        <stp>PX_HIGH</stp>
        <stp>02/02/2017</stp>
        <stp>02/02/2017</stp>
        <stp>[Bbg_Market_Data_CL.xlsm]data!R48C6</stp>
        <tr r="F48" s="1"/>
      </tp>
      <tp>
        <v>52.67</v>
        <stp/>
        <stp>##V3_BDHV12</stp>
        <stp>CL2 Comdty</stp>
        <stp>PX_HIGH</stp>
        <stp>19/01/2017</stp>
        <stp>19/01/2017</stp>
        <stp>[Bbg_Market_Data_CL.xlsm]data!R58C6</stp>
        <tr r="F58" s="1"/>
      </tp>
      <tp t="s">
        <v>#N/A Requesting Data...</v>
        <stp/>
        <stp>##V3_BDHV12</stp>
        <stp>CL1 Comdty</stp>
        <stp>PX_HIGH</stp>
        <stp>16/02/2017</stp>
        <stp>16/02/2017</stp>
        <stp>[Bbg_Market_Data_CL.xlsm]data!R38C6</stp>
        <tr r="F38" s="1"/>
      </tp>
      <tp t="s">
        <v>#N/A Requesting Data...</v>
        <stp/>
        <stp>##V3_BDHV12</stp>
        <stp>CL1 Comdty</stp>
        <stp>PX_HIGH</stp>
        <stp>02/12/2016</stp>
        <stp>02/12/2016</stp>
        <stp>[Bbg_Market_Data_CL.xlsm]data!R89C6</stp>
        <tr r="F89" s="1"/>
      </tp>
      <tp t="s">
        <v>#N/A Requesting Data...</v>
        <stp/>
        <stp>##V3_BDHV12</stp>
        <stp>CL1 Comdty</stp>
        <stp>PX_HIGH</stp>
        <stp>03/03/2017</stp>
        <stp>03/03/2017</stp>
        <stp>[Bbg_Market_Data_CL.xlsm]data!R28C6</stp>
        <tr r="F28" s="1"/>
      </tp>
      <tp t="s">
        <v>#N/A Requesting Data...</v>
        <stp/>
        <stp>##V3_BDHV12</stp>
        <stp>CL1 Comdty</stp>
        <stp>PX_HIGH</stp>
        <stp>19/01/2017</stp>
        <stp>19/01/2017</stp>
        <stp>[Bbg_Market_Data_CL.xlsm]data!R58C6</stp>
        <tr r="F58" s="1"/>
      </tp>
      <tp>
        <v>54.06</v>
        <stp/>
        <stp>##V3_BDHV12</stp>
        <stp>CL2 Comdty</stp>
        <stp>PX_HIGH</stp>
        <stp>16/02/2017</stp>
        <stp>16/02/2017</stp>
        <stp>[Bbg_Market_Data_CL.xlsm]data!R38C6</stp>
        <tr r="F38" s="1"/>
      </tp>
      <tp>
        <v>52.69</v>
        <stp/>
        <stp>##V3_BDHV12</stp>
        <stp>CL2 Comdty</stp>
        <stp>PX_HIGH</stp>
        <stp>02/12/2016</stp>
        <stp>02/12/2016</stp>
        <stp>[Bbg_Market_Data_CL.xlsm]data!R89C6</stp>
        <tr r="F89" s="1"/>
      </tp>
      <tp>
        <v>53.84</v>
        <stp/>
        <stp>##V3_BDHV12</stp>
        <stp>CL2 Comdty</stp>
        <stp>PX_HIGH</stp>
        <stp>03/03/2017</stp>
        <stp>03/03/2017</stp>
        <stp>[Bbg_Market_Data_CL.xlsm]data!R28C6</stp>
        <tr r="F28" s="1"/>
      </tp>
      <tp t="s">
        <v>#N/A Requesting Data...</v>
        <stp/>
        <stp>##V3_BDHV12</stp>
        <stp>CL1 Comdty</stp>
        <stp>PX_HIGH</stp>
        <stp>17/11/2016</stp>
        <stp>17/11/2016</stp>
        <stp>[Bbg_Market_Data_CL.xlsm]data!R99C6</stp>
        <tr r="F99" s="1"/>
      </tp>
      <tp>
        <v>49.71</v>
        <stp/>
        <stp>##V3_BDHV12</stp>
        <stp>CL2 Comdty</stp>
        <stp>PX_HIGH</stp>
        <stp>17/03/2017</stp>
        <stp>17/03/2017</stp>
        <stp>[Bbg_Market_Data_CL.xlsm]data!R18C6</stp>
        <tr r="F18" s="1"/>
      </tp>
      <tp t="s">
        <v>#N/A Requesting Data...</v>
        <stp/>
        <stp>##V3_BDHV12</stp>
        <stp>CL1 Comdty</stp>
        <stp>PX_HIGH</stp>
        <stp>04/01/2017</stp>
        <stp>04/01/2017</stp>
        <stp>[Bbg_Market_Data_CL.xlsm]data!R68C6</stp>
        <tr r="F68" s="1"/>
      </tp>
      <tp>
        <v>53.15</v>
        <stp/>
        <stp>##V3_BDHV12</stp>
        <stp>CL2 Comdty</stp>
        <stp>PX_HIGH</stp>
        <stp>16/12/2016</stp>
        <stp>16/12/2016</stp>
        <stp>[Bbg_Market_Data_CL.xlsm]data!R79C6</stp>
        <tr r="F79" s="1"/>
      </tp>
      <tp>
        <v>54.96</v>
        <stp/>
        <stp>##V3_BDHV12</stp>
        <stp>CL2 Comdty</stp>
        <stp>PX_HIGH</stp>
        <stp>02/02/2017</stp>
        <stp>02/02/2017</stp>
        <stp>[Bbg_Market_Data_CL.xlsm]data!R48C6</stp>
        <tr r="F48" s="1"/>
      </tp>
      <tp t="s">
        <v>#N/A Requesting Data...</v>
        <stp/>
        <stp>##V3_BDHV12</stp>
        <stp>CL1 Comdty</stp>
        <stp>PX_VOLUME</stp>
        <stp>24/01/2017</stp>
        <stp>24/01/2017</stp>
        <stp>[Bbg_Market_Data_CL.xlsm]data!R55C8</stp>
        <tr r="H55" s="1"/>
      </tp>
      <tp>
        <v>140775</v>
        <stp/>
        <stp>##V3_BDHV12</stp>
        <stp>CL2 Comdty</stp>
        <stp>PX_VOLUME</stp>
        <stp>24/01/2017</stp>
        <stp>24/01/2017</stp>
        <stp>[Bbg_Market_Data_CL.xlsm]data!R55C8</stp>
        <tr r="H55" s="1"/>
      </tp>
      <tp t="s">
        <v>#N/A Requesting Data...</v>
        <stp/>
        <stp>##V3_BDHV12</stp>
        <stp>CL1 Comdty</stp>
        <stp>PX_VOLUME</stp>
        <stp>09/12/2016</stp>
        <stp>09/12/2016</stp>
        <stp>[Bbg_Market_Data_CL.xlsm]data!R84C8</stp>
        <tr r="H84" s="1"/>
      </tp>
      <tp>
        <v>320171</v>
        <stp/>
        <stp>##V3_BDHV12</stp>
        <stp>CL2 Comdty</stp>
        <stp>PX_VOLUME</stp>
        <stp>09/12/2016</stp>
        <stp>09/12/2016</stp>
        <stp>[Bbg_Market_Data_CL.xlsm]data!R84C8</stp>
        <tr r="H84" s="1"/>
      </tp>
      <tp>
        <v>322580</v>
        <stp/>
        <stp>##V3_BDHV12</stp>
        <stp>CL2 Comdty</stp>
        <stp>PX_VOLUME</stp>
        <stp>08/03/2017</stp>
        <stp>08/03/2017</stp>
        <stp>[Bbg_Market_Data_CL.xlsm]data!R25C8</stp>
        <tr r="H25" s="1"/>
      </tp>
      <tp t="s">
        <v>#N/A Requesting Data...</v>
        <stp/>
        <stp>##V3_BDHV12</stp>
        <stp>CL1 Comdty</stp>
        <stp>PX_VOLUME</stp>
        <stp>08/03/2017</stp>
        <stp>08/03/2017</stp>
        <stp>[Bbg_Market_Data_CL.xlsm]data!R25C8</stp>
        <tr r="H25" s="1"/>
      </tp>
      <tp t="s">
        <v>#N/A Requesting Data...</v>
        <stp/>
        <stp>##V3_BDHV12</stp>
        <stp>CL1 Comdty</stp>
        <stp>PX_VOLUME</stp>
        <stp>25/11/2016</stp>
        <stp>25/11/2016</stp>
        <stp>[Bbg_Market_Data_CL.xlsm]data!R94C8</stp>
        <tr r="H94" s="1"/>
      </tp>
      <tp>
        <v>72641</v>
        <stp/>
        <stp>##V3_BDHV12</stp>
        <stp>CL2 Comdty</stp>
        <stp>PX_VOLUME</stp>
        <stp>25/11/2016</stp>
        <stp>25/11/2016</stp>
        <stp>[Bbg_Market_Data_CL.xlsm]data!R94C8</stp>
        <tr r="H94" s="1"/>
      </tp>
      <tp>
        <v>240859</v>
        <stp/>
        <stp>##V3_BDHV12</stp>
        <stp>CL2 Comdty</stp>
        <stp>PX_VOLUME</stp>
        <stp>07/02/2017</stp>
        <stp>07/02/2017</stp>
        <stp>[Bbg_Market_Data_CL.xlsm]data!R45C8</stp>
        <tr r="H45" s="1"/>
      </tp>
      <tp t="s">
        <v>#N/A Requesting Data...</v>
        <stp/>
        <stp>##V3_BDHV12</stp>
        <stp>CL1 Comdty</stp>
        <stp>PX_VOLUME</stp>
        <stp>07/02/2017</stp>
        <stp>07/02/2017</stp>
        <stp>[Bbg_Market_Data_CL.xlsm]data!R45C8</stp>
        <tr r="H45" s="1"/>
      </tp>
      <tp t="s">
        <v>#N/A Requesting Data...</v>
        <stp/>
        <stp>##V3_BDHV12</stp>
        <stp>CL1 Comdty</stp>
        <stp>PX_VOLUME</stp>
        <stp>23/12/2016</stp>
        <stp>23/12/2016</stp>
        <stp>[Bbg_Market_Data_CL.xlsm]data!R74C8</stp>
        <tr r="H74" s="1"/>
      </tp>
      <tp>
        <v>53010</v>
        <stp/>
        <stp>##V3_BDHV12</stp>
        <stp>CL2 Comdty</stp>
        <stp>PX_VOLUME</stp>
        <stp>23/12/2016</stp>
        <stp>23/12/2016</stp>
        <stp>[Bbg_Market_Data_CL.xlsm]data!R74C8</stp>
        <tr r="H74" s="1"/>
      </tp>
      <tp>
        <v>190979</v>
        <stp/>
        <stp>##V3_BDHV12</stp>
        <stp>CL2 Comdty</stp>
        <stp>PX_VOLUME</stp>
        <stp>22/03/2017</stp>
        <stp>22/03/2017</stp>
        <stp>[Bbg_Market_Data_CL.xlsm]data!R15C8</stp>
        <tr r="H15" s="1"/>
      </tp>
      <tp t="s">
        <v>#N/A Requesting Data...</v>
        <stp/>
        <stp>##V3_BDHV12</stp>
        <stp>CL1 Comdty</stp>
        <stp>PX_VOLUME</stp>
        <stp>22/03/2017</stp>
        <stp>22/03/2017</stp>
        <stp>[Bbg_Market_Data_CL.xlsm]data!R15C8</stp>
        <tr r="H15" s="1"/>
      </tp>
      <tp>
        <v>255537</v>
        <stp/>
        <stp>##V3_BDHV12</stp>
        <stp>CL2 Comdty</stp>
        <stp>PX_VOLUME</stp>
        <stp>09/01/2017</stp>
        <stp>09/01/2017</stp>
        <stp>[Bbg_Market_Data_CL.xlsm]data!R65C8</stp>
        <tr r="H65" s="1"/>
      </tp>
      <tp t="s">
        <v>#N/A Requesting Data...</v>
        <stp/>
        <stp>##V3_BDHV12</stp>
        <stp>CL1 Comdty</stp>
        <stp>PX_VOLUME</stp>
        <stp>09/01/2017</stp>
        <stp>09/01/2017</stp>
        <stp>[Bbg_Market_Data_CL.xlsm]data!R65C8</stp>
        <tr r="H65" s="1"/>
      </tp>
      <tp t="s">
        <v>#N/A Requesting Data...</v>
        <stp/>
        <stp>##V3_BDHV12</stp>
        <stp>CL1 Comdty</stp>
        <stp>PX_VOLUME</stp>
        <stp>22/02/2017</stp>
        <stp>22/02/2017</stp>
        <stp>[Bbg_Market_Data_CL.xlsm]data!R35C8</stp>
        <tr r="H35" s="1"/>
      </tp>
      <tp>
        <v>127659</v>
        <stp/>
        <stp>##V3_BDHV12</stp>
        <stp>CL2 Comdty</stp>
        <stp>PX_VOLUME</stp>
        <stp>22/02/2017</stp>
        <stp>22/02/2017</stp>
        <stp>[Bbg_Market_Data_CL.xlsm]data!R35C8</stp>
        <tr r="H35" s="1"/>
      </tp>
      <tp t="s">
        <v>#N/A Requesting Data...</v>
        <stp/>
        <stp>##V3_BDHV12</stp>
        <stp>CL1 Comdty</stp>
        <stp>PX_LAST</stp>
        <stp>07/04/2017</stp>
        <stp>07/04/2017</stp>
        <stp>[Bbg_Market_Data_CL.xlsm]data!R3C9</stp>
        <tr r="I3" s="1"/>
      </tp>
      <tp t="s">
        <v>#N/A Requesting Data...</v>
        <stp/>
        <stp>##V3_BDHV12</stp>
        <stp>CL1 Comdty</stp>
        <stp>PX_LAST</stp>
        <stp>03/04/2017</stp>
        <stp>03/04/2017</stp>
        <stp>[Bbg_Market_Data_CL.xlsm]data!R7C9</stp>
        <tr r="I7" s="1"/>
      </tp>
      <tp t="s">
        <v>#N/A Requesting Data...</v>
        <stp/>
        <stp>##V3_BDHV12</stp>
        <stp>CL2 Comdty</stp>
        <stp>PX_LAST</stp>
        <stp>07/04/2017</stp>
        <stp>07/04/2017</stp>
        <stp>[Bbg_Market_Data_CL.xlsm]data!R3C9</stp>
        <tr r="I3" s="1"/>
      </tp>
      <tp t="s">
        <v>#N/A Requesting Data...</v>
        <stp/>
        <stp>##V3_BDHV12</stp>
        <stp>CL2 Comdty</stp>
        <stp>PX_LAST</stp>
        <stp>03/04/2017</stp>
        <stp>03/04/2017</stp>
        <stp>[Bbg_Market_Data_CL.xlsm]data!R7C9</stp>
        <tr r="I7" s="1"/>
      </tp>
      <tp t="s">
        <v>#N/A Requesting Data...</v>
        <stp/>
        <stp>##V3_BDHV12</stp>
        <stp>CL2 Comdty</stp>
        <stp>MOV_AVG_5D</stp>
        <stp>04/08/2015</stp>
        <stp>04/08/2015</stp>
        <stp>[Bbg_Market_Data_CL.xlsm]data!R420C10</stp>
        <tr r="J420" s="1"/>
      </tp>
      <tp t="s">
        <v>#N/A Requesting Data...</v>
        <stp/>
        <stp>##V3_BDHV12</stp>
        <stp>CL1 Comdty</stp>
        <stp>MOV_AVG_5D</stp>
        <stp>21/02/2017</stp>
        <stp>21/02/2017</stp>
        <stp>[Bbg_Market_Data_CL.xlsm]data!R36C10</stp>
        <tr r="J36" s="1"/>
      </tp>
      <tp t="s">
        <v>#N/A Requesting Data...</v>
        <stp/>
        <stp>##V3_BDHV12</stp>
        <stp>CL2 Comdty</stp>
        <stp>MOV_AVG_5D</stp>
        <stp>22/02/2017</stp>
        <stp>22/02/2017</stp>
        <stp>[Bbg_Market_Data_CL.xlsm]data!R35C10</stp>
        <tr r="J35" s="1"/>
      </tp>
      <tp t="s">
        <v>#N/A Requesting Data...</v>
        <stp/>
        <stp>##V3_BDHV12</stp>
        <stp>CL1 Comdty</stp>
        <stp>MOV_AVG_5D</stp>
        <stp>11/01/2017</stp>
        <stp>11/01/2017</stp>
        <stp>[Bbg_Market_Data_CL.xlsm]data!R63C10</stp>
        <tr r="J63" s="1"/>
      </tp>
      <tp t="s">
        <v>#N/A Requesting Data...</v>
        <stp/>
        <stp>##V3_BDHV12</stp>
        <stp>CL2 Comdty</stp>
        <stp>MOV_AVG_5D</stp>
        <stp>12/01/2017</stp>
        <stp>12/01/2017</stp>
        <stp>[Bbg_Market_Data_CL.xlsm]data!R62C10</stp>
        <tr r="J62" s="1"/>
      </tp>
      <tp t="s">
        <v>#N/A Requesting Data...</v>
        <stp/>
        <stp>##V3_BDHV12</stp>
        <stp>CL1 Comdty</stp>
        <stp>MOV_AVG_5D</stp>
        <stp>25/08/2015</stp>
        <stp>25/08/2015</stp>
        <stp>[Bbg_Market_Data_CL.xlsm]data!R405C10</stp>
        <tr r="J405" s="1"/>
      </tp>
      <tp t="s">
        <v>#N/A Requesting Data...</v>
        <stp/>
        <stp>##V3_BDHV12</stp>
        <stp>CL2 Comdty</stp>
        <stp>MOV_AVG_5D</stp>
        <stp>23/02/2017</stp>
        <stp>23/02/2017</stp>
        <stp>[Bbg_Market_Data_CL.xlsm]data!R34C10</stp>
        <tr r="J34" s="1"/>
      </tp>
      <tp t="s">
        <v>#N/A Requesting Data...</v>
        <stp/>
        <stp>##V3_BDHV12</stp>
        <stp>CL1 Comdty</stp>
        <stp>MOV_AVG_5D</stp>
        <stp>30/12/2016</stp>
        <stp>30/12/2016</stp>
        <stp>[Bbg_Market_Data_CL.xlsm]data!R70C10</stp>
        <tr r="J70" s="1"/>
      </tp>
      <tp t="s">
        <v>#N/A Requesting Data...</v>
        <stp/>
        <stp>##V3_BDHV12</stp>
        <stp>CL1 Comdty</stp>
        <stp>MOV_AVG_5D</stp>
        <stp>10/01/2017</stp>
        <stp>10/01/2017</stp>
        <stp>[Bbg_Market_Data_CL.xlsm]data!R64C10</stp>
        <tr r="J64" s="1"/>
      </tp>
      <tp t="s">
        <v>#N/A Requesting Data...</v>
        <stp/>
        <stp>##V3_BDHV12</stp>
        <stp>CL2 Comdty</stp>
        <stp>MOV_AVG_5D</stp>
        <stp>13/01/2017</stp>
        <stp>13/01/2017</stp>
        <stp>[Bbg_Market_Data_CL.xlsm]data!R61C10</stp>
        <tr r="J61" s="1"/>
      </tp>
      <tp t="s">
        <v>#N/A Requesting Data...</v>
        <stp/>
        <stp>##V3_BDHV12</stp>
        <stp>CL2 Comdty</stp>
        <stp>MOV_AVG_5D</stp>
        <stp>26/08/2015</stp>
        <stp>26/08/2015</stp>
        <stp>[Bbg_Market_Data_CL.xlsm]data!R404C10</stp>
        <tr r="J404" s="1"/>
      </tp>
      <tp t="s">
        <v>#N/A Requesting Data...</v>
        <stp/>
        <stp>##V3_BDHV12</stp>
        <stp>CL1 Comdty</stp>
        <stp>MOV_AVG_5D</stp>
        <stp>23/02/2017</stp>
        <stp>23/02/2017</stp>
        <stp>[Bbg_Market_Data_CL.xlsm]data!R34C10</stp>
        <tr r="J34" s="1"/>
      </tp>
      <tp t="s">
        <v>#N/A Requesting Data...</v>
        <stp/>
        <stp>##V3_BDHV12</stp>
        <stp>CL2 Comdty</stp>
        <stp>MOV_AVG_5D</stp>
        <stp>30/12/2016</stp>
        <stp>30/12/2016</stp>
        <stp>[Bbg_Market_Data_CL.xlsm]data!R70C10</stp>
        <tr r="J70" s="1"/>
      </tp>
      <tp t="s">
        <v>#N/A Requesting Data...</v>
        <stp/>
        <stp>##V3_BDHV12</stp>
        <stp>CL2 Comdty</stp>
        <stp>MOV_AVG_5D</stp>
        <stp>10/01/2017</stp>
        <stp>10/01/2017</stp>
        <stp>[Bbg_Market_Data_CL.xlsm]data!R64C10</stp>
        <tr r="J64" s="1"/>
      </tp>
      <tp t="s">
        <v>#N/A Requesting Data...</v>
        <stp/>
        <stp>##V3_BDHV12</stp>
        <stp>CL1 Comdty</stp>
        <stp>MOV_AVG_5D</stp>
        <stp>13/01/2017</stp>
        <stp>13/01/2017</stp>
        <stp>[Bbg_Market_Data_CL.xlsm]data!R61C10</stp>
        <tr r="J61" s="1"/>
      </tp>
      <tp t="s">
        <v>#N/A Requesting Data...</v>
        <stp/>
        <stp>##V3_BDHV12</stp>
        <stp>CL1 Comdty</stp>
        <stp>MOV_AVG_5D</stp>
        <stp>07/08/2015</stp>
        <stp>07/08/2015</stp>
        <stp>[Bbg_Market_Data_CL.xlsm]data!R417C10</stp>
        <tr r="J417" s="1"/>
      </tp>
      <tp t="s">
        <v>#N/A Requesting Data...</v>
        <stp/>
        <stp>##V3_BDHV12</stp>
        <stp>CL2 Comdty</stp>
        <stp>MOV_AVG_5D</stp>
        <stp>21/02/2017</stp>
        <stp>21/02/2017</stp>
        <stp>[Bbg_Market_Data_CL.xlsm]data!R36C10</stp>
        <tr r="J36" s="1"/>
      </tp>
      <tp t="s">
        <v>#N/A Requesting Data...</v>
        <stp/>
        <stp>##V3_BDHV12</stp>
        <stp>CL1 Comdty</stp>
        <stp>MOV_AVG_5D</stp>
        <stp>22/02/2017</stp>
        <stp>22/02/2017</stp>
        <stp>[Bbg_Market_Data_CL.xlsm]data!R35C10</stp>
        <tr r="J35" s="1"/>
      </tp>
      <tp t="s">
        <v>#N/A Requesting Data...</v>
        <stp/>
        <stp>##V3_BDHV12</stp>
        <stp>CL2 Comdty</stp>
        <stp>MOV_AVG_5D</stp>
        <stp>11/01/2017</stp>
        <stp>11/01/2017</stp>
        <stp>[Bbg_Market_Data_CL.xlsm]data!R63C10</stp>
        <tr r="J63" s="1"/>
      </tp>
      <tp t="s">
        <v>#N/A Requesting Data...</v>
        <stp/>
        <stp>##V3_BDHV12</stp>
        <stp>CL1 Comdty</stp>
        <stp>MOV_AVG_5D</stp>
        <stp>12/01/2017</stp>
        <stp>12/01/2017</stp>
        <stp>[Bbg_Market_Data_CL.xlsm]data!R62C10</stp>
        <tr r="J62" s="1"/>
      </tp>
      <tp t="s">
        <v>#N/A Requesting Data...</v>
        <stp/>
        <stp>##V3_BDHV12</stp>
        <stp>CL2 Comdty</stp>
        <stp>MOV_AVG_5D</stp>
        <stp>06/09/2016</stp>
        <stp>06/09/2016</stp>
        <stp>[Bbg_Market_Data_CL.xlsm]data!R149C10</stp>
        <tr r="J149" s="1"/>
      </tp>
      <tp t="s">
        <v>#N/A Requesting Data...</v>
        <stp/>
        <stp>##V3_BDHV12</stp>
        <stp>CL1 Comdty</stp>
        <stp>MOV_AVG_5D</stp>
        <stp>26/08/2016</stp>
        <stp>26/08/2016</stp>
        <stp>[Bbg_Market_Data_CL.xlsm]data!R155C10</stp>
        <tr r="J155" s="1"/>
      </tp>
      <tp t="s">
        <v>#N/A Requesting Data...</v>
        <stp/>
        <stp>##V3_BDHV12</stp>
        <stp>CL2 Comdty</stp>
        <stp>MOV_AVG_5D</stp>
        <stp>16/08/2016</stp>
        <stp>16/08/2016</stp>
        <stp>[Bbg_Market_Data_CL.xlsm]data!R163C10</stp>
        <tr r="J163" s="1"/>
      </tp>
      <tp t="s">
        <v>#N/A Requesting Data...</v>
        <stp/>
        <stp>##V3_BDHV12</stp>
        <stp>CL1 Comdty</stp>
        <stp>MOV_AVG_5D</stp>
        <stp>17/09/2015</stp>
        <stp>17/09/2015</stp>
        <stp>[Bbg_Market_Data_CL.xlsm]data!R389C10</stp>
        <tr r="J389" s="1"/>
      </tp>
      <tp t="s">
        <v>#N/A Requesting Data...</v>
        <stp/>
        <stp>##V3_BDHV12</stp>
        <stp>CL1 Comdty</stp>
        <stp>MOV_AVG_5D</stp>
        <stp>27/09/2016</stp>
        <stp>27/09/2016</stp>
        <stp>[Bbg_Market_Data_CL.xlsm]data!R134C10</stp>
        <tr r="J134" s="1"/>
      </tp>
      <tp t="s">
        <v>#N/A Requesting Data...</v>
        <stp/>
        <stp>##V3_BDHV12</stp>
        <stp>CL2 Comdty</stp>
        <stp>MOV_AVG_5D</stp>
        <stp>17/01/2017</stp>
        <stp>17/01/2017</stp>
        <stp>[Bbg_Market_Data_CL.xlsm]data!R60C10</stp>
        <tr r="J60" s="1"/>
      </tp>
      <tp t="s">
        <v>#N/A Requesting Data...</v>
        <stp/>
        <stp>##V3_BDHV12</stp>
        <stp>CL1 Comdty</stp>
        <stp>MOV_AVG_5D</stp>
        <stp>24/02/2017</stp>
        <stp>24/02/2017</stp>
        <stp>[Bbg_Market_Data_CL.xlsm]data!R33C10</stp>
        <tr r="J33" s="1"/>
      </tp>
      <tp t="s">
        <v>#N/A Requesting Data...</v>
        <stp/>
        <stp>##V3_BDHV12</stp>
        <stp>CL2 Comdty</stp>
        <stp>MOV_AVG_5D</stp>
        <stp>27/02/2017</stp>
        <stp>27/02/2017</stp>
        <stp>[Bbg_Market_Data_CL.xlsm]data!R32C10</stp>
        <tr r="J32" s="1"/>
      </tp>
      <tp t="s">
        <v>#N/A Requesting Data...</v>
        <stp/>
        <stp>##V3_BDHV12</stp>
        <stp>CL1 Comdty</stp>
        <stp>MOV_AVG_5D</stp>
        <stp>14/09/2016</stp>
        <stp>14/09/2016</stp>
        <stp>[Bbg_Market_Data_CL.xlsm]data!R143C10</stp>
        <tr r="J143" s="1"/>
      </tp>
      <tp t="s">
        <v>#N/A Requesting Data...</v>
        <stp/>
        <stp>##V3_BDHV12</stp>
        <stp>CL1 Comdty</stp>
        <stp>MOV_AVG_5D</stp>
        <stp>04/08/2016</stp>
        <stp>04/08/2016</stp>
        <stp>[Bbg_Market_Data_CL.xlsm]data!R170C10</stp>
        <tr r="J170" s="1"/>
      </tp>
      <tp t="s">
        <v>#N/A Requesting Data...</v>
        <stp/>
        <stp>##V3_BDHV12</stp>
        <stp>CL1 Comdty</stp>
        <stp>MOV_AVG_5D</stp>
        <stp>17/01/2017</stp>
        <stp>17/01/2017</stp>
        <stp>[Bbg_Market_Data_CL.xlsm]data!R60C10</stp>
        <tr r="J60" s="1"/>
      </tp>
      <tp t="s">
        <v>#N/A Requesting Data...</v>
        <stp/>
        <stp>##V3_BDHV12</stp>
        <stp>CL2 Comdty</stp>
        <stp>MOV_AVG_5D</stp>
        <stp>24/02/2017</stp>
        <stp>24/02/2017</stp>
        <stp>[Bbg_Market_Data_CL.xlsm]data!R33C10</stp>
        <tr r="J33" s="1"/>
      </tp>
      <tp t="s">
        <v>#N/A Requesting Data...</v>
        <stp/>
        <stp>##V3_BDHV12</stp>
        <stp>CL1 Comdty</stp>
        <stp>MOV_AVG_5D</stp>
        <stp>27/02/2017</stp>
        <stp>27/02/2017</stp>
        <stp>[Bbg_Market_Data_CL.xlsm]data!R32C10</stp>
        <tr r="J32" s="1"/>
      </tp>
      <tp t="s">
        <v>#N/A Requesting Data...</v>
        <stp/>
        <stp>##V3_BDHV12</stp>
        <stp>CL2 Comdty</stp>
        <stp>MOV_AVG_5D</stp>
        <stp>25/08/2016</stp>
        <stp>25/08/2016</stp>
        <stp>[Bbg_Market_Data_CL.xlsm]data!R156C10</stp>
        <tr r="J156" s="1"/>
      </tp>
      <tp t="s">
        <v>#N/A Requesting Data...</v>
        <stp/>
        <stp>##V3_BDHV12</stp>
        <stp>CL1 Comdty</stp>
        <stp>MOV_AVG_5D</stp>
        <stp>15/08/2016</stp>
        <stp>15/08/2016</stp>
        <stp>[Bbg_Market_Data_CL.xlsm]data!R164C10</stp>
        <tr r="J164" s="1"/>
      </tp>
      <tp t="s">
        <v>#N/A Requesting Data...</v>
        <stp/>
        <stp>##V3_BDHV12</stp>
        <stp>CL1 Comdty</stp>
        <stp>MOV_AVG_5D</stp>
        <stp>24/09/2015</stp>
        <stp>24/09/2015</stp>
        <stp>[Bbg_Market_Data_CL.xlsm]data!R384C10</stp>
        <tr r="J384" s="1"/>
      </tp>
      <tp t="s">
        <v>#N/A Requesting Data...</v>
        <stp/>
        <stp>##V3_BDHV12</stp>
        <stp>CL2 Comdty</stp>
        <stp>MOV_AVG_5D</stp>
        <stp>14/09/2015</stp>
        <stp>14/09/2015</stp>
        <stp>[Bbg_Market_Data_CL.xlsm]data!R392C10</stp>
        <tr r="J392" s="1"/>
      </tp>
      <tp t="s">
        <v>#N/A Requesting Data...</v>
        <stp/>
        <stp>##V3_BDHV12</stp>
        <stp>CL2 Comdty</stp>
        <stp>MOV_AVG_5D</stp>
        <stp>09/06/2016</stp>
        <stp>09/06/2016</stp>
        <stp>[Bbg_Market_Data_CL.xlsm]data!R209C10</stp>
        <tr r="J209" s="1"/>
      </tp>
      <tp t="s">
        <v>#N/A Requesting Data...</v>
        <stp/>
        <stp>##V3_BDHV12</stp>
        <stp>CL1 Comdty</stp>
        <stp>MOV_AVG_5D</stp>
        <stp>09/05/2016</stp>
        <stp>09/05/2016</stp>
        <stp>[Bbg_Market_Data_CL.xlsm]data!R231C10</stp>
        <tr r="J231" s="1"/>
      </tp>
      <tp t="s">
        <v>#N/A Requesting Data...</v>
        <stp/>
        <stp>##V3_BDHV12</stp>
        <stp>CL2 Comdty</stp>
        <stp>MOV_AVG_5D</stp>
        <stp>29/04/2016</stp>
        <stp>29/04/2016</stp>
        <stp>[Bbg_Market_Data_CL.xlsm]data!R237C10</stp>
        <tr r="J237" s="1"/>
      </tp>
      <tp t="s">
        <v>#N/A Requesting Data...</v>
        <stp/>
        <stp>##V3_BDHV12</stp>
        <stp>CL1 Comdty</stp>
        <stp>MOV_AVG_5D</stp>
        <stp>19/04/2016</stp>
        <stp>19/04/2016</stp>
        <stp>[Bbg_Market_Data_CL.xlsm]data!R245C10</stp>
        <tr r="J245" s="1"/>
      </tp>
      <tp t="s">
        <v>#N/A Requesting Data...</v>
        <stp/>
        <stp>##V3_BDHV12</stp>
        <stp>CL1 Comdty</stp>
        <stp>MOV_AVG_5D</stp>
        <stp>19/01/2017</stp>
        <stp>19/01/2017</stp>
        <stp>[Bbg_Market_Data_CL.xlsm]data!R58C10</stp>
        <tr r="J58" s="1"/>
      </tp>
      <tp t="s">
        <v>#N/A Requesting Data...</v>
        <stp/>
        <stp>##V3_BDHV12</stp>
        <stp>CL1 Comdty</stp>
        <stp>MOV_AVG_5D</stp>
        <stp>18/05/2016</stp>
        <stp>18/05/2016</stp>
        <stp>[Bbg_Market_Data_CL.xlsm]data!R224C10</stp>
        <tr r="J224" s="1"/>
      </tp>
      <tp t="s">
        <v>#N/A Requesting Data...</v>
        <stp/>
        <stp>##V3_BDHV12</stp>
        <stp>CL1 Comdty</stp>
        <stp>MOV_AVG_5D</stp>
        <stp>08/04/2016</stp>
        <stp>08/04/2016</stp>
        <stp>[Bbg_Market_Data_CL.xlsm]data!R252C10</stp>
        <tr r="J252" s="1"/>
      </tp>
      <tp t="s">
        <v>#N/A Requesting Data...</v>
        <stp/>
        <stp>##V3_BDHV12</stp>
        <stp>CL1 Comdty</stp>
        <stp>MOV_AVG_5D</stp>
        <stp>28/02/2017</stp>
        <stp>28/02/2017</stp>
        <stp>[Bbg_Market_Data_CL.xlsm]data!R31C10</stp>
        <tr r="J31" s="1"/>
      </tp>
      <tp t="s">
        <v>#N/A Requesting Data...</v>
        <stp/>
        <stp>##V3_BDHV12</stp>
        <stp>CL1 Comdty</stp>
        <stp>MOV_AVG_5D</stp>
        <stp>18/01/2017</stp>
        <stp>18/01/2017</stp>
        <stp>[Bbg_Market_Data_CL.xlsm]data!R59C10</stp>
        <tr r="J59" s="1"/>
      </tp>
      <tp t="s">
        <v>#N/A Requesting Data...</v>
        <stp/>
        <stp>##V3_BDHV12</stp>
        <stp>CL2 Comdty</stp>
        <stp>MOV_AVG_5D</stp>
        <stp>08/07/2016</stp>
        <stp>08/07/2016</stp>
        <stp>[Bbg_Market_Data_CL.xlsm]data!R189C10</stp>
        <tr r="J189" s="1"/>
      </tp>
      <tp t="s">
        <v>#N/A Requesting Data...</v>
        <stp/>
        <stp>##V3_BDHV12</stp>
        <stp>CL1 Comdty</stp>
        <stp>MOV_AVG_5D</stp>
        <stp>28/06/2016</stp>
        <stp>28/06/2016</stp>
        <stp>[Bbg_Market_Data_CL.xlsm]data!R196C10</stp>
        <tr r="J196" s="1"/>
      </tp>
      <tp t="s">
        <v>#N/A Requesting Data...</v>
        <stp/>
        <stp>##V3_BDHV12</stp>
        <stp>CL2 Comdty</stp>
        <stp>MOV_AVG_5D</stp>
        <stp>28/02/2017</stp>
        <stp>28/02/2017</stp>
        <stp>[Bbg_Market_Data_CL.xlsm]data!R31C10</stp>
        <tr r="J31" s="1"/>
      </tp>
      <tp t="s">
        <v>#N/A Requesting Data...</v>
        <stp/>
        <stp>##V3_BDHV12</stp>
        <stp>CL2 Comdty</stp>
        <stp>MOV_AVG_5D</stp>
        <stp>18/01/2017</stp>
        <stp>18/01/2017</stp>
        <stp>[Bbg_Market_Data_CL.xlsm]data!R59C10</stp>
        <tr r="J59" s="1"/>
      </tp>
      <tp t="s">
        <v>#N/A Requesting Data...</v>
        <stp/>
        <stp>##V3_BDHV12</stp>
        <stp>CL1 Comdty</stp>
        <stp>MOV_AVG_5D</stp>
        <stp>29/07/2016</stp>
        <stp>29/07/2016</stp>
        <stp>[Bbg_Market_Data_CL.xlsm]data!R174C10</stp>
        <tr r="J174" s="1"/>
      </tp>
      <tp t="s">
        <v>#N/A Requesting Data...</v>
        <stp/>
        <stp>##V3_BDHV12</stp>
        <stp>CL2 Comdty</stp>
        <stp>MOV_AVG_5D</stp>
        <stp>19/07/2016</stp>
        <stp>19/07/2016</stp>
        <stp>[Bbg_Market_Data_CL.xlsm]data!R182C10</stp>
        <tr r="J182" s="1"/>
      </tp>
      <tp t="s">
        <v>#N/A Requesting Data...</v>
        <stp/>
        <stp>##V3_BDHV12</stp>
        <stp>CL2 Comdty</stp>
        <stp>MOV_AVG_5D</stp>
        <stp>19/01/2017</stp>
        <stp>19/01/2017</stp>
        <stp>[Bbg_Market_Data_CL.xlsm]data!R58C10</stp>
        <tr r="J58" s="1"/>
      </tp>
      <tp t="s">
        <v>#N/A Requesting Data...</v>
        <stp/>
        <stp>##V3_BDHV12</stp>
        <stp>CL1 Comdty</stp>
        <stp>MOV_AVG_5D</stp>
        <stp>08/07/2015</stp>
        <stp>08/07/2015</stp>
        <stp>[Bbg_Market_Data_CL.xlsm]data!R439C10</stp>
        <tr r="J439" s="1"/>
      </tp>
      <tp t="s">
        <v>#N/A Requesting Data...</v>
        <stp/>
        <stp>##V3_BDHV12</stp>
        <stp>CL1 Comdty</stp>
        <stp>MOV_AVG_5D</stp>
        <stp>18/06/2015</stp>
        <stp>18/06/2015</stp>
        <stp>[Bbg_Market_Data_CL.xlsm]data!R452C10</stp>
        <tr r="J452" s="1"/>
      </tp>
      <tp t="s">
        <v>#N/A Requesting Data...</v>
        <stp/>
        <stp>##V3_BDHV12</stp>
        <stp>CL1 Comdty</stp>
        <stp>MOV_AVG_5D</stp>
        <stp>28/05/2015</stp>
        <stp>28/05/2015</stp>
        <stp>[Bbg_Market_Data_CL.xlsm]data!R467C10</stp>
        <tr r="J467" s="1"/>
      </tp>
      <tp t="s">
        <v>#N/A Requesting Data...</v>
        <stp/>
        <stp>##V3_BDHV12</stp>
        <stp>CL2 Comdty</stp>
        <stp>MOV_AVG_5D</stp>
        <stp>18/05/2015</stp>
        <stp>18/05/2015</stp>
        <stp>[Bbg_Market_Data_CL.xlsm]data!R474C10</stp>
        <tr r="J474" s="1"/>
      </tp>
      <tp t="s">
        <v>#N/A Requesting Data...</v>
        <stp/>
        <stp>##V3_BDHV12</stp>
        <stp>CL2 Comdty</stp>
        <stp>MOV_AVG_5D</stp>
        <stp>29/07/2015</stp>
        <stp>29/07/2015</stp>
        <stp>[Bbg_Market_Data_CL.xlsm]data!R424C10</stp>
        <tr r="J424" s="1"/>
      </tp>
      <tp t="s">
        <v>#N/A Requesting Data...</v>
        <stp/>
        <stp>##V3_BDHV12</stp>
        <stp>CL1 Comdty</stp>
        <stp>MOV_AVG_5D</stp>
        <stp>09/06/2015</stp>
        <stp>09/06/2015</stp>
        <stp>[Bbg_Market_Data_CL.xlsm]data!R459C10</stp>
        <tr r="J459" s="1"/>
      </tp>
      <tp t="s">
        <v>#N/A Requesting Data...</v>
        <stp/>
        <stp>##V3_BDHV12</stp>
        <stp>CL1 Comdty</stp>
        <stp>MOV_AVG_5D</stp>
        <stp>29/04/2015</stp>
        <stp>29/04/2015</stp>
        <stp>[Bbg_Market_Data_CL.xlsm]data!R487C10</stp>
        <tr r="J487" s="1"/>
      </tp>
      <tp t="s">
        <v>#N/A Requesting Data...</v>
        <stp/>
        <stp>##V3_BDHV12</stp>
        <stp>CL1 Comdty</stp>
        <stp>PX_HIGH</stp>
        <stp>19/12/2016</stp>
        <stp>19/12/2016</stp>
        <stp>[Bbg_Market_Data_CL.xlsm]data!R78C6</stp>
        <tr r="F78" s="1"/>
      </tp>
      <tp>
        <v>46.45</v>
        <stp/>
        <stp>##V3_BDHV12</stp>
        <stp>CL2 Comdty</stp>
        <stp>PX_HIGH</stp>
        <stp>18/11/2016</stp>
        <stp>18/11/2016</stp>
        <stp>[Bbg_Market_Data_CL.xlsm]data!R98C6</stp>
        <tr r="F98" s="1"/>
      </tp>
      <tp t="s">
        <v>#N/A Requesting Data...</v>
        <stp/>
        <stp>##V3_BDHV12</stp>
        <stp>CL1 Comdty</stp>
        <stp>PX_HIGH</stp>
        <stp>16/03/2017</stp>
        <stp>16/03/2017</stp>
        <stp>[Bbg_Market_Data_CL.xlsm]data!R19C6</stp>
        <tr r="F19" s="1"/>
      </tp>
      <tp t="s">
        <v>#N/A Requesting Data...</v>
        <stp/>
        <stp>##V3_BDHV12</stp>
        <stp>CL1 Comdty</stp>
        <stp>PX_HIGH</stp>
        <stp>01/02/2017</stp>
        <stp>01/02/2017</stp>
        <stp>[Bbg_Market_Data_CL.xlsm]data!R49C6</stp>
        <tr r="F49" s="1"/>
      </tp>
      <tp>
        <v>56.18</v>
        <stp/>
        <stp>##V3_BDHV12</stp>
        <stp>CL2 Comdty</stp>
        <stp>PX_HIGH</stp>
        <stp>03/01/2017</stp>
        <stp>03/01/2017</stp>
        <stp>[Bbg_Market_Data_CL.xlsm]data!R69C6</stp>
        <tr r="F69" s="1"/>
      </tp>
      <tp>
        <v>53.61</v>
        <stp/>
        <stp>##V3_BDHV12</stp>
        <stp>CL2 Comdty</stp>
        <stp>PX_HIGH</stp>
        <stp>18/01/2017</stp>
        <stp>18/01/2017</stp>
        <stp>[Bbg_Market_Data_CL.xlsm]data!R59C6</stp>
        <tr r="F59" s="1"/>
      </tp>
      <tp t="s">
        <v>#N/A Requesting Data...</v>
        <stp/>
        <stp>##V3_BDHV12</stp>
        <stp>CL1 Comdty</stp>
        <stp>PX_HIGH</stp>
        <stp>05/12/2016</stp>
        <stp>05/12/2016</stp>
        <stp>[Bbg_Market_Data_CL.xlsm]data!R88C6</stp>
        <tr r="F88" s="1"/>
      </tp>
      <tp t="s">
        <v>#N/A Requesting Data...</v>
        <stp/>
        <stp>##V3_BDHV12</stp>
        <stp>CL1 Comdty</stp>
        <stp>PX_HIGH</stp>
        <stp>15/02/2017</stp>
        <stp>15/02/2017</stp>
        <stp>[Bbg_Market_Data_CL.xlsm]data!R39C6</stp>
        <tr r="F39" s="1"/>
      </tp>
      <tp t="s">
        <v>#N/A Requesting Data...</v>
        <stp/>
        <stp>##V3_BDHV12</stp>
        <stp>CL1 Comdty</stp>
        <stp>PX_HIGH</stp>
        <stp>02/03/2017</stp>
        <stp>02/03/2017</stp>
        <stp>[Bbg_Market_Data_CL.xlsm]data!R29C6</stp>
        <tr r="F29" s="1"/>
      </tp>
      <tp t="s">
        <v>#N/A Requesting Data...</v>
        <stp/>
        <stp>##V3_BDHV12</stp>
        <stp>CL1 Comdty</stp>
        <stp>PX_HIGH</stp>
        <stp>18/01/2017</stp>
        <stp>18/01/2017</stp>
        <stp>[Bbg_Market_Data_CL.xlsm]data!R59C6</stp>
        <tr r="F59" s="1"/>
      </tp>
      <tp>
        <v>53.38</v>
        <stp/>
        <stp>##V3_BDHV12</stp>
        <stp>CL2 Comdty</stp>
        <stp>PX_HIGH</stp>
        <stp>05/12/2016</stp>
        <stp>05/12/2016</stp>
        <stp>[Bbg_Market_Data_CL.xlsm]data!R88C6</stp>
        <tr r="F88" s="1"/>
      </tp>
      <tp>
        <v>54.01</v>
        <stp/>
        <stp>##V3_BDHV12</stp>
        <stp>CL2 Comdty</stp>
        <stp>PX_HIGH</stp>
        <stp>15/02/2017</stp>
        <stp>15/02/2017</stp>
        <stp>[Bbg_Market_Data_CL.xlsm]data!R39C6</stp>
        <tr r="F39" s="1"/>
      </tp>
      <tp>
        <v>54.26</v>
        <stp/>
        <stp>##V3_BDHV12</stp>
        <stp>CL2 Comdty</stp>
        <stp>PX_HIGH</stp>
        <stp>02/03/2017</stp>
        <stp>02/03/2017</stp>
        <stp>[Bbg_Market_Data_CL.xlsm]data!R29C6</stp>
        <tr r="F29" s="1"/>
      </tp>
      <tp>
        <v>53.59</v>
        <stp/>
        <stp>##V3_BDHV12</stp>
        <stp>CL2 Comdty</stp>
        <stp>PX_HIGH</stp>
        <stp>19/12/2016</stp>
        <stp>19/12/2016</stp>
        <stp>[Bbg_Market_Data_CL.xlsm]data!R78C6</stp>
        <tr r="F78" s="1"/>
      </tp>
      <tp t="s">
        <v>#N/A Requesting Data...</v>
        <stp/>
        <stp>##V3_BDHV12</stp>
        <stp>CL1 Comdty</stp>
        <stp>PX_HIGH</stp>
        <stp>18/11/2016</stp>
        <stp>18/11/2016</stp>
        <stp>[Bbg_Market_Data_CL.xlsm]data!R98C6</stp>
        <tr r="F98" s="1"/>
      </tp>
      <tp>
        <v>50.14</v>
        <stp/>
        <stp>##V3_BDHV12</stp>
        <stp>CL2 Comdty</stp>
        <stp>PX_HIGH</stp>
        <stp>16/03/2017</stp>
        <stp>16/03/2017</stp>
        <stp>[Bbg_Market_Data_CL.xlsm]data!R19C6</stp>
        <tr r="F19" s="1"/>
      </tp>
      <tp>
        <v>54.52</v>
        <stp/>
        <stp>##V3_BDHV12</stp>
        <stp>CL2 Comdty</stp>
        <stp>PX_HIGH</stp>
        <stp>01/02/2017</stp>
        <stp>01/02/2017</stp>
        <stp>[Bbg_Market_Data_CL.xlsm]data!R49C6</stp>
        <tr r="F49" s="1"/>
      </tp>
      <tp t="s">
        <v>#N/A Requesting Data...</v>
        <stp/>
        <stp>##V3_BDHV12</stp>
        <stp>CL1 Comdty</stp>
        <stp>PX_HIGH</stp>
        <stp>03/01/2017</stp>
        <stp>03/01/2017</stp>
        <stp>[Bbg_Market_Data_CL.xlsm]data!R69C6</stp>
        <tr r="F69" s="1"/>
      </tp>
      <tp t="s">
        <v>#N/A Requesting Data...</v>
        <stp/>
        <stp>##V3_BDHV12</stp>
        <stp>CL1 Comdty</stp>
        <stp>PX_VOLUME</stp>
        <stp>25/01/2017</stp>
        <stp>25/01/2017</stp>
        <stp>[Bbg_Market_Data_CL.xlsm]data!R54C8</stp>
        <tr r="H54" s="1"/>
      </tp>
      <tp>
        <v>164595</v>
        <stp/>
        <stp>##V3_BDHV12</stp>
        <stp>CL2 Comdty</stp>
        <stp>PX_VOLUME</stp>
        <stp>25/01/2017</stp>
        <stp>25/01/2017</stp>
        <stp>[Bbg_Market_Data_CL.xlsm]data!R54C8</stp>
        <tr r="H54" s="1"/>
      </tp>
      <tp>
        <v>377326</v>
        <stp/>
        <stp>##V3_BDHV12</stp>
        <stp>CL2 Comdty</stp>
        <stp>PX_VOLUME</stp>
        <stp>09/03/2017</stp>
        <stp>09/03/2017</stp>
        <stp>[Bbg_Market_Data_CL.xlsm]data!R24C8</stp>
        <tr r="H24" s="1"/>
      </tp>
      <tp t="s">
        <v>#N/A Requesting Data...</v>
        <stp/>
        <stp>##V3_BDHV12</stp>
        <stp>CL1 Comdty</stp>
        <stp>PX_VOLUME</stp>
        <stp>09/03/2017</stp>
        <stp>09/03/2017</stp>
        <stp>[Bbg_Market_Data_CL.xlsm]data!R24C8</stp>
        <tr r="H24" s="1"/>
      </tp>
      <tp t="s">
        <v>#N/A Requesting Data...</v>
        <stp/>
        <stp>##V3_BDHV12</stp>
        <stp>CL1 Comdty</stp>
        <stp>PX_VOLUME</stp>
        <stp>08/12/2016</stp>
        <stp>08/12/2016</stp>
        <stp>[Bbg_Market_Data_CL.xlsm]data!R85C8</stp>
        <tr r="H85" s="1"/>
      </tp>
      <tp>
        <v>372416</v>
        <stp/>
        <stp>##V3_BDHV12</stp>
        <stp>CL2 Comdty</stp>
        <stp>PX_VOLUME</stp>
        <stp>08/12/2016</stp>
        <stp>08/12/2016</stp>
        <stp>[Bbg_Market_Data_CL.xlsm]data!R85C8</stp>
        <tr r="H85" s="1"/>
      </tp>
      <tp>
        <v>114119</v>
        <stp/>
        <stp>##V3_BDHV12</stp>
        <stp>CL2 Comdty</stp>
        <stp>PX_VOLUME</stp>
        <stp>23/11/2016</stp>
        <stp>23/11/2016</stp>
        <stp>[Bbg_Market_Data_CL.xlsm]data!R95C8</stp>
        <tr r="H95" s="1"/>
      </tp>
      <tp t="s">
        <v>#N/A Requesting Data...</v>
        <stp/>
        <stp>##V3_BDHV12</stp>
        <stp>CL1 Comdty</stp>
        <stp>PX_VOLUME</stp>
        <stp>23/11/2016</stp>
        <stp>23/11/2016</stp>
        <stp>[Bbg_Market_Data_CL.xlsm]data!R95C8</stp>
        <tr r="H95" s="1"/>
      </tp>
      <tp t="s">
        <v>#N/A Requesting Data...</v>
        <stp/>
        <stp>##V3_BDHV12</stp>
        <stp>CL1 Comdty</stp>
        <stp>PX_VOLUME</stp>
        <stp>08/02/2017</stp>
        <stp>08/02/2017</stp>
        <stp>[Bbg_Market_Data_CL.xlsm]data!R44C8</stp>
        <tr r="H44" s="1"/>
      </tp>
      <tp>
        <v>340960</v>
        <stp/>
        <stp>##V3_BDHV12</stp>
        <stp>CL2 Comdty</stp>
        <stp>PX_VOLUME</stp>
        <stp>08/02/2017</stp>
        <stp>08/02/2017</stp>
        <stp>[Bbg_Market_Data_CL.xlsm]data!R44C8</stp>
        <tr r="H44" s="1"/>
      </tp>
      <tp>
        <v>129872</v>
        <stp/>
        <stp>##V3_BDHV12</stp>
        <stp>CL2 Comdty</stp>
        <stp>PX_VOLUME</stp>
        <stp>23/03/2017</stp>
        <stp>23/03/2017</stp>
        <stp>[Bbg_Market_Data_CL.xlsm]data!R14C8</stp>
        <tr r="H14" s="1"/>
      </tp>
      <tp t="s">
        <v>#N/A Requesting Data...</v>
        <stp/>
        <stp>##V3_BDHV12</stp>
        <stp>CL1 Comdty</stp>
        <stp>PX_VOLUME</stp>
        <stp>23/03/2017</stp>
        <stp>23/03/2017</stp>
        <stp>[Bbg_Market_Data_CL.xlsm]data!R14C8</stp>
        <tr r="H14" s="1"/>
      </tp>
      <tp t="s">
        <v>#N/A Requesting Data...</v>
        <stp/>
        <stp>##V3_BDHV12</stp>
        <stp>CL1 Comdty</stp>
        <stp>PX_VOLUME</stp>
        <stp>22/12/2016</stp>
        <stp>22/12/2016</stp>
        <stp>[Bbg_Market_Data_CL.xlsm]data!R75C8</stp>
        <tr r="H75" s="1"/>
      </tp>
      <tp>
        <v>99061</v>
        <stp/>
        <stp>##V3_BDHV12</stp>
        <stp>CL2 Comdty</stp>
        <stp>PX_VOLUME</stp>
        <stp>22/12/2016</stp>
        <stp>22/12/2016</stp>
        <stp>[Bbg_Market_Data_CL.xlsm]data!R75C8</stp>
        <tr r="H75" s="1"/>
      </tp>
      <tp t="s">
        <v>#N/A Requesting Data...</v>
        <stp/>
        <stp>##V3_BDHV12</stp>
        <stp>CL1 Comdty</stp>
        <stp>PX_VOLUME</stp>
        <stp>23/02/2017</stp>
        <stp>23/02/2017</stp>
        <stp>[Bbg_Market_Data_CL.xlsm]data!R34C8</stp>
        <tr r="H34" s="1"/>
      </tp>
      <tp>
        <v>112374</v>
        <stp/>
        <stp>##V3_BDHV12</stp>
        <stp>CL2 Comdty</stp>
        <stp>PX_VOLUME</stp>
        <stp>23/02/2017</stp>
        <stp>23/02/2017</stp>
        <stp>[Bbg_Market_Data_CL.xlsm]data!R34C8</stp>
        <tr r="H34" s="1"/>
      </tp>
      <tp>
        <v>277857</v>
        <stp/>
        <stp>##V3_BDHV12</stp>
        <stp>CL2 Comdty</stp>
        <stp>PX_VOLUME</stp>
        <stp>10/01/2017</stp>
        <stp>10/01/2017</stp>
        <stp>[Bbg_Market_Data_CL.xlsm]data!R64C8</stp>
        <tr r="H64" s="1"/>
      </tp>
      <tp t="s">
        <v>#N/A Requesting Data...</v>
        <stp/>
        <stp>##V3_BDHV12</stp>
        <stp>CL1 Comdty</stp>
        <stp>PX_VOLUME</stp>
        <stp>10/01/2017</stp>
        <stp>10/01/2017</stp>
        <stp>[Bbg_Market_Data_CL.xlsm]data!R64C8</stp>
        <tr r="H64" s="1"/>
      </tp>
      <tp t="s">
        <v>#N/A Requesting Data...</v>
        <stp/>
        <stp>##V3_BDHV12</stp>
        <stp>CL1 Comdty</stp>
        <stp>MOV_AVG_5D</stp>
        <stp>24/08/2015</stp>
        <stp>24/08/2015</stp>
        <stp>[Bbg_Market_Data_CL.xlsm]data!R406C10</stp>
        <tr r="J406" s="1"/>
      </tp>
      <tp t="s">
        <v>#N/A Requesting Data...</v>
        <stp/>
        <stp>##V3_BDHV12</stp>
        <stp>CL2 Comdty</stp>
        <stp>MOV_AVG_5D</stp>
        <stp>14/08/2015</stp>
        <stp>14/08/2015</stp>
        <stp>[Bbg_Market_Data_CL.xlsm]data!R412C10</stp>
        <tr r="J412" s="1"/>
      </tp>
      <tp t="s">
        <v>#N/A Requesting Data...</v>
        <stp/>
        <stp>##V3_BDHV12</stp>
        <stp>CL2 Comdty</stp>
        <stp>MOV_AVG_5D</stp>
        <stp>23/03/2017</stp>
        <stp>23/03/2017</stp>
        <stp>[Bbg_Market_Data_CL.xlsm]data!R14C10</stp>
        <tr r="J14" s="1"/>
      </tp>
      <tp t="s">
        <v>#N/A Requesting Data...</v>
        <stp/>
        <stp>##V3_BDHV12</stp>
        <stp>CL1 Comdty</stp>
        <stp>MOV_AVG_5D</stp>
        <stp>20/03/2017</stp>
        <stp>20/03/2017</stp>
        <stp>[Bbg_Market_Data_CL.xlsm]data!R17C10</stp>
        <tr r="J17" s="1"/>
      </tp>
      <tp t="s">
        <v>#N/A Requesting Data...</v>
        <stp/>
        <stp>##V3_BDHV12</stp>
        <stp>CL1 Comdty</stp>
        <stp>MOV_AVG_5D</stp>
        <stp>20/12/2016</stp>
        <stp>20/12/2016</stp>
        <stp>[Bbg_Market_Data_CL.xlsm]data!R77C10</stp>
        <tr r="J77" s="1"/>
      </tp>
      <tp t="s">
        <v>#N/A Requesting Data...</v>
        <stp/>
        <stp>##V3_BDHV12</stp>
        <stp>CL2 Comdty</stp>
        <stp>MOV_AVG_5D</stp>
        <stp>23/12/2016</stp>
        <stp>23/12/2016</stp>
        <stp>[Bbg_Market_Data_CL.xlsm]data!R74C10</stp>
        <tr r="J74" s="1"/>
      </tp>
      <tp t="s">
        <v>#N/A Requesting Data...</v>
        <stp/>
        <stp>##V3_BDHV12</stp>
        <stp>CL2 Comdty</stp>
        <stp>MOV_AVG_5D</stp>
        <stp>03/01/2017</stp>
        <stp>03/01/2017</stp>
        <stp>[Bbg_Market_Data_CL.xlsm]data!R69C10</stp>
        <tr r="J69" s="1"/>
      </tp>
      <tp t="s">
        <v>#N/A Requesting Data...</v>
        <stp/>
        <stp>##V3_BDHV12</stp>
        <stp>CL2 Comdty</stp>
        <stp>MOV_AVG_5D</stp>
        <stp>05/08/2015</stp>
        <stp>05/08/2015</stp>
        <stp>[Bbg_Market_Data_CL.xlsm]data!R419C10</stp>
        <tr r="J419" s="1"/>
      </tp>
      <tp t="s">
        <v>#N/A Requesting Data...</v>
        <stp/>
        <stp>##V3_BDHV12</stp>
        <stp>CL2 Comdty</stp>
        <stp>MOV_AVG_5D</stp>
        <stp>22/03/2017</stp>
        <stp>22/03/2017</stp>
        <stp>[Bbg_Market_Data_CL.xlsm]data!R15C10</stp>
        <tr r="J15" s="1"/>
      </tp>
      <tp t="s">
        <v>#N/A Requesting Data...</v>
        <stp/>
        <stp>##V3_BDHV12</stp>
        <stp>CL1 Comdty</stp>
        <stp>MOV_AVG_5D</stp>
        <stp>21/03/2017</stp>
        <stp>21/03/2017</stp>
        <stp>[Bbg_Market_Data_CL.xlsm]data!R16C10</stp>
        <tr r="J16" s="1"/>
      </tp>
      <tp t="s">
        <v>#N/A Requesting Data...</v>
        <stp/>
        <stp>##V3_BDHV12</stp>
        <stp>CL1 Comdty</stp>
        <stp>MOV_AVG_5D</stp>
        <stp>21/12/2016</stp>
        <stp>21/12/2016</stp>
        <stp>[Bbg_Market_Data_CL.xlsm]data!R76C10</stp>
        <tr r="J76" s="1"/>
      </tp>
      <tp t="s">
        <v>#N/A Requesting Data...</v>
        <stp/>
        <stp>##V3_BDHV12</stp>
        <stp>CL2 Comdty</stp>
        <stp>MOV_AVG_5D</stp>
        <stp>22/12/2016</stp>
        <stp>22/12/2016</stp>
        <stp>[Bbg_Market_Data_CL.xlsm]data!R75C10</stp>
        <tr r="J75" s="1"/>
      </tp>
      <tp t="s">
        <v>#N/A Requesting Data...</v>
        <stp/>
        <stp>##V3_BDHV12</stp>
        <stp>CL1 Comdty</stp>
        <stp>MOV_AVG_5D</stp>
        <stp>06/08/2015</stp>
        <stp>06/08/2015</stp>
        <stp>[Bbg_Market_Data_CL.xlsm]data!R418C10</stp>
        <tr r="J418" s="1"/>
      </tp>
      <tp t="s">
        <v>#N/A Requesting Data...</v>
        <stp/>
        <stp>##V3_BDHV12</stp>
        <stp>CL1 Comdty</stp>
        <stp>MOV_AVG_5D</stp>
        <stp>22/03/2017</stp>
        <stp>22/03/2017</stp>
        <stp>[Bbg_Market_Data_CL.xlsm]data!R15C10</stp>
        <tr r="J15" s="1"/>
      </tp>
      <tp t="s">
        <v>#N/A Requesting Data...</v>
        <stp/>
        <stp>##V3_BDHV12</stp>
        <stp>CL2 Comdty</stp>
        <stp>MOV_AVG_5D</stp>
        <stp>21/03/2017</stp>
        <stp>21/03/2017</stp>
        <stp>[Bbg_Market_Data_CL.xlsm]data!R16C10</stp>
        <tr r="J16" s="1"/>
      </tp>
      <tp t="s">
        <v>#N/A Requesting Data...</v>
        <stp/>
        <stp>##V3_BDHV12</stp>
        <stp>CL2 Comdty</stp>
        <stp>MOV_AVG_5D</stp>
        <stp>21/12/2016</stp>
        <stp>21/12/2016</stp>
        <stp>[Bbg_Market_Data_CL.xlsm]data!R76C10</stp>
        <tr r="J76" s="1"/>
      </tp>
      <tp t="s">
        <v>#N/A Requesting Data...</v>
        <stp/>
        <stp>##V3_BDHV12</stp>
        <stp>CL1 Comdty</stp>
        <stp>MOV_AVG_5D</stp>
        <stp>22/12/2016</stp>
        <stp>22/12/2016</stp>
        <stp>[Bbg_Market_Data_CL.xlsm]data!R75C10</stp>
        <tr r="J75" s="1"/>
      </tp>
      <tp t="s">
        <v>#N/A Requesting Data...</v>
        <stp/>
        <stp>##V3_BDHV12</stp>
        <stp>CL2 Comdty</stp>
        <stp>MOV_AVG_5D</stp>
        <stp>27/08/2015</stp>
        <stp>27/08/2015</stp>
        <stp>[Bbg_Market_Data_CL.xlsm]data!R403C10</stp>
        <tr r="J403" s="1"/>
      </tp>
      <tp t="s">
        <v>#N/A Requesting Data...</v>
        <stp/>
        <stp>##V3_BDHV12</stp>
        <stp>CL1 Comdty</stp>
        <stp>MOV_AVG_5D</stp>
        <stp>17/08/2015</stp>
        <stp>17/08/2015</stp>
        <stp>[Bbg_Market_Data_CL.xlsm]data!R411C10</stp>
        <tr r="J411" s="1"/>
      </tp>
      <tp t="s">
        <v>#N/A Requesting Data...</v>
        <stp/>
        <stp>##V3_BDHV12</stp>
        <stp>CL1 Comdty</stp>
        <stp>MOV_AVG_5D</stp>
        <stp>23/03/2017</stp>
        <stp>23/03/2017</stp>
        <stp>[Bbg_Market_Data_CL.xlsm]data!R14C10</stp>
        <tr r="J14" s="1"/>
      </tp>
      <tp t="s">
        <v>#N/A Requesting Data...</v>
        <stp/>
        <stp>##V3_BDHV12</stp>
        <stp>CL2 Comdty</stp>
        <stp>MOV_AVG_5D</stp>
        <stp>20/03/2017</stp>
        <stp>20/03/2017</stp>
        <stp>[Bbg_Market_Data_CL.xlsm]data!R17C10</stp>
        <tr r="J17" s="1"/>
      </tp>
      <tp t="s">
        <v>#N/A Requesting Data...</v>
        <stp/>
        <stp>##V3_BDHV12</stp>
        <stp>CL2 Comdty</stp>
        <stp>MOV_AVG_5D</stp>
        <stp>20/12/2016</stp>
        <stp>20/12/2016</stp>
        <stp>[Bbg_Market_Data_CL.xlsm]data!R77C10</stp>
        <tr r="J77" s="1"/>
      </tp>
      <tp t="s">
        <v>#N/A Requesting Data...</v>
        <stp/>
        <stp>##V3_BDHV12</stp>
        <stp>CL1 Comdty</stp>
        <stp>MOV_AVG_5D</stp>
        <stp>23/12/2016</stp>
        <stp>23/12/2016</stp>
        <stp>[Bbg_Market_Data_CL.xlsm]data!R74C10</stp>
        <tr r="J74" s="1"/>
      </tp>
      <tp t="s">
        <v>#N/A Requesting Data...</v>
        <stp/>
        <stp>##V3_BDHV12</stp>
        <stp>CL1 Comdty</stp>
        <stp>MOV_AVG_5D</stp>
        <stp>03/01/2017</stp>
        <stp>03/01/2017</stp>
        <stp>[Bbg_Market_Data_CL.xlsm]data!R69C10</stp>
        <tr r="J69" s="1"/>
      </tp>
      <tp t="s">
        <v>#N/A Requesting Data...</v>
        <stp/>
        <stp>##V3_BDHV12</stp>
        <stp>CL1 Comdty</stp>
        <stp>MOV_AVG_5D</stp>
        <stp>26/09/2016</stp>
        <stp>26/09/2016</stp>
        <stp>[Bbg_Market_Data_CL.xlsm]data!R135C10</stp>
        <tr r="J135" s="1"/>
      </tp>
      <tp t="s">
        <v>#N/A Requesting Data...</v>
        <stp/>
        <stp>##V3_BDHV12</stp>
        <stp>CL2 Comdty</stp>
        <stp>MOV_AVG_5D</stp>
        <stp>16/09/2016</stp>
        <stp>16/09/2016</stp>
        <stp>[Bbg_Market_Data_CL.xlsm]data!R141C10</stp>
        <tr r="J141" s="1"/>
      </tp>
      <tp t="s">
        <v>#N/A Requesting Data...</v>
        <stp/>
        <stp>##V3_BDHV12</stp>
        <stp>CL1 Comdty</stp>
        <stp>MOV_AVG_5D</stp>
        <stp>04/01/2017</stp>
        <stp>04/01/2017</stp>
        <stp>[Bbg_Market_Data_CL.xlsm]data!R68C10</stp>
        <tr r="J68" s="1"/>
      </tp>
      <tp t="s">
        <v>#N/A Requesting Data...</v>
        <stp/>
        <stp>##V3_BDHV12</stp>
        <stp>CL2 Comdty</stp>
        <stp>MOV_AVG_5D</stp>
        <stp>27/12/2016</stp>
        <stp>27/12/2016</stp>
        <stp>[Bbg_Market_Data_CL.xlsm]data!R73C10</stp>
        <tr r="J73" s="1"/>
      </tp>
      <tp t="s">
        <v>#N/A Requesting Data...</v>
        <stp/>
        <stp>##V3_BDHV12</stp>
        <stp>CL2 Comdty</stp>
        <stp>MOV_AVG_5D</stp>
        <stp>27/03/2017</stp>
        <stp>27/03/2017</stp>
        <stp>[Bbg_Market_Data_CL.xlsm]data!R12C10</stp>
        <tr r="J12" s="1"/>
      </tp>
      <tp t="s">
        <v>#N/A Requesting Data...</v>
        <stp/>
        <stp>##V3_BDHV12</stp>
        <stp>CL1 Comdty</stp>
        <stp>MOV_AVG_5D</stp>
        <stp>24/03/2017</stp>
        <stp>24/03/2017</stp>
        <stp>[Bbg_Market_Data_CL.xlsm]data!R13C10</stp>
        <tr r="J13" s="1"/>
      </tp>
      <tp t="s">
        <v>#N/A Requesting Data...</v>
        <stp/>
        <stp>##V3_BDHV12</stp>
        <stp>CL2 Comdty</stp>
        <stp>MOV_AVG_5D</stp>
        <stp>17/11/2016</stp>
        <stp>17/11/2016</stp>
        <stp>[Bbg_Market_Data_CL.xlsm]data!R99C10</stp>
        <tr r="J99" s="1"/>
      </tp>
      <tp t="s">
        <v>#N/A Requesting Data...</v>
        <stp/>
        <stp>##V3_BDHV12</stp>
        <stp>CL2 Comdty</stp>
        <stp>MOV_AVG_5D</stp>
        <stp>07/09/2016</stp>
        <stp>07/09/2016</stp>
        <stp>[Bbg_Market_Data_CL.xlsm]data!R148C10</stp>
        <tr r="J148" s="1"/>
      </tp>
      <tp t="s">
        <v>#N/A Requesting Data...</v>
        <stp/>
        <stp>##V3_BDHV12</stp>
        <stp>CL2 Comdty</stp>
        <stp>MOV_AVG_5D</stp>
        <stp>17/08/2016</stp>
        <stp>17/08/2016</stp>
        <stp>[Bbg_Market_Data_CL.xlsm]data!R162C10</stp>
        <tr r="J162" s="1"/>
      </tp>
      <tp t="s">
        <v>#N/A Requesting Data...</v>
        <stp/>
        <stp>##V3_BDHV12</stp>
        <stp>CL1 Comdty</stp>
        <stp>MOV_AVG_5D</stp>
        <stp>16/09/2015</stp>
        <stp>16/09/2015</stp>
        <stp>[Bbg_Market_Data_CL.xlsm]data!R390C10</stp>
        <tr r="J390" s="1"/>
      </tp>
      <tp t="s">
        <v>#N/A Requesting Data...</v>
        <stp/>
        <stp>##V3_BDHV12</stp>
        <stp>CL1 Comdty</stp>
        <stp>MOV_AVG_5D</stp>
        <stp>05/01/2017</stp>
        <stp>05/01/2017</stp>
        <stp>[Bbg_Market_Data_CL.xlsm]data!R67C10</stp>
        <tr r="J67" s="1"/>
      </tp>
      <tp t="s">
        <v>#N/A Requesting Data...</v>
        <stp/>
        <stp>##V3_BDHV12</stp>
        <stp>CL2 Comdty</stp>
        <stp>MOV_AVG_5D</stp>
        <stp>06/01/2017</stp>
        <stp>06/01/2017</stp>
        <stp>[Bbg_Market_Data_CL.xlsm]data!R66C10</stp>
        <tr r="J66" s="1"/>
      </tp>
      <tp t="s">
        <v>#N/A Requesting Data...</v>
        <stp/>
        <stp>##V3_BDHV12</stp>
        <stp>CL2 Comdty</stp>
        <stp>MOV_AVG_5D</stp>
        <stp>24/08/2016</stp>
        <stp>24/08/2016</stp>
        <stp>[Bbg_Market_Data_CL.xlsm]data!R157C10</stp>
        <tr r="J157" s="1"/>
      </tp>
      <tp t="s">
        <v>#N/A Requesting Data...</v>
        <stp/>
        <stp>##V3_BDHV12</stp>
        <stp>CL1 Comdty</stp>
        <stp>MOV_AVG_5D</stp>
        <stp>25/09/2015</stp>
        <stp>25/09/2015</stp>
        <stp>[Bbg_Market_Data_CL.xlsm]data!R383C10</stp>
        <tr r="J383" s="1"/>
      </tp>
      <tp t="s">
        <v>#N/A Requesting Data...</v>
        <stp/>
        <stp>##V3_BDHV12</stp>
        <stp>CL2 Comdty</stp>
        <stp>MOV_AVG_5D</stp>
        <stp>15/09/2015</stp>
        <stp>15/09/2015</stp>
        <stp>[Bbg_Market_Data_CL.xlsm]data!R391C10</stp>
        <tr r="J391" s="1"/>
      </tp>
      <tp t="s">
        <v>#N/A Requesting Data...</v>
        <stp/>
        <stp>##V3_BDHV12</stp>
        <stp>CL2 Comdty</stp>
        <stp>MOV_AVG_5D</stp>
        <stp>05/01/2017</stp>
        <stp>05/01/2017</stp>
        <stp>[Bbg_Market_Data_CL.xlsm]data!R67C10</stp>
        <tr r="J67" s="1"/>
      </tp>
      <tp t="s">
        <v>#N/A Requesting Data...</v>
        <stp/>
        <stp>##V3_BDHV12</stp>
        <stp>CL1 Comdty</stp>
        <stp>MOV_AVG_5D</stp>
        <stp>06/01/2017</stp>
        <stp>06/01/2017</stp>
        <stp>[Bbg_Market_Data_CL.xlsm]data!R66C10</stp>
        <tr r="J66" s="1"/>
      </tp>
      <tp t="s">
        <v>#N/A Requesting Data...</v>
        <stp/>
        <stp>##V3_BDHV12</stp>
        <stp>CL1 Comdty</stp>
        <stp>MOV_AVG_5D</stp>
        <stp>15/09/2016</stp>
        <stp>15/09/2016</stp>
        <stp>[Bbg_Market_Data_CL.xlsm]data!R142C10</stp>
        <tr r="J142" s="1"/>
      </tp>
      <tp t="s">
        <v>#N/A Requesting Data...</v>
        <stp/>
        <stp>##V3_BDHV12</stp>
        <stp>CL1 Comdty</stp>
        <stp>MOV_AVG_5D</stp>
        <stp>05/08/2016</stp>
        <stp>05/08/2016</stp>
        <stp>[Bbg_Market_Data_CL.xlsm]data!R169C10</stp>
        <tr r="J169" s="1"/>
      </tp>
      <tp t="s">
        <v>#N/A Requesting Data...</v>
        <stp/>
        <stp>##V3_BDHV12</stp>
        <stp>CL2 Comdty</stp>
        <stp>MOV_AVG_5D</stp>
        <stp>04/09/2015</stp>
        <stp>04/09/2015</stp>
        <stp>[Bbg_Market_Data_CL.xlsm]data!R397C10</stp>
        <tr r="J397" s="1"/>
      </tp>
      <tp t="s">
        <v>#N/A Requesting Data...</v>
        <stp/>
        <stp>##V3_BDHV12</stp>
        <stp>CL2 Comdty</stp>
        <stp>MOV_AVG_5D</stp>
        <stp>04/01/2017</stp>
        <stp>04/01/2017</stp>
        <stp>[Bbg_Market_Data_CL.xlsm]data!R68C10</stp>
        <tr r="J68" s="1"/>
      </tp>
      <tp t="s">
        <v>#N/A Requesting Data...</v>
        <stp/>
        <stp>##V3_BDHV12</stp>
        <stp>CL1 Comdty</stp>
        <stp>MOV_AVG_5D</stp>
        <stp>27/12/2016</stp>
        <stp>27/12/2016</stp>
        <stp>[Bbg_Market_Data_CL.xlsm]data!R73C10</stp>
        <tr r="J73" s="1"/>
      </tp>
      <tp t="s">
        <v>#N/A Requesting Data...</v>
        <stp/>
        <stp>##V3_BDHV12</stp>
        <stp>CL1 Comdty</stp>
        <stp>MOV_AVG_5D</stp>
        <stp>27/03/2017</stp>
        <stp>27/03/2017</stp>
        <stp>[Bbg_Market_Data_CL.xlsm]data!R12C10</stp>
        <tr r="J12" s="1"/>
      </tp>
      <tp t="s">
        <v>#N/A Requesting Data...</v>
        <stp/>
        <stp>##V3_BDHV12</stp>
        <stp>CL2 Comdty</stp>
        <stp>MOV_AVG_5D</stp>
        <stp>24/03/2017</stp>
        <stp>24/03/2017</stp>
        <stp>[Bbg_Market_Data_CL.xlsm]data!R13C10</stp>
        <tr r="J13" s="1"/>
      </tp>
      <tp t="s">
        <v>#N/A Requesting Data...</v>
        <stp/>
        <stp>##V3_BDHV12</stp>
        <stp>CL1 Comdty</stp>
        <stp>MOV_AVG_5D</stp>
        <stp>17/11/2016</stp>
        <stp>17/11/2016</stp>
        <stp>[Bbg_Market_Data_CL.xlsm]data!R99C10</stp>
        <tr r="J99" s="1"/>
      </tp>
      <tp t="s">
        <v>#N/A Requesting Data...</v>
        <stp/>
        <stp>##V3_BDHV12</stp>
        <stp>CL1 Comdty</stp>
        <stp>MOV_AVG_5D</stp>
        <stp>19/05/2016</stp>
        <stp>19/05/2016</stp>
        <stp>[Bbg_Market_Data_CL.xlsm]data!R223C10</stp>
        <tr r="J223" s="1"/>
      </tp>
      <tp t="s">
        <v>#N/A Requesting Data...</v>
        <stp/>
        <stp>##V3_BDHV12</stp>
        <stp>CL1 Comdty</stp>
        <stp>MOV_AVG_5D</stp>
        <stp>18/11/2016</stp>
        <stp>18/11/2016</stp>
        <stp>[Bbg_Market_Data_CL.xlsm]data!R98C10</stp>
        <tr r="J98" s="1"/>
      </tp>
      <tp t="s">
        <v>#N/A Requesting Data...</v>
        <stp/>
        <stp>##V3_BDHV12</stp>
        <stp>CL1 Comdty</stp>
        <stp>MOV_AVG_5D</stp>
        <stp>28/03/2017</stp>
        <stp>28/03/2017</stp>
        <stp>[Bbg_Market_Data_CL.xlsm]data!R11C10</stp>
        <tr r="J11" s="1"/>
      </tp>
      <tp t="s">
        <v>#N/A Requesting Data...</v>
        <stp/>
        <stp>##V3_BDHV12</stp>
        <stp>CL1 Comdty</stp>
        <stp>MOV_AVG_5D</stp>
        <stp>28/12/2016</stp>
        <stp>28/12/2016</stp>
        <stp>[Bbg_Market_Data_CL.xlsm]data!R72C10</stp>
        <tr r="J72" s="1"/>
      </tp>
      <tp t="s">
        <v>#N/A Requesting Data...</v>
        <stp/>
        <stp>##V3_BDHV12</stp>
        <stp>CL2 Comdty</stp>
        <stp>MOV_AVG_5D</stp>
        <stp>08/06/2016</stp>
        <stp>08/06/2016</stp>
        <stp>[Bbg_Market_Data_CL.xlsm]data!R210C10</stp>
        <tr r="J210" s="1"/>
      </tp>
      <tp t="s">
        <v>#N/A Requesting Data...</v>
        <stp/>
        <stp>##V3_BDHV12</stp>
        <stp>CL2 Comdty</stp>
        <stp>MOV_AVG_5D</stp>
        <stp>28/04/2016</stp>
        <stp>28/04/2016</stp>
        <stp>[Bbg_Market_Data_CL.xlsm]data!R238C10</stp>
        <tr r="J238" s="1"/>
      </tp>
      <tp t="s">
        <v>#N/A Requesting Data...</v>
        <stp/>
        <stp>##V3_BDHV12</stp>
        <stp>CL1 Comdty</stp>
        <stp>MOV_AVG_5D</stp>
        <stp>18/04/2016</stp>
        <stp>18/04/2016</stp>
        <stp>[Bbg_Market_Data_CL.xlsm]data!R246C10</stp>
        <tr r="J246" s="1"/>
      </tp>
      <tp t="s">
        <v>#N/A Requesting Data...</v>
        <stp/>
        <stp>##V3_BDHV12</stp>
        <stp>CL1 Comdty</stp>
        <stp>MOV_AVG_5D</stp>
        <stp>29/03/2017</stp>
        <stp>29/03/2017</stp>
        <stp>[Bbg_Market_Data_CL.xlsm]data!R10C10</stp>
        <tr r="J10" s="1"/>
      </tp>
      <tp t="s">
        <v>#N/A Requesting Data...</v>
        <stp/>
        <stp>##V3_BDHV12</stp>
        <stp>CL1 Comdty</stp>
        <stp>MOV_AVG_5D</stp>
        <stp>29/12/2016</stp>
        <stp>29/12/2016</stp>
        <stp>[Bbg_Market_Data_CL.xlsm]data!R71C10</stp>
        <tr r="J71" s="1"/>
      </tp>
      <tp t="s">
        <v>#N/A Requesting Data...</v>
        <stp/>
        <stp>##V3_BDHV12</stp>
        <stp>CL1 Comdty</stp>
        <stp>MOV_AVG_5D</stp>
        <stp>09/01/2017</stp>
        <stp>09/01/2017</stp>
        <stp>[Bbg_Market_Data_CL.xlsm]data!R65C10</stp>
        <tr r="J65" s="1"/>
      </tp>
      <tp t="s">
        <v>#N/A Requesting Data...</v>
        <stp/>
        <stp>##V3_BDHV12</stp>
        <stp>CL1 Comdty</stp>
        <stp>MOV_AVG_5D</stp>
        <stp>28/07/2016</stp>
        <stp>28/07/2016</stp>
        <stp>[Bbg_Market_Data_CL.xlsm]data!R175C10</stp>
        <tr r="J175" s="1"/>
      </tp>
      <tp t="s">
        <v>#N/A Requesting Data...</v>
        <stp/>
        <stp>##V3_BDHV12</stp>
        <stp>CL2 Comdty</stp>
        <stp>MOV_AVG_5D</stp>
        <stp>18/07/2016</stp>
        <stp>18/07/2016</stp>
        <stp>[Bbg_Market_Data_CL.xlsm]data!R183C10</stp>
        <tr r="J183" s="1"/>
      </tp>
      <tp t="s">
        <v>#N/A Requesting Data...</v>
        <stp/>
        <stp>##V3_BDHV12</stp>
        <stp>CL2 Comdty</stp>
        <stp>MOV_AVG_5D</stp>
        <stp>29/03/2017</stp>
        <stp>29/03/2017</stp>
        <stp>[Bbg_Market_Data_CL.xlsm]data!R10C10</stp>
        <tr r="J10" s="1"/>
      </tp>
      <tp t="s">
        <v>#N/A Requesting Data...</v>
        <stp/>
        <stp>##V3_BDHV12</stp>
        <stp>CL2 Comdty</stp>
        <stp>MOV_AVG_5D</stp>
        <stp>29/12/2016</stp>
        <stp>29/12/2016</stp>
        <stp>[Bbg_Market_Data_CL.xlsm]data!R71C10</stp>
        <tr r="J71" s="1"/>
      </tp>
      <tp t="s">
        <v>#N/A Requesting Data...</v>
        <stp/>
        <stp>##V3_BDHV12</stp>
        <stp>CL2 Comdty</stp>
        <stp>MOV_AVG_5D</stp>
        <stp>09/01/2017</stp>
        <stp>09/01/2017</stp>
        <stp>[Bbg_Market_Data_CL.xlsm]data!R65C10</stp>
        <tr r="J65" s="1"/>
      </tp>
      <tp t="s">
        <v>#N/A Requesting Data...</v>
        <stp/>
        <stp>##V3_BDHV12</stp>
        <stp>CL1 Comdty</stp>
        <stp>MOV_AVG_5D</stp>
        <stp>29/06/2016</stp>
        <stp>29/06/2016</stp>
        <stp>[Bbg_Market_Data_CL.xlsm]data!R195C10</stp>
        <tr r="J195" s="1"/>
      </tp>
      <tp t="s">
        <v>#N/A Requesting Data...</v>
        <stp/>
        <stp>##V3_BDHV12</stp>
        <stp>CL2 Comdty</stp>
        <stp>MOV_AVG_5D</stp>
        <stp>18/11/2016</stp>
        <stp>18/11/2016</stp>
        <stp>[Bbg_Market_Data_CL.xlsm]data!R98C10</stp>
        <tr r="J98" s="1"/>
      </tp>
      <tp t="s">
        <v>#N/A Requesting Data...</v>
        <stp/>
        <stp>##V3_BDHV12</stp>
        <stp>CL2 Comdty</stp>
        <stp>MOV_AVG_5D</stp>
        <stp>28/03/2017</stp>
        <stp>28/03/2017</stp>
        <stp>[Bbg_Market_Data_CL.xlsm]data!R11C10</stp>
        <tr r="J11" s="1"/>
      </tp>
      <tp t="s">
        <v>#N/A Requesting Data...</v>
        <stp/>
        <stp>##V3_BDHV12</stp>
        <stp>CL2 Comdty</stp>
        <stp>MOV_AVG_5D</stp>
        <stp>28/12/2016</stp>
        <stp>28/12/2016</stp>
        <stp>[Bbg_Market_Data_CL.xlsm]data!R72C10</stp>
        <tr r="J72" s="1"/>
      </tp>
      <tp t="s">
        <v>#N/A Requesting Data...</v>
        <stp/>
        <stp>##V3_BDHV12</stp>
        <stp>CL2 Comdty</stp>
        <stp>MOV_AVG_5D</stp>
        <stp>28/07/2015</stp>
        <stp>28/07/2015</stp>
        <stp>[Bbg_Market_Data_CL.xlsm]data!R425C10</stp>
        <tr r="J425" s="1"/>
      </tp>
      <tp t="s">
        <v>#N/A Requesting Data...</v>
        <stp/>
        <stp>##V3_BDHV12</stp>
        <stp>CL1 Comdty</stp>
        <stp>MOV_AVG_5D</stp>
        <stp>08/06/2015</stp>
        <stp>08/06/2015</stp>
        <stp>[Bbg_Market_Data_CL.xlsm]data!R460C10</stp>
        <tr r="J460" s="1"/>
      </tp>
      <tp t="s">
        <v>#N/A Requesting Data...</v>
        <stp/>
        <stp>##V3_BDHV12</stp>
        <stp>CL1 Comdty</stp>
        <stp>MOV_AVG_5D</stp>
        <stp>28/04/2015</stp>
        <stp>28/04/2015</stp>
        <stp>[Bbg_Market_Data_CL.xlsm]data!R488C10</stp>
        <tr r="J488" s="1"/>
      </tp>
      <tp t="s">
        <v>#N/A Requesting Data...</v>
        <stp/>
        <stp>##V3_BDHV12</stp>
        <stp>CL2 Comdty</stp>
        <stp>MOV_AVG_5D</stp>
        <stp>08/05/2015</stp>
        <stp>08/05/2015</stp>
        <stp>[Bbg_Market_Data_CL.xlsm]data!R480C10</stp>
        <tr r="J480" s="1"/>
      </tp>
      <tp t="s">
        <v>#N/A Requesting Data...</v>
        <stp/>
        <stp>##V3_BDHV12</stp>
        <stp>CL1 Comdty</stp>
        <stp>MOV_AVG_5D</stp>
        <stp>09/07/2015</stp>
        <stp>09/07/2015</stp>
        <stp>[Bbg_Market_Data_CL.xlsm]data!R438C10</stp>
        <tr r="J438" s="1"/>
      </tp>
      <tp t="s">
        <v>#N/A Requesting Data...</v>
        <stp/>
        <stp>##V3_BDHV12</stp>
        <stp>CL2 Comdty</stp>
        <stp>MOV_AVG_5D</stp>
        <stp>29/06/2015</stp>
        <stp>29/06/2015</stp>
        <stp>[Bbg_Market_Data_CL.xlsm]data!R445C10</stp>
        <tr r="J445" s="1"/>
      </tp>
      <tp t="s">
        <v>#N/A Requesting Data...</v>
        <stp/>
        <stp>##V3_BDHV12</stp>
        <stp>CL1 Comdty</stp>
        <stp>MOV_AVG_5D</stp>
        <stp>19/06/2015</stp>
        <stp>19/06/2015</stp>
        <stp>[Bbg_Market_Data_CL.xlsm]data!R451C10</stp>
        <tr r="J451" s="1"/>
      </tp>
      <tp t="s">
        <v>#N/A Requesting Data...</v>
        <stp/>
        <stp>##V3_BDHV12</stp>
        <stp>CL1 Comdty</stp>
        <stp>MOV_AVG_5D</stp>
        <stp>29/05/2015</stp>
        <stp>29/05/2015</stp>
        <stp>[Bbg_Market_Data_CL.xlsm]data!R466C10</stp>
        <tr r="J466" s="1"/>
      </tp>
      <tp t="s">
        <v>#N/A Requesting Data...</v>
        <stp/>
        <stp>##V3_BDHV12</stp>
        <stp>CL2 Comdty</stp>
        <stp>MOV_AVG_5D</stp>
        <stp>19/05/2015</stp>
        <stp>19/05/2015</stp>
        <stp>[Bbg_Market_Data_CL.xlsm]data!R473C10</stp>
        <tr r="J473" s="1"/>
      </tp>
      <tp t="s">
        <v>#N/A Requesting Data...</v>
        <stp/>
        <stp>##V3_BDHV12</stp>
        <stp>CL1 Comdty</stp>
        <stp>30DAY_IMPVOL_95.0%MNY_DF</stp>
        <stp>10/06/2015</stp>
        <stp>10/06/2015</stp>
        <stp>[Bbg_Market_Data_CL.xlsm]data!R457C21</stp>
        <tr r="U457" s="1"/>
      </tp>
      <tp t="s">
        <v>#N/A Requesting Data...</v>
        <stp/>
        <stp>##V3_BDHV12</stp>
        <stp>CL1 Comdty</stp>
        <stp>30DAY_IMPVOL_95.0%MNY_DF</stp>
        <stp>17/11/2015</stp>
        <stp>17/11/2015</stp>
        <stp>[Bbg_Market_Data_CL.xlsm]data!R347C21</stp>
        <tr r="U347" s="1"/>
      </tp>
      <tp t="s">
        <v>#N/A Requesting Data...</v>
        <stp/>
        <stp>##V3_BDHV12</stp>
        <stp>CL1 Comdty</stp>
        <stp>30DAY_IMPVOL_95.0%MNY_DF</stp>
        <stp>07/10/2015</stp>
        <stp>07/10/2015</stp>
        <stp>[Bbg_Market_Data_CL.xlsm]data!R374C21</stp>
        <tr r="U374" s="1"/>
      </tp>
      <tp t="s">
        <v>#N/A Requesting Data...</v>
        <stp/>
        <stp>##V3_BDHV12</stp>
        <stp>CL1 Comdty</stp>
        <stp>30DAY_IMPVOL_95.0%MNY_DF</stp>
        <stp>20/05/2015</stp>
        <stp>20/05/2015</stp>
        <stp>[Bbg_Market_Data_CL.xlsm]data!R471C21</stp>
        <tr r="U471" s="1"/>
      </tp>
      <tp t="s">
        <v>#N/A Requesting Data...</v>
        <stp/>
        <stp>##V3_BDHV12</stp>
        <stp>CL1 Comdty</stp>
        <stp>30DAY_IMPVOL_95.0%MNY_DF</stp>
        <stp>26/10/2016</stp>
        <stp>26/10/2016</stp>
        <stp>[Bbg_Market_Data_CL.xlsm]data!R113C21</stp>
        <tr r="U113" s="1"/>
      </tp>
      <tp t="s">
        <v>#N/A Requesting Data...</v>
        <stp/>
        <stp>##V3_BDHV12</stp>
        <stp>CL1 Comdty</stp>
        <stp>30DAY_IMPVOL_95.0%MNY_DF</stp>
        <stp>14/01/2016</stp>
        <stp>14/01/2016</stp>
        <stp>[Bbg_Market_Data_CL.xlsm]data!R308C21</stp>
        <tr r="U308" s="1"/>
      </tp>
      <tp t="s">
        <v>#N/A Requesting Data...</v>
        <stp/>
        <stp>##V3_BDHV12</stp>
        <stp>CL1 Comdty</stp>
        <stp>30DAY_IMPVOL_90.0%MNY_DF</stp>
        <stp>10/05/2016</stp>
        <stp>10/05/2016</stp>
        <stp>[Bbg_Market_Data_CL.xlsm]data!R229C23</stp>
        <tr r="W229" s="1"/>
      </tp>
      <tp t="s">
        <v>#N/A Requesting Data...</v>
        <stp/>
        <stp>##V3_BDHV12</stp>
        <stp>CL1 Comdty</stp>
        <stp>30DAY_IMPVOL_90.0%MNY_DF</stp>
        <stp>20/06/2016</stp>
        <stp>20/06/2016</stp>
        <stp>[Bbg_Market_Data_CL.xlsm]data!R201C23</stp>
        <tr r="W201" s="1"/>
      </tp>
      <tp t="s">
        <v>#N/A Requesting Data...</v>
        <stp/>
        <stp>##V3_BDHV12</stp>
        <stp>CL1 Comdty</stp>
        <stp>30DAY_IMPVOL_95.0%MNY_DF</stp>
        <stp>30/04/2015</stp>
        <stp>30/04/2015</stp>
        <stp>[Bbg_Market_Data_CL.xlsm]data!R485C21</stp>
        <tr r="U485" s="1"/>
      </tp>
      <tp t="s">
        <v>#N/A Requesting Data...</v>
        <stp/>
        <stp>##V3_BDHV12</stp>
        <stp>SPGSCLP Index</stp>
        <stp>CHG_PCT_1D</stp>
        <stp>05/05/2016</stp>
        <stp>05/05/2016</stp>
        <stp>[Bbg_Market_Data_CL.xlsm]data!R233C3</stp>
        <tr r="C233" s="1"/>
      </tp>
      <tp t="s">
        <v>#N/A Requesting Data...</v>
        <stp/>
        <stp>##V3_BDHV12</stp>
        <stp>SPGSCLP Index</stp>
        <stp>CHG_PCT_5D</stp>
        <stp>26/04/2016</stp>
        <stp>26/04/2016</stp>
        <stp>[Bbg_Market_Data_CL.xlsm]data!R240C4</stp>
        <tr r="D240" s="1"/>
      </tp>
      <tp t="s">
        <v>#N/A Requesting Data...</v>
        <stp/>
        <stp>##V3_BDHV12</stp>
        <stp>SPGSCLP Index</stp>
        <stp>CHG_PCT_5D</stp>
        <stp>05/05/2016</stp>
        <stp>05/05/2016</stp>
        <stp>[Bbg_Market_Data_CL.xlsm]data!R233C4</stp>
        <tr r="D233" s="1"/>
      </tp>
      <tp t="s">
        <v>#N/A Requesting Data...</v>
        <stp/>
        <stp>##V3_BDHV12</stp>
        <stp>SPGSCLP Index</stp>
        <stp>CHG_PCT_1D</stp>
        <stp>26/04/2016</stp>
        <stp>26/04/2016</stp>
        <stp>[Bbg_Market_Data_CL.xlsm]data!R240C3</stp>
        <tr r="C240" s="1"/>
      </tp>
      <tp t="s">
        <v>#N/A Requesting Data...</v>
        <stp/>
        <stp>##V3_BDHV12</stp>
        <stp>CL1 Comdty</stp>
        <stp>30DAY_IMPVOL_95.0%MNY_DF</stp>
        <stp>06/11/2015</stp>
        <stp>06/11/2015</stp>
        <stp>[Bbg_Market_Data_CL.xlsm]data!R353C21</stp>
        <tr r="U353" s="1"/>
      </tp>
      <tp t="s">
        <v>#N/A Requesting Data...</v>
        <stp/>
        <stp>##V3_BDHV12</stp>
        <stp>CL1 Comdty</stp>
        <stp>30DAY_IMPVOL_95.0%MNY_DF</stp>
        <stp>01/06/2015</stp>
        <stp>01/06/2015</stp>
        <stp>[Bbg_Market_Data_CL.xlsm]data!R464C21</stp>
        <tr r="U464" s="1"/>
      </tp>
      <tp t="s">
        <v>#N/A Requesting Data...</v>
        <stp/>
        <stp>##V3_BDHV12</stp>
        <stp>CL1 Comdty</stp>
        <stp>30DAY_IMPVOL_90.0%MNY_DF</stp>
        <stp>11/04/2016</stp>
        <stp>11/04/2016</stp>
        <stp>[Bbg_Market_Data_CL.xlsm]data!R250C23</stp>
        <tr r="W250" s="1"/>
      </tp>
      <tp t="s">
        <v>#N/A Requesting Data...</v>
        <stp/>
        <stp>##V3_BDHV12</stp>
        <stp>CL1 Comdty</stp>
        <stp>30DAY_IMPVOL_95.0%MNY_DF</stp>
        <stp>16/10/2015</stp>
        <stp>16/10/2015</stp>
        <stp>[Bbg_Market_Data_CL.xlsm]data!R368C21</stp>
        <tr r="U368" s="1"/>
      </tp>
      <tp t="s">
        <v>#N/A Requesting Data...</v>
        <stp/>
        <stp>##V3_BDHV12</stp>
        <stp>CL1 Comdty</stp>
        <stp>30DAY_IMPVOL_95.0%MNY_DF</stp>
        <stp>05/01/2016</stp>
        <stp>05/01/2016</stp>
        <stp>[Bbg_Market_Data_CL.xlsm]data!R315C21</stp>
        <tr r="U315" s="1"/>
      </tp>
      <tp t="s">
        <v>#N/A Requesting Data...</v>
        <stp/>
        <stp>##V3_BDHV12</stp>
        <stp>CL1 Comdty</stp>
        <stp>30DAY_IMPVOL_95.0%MNY_DF</stp>
        <stp>24/02/2016</stp>
        <stp>24/02/2016</stp>
        <stp>[Bbg_Market_Data_CL.xlsm]data!R282C21</stp>
        <tr r="U282" s="1"/>
      </tp>
      <tp t="s">
        <v>#N/A Requesting Data...</v>
        <stp/>
        <stp>##V3_BDHV12</stp>
        <stp>CL1 Comdty</stp>
        <stp>30DAY_IMPVOL_95.0%MNY_DF</stp>
        <stp>21/04/2015</stp>
        <stp>21/04/2015</stp>
        <stp>[Bbg_Market_Data_CL.xlsm]data!R492C21</stp>
        <tr r="U492" s="1"/>
      </tp>
      <tp t="s">
        <v>#N/A Requesting Data...</v>
        <stp/>
        <stp>##V3_BDHV12</stp>
        <stp>CL1 Comdty</stp>
        <stp>30DAY_IMPVOL_90.0%MNY_DF</stp>
        <stp>12/07/2016</stp>
        <stp>12/07/2016</stp>
        <stp>[Bbg_Market_Data_CL.xlsm]data!R186C23</stp>
        <tr r="W186" s="1"/>
      </tp>
      <tp t="s">
        <v>#N/A Requesting Data...</v>
        <stp/>
        <stp>##V3_BDHV12</stp>
        <stp>SPGSCLP Index</stp>
        <stp>CHG_PCT_1D</stp>
        <stp>06/07/2016</stp>
        <stp>06/07/2016</stp>
        <stp>[Bbg_Market_Data_CL.xlsm]data!R191C3</stp>
        <tr r="C191" s="1"/>
      </tp>
      <tp t="s">
        <v>#N/A Requesting Data...</v>
        <stp/>
        <stp>##V3_BDHV12</stp>
        <stp>SPGSCLP Index</stp>
        <stp>CHG_PCT_5D</stp>
        <stp>06/07/2016</stp>
        <stp>06/07/2016</stp>
        <stp>[Bbg_Market_Data_CL.xlsm]data!R191C4</stp>
        <tr r="D191" s="1"/>
      </tp>
      <tp t="s">
        <v>#N/A Requesting Data...</v>
        <stp/>
        <stp>##V3_BDHV12</stp>
        <stp>SPGSCLP Index</stp>
        <stp>CHG_PCT_1D</stp>
        <stp>24/04/2015</stp>
        <stp>24/04/2015</stp>
        <stp>[Bbg_Market_Data_CL.xlsm]data!R490C3</stp>
        <tr r="C490" s="1"/>
      </tp>
      <tp t="s">
        <v>#N/A Requesting Data...</v>
        <stp/>
        <stp>##V3_BDHV12</stp>
        <stp>SPGSCLP Index</stp>
        <stp>CHG_PCT_5D</stp>
        <stp>24/04/2015</stp>
        <stp>24/04/2015</stp>
        <stp>[Bbg_Market_Data_CL.xlsm]data!R490C4</stp>
        <tr r="D490" s="1"/>
      </tp>
      <tp t="s">
        <v>#N/A Requesting Data...</v>
        <stp/>
        <stp>##V3_BDHV12</stp>
        <stp>CL1 Comdty</stp>
        <stp>30DAY_IMPVOL_90.0%MNY_DF</stp>
        <stp>21/07/2016</stp>
        <stp>21/07/2016</stp>
        <stp>[Bbg_Market_Data_CL.xlsm]data!R179C23</stp>
        <tr r="W179" s="1"/>
      </tp>
      <tp t="s">
        <v>#N/A Requesting Data...</v>
        <stp/>
        <stp>##V3_BDHV12</stp>
        <stp>CL1 Comdty</stp>
        <stp>30DAY_IMPVOL_90.0%MNY_DF</stp>
        <stp>22/04/2016</stp>
        <stp>22/04/2016</stp>
        <stp>[Bbg_Market_Data_CL.xlsm]data!R241C23</stp>
        <tr r="W241" s="1"/>
      </tp>
      <tp t="s">
        <v>#N/A Requesting Data...</v>
        <stp/>
        <stp>##V3_BDHV12</stp>
        <stp>CL1 Comdty</stp>
        <stp>30DAY_IMPVOL_95.0%MNY_DF</stp>
        <stp>07/03/2016</stp>
        <stp>07/03/2016</stp>
        <stp>[Bbg_Market_Data_CL.xlsm]data!R274C21</stp>
        <tr r="U274" s="1"/>
      </tp>
      <tp t="s">
        <v>#N/A Requesting Data...</v>
        <stp/>
        <stp>##V3_BDHV12</stp>
        <stp>CL1 Comdty</stp>
        <stp>30DAY_IMPVOL_95.0%MNY_DF</stp>
        <stp>14/11/2016</stp>
        <stp>14/11/2016</stp>
        <stp>[Bbg_Market_Data_CL.xlsm]data!R101C21</stp>
        <tr r="U101" s="1"/>
      </tp>
      <tp t="s">
        <v>#N/A Requesting Data...</v>
        <stp/>
        <stp>##V3_BDHV12</stp>
        <stp>CL1 Comdty</stp>
        <stp>30DAY_IMPVOL_95.0%MNY_DF</stp>
        <stp>22/07/2015</stp>
        <stp>22/07/2015</stp>
        <stp>[Bbg_Market_Data_CL.xlsm]data!R428C21</stp>
        <tr r="U428" s="1"/>
      </tp>
      <tp t="s">
        <v>#N/A Requesting Data...</v>
        <stp/>
        <stp>##V3_BDHV12</stp>
        <stp>CL1 Comdty</stp>
        <stp>30DAY_IMPVOL_90.0%MNY_DF</stp>
        <stp>02/06/2016</stp>
        <stp>02/06/2016</stp>
        <stp>[Bbg_Market_Data_CL.xlsm]data!R213C23</stp>
        <tr r="W213" s="1"/>
      </tp>
      <tp t="s">
        <v>#N/A Requesting Data...</v>
        <stp/>
        <stp>##V3_BDHV12</stp>
        <stp>CL1 Comdty</stp>
        <stp>30DAY_IMPVOL_95.0%MNY_DF</stp>
        <stp>04/10/2016</stp>
        <stp>04/10/2016</stp>
        <stp>[Bbg_Market_Data_CL.xlsm]data!R128C21</stp>
        <tr r="U128" s="1"/>
      </tp>
      <tp t="s">
        <v>#N/A Requesting Data...</v>
        <stp/>
        <stp>##V3_BDHV12</stp>
        <stp>CL1 Comdty</stp>
        <stp>30DAY_IMPVOL_95.0%MNY_DF</stp>
        <stp>17/02/2016</stp>
        <stp>17/02/2016</stp>
        <stp>[Bbg_Market_Data_CL.xlsm]data!R287C21</stp>
        <tr r="U287" s="1"/>
      </tp>
      <tp t="s">
        <v>#N/A Requesting Data...</v>
        <stp/>
        <stp>##V3_BDHV12</stp>
        <stp>SPGSCLP Index</stp>
        <stp>CHG_PCT_1D</stp>
        <stp>21/01/2016</stp>
        <stp>21/01/2016</stp>
        <stp>[Bbg_Market_Data_CL.xlsm]data!R305C3</stp>
        <tr r="C305" s="1"/>
      </tp>
      <tp t="s">
        <v>#N/A Requesting Data...</v>
        <stp/>
        <stp>##V3_BDHV12</stp>
        <stp>SPGSCLP Index</stp>
        <stp>CHG_PCT_5D</stp>
        <stp>06/07/2015</stp>
        <stp>06/07/2015</stp>
        <stp>[Bbg_Market_Data_CL.xlsm]data!R441C4</stp>
        <tr r="D441" s="1"/>
      </tp>
      <tp t="s">
        <v>#N/A Requesting Data...</v>
        <stp/>
        <stp>##V3_BDHV12</stp>
        <stp>SPGSCLP Index</stp>
        <stp>CHG_PCT_5D</stp>
        <stp>21/01/2016</stp>
        <stp>21/01/2016</stp>
        <stp>[Bbg_Market_Data_CL.xlsm]data!R305C4</stp>
        <tr r="D305" s="1"/>
      </tp>
      <tp t="s">
        <v>#N/A Requesting Data...</v>
        <stp/>
        <stp>##V3_BDHV12</stp>
        <stp>SPGSCLP Index</stp>
        <stp>CHG_PCT_1D</stp>
        <stp>06/07/2015</stp>
        <stp>06/07/2015</stp>
        <stp>[Bbg_Market_Data_CL.xlsm]data!R441C3</stp>
        <tr r="C441" s="1"/>
      </tp>
      <tp t="s">
        <v>#N/A Requesting Data...</v>
        <stp/>
        <stp>##V3_BDHV12</stp>
        <stp>CL1 Comdty</stp>
        <stp>30DAY_IMPVOL_95.0%MNY_DF</stp>
        <stp>23/06/2015</stp>
        <stp>23/06/2015</stp>
        <stp>[Bbg_Market_Data_CL.xlsm]data!R448C21</stp>
        <tr r="U448" s="1"/>
      </tp>
      <tp t="s">
        <v>#N/A Requesting Data...</v>
        <stp/>
        <stp>##V3_BDHV12</stp>
        <stp>CL1 Comdty</stp>
        <stp>30DAY_IMPVOL_95.0%MNY_DF</stp>
        <stp>24/11/2015</stp>
        <stp>24/11/2015</stp>
        <stp>[Bbg_Market_Data_CL.xlsm]data!R342C21</stp>
        <tr r="U342" s="1"/>
      </tp>
      <tp t="s">
        <v>#N/A Requesting Data...</v>
        <stp/>
        <stp>##V3_BDHV12</stp>
        <stp>CL1 Comdty</stp>
        <stp>30DAY_IMPVOL_95.0%MNY_DF</stp>
        <stp>16/03/2016</stp>
        <stp>16/03/2016</stp>
        <stp>[Bbg_Market_Data_CL.xlsm]data!R267C21</stp>
        <tr r="U267" s="1"/>
      </tp>
      <tp t="s">
        <v>#N/A Requesting Data...</v>
        <stp/>
        <stp>##V3_BDHV12</stp>
        <stp>CL1 Comdty</stp>
        <stp>30DAY_IMPVOL_95.0%MNY_DF</stp>
        <stp>13/05/2015</stp>
        <stp>13/05/2015</stp>
        <stp>[Bbg_Market_Data_CL.xlsm]data!R476C21</stp>
        <tr r="U476" s="1"/>
      </tp>
      <tp t="s">
        <v>#N/A Requesting Data...</v>
        <stp/>
        <stp>##V3_BDHV12</stp>
        <stp>CL1 Comdty</stp>
        <stp>30DAY_IMPVOL_95.0%MNY_DF</stp>
        <stp>27/01/2016</stp>
        <stp>27/01/2016</stp>
        <stp>[Bbg_Market_Data_CL.xlsm]data!R300C21</stp>
        <tr r="U300" s="1"/>
      </tp>
      <tp t="s">
        <v>#N/A Requesting Data...</v>
        <stp/>
        <stp>##V3_BDHV12</stp>
        <stp>CL1 Comdty</stp>
        <stp>30DAY_IMPVOL_90.0%MNY_DF</stp>
        <stp>23/05/2016</stp>
        <stp>23/05/2016</stp>
        <stp>[Bbg_Market_Data_CL.xlsm]data!R220C23</stp>
        <tr r="W220" s="1"/>
      </tp>
      <tp t="s">
        <v>#N/A Requesting Data...</v>
        <stp/>
        <stp>##V3_BDHV12</stp>
        <stp>CL1 Comdty</stp>
        <stp>30DAY_IMPVOL_90.0%MNY_DF</stp>
        <stp>13/06/2016</stp>
        <stp>13/06/2016</stp>
        <stp>[Bbg_Market_Data_CL.xlsm]data!R206C23</stp>
        <tr r="W206" s="1"/>
      </tp>
      <tp t="s">
        <v>#N/A Requesting Data...</v>
        <stp/>
        <stp>##V3_BDHV12</stp>
        <stp>CL1 Comdty</stp>
        <stp>30DAY_IMPVOL_95.0%MNY_DF</stp>
        <stp>14/12/2015</stp>
        <stp>14/12/2015</stp>
        <stp>[Bbg_Market_Data_CL.xlsm]data!R329C21</stp>
        <tr r="U329" s="1"/>
      </tp>
      <tp t="s">
        <v>#N/A Requesting Data...</v>
        <stp/>
        <stp>##V3_BDHV12</stp>
        <stp>SPGSCLP Index</stp>
        <stp>CHG_PCT_1D</stp>
        <stp>05/05/2015</stp>
        <stp>05/05/2015</stp>
        <stp>[Bbg_Market_Data_CL.xlsm]data!R483C3</stp>
        <tr r="C483" s="1"/>
      </tp>
      <tp t="s">
        <v>#N/A Requesting Data...</v>
        <stp/>
        <stp>##V3_BDHV12</stp>
        <stp>SPGSCLP Index</stp>
        <stp>CHG_PCT_1D</stp>
        <stp>22/10/2015</stp>
        <stp>22/10/2015</stp>
        <stp>[Bbg_Market_Data_CL.xlsm]data!R365C3</stp>
        <tr r="C365" s="1"/>
      </tp>
      <tp t="s">
        <v>#N/A Requesting Data...</v>
        <stp/>
        <stp>##V3_BDHV12</stp>
        <stp>SPGSCLP Index</stp>
        <stp>CHG_PCT_1D</stp>
        <stp>23/11/2015</stp>
        <stp>23/11/2015</stp>
        <stp>[Bbg_Market_Data_CL.xlsm]data!R344C3</stp>
        <tr r="C344" s="1"/>
      </tp>
      <tp t="s">
        <v>#N/A Requesting Data...</v>
        <stp/>
        <stp>##V3_BDHV12</stp>
        <stp>SPGSCLP Index</stp>
        <stp>CHG_PCT_5D</stp>
        <stp>23/11/2015</stp>
        <stp>23/11/2015</stp>
        <stp>[Bbg_Market_Data_CL.xlsm]data!R344C4</stp>
        <tr r="D344" s="1"/>
      </tp>
      <tp t="s">
        <v>#N/A Requesting Data...</v>
        <stp/>
        <stp>##V3_BDHV12</stp>
        <stp>SPGSCLP Index</stp>
        <stp>CHG_PCT_5D</stp>
        <stp>05/05/2015</stp>
        <stp>05/05/2015</stp>
        <stp>[Bbg_Market_Data_CL.xlsm]data!R483C4</stp>
        <tr r="D483" s="1"/>
      </tp>
      <tp t="s">
        <v>#N/A Requesting Data...</v>
        <stp/>
        <stp>##V3_BDHV12</stp>
        <stp>SPGSCLP Index</stp>
        <stp>CHG_PCT_5D</stp>
        <stp>22/10/2015</stp>
        <stp>22/10/2015</stp>
        <stp>[Bbg_Market_Data_CL.xlsm]data!R365C4</stp>
        <tr r="D365" s="1"/>
      </tp>
      <tp t="s">
        <v>#N/A Requesting Data...</v>
        <stp/>
        <stp>##V3_BDHV12</stp>
        <stp>CL1 Comdty</stp>
        <stp>30DAY_IMPVOL_90.0%MNY_DF</stp>
        <stp>01/06/2015</stp>
        <stp>01/06/2015</stp>
        <stp>[Bbg_Market_Data_CL.xlsm]data!R464C23</stp>
        <tr r="W464" s="1"/>
      </tp>
      <tp t="s">
        <v>#N/A Requesting Data...</v>
        <stp/>
        <stp>##V3_BDHV12</stp>
        <stp>CL1 Comdty</stp>
        <stp>30DAY_IMPVOL_95.0%MNY_DF</stp>
        <stp>11/04/2016</stp>
        <stp>11/04/2016</stp>
        <stp>[Bbg_Market_Data_CL.xlsm]data!R250C21</stp>
        <tr r="U250" s="1"/>
      </tp>
      <tp t="s">
        <v>#N/A Requesting Data...</v>
        <stp/>
        <stp>##V3_BDHV12</stp>
        <stp>CL1 Comdty</stp>
        <stp>30DAY_IMPVOL_90.0%MNY_DF</stp>
        <stp>16/10/2015</stp>
        <stp>16/10/2015</stp>
        <stp>[Bbg_Market_Data_CL.xlsm]data!R368C23</stp>
        <tr r="W368" s="1"/>
      </tp>
      <tp t="s">
        <v>#N/A Requesting Data...</v>
        <stp/>
        <stp>##V3_BDHV12</stp>
        <stp>CL1 Comdty</stp>
        <stp>30DAY_IMPVOL_90.0%MNY_DF</stp>
        <stp>06/11/2015</stp>
        <stp>06/11/2015</stp>
        <stp>[Bbg_Market_Data_CL.xlsm]data!R353C23</stp>
        <tr r="W353" s="1"/>
      </tp>
      <tp t="s">
        <v>#N/A Requesting Data...</v>
        <stp/>
        <stp>##V3_BDHV12</stp>
        <stp>CL1 Comdty</stp>
        <stp>30DAY_IMPVOL_90.0%MNY_DF</stp>
        <stp>05/01/2016</stp>
        <stp>05/01/2016</stp>
        <stp>[Bbg_Market_Data_CL.xlsm]data!R315C23</stp>
        <tr r="W315" s="1"/>
      </tp>
      <tp t="s">
        <v>#N/A Requesting Data...</v>
        <stp/>
        <stp>##V3_BDHV12</stp>
        <stp>CL1 Comdty</stp>
        <stp>30DAY_IMPVOL_95.0%MNY_DF</stp>
        <stp>12/07/2016</stp>
        <stp>12/07/2016</stp>
        <stp>[Bbg_Market_Data_CL.xlsm]data!R186C21</stp>
        <tr r="U186" s="1"/>
      </tp>
      <tp t="s">
        <v>#N/A Requesting Data...</v>
        <stp/>
        <stp>##V3_BDHV12</stp>
        <stp>CL1 Comdty</stp>
        <stp>30DAY_IMPVOL_90.0%MNY_DF</stp>
        <stp>24/02/2016</stp>
        <stp>24/02/2016</stp>
        <stp>[Bbg_Market_Data_CL.xlsm]data!R282C23</stp>
        <tr r="W282" s="1"/>
      </tp>
      <tp t="s">
        <v>#N/A Requesting Data...</v>
        <stp/>
        <stp>##V3_BDHV12</stp>
        <stp>CL1 Comdty</stp>
        <stp>30DAY_IMPVOL_90.0%MNY_DF</stp>
        <stp>21/04/2015</stp>
        <stp>21/04/2015</stp>
        <stp>[Bbg_Market_Data_CL.xlsm]data!R492C23</stp>
        <tr r="W492" s="1"/>
      </tp>
      <tp t="s">
        <v>#N/A Requesting Data...</v>
        <stp/>
        <stp>##V3_BDHV12</stp>
        <stp>SPGSCLP Index</stp>
        <stp>CHG_PCT_5D</stp>
        <stp>07/03/2016</stp>
        <stp>07/03/2016</stp>
        <stp>[Bbg_Market_Data_CL.xlsm]data!R275C4</stp>
        <tr r="D275" s="1"/>
      </tp>
      <tp t="s">
        <v>#N/A Requesting Data...</v>
        <stp/>
        <stp>##V3_BDHV12</stp>
        <stp>SPGSCLP Index</stp>
        <stp>CHG_PCT_1D</stp>
        <stp>07/03/2016</stp>
        <stp>07/03/2016</stp>
        <stp>[Bbg_Market_Data_CL.xlsm]data!R275C3</stp>
        <tr r="C275" s="1"/>
      </tp>
      <tp t="s">
        <v>#N/A Requesting Data...</v>
        <stp/>
        <stp>##V3_BDHV12</stp>
        <stp>SPGSCLP Index</stp>
        <stp>CHG_PCT_5D</stp>
        <stp>23/05/2016</stp>
        <stp>23/05/2016</stp>
        <stp>[Bbg_Market_Data_CL.xlsm]data!R221C4</stp>
        <tr r="D221" s="1"/>
      </tp>
      <tp t="s">
        <v>#N/A Requesting Data...</v>
        <stp/>
        <stp>##V3_BDHV12</stp>
        <stp>SPGSCLP Index</stp>
        <stp>CHG_PCT_1D</stp>
        <stp>20/06/2016</stp>
        <stp>20/06/2016</stp>
        <stp>[Bbg_Market_Data_CL.xlsm]data!R202C3</stp>
        <tr r="C202" s="1"/>
      </tp>
      <tp t="s">
        <v>#N/A Requesting Data...</v>
        <stp/>
        <stp>##V3_BDHV12</stp>
        <stp>SPGSCLP Index</stp>
        <stp>CHG_PCT_1D</stp>
        <stp>23/05/2016</stp>
        <stp>23/05/2016</stp>
        <stp>[Bbg_Market_Data_CL.xlsm]data!R221C3</stp>
        <tr r="C221" s="1"/>
      </tp>
      <tp t="s">
        <v>#N/A Requesting Data...</v>
        <stp/>
        <stp>##V3_BDHV12</stp>
        <stp>SPGSCLP Index</stp>
        <stp>CHG_PCT_5D</stp>
        <stp>20/06/2016</stp>
        <stp>20/06/2016</stp>
        <stp>[Bbg_Market_Data_CL.xlsm]data!R202C4</stp>
        <tr r="D202" s="1"/>
      </tp>
      <tp t="s">
        <v>#N/A Requesting Data...</v>
        <stp/>
        <stp>##V3_BDHV12</stp>
        <stp>CL1 Comdty</stp>
        <stp>30DAY_IMPVOL_90.0%MNY_DF</stp>
        <stp>07/10/2015</stp>
        <stp>07/10/2015</stp>
        <stp>[Bbg_Market_Data_CL.xlsm]data!R374C23</stp>
        <tr r="W374" s="1"/>
      </tp>
      <tp t="s">
        <v>#N/A Requesting Data...</v>
        <stp/>
        <stp>##V3_BDHV12</stp>
        <stp>CL1 Comdty</stp>
        <stp>30DAY_IMPVOL_90.0%MNY_DF</stp>
        <stp>20/05/2015</stp>
        <stp>20/05/2015</stp>
        <stp>[Bbg_Market_Data_CL.xlsm]data!R471C23</stp>
        <tr r="W471" s="1"/>
      </tp>
      <tp t="s">
        <v>#N/A Requesting Data...</v>
        <stp/>
        <stp>##V3_BDHV12</stp>
        <stp>CL1 Comdty</stp>
        <stp>30DAY_IMPVOL_90.0%MNY_DF</stp>
        <stp>10/06/2015</stp>
        <stp>10/06/2015</stp>
        <stp>[Bbg_Market_Data_CL.xlsm]data!R457C23</stp>
        <tr r="W457" s="1"/>
      </tp>
      <tp t="s">
        <v>#N/A Requesting Data...</v>
        <stp/>
        <stp>##V3_BDHV12</stp>
        <stp>CL1 Comdty</stp>
        <stp>30DAY_IMPVOL_90.0%MNY_DF</stp>
        <stp>17/11/2015</stp>
        <stp>17/11/2015</stp>
        <stp>[Bbg_Market_Data_CL.xlsm]data!R347C23</stp>
        <tr r="W347" s="1"/>
      </tp>
      <tp t="s">
        <v>#N/A Requesting Data...</v>
        <stp/>
        <stp>##V3_BDHV12</stp>
        <stp>CL1 Comdty</stp>
        <stp>30DAY_IMPVOL_95.0%MNY_DF</stp>
        <stp>20/06/2016</stp>
        <stp>20/06/2016</stp>
        <stp>[Bbg_Market_Data_CL.xlsm]data!R201C21</stp>
        <tr r="U201" s="1"/>
      </tp>
      <tp t="s">
        <v>#N/A Requesting Data...</v>
        <stp/>
        <stp>##V3_BDHV12</stp>
        <stp>CL1 Comdty</stp>
        <stp>30DAY_IMPVOL_90.0%MNY_DF</stp>
        <stp>26/10/2016</stp>
        <stp>26/10/2016</stp>
        <stp>[Bbg_Market_Data_CL.xlsm]data!R113C23</stp>
        <tr r="W113" s="1"/>
      </tp>
      <tp t="s">
        <v>#N/A Requesting Data...</v>
        <stp/>
        <stp>##V3_BDHV12</stp>
        <stp>CL1 Comdty</stp>
        <stp>30DAY_IMPVOL_90.0%MNY_DF</stp>
        <stp>14/01/2016</stp>
        <stp>14/01/2016</stp>
        <stp>[Bbg_Market_Data_CL.xlsm]data!R308C23</stp>
        <tr r="W308" s="1"/>
      </tp>
      <tp t="s">
        <v>#N/A Requesting Data...</v>
        <stp/>
        <stp>##V3_BDHV12</stp>
        <stp>CL1 Comdty</stp>
        <stp>30DAY_IMPVOL_95.0%MNY_DF</stp>
        <stp>10/05/2016</stp>
        <stp>10/05/2016</stp>
        <stp>[Bbg_Market_Data_CL.xlsm]data!R229C21</stp>
        <tr r="U229" s="1"/>
      </tp>
      <tp t="s">
        <v>#N/A Requesting Data...</v>
        <stp/>
        <stp>##V3_BDHV12</stp>
        <stp>CL1 Comdty</stp>
        <stp>30DAY_IMPVOL_90.0%MNY_DF</stp>
        <stp>30/04/2015</stp>
        <stp>30/04/2015</stp>
        <stp>[Bbg_Market_Data_CL.xlsm]data!R485C23</stp>
        <tr r="W485" s="1"/>
      </tp>
      <tp t="s">
        <v>#N/A Requesting Data...</v>
        <stp/>
        <stp>##V3_BDHV12</stp>
        <stp>SPGSCLP Index</stp>
        <stp>CHG_PCT_1D</stp>
        <stp>21/05/2015</stp>
        <stp>21/05/2015</stp>
        <stp>[Bbg_Market_Data_CL.xlsm]data!R471C3</stp>
        <tr r="C471" s="1"/>
      </tp>
      <tp t="s">
        <v>#N/A Requesting Data...</v>
        <stp/>
        <stp>##V3_BDHV12</stp>
        <stp>SPGSCLP Index</stp>
        <stp>CHG_PCT_1D</stp>
        <stp>04/01/2016</stp>
        <stp>04/01/2016</stp>
        <stp>[Bbg_Market_Data_CL.xlsm]data!R317C3</stp>
        <tr r="C317" s="1"/>
      </tp>
      <tp t="s">
        <v>#N/A Requesting Data...</v>
        <stp/>
        <stp>##V3_BDHV12</stp>
        <stp>SPGSCLP Index</stp>
        <stp>CHG_PCT_5D</stp>
        <stp>04/01/2016</stp>
        <stp>04/01/2016</stp>
        <stp>[Bbg_Market_Data_CL.xlsm]data!R317C4</stp>
        <tr r="D317" s="1"/>
      </tp>
      <tp t="s">
        <v>#N/A Requesting Data...</v>
        <stp/>
        <stp>##V3_BDHV12</stp>
        <stp>SPGSCLP Index</stp>
        <stp>CHG_PCT_5D</stp>
        <stp>21/05/2015</stp>
        <stp>21/05/2015</stp>
        <stp>[Bbg_Market_Data_CL.xlsm]data!R471C4</stp>
        <tr r="D471" s="1"/>
      </tp>
      <tp t="s">
        <v>#N/A Requesting Data...</v>
        <stp/>
        <stp>##V3_BDHV12</stp>
        <stp>CL1 Comdty</stp>
        <stp>30DAY_IMPVOL_90.0%MNY_DF</stp>
        <stp>16/03/2016</stp>
        <stp>16/03/2016</stp>
        <stp>[Bbg_Market_Data_CL.xlsm]data!R267C23</stp>
        <tr r="W267" s="1"/>
      </tp>
      <tp t="s">
        <v>#N/A Requesting Data...</v>
        <stp/>
        <stp>##V3_BDHV12</stp>
        <stp>CL1 Comdty</stp>
        <stp>30DAY_IMPVOL_90.0%MNY_DF</stp>
        <stp>13/05/2015</stp>
        <stp>13/05/2015</stp>
        <stp>[Bbg_Market_Data_CL.xlsm]data!R476C23</stp>
        <tr r="W476" s="1"/>
      </tp>
      <tp t="s">
        <v>#N/A Requesting Data...</v>
        <stp/>
        <stp>##V3_BDHV12</stp>
        <stp>CL1 Comdty</stp>
        <stp>30DAY_IMPVOL_90.0%MNY_DF</stp>
        <stp>23/06/2015</stp>
        <stp>23/06/2015</stp>
        <stp>[Bbg_Market_Data_CL.xlsm]data!R448C23</stp>
        <tr r="W448" s="1"/>
      </tp>
      <tp t="s">
        <v>#N/A Requesting Data...</v>
        <stp/>
        <stp>##V3_BDHV12</stp>
        <stp>CL1 Comdty</stp>
        <stp>30DAY_IMPVOL_90.0%MNY_DF</stp>
        <stp>24/11/2015</stp>
        <stp>24/11/2015</stp>
        <stp>[Bbg_Market_Data_CL.xlsm]data!R342C23</stp>
        <tr r="W342" s="1"/>
      </tp>
      <tp t="s">
        <v>#N/A Requesting Data...</v>
        <stp/>
        <stp>##V3_BDHV12</stp>
        <stp>CL1 Comdty</stp>
        <stp>30DAY_IMPVOL_95.0%MNY_DF</stp>
        <stp>13/06/2016</stp>
        <stp>13/06/2016</stp>
        <stp>[Bbg_Market_Data_CL.xlsm]data!R206C21</stp>
        <tr r="U206" s="1"/>
      </tp>
      <tp t="s">
        <v>#N/A Requesting Data...</v>
        <stp/>
        <stp>##V3_BDHV12</stp>
        <stp>CL1 Comdty</stp>
        <stp>30DAY_IMPVOL_90.0%MNY_DF</stp>
        <stp>14/12/2015</stp>
        <stp>14/12/2015</stp>
        <stp>[Bbg_Market_Data_CL.xlsm]data!R329C23</stp>
        <tr r="W329" s="1"/>
      </tp>
      <tp t="s">
        <v>#N/A Requesting Data...</v>
        <stp/>
        <stp>##V3_BDHV12</stp>
        <stp>CL1 Comdty</stp>
        <stp>30DAY_IMPVOL_90.0%MNY_DF</stp>
        <stp>27/01/2016</stp>
        <stp>27/01/2016</stp>
        <stp>[Bbg_Market_Data_CL.xlsm]data!R300C23</stp>
        <tr r="W300" s="1"/>
      </tp>
      <tp t="s">
        <v>#N/A Requesting Data...</v>
        <stp/>
        <stp>##V3_BDHV12</stp>
        <stp>CL1 Comdty</stp>
        <stp>30DAY_IMPVOL_95.0%MNY_DF</stp>
        <stp>23/05/2016</stp>
        <stp>23/05/2016</stp>
        <stp>[Bbg_Market_Data_CL.xlsm]data!R220C21</stp>
        <tr r="U220" s="1"/>
      </tp>
      <tp t="s">
        <v>#N/A Requesting Data...</v>
        <stp/>
        <stp>##V3_BDHV12</stp>
        <stp>SPGSCLP Index</stp>
        <stp>CHG_PCT_1D</stp>
        <stp>31/07/2015</stp>
        <stp>31/07/2015</stp>
        <stp>[Bbg_Market_Data_CL.xlsm]data!R422C3</stp>
        <tr r="C422" s="1"/>
      </tp>
      <tp t="s">
        <v>#N/A Requesting Data...</v>
        <stp/>
        <stp>##V3_BDHV12</stp>
        <stp>SPGSCLP Index</stp>
        <stp>CHG_PCT_1D</stp>
        <stp>07/11/2016</stp>
        <stp>07/11/2016</stp>
        <stp>[Bbg_Market_Data_CL.xlsm]data!R106C3</stp>
        <tr r="C106" s="1"/>
      </tp>
      <tp t="s">
        <v>#N/A Requesting Data...</v>
        <stp/>
        <stp>##V3_BDHV12</stp>
        <stp>SPGSCLP Index</stp>
        <stp>CHG_PCT_5D</stp>
        <stp>05/10/2015</stp>
        <stp>05/10/2015</stp>
        <stp>[Bbg_Market_Data_CL.xlsm]data!R377C4</stp>
        <tr r="D377" s="1"/>
      </tp>
      <tp t="s">
        <v>#N/A Requesting Data...</v>
        <stp/>
        <stp>##V3_BDHV12</stp>
        <stp>SPGSCLP Index</stp>
        <stp>CHG_PCT_1D</stp>
        <stp>06/10/2016</stp>
        <stp>06/10/2016</stp>
        <stp>[Bbg_Market_Data_CL.xlsm]data!R127C3</stp>
        <tr r="C127" s="1"/>
      </tp>
      <tp t="s">
        <v>#N/A Requesting Data...</v>
        <stp/>
        <stp>##V3_BDHV12</stp>
        <stp>SPGSCLP Index</stp>
        <stp>CHG_PCT_1D</stp>
        <stp>07/12/2015</stp>
        <stp>07/12/2015</stp>
        <stp>[Bbg_Market_Data_CL.xlsm]data!R335C3</stp>
        <tr r="C335" s="1"/>
      </tp>
      <tp t="s">
        <v>#N/A Requesting Data...</v>
        <stp/>
        <stp>##V3_BDHV12</stp>
        <stp>SPGSCLP Index</stp>
        <stp>CHG_PCT_5D</stp>
        <stp>04/11/2015</stp>
        <stp>04/11/2015</stp>
        <stp>[Bbg_Market_Data_CL.xlsm]data!R356C4</stp>
        <tr r="D356" s="1"/>
      </tp>
      <tp t="s">
        <v>#N/A Requesting Data...</v>
        <stp/>
        <stp>##V3_BDHV12</stp>
        <stp>SPGSCLP Index</stp>
        <stp>CHG_PCT_5D</stp>
        <stp>06/10/2016</stp>
        <stp>06/10/2016</stp>
        <stp>[Bbg_Market_Data_CL.xlsm]data!R127C4</stp>
        <tr r="D127" s="1"/>
      </tp>
      <tp t="s">
        <v>#N/A Requesting Data...</v>
        <stp/>
        <stp>##V3_BDHV12</stp>
        <stp>SPGSCLP Index</stp>
        <stp>CHG_PCT_5D</stp>
        <stp>07/12/2015</stp>
        <stp>07/12/2015</stp>
        <stp>[Bbg_Market_Data_CL.xlsm]data!R335C4</stp>
        <tr r="D335" s="1"/>
      </tp>
      <tp t="s">
        <v>#N/A Requesting Data...</v>
        <stp/>
        <stp>##V3_BDHV12</stp>
        <stp>SPGSCLP Index</stp>
        <stp>CHG_PCT_1D</stp>
        <stp>04/11/2015</stp>
        <stp>04/11/2015</stp>
        <stp>[Bbg_Market_Data_CL.xlsm]data!R356C3</stp>
        <tr r="C356" s="1"/>
      </tp>
      <tp t="s">
        <v>#N/A Requesting Data...</v>
        <stp/>
        <stp>##V3_BDHV12</stp>
        <stp>SPGSCLP Index</stp>
        <stp>CHG_PCT_5D</stp>
        <stp>31/07/2015</stp>
        <stp>31/07/2015</stp>
        <stp>[Bbg_Market_Data_CL.xlsm]data!R422C4</stp>
        <tr r="D422" s="1"/>
      </tp>
      <tp t="s">
        <v>#N/A Requesting Data...</v>
        <stp/>
        <stp>##V3_BDHV12</stp>
        <stp>SPGSCLP Index</stp>
        <stp>CHG_PCT_5D</stp>
        <stp>07/11/2016</stp>
        <stp>07/11/2016</stp>
        <stp>[Bbg_Market_Data_CL.xlsm]data!R106C4</stp>
        <tr r="D106" s="1"/>
      </tp>
      <tp t="s">
        <v>#N/A Requesting Data...</v>
        <stp/>
        <stp>##V3_BDHV12</stp>
        <stp>SPGSCLP Index</stp>
        <stp>CHG_PCT_1D</stp>
        <stp>05/10/2015</stp>
        <stp>05/10/2015</stp>
        <stp>[Bbg_Market_Data_CL.xlsm]data!R377C3</stp>
        <tr r="C377" s="1"/>
      </tp>
      <tp t="s">
        <v>#N/A Requesting Data...</v>
        <stp/>
        <stp>##V3_BDHV12</stp>
        <stp>CL1 Comdty</stp>
        <stp>30DAY_IMPVOL_95.0%MNY_DF</stp>
        <stp>22/04/2016</stp>
        <stp>22/04/2016</stp>
        <stp>[Bbg_Market_Data_CL.xlsm]data!R241C21</stp>
        <tr r="U241" s="1"/>
      </tp>
      <tp t="s">
        <v>#N/A Requesting Data...</v>
        <stp/>
        <stp>##V3_BDHV12</stp>
        <stp>CL1 Comdty</stp>
        <stp>30DAY_IMPVOL_90.0%MNY_DF</stp>
        <stp>07/03/2016</stp>
        <stp>07/03/2016</stp>
        <stp>[Bbg_Market_Data_CL.xlsm]data!R274C23</stp>
        <tr r="W274" s="1"/>
      </tp>
      <tp t="s">
        <v>#N/A Requesting Data...</v>
        <stp/>
        <stp>##V3_BDHV12</stp>
        <stp>CL1 Comdty</stp>
        <stp>30DAY_IMPVOL_95.0%MNY_DF</stp>
        <stp>21/07/2016</stp>
        <stp>21/07/2016</stp>
        <stp>[Bbg_Market_Data_CL.xlsm]data!R179C21</stp>
        <tr r="U179" s="1"/>
      </tp>
      <tp t="s">
        <v>#N/A Requesting Data...</v>
        <stp/>
        <stp>##V3_BDHV12</stp>
        <stp>CL1 Comdty</stp>
        <stp>30DAY_IMPVOL_90.0%MNY_DF</stp>
        <stp>22/07/2015</stp>
        <stp>22/07/2015</stp>
        <stp>[Bbg_Market_Data_CL.xlsm]data!R428C23</stp>
        <tr r="W428" s="1"/>
      </tp>
      <tp t="s">
        <v>#N/A Requesting Data...</v>
        <stp/>
        <stp>##V3_BDHV12</stp>
        <stp>CL1 Comdty</stp>
        <stp>30DAY_IMPVOL_95.0%MNY_DF</stp>
        <stp>02/06/2016</stp>
        <stp>02/06/2016</stp>
        <stp>[Bbg_Market_Data_CL.xlsm]data!R213C21</stp>
        <tr r="U213" s="1"/>
      </tp>
      <tp t="s">
        <v>#N/A Requesting Data...</v>
        <stp/>
        <stp>##V3_BDHV12</stp>
        <stp>CL1 Comdty</stp>
        <stp>30DAY_IMPVOL_90.0%MNY_DF</stp>
        <stp>04/10/2016</stp>
        <stp>04/10/2016</stp>
        <stp>[Bbg_Market_Data_CL.xlsm]data!R128C23</stp>
        <tr r="W128" s="1"/>
      </tp>
      <tp t="s">
        <v>#N/A Requesting Data...</v>
        <stp/>
        <stp>##V3_BDHV12</stp>
        <stp>CL1 Comdty</stp>
        <stp>30DAY_IMPVOL_90.0%MNY_DF</stp>
        <stp>14/11/2016</stp>
        <stp>14/11/2016</stp>
        <stp>[Bbg_Market_Data_CL.xlsm]data!R101C23</stp>
        <tr r="W101" s="1"/>
      </tp>
      <tp t="s">
        <v>#N/A Requesting Data...</v>
        <stp/>
        <stp>##V3_BDHV12</stp>
        <stp>CL1 Comdty</stp>
        <stp>30DAY_IMPVOL_90.0%MNY_DF</stp>
        <stp>17/02/2016</stp>
        <stp>17/02/2016</stp>
        <stp>[Bbg_Market_Data_CL.xlsm]data!R287C23</stp>
        <tr r="W287" s="1"/>
      </tp>
      <tp t="s">
        <v>#N/A Requesting Data...</v>
        <stp/>
        <stp>##V3_BDHV12</stp>
        <stp>SPGSCLP Index</stp>
        <stp>CHG_PCT_1D</stp>
        <stp>05/02/2016</stp>
        <stp>05/02/2016</stp>
        <stp>[Bbg_Market_Data_CL.xlsm]data!R294C3</stp>
        <tr r="C294" s="1"/>
      </tp>
      <tp t="s">
        <v>#N/A Requesting Data...</v>
        <stp/>
        <stp>##V3_BDHV12</stp>
        <stp>SPGSCLP Index</stp>
        <stp>CHG_PCT_5D</stp>
        <stp>25/10/2016</stp>
        <stp>25/10/2016</stp>
        <stp>[Bbg_Market_Data_CL.xlsm]data!R115C4</stp>
        <tr r="D115" s="1"/>
      </tp>
      <tp t="s">
        <v>#N/A Requesting Data...</v>
        <stp/>
        <stp>##V3_BDHV12</stp>
        <stp>SPGSCLP Index</stp>
        <stp>CHG_PCT_5D</stp>
        <stp>05/02/2016</stp>
        <stp>05/02/2016</stp>
        <stp>[Bbg_Market_Data_CL.xlsm]data!R294C4</stp>
        <tr r="D294" s="1"/>
      </tp>
      <tp t="s">
        <v>#N/A Requesting Data...</v>
        <stp/>
        <stp>##V3_BDHV12</stp>
        <stp>SPGSCLP Index</stp>
        <stp>CHG_PCT_1D</stp>
        <stp>25/10/2016</stp>
        <stp>25/10/2016</stp>
        <stp>[Bbg_Market_Data_CL.xlsm]data!R115C3</stp>
        <tr r="C115" s="1"/>
      </tp>
      <tp t="s">
        <v>#N/A Requesting Data...</v>
        <stp/>
        <stp>##V3_BDHV12</stp>
        <stp>SPGSCLP Index</stp>
        <stp>CHG_PCT_5D</stp>
        <stp>18/11/2015</stp>
        <stp>18/11/2015</stp>
        <stp>[Bbg_Market_Data_CL.xlsm]data!R347C4</stp>
        <tr r="D347" s="1"/>
      </tp>
      <tp t="s">
        <v>#N/A Requesting Data...</v>
        <stp/>
        <stp>##V3_BDHV12</stp>
        <stp>SPGSCLP Index</stp>
        <stp>CHG_PCT_1D</stp>
        <stp>18/11/2015</stp>
        <stp>18/11/2015</stp>
        <stp>[Bbg_Market_Data_CL.xlsm]data!R347C3</stp>
        <tr r="C347" s="1"/>
      </tp>
      <tp t="s">
        <v>#N/A Requesting Data...</v>
        <stp/>
        <stp>##V3_BDHV12</stp>
        <stp>SPGSCLP Index</stp>
        <stp>CHG_PCT_1D</stp>
        <stp>08/04/2016</stp>
        <stp>08/04/2016</stp>
        <stp>[Bbg_Market_Data_CL.xlsm]data!R252C3</stp>
        <tr r="C252" s="1"/>
      </tp>
      <tp t="s">
        <v>#N/A Requesting Data...</v>
        <stp/>
        <stp>##V3_BDHV12</stp>
        <stp>SPGSCLP Index</stp>
        <stp>CHG_PCT_5D</stp>
        <stp>08/04/2016</stp>
        <stp>08/04/2016</stp>
        <stp>[Bbg_Market_Data_CL.xlsm]data!R252C4</stp>
        <tr r="D252" s="1"/>
      </tp>
      <tp t="s">
        <v>#N/A Requesting Data...</v>
        <stp/>
        <stp>##V3_BDHV12</stp>
        <stp>SPGSCLP Index</stp>
        <stp>CHG_PCT_1D</stp>
        <stp>19/06/2015</stp>
        <stp>19/06/2015</stp>
        <stp>[Bbg_Market_Data_CL.xlsm]data!R451C3</stp>
        <tr r="C451" s="1"/>
      </tp>
      <tp t="s">
        <v>#N/A Requesting Data...</v>
        <stp/>
        <stp>##V3_BDHV12</stp>
        <stp>SPGSCLP Index</stp>
        <stp>CHG_PCT_1D</stp>
        <stp>08/06/2015</stp>
        <stp>08/06/2015</stp>
        <stp>[Bbg_Market_Data_CL.xlsm]data!R460C3</stp>
        <tr r="C460" s="1"/>
      </tp>
      <tp t="s">
        <v>#N/A Requesting Data...</v>
        <stp/>
        <stp>##V3_BDHV12</stp>
        <stp>SPGSCLP Index</stp>
        <stp>CHG_PCT_5D</stp>
        <stp>08/06/2015</stp>
        <stp>08/06/2015</stp>
        <stp>[Bbg_Market_Data_CL.xlsm]data!R460C4</stp>
        <tr r="D460" s="1"/>
      </tp>
      <tp t="s">
        <v>#N/A Requesting Data...</v>
        <stp/>
        <stp>##V3_BDHV12</stp>
        <stp>SPGSCLP Index</stp>
        <stp>CHG_PCT_5D</stp>
        <stp>19/06/2015</stp>
        <stp>19/06/2015</stp>
        <stp>[Bbg_Market_Data_CL.xlsm]data!R451C4</stp>
        <tr r="D451" s="1"/>
      </tp>
      <tp t="s">
        <v>#N/A Requesting Data...</v>
        <stp/>
        <stp>##V3_BDHV12</stp>
        <stp>SPGSCLP Index</stp>
        <stp>CHG_PCT_1D</stp>
        <stp>08/06/2016</stp>
        <stp>08/06/2016</stp>
        <stp>[Bbg_Market_Data_CL.xlsm]data!R210C3</stp>
        <tr r="C210" s="1"/>
      </tp>
      <tp t="s">
        <v>#N/A Requesting Data...</v>
        <stp/>
        <stp>##V3_BDHV12</stp>
        <stp>SPGSCLP Index</stp>
        <stp>CHG_PCT_5D</stp>
        <stp>08/06/2016</stp>
        <stp>08/06/2016</stp>
        <stp>[Bbg_Market_Data_CL.xlsm]data!R210C4</stp>
        <tr r="D210" s="1"/>
      </tp>
      <tp t="s">
        <v>#N/A Requesting Data...</v>
        <stp/>
        <stp>##V3_BDHV12</stp>
        <stp>CL1 Comdty</stp>
        <stp>30DAY_IMPVOL_95.0%MNY_DF</stp>
        <stp>04/01/2016</stp>
        <stp>04/01/2016</stp>
        <stp>[Bbg_Market_Data_CL.xlsm]data!R316C21</stp>
        <tr r="U316" s="1"/>
      </tp>
      <tp t="s">
        <v>#N/A Requesting Data...</v>
        <stp/>
        <stp>##V3_BDHV12</stp>
        <stp>CL1 Comdty</stp>
        <stp>30DAY_IMPVOL_95.0%MNY_DF</stp>
        <stp>10/07/2015</stp>
        <stp>10/07/2015</stp>
        <stp>[Bbg_Market_Data_CL.xlsm]data!R436C21</stp>
        <tr r="U436" s="1"/>
      </tp>
      <tp t="s">
        <v>#N/A Requesting Data...</v>
        <stp/>
        <stp>##V3_BDHV12</stp>
        <stp>CL1 Comdty</stp>
        <stp>30DAY_IMPVOL_95.0%MNY_DF</stp>
        <stp>25/02/2016</stp>
        <stp>25/02/2016</stp>
        <stp>[Bbg_Market_Data_CL.xlsm]data!R281C21</stp>
        <tr r="U281" s="1"/>
      </tp>
      <tp t="s">
        <v>#N/A Requesting Data...</v>
        <stp/>
        <stp>##V3_BDHV12</stp>
        <stp>CL1 Comdty</stp>
        <stp>30DAY_IMPVOL_95.0%MNY_DF</stp>
        <stp>20/04/2015</stp>
        <stp>20/04/2015</stp>
        <stp>[Bbg_Market_Data_CL.xlsm]data!R493C21</stp>
        <tr r="U493" s="1"/>
      </tp>
      <tp t="s">
        <v>#N/A Requesting Data...</v>
        <stp/>
        <stp>##V3_BDHV12</stp>
        <stp>CL1 Comdty</stp>
        <stp>30DAY_IMPVOL_90.0%MNY_DF</stp>
        <stp>13/07/2016</stp>
        <stp>13/07/2016</stp>
        <stp>[Bbg_Market_Data_CL.xlsm]data!R185C23</stp>
        <tr r="W185" s="1"/>
      </tp>
      <tp t="s">
        <v>#N/A Requesting Data...</v>
        <stp/>
        <stp>##V3_BDHV12</stp>
        <stp>SPGSCLP Index</stp>
        <stp>CHG_PCT_1D</stp>
        <stp>07/07/2016</stp>
        <stp>07/07/2016</stp>
        <stp>[Bbg_Market_Data_CL.xlsm]data!R190C3</stp>
        <tr r="C190" s="1"/>
      </tp>
      <tp t="s">
        <v>#N/A Requesting Data...</v>
        <stp/>
        <stp>##V3_BDHV12</stp>
        <stp>SPGSCLP Index</stp>
        <stp>CHG_PCT_5D</stp>
        <stp>07/07/2016</stp>
        <stp>07/07/2016</stp>
        <stp>[Bbg_Market_Data_CL.xlsm]data!R190C4</stp>
        <tr r="D190" s="1"/>
      </tp>
      <tp t="s">
        <v>#N/A Requesting Data...</v>
        <stp/>
        <stp>##V3_BDHV12</stp>
        <stp>SPGSCLP Index</stp>
        <stp>CHG_PCT_5D</stp>
        <stp>06/05/2015</stp>
        <stp>06/05/2015</stp>
        <stp>[Bbg_Market_Data_CL.xlsm]data!R482C4</stp>
        <tr r="D482" s="1"/>
      </tp>
      <tp t="s">
        <v>#N/A Requesting Data...</v>
        <stp/>
        <stp>##V3_BDHV12</stp>
        <stp>SPGSCLP Index</stp>
        <stp>CHG_PCT_1D</stp>
        <stp>05/06/2015</stp>
        <stp>05/06/2015</stp>
        <stp>[Bbg_Market_Data_CL.xlsm]data!R461C3</stp>
        <tr r="C461" s="1"/>
      </tp>
      <tp t="s">
        <v>#N/A Requesting Data...</v>
        <stp/>
        <stp>##V3_BDHV12</stp>
        <stp>SPGSCLP Index</stp>
        <stp>CHG_PCT_5D</stp>
        <stp>20/11/2015</stp>
        <stp>20/11/2015</stp>
        <stp>[Bbg_Market_Data_CL.xlsm]data!R345C4</stp>
        <tr r="D345" s="1"/>
      </tp>
      <tp t="s">
        <v>#N/A Requesting Data...</v>
        <stp/>
        <stp>##V3_BDHV12</stp>
        <stp>SPGSCLP Index</stp>
        <stp>CHG_PCT_1D</stp>
        <stp>20/11/2015</stp>
        <stp>20/11/2015</stp>
        <stp>[Bbg_Market_Data_CL.xlsm]data!R345C3</stp>
        <tr r="C345" s="1"/>
      </tp>
      <tp t="s">
        <v>#N/A Requesting Data...</v>
        <stp/>
        <stp>##V3_BDHV12</stp>
        <stp>SPGSCLP Index</stp>
        <stp>CHG_PCT_1D</stp>
        <stp>06/05/2015</stp>
        <stp>06/05/2015</stp>
        <stp>[Bbg_Market_Data_CL.xlsm]data!R482C3</stp>
        <tr r="C482" s="1"/>
      </tp>
      <tp t="s">
        <v>#N/A Requesting Data...</v>
        <stp/>
        <stp>##V3_BDHV12</stp>
        <stp>SPGSCLP Index</stp>
        <stp>CHG_PCT_5D</stp>
        <stp>05/06/2015</stp>
        <stp>05/06/2015</stp>
        <stp>[Bbg_Market_Data_CL.xlsm]data!R461C4</stp>
        <tr r="D461" s="1"/>
      </tp>
      <tp t="s">
        <v>#N/A Requesting Data...</v>
        <stp/>
        <stp>##V3_BDHV12</stp>
        <stp>CL1 Comdty</stp>
        <stp>30DAY_IMPVOL_95.0%MNY_DF</stp>
        <stp>01/07/2015</stp>
        <stp>01/07/2015</stp>
        <stp>[Bbg_Market_Data_CL.xlsm]data!R442C21</stp>
        <tr r="U442" s="1"/>
      </tp>
      <tp t="s">
        <v>#N/A Requesting Data...</v>
        <stp/>
        <stp>##V3_BDHV12</stp>
        <stp>CL1 Comdty</stp>
        <stp>30DAY_IMPVOL_95.0%MNY_DF</stp>
        <stp>11/06/2015</stp>
        <stp>11/06/2015</stp>
        <stp>[Bbg_Market_Data_CL.xlsm]data!R456C21</stp>
        <tr r="U456" s="1"/>
      </tp>
      <tp t="s">
        <v>#N/A Requesting Data...</v>
        <stp/>
        <stp>##V3_BDHV12</stp>
        <stp>CL1 Comdty</stp>
        <stp>30DAY_IMPVOL_95.0%MNY_DF</stp>
        <stp>16/11/2015</stp>
        <stp>16/11/2015</stp>
        <stp>[Bbg_Market_Data_CL.xlsm]data!R348C21</stp>
        <tr r="U348" s="1"/>
      </tp>
      <tp t="s">
        <v>#N/A Requesting Data...</v>
        <stp/>
        <stp>##V3_BDHV12</stp>
        <stp>CL1 Comdty</stp>
        <stp>30DAY_IMPVOL_95.0%MNY_DF</stp>
        <stp>24/03/2016</stp>
        <stp>24/03/2016</stp>
        <stp>[Bbg_Market_Data_CL.xlsm]data!R261C21</stp>
        <tr r="U261" s="1"/>
      </tp>
      <tp t="s">
        <v>#N/A Requesting Data...</v>
        <stp/>
        <stp>##V3_BDHV12</stp>
        <stp>CL1 Comdty</stp>
        <stp>30DAY_IMPVOL_95.0%MNY_DF</stp>
        <stp>06/10/2015</stp>
        <stp>06/10/2015</stp>
        <stp>[Bbg_Market_Data_CL.xlsm]data!R375C21</stp>
        <tr r="U375" s="1"/>
      </tp>
      <tp t="s">
        <v>#N/A Requesting Data...</v>
        <stp/>
        <stp>##V3_BDHV12</stp>
        <stp>CL1 Comdty</stp>
        <stp>30DAY_IMPVOL_90.0%MNY_DF</stp>
        <stp>01/04/2016</stp>
        <stp>01/04/2016</stp>
        <stp>[Bbg_Market_Data_CL.xlsm]data!R256C23</stp>
        <tr r="W256" s="1"/>
      </tp>
      <tp t="s">
        <v>#N/A Requesting Data...</v>
        <stp/>
        <stp>##V3_BDHV12</stp>
        <stp>CL1 Comdty</stp>
        <stp>30DAY_IMPVOL_95.0%MNY_DF</stp>
        <stp>21/05/2015</stp>
        <stp>21/05/2015</stp>
        <stp>[Bbg_Market_Data_CL.xlsm]data!R470C21</stp>
        <tr r="U470" s="1"/>
      </tp>
      <tp t="s">
        <v>#N/A Requesting Data...</v>
        <stp/>
        <stp>##V3_BDHV12</stp>
        <stp>CL1 Comdty</stp>
        <stp>30DAY_IMPVOL_95.0%MNY_DF</stp>
        <stp>27/10/2016</stp>
        <stp>27/10/2016</stp>
        <stp>[Bbg_Market_Data_CL.xlsm]data!R112C21</stp>
        <tr r="U112" s="1"/>
      </tp>
      <tp t="s">
        <v>#N/A Requesting Data...</v>
        <stp/>
        <stp>##V3_BDHV12</stp>
        <stp>CL1 Comdty</stp>
        <stp>30DAY_IMPVOL_95.0%MNY_DF</stp>
        <stp>15/01/2016</stp>
        <stp>15/01/2016</stp>
        <stp>[Bbg_Market_Data_CL.xlsm]data!R307C21</stp>
        <tr r="U307" s="1"/>
      </tp>
      <tp t="s">
        <v>#N/A Requesting Data...</v>
        <stp/>
        <stp>##V3_BDHV12</stp>
        <stp>CL1 Comdty</stp>
        <stp>30DAY_IMPVOL_90.0%MNY_DF</stp>
        <stp>11/05/2016</stp>
        <stp>11/05/2016</stp>
        <stp>[Bbg_Market_Data_CL.xlsm]data!R228C23</stp>
        <tr r="W228" s="1"/>
      </tp>
      <tp t="s">
        <v>#N/A Requesting Data...</v>
        <stp/>
        <stp>##V3_BDHV12</stp>
        <stp>CL1 Comdty</stp>
        <stp>30DAY_IMPVOL_90.0%MNY_DF</stp>
        <stp>21/06/2016</stp>
        <stp>21/06/2016</stp>
        <stp>[Bbg_Market_Data_CL.xlsm]data!R200C23</stp>
        <tr r="W200" s="1"/>
      </tp>
      <tp t="s">
        <v>#N/A Requesting Data...</v>
        <stp/>
        <stp>##V3_BDHV12</stp>
        <stp>SPGSCLP Index</stp>
        <stp>CHG_PCT_5D</stp>
        <stp>07/06/2016</stp>
        <stp>07/06/2016</stp>
        <stp>[Bbg_Market_Data_CL.xlsm]data!R211C4</stp>
        <tr r="D211" s="1"/>
      </tp>
      <tp t="s">
        <v>#N/A Requesting Data...</v>
        <stp/>
        <stp>##V3_BDHV12</stp>
        <stp>SPGSCLP Index</stp>
        <stp>CHG_PCT_1D</stp>
        <stp>07/06/2016</stp>
        <stp>07/06/2016</stp>
        <stp>[Bbg_Market_Data_CL.xlsm]data!R211C3</stp>
        <tr r="C211" s="1"/>
      </tp>
      <tp t="s">
        <v>#N/A Requesting Data...</v>
        <stp/>
        <stp>##V3_BDHV12</stp>
        <stp>SPGSCLP Index</stp>
        <stp>CHG_PCT_5D</stp>
        <stp>22/01/2016</stp>
        <stp>22/01/2016</stp>
        <stp>[Bbg_Market_Data_CL.xlsm]data!R304C4</stp>
        <tr r="D304" s="1"/>
      </tp>
      <tp t="s">
        <v>#N/A Requesting Data...</v>
        <stp/>
        <stp>##V3_BDHV12</stp>
        <stp>SPGSCLP Index</stp>
        <stp>CHG_PCT_1D</stp>
        <stp>03/11/2015</stp>
        <stp>03/11/2015</stp>
        <stp>[Bbg_Market_Data_CL.xlsm]data!R357C3</stp>
        <tr r="C357" s="1"/>
      </tp>
      <tp t="s">
        <v>#N/A Requesting Data...</v>
        <stp/>
        <stp>##V3_BDHV12</stp>
        <stp>SPGSCLP Index</stp>
        <stp>CHG_PCT_5D</stp>
        <stp>03/11/2015</stp>
        <stp>03/11/2015</stp>
        <stp>[Bbg_Market_Data_CL.xlsm]data!R357C4</stp>
        <tr r="D357" s="1"/>
      </tp>
      <tp t="s">
        <v>#N/A Requesting Data...</v>
        <stp/>
        <stp>##V3_BDHV12</stp>
        <stp>SPGSCLP Index</stp>
        <stp>CHG_PCT_1D</stp>
        <stp>22/01/2016</stp>
        <stp>22/01/2016</stp>
        <stp>[Bbg_Market_Data_CL.xlsm]data!R304C3</stp>
        <tr r="C304" s="1"/>
      </tp>
      <tp t="s">
        <v>#N/A Requesting Data...</v>
        <stp/>
        <stp>##V3_BDHV12</stp>
        <stp>CL1 Comdty</stp>
        <stp>30DAY_IMPVOL_95.0%MNY_DF</stp>
        <stp>22/06/2015</stp>
        <stp>22/06/2015</stp>
        <stp>[Bbg_Market_Data_CL.xlsm]data!R449C21</stp>
        <tr r="U449" s="1"/>
      </tp>
      <tp t="s">
        <v>#N/A Requesting Data...</v>
        <stp/>
        <stp>##V3_BDHV12</stp>
        <stp>CL1 Comdty</stp>
        <stp>30DAY_IMPVOL_95.0%MNY_DF</stp>
        <stp>25/11/2015</stp>
        <stp>25/11/2015</stp>
        <stp>[Bbg_Market_Data_CL.xlsm]data!R341C21</stp>
        <tr r="U341" s="1"/>
      </tp>
      <tp t="s">
        <v>#N/A Requesting Data...</v>
        <stp/>
        <stp>##V3_BDHV12</stp>
        <stp>CL1 Comdty</stp>
        <stp>30DAY_IMPVOL_95.0%MNY_DF</stp>
        <stp>17/03/2016</stp>
        <stp>17/03/2016</stp>
        <stp>[Bbg_Market_Data_CL.xlsm]data!R266C21</stp>
        <tr r="U266" s="1"/>
      </tp>
      <tp t="s">
        <v>#N/A Requesting Data...</v>
        <stp/>
        <stp>##V3_BDHV12</stp>
        <stp>CL1 Comdty</stp>
        <stp>30DAY_IMPVOL_95.0%MNY_DF</stp>
        <stp>12/05/2015</stp>
        <stp>12/05/2015</stp>
        <stp>[Bbg_Market_Data_CL.xlsm]data!R477C21</stp>
        <tr r="U477" s="1"/>
      </tp>
      <tp t="s">
        <v>#N/A Requesting Data...</v>
        <stp/>
        <stp>##V3_BDHV12</stp>
        <stp>CL1 Comdty</stp>
        <stp>30DAY_IMPVOL_95.0%MNY_DF</stp>
        <stp>26/01/2016</stp>
        <stp>26/01/2016</stp>
        <stp>[Bbg_Market_Data_CL.xlsm]data!R301C21</stp>
        <tr r="U301" s="1"/>
      </tp>
      <tp t="s">
        <v>#N/A Requesting Data...</v>
        <stp/>
        <stp>##V3_BDHV12</stp>
        <stp>CL1 Comdty</stp>
        <stp>30DAY_IMPVOL_95.0%MNY_DF</stp>
        <stp>04/11/2016</stp>
        <stp>04/11/2016</stp>
        <stp>[Bbg_Market_Data_CL.xlsm]data!R106C21</stp>
        <tr r="U106" s="1"/>
      </tp>
      <tp t="s">
        <v>#N/A Requesting Data...</v>
        <stp/>
        <stp>##V3_BDHV12</stp>
        <stp>CL1 Comdty</stp>
        <stp>30DAY_IMPVOL_95.0%MNY_DF</stp>
        <stp>14/10/2016</stp>
        <stp>14/10/2016</stp>
        <stp>[Bbg_Market_Data_CL.xlsm]data!R121C21</stp>
        <tr r="U121" s="1"/>
      </tp>
      <tp t="s">
        <v>#N/A Requesting Data...</v>
        <stp/>
        <stp>##V3_BDHV12</stp>
        <stp>CL1 Comdty</stp>
        <stp>30DAY_IMPVOL_95.0%MNY_DF</stp>
        <stp>15/12/2015</stp>
        <stp>15/12/2015</stp>
        <stp>[Bbg_Market_Data_CL.xlsm]data!R328C21</stp>
        <tr r="U328" s="1"/>
      </tp>
      <tp t="s">
        <v>#N/A Requesting Data...</v>
        <stp/>
        <stp>##V3_BDHV12</stp>
        <stp>SPGSCLP Index</stp>
        <stp>CHG_PCT_1D</stp>
        <stp>23/10/2015</stp>
        <stp>23/10/2015</stp>
        <stp>[Bbg_Market_Data_CL.xlsm]data!R364C3</stp>
        <tr r="C364" s="1"/>
      </tp>
      <tp t="s">
        <v>#N/A Requesting Data...</v>
        <stp/>
        <stp>##V3_BDHV12</stp>
        <stp>SPGSCLP Index</stp>
        <stp>CHG_PCT_5D</stp>
        <stp>23/10/2015</stp>
        <stp>23/10/2015</stp>
        <stp>[Bbg_Market_Data_CL.xlsm]data!R364C4</stp>
        <tr r="D364" s="1"/>
      </tp>
      <tp t="s">
        <v>#N/A Requesting Data...</v>
        <stp/>
        <stp>##V3_BDHV12</stp>
        <stp>CL1 Comdty</stp>
        <stp>30DAY_IMPVOL_95.0%MNY_DF</stp>
        <stp>15/11/2016</stp>
        <stp>15/11/2016</stp>
        <stp>[Bbg_Market_Data_CL.xlsm]data!R100C21</stp>
        <tr r="U100" s="1"/>
      </tp>
      <tp t="s">
        <v>#N/A Requesting Data...</v>
        <stp/>
        <stp>##V3_BDHV12</stp>
        <stp>CL1 Comdty</stp>
        <stp>30DAY_IMPVOL_95.0%MNY_DF</stp>
        <stp>23/07/2015</stp>
        <stp>23/07/2015</stp>
        <stp>[Bbg_Market_Data_CL.xlsm]data!R427C21</stp>
        <tr r="U427" s="1"/>
      </tp>
      <tp t="s">
        <v>#N/A Requesting Data...</v>
        <stp/>
        <stp>##V3_BDHV12</stp>
        <stp>CL1 Comdty</stp>
        <stp>30DAY_IMPVOL_95.0%MNY_DF</stp>
        <stp>04/12/2015</stp>
        <stp>04/12/2015</stp>
        <stp>[Bbg_Market_Data_CL.xlsm]data!R335C21</stp>
        <tr r="U335" s="1"/>
      </tp>
      <tp t="s">
        <v>#N/A Requesting Data...</v>
        <stp/>
        <stp>##V3_BDHV12</stp>
        <stp>CL1 Comdty</stp>
        <stp>30DAY_IMPVOL_90.0%MNY_DF</stp>
        <stp>03/06/2016</stp>
        <stp>03/06/2016</stp>
        <stp>[Bbg_Market_Data_CL.xlsm]data!R212C23</stp>
        <tr r="W212" s="1"/>
      </tp>
      <tp t="s">
        <v>#N/A Requesting Data...</v>
        <stp/>
        <stp>##V3_BDHV12</stp>
        <stp>CL1 Comdty</stp>
        <stp>30DAY_IMPVOL_95.0%MNY_DF</stp>
        <stp>05/10/2016</stp>
        <stp>05/10/2016</stp>
        <stp>[Bbg_Market_Data_CL.xlsm]data!R127C21</stp>
        <tr r="U127" s="1"/>
      </tp>
      <tp t="s">
        <v>#N/A Requesting Data...</v>
        <stp/>
        <stp>##V3_BDHV12</stp>
        <stp>CL1 Comdty</stp>
        <stp>30DAY_IMPVOL_95.0%MNY_DF</stp>
        <stp>13/04/2015</stp>
        <stp>13/04/2015</stp>
        <stp>[Bbg_Market_Data_CL.xlsm]data!R498C21</stp>
        <tr r="U498" s="1"/>
      </tp>
      <tp t="s">
        <v>#N/A Requesting Data...</v>
        <stp/>
        <stp>##V3_BDHV12</stp>
        <stp>CL1 Comdty</stp>
        <stp>30DAY_IMPVOL_90.0%MNY_DF</stp>
        <stp>20/07/2016</stp>
        <stp>20/07/2016</stp>
        <stp>[Bbg_Market_Data_CL.xlsm]data!R180C23</stp>
        <tr r="W180" s="1"/>
      </tp>
      <tp t="s">
        <v>#N/A Requesting Data...</v>
        <stp/>
        <stp>##V3_BDHV12</stp>
        <stp>CL1 Comdty</stp>
        <stp>30DAY_IMPVOL_90.0%MNY_DF</stp>
        <stp>30/06/2016</stp>
        <stp>30/06/2016</stp>
        <stp>[Bbg_Market_Data_CL.xlsm]data!R193C23</stp>
        <tr r="W193" s="1"/>
      </tp>
      <tp t="s">
        <v>#N/A Requesting Data...</v>
        <stp/>
        <stp>##V3_BDHV12</stp>
        <stp>SPGSCLP Index</stp>
        <stp>CHG_PCT_1D</stp>
        <stp>24/05/2016</stp>
        <stp>24/05/2016</stp>
        <stp>[Bbg_Market_Data_CL.xlsm]data!R220C3</stp>
        <tr r="C220" s="1"/>
      </tp>
      <tp t="s">
        <v>#N/A Requesting Data...</v>
        <stp/>
        <stp>##V3_BDHV12</stp>
        <stp>SPGSCLP Index</stp>
        <stp>CHG_PCT_5D</stp>
        <stp>07/04/2016</stp>
        <stp>07/04/2016</stp>
        <stp>[Bbg_Market_Data_CL.xlsm]data!R253C4</stp>
        <tr r="D253" s="1"/>
      </tp>
      <tp t="s">
        <v>#N/A Requesting Data...</v>
        <stp/>
        <stp>##V3_BDHV12</stp>
        <stp>SPGSCLP Index</stp>
        <stp>CHG_PCT_5D</stp>
        <stp>06/05/2016</stp>
        <stp>06/05/2016</stp>
        <stp>[Bbg_Market_Data_CL.xlsm]data!R232C4</stp>
        <tr r="D232" s="1"/>
      </tp>
      <tp t="s">
        <v>#N/A Requesting Data...</v>
        <stp/>
        <stp>##V3_BDHV12</stp>
        <stp>SPGSCLP Index</stp>
        <stp>CHG_PCT_1D</stp>
        <stp>25/04/2016</stp>
        <stp>25/04/2016</stp>
        <stp>[Bbg_Market_Data_CL.xlsm]data!R241C3</stp>
        <tr r="C241" s="1"/>
      </tp>
      <tp t="s">
        <v>#N/A Requesting Data...</v>
        <stp/>
        <stp>##V3_BDHV12</stp>
        <stp>SPGSCLP Index</stp>
        <stp>CHG_PCT_1D</stp>
        <stp>06/05/2016</stp>
        <stp>06/05/2016</stp>
        <stp>[Bbg_Market_Data_CL.xlsm]data!R232C3</stp>
        <tr r="C232" s="1"/>
      </tp>
      <tp t="s">
        <v>#N/A Requesting Data...</v>
        <stp/>
        <stp>##V3_BDHV12</stp>
        <stp>SPGSCLP Index</stp>
        <stp>CHG_PCT_5D</stp>
        <stp>25/04/2016</stp>
        <stp>25/04/2016</stp>
        <stp>[Bbg_Market_Data_CL.xlsm]data!R241C4</stp>
        <tr r="D241" s="1"/>
      </tp>
      <tp t="s">
        <v>#N/A Requesting Data...</v>
        <stp/>
        <stp>##V3_BDHV12</stp>
        <stp>SPGSCLP Index</stp>
        <stp>CHG_PCT_5D</stp>
        <stp>24/05/2016</stp>
        <stp>24/05/2016</stp>
        <stp>[Bbg_Market_Data_CL.xlsm]data!R220C4</stp>
        <tr r="D220" s="1"/>
      </tp>
      <tp t="s">
        <v>#N/A Requesting Data...</v>
        <stp/>
        <stp>##V3_BDHV12</stp>
        <stp>SPGSCLP Index</stp>
        <stp>CHG_PCT_1D</stp>
        <stp>07/04/2016</stp>
        <stp>07/04/2016</stp>
        <stp>[Bbg_Market_Data_CL.xlsm]data!R253C3</stp>
        <tr r="C253" s="1"/>
      </tp>
      <tp t="s">
        <v>#N/A Requesting Data...</v>
        <stp/>
        <stp>##V3_BDHV12</stp>
        <stp>SPGSCLP Index</stp>
        <stp>CHG_PCT_5D</stp>
        <stp>07/07/2015</stp>
        <stp>07/07/2015</stp>
        <stp>[Bbg_Market_Data_CL.xlsm]data!R440C4</stp>
        <tr r="D440" s="1"/>
      </tp>
      <tp t="s">
        <v>#N/A Requesting Data...</v>
        <stp/>
        <stp>##V3_BDHV12</stp>
        <stp>SPGSCLP Index</stp>
        <stp>CHG_PCT_1D</stp>
        <stp>07/07/2015</stp>
        <stp>07/07/2015</stp>
        <stp>[Bbg_Market_Data_CL.xlsm]data!R440C3</stp>
        <tr r="C440" s="1"/>
      </tp>
      <tp t="s">
        <v>#N/A Requesting Data...</v>
        <stp/>
        <stp>##V3_BDHV12</stp>
        <stp>CL1 Comdty</stp>
        <stp>30DAY_IMPVOL_90.0%MNY_DF</stp>
        <stp>24/03/2016</stp>
        <stp>24/03/2016</stp>
        <stp>[Bbg_Market_Data_CL.xlsm]data!R261C23</stp>
        <tr r="W261" s="1"/>
      </tp>
      <tp t="s">
        <v>#N/A Requesting Data...</v>
        <stp/>
        <stp>##V3_BDHV12</stp>
        <stp>CL1 Comdty</stp>
        <stp>30DAY_IMPVOL_90.0%MNY_DF</stp>
        <stp>06/10/2015</stp>
        <stp>06/10/2015</stp>
        <stp>[Bbg_Market_Data_CL.xlsm]data!R375C23</stp>
        <tr r="W375" s="1"/>
      </tp>
      <tp t="s">
        <v>#N/A Requesting Data...</v>
        <stp/>
        <stp>##V3_BDHV12</stp>
        <stp>CL1 Comdty</stp>
        <stp>30DAY_IMPVOL_95.0%MNY_DF</stp>
        <stp>01/04/2016</stp>
        <stp>01/04/2016</stp>
        <stp>[Bbg_Market_Data_CL.xlsm]data!R256C21</stp>
        <tr r="U256" s="1"/>
      </tp>
      <tp t="s">
        <v>#N/A Requesting Data...</v>
        <stp/>
        <stp>##V3_BDHV12</stp>
        <stp>CL1 Comdty</stp>
        <stp>30DAY_IMPVOL_90.0%MNY_DF</stp>
        <stp>21/05/2015</stp>
        <stp>21/05/2015</stp>
        <stp>[Bbg_Market_Data_CL.xlsm]data!R470C23</stp>
        <tr r="W470" s="1"/>
      </tp>
      <tp t="s">
        <v>#N/A Requesting Data...</v>
        <stp/>
        <stp>##V3_BDHV12</stp>
        <stp>CL1 Comdty</stp>
        <stp>30DAY_IMPVOL_90.0%MNY_DF</stp>
        <stp>01/07/2015</stp>
        <stp>01/07/2015</stp>
        <stp>[Bbg_Market_Data_CL.xlsm]data!R442C23</stp>
        <tr r="W442" s="1"/>
      </tp>
      <tp t="s">
        <v>#N/A Requesting Data...</v>
        <stp/>
        <stp>##V3_BDHV12</stp>
        <stp>CL1 Comdty</stp>
        <stp>30DAY_IMPVOL_90.0%MNY_DF</stp>
        <stp>11/06/2015</stp>
        <stp>11/06/2015</stp>
        <stp>[Bbg_Market_Data_CL.xlsm]data!R456C23</stp>
        <tr r="W456" s="1"/>
      </tp>
      <tp t="s">
        <v>#N/A Requesting Data...</v>
        <stp/>
        <stp>##V3_BDHV12</stp>
        <stp>CL1 Comdty</stp>
        <stp>30DAY_IMPVOL_90.0%MNY_DF</stp>
        <stp>16/11/2015</stp>
        <stp>16/11/2015</stp>
        <stp>[Bbg_Market_Data_CL.xlsm]data!R348C23</stp>
        <tr r="W348" s="1"/>
      </tp>
      <tp t="s">
        <v>#N/A Requesting Data...</v>
        <stp/>
        <stp>##V3_BDHV12</stp>
        <stp>CL1 Comdty</stp>
        <stp>30DAY_IMPVOL_95.0%MNY_DF</stp>
        <stp>21/06/2016</stp>
        <stp>21/06/2016</stp>
        <stp>[Bbg_Market_Data_CL.xlsm]data!R200C21</stp>
        <tr r="U200" s="1"/>
      </tp>
      <tp t="s">
        <v>#N/A Requesting Data...</v>
        <stp/>
        <stp>##V3_BDHV12</stp>
        <stp>CL1 Comdty</stp>
        <stp>30DAY_IMPVOL_90.0%MNY_DF</stp>
        <stp>27/10/2016</stp>
        <stp>27/10/2016</stp>
        <stp>[Bbg_Market_Data_CL.xlsm]data!R112C23</stp>
        <tr r="W112" s="1"/>
      </tp>
      <tp t="s">
        <v>#N/A Requesting Data...</v>
        <stp/>
        <stp>##V3_BDHV12</stp>
        <stp>CL1 Comdty</stp>
        <stp>30DAY_IMPVOL_90.0%MNY_DF</stp>
        <stp>15/01/2016</stp>
        <stp>15/01/2016</stp>
        <stp>[Bbg_Market_Data_CL.xlsm]data!R307C23</stp>
        <tr r="W307" s="1"/>
      </tp>
      <tp t="s">
        <v>#N/A Requesting Data...</v>
        <stp/>
        <stp>##V3_BDHV12</stp>
        <stp>CL1 Comdty</stp>
        <stp>30DAY_IMPVOL_95.0%MNY_DF</stp>
        <stp>11/05/2016</stp>
        <stp>11/05/2016</stp>
        <stp>[Bbg_Market_Data_CL.xlsm]data!R228C21</stp>
        <tr r="U228" s="1"/>
      </tp>
      <tp t="s">
        <v>#N/A Requesting Data...</v>
        <stp/>
        <stp>##V3_BDHV12</stp>
        <stp>SPGSCLP Index</stp>
        <stp>CHG_PCT_1D</stp>
        <stp>05/01/2016</stp>
        <stp>05/01/2016</stp>
        <stp>[Bbg_Market_Data_CL.xlsm]data!R316C3</stp>
        <tr r="C316" s="1"/>
      </tp>
      <tp t="s">
        <v>#N/A Requesting Data...</v>
        <stp/>
        <stp>##V3_BDHV12</stp>
        <stp>SPGSCLP Index</stp>
        <stp>CHG_PCT_1D</stp>
        <stp>26/10/2016</stp>
        <stp>26/10/2016</stp>
        <stp>[Bbg_Market_Data_CL.xlsm]data!R114C3</stp>
        <tr r="C114" s="1"/>
      </tp>
      <tp t="s">
        <v>#N/A Requesting Data...</v>
        <stp/>
        <stp>##V3_BDHV12</stp>
        <stp>SPGSCLP Index</stp>
        <stp>CHG_PCT_5D</stp>
        <stp>26/10/2016</stp>
        <stp>26/10/2016</stp>
        <stp>[Bbg_Market_Data_CL.xlsm]data!R114C4</stp>
        <tr r="D114" s="1"/>
      </tp>
      <tp t="s">
        <v>#N/A Requesting Data...</v>
        <stp/>
        <stp>##V3_BDHV12</stp>
        <stp>SPGSCLP Index</stp>
        <stp>CHG_PCT_5D</stp>
        <stp>05/01/2016</stp>
        <stp>05/01/2016</stp>
        <stp>[Bbg_Market_Data_CL.xlsm]data!R316C4</stp>
        <tr r="D316" s="1"/>
      </tp>
      <tp t="s">
        <v>#N/A Requesting Data...</v>
        <stp/>
        <stp>##V3_BDHV12</stp>
        <stp>CL1 Comdty</stp>
        <stp>30DAY_IMPVOL_90.0%MNY_DF</stp>
        <stp>10/07/2015</stp>
        <stp>10/07/2015</stp>
        <stp>[Bbg_Market_Data_CL.xlsm]data!R436C23</stp>
        <tr r="W436" s="1"/>
      </tp>
      <tp t="s">
        <v>#N/A Requesting Data...</v>
        <stp/>
        <stp>##V3_BDHV12</stp>
        <stp>CL1 Comdty</stp>
        <stp>30DAY_IMPVOL_90.0%MNY_DF</stp>
        <stp>04/01/2016</stp>
        <stp>04/01/2016</stp>
        <stp>[Bbg_Market_Data_CL.xlsm]data!R316C23</stp>
        <tr r="W316" s="1"/>
      </tp>
      <tp t="s">
        <v>#N/A Requesting Data...</v>
        <stp/>
        <stp>##V3_BDHV12</stp>
        <stp>CL1 Comdty</stp>
        <stp>30DAY_IMPVOL_95.0%MNY_DF</stp>
        <stp>13/07/2016</stp>
        <stp>13/07/2016</stp>
        <stp>[Bbg_Market_Data_CL.xlsm]data!R185C21</stp>
        <tr r="U185" s="1"/>
      </tp>
      <tp t="s">
        <v>#N/A Requesting Data...</v>
        <stp/>
        <stp>##V3_BDHV12</stp>
        <stp>CL1 Comdty</stp>
        <stp>30DAY_IMPVOL_90.0%MNY_DF</stp>
        <stp>25/02/2016</stp>
        <stp>25/02/2016</stp>
        <stp>[Bbg_Market_Data_CL.xlsm]data!R281C23</stp>
        <tr r="W281" s="1"/>
      </tp>
      <tp t="s">
        <v>#N/A Requesting Data...</v>
        <stp/>
        <stp>##V3_BDHV12</stp>
        <stp>CL1 Comdty</stp>
        <stp>30DAY_IMPVOL_90.0%MNY_DF</stp>
        <stp>20/04/2015</stp>
        <stp>20/04/2015</stp>
        <stp>[Bbg_Market_Data_CL.xlsm]data!R493C23</stp>
        <tr r="W493" s="1"/>
      </tp>
      <tp t="s">
        <v>#N/A Requesting Data...</v>
        <stp/>
        <stp>##V3_BDHV12</stp>
        <stp>SPGSCLP Index</stp>
        <stp>CHG_PCT_5D</stp>
        <stp>04/11/2016</stp>
        <stp>04/11/2016</stp>
        <stp>[Bbg_Market_Data_CL.xlsm]data!R107C4</stp>
        <tr r="D107" s="1"/>
      </tp>
      <tp t="s">
        <v>#N/A Requesting Data...</v>
        <stp/>
        <stp>##V3_BDHV12</stp>
        <stp>SPGSCLP Index</stp>
        <stp>CHG_PCT_1D</stp>
        <stp>06/10/2015</stp>
        <stp>06/10/2015</stp>
        <stp>[Bbg_Market_Data_CL.xlsm]data!R376C3</stp>
        <tr r="C376" s="1"/>
      </tp>
      <tp t="s">
        <v>#N/A Requesting Data...</v>
        <stp/>
        <stp>##V3_BDHV12</stp>
        <stp>SPGSCLP Index</stp>
        <stp>CHG_PCT_1D</stp>
        <stp>04/11/2016</stp>
        <stp>04/11/2016</stp>
        <stp>[Bbg_Market_Data_CL.xlsm]data!R107C3</stp>
        <tr r="C107" s="1"/>
      </tp>
      <tp t="s">
        <v>#N/A Requesting Data...</v>
        <stp/>
        <stp>##V3_BDHV12</stp>
        <stp>SPGSCLP Index</stp>
        <stp>CHG_PCT_5D</stp>
        <stp>06/10/2015</stp>
        <stp>06/10/2015</stp>
        <stp>[Bbg_Market_Data_CL.xlsm]data!R376C4</stp>
        <tr r="D376" s="1"/>
      </tp>
      <tp t="s">
        <v>#N/A Requesting Data...</v>
        <stp/>
        <stp>##V3_BDHV12</stp>
        <stp>CL1 Comdty</stp>
        <stp>30DAY_IMPVOL_90.0%MNY_DF</stp>
        <stp>23/07/2015</stp>
        <stp>23/07/2015</stp>
        <stp>[Bbg_Market_Data_CL.xlsm]data!R427C23</stp>
        <tr r="W427" s="1"/>
      </tp>
      <tp t="s">
        <v>#N/A Requesting Data...</v>
        <stp/>
        <stp>##V3_BDHV12</stp>
        <stp>CL1 Comdty</stp>
        <stp>30DAY_IMPVOL_90.0%MNY_DF</stp>
        <stp>04/12/2015</stp>
        <stp>04/12/2015</stp>
        <stp>[Bbg_Market_Data_CL.xlsm]data!R335C23</stp>
        <tr r="W335" s="1"/>
      </tp>
      <tp t="s">
        <v>#N/A Requesting Data...</v>
        <stp/>
        <stp>##V3_BDHV12</stp>
        <stp>CL1 Comdty</stp>
        <stp>30DAY_IMPVOL_95.0%MNY_DF</stp>
        <stp>03/06/2016</stp>
        <stp>03/06/2016</stp>
        <stp>[Bbg_Market_Data_CL.xlsm]data!R212C21</stp>
        <tr r="U212" s="1"/>
      </tp>
      <tp t="s">
        <v>#N/A Requesting Data...</v>
        <stp/>
        <stp>##V3_BDHV12</stp>
        <stp>CL1 Comdty</stp>
        <stp>30DAY_IMPVOL_90.0%MNY_DF</stp>
        <stp>05/10/2016</stp>
        <stp>05/10/2016</stp>
        <stp>[Bbg_Market_Data_CL.xlsm]data!R127C23</stp>
        <tr r="W127" s="1"/>
      </tp>
      <tp t="s">
        <v>#N/A Requesting Data...</v>
        <stp/>
        <stp>##V3_BDHV12</stp>
        <stp>CL1 Comdty</stp>
        <stp>30DAY_IMPVOL_90.0%MNY_DF</stp>
        <stp>15/11/2016</stp>
        <stp>15/11/2016</stp>
        <stp>[Bbg_Market_Data_CL.xlsm]data!R100C23</stp>
        <tr r="W100" s="1"/>
      </tp>
      <tp t="s">
        <v>#N/A Requesting Data...</v>
        <stp/>
        <stp>##V3_BDHV12</stp>
        <stp>CL1 Comdty</stp>
        <stp>30DAY_IMPVOL_95.0%MNY_DF</stp>
        <stp>20/07/2016</stp>
        <stp>20/07/2016</stp>
        <stp>[Bbg_Market_Data_CL.xlsm]data!R180C21</stp>
        <tr r="U180" s="1"/>
      </tp>
      <tp t="s">
        <v>#N/A Requesting Data...</v>
        <stp/>
        <stp>##V3_BDHV12</stp>
        <stp>CL1 Comdty</stp>
        <stp>30DAY_IMPVOL_95.0%MNY_DF</stp>
        <stp>30/06/2016</stp>
        <stp>30/06/2016</stp>
        <stp>[Bbg_Market_Data_CL.xlsm]data!R193C21</stp>
        <tr r="U193" s="1"/>
      </tp>
      <tp t="s">
        <v>#N/A Requesting Data...</v>
        <stp/>
        <stp>##V3_BDHV12</stp>
        <stp>CL1 Comdty</stp>
        <stp>30DAY_IMPVOL_90.0%MNY_DF</stp>
        <stp>13/04/2015</stp>
        <stp>13/04/2015</stp>
        <stp>[Bbg_Market_Data_CL.xlsm]data!R498C23</stp>
        <tr r="W498" s="1"/>
      </tp>
      <tp t="s">
        <v>#N/A Requesting Data...</v>
        <stp/>
        <stp>##V3_BDHV12</stp>
        <stp>SPGSCLP Index</stp>
        <stp>CHG_PCT_1D</stp>
        <stp>04/02/2016</stp>
        <stp>04/02/2016</stp>
        <stp>[Bbg_Market_Data_CL.xlsm]data!R295C3</stp>
        <tr r="C295" s="1"/>
      </tp>
      <tp t="s">
        <v>#N/A Requesting Data...</v>
        <stp/>
        <stp>##V3_BDHV12</stp>
        <stp>SPGSCLP Index</stp>
        <stp>CHG_PCT_5D</stp>
        <stp>22/05/2015</stp>
        <stp>22/05/2015</stp>
        <stp>[Bbg_Market_Data_CL.xlsm]data!R470C4</stp>
        <tr r="D470" s="1"/>
      </tp>
      <tp t="s">
        <v>#N/A Requesting Data...</v>
        <stp/>
        <stp>##V3_BDHV12</stp>
        <stp>SPGSCLP Index</stp>
        <stp>CHG_PCT_5D</stp>
        <stp>23/04/2015</stp>
        <stp>23/04/2015</stp>
        <stp>[Bbg_Market_Data_CL.xlsm]data!R491C4</stp>
        <tr r="D491" s="1"/>
      </tp>
      <tp t="s">
        <v>#N/A Requesting Data...</v>
        <stp/>
        <stp>##V3_BDHV12</stp>
        <stp>SPGSCLP Index</stp>
        <stp>CHG_PCT_1D</stp>
        <stp>23/04/2015</stp>
        <stp>23/04/2015</stp>
        <stp>[Bbg_Market_Data_CL.xlsm]data!R491C3</stp>
        <tr r="C491" s="1"/>
      </tp>
      <tp t="s">
        <v>#N/A Requesting Data...</v>
        <stp/>
        <stp>##V3_BDHV12</stp>
        <stp>SPGSCLP Index</stp>
        <stp>CHG_PCT_5D</stp>
        <stp>04/02/2016</stp>
        <stp>04/02/2016</stp>
        <stp>[Bbg_Market_Data_CL.xlsm]data!R295C4</stp>
        <tr r="D295" s="1"/>
      </tp>
      <tp t="s">
        <v>#N/A Requesting Data...</v>
        <stp/>
        <stp>##V3_BDHV12</stp>
        <stp>SPGSCLP Index</stp>
        <stp>CHG_PCT_1D</stp>
        <stp>22/05/2015</stp>
        <stp>22/05/2015</stp>
        <stp>[Bbg_Market_Data_CL.xlsm]data!R470C3</stp>
        <tr r="C470" s="1"/>
      </tp>
      <tp t="s">
        <v>#N/A Requesting Data...</v>
        <stp/>
        <stp>##V3_BDHV12</stp>
        <stp>CL1 Comdty</stp>
        <stp>30DAY_IMPVOL_90.0%MNY_DF</stp>
        <stp>17/03/2016</stp>
        <stp>17/03/2016</stp>
        <stp>[Bbg_Market_Data_CL.xlsm]data!R266C23</stp>
        <tr r="W266" s="1"/>
      </tp>
      <tp t="s">
        <v>#N/A Requesting Data...</v>
        <stp/>
        <stp>##V3_BDHV12</stp>
        <stp>CL1 Comdty</stp>
        <stp>30DAY_IMPVOL_90.0%MNY_DF</stp>
        <stp>12/05/2015</stp>
        <stp>12/05/2015</stp>
        <stp>[Bbg_Market_Data_CL.xlsm]data!R477C23</stp>
        <tr r="W477" s="1"/>
      </tp>
      <tp t="s">
        <v>#N/A Requesting Data...</v>
        <stp/>
        <stp>##V3_BDHV12</stp>
        <stp>CL1 Comdty</stp>
        <stp>30DAY_IMPVOL_90.0%MNY_DF</stp>
        <stp>22/06/2015</stp>
        <stp>22/06/2015</stp>
        <stp>[Bbg_Market_Data_CL.xlsm]data!R449C23</stp>
        <tr r="W449" s="1"/>
      </tp>
      <tp t="s">
        <v>#N/A Requesting Data...</v>
        <stp/>
        <stp>##V3_BDHV12</stp>
        <stp>CL1 Comdty</stp>
        <stp>30DAY_IMPVOL_90.0%MNY_DF</stp>
        <stp>25/11/2015</stp>
        <stp>25/11/2015</stp>
        <stp>[Bbg_Market_Data_CL.xlsm]data!R341C23</stp>
        <tr r="W341" s="1"/>
      </tp>
      <tp t="s">
        <v>#N/A Requesting Data...</v>
        <stp/>
        <stp>##V3_BDHV12</stp>
        <stp>CL1 Comdty</stp>
        <stp>30DAY_IMPVOL_90.0%MNY_DF</stp>
        <stp>14/10/2016</stp>
        <stp>14/10/2016</stp>
        <stp>[Bbg_Market_Data_CL.xlsm]data!R121C23</stp>
        <tr r="W121" s="1"/>
      </tp>
      <tp t="s">
        <v>#N/A Requesting Data...</v>
        <stp/>
        <stp>##V3_BDHV12</stp>
        <stp>CL1 Comdty</stp>
        <stp>30DAY_IMPVOL_90.0%MNY_DF</stp>
        <stp>15/12/2015</stp>
        <stp>15/12/2015</stp>
        <stp>[Bbg_Market_Data_CL.xlsm]data!R328C23</stp>
        <tr r="W328" s="1"/>
      </tp>
      <tp t="s">
        <v>#N/A Requesting Data...</v>
        <stp/>
        <stp>##V3_BDHV12</stp>
        <stp>CL1 Comdty</stp>
        <stp>30DAY_IMPVOL_90.0%MNY_DF</stp>
        <stp>26/01/2016</stp>
        <stp>26/01/2016</stp>
        <stp>[Bbg_Market_Data_CL.xlsm]data!R301C23</stp>
        <tr r="W301" s="1"/>
      </tp>
      <tp t="s">
        <v>#N/A Requesting Data...</v>
        <stp/>
        <stp>##V3_BDHV12</stp>
        <stp>CL1 Comdty</stp>
        <stp>30DAY_IMPVOL_90.0%MNY_DF</stp>
        <stp>04/11/2016</stp>
        <stp>04/11/2016</stp>
        <stp>[Bbg_Market_Data_CL.xlsm]data!R106C23</stp>
        <tr r="W106" s="1"/>
      </tp>
      <tp t="s">
        <v>#N/A Requesting Data...</v>
        <stp/>
        <stp>##V3_BDHV12</stp>
        <stp>SPGSCLP Index</stp>
        <stp>CHG_PCT_1D</stp>
        <stp>07/10/2016</stp>
        <stp>07/10/2016</stp>
        <stp>[Bbg_Market_Data_CL.xlsm]data!R126C3</stp>
        <tr r="C126" s="1"/>
      </tp>
      <tp t="s">
        <v>#N/A Requesting Data...</v>
        <stp/>
        <stp>##V3_BDHV12</stp>
        <stp>SPGSCLP Index</stp>
        <stp>CHG_PCT_1D</stp>
        <stp>30/07/2015</stp>
        <stp>30/07/2015</stp>
        <stp>[Bbg_Market_Data_CL.xlsm]data!R423C3</stp>
        <tr r="C423" s="1"/>
      </tp>
      <tp t="s">
        <v>#N/A Requesting Data...</v>
        <stp/>
        <stp>##V3_BDHV12</stp>
        <stp>SPGSCLP Index</stp>
        <stp>CHG_PCT_5D</stp>
        <stp>30/07/2015</stp>
        <stp>30/07/2015</stp>
        <stp>[Bbg_Market_Data_CL.xlsm]data!R423C4</stp>
        <tr r="D423" s="1"/>
      </tp>
      <tp t="s">
        <v>#N/A Requesting Data...</v>
        <stp/>
        <stp>##V3_BDHV12</stp>
        <stp>SPGSCLP Index</stp>
        <stp>CHG_PCT_5D</stp>
        <stp>07/10/2016</stp>
        <stp>07/10/2016</stp>
        <stp>[Bbg_Market_Data_CL.xlsm]data!R126C4</stp>
        <tr r="D126" s="1"/>
      </tp>
      <tp t="s">
        <v>#N/A Requesting Data...</v>
        <stp/>
        <stp>##V3_BDHV12</stp>
        <stp>SPGSCLP Index</stp>
        <stp>CHG_PCT_1D</stp>
        <stp>19/01/2016</stp>
        <stp>19/01/2016</stp>
        <stp>[Bbg_Market_Data_CL.xlsm]data!R307C3</stp>
        <tr r="C307" s="1"/>
      </tp>
      <tp t="s">
        <v>#N/A Requesting Data...</v>
        <stp/>
        <stp>##V3_BDHV12</stp>
        <stp>SPGSCLP Index</stp>
        <stp>CHG_PCT_5D</stp>
        <stp>08/12/2015</stp>
        <stp>08/12/2015</stp>
        <stp>[Bbg_Market_Data_CL.xlsm]data!R334C4</stp>
        <tr r="D334" s="1"/>
      </tp>
      <tp t="s">
        <v>#N/A Requesting Data...</v>
        <stp/>
        <stp>##V3_BDHV12</stp>
        <stp>SPGSCLP Index</stp>
        <stp>CHG_PCT_1D</stp>
        <stp>08/12/2015</stp>
        <stp>08/12/2015</stp>
        <stp>[Bbg_Market_Data_CL.xlsm]data!R334C3</stp>
        <tr r="C334" s="1"/>
      </tp>
      <tp t="s">
        <v>#N/A Requesting Data...</v>
        <stp/>
        <stp>##V3_BDHV12</stp>
        <stp>SPGSCLP Index</stp>
        <stp>CHG_PCT_5D</stp>
        <stp>19/01/2016</stp>
        <stp>19/01/2016</stp>
        <stp>[Bbg_Market_Data_CL.xlsm]data!R307C4</stp>
        <tr r="D307" s="1"/>
      </tp>
      <tp t="s">
        <v>#N/A Requesting Data...</v>
        <stp/>
        <stp>##V3_BDHV12</stp>
        <stp>SPGSCLP Index</stp>
        <stp>CHG_PCT_5D</stp>
        <stp>19/11/2015</stp>
        <stp>19/11/2015</stp>
        <stp>[Bbg_Market_Data_CL.xlsm]data!R346C4</stp>
        <tr r="D346" s="1"/>
      </tp>
      <tp t="s">
        <v>#N/A Requesting Data...</v>
        <stp/>
        <stp>##V3_BDHV12</stp>
        <stp>SPGSCLP Index</stp>
        <stp>CHG_PCT_1D</stp>
        <stp>19/11/2015</stp>
        <stp>19/11/2015</stp>
        <stp>[Bbg_Market_Data_CL.xlsm]data!R346C3</stp>
        <tr r="C346" s="1"/>
      </tp>
      <tp t="s">
        <v>#N/A Requesting Data...</v>
        <stp/>
        <stp>##V3_BDHV12</stp>
        <stp>SPGSCLP Index</stp>
        <stp>CHG_PCT_1D</stp>
        <stp>08/03/2016</stp>
        <stp>08/03/2016</stp>
        <stp>[Bbg_Market_Data_CL.xlsm]data!R274C3</stp>
        <tr r="C274" s="1"/>
      </tp>
      <tp t="s">
        <v>#N/A Requesting Data...</v>
        <stp/>
        <stp>##V3_BDHV12</stp>
        <stp>SPGSCLP Index</stp>
        <stp>CHG_PCT_5D</stp>
        <stp>08/03/2016</stp>
        <stp>08/03/2016</stp>
        <stp>[Bbg_Market_Data_CL.xlsm]data!R274C4</stp>
        <tr r="D274" s="1"/>
      </tp>
      <tp t="s">
        <v>#N/A Requesting Data...</v>
        <stp/>
        <stp>##V3_BDHV12</stp>
        <stp>SPGSCLP Index</stp>
        <stp>CHG_PCT_1D</stp>
        <stp>19/05/2016</stp>
        <stp>19/05/2016</stp>
        <stp>[Bbg_Market_Data_CL.xlsm]data!R223C3</stp>
        <tr r="C223" s="1"/>
      </tp>
      <tp t="s">
        <v>#N/A Requesting Data...</v>
        <stp/>
        <stp>##V3_BDHV12</stp>
        <stp>SPGSCLP Index</stp>
        <stp>CHG_PCT_5D</stp>
        <stp>19/05/2016</stp>
        <stp>19/05/2016</stp>
        <stp>[Bbg_Market_Data_CL.xlsm]data!R223C4</stp>
        <tr r="D223" s="1"/>
      </tp>
      <tp t="s">
        <v>#N/A Requesting Data...</v>
        <stp/>
        <stp>##V3_BDHV12</stp>
        <stp>SPGSCLP Index</stp>
        <stp>CHG_PCT_1D</stp>
        <stp>19/05/2015</stp>
        <stp>19/05/2015</stp>
        <stp>[Bbg_Market_Data_CL.xlsm]data!R473C3</stp>
        <tr r="C473" s="1"/>
      </tp>
      <tp t="s">
        <v>#N/A Requesting Data...</v>
        <stp/>
        <stp>##V3_BDHV12</stp>
        <stp>SPGSCLP Index</stp>
        <stp>CHG_PCT_5D</stp>
        <stp>19/05/2015</stp>
        <stp>19/05/2015</stp>
        <stp>[Bbg_Market_Data_CL.xlsm]data!R473C4</stp>
        <tr r="D473" s="1"/>
      </tp>
      <tp t="s">
        <v>#N/A Requesting Data...</v>
        <stp/>
        <stp>##V3_BDHV12</stp>
        <stp>CL1 Comdty</stp>
        <stp>PX_LAST</stp>
        <stp>02/02/2017</stp>
        <stp>02/02/2017</stp>
        <stp>[Bbg_Market_Data_CL.xlsm]data!R48C9</stp>
        <tr r="I48" s="1"/>
      </tp>
      <tp t="s">
        <v>#N/A Requesting Data...</v>
        <stp/>
        <stp>##V3_BDHV12</stp>
        <stp>CL1 Comdty</stp>
        <stp>PX_LAST</stp>
        <stp>16/12/2016</stp>
        <stp>16/12/2016</stp>
        <stp>[Bbg_Market_Data_CL.xlsm]data!R79C9</stp>
        <tr r="I79" s="1"/>
      </tp>
      <tp t="s">
        <v>#N/A Requesting Data...</v>
        <stp/>
        <stp>##V3_BDHV12</stp>
        <stp>CL2 Comdty</stp>
        <stp>PX_LAST</stp>
        <stp>04/01/2017</stp>
        <stp>04/01/2017</stp>
        <stp>[Bbg_Market_Data_CL.xlsm]data!R68C9</stp>
        <tr r="I68" s="1"/>
      </tp>
      <tp t="s">
        <v>#N/A Requesting Data...</v>
        <stp/>
        <stp>##V3_BDHV12</stp>
        <stp>CL1 Comdty</stp>
        <stp>PX_LAST</stp>
        <stp>17/03/2017</stp>
        <stp>17/03/2017</stp>
        <stp>[Bbg_Market_Data_CL.xlsm]data!R18C9</stp>
        <tr r="I18" s="1"/>
      </tp>
      <tp t="s">
        <v>#N/A Requesting Data...</v>
        <stp/>
        <stp>##V3_BDHV12</stp>
        <stp>CL2 Comdty</stp>
        <stp>PX_LAST</stp>
        <stp>17/11/2016</stp>
        <stp>17/11/2016</stp>
        <stp>[Bbg_Market_Data_CL.xlsm]data!R99C9</stp>
        <tr r="I99" s="1"/>
      </tp>
      <tp t="s">
        <v>#N/A Requesting Data...</v>
        <stp/>
        <stp>##V3_BDHV12</stp>
        <stp>CL2 Comdty</stp>
        <stp>PX_LAST</stp>
        <stp>19/01/2017</stp>
        <stp>19/01/2017</stp>
        <stp>[Bbg_Market_Data_CL.xlsm]data!R58C9</stp>
        <tr r="I58" s="1"/>
      </tp>
      <tp t="s">
        <v>#N/A Requesting Data...</v>
        <stp/>
        <stp>##V3_BDHV12</stp>
        <stp>CL1 Comdty</stp>
        <stp>PX_LAST</stp>
        <stp>03/03/2017</stp>
        <stp>03/03/2017</stp>
        <stp>[Bbg_Market_Data_CL.xlsm]data!R28C9</stp>
        <tr r="I28" s="1"/>
      </tp>
      <tp t="s">
        <v>#N/A Requesting Data...</v>
        <stp/>
        <stp>##V3_BDHV12</stp>
        <stp>CL1 Comdty</stp>
        <stp>PX_LAST</stp>
        <stp>02/12/2016</stp>
        <stp>02/12/2016</stp>
        <stp>[Bbg_Market_Data_CL.xlsm]data!R89C9</stp>
        <tr r="I89" s="1"/>
      </tp>
      <tp t="s">
        <v>#N/A Requesting Data...</v>
        <stp/>
        <stp>##V3_BDHV12</stp>
        <stp>CL1 Comdty</stp>
        <stp>PX_LAST</stp>
        <stp>16/02/2017</stp>
        <stp>16/02/2017</stp>
        <stp>[Bbg_Market_Data_CL.xlsm]data!R38C9</stp>
        <tr r="I38" s="1"/>
      </tp>
      <tp t="s">
        <v>#N/A Requesting Data...</v>
        <stp/>
        <stp>##V3_BDHV12</stp>
        <stp>CL1 Comdty</stp>
        <stp>PX_LAST</stp>
        <stp>19/01/2017</stp>
        <stp>19/01/2017</stp>
        <stp>[Bbg_Market_Data_CL.xlsm]data!R58C9</stp>
        <tr r="I58" s="1"/>
      </tp>
      <tp t="s">
        <v>#N/A Requesting Data...</v>
        <stp/>
        <stp>##V3_BDHV12</stp>
        <stp>CL2 Comdty</stp>
        <stp>PX_LAST</stp>
        <stp>03/03/2017</stp>
        <stp>03/03/2017</stp>
        <stp>[Bbg_Market_Data_CL.xlsm]data!R28C9</stp>
        <tr r="I28" s="1"/>
      </tp>
      <tp t="s">
        <v>#N/A Requesting Data...</v>
        <stp/>
        <stp>##V3_BDHV12</stp>
        <stp>CL2 Comdty</stp>
        <stp>PX_LAST</stp>
        <stp>02/12/2016</stp>
        <stp>02/12/2016</stp>
        <stp>[Bbg_Market_Data_CL.xlsm]data!R89C9</stp>
        <tr r="I89" s="1"/>
      </tp>
      <tp t="s">
        <v>#N/A Requesting Data...</v>
        <stp/>
        <stp>##V3_BDHV12</stp>
        <stp>CL2 Comdty</stp>
        <stp>PX_LAST</stp>
        <stp>16/02/2017</stp>
        <stp>16/02/2017</stp>
        <stp>[Bbg_Market_Data_CL.xlsm]data!R38C9</stp>
        <tr r="I38" s="1"/>
      </tp>
      <tp t="s">
        <v>#N/A Requesting Data...</v>
        <stp/>
        <stp>##V3_BDHV12</stp>
        <stp>CL2 Comdty</stp>
        <stp>PX_LAST</stp>
        <stp>02/02/2017</stp>
        <stp>02/02/2017</stp>
        <stp>[Bbg_Market_Data_CL.xlsm]data!R48C9</stp>
        <tr r="I48" s="1"/>
      </tp>
      <tp t="s">
        <v>#N/A Requesting Data...</v>
        <stp/>
        <stp>##V3_BDHV12</stp>
        <stp>CL2 Comdty</stp>
        <stp>PX_LAST</stp>
        <stp>16/12/2016</stp>
        <stp>16/12/2016</stp>
        <stp>[Bbg_Market_Data_CL.xlsm]data!R79C9</stp>
        <tr r="I79" s="1"/>
      </tp>
      <tp t="s">
        <v>#N/A Requesting Data...</v>
        <stp/>
        <stp>##V3_BDHV12</stp>
        <stp>CL1 Comdty</stp>
        <stp>PX_LAST</stp>
        <stp>04/01/2017</stp>
        <stp>04/01/2017</stp>
        <stp>[Bbg_Market_Data_CL.xlsm]data!R68C9</stp>
        <tr r="I68" s="1"/>
      </tp>
      <tp t="s">
        <v>#N/A Requesting Data...</v>
        <stp/>
        <stp>##V3_BDHV12</stp>
        <stp>CL2 Comdty</stp>
        <stp>PX_LAST</stp>
        <stp>17/03/2017</stp>
        <stp>17/03/2017</stp>
        <stp>[Bbg_Market_Data_CL.xlsm]data!R18C9</stp>
        <tr r="I18" s="1"/>
      </tp>
      <tp t="s">
        <v>#N/A Requesting Data...</v>
        <stp/>
        <stp>##V3_BDHV12</stp>
        <stp>CL1 Comdty</stp>
        <stp>PX_LAST</stp>
        <stp>17/11/2016</stp>
        <stp>17/11/2016</stp>
        <stp>[Bbg_Market_Data_CL.xlsm]data!R99C9</stp>
        <tr r="I99" s="1"/>
      </tp>
      <tp t="s">
        <v>#N/A Requesting Data...</v>
        <stp/>
        <stp>##V3_BDHV12</stp>
        <stp>CL1 Comdty</stp>
        <stp>30DAY_IMPVOL_95.0%MNY_DF</stp>
        <stp>30/06/2015</stp>
        <stp>30/06/2015</stp>
        <stp>[Bbg_Market_Data_CL.xlsm]data!R443C21</stp>
        <tr r="U443" s="1"/>
      </tp>
      <tp t="s">
        <v>#N/A Requesting Data...</v>
        <stp/>
        <stp>##V3_BDHV12</stp>
        <stp>CL1 Comdty</stp>
        <stp>30DAY_IMPVOL_90.0%MNY_DF</stp>
        <stp>20/04/2016</stp>
        <stp>20/04/2016</stp>
        <stp>[Bbg_Market_Data_CL.xlsm]data!R243C23</stp>
        <tr r="W243" s="1"/>
      </tp>
      <tp t="s">
        <v>#N/A Requesting Data...</v>
        <stp/>
        <stp>##V3_BDHV12</stp>
        <stp>CL1 Comdty</stp>
        <stp>30DAY_IMPVOL_95.0%MNY_DF</stp>
        <stp>27/10/2015</stp>
        <stp>27/10/2015</stp>
        <stp>[Bbg_Market_Data_CL.xlsm]data!R361C21</stp>
        <tr r="U361" s="1"/>
      </tp>
      <tp t="s">
        <v>#N/A Requesting Data...</v>
        <stp/>
        <stp>##V3_BDHV12</stp>
        <stp>CL1 Comdty</stp>
        <stp>30DAY_IMPVOL_95.0%MNY_DF</stp>
        <stp>07/12/2015</stp>
        <stp>07/12/2015</stp>
        <stp>[Bbg_Market_Data_CL.xlsm]data!R334C21</stp>
        <tr r="U334" s="1"/>
      </tp>
      <tp t="s">
        <v>#N/A Requesting Data...</v>
        <stp/>
        <stp>##V3_BDHV12</stp>
        <stp>CL1 Comdty</stp>
        <stp>30DAY_IMPVOL_95.0%MNY_DF</stp>
        <stp>20/07/2015</stp>
        <stp>20/07/2015</stp>
        <stp>[Bbg_Market_Data_CL.xlsm]data!R430C21</stp>
        <tr r="U430" s="1"/>
      </tp>
      <tp t="s">
        <v>#N/A Requesting Data...</v>
        <stp/>
        <stp>##V3_BDHV12</stp>
        <stp>CL1 Comdty</stp>
        <stp>30DAY_IMPVOL_95.0%MNY_DF</stp>
        <stp>06/10/2016</stp>
        <stp>06/10/2016</stp>
        <stp>[Bbg_Market_Data_CL.xlsm]data!R126C21</stp>
        <tr r="U126" s="1"/>
      </tp>
      <tp t="s">
        <v>#N/A Requesting Data...</v>
        <stp/>
        <stp>##V3_BDHV12</stp>
        <stp>CL1 Comdty</stp>
        <stp>30DAY_IMPVOL_95.0%MNY_DF</stp>
        <stp>10/04/2015</stp>
        <stp>10/04/2015</stp>
        <stp>[Bbg_Market_Data_CL.xlsm]data!R499C21</stp>
        <tr r="U499" s="1"/>
      </tp>
      <tp t="s">
        <v>#N/A Requesting Data...</v>
        <stp/>
        <stp>##V3_BDHV12</stp>
        <stp>SPGSCLP Index</stp>
        <stp>CHG_PCT_5D</stp>
        <stp>17/06/2016</stp>
        <stp>17/06/2016</stp>
        <stp>[Bbg_Market_Data_CL.xlsm]data!R203C4</stp>
        <tr r="D203" s="1"/>
      </tp>
      <tp t="s">
        <v>#N/A Requesting Data...</v>
        <stp/>
        <stp>##V3_BDHV12</stp>
        <stp>SPGSCLP Index</stp>
        <stp>CHG_PCT_5D</stp>
        <stp>06/06/2016</stp>
        <stp>06/06/2016</stp>
        <stp>[Bbg_Market_Data_CL.xlsm]data!R212C4</stp>
        <tr r="D212" s="1"/>
      </tp>
      <tp t="s">
        <v>#N/A Requesting Data...</v>
        <stp/>
        <stp>##V3_BDHV12</stp>
        <stp>SPGSCLP Index</stp>
        <stp>CHG_PCT_1D</stp>
        <stp>06/06/2016</stp>
        <stp>06/06/2016</stp>
        <stp>[Bbg_Market_Data_CL.xlsm]data!R212C3</stp>
        <tr r="C212" s="1"/>
      </tp>
      <tp t="s">
        <v>#N/A Requesting Data...</v>
        <stp/>
        <stp>##V3_BDHV12</stp>
        <stp>SPGSCLP Index</stp>
        <stp>CHG_PCT_1D</stp>
        <stp>17/06/2016</stp>
        <stp>17/06/2016</stp>
        <stp>[Bbg_Market_Data_CL.xlsm]data!R203C3</stp>
        <tr r="C203" s="1"/>
      </tp>
      <tp t="s">
        <v>#N/A Requesting Data...</v>
        <stp/>
        <stp>##V3_BDHV12</stp>
        <stp>SPGSCLP Index</stp>
        <stp>CHG_PCT_5D</stp>
        <stp>03/03/2016</stp>
        <stp>03/03/2016</stp>
        <stp>[Bbg_Market_Data_CL.xlsm]data!R277C4</stp>
        <tr r="D277" s="1"/>
      </tp>
      <tp t="s">
        <v>#N/A Requesting Data...</v>
        <stp/>
        <stp>##V3_BDHV12</stp>
        <stp>SPGSCLP Index</stp>
        <stp>CHG_PCT_1D</stp>
        <stp>21/03/2016</stp>
        <stp>21/03/2016</stp>
        <stp>[Bbg_Market_Data_CL.xlsm]data!R265C3</stp>
        <tr r="C265" s="1"/>
      </tp>
      <tp t="s">
        <v>#N/A Requesting Data...</v>
        <stp/>
        <stp>##V3_BDHV12</stp>
        <stp>SPGSCLP Index</stp>
        <stp>CHG_PCT_5D</stp>
        <stp>21/03/2016</stp>
        <stp>21/03/2016</stp>
        <stp>[Bbg_Market_Data_CL.xlsm]data!R265C4</stp>
        <tr r="D265" s="1"/>
      </tp>
      <tp t="s">
        <v>#N/A Requesting Data...</v>
        <stp/>
        <stp>##V3_BDHV12</stp>
        <stp>SPGSCLP Index</stp>
        <stp>CHG_PCT_1D</stp>
        <stp>03/03/2016</stp>
        <stp>03/03/2016</stp>
        <stp>[Bbg_Market_Data_CL.xlsm]data!R277C3</stp>
        <tr r="C277" s="1"/>
      </tp>
      <tp t="s">
        <v>#N/A Requesting Data...</v>
        <stp/>
        <stp>##V3_BDHV12</stp>
        <stp>CL1 Comdty</stp>
        <stp>30DAY_IMPVOL_95.0%MNY_DF</stp>
        <stp>14/03/2016</stp>
        <stp>14/03/2016</stp>
        <stp>[Bbg_Market_Data_CL.xlsm]data!R269C21</stp>
        <tr r="U269" s="1"/>
      </tp>
      <tp t="s">
        <v>#N/A Requesting Data...</v>
        <stp/>
        <stp>##V3_BDHV12</stp>
        <stp>CL1 Comdty</stp>
        <stp>30DAY_IMPVOL_95.0%MNY_DF</stp>
        <stp>11/05/2015</stp>
        <stp>11/05/2015</stp>
        <stp>[Bbg_Market_Data_CL.xlsm]data!R478C21</stp>
        <tr r="U478" s="1"/>
      </tp>
      <tp t="s">
        <v>#N/A Requesting Data...</v>
        <stp/>
        <stp>##V3_BDHV12</stp>
        <stp>CL1 Comdty</stp>
        <stp>30DAY_IMPVOL_95.0%MNY_DF</stp>
        <stp>25/01/2016</stp>
        <stp>25/01/2016</stp>
        <stp>[Bbg_Market_Data_CL.xlsm]data!R302C21</stp>
        <tr r="U302" s="1"/>
      </tp>
      <tp t="s">
        <v>#N/A Requesting Data...</v>
        <stp/>
        <stp>##V3_BDHV12</stp>
        <stp>CL1 Comdty</stp>
        <stp>30DAY_IMPVOL_95.0%MNY_DF</stp>
        <stp>07/11/2016</stp>
        <stp>07/11/2016</stp>
        <stp>[Bbg_Market_Data_CL.xlsm]data!R105C21</stp>
        <tr r="U105" s="1"/>
      </tp>
      <tp t="s">
        <v>#N/A Requesting Data...</v>
        <stp/>
        <stp>##V3_BDHV12</stp>
        <stp>CL1 Comdty</stp>
        <stp>30DAY_IMPVOL_95.0%MNY_DF</stp>
        <stp>31/07/2015</stp>
        <stp>31/07/2015</stp>
        <stp>[Bbg_Market_Data_CL.xlsm]data!R421C21</stp>
        <tr r="U421" s="1"/>
      </tp>
      <tp t="s">
        <v>#N/A Requesting Data...</v>
        <stp/>
        <stp>##V3_BDHV12</stp>
        <stp>CL1 Comdty</stp>
        <stp>30DAY_IMPVOL_95.0%MNY_DF</stp>
        <stp>17/10/2016</stp>
        <stp>17/10/2016</stp>
        <stp>[Bbg_Market_Data_CL.xlsm]data!R120C21</stp>
        <tr r="U120" s="1"/>
      </tp>
      <tp t="s">
        <v>#N/A Requesting Data...</v>
        <stp/>
        <stp>##V3_BDHV12</stp>
        <stp>CL1 Comdty</stp>
        <stp>30DAY_IMPVOL_95.0%MNY_DF</stp>
        <stp>16/12/2015</stp>
        <stp>16/12/2015</stp>
        <stp>[Bbg_Market_Data_CL.xlsm]data!R327C21</stp>
        <tr r="U327" s="1"/>
      </tp>
      <tp t="s">
        <v>#N/A Requesting Data...</v>
        <stp/>
        <stp>##V3_BDHV12</stp>
        <stp>CL1 Comdty</stp>
        <stp>30DAY_IMPVOL_95.0%MNY_DF</stp>
        <stp>04/02/2016</stp>
        <stp>04/02/2016</stp>
        <stp>[Bbg_Market_Data_CL.xlsm]data!R294C21</stp>
        <tr r="U294" s="1"/>
      </tp>
      <tp t="s">
        <v>#N/A Requesting Data...</v>
        <stp/>
        <stp>##V3_BDHV12</stp>
        <stp>CL1 Comdty</stp>
        <stp>30DAY_IMPVOL_90.0%MNY_DF</stp>
        <stp>22/06/2016</stp>
        <stp>22/06/2016</stp>
        <stp>[Bbg_Market_Data_CL.xlsm]data!R199C23</stp>
        <tr r="W199" s="1"/>
      </tp>
      <tp t="s">
        <v>#N/A Requesting Data...</v>
        <stp/>
        <stp>##V3_BDHV12</stp>
        <stp>SPGSCLP Index</stp>
        <stp>CHG_PCT_5D</stp>
        <stp>03/02/2016</stp>
        <stp>03/02/2016</stp>
        <stp>[Bbg_Market_Data_CL.xlsm]data!R296C4</stp>
        <tr r="D296" s="1"/>
      </tp>
      <tp t="s">
        <v>#N/A Requesting Data...</v>
        <stp/>
        <stp>##V3_BDHV12</stp>
        <stp>SPGSCLP Index</stp>
        <stp>CHG_PCT_5D</stp>
        <stp>07/05/2015</stp>
        <stp>07/05/2015</stp>
        <stp>[Bbg_Market_Data_CL.xlsm]data!R481C4</stp>
        <tr r="D481" s="1"/>
      </tp>
      <tp t="s">
        <v>#N/A Requesting Data...</v>
        <stp/>
        <stp>##V3_BDHV12</stp>
        <stp>SPGSCLP Index</stp>
        <stp>CHG_PCT_5D</stp>
        <stp>20/10/2015</stp>
        <stp>20/10/2015</stp>
        <stp>[Bbg_Market_Data_CL.xlsm]data!R367C4</stp>
        <tr r="D367" s="1"/>
      </tp>
      <tp t="s">
        <v>#N/A Requesting Data...</v>
        <stp/>
        <stp>##V3_BDHV12</stp>
        <stp>SPGSCLP Index</stp>
        <stp>CHG_PCT_1D</stp>
        <stp>04/06/2015</stp>
        <stp>04/06/2015</stp>
        <stp>[Bbg_Market_Data_CL.xlsm]data!R462C3</stp>
        <tr r="C462" s="1"/>
      </tp>
      <tp t="s">
        <v>#N/A Requesting Data...</v>
        <stp/>
        <stp>##V3_BDHV12</stp>
        <stp>SPGSCLP Index</stp>
        <stp>CHG_PCT_1D</stp>
        <stp>07/05/2015</stp>
        <stp>07/05/2015</stp>
        <stp>[Bbg_Market_Data_CL.xlsm]data!R481C3</stp>
        <tr r="C481" s="1"/>
      </tp>
      <tp t="s">
        <v>#N/A Requesting Data...</v>
        <stp/>
        <stp>##V3_BDHV12</stp>
        <stp>SPGSCLP Index</stp>
        <stp>CHG_PCT_1D</stp>
        <stp>20/10/2015</stp>
        <stp>20/10/2015</stp>
        <stp>[Bbg_Market_Data_CL.xlsm]data!R367C3</stp>
        <tr r="C367" s="1"/>
      </tp>
      <tp t="s">
        <v>#N/A Requesting Data...</v>
        <stp/>
        <stp>##V3_BDHV12</stp>
        <stp>SPGSCLP Index</stp>
        <stp>CHG_PCT_5D</stp>
        <stp>04/06/2015</stp>
        <stp>04/06/2015</stp>
        <stp>[Bbg_Market_Data_CL.xlsm]data!R462C4</stp>
        <tr r="D462" s="1"/>
      </tp>
      <tp t="s">
        <v>#N/A Requesting Data...</v>
        <stp/>
        <stp>##V3_BDHV12</stp>
        <stp>SPGSCLP Index</stp>
        <stp>CHG_PCT_1D</stp>
        <stp>03/02/2016</stp>
        <stp>03/02/2016</stp>
        <stp>[Bbg_Market_Data_CL.xlsm]data!R296C3</stp>
        <tr r="C296" s="1"/>
      </tp>
      <tp t="s">
        <v>#N/A Requesting Data...</v>
        <stp/>
        <stp>##V3_BDHV12</stp>
        <stp>CL1 Comdty</stp>
        <stp>30DAY_IMPVOL_95.0%MNY_DF</stp>
        <stp>02/07/2015</stp>
        <stp>02/07/2015</stp>
        <stp>[Bbg_Market_Data_CL.xlsm]data!R441C21</stp>
        <tr r="U441" s="1"/>
      </tp>
      <tp t="s">
        <v>#N/A Requesting Data...</v>
        <stp/>
        <stp>##V3_BDHV12</stp>
        <stp>CL1 Comdty</stp>
        <stp>30DAY_IMPVOL_95.0%MNY_DF</stp>
        <stp>12/06/2015</stp>
        <stp>12/06/2015</stp>
        <stp>[Bbg_Market_Data_CL.xlsm]data!R455C21</stp>
        <tr r="U455" s="1"/>
      </tp>
      <tp t="s">
        <v>#N/A Requesting Data...</v>
        <stp/>
        <stp>##V3_BDHV12</stp>
        <stp>CL1 Comdty</stp>
        <stp>30DAY_IMPVOL_95.0%MNY_DF</stp>
        <stp>05/10/2015</stp>
        <stp>05/10/2015</stp>
        <stp>[Bbg_Market_Data_CL.xlsm]data!R376C21</stp>
        <tr r="U376" s="1"/>
      </tp>
      <tp t="s">
        <v>#N/A Requesting Data...</v>
        <stp/>
        <stp>##V3_BDHV12</stp>
        <stp>CL1 Comdty</stp>
        <stp>30DAY_IMPVOL_95.0%MNY_DF</stp>
        <stp>22/05/2015</stp>
        <stp>22/05/2015</stp>
        <stp>[Bbg_Market_Data_CL.xlsm]data!R469C21</stp>
        <tr r="U469" s="1"/>
      </tp>
      <tp t="s">
        <v>#N/A Requesting Data...</v>
        <stp/>
        <stp>##V3_BDHV12</stp>
        <stp>CL1 Comdty</stp>
        <stp>30DAY_IMPVOL_90.0%MNY_DF</stp>
        <stp>12/05/2016</stp>
        <stp>12/05/2016</stp>
        <stp>[Bbg_Market_Data_CL.xlsm]data!R227C23</stp>
        <tr r="W227" s="1"/>
      </tp>
      <tp t="s">
        <v>#N/A Requesting Data...</v>
        <stp/>
        <stp>##V3_BDHV12</stp>
        <stp>CL1 Comdty</stp>
        <stp>30DAY_IMPVOL_95.0%MNY_DF</stp>
        <stp>24/10/2016</stp>
        <stp>24/10/2016</stp>
        <stp>[Bbg_Market_Data_CL.xlsm]data!R115C21</stp>
        <tr r="U115" s="1"/>
      </tp>
      <tp t="s">
        <v>#N/A Requesting Data...</v>
        <stp/>
        <stp>##V3_BDHV12</stp>
        <stp>CL1 Comdty</stp>
        <stp>30DAY_IMPVOL_90.0%MNY_DF</stp>
        <stp>01/07/2016</stp>
        <stp>01/07/2016</stp>
        <stp>[Bbg_Market_Data_CL.xlsm]data!R192C23</stp>
        <tr r="W192" s="1"/>
      </tp>
      <tp t="s">
        <v>#N/A Requesting Data...</v>
        <stp/>
        <stp>##V3_BDHV12</stp>
        <stp>SPGSCLP Index</stp>
        <stp>CHG_PCT_5D</stp>
        <stp>21/12/2015</stp>
        <stp>21/12/2015</stp>
        <stp>[Bbg_Market_Data_CL.xlsm]data!R325C4</stp>
        <tr r="D325" s="1"/>
      </tp>
      <tp t="s">
        <v>#N/A Requesting Data...</v>
        <stp/>
        <stp>##V3_BDHV12</stp>
        <stp>SPGSCLP Index</stp>
        <stp>CHG_PCT_5D</stp>
        <stp>17/07/2015</stp>
        <stp>17/07/2015</stp>
        <stp>[Bbg_Market_Data_CL.xlsm]data!R432C4</stp>
        <tr r="D432" s="1"/>
      </tp>
      <tp t="s">
        <v>#N/A Requesting Data...</v>
        <stp/>
        <stp>##V3_BDHV12</stp>
        <stp>SPGSCLP Index</stp>
        <stp>CHG_PCT_1D</stp>
        <stp>03/12/2015</stp>
        <stp>03/12/2015</stp>
        <stp>[Bbg_Market_Data_CL.xlsm]data!R337C3</stp>
        <tr r="C337" s="1"/>
      </tp>
      <tp t="s">
        <v>#N/A Requesting Data...</v>
        <stp/>
        <stp>##V3_BDHV12</stp>
        <stp>SPGSCLP Index</stp>
        <stp>CHG_PCT_1D</stp>
        <stp>17/07/2015</stp>
        <stp>17/07/2015</stp>
        <stp>[Bbg_Market_Data_CL.xlsm]data!R432C3</stp>
        <tr r="C432" s="1"/>
      </tp>
      <tp t="s">
        <v>#N/A Requesting Data...</v>
        <stp/>
        <stp>##V3_BDHV12</stp>
        <stp>SPGSCLP Index</stp>
        <stp>CHG_PCT_5D</stp>
        <stp>03/12/2015</stp>
        <stp>03/12/2015</stp>
        <stp>[Bbg_Market_Data_CL.xlsm]data!R337C4</stp>
        <tr r="D337" s="1"/>
      </tp>
      <tp t="s">
        <v>#N/A Requesting Data...</v>
        <stp/>
        <stp>##V3_BDHV12</stp>
        <stp>SPGSCLP Index</stp>
        <stp>CHG_PCT_1D</stp>
        <stp>21/12/2015</stp>
        <stp>21/12/2015</stp>
        <stp>[Bbg_Market_Data_CL.xlsm]data!R325C3</stp>
        <tr r="C325" s="1"/>
      </tp>
      <tp t="s">
        <v>#N/A Requesting Data...</v>
        <stp/>
        <stp>##V3_BDHV12</stp>
        <stp>CL1 Comdty</stp>
        <stp>30DAY_IMPVOL_95.0%MNY_DF</stp>
        <stp>04/11/2015</stp>
        <stp>04/11/2015</stp>
        <stp>[Bbg_Market_Data_CL.xlsm]data!R355C21</stp>
        <tr r="U355" s="1"/>
      </tp>
      <tp t="s">
        <v>#N/A Requesting Data...</v>
        <stp/>
        <stp>##V3_BDHV12</stp>
        <stp>CL1 Comdty</stp>
        <stp>30DAY_IMPVOL_95.0%MNY_DF</stp>
        <stp>14/10/2015</stp>
        <stp>14/10/2015</stp>
        <stp>[Bbg_Market_Data_CL.xlsm]data!R370C21</stp>
        <tr r="U370" s="1"/>
      </tp>
      <tp t="s">
        <v>#N/A Requesting Data...</v>
        <stp/>
        <stp>##V3_BDHV12</stp>
        <stp>CL1 Comdty</stp>
        <stp>30DAY_IMPVOL_95.0%MNY_DF</stp>
        <stp>03/06/2015</stp>
        <stp>03/06/2015</stp>
        <stp>[Bbg_Market_Data_CL.xlsm]data!R462C21</stp>
        <tr r="U462" s="1"/>
      </tp>
      <tp t="s">
        <v>#N/A Requesting Data...</v>
        <stp/>
        <stp>##V3_BDHV12</stp>
        <stp>CL1 Comdty</stp>
        <stp>30DAY_IMPVOL_90.0%MNY_DF</stp>
        <stp>13/04/2016</stp>
        <stp>13/04/2016</stp>
        <stp>[Bbg_Market_Data_CL.xlsm]data!R248C23</stp>
        <tr r="W248" s="1"/>
      </tp>
      <tp t="s">
        <v>#N/A Requesting Data...</v>
        <stp/>
        <stp>##V3_BDHV12</stp>
        <stp>CL1 Comdty</stp>
        <stp>30DAY_IMPVOL_90.0%MNY_DF</stp>
        <stp>03/05/2016</stp>
        <stp>03/05/2016</stp>
        <stp>[Bbg_Market_Data_CL.xlsm]data!R234C23</stp>
        <tr r="W234" s="1"/>
      </tp>
      <tp t="s">
        <v>#N/A Requesting Data...</v>
        <stp/>
        <stp>##V3_BDHV12</stp>
        <stp>CL1 Comdty</stp>
        <stp>30DAY_IMPVOL_95.0%MNY_DF</stp>
        <stp>07/01/2016</stp>
        <stp>07/01/2016</stp>
        <stp>[Bbg_Market_Data_CL.xlsm]data!R313C21</stp>
        <tr r="U313" s="1"/>
      </tp>
      <tp t="s">
        <v>#N/A Requesting Data...</v>
        <stp/>
        <stp>##V3_BDHV12</stp>
        <stp>CL1 Comdty</stp>
        <stp>30DAY_IMPVOL_95.0%MNY_DF</stp>
        <stp>13/07/2015</stp>
        <stp>13/07/2015</stp>
        <stp>[Bbg_Market_Data_CL.xlsm]data!R435C21</stp>
        <tr r="U435" s="1"/>
      </tp>
      <tp t="s">
        <v>#N/A Requesting Data...</v>
        <stp/>
        <stp>##V3_BDHV12</stp>
        <stp>CL1 Comdty</stp>
        <stp>30DAY_IMPVOL_95.0%MNY_DF</stp>
        <stp>26/02/2016</stp>
        <stp>26/02/2016</stp>
        <stp>[Bbg_Market_Data_CL.xlsm]data!R280C21</stp>
        <tr r="U280" s="1"/>
      </tp>
      <tp t="s">
        <v>#N/A Requesting Data...</v>
        <stp/>
        <stp>##V3_BDHV12</stp>
        <stp>CL1 Comdty</stp>
        <stp>30DAY_IMPVOL_95.0%MNY_DF</stp>
        <stp>23/04/2015</stp>
        <stp>23/04/2015</stp>
        <stp>[Bbg_Market_Data_CL.xlsm]data!R490C21</stp>
        <tr r="U490" s="1"/>
      </tp>
      <tp t="s">
        <v>#N/A Requesting Data...</v>
        <stp/>
        <stp>##V3_BDHV12</stp>
        <stp>SPGSCLP Index</stp>
        <stp>CHG_PCT_5D</stp>
        <stp>23/02/2016</stp>
        <stp>23/02/2016</stp>
        <stp>[Bbg_Market_Data_CL.xlsm]data!R284C4</stp>
        <tr r="D284" s="1"/>
      </tp>
      <tp t="s">
        <v>#N/A Requesting Data...</v>
        <stp/>
        <stp>##V3_BDHV12</stp>
        <stp>SPGSCLP Index</stp>
        <stp>CHG_PCT_1D</stp>
        <stp>12/10/2016</stp>
        <stp>12/10/2016</stp>
        <stp>[Bbg_Market_Data_CL.xlsm]data!R124C3</stp>
        <tr r="C124" s="1"/>
      </tp>
      <tp t="s">
        <v>#N/A Requesting Data...</v>
        <stp/>
        <stp>##V3_BDHV12</stp>
        <stp>SPGSCLP Index</stp>
        <stp>CHG_PCT_5D</stp>
        <stp>21/10/2016</stp>
        <stp>21/10/2016</stp>
        <stp>[Bbg_Market_Data_CL.xlsm]data!R117C4</stp>
        <tr r="D117" s="1"/>
      </tp>
      <tp t="s">
        <v>#N/A Requesting Data...</v>
        <stp/>
        <stp>##V3_BDHV12</stp>
        <stp>SPGSCLP Index</stp>
        <stp>CHG_PCT_5D</stp>
        <stp>17/06/2015</stp>
        <stp>17/06/2015</stp>
        <stp>[Bbg_Market_Data_CL.xlsm]data!R453C4</stp>
        <tr r="D453" s="1"/>
      </tp>
      <tp t="s">
        <v>#N/A Requesting Data...</v>
        <stp/>
        <stp>##V3_BDHV12</stp>
        <stp>SPGSCLP Index</stp>
        <stp>CHG_PCT_5D</stp>
        <stp>12/10/2016</stp>
        <stp>12/10/2016</stp>
        <stp>[Bbg_Market_Data_CL.xlsm]data!R124C4</stp>
        <tr r="D124" s="1"/>
      </tp>
      <tp t="s">
        <v>#N/A Requesting Data...</v>
        <stp/>
        <stp>##V3_BDHV12</stp>
        <stp>SPGSCLP Index</stp>
        <stp>CHG_PCT_1D</stp>
        <stp>21/10/2016</stp>
        <stp>21/10/2016</stp>
        <stp>[Bbg_Market_Data_CL.xlsm]data!R117C3</stp>
        <tr r="C117" s="1"/>
      </tp>
      <tp t="s">
        <v>#N/A Requesting Data...</v>
        <stp/>
        <stp>##V3_BDHV12</stp>
        <stp>SPGSCLP Index</stp>
        <stp>CHG_PCT_1D</stp>
        <stp>17/06/2015</stp>
        <stp>17/06/2015</stp>
        <stp>[Bbg_Market_Data_CL.xlsm]data!R453C3</stp>
        <tr r="C453" s="1"/>
      </tp>
      <tp t="s">
        <v>#N/A Requesting Data...</v>
        <stp/>
        <stp>##V3_BDHV12</stp>
        <stp>SPGSCLP Index</stp>
        <stp>CHG_PCT_1D</stp>
        <stp>23/02/2016</stp>
        <stp>23/02/2016</stp>
        <stp>[Bbg_Market_Data_CL.xlsm]data!R284C3</stp>
        <tr r="C284" s="1"/>
      </tp>
      <tp t="s">
        <v>#N/A Requesting Data...</v>
        <stp/>
        <stp>##V3_BDHV12</stp>
        <stp>CL1 Comdty</stp>
        <stp>30DAY_IMPVOL_90.0%MNY_DF</stp>
        <stp>14/03/2016</stp>
        <stp>14/03/2016</stp>
        <stp>[Bbg_Market_Data_CL.xlsm]data!R269C23</stp>
        <tr r="W269" s="1"/>
      </tp>
      <tp t="s">
        <v>#N/A Requesting Data...</v>
        <stp/>
        <stp>##V3_BDHV12</stp>
        <stp>CL1 Comdty</stp>
        <stp>30DAY_IMPVOL_90.0%MNY_DF</stp>
        <stp>11/05/2015</stp>
        <stp>11/05/2015</stp>
        <stp>[Bbg_Market_Data_CL.xlsm]data!R478C23</stp>
        <tr r="W478" s="1"/>
      </tp>
      <tp t="s">
        <v>#N/A Requesting Data...</v>
        <stp/>
        <stp>##V3_BDHV12</stp>
        <stp>CL1 Comdty</stp>
        <stp>30DAY_IMPVOL_90.0%MNY_DF</stp>
        <stp>31/07/2015</stp>
        <stp>31/07/2015</stp>
        <stp>[Bbg_Market_Data_CL.xlsm]data!R421C23</stp>
        <tr r="W421" s="1"/>
      </tp>
      <tp t="s">
        <v>#N/A Requesting Data...</v>
        <stp/>
        <stp>##V3_BDHV12</stp>
        <stp>CL1 Comdty</stp>
        <stp>30DAY_IMPVOL_90.0%MNY_DF</stp>
        <stp>17/10/2016</stp>
        <stp>17/10/2016</stp>
        <stp>[Bbg_Market_Data_CL.xlsm]data!R120C23</stp>
        <tr r="W120" s="1"/>
      </tp>
      <tp t="s">
        <v>#N/A Requesting Data...</v>
        <stp/>
        <stp>##V3_BDHV12</stp>
        <stp>CL1 Comdty</stp>
        <stp>30DAY_IMPVOL_90.0%MNY_DF</stp>
        <stp>16/12/2015</stp>
        <stp>16/12/2015</stp>
        <stp>[Bbg_Market_Data_CL.xlsm]data!R327C23</stp>
        <tr r="W327" s="1"/>
      </tp>
      <tp t="s">
        <v>#N/A Requesting Data...</v>
        <stp/>
        <stp>##V3_BDHV12</stp>
        <stp>CL1 Comdty</stp>
        <stp>30DAY_IMPVOL_90.0%MNY_DF</stp>
        <stp>25/01/2016</stp>
        <stp>25/01/2016</stp>
        <stp>[Bbg_Market_Data_CL.xlsm]data!R302C23</stp>
        <tr r="W302" s="1"/>
      </tp>
      <tp t="s">
        <v>#N/A Requesting Data...</v>
        <stp/>
        <stp>##V3_BDHV12</stp>
        <stp>CL1 Comdty</stp>
        <stp>30DAY_IMPVOL_90.0%MNY_DF</stp>
        <stp>07/11/2016</stp>
        <stp>07/11/2016</stp>
        <stp>[Bbg_Market_Data_CL.xlsm]data!R105C23</stp>
        <tr r="W105" s="1"/>
      </tp>
      <tp t="s">
        <v>#N/A Requesting Data...</v>
        <stp/>
        <stp>##V3_BDHV12</stp>
        <stp>CL1 Comdty</stp>
        <stp>30DAY_IMPVOL_95.0%MNY_DF</stp>
        <stp>22/06/2016</stp>
        <stp>22/06/2016</stp>
        <stp>[Bbg_Market_Data_CL.xlsm]data!R199C21</stp>
        <tr r="U199" s="1"/>
      </tp>
      <tp t="s">
        <v>#N/A Requesting Data...</v>
        <stp/>
        <stp>##V3_BDHV12</stp>
        <stp>CL1 Comdty</stp>
        <stp>30DAY_IMPVOL_90.0%MNY_DF</stp>
        <stp>04/02/2016</stp>
        <stp>04/02/2016</stp>
        <stp>[Bbg_Market_Data_CL.xlsm]data!R294C23</stp>
        <tr r="W294" s="1"/>
      </tp>
      <tp t="s">
        <v>#N/A Requesting Data...</v>
        <stp/>
        <stp>##V3_BDHV12</stp>
        <stp>SPGSCLP Index</stp>
        <stp>CHG_PCT_1D</stp>
        <stp>06/11/2015</stp>
        <stp>06/11/2015</stp>
        <stp>[Bbg_Market_Data_CL.xlsm]data!R354C3</stp>
        <tr r="C354" s="1"/>
      </tp>
      <tp t="s">
        <v>#N/A Requesting Data...</v>
        <stp/>
        <stp>##V3_BDHV12</stp>
        <stp>SPGSCLP Index</stp>
        <stp>CHG_PCT_1D</stp>
        <stp>07/10/2015</stp>
        <stp>07/10/2015</stp>
        <stp>[Bbg_Market_Data_CL.xlsm]data!R375C3</stp>
        <tr r="C375" s="1"/>
      </tp>
      <tp t="s">
        <v>#N/A Requesting Data...</v>
        <stp/>
        <stp>##V3_BDHV12</stp>
        <stp>SPGSCLP Index</stp>
        <stp>CHG_PCT_5D</stp>
        <stp>07/10/2015</stp>
        <stp>07/10/2015</stp>
        <stp>[Bbg_Market_Data_CL.xlsm]data!R375C4</stp>
        <tr r="D375" s="1"/>
      </tp>
      <tp t="s">
        <v>#N/A Requesting Data...</v>
        <stp/>
        <stp>##V3_BDHV12</stp>
        <stp>SPGSCLP Index</stp>
        <stp>CHG_PCT_5D</stp>
        <stp>06/11/2015</stp>
        <stp>06/11/2015</stp>
        <stp>[Bbg_Market_Data_CL.xlsm]data!R354C4</stp>
        <tr r="D354" s="1"/>
      </tp>
      <tp t="s">
        <v>#N/A Requesting Data...</v>
        <stp/>
        <stp>##V3_BDHV12</stp>
        <stp>SPGSCLP Index</stp>
        <stp>CHG_PCT_1D</stp>
        <stp>10/05/2016</stp>
        <stp>10/05/2016</stp>
        <stp>[Bbg_Market_Data_CL.xlsm]data!R230C3</stp>
        <tr r="C230" s="1"/>
      </tp>
      <tp t="s">
        <v>#N/A Requesting Data...</v>
        <stp/>
        <stp>##V3_BDHV12</stp>
        <stp>SPGSCLP Index</stp>
        <stp>CHG_PCT_1D</stp>
        <stp>11/04/2016</stp>
        <stp>11/04/2016</stp>
        <stp>[Bbg_Market_Data_CL.xlsm]data!R251C3</stp>
        <tr r="C251" s="1"/>
      </tp>
      <tp t="s">
        <v>#N/A Requesting Data...</v>
        <stp/>
        <stp>##V3_BDHV12</stp>
        <stp>SPGSCLP Index</stp>
        <stp>CHG_PCT_5D</stp>
        <stp>22/04/2016</stp>
        <stp>22/04/2016</stp>
        <stp>[Bbg_Market_Data_CL.xlsm]data!R242C4</stp>
        <tr r="D242" s="1"/>
      </tp>
      <tp t="s">
        <v>#N/A Requesting Data...</v>
        <stp/>
        <stp>##V3_BDHV12</stp>
        <stp>SPGSCLP Index</stp>
        <stp>CHG_PCT_5D</stp>
        <stp>11/04/2016</stp>
        <stp>11/04/2016</stp>
        <stp>[Bbg_Market_Data_CL.xlsm]data!R251C4</stp>
        <tr r="D251" s="1"/>
      </tp>
      <tp t="s">
        <v>#N/A Requesting Data...</v>
        <stp/>
        <stp>##V3_BDHV12</stp>
        <stp>SPGSCLP Index</stp>
        <stp>CHG_PCT_1D</stp>
        <stp>22/04/2016</stp>
        <stp>22/04/2016</stp>
        <stp>[Bbg_Market_Data_CL.xlsm]data!R242C3</stp>
        <tr r="C242" s="1"/>
      </tp>
      <tp t="s">
        <v>#N/A Requesting Data...</v>
        <stp/>
        <stp>##V3_BDHV12</stp>
        <stp>SPGSCLP Index</stp>
        <stp>CHG_PCT_5D</stp>
        <stp>10/05/2016</stp>
        <stp>10/05/2016</stp>
        <stp>[Bbg_Market_Data_CL.xlsm]data!R230C4</stp>
        <tr r="D230" s="1"/>
      </tp>
      <tp t="s">
        <v>#N/A Requesting Data...</v>
        <stp/>
        <stp>##V3_BDHV12</stp>
        <stp>CL1 Comdty</stp>
        <stp>30DAY_IMPVOL_95.0%MNY_DF</stp>
        <stp>20/04/2016</stp>
        <stp>20/04/2016</stp>
        <stp>[Bbg_Market_Data_CL.xlsm]data!R243C21</stp>
        <tr r="U243" s="1"/>
      </tp>
      <tp t="s">
        <v>#N/A Requesting Data...</v>
        <stp/>
        <stp>##V3_BDHV12</stp>
        <stp>CL1 Comdty</stp>
        <stp>30DAY_IMPVOL_90.0%MNY_DF</stp>
        <stp>27/10/2015</stp>
        <stp>27/10/2015</stp>
        <stp>[Bbg_Market_Data_CL.xlsm]data!R361C23</stp>
        <tr r="W361" s="1"/>
      </tp>
      <tp t="s">
        <v>#N/A Requesting Data...</v>
        <stp/>
        <stp>##V3_BDHV12</stp>
        <stp>CL1 Comdty</stp>
        <stp>30DAY_IMPVOL_90.0%MNY_DF</stp>
        <stp>30/06/2015</stp>
        <stp>30/06/2015</stp>
        <stp>[Bbg_Market_Data_CL.xlsm]data!R443C23</stp>
        <tr r="W443" s="1"/>
      </tp>
      <tp t="s">
        <v>#N/A Requesting Data...</v>
        <stp/>
        <stp>##V3_BDHV12</stp>
        <stp>CL1 Comdty</stp>
        <stp>30DAY_IMPVOL_90.0%MNY_DF</stp>
        <stp>07/12/2015</stp>
        <stp>07/12/2015</stp>
        <stp>[Bbg_Market_Data_CL.xlsm]data!R334C23</stp>
        <tr r="W334" s="1"/>
      </tp>
      <tp t="s">
        <v>#N/A Requesting Data...</v>
        <stp/>
        <stp>##V3_BDHV12</stp>
        <stp>CL1 Comdty</stp>
        <stp>30DAY_IMPVOL_90.0%MNY_DF</stp>
        <stp>20/07/2015</stp>
        <stp>20/07/2015</stp>
        <stp>[Bbg_Market_Data_CL.xlsm]data!R430C23</stp>
        <tr r="W430" s="1"/>
      </tp>
      <tp t="s">
        <v>#N/A Requesting Data...</v>
        <stp/>
        <stp>##V3_BDHV12</stp>
        <stp>CL1 Comdty</stp>
        <stp>30DAY_IMPVOL_90.0%MNY_DF</stp>
        <stp>06/10/2016</stp>
        <stp>06/10/2016</stp>
        <stp>[Bbg_Market_Data_CL.xlsm]data!R126C23</stp>
        <tr r="W126" s="1"/>
      </tp>
      <tp t="s">
        <v>#N/A Requesting Data...</v>
        <stp/>
        <stp>##V3_BDHV12</stp>
        <stp>CL1 Comdty</stp>
        <stp>30DAY_IMPVOL_90.0%MNY_DF</stp>
        <stp>10/04/2015</stp>
        <stp>10/04/2015</stp>
        <stp>[Bbg_Market_Data_CL.xlsm]data!R499C23</stp>
        <tr r="W499" s="1"/>
      </tp>
      <tp t="s">
        <v>#N/A Requesting Data...</v>
        <stp/>
        <stp>##V3_BDHV12</stp>
        <stp>SPGSCLP Index</stp>
        <stp>CHG_PCT_5D</stp>
        <stp>22/06/2015</stp>
        <stp>22/06/2015</stp>
        <stp>[Bbg_Market_Data_CL.xlsm]data!R450C4</stp>
        <tr r="D450" s="1"/>
      </tp>
      <tp t="s">
        <v>#N/A Requesting Data...</v>
        <stp/>
        <stp>##V3_BDHV12</stp>
        <stp>SPGSCLP Index</stp>
        <stp>CHG_PCT_1D</stp>
        <stp>01/07/2015</stp>
        <stp>01/07/2015</stp>
        <stp>[Bbg_Market_Data_CL.xlsm]data!R443C3</stp>
        <tr r="C443" s="1"/>
      </tp>
      <tp t="s">
        <v>#N/A Requesting Data...</v>
        <stp/>
        <stp>##V3_BDHV12</stp>
        <stp>SPGSCLP Index</stp>
        <stp>CHG_PCT_1D</stp>
        <stp>22/06/2015</stp>
        <stp>22/06/2015</stp>
        <stp>[Bbg_Market_Data_CL.xlsm]data!R450C3</stp>
        <tr r="C450" s="1"/>
      </tp>
      <tp t="s">
        <v>#N/A Requesting Data...</v>
        <stp/>
        <stp>##V3_BDHV12</stp>
        <stp>SPGSCLP Index</stp>
        <stp>CHG_PCT_5D</stp>
        <stp>01/07/2015</stp>
        <stp>01/07/2015</stp>
        <stp>[Bbg_Market_Data_CL.xlsm]data!R443C4</stp>
        <tr r="D443" s="1"/>
      </tp>
      <tp t="s">
        <v>#N/A Requesting Data...</v>
        <stp/>
        <stp>##V3_BDHV12</stp>
        <stp>SPGSCLP Index</stp>
        <stp>CHG_PCT_5D</stp>
        <stp>20/07/2016</stp>
        <stp>20/07/2016</stp>
        <stp>[Bbg_Market_Data_CL.xlsm]data!R181C4</stp>
        <tr r="D181" s="1"/>
      </tp>
      <tp t="s">
        <v>#N/A Requesting Data...</v>
        <stp/>
        <stp>##V3_BDHV12</stp>
        <stp>SPGSCLP Index</stp>
        <stp>CHG_PCT_1D</stp>
        <stp>20/07/2016</stp>
        <stp>20/07/2016</stp>
        <stp>[Bbg_Market_Data_CL.xlsm]data!R181C3</stp>
        <tr r="C181" s="1"/>
      </tp>
      <tp t="s">
        <v>#N/A Requesting Data...</v>
        <stp/>
        <stp>##V3_BDHV12</stp>
        <stp>CL1 Comdty</stp>
        <stp>30DAY_IMPVOL_90.0%MNY_DF</stp>
        <stp>14/10/2015</stp>
        <stp>14/10/2015</stp>
        <stp>[Bbg_Market_Data_CL.xlsm]data!R370C23</stp>
        <tr r="W370" s="1"/>
      </tp>
      <tp t="s">
        <v>#N/A Requesting Data...</v>
        <stp/>
        <stp>##V3_BDHV12</stp>
        <stp>CL1 Comdty</stp>
        <stp>30DAY_IMPVOL_90.0%MNY_DF</stp>
        <stp>03/06/2015</stp>
        <stp>03/06/2015</stp>
        <stp>[Bbg_Market_Data_CL.xlsm]data!R462C23</stp>
        <tr r="W462" s="1"/>
      </tp>
      <tp t="s">
        <v>#N/A Requesting Data...</v>
        <stp/>
        <stp>##V3_BDHV12</stp>
        <stp>CL1 Comdty</stp>
        <stp>30DAY_IMPVOL_95.0%MNY_DF</stp>
        <stp>13/04/2016</stp>
        <stp>13/04/2016</stp>
        <stp>[Bbg_Market_Data_CL.xlsm]data!R248C21</stp>
        <tr r="U248" s="1"/>
      </tp>
      <tp t="s">
        <v>#N/A Requesting Data...</v>
        <stp/>
        <stp>##V3_BDHV12</stp>
        <stp>CL1 Comdty</stp>
        <stp>30DAY_IMPVOL_90.0%MNY_DF</stp>
        <stp>04/11/2015</stp>
        <stp>04/11/2015</stp>
        <stp>[Bbg_Market_Data_CL.xlsm]data!R355C23</stp>
        <tr r="W355" s="1"/>
      </tp>
      <tp t="s">
        <v>#N/A Requesting Data...</v>
        <stp/>
        <stp>##V3_BDHV12</stp>
        <stp>CL1 Comdty</stp>
        <stp>30DAY_IMPVOL_90.0%MNY_DF</stp>
        <stp>13/07/2015</stp>
        <stp>13/07/2015</stp>
        <stp>[Bbg_Market_Data_CL.xlsm]data!R435C23</stp>
        <tr r="W435" s="1"/>
      </tp>
      <tp t="s">
        <v>#N/A Requesting Data...</v>
        <stp/>
        <stp>##V3_BDHV12</stp>
        <stp>CL1 Comdty</stp>
        <stp>30DAY_IMPVOL_95.0%MNY_DF</stp>
        <stp>03/05/2016</stp>
        <stp>03/05/2016</stp>
        <stp>[Bbg_Market_Data_CL.xlsm]data!R234C21</stp>
        <tr r="U234" s="1"/>
      </tp>
      <tp t="s">
        <v>#N/A Requesting Data...</v>
        <stp/>
        <stp>##V3_BDHV12</stp>
        <stp>CL1 Comdty</stp>
        <stp>30DAY_IMPVOL_90.0%MNY_DF</stp>
        <stp>07/01/2016</stp>
        <stp>07/01/2016</stp>
        <stp>[Bbg_Market_Data_CL.xlsm]data!R313C23</stp>
        <tr r="W313" s="1"/>
      </tp>
      <tp t="s">
        <v>#N/A Requesting Data...</v>
        <stp/>
        <stp>##V3_BDHV12</stp>
        <stp>CL1 Comdty</stp>
        <stp>30DAY_IMPVOL_90.0%MNY_DF</stp>
        <stp>26/02/2016</stp>
        <stp>26/02/2016</stp>
        <stp>[Bbg_Market_Data_CL.xlsm]data!R280C23</stp>
        <tr r="W280" s="1"/>
      </tp>
      <tp t="s">
        <v>#N/A Requesting Data...</v>
        <stp/>
        <stp>##V3_BDHV12</stp>
        <stp>CL1 Comdty</stp>
        <stp>30DAY_IMPVOL_90.0%MNY_DF</stp>
        <stp>23/04/2015</stp>
        <stp>23/04/2015</stp>
        <stp>[Bbg_Market_Data_CL.xlsm]data!R490C23</stp>
        <tr r="W490" s="1"/>
      </tp>
      <tp t="s">
        <v>#N/A Requesting Data...</v>
        <stp/>
        <stp>##V3_BDHV12</stp>
        <stp>SPGSCLP Index</stp>
        <stp>CHG_PCT_1D</stp>
        <stp>20/07/2015</stp>
        <stp>20/07/2015</stp>
        <stp>[Bbg_Market_Data_CL.xlsm]data!R431C3</stp>
        <tr r="C431" s="1"/>
      </tp>
      <tp t="s">
        <v>#N/A Requesting Data...</v>
        <stp/>
        <stp>##V3_BDHV12</stp>
        <stp>SPGSCLP Index</stp>
        <stp>CHG_PCT_5D</stp>
        <stp>20/07/2015</stp>
        <stp>20/07/2015</stp>
        <stp>[Bbg_Market_Data_CL.xlsm]data!R431C4</stp>
        <tr r="D431" s="1"/>
      </tp>
      <tp t="s">
        <v>#N/A Requesting Data...</v>
        <stp/>
        <stp>##V3_BDHV12</stp>
        <stp>SPGSCLP Index</stp>
        <stp>CHG_PCT_5D</stp>
        <stp>01/07/2016</stp>
        <stp>01/07/2016</stp>
        <stp>[Bbg_Market_Data_CL.xlsm]data!R193C4</stp>
        <tr r="D193" s="1"/>
      </tp>
      <tp t="s">
        <v>#N/A Requesting Data...</v>
        <stp/>
        <stp>##V3_BDHV12</stp>
        <stp>SPGSCLP Index</stp>
        <stp>CHG_PCT_5D</stp>
        <stp>22/06/2016</stp>
        <stp>22/06/2016</stp>
        <stp>[Bbg_Market_Data_CL.xlsm]data!R200C4</stp>
        <tr r="D200" s="1"/>
      </tp>
      <tp t="s">
        <v>#N/A Requesting Data...</v>
        <stp/>
        <stp>##V3_BDHV12</stp>
        <stp>SPGSCLP Index</stp>
        <stp>CHG_PCT_1D</stp>
        <stp>01/07/2016</stp>
        <stp>01/07/2016</stp>
        <stp>[Bbg_Market_Data_CL.xlsm]data!R193C3</stp>
        <tr r="C193" s="1"/>
      </tp>
      <tp t="s">
        <v>#N/A Requesting Data...</v>
        <stp/>
        <stp>##V3_BDHV12</stp>
        <stp>SPGSCLP Index</stp>
        <stp>CHG_PCT_1D</stp>
        <stp>22/06/2016</stp>
        <stp>22/06/2016</stp>
        <stp>[Bbg_Market_Data_CL.xlsm]data!R200C3</stp>
        <tr r="C200" s="1"/>
      </tp>
      <tp t="s">
        <v>#N/A Requesting Data...</v>
        <stp/>
        <stp>##V3_BDHV12</stp>
        <stp>CL1 Comdty</stp>
        <stp>30DAY_IMPVOL_90.0%MNY_DF</stp>
        <stp>05/10/2015</stp>
        <stp>05/10/2015</stp>
        <stp>[Bbg_Market_Data_CL.xlsm]data!R376C23</stp>
        <tr r="W376" s="1"/>
      </tp>
      <tp t="s">
        <v>#N/A Requesting Data...</v>
        <stp/>
        <stp>##V3_BDHV12</stp>
        <stp>CL1 Comdty</stp>
        <stp>30DAY_IMPVOL_90.0%MNY_DF</stp>
        <stp>22/05/2015</stp>
        <stp>22/05/2015</stp>
        <stp>[Bbg_Market_Data_CL.xlsm]data!R469C23</stp>
        <tr r="W469" s="1"/>
      </tp>
      <tp t="s">
        <v>#N/A Requesting Data...</v>
        <stp/>
        <stp>##V3_BDHV12</stp>
        <stp>CL1 Comdty</stp>
        <stp>30DAY_IMPVOL_90.0%MNY_DF</stp>
        <stp>02/07/2015</stp>
        <stp>02/07/2015</stp>
        <stp>[Bbg_Market_Data_CL.xlsm]data!R441C23</stp>
        <tr r="W441" s="1"/>
      </tp>
      <tp t="s">
        <v>#N/A Requesting Data...</v>
        <stp/>
        <stp>##V3_BDHV12</stp>
        <stp>CL1 Comdty</stp>
        <stp>30DAY_IMPVOL_90.0%MNY_DF</stp>
        <stp>12/06/2015</stp>
        <stp>12/06/2015</stp>
        <stp>[Bbg_Market_Data_CL.xlsm]data!R455C23</stp>
        <tr r="W455" s="1"/>
      </tp>
      <tp t="s">
        <v>#N/A Requesting Data...</v>
        <stp/>
        <stp>##V3_BDHV12</stp>
        <stp>CL1 Comdty</stp>
        <stp>30DAY_IMPVOL_95.0%MNY_DF</stp>
        <stp>12/05/2016</stp>
        <stp>12/05/2016</stp>
        <stp>[Bbg_Market_Data_CL.xlsm]data!R227C21</stp>
        <tr r="U227" s="1"/>
      </tp>
      <tp t="s">
        <v>#N/A Requesting Data...</v>
        <stp/>
        <stp>##V3_BDHV12</stp>
        <stp>CL1 Comdty</stp>
        <stp>30DAY_IMPVOL_90.0%MNY_DF</stp>
        <stp>24/10/2016</stp>
        <stp>24/10/2016</stp>
        <stp>[Bbg_Market_Data_CL.xlsm]data!R115C23</stp>
        <tr r="W115" s="1"/>
      </tp>
      <tp t="s">
        <v>#N/A Requesting Data...</v>
        <stp/>
        <stp>##V3_BDHV12</stp>
        <stp>CL1 Comdty</stp>
        <stp>30DAY_IMPVOL_95.0%MNY_DF</stp>
        <stp>01/07/2016</stp>
        <stp>01/07/2016</stp>
        <stp>[Bbg_Market_Data_CL.xlsm]data!R192C21</stp>
        <tr r="U192" s="1"/>
      </tp>
      <tp t="s">
        <v>#N/A Requesting Data...</v>
        <stp/>
        <stp>##V3_BDHV12</stp>
        <stp>SPGSCLP Index</stp>
        <stp>CHG_PCT_5D</stp>
        <stp>22/04/2015</stp>
        <stp>22/04/2015</stp>
        <stp>[Bbg_Market_Data_CL.xlsm]data!R492C4</stp>
        <tr r="D492" s="1"/>
      </tp>
      <tp t="s">
        <v>#N/A Requesting Data...</v>
        <stp/>
        <stp>##V3_BDHV12</stp>
        <stp>SPGSCLP Index</stp>
        <stp>CHG_PCT_5D</stp>
        <stp>06/01/2016</stp>
        <stp>06/01/2016</stp>
        <stp>[Bbg_Market_Data_CL.xlsm]data!R315C4</stp>
        <tr r="D315" s="1"/>
      </tp>
      <tp t="s">
        <v>#N/A Requesting Data...</v>
        <stp/>
        <stp>##V3_BDHV12</stp>
        <stp>SPGSCLP Index</stp>
        <stp>CHG_PCT_1D</stp>
        <stp>22/04/2015</stp>
        <stp>22/04/2015</stp>
        <stp>[Bbg_Market_Data_CL.xlsm]data!R492C3</stp>
        <tr r="C492" s="1"/>
      </tp>
      <tp t="s">
        <v>#N/A Requesting Data...</v>
        <stp/>
        <stp>##V3_BDHV12</stp>
        <stp>SPGSCLP Index</stp>
        <stp>CHG_PCT_1D</stp>
        <stp>06/01/2016</stp>
        <stp>06/01/2016</stp>
        <stp>[Bbg_Market_Data_CL.xlsm]data!R315C3</stp>
        <tr r="C315" s="1"/>
      </tp>
      <tp t="s">
        <v>#N/A Requesting Data...</v>
        <stp/>
        <stp>##V3_BDHV12</stp>
        <stp>SPGSCLP Index</stp>
        <stp>CHG_PCT_5D</stp>
        <stp>18/12/2015</stp>
        <stp>18/12/2015</stp>
        <stp>[Bbg_Market_Data_CL.xlsm]data!R326C4</stp>
        <tr r="D326" s="1"/>
      </tp>
      <tp t="s">
        <v>#N/A Requesting Data...</v>
        <stp/>
        <stp>##V3_BDHV12</stp>
        <stp>SPGSCLP Index</stp>
        <stp>CHG_PCT_5D</stp>
        <stp>09/11/2016</stp>
        <stp>09/11/2016</stp>
        <stp>[Bbg_Market_Data_CL.xlsm]data!R104C4</stp>
        <tr r="D104" s="1"/>
      </tp>
      <tp t="s">
        <v>#N/A Requesting Data...</v>
        <stp/>
        <stp>##V3_BDHV12</stp>
        <stp>SPGSCLP Index</stp>
        <stp>CHG_PCT_1D</stp>
        <stp>18/12/2015</stp>
        <stp>18/12/2015</stp>
        <stp>[Bbg_Market_Data_CL.xlsm]data!R326C3</stp>
        <tr r="C326" s="1"/>
      </tp>
      <tp t="s">
        <v>#N/A Requesting Data...</v>
        <stp/>
        <stp>##V3_BDHV12</stp>
        <stp>SPGSCLP Index</stp>
        <stp>CHG_PCT_1D</stp>
        <stp>09/11/2016</stp>
        <stp>09/11/2016</stp>
        <stp>[Bbg_Market_Data_CL.xlsm]data!R104C3</stp>
        <tr r="C104" s="1"/>
      </tp>
      <tp t="s">
        <v>#N/A Requesting Data...</v>
        <stp/>
        <stp>##V3_BDHV12</stp>
        <stp>SPGSCLP Index</stp>
        <stp>CHG_PCT_1D</stp>
        <stp>18/03/2016</stp>
        <stp>18/03/2016</stp>
        <stp>[Bbg_Market_Data_CL.xlsm]data!R266C3</stp>
        <tr r="C266" s="1"/>
      </tp>
      <tp t="s">
        <v>#N/A Requesting Data...</v>
        <stp/>
        <stp>##V3_BDHV12</stp>
        <stp>SPGSCLP Index</stp>
        <stp>CHG_PCT_5D</stp>
        <stp>18/03/2016</stp>
        <stp>18/03/2016</stp>
        <stp>[Bbg_Market_Data_CL.xlsm]data!R266C4</stp>
        <tr r="D266" s="1"/>
      </tp>
      <tp t="s">
        <v>#N/A Requesting Data...</v>
        <stp/>
        <stp>##V3_BDHV12</stp>
        <stp>SPGSCLP Index</stp>
        <stp>CHG_PCT_1D</stp>
        <stp>18/02/2016</stp>
        <stp>18/02/2016</stp>
        <stp>[Bbg_Market_Data_CL.xlsm]data!R287C3</stp>
        <tr r="C287" s="1"/>
      </tp>
      <tp t="s">
        <v>#N/A Requesting Data...</v>
        <stp/>
        <stp>##V3_BDHV12</stp>
        <stp>SPGSCLP Index</stp>
        <stp>CHG_PCT_5D</stp>
        <stp>18/02/2016</stp>
        <stp>18/02/2016</stp>
        <stp>[Bbg_Market_Data_CL.xlsm]data!R287C4</stp>
        <tr r="D287" s="1"/>
      </tp>
      <tp t="s">
        <v>#N/A Requesting Data...</v>
        <stp/>
        <stp>##V3_BDHV12</stp>
        <stp>SPGSCLP Index</stp>
        <stp>CHG_PCT_1D</stp>
        <stp>09/05/2016</stp>
        <stp>09/05/2016</stp>
        <stp>[Bbg_Market_Data_CL.xlsm]data!R231C3</stp>
        <tr r="C231" s="1"/>
      </tp>
      <tp t="s">
        <v>#N/A Requesting Data...</v>
        <stp/>
        <stp>##V3_BDHV12</stp>
        <stp>SPGSCLP Index</stp>
        <stp>CHG_PCT_5D</stp>
        <stp>09/05/2016</stp>
        <stp>09/05/2016</stp>
        <stp>[Bbg_Market_Data_CL.xlsm]data!R231C4</stp>
        <tr r="D231" s="1"/>
      </tp>
      <tp t="s">
        <v>#N/A Requesting Data...</v>
        <stp/>
        <stp>##V3_BDHV12</stp>
        <stp>SPGSCLP Index</stp>
        <stp>CHG_PCT_5D</stp>
        <stp>19/07/2016</stp>
        <stp>19/07/2016</stp>
        <stp>[Bbg_Market_Data_CL.xlsm]data!R182C4</stp>
        <tr r="D182" s="1"/>
      </tp>
      <tp t="s">
        <v>#N/A Requesting Data...</v>
        <stp/>
        <stp>##V3_BDHV12</stp>
        <stp>SPGSCLP Index</stp>
        <stp>CHG_PCT_1D</stp>
        <stp>19/07/2016</stp>
        <stp>19/07/2016</stp>
        <stp>[Bbg_Market_Data_CL.xlsm]data!R182C3</stp>
        <tr r="C182" s="1"/>
      </tp>
      <tp t="s">
        <v>#N/A Requesting Data...</v>
        <stp/>
        <stp>##V3_BDHV12</stp>
        <stp>CL2 Comdty</stp>
        <stp>PX_LAST</stp>
        <stp>18/11/2016</stp>
        <stp>18/11/2016</stp>
        <stp>[Bbg_Market_Data_CL.xlsm]data!R98C9</stp>
        <tr r="I98" s="1"/>
      </tp>
      <tp t="s">
        <v>#N/A Requesting Data...</v>
        <stp/>
        <stp>##V3_BDHV12</stp>
        <stp>CL1 Comdty</stp>
        <stp>PX_LAST</stp>
        <stp>19/12/2016</stp>
        <stp>19/12/2016</stp>
        <stp>[Bbg_Market_Data_CL.xlsm]data!R78C9</stp>
        <tr r="I78" s="1"/>
      </tp>
      <tp t="s">
        <v>#N/A Requesting Data...</v>
        <stp/>
        <stp>##V3_BDHV12</stp>
        <stp>CL2 Comdty</stp>
        <stp>PX_LAST</stp>
        <stp>03/01/2017</stp>
        <stp>03/01/2017</stp>
        <stp>[Bbg_Market_Data_CL.xlsm]data!R69C9</stp>
        <tr r="I69" s="1"/>
      </tp>
      <tp t="s">
        <v>#N/A Requesting Data...</v>
        <stp/>
        <stp>##V3_BDHV12</stp>
        <stp>CL1 Comdty</stp>
        <stp>PX_LAST</stp>
        <stp>01/02/2017</stp>
        <stp>01/02/2017</stp>
        <stp>[Bbg_Market_Data_CL.xlsm]data!R49C9</stp>
        <tr r="I49" s="1"/>
      </tp>
      <tp t="s">
        <v>#N/A Requesting Data...</v>
        <stp/>
        <stp>##V3_BDHV12</stp>
        <stp>CL1 Comdty</stp>
        <stp>PX_LAST</stp>
        <stp>16/03/2017</stp>
        <stp>16/03/2017</stp>
        <stp>[Bbg_Market_Data_CL.xlsm]data!R19C9</stp>
        <tr r="I19" s="1"/>
      </tp>
      <tp t="s">
        <v>#N/A Requesting Data...</v>
        <stp/>
        <stp>##V3_BDHV12</stp>
        <stp>CL2 Comdty</stp>
        <stp>PX_LAST</stp>
        <stp>18/01/2017</stp>
        <stp>18/01/2017</stp>
        <stp>[Bbg_Market_Data_CL.xlsm]data!R59C9</stp>
        <tr r="I59" s="1"/>
      </tp>
      <tp t="s">
        <v>#N/A Requesting Data...</v>
        <stp/>
        <stp>##V3_BDHV12</stp>
        <stp>CL1 Comdty</stp>
        <stp>PX_LAST</stp>
        <stp>02/03/2017</stp>
        <stp>02/03/2017</stp>
        <stp>[Bbg_Market_Data_CL.xlsm]data!R29C9</stp>
        <tr r="I29" s="1"/>
      </tp>
      <tp t="s">
        <v>#N/A Requesting Data...</v>
        <stp/>
        <stp>##V3_BDHV12</stp>
        <stp>CL1 Comdty</stp>
        <stp>PX_LAST</stp>
        <stp>05/12/2016</stp>
        <stp>05/12/2016</stp>
        <stp>[Bbg_Market_Data_CL.xlsm]data!R88C9</stp>
        <tr r="I88" s="1"/>
      </tp>
      <tp t="s">
        <v>#N/A Requesting Data...</v>
        <stp/>
        <stp>##V3_BDHV12</stp>
        <stp>CL1 Comdty</stp>
        <stp>PX_LAST</stp>
        <stp>15/02/2017</stp>
        <stp>15/02/2017</stp>
        <stp>[Bbg_Market_Data_CL.xlsm]data!R39C9</stp>
        <tr r="I39" s="1"/>
      </tp>
      <tp t="s">
        <v>#N/A Requesting Data...</v>
        <stp/>
        <stp>##V3_BDHV12</stp>
        <stp>CL1 Comdty</stp>
        <stp>PX_LAST</stp>
        <stp>18/01/2017</stp>
        <stp>18/01/2017</stp>
        <stp>[Bbg_Market_Data_CL.xlsm]data!R59C9</stp>
        <tr r="I59" s="1"/>
      </tp>
      <tp t="s">
        <v>#N/A Requesting Data...</v>
        <stp/>
        <stp>##V3_BDHV12</stp>
        <stp>CL2 Comdty</stp>
        <stp>PX_LAST</stp>
        <stp>02/03/2017</stp>
        <stp>02/03/2017</stp>
        <stp>[Bbg_Market_Data_CL.xlsm]data!R29C9</stp>
        <tr r="I29" s="1"/>
      </tp>
      <tp t="s">
        <v>#N/A Requesting Data...</v>
        <stp/>
        <stp>##V3_BDHV12</stp>
        <stp>CL2 Comdty</stp>
        <stp>PX_LAST</stp>
        <stp>05/12/2016</stp>
        <stp>05/12/2016</stp>
        <stp>[Bbg_Market_Data_CL.xlsm]data!R88C9</stp>
        <tr r="I88" s="1"/>
      </tp>
      <tp t="s">
        <v>#N/A Requesting Data...</v>
        <stp/>
        <stp>##V3_BDHV12</stp>
        <stp>CL2 Comdty</stp>
        <stp>PX_LAST</stp>
        <stp>15/02/2017</stp>
        <stp>15/02/2017</stp>
        <stp>[Bbg_Market_Data_CL.xlsm]data!R39C9</stp>
        <tr r="I39" s="1"/>
      </tp>
      <tp t="s">
        <v>#N/A Requesting Data...</v>
        <stp/>
        <stp>##V3_BDHV12</stp>
        <stp>CL1 Comdty</stp>
        <stp>PX_LAST</stp>
        <stp>18/11/2016</stp>
        <stp>18/11/2016</stp>
        <stp>[Bbg_Market_Data_CL.xlsm]data!R98C9</stp>
        <tr r="I98" s="1"/>
      </tp>
      <tp t="s">
        <v>#N/A Requesting Data...</v>
        <stp/>
        <stp>##V3_BDHV12</stp>
        <stp>CL2 Comdty</stp>
        <stp>PX_LAST</stp>
        <stp>19/12/2016</stp>
        <stp>19/12/2016</stp>
        <stp>[Bbg_Market_Data_CL.xlsm]data!R78C9</stp>
        <tr r="I78" s="1"/>
      </tp>
      <tp t="s">
        <v>#N/A Requesting Data...</v>
        <stp/>
        <stp>##V3_BDHV12</stp>
        <stp>CL1 Comdty</stp>
        <stp>PX_LAST</stp>
        <stp>03/01/2017</stp>
        <stp>03/01/2017</stp>
        <stp>[Bbg_Market_Data_CL.xlsm]data!R69C9</stp>
        <tr r="I69" s="1"/>
      </tp>
      <tp t="s">
        <v>#N/A Requesting Data...</v>
        <stp/>
        <stp>##V3_BDHV12</stp>
        <stp>CL2 Comdty</stp>
        <stp>PX_LAST</stp>
        <stp>01/02/2017</stp>
        <stp>01/02/2017</stp>
        <stp>[Bbg_Market_Data_CL.xlsm]data!R49C9</stp>
        <tr r="I49" s="1"/>
      </tp>
      <tp t="s">
        <v>#N/A Requesting Data...</v>
        <stp/>
        <stp>##V3_BDHV12</stp>
        <stp>CL2 Comdty</stp>
        <stp>PX_LAST</stp>
        <stp>16/03/2017</stp>
        <stp>16/03/2017</stp>
        <stp>[Bbg_Market_Data_CL.xlsm]data!R19C9</stp>
        <tr r="I19" s="1"/>
      </tp>
      <tp t="s">
        <v>#N/A Requesting Data...</v>
        <stp/>
        <stp>##V3_BDHV12</stp>
        <stp>CL1 Comdty</stp>
        <stp>30DAY_IMPVOL_95.0%MNY_DF</stp>
        <stp>27/11/2015</stp>
        <stp>27/11/2015</stp>
        <stp>[Bbg_Market_Data_CL.xlsm]data!R340C21</stp>
        <tr r="U340" s="1"/>
      </tp>
      <tp t="s">
        <v>#N/A Requesting Data...</v>
        <stp/>
        <stp>##V3_BDHV12</stp>
        <stp>CL1 Comdty</stp>
        <stp>30DAY_IMPVOL_95.0%MNY_DF</stp>
        <stp>15/03/2016</stp>
        <stp>15/03/2016</stp>
        <stp>[Bbg_Market_Data_CL.xlsm]data!R268C21</stp>
        <tr r="U268" s="1"/>
      </tp>
      <tp t="s">
        <v>#N/A Requesting Data...</v>
        <stp/>
        <stp>##V3_BDHV12</stp>
        <stp>CL1 Comdty</stp>
        <stp>30DAY_IMPVOL_90.0%MNY_DF</stp>
        <stp>20/05/2016</stp>
        <stp>20/05/2016</stp>
        <stp>[Bbg_Market_Data_CL.xlsm]data!R221C23</stp>
        <tr r="W221" s="1"/>
      </tp>
      <tp t="s">
        <v>#N/A Requesting Data...</v>
        <stp/>
        <stp>##V3_BDHV12</stp>
        <stp>CL1 Comdty</stp>
        <stp>30DAY_IMPVOL_90.0%MNY_DF</stp>
        <stp>10/06/2016</stp>
        <stp>10/06/2016</stp>
        <stp>[Bbg_Market_Data_CL.xlsm]data!R207C23</stp>
        <tr r="W207" s="1"/>
      </tp>
      <tp t="s">
        <v>#N/A Requesting Data...</v>
        <stp/>
        <stp>##V3_BDHV12</stp>
        <stp>CL1 Comdty</stp>
        <stp>30DAY_IMPVOL_95.0%MNY_DF</stp>
        <stp>30/07/2015</stp>
        <stp>30/07/2015</stp>
        <stp>[Bbg_Market_Data_CL.xlsm]data!R422C21</stp>
        <tr r="U422" s="1"/>
      </tp>
      <tp t="s">
        <v>#N/A Requesting Data...</v>
        <stp/>
        <stp>##V3_BDHV12</stp>
        <stp>CL1 Comdty</stp>
        <stp>30DAY_IMPVOL_95.0%MNY_DF</stp>
        <stp>17/12/2015</stp>
        <stp>17/12/2015</stp>
        <stp>[Bbg_Market_Data_CL.xlsm]data!R326C21</stp>
        <tr r="U326" s="1"/>
      </tp>
      <tp t="s">
        <v>#N/A Requesting Data...</v>
        <stp/>
        <stp>##V3_BDHV12</stp>
        <stp>CL1 Comdty</stp>
        <stp>30DAY_IMPVOL_95.0%MNY_DF</stp>
        <stp>05/02/2016</stp>
        <stp>05/02/2016</stp>
        <stp>[Bbg_Market_Data_CL.xlsm]data!R293C21</stp>
        <tr r="U293" s="1"/>
      </tp>
      <tp t="s">
        <v>#N/A Requesting Data...</v>
        <stp/>
        <stp>##V3_BDHV12</stp>
        <stp>CL1 Comdty</stp>
        <stp>30DAY_IMPVOL_90.0%MNY_DF</stp>
        <stp>23/06/2016</stp>
        <stp>23/06/2016</stp>
        <stp>[Bbg_Market_Data_CL.xlsm]data!R198C23</stp>
        <tr r="W198" s="1"/>
      </tp>
      <tp t="s">
        <v>#N/A Requesting Data...</v>
        <stp/>
        <stp>##V3_BDHV12</stp>
        <stp>SPGSCLP Index</stp>
        <stp>CHG_PCT_5D</stp>
        <stp>21/10/2015</stp>
        <stp>21/10/2015</stp>
        <stp>[Bbg_Market_Data_CL.xlsm]data!R366C4</stp>
        <tr r="D366" s="1"/>
      </tp>
      <tp t="s">
        <v>#N/A Requesting Data...</v>
        <stp/>
        <stp>##V3_BDHV12</stp>
        <stp>SPGSCLP Index</stp>
        <stp>CHG_PCT_5D</stp>
        <stp>02/02/2016</stp>
        <stp>02/02/2016</stp>
        <stp>[Bbg_Market_Data_CL.xlsm]data!R297C4</stp>
        <tr r="D297" s="1"/>
      </tp>
      <tp t="s">
        <v>#N/A Requesting Data...</v>
        <stp/>
        <stp>##V3_BDHV12</stp>
        <stp>SPGSCLP Index</stp>
        <stp>CHG_PCT_5D</stp>
        <stp>11/10/2016</stp>
        <stp>11/10/2016</stp>
        <stp>[Bbg_Market_Data_CL.xlsm]data!R125C4</stp>
        <tr r="D125" s="1"/>
      </tp>
      <tp t="s">
        <v>#N/A Requesting Data...</v>
        <stp/>
        <stp>##V3_BDHV12</stp>
        <stp>SPGSCLP Index</stp>
        <stp>CHG_PCT_1D</stp>
        <stp>02/02/2016</stp>
        <stp>02/02/2016</stp>
        <stp>[Bbg_Market_Data_CL.xlsm]data!R297C3</stp>
        <tr r="C297" s="1"/>
      </tp>
      <tp t="s">
        <v>#N/A Requesting Data...</v>
        <stp/>
        <stp>##V3_BDHV12</stp>
        <stp>SPGSCLP Index</stp>
        <stp>CHG_PCT_1D</stp>
        <stp>11/10/2016</stp>
        <stp>11/10/2016</stp>
        <stp>[Bbg_Market_Data_CL.xlsm]data!R125C3</stp>
        <tr r="C125" s="1"/>
      </tp>
      <tp t="s">
        <v>#N/A Requesting Data...</v>
        <stp/>
        <stp>##V3_BDHV12</stp>
        <stp>SPGSCLP Index</stp>
        <stp>CHG_PCT_1D</stp>
        <stp>21/10/2015</stp>
        <stp>21/10/2015</stp>
        <stp>[Bbg_Market_Data_CL.xlsm]data!R366C3</stp>
        <tr r="C366" s="1"/>
      </tp>
      <tp t="s">
        <v>#N/A Requesting Data...</v>
        <stp/>
        <stp>##V3_BDHV12</stp>
        <stp>CL1 Comdty</stp>
        <stp>30DAY_IMPVOL_90.0%MNY_DF</stp>
        <stp>22/07/2016</stp>
        <stp>22/07/2016</stp>
        <stp>[Bbg_Market_Data_CL.xlsm]data!R178C23</stp>
        <tr r="W178" s="1"/>
      </tp>
      <tp t="s">
        <v>#N/A Requesting Data...</v>
        <stp/>
        <stp>##V3_BDHV12</stp>
        <stp>CL1 Comdty</stp>
        <stp>30DAY_IMPVOL_90.0%MNY_DF</stp>
        <stp>21/04/2016</stp>
        <stp>21/04/2016</stp>
        <stp>[Bbg_Market_Data_CL.xlsm]data!R242C23</stp>
        <tr r="W242" s="1"/>
      </tp>
      <tp t="s">
        <v>#N/A Requesting Data...</v>
        <stp/>
        <stp>##V3_BDHV12</stp>
        <stp>CL1 Comdty</stp>
        <stp>30DAY_IMPVOL_95.0%MNY_DF</stp>
        <stp>26/10/2015</stp>
        <stp>26/10/2015</stp>
        <stp>[Bbg_Market_Data_CL.xlsm]data!R362C21</stp>
        <tr r="U362" s="1"/>
      </tp>
      <tp t="s">
        <v>#N/A Requesting Data...</v>
        <stp/>
        <stp>##V3_BDHV12</stp>
        <stp>CL1 Comdty</stp>
        <stp>30DAY_IMPVOL_95.0%MNY_DF</stp>
        <stp>04/03/2016</stp>
        <stp>04/03/2016</stp>
        <stp>[Bbg_Market_Data_CL.xlsm]data!R275C21</stp>
        <tr r="U275" s="1"/>
      </tp>
      <tp t="s">
        <v>#N/A Requesting Data...</v>
        <stp/>
        <stp>##V3_BDHV12</stp>
        <stp>CL1 Comdty</stp>
        <stp>30DAY_IMPVOL_95.0%MNY_DF</stp>
        <stp>21/07/2015</stp>
        <stp>21/07/2015</stp>
        <stp>[Bbg_Market_Data_CL.xlsm]data!R429C21</stp>
        <tr r="U429" s="1"/>
      </tp>
      <tp t="s">
        <v>#N/A Requesting Data...</v>
        <stp/>
        <stp>##V3_BDHV12</stp>
        <stp>CL1 Comdty</stp>
        <stp>30DAY_IMPVOL_90.0%MNY_DF</stp>
        <stp>01/06/2016</stp>
        <stp>01/06/2016</stp>
        <stp>[Bbg_Market_Data_CL.xlsm]data!R214C23</stp>
        <tr r="W214" s="1"/>
      </tp>
      <tp t="s">
        <v>#N/A Requesting Data...</v>
        <stp/>
        <stp>##V3_BDHV12</stp>
        <stp>CL1 Comdty</stp>
        <stp>30DAY_IMPVOL_90.0%MNY_DF</stp>
        <stp>31/05/2016</stp>
        <stp>31/05/2016</stp>
        <stp>[Bbg_Market_Data_CL.xlsm]data!R215C23</stp>
        <tr r="W215" s="1"/>
      </tp>
      <tp t="s">
        <v>#N/A Requesting Data...</v>
        <stp/>
        <stp>##V3_BDHV12</stp>
        <stp>CL1 Comdty</stp>
        <stp>30DAY_IMPVOL_95.0%MNY_DF</stp>
        <stp>07/10/2016</stp>
        <stp>07/10/2016</stp>
        <stp>[Bbg_Market_Data_CL.xlsm]data!R125C21</stp>
        <tr r="U125" s="1"/>
      </tp>
      <tp t="s">
        <v>#N/A Requesting Data...</v>
        <stp/>
        <stp>##V3_BDHV12</stp>
        <stp>CL1 Comdty</stp>
        <stp>30DAY_IMPVOL_95.0%MNY_DF</stp>
        <stp>01/05/2015</stp>
        <stp>01/05/2015</stp>
        <stp>[Bbg_Market_Data_CL.xlsm]data!R484C21</stp>
        <tr r="U484" s="1"/>
      </tp>
      <tp t="s">
        <v>#N/A Requesting Data...</v>
        <stp/>
        <stp>##V3_BDHV12</stp>
        <stp>SPGSCLP Index</stp>
        <stp>CHG_PCT_1D</stp>
        <stp>22/12/2015</stp>
        <stp>22/12/2015</stp>
        <stp>[Bbg_Market_Data_CL.xlsm]data!R324C3</stp>
        <tr r="C324" s="1"/>
      </tp>
      <tp t="s">
        <v>#N/A Requesting Data...</v>
        <stp/>
        <stp>##V3_BDHV12</stp>
        <stp>SPGSCLP Index</stp>
        <stp>CHG_PCT_5D</stp>
        <stp>22/12/2015</stp>
        <stp>22/12/2015</stp>
        <stp>[Bbg_Market_Data_CL.xlsm]data!R324C4</stp>
        <tr r="D324" s="1"/>
      </tp>
      <tp t="s">
        <v>#N/A Requesting Data...</v>
        <stp/>
        <stp>##V3_BDHV12</stp>
        <stp>CL1 Comdty</stp>
        <stp>30DAY_IMPVOL_95.0%MNY_DF</stp>
        <stp>05/11/2015</stp>
        <stp>05/11/2015</stp>
        <stp>[Bbg_Market_Data_CL.xlsm]data!R354C21</stp>
        <tr r="U354" s="1"/>
      </tp>
      <tp t="s">
        <v>#N/A Requesting Data...</v>
        <stp/>
        <stp>##V3_BDHV12</stp>
        <stp>CL1 Comdty</stp>
        <stp>30DAY_IMPVOL_95.0%MNY_DF</stp>
        <stp>02/06/2015</stp>
        <stp>02/06/2015</stp>
        <stp>[Bbg_Market_Data_CL.xlsm]data!R463C21</stp>
        <tr r="U463" s="1"/>
      </tp>
      <tp t="s">
        <v>#N/A Requesting Data...</v>
        <stp/>
        <stp>##V3_BDHV12</stp>
        <stp>CL1 Comdty</stp>
        <stp>30DAY_IMPVOL_90.0%MNY_DF</stp>
        <stp>12/04/2016</stp>
        <stp>12/04/2016</stp>
        <stp>[Bbg_Market_Data_CL.xlsm]data!R249C23</stp>
        <tr r="W249" s="1"/>
      </tp>
      <tp t="s">
        <v>#N/A Requesting Data...</v>
        <stp/>
        <stp>##V3_BDHV12</stp>
        <stp>CL1 Comdty</stp>
        <stp>30DAY_IMPVOL_95.0%MNY_DF</stp>
        <stp>15/10/2015</stp>
        <stp>15/10/2015</stp>
        <stp>[Bbg_Market_Data_CL.xlsm]data!R369C21</stp>
        <tr r="U369" s="1"/>
      </tp>
      <tp t="s">
        <v>#N/A Requesting Data...</v>
        <stp/>
        <stp>##V3_BDHV12</stp>
        <stp>CL1 Comdty</stp>
        <stp>30DAY_IMPVOL_90.0%MNY_DF</stp>
        <stp>02/05/2016</stp>
        <stp>02/05/2016</stp>
        <stp>[Bbg_Market_Data_CL.xlsm]data!R235C23</stp>
        <tr r="W235" s="1"/>
      </tp>
      <tp t="s">
        <v>#N/A Requesting Data...</v>
        <stp/>
        <stp>##V3_BDHV12</stp>
        <stp>CL1 Comdty</stp>
        <stp>30DAY_IMPVOL_95.0%MNY_DF</stp>
        <stp>06/01/2016</stp>
        <stp>06/01/2016</stp>
        <stp>[Bbg_Market_Data_CL.xlsm]data!R314C21</stp>
        <tr r="U314" s="1"/>
      </tp>
      <tp t="s">
        <v>#N/A Requesting Data...</v>
        <stp/>
        <stp>##V3_BDHV12</stp>
        <stp>CL1 Comdty</stp>
        <stp>30DAY_IMPVOL_95.0%MNY_DF</stp>
        <stp>22/04/2015</stp>
        <stp>22/04/2015</stp>
        <stp>[Bbg_Market_Data_CL.xlsm]data!R491C21</stp>
        <tr r="U491" s="1"/>
      </tp>
      <tp t="s">
        <v>#N/A Requesting Data...</v>
        <stp/>
        <stp>##V3_BDHV12</stp>
        <stp>CL1 Comdty</stp>
        <stp>30DAY_IMPVOL_90.0%MNY_DF</stp>
        <stp>11/07/2016</stp>
        <stp>11/07/2016</stp>
        <stp>[Bbg_Market_Data_CL.xlsm]data!R187C23</stp>
        <tr r="W187" s="1"/>
      </tp>
      <tp t="s">
        <v>#N/A Requesting Data...</v>
        <stp/>
        <stp>##V3_BDHV12</stp>
        <stp>SPGSCLP Index</stp>
        <stp>CHG_PCT_5D</stp>
        <stp>05/07/2016</stp>
        <stp>05/07/2016</stp>
        <stp>[Bbg_Market_Data_CL.xlsm]data!R192C4</stp>
        <tr r="D192" s="1"/>
      </tp>
      <tp t="s">
        <v>#N/A Requesting Data...</v>
        <stp/>
        <stp>##V3_BDHV12</stp>
        <stp>SPGSCLP Index</stp>
        <stp>CHG_PCT_1D</stp>
        <stp>05/07/2016</stp>
        <stp>05/07/2016</stp>
        <stp>[Bbg_Market_Data_CL.xlsm]data!R192C3</stp>
        <tr r="C192" s="1"/>
      </tp>
      <tp t="s">
        <v>#N/A Requesting Data...</v>
        <stp/>
        <stp>##V3_BDHV12</stp>
        <stp>SPGSCLP Index</stp>
        <stp>CHG_PCT_5D</stp>
        <stp>22/02/2016</stp>
        <stp>22/02/2016</stp>
        <stp>[Bbg_Market_Data_CL.xlsm]data!R285C4</stp>
        <tr r="D285" s="1"/>
      </tp>
      <tp t="s">
        <v>#N/A Requesting Data...</v>
        <stp/>
        <stp>##V3_BDHV12</stp>
        <stp>SPGSCLP Index</stp>
        <stp>CHG_PCT_1D</stp>
        <stp>22/02/2016</stp>
        <stp>22/02/2016</stp>
        <stp>[Bbg_Market_Data_CL.xlsm]data!R285C3</stp>
        <tr r="C285" s="1"/>
      </tp>
      <tp t="s">
        <v>#N/A Requesting Data...</v>
        <stp/>
        <stp>##V3_BDHV12</stp>
        <stp>CL1 Comdty</stp>
        <stp>30DAY_IMPVOL_90.0%MNY_DF</stp>
        <stp>13/05/2016</stp>
        <stp>13/05/2016</stp>
        <stp>[Bbg_Market_Data_CL.xlsm]data!R226C23</stp>
        <tr r="W226" s="1"/>
      </tp>
      <tp t="s">
        <v>#N/A Requesting Data...</v>
        <stp/>
        <stp>##V3_BDHV12</stp>
        <stp>CL1 Comdty</stp>
        <stp>30DAY_IMPVOL_95.0%MNY_DF</stp>
        <stp>25/10/2016</stp>
        <stp>25/10/2016</stp>
        <stp>[Bbg_Market_Data_CL.xlsm]data!R114C21</stp>
        <tr r="U114" s="1"/>
      </tp>
      <tp t="s">
        <v>#N/A Requesting Data...</v>
        <stp/>
        <stp>##V3_BDHV12</stp>
        <stp>CL1 Comdty</stp>
        <stp>30DAY_IMPVOL_95.0%MNY_DF</stp>
        <stp>24/12/2015</stp>
        <stp>24/12/2015</stp>
        <stp>[Bbg_Market_Data_CL.xlsm]data!R321C21</stp>
        <tr r="U321" s="1"/>
      </tp>
      <tp t="s">
        <v>#N/A Requesting Data...</v>
        <stp/>
        <stp>##V3_BDHV12</stp>
        <stp>SPGSCLP Index</stp>
        <stp>CHG_PCT_5D</stp>
        <stp>16/07/2015</stp>
        <stp>16/07/2015</stp>
        <stp>[Bbg_Market_Data_CL.xlsm]data!R433C4</stp>
        <tr r="D433" s="1"/>
      </tp>
      <tp t="s">
        <v>#N/A Requesting Data...</v>
        <stp/>
        <stp>##V3_BDHV12</stp>
        <stp>SPGSCLP Index</stp>
        <stp>CHG_PCT_1D</stp>
        <stp>20/01/2016</stp>
        <stp>20/01/2016</stp>
        <stp>[Bbg_Market_Data_CL.xlsm]data!R306C3</stp>
        <tr r="C306" s="1"/>
      </tp>
      <tp t="s">
        <v>#N/A Requesting Data...</v>
        <stp/>
        <stp>##V3_BDHV12</stp>
        <stp>SPGSCLP Index</stp>
        <stp>CHG_PCT_5D</stp>
        <stp>22/03/2016</stp>
        <stp>22/03/2016</stp>
        <stp>[Bbg_Market_Data_CL.xlsm]data!R264C4</stp>
        <tr r="D264" s="1"/>
      </tp>
      <tp t="s">
        <v>#N/A Requesting Data...</v>
        <stp/>
        <stp>##V3_BDHV12</stp>
        <stp>SPGSCLP Index</stp>
        <stp>CHG_PCT_5D</stp>
        <stp>20/01/2016</stp>
        <stp>20/01/2016</stp>
        <stp>[Bbg_Market_Data_CL.xlsm]data!R306C4</stp>
        <tr r="D306" s="1"/>
      </tp>
      <tp t="s">
        <v>#N/A Requesting Data...</v>
        <stp/>
        <stp>##V3_BDHV12</stp>
        <stp>SPGSCLP Index</stp>
        <stp>CHG_PCT_1D</stp>
        <stp>22/03/2016</stp>
        <stp>22/03/2016</stp>
        <stp>[Bbg_Market_Data_CL.xlsm]data!R264C3</stp>
        <tr r="C264" s="1"/>
      </tp>
      <tp t="s">
        <v>#N/A Requesting Data...</v>
        <stp/>
        <stp>##V3_BDHV12</stp>
        <stp>SPGSCLP Index</stp>
        <stp>CHG_PCT_1D</stp>
        <stp>16/07/2015</stp>
        <stp>16/07/2015</stp>
        <stp>[Bbg_Market_Data_CL.xlsm]data!R433C3</stp>
        <tr r="C433" s="1"/>
      </tp>
      <tp t="s">
        <v>#N/A Requesting Data...</v>
        <stp/>
        <stp>##V3_BDHV12</stp>
        <stp>CL1 Comdty</stp>
        <stp>30DAY_IMPVOL_95.0%MNY_DF</stp>
        <stp>21/04/2016</stp>
        <stp>21/04/2016</stp>
        <stp>[Bbg_Market_Data_CL.xlsm]data!R242C21</stp>
        <tr r="U242" s="1"/>
      </tp>
      <tp t="s">
        <v>#N/A Requesting Data...</v>
        <stp/>
        <stp>##V3_BDHV12</stp>
        <stp>CL1 Comdty</stp>
        <stp>30DAY_IMPVOL_90.0%MNY_DF</stp>
        <stp>26/10/2015</stp>
        <stp>26/10/2015</stp>
        <stp>[Bbg_Market_Data_CL.xlsm]data!R362C23</stp>
        <tr r="W362" s="1"/>
      </tp>
      <tp t="s">
        <v>#N/A Requesting Data...</v>
        <stp/>
        <stp>##V3_BDHV12</stp>
        <stp>CL1 Comdty</stp>
        <stp>30DAY_IMPVOL_90.0%MNY_DF</stp>
        <stp>04/03/2016</stp>
        <stp>04/03/2016</stp>
        <stp>[Bbg_Market_Data_CL.xlsm]data!R275C23</stp>
        <tr r="W275" s="1"/>
      </tp>
      <tp t="s">
        <v>#N/A Requesting Data...</v>
        <stp/>
        <stp>##V3_BDHV12</stp>
        <stp>CL1 Comdty</stp>
        <stp>30DAY_IMPVOL_95.0%MNY_DF</stp>
        <stp>22/07/2016</stp>
        <stp>22/07/2016</stp>
        <stp>[Bbg_Market_Data_CL.xlsm]data!R178C21</stp>
        <tr r="U178" s="1"/>
      </tp>
      <tp t="s">
        <v>#N/A Requesting Data...</v>
        <stp/>
        <stp>##V3_BDHV12</stp>
        <stp>CL1 Comdty</stp>
        <stp>30DAY_IMPVOL_90.0%MNY_DF</stp>
        <stp>21/07/2015</stp>
        <stp>21/07/2015</stp>
        <stp>[Bbg_Market_Data_CL.xlsm]data!R429C23</stp>
        <tr r="W429" s="1"/>
      </tp>
      <tp t="s">
        <v>#N/A Requesting Data...</v>
        <stp/>
        <stp>##V3_BDHV12</stp>
        <stp>CL1 Comdty</stp>
        <stp>30DAY_IMPVOL_95.0%MNY_DF</stp>
        <stp>01/06/2016</stp>
        <stp>01/06/2016</stp>
        <stp>[Bbg_Market_Data_CL.xlsm]data!R214C21</stp>
        <tr r="U214" s="1"/>
      </tp>
      <tp t="s">
        <v>#N/A Requesting Data...</v>
        <stp/>
        <stp>##V3_BDHV12</stp>
        <stp>CL1 Comdty</stp>
        <stp>30DAY_IMPVOL_95.0%MNY_DF</stp>
        <stp>31/05/2016</stp>
        <stp>31/05/2016</stp>
        <stp>[Bbg_Market_Data_CL.xlsm]data!R215C21</stp>
        <tr r="U215" s="1"/>
      </tp>
      <tp t="s">
        <v>#N/A Requesting Data...</v>
        <stp/>
        <stp>##V3_BDHV12</stp>
        <stp>CL1 Comdty</stp>
        <stp>30DAY_IMPVOL_90.0%MNY_DF</stp>
        <stp>07/10/2016</stp>
        <stp>07/10/2016</stp>
        <stp>[Bbg_Market_Data_CL.xlsm]data!R125C23</stp>
        <tr r="W125" s="1"/>
      </tp>
      <tp t="s">
        <v>#N/A Requesting Data...</v>
        <stp/>
        <stp>##V3_BDHV12</stp>
        <stp>CL1 Comdty</stp>
        <stp>30DAY_IMPVOL_90.0%MNY_DF</stp>
        <stp>01/05/2015</stp>
        <stp>01/05/2015</stp>
        <stp>[Bbg_Market_Data_CL.xlsm]data!R484C23</stp>
        <tr r="W484" s="1"/>
      </tp>
      <tp t="s">
        <v>#N/A Requesting Data...</v>
        <stp/>
        <stp>##V3_BDHV12</stp>
        <stp>SPGSCLP Index</stp>
        <stp>CHG_PCT_1D</stp>
        <stp>21/04/2015</stp>
        <stp>21/04/2015</stp>
        <stp>[Bbg_Market_Data_CL.xlsm]data!R493C3</stp>
        <tr r="C493" s="1"/>
      </tp>
      <tp t="s">
        <v>#N/A Requesting Data...</v>
        <stp/>
        <stp>##V3_BDHV12</stp>
        <stp>SPGSCLP Index</stp>
        <stp>CHG_PCT_1D</stp>
        <stp>20/05/2015</stp>
        <stp>20/05/2015</stp>
        <stp>[Bbg_Market_Data_CL.xlsm]data!R472C3</stp>
        <tr r="C472" s="1"/>
      </tp>
      <tp t="s">
        <v>#N/A Requesting Data...</v>
        <stp/>
        <stp>##V3_BDHV12</stp>
        <stp>SPGSCLP Index</stp>
        <stp>CHG_PCT_5D</stp>
        <stp>20/05/2015</stp>
        <stp>20/05/2015</stp>
        <stp>[Bbg_Market_Data_CL.xlsm]data!R472C4</stp>
        <tr r="D472" s="1"/>
      </tp>
      <tp t="s">
        <v>#N/A Requesting Data...</v>
        <stp/>
        <stp>##V3_BDHV12</stp>
        <stp>SPGSCLP Index</stp>
        <stp>CHG_PCT_5D</stp>
        <stp>21/04/2015</stp>
        <stp>21/04/2015</stp>
        <stp>[Bbg_Market_Data_CL.xlsm]data!R493C4</stp>
        <tr r="D493" s="1"/>
      </tp>
      <tp t="s">
        <v>#N/A Requesting Data...</v>
        <stp/>
        <stp>##V3_BDHV12</stp>
        <stp>SPGSCLP Index</stp>
        <stp>CHG_PCT_5D</stp>
        <stp>21/07/2016</stp>
        <stp>21/07/2016</stp>
        <stp>[Bbg_Market_Data_CL.xlsm]data!R180C4</stp>
        <tr r="D180" s="1"/>
      </tp>
      <tp t="s">
        <v>#N/A Requesting Data...</v>
        <stp/>
        <stp>##V3_BDHV12</stp>
        <stp>SPGSCLP Index</stp>
        <stp>CHG_PCT_1D</stp>
        <stp>21/07/2016</stp>
        <stp>21/07/2016</stp>
        <stp>[Bbg_Market_Data_CL.xlsm]data!R180C3</stp>
        <tr r="C180" s="1"/>
      </tp>
      <tp t="s">
        <v>#N/A Requesting Data...</v>
        <stp/>
        <stp>##V3_BDHV12</stp>
        <stp>CL1 Comdty</stp>
        <stp>30DAY_IMPVOL_90.0%MNY_DF</stp>
        <stp>15/03/2016</stp>
        <stp>15/03/2016</stp>
        <stp>[Bbg_Market_Data_CL.xlsm]data!R268C23</stp>
        <tr r="W268" s="1"/>
      </tp>
      <tp t="s">
        <v>#N/A Requesting Data...</v>
        <stp/>
        <stp>##V3_BDHV12</stp>
        <stp>CL1 Comdty</stp>
        <stp>30DAY_IMPVOL_90.0%MNY_DF</stp>
        <stp>27/11/2015</stp>
        <stp>27/11/2015</stp>
        <stp>[Bbg_Market_Data_CL.xlsm]data!R340C23</stp>
        <tr r="W340" s="1"/>
      </tp>
      <tp t="s">
        <v>#N/A Requesting Data...</v>
        <stp/>
        <stp>##V3_BDHV12</stp>
        <stp>CL1 Comdty</stp>
        <stp>30DAY_IMPVOL_95.0%MNY_DF</stp>
        <stp>10/06/2016</stp>
        <stp>10/06/2016</stp>
        <stp>[Bbg_Market_Data_CL.xlsm]data!R207C21</stp>
        <tr r="U207" s="1"/>
      </tp>
      <tp t="s">
        <v>#N/A Requesting Data...</v>
        <stp/>
        <stp>##V3_BDHV12</stp>
        <stp>CL1 Comdty</stp>
        <stp>30DAY_IMPVOL_90.0%MNY_DF</stp>
        <stp>30/07/2015</stp>
        <stp>30/07/2015</stp>
        <stp>[Bbg_Market_Data_CL.xlsm]data!R422C23</stp>
        <tr r="W422" s="1"/>
      </tp>
      <tp t="s">
        <v>#N/A Requesting Data...</v>
        <stp/>
        <stp>##V3_BDHV12</stp>
        <stp>CL1 Comdty</stp>
        <stp>30DAY_IMPVOL_90.0%MNY_DF</stp>
        <stp>17/12/2015</stp>
        <stp>17/12/2015</stp>
        <stp>[Bbg_Market_Data_CL.xlsm]data!R326C23</stp>
        <tr r="W326" s="1"/>
      </tp>
      <tp t="s">
        <v>#N/A Requesting Data...</v>
        <stp/>
        <stp>##V3_BDHV12</stp>
        <stp>CL1 Comdty</stp>
        <stp>30DAY_IMPVOL_95.0%MNY_DF</stp>
        <stp>20/05/2016</stp>
        <stp>20/05/2016</stp>
        <stp>[Bbg_Market_Data_CL.xlsm]data!R221C21</stp>
        <tr r="U221" s="1"/>
      </tp>
      <tp t="s">
        <v>#N/A Requesting Data...</v>
        <stp/>
        <stp>##V3_BDHV12</stp>
        <stp>CL1 Comdty</stp>
        <stp>30DAY_IMPVOL_95.0%MNY_DF</stp>
        <stp>23/06/2016</stp>
        <stp>23/06/2016</stp>
        <stp>[Bbg_Market_Data_CL.xlsm]data!R198C21</stp>
        <tr r="U198" s="1"/>
      </tp>
      <tp t="s">
        <v>#N/A Requesting Data...</v>
        <stp/>
        <stp>##V3_BDHV12</stp>
        <stp>CL1 Comdty</stp>
        <stp>30DAY_IMPVOL_90.0%MNY_DF</stp>
        <stp>05/02/2016</stp>
        <stp>05/02/2016</stp>
        <stp>[Bbg_Market_Data_CL.xlsm]data!R293C23</stp>
        <tr r="W293" s="1"/>
      </tp>
      <tp t="s">
        <v>#N/A Requesting Data...</v>
        <stp/>
        <stp>##V3_BDHV12</stp>
        <stp>SPGSCLP Index</stp>
        <stp>CHG_PCT_5D</stp>
        <stp>17/03/2016</stp>
        <stp>17/03/2016</stp>
        <stp>[Bbg_Market_Data_CL.xlsm]data!R267C4</stp>
        <tr r="D267" s="1"/>
      </tp>
      <tp t="s">
        <v>#N/A Requesting Data...</v>
        <stp/>
        <stp>##V3_BDHV12</stp>
        <stp>SPGSCLP Index</stp>
        <stp>CHG_PCT_5D</stp>
        <stp>04/12/2015</stp>
        <stp>04/12/2015</stp>
        <stp>[Bbg_Market_Data_CL.xlsm]data!R336C4</stp>
        <tr r="D336" s="1"/>
      </tp>
      <tp t="s">
        <v>#N/A Requesting Data...</v>
        <stp/>
        <stp>##V3_BDHV12</stp>
        <stp>SPGSCLP Index</stp>
        <stp>CHG_PCT_1D</stp>
        <stp>04/12/2015</stp>
        <stp>04/12/2015</stp>
        <stp>[Bbg_Market_Data_CL.xlsm]data!R336C3</stp>
        <tr r="C336" s="1"/>
      </tp>
      <tp t="s">
        <v>#N/A Requesting Data...</v>
        <stp/>
        <stp>##V3_BDHV12</stp>
        <stp>SPGSCLP Index</stp>
        <stp>CHG_PCT_1D</stp>
        <stp>17/03/2016</stp>
        <stp>17/03/2016</stp>
        <stp>[Bbg_Market_Data_CL.xlsm]data!R267C3</stp>
        <tr r="C267" s="1"/>
      </tp>
      <tp t="s">
        <v>#N/A Requesting Data...</v>
        <stp/>
        <stp>##V3_BDHV12</stp>
        <stp>SPGSCLP Index</stp>
        <stp>CHG_PCT_5D</stp>
        <stp>03/06/2016</stp>
        <stp>03/06/2016</stp>
        <stp>[Bbg_Market_Data_CL.xlsm]data!R213C4</stp>
        <tr r="D213" s="1"/>
      </tp>
      <tp t="s">
        <v>#N/A Requesting Data...</v>
        <stp/>
        <stp>##V3_BDHV12</stp>
        <stp>SPGSCLP Index</stp>
        <stp>CHG_PCT_1D</stp>
        <stp>21/06/2016</stp>
        <stp>21/06/2016</stp>
        <stp>[Bbg_Market_Data_CL.xlsm]data!R201C3</stp>
        <tr r="C201" s="1"/>
      </tp>
      <tp t="s">
        <v>#N/A Requesting Data...</v>
        <stp/>
        <stp>##V3_BDHV12</stp>
        <stp>SPGSCLP Index</stp>
        <stp>CHG_PCT_5D</stp>
        <stp>21/06/2016</stp>
        <stp>21/06/2016</stp>
        <stp>[Bbg_Market_Data_CL.xlsm]data!R201C4</stp>
        <tr r="D201" s="1"/>
      </tp>
      <tp t="s">
        <v>#N/A Requesting Data...</v>
        <stp/>
        <stp>##V3_BDHV12</stp>
        <stp>SPGSCLP Index</stp>
        <stp>CHG_PCT_1D</stp>
        <stp>03/06/2016</stp>
        <stp>03/06/2016</stp>
        <stp>[Bbg_Market_Data_CL.xlsm]data!R213C3</stp>
        <tr r="C213" s="1"/>
      </tp>
      <tp t="s">
        <v>#N/A Requesting Data...</v>
        <stp/>
        <stp>##V3_BDHV12</stp>
        <stp>CL1 Comdty</stp>
        <stp>30DAY_IMPVOL_90.0%MNY_DF</stp>
        <stp>24/12/2015</stp>
        <stp>24/12/2015</stp>
        <stp>[Bbg_Market_Data_CL.xlsm]data!R321C23</stp>
        <tr r="W321" s="1"/>
      </tp>
      <tp t="s">
        <v>#N/A Requesting Data...</v>
        <stp/>
        <stp>##V3_BDHV12</stp>
        <stp>CL1 Comdty</stp>
        <stp>30DAY_IMPVOL_95.0%MNY_DF</stp>
        <stp>13/05/2016</stp>
        <stp>13/05/2016</stp>
        <stp>[Bbg_Market_Data_CL.xlsm]data!R226C21</stp>
        <tr r="U226" s="1"/>
      </tp>
      <tp t="s">
        <v>#N/A Requesting Data...</v>
        <stp/>
        <stp>##V3_BDHV12</stp>
        <stp>CL1 Comdty</stp>
        <stp>30DAY_IMPVOL_90.0%MNY_DF</stp>
        <stp>25/10/2016</stp>
        <stp>25/10/2016</stp>
        <stp>[Bbg_Market_Data_CL.xlsm]data!R114C23</stp>
        <tr r="W114" s="1"/>
      </tp>
      <tp t="s">
        <v>#N/A Requesting Data...</v>
        <stp/>
        <stp>##V3_BDHV12</stp>
        <stp>SPGSCLP Index</stp>
        <stp>CHG_PCT_1D</stp>
        <stp>10/04/2015</stp>
        <stp>10/04/2015</stp>
        <stp>[Bbg_Market_Data_CL.xlsm]data!R500C3</stp>
        <tr r="C500" s="1"/>
      </tp>
      <tp t="s">
        <v>#N/A Requesting Data...</v>
        <stp/>
        <stp>##V3_BDHV12</stp>
        <stp>SPGSCLP Index</stp>
        <stp>CHG_PCT_5D</stp>
        <stp>24/10/2016</stp>
        <stp>24/10/2016</stp>
        <stp>[Bbg_Market_Data_CL.xlsm]data!R116C4</stp>
        <tr r="D116" s="1"/>
      </tp>
      <tp t="s">
        <v>#N/A Requesting Data...</v>
        <stp/>
        <stp>##V3_BDHV12</stp>
        <stp>SPGSCLP Index</stp>
        <stp>CHG_PCT_5D</stp>
        <stp>02/07/2015</stp>
        <stp>02/07/2015</stp>
        <stp>[Bbg_Market_Data_CL.xlsm]data!R442C4</stp>
        <tr r="D442" s="1"/>
      </tp>
      <tp t="s">
        <v>#N/A Requesting Data...</v>
        <stp/>
        <stp>##V3_BDHV12</stp>
        <stp>SPGSCLP Index</stp>
        <stp>CHG_PCT_5D</stp>
        <stp>07/01/2016</stp>
        <stp>07/01/2016</stp>
        <stp>[Bbg_Market_Data_CL.xlsm]data!R314C4</stp>
        <tr r="D314" s="1"/>
      </tp>
      <tp t="s">
        <v>#N/A Requesting Data...</v>
        <stp/>
        <stp>##V3_BDHV12</stp>
        <stp>SPGSCLP Index</stp>
        <stp>CHG_PCT_5D</stp>
        <stp>03/06/2015</stp>
        <stp>03/06/2015</stp>
        <stp>[Bbg_Market_Data_CL.xlsm]data!R463C4</stp>
        <tr r="D463" s="1"/>
      </tp>
      <tp t="s">
        <v>#N/A Requesting Data...</v>
        <stp/>
        <stp>##V3_BDHV12</stp>
        <stp>SPGSCLP Index</stp>
        <stp>CHG_PCT_1D</stp>
        <stp>07/01/2016</stp>
        <stp>07/01/2016</stp>
        <stp>[Bbg_Market_Data_CL.xlsm]data!R314C3</stp>
        <tr r="C314" s="1"/>
      </tp>
      <tp t="s">
        <v>#N/A Requesting Data...</v>
        <stp/>
        <stp>##V3_BDHV12</stp>
        <stp>SPGSCLP Index</stp>
        <stp>CHG_PCT_1D</stp>
        <stp>03/06/2015</stp>
        <stp>03/06/2015</stp>
        <stp>[Bbg_Market_Data_CL.xlsm]data!R463C3</stp>
        <tr r="C463" s="1"/>
      </tp>
      <tp t="s">
        <v>#N/A Requesting Data...</v>
        <stp/>
        <stp>##V3_BDHV12</stp>
        <stp>SPGSCLP Index</stp>
        <stp>CHG_PCT_1D</stp>
        <stp>24/10/2016</stp>
        <stp>24/10/2016</stp>
        <stp>[Bbg_Market_Data_CL.xlsm]data!R116C3</stp>
        <tr r="C116" s="1"/>
      </tp>
      <tp t="s">
        <v>#N/A Requesting Data...</v>
        <stp/>
        <stp>##V3_BDHV12</stp>
        <stp>SPGSCLP Index</stp>
        <stp>CHG_PCT_5D</stp>
        <stp>10/04/2015</stp>
        <stp>10/04/2015</stp>
        <stp>[Bbg_Market_Data_CL.xlsm]data!R500C4</stp>
        <tr r="D500" s="1"/>
      </tp>
      <tp t="s">
        <v>#N/A Requesting Data...</v>
        <stp/>
        <stp>##V3_BDHV12</stp>
        <stp>SPGSCLP Index</stp>
        <stp>CHG_PCT_1D</stp>
        <stp>02/07/2015</stp>
        <stp>02/07/2015</stp>
        <stp>[Bbg_Market_Data_CL.xlsm]data!R442C3</stp>
        <tr r="C442" s="1"/>
      </tp>
      <tp t="s">
        <v>#N/A Requesting Data...</v>
        <stp/>
        <stp>##V3_BDHV12</stp>
        <stp>CL1 Comdty</stp>
        <stp>30DAY_IMPVOL_90.0%MNY_DF</stp>
        <stp>02/06/2015</stp>
        <stp>02/06/2015</stp>
        <stp>[Bbg_Market_Data_CL.xlsm]data!R463C23</stp>
        <tr r="W463" s="1"/>
      </tp>
      <tp t="s">
        <v>#N/A Requesting Data...</v>
        <stp/>
        <stp>##V3_BDHV12</stp>
        <stp>CL1 Comdty</stp>
        <stp>30DAY_IMPVOL_95.0%MNY_DF</stp>
        <stp>12/04/2016</stp>
        <stp>12/04/2016</stp>
        <stp>[Bbg_Market_Data_CL.xlsm]data!R249C21</stp>
        <tr r="U249" s="1"/>
      </tp>
      <tp t="s">
        <v>#N/A Requesting Data...</v>
        <stp/>
        <stp>##V3_BDHV12</stp>
        <stp>CL1 Comdty</stp>
        <stp>30DAY_IMPVOL_90.0%MNY_DF</stp>
        <stp>15/10/2015</stp>
        <stp>15/10/2015</stp>
        <stp>[Bbg_Market_Data_CL.xlsm]data!R369C23</stp>
        <tr r="W369" s="1"/>
      </tp>
      <tp t="s">
        <v>#N/A Requesting Data...</v>
        <stp/>
        <stp>##V3_BDHV12</stp>
        <stp>CL1 Comdty</stp>
        <stp>30DAY_IMPVOL_90.0%MNY_DF</stp>
        <stp>05/11/2015</stp>
        <stp>05/11/2015</stp>
        <stp>[Bbg_Market_Data_CL.xlsm]data!R354C23</stp>
        <tr r="W354" s="1"/>
      </tp>
      <tp t="s">
        <v>#N/A Requesting Data...</v>
        <stp/>
        <stp>##V3_BDHV12</stp>
        <stp>CL1 Comdty</stp>
        <stp>30DAY_IMPVOL_95.0%MNY_DF</stp>
        <stp>02/05/2016</stp>
        <stp>02/05/2016</stp>
        <stp>[Bbg_Market_Data_CL.xlsm]data!R235C21</stp>
        <tr r="U235" s="1"/>
      </tp>
      <tp t="s">
        <v>#N/A Requesting Data...</v>
        <stp/>
        <stp>##V3_BDHV12</stp>
        <stp>CL1 Comdty</stp>
        <stp>30DAY_IMPVOL_90.0%MNY_DF</stp>
        <stp>06/01/2016</stp>
        <stp>06/01/2016</stp>
        <stp>[Bbg_Market_Data_CL.xlsm]data!R314C23</stp>
        <tr r="W314" s="1"/>
      </tp>
      <tp t="s">
        <v>#N/A Requesting Data...</v>
        <stp/>
        <stp>##V3_BDHV12</stp>
        <stp>CL1 Comdty</stp>
        <stp>30DAY_IMPVOL_95.0%MNY_DF</stp>
        <stp>11/07/2016</stp>
        <stp>11/07/2016</stp>
        <stp>[Bbg_Market_Data_CL.xlsm]data!R187C21</stp>
        <tr r="U187" s="1"/>
      </tp>
      <tp t="s">
        <v>#N/A Requesting Data...</v>
        <stp/>
        <stp>##V3_BDHV12</stp>
        <stp>CL1 Comdty</stp>
        <stp>30DAY_IMPVOL_90.0%MNY_DF</stp>
        <stp>22/04/2015</stp>
        <stp>22/04/2015</stp>
        <stp>[Bbg_Market_Data_CL.xlsm]data!R491C23</stp>
        <tr r="W491" s="1"/>
      </tp>
      <tp t="s">
        <v>#N/A Requesting Data...</v>
        <stp/>
        <stp>##V3_BDHV12</stp>
        <stp>SPGSCLP Index</stp>
        <stp>CHG_PCT_1D</stp>
        <stp>21/07/2015</stp>
        <stp>21/07/2015</stp>
        <stp>[Bbg_Market_Data_CL.xlsm]data!R430C3</stp>
        <tr r="C430" s="1"/>
      </tp>
      <tp t="s">
        <v>#N/A Requesting Data...</v>
        <stp/>
        <stp>##V3_BDHV12</stp>
        <stp>SPGSCLP Index</stp>
        <stp>CHG_PCT_1D</stp>
        <stp>04/03/2016</stp>
        <stp>04/03/2016</stp>
        <stp>[Bbg_Market_Data_CL.xlsm]data!R276C3</stp>
        <tr r="C276" s="1"/>
      </tp>
      <tp t="s">
        <v>#N/A Requesting Data...</v>
        <stp/>
        <stp>##V3_BDHV12</stp>
        <stp>SPGSCLP Index</stp>
        <stp>CHG_PCT_5D</stp>
        <stp>05/11/2015</stp>
        <stp>05/11/2015</stp>
        <stp>[Bbg_Market_Data_CL.xlsm]data!R355C4</stp>
        <tr r="D355" s="1"/>
      </tp>
      <tp t="s">
        <v>#N/A Requesting Data...</v>
        <stp/>
        <stp>##V3_BDHV12</stp>
        <stp>SPGSCLP Index</stp>
        <stp>CHG_PCT_1D</stp>
        <stp>17/12/2015</stp>
        <stp>17/12/2015</stp>
        <stp>[Bbg_Market_Data_CL.xlsm]data!R327C3</stp>
        <tr r="C327" s="1"/>
      </tp>
      <tp t="s">
        <v>#N/A Requesting Data...</v>
        <stp/>
        <stp>##V3_BDHV12</stp>
        <stp>SPGSCLP Index</stp>
        <stp>CHG_PCT_5D</stp>
        <stp>17/12/2015</stp>
        <stp>17/12/2015</stp>
        <stp>[Bbg_Market_Data_CL.xlsm]data!R327C4</stp>
        <tr r="D327" s="1"/>
      </tp>
      <tp t="s">
        <v>#N/A Requesting Data...</v>
        <stp/>
        <stp>##V3_BDHV12</stp>
        <stp>SPGSCLP Index</stp>
        <stp>CHG_PCT_5D</stp>
        <stp>21/07/2015</stp>
        <stp>21/07/2015</stp>
        <stp>[Bbg_Market_Data_CL.xlsm]data!R430C4</stp>
        <tr r="D430" s="1"/>
      </tp>
      <tp t="s">
        <v>#N/A Requesting Data...</v>
        <stp/>
        <stp>##V3_BDHV12</stp>
        <stp>SPGSCLP Index</stp>
        <stp>CHG_PCT_5D</stp>
        <stp>04/03/2016</stp>
        <stp>04/03/2016</stp>
        <stp>[Bbg_Market_Data_CL.xlsm]data!R276C4</stp>
        <tr r="D276" s="1"/>
      </tp>
      <tp t="s">
        <v>#N/A Requesting Data...</v>
        <stp/>
        <stp>##V3_BDHV12</stp>
        <stp>SPGSCLP Index</stp>
        <stp>CHG_PCT_1D</stp>
        <stp>05/11/2015</stp>
        <stp>05/11/2015</stp>
        <stp>[Bbg_Market_Data_CL.xlsm]data!R355C3</stp>
        <tr r="C355" s="1"/>
      </tp>
      <tp t="s">
        <v>#N/A Requesting Data...</v>
        <stp/>
        <stp>##V3_BDHV12</stp>
        <stp>SPGSCLP Index</stp>
        <stp>CHG_PCT_1D</stp>
        <stp>20/05/2016</stp>
        <stp>20/05/2016</stp>
        <stp>[Bbg_Market_Data_CL.xlsm]data!R222C3</stp>
        <tr r="C222" s="1"/>
      </tp>
      <tp t="s">
        <v>#N/A Requesting Data...</v>
        <stp/>
        <stp>##V3_BDHV12</stp>
        <stp>SPGSCLP Index</stp>
        <stp>CHG_PCT_5D</stp>
        <stp>12/04/2016</stp>
        <stp>12/04/2016</stp>
        <stp>[Bbg_Market_Data_CL.xlsm]data!R250C4</stp>
        <tr r="D250" s="1"/>
      </tp>
      <tp t="s">
        <v>#N/A Requesting Data...</v>
        <stp/>
        <stp>##V3_BDHV12</stp>
        <stp>SPGSCLP Index</stp>
        <stp>CHG_PCT_1D</stp>
        <stp>21/04/2016</stp>
        <stp>21/04/2016</stp>
        <stp>[Bbg_Market_Data_CL.xlsm]data!R243C3</stp>
        <tr r="C243" s="1"/>
      </tp>
      <tp t="s">
        <v>#N/A Requesting Data...</v>
        <stp/>
        <stp>##V3_BDHV12</stp>
        <stp>SPGSCLP Index</stp>
        <stp>CHG_PCT_1D</stp>
        <stp>12/04/2016</stp>
        <stp>12/04/2016</stp>
        <stp>[Bbg_Market_Data_CL.xlsm]data!R250C3</stp>
        <tr r="C250" s="1"/>
      </tp>
      <tp t="s">
        <v>#N/A Requesting Data...</v>
        <stp/>
        <stp>##V3_BDHV12</stp>
        <stp>SPGSCLP Index</stp>
        <stp>CHG_PCT_5D</stp>
        <stp>21/04/2016</stp>
        <stp>21/04/2016</stp>
        <stp>[Bbg_Market_Data_CL.xlsm]data!R243C4</stp>
        <tr r="D243" s="1"/>
      </tp>
      <tp t="s">
        <v>#N/A Requesting Data...</v>
        <stp/>
        <stp>##V3_BDHV12</stp>
        <stp>SPGSCLP Index</stp>
        <stp>CHG_PCT_5D</stp>
        <stp>20/05/2016</stp>
        <stp>20/05/2016</stp>
        <stp>[Bbg_Market_Data_CL.xlsm]data!R222C4</stp>
        <tr r="D222" s="1"/>
      </tp>
      <tp t="s">
        <v>#N/A Requesting Data...</v>
        <stp/>
        <stp>##V3_BDHV12</stp>
        <stp>SPGSCLP Index</stp>
        <stp>CHG_PCT_5D</stp>
        <stp>08/11/2016</stp>
        <stp>08/11/2016</stp>
        <stp>[Bbg_Market_Data_CL.xlsm]data!R105C4</stp>
        <tr r="D105" s="1"/>
      </tp>
      <tp t="s">
        <v>#N/A Requesting Data...</v>
        <stp/>
        <stp>##V3_BDHV12</stp>
        <stp>SPGSCLP Index</stp>
        <stp>CHG_PCT_1D</stp>
        <stp>08/11/2016</stp>
        <stp>08/11/2016</stp>
        <stp>[Bbg_Market_Data_CL.xlsm]data!R105C3</stp>
        <tr r="C105" s="1"/>
      </tp>
      <tp t="s">
        <v>#N/A Requesting Data...</v>
        <stp/>
        <stp>##V3_BDHV12</stp>
        <stp>SPGSCLP Index</stp>
        <stp>CHG_PCT_1D</stp>
        <stp>19/02/2016</stp>
        <stp>19/02/2016</stp>
        <stp>[Bbg_Market_Data_CL.xlsm]data!R286C3</stp>
        <tr r="C286" s="1"/>
      </tp>
      <tp t="s">
        <v>#N/A Requesting Data...</v>
        <stp/>
        <stp>##V3_BDHV12</stp>
        <stp>SPGSCLP Index</stp>
        <stp>CHG_PCT_5D</stp>
        <stp>19/02/2016</stp>
        <stp>19/02/2016</stp>
        <stp>[Bbg_Market_Data_CL.xlsm]data!R286C4</stp>
        <tr r="D286" s="1"/>
      </tp>
      <tp t="s">
        <v>#N/A Requesting Data...</v>
        <stp/>
        <stp>##V3_BDHV12</stp>
        <stp>SPGSCLP Index</stp>
        <stp>CHG_PCT_5D</stp>
        <stp>08/10/2015</stp>
        <stp>08/10/2015</stp>
        <stp>[Bbg_Market_Data_CL.xlsm]data!R374C4</stp>
        <tr r="D374" s="1"/>
      </tp>
      <tp t="s">
        <v>#N/A Requesting Data...</v>
        <stp/>
        <stp>##V3_BDHV12</stp>
        <stp>SPGSCLP Index</stp>
        <stp>CHG_PCT_1D</stp>
        <stp>08/10/2015</stp>
        <stp>08/10/2015</stp>
        <stp>[Bbg_Market_Data_CL.xlsm]data!R374C3</stp>
        <tr r="C374" s="1"/>
      </tp>
      <tp t="s">
        <v>#N/A Requesting Data...</v>
        <stp/>
        <stp>##V3_BDHV12</stp>
        <stp>SPGSCLP Index</stp>
        <stp>CHG_PCT_1D</stp>
        <stp>18/06/2015</stp>
        <stp>18/06/2015</stp>
        <stp>[Bbg_Market_Data_CL.xlsm]data!R452C3</stp>
        <tr r="C452" s="1"/>
      </tp>
      <tp t="s">
        <v>#N/A Requesting Data...</v>
        <stp/>
        <stp>##V3_BDHV12</stp>
        <stp>SPGSCLP Index</stp>
        <stp>CHG_PCT_5D</stp>
        <stp>18/06/2015</stp>
        <stp>18/06/2015</stp>
        <stp>[Bbg_Market_Data_CL.xlsm]data!R452C4</stp>
        <tr r="D452" s="1"/>
      </tp>
      <tp t="s">
        <v>#N/A Requesting Data...</v>
        <stp/>
        <stp>##V3_BDHV12</stp>
        <stp>SPGSCLP Index</stp>
        <stp>CHG_PCT_1D</stp>
        <stp>08/05/2015</stp>
        <stp>08/05/2015</stp>
        <stp>[Bbg_Market_Data_CL.xlsm]data!R480C3</stp>
        <tr r="C480" s="1"/>
      </tp>
      <tp t="s">
        <v>#N/A Requesting Data...</v>
        <stp/>
        <stp>##V3_BDHV12</stp>
        <stp>SPGSCLP Index</stp>
        <stp>CHG_PCT_5D</stp>
        <stp>08/05/2015</stp>
        <stp>08/05/2015</stp>
        <stp>[Bbg_Market_Data_CL.xlsm]data!R480C4</stp>
        <tr r="D480" s="1"/>
      </tp>
      <tp t="s">
        <v>#N/A Requesting Data...</v>
        <stp/>
        <stp>##V3_BDHV12</stp>
        <stp>SPGSCLP Index</stp>
        <stp>CHG_PCT_5D</stp>
        <stp>18/07/2016</stp>
        <stp>18/07/2016</stp>
        <stp>[Bbg_Market_Data_CL.xlsm]data!R183C4</stp>
        <tr r="D183" s="1"/>
      </tp>
      <tp t="s">
        <v>#N/A Requesting Data...</v>
        <stp/>
        <stp>##V3_BDHV12</stp>
        <stp>SPGSCLP Index</stp>
        <stp>CHG_PCT_1D</stp>
        <stp>18/07/2016</stp>
        <stp>18/07/2016</stp>
        <stp>[Bbg_Market_Data_CL.xlsm]data!R183C3</stp>
        <tr r="C183" s="1"/>
      </tp>
      <tp t="s">
        <v>#N/A Requesting Data...</v>
        <stp/>
        <stp>##V3_BDHV12</stp>
        <stp>CL1 Comdty</stp>
        <stp>30DAY_IMPVOL_95.0%MNY_DF</stp>
        <stp>15/04/2016</stp>
        <stp>15/04/2016</stp>
        <stp>[Bbg_Market_Data_CL.xlsm]data!R246C21</stp>
        <tr r="U246" s="1"/>
      </tp>
      <tp t="s">
        <v>#N/A Requesting Data...</v>
        <stp/>
        <stp>##V3_BDHV12</stp>
        <stp>CL1 Comdty</stp>
        <stp>30DAY_IMPVOL_90.0%MNY_DF</stp>
        <stp>05/06/2015</stp>
        <stp>05/06/2015</stp>
        <stp>[Bbg_Market_Data_CL.xlsm]data!R460C23</stp>
        <tr r="W460" s="1"/>
      </tp>
      <tp t="s">
        <v>#N/A Requesting Data...</v>
        <stp/>
        <stp>##V3_BDHV12</stp>
        <stp>CL1 Comdty</stp>
        <stp>30DAY_IMPVOL_90.0%MNY_DF</stp>
        <stp>02/11/2015</stp>
        <stp>02/11/2015</stp>
        <stp>[Bbg_Market_Data_CL.xlsm]data!R357C23</stp>
        <tr r="W357" s="1"/>
      </tp>
      <tp t="s">
        <v>#N/A Requesting Data...</v>
        <stp/>
        <stp>##V3_BDHV12</stp>
        <stp>CL1 Comdty</stp>
        <stp>30DAY_IMPVOL_90.0%MNY_DF</stp>
        <stp>30/03/2016</stp>
        <stp>30/03/2016</stp>
        <stp>[Bbg_Market_Data_CL.xlsm]data!R258C23</stp>
        <tr r="W258" s="1"/>
      </tp>
      <tp t="s">
        <v>#N/A Requesting Data...</v>
        <stp/>
        <stp>##V3_BDHV12</stp>
        <stp>CL1 Comdty</stp>
        <stp>30DAY_IMPVOL_90.0%MNY_DF</stp>
        <stp>15/07/2015</stp>
        <stp>15/07/2015</stp>
        <stp>[Bbg_Market_Data_CL.xlsm]data!R433C23</stp>
        <tr r="W433" s="1"/>
      </tp>
      <tp t="s">
        <v>#N/A Requesting Data...</v>
        <stp/>
        <stp>##V3_BDHV12</stp>
        <stp>CL1 Comdty</stp>
        <stp>30DAY_IMPVOL_95.0%MNY_DF</stp>
        <stp>05/05/2016</stp>
        <stp>05/05/2016</stp>
        <stp>[Bbg_Market_Data_CL.xlsm]data!R232C21</stp>
        <tr r="U232" s="1"/>
      </tp>
      <tp t="s">
        <v>#N/A Requesting Data...</v>
        <stp/>
        <stp>##V3_BDHV12</stp>
        <stp>SPGSCLP Index</stp>
        <stp>CHG_PCT_1D</stp>
        <stp>04/04/2016</stp>
        <stp>04/04/2016</stp>
        <stp>[Bbg_Market_Data_CL.xlsm]data!R256C3</stp>
        <tr r="C256" s="1"/>
      </tp>
      <tp t="s">
        <v>#N/A Requesting Data...</v>
        <stp/>
        <stp>##V3_BDHV12</stp>
        <stp>SPGSCLP Index</stp>
        <stp>CHG_PCT_1D</stp>
        <stp>15/04/2016</stp>
        <stp>15/04/2016</stp>
        <stp>[Bbg_Market_Data_CL.xlsm]data!R247C3</stp>
        <tr r="C247" s="1"/>
      </tp>
      <tp t="s">
        <v>#N/A Requesting Data...</v>
        <stp/>
        <stp>##V3_BDHV12</stp>
        <stp>SPGSCLP Index</stp>
        <stp>CHG_PCT_5D</stp>
        <stp>15/04/2016</stp>
        <stp>15/04/2016</stp>
        <stp>[Bbg_Market_Data_CL.xlsm]data!R247C4</stp>
        <tr r="D247" s="1"/>
      </tp>
      <tp t="s">
        <v>#N/A Requesting Data...</v>
        <stp/>
        <stp>##V3_BDHV12</stp>
        <stp>SPGSCLP Index</stp>
        <stp>CHG_PCT_5D</stp>
        <stp>04/04/2016</stp>
        <stp>04/04/2016</stp>
        <stp>[Bbg_Market_Data_CL.xlsm]data!R256C4</stp>
        <tr r="D256" s="1"/>
      </tp>
      <tp t="s">
        <v>#N/A Requesting Data...</v>
        <stp/>
        <stp>##V3_BDHV12</stp>
        <stp>SPGSCLP Index</stp>
        <stp>CHG_PCT_1D</stp>
        <stp>15/07/2015</stp>
        <stp>15/07/2015</stp>
        <stp>[Bbg_Market_Data_CL.xlsm]data!R434C3</stp>
        <tr r="C434" s="1"/>
      </tp>
      <tp t="s">
        <v>#N/A Requesting Data...</v>
        <stp/>
        <stp>##V3_BDHV12</stp>
        <stp>SPGSCLP Index</stp>
        <stp>CHG_PCT_5D</stp>
        <stp>10/11/2016</stp>
        <stp>10/11/2016</stp>
        <stp>[Bbg_Market_Data_CL.xlsm]data!R103C4</stp>
        <tr r="D103" s="1"/>
      </tp>
      <tp t="s">
        <v>#N/A Requesting Data...</v>
        <stp/>
        <stp>##V3_BDHV12</stp>
        <stp>SPGSCLP Index</stp>
        <stp>CHG_PCT_1D</stp>
        <stp>23/12/2015</stp>
        <stp>23/12/2015</stp>
        <stp>[Bbg_Market_Data_CL.xlsm]data!R323C3</stp>
        <tr r="C323" s="1"/>
      </tp>
      <tp t="s">
        <v>#N/A Requesting Data...</v>
        <stp/>
        <stp>##V3_BDHV12</stp>
        <stp>SPGSCLP Index</stp>
        <stp>CHG_PCT_5D</stp>
        <stp>23/12/2015</stp>
        <stp>23/12/2015</stp>
        <stp>[Bbg_Market_Data_CL.xlsm]data!R323C4</stp>
        <tr r="D323" s="1"/>
      </tp>
      <tp t="s">
        <v>#N/A Requesting Data...</v>
        <stp/>
        <stp>##V3_BDHV12</stp>
        <stp>SPGSCLP Index</stp>
        <stp>CHG_PCT_5D</stp>
        <stp>15/07/2015</stp>
        <stp>15/07/2015</stp>
        <stp>[Bbg_Market_Data_CL.xlsm]data!R434C4</stp>
        <tr r="D434" s="1"/>
      </tp>
      <tp t="s">
        <v>#N/A Requesting Data...</v>
        <stp/>
        <stp>##V3_BDHV12</stp>
        <stp>SPGSCLP Index</stp>
        <stp>CHG_PCT_1D</stp>
        <stp>10/11/2016</stp>
        <stp>10/11/2016</stp>
        <stp>[Bbg_Market_Data_CL.xlsm]data!R103C3</stp>
        <tr r="C103" s="1"/>
      </tp>
      <tp t="s">
        <v>#N/A Requesting Data...</v>
        <stp/>
        <stp>##V3_BDHV12</stp>
        <stp>CL1 Comdty</stp>
        <stp>30DAY_IMPVOL_90.0%MNY_DF</stp>
        <stp>21/03/2016</stp>
        <stp>21/03/2016</stp>
        <stp>[Bbg_Market_Data_CL.xlsm]data!R264C23</stp>
        <tr r="W264" s="1"/>
      </tp>
      <tp t="s">
        <v>#N/A Requesting Data...</v>
        <stp/>
        <stp>##V3_BDHV12</stp>
        <stp>CL1 Comdty</stp>
        <stp>30DAY_IMPVOL_95.0%MNY_DF</stp>
        <stp>04/04/2016</stp>
        <stp>04/04/2016</stp>
        <stp>[Bbg_Market_Data_CL.xlsm]data!R255C21</stp>
        <tr r="U255" s="1"/>
      </tp>
      <tp t="s">
        <v>#N/A Requesting Data...</v>
        <stp/>
        <stp>##V3_BDHV12</stp>
        <stp>CL1 Comdty</stp>
        <stp>30DAY_IMPVOL_90.0%MNY_DF</stp>
        <stp>13/11/2015</stp>
        <stp>13/11/2015</stp>
        <stp>[Bbg_Market_Data_CL.xlsm]data!R349C23</stp>
        <tr r="W349" s="1"/>
      </tp>
      <tp t="s">
        <v>#N/A Requesting Data...</v>
        <stp/>
        <stp>##V3_BDHV12</stp>
        <stp>CL1 Comdty</stp>
        <stp>30DAY_IMPVOL_90.0%MNY_DF</stp>
        <stp>23/12/2015</stp>
        <stp>23/12/2015</stp>
        <stp>[Bbg_Market_Data_CL.xlsm]data!R322C23</stp>
        <tr r="W322" s="1"/>
      </tp>
      <tp t="s">
        <v>#N/A Requesting Data...</v>
        <stp/>
        <stp>##V3_BDHV12</stp>
        <stp>CL1 Comdty</stp>
        <stp>30DAY_IMPVOL_95.0%MNY_DF</stp>
        <stp>07/07/2016</stp>
        <stp>07/07/2016</stp>
        <stp>[Bbg_Market_Data_CL.xlsm]data!R189C21</stp>
        <tr r="U189" s="1"/>
      </tp>
      <tp t="s">
        <v>#N/A Requesting Data...</v>
        <stp/>
        <stp>##V3_BDHV12</stp>
        <stp>SPGSCLP Index</stp>
        <stp>CHG_PCT_1D</stp>
        <stp>11/01/2016</stp>
        <stp>11/01/2016</stp>
        <stp>[Bbg_Market_Data_CL.xlsm]data!R312C3</stp>
        <tr r="C312" s="1"/>
      </tp>
      <tp t="s">
        <v>#N/A Requesting Data...</v>
        <stp/>
        <stp>##V3_BDHV12</stp>
        <stp>SPGSCLP Index</stp>
        <stp>CHG_PCT_1D</stp>
        <stp>15/06/2015</stp>
        <stp>15/06/2015</stp>
        <stp>[Bbg_Market_Data_CL.xlsm]data!R455C3</stp>
        <tr r="C455" s="1"/>
      </tp>
      <tp t="s">
        <v>#N/A Requesting Data...</v>
        <stp/>
        <stp>##V3_BDHV12</stp>
        <stp>SPGSCLP Index</stp>
        <stp>CHG_PCT_5D</stp>
        <stp>26/06/2015</stp>
        <stp>26/06/2015</stp>
        <stp>[Bbg_Market_Data_CL.xlsm]data!R446C4</stp>
        <tr r="D446" s="1"/>
      </tp>
      <tp t="s">
        <v>#N/A Requesting Data...</v>
        <stp/>
        <stp>##V3_BDHV12</stp>
        <stp>SPGSCLP Index</stp>
        <stp>CHG_PCT_1D</stp>
        <stp>13/10/2015</stp>
        <stp>13/10/2015</stp>
        <stp>[Bbg_Market_Data_CL.xlsm]data!R372C3</stp>
        <tr r="C372" s="1"/>
      </tp>
      <tp t="s">
        <v>#N/A Requesting Data...</v>
        <stp/>
        <stp>##V3_BDHV12</stp>
        <stp>SPGSCLP Index</stp>
        <stp>CHG_PCT_5D</stp>
        <stp>13/10/2015</stp>
        <stp>13/10/2015</stp>
        <stp>[Bbg_Market_Data_CL.xlsm]data!R372C4</stp>
        <tr r="D372" s="1"/>
      </tp>
      <tp t="s">
        <v>#N/A Requesting Data...</v>
        <stp/>
        <stp>##V3_BDHV12</stp>
        <stp>SPGSCLP Index</stp>
        <stp>CHG_PCT_5D</stp>
        <stp>11/01/2016</stp>
        <stp>11/01/2016</stp>
        <stp>[Bbg_Market_Data_CL.xlsm]data!R312C4</stp>
        <tr r="D312" s="1"/>
      </tp>
      <tp t="s">
        <v>#N/A Requesting Data...</v>
        <stp/>
        <stp>##V3_BDHV12</stp>
        <stp>SPGSCLP Index</stp>
        <stp>CHG_PCT_5D</stp>
        <stp>15/06/2015</stp>
        <stp>15/06/2015</stp>
        <stp>[Bbg_Market_Data_CL.xlsm]data!R455C4</stp>
        <tr r="D455" s="1"/>
      </tp>
      <tp t="s">
        <v>#N/A Requesting Data...</v>
        <stp/>
        <stp>##V3_BDHV12</stp>
        <stp>SPGSCLP Index</stp>
        <stp>CHG_PCT_1D</stp>
        <stp>26/06/2015</stp>
        <stp>26/06/2015</stp>
        <stp>[Bbg_Market_Data_CL.xlsm]data!R446C3</stp>
        <tr r="C446" s="1"/>
      </tp>
      <tp t="s">
        <v>#N/A Requesting Data...</v>
        <stp/>
        <stp>##V3_BDHV12</stp>
        <stp>CL1 Comdty</stp>
        <stp>30DAY_IMPVOL_90.0%MNY_DF</stp>
        <stp>30/10/2015</stp>
        <stp>30/10/2015</stp>
        <stp>[Bbg_Market_Data_CL.xlsm]data!R358C23</stp>
        <tr r="W358" s="1"/>
      </tp>
      <tp t="s">
        <v>#N/A Requesting Data...</v>
        <stp/>
        <stp>##V3_BDHV12</stp>
        <stp>CL1 Comdty</stp>
        <stp>30DAY_IMPVOL_90.0%MNY_DF</stp>
        <stp>20/11/2015</stp>
        <stp>20/11/2015</stp>
        <stp>[Bbg_Market_Data_CL.xlsm]data!R344C23</stp>
        <tr r="W344" s="1"/>
      </tp>
      <tp t="s">
        <v>#N/A Requesting Data...</v>
        <stp/>
        <stp>##V3_BDHV12</stp>
        <stp>CL1 Comdty</stp>
        <stp>30DAY_IMPVOL_90.0%MNY_DF</stp>
        <stp>10/12/2015</stp>
        <stp>10/12/2015</stp>
        <stp>[Bbg_Market_Data_CL.xlsm]data!R331C23</stp>
        <tr r="W331" s="1"/>
      </tp>
      <tp t="s">
        <v>#N/A Requesting Data...</v>
        <stp/>
        <stp>##V3_BDHV12</stp>
        <stp>CL1 Comdty</stp>
        <stp>30DAY_IMPVOL_95.0%MNY_DF</stp>
        <stp>17/06/2016</stp>
        <stp>17/06/2016</stp>
        <stp>[Bbg_Market_Data_CL.xlsm]data!R202C21</stp>
        <tr r="U202" s="1"/>
      </tp>
      <tp t="s">
        <v>#N/A Requesting Data...</v>
        <stp/>
        <stp>##V3_BDHV12</stp>
        <stp>CL1 Comdty</stp>
        <stp>30DAY_IMPVOL_95.0%MNY_DF</stp>
        <stp>27/05/2016</stp>
        <stp>27/05/2016</stp>
        <stp>[Bbg_Market_Data_CL.xlsm]data!R216C21</stp>
        <tr r="U216" s="1"/>
      </tp>
      <tp t="s">
        <v>#N/A Requesting Data...</v>
        <stp/>
        <stp>##V3_BDHV12</stp>
        <stp>CL1 Comdty</stp>
        <stp>30DAY_IMPVOL_90.0%MNY_DF</stp>
        <stp>11/10/2016</stp>
        <stp>11/10/2016</stp>
        <stp>[Bbg_Market_Data_CL.xlsm]data!R124C23</stp>
        <tr r="W124" s="1"/>
      </tp>
      <tp t="s">
        <v>#N/A Requesting Data...</v>
        <stp/>
        <stp>##V3_BDHV12</stp>
        <stp>CL1 Comdty</stp>
        <stp>30DAY_IMPVOL_90.0%MNY_DF</stp>
        <stp>01/11/2016</stp>
        <stp>01/11/2016</stp>
        <stp>[Bbg_Market_Data_CL.xlsm]data!R109C23</stp>
        <tr r="W109" s="1"/>
      </tp>
      <tp t="s">
        <v>#N/A Requesting Data...</v>
        <stp/>
        <stp>##V3_BDHV12</stp>
        <stp>CL1 Comdty</stp>
        <stp>30DAY_IMPVOL_95.0%MNY_DF</stp>
        <stp>24/06/2016</stp>
        <stp>24/06/2016</stp>
        <stp>[Bbg_Market_Data_CL.xlsm]data!R197C21</stp>
        <tr r="U197" s="1"/>
      </tp>
      <tp t="s">
        <v>#N/A Requesting Data...</v>
        <stp/>
        <stp>##V3_BDHV12</stp>
        <stp>CL1 Comdty</stp>
        <stp>30DAY_IMPVOL_90.0%MNY_DF</stp>
        <stp>02/02/2016</stp>
        <stp>02/02/2016</stp>
        <stp>[Bbg_Market_Data_CL.xlsm]data!R296C23</stp>
        <tr r="W296" s="1"/>
      </tp>
      <tp t="s">
        <v>#N/A Requesting Data...</v>
        <stp/>
        <stp>##V3_BDHV12</stp>
        <stp>SPGSCLP Index</stp>
        <stp>CHG_PCT_5D</stp>
        <stp>16/05/2016</stp>
        <stp>16/05/2016</stp>
        <stp>[Bbg_Market_Data_CL.xlsm]data!R226C4</stp>
        <tr r="D226" s="1"/>
      </tp>
      <tp t="s">
        <v>#N/A Requesting Data...</v>
        <stp/>
        <stp>##V3_BDHV12</stp>
        <stp>SPGSCLP Index</stp>
        <stp>CHG_PCT_1D</stp>
        <stp>15/06/2016</stp>
        <stp>15/06/2016</stp>
        <stp>[Bbg_Market_Data_CL.xlsm]data!R205C3</stp>
        <tr r="C205" s="1"/>
      </tp>
      <tp t="s">
        <v>#N/A Requesting Data...</v>
        <stp/>
        <stp>##V3_BDHV12</stp>
        <stp>SPGSCLP Index</stp>
        <stp>CHG_PCT_1D</stp>
        <stp>16/05/2016</stp>
        <stp>16/05/2016</stp>
        <stp>[Bbg_Market_Data_CL.xlsm]data!R226C3</stp>
        <tr r="C226" s="1"/>
      </tp>
      <tp t="s">
        <v>#N/A Requesting Data...</v>
        <stp/>
        <stp>##V3_BDHV12</stp>
        <stp>SPGSCLP Index</stp>
        <stp>CHG_PCT_5D</stp>
        <stp>15/06/2016</stp>
        <stp>15/06/2016</stp>
        <stp>[Bbg_Market_Data_CL.xlsm]data!R205C4</stp>
        <tr r="D205" s="1"/>
      </tp>
      <tp t="s">
        <v>#N/A Requesting Data...</v>
        <stp/>
        <stp>##V3_BDHV12</stp>
        <stp>SPGSCLP Index</stp>
        <stp>CHG_PCT_5D</stp>
        <stp>23/03/2016</stp>
        <stp>23/03/2016</stp>
        <stp>[Bbg_Market_Data_CL.xlsm]data!R263C4</stp>
        <tr r="D263" s="1"/>
      </tp>
      <tp t="s">
        <v>#N/A Requesting Data...</v>
        <stp/>
        <stp>##V3_BDHV12</stp>
        <stp>SPGSCLP Index</stp>
        <stp>CHG_PCT_1D</stp>
        <stp>24/07/2015</stp>
        <stp>24/07/2015</stp>
        <stp>[Bbg_Market_Data_CL.xlsm]data!R427C3</stp>
        <tr r="C427" s="1"/>
      </tp>
      <tp t="s">
        <v>#N/A Requesting Data...</v>
        <stp/>
        <stp>##V3_BDHV12</stp>
        <stp>SPGSCLP Index</stp>
        <stp>CHG_PCT_5D</stp>
        <stp>24/07/2015</stp>
        <stp>24/07/2015</stp>
        <stp>[Bbg_Market_Data_CL.xlsm]data!R427C4</stp>
        <tr r="D427" s="1"/>
      </tp>
      <tp t="s">
        <v>#N/A Requesting Data...</v>
        <stp/>
        <stp>##V3_BDHV12</stp>
        <stp>SPGSCLP Index</stp>
        <stp>CHG_PCT_1D</stp>
        <stp>23/03/2016</stp>
        <stp>23/03/2016</stp>
        <stp>[Bbg_Market_Data_CL.xlsm]data!R263C3</stp>
        <tr r="C263" s="1"/>
      </tp>
      <tp t="s">
        <v>#N/A Requesting Data...</v>
        <stp/>
        <stp>##V3_BDHV12</stp>
        <stp>CL1 Comdty</stp>
        <stp>30DAY_IMPVOL_90.0%MNY_DF</stp>
        <stp>03/03/2016</stp>
        <stp>03/03/2016</stp>
        <stp>[Bbg_Market_Data_CL.xlsm]data!R276C23</stp>
        <tr r="W276" s="1"/>
      </tp>
      <tp t="s">
        <v>#N/A Requesting Data...</v>
        <stp/>
        <stp>##V3_BDHV12</stp>
        <stp>CL1 Comdty</stp>
        <stp>30DAY_IMPVOL_90.0%MNY_DF</stp>
        <stp>21/10/2015</stp>
        <stp>21/10/2015</stp>
        <stp>[Bbg_Market_Data_CL.xlsm]data!R365C23</stp>
        <tr r="W365" s="1"/>
      </tp>
      <tp t="s">
        <v>#N/A Requesting Data...</v>
        <stp/>
        <stp>##V3_BDHV12</stp>
        <stp>CL1 Comdty</stp>
        <stp>30DAY_IMPVOL_95.0%MNY_DF</stp>
        <stp>25/07/2016</stp>
        <stp>25/07/2016</stp>
        <stp>[Bbg_Market_Data_CL.xlsm]data!R177C21</stp>
        <tr r="U177" s="1"/>
      </tp>
      <tp t="s">
        <v>#N/A Requesting Data...</v>
        <stp/>
        <stp>##V3_BDHV12</stp>
        <stp>CL1 Comdty</stp>
        <stp>30DAY_IMPVOL_90.0%MNY_DF</stp>
        <stp>01/12/2015</stp>
        <stp>01/12/2015</stp>
        <stp>[Bbg_Market_Data_CL.xlsm]data!R338C23</stp>
        <tr r="W338" s="1"/>
      </tp>
      <tp t="s">
        <v>#N/A Requesting Data...</v>
        <stp/>
        <stp>##V3_BDHV12</stp>
        <stp>CL1 Comdty</stp>
        <stp>30DAY_IMPVOL_95.0%MNY_DF</stp>
        <stp>06/06/2016</stp>
        <stp>06/06/2016</stp>
        <stp>[Bbg_Market_Data_CL.xlsm]data!R211C21</stp>
        <tr r="U211" s="1"/>
      </tp>
      <tp t="s">
        <v>#N/A Requesting Data...</v>
        <stp/>
        <stp>##V3_BDHV12</stp>
        <stp>CL1 Comdty</stp>
        <stp>30DAY_IMPVOL_90.0%MNY_DF</stp>
        <stp>10/11/2016</stp>
        <stp>10/11/2016</stp>
        <stp>[Bbg_Market_Data_CL.xlsm]data!R102C23</stp>
        <tr r="W102" s="1"/>
      </tp>
      <tp t="s">
        <v>#N/A Requesting Data...</v>
        <stp/>
        <stp>##V3_BDHV12</stp>
        <stp>CL1 Comdty</stp>
        <stp>30DAY_IMPVOL_95.0%MNY_DF</stp>
        <stp>26/04/2016</stp>
        <stp>26/04/2016</stp>
        <stp>[Bbg_Market_Data_CL.xlsm]data!R239C21</stp>
        <tr r="U239" s="1"/>
      </tp>
      <tp t="s">
        <v>#N/A Requesting Data...</v>
        <stp/>
        <stp>##V3_BDHV12</stp>
        <stp>CL1 Comdty</stp>
        <stp>30DAY_IMPVOL_90.0%MNY_DF</stp>
        <stp>06/05/2015</stp>
        <stp>06/05/2015</stp>
        <stp>[Bbg_Market_Data_CL.xlsm]data!R481C23</stp>
        <tr r="W481" s="1"/>
      </tp>
      <tp t="s">
        <v>#N/A Requesting Data...</v>
        <stp/>
        <stp>##V3_BDHV12</stp>
        <stp>CL1 Comdty</stp>
        <stp>30DAY_IMPVOL_90.0%MNY_DF</stp>
        <stp>16/04/2015</stp>
        <stp>16/04/2015</stp>
        <stp>[Bbg_Market_Data_CL.xlsm]data!R495C23</stp>
        <tr r="W495" s="1"/>
      </tp>
      <tp t="s">
        <v>#N/A Requesting Data...</v>
        <stp/>
        <stp>##V3_BDHV12</stp>
        <stp>SPGSCLP Index</stp>
        <stp>CHG_PCT_5D</stp>
        <stp>15/07/2016</stp>
        <stp>15/07/2016</stp>
        <stp>[Bbg_Market_Data_CL.xlsm]data!R184C4</stp>
        <tr r="D184" s="1"/>
      </tp>
      <tp t="s">
        <v>#N/A Requesting Data...</v>
        <stp/>
        <stp>##V3_BDHV12</stp>
        <stp>SPGSCLP Index</stp>
        <stp>CHG_PCT_1D</stp>
        <stp>26/07/2016</stp>
        <stp>26/07/2016</stp>
        <stp>[Bbg_Market_Data_CL.xlsm]data!R177C3</stp>
        <tr r="C177" s="1"/>
      </tp>
      <tp t="s">
        <v>#N/A Requesting Data...</v>
        <stp/>
        <stp>##V3_BDHV12</stp>
        <stp>SPGSCLP Index</stp>
        <stp>CHG_PCT_1D</stp>
        <stp>15/07/2016</stp>
        <stp>15/07/2016</stp>
        <stp>[Bbg_Market_Data_CL.xlsm]data!R184C3</stp>
        <tr r="C184" s="1"/>
      </tp>
      <tp t="s">
        <v>#N/A Requesting Data...</v>
        <stp/>
        <stp>##V3_BDHV12</stp>
        <stp>SPGSCLP Index</stp>
        <stp>CHG_PCT_5D</stp>
        <stp>26/07/2016</stp>
        <stp>26/07/2016</stp>
        <stp>[Bbg_Market_Data_CL.xlsm]data!R177C4</stp>
        <tr r="D177" s="1"/>
      </tp>
      <tp t="s">
        <v>#N/A Requesting Data...</v>
        <stp/>
        <stp>##V3_BDHV12</stp>
        <stp>SPGSCLP Index</stp>
        <stp>CHG_PCT_1D</stp>
        <stp>10/02/2016</stp>
        <stp>10/02/2016</stp>
        <stp>[Bbg_Market_Data_CL.xlsm]data!R291C3</stp>
        <tr r="C291" s="1"/>
      </tp>
      <tp t="s">
        <v>#N/A Requesting Data...</v>
        <stp/>
        <stp>##V3_BDHV12</stp>
        <stp>SPGSCLP Index</stp>
        <stp>CHG_PCT_1D</stp>
        <stp>15/04/2015</stp>
        <stp>15/04/2015</stp>
        <stp>[Bbg_Market_Data_CL.xlsm]data!R497C3</stp>
        <tr r="C497" s="1"/>
      </tp>
      <tp t="s">
        <v>#N/A Requesting Data...</v>
        <stp/>
        <stp>##V3_BDHV12</stp>
        <stp>SPGSCLP Index</stp>
        <stp>CHG_PCT_1D</stp>
        <stp>14/05/2015</stp>
        <stp>14/05/2015</stp>
        <stp>[Bbg_Market_Data_CL.xlsm]data!R476C3</stp>
        <tr r="C476" s="1"/>
      </tp>
      <tp t="s">
        <v>#N/A Requesting Data...</v>
        <stp/>
        <stp>##V3_BDHV12</stp>
        <stp>SPGSCLP Index</stp>
        <stp>CHG_PCT_5D</stp>
        <stp>14/05/2015</stp>
        <stp>14/05/2015</stp>
        <stp>[Bbg_Market_Data_CL.xlsm]data!R476C4</stp>
        <tr r="D476" s="1"/>
      </tp>
      <tp t="s">
        <v>#N/A Requesting Data...</v>
        <stp/>
        <stp>##V3_BDHV12</stp>
        <stp>SPGSCLP Index</stp>
        <stp>CHG_PCT_5D</stp>
        <stp>10/02/2016</stp>
        <stp>10/02/2016</stp>
        <stp>[Bbg_Market_Data_CL.xlsm]data!R291C4</stp>
        <tr r="D291" s="1"/>
      </tp>
      <tp t="s">
        <v>#N/A Requesting Data...</v>
        <stp/>
        <stp>##V3_BDHV12</stp>
        <stp>SPGSCLP Index</stp>
        <stp>CHG_PCT_5D</stp>
        <stp>15/04/2015</stp>
        <stp>15/04/2015</stp>
        <stp>[Bbg_Market_Data_CL.xlsm]data!R497C4</stp>
        <tr r="D497" s="1"/>
      </tp>
      <tp t="s">
        <v>#N/A Requesting Data...</v>
        <stp/>
        <stp>##V3_BDHV12</stp>
        <stp>CL1 Comdty</stp>
        <stp>30DAY_IMPVOL_95.0%MNY_DF</stp>
        <stp>13/11/2015</stp>
        <stp>13/11/2015</stp>
        <stp>[Bbg_Market_Data_CL.xlsm]data!R349C21</stp>
        <tr r="U349" s="1"/>
      </tp>
      <tp t="s">
        <v>#N/A Requesting Data...</v>
        <stp/>
        <stp>##V3_BDHV12</stp>
        <stp>CL1 Comdty</stp>
        <stp>30DAY_IMPVOL_95.0%MNY_DF</stp>
        <stp>21/03/2016</stp>
        <stp>21/03/2016</stp>
        <stp>[Bbg_Market_Data_CL.xlsm]data!R264C21</stp>
        <tr r="U264" s="1"/>
      </tp>
      <tp t="s">
        <v>#N/A Requesting Data...</v>
        <stp/>
        <stp>##V3_BDHV12</stp>
        <stp>CL1 Comdty</stp>
        <stp>30DAY_IMPVOL_90.0%MNY_DF</stp>
        <stp>04/04/2016</stp>
        <stp>04/04/2016</stp>
        <stp>[Bbg_Market_Data_CL.xlsm]data!R255C23</stp>
        <tr r="W255" s="1"/>
      </tp>
      <tp t="s">
        <v>#N/A Requesting Data...</v>
        <stp/>
        <stp>##V3_BDHV12</stp>
        <stp>CL1 Comdty</stp>
        <stp>30DAY_IMPVOL_95.0%MNY_DF</stp>
        <stp>23/12/2015</stp>
        <stp>23/12/2015</stp>
        <stp>[Bbg_Market_Data_CL.xlsm]data!R322C21</stp>
        <tr r="U322" s="1"/>
      </tp>
      <tp t="s">
        <v>#N/A Requesting Data...</v>
        <stp/>
        <stp>##V3_BDHV12</stp>
        <stp>CL1 Comdty</stp>
        <stp>30DAY_IMPVOL_90.0%MNY_DF</stp>
        <stp>07/07/2016</stp>
        <stp>07/07/2016</stp>
        <stp>[Bbg_Market_Data_CL.xlsm]data!R189C23</stp>
        <tr r="W189" s="1"/>
      </tp>
      <tp t="s">
        <v>#N/A Requesting Data...</v>
        <stp/>
        <stp>##V3_BDHV12</stp>
        <stp>SPGSCLP Index</stp>
        <stp>CHG_PCT_5D</stp>
        <stp>14/12/2015</stp>
        <stp>14/12/2015</stp>
        <stp>[Bbg_Market_Data_CL.xlsm]data!R330C4</stp>
        <tr r="D330" s="1"/>
      </tp>
      <tp t="s">
        <v>#N/A Requesting Data...</v>
        <stp/>
        <stp>##V3_BDHV12</stp>
        <stp>SPGSCLP Index</stp>
        <stp>CHG_PCT_5D</stp>
        <stp>27/01/2016</stp>
        <stp>27/01/2016</stp>
        <stp>[Bbg_Market_Data_CL.xlsm]data!R301C4</stp>
        <tr r="D301" s="1"/>
      </tp>
      <tp t="s">
        <v>#N/A Requesting Data...</v>
        <stp/>
        <stp>##V3_BDHV12</stp>
        <stp>SPGSCLP Index</stp>
        <stp>CHG_PCT_1D</stp>
        <stp>14/12/2015</stp>
        <stp>14/12/2015</stp>
        <stp>[Bbg_Market_Data_CL.xlsm]data!R330C3</stp>
        <tr r="C330" s="1"/>
      </tp>
      <tp t="s">
        <v>#N/A Requesting Data...</v>
        <stp/>
        <stp>##V3_BDHV12</stp>
        <stp>SPGSCLP Index</stp>
        <stp>CHG_PCT_1D</stp>
        <stp>27/01/2016</stp>
        <stp>27/01/2016</stp>
        <stp>[Bbg_Market_Data_CL.xlsm]data!R301C3</stp>
        <tr r="C301" s="1"/>
      </tp>
      <tp t="s">
        <v>#N/A Requesting Data...</v>
        <stp/>
        <stp>##V3_BDHV12</stp>
        <stp>SPGSCLP Index</stp>
        <stp>CHG_PCT_5D</stp>
        <stp>02/06/2016</stp>
        <stp>02/06/2016</stp>
        <stp>[Bbg_Market_Data_CL.xlsm]data!R214C4</stp>
        <tr r="D214" s="1"/>
      </tp>
      <tp t="s">
        <v>#N/A Requesting Data...</v>
        <stp/>
        <stp>##V3_BDHV12</stp>
        <stp>SPGSCLP Index</stp>
        <stp>CHG_PCT_1D</stp>
        <stp>02/06/2016</stp>
        <stp>02/06/2016</stp>
        <stp>[Bbg_Market_Data_CL.xlsm]data!R214C3</stp>
        <tr r="C214" s="1"/>
      </tp>
      <tp t="s">
        <v>#N/A Requesting Data...</v>
        <stp/>
        <stp>##V3_BDHV12</stp>
        <stp>CL1 Comdty</stp>
        <stp>30DAY_IMPVOL_95.0%MNY_DF</stp>
        <stp>02/11/2015</stp>
        <stp>02/11/2015</stp>
        <stp>[Bbg_Market_Data_CL.xlsm]data!R357C21</stp>
        <tr r="U357" s="1"/>
      </tp>
      <tp t="s">
        <v>#N/A Requesting Data...</v>
        <stp/>
        <stp>##V3_BDHV12</stp>
        <stp>CL1 Comdty</stp>
        <stp>30DAY_IMPVOL_95.0%MNY_DF</stp>
        <stp>30/03/2016</stp>
        <stp>30/03/2016</stp>
        <stp>[Bbg_Market_Data_CL.xlsm]data!R258C21</stp>
        <tr r="U258" s="1"/>
      </tp>
      <tp t="s">
        <v>#N/A Requesting Data...</v>
        <stp/>
        <stp>##V3_BDHV12</stp>
        <stp>CL1 Comdty</stp>
        <stp>30DAY_IMPVOL_90.0%MNY_DF</stp>
        <stp>15/04/2016</stp>
        <stp>15/04/2016</stp>
        <stp>[Bbg_Market_Data_CL.xlsm]data!R246C23</stp>
        <tr r="W246" s="1"/>
      </tp>
      <tp t="s">
        <v>#N/A Requesting Data...</v>
        <stp/>
        <stp>##V3_BDHV12</stp>
        <stp>CL1 Comdty</stp>
        <stp>30DAY_IMPVOL_95.0%MNY_DF</stp>
        <stp>05/06/2015</stp>
        <stp>05/06/2015</stp>
        <stp>[Bbg_Market_Data_CL.xlsm]data!R460C21</stp>
        <tr r="U460" s="1"/>
      </tp>
      <tp t="s">
        <v>#N/A Requesting Data...</v>
        <stp/>
        <stp>##V3_BDHV12</stp>
        <stp>CL1 Comdty</stp>
        <stp>30DAY_IMPVOL_90.0%MNY_DF</stp>
        <stp>05/05/2016</stp>
        <stp>05/05/2016</stp>
        <stp>[Bbg_Market_Data_CL.xlsm]data!R232C23</stp>
        <tr r="W232" s="1"/>
      </tp>
      <tp t="s">
        <v>#N/A Requesting Data...</v>
        <stp/>
        <stp>##V3_BDHV12</stp>
        <stp>CL1 Comdty</stp>
        <stp>30DAY_IMPVOL_95.0%MNY_DF</stp>
        <stp>15/07/2015</stp>
        <stp>15/07/2015</stp>
        <stp>[Bbg_Market_Data_CL.xlsm]data!R433C21</stp>
        <tr r="U433" s="1"/>
      </tp>
      <tp t="s">
        <v>#N/A Requesting Data...</v>
        <stp/>
        <stp>##V3_BDHV12</stp>
        <stp>SPGSCLP Index</stp>
        <stp>CHG_PCT_5D</stp>
        <stp>14/10/2016</stp>
        <stp>14/10/2016</stp>
        <stp>[Bbg_Market_Data_CL.xlsm]data!R122C4</stp>
        <tr r="D122" s="1"/>
      </tp>
      <tp t="s">
        <v>#N/A Requesting Data...</v>
        <stp/>
        <stp>##V3_BDHV12</stp>
        <stp>SPGSCLP Index</stp>
        <stp>CHG_PCT_1D</stp>
        <stp>20/04/2015</stp>
        <stp>20/04/2015</stp>
        <stp>[Bbg_Market_Data_CL.xlsm]data!R494C3</stp>
        <tr r="C494" s="1"/>
      </tp>
      <tp t="s">
        <v>#N/A Requesting Data...</v>
        <stp/>
        <stp>##V3_BDHV12</stp>
        <stp>SPGSCLP Index</stp>
        <stp>CHG_PCT_1D</stp>
        <stp>25/02/2016</stp>
        <stp>25/02/2016</stp>
        <stp>[Bbg_Market_Data_CL.xlsm]data!R282C3</stp>
        <tr r="C282" s="1"/>
      </tp>
      <tp t="s">
        <v>#N/A Requesting Data...</v>
        <stp/>
        <stp>##V3_BDHV12</stp>
        <stp>SPGSCLP Index</stp>
        <stp>CHG_PCT_5D</stp>
        <stp>20/04/2015</stp>
        <stp>20/04/2015</stp>
        <stp>[Bbg_Market_Data_CL.xlsm]data!R494C4</stp>
        <tr r="D494" s="1"/>
      </tp>
      <tp t="s">
        <v>#N/A Requesting Data...</v>
        <stp/>
        <stp>##V3_BDHV12</stp>
        <stp>SPGSCLP Index</stp>
        <stp>CHG_PCT_5D</stp>
        <stp>25/02/2016</stp>
        <stp>25/02/2016</stp>
        <stp>[Bbg_Market_Data_CL.xlsm]data!R282C4</stp>
        <tr r="D282" s="1"/>
      </tp>
      <tp t="s">
        <v>#N/A Requesting Data...</v>
        <stp/>
        <stp>##V3_BDHV12</stp>
        <stp>SPGSCLP Index</stp>
        <stp>CHG_PCT_1D</stp>
        <stp>14/10/2016</stp>
        <stp>14/10/2016</stp>
        <stp>[Bbg_Market_Data_CL.xlsm]data!R122C3</stp>
        <tr r="C122" s="1"/>
      </tp>
      <tp t="s">
        <v>#N/A Requesting Data...</v>
        <stp/>
        <stp>##V3_BDHV12</stp>
        <stp>CL1 Comdty</stp>
        <stp>30DAY_IMPVOL_90.0%MNY_DF</stp>
        <stp>25/07/2016</stp>
        <stp>25/07/2016</stp>
        <stp>[Bbg_Market_Data_CL.xlsm]data!R177C23</stp>
        <tr r="W177" s="1"/>
      </tp>
      <tp t="s">
        <v>#N/A Requesting Data...</v>
        <stp/>
        <stp>##V3_BDHV12</stp>
        <stp>CL1 Comdty</stp>
        <stp>30DAY_IMPVOL_95.0%MNY_DF</stp>
        <stp>03/03/2016</stp>
        <stp>03/03/2016</stp>
        <stp>[Bbg_Market_Data_CL.xlsm]data!R276C21</stp>
        <tr r="U276" s="1"/>
      </tp>
      <tp t="s">
        <v>#N/A Requesting Data...</v>
        <stp/>
        <stp>##V3_BDHV12</stp>
        <stp>CL1 Comdty</stp>
        <stp>30DAY_IMPVOL_95.0%MNY_DF</stp>
        <stp>21/10/2015</stp>
        <stp>21/10/2015</stp>
        <stp>[Bbg_Market_Data_CL.xlsm]data!R365C21</stp>
        <tr r="U365" s="1"/>
      </tp>
      <tp t="s">
        <v>#N/A Requesting Data...</v>
        <stp/>
        <stp>##V3_BDHV12</stp>
        <stp>CL1 Comdty</stp>
        <stp>30DAY_IMPVOL_95.0%MNY_DF</stp>
        <stp>10/11/2016</stp>
        <stp>10/11/2016</stp>
        <stp>[Bbg_Market_Data_CL.xlsm]data!R102C21</stp>
        <tr r="U102" s="1"/>
      </tp>
      <tp t="s">
        <v>#N/A Requesting Data...</v>
        <stp/>
        <stp>##V3_BDHV12</stp>
        <stp>CL1 Comdty</stp>
        <stp>30DAY_IMPVOL_90.0%MNY_DF</stp>
        <stp>26/04/2016</stp>
        <stp>26/04/2016</stp>
        <stp>[Bbg_Market_Data_CL.xlsm]data!R239C23</stp>
        <tr r="W239" s="1"/>
      </tp>
      <tp t="s">
        <v>#N/A Requesting Data...</v>
        <stp/>
        <stp>##V3_BDHV12</stp>
        <stp>CL1 Comdty</stp>
        <stp>30DAY_IMPVOL_95.0%MNY_DF</stp>
        <stp>01/12/2015</stp>
        <stp>01/12/2015</stp>
        <stp>[Bbg_Market_Data_CL.xlsm]data!R338C21</stp>
        <tr r="U338" s="1"/>
      </tp>
      <tp t="s">
        <v>#N/A Requesting Data...</v>
        <stp/>
        <stp>##V3_BDHV12</stp>
        <stp>CL1 Comdty</stp>
        <stp>30DAY_IMPVOL_90.0%MNY_DF</stp>
        <stp>06/06/2016</stp>
        <stp>06/06/2016</stp>
        <stp>[Bbg_Market_Data_CL.xlsm]data!R211C23</stp>
        <tr r="W211" s="1"/>
      </tp>
      <tp t="s">
        <v>#N/A Requesting Data...</v>
        <stp/>
        <stp>##V3_BDHV12</stp>
        <stp>CL1 Comdty</stp>
        <stp>30DAY_IMPVOL_95.0%MNY_DF</stp>
        <stp>06/05/2015</stp>
        <stp>06/05/2015</stp>
        <stp>[Bbg_Market_Data_CL.xlsm]data!R481C21</stp>
        <tr r="U481" s="1"/>
      </tp>
      <tp t="s">
        <v>#N/A Requesting Data...</v>
        <stp/>
        <stp>##V3_BDHV12</stp>
        <stp>CL1 Comdty</stp>
        <stp>30DAY_IMPVOL_95.0%MNY_DF</stp>
        <stp>16/04/2015</stp>
        <stp>16/04/2015</stp>
        <stp>[Bbg_Market_Data_CL.xlsm]data!R495C21</stp>
        <tr r="U495" s="1"/>
      </tp>
      <tp t="s">
        <v>#N/A Requesting Data...</v>
        <stp/>
        <stp>##V3_BDHV12</stp>
        <stp>SPGSCLP Index</stp>
        <stp>CHG_PCT_1D</stp>
        <stp>14/03/2016</stp>
        <stp>14/03/2016</stp>
        <stp>[Bbg_Market_Data_CL.xlsm]data!R270C3</stp>
        <tr r="C270" s="1"/>
      </tp>
      <tp t="s">
        <v>#N/A Requesting Data...</v>
        <stp/>
        <stp>##V3_BDHV12</stp>
        <stp>SPGSCLP Index</stp>
        <stp>CHG_PCT_5D</stp>
        <stp>14/03/2016</stp>
        <stp>14/03/2016</stp>
        <stp>[Bbg_Market_Data_CL.xlsm]data!R270C4</stp>
        <tr r="D270" s="1"/>
      </tp>
      <tp t="s">
        <v>#N/A Requesting Data...</v>
        <stp/>
        <stp>##V3_BDHV12</stp>
        <stp>SPGSCLP Index</stp>
        <stp>CHG_PCT_1D</stp>
        <stp>20/04/2016</stp>
        <stp>20/04/2016</stp>
        <stp>[Bbg_Market_Data_CL.xlsm]data!R244C3</stp>
        <tr r="C244" s="1"/>
      </tp>
      <tp t="s">
        <v>#N/A Requesting Data...</v>
        <stp/>
        <stp>##V3_BDHV12</stp>
        <stp>SPGSCLP Index</stp>
        <stp>CHG_PCT_5D</stp>
        <stp>20/04/2016</stp>
        <stp>20/04/2016</stp>
        <stp>[Bbg_Market_Data_CL.xlsm]data!R244C4</stp>
        <tr r="D244" s="1"/>
      </tp>
      <tp t="s">
        <v>#N/A Requesting Data...</v>
        <stp/>
        <stp>##V3_BDHV12</stp>
        <stp>CL1 Comdty</stp>
        <stp>30DAY_IMPVOL_95.0%MNY_DF</stp>
        <stp>30/10/2015</stp>
        <stp>30/10/2015</stp>
        <stp>[Bbg_Market_Data_CL.xlsm]data!R358C21</stp>
        <tr r="U358" s="1"/>
      </tp>
      <tp t="s">
        <v>#N/A Requesting Data...</v>
        <stp/>
        <stp>##V3_BDHV12</stp>
        <stp>CL1 Comdty</stp>
        <stp>30DAY_IMPVOL_95.0%MNY_DF</stp>
        <stp>20/11/2015</stp>
        <stp>20/11/2015</stp>
        <stp>[Bbg_Market_Data_CL.xlsm]data!R344C21</stp>
        <tr r="U344" s="1"/>
      </tp>
      <tp t="s">
        <v>#N/A Requesting Data...</v>
        <stp/>
        <stp>##V3_BDHV12</stp>
        <stp>CL1 Comdty</stp>
        <stp>30DAY_IMPVOL_95.0%MNY_DF</stp>
        <stp>01/11/2016</stp>
        <stp>01/11/2016</stp>
        <stp>[Bbg_Market_Data_CL.xlsm]data!R109C21</stp>
        <tr r="U109" s="1"/>
      </tp>
      <tp t="s">
        <v>#N/A Requesting Data...</v>
        <stp/>
        <stp>##V3_BDHV12</stp>
        <stp>CL1 Comdty</stp>
        <stp>30DAY_IMPVOL_95.0%MNY_DF</stp>
        <stp>10/12/2015</stp>
        <stp>10/12/2015</stp>
        <stp>[Bbg_Market_Data_CL.xlsm]data!R331C21</stp>
        <tr r="U331" s="1"/>
      </tp>
      <tp t="s">
        <v>#N/A Requesting Data...</v>
        <stp/>
        <stp>##V3_BDHV12</stp>
        <stp>CL1 Comdty</stp>
        <stp>30DAY_IMPVOL_90.0%MNY_DF</stp>
        <stp>17/06/2016</stp>
        <stp>17/06/2016</stp>
        <stp>[Bbg_Market_Data_CL.xlsm]data!R202C23</stp>
        <tr r="W202" s="1"/>
      </tp>
      <tp t="s">
        <v>#N/A Requesting Data...</v>
        <stp/>
        <stp>##V3_BDHV12</stp>
        <stp>CL1 Comdty</stp>
        <stp>30DAY_IMPVOL_90.0%MNY_DF</stp>
        <stp>27/05/2016</stp>
        <stp>27/05/2016</stp>
        <stp>[Bbg_Market_Data_CL.xlsm]data!R216C23</stp>
        <tr r="W216" s="1"/>
      </tp>
      <tp t="s">
        <v>#N/A Requesting Data...</v>
        <stp/>
        <stp>##V3_BDHV12</stp>
        <stp>CL1 Comdty</stp>
        <stp>30DAY_IMPVOL_95.0%MNY_DF</stp>
        <stp>11/10/2016</stp>
        <stp>11/10/2016</stp>
        <stp>[Bbg_Market_Data_CL.xlsm]data!R124C21</stp>
        <tr r="U124" s="1"/>
      </tp>
      <tp t="s">
        <v>#N/A Requesting Data...</v>
        <stp/>
        <stp>##V3_BDHV12</stp>
        <stp>CL1 Comdty</stp>
        <stp>30DAY_IMPVOL_95.0%MNY_DF</stp>
        <stp>02/02/2016</stp>
        <stp>02/02/2016</stp>
        <stp>[Bbg_Market_Data_CL.xlsm]data!R296C21</stp>
        <tr r="U296" s="1"/>
      </tp>
      <tp t="s">
        <v>#N/A Requesting Data...</v>
        <stp/>
        <stp>##V3_BDHV12</stp>
        <stp>CL1 Comdty</stp>
        <stp>30DAY_IMPVOL_90.0%MNY_DF</stp>
        <stp>24/06/2016</stp>
        <stp>24/06/2016</stp>
        <stp>[Bbg_Market_Data_CL.xlsm]data!R197C23</stp>
        <tr r="W197" s="1"/>
      </tp>
      <tp t="s">
        <v>#N/A Requesting Data...</v>
        <stp/>
        <stp>##V3_BDHV12</stp>
        <stp>SPGSCLP Index</stp>
        <stp>CHG_PCT_5D</stp>
        <stp>02/06/2015</stp>
        <stp>02/06/2015</stp>
        <stp>[Bbg_Market_Data_CL.xlsm]data!R464C4</stp>
        <tr r="D464" s="1"/>
      </tp>
      <tp t="s">
        <v>#N/A Requesting Data...</v>
        <stp/>
        <stp>##V3_BDHV12</stp>
        <stp>SPGSCLP Index</stp>
        <stp>CHG_PCT_1D</stp>
        <stp>02/06/2015</stp>
        <stp>02/06/2015</stp>
        <stp>[Bbg_Market_Data_CL.xlsm]data!R464C3</stp>
        <tr r="C464" s="1"/>
      </tp>
      <tp t="s">
        <v>#N/A Requesting Data...</v>
        <stp/>
        <stp>##V3_BDHV12</stp>
        <stp>SPGSCLP Index</stp>
        <stp>CHG_PCT_1D</stp>
        <stp>08/01/2016</stp>
        <stp>08/01/2016</stp>
        <stp>[Bbg_Market_Data_CL.xlsm]data!R313C3</stp>
        <tr r="C313" s="1"/>
      </tp>
      <tp t="s">
        <v>#N/A Requesting Data...</v>
        <stp/>
        <stp>##V3_BDHV12</stp>
        <stp>SPGSCLP Index</stp>
        <stp>CHG_PCT_5D</stp>
        <stp>28/10/2015</stp>
        <stp>28/10/2015</stp>
        <stp>[Bbg_Market_Data_CL.xlsm]data!R361C4</stp>
        <tr r="D361" s="1"/>
      </tp>
      <tp t="s">
        <v>#N/A Requesting Data...</v>
        <stp/>
        <stp>##V3_BDHV12</stp>
        <stp>SPGSCLP Index</stp>
        <stp>CHG_PCT_5D</stp>
        <stp>08/01/2016</stp>
        <stp>08/01/2016</stp>
        <stp>[Bbg_Market_Data_CL.xlsm]data!R313C4</stp>
        <tr r="D313" s="1"/>
      </tp>
      <tp t="s">
        <v>#N/A Requesting Data...</v>
        <stp/>
        <stp>##V3_BDHV12</stp>
        <stp>SPGSCLP Index</stp>
        <stp>CHG_PCT_1D</stp>
        <stp>28/10/2015</stp>
        <stp>28/10/2015</stp>
        <stp>[Bbg_Market_Data_CL.xlsm]data!R361C3</stp>
        <tr r="C361" s="1"/>
      </tp>
      <tp t="s">
        <v>#N/A Requesting Data...</v>
        <stp/>
        <stp>##V3_BDHV12</stp>
        <stp>SPGSCLP Index</stp>
        <stp>CHG_PCT_1D</stp>
        <stp>20/08/2015</stp>
        <stp>20/08/2015</stp>
        <stp>[Bbg_Market_Data_CL.xlsm]data!R408C3</stp>
        <tr r="C408" s="1"/>
      </tp>
      <tp t="s">
        <v>#N/A Requesting Data...</v>
        <stp/>
        <stp>##V3_BDHV12</stp>
        <stp>SPGSCLP Index</stp>
        <stp>CHG_PCT_5D</stp>
        <stp>20/08/2015</stp>
        <stp>20/08/2015</stp>
        <stp>[Bbg_Market_Data_CL.xlsm]data!R408C4</stp>
        <tr r="D408" s="1"/>
      </tp>
      <tp t="s">
        <v>#N/A Requesting Data...</v>
        <stp/>
        <stp>##V3_BDHV12</stp>
        <stp>SPGSCLP Index</stp>
        <stp>CHG_PCT_1D</stp>
        <stp>23/08/2016</stp>
        <stp>23/08/2016</stp>
        <stp>[Bbg_Market_Data_CL.xlsm]data!R158C3</stp>
        <tr r="C158" s="1"/>
      </tp>
      <tp t="s">
        <v>#N/A Requesting Data...</v>
        <stp/>
        <stp>##V3_BDHV12</stp>
        <stp>SPGSCLP Index</stp>
        <stp>CHG_PCT_5D</stp>
        <stp>23/08/2016</stp>
        <stp>23/08/2016</stp>
        <stp>[Bbg_Market_Data_CL.xlsm]data!R158C4</stp>
        <tr r="D158" s="1"/>
      </tp>
      <tp t="s">
        <v>#N/A Requesting Data...</v>
        <stp/>
        <stp>##V3_BDHV12</stp>
        <stp>CL1 Comdty</stp>
        <stp>30DAY_IMPVOL_90.0%MNY_DF</stp>
        <stp>09/09/2016</stp>
        <stp>09/09/2016</stp>
        <stp>[Bbg_Market_Data_CL.xlsm]data!R145C23</stp>
        <tr r="W145" s="1"/>
      </tp>
      <tp t="s">
        <v>#N/A Requesting Data...</v>
        <stp/>
        <stp>##V3_BDHV12</stp>
        <stp>CL1 Comdty</stp>
        <stp>30DAY_IMPVOL_90.0%MNY_DF</stp>
        <stp>19/08/2016</stp>
        <stp>19/08/2016</stp>
        <stp>[Bbg_Market_Data_CL.xlsm]data!R159C23</stp>
        <tr r="W159" s="1"/>
      </tp>
      <tp t="s">
        <v>#N/A Requesting Data...</v>
        <stp/>
        <stp>##V3_BDHV12</stp>
        <stp>CL1 Comdty</stp>
        <stp>30DAY_IMPVOL_90.0%MNY_DF</stp>
        <stp>28/09/2015</stp>
        <stp>28/09/2015</stp>
        <stp>[Bbg_Market_Data_CL.xlsm]data!R381C23</stp>
        <tr r="W381" s="1"/>
      </tp>
      <tp t="s">
        <v>#N/A Requesting Data...</v>
        <stp/>
        <stp>##V3_BDHV12</stp>
        <stp>SPGSCLP Index</stp>
        <stp>CHG_PCT_5D</stp>
        <stp>09/10/2015</stp>
        <stp>09/10/2015</stp>
        <stp>[Bbg_Market_Data_CL.xlsm]data!R373C4</stp>
        <tr r="D373" s="1"/>
      </tp>
      <tp t="s">
        <v>#N/A Requesting Data...</v>
        <stp/>
        <stp>##V3_BDHV12</stp>
        <stp>SPGSCLP Index</stp>
        <stp>CHG_PCT_1D</stp>
        <stp>09/10/2015</stp>
        <stp>09/10/2015</stp>
        <stp>[Bbg_Market_Data_CL.xlsm]data!R373C3</stp>
        <tr r="C373" s="1"/>
      </tp>
      <tp t="s">
        <v>#N/A Requesting Data...</v>
        <stp/>
        <stp>##V3_BDHV12</stp>
        <stp>SPGSCLP Index</stp>
        <stp>CHG_PCT_5D</stp>
        <stp>20/09/2016</stp>
        <stp>20/09/2016</stp>
        <stp>[Bbg_Market_Data_CL.xlsm]data!R139C4</stp>
        <tr r="D139" s="1"/>
      </tp>
      <tp t="s">
        <v>#N/A Requesting Data...</v>
        <stp/>
        <stp>##V3_BDHV12</stp>
        <stp>SPGSCLP Index</stp>
        <stp>CHG_PCT_1D</stp>
        <stp>20/09/2016</stp>
        <stp>20/09/2016</stp>
        <stp>[Bbg_Market_Data_CL.xlsm]data!R139C3</stp>
        <tr r="C139" s="1"/>
      </tp>
      <tp t="s">
        <v>#N/A Requesting Data...</v>
        <stp/>
        <stp>##V3_BDHV12</stp>
        <stp>SPGSCLP Index</stp>
        <stp>CHG_PCT_5D</stp>
        <stp>28/06/2016</stp>
        <stp>28/06/2016</stp>
        <stp>[Bbg_Market_Data_CL.xlsm]data!R196C4</stp>
        <tr r="D196" s="1"/>
      </tp>
      <tp t="s">
        <v>#N/A Requesting Data...</v>
        <stp/>
        <stp>##V3_BDHV12</stp>
        <stp>SPGSCLP Index</stp>
        <stp>CHG_PCT_1D</stp>
        <stp>28/06/2016</stp>
        <stp>28/06/2016</stp>
        <stp>[Bbg_Market_Data_CL.xlsm]data!R196C3</stp>
        <tr r="C196" s="1"/>
      </tp>
      <tp t="s">
        <v>#N/A Requesting Data...</v>
        <stp/>
        <stp>##V3_BDHV12</stp>
        <stp>CL1 Comdty</stp>
        <stp>30DAY_IMPVOL_95.0%MNY_DF</stp>
        <stp>09/09/2016</stp>
        <stp>09/09/2016</stp>
        <stp>[Bbg_Market_Data_CL.xlsm]data!R145C21</stp>
        <tr r="U145" s="1"/>
      </tp>
      <tp t="s">
        <v>#N/A Requesting Data...</v>
        <stp/>
        <stp>##V3_BDHV12</stp>
        <stp>CL1 Comdty</stp>
        <stp>30DAY_IMPVOL_95.0%MNY_DF</stp>
        <stp>19/08/2016</stp>
        <stp>19/08/2016</stp>
        <stp>[Bbg_Market_Data_CL.xlsm]data!R159C21</stp>
        <tr r="U159" s="1"/>
      </tp>
      <tp t="s">
        <v>#N/A Requesting Data...</v>
        <stp/>
        <stp>##V3_BDHV12</stp>
        <stp>CL1 Comdty</stp>
        <stp>30DAY_IMPVOL_95.0%MNY_DF</stp>
        <stp>28/09/2015</stp>
        <stp>28/09/2015</stp>
        <stp>[Bbg_Market_Data_CL.xlsm]data!R381C21</stp>
        <tr r="U381" s="1"/>
      </tp>
      <tp t="s">
        <v>#N/A Requesting Data...</v>
        <stp/>
        <stp>##V3_BDHV12</stp>
        <stp>CL1 Comdty</stp>
        <stp>30DAY_IMPVOL_90.0%MNY_DF</stp>
        <stp>02/10/2015</stp>
        <stp>02/10/2015</stp>
        <stp>[Bbg_Market_Data_CL.xlsm]data!R377C23</stp>
        <tr r="W377" s="1"/>
      </tp>
      <tp t="s">
        <v>#N/A Requesting Data...</v>
        <stp/>
        <stp>##V3_BDHV12</stp>
        <stp>CL1 Comdty</stp>
        <stp>30DAY_IMPVOL_95.0%MNY_DF</stp>
        <stp>05/04/2016</stp>
        <stp>05/04/2016</stp>
        <stp>[Bbg_Market_Data_CL.xlsm]data!R254C21</stp>
        <tr r="U254" s="1"/>
      </tp>
      <tp t="s">
        <v>#N/A Requesting Data...</v>
        <stp/>
        <stp>##V3_BDHV12</stp>
        <stp>CL1 Comdty</stp>
        <stp>30DAY_IMPVOL_90.0%MNY_DF</stp>
        <stp>12/11/2015</stp>
        <stp>12/11/2015</stp>
        <stp>[Bbg_Market_Data_CL.xlsm]data!R350C23</stp>
        <tr r="W350" s="1"/>
      </tp>
      <tp t="s">
        <v>#N/A Requesting Data...</v>
        <stp/>
        <stp>##V3_BDHV12</stp>
        <stp>CL1 Comdty</stp>
        <stp>30DAY_IMPVOL_90.0%MNY_DF</stp>
        <stp>15/06/2015</stp>
        <stp>15/06/2015</stp>
        <stp>[Bbg_Market_Data_CL.xlsm]data!R454C23</stp>
        <tr r="W454" s="1"/>
      </tp>
      <tp t="s">
        <v>#N/A Requesting Data...</v>
        <stp/>
        <stp>##V3_BDHV12</stp>
        <stp>CL1 Comdty</stp>
        <stp>30DAY_IMPVOL_90.0%MNY_DF</stp>
        <stp>22/12/2015</stp>
        <stp>22/12/2015</stp>
        <stp>[Bbg_Market_Data_CL.xlsm]data!R323C23</stp>
        <tr r="W323" s="1"/>
      </tp>
      <tp t="s">
        <v>#N/A Requesting Data...</v>
        <stp/>
        <stp>##V3_BDHV12</stp>
        <stp>CL1 Comdty</stp>
        <stp>30DAY_IMPVOL_90.0%MNY_DF</stp>
        <stp>11/01/2016</stp>
        <stp>11/01/2016</stp>
        <stp>[Bbg_Market_Data_CL.xlsm]data!R311C23</stp>
        <tr r="W311" s="1"/>
      </tp>
      <tp t="s">
        <v>#N/A Requesting Data...</v>
        <stp/>
        <stp>##V3_BDHV12</stp>
        <stp>CL1 Comdty</stp>
        <stp>30DAY_IMPVOL_95.0%MNY_DF</stp>
        <stp>06/07/2016</stp>
        <stp>06/07/2016</stp>
        <stp>[Bbg_Market_Data_CL.xlsm]data!R190C21</stp>
        <tr r="U190" s="1"/>
      </tp>
      <tp t="s">
        <v>#N/A Requesting Data...</v>
        <stp/>
        <stp>##V3_BDHV12</stp>
        <stp>SPGSCLP Index</stp>
        <stp>CHG_PCT_5D</stp>
        <stp>16/04/2015</stp>
        <stp>16/04/2015</stp>
        <stp>[Bbg_Market_Data_CL.xlsm]data!R496C4</stp>
        <tr r="D496" s="1"/>
      </tp>
      <tp t="s">
        <v>#N/A Requesting Data...</v>
        <stp/>
        <stp>##V3_BDHV12</stp>
        <stp>SPGSCLP Index</stp>
        <stp>CHG_PCT_1D</stp>
        <stp>16/04/2015</stp>
        <stp>16/04/2015</stp>
        <stp>[Bbg_Market_Data_CL.xlsm]data!R496C3</stp>
        <tr r="C496" s="1"/>
      </tp>
      <tp t="s">
        <v>#N/A Requesting Data...</v>
        <stp/>
        <stp>##V3_BDHV12</stp>
        <stp>CL1 Comdty</stp>
        <stp>30DAY_IMPVOL_90.0%MNY_DF</stp>
        <stp>13/10/2015</stp>
        <stp>13/10/2015</stp>
        <stp>[Bbg_Market_Data_CL.xlsm]data!R371C23</stp>
        <tr r="W371" s="1"/>
      </tp>
      <tp t="s">
        <v>#N/A Requesting Data...</v>
        <stp/>
        <stp>##V3_BDHV12</stp>
        <stp>CL1 Comdty</stp>
        <stp>30DAY_IMPVOL_95.0%MNY_DF</stp>
        <stp>14/04/2016</stp>
        <stp>14/04/2016</stp>
        <stp>[Bbg_Market_Data_CL.xlsm]data!R247C21</stp>
        <tr r="U247" s="1"/>
      </tp>
      <tp t="s">
        <v>#N/A Requesting Data...</v>
        <stp/>
        <stp>##V3_BDHV12</stp>
        <stp>CL1 Comdty</stp>
        <stp>30DAY_IMPVOL_90.0%MNY_DF</stp>
        <stp>04/06/2015</stp>
        <stp>04/06/2015</stp>
        <stp>[Bbg_Market_Data_CL.xlsm]data!R461C23</stp>
        <tr r="W461" s="1"/>
      </tp>
      <tp t="s">
        <v>#N/A Requesting Data...</v>
        <stp/>
        <stp>##V3_BDHV12</stp>
        <stp>CL1 Comdty</stp>
        <stp>30DAY_IMPVOL_90.0%MNY_DF</stp>
        <stp>03/11/2015</stp>
        <stp>03/11/2015</stp>
        <stp>[Bbg_Market_Data_CL.xlsm]data!R356C23</stp>
        <tr r="W356" s="1"/>
      </tp>
      <tp t="s">
        <v>#N/A Requesting Data...</v>
        <stp/>
        <stp>##V3_BDHV12</stp>
        <stp>CL1 Comdty</stp>
        <stp>30DAY_IMPVOL_90.0%MNY_DF</stp>
        <stp>31/03/2016</stp>
        <stp>31/03/2016</stp>
        <stp>[Bbg_Market_Data_CL.xlsm]data!R257C23</stp>
        <tr r="W257" s="1"/>
      </tp>
      <tp t="s">
        <v>#N/A Requesting Data...</v>
        <stp/>
        <stp>##V3_BDHV12</stp>
        <stp>CL1 Comdty</stp>
        <stp>30DAY_IMPVOL_90.0%MNY_DF</stp>
        <stp>14/07/2015</stp>
        <stp>14/07/2015</stp>
        <stp>[Bbg_Market_Data_CL.xlsm]data!R434C23</stp>
        <tr r="W434" s="1"/>
      </tp>
      <tp t="s">
        <v>#N/A Requesting Data...</v>
        <stp/>
        <stp>##V3_BDHV12</stp>
        <stp>CL1 Comdty</stp>
        <stp>30DAY_IMPVOL_95.0%MNY_DF</stp>
        <stp>04/05/2016</stp>
        <stp>04/05/2016</stp>
        <stp>[Bbg_Market_Data_CL.xlsm]data!R233C21</stp>
        <tr r="U233" s="1"/>
      </tp>
      <tp t="s">
        <v>#N/A Requesting Data...</v>
        <stp/>
        <stp>##V3_BDHV12</stp>
        <stp>CL1 Comdty</stp>
        <stp>30DAY_IMPVOL_90.0%MNY_DF</stp>
        <stp>24/04/2015</stp>
        <stp>24/04/2015</stp>
        <stp>[Bbg_Market_Data_CL.xlsm]data!R489C23</stp>
        <tr r="W489" s="1"/>
      </tp>
      <tp t="s">
        <v>#N/A Requesting Data...</v>
        <stp/>
        <stp>##V3_BDHV12</stp>
        <stp>SPGSCLP Index</stp>
        <stp>CHG_PCT_5D</stp>
        <stp>16/06/2016</stp>
        <stp>16/06/2016</stp>
        <stp>[Bbg_Market_Data_CL.xlsm]data!R204C4</stp>
        <tr r="D204" s="1"/>
      </tp>
      <tp t="s">
        <v>#N/A Requesting Data...</v>
        <stp/>
        <stp>##V3_BDHV12</stp>
        <stp>SPGSCLP Index</stp>
        <stp>CHG_PCT_1D</stp>
        <stp>16/06/2016</stp>
        <stp>16/06/2016</stp>
        <stp>[Bbg_Market_Data_CL.xlsm]data!R204C3</stp>
        <tr r="C204" s="1"/>
      </tp>
      <tp t="s">
        <v>#N/A Requesting Data...</v>
        <stp/>
        <stp>##V3_BDHV12</stp>
        <stp>SPGSCLP Index</stp>
        <stp>CHG_PCT_5D</stp>
        <stp>11/12/2015</stp>
        <stp>11/12/2015</stp>
        <stp>[Bbg_Market_Data_CL.xlsm]data!R331C4</stp>
        <tr r="D331" s="1"/>
      </tp>
      <tp t="s">
        <v>#N/A Requesting Data...</v>
        <stp/>
        <stp>##V3_BDHV12</stp>
        <stp>SPGSCLP Index</stp>
        <stp>CHG_PCT_1D</stp>
        <stp>14/07/2015</stp>
        <stp>14/07/2015</stp>
        <stp>[Bbg_Market_Data_CL.xlsm]data!R435C3</stp>
        <tr r="C435" s="1"/>
      </tp>
      <tp t="s">
        <v>#N/A Requesting Data...</v>
        <stp/>
        <stp>##V3_BDHV12</stp>
        <stp>SPGSCLP Index</stp>
        <stp>CHG_PCT_5D</stp>
        <stp>27/07/2015</stp>
        <stp>27/07/2015</stp>
        <stp>[Bbg_Market_Data_CL.xlsm]data!R426C4</stp>
        <tr r="D426" s="1"/>
      </tp>
      <tp t="s">
        <v>#N/A Requesting Data...</v>
        <stp/>
        <stp>##V3_BDHV12</stp>
        <stp>SPGSCLP Index</stp>
        <stp>CHG_PCT_5D</stp>
        <stp>30/11/2015</stp>
        <stp>30/11/2015</stp>
        <stp>[Bbg_Market_Data_CL.xlsm]data!R340C4</stp>
        <tr r="D340" s="1"/>
      </tp>
      <tp t="s">
        <v>#N/A Requesting Data...</v>
        <stp/>
        <stp>##V3_BDHV12</stp>
        <stp>SPGSCLP Index</stp>
        <stp>CHG_PCT_5D</stp>
        <stp>14/07/2015</stp>
        <stp>14/07/2015</stp>
        <stp>[Bbg_Market_Data_CL.xlsm]data!R435C4</stp>
        <tr r="D435" s="1"/>
      </tp>
      <tp t="s">
        <v>#N/A Requesting Data...</v>
        <stp/>
        <stp>##V3_BDHV12</stp>
        <stp>SPGSCLP Index</stp>
        <stp>CHG_PCT_1D</stp>
        <stp>27/07/2015</stp>
        <stp>27/07/2015</stp>
        <stp>[Bbg_Market_Data_CL.xlsm]data!R426C3</stp>
        <tr r="C426" s="1"/>
      </tp>
      <tp t="s">
        <v>#N/A Requesting Data...</v>
        <stp/>
        <stp>##V3_BDHV12</stp>
        <stp>SPGSCLP Index</stp>
        <stp>CHG_PCT_1D</stp>
        <stp>30/11/2015</stp>
        <stp>30/11/2015</stp>
        <stp>[Bbg_Market_Data_CL.xlsm]data!R340C3</stp>
        <tr r="C340" s="1"/>
      </tp>
      <tp t="s">
        <v>#N/A Requesting Data...</v>
        <stp/>
        <stp>##V3_BDHV12</stp>
        <stp>SPGSCLP Index</stp>
        <stp>CHG_PCT_1D</stp>
        <stp>11/12/2015</stp>
        <stp>11/12/2015</stp>
        <stp>[Bbg_Market_Data_CL.xlsm]data!R331C3</stp>
        <tr r="C331" s="1"/>
      </tp>
      <tp t="s">
        <v>#N/A Requesting Data...</v>
        <stp/>
        <stp>##V3_BDHV12</stp>
        <stp>CL1 Comdty</stp>
        <stp>30DAY_IMPVOL_90.0%MNY_DF</stp>
        <stp>02/03/2016</stp>
        <stp>02/03/2016</stp>
        <stp>[Bbg_Market_Data_CL.xlsm]data!R277C23</stp>
        <tr r="W277" s="1"/>
      </tp>
      <tp t="s">
        <v>#N/A Requesting Data...</v>
        <stp/>
        <stp>##V3_BDHV12</stp>
        <stp>CL1 Comdty</stp>
        <stp>30DAY_IMPVOL_90.0%MNY_DF</stp>
        <stp>20/10/2015</stp>
        <stp>20/10/2015</stp>
        <stp>[Bbg_Market_Data_CL.xlsm]data!R366C23</stp>
        <tr r="W366" s="1"/>
      </tp>
      <tp t="s">
        <v>#N/A Requesting Data...</v>
        <stp/>
        <stp>##V3_BDHV12</stp>
        <stp>CL1 Comdty</stp>
        <stp>30DAY_IMPVOL_90.0%MNY_DF</stp>
        <stp>27/07/2015</stp>
        <stp>27/07/2015</stp>
        <stp>[Bbg_Market_Data_CL.xlsm]data!R425C23</stp>
        <tr r="W425" s="1"/>
      </tp>
      <tp t="s">
        <v>#N/A Requesting Data...</v>
        <stp/>
        <stp>##V3_BDHV12</stp>
        <stp>CL1 Comdty</stp>
        <stp>30DAY_IMPVOL_90.0%MNY_DF</stp>
        <stp>30/11/2015</stp>
        <stp>30/11/2015</stp>
        <stp>[Bbg_Market_Data_CL.xlsm]data!R339C23</stp>
        <tr r="W339" s="1"/>
      </tp>
      <tp t="s">
        <v>#N/A Requesting Data...</v>
        <stp/>
        <stp>##V3_BDHV12</stp>
        <stp>CL1 Comdty</stp>
        <stp>30DAY_IMPVOL_95.0%MNY_DF</stp>
        <stp>07/06/2016</stp>
        <stp>07/06/2016</stp>
        <stp>[Bbg_Market_Data_CL.xlsm]data!R210C21</stp>
        <tr r="U210" s="1"/>
      </tp>
      <tp t="s">
        <v>#N/A Requesting Data...</v>
        <stp/>
        <stp>##V3_BDHV12</stp>
        <stp>CL1 Comdty</stp>
        <stp>30DAY_IMPVOL_95.0%MNY_DF</stp>
        <stp>27/04/2016</stp>
        <stp>27/04/2016</stp>
        <stp>[Bbg_Market_Data_CL.xlsm]data!R238C21</stp>
        <tr r="U238" s="1"/>
      </tp>
      <tp t="s">
        <v>#N/A Requesting Data...</v>
        <stp/>
        <stp>##V3_BDHV12</stp>
        <stp>CL1 Comdty</stp>
        <stp>30DAY_IMPVOL_90.0%MNY_DF</stp>
        <stp>07/05/2015</stp>
        <stp>07/05/2015</stp>
        <stp>[Bbg_Market_Data_CL.xlsm]data!R480C23</stp>
        <tr r="W480" s="1"/>
      </tp>
      <tp t="s">
        <v>#N/A Requesting Data...</v>
        <stp/>
        <stp>##V3_BDHV12</stp>
        <stp>CL1 Comdty</stp>
        <stp>30DAY_IMPVOL_90.0%MNY_DF</stp>
        <stp>12/02/2016</stp>
        <stp>12/02/2016</stp>
        <stp>[Bbg_Market_Data_CL.xlsm]data!R288C23</stp>
        <tr r="W288" s="1"/>
      </tp>
      <tp t="s">
        <v>#N/A Requesting Data...</v>
        <stp/>
        <stp>##V3_BDHV12</stp>
        <stp>CL1 Comdty</stp>
        <stp>30DAY_IMPVOL_90.0%MNY_DF</stp>
        <stp>17/04/2015</stp>
        <stp>17/04/2015</stp>
        <stp>[Bbg_Market_Data_CL.xlsm]data!R494C23</stp>
        <tr r="W494" s="1"/>
      </tp>
      <tp t="s">
        <v>#N/A Requesting Data...</v>
        <stp/>
        <stp>##V3_BDHV12</stp>
        <stp>SPGSCLP Index</stp>
        <stp>CHG_PCT_5D</stp>
        <stp>14/07/2016</stp>
        <stp>14/07/2016</stp>
        <stp>[Bbg_Market_Data_CL.xlsm]data!R185C4</stp>
        <tr r="D185" s="1"/>
      </tp>
      <tp t="s">
        <v>#N/A Requesting Data...</v>
        <stp/>
        <stp>##V3_BDHV12</stp>
        <stp>SPGSCLP Index</stp>
        <stp>CHG_PCT_1D</stp>
        <stp>27/07/2016</stp>
        <stp>27/07/2016</stp>
        <stp>[Bbg_Market_Data_CL.xlsm]data!R176C3</stp>
        <tr r="C176" s="1"/>
      </tp>
      <tp t="s">
        <v>#N/A Requesting Data...</v>
        <stp/>
        <stp>##V3_BDHV12</stp>
        <stp>SPGSCLP Index</stp>
        <stp>CHG_PCT_1D</stp>
        <stp>14/07/2016</stp>
        <stp>14/07/2016</stp>
        <stp>[Bbg_Market_Data_CL.xlsm]data!R185C3</stp>
        <tr r="C185" s="1"/>
      </tp>
      <tp t="s">
        <v>#N/A Requesting Data...</v>
        <stp/>
        <stp>##V3_BDHV12</stp>
        <stp>SPGSCLP Index</stp>
        <stp>CHG_PCT_5D</stp>
        <stp>27/07/2016</stp>
        <stp>27/07/2016</stp>
        <stp>[Bbg_Market_Data_CL.xlsm]data!R176C4</stp>
        <tr r="D176" s="1"/>
      </tp>
      <tp t="s">
        <v>#N/A Requesting Data...</v>
        <stp/>
        <stp>##V3_BDHV12</stp>
        <stp>SPGSCLP Index</stp>
        <stp>CHG_PCT_1D</stp>
        <stp>13/10/2016</stp>
        <stp>13/10/2016</stp>
        <stp>[Bbg_Market_Data_CL.xlsm]data!R123C3</stp>
        <tr r="C123" s="1"/>
      </tp>
      <tp t="s">
        <v>#N/A Requesting Data...</v>
        <stp/>
        <stp>##V3_BDHV12</stp>
        <stp>SPGSCLP Index</stp>
        <stp>CHG_PCT_5D</stp>
        <stp>16/06/2015</stp>
        <stp>16/06/2015</stp>
        <stp>[Bbg_Market_Data_CL.xlsm]data!R454C4</stp>
        <tr r="D454" s="1"/>
      </tp>
      <tp t="s">
        <v>#N/A Requesting Data...</v>
        <stp/>
        <stp>##V3_BDHV12</stp>
        <stp>SPGSCLP Index</stp>
        <stp>CHG_PCT_1D</stp>
        <stp>25/06/2015</stp>
        <stp>25/06/2015</stp>
        <stp>[Bbg_Market_Data_CL.xlsm]data!R447C3</stp>
        <tr r="C447" s="1"/>
      </tp>
      <tp t="s">
        <v>#N/A Requesting Data...</v>
        <stp/>
        <stp>##V3_BDHV12</stp>
        <stp>SPGSCLP Index</stp>
        <stp>CHG_PCT_1D</stp>
        <stp>11/02/2016</stp>
        <stp>11/02/2016</stp>
        <stp>[Bbg_Market_Data_CL.xlsm]data!R290C3</stp>
        <tr r="C290" s="1"/>
      </tp>
      <tp t="s">
        <v>#N/A Requesting Data...</v>
        <stp/>
        <stp>##V3_BDHV12</stp>
        <stp>SPGSCLP Index</stp>
        <stp>CHG_PCT_5D</stp>
        <stp>31/10/2016</stp>
        <stp>31/10/2016</stp>
        <stp>[Bbg_Market_Data_CL.xlsm]data!R111C4</stp>
        <tr r="D111" s="1"/>
      </tp>
      <tp t="s">
        <v>#N/A Requesting Data...</v>
        <stp/>
        <stp>##V3_BDHV12</stp>
        <stp>SPGSCLP Index</stp>
        <stp>CHG_PCT_5D</stp>
        <stp>11/02/2016</stp>
        <stp>11/02/2016</stp>
        <stp>[Bbg_Market_Data_CL.xlsm]data!R290C4</stp>
        <tr r="D290" s="1"/>
      </tp>
      <tp t="s">
        <v>#N/A Requesting Data...</v>
        <stp/>
        <stp>##V3_BDHV12</stp>
        <stp>SPGSCLP Index</stp>
        <stp>CHG_PCT_1D</stp>
        <stp>31/10/2016</stp>
        <stp>31/10/2016</stp>
        <stp>[Bbg_Market_Data_CL.xlsm]data!R111C3</stp>
        <tr r="C111" s="1"/>
      </tp>
      <tp t="s">
        <v>#N/A Requesting Data...</v>
        <stp/>
        <stp>##V3_BDHV12</stp>
        <stp>SPGSCLP Index</stp>
        <stp>CHG_PCT_5D</stp>
        <stp>13/10/2016</stp>
        <stp>13/10/2016</stp>
        <stp>[Bbg_Market_Data_CL.xlsm]data!R123C4</stp>
        <tr r="D123" s="1"/>
      </tp>
      <tp t="s">
        <v>#N/A Requesting Data...</v>
        <stp/>
        <stp>##V3_BDHV12</stp>
        <stp>SPGSCLP Index</stp>
        <stp>CHG_PCT_1D</stp>
        <stp>16/06/2015</stp>
        <stp>16/06/2015</stp>
        <stp>[Bbg_Market_Data_CL.xlsm]data!R454C3</stp>
        <tr r="C454" s="1"/>
      </tp>
      <tp t="s">
        <v>#N/A Requesting Data...</v>
        <stp/>
        <stp>##V3_BDHV12</stp>
        <stp>SPGSCLP Index</stp>
        <stp>CHG_PCT_5D</stp>
        <stp>25/06/2015</stp>
        <stp>25/06/2015</stp>
        <stp>[Bbg_Market_Data_CL.xlsm]data!R447C4</stp>
        <tr r="D447" s="1"/>
      </tp>
      <tp t="s">
        <v>#N/A Requesting Data...</v>
        <stp/>
        <stp>##V3_BDHV12</stp>
        <stp>CL1 Comdty</stp>
        <stp>30DAY_IMPVOL_90.0%MNY_DF</stp>
        <stp>26/06/2015</stp>
        <stp>26/06/2015</stp>
        <stp>[Bbg_Market_Data_CL.xlsm]data!R445C23</stp>
        <tr r="W445" s="1"/>
      </tp>
      <tp t="s">
        <v>#N/A Requesting Data...</v>
        <stp/>
        <stp>##V3_BDHV12</stp>
        <stp>CL1 Comdty</stp>
        <stp>30DAY_IMPVOL_90.0%MNY_DF</stp>
        <stp>11/12/2015</stp>
        <stp>11/12/2015</stp>
        <stp>[Bbg_Market_Data_CL.xlsm]data!R330C23</stp>
        <tr r="W330" s="1"/>
      </tp>
      <tp t="s">
        <v>#N/A Requesting Data...</v>
        <stp/>
        <stp>##V3_BDHV12</stp>
        <stp>CL1 Comdty</stp>
        <stp>30DAY_IMPVOL_95.0%MNY_DF</stp>
        <stp>16/06/2016</stp>
        <stp>16/06/2016</stp>
        <stp>[Bbg_Market_Data_CL.xlsm]data!R203C21</stp>
        <tr r="U203" s="1"/>
      </tp>
      <tp t="s">
        <v>#N/A Requesting Data...</v>
        <stp/>
        <stp>##V3_BDHV12</stp>
        <stp>CL1 Comdty</stp>
        <stp>30DAY_IMPVOL_95.0%MNY_DF</stp>
        <stp>26/05/2016</stp>
        <stp>26/05/2016</stp>
        <stp>[Bbg_Market_Data_CL.xlsm]data!R217C21</stp>
        <tr r="U217" s="1"/>
      </tp>
      <tp t="s">
        <v>#N/A Requesting Data...</v>
        <stp/>
        <stp>##V3_BDHV12</stp>
        <stp>CL1 Comdty</stp>
        <stp>30DAY_IMPVOL_90.0%MNY_DF</stp>
        <stp>22/01/2016</stp>
        <stp>22/01/2016</stp>
        <stp>[Bbg_Market_Data_CL.xlsm]data!R303C23</stp>
        <tr r="W303" s="1"/>
      </tp>
      <tp t="s">
        <v>#N/A Requesting Data...</v>
        <stp/>
        <stp>##V3_BDHV12</stp>
        <stp>CL1 Comdty</stp>
        <stp>30DAY_IMPVOL_90.0%MNY_DF</stp>
        <stp>03/02/2016</stp>
        <stp>03/02/2016</stp>
        <stp>[Bbg_Market_Data_CL.xlsm]data!R295C23</stp>
        <tr r="W295" s="1"/>
      </tp>
      <tp t="s">
        <v>#N/A Requesting Data...</v>
        <stp/>
        <stp>##V3_BDHV12</stp>
        <stp>SPGSCLP Index</stp>
        <stp>CHG_PCT_1D</stp>
        <stp>27/06/2016</stp>
        <stp>27/06/2016</stp>
        <stp>[Bbg_Market_Data_CL.xlsm]data!R197C3</stp>
        <tr r="C197" s="1"/>
      </tp>
      <tp t="s">
        <v>#N/A Requesting Data...</v>
        <stp/>
        <stp>##V3_BDHV12</stp>
        <stp>SPGSCLP Index</stp>
        <stp>CHG_PCT_5D</stp>
        <stp>27/06/2016</stp>
        <stp>27/06/2016</stp>
        <stp>[Bbg_Market_Data_CL.xlsm]data!R197C4</stp>
        <tr r="D197" s="1"/>
      </tp>
      <tp t="s">
        <v>#N/A Requesting Data...</v>
        <stp/>
        <stp>##V3_BDHV12</stp>
        <stp>SPGSCLP Index</stp>
        <stp>CHG_PCT_1D</stp>
        <stp>11/03/2016</stp>
        <stp>11/03/2016</stp>
        <stp>[Bbg_Market_Data_CL.xlsm]data!R271C3</stp>
        <tr r="C271" s="1"/>
      </tp>
      <tp t="s">
        <v>#N/A Requesting Data...</v>
        <stp/>
        <stp>##V3_BDHV12</stp>
        <stp>SPGSCLP Index</stp>
        <stp>CHG_PCT_5D</stp>
        <stp>10/11/2015</stp>
        <stp>10/11/2015</stp>
        <stp>[Bbg_Market_Data_CL.xlsm]data!R352C4</stp>
        <tr r="D352" s="1"/>
      </tp>
      <tp t="s">
        <v>#N/A Requesting Data...</v>
        <stp/>
        <stp>##V3_BDHV12</stp>
        <stp>SPGSCLP Index</stp>
        <stp>CHG_PCT_5D</stp>
        <stp>11/03/2016</stp>
        <stp>11/03/2016</stp>
        <stp>[Bbg_Market_Data_CL.xlsm]data!R271C4</stp>
        <tr r="D271" s="1"/>
      </tp>
      <tp t="s">
        <v>#N/A Requesting Data...</v>
        <stp/>
        <stp>##V3_BDHV12</stp>
        <stp>SPGSCLP Index</stp>
        <stp>CHG_PCT_1D</stp>
        <stp>10/11/2015</stp>
        <stp>10/11/2015</stp>
        <stp>[Bbg_Market_Data_CL.xlsm]data!R352C3</stp>
        <tr r="C352" s="1"/>
      </tp>
      <tp>
        <v>50.05</v>
        <stp/>
        <stp>##V3_BDHV12</stp>
        <stp>CL2 Comdty</stp>
        <stp>PX_OPEN</stp>
        <stp>30/03/2017</stp>
        <stp>30/03/2017</stp>
        <stp>[Bbg_Market_Data_CL.xlsm]data!R9C5</stp>
        <tr r="E9" s="1"/>
      </tp>
      <tp>
        <v>50.72</v>
        <stp/>
        <stp>##V3_BDHV12</stp>
        <stp>CL2 Comdty</stp>
        <stp>PX_OPEN</stp>
        <stp>31/03/2017</stp>
        <stp>31/03/2017</stp>
        <stp>[Bbg_Market_Data_CL.xlsm]data!R8C5</stp>
        <tr r="E8" s="1"/>
      </tp>
      <tp t="s">
        <v>#N/A Requesting Data...</v>
        <stp/>
        <stp>##V3_BDHV12</stp>
        <stp>CL1 Comdty</stp>
        <stp>PX_OPEN</stp>
        <stp>30/03/2017</stp>
        <stp>30/03/2017</stp>
        <stp>[Bbg_Market_Data_CL.xlsm]data!R9C5</stp>
        <tr r="E9" s="1"/>
      </tp>
      <tp t="s">
        <v>#N/A Requesting Data...</v>
        <stp/>
        <stp>##V3_BDHV12</stp>
        <stp>CL1 Comdty</stp>
        <stp>PX_OPEN</stp>
        <stp>31/03/2017</stp>
        <stp>31/03/2017</stp>
        <stp>[Bbg_Market_Data_CL.xlsm]data!R8C5</stp>
        <tr r="E8" s="1"/>
      </tp>
      <tp t="s">
        <v>#N/A Requesting Data...</v>
        <stp/>
        <stp>##V3_BDHV12</stp>
        <stp>CL1 Comdty</stp>
        <stp>30DAY_IMPVOL_95.0%MNY_DF</stp>
        <stp>03/11/2015</stp>
        <stp>03/11/2015</stp>
        <stp>[Bbg_Market_Data_CL.xlsm]data!R356C21</stp>
        <tr r="U356" s="1"/>
      </tp>
      <tp t="s">
        <v>#N/A Requesting Data...</v>
        <stp/>
        <stp>##V3_BDHV12</stp>
        <stp>CL1 Comdty</stp>
        <stp>30DAY_IMPVOL_95.0%MNY_DF</stp>
        <stp>31/03/2016</stp>
        <stp>31/03/2016</stp>
        <stp>[Bbg_Market_Data_CL.xlsm]data!R257C21</stp>
        <tr r="U257" s="1"/>
      </tp>
      <tp t="s">
        <v>#N/A Requesting Data...</v>
        <stp/>
        <stp>##V3_BDHV12</stp>
        <stp>CL1 Comdty</stp>
        <stp>30DAY_IMPVOL_95.0%MNY_DF</stp>
        <stp>13/10/2015</stp>
        <stp>13/10/2015</stp>
        <stp>[Bbg_Market_Data_CL.xlsm]data!R371C21</stp>
        <tr r="U371" s="1"/>
      </tp>
      <tp t="s">
        <v>#N/A Requesting Data...</v>
        <stp/>
        <stp>##V3_BDHV12</stp>
        <stp>CL1 Comdty</stp>
        <stp>30DAY_IMPVOL_90.0%MNY_DF</stp>
        <stp>14/04/2016</stp>
        <stp>14/04/2016</stp>
        <stp>[Bbg_Market_Data_CL.xlsm]data!R247C23</stp>
        <tr r="W247" s="1"/>
      </tp>
      <tp t="s">
        <v>#N/A Requesting Data...</v>
        <stp/>
        <stp>##V3_BDHV12</stp>
        <stp>CL1 Comdty</stp>
        <stp>30DAY_IMPVOL_95.0%MNY_DF</stp>
        <stp>04/06/2015</stp>
        <stp>04/06/2015</stp>
        <stp>[Bbg_Market_Data_CL.xlsm]data!R461C21</stp>
        <tr r="U461" s="1"/>
      </tp>
      <tp t="s">
        <v>#N/A Requesting Data...</v>
        <stp/>
        <stp>##V3_BDHV12</stp>
        <stp>CL1 Comdty</stp>
        <stp>30DAY_IMPVOL_90.0%MNY_DF</stp>
        <stp>04/05/2016</stp>
        <stp>04/05/2016</stp>
        <stp>[Bbg_Market_Data_CL.xlsm]data!R233C23</stp>
        <tr r="W233" s="1"/>
      </tp>
      <tp t="s">
        <v>#N/A Requesting Data...</v>
        <stp/>
        <stp>##V3_BDHV12</stp>
        <stp>CL1 Comdty</stp>
        <stp>30DAY_IMPVOL_95.0%MNY_DF</stp>
        <stp>14/07/2015</stp>
        <stp>14/07/2015</stp>
        <stp>[Bbg_Market_Data_CL.xlsm]data!R434C21</stp>
        <tr r="U434" s="1"/>
      </tp>
      <tp t="s">
        <v>#N/A Requesting Data...</v>
        <stp/>
        <stp>##V3_BDHV12</stp>
        <stp>CL1 Comdty</stp>
        <stp>30DAY_IMPVOL_95.0%MNY_DF</stp>
        <stp>24/04/2015</stp>
        <stp>24/04/2015</stp>
        <stp>[Bbg_Market_Data_CL.xlsm]data!R489C21</stp>
        <tr r="U489" s="1"/>
      </tp>
      <tp t="s">
        <v>#N/A Requesting Data...</v>
        <stp/>
        <stp>##V3_BDHV12</stp>
        <stp>SPGSCLP Index</stp>
        <stp>CHG_PCT_1D</stp>
        <stp>24/02/2016</stp>
        <stp>24/02/2016</stp>
        <stp>[Bbg_Market_Data_CL.xlsm]data!R283C3</stp>
        <tr r="C283" s="1"/>
      </tp>
      <tp t="s">
        <v>#N/A Requesting Data...</v>
        <stp/>
        <stp>##V3_BDHV12</stp>
        <stp>SPGSCLP Index</stp>
        <stp>CHG_PCT_5D</stp>
        <stp>14/11/2016</stp>
        <stp>14/11/2016</stp>
        <stp>[Bbg_Market_Data_CL.xlsm]data!R102C4</stp>
        <tr r="D102" s="1"/>
      </tp>
      <tp t="s">
        <v>#N/A Requesting Data...</v>
        <stp/>
        <stp>##V3_BDHV12</stp>
        <stp>SPGSCLP Index</stp>
        <stp>CHG_PCT_1D</stp>
        <stp>01/06/2015</stp>
        <stp>01/06/2015</stp>
        <stp>[Bbg_Market_Data_CL.xlsm]data!R465C3</stp>
        <tr r="C465" s="1"/>
      </tp>
      <tp t="s">
        <v>#N/A Requesting Data...</v>
        <stp/>
        <stp>##V3_BDHV12</stp>
        <stp>SPGSCLP Index</stp>
        <stp>CHG_PCT_5D</stp>
        <stp>13/05/2015</stp>
        <stp>13/05/2015</stp>
        <stp>[Bbg_Market_Data_CL.xlsm]data!R477C4</stp>
        <tr r="D477" s="1"/>
      </tp>
      <tp t="s">
        <v>#N/A Requesting Data...</v>
        <stp/>
        <stp>##V3_BDHV12</stp>
        <stp>SPGSCLP Index</stp>
        <stp>CHG_PCT_1D</stp>
        <stp>13/05/2015</stp>
        <stp>13/05/2015</stp>
        <stp>[Bbg_Market_Data_CL.xlsm]data!R477C3</stp>
        <tr r="C477" s="1"/>
      </tp>
      <tp t="s">
        <v>#N/A Requesting Data...</v>
        <stp/>
        <stp>##V3_BDHV12</stp>
        <stp>SPGSCLP Index</stp>
        <stp>CHG_PCT_5D</stp>
        <stp>24/02/2016</stp>
        <stp>24/02/2016</stp>
        <stp>[Bbg_Market_Data_CL.xlsm]data!R283C4</stp>
        <tr r="D283" s="1"/>
      </tp>
      <tp t="s">
        <v>#N/A Requesting Data...</v>
        <stp/>
        <stp>##V3_BDHV12</stp>
        <stp>SPGSCLP Index</stp>
        <stp>CHG_PCT_1D</stp>
        <stp>14/11/2016</stp>
        <stp>14/11/2016</stp>
        <stp>[Bbg_Market_Data_CL.xlsm]data!R102C3</stp>
        <tr r="C102" s="1"/>
      </tp>
      <tp t="s">
        <v>#N/A Requesting Data...</v>
        <stp/>
        <stp>##V3_BDHV12</stp>
        <stp>SPGSCLP Index</stp>
        <stp>CHG_PCT_5D</stp>
        <stp>01/06/2015</stp>
        <stp>01/06/2015</stp>
        <stp>[Bbg_Market_Data_CL.xlsm]data!R465C4</stp>
        <tr r="D465" s="1"/>
      </tp>
      <tp t="s">
        <v>#N/A Requesting Data...</v>
        <stp/>
        <stp>##V3_BDHV12</stp>
        <stp>CL1 Comdty</stp>
        <stp>30DAY_IMPVOL_95.0%MNY_DF</stp>
        <stp>12/11/2015</stp>
        <stp>12/11/2015</stp>
        <stp>[Bbg_Market_Data_CL.xlsm]data!R350C21</stp>
        <tr r="U350" s="1"/>
      </tp>
      <tp t="s">
        <v>#N/A Requesting Data...</v>
        <stp/>
        <stp>##V3_BDHV12</stp>
        <stp>CL1 Comdty</stp>
        <stp>30DAY_IMPVOL_95.0%MNY_DF</stp>
        <stp>15/06/2015</stp>
        <stp>15/06/2015</stp>
        <stp>[Bbg_Market_Data_CL.xlsm]data!R454C21</stp>
        <tr r="U454" s="1"/>
      </tp>
      <tp t="s">
        <v>#N/A Requesting Data...</v>
        <stp/>
        <stp>##V3_BDHV12</stp>
        <stp>CL1 Comdty</stp>
        <stp>30DAY_IMPVOL_95.0%MNY_DF</stp>
        <stp>02/10/2015</stp>
        <stp>02/10/2015</stp>
        <stp>[Bbg_Market_Data_CL.xlsm]data!R377C21</stp>
        <tr r="U377" s="1"/>
      </tp>
      <tp t="s">
        <v>#N/A Requesting Data...</v>
        <stp/>
        <stp>##V3_BDHV12</stp>
        <stp>CL1 Comdty</stp>
        <stp>30DAY_IMPVOL_90.0%MNY_DF</stp>
        <stp>05/04/2016</stp>
        <stp>05/04/2016</stp>
        <stp>[Bbg_Market_Data_CL.xlsm]data!R254C23</stp>
        <tr r="W254" s="1"/>
      </tp>
      <tp t="s">
        <v>#N/A Requesting Data...</v>
        <stp/>
        <stp>##V3_BDHV12</stp>
        <stp>CL1 Comdty</stp>
        <stp>30DAY_IMPVOL_95.0%MNY_DF</stp>
        <stp>11/01/2016</stp>
        <stp>11/01/2016</stp>
        <stp>[Bbg_Market_Data_CL.xlsm]data!R311C21</stp>
        <tr r="U311" s="1"/>
      </tp>
      <tp t="s">
        <v>#N/A Requesting Data...</v>
        <stp/>
        <stp>##V3_BDHV12</stp>
        <stp>CL1 Comdty</stp>
        <stp>30DAY_IMPVOL_95.0%MNY_DF</stp>
        <stp>22/12/2015</stp>
        <stp>22/12/2015</stp>
        <stp>[Bbg_Market_Data_CL.xlsm]data!R323C21</stp>
        <tr r="U323" s="1"/>
      </tp>
      <tp t="s">
        <v>#N/A Requesting Data...</v>
        <stp/>
        <stp>##V3_BDHV12</stp>
        <stp>CL1 Comdty</stp>
        <stp>30DAY_IMPVOL_90.0%MNY_DF</stp>
        <stp>06/07/2016</stp>
        <stp>06/07/2016</stp>
        <stp>[Bbg_Market_Data_CL.xlsm]data!R190C23</stp>
        <tr r="W190" s="1"/>
      </tp>
      <tp t="s">
        <v>#N/A Requesting Data...</v>
        <stp/>
        <stp>##V3_BDHV12</stp>
        <stp>SPGSCLP Index</stp>
        <stp>CHG_PCT_1D</stp>
        <stp>24/03/2016</stp>
        <stp>24/03/2016</stp>
        <stp>[Bbg_Market_Data_CL.xlsm]data!R262C3</stp>
        <tr r="C262" s="1"/>
      </tp>
      <tp t="s">
        <v>#N/A Requesting Data...</v>
        <stp/>
        <stp>##V3_BDHV12</stp>
        <stp>SPGSCLP Index</stp>
        <stp>CHG_PCT_5D</stp>
        <stp>24/03/2016</stp>
        <stp>24/03/2016</stp>
        <stp>[Bbg_Market_Data_CL.xlsm]data!R262C4</stp>
        <tr r="D262" s="1"/>
      </tp>
      <tp t="s">
        <v>#N/A Requesting Data...</v>
        <stp/>
        <stp>##V3_BDHV12</stp>
        <stp>SPGSCLP Index</stp>
        <stp>CHG_PCT_1D</stp>
        <stp>01/04/2016</stp>
        <stp>01/04/2016</stp>
        <stp>[Bbg_Market_Data_CL.xlsm]data!R257C3</stp>
        <tr r="C257" s="1"/>
      </tp>
      <tp t="s">
        <v>#N/A Requesting Data...</v>
        <stp/>
        <stp>##V3_BDHV12</stp>
        <stp>SPGSCLP Index</stp>
        <stp>CHG_PCT_5D</stp>
        <stp>01/04/2016</stp>
        <stp>01/04/2016</stp>
        <stp>[Bbg_Market_Data_CL.xlsm]data!R257C4</stp>
        <tr r="D257" s="1"/>
      </tp>
      <tp t="s">
        <v>#N/A Requesting Data...</v>
        <stp/>
        <stp>##V3_BDHV12</stp>
        <stp>CL1 Comdty</stp>
        <stp>30DAY_IMPVOL_95.0%MNY_DF</stp>
        <stp>26/06/2015</stp>
        <stp>26/06/2015</stp>
        <stp>[Bbg_Market_Data_CL.xlsm]data!R445C21</stp>
        <tr r="U445" s="1"/>
      </tp>
      <tp t="s">
        <v>#N/A Requesting Data...</v>
        <stp/>
        <stp>##V3_BDHV12</stp>
        <stp>CL1 Comdty</stp>
        <stp>30DAY_IMPVOL_95.0%MNY_DF</stp>
        <stp>22/01/2016</stp>
        <stp>22/01/2016</stp>
        <stp>[Bbg_Market_Data_CL.xlsm]data!R303C21</stp>
        <tr r="U303" s="1"/>
      </tp>
      <tp t="s">
        <v>#N/A Requesting Data...</v>
        <stp/>
        <stp>##V3_BDHV12</stp>
        <stp>CL1 Comdty</stp>
        <stp>30DAY_IMPVOL_95.0%MNY_DF</stp>
        <stp>11/12/2015</stp>
        <stp>11/12/2015</stp>
        <stp>[Bbg_Market_Data_CL.xlsm]data!R330C21</stp>
        <tr r="U330" s="1"/>
      </tp>
      <tp t="s">
        <v>#N/A Requesting Data...</v>
        <stp/>
        <stp>##V3_BDHV12</stp>
        <stp>CL1 Comdty</stp>
        <stp>30DAY_IMPVOL_90.0%MNY_DF</stp>
        <stp>16/06/2016</stp>
        <stp>16/06/2016</stp>
        <stp>[Bbg_Market_Data_CL.xlsm]data!R203C23</stp>
        <tr r="W203" s="1"/>
      </tp>
      <tp t="s">
        <v>#N/A Requesting Data...</v>
        <stp/>
        <stp>##V3_BDHV12</stp>
        <stp>CL1 Comdty</stp>
        <stp>30DAY_IMPVOL_90.0%MNY_DF</stp>
        <stp>26/05/2016</stp>
        <stp>26/05/2016</stp>
        <stp>[Bbg_Market_Data_CL.xlsm]data!R217C23</stp>
        <tr r="W217" s="1"/>
      </tp>
      <tp t="s">
        <v>#N/A Requesting Data...</v>
        <stp/>
        <stp>##V3_BDHV12</stp>
        <stp>CL1 Comdty</stp>
        <stp>30DAY_IMPVOL_95.0%MNY_DF</stp>
        <stp>03/02/2016</stp>
        <stp>03/02/2016</stp>
        <stp>[Bbg_Market_Data_CL.xlsm]data!R295C21</stp>
        <tr r="U295" s="1"/>
      </tp>
      <tp t="s">
        <v>#N/A Requesting Data...</v>
        <stp/>
        <stp>##V3_BDHV12</stp>
        <stp>CL1 Comdty</stp>
        <stp>30DAY_IMPVOL_95.0%MNY_DF</stp>
        <stp>02/03/2016</stp>
        <stp>02/03/2016</stp>
        <stp>[Bbg_Market_Data_CL.xlsm]data!R277C21</stp>
        <tr r="U277" s="1"/>
      </tp>
      <tp t="s">
        <v>#N/A Requesting Data...</v>
        <stp/>
        <stp>##V3_BDHV12</stp>
        <stp>CL1 Comdty</stp>
        <stp>30DAY_IMPVOL_95.0%MNY_DF</stp>
        <stp>20/10/2015</stp>
        <stp>20/10/2015</stp>
        <stp>[Bbg_Market_Data_CL.xlsm]data!R366C21</stp>
        <tr r="U366" s="1"/>
      </tp>
      <tp t="s">
        <v>#N/A Requesting Data...</v>
        <stp/>
        <stp>##V3_BDHV12</stp>
        <stp>CL1 Comdty</stp>
        <stp>30DAY_IMPVOL_90.0%MNY_DF</stp>
        <stp>27/04/2016</stp>
        <stp>27/04/2016</stp>
        <stp>[Bbg_Market_Data_CL.xlsm]data!R238C23</stp>
        <tr r="W238" s="1"/>
      </tp>
      <tp t="s">
        <v>#N/A Requesting Data...</v>
        <stp/>
        <stp>##V3_BDHV12</stp>
        <stp>CL1 Comdty</stp>
        <stp>30DAY_IMPVOL_95.0%MNY_DF</stp>
        <stp>27/07/2015</stp>
        <stp>27/07/2015</stp>
        <stp>[Bbg_Market_Data_CL.xlsm]data!R425C21</stp>
        <tr r="U425" s="1"/>
      </tp>
      <tp t="s">
        <v>#N/A Requesting Data...</v>
        <stp/>
        <stp>##V3_BDHV12</stp>
        <stp>CL1 Comdty</stp>
        <stp>30DAY_IMPVOL_95.0%MNY_DF</stp>
        <stp>30/11/2015</stp>
        <stp>30/11/2015</stp>
        <stp>[Bbg_Market_Data_CL.xlsm]data!R339C21</stp>
        <tr r="U339" s="1"/>
      </tp>
      <tp t="s">
        <v>#N/A Requesting Data...</v>
        <stp/>
        <stp>##V3_BDHV12</stp>
        <stp>CL1 Comdty</stp>
        <stp>30DAY_IMPVOL_90.0%MNY_DF</stp>
        <stp>07/06/2016</stp>
        <stp>07/06/2016</stp>
        <stp>[Bbg_Market_Data_CL.xlsm]data!R210C23</stp>
        <tr r="W210" s="1"/>
      </tp>
      <tp t="s">
        <v>#N/A Requesting Data...</v>
        <stp/>
        <stp>##V3_BDHV12</stp>
        <stp>CL1 Comdty</stp>
        <stp>30DAY_IMPVOL_95.0%MNY_DF</stp>
        <stp>07/05/2015</stp>
        <stp>07/05/2015</stp>
        <stp>[Bbg_Market_Data_CL.xlsm]data!R480C21</stp>
        <tr r="U480" s="1"/>
      </tp>
      <tp t="s">
        <v>#N/A Requesting Data...</v>
        <stp/>
        <stp>##V3_BDHV12</stp>
        <stp>CL1 Comdty</stp>
        <stp>30DAY_IMPVOL_95.0%MNY_DF</stp>
        <stp>12/02/2016</stp>
        <stp>12/02/2016</stp>
        <stp>[Bbg_Market_Data_CL.xlsm]data!R288C21</stp>
        <tr r="U288" s="1"/>
      </tp>
      <tp t="s">
        <v>#N/A Requesting Data...</v>
        <stp/>
        <stp>##V3_BDHV12</stp>
        <stp>CL1 Comdty</stp>
        <stp>30DAY_IMPVOL_95.0%MNY_DF</stp>
        <stp>17/04/2015</stp>
        <stp>17/04/2015</stp>
        <stp>[Bbg_Market_Data_CL.xlsm]data!R494C21</stp>
        <tr r="U494" s="1"/>
      </tp>
      <tp t="s">
        <v>#N/A Requesting Data...</v>
        <stp/>
        <stp>##V3_BDHV12</stp>
        <stp>SPGSCLP Index</stp>
        <stp>CHG_PCT_5D</stp>
        <stp>24/12/2015</stp>
        <stp>24/12/2015</stp>
        <stp>[Bbg_Market_Data_CL.xlsm]data!R322C4</stp>
        <tr r="D322" s="1"/>
      </tp>
      <tp t="s">
        <v>#N/A Requesting Data...</v>
        <stp/>
        <stp>##V3_BDHV12</stp>
        <stp>SPGSCLP Index</stp>
        <stp>CHG_PCT_1D</stp>
        <stp>27/11/2015</stp>
        <stp>27/11/2015</stp>
        <stp>[Bbg_Market_Data_CL.xlsm]data!R341C3</stp>
        <tr r="C341" s="1"/>
      </tp>
      <tp t="s">
        <v>#N/A Requesting Data...</v>
        <stp/>
        <stp>##V3_BDHV12</stp>
        <stp>SPGSCLP Index</stp>
        <stp>CHG_PCT_1D</stp>
        <stp>24/12/2015</stp>
        <stp>24/12/2015</stp>
        <stp>[Bbg_Market_Data_CL.xlsm]data!R322C3</stp>
        <tr r="C322" s="1"/>
      </tp>
      <tp t="s">
        <v>#N/A Requesting Data...</v>
        <stp/>
        <stp>##V3_BDHV12</stp>
        <stp>SPGSCLP Index</stp>
        <stp>CHG_PCT_5D</stp>
        <stp>27/11/2015</stp>
        <stp>27/11/2015</stp>
        <stp>[Bbg_Market_Data_CL.xlsm]data!R341C4</stp>
        <tr r="D341" s="1"/>
      </tp>
      <tp t="s">
        <v>#N/A Requesting Data...</v>
        <stp/>
        <stp>##V3_BDHV12</stp>
        <stp>SPGSCLP Index</stp>
        <stp>CHG_PCT_5D</stp>
        <stp>13/05/2016</stp>
        <stp>13/05/2016</stp>
        <stp>[Bbg_Market_Data_CL.xlsm]data!R227C4</stp>
        <tr r="D227" s="1"/>
      </tp>
      <tp t="s">
        <v>#N/A Requesting Data...</v>
        <stp/>
        <stp>##V3_BDHV12</stp>
        <stp>SPGSCLP Index</stp>
        <stp>CHG_PCT_5D</stp>
        <stp>02/05/2016</stp>
        <stp>02/05/2016</stp>
        <stp>[Bbg_Market_Data_CL.xlsm]data!R236C4</stp>
        <tr r="D236" s="1"/>
      </tp>
      <tp t="s">
        <v>#N/A Requesting Data...</v>
        <stp/>
        <stp>##V3_BDHV12</stp>
        <stp>SPGSCLP Index</stp>
        <stp>CHG_PCT_1D</stp>
        <stp>01/06/2016</stp>
        <stp>01/06/2016</stp>
        <stp>[Bbg_Market_Data_CL.xlsm]data!R215C3</stp>
        <tr r="C215" s="1"/>
      </tp>
      <tp t="s">
        <v>#N/A Requesting Data...</v>
        <stp/>
        <stp>##V3_BDHV12</stp>
        <stp>SPGSCLP Index</stp>
        <stp>CHG_PCT_1D</stp>
        <stp>02/05/2016</stp>
        <stp>02/05/2016</stp>
        <stp>[Bbg_Market_Data_CL.xlsm]data!R236C3</stp>
        <tr r="C236" s="1"/>
      </tp>
      <tp t="s">
        <v>#N/A Requesting Data...</v>
        <stp/>
        <stp>##V3_BDHV12</stp>
        <stp>SPGSCLP Index</stp>
        <stp>CHG_PCT_5D</stp>
        <stp>01/06/2016</stp>
        <stp>01/06/2016</stp>
        <stp>[Bbg_Market_Data_CL.xlsm]data!R215C4</stp>
        <tr r="D215" s="1"/>
      </tp>
      <tp t="s">
        <v>#N/A Requesting Data...</v>
        <stp/>
        <stp>##V3_BDHV12</stp>
        <stp>SPGSCLP Index</stp>
        <stp>CHG_PCT_1D</stp>
        <stp>13/05/2016</stp>
        <stp>13/05/2016</stp>
        <stp>[Bbg_Market_Data_CL.xlsm]data!R227C3</stp>
        <tr r="C227" s="1"/>
      </tp>
      <tp t="s">
        <v>#N/A Requesting Data...</v>
        <stp/>
        <stp>##V3_BDHV12</stp>
        <stp>CL1 Comdty</stp>
        <stp>30DAY_IMPVOL_95.0%MNY_DF</stp>
        <stp>28/08/2015</stp>
        <stp>28/08/2015</stp>
        <stp>[Bbg_Market_Data_CL.xlsm]data!R401C21</stp>
        <tr r="U401" s="1"/>
      </tp>
      <tp t="s">
        <v>#N/A Requesting Data...</v>
        <stp/>
        <stp>##V3_BDHV12</stp>
        <stp>SPGSCLP Index</stp>
        <stp>CHG_PCT_5D</stp>
        <stp>29/10/2015</stp>
        <stp>29/10/2015</stp>
        <stp>[Bbg_Market_Data_CL.xlsm]data!R360C4</stp>
        <tr r="D360" s="1"/>
      </tp>
      <tp t="s">
        <v>#N/A Requesting Data...</v>
        <stp/>
        <stp>##V3_BDHV12</stp>
        <stp>SPGSCLP Index</stp>
        <stp>CHG_PCT_1D</stp>
        <stp>29/10/2015</stp>
        <stp>29/10/2015</stp>
        <stp>[Bbg_Market_Data_CL.xlsm]data!R360C3</stp>
        <tr r="C360" s="1"/>
      </tp>
      <tp t="s">
        <v>#N/A Requesting Data...</v>
        <stp/>
        <stp>##V3_BDHV12</stp>
        <stp>SPGSCLP Index</stp>
        <stp>CHG_PCT_1D</stp>
        <stp>22/08/2016</stp>
        <stp>22/08/2016</stp>
        <stp>[Bbg_Market_Data_CL.xlsm]data!R159C3</stp>
        <tr r="C159" s="1"/>
      </tp>
      <tp t="s">
        <v>#N/A Requesting Data...</v>
        <stp/>
        <stp>##V3_BDHV12</stp>
        <stp>SPGSCLP Index</stp>
        <stp>CHG_PCT_5D</stp>
        <stp>22/08/2016</stp>
        <stp>22/08/2016</stp>
        <stp>[Bbg_Market_Data_CL.xlsm]data!R159C4</stp>
        <tr r="D159" s="1"/>
      </tp>
      <tp t="s">
        <v>#N/A Requesting Data...</v>
        <stp/>
        <stp>##V3_BDHV12</stp>
        <stp>CL1 Comdty</stp>
        <stp>30DAY_IMPVOL_90.0%MNY_DF</stp>
        <stp>09/08/2016</stp>
        <stp>09/08/2016</stp>
        <stp>[Bbg_Market_Data_CL.xlsm]data!R167C23</stp>
        <tr r="W167" s="1"/>
      </tp>
      <tp t="s">
        <v>#N/A Requesting Data...</v>
        <stp/>
        <stp>##V3_BDHV12</stp>
        <stp>CL1 Comdty</stp>
        <stp>30DAY_IMPVOL_90.0%MNY_DF</stp>
        <stp>19/09/2016</stp>
        <stp>19/09/2016</stp>
        <stp>[Bbg_Market_Data_CL.xlsm]data!R139C23</stp>
        <tr r="W139" s="1"/>
      </tp>
      <tp t="s">
        <v>#N/A Requesting Data...</v>
        <stp/>
        <stp>##V3_BDHV12</stp>
        <stp>SPGSCLP Index</stp>
        <stp>CHG_PCT_5D</stp>
        <stp>21/09/2016</stp>
        <stp>21/09/2016</stp>
        <stp>[Bbg_Market_Data_CL.xlsm]data!R138C4</stp>
        <tr r="D138" s="1"/>
      </tp>
      <tp t="s">
        <v>#N/A Requesting Data...</v>
        <stp/>
        <stp>##V3_BDHV12</stp>
        <stp>SPGSCLP Index</stp>
        <stp>CHG_PCT_1D</stp>
        <stp>21/09/2016</stp>
        <stp>21/09/2016</stp>
        <stp>[Bbg_Market_Data_CL.xlsm]data!R138C3</stp>
        <tr r="C138" s="1"/>
      </tp>
      <tp t="s">
        <v>#N/A Requesting Data...</v>
        <stp/>
        <stp>##V3_BDHV12</stp>
        <stp>CL1 Comdty</stp>
        <stp>30DAY_IMPVOL_90.0%MNY_DF</stp>
        <stp>18/08/2016</stp>
        <stp>18/08/2016</stp>
        <stp>[Bbg_Market_Data_CL.xlsm]data!R160C23</stp>
        <tr r="W160" s="1"/>
      </tp>
      <tp t="s">
        <v>#N/A Requesting Data...</v>
        <stp/>
        <stp>##V3_BDHV12</stp>
        <stp>CL1 Comdty</stp>
        <stp>30DAY_IMPVOL_90.0%MNY_DF</stp>
        <stp>08/09/2016</stp>
        <stp>08/09/2016</stp>
        <stp>[Bbg_Market_Data_CL.xlsm]data!R146C23</stp>
        <tr r="W146" s="1"/>
      </tp>
      <tp t="s">
        <v>#N/A Requesting Data...</v>
        <stp/>
        <stp>##V3_BDHV12</stp>
        <stp>CL1 Comdty</stp>
        <stp>30DAY_IMPVOL_90.0%MNY_DF</stp>
        <stp>29/09/2015</stp>
        <stp>29/09/2015</stp>
        <stp>[Bbg_Market_Data_CL.xlsm]data!R380C23</stp>
        <tr r="W380" s="1"/>
      </tp>
      <tp t="s">
        <v>#N/A Requesting Data...</v>
        <stp/>
        <stp>##V3_BDHV12</stp>
        <stp>SPGSCLP Index</stp>
        <stp>CHG_PCT_5D</stp>
        <stp>09/11/2015</stp>
        <stp>09/11/2015</stp>
        <stp>[Bbg_Market_Data_CL.xlsm]data!R353C4</stp>
        <tr r="D353" s="1"/>
      </tp>
      <tp t="s">
        <v>#N/A Requesting Data...</v>
        <stp/>
        <stp>##V3_BDHV12</stp>
        <stp>SPGSCLP Index</stp>
        <stp>CHG_PCT_1D</stp>
        <stp>28/01/2016</stp>
        <stp>28/01/2016</stp>
        <stp>[Bbg_Market_Data_CL.xlsm]data!R300C3</stp>
        <tr r="C300" s="1"/>
      </tp>
      <tp t="s">
        <v>#N/A Requesting Data...</v>
        <stp/>
        <stp>##V3_BDHV12</stp>
        <stp>SPGSCLP Index</stp>
        <stp>CHG_PCT_5D</stp>
        <stp>28/01/2016</stp>
        <stp>28/01/2016</stp>
        <stp>[Bbg_Market_Data_CL.xlsm]data!R300C4</stp>
        <tr r="D300" s="1"/>
      </tp>
      <tp t="s">
        <v>#N/A Requesting Data...</v>
        <stp/>
        <stp>##V3_BDHV12</stp>
        <stp>SPGSCLP Index</stp>
        <stp>CHG_PCT_1D</stp>
        <stp>09/11/2015</stp>
        <stp>09/11/2015</stp>
        <stp>[Bbg_Market_Data_CL.xlsm]data!R353C3</stp>
        <tr r="C353" s="1"/>
      </tp>
      <tp t="s">
        <v>#N/A Requesting Data...</v>
        <stp/>
        <stp>##V3_BDHV12</stp>
        <stp>CL1 Comdty</stp>
        <stp>30DAY_IMPVOL_90.0%MNY_DF</stp>
        <stp>28/08/2015</stp>
        <stp>28/08/2015</stp>
        <stp>[Bbg_Market_Data_CL.xlsm]data!R401C23</stp>
        <tr r="W401" s="1"/>
      </tp>
      <tp t="s">
        <v>#N/A Requesting Data...</v>
        <stp/>
        <stp>##V3_BDHV12</stp>
        <stp>SPGSCLP Index</stp>
        <stp>CHG_PCT_1D</stp>
        <stp>18/04/2016</stp>
        <stp>18/04/2016</stp>
        <stp>[Bbg_Market_Data_CL.xlsm]data!R246C3</stp>
        <tr r="C246" s="1"/>
      </tp>
      <tp t="s">
        <v>#N/A Requesting Data...</v>
        <stp/>
        <stp>##V3_BDHV12</stp>
        <stp>SPGSCLP Index</stp>
        <stp>CHG_PCT_5D</stp>
        <stp>18/04/2016</stp>
        <stp>18/04/2016</stp>
        <stp>[Bbg_Market_Data_CL.xlsm]data!R246C4</stp>
        <tr r="D246" s="1"/>
      </tp>
      <tp t="s">
        <v>#N/A Requesting Data...</v>
        <stp/>
        <stp>##V3_BDHV12</stp>
        <stp>CL1 Comdty</stp>
        <stp>30DAY_IMPVOL_95.0%MNY_DF</stp>
        <stp>08/09/2016</stp>
        <stp>08/09/2016</stp>
        <stp>[Bbg_Market_Data_CL.xlsm]data!R146C21</stp>
        <tr r="U146" s="1"/>
      </tp>
      <tp t="s">
        <v>#N/A Requesting Data...</v>
        <stp/>
        <stp>##V3_BDHV12</stp>
        <stp>CL1 Comdty</stp>
        <stp>30DAY_IMPVOL_95.0%MNY_DF</stp>
        <stp>18/08/2016</stp>
        <stp>18/08/2016</stp>
        <stp>[Bbg_Market_Data_CL.xlsm]data!R160C21</stp>
        <tr r="U160" s="1"/>
      </tp>
      <tp t="s">
        <v>#N/A Requesting Data...</v>
        <stp/>
        <stp>##V3_BDHV12</stp>
        <stp>CL1 Comdty</stp>
        <stp>30DAY_IMPVOL_95.0%MNY_DF</stp>
        <stp>29/09/2015</stp>
        <stp>29/09/2015</stp>
        <stp>[Bbg_Market_Data_CL.xlsm]data!R380C21</stp>
        <tr r="U380" s="1"/>
      </tp>
      <tp t="s">
        <v>#N/A Requesting Data...</v>
        <stp/>
        <stp>##V3_BDHV12</stp>
        <stp>CL1 Comdty</stp>
        <stp>30DAY_IMPVOL_95.0%MNY_DF</stp>
        <stp>09/08/2016</stp>
        <stp>09/08/2016</stp>
        <stp>[Bbg_Market_Data_CL.xlsm]data!R167C21</stp>
        <tr r="U167" s="1"/>
      </tp>
      <tp t="s">
        <v>#N/A Requesting Data...</v>
        <stp/>
        <stp>##V3_BDHV12</stp>
        <stp>CL1 Comdty</stp>
        <stp>30DAY_IMPVOL_95.0%MNY_DF</stp>
        <stp>19/09/2016</stp>
        <stp>19/09/2016</stp>
        <stp>[Bbg_Market_Data_CL.xlsm]data!R139C21</stp>
        <tr r="U139" s="1"/>
      </tp>
      <tp t="s">
        <v>#N/A Requesting Data...</v>
        <stp/>
        <stp>##V3_BDHV12</stp>
        <stp>CL1 Comdty</stp>
        <stp>30DAY_IMPVOL_90.0%MNY_DF</stp>
        <stp>15/05/2015</stp>
        <stp>15/05/2015</stp>
        <stp>[Bbg_Market_Data_CL.xlsm]data!R474C23</stp>
        <tr r="W474" s="1"/>
      </tp>
      <tp t="s">
        <v>#N/A Requesting Data...</v>
        <stp/>
        <stp>##V3_BDHV12</stp>
        <stp>CL1 Comdty</stp>
        <stp>30DAY_IMPVOL_90.0%MNY_DF</stp>
        <stp>10/03/2016</stp>
        <stp>10/03/2016</stp>
        <stp>[Bbg_Market_Data_CL.xlsm]data!R271C23</stp>
        <tr r="W271" s="1"/>
      </tp>
      <tp t="s">
        <v>#N/A Requesting Data...</v>
        <stp/>
        <stp>##V3_BDHV12</stp>
        <stp>CL1 Comdty</stp>
        <stp>30DAY_IMPVOL_90.0%MNY_DF</stp>
        <stp>25/06/2015</stp>
        <stp>25/06/2015</stp>
        <stp>[Bbg_Market_Data_CL.xlsm]data!R446C23</stp>
        <tr r="W446" s="1"/>
      </tp>
      <tp t="s">
        <v>#N/A Requesting Data...</v>
        <stp/>
        <stp>##V3_BDHV12</stp>
        <stp>CL1 Comdty</stp>
        <stp>30DAY_IMPVOL_95.0%MNY_DF</stp>
        <stp>15/06/2016</stp>
        <stp>15/06/2016</stp>
        <stp>[Bbg_Market_Data_CL.xlsm]data!R204C21</stp>
        <tr r="U204" s="1"/>
      </tp>
      <tp t="s">
        <v>#N/A Requesting Data...</v>
        <stp/>
        <stp>##V3_BDHV12</stp>
        <stp>CL1 Comdty</stp>
        <stp>30DAY_IMPVOL_90.0%MNY_DF</stp>
        <stp>13/10/2016</stp>
        <stp>13/10/2016</stp>
        <stp>[Bbg_Market_Data_CL.xlsm]data!R122C23</stp>
        <tr r="W122" s="1"/>
      </tp>
      <tp t="s">
        <v>#N/A Requesting Data...</v>
        <stp/>
        <stp>##V3_BDHV12</stp>
        <stp>CL1 Comdty</stp>
        <stp>30DAY_IMPVOL_95.0%MNY_DF</stp>
        <stp>25/05/2016</stp>
        <stp>25/05/2016</stp>
        <stp>[Bbg_Market_Data_CL.xlsm]data!R218C21</stp>
        <tr r="U218" s="1"/>
      </tp>
      <tp t="s">
        <v>#N/A Requesting Data...</v>
        <stp/>
        <stp>##V3_BDHV12</stp>
        <stp>CL1 Comdty</stp>
        <stp>30DAY_IMPVOL_90.0%MNY_DF</stp>
        <stp>21/01/2016</stp>
        <stp>21/01/2016</stp>
        <stp>[Bbg_Market_Data_CL.xlsm]data!R304C23</stp>
        <tr r="W304" s="1"/>
      </tp>
      <tp t="s">
        <v>#N/A Requesting Data...</v>
        <stp/>
        <stp>##V3_BDHV12</stp>
        <stp>CL1 Comdty</stp>
        <stp>30DAY_IMPVOL_90.0%MNY_DF</stp>
        <stp>03/11/2016</stp>
        <stp>03/11/2016</stp>
        <stp>[Bbg_Market_Data_CL.xlsm]data!R107C23</stp>
        <tr r="W107" s="1"/>
      </tp>
      <tp t="s">
        <v>#N/A Requesting Data...</v>
        <stp/>
        <stp>##V3_BDHV12</stp>
        <stp>SPGSCLP Index</stp>
        <stp>CHG_PCT_5D</stp>
        <stp>27/05/2016</stp>
        <stp>27/05/2016</stp>
        <stp>[Bbg_Market_Data_CL.xlsm]data!R217C4</stp>
        <tr r="D217" s="1"/>
      </tp>
      <tp t="s">
        <v>#N/A Requesting Data...</v>
        <stp/>
        <stp>##V3_BDHV12</stp>
        <stp>SPGSCLP Index</stp>
        <stp>CHG_PCT_1D</stp>
        <stp>27/05/2016</stp>
        <stp>27/05/2016</stp>
        <stp>[Bbg_Market_Data_CL.xlsm]data!R217C3</stp>
        <tr r="C217" s="1"/>
      </tp>
      <tp t="s">
        <v>#N/A Requesting Data...</v>
        <stp/>
        <stp>##V3_BDHV12</stp>
        <stp>SPGSCLP Index</stp>
        <stp>CHG_PCT_5D</stp>
        <stp>10/12/2015</stp>
        <stp>10/12/2015</stp>
        <stp>[Bbg_Market_Data_CL.xlsm]data!R332C4</stp>
        <tr r="D332" s="1"/>
      </tp>
      <tp t="s">
        <v>#N/A Requesting Data...</v>
        <stp/>
        <stp>##V3_BDHV12</stp>
        <stp>SPGSCLP Index</stp>
        <stp>CHG_PCT_5D</stp>
        <stp>01/11/2016</stp>
        <stp>01/11/2016</stp>
        <stp>[Bbg_Market_Data_CL.xlsm]data!R110C4</stp>
        <tr r="D110" s="1"/>
      </tp>
      <tp t="s">
        <v>#N/A Requesting Data...</v>
        <stp/>
        <stp>##V3_BDHV12</stp>
        <stp>SPGSCLP Index</stp>
        <stp>CHG_PCT_1D</stp>
        <stp>10/12/2015</stp>
        <stp>10/12/2015</stp>
        <stp>[Bbg_Market_Data_CL.xlsm]data!R332C3</stp>
        <tr r="C332" s="1"/>
      </tp>
      <tp t="s">
        <v>#N/A Requesting Data...</v>
        <stp/>
        <stp>##V3_BDHV12</stp>
        <stp>SPGSCLP Index</stp>
        <stp>CHG_PCT_1D</stp>
        <stp>01/11/2016</stp>
        <stp>01/11/2016</stp>
        <stp>[Bbg_Market_Data_CL.xlsm]data!R110C3</stp>
        <tr r="C110" s="1"/>
      </tp>
      <tp t="s">
        <v>#N/A Requesting Data...</v>
        <stp/>
        <stp>##V3_BDHV12</stp>
        <stp>CL1 Comdty</stp>
        <stp>30DAY_IMPVOL_90.0%MNY_DF</stp>
        <stp>23/10/2015</stp>
        <stp>23/10/2015</stp>
        <stp>[Bbg_Market_Data_CL.xlsm]data!R363C23</stp>
        <tr r="W363" s="1"/>
      </tp>
      <tp t="s">
        <v>#N/A Requesting Data...</v>
        <stp/>
        <stp>##V3_BDHV12</stp>
        <stp>CL1 Comdty</stp>
        <stp>30DAY_IMPVOL_90.0%MNY_DF</stp>
        <stp>01/03/2016</stp>
        <stp>01/03/2016</stp>
        <stp>[Bbg_Market_Data_CL.xlsm]data!R278C23</stp>
        <tr r="W278" s="1"/>
      </tp>
      <tp t="s">
        <v>#N/A Requesting Data...</v>
        <stp/>
        <stp>##V3_BDHV12</stp>
        <stp>CL1 Comdty</stp>
        <stp>30DAY_IMPVOL_95.0%MNY_DF</stp>
        <stp>27/07/2016</stp>
        <stp>27/07/2016</stp>
        <stp>[Bbg_Market_Data_CL.xlsm]data!R175C21</stp>
        <tr r="U175" s="1"/>
      </tp>
      <tp t="s">
        <v>#N/A Requesting Data...</v>
        <stp/>
        <stp>##V3_BDHV12</stp>
        <stp>CL1 Comdty</stp>
        <stp>30DAY_IMPVOL_90.0%MNY_DF</stp>
        <stp>24/07/2015</stp>
        <stp>24/07/2015</stp>
        <stp>[Bbg_Market_Data_CL.xlsm]data!R426C23</stp>
        <tr r="W426" s="1"/>
      </tp>
      <tp t="s">
        <v>#N/A Requesting Data...</v>
        <stp/>
        <stp>##V3_BDHV12</stp>
        <stp>CL1 Comdty</stp>
        <stp>30DAY_IMPVOL_90.0%MNY_DF</stp>
        <stp>03/12/2015</stp>
        <stp>03/12/2015</stp>
        <stp>[Bbg_Market_Data_CL.xlsm]data!R336C23</stp>
        <tr r="W336" s="1"/>
      </tp>
      <tp t="s">
        <v>#N/A Requesting Data...</v>
        <stp/>
        <stp>##V3_BDHV12</stp>
        <stp>CL1 Comdty</stp>
        <stp>30DAY_IMPVOL_90.0%MNY_DF</stp>
        <stp>04/05/2015</stp>
        <stp>04/05/2015</stp>
        <stp>[Bbg_Market_Data_CL.xlsm]data!R483C23</stp>
        <tr r="W483" s="1"/>
      </tp>
      <tp t="s">
        <v>#N/A Requesting Data...</v>
        <stp/>
        <stp>##V3_BDHV12</stp>
        <stp>CL1 Comdty</stp>
        <stp>30DAY_IMPVOL_90.0%MNY_DF</stp>
        <stp>11/02/2016</stp>
        <stp>11/02/2016</stp>
        <stp>[Bbg_Market_Data_CL.xlsm]data!R289C23</stp>
        <tr r="W289" s="1"/>
      </tp>
      <tp t="s">
        <v>#N/A Requesting Data...</v>
        <stp/>
        <stp>##V3_BDHV12</stp>
        <stp>CL1 Comdty</stp>
        <stp>30DAY_IMPVOL_90.0%MNY_DF</stp>
        <stp>14/04/2015</stp>
        <stp>14/04/2015</stp>
        <stp>[Bbg_Market_Data_CL.xlsm]data!R497C23</stp>
        <tr r="W497" s="1"/>
      </tp>
      <tp t="s">
        <v>#N/A Requesting Data...</v>
        <stp/>
        <stp>##V3_BDHV12</stp>
        <stp>SPGSCLP Index</stp>
        <stp>CHG_PCT_5D</stp>
        <stp>09/08/2016</stp>
        <stp>09/08/2016</stp>
        <stp>[Bbg_Market_Data_CL.xlsm]data!R168C4</stp>
        <tr r="D168" s="1"/>
      </tp>
      <tp t="s">
        <v>#N/A Requesting Data...</v>
        <stp/>
        <stp>##V3_BDHV12</stp>
        <stp>SPGSCLP Index</stp>
        <stp>CHG_PCT_1D</stp>
        <stp>09/08/2016</stp>
        <stp>09/08/2016</stp>
        <stp>[Bbg_Market_Data_CL.xlsm]data!R168C3</stp>
        <tr r="C168" s="1"/>
      </tp>
      <tp t="s">
        <v>#N/A Requesting Data...</v>
        <stp/>
        <stp>##V3_BDHV12</stp>
        <stp>SPGSCLP Index</stp>
        <stp>CHG_PCT_1D</stp>
        <stp>12/11/2015</stp>
        <stp>12/11/2015</stp>
        <stp>[Bbg_Market_Data_CL.xlsm]data!R351C3</stp>
        <tr r="C351" s="1"/>
      </tp>
      <tp t="s">
        <v>#N/A Requesting Data...</v>
        <stp/>
        <stp>##V3_BDHV12</stp>
        <stp>SPGSCLP Index</stp>
        <stp>CHG_PCT_5D</stp>
        <stp>17/04/2015</stp>
        <stp>17/04/2015</stp>
        <stp>[Bbg_Market_Data_CL.xlsm]data!R495C4</stp>
        <tr r="D495" s="1"/>
      </tp>
      <tp t="s">
        <v>#N/A Requesting Data...</v>
        <stp/>
        <stp>##V3_BDHV12</stp>
        <stp>SPGSCLP Index</stp>
        <stp>CHG_PCT_1D</stp>
        <stp>17/04/2015</stp>
        <stp>17/04/2015</stp>
        <stp>[Bbg_Market_Data_CL.xlsm]data!R495C3</stp>
        <tr r="C495" s="1"/>
      </tp>
      <tp t="s">
        <v>#N/A Requesting Data...</v>
        <stp/>
        <stp>##V3_BDHV12</stp>
        <stp>SPGSCLP Index</stp>
        <stp>CHG_PCT_5D</stp>
        <stp>12/11/2015</stp>
        <stp>12/11/2015</stp>
        <stp>[Bbg_Market_Data_CL.xlsm]data!R351C4</stp>
        <tr r="D351" s="1"/>
      </tp>
      <tp t="s">
        <v>#N/A Requesting Data...</v>
        <stp/>
        <stp>##V3_BDHV12</stp>
        <stp>CL1 Comdty</stp>
        <stp>30DAY_IMPVOL_90.0%MNY_DF</stp>
        <stp>17/07/2015</stp>
        <stp>17/07/2015</stp>
        <stp>[Bbg_Market_Data_CL.xlsm]data!R431C23</stp>
        <tr r="W431" s="1"/>
      </tp>
      <tp t="s">
        <v>#N/A Requesting Data...</v>
        <stp/>
        <stp>##V3_BDHV12</stp>
        <stp>CL1 Comdty</stp>
        <stp>30DAY_IMPVOL_90.0%MNY_DF</stp>
        <stp>31/10/2016</stp>
        <stp>31/10/2016</stp>
        <stp>[Bbg_Market_Data_CL.xlsm]data!R110C23</stp>
        <tr r="W110" s="1"/>
      </tp>
      <tp t="s">
        <v>#N/A Requesting Data...</v>
        <stp/>
        <stp>##V3_BDHV12</stp>
        <stp>CL1 Comdty</stp>
        <stp>30DAY_IMPVOL_90.0%MNY_DF</stp>
        <stp>30/12/2015</stp>
        <stp>30/12/2015</stp>
        <stp>[Bbg_Market_Data_CL.xlsm]data!R318C23</stp>
        <tr r="W318" s="1"/>
      </tp>
      <tp t="s">
        <v>#N/A Requesting Data...</v>
        <stp/>
        <stp>##V3_BDHV12</stp>
        <stp>CL1 Comdty</stp>
        <stp>30DAY_IMPVOL_95.0%MNY_DF</stp>
        <stp>14/07/2016</stp>
        <stp>14/07/2016</stp>
        <stp>[Bbg_Market_Data_CL.xlsm]data!R184C21</stp>
        <tr r="U184" s="1"/>
      </tp>
      <tp t="s">
        <v>#N/A Requesting Data...</v>
        <stp/>
        <stp>##V3_BDHV12</stp>
        <stp>CL1 Comdty</stp>
        <stp>30DAY_IMPVOL_90.0%MNY_DF</stp>
        <stp>22/02/2016</stp>
        <stp>22/02/2016</stp>
        <stp>[Bbg_Market_Data_CL.xlsm]data!R284C23</stp>
        <tr r="W284" s="1"/>
      </tp>
      <tp t="s">
        <v>#N/A Requesting Data...</v>
        <stp/>
        <stp>##V3_BDHV12</stp>
        <stp>CL1 Comdty</stp>
        <stp>30DAY_IMPVOL_90.0%MNY_DF</stp>
        <stp>27/04/2015</stp>
        <stp>27/04/2015</stp>
        <stp>[Bbg_Market_Data_CL.xlsm]data!R488C23</stp>
        <tr r="W488" s="1"/>
      </tp>
      <tp t="s">
        <v>#N/A Requesting Data...</v>
        <stp/>
        <stp>##V3_BDHV12</stp>
        <stp>SPGSCLP Index</stp>
        <stp>CHG_PCT_5D</stp>
        <stp>06/04/2016</stp>
        <stp>06/04/2016</stp>
        <stp>[Bbg_Market_Data_CL.xlsm]data!R254C4</stp>
        <tr r="D254" s="1"/>
      </tp>
      <tp t="s">
        <v>#N/A Requesting Data...</v>
        <stp/>
        <stp>##V3_BDHV12</stp>
        <stp>SPGSCLP Index</stp>
        <stp>CHG_PCT_1D</stp>
        <stp>06/04/2016</stp>
        <stp>06/04/2016</stp>
        <stp>[Bbg_Market_Data_CL.xlsm]data!R254C3</stp>
        <tr r="C254" s="1"/>
      </tp>
      <tp t="s">
        <v>#N/A Requesting Data...</v>
        <stp/>
        <stp>##V3_BDHV12</stp>
        <stp>SPGSCLP Index</stp>
        <stp>CHG_PCT_1D</stp>
        <stp>10/03/2016</stp>
        <stp>10/03/2016</stp>
        <stp>[Bbg_Market_Data_CL.xlsm]data!R272C3</stp>
        <tr r="C272" s="1"/>
      </tp>
      <tp t="s">
        <v>#N/A Requesting Data...</v>
        <stp/>
        <stp>##V3_BDHV12</stp>
        <stp>SPGSCLP Index</stp>
        <stp>CHG_PCT_5D</stp>
        <stp>10/03/2016</stp>
        <stp>10/03/2016</stp>
        <stp>[Bbg_Market_Data_CL.xlsm]data!R272C4</stp>
        <tr r="D272" s="1"/>
      </tp>
      <tp t="s">
        <v>#N/A Requesting Data...</v>
        <stp/>
        <stp>##V3_BDHV12</stp>
        <stp>CL1 Comdty</stp>
        <stp>30DAY_IMPVOL_90.0%MNY_DF</stp>
        <stp>23/03/2016</stp>
        <stp>23/03/2016</stp>
        <stp>[Bbg_Market_Data_CL.xlsm]data!R262C23</stp>
        <tr r="W262" s="1"/>
      </tp>
      <tp t="s">
        <v>#N/A Requesting Data...</v>
        <stp/>
        <stp>##V3_BDHV12</stp>
        <stp>CL1 Comdty</stp>
        <stp>30DAY_IMPVOL_90.0%MNY_DF</stp>
        <stp>01/10/2015</stp>
        <stp>01/10/2015</stp>
        <stp>[Bbg_Market_Data_CL.xlsm]data!R378C23</stp>
        <tr r="W378" s="1"/>
      </tp>
      <tp t="s">
        <v>#N/A Requesting Data...</v>
        <stp/>
        <stp>##V3_BDHV12</stp>
        <stp>CL1 Comdty</stp>
        <stp>30DAY_IMPVOL_90.0%MNY_DF</stp>
        <stp>26/05/2015</stp>
        <stp>26/05/2015</stp>
        <stp>[Bbg_Market_Data_CL.xlsm]data!R468C23</stp>
        <tr r="W468" s="1"/>
      </tp>
      <tp t="s">
        <v>#N/A Requesting Data...</v>
        <stp/>
        <stp>##V3_BDHV12</stp>
        <stp>CL1 Comdty</stp>
        <stp>30DAY_IMPVOL_95.0%MNY_DF</stp>
        <stp>06/04/2016</stp>
        <stp>06/04/2016</stp>
        <stp>[Bbg_Market_Data_CL.xlsm]data!R253C21</stp>
        <tr r="U253" s="1"/>
      </tp>
      <tp t="s">
        <v>#N/A Requesting Data...</v>
        <stp/>
        <stp>##V3_BDHV12</stp>
        <stp>CL1 Comdty</stp>
        <stp>30DAY_IMPVOL_90.0%MNY_DF</stp>
        <stp>06/07/2015</stp>
        <stp>06/07/2015</stp>
        <stp>[Bbg_Market_Data_CL.xlsm]data!R440C23</stp>
        <tr r="W440" s="1"/>
      </tp>
      <tp t="s">
        <v>#N/A Requesting Data...</v>
        <stp/>
        <stp>##V3_BDHV12</stp>
        <stp>CL1 Comdty</stp>
        <stp>30DAY_IMPVOL_90.0%MNY_DF</stp>
        <stp>16/06/2015</stp>
        <stp>16/06/2015</stp>
        <stp>[Bbg_Market_Data_CL.xlsm]data!R453C23</stp>
        <tr r="W453" s="1"/>
      </tp>
      <tp t="s">
        <v>#N/A Requesting Data...</v>
        <stp/>
        <stp>##V3_BDHV12</stp>
        <stp>CL1 Comdty</stp>
        <stp>30DAY_IMPVOL_90.0%MNY_DF</stp>
        <stp>21/12/2015</stp>
        <stp>21/12/2015</stp>
        <stp>[Bbg_Market_Data_CL.xlsm]data!R324C23</stp>
        <tr r="W324" s="1"/>
      </tp>
      <tp t="s">
        <v>#N/A Requesting Data...</v>
        <stp/>
        <stp>##V3_BDHV12</stp>
        <stp>CL1 Comdty</stp>
        <stp>30DAY_IMPVOL_95.0%MNY_DF</stp>
        <stp>16/05/2016</stp>
        <stp>16/05/2016</stp>
        <stp>[Bbg_Market_Data_CL.xlsm]data!R225C21</stp>
        <tr r="U225" s="1"/>
      </tp>
      <tp t="s">
        <v>#N/A Requesting Data...</v>
        <stp/>
        <stp>##V3_BDHV12</stp>
        <stp>CL1 Comdty</stp>
        <stp>30DAY_IMPVOL_90.0%MNY_DF</stp>
        <stp>20/10/2016</stp>
        <stp>20/10/2016</stp>
        <stp>[Bbg_Market_Data_CL.xlsm]data!R117C23</stp>
        <tr r="W117" s="1"/>
      </tp>
      <tp t="s">
        <v>#N/A Requesting Data...</v>
        <stp/>
        <stp>##V3_BDHV12</stp>
        <stp>CL1 Comdty</stp>
        <stp>30DAY_IMPVOL_90.0%MNY_DF</stp>
        <stp>12/01/2016</stp>
        <stp>12/01/2016</stp>
        <stp>[Bbg_Market_Data_CL.xlsm]data!R310C23</stp>
        <tr r="W310" s="1"/>
      </tp>
      <tp t="s">
        <v>#N/A Requesting Data...</v>
        <stp/>
        <stp>##V3_BDHV12</stp>
        <stp>CL1 Comdty</stp>
        <stp>30DAY_IMPVOL_95.0%MNY_DF</stp>
        <stp>05/07/2016</stp>
        <stp>05/07/2016</stp>
        <stp>[Bbg_Market_Data_CL.xlsm]data!R191C21</stp>
        <tr r="U191" s="1"/>
      </tp>
      <tp t="s">
        <v>#N/A Requesting Data...</v>
        <stp/>
        <stp>##V3_BDHV12</stp>
        <stp>SPGSCLP Index</stp>
        <stp>CHG_PCT_1D</stp>
        <stp>19/08/2015</stp>
        <stp>19/08/2015</stp>
        <stp>[Bbg_Market_Data_CL.xlsm]data!R409C3</stp>
        <tr r="C409" s="1"/>
      </tp>
      <tp t="s">
        <v>#N/A Requesting Data...</v>
        <stp/>
        <stp>##V3_BDHV12</stp>
        <stp>SPGSCLP Index</stp>
        <stp>CHG_PCT_5D</stp>
        <stp>19/08/2015</stp>
        <stp>19/08/2015</stp>
        <stp>[Bbg_Market_Data_CL.xlsm]data!R409C4</stp>
        <tr r="D409" s="1"/>
      </tp>
      <tp t="s">
        <v>#N/A Requesting Data...</v>
        <stp/>
        <stp>##V3_BDHV12</stp>
        <stp>SPGSCLP Index</stp>
        <stp>CHG_PCT_5D</stp>
        <stp>18/09/2015</stp>
        <stp>18/09/2015</stp>
        <stp>[Bbg_Market_Data_CL.xlsm]data!R388C4</stp>
        <tr r="D388" s="1"/>
      </tp>
      <tp t="s">
        <v>#N/A Requesting Data...</v>
        <stp/>
        <stp>##V3_BDHV12</stp>
        <stp>SPGSCLP Index</stp>
        <stp>CHG_PCT_1D</stp>
        <stp>18/09/2015</stp>
        <stp>18/09/2015</stp>
        <stp>[Bbg_Market_Data_CL.xlsm]data!R388C3</stp>
        <tr r="C388" s="1"/>
      </tp>
      <tp t="s">
        <v>#N/A Requesting Data...</v>
        <stp/>
        <stp>##V3_BDHV12</stp>
        <stp>SPGSCLP Index</stp>
        <stp>CHG_PCT_5D</stp>
        <stp>13/01/2016</stp>
        <stp>13/01/2016</stp>
        <stp>[Bbg_Market_Data_CL.xlsm]data!R310C4</stp>
        <tr r="D310" s="1"/>
      </tp>
      <tp t="s">
        <v>#N/A Requesting Data...</v>
        <stp/>
        <stp>##V3_BDHV12</stp>
        <stp>SPGSCLP Index</stp>
        <stp>CHG_PCT_1D</stp>
        <stp>13/01/2016</stp>
        <stp>13/01/2016</stp>
        <stp>[Bbg_Market_Data_CL.xlsm]data!R310C3</stp>
        <tr r="C310" s="1"/>
      </tp>
      <tp t="s">
        <v>#N/A Requesting Data...</v>
        <stp/>
        <stp>##V3_BDHV12</stp>
        <stp>CL1 Comdty</stp>
        <stp>30DAY_IMPVOL_90.0%MNY_DF</stp>
        <stp>27/07/2016</stp>
        <stp>27/07/2016</stp>
        <stp>[Bbg_Market_Data_CL.xlsm]data!R175C23</stp>
        <tr r="W175" s="1"/>
      </tp>
      <tp t="s">
        <v>#N/A Requesting Data...</v>
        <stp/>
        <stp>##V3_BDHV12</stp>
        <stp>CL1 Comdty</stp>
        <stp>30DAY_IMPVOL_95.0%MNY_DF</stp>
        <stp>23/10/2015</stp>
        <stp>23/10/2015</stp>
        <stp>[Bbg_Market_Data_CL.xlsm]data!R363C21</stp>
        <tr r="U363" s="1"/>
      </tp>
      <tp t="s">
        <v>#N/A Requesting Data...</v>
        <stp/>
        <stp>##V3_BDHV12</stp>
        <stp>CL1 Comdty</stp>
        <stp>30DAY_IMPVOL_95.0%MNY_DF</stp>
        <stp>01/03/2016</stp>
        <stp>01/03/2016</stp>
        <stp>[Bbg_Market_Data_CL.xlsm]data!R278C21</stp>
        <tr r="U278" s="1"/>
      </tp>
      <tp t="s">
        <v>#N/A Requesting Data...</v>
        <stp/>
        <stp>##V3_BDHV12</stp>
        <stp>CL1 Comdty</stp>
        <stp>30DAY_IMPVOL_95.0%MNY_DF</stp>
        <stp>24/07/2015</stp>
        <stp>24/07/2015</stp>
        <stp>[Bbg_Market_Data_CL.xlsm]data!R426C21</stp>
        <tr r="U426" s="1"/>
      </tp>
      <tp t="s">
        <v>#N/A Requesting Data...</v>
        <stp/>
        <stp>##V3_BDHV12</stp>
        <stp>CL1 Comdty</stp>
        <stp>30DAY_IMPVOL_95.0%MNY_DF</stp>
        <stp>03/12/2015</stp>
        <stp>03/12/2015</stp>
        <stp>[Bbg_Market_Data_CL.xlsm]data!R336C21</stp>
        <tr r="U336" s="1"/>
      </tp>
      <tp t="s">
        <v>#N/A Requesting Data...</v>
        <stp/>
        <stp>##V3_BDHV12</stp>
        <stp>CL1 Comdty</stp>
        <stp>30DAY_IMPVOL_95.0%MNY_DF</stp>
        <stp>04/05/2015</stp>
        <stp>04/05/2015</stp>
        <stp>[Bbg_Market_Data_CL.xlsm]data!R483C21</stp>
        <tr r="U483" s="1"/>
      </tp>
      <tp t="s">
        <v>#N/A Requesting Data...</v>
        <stp/>
        <stp>##V3_BDHV12</stp>
        <stp>CL1 Comdty</stp>
        <stp>30DAY_IMPVOL_95.0%MNY_DF</stp>
        <stp>11/02/2016</stp>
        <stp>11/02/2016</stp>
        <stp>[Bbg_Market_Data_CL.xlsm]data!R289C21</stp>
        <tr r="U289" s="1"/>
      </tp>
      <tp t="s">
        <v>#N/A Requesting Data...</v>
        <stp/>
        <stp>##V3_BDHV12</stp>
        <stp>CL1 Comdty</stp>
        <stp>30DAY_IMPVOL_95.0%MNY_DF</stp>
        <stp>14/04/2015</stp>
        <stp>14/04/2015</stp>
        <stp>[Bbg_Market_Data_CL.xlsm]data!R497C21</stp>
        <tr r="U497" s="1"/>
      </tp>
      <tp t="s">
        <v>#N/A Requesting Data...</v>
        <stp/>
        <stp>##V3_BDHV12</stp>
        <stp>SPGSCLP Index</stp>
        <stp>CHG_PCT_5D</stp>
        <stp>13/06/2016</stp>
        <stp>13/06/2016</stp>
        <stp>[Bbg_Market_Data_CL.xlsm]data!R207C4</stp>
        <tr r="D207" s="1"/>
      </tp>
      <tp t="s">
        <v>#N/A Requesting Data...</v>
        <stp/>
        <stp>##V3_BDHV12</stp>
        <stp>SPGSCLP Index</stp>
        <stp>CHG_PCT_1D</stp>
        <stp>13/06/2016</stp>
        <stp>13/06/2016</stp>
        <stp>[Bbg_Market_Data_CL.xlsm]data!R207C3</stp>
        <tr r="C207" s="1"/>
      </tp>
      <tp t="s">
        <v>#N/A Requesting Data...</v>
        <stp/>
        <stp>##V3_BDHV12</stp>
        <stp>CL1 Comdty</stp>
        <stp>30DAY_IMPVOL_95.0%MNY_DF</stp>
        <stp>25/06/2015</stp>
        <stp>25/06/2015</stp>
        <stp>[Bbg_Market_Data_CL.xlsm]data!R446C21</stp>
        <tr r="U446" s="1"/>
      </tp>
      <tp t="s">
        <v>#N/A Requesting Data...</v>
        <stp/>
        <stp>##V3_BDHV12</stp>
        <stp>CL1 Comdty</stp>
        <stp>30DAY_IMPVOL_95.0%MNY_DF</stp>
        <stp>15/05/2015</stp>
        <stp>15/05/2015</stp>
        <stp>[Bbg_Market_Data_CL.xlsm]data!R474C21</stp>
        <tr r="U474" s="1"/>
      </tp>
      <tp t="s">
        <v>#N/A Requesting Data...</v>
        <stp/>
        <stp>##V3_BDHV12</stp>
        <stp>CL1 Comdty</stp>
        <stp>30DAY_IMPVOL_95.0%MNY_DF</stp>
        <stp>10/03/2016</stp>
        <stp>10/03/2016</stp>
        <stp>[Bbg_Market_Data_CL.xlsm]data!R271C21</stp>
        <tr r="U271" s="1"/>
      </tp>
      <tp t="s">
        <v>#N/A Requesting Data...</v>
        <stp/>
        <stp>##V3_BDHV12</stp>
        <stp>CL1 Comdty</stp>
        <stp>30DAY_IMPVOL_95.0%MNY_DF</stp>
        <stp>21/01/2016</stp>
        <stp>21/01/2016</stp>
        <stp>[Bbg_Market_Data_CL.xlsm]data!R304C21</stp>
        <tr r="U304" s="1"/>
      </tp>
      <tp t="s">
        <v>#N/A Requesting Data...</v>
        <stp/>
        <stp>##V3_BDHV12</stp>
        <stp>CL1 Comdty</stp>
        <stp>30DAY_IMPVOL_95.0%MNY_DF</stp>
        <stp>03/11/2016</stp>
        <stp>03/11/2016</stp>
        <stp>[Bbg_Market_Data_CL.xlsm]data!R107C21</stp>
        <tr r="U107" s="1"/>
      </tp>
      <tp t="s">
        <v>#N/A Requesting Data...</v>
        <stp/>
        <stp>##V3_BDHV12</stp>
        <stp>CL1 Comdty</stp>
        <stp>30DAY_IMPVOL_90.0%MNY_DF</stp>
        <stp>15/06/2016</stp>
        <stp>15/06/2016</stp>
        <stp>[Bbg_Market_Data_CL.xlsm]data!R204C23</stp>
        <tr r="W204" s="1"/>
      </tp>
      <tp t="s">
        <v>#N/A Requesting Data...</v>
        <stp/>
        <stp>##V3_BDHV12</stp>
        <stp>CL1 Comdty</stp>
        <stp>30DAY_IMPVOL_95.0%MNY_DF</stp>
        <stp>13/10/2016</stp>
        <stp>13/10/2016</stp>
        <stp>[Bbg_Market_Data_CL.xlsm]data!R122C21</stp>
        <tr r="U122" s="1"/>
      </tp>
      <tp t="s">
        <v>#N/A Requesting Data...</v>
        <stp/>
        <stp>##V3_BDHV12</stp>
        <stp>CL1 Comdty</stp>
        <stp>30DAY_IMPVOL_90.0%MNY_DF</stp>
        <stp>25/05/2016</stp>
        <stp>25/05/2016</stp>
        <stp>[Bbg_Market_Data_CL.xlsm]data!R218C23</stp>
        <tr r="W218" s="1"/>
      </tp>
      <tp t="s">
        <v>#N/A Requesting Data...</v>
        <stp/>
        <stp>##V3_BDHV12</stp>
        <stp>SPGSCLP Index</stp>
        <stp>CHG_PCT_1D</stp>
        <stp>27/10/2016</stp>
        <stp>27/10/2016</stp>
        <stp>[Bbg_Market_Data_CL.xlsm]data!R113C3</stp>
        <tr r="C113" s="1"/>
      </tp>
      <tp t="s">
        <v>#N/A Requesting Data...</v>
        <stp/>
        <stp>##V3_BDHV12</stp>
        <stp>SPGSCLP Index</stp>
        <stp>CHG_PCT_1D</stp>
        <stp>11/06/2015</stp>
        <stp>11/06/2015</stp>
        <stp>[Bbg_Market_Data_CL.xlsm]data!R457C3</stp>
        <tr r="C457" s="1"/>
      </tp>
      <tp t="s">
        <v>#N/A Requesting Data...</v>
        <stp/>
        <stp>##V3_BDHV12</stp>
        <stp>SPGSCLP Index</stp>
        <stp>CHG_PCT_5D</stp>
        <stp>25/11/2015</stp>
        <stp>25/11/2015</stp>
        <stp>[Bbg_Market_Data_CL.xlsm]data!R342C4</stp>
        <tr r="D342" s="1"/>
      </tp>
      <tp t="s">
        <v>#N/A Requesting Data...</v>
        <stp/>
        <stp>##V3_BDHV12</stp>
        <stp>SPGSCLP Index</stp>
        <stp>CHG_PCT_5D</stp>
        <stp>15/11/2016</stp>
        <stp>15/11/2016</stp>
        <stp>[Bbg_Market_Data_CL.xlsm]data!R101C4</stp>
        <tr r="D101" s="1"/>
      </tp>
      <tp t="s">
        <v>#N/A Requesting Data...</v>
        <stp/>
        <stp>##V3_BDHV12</stp>
        <stp>SPGSCLP Index</stp>
        <stp>CHG_PCT_1D</stp>
        <stp>15/11/2016</stp>
        <stp>15/11/2016</stp>
        <stp>[Bbg_Market_Data_CL.xlsm]data!R101C3</stp>
        <tr r="C101" s="1"/>
      </tp>
      <tp t="s">
        <v>#N/A Requesting Data...</v>
        <stp/>
        <stp>##V3_BDHV12</stp>
        <stp>SPGSCLP Index</stp>
        <stp>CHG_PCT_5D</stp>
        <stp>27/10/2016</stp>
        <stp>27/10/2016</stp>
        <stp>[Bbg_Market_Data_CL.xlsm]data!R113C4</stp>
        <tr r="D113" s="1"/>
      </tp>
      <tp t="s">
        <v>#N/A Requesting Data...</v>
        <stp/>
        <stp>##V3_BDHV12</stp>
        <stp>SPGSCLP Index</stp>
        <stp>CHG_PCT_1D</stp>
        <stp>25/11/2015</stp>
        <stp>25/11/2015</stp>
        <stp>[Bbg_Market_Data_CL.xlsm]data!R342C3</stp>
        <tr r="C342" s="1"/>
      </tp>
      <tp t="s">
        <v>#N/A Requesting Data...</v>
        <stp/>
        <stp>##V3_BDHV12</stp>
        <stp>SPGSCLP Index</stp>
        <stp>CHG_PCT_5D</stp>
        <stp>11/06/2015</stp>
        <stp>11/06/2015</stp>
        <stp>[Bbg_Market_Data_CL.xlsm]data!R457C4</stp>
        <tr r="D457" s="1"/>
      </tp>
      <tp t="s">
        <v>#N/A Requesting Data...</v>
        <stp/>
        <stp>##V3_BDHV12</stp>
        <stp>SPGSCLP Index</stp>
        <stp>CHG_PCT_1D</stp>
        <stp>13/07/2016</stp>
        <stp>13/07/2016</stp>
        <stp>[Bbg_Market_Data_CL.xlsm]data!R186C3</stp>
        <tr r="C186" s="1"/>
      </tp>
      <tp t="s">
        <v>#N/A Requesting Data...</v>
        <stp/>
        <stp>##V3_BDHV12</stp>
        <stp>SPGSCLP Index</stp>
        <stp>CHG_PCT_5D</stp>
        <stp>13/07/2016</stp>
        <stp>13/07/2016</stp>
        <stp>[Bbg_Market_Data_CL.xlsm]data!R186C4</stp>
        <tr r="D186" s="1"/>
      </tp>
      <tp t="s">
        <v>#N/A Requesting Data...</v>
        <stp/>
        <stp>##V3_BDHV12</stp>
        <stp>CL1 Comdty</stp>
        <stp>30DAY_IMPVOL_95.0%MNY_DF</stp>
        <stp>06/07/2015</stp>
        <stp>06/07/2015</stp>
        <stp>[Bbg_Market_Data_CL.xlsm]data!R440C21</stp>
        <tr r="U440" s="1"/>
      </tp>
      <tp t="s">
        <v>#N/A Requesting Data...</v>
        <stp/>
        <stp>##V3_BDHV12</stp>
        <stp>CL1 Comdty</stp>
        <stp>30DAY_IMPVOL_95.0%MNY_DF</stp>
        <stp>16/06/2015</stp>
        <stp>16/06/2015</stp>
        <stp>[Bbg_Market_Data_CL.xlsm]data!R453C21</stp>
        <tr r="U453" s="1"/>
      </tp>
      <tp t="s">
        <v>#N/A Requesting Data...</v>
        <stp/>
        <stp>##V3_BDHV12</stp>
        <stp>CL1 Comdty</stp>
        <stp>30DAY_IMPVOL_95.0%MNY_DF</stp>
        <stp>23/03/2016</stp>
        <stp>23/03/2016</stp>
        <stp>[Bbg_Market_Data_CL.xlsm]data!R262C21</stp>
        <tr r="U262" s="1"/>
      </tp>
      <tp t="s">
        <v>#N/A Requesting Data...</v>
        <stp/>
        <stp>##V3_BDHV12</stp>
        <stp>CL1 Comdty</stp>
        <stp>30DAY_IMPVOL_95.0%MNY_DF</stp>
        <stp>01/10/2015</stp>
        <stp>01/10/2015</stp>
        <stp>[Bbg_Market_Data_CL.xlsm]data!R378C21</stp>
        <tr r="U378" s="1"/>
      </tp>
      <tp t="s">
        <v>#N/A Requesting Data...</v>
        <stp/>
        <stp>##V3_BDHV12</stp>
        <stp>CL1 Comdty</stp>
        <stp>30DAY_IMPVOL_95.0%MNY_DF</stp>
        <stp>26/05/2015</stp>
        <stp>26/05/2015</stp>
        <stp>[Bbg_Market_Data_CL.xlsm]data!R468C21</stp>
        <tr r="U468" s="1"/>
      </tp>
      <tp t="s">
        <v>#N/A Requesting Data...</v>
        <stp/>
        <stp>##V3_BDHV12</stp>
        <stp>CL1 Comdty</stp>
        <stp>30DAY_IMPVOL_90.0%MNY_DF</stp>
        <stp>06/04/2016</stp>
        <stp>06/04/2016</stp>
        <stp>[Bbg_Market_Data_CL.xlsm]data!R253C23</stp>
        <tr r="W253" s="1"/>
      </tp>
      <tp t="s">
        <v>#N/A Requesting Data...</v>
        <stp/>
        <stp>##V3_BDHV12</stp>
        <stp>CL1 Comdty</stp>
        <stp>30DAY_IMPVOL_90.0%MNY_DF</stp>
        <stp>16/05/2016</stp>
        <stp>16/05/2016</stp>
        <stp>[Bbg_Market_Data_CL.xlsm]data!R225C23</stp>
        <tr r="W225" s="1"/>
      </tp>
      <tp t="s">
        <v>#N/A Requesting Data...</v>
        <stp/>
        <stp>##V3_BDHV12</stp>
        <stp>CL1 Comdty</stp>
        <stp>30DAY_IMPVOL_95.0%MNY_DF</stp>
        <stp>20/10/2016</stp>
        <stp>20/10/2016</stp>
        <stp>[Bbg_Market_Data_CL.xlsm]data!R117C21</stp>
        <tr r="U117" s="1"/>
      </tp>
      <tp t="s">
        <v>#N/A Requesting Data...</v>
        <stp/>
        <stp>##V3_BDHV12</stp>
        <stp>CL1 Comdty</stp>
        <stp>30DAY_IMPVOL_95.0%MNY_DF</stp>
        <stp>12/01/2016</stp>
        <stp>12/01/2016</stp>
        <stp>[Bbg_Market_Data_CL.xlsm]data!R310C21</stp>
        <tr r="U310" s="1"/>
      </tp>
      <tp t="s">
        <v>#N/A Requesting Data...</v>
        <stp/>
        <stp>##V3_BDHV12</stp>
        <stp>CL1 Comdty</stp>
        <stp>30DAY_IMPVOL_95.0%MNY_DF</stp>
        <stp>21/12/2015</stp>
        <stp>21/12/2015</stp>
        <stp>[Bbg_Market_Data_CL.xlsm]data!R324C21</stp>
        <tr r="U324" s="1"/>
      </tp>
      <tp t="s">
        <v>#N/A Requesting Data...</v>
        <stp/>
        <stp>##V3_BDHV12</stp>
        <stp>CL1 Comdty</stp>
        <stp>30DAY_IMPVOL_90.0%MNY_DF</stp>
        <stp>05/07/2016</stp>
        <stp>05/07/2016</stp>
        <stp>[Bbg_Market_Data_CL.xlsm]data!R191C23</stp>
        <tr r="W191" s="1"/>
      </tp>
      <tp t="s">
        <v>#N/A Requesting Data...</v>
        <stp/>
        <stp>##V3_BDHV12</stp>
        <stp>SPGSCLP Index</stp>
        <stp>CHG_PCT_1D</stp>
        <stp>25/01/2016</stp>
        <stp>25/01/2016</stp>
        <stp>[Bbg_Market_Data_CL.xlsm]data!R303C3</stp>
        <tr r="C303" s="1"/>
      </tp>
      <tp t="s">
        <v>#N/A Requesting Data...</v>
        <stp/>
        <stp>##V3_BDHV12</stp>
        <stp>SPGSCLP Index</stp>
        <stp>CHG_PCT_5D</stp>
        <stp>13/07/2015</stp>
        <stp>13/07/2015</stp>
        <stp>[Bbg_Market_Data_CL.xlsm]data!R436C4</stp>
        <tr r="D436" s="1"/>
      </tp>
      <tp t="s">
        <v>#N/A Requesting Data...</v>
        <stp/>
        <stp>##V3_BDHV12</stp>
        <stp>SPGSCLP Index</stp>
        <stp>CHG_PCT_1D</stp>
        <stp>13/07/2015</stp>
        <stp>13/07/2015</stp>
        <stp>[Bbg_Market_Data_CL.xlsm]data!R436C3</stp>
        <tr r="C436" s="1"/>
      </tp>
      <tp t="s">
        <v>#N/A Requesting Data...</v>
        <stp/>
        <stp>##V3_BDHV12</stp>
        <stp>SPGSCLP Index</stp>
        <stp>CHG_PCT_5D</stp>
        <stp>25/01/2016</stp>
        <stp>25/01/2016</stp>
        <stp>[Bbg_Market_Data_CL.xlsm]data!R303C4</stp>
        <tr r="D303" s="1"/>
      </tp>
      <tp t="s">
        <v>#N/A Requesting Data...</v>
        <stp/>
        <stp>##V3_BDHV12</stp>
        <stp>SPGSCLP Index</stp>
        <stp>CHG_PCT_5D</stp>
        <stp>03/05/2016</stp>
        <stp>03/05/2016</stp>
        <stp>[Bbg_Market_Data_CL.xlsm]data!R235C4</stp>
        <tr r="D235" s="1"/>
      </tp>
      <tp t="s">
        <v>#N/A Requesting Data...</v>
        <stp/>
        <stp>##V3_BDHV12</stp>
        <stp>SPGSCLP Index</stp>
        <stp>CHG_PCT_1D</stp>
        <stp>03/05/2016</stp>
        <stp>03/05/2016</stp>
        <stp>[Bbg_Market_Data_CL.xlsm]data!R235C3</stp>
        <tr r="C235" s="1"/>
      </tp>
      <tp t="s">
        <v>#N/A Requesting Data...</v>
        <stp/>
        <stp>##V3_BDHV12</stp>
        <stp>CL1 Comdty</stp>
        <stp>30DAY_IMPVOL_95.0%MNY_DF</stp>
        <stp>31/10/2016</stp>
        <stp>31/10/2016</stp>
        <stp>[Bbg_Market_Data_CL.xlsm]data!R110C21</stp>
        <tr r="U110" s="1"/>
      </tp>
      <tp t="s">
        <v>#N/A Requesting Data...</v>
        <stp/>
        <stp>##V3_BDHV12</stp>
        <stp>CL1 Comdty</stp>
        <stp>30DAY_IMPVOL_95.0%MNY_DF</stp>
        <stp>30/12/2015</stp>
        <stp>30/12/2015</stp>
        <stp>[Bbg_Market_Data_CL.xlsm]data!R318C21</stp>
        <tr r="U318" s="1"/>
      </tp>
      <tp t="s">
        <v>#N/A Requesting Data...</v>
        <stp/>
        <stp>##V3_BDHV12</stp>
        <stp>CL1 Comdty</stp>
        <stp>30DAY_IMPVOL_95.0%MNY_DF</stp>
        <stp>17/07/2015</stp>
        <stp>17/07/2015</stp>
        <stp>[Bbg_Market_Data_CL.xlsm]data!R431C21</stp>
        <tr r="U431" s="1"/>
      </tp>
      <tp t="s">
        <v>#N/A Requesting Data...</v>
        <stp/>
        <stp>##V3_BDHV12</stp>
        <stp>CL1 Comdty</stp>
        <stp>30DAY_IMPVOL_95.0%MNY_DF</stp>
        <stp>22/02/2016</stp>
        <stp>22/02/2016</stp>
        <stp>[Bbg_Market_Data_CL.xlsm]data!R284C21</stp>
        <tr r="U284" s="1"/>
      </tp>
      <tp t="s">
        <v>#N/A Requesting Data...</v>
        <stp/>
        <stp>##V3_BDHV12</stp>
        <stp>CL1 Comdty</stp>
        <stp>30DAY_IMPVOL_95.0%MNY_DF</stp>
        <stp>27/04/2015</stp>
        <stp>27/04/2015</stp>
        <stp>[Bbg_Market_Data_CL.xlsm]data!R488C21</stp>
        <tr r="U488" s="1"/>
      </tp>
      <tp t="s">
        <v>#N/A Requesting Data...</v>
        <stp/>
        <stp>##V3_BDHV12</stp>
        <stp>CL1 Comdty</stp>
        <stp>30DAY_IMPVOL_90.0%MNY_DF</stp>
        <stp>14/07/2016</stp>
        <stp>14/07/2016</stp>
        <stp>[Bbg_Market_Data_CL.xlsm]data!R184C23</stp>
        <tr r="W184" s="1"/>
      </tp>
      <tp t="s">
        <v>#N/A Requesting Data...</v>
        <stp/>
        <stp>##V3_BDHV12</stp>
        <stp>SPGSCLP Index</stp>
        <stp>CHG_PCT_1D</stp>
        <stp>01/05/2015</stp>
        <stp>01/05/2015</stp>
        <stp>[Bbg_Market_Data_CL.xlsm]data!R485C3</stp>
        <tr r="C485" s="1"/>
      </tp>
      <tp t="s">
        <v>#N/A Requesting Data...</v>
        <stp/>
        <stp>##V3_BDHV12</stp>
        <stp>SPGSCLP Index</stp>
        <stp>CHG_PCT_1D</stp>
        <stp>26/10/2015</stp>
        <stp>26/10/2015</stp>
        <stp>[Bbg_Market_Data_CL.xlsm]data!R363C3</stp>
        <tr r="C363" s="1"/>
      </tp>
      <tp t="s">
        <v>#N/A Requesting Data...</v>
        <stp/>
        <stp>##V3_BDHV12</stp>
        <stp>SPGSCLP Index</stp>
        <stp>CHG_PCT_5D</stp>
        <stp>15/10/2015</stp>
        <stp>15/10/2015</stp>
        <stp>[Bbg_Market_Data_CL.xlsm]data!R370C4</stp>
        <tr r="D370" s="1"/>
      </tp>
      <tp t="s">
        <v>#N/A Requesting Data...</v>
        <stp/>
        <stp>##V3_BDHV12</stp>
        <stp>SPGSCLP Index</stp>
        <stp>CHG_PCT_5D</stp>
        <stp>01/05/2015</stp>
        <stp>01/05/2015</stp>
        <stp>[Bbg_Market_Data_CL.xlsm]data!R485C4</stp>
        <tr r="D485" s="1"/>
      </tp>
      <tp t="s">
        <v>#N/A Requesting Data...</v>
        <stp/>
        <stp>##V3_BDHV12</stp>
        <stp>SPGSCLP Index</stp>
        <stp>CHG_PCT_5D</stp>
        <stp>26/10/2015</stp>
        <stp>26/10/2015</stp>
        <stp>[Bbg_Market_Data_CL.xlsm]data!R363C4</stp>
        <tr r="D363" s="1"/>
      </tp>
      <tp t="s">
        <v>#N/A Requesting Data...</v>
        <stp/>
        <stp>##V3_BDHV12</stp>
        <stp>SPGSCLP Index</stp>
        <stp>CHG_PCT_1D</stp>
        <stp>15/10/2015</stp>
        <stp>15/10/2015</stp>
        <stp>[Bbg_Market_Data_CL.xlsm]data!R370C3</stp>
        <tr r="C370" s="1"/>
      </tp>
      <tp t="s">
        <v>#N/A Requesting Data...</v>
        <stp/>
        <stp>##V3_BDHV12</stp>
        <stp>SPGSCLP Index</stp>
        <stp>CHG_PCT_1D</stp>
        <stp>31/05/2016</stp>
        <stp>31/05/2016</stp>
        <stp>[Bbg_Market_Data_CL.xlsm]data!R216C3</stp>
        <tr r="C216" s="1"/>
      </tp>
      <tp t="s">
        <v>#N/A Requesting Data...</v>
        <stp/>
        <stp>##V3_BDHV12</stp>
        <stp>SPGSCLP Index</stp>
        <stp>CHG_PCT_5D</stp>
        <stp>31/05/2016</stp>
        <stp>31/05/2016</stp>
        <stp>[Bbg_Market_Data_CL.xlsm]data!R216C4</stp>
        <tr r="D216" s="1"/>
      </tp>
      <tp t="s">
        <v>#N/A Requesting Data...</v>
        <stp/>
        <stp>##V3_BDHV12</stp>
        <stp>CL1 Comdty</stp>
        <stp>30DAY_IMPVOL_95.0%MNY_DF</stp>
        <stp>18/08/2015</stp>
        <stp>18/08/2015</stp>
        <stp>[Bbg_Market_Data_CL.xlsm]data!R409C21</stp>
        <tr r="U409" s="1"/>
      </tp>
      <tp t="s">
        <v>#N/A Requesting Data...</v>
        <stp/>
        <stp>##V3_BDHV12</stp>
        <stp>SPGSCLP Index</stp>
        <stp>CHG_PCT_5D</stp>
        <stp>09/12/2015</stp>
        <stp>09/12/2015</stp>
        <stp>[Bbg_Market_Data_CL.xlsm]data!R333C4</stp>
        <tr r="D333" s="1"/>
      </tp>
      <tp t="s">
        <v>#N/A Requesting Data...</v>
        <stp/>
        <stp>##V3_BDHV12</stp>
        <stp>SPGSCLP Index</stp>
        <stp>CHG_PCT_1D</stp>
        <stp>09/12/2015</stp>
        <stp>09/12/2015</stp>
        <stp>[Bbg_Market_Data_CL.xlsm]data!R333C3</stp>
        <tr r="C333" s="1"/>
      </tp>
      <tp t="s">
        <v>#N/A Requesting Data...</v>
        <stp/>
        <stp>##V3_BDHV12</stp>
        <stp>SPGSCLP Index</stp>
        <stp>CHG_PCT_1D</stp>
        <stp>02/09/2015</stp>
        <stp>02/09/2015</stp>
        <stp>[Bbg_Market_Data_CL.xlsm]data!R399C3</stp>
        <tr r="C399" s="1"/>
      </tp>
      <tp t="s">
        <v>#N/A Requesting Data...</v>
        <stp/>
        <stp>##V3_BDHV12</stp>
        <stp>SPGSCLP Index</stp>
        <stp>CHG_PCT_5D</stp>
        <stp>02/09/2015</stp>
        <stp>02/09/2015</stp>
        <stp>[Bbg_Market_Data_CL.xlsm]data!R399C4</stp>
        <tr r="D399" s="1"/>
      </tp>
      <tp t="s">
        <v>#N/A Requesting Data...</v>
        <stp/>
        <stp>##V3_BDHV12</stp>
        <stp>SPGSCLP Index</stp>
        <stp>CHG_PCT_5D</stp>
        <stp>18/10/2016</stp>
        <stp>18/10/2016</stp>
        <stp>[Bbg_Market_Data_CL.xlsm]data!R120C4</stp>
        <tr r="D120" s="1"/>
      </tp>
      <tp t="s">
        <v>#N/A Requesting Data...</v>
        <stp/>
        <stp>##V3_BDHV12</stp>
        <stp>SPGSCLP Index</stp>
        <stp>CHG_PCT_1D</stp>
        <stp>28/03/2016</stp>
        <stp>28/03/2016</stp>
        <stp>[Bbg_Market_Data_CL.xlsm]data!R261C3</stp>
        <tr r="C261" s="1"/>
      </tp>
      <tp t="s">
        <v>#N/A Requesting Data...</v>
        <stp/>
        <stp>##V3_BDHV12</stp>
        <stp>SPGSCLP Index</stp>
        <stp>CHG_PCT_1D</stp>
        <stp>29/02/2016</stp>
        <stp>29/02/2016</stp>
        <stp>[Bbg_Market_Data_CL.xlsm]data!R280C3</stp>
        <tr r="C280" s="1"/>
      </tp>
      <tp t="s">
        <v>#N/A Requesting Data...</v>
        <stp/>
        <stp>##V3_BDHV12</stp>
        <stp>SPGSCLP Index</stp>
        <stp>CHG_PCT_5D</stp>
        <stp>29/02/2016</stp>
        <stp>29/02/2016</stp>
        <stp>[Bbg_Market_Data_CL.xlsm]data!R280C4</stp>
        <tr r="D280" s="1"/>
      </tp>
      <tp t="s">
        <v>#N/A Requesting Data...</v>
        <stp/>
        <stp>##V3_BDHV12</stp>
        <stp>SPGSCLP Index</stp>
        <stp>CHG_PCT_1D</stp>
        <stp>18/10/2016</stp>
        <stp>18/10/2016</stp>
        <stp>[Bbg_Market_Data_CL.xlsm]data!R120C3</stp>
        <tr r="C120" s="1"/>
      </tp>
      <tp t="s">
        <v>#N/A Requesting Data...</v>
        <stp/>
        <stp>##V3_BDHV12</stp>
        <stp>SPGSCLP Index</stp>
        <stp>CHG_PCT_5D</stp>
        <stp>28/03/2016</stp>
        <stp>28/03/2016</stp>
        <stp>[Bbg_Market_Data_CL.xlsm]data!R261C4</stp>
        <tr r="D261" s="1"/>
      </tp>
      <tp t="s">
        <v>#N/A Requesting Data...</v>
        <stp/>
        <stp>##V3_BDHV12</stp>
        <stp>CL1 Comdty</stp>
        <stp>30DAY_IMPVOL_90.0%MNY_DF</stp>
        <stp>29/09/2016</stp>
        <stp>29/09/2016</stp>
        <stp>[Bbg_Market_Data_CL.xlsm]data!R131C23</stp>
        <tr r="W131" s="1"/>
      </tp>
      <tp t="s">
        <v>#N/A Requesting Data...</v>
        <stp/>
        <stp>##V3_BDHV12</stp>
        <stp>CL1 Comdty</stp>
        <stp>30DAY_IMPVOL_90.0%MNY_DF</stp>
        <stp>08/09/2015</stp>
        <stp>08/09/2015</stp>
        <stp>[Bbg_Market_Data_CL.xlsm]data!R395C23</stp>
        <tr r="W395" s="1"/>
      </tp>
      <tp t="s">
        <v>#N/A Requesting Data...</v>
        <stp/>
        <stp>##V3_BDHV12</stp>
        <stp>SPGSCLP Index</stp>
        <stp>CHG_PCT_1D</stp>
        <stp>09/03/2016</stp>
        <stp>09/03/2016</stp>
        <stp>[Bbg_Market_Data_CL.xlsm]data!R273C3</stp>
        <tr r="C273" s="1"/>
      </tp>
      <tp t="s">
        <v>#N/A Requesting Data...</v>
        <stp/>
        <stp>##V3_BDHV12</stp>
        <stp>SPGSCLP Index</stp>
        <stp>CHG_PCT_5D</stp>
        <stp>09/03/2016</stp>
        <stp>09/03/2016</stp>
        <stp>[Bbg_Market_Data_CL.xlsm]data!R273C4</stp>
        <tr r="D273" s="1"/>
      </tp>
      <tp t="s">
        <v>#N/A Requesting Data...</v>
        <stp/>
        <stp>##V3_BDHV12</stp>
        <stp>SPGSCLP Index</stp>
        <stp>CHG_PCT_1D</stp>
        <stp>09/02/2016</stp>
        <stp>09/02/2016</stp>
        <stp>[Bbg_Market_Data_CL.xlsm]data!R292C3</stp>
        <tr r="C292" s="1"/>
      </tp>
      <tp t="s">
        <v>#N/A Requesting Data...</v>
        <stp/>
        <stp>##V3_BDHV12</stp>
        <stp>SPGSCLP Index</stp>
        <stp>CHG_PCT_5D</stp>
        <stp>28/12/2015</stp>
        <stp>28/12/2015</stp>
        <stp>[Bbg_Market_Data_CL.xlsm]data!R321C4</stp>
        <tr r="D321" s="1"/>
      </tp>
      <tp t="s">
        <v>#N/A Requesting Data...</v>
        <stp/>
        <stp>##V3_BDHV12</stp>
        <stp>SPGSCLP Index</stp>
        <stp>CHG_PCT_5D</stp>
        <stp>09/02/2016</stp>
        <stp>09/02/2016</stp>
        <stp>[Bbg_Market_Data_CL.xlsm]data!R292C4</stp>
        <tr r="D292" s="1"/>
      </tp>
      <tp t="s">
        <v>#N/A Requesting Data...</v>
        <stp/>
        <stp>##V3_BDHV12</stp>
        <stp>SPGSCLP Index</stp>
        <stp>CHG_PCT_1D</stp>
        <stp>28/12/2015</stp>
        <stp>28/12/2015</stp>
        <stp>[Bbg_Market_Data_CL.xlsm]data!R321C3</stp>
        <tr r="C321" s="1"/>
      </tp>
      <tp t="s">
        <v>#N/A Requesting Data...</v>
        <stp/>
        <stp>##V3_BDHV12</stp>
        <stp>SPGSCLP Index</stp>
        <stp>CHG_PCT_1D</stp>
        <stp>28/05/2015</stp>
        <stp>28/05/2015</stp>
        <stp>[Bbg_Market_Data_CL.xlsm]data!R467C3</stp>
        <tr r="C467" s="1"/>
      </tp>
      <tp t="s">
        <v>#N/A Requesting Data...</v>
        <stp/>
        <stp>##V3_BDHV12</stp>
        <stp>SPGSCLP Index</stp>
        <stp>CHG_PCT_5D</stp>
        <stp>28/05/2015</stp>
        <stp>28/05/2015</stp>
        <stp>[Bbg_Market_Data_CL.xlsm]data!R467C4</stp>
        <tr r="D467" s="1"/>
      </tp>
      <tp t="s">
        <v>#N/A Requesting Data...</v>
        <stp/>
        <stp>##V3_BDHV12</stp>
        <stp>SPGSCLP Index</stp>
        <stp>CHG_PCT_1D</stp>
        <stp>18/05/2016</stp>
        <stp>18/05/2016</stp>
        <stp>[Bbg_Market_Data_CL.xlsm]data!R224C3</stp>
        <tr r="C224" s="1"/>
      </tp>
      <tp t="s">
        <v>#N/A Requesting Data...</v>
        <stp/>
        <stp>##V3_BDHV12</stp>
        <stp>SPGSCLP Index</stp>
        <stp>CHG_PCT_1D</stp>
        <stp>19/04/2016</stp>
        <stp>19/04/2016</stp>
        <stp>[Bbg_Market_Data_CL.xlsm]data!R245C3</stp>
        <tr r="C245" s="1"/>
      </tp>
      <tp t="s">
        <v>#N/A Requesting Data...</v>
        <stp/>
        <stp>##V3_BDHV12</stp>
        <stp>SPGSCLP Index</stp>
        <stp>CHG_PCT_5D</stp>
        <stp>19/04/2016</stp>
        <stp>19/04/2016</stp>
        <stp>[Bbg_Market_Data_CL.xlsm]data!R245C4</stp>
        <tr r="D245" s="1"/>
      </tp>
      <tp t="s">
        <v>#N/A Requesting Data...</v>
        <stp/>
        <stp>##V3_BDHV12</stp>
        <stp>SPGSCLP Index</stp>
        <stp>CHG_PCT_5D</stp>
        <stp>18/05/2016</stp>
        <stp>18/05/2016</stp>
        <stp>[Bbg_Market_Data_CL.xlsm]data!R224C4</stp>
        <tr r="D224" s="1"/>
      </tp>
      <tp t="s">
        <v>#N/A Requesting Data...</v>
        <stp/>
        <stp>##V3_BDHV12</stp>
        <stp>CL1 Comdty</stp>
        <stp>30DAY_IMPVOL_90.0%MNY_DF</stp>
        <stp>18/08/2015</stp>
        <stp>18/08/2015</stp>
        <stp>[Bbg_Market_Data_CL.xlsm]data!R409C23</stp>
        <tr r="W409" s="1"/>
      </tp>
      <tp t="s">
        <v>#N/A Requesting Data...</v>
        <stp/>
        <stp>##V3_BDHV12</stp>
        <stp>SPGSCLP Index</stp>
        <stp>CHG_PCT_5D</stp>
        <stp>28/07/2016</stp>
        <stp>28/07/2016</stp>
        <stp>[Bbg_Market_Data_CL.xlsm]data!R175C4</stp>
        <tr r="D175" s="1"/>
      </tp>
      <tp t="s">
        <v>#N/A Requesting Data...</v>
        <stp/>
        <stp>##V3_BDHV12</stp>
        <stp>SPGSCLP Index</stp>
        <stp>CHG_PCT_1D</stp>
        <stp>28/07/2016</stp>
        <stp>28/07/2016</stp>
        <stp>[Bbg_Market_Data_CL.xlsm]data!R175C3</stp>
        <tr r="C175" s="1"/>
      </tp>
      <tp t="s">
        <v>#N/A Requesting Data...</v>
        <stp/>
        <stp>##V3_BDHV12</stp>
        <stp>SPGSCLP Index</stp>
        <stp>CHG_PCT_5D</stp>
        <stp>06/08/2015</stp>
        <stp>06/08/2015</stp>
        <stp>[Bbg_Market_Data_CL.xlsm]data!R418C4</stp>
        <tr r="D418" s="1"/>
      </tp>
      <tp t="s">
        <v>#N/A Requesting Data...</v>
        <stp/>
        <stp>##V3_BDHV12</stp>
        <stp>SPGSCLP Index</stp>
        <stp>CHG_PCT_1D</stp>
        <stp>06/08/2015</stp>
        <stp>06/08/2015</stp>
        <stp>[Bbg_Market_Data_CL.xlsm]data!R418C3</stp>
        <tr r="C418" s="1"/>
      </tp>
      <tp t="s">
        <v>#N/A Requesting Data...</v>
        <stp/>
        <stp>##V3_BDHV12</stp>
        <stp>SPGSCLP Index</stp>
        <stp>CHG_PCT_1D</stp>
        <stp>28/07/2015</stp>
        <stp>28/07/2015</stp>
        <stp>[Bbg_Market_Data_CL.xlsm]data!R425C3</stp>
        <tr r="C425" s="1"/>
      </tp>
      <tp t="s">
        <v>#N/A Requesting Data...</v>
        <stp/>
        <stp>##V3_BDHV12</stp>
        <stp>SPGSCLP Index</stp>
        <stp>CHG_PCT_5D</stp>
        <stp>28/07/2015</stp>
        <stp>28/07/2015</stp>
        <stp>[Bbg_Market_Data_CL.xlsm]data!R425C4</stp>
        <tr r="D425" s="1"/>
      </tp>
      <tp t="s">
        <v>#N/A Requesting Data...</v>
        <stp/>
        <stp>##V3_BDHV12</stp>
        <stp>CL1 Comdty</stp>
        <stp>30DAY_IMPVOL_95.0%MNY_DF</stp>
        <stp>29/09/2016</stp>
        <stp>29/09/2016</stp>
        <stp>[Bbg_Market_Data_CL.xlsm]data!R131C21</stp>
        <tr r="U131" s="1"/>
      </tp>
      <tp t="s">
        <v>#N/A Requesting Data...</v>
        <stp/>
        <stp>##V3_BDHV12</stp>
        <stp>CL1 Comdty</stp>
        <stp>30DAY_IMPVOL_95.0%MNY_DF</stp>
        <stp>08/09/2015</stp>
        <stp>08/09/2015</stp>
        <stp>[Bbg_Market_Data_CL.xlsm]data!R395C21</stp>
        <tr r="U395" s="1"/>
      </tp>
      <tp t="s">
        <v>#N/A Requesting Data...</v>
        <stp/>
        <stp>##V3_BDHV12</stp>
        <stp>SPGSCLP Index</stp>
        <stp>CHG_PCT_1D</stp>
        <stp>18/05/2015</stp>
        <stp>18/05/2015</stp>
        <stp>[Bbg_Market_Data_CL.xlsm]data!R474C3</stp>
        <tr r="C474" s="1"/>
      </tp>
      <tp t="s">
        <v>#N/A Requesting Data...</v>
        <stp/>
        <stp>##V3_BDHV12</stp>
        <stp>SPGSCLP Index</stp>
        <stp>CHG_PCT_5D</stp>
        <stp>18/05/2015</stp>
        <stp>18/05/2015</stp>
        <stp>[Bbg_Market_Data_CL.xlsm]data!R474C4</stp>
        <tr r="D474" s="1"/>
      </tp>
      <tp t="s">
        <v>#N/A Requesting Data...</v>
        <stp/>
        <stp>##V3_BDHV12</stp>
        <stp>SPGSCLP Index</stp>
        <stp>CHG_PCT_1D</stp>
        <stp>06/09/2016</stp>
        <stp>06/09/2016</stp>
        <stp>[Bbg_Market_Data_CL.xlsm]data!R149C3</stp>
        <tr r="C149" s="1"/>
      </tp>
      <tp t="s">
        <v>#N/A Requesting Data...</v>
        <stp/>
        <stp>##V3_BDHV12</stp>
        <stp>SPGSCLP Index</stp>
        <stp>CHG_PCT_5D</stp>
        <stp>06/09/2016</stp>
        <stp>06/09/2016</stp>
        <stp>[Bbg_Market_Data_CL.xlsm]data!R149C4</stp>
        <tr r="D149" s="1"/>
      </tp>
      <tp t="s">
        <v>#N/A Requesting Data...</v>
        <stp/>
        <stp>##V3_BDHV12</stp>
        <stp>CL1 Comdty</stp>
        <stp>30DAY_IMPVOL_95.0%MNY_DF</stp>
        <stp>25/04/2016</stp>
        <stp>25/04/2016</stp>
        <stp>[Bbg_Market_Data_CL.xlsm]data!R240C21</stp>
        <tr r="U240" s="1"/>
      </tp>
      <tp t="s">
        <v>#N/A Requesting Data...</v>
        <stp/>
        <stp>##V3_BDHV12</stp>
        <stp>CL1 Comdty</stp>
        <stp>30DAY_IMPVOL_90.0%MNY_DF</stp>
        <stp>22/10/2015</stp>
        <stp>22/10/2015</stp>
        <stp>[Bbg_Market_Data_CL.xlsm]data!R364C23</stp>
        <tr r="W364" s="1"/>
      </tp>
      <tp t="s">
        <v>#N/A Requesting Data...</v>
        <stp/>
        <stp>##V3_BDHV12</stp>
        <stp>CL1 Comdty</stp>
        <stp>30DAY_IMPVOL_95.0%MNY_DF</stp>
        <stp>26/07/2016</stp>
        <stp>26/07/2016</stp>
        <stp>[Bbg_Market_Data_CL.xlsm]data!R176C21</stp>
        <tr r="U176" s="1"/>
      </tp>
      <tp t="s">
        <v>#N/A Requesting Data...</v>
        <stp/>
        <stp>##V3_BDHV12</stp>
        <stp>CL1 Comdty</stp>
        <stp>30DAY_IMPVOL_90.0%MNY_DF</stp>
        <stp>02/12/2015</stp>
        <stp>02/12/2015</stp>
        <stp>[Bbg_Market_Data_CL.xlsm]data!R337C23</stp>
        <tr r="W337" s="1"/>
      </tp>
      <tp t="s">
        <v>#N/A Requesting Data...</v>
        <stp/>
        <stp>##V3_BDHV12</stp>
        <stp>CL1 Comdty</stp>
        <stp>30DAY_IMPVOL_90.0%MNY_DF</stp>
        <stp>03/10/2016</stp>
        <stp>03/10/2016</stp>
        <stp>[Bbg_Market_Data_CL.xlsm]data!R129C23</stp>
        <tr r="W129" s="1"/>
      </tp>
      <tp t="s">
        <v>#N/A Requesting Data...</v>
        <stp/>
        <stp>##V3_BDHV12</stp>
        <stp>CL1 Comdty</stp>
        <stp>30DAY_IMPVOL_90.0%MNY_DF</stp>
        <stp>05/05/2015</stp>
        <stp>05/05/2015</stp>
        <stp>[Bbg_Market_Data_CL.xlsm]data!R482C23</stp>
        <tr r="W482" s="1"/>
      </tp>
      <tp t="s">
        <v>#N/A Requesting Data...</v>
        <stp/>
        <stp>##V3_BDHV12</stp>
        <stp>CL1 Comdty</stp>
        <stp>30DAY_IMPVOL_90.0%MNY_DF</stp>
        <stp>10/02/2016</stp>
        <stp>10/02/2016</stp>
        <stp>[Bbg_Market_Data_CL.xlsm]data!R290C23</stp>
        <tr r="W290" s="1"/>
      </tp>
      <tp t="s">
        <v>#N/A Requesting Data...</v>
        <stp/>
        <stp>##V3_BDHV12</stp>
        <stp>CL1 Comdty</stp>
        <stp>30DAY_IMPVOL_90.0%MNY_DF</stp>
        <stp>15/04/2015</stp>
        <stp>15/04/2015</stp>
        <stp>[Bbg_Market_Data_CL.xlsm]data!R496C23</stp>
        <tr r="W496" s="1"/>
      </tp>
      <tp t="s">
        <v>#N/A Requesting Data...</v>
        <stp/>
        <stp>##V3_BDHV12</stp>
        <stp>SPGSCLP Index</stp>
        <stp>CHG_PCT_1D</stp>
        <stp>13/11/2015</stp>
        <stp>13/11/2015</stp>
        <stp>[Bbg_Market_Data_CL.xlsm]data!R350C3</stp>
        <tr r="C350" s="1"/>
      </tp>
      <tp t="s">
        <v>#N/A Requesting Data...</v>
        <stp/>
        <stp>##V3_BDHV12</stp>
        <stp>SPGSCLP Index</stp>
        <stp>CHG_PCT_5D</stp>
        <stp>13/11/2015</stp>
        <stp>13/11/2015</stp>
        <stp>[Bbg_Market_Data_CL.xlsm]data!R350C4</stp>
        <tr r="D350" s="1"/>
      </tp>
      <tp t="s">
        <v>#N/A Requesting Data...</v>
        <stp/>
        <stp>##V3_BDHV12</stp>
        <stp>CL1 Comdty</stp>
        <stp>30DAY_IMPVOL_90.0%MNY_DF</stp>
        <stp>14/05/2015</stp>
        <stp>14/05/2015</stp>
        <stp>[Bbg_Market_Data_CL.xlsm]data!R475C23</stp>
        <tr r="W475" s="1"/>
      </tp>
      <tp t="s">
        <v>#N/A Requesting Data...</v>
        <stp/>
        <stp>##V3_BDHV12</stp>
        <stp>CL1 Comdty</stp>
        <stp>30DAY_IMPVOL_90.0%MNY_DF</stp>
        <stp>11/03/2016</stp>
        <stp>11/03/2016</stp>
        <stp>[Bbg_Market_Data_CL.xlsm]data!R270C23</stp>
        <tr r="W270" s="1"/>
      </tp>
      <tp t="s">
        <v>#N/A Requesting Data...</v>
        <stp/>
        <stp>##V3_BDHV12</stp>
        <stp>CL1 Comdty</stp>
        <stp>30DAY_IMPVOL_90.0%MNY_DF</stp>
        <stp>24/06/2015</stp>
        <stp>24/06/2015</stp>
        <stp>[Bbg_Market_Data_CL.xlsm]data!R447C23</stp>
        <tr r="W447" s="1"/>
      </tp>
      <tp t="s">
        <v>#N/A Requesting Data...</v>
        <stp/>
        <stp>##V3_BDHV12</stp>
        <stp>CL1 Comdty</stp>
        <stp>30DAY_IMPVOL_90.0%MNY_DF</stp>
        <stp>23/11/2015</stp>
        <stp>23/11/2015</stp>
        <stp>[Bbg_Market_Data_CL.xlsm]data!R343C23</stp>
        <tr r="W343" s="1"/>
      </tp>
      <tp t="s">
        <v>#N/A Requesting Data...</v>
        <stp/>
        <stp>##V3_BDHV12</stp>
        <stp>CL1 Comdty</stp>
        <stp>30DAY_IMPVOL_95.0%MNY_DF</stp>
        <stp>14/06/2016</stp>
        <stp>14/06/2016</stp>
        <stp>[Bbg_Market_Data_CL.xlsm]data!R205C21</stp>
        <tr r="U205" s="1"/>
      </tp>
      <tp t="s">
        <v>#N/A Requesting Data...</v>
        <stp/>
        <stp>##V3_BDHV12</stp>
        <stp>CL1 Comdty</stp>
        <stp>30DAY_IMPVOL_90.0%MNY_DF</stp>
        <stp>12/10/2016</stp>
        <stp>12/10/2016</stp>
        <stp>[Bbg_Market_Data_CL.xlsm]data!R123C23</stp>
        <tr r="W123" s="1"/>
      </tp>
      <tp t="s">
        <v>#N/A Requesting Data...</v>
        <stp/>
        <stp>##V3_BDHV12</stp>
        <stp>CL1 Comdty</stp>
        <stp>30DAY_IMPVOL_95.0%MNY_DF</stp>
        <stp>24/05/2016</stp>
        <stp>24/05/2016</stp>
        <stp>[Bbg_Market_Data_CL.xlsm]data!R219C21</stp>
        <tr r="U219" s="1"/>
      </tp>
      <tp t="s">
        <v>#N/A Requesting Data...</v>
        <stp/>
        <stp>##V3_BDHV12</stp>
        <stp>CL1 Comdty</stp>
        <stp>30DAY_IMPVOL_90.0%MNY_DF</stp>
        <stp>20/01/2016</stp>
        <stp>20/01/2016</stp>
        <stp>[Bbg_Market_Data_CL.xlsm]data!R305C23</stp>
        <tr r="W305" s="1"/>
      </tp>
      <tp t="s">
        <v>#N/A Requesting Data...</v>
        <stp/>
        <stp>##V3_BDHV12</stp>
        <stp>CL1 Comdty</stp>
        <stp>30DAY_IMPVOL_90.0%MNY_DF</stp>
        <stp>02/11/2016</stp>
        <stp>02/11/2016</stp>
        <stp>[Bbg_Market_Data_CL.xlsm]data!R108C23</stp>
        <tr r="W108" s="1"/>
      </tp>
      <tp t="s">
        <v>#N/A Requesting Data...</v>
        <stp/>
        <stp>##V3_BDHV12</stp>
        <stp>CL1 Comdty</stp>
        <stp>30DAY_IMPVOL_95.0%MNY_DF</stp>
        <stp>27/06/2016</stp>
        <stp>27/06/2016</stp>
        <stp>[Bbg_Market_Data_CL.xlsm]data!R196C21</stp>
        <tr r="U196" s="1"/>
      </tp>
      <tp t="s">
        <v>#N/A Requesting Data...</v>
        <stp/>
        <stp>##V3_BDHV12</stp>
        <stp>CL1 Comdty</stp>
        <stp>30DAY_IMPVOL_90.0%MNY_DF</stp>
        <stp>01/02/2016</stp>
        <stp>01/02/2016</stp>
        <stp>[Bbg_Market_Data_CL.xlsm]data!R297C23</stp>
        <tr r="W297" s="1"/>
      </tp>
      <tp t="s">
        <v>#N/A Requesting Data...</v>
        <stp/>
        <stp>##V3_BDHV12</stp>
        <stp>SPGSCLP Index</stp>
        <stp>CHG_PCT_1D</stp>
        <stp>04/05/2016</stp>
        <stp>04/05/2016</stp>
        <stp>[Bbg_Market_Data_CL.xlsm]data!R234C3</stp>
        <tr r="C234" s="1"/>
      </tp>
      <tp t="s">
        <v>#N/A Requesting Data...</v>
        <stp/>
        <stp>##V3_BDHV12</stp>
        <stp>SPGSCLP Index</stp>
        <stp>CHG_PCT_1D</stp>
        <stp>05/04/2016</stp>
        <stp>05/04/2016</stp>
        <stp>[Bbg_Market_Data_CL.xlsm]data!R255C3</stp>
        <tr r="C255" s="1"/>
      </tp>
      <tp t="s">
        <v>#N/A Requesting Data...</v>
        <stp/>
        <stp>##V3_BDHV12</stp>
        <stp>SPGSCLP Index</stp>
        <stp>CHG_PCT_5D</stp>
        <stp>05/04/2016</stp>
        <stp>05/04/2016</stp>
        <stp>[Bbg_Market_Data_CL.xlsm]data!R255C4</stp>
        <tr r="D255" s="1"/>
      </tp>
      <tp t="s">
        <v>#N/A Requesting Data...</v>
        <stp/>
        <stp>##V3_BDHV12</stp>
        <stp>SPGSCLP Index</stp>
        <stp>CHG_PCT_5D</stp>
        <stp>04/05/2016</stp>
        <stp>04/05/2016</stp>
        <stp>[Bbg_Market_Data_CL.xlsm]data!R234C4</stp>
        <tr r="D234" s="1"/>
      </tp>
      <tp t="s">
        <v>#N/A Requesting Data...</v>
        <stp/>
        <stp>##V3_BDHV12</stp>
        <stp>CL1 Comdty</stp>
        <stp>30DAY_IMPVOL_90.0%MNY_DF</stp>
        <stp>27/05/2015</stp>
        <stp>27/05/2015</stp>
        <stp>[Bbg_Market_Data_CL.xlsm]data!R467C23</stp>
        <tr r="W467" s="1"/>
      </tp>
      <tp t="s">
        <v>#N/A Requesting Data...</v>
        <stp/>
        <stp>##V3_BDHV12</stp>
        <stp>CL1 Comdty</stp>
        <stp>30DAY_IMPVOL_90.0%MNY_DF</stp>
        <stp>22/03/2016</stp>
        <stp>22/03/2016</stp>
        <stp>[Bbg_Market_Data_CL.xlsm]data!R263C23</stp>
        <tr r="W263" s="1"/>
      </tp>
      <tp t="s">
        <v>#N/A Requesting Data...</v>
        <stp/>
        <stp>##V3_BDHV12</stp>
        <stp>CL1 Comdty</stp>
        <stp>30DAY_IMPVOL_95.0%MNY_DF</stp>
        <stp>07/04/2016</stp>
        <stp>07/04/2016</stp>
        <stp>[Bbg_Market_Data_CL.xlsm]data!R252C21</stp>
        <tr r="U252" s="1"/>
      </tp>
      <tp t="s">
        <v>#N/A Requesting Data...</v>
        <stp/>
        <stp>##V3_BDHV12</stp>
        <stp>CL1 Comdty</stp>
        <stp>30DAY_IMPVOL_90.0%MNY_DF</stp>
        <stp>10/11/2015</stp>
        <stp>10/11/2015</stp>
        <stp>[Bbg_Market_Data_CL.xlsm]data!R351C23</stp>
        <tr r="W351" s="1"/>
      </tp>
      <tp t="s">
        <v>#N/A Requesting Data...</v>
        <stp/>
        <stp>##V3_BDHV12</stp>
        <stp>CL1 Comdty</stp>
        <stp>30DAY_IMPVOL_90.0%MNY_DF</stp>
        <stp>17/06/2015</stp>
        <stp>17/06/2015</stp>
        <stp>[Bbg_Market_Data_CL.xlsm]data!R452C23</stp>
        <tr r="W452" s="1"/>
      </tp>
      <tp t="s">
        <v>#N/A Requesting Data...</v>
        <stp/>
        <stp>##V3_BDHV12</stp>
        <stp>CL1 Comdty</stp>
        <stp>30DAY_IMPVOL_90.0%MNY_DF</stp>
        <stp>07/07/2015</stp>
        <stp>07/07/2015</stp>
        <stp>[Bbg_Market_Data_CL.xlsm]data!R439C23</stp>
        <tr r="W439" s="1"/>
      </tp>
      <tp t="s">
        <v>#N/A Requesting Data...</v>
        <stp/>
        <stp>##V3_BDHV12</stp>
        <stp>CL1 Comdty</stp>
        <stp>30DAY_IMPVOL_95.0%MNY_DF</stp>
        <stp>17/05/2016</stp>
        <stp>17/05/2016</stp>
        <stp>[Bbg_Market_Data_CL.xlsm]data!R224C21</stp>
        <tr r="U224" s="1"/>
      </tp>
      <tp t="s">
        <v>#N/A Requesting Data...</v>
        <stp/>
        <stp>##V3_BDHV12</stp>
        <stp>CL1 Comdty</stp>
        <stp>30DAY_IMPVOL_90.0%MNY_DF</stp>
        <stp>21/10/2016</stp>
        <stp>21/10/2016</stp>
        <stp>[Bbg_Market_Data_CL.xlsm]data!R116C23</stp>
        <tr r="W116" s="1"/>
      </tp>
      <tp t="s">
        <v>#N/A Requesting Data...</v>
        <stp/>
        <stp>##V3_BDHV12</stp>
        <stp>CL1 Comdty</stp>
        <stp>30DAY_IMPVOL_90.0%MNY_DF</stp>
        <stp>13/01/2016</stp>
        <stp>13/01/2016</stp>
        <stp>[Bbg_Market_Data_CL.xlsm]data!R309C23</stp>
        <tr r="W309" s="1"/>
      </tp>
      <tp t="s">
        <v>#N/A Requesting Data...</v>
        <stp/>
        <stp>##V3_BDHV12</stp>
        <stp>SPGSCLP Index</stp>
        <stp>CHG_PCT_5D</stp>
        <stp>12/01/2016</stp>
        <stp>12/01/2016</stp>
        <stp>[Bbg_Market_Data_CL.xlsm]data!R311C4</stp>
        <tr r="D311" s="1"/>
      </tp>
      <tp t="s">
        <v>#N/A Requesting Data...</v>
        <stp/>
        <stp>##V3_BDHV12</stp>
        <stp>SPGSCLP Index</stp>
        <stp>CHG_PCT_1D</stp>
        <stp>15/05/2015</stp>
        <stp>15/05/2015</stp>
        <stp>[Bbg_Market_Data_CL.xlsm]data!R475C3</stp>
        <tr r="C475" s="1"/>
      </tp>
      <tp t="s">
        <v>#N/A Requesting Data...</v>
        <stp/>
        <stp>##V3_BDHV12</stp>
        <stp>SPGSCLP Index</stp>
        <stp>CHG_PCT_1D</stp>
        <stp>04/05/2015</stp>
        <stp>04/05/2015</stp>
        <stp>[Bbg_Market_Data_CL.xlsm]data!R484C3</stp>
        <tr r="C484" s="1"/>
      </tp>
      <tp t="s">
        <v>#N/A Requesting Data...</v>
        <stp/>
        <stp>##V3_BDHV12</stp>
        <stp>SPGSCLP Index</stp>
        <stp>CHG_PCT_5D</stp>
        <stp>04/05/2015</stp>
        <stp>04/05/2015</stp>
        <stp>[Bbg_Market_Data_CL.xlsm]data!R484C4</stp>
        <tr r="D484" s="1"/>
      </tp>
      <tp t="s">
        <v>#N/A Requesting Data...</v>
        <stp/>
        <stp>##V3_BDHV12</stp>
        <stp>SPGSCLP Index</stp>
        <stp>CHG_PCT_1D</stp>
        <stp>12/01/2016</stp>
        <stp>12/01/2016</stp>
        <stp>[Bbg_Market_Data_CL.xlsm]data!R311C3</stp>
        <tr r="C311" s="1"/>
      </tp>
      <tp t="s">
        <v>#N/A Requesting Data...</v>
        <stp/>
        <stp>##V3_BDHV12</stp>
        <stp>SPGSCLP Index</stp>
        <stp>CHG_PCT_5D</stp>
        <stp>15/05/2015</stp>
        <stp>15/05/2015</stp>
        <stp>[Bbg_Market_Data_CL.xlsm]data!R475C4</stp>
        <tr r="D475" s="1"/>
      </tp>
      <tp t="s">
        <v>#N/A Requesting Data...</v>
        <stp/>
        <stp>##V3_BDHV12</stp>
        <stp>CL1 Comdty</stp>
        <stp>30DAY_IMPVOL_90.0%MNY_DF</stp>
        <stp>16/07/2015</stp>
        <stp>16/07/2015</stp>
        <stp>[Bbg_Market_Data_CL.xlsm]data!R432C23</stp>
        <tr r="W432" s="1"/>
      </tp>
      <tp t="s">
        <v>#N/A Requesting Data...</v>
        <stp/>
        <stp>##V3_BDHV12</stp>
        <stp>CL1 Comdty</stp>
        <stp>30DAY_IMPVOL_90.0%MNY_DF</stp>
        <stp>31/12/2015</stp>
        <stp>31/12/2015</stp>
        <stp>[Bbg_Market_Data_CL.xlsm]data!R317C23</stp>
        <tr r="W317" s="1"/>
      </tp>
      <tp t="s">
        <v>#N/A Requesting Data...</v>
        <stp/>
        <stp>##V3_BDHV12</stp>
        <stp>CL1 Comdty</stp>
        <stp>30DAY_IMPVOL_95.0%MNY_DF</stp>
        <stp>06/05/2016</stp>
        <stp>06/05/2016</stp>
        <stp>[Bbg_Market_Data_CL.xlsm]data!R231C21</stp>
        <tr r="U231" s="1"/>
      </tp>
      <tp t="s">
        <v>#N/A Requesting Data...</v>
        <stp/>
        <stp>##V3_BDHV12</stp>
        <stp>CL1 Comdty</stp>
        <stp>30DAY_IMPVOL_95.0%MNY_DF</stp>
        <stp>15/07/2016</stp>
        <stp>15/07/2016</stp>
        <stp>[Bbg_Market_Data_CL.xlsm]data!R183C21</stp>
        <tr r="U183" s="1"/>
      </tp>
      <tp t="s">
        <v>#N/A Requesting Data...</v>
        <stp/>
        <stp>##V3_BDHV12</stp>
        <stp>CL1 Comdty</stp>
        <stp>30DAY_IMPVOL_90.0%MNY_DF</stp>
        <stp>23/02/2016</stp>
        <stp>23/02/2016</stp>
        <stp>[Bbg_Market_Data_CL.xlsm]data!R283C23</stp>
        <tr r="W283" s="1"/>
      </tp>
      <tp t="s">
        <v>#N/A Requesting Data...</v>
        <stp/>
        <stp>##V3_BDHV12</stp>
        <stp>SPGSCLP Index</stp>
        <stp>CHG_PCT_5D</stp>
        <stp>17/05/2016</stp>
        <stp>17/05/2016</stp>
        <stp>[Bbg_Market_Data_CL.xlsm]data!R225C4</stp>
        <tr r="D225" s="1"/>
      </tp>
      <tp t="s">
        <v>#N/A Requesting Data...</v>
        <stp/>
        <stp>##V3_BDHV12</stp>
        <stp>SPGSCLP Index</stp>
        <stp>CHG_PCT_1D</stp>
        <stp>14/06/2016</stp>
        <stp>14/06/2016</stp>
        <stp>[Bbg_Market_Data_CL.xlsm]data!R206C3</stp>
        <tr r="C206" s="1"/>
      </tp>
      <tp t="s">
        <v>#N/A Requesting Data...</v>
        <stp/>
        <stp>##V3_BDHV12</stp>
        <stp>SPGSCLP Index</stp>
        <stp>CHG_PCT_1D</stp>
        <stp>17/05/2016</stp>
        <stp>17/05/2016</stp>
        <stp>[Bbg_Market_Data_CL.xlsm]data!R225C3</stp>
        <tr r="C225" s="1"/>
      </tp>
      <tp t="s">
        <v>#N/A Requesting Data...</v>
        <stp/>
        <stp>##V3_BDHV12</stp>
        <stp>SPGSCLP Index</stp>
        <stp>CHG_PCT_5D</stp>
        <stp>14/06/2016</stp>
        <stp>14/06/2016</stp>
        <stp>[Bbg_Market_Data_CL.xlsm]data!R206C4</stp>
        <tr r="D206" s="1"/>
      </tp>
      <tp t="s">
        <v>#N/A Requesting Data...</v>
        <stp/>
        <stp>##V3_BDHV12</stp>
        <stp>SPGSCLP Index</stp>
        <stp>CHG_PCT_1D</stp>
        <stp>03/10/2016</stp>
        <stp>03/10/2016</stp>
        <stp>[Bbg_Market_Data_CL.xlsm]data!R130C3</stp>
        <tr r="C130" s="1"/>
      </tp>
      <tp t="s">
        <v>#N/A Requesting Data...</v>
        <stp/>
        <stp>##V3_BDHV12</stp>
        <stp>SPGSCLP Index</stp>
        <stp>CHG_PCT_5D</stp>
        <stp>03/10/2016</stp>
        <stp>03/10/2016</stp>
        <stp>[Bbg_Market_Data_CL.xlsm]data!R130C4</stp>
        <tr r="D130" s="1"/>
      </tp>
      <tp t="s">
        <v>#N/A Requesting Data...</v>
        <stp/>
        <stp>##V3_BDHV12</stp>
        <stp>CL1 Comdty</stp>
        <stp>30DAY_IMPVOL_95.0%MNY_DF</stp>
        <stp>24/06/2015</stp>
        <stp>24/06/2015</stp>
        <stp>[Bbg_Market_Data_CL.xlsm]data!R447C21</stp>
        <tr r="U447" s="1"/>
      </tp>
      <tp t="s">
        <v>#N/A Requesting Data...</v>
        <stp/>
        <stp>##V3_BDHV12</stp>
        <stp>CL1 Comdty</stp>
        <stp>30DAY_IMPVOL_95.0%MNY_DF</stp>
        <stp>23/11/2015</stp>
        <stp>23/11/2015</stp>
        <stp>[Bbg_Market_Data_CL.xlsm]data!R343C21</stp>
        <tr r="U343" s="1"/>
      </tp>
      <tp t="s">
        <v>#N/A Requesting Data...</v>
        <stp/>
        <stp>##V3_BDHV12</stp>
        <stp>CL1 Comdty</stp>
        <stp>30DAY_IMPVOL_95.0%MNY_DF</stp>
        <stp>14/05/2015</stp>
        <stp>14/05/2015</stp>
        <stp>[Bbg_Market_Data_CL.xlsm]data!R475C21</stp>
        <tr r="U475" s="1"/>
      </tp>
      <tp t="s">
        <v>#N/A Requesting Data...</v>
        <stp/>
        <stp>##V3_BDHV12</stp>
        <stp>CL1 Comdty</stp>
        <stp>30DAY_IMPVOL_95.0%MNY_DF</stp>
        <stp>11/03/2016</stp>
        <stp>11/03/2016</stp>
        <stp>[Bbg_Market_Data_CL.xlsm]data!R270C21</stp>
        <tr r="U270" s="1"/>
      </tp>
      <tp t="s">
        <v>#N/A Requesting Data...</v>
        <stp/>
        <stp>##V3_BDHV12</stp>
        <stp>CL1 Comdty</stp>
        <stp>30DAY_IMPVOL_95.0%MNY_DF</stp>
        <stp>20/01/2016</stp>
        <stp>20/01/2016</stp>
        <stp>[Bbg_Market_Data_CL.xlsm]data!R305C21</stp>
        <tr r="U305" s="1"/>
      </tp>
      <tp t="s">
        <v>#N/A Requesting Data...</v>
        <stp/>
        <stp>##V3_BDHV12</stp>
        <stp>CL1 Comdty</stp>
        <stp>30DAY_IMPVOL_95.0%MNY_DF</stp>
        <stp>02/11/2016</stp>
        <stp>02/11/2016</stp>
        <stp>[Bbg_Market_Data_CL.xlsm]data!R108C21</stp>
        <tr r="U108" s="1"/>
      </tp>
      <tp t="s">
        <v>#N/A Requesting Data...</v>
        <stp/>
        <stp>##V3_BDHV12</stp>
        <stp>CL1 Comdty</stp>
        <stp>30DAY_IMPVOL_90.0%MNY_DF</stp>
        <stp>14/06/2016</stp>
        <stp>14/06/2016</stp>
        <stp>[Bbg_Market_Data_CL.xlsm]data!R205C23</stp>
        <tr r="W205" s="1"/>
      </tp>
      <tp t="s">
        <v>#N/A Requesting Data...</v>
        <stp/>
        <stp>##V3_BDHV12</stp>
        <stp>CL1 Comdty</stp>
        <stp>30DAY_IMPVOL_95.0%MNY_DF</stp>
        <stp>12/10/2016</stp>
        <stp>12/10/2016</stp>
        <stp>[Bbg_Market_Data_CL.xlsm]data!R123C21</stp>
        <tr r="U123" s="1"/>
      </tp>
      <tp t="s">
        <v>#N/A Requesting Data...</v>
        <stp/>
        <stp>##V3_BDHV12</stp>
        <stp>CL1 Comdty</stp>
        <stp>30DAY_IMPVOL_90.0%MNY_DF</stp>
        <stp>24/05/2016</stp>
        <stp>24/05/2016</stp>
        <stp>[Bbg_Market_Data_CL.xlsm]data!R219C23</stp>
        <tr r="W219" s="1"/>
      </tp>
      <tp t="s">
        <v>#N/A Requesting Data...</v>
        <stp/>
        <stp>##V3_BDHV12</stp>
        <stp>CL1 Comdty</stp>
        <stp>30DAY_IMPVOL_95.0%MNY_DF</stp>
        <stp>01/02/2016</stp>
        <stp>01/02/2016</stp>
        <stp>[Bbg_Market_Data_CL.xlsm]data!R297C21</stp>
        <tr r="U297" s="1"/>
      </tp>
      <tp t="s">
        <v>#N/A Requesting Data...</v>
        <stp/>
        <stp>##V3_BDHV12</stp>
        <stp>CL1 Comdty</stp>
        <stp>30DAY_IMPVOL_90.0%MNY_DF</stp>
        <stp>27/06/2016</stp>
        <stp>27/06/2016</stp>
        <stp>[Bbg_Market_Data_CL.xlsm]data!R196C23</stp>
        <tr r="W196" s="1"/>
      </tp>
      <tp t="s">
        <v>#N/A Requesting Data...</v>
        <stp/>
        <stp>##V3_BDHV12</stp>
        <stp>SPGSCLP Index</stp>
        <stp>CHG_PCT_1D</stp>
        <stp>30/04/2015</stp>
        <stp>30/04/2015</stp>
        <stp>[Bbg_Market_Data_CL.xlsm]data!R486C3</stp>
        <tr r="C486" s="1"/>
      </tp>
      <tp t="s">
        <v>#N/A Requesting Data...</v>
        <stp/>
        <stp>##V3_BDHV12</stp>
        <stp>SPGSCLP Index</stp>
        <stp>CHG_PCT_5D</stp>
        <stp>24/11/2015</stp>
        <stp>24/11/2015</stp>
        <stp>[Bbg_Market_Data_CL.xlsm]data!R343C4</stp>
        <tr r="D343" s="1"/>
      </tp>
      <tp t="s">
        <v>#N/A Requesting Data...</v>
        <stp/>
        <stp>##V3_BDHV12</stp>
        <stp>SPGSCLP Index</stp>
        <stp>CHG_PCT_5D</stp>
        <stp>30/04/2015</stp>
        <stp>30/04/2015</stp>
        <stp>[Bbg_Market_Data_CL.xlsm]data!R486C4</stp>
        <tr r="D486" s="1"/>
      </tp>
      <tp t="s">
        <v>#N/A Requesting Data...</v>
        <stp/>
        <stp>##V3_BDHV12</stp>
        <stp>SPGSCLP Index</stp>
        <stp>CHG_PCT_1D</stp>
        <stp>24/11/2015</stp>
        <stp>24/11/2015</stp>
        <stp>[Bbg_Market_Data_CL.xlsm]data!R343C3</stp>
        <tr r="C343" s="1"/>
      </tp>
      <tp t="s">
        <v>#N/A Requesting Data...</v>
        <stp/>
        <stp>##V3_BDHV12</stp>
        <stp>SPGSCLP Index</stp>
        <stp>CHG_PCT_1D</stp>
        <stp>12/07/2016</stp>
        <stp>12/07/2016</stp>
        <stp>[Bbg_Market_Data_CL.xlsm]data!R187C3</stp>
        <tr r="C187" s="1"/>
      </tp>
      <tp t="s">
        <v>#N/A Requesting Data...</v>
        <stp/>
        <stp>##V3_BDHV12</stp>
        <stp>SPGSCLP Index</stp>
        <stp>CHG_PCT_5D</stp>
        <stp>12/07/2016</stp>
        <stp>12/07/2016</stp>
        <stp>[Bbg_Market_Data_CL.xlsm]data!R187C4</stp>
        <tr r="D187" s="1"/>
      </tp>
      <tp t="s">
        <v>#N/A Requesting Data...</v>
        <stp/>
        <stp>##V3_BDHV12</stp>
        <stp>CL1 Comdty</stp>
        <stp>30DAY_IMPVOL_90.0%MNY_DF</stp>
        <stp>26/07/2016</stp>
        <stp>26/07/2016</stp>
        <stp>[Bbg_Market_Data_CL.xlsm]data!R176C23</stp>
        <tr r="W176" s="1"/>
      </tp>
      <tp t="s">
        <v>#N/A Requesting Data...</v>
        <stp/>
        <stp>##V3_BDHV12</stp>
        <stp>CL1 Comdty</stp>
        <stp>30DAY_IMPVOL_90.0%MNY_DF</stp>
        <stp>25/04/2016</stp>
        <stp>25/04/2016</stp>
        <stp>[Bbg_Market_Data_CL.xlsm]data!R240C23</stp>
        <tr r="W240" s="1"/>
      </tp>
      <tp t="s">
        <v>#N/A Requesting Data...</v>
        <stp/>
        <stp>##V3_BDHV12</stp>
        <stp>CL1 Comdty</stp>
        <stp>30DAY_IMPVOL_95.0%MNY_DF</stp>
        <stp>22/10/2015</stp>
        <stp>22/10/2015</stp>
        <stp>[Bbg_Market_Data_CL.xlsm]data!R364C21</stp>
        <tr r="U364" s="1"/>
      </tp>
      <tp t="s">
        <v>#N/A Requesting Data...</v>
        <stp/>
        <stp>##V3_BDHV12</stp>
        <stp>CL1 Comdty</stp>
        <stp>30DAY_IMPVOL_95.0%MNY_DF</stp>
        <stp>02/12/2015</stp>
        <stp>02/12/2015</stp>
        <stp>[Bbg_Market_Data_CL.xlsm]data!R337C21</stp>
        <tr r="U337" s="1"/>
      </tp>
      <tp t="s">
        <v>#N/A Requesting Data...</v>
        <stp/>
        <stp>##V3_BDHV12</stp>
        <stp>CL1 Comdty</stp>
        <stp>30DAY_IMPVOL_95.0%MNY_DF</stp>
        <stp>03/10/2016</stp>
        <stp>03/10/2016</stp>
        <stp>[Bbg_Market_Data_CL.xlsm]data!R129C21</stp>
        <tr r="U129" s="1"/>
      </tp>
      <tp t="s">
        <v>#N/A Requesting Data...</v>
        <stp/>
        <stp>##V3_BDHV12</stp>
        <stp>CL1 Comdty</stp>
        <stp>30DAY_IMPVOL_95.0%MNY_DF</stp>
        <stp>05/05/2015</stp>
        <stp>05/05/2015</stp>
        <stp>[Bbg_Market_Data_CL.xlsm]data!R482C21</stp>
        <tr r="U482" s="1"/>
      </tp>
      <tp t="s">
        <v>#N/A Requesting Data...</v>
        <stp/>
        <stp>##V3_BDHV12</stp>
        <stp>CL1 Comdty</stp>
        <stp>30DAY_IMPVOL_95.0%MNY_DF</stp>
        <stp>10/02/2016</stp>
        <stp>10/02/2016</stp>
        <stp>[Bbg_Market_Data_CL.xlsm]data!R290C21</stp>
        <tr r="U290" s="1"/>
      </tp>
      <tp t="s">
        <v>#N/A Requesting Data...</v>
        <stp/>
        <stp>##V3_BDHV12</stp>
        <stp>CL1 Comdty</stp>
        <stp>30DAY_IMPVOL_95.0%MNY_DF</stp>
        <stp>15/04/2015</stp>
        <stp>15/04/2015</stp>
        <stp>[Bbg_Market_Data_CL.xlsm]data!R496C21</stp>
        <tr r="U496" s="1"/>
      </tp>
      <tp t="s">
        <v>#N/A Requesting Data...</v>
        <stp/>
        <stp>##V3_BDHV12</stp>
        <stp>SPGSCLP Index</stp>
        <stp>CHG_PCT_5D</stp>
        <stp>26/01/2016</stp>
        <stp>26/01/2016</stp>
        <stp>[Bbg_Market_Data_CL.xlsm]data!R302C4</stp>
        <tr r="D302" s="1"/>
      </tp>
      <tp t="s">
        <v>#N/A Requesting Data...</v>
        <stp/>
        <stp>##V3_BDHV12</stp>
        <stp>SPGSCLP Index</stp>
        <stp>CHG_PCT_1D</stp>
        <stp>10/07/2015</stp>
        <stp>10/07/2015</stp>
        <stp>[Bbg_Market_Data_CL.xlsm]data!R437C3</stp>
        <tr r="C437" s="1"/>
      </tp>
      <tp t="s">
        <v>#N/A Requesting Data...</v>
        <stp/>
        <stp>##V3_BDHV12</stp>
        <stp>SPGSCLP Index</stp>
        <stp>CHG_PCT_5D</stp>
        <stp>10/07/2015</stp>
        <stp>10/07/2015</stp>
        <stp>[Bbg_Market_Data_CL.xlsm]data!R437C4</stp>
        <tr r="D437" s="1"/>
      </tp>
      <tp t="s">
        <v>#N/A Requesting Data...</v>
        <stp/>
        <stp>##V3_BDHV12</stp>
        <stp>SPGSCLP Index</stp>
        <stp>CHG_PCT_1D</stp>
        <stp>26/01/2016</stp>
        <stp>26/01/2016</stp>
        <stp>[Bbg_Market_Data_CL.xlsm]data!R302C3</stp>
        <tr r="C302" s="1"/>
      </tp>
      <tp t="s">
        <v>#N/A Requesting Data...</v>
        <stp/>
        <stp>##V3_BDHV12</stp>
        <stp>SPGSCLP Index</stp>
        <stp>CHG_PCT_5D</stp>
        <stp>30/06/2016</stp>
        <stp>30/06/2016</stp>
        <stp>[Bbg_Market_Data_CL.xlsm]data!R194C4</stp>
        <tr r="D194" s="1"/>
      </tp>
      <tp t="s">
        <v>#N/A Requesting Data...</v>
        <stp/>
        <stp>##V3_BDHV12</stp>
        <stp>SPGSCLP Index</stp>
        <stp>CHG_PCT_1D</stp>
        <stp>30/06/2016</stp>
        <stp>30/06/2016</stp>
        <stp>[Bbg_Market_Data_CL.xlsm]data!R194C3</stp>
        <tr r="C194" s="1"/>
      </tp>
      <tp>
        <v>51.29</v>
        <stp/>
        <stp>##V3_BDHV12</stp>
        <stp>CL2 Comdty</stp>
        <stp>PX_HIGH</stp>
        <stp>31/03/2017</stp>
        <stp>31/03/2017</stp>
        <stp>[Bbg_Market_Data_CL.xlsm]data!R8C6</stp>
        <tr r="F8" s="1"/>
      </tp>
      <tp>
        <v>50.89</v>
        <stp/>
        <stp>##V3_BDHV12</stp>
        <stp>CL2 Comdty</stp>
        <stp>PX_HIGH</stp>
        <stp>30/03/2017</stp>
        <stp>30/03/2017</stp>
        <stp>[Bbg_Market_Data_CL.xlsm]data!R9C6</stp>
        <tr r="F9" s="1"/>
      </tp>
      <tp t="s">
        <v>#N/A Requesting Data...</v>
        <stp/>
        <stp>##V3_BDHV12</stp>
        <stp>CL1 Comdty</stp>
        <stp>PX_HIGH</stp>
        <stp>31/03/2017</stp>
        <stp>31/03/2017</stp>
        <stp>[Bbg_Market_Data_CL.xlsm]data!R8C6</stp>
        <tr r="F8" s="1"/>
      </tp>
      <tp t="s">
        <v>#N/A Requesting Data...</v>
        <stp/>
        <stp>##V3_BDHV12</stp>
        <stp>CL1 Comdty</stp>
        <stp>PX_HIGH</stp>
        <stp>30/03/2017</stp>
        <stp>30/03/2017</stp>
        <stp>[Bbg_Market_Data_CL.xlsm]data!R9C6</stp>
        <tr r="F9" s="1"/>
      </tp>
      <tp t="s">
        <v>#N/A Requesting Data...</v>
        <stp/>
        <stp>##V3_BDHV12</stp>
        <stp>CL1 Comdty</stp>
        <stp>30DAY_IMPVOL_95.0%MNY_DF</stp>
        <stp>31/12/2015</stp>
        <stp>31/12/2015</stp>
        <stp>[Bbg_Market_Data_CL.xlsm]data!R317C21</stp>
        <tr r="U317" s="1"/>
      </tp>
      <tp t="s">
        <v>#N/A Requesting Data...</v>
        <stp/>
        <stp>##V3_BDHV12</stp>
        <stp>CL1 Comdty</stp>
        <stp>30DAY_IMPVOL_90.0%MNY_DF</stp>
        <stp>06/05/2016</stp>
        <stp>06/05/2016</stp>
        <stp>[Bbg_Market_Data_CL.xlsm]data!R231C23</stp>
        <tr r="W231" s="1"/>
      </tp>
      <tp t="s">
        <v>#N/A Requesting Data...</v>
        <stp/>
        <stp>##V3_BDHV12</stp>
        <stp>CL1 Comdty</stp>
        <stp>30DAY_IMPVOL_95.0%MNY_DF</stp>
        <stp>16/07/2015</stp>
        <stp>16/07/2015</stp>
        <stp>[Bbg_Market_Data_CL.xlsm]data!R432C21</stp>
        <tr r="U432" s="1"/>
      </tp>
      <tp t="s">
        <v>#N/A Requesting Data...</v>
        <stp/>
        <stp>##V3_BDHV12</stp>
        <stp>CL1 Comdty</stp>
        <stp>30DAY_IMPVOL_95.0%MNY_DF</stp>
        <stp>23/02/2016</stp>
        <stp>23/02/2016</stp>
        <stp>[Bbg_Market_Data_CL.xlsm]data!R283C21</stp>
        <tr r="U283" s="1"/>
      </tp>
      <tp t="s">
        <v>#N/A Requesting Data...</v>
        <stp/>
        <stp>##V3_BDHV12</stp>
        <stp>CL1 Comdty</stp>
        <stp>30DAY_IMPVOL_90.0%MNY_DF</stp>
        <stp>15/07/2016</stp>
        <stp>15/07/2016</stp>
        <stp>[Bbg_Market_Data_CL.xlsm]data!R183C23</stp>
        <tr r="W183" s="1"/>
      </tp>
      <tp t="s">
        <v>#N/A Requesting Data...</v>
        <stp/>
        <stp>##V3_BDHV12</stp>
        <stp>SPGSCLP Index</stp>
        <stp>CHG_PCT_1D</stp>
        <stp>17/10/2016</stp>
        <stp>17/10/2016</stp>
        <stp>[Bbg_Market_Data_CL.xlsm]data!R121C3</stp>
        <tr r="C121" s="1"/>
      </tp>
      <tp t="s">
        <v>#N/A Requesting Data...</v>
        <stp/>
        <stp>##V3_BDHV12</stp>
        <stp>SPGSCLP Index</stp>
        <stp>CHG_PCT_5D</stp>
        <stp>12/06/2015</stp>
        <stp>12/06/2015</stp>
        <stp>[Bbg_Market_Data_CL.xlsm]data!R456C4</stp>
        <tr r="D456" s="1"/>
      </tp>
      <tp t="s">
        <v>#N/A Requesting Data...</v>
        <stp/>
        <stp>##V3_BDHV12</stp>
        <stp>SPGSCLP Index</stp>
        <stp>CHG_PCT_5D</stp>
        <stp>26/02/2016</stp>
        <stp>26/02/2016</stp>
        <stp>[Bbg_Market_Data_CL.xlsm]data!R281C4</stp>
        <tr r="D281" s="1"/>
      </tp>
      <tp t="s">
        <v>#N/A Requesting Data...</v>
        <stp/>
        <stp>##V3_BDHV12</stp>
        <stp>SPGSCLP Index</stp>
        <stp>CHG_PCT_1D</stp>
        <stp>16/11/2016</stp>
        <stp>16/11/2016</stp>
        <stp>[Bbg_Market_Data_CL.xlsm]data!R100C3</stp>
        <tr r="C100" s="1"/>
      </tp>
      <tp t="s">
        <v>#N/A Requesting Data...</v>
        <stp/>
        <stp>##V3_BDHV12</stp>
        <stp>SPGSCLP Index</stp>
        <stp>CHG_PCT_1D</stp>
        <stp>27/10/2015</stp>
        <stp>27/10/2015</stp>
        <stp>[Bbg_Market_Data_CL.xlsm]data!R362C3</stp>
        <tr r="C362" s="1"/>
      </tp>
      <tp t="s">
        <v>#N/A Requesting Data...</v>
        <stp/>
        <stp>##V3_BDHV12</stp>
        <stp>SPGSCLP Index</stp>
        <stp>CHG_PCT_5D</stp>
        <stp>14/10/2015</stp>
        <stp>14/10/2015</stp>
        <stp>[Bbg_Market_Data_CL.xlsm]data!R371C4</stp>
        <tr r="D371" s="1"/>
      </tp>
      <tp t="s">
        <v>#N/A Requesting Data...</v>
        <stp/>
        <stp>##V3_BDHV12</stp>
        <stp>SPGSCLP Index</stp>
        <stp>CHG_PCT_1D</stp>
        <stp>30/06/2015</stp>
        <stp>30/06/2015</stp>
        <stp>[Bbg_Market_Data_CL.xlsm]data!R444C3</stp>
        <tr r="C444" s="1"/>
      </tp>
      <tp t="s">
        <v>#N/A Requesting Data...</v>
        <stp/>
        <stp>##V3_BDHV12</stp>
        <stp>SPGSCLP Index</stp>
        <stp>CHG_PCT_1D</stp>
        <stp>26/02/2016</stp>
        <stp>26/02/2016</stp>
        <stp>[Bbg_Market_Data_CL.xlsm]data!R281C3</stp>
        <tr r="C281" s="1"/>
      </tp>
      <tp t="s">
        <v>#N/A Requesting Data...</v>
        <stp/>
        <stp>##V3_BDHV12</stp>
        <stp>SPGSCLP Index</stp>
        <stp>CHG_PCT_5D</stp>
        <stp>16/11/2016</stp>
        <stp>16/11/2016</stp>
        <stp>[Bbg_Market_Data_CL.xlsm]data!R100C4</stp>
        <tr r="D100" s="1"/>
      </tp>
      <tp t="s">
        <v>#N/A Requesting Data...</v>
        <stp/>
        <stp>##V3_BDHV12</stp>
        <stp>SPGSCLP Index</stp>
        <stp>CHG_PCT_5D</stp>
        <stp>27/10/2015</stp>
        <stp>27/10/2015</stp>
        <stp>[Bbg_Market_Data_CL.xlsm]data!R362C4</stp>
        <tr r="D362" s="1"/>
      </tp>
      <tp t="s">
        <v>#N/A Requesting Data...</v>
        <stp/>
        <stp>##V3_BDHV12</stp>
        <stp>SPGSCLP Index</stp>
        <stp>CHG_PCT_1D</stp>
        <stp>14/10/2015</stp>
        <stp>14/10/2015</stp>
        <stp>[Bbg_Market_Data_CL.xlsm]data!R371C3</stp>
        <tr r="C371" s="1"/>
      </tp>
      <tp t="s">
        <v>#N/A Requesting Data...</v>
        <stp/>
        <stp>##V3_BDHV12</stp>
        <stp>SPGSCLP Index</stp>
        <stp>CHG_PCT_5D</stp>
        <stp>30/06/2015</stp>
        <stp>30/06/2015</stp>
        <stp>[Bbg_Market_Data_CL.xlsm]data!R444C4</stp>
        <tr r="D444" s="1"/>
      </tp>
      <tp t="s">
        <v>#N/A Requesting Data...</v>
        <stp/>
        <stp>##V3_BDHV12</stp>
        <stp>SPGSCLP Index</stp>
        <stp>CHG_PCT_5D</stp>
        <stp>17/10/2016</stp>
        <stp>17/10/2016</stp>
        <stp>[Bbg_Market_Data_CL.xlsm]data!R121C4</stp>
        <tr r="D121" s="1"/>
      </tp>
      <tp t="s">
        <v>#N/A Requesting Data...</v>
        <stp/>
        <stp>##V3_BDHV12</stp>
        <stp>SPGSCLP Index</stp>
        <stp>CHG_PCT_1D</stp>
        <stp>12/06/2015</stp>
        <stp>12/06/2015</stp>
        <stp>[Bbg_Market_Data_CL.xlsm]data!R456C3</stp>
        <tr r="C456" s="1"/>
      </tp>
      <tp t="s">
        <v>#N/A Requesting Data...</v>
        <stp/>
        <stp>##V3_BDHV12</stp>
        <stp>CL1 Comdty</stp>
        <stp>30DAY_IMPVOL_95.0%MNY_DF</stp>
        <stp>10/11/2015</stp>
        <stp>10/11/2015</stp>
        <stp>[Bbg_Market_Data_CL.xlsm]data!R351C21</stp>
        <tr r="U351" s="1"/>
      </tp>
      <tp t="s">
        <v>#N/A Requesting Data...</v>
        <stp/>
        <stp>##V3_BDHV12</stp>
        <stp>CL1 Comdty</stp>
        <stp>30DAY_IMPVOL_95.0%MNY_DF</stp>
        <stp>17/06/2015</stp>
        <stp>17/06/2015</stp>
        <stp>[Bbg_Market_Data_CL.xlsm]data!R452C21</stp>
        <tr r="U452" s="1"/>
      </tp>
      <tp t="s">
        <v>#N/A Requesting Data...</v>
        <stp/>
        <stp>##V3_BDHV12</stp>
        <stp>CL1 Comdty</stp>
        <stp>30DAY_IMPVOL_95.0%MNY_DF</stp>
        <stp>27/05/2015</stp>
        <stp>27/05/2015</stp>
        <stp>[Bbg_Market_Data_CL.xlsm]data!R467C21</stp>
        <tr r="U467" s="1"/>
      </tp>
      <tp t="s">
        <v>#N/A Requesting Data...</v>
        <stp/>
        <stp>##V3_BDHV12</stp>
        <stp>CL1 Comdty</stp>
        <stp>30DAY_IMPVOL_95.0%MNY_DF</stp>
        <stp>22/03/2016</stp>
        <stp>22/03/2016</stp>
        <stp>[Bbg_Market_Data_CL.xlsm]data!R263C21</stp>
        <tr r="U263" s="1"/>
      </tp>
      <tp t="s">
        <v>#N/A Requesting Data...</v>
        <stp/>
        <stp>##V3_BDHV12</stp>
        <stp>CL1 Comdty</stp>
        <stp>30DAY_IMPVOL_90.0%MNY_DF</stp>
        <stp>07/04/2016</stp>
        <stp>07/04/2016</stp>
        <stp>[Bbg_Market_Data_CL.xlsm]data!R252C23</stp>
        <tr r="W252" s="1"/>
      </tp>
      <tp t="s">
        <v>#N/A Requesting Data...</v>
        <stp/>
        <stp>##V3_BDHV12</stp>
        <stp>CL1 Comdty</stp>
        <stp>30DAY_IMPVOL_90.0%MNY_DF</stp>
        <stp>17/05/2016</stp>
        <stp>17/05/2016</stp>
        <stp>[Bbg_Market_Data_CL.xlsm]data!R224C23</stp>
        <tr r="W224" s="1"/>
      </tp>
      <tp t="s">
        <v>#N/A Requesting Data...</v>
        <stp/>
        <stp>##V3_BDHV12</stp>
        <stp>CL1 Comdty</stp>
        <stp>30DAY_IMPVOL_95.0%MNY_DF</stp>
        <stp>21/10/2016</stp>
        <stp>21/10/2016</stp>
        <stp>[Bbg_Market_Data_CL.xlsm]data!R116C21</stp>
        <tr r="U116" s="1"/>
      </tp>
      <tp t="s">
        <v>#N/A Requesting Data...</v>
        <stp/>
        <stp>##V3_BDHV12</stp>
        <stp>CL1 Comdty</stp>
        <stp>30DAY_IMPVOL_95.0%MNY_DF</stp>
        <stp>13/01/2016</stp>
        <stp>13/01/2016</stp>
        <stp>[Bbg_Market_Data_CL.xlsm]data!R309C21</stp>
        <tr r="U309" s="1"/>
      </tp>
      <tp t="s">
        <v>#N/A Requesting Data...</v>
        <stp/>
        <stp>##V3_BDHV12</stp>
        <stp>CL1 Comdty</stp>
        <stp>30DAY_IMPVOL_95.0%MNY_DF</stp>
        <stp>07/07/2015</stp>
        <stp>07/07/2015</stp>
        <stp>[Bbg_Market_Data_CL.xlsm]data!R439C21</stp>
        <tr r="U439" s="1"/>
      </tp>
      <tp t="s">
        <v>#N/A Requesting Data...</v>
        <stp/>
        <stp>##V3_BDHV12</stp>
        <stp>SPGSCLP Index</stp>
        <stp>CHG_PCT_1D</stp>
        <stp>29/03/2016</stp>
        <stp>29/03/2016</stp>
        <stp>[Bbg_Market_Data_CL.xlsm]data!R260C3</stp>
        <tr r="C260" s="1"/>
      </tp>
      <tp t="s">
        <v>#N/A Requesting Data...</v>
        <stp/>
        <stp>##V3_BDHV12</stp>
        <stp>SPGSCLP Index</stp>
        <stp>CHG_PCT_5D</stp>
        <stp>29/03/2016</stp>
        <stp>29/03/2016</stp>
        <stp>[Bbg_Market_Data_CL.xlsm]data!R260C4</stp>
        <tr r="D260" s="1"/>
      </tp>
      <tp t="s">
        <v>#N/A Requesting Data...</v>
        <stp/>
        <stp>##V3_BDHV12</stp>
        <stp>CL1 Comdty</stp>
        <stp>30DAY_IMPVOL_95.0%MNY_DF</stp>
        <stp>19/08/2015</stp>
        <stp>19/08/2015</stp>
        <stp>[Bbg_Market_Data_CL.xlsm]data!R408C21</stp>
        <tr r="U408" s="1"/>
      </tp>
      <tp t="s">
        <v>#N/A Requesting Data...</v>
        <stp/>
        <stp>##V3_BDHV12</stp>
        <stp>SPGSCLP Index</stp>
        <stp>CHG_PCT_1D</stp>
        <stp>03/09/2015</stp>
        <stp>03/09/2015</stp>
        <stp>[Bbg_Market_Data_CL.xlsm]data!R398C3</stp>
        <tr r="C398" s="1"/>
      </tp>
      <tp t="s">
        <v>#N/A Requesting Data...</v>
        <stp/>
        <stp>##V3_BDHV12</stp>
        <stp>SPGSCLP Index</stp>
        <stp>CHG_PCT_5D</stp>
        <stp>03/09/2015</stp>
        <stp>03/09/2015</stp>
        <stp>[Bbg_Market_Data_CL.xlsm]data!R398C4</stp>
        <tr r="D398" s="1"/>
      </tp>
      <tp t="s">
        <v>#N/A Requesting Data...</v>
        <stp/>
        <stp>##V3_BDHV12</stp>
        <stp>CL1 Comdty</stp>
        <stp>30DAY_IMPVOL_90.0%MNY_DF</stp>
        <stp>29/08/2016</stp>
        <stp>29/08/2016</stp>
        <stp>[Bbg_Market_Data_CL.xlsm]data!R153C23</stp>
        <tr r="W153" s="1"/>
      </tp>
      <tp t="s">
        <v>#N/A Requesting Data...</v>
        <stp/>
        <stp>##V3_BDHV12</stp>
        <stp>CL1 Comdty</stp>
        <stp>30DAY_IMPVOL_90.0%MNY_DF</stp>
        <stp>18/09/2015</stp>
        <stp>18/09/2015</stp>
        <stp>[Bbg_Market_Data_CL.xlsm]data!R387C23</stp>
        <tr r="W387" s="1"/>
      </tp>
      <tp t="s">
        <v>#N/A Requesting Data...</v>
        <stp/>
        <stp>##V3_BDHV12</stp>
        <stp>SPGSCLP Index</stp>
        <stp>CHG_PCT_1D</stp>
        <stp>08/02/2016</stp>
        <stp>08/02/2016</stp>
        <stp>[Bbg_Market_Data_CL.xlsm]data!R293C3</stp>
        <tr r="C293" s="1"/>
      </tp>
      <tp t="s">
        <v>#N/A Requesting Data...</v>
        <stp/>
        <stp>##V3_BDHV12</stp>
        <stp>SPGSCLP Index</stp>
        <stp>CHG_PCT_5D</stp>
        <stp>29/12/2015</stp>
        <stp>29/12/2015</stp>
        <stp>[Bbg_Market_Data_CL.xlsm]data!R320C4</stp>
        <tr r="D320" s="1"/>
      </tp>
      <tp t="s">
        <v>#N/A Requesting Data...</v>
        <stp/>
        <stp>##V3_BDHV12</stp>
        <stp>SPGSCLP Index</stp>
        <stp>CHG_PCT_5D</stp>
        <stp>28/10/2016</stp>
        <stp>28/10/2016</stp>
        <stp>[Bbg_Market_Data_CL.xlsm]data!R112C4</stp>
        <tr r="D112" s="1"/>
      </tp>
      <tp t="s">
        <v>#N/A Requesting Data...</v>
        <stp/>
        <stp>##V3_BDHV12</stp>
        <stp>SPGSCLP Index</stp>
        <stp>CHG_PCT_5D</stp>
        <stp>08/02/2016</stp>
        <stp>08/02/2016</stp>
        <stp>[Bbg_Market_Data_CL.xlsm]data!R293C4</stp>
        <tr r="D293" s="1"/>
      </tp>
      <tp t="s">
        <v>#N/A Requesting Data...</v>
        <stp/>
        <stp>##V3_BDHV12</stp>
        <stp>SPGSCLP Index</stp>
        <stp>CHG_PCT_1D</stp>
        <stp>29/12/2015</stp>
        <stp>29/12/2015</stp>
        <stp>[Bbg_Market_Data_CL.xlsm]data!R320C3</stp>
        <tr r="C320" s="1"/>
      </tp>
      <tp t="s">
        <v>#N/A Requesting Data...</v>
        <stp/>
        <stp>##V3_BDHV12</stp>
        <stp>SPGSCLP Index</stp>
        <stp>CHG_PCT_1D</stp>
        <stp>28/10/2016</stp>
        <stp>28/10/2016</stp>
        <stp>[Bbg_Market_Data_CL.xlsm]data!R112C3</stp>
        <tr r="C112" s="1"/>
      </tp>
      <tp t="s">
        <v>#N/A Requesting Data...</v>
        <stp/>
        <stp>##V3_BDHV12</stp>
        <stp>CL1 Comdty</stp>
        <stp>30DAY_IMPVOL_90.0%MNY_DF</stp>
        <stp>28/09/2016</stp>
        <stp>28/09/2016</stp>
        <stp>[Bbg_Market_Data_CL.xlsm]data!R132C23</stp>
        <tr r="W132" s="1"/>
      </tp>
      <tp t="s">
        <v>#N/A Requesting Data...</v>
        <stp/>
        <stp>##V3_BDHV12</stp>
        <stp>CL1 Comdty</stp>
        <stp>30DAY_IMPVOL_90.0%MNY_DF</stp>
        <stp>09/09/2015</stp>
        <stp>09/09/2015</stp>
        <stp>[Bbg_Market_Data_CL.xlsm]data!R394C23</stp>
        <tr r="W394" s="1"/>
      </tp>
      <tp t="s">
        <v>#N/A Requesting Data...</v>
        <stp/>
        <stp>##V3_BDHV12</stp>
        <stp>CL1 Comdty</stp>
        <stp>30DAY_IMPVOL_90.0%MNY_DF</stp>
        <stp>19/08/2015</stp>
        <stp>19/08/2015</stp>
        <stp>[Bbg_Market_Data_CL.xlsm]data!R408C23</stp>
        <tr r="W408" s="1"/>
      </tp>
      <tp t="s">
        <v>#N/A Requesting Data...</v>
        <stp/>
        <stp>##V3_BDHV12</stp>
        <stp>SPGSCLP Index</stp>
        <stp>CHG_PCT_1D</stp>
        <stp>29/04/2015</stp>
        <stp>29/04/2015</stp>
        <stp>[Bbg_Market_Data_CL.xlsm]data!R487C3</stp>
        <tr r="C487" s="1"/>
      </tp>
      <tp t="s">
        <v>#N/A Requesting Data...</v>
        <stp/>
        <stp>##V3_BDHV12</stp>
        <stp>SPGSCLP Index</stp>
        <stp>CHG_PCT_5D</stp>
        <stp>29/04/2015</stp>
        <stp>29/04/2015</stp>
        <stp>[Bbg_Market_Data_CL.xlsm]data!R487C4</stp>
        <tr r="D487" s="1"/>
      </tp>
      <tp t="s">
        <v>#N/A Requesting Data...</v>
        <stp/>
        <stp>##V3_BDHV12</stp>
        <stp>SPGSCLP Index</stp>
        <stp>CHG_PCT_5D</stp>
        <stp>29/07/2016</stp>
        <stp>29/07/2016</stp>
        <stp>[Bbg_Market_Data_CL.xlsm]data!R174C4</stp>
        <tr r="D174" s="1"/>
      </tp>
      <tp t="s">
        <v>#N/A Requesting Data...</v>
        <stp/>
        <stp>##V3_BDHV12</stp>
        <stp>SPGSCLP Index</stp>
        <stp>CHG_PCT_1D</stp>
        <stp>29/07/2016</stp>
        <stp>29/07/2016</stp>
        <stp>[Bbg_Market_Data_CL.xlsm]data!R174C3</stp>
        <tr r="C174" s="1"/>
      </tp>
      <tp t="s">
        <v>#N/A Requesting Data...</v>
        <stp/>
        <stp>##V3_BDHV12</stp>
        <stp>SPGSCLP Index</stp>
        <stp>CHG_PCT_1D</stp>
        <stp>17/09/2015</stp>
        <stp>17/09/2015</stp>
        <stp>[Bbg_Market_Data_CL.xlsm]data!R389C3</stp>
        <tr r="C389" s="1"/>
      </tp>
      <tp t="s">
        <v>#N/A Requesting Data...</v>
        <stp/>
        <stp>##V3_BDHV12</stp>
        <stp>SPGSCLP Index</stp>
        <stp>CHG_PCT_5D</stp>
        <stp>17/09/2015</stp>
        <stp>17/09/2015</stp>
        <stp>[Bbg_Market_Data_CL.xlsm]data!R389C4</stp>
        <tr r="D389" s="1"/>
      </tp>
      <tp t="s">
        <v>#N/A Requesting Data...</v>
        <stp/>
        <stp>##V3_BDHV12</stp>
        <stp>SPGSCLP Index</stp>
        <stp>CHG_PCT_1D</stp>
        <stp>29/05/2015</stp>
        <stp>29/05/2015</stp>
        <stp>[Bbg_Market_Data_CL.xlsm]data!R466C3</stp>
        <tr r="C466" s="1"/>
      </tp>
      <tp t="s">
        <v>#N/A Requesting Data...</v>
        <stp/>
        <stp>##V3_BDHV12</stp>
        <stp>SPGSCLP Index</stp>
        <stp>CHG_PCT_5D</stp>
        <stp>29/05/2015</stp>
        <stp>29/05/2015</stp>
        <stp>[Bbg_Market_Data_CL.xlsm]data!R466C4</stp>
        <tr r="D466" s="1"/>
      </tp>
      <tp t="s">
        <v>#N/A Requesting Data...</v>
        <stp/>
        <stp>##V3_BDHV12</stp>
        <stp>SPGSCLP Index</stp>
        <stp>CHG_PCT_5D</stp>
        <stp>29/06/2016</stp>
        <stp>29/06/2016</stp>
        <stp>[Bbg_Market_Data_CL.xlsm]data!R195C4</stp>
        <tr r="D195" s="1"/>
      </tp>
      <tp t="s">
        <v>#N/A Requesting Data...</v>
        <stp/>
        <stp>##V3_BDHV12</stp>
        <stp>SPGSCLP Index</stp>
        <stp>CHG_PCT_1D</stp>
        <stp>29/06/2016</stp>
        <stp>29/06/2016</stp>
        <stp>[Bbg_Market_Data_CL.xlsm]data!R195C3</stp>
        <tr r="C195" s="1"/>
      </tp>
      <tp t="s">
        <v>#N/A Requesting Data...</v>
        <stp/>
        <stp>##V3_BDHV12</stp>
        <stp>SPGSCLP Index</stp>
        <stp>CHG_PCT_5D</stp>
        <stp>05/08/2016</stp>
        <stp>05/08/2016</stp>
        <stp>[Bbg_Market_Data_CL.xlsm]data!R169C4</stp>
        <tr r="D169" s="1"/>
      </tp>
      <tp t="s">
        <v>#N/A Requesting Data...</v>
        <stp/>
        <stp>##V3_BDHV12</stp>
        <stp>SPGSCLP Index</stp>
        <stp>CHG_PCT_1D</stp>
        <stp>05/08/2016</stp>
        <stp>05/08/2016</stp>
        <stp>[Bbg_Market_Data_CL.xlsm]data!R169C3</stp>
        <tr r="C169" s="1"/>
      </tp>
      <tp t="s">
        <v>#N/A Requesting Data...</v>
        <stp/>
        <stp>##V3_BDHV12</stp>
        <stp>CL1 Comdty</stp>
        <stp>30DAY_IMPVOL_95.0%MNY_DF</stp>
        <stp>28/09/2016</stp>
        <stp>28/09/2016</stp>
        <stp>[Bbg_Market_Data_CL.xlsm]data!R132C21</stp>
        <tr r="U132" s="1"/>
      </tp>
      <tp t="s">
        <v>#N/A Requesting Data...</v>
        <stp/>
        <stp>##V3_BDHV12</stp>
        <stp>CL1 Comdty</stp>
        <stp>30DAY_IMPVOL_95.0%MNY_DF</stp>
        <stp>09/09/2015</stp>
        <stp>09/09/2015</stp>
        <stp>[Bbg_Market_Data_CL.xlsm]data!R394C21</stp>
        <tr r="U394" s="1"/>
      </tp>
      <tp t="s">
        <v>#N/A Requesting Data...</v>
        <stp/>
        <stp>##V3_BDHV12</stp>
        <stp>SPGSCLP Index</stp>
        <stp>CHG_PCT_1D</stp>
        <stp>29/06/2015</stp>
        <stp>29/06/2015</stp>
        <stp>[Bbg_Market_Data_CL.xlsm]data!R445C3</stp>
        <tr r="C445" s="1"/>
      </tp>
      <tp t="s">
        <v>#N/A Requesting Data...</v>
        <stp/>
        <stp>##V3_BDHV12</stp>
        <stp>SPGSCLP Index</stp>
        <stp>CHG_PCT_5D</stp>
        <stp>29/06/2015</stp>
        <stp>29/06/2015</stp>
        <stp>[Bbg_Market_Data_CL.xlsm]data!R445C4</stp>
        <tr r="D445" s="1"/>
      </tp>
      <tp t="s">
        <v>#N/A Requesting Data...</v>
        <stp/>
        <stp>##V3_BDHV12</stp>
        <stp>SPGSCLP Index</stp>
        <stp>CHG_PCT_1D</stp>
        <stp>07/09/2016</stp>
        <stp>07/09/2016</stp>
        <stp>[Bbg_Market_Data_CL.xlsm]data!R148C3</stp>
        <tr r="C148" s="1"/>
      </tp>
      <tp t="s">
        <v>#N/A Requesting Data...</v>
        <stp/>
        <stp>##V3_BDHV12</stp>
        <stp>SPGSCLP Index</stp>
        <stp>CHG_PCT_5D</stp>
        <stp>07/09/2016</stp>
        <stp>07/09/2016</stp>
        <stp>[Bbg_Market_Data_CL.xlsm]data!R148C4</stp>
        <tr r="D148" s="1"/>
      </tp>
      <tp t="s">
        <v>#N/A Requesting Data...</v>
        <stp/>
        <stp>##V3_BDHV12</stp>
        <stp>SPGSCLP Index</stp>
        <stp>CHG_PCT_1D</stp>
        <stp>05/08/2015</stp>
        <stp>05/08/2015</stp>
        <stp>[Bbg_Market_Data_CL.xlsm]data!R419C3</stp>
        <tr r="C419" s="1"/>
      </tp>
      <tp t="s">
        <v>#N/A Requesting Data...</v>
        <stp/>
        <stp>##V3_BDHV12</stp>
        <stp>SPGSCLP Index</stp>
        <stp>CHG_PCT_5D</stp>
        <stp>05/08/2015</stp>
        <stp>05/08/2015</stp>
        <stp>[Bbg_Market_Data_CL.xlsm]data!R419C4</stp>
        <tr r="D419" s="1"/>
      </tp>
      <tp t="s">
        <v>#N/A Requesting Data...</v>
        <stp/>
        <stp>##V3_BDHV12</stp>
        <stp>CL1 Comdty</stp>
        <stp>30DAY_IMPVOL_95.0%MNY_DF</stp>
        <stp>29/08/2016</stp>
        <stp>29/08/2016</stp>
        <stp>[Bbg_Market_Data_CL.xlsm]data!R153C21</stp>
        <tr r="U153" s="1"/>
      </tp>
      <tp t="s">
        <v>#N/A Requesting Data...</v>
        <stp/>
        <stp>##V3_BDHV12</stp>
        <stp>CL1 Comdty</stp>
        <stp>30DAY_IMPVOL_95.0%MNY_DF</stp>
        <stp>18/09/2015</stp>
        <stp>18/09/2015</stp>
        <stp>[Bbg_Market_Data_CL.xlsm]data!R387C21</stp>
        <tr r="U387" s="1"/>
      </tp>
      <tp t="s">
        <v>#N/A Requesting Data...</v>
        <stp/>
        <stp>##V3_BDHV12</stp>
        <stp>SPGSCLP Index</stp>
        <stp>CHG_PCT_1D</stp>
        <stp>29/07/2015</stp>
        <stp>29/07/2015</stp>
        <stp>[Bbg_Market_Data_CL.xlsm]data!R424C3</stp>
        <tr r="C424" s="1"/>
      </tp>
      <tp t="s">
        <v>#N/A Requesting Data...</v>
        <stp/>
        <stp>##V3_BDHV12</stp>
        <stp>SPGSCLP Index</stp>
        <stp>CHG_PCT_5D</stp>
        <stp>29/07/2015</stp>
        <stp>29/07/2015</stp>
        <stp>[Bbg_Market_Data_CL.xlsm]data!R424C4</stp>
        <tr r="D424" s="1"/>
      </tp>
      <tp t="s">
        <v>#N/A Requesting Data...</v>
        <stp/>
        <stp>##V3_BDHV12</stp>
        <stp>SPGSCLP Index</stp>
        <stp>CHG_PCT_1D</stp>
        <stp>29/04/2016</stp>
        <stp>29/04/2016</stp>
        <stp>[Bbg_Market_Data_CL.xlsm]data!R237C3</stp>
        <tr r="C237" s="1"/>
      </tp>
      <tp t="s">
        <v>#N/A Requesting Data...</v>
        <stp/>
        <stp>##V3_BDHV12</stp>
        <stp>SPGSCLP Index</stp>
        <stp>CHG_PCT_5D</stp>
        <stp>29/04/2016</stp>
        <stp>29/04/2016</stp>
        <stp>[Bbg_Market_Data_CL.xlsm]data!R237C4</stp>
        <tr r="D237" s="1"/>
      </tp>
      <tp t="s">
        <v>#N/A Requesting Data...</v>
        <stp/>
        <stp>##V3_BDHV12</stp>
        <stp>CL1 Comdty</stp>
        <stp>PX_LAST</stp>
        <stp>28/11/2016</stp>
        <stp>28/11/2016</stp>
        <stp>[Bbg_Market_Data_CL.xlsm]data!R93C9</stp>
        <tr r="I93" s="1"/>
      </tp>
      <tp t="s">
        <v>#N/A Requesting Data...</v>
        <stp/>
        <stp>##V3_BDHV12</stp>
        <stp>CL1 Comdty</stp>
        <stp>PX_LAST</stp>
        <stp>12/12/2016</stp>
        <stp>12/12/2016</stp>
        <stp>[Bbg_Market_Data_CL.xlsm]data!R83C9</stp>
        <tr r="I83" s="1"/>
      </tp>
      <tp t="s">
        <v>#N/A Requesting Data...</v>
        <stp/>
        <stp>##V3_BDHV12</stp>
        <stp>CL1 Comdty</stp>
        <stp>PX_LAST</stp>
        <stp>13/03/2017</stp>
        <stp>13/03/2017</stp>
        <stp>[Bbg_Market_Data_CL.xlsm]data!R22C9</stp>
        <tr r="I22" s="1"/>
      </tp>
      <tp t="s">
        <v>#N/A Requesting Data...</v>
        <stp/>
        <stp>##V3_BDHV12</stp>
        <stp>CL2 Comdty</stp>
        <stp>PX_LAST</stp>
        <stp>27/12/2016</stp>
        <stp>27/12/2016</stp>
        <stp>[Bbg_Market_Data_CL.xlsm]data!R73C9</stp>
        <tr r="I73" s="1"/>
      </tp>
      <tp t="s">
        <v>#N/A Requesting Data...</v>
        <stp/>
        <stp>##V3_BDHV12</stp>
        <stp>CL2 Comdty</stp>
        <stp>PX_LAST</stp>
        <stp>27/03/2017</stp>
        <stp>27/03/2017</stp>
        <stp>[Bbg_Market_Data_CL.xlsm]data!R12C9</stp>
        <tr r="I12" s="1"/>
      </tp>
      <tp t="s">
        <v>#N/A Requesting Data...</v>
        <stp/>
        <stp>##V3_BDHV12</stp>
        <stp>CL2 Comdty</stp>
        <stp>PX_LAST</stp>
        <stp>12/01/2017</stp>
        <stp>12/01/2017</stp>
        <stp>[Bbg_Market_Data_CL.xlsm]data!R62C9</stp>
        <tr r="I62" s="1"/>
      </tp>
      <tp t="s">
        <v>#N/A Requesting Data...</v>
        <stp/>
        <stp>##V3_BDHV12</stp>
        <stp>CL1 Comdty</stp>
        <stp>PX_LAST</stp>
        <stp>10/02/2017</stp>
        <stp>10/02/2017</stp>
        <stp>[Bbg_Market_Data_CL.xlsm]data!R42C9</stp>
        <tr r="I42" s="1"/>
      </tp>
      <tp t="s">
        <v>#N/A Requesting Data...</v>
        <stp/>
        <stp>##V3_BDHV12</stp>
        <stp>CL1 Comdty</stp>
        <stp>PX_LAST</stp>
        <stp>27/01/2017</stp>
        <stp>27/01/2017</stp>
        <stp>[Bbg_Market_Data_CL.xlsm]data!R52C9</stp>
        <tr r="I52" s="1"/>
      </tp>
      <tp t="s">
        <v>#N/A Requesting Data...</v>
        <stp/>
        <stp>##V3_BDHV12</stp>
        <stp>CL2 Comdty</stp>
        <stp>PX_LAST</stp>
        <stp>27/02/2017</stp>
        <stp>27/02/2017</stp>
        <stp>[Bbg_Market_Data_CL.xlsm]data!R32C9</stp>
        <tr r="I32" s="1"/>
      </tp>
      <tp t="s">
        <v>#N/A Requesting Data...</v>
        <stp/>
        <stp>##V3_BDHV12</stp>
        <stp>CL1 Comdty</stp>
        <stp>PX_LAST</stp>
        <stp>12/01/2017</stp>
        <stp>12/01/2017</stp>
        <stp>[Bbg_Market_Data_CL.xlsm]data!R62C9</stp>
        <tr r="I62" s="1"/>
      </tp>
      <tp t="s">
        <v>#N/A Requesting Data...</v>
        <stp/>
        <stp>##V3_BDHV12</stp>
        <stp>CL2 Comdty</stp>
        <stp>PX_LAST</stp>
        <stp>10/02/2017</stp>
        <stp>10/02/2017</stp>
        <stp>[Bbg_Market_Data_CL.xlsm]data!R42C9</stp>
        <tr r="I42" s="1"/>
      </tp>
      <tp t="s">
        <v>#N/A Requesting Data...</v>
        <stp/>
        <stp>##V3_BDHV12</stp>
        <stp>CL2 Comdty</stp>
        <stp>PX_LAST</stp>
        <stp>27/01/2017</stp>
        <stp>27/01/2017</stp>
        <stp>[Bbg_Market_Data_CL.xlsm]data!R52C9</stp>
        <tr r="I52" s="1"/>
      </tp>
      <tp t="s">
        <v>#N/A Requesting Data...</v>
        <stp/>
        <stp>##V3_BDHV12</stp>
        <stp>CL1 Comdty</stp>
        <stp>PX_LAST</stp>
        <stp>27/02/2017</stp>
        <stp>27/02/2017</stp>
        <stp>[Bbg_Market_Data_CL.xlsm]data!R32C9</stp>
        <tr r="I32" s="1"/>
      </tp>
      <tp t="s">
        <v>#N/A Requesting Data...</v>
        <stp/>
        <stp>##V3_BDHV12</stp>
        <stp>CL2 Comdty</stp>
        <stp>PX_LAST</stp>
        <stp>28/11/2016</stp>
        <stp>28/11/2016</stp>
        <stp>[Bbg_Market_Data_CL.xlsm]data!R93C9</stp>
        <tr r="I93" s="1"/>
      </tp>
      <tp t="s">
        <v>#N/A Requesting Data...</v>
        <stp/>
        <stp>##V3_BDHV12</stp>
        <stp>CL2 Comdty</stp>
        <stp>PX_LAST</stp>
        <stp>12/12/2016</stp>
        <stp>12/12/2016</stp>
        <stp>[Bbg_Market_Data_CL.xlsm]data!R83C9</stp>
        <tr r="I83" s="1"/>
      </tp>
      <tp t="s">
        <v>#N/A Requesting Data...</v>
        <stp/>
        <stp>##V3_BDHV12</stp>
        <stp>CL2 Comdty</stp>
        <stp>PX_LAST</stp>
        <stp>13/03/2017</stp>
        <stp>13/03/2017</stp>
        <stp>[Bbg_Market_Data_CL.xlsm]data!R22C9</stp>
        <tr r="I22" s="1"/>
      </tp>
      <tp t="s">
        <v>#N/A Requesting Data...</v>
        <stp/>
        <stp>##V3_BDHV12</stp>
        <stp>CL1 Comdty</stp>
        <stp>PX_LAST</stp>
        <stp>27/12/2016</stp>
        <stp>27/12/2016</stp>
        <stp>[Bbg_Market_Data_CL.xlsm]data!R73C9</stp>
        <tr r="I73" s="1"/>
      </tp>
      <tp t="s">
        <v>#N/A Requesting Data...</v>
        <stp/>
        <stp>##V3_BDHV12</stp>
        <stp>CL1 Comdty</stp>
        <stp>PX_LAST</stp>
        <stp>27/03/2017</stp>
        <stp>27/03/2017</stp>
        <stp>[Bbg_Market_Data_CL.xlsm]data!R12C9</stp>
        <tr r="I12" s="1"/>
      </tp>
      <tp t="s">
        <v>#N/A Requesting Data...</v>
        <stp/>
        <stp>##V3_BDHV12</stp>
        <stp>CL1 Comdty</stp>
        <stp>30DAY_IMPVOL_95.0%MNY_DF</stp>
        <stp>26/08/2016</stp>
        <stp>26/08/2016</stp>
        <stp>[Bbg_Market_Data_CL.xlsm]data!R154C21</stp>
        <tr r="U154" s="1"/>
      </tp>
      <tp t="s">
        <v>#N/A Requesting Data...</v>
        <stp/>
        <stp>##V3_BDHV12</stp>
        <stp>CL1 Comdty</stp>
        <stp>30DAY_IMPVOL_90.0%MNY_DF</stp>
        <stp>25/08/2015</stp>
        <stp>25/08/2015</stp>
        <stp>[Bbg_Market_Data_CL.xlsm]data!R404C23</stp>
        <tr r="W404" s="1"/>
      </tp>
      <tp t="s">
        <v>#N/A Requesting Data...</v>
        <stp/>
        <stp>##V3_BDHV12</stp>
        <stp>CL1 Comdty</stp>
        <stp>30DAY_IMPVOL_95.0%MNY_DF</stp>
        <stp>17/09/2015</stp>
        <stp>17/09/2015</stp>
        <stp>[Bbg_Market_Data_CL.xlsm]data!R388C21</stp>
        <tr r="U388" s="1"/>
      </tp>
      <tp t="s">
        <v>#N/A Requesting Data...</v>
        <stp/>
        <stp>##V3_BDHV12</stp>
        <stp>CL1 Comdty</stp>
        <stp>30DAY_IMPVOL_95.0%MNY_DF</stp>
        <stp>27/09/2016</stp>
        <stp>27/09/2016</stp>
        <stp>[Bbg_Market_Data_CL.xlsm]data!R133C21</stp>
        <tr r="U133" s="1"/>
      </tp>
      <tp t="s">
        <v>#N/A Requesting Data...</v>
        <stp/>
        <stp>##V3_BDHV12</stp>
        <stp>SPGSCLP Index</stp>
        <stp>CHG_PCT_5D</stp>
        <stp>08/09/2016</stp>
        <stp>08/09/2016</stp>
        <stp>[Bbg_Market_Data_CL.xlsm]data!R147C4</stp>
        <tr r="D147" s="1"/>
      </tp>
      <tp t="s">
        <v>#N/A Requesting Data...</v>
        <stp/>
        <stp>##V3_BDHV12</stp>
        <stp>SPGSCLP Index</stp>
        <stp>CHG_PCT_1D</stp>
        <stp>08/09/2016</stp>
        <stp>08/09/2016</stp>
        <stp>[Bbg_Market_Data_CL.xlsm]data!R147C3</stp>
        <tr r="C147" s="1"/>
      </tp>
      <tp t="s">
        <v>#N/A Requesting Data...</v>
        <stp/>
        <stp>##V3_BDHV12</stp>
        <stp>CL1 Comdty</stp>
        <stp>30DAY_IMPVOL_95.0%MNY_DF</stp>
        <stp>14/09/2016</stp>
        <stp>14/09/2016</stp>
        <stp>[Bbg_Market_Data_CL.xlsm]data!R142C21</stp>
        <tr r="U142" s="1"/>
      </tp>
      <tp t="s">
        <v>#N/A Requesting Data...</v>
        <stp/>
        <stp>##V3_BDHV12</stp>
        <stp>CL1 Comdty</stp>
        <stp>30DAY_IMPVOL_95.0%MNY_DF</stp>
        <stp>04/08/2016</stp>
        <stp>04/08/2016</stp>
        <stp>[Bbg_Market_Data_CL.xlsm]data!R169C21</stp>
        <tr r="U169" s="1"/>
      </tp>
      <tp t="s">
        <v>#N/A Requesting Data...</v>
        <stp/>
        <stp>##V3_BDHV12</stp>
        <stp>CL1 Comdty</stp>
        <stp>30DAY_IMPVOL_90.0%MNY_DF</stp>
        <stp>07/08/2015</stp>
        <stp>07/08/2015</stp>
        <stp>[Bbg_Market_Data_CL.xlsm]data!R416C23</stp>
        <tr r="W416" s="1"/>
      </tp>
      <tp t="s">
        <v>#N/A Requesting Data...</v>
        <stp/>
        <stp>##V3_BDHV12</stp>
        <stp>SPGSCLP Index</stp>
        <stp>CHG_PCT_1D</stp>
        <stp>25/05/2016</stp>
        <stp>25/05/2016</stp>
        <stp>[Bbg_Market_Data_CL.xlsm]data!R219C3</stp>
        <tr r="C219" s="1"/>
      </tp>
      <tp t="s">
        <v>#N/A Requesting Data...</v>
        <stp/>
        <stp>##V3_BDHV12</stp>
        <stp>SPGSCLP Index</stp>
        <stp>CHG_PCT_5D</stp>
        <stp>25/05/2016</stp>
        <stp>25/05/2016</stp>
        <stp>[Bbg_Market_Data_CL.xlsm]data!R219C4</stp>
        <tr r="D219" s="1"/>
      </tp>
      <tp t="s">
        <v>#N/A Requesting Data...</v>
        <stp/>
        <stp>##V3_BDHV12</stp>
        <stp>SPGSCLP Index</stp>
        <stp>CHG_PCT_5D</stp>
        <stp>26/05/2015</stp>
        <stp>26/05/2015</stp>
        <stp>[Bbg_Market_Data_CL.xlsm]data!R469C4</stp>
        <tr r="D469" s="1"/>
      </tp>
      <tp t="s">
        <v>#N/A Requesting Data...</v>
        <stp/>
        <stp>##V3_BDHV12</stp>
        <stp>SPGSCLP Index</stp>
        <stp>CHG_PCT_1D</stp>
        <stp>26/05/2015</stp>
        <stp>26/05/2015</stp>
        <stp>[Bbg_Market_Data_CL.xlsm]data!R469C3</stp>
        <tr r="C469" s="1"/>
      </tp>
      <tp t="s">
        <v>#N/A Requesting Data...</v>
        <stp/>
        <stp>##V3_BDHV12</stp>
        <stp>CL1 Comdty</stp>
        <stp>30DAY_IMPVOL_95.0%MNY_DF</stp>
        <stp>15/08/2016</stp>
        <stp>15/08/2016</stp>
        <stp>[Bbg_Market_Data_CL.xlsm]data!R163C21</stp>
        <tr r="U163" s="1"/>
      </tp>
      <tp t="s">
        <v>#N/A Requesting Data...</v>
        <stp/>
        <stp>##V3_BDHV12</stp>
        <stp>CL1 Comdty</stp>
        <stp>30DAY_IMPVOL_95.0%MNY_DF</stp>
        <stp>24/09/2015</stp>
        <stp>24/09/2015</stp>
        <stp>[Bbg_Market_Data_CL.xlsm]data!R383C21</stp>
        <tr r="U383" s="1"/>
      </tp>
      <tp t="s">
        <v>#N/A Requesting Data...</v>
        <stp/>
        <stp>##V3_BDHV12</stp>
        <stp>SPGSCLP Index</stp>
        <stp>CHG_PCT_5D</stp>
        <stp>29/08/2016</stp>
        <stp>29/08/2016</stp>
        <stp>[Bbg_Market_Data_CL.xlsm]data!R154C4</stp>
        <tr r="D154" s="1"/>
      </tp>
      <tp t="s">
        <v>#N/A Requesting Data...</v>
        <stp/>
        <stp>##V3_BDHV12</stp>
        <stp>SPGSCLP Index</stp>
        <stp>CHG_PCT_1D</stp>
        <stp>29/08/2016</stp>
        <stp>29/08/2016</stp>
        <stp>[Bbg_Market_Data_CL.xlsm]data!R154C3</stp>
        <tr r="C154" s="1"/>
      </tp>
      <tp>
        <v>52.13</v>
        <stp/>
        <stp>##V3_BDHV12</stp>
        <stp>CL2 Comdty</stp>
        <stp>PX_OPEN</stp>
        <stp>07/04/2017</stp>
        <stp>07/04/2017</stp>
        <stp>[Bbg_Market_Data_CL.xlsm]data!R3C5</stp>
        <tr r="E3" s="1"/>
      </tp>
      <tp>
        <v>51.15</v>
        <stp/>
        <stp>##V3_BDHV12</stp>
        <stp>CL2 Comdty</stp>
        <stp>PX_OPEN</stp>
        <stp>03/04/2017</stp>
        <stp>03/04/2017</stp>
        <stp>[Bbg_Market_Data_CL.xlsm]data!R7C5</stp>
        <tr r="E7" s="1"/>
      </tp>
      <tp t="s">
        <v>#N/A Requesting Data...</v>
        <stp/>
        <stp>##V3_BDHV12</stp>
        <stp>CL1 Comdty</stp>
        <stp>PX_OPEN</stp>
        <stp>07/04/2017</stp>
        <stp>07/04/2017</stp>
        <stp>[Bbg_Market_Data_CL.xlsm]data!R3C5</stp>
        <tr r="E3" s="1"/>
      </tp>
      <tp t="s">
        <v>#N/A Requesting Data...</v>
        <stp/>
        <stp>##V3_BDHV12</stp>
        <stp>CL1 Comdty</stp>
        <stp>PX_OPEN</stp>
        <stp>03/04/2017</stp>
        <stp>03/04/2017</stp>
        <stp>[Bbg_Market_Data_CL.xlsm]data!R7C5</stp>
        <tr r="E7" s="1"/>
      </tp>
      <tp t="s">
        <v>#N/A Requesting Data...</v>
        <stp/>
        <stp>##V3_BDHV12</stp>
        <stp>CL1 Comdty</stp>
        <stp>30DAY_IMPVOL_90.0%MNY_DF</stp>
        <stp>27/09/2016</stp>
        <stp>27/09/2016</stp>
        <stp>[Bbg_Market_Data_CL.xlsm]data!R133C23</stp>
        <tr r="W133" s="1"/>
      </tp>
      <tp t="s">
        <v>#N/A Requesting Data...</v>
        <stp/>
        <stp>##V3_BDHV12</stp>
        <stp>CL1 Comdty</stp>
        <stp>30DAY_IMPVOL_90.0%MNY_DF</stp>
        <stp>26/08/2016</stp>
        <stp>26/08/2016</stp>
        <stp>[Bbg_Market_Data_CL.xlsm]data!R154C23</stp>
        <tr r="W154" s="1"/>
      </tp>
      <tp t="s">
        <v>#N/A Requesting Data...</v>
        <stp/>
        <stp>##V3_BDHV12</stp>
        <stp>CL1 Comdty</stp>
        <stp>30DAY_IMPVOL_95.0%MNY_DF</stp>
        <stp>25/08/2015</stp>
        <stp>25/08/2015</stp>
        <stp>[Bbg_Market_Data_CL.xlsm]data!R404C21</stp>
        <tr r="U404" s="1"/>
      </tp>
      <tp t="s">
        <v>#N/A Requesting Data...</v>
        <stp/>
        <stp>##V3_BDHV12</stp>
        <stp>CL1 Comdty</stp>
        <stp>30DAY_IMPVOL_90.0%MNY_DF</stp>
        <stp>17/09/2015</stp>
        <stp>17/09/2015</stp>
        <stp>[Bbg_Market_Data_CL.xlsm]data!R388C23</stp>
        <tr r="W388" s="1"/>
      </tp>
      <tp t="s">
        <v>#N/A Requesting Data...</v>
        <stp/>
        <stp>##V3_BDHV12</stp>
        <stp>CL1 Comdty</stp>
        <stp>30DAY_IMPVOL_90.0%MNY_DF</stp>
        <stp>15/08/2016</stp>
        <stp>15/08/2016</stp>
        <stp>[Bbg_Market_Data_CL.xlsm]data!R163C23</stp>
        <tr r="W163" s="1"/>
      </tp>
      <tp t="s">
        <v>#N/A Requesting Data...</v>
        <stp/>
        <stp>##V3_BDHV12</stp>
        <stp>CL1 Comdty</stp>
        <stp>30DAY_IMPVOL_90.0%MNY_DF</stp>
        <stp>24/09/2015</stp>
        <stp>24/09/2015</stp>
        <stp>[Bbg_Market_Data_CL.xlsm]data!R383C23</stp>
        <tr r="W383" s="1"/>
      </tp>
      <tp t="s">
        <v>#N/A Requesting Data...</v>
        <stp/>
        <stp>##V3_BDHV12</stp>
        <stp>CL1 Comdty</stp>
        <stp>30DAY_IMPVOL_90.0%MNY_DF</stp>
        <stp>04/08/2016</stp>
        <stp>04/08/2016</stp>
        <stp>[Bbg_Market_Data_CL.xlsm]data!R169C23</stp>
        <tr r="W169" s="1"/>
      </tp>
      <tp t="s">
        <v>#N/A Requesting Data...</v>
        <stp/>
        <stp>##V3_BDHV12</stp>
        <stp>CL1 Comdty</stp>
        <stp>30DAY_IMPVOL_90.0%MNY_DF</stp>
        <stp>14/09/2016</stp>
        <stp>14/09/2016</stp>
        <stp>[Bbg_Market_Data_CL.xlsm]data!R142C23</stp>
        <tr r="W142" s="1"/>
      </tp>
      <tp t="s">
        <v>#N/A Requesting Data...</v>
        <stp/>
        <stp>##V3_BDHV12</stp>
        <stp>CL1 Comdty</stp>
        <stp>30DAY_IMPVOL_95.0%MNY_DF</stp>
        <stp>07/08/2015</stp>
        <stp>07/08/2015</stp>
        <stp>[Bbg_Market_Data_CL.xlsm]data!R416C21</stp>
        <tr r="U416" s="1"/>
      </tp>
      <tp t="s">
        <v>#N/A Requesting Data...</v>
        <stp/>
        <stp>##V3_BDHV12</stp>
        <stp>SPGSCLP Index</stp>
        <stp>CHG_PCT_5D</stp>
        <stp>11/07/2016</stp>
        <stp>11/07/2016</stp>
        <stp>[Bbg_Market_Data_CL.xlsm]data!R188C4</stp>
        <tr r="D188" s="1"/>
      </tp>
      <tp t="s">
        <v>#N/A Requesting Data...</v>
        <stp/>
        <stp>##V3_BDHV12</stp>
        <stp>SPGSCLP Index</stp>
        <stp>CHG_PCT_1D</stp>
        <stp>11/07/2016</stp>
        <stp>11/07/2016</stp>
        <stp>[Bbg_Market_Data_CL.xlsm]data!R188C3</stp>
        <tr r="C188" s="1"/>
      </tp>
      <tp t="s">
        <v>#N/A Requesting Data...</v>
        <stp/>
        <stp>##V3_BDHV12</stp>
        <stp>CL1 Comdty</stp>
        <stp>30DAY_IMPVOL_95.0%MNY_DF</stp>
        <stp>18/06/2015</stp>
        <stp>18/06/2015</stp>
        <stp>[Bbg_Market_Data_CL.xlsm]data!R451C21</stp>
        <tr r="U451" s="1"/>
      </tp>
      <tp t="s">
        <v>#N/A Requesting Data...</v>
        <stp/>
        <stp>##V3_BDHV12</stp>
        <stp>CL1 Comdty</stp>
        <stp>30DAY_IMPVOL_95.0%MNY_DF</stp>
        <stp>28/05/2015</stp>
        <stp>28/05/2015</stp>
        <stp>[Bbg_Market_Data_CL.xlsm]data!R466C21</stp>
        <tr r="U466" s="1"/>
      </tp>
      <tp t="s">
        <v>#N/A Requesting Data...</v>
        <stp/>
        <stp>##V3_BDHV12</stp>
        <stp>CL1 Comdty</stp>
        <stp>30DAY_IMPVOL_90.0%MNY_DF</stp>
        <stp>08/04/2016</stp>
        <stp>08/04/2016</stp>
        <stp>[Bbg_Market_Data_CL.xlsm]data!R251C23</stp>
        <tr r="W251" s="1"/>
      </tp>
      <tp t="s">
        <v>#N/A Requesting Data...</v>
        <stp/>
        <stp>##V3_BDHV12</stp>
        <stp>CL1 Comdty</stp>
        <stp>30DAY_IMPVOL_90.0%MNY_DF</stp>
        <stp>18/05/2016</stp>
        <stp>18/05/2016</stp>
        <stp>[Bbg_Market_Data_CL.xlsm]data!R223C23</stp>
        <tr r="W223" s="1"/>
      </tp>
      <tp t="s">
        <v>#N/A Requesting Data...</v>
        <stp/>
        <stp>##V3_BDHV12</stp>
        <stp>CL1 Comdty</stp>
        <stp>30DAY_IMPVOL_95.0%MNY_DF</stp>
        <stp>08/07/2015</stp>
        <stp>08/07/2015</stp>
        <stp>[Bbg_Market_Data_CL.xlsm]data!R438C21</stp>
        <tr r="U438" s="1"/>
      </tp>
      <tp t="s">
        <v>#N/A Requesting Data...</v>
        <stp/>
        <stp>##V3_BDHV12</stp>
        <stp>CL1 Comdty</stp>
        <stp>30DAY_IMPVOL_95.0%MNY_DF</stp>
        <stp>09/06/2015</stp>
        <stp>09/06/2015</stp>
        <stp>[Bbg_Market_Data_CL.xlsm]data!R458C21</stp>
        <tr r="U458" s="1"/>
      </tp>
      <tp t="s">
        <v>#N/A Requesting Data...</v>
        <stp/>
        <stp>##V3_BDHV12</stp>
        <stp>CL1 Comdty</stp>
        <stp>30DAY_IMPVOL_90.0%MNY_DF</stp>
        <stp>19/04/2016</stp>
        <stp>19/04/2016</stp>
        <stp>[Bbg_Market_Data_CL.xlsm]data!R244C23</stp>
        <tr r="W244" s="1"/>
      </tp>
      <tp t="s">
        <v>#N/A Requesting Data...</v>
        <stp/>
        <stp>##V3_BDHV12</stp>
        <stp>CL1 Comdty</stp>
        <stp>30DAY_IMPVOL_90.0%MNY_DF</stp>
        <stp>09/05/2016</stp>
        <stp>09/05/2016</stp>
        <stp>[Bbg_Market_Data_CL.xlsm]data!R230C23</stp>
        <tr r="W230" s="1"/>
      </tp>
      <tp t="s">
        <v>#N/A Requesting Data...</v>
        <stp/>
        <stp>##V3_BDHV12</stp>
        <stp>CL1 Comdty</stp>
        <stp>30DAY_IMPVOL_95.0%MNY_DF</stp>
        <stp>29/04/2015</stp>
        <stp>29/04/2015</stp>
        <stp>[Bbg_Market_Data_CL.xlsm]data!R486C21</stp>
        <tr r="U486" s="1"/>
      </tp>
      <tp t="s">
        <v>#N/A Requesting Data...</v>
        <stp/>
        <stp>##V3_BDHV12</stp>
        <stp>SPGSCLP Index</stp>
        <stp>CHG_PCT_5D</stp>
        <stp>10/08/2016</stp>
        <stp>10/08/2016</stp>
        <stp>[Bbg_Market_Data_CL.xlsm]data!R167C4</stp>
        <tr r="D167" s="1"/>
      </tp>
      <tp t="s">
        <v>#N/A Requesting Data...</v>
        <stp/>
        <stp>##V3_BDHV12</stp>
        <stp>SPGSCLP Index</stp>
        <stp>CHG_PCT_1D</stp>
        <stp>10/08/2016</stp>
        <stp>10/08/2016</stp>
        <stp>[Bbg_Market_Data_CL.xlsm]data!R167C3</stp>
        <tr r="C167" s="1"/>
      </tp>
      <tp t="s">
        <v>#N/A Requesting Data...</v>
        <stp/>
        <stp>##V3_BDHV12</stp>
        <stp>CL1 Comdty</stp>
        <stp>30DAY_IMPVOL_90.0%MNY_DF</stp>
        <stp>29/07/2016</stp>
        <stp>29/07/2016</stp>
        <stp>[Bbg_Market_Data_CL.xlsm]data!R173C23</stp>
        <tr r="W173" s="1"/>
      </tp>
      <tp t="s">
        <v>#N/A Requesting Data...</v>
        <stp/>
        <stp>##V3_BDHV12</stp>
        <stp>CL1 Comdty</stp>
        <stp>30DAY_IMPVOL_90.0%MNY_DF</stp>
        <stp>28/06/2016</stp>
        <stp>28/06/2016</stp>
        <stp>[Bbg_Market_Data_CL.xlsm]data!R195C23</stp>
        <tr r="W195" s="1"/>
      </tp>
      <tp t="s">
        <v>#N/A Requesting Data...</v>
        <stp/>
        <stp>##V3_BDHV12</stp>
        <stp>SPGSCLP Index</stp>
        <stp>CHG_PCT_1D</stp>
        <stp>23/09/2015</stp>
        <stp>23/09/2015</stp>
        <stp>[Bbg_Market_Data_CL.xlsm]data!R385C3</stp>
        <tr r="C385" s="1"/>
      </tp>
      <tp t="s">
        <v>#N/A Requesting Data...</v>
        <stp/>
        <stp>##V3_BDHV12</stp>
        <stp>SPGSCLP Index</stp>
        <stp>CHG_PCT_5D</stp>
        <stp>23/09/2015</stp>
        <stp>23/09/2015</stp>
        <stp>[Bbg_Market_Data_CL.xlsm]data!R385C4</stp>
        <tr r="D385" s="1"/>
      </tp>
      <tp t="s">
        <v>#N/A Requesting Data...</v>
        <stp/>
        <stp>##V3_BDHV12</stp>
        <stp>CL1 Comdty</stp>
        <stp>30DAY_IMPVOL_95.0%MNY_DF</stp>
        <stp>19/04/2016</stp>
        <stp>19/04/2016</stp>
        <stp>[Bbg_Market_Data_CL.xlsm]data!R244C21</stp>
        <tr r="U244" s="1"/>
      </tp>
      <tp t="s">
        <v>#N/A Requesting Data...</v>
        <stp/>
        <stp>##V3_BDHV12</stp>
        <stp>CL1 Comdty</stp>
        <stp>30DAY_IMPVOL_90.0%MNY_DF</stp>
        <stp>09/06/2015</stp>
        <stp>09/06/2015</stp>
        <stp>[Bbg_Market_Data_CL.xlsm]data!R458C23</stp>
        <tr r="W458" s="1"/>
      </tp>
      <tp t="s">
        <v>#N/A Requesting Data...</v>
        <stp/>
        <stp>##V3_BDHV12</stp>
        <stp>CL1 Comdty</stp>
        <stp>30DAY_IMPVOL_95.0%MNY_DF</stp>
        <stp>09/05/2016</stp>
        <stp>09/05/2016</stp>
        <stp>[Bbg_Market_Data_CL.xlsm]data!R230C21</stp>
        <tr r="U230" s="1"/>
      </tp>
      <tp t="s">
        <v>#N/A Requesting Data...</v>
        <stp/>
        <stp>##V3_BDHV12</stp>
        <stp>CL1 Comdty</stp>
        <stp>30DAY_IMPVOL_90.0%MNY_DF</stp>
        <stp>29/04/2015</stp>
        <stp>29/04/2015</stp>
        <stp>[Bbg_Market_Data_CL.xlsm]data!R486C23</stp>
        <tr r="W486" s="1"/>
      </tp>
      <tp t="s">
        <v>#N/A Requesting Data...</v>
        <stp/>
        <stp>##V3_BDHV12</stp>
        <stp>SPGSCLP Index</stp>
        <stp>CHG_PCT_1D</stp>
        <stp>08/07/2015</stp>
        <stp>08/07/2015</stp>
        <stp>[Bbg_Market_Data_CL.xlsm]data!R439C3</stp>
        <tr r="C439" s="1"/>
      </tp>
      <tp t="s">
        <v>#N/A Requesting Data...</v>
        <stp/>
        <stp>##V3_BDHV12</stp>
        <stp>SPGSCLP Index</stp>
        <stp>CHG_PCT_5D</stp>
        <stp>08/07/2015</stp>
        <stp>08/07/2015</stp>
        <stp>[Bbg_Market_Data_CL.xlsm]data!R439C4</stp>
        <tr r="D439" s="1"/>
      </tp>
      <tp t="s">
        <v>#N/A Requesting Data...</v>
        <stp/>
        <stp>##V3_BDHV12</stp>
        <stp>CL1 Comdty</stp>
        <stp>30DAY_IMPVOL_90.0%MNY_DF</stp>
        <stp>28/05/2015</stp>
        <stp>28/05/2015</stp>
        <stp>[Bbg_Market_Data_CL.xlsm]data!R466C23</stp>
        <tr r="W466" s="1"/>
      </tp>
      <tp t="s">
        <v>#N/A Requesting Data...</v>
        <stp/>
        <stp>##V3_BDHV12</stp>
        <stp>CL1 Comdty</stp>
        <stp>30DAY_IMPVOL_95.0%MNY_DF</stp>
        <stp>08/04/2016</stp>
        <stp>08/04/2016</stp>
        <stp>[Bbg_Market_Data_CL.xlsm]data!R251C21</stp>
        <tr r="U251" s="1"/>
      </tp>
      <tp t="s">
        <v>#N/A Requesting Data...</v>
        <stp/>
        <stp>##V3_BDHV12</stp>
        <stp>CL1 Comdty</stp>
        <stp>30DAY_IMPVOL_90.0%MNY_DF</stp>
        <stp>18/06/2015</stp>
        <stp>18/06/2015</stp>
        <stp>[Bbg_Market_Data_CL.xlsm]data!R451C23</stp>
        <tr r="W451" s="1"/>
      </tp>
      <tp t="s">
        <v>#N/A Requesting Data...</v>
        <stp/>
        <stp>##V3_BDHV12</stp>
        <stp>CL1 Comdty</stp>
        <stp>30DAY_IMPVOL_90.0%MNY_DF</stp>
        <stp>08/07/2015</stp>
        <stp>08/07/2015</stp>
        <stp>[Bbg_Market_Data_CL.xlsm]data!R438C23</stp>
        <tr r="W438" s="1"/>
      </tp>
      <tp t="s">
        <v>#N/A Requesting Data...</v>
        <stp/>
        <stp>##V3_BDHV12</stp>
        <stp>CL1 Comdty</stp>
        <stp>30DAY_IMPVOL_95.0%MNY_DF</stp>
        <stp>18/05/2016</stp>
        <stp>18/05/2016</stp>
        <stp>[Bbg_Market_Data_CL.xlsm]data!R223C21</stp>
        <tr r="U223" s="1"/>
      </tp>
      <tp t="s">
        <v>#N/A Requesting Data...</v>
        <stp/>
        <stp>##V3_BDHV12</stp>
        <stp>SPGSCLP Index</stp>
        <stp>CHG_PCT_1D</stp>
        <stp>28/04/2015</stp>
        <stp>28/04/2015</stp>
        <stp>[Bbg_Market_Data_CL.xlsm]data!R488C3</stp>
        <tr r="C488" s="1"/>
      </tp>
      <tp t="s">
        <v>#N/A Requesting Data...</v>
        <stp/>
        <stp>##V3_BDHV12</stp>
        <stp>SPGSCLP Index</stp>
        <stp>CHG_PCT_5D</stp>
        <stp>28/04/2015</stp>
        <stp>28/04/2015</stp>
        <stp>[Bbg_Market_Data_CL.xlsm]data!R488C4</stp>
        <tr r="D488" s="1"/>
      </tp>
      <tp t="s">
        <v>#N/A Requesting Data...</v>
        <stp/>
        <stp>##V3_BDHV12</stp>
        <stp>SPGSCLP Index</stp>
        <stp>CHG_PCT_1D</stp>
        <stp>26/09/2016</stp>
        <stp>26/09/2016</stp>
        <stp>[Bbg_Market_Data_CL.xlsm]data!R135C3</stp>
        <tr r="C135" s="1"/>
      </tp>
      <tp t="s">
        <v>#N/A Requesting Data...</v>
        <stp/>
        <stp>##V3_BDHV12</stp>
        <stp>SPGSCLP Index</stp>
        <stp>CHG_PCT_5D</stp>
        <stp>26/09/2016</stp>
        <stp>26/09/2016</stp>
        <stp>[Bbg_Market_Data_CL.xlsm]data!R135C4</stp>
        <tr r="D135" s="1"/>
      </tp>
      <tp t="s">
        <v>#N/A Requesting Data...</v>
        <stp/>
        <stp>##V3_BDHV12</stp>
        <stp>CL1 Comdty</stp>
        <stp>30DAY_IMPVOL_95.0%MNY_DF</stp>
        <stp>28/06/2016</stp>
        <stp>28/06/2016</stp>
        <stp>[Bbg_Market_Data_CL.xlsm]data!R195C21</stp>
        <tr r="U195" s="1"/>
      </tp>
      <tp t="s">
        <v>#N/A Requesting Data...</v>
        <stp/>
        <stp>##V3_BDHV12</stp>
        <stp>SPGSCLP Index</stp>
        <stp>CHG_PCT_1D</stp>
        <stp>28/04/2016</stp>
        <stp>28/04/2016</stp>
        <stp>[Bbg_Market_Data_CL.xlsm]data!R238C3</stp>
        <tr r="C238" s="1"/>
      </tp>
      <tp t="s">
        <v>#N/A Requesting Data...</v>
        <stp/>
        <stp>##V3_BDHV12</stp>
        <stp>SPGSCLP Index</stp>
        <stp>CHG_PCT_5D</stp>
        <stp>28/04/2016</stp>
        <stp>28/04/2016</stp>
        <stp>[Bbg_Market_Data_CL.xlsm]data!R238C4</stp>
        <tr r="D238" s="1"/>
      </tp>
      <tp t="s">
        <v>#N/A Requesting Data...</v>
        <stp/>
        <stp>##V3_BDHV12</stp>
        <stp>SPGSCLP Index</stp>
        <stp>CHG_PCT_5D</stp>
        <stp>04/09/2015</stp>
        <stp>04/09/2015</stp>
        <stp>[Bbg_Market_Data_CL.xlsm]data!R397C4</stp>
        <tr r="D397" s="1"/>
      </tp>
      <tp t="s">
        <v>#N/A Requesting Data...</v>
        <stp/>
        <stp>##V3_BDHV12</stp>
        <stp>SPGSCLP Index</stp>
        <stp>CHG_PCT_1D</stp>
        <stp>04/09/2015</stp>
        <stp>04/09/2015</stp>
        <stp>[Bbg_Market_Data_CL.xlsm]data!R397C3</stp>
        <tr r="C397" s="1"/>
      </tp>
      <tp t="s">
        <v>#N/A Requesting Data...</v>
        <stp/>
        <stp>##V3_BDHV12</stp>
        <stp>CL1 Comdty</stp>
        <stp>30DAY_IMPVOL_95.0%MNY_DF</stp>
        <stp>29/07/2016</stp>
        <stp>29/07/2016</stp>
        <stp>[Bbg_Market_Data_CL.xlsm]data!R173C21</stp>
        <tr r="U173" s="1"/>
      </tp>
      <tp t="s">
        <v>#N/A Requesting Data...</v>
        <stp/>
        <stp>##V3_BDHV12</stp>
        <stp>SPGSCLP Index</stp>
        <stp>CHG_PCT_5D</stp>
        <stp>08/07/2016</stp>
        <stp>08/07/2016</stp>
        <stp>[Bbg_Market_Data_CL.xlsm]data!R189C4</stp>
        <tr r="D189" s="1"/>
      </tp>
      <tp t="s">
        <v>#N/A Requesting Data...</v>
        <stp/>
        <stp>##V3_BDHV12</stp>
        <stp>SPGSCLP Index</stp>
        <stp>CHG_PCT_1D</stp>
        <stp>08/07/2016</stp>
        <stp>08/07/2016</stp>
        <stp>[Bbg_Market_Data_CL.xlsm]data!R189C3</stp>
        <tr r="C189" s="1"/>
      </tp>
      <tp t="s">
        <v>#N/A Requesting Data...</v>
        <stp/>
        <stp>##V3_BDHV12</stp>
        <stp>SPGSCLP Index</stp>
        <stp>CHG_PCT_5D</stp>
        <stp>26/08/2015</stp>
        <stp>26/08/2015</stp>
        <stp>[Bbg_Market_Data_CL.xlsm]data!R404C4</stp>
        <tr r="D404" s="1"/>
      </tp>
      <tp t="s">
        <v>#N/A Requesting Data...</v>
        <stp/>
        <stp>##V3_BDHV12</stp>
        <stp>SPGSCLP Index</stp>
        <stp>CHG_PCT_1D</stp>
        <stp>26/08/2015</stp>
        <stp>26/08/2015</stp>
        <stp>[Bbg_Market_Data_CL.xlsm]data!R404C3</stp>
        <tr r="C404" s="1"/>
      </tp>
      <tp t="s">
        <v>#N/A Requesting Data...</v>
        <stp/>
        <stp>##V3_BDHV12</stp>
        <stp>CL2 Comdty</stp>
        <stp>PX_LAST</stp>
        <stp>28/12/2016</stp>
        <stp>28/12/2016</stp>
        <stp>[Bbg_Market_Data_CL.xlsm]data!R72C9</stp>
        <tr r="I72" s="1"/>
      </tp>
      <tp t="s">
        <v>#N/A Requesting Data...</v>
        <stp/>
        <stp>##V3_BDHV12</stp>
        <stp>CL1 Comdty</stp>
        <stp>PX_LAST</stp>
        <stp>09/02/2017</stp>
        <stp>09/02/2017</stp>
        <stp>[Bbg_Market_Data_CL.xlsm]data!R43C9</stp>
        <tr r="I43" s="1"/>
      </tp>
      <tp t="s">
        <v>#N/A Requesting Data...</v>
        <stp/>
        <stp>##V3_BDHV12</stp>
        <stp>CL1 Comdty</stp>
        <stp>PX_LAST</stp>
        <stp>29/11/2016</stp>
        <stp>29/11/2016</stp>
        <stp>[Bbg_Market_Data_CL.xlsm]data!R92C9</stp>
        <tr r="I92" s="1"/>
      </tp>
      <tp t="s">
        <v>#N/A Requesting Data...</v>
        <stp/>
        <stp>##V3_BDHV12</stp>
        <stp>CL1 Comdty</stp>
        <stp>PX_LAST</stp>
        <stp>13/12/2016</stp>
        <stp>13/12/2016</stp>
        <stp>[Bbg_Market_Data_CL.xlsm]data!R82C9</stp>
        <tr r="I82" s="1"/>
      </tp>
      <tp t="s">
        <v>#N/A Requesting Data...</v>
        <stp/>
        <stp>##V3_BDHV12</stp>
        <stp>CL1 Comdty</stp>
        <stp>PX_LAST</stp>
        <stp>10/03/2017</stp>
        <stp>10/03/2017</stp>
        <stp>[Bbg_Market_Data_CL.xlsm]data!R23C9</stp>
        <tr r="I23" s="1"/>
      </tp>
      <tp t="s">
        <v>#N/A Requesting Data...</v>
        <stp/>
        <stp>##V3_BDHV12</stp>
        <stp>CL2 Comdty</stp>
        <stp>PX_LAST</stp>
        <stp>24/03/2017</stp>
        <stp>24/03/2017</stp>
        <stp>[Bbg_Market_Data_CL.xlsm]data!R13C9</stp>
        <tr r="I13" s="1"/>
      </tp>
      <tp t="s">
        <v>#N/A Requesting Data...</v>
        <stp/>
        <stp>##V3_BDHV12</stp>
        <stp>CL2 Comdty</stp>
        <stp>PX_LAST</stp>
        <stp>11/01/2017</stp>
        <stp>11/01/2017</stp>
        <stp>[Bbg_Market_Data_CL.xlsm]data!R63C9</stp>
        <tr r="I63" s="1"/>
      </tp>
      <tp t="s">
        <v>#N/A Requesting Data...</v>
        <stp/>
        <stp>##V3_BDHV12</stp>
        <stp>CL2 Comdty</stp>
        <stp>PX_LAST</stp>
        <stp>24/02/2017</stp>
        <stp>24/02/2017</stp>
        <stp>[Bbg_Market_Data_CL.xlsm]data!R33C9</stp>
        <tr r="I33" s="1"/>
      </tp>
      <tp t="s">
        <v>#N/A Requesting Data...</v>
        <stp/>
        <stp>##V3_BDHV12</stp>
        <stp>CL1 Comdty</stp>
        <stp>PX_LAST</stp>
        <stp>26/01/2017</stp>
        <stp>26/01/2017</stp>
        <stp>[Bbg_Market_Data_CL.xlsm]data!R53C9</stp>
        <tr r="I53" s="1"/>
      </tp>
      <tp t="s">
        <v>#N/A Requesting Data...</v>
        <stp/>
        <stp>##V3_BDHV12</stp>
        <stp>CL1 Comdty</stp>
        <stp>PX_LAST</stp>
        <stp>11/01/2017</stp>
        <stp>11/01/2017</stp>
        <stp>[Bbg_Market_Data_CL.xlsm]data!R63C9</stp>
        <tr r="I63" s="1"/>
      </tp>
      <tp t="s">
        <v>#N/A Requesting Data...</v>
        <stp/>
        <stp>##V3_BDHV12</stp>
        <stp>CL1 Comdty</stp>
        <stp>PX_LAST</stp>
        <stp>24/02/2017</stp>
        <stp>24/02/2017</stp>
        <stp>[Bbg_Market_Data_CL.xlsm]data!R33C9</stp>
        <tr r="I33" s="1"/>
      </tp>
      <tp t="s">
        <v>#N/A Requesting Data...</v>
        <stp/>
        <stp>##V3_BDHV12</stp>
        <stp>CL2 Comdty</stp>
        <stp>PX_LAST</stp>
        <stp>26/01/2017</stp>
        <stp>26/01/2017</stp>
        <stp>[Bbg_Market_Data_CL.xlsm]data!R53C9</stp>
        <tr r="I53" s="1"/>
      </tp>
      <tp t="s">
        <v>#N/A Requesting Data...</v>
        <stp/>
        <stp>##V3_BDHV12</stp>
        <stp>CL1 Comdty</stp>
        <stp>PX_LAST</stp>
        <stp>28/12/2016</stp>
        <stp>28/12/2016</stp>
        <stp>[Bbg_Market_Data_CL.xlsm]data!R72C9</stp>
        <tr r="I72" s="1"/>
      </tp>
      <tp t="s">
        <v>#N/A Requesting Data...</v>
        <stp/>
        <stp>##V3_BDHV12</stp>
        <stp>CL2 Comdty</stp>
        <stp>PX_LAST</stp>
        <stp>09/02/2017</stp>
        <stp>09/02/2017</stp>
        <stp>[Bbg_Market_Data_CL.xlsm]data!R43C9</stp>
        <tr r="I43" s="1"/>
      </tp>
      <tp t="s">
        <v>#N/A Requesting Data...</v>
        <stp/>
        <stp>##V3_BDHV12</stp>
        <stp>CL2 Comdty</stp>
        <stp>PX_LAST</stp>
        <stp>29/11/2016</stp>
        <stp>29/11/2016</stp>
        <stp>[Bbg_Market_Data_CL.xlsm]data!R92C9</stp>
        <tr r="I92" s="1"/>
      </tp>
      <tp t="s">
        <v>#N/A Requesting Data...</v>
        <stp/>
        <stp>##V3_BDHV12</stp>
        <stp>CL2 Comdty</stp>
        <stp>PX_LAST</stp>
        <stp>13/12/2016</stp>
        <stp>13/12/2016</stp>
        <stp>[Bbg_Market_Data_CL.xlsm]data!R82C9</stp>
        <tr r="I82" s="1"/>
      </tp>
      <tp t="s">
        <v>#N/A Requesting Data...</v>
        <stp/>
        <stp>##V3_BDHV12</stp>
        <stp>CL2 Comdty</stp>
        <stp>PX_LAST</stp>
        <stp>10/03/2017</stp>
        <stp>10/03/2017</stp>
        <stp>[Bbg_Market_Data_CL.xlsm]data!R23C9</stp>
        <tr r="I23" s="1"/>
      </tp>
      <tp t="s">
        <v>#N/A Requesting Data...</v>
        <stp/>
        <stp>##V3_BDHV12</stp>
        <stp>CL1 Comdty</stp>
        <stp>PX_LAST</stp>
        <stp>24/03/2017</stp>
        <stp>24/03/2017</stp>
        <stp>[Bbg_Market_Data_CL.xlsm]data!R13C9</stp>
        <tr r="I13" s="1"/>
      </tp>
      <tp t="s">
        <v>#N/A Requesting Data...</v>
        <stp/>
        <stp>##V3_BDHV12</stp>
        <stp>CL1 Comdty</stp>
        <stp>30DAY_IMPVOL_95.0%MNY_DF</stp>
        <stp>26/09/2016</stp>
        <stp>26/09/2016</stp>
        <stp>[Bbg_Market_Data_CL.xlsm]data!R134C21</stp>
        <tr r="U134" s="1"/>
      </tp>
      <tp t="s">
        <v>#N/A Requesting Data...</v>
        <stp/>
        <stp>##V3_BDHV12</stp>
        <stp>SPGSCLP Index</stp>
        <stp>CHG_PCT_5D</stp>
        <stp>09/09/2016</stp>
        <stp>09/09/2016</stp>
        <stp>[Bbg_Market_Data_CL.xlsm]data!R146C4</stp>
        <tr r="D146" s="1"/>
      </tp>
      <tp t="s">
        <v>#N/A Requesting Data...</v>
        <stp/>
        <stp>##V3_BDHV12</stp>
        <stp>SPGSCLP Index</stp>
        <stp>CHG_PCT_1D</stp>
        <stp>09/09/2016</stp>
        <stp>09/09/2016</stp>
        <stp>[Bbg_Market_Data_CL.xlsm]data!R146C3</stp>
        <tr r="C146" s="1"/>
      </tp>
      <tp t="s">
        <v>#N/A Requesting Data...</v>
        <stp/>
        <stp>##V3_BDHV12</stp>
        <stp>CL1 Comdty</stp>
        <stp>30DAY_IMPVOL_90.0%MNY_DF</stp>
        <stp>24/08/2015</stp>
        <stp>24/08/2015</stp>
        <stp>[Bbg_Market_Data_CL.xlsm]data!R405C23</stp>
        <tr r="W405" s="1"/>
      </tp>
      <tp t="s">
        <v>#N/A Requesting Data...</v>
        <stp/>
        <stp>##V3_BDHV12</stp>
        <stp>CL1 Comdty</stp>
        <stp>30DAY_IMPVOL_95.0%MNY_DF</stp>
        <stp>16/09/2015</stp>
        <stp>16/09/2015</stp>
        <stp>[Bbg_Market_Data_CL.xlsm]data!R389C21</stp>
        <tr r="U389" s="1"/>
      </tp>
      <tp t="s">
        <v>#N/A Requesting Data...</v>
        <stp/>
        <stp>##V3_BDHV12</stp>
        <stp>SPGSCLP Index</stp>
        <stp>CHG_PCT_5D</stp>
        <stp>27/04/2016</stp>
        <stp>27/04/2016</stp>
        <stp>[Bbg_Market_Data_CL.xlsm]data!R239C4</stp>
        <tr r="D239" s="1"/>
      </tp>
      <tp t="s">
        <v>#N/A Requesting Data...</v>
        <stp/>
        <stp>##V3_BDHV12</stp>
        <stp>SPGSCLP Index</stp>
        <stp>CHG_PCT_5D</stp>
        <stp>26/05/2016</stp>
        <stp>26/05/2016</stp>
        <stp>[Bbg_Market_Data_CL.xlsm]data!R218C4</stp>
        <tr r="D218" s="1"/>
      </tp>
      <tp t="s">
        <v>#N/A Requesting Data...</v>
        <stp/>
        <stp>##V3_BDHV12</stp>
        <stp>SPGSCLP Index</stp>
        <stp>CHG_PCT_1D</stp>
        <stp>26/05/2016</stp>
        <stp>26/05/2016</stp>
        <stp>[Bbg_Market_Data_CL.xlsm]data!R218C3</stp>
        <tr r="C218" s="1"/>
      </tp>
      <tp t="s">
        <v>#N/A Requesting Data...</v>
        <stp/>
        <stp>##V3_BDHV12</stp>
        <stp>SPGSCLP Index</stp>
        <stp>CHG_PCT_1D</stp>
        <stp>27/04/2016</stp>
        <stp>27/04/2016</stp>
        <stp>[Bbg_Market_Data_CL.xlsm]data!R239C3</stp>
        <tr r="C239" s="1"/>
      </tp>
      <tp t="s">
        <v>#N/A Requesting Data...</v>
        <stp/>
        <stp>##V3_BDHV12</stp>
        <stp>CL1 Comdty</stp>
        <stp>30DAY_IMPVOL_90.0%MNY_DF</stp>
        <stp>17/08/2015</stp>
        <stp>17/08/2015</stp>
        <stp>[Bbg_Market_Data_CL.xlsm]data!R410C23</stp>
        <tr r="W410" s="1"/>
      </tp>
      <tp t="s">
        <v>#N/A Requesting Data...</v>
        <stp/>
        <stp>##V3_BDHV12</stp>
        <stp>CL1 Comdty</stp>
        <stp>30DAY_IMPVOL_95.0%MNY_DF</stp>
        <stp>25/09/2015</stp>
        <stp>25/09/2015</stp>
        <stp>[Bbg_Market_Data_CL.xlsm]data!R382C21</stp>
        <tr r="U382" s="1"/>
      </tp>
      <tp t="s">
        <v>#N/A Requesting Data...</v>
        <stp/>
        <stp>##V3_BDHV12</stp>
        <stp>SPGSCLP Index</stp>
        <stp>CHG_PCT_5D</stp>
        <stp>08/09/2015</stp>
        <stp>08/09/2015</stp>
        <stp>[Bbg_Market_Data_CL.xlsm]data!R396C4</stp>
        <tr r="D396" s="1"/>
      </tp>
      <tp t="s">
        <v>#N/A Requesting Data...</v>
        <stp/>
        <stp>##V3_BDHV12</stp>
        <stp>SPGSCLP Index</stp>
        <stp>CHG_PCT_1D</stp>
        <stp>08/09/2015</stp>
        <stp>08/09/2015</stp>
        <stp>[Bbg_Market_Data_CL.xlsm]data!R396C3</stp>
        <tr r="C396" s="1"/>
      </tp>
      <tp t="s">
        <v>#N/A Requesting Data...</v>
        <stp/>
        <stp>##V3_BDHV12</stp>
        <stp>SPGSCLP Index</stp>
        <stp>CHG_PCT_5D</stp>
        <stp>27/04/2015</stp>
        <stp>27/04/2015</stp>
        <stp>[Bbg_Market_Data_CL.xlsm]data!R489C4</stp>
        <tr r="D489" s="1"/>
      </tp>
      <tp t="s">
        <v>#N/A Requesting Data...</v>
        <stp/>
        <stp>##V3_BDHV12</stp>
        <stp>SPGSCLP Index</stp>
        <stp>CHG_PCT_1D</stp>
        <stp>27/04/2015</stp>
        <stp>27/04/2015</stp>
        <stp>[Bbg_Market_Data_CL.xlsm]data!R489C3</stp>
        <tr r="C489" s="1"/>
      </tp>
      <tp t="s">
        <v>#N/A Requesting Data...</v>
        <stp/>
        <stp>##V3_BDHV12</stp>
        <stp>CL1 Comdty</stp>
        <stp>30DAY_IMPVOL_95.0%MNY_DF</stp>
        <stp>15/09/2016</stp>
        <stp>15/09/2016</stp>
        <stp>[Bbg_Market_Data_CL.xlsm]data!R141C21</stp>
        <tr r="U141" s="1"/>
      </tp>
      <tp t="s">
        <v>#N/A Requesting Data...</v>
        <stp/>
        <stp>##V3_BDHV12</stp>
        <stp>CL1 Comdty</stp>
        <stp>30DAY_IMPVOL_95.0%MNY_DF</stp>
        <stp>05/08/2016</stp>
        <stp>05/08/2016</stp>
        <stp>[Bbg_Market_Data_CL.xlsm]data!R168C21</stp>
        <tr r="U168" s="1"/>
      </tp>
      <tp t="s">
        <v>#N/A Requesting Data...</v>
        <stp/>
        <stp>##V3_BDHV12</stp>
        <stp>CL1 Comdty</stp>
        <stp>30DAY_IMPVOL_90.0%MNY_DF</stp>
        <stp>06/08/2015</stp>
        <stp>06/08/2015</stp>
        <stp>[Bbg_Market_Data_CL.xlsm]data!R417C23</stp>
        <tr r="W417" s="1"/>
      </tp>
      <tp t="s">
        <v>#N/A Requesting Data...</v>
        <stp/>
        <stp>##V3_BDHV12</stp>
        <stp>SPGSCLP Index</stp>
        <stp>CHG_PCT_5D</stp>
        <stp>27/05/2015</stp>
        <stp>27/05/2015</stp>
        <stp>[Bbg_Market_Data_CL.xlsm]data!R468C4</stp>
        <tr r="D468" s="1"/>
      </tp>
      <tp t="s">
        <v>#N/A Requesting Data...</v>
        <stp/>
        <stp>##V3_BDHV12</stp>
        <stp>SPGSCLP Index</stp>
        <stp>CHG_PCT_1D</stp>
        <stp>27/05/2015</stp>
        <stp>27/05/2015</stp>
        <stp>[Bbg_Market_Data_CL.xlsm]data!R468C3</stp>
        <tr r="C468" s="1"/>
      </tp>
      <tp t="s">
        <v>#N/A Requesting Data...</v>
        <stp/>
        <stp>##V3_BDHV12</stp>
        <stp>CL1 Comdty</stp>
        <stp>30DAY_IMPVOL_95.0%MNY_DF</stp>
        <stp>24/08/2015</stp>
        <stp>24/08/2015</stp>
        <stp>[Bbg_Market_Data_CL.xlsm]data!R405C21</stp>
        <tr r="U405" s="1"/>
      </tp>
      <tp t="s">
        <v>#N/A Requesting Data...</v>
        <stp/>
        <stp>##V3_BDHV12</stp>
        <stp>CL1 Comdty</stp>
        <stp>30DAY_IMPVOL_90.0%MNY_DF</stp>
        <stp>16/09/2015</stp>
        <stp>16/09/2015</stp>
        <stp>[Bbg_Market_Data_CL.xlsm]data!R389C23</stp>
        <tr r="W389" s="1"/>
      </tp>
      <tp t="s">
        <v>#N/A Requesting Data...</v>
        <stp/>
        <stp>##V3_BDHV12</stp>
        <stp>SPGSCLP Index</stp>
        <stp>CHG_PCT_1D</stp>
        <stp>10/06/2015</stp>
        <stp>10/06/2015</stp>
        <stp>[Bbg_Market_Data_CL.xlsm]data!R458C3</stp>
        <tr r="C458" s="1"/>
      </tp>
      <tp t="s">
        <v>#N/A Requesting Data...</v>
        <stp/>
        <stp>##V3_BDHV12</stp>
        <stp>SPGSCLP Index</stp>
        <stp>CHG_PCT_5D</stp>
        <stp>10/06/2015</stp>
        <stp>10/06/2015</stp>
        <stp>[Bbg_Market_Data_CL.xlsm]data!R458C4</stp>
        <tr r="D458" s="1"/>
      </tp>
      <tp t="s">
        <v>#N/A Requesting Data...</v>
        <stp/>
        <stp>##V3_BDHV12</stp>
        <stp>CL1 Comdty</stp>
        <stp>30DAY_IMPVOL_90.0%MNY_DF</stp>
        <stp>26/09/2016</stp>
        <stp>26/09/2016</stp>
        <stp>[Bbg_Market_Data_CL.xlsm]data!R134C23</stp>
        <tr r="W134" s="1"/>
      </tp>
      <tp t="s">
        <v>#N/A Requesting Data...</v>
        <stp/>
        <stp>##V3_BDHV12</stp>
        <stp>CL1 Comdty</stp>
        <stp>30DAY_IMPVOL_90.0%MNY_DF</stp>
        <stp>05/08/2016</stp>
        <stp>05/08/2016</stp>
        <stp>[Bbg_Market_Data_CL.xlsm]data!R168C23</stp>
        <tr r="W168" s="1"/>
      </tp>
      <tp t="s">
        <v>#N/A Requesting Data...</v>
        <stp/>
        <stp>##V3_BDHV12</stp>
        <stp>CL1 Comdty</stp>
        <stp>30DAY_IMPVOL_90.0%MNY_DF</stp>
        <stp>15/09/2016</stp>
        <stp>15/09/2016</stp>
        <stp>[Bbg_Market_Data_CL.xlsm]data!R141C23</stp>
        <tr r="W141" s="1"/>
      </tp>
      <tp t="s">
        <v>#N/A Requesting Data...</v>
        <stp/>
        <stp>##V3_BDHV12</stp>
        <stp>CL1 Comdty</stp>
        <stp>30DAY_IMPVOL_95.0%MNY_DF</stp>
        <stp>06/08/2015</stp>
        <stp>06/08/2015</stp>
        <stp>[Bbg_Market_Data_CL.xlsm]data!R417C21</stp>
        <tr r="U417" s="1"/>
      </tp>
      <tp t="s">
        <v>#N/A Requesting Data...</v>
        <stp/>
        <stp>##V3_BDHV12</stp>
        <stp>CL1 Comdty</stp>
        <stp>30DAY_IMPVOL_95.0%MNY_DF</stp>
        <stp>17/08/2015</stp>
        <stp>17/08/2015</stp>
        <stp>[Bbg_Market_Data_CL.xlsm]data!R410C21</stp>
        <tr r="U410" s="1"/>
      </tp>
      <tp t="s">
        <v>#N/A Requesting Data...</v>
        <stp/>
        <stp>##V3_BDHV12</stp>
        <stp>CL1 Comdty</stp>
        <stp>30DAY_IMPVOL_90.0%MNY_DF</stp>
        <stp>25/09/2015</stp>
        <stp>25/09/2015</stp>
        <stp>[Bbg_Market_Data_CL.xlsm]data!R382C23</stp>
        <tr r="W382" s="1"/>
      </tp>
      <tp t="s">
        <v>#N/A Requesting Data...</v>
        <stp/>
        <stp>##V3_BDHV12</stp>
        <stp>SPGSCLP Index</stp>
        <stp>CHG_PCT_1D</stp>
        <stp>10/06/2016</stp>
        <stp>10/06/2016</stp>
        <stp>[Bbg_Market_Data_CL.xlsm]data!R208C3</stp>
        <tr r="C208" s="1"/>
      </tp>
      <tp t="s">
        <v>#N/A Requesting Data...</v>
        <stp/>
        <stp>##V3_BDHV12</stp>
        <stp>SPGSCLP Index</stp>
        <stp>CHG_PCT_5D</stp>
        <stp>10/06/2016</stp>
        <stp>10/06/2016</stp>
        <stp>[Bbg_Market_Data_CL.xlsm]data!R208C4</stp>
        <tr r="D208" s="1"/>
      </tp>
      <tp t="s">
        <v>#N/A Requesting Data...</v>
        <stp/>
        <stp>##V3_BDHV12</stp>
        <stp>CL1 Comdty</stp>
        <stp>30DAY_IMPVOL_95.0%MNY_DF</stp>
        <stp>08/06/2015</stp>
        <stp>08/06/2015</stp>
        <stp>[Bbg_Market_Data_CL.xlsm]data!R459C21</stp>
        <tr r="U459" s="1"/>
      </tp>
      <tp t="s">
        <v>#N/A Requesting Data...</v>
        <stp/>
        <stp>##V3_BDHV12</stp>
        <stp>CL1 Comdty</stp>
        <stp>30DAY_IMPVOL_90.0%MNY_DF</stp>
        <stp>18/04/2016</stp>
        <stp>18/04/2016</stp>
        <stp>[Bbg_Market_Data_CL.xlsm]data!R245C23</stp>
        <tr r="W245" s="1"/>
      </tp>
      <tp t="s">
        <v>#N/A Requesting Data...</v>
        <stp/>
        <stp>##V3_BDHV12</stp>
        <stp>CL1 Comdty</stp>
        <stp>30DAY_IMPVOL_95.0%MNY_DF</stp>
        <stp>28/04/2015</stp>
        <stp>28/04/2015</stp>
        <stp>[Bbg_Market_Data_CL.xlsm]data!R487C21</stp>
        <tr r="U487" s="1"/>
      </tp>
      <tp t="s">
        <v>#N/A Requesting Data...</v>
        <stp/>
        <stp>##V3_BDHV12</stp>
        <stp>SPGSCLP Index</stp>
        <stp>CHG_PCT_5D</stp>
        <stp>11/08/2016</stp>
        <stp>11/08/2016</stp>
        <stp>[Bbg_Market_Data_CL.xlsm]data!R166C4</stp>
        <tr r="D166" s="1"/>
      </tp>
      <tp t="s">
        <v>#N/A Requesting Data...</v>
        <stp/>
        <stp>##V3_BDHV12</stp>
        <stp>SPGSCLP Index</stp>
        <stp>CHG_PCT_1D</stp>
        <stp>11/08/2016</stp>
        <stp>11/08/2016</stp>
        <stp>[Bbg_Market_Data_CL.xlsm]data!R166C3</stp>
        <tr r="C166" s="1"/>
      </tp>
      <tp t="s">
        <v>#N/A Requesting Data...</v>
        <stp/>
        <stp>##V3_BDHV12</stp>
        <stp>CL1 Comdty</stp>
        <stp>30DAY_IMPVOL_95.0%MNY_DF</stp>
        <stp>19/06/2015</stp>
        <stp>19/06/2015</stp>
        <stp>[Bbg_Market_Data_CL.xlsm]data!R450C21</stp>
        <tr r="U450" s="1"/>
      </tp>
      <tp t="s">
        <v>#N/A Requesting Data...</v>
        <stp/>
        <stp>##V3_BDHV12</stp>
        <stp>CL1 Comdty</stp>
        <stp>30DAY_IMPVOL_95.0%MNY_DF</stp>
        <stp>29/05/2015</stp>
        <stp>29/05/2015</stp>
        <stp>[Bbg_Market_Data_CL.xlsm]data!R465C21</stp>
        <tr r="U465" s="1"/>
      </tp>
      <tp t="s">
        <v>#N/A Requesting Data...</v>
        <stp/>
        <stp>##V3_BDHV12</stp>
        <stp>CL1 Comdty</stp>
        <stp>30DAY_IMPVOL_90.0%MNY_DF</stp>
        <stp>19/05/2016</stp>
        <stp>19/05/2016</stp>
        <stp>[Bbg_Market_Data_CL.xlsm]data!R222C23</stp>
        <tr r="W222" s="1"/>
      </tp>
      <tp t="s">
        <v>#N/A Requesting Data...</v>
        <stp/>
        <stp>##V3_BDHV12</stp>
        <stp>CL1 Comdty</stp>
        <stp>30DAY_IMPVOL_95.0%MNY_DF</stp>
        <stp>09/07/2015</stp>
        <stp>09/07/2015</stp>
        <stp>[Bbg_Market_Data_CL.xlsm]data!R437C21</stp>
        <tr r="U437" s="1"/>
      </tp>
      <tp t="s">
        <v>#N/A Requesting Data...</v>
        <stp/>
        <stp>##V3_BDHV12</stp>
        <stp>CL1 Comdty</stp>
        <stp>30DAY_IMPVOL_90.0%MNY_DF</stp>
        <stp>29/06/2016</stp>
        <stp>29/06/2016</stp>
        <stp>[Bbg_Market_Data_CL.xlsm]data!R194C23</stp>
        <tr r="W194" s="1"/>
      </tp>
      <tp t="s">
        <v>#N/A Requesting Data...</v>
        <stp/>
        <stp>##V3_BDHV12</stp>
        <stp>SPGSCLP Index</stp>
        <stp>CHG_PCT_1D</stp>
        <stp>10/08/2015</stp>
        <stp>10/08/2015</stp>
        <stp>[Bbg_Market_Data_CL.xlsm]data!R416C3</stp>
        <tr r="C416" s="1"/>
      </tp>
      <tp t="s">
        <v>#N/A Requesting Data...</v>
        <stp/>
        <stp>##V3_BDHV12</stp>
        <stp>SPGSCLP Index</stp>
        <stp>CHG_PCT_5D</stp>
        <stp>10/08/2015</stp>
        <stp>10/08/2015</stp>
        <stp>[Bbg_Market_Data_CL.xlsm]data!R416C4</stp>
        <tr r="D416" s="1"/>
      </tp>
      <tp t="s">
        <v>#N/A Requesting Data...</v>
        <stp/>
        <stp>##V3_BDHV12</stp>
        <stp>CL1 Comdty</stp>
        <stp>30DAY_IMPVOL_90.0%MNY_DF</stp>
        <stp>28/07/2016</stp>
        <stp>28/07/2016</stp>
        <stp>[Bbg_Market_Data_CL.xlsm]data!R174C23</stp>
        <tr r="W174" s="1"/>
      </tp>
      <tp t="s">
        <v>#N/A Requesting Data...</v>
        <stp/>
        <stp>##V3_BDHV12</stp>
        <stp>CL1 Comdty</stp>
        <stp>30DAY_IMPVOL_90.0%MNY_DF</stp>
        <stp>29/05/2015</stp>
        <stp>29/05/2015</stp>
        <stp>[Bbg_Market_Data_CL.xlsm]data!R465C23</stp>
        <tr r="W465" s="1"/>
      </tp>
      <tp t="s">
        <v>#N/A Requesting Data...</v>
        <stp/>
        <stp>##V3_BDHV12</stp>
        <stp>CL1 Comdty</stp>
        <stp>30DAY_IMPVOL_90.0%MNY_DF</stp>
        <stp>19/06/2015</stp>
        <stp>19/06/2015</stp>
        <stp>[Bbg_Market_Data_CL.xlsm]data!R450C23</stp>
        <tr r="W450" s="1"/>
      </tp>
      <tp t="s">
        <v>#N/A Requesting Data...</v>
        <stp/>
        <stp>##V3_BDHV12</stp>
        <stp>CL1 Comdty</stp>
        <stp>30DAY_IMPVOL_90.0%MNY_DF</stp>
        <stp>09/07/2015</stp>
        <stp>09/07/2015</stp>
        <stp>[Bbg_Market_Data_CL.xlsm]data!R437C23</stp>
        <tr r="W437" s="1"/>
      </tp>
      <tp t="s">
        <v>#N/A Requesting Data...</v>
        <stp/>
        <stp>##V3_BDHV12</stp>
        <stp>CL1 Comdty</stp>
        <stp>30DAY_IMPVOL_95.0%MNY_DF</stp>
        <stp>19/05/2016</stp>
        <stp>19/05/2016</stp>
        <stp>[Bbg_Market_Data_CL.xlsm]data!R222C21</stp>
        <tr r="U222" s="1"/>
      </tp>
      <tp t="s">
        <v>#N/A Requesting Data...</v>
        <stp/>
        <stp>##V3_BDHV12</stp>
        <stp>SPGSCLP Index</stp>
        <stp>CHG_PCT_1D</stp>
        <stp>09/06/2015</stp>
        <stp>09/06/2015</stp>
        <stp>[Bbg_Market_Data_CL.xlsm]data!R459C3</stp>
        <tr r="C459" s="1"/>
      </tp>
      <tp t="s">
        <v>#N/A Requesting Data...</v>
        <stp/>
        <stp>##V3_BDHV12</stp>
        <stp>SPGSCLP Index</stp>
        <stp>CHG_PCT_5D</stp>
        <stp>09/06/2015</stp>
        <stp>09/06/2015</stp>
        <stp>[Bbg_Market_Data_CL.xlsm]data!R459C4</stp>
        <tr r="D459" s="1"/>
      </tp>
      <tp t="s">
        <v>#N/A Requesting Data...</v>
        <stp/>
        <stp>##V3_BDHV12</stp>
        <stp>SPGSCLP Index</stp>
        <stp>CHG_PCT_1D</stp>
        <stp>27/09/2016</stp>
        <stp>27/09/2016</stp>
        <stp>[Bbg_Market_Data_CL.xlsm]data!R134C3</stp>
        <tr r="C134" s="1"/>
      </tp>
      <tp t="s">
        <v>#N/A Requesting Data...</v>
        <stp/>
        <stp>##V3_BDHV12</stp>
        <stp>SPGSCLP Index</stp>
        <stp>CHG_PCT_5D</stp>
        <stp>24/09/2015</stp>
        <stp>24/09/2015</stp>
        <stp>[Bbg_Market_Data_CL.xlsm]data!R384C4</stp>
        <tr r="D384" s="1"/>
      </tp>
      <tp t="s">
        <v>#N/A Requesting Data...</v>
        <stp/>
        <stp>##V3_BDHV12</stp>
        <stp>SPGSCLP Index</stp>
        <stp>CHG_PCT_1D</stp>
        <stp>26/08/2016</stp>
        <stp>26/08/2016</stp>
        <stp>[Bbg_Market_Data_CL.xlsm]data!R155C3</stp>
        <tr r="C155" s="1"/>
      </tp>
      <tp t="s">
        <v>#N/A Requesting Data...</v>
        <stp/>
        <stp>##V3_BDHV12</stp>
        <stp>SPGSCLP Index</stp>
        <stp>CHG_PCT_1D</stp>
        <stp>24/09/2015</stp>
        <stp>24/09/2015</stp>
        <stp>[Bbg_Market_Data_CL.xlsm]data!R384C3</stp>
        <tr r="C384" s="1"/>
      </tp>
      <tp t="s">
        <v>#N/A Requesting Data...</v>
        <stp/>
        <stp>##V3_BDHV12</stp>
        <stp>SPGSCLP Index</stp>
        <stp>CHG_PCT_5D</stp>
        <stp>26/08/2016</stp>
        <stp>26/08/2016</stp>
        <stp>[Bbg_Market_Data_CL.xlsm]data!R155C4</stp>
        <tr r="D155" s="1"/>
      </tp>
      <tp t="s">
        <v>#N/A Requesting Data...</v>
        <stp/>
        <stp>##V3_BDHV12</stp>
        <stp>SPGSCLP Index</stp>
        <stp>CHG_PCT_5D</stp>
        <stp>27/09/2016</stp>
        <stp>27/09/2016</stp>
        <stp>[Bbg_Market_Data_CL.xlsm]data!R134C4</stp>
        <tr r="D134" s="1"/>
      </tp>
      <tp t="s">
        <v>#N/A Requesting Data...</v>
        <stp/>
        <stp>##V3_BDHV12</stp>
        <stp>SPGSCLP Index</stp>
        <stp>CHG_PCT_1D</stp>
        <stp>25/08/2015</stp>
        <stp>25/08/2015</stp>
        <stp>[Bbg_Market_Data_CL.xlsm]data!R405C3</stp>
        <tr r="C405" s="1"/>
      </tp>
      <tp t="s">
        <v>#N/A Requesting Data...</v>
        <stp/>
        <stp>##V3_BDHV12</stp>
        <stp>SPGSCLP Index</stp>
        <stp>CHG_PCT_5D</stp>
        <stp>07/08/2015</stp>
        <stp>07/08/2015</stp>
        <stp>[Bbg_Market_Data_CL.xlsm]data!R417C4</stp>
        <tr r="D417" s="1"/>
      </tp>
      <tp t="s">
        <v>#N/A Requesting Data...</v>
        <stp/>
        <stp>##V3_BDHV12</stp>
        <stp>SPGSCLP Index</stp>
        <stp>CHG_PCT_1D</stp>
        <stp>07/08/2015</stp>
        <stp>07/08/2015</stp>
        <stp>[Bbg_Market_Data_CL.xlsm]data!R417C3</stp>
        <tr r="C417" s="1"/>
      </tp>
      <tp t="s">
        <v>#N/A Requesting Data...</v>
        <stp/>
        <stp>##V3_BDHV12</stp>
        <stp>SPGSCLP Index</stp>
        <stp>CHG_PCT_5D</stp>
        <stp>25/08/2015</stp>
        <stp>25/08/2015</stp>
        <stp>[Bbg_Market_Data_CL.xlsm]data!R405C4</stp>
        <tr r="D405" s="1"/>
      </tp>
      <tp t="s">
        <v>#N/A Requesting Data...</v>
        <stp/>
        <stp>##V3_BDHV12</stp>
        <stp>CL1 Comdty</stp>
        <stp>30DAY_IMPVOL_95.0%MNY_DF</stp>
        <stp>18/04/2016</stp>
        <stp>18/04/2016</stp>
        <stp>[Bbg_Market_Data_CL.xlsm]data!R245C21</stp>
        <tr r="U245" s="1"/>
      </tp>
      <tp t="s">
        <v>#N/A Requesting Data...</v>
        <stp/>
        <stp>##V3_BDHV12</stp>
        <stp>CL1 Comdty</stp>
        <stp>30DAY_IMPVOL_90.0%MNY_DF</stp>
        <stp>08/06/2015</stp>
        <stp>08/06/2015</stp>
        <stp>[Bbg_Market_Data_CL.xlsm]data!R459C23</stp>
        <tr r="W459" s="1"/>
      </tp>
      <tp t="s">
        <v>#N/A Requesting Data...</v>
        <stp/>
        <stp>##V3_BDHV12</stp>
        <stp>CL1 Comdty</stp>
        <stp>30DAY_IMPVOL_90.0%MNY_DF</stp>
        <stp>28/04/2015</stp>
        <stp>28/04/2015</stp>
        <stp>[Bbg_Market_Data_CL.xlsm]data!R487C23</stp>
        <tr r="W487" s="1"/>
      </tp>
      <tp t="s">
        <v>#N/A Requesting Data...</v>
        <stp/>
        <stp>##V3_BDHV12</stp>
        <stp>SPGSCLP Index</stp>
        <stp>CHG_PCT_1D</stp>
        <stp>09/07/2015</stp>
        <stp>09/07/2015</stp>
        <stp>[Bbg_Market_Data_CL.xlsm]data!R438C3</stp>
        <tr r="C438" s="1"/>
      </tp>
      <tp t="s">
        <v>#N/A Requesting Data...</v>
        <stp/>
        <stp>##V3_BDHV12</stp>
        <stp>SPGSCLP Index</stp>
        <stp>CHG_PCT_5D</stp>
        <stp>09/07/2015</stp>
        <stp>09/07/2015</stp>
        <stp>[Bbg_Market_Data_CL.xlsm]data!R438C4</stp>
        <tr r="D438" s="1"/>
      </tp>
      <tp t="s">
        <v>#N/A Requesting Data...</v>
        <stp/>
        <stp>##V3_BDHV12</stp>
        <stp>CL1 Comdty</stp>
        <stp>30DAY_IMPVOL_95.0%MNY_DF</stp>
        <stp>28/07/2016</stp>
        <stp>28/07/2016</stp>
        <stp>[Bbg_Market_Data_CL.xlsm]data!R174C21</stp>
        <tr r="U174" s="1"/>
      </tp>
      <tp t="s">
        <v>#N/A Requesting Data...</v>
        <stp/>
        <stp>##V3_BDHV12</stp>
        <stp>CL1 Comdty</stp>
        <stp>30DAY_IMPVOL_95.0%MNY_DF</stp>
        <stp>29/06/2016</stp>
        <stp>29/06/2016</stp>
        <stp>[Bbg_Market_Data_CL.xlsm]data!R194C21</stp>
        <tr r="U194" s="1"/>
      </tp>
      <tp t="s">
        <v>#N/A Requesting Data...</v>
        <stp/>
        <stp>##V3_BDHV12</stp>
        <stp>SPGSCLP Index</stp>
        <stp>CHG_PCT_1D</stp>
        <stp>09/06/2016</stp>
        <stp>09/06/2016</stp>
        <stp>[Bbg_Market_Data_CL.xlsm]data!R209C3</stp>
        <tr r="C209" s="1"/>
      </tp>
      <tp t="s">
        <v>#N/A Requesting Data...</v>
        <stp/>
        <stp>##V3_BDHV12</stp>
        <stp>SPGSCLP Index</stp>
        <stp>CHG_PCT_5D</stp>
        <stp>09/06/2016</stp>
        <stp>09/06/2016</stp>
        <stp>[Bbg_Market_Data_CL.xlsm]data!R209C4</stp>
        <tr r="D209" s="1"/>
      </tp>
      <tp t="s">
        <v>#N/A Requesting Data...</v>
        <stp/>
        <stp>##V3_BDHV12</stp>
        <stp>CL2 Comdty</stp>
        <stp>PX_LAST</stp>
        <stp>29/03/2017</stp>
        <stp>29/03/2017</stp>
        <stp>[Bbg_Market_Data_CL.xlsm]data!R10C9</stp>
        <tr r="I10" s="1"/>
      </tp>
      <tp t="s">
        <v>#N/A Requesting Data...</v>
        <stp/>
        <stp>##V3_BDHV12</stp>
        <stp>CL2 Comdty</stp>
        <stp>PX_LAST</stp>
        <stp>29/12/2016</stp>
        <stp>29/12/2016</stp>
        <stp>[Bbg_Market_Data_CL.xlsm]data!R71C9</stp>
        <tr r="I71" s="1"/>
      </tp>
      <tp t="s">
        <v>#N/A Requesting Data...</v>
        <stp/>
        <stp>##V3_BDHV12</stp>
        <stp>CL1 Comdty</stp>
        <stp>PX_LAST</stp>
        <stp>31/01/2017</stp>
        <stp>31/01/2017</stp>
        <stp>[Bbg_Market_Data_CL.xlsm]data!R50C9</stp>
        <tr r="I50" s="1"/>
      </tp>
      <tp t="s">
        <v>#N/A Requesting Data...</v>
        <stp/>
        <stp>##V3_BDHV12</stp>
        <stp>CL1 Comdty</stp>
        <stp>PX_LAST</stp>
        <stp>14/12/2016</stp>
        <stp>14/12/2016</stp>
        <stp>[Bbg_Market_Data_CL.xlsm]data!R81C9</stp>
        <tr r="I81" s="1"/>
      </tp>
      <tp t="s">
        <v>#N/A Requesting Data...</v>
        <stp/>
        <stp>##V3_BDHV12</stp>
        <stp>CL1 Comdty</stp>
        <stp>PX_LAST</stp>
        <stp>15/03/2017</stp>
        <stp>15/03/2017</stp>
        <stp>[Bbg_Market_Data_CL.xlsm]data!R20C9</stp>
        <tr r="I20" s="1"/>
      </tp>
      <tp t="s">
        <v>#N/A Requesting Data...</v>
        <stp/>
        <stp>##V3_BDHV12</stp>
        <stp>CL1 Comdty</stp>
        <stp>PX_LAST</stp>
        <stp>01/03/2017</stp>
        <stp>01/03/2017</stp>
        <stp>[Bbg_Market_Data_CL.xlsm]data!R30C9</stp>
        <tr r="I30" s="1"/>
      </tp>
      <tp t="s">
        <v>#N/A Requesting Data...</v>
        <stp/>
        <stp>##V3_BDHV12</stp>
        <stp>CL1 Comdty</stp>
        <stp>PX_LAST</stp>
        <stp>30/11/2016</stp>
        <stp>30/11/2016</stp>
        <stp>[Bbg_Market_Data_CL.xlsm]data!R91C9</stp>
        <tr r="I91" s="1"/>
      </tp>
      <tp t="s">
        <v>#N/A Requesting Data...</v>
        <stp/>
        <stp>##V3_BDHV12</stp>
        <stp>CL2 Comdty</stp>
        <stp>PX_LAST</stp>
        <stp>17/01/2017</stp>
        <stp>17/01/2017</stp>
        <stp>[Bbg_Market_Data_CL.xlsm]data!R60C9</stp>
        <tr r="I60" s="1"/>
      </tp>
      <tp t="s">
        <v>#N/A Requesting Data...</v>
        <stp/>
        <stp>##V3_BDHV12</stp>
        <stp>CL1 Comdty</stp>
        <stp>PX_LAST</stp>
        <stp>14/02/2017</stp>
        <stp>14/02/2017</stp>
        <stp>[Bbg_Market_Data_CL.xlsm]data!R40C9</stp>
        <tr r="I40" s="1"/>
      </tp>
      <tp t="s">
        <v>#N/A Requesting Data...</v>
        <stp/>
        <stp>##V3_BDHV12</stp>
        <stp>CL2 Comdty</stp>
        <stp>PX_LAST</stp>
        <stp>01/03/2017</stp>
        <stp>01/03/2017</stp>
        <stp>[Bbg_Market_Data_CL.xlsm]data!R30C9</stp>
        <tr r="I30" s="1"/>
      </tp>
      <tp t="s">
        <v>#N/A Requesting Data...</v>
        <stp/>
        <stp>##V3_BDHV12</stp>
        <stp>CL2 Comdty</stp>
        <stp>PX_LAST</stp>
        <stp>30/11/2016</stp>
        <stp>30/11/2016</stp>
        <stp>[Bbg_Market_Data_CL.xlsm]data!R91C9</stp>
        <tr r="I91" s="1"/>
      </tp>
      <tp t="s">
        <v>#N/A Requesting Data...</v>
        <stp/>
        <stp>##V3_BDHV12</stp>
        <stp>CL1 Comdty</stp>
        <stp>PX_LAST</stp>
        <stp>17/01/2017</stp>
        <stp>17/01/2017</stp>
        <stp>[Bbg_Market_Data_CL.xlsm]data!R60C9</stp>
        <tr r="I60" s="1"/>
      </tp>
      <tp t="s">
        <v>#N/A Requesting Data...</v>
        <stp/>
        <stp>##V3_BDHV12</stp>
        <stp>CL2 Comdty</stp>
        <stp>PX_LAST</stp>
        <stp>14/02/2017</stp>
        <stp>14/02/2017</stp>
        <stp>[Bbg_Market_Data_CL.xlsm]data!R40C9</stp>
        <tr r="I40" s="1"/>
      </tp>
      <tp t="s">
        <v>#N/A Requesting Data...</v>
        <stp/>
        <stp>##V3_BDHV12</stp>
        <stp>CL1 Comdty</stp>
        <stp>PX_LAST</stp>
        <stp>29/03/2017</stp>
        <stp>29/03/2017</stp>
        <stp>[Bbg_Market_Data_CL.xlsm]data!R10C9</stp>
        <tr r="I10" s="1"/>
      </tp>
      <tp t="s">
        <v>#N/A Requesting Data...</v>
        <stp/>
        <stp>##V3_BDHV12</stp>
        <stp>CL1 Comdty</stp>
        <stp>PX_LAST</stp>
        <stp>29/12/2016</stp>
        <stp>29/12/2016</stp>
        <stp>[Bbg_Market_Data_CL.xlsm]data!R71C9</stp>
        <tr r="I71" s="1"/>
      </tp>
      <tp t="s">
        <v>#N/A Requesting Data...</v>
        <stp/>
        <stp>##V3_BDHV12</stp>
        <stp>CL2 Comdty</stp>
        <stp>PX_LAST</stp>
        <stp>31/01/2017</stp>
        <stp>31/01/2017</stp>
        <stp>[Bbg_Market_Data_CL.xlsm]data!R50C9</stp>
        <tr r="I50" s="1"/>
      </tp>
      <tp t="s">
        <v>#N/A Requesting Data...</v>
        <stp/>
        <stp>##V3_BDHV12</stp>
        <stp>CL2 Comdty</stp>
        <stp>PX_LAST</stp>
        <stp>14/12/2016</stp>
        <stp>14/12/2016</stp>
        <stp>[Bbg_Market_Data_CL.xlsm]data!R81C9</stp>
        <tr r="I81" s="1"/>
      </tp>
      <tp t="s">
        <v>#N/A Requesting Data...</v>
        <stp/>
        <stp>##V3_BDHV12</stp>
        <stp>CL2 Comdty</stp>
        <stp>PX_LAST</stp>
        <stp>15/03/2017</stp>
        <stp>15/03/2017</stp>
        <stp>[Bbg_Market_Data_CL.xlsm]data!R20C9</stp>
        <tr r="I20" s="1"/>
      </tp>
      <tp t="s">
        <v>#N/A Requesting Data...</v>
        <stp/>
        <stp>##V3_BDHV12</stp>
        <stp>CL1 Comdty</stp>
        <stp>30DAY_IMPVOL_95.0%MNY_DF</stp>
        <stp>16/09/2016</stp>
        <stp>16/09/2016</stp>
        <stp>[Bbg_Market_Data_CL.xlsm]data!R140C21</stp>
        <tr r="U140" s="1"/>
      </tp>
      <tp t="s">
        <v>#N/A Requesting Data...</v>
        <stp/>
        <stp>##V3_BDHV12</stp>
        <stp>CL1 Comdty</stp>
        <stp>30DAY_IMPVOL_90.0%MNY_DF</stp>
        <stp>05/08/2015</stp>
        <stp>05/08/2015</stp>
        <stp>[Bbg_Market_Data_CL.xlsm]data!R418C23</stp>
        <tr r="W418" s="1"/>
      </tp>
      <tp t="s">
        <v>#N/A Requesting Data...</v>
        <stp/>
        <stp>##V3_BDHV12</stp>
        <stp>SPGSCLP Index</stp>
        <stp>CHG_PCT_5D</stp>
        <stp>24/06/2016</stp>
        <stp>24/06/2016</stp>
        <stp>[Bbg_Market_Data_CL.xlsm]data!R198C4</stp>
        <tr r="D198" s="1"/>
      </tp>
      <tp t="s">
        <v>#N/A Requesting Data...</v>
        <stp/>
        <stp>##V3_BDHV12</stp>
        <stp>SPGSCLP Index</stp>
        <stp>CHG_PCT_1D</stp>
        <stp>24/06/2016</stp>
        <stp>24/06/2016</stp>
        <stp>[Bbg_Market_Data_CL.xlsm]data!R198C3</stp>
        <tr r="C198" s="1"/>
      </tp>
      <tp t="s">
        <v>#N/A Requesting Data...</v>
        <stp/>
        <stp>##V3_BDHV12</stp>
        <stp>CL1 Comdty</stp>
        <stp>30DAY_IMPVOL_95.0%MNY_DF</stp>
        <stp>07/09/2016</stp>
        <stp>07/09/2016</stp>
        <stp>[Bbg_Market_Data_CL.xlsm]data!R147C21</stp>
        <tr r="U147" s="1"/>
      </tp>
      <tp t="s">
        <v>#N/A Requesting Data...</v>
        <stp/>
        <stp>##V3_BDHV12</stp>
        <stp>CL1 Comdty</stp>
        <stp>30DAY_IMPVOL_95.0%MNY_DF</stp>
        <stp>17/08/2016</stp>
        <stp>17/08/2016</stp>
        <stp>[Bbg_Market_Data_CL.xlsm]data!R161C21</stp>
        <tr r="U161" s="1"/>
      </tp>
      <tp t="s">
        <v>#N/A Requesting Data...</v>
        <stp/>
        <stp>##V3_BDHV12</stp>
        <stp>CL1 Comdty</stp>
        <stp>30DAY_IMPVOL_90.0%MNY_DF</stp>
        <stp>14/08/2015</stp>
        <stp>14/08/2015</stp>
        <stp>[Bbg_Market_Data_CL.xlsm]data!R411C23</stp>
        <tr r="W411" s="1"/>
      </tp>
      <tp t="s">
        <v>#N/A Requesting Data...</v>
        <stp/>
        <stp>##V3_BDHV12</stp>
        <stp>CL1 Comdty</stp>
        <stp>30DAY_IMPVOL_95.0%MNY_DF</stp>
        <stp>24/08/2016</stp>
        <stp>24/08/2016</stp>
        <stp>[Bbg_Market_Data_CL.xlsm]data!R156C21</stp>
        <tr r="U156" s="1"/>
      </tp>
      <tp t="s">
        <v>#N/A Requesting Data...</v>
        <stp/>
        <stp>##V3_BDHV12</stp>
        <stp>CL1 Comdty</stp>
        <stp>30DAY_IMPVOL_90.0%MNY_DF</stp>
        <stp>27/08/2015</stp>
        <stp>27/08/2015</stp>
        <stp>[Bbg_Market_Data_CL.xlsm]data!R402C23</stp>
        <tr r="W402" s="1"/>
      </tp>
      <tp t="s">
        <v>#N/A Requesting Data...</v>
        <stp/>
        <stp>##V3_BDHV12</stp>
        <stp>CL1 Comdty</stp>
        <stp>30DAY_IMPVOL_95.0%MNY_DF</stp>
        <stp>15/09/2015</stp>
        <stp>15/09/2015</stp>
        <stp>[Bbg_Market_Data_CL.xlsm]data!R390C21</stp>
        <tr r="U390" s="1"/>
      </tp>
      <tp t="s">
        <v>#N/A Requesting Data...</v>
        <stp/>
        <stp>##V3_BDHV12</stp>
        <stp>CL1 Comdty</stp>
        <stp>30DAY_IMPVOL_95.0%MNY_DF</stp>
        <stp>04/09/2015</stp>
        <stp>04/09/2015</stp>
        <stp>[Bbg_Market_Data_CL.xlsm]data!R396C21</stp>
        <tr r="U396" s="1"/>
      </tp>
      <tp t="s">
        <v>#N/A Requesting Data...</v>
        <stp/>
        <stp>##V3_BDHV12</stp>
        <stp>SPGSCLP Index</stp>
        <stp>CHG_PCT_5D</stp>
        <stp>09/09/2015</stp>
        <stp>09/09/2015</stp>
        <stp>[Bbg_Market_Data_CL.xlsm]data!R395C4</stp>
        <tr r="D395" s="1"/>
      </tp>
      <tp t="s">
        <v>#N/A Requesting Data...</v>
        <stp/>
        <stp>##V3_BDHV12</stp>
        <stp>SPGSCLP Index</stp>
        <stp>CHG_PCT_1D</stp>
        <stp>09/09/2015</stp>
        <stp>09/09/2015</stp>
        <stp>[Bbg_Market_Data_CL.xlsm]data!R395C3</stp>
        <tr r="C395" s="1"/>
      </tp>
      <tp t="s">
        <v>#N/A Requesting Data...</v>
        <stp/>
        <stp>##V3_BDHV12</stp>
        <stp>SPGSCLP Index</stp>
        <stp>CHG_PCT_1D</stp>
        <stp>24/06/2015</stp>
        <stp>24/06/2015</stp>
        <stp>[Bbg_Market_Data_CL.xlsm]data!R448C3</stp>
        <tr r="C448" s="1"/>
      </tp>
      <tp t="s">
        <v>#N/A Requesting Data...</v>
        <stp/>
        <stp>##V3_BDHV12</stp>
        <stp>SPGSCLP Index</stp>
        <stp>CHG_PCT_5D</stp>
        <stp>24/06/2015</stp>
        <stp>24/06/2015</stp>
        <stp>[Bbg_Market_Data_CL.xlsm]data!R448C4</stp>
        <tr r="D448" s="1"/>
      </tp>
      <tp t="s">
        <v>#N/A Requesting Data...</v>
        <stp/>
        <stp>##V3_BDHV12</stp>
        <stp>CL1 Comdty</stp>
        <stp>30DAY_IMPVOL_90.0%MNY_DF</stp>
        <stp>17/08/2016</stp>
        <stp>17/08/2016</stp>
        <stp>[Bbg_Market_Data_CL.xlsm]data!R161C23</stp>
        <tr r="W161" s="1"/>
      </tp>
      <tp t="s">
        <v>#N/A Requesting Data...</v>
        <stp/>
        <stp>##V3_BDHV12</stp>
        <stp>CL1 Comdty</stp>
        <stp>30DAY_IMPVOL_90.0%MNY_DF</stp>
        <stp>07/09/2016</stp>
        <stp>07/09/2016</stp>
        <stp>[Bbg_Market_Data_CL.xlsm]data!R147C23</stp>
        <tr r="W147" s="1"/>
      </tp>
      <tp t="s">
        <v>#N/A Requesting Data...</v>
        <stp/>
        <stp>##V3_BDHV12</stp>
        <stp>CL1 Comdty</stp>
        <stp>30DAY_IMPVOL_95.0%MNY_DF</stp>
        <stp>14/08/2015</stp>
        <stp>14/08/2015</stp>
        <stp>[Bbg_Market_Data_CL.xlsm]data!R411C21</stp>
        <tr r="U411" s="1"/>
      </tp>
      <tp t="s">
        <v>#N/A Requesting Data...</v>
        <stp/>
        <stp>##V3_BDHV12</stp>
        <stp>SPGSCLP Index</stp>
        <stp>CHG_PCT_5D</stp>
        <stp>22/07/2015</stp>
        <stp>22/07/2015</stp>
        <stp>[Bbg_Market_Data_CL.xlsm]data!R429C4</stp>
        <tr r="D429" s="1"/>
      </tp>
      <tp t="s">
        <v>#N/A Requesting Data...</v>
        <stp/>
        <stp>##V3_BDHV12</stp>
        <stp>SPGSCLP Index</stp>
        <stp>CHG_PCT_1D</stp>
        <stp>22/07/2015</stp>
        <stp>22/07/2015</stp>
        <stp>[Bbg_Market_Data_CL.xlsm]data!R429C3</stp>
        <tr r="C429" s="1"/>
      </tp>
      <tp t="s">
        <v>#N/A Requesting Data...</v>
        <stp/>
        <stp>##V3_BDHV12</stp>
        <stp>CL1 Comdty</stp>
        <stp>30DAY_IMPVOL_90.0%MNY_DF</stp>
        <stp>16/09/2016</stp>
        <stp>16/09/2016</stp>
        <stp>[Bbg_Market_Data_CL.xlsm]data!R140C23</stp>
        <tr r="W140" s="1"/>
      </tp>
      <tp t="s">
        <v>#N/A Requesting Data...</v>
        <stp/>
        <stp>##V3_BDHV12</stp>
        <stp>CL1 Comdty</stp>
        <stp>30DAY_IMPVOL_95.0%MNY_DF</stp>
        <stp>05/08/2015</stp>
        <stp>05/08/2015</stp>
        <stp>[Bbg_Market_Data_CL.xlsm]data!R418C21</stp>
        <tr r="U418" s="1"/>
      </tp>
      <tp t="s">
        <v>#N/A Requesting Data...</v>
        <stp/>
        <stp>##V3_BDHV12</stp>
        <stp>SPGSCLP Index</stp>
        <stp>CHG_PCT_5D</stp>
        <stp>12/05/2015</stp>
        <stp>12/05/2015</stp>
        <stp>[Bbg_Market_Data_CL.xlsm]data!R478C4</stp>
        <tr r="D478" s="1"/>
      </tp>
      <tp t="s">
        <v>#N/A Requesting Data...</v>
        <stp/>
        <stp>##V3_BDHV12</stp>
        <stp>SPGSCLP Index</stp>
        <stp>CHG_PCT_5D</stp>
        <stp>13/04/2015</stp>
        <stp>13/04/2015</stp>
        <stp>[Bbg_Market_Data_CL.xlsm]data!R499C4</stp>
        <tr r="D499" s="1"/>
      </tp>
      <tp t="s">
        <v>#N/A Requesting Data...</v>
        <stp/>
        <stp>##V3_BDHV12</stp>
        <stp>SPGSCLP Index</stp>
        <stp>CHG_PCT_1D</stp>
        <stp>13/04/2015</stp>
        <stp>13/04/2015</stp>
        <stp>[Bbg_Market_Data_CL.xlsm]data!R499C3</stp>
        <tr r="C499" s="1"/>
      </tp>
      <tp t="s">
        <v>#N/A Requesting Data...</v>
        <stp/>
        <stp>##V3_BDHV12</stp>
        <stp>SPGSCLP Index</stp>
        <stp>CHG_PCT_1D</stp>
        <stp>12/05/2015</stp>
        <stp>12/05/2015</stp>
        <stp>[Bbg_Market_Data_CL.xlsm]data!R478C3</stp>
        <tr r="C478" s="1"/>
      </tp>
      <tp>
        <v>53.35</v>
        <stp/>
        <stp>##V3_BDHV12</stp>
        <stp>CL2 Comdty</stp>
        <stp>PX_HIGH</stp>
        <stp>07/04/2017</stp>
        <stp>07/04/2017</stp>
        <stp>[Bbg_Market_Data_CL.xlsm]data!R3C6</stp>
        <tr r="F3" s="1"/>
      </tp>
      <tp>
        <v>51.29</v>
        <stp/>
        <stp>##V3_BDHV12</stp>
        <stp>CL2 Comdty</stp>
        <stp>PX_HIGH</stp>
        <stp>03/04/2017</stp>
        <stp>03/04/2017</stp>
        <stp>[Bbg_Market_Data_CL.xlsm]data!R7C6</stp>
        <tr r="F7" s="1"/>
      </tp>
      <tp t="s">
        <v>#N/A Requesting Data...</v>
        <stp/>
        <stp>##V3_BDHV12</stp>
        <stp>CL1 Comdty</stp>
        <stp>PX_HIGH</stp>
        <stp>07/04/2017</stp>
        <stp>07/04/2017</stp>
        <stp>[Bbg_Market_Data_CL.xlsm]data!R3C6</stp>
        <tr r="F3" s="1"/>
      </tp>
      <tp t="s">
        <v>#N/A Requesting Data...</v>
        <stp/>
        <stp>##V3_BDHV12</stp>
        <stp>CL1 Comdty</stp>
        <stp>PX_HIGH</stp>
        <stp>03/04/2017</stp>
        <stp>03/04/2017</stp>
        <stp>[Bbg_Market_Data_CL.xlsm]data!R7C6</stp>
        <tr r="F7" s="1"/>
      </tp>
      <tp t="s">
        <v>#N/A Requesting Data...</v>
        <stp/>
        <stp>##V3_BDHV12</stp>
        <stp>CL1 Comdty</stp>
        <stp>30DAY_IMPVOL_90.0%MNY_DF</stp>
        <stp>04/09/2015</stp>
        <stp>04/09/2015</stp>
        <stp>[Bbg_Market_Data_CL.xlsm]data!R396C23</stp>
        <tr r="W396" s="1"/>
      </tp>
      <tp t="s">
        <v>#N/A Requesting Data...</v>
        <stp/>
        <stp>##V3_BDHV12</stp>
        <stp>SPGSCLP Index</stp>
        <stp>CHG_PCT_5D</stp>
        <stp>13/04/2016</stp>
        <stp>13/04/2016</stp>
        <stp>[Bbg_Market_Data_CL.xlsm]data!R249C4</stp>
        <tr r="D249" s="1"/>
      </tp>
      <tp t="s">
        <v>#N/A Requesting Data...</v>
        <stp/>
        <stp>##V3_BDHV12</stp>
        <stp>SPGSCLP Index</stp>
        <stp>CHG_PCT_5D</stp>
        <stp>12/05/2016</stp>
        <stp>12/05/2016</stp>
        <stp>[Bbg_Market_Data_CL.xlsm]data!R228C4</stp>
        <tr r="D228" s="1"/>
      </tp>
      <tp t="s">
        <v>#N/A Requesting Data...</v>
        <stp/>
        <stp>##V3_BDHV12</stp>
        <stp>SPGSCLP Index</stp>
        <stp>CHG_PCT_1D</stp>
        <stp>12/05/2016</stp>
        <stp>12/05/2016</stp>
        <stp>[Bbg_Market_Data_CL.xlsm]data!R228C3</stp>
        <tr r="C228" s="1"/>
      </tp>
      <tp t="s">
        <v>#N/A Requesting Data...</v>
        <stp/>
        <stp>##V3_BDHV12</stp>
        <stp>SPGSCLP Index</stp>
        <stp>CHG_PCT_1D</stp>
        <stp>13/04/2016</stp>
        <stp>13/04/2016</stp>
        <stp>[Bbg_Market_Data_CL.xlsm]data!R249C3</stp>
        <tr r="C249" s="1"/>
      </tp>
      <tp t="s">
        <v>#N/A Requesting Data...</v>
        <stp/>
        <stp>##V3_BDHV12</stp>
        <stp>CL1 Comdty</stp>
        <stp>30DAY_IMPVOL_90.0%MNY_DF</stp>
        <stp>24/08/2016</stp>
        <stp>24/08/2016</stp>
        <stp>[Bbg_Market_Data_CL.xlsm]data!R156C23</stp>
        <tr r="W156" s="1"/>
      </tp>
      <tp t="s">
        <v>#N/A Requesting Data...</v>
        <stp/>
        <stp>##V3_BDHV12</stp>
        <stp>CL1 Comdty</stp>
        <stp>30DAY_IMPVOL_95.0%MNY_DF</stp>
        <stp>27/08/2015</stp>
        <stp>27/08/2015</stp>
        <stp>[Bbg_Market_Data_CL.xlsm]data!R402C21</stp>
        <tr r="U402" s="1"/>
      </tp>
      <tp t="s">
        <v>#N/A Requesting Data...</v>
        <stp/>
        <stp>##V3_BDHV12</stp>
        <stp>CL1 Comdty</stp>
        <stp>30DAY_IMPVOL_90.0%MNY_DF</stp>
        <stp>15/09/2015</stp>
        <stp>15/09/2015</stp>
        <stp>[Bbg_Market_Data_CL.xlsm]data!R390C23</stp>
        <tr r="W390" s="1"/>
      </tp>
      <tp t="s">
        <v>#N/A Requesting Data...</v>
        <stp/>
        <stp>##V3_BDHV12</stp>
        <stp>SPGSCLP Index</stp>
        <stp>CHG_PCT_1D</stp>
        <stp>22/07/2016</stp>
        <stp>22/07/2016</stp>
        <stp>[Bbg_Market_Data_CL.xlsm]data!R179C3</stp>
        <tr r="C179" s="1"/>
      </tp>
      <tp t="s">
        <v>#N/A Requesting Data...</v>
        <stp/>
        <stp>##V3_BDHV12</stp>
        <stp>SPGSCLP Index</stp>
        <stp>CHG_PCT_5D</stp>
        <stp>22/07/2016</stp>
        <stp>22/07/2016</stp>
        <stp>[Bbg_Market_Data_CL.xlsm]data!R179C4</stp>
        <tr r="D179" s="1"/>
      </tp>
      <tp t="s">
        <v>#N/A Requesting Data...</v>
        <stp/>
        <stp>##V3_BDHV12</stp>
        <stp>CL1 Comdty</stp>
        <stp>30DAY_IMPVOL_95.0%MNY_DF</stp>
        <stp>08/05/2015</stp>
        <stp>08/05/2015</stp>
        <stp>[Bbg_Market_Data_CL.xlsm]data!R479C21</stp>
        <tr r="U479" s="1"/>
      </tp>
      <tp t="s">
        <v>#N/A Requesting Data...</v>
        <stp/>
        <stp>##V3_BDHV12</stp>
        <stp>CL1 Comdty</stp>
        <stp>30DAY_IMPVOL_95.0%MNY_DF</stp>
        <stp>09/04/2015</stp>
        <stp>09/04/2015</stp>
        <stp>[Bbg_Market_Data_CL.xlsm]data!R500C21</stp>
        <tr r="U500" s="1"/>
      </tp>
      <tp t="s">
        <v>#N/A Requesting Data...</v>
        <stp/>
        <stp>##V3_BDHV12</stp>
        <stp>CL1 Comdty</stp>
        <stp>30DAY_IMPVOL_90.0%MNY_DF</stp>
        <stp>28/04/2016</stp>
        <stp>28/04/2016</stp>
        <stp>[Bbg_Market_Data_CL.xlsm]data!R237C23</stp>
        <tr r="W237" s="1"/>
      </tp>
      <tp t="s">
        <v>#N/A Requesting Data...</v>
        <stp/>
        <stp>##V3_BDHV12</stp>
        <stp>CL1 Comdty</stp>
        <stp>30DAY_IMPVOL_95.0%MNY_DF</stp>
        <stp>28/07/2015</stp>
        <stp>28/07/2015</stp>
        <stp>[Bbg_Market_Data_CL.xlsm]data!R424C21</stp>
        <tr r="U424" s="1"/>
      </tp>
      <tp t="s">
        <v>#N/A Requesting Data...</v>
        <stp/>
        <stp>##V3_BDHV12</stp>
        <stp>CL1 Comdty</stp>
        <stp>30DAY_IMPVOL_90.0%MNY_DF</stp>
        <stp>08/06/2016</stp>
        <stp>08/06/2016</stp>
        <stp>[Bbg_Market_Data_CL.xlsm]data!R209C23</stp>
        <tr r="W209" s="1"/>
      </tp>
      <tp t="s">
        <v>#N/A Requesting Data...</v>
        <stp/>
        <stp>##V3_BDHV12</stp>
        <stp>CL1 Comdty</stp>
        <stp>30DAY_IMPVOL_95.0%MNY_DF</stp>
        <stp>29/06/2015</stp>
        <stp>29/06/2015</stp>
        <stp>[Bbg_Market_Data_CL.xlsm]data!R444C21</stp>
        <tr r="U444" s="1"/>
      </tp>
      <tp t="s">
        <v>#N/A Requesting Data...</v>
        <stp/>
        <stp>##V3_BDHV12</stp>
        <stp>CL1 Comdty</stp>
        <stp>30DAY_IMPVOL_95.0%MNY_DF</stp>
        <stp>19/05/2015</stp>
        <stp>19/05/2015</stp>
        <stp>[Bbg_Market_Data_CL.xlsm]data!R472C21</stp>
        <tr r="U472" s="1"/>
      </tp>
      <tp t="s">
        <v>#N/A Requesting Data...</v>
        <stp/>
        <stp>##V3_BDHV12</stp>
        <stp>SPGSCLP Index</stp>
        <stp>CHG_PCT_5D</stp>
        <stp>21/09/2015</stp>
        <stp>21/09/2015</stp>
        <stp>[Bbg_Market_Data_CL.xlsm]data!R387C4</stp>
        <tr r="D387" s="1"/>
      </tp>
      <tp t="s">
        <v>#N/A Requesting Data...</v>
        <stp/>
        <stp>##V3_BDHV12</stp>
        <stp>SPGSCLP Index</stp>
        <stp>CHG_PCT_1D</stp>
        <stp>22/09/2016</stp>
        <stp>22/09/2016</stp>
        <stp>[Bbg_Market_Data_CL.xlsm]data!R137C3</stp>
        <tr r="C137" s="1"/>
      </tp>
      <tp t="s">
        <v>#N/A Requesting Data...</v>
        <stp/>
        <stp>##V3_BDHV12</stp>
        <stp>SPGSCLP Index</stp>
        <stp>CHG_PCT_5D</stp>
        <stp>22/09/2016</stp>
        <stp>22/09/2016</stp>
        <stp>[Bbg_Market_Data_CL.xlsm]data!R137C4</stp>
        <tr r="D137" s="1"/>
      </tp>
      <tp t="s">
        <v>#N/A Requesting Data...</v>
        <stp/>
        <stp>##V3_BDHV12</stp>
        <stp>SPGSCLP Index</stp>
        <stp>CHG_PCT_1D</stp>
        <stp>21/09/2015</stp>
        <stp>21/09/2015</stp>
        <stp>[Bbg_Market_Data_CL.xlsm]data!R387C3</stp>
        <tr r="C387" s="1"/>
      </tp>
      <tp t="s">
        <v>#N/A Requesting Data...</v>
        <stp/>
        <stp>##V3_BDHV12</stp>
        <stp>CL1 Comdty</stp>
        <stp>30DAY_IMPVOL_90.0%MNY_DF</stp>
        <stp>18/07/2016</stp>
        <stp>18/07/2016</stp>
        <stp>[Bbg_Market_Data_CL.xlsm]data!R182C23</stp>
        <tr r="W182" s="1"/>
      </tp>
      <tp t="s">
        <v>#N/A Requesting Data...</v>
        <stp/>
        <stp>##V3_BDHV12</stp>
        <stp>SPGSCLP Index</stp>
        <stp>CHG_PCT_1D</stp>
        <stp>11/08/2015</stp>
        <stp>11/08/2015</stp>
        <stp>[Bbg_Market_Data_CL.xlsm]data!R415C3</stp>
        <tr r="C415" s="1"/>
      </tp>
      <tp t="s">
        <v>#N/A Requesting Data...</v>
        <stp/>
        <stp>##V3_BDHV12</stp>
        <stp>SPGSCLP Index</stp>
        <stp>CHG_PCT_5D</stp>
        <stp>11/08/2015</stp>
        <stp>11/08/2015</stp>
        <stp>[Bbg_Market_Data_CL.xlsm]data!R415C4</stp>
        <tr r="D415" s="1"/>
      </tp>
      <tp t="s">
        <v>#N/A Requesting Data...</v>
        <stp/>
        <stp>##V3_BDHV12</stp>
        <stp>SPGSCLP Index</stp>
        <stp>CHG_PCT_1D</stp>
        <stp>13/09/2016</stp>
        <stp>13/09/2016</stp>
        <stp>[Bbg_Market_Data_CL.xlsm]data!R144C3</stp>
        <tr r="C144" s="1"/>
      </tp>
      <tp t="s">
        <v>#N/A Requesting Data...</v>
        <stp/>
        <stp>##V3_BDHV12</stp>
        <stp>SPGSCLP Index</stp>
        <stp>CHG_PCT_5D</stp>
        <stp>10/09/2015</stp>
        <stp>10/09/2015</stp>
        <stp>[Bbg_Market_Data_CL.xlsm]data!R394C4</stp>
        <tr r="D394" s="1"/>
      </tp>
      <tp t="s">
        <v>#N/A Requesting Data...</v>
        <stp/>
        <stp>##V3_BDHV12</stp>
        <stp>SPGSCLP Index</stp>
        <stp>CHG_PCT_1D</stp>
        <stp>12/08/2016</stp>
        <stp>12/08/2016</stp>
        <stp>[Bbg_Market_Data_CL.xlsm]data!R165C3</stp>
        <tr r="C165" s="1"/>
      </tp>
      <tp t="s">
        <v>#N/A Requesting Data...</v>
        <stp/>
        <stp>##V3_BDHV12</stp>
        <stp>SPGSCLP Index</stp>
        <stp>CHG_PCT_1D</stp>
        <stp>10/09/2015</stp>
        <stp>10/09/2015</stp>
        <stp>[Bbg_Market_Data_CL.xlsm]data!R394C3</stp>
        <tr r="C394" s="1"/>
      </tp>
      <tp t="s">
        <v>#N/A Requesting Data...</v>
        <stp/>
        <stp>##V3_BDHV12</stp>
        <stp>SPGSCLP Index</stp>
        <stp>CHG_PCT_5D</stp>
        <stp>12/08/2016</stp>
        <stp>12/08/2016</stp>
        <stp>[Bbg_Market_Data_CL.xlsm]data!R165C4</stp>
        <tr r="D165" s="1"/>
      </tp>
      <tp t="s">
        <v>#N/A Requesting Data...</v>
        <stp/>
        <stp>##V3_BDHV12</stp>
        <stp>SPGSCLP Index</stp>
        <stp>CHG_PCT_5D</stp>
        <stp>13/09/2016</stp>
        <stp>13/09/2016</stp>
        <stp>[Bbg_Market_Data_CL.xlsm]data!R144C4</stp>
        <tr r="D144" s="1"/>
      </tp>
      <tp t="s">
        <v>#N/A Requesting Data...</v>
        <stp/>
        <stp>##V3_BDHV12</stp>
        <stp>CL1 Comdty</stp>
        <stp>30DAY_IMPVOL_90.0%MNY_DF</stp>
        <stp>19/05/2015</stp>
        <stp>19/05/2015</stp>
        <stp>[Bbg_Market_Data_CL.xlsm]data!R472C23</stp>
        <tr r="W472" s="1"/>
      </tp>
      <tp t="s">
        <v>#N/A Requesting Data...</v>
        <stp/>
        <stp>##V3_BDHV12</stp>
        <stp>CL1 Comdty</stp>
        <stp>30DAY_IMPVOL_90.0%MNY_DF</stp>
        <stp>29/06/2015</stp>
        <stp>29/06/2015</stp>
        <stp>[Bbg_Market_Data_CL.xlsm]data!R444C23</stp>
        <tr r="W444" s="1"/>
      </tp>
      <tp t="s">
        <v>#N/A Requesting Data...</v>
        <stp/>
        <stp>##V3_BDHV12</stp>
        <stp>CL1 Comdty</stp>
        <stp>30DAY_IMPVOL_90.0%MNY_DF</stp>
        <stp>08/05/2015</stp>
        <stp>08/05/2015</stp>
        <stp>[Bbg_Market_Data_CL.xlsm]data!R479C23</stp>
        <tr r="W479" s="1"/>
      </tp>
      <tp t="s">
        <v>#N/A Requesting Data...</v>
        <stp/>
        <stp>##V3_BDHV12</stp>
        <stp>CL1 Comdty</stp>
        <stp>30DAY_IMPVOL_90.0%MNY_DF</stp>
        <stp>28/07/2015</stp>
        <stp>28/07/2015</stp>
        <stp>[Bbg_Market_Data_CL.xlsm]data!R424C23</stp>
        <tr r="W424" s="1"/>
      </tp>
      <tp t="s">
        <v>#N/A Requesting Data...</v>
        <stp/>
        <stp>##V3_BDHV12</stp>
        <stp>CL1 Comdty</stp>
        <stp>30DAY_IMPVOL_95.0%MNY_DF</stp>
        <stp>08/06/2016</stp>
        <stp>08/06/2016</stp>
        <stp>[Bbg_Market_Data_CL.xlsm]data!R209C21</stp>
        <tr r="U209" s="1"/>
      </tp>
      <tp t="s">
        <v>#N/A Requesting Data...</v>
        <stp/>
        <stp>##V3_BDHV12</stp>
        <stp>CL1 Comdty</stp>
        <stp>30DAY_IMPVOL_90.0%MNY_DF</stp>
        <stp>09/04/2015</stp>
        <stp>09/04/2015</stp>
        <stp>[Bbg_Market_Data_CL.xlsm]data!R500C23</stp>
        <tr r="W500" s="1"/>
      </tp>
      <tp t="s">
        <v>#N/A Requesting Data...</v>
        <stp/>
        <stp>##V3_BDHV12</stp>
        <stp>CL1 Comdty</stp>
        <stp>30DAY_IMPVOL_95.0%MNY_DF</stp>
        <stp>28/04/2016</stp>
        <stp>28/04/2016</stp>
        <stp>[Bbg_Market_Data_CL.xlsm]data!R237C21</stp>
        <tr r="U237" s="1"/>
      </tp>
      <tp t="s">
        <v>#N/A Requesting Data...</v>
        <stp/>
        <stp>##V3_BDHV12</stp>
        <stp>SPGSCLP Index</stp>
        <stp>CHG_PCT_1D</stp>
        <stp>24/08/2015</stp>
        <stp>24/08/2015</stp>
        <stp>[Bbg_Market_Data_CL.xlsm]data!R406C3</stp>
        <tr r="C406" s="1"/>
      </tp>
      <tp t="s">
        <v>#N/A Requesting Data...</v>
        <stp/>
        <stp>##V3_BDHV12</stp>
        <stp>SPGSCLP Index</stp>
        <stp>CHG_PCT_5D</stp>
        <stp>24/08/2015</stp>
        <stp>24/08/2015</stp>
        <stp>[Bbg_Market_Data_CL.xlsm]data!R406C4</stp>
        <tr r="D406" s="1"/>
      </tp>
      <tp t="s">
        <v>#N/A Requesting Data...</v>
        <stp/>
        <stp>##V3_BDHV12</stp>
        <stp>CL1 Comdty</stp>
        <stp>30DAY_IMPVOL_95.0%MNY_DF</stp>
        <stp>18/07/2016</stp>
        <stp>18/07/2016</stp>
        <stp>[Bbg_Market_Data_CL.xlsm]data!R182C21</stp>
        <tr r="U182" s="1"/>
      </tp>
      <tp t="s">
        <v>#N/A Requesting Data...</v>
        <stp/>
        <stp>##V3_BDHV12</stp>
        <stp>SPGSCLP Index</stp>
        <stp>CHG_PCT_5D</stp>
        <stp>25/08/2016</stp>
        <stp>25/08/2016</stp>
        <stp>[Bbg_Market_Data_CL.xlsm]data!R156C4</stp>
        <tr r="D156" s="1"/>
      </tp>
      <tp t="s">
        <v>#N/A Requesting Data...</v>
        <stp/>
        <stp>##V3_BDHV12</stp>
        <stp>SPGSCLP Index</stp>
        <stp>CHG_PCT_1D</stp>
        <stp>25/08/2016</stp>
        <stp>25/08/2016</stp>
        <stp>[Bbg_Market_Data_CL.xlsm]data!R156C3</stp>
        <tr r="C156" s="1"/>
      </tp>
      <tp t="s">
        <v>#N/A Requesting Data...</v>
        <stp/>
        <stp>##V3_BDHV12</stp>
        <stp>CL2 Comdty</stp>
        <stp>PX_LAST</stp>
        <stp>28/03/2017</stp>
        <stp>28/03/2017</stp>
        <stp>[Bbg_Market_Data_CL.xlsm]data!R11C9</stp>
        <tr r="I11" s="1"/>
      </tp>
      <tp t="s">
        <v>#N/A Requesting Data...</v>
        <stp/>
        <stp>##V3_BDHV12</stp>
        <stp>CL1 Comdty</stp>
        <stp>PX_LAST</stp>
        <stp>30/01/2017</stp>
        <stp>30/01/2017</stp>
        <stp>[Bbg_Market_Data_CL.xlsm]data!R51C9</stp>
        <tr r="I51" s="1"/>
      </tp>
      <tp t="s">
        <v>#N/A Requesting Data...</v>
        <stp/>
        <stp>##V3_BDHV12</stp>
        <stp>CL1 Comdty</stp>
        <stp>PX_LAST</stp>
        <stp>14/03/2017</stp>
        <stp>14/03/2017</stp>
        <stp>[Bbg_Market_Data_CL.xlsm]data!R21C9</stp>
        <tr r="I21" s="1"/>
      </tp>
      <tp t="s">
        <v>#N/A Requesting Data...</v>
        <stp/>
        <stp>##V3_BDHV12</stp>
        <stp>CL1 Comdty</stp>
        <stp>PX_LAST</stp>
        <stp>15/12/2016</stp>
        <stp>15/12/2016</stp>
        <stp>[Bbg_Market_Data_CL.xlsm]data!R80C9</stp>
        <tr r="I80" s="1"/>
      </tp>
      <tp t="s">
        <v>#N/A Requesting Data...</v>
        <stp/>
        <stp>##V3_BDHV12</stp>
        <stp>CL2 Comdty</stp>
        <stp>PX_LAST</stp>
        <stp>28/02/2017</stp>
        <stp>28/02/2017</stp>
        <stp>[Bbg_Market_Data_CL.xlsm]data!R31C9</stp>
        <tr r="I31" s="1"/>
      </tp>
      <tp t="s">
        <v>#N/A Requesting Data...</v>
        <stp/>
        <stp>##V3_BDHV12</stp>
        <stp>CL1 Comdty</stp>
        <stp>PX_LAST</stp>
        <stp>13/02/2017</stp>
        <stp>13/02/2017</stp>
        <stp>[Bbg_Market_Data_CL.xlsm]data!R41C9</stp>
        <tr r="I41" s="1"/>
      </tp>
      <tp t="s">
        <v>#N/A Requesting Data...</v>
        <stp/>
        <stp>##V3_BDHV12</stp>
        <stp>CL2 Comdty</stp>
        <stp>PX_LAST</stp>
        <stp>30/12/2016</stp>
        <stp>30/12/2016</stp>
        <stp>[Bbg_Market_Data_CL.xlsm]data!R70C9</stp>
        <tr r="I70" s="1"/>
      </tp>
      <tp t="s">
        <v>#N/A Requesting Data...</v>
        <stp/>
        <stp>##V3_BDHV12</stp>
        <stp>CL1 Comdty</stp>
        <stp>PX_LAST</stp>
        <stp>01/12/2016</stp>
        <stp>01/12/2016</stp>
        <stp>[Bbg_Market_Data_CL.xlsm]data!R90C9</stp>
        <tr r="I90" s="1"/>
      </tp>
      <tp t="s">
        <v>#N/A Requesting Data...</v>
        <stp/>
        <stp>##V3_BDHV12</stp>
        <stp>CL2 Comdty</stp>
        <stp>PX_LAST</stp>
        <stp>13/01/2017</stp>
        <stp>13/01/2017</stp>
        <stp>[Bbg_Market_Data_CL.xlsm]data!R61C9</stp>
        <tr r="I61" s="1"/>
      </tp>
      <tp t="s">
        <v>#N/A Requesting Data...</v>
        <stp/>
        <stp>##V3_BDHV12</stp>
        <stp>CL1 Comdty</stp>
        <stp>PX_LAST</stp>
        <stp>28/02/2017</stp>
        <stp>28/02/2017</stp>
        <stp>[Bbg_Market_Data_CL.xlsm]data!R31C9</stp>
        <tr r="I31" s="1"/>
      </tp>
      <tp t="s">
        <v>#N/A Requesting Data...</v>
        <stp/>
        <stp>##V3_BDHV12</stp>
        <stp>CL2 Comdty</stp>
        <stp>PX_LAST</stp>
        <stp>13/02/2017</stp>
        <stp>13/02/2017</stp>
        <stp>[Bbg_Market_Data_CL.xlsm]data!R41C9</stp>
        <tr r="I41" s="1"/>
      </tp>
      <tp t="s">
        <v>#N/A Requesting Data...</v>
        <stp/>
        <stp>##V3_BDHV12</stp>
        <stp>CL1 Comdty</stp>
        <stp>PX_LAST</stp>
        <stp>30/12/2016</stp>
        <stp>30/12/2016</stp>
        <stp>[Bbg_Market_Data_CL.xlsm]data!R70C9</stp>
        <tr r="I70" s="1"/>
      </tp>
      <tp t="s">
        <v>#N/A Requesting Data...</v>
        <stp/>
        <stp>##V3_BDHV12</stp>
        <stp>CL2 Comdty</stp>
        <stp>PX_LAST</stp>
        <stp>01/12/2016</stp>
        <stp>01/12/2016</stp>
        <stp>[Bbg_Market_Data_CL.xlsm]data!R90C9</stp>
        <tr r="I90" s="1"/>
      </tp>
      <tp t="s">
        <v>#N/A Requesting Data...</v>
        <stp/>
        <stp>##V3_BDHV12</stp>
        <stp>CL1 Comdty</stp>
        <stp>PX_LAST</stp>
        <stp>13/01/2017</stp>
        <stp>13/01/2017</stp>
        <stp>[Bbg_Market_Data_CL.xlsm]data!R61C9</stp>
        <tr r="I61" s="1"/>
      </tp>
      <tp t="s">
        <v>#N/A Requesting Data...</v>
        <stp/>
        <stp>##V3_BDHV12</stp>
        <stp>CL1 Comdty</stp>
        <stp>PX_LAST</stp>
        <stp>28/03/2017</stp>
        <stp>28/03/2017</stp>
        <stp>[Bbg_Market_Data_CL.xlsm]data!R11C9</stp>
        <tr r="I11" s="1"/>
      </tp>
      <tp t="s">
        <v>#N/A Requesting Data...</v>
        <stp/>
        <stp>##V3_BDHV12</stp>
        <stp>CL2 Comdty</stp>
        <stp>PX_LAST</stp>
        <stp>30/01/2017</stp>
        <stp>30/01/2017</stp>
        <stp>[Bbg_Market_Data_CL.xlsm]data!R51C9</stp>
        <tr r="I51" s="1"/>
      </tp>
      <tp t="s">
        <v>#N/A Requesting Data...</v>
        <stp/>
        <stp>##V3_BDHV12</stp>
        <stp>CL2 Comdty</stp>
        <stp>PX_LAST</stp>
        <stp>14/03/2017</stp>
        <stp>14/03/2017</stp>
        <stp>[Bbg_Market_Data_CL.xlsm]data!R21C9</stp>
        <tr r="I21" s="1"/>
      </tp>
      <tp t="s">
        <v>#N/A Requesting Data...</v>
        <stp/>
        <stp>##V3_BDHV12</stp>
        <stp>CL2 Comdty</stp>
        <stp>PX_LAST</stp>
        <stp>15/12/2016</stp>
        <stp>15/12/2016</stp>
        <stp>[Bbg_Market_Data_CL.xlsm]data!R80C9</stp>
        <tr r="I80" s="1"/>
      </tp>
      <tp t="s">
        <v>#N/A Requesting Data...</v>
        <stp/>
        <stp>##V3_BDHV12</stp>
        <stp>CL1 Comdty</stp>
        <stp>30DAY_IMPVOL_95.0%MNY_DF</stp>
        <stp>06/09/2016</stp>
        <stp>06/09/2016</stp>
        <stp>[Bbg_Market_Data_CL.xlsm]data!R148C21</stp>
        <tr r="U148" s="1"/>
      </tp>
      <tp t="s">
        <v>#N/A Requesting Data...</v>
        <stp/>
        <stp>##V3_BDHV12</stp>
        <stp>CL1 Comdty</stp>
        <stp>30DAY_IMPVOL_95.0%MNY_DF</stp>
        <stp>16/08/2016</stp>
        <stp>16/08/2016</stp>
        <stp>[Bbg_Market_Data_CL.xlsm]data!R162C21</stp>
        <tr r="U162" s="1"/>
      </tp>
      <tp t="s">
        <v>#N/A Requesting Data...</v>
        <stp/>
        <stp>##V3_BDHV12</stp>
        <stp>SPGSCLP Index</stp>
        <stp>CHG_PCT_5D</stp>
        <stp>25/07/2016</stp>
        <stp>25/07/2016</stp>
        <stp>[Bbg_Market_Data_CL.xlsm]data!R178C4</stp>
        <tr r="D178" s="1"/>
      </tp>
      <tp t="s">
        <v>#N/A Requesting Data...</v>
        <stp/>
        <stp>##V3_BDHV12</stp>
        <stp>SPGSCLP Index</stp>
        <stp>CHG_PCT_1D</stp>
        <stp>25/07/2016</stp>
        <stp>25/07/2016</stp>
        <stp>[Bbg_Market_Data_CL.xlsm]data!R178C3</stp>
        <tr r="C178" s="1"/>
      </tp>
      <tp t="s">
        <v>#N/A Requesting Data...</v>
        <stp/>
        <stp>##V3_BDHV12</stp>
        <stp>CL1 Comdty</stp>
        <stp>30DAY_IMPVOL_90.0%MNY_DF</stp>
        <stp>04/08/2015</stp>
        <stp>04/08/2015</stp>
        <stp>[Bbg_Market_Data_CL.xlsm]data!R419C23</stp>
        <tr r="W419" s="1"/>
      </tp>
      <tp t="s">
        <v>#N/A Requesting Data...</v>
        <stp/>
        <stp>##V3_BDHV12</stp>
        <stp>SPGSCLP Index</stp>
        <stp>CHG_PCT_1D</stp>
        <stp>14/04/2016</stp>
        <stp>14/04/2016</stp>
        <stp>[Bbg_Market_Data_CL.xlsm]data!R248C3</stp>
        <tr r="C248" s="1"/>
      </tp>
      <tp t="s">
        <v>#N/A Requesting Data...</v>
        <stp/>
        <stp>##V3_BDHV12</stp>
        <stp>SPGSCLP Index</stp>
        <stp>CHG_PCT_5D</stp>
        <stp>14/04/2016</stp>
        <stp>14/04/2016</stp>
        <stp>[Bbg_Market_Data_CL.xlsm]data!R248C4</stp>
        <tr r="D248" s="1"/>
      </tp>
      <tp t="s">
        <v>#N/A Requesting Data...</v>
        <stp/>
        <stp>##V3_BDHV12</stp>
        <stp>SPGSCLP Index</stp>
        <stp>CHG_PCT_1D</stp>
        <stp>14/04/2015</stp>
        <stp>14/04/2015</stp>
        <stp>[Bbg_Market_Data_CL.xlsm]data!R498C3</stp>
        <tr r="C498" s="1"/>
      </tp>
      <tp t="s">
        <v>#N/A Requesting Data...</v>
        <stp/>
        <stp>##V3_BDHV12</stp>
        <stp>SPGSCLP Index</stp>
        <stp>CHG_PCT_5D</stp>
        <stp>14/04/2015</stp>
        <stp>14/04/2015</stp>
        <stp>[Bbg_Market_Data_CL.xlsm]data!R498C4</stp>
        <tr r="D498" s="1"/>
      </tp>
      <tp t="s">
        <v>#N/A Requesting Data...</v>
        <stp/>
        <stp>##V3_BDHV12</stp>
        <stp>CL1 Comdty</stp>
        <stp>30DAY_IMPVOL_95.0%MNY_DF</stp>
        <stp>25/08/2016</stp>
        <stp>25/08/2016</stp>
        <stp>[Bbg_Market_Data_CL.xlsm]data!R155C21</stp>
        <tr r="U155" s="1"/>
      </tp>
      <tp t="s">
        <v>#N/A Requesting Data...</v>
        <stp/>
        <stp>##V3_BDHV12</stp>
        <stp>CL1 Comdty</stp>
        <stp>30DAY_IMPVOL_90.0%MNY_DF</stp>
        <stp>26/08/2015</stp>
        <stp>26/08/2015</stp>
        <stp>[Bbg_Market_Data_CL.xlsm]data!R403C23</stp>
        <tr r="W403" s="1"/>
      </tp>
      <tp t="s">
        <v>#N/A Requesting Data...</v>
        <stp/>
        <stp>##V3_BDHV12</stp>
        <stp>CL1 Comdty</stp>
        <stp>30DAY_IMPVOL_95.0%MNY_DF</stp>
        <stp>14/09/2015</stp>
        <stp>14/09/2015</stp>
        <stp>[Bbg_Market_Data_CL.xlsm]data!R391C21</stp>
        <tr r="U391" s="1"/>
      </tp>
      <tp t="s">
        <v>#N/A Requesting Data...</v>
        <stp/>
        <stp>##V3_BDHV12</stp>
        <stp>CL1 Comdty</stp>
        <stp>30DAY_IMPVOL_95.0%MNY_DF</stp>
        <stp>04/08/2015</stp>
        <stp>04/08/2015</stp>
        <stp>[Bbg_Market_Data_CL.xlsm]data!R419C21</stp>
        <tr r="U419" s="1"/>
      </tp>
      <tp t="s">
        <v>#N/A Requesting Data...</v>
        <stp/>
        <stp>##V3_BDHV12</stp>
        <stp>SPGSCLP Index</stp>
        <stp>CHG_PCT_5D</stp>
        <stp>23/06/2015</stp>
        <stp>23/06/2015</stp>
        <stp>[Bbg_Market_Data_CL.xlsm]data!R449C4</stp>
        <tr r="D449" s="1"/>
      </tp>
      <tp t="s">
        <v>#N/A Requesting Data...</v>
        <stp/>
        <stp>##V3_BDHV12</stp>
        <stp>SPGSCLP Index</stp>
        <stp>CHG_PCT_1D</stp>
        <stp>23/06/2015</stp>
        <stp>23/06/2015</stp>
        <stp>[Bbg_Market_Data_CL.xlsm]data!R449C3</stp>
        <tr r="C449" s="1"/>
      </tp>
      <tp t="s">
        <v>#N/A Requesting Data...</v>
        <stp/>
        <stp>##V3_BDHV12</stp>
        <stp>CL1 Comdty</stp>
        <stp>30DAY_IMPVOL_90.0%MNY_DF</stp>
        <stp>16/08/2016</stp>
        <stp>16/08/2016</stp>
        <stp>[Bbg_Market_Data_CL.xlsm]data!R162C23</stp>
        <tr r="W162" s="1"/>
      </tp>
      <tp t="s">
        <v>#N/A Requesting Data...</v>
        <stp/>
        <stp>##V3_BDHV12</stp>
        <stp>CL1 Comdty</stp>
        <stp>30DAY_IMPVOL_90.0%MNY_DF</stp>
        <stp>06/09/2016</stp>
        <stp>06/09/2016</stp>
        <stp>[Bbg_Market_Data_CL.xlsm]data!R148C23</stp>
        <tr r="W148" s="1"/>
      </tp>
      <tp t="s">
        <v>#N/A Requesting Data...</v>
        <stp/>
        <stp>##V3_BDHV12</stp>
        <stp>SPGSCLP Index</stp>
        <stp>CHG_PCT_5D</stp>
        <stp>23/07/2015</stp>
        <stp>23/07/2015</stp>
        <stp>[Bbg_Market_Data_CL.xlsm]data!R428C4</stp>
        <tr r="D428" s="1"/>
      </tp>
      <tp t="s">
        <v>#N/A Requesting Data...</v>
        <stp/>
        <stp>##V3_BDHV12</stp>
        <stp>SPGSCLP Index</stp>
        <stp>CHG_PCT_1D</stp>
        <stp>23/07/2015</stp>
        <stp>23/07/2015</stp>
        <stp>[Bbg_Market_Data_CL.xlsm]data!R428C3</stp>
        <tr r="C428" s="1"/>
      </tp>
      <tp t="s">
        <v>#N/A Requesting Data...</v>
        <stp/>
        <stp>##V3_BDHV12</stp>
        <stp>SPGSCLP Index</stp>
        <stp>CHG_PCT_1D</stp>
        <stp>11/05/2016</stp>
        <stp>11/05/2016</stp>
        <stp>[Bbg_Market_Data_CL.xlsm]data!R229C3</stp>
        <tr r="C229" s="1"/>
      </tp>
      <tp t="s">
        <v>#N/A Requesting Data...</v>
        <stp/>
        <stp>##V3_BDHV12</stp>
        <stp>SPGSCLP Index</stp>
        <stp>CHG_PCT_5D</stp>
        <stp>11/05/2016</stp>
        <stp>11/05/2016</stp>
        <stp>[Bbg_Market_Data_CL.xlsm]data!R229C4</stp>
        <tr r="D229" s="1"/>
      </tp>
      <tp t="s">
        <v>#N/A Requesting Data...</v>
        <stp/>
        <stp>##V3_BDHV12</stp>
        <stp>CL1 Comdty</stp>
        <stp>30DAY_IMPVOL_90.0%MNY_DF</stp>
        <stp>25/08/2016</stp>
        <stp>25/08/2016</stp>
        <stp>[Bbg_Market_Data_CL.xlsm]data!R155C23</stp>
        <tr r="W155" s="1"/>
      </tp>
      <tp t="s">
        <v>#N/A Requesting Data...</v>
        <stp/>
        <stp>##V3_BDHV12</stp>
        <stp>CL1 Comdty</stp>
        <stp>30DAY_IMPVOL_95.0%MNY_DF</stp>
        <stp>26/08/2015</stp>
        <stp>26/08/2015</stp>
        <stp>[Bbg_Market_Data_CL.xlsm]data!R403C21</stp>
        <tr r="U403" s="1"/>
      </tp>
      <tp t="s">
        <v>#N/A Requesting Data...</v>
        <stp/>
        <stp>##V3_BDHV12</stp>
        <stp>CL1 Comdty</stp>
        <stp>30DAY_IMPVOL_90.0%MNY_DF</stp>
        <stp>14/09/2015</stp>
        <stp>14/09/2015</stp>
        <stp>[Bbg_Market_Data_CL.xlsm]data!R391C23</stp>
        <tr r="W391" s="1"/>
      </tp>
      <tp t="s">
        <v>#N/A Requesting Data...</v>
        <stp/>
        <stp>##V3_BDHV12</stp>
        <stp>SPGSCLP Index</stp>
        <stp>CHG_PCT_1D</stp>
        <stp>11/05/2015</stp>
        <stp>11/05/2015</stp>
        <stp>[Bbg_Market_Data_CL.xlsm]data!R479C3</stp>
        <tr r="C479" s="1"/>
      </tp>
      <tp t="s">
        <v>#N/A Requesting Data...</v>
        <stp/>
        <stp>##V3_BDHV12</stp>
        <stp>SPGSCLP Index</stp>
        <stp>CHG_PCT_5D</stp>
        <stp>11/05/2015</stp>
        <stp>11/05/2015</stp>
        <stp>[Bbg_Market_Data_CL.xlsm]data!R479C4</stp>
        <tr r="D479" s="1"/>
      </tp>
      <tp t="s">
        <v>#N/A Requesting Data...</v>
        <stp/>
        <stp>##V3_BDHV12</stp>
        <stp>SPGSCLP Index</stp>
        <stp>CHG_PCT_1D</stp>
        <stp>23/06/2016</stp>
        <stp>23/06/2016</stp>
        <stp>[Bbg_Market_Data_CL.xlsm]data!R199C3</stp>
        <tr r="C199" s="1"/>
      </tp>
      <tp t="s">
        <v>#N/A Requesting Data...</v>
        <stp/>
        <stp>##V3_BDHV12</stp>
        <stp>SPGSCLP Index</stp>
        <stp>CHG_PCT_5D</stp>
        <stp>23/06/2016</stp>
        <stp>23/06/2016</stp>
        <stp>[Bbg_Market_Data_CL.xlsm]data!R199C4</stp>
        <tr r="D199" s="1"/>
      </tp>
      <tp t="s">
        <v>#N/A Requesting Data...</v>
        <stp/>
        <stp>##V3_BDHV12</stp>
        <stp>CL1 Comdty</stp>
        <stp>30DAY_IMPVOL_95.0%MNY_DF</stp>
        <stp>18/05/2015</stp>
        <stp>18/05/2015</stp>
        <stp>[Bbg_Market_Data_CL.xlsm]data!R473C21</stp>
        <tr r="U473" s="1"/>
      </tp>
      <tp t="s">
        <v>#N/A Requesting Data...</v>
        <stp/>
        <stp>##V3_BDHV12</stp>
        <stp>SPGSCLP Index</stp>
        <stp>CHG_PCT_5D</stp>
        <stp>12/08/2015</stp>
        <stp>12/08/2015</stp>
        <stp>[Bbg_Market_Data_CL.xlsm]data!R414C4</stp>
        <tr r="D414" s="1"/>
      </tp>
      <tp t="s">
        <v>#N/A Requesting Data...</v>
        <stp/>
        <stp>##V3_BDHV12</stp>
        <stp>SPGSCLP Index</stp>
        <stp>CHG_PCT_1D</stp>
        <stp>21/08/2015</stp>
        <stp>21/08/2015</stp>
        <stp>[Bbg_Market_Data_CL.xlsm]data!R407C3</stp>
        <tr r="C407" s="1"/>
      </tp>
      <tp t="s">
        <v>#N/A Requesting Data...</v>
        <stp/>
        <stp>##V3_BDHV12</stp>
        <stp>SPGSCLP Index</stp>
        <stp>CHG_PCT_1D</stp>
        <stp>12/08/2015</stp>
        <stp>12/08/2015</stp>
        <stp>[Bbg_Market_Data_CL.xlsm]data!R414C3</stp>
        <tr r="C414" s="1"/>
      </tp>
      <tp t="s">
        <v>#N/A Requesting Data...</v>
        <stp/>
        <stp>##V3_BDHV12</stp>
        <stp>SPGSCLP Index</stp>
        <stp>CHG_PCT_5D</stp>
        <stp>21/08/2015</stp>
        <stp>21/08/2015</stp>
        <stp>[Bbg_Market_Data_CL.xlsm]data!R407C4</stp>
        <tr r="D407" s="1"/>
      </tp>
      <tp t="s">
        <v>#N/A Requesting Data...</v>
        <stp/>
        <stp>##V3_BDHV12</stp>
        <stp>SPGSCLP Index</stp>
        <stp>CHG_PCT_1D</stp>
        <stp>23/09/2016</stp>
        <stp>23/09/2016</stp>
        <stp>[Bbg_Market_Data_CL.xlsm]data!R136C3</stp>
        <tr r="C136" s="1"/>
      </tp>
      <tp t="s">
        <v>#N/A Requesting Data...</v>
        <stp/>
        <stp>##V3_BDHV12</stp>
        <stp>SPGSCLP Index</stp>
        <stp>CHG_PCT_5D</stp>
        <stp>23/09/2016</stp>
        <stp>23/09/2016</stp>
        <stp>[Bbg_Market_Data_CL.xlsm]data!R136C4</stp>
        <tr r="D136" s="1"/>
      </tp>
      <tp t="s">
        <v>#N/A Requesting Data...</v>
        <stp/>
        <stp>##V3_BDHV12</stp>
        <stp>CL1 Comdty</stp>
        <stp>30DAY_IMPVOL_90.0%MNY_DF</stp>
        <stp>29/04/2016</stp>
        <stp>29/04/2016</stp>
        <stp>[Bbg_Market_Data_CL.xlsm]data!R236C23</stp>
        <tr r="W236" s="1"/>
      </tp>
      <tp t="s">
        <v>#N/A Requesting Data...</v>
        <stp/>
        <stp>##V3_BDHV12</stp>
        <stp>CL1 Comdty</stp>
        <stp>30DAY_IMPVOL_95.0%MNY_DF</stp>
        <stp>29/07/2015</stp>
        <stp>29/07/2015</stp>
        <stp>[Bbg_Market_Data_CL.xlsm]data!R423C21</stp>
        <tr r="U423" s="1"/>
      </tp>
      <tp t="s">
        <v>#N/A Requesting Data...</v>
        <stp/>
        <stp>##V3_BDHV12</stp>
        <stp>CL1 Comdty</stp>
        <stp>30DAY_IMPVOL_90.0%MNY_DF</stp>
        <stp>09/06/2016</stp>
        <stp>09/06/2016</stp>
        <stp>[Bbg_Market_Data_CL.xlsm]data!R208C23</stp>
        <tr r="W208" s="1"/>
      </tp>
      <tp t="s">
        <v>#N/A Requesting Data...</v>
        <stp/>
        <stp>##V3_BDHV12</stp>
        <stp>CL1 Comdty</stp>
        <stp>30DAY_IMPVOL_90.0%MNY_DF</stp>
        <stp>19/07/2016</stp>
        <stp>19/07/2016</stp>
        <stp>[Bbg_Market_Data_CL.xlsm]data!R181C23</stp>
        <tr r="W181" s="1"/>
      </tp>
      <tp t="s">
        <v>#N/A Requesting Data...</v>
        <stp/>
        <stp>##V3_BDHV12</stp>
        <stp>SPGSCLP Index</stp>
        <stp>CHG_PCT_1D</stp>
        <stp>22/09/2015</stp>
        <stp>22/09/2015</stp>
        <stp>[Bbg_Market_Data_CL.xlsm]data!R386C3</stp>
        <tr r="C386" s="1"/>
      </tp>
      <tp t="s">
        <v>#N/A Requesting Data...</v>
        <stp/>
        <stp>##V3_BDHV12</stp>
        <stp>SPGSCLP Index</stp>
        <stp>CHG_PCT_1D</stp>
        <stp>12/09/2016</stp>
        <stp>12/09/2016</stp>
        <stp>[Bbg_Market_Data_CL.xlsm]data!R145C3</stp>
        <tr r="C145" s="1"/>
      </tp>
      <tp t="s">
        <v>#N/A Requesting Data...</v>
        <stp/>
        <stp>##V3_BDHV12</stp>
        <stp>SPGSCLP Index</stp>
        <stp>CHG_PCT_5D</stp>
        <stp>12/09/2016</stp>
        <stp>12/09/2016</stp>
        <stp>[Bbg_Market_Data_CL.xlsm]data!R145C4</stp>
        <tr r="D145" s="1"/>
      </tp>
      <tp t="s">
        <v>#N/A Requesting Data...</v>
        <stp/>
        <stp>##V3_BDHV12</stp>
        <stp>SPGSCLP Index</stp>
        <stp>CHG_PCT_5D</stp>
        <stp>22/09/2015</stp>
        <stp>22/09/2015</stp>
        <stp>[Bbg_Market_Data_CL.xlsm]data!R386C4</stp>
        <tr r="D386" s="1"/>
      </tp>
      <tp t="s">
        <v>#N/A Requesting Data...</v>
        <stp/>
        <stp>##V3_BDHV12</stp>
        <stp>CL1 Comdty</stp>
        <stp>30DAY_IMPVOL_90.0%MNY_DF</stp>
        <stp>08/07/2016</stp>
        <stp>08/07/2016</stp>
        <stp>[Bbg_Market_Data_CL.xlsm]data!R188C23</stp>
        <tr r="W188" s="1"/>
      </tp>
      <tp t="s">
        <v>#N/A Requesting Data...</v>
        <stp/>
        <stp>##V3_BDHV12</stp>
        <stp>CL1 Comdty</stp>
        <stp>30DAY_IMPVOL_90.0%MNY_DF</stp>
        <stp>29/07/2015</stp>
        <stp>29/07/2015</stp>
        <stp>[Bbg_Market_Data_CL.xlsm]data!R423C23</stp>
        <tr r="W423" s="1"/>
      </tp>
      <tp t="s">
        <v>#N/A Requesting Data...</v>
        <stp/>
        <stp>##V3_BDHV12</stp>
        <stp>CL1 Comdty</stp>
        <stp>30DAY_IMPVOL_95.0%MNY_DF</stp>
        <stp>09/06/2016</stp>
        <stp>09/06/2016</stp>
        <stp>[Bbg_Market_Data_CL.xlsm]data!R208C21</stp>
        <tr r="U208" s="1"/>
      </tp>
      <tp t="s">
        <v>#N/A Requesting Data...</v>
        <stp/>
        <stp>##V3_BDHV12</stp>
        <stp>CL1 Comdty</stp>
        <stp>30DAY_IMPVOL_95.0%MNY_DF</stp>
        <stp>29/04/2016</stp>
        <stp>29/04/2016</stp>
        <stp>[Bbg_Market_Data_CL.xlsm]data!R236C21</stp>
        <tr r="U236" s="1"/>
      </tp>
      <tp t="s">
        <v>#N/A Requesting Data...</v>
        <stp/>
        <stp>##V3_BDHV12</stp>
        <stp>SPGSCLP Index</stp>
        <stp>CHG_PCT_5D</stp>
        <stp>15/08/2016</stp>
        <stp>15/08/2016</stp>
        <stp>[Bbg_Market_Data_CL.xlsm]data!R164C4</stp>
        <tr r="D164" s="1"/>
      </tp>
      <tp t="s">
        <v>#N/A Requesting Data...</v>
        <stp/>
        <stp>##V3_BDHV12</stp>
        <stp>SPGSCLP Index</stp>
        <stp>CHG_PCT_1D</stp>
        <stp>15/08/2016</stp>
        <stp>15/08/2016</stp>
        <stp>[Bbg_Market_Data_CL.xlsm]data!R164C3</stp>
        <tr r="C164" s="1"/>
      </tp>
      <tp t="s">
        <v>#N/A Requesting Data...</v>
        <stp/>
        <stp>##V3_BDHV12</stp>
        <stp>CL1 Comdty</stp>
        <stp>30DAY_IMPVOL_90.0%MNY_DF</stp>
        <stp>18/05/2015</stp>
        <stp>18/05/2015</stp>
        <stp>[Bbg_Market_Data_CL.xlsm]data!R473C23</stp>
        <tr r="W473" s="1"/>
      </tp>
      <tp t="s">
        <v>#N/A Requesting Data...</v>
        <stp/>
        <stp>##V3_BDHV12</stp>
        <stp>CL1 Comdty</stp>
        <stp>30DAY_IMPVOL_95.0%MNY_DF</stp>
        <stp>08/07/2016</stp>
        <stp>08/07/2016</stp>
        <stp>[Bbg_Market_Data_CL.xlsm]data!R188C21</stp>
        <tr r="U188" s="1"/>
      </tp>
      <tp t="s">
        <v>#N/A Requesting Data...</v>
        <stp/>
        <stp>##V3_BDHV12</stp>
        <stp>SPGSCLP Index</stp>
        <stp>CHG_PCT_5D</stp>
        <stp>24/08/2016</stp>
        <stp>24/08/2016</stp>
        <stp>[Bbg_Market_Data_CL.xlsm]data!R157C4</stp>
        <tr r="D157" s="1"/>
      </tp>
      <tp t="s">
        <v>#N/A Requesting Data...</v>
        <stp/>
        <stp>##V3_BDHV12</stp>
        <stp>SPGSCLP Index</stp>
        <stp>CHG_PCT_1D</stp>
        <stp>24/08/2016</stp>
        <stp>24/08/2016</stp>
        <stp>[Bbg_Market_Data_CL.xlsm]data!R157C3</stp>
        <tr r="C157" s="1"/>
      </tp>
      <tp t="s">
        <v>#N/A Requesting Data...</v>
        <stp/>
        <stp>##V3_BDHV12</stp>
        <stp>CL1 Comdty</stp>
        <stp>30DAY_IMPVOL_95.0%MNY_DF</stp>
        <stp>19/07/2016</stp>
        <stp>19/07/2016</stp>
        <stp>[Bbg_Market_Data_CL.xlsm]data!R181C21</stp>
        <tr r="U181" s="1"/>
      </tp>
      <tp t="s">
        <v>#N/A Requesting Data...</v>
        <stp/>
        <stp>##V3_BDHV12</stp>
        <stp>CL1 Comdty</stp>
        <stp>RSI_30D</stp>
        <stp>21/03/2017</stp>
        <stp>21/03/2017</stp>
        <stp>[Bbg_Market_Data_CL.xlsm]data!R16C14</stp>
        <tr r="N16" s="1"/>
      </tp>
      <tp t="s">
        <v>#N/A Requesting Data...</v>
        <stp/>
        <stp>##V3_BDHV12</stp>
        <stp>CL1 Comdty</stp>
        <stp>RSI_14D</stp>
        <stp>23/03/2017</stp>
        <stp>23/03/2017</stp>
        <stp>[Bbg_Market_Data_CL.xlsm]data!R14C13</stp>
        <tr r="M14" s="1"/>
      </tp>
      <tp t="s">
        <v>#N/A Requesting Data...</v>
        <stp/>
        <stp>##V3_BDHV12</stp>
        <stp>CL2 Comdty</stp>
        <stp>RSI_14D</stp>
        <stp>10/03/2017</stp>
        <stp>10/03/2017</stp>
        <stp>[Bbg_Market_Data_CL.xlsm]data!R23C13</stp>
        <tr r="M23" s="1"/>
      </tp>
      <tp t="s">
        <v>#N/A Requesting Data...</v>
        <stp/>
        <stp>##V3_BDHV12</stp>
        <stp>CL2 Comdty</stp>
        <stp>RSI_30D</stp>
        <stp>02/02/2017</stp>
        <stp>02/02/2017</stp>
        <stp>[Bbg_Market_Data_CL.xlsm]data!R48C14</stp>
        <tr r="N48" s="1"/>
      </tp>
      <tp t="s">
        <v>#N/A Requesting Data...</v>
        <stp/>
        <stp>##V3_BDHV12</stp>
        <stp>CL1 Comdty</stp>
        <stp>RSI_14D</stp>
        <stp>03/01/2017</stp>
        <stp>03/01/2017</stp>
        <stp>[Bbg_Market_Data_CL.xlsm]data!R69C13</stp>
        <tr r="M69" s="1"/>
      </tp>
      <tp t="s">
        <v>#N/A Requesting Data...</v>
        <stp/>
        <stp>##V3_BDHV12</stp>
        <stp>CL1 Comdty</stp>
        <stp>RSI_14D</stp>
        <stp>23/12/2016</stp>
        <stp>23/12/2016</stp>
        <stp>[Bbg_Market_Data_CL.xlsm]data!R74C13</stp>
        <tr r="M74" s="1"/>
      </tp>
      <tp t="s">
        <v>#N/A Requesting Data...</v>
        <stp/>
        <stp>##V3_BDHV12</stp>
        <stp>CL2 Comdty</stp>
        <stp>RSI_14D</stp>
        <stp>30/01/2017</stp>
        <stp>30/01/2017</stp>
        <stp>[Bbg_Market_Data_CL.xlsm]data!R51C13</stp>
        <tr r="M51" s="1"/>
      </tp>
      <tp t="s">
        <v>#N/A Requesting Data...</v>
        <stp/>
        <stp>##V3_BDHV12</stp>
        <stp>CL1 Comdty</stp>
        <stp>RSI_30D</stp>
        <stp>21/12/2016</stp>
        <stp>21/12/2016</stp>
        <stp>[Bbg_Market_Data_CL.xlsm]data!R76C14</stp>
        <tr r="N76" s="1"/>
      </tp>
      <tp t="s">
        <v>#N/A Requesting Data...</v>
        <stp/>
        <stp>##V3_BDHV12</stp>
        <stp>CL2 Comdty</stp>
        <stp>RSI_30D</stp>
        <stp>22/11/2016</stp>
        <stp>22/11/2016</stp>
        <stp>[Bbg_Market_Data_CL.xlsm]data!R96C14</stp>
        <tr r="N96" s="1"/>
      </tp>
      <tp t="s">
        <v>#N/A Requesting Data...</v>
        <stp/>
        <stp>##V3_BDHV12</stp>
        <stp>CL2 Comdty</stp>
        <stp>RSI_30D</stp>
        <stp>12/12/2016</stp>
        <stp>12/12/2016</stp>
        <stp>[Bbg_Market_Data_CL.xlsm]data!R83C14</stp>
        <tr r="N83" s="1"/>
      </tp>
      <tp t="s">
        <v>#N/A Requesting Data...</v>
        <stp/>
        <stp>##V3_BDHV12</stp>
        <stp>CL1 Comdty</stp>
        <stp>RSI_14D</stp>
        <stp>22/03/2017</stp>
        <stp>22/03/2017</stp>
        <stp>[Bbg_Market_Data_CL.xlsm]data!R15C13</stp>
        <tr r="M15" s="1"/>
      </tp>
      <tp t="s">
        <v>#N/A Requesting Data...</v>
        <stp/>
        <stp>##V3_BDHV12</stp>
        <stp>CL1 Comdty</stp>
        <stp>RSI_30D</stp>
        <stp>20/03/2017</stp>
        <stp>20/03/2017</stp>
        <stp>[Bbg_Market_Data_CL.xlsm]data!R17C14</stp>
        <tr r="N17" s="1"/>
      </tp>
      <tp t="s">
        <v>#N/A Requesting Data...</v>
        <stp/>
        <stp>##V3_BDHV12</stp>
        <stp>CL2 Comdty</stp>
        <stp>RSI_30D</stp>
        <stp>13/03/2017</stp>
        <stp>13/03/2017</stp>
        <stp>[Bbg_Market_Data_CL.xlsm]data!R22C14</stp>
        <tr r="N22" s="1"/>
      </tp>
      <tp t="s">
        <v>#N/A Requesting Data...</v>
        <stp/>
        <stp>##V3_BDHV12</stp>
        <stp>CL2 Comdty</stp>
        <stp>RSI_14D</stp>
        <stp>01/02/2017</stp>
        <stp>01/02/2017</stp>
        <stp>[Bbg_Market_Data_CL.xlsm]data!R49C13</stp>
        <tr r="M49" s="1"/>
      </tp>
      <tp t="s">
        <v>#N/A Requesting Data...</v>
        <stp/>
        <stp>##V3_BDHV12</stp>
        <stp>CL1 Comdty</stp>
        <stp>RSI_30D</stp>
        <stp>20/12/2016</stp>
        <stp>20/12/2016</stp>
        <stp>[Bbg_Market_Data_CL.xlsm]data!R77C14</stp>
        <tr r="N77" s="1"/>
      </tp>
      <tp t="s">
        <v>#N/A Requesting Data...</v>
        <stp/>
        <stp>##V3_BDHV12</stp>
        <stp>CL1 Comdty</stp>
        <stp>RSI_14D</stp>
        <stp>22/12/2016</stp>
        <stp>22/12/2016</stp>
        <stp>[Bbg_Market_Data_CL.xlsm]data!R75C13</stp>
        <tr r="M75" s="1"/>
      </tp>
      <tp t="s">
        <v>#N/A Requesting Data...</v>
        <stp/>
        <stp>##V3_BDHV12</stp>
        <stp>CL2 Comdty</stp>
        <stp>RSI_30D</stp>
        <stp>03/02/2017</stp>
        <stp>03/02/2017</stp>
        <stp>[Bbg_Market_Data_CL.xlsm]data!R47C14</stp>
        <tr r="N47" s="1"/>
      </tp>
      <tp t="s">
        <v>#N/A Requesting Data...</v>
        <stp/>
        <stp>##V3_BDHV12</stp>
        <stp>CL2 Comdty</stp>
        <stp>RSI_14D</stp>
        <stp>31/01/2017</stp>
        <stp>31/01/2017</stp>
        <stp>[Bbg_Market_Data_CL.xlsm]data!R50C13</stp>
        <tr r="M50" s="1"/>
      </tp>
      <tp t="s">
        <v>#N/A Requesting Data...</v>
        <stp/>
        <stp>##V3_BDHV12</stp>
        <stp>CL2 Comdty</stp>
        <stp>RSI_14D</stp>
        <stp>21/11/2016</stp>
        <stp>21/11/2016</stp>
        <stp>[Bbg_Market_Data_CL.xlsm]data!R97C13</stp>
        <tr r="M97" s="1"/>
      </tp>
      <tp t="s">
        <v>#N/A Requesting Data...</v>
        <stp/>
        <stp>##V3_BDHV12</stp>
        <stp>CL2 Comdty</stp>
        <stp>RSI_30D</stp>
        <stp>13/12/2016</stp>
        <stp>13/12/2016</stp>
        <stp>[Bbg_Market_Data_CL.xlsm]data!R82C14</stp>
        <tr r="N82" s="1"/>
      </tp>
      <tp t="s">
        <v>#N/A Requesting Data...</v>
        <stp/>
        <stp>##V3_BDHV12</stp>
        <stp>CL2 Comdty</stp>
        <stp>RSI_30D</stp>
        <stp>23/11/2016</stp>
        <stp>23/11/2016</stp>
        <stp>[Bbg_Market_Data_CL.xlsm]data!R95C14</stp>
        <tr r="N95" s="1"/>
      </tp>
      <tp t="s">
        <v>#N/A Requesting Data...</v>
        <stp/>
        <stp>##V3_BDHV12</stp>
        <stp>CL1 Comdty</stp>
        <stp>RSI_30D</stp>
        <stp>23/03/2017</stp>
        <stp>23/03/2017</stp>
        <stp>[Bbg_Market_Data_CL.xlsm]data!R14C14</stp>
        <tr r="N14" s="1"/>
      </tp>
      <tp t="s">
        <v>#N/A Requesting Data...</v>
        <stp/>
        <stp>##V3_BDHV12</stp>
        <stp>CL2 Comdty</stp>
        <stp>RSI_30D</stp>
        <stp>10/03/2017</stp>
        <stp>10/03/2017</stp>
        <stp>[Bbg_Market_Data_CL.xlsm]data!R23C14</stp>
        <tr r="N23" s="1"/>
      </tp>
      <tp t="s">
        <v>#N/A Requesting Data...</v>
        <stp/>
        <stp>##V3_BDHV12</stp>
        <stp>CL1 Comdty</stp>
        <stp>RSI_14D</stp>
        <stp>21/03/2017</stp>
        <stp>21/03/2017</stp>
        <stp>[Bbg_Market_Data_CL.xlsm]data!R16C13</stp>
        <tr r="M16" s="1"/>
      </tp>
      <tp t="s">
        <v>#N/A Requesting Data...</v>
        <stp/>
        <stp>##V3_BDHV12</stp>
        <stp>CL1 Comdty</stp>
        <stp>RSI_14D</stp>
        <stp>21/12/2016</stp>
        <stp>21/12/2016</stp>
        <stp>[Bbg_Market_Data_CL.xlsm]data!R76C13</stp>
        <tr r="M76" s="1"/>
      </tp>
      <tp t="s">
        <v>#N/A Requesting Data...</v>
        <stp/>
        <stp>##V3_BDHV12</stp>
        <stp>CL2 Comdty</stp>
        <stp>RSI_14D</stp>
        <stp>02/02/2017</stp>
        <stp>02/02/2017</stp>
        <stp>[Bbg_Market_Data_CL.xlsm]data!R48C13</stp>
        <tr r="M48" s="1"/>
      </tp>
      <tp t="s">
        <v>#N/A Requesting Data...</v>
        <stp/>
        <stp>##V3_BDHV12</stp>
        <stp>CL1 Comdty</stp>
        <stp>RSI_30D</stp>
        <stp>03/01/2017</stp>
        <stp>03/01/2017</stp>
        <stp>[Bbg_Market_Data_CL.xlsm]data!R69C14</stp>
        <tr r="N69" s="1"/>
      </tp>
      <tp t="s">
        <v>#N/A Requesting Data...</v>
        <stp/>
        <stp>##V3_BDHV12</stp>
        <stp>CL1 Comdty</stp>
        <stp>RSI_30D</stp>
        <stp>23/12/2016</stp>
        <stp>23/12/2016</stp>
        <stp>[Bbg_Market_Data_CL.xlsm]data!R74C14</stp>
        <tr r="N74" s="1"/>
      </tp>
      <tp t="s">
        <v>#N/A Requesting Data...</v>
        <stp/>
        <stp>##V3_BDHV12</stp>
        <stp>CL2 Comdty</stp>
        <stp>RSI_30D</stp>
        <stp>30/01/2017</stp>
        <stp>30/01/2017</stp>
        <stp>[Bbg_Market_Data_CL.xlsm]data!R51C14</stp>
        <tr r="N51" s="1"/>
      </tp>
      <tp t="s">
        <v>#N/A Requesting Data...</v>
        <stp/>
        <stp>##V3_BDHV12</stp>
        <stp>CL2 Comdty</stp>
        <stp>RSI_14D</stp>
        <stp>12/12/2016</stp>
        <stp>12/12/2016</stp>
        <stp>[Bbg_Market_Data_CL.xlsm]data!R83C13</stp>
        <tr r="M83" s="1"/>
      </tp>
      <tp t="s">
        <v>#N/A Requesting Data...</v>
        <stp/>
        <stp>##V3_BDHV12</stp>
        <stp>CL2 Comdty</stp>
        <stp>RSI_14D</stp>
        <stp>22/11/2016</stp>
        <stp>22/11/2016</stp>
        <stp>[Bbg_Market_Data_CL.xlsm]data!R96C13</stp>
        <tr r="M96" s="1"/>
      </tp>
      <tp t="s">
        <v>#N/A Requesting Data...</v>
        <stp/>
        <stp>##V3_BDHV12</stp>
        <stp>CL1 Comdty</stp>
        <stp>RSI_14D</stp>
        <stp>20/03/2017</stp>
        <stp>20/03/2017</stp>
        <stp>[Bbg_Market_Data_CL.xlsm]data!R17C13</stp>
        <tr r="M17" s="1"/>
      </tp>
      <tp t="s">
        <v>#N/A Requesting Data...</v>
        <stp/>
        <stp>##V3_BDHV12</stp>
        <stp>CL2 Comdty</stp>
        <stp>RSI_14D</stp>
        <stp>13/03/2017</stp>
        <stp>13/03/2017</stp>
        <stp>[Bbg_Market_Data_CL.xlsm]data!R22C13</stp>
        <tr r="M22" s="1"/>
      </tp>
      <tp t="s">
        <v>#N/A Requesting Data...</v>
        <stp/>
        <stp>##V3_BDHV12</stp>
        <stp>CL1 Comdty</stp>
        <stp>RSI_30D</stp>
        <stp>22/03/2017</stp>
        <stp>22/03/2017</stp>
        <stp>[Bbg_Market_Data_CL.xlsm]data!R15C14</stp>
        <tr r="N15" s="1"/>
      </tp>
      <tp t="s">
        <v>#N/A Requesting Data...</v>
        <stp/>
        <stp>##V3_BDHV12</stp>
        <stp>CL1 Comdty</stp>
        <stp>RSI_30D</stp>
        <stp>22/12/2016</stp>
        <stp>22/12/2016</stp>
        <stp>[Bbg_Market_Data_CL.xlsm]data!R75C14</stp>
        <tr r="N75" s="1"/>
      </tp>
      <tp t="s">
        <v>#N/A Requesting Data...</v>
        <stp/>
        <stp>##V3_BDHV12</stp>
        <stp>CL2 Comdty</stp>
        <stp>RSI_14D</stp>
        <stp>03/02/2017</stp>
        <stp>03/02/2017</stp>
        <stp>[Bbg_Market_Data_CL.xlsm]data!R47C13</stp>
        <tr r="M47" s="1"/>
      </tp>
      <tp t="s">
        <v>#N/A Requesting Data...</v>
        <stp/>
        <stp>##V3_BDHV12</stp>
        <stp>CL2 Comdty</stp>
        <stp>RSI_30D</stp>
        <stp>31/01/2017</stp>
        <stp>31/01/2017</stp>
        <stp>[Bbg_Market_Data_CL.xlsm]data!R50C14</stp>
        <tr r="N50" s="1"/>
      </tp>
      <tp t="s">
        <v>#N/A Requesting Data...</v>
        <stp/>
        <stp>##V3_BDHV12</stp>
        <stp>CL2 Comdty</stp>
        <stp>RSI_30D</stp>
        <stp>01/02/2017</stp>
        <stp>01/02/2017</stp>
        <stp>[Bbg_Market_Data_CL.xlsm]data!R49C14</stp>
        <tr r="N49" s="1"/>
      </tp>
      <tp t="s">
        <v>#N/A Requesting Data...</v>
        <stp/>
        <stp>##V3_BDHV12</stp>
        <stp>CL1 Comdty</stp>
        <stp>RSI_14D</stp>
        <stp>20/12/2016</stp>
        <stp>20/12/2016</stp>
        <stp>[Bbg_Market_Data_CL.xlsm]data!R77C13</stp>
        <tr r="M77" s="1"/>
      </tp>
      <tp t="s">
        <v>#N/A Requesting Data...</v>
        <stp/>
        <stp>##V3_BDHV12</stp>
        <stp>CL2 Comdty</stp>
        <stp>RSI_14D</stp>
        <stp>23/11/2016</stp>
        <stp>23/11/2016</stp>
        <stp>[Bbg_Market_Data_CL.xlsm]data!R95C13</stp>
        <tr r="M95" s="1"/>
      </tp>
      <tp t="s">
        <v>#N/A Requesting Data...</v>
        <stp/>
        <stp>##V3_BDHV12</stp>
        <stp>CL2 Comdty</stp>
        <stp>RSI_30D</stp>
        <stp>21/11/2016</stp>
        <stp>21/11/2016</stp>
        <stp>[Bbg_Market_Data_CL.xlsm]data!R97C14</stp>
        <tr r="N97" s="1"/>
      </tp>
      <tp t="s">
        <v>#N/A Requesting Data...</v>
        <stp/>
        <stp>##V3_BDHV12</stp>
        <stp>CL2 Comdty</stp>
        <stp>RSI_14D</stp>
        <stp>13/12/2016</stp>
        <stp>13/12/2016</stp>
        <stp>[Bbg_Market_Data_CL.xlsm]data!R82C13</stp>
        <tr r="M82" s="1"/>
      </tp>
      <tp t="s">
        <v>#N/A Requesting Data...</v>
        <stp/>
        <stp>##V3_BDHV12</stp>
        <stp>CL2 Comdty</stp>
        <stp>RSI_30D</stp>
        <stp>16/12/2016</stp>
        <stp>16/12/2016</stp>
        <stp>[Bbg_Market_Data_CL.xlsm]data!R79C14</stp>
        <tr r="N79" s="1"/>
      </tp>
      <tp t="s">
        <v>#N/A Requesting Data...</v>
        <stp/>
        <stp>##V3_BDHV12</stp>
        <stp>CL2 Comdty</stp>
        <stp>RSI_30D</stp>
        <stp>06/02/2017</stp>
        <stp>06/02/2017</stp>
        <stp>[Bbg_Market_Data_CL.xlsm]data!R46C14</stp>
        <tr r="N46" s="1"/>
      </tp>
      <tp t="s">
        <v>#N/A Requesting Data...</v>
        <stp/>
        <stp>##V3_BDHV12</stp>
        <stp>CL1 Comdty</stp>
        <stp>RSI_14D</stp>
        <stp>27/12/2016</stp>
        <stp>27/12/2016</stp>
        <stp>[Bbg_Market_Data_CL.xlsm]data!R73C13</stp>
        <tr r="M73" s="1"/>
      </tp>
      <tp t="s">
        <v>#N/A Requesting Data...</v>
        <stp/>
        <stp>##V3_BDHV12</stp>
        <stp>CL1 Comdty</stp>
        <stp>RSI_30D</stp>
        <stp>05/01/2017</stp>
        <stp>05/01/2017</stp>
        <stp>[Bbg_Market_Data_CL.xlsm]data!R67C14</stp>
        <tr r="N67" s="1"/>
      </tp>
      <tp t="s">
        <v>#N/A Requesting Data...</v>
        <stp/>
        <stp>##V3_BDHV12</stp>
        <stp>CL2 Comdty</stp>
        <stp>RSI_14D</stp>
        <stp>14/03/2017</stp>
        <stp>14/03/2017</stp>
        <stp>[Bbg_Market_Data_CL.xlsm]data!R21C13</stp>
        <tr r="M21" s="1"/>
      </tp>
      <tp t="s">
        <v>#N/A Requesting Data...</v>
        <stp/>
        <stp>##V3_BDHV12</stp>
        <stp>CL1 Comdty</stp>
        <stp>RSI_14D</stp>
        <stp>27/03/2017</stp>
        <stp>27/03/2017</stp>
        <stp>[Bbg_Market_Data_CL.xlsm]data!R12C13</stp>
        <tr r="M12" s="1"/>
      </tp>
      <tp t="s">
        <v>#N/A Requesting Data...</v>
        <stp/>
        <stp>##V3_BDHV12</stp>
        <stp>CL2 Comdty</stp>
        <stp>RSI_30D</stp>
        <stp>16/03/2017</stp>
        <stp>16/03/2017</stp>
        <stp>[Bbg_Market_Data_CL.xlsm]data!R19C14</stp>
        <tr r="N19" s="1"/>
      </tp>
      <tp t="s">
        <v>#N/A Requesting Data...</v>
        <stp/>
        <stp>##V3_BDHV12</stp>
        <stp>CL1 Comdty</stp>
        <stp>RSI_14D</stp>
        <stp>17/11/2016</stp>
        <stp>17/11/2016</stp>
        <stp>[Bbg_Market_Data_CL.xlsm]data!R99C13</stp>
        <tr r="M99" s="1"/>
      </tp>
      <tp t="s">
        <v>#N/A Requesting Data...</v>
        <stp/>
        <stp>##V3_BDHV12</stp>
        <stp>CL2 Comdty</stp>
        <stp>RSI_14D</stp>
        <stp>14/12/2016</stp>
        <stp>14/12/2016</stp>
        <stp>[Bbg_Market_Data_CL.xlsm]data!R81C13</stp>
        <tr r="M81" s="1"/>
      </tp>
      <tp t="s">
        <v>#N/A Requesting Data...</v>
        <stp/>
        <stp>##V3_BDHV12</stp>
        <stp>CL1 Comdty</stp>
        <stp>RSI_30D</stp>
        <stp>04/01/2017</stp>
        <stp>04/01/2017</stp>
        <stp>[Bbg_Market_Data_CL.xlsm]data!R68C14</stp>
        <tr r="N68" s="1"/>
      </tp>
      <tp t="s">
        <v>#N/A Requesting Data...</v>
        <stp/>
        <stp>##V3_BDHV12</stp>
        <stp>CL2 Comdty</stp>
        <stp>RSI_30D</stp>
        <stp>07/02/2017</stp>
        <stp>07/02/2017</stp>
        <stp>[Bbg_Market_Data_CL.xlsm]data!R45C14</stp>
        <tr r="N45" s="1"/>
      </tp>
      <tp t="s">
        <v>#N/A Requesting Data...</v>
        <stp/>
        <stp>##V3_BDHV12</stp>
        <stp>CL1 Comdty</stp>
        <stp>RSI_14D</stp>
        <stp>06/01/2017</stp>
        <stp>06/01/2017</stp>
        <stp>[Bbg_Market_Data_CL.xlsm]data!R66C13</stp>
        <tr r="M66" s="1"/>
      </tp>
      <tp t="s">
        <v>#N/A Requesting Data...</v>
        <stp/>
        <stp>##V3_BDHV12</stp>
        <stp>CL2 Comdty</stp>
        <stp>RSI_14D</stp>
        <stp>15/03/2017</stp>
        <stp>15/03/2017</stp>
        <stp>[Bbg_Market_Data_CL.xlsm]data!R20C13</stp>
        <tr r="M20" s="1"/>
      </tp>
      <tp t="s">
        <v>#N/A Requesting Data...</v>
        <stp/>
        <stp>##V3_BDHV12</stp>
        <stp>CL1 Comdty</stp>
        <stp>RSI_30D</stp>
        <stp>24/03/2017</stp>
        <stp>24/03/2017</stp>
        <stp>[Bbg_Market_Data_CL.xlsm]data!R13C14</stp>
        <tr r="N13" s="1"/>
      </tp>
      <tp t="s">
        <v>#N/A Requesting Data...</v>
        <stp/>
        <stp>##V3_BDHV12</stp>
        <stp>CL2 Comdty</stp>
        <stp>RSI_30D</stp>
        <stp>17/03/2017</stp>
        <stp>17/03/2017</stp>
        <stp>[Bbg_Market_Data_CL.xlsm]data!R18C14</stp>
        <tr r="N18" s="1"/>
      </tp>
      <tp t="s">
        <v>#N/A Requesting Data...</v>
        <stp/>
        <stp>##V3_BDHV12</stp>
        <stp>CL2 Comdty</stp>
        <stp>RSI_14D</stp>
        <stp>25/11/2016</stp>
        <stp>25/11/2016</stp>
        <stp>[Bbg_Market_Data_CL.xlsm]data!R94C13</stp>
        <tr r="M94" s="1"/>
      </tp>
      <tp t="s">
        <v>#N/A Requesting Data...</v>
        <stp/>
        <stp>##V3_BDHV12</stp>
        <stp>CL2 Comdty</stp>
        <stp>RSI_14D</stp>
        <stp>15/12/2016</stp>
        <stp>15/12/2016</stp>
        <stp>[Bbg_Market_Data_CL.xlsm]data!R80C13</stp>
        <tr r="M80" s="1"/>
      </tp>
      <tp t="s">
        <v>#N/A Requesting Data...</v>
        <stp/>
        <stp>##V3_BDHV12</stp>
        <stp>CL1 Comdty</stp>
        <stp>RSI_14D</stp>
        <stp>05/01/2017</stp>
        <stp>05/01/2017</stp>
        <stp>[Bbg_Market_Data_CL.xlsm]data!R67C13</stp>
        <tr r="M67" s="1"/>
      </tp>
      <tp t="s">
        <v>#N/A Requesting Data...</v>
        <stp/>
        <stp>##V3_BDHV12</stp>
        <stp>CL2 Comdty</stp>
        <stp>RSI_14D</stp>
        <stp>06/02/2017</stp>
        <stp>06/02/2017</stp>
        <stp>[Bbg_Market_Data_CL.xlsm]data!R46C13</stp>
        <tr r="M46" s="1"/>
      </tp>
      <tp t="s">
        <v>#N/A Requesting Data...</v>
        <stp/>
        <stp>##V3_BDHV12</stp>
        <stp>CL1 Comdty</stp>
        <stp>RSI_30D</stp>
        <stp>27/12/2016</stp>
        <stp>27/12/2016</stp>
        <stp>[Bbg_Market_Data_CL.xlsm]data!R73C14</stp>
        <tr r="N73" s="1"/>
      </tp>
      <tp t="s">
        <v>#N/A Requesting Data...</v>
        <stp/>
        <stp>##V3_BDHV12</stp>
        <stp>CL2 Comdty</stp>
        <stp>RSI_14D</stp>
        <stp>16/12/2016</stp>
        <stp>16/12/2016</stp>
        <stp>[Bbg_Market_Data_CL.xlsm]data!R79C13</stp>
        <tr r="M79" s="1"/>
      </tp>
      <tp t="s">
        <v>#N/A Requesting Data...</v>
        <stp/>
        <stp>##V3_BDHV12</stp>
        <stp>CL2 Comdty</stp>
        <stp>RSI_14D</stp>
        <stp>16/03/2017</stp>
        <stp>16/03/2017</stp>
        <stp>[Bbg_Market_Data_CL.xlsm]data!R19C13</stp>
        <tr r="M19" s="1"/>
      </tp>
      <tp t="s">
        <v>#N/A Requesting Data...</v>
        <stp/>
        <stp>##V3_BDHV12</stp>
        <stp>CL2 Comdty</stp>
        <stp>RSI_30D</stp>
        <stp>14/03/2017</stp>
        <stp>14/03/2017</stp>
        <stp>[Bbg_Market_Data_CL.xlsm]data!R21C14</stp>
        <tr r="N21" s="1"/>
      </tp>
      <tp t="s">
        <v>#N/A Requesting Data...</v>
        <stp/>
        <stp>##V3_BDHV12</stp>
        <stp>CL1 Comdty</stp>
        <stp>RSI_30D</stp>
        <stp>27/03/2017</stp>
        <stp>27/03/2017</stp>
        <stp>[Bbg_Market_Data_CL.xlsm]data!R12C14</stp>
        <tr r="N12" s="1"/>
      </tp>
      <tp t="s">
        <v>#N/A Requesting Data...</v>
        <stp/>
        <stp>##V3_BDHV12</stp>
        <stp>CL2 Comdty</stp>
        <stp>RSI_30D</stp>
        <stp>14/12/2016</stp>
        <stp>14/12/2016</stp>
        <stp>[Bbg_Market_Data_CL.xlsm]data!R81C14</stp>
        <tr r="N81" s="1"/>
      </tp>
      <tp t="s">
        <v>#N/A Requesting Data...</v>
        <stp/>
        <stp>##V3_BDHV12</stp>
        <stp>CL1 Comdty</stp>
        <stp>RSI_30D</stp>
        <stp>17/11/2016</stp>
        <stp>17/11/2016</stp>
        <stp>[Bbg_Market_Data_CL.xlsm]data!R99C14</stp>
        <tr r="N99" s="1"/>
      </tp>
      <tp t="s">
        <v>#N/A Requesting Data...</v>
        <stp/>
        <stp>##V3_BDHV12</stp>
        <stp>CL2 Comdty</stp>
        <stp>RSI_14D</stp>
        <stp>07/02/2017</stp>
        <stp>07/02/2017</stp>
        <stp>[Bbg_Market_Data_CL.xlsm]data!R45C13</stp>
        <tr r="M45" s="1"/>
      </tp>
      <tp t="s">
        <v>#N/A Requesting Data...</v>
        <stp/>
        <stp>##V3_BDHV12</stp>
        <stp>CL1 Comdty</stp>
        <stp>RSI_30D</stp>
        <stp>06/01/2017</stp>
        <stp>06/01/2017</stp>
        <stp>[Bbg_Market_Data_CL.xlsm]data!R66C14</stp>
        <tr r="N66" s="1"/>
      </tp>
      <tp t="s">
        <v>#N/A Requesting Data...</v>
        <stp/>
        <stp>##V3_BDHV12</stp>
        <stp>CL1 Comdty</stp>
        <stp>RSI_14D</stp>
        <stp>04/01/2017</stp>
        <stp>04/01/2017</stp>
        <stp>[Bbg_Market_Data_CL.xlsm]data!R68C13</stp>
        <tr r="M68" s="1"/>
      </tp>
      <tp t="s">
        <v>#N/A Requesting Data...</v>
        <stp/>
        <stp>##V3_BDHV12</stp>
        <stp>CL2 Comdty</stp>
        <stp>RSI_14D</stp>
        <stp>17/03/2017</stp>
        <stp>17/03/2017</stp>
        <stp>[Bbg_Market_Data_CL.xlsm]data!R18C13</stp>
        <tr r="M18" s="1"/>
      </tp>
      <tp t="s">
        <v>#N/A Requesting Data...</v>
        <stp/>
        <stp>##V3_BDHV12</stp>
        <stp>CL1 Comdty</stp>
        <stp>RSI_14D</stp>
        <stp>24/03/2017</stp>
        <stp>24/03/2017</stp>
        <stp>[Bbg_Market_Data_CL.xlsm]data!R13C13</stp>
        <tr r="M13" s="1"/>
      </tp>
      <tp t="s">
        <v>#N/A Requesting Data...</v>
        <stp/>
        <stp>##V3_BDHV12</stp>
        <stp>CL2 Comdty</stp>
        <stp>RSI_30D</stp>
        <stp>15/03/2017</stp>
        <stp>15/03/2017</stp>
        <stp>[Bbg_Market_Data_CL.xlsm]data!R20C14</stp>
        <tr r="N20" s="1"/>
      </tp>
      <tp t="s">
        <v>#N/A Requesting Data...</v>
        <stp/>
        <stp>##V3_BDHV12</stp>
        <stp>CL2 Comdty</stp>
        <stp>RSI_30D</stp>
        <stp>15/12/2016</stp>
        <stp>15/12/2016</stp>
        <stp>[Bbg_Market_Data_CL.xlsm]data!R80C14</stp>
        <tr r="N80" s="1"/>
      </tp>
      <tp t="s">
        <v>#N/A Requesting Data...</v>
        <stp/>
        <stp>##V3_BDHV12</stp>
        <stp>CL2 Comdty</stp>
        <stp>RSI_30D</stp>
        <stp>25/11/2016</stp>
        <stp>25/11/2016</stp>
        <stp>[Bbg_Market_Data_CL.xlsm]data!R94C14</stp>
        <tr r="N94" s="1"/>
      </tp>
      <tp t="s">
        <v>#N/A Requesting Data...</v>
        <stp/>
        <stp>##V3_BDHV12</stp>
        <stp>CL2 Comdty</stp>
        <stp>RSI_14D</stp>
        <stp>28/11/2016</stp>
        <stp>28/11/2016</stp>
        <stp>[Bbg_Market_Data_CL.xlsm]data!R93C13</stp>
        <tr r="M93" s="1"/>
      </tp>
      <tp t="s">
        <v>#N/A Requesting Data...</v>
        <stp/>
        <stp>##V3_BDHV12</stp>
        <stp>CL1 Comdty</stp>
        <stp>RSI_30D</stp>
        <stp>29/03/2017</stp>
        <stp>29/03/2017</stp>
        <stp>[Bbg_Market_Data_CL.xlsm]data!R10C14</stp>
        <tr r="N10" s="1"/>
      </tp>
      <tp t="s">
        <v>#N/A Requesting Data...</v>
        <stp/>
        <stp>##V3_BDHV12</stp>
        <stp>CL2 Comdty</stp>
        <stp>RSI_14D</stp>
        <stp>08/02/2017</stp>
        <stp>08/02/2017</stp>
        <stp>[Bbg_Market_Data_CL.xlsm]data!R44C13</stp>
        <tr r="M44" s="1"/>
      </tp>
      <tp t="s">
        <v>#N/A Requesting Data...</v>
        <stp/>
        <stp>##V3_BDHV12</stp>
        <stp>CL1 Comdty</stp>
        <stp>RSI_30D</stp>
        <stp>09/01/2017</stp>
        <stp>09/01/2017</stp>
        <stp>[Bbg_Market_Data_CL.xlsm]data!R65C14</stp>
        <tr r="N65" s="1"/>
      </tp>
      <tp t="s">
        <v>#N/A Requesting Data...</v>
        <stp/>
        <stp>##V3_BDHV12</stp>
        <stp>CL1 Comdty</stp>
        <stp>RSI_30D</stp>
        <stp>29/12/2016</stp>
        <stp>29/12/2016</stp>
        <stp>[Bbg_Market_Data_CL.xlsm]data!R71C14</stp>
        <tr r="N71" s="1"/>
      </tp>
      <tp t="s">
        <v>#N/A Requesting Data...</v>
        <stp/>
        <stp>##V3_BDHV12</stp>
        <stp>CL1 Comdty</stp>
        <stp>RSI_30D</stp>
        <stp>18/11/2016</stp>
        <stp>18/11/2016</stp>
        <stp>[Bbg_Market_Data_CL.xlsm]data!R98C14</stp>
        <tr r="N98" s="1"/>
      </tp>
      <tp t="s">
        <v>#N/A Requesting Data...</v>
        <stp/>
        <stp>##V3_BDHV12</stp>
        <stp>CL2 Comdty</stp>
        <stp>RSI_14D</stp>
        <stp>29/11/2016</stp>
        <stp>29/11/2016</stp>
        <stp>[Bbg_Market_Data_CL.xlsm]data!R92C13</stp>
        <tr r="M92" s="1"/>
      </tp>
      <tp t="s">
        <v>#N/A Requesting Data...</v>
        <stp/>
        <stp>##V3_BDHV12</stp>
        <stp>CL1 Comdty</stp>
        <stp>RSI_30D</stp>
        <stp>28/03/2017</stp>
        <stp>28/03/2017</stp>
        <stp>[Bbg_Market_Data_CL.xlsm]data!R11C14</stp>
        <tr r="N11" s="1"/>
      </tp>
      <tp t="s">
        <v>#N/A Requesting Data...</v>
        <stp/>
        <stp>##V3_BDHV12</stp>
        <stp>CL2 Comdty</stp>
        <stp>RSI_14D</stp>
        <stp>19/12/2016</stp>
        <stp>19/12/2016</stp>
        <stp>[Bbg_Market_Data_CL.xlsm]data!R78C13</stp>
        <tr r="M78" s="1"/>
      </tp>
      <tp t="s">
        <v>#N/A Requesting Data...</v>
        <stp/>
        <stp>##V3_BDHV12</stp>
        <stp>CL1 Comdty</stp>
        <stp>RSI_30D</stp>
        <stp>28/12/2016</stp>
        <stp>28/12/2016</stp>
        <stp>[Bbg_Market_Data_CL.xlsm]data!R72C14</stp>
        <tr r="N72" s="1"/>
      </tp>
      <tp t="s">
        <v>#N/A Requesting Data...</v>
        <stp/>
        <stp>##V3_BDHV12</stp>
        <stp>CL2 Comdty</stp>
        <stp>RSI_14D</stp>
        <stp>09/02/2017</stp>
        <stp>09/02/2017</stp>
        <stp>[Bbg_Market_Data_CL.xlsm]data!R43C13</stp>
        <tr r="M43" s="1"/>
      </tp>
      <tp t="s">
        <v>#N/A Requesting Data...</v>
        <stp/>
        <stp>##V3_BDHV12</stp>
        <stp>CL2 Comdty</stp>
        <stp>RSI_30D</stp>
        <stp>28/11/2016</stp>
        <stp>28/11/2016</stp>
        <stp>[Bbg_Market_Data_CL.xlsm]data!R93C14</stp>
        <tr r="N93" s="1"/>
      </tp>
      <tp t="s">
        <v>#N/A Requesting Data...</v>
        <stp/>
        <stp>##V3_BDHV12</stp>
        <stp>CL1 Comdty</stp>
        <stp>RSI_14D</stp>
        <stp>29/03/2017</stp>
        <stp>29/03/2017</stp>
        <stp>[Bbg_Market_Data_CL.xlsm]data!R10C13</stp>
        <tr r="M10" s="1"/>
      </tp>
      <tp t="s">
        <v>#N/A Requesting Data...</v>
        <stp/>
        <stp>##V3_BDHV12</stp>
        <stp>CL2 Comdty</stp>
        <stp>RSI_30D</stp>
        <stp>08/02/2017</stp>
        <stp>08/02/2017</stp>
        <stp>[Bbg_Market_Data_CL.xlsm]data!R44C14</stp>
        <tr r="N44" s="1"/>
      </tp>
      <tp t="s">
        <v>#N/A Requesting Data...</v>
        <stp/>
        <stp>##V3_BDHV12</stp>
        <stp>CL1 Comdty</stp>
        <stp>RSI_14D</stp>
        <stp>09/01/2017</stp>
        <stp>09/01/2017</stp>
        <stp>[Bbg_Market_Data_CL.xlsm]data!R65C13</stp>
        <tr r="M65" s="1"/>
      </tp>
      <tp t="s">
        <v>#N/A Requesting Data...</v>
        <stp/>
        <stp>##V3_BDHV12</stp>
        <stp>CL1 Comdty</stp>
        <stp>RSI_14D</stp>
        <stp>29/12/2016</stp>
        <stp>29/12/2016</stp>
        <stp>[Bbg_Market_Data_CL.xlsm]data!R71C13</stp>
        <tr r="M71" s="1"/>
      </tp>
      <tp t="s">
        <v>#N/A Requesting Data...</v>
        <stp/>
        <stp>##V3_BDHV12</stp>
        <stp>CL2 Comdty</stp>
        <stp>RSI_30D</stp>
        <stp>29/11/2016</stp>
        <stp>29/11/2016</stp>
        <stp>[Bbg_Market_Data_CL.xlsm]data!R92C14</stp>
        <tr r="N92" s="1"/>
      </tp>
      <tp t="s">
        <v>#N/A Requesting Data...</v>
        <stp/>
        <stp>##V3_BDHV12</stp>
        <stp>CL1 Comdty</stp>
        <stp>RSI_14D</stp>
        <stp>18/11/2016</stp>
        <stp>18/11/2016</stp>
        <stp>[Bbg_Market_Data_CL.xlsm]data!R98C13</stp>
        <tr r="M98" s="1"/>
      </tp>
      <tp t="s">
        <v>#N/A Requesting Data...</v>
        <stp/>
        <stp>##V3_BDHV12</stp>
        <stp>CL1 Comdty</stp>
        <stp>RSI_14D</stp>
        <stp>28/03/2017</stp>
        <stp>28/03/2017</stp>
        <stp>[Bbg_Market_Data_CL.xlsm]data!R11C13</stp>
        <tr r="M11" s="1"/>
      </tp>
      <tp t="s">
        <v>#N/A Requesting Data...</v>
        <stp/>
        <stp>##V3_BDHV12</stp>
        <stp>CL1 Comdty</stp>
        <stp>RSI_14D</stp>
        <stp>28/12/2016</stp>
        <stp>28/12/2016</stp>
        <stp>[Bbg_Market_Data_CL.xlsm]data!R72C13</stp>
        <tr r="M72" s="1"/>
      </tp>
      <tp t="s">
        <v>#N/A Requesting Data...</v>
        <stp/>
        <stp>##V3_BDHV12</stp>
        <stp>CL2 Comdty</stp>
        <stp>RSI_30D</stp>
        <stp>09/02/2017</stp>
        <stp>09/02/2017</stp>
        <stp>[Bbg_Market_Data_CL.xlsm]data!R43C14</stp>
        <tr r="N43" s="1"/>
      </tp>
      <tp t="s">
        <v>#N/A Requesting Data...</v>
        <stp/>
        <stp>##V3_BDHV12</stp>
        <stp>CL2 Comdty</stp>
        <stp>RSI_30D</stp>
        <stp>19/12/2016</stp>
        <stp>19/12/2016</stp>
        <stp>[Bbg_Market_Data_CL.xlsm]data!R78C14</stp>
        <tr r="N78" s="1"/>
      </tp>
      <tp t="s">
        <v>#N/A Requesting Data...</v>
        <stp/>
        <stp>##V3_BDHV12</stp>
        <stp>CL2 Comdty</stp>
        <stp>PX_LAST</stp>
        <stp>21/03/2017</stp>
        <stp>21/03/2017</stp>
        <stp>[Bbg_Market_Data_CL.xlsm]data!R16C9</stp>
        <tr r="I16" s="1"/>
      </tp>
      <tp t="s">
        <v>#N/A Requesting Data...</v>
        <stp/>
        <stp>##V3_BDHV12</stp>
        <stp>CL2 Comdty</stp>
        <stp>PX_LAST</stp>
        <stp>20/12/2016</stp>
        <stp>20/12/2016</stp>
        <stp>[Bbg_Market_Data_CL.xlsm]data!R77C9</stp>
        <tr r="I77" s="1"/>
      </tp>
      <tp t="s">
        <v>#N/A Requesting Data...</v>
        <stp/>
        <stp>##V3_BDHV12</stp>
        <stp>CL1 Comdty</stp>
        <stp>PX_LAST</stp>
        <stp>21/11/2016</stp>
        <stp>21/11/2016</stp>
        <stp>[Bbg_Market_Data_CL.xlsm]data!R97C9</stp>
        <tr r="I97" s="1"/>
      </tp>
      <tp t="s">
        <v>#N/A Requesting Data...</v>
        <stp/>
        <stp>##V3_BDHV12</stp>
        <stp>CL1 Comdty</stp>
        <stp>PX_LAST</stp>
        <stp>06/02/2017</stp>
        <stp>06/02/2017</stp>
        <stp>[Bbg_Market_Data_CL.xlsm]data!R46C9</stp>
        <tr r="I46" s="1"/>
      </tp>
      <tp t="s">
        <v>#N/A Requesting Data...</v>
        <stp/>
        <stp>##V3_BDHV12</stp>
        <stp>CL2 Comdty</stp>
        <stp>PX_LAST</stp>
        <stp>06/01/2017</stp>
        <stp>06/01/2017</stp>
        <stp>[Bbg_Market_Data_CL.xlsm]data!R66C9</stp>
        <tr r="I66" s="1"/>
      </tp>
      <tp t="s">
        <v>#N/A Requesting Data...</v>
        <stp/>
        <stp>##V3_BDHV12</stp>
        <stp>CL1 Comdty</stp>
        <stp>PX_LAST</stp>
        <stp>23/01/2017</stp>
        <stp>23/01/2017</stp>
        <stp>[Bbg_Market_Data_CL.xlsm]data!R56C9</stp>
        <tr r="I56" s="1"/>
      </tp>
      <tp t="s">
        <v>#N/A Requesting Data...</v>
        <stp/>
        <stp>##V3_BDHV12</stp>
        <stp>CL2 Comdty</stp>
        <stp>PX_LAST</stp>
        <stp>21/02/2017</stp>
        <stp>21/02/2017</stp>
        <stp>[Bbg_Market_Data_CL.xlsm]data!R36C9</stp>
        <tr r="I36" s="1"/>
      </tp>
      <tp t="s">
        <v>#N/A Requesting Data...</v>
        <stp/>
        <stp>##V3_BDHV12</stp>
        <stp>CL1 Comdty</stp>
        <stp>PX_LAST</stp>
        <stp>07/03/2017</stp>
        <stp>07/03/2017</stp>
        <stp>[Bbg_Market_Data_CL.xlsm]data!R26C9</stp>
        <tr r="I26" s="1"/>
      </tp>
      <tp t="s">
        <v>#N/A Requesting Data...</v>
        <stp/>
        <stp>##V3_BDHV12</stp>
        <stp>CL1 Comdty</stp>
        <stp>PX_LAST</stp>
        <stp>06/12/2016</stp>
        <stp>06/12/2016</stp>
        <stp>[Bbg_Market_Data_CL.xlsm]data!R87C9</stp>
        <tr r="I87" s="1"/>
      </tp>
      <tp t="s">
        <v>#N/A Requesting Data...</v>
        <stp/>
        <stp>##V3_BDHV12</stp>
        <stp>CL2 Comdty</stp>
        <stp>PX_LAST</stp>
        <stp>23/01/2017</stp>
        <stp>23/01/2017</stp>
        <stp>[Bbg_Market_Data_CL.xlsm]data!R56C9</stp>
        <tr r="I56" s="1"/>
      </tp>
      <tp t="s">
        <v>#N/A Requesting Data...</v>
        <stp/>
        <stp>##V3_BDHV12</stp>
        <stp>CL1 Comdty</stp>
        <stp>PX_LAST</stp>
        <stp>21/02/2017</stp>
        <stp>21/02/2017</stp>
        <stp>[Bbg_Market_Data_CL.xlsm]data!R36C9</stp>
        <tr r="I36" s="1"/>
      </tp>
      <tp t="s">
        <v>#N/A Requesting Data...</v>
        <stp/>
        <stp>##V3_BDHV12</stp>
        <stp>CL2 Comdty</stp>
        <stp>PX_LAST</stp>
        <stp>07/03/2017</stp>
        <stp>07/03/2017</stp>
        <stp>[Bbg_Market_Data_CL.xlsm]data!R26C9</stp>
        <tr r="I26" s="1"/>
      </tp>
      <tp t="s">
        <v>#N/A Requesting Data...</v>
        <stp/>
        <stp>##V3_BDHV12</stp>
        <stp>CL2 Comdty</stp>
        <stp>PX_LAST</stp>
        <stp>06/12/2016</stp>
        <stp>06/12/2016</stp>
        <stp>[Bbg_Market_Data_CL.xlsm]data!R87C9</stp>
        <tr r="I87" s="1"/>
      </tp>
      <tp t="s">
        <v>#N/A Requesting Data...</v>
        <stp/>
        <stp>##V3_BDHV12</stp>
        <stp>CL1 Comdty</stp>
        <stp>PX_LAST</stp>
        <stp>21/03/2017</stp>
        <stp>21/03/2017</stp>
        <stp>[Bbg_Market_Data_CL.xlsm]data!R16C9</stp>
        <tr r="I16" s="1"/>
      </tp>
      <tp t="s">
        <v>#N/A Requesting Data...</v>
        <stp/>
        <stp>##V3_BDHV12</stp>
        <stp>CL1 Comdty</stp>
        <stp>PX_LAST</stp>
        <stp>20/12/2016</stp>
        <stp>20/12/2016</stp>
        <stp>[Bbg_Market_Data_CL.xlsm]data!R77C9</stp>
        <tr r="I77" s="1"/>
      </tp>
      <tp t="s">
        <v>#N/A Requesting Data...</v>
        <stp/>
        <stp>##V3_BDHV12</stp>
        <stp>CL2 Comdty</stp>
        <stp>PX_LAST</stp>
        <stp>21/11/2016</stp>
        <stp>21/11/2016</stp>
        <stp>[Bbg_Market_Data_CL.xlsm]data!R97C9</stp>
        <tr r="I97" s="1"/>
      </tp>
      <tp t="s">
        <v>#N/A Requesting Data...</v>
        <stp/>
        <stp>##V3_BDHV12</stp>
        <stp>CL2 Comdty</stp>
        <stp>PX_LAST</stp>
        <stp>06/02/2017</stp>
        <stp>06/02/2017</stp>
        <stp>[Bbg_Market_Data_CL.xlsm]data!R46C9</stp>
        <tr r="I46" s="1"/>
      </tp>
      <tp t="s">
        <v>#N/A Requesting Data...</v>
        <stp/>
        <stp>##V3_BDHV12</stp>
        <stp>CL1 Comdty</stp>
        <stp>PX_LAST</stp>
        <stp>06/01/2017</stp>
        <stp>06/01/2017</stp>
        <stp>[Bbg_Market_Data_CL.xlsm]data!R66C9</stp>
        <tr r="I66" s="1"/>
      </tp>
      <tp t="s">
        <v>#N/A Requesting Data...</v>
        <stp/>
        <stp>##V3_BDHV12</stp>
        <stp>CL1 Comdty</stp>
        <stp>30DAY_IMPVOL_90.0%MNY_DF</stp>
        <stp>23/09/2016</stp>
        <stp>23/09/2016</stp>
        <stp>[Bbg_Market_Data_CL.xlsm]data!R135C23</stp>
        <tr r="W135" s="1"/>
      </tp>
      <tp t="s">
        <v>#N/A Requesting Data...</v>
        <stp/>
        <stp>##V3_BDHV12</stp>
        <stp>CL1 Comdty</stp>
        <stp>30DAY_IMPVOL_90.0%MNY_DF</stp>
        <stp>02/09/2015</stp>
        <stp>02/09/2015</stp>
        <stp>[Bbg_Market_Data_CL.xlsm]data!R398C23</stp>
        <tr r="W398" s="1"/>
      </tp>
      <tp t="s">
        <v>#N/A Requesting Data...</v>
        <stp/>
        <stp>##V3_BDHV12</stp>
        <stp>SPGSCLP Index</stp>
        <stp>CHG_PCT_5D</stp>
        <stp>01/12/2015</stp>
        <stp>01/12/2015</stp>
        <stp>[Bbg_Market_Data_CL.xlsm]data!R339C4</stp>
        <tr r="D339" s="1"/>
      </tp>
      <tp t="s">
        <v>#N/A Requesting Data...</v>
        <stp/>
        <stp>##V3_BDHV12</stp>
        <stp>SPGSCLP Index</stp>
        <stp>CHG_PCT_1D</stp>
        <stp>01/12/2015</stp>
        <stp>01/12/2015</stp>
        <stp>[Bbg_Market_Data_CL.xlsm]data!R339C3</stp>
        <tr r="C339" s="1"/>
      </tp>
      <tp t="s">
        <v>#N/A Requesting Data...</v>
        <stp/>
        <stp>##V3_BDHV12</stp>
        <stp>CL1 Comdty</stp>
        <stp>30DAY_IMPVOL_90.0%MNY_DF</stp>
        <stp>22/08/2016</stp>
        <stp>22/08/2016</stp>
        <stp>[Bbg_Market_Data_CL.xlsm]data!R158C23</stp>
        <tr r="W158" s="1"/>
      </tp>
      <tp t="s">
        <v>#N/A Requesting Data...</v>
        <stp/>
        <stp>##V3_BDHV12</stp>
        <stp>CL1 Comdty</stp>
        <stp>30DAY_IMPVOL_95.0%MNY_DF</stp>
        <stp>21/08/2015</stp>
        <stp>21/08/2015</stp>
        <stp>[Bbg_Market_Data_CL.xlsm]data!R406C21</stp>
        <tr r="U406" s="1"/>
      </tp>
      <tp t="s">
        <v>#N/A Requesting Data...</v>
        <stp/>
        <stp>##V3_BDHV12</stp>
        <stp>SPGSCLP Index</stp>
        <stp>CHG_PCT_5D</stp>
        <stp>29/09/2015</stp>
        <stp>29/09/2015</stp>
        <stp>[Bbg_Market_Data_CL.xlsm]data!R381C4</stp>
        <tr r="D381" s="1"/>
      </tp>
      <tp t="s">
        <v>#N/A Requesting Data...</v>
        <stp/>
        <stp>##V3_BDHV12</stp>
        <stp>SPGSCLP Index</stp>
        <stp>CHG_PCT_1D</stp>
        <stp>29/09/2015</stp>
        <stp>29/09/2015</stp>
        <stp>[Bbg_Market_Data_CL.xlsm]data!R381C3</stp>
        <tr r="C381" s="1"/>
      </tp>
      <tp t="s">
        <v>#N/A Requesting Data...</v>
        <stp/>
        <stp>##V3_BDHV12</stp>
        <stp>SPGSCLP Index</stp>
        <stp>CHG_PCT_5D</stp>
        <stp>12/02/2016</stp>
        <stp>12/02/2016</stp>
        <stp>[Bbg_Market_Data_CL.xlsm]data!R289C4</stp>
        <tr r="D289" s="1"/>
      </tp>
      <tp t="s">
        <v>#N/A Requesting Data...</v>
        <stp/>
        <stp>##V3_BDHV12</stp>
        <stp>SPGSCLP Index</stp>
        <stp>CHG_PCT_1D</stp>
        <stp>12/02/2016</stp>
        <stp>12/02/2016</stp>
        <stp>[Bbg_Market_Data_CL.xlsm]data!R289C3</stp>
        <tr r="C289" s="1"/>
      </tp>
      <tp t="s">
        <v>#N/A Requesting Data...</v>
        <stp/>
        <stp>##V3_BDHV12</stp>
        <stp>CL1 Comdty</stp>
        <stp>30DAY_IMPVOL_90.0%MNY_DF</stp>
        <stp>11/08/2016</stp>
        <stp>11/08/2016</stp>
        <stp>[Bbg_Market_Data_CL.xlsm]data!R165C23</stp>
        <tr r="W165" s="1"/>
      </tp>
      <tp t="s">
        <v>#N/A Requesting Data...</v>
        <stp/>
        <stp>##V3_BDHV12</stp>
        <stp>CL1 Comdty</stp>
        <stp>30DAY_IMPVOL_90.0%MNY_DF</stp>
        <stp>01/09/2016</stp>
        <stp>01/09/2016</stp>
        <stp>[Bbg_Market_Data_CL.xlsm]data!R150C23</stp>
        <tr r="W150" s="1"/>
      </tp>
      <tp t="s">
        <v>#N/A Requesting Data...</v>
        <stp/>
        <stp>##V3_BDHV12</stp>
        <stp>CL1 Comdty</stp>
        <stp>30DAY_IMPVOL_95.0%MNY_DF</stp>
        <stp>12/08/2015</stp>
        <stp>12/08/2015</stp>
        <stp>[Bbg_Market_Data_CL.xlsm]data!R413C21</stp>
        <tr r="U413" s="1"/>
      </tp>
      <tp t="s">
        <v>#N/A Requesting Data...</v>
        <stp/>
        <stp>##V3_BDHV12</stp>
        <stp>SPGSCLP Index</stp>
        <stp>CHG_PCT_1D</stp>
        <stp>01/03/2016</stp>
        <stp>01/03/2016</stp>
        <stp>[Bbg_Market_Data_CL.xlsm]data!R279C3</stp>
        <tr r="C279" s="1"/>
      </tp>
      <tp t="s">
        <v>#N/A Requesting Data...</v>
        <stp/>
        <stp>##V3_BDHV12</stp>
        <stp>SPGSCLP Index</stp>
        <stp>CHG_PCT_5D</stp>
        <stp>01/03/2016</stp>
        <stp>01/03/2016</stp>
        <stp>[Bbg_Market_Data_CL.xlsm]data!R279C4</stp>
        <tr r="D279" s="1"/>
      </tp>
      <tp t="s">
        <v>#N/A Requesting Data...</v>
        <stp/>
        <stp>##V3_BDHV12</stp>
        <stp>CL1 Comdty</stp>
        <stp>30DAY_IMPVOL_95.0%MNY_DF</stp>
        <stp>03/08/2015</stp>
        <stp>03/08/2015</stp>
        <stp>[Bbg_Market_Data_CL.xlsm]data!R420C21</stp>
        <tr r="U420" s="1"/>
      </tp>
      <tp t="s">
        <v>#N/A Requesting Data...</v>
        <stp/>
        <stp>##V3_BDHV12</stp>
        <stp>SPGSCLP Index</stp>
        <stp>CHG_PCT_1D</stp>
        <stp>01/02/2016</stp>
        <stp>01/02/2016</stp>
        <stp>[Bbg_Market_Data_CL.xlsm]data!R298C3</stp>
        <tr r="C298" s="1"/>
      </tp>
      <tp t="s">
        <v>#N/A Requesting Data...</v>
        <stp/>
        <stp>##V3_BDHV12</stp>
        <stp>SPGSCLP Index</stp>
        <stp>CHG_PCT_5D</stp>
        <stp>01/02/2016</stp>
        <stp>01/02/2016</stp>
        <stp>[Bbg_Market_Data_CL.xlsm]data!R298C4</stp>
        <tr r="D298" s="1"/>
      </tp>
      <tp>
        <v>51.63</v>
        <stp/>
        <stp>##V3_BDHV12</stp>
        <stp>CL2 Comdty</stp>
        <stp>PX_OPEN</stp>
        <stp>05/04/2017</stp>
        <stp>05/04/2017</stp>
        <stp>[Bbg_Market_Data_CL.xlsm]data!R5C5</stp>
        <tr r="E5" s="1"/>
      </tp>
      <tp t="s">
        <v>#N/A Requesting Data...</v>
        <stp/>
        <stp>##V3_BDHV12</stp>
        <stp>CL1 Comdty</stp>
        <stp>PX_OPEN</stp>
        <stp>05/04/2017</stp>
        <stp>05/04/2017</stp>
        <stp>[Bbg_Market_Data_CL.xlsm]data!R5C5</stp>
        <tr r="E5" s="1"/>
      </tp>
      <tp t="s">
        <v>#N/A Requesting Data...</v>
        <stp/>
        <stp>##V3_BDHV12</stp>
        <stp>CL1 Comdty</stp>
        <stp>30DAY_IMPVOL_95.0%MNY_DF</stp>
        <stp>22/08/2016</stp>
        <stp>22/08/2016</stp>
        <stp>[Bbg_Market_Data_CL.xlsm]data!R158C21</stp>
        <tr r="U158" s="1"/>
      </tp>
      <tp t="s">
        <v>#N/A Requesting Data...</v>
        <stp/>
        <stp>##V3_BDHV12</stp>
        <stp>CL1 Comdty</stp>
        <stp>30DAY_IMPVOL_90.0%MNY_DF</stp>
        <stp>21/08/2015</stp>
        <stp>21/08/2015</stp>
        <stp>[Bbg_Market_Data_CL.xlsm]data!R406C23</stp>
        <tr r="W406" s="1"/>
      </tp>
      <tp t="s">
        <v>#N/A Requesting Data...</v>
        <stp/>
        <stp>##V3_BDHV12</stp>
        <stp>SPGSCLP Index</stp>
        <stp>CHG_PCT_5D</stp>
        <stp>16/03/2016</stp>
        <stp>16/03/2016</stp>
        <stp>[Bbg_Market_Data_CL.xlsm]data!R268C4</stp>
        <tr r="D268" s="1"/>
      </tp>
      <tp t="s">
        <v>#N/A Requesting Data...</v>
        <stp/>
        <stp>##V3_BDHV12</stp>
        <stp>SPGSCLP Index</stp>
        <stp>CHG_PCT_1D</stp>
        <stp>16/03/2016</stp>
        <stp>16/03/2016</stp>
        <stp>[Bbg_Market_Data_CL.xlsm]data!R268C3</stp>
        <tr r="C268" s="1"/>
      </tp>
      <tp t="s">
        <v>#N/A Requesting Data...</v>
        <stp/>
        <stp>##V3_BDHV12</stp>
        <stp>CL1 Comdty</stp>
        <stp>30DAY_IMPVOL_95.0%MNY_DF</stp>
        <stp>23/09/2016</stp>
        <stp>23/09/2016</stp>
        <stp>[Bbg_Market_Data_CL.xlsm]data!R135C21</stp>
        <tr r="U135" s="1"/>
      </tp>
      <tp t="s">
        <v>#N/A Requesting Data...</v>
        <stp/>
        <stp>##V3_BDHV12</stp>
        <stp>CL1 Comdty</stp>
        <stp>30DAY_IMPVOL_95.0%MNY_DF</stp>
        <stp>02/09/2015</stp>
        <stp>02/09/2015</stp>
        <stp>[Bbg_Market_Data_CL.xlsm]data!R398C21</stp>
        <tr r="U398" s="1"/>
      </tp>
      <tp>
        <v>51.74</v>
        <stp/>
        <stp>##V3_BDHV12</stp>
        <stp>CL2 Comdty</stp>
        <stp>PX_HIGH</stp>
        <stp>04/04/2017</stp>
        <stp>04/04/2017</stp>
        <stp>[Bbg_Market_Data_CL.xlsm]data!R6C6</stp>
        <tr r="F6" s="1"/>
      </tp>
      <tp>
        <v>52.25</v>
        <stp/>
        <stp>##V3_BDHV12</stp>
        <stp>CL2 Comdty</stp>
        <stp>PX_HIGH</stp>
        <stp>06/04/2017</stp>
        <stp>06/04/2017</stp>
        <stp>[Bbg_Market_Data_CL.xlsm]data!R4C6</stp>
        <tr r="F4" s="1"/>
      </tp>
      <tp>
        <v>53.57</v>
        <stp/>
        <stp>##V3_BDHV12</stp>
        <stp>CL2 Comdty</stp>
        <stp>PX_HIGH</stp>
        <stp>10/04/2017</stp>
        <stp>10/04/2017</stp>
        <stp>[Bbg_Market_Data_CL.xlsm]data!R2C6</stp>
        <tr r="F2" s="1"/>
      </tp>
      <tp t="s">
        <v>#N/A Requesting Data...</v>
        <stp/>
        <stp>##V3_BDHV12</stp>
        <stp>CL1 Comdty</stp>
        <stp>PX_HIGH</stp>
        <stp>10/04/2017</stp>
        <stp>10/04/2017</stp>
        <stp>[Bbg_Market_Data_CL.xlsm]data!R2C6</stp>
        <tr r="F2" s="1"/>
      </tp>
      <tp t="s">
        <v>#N/A Requesting Data...</v>
        <stp/>
        <stp>##V3_BDHV12</stp>
        <stp>CL1 Comdty</stp>
        <stp>PX_HIGH</stp>
        <stp>04/04/2017</stp>
        <stp>04/04/2017</stp>
        <stp>[Bbg_Market_Data_CL.xlsm]data!R6C6</stp>
        <tr r="F6" s="1"/>
      </tp>
      <tp t="s">
        <v>#N/A Requesting Data...</v>
        <stp/>
        <stp>##V3_BDHV12</stp>
        <stp>CL1 Comdty</stp>
        <stp>PX_HIGH</stp>
        <stp>06/04/2017</stp>
        <stp>06/04/2017</stp>
        <stp>[Bbg_Market_Data_CL.xlsm]data!R4C6</stp>
        <tr r="F4" s="1"/>
      </tp>
      <tp t="s">
        <v>#N/A Requesting Data...</v>
        <stp/>
        <stp>##V3_BDHV12</stp>
        <stp>CL1 Comdty</stp>
        <stp>30DAY_IMPVOL_90.0%MNY_DF</stp>
        <stp>03/08/2015</stp>
        <stp>03/08/2015</stp>
        <stp>[Bbg_Market_Data_CL.xlsm]data!R420C23</stp>
        <tr r="W420" s="1"/>
      </tp>
      <tp t="s">
        <v>#N/A Requesting Data...</v>
        <stp/>
        <stp>##V3_BDHV12</stp>
        <stp>SPGSCLP Index</stp>
        <stp>CHG_PCT_1D</stp>
        <stp>16/12/2015</stp>
        <stp>16/12/2015</stp>
        <stp>[Bbg_Market_Data_CL.xlsm]data!R328C3</stp>
        <tr r="C328" s="1"/>
      </tp>
      <tp t="s">
        <v>#N/A Requesting Data...</v>
        <stp/>
        <stp>##V3_BDHV12</stp>
        <stp>SPGSCLP Index</stp>
        <stp>CHG_PCT_5D</stp>
        <stp>16/12/2015</stp>
        <stp>16/12/2015</stp>
        <stp>[Bbg_Market_Data_CL.xlsm]data!R328C4</stp>
        <tr r="D328" s="1"/>
      </tp>
      <tp t="s">
        <v>#N/A Requesting Data...</v>
        <stp/>
        <stp>##V3_BDHV12</stp>
        <stp>CL1 Comdty</stp>
        <stp>30DAY_IMPVOL_95.0%MNY_DF</stp>
        <stp>01/09/2016</stp>
        <stp>01/09/2016</stp>
        <stp>[Bbg_Market_Data_CL.xlsm]data!R150C21</stp>
        <tr r="U150" s="1"/>
      </tp>
      <tp t="s">
        <v>#N/A Requesting Data...</v>
        <stp/>
        <stp>##V3_BDHV12</stp>
        <stp>CL1 Comdty</stp>
        <stp>30DAY_IMPVOL_95.0%MNY_DF</stp>
        <stp>11/08/2016</stp>
        <stp>11/08/2016</stp>
        <stp>[Bbg_Market_Data_CL.xlsm]data!R165C21</stp>
        <tr r="U165" s="1"/>
      </tp>
      <tp t="s">
        <v>#N/A Requesting Data...</v>
        <stp/>
        <stp>##V3_BDHV12</stp>
        <stp>CL1 Comdty</stp>
        <stp>30DAY_IMPVOL_90.0%MNY_DF</stp>
        <stp>12/08/2015</stp>
        <stp>12/08/2015</stp>
        <stp>[Bbg_Market_Data_CL.xlsm]data!R413C23</stp>
        <tr r="W413" s="1"/>
      </tp>
      <tp t="s">
        <v>#N/A Requesting Data...</v>
        <stp/>
        <stp>##V3_BDHV12</stp>
        <stp>CL1 Comdty</stp>
        <stp>30DAY_IMPVOL_90.0%MNY_DF</stp>
        <stp>29/03/2016</stp>
        <stp>29/03/2016</stp>
        <stp>[Bbg_Market_Data_CL.xlsm]data!R259C23</stp>
        <tr r="W259" s="1"/>
      </tp>
      <tp t="s">
        <v>#N/A Requesting Data...</v>
        <stp/>
        <stp>##V3_BDHV12</stp>
        <stp>SPGSCLP Index</stp>
        <stp>CHG_PCT_1D</stp>
        <stp>31/08/2015</stp>
        <stp>31/08/2015</stp>
        <stp>[Bbg_Market_Data_CL.xlsm]data!R401C3</stp>
        <tr r="C401" s="1"/>
      </tp>
      <tp t="s">
        <v>#N/A Requesting Data...</v>
        <stp/>
        <stp>##V3_BDHV12</stp>
        <stp>SPGSCLP Index</stp>
        <stp>CHG_PCT_5D</stp>
        <stp>13/08/2015</stp>
        <stp>13/08/2015</stp>
        <stp>[Bbg_Market_Data_CL.xlsm]data!R413C4</stp>
        <tr r="D413" s="1"/>
      </tp>
      <tp t="s">
        <v>#N/A Requesting Data...</v>
        <stp/>
        <stp>##V3_BDHV12</stp>
        <stp>SPGSCLP Index</stp>
        <stp>CHG_PCT_1D</stp>
        <stp>13/08/2015</stp>
        <stp>13/08/2015</stp>
        <stp>[Bbg_Market_Data_CL.xlsm]data!R413C3</stp>
        <tr r="C413" s="1"/>
      </tp>
      <tp t="s">
        <v>#N/A Requesting Data...</v>
        <stp/>
        <stp>##V3_BDHV12</stp>
        <stp>SPGSCLP Index</stp>
        <stp>CHG_PCT_5D</stp>
        <stp>31/08/2015</stp>
        <stp>31/08/2015</stp>
        <stp>[Bbg_Market_Data_CL.xlsm]data!R401C4</stp>
        <tr r="D401" s="1"/>
      </tp>
      <tp t="s">
        <v>#N/A Requesting Data...</v>
        <stp/>
        <stp>##V3_BDHV12</stp>
        <stp>SPGSCLP Index</stp>
        <stp>CHG_PCT_5D</stp>
        <stp>30/09/2015</stp>
        <stp>30/09/2015</stp>
        <stp>[Bbg_Market_Data_CL.xlsm]data!R380C4</stp>
        <tr r="D380" s="1"/>
      </tp>
      <tp t="s">
        <v>#N/A Requesting Data...</v>
        <stp/>
        <stp>##V3_BDHV12</stp>
        <stp>SPGSCLP Index</stp>
        <stp>CHG_PCT_1D</stp>
        <stp>30/09/2015</stp>
        <stp>30/09/2015</stp>
        <stp>[Bbg_Market_Data_CL.xlsm]data!R380C3</stp>
        <tr r="C380" s="1"/>
      </tp>
      <tp t="s">
        <v>#N/A Requesting Data...</v>
        <stp/>
        <stp>##V3_BDHV12</stp>
        <stp>CL1 Comdty</stp>
        <stp>30DAY_IMPVOL_90.0%MNY_DF</stp>
        <stp>18/12/2015</stp>
        <stp>18/12/2015</stp>
        <stp>[Bbg_Market_Data_CL.xlsm]data!R325C23</stp>
        <tr r="W325" s="1"/>
      </tp>
      <tp t="s">
        <v>#N/A Requesting Data...</v>
        <stp/>
        <stp>##V3_BDHV12</stp>
        <stp>CL1 Comdty</stp>
        <stp>30DAY_IMPVOL_90.0%MNY_DF</stp>
        <stp>19/10/2016</stp>
        <stp>19/10/2016</stp>
        <stp>[Bbg_Market_Data_CL.xlsm]data!R118C23</stp>
        <tr r="W118" s="1"/>
      </tp>
      <tp t="s">
        <v>#N/A Requesting Data...</v>
        <stp/>
        <stp>##V3_BDHV12</stp>
        <stp>CL1 Comdty</stp>
        <stp>30DAY_IMPVOL_90.0%MNY_DF</stp>
        <stp>09/11/2016</stp>
        <stp>09/11/2016</stp>
        <stp>[Bbg_Market_Data_CL.xlsm]data!R103C23</stp>
        <tr r="W103" s="1"/>
      </tp>
      <tp t="s">
        <v>#N/A Requesting Data...</v>
        <stp/>
        <stp>##V3_BDHV12</stp>
        <stp>SPGSCLP Index</stp>
        <stp>CHG_PCT_1D</stp>
        <stp>29/01/2016</stp>
        <stp>29/01/2016</stp>
        <stp>[Bbg_Market_Data_CL.xlsm]data!R299C3</stp>
        <tr r="C299" s="1"/>
      </tp>
      <tp t="s">
        <v>#N/A Requesting Data...</v>
        <stp/>
        <stp>##V3_BDHV12</stp>
        <stp>SPGSCLP Index</stp>
        <stp>CHG_PCT_5D</stp>
        <stp>29/01/2016</stp>
        <stp>29/01/2016</stp>
        <stp>[Bbg_Market_Data_CL.xlsm]data!R299C4</stp>
        <tr r="D299" s="1"/>
      </tp>
      <tp t="s">
        <v>#N/A Requesting Data...</v>
        <stp/>
        <stp>##V3_BDHV12</stp>
        <stp>SPGSCLP Index</stp>
        <stp>CHG_PCT_1D</stp>
        <stp>02/08/2016</stp>
        <stp>02/08/2016</stp>
        <stp>[Bbg_Market_Data_CL.xlsm]data!R172C3</stp>
        <tr r="C172" s="1"/>
      </tp>
      <tp t="s">
        <v>#N/A Requesting Data...</v>
        <stp/>
        <stp>##V3_BDHV12</stp>
        <stp>SPGSCLP Index</stp>
        <stp>CHG_PCT_5D</stp>
        <stp>02/08/2016</stp>
        <stp>02/08/2016</stp>
        <stp>[Bbg_Market_Data_CL.xlsm]data!R172C4</stp>
        <tr r="D172" s="1"/>
      </tp>
      <tp t="s">
        <v>#N/A Requesting Data...</v>
        <stp/>
        <stp>##V3_BDHV12</stp>
        <stp>CL1 Comdty</stp>
        <stp>30DAY_IMPVOL_90.0%MNY_DF</stp>
        <stp>29/10/2015</stp>
        <stp>29/10/2015</stp>
        <stp>[Bbg_Market_Data_CL.xlsm]data!R359C23</stp>
        <tr r="W359" s="1"/>
      </tp>
      <tp t="s">
        <v>#N/A Requesting Data...</v>
        <stp/>
        <stp>##V3_BDHV12</stp>
        <stp>CL1 Comdty</stp>
        <stp>30DAY_IMPVOL_90.0%MNY_DF</stp>
        <stp>09/12/2015</stp>
        <stp>09/12/2015</stp>
        <stp>[Bbg_Market_Data_CL.xlsm]data!R332C23</stp>
        <tr r="W332" s="1"/>
      </tp>
      <tp t="s">
        <v>#N/A Requesting Data...</v>
        <stp/>
        <stp>##V3_BDHV12</stp>
        <stp>CL1 Comdty</stp>
        <stp>30DAY_IMPVOL_95.0%MNY_DF</stp>
        <stp>29/03/2016</stp>
        <stp>29/03/2016</stp>
        <stp>[Bbg_Market_Data_CL.xlsm]data!R259C21</stp>
        <tr r="U259" s="1"/>
      </tp>
      <tp t="s">
        <v>#N/A Requesting Data...</v>
        <stp/>
        <stp>##V3_BDHV12</stp>
        <stp>SPGSCLP Index</stp>
        <stp>CHG_PCT_5D</stp>
        <stp>15/09/2016</stp>
        <stp>15/09/2016</stp>
        <stp>[Bbg_Market_Data_CL.xlsm]data!R142C4</stp>
        <tr r="D142" s="1"/>
      </tp>
      <tp t="s">
        <v>#N/A Requesting Data...</v>
        <stp/>
        <stp>##V3_BDHV12</stp>
        <stp>SPGSCLP Index</stp>
        <stp>CHG_PCT_1D</stp>
        <stp>15/09/2016</stp>
        <stp>15/09/2016</stp>
        <stp>[Bbg_Market_Data_CL.xlsm]data!R142C3</stp>
        <tr r="C142" s="1"/>
      </tp>
      <tp t="s">
        <v>#N/A Requesting Data...</v>
        <stp/>
        <stp>##V3_BDHV12</stp>
        <stp>CL1 Comdty</stp>
        <stp>30DAY_IMPVOL_95.0%MNY_DF</stp>
        <stp>29/10/2015</stp>
        <stp>29/10/2015</stp>
        <stp>[Bbg_Market_Data_CL.xlsm]data!R359C21</stp>
        <tr r="U359" s="1"/>
      </tp>
      <tp t="s">
        <v>#N/A Requesting Data...</v>
        <stp/>
        <stp>##V3_BDHV12</stp>
        <stp>CL1 Comdty</stp>
        <stp>30DAY_IMPVOL_95.0%MNY_DF</stp>
        <stp>09/12/2015</stp>
        <stp>09/12/2015</stp>
        <stp>[Bbg_Market_Data_CL.xlsm]data!R332C21</stp>
        <tr r="U332" s="1"/>
      </tp>
      <tp t="s">
        <v>#N/A Requesting Data...</v>
        <stp/>
        <stp>##V3_BDHV12</stp>
        <stp>CL1 Comdty</stp>
        <stp>30DAY_IMPVOL_95.0%MNY_DF</stp>
        <stp>19/10/2016</stp>
        <stp>19/10/2016</stp>
        <stp>[Bbg_Market_Data_CL.xlsm]data!R118C21</stp>
        <tr r="U118" s="1"/>
      </tp>
      <tp t="s">
        <v>#N/A Requesting Data...</v>
        <stp/>
        <stp>##V3_BDHV12</stp>
        <stp>CL1 Comdty</stp>
        <stp>30DAY_IMPVOL_95.0%MNY_DF</stp>
        <stp>09/11/2016</stp>
        <stp>09/11/2016</stp>
        <stp>[Bbg_Market_Data_CL.xlsm]data!R103C21</stp>
        <tr r="U103" s="1"/>
      </tp>
      <tp t="s">
        <v>#N/A Requesting Data...</v>
        <stp/>
        <stp>##V3_BDHV12</stp>
        <stp>CL1 Comdty</stp>
        <stp>30DAY_IMPVOL_95.0%MNY_DF</stp>
        <stp>18/12/2015</stp>
        <stp>18/12/2015</stp>
        <stp>[Bbg_Market_Data_CL.xlsm]data!R325C21</stp>
        <tr r="U325" s="1"/>
      </tp>
      <tp t="s">
        <v>#N/A Requesting Data...</v>
        <stp/>
        <stp>##V3_BDHV12</stp>
        <stp>SPGSCLP Index</stp>
        <stp>CHG_PCT_5D</stp>
        <stp>14/09/2015</stp>
        <stp>14/09/2015</stp>
        <stp>[Bbg_Market_Data_CL.xlsm]data!R392C4</stp>
        <tr r="D392" s="1"/>
      </tp>
      <tp t="s">
        <v>#N/A Requesting Data...</v>
        <stp/>
        <stp>##V3_BDHV12</stp>
        <stp>SPGSCLP Index</stp>
        <stp>CHG_PCT_1D</stp>
        <stp>16/08/2016</stp>
        <stp>16/08/2016</stp>
        <stp>[Bbg_Market_Data_CL.xlsm]data!R163C3</stp>
        <tr r="C163" s="1"/>
      </tp>
      <tp t="s">
        <v>#N/A Requesting Data...</v>
        <stp/>
        <stp>##V3_BDHV12</stp>
        <stp>SPGSCLP Index</stp>
        <stp>CHG_PCT_1D</stp>
        <stp>14/09/2015</stp>
        <stp>14/09/2015</stp>
        <stp>[Bbg_Market_Data_CL.xlsm]data!R392C3</stp>
        <tr r="C392" s="1"/>
      </tp>
      <tp t="s">
        <v>#N/A Requesting Data...</v>
        <stp/>
        <stp>##V3_BDHV12</stp>
        <stp>SPGSCLP Index</stp>
        <stp>CHG_PCT_5D</stp>
        <stp>16/08/2016</stp>
        <stp>16/08/2016</stp>
        <stp>[Bbg_Market_Data_CL.xlsm]data!R163C4</stp>
        <tr r="D163" s="1"/>
      </tp>
      <tp t="s">
        <v>#N/A Requesting Data...</v>
        <stp/>
        <stp>##V3_BDHV12</stp>
        <stp>CL2 Comdty</stp>
        <stp>RSI_30D</stp>
        <stp>03/03/2017</stp>
        <stp>03/03/2017</stp>
        <stp>[Bbg_Market_Data_CL.xlsm]data!R28C14</stp>
        <tr r="N28" s="1"/>
      </tp>
      <tp t="s">
        <v>#N/A Requesting Data...</v>
        <stp/>
        <stp>##V3_BDHV12</stp>
        <stp>CL2 Comdty</stp>
        <stp>RSI_14D</stp>
        <stp>01/03/2017</stp>
        <stp>01/03/2017</stp>
        <stp>[Bbg_Market_Data_CL.xlsm]data!R30C13</stp>
        <tr r="M30" s="1"/>
      </tp>
      <tp t="s">
        <v>#N/A Requesting Data...</v>
        <stp/>
        <stp>##V3_BDHV12</stp>
        <stp>CL1 Comdty</stp>
        <stp>RSI_14D</stp>
        <stp>22/02/2017</stp>
        <stp>22/02/2017</stp>
        <stp>[Bbg_Market_Data_CL.xlsm]data!R35C13</stp>
        <tr r="M35" s="1"/>
      </tp>
      <tp t="s">
        <v>#N/A Requesting Data...</v>
        <stp/>
        <stp>##V3_BDHV12</stp>
        <stp>CL1 Comdty</stp>
        <stp>RSI_30D</stp>
        <stp>10/01/2017</stp>
        <stp>10/01/2017</stp>
        <stp>[Bbg_Market_Data_CL.xlsm]data!R64C14</stp>
        <tr r="N64" s="1"/>
      </tp>
      <tp t="s">
        <v>#N/A Requesting Data...</v>
        <stp/>
        <stp>##V3_BDHV12</stp>
        <stp>CL2 Comdty</stp>
        <stp>RSI_30D</stp>
        <stp>23/01/2017</stp>
        <stp>23/01/2017</stp>
        <stp>[Bbg_Market_Data_CL.xlsm]data!R56C14</stp>
        <tr r="N56" s="1"/>
      </tp>
      <tp t="s">
        <v>#N/A Requesting Data...</v>
        <stp/>
        <stp>##V3_BDHV12</stp>
        <stp>CL1 Comdty</stp>
        <stp>RSI_30D</stp>
        <stp>30/12/2016</stp>
        <stp>30/12/2016</stp>
        <stp>[Bbg_Market_Data_CL.xlsm]data!R70C14</stp>
        <tr r="N70" s="1"/>
      </tp>
      <tp t="s">
        <v>#N/A Requesting Data...</v>
        <stp/>
        <stp>##V3_BDHV12</stp>
        <stp>CL2 Comdty</stp>
        <stp>RSI_30D</stp>
        <stp>13/02/2017</stp>
        <stp>13/02/2017</stp>
        <stp>[Bbg_Market_Data_CL.xlsm]data!R41C14</stp>
        <tr r="N41" s="1"/>
      </tp>
      <tp t="s">
        <v>#N/A Requesting Data...</v>
        <stp/>
        <stp>##V3_BDHV12</stp>
        <stp>CL1 Comdty</stp>
        <stp>RSI_14D</stp>
        <stp>12/01/2017</stp>
        <stp>12/01/2017</stp>
        <stp>[Bbg_Market_Data_CL.xlsm]data!R62C13</stp>
        <tr r="M62" s="1"/>
      </tp>
      <tp t="s">
        <v>#N/A Requesting Data...</v>
        <stp/>
        <stp>##V3_BDHV12</stp>
        <stp>CL2 Comdty</stp>
        <stp>RSI_14D</stp>
        <stp>01/12/2016</stp>
        <stp>01/12/2016</stp>
        <stp>[Bbg_Market_Data_CL.xlsm]data!R90C13</stp>
        <tr r="M90" s="1"/>
      </tp>
      <tp t="s">
        <v>#N/A Requesting Data...</v>
        <stp/>
        <stp>##V3_BDHV12</stp>
        <stp>CL2 Comdty</stp>
        <stp>RSI_30D</stp>
        <stp>02/03/2017</stp>
        <stp>02/03/2017</stp>
        <stp>[Bbg_Market_Data_CL.xlsm]data!R29C14</stp>
        <tr r="N29" s="1"/>
      </tp>
      <tp t="s">
        <v>#N/A Requesting Data...</v>
        <stp/>
        <stp>##V3_BDHV12</stp>
        <stp>CL1 Comdty</stp>
        <stp>RSI_30D</stp>
        <stp>21/02/2017</stp>
        <stp>21/02/2017</stp>
        <stp>[Bbg_Market_Data_CL.xlsm]data!R36C14</stp>
        <tr r="N36" s="1"/>
      </tp>
      <tp t="s">
        <v>#N/A Requesting Data...</v>
        <stp/>
        <stp>##V3_BDHV12</stp>
        <stp>CL1 Comdty</stp>
        <stp>RSI_14D</stp>
        <stp>23/02/2017</stp>
        <stp>23/02/2017</stp>
        <stp>[Bbg_Market_Data_CL.xlsm]data!R34C13</stp>
        <tr r="M34" s="1"/>
      </tp>
      <tp t="s">
        <v>#N/A Requesting Data...</v>
        <stp/>
        <stp>##V3_BDHV12</stp>
        <stp>CL2 Comdty</stp>
        <stp>RSI_14D</stp>
        <stp>20/01/2017</stp>
        <stp>20/01/2017</stp>
        <stp>[Bbg_Market_Data_CL.xlsm]data!R57C13</stp>
        <tr r="M57" s="1"/>
      </tp>
      <tp t="s">
        <v>#N/A Requesting Data...</v>
        <stp/>
        <stp>##V3_BDHV12</stp>
        <stp>CL1 Comdty</stp>
        <stp>RSI_14D</stp>
        <stp>13/01/2017</stp>
        <stp>13/01/2017</stp>
        <stp>[Bbg_Market_Data_CL.xlsm]data!R61C13</stp>
        <tr r="M61" s="1"/>
      </tp>
      <tp t="s">
        <v>#N/A Requesting Data...</v>
        <stp/>
        <stp>##V3_BDHV12</stp>
        <stp>CL2 Comdty</stp>
        <stp>RSI_14D</stp>
        <stp>10/02/2017</stp>
        <stp>10/02/2017</stp>
        <stp>[Bbg_Market_Data_CL.xlsm]data!R42C13</stp>
        <tr r="M42" s="1"/>
      </tp>
      <tp t="s">
        <v>#N/A Requesting Data...</v>
        <stp/>
        <stp>##V3_BDHV12</stp>
        <stp>CL1 Comdty</stp>
        <stp>RSI_30D</stp>
        <stp>11/01/2017</stp>
        <stp>11/01/2017</stp>
        <stp>[Bbg_Market_Data_CL.xlsm]data!R63C14</stp>
        <tr r="N63" s="1"/>
      </tp>
      <tp t="s">
        <v>#N/A Requesting Data...</v>
        <stp/>
        <stp>##V3_BDHV12</stp>
        <stp>CL2 Comdty</stp>
        <stp>RSI_30D</stp>
        <stp>02/12/2016</stp>
        <stp>02/12/2016</stp>
        <stp>[Bbg_Market_Data_CL.xlsm]data!R89C14</stp>
        <tr r="N89" s="1"/>
      </tp>
      <tp t="s">
        <v>#N/A Requesting Data...</v>
        <stp/>
        <stp>##V3_BDHV12</stp>
        <stp>CL2 Comdty</stp>
        <stp>RSI_14D</stp>
        <stp>30/11/2016</stp>
        <stp>30/11/2016</stp>
        <stp>[Bbg_Market_Data_CL.xlsm]data!R91C13</stp>
        <tr r="M91" s="1"/>
      </tp>
      <tp t="s">
        <v>#N/A Requesting Data...</v>
        <stp/>
        <stp>##V3_BDHV12</stp>
        <stp>CL1 Comdty</stp>
        <stp>RSI_30D</stp>
        <stp>22/02/2017</stp>
        <stp>22/02/2017</stp>
        <stp>[Bbg_Market_Data_CL.xlsm]data!R35C14</stp>
        <tr r="N35" s="1"/>
      </tp>
      <tp t="s">
        <v>#N/A Requesting Data...</v>
        <stp/>
        <stp>##V3_BDHV12</stp>
        <stp>CL2 Comdty</stp>
        <stp>RSI_14D</stp>
        <stp>03/03/2017</stp>
        <stp>03/03/2017</stp>
        <stp>[Bbg_Market_Data_CL.xlsm]data!R28C13</stp>
        <tr r="M28" s="1"/>
      </tp>
      <tp t="s">
        <v>#N/A Requesting Data...</v>
        <stp/>
        <stp>##V3_BDHV12</stp>
        <stp>CL2 Comdty</stp>
        <stp>RSI_30D</stp>
        <stp>01/03/2017</stp>
        <stp>01/03/2017</stp>
        <stp>[Bbg_Market_Data_CL.xlsm]data!R30C14</stp>
        <tr r="N30" s="1"/>
      </tp>
      <tp t="s">
        <v>#N/A Requesting Data...</v>
        <stp/>
        <stp>##V3_BDHV12</stp>
        <stp>CL2 Comdty</stp>
        <stp>RSI_14D</stp>
        <stp>13/02/2017</stp>
        <stp>13/02/2017</stp>
        <stp>[Bbg_Market_Data_CL.xlsm]data!R41C13</stp>
        <tr r="M41" s="1"/>
      </tp>
      <tp t="s">
        <v>#N/A Requesting Data...</v>
        <stp/>
        <stp>##V3_BDHV12</stp>
        <stp>CL1 Comdty</stp>
        <stp>RSI_30D</stp>
        <stp>12/01/2017</stp>
        <stp>12/01/2017</stp>
        <stp>[Bbg_Market_Data_CL.xlsm]data!R62C14</stp>
        <tr r="N62" s="1"/>
      </tp>
      <tp t="s">
        <v>#N/A Requesting Data...</v>
        <stp/>
        <stp>##V3_BDHV12</stp>
        <stp>CL1 Comdty</stp>
        <stp>RSI_14D</stp>
        <stp>10/01/2017</stp>
        <stp>10/01/2017</stp>
        <stp>[Bbg_Market_Data_CL.xlsm]data!R64C13</stp>
        <tr r="M64" s="1"/>
      </tp>
      <tp t="s">
        <v>#N/A Requesting Data...</v>
        <stp/>
        <stp>##V3_BDHV12</stp>
        <stp>CL2 Comdty</stp>
        <stp>RSI_14D</stp>
        <stp>23/01/2017</stp>
        <stp>23/01/2017</stp>
        <stp>[Bbg_Market_Data_CL.xlsm]data!R56C13</stp>
        <tr r="M56" s="1"/>
      </tp>
      <tp t="s">
        <v>#N/A Requesting Data...</v>
        <stp/>
        <stp>##V3_BDHV12</stp>
        <stp>CL1 Comdty</stp>
        <stp>RSI_14D</stp>
        <stp>30/12/2016</stp>
        <stp>30/12/2016</stp>
        <stp>[Bbg_Market_Data_CL.xlsm]data!R70C13</stp>
        <tr r="M70" s="1"/>
      </tp>
      <tp t="s">
        <v>#N/A Requesting Data...</v>
        <stp/>
        <stp>##V3_BDHV12</stp>
        <stp>CL2 Comdty</stp>
        <stp>RSI_30D</stp>
        <stp>01/12/2016</stp>
        <stp>01/12/2016</stp>
        <stp>[Bbg_Market_Data_CL.xlsm]data!R90C14</stp>
        <tr r="N90" s="1"/>
      </tp>
      <tp t="s">
        <v>#N/A Requesting Data...</v>
        <stp/>
        <stp>##V3_BDHV12</stp>
        <stp>CL1 Comdty</stp>
        <stp>RSI_30D</stp>
        <stp>23/02/2017</stp>
        <stp>23/02/2017</stp>
        <stp>[Bbg_Market_Data_CL.xlsm]data!R34C14</stp>
        <tr r="N34" s="1"/>
      </tp>
      <tp t="s">
        <v>#N/A Requesting Data...</v>
        <stp/>
        <stp>##V3_BDHV12</stp>
        <stp>CL1 Comdty</stp>
        <stp>RSI_14D</stp>
        <stp>21/02/2017</stp>
        <stp>21/02/2017</stp>
        <stp>[Bbg_Market_Data_CL.xlsm]data!R36C13</stp>
        <tr r="M36" s="1"/>
      </tp>
      <tp t="s">
        <v>#N/A Requesting Data...</v>
        <stp/>
        <stp>##V3_BDHV12</stp>
        <stp>CL2 Comdty</stp>
        <stp>RSI_14D</stp>
        <stp>02/03/2017</stp>
        <stp>02/03/2017</stp>
        <stp>[Bbg_Market_Data_CL.xlsm]data!R29C13</stp>
        <tr r="M29" s="1"/>
      </tp>
      <tp t="s">
        <v>#N/A Requesting Data...</v>
        <stp/>
        <stp>##V3_BDHV12</stp>
        <stp>CL2 Comdty</stp>
        <stp>RSI_30D</stp>
        <stp>10/02/2017</stp>
        <stp>10/02/2017</stp>
        <stp>[Bbg_Market_Data_CL.xlsm]data!R42C14</stp>
        <tr r="N42" s="1"/>
      </tp>
      <tp t="s">
        <v>#N/A Requesting Data...</v>
        <stp/>
        <stp>##V3_BDHV12</stp>
        <stp>CL1 Comdty</stp>
        <stp>RSI_14D</stp>
        <stp>11/01/2017</stp>
        <stp>11/01/2017</stp>
        <stp>[Bbg_Market_Data_CL.xlsm]data!R63C13</stp>
        <tr r="M63" s="1"/>
      </tp>
      <tp t="s">
        <v>#N/A Requesting Data...</v>
        <stp/>
        <stp>##V3_BDHV12</stp>
        <stp>CL2 Comdty</stp>
        <stp>RSI_30D</stp>
        <stp>20/01/2017</stp>
        <stp>20/01/2017</stp>
        <stp>[Bbg_Market_Data_CL.xlsm]data!R57C14</stp>
        <tr r="N57" s="1"/>
      </tp>
      <tp t="s">
        <v>#N/A Requesting Data...</v>
        <stp/>
        <stp>##V3_BDHV12</stp>
        <stp>CL1 Comdty</stp>
        <stp>RSI_30D</stp>
        <stp>13/01/2017</stp>
        <stp>13/01/2017</stp>
        <stp>[Bbg_Market_Data_CL.xlsm]data!R61C14</stp>
        <tr r="N61" s="1"/>
      </tp>
      <tp t="s">
        <v>#N/A Requesting Data...</v>
        <stp/>
        <stp>##V3_BDHV12</stp>
        <stp>CL2 Comdty</stp>
        <stp>RSI_14D</stp>
        <stp>02/12/2016</stp>
        <stp>02/12/2016</stp>
        <stp>[Bbg_Market_Data_CL.xlsm]data!R89C13</stp>
        <tr r="M89" s="1"/>
      </tp>
      <tp t="s">
        <v>#N/A Requesting Data...</v>
        <stp/>
        <stp>##V3_BDHV12</stp>
        <stp>CL2 Comdty</stp>
        <stp>RSI_30D</stp>
        <stp>30/11/2016</stp>
        <stp>30/11/2016</stp>
        <stp>[Bbg_Market_Data_CL.xlsm]data!R91C14</stp>
        <tr r="N91" s="1"/>
      </tp>
      <tp t="s">
        <v>#N/A Requesting Data...</v>
        <stp/>
        <stp>##V3_BDHV12</stp>
        <stp>CL2 Comdty</stp>
        <stp>RSI_30D</stp>
        <stp>27/01/2017</stp>
        <stp>27/01/2017</stp>
        <stp>[Bbg_Market_Data_CL.xlsm]data!R52C14</stp>
        <tr r="N52" s="1"/>
      </tp>
      <tp t="s">
        <v>#N/A Requesting Data...</v>
        <stp/>
        <stp>##V3_BDHV12</stp>
        <stp>CL2 Comdty</stp>
        <stp>RSI_14D</stp>
        <stp>25/01/2017</stp>
        <stp>25/01/2017</stp>
        <stp>[Bbg_Market_Data_CL.xlsm]data!R54C13</stp>
        <tr r="M54" s="1"/>
      </tp>
      <tp t="s">
        <v>#N/A Requesting Data...</v>
        <stp/>
        <stp>##V3_BDHV12</stp>
        <stp>CL2 Comdty</stp>
        <stp>RSI_30D</stp>
        <stp>17/02/2017</stp>
        <stp>17/02/2017</stp>
        <stp>[Bbg_Market_Data_CL.xlsm]data!R37C14</stp>
        <tr r="N37" s="1"/>
      </tp>
      <tp t="s">
        <v>#N/A Requesting Data...</v>
        <stp/>
        <stp>##V3_BDHV12</stp>
        <stp>CL2 Comdty</stp>
        <stp>RSI_14D</stp>
        <stp>15/02/2017</stp>
        <stp>15/02/2017</stp>
        <stp>[Bbg_Market_Data_CL.xlsm]data!R39C13</stp>
        <tr r="M39" s="1"/>
      </tp>
      <tp t="s">
        <v>#N/A Requesting Data...</v>
        <stp/>
        <stp>##V3_BDHV12</stp>
        <stp>CL2 Comdty</stp>
        <stp>RSI_30D</stp>
        <stp>07/03/2017</stp>
        <stp>07/03/2017</stp>
        <stp>[Bbg_Market_Data_CL.xlsm]data!R26C14</stp>
        <tr r="N26" s="1"/>
      </tp>
      <tp t="s">
        <v>#N/A Requesting Data...</v>
        <stp/>
        <stp>##V3_BDHV12</stp>
        <stp>CL1 Comdty</stp>
        <stp>RSI_30D</stp>
        <stp>24/02/2017</stp>
        <stp>24/02/2017</stp>
        <stp>[Bbg_Market_Data_CL.xlsm]data!R33C14</stp>
        <tr r="N33" s="1"/>
      </tp>
      <tp t="s">
        <v>#N/A Requesting Data...</v>
        <stp/>
        <stp>##V3_BDHV12</stp>
        <stp>CL2 Comdty</stp>
        <stp>RSI_30D</stp>
        <stp>07/12/2016</stp>
        <stp>07/12/2016</stp>
        <stp>[Bbg_Market_Data_CL.xlsm]data!R86C14</stp>
        <tr r="N86" s="1"/>
      </tp>
      <tp t="s">
        <v>#N/A Requesting Data...</v>
        <stp/>
        <stp>##V3_BDHV12</stp>
        <stp>CL2 Comdty</stp>
        <stp>RSI_14D</stp>
        <stp>05/12/2016</stp>
        <stp>05/12/2016</stp>
        <stp>[Bbg_Market_Data_CL.xlsm]data!R88C13</stp>
        <tr r="M88" s="1"/>
      </tp>
      <tp t="s">
        <v>#N/A Requesting Data...</v>
        <stp/>
        <stp>##V3_BDHV12</stp>
        <stp>CL2 Comdty</stp>
        <stp>RSI_14D</stp>
        <stp>24/01/2017</stp>
        <stp>24/01/2017</stp>
        <stp>[Bbg_Market_Data_CL.xlsm]data!R55C13</stp>
        <tr r="M55" s="1"/>
      </tp>
      <tp t="s">
        <v>#N/A Requesting Data...</v>
        <stp/>
        <stp>##V3_BDHV12</stp>
        <stp>CL1 Comdty</stp>
        <stp>RSI_14D</stp>
        <stp>17/01/2017</stp>
        <stp>17/01/2017</stp>
        <stp>[Bbg_Market_Data_CL.xlsm]data!R60C13</stp>
        <tr r="M60" s="1"/>
      </tp>
      <tp t="s">
        <v>#N/A Requesting Data...</v>
        <stp/>
        <stp>##V3_BDHV12</stp>
        <stp>CL2 Comdty</stp>
        <stp>RSI_14D</stp>
        <stp>14/02/2017</stp>
        <stp>14/02/2017</stp>
        <stp>[Bbg_Market_Data_CL.xlsm]data!R40C13</stp>
        <tr r="M40" s="1"/>
      </tp>
      <tp t="s">
        <v>#N/A Requesting Data...</v>
        <stp/>
        <stp>##V3_BDHV12</stp>
        <stp>CL2 Comdty</stp>
        <stp>RSI_30D</stp>
        <stp>26/01/2017</stp>
        <stp>26/01/2017</stp>
        <stp>[Bbg_Market_Data_CL.xlsm]data!R53C14</stp>
        <tr r="N53" s="1"/>
      </tp>
      <tp t="s">
        <v>#N/A Requesting Data...</v>
        <stp/>
        <stp>##V3_BDHV12</stp>
        <stp>CL2 Comdty</stp>
        <stp>RSI_30D</stp>
        <stp>06/03/2017</stp>
        <stp>06/03/2017</stp>
        <stp>[Bbg_Market_Data_CL.xlsm]data!R27C14</stp>
        <tr r="N27" s="1"/>
      </tp>
      <tp t="s">
        <v>#N/A Requesting Data...</v>
        <stp/>
        <stp>##V3_BDHV12</stp>
        <stp>CL2 Comdty</stp>
        <stp>RSI_30D</stp>
        <stp>16/02/2017</stp>
        <stp>16/02/2017</stp>
        <stp>[Bbg_Market_Data_CL.xlsm]data!R38C14</stp>
        <tr r="N38" s="1"/>
      </tp>
      <tp t="s">
        <v>#N/A Requesting Data...</v>
        <stp/>
        <stp>##V3_BDHV12</stp>
        <stp>CL1 Comdty</stp>
        <stp>RSI_14D</stp>
        <stp>27/02/2017</stp>
        <stp>27/02/2017</stp>
        <stp>[Bbg_Market_Data_CL.xlsm]data!R32C13</stp>
        <tr r="M32" s="1"/>
      </tp>
      <tp t="s">
        <v>#N/A Requesting Data...</v>
        <stp/>
        <stp>##V3_BDHV12</stp>
        <stp>CL2 Comdty</stp>
        <stp>RSI_30D</stp>
        <stp>06/12/2016</stp>
        <stp>06/12/2016</stp>
        <stp>[Bbg_Market_Data_CL.xlsm]data!R87C14</stp>
        <tr r="N87" s="1"/>
      </tp>
      <tp t="s">
        <v>#N/A Requesting Data...</v>
        <stp/>
        <stp>##V3_BDHV12</stp>
        <stp>CL2 Comdty</stp>
        <stp>RSI_30D</stp>
        <stp>25/01/2017</stp>
        <stp>25/01/2017</stp>
        <stp>[Bbg_Market_Data_CL.xlsm]data!R54C14</stp>
        <tr r="N54" s="1"/>
      </tp>
      <tp t="s">
        <v>#N/A Requesting Data...</v>
        <stp/>
        <stp>##V3_BDHV12</stp>
        <stp>CL2 Comdty</stp>
        <stp>RSI_14D</stp>
        <stp>27/01/2017</stp>
        <stp>27/01/2017</stp>
        <stp>[Bbg_Market_Data_CL.xlsm]data!R52C13</stp>
        <tr r="M52" s="1"/>
      </tp>
      <tp t="s">
        <v>#N/A Requesting Data...</v>
        <stp/>
        <stp>##V3_BDHV12</stp>
        <stp>CL1 Comdty</stp>
        <stp>RSI_14D</stp>
        <stp>24/02/2017</stp>
        <stp>24/02/2017</stp>
        <stp>[Bbg_Market_Data_CL.xlsm]data!R33C13</stp>
        <tr r="M33" s="1"/>
      </tp>
      <tp t="s">
        <v>#N/A Requesting Data...</v>
        <stp/>
        <stp>##V3_BDHV12</stp>
        <stp>CL2 Comdty</stp>
        <stp>RSI_30D</stp>
        <stp>15/02/2017</stp>
        <stp>15/02/2017</stp>
        <stp>[Bbg_Market_Data_CL.xlsm]data!R39C14</stp>
        <tr r="N39" s="1"/>
      </tp>
      <tp t="s">
        <v>#N/A Requesting Data...</v>
        <stp/>
        <stp>##V3_BDHV12</stp>
        <stp>CL2 Comdty</stp>
        <stp>RSI_14D</stp>
        <stp>07/03/2017</stp>
        <stp>07/03/2017</stp>
        <stp>[Bbg_Market_Data_CL.xlsm]data!R26C13</stp>
        <tr r="M26" s="1"/>
      </tp>
      <tp t="s">
        <v>#N/A Requesting Data...</v>
        <stp/>
        <stp>##V3_BDHV12</stp>
        <stp>CL2 Comdty</stp>
        <stp>RSI_14D</stp>
        <stp>17/02/2017</stp>
        <stp>17/02/2017</stp>
        <stp>[Bbg_Market_Data_CL.xlsm]data!R37C13</stp>
        <tr r="M37" s="1"/>
      </tp>
      <tp t="s">
        <v>#N/A Requesting Data...</v>
        <stp/>
        <stp>##V3_BDHV12</stp>
        <stp>CL2 Comdty</stp>
        <stp>RSI_30D</stp>
        <stp>05/12/2016</stp>
        <stp>05/12/2016</stp>
        <stp>[Bbg_Market_Data_CL.xlsm]data!R88C14</stp>
        <tr r="N88" s="1"/>
      </tp>
      <tp t="s">
        <v>#N/A Requesting Data...</v>
        <stp/>
        <stp>##V3_BDHV12</stp>
        <stp>CL2 Comdty</stp>
        <stp>RSI_14D</stp>
        <stp>07/12/2016</stp>
        <stp>07/12/2016</stp>
        <stp>[Bbg_Market_Data_CL.xlsm]data!R86C13</stp>
        <tr r="M86" s="1"/>
      </tp>
      <tp t="s">
        <v>#N/A Requesting Data...</v>
        <stp/>
        <stp>##V3_BDHV12</stp>
        <stp>CL2 Comdty</stp>
        <stp>RSI_30D</stp>
        <stp>14/02/2017</stp>
        <stp>14/02/2017</stp>
        <stp>[Bbg_Market_Data_CL.xlsm]data!R40C14</stp>
        <tr r="N40" s="1"/>
      </tp>
      <tp t="s">
        <v>#N/A Requesting Data...</v>
        <stp/>
        <stp>##V3_BDHV12</stp>
        <stp>CL2 Comdty</stp>
        <stp>RSI_14D</stp>
        <stp>26/01/2017</stp>
        <stp>26/01/2017</stp>
        <stp>[Bbg_Market_Data_CL.xlsm]data!R53C13</stp>
        <tr r="M53" s="1"/>
      </tp>
      <tp t="s">
        <v>#N/A Requesting Data...</v>
        <stp/>
        <stp>##V3_BDHV12</stp>
        <stp>CL2 Comdty</stp>
        <stp>RSI_30D</stp>
        <stp>24/01/2017</stp>
        <stp>24/01/2017</stp>
        <stp>[Bbg_Market_Data_CL.xlsm]data!R55C14</stp>
        <tr r="N55" s="1"/>
      </tp>
      <tp t="s">
        <v>#N/A Requesting Data...</v>
        <stp/>
        <stp>##V3_BDHV12</stp>
        <stp>CL1 Comdty</stp>
        <stp>RSI_30D</stp>
        <stp>17/01/2017</stp>
        <stp>17/01/2017</stp>
        <stp>[Bbg_Market_Data_CL.xlsm]data!R60C14</stp>
        <tr r="N60" s="1"/>
      </tp>
      <tp t="s">
        <v>#N/A Requesting Data...</v>
        <stp/>
        <stp>##V3_BDHV12</stp>
        <stp>CL1 Comdty</stp>
        <stp>RSI_30D</stp>
        <stp>27/02/2017</stp>
        <stp>27/02/2017</stp>
        <stp>[Bbg_Market_Data_CL.xlsm]data!R32C14</stp>
        <tr r="N32" s="1"/>
      </tp>
      <tp t="s">
        <v>#N/A Requesting Data...</v>
        <stp/>
        <stp>##V3_BDHV12</stp>
        <stp>CL2 Comdty</stp>
        <stp>RSI_14D</stp>
        <stp>16/02/2017</stp>
        <stp>16/02/2017</stp>
        <stp>[Bbg_Market_Data_CL.xlsm]data!R38C13</stp>
        <tr r="M38" s="1"/>
      </tp>
      <tp t="s">
        <v>#N/A Requesting Data...</v>
        <stp/>
        <stp>##V3_BDHV12</stp>
        <stp>CL2 Comdty</stp>
        <stp>RSI_14D</stp>
        <stp>06/03/2017</stp>
        <stp>06/03/2017</stp>
        <stp>[Bbg_Market_Data_CL.xlsm]data!R27C13</stp>
        <tr r="M27" s="1"/>
      </tp>
      <tp t="s">
        <v>#N/A Requesting Data...</v>
        <stp/>
        <stp>##V3_BDHV12</stp>
        <stp>CL2 Comdty</stp>
        <stp>RSI_14D</stp>
        <stp>06/12/2016</stp>
        <stp>06/12/2016</stp>
        <stp>[Bbg_Market_Data_CL.xlsm]data!R87C13</stp>
        <tr r="M87" s="1"/>
      </tp>
      <tp t="s">
        <v>#N/A Requesting Data...</v>
        <stp/>
        <stp>##V3_BDHV12</stp>
        <stp>CL2 Comdty</stp>
        <stp>RSI_14D</stp>
        <stp>09/12/2016</stp>
        <stp>09/12/2016</stp>
        <stp>[Bbg_Market_Data_CL.xlsm]data!R84C13</stp>
        <tr r="M84" s="1"/>
      </tp>
      <tp t="s">
        <v>#N/A Requesting Data...</v>
        <stp/>
        <stp>##V3_BDHV12</stp>
        <stp>CL2 Comdty</stp>
        <stp>RSI_14D</stp>
        <stp>09/03/2017</stp>
        <stp>09/03/2017</stp>
        <stp>[Bbg_Market_Data_CL.xlsm]data!R24C13</stp>
        <tr r="M24" s="1"/>
      </tp>
      <tp t="s">
        <v>#N/A Requesting Data...</v>
        <stp/>
        <stp>##V3_BDHV12</stp>
        <stp>CL1 Comdty</stp>
        <stp>RSI_30D</stp>
        <stp>28/02/2017</stp>
        <stp>28/02/2017</stp>
        <stp>[Bbg_Market_Data_CL.xlsm]data!R31C14</stp>
        <tr r="N31" s="1"/>
      </tp>
      <tp t="s">
        <v>#N/A Requesting Data...</v>
        <stp/>
        <stp>##V3_BDHV12</stp>
        <stp>CL1 Comdty</stp>
        <stp>RSI_30D</stp>
        <stp>18/01/2017</stp>
        <stp>18/01/2017</stp>
        <stp>[Bbg_Market_Data_CL.xlsm]data!R59C14</stp>
        <tr r="N59" s="1"/>
      </tp>
      <tp t="s">
        <v>#N/A Requesting Data...</v>
        <stp/>
        <stp>##V3_BDHV12</stp>
        <stp>CL2 Comdty</stp>
        <stp>RSI_14D</stp>
        <stp>08/12/2016</stp>
        <stp>08/12/2016</stp>
        <stp>[Bbg_Market_Data_CL.xlsm]data!R85C13</stp>
        <tr r="M85" s="1"/>
      </tp>
      <tp t="s">
        <v>#N/A Requesting Data...</v>
        <stp/>
        <stp>##V3_BDHV12</stp>
        <stp>CL2 Comdty</stp>
        <stp>RSI_14D</stp>
        <stp>08/03/2017</stp>
        <stp>08/03/2017</stp>
        <stp>[Bbg_Market_Data_CL.xlsm]data!R25C13</stp>
        <tr r="M25" s="1"/>
      </tp>
      <tp t="s">
        <v>#N/A Requesting Data...</v>
        <stp/>
        <stp>##V3_BDHV12</stp>
        <stp>CL1 Comdty</stp>
        <stp>RSI_30D</stp>
        <stp>19/01/2017</stp>
        <stp>19/01/2017</stp>
        <stp>[Bbg_Market_Data_CL.xlsm]data!R58C14</stp>
        <tr r="N58" s="1"/>
      </tp>
      <tp t="s">
        <v>#N/A Requesting Data...</v>
        <stp/>
        <stp>##V3_BDHV12</stp>
        <stp>CL2 Comdty</stp>
        <stp>RSI_30D</stp>
        <stp>09/12/2016</stp>
        <stp>09/12/2016</stp>
        <stp>[Bbg_Market_Data_CL.xlsm]data!R84C14</stp>
        <tr r="N84" s="1"/>
      </tp>
      <tp t="s">
        <v>#N/A Requesting Data...</v>
        <stp/>
        <stp>##V3_BDHV12</stp>
        <stp>CL1 Comdty</stp>
        <stp>RSI_14D</stp>
        <stp>28/02/2017</stp>
        <stp>28/02/2017</stp>
        <stp>[Bbg_Market_Data_CL.xlsm]data!R31C13</stp>
        <tr r="M31" s="1"/>
      </tp>
      <tp t="s">
        <v>#N/A Requesting Data...</v>
        <stp/>
        <stp>##V3_BDHV12</stp>
        <stp>CL2 Comdty</stp>
        <stp>RSI_30D</stp>
        <stp>09/03/2017</stp>
        <stp>09/03/2017</stp>
        <stp>[Bbg_Market_Data_CL.xlsm]data!R24C14</stp>
        <tr r="N24" s="1"/>
      </tp>
      <tp t="s">
        <v>#N/A Requesting Data...</v>
        <stp/>
        <stp>##V3_BDHV12</stp>
        <stp>CL1 Comdty</stp>
        <stp>RSI_14D</stp>
        <stp>18/01/2017</stp>
        <stp>18/01/2017</stp>
        <stp>[Bbg_Market_Data_CL.xlsm]data!R59C13</stp>
        <tr r="M59" s="1"/>
      </tp>
      <tp t="s">
        <v>#N/A Requesting Data...</v>
        <stp/>
        <stp>##V3_BDHV12</stp>
        <stp>CL2 Comdty</stp>
        <stp>RSI_30D</stp>
        <stp>08/12/2016</stp>
        <stp>08/12/2016</stp>
        <stp>[Bbg_Market_Data_CL.xlsm]data!R85C14</stp>
        <tr r="N85" s="1"/>
      </tp>
      <tp t="s">
        <v>#N/A Requesting Data...</v>
        <stp/>
        <stp>##V3_BDHV12</stp>
        <stp>CL2 Comdty</stp>
        <stp>RSI_30D</stp>
        <stp>08/03/2017</stp>
        <stp>08/03/2017</stp>
        <stp>[Bbg_Market_Data_CL.xlsm]data!R25C14</stp>
        <tr r="N25" s="1"/>
      </tp>
      <tp t="s">
        <v>#N/A Requesting Data...</v>
        <stp/>
        <stp>##V3_BDHV12</stp>
        <stp>CL1 Comdty</stp>
        <stp>RSI_14D</stp>
        <stp>19/01/2017</stp>
        <stp>19/01/2017</stp>
        <stp>[Bbg_Market_Data_CL.xlsm]data!R58C13</stp>
        <tr r="M58" s="1"/>
      </tp>
      <tp t="s">
        <v>#N/A Requesting Data...</v>
        <stp/>
        <stp>##V3_BDHV12</stp>
        <stp>CL1 Comdty</stp>
        <stp>PX_LAST</stp>
        <stp>22/11/2016</stp>
        <stp>22/11/2016</stp>
        <stp>[Bbg_Market_Data_CL.xlsm]data!R96C9</stp>
        <tr r="I96" s="1"/>
      </tp>
      <tp t="s">
        <v>#N/A Requesting Data...</v>
        <stp/>
        <stp>##V3_BDHV12</stp>
        <stp>CL2 Comdty</stp>
        <stp>PX_LAST</stp>
        <stp>21/12/2016</stp>
        <stp>21/12/2016</stp>
        <stp>[Bbg_Market_Data_CL.xlsm]data!R76C9</stp>
        <tr r="I76" s="1"/>
      </tp>
      <tp t="s">
        <v>#N/A Requesting Data...</v>
        <stp/>
        <stp>##V3_BDHV12</stp>
        <stp>CL2 Comdty</stp>
        <stp>PX_LAST</stp>
        <stp>20/03/2017</stp>
        <stp>20/03/2017</stp>
        <stp>[Bbg_Market_Data_CL.xlsm]data!R17C9</stp>
        <tr r="I17" s="1"/>
      </tp>
      <tp t="s">
        <v>#N/A Requesting Data...</v>
        <stp/>
        <stp>##V3_BDHV12</stp>
        <stp>CL1 Comdty</stp>
        <stp>PX_LAST</stp>
        <stp>03/02/2017</stp>
        <stp>03/02/2017</stp>
        <stp>[Bbg_Market_Data_CL.xlsm]data!R47C9</stp>
        <tr r="I47" s="1"/>
      </tp>
      <tp t="s">
        <v>#N/A Requesting Data...</v>
        <stp/>
        <stp>##V3_BDHV12</stp>
        <stp>CL2 Comdty</stp>
        <stp>PX_LAST</stp>
        <stp>05/01/2017</stp>
        <stp>05/01/2017</stp>
        <stp>[Bbg_Market_Data_CL.xlsm]data!R67C9</stp>
        <tr r="I67" s="1"/>
      </tp>
      <tp t="s">
        <v>#N/A Requesting Data...</v>
        <stp/>
        <stp>##V3_BDHV12</stp>
        <stp>CL1 Comdty</stp>
        <stp>PX_LAST</stp>
        <stp>20/01/2017</stp>
        <stp>20/01/2017</stp>
        <stp>[Bbg_Market_Data_CL.xlsm]data!R57C9</stp>
        <tr r="I57" s="1"/>
      </tp>
      <tp t="s">
        <v>#N/A Requesting Data...</v>
        <stp/>
        <stp>##V3_BDHV12</stp>
        <stp>CL1 Comdty</stp>
        <stp>PX_LAST</stp>
        <stp>07/12/2016</stp>
        <stp>07/12/2016</stp>
        <stp>[Bbg_Market_Data_CL.xlsm]data!R86C9</stp>
        <tr r="I86" s="1"/>
      </tp>
      <tp t="s">
        <v>#N/A Requesting Data...</v>
        <stp/>
        <stp>##V3_BDHV12</stp>
        <stp>CL1 Comdty</stp>
        <stp>PX_LAST</stp>
        <stp>17/02/2017</stp>
        <stp>17/02/2017</stp>
        <stp>[Bbg_Market_Data_CL.xlsm]data!R37C9</stp>
        <tr r="I37" s="1"/>
      </tp>
      <tp t="s">
        <v>#N/A Requesting Data...</v>
        <stp/>
        <stp>##V3_BDHV12</stp>
        <stp>CL1 Comdty</stp>
        <stp>PX_LAST</stp>
        <stp>06/03/2017</stp>
        <stp>06/03/2017</stp>
        <stp>[Bbg_Market_Data_CL.xlsm]data!R27C9</stp>
        <tr r="I27" s="1"/>
      </tp>
      <tp t="s">
        <v>#N/A Requesting Data...</v>
        <stp/>
        <stp>##V3_BDHV12</stp>
        <stp>CL2 Comdty</stp>
        <stp>PX_LAST</stp>
        <stp>20/01/2017</stp>
        <stp>20/01/2017</stp>
        <stp>[Bbg_Market_Data_CL.xlsm]data!R57C9</stp>
        <tr r="I57" s="1"/>
      </tp>
      <tp t="s">
        <v>#N/A Requesting Data...</v>
        <stp/>
        <stp>##V3_BDHV12</stp>
        <stp>CL2 Comdty</stp>
        <stp>PX_LAST</stp>
        <stp>07/12/2016</stp>
        <stp>07/12/2016</stp>
        <stp>[Bbg_Market_Data_CL.xlsm]data!R86C9</stp>
        <tr r="I86" s="1"/>
      </tp>
      <tp t="s">
        <v>#N/A Requesting Data...</v>
        <stp/>
        <stp>##V3_BDHV12</stp>
        <stp>CL2 Comdty</stp>
        <stp>PX_LAST</stp>
        <stp>17/02/2017</stp>
        <stp>17/02/2017</stp>
        <stp>[Bbg_Market_Data_CL.xlsm]data!R37C9</stp>
        <tr r="I37" s="1"/>
      </tp>
      <tp t="s">
        <v>#N/A Requesting Data...</v>
        <stp/>
        <stp>##V3_BDHV12</stp>
        <stp>CL2 Comdty</stp>
        <stp>PX_LAST</stp>
        <stp>06/03/2017</stp>
        <stp>06/03/2017</stp>
        <stp>[Bbg_Market_Data_CL.xlsm]data!R27C9</stp>
        <tr r="I27" s="1"/>
      </tp>
      <tp t="s">
        <v>#N/A Requesting Data...</v>
        <stp/>
        <stp>##V3_BDHV12</stp>
        <stp>CL2 Comdty</stp>
        <stp>PX_LAST</stp>
        <stp>22/11/2016</stp>
        <stp>22/11/2016</stp>
        <stp>[Bbg_Market_Data_CL.xlsm]data!R96C9</stp>
        <tr r="I96" s="1"/>
      </tp>
      <tp t="s">
        <v>#N/A Requesting Data...</v>
        <stp/>
        <stp>##V3_BDHV12</stp>
        <stp>CL1 Comdty</stp>
        <stp>PX_LAST</stp>
        <stp>21/12/2016</stp>
        <stp>21/12/2016</stp>
        <stp>[Bbg_Market_Data_CL.xlsm]data!R76C9</stp>
        <tr r="I76" s="1"/>
      </tp>
      <tp t="s">
        <v>#N/A Requesting Data...</v>
        <stp/>
        <stp>##V3_BDHV12</stp>
        <stp>CL1 Comdty</stp>
        <stp>PX_LAST</stp>
        <stp>20/03/2017</stp>
        <stp>20/03/2017</stp>
        <stp>[Bbg_Market_Data_CL.xlsm]data!R17C9</stp>
        <tr r="I17" s="1"/>
      </tp>
      <tp t="s">
        <v>#N/A Requesting Data...</v>
        <stp/>
        <stp>##V3_BDHV12</stp>
        <stp>CL2 Comdty</stp>
        <stp>PX_LAST</stp>
        <stp>03/02/2017</stp>
        <stp>03/02/2017</stp>
        <stp>[Bbg_Market_Data_CL.xlsm]data!R47C9</stp>
        <tr r="I47" s="1"/>
      </tp>
      <tp t="s">
        <v>#N/A Requesting Data...</v>
        <stp/>
        <stp>##V3_BDHV12</stp>
        <stp>CL1 Comdty</stp>
        <stp>PX_LAST</stp>
        <stp>05/01/2017</stp>
        <stp>05/01/2017</stp>
        <stp>[Bbg_Market_Data_CL.xlsm]data!R67C9</stp>
        <tr r="I67" s="1"/>
      </tp>
      <tp t="s">
        <v>#N/A Requesting Data...</v>
        <stp/>
        <stp>##V3_BDHV12</stp>
        <stp>CL1 Comdty</stp>
        <stp>30DAY_IMPVOL_90.0%MNY_DF</stp>
        <stp>23/08/2016</stp>
        <stp>23/08/2016</stp>
        <stp>[Bbg_Market_Data_CL.xlsm]data!R157C23</stp>
        <tr r="W157" s="1"/>
      </tp>
      <tp t="s">
        <v>#N/A Requesting Data...</v>
        <stp/>
        <stp>##V3_BDHV12</stp>
        <stp>CL1 Comdty</stp>
        <stp>30DAY_IMPVOL_95.0%MNY_DF</stp>
        <stp>20/08/2015</stp>
        <stp>20/08/2015</stp>
        <stp>[Bbg_Market_Data_CL.xlsm]data!R407C21</stp>
        <tr r="U407" s="1"/>
      </tp>
      <tp t="s">
        <v>#N/A Requesting Data...</v>
        <stp/>
        <stp>##V3_BDHV12</stp>
        <stp>SPGSCLP Index</stp>
        <stp>CHG_PCT_5D</stp>
        <stp>30/10/2015</stp>
        <stp>30/10/2015</stp>
        <stp>[Bbg_Market_Data_CL.xlsm]data!R359C4</stp>
        <tr r="D359" s="1"/>
      </tp>
      <tp t="s">
        <v>#N/A Requesting Data...</v>
        <stp/>
        <stp>##V3_BDHV12</stp>
        <stp>SPGSCLP Index</stp>
        <stp>CHG_PCT_1D</stp>
        <stp>30/10/2015</stp>
        <stp>30/10/2015</stp>
        <stp>[Bbg_Market_Data_CL.xlsm]data!R359C3</stp>
        <tr r="C359" s="1"/>
      </tp>
      <tp t="s">
        <v>#N/A Requesting Data...</v>
        <stp/>
        <stp>##V3_BDHV12</stp>
        <stp>CL1 Comdty</stp>
        <stp>30DAY_IMPVOL_95.0%MNY_DF</stp>
        <stp>31/08/2015</stp>
        <stp>31/08/2015</stp>
        <stp>[Bbg_Market_Data_CL.xlsm]data!R400C21</stp>
        <tr r="U400" s="1"/>
      </tp>
      <tp t="s">
        <v>#N/A Requesting Data...</v>
        <stp/>
        <stp>##V3_BDHV12</stp>
        <stp>CL1 Comdty</stp>
        <stp>30DAY_IMPVOL_90.0%MNY_DF</stp>
        <stp>22/09/2016</stp>
        <stp>22/09/2016</stp>
        <stp>[Bbg_Market_Data_CL.xlsm]data!R136C23</stp>
        <tr r="W136" s="1"/>
      </tp>
      <tp t="s">
        <v>#N/A Requesting Data...</v>
        <stp/>
        <stp>##V3_BDHV12</stp>
        <stp>CL1 Comdty</stp>
        <stp>30DAY_IMPVOL_90.0%MNY_DF</stp>
        <stp>03/09/2015</stp>
        <stp>03/09/2015</stp>
        <stp>[Bbg_Market_Data_CL.xlsm]data!R397C23</stp>
        <tr r="W397" s="1"/>
      </tp>
      <tp t="s">
        <v>#N/A Requesting Data...</v>
        <stp/>
        <stp>##V3_BDHV12</stp>
        <stp>SPGSCLP Index</stp>
        <stp>CHG_PCT_5D</stp>
        <stp>02/03/2016</stp>
        <stp>02/03/2016</stp>
        <stp>[Bbg_Market_Data_CL.xlsm]data!R278C4</stp>
        <tr r="D278" s="1"/>
      </tp>
      <tp t="s">
        <v>#N/A Requesting Data...</v>
        <stp/>
        <stp>##V3_BDHV12</stp>
        <stp>SPGSCLP Index</stp>
        <stp>CHG_PCT_1D</stp>
        <stp>02/03/2016</stp>
        <stp>02/03/2016</stp>
        <stp>[Bbg_Market_Data_CL.xlsm]data!R278C3</stp>
        <tr r="C278" s="1"/>
      </tp>
      <tp t="s">
        <v>#N/A Requesting Data...</v>
        <stp/>
        <stp>##V3_BDHV12</stp>
        <stp>CL1 Comdty</stp>
        <stp>30DAY_IMPVOL_90.0%MNY_DF</stp>
        <stp>30/09/2015</stp>
        <stp>30/09/2015</stp>
        <stp>[Bbg_Market_Data_CL.xlsm]data!R379C23</stp>
        <tr r="W379" s="1"/>
      </tp>
      <tp t="s">
        <v>#N/A Requesting Data...</v>
        <stp/>
        <stp>##V3_BDHV12</stp>
        <stp>CL1 Comdty</stp>
        <stp>30DAY_IMPVOL_90.0%MNY_DF</stp>
        <stp>01/08/2016</stp>
        <stp>01/08/2016</stp>
        <stp>[Bbg_Market_Data_CL.xlsm]data!R172C23</stp>
        <tr r="W172" s="1"/>
      </tp>
      <tp t="s">
        <v>#N/A Requesting Data...</v>
        <stp/>
        <stp>##V3_BDHV12</stp>
        <stp>SPGSCLP Index</stp>
        <stp>CHG_PCT_5D</stp>
        <stp>20/10/2016</stp>
        <stp>20/10/2016</stp>
        <stp>[Bbg_Market_Data_CL.xlsm]data!R118C4</stp>
        <tr r="D118" s="1"/>
      </tp>
      <tp t="s">
        <v>#N/A Requesting Data...</v>
        <stp/>
        <stp>##V3_BDHV12</stp>
        <stp>SPGSCLP Index</stp>
        <stp>CHG_PCT_1D</stp>
        <stp>20/10/2016</stp>
        <stp>20/10/2016</stp>
        <stp>[Bbg_Market_Data_CL.xlsm]data!R118C3</stp>
        <tr r="C118" s="1"/>
      </tp>
      <tp t="s">
        <v>#N/A Requesting Data...</v>
        <stp/>
        <stp>##V3_BDHV12</stp>
        <stp>CL1 Comdty</stp>
        <stp>30DAY_IMPVOL_90.0%MNY_DF</stp>
        <stp>10/08/2016</stp>
        <stp>10/08/2016</stp>
        <stp>[Bbg_Market_Data_CL.xlsm]data!R166C23</stp>
        <tr r="W166" s="1"/>
      </tp>
      <tp t="s">
        <v>#N/A Requesting Data...</v>
        <stp/>
        <stp>##V3_BDHV12</stp>
        <stp>CL1 Comdty</stp>
        <stp>30DAY_IMPVOL_95.0%MNY_DF</stp>
        <stp>13/08/2015</stp>
        <stp>13/08/2015</stp>
        <stp>[Bbg_Market_Data_CL.xlsm]data!R412C21</stp>
        <tr r="U412" s="1"/>
      </tp>
      <tp t="s">
        <v>#N/A Requesting Data...</v>
        <stp/>
        <stp>##V3_BDHV12</stp>
        <stp>CL1 Comdty</stp>
        <stp>30DAY_IMPVOL_90.0%MNY_DF</stp>
        <stp>21/09/2015</stp>
        <stp>21/09/2015</stp>
        <stp>[Bbg_Market_Data_CL.xlsm]data!R386C23</stp>
        <tr r="W386" s="1"/>
      </tp>
      <tp t="s">
        <v>#N/A Requesting Data...</v>
        <stp/>
        <stp>##V3_BDHV12</stp>
        <stp>SPGSCLP Index</stp>
        <stp>CHG_PCT_1D</stp>
        <stp>02/12/2015</stp>
        <stp>02/12/2015</stp>
        <stp>[Bbg_Market_Data_CL.xlsm]data!R338C3</stp>
        <tr r="C338" s="1"/>
      </tp>
      <tp t="s">
        <v>#N/A Requesting Data...</v>
        <stp/>
        <stp>##V3_BDHV12</stp>
        <stp>SPGSCLP Index</stp>
        <stp>CHG_PCT_5D</stp>
        <stp>02/12/2015</stp>
        <stp>02/12/2015</stp>
        <stp>[Bbg_Market_Data_CL.xlsm]data!R338C4</stp>
        <tr r="D338" s="1"/>
      </tp>
      <tp t="s">
        <v>#N/A Requesting Data...</v>
        <stp/>
        <stp>##V3_BDHV12</stp>
        <stp>CL1 Comdty</stp>
        <stp>30DAY_IMPVOL_90.0%MNY_DF</stp>
        <stp>31/08/2015</stp>
        <stp>31/08/2015</stp>
        <stp>[Bbg_Market_Data_CL.xlsm]data!R400C23</stp>
        <tr r="W400" s="1"/>
      </tp>
      <tp t="s">
        <v>#N/A Requesting Data...</v>
        <stp/>
        <stp>##V3_BDHV12</stp>
        <stp>CL1 Comdty</stp>
        <stp>30DAY_IMPVOL_95.0%MNY_DF</stp>
        <stp>22/09/2016</stp>
        <stp>22/09/2016</stp>
        <stp>[Bbg_Market_Data_CL.xlsm]data!R136C21</stp>
        <tr r="U136" s="1"/>
      </tp>
      <tp t="s">
        <v>#N/A Requesting Data...</v>
        <stp/>
        <stp>##V3_BDHV12</stp>
        <stp>CL1 Comdty</stp>
        <stp>30DAY_IMPVOL_95.0%MNY_DF</stp>
        <stp>03/09/2015</stp>
        <stp>03/09/2015</stp>
        <stp>[Bbg_Market_Data_CL.xlsm]data!R397C21</stp>
        <tr r="U397" s="1"/>
      </tp>
      <tp t="s">
        <v>#N/A Requesting Data...</v>
        <stp/>
        <stp>##V3_BDHV12</stp>
        <stp>SPGSCLP Index</stp>
        <stp>CHG_PCT_5D</stp>
        <stp>17/02/2016</stp>
        <stp>17/02/2016</stp>
        <stp>[Bbg_Market_Data_CL.xlsm]data!R288C4</stp>
        <tr r="D288" s="1"/>
      </tp>
      <tp t="s">
        <v>#N/A Requesting Data...</v>
        <stp/>
        <stp>##V3_BDHV12</stp>
        <stp>SPGSCLP Index</stp>
        <stp>CHG_PCT_1D</stp>
        <stp>17/02/2016</stp>
        <stp>17/02/2016</stp>
        <stp>[Bbg_Market_Data_CL.xlsm]data!R288C3</stp>
        <tr r="C288" s="1"/>
      </tp>
      <tp t="s">
        <v>#N/A Requesting Data...</v>
        <stp/>
        <stp>##V3_BDHV12</stp>
        <stp>CL1 Comdty</stp>
        <stp>30DAY_IMPVOL_95.0%MNY_DF</stp>
        <stp>23/08/2016</stp>
        <stp>23/08/2016</stp>
        <stp>[Bbg_Market_Data_CL.xlsm]data!R157C21</stp>
        <tr r="U157" s="1"/>
      </tp>
      <tp t="s">
        <v>#N/A Requesting Data...</v>
        <stp/>
        <stp>##V3_BDHV12</stp>
        <stp>CL1 Comdty</stp>
        <stp>30DAY_IMPVOL_90.0%MNY_DF</stp>
        <stp>20/08/2015</stp>
        <stp>20/08/2015</stp>
        <stp>[Bbg_Market_Data_CL.xlsm]data!R407C23</stp>
        <tr r="W407" s="1"/>
      </tp>
      <tp t="s">
        <v>#N/A Requesting Data...</v>
        <stp/>
        <stp>##V3_BDHV12</stp>
        <stp>SPGSCLP Index</stp>
        <stp>CHG_PCT_5D</stp>
        <stp>15/12/2015</stp>
        <stp>15/12/2015</stp>
        <stp>[Bbg_Market_Data_CL.xlsm]data!R329C4</stp>
        <tr r="D329" s="1"/>
      </tp>
      <tp t="s">
        <v>#N/A Requesting Data...</v>
        <stp/>
        <stp>##V3_BDHV12</stp>
        <stp>SPGSCLP Index</stp>
        <stp>CHG_PCT_1D</stp>
        <stp>15/12/2015</stp>
        <stp>15/12/2015</stp>
        <stp>[Bbg_Market_Data_CL.xlsm]data!R329C3</stp>
        <tr r="C329" s="1"/>
      </tp>
      <tp t="s">
        <v>#N/A Requesting Data...</v>
        <stp/>
        <stp>##V3_BDHV12</stp>
        <stp>CL1 Comdty</stp>
        <stp>30DAY_IMPVOL_95.0%MNY_DF</stp>
        <stp>10/08/2016</stp>
        <stp>10/08/2016</stp>
        <stp>[Bbg_Market_Data_CL.xlsm]data!R166C21</stp>
        <tr r="U166" s="1"/>
      </tp>
      <tp t="s">
        <v>#N/A Requesting Data...</v>
        <stp/>
        <stp>##V3_BDHV12</stp>
        <stp>CL1 Comdty</stp>
        <stp>30DAY_IMPVOL_90.0%MNY_DF</stp>
        <stp>13/08/2015</stp>
        <stp>13/08/2015</stp>
        <stp>[Bbg_Market_Data_CL.xlsm]data!R412C23</stp>
        <tr r="W412" s="1"/>
      </tp>
      <tp t="s">
        <v>#N/A Requesting Data...</v>
        <stp/>
        <stp>##V3_BDHV12</stp>
        <stp>CL1 Comdty</stp>
        <stp>30DAY_IMPVOL_95.0%MNY_DF</stp>
        <stp>21/09/2015</stp>
        <stp>21/09/2015</stp>
        <stp>[Bbg_Market_Data_CL.xlsm]data!R386C21</stp>
        <tr r="U386" s="1"/>
      </tp>
      <tp t="s">
        <v>#N/A Requesting Data...</v>
        <stp/>
        <stp>##V3_BDHV12</stp>
        <stp>CL1 Comdty</stp>
        <stp>30DAY_IMPVOL_95.0%MNY_DF</stp>
        <stp>30/09/2015</stp>
        <stp>30/09/2015</stp>
        <stp>[Bbg_Market_Data_CL.xlsm]data!R379C21</stp>
        <tr r="U379" s="1"/>
      </tp>
      <tp t="s">
        <v>#N/A Requesting Data...</v>
        <stp/>
        <stp>##V3_BDHV12</stp>
        <stp>CL1 Comdty</stp>
        <stp>30DAY_IMPVOL_95.0%MNY_DF</stp>
        <stp>01/08/2016</stp>
        <stp>01/08/2016</stp>
        <stp>[Bbg_Market_Data_CL.xlsm]data!R172C21</stp>
        <tr r="U172" s="1"/>
      </tp>
      <tp t="s">
        <v>#N/A Requesting Data...</v>
        <stp/>
        <stp>##V3_BDHV12</stp>
        <stp>SPGSCLP Index</stp>
        <stp>CHG_PCT_1D</stp>
        <stp>15/03/2016</stp>
        <stp>15/03/2016</stp>
        <stp>[Bbg_Market_Data_CL.xlsm]data!R269C3</stp>
        <tr r="C269" s="1"/>
      </tp>
      <tp t="s">
        <v>#N/A Requesting Data...</v>
        <stp/>
        <stp>##V3_BDHV12</stp>
        <stp>SPGSCLP Index</stp>
        <stp>CHG_PCT_5D</stp>
        <stp>15/03/2016</stp>
        <stp>15/03/2016</stp>
        <stp>[Bbg_Market_Data_CL.xlsm]data!R269C4</stp>
        <tr r="D269" s="1"/>
      </tp>
      <tp t="s">
        <v>#N/A Requesting Data...</v>
        <stp/>
        <stp>##V3_BDHV12</stp>
        <stp>CL1 Comdty</stp>
        <stp>30DAY_IMPVOL_90.0%MNY_DF</stp>
        <stp>28/03/2016</stp>
        <stp>28/03/2016</stp>
        <stp>[Bbg_Market_Data_CL.xlsm]data!R260C23</stp>
        <tr r="W260" s="1"/>
      </tp>
      <tp t="s">
        <v>#N/A Requesting Data...</v>
        <stp/>
        <stp>##V3_BDHV12</stp>
        <stp>CL1 Comdty</stp>
        <stp>30DAY_IMPVOL_90.0%MNY_DF</stp>
        <stp>19/01/2016</stp>
        <stp>19/01/2016</stp>
        <stp>[Bbg_Market_Data_CL.xlsm]data!R306C23</stp>
        <tr r="W306" s="1"/>
      </tp>
      <tp t="s">
        <v>#N/A Requesting Data...</v>
        <stp/>
        <stp>##V3_BDHV12</stp>
        <stp>CL1 Comdty</stp>
        <stp>30DAY_IMPVOL_90.0%MNY_DF</stp>
        <stp>29/02/2016</stp>
        <stp>29/02/2016</stp>
        <stp>[Bbg_Market_Data_CL.xlsm]data!R279C23</stp>
        <tr r="W279" s="1"/>
      </tp>
      <tp t="s">
        <v>#N/A Requesting Data...</v>
        <stp/>
        <stp>##V3_BDHV12</stp>
        <stp>CL1 Comdty</stp>
        <stp>30DAY_IMPVOL_90.0%MNY_DF</stp>
        <stp>08/01/2016</stp>
        <stp>08/01/2016</stp>
        <stp>[Bbg_Market_Data_CL.xlsm]data!R312C23</stp>
        <tr r="W312" s="1"/>
      </tp>
      <tp t="s">
        <v>#N/A Requesting Data...</v>
        <stp/>
        <stp>##V3_BDHV12</stp>
        <stp>SPGSCLP Index</stp>
        <stp>CHG_PCT_5D</stp>
        <stp>01/08/2016</stp>
        <stp>01/08/2016</stp>
        <stp>[Bbg_Market_Data_CL.xlsm]data!R173C4</stp>
        <tr r="D173" s="1"/>
      </tp>
      <tp t="s">
        <v>#N/A Requesting Data...</v>
        <stp/>
        <stp>##V3_BDHV12</stp>
        <stp>SPGSCLP Index</stp>
        <stp>CHG_PCT_1D</stp>
        <stp>01/08/2016</stp>
        <stp>01/08/2016</stp>
        <stp>[Bbg_Market_Data_CL.xlsm]data!R173C3</stp>
        <tr r="C173" s="1"/>
      </tp>
      <tp t="s">
        <v>#N/A Requesting Data...</v>
        <stp/>
        <stp>##V3_BDHV12</stp>
        <stp>CL1 Comdty</stp>
        <stp>30DAY_IMPVOL_90.0%MNY_DF</stp>
        <stp>28/10/2015</stp>
        <stp>28/10/2015</stp>
        <stp>[Bbg_Market_Data_CL.xlsm]data!R360C23</stp>
        <tr r="W360" s="1"/>
      </tp>
      <tp t="s">
        <v>#N/A Requesting Data...</v>
        <stp/>
        <stp>##V3_BDHV12</stp>
        <stp>CL1 Comdty</stp>
        <stp>30DAY_IMPVOL_90.0%MNY_DF</stp>
        <stp>08/12/2015</stp>
        <stp>08/12/2015</stp>
        <stp>[Bbg_Market_Data_CL.xlsm]data!R333C23</stp>
        <tr r="W333" s="1"/>
      </tp>
      <tp t="s">
        <v>#N/A Requesting Data...</v>
        <stp/>
        <stp>##V3_BDHV12</stp>
        <stp>SPGSCLP Index</stp>
        <stp>CHG_PCT_5D</stp>
        <stp>11/09/2015</stp>
        <stp>11/09/2015</stp>
        <stp>[Bbg_Market_Data_CL.xlsm]data!R393C4</stp>
        <tr r="D393" s="1"/>
      </tp>
      <tp t="s">
        <v>#N/A Requesting Data...</v>
        <stp/>
        <stp>##V3_BDHV12</stp>
        <stp>SPGSCLP Index</stp>
        <stp>CHG_PCT_5D</stp>
        <stp>30/09/2016</stp>
        <stp>30/09/2016</stp>
        <stp>[Bbg_Market_Data_CL.xlsm]data!R131C4</stp>
        <tr r="D131" s="1"/>
      </tp>
      <tp t="s">
        <v>#N/A Requesting Data...</v>
        <stp/>
        <stp>##V3_BDHV12</stp>
        <stp>SPGSCLP Index</stp>
        <stp>CHG_PCT_1D</stp>
        <stp>11/09/2015</stp>
        <stp>11/09/2015</stp>
        <stp>[Bbg_Market_Data_CL.xlsm]data!R393C3</stp>
        <tr r="C393" s="1"/>
      </tp>
      <tp t="s">
        <v>#N/A Requesting Data...</v>
        <stp/>
        <stp>##V3_BDHV12</stp>
        <stp>SPGSCLP Index</stp>
        <stp>CHG_PCT_1D</stp>
        <stp>30/09/2016</stp>
        <stp>30/09/2016</stp>
        <stp>[Bbg_Market_Data_CL.xlsm]data!R131C3</stp>
        <tr r="C131" s="1"/>
      </tp>
      <tp t="s">
        <v>#N/A Requesting Data...</v>
        <stp/>
        <stp>##V3_BDHV12</stp>
        <stp>CL1 Comdty</stp>
        <stp>30DAY_IMPVOL_90.0%MNY_DF</stp>
        <stp>18/10/2016</stp>
        <stp>18/10/2016</stp>
        <stp>[Bbg_Market_Data_CL.xlsm]data!R119C23</stp>
        <tr r="W119" s="1"/>
      </tp>
      <tp t="s">
        <v>#N/A Requesting Data...</v>
        <stp/>
        <stp>##V3_BDHV12</stp>
        <stp>CL1 Comdty</stp>
        <stp>30DAY_IMPVOL_90.0%MNY_DF</stp>
        <stp>08/11/2016</stp>
        <stp>08/11/2016</stp>
        <stp>[Bbg_Market_Data_CL.xlsm]data!R104C23</stp>
        <tr r="W104" s="1"/>
      </tp>
      <tp t="s">
        <v>#N/A Requesting Data...</v>
        <stp/>
        <stp>##V3_BDHV12</stp>
        <stp>CL1 Comdty</stp>
        <stp>30DAY_IMPVOL_95.0%MNY_DF</stp>
        <stp>29/02/2016</stp>
        <stp>29/02/2016</stp>
        <stp>[Bbg_Market_Data_CL.xlsm]data!R279C21</stp>
        <tr r="U279" s="1"/>
      </tp>
      <tp t="s">
        <v>#N/A Requesting Data...</v>
        <stp/>
        <stp>##V3_BDHV12</stp>
        <stp>CL1 Comdty</stp>
        <stp>30DAY_IMPVOL_95.0%MNY_DF</stp>
        <stp>08/01/2016</stp>
        <stp>08/01/2016</stp>
        <stp>[Bbg_Market_Data_CL.xlsm]data!R312C21</stp>
        <tr r="U312" s="1"/>
      </tp>
      <tp t="s">
        <v>#N/A Requesting Data...</v>
        <stp/>
        <stp>##V3_BDHV12</stp>
        <stp>SPGSCLP Index</stp>
        <stp>CHG_PCT_5D</stp>
        <stp>14/09/2016</stp>
        <stp>14/09/2016</stp>
        <stp>[Bbg_Market_Data_CL.xlsm]data!R143C4</stp>
        <tr r="D143" s="1"/>
      </tp>
      <tp t="s">
        <v>#N/A Requesting Data...</v>
        <stp/>
        <stp>##V3_BDHV12</stp>
        <stp>SPGSCLP Index</stp>
        <stp>CHG_PCT_1D</stp>
        <stp>14/09/2016</stp>
        <stp>14/09/2016</stp>
        <stp>[Bbg_Market_Data_CL.xlsm]data!R143C3</stp>
        <tr r="C143" s="1"/>
      </tp>
      <tp t="s">
        <v>#N/A Requesting Data...</v>
        <stp/>
        <stp>##V3_BDHV12</stp>
        <stp>CL1 Comdty</stp>
        <stp>30DAY_IMPVOL_95.0%MNY_DF</stp>
        <stp>28/03/2016</stp>
        <stp>28/03/2016</stp>
        <stp>[Bbg_Market_Data_CL.xlsm]data!R260C21</stp>
        <tr r="U260" s="1"/>
      </tp>
      <tp t="s">
        <v>#N/A Requesting Data...</v>
        <stp/>
        <stp>##V3_BDHV12</stp>
        <stp>CL1 Comdty</stp>
        <stp>30DAY_IMPVOL_95.0%MNY_DF</stp>
        <stp>19/01/2016</stp>
        <stp>19/01/2016</stp>
        <stp>[Bbg_Market_Data_CL.xlsm]data!R306C21</stp>
        <tr r="U306" s="1"/>
      </tp>
      <tp t="s">
        <v>#N/A Requesting Data...</v>
        <stp/>
        <stp>##V3_BDHV12</stp>
        <stp>CL1 Comdty</stp>
        <stp>30DAY_IMPVOL_95.0%MNY_DF</stp>
        <stp>18/10/2016</stp>
        <stp>18/10/2016</stp>
        <stp>[Bbg_Market_Data_CL.xlsm]data!R119C21</stp>
        <tr r="U119" s="1"/>
      </tp>
      <tp t="s">
        <v>#N/A Requesting Data...</v>
        <stp/>
        <stp>##V3_BDHV12</stp>
        <stp>CL1 Comdty</stp>
        <stp>30DAY_IMPVOL_95.0%MNY_DF</stp>
        <stp>08/11/2016</stp>
        <stp>08/11/2016</stp>
        <stp>[Bbg_Market_Data_CL.xlsm]data!R104C21</stp>
        <tr r="U104" s="1"/>
      </tp>
      <tp t="s">
        <v>#N/A Requesting Data...</v>
        <stp/>
        <stp>##V3_BDHV12</stp>
        <stp>SPGSCLP Index</stp>
        <stp>CHG_PCT_1D</stp>
        <stp>17/08/2016</stp>
        <stp>17/08/2016</stp>
        <stp>[Bbg_Market_Data_CL.xlsm]data!R162C3</stp>
        <tr r="C162" s="1"/>
      </tp>
      <tp t="s">
        <v>#N/A Requesting Data...</v>
        <stp/>
        <stp>##V3_BDHV12</stp>
        <stp>SPGSCLP Index</stp>
        <stp>CHG_PCT_5D</stp>
        <stp>17/08/2016</stp>
        <stp>17/08/2016</stp>
        <stp>[Bbg_Market_Data_CL.xlsm]data!R162C4</stp>
        <tr r="D162" s="1"/>
      </tp>
      <tp t="s">
        <v>#N/A Requesting Data...</v>
        <stp/>
        <stp>##V3_BDHV12</stp>
        <stp>SPGSCLP Index</stp>
        <stp>CHG_PCT_1D</stp>
        <stp>14/08/2015</stp>
        <stp>14/08/2015</stp>
        <stp>[Bbg_Market_Data_CL.xlsm]data!R412C3</stp>
        <tr r="C412" s="1"/>
      </tp>
      <tp t="s">
        <v>#N/A Requesting Data...</v>
        <stp/>
        <stp>##V3_BDHV12</stp>
        <stp>SPGSCLP Index</stp>
        <stp>CHG_PCT_5D</stp>
        <stp>14/08/2015</stp>
        <stp>14/08/2015</stp>
        <stp>[Bbg_Market_Data_CL.xlsm]data!R412C4</stp>
        <tr r="D412" s="1"/>
      </tp>
      <tp t="s">
        <v>#N/A Requesting Data...</v>
        <stp/>
        <stp>##V3_BDHV12</stp>
        <stp>CL1 Comdty</stp>
        <stp>30DAY_IMPVOL_95.0%MNY_DF</stp>
        <stp>28/10/2015</stp>
        <stp>28/10/2015</stp>
        <stp>[Bbg_Market_Data_CL.xlsm]data!R360C21</stp>
        <tr r="U360" s="1"/>
      </tp>
      <tp t="s">
        <v>#N/A Requesting Data...</v>
        <stp/>
        <stp>##V3_BDHV12</stp>
        <stp>CL1 Comdty</stp>
        <stp>30DAY_IMPVOL_95.0%MNY_DF</stp>
        <stp>08/12/2015</stp>
        <stp>08/12/2015</stp>
        <stp>[Bbg_Market_Data_CL.xlsm]data!R333C21</stp>
        <tr r="U333" s="1"/>
      </tp>
      <tp t="s">
        <v>#N/A Requesting Data...</v>
        <stp/>
        <stp>##V3_BDHV12</stp>
        <stp>CL1 Comdty</stp>
        <stp>RSI_30D</stp>
        <stp>03/03/2017</stp>
        <stp>03/03/2017</stp>
        <stp>[Bbg_Market_Data_CL.xlsm]data!R28C14</stp>
        <tr r="N28" s="1"/>
      </tp>
      <tp t="s">
        <v>#N/A Requesting Data...</v>
        <stp/>
        <stp>##V3_BDHV12</stp>
        <stp>CL1 Comdty</stp>
        <stp>RSI_14D</stp>
        <stp>01/03/2017</stp>
        <stp>01/03/2017</stp>
        <stp>[Bbg_Market_Data_CL.xlsm]data!R30C13</stp>
        <tr r="M30" s="1"/>
      </tp>
      <tp t="s">
        <v>#N/A Requesting Data...</v>
        <stp/>
        <stp>##V3_BDHV12</stp>
        <stp>CL2 Comdty</stp>
        <stp>RSI_14D</stp>
        <stp>22/02/2017</stp>
        <stp>22/02/2017</stp>
        <stp>[Bbg_Market_Data_CL.xlsm]data!R35C13</stp>
        <tr r="M35" s="1"/>
      </tp>
      <tp t="s">
        <v>#N/A Requesting Data...</v>
        <stp/>
        <stp>##V3_BDHV12</stp>
        <stp>CL2 Comdty</stp>
        <stp>RSI_30D</stp>
        <stp>10/01/2017</stp>
        <stp>10/01/2017</stp>
        <stp>[Bbg_Market_Data_CL.xlsm]data!R64C14</stp>
        <tr r="N64" s="1"/>
      </tp>
      <tp t="s">
        <v>#N/A Requesting Data...</v>
        <stp/>
        <stp>##V3_BDHV12</stp>
        <stp>CL1 Comdty</stp>
        <stp>RSI_30D</stp>
        <stp>23/01/2017</stp>
        <stp>23/01/2017</stp>
        <stp>[Bbg_Market_Data_CL.xlsm]data!R56C14</stp>
        <tr r="N56" s="1"/>
      </tp>
      <tp t="s">
        <v>#N/A Requesting Data...</v>
        <stp/>
        <stp>##V3_BDHV12</stp>
        <stp>CL2 Comdty</stp>
        <stp>RSI_30D</stp>
        <stp>30/12/2016</stp>
        <stp>30/12/2016</stp>
        <stp>[Bbg_Market_Data_CL.xlsm]data!R70C14</stp>
        <tr r="N70" s="1"/>
      </tp>
      <tp t="s">
        <v>#N/A Requesting Data...</v>
        <stp/>
        <stp>##V3_BDHV12</stp>
        <stp>CL1 Comdty</stp>
        <stp>RSI_30D</stp>
        <stp>13/02/2017</stp>
        <stp>13/02/2017</stp>
        <stp>[Bbg_Market_Data_CL.xlsm]data!R41C14</stp>
        <tr r="N41" s="1"/>
      </tp>
      <tp t="s">
        <v>#N/A Requesting Data...</v>
        <stp/>
        <stp>##V3_BDHV12</stp>
        <stp>CL2 Comdty</stp>
        <stp>RSI_14D</stp>
        <stp>12/01/2017</stp>
        <stp>12/01/2017</stp>
        <stp>[Bbg_Market_Data_CL.xlsm]data!R62C13</stp>
        <tr r="M62" s="1"/>
      </tp>
      <tp t="s">
        <v>#N/A Requesting Data...</v>
        <stp/>
        <stp>##V3_BDHV12</stp>
        <stp>CL1 Comdty</stp>
        <stp>RSI_14D</stp>
        <stp>01/12/2016</stp>
        <stp>01/12/2016</stp>
        <stp>[Bbg_Market_Data_CL.xlsm]data!R90C13</stp>
        <tr r="M90" s="1"/>
      </tp>
      <tp t="s">
        <v>#N/A Requesting Data...</v>
        <stp/>
        <stp>##V3_BDHV12</stp>
        <stp>CL1 Comdty</stp>
        <stp>RSI_30D</stp>
        <stp>02/03/2017</stp>
        <stp>02/03/2017</stp>
        <stp>[Bbg_Market_Data_CL.xlsm]data!R29C14</stp>
        <tr r="N29" s="1"/>
      </tp>
      <tp t="s">
        <v>#N/A Requesting Data...</v>
        <stp/>
        <stp>##V3_BDHV12</stp>
        <stp>CL2 Comdty</stp>
        <stp>RSI_30D</stp>
        <stp>21/02/2017</stp>
        <stp>21/02/2017</stp>
        <stp>[Bbg_Market_Data_CL.xlsm]data!R36C14</stp>
        <tr r="N36" s="1"/>
      </tp>
      <tp t="s">
        <v>#N/A Requesting Data...</v>
        <stp/>
        <stp>##V3_BDHV12</stp>
        <stp>CL2 Comdty</stp>
        <stp>RSI_14D</stp>
        <stp>23/02/2017</stp>
        <stp>23/02/2017</stp>
        <stp>[Bbg_Market_Data_CL.xlsm]data!R34C13</stp>
        <tr r="M34" s="1"/>
      </tp>
      <tp t="s">
        <v>#N/A Requesting Data...</v>
        <stp/>
        <stp>##V3_BDHV12</stp>
        <stp>CL1 Comdty</stp>
        <stp>RSI_14D</stp>
        <stp>20/01/2017</stp>
        <stp>20/01/2017</stp>
        <stp>[Bbg_Market_Data_CL.xlsm]data!R57C13</stp>
        <tr r="M57" s="1"/>
      </tp>
      <tp t="s">
        <v>#N/A Requesting Data...</v>
        <stp/>
        <stp>##V3_BDHV12</stp>
        <stp>CL2 Comdty</stp>
        <stp>RSI_14D</stp>
        <stp>13/01/2017</stp>
        <stp>13/01/2017</stp>
        <stp>[Bbg_Market_Data_CL.xlsm]data!R61C13</stp>
        <tr r="M61" s="1"/>
      </tp>
      <tp t="s">
        <v>#N/A Requesting Data...</v>
        <stp/>
        <stp>##V3_BDHV12</stp>
        <stp>CL1 Comdty</stp>
        <stp>RSI_14D</stp>
        <stp>10/02/2017</stp>
        <stp>10/02/2017</stp>
        <stp>[Bbg_Market_Data_CL.xlsm]data!R42C13</stp>
        <tr r="M42" s="1"/>
      </tp>
      <tp t="s">
        <v>#N/A Requesting Data...</v>
        <stp/>
        <stp>##V3_BDHV12</stp>
        <stp>CL2 Comdty</stp>
        <stp>RSI_30D</stp>
        <stp>11/01/2017</stp>
        <stp>11/01/2017</stp>
        <stp>[Bbg_Market_Data_CL.xlsm]data!R63C14</stp>
        <tr r="N63" s="1"/>
      </tp>
      <tp t="s">
        <v>#N/A Requesting Data...</v>
        <stp/>
        <stp>##V3_BDHV12</stp>
        <stp>CL1 Comdty</stp>
        <stp>RSI_30D</stp>
        <stp>02/12/2016</stp>
        <stp>02/12/2016</stp>
        <stp>[Bbg_Market_Data_CL.xlsm]data!R89C14</stp>
        <tr r="N89" s="1"/>
      </tp>
      <tp t="s">
        <v>#N/A Requesting Data...</v>
        <stp/>
        <stp>##V3_BDHV12</stp>
        <stp>CL1 Comdty</stp>
        <stp>RSI_14D</stp>
        <stp>30/11/2016</stp>
        <stp>30/11/2016</stp>
        <stp>[Bbg_Market_Data_CL.xlsm]data!R91C13</stp>
        <tr r="M91" s="1"/>
      </tp>
      <tp t="s">
        <v>#N/A Requesting Data...</v>
        <stp/>
        <stp>##V3_BDHV12</stp>
        <stp>CL2 Comdty</stp>
        <stp>RSI_30D</stp>
        <stp>22/02/2017</stp>
        <stp>22/02/2017</stp>
        <stp>[Bbg_Market_Data_CL.xlsm]data!R35C14</stp>
        <tr r="N35" s="1"/>
      </tp>
      <tp t="s">
        <v>#N/A Requesting Data...</v>
        <stp/>
        <stp>##V3_BDHV12</stp>
        <stp>CL1 Comdty</stp>
        <stp>RSI_14D</stp>
        <stp>03/03/2017</stp>
        <stp>03/03/2017</stp>
        <stp>[Bbg_Market_Data_CL.xlsm]data!R28C13</stp>
        <tr r="M28" s="1"/>
      </tp>
      <tp t="s">
        <v>#N/A Requesting Data...</v>
        <stp/>
        <stp>##V3_BDHV12</stp>
        <stp>CL1 Comdty</stp>
        <stp>RSI_30D</stp>
        <stp>01/03/2017</stp>
        <stp>01/03/2017</stp>
        <stp>[Bbg_Market_Data_CL.xlsm]data!R30C14</stp>
        <tr r="N30" s="1"/>
      </tp>
      <tp t="s">
        <v>#N/A Requesting Data...</v>
        <stp/>
        <stp>##V3_BDHV12</stp>
        <stp>CL1 Comdty</stp>
        <stp>RSI_14D</stp>
        <stp>13/02/2017</stp>
        <stp>13/02/2017</stp>
        <stp>[Bbg_Market_Data_CL.xlsm]data!R41C13</stp>
        <tr r="M41" s="1"/>
      </tp>
      <tp t="s">
        <v>#N/A Requesting Data...</v>
        <stp/>
        <stp>##V3_BDHV12</stp>
        <stp>CL2 Comdty</stp>
        <stp>RSI_30D</stp>
        <stp>12/01/2017</stp>
        <stp>12/01/2017</stp>
        <stp>[Bbg_Market_Data_CL.xlsm]data!R62C14</stp>
        <tr r="N62" s="1"/>
      </tp>
      <tp t="s">
        <v>#N/A Requesting Data...</v>
        <stp/>
        <stp>##V3_BDHV12</stp>
        <stp>CL2 Comdty</stp>
        <stp>RSI_14D</stp>
        <stp>10/01/2017</stp>
        <stp>10/01/2017</stp>
        <stp>[Bbg_Market_Data_CL.xlsm]data!R64C13</stp>
        <tr r="M64" s="1"/>
      </tp>
      <tp t="s">
        <v>#N/A Requesting Data...</v>
        <stp/>
        <stp>##V3_BDHV12</stp>
        <stp>CL1 Comdty</stp>
        <stp>RSI_14D</stp>
        <stp>23/01/2017</stp>
        <stp>23/01/2017</stp>
        <stp>[Bbg_Market_Data_CL.xlsm]data!R56C13</stp>
        <tr r="M56" s="1"/>
      </tp>
      <tp t="s">
        <v>#N/A Requesting Data...</v>
        <stp/>
        <stp>##V3_BDHV12</stp>
        <stp>CL2 Comdty</stp>
        <stp>RSI_14D</stp>
        <stp>30/12/2016</stp>
        <stp>30/12/2016</stp>
        <stp>[Bbg_Market_Data_CL.xlsm]data!R70C13</stp>
        <tr r="M70" s="1"/>
      </tp>
      <tp t="s">
        <v>#N/A Requesting Data...</v>
        <stp/>
        <stp>##V3_BDHV12</stp>
        <stp>CL1 Comdty</stp>
        <stp>RSI_30D</stp>
        <stp>01/12/2016</stp>
        <stp>01/12/2016</stp>
        <stp>[Bbg_Market_Data_CL.xlsm]data!R90C14</stp>
        <tr r="N90" s="1"/>
      </tp>
      <tp t="s">
        <v>#N/A Requesting Data...</v>
        <stp/>
        <stp>##V3_BDHV12</stp>
        <stp>CL2 Comdty</stp>
        <stp>RSI_30D</stp>
        <stp>23/02/2017</stp>
        <stp>23/02/2017</stp>
        <stp>[Bbg_Market_Data_CL.xlsm]data!R34C14</stp>
        <tr r="N34" s="1"/>
      </tp>
      <tp t="s">
        <v>#N/A Requesting Data...</v>
        <stp/>
        <stp>##V3_BDHV12</stp>
        <stp>CL2 Comdty</stp>
        <stp>RSI_14D</stp>
        <stp>21/02/2017</stp>
        <stp>21/02/2017</stp>
        <stp>[Bbg_Market_Data_CL.xlsm]data!R36C13</stp>
        <tr r="M36" s="1"/>
      </tp>
      <tp t="s">
        <v>#N/A Requesting Data...</v>
        <stp/>
        <stp>##V3_BDHV12</stp>
        <stp>CL1 Comdty</stp>
        <stp>RSI_14D</stp>
        <stp>02/03/2017</stp>
        <stp>02/03/2017</stp>
        <stp>[Bbg_Market_Data_CL.xlsm]data!R29C13</stp>
        <tr r="M29" s="1"/>
      </tp>
      <tp t="s">
        <v>#N/A Requesting Data...</v>
        <stp/>
        <stp>##V3_BDHV12</stp>
        <stp>CL1 Comdty</stp>
        <stp>RSI_30D</stp>
        <stp>10/02/2017</stp>
        <stp>10/02/2017</stp>
        <stp>[Bbg_Market_Data_CL.xlsm]data!R42C14</stp>
        <tr r="N42" s="1"/>
      </tp>
      <tp t="s">
        <v>#N/A Requesting Data...</v>
        <stp/>
        <stp>##V3_BDHV12</stp>
        <stp>CL2 Comdty</stp>
        <stp>RSI_14D</stp>
        <stp>11/01/2017</stp>
        <stp>11/01/2017</stp>
        <stp>[Bbg_Market_Data_CL.xlsm]data!R63C13</stp>
        <tr r="M63" s="1"/>
      </tp>
      <tp t="s">
        <v>#N/A Requesting Data...</v>
        <stp/>
        <stp>##V3_BDHV12</stp>
        <stp>CL1 Comdty</stp>
        <stp>RSI_30D</stp>
        <stp>20/01/2017</stp>
        <stp>20/01/2017</stp>
        <stp>[Bbg_Market_Data_CL.xlsm]data!R57C14</stp>
        <tr r="N57" s="1"/>
      </tp>
      <tp t="s">
        <v>#N/A Requesting Data...</v>
        <stp/>
        <stp>##V3_BDHV12</stp>
        <stp>CL2 Comdty</stp>
        <stp>RSI_30D</stp>
        <stp>13/01/2017</stp>
        <stp>13/01/2017</stp>
        <stp>[Bbg_Market_Data_CL.xlsm]data!R61C14</stp>
        <tr r="N61" s="1"/>
      </tp>
      <tp t="s">
        <v>#N/A Requesting Data...</v>
        <stp/>
        <stp>##V3_BDHV12</stp>
        <stp>CL1 Comdty</stp>
        <stp>RSI_14D</stp>
        <stp>02/12/2016</stp>
        <stp>02/12/2016</stp>
        <stp>[Bbg_Market_Data_CL.xlsm]data!R89C13</stp>
        <tr r="M89" s="1"/>
      </tp>
      <tp t="s">
        <v>#N/A Requesting Data...</v>
        <stp/>
        <stp>##V3_BDHV12</stp>
        <stp>CL1 Comdty</stp>
        <stp>RSI_30D</stp>
        <stp>30/11/2016</stp>
        <stp>30/11/2016</stp>
        <stp>[Bbg_Market_Data_CL.xlsm]data!R91C14</stp>
        <tr r="N91" s="1"/>
      </tp>
      <tp t="s">
        <v>#N/A Requesting Data...</v>
        <stp/>
        <stp>##V3_BDHV12</stp>
        <stp>CL1 Comdty</stp>
        <stp>RSI_30D</stp>
        <stp>27/01/2017</stp>
        <stp>27/01/2017</stp>
        <stp>[Bbg_Market_Data_CL.xlsm]data!R52C14</stp>
        <tr r="N52" s="1"/>
      </tp>
      <tp t="s">
        <v>#N/A Requesting Data...</v>
        <stp/>
        <stp>##V3_BDHV12</stp>
        <stp>CL1 Comdty</stp>
        <stp>RSI_14D</stp>
        <stp>25/01/2017</stp>
        <stp>25/01/2017</stp>
        <stp>[Bbg_Market_Data_CL.xlsm]data!R54C13</stp>
        <tr r="M54" s="1"/>
      </tp>
      <tp t="s">
        <v>#N/A Requesting Data...</v>
        <stp/>
        <stp>##V3_BDHV12</stp>
        <stp>CL1 Comdty</stp>
        <stp>RSI_30D</stp>
        <stp>17/02/2017</stp>
        <stp>17/02/2017</stp>
        <stp>[Bbg_Market_Data_CL.xlsm]data!R37C14</stp>
        <tr r="N37" s="1"/>
      </tp>
      <tp t="s">
        <v>#N/A Requesting Data...</v>
        <stp/>
        <stp>##V3_BDHV12</stp>
        <stp>CL1 Comdty</stp>
        <stp>RSI_14D</stp>
        <stp>15/02/2017</stp>
        <stp>15/02/2017</stp>
        <stp>[Bbg_Market_Data_CL.xlsm]data!R39C13</stp>
        <tr r="M39" s="1"/>
      </tp>
      <tp t="s">
        <v>#N/A Requesting Data...</v>
        <stp/>
        <stp>##V3_BDHV12</stp>
        <stp>CL1 Comdty</stp>
        <stp>RSI_30D</stp>
        <stp>07/03/2017</stp>
        <stp>07/03/2017</stp>
        <stp>[Bbg_Market_Data_CL.xlsm]data!R26C14</stp>
        <tr r="N26" s="1"/>
      </tp>
      <tp t="s">
        <v>#N/A Requesting Data...</v>
        <stp/>
        <stp>##V3_BDHV12</stp>
        <stp>CL2 Comdty</stp>
        <stp>RSI_30D</stp>
        <stp>24/02/2017</stp>
        <stp>24/02/2017</stp>
        <stp>[Bbg_Market_Data_CL.xlsm]data!R33C14</stp>
        <tr r="N33" s="1"/>
      </tp>
      <tp t="s">
        <v>#N/A Requesting Data...</v>
        <stp/>
        <stp>##V3_BDHV12</stp>
        <stp>CL1 Comdty</stp>
        <stp>RSI_30D</stp>
        <stp>07/12/2016</stp>
        <stp>07/12/2016</stp>
        <stp>[Bbg_Market_Data_CL.xlsm]data!R86C14</stp>
        <tr r="N86" s="1"/>
      </tp>
      <tp t="s">
        <v>#N/A Requesting Data...</v>
        <stp/>
        <stp>##V3_BDHV12</stp>
        <stp>CL1 Comdty</stp>
        <stp>RSI_14D</stp>
        <stp>05/12/2016</stp>
        <stp>05/12/2016</stp>
        <stp>[Bbg_Market_Data_CL.xlsm]data!R88C13</stp>
        <tr r="M88" s="1"/>
      </tp>
      <tp t="s">
        <v>#N/A Requesting Data...</v>
        <stp/>
        <stp>##V3_BDHV12</stp>
        <stp>CL1 Comdty</stp>
        <stp>RSI_14D</stp>
        <stp>24/01/2017</stp>
        <stp>24/01/2017</stp>
        <stp>[Bbg_Market_Data_CL.xlsm]data!R55C13</stp>
        <tr r="M55" s="1"/>
      </tp>
      <tp t="s">
        <v>#N/A Requesting Data...</v>
        <stp/>
        <stp>##V3_BDHV12</stp>
        <stp>CL2 Comdty</stp>
        <stp>RSI_14D</stp>
        <stp>17/01/2017</stp>
        <stp>17/01/2017</stp>
        <stp>[Bbg_Market_Data_CL.xlsm]data!R60C13</stp>
        <tr r="M60" s="1"/>
      </tp>
      <tp t="s">
        <v>#N/A Requesting Data...</v>
        <stp/>
        <stp>##V3_BDHV12</stp>
        <stp>CL1 Comdty</stp>
        <stp>RSI_14D</stp>
        <stp>14/02/2017</stp>
        <stp>14/02/2017</stp>
        <stp>[Bbg_Market_Data_CL.xlsm]data!R40C13</stp>
        <tr r="M40" s="1"/>
      </tp>
      <tp t="s">
        <v>#N/A Requesting Data...</v>
        <stp/>
        <stp>##V3_BDHV12</stp>
        <stp>CL1 Comdty</stp>
        <stp>RSI_30D</stp>
        <stp>26/01/2017</stp>
        <stp>26/01/2017</stp>
        <stp>[Bbg_Market_Data_CL.xlsm]data!R53C14</stp>
        <tr r="N53" s="1"/>
      </tp>
      <tp t="s">
        <v>#N/A Requesting Data...</v>
        <stp/>
        <stp>##V3_BDHV12</stp>
        <stp>CL1 Comdty</stp>
        <stp>RSI_30D</stp>
        <stp>06/03/2017</stp>
        <stp>06/03/2017</stp>
        <stp>[Bbg_Market_Data_CL.xlsm]data!R27C14</stp>
        <tr r="N27" s="1"/>
      </tp>
      <tp t="s">
        <v>#N/A Requesting Data...</v>
        <stp/>
        <stp>##V3_BDHV12</stp>
        <stp>CL1 Comdty</stp>
        <stp>RSI_30D</stp>
        <stp>16/02/2017</stp>
        <stp>16/02/2017</stp>
        <stp>[Bbg_Market_Data_CL.xlsm]data!R38C14</stp>
        <tr r="N38" s="1"/>
      </tp>
      <tp t="s">
        <v>#N/A Requesting Data...</v>
        <stp/>
        <stp>##V3_BDHV12</stp>
        <stp>CL2 Comdty</stp>
        <stp>RSI_14D</stp>
        <stp>27/02/2017</stp>
        <stp>27/02/2017</stp>
        <stp>[Bbg_Market_Data_CL.xlsm]data!R32C13</stp>
        <tr r="M32" s="1"/>
      </tp>
      <tp t="s">
        <v>#N/A Requesting Data...</v>
        <stp/>
        <stp>##V3_BDHV12</stp>
        <stp>CL1 Comdty</stp>
        <stp>RSI_30D</stp>
        <stp>06/12/2016</stp>
        <stp>06/12/2016</stp>
        <stp>[Bbg_Market_Data_CL.xlsm]data!R87C14</stp>
        <tr r="N87" s="1"/>
      </tp>
      <tp t="s">
        <v>#N/A Requesting Data...</v>
        <stp/>
        <stp>##V3_BDHV12</stp>
        <stp>CL1 Comdty</stp>
        <stp>RSI_30D</stp>
        <stp>25/01/2017</stp>
        <stp>25/01/2017</stp>
        <stp>[Bbg_Market_Data_CL.xlsm]data!R54C14</stp>
        <tr r="N54" s="1"/>
      </tp>
      <tp t="s">
        <v>#N/A Requesting Data...</v>
        <stp/>
        <stp>##V3_BDHV12</stp>
        <stp>CL1 Comdty</stp>
        <stp>RSI_14D</stp>
        <stp>27/01/2017</stp>
        <stp>27/01/2017</stp>
        <stp>[Bbg_Market_Data_CL.xlsm]data!R52C13</stp>
        <tr r="M52" s="1"/>
      </tp>
      <tp t="s">
        <v>#N/A Requesting Data...</v>
        <stp/>
        <stp>##V3_BDHV12</stp>
        <stp>CL2 Comdty</stp>
        <stp>RSI_14D</stp>
        <stp>24/02/2017</stp>
        <stp>24/02/2017</stp>
        <stp>[Bbg_Market_Data_CL.xlsm]data!R33C13</stp>
        <tr r="M33" s="1"/>
      </tp>
      <tp t="s">
        <v>#N/A Requesting Data...</v>
        <stp/>
        <stp>##V3_BDHV12</stp>
        <stp>CL1 Comdty</stp>
        <stp>RSI_30D</stp>
        <stp>15/02/2017</stp>
        <stp>15/02/2017</stp>
        <stp>[Bbg_Market_Data_CL.xlsm]data!R39C14</stp>
        <tr r="N39" s="1"/>
      </tp>
      <tp t="s">
        <v>#N/A Requesting Data...</v>
        <stp/>
        <stp>##V3_BDHV12</stp>
        <stp>CL1 Comdty</stp>
        <stp>RSI_14D</stp>
        <stp>07/03/2017</stp>
        <stp>07/03/2017</stp>
        <stp>[Bbg_Market_Data_CL.xlsm]data!R26C13</stp>
        <tr r="M26" s="1"/>
      </tp>
      <tp t="s">
        <v>#N/A Requesting Data...</v>
        <stp/>
        <stp>##V3_BDHV12</stp>
        <stp>CL1 Comdty</stp>
        <stp>RSI_14D</stp>
        <stp>17/02/2017</stp>
        <stp>17/02/2017</stp>
        <stp>[Bbg_Market_Data_CL.xlsm]data!R37C13</stp>
        <tr r="M37" s="1"/>
      </tp>
      <tp t="s">
        <v>#N/A Requesting Data...</v>
        <stp/>
        <stp>##V3_BDHV12</stp>
        <stp>CL1 Comdty</stp>
        <stp>RSI_30D</stp>
        <stp>05/12/2016</stp>
        <stp>05/12/2016</stp>
        <stp>[Bbg_Market_Data_CL.xlsm]data!R88C14</stp>
        <tr r="N88" s="1"/>
      </tp>
      <tp t="s">
        <v>#N/A Requesting Data...</v>
        <stp/>
        <stp>##V3_BDHV12</stp>
        <stp>CL1 Comdty</stp>
        <stp>RSI_14D</stp>
        <stp>07/12/2016</stp>
        <stp>07/12/2016</stp>
        <stp>[Bbg_Market_Data_CL.xlsm]data!R86C13</stp>
        <tr r="M86" s="1"/>
      </tp>
      <tp t="s">
        <v>#N/A Requesting Data...</v>
        <stp/>
        <stp>##V3_BDHV12</stp>
        <stp>CL1 Comdty</stp>
        <stp>RSI_30D</stp>
        <stp>14/02/2017</stp>
        <stp>14/02/2017</stp>
        <stp>[Bbg_Market_Data_CL.xlsm]data!R40C14</stp>
        <tr r="N40" s="1"/>
      </tp>
      <tp t="s">
        <v>#N/A Requesting Data...</v>
        <stp/>
        <stp>##V3_BDHV12</stp>
        <stp>CL1 Comdty</stp>
        <stp>RSI_14D</stp>
        <stp>26/01/2017</stp>
        <stp>26/01/2017</stp>
        <stp>[Bbg_Market_Data_CL.xlsm]data!R53C13</stp>
        <tr r="M53" s="1"/>
      </tp>
      <tp t="s">
        <v>#N/A Requesting Data...</v>
        <stp/>
        <stp>##V3_BDHV12</stp>
        <stp>CL1 Comdty</stp>
        <stp>RSI_30D</stp>
        <stp>24/01/2017</stp>
        <stp>24/01/2017</stp>
        <stp>[Bbg_Market_Data_CL.xlsm]data!R55C14</stp>
        <tr r="N55" s="1"/>
      </tp>
      <tp t="s">
        <v>#N/A Requesting Data...</v>
        <stp/>
        <stp>##V3_BDHV12</stp>
        <stp>CL2 Comdty</stp>
        <stp>RSI_30D</stp>
        <stp>17/01/2017</stp>
        <stp>17/01/2017</stp>
        <stp>[Bbg_Market_Data_CL.xlsm]data!R60C14</stp>
        <tr r="N60" s="1"/>
      </tp>
      <tp t="s">
        <v>#N/A Requesting Data...</v>
        <stp/>
        <stp>##V3_BDHV12</stp>
        <stp>CL2 Comdty</stp>
        <stp>RSI_30D</stp>
        <stp>27/02/2017</stp>
        <stp>27/02/2017</stp>
        <stp>[Bbg_Market_Data_CL.xlsm]data!R32C14</stp>
        <tr r="N32" s="1"/>
      </tp>
      <tp t="s">
        <v>#N/A Requesting Data...</v>
        <stp/>
        <stp>##V3_BDHV12</stp>
        <stp>CL1 Comdty</stp>
        <stp>RSI_14D</stp>
        <stp>16/02/2017</stp>
        <stp>16/02/2017</stp>
        <stp>[Bbg_Market_Data_CL.xlsm]data!R38C13</stp>
        <tr r="M38" s="1"/>
      </tp>
      <tp t="s">
        <v>#N/A Requesting Data...</v>
        <stp/>
        <stp>##V3_BDHV12</stp>
        <stp>CL1 Comdty</stp>
        <stp>RSI_14D</stp>
        <stp>06/03/2017</stp>
        <stp>06/03/2017</stp>
        <stp>[Bbg_Market_Data_CL.xlsm]data!R27C13</stp>
        <tr r="M27" s="1"/>
      </tp>
      <tp t="s">
        <v>#N/A Requesting Data...</v>
        <stp/>
        <stp>##V3_BDHV12</stp>
        <stp>CL1 Comdty</stp>
        <stp>RSI_14D</stp>
        <stp>06/12/2016</stp>
        <stp>06/12/2016</stp>
        <stp>[Bbg_Market_Data_CL.xlsm]data!R87C13</stp>
        <tr r="M87" s="1"/>
      </tp>
      <tp t="s">
        <v>#N/A Requesting Data...</v>
        <stp/>
        <stp>##V3_BDHV12</stp>
        <stp>CL1 Comdty</stp>
        <stp>RSI_14D</stp>
        <stp>09/12/2016</stp>
        <stp>09/12/2016</stp>
        <stp>[Bbg_Market_Data_CL.xlsm]data!R84C13</stp>
        <tr r="M84" s="1"/>
      </tp>
      <tp t="s">
        <v>#N/A Requesting Data...</v>
        <stp/>
        <stp>##V3_BDHV12</stp>
        <stp>CL1 Comdty</stp>
        <stp>RSI_14D</stp>
        <stp>09/03/2017</stp>
        <stp>09/03/2017</stp>
        <stp>[Bbg_Market_Data_CL.xlsm]data!R24C13</stp>
        <tr r="M24" s="1"/>
      </tp>
      <tp t="s">
        <v>#N/A Requesting Data...</v>
        <stp/>
        <stp>##V3_BDHV12</stp>
        <stp>CL2 Comdty</stp>
        <stp>RSI_30D</stp>
        <stp>28/02/2017</stp>
        <stp>28/02/2017</stp>
        <stp>[Bbg_Market_Data_CL.xlsm]data!R31C14</stp>
        <tr r="N31" s="1"/>
      </tp>
      <tp t="s">
        <v>#N/A Requesting Data...</v>
        <stp/>
        <stp>##V3_BDHV12</stp>
        <stp>CL2 Comdty</stp>
        <stp>RSI_30D</stp>
        <stp>18/01/2017</stp>
        <stp>18/01/2017</stp>
        <stp>[Bbg_Market_Data_CL.xlsm]data!R59C14</stp>
        <tr r="N59" s="1"/>
      </tp>
      <tp t="s">
        <v>#N/A Requesting Data...</v>
        <stp/>
        <stp>##V3_BDHV12</stp>
        <stp>CL1 Comdty</stp>
        <stp>RSI_14D</stp>
        <stp>08/12/2016</stp>
        <stp>08/12/2016</stp>
        <stp>[Bbg_Market_Data_CL.xlsm]data!R85C13</stp>
        <tr r="M85" s="1"/>
      </tp>
      <tp t="s">
        <v>#N/A Requesting Data...</v>
        <stp/>
        <stp>##V3_BDHV12</stp>
        <stp>CL1 Comdty</stp>
        <stp>RSI_14D</stp>
        <stp>08/03/2017</stp>
        <stp>08/03/2017</stp>
        <stp>[Bbg_Market_Data_CL.xlsm]data!R25C13</stp>
        <tr r="M25" s="1"/>
      </tp>
      <tp t="s">
        <v>#N/A Requesting Data...</v>
        <stp/>
        <stp>##V3_BDHV12</stp>
        <stp>CL2 Comdty</stp>
        <stp>RSI_30D</stp>
        <stp>19/01/2017</stp>
        <stp>19/01/2017</stp>
        <stp>[Bbg_Market_Data_CL.xlsm]data!R58C14</stp>
        <tr r="N58" s="1"/>
      </tp>
      <tp t="s">
        <v>#N/A Requesting Data...</v>
        <stp/>
        <stp>##V3_BDHV12</stp>
        <stp>CL1 Comdty</stp>
        <stp>RSI_30D</stp>
        <stp>09/12/2016</stp>
        <stp>09/12/2016</stp>
        <stp>[Bbg_Market_Data_CL.xlsm]data!R84C14</stp>
        <tr r="N84" s="1"/>
      </tp>
      <tp t="s">
        <v>#N/A Requesting Data...</v>
        <stp/>
        <stp>##V3_BDHV12</stp>
        <stp>CL2 Comdty</stp>
        <stp>RSI_14D</stp>
        <stp>28/02/2017</stp>
        <stp>28/02/2017</stp>
        <stp>[Bbg_Market_Data_CL.xlsm]data!R31C13</stp>
        <tr r="M31" s="1"/>
      </tp>
      <tp t="s">
        <v>#N/A Requesting Data...</v>
        <stp/>
        <stp>##V3_BDHV12</stp>
        <stp>CL1 Comdty</stp>
        <stp>RSI_30D</stp>
        <stp>09/03/2017</stp>
        <stp>09/03/2017</stp>
        <stp>[Bbg_Market_Data_CL.xlsm]data!R24C14</stp>
        <tr r="N24" s="1"/>
      </tp>
      <tp t="s">
        <v>#N/A Requesting Data...</v>
        <stp/>
        <stp>##V3_BDHV12</stp>
        <stp>CL2 Comdty</stp>
        <stp>RSI_14D</stp>
        <stp>18/01/2017</stp>
        <stp>18/01/2017</stp>
        <stp>[Bbg_Market_Data_CL.xlsm]data!R59C13</stp>
        <tr r="M59" s="1"/>
      </tp>
      <tp t="s">
        <v>#N/A Requesting Data...</v>
        <stp/>
        <stp>##V3_BDHV12</stp>
        <stp>CL1 Comdty</stp>
        <stp>RSI_30D</stp>
        <stp>08/12/2016</stp>
        <stp>08/12/2016</stp>
        <stp>[Bbg_Market_Data_CL.xlsm]data!R85C14</stp>
        <tr r="N85" s="1"/>
      </tp>
      <tp t="s">
        <v>#N/A Requesting Data...</v>
        <stp/>
        <stp>##V3_BDHV12</stp>
        <stp>CL1 Comdty</stp>
        <stp>RSI_30D</stp>
        <stp>08/03/2017</stp>
        <stp>08/03/2017</stp>
        <stp>[Bbg_Market_Data_CL.xlsm]data!R25C14</stp>
        <tr r="N25" s="1"/>
      </tp>
      <tp t="s">
        <v>#N/A Requesting Data...</v>
        <stp/>
        <stp>##V3_BDHV12</stp>
        <stp>CL2 Comdty</stp>
        <stp>RSI_14D</stp>
        <stp>19/01/2017</stp>
        <stp>19/01/2017</stp>
        <stp>[Bbg_Market_Data_CL.xlsm]data!R58C13</stp>
        <tr r="M58" s="1"/>
      </tp>
      <tp t="s">
        <v>#N/A Requesting Data...</v>
        <stp/>
        <stp>##V3_BDHV12</stp>
        <stp>CL1 Comdty</stp>
        <stp>PX_LAST</stp>
        <stp>08/02/2017</stp>
        <stp>08/02/2017</stp>
        <stp>[Bbg_Market_Data_CL.xlsm]data!R44C9</stp>
        <tr r="I44" s="1"/>
      </tp>
      <tp t="s">
        <v>#N/A Requesting Data...</v>
        <stp/>
        <stp>##V3_BDHV12</stp>
        <stp>CL1 Comdty</stp>
        <stp>PX_LAST</stp>
        <stp>23/11/2016</stp>
        <stp>23/11/2016</stp>
        <stp>[Bbg_Market_Data_CL.xlsm]data!R95C9</stp>
        <tr r="I95" s="1"/>
      </tp>
      <tp t="s">
        <v>#N/A Requesting Data...</v>
        <stp/>
        <stp>##V3_BDHV12</stp>
        <stp>CL2 Comdty</stp>
        <stp>PX_LAST</stp>
        <stp>23/03/2017</stp>
        <stp>23/03/2017</stp>
        <stp>[Bbg_Market_Data_CL.xlsm]data!R14C9</stp>
        <tr r="I14" s="1"/>
      </tp>
      <tp t="s">
        <v>#N/A Requesting Data...</v>
        <stp/>
        <stp>##V3_BDHV12</stp>
        <stp>CL2 Comdty</stp>
        <stp>PX_LAST</stp>
        <stp>22/12/2016</stp>
        <stp>22/12/2016</stp>
        <stp>[Bbg_Market_Data_CL.xlsm]data!R75C9</stp>
        <tr r="I75" s="1"/>
      </tp>
      <tp t="s">
        <v>#N/A Requesting Data...</v>
        <stp/>
        <stp>##V3_BDHV12</stp>
        <stp>CL1 Comdty</stp>
        <stp>PX_LAST</stp>
        <stp>09/03/2017</stp>
        <stp>09/03/2017</stp>
        <stp>[Bbg_Market_Data_CL.xlsm]data!R24C9</stp>
        <tr r="I24" s="1"/>
      </tp>
      <tp t="s">
        <v>#N/A Requesting Data...</v>
        <stp/>
        <stp>##V3_BDHV12</stp>
        <stp>CL1 Comdty</stp>
        <stp>PX_LAST</stp>
        <stp>08/12/2016</stp>
        <stp>08/12/2016</stp>
        <stp>[Bbg_Market_Data_CL.xlsm]data!R85C9</stp>
        <tr r="I85" s="1"/>
      </tp>
      <tp t="s">
        <v>#N/A Requesting Data...</v>
        <stp/>
        <stp>##V3_BDHV12</stp>
        <stp>CL2 Comdty</stp>
        <stp>PX_LAST</stp>
        <stp>10/01/2017</stp>
        <stp>10/01/2017</stp>
        <stp>[Bbg_Market_Data_CL.xlsm]data!R64C9</stp>
        <tr r="I64" s="1"/>
      </tp>
      <tp t="s">
        <v>#N/A Requesting Data...</v>
        <stp/>
        <stp>##V3_BDHV12</stp>
        <stp>CL2 Comdty</stp>
        <stp>PX_LAST</stp>
        <stp>23/02/2017</stp>
        <stp>23/02/2017</stp>
        <stp>[Bbg_Market_Data_CL.xlsm]data!R34C9</stp>
        <tr r="I34" s="1"/>
      </tp>
      <tp t="s">
        <v>#N/A Requesting Data...</v>
        <stp/>
        <stp>##V3_BDHV12</stp>
        <stp>CL1 Comdty</stp>
        <stp>PX_LAST</stp>
        <stp>25/01/2017</stp>
        <stp>25/01/2017</stp>
        <stp>[Bbg_Market_Data_CL.xlsm]data!R54C9</stp>
        <tr r="I54" s="1"/>
      </tp>
      <tp t="s">
        <v>#N/A Requesting Data...</v>
        <stp/>
        <stp>##V3_BDHV12</stp>
        <stp>CL2 Comdty</stp>
        <stp>PX_LAST</stp>
        <stp>09/03/2017</stp>
        <stp>09/03/2017</stp>
        <stp>[Bbg_Market_Data_CL.xlsm]data!R24C9</stp>
        <tr r="I24" s="1"/>
      </tp>
      <tp t="s">
        <v>#N/A Requesting Data...</v>
        <stp/>
        <stp>##V3_BDHV12</stp>
        <stp>CL2 Comdty</stp>
        <stp>PX_LAST</stp>
        <stp>08/12/2016</stp>
        <stp>08/12/2016</stp>
        <stp>[Bbg_Market_Data_CL.xlsm]data!R85C9</stp>
        <tr r="I85" s="1"/>
      </tp>
      <tp t="s">
        <v>#N/A Requesting Data...</v>
        <stp/>
        <stp>##V3_BDHV12</stp>
        <stp>CL1 Comdty</stp>
        <stp>PX_LAST</stp>
        <stp>10/01/2017</stp>
        <stp>10/01/2017</stp>
        <stp>[Bbg_Market_Data_CL.xlsm]data!R64C9</stp>
        <tr r="I64" s="1"/>
      </tp>
      <tp t="s">
        <v>#N/A Requesting Data...</v>
        <stp/>
        <stp>##V3_BDHV12</stp>
        <stp>CL1 Comdty</stp>
        <stp>PX_LAST</stp>
        <stp>23/02/2017</stp>
        <stp>23/02/2017</stp>
        <stp>[Bbg_Market_Data_CL.xlsm]data!R34C9</stp>
        <tr r="I34" s="1"/>
      </tp>
      <tp t="s">
        <v>#N/A Requesting Data...</v>
        <stp/>
        <stp>##V3_BDHV12</stp>
        <stp>CL2 Comdty</stp>
        <stp>PX_LAST</stp>
        <stp>25/01/2017</stp>
        <stp>25/01/2017</stp>
        <stp>[Bbg_Market_Data_CL.xlsm]data!R54C9</stp>
        <tr r="I54" s="1"/>
      </tp>
      <tp t="s">
        <v>#N/A Requesting Data...</v>
        <stp/>
        <stp>##V3_BDHV12</stp>
        <stp>CL2 Comdty</stp>
        <stp>PX_LAST</stp>
        <stp>08/02/2017</stp>
        <stp>08/02/2017</stp>
        <stp>[Bbg_Market_Data_CL.xlsm]data!R44C9</stp>
        <tr r="I44" s="1"/>
      </tp>
      <tp t="s">
        <v>#N/A Requesting Data...</v>
        <stp/>
        <stp>##V3_BDHV12</stp>
        <stp>CL2 Comdty</stp>
        <stp>PX_LAST</stp>
        <stp>23/11/2016</stp>
        <stp>23/11/2016</stp>
        <stp>[Bbg_Market_Data_CL.xlsm]data!R95C9</stp>
        <tr r="I95" s="1"/>
      </tp>
      <tp t="s">
        <v>#N/A Requesting Data...</v>
        <stp/>
        <stp>##V3_BDHV12</stp>
        <stp>CL1 Comdty</stp>
        <stp>PX_LAST</stp>
        <stp>23/03/2017</stp>
        <stp>23/03/2017</stp>
        <stp>[Bbg_Market_Data_CL.xlsm]data!R14C9</stp>
        <tr r="I14" s="1"/>
      </tp>
      <tp t="s">
        <v>#N/A Requesting Data...</v>
        <stp/>
        <stp>##V3_BDHV12</stp>
        <stp>CL1 Comdty</stp>
        <stp>PX_LAST</stp>
        <stp>22/12/2016</stp>
        <stp>22/12/2016</stp>
        <stp>[Bbg_Market_Data_CL.xlsm]data!R75C9</stp>
        <tr r="I75" s="1"/>
      </tp>
      <tp t="s">
        <v>#N/A Requesting Data...</v>
        <stp/>
        <stp>##V3_BDHV12</stp>
        <stp>CL1 Comdty</stp>
        <stp>30DAY_IMPVOL_95.0%MNY_DF</stp>
        <stp>10/08/2015</stp>
        <stp>10/08/2015</stp>
        <stp>[Bbg_Market_Data_CL.xlsm]data!R415C21</stp>
        <tr r="U415" s="1"/>
      </tp>
      <tp t="s">
        <v>#N/A Requesting Data...</v>
        <stp/>
        <stp>##V3_BDHV12</stp>
        <stp>CL1 Comdty</stp>
        <stp>30DAY_IMPVOL_90.0%MNY_DF</stp>
        <stp>22/09/2015</stp>
        <stp>22/09/2015</stp>
        <stp>[Bbg_Market_Data_CL.xlsm]data!R385C23</stp>
        <tr r="W385" s="1"/>
      </tp>
      <tp t="s">
        <v>#N/A Requesting Data...</v>
        <stp/>
        <stp>##V3_BDHV12</stp>
        <stp>SPGSCLP Index</stp>
        <stp>CHG_PCT_1D</stp>
        <stp>02/11/2015</stp>
        <stp>02/11/2015</stp>
        <stp>[Bbg_Market_Data_CL.xlsm]data!R358C3</stp>
        <tr r="C358" s="1"/>
      </tp>
      <tp t="s">
        <v>#N/A Requesting Data...</v>
        <stp/>
        <stp>##V3_BDHV12</stp>
        <stp>SPGSCLP Index</stp>
        <stp>CHG_PCT_5D</stp>
        <stp>02/11/2015</stp>
        <stp>02/11/2015</stp>
        <stp>[Bbg_Market_Data_CL.xlsm]data!R358C4</stp>
        <tr r="D358" s="1"/>
      </tp>
      <tp t="s">
        <v>#N/A Requesting Data...</v>
        <stp/>
        <stp>##V3_BDHV12</stp>
        <stp>CL1 Comdty</stp>
        <stp>30DAY_IMPVOL_90.0%MNY_DF</stp>
        <stp>02/08/2016</stp>
        <stp>02/08/2016</stp>
        <stp>[Bbg_Market_Data_CL.xlsm]data!R171C23</stp>
        <tr r="W171" s="1"/>
      </tp>
      <tp t="s">
        <v>#N/A Requesting Data...</v>
        <stp/>
        <stp>##V3_BDHV12</stp>
        <stp>CL1 Comdty</stp>
        <stp>30DAY_IMPVOL_90.0%MNY_DF</stp>
        <stp>12/09/2016</stp>
        <stp>12/09/2016</stp>
        <stp>[Bbg_Market_Data_CL.xlsm]data!R144C23</stp>
        <tr r="W144" s="1"/>
      </tp>
      <tp t="s">
        <v>#N/A Requesting Data...</v>
        <stp/>
        <stp>##V3_BDHV12</stp>
        <stp>SPGSCLP Index</stp>
        <stp>CHG_PCT_1D</stp>
        <stp>28/08/2015</stp>
        <stp>28/08/2015</stp>
        <stp>[Bbg_Market_Data_CL.xlsm]data!R402C3</stp>
        <tr r="C402" s="1"/>
      </tp>
      <tp t="s">
        <v>#N/A Requesting Data...</v>
        <stp/>
        <stp>##V3_BDHV12</stp>
        <stp>SPGSCLP Index</stp>
        <stp>CHG_PCT_5D</stp>
        <stp>28/08/2015</stp>
        <stp>28/08/2015</stp>
        <stp>[Bbg_Market_Data_CL.xlsm]data!R402C4</stp>
        <tr r="D402" s="1"/>
      </tp>
      <tp t="s">
        <v>#N/A Requesting Data...</v>
        <stp/>
        <stp>##V3_BDHV12</stp>
        <stp>SPGSCLP Index</stp>
        <stp>CHG_PCT_5D</stp>
        <stp>18/08/2016</stp>
        <stp>18/08/2016</stp>
        <stp>[Bbg_Market_Data_CL.xlsm]data!R161C4</stp>
        <tr r="D161" s="1"/>
      </tp>
      <tp t="s">
        <v>#N/A Requesting Data...</v>
        <stp/>
        <stp>##V3_BDHV12</stp>
        <stp>SPGSCLP Index</stp>
        <stp>CHG_PCT_5D</stp>
        <stp>19/09/2016</stp>
        <stp>19/09/2016</stp>
        <stp>[Bbg_Market_Data_CL.xlsm]data!R140C4</stp>
        <tr r="D140" s="1"/>
      </tp>
      <tp t="s">
        <v>#N/A Requesting Data...</v>
        <stp/>
        <stp>##V3_BDHV12</stp>
        <stp>SPGSCLP Index</stp>
        <stp>CHG_PCT_1D</stp>
        <stp>19/09/2016</stp>
        <stp>19/09/2016</stp>
        <stp>[Bbg_Market_Data_CL.xlsm]data!R140C3</stp>
        <tr r="C140" s="1"/>
      </tp>
      <tp t="s">
        <v>#N/A Requesting Data...</v>
        <stp/>
        <stp>##V3_BDHV12</stp>
        <stp>SPGSCLP Index</stp>
        <stp>CHG_PCT_1D</stp>
        <stp>18/08/2016</stp>
        <stp>18/08/2016</stp>
        <stp>[Bbg_Market_Data_CL.xlsm]data!R161C3</stp>
        <tr r="C161" s="1"/>
      </tp>
      <tp t="s">
        <v>#N/A Requesting Data...</v>
        <stp/>
        <stp>##V3_BDHV12</stp>
        <stp>SPGSCLP Index</stp>
        <stp>CHG_PCT_1D</stp>
        <stp>31/03/2016</stp>
        <stp>31/03/2016</stp>
        <stp>[Bbg_Market_Data_CL.xlsm]data!R258C3</stp>
        <tr r="C258" s="1"/>
      </tp>
      <tp t="s">
        <v>#N/A Requesting Data...</v>
        <stp/>
        <stp>##V3_BDHV12</stp>
        <stp>SPGSCLP Index</stp>
        <stp>CHG_PCT_5D</stp>
        <stp>31/03/2016</stp>
        <stp>31/03/2016</stp>
        <stp>[Bbg_Market_Data_CL.xlsm]data!R258C4</stp>
        <tr r="D258" s="1"/>
      </tp>
      <tp t="s">
        <v>#N/A Requesting Data...</v>
        <stp/>
        <stp>##V3_BDHV12</stp>
        <stp>CL1 Comdty</stp>
        <stp>30DAY_IMPVOL_90.0%MNY_DF</stp>
        <stp>31/08/2016</stp>
        <stp>31/08/2016</stp>
        <stp>[Bbg_Market_Data_CL.xlsm]data!R151C23</stp>
        <tr r="W151" s="1"/>
      </tp>
      <tp t="s">
        <v>#N/A Requesting Data...</v>
        <stp/>
        <stp>##V3_BDHV12</stp>
        <stp>CL1 Comdty</stp>
        <stp>30DAY_IMPVOL_90.0%MNY_DF</stp>
        <stp>21/09/2016</stp>
        <stp>21/09/2016</stp>
        <stp>[Bbg_Market_Data_CL.xlsm]data!R137C23</stp>
        <tr r="W137" s="1"/>
      </tp>
      <tp t="s">
        <v>#N/A Requesting Data...</v>
        <stp/>
        <stp>##V3_BDHV12</stp>
        <stp>SPGSCLP Index</stp>
        <stp>CHG_PCT_1D</stp>
        <stp>03/11/2016</stp>
        <stp>03/11/2016</stp>
        <stp>[Bbg_Market_Data_CL.xlsm]data!R108C3</stp>
        <tr r="C108" s="1"/>
      </tp>
      <tp t="s">
        <v>#N/A Requesting Data...</v>
        <stp/>
        <stp>##V3_BDHV12</stp>
        <stp>SPGSCLP Index</stp>
        <stp>CHG_PCT_5D</stp>
        <stp>01/10/2015</stp>
        <stp>01/10/2015</stp>
        <stp>[Bbg_Market_Data_CL.xlsm]data!R379C4</stp>
        <tr r="D379" s="1"/>
      </tp>
      <tp t="s">
        <v>#N/A Requesting Data...</v>
        <stp/>
        <stp>##V3_BDHV12</stp>
        <stp>SPGSCLP Index</stp>
        <stp>CHG_PCT_5D</stp>
        <stp>03/11/2016</stp>
        <stp>03/11/2016</stp>
        <stp>[Bbg_Market_Data_CL.xlsm]data!R108C4</stp>
        <tr r="D108" s="1"/>
      </tp>
      <tp t="s">
        <v>#N/A Requesting Data...</v>
        <stp/>
        <stp>##V3_BDHV12</stp>
        <stp>SPGSCLP Index</stp>
        <stp>CHG_PCT_1D</stp>
        <stp>01/10/2015</stp>
        <stp>01/10/2015</stp>
        <stp>[Bbg_Market_Data_CL.xlsm]data!R379C3</stp>
        <tr r="C379" s="1"/>
      </tp>
      <tp t="s">
        <v>#N/A Requesting Data...</v>
        <stp/>
        <stp>##V3_BDHV12</stp>
        <stp>CL1 Comdty</stp>
        <stp>30DAY_IMPVOL_90.0%MNY_DF</stp>
        <stp>30/09/2016</stp>
        <stp>30/09/2016</stp>
        <stp>[Bbg_Market_Data_CL.xlsm]data!R130C23</stp>
        <tr r="W130" s="1"/>
      </tp>
      <tp t="s">
        <v>#N/A Requesting Data...</v>
        <stp/>
        <stp>##V3_BDHV12</stp>
        <stp>CL1 Comdty</stp>
        <stp>30DAY_IMPVOL_90.0%MNY_DF</stp>
        <stp>11/09/2015</stp>
        <stp>11/09/2015</stp>
        <stp>[Bbg_Market_Data_CL.xlsm]data!R392C23</stp>
        <tr r="W392" s="1"/>
      </tp>
      <tp t="s">
        <v>#N/A Requesting Data...</v>
        <stp/>
        <stp>##V3_BDHV12</stp>
        <stp>SPGSCLP Index</stp>
        <stp>CHG_PCT_5D</stp>
        <stp>28/09/2016</stp>
        <stp>28/09/2016</stp>
        <stp>[Bbg_Market_Data_CL.xlsm]data!R133C4</stp>
        <tr r="D133" s="1"/>
      </tp>
      <tp t="s">
        <v>#N/A Requesting Data...</v>
        <stp/>
        <stp>##V3_BDHV12</stp>
        <stp>SPGSCLP Index</stp>
        <stp>CHG_PCT_1D</stp>
        <stp>28/09/2016</stp>
        <stp>28/09/2016</stp>
        <stp>[Bbg_Market_Data_CL.xlsm]data!R133C3</stp>
        <tr r="C133" s="1"/>
      </tp>
      <tp t="s">
        <v>#N/A Requesting Data...</v>
        <stp/>
        <stp>##V3_BDHV12</stp>
        <stp>SPGSCLP Index</stp>
        <stp>CHG_PCT_5D</stp>
        <stp>31/12/2015</stp>
        <stp>31/12/2015</stp>
        <stp>[Bbg_Market_Data_CL.xlsm]data!R318C4</stp>
        <tr r="D318" s="1"/>
      </tp>
      <tp t="s">
        <v>#N/A Requesting Data...</v>
        <stp/>
        <stp>##V3_BDHV12</stp>
        <stp>SPGSCLP Index</stp>
        <stp>CHG_PCT_1D</stp>
        <stp>31/12/2015</stp>
        <stp>31/12/2015</stp>
        <stp>[Bbg_Market_Data_CL.xlsm]data!R318C3</stp>
        <tr r="C318" s="1"/>
      </tp>
      <tp>
        <v>50.68</v>
        <stp/>
        <stp>##V3_BDHV12</stp>
        <stp>CL2 Comdty</stp>
        <stp>PX_OPEN</stp>
        <stp>04/04/2017</stp>
        <stp>04/04/2017</stp>
        <stp>[Bbg_Market_Data_CL.xlsm]data!R6C5</stp>
        <tr r="E6" s="1"/>
      </tp>
      <tp>
        <v>51.3</v>
        <stp/>
        <stp>##V3_BDHV12</stp>
        <stp>CL2 Comdty</stp>
        <stp>PX_OPEN</stp>
        <stp>06/04/2017</stp>
        <stp>06/04/2017</stp>
        <stp>[Bbg_Market_Data_CL.xlsm]data!R4C5</stp>
        <tr r="E4" s="1"/>
      </tp>
      <tp>
        <v>52.68</v>
        <stp/>
        <stp>##V3_BDHV12</stp>
        <stp>CL2 Comdty</stp>
        <stp>PX_OPEN</stp>
        <stp>10/04/2017</stp>
        <stp>10/04/2017</stp>
        <stp>[Bbg_Market_Data_CL.xlsm]data!R2C5</stp>
        <tr r="E2" s="1"/>
      </tp>
      <tp t="s">
        <v>#N/A Requesting Data...</v>
        <stp/>
        <stp>##V3_BDHV12</stp>
        <stp>CL1 Comdty</stp>
        <stp>PX_OPEN</stp>
        <stp>10/04/2017</stp>
        <stp>10/04/2017</stp>
        <stp>[Bbg_Market_Data_CL.xlsm]data!R2C5</stp>
        <tr r="E2" s="1"/>
      </tp>
      <tp t="s">
        <v>#N/A Requesting Data...</v>
        <stp/>
        <stp>##V3_BDHV12</stp>
        <stp>CL1 Comdty</stp>
        <stp>PX_OPEN</stp>
        <stp>04/04/2017</stp>
        <stp>04/04/2017</stp>
        <stp>[Bbg_Market_Data_CL.xlsm]data!R6C5</stp>
        <tr r="E6" s="1"/>
      </tp>
      <tp t="s">
        <v>#N/A Requesting Data...</v>
        <stp/>
        <stp>##V3_BDHV12</stp>
        <stp>CL1 Comdty</stp>
        <stp>PX_OPEN</stp>
        <stp>06/04/2017</stp>
        <stp>06/04/2017</stp>
        <stp>[Bbg_Market_Data_CL.xlsm]data!R4C5</stp>
        <tr r="E4" s="1"/>
      </tp>
      <tp t="s">
        <v>#N/A Requesting Data...</v>
        <stp/>
        <stp>##V3_BDHV12</stp>
        <stp>CL1 Comdty</stp>
        <stp>30DAY_IMPVOL_95.0%MNY_DF</stp>
        <stp>12/09/2016</stp>
        <stp>12/09/2016</stp>
        <stp>[Bbg_Market_Data_CL.xlsm]data!R144C21</stp>
        <tr r="U144" s="1"/>
      </tp>
      <tp t="s">
        <v>#N/A Requesting Data...</v>
        <stp/>
        <stp>##V3_BDHV12</stp>
        <stp>CL1 Comdty</stp>
        <stp>30DAY_IMPVOL_95.0%MNY_DF</stp>
        <stp>02/08/2016</stp>
        <stp>02/08/2016</stp>
        <stp>[Bbg_Market_Data_CL.xlsm]data!R171C21</stp>
        <tr r="U171" s="1"/>
      </tp>
      <tp t="s">
        <v>#N/A Requesting Data...</v>
        <stp/>
        <stp>##V3_BDHV12</stp>
        <stp>SPGSCLP Index</stp>
        <stp>CHG_PCT_5D</stp>
        <stp>04/10/2016</stp>
        <stp>04/10/2016</stp>
        <stp>[Bbg_Market_Data_CL.xlsm]data!R129C4</stp>
        <tr r="D129" s="1"/>
      </tp>
      <tp t="s">
        <v>#N/A Requesting Data...</v>
        <stp/>
        <stp>##V3_BDHV12</stp>
        <stp>SPGSCLP Index</stp>
        <stp>CHG_PCT_1D</stp>
        <stp>04/10/2016</stp>
        <stp>04/10/2016</stp>
        <stp>[Bbg_Market_Data_CL.xlsm]data!R129C3</stp>
        <tr r="C129" s="1"/>
      </tp>
      <tp t="s">
        <v>#N/A Requesting Data...</v>
        <stp/>
        <stp>##V3_BDHV12</stp>
        <stp>CL1 Comdty</stp>
        <stp>30DAY_IMPVOL_90.0%MNY_DF</stp>
        <stp>10/08/2015</stp>
        <stp>10/08/2015</stp>
        <stp>[Bbg_Market_Data_CL.xlsm]data!R415C23</stp>
        <tr r="W415" s="1"/>
      </tp>
      <tp t="s">
        <v>#N/A Requesting Data...</v>
        <stp/>
        <stp>##V3_BDHV12</stp>
        <stp>CL1 Comdty</stp>
        <stp>30DAY_IMPVOL_95.0%MNY_DF</stp>
        <stp>22/09/2015</stp>
        <stp>22/09/2015</stp>
        <stp>[Bbg_Market_Data_CL.xlsm]data!R385C21</stp>
        <tr r="U385" s="1"/>
      </tp>
      <tp t="s">
        <v>#N/A Requesting Data...</v>
        <stp/>
        <stp>##V3_BDHV12</stp>
        <stp>SPGSCLP Index</stp>
        <stp>CHG_PCT_1D</stp>
        <stp>15/01/2016</stp>
        <stp>15/01/2016</stp>
        <stp>[Bbg_Market_Data_CL.xlsm]data!R308C3</stp>
        <tr r="C308" s="1"/>
      </tp>
      <tp t="s">
        <v>#N/A Requesting Data...</v>
        <stp/>
        <stp>##V3_BDHV12</stp>
        <stp>SPGSCLP Index</stp>
        <stp>CHG_PCT_1D</stp>
        <stp>16/11/2015</stp>
        <stp>16/11/2015</stp>
        <stp>[Bbg_Market_Data_CL.xlsm]data!R349C3</stp>
        <tr r="C349" s="1"/>
      </tp>
      <tp t="s">
        <v>#N/A Requesting Data...</v>
        <stp/>
        <stp>##V3_BDHV12</stp>
        <stp>SPGSCLP Index</stp>
        <stp>CHG_PCT_5D</stp>
        <stp>15/01/2016</stp>
        <stp>15/01/2016</stp>
        <stp>[Bbg_Market_Data_CL.xlsm]data!R308C4</stp>
        <tr r="D308" s="1"/>
      </tp>
      <tp t="s">
        <v>#N/A Requesting Data...</v>
        <stp/>
        <stp>##V3_BDHV12</stp>
        <stp>SPGSCLP Index</stp>
        <stp>CHG_PCT_5D</stp>
        <stp>16/11/2015</stp>
        <stp>16/11/2015</stp>
        <stp>[Bbg_Market_Data_CL.xlsm]data!R349C4</stp>
        <tr r="D349" s="1"/>
      </tp>
      <tp>
        <v>52.33</v>
        <stp/>
        <stp>##V3_BDHV12</stp>
        <stp>CL2 Comdty</stp>
        <stp>PX_HIGH</stp>
        <stp>05/04/2017</stp>
        <stp>05/04/2017</stp>
        <stp>[Bbg_Market_Data_CL.xlsm]data!R5C6</stp>
        <tr r="F5" s="1"/>
      </tp>
      <tp t="s">
        <v>#N/A Requesting Data...</v>
        <stp/>
        <stp>##V3_BDHV12</stp>
        <stp>CL1 Comdty</stp>
        <stp>PX_HIGH</stp>
        <stp>05/04/2017</stp>
        <stp>05/04/2017</stp>
        <stp>[Bbg_Market_Data_CL.xlsm]data!R5C6</stp>
        <tr r="F5" s="1"/>
      </tp>
      <tp t="s">
        <v>#N/A Requesting Data...</v>
        <stp/>
        <stp>##V3_BDHV12</stp>
        <stp>CL1 Comdty</stp>
        <stp>30DAY_IMPVOL_95.0%MNY_DF</stp>
        <stp>30/09/2016</stp>
        <stp>30/09/2016</stp>
        <stp>[Bbg_Market_Data_CL.xlsm]data!R130C21</stp>
        <tr r="U130" s="1"/>
      </tp>
      <tp t="s">
        <v>#N/A Requesting Data...</v>
        <stp/>
        <stp>##V3_BDHV12</stp>
        <stp>CL1 Comdty</stp>
        <stp>30DAY_IMPVOL_95.0%MNY_DF</stp>
        <stp>11/09/2015</stp>
        <stp>11/09/2015</stp>
        <stp>[Bbg_Market_Data_CL.xlsm]data!R392C21</stp>
        <tr r="U392" s="1"/>
      </tp>
      <tp t="s">
        <v>#N/A Requesting Data...</v>
        <stp/>
        <stp>##V3_BDHV12</stp>
        <stp>CL1 Comdty</stp>
        <stp>30DAY_IMPVOL_95.0%MNY_DF</stp>
        <stp>31/08/2016</stp>
        <stp>31/08/2016</stp>
        <stp>[Bbg_Market_Data_CL.xlsm]data!R151C21</stp>
        <tr r="U151" s="1"/>
      </tp>
      <tp t="s">
        <v>#N/A Requesting Data...</v>
        <stp/>
        <stp>##V3_BDHV12</stp>
        <stp>CL1 Comdty</stp>
        <stp>30DAY_IMPVOL_95.0%MNY_DF</stp>
        <stp>21/09/2016</stp>
        <stp>21/09/2016</stp>
        <stp>[Bbg_Market_Data_CL.xlsm]data!R137C21</stp>
        <tr r="U137" s="1"/>
      </tp>
      <tp t="s">
        <v>#N/A Requesting Data...</v>
        <stp/>
        <stp>##V3_BDHV12</stp>
        <stp>CL1 Comdty</stp>
        <stp>30DAY_IMPVOL_90.0%MNY_DF</stp>
        <stp>18/03/2016</stp>
        <stp>18/03/2016</stp>
        <stp>[Bbg_Market_Data_CL.xlsm]data!R265C23</stp>
        <tr r="W265" s="1"/>
      </tp>
      <tp t="s">
        <v>#N/A Requesting Data...</v>
        <stp/>
        <stp>##V3_BDHV12</stp>
        <stp>CL1 Comdty</stp>
        <stp>30DAY_IMPVOL_90.0%MNY_DF</stp>
        <stp>08/02/2016</stp>
        <stp>08/02/2016</stp>
        <stp>[Bbg_Market_Data_CL.xlsm]data!R292C23</stp>
        <tr r="W292" s="1"/>
      </tp>
      <tp t="s">
        <v>#N/A Requesting Data...</v>
        <stp/>
        <stp>##V3_BDHV12</stp>
        <stp>SPGSCLP Index</stp>
        <stp>CHG_PCT_5D</stp>
        <stp>01/09/2016</stp>
        <stp>01/09/2016</stp>
        <stp>[Bbg_Market_Data_CL.xlsm]data!R151C4</stp>
        <tr r="D151" s="1"/>
      </tp>
      <tp t="s">
        <v>#N/A Requesting Data...</v>
        <stp/>
        <stp>##V3_BDHV12</stp>
        <stp>SPGSCLP Index</stp>
        <stp>CHG_PCT_1D</stp>
        <stp>01/09/2016</stp>
        <stp>01/09/2016</stp>
        <stp>[Bbg_Market_Data_CL.xlsm]data!R151C3</stp>
        <tr r="C151" s="1"/>
      </tp>
      <tp t="s">
        <v>#N/A Requesting Data...</v>
        <stp/>
        <stp>##V3_BDHV12</stp>
        <stp>CL1 Comdty</stp>
        <stp>30DAY_IMPVOL_90.0%MNY_DF</stp>
        <stp>09/03/2016</stp>
        <stp>09/03/2016</stp>
        <stp>[Bbg_Market_Data_CL.xlsm]data!R272C23</stp>
        <tr r="W272" s="1"/>
      </tp>
      <tp t="s">
        <v>#N/A Requesting Data...</v>
        <stp/>
        <stp>##V3_BDHV12</stp>
        <stp>CL1 Comdty</stp>
        <stp>30DAY_IMPVOL_90.0%MNY_DF</stp>
        <stp>19/02/2016</stp>
        <stp>19/02/2016</stp>
        <stp>[Bbg_Market_Data_CL.xlsm]data!R285C23</stp>
        <tr r="W285" s="1"/>
      </tp>
      <tp t="s">
        <v>#N/A Requesting Data...</v>
        <stp/>
        <stp>##V3_BDHV12</stp>
        <stp>CL1 Comdty</stp>
        <stp>30DAY_IMPVOL_90.0%MNY_DF</stp>
        <stp>29/01/2016</stp>
        <stp>29/01/2016</stp>
        <stp>[Bbg_Market_Data_CL.xlsm]data!R298C23</stp>
        <tr r="W298" s="1"/>
      </tp>
      <tp t="s">
        <v>#N/A Requesting Data...</v>
        <stp/>
        <stp>##V3_BDHV12</stp>
        <stp>CL1 Comdty</stp>
        <stp>30DAY_IMPVOL_90.0%MNY_DF</stp>
        <stp>09/10/2015</stp>
        <stp>09/10/2015</stp>
        <stp>[Bbg_Market_Data_CL.xlsm]data!R372C23</stp>
        <tr r="W372" s="1"/>
      </tp>
      <tp t="s">
        <v>#N/A Requesting Data...</v>
        <stp/>
        <stp>##V3_BDHV12</stp>
        <stp>CL1 Comdty</stp>
        <stp>30DAY_IMPVOL_90.0%MNY_DF</stp>
        <stp>19/11/2015</stp>
        <stp>19/11/2015</stp>
        <stp>[Bbg_Market_Data_CL.xlsm]data!R345C23</stp>
        <tr r="W345" s="1"/>
      </tp>
      <tp t="s">
        <v>#N/A Requesting Data...</v>
        <stp/>
        <stp>##V3_BDHV12</stp>
        <stp>CL1 Comdty</stp>
        <stp>30DAY_IMPVOL_90.0%MNY_DF</stp>
        <stp>28/10/2016</stp>
        <stp>28/10/2016</stp>
        <stp>[Bbg_Market_Data_CL.xlsm]data!R111C23</stp>
        <tr r="W111" s="1"/>
      </tp>
      <tp t="s">
        <v>#N/A Requesting Data...</v>
        <stp/>
        <stp>##V3_BDHV12</stp>
        <stp>CL1 Comdty</stp>
        <stp>30DAY_IMPVOL_90.0%MNY_DF</stp>
        <stp>29/12/2015</stp>
        <stp>29/12/2015</stp>
        <stp>[Bbg_Market_Data_CL.xlsm]data!R319C23</stp>
        <tr r="W319" s="1"/>
      </tp>
      <tp t="s">
        <v>#N/A Requesting Data...</v>
        <stp/>
        <stp>##V3_BDHV12</stp>
        <stp>SPGSCLP Index</stp>
        <stp>CHG_PCT_5D</stp>
        <stp>19/10/2015</stp>
        <stp>19/10/2015</stp>
        <stp>[Bbg_Market_Data_CL.xlsm]data!R368C4</stp>
        <tr r="D368" s="1"/>
      </tp>
      <tp t="s">
        <v>#N/A Requesting Data...</v>
        <stp/>
        <stp>##V3_BDHV12</stp>
        <stp>SPGSCLP Index</stp>
        <stp>CHG_PCT_1D</stp>
        <stp>19/10/2015</stp>
        <stp>19/10/2015</stp>
        <stp>[Bbg_Market_Data_CL.xlsm]data!R368C3</stp>
        <tr r="C368" s="1"/>
      </tp>
      <tp t="s">
        <v>#N/A Requesting Data...</v>
        <stp/>
        <stp>##V3_BDHV12</stp>
        <stp>SPGSCLP Index</stp>
        <stp>CHG_PCT_5D</stp>
        <stp>30/08/2016</stp>
        <stp>30/08/2016</stp>
        <stp>[Bbg_Market_Data_CL.xlsm]data!R153C4</stp>
        <tr r="D153" s="1"/>
      </tp>
      <tp t="s">
        <v>#N/A Requesting Data...</v>
        <stp/>
        <stp>##V3_BDHV12</stp>
        <stp>SPGSCLP Index</stp>
        <stp>CHG_PCT_1D</stp>
        <stp>30/08/2016</stp>
        <stp>30/08/2016</stp>
        <stp>[Bbg_Market_Data_CL.xlsm]data!R153C3</stp>
        <tr r="C153" s="1"/>
      </tp>
      <tp t="s">
        <v>#N/A Requesting Data...</v>
        <stp/>
        <stp>##V3_BDHV12</stp>
        <stp>CL1 Comdty</stp>
        <stp>30DAY_IMPVOL_95.0%MNY_DF</stp>
        <stp>09/03/2016</stp>
        <stp>09/03/2016</stp>
        <stp>[Bbg_Market_Data_CL.xlsm]data!R272C21</stp>
        <tr r="U272" s="1"/>
      </tp>
      <tp t="s">
        <v>#N/A Requesting Data...</v>
        <stp/>
        <stp>##V3_BDHV12</stp>
        <stp>CL1 Comdty</stp>
        <stp>30DAY_IMPVOL_95.0%MNY_DF</stp>
        <stp>19/02/2016</stp>
        <stp>19/02/2016</stp>
        <stp>[Bbg_Market_Data_CL.xlsm]data!R285C21</stp>
        <tr r="U285" s="1"/>
      </tp>
      <tp t="s">
        <v>#N/A Requesting Data...</v>
        <stp/>
        <stp>##V3_BDHV12</stp>
        <stp>CL1 Comdty</stp>
        <stp>30DAY_IMPVOL_95.0%MNY_DF</stp>
        <stp>29/01/2016</stp>
        <stp>29/01/2016</stp>
        <stp>[Bbg_Market_Data_CL.xlsm]data!R298C21</stp>
        <tr r="U298" s="1"/>
      </tp>
      <tp t="s">
        <v>#N/A Requesting Data...</v>
        <stp/>
        <stp>##V3_BDHV12</stp>
        <stp>SPGSCLP Index</stp>
        <stp>CHG_PCT_5D</stp>
        <stp>04/08/2016</stp>
        <stp>04/08/2016</stp>
        <stp>[Bbg_Market_Data_CL.xlsm]data!R170C4</stp>
        <tr r="D170" s="1"/>
      </tp>
      <tp t="s">
        <v>#N/A Requesting Data...</v>
        <stp/>
        <stp>##V3_BDHV12</stp>
        <stp>SPGSCLP Index</stp>
        <stp>CHG_PCT_1D</stp>
        <stp>04/08/2016</stp>
        <stp>04/08/2016</stp>
        <stp>[Bbg_Market_Data_CL.xlsm]data!R170C3</stp>
        <tr r="C170" s="1"/>
      </tp>
      <tp t="s">
        <v>#N/A Requesting Data...</v>
        <stp/>
        <stp>##V3_BDHV12</stp>
        <stp>CL1 Comdty</stp>
        <stp>30DAY_IMPVOL_95.0%MNY_DF</stp>
        <stp>18/03/2016</stp>
        <stp>18/03/2016</stp>
        <stp>[Bbg_Market_Data_CL.xlsm]data!R265C21</stp>
        <tr r="U265" s="1"/>
      </tp>
      <tp t="s">
        <v>#N/A Requesting Data...</v>
        <stp/>
        <stp>##V3_BDHV12</stp>
        <stp>CL1 Comdty</stp>
        <stp>30DAY_IMPVOL_95.0%MNY_DF</stp>
        <stp>08/02/2016</stp>
        <stp>08/02/2016</stp>
        <stp>[Bbg_Market_Data_CL.xlsm]data!R292C21</stp>
        <tr r="U292" s="1"/>
      </tp>
      <tp t="s">
        <v>#N/A Requesting Data...</v>
        <stp/>
        <stp>##V3_BDHV12</stp>
        <stp>SPGSCLP Index</stp>
        <stp>CHG_PCT_1D</stp>
        <stp>16/09/2015</stp>
        <stp>16/09/2015</stp>
        <stp>[Bbg_Market_Data_CL.xlsm]data!R390C3</stp>
        <tr r="C390" s="1"/>
      </tp>
      <tp t="s">
        <v>#N/A Requesting Data...</v>
        <stp/>
        <stp>##V3_BDHV12</stp>
        <stp>SPGSCLP Index</stp>
        <stp>CHG_PCT_5D</stp>
        <stp>25/09/2015</stp>
        <stp>25/09/2015</stp>
        <stp>[Bbg_Market_Data_CL.xlsm]data!R383C4</stp>
        <tr r="D383" s="1"/>
      </tp>
      <tp t="s">
        <v>#N/A Requesting Data...</v>
        <stp/>
        <stp>##V3_BDHV12</stp>
        <stp>SPGSCLP Index</stp>
        <stp>CHG_PCT_5D</stp>
        <stp>16/09/2015</stp>
        <stp>16/09/2015</stp>
        <stp>[Bbg_Market_Data_CL.xlsm]data!R390C4</stp>
        <tr r="D390" s="1"/>
      </tp>
      <tp t="s">
        <v>#N/A Requesting Data...</v>
        <stp/>
        <stp>##V3_BDHV12</stp>
        <stp>SPGSCLP Index</stp>
        <stp>CHG_PCT_1D</stp>
        <stp>25/09/2015</stp>
        <stp>25/09/2015</stp>
        <stp>[Bbg_Market_Data_CL.xlsm]data!R383C3</stp>
        <tr r="C383" s="1"/>
      </tp>
      <tp t="s">
        <v>#N/A Requesting Data...</v>
        <stp/>
        <stp>##V3_BDHV12</stp>
        <stp>SPGSCLP Index</stp>
        <stp>CHG_PCT_5D</stp>
        <stp>17/08/2015</stp>
        <stp>17/08/2015</stp>
        <stp>[Bbg_Market_Data_CL.xlsm]data!R411C4</stp>
        <tr r="D411" s="1"/>
      </tp>
      <tp t="s">
        <v>#N/A Requesting Data...</v>
        <stp/>
        <stp>##V3_BDHV12</stp>
        <stp>SPGSCLP Index</stp>
        <stp>CHG_PCT_1D</stp>
        <stp>17/08/2015</stp>
        <stp>17/08/2015</stp>
        <stp>[Bbg_Market_Data_CL.xlsm]data!R411C3</stp>
        <tr r="C411" s="1"/>
      </tp>
      <tp t="s">
        <v>#N/A Requesting Data...</v>
        <stp/>
        <stp>##V3_BDHV12</stp>
        <stp>CL1 Comdty</stp>
        <stp>30DAY_IMPVOL_95.0%MNY_DF</stp>
        <stp>19/11/2015</stp>
        <stp>19/11/2015</stp>
        <stp>[Bbg_Market_Data_CL.xlsm]data!R345C21</stp>
        <tr r="U345" s="1"/>
      </tp>
      <tp t="s">
        <v>#N/A Requesting Data...</v>
        <stp/>
        <stp>##V3_BDHV12</stp>
        <stp>CL1 Comdty</stp>
        <stp>30DAY_IMPVOL_95.0%MNY_DF</stp>
        <stp>09/10/2015</stp>
        <stp>09/10/2015</stp>
        <stp>[Bbg_Market_Data_CL.xlsm]data!R372C21</stp>
        <tr r="U372" s="1"/>
      </tp>
      <tp t="s">
        <v>#N/A Requesting Data...</v>
        <stp/>
        <stp>##V3_BDHV12</stp>
        <stp>CL1 Comdty</stp>
        <stp>30DAY_IMPVOL_95.0%MNY_DF</stp>
        <stp>28/10/2016</stp>
        <stp>28/10/2016</stp>
        <stp>[Bbg_Market_Data_CL.xlsm]data!R111C21</stp>
        <tr r="U111" s="1"/>
      </tp>
      <tp t="s">
        <v>#N/A Requesting Data...</v>
        <stp/>
        <stp>##V3_BDHV12</stp>
        <stp>CL1 Comdty</stp>
        <stp>30DAY_IMPVOL_95.0%MNY_DF</stp>
        <stp>29/12/2015</stp>
        <stp>29/12/2015</stp>
        <stp>[Bbg_Market_Data_CL.xlsm]data!R319C21</stp>
        <tr r="U319" s="1"/>
      </tp>
      <tp t="s">
        <v>#N/A Requesting Data...</v>
        <stp/>
        <stp>##V3_BDHV12</stp>
        <stp>SPGSCLP Index</stp>
        <stp>CHG_PCT_1D</stp>
        <stp>04/08/2015</stp>
        <stp>04/08/2015</stp>
        <stp>[Bbg_Market_Data_CL.xlsm]data!R420C3</stp>
        <tr r="C420" s="1"/>
      </tp>
      <tp t="s">
        <v>#N/A Requesting Data...</v>
        <stp/>
        <stp>##V3_BDHV12</stp>
        <stp>SPGSCLP Index</stp>
        <stp>CHG_PCT_5D</stp>
        <stp>04/08/2015</stp>
        <stp>04/08/2015</stp>
        <stp>[Bbg_Market_Data_CL.xlsm]data!R420C4</stp>
        <tr r="D420" s="1"/>
      </tp>
      <tp t="s">
        <v>#N/A Requesting Data...</v>
        <stp/>
        <stp>##V3_BDHV12</stp>
        <stp>CL2 Comdty</stp>
        <stp>RSI_30D</stp>
        <stp>21/03/2017</stp>
        <stp>21/03/2017</stp>
        <stp>[Bbg_Market_Data_CL.xlsm]data!R16C14</stp>
        <tr r="N16" s="1"/>
      </tp>
      <tp t="s">
        <v>#N/A Requesting Data...</v>
        <stp/>
        <stp>##V3_BDHV12</stp>
        <stp>CL2 Comdty</stp>
        <stp>RSI_14D</stp>
        <stp>23/03/2017</stp>
        <stp>23/03/2017</stp>
        <stp>[Bbg_Market_Data_CL.xlsm]data!R14C13</stp>
        <tr r="M14" s="1"/>
      </tp>
      <tp t="s">
        <v>#N/A Requesting Data...</v>
        <stp/>
        <stp>##V3_BDHV12</stp>
        <stp>CL1 Comdty</stp>
        <stp>RSI_14D</stp>
        <stp>10/03/2017</stp>
        <stp>10/03/2017</stp>
        <stp>[Bbg_Market_Data_CL.xlsm]data!R23C13</stp>
        <tr r="M23" s="1"/>
      </tp>
      <tp t="s">
        <v>#N/A Requesting Data...</v>
        <stp/>
        <stp>##V3_BDHV12</stp>
        <stp>CL1 Comdty</stp>
        <stp>RSI_30D</stp>
        <stp>02/02/2017</stp>
        <stp>02/02/2017</stp>
        <stp>[Bbg_Market_Data_CL.xlsm]data!R48C14</stp>
        <tr r="N48" s="1"/>
      </tp>
      <tp t="s">
        <v>#N/A Requesting Data...</v>
        <stp/>
        <stp>##V3_BDHV12</stp>
        <stp>CL2 Comdty</stp>
        <stp>RSI_14D</stp>
        <stp>03/01/2017</stp>
        <stp>03/01/2017</stp>
        <stp>[Bbg_Market_Data_CL.xlsm]data!R69C13</stp>
        <tr r="M69" s="1"/>
      </tp>
      <tp t="s">
        <v>#N/A Requesting Data...</v>
        <stp/>
        <stp>##V3_BDHV12</stp>
        <stp>CL2 Comdty</stp>
        <stp>RSI_14D</stp>
        <stp>23/12/2016</stp>
        <stp>23/12/2016</stp>
        <stp>[Bbg_Market_Data_CL.xlsm]data!R74C13</stp>
        <tr r="M74" s="1"/>
      </tp>
      <tp t="s">
        <v>#N/A Requesting Data...</v>
        <stp/>
        <stp>##V3_BDHV12</stp>
        <stp>CL1 Comdty</stp>
        <stp>RSI_14D</stp>
        <stp>30/01/2017</stp>
        <stp>30/01/2017</stp>
        <stp>[Bbg_Market_Data_CL.xlsm]data!R51C13</stp>
        <tr r="M51" s="1"/>
      </tp>
      <tp t="s">
        <v>#N/A Requesting Data...</v>
        <stp/>
        <stp>##V3_BDHV12</stp>
        <stp>CL2 Comdty</stp>
        <stp>RSI_30D</stp>
        <stp>21/12/2016</stp>
        <stp>21/12/2016</stp>
        <stp>[Bbg_Market_Data_CL.xlsm]data!R76C14</stp>
        <tr r="N76" s="1"/>
      </tp>
      <tp t="s">
        <v>#N/A Requesting Data...</v>
        <stp/>
        <stp>##V3_BDHV12</stp>
        <stp>CL1 Comdty</stp>
        <stp>RSI_30D</stp>
        <stp>22/11/2016</stp>
        <stp>22/11/2016</stp>
        <stp>[Bbg_Market_Data_CL.xlsm]data!R96C14</stp>
        <tr r="N96" s="1"/>
      </tp>
      <tp t="s">
        <v>#N/A Requesting Data...</v>
        <stp/>
        <stp>##V3_BDHV12</stp>
        <stp>CL1 Comdty</stp>
        <stp>RSI_30D</stp>
        <stp>12/12/2016</stp>
        <stp>12/12/2016</stp>
        <stp>[Bbg_Market_Data_CL.xlsm]data!R83C14</stp>
        <tr r="N83" s="1"/>
      </tp>
      <tp t="s">
        <v>#N/A Requesting Data...</v>
        <stp/>
        <stp>##V3_BDHV12</stp>
        <stp>CL2 Comdty</stp>
        <stp>RSI_14D</stp>
        <stp>22/03/2017</stp>
        <stp>22/03/2017</stp>
        <stp>[Bbg_Market_Data_CL.xlsm]data!R15C13</stp>
        <tr r="M15" s="1"/>
      </tp>
      <tp t="s">
        <v>#N/A Requesting Data...</v>
        <stp/>
        <stp>##V3_BDHV12</stp>
        <stp>CL2 Comdty</stp>
        <stp>RSI_30D</stp>
        <stp>20/03/2017</stp>
        <stp>20/03/2017</stp>
        <stp>[Bbg_Market_Data_CL.xlsm]data!R17C14</stp>
        <tr r="N17" s="1"/>
      </tp>
      <tp t="s">
        <v>#N/A Requesting Data...</v>
        <stp/>
        <stp>##V3_BDHV12</stp>
        <stp>CL1 Comdty</stp>
        <stp>RSI_30D</stp>
        <stp>13/03/2017</stp>
        <stp>13/03/2017</stp>
        <stp>[Bbg_Market_Data_CL.xlsm]data!R22C14</stp>
        <tr r="N22" s="1"/>
      </tp>
      <tp t="s">
        <v>#N/A Requesting Data...</v>
        <stp/>
        <stp>##V3_BDHV12</stp>
        <stp>CL1 Comdty</stp>
        <stp>RSI_14D</stp>
        <stp>01/02/2017</stp>
        <stp>01/02/2017</stp>
        <stp>[Bbg_Market_Data_CL.xlsm]data!R49C13</stp>
        <tr r="M49" s="1"/>
      </tp>
      <tp t="s">
        <v>#N/A Requesting Data...</v>
        <stp/>
        <stp>##V3_BDHV12</stp>
        <stp>CL2 Comdty</stp>
        <stp>RSI_30D</stp>
        <stp>20/12/2016</stp>
        <stp>20/12/2016</stp>
        <stp>[Bbg_Market_Data_CL.xlsm]data!R77C14</stp>
        <tr r="N77" s="1"/>
      </tp>
      <tp t="s">
        <v>#N/A Requesting Data...</v>
        <stp/>
        <stp>##V3_BDHV12</stp>
        <stp>CL2 Comdty</stp>
        <stp>RSI_14D</stp>
        <stp>22/12/2016</stp>
        <stp>22/12/2016</stp>
        <stp>[Bbg_Market_Data_CL.xlsm]data!R75C13</stp>
        <tr r="M75" s="1"/>
      </tp>
      <tp t="s">
        <v>#N/A Requesting Data...</v>
        <stp/>
        <stp>##V3_BDHV12</stp>
        <stp>CL1 Comdty</stp>
        <stp>RSI_30D</stp>
        <stp>03/02/2017</stp>
        <stp>03/02/2017</stp>
        <stp>[Bbg_Market_Data_CL.xlsm]data!R47C14</stp>
        <tr r="N47" s="1"/>
      </tp>
      <tp t="s">
        <v>#N/A Requesting Data...</v>
        <stp/>
        <stp>##V3_BDHV12</stp>
        <stp>CL1 Comdty</stp>
        <stp>RSI_14D</stp>
        <stp>31/01/2017</stp>
        <stp>31/01/2017</stp>
        <stp>[Bbg_Market_Data_CL.xlsm]data!R50C13</stp>
        <tr r="M50" s="1"/>
      </tp>
      <tp t="s">
        <v>#N/A Requesting Data...</v>
        <stp/>
        <stp>##V3_BDHV12</stp>
        <stp>CL1 Comdty</stp>
        <stp>RSI_14D</stp>
        <stp>21/11/2016</stp>
        <stp>21/11/2016</stp>
        <stp>[Bbg_Market_Data_CL.xlsm]data!R97C13</stp>
        <tr r="M97" s="1"/>
      </tp>
      <tp t="s">
        <v>#N/A Requesting Data...</v>
        <stp/>
        <stp>##V3_BDHV12</stp>
        <stp>CL1 Comdty</stp>
        <stp>RSI_30D</stp>
        <stp>13/12/2016</stp>
        <stp>13/12/2016</stp>
        <stp>[Bbg_Market_Data_CL.xlsm]data!R82C14</stp>
        <tr r="N82" s="1"/>
      </tp>
      <tp t="s">
        <v>#N/A Requesting Data...</v>
        <stp/>
        <stp>##V3_BDHV12</stp>
        <stp>CL1 Comdty</stp>
        <stp>RSI_30D</stp>
        <stp>23/11/2016</stp>
        <stp>23/11/2016</stp>
        <stp>[Bbg_Market_Data_CL.xlsm]data!R95C14</stp>
        <tr r="N95" s="1"/>
      </tp>
      <tp t="s">
        <v>#N/A Requesting Data...</v>
        <stp/>
        <stp>##V3_BDHV12</stp>
        <stp>CL2 Comdty</stp>
        <stp>RSI_30D</stp>
        <stp>23/03/2017</stp>
        <stp>23/03/2017</stp>
        <stp>[Bbg_Market_Data_CL.xlsm]data!R14C14</stp>
        <tr r="N14" s="1"/>
      </tp>
      <tp t="s">
        <v>#N/A Requesting Data...</v>
        <stp/>
        <stp>##V3_BDHV12</stp>
        <stp>CL1 Comdty</stp>
        <stp>RSI_30D</stp>
        <stp>10/03/2017</stp>
        <stp>10/03/2017</stp>
        <stp>[Bbg_Market_Data_CL.xlsm]data!R23C14</stp>
        <tr r="N23" s="1"/>
      </tp>
      <tp t="s">
        <v>#N/A Requesting Data...</v>
        <stp/>
        <stp>##V3_BDHV12</stp>
        <stp>CL2 Comdty</stp>
        <stp>RSI_14D</stp>
        <stp>21/03/2017</stp>
        <stp>21/03/2017</stp>
        <stp>[Bbg_Market_Data_CL.xlsm]data!R16C13</stp>
        <tr r="M16" s="1"/>
      </tp>
      <tp t="s">
        <v>#N/A Requesting Data...</v>
        <stp/>
        <stp>##V3_BDHV12</stp>
        <stp>CL2 Comdty</stp>
        <stp>RSI_14D</stp>
        <stp>21/12/2016</stp>
        <stp>21/12/2016</stp>
        <stp>[Bbg_Market_Data_CL.xlsm]data!R76C13</stp>
        <tr r="M76" s="1"/>
      </tp>
      <tp t="s">
        <v>#N/A Requesting Data...</v>
        <stp/>
        <stp>##V3_BDHV12</stp>
        <stp>CL1 Comdty</stp>
        <stp>RSI_14D</stp>
        <stp>02/02/2017</stp>
        <stp>02/02/2017</stp>
        <stp>[Bbg_Market_Data_CL.xlsm]data!R48C13</stp>
        <tr r="M48" s="1"/>
      </tp>
      <tp t="s">
        <v>#N/A Requesting Data...</v>
        <stp/>
        <stp>##V3_BDHV12</stp>
        <stp>CL2 Comdty</stp>
        <stp>RSI_30D</stp>
        <stp>03/01/2017</stp>
        <stp>03/01/2017</stp>
        <stp>[Bbg_Market_Data_CL.xlsm]data!R69C14</stp>
        <tr r="N69" s="1"/>
      </tp>
      <tp t="s">
        <v>#N/A Requesting Data...</v>
        <stp/>
        <stp>##V3_BDHV12</stp>
        <stp>CL2 Comdty</stp>
        <stp>RSI_30D</stp>
        <stp>23/12/2016</stp>
        <stp>23/12/2016</stp>
        <stp>[Bbg_Market_Data_CL.xlsm]data!R74C14</stp>
        <tr r="N74" s="1"/>
      </tp>
      <tp t="s">
        <v>#N/A Requesting Data...</v>
        <stp/>
        <stp>##V3_BDHV12</stp>
        <stp>CL1 Comdty</stp>
        <stp>RSI_30D</stp>
        <stp>30/01/2017</stp>
        <stp>30/01/2017</stp>
        <stp>[Bbg_Market_Data_CL.xlsm]data!R51C14</stp>
        <tr r="N51" s="1"/>
      </tp>
      <tp t="s">
        <v>#N/A Requesting Data...</v>
        <stp/>
        <stp>##V3_BDHV12</stp>
        <stp>CL1 Comdty</stp>
        <stp>RSI_14D</stp>
        <stp>12/12/2016</stp>
        <stp>12/12/2016</stp>
        <stp>[Bbg_Market_Data_CL.xlsm]data!R83C13</stp>
        <tr r="M83" s="1"/>
      </tp>
      <tp t="s">
        <v>#N/A Requesting Data...</v>
        <stp/>
        <stp>##V3_BDHV12</stp>
        <stp>CL1 Comdty</stp>
        <stp>RSI_14D</stp>
        <stp>22/11/2016</stp>
        <stp>22/11/2016</stp>
        <stp>[Bbg_Market_Data_CL.xlsm]data!R96C13</stp>
        <tr r="M96" s="1"/>
      </tp>
      <tp t="s">
        <v>#N/A Requesting Data...</v>
        <stp/>
        <stp>##V3_BDHV12</stp>
        <stp>CL2 Comdty</stp>
        <stp>RSI_14D</stp>
        <stp>20/03/2017</stp>
        <stp>20/03/2017</stp>
        <stp>[Bbg_Market_Data_CL.xlsm]data!R17C13</stp>
        <tr r="M17" s="1"/>
      </tp>
      <tp t="s">
        <v>#N/A Requesting Data...</v>
        <stp/>
        <stp>##V3_BDHV12</stp>
        <stp>CL1 Comdty</stp>
        <stp>RSI_14D</stp>
        <stp>13/03/2017</stp>
        <stp>13/03/2017</stp>
        <stp>[Bbg_Market_Data_CL.xlsm]data!R22C13</stp>
        <tr r="M22" s="1"/>
      </tp>
      <tp t="s">
        <v>#N/A Requesting Data...</v>
        <stp/>
        <stp>##V3_BDHV12</stp>
        <stp>CL2 Comdty</stp>
        <stp>RSI_30D</stp>
        <stp>22/03/2017</stp>
        <stp>22/03/2017</stp>
        <stp>[Bbg_Market_Data_CL.xlsm]data!R15C14</stp>
        <tr r="N15" s="1"/>
      </tp>
      <tp t="s">
        <v>#N/A Requesting Data...</v>
        <stp/>
        <stp>##V3_BDHV12</stp>
        <stp>CL2 Comdty</stp>
        <stp>RSI_30D</stp>
        <stp>22/12/2016</stp>
        <stp>22/12/2016</stp>
        <stp>[Bbg_Market_Data_CL.xlsm]data!R75C14</stp>
        <tr r="N75" s="1"/>
      </tp>
      <tp t="s">
        <v>#N/A Requesting Data...</v>
        <stp/>
        <stp>##V3_BDHV12</stp>
        <stp>CL1 Comdty</stp>
        <stp>RSI_14D</stp>
        <stp>03/02/2017</stp>
        <stp>03/02/2017</stp>
        <stp>[Bbg_Market_Data_CL.xlsm]data!R47C13</stp>
        <tr r="M47" s="1"/>
      </tp>
      <tp t="s">
        <v>#N/A Requesting Data...</v>
        <stp/>
        <stp>##V3_BDHV12</stp>
        <stp>CL1 Comdty</stp>
        <stp>RSI_30D</stp>
        <stp>31/01/2017</stp>
        <stp>31/01/2017</stp>
        <stp>[Bbg_Market_Data_CL.xlsm]data!R50C14</stp>
        <tr r="N50" s="1"/>
      </tp>
      <tp t="s">
        <v>#N/A Requesting Data...</v>
        <stp/>
        <stp>##V3_BDHV12</stp>
        <stp>CL1 Comdty</stp>
        <stp>RSI_30D</stp>
        <stp>01/02/2017</stp>
        <stp>01/02/2017</stp>
        <stp>[Bbg_Market_Data_CL.xlsm]data!R49C14</stp>
        <tr r="N49" s="1"/>
      </tp>
      <tp t="s">
        <v>#N/A Requesting Data...</v>
        <stp/>
        <stp>##V3_BDHV12</stp>
        <stp>CL2 Comdty</stp>
        <stp>RSI_14D</stp>
        <stp>20/12/2016</stp>
        <stp>20/12/2016</stp>
        <stp>[Bbg_Market_Data_CL.xlsm]data!R77C13</stp>
        <tr r="M77" s="1"/>
      </tp>
      <tp t="s">
        <v>#N/A Requesting Data...</v>
        <stp/>
        <stp>##V3_BDHV12</stp>
        <stp>CL1 Comdty</stp>
        <stp>RSI_14D</stp>
        <stp>23/11/2016</stp>
        <stp>23/11/2016</stp>
        <stp>[Bbg_Market_Data_CL.xlsm]data!R95C13</stp>
        <tr r="M95" s="1"/>
      </tp>
      <tp t="s">
        <v>#N/A Requesting Data...</v>
        <stp/>
        <stp>##V3_BDHV12</stp>
        <stp>CL1 Comdty</stp>
        <stp>RSI_30D</stp>
        <stp>21/11/2016</stp>
        <stp>21/11/2016</stp>
        <stp>[Bbg_Market_Data_CL.xlsm]data!R97C14</stp>
        <tr r="N97" s="1"/>
      </tp>
      <tp t="s">
        <v>#N/A Requesting Data...</v>
        <stp/>
        <stp>##V3_BDHV12</stp>
        <stp>CL1 Comdty</stp>
        <stp>RSI_14D</stp>
        <stp>13/12/2016</stp>
        <stp>13/12/2016</stp>
        <stp>[Bbg_Market_Data_CL.xlsm]data!R82C13</stp>
        <tr r="M82" s="1"/>
      </tp>
      <tp t="s">
        <v>#N/A Requesting Data...</v>
        <stp/>
        <stp>##V3_BDHV12</stp>
        <stp>CL1 Comdty</stp>
        <stp>RSI_30D</stp>
        <stp>16/12/2016</stp>
        <stp>16/12/2016</stp>
        <stp>[Bbg_Market_Data_CL.xlsm]data!R79C14</stp>
        <tr r="N79" s="1"/>
      </tp>
      <tp t="s">
        <v>#N/A Requesting Data...</v>
        <stp/>
        <stp>##V3_BDHV12</stp>
        <stp>CL1 Comdty</stp>
        <stp>RSI_30D</stp>
        <stp>06/02/2017</stp>
        <stp>06/02/2017</stp>
        <stp>[Bbg_Market_Data_CL.xlsm]data!R46C14</stp>
        <tr r="N46" s="1"/>
      </tp>
      <tp t="s">
        <v>#N/A Requesting Data...</v>
        <stp/>
        <stp>##V3_BDHV12</stp>
        <stp>CL2 Comdty</stp>
        <stp>RSI_14D</stp>
        <stp>27/12/2016</stp>
        <stp>27/12/2016</stp>
        <stp>[Bbg_Market_Data_CL.xlsm]data!R73C13</stp>
        <tr r="M73" s="1"/>
      </tp>
      <tp t="s">
        <v>#N/A Requesting Data...</v>
        <stp/>
        <stp>##V3_BDHV12</stp>
        <stp>CL2 Comdty</stp>
        <stp>RSI_30D</stp>
        <stp>05/01/2017</stp>
        <stp>05/01/2017</stp>
        <stp>[Bbg_Market_Data_CL.xlsm]data!R67C14</stp>
        <tr r="N67" s="1"/>
      </tp>
      <tp t="s">
        <v>#N/A Requesting Data...</v>
        <stp/>
        <stp>##V3_BDHV12</stp>
        <stp>CL1 Comdty</stp>
        <stp>RSI_14D</stp>
        <stp>14/03/2017</stp>
        <stp>14/03/2017</stp>
        <stp>[Bbg_Market_Data_CL.xlsm]data!R21C13</stp>
        <tr r="M21" s="1"/>
      </tp>
      <tp t="s">
        <v>#N/A Requesting Data...</v>
        <stp/>
        <stp>##V3_BDHV12</stp>
        <stp>CL2 Comdty</stp>
        <stp>RSI_14D</stp>
        <stp>27/03/2017</stp>
        <stp>27/03/2017</stp>
        <stp>[Bbg_Market_Data_CL.xlsm]data!R12C13</stp>
        <tr r="M12" s="1"/>
      </tp>
      <tp t="s">
        <v>#N/A Requesting Data...</v>
        <stp/>
        <stp>##V3_BDHV12</stp>
        <stp>CL1 Comdty</stp>
        <stp>RSI_30D</stp>
        <stp>16/03/2017</stp>
        <stp>16/03/2017</stp>
        <stp>[Bbg_Market_Data_CL.xlsm]data!R19C14</stp>
        <tr r="N19" s="1"/>
      </tp>
      <tp t="s">
        <v>#N/A Requesting Data...</v>
        <stp/>
        <stp>##V3_BDHV12</stp>
        <stp>CL2 Comdty</stp>
        <stp>RSI_14D</stp>
        <stp>17/11/2016</stp>
        <stp>17/11/2016</stp>
        <stp>[Bbg_Market_Data_CL.xlsm]data!R99C13</stp>
        <tr r="M99" s="1"/>
      </tp>
      <tp t="s">
        <v>#N/A Requesting Data...</v>
        <stp/>
        <stp>##V3_BDHV12</stp>
        <stp>CL1 Comdty</stp>
        <stp>RSI_14D</stp>
        <stp>14/12/2016</stp>
        <stp>14/12/2016</stp>
        <stp>[Bbg_Market_Data_CL.xlsm]data!R81C13</stp>
        <tr r="M81" s="1"/>
      </tp>
      <tp t="s">
        <v>#N/A Requesting Data...</v>
        <stp/>
        <stp>##V3_BDHV12</stp>
        <stp>CL2 Comdty</stp>
        <stp>RSI_30D</stp>
        <stp>04/01/2017</stp>
        <stp>04/01/2017</stp>
        <stp>[Bbg_Market_Data_CL.xlsm]data!R68C14</stp>
        <tr r="N68" s="1"/>
      </tp>
      <tp t="s">
        <v>#N/A Requesting Data...</v>
        <stp/>
        <stp>##V3_BDHV12</stp>
        <stp>CL1 Comdty</stp>
        <stp>RSI_30D</stp>
        <stp>07/02/2017</stp>
        <stp>07/02/2017</stp>
        <stp>[Bbg_Market_Data_CL.xlsm]data!R45C14</stp>
        <tr r="N45" s="1"/>
      </tp>
      <tp t="s">
        <v>#N/A Requesting Data...</v>
        <stp/>
        <stp>##V3_BDHV12</stp>
        <stp>CL2 Comdty</stp>
        <stp>RSI_14D</stp>
        <stp>06/01/2017</stp>
        <stp>06/01/2017</stp>
        <stp>[Bbg_Market_Data_CL.xlsm]data!R66C13</stp>
        <tr r="M66" s="1"/>
      </tp>
      <tp t="s">
        <v>#N/A Requesting Data...</v>
        <stp/>
        <stp>##V3_BDHV12</stp>
        <stp>CL1 Comdty</stp>
        <stp>RSI_14D</stp>
        <stp>15/03/2017</stp>
        <stp>15/03/2017</stp>
        <stp>[Bbg_Market_Data_CL.xlsm]data!R20C13</stp>
        <tr r="M20" s="1"/>
      </tp>
      <tp t="s">
        <v>#N/A Requesting Data...</v>
        <stp/>
        <stp>##V3_BDHV12</stp>
        <stp>CL2 Comdty</stp>
        <stp>RSI_30D</stp>
        <stp>24/03/2017</stp>
        <stp>24/03/2017</stp>
        <stp>[Bbg_Market_Data_CL.xlsm]data!R13C14</stp>
        <tr r="N13" s="1"/>
      </tp>
      <tp t="s">
        <v>#N/A Requesting Data...</v>
        <stp/>
        <stp>##V3_BDHV12</stp>
        <stp>CL1 Comdty</stp>
        <stp>RSI_30D</stp>
        <stp>17/03/2017</stp>
        <stp>17/03/2017</stp>
        <stp>[Bbg_Market_Data_CL.xlsm]data!R18C14</stp>
        <tr r="N18" s="1"/>
      </tp>
      <tp t="s">
        <v>#N/A Requesting Data...</v>
        <stp/>
        <stp>##V3_BDHV12</stp>
        <stp>CL1 Comdty</stp>
        <stp>RSI_14D</stp>
        <stp>25/11/2016</stp>
        <stp>25/11/2016</stp>
        <stp>[Bbg_Market_Data_CL.xlsm]data!R94C13</stp>
        <tr r="M94" s="1"/>
      </tp>
      <tp t="s">
        <v>#N/A Requesting Data...</v>
        <stp/>
        <stp>##V3_BDHV12</stp>
        <stp>CL1 Comdty</stp>
        <stp>RSI_14D</stp>
        <stp>15/12/2016</stp>
        <stp>15/12/2016</stp>
        <stp>[Bbg_Market_Data_CL.xlsm]data!R80C13</stp>
        <tr r="M80" s="1"/>
      </tp>
      <tp t="s">
        <v>#N/A Requesting Data...</v>
        <stp/>
        <stp>##V3_BDHV12</stp>
        <stp>CL2 Comdty</stp>
        <stp>RSI_14D</stp>
        <stp>05/01/2017</stp>
        <stp>05/01/2017</stp>
        <stp>[Bbg_Market_Data_CL.xlsm]data!R67C13</stp>
        <tr r="M67" s="1"/>
      </tp>
      <tp t="s">
        <v>#N/A Requesting Data...</v>
        <stp/>
        <stp>##V3_BDHV12</stp>
        <stp>CL1 Comdty</stp>
        <stp>RSI_14D</stp>
        <stp>06/02/2017</stp>
        <stp>06/02/2017</stp>
        <stp>[Bbg_Market_Data_CL.xlsm]data!R46C13</stp>
        <tr r="M46" s="1"/>
      </tp>
      <tp t="s">
        <v>#N/A Requesting Data...</v>
        <stp/>
        <stp>##V3_BDHV12</stp>
        <stp>CL2 Comdty</stp>
        <stp>RSI_30D</stp>
        <stp>27/12/2016</stp>
        <stp>27/12/2016</stp>
        <stp>[Bbg_Market_Data_CL.xlsm]data!R73C14</stp>
        <tr r="N73" s="1"/>
      </tp>
      <tp t="s">
        <v>#N/A Requesting Data...</v>
        <stp/>
        <stp>##V3_BDHV12</stp>
        <stp>CL1 Comdty</stp>
        <stp>RSI_14D</stp>
        <stp>16/12/2016</stp>
        <stp>16/12/2016</stp>
        <stp>[Bbg_Market_Data_CL.xlsm]data!R79C13</stp>
        <tr r="M79" s="1"/>
      </tp>
      <tp t="s">
        <v>#N/A Requesting Data...</v>
        <stp/>
        <stp>##V3_BDHV12</stp>
        <stp>CL1 Comdty</stp>
        <stp>RSI_14D</stp>
        <stp>16/03/2017</stp>
        <stp>16/03/2017</stp>
        <stp>[Bbg_Market_Data_CL.xlsm]data!R19C13</stp>
        <tr r="M19" s="1"/>
      </tp>
      <tp t="s">
        <v>#N/A Requesting Data...</v>
        <stp/>
        <stp>##V3_BDHV12</stp>
        <stp>CL1 Comdty</stp>
        <stp>RSI_30D</stp>
        <stp>14/03/2017</stp>
        <stp>14/03/2017</stp>
        <stp>[Bbg_Market_Data_CL.xlsm]data!R21C14</stp>
        <tr r="N21" s="1"/>
      </tp>
      <tp t="s">
        <v>#N/A Requesting Data...</v>
        <stp/>
        <stp>##V3_BDHV12</stp>
        <stp>CL2 Comdty</stp>
        <stp>RSI_30D</stp>
        <stp>27/03/2017</stp>
        <stp>27/03/2017</stp>
        <stp>[Bbg_Market_Data_CL.xlsm]data!R12C14</stp>
        <tr r="N12" s="1"/>
      </tp>
      <tp t="s">
        <v>#N/A Requesting Data...</v>
        <stp/>
        <stp>##V3_BDHV12</stp>
        <stp>CL1 Comdty</stp>
        <stp>RSI_30D</stp>
        <stp>14/12/2016</stp>
        <stp>14/12/2016</stp>
        <stp>[Bbg_Market_Data_CL.xlsm]data!R81C14</stp>
        <tr r="N81" s="1"/>
      </tp>
      <tp t="s">
        <v>#N/A Requesting Data...</v>
        <stp/>
        <stp>##V3_BDHV12</stp>
        <stp>CL2 Comdty</stp>
        <stp>RSI_30D</stp>
        <stp>17/11/2016</stp>
        <stp>17/11/2016</stp>
        <stp>[Bbg_Market_Data_CL.xlsm]data!R99C14</stp>
        <tr r="N99" s="1"/>
      </tp>
      <tp t="s">
        <v>#N/A Requesting Data...</v>
        <stp/>
        <stp>##V3_BDHV12</stp>
        <stp>CL1 Comdty</stp>
        <stp>RSI_14D</stp>
        <stp>07/02/2017</stp>
        <stp>07/02/2017</stp>
        <stp>[Bbg_Market_Data_CL.xlsm]data!R45C13</stp>
        <tr r="M45" s="1"/>
      </tp>
      <tp t="s">
        <v>#N/A Requesting Data...</v>
        <stp/>
        <stp>##V3_BDHV12</stp>
        <stp>CL2 Comdty</stp>
        <stp>RSI_30D</stp>
        <stp>06/01/2017</stp>
        <stp>06/01/2017</stp>
        <stp>[Bbg_Market_Data_CL.xlsm]data!R66C14</stp>
        <tr r="N66" s="1"/>
      </tp>
      <tp t="s">
        <v>#N/A Requesting Data...</v>
        <stp/>
        <stp>##V3_BDHV12</stp>
        <stp>CL2 Comdty</stp>
        <stp>RSI_14D</stp>
        <stp>04/01/2017</stp>
        <stp>04/01/2017</stp>
        <stp>[Bbg_Market_Data_CL.xlsm]data!R68C13</stp>
        <tr r="M68" s="1"/>
      </tp>
      <tp t="s">
        <v>#N/A Requesting Data...</v>
        <stp/>
        <stp>##V3_BDHV12</stp>
        <stp>CL1 Comdty</stp>
        <stp>RSI_14D</stp>
        <stp>17/03/2017</stp>
        <stp>17/03/2017</stp>
        <stp>[Bbg_Market_Data_CL.xlsm]data!R18C13</stp>
        <tr r="M18" s="1"/>
      </tp>
      <tp t="s">
        <v>#N/A Requesting Data...</v>
        <stp/>
        <stp>##V3_BDHV12</stp>
        <stp>CL2 Comdty</stp>
        <stp>RSI_14D</stp>
        <stp>24/03/2017</stp>
        <stp>24/03/2017</stp>
        <stp>[Bbg_Market_Data_CL.xlsm]data!R13C13</stp>
        <tr r="M13" s="1"/>
      </tp>
      <tp t="s">
        <v>#N/A Requesting Data...</v>
        <stp/>
        <stp>##V3_BDHV12</stp>
        <stp>CL1 Comdty</stp>
        <stp>RSI_30D</stp>
        <stp>15/03/2017</stp>
        <stp>15/03/2017</stp>
        <stp>[Bbg_Market_Data_CL.xlsm]data!R20C14</stp>
        <tr r="N20" s="1"/>
      </tp>
      <tp t="s">
        <v>#N/A Requesting Data...</v>
        <stp/>
        <stp>##V3_BDHV12</stp>
        <stp>CL1 Comdty</stp>
        <stp>RSI_30D</stp>
        <stp>15/12/2016</stp>
        <stp>15/12/2016</stp>
        <stp>[Bbg_Market_Data_CL.xlsm]data!R80C14</stp>
        <tr r="N80" s="1"/>
      </tp>
      <tp t="s">
        <v>#N/A Requesting Data...</v>
        <stp/>
        <stp>##V3_BDHV12</stp>
        <stp>CL1 Comdty</stp>
        <stp>RSI_30D</stp>
        <stp>25/11/2016</stp>
        <stp>25/11/2016</stp>
        <stp>[Bbg_Market_Data_CL.xlsm]data!R94C14</stp>
        <tr r="N94" s="1"/>
      </tp>
      <tp t="s">
        <v>#N/A Requesting Data...</v>
        <stp/>
        <stp>##V3_BDHV12</stp>
        <stp>CL1 Comdty</stp>
        <stp>RSI_14D</stp>
        <stp>28/11/2016</stp>
        <stp>28/11/2016</stp>
        <stp>[Bbg_Market_Data_CL.xlsm]data!R93C13</stp>
        <tr r="M93" s="1"/>
      </tp>
      <tp t="s">
        <v>#N/A Requesting Data...</v>
        <stp/>
        <stp>##V3_BDHV12</stp>
        <stp>CL2 Comdty</stp>
        <stp>RSI_30D</stp>
        <stp>29/03/2017</stp>
        <stp>29/03/2017</stp>
        <stp>[Bbg_Market_Data_CL.xlsm]data!R10C14</stp>
        <tr r="N10" s="1"/>
      </tp>
      <tp t="s">
        <v>#N/A Requesting Data...</v>
        <stp/>
        <stp>##V3_BDHV12</stp>
        <stp>CL1 Comdty</stp>
        <stp>RSI_14D</stp>
        <stp>08/02/2017</stp>
        <stp>08/02/2017</stp>
        <stp>[Bbg_Market_Data_CL.xlsm]data!R44C13</stp>
        <tr r="M44" s="1"/>
      </tp>
      <tp t="s">
        <v>#N/A Requesting Data...</v>
        <stp/>
        <stp>##V3_BDHV12</stp>
        <stp>CL2 Comdty</stp>
        <stp>RSI_30D</stp>
        <stp>09/01/2017</stp>
        <stp>09/01/2017</stp>
        <stp>[Bbg_Market_Data_CL.xlsm]data!R65C14</stp>
        <tr r="N65" s="1"/>
      </tp>
      <tp t="s">
        <v>#N/A Requesting Data...</v>
        <stp/>
        <stp>##V3_BDHV12</stp>
        <stp>CL2 Comdty</stp>
        <stp>RSI_30D</stp>
        <stp>29/12/2016</stp>
        <stp>29/12/2016</stp>
        <stp>[Bbg_Market_Data_CL.xlsm]data!R71C14</stp>
        <tr r="N71" s="1"/>
      </tp>
      <tp t="s">
        <v>#N/A Requesting Data...</v>
        <stp/>
        <stp>##V3_BDHV12</stp>
        <stp>CL2 Comdty</stp>
        <stp>RSI_30D</stp>
        <stp>18/11/2016</stp>
        <stp>18/11/2016</stp>
        <stp>[Bbg_Market_Data_CL.xlsm]data!R98C14</stp>
        <tr r="N98" s="1"/>
      </tp>
      <tp t="s">
        <v>#N/A Requesting Data...</v>
        <stp/>
        <stp>##V3_BDHV12</stp>
        <stp>CL1 Comdty</stp>
        <stp>RSI_14D</stp>
        <stp>29/11/2016</stp>
        <stp>29/11/2016</stp>
        <stp>[Bbg_Market_Data_CL.xlsm]data!R92C13</stp>
        <tr r="M92" s="1"/>
      </tp>
      <tp t="s">
        <v>#N/A Requesting Data...</v>
        <stp/>
        <stp>##V3_BDHV12</stp>
        <stp>CL2 Comdty</stp>
        <stp>RSI_30D</stp>
        <stp>28/03/2017</stp>
        <stp>28/03/2017</stp>
        <stp>[Bbg_Market_Data_CL.xlsm]data!R11C14</stp>
        <tr r="N11" s="1"/>
      </tp>
      <tp t="s">
        <v>#N/A Requesting Data...</v>
        <stp/>
        <stp>##V3_BDHV12</stp>
        <stp>CL1 Comdty</stp>
        <stp>RSI_14D</stp>
        <stp>19/12/2016</stp>
        <stp>19/12/2016</stp>
        <stp>[Bbg_Market_Data_CL.xlsm]data!R78C13</stp>
        <tr r="M78" s="1"/>
      </tp>
      <tp t="s">
        <v>#N/A Requesting Data...</v>
        <stp/>
        <stp>##V3_BDHV12</stp>
        <stp>CL1 Comdty</stp>
        <stp>RSI_14D</stp>
        <stp>09/02/2017</stp>
        <stp>09/02/2017</stp>
        <stp>[Bbg_Market_Data_CL.xlsm]data!R43C13</stp>
        <tr r="M43" s="1"/>
      </tp>
      <tp t="s">
        <v>#N/A Requesting Data...</v>
        <stp/>
        <stp>##V3_BDHV12</stp>
        <stp>CL2 Comdty</stp>
        <stp>RSI_30D</stp>
        <stp>28/12/2016</stp>
        <stp>28/12/2016</stp>
        <stp>[Bbg_Market_Data_CL.xlsm]data!R72C14</stp>
        <tr r="N72" s="1"/>
      </tp>
      <tp t="s">
        <v>#N/A Requesting Data...</v>
        <stp/>
        <stp>##V3_BDHV12</stp>
        <stp>CL1 Comdty</stp>
        <stp>RSI_30D</stp>
        <stp>28/11/2016</stp>
        <stp>28/11/2016</stp>
        <stp>[Bbg_Market_Data_CL.xlsm]data!R93C14</stp>
        <tr r="N93" s="1"/>
      </tp>
      <tp t="s">
        <v>#N/A Requesting Data...</v>
        <stp/>
        <stp>##V3_BDHV12</stp>
        <stp>CL2 Comdty</stp>
        <stp>RSI_14D</stp>
        <stp>29/03/2017</stp>
        <stp>29/03/2017</stp>
        <stp>[Bbg_Market_Data_CL.xlsm]data!R10C13</stp>
        <tr r="M10" s="1"/>
      </tp>
      <tp t="s">
        <v>#N/A Requesting Data...</v>
        <stp/>
        <stp>##V3_BDHV12</stp>
        <stp>CL1 Comdty</stp>
        <stp>RSI_30D</stp>
        <stp>08/02/2017</stp>
        <stp>08/02/2017</stp>
        <stp>[Bbg_Market_Data_CL.xlsm]data!R44C14</stp>
        <tr r="N44" s="1"/>
      </tp>
      <tp t="s">
        <v>#N/A Requesting Data...</v>
        <stp/>
        <stp>##V3_BDHV12</stp>
        <stp>CL2 Comdty</stp>
        <stp>RSI_14D</stp>
        <stp>09/01/2017</stp>
        <stp>09/01/2017</stp>
        <stp>[Bbg_Market_Data_CL.xlsm]data!R65C13</stp>
        <tr r="M65" s="1"/>
      </tp>
      <tp t="s">
        <v>#N/A Requesting Data...</v>
        <stp/>
        <stp>##V3_BDHV12</stp>
        <stp>CL2 Comdty</stp>
        <stp>RSI_14D</stp>
        <stp>29/12/2016</stp>
        <stp>29/12/2016</stp>
        <stp>[Bbg_Market_Data_CL.xlsm]data!R71C13</stp>
        <tr r="M71" s="1"/>
      </tp>
      <tp t="s">
        <v>#N/A Requesting Data...</v>
        <stp/>
        <stp>##V3_BDHV12</stp>
        <stp>CL1 Comdty</stp>
        <stp>RSI_30D</stp>
        <stp>29/11/2016</stp>
        <stp>29/11/2016</stp>
        <stp>[Bbg_Market_Data_CL.xlsm]data!R92C14</stp>
        <tr r="N92" s="1"/>
      </tp>
      <tp t="s">
        <v>#N/A Requesting Data...</v>
        <stp/>
        <stp>##V3_BDHV12</stp>
        <stp>CL2 Comdty</stp>
        <stp>RSI_14D</stp>
        <stp>18/11/2016</stp>
        <stp>18/11/2016</stp>
        <stp>[Bbg_Market_Data_CL.xlsm]data!R98C13</stp>
        <tr r="M98" s="1"/>
      </tp>
      <tp t="s">
        <v>#N/A Requesting Data...</v>
        <stp/>
        <stp>##V3_BDHV12</stp>
        <stp>CL2 Comdty</stp>
        <stp>RSI_14D</stp>
        <stp>28/03/2017</stp>
        <stp>28/03/2017</stp>
        <stp>[Bbg_Market_Data_CL.xlsm]data!R11C13</stp>
        <tr r="M11" s="1"/>
      </tp>
      <tp t="s">
        <v>#N/A Requesting Data...</v>
        <stp/>
        <stp>##V3_BDHV12</stp>
        <stp>CL1 Comdty</stp>
        <stp>RSI_30D</stp>
        <stp>09/02/2017</stp>
        <stp>09/02/2017</stp>
        <stp>[Bbg_Market_Data_CL.xlsm]data!R43C14</stp>
        <tr r="N43" s="1"/>
      </tp>
      <tp t="s">
        <v>#N/A Requesting Data...</v>
        <stp/>
        <stp>##V3_BDHV12</stp>
        <stp>CL2 Comdty</stp>
        <stp>RSI_14D</stp>
        <stp>28/12/2016</stp>
        <stp>28/12/2016</stp>
        <stp>[Bbg_Market_Data_CL.xlsm]data!R72C13</stp>
        <tr r="M72" s="1"/>
      </tp>
      <tp t="s">
        <v>#N/A Requesting Data...</v>
        <stp/>
        <stp>##V3_BDHV12</stp>
        <stp>CL1 Comdty</stp>
        <stp>RSI_30D</stp>
        <stp>19/12/2016</stp>
        <stp>19/12/2016</stp>
        <stp>[Bbg_Market_Data_CL.xlsm]data!R78C14</stp>
        <tr r="N78" s="1"/>
      </tp>
      <tp t="s">
        <v>#N/A Requesting Data...</v>
        <stp/>
        <stp>##V3_BDHV12</stp>
        <stp>CL2 Comdty</stp>
        <stp>PX_LAST</stp>
        <stp>09/01/2017</stp>
        <stp>09/01/2017</stp>
        <stp>[Bbg_Market_Data_CL.xlsm]data!R65C9</stp>
        <tr r="I65" s="1"/>
      </tp>
      <tp t="s">
        <v>#N/A Requesting Data...</v>
        <stp/>
        <stp>##V3_BDHV12</stp>
        <stp>CL2 Comdty</stp>
        <stp>PX_LAST</stp>
        <stp>23/12/2016</stp>
        <stp>23/12/2016</stp>
        <stp>[Bbg_Market_Data_CL.xlsm]data!R74C9</stp>
        <tr r="I74" s="1"/>
      </tp>
      <tp t="s">
        <v>#N/A Requesting Data...</v>
        <stp/>
        <stp>##V3_BDHV12</stp>
        <stp>CL2 Comdty</stp>
        <stp>PX_LAST</stp>
        <stp>22/03/2017</stp>
        <stp>22/03/2017</stp>
        <stp>[Bbg_Market_Data_CL.xlsm]data!R15C9</stp>
        <tr r="I15" s="1"/>
      </tp>
      <tp t="s">
        <v>#N/A Requesting Data...</v>
        <stp/>
        <stp>##V3_BDHV12</stp>
        <stp>CL1 Comdty</stp>
        <stp>PX_LAST</stp>
        <stp>07/02/2017</stp>
        <stp>07/02/2017</stp>
        <stp>[Bbg_Market_Data_CL.xlsm]data!R45C9</stp>
        <tr r="I45" s="1"/>
      </tp>
      <tp t="s">
        <v>#N/A Requesting Data...</v>
        <stp/>
        <stp>##V3_BDHV12</stp>
        <stp>CL1 Comdty</stp>
        <stp>PX_LAST</stp>
        <stp>25/11/2016</stp>
        <stp>25/11/2016</stp>
        <stp>[Bbg_Market_Data_CL.xlsm]data!R94C9</stp>
        <tr r="I94" s="1"/>
      </tp>
      <tp t="s">
        <v>#N/A Requesting Data...</v>
        <stp/>
        <stp>##V3_BDHV12</stp>
        <stp>CL1 Comdty</stp>
        <stp>PX_LAST</stp>
        <stp>09/12/2016</stp>
        <stp>09/12/2016</stp>
        <stp>[Bbg_Market_Data_CL.xlsm]data!R84C9</stp>
        <tr r="I84" s="1"/>
      </tp>
      <tp t="s">
        <v>#N/A Requesting Data...</v>
        <stp/>
        <stp>##V3_BDHV12</stp>
        <stp>CL1 Comdty</stp>
        <stp>PX_LAST</stp>
        <stp>08/03/2017</stp>
        <stp>08/03/2017</stp>
        <stp>[Bbg_Market_Data_CL.xlsm]data!R25C9</stp>
        <tr r="I25" s="1"/>
      </tp>
      <tp t="s">
        <v>#N/A Requesting Data...</v>
        <stp/>
        <stp>##V3_BDHV12</stp>
        <stp>CL2 Comdty</stp>
        <stp>PX_LAST</stp>
        <stp>22/02/2017</stp>
        <stp>22/02/2017</stp>
        <stp>[Bbg_Market_Data_CL.xlsm]data!R35C9</stp>
        <tr r="I35" s="1"/>
      </tp>
      <tp t="s">
        <v>#N/A Requesting Data...</v>
        <stp/>
        <stp>##V3_BDHV12</stp>
        <stp>CL1 Comdty</stp>
        <stp>PX_LAST</stp>
        <stp>24/01/2017</stp>
        <stp>24/01/2017</stp>
        <stp>[Bbg_Market_Data_CL.xlsm]data!R55C9</stp>
        <tr r="I55" s="1"/>
      </tp>
      <tp t="s">
        <v>#N/A Requesting Data...</v>
        <stp/>
        <stp>##V3_BDHV12</stp>
        <stp>CL2 Comdty</stp>
        <stp>PX_LAST</stp>
        <stp>09/12/2016</stp>
        <stp>09/12/2016</stp>
        <stp>[Bbg_Market_Data_CL.xlsm]data!R84C9</stp>
        <tr r="I84" s="1"/>
      </tp>
      <tp t="s">
        <v>#N/A Requesting Data...</v>
        <stp/>
        <stp>##V3_BDHV12</stp>
        <stp>CL2 Comdty</stp>
        <stp>PX_LAST</stp>
        <stp>08/03/2017</stp>
        <stp>08/03/2017</stp>
        <stp>[Bbg_Market_Data_CL.xlsm]data!R25C9</stp>
        <tr r="I25" s="1"/>
      </tp>
      <tp t="s">
        <v>#N/A Requesting Data...</v>
        <stp/>
        <stp>##V3_BDHV12</stp>
        <stp>CL1 Comdty</stp>
        <stp>PX_LAST</stp>
        <stp>22/02/2017</stp>
        <stp>22/02/2017</stp>
        <stp>[Bbg_Market_Data_CL.xlsm]data!R35C9</stp>
        <tr r="I35" s="1"/>
      </tp>
      <tp t="s">
        <v>#N/A Requesting Data...</v>
        <stp/>
        <stp>##V3_BDHV12</stp>
        <stp>CL2 Comdty</stp>
        <stp>PX_LAST</stp>
        <stp>24/01/2017</stp>
        <stp>24/01/2017</stp>
        <stp>[Bbg_Market_Data_CL.xlsm]data!R55C9</stp>
        <tr r="I55" s="1"/>
      </tp>
      <tp t="s">
        <v>#N/A Requesting Data...</v>
        <stp/>
        <stp>##V3_BDHV12</stp>
        <stp>CL1 Comdty</stp>
        <stp>PX_LAST</stp>
        <stp>09/01/2017</stp>
        <stp>09/01/2017</stp>
        <stp>[Bbg_Market_Data_CL.xlsm]data!R65C9</stp>
        <tr r="I65" s="1"/>
      </tp>
      <tp t="s">
        <v>#N/A Requesting Data...</v>
        <stp/>
        <stp>##V3_BDHV12</stp>
        <stp>CL1 Comdty</stp>
        <stp>PX_LAST</stp>
        <stp>23/12/2016</stp>
        <stp>23/12/2016</stp>
        <stp>[Bbg_Market_Data_CL.xlsm]data!R74C9</stp>
        <tr r="I74" s="1"/>
      </tp>
      <tp t="s">
        <v>#N/A Requesting Data...</v>
        <stp/>
        <stp>##V3_BDHV12</stp>
        <stp>CL1 Comdty</stp>
        <stp>PX_LAST</stp>
        <stp>22/03/2017</stp>
        <stp>22/03/2017</stp>
        <stp>[Bbg_Market_Data_CL.xlsm]data!R15C9</stp>
        <tr r="I15" s="1"/>
      </tp>
      <tp t="s">
        <v>#N/A Requesting Data...</v>
        <stp/>
        <stp>##V3_BDHV12</stp>
        <stp>CL2 Comdty</stp>
        <stp>PX_LAST</stp>
        <stp>07/02/2017</stp>
        <stp>07/02/2017</stp>
        <stp>[Bbg_Market_Data_CL.xlsm]data!R45C9</stp>
        <tr r="I45" s="1"/>
      </tp>
      <tp t="s">
        <v>#N/A Requesting Data...</v>
        <stp/>
        <stp>##V3_BDHV12</stp>
        <stp>CL2 Comdty</stp>
        <stp>PX_LAST</stp>
        <stp>25/11/2016</stp>
        <stp>25/11/2016</stp>
        <stp>[Bbg_Market_Data_CL.xlsm]data!R94C9</stp>
        <tr r="I94" s="1"/>
      </tp>
      <tp t="s">
        <v>#N/A Requesting Data...</v>
        <stp/>
        <stp>##V3_BDHV12</stp>
        <stp>CL1 Comdty</stp>
        <stp>30DAY_IMPVOL_90.0%MNY_DF</stp>
        <stp>03/08/2016</stp>
        <stp>03/08/2016</stp>
        <stp>[Bbg_Market_Data_CL.xlsm]data!R170C23</stp>
        <tr r="W170" s="1"/>
      </tp>
      <tp t="s">
        <v>#N/A Requesting Data...</v>
        <stp/>
        <stp>##V3_BDHV12</stp>
        <stp>CL1 Comdty</stp>
        <stp>30DAY_IMPVOL_90.0%MNY_DF</stp>
        <stp>13/09/2016</stp>
        <stp>13/09/2016</stp>
        <stp>[Bbg_Market_Data_CL.xlsm]data!R143C23</stp>
        <tr r="W143" s="1"/>
      </tp>
      <tp t="s">
        <v>#N/A Requesting Data...</v>
        <stp/>
        <stp>##V3_BDHV12</stp>
        <stp>SPGSCLP Index</stp>
        <stp>CHG_PCT_5D</stp>
        <stp>28/09/2015</stp>
        <stp>28/09/2015</stp>
        <stp>[Bbg_Market_Data_CL.xlsm]data!R382C4</stp>
        <tr r="D382" s="1"/>
      </tp>
      <tp t="s">
        <v>#N/A Requesting Data...</v>
        <stp/>
        <stp>##V3_BDHV12</stp>
        <stp>SPGSCLP Index</stp>
        <stp>CHG_PCT_5D</stp>
        <stp>19/08/2016</stp>
        <stp>19/08/2016</stp>
        <stp>[Bbg_Market_Data_CL.xlsm]data!R160C4</stp>
        <tr r="D160" s="1"/>
      </tp>
      <tp t="s">
        <v>#N/A Requesting Data...</v>
        <stp/>
        <stp>##V3_BDHV12</stp>
        <stp>SPGSCLP Index</stp>
        <stp>CHG_PCT_1D</stp>
        <stp>28/09/2015</stp>
        <stp>28/09/2015</stp>
        <stp>[Bbg_Market_Data_CL.xlsm]data!R382C3</stp>
        <tr r="C382" s="1"/>
      </tp>
      <tp t="s">
        <v>#N/A Requesting Data...</v>
        <stp/>
        <stp>##V3_BDHV12</stp>
        <stp>SPGSCLP Index</stp>
        <stp>CHG_PCT_1D</stp>
        <stp>19/08/2016</stp>
        <stp>19/08/2016</stp>
        <stp>[Bbg_Market_Data_CL.xlsm]data!R160C3</stp>
        <tr r="C160" s="1"/>
      </tp>
      <tp t="s">
        <v>#N/A Requesting Data...</v>
        <stp/>
        <stp>##V3_BDHV12</stp>
        <stp>SPGSCLP Index</stp>
        <stp>CHG_PCT_1D</stp>
        <stp>30/03/2016</stp>
        <stp>30/03/2016</stp>
        <stp>[Bbg_Market_Data_CL.xlsm]data!R259C3</stp>
        <tr r="C259" s="1"/>
      </tp>
      <tp t="s">
        <v>#N/A Requesting Data...</v>
        <stp/>
        <stp>##V3_BDHV12</stp>
        <stp>SPGSCLP Index</stp>
        <stp>CHG_PCT_5D</stp>
        <stp>30/03/2016</stp>
        <stp>30/03/2016</stp>
        <stp>[Bbg_Market_Data_CL.xlsm]data!R259C4</stp>
        <tr r="D259" s="1"/>
      </tp>
      <tp t="s">
        <v>#N/A Requesting Data...</v>
        <stp/>
        <stp>##V3_BDHV12</stp>
        <stp>CL1 Comdty</stp>
        <stp>30DAY_IMPVOL_90.0%MNY_DF</stp>
        <stp>12/08/2016</stp>
        <stp>12/08/2016</stp>
        <stp>[Bbg_Market_Data_CL.xlsm]data!R164C23</stp>
        <tr r="W164" s="1"/>
      </tp>
      <tp t="s">
        <v>#N/A Requesting Data...</v>
        <stp/>
        <stp>##V3_BDHV12</stp>
        <stp>CL1 Comdty</stp>
        <stp>30DAY_IMPVOL_90.0%MNY_DF</stp>
        <stp>02/09/2016</stp>
        <stp>02/09/2016</stp>
        <stp>[Bbg_Market_Data_CL.xlsm]data!R149C23</stp>
        <tr r="W149" s="1"/>
      </tp>
      <tp t="s">
        <v>#N/A Requesting Data...</v>
        <stp/>
        <stp>##V3_BDHV12</stp>
        <stp>CL1 Comdty</stp>
        <stp>30DAY_IMPVOL_95.0%MNY_DF</stp>
        <stp>11/08/2015</stp>
        <stp>11/08/2015</stp>
        <stp>[Bbg_Market_Data_CL.xlsm]data!R414C21</stp>
        <tr r="U414" s="1"/>
      </tp>
      <tp t="s">
        <v>#N/A Requesting Data...</v>
        <stp/>
        <stp>##V3_BDHV12</stp>
        <stp>CL1 Comdty</stp>
        <stp>30DAY_IMPVOL_90.0%MNY_DF</stp>
        <stp>23/09/2015</stp>
        <stp>23/09/2015</stp>
        <stp>[Bbg_Market_Data_CL.xlsm]data!R384C23</stp>
        <tr r="W384" s="1"/>
      </tp>
      <tp t="s">
        <v>#N/A Requesting Data...</v>
        <stp/>
        <stp>##V3_BDHV12</stp>
        <stp>SPGSCLP Index</stp>
        <stp>CHG_PCT_1D</stp>
        <stp>02/10/2015</stp>
        <stp>02/10/2015</stp>
        <stp>[Bbg_Market_Data_CL.xlsm]data!R378C3</stp>
        <tr r="C378" s="1"/>
      </tp>
      <tp t="s">
        <v>#N/A Requesting Data...</v>
        <stp/>
        <stp>##V3_BDHV12</stp>
        <stp>SPGSCLP Index</stp>
        <stp>CHG_PCT_5D</stp>
        <stp>02/10/2015</stp>
        <stp>02/10/2015</stp>
        <stp>[Bbg_Market_Data_CL.xlsm]data!R378C4</stp>
        <tr r="D378" s="1"/>
      </tp>
      <tp t="s">
        <v>#N/A Requesting Data...</v>
        <stp/>
        <stp>##V3_BDHV12</stp>
        <stp>CL1 Comdty</stp>
        <stp>30DAY_IMPVOL_90.0%MNY_DF</stp>
        <stp>10/09/2015</stp>
        <stp>10/09/2015</stp>
        <stp>[Bbg_Market_Data_CL.xlsm]data!R393C23</stp>
        <tr r="W393" s="1"/>
      </tp>
      <tp t="s">
        <v>#N/A Requesting Data...</v>
        <stp/>
        <stp>##V3_BDHV12</stp>
        <stp>SPGSCLP Index</stp>
        <stp>CHG_PCT_1D</stp>
        <stp>18/08/2015</stp>
        <stp>18/08/2015</stp>
        <stp>[Bbg_Market_Data_CL.xlsm]data!R410C3</stp>
        <tr r="C410" s="1"/>
      </tp>
      <tp t="s">
        <v>#N/A Requesting Data...</v>
        <stp/>
        <stp>##V3_BDHV12</stp>
        <stp>SPGSCLP Index</stp>
        <stp>CHG_PCT_5D</stp>
        <stp>18/08/2015</stp>
        <stp>18/08/2015</stp>
        <stp>[Bbg_Market_Data_CL.xlsm]data!R410C4</stp>
        <tr r="D410" s="1"/>
      </tp>
      <tp t="s">
        <v>#N/A Requesting Data...</v>
        <stp/>
        <stp>##V3_BDHV12</stp>
        <stp>SPGSCLP Index</stp>
        <stp>CHG_PCT_5D</stp>
        <stp>29/09/2016</stp>
        <stp>29/09/2016</stp>
        <stp>[Bbg_Market_Data_CL.xlsm]data!R132C4</stp>
        <tr r="D132" s="1"/>
      </tp>
      <tp t="s">
        <v>#N/A Requesting Data...</v>
        <stp/>
        <stp>##V3_BDHV12</stp>
        <stp>SPGSCLP Index</stp>
        <stp>CHG_PCT_1D</stp>
        <stp>29/09/2016</stp>
        <stp>29/09/2016</stp>
        <stp>[Bbg_Market_Data_CL.xlsm]data!R132C3</stp>
        <tr r="C132" s="1"/>
      </tp>
      <tp t="s">
        <v>#N/A Requesting Data...</v>
        <stp/>
        <stp>##V3_BDHV12</stp>
        <stp>SPGSCLP Index</stp>
        <stp>CHG_PCT_5D</stp>
        <stp>30/12/2015</stp>
        <stp>30/12/2015</stp>
        <stp>[Bbg_Market_Data_CL.xlsm]data!R319C4</stp>
        <tr r="D319" s="1"/>
      </tp>
      <tp t="s">
        <v>#N/A Requesting Data...</v>
        <stp/>
        <stp>##V3_BDHV12</stp>
        <stp>SPGSCLP Index</stp>
        <stp>CHG_PCT_1D</stp>
        <stp>30/12/2015</stp>
        <stp>30/12/2015</stp>
        <stp>[Bbg_Market_Data_CL.xlsm]data!R319C3</stp>
        <tr r="C319" s="1"/>
      </tp>
      <tp t="s">
        <v>#N/A Requesting Data...</v>
        <stp/>
        <stp>##V3_BDHV12</stp>
        <stp>CL1 Comdty</stp>
        <stp>30DAY_IMPVOL_90.0%MNY_DF</stp>
        <stp>30/08/2016</stp>
        <stp>30/08/2016</stp>
        <stp>[Bbg_Market_Data_CL.xlsm]data!R152C23</stp>
        <tr r="W152" s="1"/>
      </tp>
      <tp t="s">
        <v>#N/A Requesting Data...</v>
        <stp/>
        <stp>##V3_BDHV12</stp>
        <stp>CL1 Comdty</stp>
        <stp>30DAY_IMPVOL_90.0%MNY_DF</stp>
        <stp>20/09/2016</stp>
        <stp>20/09/2016</stp>
        <stp>[Bbg_Market_Data_CL.xlsm]data!R138C23</stp>
        <tr r="W138" s="1"/>
      </tp>
      <tp t="s">
        <v>#N/A Requesting Data...</v>
        <stp/>
        <stp>##V3_BDHV12</stp>
        <stp>CL1 Comdty</stp>
        <stp>30DAY_IMPVOL_90.0%MNY_DF</stp>
        <stp>01/09/2015</stp>
        <stp>01/09/2015</stp>
        <stp>[Bbg_Market_Data_CL.xlsm]data!R399C23</stp>
        <tr r="W399" s="1"/>
      </tp>
      <tp t="s">
        <v>#N/A Requesting Data...</v>
        <stp/>
        <stp>##V3_BDHV12</stp>
        <stp>SPGSCLP Index</stp>
        <stp>CHG_PCT_1D</stp>
        <stp>02/11/2016</stp>
        <stp>02/11/2016</stp>
        <stp>[Bbg_Market_Data_CL.xlsm]data!R109C3</stp>
        <tr r="C109" s="1"/>
      </tp>
      <tp t="s">
        <v>#N/A Requesting Data...</v>
        <stp/>
        <stp>##V3_BDHV12</stp>
        <stp>SPGSCLP Index</stp>
        <stp>CHG_PCT_5D</stp>
        <stp>02/11/2016</stp>
        <stp>02/11/2016</stp>
        <stp>[Bbg_Market_Data_CL.xlsm]data!R109C4</stp>
        <tr r="D109" s="1"/>
      </tp>
      <tp t="s">
        <v>#N/A Requesting Data...</v>
        <stp/>
        <stp>##V3_BDHV12</stp>
        <stp>CL1 Comdty</stp>
        <stp>30DAY_IMPVOL_95.0%MNY_DF</stp>
        <stp>02/09/2016</stp>
        <stp>02/09/2016</stp>
        <stp>[Bbg_Market_Data_CL.xlsm]data!R149C21</stp>
        <tr r="U149" s="1"/>
      </tp>
      <tp t="s">
        <v>#N/A Requesting Data...</v>
        <stp/>
        <stp>##V3_BDHV12</stp>
        <stp>CL1 Comdty</stp>
        <stp>30DAY_IMPVOL_95.0%MNY_DF</stp>
        <stp>12/08/2016</stp>
        <stp>12/08/2016</stp>
        <stp>[Bbg_Market_Data_CL.xlsm]data!R164C21</stp>
        <tr r="U164" s="1"/>
      </tp>
      <tp t="s">
        <v>#N/A Requesting Data...</v>
        <stp/>
        <stp>##V3_BDHV12</stp>
        <stp>CL1 Comdty</stp>
        <stp>30DAY_IMPVOL_90.0%MNY_DF</stp>
        <stp>11/08/2015</stp>
        <stp>11/08/2015</stp>
        <stp>[Bbg_Market_Data_CL.xlsm]data!R414C23</stp>
        <tr r="W414" s="1"/>
      </tp>
      <tp t="s">
        <v>#N/A Requesting Data...</v>
        <stp/>
        <stp>##V3_BDHV12</stp>
        <stp>CL1 Comdty</stp>
        <stp>30DAY_IMPVOL_95.0%MNY_DF</stp>
        <stp>23/09/2015</stp>
        <stp>23/09/2015</stp>
        <stp>[Bbg_Market_Data_CL.xlsm]data!R384C21</stp>
        <tr r="U384" s="1"/>
      </tp>
      <tp t="s">
        <v>#N/A Requesting Data...</v>
        <stp/>
        <stp>##V3_BDHV12</stp>
        <stp>SPGSCLP Index</stp>
        <stp>CHG_PCT_1D</stp>
        <stp>16/10/2015</stp>
        <stp>16/10/2015</stp>
        <stp>[Bbg_Market_Data_CL.xlsm]data!R369C3</stp>
        <tr r="C369" s="1"/>
      </tp>
      <tp t="s">
        <v>#N/A Requesting Data...</v>
        <stp/>
        <stp>##V3_BDHV12</stp>
        <stp>SPGSCLP Index</stp>
        <stp>CHG_PCT_1D</stp>
        <stp>14/01/2016</stp>
        <stp>14/01/2016</stp>
        <stp>[Bbg_Market_Data_CL.xlsm]data!R309C3</stp>
        <tr r="C309" s="1"/>
      </tp>
      <tp t="s">
        <v>#N/A Requesting Data...</v>
        <stp/>
        <stp>##V3_BDHV12</stp>
        <stp>SPGSCLP Index</stp>
        <stp>CHG_PCT_1D</stp>
        <stp>17/11/2015</stp>
        <stp>17/11/2015</stp>
        <stp>[Bbg_Market_Data_CL.xlsm]data!R348C3</stp>
        <tr r="C348" s="1"/>
      </tp>
      <tp t="s">
        <v>#N/A Requesting Data...</v>
        <stp/>
        <stp>##V3_BDHV12</stp>
        <stp>SPGSCLP Index</stp>
        <stp>CHG_PCT_5D</stp>
        <stp>14/01/2016</stp>
        <stp>14/01/2016</stp>
        <stp>[Bbg_Market_Data_CL.xlsm]data!R309C4</stp>
        <tr r="D309" s="1"/>
      </tp>
      <tp t="s">
        <v>#N/A Requesting Data...</v>
        <stp/>
        <stp>##V3_BDHV12</stp>
        <stp>SPGSCLP Index</stp>
        <stp>CHG_PCT_5D</stp>
        <stp>17/11/2015</stp>
        <stp>17/11/2015</stp>
        <stp>[Bbg_Market_Data_CL.xlsm]data!R348C4</stp>
        <tr r="D348" s="1"/>
      </tp>
      <tp t="s">
        <v>#N/A Requesting Data...</v>
        <stp/>
        <stp>##V3_BDHV12</stp>
        <stp>SPGSCLP Index</stp>
        <stp>CHG_PCT_5D</stp>
        <stp>16/10/2015</stp>
        <stp>16/10/2015</stp>
        <stp>[Bbg_Market_Data_CL.xlsm]data!R369C4</stp>
        <tr r="D369" s="1"/>
      </tp>
      <tp t="s">
        <v>#N/A Requesting Data...</v>
        <stp/>
        <stp>##V3_BDHV12</stp>
        <stp>CL1 Comdty</stp>
        <stp>30DAY_IMPVOL_95.0%MNY_DF</stp>
        <stp>13/09/2016</stp>
        <stp>13/09/2016</stp>
        <stp>[Bbg_Market_Data_CL.xlsm]data!R143C21</stp>
        <tr r="U143" s="1"/>
      </tp>
      <tp t="s">
        <v>#N/A Requesting Data...</v>
        <stp/>
        <stp>##V3_BDHV12</stp>
        <stp>CL1 Comdty</stp>
        <stp>30DAY_IMPVOL_95.0%MNY_DF</stp>
        <stp>03/08/2016</stp>
        <stp>03/08/2016</stp>
        <stp>[Bbg_Market_Data_CL.xlsm]data!R170C21</stp>
        <tr r="U170" s="1"/>
      </tp>
      <tp t="s">
        <v>#N/A Requesting Data...</v>
        <stp/>
        <stp>##V3_BDHV12</stp>
        <stp>SPGSCLP Index</stp>
        <stp>CHG_PCT_5D</stp>
        <stp>05/10/2016</stp>
        <stp>05/10/2016</stp>
        <stp>[Bbg_Market_Data_CL.xlsm]data!R128C4</stp>
        <tr r="D128" s="1"/>
      </tp>
      <tp t="s">
        <v>#N/A Requesting Data...</v>
        <stp/>
        <stp>##V3_BDHV12</stp>
        <stp>SPGSCLP Index</stp>
        <stp>CHG_PCT_1D</stp>
        <stp>05/10/2016</stp>
        <stp>05/10/2016</stp>
        <stp>[Bbg_Market_Data_CL.xlsm]data!R128C3</stp>
        <tr r="C128" s="1"/>
      </tp>
      <tp t="s">
        <v>#N/A Requesting Data...</v>
        <stp/>
        <stp>##V3_BDHV12</stp>
        <stp>CL1 Comdty</stp>
        <stp>30DAY_IMPVOL_95.0%MNY_DF</stp>
        <stp>30/08/2016</stp>
        <stp>30/08/2016</stp>
        <stp>[Bbg_Market_Data_CL.xlsm]data!R152C21</stp>
        <tr r="U152" s="1"/>
      </tp>
      <tp t="s">
        <v>#N/A Requesting Data...</v>
        <stp/>
        <stp>##V3_BDHV12</stp>
        <stp>CL1 Comdty</stp>
        <stp>30DAY_IMPVOL_95.0%MNY_DF</stp>
        <stp>20/09/2016</stp>
        <stp>20/09/2016</stp>
        <stp>[Bbg_Market_Data_CL.xlsm]data!R138C21</stp>
        <tr r="U138" s="1"/>
      </tp>
      <tp t="s">
        <v>#N/A Requesting Data...</v>
        <stp/>
        <stp>##V3_BDHV12</stp>
        <stp>CL1 Comdty</stp>
        <stp>30DAY_IMPVOL_95.0%MNY_DF</stp>
        <stp>01/09/2015</stp>
        <stp>01/09/2015</stp>
        <stp>[Bbg_Market_Data_CL.xlsm]data!R399C21</stp>
        <tr r="U399" s="1"/>
      </tp>
      <tp t="s">
        <v>#N/A Requesting Data...</v>
        <stp/>
        <stp>##V3_BDHV12</stp>
        <stp>CL1 Comdty</stp>
        <stp>30DAY_IMPVOL_95.0%MNY_DF</stp>
        <stp>10/09/2015</stp>
        <stp>10/09/2015</stp>
        <stp>[Bbg_Market_Data_CL.xlsm]data!R393C21</stp>
        <tr r="U393" s="1"/>
      </tp>
      <tp t="s">
        <v>#N/A Requesting Data...</v>
        <stp/>
        <stp>##V3_BDHV12</stp>
        <stp>CL1 Comdty</stp>
        <stp>30DAY_IMPVOL_90.0%MNY_DF</stp>
        <stp>08/03/2016</stp>
        <stp>08/03/2016</stp>
        <stp>[Bbg_Market_Data_CL.xlsm]data!R273C23</stp>
        <tr r="W273" s="1"/>
      </tp>
      <tp t="s">
        <v>#N/A Requesting Data...</v>
        <stp/>
        <stp>##V3_BDHV12</stp>
        <stp>CL1 Comdty</stp>
        <stp>30DAY_IMPVOL_90.0%MNY_DF</stp>
        <stp>18/02/2016</stp>
        <stp>18/02/2016</stp>
        <stp>[Bbg_Market_Data_CL.xlsm]data!R286C23</stp>
        <tr r="W286" s="1"/>
      </tp>
      <tp t="s">
        <v>#N/A Requesting Data...</v>
        <stp/>
        <stp>##V3_BDHV12</stp>
        <stp>CL1 Comdty</stp>
        <stp>30DAY_IMPVOL_90.0%MNY_DF</stp>
        <stp>28/01/2016</stp>
        <stp>28/01/2016</stp>
        <stp>[Bbg_Market_Data_CL.xlsm]data!R299C23</stp>
        <tr r="W299" s="1"/>
      </tp>
      <tp t="s">
        <v>#N/A Requesting Data...</v>
        <stp/>
        <stp>##V3_BDHV12</stp>
        <stp>SPGSCLP Index</stp>
        <stp>CHG_PCT_5D</stp>
        <stp>19/10/2016</stp>
        <stp>19/10/2016</stp>
        <stp>[Bbg_Market_Data_CL.xlsm]data!R119C4</stp>
        <tr r="D119" s="1"/>
      </tp>
      <tp t="s">
        <v>#N/A Requesting Data...</v>
        <stp/>
        <stp>##V3_BDHV12</stp>
        <stp>SPGSCLP Index</stp>
        <stp>CHG_PCT_1D</stp>
        <stp>19/10/2016</stp>
        <stp>19/10/2016</stp>
        <stp>[Bbg_Market_Data_CL.xlsm]data!R119C3</stp>
        <tr r="C119" s="1"/>
      </tp>
      <tp t="s">
        <v>#N/A Requesting Data...</v>
        <stp/>
        <stp>##V3_BDHV12</stp>
        <stp>SPGSCLP Index</stp>
        <stp>CHG_PCT_5D</stp>
        <stp>03/08/2015</stp>
        <stp>03/08/2015</stp>
        <stp>[Bbg_Market_Data_CL.xlsm]data!R421C4</stp>
        <tr r="D421" s="1"/>
      </tp>
      <tp t="s">
        <v>#N/A Requesting Data...</v>
        <stp/>
        <stp>##V3_BDHV12</stp>
        <stp>SPGSCLP Index</stp>
        <stp>CHG_PCT_1D</stp>
        <stp>03/08/2015</stp>
        <stp>03/08/2015</stp>
        <stp>[Bbg_Market_Data_CL.xlsm]data!R421C3</stp>
        <tr r="C421" s="1"/>
      </tp>
      <tp t="s">
        <v>#N/A Requesting Data...</v>
        <stp/>
        <stp>##V3_BDHV12</stp>
        <stp>CL1 Comdty</stp>
        <stp>30DAY_IMPVOL_90.0%MNY_DF</stp>
        <stp>09/02/2016</stp>
        <stp>09/02/2016</stp>
        <stp>[Bbg_Market_Data_CL.xlsm]data!R291C23</stp>
        <tr r="W291" s="1"/>
      </tp>
      <tp t="s">
        <v>#N/A Requesting Data...</v>
        <stp/>
        <stp>##V3_BDHV12</stp>
        <stp>CL1 Comdty</stp>
        <stp>30DAY_IMPVOL_90.0%MNY_DF</stp>
        <stp>08/10/2015</stp>
        <stp>08/10/2015</stp>
        <stp>[Bbg_Market_Data_CL.xlsm]data!R373C23</stp>
        <tr r="W373" s="1"/>
      </tp>
      <tp t="s">
        <v>#N/A Requesting Data...</v>
        <stp/>
        <stp>##V3_BDHV12</stp>
        <stp>CL1 Comdty</stp>
        <stp>30DAY_IMPVOL_90.0%MNY_DF</stp>
        <stp>18/11/2015</stp>
        <stp>18/11/2015</stp>
        <stp>[Bbg_Market_Data_CL.xlsm]data!R346C23</stp>
        <tr r="W346" s="1"/>
      </tp>
      <tp t="s">
        <v>#N/A Requesting Data...</v>
        <stp/>
        <stp>##V3_BDHV12</stp>
        <stp>CL1 Comdty</stp>
        <stp>30DAY_IMPVOL_90.0%MNY_DF</stp>
        <stp>28/12/2015</stp>
        <stp>28/12/2015</stp>
        <stp>[Bbg_Market_Data_CL.xlsm]data!R320C23</stp>
        <tr r="W320" s="1"/>
      </tp>
      <tp t="s">
        <v>#N/A Requesting Data...</v>
        <stp/>
        <stp>##V3_BDHV12</stp>
        <stp>SPGSCLP Index</stp>
        <stp>CHG_PCT_5D</stp>
        <stp>31/08/2016</stp>
        <stp>31/08/2016</stp>
        <stp>[Bbg_Market_Data_CL.xlsm]data!R152C4</stp>
        <tr r="D152" s="1"/>
      </tp>
      <tp t="s">
        <v>#N/A Requesting Data...</v>
        <stp/>
        <stp>##V3_BDHV12</stp>
        <stp>SPGSCLP Index</stp>
        <stp>CHG_PCT_1D</stp>
        <stp>31/08/2016</stp>
        <stp>31/08/2016</stp>
        <stp>[Bbg_Market_Data_CL.xlsm]data!R152C3</stp>
        <tr r="C152" s="1"/>
      </tp>
      <tp t="s">
        <v>#N/A Requesting Data...</v>
        <stp/>
        <stp>##V3_BDHV12</stp>
        <stp>CL1 Comdty</stp>
        <stp>30DAY_IMPVOL_90.0%MNY_DF</stp>
        <stp>19/10/2015</stp>
        <stp>19/10/2015</stp>
        <stp>[Bbg_Market_Data_CL.xlsm]data!R367C23</stp>
        <tr r="W367" s="1"/>
      </tp>
      <tp t="s">
        <v>#N/A Requesting Data...</v>
        <stp/>
        <stp>##V3_BDHV12</stp>
        <stp>CL1 Comdty</stp>
        <stp>30DAY_IMPVOL_90.0%MNY_DF</stp>
        <stp>09/11/2015</stp>
        <stp>09/11/2015</stp>
        <stp>[Bbg_Market_Data_CL.xlsm]data!R352C23</stp>
        <tr r="W352" s="1"/>
      </tp>
      <tp t="s">
        <v>#N/A Requesting Data...</v>
        <stp/>
        <stp>##V3_BDHV12</stp>
        <stp>SPGSCLP Index</stp>
        <stp>CHG_PCT_1D</stp>
        <stp>01/09/2015</stp>
        <stp>01/09/2015</stp>
        <stp>[Bbg_Market_Data_CL.xlsm]data!R400C3</stp>
        <tr r="C400" s="1"/>
      </tp>
      <tp t="s">
        <v>#N/A Requesting Data...</v>
        <stp/>
        <stp>##V3_BDHV12</stp>
        <stp>SPGSCLP Index</stp>
        <stp>CHG_PCT_5D</stp>
        <stp>01/09/2015</stp>
        <stp>01/09/2015</stp>
        <stp>[Bbg_Market_Data_CL.xlsm]data!R400C4</stp>
        <tr r="D400" s="1"/>
      </tp>
      <tp t="s">
        <v>#N/A Requesting Data...</v>
        <stp/>
        <stp>##V3_BDHV12</stp>
        <stp>SPGSCLP Index</stp>
        <stp>CHG_PCT_1D</stp>
        <stp>03/08/2016</stp>
        <stp>03/08/2016</stp>
        <stp>[Bbg_Market_Data_CL.xlsm]data!R171C3</stp>
        <tr r="C171" s="1"/>
      </tp>
      <tp t="s">
        <v>#N/A Requesting Data...</v>
        <stp/>
        <stp>##V3_BDHV12</stp>
        <stp>SPGSCLP Index</stp>
        <stp>CHG_PCT_1D</stp>
        <stp>02/09/2016</stp>
        <stp>02/09/2016</stp>
        <stp>[Bbg_Market_Data_CL.xlsm]data!R150C3</stp>
        <tr r="C150" s="1"/>
      </tp>
      <tp t="s">
        <v>#N/A Requesting Data...</v>
        <stp/>
        <stp>##V3_BDHV12</stp>
        <stp>SPGSCLP Index</stp>
        <stp>CHG_PCT_5D</stp>
        <stp>02/09/2016</stp>
        <stp>02/09/2016</stp>
        <stp>[Bbg_Market_Data_CL.xlsm]data!R150C4</stp>
        <tr r="D150" s="1"/>
      </tp>
      <tp t="s">
        <v>#N/A Requesting Data...</v>
        <stp/>
        <stp>##V3_BDHV12</stp>
        <stp>SPGSCLP Index</stp>
        <stp>CHG_PCT_5D</stp>
        <stp>03/08/2016</stp>
        <stp>03/08/2016</stp>
        <stp>[Bbg_Market_Data_CL.xlsm]data!R171C4</stp>
        <tr r="D171" s="1"/>
      </tp>
      <tp t="s">
        <v>#N/A Requesting Data...</v>
        <stp/>
        <stp>##V3_BDHV12</stp>
        <stp>CL1 Comdty</stp>
        <stp>30DAY_IMPVOL_95.0%MNY_DF</stp>
        <stp>09/02/2016</stp>
        <stp>09/02/2016</stp>
        <stp>[Bbg_Market_Data_CL.xlsm]data!R291C21</stp>
        <tr r="U291" s="1"/>
      </tp>
      <tp t="s">
        <v>#N/A Requesting Data...</v>
        <stp/>
        <stp>##V3_BDHV12</stp>
        <stp>CL1 Comdty</stp>
        <stp>30DAY_IMPVOL_95.0%MNY_DF</stp>
        <stp>08/03/2016</stp>
        <stp>08/03/2016</stp>
        <stp>[Bbg_Market_Data_CL.xlsm]data!R273C21</stp>
        <tr r="U273" s="1"/>
      </tp>
      <tp t="s">
        <v>#N/A Requesting Data...</v>
        <stp/>
        <stp>##V3_BDHV12</stp>
        <stp>CL1 Comdty</stp>
        <stp>30DAY_IMPVOL_95.0%MNY_DF</stp>
        <stp>18/02/2016</stp>
        <stp>18/02/2016</stp>
        <stp>[Bbg_Market_Data_CL.xlsm]data!R286C21</stp>
        <tr r="U286" s="1"/>
      </tp>
      <tp t="s">
        <v>#N/A Requesting Data...</v>
        <stp/>
        <stp>##V3_BDHV12</stp>
        <stp>CL1 Comdty</stp>
        <stp>30DAY_IMPVOL_95.0%MNY_DF</stp>
        <stp>28/01/2016</stp>
        <stp>28/01/2016</stp>
        <stp>[Bbg_Market_Data_CL.xlsm]data!R299C21</stp>
        <tr r="U299" s="1"/>
      </tp>
      <tp t="s">
        <v>#N/A Requesting Data...</v>
        <stp/>
        <stp>##V3_BDHV12</stp>
        <stp>CL1 Comdty</stp>
        <stp>30DAY_IMPVOL_95.0%MNY_DF</stp>
        <stp>09/11/2015</stp>
        <stp>09/11/2015</stp>
        <stp>[Bbg_Market_Data_CL.xlsm]data!R352C21</stp>
        <tr r="U352" s="1"/>
      </tp>
      <tp t="s">
        <v>#N/A Requesting Data...</v>
        <stp/>
        <stp>##V3_BDHV12</stp>
        <stp>CL1 Comdty</stp>
        <stp>30DAY_IMPVOL_95.0%MNY_DF</stp>
        <stp>19/10/2015</stp>
        <stp>19/10/2015</stp>
        <stp>[Bbg_Market_Data_CL.xlsm]data!R367C21</stp>
        <tr r="U367" s="1"/>
      </tp>
      <tp t="s">
        <v>#N/A Requesting Data...</v>
        <stp/>
        <stp>##V3_BDHV12</stp>
        <stp>SPGSCLP Index</stp>
        <stp>CHG_PCT_5D</stp>
        <stp>15/09/2015</stp>
        <stp>15/09/2015</stp>
        <stp>[Bbg_Market_Data_CL.xlsm]data!R391C4</stp>
        <tr r="D391" s="1"/>
      </tp>
      <tp t="s">
        <v>#N/A Requesting Data...</v>
        <stp/>
        <stp>##V3_BDHV12</stp>
        <stp>SPGSCLP Index</stp>
        <stp>CHG_PCT_1D</stp>
        <stp>16/09/2016</stp>
        <stp>16/09/2016</stp>
        <stp>[Bbg_Market_Data_CL.xlsm]data!R141C3</stp>
        <tr r="C141" s="1"/>
      </tp>
      <tp t="s">
        <v>#N/A Requesting Data...</v>
        <stp/>
        <stp>##V3_BDHV12</stp>
        <stp>SPGSCLP Index</stp>
        <stp>CHG_PCT_5D</stp>
        <stp>16/09/2016</stp>
        <stp>16/09/2016</stp>
        <stp>[Bbg_Market_Data_CL.xlsm]data!R141C4</stp>
        <tr r="D141" s="1"/>
      </tp>
      <tp t="s">
        <v>#N/A Requesting Data...</v>
        <stp/>
        <stp>##V3_BDHV12</stp>
        <stp>SPGSCLP Index</stp>
        <stp>CHG_PCT_1D</stp>
        <stp>15/09/2015</stp>
        <stp>15/09/2015</stp>
        <stp>[Bbg_Market_Data_CL.xlsm]data!R391C3</stp>
        <tr r="C391" s="1"/>
      </tp>
      <tp t="s">
        <v>#N/A Requesting Data...</v>
        <stp/>
        <stp>##V3_BDHV12</stp>
        <stp>SPGSCLP Index</stp>
        <stp>CHG_PCT_5D</stp>
        <stp>27/08/2015</stp>
        <stp>27/08/2015</stp>
        <stp>[Bbg_Market_Data_CL.xlsm]data!R403C4</stp>
        <tr r="D403" s="1"/>
      </tp>
      <tp t="s">
        <v>#N/A Requesting Data...</v>
        <stp/>
        <stp>##V3_BDHV12</stp>
        <stp>SPGSCLP Index</stp>
        <stp>CHG_PCT_1D</stp>
        <stp>27/08/2015</stp>
        <stp>27/08/2015</stp>
        <stp>[Bbg_Market_Data_CL.xlsm]data!R403C3</stp>
        <tr r="C403" s="1"/>
      </tp>
      <tp t="s">
        <v>#N/A Requesting Data...</v>
        <stp/>
        <stp>##V3_BDHV12</stp>
        <stp>CL1 Comdty</stp>
        <stp>30DAY_IMPVOL_95.0%MNY_DF</stp>
        <stp>18/11/2015</stp>
        <stp>18/11/2015</stp>
        <stp>[Bbg_Market_Data_CL.xlsm]data!R346C21</stp>
        <tr r="U346" s="1"/>
      </tp>
      <tp t="s">
        <v>#N/A Requesting Data...</v>
        <stp/>
        <stp>##V3_BDHV12</stp>
        <stp>CL1 Comdty</stp>
        <stp>30DAY_IMPVOL_95.0%MNY_DF</stp>
        <stp>08/10/2015</stp>
        <stp>08/10/2015</stp>
        <stp>[Bbg_Market_Data_CL.xlsm]data!R373C21</stp>
        <tr r="U373" s="1"/>
      </tp>
      <tp t="s">
        <v>#N/A Requesting Data...</v>
        <stp/>
        <stp>##V3_BDHV12</stp>
        <stp>CL1 Comdty</stp>
        <stp>30DAY_IMPVOL_95.0%MNY_DF</stp>
        <stp>28/12/2015</stp>
        <stp>28/12/2015</stp>
        <stp>[Bbg_Market_Data_CL.xlsm]data!R320C21</stp>
        <tr r="U320" s="1"/>
      </tp>
      <tp t="s">
        <v>#N/A Requesting Data...</v>
        <stp/>
        <stp>##V3_BDHV12</stp>
        <stp>CL2 Comdty</stp>
        <stp>MOV_AVG_30D</stp>
        <stp>08/06/2015</stp>
        <stp>08/06/2015</stp>
        <stp>[Bbg_Market_Data_CL.xlsm]data!R460C11</stp>
        <tr r="K460" s="1"/>
      </tp>
      <tp t="s">
        <v>#N/A Requesting Data...</v>
        <stp/>
        <stp>##V3_BDHV12</stp>
        <stp>CL1 Comdty</stp>
        <stp>MOV_AVG_30D</stp>
        <stp>08/06/2015</stp>
        <stp>08/06/2015</stp>
        <stp>[Bbg_Market_Data_CL.xlsm]data!R460C11</stp>
        <tr r="K460" s="1"/>
      </tp>
      <tp t="s">
        <v>#N/A Requesting Data...</v>
        <stp/>
        <stp>##V3_BDHV12</stp>
        <stp>CL2 Comdty</stp>
        <stp>MOV_AVG_30D</stp>
        <stp>28/04/2015</stp>
        <stp>28/04/2015</stp>
        <stp>[Bbg_Market_Data_CL.xlsm]data!R488C11</stp>
        <tr r="K488" s="1"/>
      </tp>
      <tp t="s">
        <v>#N/A Requesting Data...</v>
        <stp/>
        <stp>##V3_BDHV12</stp>
        <stp>CL1 Comdty</stp>
        <stp>MOV_AVG_30D</stp>
        <stp>28/04/2015</stp>
        <stp>28/04/2015</stp>
        <stp>[Bbg_Market_Data_CL.xlsm]data!R488C11</stp>
        <tr r="K488" s="1"/>
      </tp>
      <tp t="s">
        <v>#N/A Requesting Data...</v>
        <stp/>
        <stp>##V3_BDHV12</stp>
        <stp>CL2 Comdty</stp>
        <stp>MOV_AVG_30D</stp>
        <stp>19/06/2015</stp>
        <stp>19/06/2015</stp>
        <stp>[Bbg_Market_Data_CL.xlsm]data!R451C11</stp>
        <tr r="K451" s="1"/>
      </tp>
      <tp t="s">
        <v>#N/A Requesting Data...</v>
        <stp/>
        <stp>##V3_BDHV12</stp>
        <stp>CL1 Comdty</stp>
        <stp>MOV_AVG_30D</stp>
        <stp>19/06/2015</stp>
        <stp>19/06/2015</stp>
        <stp>[Bbg_Market_Data_CL.xlsm]data!R451C11</stp>
        <tr r="K451" s="1"/>
      </tp>
      <tp t="s">
        <v>#N/A Requesting Data...</v>
        <stp/>
        <stp>##V3_BDHV12</stp>
        <stp>CL1 Comdty</stp>
        <stp>MOV_AVG_30D</stp>
        <stp>29/05/2015</stp>
        <stp>29/05/2015</stp>
        <stp>[Bbg_Market_Data_CL.xlsm]data!R466C11</stp>
        <tr r="K466" s="1"/>
      </tp>
      <tp t="s">
        <v>#N/A Requesting Data...</v>
        <stp/>
        <stp>##V3_BDHV12</stp>
        <stp>CL2 Comdty</stp>
        <stp>MOV_AVG_30D</stp>
        <stp>29/05/2015</stp>
        <stp>29/05/2015</stp>
        <stp>[Bbg_Market_Data_CL.xlsm]data!R466C11</stp>
        <tr r="K466" s="1"/>
      </tp>
      <tp t="s">
        <v>#N/A Requesting Data...</v>
        <stp/>
        <stp>##V3_BDHV12</stp>
        <stp>CL2 Comdty</stp>
        <stp>MOV_AVG_30D</stp>
        <stp>09/07/2015</stp>
        <stp>09/07/2015</stp>
        <stp>[Bbg_Market_Data_CL.xlsm]data!R438C11</stp>
        <tr r="K438" s="1"/>
      </tp>
      <tp t="s">
        <v>#N/A Requesting Data...</v>
        <stp/>
        <stp>##V3_BDHV12</stp>
        <stp>CL1 Comdty</stp>
        <stp>MOV_AVG_30D</stp>
        <stp>09/07/2015</stp>
        <stp>09/07/2015</stp>
        <stp>[Bbg_Market_Data_CL.xlsm]data!R438C11</stp>
        <tr r="K438" s="1"/>
      </tp>
      <tp t="s">
        <v>#N/A Requesting Data...</v>
        <stp/>
        <stp>##V3_BDHV12</stp>
        <stp>CL2 Comdty</stp>
        <stp>MOV_AVG_30D</stp>
        <stp>19/05/2016</stp>
        <stp>19/05/2016</stp>
        <stp>[Bbg_Market_Data_CL.xlsm]data!R223C11</stp>
        <tr r="K223" s="1"/>
      </tp>
      <tp t="s">
        <v>#N/A Requesting Data...</v>
        <stp/>
        <stp>##V3_BDHV12</stp>
        <stp>CL1 Comdty</stp>
        <stp>MOV_AVG_30D</stp>
        <stp>19/05/2016</stp>
        <stp>19/05/2016</stp>
        <stp>[Bbg_Market_Data_CL.xlsm]data!R223C11</stp>
        <tr r="K223" s="1"/>
      </tp>
      <tp t="s">
        <v>#N/A Requesting Data...</v>
        <stp/>
        <stp>##V3_BDHV12</stp>
        <stp>CL2 Comdty</stp>
        <stp>MOV_AVG_30D</stp>
        <stp>18/04/2016</stp>
        <stp>18/04/2016</stp>
        <stp>[Bbg_Market_Data_CL.xlsm]data!R246C11</stp>
        <tr r="K246" s="1"/>
      </tp>
      <tp t="s">
        <v>#N/A Requesting Data...</v>
        <stp/>
        <stp>##V3_BDHV12</stp>
        <stp>CL1 Comdty</stp>
        <stp>MOV_AVG_30D</stp>
        <stp>18/04/2016</stp>
        <stp>18/04/2016</stp>
        <stp>[Bbg_Market_Data_CL.xlsm]data!R246C11</stp>
        <tr r="K246" s="1"/>
      </tp>
    </main>
    <main first="bloomberg.rtd">
      <tp t="s">
        <v>#N/A Requesting Data...</v>
        <stp/>
        <stp>##V3_BDHV12</stp>
        <stp>CL1 Comdty</stp>
        <stp>MOV_AVG_30D</stp>
        <stp>28/07/2016</stp>
        <stp>28/07/2016</stp>
        <stp>[Bbg_Market_Data_CL.xlsm]data!R175C11</stp>
        <tr r="K175" s="1"/>
      </tp>
      <tp t="s">
        <v>#N/A Requesting Data...</v>
        <stp/>
        <stp>##V3_BDHV12</stp>
        <stp>CL2 Comdty</stp>
        <stp>MOV_AVG_30D</stp>
        <stp>28/07/2016</stp>
        <stp>28/07/2016</stp>
        <stp>[Bbg_Market_Data_CL.xlsm]data!R175C11</stp>
        <tr r="K175" s="1"/>
      </tp>
      <tp t="s">
        <v>#N/A Requesting Data...</v>
        <stp/>
        <stp>##V3_BDHV12</stp>
        <stp>CL1 Comdty</stp>
        <stp>MOV_AVG_30D</stp>
        <stp>29/06/2016</stp>
        <stp>29/06/2016</stp>
        <stp>[Bbg_Market_Data_CL.xlsm]data!R195C11</stp>
        <tr r="K195" s="1"/>
      </tp>
      <tp t="s">
        <v>#N/A Requesting Data...</v>
        <stp/>
        <stp>##V3_BDHV12</stp>
        <stp>CL2 Comdty</stp>
        <stp>MOV_AVG_30D</stp>
        <stp>29/06/2016</stp>
        <stp>29/06/2016</stp>
        <stp>[Bbg_Market_Data_CL.xlsm]data!R195C11</stp>
        <tr r="K195" s="1"/>
      </tp>
      <tp t="s">
        <v>#N/A Requesting Data...</v>
        <stp/>
        <stp>##V3_BDHV12</stp>
        <stp>CL2 Comdty</stp>
        <stp>MOV_AVG_30D</stp>
        <stp>26/09/2016</stp>
        <stp>26/09/2016</stp>
        <stp>[Bbg_Market_Data_CL.xlsm]data!R135C11</stp>
        <tr r="K135" s="1"/>
      </tp>
      <tp t="s">
        <v>#N/A Requesting Data...</v>
        <stp/>
        <stp>##V3_BDHV12</stp>
        <stp>CL1 Comdty</stp>
        <stp>MOV_AVG_30D</stp>
        <stp>26/09/2016</stp>
        <stp>26/09/2016</stp>
        <stp>[Bbg_Market_Data_CL.xlsm]data!R135C11</stp>
        <tr r="K135" s="1"/>
      </tp>
      <tp t="s">
        <v>#N/A Requesting Data...</v>
        <stp/>
        <stp>##V3_BDHV12</stp>
        <stp>CL1 Comdty</stp>
        <stp>MOV_AVG_30D</stp>
        <stp>16/09/2015</stp>
        <stp>16/09/2015</stp>
        <stp>[Bbg_Market_Data_CL.xlsm]data!R390C11</stp>
        <tr r="K390" s="1"/>
      </tp>
      <tp t="s">
        <v>#N/A Requesting Data...</v>
        <stp/>
        <stp>##V3_BDHV12</stp>
        <stp>CL2 Comdty</stp>
        <stp>MOV_AVG_30D</stp>
        <stp>16/09/2015</stp>
        <stp>16/09/2015</stp>
        <stp>[Bbg_Market_Data_CL.xlsm]data!R390C11</stp>
        <tr r="K390" s="1"/>
      </tp>
      <tp t="s">
        <v>#N/A Requesting Data...</v>
        <stp/>
        <stp>##V3_BDHV12</stp>
        <stp>CL1 Comdty</stp>
        <stp>MOV_AVG_30D</stp>
        <stp>25/09/2015</stp>
        <stp>25/09/2015</stp>
        <stp>[Bbg_Market_Data_CL.xlsm]data!R383C11</stp>
        <tr r="K383" s="1"/>
      </tp>
      <tp t="s">
        <v>#N/A Requesting Data...</v>
        <stp/>
        <stp>##V3_BDHV12</stp>
        <stp>CL2 Comdty</stp>
        <stp>MOV_AVG_30D</stp>
        <stp>25/09/2015</stp>
        <stp>25/09/2015</stp>
        <stp>[Bbg_Market_Data_CL.xlsm]data!R383C11</stp>
        <tr r="K383" s="1"/>
      </tp>
      <tp t="s">
        <v>#N/A Requesting Data...</v>
        <stp/>
        <stp>##V3_BDHV12</stp>
        <stp>CL2 Comdty</stp>
        <stp>MOV_AVG_30D</stp>
        <stp>15/09/2016</stp>
        <stp>15/09/2016</stp>
        <stp>[Bbg_Market_Data_CL.xlsm]data!R142C11</stp>
        <tr r="K142" s="1"/>
      </tp>
      <tp t="s">
        <v>#N/A Requesting Data...</v>
        <stp/>
        <stp>##V3_BDHV12</stp>
        <stp>CL1 Comdty</stp>
        <stp>MOV_AVG_30D</stp>
        <stp>15/09/2016</stp>
        <stp>15/09/2016</stp>
        <stp>[Bbg_Market_Data_CL.xlsm]data!R142C11</stp>
        <tr r="K142" s="1"/>
      </tp>
      <tp t="s">
        <v>#N/A Requesting Data...</v>
        <stp/>
        <stp>##V3_BDHV12</stp>
        <stp>CL1 Comdty</stp>
        <stp>MOV_AVG_30D</stp>
        <stp>05/08/2016</stp>
        <stp>05/08/2016</stp>
        <stp>[Bbg_Market_Data_CL.xlsm]data!R169C11</stp>
        <tr r="K169" s="1"/>
      </tp>
      <tp t="s">
        <v>#N/A Requesting Data...</v>
        <stp/>
        <stp>##V3_BDHV12</stp>
        <stp>CL2 Comdty</stp>
        <stp>MOV_AVG_30D</stp>
        <stp>05/08/2016</stp>
        <stp>05/08/2016</stp>
        <stp>[Bbg_Market_Data_CL.xlsm]data!R169C11</stp>
        <tr r="K169" s="1"/>
      </tp>
      <tp t="s">
        <v>#N/A Requesting Data...</v>
        <stp/>
        <stp>##V3_BDHV12</stp>
        <stp>CL1 Comdty</stp>
        <stp>MOV_AVG_30D</stp>
        <stp>24/08/2015</stp>
        <stp>24/08/2015</stp>
        <stp>[Bbg_Market_Data_CL.xlsm]data!R406C11</stp>
        <tr r="K406" s="1"/>
      </tp>
      <tp t="s">
        <v>#N/A Requesting Data...</v>
        <stp/>
        <stp>##V3_BDHV12</stp>
        <stp>CL2 Comdty</stp>
        <stp>MOV_AVG_30D</stp>
        <stp>24/08/2015</stp>
        <stp>24/08/2015</stp>
        <stp>[Bbg_Market_Data_CL.xlsm]data!R406C11</stp>
        <tr r="K406" s="1"/>
      </tp>
      <tp t="s">
        <v>#N/A Requesting Data...</v>
        <stp/>
        <stp>##V3_BDHV12</stp>
        <stp>CL1 Comdty</stp>
        <stp>MOV_AVG_30D</stp>
        <stp>06/08/2015</stp>
        <stp>06/08/2015</stp>
        <stp>[Bbg_Market_Data_CL.xlsm]data!R418C11</stp>
        <tr r="K418" s="1"/>
      </tp>
      <tp t="s">
        <v>#N/A Requesting Data...</v>
        <stp/>
        <stp>##V3_BDHV12</stp>
        <stp>CL2 Comdty</stp>
        <stp>MOV_AVG_30D</stp>
        <stp>06/08/2015</stp>
        <stp>06/08/2015</stp>
        <stp>[Bbg_Market_Data_CL.xlsm]data!R418C11</stp>
        <tr r="K418" s="1"/>
      </tp>
      <tp t="s">
        <v>#N/A Requesting Data...</v>
        <stp/>
        <stp>##V3_BDHV12</stp>
        <stp>CL1 Comdty</stp>
        <stp>MOV_AVG_30D</stp>
        <stp>17/08/2015</stp>
        <stp>17/08/2015</stp>
        <stp>[Bbg_Market_Data_CL.xlsm]data!R411C11</stp>
        <tr r="K411" s="1"/>
      </tp>
      <tp t="s">
        <v>#N/A Requesting Data...</v>
        <stp/>
        <stp>##V3_BDHV12</stp>
        <stp>CL2 Comdty</stp>
        <stp>MOV_AVG_30D</stp>
        <stp>17/08/2015</stp>
        <stp>17/08/2015</stp>
        <stp>[Bbg_Market_Data_CL.xlsm]data!R411C11</stp>
        <tr r="K411" s="1"/>
      </tp>
      <tp t="s">
        <v>#N/A Requesting Data...</v>
        <stp/>
        <stp>##V3_BDHV12</stp>
        <stp>CL1 Comdty</stp>
        <stp>PX_LOW</stp>
        <stp>27/02/2017</stp>
        <stp>27/02/2017</stp>
        <stp>[Bbg_Market_Data_CL.xlsm]data!R32C7</stp>
        <tr r="G32" s="1"/>
      </tp>
      <tp>
        <v>54.28</v>
        <stp/>
        <stp>##V3_BDHV12</stp>
        <stp>CL2 Comdty</stp>
        <stp>PX_LOW</stp>
        <stp>27/02/2017</stp>
        <stp>27/02/2017</stp>
        <stp>[Bbg_Market_Data_CL.xlsm]data!R32C7</stp>
        <tr r="G32" s="1"/>
      </tp>
      <tp t="s">
        <v>#N/A Requesting Data...</v>
        <stp/>
        <stp>##V3_BDHV12</stp>
        <stp>CL1 Comdty</stp>
        <stp>PX_LOW</stp>
        <stp>12/01/2017</stp>
        <stp>12/01/2017</stp>
        <stp>[Bbg_Market_Data_CL.xlsm]data!R62C7</stp>
        <tr r="G62" s="1"/>
      </tp>
      <tp>
        <v>52.94</v>
        <stp/>
        <stp>##V3_BDHV12</stp>
        <stp>CL2 Comdty</stp>
        <stp>PX_LOW</stp>
        <stp>12/01/2017</stp>
        <stp>12/01/2017</stp>
        <stp>[Bbg_Market_Data_CL.xlsm]data!R62C7</stp>
        <tr r="G62" s="1"/>
      </tp>
      <tp t="s">
        <v>#N/A Requesting Data...</v>
        <stp/>
        <stp>##V3_BDHV12</stp>
        <stp>CL1 Comdty</stp>
        <stp>PX_LOW</stp>
        <stp>27/12/2016</stp>
        <stp>27/12/2016</stp>
        <stp>[Bbg_Market_Data_CL.xlsm]data!R73C7</stp>
        <tr r="G73" s="1"/>
      </tp>
      <tp t="s">
        <v>#N/A Requesting Data...</v>
        <stp/>
        <stp>##V3_BDHV12</stp>
        <stp>CL1 Comdty</stp>
        <stp>PX_LOW</stp>
        <stp>27/03/2017</stp>
        <stp>27/03/2017</stp>
        <stp>[Bbg_Market_Data_CL.xlsm]data!R12C7</stp>
        <tr r="G12" s="1"/>
      </tp>
      <tp>
        <v>53.9</v>
        <stp/>
        <stp>##V3_BDHV12</stp>
        <stp>CL2 Comdty</stp>
        <stp>PX_LOW</stp>
        <stp>27/12/2016</stp>
        <stp>27/12/2016</stp>
        <stp>[Bbg_Market_Data_CL.xlsm]data!R73C7</stp>
        <tr r="G73" s="1"/>
      </tp>
      <tp>
        <v>47.63</v>
        <stp/>
        <stp>##V3_BDHV12</stp>
        <stp>CL2 Comdty</stp>
        <stp>PX_LOW</stp>
        <stp>27/03/2017</stp>
        <stp>27/03/2017</stp>
        <stp>[Bbg_Market_Data_CL.xlsm]data!R12C7</stp>
        <tr r="G12" s="1"/>
      </tp>
      <tp>
        <v>53.15</v>
        <stp/>
        <stp>##V3_BDHV12</stp>
        <stp>CL2 Comdty</stp>
        <stp>PX_LOW</stp>
        <stp>12/12/2016</stp>
        <stp>12/12/2016</stp>
        <stp>[Bbg_Market_Data_CL.xlsm]data!R83C7</stp>
        <tr r="G83" s="1"/>
      </tp>
      <tp>
        <v>48.45</v>
        <stp/>
        <stp>##V3_BDHV12</stp>
        <stp>CL2 Comdty</stp>
        <stp>PX_LOW</stp>
        <stp>13/03/2017</stp>
        <stp>13/03/2017</stp>
        <stp>[Bbg_Market_Data_CL.xlsm]data!R22C7</stp>
        <tr r="G22" s="1"/>
      </tp>
      <tp t="s">
        <v>#N/A Requesting Data...</v>
        <stp/>
        <stp>##V3_BDHV12</stp>
        <stp>CL1 Comdty</stp>
        <stp>PX_LOW</stp>
        <stp>13/03/2017</stp>
        <stp>13/03/2017</stp>
        <stp>[Bbg_Market_Data_CL.xlsm]data!R22C7</stp>
        <tr r="G22" s="1"/>
      </tp>
      <tp t="s">
        <v>#N/A Requesting Data...</v>
        <stp/>
        <stp>##V3_BDHV12</stp>
        <stp>CL1 Comdty</stp>
        <stp>PX_LOW</stp>
        <stp>12/12/2016</stp>
        <stp>12/12/2016</stp>
        <stp>[Bbg_Market_Data_CL.xlsm]data!R83C7</stp>
        <tr r="G83" s="1"/>
      </tp>
      <tp t="s">
        <v>#N/A Requesting Data...</v>
        <stp/>
        <stp>##V3_BDHV12</stp>
        <stp>CL1 Comdty</stp>
        <stp>PX_LOW</stp>
        <stp>28/11/2016</stp>
        <stp>28/11/2016</stp>
        <stp>[Bbg_Market_Data_CL.xlsm]data!R93C7</stp>
        <tr r="G93" s="1"/>
      </tp>
      <tp>
        <v>46.08</v>
        <stp/>
        <stp>##V3_BDHV12</stp>
        <stp>CL2 Comdty</stp>
        <stp>PX_LOW</stp>
        <stp>28/11/2016</stp>
        <stp>28/11/2016</stp>
        <stp>[Bbg_Market_Data_CL.xlsm]data!R93C7</stp>
        <tr r="G93" s="1"/>
      </tp>
      <tp>
        <v>53.18</v>
        <stp/>
        <stp>##V3_BDHV12</stp>
        <stp>CL2 Comdty</stp>
        <stp>PX_LOW</stp>
        <stp>27/01/2017</stp>
        <stp>27/01/2017</stp>
        <stp>[Bbg_Market_Data_CL.xlsm]data!R52C7</stp>
        <tr r="G52" s="1"/>
      </tp>
      <tp t="s">
        <v>#N/A Requesting Data...</v>
        <stp/>
        <stp>##V3_BDHV12</stp>
        <stp>CL1 Comdty</stp>
        <stp>PX_LOW</stp>
        <stp>27/01/2017</stp>
        <stp>27/01/2017</stp>
        <stp>[Bbg_Market_Data_CL.xlsm]data!R52C7</stp>
        <tr r="G52" s="1"/>
      </tp>
      <tp t="s">
        <v>#N/A Requesting Data...</v>
        <stp/>
        <stp>##V3_BDHV12</stp>
        <stp>CL1 Comdty</stp>
        <stp>PX_LOW</stp>
        <stp>10/02/2017</stp>
        <stp>10/02/2017</stp>
        <stp>[Bbg_Market_Data_CL.xlsm]data!R42C7</stp>
        <tr r="G42" s="1"/>
      </tp>
      <tp>
        <v>53.37</v>
        <stp/>
        <stp>##V3_BDHV12</stp>
        <stp>CL2 Comdty</stp>
        <stp>PX_LOW</stp>
        <stp>10/02/2017</stp>
        <stp>10/02/2017</stp>
        <stp>[Bbg_Market_Data_CL.xlsm]data!R42C7</stp>
        <tr r="G42" s="1"/>
      </tp>
      <tp t="s">
        <v>#N/A Requesting Data...</v>
        <stp/>
        <stp>##V3_BDHV12</stp>
        <stp>CL1 Comdty</stp>
        <stp>MOV_AVG_30D</stp>
        <stp>18/06/2015</stp>
        <stp>18/06/2015</stp>
        <stp>[Bbg_Market_Data_CL.xlsm]data!R452C11</stp>
        <tr r="K452" s="1"/>
      </tp>
      <tp t="s">
        <v>#N/A Requesting Data...</v>
        <stp/>
        <stp>##V3_BDHV12</stp>
        <stp>CL2 Comdty</stp>
        <stp>MOV_AVG_30D</stp>
        <stp>18/06/2015</stp>
        <stp>18/06/2015</stp>
        <stp>[Bbg_Market_Data_CL.xlsm]data!R452C11</stp>
        <tr r="K452" s="1"/>
      </tp>
      <tp t="s">
        <v>#N/A Requesting Data...</v>
        <stp/>
        <stp>##V3_BDHV12</stp>
        <stp>CL1 Comdty</stp>
        <stp>MOV_AVG_30D</stp>
        <stp>28/05/2015</stp>
        <stp>28/05/2015</stp>
        <stp>[Bbg_Market_Data_CL.xlsm]data!R467C11</stp>
        <tr r="K467" s="1"/>
      </tp>
      <tp t="s">
        <v>#N/A Requesting Data...</v>
        <stp/>
        <stp>##V3_BDHV12</stp>
        <stp>CL2 Comdty</stp>
        <stp>MOV_AVG_30D</stp>
        <stp>28/05/2015</stp>
        <stp>28/05/2015</stp>
        <stp>[Bbg_Market_Data_CL.xlsm]data!R467C11</stp>
        <tr r="K467" s="1"/>
      </tp>
      <tp t="s">
        <v>#N/A Requesting Data...</v>
        <stp/>
        <stp>##V3_BDHV12</stp>
        <stp>CL2 Comdty</stp>
        <stp>MOV_AVG_30D</stp>
        <stp>08/07/2015</stp>
        <stp>08/07/2015</stp>
        <stp>[Bbg_Market_Data_CL.xlsm]data!R439C11</stp>
        <tr r="K439" s="1"/>
      </tp>
      <tp t="s">
        <v>#N/A Requesting Data...</v>
        <stp/>
        <stp>##V3_BDHV12</stp>
        <stp>CL1 Comdty</stp>
        <stp>MOV_AVG_30D</stp>
        <stp>08/07/2015</stp>
        <stp>08/07/2015</stp>
        <stp>[Bbg_Market_Data_CL.xlsm]data!R439C11</stp>
        <tr r="K439" s="1"/>
      </tp>
      <tp t="s">
        <v>#N/A Requesting Data...</v>
        <stp/>
        <stp>##V3_BDHV12</stp>
        <stp>CL2 Comdty</stp>
        <stp>MOV_AVG_30D</stp>
        <stp>09/06/2015</stp>
        <stp>09/06/2015</stp>
        <stp>[Bbg_Market_Data_CL.xlsm]data!R459C11</stp>
        <tr r="K459" s="1"/>
      </tp>
      <tp t="s">
        <v>#N/A Requesting Data...</v>
        <stp/>
        <stp>##V3_BDHV12</stp>
        <stp>CL1 Comdty</stp>
        <stp>MOV_AVG_30D</stp>
        <stp>09/06/2015</stp>
        <stp>09/06/2015</stp>
        <stp>[Bbg_Market_Data_CL.xlsm]data!R459C11</stp>
        <tr r="K459" s="1"/>
      </tp>
      <tp t="s">
        <v>#N/A Requesting Data...</v>
        <stp/>
        <stp>##V3_BDHV12</stp>
        <stp>CL1 Comdty</stp>
        <stp>MOV_AVG_30D</stp>
        <stp>29/04/2015</stp>
        <stp>29/04/2015</stp>
        <stp>[Bbg_Market_Data_CL.xlsm]data!R487C11</stp>
        <tr r="K487" s="1"/>
      </tp>
      <tp t="s">
        <v>#N/A Requesting Data...</v>
        <stp/>
        <stp>##V3_BDHV12</stp>
        <stp>CL2 Comdty</stp>
        <stp>MOV_AVG_30D</stp>
        <stp>29/04/2015</stp>
        <stp>29/04/2015</stp>
        <stp>[Bbg_Market_Data_CL.xlsm]data!R487C11</stp>
        <tr r="K487" s="1"/>
      </tp>
      <tp t="s">
        <v>#N/A Requesting Data...</v>
        <stp/>
        <stp>##V3_BDHV12</stp>
        <stp>CL1 Comdty</stp>
        <stp>MOV_AVG_30D</stp>
        <stp>19/04/2016</stp>
        <stp>19/04/2016</stp>
        <stp>[Bbg_Market_Data_CL.xlsm]data!R245C11</stp>
        <tr r="K245" s="1"/>
      </tp>
      <tp t="s">
        <v>#N/A Requesting Data...</v>
        <stp/>
        <stp>##V3_BDHV12</stp>
        <stp>CL2 Comdty</stp>
        <stp>MOV_AVG_30D</stp>
        <stp>19/04/2016</stp>
        <stp>19/04/2016</stp>
        <stp>[Bbg_Market_Data_CL.xlsm]data!R245C11</stp>
        <tr r="K245" s="1"/>
      </tp>
      <tp t="s">
        <v>#N/A Requesting Data...</v>
        <stp/>
        <stp>##V3_BDHV12</stp>
        <stp>CL1 Comdty</stp>
        <stp>MOV_AVG_30D</stp>
        <stp>09/05/2016</stp>
        <stp>09/05/2016</stp>
        <stp>[Bbg_Market_Data_CL.xlsm]data!R231C11</stp>
        <tr r="K231" s="1"/>
      </tp>
      <tp t="s">
        <v>#N/A Requesting Data...</v>
        <stp/>
        <stp>##V3_BDHV12</stp>
        <stp>CL2 Comdty</stp>
        <stp>MOV_AVG_30D</stp>
        <stp>09/05/2016</stp>
        <stp>09/05/2016</stp>
        <stp>[Bbg_Market_Data_CL.xlsm]data!R231C11</stp>
        <tr r="K231" s="1"/>
      </tp>
      <tp t="s">
        <v>#N/A Requesting Data...</v>
        <stp/>
        <stp>##V3_BDHV12</stp>
        <stp>CL2 Comdty</stp>
        <stp>MOV_AVG_30D</stp>
        <stp>08/04/2016</stp>
        <stp>08/04/2016</stp>
        <stp>[Bbg_Market_Data_CL.xlsm]data!R252C11</stp>
        <tr r="K252" s="1"/>
      </tp>
      <tp t="s">
        <v>#N/A Requesting Data...</v>
        <stp/>
        <stp>##V3_BDHV12</stp>
        <stp>CL1 Comdty</stp>
        <stp>MOV_AVG_30D</stp>
        <stp>08/04/2016</stp>
        <stp>08/04/2016</stp>
        <stp>[Bbg_Market_Data_CL.xlsm]data!R252C11</stp>
        <tr r="K252" s="1"/>
      </tp>
      <tp t="s">
        <v>#N/A Requesting Data...</v>
        <stp/>
        <stp>##V3_BDHV12</stp>
        <stp>CL1 Comdty</stp>
        <stp>MOV_AVG_30D</stp>
        <stp>18/05/2016</stp>
        <stp>18/05/2016</stp>
        <stp>[Bbg_Market_Data_CL.xlsm]data!R224C11</stp>
        <tr r="K224" s="1"/>
      </tp>
      <tp t="s">
        <v>#N/A Requesting Data...</v>
        <stp/>
        <stp>##V3_BDHV12</stp>
        <stp>CL2 Comdty</stp>
        <stp>MOV_AVG_30D</stp>
        <stp>18/05/2016</stp>
        <stp>18/05/2016</stp>
        <stp>[Bbg_Market_Data_CL.xlsm]data!R224C11</stp>
        <tr r="K224" s="1"/>
      </tp>
      <tp t="s">
        <v>#N/A Requesting Data...</v>
        <stp/>
        <stp>##V3_BDHV12</stp>
        <stp>CL2 Comdty</stp>
        <stp>MOV_AVG_30D</stp>
        <stp>28/06/2016</stp>
        <stp>28/06/2016</stp>
        <stp>[Bbg_Market_Data_CL.xlsm]data!R196C11</stp>
        <tr r="K196" s="1"/>
      </tp>
      <tp t="s">
        <v>#N/A Requesting Data...</v>
        <stp/>
        <stp>##V3_BDHV12</stp>
        <stp>CL1 Comdty</stp>
        <stp>MOV_AVG_30D</stp>
        <stp>28/06/2016</stp>
        <stp>28/06/2016</stp>
        <stp>[Bbg_Market_Data_CL.xlsm]data!R196C11</stp>
        <tr r="K196" s="1"/>
      </tp>
      <tp t="s">
        <v>#N/A Requesting Data...</v>
        <stp/>
        <stp>##V3_BDHV12</stp>
        <stp>CL1 Comdty</stp>
        <stp>MOV_AVG_30D</stp>
        <stp>29/07/2016</stp>
        <stp>29/07/2016</stp>
        <stp>[Bbg_Market_Data_CL.xlsm]data!R174C11</stp>
        <tr r="K174" s="1"/>
      </tp>
      <tp t="s">
        <v>#N/A Requesting Data...</v>
        <stp/>
        <stp>##V3_BDHV12</stp>
        <stp>CL2 Comdty</stp>
        <stp>MOV_AVG_30D</stp>
        <stp>29/07/2016</stp>
        <stp>29/07/2016</stp>
        <stp>[Bbg_Market_Data_CL.xlsm]data!R174C11</stp>
        <tr r="K174" s="1"/>
      </tp>
      <tp t="s">
        <v>#N/A Requesting Data...</v>
        <stp/>
        <stp>##V3_BDHV12</stp>
        <stp>CL2 Comdty</stp>
        <stp>MOV_AVG_30D</stp>
        <stp>26/08/2016</stp>
        <stp>26/08/2016</stp>
        <stp>[Bbg_Market_Data_CL.xlsm]data!R155C11</stp>
        <tr r="K155" s="1"/>
      </tp>
      <tp t="s">
        <v>#N/A Requesting Data...</v>
        <stp/>
        <stp>##V3_BDHV12</stp>
        <stp>CL1 Comdty</stp>
        <stp>MOV_AVG_30D</stp>
        <stp>26/08/2016</stp>
        <stp>26/08/2016</stp>
        <stp>[Bbg_Market_Data_CL.xlsm]data!R155C11</stp>
        <tr r="K155" s="1"/>
      </tp>
      <tp t="s">
        <v>#N/A Requesting Data...</v>
        <stp/>
        <stp>##V3_BDHV12</stp>
        <stp>CL1 Comdty</stp>
        <stp>MOV_AVG_30D</stp>
        <stp>17/09/2015</stp>
        <stp>17/09/2015</stp>
        <stp>[Bbg_Market_Data_CL.xlsm]data!R389C11</stp>
        <tr r="K389" s="1"/>
      </tp>
      <tp t="s">
        <v>#N/A Requesting Data...</v>
        <stp/>
        <stp>##V3_BDHV12</stp>
        <stp>CL2 Comdty</stp>
        <stp>MOV_AVG_30D</stp>
        <stp>17/09/2015</stp>
        <stp>17/09/2015</stp>
        <stp>[Bbg_Market_Data_CL.xlsm]data!R389C11</stp>
        <tr r="K389" s="1"/>
      </tp>
      <tp t="s">
        <v>#N/A Requesting Data...</v>
        <stp/>
        <stp>##V3_BDHV12</stp>
        <stp>CL2 Comdty</stp>
        <stp>MOV_AVG_30D</stp>
        <stp>27/09/2016</stp>
        <stp>27/09/2016</stp>
        <stp>[Bbg_Market_Data_CL.xlsm]data!R134C11</stp>
        <tr r="K134" s="1"/>
      </tp>
      <tp t="s">
        <v>#N/A Requesting Data...</v>
        <stp/>
        <stp>##V3_BDHV12</stp>
        <stp>CL1 Comdty</stp>
        <stp>MOV_AVG_30D</stp>
        <stp>27/09/2016</stp>
        <stp>27/09/2016</stp>
        <stp>[Bbg_Market_Data_CL.xlsm]data!R134C11</stp>
        <tr r="K134" s="1"/>
      </tp>
      <tp t="s">
        <v>#N/A Requesting Data...</v>
        <stp/>
        <stp>##V3_BDHV12</stp>
        <stp>CL2 Comdty</stp>
        <stp>MOV_AVG_30D</stp>
        <stp>14/09/2016</stp>
        <stp>14/09/2016</stp>
        <stp>[Bbg_Market_Data_CL.xlsm]data!R143C11</stp>
        <tr r="K143" s="1"/>
      </tp>
      <tp t="s">
        <v>#N/A Requesting Data...</v>
        <stp/>
        <stp>##V3_BDHV12</stp>
        <stp>CL1 Comdty</stp>
        <stp>MOV_AVG_30D</stp>
        <stp>14/09/2016</stp>
        <stp>14/09/2016</stp>
        <stp>[Bbg_Market_Data_CL.xlsm]data!R143C11</stp>
        <tr r="K143" s="1"/>
      </tp>
      <tp t="s">
        <v>#N/A Requesting Data...</v>
        <stp/>
        <stp>##V3_BDHV12</stp>
        <stp>CL1 Comdty</stp>
        <stp>MOV_AVG_30D</stp>
        <stp>04/08/2016</stp>
        <stp>04/08/2016</stp>
        <stp>[Bbg_Market_Data_CL.xlsm]data!R170C11</stp>
        <tr r="K170" s="1"/>
      </tp>
      <tp t="s">
        <v>#N/A Requesting Data...</v>
        <stp/>
        <stp>##V3_BDHV12</stp>
        <stp>CL2 Comdty</stp>
        <stp>MOV_AVG_30D</stp>
        <stp>04/08/2016</stp>
        <stp>04/08/2016</stp>
        <stp>[Bbg_Market_Data_CL.xlsm]data!R170C11</stp>
        <tr r="K170" s="1"/>
      </tp>
      <tp t="s">
        <v>#N/A Requesting Data...</v>
        <stp/>
        <stp>##V3_BDHV12</stp>
        <stp>CL1 Comdty</stp>
        <stp>MOV_AVG_30D</stp>
        <stp>15/08/2016</stp>
        <stp>15/08/2016</stp>
        <stp>[Bbg_Market_Data_CL.xlsm]data!R164C11</stp>
        <tr r="K164" s="1"/>
      </tp>
      <tp t="s">
        <v>#N/A Requesting Data...</v>
        <stp/>
        <stp>##V3_BDHV12</stp>
        <stp>CL2 Comdty</stp>
        <stp>MOV_AVG_30D</stp>
        <stp>15/08/2016</stp>
        <stp>15/08/2016</stp>
        <stp>[Bbg_Market_Data_CL.xlsm]data!R164C11</stp>
        <tr r="K164" s="1"/>
      </tp>
      <tp t="s">
        <v>#N/A Requesting Data...</v>
        <stp/>
        <stp>##V3_BDHV12</stp>
        <stp>CL2 Comdty</stp>
        <stp>MOV_AVG_30D</stp>
        <stp>24/09/2015</stp>
        <stp>24/09/2015</stp>
        <stp>[Bbg_Market_Data_CL.xlsm]data!R384C11</stp>
        <tr r="K384" s="1"/>
      </tp>
      <tp t="s">
        <v>#N/A Requesting Data...</v>
        <stp/>
        <stp>##V3_BDHV12</stp>
        <stp>CL1 Comdty</stp>
        <stp>MOV_AVG_30D</stp>
        <stp>24/09/2015</stp>
        <stp>24/09/2015</stp>
        <stp>[Bbg_Market_Data_CL.xlsm]data!R384C11</stp>
        <tr r="K384" s="1"/>
      </tp>
      <tp t="s">
        <v>#N/A Requesting Data...</v>
        <stp/>
        <stp>##V3_BDHV12</stp>
        <stp>CL2 Comdty</stp>
        <stp>MOV_AVG_30D</stp>
        <stp>25/08/2015</stp>
        <stp>25/08/2015</stp>
        <stp>[Bbg_Market_Data_CL.xlsm]data!R405C11</stp>
        <tr r="K405" s="1"/>
      </tp>
      <tp t="s">
        <v>#N/A Requesting Data...</v>
        <stp/>
        <stp>##V3_BDHV12</stp>
        <stp>CL1 Comdty</stp>
        <stp>MOV_AVG_30D</stp>
        <stp>25/08/2015</stp>
        <stp>25/08/2015</stp>
        <stp>[Bbg_Market_Data_CL.xlsm]data!R405C11</stp>
        <tr r="K405" s="1"/>
      </tp>
      <tp t="s">
        <v>#N/A Requesting Data...</v>
        <stp/>
        <stp>##V3_BDHV12</stp>
        <stp>CL2 Comdty</stp>
        <stp>MOV_AVG_30D</stp>
        <stp>07/08/2015</stp>
        <stp>07/08/2015</stp>
        <stp>[Bbg_Market_Data_CL.xlsm]data!R417C11</stp>
        <tr r="K417" s="1"/>
      </tp>
      <tp t="s">
        <v>#N/A Requesting Data...</v>
        <stp/>
        <stp>##V3_BDHV12</stp>
        <stp>CL1 Comdty</stp>
        <stp>MOV_AVG_30D</stp>
        <stp>07/08/2015</stp>
        <stp>07/08/2015</stp>
        <stp>[Bbg_Market_Data_CL.xlsm]data!R417C11</stp>
        <tr r="K417" s="1"/>
      </tp>
      <tp>
        <v>54.09</v>
        <stp/>
        <stp>##V3_BDHV12</stp>
        <stp>CL2 Comdty</stp>
        <stp>PX_LOW</stp>
        <stp>24/02/2017</stp>
        <stp>24/02/2017</stp>
        <stp>[Bbg_Market_Data_CL.xlsm]data!R33C7</stp>
        <tr r="G33" s="1"/>
      </tp>
      <tp t="s">
        <v>#N/A Requesting Data...</v>
        <stp/>
        <stp>##V3_BDHV12</stp>
        <stp>CL1 Comdty</stp>
        <stp>PX_LOW</stp>
        <stp>24/02/2017</stp>
        <stp>24/02/2017</stp>
        <stp>[Bbg_Market_Data_CL.xlsm]data!R33C7</stp>
        <tr r="G33" s="1"/>
      </tp>
      <tp>
        <v>51.63</v>
        <stp/>
        <stp>##V3_BDHV12</stp>
        <stp>CL2 Comdty</stp>
        <stp>PX_LOW</stp>
        <stp>11/01/2017</stp>
        <stp>11/01/2017</stp>
        <stp>[Bbg_Market_Data_CL.xlsm]data!R63C7</stp>
        <tr r="G63" s="1"/>
      </tp>
      <tp t="s">
        <v>#N/A Requesting Data...</v>
        <stp/>
        <stp>##V3_BDHV12</stp>
        <stp>CL1 Comdty</stp>
        <stp>PX_LOW</stp>
        <stp>11/01/2017</stp>
        <stp>11/01/2017</stp>
        <stp>[Bbg_Market_Data_CL.xlsm]data!R63C7</stp>
        <tr r="G63" s="1"/>
      </tp>
      <tp>
        <v>48.09</v>
        <stp/>
        <stp>##V3_BDHV12</stp>
        <stp>CL2 Comdty</stp>
        <stp>PX_LOW</stp>
        <stp>24/03/2017</stp>
        <stp>24/03/2017</stp>
        <stp>[Bbg_Market_Data_CL.xlsm]data!R13C7</stp>
        <tr r="G13" s="1"/>
      </tp>
      <tp t="s">
        <v>#N/A Requesting Data...</v>
        <stp/>
        <stp>##V3_BDHV12</stp>
        <stp>CL1 Comdty</stp>
        <stp>PX_LOW</stp>
        <stp>24/03/2017</stp>
        <stp>24/03/2017</stp>
        <stp>[Bbg_Market_Data_CL.xlsm]data!R13C7</stp>
        <tr r="G13" s="1"/>
      </tp>
      <tp>
        <v>54.47</v>
        <stp/>
        <stp>##V3_BDHV12</stp>
        <stp>CL2 Comdty</stp>
        <stp>PX_LOW</stp>
        <stp>28/12/2016</stp>
        <stp>28/12/2016</stp>
        <stp>[Bbg_Market_Data_CL.xlsm]data!R72C7</stp>
        <tr r="G72" s="1"/>
      </tp>
      <tp t="s">
        <v>#N/A Requesting Data...</v>
        <stp/>
        <stp>##V3_BDHV12</stp>
        <stp>CL1 Comdty</stp>
        <stp>PX_LOW</stp>
        <stp>28/12/2016</stp>
        <stp>28/12/2016</stp>
        <stp>[Bbg_Market_Data_CL.xlsm]data!R72C7</stp>
        <tr r="G72" s="1"/>
      </tp>
      <tp t="s">
        <v>#N/A Requesting Data...</v>
        <stp/>
        <stp>##V3_BDHV12</stp>
        <stp>CL1 Comdty</stp>
        <stp>PX_LOW</stp>
        <stp>10/03/2017</stp>
        <stp>10/03/2017</stp>
        <stp>[Bbg_Market_Data_CL.xlsm]data!R23C7</stp>
        <tr r="G23" s="1"/>
      </tp>
      <tp>
        <v>53.31</v>
        <stp/>
        <stp>##V3_BDHV12</stp>
        <stp>CL2 Comdty</stp>
        <stp>PX_LOW</stp>
        <stp>13/12/2016</stp>
        <stp>13/12/2016</stp>
        <stp>[Bbg_Market_Data_CL.xlsm]data!R82C7</stp>
        <tr r="G82" s="1"/>
      </tp>
      <tp>
        <v>48.85</v>
        <stp/>
        <stp>##V3_BDHV12</stp>
        <stp>CL2 Comdty</stp>
        <stp>PX_LOW</stp>
        <stp>10/03/2017</stp>
        <stp>10/03/2017</stp>
        <stp>[Bbg_Market_Data_CL.xlsm]data!R23C7</stp>
        <tr r="G23" s="1"/>
      </tp>
      <tp t="s">
        <v>#N/A Requesting Data...</v>
        <stp/>
        <stp>##V3_BDHV12</stp>
        <stp>CL1 Comdty</stp>
        <stp>PX_LOW</stp>
        <stp>13/12/2016</stp>
        <stp>13/12/2016</stp>
        <stp>[Bbg_Market_Data_CL.xlsm]data!R82C7</stp>
        <tr r="G82" s="1"/>
      </tp>
      <tp t="s">
        <v>#N/A Requesting Data...</v>
        <stp/>
        <stp>##V3_BDHV12</stp>
        <stp>CL1 Comdty</stp>
        <stp>PX_LOW</stp>
        <stp>29/11/2016</stp>
        <stp>29/11/2016</stp>
        <stp>[Bbg_Market_Data_CL.xlsm]data!R92C7</stp>
        <tr r="G92" s="1"/>
      </tp>
      <tp t="s">
        <v>#N/A Requesting Data...</v>
        <stp/>
        <stp>##V3_BDHV12</stp>
        <stp>CL1 Comdty</stp>
        <stp>PX_LOW</stp>
        <stp>09/02/2017</stp>
        <stp>09/02/2017</stp>
        <stp>[Bbg_Market_Data_CL.xlsm]data!R43C7</stp>
        <tr r="G43" s="1"/>
      </tp>
      <tp>
        <v>45.74</v>
        <stp/>
        <stp>##V3_BDHV12</stp>
        <stp>CL2 Comdty</stp>
        <stp>PX_LOW</stp>
        <stp>29/11/2016</stp>
        <stp>29/11/2016</stp>
        <stp>[Bbg_Market_Data_CL.xlsm]data!R92C7</stp>
        <tr r="G92" s="1"/>
      </tp>
      <tp>
        <v>52.95</v>
        <stp/>
        <stp>##V3_BDHV12</stp>
        <stp>CL2 Comdty</stp>
        <stp>PX_LOW</stp>
        <stp>09/02/2017</stp>
        <stp>09/02/2017</stp>
        <stp>[Bbg_Market_Data_CL.xlsm]data!R43C7</stp>
        <tr r="G43" s="1"/>
      </tp>
      <tp>
        <v>53.4</v>
        <stp/>
        <stp>##V3_BDHV12</stp>
        <stp>CL2 Comdty</stp>
        <stp>PX_LOW</stp>
        <stp>26/01/2017</stp>
        <stp>26/01/2017</stp>
        <stp>[Bbg_Market_Data_CL.xlsm]data!R53C7</stp>
        <tr r="G53" s="1"/>
      </tp>
      <tp t="s">
        <v>#N/A Requesting Data...</v>
        <stp/>
        <stp>##V3_BDHV12</stp>
        <stp>CL1 Comdty</stp>
        <stp>PX_LOW</stp>
        <stp>26/01/2017</stp>
        <stp>26/01/2017</stp>
        <stp>[Bbg_Market_Data_CL.xlsm]data!R53C7</stp>
        <tr r="G53" s="1"/>
      </tp>
      <tp t="s">
        <v>#N/A Requesting Data...</v>
        <stp/>
        <stp>##V3_BDHV12</stp>
        <stp>CL1 Comdty</stp>
        <stp>MOV_AVG_30D</stp>
        <stp>18/05/2015</stp>
        <stp>18/05/2015</stp>
        <stp>[Bbg_Market_Data_CL.xlsm]data!R474C11</stp>
        <tr r="K474" s="1"/>
      </tp>
      <tp t="s">
        <v>#N/A Requesting Data...</v>
        <stp/>
        <stp>##V3_BDHV12</stp>
        <stp>CL2 Comdty</stp>
        <stp>MOV_AVG_30D</stp>
        <stp>18/05/2015</stp>
        <stp>18/05/2015</stp>
        <stp>[Bbg_Market_Data_CL.xlsm]data!R474C11</stp>
        <tr r="K474" s="1"/>
      </tp>
      <tp t="s">
        <v>#N/A Requesting Data...</v>
        <stp/>
        <stp>##V3_BDHV12</stp>
        <stp>CL1 Comdty</stp>
        <stp>MOV_AVG_30D</stp>
        <stp>29/07/2015</stp>
        <stp>29/07/2015</stp>
        <stp>[Bbg_Market_Data_CL.xlsm]data!R424C11</stp>
        <tr r="K424" s="1"/>
      </tp>
      <tp t="s">
        <v>#N/A Requesting Data...</v>
        <stp/>
        <stp>##V3_BDHV12</stp>
        <stp>CL2 Comdty</stp>
        <stp>MOV_AVG_30D</stp>
        <stp>29/07/2015</stp>
        <stp>29/07/2015</stp>
        <stp>[Bbg_Market_Data_CL.xlsm]data!R424C11</stp>
        <tr r="K424" s="1"/>
      </tp>
      <tp t="s">
        <v>#N/A Requesting Data...</v>
        <stp/>
        <stp>##V3_BDHV12</stp>
        <stp>CL2 Comdty</stp>
        <stp>MOV_AVG_30D</stp>
        <stp>09/06/2016</stp>
        <stp>09/06/2016</stp>
        <stp>[Bbg_Market_Data_CL.xlsm]data!R209C11</stp>
        <tr r="K209" s="1"/>
      </tp>
      <tp t="s">
        <v>#N/A Requesting Data...</v>
        <stp/>
        <stp>##V3_BDHV12</stp>
        <stp>CL1 Comdty</stp>
        <stp>MOV_AVG_30D</stp>
        <stp>09/06/2016</stp>
        <stp>09/06/2016</stp>
        <stp>[Bbg_Market_Data_CL.xlsm]data!R209C11</stp>
        <tr r="K209" s="1"/>
      </tp>
      <tp t="s">
        <v>#N/A Requesting Data...</v>
        <stp/>
        <stp>##V3_BDHV12</stp>
        <stp>CL1 Comdty</stp>
        <stp>MOV_AVG_30D</stp>
        <stp>29/04/2016</stp>
        <stp>29/04/2016</stp>
        <stp>[Bbg_Market_Data_CL.xlsm]data!R237C11</stp>
        <tr r="K237" s="1"/>
      </tp>
      <tp t="s">
        <v>#N/A Requesting Data...</v>
        <stp/>
        <stp>##V3_BDHV12</stp>
        <stp>CL2 Comdty</stp>
        <stp>MOV_AVG_30D</stp>
        <stp>29/04/2016</stp>
        <stp>29/04/2016</stp>
        <stp>[Bbg_Market_Data_CL.xlsm]data!R237C11</stp>
        <tr r="K237" s="1"/>
      </tp>
      <tp t="s">
        <v>#N/A Requesting Data...</v>
        <stp/>
        <stp>##V3_BDHV12</stp>
        <stp>CL2 Comdty</stp>
        <stp>MOV_AVG_30D</stp>
        <stp>08/07/2016</stp>
        <stp>08/07/2016</stp>
        <stp>[Bbg_Market_Data_CL.xlsm]data!R189C11</stp>
        <tr r="K189" s="1"/>
      </tp>
      <tp t="s">
        <v>#N/A Requesting Data...</v>
        <stp/>
        <stp>##V3_BDHV12</stp>
        <stp>CL1 Comdty</stp>
        <stp>MOV_AVG_30D</stp>
        <stp>08/07/2016</stp>
        <stp>08/07/2016</stp>
        <stp>[Bbg_Market_Data_CL.xlsm]data!R189C11</stp>
        <tr r="K189" s="1"/>
      </tp>
      <tp t="s">
        <v>#N/A Requesting Data...</v>
        <stp/>
        <stp>##V3_BDHV12</stp>
        <stp>CL1 Comdty</stp>
        <stp>MOV_AVG_30D</stp>
        <stp>19/07/2016</stp>
        <stp>19/07/2016</stp>
        <stp>[Bbg_Market_Data_CL.xlsm]data!R182C11</stp>
        <tr r="K182" s="1"/>
      </tp>
      <tp t="s">
        <v>#N/A Requesting Data...</v>
        <stp/>
        <stp>##V3_BDHV12</stp>
        <stp>CL2 Comdty</stp>
        <stp>MOV_AVG_30D</stp>
        <stp>19/07/2016</stp>
        <stp>19/07/2016</stp>
        <stp>[Bbg_Market_Data_CL.xlsm]data!R182C11</stp>
        <tr r="K182" s="1"/>
      </tp>
      <tp t="s">
        <v>#N/A Requesting Data...</v>
        <stp/>
        <stp>##V3_BDHV12</stp>
        <stp>CL1 Comdty</stp>
        <stp>MOV_AVG_30D</stp>
        <stp>06/09/2016</stp>
        <stp>06/09/2016</stp>
        <stp>[Bbg_Market_Data_CL.xlsm]data!R149C11</stp>
        <tr r="K149" s="1"/>
      </tp>
      <tp t="s">
        <v>#N/A Requesting Data...</v>
        <stp/>
        <stp>##V3_BDHV12</stp>
        <stp>CL2 Comdty</stp>
        <stp>MOV_AVG_30D</stp>
        <stp>06/09/2016</stp>
        <stp>06/09/2016</stp>
        <stp>[Bbg_Market_Data_CL.xlsm]data!R149C11</stp>
        <tr r="K149" s="1"/>
      </tp>
      <tp t="s">
        <v>#N/A Requesting Data...</v>
        <stp/>
        <stp>##V3_BDHV12</stp>
        <stp>CL2 Comdty</stp>
        <stp>MOV_AVG_30D</stp>
        <stp>16/08/2016</stp>
        <stp>16/08/2016</stp>
        <stp>[Bbg_Market_Data_CL.xlsm]data!R163C11</stp>
        <tr r="K163" s="1"/>
      </tp>
      <tp t="s">
        <v>#N/A Requesting Data...</v>
        <stp/>
        <stp>##V3_BDHV12</stp>
        <stp>CL1 Comdty</stp>
        <stp>MOV_AVG_30D</stp>
        <stp>16/08/2016</stp>
        <stp>16/08/2016</stp>
        <stp>[Bbg_Market_Data_CL.xlsm]data!R163C11</stp>
        <tr r="K163" s="1"/>
      </tp>
      <tp t="s">
        <v>#N/A Requesting Data...</v>
        <stp/>
        <stp>##V3_BDHV12</stp>
        <stp>CL1 Comdty</stp>
        <stp>MOV_AVG_30D</stp>
        <stp>25/08/2016</stp>
        <stp>25/08/2016</stp>
        <stp>[Bbg_Market_Data_CL.xlsm]data!R156C11</stp>
        <tr r="K156" s="1"/>
      </tp>
      <tp t="s">
        <v>#N/A Requesting Data...</v>
        <stp/>
        <stp>##V3_BDHV12</stp>
        <stp>CL2 Comdty</stp>
        <stp>MOV_AVG_30D</stp>
        <stp>25/08/2016</stp>
        <stp>25/08/2016</stp>
        <stp>[Bbg_Market_Data_CL.xlsm]data!R156C11</stp>
        <tr r="K156" s="1"/>
      </tp>
      <tp t="s">
        <v>#N/A Requesting Data...</v>
        <stp/>
        <stp>##V3_BDHV12</stp>
        <stp>CL2 Comdty</stp>
        <stp>MOV_AVG_30D</stp>
        <stp>14/09/2015</stp>
        <stp>14/09/2015</stp>
        <stp>[Bbg_Market_Data_CL.xlsm]data!R392C11</stp>
        <tr r="K392" s="1"/>
      </tp>
      <tp t="s">
        <v>#N/A Requesting Data...</v>
        <stp/>
        <stp>##V3_BDHV12</stp>
        <stp>CL1 Comdty</stp>
        <stp>MOV_AVG_30D</stp>
        <stp>14/09/2015</stp>
        <stp>14/09/2015</stp>
        <stp>[Bbg_Market_Data_CL.xlsm]data!R392C11</stp>
        <tr r="K392" s="1"/>
      </tp>
      <tp t="s">
        <v>#N/A Requesting Data...</v>
        <stp/>
        <stp>##V3_BDHV12</stp>
        <stp>CL1 Comdty</stp>
        <stp>MOV_AVG_30D</stp>
        <stp>04/08/2015</stp>
        <stp>04/08/2015</stp>
        <stp>[Bbg_Market_Data_CL.xlsm]data!R420C11</stp>
        <tr r="K420" s="1"/>
      </tp>
      <tp t="s">
        <v>#N/A Requesting Data...</v>
        <stp/>
        <stp>##V3_BDHV12</stp>
        <stp>CL2 Comdty</stp>
        <stp>MOV_AVG_30D</stp>
        <stp>04/08/2015</stp>
        <stp>04/08/2015</stp>
        <stp>[Bbg_Market_Data_CL.xlsm]data!R420C11</stp>
        <tr r="K420" s="1"/>
      </tp>
      <tp t="s">
        <v>#N/A Requesting Data...</v>
        <stp/>
        <stp>##V3_BDHV12</stp>
        <stp>CL2 Comdty</stp>
        <stp>MOV_AVG_30D</stp>
        <stp>26/08/2015</stp>
        <stp>26/08/2015</stp>
        <stp>[Bbg_Market_Data_CL.xlsm]data!R404C11</stp>
        <tr r="K404" s="1"/>
      </tp>
      <tp t="s">
        <v>#N/A Requesting Data...</v>
        <stp/>
        <stp>##V3_BDHV12</stp>
        <stp>CL1 Comdty</stp>
        <stp>MOV_AVG_30D</stp>
        <stp>26/08/2015</stp>
        <stp>26/08/2015</stp>
        <stp>[Bbg_Market_Data_CL.xlsm]data!R404C11</stp>
        <tr r="K404" s="1"/>
      </tp>
      <tp t="s">
        <v>#N/A Requesting Data...</v>
        <stp/>
        <stp>##V3_BDHV12</stp>
        <stp>CL1 Comdty</stp>
        <stp>PX_LOW</stp>
        <stp>17/01/2017</stp>
        <stp>17/01/2017</stp>
        <stp>[Bbg_Market_Data_CL.xlsm]data!R60C7</stp>
        <tr r="G60" s="1"/>
      </tp>
      <tp>
        <v>52.9</v>
        <stp/>
        <stp>##V3_BDHV12</stp>
        <stp>CL2 Comdty</stp>
        <stp>PX_LOW</stp>
        <stp>17/01/2017</stp>
        <stp>17/01/2017</stp>
        <stp>[Bbg_Market_Data_CL.xlsm]data!R60C7</stp>
        <tr r="G60" s="1"/>
      </tp>
      <tp>
        <v>48.91</v>
        <stp/>
        <stp>##V3_BDHV12</stp>
        <stp>CL2 Comdty</stp>
        <stp>PX_LOW</stp>
        <stp>29/03/2017</stp>
        <stp>29/03/2017</stp>
        <stp>[Bbg_Market_Data_CL.xlsm]data!R10C7</stp>
        <tr r="G10" s="1"/>
      </tp>
      <tp>
        <v>54.39</v>
        <stp/>
        <stp>##V3_BDHV12</stp>
        <stp>CL2 Comdty</stp>
        <stp>PX_LOW</stp>
        <stp>29/12/2016</stp>
        <stp>29/12/2016</stp>
        <stp>[Bbg_Market_Data_CL.xlsm]data!R71C7</stp>
        <tr r="G71" s="1"/>
      </tp>
      <tp t="s">
        <v>#N/A Requesting Data...</v>
        <stp/>
        <stp>##V3_BDHV12</stp>
        <stp>CL1 Comdty</stp>
        <stp>PX_LOW</stp>
        <stp>29/03/2017</stp>
        <stp>29/03/2017</stp>
        <stp>[Bbg_Market_Data_CL.xlsm]data!R10C7</stp>
        <tr r="G10" s="1"/>
      </tp>
      <tp t="s">
        <v>#N/A Requesting Data...</v>
        <stp/>
        <stp>##V3_BDHV12</stp>
        <stp>CL1 Comdty</stp>
        <stp>PX_LOW</stp>
        <stp>29/12/2016</stp>
        <stp>29/12/2016</stp>
        <stp>[Bbg_Market_Data_CL.xlsm]data!R71C7</stp>
        <tr r="G71" s="1"/>
      </tp>
      <tp t="s">
        <v>#N/A Requesting Data...</v>
        <stp/>
        <stp>##V3_BDHV12</stp>
        <stp>CL1 Comdty</stp>
        <stp>PX_LOW</stp>
        <stp>15/03/2017</stp>
        <stp>15/03/2017</stp>
        <stp>[Bbg_Market_Data_CL.xlsm]data!R20C7</stp>
        <tr r="G20" s="1"/>
      </tp>
      <tp t="s">
        <v>#N/A Requesting Data...</v>
        <stp/>
        <stp>##V3_BDHV12</stp>
        <stp>CL1 Comdty</stp>
        <stp>PX_LOW</stp>
        <stp>14/12/2016</stp>
        <stp>14/12/2016</stp>
        <stp>[Bbg_Market_Data_CL.xlsm]data!R81C7</stp>
        <tr r="G81" s="1"/>
      </tp>
      <tp>
        <v>51.74</v>
        <stp/>
        <stp>##V3_BDHV12</stp>
        <stp>CL2 Comdty</stp>
        <stp>PX_LOW</stp>
        <stp>14/12/2016</stp>
        <stp>14/12/2016</stp>
        <stp>[Bbg_Market_Data_CL.xlsm]data!R81C7</stp>
        <tr r="G81" s="1"/>
      </tp>
      <tp>
        <v>48.78</v>
        <stp/>
        <stp>##V3_BDHV12</stp>
        <stp>CL2 Comdty</stp>
        <stp>PX_LOW</stp>
        <stp>15/03/2017</stp>
        <stp>15/03/2017</stp>
        <stp>[Bbg_Market_Data_CL.xlsm]data!R20C7</stp>
        <tr r="G20" s="1"/>
      </tp>
      <tp t="s">
        <v>#N/A Requesting Data...</v>
        <stp/>
        <stp>##V3_BDHV12</stp>
        <stp>CL1 Comdty</stp>
        <stp>PX_LOW</stp>
        <stp>31/01/2017</stp>
        <stp>31/01/2017</stp>
        <stp>[Bbg_Market_Data_CL.xlsm]data!R50C7</stp>
        <tr r="G50" s="1"/>
      </tp>
      <tp>
        <v>52.9</v>
        <stp/>
        <stp>##V3_BDHV12</stp>
        <stp>CL2 Comdty</stp>
        <stp>PX_LOW</stp>
        <stp>31/01/2017</stp>
        <stp>31/01/2017</stp>
        <stp>[Bbg_Market_Data_CL.xlsm]data!R50C7</stp>
        <tr r="G50" s="1"/>
      </tp>
      <tp t="s">
        <v>#N/A Requesting Data...</v>
        <stp/>
        <stp>##V3_BDHV12</stp>
        <stp>CL1 Comdty</stp>
        <stp>PX_LOW</stp>
        <stp>14/02/2017</stp>
        <stp>14/02/2017</stp>
        <stp>[Bbg_Market_Data_CL.xlsm]data!R40C7</stp>
        <tr r="G40" s="1"/>
      </tp>
      <tp>
        <v>53.36</v>
        <stp/>
        <stp>##V3_BDHV12</stp>
        <stp>CL2 Comdty</stp>
        <stp>PX_LOW</stp>
        <stp>14/02/2017</stp>
        <stp>14/02/2017</stp>
        <stp>[Bbg_Market_Data_CL.xlsm]data!R40C7</stp>
        <tr r="G40" s="1"/>
      </tp>
      <tp t="s">
        <v>#N/A Requesting Data...</v>
        <stp/>
        <stp>##V3_BDHV12</stp>
        <stp>CL1 Comdty</stp>
        <stp>PX_LOW</stp>
        <stp>30/11/2016</stp>
        <stp>30/11/2016</stp>
        <stp>[Bbg_Market_Data_CL.xlsm]data!R91C7</stp>
        <tr r="G91" s="1"/>
      </tp>
      <tp t="s">
        <v>#N/A Requesting Data...</v>
        <stp/>
        <stp>##V3_BDHV12</stp>
        <stp>CL1 Comdty</stp>
        <stp>PX_LOW</stp>
        <stp>01/03/2017</stp>
        <stp>01/03/2017</stp>
        <stp>[Bbg_Market_Data_CL.xlsm]data!R30C7</stp>
        <tr r="G30" s="1"/>
      </tp>
      <tp>
        <v>54.1</v>
        <stp/>
        <stp>##V3_BDHV12</stp>
        <stp>CL2 Comdty</stp>
        <stp>PX_LOW</stp>
        <stp>01/03/2017</stp>
        <stp>01/03/2017</stp>
        <stp>[Bbg_Market_Data_CL.xlsm]data!R30C7</stp>
        <tr r="G30" s="1"/>
      </tp>
      <tp>
        <v>46.13</v>
        <stp/>
        <stp>##V3_BDHV12</stp>
        <stp>CL2 Comdty</stp>
        <stp>PX_LOW</stp>
        <stp>30/11/2016</stp>
        <stp>30/11/2016</stp>
        <stp>[Bbg_Market_Data_CL.xlsm]data!R91C7</stp>
        <tr r="G91" s="1"/>
      </tp>
      <tp t="s">
        <v>#N/A Requesting Data...</v>
        <stp/>
        <stp>##V3_BDHV12</stp>
        <stp>CL1 Comdty</stp>
        <stp>MOV_AVG_30D</stp>
        <stp>28/07/2015</stp>
        <stp>28/07/2015</stp>
        <stp>[Bbg_Market_Data_CL.xlsm]data!R425C11</stp>
        <tr r="K425" s="1"/>
      </tp>
      <tp t="s">
        <v>#N/A Requesting Data...</v>
        <stp/>
        <stp>##V3_BDHV12</stp>
        <stp>CL2 Comdty</stp>
        <stp>MOV_AVG_30D</stp>
        <stp>28/07/2015</stp>
        <stp>28/07/2015</stp>
        <stp>[Bbg_Market_Data_CL.xlsm]data!R425C11</stp>
        <tr r="K425" s="1"/>
      </tp>
      <tp t="s">
        <v>#N/A Requesting Data...</v>
        <stp/>
        <stp>##V3_BDHV12</stp>
        <stp>CL1 Comdty</stp>
        <stp>MOV_AVG_30D</stp>
        <stp>08/05/2015</stp>
        <stp>08/05/2015</stp>
        <stp>[Bbg_Market_Data_CL.xlsm]data!R480C11</stp>
        <tr r="K480" s="1"/>
      </tp>
      <tp t="s">
        <v>#N/A Requesting Data...</v>
        <stp/>
        <stp>##V3_BDHV12</stp>
        <stp>CL2 Comdty</stp>
        <stp>MOV_AVG_30D</stp>
        <stp>08/05/2015</stp>
        <stp>08/05/2015</stp>
        <stp>[Bbg_Market_Data_CL.xlsm]data!R480C11</stp>
        <tr r="K480" s="1"/>
      </tp>
      <tp t="s">
        <v>#N/A Requesting Data...</v>
        <stp/>
        <stp>##V3_BDHV12</stp>
        <stp>CL1 Comdty</stp>
        <stp>MOV_AVG_30D</stp>
        <stp>29/06/2015</stp>
        <stp>29/06/2015</stp>
        <stp>[Bbg_Market_Data_CL.xlsm]data!R445C11</stp>
        <tr r="K445" s="1"/>
      </tp>
      <tp t="s">
        <v>#N/A Requesting Data...</v>
        <stp/>
        <stp>##V3_BDHV12</stp>
        <stp>CL2 Comdty</stp>
        <stp>MOV_AVG_30D</stp>
        <stp>29/06/2015</stp>
        <stp>29/06/2015</stp>
        <stp>[Bbg_Market_Data_CL.xlsm]data!R445C11</stp>
        <tr r="K445" s="1"/>
      </tp>
      <tp t="s">
        <v>#N/A Requesting Data...</v>
        <stp/>
        <stp>##V3_BDHV12</stp>
        <stp>CL2 Comdty</stp>
        <stp>MOV_AVG_30D</stp>
        <stp>19/05/2015</stp>
        <stp>19/05/2015</stp>
        <stp>[Bbg_Market_Data_CL.xlsm]data!R473C11</stp>
        <tr r="K473" s="1"/>
      </tp>
      <tp t="s">
        <v>#N/A Requesting Data...</v>
        <stp/>
        <stp>##V3_BDHV12</stp>
        <stp>CL1 Comdty</stp>
        <stp>MOV_AVG_30D</stp>
        <stp>19/05/2015</stp>
        <stp>19/05/2015</stp>
        <stp>[Bbg_Market_Data_CL.xlsm]data!R473C11</stp>
        <tr r="K473" s="1"/>
      </tp>
      <tp t="s">
        <v>#N/A Requesting Data...</v>
        <stp/>
        <stp>##V3_BDHV12</stp>
        <stp>CL2 Comdty</stp>
        <stp>MOV_AVG_30D</stp>
        <stp>08/06/2016</stp>
        <stp>08/06/2016</stp>
        <stp>[Bbg_Market_Data_CL.xlsm]data!R210C11</stp>
        <tr r="K210" s="1"/>
      </tp>
      <tp t="s">
        <v>#N/A Requesting Data...</v>
        <stp/>
        <stp>##V3_BDHV12</stp>
        <stp>CL1 Comdty</stp>
        <stp>MOV_AVG_30D</stp>
        <stp>08/06/2016</stp>
        <stp>08/06/2016</stp>
        <stp>[Bbg_Market_Data_CL.xlsm]data!R210C11</stp>
        <tr r="K210" s="1"/>
      </tp>
      <tp t="s">
        <v>#N/A Requesting Data...</v>
        <stp/>
        <stp>##V3_BDHV12</stp>
        <stp>CL2 Comdty</stp>
        <stp>MOV_AVG_30D</stp>
        <stp>28/04/2016</stp>
        <stp>28/04/2016</stp>
        <stp>[Bbg_Market_Data_CL.xlsm]data!R238C11</stp>
        <tr r="K238" s="1"/>
      </tp>
      <tp t="s">
        <v>#N/A Requesting Data...</v>
        <stp/>
        <stp>##V3_BDHV12</stp>
        <stp>CL1 Comdty</stp>
        <stp>MOV_AVG_30D</stp>
        <stp>28/04/2016</stp>
        <stp>28/04/2016</stp>
        <stp>[Bbg_Market_Data_CL.xlsm]data!R238C11</stp>
        <tr r="K238" s="1"/>
      </tp>
      <tp t="s">
        <v>#N/A Requesting Data...</v>
        <stp/>
        <stp>##V3_BDHV12</stp>
        <stp>CL1 Comdty</stp>
        <stp>MOV_AVG_30D</stp>
        <stp>18/07/2016</stp>
        <stp>18/07/2016</stp>
        <stp>[Bbg_Market_Data_CL.xlsm]data!R183C11</stp>
        <tr r="K183" s="1"/>
      </tp>
      <tp t="s">
        <v>#N/A Requesting Data...</v>
        <stp/>
        <stp>##V3_BDHV12</stp>
        <stp>CL2 Comdty</stp>
        <stp>MOV_AVG_30D</stp>
        <stp>18/07/2016</stp>
        <stp>18/07/2016</stp>
        <stp>[Bbg_Market_Data_CL.xlsm]data!R183C11</stp>
        <tr r="K183" s="1"/>
      </tp>
      <tp t="s">
        <v>#N/A Requesting Data...</v>
        <stp/>
        <stp>##V3_BDHV12</stp>
        <stp>CL1 Comdty</stp>
        <stp>MOV_AVG_30D</stp>
        <stp>16/09/2016</stp>
        <stp>16/09/2016</stp>
        <stp>[Bbg_Market_Data_CL.xlsm]data!R141C11</stp>
        <tr r="K141" s="1"/>
      </tp>
      <tp t="s">
        <v>#N/A Requesting Data...</v>
        <stp/>
        <stp>##V3_BDHV12</stp>
        <stp>CL2 Comdty</stp>
        <stp>MOV_AVG_30D</stp>
        <stp>16/09/2016</stp>
        <stp>16/09/2016</stp>
        <stp>[Bbg_Market_Data_CL.xlsm]data!R141C11</stp>
        <tr r="K141" s="1"/>
      </tp>
      <tp t="s">
        <v>#N/A Requesting Data...</v>
        <stp/>
        <stp>##V3_BDHV12</stp>
        <stp>CL1 Comdty</stp>
        <stp>MOV_AVG_30D</stp>
        <stp>07/09/2016</stp>
        <stp>07/09/2016</stp>
        <stp>[Bbg_Market_Data_CL.xlsm]data!R148C11</stp>
        <tr r="K148" s="1"/>
      </tp>
      <tp t="s">
        <v>#N/A Requesting Data...</v>
        <stp/>
        <stp>##V3_BDHV12</stp>
        <stp>CL2 Comdty</stp>
        <stp>MOV_AVG_30D</stp>
        <stp>07/09/2016</stp>
        <stp>07/09/2016</stp>
        <stp>[Bbg_Market_Data_CL.xlsm]data!R148C11</stp>
        <tr r="K148" s="1"/>
      </tp>
      <tp t="s">
        <v>#N/A Requesting Data...</v>
        <stp/>
        <stp>##V3_BDHV12</stp>
        <stp>CL2 Comdty</stp>
        <stp>MOV_AVG_30D</stp>
        <stp>17/08/2016</stp>
        <stp>17/08/2016</stp>
        <stp>[Bbg_Market_Data_CL.xlsm]data!R162C11</stp>
        <tr r="K162" s="1"/>
      </tp>
      <tp t="s">
        <v>#N/A Requesting Data...</v>
        <stp/>
        <stp>##V3_BDHV12</stp>
        <stp>CL1 Comdty</stp>
        <stp>MOV_AVG_30D</stp>
        <stp>17/08/2016</stp>
        <stp>17/08/2016</stp>
        <stp>[Bbg_Market_Data_CL.xlsm]data!R162C11</stp>
        <tr r="K162" s="1"/>
      </tp>
      <tp t="s">
        <v>#N/A Requesting Data...</v>
        <stp/>
        <stp>##V3_BDHV12</stp>
        <stp>CL1 Comdty</stp>
        <stp>MOV_AVG_30D</stp>
        <stp>24/08/2016</stp>
        <stp>24/08/2016</stp>
        <stp>[Bbg_Market_Data_CL.xlsm]data!R157C11</stp>
        <tr r="K157" s="1"/>
      </tp>
      <tp t="s">
        <v>#N/A Requesting Data...</v>
        <stp/>
        <stp>##V3_BDHV12</stp>
        <stp>CL2 Comdty</stp>
        <stp>MOV_AVG_30D</stp>
        <stp>24/08/2016</stp>
        <stp>24/08/2016</stp>
        <stp>[Bbg_Market_Data_CL.xlsm]data!R157C11</stp>
        <tr r="K157" s="1"/>
      </tp>
      <tp t="s">
        <v>#N/A Requesting Data...</v>
        <stp/>
        <stp>##V3_BDHV12</stp>
        <stp>CL1 Comdty</stp>
        <stp>MOV_AVG_30D</stp>
        <stp>15/09/2015</stp>
        <stp>15/09/2015</stp>
        <stp>[Bbg_Market_Data_CL.xlsm]data!R391C11</stp>
        <tr r="K391" s="1"/>
      </tp>
      <tp t="s">
        <v>#N/A Requesting Data...</v>
        <stp/>
        <stp>##V3_BDHV12</stp>
        <stp>CL2 Comdty</stp>
        <stp>MOV_AVG_30D</stp>
        <stp>15/09/2015</stp>
        <stp>15/09/2015</stp>
        <stp>[Bbg_Market_Data_CL.xlsm]data!R391C11</stp>
        <tr r="K391" s="1"/>
      </tp>
      <tp t="s">
        <v>#N/A Requesting Data...</v>
        <stp/>
        <stp>##V3_BDHV12</stp>
        <stp>CL2 Comdty</stp>
        <stp>MOV_AVG_30D</stp>
        <stp>04/09/2015</stp>
        <stp>04/09/2015</stp>
        <stp>[Bbg_Market_Data_CL.xlsm]data!R397C11</stp>
        <tr r="K397" s="1"/>
      </tp>
      <tp t="s">
        <v>#N/A Requesting Data...</v>
        <stp/>
        <stp>##V3_BDHV12</stp>
        <stp>CL1 Comdty</stp>
        <stp>MOV_AVG_30D</stp>
        <stp>04/09/2015</stp>
        <stp>04/09/2015</stp>
        <stp>[Bbg_Market_Data_CL.xlsm]data!R397C11</stp>
        <tr r="K397" s="1"/>
      </tp>
      <tp t="s">
        <v>#N/A Requesting Data...</v>
        <stp/>
        <stp>##V3_BDHV12</stp>
        <stp>CL2 Comdty</stp>
        <stp>MOV_AVG_30D</stp>
        <stp>14/08/2015</stp>
        <stp>14/08/2015</stp>
        <stp>[Bbg_Market_Data_CL.xlsm]data!R412C11</stp>
        <tr r="K412" s="1"/>
      </tp>
      <tp t="s">
        <v>#N/A Requesting Data...</v>
        <stp/>
        <stp>##V3_BDHV12</stp>
        <stp>CL1 Comdty</stp>
        <stp>MOV_AVG_30D</stp>
        <stp>14/08/2015</stp>
        <stp>14/08/2015</stp>
        <stp>[Bbg_Market_Data_CL.xlsm]data!R412C11</stp>
        <tr r="K412" s="1"/>
      </tp>
      <tp t="s">
        <v>#N/A Requesting Data...</v>
        <stp/>
        <stp>##V3_BDHV12</stp>
        <stp>CL1 Comdty</stp>
        <stp>MOV_AVG_30D</stp>
        <stp>05/08/2015</stp>
        <stp>05/08/2015</stp>
        <stp>[Bbg_Market_Data_CL.xlsm]data!R419C11</stp>
        <tr r="K419" s="1"/>
      </tp>
      <tp t="s">
        <v>#N/A Requesting Data...</v>
        <stp/>
        <stp>##V3_BDHV12</stp>
        <stp>CL2 Comdty</stp>
        <stp>MOV_AVG_30D</stp>
        <stp>05/08/2015</stp>
        <stp>05/08/2015</stp>
        <stp>[Bbg_Market_Data_CL.xlsm]data!R419C11</stp>
        <tr r="K419" s="1"/>
      </tp>
      <tp t="s">
        <v>#N/A Requesting Data...</v>
        <stp/>
        <stp>##V3_BDHV12</stp>
        <stp>CL1 Comdty</stp>
        <stp>MOV_AVG_30D</stp>
        <stp>27/08/2015</stp>
        <stp>27/08/2015</stp>
        <stp>[Bbg_Market_Data_CL.xlsm]data!R403C11</stp>
        <tr r="K403" s="1"/>
      </tp>
      <tp t="s">
        <v>#N/A Requesting Data...</v>
        <stp/>
        <stp>##V3_BDHV12</stp>
        <stp>CL2 Comdty</stp>
        <stp>MOV_AVG_30D</stp>
        <stp>27/08/2015</stp>
        <stp>27/08/2015</stp>
        <stp>[Bbg_Market_Data_CL.xlsm]data!R403C11</stp>
        <tr r="K403" s="1"/>
      </tp>
      <tp>
        <v>54.37</v>
        <stp/>
        <stp>##V3_BDHV12</stp>
        <stp>CL2 Comdty</stp>
        <stp>PX_LOW</stp>
        <stp>30/12/2016</stp>
        <stp>30/12/2016</stp>
        <stp>[Bbg_Market_Data_CL.xlsm]data!R70C7</stp>
        <tr r="G70" s="1"/>
      </tp>
      <tp t="s">
        <v>#N/A Requesting Data...</v>
        <stp/>
        <stp>##V3_BDHV12</stp>
        <stp>CL1 Comdty</stp>
        <stp>PX_LOW</stp>
        <stp>13/01/2017</stp>
        <stp>13/01/2017</stp>
        <stp>[Bbg_Market_Data_CL.xlsm]data!R61C7</stp>
        <tr r="G61" s="1"/>
      </tp>
      <tp t="s">
        <v>#N/A Requesting Data...</v>
        <stp/>
        <stp>##V3_BDHV12</stp>
        <stp>CL1 Comdty</stp>
        <stp>PX_LOW</stp>
        <stp>30/12/2016</stp>
        <stp>30/12/2016</stp>
        <stp>[Bbg_Market_Data_CL.xlsm]data!R70C7</stp>
        <tr r="G70" s="1"/>
      </tp>
      <tp>
        <v>53.08</v>
        <stp/>
        <stp>##V3_BDHV12</stp>
        <stp>CL2 Comdty</stp>
        <stp>PX_LOW</stp>
        <stp>13/01/2017</stp>
        <stp>13/01/2017</stp>
        <stp>[Bbg_Market_Data_CL.xlsm]data!R61C7</stp>
        <tr r="G61" s="1"/>
      </tp>
      <tp>
        <v>53.62</v>
        <stp/>
        <stp>##V3_BDHV12</stp>
        <stp>CL2 Comdty</stp>
        <stp>PX_LOW</stp>
        <stp>28/02/2017</stp>
        <stp>28/02/2017</stp>
        <stp>[Bbg_Market_Data_CL.xlsm]data!R31C7</stp>
        <tr r="G31" s="1"/>
      </tp>
      <tp t="s">
        <v>#N/A Requesting Data...</v>
        <stp/>
        <stp>##V3_BDHV12</stp>
        <stp>CL1 Comdty</stp>
        <stp>PX_LOW</stp>
        <stp>28/02/2017</stp>
        <stp>28/02/2017</stp>
        <stp>[Bbg_Market_Data_CL.xlsm]data!R31C7</stp>
        <tr r="G31" s="1"/>
      </tp>
      <tp>
        <v>48.35</v>
        <stp/>
        <stp>##V3_BDHV12</stp>
        <stp>CL2 Comdty</stp>
        <stp>PX_LOW</stp>
        <stp>28/03/2017</stp>
        <stp>28/03/2017</stp>
        <stp>[Bbg_Market_Data_CL.xlsm]data!R11C7</stp>
        <tr r="G11" s="1"/>
      </tp>
      <tp t="s">
        <v>#N/A Requesting Data...</v>
        <stp/>
        <stp>##V3_BDHV12</stp>
        <stp>CL1 Comdty</stp>
        <stp>PX_LOW</stp>
        <stp>28/03/2017</stp>
        <stp>28/03/2017</stp>
        <stp>[Bbg_Market_Data_CL.xlsm]data!R11C7</stp>
        <tr r="G11" s="1"/>
      </tp>
      <tp t="s">
        <v>#N/A Requesting Data...</v>
        <stp/>
        <stp>##V3_BDHV12</stp>
        <stp>CL1 Comdty</stp>
        <stp>PX_LOW</stp>
        <stp>15/12/2016</stp>
        <stp>15/12/2016</stp>
        <stp>[Bbg_Market_Data_CL.xlsm]data!R80C7</stp>
        <tr r="G80" s="1"/>
      </tp>
      <tp t="s">
        <v>#N/A Requesting Data...</v>
        <stp/>
        <stp>##V3_BDHV12</stp>
        <stp>CL1 Comdty</stp>
        <stp>PX_LOW</stp>
        <stp>14/03/2017</stp>
        <stp>14/03/2017</stp>
        <stp>[Bbg_Market_Data_CL.xlsm]data!R21C7</stp>
        <tr r="G21" s="1"/>
      </tp>
      <tp>
        <v>47.71</v>
        <stp/>
        <stp>##V3_BDHV12</stp>
        <stp>CL2 Comdty</stp>
        <stp>PX_LOW</stp>
        <stp>14/03/2017</stp>
        <stp>14/03/2017</stp>
        <stp>[Bbg_Market_Data_CL.xlsm]data!R21C7</stp>
        <tr r="G21" s="1"/>
      </tp>
      <tp>
        <v>51.1</v>
        <stp/>
        <stp>##V3_BDHV12</stp>
        <stp>CL2 Comdty</stp>
        <stp>PX_LOW</stp>
        <stp>15/12/2016</stp>
        <stp>15/12/2016</stp>
        <stp>[Bbg_Market_Data_CL.xlsm]data!R80C7</stp>
        <tr r="G80" s="1"/>
      </tp>
      <tp t="s">
        <v>#N/A Requesting Data...</v>
        <stp/>
        <stp>##V3_BDHV12</stp>
        <stp>CL1 Comdty</stp>
        <stp>PX_LOW</stp>
        <stp>30/01/2017</stp>
        <stp>30/01/2017</stp>
        <stp>[Bbg_Market_Data_CL.xlsm]data!R51C7</stp>
        <tr r="G51" s="1"/>
      </tp>
      <tp>
        <v>53.01</v>
        <stp/>
        <stp>##V3_BDHV12</stp>
        <stp>CL2 Comdty</stp>
        <stp>PX_LOW</stp>
        <stp>30/01/2017</stp>
        <stp>30/01/2017</stp>
        <stp>[Bbg_Market_Data_CL.xlsm]data!R51C7</stp>
        <tr r="G51" s="1"/>
      </tp>
      <tp>
        <v>53.26</v>
        <stp/>
        <stp>##V3_BDHV12</stp>
        <stp>CL2 Comdty</stp>
        <stp>PX_LOW</stp>
        <stp>13/02/2017</stp>
        <stp>13/02/2017</stp>
        <stp>[Bbg_Market_Data_CL.xlsm]data!R41C7</stp>
        <tr r="G41" s="1"/>
      </tp>
      <tp t="s">
        <v>#N/A Requesting Data...</v>
        <stp/>
        <stp>##V3_BDHV12</stp>
        <stp>CL1 Comdty</stp>
        <stp>PX_LOW</stp>
        <stp>01/12/2016</stp>
        <stp>01/12/2016</stp>
        <stp>[Bbg_Market_Data_CL.xlsm]data!R90C7</stp>
        <tr r="G90" s="1"/>
      </tp>
      <tp>
        <v>49.94</v>
        <stp/>
        <stp>##V3_BDHV12</stp>
        <stp>CL2 Comdty</stp>
        <stp>PX_LOW</stp>
        <stp>01/12/2016</stp>
        <stp>01/12/2016</stp>
        <stp>[Bbg_Market_Data_CL.xlsm]data!R90C7</stp>
        <tr r="G90" s="1"/>
      </tp>
      <tp t="s">
        <v>#N/A Requesting Data...</v>
        <stp/>
        <stp>##V3_BDHV12</stp>
        <stp>CL1 Comdty</stp>
        <stp>PX_LOW</stp>
        <stp>13/02/2017</stp>
        <stp>13/02/2017</stp>
        <stp>[Bbg_Market_Data_CL.xlsm]data!R41C7</stp>
        <tr r="G41" s="1"/>
      </tp>
      <tp t="s">
        <v>#N/A Requesting Data...</v>
        <stp/>
        <stp>##V3_BDHV12</stp>
        <stp>CL2 Comdty</stp>
        <stp>MOV_AVG_30D</stp>
        <stp>08/01/2016</stp>
        <stp>08/01/2016</stp>
        <stp>[Bbg_Market_Data_CL.xlsm]data!R313C11</stp>
        <tr r="K313" s="1"/>
      </tp>
      <tp t="s">
        <v>#N/A Requesting Data...</v>
        <stp/>
        <stp>##V3_BDHV12</stp>
        <stp>CL1 Comdty</stp>
        <stp>MOV_AVG_30D</stp>
        <stp>08/01/2016</stp>
        <stp>08/01/2016</stp>
        <stp>[Bbg_Market_Data_CL.xlsm]data!R313C11</stp>
        <tr r="K313" s="1"/>
      </tp>
      <tp t="s">
        <v>#N/A Requesting Data...</v>
        <stp/>
        <stp>##V3_BDHV12</stp>
        <stp>CL1 Comdty</stp>
        <stp>MOV_AVG_30D</stp>
        <stp>29/02/2016</stp>
        <stp>29/02/2016</stp>
        <stp>[Bbg_Market_Data_CL.xlsm]data!R280C11</stp>
        <tr r="K280" s="1"/>
      </tp>
      <tp t="s">
        <v>#N/A Requesting Data...</v>
        <stp/>
        <stp>##V3_BDHV12</stp>
        <stp>CL2 Comdty</stp>
        <stp>MOV_AVG_30D</stp>
        <stp>29/02/2016</stp>
        <stp>29/02/2016</stp>
        <stp>[Bbg_Market_Data_CL.xlsm]data!R280C11</stp>
        <tr r="K280" s="1"/>
      </tp>
      <tp t="s">
        <v>#N/A Requesting Data...</v>
        <stp/>
        <stp>##V3_BDHV12</stp>
        <stp>CL1 Comdty</stp>
        <stp>MOV_AVG_30D</stp>
        <stp>28/03/2016</stp>
        <stp>28/03/2016</stp>
        <stp>[Bbg_Market_Data_CL.xlsm]data!R261C11</stp>
        <tr r="K261" s="1"/>
      </tp>
      <tp t="s">
        <v>#N/A Requesting Data...</v>
        <stp/>
        <stp>##V3_BDHV12</stp>
        <stp>CL2 Comdty</stp>
        <stp>MOV_AVG_30D</stp>
        <stp>28/03/2016</stp>
        <stp>28/03/2016</stp>
        <stp>[Bbg_Market_Data_CL.xlsm]data!R261C11</stp>
        <tr r="K261" s="1"/>
      </tp>
      <tp t="s">
        <v>#N/A Requesting Data...</v>
        <stp/>
        <stp>##V3_BDHV12</stp>
        <stp>CL2 Comdty</stp>
        <stp>MOV_AVG_30D</stp>
        <stp>19/01/2016</stp>
        <stp>19/01/2016</stp>
        <stp>[Bbg_Market_Data_CL.xlsm]data!R307C11</stp>
        <tr r="K307" s="1"/>
      </tp>
      <tp t="s">
        <v>#N/A Requesting Data...</v>
        <stp/>
        <stp>##V3_BDHV12</stp>
        <stp>CL1 Comdty</stp>
        <stp>MOV_AVG_30D</stp>
        <stp>19/01/2016</stp>
        <stp>19/01/2016</stp>
        <stp>[Bbg_Market_Data_CL.xlsm]data!R307C11</stp>
        <tr r="K307" s="1"/>
      </tp>
      <tp t="s">
        <v>#N/A Requesting Data...</v>
        <stp/>
        <stp>##V3_BDHV12</stp>
        <stp>CL1 Comdty</stp>
        <stp>MOV_AVG_30D</stp>
        <stp>08/11/2016</stp>
        <stp>08/11/2016</stp>
        <stp>[Bbg_Market_Data_CL.xlsm]data!R105C11</stp>
        <tr r="K105" s="1"/>
      </tp>
      <tp t="s">
        <v>#N/A Requesting Data...</v>
        <stp/>
        <stp>##V3_BDHV12</stp>
        <stp>CL2 Comdty</stp>
        <stp>MOV_AVG_30D</stp>
        <stp>08/11/2016</stp>
        <stp>08/11/2016</stp>
        <stp>[Bbg_Market_Data_CL.xlsm]data!R105C11</stp>
        <tr r="K105" s="1"/>
      </tp>
      <tp t="s">
        <v>#N/A Requesting Data...</v>
        <stp/>
        <stp>##V3_BDHV12</stp>
        <stp>CL1 Comdty</stp>
        <stp>MOV_AVG_30D</stp>
        <stp>18/10/2016</stp>
        <stp>18/10/2016</stp>
        <stp>[Bbg_Market_Data_CL.xlsm]data!R120C11</stp>
        <tr r="K120" s="1"/>
      </tp>
      <tp t="s">
        <v>#N/A Requesting Data...</v>
        <stp/>
        <stp>##V3_BDHV12</stp>
        <stp>CL2 Comdty</stp>
        <stp>MOV_AVG_30D</stp>
        <stp>18/10/2016</stp>
        <stp>18/10/2016</stp>
        <stp>[Bbg_Market_Data_CL.xlsm]data!R120C11</stp>
        <tr r="K120" s="1"/>
      </tp>
      <tp t="s">
        <v>#N/A Requesting Data...</v>
        <stp/>
        <stp>##V3_BDHV12</stp>
        <stp>CL2 Comdty</stp>
        <stp>MOV_AVG_30D</stp>
        <stp>28/10/2015</stp>
        <stp>28/10/2015</stp>
        <stp>[Bbg_Market_Data_CL.xlsm]data!R361C11</stp>
        <tr r="K361" s="1"/>
      </tp>
      <tp t="s">
        <v>#N/A Requesting Data...</v>
        <stp/>
        <stp>##V3_BDHV12</stp>
        <stp>CL1 Comdty</stp>
        <stp>MOV_AVG_30D</stp>
        <stp>28/10/2015</stp>
        <stp>28/10/2015</stp>
        <stp>[Bbg_Market_Data_CL.xlsm]data!R361C11</stp>
        <tr r="K361" s="1"/>
      </tp>
      <tp t="s">
        <v>#N/A Requesting Data...</v>
        <stp/>
        <stp>##V3_BDHV12</stp>
        <stp>CL2 Comdty</stp>
        <stp>MOV_AVG_30D</stp>
        <stp>08/12/2015</stp>
        <stp>08/12/2015</stp>
        <stp>[Bbg_Market_Data_CL.xlsm]data!R334C11</stp>
        <tr r="K334" s="1"/>
      </tp>
      <tp t="s">
        <v>#N/A Requesting Data...</v>
        <stp/>
        <stp>##V3_BDHV12</stp>
        <stp>CL1 Comdty</stp>
        <stp>MOV_AVG_30D</stp>
        <stp>08/12/2015</stp>
        <stp>08/12/2015</stp>
        <stp>[Bbg_Market_Data_CL.xlsm]data!R334C11</stp>
        <tr r="K334" s="1"/>
      </tp>
      <tp t="s">
        <v>#N/A Requesting Data...</v>
        <stp/>
        <stp>##V3_BDHV12</stp>
        <stp>CL2 Comdty</stp>
        <stp>MOV_AVG_30D</stp>
        <stp>20/08/2015</stp>
        <stp>20/08/2015</stp>
        <stp>[Bbg_Market_Data_CL.xlsm]data!R408C11</stp>
        <tr r="K408" s="1"/>
      </tp>
      <tp t="s">
        <v>#N/A Requesting Data...</v>
        <stp/>
        <stp>##V3_BDHV12</stp>
        <stp>CL1 Comdty</stp>
        <stp>MOV_AVG_30D</stp>
        <stp>20/08/2015</stp>
        <stp>20/08/2015</stp>
        <stp>[Bbg_Market_Data_CL.xlsm]data!R408C11</stp>
        <tr r="K408" s="1"/>
      </tp>
      <tp t="s">
        <v>#N/A Requesting Data...</v>
        <stp/>
        <stp>##V3_BDHV12</stp>
        <stp>CL2 Comdty</stp>
        <stp>MOV_AVG_30D</stp>
        <stp>31/08/2015</stp>
        <stp>31/08/2015</stp>
        <stp>[Bbg_Market_Data_CL.xlsm]data!R401C11</stp>
        <tr r="K401" s="1"/>
      </tp>
      <tp t="s">
        <v>#N/A Requesting Data...</v>
        <stp/>
        <stp>##V3_BDHV12</stp>
        <stp>CL1 Comdty</stp>
        <stp>MOV_AVG_30D</stp>
        <stp>31/08/2015</stp>
        <stp>31/08/2015</stp>
        <stp>[Bbg_Market_Data_CL.xlsm]data!R401C11</stp>
        <tr r="K401" s="1"/>
      </tp>
      <tp t="s">
        <v>#N/A Requesting Data...</v>
        <stp/>
        <stp>##V3_BDHV12</stp>
        <stp>CL2 Comdty</stp>
        <stp>MOV_AVG_30D</stp>
        <stp>13/08/2015</stp>
        <stp>13/08/2015</stp>
        <stp>[Bbg_Market_Data_CL.xlsm]data!R413C11</stp>
        <tr r="K413" s="1"/>
      </tp>
      <tp t="s">
        <v>#N/A Requesting Data...</v>
        <stp/>
        <stp>##V3_BDHV12</stp>
        <stp>CL1 Comdty</stp>
        <stp>MOV_AVG_30D</stp>
        <stp>13/08/2015</stp>
        <stp>13/08/2015</stp>
        <stp>[Bbg_Market_Data_CL.xlsm]data!R413C11</stp>
        <tr r="K413" s="1"/>
      </tp>
      <tp t="s">
        <v>#N/A Requesting Data...</v>
        <stp/>
        <stp>##V3_BDHV12</stp>
        <stp>CL1 Comdty</stp>
        <stp>MOV_AVG_30D</stp>
        <stp>22/09/2016</stp>
        <stp>22/09/2016</stp>
        <stp>[Bbg_Market_Data_CL.xlsm]data!R137C11</stp>
        <tr r="K137" s="1"/>
      </tp>
      <tp t="s">
        <v>#N/A Requesting Data...</v>
        <stp/>
        <stp>##V3_BDHV12</stp>
        <stp>CL2 Comdty</stp>
        <stp>MOV_AVG_30D</stp>
        <stp>22/09/2016</stp>
        <stp>22/09/2016</stp>
        <stp>[Bbg_Market_Data_CL.xlsm]data!R137C11</stp>
        <tr r="K137" s="1"/>
      </tp>
      <tp t="s">
        <v>#N/A Requesting Data...</v>
        <stp/>
        <stp>##V3_BDHV12</stp>
        <stp>CL1 Comdty</stp>
        <stp>MOV_AVG_30D</stp>
        <stp>03/09/2015</stp>
        <stp>03/09/2015</stp>
        <stp>[Bbg_Market_Data_CL.xlsm]data!R398C11</stp>
        <tr r="K398" s="1"/>
      </tp>
      <tp t="s">
        <v>#N/A Requesting Data...</v>
        <stp/>
        <stp>##V3_BDHV12</stp>
        <stp>CL2 Comdty</stp>
        <stp>MOV_AVG_30D</stp>
        <stp>03/09/2015</stp>
        <stp>03/09/2015</stp>
        <stp>[Bbg_Market_Data_CL.xlsm]data!R398C11</stp>
        <tr r="K398" s="1"/>
      </tp>
      <tp t="s">
        <v>#N/A Requesting Data...</v>
        <stp/>
        <stp>##V3_BDHV12</stp>
        <stp>CL2 Comdty</stp>
        <stp>MOV_AVG_30D</stp>
        <stp>23/08/2016</stp>
        <stp>23/08/2016</stp>
        <stp>[Bbg_Market_Data_CL.xlsm]data!R158C11</stp>
        <tr r="K158" s="1"/>
      </tp>
      <tp t="s">
        <v>#N/A Requesting Data...</v>
        <stp/>
        <stp>##V3_BDHV12</stp>
        <stp>CL1 Comdty</stp>
        <stp>MOV_AVG_30D</stp>
        <stp>23/08/2016</stp>
        <stp>23/08/2016</stp>
        <stp>[Bbg_Market_Data_CL.xlsm]data!R158C11</stp>
        <tr r="K158" s="1"/>
      </tp>
      <tp t="s">
        <v>#N/A Requesting Data...</v>
        <stp/>
        <stp>##V3_BDHV12</stp>
        <stp>CL2 Comdty</stp>
        <stp>MOV_AVG_30D</stp>
        <stp>10/08/2016</stp>
        <stp>10/08/2016</stp>
        <stp>[Bbg_Market_Data_CL.xlsm]data!R167C11</stp>
        <tr r="K167" s="1"/>
      </tp>
      <tp t="s">
        <v>#N/A Requesting Data...</v>
        <stp/>
        <stp>##V3_BDHV12</stp>
        <stp>CL1 Comdty</stp>
        <stp>MOV_AVG_30D</stp>
        <stp>10/08/2016</stp>
        <stp>10/08/2016</stp>
        <stp>[Bbg_Market_Data_CL.xlsm]data!R167C11</stp>
        <tr r="K167" s="1"/>
      </tp>
      <tp t="s">
        <v>#N/A Requesting Data...</v>
        <stp/>
        <stp>##V3_BDHV12</stp>
        <stp>CL1 Comdty</stp>
        <stp>MOV_AVG_30D</stp>
        <stp>21/09/2015</stp>
        <stp>21/09/2015</stp>
        <stp>[Bbg_Market_Data_CL.xlsm]data!R387C11</stp>
        <tr r="K387" s="1"/>
      </tp>
      <tp t="s">
        <v>#N/A Requesting Data...</v>
        <stp/>
        <stp>##V3_BDHV12</stp>
        <stp>CL2 Comdty</stp>
        <stp>MOV_AVG_30D</stp>
        <stp>21/09/2015</stp>
        <stp>21/09/2015</stp>
        <stp>[Bbg_Market_Data_CL.xlsm]data!R387C11</stp>
        <tr r="K387" s="1"/>
      </tp>
      <tp t="s">
        <v>#N/A Requesting Data...</v>
        <stp/>
        <stp>##V3_BDHV12</stp>
        <stp>CL2 Comdty</stp>
        <stp>MOV_AVG_30D</stp>
        <stp>01/08/2016</stp>
        <stp>01/08/2016</stp>
        <stp>[Bbg_Market_Data_CL.xlsm]data!R173C11</stp>
        <tr r="K173" s="1"/>
      </tp>
      <tp t="s">
        <v>#N/A Requesting Data...</v>
        <stp/>
        <stp>##V3_BDHV12</stp>
        <stp>CL1 Comdty</stp>
        <stp>MOV_AVG_30D</stp>
        <stp>01/08/2016</stp>
        <stp>01/08/2016</stp>
        <stp>[Bbg_Market_Data_CL.xlsm]data!R173C11</stp>
        <tr r="K173" s="1"/>
      </tp>
      <tp t="s">
        <v>#N/A Requesting Data...</v>
        <stp/>
        <stp>##V3_BDHV12</stp>
        <stp>CL2 Comdty</stp>
        <stp>MOV_AVG_30D</stp>
        <stp>30/09/2015</stp>
        <stp>30/09/2015</stp>
        <stp>[Bbg_Market_Data_CL.xlsm]data!R380C11</stp>
        <tr r="K380" s="1"/>
      </tp>
      <tp t="s">
        <v>#N/A Requesting Data...</v>
        <stp/>
        <stp>##V3_BDHV12</stp>
        <stp>CL1 Comdty</stp>
        <stp>MOV_AVG_30D</stp>
        <stp>30/09/2015</stp>
        <stp>30/09/2015</stp>
        <stp>[Bbg_Market_Data_CL.xlsm]data!R380C11</stp>
        <tr r="K380" s="1"/>
      </tp>
      <tp>
        <v>53.72</v>
        <stp/>
        <stp>##V3_BDHV12</stp>
        <stp>CL2 Comdty</stp>
        <stp>PX_LOW</stp>
        <stp>21/02/2017</stp>
        <stp>21/02/2017</stp>
        <stp>[Bbg_Market_Data_CL.xlsm]data!R36C7</stp>
        <tr r="G36" s="1"/>
      </tp>
      <tp t="s">
        <v>#N/A Requesting Data...</v>
        <stp/>
        <stp>##V3_BDHV12</stp>
        <stp>CL1 Comdty</stp>
        <stp>PX_LOW</stp>
        <stp>21/02/2017</stp>
        <stp>21/02/2017</stp>
        <stp>[Bbg_Market_Data_CL.xlsm]data!R36C7</stp>
        <tr r="G36" s="1"/>
      </tp>
      <tp t="s">
        <v>#N/A Requesting Data...</v>
        <stp/>
        <stp>##V3_BDHV12</stp>
        <stp>CL1 Comdty</stp>
        <stp>PX_LOW</stp>
        <stp>06/01/2017</stp>
        <stp>06/01/2017</stp>
        <stp>[Bbg_Market_Data_CL.xlsm]data!R66C7</stp>
        <tr r="G66" s="1"/>
      </tp>
      <tp>
        <v>54.2</v>
        <stp/>
        <stp>##V3_BDHV12</stp>
        <stp>CL2 Comdty</stp>
        <stp>PX_LOW</stp>
        <stp>06/01/2017</stp>
        <stp>06/01/2017</stp>
        <stp>[Bbg_Market_Data_CL.xlsm]data!R66C7</stp>
        <tr r="G66" s="1"/>
      </tp>
      <tp>
        <v>47.99</v>
        <stp/>
        <stp>##V3_BDHV12</stp>
        <stp>CL2 Comdty</stp>
        <stp>PX_LOW</stp>
        <stp>21/03/2017</stp>
        <stp>21/03/2017</stp>
        <stp>[Bbg_Market_Data_CL.xlsm]data!R16C7</stp>
        <tr r="G16" s="1"/>
      </tp>
      <tp>
        <v>52.84</v>
        <stp/>
        <stp>##V3_BDHV12</stp>
        <stp>CL2 Comdty</stp>
        <stp>PX_LOW</stp>
        <stp>20/12/2016</stp>
        <stp>20/12/2016</stp>
        <stp>[Bbg_Market_Data_CL.xlsm]data!R77C7</stp>
        <tr r="G77" s="1"/>
      </tp>
      <tp t="s">
        <v>#N/A Requesting Data...</v>
        <stp/>
        <stp>##V3_BDHV12</stp>
        <stp>CL1 Comdty</stp>
        <stp>PX_LOW</stp>
        <stp>20/12/2016</stp>
        <stp>20/12/2016</stp>
        <stp>[Bbg_Market_Data_CL.xlsm]data!R77C7</stp>
        <tr r="G77" s="1"/>
      </tp>
      <tp t="s">
        <v>#N/A Requesting Data...</v>
        <stp/>
        <stp>##V3_BDHV12</stp>
        <stp>CL1 Comdty</stp>
        <stp>PX_LOW</stp>
        <stp>21/03/2017</stp>
        <stp>21/03/2017</stp>
        <stp>[Bbg_Market_Data_CL.xlsm]data!R16C7</stp>
        <tr r="G16" s="1"/>
      </tp>
      <tp>
        <v>53.54</v>
        <stp/>
        <stp>##V3_BDHV12</stp>
        <stp>CL2 Comdty</stp>
        <stp>PX_LOW</stp>
        <stp>06/02/2017</stp>
        <stp>06/02/2017</stp>
        <stp>[Bbg_Market_Data_CL.xlsm]data!R46C7</stp>
        <tr r="G46" s="1"/>
      </tp>
      <tp t="s">
        <v>#N/A Requesting Data...</v>
        <stp/>
        <stp>##V3_BDHV12</stp>
        <stp>CL1 Comdty</stp>
        <stp>PX_LOW</stp>
        <stp>06/02/2017</stp>
        <stp>06/02/2017</stp>
        <stp>[Bbg_Market_Data_CL.xlsm]data!R46C7</stp>
        <tr r="G46" s="1"/>
      </tp>
      <tp t="s">
        <v>#N/A Requesting Data...</v>
        <stp/>
        <stp>##V3_BDHV12</stp>
        <stp>CL1 Comdty</stp>
        <stp>PX_LOW</stp>
        <stp>21/11/2016</stp>
        <stp>21/11/2016</stp>
        <stp>[Bbg_Market_Data_CL.xlsm]data!R97C7</stp>
        <tr r="G97" s="1"/>
      </tp>
      <tp>
        <v>46.46</v>
        <stp/>
        <stp>##V3_BDHV12</stp>
        <stp>CL2 Comdty</stp>
        <stp>PX_LOW</stp>
        <stp>21/11/2016</stp>
        <stp>21/11/2016</stp>
        <stp>[Bbg_Market_Data_CL.xlsm]data!R97C7</stp>
        <tr r="G97" s="1"/>
      </tp>
      <tp>
        <v>53.23</v>
        <stp/>
        <stp>##V3_BDHV12</stp>
        <stp>CL2 Comdty</stp>
        <stp>PX_LOW</stp>
        <stp>07/03/2017</stp>
        <stp>07/03/2017</stp>
        <stp>[Bbg_Market_Data_CL.xlsm]data!R26C7</stp>
        <tr r="G26" s="1"/>
      </tp>
      <tp>
        <v>51.38</v>
        <stp/>
        <stp>##V3_BDHV12</stp>
        <stp>CL2 Comdty</stp>
        <stp>PX_LOW</stp>
        <stp>06/12/2016</stp>
        <stp>06/12/2016</stp>
        <stp>[Bbg_Market_Data_CL.xlsm]data!R87C7</stp>
        <tr r="G87" s="1"/>
      </tp>
      <tp t="s">
        <v>#N/A Requesting Data...</v>
        <stp/>
        <stp>##V3_BDHV12</stp>
        <stp>CL1 Comdty</stp>
        <stp>PX_LOW</stp>
        <stp>06/12/2016</stp>
        <stp>06/12/2016</stp>
        <stp>[Bbg_Market_Data_CL.xlsm]data!R87C7</stp>
        <tr r="G87" s="1"/>
      </tp>
      <tp t="s">
        <v>#N/A Requesting Data...</v>
        <stp/>
        <stp>##V3_BDHV12</stp>
        <stp>CL1 Comdty</stp>
        <stp>PX_LOW</stp>
        <stp>07/03/2017</stp>
        <stp>07/03/2017</stp>
        <stp>[Bbg_Market_Data_CL.xlsm]data!R26C7</stp>
        <tr r="G26" s="1"/>
      </tp>
      <tp>
        <v>52.98</v>
        <stp/>
        <stp>##V3_BDHV12</stp>
        <stp>CL2 Comdty</stp>
        <stp>PX_LOW</stp>
        <stp>23/01/2017</stp>
        <stp>23/01/2017</stp>
        <stp>[Bbg_Market_Data_CL.xlsm]data!R56C7</stp>
        <tr r="G56" s="1"/>
      </tp>
      <tp t="s">
        <v>#N/A Requesting Data...</v>
        <stp/>
        <stp>##V3_BDHV12</stp>
        <stp>CL1 Comdty</stp>
        <stp>PX_LOW</stp>
        <stp>23/01/2017</stp>
        <stp>23/01/2017</stp>
        <stp>[Bbg_Market_Data_CL.xlsm]data!R56C7</stp>
        <tr r="G56" s="1"/>
      </tp>
      <tp t="s">
        <v>#N/A Requesting Data...</v>
        <stp/>
        <stp>##V3_BDHV12</stp>
        <stp>CL1 Comdty</stp>
        <stp>MOV_AVG_30D</stp>
        <stp>29/03/2016</stp>
        <stp>29/03/2016</stp>
        <stp>[Bbg_Market_Data_CL.xlsm]data!R260C11</stp>
        <tr r="K260" s="1"/>
      </tp>
      <tp t="s">
        <v>#N/A Requesting Data...</v>
        <stp/>
        <stp>##V3_BDHV12</stp>
        <stp>CL2 Comdty</stp>
        <stp>MOV_AVG_30D</stp>
        <stp>29/03/2016</stp>
        <stp>29/03/2016</stp>
        <stp>[Bbg_Market_Data_CL.xlsm]data!R260C11</stp>
        <tr r="K260" s="1"/>
      </tp>
      <tp t="s">
        <v>#N/A Requesting Data...</v>
        <stp/>
        <stp>##V3_BDHV12</stp>
        <stp>CL2 Comdty</stp>
        <stp>MOV_AVG_30D</stp>
        <stp>29/10/2015</stp>
        <stp>29/10/2015</stp>
        <stp>[Bbg_Market_Data_CL.xlsm]data!R360C11</stp>
        <tr r="K360" s="1"/>
      </tp>
      <tp t="s">
        <v>#N/A Requesting Data...</v>
        <stp/>
        <stp>##V3_BDHV12</stp>
        <stp>CL1 Comdty</stp>
        <stp>MOV_AVG_30D</stp>
        <stp>29/10/2015</stp>
        <stp>29/10/2015</stp>
        <stp>[Bbg_Market_Data_CL.xlsm]data!R360C11</stp>
        <tr r="K360" s="1"/>
      </tp>
      <tp t="s">
        <v>#N/A Requesting Data...</v>
        <stp/>
        <stp>##V3_BDHV12</stp>
        <stp>CL1 Comdty</stp>
        <stp>MOV_AVG_30D</stp>
        <stp>09/12/2015</stp>
        <stp>09/12/2015</stp>
        <stp>[Bbg_Market_Data_CL.xlsm]data!R333C11</stp>
        <tr r="K333" s="1"/>
      </tp>
      <tp t="s">
        <v>#N/A Requesting Data...</v>
        <stp/>
        <stp>##V3_BDHV12</stp>
        <stp>CL2 Comdty</stp>
        <stp>MOV_AVG_30D</stp>
        <stp>09/12/2015</stp>
        <stp>09/12/2015</stp>
        <stp>[Bbg_Market_Data_CL.xlsm]data!R333C11</stp>
        <tr r="K333" s="1"/>
      </tp>
      <tp t="s">
        <v>#N/A Requesting Data...</v>
        <stp/>
        <stp>##V3_BDHV12</stp>
        <stp>CL1 Comdty</stp>
        <stp>MOV_AVG_30D</stp>
        <stp>09/11/2016</stp>
        <stp>09/11/2016</stp>
        <stp>[Bbg_Market_Data_CL.xlsm]data!R104C11</stp>
        <tr r="K104" s="1"/>
      </tp>
      <tp t="s">
        <v>#N/A Requesting Data...</v>
        <stp/>
        <stp>##V3_BDHV12</stp>
        <stp>CL2 Comdty</stp>
        <stp>MOV_AVG_30D</stp>
        <stp>09/11/2016</stp>
        <stp>09/11/2016</stp>
        <stp>[Bbg_Market_Data_CL.xlsm]data!R104C11</stp>
        <tr r="K104" s="1"/>
      </tp>
      <tp t="s">
        <v>#N/A Requesting Data...</v>
        <stp/>
        <stp>##V3_BDHV12</stp>
        <stp>CL1 Comdty</stp>
        <stp>MOV_AVG_30D</stp>
        <stp>19/10/2016</stp>
        <stp>19/10/2016</stp>
        <stp>[Bbg_Market_Data_CL.xlsm]data!R119C11</stp>
        <tr r="K119" s="1"/>
      </tp>
      <tp t="s">
        <v>#N/A Requesting Data...</v>
        <stp/>
        <stp>##V3_BDHV12</stp>
        <stp>CL2 Comdty</stp>
        <stp>MOV_AVG_30D</stp>
        <stp>19/10/2016</stp>
        <stp>19/10/2016</stp>
        <stp>[Bbg_Market_Data_CL.xlsm]data!R119C11</stp>
        <tr r="K119" s="1"/>
      </tp>
      <tp t="s">
        <v>#N/A Requesting Data...</v>
        <stp/>
        <stp>##V3_BDHV12</stp>
        <stp>CL1 Comdty</stp>
        <stp>MOV_AVG_30D</stp>
        <stp>18/12/2015</stp>
        <stp>18/12/2015</stp>
        <stp>[Bbg_Market_Data_CL.xlsm]data!R326C11</stp>
        <tr r="K326" s="1"/>
      </tp>
      <tp t="s">
        <v>#N/A Requesting Data...</v>
        <stp/>
        <stp>##V3_BDHV12</stp>
        <stp>CL2 Comdty</stp>
        <stp>MOV_AVG_30D</stp>
        <stp>18/12/2015</stp>
        <stp>18/12/2015</stp>
        <stp>[Bbg_Market_Data_CL.xlsm]data!R326C11</stp>
        <tr r="K326" s="1"/>
      </tp>
      <tp t="s">
        <v>#N/A Requesting Data...</v>
        <stp/>
        <stp>##V3_BDHV12</stp>
        <stp>CL1 Comdty</stp>
        <stp>MOV_AVG_30D</stp>
        <stp>21/08/2015</stp>
        <stp>21/08/2015</stp>
        <stp>[Bbg_Market_Data_CL.xlsm]data!R407C11</stp>
        <tr r="K407" s="1"/>
      </tp>
      <tp t="s">
        <v>#N/A Requesting Data...</v>
        <stp/>
        <stp>##V3_BDHV12</stp>
        <stp>CL2 Comdty</stp>
        <stp>MOV_AVG_30D</stp>
        <stp>21/08/2015</stp>
        <stp>21/08/2015</stp>
        <stp>[Bbg_Market_Data_CL.xlsm]data!R407C11</stp>
        <tr r="K407" s="1"/>
      </tp>
      <tp t="s">
        <v>#N/A Requesting Data...</v>
        <stp/>
        <stp>##V3_BDHV12</stp>
        <stp>CL1 Comdty</stp>
        <stp>MOV_AVG_30D</stp>
        <stp>12/08/2015</stp>
        <stp>12/08/2015</stp>
        <stp>[Bbg_Market_Data_CL.xlsm]data!R414C11</stp>
        <tr r="K414" s="1"/>
      </tp>
      <tp t="s">
        <v>#N/A Requesting Data...</v>
        <stp/>
        <stp>##V3_BDHV12</stp>
        <stp>CL2 Comdty</stp>
        <stp>MOV_AVG_30D</stp>
        <stp>12/08/2015</stp>
        <stp>12/08/2015</stp>
        <stp>[Bbg_Market_Data_CL.xlsm]data!R414C11</stp>
        <tr r="K414" s="1"/>
      </tp>
      <tp t="s">
        <v>#N/A Requesting Data...</v>
        <stp/>
        <stp>##V3_BDHV12</stp>
        <stp>CL1 Comdty</stp>
        <stp>MOV_AVG_30D</stp>
        <stp>03/08/2015</stp>
        <stp>03/08/2015</stp>
        <stp>[Bbg_Market_Data_CL.xlsm]data!R421C11</stp>
        <tr r="K421" s="1"/>
      </tp>
      <tp t="s">
        <v>#N/A Requesting Data...</v>
        <stp/>
        <stp>##V3_BDHV12</stp>
        <stp>CL2 Comdty</stp>
        <stp>MOV_AVG_30D</stp>
        <stp>03/08/2015</stp>
        <stp>03/08/2015</stp>
        <stp>[Bbg_Market_Data_CL.xlsm]data!R421C11</stp>
        <tr r="K421" s="1"/>
      </tp>
      <tp t="s">
        <v>#N/A Requesting Data...</v>
        <stp/>
        <stp>##V3_BDHV12</stp>
        <stp>CL2 Comdty</stp>
        <stp>MOV_AVG_30D</stp>
        <stp>22/08/2016</stp>
        <stp>22/08/2016</stp>
        <stp>[Bbg_Market_Data_CL.xlsm]data!R159C11</stp>
        <tr r="K159" s="1"/>
      </tp>
      <tp t="s">
        <v>#N/A Requesting Data...</v>
        <stp/>
        <stp>##V3_BDHV12</stp>
        <stp>CL1 Comdty</stp>
        <stp>MOV_AVG_30D</stp>
        <stp>22/08/2016</stp>
        <stp>22/08/2016</stp>
        <stp>[Bbg_Market_Data_CL.xlsm]data!R159C11</stp>
        <tr r="K159" s="1"/>
      </tp>
      <tp t="s">
        <v>#N/A Requesting Data...</v>
        <stp/>
        <stp>##V3_BDHV12</stp>
        <stp>CL1 Comdty</stp>
        <stp>MOV_AVG_30D</stp>
        <stp>23/09/2016</stp>
        <stp>23/09/2016</stp>
        <stp>[Bbg_Market_Data_CL.xlsm]data!R136C11</stp>
        <tr r="K136" s="1"/>
      </tp>
      <tp t="s">
        <v>#N/A Requesting Data...</v>
        <stp/>
        <stp>##V3_BDHV12</stp>
        <stp>CL2 Comdty</stp>
        <stp>MOV_AVG_30D</stp>
        <stp>23/09/2016</stp>
        <stp>23/09/2016</stp>
        <stp>[Bbg_Market_Data_CL.xlsm]data!R136C11</stp>
        <tr r="K136" s="1"/>
      </tp>
      <tp t="s">
        <v>#N/A Requesting Data...</v>
        <stp/>
        <stp>##V3_BDHV12</stp>
        <stp>CL1 Comdty</stp>
        <stp>MOV_AVG_30D</stp>
        <stp>02/09/2015</stp>
        <stp>02/09/2015</stp>
        <stp>[Bbg_Market_Data_CL.xlsm]data!R399C11</stp>
        <tr r="K399" s="1"/>
      </tp>
      <tp t="s">
        <v>#N/A Requesting Data...</v>
        <stp/>
        <stp>##V3_BDHV12</stp>
        <stp>CL2 Comdty</stp>
        <stp>MOV_AVG_30D</stp>
        <stp>02/09/2015</stp>
        <stp>02/09/2015</stp>
        <stp>[Bbg_Market_Data_CL.xlsm]data!R399C11</stp>
        <tr r="K399" s="1"/>
      </tp>
      <tp t="s">
        <v>#N/A Requesting Data...</v>
        <stp/>
        <stp>##V3_BDHV12</stp>
        <stp>CL1 Comdty</stp>
        <stp>MOV_AVG_30D</stp>
        <stp>01/09/2016</stp>
        <stp>01/09/2016</stp>
        <stp>[Bbg_Market_Data_CL.xlsm]data!R151C11</stp>
        <tr r="K151" s="1"/>
      </tp>
      <tp t="s">
        <v>#N/A Requesting Data...</v>
        <stp/>
        <stp>##V3_BDHV12</stp>
        <stp>CL2 Comdty</stp>
        <stp>MOV_AVG_30D</stp>
        <stp>01/09/2016</stp>
        <stp>01/09/2016</stp>
        <stp>[Bbg_Market_Data_CL.xlsm]data!R151C11</stp>
        <tr r="K151" s="1"/>
      </tp>
      <tp t="s">
        <v>#N/A Requesting Data...</v>
        <stp/>
        <stp>##V3_BDHV12</stp>
        <stp>CL2 Comdty</stp>
        <stp>MOV_AVG_30D</stp>
        <stp>11/08/2016</stp>
        <stp>11/08/2016</stp>
        <stp>[Bbg_Market_Data_CL.xlsm]data!R166C11</stp>
        <tr r="K166" s="1"/>
      </tp>
      <tp t="s">
        <v>#N/A Requesting Data...</v>
        <stp/>
        <stp>##V3_BDHV12</stp>
        <stp>CL1 Comdty</stp>
        <stp>MOV_AVG_30D</stp>
        <stp>11/08/2016</stp>
        <stp>11/08/2016</stp>
        <stp>[Bbg_Market_Data_CL.xlsm]data!R166C11</stp>
        <tr r="K166" s="1"/>
      </tp>
      <tp>
        <v>53.73</v>
        <stp/>
        <stp>##V3_BDHV12</stp>
        <stp>CL2 Comdty</stp>
        <stp>PX_LOW</stp>
        <stp>05/01/2017</stp>
        <stp>05/01/2017</stp>
        <stp>[Bbg_Market_Data_CL.xlsm]data!R67C7</stp>
        <tr r="G67" s="1"/>
      </tp>
      <tp t="s">
        <v>#N/A Requesting Data...</v>
        <stp/>
        <stp>##V3_BDHV12</stp>
        <stp>CL1 Comdty</stp>
        <stp>PX_LOW</stp>
        <stp>05/01/2017</stp>
        <stp>05/01/2017</stp>
        <stp>[Bbg_Market_Data_CL.xlsm]data!R67C7</stp>
        <tr r="G67" s="1"/>
      </tp>
      <tp>
        <v>53.25</v>
        <stp/>
        <stp>##V3_BDHV12</stp>
        <stp>CL2 Comdty</stp>
        <stp>PX_LOW</stp>
        <stp>21/12/2016</stp>
        <stp>21/12/2016</stp>
        <stp>[Bbg_Market_Data_CL.xlsm]data!R76C7</stp>
        <tr r="G76" s="1"/>
      </tp>
      <tp>
        <v>48.46</v>
        <stp/>
        <stp>##V3_BDHV12</stp>
        <stp>CL2 Comdty</stp>
        <stp>PX_LOW</stp>
        <stp>20/03/2017</stp>
        <stp>20/03/2017</stp>
        <stp>[Bbg_Market_Data_CL.xlsm]data!R17C7</stp>
        <tr r="G17" s="1"/>
      </tp>
      <tp t="s">
        <v>#N/A Requesting Data...</v>
        <stp/>
        <stp>##V3_BDHV12</stp>
        <stp>CL1 Comdty</stp>
        <stp>PX_LOW</stp>
        <stp>20/03/2017</stp>
        <stp>20/03/2017</stp>
        <stp>[Bbg_Market_Data_CL.xlsm]data!R17C7</stp>
        <tr r="G17" s="1"/>
      </tp>
      <tp t="s">
        <v>#N/A Requesting Data...</v>
        <stp/>
        <stp>##V3_BDHV12</stp>
        <stp>CL1 Comdty</stp>
        <stp>PX_LOW</stp>
        <stp>21/12/2016</stp>
        <stp>21/12/2016</stp>
        <stp>[Bbg_Market_Data_CL.xlsm]data!R76C7</stp>
        <tr r="G76" s="1"/>
      </tp>
      <tp>
        <v>48.09</v>
        <stp/>
        <stp>##V3_BDHV12</stp>
        <stp>CL2 Comdty</stp>
        <stp>PX_LOW</stp>
        <stp>22/11/2016</stp>
        <stp>22/11/2016</stp>
        <stp>[Bbg_Market_Data_CL.xlsm]data!R96C7</stp>
        <tr r="G96" s="1"/>
      </tp>
      <tp>
        <v>54.03</v>
        <stp/>
        <stp>##V3_BDHV12</stp>
        <stp>CL2 Comdty</stp>
        <stp>PX_LOW</stp>
        <stp>03/02/2017</stp>
        <stp>03/02/2017</stp>
        <stp>[Bbg_Market_Data_CL.xlsm]data!R47C7</stp>
        <tr r="G47" s="1"/>
      </tp>
      <tp t="s">
        <v>#N/A Requesting Data...</v>
        <stp/>
        <stp>##V3_BDHV12</stp>
        <stp>CL1 Comdty</stp>
        <stp>PX_LOW</stp>
        <stp>03/02/2017</stp>
        <stp>03/02/2017</stp>
        <stp>[Bbg_Market_Data_CL.xlsm]data!R47C7</stp>
        <tr r="G47" s="1"/>
      </tp>
      <tp t="s">
        <v>#N/A Requesting Data...</v>
        <stp/>
        <stp>##V3_BDHV12</stp>
        <stp>CL1 Comdty</stp>
        <stp>PX_LOW</stp>
        <stp>22/11/2016</stp>
        <stp>22/11/2016</stp>
        <stp>[Bbg_Market_Data_CL.xlsm]data!R96C7</stp>
        <tr r="G96" s="1"/>
      </tp>
      <tp>
        <v>53.29</v>
        <stp/>
        <stp>##V3_BDHV12</stp>
        <stp>CL2 Comdty</stp>
        <stp>PX_LOW</stp>
        <stp>17/02/2017</stp>
        <stp>17/02/2017</stp>
        <stp>[Bbg_Market_Data_CL.xlsm]data!R37C7</stp>
        <tr r="G37" s="1"/>
      </tp>
      <tp>
        <v>50.89</v>
        <stp/>
        <stp>##V3_BDHV12</stp>
        <stp>CL2 Comdty</stp>
        <stp>PX_LOW</stp>
        <stp>07/12/2016</stp>
        <stp>07/12/2016</stp>
        <stp>[Bbg_Market_Data_CL.xlsm]data!R86C7</stp>
        <tr r="G86" s="1"/>
      </tp>
      <tp>
        <v>53.21</v>
        <stp/>
        <stp>##V3_BDHV12</stp>
        <stp>CL2 Comdty</stp>
        <stp>PX_LOW</stp>
        <stp>06/03/2017</stp>
        <stp>06/03/2017</stp>
        <stp>[Bbg_Market_Data_CL.xlsm]data!R27C7</stp>
        <tr r="G27" s="1"/>
      </tp>
      <tp t="s">
        <v>#N/A Requesting Data...</v>
        <stp/>
        <stp>##V3_BDHV12</stp>
        <stp>CL1 Comdty</stp>
        <stp>PX_LOW</stp>
        <stp>06/03/2017</stp>
        <stp>06/03/2017</stp>
        <stp>[Bbg_Market_Data_CL.xlsm]data!R27C7</stp>
        <tr r="G27" s="1"/>
      </tp>
      <tp t="s">
        <v>#N/A Requesting Data...</v>
        <stp/>
        <stp>##V3_BDHV12</stp>
        <stp>CL1 Comdty</stp>
        <stp>PX_LOW</stp>
        <stp>17/02/2017</stp>
        <stp>17/02/2017</stp>
        <stp>[Bbg_Market_Data_CL.xlsm]data!R37C7</stp>
        <tr r="G37" s="1"/>
      </tp>
      <tp t="s">
        <v>#N/A Requesting Data...</v>
        <stp/>
        <stp>##V3_BDHV12</stp>
        <stp>CL1 Comdty</stp>
        <stp>PX_LOW</stp>
        <stp>07/12/2016</stp>
        <stp>07/12/2016</stp>
        <stp>[Bbg_Market_Data_CL.xlsm]data!R86C7</stp>
        <tr r="G86" s="1"/>
      </tp>
      <tp t="s">
        <v>#N/A Requesting Data...</v>
        <stp/>
        <stp>##V3_BDHV12</stp>
        <stp>CL1 Comdty</stp>
        <stp>PX_LOW</stp>
        <stp>20/01/2017</stp>
        <stp>20/01/2017</stp>
        <stp>[Bbg_Market_Data_CL.xlsm]data!R57C7</stp>
        <tr r="G57" s="1"/>
      </tp>
      <tp>
        <v>52.13</v>
        <stp/>
        <stp>##V3_BDHV12</stp>
        <stp>CL2 Comdty</stp>
        <stp>PX_LOW</stp>
        <stp>20/01/2017</stp>
        <stp>20/01/2017</stp>
        <stp>[Bbg_Market_Data_CL.xlsm]data!R57C7</stp>
        <tr r="G57" s="1"/>
      </tp>
      <tp t="s">
        <v>#N/A Requesting Data...</v>
        <stp/>
        <stp>##V3_BDHV12</stp>
        <stp>CL2 Comdty</stp>
        <stp>MOV_AVG_30D</stp>
        <stp>28/01/2016</stp>
        <stp>28/01/2016</stp>
        <stp>[Bbg_Market_Data_CL.xlsm]data!R300C11</stp>
        <tr r="K300" s="1"/>
      </tp>
      <tp t="s">
        <v>#N/A Requesting Data...</v>
        <stp/>
        <stp>##V3_BDHV12</stp>
        <stp>CL1 Comdty</stp>
        <stp>MOV_AVG_30D</stp>
        <stp>28/01/2016</stp>
        <stp>28/01/2016</stp>
        <stp>[Bbg_Market_Data_CL.xlsm]data!R300C11</stp>
        <tr r="K300" s="1"/>
      </tp>
      <tp t="s">
        <v>#N/A Requesting Data...</v>
        <stp/>
        <stp>##V3_BDHV12</stp>
        <stp>CL1 Comdty</stp>
        <stp>MOV_AVG_30D</stp>
        <stp>09/02/2016</stp>
        <stp>09/02/2016</stp>
        <stp>[Bbg_Market_Data_CL.xlsm]data!R292C11</stp>
        <tr r="K292" s="1"/>
      </tp>
      <tp t="s">
        <v>#N/A Requesting Data...</v>
        <stp/>
        <stp>##V3_BDHV12</stp>
        <stp>CL2 Comdty</stp>
        <stp>MOV_AVG_30D</stp>
        <stp>09/02/2016</stp>
        <stp>09/02/2016</stp>
        <stp>[Bbg_Market_Data_CL.xlsm]data!R292C11</stp>
        <tr r="K292" s="1"/>
      </tp>
      <tp t="s">
        <v>#N/A Requesting Data...</v>
        <stp/>
        <stp>##V3_BDHV12</stp>
        <stp>CL2 Comdty</stp>
        <stp>MOV_AVG_30D</stp>
        <stp>08/03/2016</stp>
        <stp>08/03/2016</stp>
        <stp>[Bbg_Market_Data_CL.xlsm]data!R274C11</stp>
        <tr r="K274" s="1"/>
      </tp>
      <tp t="s">
        <v>#N/A Requesting Data...</v>
        <stp/>
        <stp>##V3_BDHV12</stp>
        <stp>CL1 Comdty</stp>
        <stp>MOV_AVG_30D</stp>
        <stp>08/03/2016</stp>
        <stp>08/03/2016</stp>
        <stp>[Bbg_Market_Data_CL.xlsm]data!R274C11</stp>
        <tr r="K274" s="1"/>
      </tp>
      <tp t="s">
        <v>#N/A Requesting Data...</v>
        <stp/>
        <stp>##V3_BDHV12</stp>
        <stp>CL1 Comdty</stp>
        <stp>MOV_AVG_30D</stp>
        <stp>18/02/2016</stp>
        <stp>18/02/2016</stp>
        <stp>[Bbg_Market_Data_CL.xlsm]data!R287C11</stp>
        <tr r="K287" s="1"/>
      </tp>
      <tp t="s">
        <v>#N/A Requesting Data...</v>
        <stp/>
        <stp>##V3_BDHV12</stp>
        <stp>CL2 Comdty</stp>
        <stp>MOV_AVG_30D</stp>
        <stp>18/02/2016</stp>
        <stp>18/02/2016</stp>
        <stp>[Bbg_Market_Data_CL.xlsm]data!R287C11</stp>
        <tr r="K287" s="1"/>
      </tp>
      <tp t="s">
        <v>#N/A Requesting Data...</v>
        <stp/>
        <stp>##V3_BDHV12</stp>
        <stp>CL2 Comdty</stp>
        <stp>MOV_AVG_30D</stp>
        <stp>09/11/2015</stp>
        <stp>09/11/2015</stp>
        <stp>[Bbg_Market_Data_CL.xlsm]data!R353C11</stp>
        <tr r="K353" s="1"/>
      </tp>
      <tp t="s">
        <v>#N/A Requesting Data...</v>
        <stp/>
        <stp>##V3_BDHV12</stp>
        <stp>CL1 Comdty</stp>
        <stp>MOV_AVG_30D</stp>
        <stp>09/11/2015</stp>
        <stp>09/11/2015</stp>
        <stp>[Bbg_Market_Data_CL.xlsm]data!R353C11</stp>
        <tr r="K353" s="1"/>
      </tp>
      <tp t="s">
        <v>#N/A Requesting Data...</v>
        <stp/>
        <stp>##V3_BDHV12</stp>
        <stp>CL1 Comdty</stp>
        <stp>MOV_AVG_30D</stp>
        <stp>19/10/2015</stp>
        <stp>19/10/2015</stp>
        <stp>[Bbg_Market_Data_CL.xlsm]data!R368C11</stp>
        <tr r="K368" s="1"/>
      </tp>
      <tp t="s">
        <v>#N/A Requesting Data...</v>
        <stp/>
        <stp>##V3_BDHV12</stp>
        <stp>CL2 Comdty</stp>
        <stp>MOV_AVG_30D</stp>
        <stp>19/10/2015</stp>
        <stp>19/10/2015</stp>
        <stp>[Bbg_Market_Data_CL.xlsm]data!R368C11</stp>
        <tr r="K368" s="1"/>
      </tp>
      <tp t="s">
        <v>#N/A Requesting Data...</v>
        <stp/>
        <stp>##V3_BDHV12</stp>
        <stp>CL2 Comdty</stp>
        <stp>MOV_AVG_30D</stp>
        <stp>18/11/2015</stp>
        <stp>18/11/2015</stp>
        <stp>[Bbg_Market_Data_CL.xlsm]data!R347C11</stp>
        <tr r="K347" s="1"/>
      </tp>
      <tp t="s">
        <v>#N/A Requesting Data...</v>
        <stp/>
        <stp>##V3_BDHV12</stp>
        <stp>CL1 Comdty</stp>
        <stp>MOV_AVG_30D</stp>
        <stp>18/11/2015</stp>
        <stp>18/11/2015</stp>
        <stp>[Bbg_Market_Data_CL.xlsm]data!R347C11</stp>
        <tr r="K347" s="1"/>
      </tp>
      <tp t="s">
        <v>#N/A Requesting Data...</v>
        <stp/>
        <stp>##V3_BDHV12</stp>
        <stp>CL1 Comdty</stp>
        <stp>MOV_AVG_30D</stp>
        <stp>08/10/2015</stp>
        <stp>08/10/2015</stp>
        <stp>[Bbg_Market_Data_CL.xlsm]data!R374C11</stp>
        <tr r="K374" s="1"/>
      </tp>
      <tp t="s">
        <v>#N/A Requesting Data...</v>
        <stp/>
        <stp>##V3_BDHV12</stp>
        <stp>CL2 Comdty</stp>
        <stp>MOV_AVG_30D</stp>
        <stp>08/10/2015</stp>
        <stp>08/10/2015</stp>
        <stp>[Bbg_Market_Data_CL.xlsm]data!R374C11</stp>
        <tr r="K374" s="1"/>
      </tp>
      <tp t="s">
        <v>#N/A Requesting Data...</v>
        <stp/>
        <stp>##V3_BDHV12</stp>
        <stp>CL1 Comdty</stp>
        <stp>MOV_AVG_30D</stp>
        <stp>28/12/2015</stp>
        <stp>28/12/2015</stp>
        <stp>[Bbg_Market_Data_CL.xlsm]data!R321C11</stp>
        <tr r="K321" s="1"/>
      </tp>
      <tp t="s">
        <v>#N/A Requesting Data...</v>
        <stp/>
        <stp>##V3_BDHV12</stp>
        <stp>CL2 Comdty</stp>
        <stp>MOV_AVG_30D</stp>
        <stp>28/12/2015</stp>
        <stp>28/12/2015</stp>
        <stp>[Bbg_Market_Data_CL.xlsm]data!R321C11</stp>
        <tr r="K321" s="1"/>
      </tp>
      <tp t="s">
        <v>#N/A Requesting Data...</v>
        <stp/>
        <stp>##V3_BDHV12</stp>
        <stp>CL1 Comdty</stp>
        <stp>MOV_AVG_30D</stp>
        <stp>11/08/2015</stp>
        <stp>11/08/2015</stp>
        <stp>[Bbg_Market_Data_CL.xlsm]data!R415C11</stp>
        <tr r="K415" s="1"/>
      </tp>
      <tp t="s">
        <v>#N/A Requesting Data...</v>
        <stp/>
        <stp>##V3_BDHV12</stp>
        <stp>CL2 Comdty</stp>
        <stp>MOV_AVG_30D</stp>
        <stp>11/08/2015</stp>
        <stp>11/08/2015</stp>
        <stp>[Bbg_Market_Data_CL.xlsm]data!R415C11</stp>
        <tr r="K415" s="1"/>
      </tp>
      <tp t="s">
        <v>#N/A Requesting Data...</v>
        <stp/>
        <stp>##V3_BDHV12</stp>
        <stp>CL1 Comdty</stp>
        <stp>MOV_AVG_30D</stp>
        <stp>01/09/2015</stp>
        <stp>01/09/2015</stp>
        <stp>[Bbg_Market_Data_CL.xlsm]data!R400C11</stp>
        <tr r="K400" s="1"/>
      </tp>
      <tp t="s">
        <v>#N/A Requesting Data...</v>
        <stp/>
        <stp>##V3_BDHV12</stp>
        <stp>CL2 Comdty</stp>
        <stp>MOV_AVG_30D</stp>
        <stp>01/09/2015</stp>
        <stp>01/09/2015</stp>
        <stp>[Bbg_Market_Data_CL.xlsm]data!R400C11</stp>
        <tr r="K400" s="1"/>
      </tp>
      <tp t="s">
        <v>#N/A Requesting Data...</v>
        <stp/>
        <stp>##V3_BDHV12</stp>
        <stp>CL1 Comdty</stp>
        <stp>MOV_AVG_30D</stp>
        <stp>02/09/2016</stp>
        <stp>02/09/2016</stp>
        <stp>[Bbg_Market_Data_CL.xlsm]data!R150C11</stp>
        <tr r="K150" s="1"/>
      </tp>
      <tp t="s">
        <v>#N/A Requesting Data...</v>
        <stp/>
        <stp>##V3_BDHV12</stp>
        <stp>CL2 Comdty</stp>
        <stp>MOV_AVG_30D</stp>
        <stp>02/09/2016</stp>
        <stp>02/09/2016</stp>
        <stp>[Bbg_Market_Data_CL.xlsm]data!R150C11</stp>
        <tr r="K150" s="1"/>
      </tp>
      <tp t="s">
        <v>#N/A Requesting Data...</v>
        <stp/>
        <stp>##V3_BDHV12</stp>
        <stp>CL1 Comdty</stp>
        <stp>MOV_AVG_30D</stp>
        <stp>12/08/2016</stp>
        <stp>12/08/2016</stp>
        <stp>[Bbg_Market_Data_CL.xlsm]data!R165C11</stp>
        <tr r="K165" s="1"/>
      </tp>
      <tp t="s">
        <v>#N/A Requesting Data...</v>
        <stp/>
        <stp>##V3_BDHV12</stp>
        <stp>CL2 Comdty</stp>
        <stp>MOV_AVG_30D</stp>
        <stp>12/08/2016</stp>
        <stp>12/08/2016</stp>
        <stp>[Bbg_Market_Data_CL.xlsm]data!R165C11</stp>
        <tr r="K165" s="1"/>
      </tp>
      <tp t="s">
        <v>#N/A Requesting Data...</v>
        <stp/>
        <stp>##V3_BDHV12</stp>
        <stp>CL2 Comdty</stp>
        <stp>MOV_AVG_30D</stp>
        <stp>23/09/2015</stp>
        <stp>23/09/2015</stp>
        <stp>[Bbg_Market_Data_CL.xlsm]data!R385C11</stp>
        <tr r="K385" s="1"/>
      </tp>
      <tp t="s">
        <v>#N/A Requesting Data...</v>
        <stp/>
        <stp>##V3_BDHV12</stp>
        <stp>CL1 Comdty</stp>
        <stp>MOV_AVG_30D</stp>
        <stp>23/09/2015</stp>
        <stp>23/09/2015</stp>
        <stp>[Bbg_Market_Data_CL.xlsm]data!R385C11</stp>
        <tr r="K385" s="1"/>
      </tp>
      <tp t="s">
        <v>#N/A Requesting Data...</v>
        <stp/>
        <stp>##V3_BDHV12</stp>
        <stp>CL1 Comdty</stp>
        <stp>MOV_AVG_30D</stp>
        <stp>13/09/2016</stp>
        <stp>13/09/2016</stp>
        <stp>[Bbg_Market_Data_CL.xlsm]data!R144C11</stp>
        <tr r="K144" s="1"/>
      </tp>
      <tp t="s">
        <v>#N/A Requesting Data...</v>
        <stp/>
        <stp>##V3_BDHV12</stp>
        <stp>CL2 Comdty</stp>
        <stp>MOV_AVG_30D</stp>
        <stp>13/09/2016</stp>
        <stp>13/09/2016</stp>
        <stp>[Bbg_Market_Data_CL.xlsm]data!R144C11</stp>
        <tr r="K144" s="1"/>
      </tp>
      <tp t="s">
        <v>#N/A Requesting Data...</v>
        <stp/>
        <stp>##V3_BDHV12</stp>
        <stp>CL1 Comdty</stp>
        <stp>MOV_AVG_30D</stp>
        <stp>03/08/2016</stp>
        <stp>03/08/2016</stp>
        <stp>[Bbg_Market_Data_CL.xlsm]data!R171C11</stp>
        <tr r="K171" s="1"/>
      </tp>
      <tp t="s">
        <v>#N/A Requesting Data...</v>
        <stp/>
        <stp>##V3_BDHV12</stp>
        <stp>CL2 Comdty</stp>
        <stp>MOV_AVG_30D</stp>
        <stp>03/08/2016</stp>
        <stp>03/08/2016</stp>
        <stp>[Bbg_Market_Data_CL.xlsm]data!R171C11</stp>
        <tr r="K171" s="1"/>
      </tp>
      <tp t="s">
        <v>#N/A Requesting Data...</v>
        <stp/>
        <stp>##V3_BDHV12</stp>
        <stp>CL1 Comdty</stp>
        <stp>MOV_AVG_30D</stp>
        <stp>30/08/2016</stp>
        <stp>30/08/2016</stp>
        <stp>[Bbg_Market_Data_CL.xlsm]data!R153C11</stp>
        <tr r="K153" s="1"/>
      </tp>
      <tp t="s">
        <v>#N/A Requesting Data...</v>
        <stp/>
        <stp>##V3_BDHV12</stp>
        <stp>CL2 Comdty</stp>
        <stp>MOV_AVG_30D</stp>
        <stp>30/08/2016</stp>
        <stp>30/08/2016</stp>
        <stp>[Bbg_Market_Data_CL.xlsm]data!R153C11</stp>
        <tr r="K153" s="1"/>
      </tp>
      <tp t="s">
        <v>#N/A Requesting Data...</v>
        <stp/>
        <stp>##V3_BDHV12</stp>
        <stp>CL2 Comdty</stp>
        <stp>MOV_AVG_30D</stp>
        <stp>20/09/2016</stp>
        <stp>20/09/2016</stp>
        <stp>[Bbg_Market_Data_CL.xlsm]data!R139C11</stp>
        <tr r="K139" s="1"/>
      </tp>
      <tp t="s">
        <v>#N/A Requesting Data...</v>
        <stp/>
        <stp>##V3_BDHV12</stp>
        <stp>CL1 Comdty</stp>
        <stp>MOV_AVG_30D</stp>
        <stp>20/09/2016</stp>
        <stp>20/09/2016</stp>
        <stp>[Bbg_Market_Data_CL.xlsm]data!R139C11</stp>
        <tr r="K139" s="1"/>
      </tp>
      <tp t="s">
        <v>#N/A Requesting Data...</v>
        <stp/>
        <stp>##V3_BDHV12</stp>
        <stp>CL1 Comdty</stp>
        <stp>MOV_AVG_30D</stp>
        <stp>10/09/2015</stp>
        <stp>10/09/2015</stp>
        <stp>[Bbg_Market_Data_CL.xlsm]data!R394C11</stp>
        <tr r="K394" s="1"/>
      </tp>
      <tp t="s">
        <v>#N/A Requesting Data...</v>
        <stp/>
        <stp>##V3_BDHV12</stp>
        <stp>CL2 Comdty</stp>
        <stp>MOV_AVG_30D</stp>
        <stp>10/09/2015</stp>
        <stp>10/09/2015</stp>
        <stp>[Bbg_Market_Data_CL.xlsm]data!R394C11</stp>
        <tr r="K394" s="1"/>
      </tp>
      <tp t="s">
        <v>#N/A Requesting Data...</v>
        <stp/>
        <stp>##V3_BDHV12</stp>
        <stp>CL1 Comdty</stp>
        <stp>PX_LOW</stp>
        <stp>23/02/2017</stp>
        <stp>23/02/2017</stp>
        <stp>[Bbg_Market_Data_CL.xlsm]data!R34C7</stp>
        <tr r="G34" s="1"/>
      </tp>
      <tp>
        <v>51.59</v>
        <stp/>
        <stp>##V3_BDHV12</stp>
        <stp>CL2 Comdty</stp>
        <stp>PX_LOW</stp>
        <stp>10/01/2017</stp>
        <stp>10/01/2017</stp>
        <stp>[Bbg_Market_Data_CL.xlsm]data!R64C7</stp>
        <tr r="G64" s="1"/>
      </tp>
      <tp>
        <v>54.2</v>
        <stp/>
        <stp>##V3_BDHV12</stp>
        <stp>CL2 Comdty</stp>
        <stp>PX_LOW</stp>
        <stp>23/02/2017</stp>
        <stp>23/02/2017</stp>
        <stp>[Bbg_Market_Data_CL.xlsm]data!R34C7</stp>
        <tr r="G34" s="1"/>
      </tp>
      <tp t="s">
        <v>#N/A Requesting Data...</v>
        <stp/>
        <stp>##V3_BDHV12</stp>
        <stp>CL1 Comdty</stp>
        <stp>PX_LOW</stp>
        <stp>10/01/2017</stp>
        <stp>10/01/2017</stp>
        <stp>[Bbg_Market_Data_CL.xlsm]data!R64C7</stp>
        <tr r="G64" s="1"/>
      </tp>
      <tp t="s">
        <v>#N/A Requesting Data...</v>
        <stp/>
        <stp>##V3_BDHV12</stp>
        <stp>CL1 Comdty</stp>
        <stp>PX_LOW</stp>
        <stp>22/12/2016</stp>
        <stp>22/12/2016</stp>
        <stp>[Bbg_Market_Data_CL.xlsm]data!R75C7</stp>
        <tr r="G75" s="1"/>
      </tp>
      <tp t="s">
        <v>#N/A Requesting Data...</v>
        <stp/>
        <stp>##V3_BDHV12</stp>
        <stp>CL1 Comdty</stp>
        <stp>PX_LOW</stp>
        <stp>23/03/2017</stp>
        <stp>23/03/2017</stp>
        <stp>[Bbg_Market_Data_CL.xlsm]data!R14C7</stp>
        <tr r="G14" s="1"/>
      </tp>
      <tp>
        <v>48.16</v>
        <stp/>
        <stp>##V3_BDHV12</stp>
        <stp>CL2 Comdty</stp>
        <stp>PX_LOW</stp>
        <stp>23/03/2017</stp>
        <stp>23/03/2017</stp>
        <stp>[Bbg_Market_Data_CL.xlsm]data!R14C7</stp>
        <tr r="G14" s="1"/>
      </tp>
      <tp>
        <v>52.96</v>
        <stp/>
        <stp>##V3_BDHV12</stp>
        <stp>CL2 Comdty</stp>
        <stp>PX_LOW</stp>
        <stp>22/12/2016</stp>
        <stp>22/12/2016</stp>
        <stp>[Bbg_Market_Data_CL.xlsm]data!R75C7</stp>
        <tr r="G75" s="1"/>
      </tp>
      <tp>
        <v>48.31</v>
        <stp/>
        <stp>##V3_BDHV12</stp>
        <stp>CL2 Comdty</stp>
        <stp>PX_LOW</stp>
        <stp>23/11/2016</stp>
        <stp>23/11/2016</stp>
        <stp>[Bbg_Market_Data_CL.xlsm]data!R95C7</stp>
        <tr r="G95" s="1"/>
      </tp>
      <tp t="s">
        <v>#N/A Requesting Data...</v>
        <stp/>
        <stp>##V3_BDHV12</stp>
        <stp>CL1 Comdty</stp>
        <stp>PX_LOW</stp>
        <stp>23/11/2016</stp>
        <stp>23/11/2016</stp>
        <stp>[Bbg_Market_Data_CL.xlsm]data!R95C7</stp>
        <tr r="G95" s="1"/>
      </tp>
      <tp t="s">
        <v>#N/A Requesting Data...</v>
        <stp/>
        <stp>##V3_BDHV12</stp>
        <stp>CL1 Comdty</stp>
        <stp>PX_LOW</stp>
        <stp>08/02/2017</stp>
        <stp>08/02/2017</stp>
        <stp>[Bbg_Market_Data_CL.xlsm]data!R44C7</stp>
        <tr r="G44" s="1"/>
      </tp>
      <tp>
        <v>51.86</v>
        <stp/>
        <stp>##V3_BDHV12</stp>
        <stp>CL2 Comdty</stp>
        <stp>PX_LOW</stp>
        <stp>08/02/2017</stp>
        <stp>08/02/2017</stp>
        <stp>[Bbg_Market_Data_CL.xlsm]data!R44C7</stp>
        <tr r="G44" s="1"/>
      </tp>
      <tp t="s">
        <v>#N/A Requesting Data...</v>
        <stp/>
        <stp>##V3_BDHV12</stp>
        <stp>CL1 Comdty</stp>
        <stp>PX_LOW</stp>
        <stp>25/01/2017</stp>
        <stp>25/01/2017</stp>
        <stp>[Bbg_Market_Data_CL.xlsm]data!R54C7</stp>
        <tr r="G54" s="1"/>
      </tp>
      <tp>
        <v>53.23</v>
        <stp/>
        <stp>##V3_BDHV12</stp>
        <stp>CL2 Comdty</stp>
        <stp>PX_LOW</stp>
        <stp>25/01/2017</stp>
        <stp>25/01/2017</stp>
        <stp>[Bbg_Market_Data_CL.xlsm]data!R54C7</stp>
        <tr r="G54" s="1"/>
      </tp>
      <tp t="s">
        <v>#N/A Requesting Data...</v>
        <stp/>
        <stp>##V3_BDHV12</stp>
        <stp>CL1 Comdty</stp>
        <stp>PX_LOW</stp>
        <stp>08/12/2016</stp>
        <stp>08/12/2016</stp>
        <stp>[Bbg_Market_Data_CL.xlsm]data!R85C7</stp>
        <tr r="G85" s="1"/>
      </tp>
      <tp t="s">
        <v>#N/A Requesting Data...</v>
        <stp/>
        <stp>##V3_BDHV12</stp>
        <stp>CL1 Comdty</stp>
        <stp>PX_LOW</stp>
        <stp>09/03/2017</stp>
        <stp>09/03/2017</stp>
        <stp>[Bbg_Market_Data_CL.xlsm]data!R24C7</stp>
        <tr r="G24" s="1"/>
      </tp>
      <tp>
        <v>49.14</v>
        <stp/>
        <stp>##V3_BDHV12</stp>
        <stp>CL2 Comdty</stp>
        <stp>PX_LOW</stp>
        <stp>09/03/2017</stp>
        <stp>09/03/2017</stp>
        <stp>[Bbg_Market_Data_CL.xlsm]data!R24C7</stp>
        <tr r="G24" s="1"/>
      </tp>
      <tp>
        <v>50.76</v>
        <stp/>
        <stp>##V3_BDHV12</stp>
        <stp>CL2 Comdty</stp>
        <stp>PX_LOW</stp>
        <stp>08/12/2016</stp>
        <stp>08/12/2016</stp>
        <stp>[Bbg_Market_Data_CL.xlsm]data!R85C7</stp>
        <tr r="G85" s="1"/>
      </tp>
      <tp t="s">
        <v>#N/A Requesting Data...</v>
        <stp/>
        <stp>##V3_BDHV12</stp>
        <stp>CL1 Comdty</stp>
        <stp>MOV_AVG_30D</stp>
        <stp>09/03/2016</stp>
        <stp>09/03/2016</stp>
        <stp>[Bbg_Market_Data_CL.xlsm]data!R273C11</stp>
        <tr r="K273" s="1"/>
      </tp>
      <tp t="s">
        <v>#N/A Requesting Data...</v>
        <stp/>
        <stp>##V3_BDHV12</stp>
        <stp>CL2 Comdty</stp>
        <stp>MOV_AVG_30D</stp>
        <stp>09/03/2016</stp>
        <stp>09/03/2016</stp>
        <stp>[Bbg_Market_Data_CL.xlsm]data!R273C11</stp>
        <tr r="K273" s="1"/>
      </tp>
      <tp t="s">
        <v>#N/A Requesting Data...</v>
        <stp/>
        <stp>##V3_BDHV12</stp>
        <stp>CL2 Comdty</stp>
        <stp>MOV_AVG_30D</stp>
        <stp>29/01/2016</stp>
        <stp>29/01/2016</stp>
        <stp>[Bbg_Market_Data_CL.xlsm]data!R299C11</stp>
        <tr r="K299" s="1"/>
      </tp>
      <tp t="s">
        <v>#N/A Requesting Data...</v>
        <stp/>
        <stp>##V3_BDHV12</stp>
        <stp>CL1 Comdty</stp>
        <stp>MOV_AVG_30D</stp>
        <stp>29/01/2016</stp>
        <stp>29/01/2016</stp>
        <stp>[Bbg_Market_Data_CL.xlsm]data!R299C11</stp>
        <tr r="K299" s="1"/>
      </tp>
      <tp t="s">
        <v>#N/A Requesting Data...</v>
        <stp/>
        <stp>##V3_BDHV12</stp>
        <stp>CL1 Comdty</stp>
        <stp>MOV_AVG_30D</stp>
        <stp>19/02/2016</stp>
        <stp>19/02/2016</stp>
        <stp>[Bbg_Market_Data_CL.xlsm]data!R286C11</stp>
        <tr r="K286" s="1"/>
      </tp>
      <tp t="s">
        <v>#N/A Requesting Data...</v>
        <stp/>
        <stp>##V3_BDHV12</stp>
        <stp>CL2 Comdty</stp>
        <stp>MOV_AVG_30D</stp>
        <stp>19/02/2016</stp>
        <stp>19/02/2016</stp>
        <stp>[Bbg_Market_Data_CL.xlsm]data!R286C11</stp>
        <tr r="K286" s="1"/>
      </tp>
      <tp t="s">
        <v>#N/A Requesting Data...</v>
        <stp/>
        <stp>##V3_BDHV12</stp>
        <stp>CL1 Comdty</stp>
        <stp>MOV_AVG_30D</stp>
        <stp>18/03/2016</stp>
        <stp>18/03/2016</stp>
        <stp>[Bbg_Market_Data_CL.xlsm]data!R266C11</stp>
        <tr r="K266" s="1"/>
      </tp>
      <tp t="s">
        <v>#N/A Requesting Data...</v>
        <stp/>
        <stp>##V3_BDHV12</stp>
        <stp>CL2 Comdty</stp>
        <stp>MOV_AVG_30D</stp>
        <stp>18/03/2016</stp>
        <stp>18/03/2016</stp>
        <stp>[Bbg_Market_Data_CL.xlsm]data!R266C11</stp>
        <tr r="K266" s="1"/>
      </tp>
      <tp t="s">
        <v>#N/A Requesting Data...</v>
        <stp/>
        <stp>##V3_BDHV12</stp>
        <stp>CL1 Comdty</stp>
        <stp>MOV_AVG_30D</stp>
        <stp>08/02/2016</stp>
        <stp>08/02/2016</stp>
        <stp>[Bbg_Market_Data_CL.xlsm]data!R293C11</stp>
        <tr r="K293" s="1"/>
      </tp>
      <tp t="s">
        <v>#N/A Requesting Data...</v>
        <stp/>
        <stp>##V3_BDHV12</stp>
        <stp>CL2 Comdty</stp>
        <stp>MOV_AVG_30D</stp>
        <stp>08/02/2016</stp>
        <stp>08/02/2016</stp>
        <stp>[Bbg_Market_Data_CL.xlsm]data!R293C11</stp>
        <tr r="K293" s="1"/>
      </tp>
      <tp t="s">
        <v>#N/A Requesting Data...</v>
        <stp/>
        <stp>##V3_BDHV12</stp>
        <stp>CL2 Comdty</stp>
        <stp>MOV_AVG_30D</stp>
        <stp>19/11/2015</stp>
        <stp>19/11/2015</stp>
        <stp>[Bbg_Market_Data_CL.xlsm]data!R346C11</stp>
        <tr r="K346" s="1"/>
      </tp>
      <tp t="s">
        <v>#N/A Requesting Data...</v>
        <stp/>
        <stp>##V3_BDHV12</stp>
        <stp>CL1 Comdty</stp>
        <stp>MOV_AVG_30D</stp>
        <stp>19/11/2015</stp>
        <stp>19/11/2015</stp>
        <stp>[Bbg_Market_Data_CL.xlsm]data!R346C11</stp>
        <tr r="K346" s="1"/>
      </tp>
      <tp t="s">
        <v>#N/A Requesting Data...</v>
        <stp/>
        <stp>##V3_BDHV12</stp>
        <stp>CL2 Comdty</stp>
        <stp>MOV_AVG_30D</stp>
        <stp>09/10/2015</stp>
        <stp>09/10/2015</stp>
        <stp>[Bbg_Market_Data_CL.xlsm]data!R373C11</stp>
        <tr r="K373" s="1"/>
      </tp>
      <tp t="s">
        <v>#N/A Requesting Data...</v>
        <stp/>
        <stp>##V3_BDHV12</stp>
        <stp>CL1 Comdty</stp>
        <stp>MOV_AVG_30D</stp>
        <stp>09/10/2015</stp>
        <stp>09/10/2015</stp>
        <stp>[Bbg_Market_Data_CL.xlsm]data!R373C11</stp>
        <tr r="K373" s="1"/>
      </tp>
      <tp t="s">
        <v>#N/A Requesting Data...</v>
        <stp/>
        <stp>##V3_BDHV12</stp>
        <stp>CL1 Comdty</stp>
        <stp>MOV_AVG_30D</stp>
        <stp>28/10/2016</stp>
        <stp>28/10/2016</stp>
        <stp>[Bbg_Market_Data_CL.xlsm]data!R112C11</stp>
        <tr r="K112" s="1"/>
      </tp>
      <tp t="s">
        <v>#N/A Requesting Data...</v>
        <stp/>
        <stp>##V3_BDHV12</stp>
        <stp>CL2 Comdty</stp>
        <stp>MOV_AVG_30D</stp>
        <stp>28/10/2016</stp>
        <stp>28/10/2016</stp>
        <stp>[Bbg_Market_Data_CL.xlsm]data!R112C11</stp>
        <tr r="K112" s="1"/>
      </tp>
      <tp t="s">
        <v>#N/A Requesting Data...</v>
        <stp/>
        <stp>##V3_BDHV12</stp>
        <stp>CL1 Comdty</stp>
        <stp>MOV_AVG_30D</stp>
        <stp>29/12/2015</stp>
        <stp>29/12/2015</stp>
        <stp>[Bbg_Market_Data_CL.xlsm]data!R320C11</stp>
        <tr r="K320" s="1"/>
      </tp>
      <tp t="s">
        <v>#N/A Requesting Data...</v>
        <stp/>
        <stp>##V3_BDHV12</stp>
        <stp>CL2 Comdty</stp>
        <stp>MOV_AVG_30D</stp>
        <stp>29/12/2015</stp>
        <stp>29/12/2015</stp>
        <stp>[Bbg_Market_Data_CL.xlsm]data!R320C11</stp>
        <tr r="K320" s="1"/>
      </tp>
      <tp t="s">
        <v>#N/A Requesting Data...</v>
        <stp/>
        <stp>##V3_BDHV12</stp>
        <stp>CL2 Comdty</stp>
        <stp>MOV_AVG_30D</stp>
        <stp>10/08/2015</stp>
        <stp>10/08/2015</stp>
        <stp>[Bbg_Market_Data_CL.xlsm]data!R416C11</stp>
        <tr r="K416" s="1"/>
      </tp>
      <tp t="s">
        <v>#N/A Requesting Data...</v>
        <stp/>
        <stp>##V3_BDHV12</stp>
        <stp>CL1 Comdty</stp>
        <stp>MOV_AVG_30D</stp>
        <stp>10/08/2015</stp>
        <stp>10/08/2015</stp>
        <stp>[Bbg_Market_Data_CL.xlsm]data!R416C11</stp>
        <tr r="K416" s="1"/>
      </tp>
      <tp t="s">
        <v>#N/A Requesting Data...</v>
        <stp/>
        <stp>##V3_BDHV12</stp>
        <stp>CL1 Comdty</stp>
        <stp>MOV_AVG_30D</stp>
        <stp>12/09/2016</stp>
        <stp>12/09/2016</stp>
        <stp>[Bbg_Market_Data_CL.xlsm]data!R145C11</stp>
        <tr r="K145" s="1"/>
      </tp>
      <tp t="s">
        <v>#N/A Requesting Data...</v>
        <stp/>
        <stp>##V3_BDHV12</stp>
        <stp>CL2 Comdty</stp>
        <stp>MOV_AVG_30D</stp>
        <stp>12/09/2016</stp>
        <stp>12/09/2016</stp>
        <stp>[Bbg_Market_Data_CL.xlsm]data!R145C11</stp>
        <tr r="K145" s="1"/>
      </tp>
      <tp t="s">
        <v>#N/A Requesting Data...</v>
        <stp/>
        <stp>##V3_BDHV12</stp>
        <stp>CL2 Comdty</stp>
        <stp>MOV_AVG_30D</stp>
        <stp>02/08/2016</stp>
        <stp>02/08/2016</stp>
        <stp>[Bbg_Market_Data_CL.xlsm]data!R172C11</stp>
        <tr r="K172" s="1"/>
      </tp>
      <tp t="s">
        <v>#N/A Requesting Data...</v>
        <stp/>
        <stp>##V3_BDHV12</stp>
        <stp>CL1 Comdty</stp>
        <stp>MOV_AVG_30D</stp>
        <stp>02/08/2016</stp>
        <stp>02/08/2016</stp>
        <stp>[Bbg_Market_Data_CL.xlsm]data!R172C11</stp>
        <tr r="K172" s="1"/>
      </tp>
      <tp t="s">
        <v>#N/A Requesting Data...</v>
        <stp/>
        <stp>##V3_BDHV12</stp>
        <stp>CL1 Comdty</stp>
        <stp>MOV_AVG_30D</stp>
        <stp>22/09/2015</stp>
        <stp>22/09/2015</stp>
        <stp>[Bbg_Market_Data_CL.xlsm]data!R386C11</stp>
        <tr r="K386" s="1"/>
      </tp>
      <tp t="s">
        <v>#N/A Requesting Data...</v>
        <stp/>
        <stp>##V3_BDHV12</stp>
        <stp>CL2 Comdty</stp>
        <stp>MOV_AVG_30D</stp>
        <stp>22/09/2015</stp>
        <stp>22/09/2015</stp>
        <stp>[Bbg_Market_Data_CL.xlsm]data!R386C11</stp>
        <tr r="K386" s="1"/>
      </tp>
      <tp t="s">
        <v>#N/A Requesting Data...</v>
        <stp/>
        <stp>##V3_BDHV12</stp>
        <stp>CL2 Comdty</stp>
        <stp>MOV_AVG_30D</stp>
        <stp>30/09/2016</stp>
        <stp>30/09/2016</stp>
        <stp>[Bbg_Market_Data_CL.xlsm]data!R131C11</stp>
        <tr r="K131" s="1"/>
      </tp>
      <tp t="s">
        <v>#N/A Requesting Data...</v>
        <stp/>
        <stp>##V3_BDHV12</stp>
        <stp>CL1 Comdty</stp>
        <stp>MOV_AVG_30D</stp>
        <stp>30/09/2016</stp>
        <stp>30/09/2016</stp>
        <stp>[Bbg_Market_Data_CL.xlsm]data!R131C11</stp>
        <tr r="K131" s="1"/>
      </tp>
      <tp t="s">
        <v>#N/A Requesting Data...</v>
        <stp/>
        <stp>##V3_BDHV12</stp>
        <stp>CL2 Comdty</stp>
        <stp>MOV_AVG_30D</stp>
        <stp>11/09/2015</stp>
        <stp>11/09/2015</stp>
        <stp>[Bbg_Market_Data_CL.xlsm]data!R393C11</stp>
        <tr r="K393" s="1"/>
      </tp>
      <tp t="s">
        <v>#N/A Requesting Data...</v>
        <stp/>
        <stp>##V3_BDHV12</stp>
        <stp>CL1 Comdty</stp>
        <stp>MOV_AVG_30D</stp>
        <stp>11/09/2015</stp>
        <stp>11/09/2015</stp>
        <stp>[Bbg_Market_Data_CL.xlsm]data!R393C11</stp>
        <tr r="K393" s="1"/>
      </tp>
      <tp t="s">
        <v>#N/A Requesting Data...</v>
        <stp/>
        <stp>##V3_BDHV12</stp>
        <stp>CL1 Comdty</stp>
        <stp>MOV_AVG_30D</stp>
        <stp>31/08/2016</stp>
        <stp>31/08/2016</stp>
        <stp>[Bbg_Market_Data_CL.xlsm]data!R152C11</stp>
        <tr r="K152" s="1"/>
      </tp>
      <tp t="s">
        <v>#N/A Requesting Data...</v>
        <stp/>
        <stp>##V3_BDHV12</stp>
        <stp>CL2 Comdty</stp>
        <stp>MOV_AVG_30D</stp>
        <stp>31/08/2016</stp>
        <stp>31/08/2016</stp>
        <stp>[Bbg_Market_Data_CL.xlsm]data!R152C11</stp>
        <tr r="K152" s="1"/>
      </tp>
      <tp t="s">
        <v>#N/A Requesting Data...</v>
        <stp/>
        <stp>##V3_BDHV12</stp>
        <stp>CL2 Comdty</stp>
        <stp>MOV_AVG_30D</stp>
        <stp>21/09/2016</stp>
        <stp>21/09/2016</stp>
        <stp>[Bbg_Market_Data_CL.xlsm]data!R138C11</stp>
        <tr r="K138" s="1"/>
      </tp>
      <tp t="s">
        <v>#N/A Requesting Data...</v>
        <stp/>
        <stp>##V3_BDHV12</stp>
        <stp>CL1 Comdty</stp>
        <stp>MOV_AVG_30D</stp>
        <stp>21/09/2016</stp>
        <stp>21/09/2016</stp>
        <stp>[Bbg_Market_Data_CL.xlsm]data!R138C11</stp>
        <tr r="K138" s="1"/>
      </tp>
      <tp t="s">
        <v>#N/A Requesting Data...</v>
        <stp/>
        <stp>##V3_BDHV12</stp>
        <stp>CL1 Comdty</stp>
        <stp>PX_LOW</stp>
        <stp>22/02/2017</stp>
        <stp>22/02/2017</stp>
        <stp>[Bbg_Market_Data_CL.xlsm]data!R35C7</stp>
        <tr r="G35" s="1"/>
      </tp>
      <tp>
        <v>53.67</v>
        <stp/>
        <stp>##V3_BDHV12</stp>
        <stp>CL2 Comdty</stp>
        <stp>PX_LOW</stp>
        <stp>22/02/2017</stp>
        <stp>22/02/2017</stp>
        <stp>[Bbg_Market_Data_CL.xlsm]data!R35C7</stp>
        <tr r="G35" s="1"/>
      </tp>
      <tp t="s">
        <v>#N/A Requesting Data...</v>
        <stp/>
        <stp>##V3_BDHV12</stp>
        <stp>CL1 Comdty</stp>
        <stp>PX_LOW</stp>
        <stp>22/03/2017</stp>
        <stp>22/03/2017</stp>
        <stp>[Bbg_Market_Data_CL.xlsm]data!R15C7</stp>
        <tr r="G15" s="1"/>
      </tp>
      <tp t="s">
        <v>#N/A Requesting Data...</v>
        <stp/>
        <stp>##V3_BDHV12</stp>
        <stp>CL1 Comdty</stp>
        <stp>PX_LOW</stp>
        <stp>23/12/2016</stp>
        <stp>23/12/2016</stp>
        <stp>[Bbg_Market_Data_CL.xlsm]data!R74C7</stp>
        <tr r="G74" s="1"/>
      </tp>
      <tp>
        <v>53.15</v>
        <stp/>
        <stp>##V3_BDHV12</stp>
        <stp>CL2 Comdty</stp>
        <stp>PX_LOW</stp>
        <stp>23/12/2016</stp>
        <stp>23/12/2016</stp>
        <stp>[Bbg_Market_Data_CL.xlsm]data!R74C7</stp>
        <tr r="G74" s="1"/>
      </tp>
      <tp>
        <v>47.58</v>
        <stp/>
        <stp>##V3_BDHV12</stp>
        <stp>CL2 Comdty</stp>
        <stp>PX_LOW</stp>
        <stp>22/03/2017</stp>
        <stp>22/03/2017</stp>
        <stp>[Bbg_Market_Data_CL.xlsm]data!R15C7</stp>
        <tr r="G15" s="1"/>
      </tp>
      <tp>
        <v>52.67</v>
        <stp/>
        <stp>##V3_BDHV12</stp>
        <stp>CL2 Comdty</stp>
        <stp>PX_LOW</stp>
        <stp>09/01/2017</stp>
        <stp>09/01/2017</stp>
        <stp>[Bbg_Market_Data_CL.xlsm]data!R65C7</stp>
        <tr r="G65" s="1"/>
      </tp>
      <tp t="s">
        <v>#N/A Requesting Data...</v>
        <stp/>
        <stp>##V3_BDHV12</stp>
        <stp>CL1 Comdty</stp>
        <stp>PX_LOW</stp>
        <stp>09/01/2017</stp>
        <stp>09/01/2017</stp>
        <stp>[Bbg_Market_Data_CL.xlsm]data!R65C7</stp>
        <tr r="G65" s="1"/>
      </tp>
      <tp t="s">
        <v>#N/A Requesting Data...</v>
        <stp/>
        <stp>##V3_BDHV12</stp>
        <stp>CL1 Comdty</stp>
        <stp>PX_LOW</stp>
        <stp>25/11/2016</stp>
        <stp>25/11/2016</stp>
        <stp>[Bbg_Market_Data_CL.xlsm]data!R94C7</stp>
        <tr r="G94" s="1"/>
      </tp>
      <tp>
        <v>52.26</v>
        <stp/>
        <stp>##V3_BDHV12</stp>
        <stp>CL2 Comdty</stp>
        <stp>PX_LOW</stp>
        <stp>07/02/2017</stp>
        <stp>07/02/2017</stp>
        <stp>[Bbg_Market_Data_CL.xlsm]data!R45C7</stp>
        <tr r="G45" s="1"/>
      </tp>
      <tp t="s">
        <v>#N/A Requesting Data...</v>
        <stp/>
        <stp>##V3_BDHV12</stp>
        <stp>CL1 Comdty</stp>
        <stp>PX_LOW</stp>
        <stp>07/02/2017</stp>
        <stp>07/02/2017</stp>
        <stp>[Bbg_Market_Data_CL.xlsm]data!R45C7</stp>
        <tr r="G45" s="1"/>
      </tp>
      <tp>
        <v>46.82</v>
        <stp/>
        <stp>##V3_BDHV12</stp>
        <stp>CL2 Comdty</stp>
        <stp>PX_LOW</stp>
        <stp>25/11/2016</stp>
        <stp>25/11/2016</stp>
        <stp>[Bbg_Market_Data_CL.xlsm]data!R94C7</stp>
        <tr r="G94" s="1"/>
      </tp>
      <tp t="s">
        <v>#N/A Requesting Data...</v>
        <stp/>
        <stp>##V3_BDHV12</stp>
        <stp>CL1 Comdty</stp>
        <stp>PX_LOW</stp>
        <stp>24/01/2017</stp>
        <stp>24/01/2017</stp>
        <stp>[Bbg_Market_Data_CL.xlsm]data!R55C7</stp>
        <tr r="G55" s="1"/>
      </tp>
      <tp>
        <v>53.41</v>
        <stp/>
        <stp>##V3_BDHV12</stp>
        <stp>CL2 Comdty</stp>
        <stp>PX_LOW</stp>
        <stp>24/01/2017</stp>
        <stp>24/01/2017</stp>
        <stp>[Bbg_Market_Data_CL.xlsm]data!R55C7</stp>
        <tr r="G55" s="1"/>
      </tp>
      <tp t="s">
        <v>#N/A Requesting Data...</v>
        <stp/>
        <stp>##V3_BDHV12</stp>
        <stp>CL1 Comdty</stp>
        <stp>PX_LOW</stp>
        <stp>08/03/2017</stp>
        <stp>08/03/2017</stp>
        <stp>[Bbg_Market_Data_CL.xlsm]data!R25C7</stp>
        <tr r="G25" s="1"/>
      </tp>
      <tp t="s">
        <v>#N/A Requesting Data...</v>
        <stp/>
        <stp>##V3_BDHV12</stp>
        <stp>CL1 Comdty</stp>
        <stp>PX_LOW</stp>
        <stp>09/12/2016</stp>
        <stp>09/12/2016</stp>
        <stp>[Bbg_Market_Data_CL.xlsm]data!R84C7</stp>
        <tr r="G84" s="1"/>
      </tp>
      <tp>
        <v>51.8</v>
        <stp/>
        <stp>##V3_BDHV12</stp>
        <stp>CL2 Comdty</stp>
        <stp>PX_LOW</stp>
        <stp>09/12/2016</stp>
        <stp>09/12/2016</stp>
        <stp>[Bbg_Market_Data_CL.xlsm]data!R84C7</stp>
        <tr r="G84" s="1"/>
      </tp>
      <tp>
        <v>50.61</v>
        <stp/>
        <stp>##V3_BDHV12</stp>
        <stp>CL2 Comdty</stp>
        <stp>PX_LOW</stp>
        <stp>08/03/2017</stp>
        <stp>08/03/2017</stp>
        <stp>[Bbg_Market_Data_CL.xlsm]data!R25C7</stp>
        <tr r="G25" s="1"/>
      </tp>
      <tp t="s">
        <v>#N/A Requesting Data...</v>
        <stp/>
        <stp>##V3_BDHV12</stp>
        <stp>CL2 Comdty</stp>
        <stp>MOV_AVG_30D</stp>
        <stp>04/01/2016</stp>
        <stp>04/01/2016</stp>
        <stp>[Bbg_Market_Data_CL.xlsm]data!R317C11</stp>
        <tr r="K317" s="1"/>
      </tp>
      <tp t="s">
        <v>#N/A Requesting Data...</v>
        <stp/>
        <stp>##V3_BDHV12</stp>
        <stp>CL1 Comdty</stp>
        <stp>MOV_AVG_30D</stp>
        <stp>04/01/2016</stp>
        <stp>04/01/2016</stp>
        <stp>[Bbg_Market_Data_CL.xlsm]data!R317C11</stp>
        <tr r="K317" s="1"/>
      </tp>
      <tp t="s">
        <v>#N/A Requesting Data...</v>
        <stp/>
        <stp>##V3_BDHV12</stp>
        <stp>CL1 Comdty</stp>
        <stp>MOV_AVG_30D</stp>
        <stp>10/07/2015</stp>
        <stp>10/07/2015</stp>
        <stp>[Bbg_Market_Data_CL.xlsm]data!R437C11</stp>
        <tr r="K437" s="1"/>
      </tp>
      <tp t="s">
        <v>#N/A Requesting Data...</v>
        <stp/>
        <stp>##V3_BDHV12</stp>
        <stp>CL2 Comdty</stp>
        <stp>MOV_AVG_30D</stp>
        <stp>10/07/2015</stp>
        <stp>10/07/2015</stp>
        <stp>[Bbg_Market_Data_CL.xlsm]data!R437C11</stp>
        <tr r="K437" s="1"/>
      </tp>
      <tp t="s">
        <v>#N/A Requesting Data...</v>
        <stp/>
        <stp>##V3_BDHV12</stp>
        <stp>CL2 Comdty</stp>
        <stp>MOV_AVG_30D</stp>
        <stp>20/04/2015</stp>
        <stp>20/04/2015</stp>
        <stp>[Bbg_Market_Data_CL.xlsm]data!R494C11</stp>
        <tr r="K494" s="1"/>
      </tp>
      <tp t="s">
        <v>#N/A Requesting Data...</v>
        <stp/>
        <stp>##V3_BDHV12</stp>
        <stp>CL1 Comdty</stp>
        <stp>MOV_AVG_30D</stp>
        <stp>20/04/2015</stp>
        <stp>20/04/2015</stp>
        <stp>[Bbg_Market_Data_CL.xlsm]data!R494C11</stp>
        <tr r="K494" s="1"/>
      </tp>
      <tp t="s">
        <v>#N/A Requesting Data...</v>
        <stp/>
        <stp>##V3_BDHV12</stp>
        <stp>CL2 Comdty</stp>
        <stp>MOV_AVG_30D</stp>
        <stp>25/02/2016</stp>
        <stp>25/02/2016</stp>
        <stp>[Bbg_Market_Data_CL.xlsm]data!R282C11</stp>
        <tr r="K282" s="1"/>
      </tp>
      <tp t="s">
        <v>#N/A Requesting Data...</v>
        <stp/>
        <stp>##V3_BDHV12</stp>
        <stp>CL1 Comdty</stp>
        <stp>MOV_AVG_30D</stp>
        <stp>25/02/2016</stp>
        <stp>25/02/2016</stp>
        <stp>[Bbg_Market_Data_CL.xlsm]data!R282C11</stp>
        <tr r="K282" s="1"/>
      </tp>
      <tp t="s">
        <v>#N/A Requesting Data...</v>
        <stp/>
        <stp>##V3_BDHV12</stp>
        <stp>CL1 Comdty</stp>
        <stp>MOV_AVG_30D</stp>
        <stp>16/11/2015</stp>
        <stp>16/11/2015</stp>
        <stp>[Bbg_Market_Data_CL.xlsm]data!R349C11</stp>
        <tr r="K349" s="1"/>
      </tp>
      <tp t="s">
        <v>#N/A Requesting Data...</v>
        <stp/>
        <stp>##V3_BDHV12</stp>
        <stp>CL2 Comdty</stp>
        <stp>MOV_AVG_30D</stp>
        <stp>16/11/2015</stp>
        <stp>16/11/2015</stp>
        <stp>[Bbg_Market_Data_CL.xlsm]data!R349C11</stp>
        <tr r="K349" s="1"/>
      </tp>
      <tp t="s">
        <v>#N/A Requesting Data...</v>
        <stp/>
        <stp>##V3_BDHV12</stp>
        <stp>CL1 Comdty</stp>
        <stp>MOV_AVG_30D</stp>
        <stp>11/06/2015</stp>
        <stp>11/06/2015</stp>
        <stp>[Bbg_Market_Data_CL.xlsm]data!R457C11</stp>
        <tr r="K457" s="1"/>
      </tp>
      <tp t="s">
        <v>#N/A Requesting Data...</v>
        <stp/>
        <stp>##V3_BDHV12</stp>
        <stp>CL2 Comdty</stp>
        <stp>MOV_AVG_30D</stp>
        <stp>11/06/2015</stp>
        <stp>11/06/2015</stp>
        <stp>[Bbg_Market_Data_CL.xlsm]data!R457C11</stp>
        <tr r="K457" s="1"/>
      </tp>
      <tp t="s">
        <v>#N/A Requesting Data...</v>
        <stp/>
        <stp>##V3_BDHV12</stp>
        <stp>CL1 Comdty</stp>
        <stp>MOV_AVG_30D</stp>
        <stp>01/07/2015</stp>
        <stp>01/07/2015</stp>
        <stp>[Bbg_Market_Data_CL.xlsm]data!R443C11</stp>
        <tr r="K443" s="1"/>
      </tp>
      <tp t="s">
        <v>#N/A Requesting Data...</v>
        <stp/>
        <stp>##V3_BDHV12</stp>
        <stp>CL2 Comdty</stp>
        <stp>MOV_AVG_30D</stp>
        <stp>01/07/2015</stp>
        <stp>01/07/2015</stp>
        <stp>[Bbg_Market_Data_CL.xlsm]data!R443C11</stp>
        <tr r="K443" s="1"/>
      </tp>
      <tp t="s">
        <v>#N/A Requesting Data...</v>
        <stp/>
        <stp>##V3_BDHV12</stp>
        <stp>CL2 Comdty</stp>
        <stp>MOV_AVG_30D</stp>
        <stp>21/05/2015</stp>
        <stp>21/05/2015</stp>
        <stp>[Bbg_Market_Data_CL.xlsm]data!R471C11</stp>
        <tr r="K471" s="1"/>
      </tp>
      <tp t="s">
        <v>#N/A Requesting Data...</v>
        <stp/>
        <stp>##V3_BDHV12</stp>
        <stp>CL1 Comdty</stp>
        <stp>MOV_AVG_30D</stp>
        <stp>21/05/2015</stp>
        <stp>21/05/2015</stp>
        <stp>[Bbg_Market_Data_CL.xlsm]data!R471C11</stp>
        <tr r="K471" s="1"/>
      </tp>
      <tp t="s">
        <v>#N/A Requesting Data...</v>
        <stp/>
        <stp>##V3_BDHV12</stp>
        <stp>CL2 Comdty</stp>
        <stp>MOV_AVG_30D</stp>
        <stp>06/10/2015</stp>
        <stp>06/10/2015</stp>
        <stp>[Bbg_Market_Data_CL.xlsm]data!R376C11</stp>
        <tr r="K376" s="1"/>
      </tp>
      <tp t="s">
        <v>#N/A Requesting Data...</v>
        <stp/>
        <stp>##V3_BDHV12</stp>
        <stp>CL1 Comdty</stp>
        <stp>MOV_AVG_30D</stp>
        <stp>06/10/2015</stp>
        <stp>06/10/2015</stp>
        <stp>[Bbg_Market_Data_CL.xlsm]data!R376C11</stp>
        <tr r="K376" s="1"/>
      </tp>
      <tp t="s">
        <v>#N/A Requesting Data...</v>
        <stp/>
        <stp>##V3_BDHV12</stp>
        <stp>CL2 Comdty</stp>
        <stp>MOV_AVG_30D</stp>
        <stp>24/03/2016</stp>
        <stp>24/03/2016</stp>
        <stp>[Bbg_Market_Data_CL.xlsm]data!R262C11</stp>
        <tr r="K262" s="1"/>
      </tp>
      <tp t="s">
        <v>#N/A Requesting Data...</v>
        <stp/>
        <stp>##V3_BDHV12</stp>
        <stp>CL1 Comdty</stp>
        <stp>MOV_AVG_30D</stp>
        <stp>24/03/2016</stp>
        <stp>24/03/2016</stp>
        <stp>[Bbg_Market_Data_CL.xlsm]data!R262C11</stp>
        <tr r="K262" s="1"/>
      </tp>
      <tp t="s">
        <v>#N/A Requesting Data...</v>
        <stp/>
        <stp>##V3_BDHV12</stp>
        <stp>CL1 Comdty</stp>
        <stp>MOV_AVG_30D</stp>
        <stp>15/01/2016</stp>
        <stp>15/01/2016</stp>
        <stp>[Bbg_Market_Data_CL.xlsm]data!R308C11</stp>
        <tr r="K308" s="1"/>
      </tp>
      <tp t="s">
        <v>#N/A Requesting Data...</v>
        <stp/>
        <stp>##V3_BDHV12</stp>
        <stp>CL2 Comdty</stp>
        <stp>MOV_AVG_30D</stp>
        <stp>15/01/2016</stp>
        <stp>15/01/2016</stp>
        <stp>[Bbg_Market_Data_CL.xlsm]data!R308C11</stp>
        <tr r="K308" s="1"/>
      </tp>
      <tp t="s">
        <v>#N/A Requesting Data...</v>
        <stp/>
        <stp>##V3_BDHV12</stp>
        <stp>CL1 Comdty</stp>
        <stp>MOV_AVG_30D</stp>
        <stp>27/10/2016</stp>
        <stp>27/10/2016</stp>
        <stp>[Bbg_Market_Data_CL.xlsm]data!R113C11</stp>
        <tr r="K113" s="1"/>
      </tp>
      <tp t="s">
        <v>#N/A Requesting Data...</v>
        <stp/>
        <stp>##V3_BDHV12</stp>
        <stp>CL2 Comdty</stp>
        <stp>MOV_AVG_30D</stp>
        <stp>27/10/2016</stp>
        <stp>27/10/2016</stp>
        <stp>[Bbg_Market_Data_CL.xlsm]data!R113C11</stp>
        <tr r="K113" s="1"/>
      </tp>
      <tp t="s">
        <v>#N/A Requesting Data...</v>
        <stp/>
        <stp>##V3_BDHV12</stp>
        <stp>CL1 Comdty</stp>
        <stp>MOV_AVG_30D</stp>
        <stp>22/06/2015</stp>
        <stp>22/06/2015</stp>
        <stp>[Bbg_Market_Data_CL.xlsm]data!R450C11</stp>
        <tr r="K450" s="1"/>
      </tp>
      <tp t="s">
        <v>#N/A Requesting Data...</v>
        <stp/>
        <stp>##V3_BDHV12</stp>
        <stp>CL2 Comdty</stp>
        <stp>MOV_AVG_30D</stp>
        <stp>22/06/2015</stp>
        <stp>22/06/2015</stp>
        <stp>[Bbg_Market_Data_CL.xlsm]data!R450C11</stp>
        <tr r="K450" s="1"/>
      </tp>
      <tp t="s">
        <v>#N/A Requesting Data...</v>
        <stp/>
        <stp>##V3_BDHV12</stp>
        <stp>CL1 Comdty</stp>
        <stp>MOV_AVG_30D</stp>
        <stp>25/11/2015</stp>
        <stp>25/11/2015</stp>
        <stp>[Bbg_Market_Data_CL.xlsm]data!R342C11</stp>
        <tr r="K342" s="1"/>
      </tp>
      <tp t="s">
        <v>#N/A Requesting Data...</v>
        <stp/>
        <stp>##V3_BDHV12</stp>
        <stp>CL2 Comdty</stp>
        <stp>MOV_AVG_30D</stp>
        <stp>25/11/2015</stp>
        <stp>25/11/2015</stp>
        <stp>[Bbg_Market_Data_CL.xlsm]data!R342C11</stp>
        <tr r="K342" s="1"/>
      </tp>
      <tp t="s">
        <v>#N/A Requesting Data...</v>
        <stp/>
        <stp>##V3_BDHV12</stp>
        <stp>CL1 Comdty</stp>
        <stp>MOV_AVG_30D</stp>
        <stp>12/05/2015</stp>
        <stp>12/05/2015</stp>
        <stp>[Bbg_Market_Data_CL.xlsm]data!R478C11</stp>
        <tr r="K478" s="1"/>
      </tp>
      <tp t="s">
        <v>#N/A Requesting Data...</v>
        <stp/>
        <stp>##V3_BDHV12</stp>
        <stp>CL2 Comdty</stp>
        <stp>MOV_AVG_30D</stp>
        <stp>12/05/2015</stp>
        <stp>12/05/2015</stp>
        <stp>[Bbg_Market_Data_CL.xlsm]data!R478C11</stp>
        <tr r="K478" s="1"/>
      </tp>
      <tp t="s">
        <v>#N/A Requesting Data...</v>
        <stp/>
        <stp>##V3_BDHV12</stp>
        <stp>CL1 Comdty</stp>
        <stp>MOV_AVG_30D</stp>
        <stp>17/03/2016</stp>
        <stp>17/03/2016</stp>
        <stp>[Bbg_Market_Data_CL.xlsm]data!R267C11</stp>
        <tr r="K267" s="1"/>
      </tp>
      <tp t="s">
        <v>#N/A Requesting Data...</v>
        <stp/>
        <stp>##V3_BDHV12</stp>
        <stp>CL2 Comdty</stp>
        <stp>MOV_AVG_30D</stp>
        <stp>17/03/2016</stp>
        <stp>17/03/2016</stp>
        <stp>[Bbg_Market_Data_CL.xlsm]data!R267C11</stp>
        <tr r="K267" s="1"/>
      </tp>
      <tp t="s">
        <v>#N/A Requesting Data...</v>
        <stp/>
        <stp>##V3_BDHV12</stp>
        <stp>CL2 Comdty</stp>
        <stp>MOV_AVG_30D</stp>
        <stp>04/11/2016</stp>
        <stp>04/11/2016</stp>
        <stp>[Bbg_Market_Data_CL.xlsm]data!R107C11</stp>
        <tr r="K107" s="1"/>
      </tp>
      <tp t="s">
        <v>#N/A Requesting Data...</v>
        <stp/>
        <stp>##V3_BDHV12</stp>
        <stp>CL1 Comdty</stp>
        <stp>MOV_AVG_30D</stp>
        <stp>04/11/2016</stp>
        <stp>04/11/2016</stp>
        <stp>[Bbg_Market_Data_CL.xlsm]data!R107C11</stp>
        <tr r="K107" s="1"/>
      </tp>
      <tp t="s">
        <v>#N/A Requesting Data...</v>
        <stp/>
        <stp>##V3_BDHV12</stp>
        <stp>CL1 Comdty</stp>
        <stp>MOV_AVG_30D</stp>
        <stp>26/01/2016</stp>
        <stp>26/01/2016</stp>
        <stp>[Bbg_Market_Data_CL.xlsm]data!R302C11</stp>
        <tr r="K302" s="1"/>
      </tp>
      <tp t="s">
        <v>#N/A Requesting Data...</v>
        <stp/>
        <stp>##V3_BDHV12</stp>
        <stp>CL2 Comdty</stp>
        <stp>MOV_AVG_30D</stp>
        <stp>26/01/2016</stp>
        <stp>26/01/2016</stp>
        <stp>[Bbg_Market_Data_CL.xlsm]data!R302C11</stp>
        <tr r="K302" s="1"/>
      </tp>
      <tp t="s">
        <v>#N/A Requesting Data...</v>
        <stp/>
        <stp>##V3_BDHV12</stp>
        <stp>CL2 Comdty</stp>
        <stp>MOV_AVG_30D</stp>
        <stp>15/12/2015</stp>
        <stp>15/12/2015</stp>
        <stp>[Bbg_Market_Data_CL.xlsm]data!R329C11</stp>
        <tr r="K329" s="1"/>
      </tp>
      <tp t="s">
        <v>#N/A Requesting Data...</v>
        <stp/>
        <stp>##V3_BDHV12</stp>
        <stp>CL1 Comdty</stp>
        <stp>MOV_AVG_30D</stp>
        <stp>15/12/2015</stp>
        <stp>15/12/2015</stp>
        <stp>[Bbg_Market_Data_CL.xlsm]data!R329C11</stp>
        <tr r="K329" s="1"/>
      </tp>
      <tp t="s">
        <v>#N/A Requesting Data...</v>
        <stp/>
        <stp>##V3_BDHV12</stp>
        <stp>CL2 Comdty</stp>
        <stp>MOV_AVG_30D</stp>
        <stp>14/10/2016</stp>
        <stp>14/10/2016</stp>
        <stp>[Bbg_Market_Data_CL.xlsm]data!R122C11</stp>
        <tr r="K122" s="1"/>
      </tp>
      <tp t="s">
        <v>#N/A Requesting Data...</v>
        <stp/>
        <stp>##V3_BDHV12</stp>
        <stp>CL1 Comdty</stp>
        <stp>MOV_AVG_30D</stp>
        <stp>14/10/2016</stp>
        <stp>14/10/2016</stp>
        <stp>[Bbg_Market_Data_CL.xlsm]data!R122C11</stp>
        <tr r="K122" s="1"/>
      </tp>
      <tp t="s">
        <v>#N/A Requesting Data...</v>
        <stp/>
        <stp>##V3_BDHV12</stp>
        <stp>CL1 Comdty</stp>
        <stp>MOV_AVG_30D</stp>
        <stp>15/11/2016</stp>
        <stp>15/11/2016</stp>
        <stp>[Bbg_Market_Data_CL.xlsm]data!R101C11</stp>
        <tr r="K101" s="1"/>
      </tp>
      <tp t="s">
        <v>#N/A Requesting Data...</v>
        <stp/>
        <stp>##V3_BDHV12</stp>
        <stp>CL2 Comdty</stp>
        <stp>MOV_AVG_30D</stp>
        <stp>15/11/2016</stp>
        <stp>15/11/2016</stp>
        <stp>[Bbg_Market_Data_CL.xlsm]data!R101C11</stp>
        <tr r="K101" s="1"/>
      </tp>
      <tp t="s">
        <v>#N/A Requesting Data...</v>
        <stp/>
        <stp>##V3_BDHV12</stp>
        <stp>CL1 Comdty</stp>
        <stp>MOV_AVG_30D</stp>
        <stp>05/10/2016</stp>
        <stp>05/10/2016</stp>
        <stp>[Bbg_Market_Data_CL.xlsm]data!R128C11</stp>
        <tr r="K128" s="1"/>
      </tp>
      <tp t="s">
        <v>#N/A Requesting Data...</v>
        <stp/>
        <stp>##V3_BDHV12</stp>
        <stp>CL2 Comdty</stp>
        <stp>MOV_AVG_30D</stp>
        <stp>05/10/2016</stp>
        <stp>05/10/2016</stp>
        <stp>[Bbg_Market_Data_CL.xlsm]data!R128C11</stp>
        <tr r="K128" s="1"/>
      </tp>
      <tp t="s">
        <v>#N/A Requesting Data...</v>
        <stp/>
        <stp>##V3_BDHV12</stp>
        <stp>CL1 Comdty</stp>
        <stp>MOV_AVG_30D</stp>
        <stp>23/07/2015</stp>
        <stp>23/07/2015</stp>
        <stp>[Bbg_Market_Data_CL.xlsm]data!R428C11</stp>
        <tr r="K428" s="1"/>
      </tp>
      <tp t="s">
        <v>#N/A Requesting Data...</v>
        <stp/>
        <stp>##V3_BDHV12</stp>
        <stp>CL2 Comdty</stp>
        <stp>MOV_AVG_30D</stp>
        <stp>23/07/2015</stp>
        <stp>23/07/2015</stp>
        <stp>[Bbg_Market_Data_CL.xlsm]data!R428C11</stp>
        <tr r="K428" s="1"/>
      </tp>
      <tp t="s">
        <v>#N/A Requesting Data...</v>
        <stp/>
        <stp>##V3_BDHV12</stp>
        <stp>CL1 Comdty</stp>
        <stp>MOV_AVG_30D</stp>
        <stp>04/12/2015</stp>
        <stp>04/12/2015</stp>
        <stp>[Bbg_Market_Data_CL.xlsm]data!R336C11</stp>
        <tr r="K336" s="1"/>
      </tp>
      <tp t="s">
        <v>#N/A Requesting Data...</v>
        <stp/>
        <stp>##V3_BDHV12</stp>
        <stp>CL2 Comdty</stp>
        <stp>MOV_AVG_30D</stp>
        <stp>04/12/2015</stp>
        <stp>04/12/2015</stp>
        <stp>[Bbg_Market_Data_CL.xlsm]data!R336C11</stp>
        <tr r="K336" s="1"/>
      </tp>
      <tp t="s">
        <v>#N/A Requesting Data...</v>
        <stp/>
        <stp>##V3_BDHV12</stp>
        <stp>CL1 Comdty</stp>
        <stp>MOV_AVG_30D</stp>
        <stp>13/04/2015</stp>
        <stp>13/04/2015</stp>
        <stp>[Bbg_Market_Data_CL.xlsm]data!R499C11</stp>
        <tr r="K499" s="1"/>
      </tp>
      <tp t="s">
        <v>#N/A Requesting Data...</v>
        <stp/>
        <stp>##V3_BDHV12</stp>
        <stp>CL2 Comdty</stp>
        <stp>MOV_AVG_30D</stp>
        <stp>13/04/2015</stp>
        <stp>13/04/2015</stp>
        <stp>[Bbg_Market_Data_CL.xlsm]data!R499C11</stp>
        <tr r="K499" s="1"/>
      </tp>
      <tp t="s">
        <v>#N/A Requesting Data...</v>
        <stp/>
        <stp>##V3_BDHV12</stp>
        <stp>CL2 Comdty</stp>
        <stp>MOV_AVG_30D</stp>
        <stp>01/04/2016</stp>
        <stp>01/04/2016</stp>
        <stp>[Bbg_Market_Data_CL.xlsm]data!R257C11</stp>
        <tr r="K257" s="1"/>
      </tp>
      <tp t="s">
        <v>#N/A Requesting Data...</v>
        <stp/>
        <stp>##V3_BDHV12</stp>
        <stp>CL1 Comdty</stp>
        <stp>MOV_AVG_30D</stp>
        <stp>01/04/2016</stp>
        <stp>01/04/2016</stp>
        <stp>[Bbg_Market_Data_CL.xlsm]data!R257C11</stp>
        <tr r="K257" s="1"/>
      </tp>
      <tp t="s">
        <v>#N/A Requesting Data...</v>
        <stp/>
        <stp>##V3_BDHV12</stp>
        <stp>CL1 Comdty</stp>
        <stp>MOV_AVG_30D</stp>
        <stp>21/06/2016</stp>
        <stp>21/06/2016</stp>
        <stp>[Bbg_Market_Data_CL.xlsm]data!R201C11</stp>
        <tr r="K201" s="1"/>
      </tp>
      <tp t="s">
        <v>#N/A Requesting Data...</v>
        <stp/>
        <stp>##V3_BDHV12</stp>
        <stp>CL2 Comdty</stp>
        <stp>MOV_AVG_30D</stp>
        <stp>21/06/2016</stp>
        <stp>21/06/2016</stp>
        <stp>[Bbg_Market_Data_CL.xlsm]data!R201C11</stp>
        <tr r="K201" s="1"/>
      </tp>
      <tp t="s">
        <v>#N/A Requesting Data...</v>
        <stp/>
        <stp>##V3_BDHV12</stp>
        <stp>CL1 Comdty</stp>
        <stp>MOV_AVG_30D</stp>
        <stp>11/05/2016</stp>
        <stp>11/05/2016</stp>
        <stp>[Bbg_Market_Data_CL.xlsm]data!R229C11</stp>
        <tr r="K229" s="1"/>
      </tp>
      <tp t="s">
        <v>#N/A Requesting Data...</v>
        <stp/>
        <stp>##V3_BDHV12</stp>
        <stp>CL2 Comdty</stp>
        <stp>MOV_AVG_30D</stp>
        <stp>11/05/2016</stp>
        <stp>11/05/2016</stp>
        <stp>[Bbg_Market_Data_CL.xlsm]data!R229C11</stp>
        <tr r="K229" s="1"/>
      </tp>
      <tp t="s">
        <v>#N/A Requesting Data...</v>
        <stp/>
        <stp>##V3_BDHV12</stp>
        <stp>CL1 Comdty</stp>
        <stp>MOV_AVG_30D</stp>
        <stp>13/07/2016</stp>
        <stp>13/07/2016</stp>
        <stp>[Bbg_Market_Data_CL.xlsm]data!R186C11</stp>
        <tr r="K186" s="1"/>
      </tp>
      <tp t="s">
        <v>#N/A Requesting Data...</v>
        <stp/>
        <stp>##V3_BDHV12</stp>
        <stp>CL2 Comdty</stp>
        <stp>MOV_AVG_30D</stp>
        <stp>13/07/2016</stp>
        <stp>13/07/2016</stp>
        <stp>[Bbg_Market_Data_CL.xlsm]data!R186C11</stp>
        <tr r="K186" s="1"/>
      </tp>
      <tp t="s">
        <v>#N/A Requesting Data...</v>
        <stp/>
        <stp>##V3_BDHV12</stp>
        <stp>CL1 Comdty</stp>
        <stp>MOV_AVG_30D</stp>
        <stp>03/06/2016</stp>
        <stp>03/06/2016</stp>
        <stp>[Bbg_Market_Data_CL.xlsm]data!R213C11</stp>
        <tr r="K213" s="1"/>
      </tp>
      <tp t="s">
        <v>#N/A Requesting Data...</v>
        <stp/>
        <stp>##V3_BDHV12</stp>
        <stp>CL2 Comdty</stp>
        <stp>MOV_AVG_30D</stp>
        <stp>03/06/2016</stp>
        <stp>03/06/2016</stp>
        <stp>[Bbg_Market_Data_CL.xlsm]data!R213C11</stp>
        <tr r="K213" s="1"/>
      </tp>
      <tp t="s">
        <v>#N/A Requesting Data...</v>
        <stp/>
        <stp>##V3_BDHV12</stp>
        <stp>CL1 Comdty</stp>
        <stp>MOV_AVG_30D</stp>
        <stp>30/06/2016</stp>
        <stp>30/06/2016</stp>
        <stp>[Bbg_Market_Data_CL.xlsm]data!R194C11</stp>
        <tr r="K194" s="1"/>
      </tp>
      <tp t="s">
        <v>#N/A Requesting Data...</v>
        <stp/>
        <stp>##V3_BDHV12</stp>
        <stp>CL2 Comdty</stp>
        <stp>MOV_AVG_30D</stp>
        <stp>30/06/2016</stp>
        <stp>30/06/2016</stp>
        <stp>[Bbg_Market_Data_CL.xlsm]data!R194C11</stp>
        <tr r="K194" s="1"/>
      </tp>
      <tp t="s">
        <v>#N/A Requesting Data...</v>
        <stp/>
        <stp>##V3_BDHV12</stp>
        <stp>CL1 Comdty</stp>
        <stp>MOV_AVG_30D</stp>
        <stp>20/07/2016</stp>
        <stp>20/07/2016</stp>
        <stp>[Bbg_Market_Data_CL.xlsm]data!R181C11</stp>
        <tr r="K181" s="1"/>
      </tp>
      <tp t="s">
        <v>#N/A Requesting Data...</v>
        <stp/>
        <stp>##V3_BDHV12</stp>
        <stp>CL2 Comdty</stp>
        <stp>MOV_AVG_30D</stp>
        <stp>20/07/2016</stp>
        <stp>20/07/2016</stp>
        <stp>[Bbg_Market_Data_CL.xlsm]data!R181C11</stp>
        <tr r="K181" s="1"/>
      </tp>
      <tp t="s">
        <v>#N/A Requesting Data...</v>
        <stp/>
        <stp>##V3_BDHV12</stp>
        <stp>CL2 Comdty</stp>
        <stp>MOV_AVG_30D</stp>
        <stp>10/06/2015</stp>
        <stp>10/06/2015</stp>
        <stp>[Bbg_Market_Data_CL.xlsm]data!R458C11</stp>
        <tr r="K458" s="1"/>
      </tp>
      <tp t="s">
        <v>#N/A Requesting Data...</v>
        <stp/>
        <stp>##V3_BDHV12</stp>
        <stp>CL1 Comdty</stp>
        <stp>MOV_AVG_30D</stp>
        <stp>10/06/2015</stp>
        <stp>10/06/2015</stp>
        <stp>[Bbg_Market_Data_CL.xlsm]data!R458C11</stp>
        <tr r="K458" s="1"/>
      </tp>
      <tp t="s">
        <v>#N/A Requesting Data...</v>
        <stp/>
        <stp>##V3_BDHV12</stp>
        <stp>CL1 Comdty</stp>
        <stp>MOV_AVG_30D</stp>
        <stp>17/11/2015</stp>
        <stp>17/11/2015</stp>
        <stp>[Bbg_Market_Data_CL.xlsm]data!R348C11</stp>
        <tr r="K348" s="1"/>
      </tp>
      <tp t="s">
        <v>#N/A Requesting Data...</v>
        <stp/>
        <stp>##V3_BDHV12</stp>
        <stp>CL2 Comdty</stp>
        <stp>MOV_AVG_30D</stp>
        <stp>17/11/2015</stp>
        <stp>17/11/2015</stp>
        <stp>[Bbg_Market_Data_CL.xlsm]data!R348C11</stp>
        <tr r="K348" s="1"/>
      </tp>
      <tp t="s">
        <v>#N/A Requesting Data...</v>
        <stp/>
        <stp>##V3_BDHV12</stp>
        <stp>CL1 Comdty</stp>
        <stp>MOV_AVG_30D</stp>
        <stp>20/05/2015</stp>
        <stp>20/05/2015</stp>
        <stp>[Bbg_Market_Data_CL.xlsm]data!R472C11</stp>
        <tr r="K472" s="1"/>
      </tp>
      <tp t="s">
        <v>#N/A Requesting Data...</v>
        <stp/>
        <stp>##V3_BDHV12</stp>
        <stp>CL2 Comdty</stp>
        <stp>MOV_AVG_30D</stp>
        <stp>20/05/2015</stp>
        <stp>20/05/2015</stp>
        <stp>[Bbg_Market_Data_CL.xlsm]data!R472C11</stp>
        <tr r="K472" s="1"/>
      </tp>
      <tp t="s">
        <v>#N/A Requesting Data...</v>
        <stp/>
        <stp>##V3_BDHV12</stp>
        <stp>CL1 Comdty</stp>
        <stp>MOV_AVG_30D</stp>
        <stp>07/10/2015</stp>
        <stp>07/10/2015</stp>
        <stp>[Bbg_Market_Data_CL.xlsm]data!R375C11</stp>
        <tr r="K375" s="1"/>
      </tp>
      <tp t="s">
        <v>#N/A Requesting Data...</v>
        <stp/>
        <stp>##V3_BDHV12</stp>
        <stp>CL2 Comdty</stp>
        <stp>MOV_AVG_30D</stp>
        <stp>07/10/2015</stp>
        <stp>07/10/2015</stp>
        <stp>[Bbg_Market_Data_CL.xlsm]data!R375C11</stp>
        <tr r="K375" s="1"/>
      </tp>
      <tp t="s">
        <v>#N/A Requesting Data...</v>
        <stp/>
        <stp>##V3_BDHV12</stp>
        <stp>CL1 Comdty</stp>
        <stp>MOV_AVG_30D</stp>
        <stp>14/01/2016</stp>
        <stp>14/01/2016</stp>
        <stp>[Bbg_Market_Data_CL.xlsm]data!R309C11</stp>
        <tr r="K309" s="1"/>
      </tp>
      <tp t="s">
        <v>#N/A Requesting Data...</v>
        <stp/>
        <stp>##V3_BDHV12</stp>
        <stp>CL2 Comdty</stp>
        <stp>MOV_AVG_30D</stp>
        <stp>14/01/2016</stp>
        <stp>14/01/2016</stp>
        <stp>[Bbg_Market_Data_CL.xlsm]data!R309C11</stp>
        <tr r="K309" s="1"/>
      </tp>
      <tp t="s">
        <v>#N/A Requesting Data...</v>
        <stp/>
        <stp>##V3_BDHV12</stp>
        <stp>CL2 Comdty</stp>
        <stp>MOV_AVG_30D</stp>
        <stp>26/10/2016</stp>
        <stp>26/10/2016</stp>
        <stp>[Bbg_Market_Data_CL.xlsm]data!R114C11</stp>
        <tr r="K114" s="1"/>
      </tp>
      <tp t="s">
        <v>#N/A Requesting Data...</v>
        <stp/>
        <stp>##V3_BDHV12</stp>
        <stp>CL1 Comdty</stp>
        <stp>MOV_AVG_30D</stp>
        <stp>26/10/2016</stp>
        <stp>26/10/2016</stp>
        <stp>[Bbg_Market_Data_CL.xlsm]data!R114C11</stp>
        <tr r="K114" s="1"/>
      </tp>
      <tp t="s">
        <v>#N/A Requesting Data...</v>
        <stp/>
        <stp>##V3_BDHV12</stp>
        <stp>CL1 Comdty</stp>
        <stp>MOV_AVG_30D</stp>
        <stp>30/04/2015</stp>
        <stp>30/04/2015</stp>
        <stp>[Bbg_Market_Data_CL.xlsm]data!R486C11</stp>
        <tr r="K486" s="1"/>
      </tp>
      <tp t="s">
        <v>#N/A Requesting Data...</v>
        <stp/>
        <stp>##V3_BDHV12</stp>
        <stp>CL2 Comdty</stp>
        <stp>MOV_AVG_30D</stp>
        <stp>30/04/2015</stp>
        <stp>30/04/2015</stp>
        <stp>[Bbg_Market_Data_CL.xlsm]data!R486C11</stp>
        <tr r="K486" s="1"/>
      </tp>
      <tp t="s">
        <v>#N/A Requesting Data...</v>
        <stp/>
        <stp>##V3_BDHV12</stp>
        <stp>CL1 Comdty</stp>
        <stp>MOV_AVG_30D</stp>
        <stp>06/11/2015</stp>
        <stp>06/11/2015</stp>
        <stp>[Bbg_Market_Data_CL.xlsm]data!R354C11</stp>
        <tr r="K354" s="1"/>
      </tp>
      <tp t="s">
        <v>#N/A Requesting Data...</v>
        <stp/>
        <stp>##V3_BDHV12</stp>
        <stp>CL2 Comdty</stp>
        <stp>MOV_AVG_30D</stp>
        <stp>06/11/2015</stp>
        <stp>06/11/2015</stp>
        <stp>[Bbg_Market_Data_CL.xlsm]data!R354C11</stp>
        <tr r="K354" s="1"/>
      </tp>
      <tp t="s">
        <v>#N/A Requesting Data...</v>
        <stp/>
        <stp>##V3_BDHV12</stp>
        <stp>CL1 Comdty</stp>
        <stp>MOV_AVG_30D</stp>
        <stp>16/10/2015</stp>
        <stp>16/10/2015</stp>
        <stp>[Bbg_Market_Data_CL.xlsm]data!R369C11</stp>
        <tr r="K369" s="1"/>
      </tp>
      <tp t="s">
        <v>#N/A Requesting Data...</v>
        <stp/>
        <stp>##V3_BDHV12</stp>
        <stp>CL2 Comdty</stp>
        <stp>MOV_AVG_30D</stp>
        <stp>16/10/2015</stp>
        <stp>16/10/2015</stp>
        <stp>[Bbg_Market_Data_CL.xlsm]data!R369C11</stp>
        <tr r="K369" s="1"/>
      </tp>
      <tp t="s">
        <v>#N/A Requesting Data...</v>
        <stp/>
        <stp>##V3_BDHV12</stp>
        <stp>CL2 Comdty</stp>
        <stp>MOV_AVG_30D</stp>
        <stp>01/06/2015</stp>
        <stp>01/06/2015</stp>
        <stp>[Bbg_Market_Data_CL.xlsm]data!R465C11</stp>
        <tr r="K465" s="1"/>
      </tp>
      <tp t="s">
        <v>#N/A Requesting Data...</v>
        <stp/>
        <stp>##V3_BDHV12</stp>
        <stp>CL1 Comdty</stp>
        <stp>MOV_AVG_30D</stp>
        <stp>01/06/2015</stp>
        <stp>01/06/2015</stp>
        <stp>[Bbg_Market_Data_CL.xlsm]data!R465C11</stp>
        <tr r="K465" s="1"/>
      </tp>
      <tp t="s">
        <v>#N/A Requesting Data...</v>
        <stp/>
        <stp>##V3_BDHV12</stp>
        <stp>CL2 Comdty</stp>
        <stp>MOV_AVG_30D</stp>
        <stp>05/01/2016</stp>
        <stp>05/01/2016</stp>
        <stp>[Bbg_Market_Data_CL.xlsm]data!R316C11</stp>
        <tr r="K316" s="1"/>
      </tp>
      <tp t="s">
        <v>#N/A Requesting Data...</v>
        <stp/>
        <stp>##V3_BDHV12</stp>
        <stp>CL1 Comdty</stp>
        <stp>MOV_AVG_30D</stp>
        <stp>05/01/2016</stp>
        <stp>05/01/2016</stp>
        <stp>[Bbg_Market_Data_CL.xlsm]data!R316C11</stp>
        <tr r="K316" s="1"/>
      </tp>
      <tp t="s">
        <v>#N/A Requesting Data...</v>
        <stp/>
        <stp>##V3_BDHV12</stp>
        <stp>CL1 Comdty</stp>
        <stp>MOV_AVG_30D</stp>
        <stp>21/04/2015</stp>
        <stp>21/04/2015</stp>
        <stp>[Bbg_Market_Data_CL.xlsm]data!R493C11</stp>
        <tr r="K493" s="1"/>
      </tp>
      <tp t="s">
        <v>#N/A Requesting Data...</v>
        <stp/>
        <stp>##V3_BDHV12</stp>
        <stp>CL2 Comdty</stp>
        <stp>MOV_AVG_30D</stp>
        <stp>21/04/2015</stp>
        <stp>21/04/2015</stp>
        <stp>[Bbg_Market_Data_CL.xlsm]data!R493C11</stp>
        <tr r="K493" s="1"/>
      </tp>
      <tp t="s">
        <v>#N/A Requesting Data...</v>
        <stp/>
        <stp>##V3_BDHV12</stp>
        <stp>CL2 Comdty</stp>
        <stp>MOV_AVG_30D</stp>
        <stp>24/02/2016</stp>
        <stp>24/02/2016</stp>
        <stp>[Bbg_Market_Data_CL.xlsm]data!R283C11</stp>
        <tr r="K283" s="1"/>
      </tp>
      <tp t="s">
        <v>#N/A Requesting Data...</v>
        <stp/>
        <stp>##V3_BDHV12</stp>
        <stp>CL1 Comdty</stp>
        <stp>MOV_AVG_30D</stp>
        <stp>24/02/2016</stp>
        <stp>24/02/2016</stp>
        <stp>[Bbg_Market_Data_CL.xlsm]data!R283C11</stp>
        <tr r="K283" s="1"/>
      </tp>
      <tp t="s">
        <v>#N/A Requesting Data...</v>
        <stp/>
        <stp>##V3_BDHV12</stp>
        <stp>CL2 Comdty</stp>
        <stp>MOV_AVG_30D</stp>
        <stp>07/03/2016</stp>
        <stp>07/03/2016</stp>
        <stp>[Bbg_Market_Data_CL.xlsm]data!R275C11</stp>
        <tr r="K275" s="1"/>
      </tp>
      <tp t="s">
        <v>#N/A Requesting Data...</v>
        <stp/>
        <stp>##V3_BDHV12</stp>
        <stp>CL1 Comdty</stp>
        <stp>MOV_AVG_30D</stp>
        <stp>07/03/2016</stp>
        <stp>07/03/2016</stp>
        <stp>[Bbg_Market_Data_CL.xlsm]data!R275C11</stp>
        <tr r="K275" s="1"/>
      </tp>
      <tp t="s">
        <v>#N/A Requesting Data...</v>
        <stp/>
        <stp>##V3_BDHV12</stp>
        <stp>CL2 Comdty</stp>
        <stp>MOV_AVG_30D</stp>
        <stp>14/11/2016</stp>
        <stp>14/11/2016</stp>
        <stp>[Bbg_Market_Data_CL.xlsm]data!R102C11</stp>
        <tr r="K102" s="1"/>
      </tp>
      <tp t="s">
        <v>#N/A Requesting Data...</v>
        <stp/>
        <stp>##V3_BDHV12</stp>
        <stp>CL1 Comdty</stp>
        <stp>MOV_AVG_30D</stp>
        <stp>14/11/2016</stp>
        <stp>14/11/2016</stp>
        <stp>[Bbg_Market_Data_CL.xlsm]data!R102C11</stp>
        <tr r="K102" s="1"/>
      </tp>
      <tp t="s">
        <v>#N/A Requesting Data...</v>
        <stp/>
        <stp>##V3_BDHV12</stp>
        <stp>CL1 Comdty</stp>
        <stp>MOV_AVG_30D</stp>
        <stp>04/10/2016</stp>
        <stp>04/10/2016</stp>
        <stp>[Bbg_Market_Data_CL.xlsm]data!R129C11</stp>
        <tr r="K129" s="1"/>
      </tp>
      <tp t="s">
        <v>#N/A Requesting Data...</v>
        <stp/>
        <stp>##V3_BDHV12</stp>
        <stp>CL2 Comdty</stp>
        <stp>MOV_AVG_30D</stp>
        <stp>04/10/2016</stp>
        <stp>04/10/2016</stp>
        <stp>[Bbg_Market_Data_CL.xlsm]data!R129C11</stp>
        <tr r="K129" s="1"/>
      </tp>
      <tp t="s">
        <v>#N/A Requesting Data...</v>
        <stp/>
        <stp>##V3_BDHV12</stp>
        <stp>CL1 Comdty</stp>
        <stp>MOV_AVG_30D</stp>
        <stp>22/07/2015</stp>
        <stp>22/07/2015</stp>
        <stp>[Bbg_Market_Data_CL.xlsm]data!R429C11</stp>
        <tr r="K429" s="1"/>
      </tp>
      <tp t="s">
        <v>#N/A Requesting Data...</v>
        <stp/>
        <stp>##V3_BDHV12</stp>
        <stp>CL2 Comdty</stp>
        <stp>MOV_AVG_30D</stp>
        <stp>22/07/2015</stp>
        <stp>22/07/2015</stp>
        <stp>[Bbg_Market_Data_CL.xlsm]data!R429C11</stp>
        <tr r="K429" s="1"/>
      </tp>
      <tp t="s">
        <v>#N/A Requesting Data...</v>
        <stp/>
        <stp>##V3_BDHV12</stp>
        <stp>CL2 Comdty</stp>
        <stp>MOV_AVG_30D</stp>
        <stp>17/02/2016</stp>
        <stp>17/02/2016</stp>
        <stp>[Bbg_Market_Data_CL.xlsm]data!R288C11</stp>
        <tr r="K288" s="1"/>
      </tp>
      <tp t="s">
        <v>#N/A Requesting Data...</v>
        <stp/>
        <stp>##V3_BDHV12</stp>
        <stp>CL1 Comdty</stp>
        <stp>MOV_AVG_30D</stp>
        <stp>17/02/2016</stp>
        <stp>17/02/2016</stp>
        <stp>[Bbg_Market_Data_CL.xlsm]data!R288C11</stp>
        <tr r="K288" s="1"/>
      </tp>
      <tp t="s">
        <v>#N/A Requesting Data...</v>
        <stp/>
        <stp>##V3_BDHV12</stp>
        <stp>CL1 Comdty</stp>
        <stp>MOV_AVG_30D</stp>
        <stp>24/11/2015</stp>
        <stp>24/11/2015</stp>
        <stp>[Bbg_Market_Data_CL.xlsm]data!R343C11</stp>
        <tr r="K343" s="1"/>
      </tp>
      <tp t="s">
        <v>#N/A Requesting Data...</v>
        <stp/>
        <stp>##V3_BDHV12</stp>
        <stp>CL2 Comdty</stp>
        <stp>MOV_AVG_30D</stp>
        <stp>24/11/2015</stp>
        <stp>24/11/2015</stp>
        <stp>[Bbg_Market_Data_CL.xlsm]data!R343C11</stp>
        <tr r="K343" s="1"/>
      </tp>
      <tp t="s">
        <v>#N/A Requesting Data...</v>
        <stp/>
        <stp>##V3_BDHV12</stp>
        <stp>CL1 Comdty</stp>
        <stp>MOV_AVG_30D</stp>
        <stp>23/06/2015</stp>
        <stp>23/06/2015</stp>
        <stp>[Bbg_Market_Data_CL.xlsm]data!R449C11</stp>
        <tr r="K449" s="1"/>
      </tp>
      <tp t="s">
        <v>#N/A Requesting Data...</v>
        <stp/>
        <stp>##V3_BDHV12</stp>
        <stp>CL2 Comdty</stp>
        <stp>MOV_AVG_30D</stp>
        <stp>23/06/2015</stp>
        <stp>23/06/2015</stp>
        <stp>[Bbg_Market_Data_CL.xlsm]data!R449C11</stp>
        <tr r="K449" s="1"/>
      </tp>
      <tp t="s">
        <v>#N/A Requesting Data...</v>
        <stp/>
        <stp>##V3_BDHV12</stp>
        <stp>CL2 Comdty</stp>
        <stp>MOV_AVG_30D</stp>
        <stp>13/05/2015</stp>
        <stp>13/05/2015</stp>
        <stp>[Bbg_Market_Data_CL.xlsm]data!R477C11</stp>
        <tr r="K477" s="1"/>
      </tp>
      <tp t="s">
        <v>#N/A Requesting Data...</v>
        <stp/>
        <stp>##V3_BDHV12</stp>
        <stp>CL1 Comdty</stp>
        <stp>MOV_AVG_30D</stp>
        <stp>13/05/2015</stp>
        <stp>13/05/2015</stp>
        <stp>[Bbg_Market_Data_CL.xlsm]data!R477C11</stp>
        <tr r="K477" s="1"/>
      </tp>
      <tp t="s">
        <v>#N/A Requesting Data...</v>
        <stp/>
        <stp>##V3_BDHV12</stp>
        <stp>CL2 Comdty</stp>
        <stp>MOV_AVG_30D</stp>
        <stp>16/03/2016</stp>
        <stp>16/03/2016</stp>
        <stp>[Bbg_Market_Data_CL.xlsm]data!R268C11</stp>
        <tr r="K268" s="1"/>
      </tp>
      <tp t="s">
        <v>#N/A Requesting Data...</v>
        <stp/>
        <stp>##V3_BDHV12</stp>
        <stp>CL1 Comdty</stp>
        <stp>MOV_AVG_30D</stp>
        <stp>16/03/2016</stp>
        <stp>16/03/2016</stp>
        <stp>[Bbg_Market_Data_CL.xlsm]data!R268C11</stp>
        <tr r="K268" s="1"/>
      </tp>
      <tp t="s">
        <v>#N/A Requesting Data...</v>
        <stp/>
        <stp>##V3_BDHV12</stp>
        <stp>CL2 Comdty</stp>
        <stp>MOV_AVG_30D</stp>
        <stp>27/01/2016</stp>
        <stp>27/01/2016</stp>
        <stp>[Bbg_Market_Data_CL.xlsm]data!R301C11</stp>
        <tr r="K301" s="1"/>
      </tp>
      <tp t="s">
        <v>#N/A Requesting Data...</v>
        <stp/>
        <stp>##V3_BDHV12</stp>
        <stp>CL1 Comdty</stp>
        <stp>MOV_AVG_30D</stp>
        <stp>27/01/2016</stp>
        <stp>27/01/2016</stp>
        <stp>[Bbg_Market_Data_CL.xlsm]data!R301C11</stp>
        <tr r="K301" s="1"/>
      </tp>
      <tp t="s">
        <v>#N/A Requesting Data...</v>
        <stp/>
        <stp>##V3_BDHV12</stp>
        <stp>CL2 Comdty</stp>
        <stp>MOV_AVG_30D</stp>
        <stp>14/12/2015</stp>
        <stp>14/12/2015</stp>
        <stp>[Bbg_Market_Data_CL.xlsm]data!R330C11</stp>
        <tr r="K330" s="1"/>
      </tp>
      <tp t="s">
        <v>#N/A Requesting Data...</v>
        <stp/>
        <stp>##V3_BDHV12</stp>
        <stp>CL1 Comdty</stp>
        <stp>MOV_AVG_30D</stp>
        <stp>14/12/2015</stp>
        <stp>14/12/2015</stp>
        <stp>[Bbg_Market_Data_CL.xlsm]data!R330C11</stp>
        <tr r="K330" s="1"/>
      </tp>
      <tp t="s">
        <v>#N/A Requesting Data...</v>
        <stp/>
        <stp>##V3_BDHV12</stp>
        <stp>CL1 Comdty</stp>
        <stp>MOV_AVG_30D</stp>
        <stp>11/04/2016</stp>
        <stp>11/04/2016</stp>
        <stp>[Bbg_Market_Data_CL.xlsm]data!R251C11</stp>
        <tr r="K251" s="1"/>
      </tp>
      <tp t="s">
        <v>#N/A Requesting Data...</v>
        <stp/>
        <stp>##V3_BDHV12</stp>
        <stp>CL2 Comdty</stp>
        <stp>MOV_AVG_30D</stp>
        <stp>11/04/2016</stp>
        <stp>11/04/2016</stp>
        <stp>[Bbg_Market_Data_CL.xlsm]data!R251C11</stp>
        <tr r="K251" s="1"/>
      </tp>
      <tp t="s">
        <v>#N/A Requesting Data...</v>
        <stp/>
        <stp>##V3_BDHV12</stp>
        <stp>CL1 Comdty</stp>
        <stp>MOV_AVG_30D</stp>
        <stp>12/07/2016</stp>
        <stp>12/07/2016</stp>
        <stp>[Bbg_Market_Data_CL.xlsm]data!R187C11</stp>
        <tr r="K187" s="1"/>
      </tp>
      <tp t="s">
        <v>#N/A Requesting Data...</v>
        <stp/>
        <stp>##V3_BDHV12</stp>
        <stp>CL2 Comdty</stp>
        <stp>MOV_AVG_30D</stp>
        <stp>12/07/2016</stp>
        <stp>12/07/2016</stp>
        <stp>[Bbg_Market_Data_CL.xlsm]data!R187C11</stp>
        <tr r="K187" s="1"/>
      </tp>
      <tp t="s">
        <v>#N/A Requesting Data...</v>
        <stp/>
        <stp>##V3_BDHV12</stp>
        <stp>CL2 Comdty</stp>
        <stp>MOV_AVG_30D</stp>
        <stp>20/06/2016</stp>
        <stp>20/06/2016</stp>
        <stp>[Bbg_Market_Data_CL.xlsm]data!R202C11</stp>
        <tr r="K202" s="1"/>
      </tp>
      <tp t="s">
        <v>#N/A Requesting Data...</v>
        <stp/>
        <stp>##V3_BDHV12</stp>
        <stp>CL1 Comdty</stp>
        <stp>MOV_AVG_30D</stp>
        <stp>20/06/2016</stp>
        <stp>20/06/2016</stp>
        <stp>[Bbg_Market_Data_CL.xlsm]data!R202C11</stp>
        <tr r="K202" s="1"/>
      </tp>
      <tp t="s">
        <v>#N/A Requesting Data...</v>
        <stp/>
        <stp>##V3_BDHV12</stp>
        <stp>CL1 Comdty</stp>
        <stp>MOV_AVG_30D</stp>
        <stp>10/05/2016</stp>
        <stp>10/05/2016</stp>
        <stp>[Bbg_Market_Data_CL.xlsm]data!R230C11</stp>
        <tr r="K230" s="1"/>
      </tp>
      <tp t="s">
        <v>#N/A Requesting Data...</v>
        <stp/>
        <stp>##V3_BDHV12</stp>
        <stp>CL2 Comdty</stp>
        <stp>MOV_AVG_30D</stp>
        <stp>10/05/2016</stp>
        <stp>10/05/2016</stp>
        <stp>[Bbg_Market_Data_CL.xlsm]data!R230C11</stp>
        <tr r="K230" s="1"/>
      </tp>
      <tp t="s">
        <v>#N/A Requesting Data...</v>
        <stp/>
        <stp>##V3_BDHV12</stp>
        <stp>CL1 Comdty</stp>
        <stp>MOV_AVG_30D</stp>
        <stp>13/06/2016</stp>
        <stp>13/06/2016</stp>
        <stp>[Bbg_Market_Data_CL.xlsm]data!R207C11</stp>
        <tr r="K207" s="1"/>
      </tp>
      <tp t="s">
        <v>#N/A Requesting Data...</v>
        <stp/>
        <stp>##V3_BDHV12</stp>
        <stp>CL2 Comdty</stp>
        <stp>MOV_AVG_30D</stp>
        <stp>13/06/2016</stp>
        <stp>13/06/2016</stp>
        <stp>[Bbg_Market_Data_CL.xlsm]data!R207C11</stp>
        <tr r="K207" s="1"/>
      </tp>
      <tp t="s">
        <v>#N/A Requesting Data...</v>
        <stp/>
        <stp>##V3_BDHV12</stp>
        <stp>CL2 Comdty</stp>
        <stp>MOV_AVG_30D</stp>
        <stp>23/05/2016</stp>
        <stp>23/05/2016</stp>
        <stp>[Bbg_Market_Data_CL.xlsm]data!R221C11</stp>
        <tr r="K221" s="1"/>
      </tp>
      <tp t="s">
        <v>#N/A Requesting Data...</v>
        <stp/>
        <stp>##V3_BDHV12</stp>
        <stp>CL1 Comdty</stp>
        <stp>MOV_AVG_30D</stp>
        <stp>23/05/2016</stp>
        <stp>23/05/2016</stp>
        <stp>[Bbg_Market_Data_CL.xlsm]data!R221C11</stp>
        <tr r="K221" s="1"/>
      </tp>
      <tp t="s">
        <v>#N/A Requesting Data...</v>
        <stp/>
        <stp>##V3_BDHV12</stp>
        <stp>CL1 Comdty</stp>
        <stp>MOV_AVG_30D</stp>
        <stp>22/04/2016</stp>
        <stp>22/04/2016</stp>
        <stp>[Bbg_Market_Data_CL.xlsm]data!R242C11</stp>
        <tr r="K242" s="1"/>
      </tp>
      <tp t="s">
        <v>#N/A Requesting Data...</v>
        <stp/>
        <stp>##V3_BDHV12</stp>
        <stp>CL2 Comdty</stp>
        <stp>MOV_AVG_30D</stp>
        <stp>22/04/2016</stp>
        <stp>22/04/2016</stp>
        <stp>[Bbg_Market_Data_CL.xlsm]data!R242C11</stp>
        <tr r="K242" s="1"/>
      </tp>
      <tp t="s">
        <v>#N/A Requesting Data...</v>
        <stp/>
        <stp>##V3_BDHV12</stp>
        <stp>CL2 Comdty</stp>
        <stp>MOV_AVG_30D</stp>
        <stp>02/06/2016</stp>
        <stp>02/06/2016</stp>
        <stp>[Bbg_Market_Data_CL.xlsm]data!R214C11</stp>
        <tr r="K214" s="1"/>
      </tp>
      <tp t="s">
        <v>#N/A Requesting Data...</v>
        <stp/>
        <stp>##V3_BDHV12</stp>
        <stp>CL1 Comdty</stp>
        <stp>MOV_AVG_30D</stp>
        <stp>02/06/2016</stp>
        <stp>02/06/2016</stp>
        <stp>[Bbg_Market_Data_CL.xlsm]data!R214C11</stp>
        <tr r="K214" s="1"/>
      </tp>
      <tp t="s">
        <v>#N/A Requesting Data...</v>
        <stp/>
        <stp>##V3_BDHV12</stp>
        <stp>CL1 Comdty</stp>
        <stp>MOV_AVG_30D</stp>
        <stp>21/07/2016</stp>
        <stp>21/07/2016</stp>
        <stp>[Bbg_Market_Data_CL.xlsm]data!R180C11</stp>
        <tr r="K180" s="1"/>
      </tp>
      <tp t="s">
        <v>#N/A Requesting Data...</v>
        <stp/>
        <stp>##V3_BDHV12</stp>
        <stp>CL2 Comdty</stp>
        <stp>MOV_AVG_30D</stp>
        <stp>21/07/2016</stp>
        <stp>21/07/2016</stp>
        <stp>[Bbg_Market_Data_CL.xlsm]data!R180C11</stp>
        <tr r="K180" s="1"/>
      </tp>
      <tp t="s">
        <v>#N/A Requesting Data...</v>
        <stp/>
        <stp>##V3_BDHV12</stp>
        <stp>CL2 Comdty</stp>
        <stp>MOV_AVG_30D</stp>
        <stp>27/11/2015</stp>
        <stp>27/11/2015</stp>
        <stp>[Bbg_Market_Data_CL.xlsm]data!R341C11</stp>
        <tr r="K341" s="1"/>
      </tp>
      <tp t="s">
        <v>#N/A Requesting Data...</v>
        <stp/>
        <stp>##V3_BDHV12</stp>
        <stp>CL1 Comdty</stp>
        <stp>MOV_AVG_30D</stp>
        <stp>27/11/2015</stp>
        <stp>27/11/2015</stp>
        <stp>[Bbg_Market_Data_CL.xlsm]data!R341C11</stp>
        <tr r="K341" s="1"/>
      </tp>
      <tp t="s">
        <v>#N/A Requesting Data...</v>
        <stp/>
        <stp>##V3_BDHV12</stp>
        <stp>CL2 Comdty</stp>
        <stp>MOV_AVG_30D</stp>
        <stp>15/03/2016</stp>
        <stp>15/03/2016</stp>
        <stp>[Bbg_Market_Data_CL.xlsm]data!R269C11</stp>
        <tr r="K269" s="1"/>
      </tp>
      <tp t="s">
        <v>#N/A Requesting Data...</v>
        <stp/>
        <stp>##V3_BDHV12</stp>
        <stp>CL1 Comdty</stp>
        <stp>MOV_AVG_30D</stp>
        <stp>15/03/2016</stp>
        <stp>15/03/2016</stp>
        <stp>[Bbg_Market_Data_CL.xlsm]data!R269C11</stp>
        <tr r="K269" s="1"/>
      </tp>
      <tp t="s">
        <v>#N/A Requesting Data...</v>
        <stp/>
        <stp>##V3_BDHV12</stp>
        <stp>CL1 Comdty</stp>
        <stp>MOV_AVG_30D</stp>
        <stp>17/12/2015</stp>
        <stp>17/12/2015</stp>
        <stp>[Bbg_Market_Data_CL.xlsm]data!R327C11</stp>
        <tr r="K327" s="1"/>
      </tp>
      <tp t="s">
        <v>#N/A Requesting Data...</v>
        <stp/>
        <stp>##V3_BDHV12</stp>
        <stp>CL2 Comdty</stp>
        <stp>MOV_AVG_30D</stp>
        <stp>17/12/2015</stp>
        <stp>17/12/2015</stp>
        <stp>[Bbg_Market_Data_CL.xlsm]data!R327C11</stp>
        <tr r="K327" s="1"/>
      </tp>
      <tp t="s">
        <v>#N/A Requesting Data...</v>
        <stp/>
        <stp>##V3_BDHV12</stp>
        <stp>CL2 Comdty</stp>
        <stp>MOV_AVG_30D</stp>
        <stp>30/07/2015</stp>
        <stp>30/07/2015</stp>
        <stp>[Bbg_Market_Data_CL.xlsm]data!R423C11</stp>
        <tr r="K423" s="1"/>
      </tp>
      <tp t="s">
        <v>#N/A Requesting Data...</v>
        <stp/>
        <stp>##V3_BDHV12</stp>
        <stp>CL1 Comdty</stp>
        <stp>MOV_AVG_30D</stp>
        <stp>30/07/2015</stp>
        <stp>30/07/2015</stp>
        <stp>[Bbg_Market_Data_CL.xlsm]data!R423C11</stp>
        <tr r="K423" s="1"/>
      </tp>
      <tp t="s">
        <v>#N/A Requesting Data...</v>
        <stp/>
        <stp>##V3_BDHV12</stp>
        <stp>CL2 Comdty</stp>
        <stp>MOV_AVG_30D</stp>
        <stp>05/02/2016</stp>
        <stp>05/02/2016</stp>
        <stp>[Bbg_Market_Data_CL.xlsm]data!R294C11</stp>
        <tr r="K294" s="1"/>
      </tp>
      <tp t="s">
        <v>#N/A Requesting Data...</v>
        <stp/>
        <stp>##V3_BDHV12</stp>
        <stp>CL1 Comdty</stp>
        <stp>MOV_AVG_30D</stp>
        <stp>05/02/2016</stp>
        <stp>05/02/2016</stp>
        <stp>[Bbg_Market_Data_CL.xlsm]data!R294C11</stp>
        <tr r="K294" s="1"/>
      </tp>
      <tp t="s">
        <v>#N/A Requesting Data...</v>
        <stp/>
        <stp>##V3_BDHV12</stp>
        <stp>CL1 Comdty</stp>
        <stp>MOV_AVG_30D</stp>
        <stp>04/03/2016</stp>
        <stp>04/03/2016</stp>
        <stp>[Bbg_Market_Data_CL.xlsm]data!R276C11</stp>
        <tr r="K276" s="1"/>
      </tp>
      <tp t="s">
        <v>#N/A Requesting Data...</v>
        <stp/>
        <stp>##V3_BDHV12</stp>
        <stp>CL2 Comdty</stp>
        <stp>MOV_AVG_30D</stp>
        <stp>04/03/2016</stp>
        <stp>04/03/2016</stp>
        <stp>[Bbg_Market_Data_CL.xlsm]data!R276C11</stp>
        <tr r="K276" s="1"/>
      </tp>
      <tp t="s">
        <v>#N/A Requesting Data...</v>
        <stp/>
        <stp>##V3_BDHV12</stp>
        <stp>CL1 Comdty</stp>
        <stp>MOV_AVG_30D</stp>
        <stp>26/10/2015</stp>
        <stp>26/10/2015</stp>
        <stp>[Bbg_Market_Data_CL.xlsm]data!R363C11</stp>
        <tr r="K363" s="1"/>
      </tp>
      <tp t="s">
        <v>#N/A Requesting Data...</v>
        <stp/>
        <stp>##V3_BDHV12</stp>
        <stp>CL2 Comdty</stp>
        <stp>MOV_AVG_30D</stp>
        <stp>26/10/2015</stp>
        <stp>26/10/2015</stp>
        <stp>[Bbg_Market_Data_CL.xlsm]data!R363C11</stp>
        <tr r="K363" s="1"/>
      </tp>
      <tp t="s">
        <v>#N/A Requesting Data...</v>
        <stp/>
        <stp>##V3_BDHV12</stp>
        <stp>CL1 Comdty</stp>
        <stp>MOV_AVG_30D</stp>
        <stp>21/07/2015</stp>
        <stp>21/07/2015</stp>
        <stp>[Bbg_Market_Data_CL.xlsm]data!R430C11</stp>
        <tr r="K430" s="1"/>
      </tp>
      <tp t="s">
        <v>#N/A Requesting Data...</v>
        <stp/>
        <stp>##V3_BDHV12</stp>
        <stp>CL2 Comdty</stp>
        <stp>MOV_AVG_30D</stp>
        <stp>07/10/2016</stp>
        <stp>07/10/2016</stp>
        <stp>[Bbg_Market_Data_CL.xlsm]data!R126C11</stp>
        <tr r="K126" s="1"/>
      </tp>
      <tp t="s">
        <v>#N/A Requesting Data...</v>
        <stp/>
        <stp>##V3_BDHV12</stp>
        <stp>CL1 Comdty</stp>
        <stp>MOV_AVG_30D</stp>
        <stp>07/10/2016</stp>
        <stp>07/10/2016</stp>
        <stp>[Bbg_Market_Data_CL.xlsm]data!R126C11</stp>
        <tr r="K126" s="1"/>
      </tp>
      <tp t="s">
        <v>#N/A Requesting Data...</v>
        <stp/>
        <stp>##V3_BDHV12</stp>
        <stp>CL2 Comdty</stp>
        <stp>MOV_AVG_30D</stp>
        <stp>21/07/2015</stp>
        <stp>21/07/2015</stp>
        <stp>[Bbg_Market_Data_CL.xlsm]data!R430C11</stp>
        <tr r="K430" s="1"/>
      </tp>
      <tp t="s">
        <v>#N/A Requesting Data...</v>
        <stp/>
        <stp>##V3_BDHV12</stp>
        <stp>CL1 Comdty</stp>
        <stp>MOV_AVG_30D</stp>
        <stp>01/05/2015</stp>
        <stp>01/05/2015</stp>
        <stp>[Bbg_Market_Data_CL.xlsm]data!R485C11</stp>
        <tr r="K485" s="1"/>
      </tp>
      <tp t="s">
        <v>#N/A Requesting Data...</v>
        <stp/>
        <stp>##V3_BDHV12</stp>
        <stp>CL2 Comdty</stp>
        <stp>MOV_AVG_30D</stp>
        <stp>01/05/2015</stp>
        <stp>01/05/2015</stp>
        <stp>[Bbg_Market_Data_CL.xlsm]data!R485C11</stp>
        <tr r="K485" s="1"/>
      </tp>
      <tp t="s">
        <v>#N/A Requesting Data...</v>
        <stp/>
        <stp>##V3_BDHV12</stp>
        <stp>CL1 Comdty</stp>
        <stp>MOV_AVG_30D</stp>
        <stp>05/11/2015</stp>
        <stp>05/11/2015</stp>
        <stp>[Bbg_Market_Data_CL.xlsm]data!R355C11</stp>
        <tr r="K355" s="1"/>
      </tp>
      <tp t="s">
        <v>#N/A Requesting Data...</v>
        <stp/>
        <stp>##V3_BDHV12</stp>
        <stp>CL2 Comdty</stp>
        <stp>MOV_AVG_30D</stp>
        <stp>05/11/2015</stp>
        <stp>05/11/2015</stp>
        <stp>[Bbg_Market_Data_CL.xlsm]data!R355C11</stp>
        <tr r="K355" s="1"/>
      </tp>
      <tp t="s">
        <v>#N/A Requesting Data...</v>
        <stp/>
        <stp>##V3_BDHV12</stp>
        <stp>CL2 Comdty</stp>
        <stp>MOV_AVG_30D</stp>
        <stp>02/06/2015</stp>
        <stp>02/06/2015</stp>
        <stp>[Bbg_Market_Data_CL.xlsm]data!R464C11</stp>
        <tr r="K464" s="1"/>
      </tp>
      <tp t="s">
        <v>#N/A Requesting Data...</v>
        <stp/>
        <stp>##V3_BDHV12</stp>
        <stp>CL1 Comdty</stp>
        <stp>MOV_AVG_30D</stp>
        <stp>15/10/2015</stp>
        <stp>15/10/2015</stp>
        <stp>[Bbg_Market_Data_CL.xlsm]data!R370C11</stp>
        <tr r="K370" s="1"/>
      </tp>
      <tp t="s">
        <v>#N/A Requesting Data...</v>
        <stp/>
        <stp>##V3_BDHV12</stp>
        <stp>CL2 Comdty</stp>
        <stp>MOV_AVG_30D</stp>
        <stp>15/10/2015</stp>
        <stp>15/10/2015</stp>
        <stp>[Bbg_Market_Data_CL.xlsm]data!R370C11</stp>
        <tr r="K370" s="1"/>
      </tp>
      <tp t="s">
        <v>#N/A Requesting Data...</v>
        <stp/>
        <stp>##V3_BDHV12</stp>
        <stp>CL1 Comdty</stp>
        <stp>MOV_AVG_30D</stp>
        <stp>02/06/2015</stp>
        <stp>02/06/2015</stp>
        <stp>[Bbg_Market_Data_CL.xlsm]data!R464C11</stp>
        <tr r="K464" s="1"/>
      </tp>
      <tp t="s">
        <v>#N/A Requesting Data...</v>
        <stp/>
        <stp>##V3_BDHV12</stp>
        <stp>CL1 Comdty</stp>
        <stp>MOV_AVG_30D</stp>
        <stp>06/01/2016</stp>
        <stp>06/01/2016</stp>
        <stp>[Bbg_Market_Data_CL.xlsm]data!R315C11</stp>
        <tr r="K315" s="1"/>
      </tp>
      <tp t="s">
        <v>#N/A Requesting Data...</v>
        <stp/>
        <stp>##V3_BDHV12</stp>
        <stp>CL2 Comdty</stp>
        <stp>MOV_AVG_30D</stp>
        <stp>06/01/2016</stp>
        <stp>06/01/2016</stp>
        <stp>[Bbg_Market_Data_CL.xlsm]data!R315C11</stp>
        <tr r="K315" s="1"/>
      </tp>
      <tp t="s">
        <v>#N/A Requesting Data...</v>
        <stp/>
        <stp>##V3_BDHV12</stp>
        <stp>CL1 Comdty</stp>
        <stp>MOV_AVG_30D</stp>
        <stp>22/04/2015</stp>
        <stp>22/04/2015</stp>
        <stp>[Bbg_Market_Data_CL.xlsm]data!R492C11</stp>
        <tr r="K492" s="1"/>
      </tp>
      <tp t="s">
        <v>#N/A Requesting Data...</v>
        <stp/>
        <stp>##V3_BDHV12</stp>
        <stp>CL2 Comdty</stp>
        <stp>MOV_AVG_30D</stp>
        <stp>22/04/2015</stp>
        <stp>22/04/2015</stp>
        <stp>[Bbg_Market_Data_CL.xlsm]data!R492C11</stp>
        <tr r="K492" s="1"/>
      </tp>
      <tp t="s">
        <v>#N/A Requesting Data...</v>
        <stp/>
        <stp>##V3_BDHV12</stp>
        <stp>CL2 Comdty</stp>
        <stp>MOV_AVG_30D</stp>
        <stp>25/10/2016</stp>
        <stp>25/10/2016</stp>
        <stp>[Bbg_Market_Data_CL.xlsm]data!R115C11</stp>
        <tr r="K115" s="1"/>
      </tp>
      <tp t="s">
        <v>#N/A Requesting Data...</v>
        <stp/>
        <stp>##V3_BDHV12</stp>
        <stp>CL1 Comdty</stp>
        <stp>MOV_AVG_30D</stp>
        <stp>25/10/2016</stp>
        <stp>25/10/2016</stp>
        <stp>[Bbg_Market_Data_CL.xlsm]data!R115C11</stp>
        <tr r="K115" s="1"/>
      </tp>
      <tp t="s">
        <v>#N/A Requesting Data...</v>
        <stp/>
        <stp>##V3_BDHV12</stp>
        <stp>CL2 Comdty</stp>
        <stp>MOV_AVG_30D</stp>
        <stp>24/12/2015</stp>
        <stp>24/12/2015</stp>
        <stp>[Bbg_Market_Data_CL.xlsm]data!R322C11</stp>
        <tr r="K322" s="1"/>
      </tp>
      <tp t="s">
        <v>#N/A Requesting Data...</v>
        <stp/>
        <stp>##V3_BDHV12</stp>
        <stp>CL1 Comdty</stp>
        <stp>MOV_AVG_30D</stp>
        <stp>24/12/2015</stp>
        <stp>24/12/2015</stp>
        <stp>[Bbg_Market_Data_CL.xlsm]data!R322C11</stp>
        <tr r="K322" s="1"/>
      </tp>
      <tp t="s">
        <v>#N/A Requesting Data...</v>
        <stp/>
        <stp>##V3_BDHV12</stp>
        <stp>CL1 Comdty</stp>
        <stp>MOV_AVG_30D</stp>
        <stp>21/04/2016</stp>
        <stp>21/04/2016</stp>
        <stp>[Bbg_Market_Data_CL.xlsm]data!R243C11</stp>
        <tr r="K243" s="1"/>
      </tp>
      <tp t="s">
        <v>#N/A Requesting Data...</v>
        <stp/>
        <stp>##V3_BDHV12</stp>
        <stp>CL2 Comdty</stp>
        <stp>MOV_AVG_30D</stp>
        <stp>21/04/2016</stp>
        <stp>21/04/2016</stp>
        <stp>[Bbg_Market_Data_CL.xlsm]data!R243C11</stp>
        <tr r="K243" s="1"/>
      </tp>
      <tp t="s">
        <v>#N/A Requesting Data...</v>
        <stp/>
        <stp>##V3_BDHV12</stp>
        <stp>CL1 Comdty</stp>
        <stp>MOV_AVG_30D</stp>
        <stp>22/07/2016</stp>
        <stp>22/07/2016</stp>
        <stp>[Bbg_Market_Data_CL.xlsm]data!R179C11</stp>
        <tr r="K179" s="1"/>
      </tp>
      <tp t="s">
        <v>#N/A Requesting Data...</v>
        <stp/>
        <stp>##V3_BDHV12</stp>
        <stp>CL2 Comdty</stp>
        <stp>MOV_AVG_30D</stp>
        <stp>22/07/2016</stp>
        <stp>22/07/2016</stp>
        <stp>[Bbg_Market_Data_CL.xlsm]data!R179C11</stp>
        <tr r="K179" s="1"/>
      </tp>
      <tp t="s">
        <v>#N/A Requesting Data...</v>
        <stp/>
        <stp>##V3_BDHV12</stp>
        <stp>CL1 Comdty</stp>
        <stp>MOV_AVG_30D</stp>
        <stp>31/05/2016</stp>
        <stp>31/05/2016</stp>
        <stp>[Bbg_Market_Data_CL.xlsm]data!R216C11</stp>
        <tr r="K216" s="1"/>
      </tp>
      <tp t="s">
        <v>#N/A Requesting Data...</v>
        <stp/>
        <stp>##V3_BDHV12</stp>
        <stp>CL2 Comdty</stp>
        <stp>MOV_AVG_30D</stp>
        <stp>01/06/2016</stp>
        <stp>01/06/2016</stp>
        <stp>[Bbg_Market_Data_CL.xlsm]data!R215C11</stp>
        <tr r="K215" s="1"/>
      </tp>
      <tp t="s">
        <v>#N/A Requesting Data...</v>
        <stp/>
        <stp>##V3_BDHV12</stp>
        <stp>CL1 Comdty</stp>
        <stp>MOV_AVG_30D</stp>
        <stp>01/06/2016</stp>
        <stp>01/06/2016</stp>
        <stp>[Bbg_Market_Data_CL.xlsm]data!R215C11</stp>
        <tr r="K215" s="1"/>
      </tp>
      <tp t="s">
        <v>#N/A Requesting Data...</v>
        <stp/>
        <stp>##V3_BDHV12</stp>
        <stp>CL2 Comdty</stp>
        <stp>MOV_AVG_30D</stp>
        <stp>31/05/2016</stp>
        <stp>31/05/2016</stp>
        <stp>[Bbg_Market_Data_CL.xlsm]data!R216C11</stp>
        <tr r="K216" s="1"/>
      </tp>
      <tp t="s">
        <v>#N/A Requesting Data...</v>
        <stp/>
        <stp>##V3_BDHV12</stp>
        <stp>CL2 Comdty</stp>
        <stp>MOV_AVG_30D</stp>
        <stp>10/06/2016</stp>
        <stp>10/06/2016</stp>
        <stp>[Bbg_Market_Data_CL.xlsm]data!R208C11</stp>
        <tr r="K208" s="1"/>
      </tp>
      <tp t="s">
        <v>#N/A Requesting Data...</v>
        <stp/>
        <stp>##V3_BDHV12</stp>
        <stp>CL1 Comdty</stp>
        <stp>MOV_AVG_30D</stp>
        <stp>10/06/2016</stp>
        <stp>10/06/2016</stp>
        <stp>[Bbg_Market_Data_CL.xlsm]data!R208C11</stp>
        <tr r="K208" s="1"/>
      </tp>
      <tp t="s">
        <v>#N/A Requesting Data...</v>
        <stp/>
        <stp>##V3_BDHV12</stp>
        <stp>CL1 Comdty</stp>
        <stp>MOV_AVG_30D</stp>
        <stp>20/05/2016</stp>
        <stp>20/05/2016</stp>
        <stp>[Bbg_Market_Data_CL.xlsm]data!R222C11</stp>
        <tr r="K222" s="1"/>
      </tp>
      <tp t="s">
        <v>#N/A Requesting Data...</v>
        <stp/>
        <stp>##V3_BDHV12</stp>
        <stp>CL2 Comdty</stp>
        <stp>MOV_AVG_30D</stp>
        <stp>20/05/2016</stp>
        <stp>20/05/2016</stp>
        <stp>[Bbg_Market_Data_CL.xlsm]data!R222C11</stp>
        <tr r="K222" s="1"/>
      </tp>
      <tp t="s">
        <v>#N/A Requesting Data...</v>
        <stp/>
        <stp>##V3_BDHV12</stp>
        <stp>CL1 Comdty</stp>
        <stp>MOV_AVG_30D</stp>
        <stp>23/06/2016</stp>
        <stp>23/06/2016</stp>
        <stp>[Bbg_Market_Data_CL.xlsm]data!R199C11</stp>
        <tr r="K199" s="1"/>
      </tp>
      <tp t="s">
        <v>#N/A Requesting Data...</v>
        <stp/>
        <stp>##V3_BDHV12</stp>
        <stp>CL2 Comdty</stp>
        <stp>MOV_AVG_30D</stp>
        <stp>23/06/2016</stp>
        <stp>23/06/2016</stp>
        <stp>[Bbg_Market_Data_CL.xlsm]data!R199C11</stp>
        <tr r="K199" s="1"/>
      </tp>
      <tp t="s">
        <v>#N/A Requesting Data...</v>
        <stp/>
        <stp>##V3_BDHV12</stp>
        <stp>CL2 Comdty</stp>
        <stp>MOV_AVG_30D</stp>
        <stp>13/05/2016</stp>
        <stp>13/05/2016</stp>
        <stp>[Bbg_Market_Data_CL.xlsm]data!R227C11</stp>
        <tr r="K227" s="1"/>
      </tp>
      <tp t="s">
        <v>#N/A Requesting Data...</v>
        <stp/>
        <stp>##V3_BDHV12</stp>
        <stp>CL1 Comdty</stp>
        <stp>MOV_AVG_30D</stp>
        <stp>13/05/2016</stp>
        <stp>13/05/2016</stp>
        <stp>[Bbg_Market_Data_CL.xlsm]data!R227C11</stp>
        <tr r="K227" s="1"/>
      </tp>
      <tp t="s">
        <v>#N/A Requesting Data...</v>
        <stp/>
        <stp>##V3_BDHV12</stp>
        <stp>CL1 Comdty</stp>
        <stp>MOV_AVG_30D</stp>
        <stp>12/04/2016</stp>
        <stp>12/04/2016</stp>
        <stp>[Bbg_Market_Data_CL.xlsm]data!R250C11</stp>
        <tr r="K250" s="1"/>
      </tp>
      <tp t="s">
        <v>#N/A Requesting Data...</v>
        <stp/>
        <stp>##V3_BDHV12</stp>
        <stp>CL2 Comdty</stp>
        <stp>MOV_AVG_30D</stp>
        <stp>12/04/2016</stp>
        <stp>12/04/2016</stp>
        <stp>[Bbg_Market_Data_CL.xlsm]data!R250C11</stp>
        <tr r="K250" s="1"/>
      </tp>
      <tp t="s">
        <v>#N/A Requesting Data...</v>
        <stp/>
        <stp>##V3_BDHV12</stp>
        <stp>CL2 Comdty</stp>
        <stp>MOV_AVG_30D</stp>
        <stp>02/05/2016</stp>
        <stp>02/05/2016</stp>
        <stp>[Bbg_Market_Data_CL.xlsm]data!R236C11</stp>
        <tr r="K236" s="1"/>
      </tp>
      <tp t="s">
        <v>#N/A Requesting Data...</v>
        <stp/>
        <stp>##V3_BDHV12</stp>
        <stp>CL1 Comdty</stp>
        <stp>MOV_AVG_30D</stp>
        <stp>02/05/2016</stp>
        <stp>02/05/2016</stp>
        <stp>[Bbg_Market_Data_CL.xlsm]data!R236C11</stp>
        <tr r="K236" s="1"/>
      </tp>
      <tp t="s">
        <v>#N/A Requesting Data...</v>
        <stp/>
        <stp>##V3_BDHV12</stp>
        <stp>CL2 Comdty</stp>
        <stp>MOV_AVG_30D</stp>
        <stp>11/07/2016</stp>
        <stp>11/07/2016</stp>
        <stp>[Bbg_Market_Data_CL.xlsm]data!R188C11</stp>
        <tr r="K188" s="1"/>
      </tp>
      <tp t="s">
        <v>#N/A Requesting Data...</v>
        <stp/>
        <stp>##V3_BDHV12</stp>
        <stp>CL1 Comdty</stp>
        <stp>MOV_AVG_30D</stp>
        <stp>11/07/2016</stp>
        <stp>11/07/2016</stp>
        <stp>[Bbg_Market_Data_CL.xlsm]data!R188C11</stp>
        <tr r="K188" s="1"/>
      </tp>
      <tp>
        <v>51.81</v>
        <stp/>
        <stp>##V3_BDHV12</stp>
        <stp>CL2 Comdty</stp>
        <stp>PX_LOW</stp>
        <stp>19/01/2017</stp>
        <stp>19/01/2017</stp>
        <stp>[Bbg_Market_Data_CL.xlsm]data!R58C7</stp>
        <tr r="G58" s="1"/>
      </tp>
      <tp t="s">
        <v>#N/A Requesting Data...</v>
        <stp/>
        <stp>##V3_BDHV12</stp>
        <stp>CL1 Comdty</stp>
        <stp>PX_LOW</stp>
        <stp>19/01/2017</stp>
        <stp>19/01/2017</stp>
        <stp>[Bbg_Market_Data_CL.xlsm]data!R58C7</stp>
        <tr r="G58" s="1"/>
      </tp>
      <tp>
        <v>53.13</v>
        <stp/>
        <stp>##V3_BDHV12</stp>
        <stp>CL2 Comdty</stp>
        <stp>PX_LOW</stp>
        <stp>04/01/2017</stp>
        <stp>04/01/2017</stp>
        <stp>[Bbg_Market_Data_CL.xlsm]data!R68C7</stp>
        <tr r="G68" s="1"/>
      </tp>
      <tp t="s">
        <v>#N/A Requesting Data...</v>
        <stp/>
        <stp>##V3_BDHV12</stp>
        <stp>CL1 Comdty</stp>
        <stp>PX_LOW</stp>
        <stp>17/11/2016</stp>
        <stp>17/11/2016</stp>
        <stp>[Bbg_Market_Data_CL.xlsm]data!R99C7</stp>
        <tr r="G99" s="1"/>
      </tp>
      <tp t="s">
        <v>#N/A Requesting Data...</v>
        <stp/>
        <stp>##V3_BDHV12</stp>
        <stp>CL1 Comdty</stp>
        <stp>PX_LOW</stp>
        <stp>04/01/2017</stp>
        <stp>04/01/2017</stp>
        <stp>[Bbg_Market_Data_CL.xlsm]data!R68C7</stp>
        <tr r="G68" s="1"/>
      </tp>
      <tp>
        <v>45.47</v>
        <stp/>
        <stp>##V3_BDHV12</stp>
        <stp>CL2 Comdty</stp>
        <stp>PX_LOW</stp>
        <stp>17/11/2016</stp>
        <stp>17/11/2016</stp>
        <stp>[Bbg_Market_Data_CL.xlsm]data!R99C7</stp>
        <tr r="G99" s="1"/>
      </tp>
      <tp>
        <v>51.57</v>
        <stp/>
        <stp>##V3_BDHV12</stp>
        <stp>CL2 Comdty</stp>
        <stp>PX_LOW</stp>
        <stp>16/12/2016</stp>
        <stp>16/12/2016</stp>
        <stp>[Bbg_Market_Data_CL.xlsm]data!R79C7</stp>
        <tr r="G79" s="1"/>
      </tp>
      <tp>
        <v>49.1</v>
        <stp/>
        <stp>##V3_BDHV12</stp>
        <stp>CL2 Comdty</stp>
        <stp>PX_LOW</stp>
        <stp>17/03/2017</stp>
        <stp>17/03/2017</stp>
        <stp>[Bbg_Market_Data_CL.xlsm]data!R18C7</stp>
        <tr r="G18" s="1"/>
      </tp>
      <tp t="s">
        <v>#N/A Requesting Data...</v>
        <stp/>
        <stp>##V3_BDHV12</stp>
        <stp>CL1 Comdty</stp>
        <stp>PX_LOW</stp>
        <stp>17/03/2017</stp>
        <stp>17/03/2017</stp>
        <stp>[Bbg_Market_Data_CL.xlsm]data!R18C7</stp>
        <tr r="G18" s="1"/>
      </tp>
      <tp t="s">
        <v>#N/A Requesting Data...</v>
        <stp/>
        <stp>##V3_BDHV12</stp>
        <stp>CL1 Comdty</stp>
        <stp>PX_LOW</stp>
        <stp>16/12/2016</stp>
        <stp>16/12/2016</stp>
        <stp>[Bbg_Market_Data_CL.xlsm]data!R79C7</stp>
        <tr r="G79" s="1"/>
      </tp>
      <tp>
        <v>53.97</v>
        <stp/>
        <stp>##V3_BDHV12</stp>
        <stp>CL2 Comdty</stp>
        <stp>PX_LOW</stp>
        <stp>02/02/2017</stp>
        <stp>02/02/2017</stp>
        <stp>[Bbg_Market_Data_CL.xlsm]data!R48C7</stp>
        <tr r="G48" s="1"/>
      </tp>
      <tp t="s">
        <v>#N/A Requesting Data...</v>
        <stp/>
        <stp>##V3_BDHV12</stp>
        <stp>CL1 Comdty</stp>
        <stp>PX_LOW</stp>
        <stp>02/02/2017</stp>
        <stp>02/02/2017</stp>
        <stp>[Bbg_Market_Data_CL.xlsm]data!R48C7</stp>
        <tr r="G48" s="1"/>
      </tp>
      <tp>
        <v>53.12</v>
        <stp/>
        <stp>##V3_BDHV12</stp>
        <stp>CL2 Comdty</stp>
        <stp>PX_LOW</stp>
        <stp>16/02/2017</stp>
        <stp>16/02/2017</stp>
        <stp>[Bbg_Market_Data_CL.xlsm]data!R38C7</stp>
        <tr r="G38" s="1"/>
      </tp>
      <tp t="s">
        <v>#N/A Requesting Data...</v>
        <stp/>
        <stp>##V3_BDHV12</stp>
        <stp>CL1 Comdty</stp>
        <stp>PX_LOW</stp>
        <stp>16/02/2017</stp>
        <stp>16/02/2017</stp>
        <stp>[Bbg_Market_Data_CL.xlsm]data!R38C7</stp>
        <tr r="G38" s="1"/>
      </tp>
      <tp>
        <v>53</v>
        <stp/>
        <stp>##V3_BDHV12</stp>
        <stp>CL2 Comdty</stp>
        <stp>PX_LOW</stp>
        <stp>03/03/2017</stp>
        <stp>03/03/2017</stp>
        <stp>[Bbg_Market_Data_CL.xlsm]data!R28C7</stp>
        <tr r="G28" s="1"/>
      </tp>
      <tp>
        <v>51.12</v>
        <stp/>
        <stp>##V3_BDHV12</stp>
        <stp>CL2 Comdty</stp>
        <stp>PX_LOW</stp>
        <stp>02/12/2016</stp>
        <stp>02/12/2016</stp>
        <stp>[Bbg_Market_Data_CL.xlsm]data!R89C7</stp>
        <tr r="G89" s="1"/>
      </tp>
      <tp t="s">
        <v>#N/A Requesting Data...</v>
        <stp/>
        <stp>##V3_BDHV12</stp>
        <stp>CL1 Comdty</stp>
        <stp>PX_LOW</stp>
        <stp>02/12/2016</stp>
        <stp>02/12/2016</stp>
        <stp>[Bbg_Market_Data_CL.xlsm]data!R89C7</stp>
        <tr r="G89" s="1"/>
      </tp>
      <tp t="s">
        <v>#N/A Requesting Data...</v>
        <stp/>
        <stp>##V3_BDHV12</stp>
        <stp>CL1 Comdty</stp>
        <stp>PX_LOW</stp>
        <stp>03/03/2017</stp>
        <stp>03/03/2017</stp>
        <stp>[Bbg_Market_Data_CL.xlsm]data!R28C7</stp>
        <tr r="G28" s="1"/>
      </tp>
      <tp t="s">
        <v>#N/A Requesting Data...</v>
        <stp/>
        <stp>##V3_BDHV12</stp>
        <stp>CL1 Comdty</stp>
        <stp>MOV_AVG_30D</stp>
        <stp>30/06/2015</stp>
        <stp>30/06/2015</stp>
        <stp>[Bbg_Market_Data_CL.xlsm]data!R444C11</stp>
        <tr r="K444" s="1"/>
      </tp>
      <tp t="s">
        <v>#N/A Requesting Data...</v>
        <stp/>
        <stp>##V3_BDHV12</stp>
        <stp>CL2 Comdty</stp>
        <stp>MOV_AVG_30D</stp>
        <stp>30/06/2015</stp>
        <stp>30/06/2015</stp>
        <stp>[Bbg_Market_Data_CL.xlsm]data!R444C11</stp>
        <tr r="K444" s="1"/>
      </tp>
      <tp t="s">
        <v>#N/A Requesting Data...</v>
        <stp/>
        <stp>##V3_BDHV12</stp>
        <stp>CL1 Comdty</stp>
        <stp>MOV_AVG_30D</stp>
        <stp>27/10/2015</stp>
        <stp>27/10/2015</stp>
        <stp>[Bbg_Market_Data_CL.xlsm]data!R362C11</stp>
        <tr r="K362" s="1"/>
      </tp>
      <tp t="s">
        <v>#N/A Requesting Data...</v>
        <stp/>
        <stp>##V3_BDHV12</stp>
        <stp>CL2 Comdty</stp>
        <stp>MOV_AVG_30D</stp>
        <stp>27/10/2015</stp>
        <stp>27/10/2015</stp>
        <stp>[Bbg_Market_Data_CL.xlsm]data!R362C11</stp>
        <tr r="K362" s="1"/>
      </tp>
      <tp t="s">
        <v>#N/A Requesting Data...</v>
        <stp/>
        <stp>##V3_BDHV12</stp>
        <stp>CL1 Comdty</stp>
        <stp>MOV_AVG_30D</stp>
        <stp>16/11/2016</stp>
        <stp>16/11/2016</stp>
        <stp>[Bbg_Market_Data_CL.xlsm]data!R100C11</stp>
        <tr r="K100" s="1"/>
      </tp>
      <tp t="s">
        <v>#N/A Requesting Data...</v>
        <stp/>
        <stp>##V3_BDHV12</stp>
        <stp>CL2 Comdty</stp>
        <stp>MOV_AVG_30D</stp>
        <stp>16/11/2016</stp>
        <stp>16/11/2016</stp>
        <stp>[Bbg_Market_Data_CL.xlsm]data!R100C11</stp>
        <tr r="K100" s="1"/>
      </tp>
      <tp t="s">
        <v>#N/A Requesting Data...</v>
        <stp/>
        <stp>##V3_BDHV12</stp>
        <stp>CL2 Comdty</stp>
        <stp>MOV_AVG_30D</stp>
        <stp>06/10/2016</stp>
        <stp>06/10/2016</stp>
        <stp>[Bbg_Market_Data_CL.xlsm]data!R127C11</stp>
        <tr r="K127" s="1"/>
      </tp>
      <tp t="s">
        <v>#N/A Requesting Data...</v>
        <stp/>
        <stp>##V3_BDHV12</stp>
        <stp>CL1 Comdty</stp>
        <stp>MOV_AVG_30D</stp>
        <stp>20/07/2015</stp>
        <stp>20/07/2015</stp>
        <stp>[Bbg_Market_Data_CL.xlsm]data!R431C11</stp>
        <tr r="K431" s="1"/>
      </tp>
      <tp t="s">
        <v>#N/A Requesting Data...</v>
        <stp/>
        <stp>##V3_BDHV12</stp>
        <stp>CL2 Comdty</stp>
        <stp>MOV_AVG_30D</stp>
        <stp>20/07/2015</stp>
        <stp>20/07/2015</stp>
        <stp>[Bbg_Market_Data_CL.xlsm]data!R431C11</stp>
        <tr r="K431" s="1"/>
      </tp>
      <tp t="s">
        <v>#N/A Requesting Data...</v>
        <stp/>
        <stp>##V3_BDHV12</stp>
        <stp>CL1 Comdty</stp>
        <stp>MOV_AVG_30D</stp>
        <stp>06/10/2016</stp>
        <stp>06/10/2016</stp>
        <stp>[Bbg_Market_Data_CL.xlsm]data!R127C11</stp>
        <tr r="K127" s="1"/>
      </tp>
      <tp t="s">
        <v>#N/A Requesting Data...</v>
        <stp/>
        <stp>##V3_BDHV12</stp>
        <stp>CL2 Comdty</stp>
        <stp>MOV_AVG_30D</stp>
        <stp>07/12/2015</stp>
        <stp>07/12/2015</stp>
        <stp>[Bbg_Market_Data_CL.xlsm]data!R335C11</stp>
        <tr r="K335" s="1"/>
      </tp>
      <tp t="s">
        <v>#N/A Requesting Data...</v>
        <stp/>
        <stp>##V3_BDHV12</stp>
        <stp>CL1 Comdty</stp>
        <stp>MOV_AVG_30D</stp>
        <stp>07/12/2015</stp>
        <stp>07/12/2015</stp>
        <stp>[Bbg_Market_Data_CL.xlsm]data!R335C11</stp>
        <tr r="K335" s="1"/>
      </tp>
      <tp t="s">
        <v>#N/A Requesting Data...</v>
        <stp/>
        <stp>##V3_BDHV12</stp>
        <stp>CL1 Comdty</stp>
        <stp>MOV_AVG_30D</stp>
        <stp>11/05/2015</stp>
        <stp>11/05/2015</stp>
        <stp>[Bbg_Market_Data_CL.xlsm]data!R479C11</stp>
        <tr r="K479" s="1"/>
      </tp>
      <tp t="s">
        <v>#N/A Requesting Data...</v>
        <stp/>
        <stp>##V3_BDHV12</stp>
        <stp>CL2 Comdty</stp>
        <stp>MOV_AVG_30D</stp>
        <stp>11/05/2015</stp>
        <stp>11/05/2015</stp>
        <stp>[Bbg_Market_Data_CL.xlsm]data!R479C11</stp>
        <tr r="K479" s="1"/>
      </tp>
      <tp t="s">
        <v>#N/A Requesting Data...</v>
        <stp/>
        <stp>##V3_BDHV12</stp>
        <stp>CL2 Comdty</stp>
        <stp>MOV_AVG_30D</stp>
        <stp>14/03/2016</stp>
        <stp>14/03/2016</stp>
        <stp>[Bbg_Market_Data_CL.xlsm]data!R270C11</stp>
        <tr r="K270" s="1"/>
      </tp>
      <tp t="s">
        <v>#N/A Requesting Data...</v>
        <stp/>
        <stp>##V3_BDHV12</stp>
        <stp>CL1 Comdty</stp>
        <stp>MOV_AVG_30D</stp>
        <stp>14/03/2016</stp>
        <stp>14/03/2016</stp>
        <stp>[Bbg_Market_Data_CL.xlsm]data!R270C11</stp>
        <tr r="K270" s="1"/>
      </tp>
      <tp t="s">
        <v>#N/A Requesting Data...</v>
        <stp/>
        <stp>##V3_BDHV12</stp>
        <stp>CL2 Comdty</stp>
        <stp>MOV_AVG_30D</stp>
        <stp>07/11/2016</stp>
        <stp>07/11/2016</stp>
        <stp>[Bbg_Market_Data_CL.xlsm]data!R106C11</stp>
        <tr r="K106" s="1"/>
      </tp>
      <tp t="s">
        <v>#N/A Requesting Data...</v>
        <stp/>
        <stp>##V3_BDHV12</stp>
        <stp>CL1 Comdty</stp>
        <stp>MOV_AVG_30D</stp>
        <stp>07/11/2016</stp>
        <stp>07/11/2016</stp>
        <stp>[Bbg_Market_Data_CL.xlsm]data!R106C11</stp>
        <tr r="K106" s="1"/>
      </tp>
      <tp t="s">
        <v>#N/A Requesting Data...</v>
        <stp/>
        <stp>##V3_BDHV12</stp>
        <stp>CL1 Comdty</stp>
        <stp>MOV_AVG_30D</stp>
        <stp>10/04/2015</stp>
        <stp>10/04/2015</stp>
        <stp>[Bbg_Market_Data_CL.xlsm]data!R500C11</stp>
        <tr r="K500" s="1"/>
      </tp>
      <tp t="s">
        <v>#N/A Requesting Data...</v>
        <stp/>
        <stp>##V3_BDHV12</stp>
        <stp>CL2 Comdty</stp>
        <stp>MOV_AVG_30D</stp>
        <stp>10/04/2015</stp>
        <stp>10/04/2015</stp>
        <stp>[Bbg_Market_Data_CL.xlsm]data!R500C11</stp>
        <tr r="K500" s="1"/>
      </tp>
      <tp t="s">
        <v>#N/A Requesting Data...</v>
        <stp/>
        <stp>##V3_BDHV12</stp>
        <stp>CL1 Comdty</stp>
        <stp>MOV_AVG_30D</stp>
        <stp>25/01/2016</stp>
        <stp>25/01/2016</stp>
        <stp>[Bbg_Market_Data_CL.xlsm]data!R303C11</stp>
        <tr r="K303" s="1"/>
      </tp>
      <tp t="s">
        <v>#N/A Requesting Data...</v>
        <stp/>
        <stp>##V3_BDHV12</stp>
        <stp>CL2 Comdty</stp>
        <stp>MOV_AVG_30D</stp>
        <stp>25/01/2016</stp>
        <stp>25/01/2016</stp>
        <stp>[Bbg_Market_Data_CL.xlsm]data!R303C11</stp>
        <tr r="K303" s="1"/>
      </tp>
      <tp t="s">
        <v>#N/A Requesting Data...</v>
        <stp/>
        <stp>##V3_BDHV12</stp>
        <stp>CL2 Comdty</stp>
        <stp>MOV_AVG_30D</stp>
        <stp>16/12/2015</stp>
        <stp>16/12/2015</stp>
        <stp>[Bbg_Market_Data_CL.xlsm]data!R328C11</stp>
        <tr r="K328" s="1"/>
      </tp>
      <tp t="s">
        <v>#N/A Requesting Data...</v>
        <stp/>
        <stp>##V3_BDHV12</stp>
        <stp>CL1 Comdty</stp>
        <stp>MOV_AVG_30D</stp>
        <stp>16/12/2015</stp>
        <stp>16/12/2015</stp>
        <stp>[Bbg_Market_Data_CL.xlsm]data!R328C11</stp>
        <tr r="K328" s="1"/>
      </tp>
      <tp t="s">
        <v>#N/A Requesting Data...</v>
        <stp/>
        <stp>##V3_BDHV12</stp>
        <stp>CL1 Comdty</stp>
        <stp>MOV_AVG_30D</stp>
        <stp>17/10/2016</stp>
        <stp>17/10/2016</stp>
        <stp>[Bbg_Market_Data_CL.xlsm]data!R121C11</stp>
        <tr r="K121" s="1"/>
      </tp>
      <tp t="s">
        <v>#N/A Requesting Data...</v>
        <stp/>
        <stp>##V3_BDHV12</stp>
        <stp>CL2 Comdty</stp>
        <stp>MOV_AVG_30D</stp>
        <stp>17/10/2016</stp>
        <stp>17/10/2016</stp>
        <stp>[Bbg_Market_Data_CL.xlsm]data!R121C11</stp>
        <tr r="K121" s="1"/>
      </tp>
      <tp t="s">
        <v>#N/A Requesting Data...</v>
        <stp/>
        <stp>##V3_BDHV12</stp>
        <stp>CL2 Comdty</stp>
        <stp>MOV_AVG_30D</stp>
        <stp>31/07/2015</stp>
        <stp>31/07/2015</stp>
        <stp>[Bbg_Market_Data_CL.xlsm]data!R422C11</stp>
        <tr r="K422" s="1"/>
      </tp>
      <tp t="s">
        <v>#N/A Requesting Data...</v>
        <stp/>
        <stp>##V3_BDHV12</stp>
        <stp>CL1 Comdty</stp>
        <stp>MOV_AVG_30D</stp>
        <stp>31/07/2015</stp>
        <stp>31/07/2015</stp>
        <stp>[Bbg_Market_Data_CL.xlsm]data!R422C11</stp>
        <tr r="K422" s="1"/>
      </tp>
      <tp t="s">
        <v>#N/A Requesting Data...</v>
        <stp/>
        <stp>##V3_BDHV12</stp>
        <stp>CL2 Comdty</stp>
        <stp>MOV_AVG_30D</stp>
        <stp>04/02/2016</stp>
        <stp>04/02/2016</stp>
        <stp>[Bbg_Market_Data_CL.xlsm]data!R295C11</stp>
        <tr r="K295" s="1"/>
      </tp>
      <tp t="s">
        <v>#N/A Requesting Data...</v>
        <stp/>
        <stp>##V3_BDHV12</stp>
        <stp>CL1 Comdty</stp>
        <stp>MOV_AVG_30D</stp>
        <stp>04/02/2016</stp>
        <stp>04/02/2016</stp>
        <stp>[Bbg_Market_Data_CL.xlsm]data!R295C11</stp>
        <tr r="K295" s="1"/>
      </tp>
      <tp t="s">
        <v>#N/A Requesting Data...</v>
        <stp/>
        <stp>##V3_BDHV12</stp>
        <stp>CL1 Comdty</stp>
        <stp>MOV_AVG_30D</stp>
        <stp>12/06/2015</stp>
        <stp>12/06/2015</stp>
        <stp>[Bbg_Market_Data_CL.xlsm]data!R456C11</stp>
        <tr r="K456" s="1"/>
      </tp>
      <tp t="s">
        <v>#N/A Requesting Data...</v>
        <stp/>
        <stp>##V3_BDHV12</stp>
        <stp>CL2 Comdty</stp>
        <stp>MOV_AVG_30D</stp>
        <stp>12/06/2015</stp>
        <stp>12/06/2015</stp>
        <stp>[Bbg_Market_Data_CL.xlsm]data!R456C11</stp>
        <tr r="K456" s="1"/>
      </tp>
      <tp t="s">
        <v>#N/A Requesting Data...</v>
        <stp/>
        <stp>##V3_BDHV12</stp>
        <stp>CL1 Comdty</stp>
        <stp>MOV_AVG_30D</stp>
        <stp>02/07/2015</stp>
        <stp>02/07/2015</stp>
        <stp>[Bbg_Market_Data_CL.xlsm]data!R442C11</stp>
        <tr r="K442" s="1"/>
      </tp>
      <tp t="s">
        <v>#N/A Requesting Data...</v>
        <stp/>
        <stp>##V3_BDHV12</stp>
        <stp>CL2 Comdty</stp>
        <stp>MOV_AVG_30D</stp>
        <stp>02/07/2015</stp>
        <stp>02/07/2015</stp>
        <stp>[Bbg_Market_Data_CL.xlsm]data!R442C11</stp>
        <tr r="K442" s="1"/>
      </tp>
      <tp t="s">
        <v>#N/A Requesting Data...</v>
        <stp/>
        <stp>##V3_BDHV12</stp>
        <stp>CL2 Comdty</stp>
        <stp>MOV_AVG_30D</stp>
        <stp>22/05/2015</stp>
        <stp>22/05/2015</stp>
        <stp>[Bbg_Market_Data_CL.xlsm]data!R470C11</stp>
        <tr r="K470" s="1"/>
      </tp>
      <tp t="s">
        <v>#N/A Requesting Data...</v>
        <stp/>
        <stp>##V3_BDHV12</stp>
        <stp>CL1 Comdty</stp>
        <stp>MOV_AVG_30D</stp>
        <stp>22/05/2015</stp>
        <stp>22/05/2015</stp>
        <stp>[Bbg_Market_Data_CL.xlsm]data!R470C11</stp>
        <tr r="K470" s="1"/>
      </tp>
      <tp t="s">
        <v>#N/A Requesting Data...</v>
        <stp/>
        <stp>##V3_BDHV12</stp>
        <stp>CL2 Comdty</stp>
        <stp>MOV_AVG_30D</stp>
        <stp>05/10/2015</stp>
        <stp>05/10/2015</stp>
        <stp>[Bbg_Market_Data_CL.xlsm]data!R377C11</stp>
        <tr r="K377" s="1"/>
      </tp>
      <tp t="s">
        <v>#N/A Requesting Data...</v>
        <stp/>
        <stp>##V3_BDHV12</stp>
        <stp>CL1 Comdty</stp>
        <stp>MOV_AVG_30D</stp>
        <stp>05/10/2015</stp>
        <stp>05/10/2015</stp>
        <stp>[Bbg_Market_Data_CL.xlsm]data!R377C11</stp>
        <tr r="K377" s="1"/>
      </tp>
      <tp t="s">
        <v>#N/A Requesting Data...</v>
        <stp/>
        <stp>##V3_BDHV12</stp>
        <stp>CL1 Comdty</stp>
        <stp>MOV_AVG_30D</stp>
        <stp>24/10/2016</stp>
        <stp>24/10/2016</stp>
        <stp>[Bbg_Market_Data_CL.xlsm]data!R116C11</stp>
        <tr r="K116" s="1"/>
      </tp>
      <tp t="s">
        <v>#N/A Requesting Data...</v>
        <stp/>
        <stp>##V3_BDHV12</stp>
        <stp>CL2 Comdty</stp>
        <stp>MOV_AVG_30D</stp>
        <stp>24/10/2016</stp>
        <stp>24/10/2016</stp>
        <stp>[Bbg_Market_Data_CL.xlsm]data!R116C11</stp>
        <tr r="K116" s="1"/>
      </tp>
      <tp t="s">
        <v>#N/A Requesting Data...</v>
        <stp/>
        <stp>##V3_BDHV12</stp>
        <stp>CL2 Comdty</stp>
        <stp>MOV_AVG_30D</stp>
        <stp>04/11/2015</stp>
        <stp>04/11/2015</stp>
        <stp>[Bbg_Market_Data_CL.xlsm]data!R356C11</stp>
        <tr r="K356" s="1"/>
      </tp>
      <tp t="s">
        <v>#N/A Requesting Data...</v>
        <stp/>
        <stp>##V3_BDHV12</stp>
        <stp>CL1 Comdty</stp>
        <stp>MOV_AVG_30D</stp>
        <stp>04/11/2015</stp>
        <stp>04/11/2015</stp>
        <stp>[Bbg_Market_Data_CL.xlsm]data!R356C11</stp>
        <tr r="K356" s="1"/>
      </tp>
      <tp t="s">
        <v>#N/A Requesting Data...</v>
        <stp/>
        <stp>##V3_BDHV12</stp>
        <stp>CL1 Comdty</stp>
        <stp>MOV_AVG_30D</stp>
        <stp>03/06/2015</stp>
        <stp>03/06/2015</stp>
        <stp>[Bbg_Market_Data_CL.xlsm]data!R463C11</stp>
        <tr r="K463" s="1"/>
      </tp>
      <tp t="s">
        <v>#N/A Requesting Data...</v>
        <stp/>
        <stp>##V3_BDHV12</stp>
        <stp>CL2 Comdty</stp>
        <stp>MOV_AVG_30D</stp>
        <stp>03/06/2015</stp>
        <stp>03/06/2015</stp>
        <stp>[Bbg_Market_Data_CL.xlsm]data!R463C11</stp>
        <tr r="K463" s="1"/>
      </tp>
      <tp t="s">
        <v>#N/A Requesting Data...</v>
        <stp/>
        <stp>##V3_BDHV12</stp>
        <stp>CL1 Comdty</stp>
        <stp>MOV_AVG_30D</stp>
        <stp>14/10/2015</stp>
        <stp>14/10/2015</stp>
        <stp>[Bbg_Market_Data_CL.xlsm]data!R371C11</stp>
        <tr r="K371" s="1"/>
      </tp>
      <tp t="s">
        <v>#N/A Requesting Data...</v>
        <stp/>
        <stp>##V3_BDHV12</stp>
        <stp>CL2 Comdty</stp>
        <stp>MOV_AVG_30D</stp>
        <stp>14/10/2015</stp>
        <stp>14/10/2015</stp>
        <stp>[Bbg_Market_Data_CL.xlsm]data!R371C11</stp>
        <tr r="K371" s="1"/>
      </tp>
      <tp t="s">
        <v>#N/A Requesting Data...</v>
        <stp/>
        <stp>##V3_BDHV12</stp>
        <stp>CL1 Comdty</stp>
        <stp>MOV_AVG_30D</stp>
        <stp>07/01/2016</stp>
        <stp>07/01/2016</stp>
        <stp>[Bbg_Market_Data_CL.xlsm]data!R314C11</stp>
        <tr r="K314" s="1"/>
      </tp>
      <tp t="s">
        <v>#N/A Requesting Data...</v>
        <stp/>
        <stp>##V3_BDHV12</stp>
        <stp>CL2 Comdty</stp>
        <stp>MOV_AVG_30D</stp>
        <stp>07/01/2016</stp>
        <stp>07/01/2016</stp>
        <stp>[Bbg_Market_Data_CL.xlsm]data!R314C11</stp>
        <tr r="K314" s="1"/>
      </tp>
      <tp t="s">
        <v>#N/A Requesting Data...</v>
        <stp/>
        <stp>##V3_BDHV12</stp>
        <stp>CL1 Comdty</stp>
        <stp>MOV_AVG_30D</stp>
        <stp>13/07/2015</stp>
        <stp>13/07/2015</stp>
        <stp>[Bbg_Market_Data_CL.xlsm]data!R436C11</stp>
        <tr r="K436" s="1"/>
      </tp>
      <tp t="s">
        <v>#N/A Requesting Data...</v>
        <stp/>
        <stp>##V3_BDHV12</stp>
        <stp>CL2 Comdty</stp>
        <stp>MOV_AVG_30D</stp>
        <stp>13/07/2015</stp>
        <stp>13/07/2015</stp>
        <stp>[Bbg_Market_Data_CL.xlsm]data!R436C11</stp>
        <tr r="K436" s="1"/>
      </tp>
      <tp t="s">
        <v>#N/A Requesting Data...</v>
        <stp/>
        <stp>##V3_BDHV12</stp>
        <stp>CL2 Comdty</stp>
        <stp>MOV_AVG_30D</stp>
        <stp>23/04/2015</stp>
        <stp>23/04/2015</stp>
        <stp>[Bbg_Market_Data_CL.xlsm]data!R491C11</stp>
        <tr r="K491" s="1"/>
      </tp>
      <tp t="s">
        <v>#N/A Requesting Data...</v>
        <stp/>
        <stp>##V3_BDHV12</stp>
        <stp>CL1 Comdty</stp>
        <stp>MOV_AVG_30D</stp>
        <stp>23/04/2015</stp>
        <stp>23/04/2015</stp>
        <stp>[Bbg_Market_Data_CL.xlsm]data!R491C11</stp>
        <tr r="K491" s="1"/>
      </tp>
      <tp t="s">
        <v>#N/A Requesting Data...</v>
        <stp/>
        <stp>##V3_BDHV12</stp>
        <stp>CL1 Comdty</stp>
        <stp>MOV_AVG_30D</stp>
        <stp>26/02/2016</stp>
        <stp>26/02/2016</stp>
        <stp>[Bbg_Market_Data_CL.xlsm]data!R281C11</stp>
        <tr r="K281" s="1"/>
      </tp>
      <tp t="s">
        <v>#N/A Requesting Data...</v>
        <stp/>
        <stp>##V3_BDHV12</stp>
        <stp>CL2 Comdty</stp>
        <stp>MOV_AVG_30D</stp>
        <stp>26/02/2016</stp>
        <stp>26/02/2016</stp>
        <stp>[Bbg_Market_Data_CL.xlsm]data!R281C11</stp>
        <tr r="K281" s="1"/>
      </tp>
      <tp t="s">
        <v>#N/A Requesting Data...</v>
        <stp/>
        <stp>##V3_BDHV12</stp>
        <stp>CL2 Comdty</stp>
        <stp>MOV_AVG_30D</stp>
        <stp>20/04/2016</stp>
        <stp>20/04/2016</stp>
        <stp>[Bbg_Market_Data_CL.xlsm]data!R244C11</stp>
        <tr r="K244" s="1"/>
      </tp>
      <tp t="s">
        <v>#N/A Requesting Data...</v>
        <stp/>
        <stp>##V3_BDHV12</stp>
        <stp>CL1 Comdty</stp>
        <stp>MOV_AVG_30D</stp>
        <stp>20/04/2016</stp>
        <stp>20/04/2016</stp>
        <stp>[Bbg_Market_Data_CL.xlsm]data!R244C11</stp>
        <tr r="K244" s="1"/>
      </tp>
      <tp t="s">
        <v>#N/A Requesting Data...</v>
        <stp/>
        <stp>##V3_BDHV12</stp>
        <stp>CL1 Comdty</stp>
        <stp>MOV_AVG_30D</stp>
        <stp>13/04/2016</stp>
        <stp>13/04/2016</stp>
        <stp>[Bbg_Market_Data_CL.xlsm]data!R249C11</stp>
        <tr r="K249" s="1"/>
      </tp>
      <tp t="s">
        <v>#N/A Requesting Data...</v>
        <stp/>
        <stp>##V3_BDHV12</stp>
        <stp>CL2 Comdty</stp>
        <stp>MOV_AVG_30D</stp>
        <stp>13/04/2016</stp>
        <stp>13/04/2016</stp>
        <stp>[Bbg_Market_Data_CL.xlsm]data!R249C11</stp>
        <tr r="K249" s="1"/>
      </tp>
      <tp t="s">
        <v>#N/A Requesting Data...</v>
        <stp/>
        <stp>##V3_BDHV12</stp>
        <stp>CL1 Comdty</stp>
        <stp>MOV_AVG_30D</stp>
        <stp>03/05/2016</stp>
        <stp>03/05/2016</stp>
        <stp>[Bbg_Market_Data_CL.xlsm]data!R235C11</stp>
        <tr r="K235" s="1"/>
      </tp>
      <tp t="s">
        <v>#N/A Requesting Data...</v>
        <stp/>
        <stp>##V3_BDHV12</stp>
        <stp>CL2 Comdty</stp>
        <stp>MOV_AVG_30D</stp>
        <stp>03/05/2016</stp>
        <stp>03/05/2016</stp>
        <stp>[Bbg_Market_Data_CL.xlsm]data!R235C11</stp>
        <tr r="K235" s="1"/>
      </tp>
      <tp t="s">
        <v>#N/A Requesting Data...</v>
        <stp/>
        <stp>##V3_BDHV12</stp>
        <stp>CL1 Comdty</stp>
        <stp>MOV_AVG_30D</stp>
        <stp>22/06/2016</stp>
        <stp>22/06/2016</stp>
        <stp>[Bbg_Market_Data_CL.xlsm]data!R200C11</stp>
        <tr r="K200" s="1"/>
      </tp>
      <tp t="s">
        <v>#N/A Requesting Data...</v>
        <stp/>
        <stp>##V3_BDHV12</stp>
        <stp>CL2 Comdty</stp>
        <stp>MOV_AVG_30D</stp>
        <stp>22/06/2016</stp>
        <stp>22/06/2016</stp>
        <stp>[Bbg_Market_Data_CL.xlsm]data!R200C11</stp>
        <tr r="K200" s="1"/>
      </tp>
      <tp t="s">
        <v>#N/A Requesting Data...</v>
        <stp/>
        <stp>##V3_BDHV12</stp>
        <stp>CL1 Comdty</stp>
        <stp>MOV_AVG_30D</stp>
        <stp>12/05/2016</stp>
        <stp>12/05/2016</stp>
        <stp>[Bbg_Market_Data_CL.xlsm]data!R228C11</stp>
        <tr r="K228" s="1"/>
      </tp>
      <tp t="s">
        <v>#N/A Requesting Data...</v>
        <stp/>
        <stp>##V3_BDHV12</stp>
        <stp>CL2 Comdty</stp>
        <stp>MOV_AVG_30D</stp>
        <stp>12/05/2016</stp>
        <stp>12/05/2016</stp>
        <stp>[Bbg_Market_Data_CL.xlsm]data!R228C11</stp>
        <tr r="K228" s="1"/>
      </tp>
      <tp t="s">
        <v>#N/A Requesting Data...</v>
        <stp/>
        <stp>##V3_BDHV12</stp>
        <stp>CL1 Comdty</stp>
        <stp>MOV_AVG_30D</stp>
        <stp>01/07/2016</stp>
        <stp>01/07/2016</stp>
        <stp>[Bbg_Market_Data_CL.xlsm]data!R193C11</stp>
        <tr r="K193" s="1"/>
      </tp>
      <tp t="s">
        <v>#N/A Requesting Data...</v>
        <stp/>
        <stp>##V3_BDHV12</stp>
        <stp>CL2 Comdty</stp>
        <stp>MOV_AVG_30D</stp>
        <stp>01/07/2016</stp>
        <stp>01/07/2016</stp>
        <stp>[Bbg_Market_Data_CL.xlsm]data!R193C11</stp>
        <tr r="K193" s="1"/>
      </tp>
      <tp>
        <v>51.72</v>
        <stp/>
        <stp>##V3_BDHV12</stp>
        <stp>CL2 Comdty</stp>
        <stp>PX_LOW</stp>
        <stp>18/01/2017</stp>
        <stp>18/01/2017</stp>
        <stp>[Bbg_Market_Data_CL.xlsm]data!R59C7</stp>
        <tr r="G59" s="1"/>
      </tp>
      <tp t="s">
        <v>#N/A Requesting Data...</v>
        <stp/>
        <stp>##V3_BDHV12</stp>
        <stp>CL1 Comdty</stp>
        <stp>PX_LOW</stp>
        <stp>18/01/2017</stp>
        <stp>18/01/2017</stp>
        <stp>[Bbg_Market_Data_CL.xlsm]data!R59C7</stp>
        <tr r="G59" s="1"/>
      </tp>
      <tp t="s">
        <v>#N/A Requesting Data...</v>
        <stp/>
        <stp>##V3_BDHV12</stp>
        <stp>CL1 Comdty</stp>
        <stp>PX_LOW</stp>
        <stp>03/01/2017</stp>
        <stp>03/01/2017</stp>
        <stp>[Bbg_Market_Data_CL.xlsm]data!R69C7</stp>
        <tr r="G69" s="1"/>
      </tp>
      <tp>
        <v>53.08</v>
        <stp/>
        <stp>##V3_BDHV12</stp>
        <stp>CL2 Comdty</stp>
        <stp>PX_LOW</stp>
        <stp>03/01/2017</stp>
        <stp>03/01/2017</stp>
        <stp>[Bbg_Market_Data_CL.xlsm]data!R69C7</stp>
        <tr r="G69" s="1"/>
      </tp>
      <tp>
        <v>45.18</v>
        <stp/>
        <stp>##V3_BDHV12</stp>
        <stp>CL2 Comdty</stp>
        <stp>PX_LOW</stp>
        <stp>18/11/2016</stp>
        <stp>18/11/2016</stp>
        <stp>[Bbg_Market_Data_CL.xlsm]data!R98C7</stp>
        <tr r="G98" s="1"/>
      </tp>
      <tp t="s">
        <v>#N/A Requesting Data...</v>
        <stp/>
        <stp>##V3_BDHV12</stp>
        <stp>CL1 Comdty</stp>
        <stp>PX_LOW</stp>
        <stp>18/11/2016</stp>
        <stp>18/11/2016</stp>
        <stp>[Bbg_Market_Data_CL.xlsm]data!R98C7</stp>
        <tr r="G98" s="1"/>
      </tp>
      <tp>
        <v>49.01</v>
        <stp/>
        <stp>##V3_BDHV12</stp>
        <stp>CL2 Comdty</stp>
        <stp>PX_LOW</stp>
        <stp>16/03/2017</stp>
        <stp>16/03/2017</stp>
        <stp>[Bbg_Market_Data_CL.xlsm]data!R19C7</stp>
        <tr r="G19" s="1"/>
      </tp>
      <tp t="s">
        <v>#N/A Requesting Data...</v>
        <stp/>
        <stp>##V3_BDHV12</stp>
        <stp>CL1 Comdty</stp>
        <stp>PX_LOW</stp>
        <stp>16/03/2017</stp>
        <stp>16/03/2017</stp>
        <stp>[Bbg_Market_Data_CL.xlsm]data!R19C7</stp>
        <tr r="G19" s="1"/>
      </tp>
      <tp t="s">
        <v>#N/A Requesting Data...</v>
        <stp/>
        <stp>##V3_BDHV12</stp>
        <stp>CL1 Comdty</stp>
        <stp>PX_LOW</stp>
        <stp>01/02/2017</stp>
        <stp>01/02/2017</stp>
        <stp>[Bbg_Market_Data_CL.xlsm]data!R49C7</stp>
        <tr r="G49" s="1"/>
      </tp>
      <tp>
        <v>53.27</v>
        <stp/>
        <stp>##V3_BDHV12</stp>
        <stp>CL2 Comdty</stp>
        <stp>PX_LOW</stp>
        <stp>01/02/2017</stp>
        <stp>01/02/2017</stp>
        <stp>[Bbg_Market_Data_CL.xlsm]data!R49C7</stp>
        <tr r="G49" s="1"/>
      </tp>
      <tp t="s">
        <v>#N/A Requesting Data...</v>
        <stp/>
        <stp>##V3_BDHV12</stp>
        <stp>CL1 Comdty</stp>
        <stp>PX_LOW</stp>
        <stp>19/12/2016</stp>
        <stp>19/12/2016</stp>
        <stp>[Bbg_Market_Data_CL.xlsm]data!R78C7</stp>
        <tr r="G78" s="1"/>
      </tp>
      <tp>
        <v>52.57</v>
        <stp/>
        <stp>##V3_BDHV12</stp>
        <stp>CL2 Comdty</stp>
        <stp>PX_LOW</stp>
        <stp>19/12/2016</stp>
        <stp>19/12/2016</stp>
        <stp>[Bbg_Market_Data_CL.xlsm]data!R78C7</stp>
        <tr r="G78" s="1"/>
      </tp>
      <tp t="s">
        <v>#N/A Requesting Data...</v>
        <stp/>
        <stp>##V3_BDHV12</stp>
        <stp>CL1 Comdty</stp>
        <stp>PX_LOW</stp>
        <stp>15/02/2017</stp>
        <stp>15/02/2017</stp>
        <stp>[Bbg_Market_Data_CL.xlsm]data!R39C7</stp>
        <tr r="G39" s="1"/>
      </tp>
      <tp t="s">
        <v>#N/A Requesting Data...</v>
        <stp/>
        <stp>##V3_BDHV12</stp>
        <stp>CL1 Comdty</stp>
        <stp>PX_LOW</stp>
        <stp>05/12/2016</stp>
        <stp>05/12/2016</stp>
        <stp>[Bbg_Market_Data_CL.xlsm]data!R88C7</stp>
        <tr r="G88" s="1"/>
      </tp>
      <tp>
        <v>53.23</v>
        <stp/>
        <stp>##V3_BDHV12</stp>
        <stp>CL2 Comdty</stp>
        <stp>PX_LOW</stp>
        <stp>15/02/2017</stp>
        <stp>15/02/2017</stp>
        <stp>[Bbg_Market_Data_CL.xlsm]data!R39C7</stp>
        <tr r="G39" s="1"/>
      </tp>
      <tp>
        <v>51.99</v>
        <stp/>
        <stp>##V3_BDHV12</stp>
        <stp>CL2 Comdty</stp>
        <stp>PX_LOW</stp>
        <stp>05/12/2016</stp>
        <stp>05/12/2016</stp>
        <stp>[Bbg_Market_Data_CL.xlsm]data!R88C7</stp>
        <tr r="G88" s="1"/>
      </tp>
      <tp>
        <v>53</v>
        <stp/>
        <stp>##V3_BDHV12</stp>
        <stp>CL2 Comdty</stp>
        <stp>PX_LOW</stp>
        <stp>02/03/2017</stp>
        <stp>02/03/2017</stp>
        <stp>[Bbg_Market_Data_CL.xlsm]data!R29C7</stp>
        <tr r="G29" s="1"/>
      </tp>
      <tp t="s">
        <v>#N/A Requesting Data...</v>
        <stp/>
        <stp>##V3_BDHV12</stp>
        <stp>CL1 Comdty</stp>
        <stp>PX_LOW</stp>
        <stp>02/03/2017</stp>
        <stp>02/03/2017</stp>
        <stp>[Bbg_Market_Data_CL.xlsm]data!R29C7</stp>
        <tr r="G29" s="1"/>
      </tp>
      <tp t="s">
        <v>#N/A Requesting Data...</v>
        <stp/>
        <stp>##V3_BDHV12</stp>
        <stp>CL1 Comdty</stp>
        <stp>MOV_AVG_30D</stp>
        <stp>28/08/2015</stp>
        <stp>28/08/2015</stp>
        <stp>[Bbg_Market_Data_CL.xlsm]data!R402C11</stp>
        <tr r="K402" s="1"/>
      </tp>
      <tp t="s">
        <v>#N/A Requesting Data...</v>
        <stp/>
        <stp>##V3_BDHV12</stp>
        <stp>CL2 Comdty</stp>
        <stp>MOV_AVG_30D</stp>
        <stp>28/08/2015</stp>
        <stp>28/08/2015</stp>
        <stp>[Bbg_Market_Data_CL.xlsm]data!R402C11</stp>
        <tr r="K402" s="1"/>
      </tp>
      <tp t="s">
        <v>#N/A Requesting Data...</v>
        <stp/>
        <stp>##V3_BDHV12</stp>
        <stp>CL2 Comdty</stp>
        <stp>MOV_AVG_30D</stp>
        <stp>08/09/2016</stp>
        <stp>08/09/2016</stp>
        <stp>[Bbg_Market_Data_CL.xlsm]data!R147C11</stp>
        <tr r="K147" s="1"/>
      </tp>
      <tp t="s">
        <v>#N/A Requesting Data...</v>
        <stp/>
        <stp>##V3_BDHV12</stp>
        <stp>CL1 Comdty</stp>
        <stp>MOV_AVG_30D</stp>
        <stp>08/09/2016</stp>
        <stp>08/09/2016</stp>
        <stp>[Bbg_Market_Data_CL.xlsm]data!R147C11</stp>
        <tr r="K147" s="1"/>
      </tp>
      <tp t="s">
        <v>#N/A Requesting Data...</v>
        <stp/>
        <stp>##V3_BDHV12</stp>
        <stp>CL1 Comdty</stp>
        <stp>MOV_AVG_30D</stp>
        <stp>18/08/2016</stp>
        <stp>18/08/2016</stp>
        <stp>[Bbg_Market_Data_CL.xlsm]data!R161C11</stp>
        <tr r="K161" s="1"/>
      </tp>
      <tp t="s">
        <v>#N/A Requesting Data...</v>
        <stp/>
        <stp>##V3_BDHV12</stp>
        <stp>CL2 Comdty</stp>
        <stp>MOV_AVG_30D</stp>
        <stp>18/08/2016</stp>
        <stp>18/08/2016</stp>
        <stp>[Bbg_Market_Data_CL.xlsm]data!R161C11</stp>
        <tr r="K161" s="1"/>
      </tp>
      <tp t="s">
        <v>#N/A Requesting Data...</v>
        <stp/>
        <stp>##V3_BDHV12</stp>
        <stp>CL2 Comdty</stp>
        <stp>MOV_AVG_30D</stp>
        <stp>29/09/2015</stp>
        <stp>29/09/2015</stp>
        <stp>[Bbg_Market_Data_CL.xlsm]data!R381C11</stp>
        <tr r="K381" s="1"/>
      </tp>
      <tp t="s">
        <v>#N/A Requesting Data...</v>
        <stp/>
        <stp>##V3_BDHV12</stp>
        <stp>CL1 Comdty</stp>
        <stp>MOV_AVG_30D</stp>
        <stp>29/09/2015</stp>
        <stp>29/09/2015</stp>
        <stp>[Bbg_Market_Data_CL.xlsm]data!R381C11</stp>
        <tr r="K381" s="1"/>
      </tp>
      <tp t="s">
        <v>#N/A Requesting Data...</v>
        <stp/>
        <stp>##V3_BDHV12</stp>
        <stp>CL1 Comdty</stp>
        <stp>MOV_AVG_30D</stp>
        <stp>19/09/2016</stp>
        <stp>19/09/2016</stp>
        <stp>[Bbg_Market_Data_CL.xlsm]data!R140C11</stp>
        <tr r="K140" s="1"/>
      </tp>
      <tp t="s">
        <v>#N/A Requesting Data...</v>
        <stp/>
        <stp>##V3_BDHV12</stp>
        <stp>CL2 Comdty</stp>
        <stp>MOV_AVG_30D</stp>
        <stp>19/09/2016</stp>
        <stp>19/09/2016</stp>
        <stp>[Bbg_Market_Data_CL.xlsm]data!R140C11</stp>
        <tr r="K140" s="1"/>
      </tp>
      <tp t="s">
        <v>#N/A Requesting Data...</v>
        <stp/>
        <stp>##V3_BDHV12</stp>
        <stp>CL1 Comdty</stp>
        <stp>MOV_AVG_30D</stp>
        <stp>09/08/2016</stp>
        <stp>09/08/2016</stp>
        <stp>[Bbg_Market_Data_CL.xlsm]data!R168C11</stp>
        <tr r="K168" s="1"/>
      </tp>
      <tp t="s">
        <v>#N/A Requesting Data...</v>
        <stp/>
        <stp>##V3_BDHV12</stp>
        <stp>CL2 Comdty</stp>
        <stp>MOV_AVG_30D</stp>
        <stp>09/08/2016</stp>
        <stp>09/08/2016</stp>
        <stp>[Bbg_Market_Data_CL.xlsm]data!R168C11</stp>
        <tr r="K168" s="1"/>
      </tp>
      <tp t="s">
        <v>#N/A Requesting Data...</v>
        <stp/>
        <stp>##V3_BDHV12</stp>
        <stp>CL1 Comdty</stp>
        <stp>MOV_AVG_30D</stp>
        <stp>05/04/2016</stp>
        <stp>05/04/2016</stp>
        <stp>[Bbg_Market_Data_CL.xlsm]data!R255C11</stp>
        <tr r="K255" s="1"/>
      </tp>
      <tp t="s">
        <v>#N/A Requesting Data...</v>
        <stp/>
        <stp>##V3_BDHV12</stp>
        <stp>CL2 Comdty</stp>
        <stp>MOV_AVG_30D</stp>
        <stp>05/04/2016</stp>
        <stp>05/04/2016</stp>
        <stp>[Bbg_Market_Data_CL.xlsm]data!R255C11</stp>
        <tr r="K255" s="1"/>
      </tp>
      <tp t="s">
        <v>#N/A Requesting Data...</v>
        <stp/>
        <stp>##V3_BDHV12</stp>
        <stp>CL2 Comdty</stp>
        <stp>MOV_AVG_30D</stp>
        <stp>06/07/2016</stp>
        <stp>06/07/2016</stp>
        <stp>[Bbg_Market_Data_CL.xlsm]data!R191C11</stp>
        <tr r="K191" s="1"/>
      </tp>
      <tp t="s">
        <v>#N/A Requesting Data...</v>
        <stp/>
        <stp>##V3_BDHV12</stp>
        <stp>CL1 Comdty</stp>
        <stp>MOV_AVG_30D</stp>
        <stp>06/07/2016</stp>
        <stp>06/07/2016</stp>
        <stp>[Bbg_Market_Data_CL.xlsm]data!R191C11</stp>
        <tr r="K191" s="1"/>
      </tp>
      <tp t="s">
        <v>#N/A Requesting Data...</v>
        <stp/>
        <stp>##V3_BDHV12</stp>
        <stp>CL1 Comdty</stp>
        <stp>MOV_AVG_30D</stp>
        <stp>14/04/2016</stp>
        <stp>14/04/2016</stp>
        <stp>[Bbg_Market_Data_CL.xlsm]data!R248C11</stp>
        <tr r="K248" s="1"/>
      </tp>
      <tp t="s">
        <v>#N/A Requesting Data...</v>
        <stp/>
        <stp>##V3_BDHV12</stp>
        <stp>CL2 Comdty</stp>
        <stp>MOV_AVG_30D</stp>
        <stp>14/04/2016</stp>
        <stp>14/04/2016</stp>
        <stp>[Bbg_Market_Data_CL.xlsm]data!R248C11</stp>
        <tr r="K248" s="1"/>
      </tp>
      <tp t="s">
        <v>#N/A Requesting Data...</v>
        <stp/>
        <stp>##V3_BDHV12</stp>
        <stp>CL1 Comdty</stp>
        <stp>MOV_AVG_30D</stp>
        <stp>04/05/2016</stp>
        <stp>04/05/2016</stp>
        <stp>[Bbg_Market_Data_CL.xlsm]data!R234C11</stp>
        <tr r="K234" s="1"/>
      </tp>
      <tp t="s">
        <v>#N/A Requesting Data...</v>
        <stp/>
        <stp>##V3_BDHV12</stp>
        <stp>CL2 Comdty</stp>
        <stp>MOV_AVG_30D</stp>
        <stp>04/05/2016</stp>
        <stp>04/05/2016</stp>
        <stp>[Bbg_Market_Data_CL.xlsm]data!R234C11</stp>
        <tr r="K234" s="1"/>
      </tp>
      <tp t="s">
        <v>#N/A Requesting Data...</v>
        <stp/>
        <stp>##V3_BDHV12</stp>
        <stp>CL2 Comdty</stp>
        <stp>MOV_AVG_30D</stp>
        <stp>07/06/2016</stp>
        <stp>07/06/2016</stp>
        <stp>[Bbg_Market_Data_CL.xlsm]data!R211C11</stp>
        <tr r="K211" s="1"/>
      </tp>
      <tp t="s">
        <v>#N/A Requesting Data...</v>
        <stp/>
        <stp>##V3_BDHV12</stp>
        <stp>CL1 Comdty</stp>
        <stp>MOV_AVG_30D</stp>
        <stp>07/06/2016</stp>
        <stp>07/06/2016</stp>
        <stp>[Bbg_Market_Data_CL.xlsm]data!R211C11</stp>
        <tr r="K211" s="1"/>
      </tp>
      <tp t="s">
        <v>#N/A Requesting Data...</v>
        <stp/>
        <stp>##V3_BDHV12</stp>
        <stp>CL2 Comdty</stp>
        <stp>MOV_AVG_30D</stp>
        <stp>27/04/2016</stp>
        <stp>27/04/2016</stp>
        <stp>[Bbg_Market_Data_CL.xlsm]data!R239C11</stp>
        <tr r="K239" s="1"/>
      </tp>
      <tp t="s">
        <v>#N/A Requesting Data...</v>
        <stp/>
        <stp>##V3_BDHV12</stp>
        <stp>CL1 Comdty</stp>
        <stp>MOV_AVG_30D</stp>
        <stp>27/04/2016</stp>
        <stp>27/04/2016</stp>
        <stp>[Bbg_Market_Data_CL.xlsm]data!R239C11</stp>
        <tr r="K239" s="1"/>
      </tp>
      <tp t="s">
        <v>#N/A Requesting Data...</v>
        <stp/>
        <stp>##V3_BDHV12</stp>
        <stp>CL2 Comdty</stp>
        <stp>MOV_AVG_30D</stp>
        <stp>26/05/2016</stp>
        <stp>26/05/2016</stp>
        <stp>[Bbg_Market_Data_CL.xlsm]data!R218C11</stp>
        <tr r="K218" s="1"/>
      </tp>
      <tp t="s">
        <v>#N/A Requesting Data...</v>
        <stp/>
        <stp>##V3_BDHV12</stp>
        <stp>CL1 Comdty</stp>
        <stp>MOV_AVG_30D</stp>
        <stp>26/05/2016</stp>
        <stp>26/05/2016</stp>
        <stp>[Bbg_Market_Data_CL.xlsm]data!R218C11</stp>
        <tr r="K218" s="1"/>
      </tp>
      <tp t="s">
        <v>#N/A Requesting Data...</v>
        <stp/>
        <stp>##V3_BDHV12</stp>
        <stp>CL2 Comdty</stp>
        <stp>MOV_AVG_30D</stp>
        <stp>16/06/2016</stp>
        <stp>16/06/2016</stp>
        <stp>[Bbg_Market_Data_CL.xlsm]data!R204C11</stp>
        <tr r="K204" s="1"/>
      </tp>
      <tp t="s">
        <v>#N/A Requesting Data...</v>
        <stp/>
        <stp>##V3_BDHV12</stp>
        <stp>CL1 Comdty</stp>
        <stp>MOV_AVG_30D</stp>
        <stp>16/06/2016</stp>
        <stp>16/06/2016</stp>
        <stp>[Bbg_Market_Data_CL.xlsm]data!R204C11</stp>
        <tr r="K204" s="1"/>
      </tp>
      <tp t="s">
        <v>#N/A Requesting Data...</v>
        <stp/>
        <stp>##V3_BDHV12</stp>
        <stp>CL1 Comdty</stp>
        <stp>MOV_AVG_30D</stp>
        <stp>31/03/2016</stp>
        <stp>31/03/2016</stp>
        <stp>[Bbg_Market_Data_CL.xlsm]data!R258C11</stp>
        <tr r="K258" s="1"/>
      </tp>
      <tp t="s">
        <v>#N/A Requesting Data...</v>
        <stp/>
        <stp>##V3_BDHV12</stp>
        <stp>CL2 Comdty</stp>
        <stp>MOV_AVG_30D</stp>
        <stp>31/03/2016</stp>
        <stp>31/03/2016</stp>
        <stp>[Bbg_Market_Data_CL.xlsm]data!R258C11</stp>
        <tr r="K258" s="1"/>
      </tp>
      <tp t="s">
        <v>#N/A Requesting Data...</v>
        <stp/>
        <stp>##V3_BDHV12</stp>
        <stp>CL2 Comdty</stp>
        <stp>MOV_AVG_30D</stp>
        <stp>03/11/2015</stp>
        <stp>03/11/2015</stp>
        <stp>[Bbg_Market_Data_CL.xlsm]data!R357C11</stp>
        <tr r="K357" s="1"/>
      </tp>
      <tp t="s">
        <v>#N/A Requesting Data...</v>
        <stp/>
        <stp>##V3_BDHV12</stp>
        <stp>CL1 Comdty</stp>
        <stp>MOV_AVG_30D</stp>
        <stp>03/11/2015</stp>
        <stp>03/11/2015</stp>
        <stp>[Bbg_Market_Data_CL.xlsm]data!R357C11</stp>
        <tr r="K357" s="1"/>
      </tp>
      <tp t="s">
        <v>#N/A Requesting Data...</v>
        <stp/>
        <stp>##V3_BDHV12</stp>
        <stp>CL1 Comdty</stp>
        <stp>MOV_AVG_30D</stp>
        <stp>04/06/2015</stp>
        <stp>04/06/2015</stp>
        <stp>[Bbg_Market_Data_CL.xlsm]data!R462C11</stp>
        <tr r="K462" s="1"/>
      </tp>
      <tp t="s">
        <v>#N/A Requesting Data...</v>
        <stp/>
        <stp>##V3_BDHV12</stp>
        <stp>CL2 Comdty</stp>
        <stp>MOV_AVG_30D</stp>
        <stp>04/06/2015</stp>
        <stp>04/06/2015</stp>
        <stp>[Bbg_Market_Data_CL.xlsm]data!R462C11</stp>
        <tr r="K462" s="1"/>
      </tp>
      <tp t="s">
        <v>#N/A Requesting Data...</v>
        <stp/>
        <stp>##V3_BDHV12</stp>
        <stp>CL2 Comdty</stp>
        <stp>MOV_AVG_30D</stp>
        <stp>13/10/2015</stp>
        <stp>13/10/2015</stp>
        <stp>[Bbg_Market_Data_CL.xlsm]data!R372C11</stp>
        <tr r="K372" s="1"/>
      </tp>
      <tp t="s">
        <v>#N/A Requesting Data...</v>
        <stp/>
        <stp>##V3_BDHV12</stp>
        <stp>CL1 Comdty</stp>
        <stp>MOV_AVG_30D</stp>
        <stp>13/10/2015</stp>
        <stp>13/10/2015</stp>
        <stp>[Bbg_Market_Data_CL.xlsm]data!R372C11</stp>
        <tr r="K372" s="1"/>
      </tp>
      <tp t="s">
        <v>#N/A Requesting Data...</v>
        <stp/>
        <stp>##V3_BDHV12</stp>
        <stp>CL2 Comdty</stp>
        <stp>MOV_AVG_30D</stp>
        <stp>14/07/2015</stp>
        <stp>14/07/2015</stp>
        <stp>[Bbg_Market_Data_CL.xlsm]data!R435C11</stp>
        <tr r="K435" s="1"/>
      </tp>
      <tp t="s">
        <v>#N/A Requesting Data...</v>
        <stp/>
        <stp>##V3_BDHV12</stp>
        <stp>CL1 Comdty</stp>
        <stp>MOV_AVG_30D</stp>
        <stp>14/07/2015</stp>
        <stp>14/07/2015</stp>
        <stp>[Bbg_Market_Data_CL.xlsm]data!R435C11</stp>
        <tr r="K435" s="1"/>
      </tp>
      <tp t="s">
        <v>#N/A Requesting Data...</v>
        <stp/>
        <stp>##V3_BDHV12</stp>
        <stp>CL2 Comdty</stp>
        <stp>MOV_AVG_30D</stp>
        <stp>24/04/2015</stp>
        <stp>24/04/2015</stp>
        <stp>[Bbg_Market_Data_CL.xlsm]data!R490C11</stp>
        <tr r="K490" s="1"/>
      </tp>
      <tp t="s">
        <v>#N/A Requesting Data...</v>
        <stp/>
        <stp>##V3_BDHV12</stp>
        <stp>CL1 Comdty</stp>
        <stp>MOV_AVG_30D</stp>
        <stp>24/04/2015</stp>
        <stp>24/04/2015</stp>
        <stp>[Bbg_Market_Data_CL.xlsm]data!R490C11</stp>
        <tr r="K490" s="1"/>
      </tp>
      <tp t="s">
        <v>#N/A Requesting Data...</v>
        <stp/>
        <stp>##V3_BDHV12</stp>
        <stp>CL2 Comdty</stp>
        <stp>MOV_AVG_30D</stp>
        <stp>15/06/2015</stp>
        <stp>15/06/2015</stp>
        <stp>[Bbg_Market_Data_CL.xlsm]data!R455C11</stp>
        <tr r="K455" s="1"/>
      </tp>
      <tp t="s">
        <v>#N/A Requesting Data...</v>
        <stp/>
        <stp>##V3_BDHV12</stp>
        <stp>CL1 Comdty</stp>
        <stp>MOV_AVG_30D</stp>
        <stp>15/06/2015</stp>
        <stp>15/06/2015</stp>
        <stp>[Bbg_Market_Data_CL.xlsm]data!R455C11</stp>
        <tr r="K455" s="1"/>
      </tp>
      <tp t="s">
        <v>#N/A Requesting Data...</v>
        <stp/>
        <stp>##V3_BDHV12</stp>
        <stp>CL1 Comdty</stp>
        <stp>MOV_AVG_30D</stp>
        <stp>12/11/2015</stp>
        <stp>12/11/2015</stp>
        <stp>[Bbg_Market_Data_CL.xlsm]data!R351C11</stp>
        <tr r="K351" s="1"/>
      </tp>
      <tp t="s">
        <v>#N/A Requesting Data...</v>
        <stp/>
        <stp>##V3_BDHV12</stp>
        <stp>CL2 Comdty</stp>
        <stp>MOV_AVG_30D</stp>
        <stp>12/11/2015</stp>
        <stp>12/11/2015</stp>
        <stp>[Bbg_Market_Data_CL.xlsm]data!R351C11</stp>
        <tr r="K351" s="1"/>
      </tp>
      <tp t="s">
        <v>#N/A Requesting Data...</v>
        <stp/>
        <stp>##V3_BDHV12</stp>
        <stp>CL1 Comdty</stp>
        <stp>MOV_AVG_30D</stp>
        <stp>02/10/2015</stp>
        <stp>02/10/2015</stp>
        <stp>[Bbg_Market_Data_CL.xlsm]data!R378C11</stp>
        <tr r="K378" s="1"/>
      </tp>
      <tp t="s">
        <v>#N/A Requesting Data...</v>
        <stp/>
        <stp>##V3_BDHV12</stp>
        <stp>CL2 Comdty</stp>
        <stp>MOV_AVG_30D</stp>
        <stp>02/10/2015</stp>
        <stp>02/10/2015</stp>
        <stp>[Bbg_Market_Data_CL.xlsm]data!R378C11</stp>
        <tr r="K378" s="1"/>
      </tp>
      <tp t="s">
        <v>#N/A Requesting Data...</v>
        <stp/>
        <stp>##V3_BDHV12</stp>
        <stp>CL2 Comdty</stp>
        <stp>MOV_AVG_30D</stp>
        <stp>11/01/2016</stp>
        <stp>11/01/2016</stp>
        <stp>[Bbg_Market_Data_CL.xlsm]data!R312C11</stp>
        <tr r="K312" s="1"/>
      </tp>
      <tp t="s">
        <v>#N/A Requesting Data...</v>
        <stp/>
        <stp>##V3_BDHV12</stp>
        <stp>CL1 Comdty</stp>
        <stp>MOV_AVG_30D</stp>
        <stp>11/01/2016</stp>
        <stp>11/01/2016</stp>
        <stp>[Bbg_Market_Data_CL.xlsm]data!R312C11</stp>
        <tr r="K312" s="1"/>
      </tp>
      <tp t="s">
        <v>#N/A Requesting Data...</v>
        <stp/>
        <stp>##V3_BDHV12</stp>
        <stp>CL1 Comdty</stp>
        <stp>MOV_AVG_30D</stp>
        <stp>22/12/2015</stp>
        <stp>22/12/2015</stp>
        <stp>[Bbg_Market_Data_CL.xlsm]data!R324C11</stp>
        <tr r="K324" s="1"/>
      </tp>
      <tp t="s">
        <v>#N/A Requesting Data...</v>
        <stp/>
        <stp>##V3_BDHV12</stp>
        <stp>CL2 Comdty</stp>
        <stp>MOV_AVG_30D</stp>
        <stp>22/12/2015</stp>
        <stp>22/12/2015</stp>
        <stp>[Bbg_Market_Data_CL.xlsm]data!R324C11</stp>
        <tr r="K324" s="1"/>
      </tp>
      <tp t="s">
        <v>#N/A Requesting Data...</v>
        <stp/>
        <stp>##V3_BDHV12</stp>
        <stp>CL2 Comdty</stp>
        <stp>MOV_AVG_30D</stp>
        <stp>26/06/2015</stp>
        <stp>26/06/2015</stp>
        <stp>[Bbg_Market_Data_CL.xlsm]data!R446C11</stp>
        <tr r="K446" s="1"/>
      </tp>
      <tp t="s">
        <v>#N/A Requesting Data...</v>
        <stp/>
        <stp>##V3_BDHV12</stp>
        <stp>CL1 Comdty</stp>
        <stp>MOV_AVG_30D</stp>
        <stp>26/06/2015</stp>
        <stp>26/06/2015</stp>
        <stp>[Bbg_Market_Data_CL.xlsm]data!R446C11</stp>
        <tr r="K446" s="1"/>
      </tp>
      <tp t="s">
        <v>#N/A Requesting Data...</v>
        <stp/>
        <stp>##V3_BDHV12</stp>
        <stp>CL2 Comdty</stp>
        <stp>MOV_AVG_30D</stp>
        <stp>22/01/2016</stp>
        <stp>22/01/2016</stp>
        <stp>[Bbg_Market_Data_CL.xlsm]data!R304C11</stp>
        <tr r="K304" s="1"/>
      </tp>
      <tp t="s">
        <v>#N/A Requesting Data...</v>
        <stp/>
        <stp>##V3_BDHV12</stp>
        <stp>CL1 Comdty</stp>
        <stp>MOV_AVG_30D</stp>
        <stp>22/01/2016</stp>
        <stp>22/01/2016</stp>
        <stp>[Bbg_Market_Data_CL.xlsm]data!R304C11</stp>
        <tr r="K304" s="1"/>
      </tp>
      <tp t="s">
        <v>#N/A Requesting Data...</v>
        <stp/>
        <stp>##V3_BDHV12</stp>
        <stp>CL2 Comdty</stp>
        <stp>MOV_AVG_30D</stp>
        <stp>11/12/2015</stp>
        <stp>11/12/2015</stp>
        <stp>[Bbg_Market_Data_CL.xlsm]data!R331C11</stp>
        <tr r="K331" s="1"/>
      </tp>
      <tp t="s">
        <v>#N/A Requesting Data...</v>
        <stp/>
        <stp>##V3_BDHV12</stp>
        <stp>CL1 Comdty</stp>
        <stp>MOV_AVG_30D</stp>
        <stp>11/12/2015</stp>
        <stp>11/12/2015</stp>
        <stp>[Bbg_Market_Data_CL.xlsm]data!R331C11</stp>
        <tr r="K331" s="1"/>
      </tp>
      <tp t="s">
        <v>#N/A Requesting Data...</v>
        <stp/>
        <stp>##V3_BDHV12</stp>
        <stp>CL1 Comdty</stp>
        <stp>MOV_AVG_30D</stp>
        <stp>03/02/2016</stp>
        <stp>03/02/2016</stp>
        <stp>[Bbg_Market_Data_CL.xlsm]data!R296C11</stp>
        <tr r="K296" s="1"/>
      </tp>
      <tp t="s">
        <v>#N/A Requesting Data...</v>
        <stp/>
        <stp>##V3_BDHV12</stp>
        <stp>CL2 Comdty</stp>
        <stp>MOV_AVG_30D</stp>
        <stp>03/02/2016</stp>
        <stp>03/02/2016</stp>
        <stp>[Bbg_Market_Data_CL.xlsm]data!R296C11</stp>
        <tr r="K296" s="1"/>
      </tp>
      <tp t="s">
        <v>#N/A Requesting Data...</v>
        <stp/>
        <stp>##V3_BDHV12</stp>
        <stp>CL2 Comdty</stp>
        <stp>MOV_AVG_30D</stp>
        <stp>30/11/2015</stp>
        <stp>30/11/2015</stp>
        <stp>[Bbg_Market_Data_CL.xlsm]data!R340C11</stp>
        <tr r="K340" s="1"/>
      </tp>
      <tp t="s">
        <v>#N/A Requesting Data...</v>
        <stp/>
        <stp>##V3_BDHV12</stp>
        <stp>CL1 Comdty</stp>
        <stp>MOV_AVG_30D</stp>
        <stp>30/11/2015</stp>
        <stp>30/11/2015</stp>
        <stp>[Bbg_Market_Data_CL.xlsm]data!R340C11</stp>
        <tr r="K340" s="1"/>
      </tp>
      <tp t="s">
        <v>#N/A Requesting Data...</v>
        <stp/>
        <stp>##V3_BDHV12</stp>
        <stp>CL2 Comdty</stp>
        <stp>MOV_AVG_30D</stp>
        <stp>02/03/2016</stp>
        <stp>02/03/2016</stp>
        <stp>[Bbg_Market_Data_CL.xlsm]data!R278C11</stp>
        <tr r="K278" s="1"/>
      </tp>
      <tp t="s">
        <v>#N/A Requesting Data...</v>
        <stp/>
        <stp>##V3_BDHV12</stp>
        <stp>CL1 Comdty</stp>
        <stp>MOV_AVG_30D</stp>
        <stp>02/03/2016</stp>
        <stp>02/03/2016</stp>
        <stp>[Bbg_Market_Data_CL.xlsm]data!R278C11</stp>
        <tr r="K278" s="1"/>
      </tp>
      <tp t="s">
        <v>#N/A Requesting Data...</v>
        <stp/>
        <stp>##V3_BDHV12</stp>
        <stp>CL1 Comdty</stp>
        <stp>MOV_AVG_30D</stp>
        <stp>20/10/2015</stp>
        <stp>20/10/2015</stp>
        <stp>[Bbg_Market_Data_CL.xlsm]data!R367C11</stp>
        <tr r="K367" s="1"/>
      </tp>
      <tp t="s">
        <v>#N/A Requesting Data...</v>
        <stp/>
        <stp>##V3_BDHV12</stp>
        <stp>CL2 Comdty</stp>
        <stp>MOV_AVG_30D</stp>
        <stp>20/10/2015</stp>
        <stp>20/10/2015</stp>
        <stp>[Bbg_Market_Data_CL.xlsm]data!R367C11</stp>
        <tr r="K367" s="1"/>
      </tp>
      <tp t="s">
        <v>#N/A Requesting Data...</v>
        <stp/>
        <stp>##V3_BDHV12</stp>
        <stp>CL2 Comdty</stp>
        <stp>MOV_AVG_30D</stp>
        <stp>27/07/2015</stp>
        <stp>27/07/2015</stp>
        <stp>[Bbg_Market_Data_CL.xlsm]data!R426C11</stp>
        <tr r="K426" s="1"/>
      </tp>
      <tp t="s">
        <v>#N/A Requesting Data...</v>
        <stp/>
        <stp>##V3_BDHV12</stp>
        <stp>CL1 Comdty</stp>
        <stp>MOV_AVG_30D</stp>
        <stp>27/07/2015</stp>
        <stp>27/07/2015</stp>
        <stp>[Bbg_Market_Data_CL.xlsm]data!R426C11</stp>
        <tr r="K426" s="1"/>
      </tp>
      <tp t="s">
        <v>#N/A Requesting Data...</v>
        <stp/>
        <stp>##V3_BDHV12</stp>
        <stp>CL1 Comdty</stp>
        <stp>MOV_AVG_30D</stp>
        <stp>17/04/2015</stp>
        <stp>17/04/2015</stp>
        <stp>[Bbg_Market_Data_CL.xlsm]data!R495C11</stp>
        <tr r="K495" s="1"/>
      </tp>
      <tp t="s">
        <v>#N/A Requesting Data...</v>
        <stp/>
        <stp>##V3_BDHV12</stp>
        <stp>CL2 Comdty</stp>
        <stp>MOV_AVG_30D</stp>
        <stp>17/04/2015</stp>
        <stp>17/04/2015</stp>
        <stp>[Bbg_Market_Data_CL.xlsm]data!R495C11</stp>
        <tr r="K495" s="1"/>
      </tp>
      <tp t="s">
        <v>#N/A Requesting Data...</v>
        <stp/>
        <stp>##V3_BDHV12</stp>
        <stp>CL2 Comdty</stp>
        <stp>MOV_AVG_30D</stp>
        <stp>12/02/2016</stp>
        <stp>12/02/2016</stp>
        <stp>[Bbg_Market_Data_CL.xlsm]data!R289C11</stp>
        <tr r="K289" s="1"/>
      </tp>
      <tp t="s">
        <v>#N/A Requesting Data...</v>
        <stp/>
        <stp>##V3_BDHV12</stp>
        <stp>CL1 Comdty</stp>
        <stp>MOV_AVG_30D</stp>
        <stp>12/02/2016</stp>
        <stp>12/02/2016</stp>
        <stp>[Bbg_Market_Data_CL.xlsm]data!R289C11</stp>
        <tr r="K289" s="1"/>
      </tp>
      <tp t="s">
        <v>#N/A Requesting Data...</v>
        <stp/>
        <stp>##V3_BDHV12</stp>
        <stp>CL1 Comdty</stp>
        <stp>MOV_AVG_30D</stp>
        <stp>07/05/2015</stp>
        <stp>07/05/2015</stp>
        <stp>[Bbg_Market_Data_CL.xlsm]data!R481C11</stp>
        <tr r="K481" s="1"/>
      </tp>
      <tp t="s">
        <v>#N/A Requesting Data...</v>
        <stp/>
        <stp>##V3_BDHV12</stp>
        <stp>CL2 Comdty</stp>
        <stp>MOV_AVG_30D</stp>
        <stp>07/05/2015</stp>
        <stp>07/05/2015</stp>
        <stp>[Bbg_Market_Data_CL.xlsm]data!R481C11</stp>
        <tr r="K481" s="1"/>
      </tp>
      <tp t="s">
        <v>#N/A Requesting Data...</v>
        <stp/>
        <stp>##V3_BDHV12</stp>
        <stp>CL2 Comdty</stp>
        <stp>MOV_AVG_30D</stp>
        <stp>09/09/2016</stp>
        <stp>09/09/2016</stp>
        <stp>[Bbg_Market_Data_CL.xlsm]data!R146C11</stp>
        <tr r="K146" s="1"/>
      </tp>
      <tp t="s">
        <v>#N/A Requesting Data...</v>
        <stp/>
        <stp>##V3_BDHV12</stp>
        <stp>CL1 Comdty</stp>
        <stp>MOV_AVG_30D</stp>
        <stp>09/09/2016</stp>
        <stp>09/09/2016</stp>
        <stp>[Bbg_Market_Data_CL.xlsm]data!R146C11</stp>
        <tr r="K146" s="1"/>
      </tp>
      <tp t="s">
        <v>#N/A Requesting Data...</v>
        <stp/>
        <stp>##V3_BDHV12</stp>
        <stp>CL1 Comdty</stp>
        <stp>MOV_AVG_30D</stp>
        <stp>19/08/2016</stp>
        <stp>19/08/2016</stp>
        <stp>[Bbg_Market_Data_CL.xlsm]data!R160C11</stp>
        <tr r="K160" s="1"/>
      </tp>
      <tp t="s">
        <v>#N/A Requesting Data...</v>
        <stp/>
        <stp>##V3_BDHV12</stp>
        <stp>CL2 Comdty</stp>
        <stp>MOV_AVG_30D</stp>
        <stp>19/08/2016</stp>
        <stp>19/08/2016</stp>
        <stp>[Bbg_Market_Data_CL.xlsm]data!R160C11</stp>
        <tr r="K160" s="1"/>
      </tp>
      <tp t="s">
        <v>#N/A Requesting Data...</v>
        <stp/>
        <stp>##V3_BDHV12</stp>
        <stp>CL1 Comdty</stp>
        <stp>MOV_AVG_30D</stp>
        <stp>28/09/2015</stp>
        <stp>28/09/2015</stp>
        <stp>[Bbg_Market_Data_CL.xlsm]data!R382C11</stp>
        <tr r="K382" s="1"/>
      </tp>
      <tp t="s">
        <v>#N/A Requesting Data...</v>
        <stp/>
        <stp>##V3_BDHV12</stp>
        <stp>CL2 Comdty</stp>
        <stp>MOV_AVG_30D</stp>
        <stp>28/09/2015</stp>
        <stp>28/09/2015</stp>
        <stp>[Bbg_Market_Data_CL.xlsm]data!R382C11</stp>
        <tr r="K382" s="1"/>
      </tp>
      <tp t="s">
        <v>#N/A Requesting Data...</v>
        <stp/>
        <stp>##V3_BDHV12</stp>
        <stp>CL2 Comdty</stp>
        <stp>MOV_AVG_30D</stp>
        <stp>15/04/2016</stp>
        <stp>15/04/2016</stp>
        <stp>[Bbg_Market_Data_CL.xlsm]data!R247C11</stp>
        <tr r="K247" s="1"/>
      </tp>
      <tp t="s">
        <v>#N/A Requesting Data...</v>
        <stp/>
        <stp>##V3_BDHV12</stp>
        <stp>CL1 Comdty</stp>
        <stp>MOV_AVG_30D</stp>
        <stp>15/04/2016</stp>
        <stp>15/04/2016</stp>
        <stp>[Bbg_Market_Data_CL.xlsm]data!R247C11</stp>
        <tr r="K247" s="1"/>
      </tp>
      <tp t="s">
        <v>#N/A Requesting Data...</v>
        <stp/>
        <stp>##V3_BDHV12</stp>
        <stp>CL2 Comdty</stp>
        <stp>MOV_AVG_30D</stp>
        <stp>05/05/2016</stp>
        <stp>05/05/2016</stp>
        <stp>[Bbg_Market_Data_CL.xlsm]data!R233C11</stp>
        <tr r="K233" s="1"/>
      </tp>
      <tp t="s">
        <v>#N/A Requesting Data...</v>
        <stp/>
        <stp>##V3_BDHV12</stp>
        <stp>CL1 Comdty</stp>
        <stp>MOV_AVG_30D</stp>
        <stp>05/05/2016</stp>
        <stp>05/05/2016</stp>
        <stp>[Bbg_Market_Data_CL.xlsm]data!R233C11</stp>
        <tr r="K233" s="1"/>
      </tp>
      <tp t="s">
        <v>#N/A Requesting Data...</v>
        <stp/>
        <stp>##V3_BDHV12</stp>
        <stp>CL2 Comdty</stp>
        <stp>MOV_AVG_30D</stp>
        <stp>04/04/2016</stp>
        <stp>04/04/2016</stp>
        <stp>[Bbg_Market_Data_CL.xlsm]data!R256C11</stp>
        <tr r="K256" s="1"/>
      </tp>
      <tp t="s">
        <v>#N/A Requesting Data...</v>
        <stp/>
        <stp>##V3_BDHV12</stp>
        <stp>CL1 Comdty</stp>
        <stp>MOV_AVG_30D</stp>
        <stp>04/04/2016</stp>
        <stp>04/04/2016</stp>
        <stp>[Bbg_Market_Data_CL.xlsm]data!R256C11</stp>
        <tr r="K256" s="1"/>
      </tp>
      <tp t="s">
        <v>#N/A Requesting Data...</v>
        <stp/>
        <stp>##V3_BDHV12</stp>
        <stp>CL2 Comdty</stp>
        <stp>MOV_AVG_30D</stp>
        <stp>07/07/2016</stp>
        <stp>07/07/2016</stp>
        <stp>[Bbg_Market_Data_CL.xlsm]data!R190C11</stp>
        <tr r="K190" s="1"/>
      </tp>
      <tp t="s">
        <v>#N/A Requesting Data...</v>
        <stp/>
        <stp>##V3_BDHV12</stp>
        <stp>CL1 Comdty</stp>
        <stp>MOV_AVG_30D</stp>
        <stp>07/07/2016</stp>
        <stp>07/07/2016</stp>
        <stp>[Bbg_Market_Data_CL.xlsm]data!R190C11</stp>
        <tr r="K190" s="1"/>
      </tp>
      <tp t="s">
        <v>#N/A Requesting Data...</v>
        <stp/>
        <stp>##V3_BDHV12</stp>
        <stp>CL1 Comdty</stp>
        <stp>MOV_AVG_30D</stp>
        <stp>27/05/2016</stp>
        <stp>27/05/2016</stp>
        <stp>[Bbg_Market_Data_CL.xlsm]data!R217C11</stp>
        <tr r="K217" s="1"/>
      </tp>
      <tp t="s">
        <v>#N/A Requesting Data...</v>
        <stp/>
        <stp>##V3_BDHV12</stp>
        <stp>CL2 Comdty</stp>
        <stp>MOV_AVG_30D</stp>
        <stp>27/05/2016</stp>
        <stp>27/05/2016</stp>
        <stp>[Bbg_Market_Data_CL.xlsm]data!R217C11</stp>
        <tr r="K217" s="1"/>
      </tp>
      <tp t="s">
        <v>#N/A Requesting Data...</v>
        <stp/>
        <stp>##V3_BDHV12</stp>
        <stp>CL1 Comdty</stp>
        <stp>MOV_AVG_30D</stp>
        <stp>17/06/2016</stp>
        <stp>17/06/2016</stp>
        <stp>[Bbg_Market_Data_CL.xlsm]data!R203C11</stp>
        <tr r="K203" s="1"/>
      </tp>
      <tp t="s">
        <v>#N/A Requesting Data...</v>
        <stp/>
        <stp>##V3_BDHV12</stp>
        <stp>CL2 Comdty</stp>
        <stp>MOV_AVG_30D</stp>
        <stp>17/06/2016</stp>
        <stp>17/06/2016</stp>
        <stp>[Bbg_Market_Data_CL.xlsm]data!R203C11</stp>
        <tr r="K203" s="1"/>
      </tp>
      <tp t="s">
        <v>#N/A Requesting Data...</v>
        <stp/>
        <stp>##V3_BDHV12</stp>
        <stp>CL1 Comdty</stp>
        <stp>MOV_AVG_30D</stp>
        <stp>24/06/2016</stp>
        <stp>24/06/2016</stp>
        <stp>[Bbg_Market_Data_CL.xlsm]data!R198C11</stp>
        <tr r="K198" s="1"/>
      </tp>
      <tp t="s">
        <v>#N/A Requesting Data...</v>
        <stp/>
        <stp>##V3_BDHV12</stp>
        <stp>CL2 Comdty</stp>
        <stp>MOV_AVG_30D</stp>
        <stp>24/06/2016</stp>
        <stp>24/06/2016</stp>
        <stp>[Bbg_Market_Data_CL.xlsm]data!R198C11</stp>
        <tr r="K198" s="1"/>
      </tp>
      <tp t="s">
        <v>#N/A Requesting Data...</v>
        <stp/>
        <stp>##V3_BDHV12</stp>
        <stp>CL2 Comdty</stp>
        <stp>MOV_AVG_30D</stp>
        <stp>26/04/2016</stp>
        <stp>26/04/2016</stp>
        <stp>[Bbg_Market_Data_CL.xlsm]data!R240C11</stp>
        <tr r="K240" s="1"/>
      </tp>
      <tp t="s">
        <v>#N/A Requesting Data...</v>
        <stp/>
        <stp>##V3_BDHV12</stp>
        <stp>CL1 Comdty</stp>
        <stp>MOV_AVG_30D</stp>
        <stp>26/04/2016</stp>
        <stp>26/04/2016</stp>
        <stp>[Bbg_Market_Data_CL.xlsm]data!R240C11</stp>
        <tr r="K240" s="1"/>
      </tp>
      <tp t="s">
        <v>#N/A Requesting Data...</v>
        <stp/>
        <stp>##V3_BDHV12</stp>
        <stp>CL1 Comdty</stp>
        <stp>MOV_AVG_30D</stp>
        <stp>25/07/2016</stp>
        <stp>25/07/2016</stp>
        <stp>[Bbg_Market_Data_CL.xlsm]data!R178C11</stp>
        <tr r="K178" s="1"/>
      </tp>
      <tp t="s">
        <v>#N/A Requesting Data...</v>
        <stp/>
        <stp>##V3_BDHV12</stp>
        <stp>CL2 Comdty</stp>
        <stp>MOV_AVG_30D</stp>
        <stp>25/07/2016</stp>
        <stp>25/07/2016</stp>
        <stp>[Bbg_Market_Data_CL.xlsm]data!R178C11</stp>
        <tr r="K178" s="1"/>
      </tp>
      <tp t="s">
        <v>#N/A Requesting Data...</v>
        <stp/>
        <stp>##V3_BDHV12</stp>
        <stp>CL1 Comdty</stp>
        <stp>MOV_AVG_30D</stp>
        <stp>06/06/2016</stp>
        <stp>06/06/2016</stp>
        <stp>[Bbg_Market_Data_CL.xlsm]data!R212C11</stp>
        <tr r="K212" s="1"/>
      </tp>
      <tp t="s">
        <v>#N/A Requesting Data...</v>
        <stp/>
        <stp>##V3_BDHV12</stp>
        <stp>CL2 Comdty</stp>
        <stp>MOV_AVG_30D</stp>
        <stp>06/06/2016</stp>
        <stp>06/06/2016</stp>
        <stp>[Bbg_Market_Data_CL.xlsm]data!R212C11</stp>
        <tr r="K212" s="1"/>
      </tp>
      <tp t="s">
        <v>#N/A Requesting Data...</v>
        <stp/>
        <stp>##V3_BDHV12</stp>
        <stp>CL1 Comdty</stp>
        <stp>MOV_AVG_30D</stp>
        <stp>13/11/2015</stp>
        <stp>13/11/2015</stp>
        <stp>[Bbg_Market_Data_CL.xlsm]data!R350C11</stp>
        <tr r="K350" s="1"/>
      </tp>
      <tp t="s">
        <v>#N/A Requesting Data...</v>
        <stp/>
        <stp>##V3_BDHV12</stp>
        <stp>CL2 Comdty</stp>
        <stp>MOV_AVG_30D</stp>
        <stp>13/11/2015</stp>
        <stp>13/11/2015</stp>
        <stp>[Bbg_Market_Data_CL.xlsm]data!R350C11</stp>
        <tr r="K350" s="1"/>
      </tp>
      <tp t="s">
        <v>#N/A Requesting Data...</v>
        <stp/>
        <stp>##V3_BDHV12</stp>
        <stp>CL1 Comdty</stp>
        <stp>MOV_AVG_30D</stp>
        <stp>21/03/2016</stp>
        <stp>21/03/2016</stp>
        <stp>[Bbg_Market_Data_CL.xlsm]data!R265C11</stp>
        <tr r="K265" s="1"/>
      </tp>
      <tp t="s">
        <v>#N/A Requesting Data...</v>
        <stp/>
        <stp>##V3_BDHV12</stp>
        <stp>CL2 Comdty</stp>
        <stp>MOV_AVG_30D</stp>
        <stp>21/03/2016</stp>
        <stp>21/03/2016</stp>
        <stp>[Bbg_Market_Data_CL.xlsm]data!R265C11</stp>
        <tr r="K265" s="1"/>
      </tp>
      <tp t="s">
        <v>#N/A Requesting Data...</v>
        <stp/>
        <stp>##V3_BDHV12</stp>
        <stp>CL2 Comdty</stp>
        <stp>MOV_AVG_30D</stp>
        <stp>23/12/2015</stp>
        <stp>23/12/2015</stp>
        <stp>[Bbg_Market_Data_CL.xlsm]data!R323C11</stp>
        <tr r="K323" s="1"/>
      </tp>
      <tp t="s">
        <v>#N/A Requesting Data...</v>
        <stp/>
        <stp>##V3_BDHV12</stp>
        <stp>CL1 Comdty</stp>
        <stp>MOV_AVG_30D</stp>
        <stp>23/12/2015</stp>
        <stp>23/12/2015</stp>
        <stp>[Bbg_Market_Data_CL.xlsm]data!R323C11</stp>
        <tr r="K323" s="1"/>
      </tp>
      <tp t="s">
        <v>#N/A Requesting Data...</v>
        <stp/>
        <stp>##V3_BDHV12</stp>
        <stp>CL1 Comdty</stp>
        <stp>MOV_AVG_30D</stp>
        <stp>30/03/2016</stp>
        <stp>30/03/2016</stp>
        <stp>[Bbg_Market_Data_CL.xlsm]data!R259C11</stp>
        <tr r="K259" s="1"/>
      </tp>
      <tp t="s">
        <v>#N/A Requesting Data...</v>
        <stp/>
        <stp>##V3_BDHV12</stp>
        <stp>CL2 Comdty</stp>
        <stp>MOV_AVG_30D</stp>
        <stp>30/03/2016</stp>
        <stp>30/03/2016</stp>
        <stp>[Bbg_Market_Data_CL.xlsm]data!R259C11</stp>
        <tr r="K259" s="1"/>
      </tp>
      <tp t="s">
        <v>#N/A Requesting Data...</v>
        <stp/>
        <stp>##V3_BDHV12</stp>
        <stp>CL1 Comdty</stp>
        <stp>MOV_AVG_30D</stp>
        <stp>02/11/2015</stp>
        <stp>02/11/2015</stp>
        <stp>[Bbg_Market_Data_CL.xlsm]data!R358C11</stp>
        <tr r="K358" s="1"/>
      </tp>
      <tp t="s">
        <v>#N/A Requesting Data...</v>
        <stp/>
        <stp>##V3_BDHV12</stp>
        <stp>CL2 Comdty</stp>
        <stp>MOV_AVG_30D</stp>
        <stp>02/11/2015</stp>
        <stp>02/11/2015</stp>
        <stp>[Bbg_Market_Data_CL.xlsm]data!R358C11</stp>
        <tr r="K358" s="1"/>
      </tp>
      <tp t="s">
        <v>#N/A Requesting Data...</v>
        <stp/>
        <stp>##V3_BDHV12</stp>
        <stp>CL2 Comdty</stp>
        <stp>MOV_AVG_30D</stp>
        <stp>05/06/2015</stp>
        <stp>05/06/2015</stp>
        <stp>[Bbg_Market_Data_CL.xlsm]data!R461C11</stp>
        <tr r="K461" s="1"/>
      </tp>
      <tp t="s">
        <v>#N/A Requesting Data...</v>
        <stp/>
        <stp>##V3_BDHV12</stp>
        <stp>CL1 Comdty</stp>
        <stp>MOV_AVG_30D</stp>
        <stp>05/06/2015</stp>
        <stp>05/06/2015</stp>
        <stp>[Bbg_Market_Data_CL.xlsm]data!R461C11</stp>
        <tr r="K461" s="1"/>
      </tp>
      <tp t="s">
        <v>#N/A Requesting Data...</v>
        <stp/>
        <stp>##V3_BDHV12</stp>
        <stp>CL2 Comdty</stp>
        <stp>MOV_AVG_30D</stp>
        <stp>15/07/2015</stp>
        <stp>15/07/2015</stp>
        <stp>[Bbg_Market_Data_CL.xlsm]data!R434C11</stp>
        <tr r="K434" s="1"/>
      </tp>
      <tp t="s">
        <v>#N/A Requesting Data...</v>
        <stp/>
        <stp>##V3_BDHV12</stp>
        <stp>CL1 Comdty</stp>
        <stp>MOV_AVG_30D</stp>
        <stp>15/07/2015</stp>
        <stp>15/07/2015</stp>
        <stp>[Bbg_Market_Data_CL.xlsm]data!R434C11</stp>
        <tr r="K434" s="1"/>
      </tp>
      <tp t="s">
        <v>#N/A Requesting Data...</v>
        <stp/>
        <stp>##V3_BDHV12</stp>
        <stp>CL1 Comdty</stp>
        <stp>MOV_AVG_30D</stp>
        <stp>21/10/2015</stp>
        <stp>21/10/2015</stp>
        <stp>[Bbg_Market_Data_CL.xlsm]data!R366C11</stp>
        <tr r="K366" s="1"/>
      </tp>
      <tp t="s">
        <v>#N/A Requesting Data...</v>
        <stp/>
        <stp>##V3_BDHV12</stp>
        <stp>CL1 Comdty</stp>
        <stp>MOV_AVG_30D</stp>
        <stp>03/03/2016</stp>
        <stp>03/03/2016</stp>
        <stp>[Bbg_Market_Data_CL.xlsm]data!R277C11</stp>
        <tr r="K277" s="1"/>
      </tp>
      <tp t="s">
        <v>#N/A Requesting Data...</v>
        <stp/>
        <stp>##V3_BDHV12</stp>
        <stp>CL2 Comdty</stp>
        <stp>MOV_AVG_30D</stp>
        <stp>03/03/2016</stp>
        <stp>03/03/2016</stp>
        <stp>[Bbg_Market_Data_CL.xlsm]data!R277C11</stp>
        <tr r="K277" s="1"/>
      </tp>
      <tp t="s">
        <v>#N/A Requesting Data...</v>
        <stp/>
        <stp>##V3_BDHV12</stp>
        <stp>CL2 Comdty</stp>
        <stp>MOV_AVG_30D</stp>
        <stp>21/10/2015</stp>
        <stp>21/10/2015</stp>
        <stp>[Bbg_Market_Data_CL.xlsm]data!R366C11</stp>
        <tr r="K366" s="1"/>
      </tp>
      <tp t="s">
        <v>#N/A Requesting Data...</v>
        <stp/>
        <stp>##V3_BDHV12</stp>
        <stp>CL2 Comdty</stp>
        <stp>MOV_AVG_30D</stp>
        <stp>10/11/2016</stp>
        <stp>10/11/2016</stp>
        <stp>[Bbg_Market_Data_CL.xlsm]data!R103C11</stp>
        <tr r="K103" s="1"/>
      </tp>
      <tp t="s">
        <v>#N/A Requesting Data...</v>
        <stp/>
        <stp>##V3_BDHV12</stp>
        <stp>CL1 Comdty</stp>
        <stp>MOV_AVG_30D</stp>
        <stp>10/11/2016</stp>
        <stp>10/11/2016</stp>
        <stp>[Bbg_Market_Data_CL.xlsm]data!R103C11</stp>
        <tr r="K103" s="1"/>
      </tp>
      <tp t="s">
        <v>#N/A Requesting Data...</v>
        <stp/>
        <stp>##V3_BDHV12</stp>
        <stp>CL2 Comdty</stp>
        <stp>MOV_AVG_30D</stp>
        <stp>01/12/2015</stp>
        <stp>01/12/2015</stp>
        <stp>[Bbg_Market_Data_CL.xlsm]data!R339C11</stp>
        <tr r="K339" s="1"/>
      </tp>
      <tp t="s">
        <v>#N/A Requesting Data...</v>
        <stp/>
        <stp>##V3_BDHV12</stp>
        <stp>CL1 Comdty</stp>
        <stp>MOV_AVG_30D</stp>
        <stp>01/12/2015</stp>
        <stp>01/12/2015</stp>
        <stp>[Bbg_Market_Data_CL.xlsm]data!R339C11</stp>
        <tr r="K339" s="1"/>
      </tp>
      <tp t="s">
        <v>#N/A Requesting Data...</v>
        <stp/>
        <stp>##V3_BDHV12</stp>
        <stp>CL2 Comdty</stp>
        <stp>MOV_AVG_30D</stp>
        <stp>16/04/2015</stp>
        <stp>16/04/2015</stp>
        <stp>[Bbg_Market_Data_CL.xlsm]data!R496C11</stp>
        <tr r="K496" s="1"/>
      </tp>
      <tp t="s">
        <v>#N/A Requesting Data...</v>
        <stp/>
        <stp>##V3_BDHV12</stp>
        <stp>CL1 Comdty</stp>
        <stp>MOV_AVG_30D</stp>
        <stp>16/04/2015</stp>
        <stp>16/04/2015</stp>
        <stp>[Bbg_Market_Data_CL.xlsm]data!R496C11</stp>
        <tr r="K496" s="1"/>
      </tp>
      <tp t="s">
        <v>#N/A Requesting Data...</v>
        <stp/>
        <stp>##V3_BDHV12</stp>
        <stp>CL2 Comdty</stp>
        <stp>MOV_AVG_30D</stp>
        <stp>06/05/2015</stp>
        <stp>06/05/2015</stp>
        <stp>[Bbg_Market_Data_CL.xlsm]data!R482C11</stp>
        <tr r="K482" s="1"/>
      </tp>
      <tp t="s">
        <v>#N/A Requesting Data...</v>
        <stp/>
        <stp>##V3_BDHV12</stp>
        <stp>CL1 Comdty</stp>
        <stp>MOV_AVG_30D</stp>
        <stp>06/05/2015</stp>
        <stp>06/05/2015</stp>
        <stp>[Bbg_Market_Data_CL.xlsm]data!R482C11</stp>
        <tr r="K482" s="1"/>
      </tp>
      <tp t="s">
        <v>#N/A Requesting Data...</v>
        <stp/>
        <stp>##V3_BDHV12</stp>
        <stp>CL2 Comdty</stp>
        <stp>MOV_AVG_30D</stp>
        <stp>20/11/2015</stp>
        <stp>20/11/2015</stp>
        <stp>[Bbg_Market_Data_CL.xlsm]data!R345C11</stp>
        <tr r="K345" s="1"/>
      </tp>
      <tp t="s">
        <v>#N/A Requesting Data...</v>
        <stp/>
        <stp>##V3_BDHV12</stp>
        <stp>CL1 Comdty</stp>
        <stp>MOV_AVG_30D</stp>
        <stp>20/11/2015</stp>
        <stp>20/11/2015</stp>
        <stp>[Bbg_Market_Data_CL.xlsm]data!R345C11</stp>
        <tr r="K345" s="1"/>
      </tp>
      <tp t="s">
        <v>#N/A Requesting Data...</v>
        <stp/>
        <stp>##V3_BDHV12</stp>
        <stp>CL2 Comdty</stp>
        <stp>MOV_AVG_30D</stp>
        <stp>30/10/2015</stp>
        <stp>30/10/2015</stp>
        <stp>[Bbg_Market_Data_CL.xlsm]data!R359C11</stp>
        <tr r="K359" s="1"/>
      </tp>
      <tp t="s">
        <v>#N/A Requesting Data...</v>
        <stp/>
        <stp>##V3_BDHV12</stp>
        <stp>CL1 Comdty</stp>
        <stp>MOV_AVG_30D</stp>
        <stp>30/10/2015</stp>
        <stp>30/10/2015</stp>
        <stp>[Bbg_Market_Data_CL.xlsm]data!R359C11</stp>
        <tr r="K359" s="1"/>
      </tp>
      <tp t="s">
        <v>#N/A Requesting Data...</v>
        <stp/>
        <stp>##V3_BDHV12</stp>
        <stp>CL1 Comdty</stp>
        <stp>MOV_AVG_30D</stp>
        <stp>01/11/2016</stp>
        <stp>01/11/2016</stp>
        <stp>[Bbg_Market_Data_CL.xlsm]data!R110C11</stp>
        <tr r="K110" s="1"/>
      </tp>
      <tp t="s">
        <v>#N/A Requesting Data...</v>
        <stp/>
        <stp>##V3_BDHV12</stp>
        <stp>CL2 Comdty</stp>
        <stp>MOV_AVG_30D</stp>
        <stp>01/11/2016</stp>
        <stp>01/11/2016</stp>
        <stp>[Bbg_Market_Data_CL.xlsm]data!R110C11</stp>
        <tr r="K110" s="1"/>
      </tp>
      <tp t="s">
        <v>#N/A Requesting Data...</v>
        <stp/>
        <stp>##V3_BDHV12</stp>
        <stp>CL1 Comdty</stp>
        <stp>MOV_AVG_30D</stp>
        <stp>11/10/2016</stp>
        <stp>11/10/2016</stp>
        <stp>[Bbg_Market_Data_CL.xlsm]data!R125C11</stp>
        <tr r="K125" s="1"/>
      </tp>
      <tp t="s">
        <v>#N/A Requesting Data...</v>
        <stp/>
        <stp>##V3_BDHV12</stp>
        <stp>CL2 Comdty</stp>
        <stp>MOV_AVG_30D</stp>
        <stp>11/10/2016</stp>
        <stp>11/10/2016</stp>
        <stp>[Bbg_Market_Data_CL.xlsm]data!R125C11</stp>
        <tr r="K125" s="1"/>
      </tp>
      <tp t="s">
        <v>#N/A Requesting Data...</v>
        <stp/>
        <stp>##V3_BDHV12</stp>
        <stp>CL1 Comdty</stp>
        <stp>MOV_AVG_30D</stp>
        <stp>10/12/2015</stp>
        <stp>10/12/2015</stp>
        <stp>[Bbg_Market_Data_CL.xlsm]data!R332C11</stp>
        <tr r="K332" s="1"/>
      </tp>
      <tp t="s">
        <v>#N/A Requesting Data...</v>
        <stp/>
        <stp>##V3_BDHV12</stp>
        <stp>CL2 Comdty</stp>
        <stp>MOV_AVG_30D</stp>
        <stp>10/12/2015</stp>
        <stp>10/12/2015</stp>
        <stp>[Bbg_Market_Data_CL.xlsm]data!R332C11</stp>
        <tr r="K332" s="1"/>
      </tp>
      <tp t="s">
        <v>#N/A Requesting Data...</v>
        <stp/>
        <stp>##V3_BDHV12</stp>
        <stp>CL1 Comdty</stp>
        <stp>MOV_AVG_30D</stp>
        <stp>02/02/2016</stp>
        <stp>02/02/2016</stp>
        <stp>[Bbg_Market_Data_CL.xlsm]data!R297C11</stp>
        <tr r="K297" s="1"/>
      </tp>
      <tp t="s">
        <v>#N/A Requesting Data...</v>
        <stp/>
        <stp>##V3_BDHV12</stp>
        <stp>CL2 Comdty</stp>
        <stp>MOV_AVG_30D</stp>
        <stp>02/02/2016</stp>
        <stp>02/02/2016</stp>
        <stp>[Bbg_Market_Data_CL.xlsm]data!R297C11</stp>
        <tr r="K297" s="1"/>
      </tp>
      <tp t="s">
        <v>#N/A Requesting Data...</v>
        <stp/>
        <stp>##V3_BDHV12</stp>
        <stp>CL1 Comdty</stp>
        <stp>MOV_AVG_30D</stp>
        <stp>19/08/2015</stp>
        <stp>19/08/2015</stp>
        <stp>[Bbg_Market_Data_CL.xlsm]data!R409C11</stp>
        <tr r="K409" s="1"/>
      </tp>
      <tp t="s">
        <v>#N/A Requesting Data...</v>
        <stp/>
        <stp>##V3_BDHV12</stp>
        <stp>CL2 Comdty</stp>
        <stp>MOV_AVG_30D</stp>
        <stp>19/08/2015</stp>
        <stp>19/08/2015</stp>
        <stp>[Bbg_Market_Data_CL.xlsm]data!R409C11</stp>
        <tr r="K409" s="1"/>
      </tp>
      <tp t="s">
        <v>#N/A Requesting Data...</v>
        <stp/>
        <stp>##V3_BDHV12</stp>
        <stp>CL1 Comdty</stp>
        <stp>MOV_AVG_30D</stp>
        <stp>28/09/2016</stp>
        <stp>28/09/2016</stp>
        <stp>[Bbg_Market_Data_CL.xlsm]data!R133C11</stp>
        <tr r="K133" s="1"/>
      </tp>
      <tp t="s">
        <v>#N/A Requesting Data...</v>
        <stp/>
        <stp>##V3_BDHV12</stp>
        <stp>CL2 Comdty</stp>
        <stp>MOV_AVG_30D</stp>
        <stp>28/09/2016</stp>
        <stp>28/09/2016</stp>
        <stp>[Bbg_Market_Data_CL.xlsm]data!R133C11</stp>
        <tr r="K133" s="1"/>
      </tp>
      <tp t="s">
        <v>#N/A Requesting Data...</v>
        <stp/>
        <stp>##V3_BDHV12</stp>
        <stp>CL1 Comdty</stp>
        <stp>MOV_AVG_30D</stp>
        <stp>09/09/2015</stp>
        <stp>09/09/2015</stp>
        <stp>[Bbg_Market_Data_CL.xlsm]data!R395C11</stp>
        <tr r="K395" s="1"/>
      </tp>
      <tp t="s">
        <v>#N/A Requesting Data...</v>
        <stp/>
        <stp>##V3_BDHV12</stp>
        <stp>CL2 Comdty</stp>
        <stp>MOV_AVG_30D</stp>
        <stp>09/09/2015</stp>
        <stp>09/09/2015</stp>
        <stp>[Bbg_Market_Data_CL.xlsm]data!R395C11</stp>
        <tr r="K395" s="1"/>
      </tp>
      <tp t="s">
        <v>#N/A Requesting Data...</v>
        <stp/>
        <stp>##V3_BDHV12</stp>
        <stp>CL2 Comdty</stp>
        <stp>MOV_AVG_30D</stp>
        <stp>29/08/2016</stp>
        <stp>29/08/2016</stp>
        <stp>[Bbg_Market_Data_CL.xlsm]data!R154C11</stp>
        <tr r="K154" s="1"/>
      </tp>
      <tp t="s">
        <v>#N/A Requesting Data...</v>
        <stp/>
        <stp>##V3_BDHV12</stp>
        <stp>CL1 Comdty</stp>
        <stp>MOV_AVG_30D</stp>
        <stp>29/08/2016</stp>
        <stp>29/08/2016</stp>
        <stp>[Bbg_Market_Data_CL.xlsm]data!R154C11</stp>
        <tr r="K154" s="1"/>
      </tp>
      <tp t="s">
        <v>#N/A Requesting Data...</v>
        <stp/>
        <stp>##V3_BDHV12</stp>
        <stp>CL1 Comdty</stp>
        <stp>MOV_AVG_30D</stp>
        <stp>18/09/2015</stp>
        <stp>18/09/2015</stp>
        <stp>[Bbg_Market_Data_CL.xlsm]data!R388C11</stp>
        <tr r="K388" s="1"/>
      </tp>
      <tp t="s">
        <v>#N/A Requesting Data...</v>
        <stp/>
        <stp>##V3_BDHV12</stp>
        <stp>CL2 Comdty</stp>
        <stp>MOV_AVG_30D</stp>
        <stp>18/09/2015</stp>
        <stp>18/09/2015</stp>
        <stp>[Bbg_Market_Data_CL.xlsm]data!R388C11</stp>
        <tr r="K388" s="1"/>
      </tp>
      <tp t="s">
        <v>#N/A Requesting Data...</v>
        <stp/>
        <stp>##V3_BDHV12</stp>
        <stp>CL2 Comdty</stp>
        <stp>MOV_AVG_30D</stp>
        <stp>25/04/2016</stp>
        <stp>25/04/2016</stp>
        <stp>[Bbg_Market_Data_CL.xlsm]data!R241C11</stp>
        <tr r="K241" s="1"/>
      </tp>
      <tp t="s">
        <v>#N/A Requesting Data...</v>
        <stp/>
        <stp>##V3_BDHV12</stp>
        <stp>CL1 Comdty</stp>
        <stp>MOV_AVG_30D</stp>
        <stp>25/04/2016</stp>
        <stp>25/04/2016</stp>
        <stp>[Bbg_Market_Data_CL.xlsm]data!R241C11</stp>
        <tr r="K241" s="1"/>
      </tp>
      <tp t="s">
        <v>#N/A Requesting Data...</v>
        <stp/>
        <stp>##V3_BDHV12</stp>
        <stp>CL2 Comdty</stp>
        <stp>MOV_AVG_30D</stp>
        <stp>26/07/2016</stp>
        <stp>26/07/2016</stp>
        <stp>[Bbg_Market_Data_CL.xlsm]data!R177C11</stp>
        <tr r="K177" s="1"/>
      </tp>
      <tp t="s">
        <v>#N/A Requesting Data...</v>
        <stp/>
        <stp>##V3_BDHV12</stp>
        <stp>CL1 Comdty</stp>
        <stp>MOV_AVG_30D</stp>
        <stp>26/07/2016</stp>
        <stp>26/07/2016</stp>
        <stp>[Bbg_Market_Data_CL.xlsm]data!R177C11</stp>
        <tr r="K177" s="1"/>
      </tp>
      <tp t="s">
        <v>#N/A Requesting Data...</v>
        <stp/>
        <stp>##V3_BDHV12</stp>
        <stp>CL1 Comdty</stp>
        <stp>MOV_AVG_30D</stp>
        <stp>14/06/2016</stp>
        <stp>14/06/2016</stp>
        <stp>[Bbg_Market_Data_CL.xlsm]data!R206C11</stp>
        <tr r="K206" s="1"/>
      </tp>
      <tp t="s">
        <v>#N/A Requesting Data...</v>
        <stp/>
        <stp>##V3_BDHV12</stp>
        <stp>CL2 Comdty</stp>
        <stp>MOV_AVG_30D</stp>
        <stp>14/06/2016</stp>
        <stp>14/06/2016</stp>
        <stp>[Bbg_Market_Data_CL.xlsm]data!R206C11</stp>
        <tr r="K206" s="1"/>
      </tp>
      <tp t="s">
        <v>#N/A Requesting Data...</v>
        <stp/>
        <stp>##V3_BDHV12</stp>
        <stp>CL2 Comdty</stp>
        <stp>MOV_AVG_30D</stp>
        <stp>24/05/2016</stp>
        <stp>24/05/2016</stp>
        <stp>[Bbg_Market_Data_CL.xlsm]data!R220C11</stp>
        <tr r="K220" s="1"/>
      </tp>
      <tp t="s">
        <v>#N/A Requesting Data...</v>
        <stp/>
        <stp>##V3_BDHV12</stp>
        <stp>CL1 Comdty</stp>
        <stp>MOV_AVG_30D</stp>
        <stp>24/05/2016</stp>
        <stp>24/05/2016</stp>
        <stp>[Bbg_Market_Data_CL.xlsm]data!R220C11</stp>
        <tr r="K220" s="1"/>
      </tp>
      <tp t="s">
        <v>#N/A Requesting Data...</v>
        <stp/>
        <stp>##V3_BDHV12</stp>
        <stp>CL2 Comdty</stp>
        <stp>MOV_AVG_30D</stp>
        <stp>27/06/2016</stp>
        <stp>27/06/2016</stp>
        <stp>[Bbg_Market_Data_CL.xlsm]data!R197C11</stp>
        <tr r="K197" s="1"/>
      </tp>
      <tp t="s">
        <v>#N/A Requesting Data...</v>
        <stp/>
        <stp>##V3_BDHV12</stp>
        <stp>CL1 Comdty</stp>
        <stp>MOV_AVG_30D</stp>
        <stp>27/06/2016</stp>
        <stp>27/06/2016</stp>
        <stp>[Bbg_Market_Data_CL.xlsm]data!R197C11</stp>
        <tr r="K197" s="1"/>
      </tp>
      <tp t="s">
        <v>#N/A Requesting Data...</v>
        <stp/>
        <stp>##V3_BDHV12</stp>
        <stp>CL2 Comdty</stp>
        <stp>MOV_AVG_30D</stp>
        <stp>07/04/2016</stp>
        <stp>07/04/2016</stp>
        <stp>[Bbg_Market_Data_CL.xlsm]data!R253C11</stp>
        <tr r="K253" s="1"/>
      </tp>
      <tp t="s">
        <v>#N/A Requesting Data...</v>
        <stp/>
        <stp>##V3_BDHV12</stp>
        <stp>CL1 Comdty</stp>
        <stp>MOV_AVG_30D</stp>
        <stp>07/04/2016</stp>
        <stp>07/04/2016</stp>
        <stp>[Bbg_Market_Data_CL.xlsm]data!R253C11</stp>
        <tr r="K253" s="1"/>
      </tp>
      <tp t="s">
        <v>#N/A Requesting Data...</v>
        <stp/>
        <stp>##V3_BDHV12</stp>
        <stp>CL1 Comdty</stp>
        <stp>MOV_AVG_30D</stp>
        <stp>17/05/2016</stp>
        <stp>17/05/2016</stp>
        <stp>[Bbg_Market_Data_CL.xlsm]data!R225C11</stp>
        <tr r="K225" s="1"/>
      </tp>
      <tp t="s">
        <v>#N/A Requesting Data...</v>
        <stp/>
        <stp>##V3_BDHV12</stp>
        <stp>CL2 Comdty</stp>
        <stp>MOV_AVG_30D</stp>
        <stp>17/05/2016</stp>
        <stp>17/05/2016</stp>
        <stp>[Bbg_Market_Data_CL.xlsm]data!R225C11</stp>
        <tr r="K225" s="1"/>
      </tp>
      <tp t="s">
        <v>#N/A Requesting Data...</v>
        <stp/>
        <stp>##V3_BDHV12</stp>
        <stp>CL2 Comdty</stp>
        <stp>MOV_AVG_30D</stp>
        <stp>06/05/2016</stp>
        <stp>06/05/2016</stp>
        <stp>[Bbg_Market_Data_CL.xlsm]data!R232C11</stp>
        <tr r="K232" s="1"/>
      </tp>
      <tp t="s">
        <v>#N/A Requesting Data...</v>
        <stp/>
        <stp>##V3_BDHV12</stp>
        <stp>CL1 Comdty</stp>
        <stp>MOV_AVG_30D</stp>
        <stp>06/05/2016</stp>
        <stp>06/05/2016</stp>
        <stp>[Bbg_Market_Data_CL.xlsm]data!R232C11</stp>
        <tr r="K232" s="1"/>
      </tp>
      <tp t="s">
        <v>#N/A Requesting Data...</v>
        <stp/>
        <stp>##V3_BDHV12</stp>
        <stp>CL2 Comdty</stp>
        <stp>MOV_AVG_30D</stp>
        <stp>15/07/2016</stp>
        <stp>15/07/2016</stp>
        <stp>[Bbg_Market_Data_CL.xlsm]data!R184C11</stp>
        <tr r="K184" s="1"/>
      </tp>
      <tp t="s">
        <v>#N/A Requesting Data...</v>
        <stp/>
        <stp>##V3_BDHV12</stp>
        <stp>CL1 Comdty</stp>
        <stp>MOV_AVG_30D</stp>
        <stp>15/07/2016</stp>
        <stp>15/07/2016</stp>
        <stp>[Bbg_Market_Data_CL.xlsm]data!R184C11</stp>
        <tr r="K184" s="1"/>
      </tp>
      <tp t="s">
        <v>#N/A Requesting Data...</v>
        <stp/>
        <stp>##V3_BDHV12</stp>
        <stp>CL2 Comdty</stp>
        <stp>MOV_AVG_30D</stp>
        <stp>23/11/2015</stp>
        <stp>23/11/2015</stp>
        <stp>[Bbg_Market_Data_CL.xlsm]data!R344C11</stp>
        <tr r="K344" s="1"/>
      </tp>
      <tp t="s">
        <v>#N/A Requesting Data...</v>
        <stp/>
        <stp>##V3_BDHV12</stp>
        <stp>CL1 Comdty</stp>
        <stp>MOV_AVG_30D</stp>
        <stp>23/11/2015</stp>
        <stp>23/11/2015</stp>
        <stp>[Bbg_Market_Data_CL.xlsm]data!R344C11</stp>
        <tr r="K344" s="1"/>
      </tp>
      <tp t="s">
        <v>#N/A Requesting Data...</v>
        <stp/>
        <stp>##V3_BDHV12</stp>
        <stp>CL1 Comdty</stp>
        <stp>MOV_AVG_30D</stp>
        <stp>24/06/2015</stp>
        <stp>24/06/2015</stp>
        <stp>[Bbg_Market_Data_CL.xlsm]data!R448C11</stp>
        <tr r="K448" s="1"/>
      </tp>
      <tp t="s">
        <v>#N/A Requesting Data...</v>
        <stp/>
        <stp>##V3_BDHV12</stp>
        <stp>CL2 Comdty</stp>
        <stp>MOV_AVG_30D</stp>
        <stp>24/06/2015</stp>
        <stp>24/06/2015</stp>
        <stp>[Bbg_Market_Data_CL.xlsm]data!R448C11</stp>
        <tr r="K448" s="1"/>
      </tp>
      <tp t="s">
        <v>#N/A Requesting Data...</v>
        <stp/>
        <stp>##V3_BDHV12</stp>
        <stp>CL2 Comdty</stp>
        <stp>MOV_AVG_30D</stp>
        <stp>14/05/2015</stp>
        <stp>14/05/2015</stp>
        <stp>[Bbg_Market_Data_CL.xlsm]data!R476C11</stp>
        <tr r="K476" s="1"/>
      </tp>
      <tp t="s">
        <v>#N/A Requesting Data...</v>
        <stp/>
        <stp>##V3_BDHV12</stp>
        <stp>CL2 Comdty</stp>
        <stp>MOV_AVG_30D</stp>
        <stp>11/03/2016</stp>
        <stp>11/03/2016</stp>
        <stp>[Bbg_Market_Data_CL.xlsm]data!R271C11</stp>
        <tr r="K271" s="1"/>
      </tp>
      <tp t="s">
        <v>#N/A Requesting Data...</v>
        <stp/>
        <stp>##V3_BDHV12</stp>
        <stp>CL1 Comdty</stp>
        <stp>MOV_AVG_30D</stp>
        <stp>11/03/2016</stp>
        <stp>11/03/2016</stp>
        <stp>[Bbg_Market_Data_CL.xlsm]data!R271C11</stp>
        <tr r="K271" s="1"/>
      </tp>
      <tp t="s">
        <v>#N/A Requesting Data...</v>
        <stp/>
        <stp>##V3_BDHV12</stp>
        <stp>CL1 Comdty</stp>
        <stp>MOV_AVG_30D</stp>
        <stp>14/05/2015</stp>
        <stp>14/05/2015</stp>
        <stp>[Bbg_Market_Data_CL.xlsm]data!R476C11</stp>
        <tr r="K476" s="1"/>
      </tp>
      <tp t="s">
        <v>#N/A Requesting Data...</v>
        <stp/>
        <stp>##V3_BDHV12</stp>
        <stp>CL1 Comdty</stp>
        <stp>MOV_AVG_30D</stp>
        <stp>02/11/2016</stp>
        <stp>02/11/2016</stp>
        <stp>[Bbg_Market_Data_CL.xlsm]data!R109C11</stp>
        <tr r="K109" s="1"/>
      </tp>
      <tp t="s">
        <v>#N/A Requesting Data...</v>
        <stp/>
        <stp>##V3_BDHV12</stp>
        <stp>CL2 Comdty</stp>
        <stp>MOV_AVG_30D</stp>
        <stp>02/11/2016</stp>
        <stp>02/11/2016</stp>
        <stp>[Bbg_Market_Data_CL.xlsm]data!R109C11</stp>
        <tr r="K109" s="1"/>
      </tp>
      <tp t="s">
        <v>#N/A Requesting Data...</v>
        <stp/>
        <stp>##V3_BDHV12</stp>
        <stp>CL1 Comdty</stp>
        <stp>MOV_AVG_30D</stp>
        <stp>20/01/2016</stp>
        <stp>20/01/2016</stp>
        <stp>[Bbg_Market_Data_CL.xlsm]data!R306C11</stp>
        <tr r="K306" s="1"/>
      </tp>
      <tp t="s">
        <v>#N/A Requesting Data...</v>
        <stp/>
        <stp>##V3_BDHV12</stp>
        <stp>CL2 Comdty</stp>
        <stp>MOV_AVG_30D</stp>
        <stp>20/01/2016</stp>
        <stp>20/01/2016</stp>
        <stp>[Bbg_Market_Data_CL.xlsm]data!R306C11</stp>
        <tr r="K306" s="1"/>
      </tp>
      <tp t="s">
        <v>#N/A Requesting Data...</v>
        <stp/>
        <stp>##V3_BDHV12</stp>
        <stp>CL1 Comdty</stp>
        <stp>MOV_AVG_30D</stp>
        <stp>12/10/2016</stp>
        <stp>12/10/2016</stp>
        <stp>[Bbg_Market_Data_CL.xlsm]data!R124C11</stp>
        <tr r="K124" s="1"/>
      </tp>
      <tp t="s">
        <v>#N/A Requesting Data...</v>
        <stp/>
        <stp>##V3_BDHV12</stp>
        <stp>CL2 Comdty</stp>
        <stp>MOV_AVG_30D</stp>
        <stp>12/10/2016</stp>
        <stp>12/10/2016</stp>
        <stp>[Bbg_Market_Data_CL.xlsm]data!R124C11</stp>
        <tr r="K124" s="1"/>
      </tp>
      <tp t="s">
        <v>#N/A Requesting Data...</v>
        <stp/>
        <stp>##V3_BDHV12</stp>
        <stp>CL2 Comdty</stp>
        <stp>MOV_AVG_30D</stp>
        <stp>01/02/2016</stp>
        <stp>01/02/2016</stp>
        <stp>[Bbg_Market_Data_CL.xlsm]data!R298C11</stp>
        <tr r="K298" s="1"/>
      </tp>
      <tp t="s">
        <v>#N/A Requesting Data...</v>
        <stp/>
        <stp>##V3_BDHV12</stp>
        <stp>CL1 Comdty</stp>
        <stp>MOV_AVG_30D</stp>
        <stp>01/02/2016</stp>
        <stp>01/02/2016</stp>
        <stp>[Bbg_Market_Data_CL.xlsm]data!R298C11</stp>
        <tr r="K298" s="1"/>
      </tp>
      <tp t="s">
        <v>#N/A Requesting Data...</v>
        <stp/>
        <stp>##V3_BDHV12</stp>
        <stp>CL2 Comdty</stp>
        <stp>MOV_AVG_30D</stp>
        <stp>22/10/2015</stp>
        <stp>22/10/2015</stp>
        <stp>[Bbg_Market_Data_CL.xlsm]data!R365C11</stp>
        <tr r="K365" s="1"/>
      </tp>
      <tp t="s">
        <v>#N/A Requesting Data...</v>
        <stp/>
        <stp>##V3_BDHV12</stp>
        <stp>CL1 Comdty</stp>
        <stp>MOV_AVG_30D</stp>
        <stp>22/10/2015</stp>
        <stp>22/10/2015</stp>
        <stp>[Bbg_Market_Data_CL.xlsm]data!R365C11</stp>
        <tr r="K365" s="1"/>
      </tp>
      <tp t="s">
        <v>#N/A Requesting Data...</v>
        <stp/>
        <stp>##V3_BDHV12</stp>
        <stp>CL2 Comdty</stp>
        <stp>MOV_AVG_30D</stp>
        <stp>02/12/2015</stp>
        <stp>02/12/2015</stp>
        <stp>[Bbg_Market_Data_CL.xlsm]data!R338C11</stp>
        <tr r="K338" s="1"/>
      </tp>
      <tp t="s">
        <v>#N/A Requesting Data...</v>
        <stp/>
        <stp>##V3_BDHV12</stp>
        <stp>CL1 Comdty</stp>
        <stp>MOV_AVG_30D</stp>
        <stp>02/12/2015</stp>
        <stp>02/12/2015</stp>
        <stp>[Bbg_Market_Data_CL.xlsm]data!R338C11</stp>
        <tr r="K338" s="1"/>
      </tp>
      <tp t="s">
        <v>#N/A Requesting Data...</v>
        <stp/>
        <stp>##V3_BDHV12</stp>
        <stp>CL1 Comdty</stp>
        <stp>MOV_AVG_30D</stp>
        <stp>03/10/2016</stp>
        <stp>03/10/2016</stp>
        <stp>[Bbg_Market_Data_CL.xlsm]data!R130C11</stp>
        <tr r="K130" s="1"/>
      </tp>
      <tp t="s">
        <v>#N/A Requesting Data...</v>
        <stp/>
        <stp>##V3_BDHV12</stp>
        <stp>CL2 Comdty</stp>
        <stp>MOV_AVG_30D</stp>
        <stp>03/10/2016</stp>
        <stp>03/10/2016</stp>
        <stp>[Bbg_Market_Data_CL.xlsm]data!R130C11</stp>
        <tr r="K130" s="1"/>
      </tp>
      <tp t="s">
        <v>#N/A Requesting Data...</v>
        <stp/>
        <stp>##V3_BDHV12</stp>
        <stp>CL2 Comdty</stp>
        <stp>MOV_AVG_30D</stp>
        <stp>10/02/2016</stp>
        <stp>10/02/2016</stp>
        <stp>[Bbg_Market_Data_CL.xlsm]data!R291C11</stp>
        <tr r="K291" s="1"/>
      </tp>
      <tp t="s">
        <v>#N/A Requesting Data...</v>
        <stp/>
        <stp>##V3_BDHV12</stp>
        <stp>CL2 Comdty</stp>
        <stp>MOV_AVG_30D</stp>
        <stp>15/04/2015</stp>
        <stp>15/04/2015</stp>
        <stp>[Bbg_Market_Data_CL.xlsm]data!R497C11</stp>
        <tr r="K497" s="1"/>
      </tp>
      <tp t="s">
        <v>#N/A Requesting Data...</v>
        <stp/>
        <stp>##V3_BDHV12</stp>
        <stp>CL1 Comdty</stp>
        <stp>MOV_AVG_30D</stp>
        <stp>10/02/2016</stp>
        <stp>10/02/2016</stp>
        <stp>[Bbg_Market_Data_CL.xlsm]data!R291C11</stp>
        <tr r="K291" s="1"/>
      </tp>
      <tp t="s">
        <v>#N/A Requesting Data...</v>
        <stp/>
        <stp>##V3_BDHV12</stp>
        <stp>CL1 Comdty</stp>
        <stp>MOV_AVG_30D</stp>
        <stp>15/04/2015</stp>
        <stp>15/04/2015</stp>
        <stp>[Bbg_Market_Data_CL.xlsm]data!R497C11</stp>
        <tr r="K497" s="1"/>
      </tp>
      <tp t="s">
        <v>#N/A Requesting Data...</v>
        <stp/>
        <stp>##V3_BDHV12</stp>
        <stp>CL2 Comdty</stp>
        <stp>MOV_AVG_30D</stp>
        <stp>05/05/2015</stp>
        <stp>05/05/2015</stp>
        <stp>[Bbg_Market_Data_CL.xlsm]data!R483C11</stp>
        <tr r="K483" s="1"/>
      </tp>
      <tp t="s">
        <v>#N/A Requesting Data...</v>
        <stp/>
        <stp>##V3_BDHV12</stp>
        <stp>CL1 Comdty</stp>
        <stp>MOV_AVG_30D</stp>
        <stp>05/05/2015</stp>
        <stp>05/05/2015</stp>
        <stp>[Bbg_Market_Data_CL.xlsm]data!R483C11</stp>
        <tr r="K483" s="1"/>
      </tp>
      <tp t="s">
        <v>#N/A Requesting Data...</v>
        <stp/>
        <stp>##V3_BDHV12</stp>
        <stp>CL1 Comdty</stp>
        <stp>MOV_AVG_30D</stp>
        <stp>31/12/2015</stp>
        <stp>31/12/2015</stp>
        <stp>[Bbg_Market_Data_CL.xlsm]data!R318C11</stp>
        <tr r="K318" s="1"/>
      </tp>
      <tp t="s">
        <v>#N/A Requesting Data...</v>
        <stp/>
        <stp>##V3_BDHV12</stp>
        <stp>CL2 Comdty</stp>
        <stp>MOV_AVG_30D</stp>
        <stp>31/12/2015</stp>
        <stp>31/12/2015</stp>
        <stp>[Bbg_Market_Data_CL.xlsm]data!R318C11</stp>
        <tr r="K318" s="1"/>
      </tp>
      <tp t="s">
        <v>#N/A Requesting Data...</v>
        <stp/>
        <stp>##V3_BDHV12</stp>
        <stp>CL1 Comdty</stp>
        <stp>MOV_AVG_30D</stp>
        <stp>16/07/2015</stp>
        <stp>16/07/2015</stp>
        <stp>[Bbg_Market_Data_CL.xlsm]data!R433C11</stp>
        <tr r="K433" s="1"/>
      </tp>
      <tp t="s">
        <v>#N/A Requesting Data...</v>
        <stp/>
        <stp>##V3_BDHV12</stp>
        <stp>CL2 Comdty</stp>
        <stp>MOV_AVG_30D</stp>
        <stp>16/07/2015</stp>
        <stp>16/07/2015</stp>
        <stp>[Bbg_Market_Data_CL.xlsm]data!R433C11</stp>
        <tr r="K433" s="1"/>
      </tp>
      <tp t="s">
        <v>#N/A Requesting Data...</v>
        <stp/>
        <stp>##V3_BDHV12</stp>
        <stp>CL1 Comdty</stp>
        <stp>MOV_AVG_30D</stp>
        <stp>23/02/2016</stp>
        <stp>23/02/2016</stp>
        <stp>[Bbg_Market_Data_CL.xlsm]data!R284C11</stp>
        <tr r="K284" s="1"/>
      </tp>
      <tp t="s">
        <v>#N/A Requesting Data...</v>
        <stp/>
        <stp>##V3_BDHV12</stp>
        <stp>CL2 Comdty</stp>
        <stp>MOV_AVG_30D</stp>
        <stp>23/02/2016</stp>
        <stp>23/02/2016</stp>
        <stp>[Bbg_Market_Data_CL.xlsm]data!R284C11</stp>
        <tr r="K284" s="1"/>
      </tp>
      <tp t="s">
        <v>#N/A Requesting Data...</v>
        <stp/>
        <stp>##V3_BDHV12</stp>
        <stp>CL1 Comdty</stp>
        <stp>MOV_AVG_30D</stp>
        <stp>17/06/2015</stp>
        <stp>17/06/2015</stp>
        <stp>[Bbg_Market_Data_CL.xlsm]data!R453C11</stp>
        <tr r="K453" s="1"/>
      </tp>
      <tp t="s">
        <v>#N/A Requesting Data...</v>
        <stp/>
        <stp>##V3_BDHV12</stp>
        <stp>CL2 Comdty</stp>
        <stp>MOV_AVG_30D</stp>
        <stp>17/06/2015</stp>
        <stp>17/06/2015</stp>
        <stp>[Bbg_Market_Data_CL.xlsm]data!R453C11</stp>
        <tr r="K453" s="1"/>
      </tp>
      <tp t="s">
        <v>#N/A Requesting Data...</v>
        <stp/>
        <stp>##V3_BDHV12</stp>
        <stp>CL2 Comdty</stp>
        <stp>MOV_AVG_30D</stp>
        <stp>07/07/2015</stp>
        <stp>07/07/2015</stp>
        <stp>[Bbg_Market_Data_CL.xlsm]data!R440C11</stp>
        <tr r="K440" s="1"/>
      </tp>
      <tp t="s">
        <v>#N/A Requesting Data...</v>
        <stp/>
        <stp>##V3_BDHV12</stp>
        <stp>CL1 Comdty</stp>
        <stp>MOV_AVG_30D</stp>
        <stp>07/07/2015</stp>
        <stp>07/07/2015</stp>
        <stp>[Bbg_Market_Data_CL.xlsm]data!R440C11</stp>
        <tr r="K440" s="1"/>
      </tp>
      <tp t="s">
        <v>#N/A Requesting Data...</v>
        <stp/>
        <stp>##V3_BDHV12</stp>
        <stp>CL2 Comdty</stp>
        <stp>MOV_AVG_30D</stp>
        <stp>10/11/2015</stp>
        <stp>10/11/2015</stp>
        <stp>[Bbg_Market_Data_CL.xlsm]data!R352C11</stp>
        <tr r="K352" s="1"/>
      </tp>
      <tp t="s">
        <v>#N/A Requesting Data...</v>
        <stp/>
        <stp>##V3_BDHV12</stp>
        <stp>CL1 Comdty</stp>
        <stp>MOV_AVG_30D</stp>
        <stp>10/11/2015</stp>
        <stp>10/11/2015</stp>
        <stp>[Bbg_Market_Data_CL.xlsm]data!R352C11</stp>
        <tr r="K352" s="1"/>
      </tp>
      <tp t="s">
        <v>#N/A Requesting Data...</v>
        <stp/>
        <stp>##V3_BDHV12</stp>
        <stp>CL2 Comdty</stp>
        <stp>MOV_AVG_30D</stp>
        <stp>27/05/2015</stp>
        <stp>27/05/2015</stp>
        <stp>[Bbg_Market_Data_CL.xlsm]data!R468C11</stp>
        <tr r="K468" s="1"/>
      </tp>
      <tp t="s">
        <v>#N/A Requesting Data...</v>
        <stp/>
        <stp>##V3_BDHV12</stp>
        <stp>CL1 Comdty</stp>
        <stp>MOV_AVG_30D</stp>
        <stp>27/05/2015</stp>
        <stp>27/05/2015</stp>
        <stp>[Bbg_Market_Data_CL.xlsm]data!R468C11</stp>
        <tr r="K468" s="1"/>
      </tp>
      <tp t="s">
        <v>#N/A Requesting Data...</v>
        <stp/>
        <stp>##V3_BDHV12</stp>
        <stp>CL1 Comdty</stp>
        <stp>MOV_AVG_30D</stp>
        <stp>22/03/2016</stp>
        <stp>22/03/2016</stp>
        <stp>[Bbg_Market_Data_CL.xlsm]data!R264C11</stp>
        <tr r="K264" s="1"/>
      </tp>
      <tp t="s">
        <v>#N/A Requesting Data...</v>
        <stp/>
        <stp>##V3_BDHV12</stp>
        <stp>CL2 Comdty</stp>
        <stp>MOV_AVG_30D</stp>
        <stp>22/03/2016</stp>
        <stp>22/03/2016</stp>
        <stp>[Bbg_Market_Data_CL.xlsm]data!R264C11</stp>
        <tr r="K264" s="1"/>
      </tp>
      <tp t="s">
        <v>#N/A Requesting Data...</v>
        <stp/>
        <stp>##V3_BDHV12</stp>
        <stp>CL1 Comdty</stp>
        <stp>MOV_AVG_30D</stp>
        <stp>13/01/2016</stp>
        <stp>13/01/2016</stp>
        <stp>[Bbg_Market_Data_CL.xlsm]data!R310C11</stp>
        <tr r="K310" s="1"/>
      </tp>
      <tp t="s">
        <v>#N/A Requesting Data...</v>
        <stp/>
        <stp>##V3_BDHV12</stp>
        <stp>CL2 Comdty</stp>
        <stp>MOV_AVG_30D</stp>
        <stp>13/01/2016</stp>
        <stp>13/01/2016</stp>
        <stp>[Bbg_Market_Data_CL.xlsm]data!R310C11</stp>
        <tr r="K310" s="1"/>
      </tp>
      <tp t="s">
        <v>#N/A Requesting Data...</v>
        <stp/>
        <stp>##V3_BDHV12</stp>
        <stp>CL1 Comdty</stp>
        <stp>MOV_AVG_30D</stp>
        <stp>21/10/2016</stp>
        <stp>21/10/2016</stp>
        <stp>[Bbg_Market_Data_CL.xlsm]data!R117C11</stp>
        <tr r="K117" s="1"/>
      </tp>
      <tp t="s">
        <v>#N/A Requesting Data...</v>
        <stp/>
        <stp>##V3_BDHV12</stp>
        <stp>CL2 Comdty</stp>
        <stp>MOV_AVG_30D</stp>
        <stp>21/10/2016</stp>
        <stp>21/10/2016</stp>
        <stp>[Bbg_Market_Data_CL.xlsm]data!R117C11</stp>
        <tr r="K117" s="1"/>
      </tp>
      <tp t="s">
        <v>#N/A Requesting Data...</v>
        <stp/>
        <stp>##V3_BDHV12</stp>
        <stp>CL1 Comdty</stp>
        <stp>MOV_AVG_30D</stp>
        <stp>18/08/2015</stp>
        <stp>18/08/2015</stp>
        <stp>[Bbg_Market_Data_CL.xlsm]data!R410C11</stp>
        <tr r="K410" s="1"/>
      </tp>
      <tp t="s">
        <v>#N/A Requesting Data...</v>
        <stp/>
        <stp>##V3_BDHV12</stp>
        <stp>CL2 Comdty</stp>
        <stp>MOV_AVG_30D</stp>
        <stp>18/08/2015</stp>
        <stp>18/08/2015</stp>
        <stp>[Bbg_Market_Data_CL.xlsm]data!R410C11</stp>
        <tr r="K410" s="1"/>
      </tp>
      <tp t="s">
        <v>#N/A Requesting Data...</v>
        <stp/>
        <stp>##V3_BDHV12</stp>
        <stp>CL1 Comdty</stp>
        <stp>MOV_AVG_30D</stp>
        <stp>29/09/2016</stp>
        <stp>29/09/2016</stp>
        <stp>[Bbg_Market_Data_CL.xlsm]data!R132C11</stp>
        <tr r="K132" s="1"/>
      </tp>
      <tp t="s">
        <v>#N/A Requesting Data...</v>
        <stp/>
        <stp>##V3_BDHV12</stp>
        <stp>CL2 Comdty</stp>
        <stp>MOV_AVG_30D</stp>
        <stp>29/09/2016</stp>
        <stp>29/09/2016</stp>
        <stp>[Bbg_Market_Data_CL.xlsm]data!R132C11</stp>
        <tr r="K132" s="1"/>
      </tp>
      <tp t="s">
        <v>#N/A Requesting Data...</v>
        <stp/>
        <stp>##V3_BDHV12</stp>
        <stp>CL2 Comdty</stp>
        <stp>MOV_AVG_30D</stp>
        <stp>08/09/2015</stp>
        <stp>08/09/2015</stp>
        <stp>[Bbg_Market_Data_CL.xlsm]data!R396C11</stp>
        <tr r="K396" s="1"/>
      </tp>
      <tp t="s">
        <v>#N/A Requesting Data...</v>
        <stp/>
        <stp>##V3_BDHV12</stp>
        <stp>CL1 Comdty</stp>
        <stp>MOV_AVG_30D</stp>
        <stp>08/09/2015</stp>
        <stp>08/09/2015</stp>
        <stp>[Bbg_Market_Data_CL.xlsm]data!R396C11</stp>
        <tr r="K396" s="1"/>
      </tp>
      <tp t="s">
        <v>#N/A Requesting Data...</v>
        <stp/>
        <stp>##V3_BDHV12</stp>
        <stp>CL2 Comdty</stp>
        <stp>MOV_AVG_30D</stp>
        <stp>25/05/2016</stp>
        <stp>25/05/2016</stp>
        <stp>[Bbg_Market_Data_CL.xlsm]data!R219C11</stp>
        <tr r="K219" s="1"/>
      </tp>
      <tp t="s">
        <v>#N/A Requesting Data...</v>
        <stp/>
        <stp>##V3_BDHV12</stp>
        <stp>CL1 Comdty</stp>
        <stp>MOV_AVG_30D</stp>
        <stp>25/05/2016</stp>
        <stp>25/05/2016</stp>
        <stp>[Bbg_Market_Data_CL.xlsm]data!R219C11</stp>
        <tr r="K219" s="1"/>
      </tp>
      <tp t="s">
        <v>#N/A Requesting Data...</v>
        <stp/>
        <stp>##V3_BDHV12</stp>
        <stp>CL2 Comdty</stp>
        <stp>MOV_AVG_30D</stp>
        <stp>15/06/2016</stp>
        <stp>15/06/2016</stp>
        <stp>[Bbg_Market_Data_CL.xlsm]data!R205C11</stp>
        <tr r="K205" s="1"/>
      </tp>
      <tp t="s">
        <v>#N/A Requesting Data...</v>
        <stp/>
        <stp>##V3_BDHV12</stp>
        <stp>CL1 Comdty</stp>
        <stp>MOV_AVG_30D</stp>
        <stp>15/06/2016</stp>
        <stp>15/06/2016</stp>
        <stp>[Bbg_Market_Data_CL.xlsm]data!R205C11</stp>
        <tr r="K205" s="1"/>
      </tp>
      <tp t="s">
        <v>#N/A Requesting Data...</v>
        <stp/>
        <stp>##V3_BDHV12</stp>
        <stp>CL2 Comdty</stp>
        <stp>MOV_AVG_30D</stp>
        <stp>27/07/2016</stp>
        <stp>27/07/2016</stp>
        <stp>[Bbg_Market_Data_CL.xlsm]data!R176C11</stp>
        <tr r="K176" s="1"/>
      </tp>
      <tp t="s">
        <v>#N/A Requesting Data...</v>
        <stp/>
        <stp>##V3_BDHV12</stp>
        <stp>CL1 Comdty</stp>
        <stp>MOV_AVG_30D</stp>
        <stp>27/07/2016</stp>
        <stp>27/07/2016</stp>
        <stp>[Bbg_Market_Data_CL.xlsm]data!R176C11</stp>
        <tr r="K176" s="1"/>
      </tp>
      <tp t="s">
        <v>#N/A Requesting Data...</v>
        <stp/>
        <stp>##V3_BDHV12</stp>
        <stp>CL2 Comdty</stp>
        <stp>MOV_AVG_30D</stp>
        <stp>14/07/2016</stp>
        <stp>14/07/2016</stp>
        <stp>[Bbg_Market_Data_CL.xlsm]data!R185C11</stp>
        <tr r="K185" s="1"/>
      </tp>
      <tp t="s">
        <v>#N/A Requesting Data...</v>
        <stp/>
        <stp>##V3_BDHV12</stp>
        <stp>CL1 Comdty</stp>
        <stp>MOV_AVG_30D</stp>
        <stp>14/07/2016</stp>
        <stp>14/07/2016</stp>
        <stp>[Bbg_Market_Data_CL.xlsm]data!R185C11</stp>
        <tr r="K185" s="1"/>
      </tp>
      <tp t="s">
        <v>#N/A Requesting Data...</v>
        <stp/>
        <stp>##V3_BDHV12</stp>
        <stp>CL1 Comdty</stp>
        <stp>MOV_AVG_30D</stp>
        <stp>06/04/2016</stp>
        <stp>06/04/2016</stp>
        <stp>[Bbg_Market_Data_CL.xlsm]data!R254C11</stp>
        <tr r="K254" s="1"/>
      </tp>
      <tp t="s">
        <v>#N/A Requesting Data...</v>
        <stp/>
        <stp>##V3_BDHV12</stp>
        <stp>CL2 Comdty</stp>
        <stp>MOV_AVG_30D</stp>
        <stp>06/04/2016</stp>
        <stp>06/04/2016</stp>
        <stp>[Bbg_Market_Data_CL.xlsm]data!R254C11</stp>
        <tr r="K254" s="1"/>
      </tp>
      <tp t="s">
        <v>#N/A Requesting Data...</v>
        <stp/>
        <stp>##V3_BDHV12</stp>
        <stp>CL2 Comdty</stp>
        <stp>MOV_AVG_30D</stp>
        <stp>16/05/2016</stp>
        <stp>16/05/2016</stp>
        <stp>[Bbg_Market_Data_CL.xlsm]data!R226C11</stp>
        <tr r="K226" s="1"/>
      </tp>
      <tp t="s">
        <v>#N/A Requesting Data...</v>
        <stp/>
        <stp>##V3_BDHV12</stp>
        <stp>CL1 Comdty</stp>
        <stp>MOV_AVG_30D</stp>
        <stp>16/05/2016</stp>
        <stp>16/05/2016</stp>
        <stp>[Bbg_Market_Data_CL.xlsm]data!R226C11</stp>
        <tr r="K226" s="1"/>
      </tp>
      <tp t="s">
        <v>#N/A Requesting Data...</v>
        <stp/>
        <stp>##V3_BDHV12</stp>
        <stp>CL1 Comdty</stp>
        <stp>MOV_AVG_30D</stp>
        <stp>05/07/2016</stp>
        <stp>05/07/2016</stp>
        <stp>[Bbg_Market_Data_CL.xlsm]data!R192C11</stp>
        <tr r="K192" s="1"/>
      </tp>
      <tp t="s">
        <v>#N/A Requesting Data...</v>
        <stp/>
        <stp>##V3_BDHV12</stp>
        <stp>CL2 Comdty</stp>
        <stp>MOV_AVG_30D</stp>
        <stp>05/07/2016</stp>
        <stp>05/07/2016</stp>
        <stp>[Bbg_Market_Data_CL.xlsm]data!R192C11</stp>
        <tr r="K192" s="1"/>
      </tp>
      <tp t="s">
        <v>#N/A Requesting Data...</v>
        <stp/>
        <stp>##V3_BDHV12</stp>
        <stp>CL2 Comdty</stp>
        <stp>MOV_AVG_30D</stp>
        <stp>01/03/2016</stp>
        <stp>01/03/2016</stp>
        <stp>[Bbg_Market_Data_CL.xlsm]data!R279C11</stp>
        <tr r="K279" s="1"/>
      </tp>
      <tp t="s">
        <v>#N/A Requesting Data...</v>
        <stp/>
        <stp>##V3_BDHV12</stp>
        <stp>CL1 Comdty</stp>
        <stp>MOV_AVG_30D</stp>
        <stp>01/03/2016</stp>
        <stp>01/03/2016</stp>
        <stp>[Bbg_Market_Data_CL.xlsm]data!R279C11</stp>
        <tr r="K279" s="1"/>
      </tp>
      <tp t="s">
        <v>#N/A Requesting Data...</v>
        <stp/>
        <stp>##V3_BDHV12</stp>
        <stp>CL2 Comdty</stp>
        <stp>MOV_AVG_30D</stp>
        <stp>23/10/2015</stp>
        <stp>23/10/2015</stp>
        <stp>[Bbg_Market_Data_CL.xlsm]data!R364C11</stp>
        <tr r="K364" s="1"/>
      </tp>
      <tp t="s">
        <v>#N/A Requesting Data...</v>
        <stp/>
        <stp>##V3_BDHV12</stp>
        <stp>CL1 Comdty</stp>
        <stp>MOV_AVG_30D</stp>
        <stp>23/10/2015</stp>
        <stp>23/10/2015</stp>
        <stp>[Bbg_Market_Data_CL.xlsm]data!R364C11</stp>
        <tr r="K364" s="1"/>
      </tp>
      <tp t="s">
        <v>#N/A Requesting Data...</v>
        <stp/>
        <stp>##V3_BDHV12</stp>
        <stp>CL1 Comdty</stp>
        <stp>MOV_AVG_30D</stp>
        <stp>03/12/2015</stp>
        <stp>03/12/2015</stp>
        <stp>[Bbg_Market_Data_CL.xlsm]data!R337C11</stp>
        <tr r="K337" s="1"/>
      </tp>
      <tp t="s">
        <v>#N/A Requesting Data...</v>
        <stp/>
        <stp>##V3_BDHV12</stp>
        <stp>CL2 Comdty</stp>
        <stp>MOV_AVG_30D</stp>
        <stp>03/12/2015</stp>
        <stp>03/12/2015</stp>
        <stp>[Bbg_Market_Data_CL.xlsm]data!R337C11</stp>
        <tr r="K337" s="1"/>
      </tp>
      <tp t="s">
        <v>#N/A Requesting Data...</v>
        <stp/>
        <stp>##V3_BDHV12</stp>
        <stp>CL2 Comdty</stp>
        <stp>MOV_AVG_30D</stp>
        <stp>24/07/2015</stp>
        <stp>24/07/2015</stp>
        <stp>[Bbg_Market_Data_CL.xlsm]data!R427C11</stp>
        <tr r="K427" s="1"/>
      </tp>
      <tp t="s">
        <v>#N/A Requesting Data...</v>
        <stp/>
        <stp>##V3_BDHV12</stp>
        <stp>CL1 Comdty</stp>
        <stp>MOV_AVG_30D</stp>
        <stp>24/07/2015</stp>
        <stp>24/07/2015</stp>
        <stp>[Bbg_Market_Data_CL.xlsm]data!R427C11</stp>
        <tr r="K427" s="1"/>
      </tp>
      <tp t="s">
        <v>#N/A Requesting Data...</v>
        <stp/>
        <stp>##V3_BDHV12</stp>
        <stp>CL1 Comdty</stp>
        <stp>MOV_AVG_30D</stp>
        <stp>14/04/2015</stp>
        <stp>14/04/2015</stp>
        <stp>[Bbg_Market_Data_CL.xlsm]data!R498C11</stp>
        <tr r="K498" s="1"/>
      </tp>
      <tp t="s">
        <v>#N/A Requesting Data...</v>
        <stp/>
        <stp>##V3_BDHV12</stp>
        <stp>CL2 Comdty</stp>
        <stp>MOV_AVG_30D</stp>
        <stp>14/04/2015</stp>
        <stp>14/04/2015</stp>
        <stp>[Bbg_Market_Data_CL.xlsm]data!R498C11</stp>
        <tr r="K498" s="1"/>
      </tp>
      <tp t="s">
        <v>#N/A Requesting Data...</v>
        <stp/>
        <stp>##V3_BDHV12</stp>
        <stp>CL2 Comdty</stp>
        <stp>MOV_AVG_30D</stp>
        <stp>11/02/2016</stp>
        <stp>11/02/2016</stp>
        <stp>[Bbg_Market_Data_CL.xlsm]data!R290C11</stp>
        <tr r="K290" s="1"/>
      </tp>
      <tp t="s">
        <v>#N/A Requesting Data...</v>
        <stp/>
        <stp>##V3_BDHV12</stp>
        <stp>CL1 Comdty</stp>
        <stp>MOV_AVG_30D</stp>
        <stp>11/02/2016</stp>
        <stp>11/02/2016</stp>
        <stp>[Bbg_Market_Data_CL.xlsm]data!R290C11</stp>
        <tr r="K290" s="1"/>
      </tp>
      <tp t="s">
        <v>#N/A Requesting Data...</v>
        <stp/>
        <stp>##V3_BDHV12</stp>
        <stp>CL1 Comdty</stp>
        <stp>MOV_AVG_30D</stp>
        <stp>04/05/2015</stp>
        <stp>04/05/2015</stp>
        <stp>[Bbg_Market_Data_CL.xlsm]data!R484C11</stp>
        <tr r="K484" s="1"/>
      </tp>
      <tp t="s">
        <v>#N/A Requesting Data...</v>
        <stp/>
        <stp>##V3_BDHV12</stp>
        <stp>CL2 Comdty</stp>
        <stp>MOV_AVG_30D</stp>
        <stp>04/05/2015</stp>
        <stp>04/05/2015</stp>
        <stp>[Bbg_Market_Data_CL.xlsm]data!R484C11</stp>
        <tr r="K484" s="1"/>
      </tp>
      <tp t="s">
        <v>#N/A Requesting Data...</v>
        <stp/>
        <stp>##V3_BDHV12</stp>
        <stp>CL2 Comdty</stp>
        <stp>MOV_AVG_30D</stp>
        <stp>25/06/2015</stp>
        <stp>25/06/2015</stp>
        <stp>[Bbg_Market_Data_CL.xlsm]data!R447C11</stp>
        <tr r="K447" s="1"/>
      </tp>
      <tp t="s">
        <v>#N/A Requesting Data...</v>
        <stp/>
        <stp>##V3_BDHV12</stp>
        <stp>CL1 Comdty</stp>
        <stp>MOV_AVG_30D</stp>
        <stp>25/06/2015</stp>
        <stp>25/06/2015</stp>
        <stp>[Bbg_Market_Data_CL.xlsm]data!R447C11</stp>
        <tr r="K447" s="1"/>
      </tp>
      <tp t="s">
        <v>#N/A Requesting Data...</v>
        <stp/>
        <stp>##V3_BDHV12</stp>
        <stp>CL1 Comdty</stp>
        <stp>MOV_AVG_30D</stp>
        <stp>15/05/2015</stp>
        <stp>15/05/2015</stp>
        <stp>[Bbg_Market_Data_CL.xlsm]data!R475C11</stp>
        <tr r="K475" s="1"/>
      </tp>
      <tp t="s">
        <v>#N/A Requesting Data...</v>
        <stp/>
        <stp>##V3_BDHV12</stp>
        <stp>CL1 Comdty</stp>
        <stp>MOV_AVG_30D</stp>
        <stp>10/03/2016</stp>
        <stp>10/03/2016</stp>
        <stp>[Bbg_Market_Data_CL.xlsm]data!R272C11</stp>
        <tr r="K272" s="1"/>
      </tp>
      <tp t="s">
        <v>#N/A Requesting Data...</v>
        <stp/>
        <stp>##V3_BDHV12</stp>
        <stp>CL2 Comdty</stp>
        <stp>MOV_AVG_30D</stp>
        <stp>10/03/2016</stp>
        <stp>10/03/2016</stp>
        <stp>[Bbg_Market_Data_CL.xlsm]data!R272C11</stp>
        <tr r="K272" s="1"/>
      </tp>
      <tp t="s">
        <v>#N/A Requesting Data...</v>
        <stp/>
        <stp>##V3_BDHV12</stp>
        <stp>CL2 Comdty</stp>
        <stp>MOV_AVG_30D</stp>
        <stp>15/05/2015</stp>
        <stp>15/05/2015</stp>
        <stp>[Bbg_Market_Data_CL.xlsm]data!R475C11</stp>
        <tr r="K475" s="1"/>
      </tp>
      <tp t="s">
        <v>#N/A Requesting Data...</v>
        <stp/>
        <stp>##V3_BDHV12</stp>
        <stp>CL1 Comdty</stp>
        <stp>MOV_AVG_30D</stp>
        <stp>03/11/2016</stp>
        <stp>03/11/2016</stp>
        <stp>[Bbg_Market_Data_CL.xlsm]data!R108C11</stp>
        <tr r="K108" s="1"/>
      </tp>
      <tp t="s">
        <v>#N/A Requesting Data...</v>
        <stp/>
        <stp>##V3_BDHV12</stp>
        <stp>CL2 Comdty</stp>
        <stp>MOV_AVG_30D</stp>
        <stp>03/11/2016</stp>
        <stp>03/11/2016</stp>
        <stp>[Bbg_Market_Data_CL.xlsm]data!R108C11</stp>
        <tr r="K108" s="1"/>
      </tp>
      <tp t="s">
        <v>#N/A Requesting Data...</v>
        <stp/>
        <stp>##V3_BDHV12</stp>
        <stp>CL2 Comdty</stp>
        <stp>MOV_AVG_30D</stp>
        <stp>21/01/2016</stp>
        <stp>21/01/2016</stp>
        <stp>[Bbg_Market_Data_CL.xlsm]data!R305C11</stp>
        <tr r="K305" s="1"/>
      </tp>
      <tp t="s">
        <v>#N/A Requesting Data...</v>
        <stp/>
        <stp>##V3_BDHV12</stp>
        <stp>CL1 Comdty</stp>
        <stp>MOV_AVG_30D</stp>
        <stp>21/01/2016</stp>
        <stp>21/01/2016</stp>
        <stp>[Bbg_Market_Data_CL.xlsm]data!R305C11</stp>
        <tr r="K305" s="1"/>
      </tp>
      <tp t="s">
        <v>#N/A Requesting Data...</v>
        <stp/>
        <stp>##V3_BDHV12</stp>
        <stp>CL2 Comdty</stp>
        <stp>MOV_AVG_30D</stp>
        <stp>13/10/2016</stp>
        <stp>13/10/2016</stp>
        <stp>[Bbg_Market_Data_CL.xlsm]data!R123C11</stp>
        <tr r="K123" s="1"/>
      </tp>
      <tp t="s">
        <v>#N/A Requesting Data...</v>
        <stp/>
        <stp>##V3_BDHV12</stp>
        <stp>CL1 Comdty</stp>
        <stp>MOV_AVG_30D</stp>
        <stp>13/10/2016</stp>
        <stp>13/10/2016</stp>
        <stp>[Bbg_Market_Data_CL.xlsm]data!R123C11</stp>
        <tr r="K123" s="1"/>
      </tp>
      <tp t="s">
        <v>#N/A Requesting Data...</v>
        <stp/>
        <stp>##V3_BDHV12</stp>
        <stp>CL2 Comdty</stp>
        <stp>MOV_AVG_30D</stp>
        <stp>16/06/2015</stp>
        <stp>16/06/2015</stp>
        <stp>[Bbg_Market_Data_CL.xlsm]data!R454C11</stp>
        <tr r="K454" s="1"/>
      </tp>
      <tp t="s">
        <v>#N/A Requesting Data...</v>
        <stp/>
        <stp>##V3_BDHV12</stp>
        <stp>CL1 Comdty</stp>
        <stp>MOV_AVG_30D</stp>
        <stp>16/06/2015</stp>
        <stp>16/06/2015</stp>
        <stp>[Bbg_Market_Data_CL.xlsm]data!R454C11</stp>
        <tr r="K454" s="1"/>
      </tp>
      <tp t="s">
        <v>#N/A Requesting Data...</v>
        <stp/>
        <stp>##V3_BDHV12</stp>
        <stp>CL2 Comdty</stp>
        <stp>MOV_AVG_30D</stp>
        <stp>06/07/2015</stp>
        <stp>06/07/2015</stp>
        <stp>[Bbg_Market_Data_CL.xlsm]data!R441C11</stp>
        <tr r="K441" s="1"/>
      </tp>
      <tp t="s">
        <v>#N/A Requesting Data...</v>
        <stp/>
        <stp>##V3_BDHV12</stp>
        <stp>CL1 Comdty</stp>
        <stp>MOV_AVG_30D</stp>
        <stp>06/07/2015</stp>
        <stp>06/07/2015</stp>
        <stp>[Bbg_Market_Data_CL.xlsm]data!R441C11</stp>
        <tr r="K441" s="1"/>
      </tp>
      <tp t="s">
        <v>#N/A Requesting Data...</v>
        <stp/>
        <stp>##V3_BDHV12</stp>
        <stp>CL2 Comdty</stp>
        <stp>MOV_AVG_30D</stp>
        <stp>26/05/2015</stp>
        <stp>26/05/2015</stp>
        <stp>[Bbg_Market_Data_CL.xlsm]data!R469C11</stp>
        <tr r="K469" s="1"/>
      </tp>
      <tp t="s">
        <v>#N/A Requesting Data...</v>
        <stp/>
        <stp>##V3_BDHV12</stp>
        <stp>CL1 Comdty</stp>
        <stp>MOV_AVG_30D</stp>
        <stp>26/05/2015</stp>
        <stp>26/05/2015</stp>
        <stp>[Bbg_Market_Data_CL.xlsm]data!R469C11</stp>
        <tr r="K469" s="1"/>
      </tp>
      <tp t="s">
        <v>#N/A Requesting Data...</v>
        <stp/>
        <stp>##V3_BDHV12</stp>
        <stp>CL1 Comdty</stp>
        <stp>MOV_AVG_30D</stp>
        <stp>01/10/2015</stp>
        <stp>01/10/2015</stp>
        <stp>[Bbg_Market_Data_CL.xlsm]data!R379C11</stp>
        <tr r="K379" s="1"/>
      </tp>
      <tp t="s">
        <v>#N/A Requesting Data...</v>
        <stp/>
        <stp>##V3_BDHV12</stp>
        <stp>CL2 Comdty</stp>
        <stp>MOV_AVG_30D</stp>
        <stp>01/10/2015</stp>
        <stp>01/10/2015</stp>
        <stp>[Bbg_Market_Data_CL.xlsm]data!R379C11</stp>
        <tr r="K379" s="1"/>
      </tp>
      <tp t="s">
        <v>#N/A Requesting Data...</v>
        <stp/>
        <stp>##V3_BDHV12</stp>
        <stp>CL2 Comdty</stp>
        <stp>MOV_AVG_30D</stp>
        <stp>23/03/2016</stp>
        <stp>23/03/2016</stp>
        <stp>[Bbg_Market_Data_CL.xlsm]data!R263C11</stp>
        <tr r="K263" s="1"/>
      </tp>
      <tp t="s">
        <v>#N/A Requesting Data...</v>
        <stp/>
        <stp>##V3_BDHV12</stp>
        <stp>CL1 Comdty</stp>
        <stp>MOV_AVG_30D</stp>
        <stp>23/03/2016</stp>
        <stp>23/03/2016</stp>
        <stp>[Bbg_Market_Data_CL.xlsm]data!R263C11</stp>
        <tr r="K263" s="1"/>
      </tp>
      <tp t="s">
        <v>#N/A Requesting Data...</v>
        <stp/>
        <stp>##V3_BDHV12</stp>
        <stp>CL1 Comdty</stp>
        <stp>MOV_AVG_30D</stp>
        <stp>12/01/2016</stp>
        <stp>12/01/2016</stp>
        <stp>[Bbg_Market_Data_CL.xlsm]data!R311C11</stp>
        <tr r="K311" s="1"/>
      </tp>
      <tp t="s">
        <v>#N/A Requesting Data...</v>
        <stp/>
        <stp>##V3_BDHV12</stp>
        <stp>CL2 Comdty</stp>
        <stp>MOV_AVG_30D</stp>
        <stp>12/01/2016</stp>
        <stp>12/01/2016</stp>
        <stp>[Bbg_Market_Data_CL.xlsm]data!R311C11</stp>
        <tr r="K311" s="1"/>
      </tp>
      <tp t="s">
        <v>#N/A Requesting Data...</v>
        <stp/>
        <stp>##V3_BDHV12</stp>
        <stp>CL2 Comdty</stp>
        <stp>MOV_AVG_30D</stp>
        <stp>20/10/2016</stp>
        <stp>20/10/2016</stp>
        <stp>[Bbg_Market_Data_CL.xlsm]data!R118C11</stp>
        <tr r="K118" s="1"/>
      </tp>
      <tp t="s">
        <v>#N/A Requesting Data...</v>
        <stp/>
        <stp>##V3_BDHV12</stp>
        <stp>CL1 Comdty</stp>
        <stp>MOV_AVG_30D</stp>
        <stp>20/10/2016</stp>
        <stp>20/10/2016</stp>
        <stp>[Bbg_Market_Data_CL.xlsm]data!R118C11</stp>
        <tr r="K118" s="1"/>
      </tp>
      <tp t="s">
        <v>#N/A Requesting Data...</v>
        <stp/>
        <stp>##V3_BDHV12</stp>
        <stp>CL1 Comdty</stp>
        <stp>MOV_AVG_30D</stp>
        <stp>21/12/2015</stp>
        <stp>21/12/2015</stp>
        <stp>[Bbg_Market_Data_CL.xlsm]data!R325C11</stp>
        <tr r="K325" s="1"/>
      </tp>
      <tp t="s">
        <v>#N/A Requesting Data...</v>
        <stp/>
        <stp>##V3_BDHV12</stp>
        <stp>CL2 Comdty</stp>
        <stp>MOV_AVG_30D</stp>
        <stp>21/12/2015</stp>
        <stp>21/12/2015</stp>
        <stp>[Bbg_Market_Data_CL.xlsm]data!R325C11</stp>
        <tr r="K325" s="1"/>
      </tp>
      <tp t="s">
        <v>#N/A Requesting Data...</v>
        <stp/>
        <stp>##V3_BDHV12</stp>
        <stp>CL1 Comdty</stp>
        <stp>MOV_AVG_30D</stp>
        <stp>30/12/2015</stp>
        <stp>30/12/2015</stp>
        <stp>[Bbg_Market_Data_CL.xlsm]data!R319C11</stp>
        <tr r="K319" s="1"/>
      </tp>
      <tp t="s">
        <v>#N/A Requesting Data...</v>
        <stp/>
        <stp>##V3_BDHV12</stp>
        <stp>CL2 Comdty</stp>
        <stp>MOV_AVG_30D</stp>
        <stp>30/12/2015</stp>
        <stp>30/12/2015</stp>
        <stp>[Bbg_Market_Data_CL.xlsm]data!R319C11</stp>
        <tr r="K319" s="1"/>
      </tp>
      <tp t="s">
        <v>#N/A Requesting Data...</v>
        <stp/>
        <stp>##V3_BDHV12</stp>
        <stp>CL2 Comdty</stp>
        <stp>MOV_AVG_30D</stp>
        <stp>31/10/2016</stp>
        <stp>31/10/2016</stp>
        <stp>[Bbg_Market_Data_CL.xlsm]data!R111C11</stp>
        <tr r="K111" s="1"/>
      </tp>
      <tp t="s">
        <v>#N/A Requesting Data...</v>
        <stp/>
        <stp>##V3_BDHV12</stp>
        <stp>CL1 Comdty</stp>
        <stp>MOV_AVG_30D</stp>
        <stp>31/10/2016</stp>
        <stp>31/10/2016</stp>
        <stp>[Bbg_Market_Data_CL.xlsm]data!R111C11</stp>
        <tr r="K111" s="1"/>
      </tp>
      <tp t="s">
        <v>#N/A Requesting Data...</v>
        <stp/>
        <stp>##V3_BDHV12</stp>
        <stp>CL1 Comdty</stp>
        <stp>MOV_AVG_30D</stp>
        <stp>17/07/2015</stp>
        <stp>17/07/2015</stp>
        <stp>[Bbg_Market_Data_CL.xlsm]data!R432C11</stp>
        <tr r="K432" s="1"/>
      </tp>
      <tp t="s">
        <v>#N/A Requesting Data...</v>
        <stp/>
        <stp>##V3_BDHV12</stp>
        <stp>CL2 Comdty</stp>
        <stp>MOV_AVG_30D</stp>
        <stp>17/07/2015</stp>
        <stp>17/07/2015</stp>
        <stp>[Bbg_Market_Data_CL.xlsm]data!R432C11</stp>
        <tr r="K432" s="1"/>
      </tp>
      <tp t="s">
        <v>#N/A Requesting Data...</v>
        <stp/>
        <stp>##V3_BDHV12</stp>
        <stp>CL2 Comdty</stp>
        <stp>MOV_AVG_30D</stp>
        <stp>27/04/2015</stp>
        <stp>27/04/2015</stp>
        <stp>[Bbg_Market_Data_CL.xlsm]data!R489C11</stp>
        <tr r="K489" s="1"/>
      </tp>
      <tp t="s">
        <v>#N/A Requesting Data...</v>
        <stp/>
        <stp>##V3_BDHV12</stp>
        <stp>CL1 Comdty</stp>
        <stp>MOV_AVG_30D</stp>
        <stp>27/04/2015</stp>
        <stp>27/04/2015</stp>
        <stp>[Bbg_Market_Data_CL.xlsm]data!R489C11</stp>
        <tr r="K489" s="1"/>
      </tp>
      <tp t="s">
        <v>#N/A Requesting Data...</v>
        <stp/>
        <stp>##V3_BDHV12</stp>
        <stp>CL1 Comdty</stp>
        <stp>MOV_AVG_30D</stp>
        <stp>22/02/2016</stp>
        <stp>22/02/2016</stp>
        <stp>[Bbg_Market_Data_CL.xlsm]data!R285C11</stp>
        <tr r="K285" s="1"/>
      </tp>
      <tp t="s">
        <v>#N/A Requesting Data...</v>
        <stp/>
        <stp>##V3_BDHV12</stp>
        <stp>CL2 Comdty</stp>
        <stp>MOV_AVG_30D</stp>
        <stp>22/02/2016</stp>
        <stp>22/02/2016</stp>
        <stp>[Bbg_Market_Data_CL.xlsm]data!R285C11</stp>
        <tr r="K285" s="1"/>
      </tp>
      <tp t="s">
        <v>#N/A Requesting Data...</v>
        <stp/>
        <stp>##V3_BDHV12</stp>
        <stp>CL1 Comdty</stp>
        <stp>VOLATILITY_10D</stp>
        <stp>29/07/2015</stp>
        <stp>29/07/2015</stp>
        <stp>[Bbg_Market_Data_CL.xlsm]data!R424C17</stp>
        <tr r="Q424" s="1"/>
      </tp>
      <tp t="s">
        <v>#N/A Requesting Data...</v>
        <stp/>
        <stp>##V3_BDHV12</stp>
        <stp>CL2 Comdty</stp>
        <stp>VOLATILITY_10D</stp>
        <stp>09/06/2015</stp>
        <stp>09/06/2015</stp>
        <stp>[Bbg_Market_Data_CL.xlsm]data!R459C17</stp>
        <tr r="Q459" s="1"/>
      </tp>
      <tp t="s">
        <v>#N/A Requesting Data...</v>
        <stp/>
        <stp>##V3_BDHV12</stp>
        <stp>CL1 Comdty</stp>
        <stp>VOLATILITY_30D</stp>
        <stp>29/05/2015</stp>
        <stp>29/05/2015</stp>
        <stp>[Bbg_Market_Data_CL.xlsm]data!R466C18</stp>
        <tr r="R466" s="1"/>
      </tp>
      <tp t="s">
        <v>#N/A Requesting Data...</v>
        <stp/>
        <stp>##V3_BDHV12</stp>
        <stp>CL2 Comdty</stp>
        <stp>VOLATILITY_10D</stp>
        <stp>29/04/2015</stp>
        <stp>29/04/2015</stp>
        <stp>[Bbg_Market_Data_CL.xlsm]data!R487C17</stp>
        <tr r="Q487" s="1"/>
      </tp>
      <tp t="s">
        <v>#N/A Requesting Data...</v>
        <stp/>
        <stp>##V3_BDHV12</stp>
        <stp>CL2 Comdty</stp>
        <stp>VOLATILITY_30D</stp>
        <stp>19/05/2015</stp>
        <stp>19/05/2015</stp>
        <stp>[Bbg_Market_Data_CL.xlsm]data!R473C18</stp>
        <tr r="R473" s="1"/>
      </tp>
      <tp t="s">
        <v>#N/A Requesting Data...</v>
        <stp/>
        <stp>##V3_BDHV12</stp>
        <stp>CL2 Comdty</stp>
        <stp>VOLATILITY_30D</stp>
        <stp>29/06/2015</stp>
        <stp>29/06/2015</stp>
        <stp>[Bbg_Market_Data_CL.xlsm]data!R445C18</stp>
        <tr r="R445" s="1"/>
      </tp>
      <tp t="s">
        <v>#N/A Requesting Data...</v>
        <stp/>
        <stp>##V3_BDHV12</stp>
        <stp>CL1 Comdty</stp>
        <stp>VOLATILITY_30D</stp>
        <stp>19/06/2015</stp>
        <stp>19/06/2015</stp>
        <stp>[Bbg_Market_Data_CL.xlsm]data!R451C18</stp>
        <tr r="R451" s="1"/>
      </tp>
      <tp t="s">
        <v>#N/A Requesting Data...</v>
        <stp/>
        <stp>##V3_BDHV12</stp>
        <stp>CL1 Comdty</stp>
        <stp>VOLATILITY_30D</stp>
        <stp>09/07/2015</stp>
        <stp>09/07/2015</stp>
        <stp>[Bbg_Market_Data_CL.xlsm]data!R438C18</stp>
        <tr r="R438" s="1"/>
      </tp>
      <tp t="s">
        <v>#N/A Requesting Data...</v>
        <stp/>
        <stp>##V3_BDHV12</stp>
        <stp>CL2 Comdty</stp>
        <stp>VOLATILITY_10D</stp>
        <stp>08/07/2015</stp>
        <stp>08/07/2015</stp>
        <stp>[Bbg_Market_Data_CL.xlsm]data!R439C17</stp>
        <tr r="Q439" s="1"/>
      </tp>
      <tp t="s">
        <v>#N/A Requesting Data...</v>
        <stp/>
        <stp>##V3_BDHV12</stp>
        <stp>CL2 Comdty</stp>
        <stp>VOLATILITY_10D</stp>
        <stp>18/06/2015</stp>
        <stp>18/06/2015</stp>
        <stp>[Bbg_Market_Data_CL.xlsm]data!R452C17</stp>
        <tr r="Q452" s="1"/>
      </tp>
      <tp t="s">
        <v>#N/A Requesting Data...</v>
        <stp/>
        <stp>##V3_BDHV12</stp>
        <stp>CL1 Comdty</stp>
        <stp>VOLATILITY_10D</stp>
        <stp>18/05/2015</stp>
        <stp>18/05/2015</stp>
        <stp>[Bbg_Market_Data_CL.xlsm]data!R474C17</stp>
        <tr r="Q474" s="1"/>
      </tp>
      <tp t="s">
        <v>#N/A Requesting Data...</v>
        <stp/>
        <stp>##V3_BDHV12</stp>
        <stp>CL2 Comdty</stp>
        <stp>VOLATILITY_30D</stp>
        <stp>08/05/2015</stp>
        <stp>08/05/2015</stp>
        <stp>[Bbg_Market_Data_CL.xlsm]data!R480C18</stp>
        <tr r="R480" s="1"/>
      </tp>
      <tp t="s">
        <v>#N/A Requesting Data...</v>
        <stp/>
        <stp>##V3_BDHV12</stp>
        <stp>CL1 Comdty</stp>
        <stp>VOLATILITY_30D</stp>
        <stp>28/04/2015</stp>
        <stp>28/04/2015</stp>
        <stp>[Bbg_Market_Data_CL.xlsm]data!R488C18</stp>
        <tr r="R488" s="1"/>
      </tp>
      <tp t="s">
        <v>#N/A Requesting Data...</v>
        <stp/>
        <stp>##V3_BDHV12</stp>
        <stp>CL2 Comdty</stp>
        <stp>VOLATILITY_10D</stp>
        <stp>28/05/2015</stp>
        <stp>28/05/2015</stp>
        <stp>[Bbg_Market_Data_CL.xlsm]data!R467C17</stp>
        <tr r="Q467" s="1"/>
      </tp>
      <tp t="s">
        <v>#N/A Requesting Data...</v>
        <stp/>
        <stp>##V3_BDHV12</stp>
        <stp>CL1 Comdty</stp>
        <stp>VOLATILITY_30D</stp>
        <stp>08/06/2015</stp>
        <stp>08/06/2015</stp>
        <stp>[Bbg_Market_Data_CL.xlsm]data!R460C18</stp>
        <tr r="R460" s="1"/>
      </tp>
      <tp t="s">
        <v>#N/A Requesting Data...</v>
        <stp/>
        <stp>##V3_BDHV12</stp>
        <stp>CL2 Comdty</stp>
        <stp>VOLATILITY_30D</stp>
        <stp>28/07/2015</stp>
        <stp>28/07/2015</stp>
        <stp>[Bbg_Market_Data_CL.xlsm]data!R425C18</stp>
        <tr r="R425" s="1"/>
      </tp>
      <tp>
        <v>19.82</v>
        <stp/>
        <stp>##V3_BDHV12</stp>
        <stp>CL2 Comdty</stp>
        <stp>VOLATILITY_10D</stp>
        <stp>29/07/2016</stp>
        <stp>29/07/2016</stp>
        <stp>[Bbg_Market_Data_CL.xlsm]data!R174C17</stp>
        <tr r="Q174" s="1"/>
      </tp>
      <tp t="s">
        <v>#N/A Requesting Data...</v>
        <stp/>
        <stp>##V3_BDHV12</stp>
        <stp>CL1 Comdty</stp>
        <stp>VOLATILITY_30D</stp>
        <stp>29/06/2016</stp>
        <stp>29/06/2016</stp>
        <stp>[Bbg_Market_Data_CL.xlsm]data!R195C18</stp>
        <tr r="R195" s="1"/>
      </tp>
      <tp t="s">
        <v>#N/A Requesting Data...</v>
        <stp/>
        <stp>##V3_BDHV12</stp>
        <stp>CL1 Comdty</stp>
        <stp>VOLATILITY_10D</stp>
        <stp>19/07/2016</stp>
        <stp>19/07/2016</stp>
        <stp>[Bbg_Market_Data_CL.xlsm]data!R182C17</stp>
        <tr r="Q182" s="1"/>
      </tp>
      <tp>
        <v>45.85</v>
        <stp/>
        <stp>##V3_BDHV12</stp>
        <stp>CL2 Comdty</stp>
        <stp>VOLATILITY_30D</stp>
        <stp>18/07/2016</stp>
        <stp>18/07/2016</stp>
        <stp>[Bbg_Market_Data_CL.xlsm]data!R183C18</stp>
        <tr r="R183" s="1"/>
      </tp>
      <tp>
        <v>51.87</v>
        <stp/>
        <stp>##V3_BDHV12</stp>
        <stp>CL2 Comdty</stp>
        <stp>VOLATILITY_10D</stp>
        <stp>28/06/2016</stp>
        <stp>28/06/2016</stp>
        <stp>[Bbg_Market_Data_CL.xlsm]data!R196C17</stp>
        <tr r="Q196" s="1"/>
      </tp>
      <tp t="s">
        <v>#N/A Requesting Data...</v>
        <stp/>
        <stp>##V3_BDHV12</stp>
        <stp>CL1 Comdty</stp>
        <stp>VOLATILITY_30D</stp>
        <stp>28/07/2016</stp>
        <stp>28/07/2016</stp>
        <stp>[Bbg_Market_Data_CL.xlsm]data!R175C18</stp>
        <tr r="R175" s="1"/>
      </tp>
      <tp t="s">
        <v>#N/A Requesting Data...</v>
        <stp/>
        <stp>##V3_BDHV12</stp>
        <stp>CL1 Comdty</stp>
        <stp>VOLATILITY_10D</stp>
        <stp>08/07/2016</stp>
        <stp>08/07/2016</stp>
        <stp>[Bbg_Market_Data_CL.xlsm]data!R189C17</stp>
        <tr r="Q189" s="1"/>
      </tp>
      <tp>
        <v>34.76</v>
        <stp/>
        <stp>##V3_BDHV12</stp>
        <stp>CL2 Comdty</stp>
        <stp>VOLATILITY_10D</stp>
        <stp>18/05/2016</stp>
        <stp>18/05/2016</stp>
        <stp>[Bbg_Market_Data_CL.xlsm]data!R224C17</stp>
        <tr r="Q224" s="1"/>
      </tp>
      <tp>
        <v>56.28</v>
        <stp/>
        <stp>##V3_BDHV12</stp>
        <stp>CL2 Comdty</stp>
        <stp>VOLATILITY_10D</stp>
        <stp>08/04/2016</stp>
        <stp>08/04/2016</stp>
        <stp>[Bbg_Market_Data_CL.xlsm]data!R252C17</stp>
        <tr r="Q252" s="1"/>
      </tp>
      <tp t="s">
        <v>#N/A Requesting Data...</v>
        <stp/>
        <stp>##V3_BDHV12</stp>
        <stp>CL1 Comdty</stp>
        <stp>VOLATILITY_30D</stp>
        <stp>18/04/2016</stp>
        <stp>18/04/2016</stp>
        <stp>[Bbg_Market_Data_CL.xlsm]data!R246C18</stp>
        <tr r="R246" s="1"/>
      </tp>
      <tp>
        <v>42.44</v>
        <stp/>
        <stp>##V3_BDHV12</stp>
        <stp>CL2 Comdty</stp>
        <stp>VOLATILITY_30D</stp>
        <stp>28/04/2016</stp>
        <stp>28/04/2016</stp>
        <stp>[Bbg_Market_Data_CL.xlsm]data!R238C18</stp>
        <tr r="R238" s="1"/>
      </tp>
      <tp>
        <v>25.96</v>
        <stp/>
        <stp>##V3_BDHV12</stp>
        <stp>CL2 Comdty</stp>
        <stp>VOLATILITY_30D</stp>
        <stp>08/06/2016</stp>
        <stp>08/06/2016</stp>
        <stp>[Bbg_Market_Data_CL.xlsm]data!R210C18</stp>
        <tr r="R210" s="1"/>
      </tp>
      <tp t="s">
        <v>#N/A Requesting Data...</v>
        <stp/>
        <stp>##V3_BDHV12</stp>
        <stp>CL1 Comdty</stp>
        <stp>VOLATILITY_10D</stp>
        <stp>09/06/2016</stp>
        <stp>09/06/2016</stp>
        <stp>[Bbg_Market_Data_CL.xlsm]data!R209C17</stp>
        <tr r="Q209" s="1"/>
      </tp>
      <tp t="s">
        <v>#N/A Requesting Data...</v>
        <stp/>
        <stp>##V3_BDHV12</stp>
        <stp>CL1 Comdty</stp>
        <stp>VOLATILITY_10D</stp>
        <stp>29/04/2016</stp>
        <stp>29/04/2016</stp>
        <stp>[Bbg_Market_Data_CL.xlsm]data!R237C17</stp>
        <tr r="Q237" s="1"/>
      </tp>
      <tp>
        <v>32.75</v>
        <stp/>
        <stp>##V3_BDHV12</stp>
        <stp>CL2 Comdty</stp>
        <stp>VOLATILITY_10D</stp>
        <stp>09/05/2016</stp>
        <stp>09/05/2016</stp>
        <stp>[Bbg_Market_Data_CL.xlsm]data!R231C17</stp>
        <tr r="Q231" s="1"/>
      </tp>
      <tp>
        <v>48.14</v>
        <stp/>
        <stp>##V3_BDHV12</stp>
        <stp>CL2 Comdty</stp>
        <stp>VOLATILITY_10D</stp>
        <stp>19/04/2016</stp>
        <stp>19/04/2016</stp>
        <stp>[Bbg_Market_Data_CL.xlsm]data!R245C17</stp>
        <tr r="Q245" s="1"/>
      </tp>
      <tp t="s">
        <v>#N/A Requesting Data...</v>
        <stp/>
        <stp>##V3_BDHV12</stp>
        <stp>CL1 Comdty</stp>
        <stp>VOLATILITY_30D</stp>
        <stp>19/05/2016</stp>
        <stp>19/05/2016</stp>
        <stp>[Bbg_Market_Data_CL.xlsm]data!R223C18</stp>
        <tr r="R223" s="1"/>
      </tp>
      <tp t="s">
        <v>#N/A Requesting Data...</v>
        <stp/>
        <stp>##V3_BDHV12</stp>
        <stp>CL1 Comdty</stp>
        <stp>VOLATILITY_10D</stp>
        <stp>25/08/2016</stp>
        <stp>25/08/2016</stp>
        <stp>[Bbg_Market_Data_CL.xlsm]data!R156C17</stp>
        <tr r="Q156" s="1"/>
      </tp>
      <tp>
        <v>61.01</v>
        <stp/>
        <stp>##V3_BDHV12</stp>
        <stp>CL2 Comdty</stp>
        <stp>VOLATILITY_30D</stp>
        <stp>04/09/2015</stp>
        <stp>04/09/2015</stp>
        <stp>[Bbg_Market_Data_CL.xlsm]data!R397C18</stp>
        <tr r="R397" s="1"/>
      </tp>
      <tp>
        <v>34.6</v>
        <stp/>
        <stp>##V3_BDHV12</stp>
        <stp>CL2 Comdty</stp>
        <stp>VOLATILITY_10D</stp>
        <stp>15/08/2016</stp>
        <stp>15/08/2016</stp>
        <stp>[Bbg_Market_Data_CL.xlsm]data!R164C17</stp>
        <tr r="Q164" s="1"/>
      </tp>
      <tp t="s">
        <v>#N/A Requesting Data...</v>
        <stp/>
        <stp>##V3_BDHV12</stp>
        <stp>CL1 Comdty</stp>
        <stp>VOLATILITY_30D</stp>
        <stp>05/08/2016</stp>
        <stp>05/08/2016</stp>
        <stp>[Bbg_Market_Data_CL.xlsm]data!R169C18</stp>
        <tr r="R169" s="1"/>
      </tp>
      <tp t="s">
        <v>#N/A Requesting Data...</v>
        <stp/>
        <stp>##V3_BDHV12</stp>
        <stp>CL1 Comdty</stp>
        <stp>VOLATILITY_10D</stp>
        <stp>14/09/2015</stp>
        <stp>14/09/2015</stp>
        <stp>[Bbg_Market_Data_CL.xlsm]data!R392C17</stp>
        <tr r="Q392" s="1"/>
      </tp>
      <tp>
        <v>52.32</v>
        <stp/>
        <stp>##V3_BDHV12</stp>
        <stp>CL2 Comdty</stp>
        <stp>VOLATILITY_10D</stp>
        <stp>24/09/2015</stp>
        <stp>24/09/2015</stp>
        <stp>[Bbg_Market_Data_CL.xlsm]data!R384C17</stp>
        <tr r="Q384" s="1"/>
      </tp>
      <tp t="s">
        <v>#N/A Requesting Data...</v>
        <stp/>
        <stp>##V3_BDHV12</stp>
        <stp>CL1 Comdty</stp>
        <stp>VOLATILITY_30D</stp>
        <stp>15/09/2016</stp>
        <stp>15/09/2016</stp>
        <stp>[Bbg_Market_Data_CL.xlsm]data!R142C18</stp>
        <tr r="R142" s="1"/>
      </tp>
      <tp>
        <v>49.6</v>
        <stp/>
        <stp>##V3_BDHV12</stp>
        <stp>CL2 Comdty</stp>
        <stp>VOLATILITY_10D</stp>
        <stp>14/09/2016</stp>
        <stp>14/09/2016</stp>
        <stp>[Bbg_Market_Data_CL.xlsm]data!R143C17</stp>
        <tr r="Q143" s="1"/>
      </tp>
      <tp t="s">
        <v>#N/A Requesting Data...</v>
        <stp/>
        <stp>##V3_BDHV12</stp>
        <stp>CL1 Comdty</stp>
        <stp>VOLATILITY_30D</stp>
        <stp>25/09/2015</stp>
        <stp>25/09/2015</stp>
        <stp>[Bbg_Market_Data_CL.xlsm]data!R383C18</stp>
        <tr r="R383" s="1"/>
      </tp>
      <tp>
        <v>38.020000000000003</v>
        <stp/>
        <stp>##V3_BDHV12</stp>
        <stp>CL2 Comdty</stp>
        <stp>VOLATILITY_10D</stp>
        <stp>04/08/2016</stp>
        <stp>04/08/2016</stp>
        <stp>[Bbg_Market_Data_CL.xlsm]data!R170C17</stp>
        <tr r="Q170" s="1"/>
      </tp>
      <tp>
        <v>61.67</v>
        <stp/>
        <stp>##V3_BDHV12</stp>
        <stp>CL2 Comdty</stp>
        <stp>VOLATILITY_30D</stp>
        <stp>15/09/2015</stp>
        <stp>15/09/2015</stp>
        <stp>[Bbg_Market_Data_CL.xlsm]data!R391C18</stp>
        <tr r="R391" s="1"/>
      </tp>
      <tp>
        <v>35.32</v>
        <stp/>
        <stp>##V3_BDHV12</stp>
        <stp>CL2 Comdty</stp>
        <stp>VOLATILITY_30D</stp>
        <stp>24/08/2016</stp>
        <stp>24/08/2016</stp>
        <stp>[Bbg_Market_Data_CL.xlsm]data!R157C18</stp>
        <tr r="R157" s="1"/>
      </tp>
      <tp>
        <v>43.65</v>
        <stp/>
        <stp>##V3_BDHV12</stp>
        <stp>CL2 Comdty</stp>
        <stp>VOLATILITY_10D</stp>
        <stp>27/09/2016</stp>
        <stp>27/09/2016</stp>
        <stp>[Bbg_Market_Data_CL.xlsm]data!R134C17</stp>
        <tr r="Q134" s="1"/>
      </tp>
      <tp t="s">
        <v>#N/A Requesting Data...</v>
        <stp/>
        <stp>##V3_BDHV12</stp>
        <stp>CL1 Comdty</stp>
        <stp>VOLATILITY_30D</stp>
        <stp>16/09/2015</stp>
        <stp>16/09/2015</stp>
        <stp>[Bbg_Market_Data_CL.xlsm]data!R390C18</stp>
        <tr r="R390" s="1"/>
      </tp>
      <tp>
        <v>36.78</v>
        <stp/>
        <stp>##V3_BDHV12</stp>
        <stp>CL2 Comdty</stp>
        <stp>VOLATILITY_30D</stp>
        <stp>17/08/2016</stp>
        <stp>17/08/2016</stp>
        <stp>[Bbg_Market_Data_CL.xlsm]data!R162C18</stp>
        <tr r="R162" s="1"/>
      </tp>
      <tp>
        <v>38.229999999999997</v>
        <stp/>
        <stp>##V3_BDHV12</stp>
        <stp>CL2 Comdty</stp>
        <stp>VOLATILITY_30D</stp>
        <stp>07/09/2016</stp>
        <stp>07/09/2016</stp>
        <stp>[Bbg_Market_Data_CL.xlsm]data!R148C18</stp>
        <tr r="R148" s="1"/>
      </tp>
      <tp>
        <v>35.5</v>
        <stp/>
        <stp>##V3_BDHV12</stp>
        <stp>CL2 Comdty</stp>
        <stp>VOLATILITY_10D</stp>
        <stp>26/08/2016</stp>
        <stp>26/08/2016</stp>
        <stp>[Bbg_Market_Data_CL.xlsm]data!R155C17</stp>
        <tr r="Q155" s="1"/>
      </tp>
      <tp t="s">
        <v>#N/A Requesting Data...</v>
        <stp/>
        <stp>##V3_BDHV12</stp>
        <stp>CL1 Comdty</stp>
        <stp>VOLATILITY_10D</stp>
        <stp>06/09/2016</stp>
        <stp>06/09/2016</stp>
        <stp>[Bbg_Market_Data_CL.xlsm]data!R149C17</stp>
        <tr r="Q149" s="1"/>
      </tp>
      <tp t="s">
        <v>#N/A Requesting Data...</v>
        <stp/>
        <stp>##V3_BDHV12</stp>
        <stp>CL1 Comdty</stp>
        <stp>VOLATILITY_10D</stp>
        <stp>16/08/2016</stp>
        <stp>16/08/2016</stp>
        <stp>[Bbg_Market_Data_CL.xlsm]data!R163C17</stp>
        <tr r="Q163" s="1"/>
      </tp>
      <tp>
        <v>48.51</v>
        <stp/>
        <stp>##V3_BDHV12</stp>
        <stp>CL2 Comdty</stp>
        <stp>VOLATILITY_10D</stp>
        <stp>17/09/2015</stp>
        <stp>17/09/2015</stp>
        <stp>[Bbg_Market_Data_CL.xlsm]data!R389C17</stp>
        <tr r="Q389" s="1"/>
      </tp>
      <tp>
        <v>41</v>
        <stp/>
        <stp>##V3_BDHV12</stp>
        <stp>CL2 Comdty</stp>
        <stp>VOLATILITY_30D</stp>
        <stp>16/09/2016</stp>
        <stp>16/09/2016</stp>
        <stp>[Bbg_Market_Data_CL.xlsm]data!R141C18</stp>
        <tr r="R141" s="1"/>
      </tp>
      <tp t="s">
        <v>#N/A Requesting Data...</v>
        <stp/>
        <stp>##V3_BDHV12</stp>
        <stp>CL1 Comdty</stp>
        <stp>VOLATILITY_30D</stp>
        <stp>26/09/2016</stp>
        <stp>26/09/2016</stp>
        <stp>[Bbg_Market_Data_CL.xlsm]data!R135C18</stp>
        <tr r="R135" s="1"/>
      </tp>
      <tp>
        <v>31.51</v>
        <stp/>
        <stp>##V3_BDHV12</stp>
        <stp>CL2 Comdty</stp>
        <stp>VOLATILITY_10D</stp>
        <stp>07/08/2015</stp>
        <stp>07/08/2015</stp>
        <stp>[Bbg_Market_Data_CL.xlsm]data!R417C17</stp>
        <tr r="Q417" s="1"/>
      </tp>
      <tp>
        <v>46.26</v>
        <stp/>
        <stp>##V3_BDHV12</stp>
        <stp>CL2 Comdty</stp>
        <stp>VOLATILITY_30D</stp>
        <stp>27/08/2015</stp>
        <stp>27/08/2015</stp>
        <stp>[Bbg_Market_Data_CL.xlsm]data!R403C18</stp>
        <tr r="R403" s="1"/>
      </tp>
      <tp t="s">
        <v>#N/A Requesting Data...</v>
        <stp/>
        <stp>##V3_BDHV12</stp>
        <stp>CL1 Comdty</stp>
        <stp>VOLATILITY_30D</stp>
        <stp>17/08/2015</stp>
        <stp>17/08/2015</stp>
        <stp>[Bbg_Market_Data_CL.xlsm]data!R411C18</stp>
        <tr r="R411" s="1"/>
      </tp>
      <tp t="s">
        <v>#N/A Requesting Data...</v>
        <stp/>
        <stp>##V3_BDHV12</stp>
        <stp>CL1 Comdty</stp>
        <stp>VOLATILITY_10D</stp>
        <stp>26/08/2015</stp>
        <stp>26/08/2015</stp>
        <stp>[Bbg_Market_Data_CL.xlsm]data!R404C17</stp>
        <tr r="Q404" s="1"/>
      </tp>
      <tp t="s">
        <v>#N/A Requesting Data...</v>
        <stp/>
        <stp>##V3_BDHV12</stp>
        <stp>CL1 Comdty</stp>
        <stp>VOLATILITY_30D</stp>
        <stp>06/08/2015</stp>
        <stp>06/08/2015</stp>
        <stp>[Bbg_Market_Data_CL.xlsm]data!R418C18</stp>
        <tr r="R418" s="1"/>
      </tp>
      <tp>
        <v>43.64</v>
        <stp/>
        <stp>##V3_BDHV12</stp>
        <stp>CL2 Comdty</stp>
        <stp>VOLATILITY_10D</stp>
        <stp>25/08/2015</stp>
        <stp>25/08/2015</stp>
        <stp>[Bbg_Market_Data_CL.xlsm]data!R405C17</stp>
        <tr r="Q405" s="1"/>
      </tp>
      <tp t="s">
        <v>#N/A Requesting Data...</v>
        <stp/>
        <stp>##V3_BDHV12</stp>
        <stp>CL2 Comdty</stp>
        <stp>VOLATILITY_30D</stp>
        <stp>05/08/2015</stp>
        <stp>05/08/2015</stp>
        <stp>[Bbg_Market_Data_CL.xlsm]data!R419C18</stp>
        <tr r="R419" s="1"/>
      </tp>
      <tp t="s">
        <v>#N/A Requesting Data...</v>
        <stp/>
        <stp>##V3_BDHV12</stp>
        <stp>CL1 Comdty</stp>
        <stp>VOLATILITY_10D</stp>
        <stp>04/08/2015</stp>
        <stp>04/08/2015</stp>
        <stp>[Bbg_Market_Data_CL.xlsm]data!R420C17</stp>
        <tr r="Q420" s="1"/>
      </tp>
      <tp t="s">
        <v>#N/A Requesting Data...</v>
        <stp/>
        <stp>##V3_BDHV12</stp>
        <stp>CL1 Comdty</stp>
        <stp>VOLATILITY_30D</stp>
        <stp>24/08/2015</stp>
        <stp>24/08/2015</stp>
        <stp>[Bbg_Market_Data_CL.xlsm]data!R406C18</stp>
        <tr r="R406" s="1"/>
      </tp>
      <tp>
        <v>28.46</v>
        <stp/>
        <stp>##V3_BDHV12</stp>
        <stp>CL2 Comdty</stp>
        <stp>VOLATILITY_30D</stp>
        <stp>14/08/2015</stp>
        <stp>14/08/2015</stp>
        <stp>[Bbg_Market_Data_CL.xlsm]data!R412C18</stp>
        <tr r="R412" s="1"/>
      </tp>
      <tp t="s">
        <v>#N/A Requesting Data...</v>
        <stp/>
        <stp>##V3_BDHV12</stp>
        <stp>CL1 Comdty</stp>
        <stp>PX_LOW</stp>
        <stp>13/10/2016</stp>
        <stp>13/10/2016</stp>
        <stp>[Bbg_Market_Data_CL.xlsm]data!R123C7</stp>
        <tr r="G123" s="1"/>
      </tp>
      <tp t="s">
        <v>#N/A Requesting Data...</v>
        <stp/>
        <stp>##V3_BDHV12</stp>
        <stp>CL1 Comdty</stp>
        <stp>PX_LOW</stp>
        <stp>25/06/2015</stp>
        <stp>25/06/2015</stp>
        <stp>[Bbg_Market_Data_CL.xlsm]data!R447C7</stp>
        <tr r="G447" s="1"/>
      </tp>
      <tp t="s">
        <v>#N/A Requesting Data...</v>
        <stp/>
        <stp>##V3_BDHV12</stp>
        <stp>CL2 Comdty</stp>
        <stp>PX_LOW</stp>
        <stp>14/07/2015</stp>
        <stp>14/07/2015</stp>
        <stp>[Bbg_Market_Data_CL.xlsm]data!R435C7</stp>
        <tr r="G435" s="1"/>
      </tp>
      <tp t="s">
        <v>#N/A Requesting Data...</v>
        <stp/>
        <stp>##V3_BDHV12</stp>
        <stp>CL1 Comdty</stp>
        <stp>PX_LOW</stp>
        <stp>11/02/2016</stp>
        <stp>11/02/2016</stp>
        <stp>[Bbg_Market_Data_CL.xlsm]data!R290C7</stp>
        <tr r="G290" s="1"/>
      </tp>
      <tp t="s">
        <v>#N/A Requesting Data...</v>
        <stp/>
        <stp>##V3_BDHV12</stp>
        <stp>CL2 Comdty</stp>
        <stp>PX_LOW</stp>
        <stp>27/07/2015</stp>
        <stp>27/07/2015</stp>
        <stp>[Bbg_Market_Data_CL.xlsm]data!R426C7</stp>
        <tr r="G426" s="1"/>
      </tp>
      <tp t="s">
        <v>#N/A Requesting Data...</v>
        <stp/>
        <stp>##V3_BDHV12</stp>
        <stp>CL1 Comdty</stp>
        <stp>PX_LOW</stp>
        <stp>31/10/2016</stp>
        <stp>31/10/2016</stp>
        <stp>[Bbg_Market_Data_CL.xlsm]data!R111C7</stp>
        <tr r="G111" s="1"/>
      </tp>
      <tp>
        <v>42.84</v>
        <stp/>
        <stp>##V3_BDHV12</stp>
        <stp>CL2 Comdty</stp>
        <stp>PX_LOW</stp>
        <stp>30/11/2015</stp>
        <stp>30/11/2015</stp>
        <stp>[Bbg_Market_Data_CL.xlsm]data!R340C7</stp>
        <tr r="G340" s="1"/>
      </tp>
      <tp>
        <v>36.82</v>
        <stp/>
        <stp>##V3_BDHV12</stp>
        <stp>CL2 Comdty</stp>
        <stp>PX_LOW</stp>
        <stp>11/12/2015</stp>
        <stp>11/12/2015</stp>
        <stp>[Bbg_Market_Data_CL.xlsm]data!R331C7</stp>
        <tr r="G331" s="1"/>
      </tp>
      <tp t="s">
        <v>#N/A Requesting Data...</v>
        <stp/>
        <stp>##V3_BDHV12</stp>
        <stp>CL1 Comdty</stp>
        <stp>PX_LOW</stp>
        <stp>16/06/2015</stp>
        <stp>16/06/2015</stp>
        <stp>[Bbg_Market_Data_CL.xlsm]data!R454C7</stp>
        <tr r="G454" s="1"/>
      </tp>
      <tp t="s">
        <v>#N/A Requesting Data...</v>
        <stp/>
        <stp>##V3_BDHV12</stp>
        <stp>CL1 Comdty</stp>
        <stp>PX_LOW</stp>
        <stp>27/07/2016</stp>
        <stp>27/07/2016</stp>
        <stp>[Bbg_Market_Data_CL.xlsm]data!R176C7</stp>
        <tr r="G176" s="1"/>
      </tp>
      <tp>
        <v>46.44</v>
        <stp/>
        <stp>##V3_BDHV12</stp>
        <stp>CL2 Comdty</stp>
        <stp>PX_LOW</stp>
        <stp>16/06/2016</stp>
        <stp>16/06/2016</stp>
        <stp>[Bbg_Market_Data_CL.xlsm]data!R204C7</stp>
        <tr r="G204" s="1"/>
      </tp>
      <tp t="s">
        <v>#N/A Requesting Data...</v>
        <stp/>
        <stp>##V3_BDHV12</stp>
        <stp>CL1 Comdty</stp>
        <stp>PX_LOW</stp>
        <stp>14/07/2016</stp>
        <stp>14/07/2016</stp>
        <stp>[Bbg_Market_Data_CL.xlsm]data!R185C7</stp>
        <tr r="G185" s="1"/>
      </tp>
      <tp t="s">
        <v>#N/A Requesting Data...</v>
        <stp/>
        <stp>##V3_BDHV12</stp>
        <stp>CL1 Comdty</stp>
        <stp>PX_LOW</stp>
        <stp>11/03/2016</stp>
        <stp>11/03/2016</stp>
        <stp>[Bbg_Market_Data_CL.xlsm]data!R271C7</stp>
        <tr r="G271" s="1"/>
      </tp>
      <tp t="s">
        <v>#N/A Requesting Data...</v>
        <stp/>
        <stp>##V3_BDHV12</stp>
        <stp>CL1 Comdty</stp>
        <stp>PX_LOW</stp>
        <stp>10/11/2015</stp>
        <stp>10/11/2015</stp>
        <stp>[Bbg_Market_Data_CL.xlsm]data!R352C7</stp>
        <tr r="G352" s="1"/>
      </tp>
      <tp t="s">
        <v>#N/A Requesting Data...</v>
        <stp/>
        <stp>##V3_BDHV12</stp>
        <stp>CL2 Comdty</stp>
        <stp>PX_LOW</stp>
        <stp>16/04/2015</stp>
        <stp>16/04/2015</stp>
        <stp>[Bbg_Market_Data_CL.xlsm]data!R496C7</stp>
        <tr r="G496" s="1"/>
      </tp>
      <tp t="s">
        <v>#N/A Requesting Data...</v>
        <stp/>
        <stp>##V3_BDHV12</stp>
        <stp>CL1 Comdty</stp>
        <stp>PX_LOW</stp>
        <stp>27/06/2016</stp>
        <stp>27/06/2016</stp>
        <stp>[Bbg_Market_Data_CL.xlsm]data!R197C7</stp>
        <tr r="G197" s="1"/>
      </tp>
      <tp>
        <v>39.53</v>
        <stp/>
        <stp>##V3_BDHV12</stp>
        <stp>CL2 Comdty</stp>
        <stp>PX_LOW</stp>
        <stp>11/03/2016</stp>
        <stp>11/03/2016</stp>
        <stp>[Bbg_Market_Data_CL.xlsm]data!R271C7</stp>
        <tr r="G271" s="1"/>
      </tp>
      <tp>
        <v>44.81</v>
        <stp/>
        <stp>##V3_BDHV12</stp>
        <stp>CL2 Comdty</stp>
        <stp>PX_LOW</stp>
        <stp>10/11/2015</stp>
        <stp>10/11/2015</stp>
        <stp>[Bbg_Market_Data_CL.xlsm]data!R352C7</stp>
        <tr r="G352" s="1"/>
      </tp>
      <tp t="s">
        <v>#N/A Requesting Data...</v>
        <stp/>
        <stp>##V3_BDHV12</stp>
        <stp>CL1 Comdty</stp>
        <stp>PX_LOW</stp>
        <stp>16/04/2015</stp>
        <stp>16/04/2015</stp>
        <stp>[Bbg_Market_Data_CL.xlsm]data!R496C7</stp>
        <tr r="G496" s="1"/>
      </tp>
      <tp>
        <v>46.53</v>
        <stp/>
        <stp>##V3_BDHV12</stp>
        <stp>CL2 Comdty</stp>
        <stp>PX_LOW</stp>
        <stp>27/06/2016</stp>
        <stp>27/06/2016</stp>
        <stp>[Bbg_Market_Data_CL.xlsm]data!R197C7</stp>
        <tr r="G197" s="1"/>
      </tp>
      <tp>
        <v>49.79</v>
        <stp/>
        <stp>##V3_BDHV12</stp>
        <stp>CL2 Comdty</stp>
        <stp>PX_LOW</stp>
        <stp>13/10/2016</stp>
        <stp>13/10/2016</stp>
        <stp>[Bbg_Market_Data_CL.xlsm]data!R123C7</stp>
        <tr r="G123" s="1"/>
      </tp>
      <tp t="s">
        <v>#N/A Requesting Data...</v>
        <stp/>
        <stp>##V3_BDHV12</stp>
        <stp>CL2 Comdty</stp>
        <stp>PX_LOW</stp>
        <stp>25/06/2015</stp>
        <stp>25/06/2015</stp>
        <stp>[Bbg_Market_Data_CL.xlsm]data!R447C7</stp>
        <tr r="G447" s="1"/>
      </tp>
      <tp t="s">
        <v>#N/A Requesting Data...</v>
        <stp/>
        <stp>##V3_BDHV12</stp>
        <stp>CL1 Comdty</stp>
        <stp>PX_LOW</stp>
        <stp>14/07/2015</stp>
        <stp>14/07/2015</stp>
        <stp>[Bbg_Market_Data_CL.xlsm]data!R435C7</stp>
        <tr r="G435" s="1"/>
      </tp>
      <tp>
        <v>28.74</v>
        <stp/>
        <stp>##V3_BDHV12</stp>
        <stp>CL2 Comdty</stp>
        <stp>PX_LOW</stp>
        <stp>11/02/2016</stp>
        <stp>11/02/2016</stp>
        <stp>[Bbg_Market_Data_CL.xlsm]data!R290C7</stp>
        <tr r="G290" s="1"/>
      </tp>
      <tp t="s">
        <v>#N/A Requesting Data...</v>
        <stp/>
        <stp>##V3_BDHV12</stp>
        <stp>CL1 Comdty</stp>
        <stp>PX_LOW</stp>
        <stp>27/07/2015</stp>
        <stp>27/07/2015</stp>
        <stp>[Bbg_Market_Data_CL.xlsm]data!R426C7</stp>
        <tr r="G426" s="1"/>
      </tp>
      <tp>
        <v>47.22</v>
        <stp/>
        <stp>##V3_BDHV12</stp>
        <stp>CL2 Comdty</stp>
        <stp>PX_LOW</stp>
        <stp>31/10/2016</stp>
        <stp>31/10/2016</stp>
        <stp>[Bbg_Market_Data_CL.xlsm]data!R111C7</stp>
        <tr r="G111" s="1"/>
      </tp>
      <tp t="s">
        <v>#N/A Requesting Data...</v>
        <stp/>
        <stp>##V3_BDHV12</stp>
        <stp>CL1 Comdty</stp>
        <stp>PX_LOW</stp>
        <stp>30/11/2015</stp>
        <stp>30/11/2015</stp>
        <stp>[Bbg_Market_Data_CL.xlsm]data!R340C7</stp>
        <tr r="G340" s="1"/>
      </tp>
      <tp t="s">
        <v>#N/A Requesting Data...</v>
        <stp/>
        <stp>##V3_BDHV12</stp>
        <stp>CL1 Comdty</stp>
        <stp>PX_LOW</stp>
        <stp>11/12/2015</stp>
        <stp>11/12/2015</stp>
        <stp>[Bbg_Market_Data_CL.xlsm]data!R331C7</stp>
        <tr r="G331" s="1"/>
      </tp>
      <tp t="s">
        <v>#N/A Requesting Data...</v>
        <stp/>
        <stp>##V3_BDHV12</stp>
        <stp>CL2 Comdty</stp>
        <stp>PX_LOW</stp>
        <stp>16/06/2015</stp>
        <stp>16/06/2015</stp>
        <stp>[Bbg_Market_Data_CL.xlsm]data!R454C7</stp>
        <tr r="G454" s="1"/>
      </tp>
      <tp>
        <v>42.39</v>
        <stp/>
        <stp>##V3_BDHV12</stp>
        <stp>CL2 Comdty</stp>
        <stp>PX_LOW</stp>
        <stp>27/07/2016</stp>
        <stp>27/07/2016</stp>
        <stp>[Bbg_Market_Data_CL.xlsm]data!R176C7</stp>
        <tr r="G176" s="1"/>
      </tp>
      <tp t="s">
        <v>#N/A Requesting Data...</v>
        <stp/>
        <stp>##V3_BDHV12</stp>
        <stp>CL1 Comdty</stp>
        <stp>PX_LOW</stp>
        <stp>16/06/2016</stp>
        <stp>16/06/2016</stp>
        <stp>[Bbg_Market_Data_CL.xlsm]data!R204C7</stp>
        <tr r="G204" s="1"/>
      </tp>
      <tp>
        <v>45.64</v>
        <stp/>
        <stp>##V3_BDHV12</stp>
        <stp>CL2 Comdty</stp>
        <stp>PX_LOW</stp>
        <stp>14/07/2016</stp>
        <stp>14/07/2016</stp>
        <stp>[Bbg_Market_Data_CL.xlsm]data!R185C7</stp>
        <tr r="G185" s="1"/>
      </tp>
      <tp>
        <v>38.07</v>
        <stp/>
        <stp>##V3_BDHV12</stp>
        <stp>CL2 Comdty</stp>
        <stp>PX_LOW</stp>
        <stp>01/04/2016</stp>
        <stp>01/04/2016</stp>
        <stp>[Bbg_Market_Data_CL.xlsm]data!R257C7</stp>
        <tr r="G257" s="1"/>
      </tp>
      <tp>
        <v>39.5</v>
        <stp/>
        <stp>##V3_BDHV12</stp>
        <stp>CL2 Comdty</stp>
        <stp>PX_LOW</stp>
        <stp>24/03/2016</stp>
        <stp>24/03/2016</stp>
        <stp>[Bbg_Market_Data_CL.xlsm]data!R262C7</stp>
        <tr r="G262" s="1"/>
      </tp>
      <tp t="s">
        <v>#N/A Requesting Data...</v>
        <stp/>
        <stp>##V3_BDHV12</stp>
        <stp>CL1 Comdty</stp>
        <stp>PX_LOW</stp>
        <stp>01/06/2016</stp>
        <stp>01/06/2016</stp>
        <stp>[Bbg_Market_Data_CL.xlsm]data!R215C7</stp>
        <tr r="G215" s="1"/>
      </tp>
      <tp t="s">
        <v>#N/A Requesting Data...</v>
        <stp/>
        <stp>##V3_BDHV12</stp>
        <stp>CL1 Comdty</stp>
        <stp>PX_LOW</stp>
        <stp>02/05/2016</stp>
        <stp>02/05/2016</stp>
        <stp>[Bbg_Market_Data_CL.xlsm]data!R236C7</stp>
        <tr r="G236" s="1"/>
      </tp>
      <tp t="s">
        <v>#N/A Requesting Data...</v>
        <stp/>
        <stp>##V3_BDHV12</stp>
        <stp>CL1 Comdty</stp>
        <stp>PX_LOW</stp>
        <stp>13/05/2016</stp>
        <stp>13/05/2016</stp>
        <stp>[Bbg_Market_Data_CL.xlsm]data!R227C7</stp>
        <tr r="G227" s="1"/>
      </tp>
      <tp t="s">
        <v>#N/A Requesting Data...</v>
        <stp/>
        <stp>##V3_BDHV12</stp>
        <stp>CL2 Comdty</stp>
        <stp>PX_LOW</stp>
        <stp>01/06/2015</stp>
        <stp>01/06/2015</stp>
        <stp>[Bbg_Market_Data_CL.xlsm]data!R465C7</stp>
        <tr r="G465" s="1"/>
      </tp>
      <tp>
        <v>32.42</v>
        <stp/>
        <stp>##V3_BDHV12</stp>
        <stp>CL2 Comdty</stp>
        <stp>PX_LOW</stp>
        <stp>24/02/2016</stp>
        <stp>24/02/2016</stp>
        <stp>[Bbg_Market_Data_CL.xlsm]data!R283C7</stp>
        <tr r="G283" s="1"/>
      </tp>
      <tp t="s">
        <v>#N/A Requesting Data...</v>
        <stp/>
        <stp>##V3_BDHV12</stp>
        <stp>CL1 Comdty</stp>
        <stp>PX_LOW</stp>
        <stp>27/11/2015</stp>
        <stp>27/11/2015</stp>
        <stp>[Bbg_Market_Data_CL.xlsm]data!R341C7</stp>
        <tr r="G341" s="1"/>
      </tp>
      <tp t="s">
        <v>#N/A Requesting Data...</v>
        <stp/>
        <stp>##V3_BDHV12</stp>
        <stp>CL1 Comdty</stp>
        <stp>PX_LOW</stp>
        <stp>24/12/2015</stp>
        <stp>24/12/2015</stp>
        <stp>[Bbg_Market_Data_CL.xlsm]data!R322C7</stp>
        <tr r="G322" s="1"/>
      </tp>
      <tp t="s">
        <v>#N/A Requesting Data...</v>
        <stp/>
        <stp>##V3_BDHV12</stp>
        <stp>CL2 Comdty</stp>
        <stp>PX_LOW</stp>
        <stp>13/05/2015</stp>
        <stp>13/05/2015</stp>
        <stp>[Bbg_Market_Data_CL.xlsm]data!R477C7</stp>
        <tr r="G477" s="1"/>
      </tp>
      <tp>
        <v>42.95</v>
        <stp/>
        <stp>##V3_BDHV12</stp>
        <stp>CL2 Comdty</stp>
        <stp>PX_LOW</stp>
        <stp>14/11/2016</stp>
        <stp>14/11/2016</stp>
        <stp>[Bbg_Market_Data_CL.xlsm]data!R102C7</stp>
        <tr r="G102" s="1"/>
      </tp>
      <tp>
        <v>48.21</v>
        <stp/>
        <stp>##V3_BDHV12</stp>
        <stp>CL2 Comdty</stp>
        <stp>PX_LOW</stp>
        <stp>01/06/2016</stp>
        <stp>01/06/2016</stp>
        <stp>[Bbg_Market_Data_CL.xlsm]data!R215C7</stp>
        <tr r="G215" s="1"/>
      </tp>
      <tp>
        <v>45.28</v>
        <stp/>
        <stp>##V3_BDHV12</stp>
        <stp>CL2 Comdty</stp>
        <stp>PX_LOW</stp>
        <stp>02/05/2016</stp>
        <stp>02/05/2016</stp>
        <stp>[Bbg_Market_Data_CL.xlsm]data!R236C7</stp>
        <tr r="G236" s="1"/>
      </tp>
      <tp>
        <v>46.53</v>
        <stp/>
        <stp>##V3_BDHV12</stp>
        <stp>CL2 Comdty</stp>
        <stp>PX_LOW</stp>
        <stp>13/05/2016</stp>
        <stp>13/05/2016</stp>
        <stp>[Bbg_Market_Data_CL.xlsm]data!R227C7</stp>
        <tr r="G227" s="1"/>
      </tp>
      <tp t="s">
        <v>#N/A Requesting Data...</v>
        <stp/>
        <stp>##V3_BDHV12</stp>
        <stp>CL1 Comdty</stp>
        <stp>PX_LOW</stp>
        <stp>01/06/2015</stp>
        <stp>01/06/2015</stp>
        <stp>[Bbg_Market_Data_CL.xlsm]data!R465C7</stp>
        <tr r="G465" s="1"/>
      </tp>
      <tp t="s">
        <v>#N/A Requesting Data...</v>
        <stp/>
        <stp>##V3_BDHV12</stp>
        <stp>CL1 Comdty</stp>
        <stp>PX_LOW</stp>
        <stp>24/02/2016</stp>
        <stp>24/02/2016</stp>
        <stp>[Bbg_Market_Data_CL.xlsm]data!R283C7</stp>
        <tr r="G283" s="1"/>
      </tp>
      <tp>
        <v>43.01</v>
        <stp/>
        <stp>##V3_BDHV12</stp>
        <stp>CL2 Comdty</stp>
        <stp>PX_LOW</stp>
        <stp>27/11/2015</stp>
        <stp>27/11/2015</stp>
        <stp>[Bbg_Market_Data_CL.xlsm]data!R341C7</stp>
        <tr r="G341" s="1"/>
      </tp>
      <tp>
        <v>38.28</v>
        <stp/>
        <stp>##V3_BDHV12</stp>
        <stp>CL2 Comdty</stp>
        <stp>PX_LOW</stp>
        <stp>24/12/2015</stp>
        <stp>24/12/2015</stp>
        <stp>[Bbg_Market_Data_CL.xlsm]data!R322C7</stp>
        <tr r="G322" s="1"/>
      </tp>
      <tp t="s">
        <v>#N/A Requesting Data...</v>
        <stp/>
        <stp>##V3_BDHV12</stp>
        <stp>CL1 Comdty</stp>
        <stp>PX_LOW</stp>
        <stp>13/05/2015</stp>
        <stp>13/05/2015</stp>
        <stp>[Bbg_Market_Data_CL.xlsm]data!R477C7</stp>
        <tr r="G477" s="1"/>
      </tp>
      <tp t="s">
        <v>#N/A Requesting Data...</v>
        <stp/>
        <stp>##V3_BDHV12</stp>
        <stp>CL1 Comdty</stp>
        <stp>PX_LOW</stp>
        <stp>14/11/2016</stp>
        <stp>14/11/2016</stp>
        <stp>[Bbg_Market_Data_CL.xlsm]data!R102C7</stp>
        <tr r="G102" s="1"/>
      </tp>
      <tp t="s">
        <v>#N/A Requesting Data...</v>
        <stp/>
        <stp>##V3_BDHV12</stp>
        <stp>CL1 Comdty</stp>
        <stp>PX_LOW</stp>
        <stp>01/04/2016</stp>
        <stp>01/04/2016</stp>
        <stp>[Bbg_Market_Data_CL.xlsm]data!R257C7</stp>
        <tr r="G257" s="1"/>
      </tp>
      <tp t="s">
        <v>#N/A Requesting Data...</v>
        <stp/>
        <stp>##V3_BDHV12</stp>
        <stp>CL1 Comdty</stp>
        <stp>PX_LOW</stp>
        <stp>24/03/2016</stp>
        <stp>24/03/2016</stp>
        <stp>[Bbg_Market_Data_CL.xlsm]data!R262C7</stp>
        <tr r="G262" s="1"/>
      </tp>
      <tp t="s">
        <v>#N/A Requesting Data...</v>
        <stp/>
        <stp>##V3_BDHV12</stp>
        <stp>CL1 Comdty</stp>
        <stp>PX_LOW</stp>
        <stp>21/09/2016</stp>
        <stp>21/09/2016</stp>
        <stp>[Bbg_Market_Data_CL.xlsm]data!R138C7</stp>
        <tr r="G138" s="1"/>
      </tp>
      <tp>
        <v>47.33</v>
        <stp/>
        <stp>##V3_BDHV12</stp>
        <stp>CL2 Comdty</stp>
        <stp>PX_LOW</stp>
        <stp>22/08/2016</stp>
        <stp>22/08/2016</stp>
        <stp>[Bbg_Market_Data_CL.xlsm]data!R159C7</stp>
        <tr r="G159" s="1"/>
      </tp>
      <tp t="s">
        <v>#N/A Requesting Data...</v>
        <stp/>
        <stp>##V3_BDHV12</stp>
        <stp>CL1 Comdty</stp>
        <stp>PX_LOW</stp>
        <stp>28/01/2016</stp>
        <stp>28/01/2016</stp>
        <stp>[Bbg_Market_Data_CL.xlsm]data!R300C7</stp>
        <tr r="G300" s="1"/>
      </tp>
      <tp>
        <v>46.04</v>
        <stp/>
        <stp>##V3_BDHV12</stp>
        <stp>CL2 Comdty</stp>
        <stp>PX_LOW</stp>
        <stp>29/10/2015</stp>
        <stp>29/10/2015</stp>
        <stp>[Bbg_Market_Data_CL.xlsm]data!R360C7</stp>
        <tr r="G360" s="1"/>
      </tp>
      <tp t="s">
        <v>#N/A Requesting Data...</v>
        <stp/>
        <stp>##V3_BDHV12</stp>
        <stp>CL1 Comdty</stp>
        <stp>PX_LOW</stp>
        <stp>09/11/2015</stp>
        <stp>09/11/2015</stp>
        <stp>[Bbg_Market_Data_CL.xlsm]data!R353C7</stp>
        <tr r="G353" s="1"/>
      </tp>
      <tp t="s">
        <v>#N/A Requesting Data...</v>
        <stp/>
        <stp>##V3_BDHV12</stp>
        <stp>CL1 Comdty</stp>
        <stp>PX_LOW</stp>
        <stp>22/08/2016</stp>
        <stp>22/08/2016</stp>
        <stp>[Bbg_Market_Data_CL.xlsm]data!R159C7</stp>
        <tr r="G159" s="1"/>
      </tp>
      <tp>
        <v>33.24</v>
        <stp/>
        <stp>##V3_BDHV12</stp>
        <stp>CL2 Comdty</stp>
        <stp>PX_LOW</stp>
        <stp>28/01/2016</stp>
        <stp>28/01/2016</stp>
        <stp>[Bbg_Market_Data_CL.xlsm]data!R300C7</stp>
        <tr r="G300" s="1"/>
      </tp>
      <tp t="s">
        <v>#N/A Requesting Data...</v>
        <stp/>
        <stp>##V3_BDHV12</stp>
        <stp>CL1 Comdty</stp>
        <stp>PX_LOW</stp>
        <stp>29/10/2015</stp>
        <stp>29/10/2015</stp>
        <stp>[Bbg_Market_Data_CL.xlsm]data!R360C7</stp>
        <tr r="G360" s="1"/>
      </tp>
      <tp>
        <v>44.88</v>
        <stp/>
        <stp>##V3_BDHV12</stp>
        <stp>CL2 Comdty</stp>
        <stp>PX_LOW</stp>
        <stp>09/11/2015</stp>
        <stp>09/11/2015</stp>
        <stp>[Bbg_Market_Data_CL.xlsm]data!R353C7</stp>
        <tr r="G353" s="1"/>
      </tp>
      <tp>
        <v>45.1</v>
        <stp/>
        <stp>##V3_BDHV12</stp>
        <stp>CL2 Comdty</stp>
        <stp>PX_LOW</stp>
        <stp>21/09/2016</stp>
        <stp>21/09/2016</stp>
        <stp>[Bbg_Market_Data_CL.xlsm]data!R138C7</stp>
        <tr r="G138" s="1"/>
      </tp>
      <tp>
        <v>39</v>
        <stp/>
        <stp>##V3_BDHV12</stp>
        <stp>CL2 Comdty</stp>
        <stp>PX_LOW</stp>
        <stp>18/04/2016</stp>
        <stp>18/04/2016</stp>
        <stp>[Bbg_Market_Data_CL.xlsm]data!R246C7</stp>
        <tr r="G246" s="1"/>
      </tp>
      <tp t="s">
        <v>#N/A Requesting Data...</v>
        <stp/>
        <stp>##V3_BDHV12</stp>
        <stp>CL1 Comdty</stp>
        <stp>PX_LOW</stp>
        <stp>18/04/2016</stp>
        <stp>18/04/2016</stp>
        <stp>[Bbg_Market_Data_CL.xlsm]data!R246C7</stp>
        <tr r="G246" s="1"/>
      </tp>
      <tp t="s">
        <v>#N/A Requesting Data...</v>
        <stp/>
        <stp>##V3_BDHV12</stp>
        <stp>CL2 Comdty</stp>
        <stp>VOLATILITY_10D</stp>
        <stp>09/07/2015</stp>
        <stp>09/07/2015</stp>
        <stp>[Bbg_Market_Data_CL.xlsm]data!R438C17</stp>
        <tr r="Q438" s="1"/>
      </tp>
      <tp t="s">
        <v>#N/A Requesting Data...</v>
        <stp/>
        <stp>##V3_BDHV12</stp>
        <stp>CL2 Comdty</stp>
        <stp>VOLATILITY_10D</stp>
        <stp>19/06/2015</stp>
        <stp>19/06/2015</stp>
        <stp>[Bbg_Market_Data_CL.xlsm]data!R451C17</stp>
        <tr r="Q451" s="1"/>
      </tp>
      <tp t="s">
        <v>#N/A Requesting Data...</v>
        <stp/>
        <stp>##V3_BDHV12</stp>
        <stp>CL1 Comdty</stp>
        <stp>VOLATILITY_10D</stp>
        <stp>29/06/2015</stp>
        <stp>29/06/2015</stp>
        <stp>[Bbg_Market_Data_CL.xlsm]data!R445C17</stp>
        <tr r="Q445" s="1"/>
      </tp>
      <tp t="s">
        <v>#N/A Requesting Data...</v>
        <stp/>
        <stp>##V3_BDHV12</stp>
        <stp>CL1 Comdty</stp>
        <stp>VOLATILITY_30D</stp>
        <stp>29/04/2015</stp>
        <stp>29/04/2015</stp>
        <stp>[Bbg_Market_Data_CL.xlsm]data!R487C18</stp>
        <tr r="R487" s="1"/>
      </tp>
      <tp t="s">
        <v>#N/A Requesting Data...</v>
        <stp/>
        <stp>##V3_BDHV12</stp>
        <stp>CL1 Comdty</stp>
        <stp>VOLATILITY_10D</stp>
        <stp>19/05/2015</stp>
        <stp>19/05/2015</stp>
        <stp>[Bbg_Market_Data_CL.xlsm]data!R473C17</stp>
        <tr r="Q473" s="1"/>
      </tp>
      <tp t="s">
        <v>#N/A Requesting Data...</v>
        <stp/>
        <stp>##V3_BDHV12</stp>
        <stp>CL2 Comdty</stp>
        <stp>VOLATILITY_10D</stp>
        <stp>29/05/2015</stp>
        <stp>29/05/2015</stp>
        <stp>[Bbg_Market_Data_CL.xlsm]data!R466C17</stp>
        <tr r="Q466" s="1"/>
      </tp>
      <tp t="s">
        <v>#N/A Requesting Data...</v>
        <stp/>
        <stp>##V3_BDHV12</stp>
        <stp>CL1 Comdty</stp>
        <stp>VOLATILITY_30D</stp>
        <stp>09/06/2015</stp>
        <stp>09/06/2015</stp>
        <stp>[Bbg_Market_Data_CL.xlsm]data!R459C18</stp>
        <tr r="R459" s="1"/>
      </tp>
      <tp t="s">
        <v>#N/A Requesting Data...</v>
        <stp/>
        <stp>##V3_BDHV12</stp>
        <stp>CL2 Comdty</stp>
        <stp>VOLATILITY_30D</stp>
        <stp>29/07/2015</stp>
        <stp>29/07/2015</stp>
        <stp>[Bbg_Market_Data_CL.xlsm]data!R424C18</stp>
        <tr r="R424" s="1"/>
      </tp>
      <tp t="s">
        <v>#N/A Requesting Data...</v>
        <stp/>
        <stp>##V3_BDHV12</stp>
        <stp>CL1 Comdty</stp>
        <stp>VOLUME_TOTAL_PUT</stp>
        <stp>03/04/2017</stp>
        <stp>03/04/2017</stp>
        <stp>[Bbg_Market_Data_CL.xlsm]data!R7C16</stp>
        <tr r="P7" s="1"/>
      </tp>
      <tp t="s">
        <v>#N/A Requesting Data...</v>
        <stp/>
        <stp>##V3_BDHV12</stp>
        <stp>CL1 Comdty</stp>
        <stp>VOLUME_TOTAL_PUT</stp>
        <stp>04/04/2017</stp>
        <stp>04/04/2017</stp>
        <stp>[Bbg_Market_Data_CL.xlsm]data!R6C16</stp>
        <tr r="P6" s="1"/>
      </tp>
      <tp t="s">
        <v>#N/A Requesting Data...</v>
        <stp/>
        <stp>##V3_BDHV12</stp>
        <stp>CL1 Comdty</stp>
        <stp>VOLUME_TOTAL_PUT</stp>
        <stp>05/04/2017</stp>
        <stp>05/04/2017</stp>
        <stp>[Bbg_Market_Data_CL.xlsm]data!R5C16</stp>
        <tr r="P5" s="1"/>
      </tp>
      <tp t="s">
        <v>#N/A Requesting Data...</v>
        <stp/>
        <stp>##V3_BDHV12</stp>
        <stp>CL1 Comdty</stp>
        <stp>VOLUME_TOTAL_PUT</stp>
        <stp>06/04/2017</stp>
        <stp>06/04/2017</stp>
        <stp>[Bbg_Market_Data_CL.xlsm]data!R4C16</stp>
        <tr r="P4" s="1"/>
      </tp>
      <tp t="s">
        <v>#N/A Requesting Data...</v>
        <stp/>
        <stp>##V3_BDHV12</stp>
        <stp>CL1 Comdty</stp>
        <stp>VOLUME_TOTAL_PUT</stp>
        <stp>07/04/2017</stp>
        <stp>07/04/2017</stp>
        <stp>[Bbg_Market_Data_CL.xlsm]data!R3C16</stp>
        <tr r="P3" s="1"/>
      </tp>
      <tp t="s">
        <v>#N/A Requesting Data...</v>
        <stp/>
        <stp>##V3_BDHV12</stp>
        <stp>CL1 Comdty</stp>
        <stp>VOLATILITY_10D</stp>
        <stp>28/07/2015</stp>
        <stp>28/07/2015</stp>
        <stp>[Bbg_Market_Data_CL.xlsm]data!R425C17</stp>
        <tr r="Q425" s="1"/>
      </tp>
      <tp t="s">
        <v>#N/A Requesting Data...</v>
        <stp/>
        <stp>##V3_BDHV12</stp>
        <stp>CL2 Comdty</stp>
        <stp>VOLATILITY_10D</stp>
        <stp>08/06/2015</stp>
        <stp>08/06/2015</stp>
        <stp>[Bbg_Market_Data_CL.xlsm]data!R460C17</stp>
        <tr r="Q460" s="1"/>
      </tp>
      <tp t="s">
        <v>#N/A Requesting Data...</v>
        <stp/>
        <stp>##V3_BDHV12</stp>
        <stp>CL1 Comdty</stp>
        <stp>VOLATILITY_30D</stp>
        <stp>28/05/2015</stp>
        <stp>28/05/2015</stp>
        <stp>[Bbg_Market_Data_CL.xlsm]data!R467C18</stp>
        <tr r="R467" s="1"/>
      </tp>
      <tp t="s">
        <v>#N/A Requesting Data...</v>
        <stp/>
        <stp>##V3_BDHV12</stp>
        <stp>CL2 Comdty</stp>
        <stp>VOLATILITY_30D</stp>
        <stp>18/05/2015</stp>
        <stp>18/05/2015</stp>
        <stp>[Bbg_Market_Data_CL.xlsm]data!R474C18</stp>
        <tr r="R474" s="1"/>
      </tp>
      <tp t="s">
        <v>#N/A Requesting Data...</v>
        <stp/>
        <stp>##V3_BDHV12</stp>
        <stp>CL1 Comdty</stp>
        <stp>VOLATILITY_10D</stp>
        <stp>08/05/2015</stp>
        <stp>08/05/2015</stp>
        <stp>[Bbg_Market_Data_CL.xlsm]data!R480C17</stp>
        <tr r="Q480" s="1"/>
      </tp>
      <tp t="s">
        <v>#N/A Requesting Data...</v>
        <stp/>
        <stp>##V3_BDHV12</stp>
        <stp>CL2 Comdty</stp>
        <stp>VOLATILITY_10D</stp>
        <stp>28/04/2015</stp>
        <stp>28/04/2015</stp>
        <stp>[Bbg_Market_Data_CL.xlsm]data!R488C17</stp>
        <tr r="Q488" s="1"/>
      </tp>
      <tp t="s">
        <v>#N/A Requesting Data...</v>
        <stp/>
        <stp>##V3_BDHV12</stp>
        <stp>CL1 Comdty</stp>
        <stp>VOLATILITY_30D</stp>
        <stp>18/06/2015</stp>
        <stp>18/06/2015</stp>
        <stp>[Bbg_Market_Data_CL.xlsm]data!R452C18</stp>
        <tr r="R452" s="1"/>
      </tp>
      <tp t="s">
        <v>#N/A Requesting Data...</v>
        <stp/>
        <stp>##V3_BDHV12</stp>
        <stp>CL1 Comdty</stp>
        <stp>VOLATILITY_30D</stp>
        <stp>08/07/2015</stp>
        <stp>08/07/2015</stp>
        <stp>[Bbg_Market_Data_CL.xlsm]data!R439C18</stp>
        <tr r="R439" s="1"/>
      </tp>
      <tp t="s">
        <v>#N/A Requesting Data...</v>
        <stp/>
        <stp>##V3_BDHV12</stp>
        <stp>CL1 Comdty</stp>
        <stp>VOLUME_TOTAL_PUT</stp>
        <stp>10/04/2017</stp>
        <stp>10/04/2017</stp>
        <stp>[Bbg_Market_Data_CL.xlsm]data!R2C16</stp>
        <tr r="P2" s="1"/>
      </tp>
      <tp>
        <v>45.56</v>
        <stp/>
        <stp>##V3_BDHV12</stp>
        <stp>CL2 Comdty</stp>
        <stp>VOLATILITY_30D</stp>
        <stp>19/07/2016</stp>
        <stp>19/07/2016</stp>
        <stp>[Bbg_Market_Data_CL.xlsm]data!R182C18</stp>
        <tr r="R182" s="1"/>
      </tp>
      <tp>
        <v>50.45</v>
        <stp/>
        <stp>##V3_BDHV12</stp>
        <stp>CL2 Comdty</stp>
        <stp>VOLATILITY_10D</stp>
        <stp>29/06/2016</stp>
        <stp>29/06/2016</stp>
        <stp>[Bbg_Market_Data_CL.xlsm]data!R195C17</stp>
        <tr r="Q195" s="1"/>
      </tp>
      <tp t="s">
        <v>#N/A Requesting Data...</v>
        <stp/>
        <stp>##V3_BDHV12</stp>
        <stp>CL1 Comdty</stp>
        <stp>VOLATILITY_30D</stp>
        <stp>29/07/2016</stp>
        <stp>29/07/2016</stp>
        <stp>[Bbg_Market_Data_CL.xlsm]data!R174C18</stp>
        <tr r="R174" s="1"/>
      </tp>
      <tp>
        <v>15.71</v>
        <stp/>
        <stp>##V3_BDHV12</stp>
        <stp>CL2 Comdty</stp>
        <stp>VOLATILITY_10D</stp>
        <stp>28/07/2016</stp>
        <stp>28/07/2016</stp>
        <stp>[Bbg_Market_Data_CL.xlsm]data!R175C17</stp>
        <tr r="Q175" s="1"/>
      </tp>
      <tp>
        <v>41.32</v>
        <stp/>
        <stp>##V3_BDHV12</stp>
        <stp>CL2 Comdty</stp>
        <stp>VOLATILITY_30D</stp>
        <stp>08/07/2016</stp>
        <stp>08/07/2016</stp>
        <stp>[Bbg_Market_Data_CL.xlsm]data!R189C18</stp>
        <tr r="R189" s="1"/>
      </tp>
      <tp t="s">
        <v>#N/A Requesting Data...</v>
        <stp/>
        <stp>##V3_BDHV12</stp>
        <stp>CL1 Comdty</stp>
        <stp>VOLATILITY_30D</stp>
        <stp>28/06/2016</stp>
        <stp>28/06/2016</stp>
        <stp>[Bbg_Market_Data_CL.xlsm]data!R196C18</stp>
        <tr r="R196" s="1"/>
      </tp>
      <tp t="s">
        <v>#N/A Requesting Data...</v>
        <stp/>
        <stp>##V3_BDHV12</stp>
        <stp>CL1 Comdty</stp>
        <stp>VOLATILITY_10D</stp>
        <stp>18/07/2016</stp>
        <stp>18/07/2016</stp>
        <stp>[Bbg_Market_Data_CL.xlsm]data!R183C17</stp>
        <tr r="Q183" s="1"/>
      </tp>
      <tp t="s">
        <v>#N/A Requesting Data...</v>
        <stp/>
        <stp>##V3_BDHV12</stp>
        <stp>CL1 Comdty</stp>
        <stp>VOLATILITY_10D</stp>
        <stp>08/06/2016</stp>
        <stp>08/06/2016</stp>
        <stp>[Bbg_Market_Data_CL.xlsm]data!R210C17</stp>
        <tr r="Q210" s="1"/>
      </tp>
      <tp t="s">
        <v>#N/A Requesting Data...</v>
        <stp/>
        <stp>##V3_BDHV12</stp>
        <stp>CL1 Comdty</stp>
        <stp>VOLATILITY_10D</stp>
        <stp>28/04/2016</stp>
        <stp>28/04/2016</stp>
        <stp>[Bbg_Market_Data_CL.xlsm]data!R238C17</stp>
        <tr r="Q238" s="1"/>
      </tp>
      <tp>
        <v>51.68</v>
        <stp/>
        <stp>##V3_BDHV12</stp>
        <stp>CL2 Comdty</stp>
        <stp>VOLATILITY_10D</stp>
        <stp>18/04/2016</stp>
        <stp>18/04/2016</stp>
        <stp>[Bbg_Market_Data_CL.xlsm]data!R246C17</stp>
        <tr r="Q246" s="1"/>
      </tp>
      <tp t="s">
        <v>#N/A Requesting Data...</v>
        <stp/>
        <stp>##V3_BDHV12</stp>
        <stp>CL1 Comdty</stp>
        <stp>VOLATILITY_30D</stp>
        <stp>08/04/2016</stp>
        <stp>08/04/2016</stp>
        <stp>[Bbg_Market_Data_CL.xlsm]data!R252C18</stp>
        <tr r="R252" s="1"/>
      </tp>
      <tp t="s">
        <v>#N/A Requesting Data...</v>
        <stp/>
        <stp>##V3_BDHV12</stp>
        <stp>CL1 Comdty</stp>
        <stp>VOLATILITY_30D</stp>
        <stp>18/05/2016</stp>
        <stp>18/05/2016</stp>
        <stp>[Bbg_Market_Data_CL.xlsm]data!R224C18</stp>
        <tr r="R224" s="1"/>
      </tp>
      <tp t="s">
        <v>#N/A Requesting Data...</v>
        <stp/>
        <stp>##V3_BDHV12</stp>
        <stp>CL1 Comdty</stp>
        <stp>VOLUME_TOTAL_PUT</stp>
        <stp>30/03/2017</stp>
        <stp>30/03/2017</stp>
        <stp>[Bbg_Market_Data_CL.xlsm]data!R9C16</stp>
        <tr r="P9" s="1"/>
      </tp>
      <tp t="s">
        <v>#N/A Requesting Data...</v>
        <stp/>
        <stp>##V3_BDHV12</stp>
        <stp>CL1 Comdty</stp>
        <stp>VOLUME_TOTAL_PUT</stp>
        <stp>31/03/2017</stp>
        <stp>31/03/2017</stp>
        <stp>[Bbg_Market_Data_CL.xlsm]data!R8C16</stp>
        <tr r="P8" s="1"/>
      </tp>
      <tp>
        <v>35.299999999999997</v>
        <stp/>
        <stp>##V3_BDHV12</stp>
        <stp>CL2 Comdty</stp>
        <stp>VOLATILITY_10D</stp>
        <stp>19/05/2016</stp>
        <stp>19/05/2016</stp>
        <stp>[Bbg_Market_Data_CL.xlsm]data!R223C17</stp>
        <tr r="Q223" s="1"/>
      </tp>
      <tp t="s">
        <v>#N/A Requesting Data...</v>
        <stp/>
        <stp>##V3_BDHV12</stp>
        <stp>CL1 Comdty</stp>
        <stp>VOLATILITY_30D</stp>
        <stp>19/04/2016</stp>
        <stp>19/04/2016</stp>
        <stp>[Bbg_Market_Data_CL.xlsm]data!R245C18</stp>
        <tr r="R245" s="1"/>
      </tp>
      <tp>
        <v>42.2</v>
        <stp/>
        <stp>##V3_BDHV12</stp>
        <stp>CL2 Comdty</stp>
        <stp>VOLATILITY_30D</stp>
        <stp>29/04/2016</stp>
        <stp>29/04/2016</stp>
        <stp>[Bbg_Market_Data_CL.xlsm]data!R237C18</stp>
        <tr r="R237" s="1"/>
      </tp>
      <tp t="s">
        <v>#N/A Requesting Data...</v>
        <stp/>
        <stp>##V3_BDHV12</stp>
        <stp>CL1 Comdty</stp>
        <stp>VOLATILITY_30D</stp>
        <stp>09/05/2016</stp>
        <stp>09/05/2016</stp>
        <stp>[Bbg_Market_Data_CL.xlsm]data!R231C18</stp>
        <tr r="R231" s="1"/>
      </tp>
      <tp>
        <v>26.18</v>
        <stp/>
        <stp>##V3_BDHV12</stp>
        <stp>CL2 Comdty</stp>
        <stp>VOLATILITY_30D</stp>
        <stp>09/06/2016</stp>
        <stp>09/06/2016</stp>
        <stp>[Bbg_Market_Data_CL.xlsm]data!R209C18</stp>
        <tr r="R209" s="1"/>
      </tp>
      <tp>
        <v>45.79</v>
        <stp/>
        <stp>##V3_BDHV12</stp>
        <stp>CL2 Comdty</stp>
        <stp>VOLATILITY_10D</stp>
        <stp>15/09/2016</stp>
        <stp>15/09/2016</stp>
        <stp>[Bbg_Market_Data_CL.xlsm]data!R142C17</stp>
        <tr r="Q142" s="1"/>
      </tp>
      <tp t="s">
        <v>#N/A Requesting Data...</v>
        <stp/>
        <stp>##V3_BDHV12</stp>
        <stp>CL1 Comdty</stp>
        <stp>VOLATILITY_30D</stp>
        <stp>24/09/2015</stp>
        <stp>24/09/2015</stp>
        <stp>[Bbg_Market_Data_CL.xlsm]data!R384C18</stp>
        <tr r="R384" s="1"/>
      </tp>
      <tp>
        <v>36.57</v>
        <stp/>
        <stp>##V3_BDHV12</stp>
        <stp>CL2 Comdty</stp>
        <stp>VOLATILITY_10D</stp>
        <stp>05/08/2016</stp>
        <stp>05/08/2016</stp>
        <stp>[Bbg_Market_Data_CL.xlsm]data!R169C17</stp>
        <tr r="Q169" s="1"/>
      </tp>
      <tp>
        <v>61.67</v>
        <stp/>
        <stp>##V3_BDHV12</stp>
        <stp>CL2 Comdty</stp>
        <stp>VOLATILITY_30D</stp>
        <stp>14/09/2015</stp>
        <stp>14/09/2015</stp>
        <stp>[Bbg_Market_Data_CL.xlsm]data!R392C18</stp>
        <tr r="R392" s="1"/>
      </tp>
      <tp t="s">
        <v>#N/A Requesting Data...</v>
        <stp/>
        <stp>##V3_BDHV12</stp>
        <stp>CL1 Comdty</stp>
        <stp>VOLATILITY_10D</stp>
        <stp>04/09/2015</stp>
        <stp>04/09/2015</stp>
        <stp>[Bbg_Market_Data_CL.xlsm]data!R397C17</stp>
        <tr r="Q397" s="1"/>
      </tp>
      <tp t="s">
        <v>#N/A Requesting Data...</v>
        <stp/>
        <stp>##V3_BDHV12</stp>
        <stp>CL1 Comdty</stp>
        <stp>VOLATILITY_30D</stp>
        <stp>15/08/2016</stp>
        <stp>15/08/2016</stp>
        <stp>[Bbg_Market_Data_CL.xlsm]data!R164C18</stp>
        <tr r="R164" s="1"/>
      </tp>
      <tp>
        <v>35.450000000000003</v>
        <stp/>
        <stp>##V3_BDHV12</stp>
        <stp>CL2 Comdty</stp>
        <stp>VOLATILITY_30D</stp>
        <stp>25/08/2016</stp>
        <stp>25/08/2016</stp>
        <stp>[Bbg_Market_Data_CL.xlsm]data!R156C18</stp>
        <tr r="R156" s="1"/>
      </tp>
      <tp t="s">
        <v>#N/A Requesting Data...</v>
        <stp/>
        <stp>##V3_BDHV12</stp>
        <stp>CL1 Comdty</stp>
        <stp>VOLATILITY_10D</stp>
        <stp>24/08/2016</stp>
        <stp>24/08/2016</stp>
        <stp>[Bbg_Market_Data_CL.xlsm]data!R157C17</stp>
        <tr r="Q157" s="1"/>
      </tp>
      <tp t="s">
        <v>#N/A Requesting Data...</v>
        <stp/>
        <stp>##V3_BDHV12</stp>
        <stp>CL1 Comdty</stp>
        <stp>VOLATILITY_10D</stp>
        <stp>15/09/2015</stp>
        <stp>15/09/2015</stp>
        <stp>[Bbg_Market_Data_CL.xlsm]data!R391C17</stp>
        <tr r="Q391" s="1"/>
      </tp>
      <tp t="s">
        <v>#N/A Requesting Data...</v>
        <stp/>
        <stp>##V3_BDHV12</stp>
        <stp>CL1 Comdty</stp>
        <stp>VOLATILITY_30D</stp>
        <stp>04/08/2016</stp>
        <stp>04/08/2016</stp>
        <stp>[Bbg_Market_Data_CL.xlsm]data!R170C18</stp>
        <tr r="R170" s="1"/>
      </tp>
      <tp>
        <v>51.73</v>
        <stp/>
        <stp>##V3_BDHV12</stp>
        <stp>CL2 Comdty</stp>
        <stp>VOLATILITY_10D</stp>
        <stp>25/09/2015</stp>
        <stp>25/09/2015</stp>
        <stp>[Bbg_Market_Data_CL.xlsm]data!R383C17</stp>
        <tr r="Q383" s="1"/>
      </tp>
      <tp t="s">
        <v>#N/A Requesting Data...</v>
        <stp/>
        <stp>##V3_BDHV12</stp>
        <stp>CL1 Comdty</stp>
        <stp>VOLATILITY_30D</stp>
        <stp>14/09/2016</stp>
        <stp>14/09/2016</stp>
        <stp>[Bbg_Market_Data_CL.xlsm]data!R143C18</stp>
        <tr r="R143" s="1"/>
      </tp>
      <tp t="s">
        <v>#N/A Requesting Data...</v>
        <stp/>
        <stp>##V3_BDHV12</stp>
        <stp>CL1 Comdty</stp>
        <stp>VOLATILITY_10D</stp>
        <stp>07/09/2016</stp>
        <stp>07/09/2016</stp>
        <stp>[Bbg_Market_Data_CL.xlsm]data!R148C17</stp>
        <tr r="Q148" s="1"/>
      </tp>
      <tp t="s">
        <v>#N/A Requesting Data...</v>
        <stp/>
        <stp>##V3_BDHV12</stp>
        <stp>CL1 Comdty</stp>
        <stp>VOLATILITY_10D</stp>
        <stp>17/08/2016</stp>
        <stp>17/08/2016</stp>
        <stp>[Bbg_Market_Data_CL.xlsm]data!R162C17</stp>
        <tr r="Q162" s="1"/>
      </tp>
      <tp>
        <v>48.62</v>
        <stp/>
        <stp>##V3_BDHV12</stp>
        <stp>CL2 Comdty</stp>
        <stp>VOLATILITY_10D</stp>
        <stp>16/09/2015</stp>
        <stp>16/09/2015</stp>
        <stp>[Bbg_Market_Data_CL.xlsm]data!R390C17</stp>
        <tr r="Q390" s="1"/>
      </tp>
      <tp t="s">
        <v>#N/A Requesting Data...</v>
        <stp/>
        <stp>##V3_BDHV12</stp>
        <stp>CL1 Comdty</stp>
        <stp>VOLATILITY_30D</stp>
        <stp>27/09/2016</stp>
        <stp>27/09/2016</stp>
        <stp>[Bbg_Market_Data_CL.xlsm]data!R134C18</stp>
        <tr r="R134" s="1"/>
      </tp>
      <tp>
        <v>44.21</v>
        <stp/>
        <stp>##V3_BDHV12</stp>
        <stp>CL2 Comdty</stp>
        <stp>VOLATILITY_10D</stp>
        <stp>26/09/2016</stp>
        <stp>26/09/2016</stp>
        <stp>[Bbg_Market_Data_CL.xlsm]data!R135C17</stp>
        <tr r="Q135" s="1"/>
      </tp>
      <tp t="s">
        <v>#N/A Requesting Data...</v>
        <stp/>
        <stp>##V3_BDHV12</stp>
        <stp>CL1 Comdty</stp>
        <stp>VOLATILITY_10D</stp>
        <stp>16/09/2016</stp>
        <stp>16/09/2016</stp>
        <stp>[Bbg_Market_Data_CL.xlsm]data!R141C17</stp>
        <tr r="Q141" s="1"/>
      </tp>
      <tp t="s">
        <v>#N/A Requesting Data...</v>
        <stp/>
        <stp>##V3_BDHV12</stp>
        <stp>CL1 Comdty</stp>
        <stp>VOLATILITY_30D</stp>
        <stp>17/09/2015</stp>
        <stp>17/09/2015</stp>
        <stp>[Bbg_Market_Data_CL.xlsm]data!R389C18</stp>
        <tr r="R389" s="1"/>
      </tp>
      <tp>
        <v>39.68</v>
        <stp/>
        <stp>##V3_BDHV12</stp>
        <stp>CL2 Comdty</stp>
        <stp>VOLATILITY_30D</stp>
        <stp>16/08/2016</stp>
        <stp>16/08/2016</stp>
        <stp>[Bbg_Market_Data_CL.xlsm]data!R163C18</stp>
        <tr r="R163" s="1"/>
      </tp>
      <tp>
        <v>38.89</v>
        <stp/>
        <stp>##V3_BDHV12</stp>
        <stp>CL2 Comdty</stp>
        <stp>VOLATILITY_30D</stp>
        <stp>06/09/2016</stp>
        <stp>06/09/2016</stp>
        <stp>[Bbg_Market_Data_CL.xlsm]data!R149C18</stp>
        <tr r="R149" s="1"/>
      </tp>
      <tp t="s">
        <v>#N/A Requesting Data...</v>
        <stp/>
        <stp>##V3_BDHV12</stp>
        <stp>CL1 Comdty</stp>
        <stp>VOLATILITY_30D</stp>
        <stp>26/08/2016</stp>
        <stp>26/08/2016</stp>
        <stp>[Bbg_Market_Data_CL.xlsm]data!R155C18</stp>
        <tr r="R155" s="1"/>
      </tp>
      <tp>
        <v>31.36</v>
        <stp/>
        <stp>##V3_BDHV12</stp>
        <stp>CL2 Comdty</stp>
        <stp>VOLATILITY_10D</stp>
        <stp>17/08/2015</stp>
        <stp>17/08/2015</stp>
        <stp>[Bbg_Market_Data_CL.xlsm]data!R411C17</stp>
        <tr r="Q411" s="1"/>
      </tp>
      <tp t="s">
        <v>#N/A Requesting Data...</v>
        <stp/>
        <stp>##V3_BDHV12</stp>
        <stp>CL1 Comdty</stp>
        <stp>VOLATILITY_10D</stp>
        <stp>27/08/2015</stp>
        <stp>27/08/2015</stp>
        <stp>[Bbg_Market_Data_CL.xlsm]data!R403C17</stp>
        <tr r="Q403" s="1"/>
      </tp>
      <tp t="s">
        <v>#N/A Requesting Data...</v>
        <stp/>
        <stp>##V3_BDHV12</stp>
        <stp>CL1 Comdty</stp>
        <stp>VOLATILITY_30D</stp>
        <stp>07/08/2015</stp>
        <stp>07/08/2015</stp>
        <stp>[Bbg_Market_Data_CL.xlsm]data!R417C18</stp>
        <tr r="R417" s="1"/>
      </tp>
      <tp>
        <v>31.47</v>
        <stp/>
        <stp>##V3_BDHV12</stp>
        <stp>CL2 Comdty</stp>
        <stp>VOLATILITY_10D</stp>
        <stp>06/08/2015</stp>
        <stp>06/08/2015</stp>
        <stp>[Bbg_Market_Data_CL.xlsm]data!R418C17</stp>
        <tr r="Q418" s="1"/>
      </tp>
      <tp>
        <v>33.71</v>
        <stp/>
        <stp>##V3_BDHV12</stp>
        <stp>CL2 Comdty</stp>
        <stp>VOLATILITY_30D</stp>
        <stp>26/08/2015</stp>
        <stp>26/08/2015</stp>
        <stp>[Bbg_Market_Data_CL.xlsm]data!R404C18</stp>
        <tr r="R404" s="1"/>
      </tp>
      <tp t="s">
        <v>#N/A Requesting Data...</v>
        <stp/>
        <stp>##V3_BDHV12</stp>
        <stp>CL1 Comdty</stp>
        <stp>VOLATILITY_10D</stp>
        <stp>05/08/2015</stp>
        <stp>05/08/2015</stp>
        <stp>[Bbg_Market_Data_CL.xlsm]data!R419C17</stp>
        <tr r="Q419" s="1"/>
      </tp>
      <tp t="s">
        <v>#N/A Requesting Data...</v>
        <stp/>
        <stp>##V3_BDHV12</stp>
        <stp>CL1 Comdty</stp>
        <stp>VOLATILITY_30D</stp>
        <stp>25/08/2015</stp>
        <stp>25/08/2015</stp>
        <stp>[Bbg_Market_Data_CL.xlsm]data!R405C18</stp>
        <tr r="R405" s="1"/>
      </tp>
      <tp t="s">
        <v>#N/A Requesting Data...</v>
        <stp/>
        <stp>##V3_BDHV12</stp>
        <stp>CL1 Comdty</stp>
        <stp>VOLATILITY_10D</stp>
        <stp>14/08/2015</stp>
        <stp>14/08/2015</stp>
        <stp>[Bbg_Market_Data_CL.xlsm]data!R412C17</stp>
        <tr r="Q412" s="1"/>
      </tp>
      <tp>
        <v>38.9</v>
        <stp/>
        <stp>##V3_BDHV12</stp>
        <stp>CL2 Comdty</stp>
        <stp>VOLATILITY_10D</stp>
        <stp>24/08/2015</stp>
        <stp>24/08/2015</stp>
        <stp>[Bbg_Market_Data_CL.xlsm]data!R406C17</stp>
        <tr r="Q406" s="1"/>
      </tp>
      <tp t="s">
        <v>#N/A Requesting Data...</v>
        <stp/>
        <stp>##V3_BDHV12</stp>
        <stp>CL2 Comdty</stp>
        <stp>VOLATILITY_30D</stp>
        <stp>04/08/2015</stp>
        <stp>04/08/2015</stp>
        <stp>[Bbg_Market_Data_CL.xlsm]data!R420C18</stp>
        <tr r="R420" s="1"/>
      </tp>
      <tp>
        <v>32.03</v>
        <stp/>
        <stp>##V3_BDHV12</stp>
        <stp>CL2 Comdty</stp>
        <stp>PX_LOW</stp>
        <stp>11/01/2016</stp>
        <stp>11/01/2016</stp>
        <stp>[Bbg_Market_Data_CL.xlsm]data!R312C7</stp>
        <tr r="G312" s="1"/>
      </tp>
      <tp t="s">
        <v>#N/A Requesting Data...</v>
        <stp/>
        <stp>##V3_BDHV12</stp>
        <stp>CL2 Comdty</stp>
        <stp>PX_LOW</stp>
        <stp>15/06/2015</stp>
        <stp>15/06/2015</stp>
        <stp>[Bbg_Market_Data_CL.xlsm]data!R455C7</stp>
        <tr r="G455" s="1"/>
      </tp>
      <tp t="s">
        <v>#N/A Requesting Data...</v>
        <stp/>
        <stp>##V3_BDHV12</stp>
        <stp>CL1 Comdty</stp>
        <stp>PX_LOW</stp>
        <stp>24/07/2015</stp>
        <stp>24/07/2015</stp>
        <stp>[Bbg_Market_Data_CL.xlsm]data!R427C7</stp>
        <tr r="G427" s="1"/>
      </tp>
      <tp>
        <v>46.93</v>
        <stp/>
        <stp>##V3_BDHV12</stp>
        <stp>CL2 Comdty</stp>
        <stp>PX_LOW</stp>
        <stp>13/10/2015</stp>
        <stp>13/10/2015</stp>
        <stp>[Bbg_Market_Data_CL.xlsm]data!R372C7</stp>
        <tr r="G372" s="1"/>
      </tp>
      <tp t="s">
        <v>#N/A Requesting Data...</v>
        <stp/>
        <stp>##V3_BDHV12</stp>
        <stp>CL1 Comdty</stp>
        <stp>PX_LOW</stp>
        <stp>23/03/2016</stp>
        <stp>23/03/2016</stp>
        <stp>[Bbg_Market_Data_CL.xlsm]data!R263C7</stp>
        <tr r="G263" s="1"/>
      </tp>
      <tp t="s">
        <v>#N/A Requesting Data...</v>
        <stp/>
        <stp>##V3_BDHV12</stp>
        <stp>CL2 Comdty</stp>
        <stp>PX_LOW</stp>
        <stp>26/06/2015</stp>
        <stp>26/06/2015</stp>
        <stp>[Bbg_Market_Data_CL.xlsm]data!R446C7</stp>
        <tr r="G446" s="1"/>
      </tp>
      <tp t="s">
        <v>#N/A Requesting Data...</v>
        <stp/>
        <stp>##V3_BDHV12</stp>
        <stp>CL1 Comdty</stp>
        <stp>PX_LOW</stp>
        <stp>15/06/2016</stp>
        <stp>15/06/2016</stp>
        <stp>[Bbg_Market_Data_CL.xlsm]data!R205C7</stp>
        <tr r="G205" s="1"/>
      </tp>
      <tp t="s">
        <v>#N/A Requesting Data...</v>
        <stp/>
        <stp>##V3_BDHV12</stp>
        <stp>CL1 Comdty</stp>
        <stp>PX_LOW</stp>
        <stp>16/05/2016</stp>
        <stp>16/05/2016</stp>
        <stp>[Bbg_Market_Data_CL.xlsm]data!R226C7</stp>
        <tr r="G226" s="1"/>
      </tp>
      <tp t="s">
        <v>#N/A Requesting Data...</v>
        <stp/>
        <stp>##V3_BDHV12</stp>
        <stp>CL2 Comdty</stp>
        <stp>PX_LOW</stp>
        <stp>15/07/2015</stp>
        <stp>15/07/2015</stp>
        <stp>[Bbg_Market_Data_CL.xlsm]data!R434C7</stp>
        <tr r="G434" s="1"/>
      </tp>
      <tp t="s">
        <v>#N/A Requesting Data...</v>
        <stp/>
        <stp>##V3_BDHV12</stp>
        <stp>CL1 Comdty</stp>
        <stp>PX_LOW</stp>
        <stp>10/02/2016</stp>
        <stp>10/02/2016</stp>
        <stp>[Bbg_Market_Data_CL.xlsm]data!R291C7</stp>
        <tr r="G291" s="1"/>
      </tp>
      <tp t="s">
        <v>#N/A Requesting Data...</v>
        <stp/>
        <stp>##V3_BDHV12</stp>
        <stp>CL1 Comdty</stp>
        <stp>PX_LOW</stp>
        <stp>15/04/2015</stp>
        <stp>15/04/2015</stp>
        <stp>[Bbg_Market_Data_CL.xlsm]data!R497C7</stp>
        <tr r="G497" s="1"/>
      </tp>
      <tp>
        <v>37.21</v>
        <stp/>
        <stp>##V3_BDHV12</stp>
        <stp>CL2 Comdty</stp>
        <stp>PX_LOW</stp>
        <stp>23/12/2015</stp>
        <stp>23/12/2015</stp>
        <stp>[Bbg_Market_Data_CL.xlsm]data!R323C7</stp>
        <tr r="G323" s="1"/>
      </tp>
      <tp t="s">
        <v>#N/A Requesting Data...</v>
        <stp/>
        <stp>##V3_BDHV12</stp>
        <stp>CL1 Comdty</stp>
        <stp>PX_LOW</stp>
        <stp>14/05/2015</stp>
        <stp>14/05/2015</stp>
        <stp>[Bbg_Market_Data_CL.xlsm]data!R476C7</stp>
        <tr r="G476" s="1"/>
      </tp>
      <tp>
        <v>44.96</v>
        <stp/>
        <stp>##V3_BDHV12</stp>
        <stp>CL2 Comdty</stp>
        <stp>PX_LOW</stp>
        <stp>10/11/2016</stp>
        <stp>10/11/2016</stp>
        <stp>[Bbg_Market_Data_CL.xlsm]data!R103C7</stp>
        <tr r="G103" s="1"/>
      </tp>
      <tp>
        <v>36.799999999999997</v>
        <stp/>
        <stp>##V3_BDHV12</stp>
        <stp>CL2 Comdty</stp>
        <stp>PX_LOW</stp>
        <stp>04/04/2016</stp>
        <stp>04/04/2016</stp>
        <stp>[Bbg_Market_Data_CL.xlsm]data!R256C7</stp>
        <tr r="G256" s="1"/>
      </tp>
      <tp t="s">
        <v>#N/A Requesting Data...</v>
        <stp/>
        <stp>##V3_BDHV12</stp>
        <stp>CL1 Comdty</stp>
        <stp>PX_LOW</stp>
        <stp>26/07/2016</stp>
        <stp>26/07/2016</stp>
        <stp>[Bbg_Market_Data_CL.xlsm]data!R177C7</stp>
        <tr r="G177" s="1"/>
      </tp>
      <tp>
        <v>41.19</v>
        <stp/>
        <stp>##V3_BDHV12</stp>
        <stp>CL2 Comdty</stp>
        <stp>PX_LOW</stp>
        <stp>15/04/2016</stp>
        <stp>15/04/2016</stp>
        <stp>[Bbg_Market_Data_CL.xlsm]data!R247C7</stp>
        <tr r="G247" s="1"/>
      </tp>
      <tp t="s">
        <v>#N/A Requesting Data...</v>
        <stp/>
        <stp>##V3_BDHV12</stp>
        <stp>CL1 Comdty</stp>
        <stp>PX_LOW</stp>
        <stp>15/07/2016</stp>
        <stp>15/07/2016</stp>
        <stp>[Bbg_Market_Data_CL.xlsm]data!R184C7</stp>
        <tr r="G184" s="1"/>
      </tp>
      <tp t="s">
        <v>#N/A Requesting Data...</v>
        <stp/>
        <stp>##V3_BDHV12</stp>
        <stp>CL1 Comdty</stp>
        <stp>PX_LOW</stp>
        <stp>15/07/2015</stp>
        <stp>15/07/2015</stp>
        <stp>[Bbg_Market_Data_CL.xlsm]data!R434C7</stp>
        <tr r="G434" s="1"/>
      </tp>
      <tp>
        <v>29.43</v>
        <stp/>
        <stp>##V3_BDHV12</stp>
        <stp>CL2 Comdty</stp>
        <stp>PX_LOW</stp>
        <stp>10/02/2016</stp>
        <stp>10/02/2016</stp>
        <stp>[Bbg_Market_Data_CL.xlsm]data!R291C7</stp>
        <tr r="G291" s="1"/>
      </tp>
      <tp t="s">
        <v>#N/A Requesting Data...</v>
        <stp/>
        <stp>##V3_BDHV12</stp>
        <stp>CL2 Comdty</stp>
        <stp>PX_LOW</stp>
        <stp>15/04/2015</stp>
        <stp>15/04/2015</stp>
        <stp>[Bbg_Market_Data_CL.xlsm]data!R497C7</stp>
        <tr r="G497" s="1"/>
      </tp>
      <tp t="s">
        <v>#N/A Requesting Data...</v>
        <stp/>
        <stp>##V3_BDHV12</stp>
        <stp>CL1 Comdty</stp>
        <stp>PX_LOW</stp>
        <stp>23/12/2015</stp>
        <stp>23/12/2015</stp>
        <stp>[Bbg_Market_Data_CL.xlsm]data!R323C7</stp>
        <tr r="G323" s="1"/>
      </tp>
      <tp t="s">
        <v>#N/A Requesting Data...</v>
        <stp/>
        <stp>##V3_BDHV12</stp>
        <stp>CL2 Comdty</stp>
        <stp>PX_LOW</stp>
        <stp>14/05/2015</stp>
        <stp>14/05/2015</stp>
        <stp>[Bbg_Market_Data_CL.xlsm]data!R476C7</stp>
        <tr r="G476" s="1"/>
      </tp>
      <tp t="s">
        <v>#N/A Requesting Data...</v>
        <stp/>
        <stp>##V3_BDHV12</stp>
        <stp>CL1 Comdty</stp>
        <stp>PX_LOW</stp>
        <stp>10/11/2016</stp>
        <stp>10/11/2016</stp>
        <stp>[Bbg_Market_Data_CL.xlsm]data!R103C7</stp>
        <tr r="G103" s="1"/>
      </tp>
      <tp t="s">
        <v>#N/A Requesting Data...</v>
        <stp/>
        <stp>##V3_BDHV12</stp>
        <stp>CL1 Comdty</stp>
        <stp>PX_LOW</stp>
        <stp>04/04/2016</stp>
        <stp>04/04/2016</stp>
        <stp>[Bbg_Market_Data_CL.xlsm]data!R256C7</stp>
        <tr r="G256" s="1"/>
      </tp>
      <tp>
        <v>43.13</v>
        <stp/>
        <stp>##V3_BDHV12</stp>
        <stp>CL2 Comdty</stp>
        <stp>PX_LOW</stp>
        <stp>26/07/2016</stp>
        <stp>26/07/2016</stp>
        <stp>[Bbg_Market_Data_CL.xlsm]data!R177C7</stp>
        <tr r="G177" s="1"/>
      </tp>
      <tp t="s">
        <v>#N/A Requesting Data...</v>
        <stp/>
        <stp>##V3_BDHV12</stp>
        <stp>CL1 Comdty</stp>
        <stp>PX_LOW</stp>
        <stp>15/04/2016</stp>
        <stp>15/04/2016</stp>
        <stp>[Bbg_Market_Data_CL.xlsm]data!R247C7</stp>
        <tr r="G247" s="1"/>
      </tp>
      <tp>
        <v>45.78</v>
        <stp/>
        <stp>##V3_BDHV12</stp>
        <stp>CL2 Comdty</stp>
        <stp>PX_LOW</stp>
        <stp>15/07/2016</stp>
        <stp>15/07/2016</stp>
        <stp>[Bbg_Market_Data_CL.xlsm]data!R184C7</stp>
        <tr r="G184" s="1"/>
      </tp>
      <tp t="s">
        <v>#N/A Requesting Data...</v>
        <stp/>
        <stp>##V3_BDHV12</stp>
        <stp>CL1 Comdty</stp>
        <stp>PX_LOW</stp>
        <stp>11/01/2016</stp>
        <stp>11/01/2016</stp>
        <stp>[Bbg_Market_Data_CL.xlsm]data!R312C7</stp>
        <tr r="G312" s="1"/>
      </tp>
      <tp t="s">
        <v>#N/A Requesting Data...</v>
        <stp/>
        <stp>##V3_BDHV12</stp>
        <stp>CL1 Comdty</stp>
        <stp>PX_LOW</stp>
        <stp>15/06/2015</stp>
        <stp>15/06/2015</stp>
        <stp>[Bbg_Market_Data_CL.xlsm]data!R455C7</stp>
        <tr r="G455" s="1"/>
      </tp>
      <tp t="s">
        <v>#N/A Requesting Data...</v>
        <stp/>
        <stp>##V3_BDHV12</stp>
        <stp>CL2 Comdty</stp>
        <stp>PX_LOW</stp>
        <stp>24/07/2015</stp>
        <stp>24/07/2015</stp>
        <stp>[Bbg_Market_Data_CL.xlsm]data!R427C7</stp>
        <tr r="G427" s="1"/>
      </tp>
      <tp t="s">
        <v>#N/A Requesting Data...</v>
        <stp/>
        <stp>##V3_BDHV12</stp>
        <stp>CL1 Comdty</stp>
        <stp>PX_LOW</stp>
        <stp>13/10/2015</stp>
        <stp>13/10/2015</stp>
        <stp>[Bbg_Market_Data_CL.xlsm]data!R372C7</stp>
        <tr r="G372" s="1"/>
      </tp>
      <tp>
        <v>40.75</v>
        <stp/>
        <stp>##V3_BDHV12</stp>
        <stp>CL2 Comdty</stp>
        <stp>PX_LOW</stp>
        <stp>23/03/2016</stp>
        <stp>23/03/2016</stp>
        <stp>[Bbg_Market_Data_CL.xlsm]data!R263C7</stp>
        <tr r="G263" s="1"/>
      </tp>
      <tp t="s">
        <v>#N/A Requesting Data...</v>
        <stp/>
        <stp>##V3_BDHV12</stp>
        <stp>CL1 Comdty</stp>
        <stp>PX_LOW</stp>
        <stp>26/06/2015</stp>
        <stp>26/06/2015</stp>
        <stp>[Bbg_Market_Data_CL.xlsm]data!R446C7</stp>
        <tr r="G446" s="1"/>
      </tp>
      <tp>
        <v>47.79</v>
        <stp/>
        <stp>##V3_BDHV12</stp>
        <stp>CL2 Comdty</stp>
        <stp>PX_LOW</stp>
        <stp>15/06/2016</stp>
        <stp>15/06/2016</stp>
        <stp>[Bbg_Market_Data_CL.xlsm]data!R205C7</stp>
        <tr r="G205" s="1"/>
      </tp>
      <tp>
        <v>46.84</v>
        <stp/>
        <stp>##V3_BDHV12</stp>
        <stp>CL2 Comdty</stp>
        <stp>PX_LOW</stp>
        <stp>16/05/2016</stp>
        <stp>16/05/2016</stp>
        <stp>[Bbg_Market_Data_CL.xlsm]data!R226C7</stp>
        <tr r="G226" s="1"/>
      </tp>
      <tp t="s">
        <v>#N/A Requesting Data...</v>
        <stp/>
        <stp>##V3_BDHV12</stp>
        <stp>CL1 Comdty</stp>
        <stp>PX_LOW</stp>
        <stp>20/04/2016</stp>
        <stp>20/04/2016</stp>
        <stp>[Bbg_Market_Data_CL.xlsm]data!R244C7</stp>
        <tr r="G244" s="1"/>
      </tp>
      <tp t="s">
        <v>#N/A Requesting Data...</v>
        <stp/>
        <stp>##V3_BDHV12</stp>
        <stp>CL1 Comdty</stp>
        <stp>PX_LOW</stp>
        <stp>14/03/2016</stp>
        <stp>14/03/2016</stp>
        <stp>[Bbg_Market_Data_CL.xlsm]data!R270C7</stp>
        <tr r="G270" s="1"/>
      </tp>
      <tp>
        <v>33.03</v>
        <stp/>
        <stp>##V3_BDHV12</stp>
        <stp>CL2 Comdty</stp>
        <stp>PX_LOW</stp>
        <stp>25/02/2016</stp>
        <stp>25/02/2016</stp>
        <stp>[Bbg_Market_Data_CL.xlsm]data!R282C7</stp>
        <tr r="G282" s="1"/>
      </tp>
      <tp t="s">
        <v>#N/A Requesting Data...</v>
        <stp/>
        <stp>##V3_BDHV12</stp>
        <stp>CL2 Comdty</stp>
        <stp>PX_LOW</stp>
        <stp>20/04/2015</stp>
        <stp>20/04/2015</stp>
        <stp>[Bbg_Market_Data_CL.xlsm]data!R494C7</stp>
        <tr r="G494" s="1"/>
      </tp>
      <tp>
        <v>50.3</v>
        <stp/>
        <stp>##V3_BDHV12</stp>
        <stp>CL2 Comdty</stp>
        <stp>PX_LOW</stp>
        <stp>14/10/2016</stp>
        <stp>14/10/2016</stp>
        <stp>[Bbg_Market_Data_CL.xlsm]data!R122C7</stp>
        <tr r="G122" s="1"/>
      </tp>
      <tp>
        <v>48.46</v>
        <stp/>
        <stp>##V3_BDHV12</stp>
        <stp>CL2 Comdty</stp>
        <stp>PX_LOW</stp>
        <stp>02/06/2016</stp>
        <stp>02/06/2016</stp>
        <stp>[Bbg_Market_Data_CL.xlsm]data!R214C7</stp>
        <tr r="G214" s="1"/>
      </tp>
      <tp>
        <v>36.1</v>
        <stp/>
        <stp>##V3_BDHV12</stp>
        <stp>CL2 Comdty</stp>
        <stp>PX_LOW</stp>
        <stp>14/12/2015</stp>
        <stp>14/12/2015</stp>
        <stp>[Bbg_Market_Data_CL.xlsm]data!R330C7</stp>
        <tr r="G330" s="1"/>
      </tp>
      <tp>
        <v>31.65</v>
        <stp/>
        <stp>##V3_BDHV12</stp>
        <stp>CL2 Comdty</stp>
        <stp>PX_LOW</stp>
        <stp>27/01/2016</stp>
        <stp>27/01/2016</stp>
        <stp>[Bbg_Market_Data_CL.xlsm]data!R301C7</stp>
        <tr r="G301" s="1"/>
      </tp>
      <tp t="s">
        <v>#N/A Requesting Data...</v>
        <stp/>
        <stp>##V3_BDHV12</stp>
        <stp>CL1 Comdty</stp>
        <stp>PX_LOW</stp>
        <stp>02/06/2015</stp>
        <stp>02/06/2015</stp>
        <stp>[Bbg_Market_Data_CL.xlsm]data!R464C7</stp>
        <tr r="G464" s="1"/>
      </tp>
      <tp t="s">
        <v>#N/A Requesting Data...</v>
        <stp/>
        <stp>##V3_BDHV12</stp>
        <stp>CL1 Comdty</stp>
        <stp>PX_LOW</stp>
        <stp>02/06/2016</stp>
        <stp>02/06/2016</stp>
        <stp>[Bbg_Market_Data_CL.xlsm]data!R214C7</stp>
        <tr r="G214" s="1"/>
      </tp>
      <tp t="s">
        <v>#N/A Requesting Data...</v>
        <stp/>
        <stp>##V3_BDHV12</stp>
        <stp>CL1 Comdty</stp>
        <stp>PX_LOW</stp>
        <stp>14/12/2015</stp>
        <stp>14/12/2015</stp>
        <stp>[Bbg_Market_Data_CL.xlsm]data!R330C7</stp>
        <tr r="G330" s="1"/>
      </tp>
      <tp t="s">
        <v>#N/A Requesting Data...</v>
        <stp/>
        <stp>##V3_BDHV12</stp>
        <stp>CL1 Comdty</stp>
        <stp>PX_LOW</stp>
        <stp>27/01/2016</stp>
        <stp>27/01/2016</stp>
        <stp>[Bbg_Market_Data_CL.xlsm]data!R301C7</stp>
        <tr r="G301" s="1"/>
      </tp>
      <tp t="s">
        <v>#N/A Requesting Data...</v>
        <stp/>
        <stp>##V3_BDHV12</stp>
        <stp>CL2 Comdty</stp>
        <stp>PX_LOW</stp>
        <stp>02/06/2015</stp>
        <stp>02/06/2015</stp>
        <stp>[Bbg_Market_Data_CL.xlsm]data!R464C7</stp>
        <tr r="G464" s="1"/>
      </tp>
      <tp>
        <v>41.3</v>
        <stp/>
        <stp>##V3_BDHV12</stp>
        <stp>CL2 Comdty</stp>
        <stp>PX_LOW</stp>
        <stp>20/04/2016</stp>
        <stp>20/04/2016</stp>
        <stp>[Bbg_Market_Data_CL.xlsm]data!R244C7</stp>
        <tr r="G244" s="1"/>
      </tp>
      <tp>
        <v>38.409999999999997</v>
        <stp/>
        <stp>##V3_BDHV12</stp>
        <stp>CL2 Comdty</stp>
        <stp>PX_LOW</stp>
        <stp>14/03/2016</stp>
        <stp>14/03/2016</stp>
        <stp>[Bbg_Market_Data_CL.xlsm]data!R270C7</stp>
        <tr r="G270" s="1"/>
      </tp>
      <tp t="s">
        <v>#N/A Requesting Data...</v>
        <stp/>
        <stp>##V3_BDHV12</stp>
        <stp>CL1 Comdty</stp>
        <stp>PX_LOW</stp>
        <stp>25/02/2016</stp>
        <stp>25/02/2016</stp>
        <stp>[Bbg_Market_Data_CL.xlsm]data!R282C7</stp>
        <tr r="G282" s="1"/>
      </tp>
      <tp t="s">
        <v>#N/A Requesting Data...</v>
        <stp/>
        <stp>##V3_BDHV12</stp>
        <stp>CL1 Comdty</stp>
        <stp>PX_LOW</stp>
        <stp>20/04/2015</stp>
        <stp>20/04/2015</stp>
        <stp>[Bbg_Market_Data_CL.xlsm]data!R494C7</stp>
        <tr r="G494" s="1"/>
      </tp>
      <tp t="s">
        <v>#N/A Requesting Data...</v>
        <stp/>
        <stp>##V3_BDHV12</stp>
        <stp>CL1 Comdty</stp>
        <stp>PX_LOW</stp>
        <stp>14/10/2016</stp>
        <stp>14/10/2016</stp>
        <stp>[Bbg_Market_Data_CL.xlsm]data!R122C7</stp>
        <tr r="G122" s="1"/>
      </tp>
      <tp>
        <v>47.27</v>
        <stp/>
        <stp>##V3_BDHV12</stp>
        <stp>CL2 Comdty</stp>
        <stp>PX_LOW</stp>
        <stp>23/08/2016</stp>
        <stp>23/08/2016</stp>
        <stp>[Bbg_Market_Data_CL.xlsm]data!R158C7</stp>
        <tr r="G158" s="1"/>
      </tp>
      <tp>
        <v>40.5</v>
        <stp/>
        <stp>##V3_BDHV12</stp>
        <stp>CL2 Comdty</stp>
        <stp>PX_LOW</stp>
        <stp>20/08/2015</stp>
        <stp>20/08/2015</stp>
        <stp>[Bbg_Market_Data_CL.xlsm]data!R408C7</stp>
        <tr r="G408" s="1"/>
      </tp>
      <tp>
        <v>33.78</v>
        <stp/>
        <stp>##V3_BDHV12</stp>
        <stp>CL2 Comdty</stp>
        <stp>PX_LOW</stp>
        <stp>08/01/2016</stp>
        <stp>08/01/2016</stp>
        <stp>[Bbg_Market_Data_CL.xlsm]data!R313C7</stp>
        <tr r="G313" s="1"/>
      </tp>
      <tp>
        <v>43.98</v>
        <stp/>
        <stp>##V3_BDHV12</stp>
        <stp>CL2 Comdty</stp>
        <stp>PX_LOW</stp>
        <stp>28/10/2015</stp>
        <stp>28/10/2015</stp>
        <stp>[Bbg_Market_Data_CL.xlsm]data!R361C7</stp>
        <tr r="G361" s="1"/>
      </tp>
      <tp t="s">
        <v>#N/A Requesting Data...</v>
        <stp/>
        <stp>##V3_BDHV12</stp>
        <stp>CL1 Comdty</stp>
        <stp>PX_LOW</stp>
        <stp>09/10/2015</stp>
        <stp>09/10/2015</stp>
        <stp>[Bbg_Market_Data_CL.xlsm]data!R373C7</stp>
        <tr r="G373" s="1"/>
      </tp>
      <tp t="s">
        <v>#N/A Requesting Data...</v>
        <stp/>
        <stp>##V3_BDHV12</stp>
        <stp>CL1 Comdty</stp>
        <stp>PX_LOW</stp>
        <stp>20/09/2016</stp>
        <stp>20/09/2016</stp>
        <stp>[Bbg_Market_Data_CL.xlsm]data!R139C7</stp>
        <tr r="G139" s="1"/>
      </tp>
      <tp>
        <v>43.06</v>
        <stp/>
        <stp>##V3_BDHV12</stp>
        <stp>CL2 Comdty</stp>
        <stp>PX_LOW</stp>
        <stp>20/09/2016</stp>
        <stp>20/09/2016</stp>
        <stp>[Bbg_Market_Data_CL.xlsm]data!R139C7</stp>
        <tr r="G139" s="1"/>
      </tp>
      <tp t="s">
        <v>#N/A Requesting Data...</v>
        <stp/>
        <stp>##V3_BDHV12</stp>
        <stp>CL1 Comdty</stp>
        <stp>PX_LOW</stp>
        <stp>23/08/2016</stp>
        <stp>23/08/2016</stp>
        <stp>[Bbg_Market_Data_CL.xlsm]data!R158C7</stp>
        <tr r="G158" s="1"/>
      </tp>
      <tp t="s">
        <v>#N/A Requesting Data...</v>
        <stp/>
        <stp>##V3_BDHV12</stp>
        <stp>CL1 Comdty</stp>
        <stp>PX_LOW</stp>
        <stp>20/08/2015</stp>
        <stp>20/08/2015</stp>
        <stp>[Bbg_Market_Data_CL.xlsm]data!R408C7</stp>
        <tr r="G408" s="1"/>
      </tp>
      <tp t="s">
        <v>#N/A Requesting Data...</v>
        <stp/>
        <stp>##V3_BDHV12</stp>
        <stp>CL1 Comdty</stp>
        <stp>PX_LOW</stp>
        <stp>08/01/2016</stp>
        <stp>08/01/2016</stp>
        <stp>[Bbg_Market_Data_CL.xlsm]data!R313C7</stp>
        <tr r="G313" s="1"/>
      </tp>
      <tp t="s">
        <v>#N/A Requesting Data...</v>
        <stp/>
        <stp>##V3_BDHV12</stp>
        <stp>CL1 Comdty</stp>
        <stp>PX_LOW</stp>
        <stp>28/10/2015</stp>
        <stp>28/10/2015</stp>
        <stp>[Bbg_Market_Data_CL.xlsm]data!R361C7</stp>
        <tr r="G361" s="1"/>
      </tp>
      <tp>
        <v>49.69</v>
        <stp/>
        <stp>##V3_BDHV12</stp>
        <stp>CL2 Comdty</stp>
        <stp>PX_LOW</stp>
        <stp>09/10/2015</stp>
        <stp>09/10/2015</stp>
        <stp>[Bbg_Market_Data_CL.xlsm]data!R373C7</stp>
        <tr r="G373" s="1"/>
      </tp>
      <tp>
        <v>47.22</v>
        <stp/>
        <stp>##V3_BDHV12</stp>
        <stp>CL2 Comdty</stp>
        <stp>PX_LOW</stp>
        <stp>28/06/2016</stp>
        <stp>28/06/2016</stp>
        <stp>[Bbg_Market_Data_CL.xlsm]data!R196C7</stp>
        <tr r="G196" s="1"/>
      </tp>
      <tp t="s">
        <v>#N/A Requesting Data...</v>
        <stp/>
        <stp>##V3_BDHV12</stp>
        <stp>CL1 Comdty</stp>
        <stp>PX_LOW</stp>
        <stp>28/06/2016</stp>
        <stp>28/06/2016</stp>
        <stp>[Bbg_Market_Data_CL.xlsm]data!R196C7</stp>
        <tr r="G196" s="1"/>
      </tp>
      <tp t="s">
        <v>#N/A Requesting Data...</v>
        <stp/>
        <stp>##V3_BDHV12</stp>
        <stp>CL1 Comdty</stp>
        <stp>VOLATILITY_10D</stp>
        <stp>09/07/2015</stp>
        <stp>09/07/2015</stp>
        <stp>[Bbg_Market_Data_CL.xlsm]data!R438C17</stp>
        <tr r="Q438" s="1"/>
      </tp>
      <tp t="s">
        <v>#N/A Requesting Data...</v>
        <stp/>
        <stp>##V3_BDHV12</stp>
        <stp>CL1 Comdty</stp>
        <stp>VOLATILITY_10D</stp>
        <stp>19/06/2015</stp>
        <stp>19/06/2015</stp>
        <stp>[Bbg_Market_Data_CL.xlsm]data!R451C17</stp>
        <tr r="Q451" s="1"/>
      </tp>
      <tp t="s">
        <v>#N/A Requesting Data...</v>
        <stp/>
        <stp>##V3_BDHV12</stp>
        <stp>CL2 Comdty</stp>
        <stp>VOLATILITY_10D</stp>
        <stp>29/06/2015</stp>
        <stp>29/06/2015</stp>
        <stp>[Bbg_Market_Data_CL.xlsm]data!R445C17</stp>
        <tr r="Q445" s="1"/>
      </tp>
      <tp t="s">
        <v>#N/A Requesting Data...</v>
        <stp/>
        <stp>##V3_BDHV12</stp>
        <stp>CL2 Comdty</stp>
        <stp>VOLATILITY_30D</stp>
        <stp>29/04/2015</stp>
        <stp>29/04/2015</stp>
        <stp>[Bbg_Market_Data_CL.xlsm]data!R487C18</stp>
        <tr r="R487" s="1"/>
      </tp>
      <tp t="s">
        <v>#N/A Requesting Data...</v>
        <stp/>
        <stp>##V3_BDHV12</stp>
        <stp>CL2 Comdty</stp>
        <stp>VOLATILITY_10D</stp>
        <stp>19/05/2015</stp>
        <stp>19/05/2015</stp>
        <stp>[Bbg_Market_Data_CL.xlsm]data!R473C17</stp>
        <tr r="Q473" s="1"/>
      </tp>
      <tp t="s">
        <v>#N/A Requesting Data...</v>
        <stp/>
        <stp>##V3_BDHV12</stp>
        <stp>CL1 Comdty</stp>
        <stp>VOLATILITY_10D</stp>
        <stp>29/05/2015</stp>
        <stp>29/05/2015</stp>
        <stp>[Bbg_Market_Data_CL.xlsm]data!R466C17</stp>
        <tr r="Q466" s="1"/>
      </tp>
      <tp t="s">
        <v>#N/A Requesting Data...</v>
        <stp/>
        <stp>##V3_BDHV12</stp>
        <stp>CL2 Comdty</stp>
        <stp>VOLATILITY_30D</stp>
        <stp>09/06/2015</stp>
        <stp>09/06/2015</stp>
        <stp>[Bbg_Market_Data_CL.xlsm]data!R459C18</stp>
        <tr r="R459" s="1"/>
      </tp>
      <tp t="s">
        <v>#N/A Requesting Data...</v>
        <stp/>
        <stp>##V3_BDHV12</stp>
        <stp>CL1 Comdty</stp>
        <stp>VOLATILITY_30D</stp>
        <stp>29/07/2015</stp>
        <stp>29/07/2015</stp>
        <stp>[Bbg_Market_Data_CL.xlsm]data!R424C18</stp>
        <tr r="R424" s="1"/>
      </tp>
      <tp t="s">
        <v>#N/A Requesting Data...</v>
        <stp/>
        <stp>##V3_BDHV12</stp>
        <stp>CL2 Comdty</stp>
        <stp>VOLUME_TOTAL_PUT</stp>
        <stp>03/04/2017</stp>
        <stp>03/04/2017</stp>
        <stp>[Bbg_Market_Data_CL.xlsm]data!R7C16</stp>
        <tr r="P7" s="1"/>
      </tp>
      <tp t="s">
        <v>#N/A Requesting Data...</v>
        <stp/>
        <stp>##V3_BDHV12</stp>
        <stp>CL2 Comdty</stp>
        <stp>VOLUME_TOTAL_PUT</stp>
        <stp>04/04/2017</stp>
        <stp>04/04/2017</stp>
        <stp>[Bbg_Market_Data_CL.xlsm]data!R6C16</stp>
        <tr r="P6" s="1"/>
      </tp>
      <tp t="s">
        <v>#N/A Requesting Data...</v>
        <stp/>
        <stp>##V3_BDHV12</stp>
        <stp>CL2 Comdty</stp>
        <stp>VOLUME_TOTAL_PUT</stp>
        <stp>05/04/2017</stp>
        <stp>05/04/2017</stp>
        <stp>[Bbg_Market_Data_CL.xlsm]data!R5C16</stp>
        <tr r="P5" s="1"/>
      </tp>
      <tp t="s">
        <v>#N/A Requesting Data...</v>
        <stp/>
        <stp>##V3_BDHV12</stp>
        <stp>CL2 Comdty</stp>
        <stp>VOLUME_TOTAL_PUT</stp>
        <stp>06/04/2017</stp>
        <stp>06/04/2017</stp>
        <stp>[Bbg_Market_Data_CL.xlsm]data!R4C16</stp>
        <tr r="P4" s="1"/>
      </tp>
      <tp t="s">
        <v>#N/A Requesting Data...</v>
        <stp/>
        <stp>##V3_BDHV12</stp>
        <stp>CL2 Comdty</stp>
        <stp>VOLUME_TOTAL_PUT</stp>
        <stp>07/04/2017</stp>
        <stp>07/04/2017</stp>
        <stp>[Bbg_Market_Data_CL.xlsm]data!R3C16</stp>
        <tr r="P3" s="1"/>
      </tp>
      <tp t="s">
        <v>#N/A Requesting Data...</v>
        <stp/>
        <stp>##V3_BDHV12</stp>
        <stp>CL2 Comdty</stp>
        <stp>VOLATILITY_10D</stp>
        <stp>28/07/2015</stp>
        <stp>28/07/2015</stp>
        <stp>[Bbg_Market_Data_CL.xlsm]data!R425C17</stp>
        <tr r="Q425" s="1"/>
      </tp>
      <tp t="s">
        <v>#N/A Requesting Data...</v>
        <stp/>
        <stp>##V3_BDHV12</stp>
        <stp>CL1 Comdty</stp>
        <stp>VOLATILITY_10D</stp>
        <stp>08/06/2015</stp>
        <stp>08/06/2015</stp>
        <stp>[Bbg_Market_Data_CL.xlsm]data!R460C17</stp>
        <tr r="Q460" s="1"/>
      </tp>
      <tp t="s">
        <v>#N/A Requesting Data...</v>
        <stp/>
        <stp>##V3_BDHV12</stp>
        <stp>CL2 Comdty</stp>
        <stp>VOLATILITY_30D</stp>
        <stp>28/05/2015</stp>
        <stp>28/05/2015</stp>
        <stp>[Bbg_Market_Data_CL.xlsm]data!R467C18</stp>
        <tr r="R467" s="1"/>
      </tp>
      <tp t="s">
        <v>#N/A Requesting Data...</v>
        <stp/>
        <stp>##V3_BDHV12</stp>
        <stp>CL1 Comdty</stp>
        <stp>VOLATILITY_30D</stp>
        <stp>18/05/2015</stp>
        <stp>18/05/2015</stp>
        <stp>[Bbg_Market_Data_CL.xlsm]data!R474C18</stp>
        <tr r="R474" s="1"/>
      </tp>
      <tp t="s">
        <v>#N/A Requesting Data...</v>
        <stp/>
        <stp>##V3_BDHV12</stp>
        <stp>CL2 Comdty</stp>
        <stp>VOLATILITY_10D</stp>
        <stp>08/05/2015</stp>
        <stp>08/05/2015</stp>
        <stp>[Bbg_Market_Data_CL.xlsm]data!R480C17</stp>
        <tr r="Q480" s="1"/>
      </tp>
      <tp t="s">
        <v>#N/A Requesting Data...</v>
        <stp/>
        <stp>##V3_BDHV12</stp>
        <stp>CL1 Comdty</stp>
        <stp>VOLATILITY_10D</stp>
        <stp>28/04/2015</stp>
        <stp>28/04/2015</stp>
        <stp>[Bbg_Market_Data_CL.xlsm]data!R488C17</stp>
        <tr r="Q488" s="1"/>
      </tp>
      <tp t="s">
        <v>#N/A Requesting Data...</v>
        <stp/>
        <stp>##V3_BDHV12</stp>
        <stp>CL2 Comdty</stp>
        <stp>VOLATILITY_30D</stp>
        <stp>18/06/2015</stp>
        <stp>18/06/2015</stp>
        <stp>[Bbg_Market_Data_CL.xlsm]data!R452C18</stp>
        <tr r="R452" s="1"/>
      </tp>
      <tp t="s">
        <v>#N/A Requesting Data...</v>
        <stp/>
        <stp>##V3_BDHV12</stp>
        <stp>CL2 Comdty</stp>
        <stp>VOLATILITY_30D</stp>
        <stp>08/07/2015</stp>
        <stp>08/07/2015</stp>
        <stp>[Bbg_Market_Data_CL.xlsm]data!R439C18</stp>
        <tr r="R439" s="1"/>
      </tp>
      <tp t="s">
        <v>#N/A Requesting Data...</v>
        <stp/>
        <stp>##V3_BDHV12</stp>
        <stp>CL2 Comdty</stp>
        <stp>VOLUME_TOTAL_PUT</stp>
        <stp>10/04/2017</stp>
        <stp>10/04/2017</stp>
        <stp>[Bbg_Market_Data_CL.xlsm]data!R2C16</stp>
        <tr r="P2" s="1"/>
      </tp>
      <tp t="s">
        <v>#N/A Requesting Data...</v>
        <stp/>
        <stp>##V3_BDHV12</stp>
        <stp>CL1 Comdty</stp>
        <stp>VOLATILITY_30D</stp>
        <stp>19/07/2016</stp>
        <stp>19/07/2016</stp>
        <stp>[Bbg_Market_Data_CL.xlsm]data!R182C18</stp>
        <tr r="R182" s="1"/>
      </tp>
      <tp t="s">
        <v>#N/A Requesting Data...</v>
        <stp/>
        <stp>##V3_BDHV12</stp>
        <stp>CL1 Comdty</stp>
        <stp>VOLATILITY_10D</stp>
        <stp>29/06/2016</stp>
        <stp>29/06/2016</stp>
        <stp>[Bbg_Market_Data_CL.xlsm]data!R195C17</stp>
        <tr r="Q195" s="1"/>
      </tp>
      <tp>
        <v>42.64</v>
        <stp/>
        <stp>##V3_BDHV12</stp>
        <stp>CL2 Comdty</stp>
        <stp>VOLATILITY_30D</stp>
        <stp>29/07/2016</stp>
        <stp>29/07/2016</stp>
        <stp>[Bbg_Market_Data_CL.xlsm]data!R174C18</stp>
        <tr r="R174" s="1"/>
      </tp>
      <tp t="s">
        <v>#N/A Requesting Data...</v>
        <stp/>
        <stp>##V3_BDHV12</stp>
        <stp>CL1 Comdty</stp>
        <stp>VOLATILITY_10D</stp>
        <stp>28/07/2016</stp>
        <stp>28/07/2016</stp>
        <stp>[Bbg_Market_Data_CL.xlsm]data!R175C17</stp>
        <tr r="Q175" s="1"/>
      </tp>
      <tp t="s">
        <v>#N/A Requesting Data...</v>
        <stp/>
        <stp>##V3_BDHV12</stp>
        <stp>CL1 Comdty</stp>
        <stp>VOLATILITY_30D</stp>
        <stp>08/07/2016</stp>
        <stp>08/07/2016</stp>
        <stp>[Bbg_Market_Data_CL.xlsm]data!R189C18</stp>
        <tr r="R189" s="1"/>
      </tp>
      <tp>
        <v>32.24</v>
        <stp/>
        <stp>##V3_BDHV12</stp>
        <stp>CL2 Comdty</stp>
        <stp>VOLATILITY_30D</stp>
        <stp>28/06/2016</stp>
        <stp>28/06/2016</stp>
        <stp>[Bbg_Market_Data_CL.xlsm]data!R196C18</stp>
        <tr r="R196" s="1"/>
      </tp>
      <tp>
        <v>49.64</v>
        <stp/>
        <stp>##V3_BDHV12</stp>
        <stp>CL2 Comdty</stp>
        <stp>VOLATILITY_10D</stp>
        <stp>18/07/2016</stp>
        <stp>18/07/2016</stp>
        <stp>[Bbg_Market_Data_CL.xlsm]data!R183C17</stp>
        <tr r="Q183" s="1"/>
      </tp>
      <tp>
        <v>18.12</v>
        <stp/>
        <stp>##V3_BDHV12</stp>
        <stp>CL2 Comdty</stp>
        <stp>VOLATILITY_10D</stp>
        <stp>08/06/2016</stp>
        <stp>08/06/2016</stp>
        <stp>[Bbg_Market_Data_CL.xlsm]data!R210C17</stp>
        <tr r="Q210" s="1"/>
      </tp>
      <tp>
        <v>34.6</v>
        <stp/>
        <stp>##V3_BDHV12</stp>
        <stp>CL2 Comdty</stp>
        <stp>VOLATILITY_10D</stp>
        <stp>28/04/2016</stp>
        <stp>28/04/2016</stp>
        <stp>[Bbg_Market_Data_CL.xlsm]data!R238C17</stp>
        <tr r="Q238" s="1"/>
      </tp>
      <tp t="s">
        <v>#N/A Requesting Data...</v>
        <stp/>
        <stp>##V3_BDHV12</stp>
        <stp>CL1 Comdty</stp>
        <stp>VOLATILITY_10D</stp>
        <stp>18/04/2016</stp>
        <stp>18/04/2016</stp>
        <stp>[Bbg_Market_Data_CL.xlsm]data!R246C17</stp>
        <tr r="Q246" s="1"/>
      </tp>
      <tp>
        <v>48.62</v>
        <stp/>
        <stp>##V3_BDHV12</stp>
        <stp>CL2 Comdty</stp>
        <stp>VOLATILITY_30D</stp>
        <stp>08/04/2016</stp>
        <stp>08/04/2016</stp>
        <stp>[Bbg_Market_Data_CL.xlsm]data!R252C18</stp>
        <tr r="R252" s="1"/>
      </tp>
      <tp>
        <v>38.33</v>
        <stp/>
        <stp>##V3_BDHV12</stp>
        <stp>CL2 Comdty</stp>
        <stp>VOLATILITY_30D</stp>
        <stp>18/05/2016</stp>
        <stp>18/05/2016</stp>
        <stp>[Bbg_Market_Data_CL.xlsm]data!R224C18</stp>
        <tr r="R224" s="1"/>
      </tp>
      <tp t="s">
        <v>#N/A Requesting Data...</v>
        <stp/>
        <stp>##V3_BDHV12</stp>
        <stp>CL2 Comdty</stp>
        <stp>VOLUME_TOTAL_PUT</stp>
        <stp>30/03/2017</stp>
        <stp>30/03/2017</stp>
        <stp>[Bbg_Market_Data_CL.xlsm]data!R9C16</stp>
        <tr r="P9" s="1"/>
      </tp>
      <tp t="s">
        <v>#N/A Requesting Data...</v>
        <stp/>
        <stp>##V3_BDHV12</stp>
        <stp>CL2 Comdty</stp>
        <stp>VOLUME_TOTAL_PUT</stp>
        <stp>31/03/2017</stp>
        <stp>31/03/2017</stp>
        <stp>[Bbg_Market_Data_CL.xlsm]data!R8C16</stp>
        <tr r="P8" s="1"/>
      </tp>
      <tp t="s">
        <v>#N/A Requesting Data...</v>
        <stp/>
        <stp>##V3_BDHV12</stp>
        <stp>CL1 Comdty</stp>
        <stp>VOLATILITY_10D</stp>
        <stp>19/05/2016</stp>
        <stp>19/05/2016</stp>
        <stp>[Bbg_Market_Data_CL.xlsm]data!R223C17</stp>
        <tr r="Q223" s="1"/>
      </tp>
      <tp>
        <v>46.46</v>
        <stp/>
        <stp>##V3_BDHV12</stp>
        <stp>CL2 Comdty</stp>
        <stp>VOLATILITY_30D</stp>
        <stp>19/04/2016</stp>
        <stp>19/04/2016</stp>
        <stp>[Bbg_Market_Data_CL.xlsm]data!R245C18</stp>
        <tr r="R245" s="1"/>
      </tp>
      <tp t="s">
        <v>#N/A Requesting Data...</v>
        <stp/>
        <stp>##V3_BDHV12</stp>
        <stp>CL1 Comdty</stp>
        <stp>VOLATILITY_30D</stp>
        <stp>29/04/2016</stp>
        <stp>29/04/2016</stp>
        <stp>[Bbg_Market_Data_CL.xlsm]data!R237C18</stp>
        <tr r="R237" s="1"/>
      </tp>
      <tp>
        <v>41.94</v>
        <stp/>
        <stp>##V3_BDHV12</stp>
        <stp>CL2 Comdty</stp>
        <stp>VOLATILITY_30D</stp>
        <stp>09/05/2016</stp>
        <stp>09/05/2016</stp>
        <stp>[Bbg_Market_Data_CL.xlsm]data!R231C18</stp>
        <tr r="R231" s="1"/>
      </tp>
      <tp t="s">
        <v>#N/A Requesting Data...</v>
        <stp/>
        <stp>##V3_BDHV12</stp>
        <stp>CL1 Comdty</stp>
        <stp>VOLATILITY_30D</stp>
        <stp>09/06/2016</stp>
        <stp>09/06/2016</stp>
        <stp>[Bbg_Market_Data_CL.xlsm]data!R209C18</stp>
        <tr r="R209" s="1"/>
      </tp>
      <tp t="s">
        <v>#N/A Requesting Data...</v>
        <stp/>
        <stp>##V3_BDHV12</stp>
        <stp>CL1 Comdty</stp>
        <stp>VOLATILITY_10D</stp>
        <stp>15/09/2016</stp>
        <stp>15/09/2016</stp>
        <stp>[Bbg_Market_Data_CL.xlsm]data!R142C17</stp>
        <tr r="Q142" s="1"/>
      </tp>
      <tp>
        <v>64.89</v>
        <stp/>
        <stp>##V3_BDHV12</stp>
        <stp>CL2 Comdty</stp>
        <stp>VOLATILITY_30D</stp>
        <stp>24/09/2015</stp>
        <stp>24/09/2015</stp>
        <stp>[Bbg_Market_Data_CL.xlsm]data!R384C18</stp>
        <tr r="R384" s="1"/>
      </tp>
      <tp t="s">
        <v>#N/A Requesting Data...</v>
        <stp/>
        <stp>##V3_BDHV12</stp>
        <stp>CL1 Comdty</stp>
        <stp>VOLATILITY_10D</stp>
        <stp>05/08/2016</stp>
        <stp>05/08/2016</stp>
        <stp>[Bbg_Market_Data_CL.xlsm]data!R169C17</stp>
        <tr r="Q169" s="1"/>
      </tp>
      <tp t="s">
        <v>#N/A Requesting Data...</v>
        <stp/>
        <stp>##V3_BDHV12</stp>
        <stp>CL1 Comdty</stp>
        <stp>VOLATILITY_30D</stp>
        <stp>14/09/2015</stp>
        <stp>14/09/2015</stp>
        <stp>[Bbg_Market_Data_CL.xlsm]data!R392C18</stp>
        <tr r="R392" s="1"/>
      </tp>
      <tp>
        <v>88.54</v>
        <stp/>
        <stp>##V3_BDHV12</stp>
        <stp>CL2 Comdty</stp>
        <stp>VOLATILITY_10D</stp>
        <stp>04/09/2015</stp>
        <stp>04/09/2015</stp>
        <stp>[Bbg_Market_Data_CL.xlsm]data!R397C17</stp>
        <tr r="Q397" s="1"/>
      </tp>
      <tp>
        <v>39.69</v>
        <stp/>
        <stp>##V3_BDHV12</stp>
        <stp>CL2 Comdty</stp>
        <stp>VOLATILITY_30D</stp>
        <stp>15/08/2016</stp>
        <stp>15/08/2016</stp>
        <stp>[Bbg_Market_Data_CL.xlsm]data!R164C18</stp>
        <tr r="R164" s="1"/>
      </tp>
      <tp t="s">
        <v>#N/A Requesting Data...</v>
        <stp/>
        <stp>##V3_BDHV12</stp>
        <stp>CL1 Comdty</stp>
        <stp>VOLATILITY_30D</stp>
        <stp>25/08/2016</stp>
        <stp>25/08/2016</stp>
        <stp>[Bbg_Market_Data_CL.xlsm]data!R156C18</stp>
        <tr r="R156" s="1"/>
      </tp>
      <tp>
        <v>38.21</v>
        <stp/>
        <stp>##V3_BDHV12</stp>
        <stp>CL2 Comdty</stp>
        <stp>VOLATILITY_10D</stp>
        <stp>24/08/2016</stp>
        <stp>24/08/2016</stp>
        <stp>[Bbg_Market_Data_CL.xlsm]data!R157C17</stp>
        <tr r="Q157" s="1"/>
      </tp>
      <tp>
        <v>38.75</v>
        <stp/>
        <stp>##V3_BDHV12</stp>
        <stp>CL2 Comdty</stp>
        <stp>VOLATILITY_10D</stp>
        <stp>15/09/2015</stp>
        <stp>15/09/2015</stp>
        <stp>[Bbg_Market_Data_CL.xlsm]data!R391C17</stp>
        <tr r="Q391" s="1"/>
      </tp>
      <tp t="s">
        <v>#N/A Requesting Data...</v>
        <stp/>
        <stp>##V3_BDHV12</stp>
        <stp>CL1 Comdty</stp>
        <stp>VOLATILITY_10D</stp>
        <stp>25/09/2015</stp>
        <stp>25/09/2015</stp>
        <stp>[Bbg_Market_Data_CL.xlsm]data!R383C17</stp>
        <tr r="Q383" s="1"/>
      </tp>
      <tp>
        <v>44.3</v>
        <stp/>
        <stp>##V3_BDHV12</stp>
        <stp>CL2 Comdty</stp>
        <stp>VOLATILITY_30D</stp>
        <stp>04/08/2016</stp>
        <stp>04/08/2016</stp>
        <stp>[Bbg_Market_Data_CL.xlsm]data!R170C18</stp>
        <tr r="R170" s="1"/>
      </tp>
      <tp>
        <v>41.13</v>
        <stp/>
        <stp>##V3_BDHV12</stp>
        <stp>CL2 Comdty</stp>
        <stp>VOLATILITY_30D</stp>
        <stp>14/09/2016</stp>
        <stp>14/09/2016</stp>
        <stp>[Bbg_Market_Data_CL.xlsm]data!R143C18</stp>
        <tr r="R143" s="1"/>
      </tp>
      <tp>
        <v>36.89</v>
        <stp/>
        <stp>##V3_BDHV12</stp>
        <stp>CL2 Comdty</stp>
        <stp>VOLATILITY_10D</stp>
        <stp>07/09/2016</stp>
        <stp>07/09/2016</stp>
        <stp>[Bbg_Market_Data_CL.xlsm]data!R148C17</stp>
        <tr r="Q148" s="1"/>
      </tp>
      <tp>
        <v>32.700000000000003</v>
        <stp/>
        <stp>##V3_BDHV12</stp>
        <stp>CL2 Comdty</stp>
        <stp>VOLATILITY_10D</stp>
        <stp>17/08/2016</stp>
        <stp>17/08/2016</stp>
        <stp>[Bbg_Market_Data_CL.xlsm]data!R162C17</stp>
        <tr r="Q162" s="1"/>
      </tp>
      <tp t="s">
        <v>#N/A Requesting Data...</v>
        <stp/>
        <stp>##V3_BDHV12</stp>
        <stp>CL1 Comdty</stp>
        <stp>VOLATILITY_10D</stp>
        <stp>16/09/2015</stp>
        <stp>16/09/2015</stp>
        <stp>[Bbg_Market_Data_CL.xlsm]data!R390C17</stp>
        <tr r="Q390" s="1"/>
      </tp>
      <tp>
        <v>41.99</v>
        <stp/>
        <stp>##V3_BDHV12</stp>
        <stp>CL2 Comdty</stp>
        <stp>VOLATILITY_30D</stp>
        <stp>27/09/2016</stp>
        <stp>27/09/2016</stp>
        <stp>[Bbg_Market_Data_CL.xlsm]data!R134C18</stp>
        <tr r="R134" s="1"/>
      </tp>
      <tp t="s">
        <v>#N/A Requesting Data...</v>
        <stp/>
        <stp>##V3_BDHV12</stp>
        <stp>CL1 Comdty</stp>
        <stp>VOLATILITY_10D</stp>
        <stp>26/09/2016</stp>
        <stp>26/09/2016</stp>
        <stp>[Bbg_Market_Data_CL.xlsm]data!R135C17</stp>
        <tr r="Q135" s="1"/>
      </tp>
      <tp>
        <v>43.95</v>
        <stp/>
        <stp>##V3_BDHV12</stp>
        <stp>CL2 Comdty</stp>
        <stp>VOLATILITY_10D</stp>
        <stp>16/09/2016</stp>
        <stp>16/09/2016</stp>
        <stp>[Bbg_Market_Data_CL.xlsm]data!R141C17</stp>
        <tr r="Q141" s="1"/>
      </tp>
      <tp>
        <v>63.66</v>
        <stp/>
        <stp>##V3_BDHV12</stp>
        <stp>CL2 Comdty</stp>
        <stp>VOLATILITY_30D</stp>
        <stp>17/09/2015</stp>
        <stp>17/09/2015</stp>
        <stp>[Bbg_Market_Data_CL.xlsm]data!R389C18</stp>
        <tr r="R389" s="1"/>
      </tp>
      <tp t="s">
        <v>#N/A Requesting Data...</v>
        <stp/>
        <stp>##V3_BDHV12</stp>
        <stp>CL1 Comdty</stp>
        <stp>VOLATILITY_30D</stp>
        <stp>16/08/2016</stp>
        <stp>16/08/2016</stp>
        <stp>[Bbg_Market_Data_CL.xlsm]data!R163C18</stp>
        <tr r="R163" s="1"/>
      </tp>
      <tp t="s">
        <v>#N/A Requesting Data...</v>
        <stp/>
        <stp>##V3_BDHV12</stp>
        <stp>CL1 Comdty</stp>
        <stp>VOLATILITY_30D</stp>
        <stp>06/09/2016</stp>
        <stp>06/09/2016</stp>
        <stp>[Bbg_Market_Data_CL.xlsm]data!R149C18</stp>
        <tr r="R149" s="1"/>
      </tp>
      <tp>
        <v>35.11</v>
        <stp/>
        <stp>##V3_BDHV12</stp>
        <stp>CL2 Comdty</stp>
        <stp>VOLATILITY_30D</stp>
        <stp>26/08/2016</stp>
        <stp>26/08/2016</stp>
        <stp>[Bbg_Market_Data_CL.xlsm]data!R155C18</stp>
        <tr r="R155" s="1"/>
      </tp>
      <tp t="s">
        <v>#N/A Requesting Data...</v>
        <stp/>
        <stp>##V3_BDHV12</stp>
        <stp>CL1 Comdty</stp>
        <stp>VOLATILITY_10D</stp>
        <stp>17/08/2015</stp>
        <stp>17/08/2015</stp>
        <stp>[Bbg_Market_Data_CL.xlsm]data!R411C17</stp>
        <tr r="Q411" s="1"/>
      </tp>
      <tp>
        <v>71.900000000000006</v>
        <stp/>
        <stp>##V3_BDHV12</stp>
        <stp>CL2 Comdty</stp>
        <stp>VOLATILITY_10D</stp>
        <stp>27/08/2015</stp>
        <stp>27/08/2015</stp>
        <stp>[Bbg_Market_Data_CL.xlsm]data!R403C17</stp>
        <tr r="Q403" s="1"/>
      </tp>
      <tp>
        <v>34.979999999999997</v>
        <stp/>
        <stp>##V3_BDHV12</stp>
        <stp>CL2 Comdty</stp>
        <stp>VOLATILITY_30D</stp>
        <stp>07/08/2015</stp>
        <stp>07/08/2015</stp>
        <stp>[Bbg_Market_Data_CL.xlsm]data!R417C18</stp>
        <tr r="R417" s="1"/>
      </tp>
      <tp t="s">
        <v>#N/A Requesting Data...</v>
        <stp/>
        <stp>##V3_BDHV12</stp>
        <stp>CL1 Comdty</stp>
        <stp>VOLATILITY_10D</stp>
        <stp>06/08/2015</stp>
        <stp>06/08/2015</stp>
        <stp>[Bbg_Market_Data_CL.xlsm]data!R418C17</stp>
        <tr r="Q418" s="1"/>
      </tp>
      <tp t="s">
        <v>#N/A Requesting Data...</v>
        <stp/>
        <stp>##V3_BDHV12</stp>
        <stp>CL1 Comdty</stp>
        <stp>VOLATILITY_30D</stp>
        <stp>26/08/2015</stp>
        <stp>26/08/2015</stp>
        <stp>[Bbg_Market_Data_CL.xlsm]data!R404C18</stp>
        <tr r="R404" s="1"/>
      </tp>
      <tp t="s">
        <v>#N/A Requesting Data...</v>
        <stp/>
        <stp>##V3_BDHV12</stp>
        <stp>CL2 Comdty</stp>
        <stp>VOLATILITY_10D</stp>
        <stp>05/08/2015</stp>
        <stp>05/08/2015</stp>
        <stp>[Bbg_Market_Data_CL.xlsm]data!R419C17</stp>
        <tr r="Q419" s="1"/>
      </tp>
      <tp>
        <v>33.67</v>
        <stp/>
        <stp>##V3_BDHV12</stp>
        <stp>CL2 Comdty</stp>
        <stp>VOLATILITY_30D</stp>
        <stp>25/08/2015</stp>
        <stp>25/08/2015</stp>
        <stp>[Bbg_Market_Data_CL.xlsm]data!R405C18</stp>
        <tr r="R405" s="1"/>
      </tp>
      <tp>
        <v>33.04</v>
        <stp/>
        <stp>##V3_BDHV12</stp>
        <stp>CL2 Comdty</stp>
        <stp>VOLATILITY_10D</stp>
        <stp>14/08/2015</stp>
        <stp>14/08/2015</stp>
        <stp>[Bbg_Market_Data_CL.xlsm]data!R412C17</stp>
        <tr r="Q412" s="1"/>
      </tp>
      <tp t="s">
        <v>#N/A Requesting Data...</v>
        <stp/>
        <stp>##V3_BDHV12</stp>
        <stp>CL1 Comdty</stp>
        <stp>VOLATILITY_10D</stp>
        <stp>24/08/2015</stp>
        <stp>24/08/2015</stp>
        <stp>[Bbg_Market_Data_CL.xlsm]data!R406C17</stp>
        <tr r="Q406" s="1"/>
      </tp>
      <tp t="s">
        <v>#N/A Requesting Data...</v>
        <stp/>
        <stp>##V3_BDHV12</stp>
        <stp>CL1 Comdty</stp>
        <stp>VOLATILITY_30D</stp>
        <stp>04/08/2015</stp>
        <stp>04/08/2015</stp>
        <stp>[Bbg_Market_Data_CL.xlsm]data!R420C18</stp>
        <tr r="R420" s="1"/>
      </tp>
      <tp t="s">
        <v>#N/A Requesting Data...</v>
        <stp/>
        <stp>##V3_BDHV12</stp>
        <stp>CL1 Comdty</stp>
        <stp>PX_LOW</stp>
        <stp>15/05/2015</stp>
        <stp>15/05/2015</stp>
        <stp>[Bbg_Market_Data_CL.xlsm]data!R475C7</stp>
        <tr r="G475" s="1"/>
      </tp>
      <tp t="s">
        <v>#N/A Requesting Data...</v>
        <stp/>
        <stp>##V3_BDHV12</stp>
        <stp>CL1 Comdty</stp>
        <stp>PX_LOW</stp>
        <stp>04/05/2015</stp>
        <stp>04/05/2015</stp>
        <stp>[Bbg_Market_Data_CL.xlsm]data!R484C7</stp>
        <tr r="G484" s="1"/>
      </tp>
      <tp t="s">
        <v>#N/A Requesting Data...</v>
        <stp/>
        <stp>##V3_BDHV12</stp>
        <stp>CL1 Comdty</stp>
        <stp>PX_LOW</stp>
        <stp>12/01/2016</stp>
        <stp>12/01/2016</stp>
        <stp>[Bbg_Market_Data_CL.xlsm]data!R311C7</stp>
        <tr r="G311" s="1"/>
      </tp>
      <tp>
        <v>43.92</v>
        <stp/>
        <stp>##V3_BDHV12</stp>
        <stp>CL2 Comdty</stp>
        <stp>PX_LOW</stp>
        <stp>04/05/2016</stp>
        <stp>04/05/2016</stp>
        <stp>[Bbg_Market_Data_CL.xlsm]data!R234C7</stp>
        <tr r="G234" s="1"/>
      </tp>
      <tp>
        <v>36.57</v>
        <stp/>
        <stp>##V3_BDHV12</stp>
        <stp>CL2 Comdty</stp>
        <stp>PX_LOW</stp>
        <stp>05/04/2016</stp>
        <stp>05/04/2016</stp>
        <stp>[Bbg_Market_Data_CL.xlsm]data!R255C7</stp>
        <tr r="G255" s="1"/>
      </tp>
      <tp t="s">
        <v>#N/A Requesting Data...</v>
        <stp/>
        <stp>##V3_BDHV12</stp>
        <stp>CL1 Comdty</stp>
        <stp>PX_LOW</stp>
        <stp>03/10/2016</stp>
        <stp>03/10/2016</stp>
        <stp>[Bbg_Market_Data_CL.xlsm]data!R130C7</stp>
        <tr r="G130" s="1"/>
      </tp>
      <tp>
        <v>41.55</v>
        <stp/>
        <stp>##V3_BDHV12</stp>
        <stp>CL2 Comdty</stp>
        <stp>PX_LOW</stp>
        <stp>13/11/2015</stp>
        <stp>13/11/2015</stp>
        <stp>[Bbg_Market_Data_CL.xlsm]data!R350C7</stp>
        <tr r="G350" s="1"/>
      </tp>
      <tp t="s">
        <v>#N/A Requesting Data...</v>
        <stp/>
        <stp>##V3_BDHV12</stp>
        <stp>CL1 Comdty</stp>
        <stp>PX_LOW</stp>
        <stp>14/06/2016</stp>
        <stp>14/06/2016</stp>
        <stp>[Bbg_Market_Data_CL.xlsm]data!R206C7</stp>
        <tr r="G206" s="1"/>
      </tp>
      <tp t="s">
        <v>#N/A Requesting Data...</v>
        <stp/>
        <stp>##V3_BDHV12</stp>
        <stp>CL1 Comdty</stp>
        <stp>PX_LOW</stp>
        <stp>17/05/2016</stp>
        <stp>17/05/2016</stp>
        <stp>[Bbg_Market_Data_CL.xlsm]data!R225C7</stp>
        <tr r="G225" s="1"/>
      </tp>
      <tp>
        <v>48.35</v>
        <stp/>
        <stp>##V3_BDHV12</stp>
        <stp>CL2 Comdty</stp>
        <stp>PX_LOW</stp>
        <stp>03/10/2016</stp>
        <stp>03/10/2016</stp>
        <stp>[Bbg_Market_Data_CL.xlsm]data!R130C7</stp>
        <tr r="G130" s="1"/>
      </tp>
      <tp t="s">
        <v>#N/A Requesting Data...</v>
        <stp/>
        <stp>##V3_BDHV12</stp>
        <stp>CL1 Comdty</stp>
        <stp>PX_LOW</stp>
        <stp>13/11/2015</stp>
        <stp>13/11/2015</stp>
        <stp>[Bbg_Market_Data_CL.xlsm]data!R350C7</stp>
        <tr r="G350" s="1"/>
      </tp>
      <tp>
        <v>48.41</v>
        <stp/>
        <stp>##V3_BDHV12</stp>
        <stp>CL2 Comdty</stp>
        <stp>PX_LOW</stp>
        <stp>14/06/2016</stp>
        <stp>14/06/2016</stp>
        <stp>[Bbg_Market_Data_CL.xlsm]data!R206C7</stp>
        <tr r="G206" s="1"/>
      </tp>
      <tp>
        <v>48.18</v>
        <stp/>
        <stp>##V3_BDHV12</stp>
        <stp>CL2 Comdty</stp>
        <stp>PX_LOW</stp>
        <stp>17/05/2016</stp>
        <stp>17/05/2016</stp>
        <stp>[Bbg_Market_Data_CL.xlsm]data!R225C7</stp>
        <tr r="G225" s="1"/>
      </tp>
      <tp t="s">
        <v>#N/A Requesting Data...</v>
        <stp/>
        <stp>##V3_BDHV12</stp>
        <stp>CL2 Comdty</stp>
        <stp>PX_LOW</stp>
        <stp>15/05/2015</stp>
        <stp>15/05/2015</stp>
        <stp>[Bbg_Market_Data_CL.xlsm]data!R475C7</stp>
        <tr r="G475" s="1"/>
      </tp>
      <tp t="s">
        <v>#N/A Requesting Data...</v>
        <stp/>
        <stp>##V3_BDHV12</stp>
        <stp>CL2 Comdty</stp>
        <stp>PX_LOW</stp>
        <stp>04/05/2015</stp>
        <stp>04/05/2015</stp>
        <stp>[Bbg_Market_Data_CL.xlsm]data!R484C7</stp>
        <tr r="G484" s="1"/>
      </tp>
      <tp>
        <v>31</v>
        <stp/>
        <stp>##V3_BDHV12</stp>
        <stp>CL2 Comdty</stp>
        <stp>PX_LOW</stp>
        <stp>12/01/2016</stp>
        <stp>12/01/2016</stp>
        <stp>[Bbg_Market_Data_CL.xlsm]data!R311C7</stp>
        <tr r="G311" s="1"/>
      </tp>
      <tp t="s">
        <v>#N/A Requesting Data...</v>
        <stp/>
        <stp>##V3_BDHV12</stp>
        <stp>CL1 Comdty</stp>
        <stp>PX_LOW</stp>
        <stp>04/05/2016</stp>
        <stp>04/05/2016</stp>
        <stp>[Bbg_Market_Data_CL.xlsm]data!R234C7</stp>
        <tr r="G234" s="1"/>
      </tp>
      <tp t="s">
        <v>#N/A Requesting Data...</v>
        <stp/>
        <stp>##V3_BDHV12</stp>
        <stp>CL1 Comdty</stp>
        <stp>PX_LOW</stp>
        <stp>05/04/2016</stp>
        <stp>05/04/2016</stp>
        <stp>[Bbg_Market_Data_CL.xlsm]data!R255C7</stp>
        <tr r="G255" s="1"/>
      </tp>
      <tp>
        <v>48.85</v>
        <stp/>
        <stp>##V3_BDHV12</stp>
        <stp>CL2 Comdty</stp>
        <stp>PX_LOW</stp>
        <stp>30/06/2016</stp>
        <stp>30/06/2016</stp>
        <stp>[Bbg_Market_Data_CL.xlsm]data!R194C7</stp>
        <tr r="G194" s="1"/>
      </tp>
      <tp t="s">
        <v>#N/A Requesting Data...</v>
        <stp/>
        <stp>##V3_BDHV12</stp>
        <stp>CL1 Comdty</stp>
        <stp>PX_LOW</stp>
        <stp>17/10/2016</stp>
        <stp>17/10/2016</stp>
        <stp>[Bbg_Market_Data_CL.xlsm]data!R121C7</stp>
        <tr r="G121" s="1"/>
      </tp>
      <tp t="s">
        <v>#N/A Requesting Data...</v>
        <stp/>
        <stp>##V3_BDHV12</stp>
        <stp>CL2 Comdty</stp>
        <stp>PX_LOW</stp>
        <stp>10/07/2015</stp>
        <stp>10/07/2015</stp>
        <stp>[Bbg_Market_Data_CL.xlsm]data!R437C7</stp>
        <tr r="G437" s="1"/>
      </tp>
      <tp t="s">
        <v>#N/A Requesting Data...</v>
        <stp/>
        <stp>##V3_BDHV12</stp>
        <stp>CL1 Comdty</stp>
        <stp>PX_LOW</stp>
        <stp>16/11/2016</stp>
        <stp>16/11/2016</stp>
        <stp>[Bbg_Market_Data_CL.xlsm]data!R100C7</stp>
        <tr r="G100" s="1"/>
      </tp>
      <tp t="s">
        <v>#N/A Requesting Data...</v>
        <stp/>
        <stp>##V3_BDHV12</stp>
        <stp>CL1 Comdty</stp>
        <stp>PX_LOW</stp>
        <stp>27/10/2015</stp>
        <stp>27/10/2015</stp>
        <stp>[Bbg_Market_Data_CL.xlsm]data!R362C7</stp>
        <tr r="G362" s="1"/>
      </tp>
      <tp t="s">
        <v>#N/A Requesting Data...</v>
        <stp/>
        <stp>##V3_BDHV12</stp>
        <stp>CL1 Comdty</stp>
        <stp>PX_LOW</stp>
        <stp>30/06/2015</stp>
        <stp>30/06/2015</stp>
        <stp>[Bbg_Market_Data_CL.xlsm]data!R444C7</stp>
        <tr r="G444" s="1"/>
      </tp>
      <tp t="s">
        <v>#N/A Requesting Data...</v>
        <stp/>
        <stp>##V3_BDHV12</stp>
        <stp>CL1 Comdty</stp>
        <stp>PX_LOW</stp>
        <stp>14/10/2015</stp>
        <stp>14/10/2015</stp>
        <stp>[Bbg_Market_Data_CL.xlsm]data!R371C7</stp>
        <tr r="G371" s="1"/>
      </tp>
      <tp t="s">
        <v>#N/A Requesting Data...</v>
        <stp/>
        <stp>##V3_BDHV12</stp>
        <stp>CL1 Comdty</stp>
        <stp>PX_LOW</stp>
        <stp>26/02/2016</stp>
        <stp>26/02/2016</stp>
        <stp>[Bbg_Market_Data_CL.xlsm]data!R281C7</stp>
        <tr r="G281" s="1"/>
      </tp>
      <tp>
        <v>30.7</v>
        <stp/>
        <stp>##V3_BDHV12</stp>
        <stp>CL2 Comdty</stp>
        <stp>PX_LOW</stp>
        <stp>26/01/2016</stp>
        <stp>26/01/2016</stp>
        <stp>[Bbg_Market_Data_CL.xlsm]data!R302C7</stp>
        <tr r="G302" s="1"/>
      </tp>
      <tp t="s">
        <v>#N/A Requesting Data...</v>
        <stp/>
        <stp>##V3_BDHV12</stp>
        <stp>CL1 Comdty</stp>
        <stp>PX_LOW</stp>
        <stp>12/06/2015</stp>
        <stp>12/06/2015</stp>
        <stp>[Bbg_Market_Data_CL.xlsm]data!R456C7</stp>
        <tr r="G456" s="1"/>
      </tp>
      <tp>
        <v>45.3</v>
        <stp/>
        <stp>##V3_BDHV12</stp>
        <stp>CL2 Comdty</stp>
        <stp>PX_LOW</stp>
        <stp>12/07/2016</stp>
        <stp>12/07/2016</stp>
        <stp>[Bbg_Market_Data_CL.xlsm]data!R187C7</stp>
        <tr r="G187" s="1"/>
      </tp>
      <tp t="s">
        <v>#N/A Requesting Data...</v>
        <stp/>
        <stp>##V3_BDHV12</stp>
        <stp>CL2 Comdty</stp>
        <stp>PX_LOW</stp>
        <stp>30/04/2015</stp>
        <stp>30/04/2015</stp>
        <stp>[Bbg_Market_Data_CL.xlsm]data!R486C7</stp>
        <tr r="G486" s="1"/>
      </tp>
      <tp>
        <v>43.26</v>
        <stp/>
        <stp>##V3_BDHV12</stp>
        <stp>CL2 Comdty</stp>
        <stp>PX_LOW</stp>
        <stp>24/11/2015</stp>
        <stp>24/11/2015</stp>
        <stp>[Bbg_Market_Data_CL.xlsm]data!R343C7</stp>
        <tr r="G343" s="1"/>
      </tp>
      <tp t="s">
        <v>#N/A Requesting Data...</v>
        <stp/>
        <stp>##V3_BDHV12</stp>
        <stp>CL1 Comdty</stp>
        <stp>PX_LOW</stp>
        <stp>12/07/2016</stp>
        <stp>12/07/2016</stp>
        <stp>[Bbg_Market_Data_CL.xlsm]data!R187C7</stp>
        <tr r="G187" s="1"/>
      </tp>
      <tp t="s">
        <v>#N/A Requesting Data...</v>
        <stp/>
        <stp>##V3_BDHV12</stp>
        <stp>CL1 Comdty</stp>
        <stp>PX_LOW</stp>
        <stp>30/04/2015</stp>
        <stp>30/04/2015</stp>
        <stp>[Bbg_Market_Data_CL.xlsm]data!R486C7</stp>
        <tr r="G486" s="1"/>
      </tp>
      <tp t="s">
        <v>#N/A Requesting Data...</v>
        <stp/>
        <stp>##V3_BDHV12</stp>
        <stp>CL1 Comdty</stp>
        <stp>PX_LOW</stp>
        <stp>24/11/2015</stp>
        <stp>24/11/2015</stp>
        <stp>[Bbg_Market_Data_CL.xlsm]data!R343C7</stp>
        <tr r="G343" s="1"/>
      </tp>
      <tp t="s">
        <v>#N/A Requesting Data...</v>
        <stp/>
        <stp>##V3_BDHV12</stp>
        <stp>CL1 Comdty</stp>
        <stp>PX_LOW</stp>
        <stp>30/06/2016</stp>
        <stp>30/06/2016</stp>
        <stp>[Bbg_Market_Data_CL.xlsm]data!R194C7</stp>
        <tr r="G194" s="1"/>
      </tp>
      <tp>
        <v>49.9</v>
        <stp/>
        <stp>##V3_BDHV12</stp>
        <stp>CL2 Comdty</stp>
        <stp>PX_LOW</stp>
        <stp>17/10/2016</stp>
        <stp>17/10/2016</stp>
        <stp>[Bbg_Market_Data_CL.xlsm]data!R121C7</stp>
        <tr r="G121" s="1"/>
      </tp>
      <tp t="s">
        <v>#N/A Requesting Data...</v>
        <stp/>
        <stp>##V3_BDHV12</stp>
        <stp>CL1 Comdty</stp>
        <stp>PX_LOW</stp>
        <stp>10/07/2015</stp>
        <stp>10/07/2015</stp>
        <stp>[Bbg_Market_Data_CL.xlsm]data!R437C7</stp>
        <tr r="G437" s="1"/>
      </tp>
      <tp>
        <v>45.65</v>
        <stp/>
        <stp>##V3_BDHV12</stp>
        <stp>CL2 Comdty</stp>
        <stp>PX_LOW</stp>
        <stp>16/11/2016</stp>
        <stp>16/11/2016</stp>
        <stp>[Bbg_Market_Data_CL.xlsm]data!R100C7</stp>
        <tr r="G100" s="1"/>
      </tp>
      <tp>
        <v>43.52</v>
        <stp/>
        <stp>##V3_BDHV12</stp>
        <stp>CL2 Comdty</stp>
        <stp>PX_LOW</stp>
        <stp>27/10/2015</stp>
        <stp>27/10/2015</stp>
        <stp>[Bbg_Market_Data_CL.xlsm]data!R362C7</stp>
        <tr r="G362" s="1"/>
      </tp>
      <tp t="s">
        <v>#N/A Requesting Data...</v>
        <stp/>
        <stp>##V3_BDHV12</stp>
        <stp>CL2 Comdty</stp>
        <stp>PX_LOW</stp>
        <stp>30/06/2015</stp>
        <stp>30/06/2015</stp>
        <stp>[Bbg_Market_Data_CL.xlsm]data!R444C7</stp>
        <tr r="G444" s="1"/>
      </tp>
      <tp>
        <v>46.47</v>
        <stp/>
        <stp>##V3_BDHV12</stp>
        <stp>CL2 Comdty</stp>
        <stp>PX_LOW</stp>
        <stp>14/10/2015</stp>
        <stp>14/10/2015</stp>
        <stp>[Bbg_Market_Data_CL.xlsm]data!R371C7</stp>
        <tr r="G371" s="1"/>
      </tp>
      <tp>
        <v>34.450000000000003</v>
        <stp/>
        <stp>##V3_BDHV12</stp>
        <stp>CL2 Comdty</stp>
        <stp>PX_LOW</stp>
        <stp>26/02/2016</stp>
        <stp>26/02/2016</stp>
        <stp>[Bbg_Market_Data_CL.xlsm]data!R281C7</stp>
        <tr r="G281" s="1"/>
      </tp>
      <tp t="s">
        <v>#N/A Requesting Data...</v>
        <stp/>
        <stp>##V3_BDHV12</stp>
        <stp>CL1 Comdty</stp>
        <stp>PX_LOW</stp>
        <stp>26/01/2016</stp>
        <stp>26/01/2016</stp>
        <stp>[Bbg_Market_Data_CL.xlsm]data!R302C7</stp>
        <tr r="G302" s="1"/>
      </tp>
      <tp t="s">
        <v>#N/A Requesting Data...</v>
        <stp/>
        <stp>##V3_BDHV12</stp>
        <stp>CL2 Comdty</stp>
        <stp>PX_LOW</stp>
        <stp>12/06/2015</stp>
        <stp>12/06/2015</stp>
        <stp>[Bbg_Market_Data_CL.xlsm]data!R456C7</stp>
        <tr r="G456" s="1"/>
      </tp>
      <tp>
        <v>46.27</v>
        <stp/>
        <stp>##V3_BDHV12</stp>
        <stp>CL2 Comdty</stp>
        <stp>PX_LOW</stp>
        <stp>03/09/2015</stp>
        <stp>03/09/2015</stp>
        <stp>[Bbg_Market_Data_CL.xlsm]data!R398C7</stp>
        <tr r="G398" s="1"/>
      </tp>
      <tp t="s">
        <v>#N/A Requesting Data...</v>
        <stp/>
        <stp>##V3_BDHV12</stp>
        <stp>CL1 Comdty</stp>
        <stp>PX_LOW</stp>
        <stp>08/02/2016</stp>
        <stp>08/02/2016</stp>
        <stp>[Bbg_Market_Data_CL.xlsm]data!R293C7</stp>
        <tr r="G293" s="1"/>
      </tp>
      <tp t="s">
        <v>#N/A Requesting Data...</v>
        <stp/>
        <stp>##V3_BDHV12</stp>
        <stp>CL1 Comdty</stp>
        <stp>PX_LOW</stp>
        <stp>29/12/2015</stp>
        <stp>29/12/2015</stp>
        <stp>[Bbg_Market_Data_CL.xlsm]data!R320C7</stp>
        <tr r="G320" s="1"/>
      </tp>
      <tp t="s">
        <v>#N/A Requesting Data...</v>
        <stp/>
        <stp>##V3_BDHV12</stp>
        <stp>CL1 Comdty</stp>
        <stp>PX_LOW</stp>
        <stp>28/10/2016</stp>
        <stp>28/10/2016</stp>
        <stp>[Bbg_Market_Data_CL.xlsm]data!R112C7</stp>
        <tr r="G112" s="1"/>
      </tp>
      <tp>
        <v>39.130000000000003</v>
        <stp/>
        <stp>##V3_BDHV12</stp>
        <stp>CL2 Comdty</stp>
        <stp>PX_LOW</stp>
        <stp>29/03/2016</stp>
        <stp>29/03/2016</stp>
        <stp>[Bbg_Market_Data_CL.xlsm]data!R260C7</stp>
        <tr r="G260" s="1"/>
      </tp>
      <tp t="s">
        <v>#N/A Requesting Data...</v>
        <stp/>
        <stp>##V3_BDHV12</stp>
        <stp>CL1 Comdty</stp>
        <stp>PX_LOW</stp>
        <stp>29/03/2016</stp>
        <stp>29/03/2016</stp>
        <stp>[Bbg_Market_Data_CL.xlsm]data!R260C7</stp>
        <tr r="G260" s="1"/>
      </tp>
      <tp t="s">
        <v>#N/A Requesting Data...</v>
        <stp/>
        <stp>##V3_BDHV12</stp>
        <stp>CL1 Comdty</stp>
        <stp>PX_LOW</stp>
        <stp>03/09/2015</stp>
        <stp>03/09/2015</stp>
        <stp>[Bbg_Market_Data_CL.xlsm]data!R398C7</stp>
        <tr r="G398" s="1"/>
      </tp>
      <tp>
        <v>31.51</v>
        <stp/>
        <stp>##V3_BDHV12</stp>
        <stp>CL2 Comdty</stp>
        <stp>PX_LOW</stp>
        <stp>08/02/2016</stp>
        <stp>08/02/2016</stp>
        <stp>[Bbg_Market_Data_CL.xlsm]data!R293C7</stp>
        <tr r="G293" s="1"/>
      </tp>
      <tp>
        <v>37.659999999999997</v>
        <stp/>
        <stp>##V3_BDHV12</stp>
        <stp>CL2 Comdty</stp>
        <stp>PX_LOW</stp>
        <stp>29/12/2015</stp>
        <stp>29/12/2015</stp>
        <stp>[Bbg_Market_Data_CL.xlsm]data!R320C7</stp>
        <tr r="G320" s="1"/>
      </tp>
      <tp>
        <v>49.06</v>
        <stp/>
        <stp>##V3_BDHV12</stp>
        <stp>CL2 Comdty</stp>
        <stp>PX_LOW</stp>
        <stp>28/10/2016</stp>
        <stp>28/10/2016</stp>
        <stp>[Bbg_Market_Data_CL.xlsm]data!R112C7</stp>
        <tr r="G112" s="1"/>
      </tp>
      <tp t="s">
        <v>#N/A Requesting Data...</v>
        <stp/>
        <stp>##V3_BDHV12</stp>
        <stp>CL1 Comdty</stp>
        <stp>PX_LOW</stp>
        <stp>05/08/2015</stp>
        <stp>05/08/2015</stp>
        <stp>[Bbg_Market_Data_CL.xlsm]data!R419C7</stp>
        <tr r="G419" s="1"/>
      </tp>
      <tp t="s">
        <v>#N/A Requesting Data...</v>
        <stp/>
        <stp>##V3_BDHV12</stp>
        <stp>CL1 Comdty</stp>
        <stp>PX_LOW</stp>
        <stp>07/09/2016</stp>
        <stp>07/09/2016</stp>
        <stp>[Bbg_Market_Data_CL.xlsm]data!R148C7</stp>
        <tr r="G148" s="1"/>
      </tp>
      <tp>
        <v>41.81</v>
        <stp/>
        <stp>##V3_BDHV12</stp>
        <stp>CL2 Comdty</stp>
        <stp>PX_LOW</stp>
        <stp>05/08/2016</stp>
        <stp>05/08/2016</stp>
        <stp>[Bbg_Market_Data_CL.xlsm]data!R169C7</stp>
        <tr r="G169" s="1"/>
      </tp>
      <tp>
        <v>48.7</v>
        <stp/>
        <stp>##V3_BDHV12</stp>
        <stp>CL2 Comdty</stp>
        <stp>PX_LOW</stp>
        <stp>29/06/2016</stp>
        <stp>29/06/2016</stp>
        <stp>[Bbg_Market_Data_CL.xlsm]data!R195C7</stp>
        <tr r="G195" s="1"/>
      </tp>
      <tp t="s">
        <v>#N/A Requesting Data...</v>
        <stp/>
        <stp>##V3_BDHV12</stp>
        <stp>CL2 Comdty</stp>
        <stp>PX_LOW</stp>
        <stp>29/05/2015</stp>
        <stp>29/05/2015</stp>
        <stp>[Bbg_Market_Data_CL.xlsm]data!R466C7</stp>
        <tr r="G466" s="1"/>
      </tp>
      <tp t="s">
        <v>#N/A Requesting Data...</v>
        <stp/>
        <stp>##V3_BDHV12</stp>
        <stp>CL1 Comdty</stp>
        <stp>PX_LOW</stp>
        <stp>29/06/2015</stp>
        <stp>29/06/2015</stp>
        <stp>[Bbg_Market_Data_CL.xlsm]data!R445C7</stp>
        <tr r="G445" s="1"/>
      </tp>
      <tp>
        <v>46.71</v>
        <stp/>
        <stp>##V3_BDHV12</stp>
        <stp>CL2 Comdty</stp>
        <stp>PX_LOW</stp>
        <stp>17/09/2015</stp>
        <stp>17/09/2015</stp>
        <stp>[Bbg_Market_Data_CL.xlsm]data!R389C7</stp>
        <tr r="G389" s="1"/>
      </tp>
      <tp t="s">
        <v>#N/A Requesting Data...</v>
        <stp/>
        <stp>##V3_BDHV12</stp>
        <stp>CL1 Comdty</stp>
        <stp>PX_LOW</stp>
        <stp>29/04/2016</stp>
        <stp>29/04/2016</stp>
        <stp>[Bbg_Market_Data_CL.xlsm]data!R237C7</stp>
        <tr r="G237" s="1"/>
      </tp>
      <tp>
        <v>41.3</v>
        <stp/>
        <stp>##V3_BDHV12</stp>
        <stp>CL2 Comdty</stp>
        <stp>PX_LOW</stp>
        <stp>29/07/2016</stp>
        <stp>29/07/2016</stp>
        <stp>[Bbg_Market_Data_CL.xlsm]data!R174C7</stp>
        <tr r="G174" s="1"/>
      </tp>
      <tp t="s">
        <v>#N/A Requesting Data...</v>
        <stp/>
        <stp>##V3_BDHV12</stp>
        <stp>CL1 Comdty</stp>
        <stp>PX_LOW</stp>
        <stp>29/07/2015</stp>
        <stp>29/07/2015</stp>
        <stp>[Bbg_Market_Data_CL.xlsm]data!R424C7</stp>
        <tr r="G424" s="1"/>
      </tp>
      <tp t="s">
        <v>#N/A Requesting Data...</v>
        <stp/>
        <stp>##V3_BDHV12</stp>
        <stp>CL2 Comdty</stp>
        <stp>PX_LOW</stp>
        <stp>29/04/2015</stp>
        <stp>29/04/2015</stp>
        <stp>[Bbg_Market_Data_CL.xlsm]data!R487C7</stp>
        <tr r="G487" s="1"/>
      </tp>
      <tp t="s">
        <v>#N/A Requesting Data...</v>
        <stp/>
        <stp>##V3_BDHV12</stp>
        <stp>CL1 Comdty</stp>
        <stp>PX_LOW</stp>
        <stp>17/09/2015</stp>
        <stp>17/09/2015</stp>
        <stp>[Bbg_Market_Data_CL.xlsm]data!R389C7</stp>
        <tr r="G389" s="1"/>
      </tp>
      <tp>
        <v>46.03</v>
        <stp/>
        <stp>##V3_BDHV12</stp>
        <stp>CL2 Comdty</stp>
        <stp>PX_LOW</stp>
        <stp>29/04/2016</stp>
        <stp>29/04/2016</stp>
        <stp>[Bbg_Market_Data_CL.xlsm]data!R237C7</stp>
        <tr r="G237" s="1"/>
      </tp>
      <tp t="s">
        <v>#N/A Requesting Data...</v>
        <stp/>
        <stp>##V3_BDHV12</stp>
        <stp>CL1 Comdty</stp>
        <stp>PX_LOW</stp>
        <stp>29/07/2016</stp>
        <stp>29/07/2016</stp>
        <stp>[Bbg_Market_Data_CL.xlsm]data!R174C7</stp>
        <tr r="G174" s="1"/>
      </tp>
      <tp t="s">
        <v>#N/A Requesting Data...</v>
        <stp/>
        <stp>##V3_BDHV12</stp>
        <stp>CL2 Comdty</stp>
        <stp>PX_LOW</stp>
        <stp>29/07/2015</stp>
        <stp>29/07/2015</stp>
        <stp>[Bbg_Market_Data_CL.xlsm]data!R424C7</stp>
        <tr r="G424" s="1"/>
      </tp>
      <tp t="s">
        <v>#N/A Requesting Data...</v>
        <stp/>
        <stp>##V3_BDHV12</stp>
        <stp>CL1 Comdty</stp>
        <stp>PX_LOW</stp>
        <stp>29/04/2015</stp>
        <stp>29/04/2015</stp>
        <stp>[Bbg_Market_Data_CL.xlsm]data!R487C7</stp>
        <tr r="G487" s="1"/>
      </tp>
      <tp t="s">
        <v>#N/A Requesting Data...</v>
        <stp/>
        <stp>##V3_BDHV12</stp>
        <stp>CL2 Comdty</stp>
        <stp>PX_LOW</stp>
        <stp>05/08/2015</stp>
        <stp>05/08/2015</stp>
        <stp>[Bbg_Market_Data_CL.xlsm]data!R419C7</stp>
        <tr r="G419" s="1"/>
      </tp>
      <tp>
        <v>45.19</v>
        <stp/>
        <stp>##V3_BDHV12</stp>
        <stp>CL2 Comdty</stp>
        <stp>PX_LOW</stp>
        <stp>07/09/2016</stp>
        <stp>07/09/2016</stp>
        <stp>[Bbg_Market_Data_CL.xlsm]data!R148C7</stp>
        <tr r="G148" s="1"/>
      </tp>
      <tp t="s">
        <v>#N/A Requesting Data...</v>
        <stp/>
        <stp>##V3_BDHV12</stp>
        <stp>CL1 Comdty</stp>
        <stp>PX_LOW</stp>
        <stp>05/08/2016</stp>
        <stp>05/08/2016</stp>
        <stp>[Bbg_Market_Data_CL.xlsm]data!R169C7</stp>
        <tr r="G169" s="1"/>
      </tp>
      <tp t="s">
        <v>#N/A Requesting Data...</v>
        <stp/>
        <stp>##V3_BDHV12</stp>
        <stp>CL1 Comdty</stp>
        <stp>PX_LOW</stp>
        <stp>29/06/2016</stp>
        <stp>29/06/2016</stp>
        <stp>[Bbg_Market_Data_CL.xlsm]data!R195C7</stp>
        <tr r="G195" s="1"/>
      </tp>
      <tp t="s">
        <v>#N/A Requesting Data...</v>
        <stp/>
        <stp>##V3_BDHV12</stp>
        <stp>CL1 Comdty</stp>
        <stp>PX_LOW</stp>
        <stp>29/05/2015</stp>
        <stp>29/05/2015</stp>
        <stp>[Bbg_Market_Data_CL.xlsm]data!R466C7</stp>
        <tr r="G466" s="1"/>
      </tp>
      <tp t="s">
        <v>#N/A Requesting Data...</v>
        <stp/>
        <stp>##V3_BDHV12</stp>
        <stp>CL2 Comdty</stp>
        <stp>PX_LOW</stp>
        <stp>29/06/2015</stp>
        <stp>29/06/2015</stp>
        <stp>[Bbg_Market_Data_CL.xlsm]data!R445C7</stp>
        <tr r="G445" s="1"/>
      </tp>
      <tp t="s">
        <v>#N/A Requesting Data...</v>
        <stp/>
        <stp>##V3_BDHV12</stp>
        <stp>CL2 Comdty</stp>
        <stp>VOLATILITY_10D</stp>
        <stp>29/07/2015</stp>
        <stp>29/07/2015</stp>
        <stp>[Bbg_Market_Data_CL.xlsm]data!R424C17</stp>
        <tr r="Q424" s="1"/>
      </tp>
      <tp t="s">
        <v>#N/A Requesting Data...</v>
        <stp/>
        <stp>##V3_BDHV12</stp>
        <stp>CL1 Comdty</stp>
        <stp>VOLATILITY_10D</stp>
        <stp>09/06/2015</stp>
        <stp>09/06/2015</stp>
        <stp>[Bbg_Market_Data_CL.xlsm]data!R459C17</stp>
        <tr r="Q459" s="1"/>
      </tp>
      <tp t="s">
        <v>#N/A Requesting Data...</v>
        <stp/>
        <stp>##V3_BDHV12</stp>
        <stp>CL2 Comdty</stp>
        <stp>VOLATILITY_30D</stp>
        <stp>29/05/2015</stp>
        <stp>29/05/2015</stp>
        <stp>[Bbg_Market_Data_CL.xlsm]data!R466C18</stp>
        <tr r="R466" s="1"/>
      </tp>
      <tp t="s">
        <v>#N/A Requesting Data...</v>
        <stp/>
        <stp>##V3_BDHV12</stp>
        <stp>CL1 Comdty</stp>
        <stp>VOLATILITY_10D</stp>
        <stp>29/04/2015</stp>
        <stp>29/04/2015</stp>
        <stp>[Bbg_Market_Data_CL.xlsm]data!R487C17</stp>
        <tr r="Q487" s="1"/>
      </tp>
      <tp t="s">
        <v>#N/A Requesting Data...</v>
        <stp/>
        <stp>##V3_BDHV12</stp>
        <stp>CL1 Comdty</stp>
        <stp>VOLATILITY_30D</stp>
        <stp>19/05/2015</stp>
        <stp>19/05/2015</stp>
        <stp>[Bbg_Market_Data_CL.xlsm]data!R473C18</stp>
        <tr r="R473" s="1"/>
      </tp>
      <tp t="s">
        <v>#N/A Requesting Data...</v>
        <stp/>
        <stp>##V3_BDHV12</stp>
        <stp>CL1 Comdty</stp>
        <stp>VOLATILITY_30D</stp>
        <stp>29/06/2015</stp>
        <stp>29/06/2015</stp>
        <stp>[Bbg_Market_Data_CL.xlsm]data!R445C18</stp>
        <tr r="R445" s="1"/>
      </tp>
      <tp t="s">
        <v>#N/A Requesting Data...</v>
        <stp/>
        <stp>##V3_BDHV12</stp>
        <stp>CL2 Comdty</stp>
        <stp>VOLATILITY_30D</stp>
        <stp>19/06/2015</stp>
        <stp>19/06/2015</stp>
        <stp>[Bbg_Market_Data_CL.xlsm]data!R451C18</stp>
        <tr r="R451" s="1"/>
      </tp>
      <tp t="s">
        <v>#N/A Requesting Data...</v>
        <stp/>
        <stp>##V3_BDHV12</stp>
        <stp>CL2 Comdty</stp>
        <stp>VOLATILITY_30D</stp>
        <stp>09/07/2015</stp>
        <stp>09/07/2015</stp>
        <stp>[Bbg_Market_Data_CL.xlsm]data!R438C18</stp>
        <tr r="R438" s="1"/>
      </tp>
      <tp t="s">
        <v>#N/A Requesting Data...</v>
        <stp/>
        <stp>##V3_BDHV12</stp>
        <stp>CL1 Comdty</stp>
        <stp>VOLATILITY_10D</stp>
        <stp>08/07/2015</stp>
        <stp>08/07/2015</stp>
        <stp>[Bbg_Market_Data_CL.xlsm]data!R439C17</stp>
        <tr r="Q439" s="1"/>
      </tp>
      <tp t="s">
        <v>#N/A Requesting Data...</v>
        <stp/>
        <stp>##V3_BDHV12</stp>
        <stp>CL1 Comdty</stp>
        <stp>VOLATILITY_10D</stp>
        <stp>18/06/2015</stp>
        <stp>18/06/2015</stp>
        <stp>[Bbg_Market_Data_CL.xlsm]data!R452C17</stp>
        <tr r="Q452" s="1"/>
      </tp>
      <tp t="s">
        <v>#N/A Requesting Data...</v>
        <stp/>
        <stp>##V3_BDHV12</stp>
        <stp>CL2 Comdty</stp>
        <stp>VOLATILITY_10D</stp>
        <stp>18/05/2015</stp>
        <stp>18/05/2015</stp>
        <stp>[Bbg_Market_Data_CL.xlsm]data!R474C17</stp>
        <tr r="Q474" s="1"/>
      </tp>
      <tp t="s">
        <v>#N/A Requesting Data...</v>
        <stp/>
        <stp>##V3_BDHV12</stp>
        <stp>CL1 Comdty</stp>
        <stp>VOLATILITY_30D</stp>
        <stp>08/05/2015</stp>
        <stp>08/05/2015</stp>
        <stp>[Bbg_Market_Data_CL.xlsm]data!R480C18</stp>
        <tr r="R480" s="1"/>
      </tp>
      <tp t="s">
        <v>#N/A Requesting Data...</v>
        <stp/>
        <stp>##V3_BDHV12</stp>
        <stp>CL2 Comdty</stp>
        <stp>VOLATILITY_30D</stp>
        <stp>28/04/2015</stp>
        <stp>28/04/2015</stp>
        <stp>[Bbg_Market_Data_CL.xlsm]data!R488C18</stp>
        <tr r="R488" s="1"/>
      </tp>
      <tp t="s">
        <v>#N/A Requesting Data...</v>
        <stp/>
        <stp>##V3_BDHV12</stp>
        <stp>CL1 Comdty</stp>
        <stp>VOLATILITY_10D</stp>
        <stp>28/05/2015</stp>
        <stp>28/05/2015</stp>
        <stp>[Bbg_Market_Data_CL.xlsm]data!R467C17</stp>
        <tr r="Q467" s="1"/>
      </tp>
      <tp t="s">
        <v>#N/A Requesting Data...</v>
        <stp/>
        <stp>##V3_BDHV12</stp>
        <stp>CL2 Comdty</stp>
        <stp>VOLATILITY_30D</stp>
        <stp>08/06/2015</stp>
        <stp>08/06/2015</stp>
        <stp>[Bbg_Market_Data_CL.xlsm]data!R460C18</stp>
        <tr r="R460" s="1"/>
      </tp>
      <tp t="s">
        <v>#N/A Requesting Data...</v>
        <stp/>
        <stp>##V3_BDHV12</stp>
        <stp>CL1 Comdty</stp>
        <stp>VOLATILITY_30D</stp>
        <stp>28/07/2015</stp>
        <stp>28/07/2015</stp>
        <stp>[Bbg_Market_Data_CL.xlsm]data!R425C18</stp>
        <tr r="R425" s="1"/>
      </tp>
      <tp t="s">
        <v>#N/A Requesting Data...</v>
        <stp/>
        <stp>##V3_BDHV12</stp>
        <stp>CL1 Comdty</stp>
        <stp>VOLATILITY_10D</stp>
        <stp>29/07/2016</stp>
        <stp>29/07/2016</stp>
        <stp>[Bbg_Market_Data_CL.xlsm]data!R174C17</stp>
        <tr r="Q174" s="1"/>
      </tp>
      <tp>
        <v>34.4</v>
        <stp/>
        <stp>##V3_BDHV12</stp>
        <stp>CL2 Comdty</stp>
        <stp>VOLATILITY_30D</stp>
        <stp>29/06/2016</stp>
        <stp>29/06/2016</stp>
        <stp>[Bbg_Market_Data_CL.xlsm]data!R195C18</stp>
        <tr r="R195" s="1"/>
      </tp>
      <tp>
        <v>48.06</v>
        <stp/>
        <stp>##V3_BDHV12</stp>
        <stp>CL2 Comdty</stp>
        <stp>VOLATILITY_10D</stp>
        <stp>19/07/2016</stp>
        <stp>19/07/2016</stp>
        <stp>[Bbg_Market_Data_CL.xlsm]data!R182C17</stp>
        <tr r="Q182" s="1"/>
      </tp>
      <tp t="s">
        <v>#N/A Requesting Data...</v>
        <stp/>
        <stp>##V3_BDHV12</stp>
        <stp>CL1 Comdty</stp>
        <stp>VOLATILITY_30D</stp>
        <stp>18/07/2016</stp>
        <stp>18/07/2016</stp>
        <stp>[Bbg_Market_Data_CL.xlsm]data!R183C18</stp>
        <tr r="R183" s="1"/>
      </tp>
      <tp t="s">
        <v>#N/A Requesting Data...</v>
        <stp/>
        <stp>##V3_BDHV12</stp>
        <stp>CL1 Comdty</stp>
        <stp>VOLATILITY_10D</stp>
        <stp>28/06/2016</stp>
        <stp>28/06/2016</stp>
        <stp>[Bbg_Market_Data_CL.xlsm]data!R196C17</stp>
        <tr r="Q196" s="1"/>
      </tp>
      <tp>
        <v>44.31</v>
        <stp/>
        <stp>##V3_BDHV12</stp>
        <stp>CL2 Comdty</stp>
        <stp>VOLATILITY_30D</stp>
        <stp>28/07/2016</stp>
        <stp>28/07/2016</stp>
        <stp>[Bbg_Market_Data_CL.xlsm]data!R175C18</stp>
        <tr r="R175" s="1"/>
      </tp>
      <tp>
        <v>55.47</v>
        <stp/>
        <stp>##V3_BDHV12</stp>
        <stp>CL2 Comdty</stp>
        <stp>VOLATILITY_10D</stp>
        <stp>08/07/2016</stp>
        <stp>08/07/2016</stp>
        <stp>[Bbg_Market_Data_CL.xlsm]data!R189C17</stp>
        <tr r="Q189" s="1"/>
      </tp>
      <tp t="s">
        <v>#N/A Requesting Data...</v>
        <stp/>
        <stp>##V3_BDHV12</stp>
        <stp>CL1 Comdty</stp>
        <stp>VOLATILITY_10D</stp>
        <stp>18/05/2016</stp>
        <stp>18/05/2016</stp>
        <stp>[Bbg_Market_Data_CL.xlsm]data!R224C17</stp>
        <tr r="Q224" s="1"/>
      </tp>
      <tp t="s">
        <v>#N/A Requesting Data...</v>
        <stp/>
        <stp>##V3_BDHV12</stp>
        <stp>CL1 Comdty</stp>
        <stp>VOLATILITY_10D</stp>
        <stp>08/04/2016</stp>
        <stp>08/04/2016</stp>
        <stp>[Bbg_Market_Data_CL.xlsm]data!R252C17</stp>
        <tr r="Q252" s="1"/>
      </tp>
      <tp>
        <v>47.11</v>
        <stp/>
        <stp>##V3_BDHV12</stp>
        <stp>CL2 Comdty</stp>
        <stp>VOLATILITY_30D</stp>
        <stp>18/04/2016</stp>
        <stp>18/04/2016</stp>
        <stp>[Bbg_Market_Data_CL.xlsm]data!R246C18</stp>
        <tr r="R246" s="1"/>
      </tp>
      <tp t="s">
        <v>#N/A Requesting Data...</v>
        <stp/>
        <stp>##V3_BDHV12</stp>
        <stp>CL1 Comdty</stp>
        <stp>VOLATILITY_30D</stp>
        <stp>28/04/2016</stp>
        <stp>28/04/2016</stp>
        <stp>[Bbg_Market_Data_CL.xlsm]data!R238C18</stp>
        <tr r="R238" s="1"/>
      </tp>
      <tp t="s">
        <v>#N/A Requesting Data...</v>
        <stp/>
        <stp>##V3_BDHV12</stp>
        <stp>CL1 Comdty</stp>
        <stp>VOLATILITY_30D</stp>
        <stp>08/06/2016</stp>
        <stp>08/06/2016</stp>
        <stp>[Bbg_Market_Data_CL.xlsm]data!R210C18</stp>
        <tr r="R210" s="1"/>
      </tp>
      <tp>
        <v>19.96</v>
        <stp/>
        <stp>##V3_BDHV12</stp>
        <stp>CL2 Comdty</stp>
        <stp>VOLATILITY_10D</stp>
        <stp>09/06/2016</stp>
        <stp>09/06/2016</stp>
        <stp>[Bbg_Market_Data_CL.xlsm]data!R209C17</stp>
        <tr r="Q209" s="1"/>
      </tp>
      <tp>
        <v>32.79</v>
        <stp/>
        <stp>##V3_BDHV12</stp>
        <stp>CL2 Comdty</stp>
        <stp>VOLATILITY_10D</stp>
        <stp>29/04/2016</stp>
        <stp>29/04/2016</stp>
        <stp>[Bbg_Market_Data_CL.xlsm]data!R237C17</stp>
        <tr r="Q237" s="1"/>
      </tp>
      <tp t="s">
        <v>#N/A Requesting Data...</v>
        <stp/>
        <stp>##V3_BDHV12</stp>
        <stp>CL1 Comdty</stp>
        <stp>VOLATILITY_10D</stp>
        <stp>09/05/2016</stp>
        <stp>09/05/2016</stp>
        <stp>[Bbg_Market_Data_CL.xlsm]data!R231C17</stp>
        <tr r="Q231" s="1"/>
      </tp>
      <tp t="s">
        <v>#N/A Requesting Data...</v>
        <stp/>
        <stp>##V3_BDHV12</stp>
        <stp>CL1 Comdty</stp>
        <stp>VOLATILITY_10D</stp>
        <stp>19/04/2016</stp>
        <stp>19/04/2016</stp>
        <stp>[Bbg_Market_Data_CL.xlsm]data!R245C17</stp>
        <tr r="Q245" s="1"/>
      </tp>
      <tp>
        <v>34.46</v>
        <stp/>
        <stp>##V3_BDHV12</stp>
        <stp>CL2 Comdty</stp>
        <stp>VOLATILITY_30D</stp>
        <stp>19/05/2016</stp>
        <stp>19/05/2016</stp>
        <stp>[Bbg_Market_Data_CL.xlsm]data!R223C18</stp>
        <tr r="R223" s="1"/>
      </tp>
      <tp>
        <v>37.46</v>
        <stp/>
        <stp>##V3_BDHV12</stp>
        <stp>CL2 Comdty</stp>
        <stp>VOLATILITY_10D</stp>
        <stp>25/08/2016</stp>
        <stp>25/08/2016</stp>
        <stp>[Bbg_Market_Data_CL.xlsm]data!R156C17</stp>
        <tr r="Q156" s="1"/>
      </tp>
      <tp t="s">
        <v>#N/A Requesting Data...</v>
        <stp/>
        <stp>##V3_BDHV12</stp>
        <stp>CL1 Comdty</stp>
        <stp>VOLATILITY_30D</stp>
        <stp>04/09/2015</stp>
        <stp>04/09/2015</stp>
        <stp>[Bbg_Market_Data_CL.xlsm]data!R397C18</stp>
        <tr r="R397" s="1"/>
      </tp>
      <tp t="s">
        <v>#N/A Requesting Data...</v>
        <stp/>
        <stp>##V3_BDHV12</stp>
        <stp>CL1 Comdty</stp>
        <stp>VOLATILITY_10D</stp>
        <stp>15/08/2016</stp>
        <stp>15/08/2016</stp>
        <stp>[Bbg_Market_Data_CL.xlsm]data!R164C17</stp>
        <tr r="Q164" s="1"/>
      </tp>
      <tp>
        <v>42.2</v>
        <stp/>
        <stp>##V3_BDHV12</stp>
        <stp>CL2 Comdty</stp>
        <stp>VOLATILITY_30D</stp>
        <stp>05/08/2016</stp>
        <stp>05/08/2016</stp>
        <stp>[Bbg_Market_Data_CL.xlsm]data!R169C18</stp>
        <tr r="R169" s="1"/>
      </tp>
      <tp>
        <v>56</v>
        <stp/>
        <stp>##V3_BDHV12</stp>
        <stp>CL2 Comdty</stp>
        <stp>VOLATILITY_10D</stp>
        <stp>14/09/2015</stp>
        <stp>14/09/2015</stp>
        <stp>[Bbg_Market_Data_CL.xlsm]data!R392C17</stp>
        <tr r="Q392" s="1"/>
      </tp>
      <tp t="s">
        <v>#N/A Requesting Data...</v>
        <stp/>
        <stp>##V3_BDHV12</stp>
        <stp>CL1 Comdty</stp>
        <stp>VOLATILITY_10D</stp>
        <stp>24/09/2015</stp>
        <stp>24/09/2015</stp>
        <stp>[Bbg_Market_Data_CL.xlsm]data!R384C17</stp>
        <tr r="Q384" s="1"/>
      </tp>
      <tp>
        <v>40.49</v>
        <stp/>
        <stp>##V3_BDHV12</stp>
        <stp>CL2 Comdty</stp>
        <stp>VOLATILITY_30D</stp>
        <stp>15/09/2016</stp>
        <stp>15/09/2016</stp>
        <stp>[Bbg_Market_Data_CL.xlsm]data!R142C18</stp>
        <tr r="R142" s="1"/>
      </tp>
      <tp t="s">
        <v>#N/A Requesting Data...</v>
        <stp/>
        <stp>##V3_BDHV12</stp>
        <stp>CL1 Comdty</stp>
        <stp>VOLATILITY_10D</stp>
        <stp>14/09/2016</stp>
        <stp>14/09/2016</stp>
        <stp>[Bbg_Market_Data_CL.xlsm]data!R143C17</stp>
        <tr r="Q143" s="1"/>
      </tp>
      <tp t="s">
        <v>#N/A Requesting Data...</v>
        <stp/>
        <stp>##V3_BDHV12</stp>
        <stp>CL1 Comdty</stp>
        <stp>VOLATILITY_10D</stp>
        <stp>04/08/2016</stp>
        <stp>04/08/2016</stp>
        <stp>[Bbg_Market_Data_CL.xlsm]data!R170C17</stp>
        <tr r="Q170" s="1"/>
      </tp>
      <tp>
        <v>65.010000000000005</v>
        <stp/>
        <stp>##V3_BDHV12</stp>
        <stp>CL2 Comdty</stp>
        <stp>VOLATILITY_30D</stp>
        <stp>25/09/2015</stp>
        <stp>25/09/2015</stp>
        <stp>[Bbg_Market_Data_CL.xlsm]data!R383C18</stp>
        <tr r="R383" s="1"/>
      </tp>
      <tp t="s">
        <v>#N/A Requesting Data...</v>
        <stp/>
        <stp>##V3_BDHV12</stp>
        <stp>CL1 Comdty</stp>
        <stp>VOLATILITY_30D</stp>
        <stp>15/09/2015</stp>
        <stp>15/09/2015</stp>
        <stp>[Bbg_Market_Data_CL.xlsm]data!R391C18</stp>
        <tr r="R391" s="1"/>
      </tp>
      <tp t="s">
        <v>#N/A Requesting Data...</v>
        <stp/>
        <stp>##V3_BDHV12</stp>
        <stp>CL1 Comdty</stp>
        <stp>VOLATILITY_30D</stp>
        <stp>24/08/2016</stp>
        <stp>24/08/2016</stp>
        <stp>[Bbg_Market_Data_CL.xlsm]data!R157C18</stp>
        <tr r="R157" s="1"/>
      </tp>
      <tp t="s">
        <v>#N/A Requesting Data...</v>
        <stp/>
        <stp>##V3_BDHV12</stp>
        <stp>CL1 Comdty</stp>
        <stp>VOLATILITY_10D</stp>
        <stp>27/09/2016</stp>
        <stp>27/09/2016</stp>
        <stp>[Bbg_Market_Data_CL.xlsm]data!R134C17</stp>
        <tr r="Q134" s="1"/>
      </tp>
      <tp>
        <v>63.71</v>
        <stp/>
        <stp>##V3_BDHV12</stp>
        <stp>CL2 Comdty</stp>
        <stp>VOLATILITY_30D</stp>
        <stp>16/09/2015</stp>
        <stp>16/09/2015</stp>
        <stp>[Bbg_Market_Data_CL.xlsm]data!R390C18</stp>
        <tr r="R390" s="1"/>
      </tp>
      <tp t="s">
        <v>#N/A Requesting Data...</v>
        <stp/>
        <stp>##V3_BDHV12</stp>
        <stp>CL1 Comdty</stp>
        <stp>VOLATILITY_30D</stp>
        <stp>17/08/2016</stp>
        <stp>17/08/2016</stp>
        <stp>[Bbg_Market_Data_CL.xlsm]data!R162C18</stp>
        <tr r="R162" s="1"/>
      </tp>
      <tp t="s">
        <v>#N/A Requesting Data...</v>
        <stp/>
        <stp>##V3_BDHV12</stp>
        <stp>CL1 Comdty</stp>
        <stp>VOLATILITY_30D</stp>
        <stp>07/09/2016</stp>
        <stp>07/09/2016</stp>
        <stp>[Bbg_Market_Data_CL.xlsm]data!R148C18</stp>
        <tr r="R148" s="1"/>
      </tp>
      <tp t="s">
        <v>#N/A Requesting Data...</v>
        <stp/>
        <stp>##V3_BDHV12</stp>
        <stp>CL1 Comdty</stp>
        <stp>VOLATILITY_10D</stp>
        <stp>26/08/2016</stp>
        <stp>26/08/2016</stp>
        <stp>[Bbg_Market_Data_CL.xlsm]data!R155C17</stp>
        <tr r="Q155" s="1"/>
      </tp>
      <tp>
        <v>36.97</v>
        <stp/>
        <stp>##V3_BDHV12</stp>
        <stp>CL2 Comdty</stp>
        <stp>VOLATILITY_10D</stp>
        <stp>06/09/2016</stp>
        <stp>06/09/2016</stp>
        <stp>[Bbg_Market_Data_CL.xlsm]data!R149C17</stp>
        <tr r="Q149" s="1"/>
      </tp>
      <tp>
        <v>33.35</v>
        <stp/>
        <stp>##V3_BDHV12</stp>
        <stp>CL2 Comdty</stp>
        <stp>VOLATILITY_10D</stp>
        <stp>16/08/2016</stp>
        <stp>16/08/2016</stp>
        <stp>[Bbg_Market_Data_CL.xlsm]data!R163C17</stp>
        <tr r="Q163" s="1"/>
      </tp>
      <tp t="s">
        <v>#N/A Requesting Data...</v>
        <stp/>
        <stp>##V3_BDHV12</stp>
        <stp>CL1 Comdty</stp>
        <stp>VOLATILITY_10D</stp>
        <stp>17/09/2015</stp>
        <stp>17/09/2015</stp>
        <stp>[Bbg_Market_Data_CL.xlsm]data!R389C17</stp>
        <tr r="Q389" s="1"/>
      </tp>
      <tp t="s">
        <v>#N/A Requesting Data...</v>
        <stp/>
        <stp>##V3_BDHV12</stp>
        <stp>CL1 Comdty</stp>
        <stp>VOLATILITY_30D</stp>
        <stp>16/09/2016</stp>
        <stp>16/09/2016</stp>
        <stp>[Bbg_Market_Data_CL.xlsm]data!R141C18</stp>
        <tr r="R141" s="1"/>
      </tp>
      <tp>
        <v>41.57</v>
        <stp/>
        <stp>##V3_BDHV12</stp>
        <stp>CL2 Comdty</stp>
        <stp>VOLATILITY_30D</stp>
        <stp>26/09/2016</stp>
        <stp>26/09/2016</stp>
        <stp>[Bbg_Market_Data_CL.xlsm]data!R135C18</stp>
        <tr r="R135" s="1"/>
      </tp>
      <tp t="s">
        <v>#N/A Requesting Data...</v>
        <stp/>
        <stp>##V3_BDHV12</stp>
        <stp>CL1 Comdty</stp>
        <stp>VOLATILITY_10D</stp>
        <stp>07/08/2015</stp>
        <stp>07/08/2015</stp>
        <stp>[Bbg_Market_Data_CL.xlsm]data!R417C17</stp>
        <tr r="Q417" s="1"/>
      </tp>
      <tp t="s">
        <v>#N/A Requesting Data...</v>
        <stp/>
        <stp>##V3_BDHV12</stp>
        <stp>CL1 Comdty</stp>
        <stp>VOLATILITY_30D</stp>
        <stp>27/08/2015</stp>
        <stp>27/08/2015</stp>
        <stp>[Bbg_Market_Data_CL.xlsm]data!R403C18</stp>
        <tr r="R403" s="1"/>
      </tp>
      <tp>
        <v>28.55</v>
        <stp/>
        <stp>##V3_BDHV12</stp>
        <stp>CL2 Comdty</stp>
        <stp>VOLATILITY_30D</stp>
        <stp>17/08/2015</stp>
        <stp>17/08/2015</stp>
        <stp>[Bbg_Market_Data_CL.xlsm]data!R411C18</stp>
        <tr r="R411" s="1"/>
      </tp>
      <tp>
        <v>43.04</v>
        <stp/>
        <stp>##V3_BDHV12</stp>
        <stp>CL2 Comdty</stp>
        <stp>VOLATILITY_10D</stp>
        <stp>26/08/2015</stp>
        <stp>26/08/2015</stp>
        <stp>[Bbg_Market_Data_CL.xlsm]data!R404C17</stp>
        <tr r="Q404" s="1"/>
      </tp>
      <tp>
        <v>35.06</v>
        <stp/>
        <stp>##V3_BDHV12</stp>
        <stp>CL2 Comdty</stp>
        <stp>VOLATILITY_30D</stp>
        <stp>06/08/2015</stp>
        <stp>06/08/2015</stp>
        <stp>[Bbg_Market_Data_CL.xlsm]data!R418C18</stp>
        <tr r="R418" s="1"/>
      </tp>
      <tp t="s">
        <v>#N/A Requesting Data...</v>
        <stp/>
        <stp>##V3_BDHV12</stp>
        <stp>CL1 Comdty</stp>
        <stp>VOLATILITY_10D</stp>
        <stp>25/08/2015</stp>
        <stp>25/08/2015</stp>
        <stp>[Bbg_Market_Data_CL.xlsm]data!R405C17</stp>
        <tr r="Q405" s="1"/>
      </tp>
      <tp t="s">
        <v>#N/A Requesting Data...</v>
        <stp/>
        <stp>##V3_BDHV12</stp>
        <stp>CL1 Comdty</stp>
        <stp>VOLATILITY_30D</stp>
        <stp>05/08/2015</stp>
        <stp>05/08/2015</stp>
        <stp>[Bbg_Market_Data_CL.xlsm]data!R419C18</stp>
        <tr r="R419" s="1"/>
      </tp>
      <tp t="s">
        <v>#N/A Requesting Data...</v>
        <stp/>
        <stp>##V3_BDHV12</stp>
        <stp>CL2 Comdty</stp>
        <stp>VOLATILITY_10D</stp>
        <stp>04/08/2015</stp>
        <stp>04/08/2015</stp>
        <stp>[Bbg_Market_Data_CL.xlsm]data!R420C17</stp>
        <tr r="Q420" s="1"/>
      </tp>
      <tp>
        <v>32.56</v>
        <stp/>
        <stp>##V3_BDHV12</stp>
        <stp>CL2 Comdty</stp>
        <stp>VOLATILITY_30D</stp>
        <stp>24/08/2015</stp>
        <stp>24/08/2015</stp>
        <stp>[Bbg_Market_Data_CL.xlsm]data!R406C18</stp>
        <tr r="R406" s="1"/>
      </tp>
      <tp t="s">
        <v>#N/A Requesting Data...</v>
        <stp/>
        <stp>##V3_BDHV12</stp>
        <stp>CL1 Comdty</stp>
        <stp>VOLATILITY_30D</stp>
        <stp>14/08/2015</stp>
        <stp>14/08/2015</stp>
        <stp>[Bbg_Market_Data_CL.xlsm]data!R412C18</stp>
        <tr r="R412" s="1"/>
      </tp>
      <tp t="s">
        <v>#N/A Requesting Data...</v>
        <stp/>
        <stp>##V3_BDHV12</stp>
        <stp>CL1 Comdty</stp>
        <stp>PX_LOW</stp>
        <stp>10/03/2016</stp>
        <stp>10/03/2016</stp>
        <stp>[Bbg_Market_Data_CL.xlsm]data!R272C7</stp>
        <tr r="G272" s="1"/>
      </tp>
      <tp>
        <v>42.85</v>
        <stp/>
        <stp>##V3_BDHV12</stp>
        <stp>CL2 Comdty</stp>
        <stp>PX_LOW</stp>
        <stp>12/11/2015</stp>
        <stp>12/11/2015</stp>
        <stp>[Bbg_Market_Data_CL.xlsm]data!R351C7</stp>
        <tr r="G351" s="1"/>
      </tp>
      <tp t="s">
        <v>#N/A Requesting Data...</v>
        <stp/>
        <stp>##V3_BDHV12</stp>
        <stp>CL2 Comdty</stp>
        <stp>PX_LOW</stp>
        <stp>17/04/2015</stp>
        <stp>17/04/2015</stp>
        <stp>[Bbg_Market_Data_CL.xlsm]data!R495C7</stp>
        <tr r="G495" s="1"/>
      </tp>
      <tp t="s">
        <v>#N/A Requesting Data...</v>
        <stp/>
        <stp>##V3_BDHV12</stp>
        <stp>CL1 Comdty</stp>
        <stp>PX_LOW</stp>
        <stp>06/04/2016</stp>
        <stp>06/04/2016</stp>
        <stp>[Bbg_Market_Data_CL.xlsm]data!R254C7</stp>
        <tr r="G254" s="1"/>
      </tp>
      <tp>
        <v>43.21</v>
        <stp/>
        <stp>##V3_BDHV12</stp>
        <stp>CL2 Comdty</stp>
        <stp>PX_LOW</stp>
        <stp>09/08/2016</stp>
        <stp>09/08/2016</stp>
        <stp>[Bbg_Market_Data_CL.xlsm]data!R168C7</stp>
        <tr r="G168" s="1"/>
      </tp>
      <tp>
        <v>38.08</v>
        <stp/>
        <stp>##V3_BDHV12</stp>
        <stp>CL2 Comdty</stp>
        <stp>PX_LOW</stp>
        <stp>10/12/2015</stp>
        <stp>10/12/2015</stp>
        <stp>[Bbg_Market_Data_CL.xlsm]data!R332C7</stp>
        <tr r="G332" s="1"/>
      </tp>
      <tp>
        <v>46.77</v>
        <stp/>
        <stp>##V3_BDHV12</stp>
        <stp>CL2 Comdty</stp>
        <stp>PX_LOW</stp>
        <stp>01/11/2016</stp>
        <stp>01/11/2016</stp>
        <stp>[Bbg_Market_Data_CL.xlsm]data!R110C7</stp>
        <tr r="G110" s="1"/>
      </tp>
      <tp t="s">
        <v>#N/A Requesting Data...</v>
        <stp/>
        <stp>##V3_BDHV12</stp>
        <stp>CL1 Comdty</stp>
        <stp>PX_LOW</stp>
        <stp>13/01/2016</stp>
        <stp>13/01/2016</stp>
        <stp>[Bbg_Market_Data_CL.xlsm]data!R310C7</stp>
        <tr r="G310" s="1"/>
      </tp>
      <tp>
        <v>49.09</v>
        <stp/>
        <stp>##V3_BDHV12</stp>
        <stp>CL2 Comdty</stp>
        <stp>PX_LOW</stp>
        <stp>27/05/2016</stp>
        <stp>27/05/2016</stp>
        <stp>[Bbg_Market_Data_CL.xlsm]data!R217C7</stp>
        <tr r="G217" s="1"/>
      </tp>
      <tp t="s">
        <v>#N/A Requesting Data...</v>
        <stp/>
        <stp>##V3_BDHV12</stp>
        <stp>CL1 Comdty</stp>
        <stp>PX_LOW</stp>
        <stp>18/09/2015</stp>
        <stp>18/09/2015</stp>
        <stp>[Bbg_Market_Data_CL.xlsm]data!R388C7</stp>
        <tr r="G388" s="1"/>
      </tp>
      <tp t="s">
        <v>#N/A Requesting Data...</v>
        <stp/>
        <stp>##V3_BDHV12</stp>
        <stp>CL1 Comdty</stp>
        <stp>PX_LOW</stp>
        <stp>19/08/2015</stp>
        <stp>19/08/2015</stp>
        <stp>[Bbg_Market_Data_CL.xlsm]data!R409C7</stp>
        <tr r="G409" s="1"/>
      </tp>
      <tp t="s">
        <v>#N/A Requesting Data...</v>
        <stp/>
        <stp>##V3_BDHV12</stp>
        <stp>CL1 Comdty</stp>
        <stp>PX_LOW</stp>
        <stp>10/12/2015</stp>
        <stp>10/12/2015</stp>
        <stp>[Bbg_Market_Data_CL.xlsm]data!R332C7</stp>
        <tr r="G332" s="1"/>
      </tp>
      <tp t="s">
        <v>#N/A Requesting Data...</v>
        <stp/>
        <stp>##V3_BDHV12</stp>
        <stp>CL1 Comdty</stp>
        <stp>PX_LOW</stp>
        <stp>01/11/2016</stp>
        <stp>01/11/2016</stp>
        <stp>[Bbg_Market_Data_CL.xlsm]data!R110C7</stp>
        <tr r="G110" s="1"/>
      </tp>
      <tp>
        <v>31.07</v>
        <stp/>
        <stp>##V3_BDHV12</stp>
        <stp>CL2 Comdty</stp>
        <stp>PX_LOW</stp>
        <stp>13/01/2016</stp>
        <stp>13/01/2016</stp>
        <stp>[Bbg_Market_Data_CL.xlsm]data!R310C7</stp>
        <tr r="G310" s="1"/>
      </tp>
      <tp t="s">
        <v>#N/A Requesting Data...</v>
        <stp/>
        <stp>##V3_BDHV12</stp>
        <stp>CL1 Comdty</stp>
        <stp>PX_LOW</stp>
        <stp>27/05/2016</stp>
        <stp>27/05/2016</stp>
        <stp>[Bbg_Market_Data_CL.xlsm]data!R217C7</stp>
        <tr r="G217" s="1"/>
      </tp>
      <tp>
        <v>44.59</v>
        <stp/>
        <stp>##V3_BDHV12</stp>
        <stp>CL2 Comdty</stp>
        <stp>PX_LOW</stp>
        <stp>18/09/2015</stp>
        <stp>18/09/2015</stp>
        <stp>[Bbg_Market_Data_CL.xlsm]data!R388C7</stp>
        <tr r="G388" s="1"/>
      </tp>
      <tp>
        <v>40.81</v>
        <stp/>
        <stp>##V3_BDHV12</stp>
        <stp>CL2 Comdty</stp>
        <stp>PX_LOW</stp>
        <stp>19/08/2015</stp>
        <stp>19/08/2015</stp>
        <stp>[Bbg_Market_Data_CL.xlsm]data!R409C7</stp>
        <tr r="G409" s="1"/>
      </tp>
      <tp>
        <v>38.909999999999997</v>
        <stp/>
        <stp>##V3_BDHV12</stp>
        <stp>CL2 Comdty</stp>
        <stp>PX_LOW</stp>
        <stp>10/03/2016</stp>
        <stp>10/03/2016</stp>
        <stp>[Bbg_Market_Data_CL.xlsm]data!R272C7</stp>
        <tr r="G272" s="1"/>
      </tp>
      <tp t="s">
        <v>#N/A Requesting Data...</v>
        <stp/>
        <stp>##V3_BDHV12</stp>
        <stp>CL1 Comdty</stp>
        <stp>PX_LOW</stp>
        <stp>12/11/2015</stp>
        <stp>12/11/2015</stp>
        <stp>[Bbg_Market_Data_CL.xlsm]data!R351C7</stp>
        <tr r="G351" s="1"/>
      </tp>
      <tp t="s">
        <v>#N/A Requesting Data...</v>
        <stp/>
        <stp>##V3_BDHV12</stp>
        <stp>CL1 Comdty</stp>
        <stp>PX_LOW</stp>
        <stp>17/04/2015</stp>
        <stp>17/04/2015</stp>
        <stp>[Bbg_Market_Data_CL.xlsm]data!R495C7</stp>
        <tr r="G495" s="1"/>
      </tp>
      <tp>
        <v>37.57</v>
        <stp/>
        <stp>##V3_BDHV12</stp>
        <stp>CL2 Comdty</stp>
        <stp>PX_LOW</stp>
        <stp>06/04/2016</stp>
        <stp>06/04/2016</stp>
        <stp>[Bbg_Market_Data_CL.xlsm]data!R254C7</stp>
        <tr r="G254" s="1"/>
      </tp>
      <tp t="s">
        <v>#N/A Requesting Data...</v>
        <stp/>
        <stp>##V3_BDHV12</stp>
        <stp>CL1 Comdty</stp>
        <stp>PX_LOW</stp>
        <stp>09/08/2016</stp>
        <stp>09/08/2016</stp>
        <stp>[Bbg_Market_Data_CL.xlsm]data!R168C7</stp>
        <tr r="G168" s="1"/>
      </tp>
      <tp>
        <v>45.25</v>
        <stp/>
        <stp>##V3_BDHV12</stp>
        <stp>CL2 Comdty</stp>
        <stp>PX_LOW</stp>
        <stp>13/07/2016</stp>
        <stp>13/07/2016</stp>
        <stp>[Bbg_Market_Data_CL.xlsm]data!R186C7</stp>
        <tr r="G186" s="1"/>
      </tp>
      <tp t="s">
        <v>#N/A Requesting Data...</v>
        <stp/>
        <stp>##V3_BDHV12</stp>
        <stp>CL1 Comdty</stp>
        <stp>PX_LOW</stp>
        <stp>03/05/2016</stp>
        <stp>03/05/2016</stp>
        <stp>[Bbg_Market_Data_CL.xlsm]data!R235C7</stp>
        <tr r="G235" s="1"/>
      </tp>
      <tp t="s">
        <v>#N/A Requesting Data...</v>
        <stp/>
        <stp>##V3_BDHV12</stp>
        <stp>CL1 Comdty</stp>
        <stp>PX_LOW</stp>
        <stp>25/01/2016</stp>
        <stp>25/01/2016</stp>
        <stp>[Bbg_Market_Data_CL.xlsm]data!R303C7</stp>
        <tr r="G303" s="1"/>
      </tp>
      <tp>
        <v>49.68</v>
        <stp/>
        <stp>##V3_BDHV12</stp>
        <stp>CL2 Comdty</stp>
        <stp>PX_LOW</stp>
        <stp>27/10/2016</stp>
        <stp>27/10/2016</stp>
        <stp>[Bbg_Market_Data_CL.xlsm]data!R113C7</stp>
        <tr r="G113" s="1"/>
      </tp>
      <tp t="s">
        <v>#N/A Requesting Data...</v>
        <stp/>
        <stp>##V3_BDHV12</stp>
        <stp>CL2 Comdty</stp>
        <stp>PX_LOW</stp>
        <stp>11/06/2015</stp>
        <stp>11/06/2015</stp>
        <stp>[Bbg_Market_Data_CL.xlsm]data!R457C7</stp>
        <tr r="G457" s="1"/>
      </tp>
      <tp t="s">
        <v>#N/A Requesting Data...</v>
        <stp/>
        <stp>##V3_BDHV12</stp>
        <stp>CL1 Comdty</stp>
        <stp>PX_LOW</stp>
        <stp>13/07/2015</stp>
        <stp>13/07/2015</stp>
        <stp>[Bbg_Market_Data_CL.xlsm]data!R436C7</stp>
        <tr r="G436" s="1"/>
      </tp>
      <tp>
        <v>44.14</v>
        <stp/>
        <stp>##V3_BDHV12</stp>
        <stp>CL2 Comdty</stp>
        <stp>PX_LOW</stp>
        <stp>15/11/2016</stp>
        <stp>15/11/2016</stp>
        <stp>[Bbg_Market_Data_CL.xlsm]data!R101C7</stp>
        <tr r="G101" s="1"/>
      </tp>
      <tp>
        <v>43.16</v>
        <stp/>
        <stp>##V3_BDHV12</stp>
        <stp>CL2 Comdty</stp>
        <stp>PX_LOW</stp>
        <stp>25/11/2015</stp>
        <stp>25/11/2015</stp>
        <stp>[Bbg_Market_Data_CL.xlsm]data!R342C7</stp>
        <tr r="G342" s="1"/>
      </tp>
      <tp t="s">
        <v>#N/A Requesting Data...</v>
        <stp/>
        <stp>##V3_BDHV12</stp>
        <stp>CL1 Comdty</stp>
        <stp>PX_LOW</stp>
        <stp>31/05/2016</stp>
        <stp>31/05/2016</stp>
        <stp>[Bbg_Market_Data_CL.xlsm]data!R216C7</stp>
        <tr r="G216" s="1"/>
      </tp>
      <tp>
        <v>48.79</v>
        <stp/>
        <stp>##V3_BDHV12</stp>
        <stp>CL2 Comdty</stp>
        <stp>PX_LOW</stp>
        <stp>13/06/2016</stp>
        <stp>13/06/2016</stp>
        <stp>[Bbg_Market_Data_CL.xlsm]data!R207C7</stp>
        <tr r="G207" s="1"/>
      </tp>
      <tp t="s">
        <v>#N/A Requesting Data...</v>
        <stp/>
        <stp>##V3_BDHV12</stp>
        <stp>CL1 Comdty</stp>
        <stp>PX_LOW</stp>
        <stp>26/10/2015</stp>
        <stp>26/10/2015</stp>
        <stp>[Bbg_Market_Data_CL.xlsm]data!R363C7</stp>
        <tr r="G363" s="1"/>
      </tp>
      <tp t="s">
        <v>#N/A Requesting Data...</v>
        <stp/>
        <stp>##V3_BDHV12</stp>
        <stp>CL1 Comdty</stp>
        <stp>PX_LOW</stp>
        <stp>01/05/2015</stp>
        <stp>01/05/2015</stp>
        <stp>[Bbg_Market_Data_CL.xlsm]data!R485C7</stp>
        <tr r="G485" s="1"/>
      </tp>
      <tp t="s">
        <v>#N/A Requesting Data...</v>
        <stp/>
        <stp>##V3_BDHV12</stp>
        <stp>CL1 Comdty</stp>
        <stp>PX_LOW</stp>
        <stp>15/10/2015</stp>
        <stp>15/10/2015</stp>
        <stp>[Bbg_Market_Data_CL.xlsm]data!R370C7</stp>
        <tr r="G370" s="1"/>
      </tp>
      <tp>
        <v>49.23</v>
        <stp/>
        <stp>##V3_BDHV12</stp>
        <stp>CL2 Comdty</stp>
        <stp>PX_LOW</stp>
        <stp>31/05/2016</stp>
        <stp>31/05/2016</stp>
        <stp>[Bbg_Market_Data_CL.xlsm]data!R216C7</stp>
        <tr r="G216" s="1"/>
      </tp>
      <tp t="s">
        <v>#N/A Requesting Data...</v>
        <stp/>
        <stp>##V3_BDHV12</stp>
        <stp>CL1 Comdty</stp>
        <stp>PX_LOW</stp>
        <stp>13/06/2016</stp>
        <stp>13/06/2016</stp>
        <stp>[Bbg_Market_Data_CL.xlsm]data!R207C7</stp>
        <tr r="G207" s="1"/>
      </tp>
      <tp>
        <v>44.55</v>
        <stp/>
        <stp>##V3_BDHV12</stp>
        <stp>CL2 Comdty</stp>
        <stp>PX_LOW</stp>
        <stp>26/10/2015</stp>
        <stp>26/10/2015</stp>
        <stp>[Bbg_Market_Data_CL.xlsm]data!R363C7</stp>
        <tr r="G363" s="1"/>
      </tp>
      <tp t="s">
        <v>#N/A Requesting Data...</v>
        <stp/>
        <stp>##V3_BDHV12</stp>
        <stp>CL2 Comdty</stp>
        <stp>PX_LOW</stp>
        <stp>01/05/2015</stp>
        <stp>01/05/2015</stp>
        <stp>[Bbg_Market_Data_CL.xlsm]data!R485C7</stp>
        <tr r="G485" s="1"/>
      </tp>
      <tp>
        <v>45.79</v>
        <stp/>
        <stp>##V3_BDHV12</stp>
        <stp>CL2 Comdty</stp>
        <stp>PX_LOW</stp>
        <stp>15/10/2015</stp>
        <stp>15/10/2015</stp>
        <stp>[Bbg_Market_Data_CL.xlsm]data!R370C7</stp>
        <tr r="G370" s="1"/>
      </tp>
      <tp t="s">
        <v>#N/A Requesting Data...</v>
        <stp/>
        <stp>##V3_BDHV12</stp>
        <stp>CL1 Comdty</stp>
        <stp>PX_LOW</stp>
        <stp>13/07/2016</stp>
        <stp>13/07/2016</stp>
        <stp>[Bbg_Market_Data_CL.xlsm]data!R186C7</stp>
        <tr r="G186" s="1"/>
      </tp>
      <tp>
        <v>44.12</v>
        <stp/>
        <stp>##V3_BDHV12</stp>
        <stp>CL2 Comdty</stp>
        <stp>PX_LOW</stp>
        <stp>03/05/2016</stp>
        <stp>03/05/2016</stp>
        <stp>[Bbg_Market_Data_CL.xlsm]data!R235C7</stp>
        <tr r="G235" s="1"/>
      </tp>
      <tp t="s">
        <v>#N/A Requesting Data...</v>
        <stp/>
        <stp>##V3_BDHV12</stp>
        <stp>CL1 Comdty</stp>
        <stp>PX_LOW</stp>
        <stp>27/10/2016</stp>
        <stp>27/10/2016</stp>
        <stp>[Bbg_Market_Data_CL.xlsm]data!R113C7</stp>
        <tr r="G113" s="1"/>
      </tp>
      <tp>
        <v>30.79</v>
        <stp/>
        <stp>##V3_BDHV12</stp>
        <stp>CL2 Comdty</stp>
        <stp>PX_LOW</stp>
        <stp>25/01/2016</stp>
        <stp>25/01/2016</stp>
        <stp>[Bbg_Market_Data_CL.xlsm]data!R303C7</stp>
        <tr r="G303" s="1"/>
      </tp>
      <tp t="s">
        <v>#N/A Requesting Data...</v>
        <stp/>
        <stp>##V3_BDHV12</stp>
        <stp>CL1 Comdty</stp>
        <stp>PX_LOW</stp>
        <stp>11/06/2015</stp>
        <stp>11/06/2015</stp>
        <stp>[Bbg_Market_Data_CL.xlsm]data!R457C7</stp>
        <tr r="G457" s="1"/>
      </tp>
      <tp t="s">
        <v>#N/A Requesting Data...</v>
        <stp/>
        <stp>##V3_BDHV12</stp>
        <stp>CL2 Comdty</stp>
        <stp>PX_LOW</stp>
        <stp>13/07/2015</stp>
        <stp>13/07/2015</stp>
        <stp>[Bbg_Market_Data_CL.xlsm]data!R436C7</stp>
        <tr r="G436" s="1"/>
      </tp>
      <tp t="s">
        <v>#N/A Requesting Data...</v>
        <stp/>
        <stp>##V3_BDHV12</stp>
        <stp>CL1 Comdty</stp>
        <stp>PX_LOW</stp>
        <stp>15/11/2016</stp>
        <stp>15/11/2016</stp>
        <stp>[Bbg_Market_Data_CL.xlsm]data!R101C7</stp>
        <tr r="G101" s="1"/>
      </tp>
      <tp t="s">
        <v>#N/A Requesting Data...</v>
        <stp/>
        <stp>##V3_BDHV12</stp>
        <stp>CL1 Comdty</stp>
        <stp>PX_LOW</stp>
        <stp>25/11/2015</stp>
        <stp>25/11/2015</stp>
        <stp>[Bbg_Market_Data_CL.xlsm]data!R342C7</stp>
        <tr r="G342" s="1"/>
      </tp>
      <tp>
        <v>39.979999999999997</v>
        <stp/>
        <stp>##V3_BDHV12</stp>
        <stp>CL2 Comdty</stp>
        <stp>PX_LOW</stp>
        <stp>28/03/2016</stp>
        <stp>28/03/2016</stp>
        <stp>[Bbg_Market_Data_CL.xlsm]data!R261C7</stp>
        <tr r="G261" s="1"/>
      </tp>
      <tp t="s">
        <v>#N/A Requesting Data...</v>
        <stp/>
        <stp>##V3_BDHV12</stp>
        <stp>CL1 Comdty</stp>
        <stp>PX_LOW</stp>
        <stp>09/03/2016</stp>
        <stp>09/03/2016</stp>
        <stp>[Bbg_Market_Data_CL.xlsm]data!R273C7</stp>
        <tr r="G273" s="1"/>
      </tp>
      <tp>
        <v>34.22</v>
        <stp/>
        <stp>##V3_BDHV12</stp>
        <stp>CL2 Comdty</stp>
        <stp>PX_LOW</stp>
        <stp>29/02/2016</stp>
        <stp>29/02/2016</stp>
        <stp>[Bbg_Market_Data_CL.xlsm]data!R280C7</stp>
        <tr r="G280" s="1"/>
      </tp>
      <tp>
        <v>50.13</v>
        <stp/>
        <stp>##V3_BDHV12</stp>
        <stp>CL2 Comdty</stp>
        <stp>PX_LOW</stp>
        <stp>18/10/2016</stp>
        <stp>18/10/2016</stp>
        <stp>[Bbg_Market_Data_CL.xlsm]data!R120C7</stp>
        <tr r="G120" s="1"/>
      </tp>
      <tp>
        <v>43.89</v>
        <stp/>
        <stp>##V3_BDHV12</stp>
        <stp>CL2 Comdty</stp>
        <stp>PX_LOW</stp>
        <stp>02/09/2015</stp>
        <stp>02/09/2015</stp>
        <stp>[Bbg_Market_Data_CL.xlsm]data!R399C7</stp>
        <tr r="G399" s="1"/>
      </tp>
      <tp t="s">
        <v>#N/A Requesting Data...</v>
        <stp/>
        <stp>##V3_BDHV12</stp>
        <stp>CL1 Comdty</stp>
        <stp>PX_LOW</stp>
        <stp>09/02/2016</stp>
        <stp>09/02/2016</stp>
        <stp>[Bbg_Market_Data_CL.xlsm]data!R292C7</stp>
        <tr r="G292" s="1"/>
      </tp>
      <tp t="s">
        <v>#N/A Requesting Data...</v>
        <stp/>
        <stp>##V3_BDHV12</stp>
        <stp>CL1 Comdty</stp>
        <stp>PX_LOW</stp>
        <stp>28/12/2015</stp>
        <stp>28/12/2015</stp>
        <stp>[Bbg_Market_Data_CL.xlsm]data!R321C7</stp>
        <tr r="G321" s="1"/>
      </tp>
      <tp>
        <v>38.299999999999997</v>
        <stp/>
        <stp>##V3_BDHV12</stp>
        <stp>CL2 Comdty</stp>
        <stp>PX_LOW</stp>
        <stp>09/12/2015</stp>
        <stp>09/12/2015</stp>
        <stp>[Bbg_Market_Data_CL.xlsm]data!R333C7</stp>
        <tr r="G333" s="1"/>
      </tp>
      <tp t="s">
        <v>#N/A Requesting Data...</v>
        <stp/>
        <stp>##V3_BDHV12</stp>
        <stp>CL1 Comdty</stp>
        <stp>PX_LOW</stp>
        <stp>02/09/2015</stp>
        <stp>02/09/2015</stp>
        <stp>[Bbg_Market_Data_CL.xlsm]data!R399C7</stp>
        <tr r="G399" s="1"/>
      </tp>
      <tp>
        <v>29.57</v>
        <stp/>
        <stp>##V3_BDHV12</stp>
        <stp>CL2 Comdty</stp>
        <stp>PX_LOW</stp>
        <stp>09/02/2016</stp>
        <stp>09/02/2016</stp>
        <stp>[Bbg_Market_Data_CL.xlsm]data!R292C7</stp>
        <tr r="G292" s="1"/>
      </tp>
      <tp>
        <v>37.619999999999997</v>
        <stp/>
        <stp>##V3_BDHV12</stp>
        <stp>CL2 Comdty</stp>
        <stp>PX_LOW</stp>
        <stp>28/12/2015</stp>
        <stp>28/12/2015</stp>
        <stp>[Bbg_Market_Data_CL.xlsm]data!R321C7</stp>
        <tr r="G321" s="1"/>
      </tp>
      <tp t="s">
        <v>#N/A Requesting Data...</v>
        <stp/>
        <stp>##V3_BDHV12</stp>
        <stp>CL1 Comdty</stp>
        <stp>PX_LOW</stp>
        <stp>09/12/2015</stp>
        <stp>09/12/2015</stp>
        <stp>[Bbg_Market_Data_CL.xlsm]data!R333C7</stp>
        <tr r="G333" s="1"/>
      </tp>
      <tp t="s">
        <v>#N/A Requesting Data...</v>
        <stp/>
        <stp>##V3_BDHV12</stp>
        <stp>CL1 Comdty</stp>
        <stp>PX_LOW</stp>
        <stp>28/03/2016</stp>
        <stp>28/03/2016</stp>
        <stp>[Bbg_Market_Data_CL.xlsm]data!R261C7</stp>
        <tr r="G261" s="1"/>
      </tp>
      <tp>
        <v>38.15</v>
        <stp/>
        <stp>##V3_BDHV12</stp>
        <stp>CL2 Comdty</stp>
        <stp>PX_LOW</stp>
        <stp>09/03/2016</stp>
        <stp>09/03/2016</stp>
        <stp>[Bbg_Market_Data_CL.xlsm]data!R273C7</stp>
        <tr r="G273" s="1"/>
      </tp>
      <tp t="s">
        <v>#N/A Requesting Data...</v>
        <stp/>
        <stp>##V3_BDHV12</stp>
        <stp>CL1 Comdty</stp>
        <stp>PX_LOW</stp>
        <stp>29/02/2016</stp>
        <stp>29/02/2016</stp>
        <stp>[Bbg_Market_Data_CL.xlsm]data!R280C7</stp>
        <tr r="G280" s="1"/>
      </tp>
      <tp t="s">
        <v>#N/A Requesting Data...</v>
        <stp/>
        <stp>##V3_BDHV12</stp>
        <stp>CL1 Comdty</stp>
        <stp>PX_LOW</stp>
        <stp>18/10/2016</stp>
        <stp>18/10/2016</stp>
        <stp>[Bbg_Market_Data_CL.xlsm]data!R120C7</stp>
        <tr r="G120" s="1"/>
      </tp>
      <tp>
        <v>44.63</v>
        <stp/>
        <stp>##V3_BDHV12</stp>
        <stp>CL2 Comdty</stp>
        <stp>PX_LOW</stp>
        <stp>06/08/2015</stp>
        <stp>06/08/2015</stp>
        <stp>[Bbg_Market_Data_CL.xlsm]data!R418C7</stp>
        <tr r="G418" s="1"/>
      </tp>
      <tp>
        <v>41.76</v>
        <stp/>
        <stp>##V3_BDHV12</stp>
        <stp>CL2 Comdty</stp>
        <stp>PX_LOW</stp>
        <stp>28/07/2016</stp>
        <stp>28/07/2016</stp>
        <stp>[Bbg_Market_Data_CL.xlsm]data!R175C7</stp>
        <tr r="G175" s="1"/>
      </tp>
      <tp t="s">
        <v>#N/A Requesting Data...</v>
        <stp/>
        <stp>##V3_BDHV12</stp>
        <stp>CL1 Comdty</stp>
        <stp>PX_LOW</stp>
        <stp>28/07/2015</stp>
        <stp>28/07/2015</stp>
        <stp>[Bbg_Market_Data_CL.xlsm]data!R425C7</stp>
        <tr r="G425" s="1"/>
      </tp>
      <tp t="s">
        <v>#N/A Requesting Data...</v>
        <stp/>
        <stp>##V3_BDHV12</stp>
        <stp>CL1 Comdty</stp>
        <stp>PX_LOW</stp>
        <stp>06/09/2016</stp>
        <stp>06/09/2016</stp>
        <stp>[Bbg_Market_Data_CL.xlsm]data!R149C7</stp>
        <tr r="G149" s="1"/>
      </tp>
      <tp>
        <v>48.31</v>
        <stp/>
        <stp>##V3_BDHV12</stp>
        <stp>CL2 Comdty</stp>
        <stp>PX_LOW</stp>
        <stp>18/05/2016</stp>
        <stp>18/05/2016</stp>
        <stp>[Bbg_Market_Data_CL.xlsm]data!R224C7</stp>
        <tr r="G224" s="1"/>
      </tp>
      <tp>
        <v>40.880000000000003</v>
        <stp/>
        <stp>##V3_BDHV12</stp>
        <stp>CL2 Comdty</stp>
        <stp>PX_LOW</stp>
        <stp>19/04/2016</stp>
        <stp>19/04/2016</stp>
        <stp>[Bbg_Market_Data_CL.xlsm]data!R245C7</stp>
        <tr r="G245" s="1"/>
      </tp>
      <tp t="s">
        <v>#N/A Requesting Data...</v>
        <stp/>
        <stp>##V3_BDHV12</stp>
        <stp>CL2 Comdty</stp>
        <stp>PX_LOW</stp>
        <stp>28/05/2015</stp>
        <stp>28/05/2015</stp>
        <stp>[Bbg_Market_Data_CL.xlsm]data!R467C7</stp>
        <tr r="G467" s="1"/>
      </tp>
      <tp t="s">
        <v>#N/A Requesting Data...</v>
        <stp/>
        <stp>##V3_BDHV12</stp>
        <stp>CL1 Comdty</stp>
        <stp>PX_LOW</stp>
        <stp>18/05/2015</stp>
        <stp>18/05/2015</stp>
        <stp>[Bbg_Market_Data_CL.xlsm]data!R474C7</stp>
        <tr r="G474" s="1"/>
      </tp>
      <tp>
        <v>44.47</v>
        <stp/>
        <stp>##V3_BDHV12</stp>
        <stp>CL2 Comdty</stp>
        <stp>PX_LOW</stp>
        <stp>06/09/2016</stp>
        <stp>06/09/2016</stp>
        <stp>[Bbg_Market_Data_CL.xlsm]data!R149C7</stp>
        <tr r="G149" s="1"/>
      </tp>
      <tp t="s">
        <v>#N/A Requesting Data...</v>
        <stp/>
        <stp>##V3_BDHV12</stp>
        <stp>CL1 Comdty</stp>
        <stp>PX_LOW</stp>
        <stp>18/05/2016</stp>
        <stp>18/05/2016</stp>
        <stp>[Bbg_Market_Data_CL.xlsm]data!R224C7</stp>
        <tr r="G224" s="1"/>
      </tp>
      <tp t="s">
        <v>#N/A Requesting Data...</v>
        <stp/>
        <stp>##V3_BDHV12</stp>
        <stp>CL1 Comdty</stp>
        <stp>PX_LOW</stp>
        <stp>19/04/2016</stp>
        <stp>19/04/2016</stp>
        <stp>[Bbg_Market_Data_CL.xlsm]data!R245C7</stp>
        <tr r="G245" s="1"/>
      </tp>
      <tp t="s">
        <v>#N/A Requesting Data...</v>
        <stp/>
        <stp>##V3_BDHV12</stp>
        <stp>CL1 Comdty</stp>
        <stp>PX_LOW</stp>
        <stp>28/05/2015</stp>
        <stp>28/05/2015</stp>
        <stp>[Bbg_Market_Data_CL.xlsm]data!R467C7</stp>
        <tr r="G467" s="1"/>
      </tp>
      <tp t="s">
        <v>#N/A Requesting Data...</v>
        <stp/>
        <stp>##V3_BDHV12</stp>
        <stp>CL2 Comdty</stp>
        <stp>PX_LOW</stp>
        <stp>18/05/2015</stp>
        <stp>18/05/2015</stp>
        <stp>[Bbg_Market_Data_CL.xlsm]data!R474C7</stp>
        <tr r="G474" s="1"/>
      </tp>
      <tp t="s">
        <v>#N/A Requesting Data...</v>
        <stp/>
        <stp>##V3_BDHV12</stp>
        <stp>CL1 Comdty</stp>
        <stp>PX_LOW</stp>
        <stp>06/08/2015</stp>
        <stp>06/08/2015</stp>
        <stp>[Bbg_Market_Data_CL.xlsm]data!R418C7</stp>
        <tr r="G418" s="1"/>
      </tp>
      <tp t="s">
        <v>#N/A Requesting Data...</v>
        <stp/>
        <stp>##V3_BDHV12</stp>
        <stp>CL1 Comdty</stp>
        <stp>PX_LOW</stp>
        <stp>28/07/2016</stp>
        <stp>28/07/2016</stp>
        <stp>[Bbg_Market_Data_CL.xlsm]data!R175C7</stp>
        <tr r="G175" s="1"/>
      </tp>
      <tp t="s">
        <v>#N/A Requesting Data...</v>
        <stp/>
        <stp>##V3_BDHV12</stp>
        <stp>CL2 Comdty</stp>
        <stp>PX_LOW</stp>
        <stp>28/07/2015</stp>
        <stp>28/07/2015</stp>
        <stp>[Bbg_Market_Data_CL.xlsm]data!R425C7</stp>
        <tr r="G425" s="1"/>
      </tp>
      <tp>
        <v>28.96</v>
        <stp/>
        <stp>##V3_BDHV12</stp>
        <stp>CL2 Comdty</stp>
        <stp>VOLATILITY_10D</stp>
        <stp>09/11/2016</stp>
        <stp>09/11/2016</stp>
        <stp>[Bbg_Market_Data_CL.xlsm]data!R104C17</stp>
        <tr r="Q104" s="1"/>
      </tp>
      <tp>
        <v>24.84</v>
        <stp/>
        <stp>##V3_BDHV12</stp>
        <stp>CL2 Comdty</stp>
        <stp>VOLATILITY_10D</stp>
        <stp>19/10/2016</stp>
        <stp>19/10/2016</stp>
        <stp>[Bbg_Market_Data_CL.xlsm]data!R119C17</stp>
        <tr r="Q119" s="1"/>
      </tp>
      <tp t="s">
        <v>#N/A Requesting Data...</v>
        <stp/>
        <stp>##V3_BDHV12</stp>
        <stp>CL1 Comdty</stp>
        <stp>VOLATILITY_10D</stp>
        <stp>28/12/2015</stp>
        <stp>28/12/2015</stp>
        <stp>[Bbg_Market_Data_CL.xlsm]data!R321C17</stp>
        <tr r="Q321" s="1"/>
      </tp>
      <tp>
        <v>33.1</v>
        <stp/>
        <stp>##V3_BDHV12</stp>
        <stp>CL2 Comdty</stp>
        <stp>VOLATILITY_10D</stp>
        <stp>18/12/2015</stp>
        <stp>18/12/2015</stp>
        <stp>[Bbg_Market_Data_CL.xlsm]data!R326C17</stp>
        <tr r="Q326" s="1"/>
      </tp>
      <tp t="s">
        <v>#N/A Requesting Data...</v>
        <stp/>
        <stp>##V3_BDHV12</stp>
        <stp>CL1 Comdty</stp>
        <stp>VOLATILITY_10D</stp>
        <stp>18/11/2015</stp>
        <stp>18/11/2015</stp>
        <stp>[Bbg_Market_Data_CL.xlsm]data!R347C17</stp>
        <tr r="Q347" s="1"/>
      </tp>
      <tp t="s">
        <v>#N/A Requesting Data...</v>
        <stp/>
        <stp>##V3_BDHV12</stp>
        <stp>CL1 Comdty</stp>
        <stp>VOLATILITY_10D</stp>
        <stp>08/10/2015</stp>
        <stp>08/10/2015</stp>
        <stp>[Bbg_Market_Data_CL.xlsm]data!R374C17</stp>
        <tr r="Q374" s="1"/>
      </tp>
      <tp t="s">
        <v>#N/A Requesting Data...</v>
        <stp/>
        <stp>##V3_BDHV12</stp>
        <stp>CL1 Comdty</stp>
        <stp>VOLATILITY_30D</stp>
        <stp>28/10/2015</stp>
        <stp>28/10/2015</stp>
        <stp>[Bbg_Market_Data_CL.xlsm]data!R361C18</stp>
        <tr r="R361" s="1"/>
      </tp>
      <tp t="s">
        <v>#N/A Requesting Data...</v>
        <stp/>
        <stp>##V3_BDHV12</stp>
        <stp>CL1 Comdty</stp>
        <stp>VOLATILITY_30D</stp>
        <stp>08/12/2015</stp>
        <stp>08/12/2015</stp>
        <stp>[Bbg_Market_Data_CL.xlsm]data!R334C18</stp>
        <tr r="R334" s="1"/>
      </tp>
      <tp>
        <v>39.479999999999997</v>
        <stp/>
        <stp>##V3_BDHV12</stp>
        <stp>CL2 Comdty</stp>
        <stp>VOLATILITY_10D</stp>
        <stp>09/12/2015</stp>
        <stp>09/12/2015</stp>
        <stp>[Bbg_Market_Data_CL.xlsm]data!R333C17</stp>
        <tr r="Q333" s="1"/>
      </tp>
      <tp t="s">
        <v>#N/A Requesting Data...</v>
        <stp/>
        <stp>##V3_BDHV12</stp>
        <stp>CL1 Comdty</stp>
        <stp>VOLATILITY_10D</stp>
        <stp>09/11/2015</stp>
        <stp>09/11/2015</stp>
        <stp>[Bbg_Market_Data_CL.xlsm]data!R353C17</stp>
        <tr r="Q353" s="1"/>
      </tp>
      <tp>
        <v>41.06</v>
        <stp/>
        <stp>##V3_BDHV12</stp>
        <stp>CL2 Comdty</stp>
        <stp>VOLATILITY_10D</stp>
        <stp>29/10/2015</stp>
        <stp>29/10/2015</stp>
        <stp>[Bbg_Market_Data_CL.xlsm]data!R360C17</stp>
        <tr r="Q360" s="1"/>
      </tp>
      <tp t="s">
        <v>#N/A Requesting Data...</v>
        <stp/>
        <stp>##V3_BDHV12</stp>
        <stp>CL1 Comdty</stp>
        <stp>VOLATILITY_10D</stp>
        <stp>19/10/2015</stp>
        <stp>19/10/2015</stp>
        <stp>[Bbg_Market_Data_CL.xlsm]data!R368C17</stp>
        <tr r="Q368" s="1"/>
      </tp>
      <tp>
        <v>53.93</v>
        <stp/>
        <stp>##V3_BDHV12</stp>
        <stp>CL2 Comdty</stp>
        <stp>VOLATILITY_30D</stp>
        <stp>09/10/2015</stp>
        <stp>09/10/2015</stp>
        <stp>[Bbg_Market_Data_CL.xlsm]data!R373C18</stp>
        <tr r="R373" s="1"/>
      </tp>
      <tp>
        <v>35.83</v>
        <stp/>
        <stp>##V3_BDHV12</stp>
        <stp>CL2 Comdty</stp>
        <stp>VOLATILITY_30D</stp>
        <stp>19/11/2015</stp>
        <stp>19/11/2015</stp>
        <stp>[Bbg_Market_Data_CL.xlsm]data!R346C18</stp>
        <tr r="R346" s="1"/>
      </tp>
      <tp>
        <v>40.5</v>
        <stp/>
        <stp>##V3_BDHV12</stp>
        <stp>CL2 Comdty</stp>
        <stp>VOLATILITY_30D</stp>
        <stp>29/12/2015</stp>
        <stp>29/12/2015</stp>
        <stp>[Bbg_Market_Data_CL.xlsm]data!R320C18</stp>
        <tr r="R320" s="1"/>
      </tp>
      <tp t="s">
        <v>#N/A Requesting Data...</v>
        <stp/>
        <stp>##V3_BDHV12</stp>
        <stp>CL1 Comdty</stp>
        <stp>VOLATILITY_30D</stp>
        <stp>18/10/2016</stp>
        <stp>18/10/2016</stp>
        <stp>[Bbg_Market_Data_CL.xlsm]data!R120C18</stp>
        <tr r="R120" s="1"/>
      </tp>
      <tp>
        <v>33.82</v>
        <stp/>
        <stp>##V3_BDHV12</stp>
        <stp>CL2 Comdty</stp>
        <stp>VOLATILITY_30D</stp>
        <stp>28/10/2016</stp>
        <stp>28/10/2016</stp>
        <stp>[Bbg_Market_Data_CL.xlsm]data!R112C18</stp>
        <tr r="R112" s="1"/>
      </tp>
      <tp t="s">
        <v>#N/A Requesting Data...</v>
        <stp/>
        <stp>##V3_BDHV12</stp>
        <stp>CL1 Comdty</stp>
        <stp>VOLATILITY_30D</stp>
        <stp>08/11/2016</stp>
        <stp>08/11/2016</stp>
        <stp>[Bbg_Market_Data_CL.xlsm]data!R105C18</stp>
        <tr r="R105" s="1"/>
      </tp>
      <tp t="s">
        <v>#N/A Requesting Data...</v>
        <stp/>
        <stp>##V3_BDHV12</stp>
        <stp>CL1 Comdty</stp>
        <stp>VOLATILITY_10D</stp>
        <stp>08/03/2016</stp>
        <stp>08/03/2016</stp>
        <stp>[Bbg_Market_Data_CL.xlsm]data!R274C17</stp>
        <tr r="Q274" s="1"/>
      </tp>
      <tp>
        <v>66.38</v>
        <stp/>
        <stp>##V3_BDHV12</stp>
        <stp>CL2 Comdty</stp>
        <stp>VOLATILITY_30D</stp>
        <stp>08/02/2016</stp>
        <stp>08/02/2016</stp>
        <stp>[Bbg_Market_Data_CL.xlsm]data!R293C18</stp>
        <tr r="R293" s="1"/>
      </tp>
      <tp t="s">
        <v>#N/A Requesting Data...</v>
        <stp/>
        <stp>##V3_BDHV12</stp>
        <stp>CL1 Comdty</stp>
        <stp>VOLATILITY_30D</stp>
        <stp>28/03/2016</stp>
        <stp>28/03/2016</stp>
        <stp>[Bbg_Market_Data_CL.xlsm]data!R261C18</stp>
        <tr r="R261" s="1"/>
      </tp>
      <tp>
        <v>59.73</v>
        <stp/>
        <stp>##V3_BDHV12</stp>
        <stp>CL2 Comdty</stp>
        <stp>VOLATILITY_30D</stp>
        <stp>18/03/2016</stp>
        <stp>18/03/2016</stp>
        <stp>[Bbg_Market_Data_CL.xlsm]data!R266C18</stp>
        <tr r="R266" s="1"/>
      </tp>
      <tp t="s">
        <v>#N/A Requesting Data...</v>
        <stp/>
        <stp>##V3_BDHV12</stp>
        <stp>CL1 Comdty</stp>
        <stp>VOLATILITY_10D</stp>
        <stp>18/02/2016</stp>
        <stp>18/02/2016</stp>
        <stp>[Bbg_Market_Data_CL.xlsm]data!R287C17</stp>
        <tr r="Q287" s="1"/>
      </tp>
      <tp t="s">
        <v>#N/A Requesting Data...</v>
        <stp/>
        <stp>##V3_BDHV12</stp>
        <stp>CL1 Comdty</stp>
        <stp>VOLATILITY_30D</stp>
        <stp>19/01/2016</stp>
        <stp>19/01/2016</stp>
        <stp>[Bbg_Market_Data_CL.xlsm]data!R307C18</stp>
        <tr r="R307" s="1"/>
      </tp>
      <tp t="s">
        <v>#N/A Requesting Data...</v>
        <stp/>
        <stp>##V3_BDHV12</stp>
        <stp>CL1 Comdty</stp>
        <stp>VOLATILITY_10D</stp>
        <stp>28/01/2016</stp>
        <stp>28/01/2016</stp>
        <stp>[Bbg_Market_Data_CL.xlsm]data!R300C17</stp>
        <tr r="Q300" s="1"/>
      </tp>
      <tp t="s">
        <v>#N/A Requesting Data...</v>
        <stp/>
        <stp>##V3_BDHV12</stp>
        <stp>CL1 Comdty</stp>
        <stp>VOLATILITY_30D</stp>
        <stp>29/02/2016</stp>
        <stp>29/02/2016</stp>
        <stp>[Bbg_Market_Data_CL.xlsm]data!R280C18</stp>
        <tr r="R280" s="1"/>
      </tp>
      <tp>
        <v>76.459999999999994</v>
        <stp/>
        <stp>##V3_BDHV12</stp>
        <stp>CL2 Comdty</stp>
        <stp>VOLATILITY_30D</stp>
        <stp>19/02/2016</stp>
        <stp>19/02/2016</stp>
        <stp>[Bbg_Market_Data_CL.xlsm]data!R286C18</stp>
        <tr r="R286" s="1"/>
      </tp>
      <tp>
        <v>46.86</v>
        <stp/>
        <stp>##V3_BDHV12</stp>
        <stp>CL2 Comdty</stp>
        <stp>VOLATILITY_10D</stp>
        <stp>29/03/2016</stp>
        <stp>29/03/2016</stp>
        <stp>[Bbg_Market_Data_CL.xlsm]data!R260C17</stp>
        <tr r="Q260" s="1"/>
      </tp>
      <tp>
        <v>60.56</v>
        <stp/>
        <stp>##V3_BDHV12</stp>
        <stp>CL2 Comdty</stp>
        <stp>VOLATILITY_30D</stp>
        <stp>29/01/2016</stp>
        <stp>29/01/2016</stp>
        <stp>[Bbg_Market_Data_CL.xlsm]data!R299C18</stp>
        <tr r="R299" s="1"/>
      </tp>
      <tp t="s">
        <v>#N/A Requesting Data...</v>
        <stp/>
        <stp>##V3_BDHV12</stp>
        <stp>CL1 Comdty</stp>
        <stp>VOLATILITY_10D</stp>
        <stp>09/02/2016</stp>
        <stp>09/02/2016</stp>
        <stp>[Bbg_Market_Data_CL.xlsm]data!R292C17</stp>
        <tr r="Q292" s="1"/>
      </tp>
      <tp>
        <v>64.930000000000007</v>
        <stp/>
        <stp>##V3_BDHV12</stp>
        <stp>CL2 Comdty</stp>
        <stp>VOLATILITY_30D</stp>
        <stp>09/03/2016</stp>
        <stp>09/03/2016</stp>
        <stp>[Bbg_Market_Data_CL.xlsm]data!R273C18</stp>
        <tr r="R273" s="1"/>
      </tp>
      <tp t="s">
        <v>#N/A Requesting Data...</v>
        <stp/>
        <stp>##V3_BDHV12</stp>
        <stp>CL1 Comdty</stp>
        <stp>VOLATILITY_30D</stp>
        <stp>08/01/2016</stp>
        <stp>08/01/2016</stp>
        <stp>[Bbg_Market_Data_CL.xlsm]data!R313C18</stp>
        <tr r="R313" s="1"/>
      </tp>
      <tp t="s">
        <v>#N/A Requesting Data...</v>
        <stp/>
        <stp>##V3_BDHV12</stp>
        <stp>CL2 Comdty</stp>
        <stp>VOLATILITY_10D</stp>
        <stp>03/08/2015</stp>
        <stp>03/08/2015</stp>
        <stp>[Bbg_Market_Data_CL.xlsm]data!R421C17</stp>
        <tr r="Q421" s="1"/>
      </tp>
      <tp t="s">
        <v>#N/A Requesting Data...</v>
        <stp/>
        <stp>##V3_BDHV12</stp>
        <stp>CL1 Comdty</stp>
        <stp>VOLATILITY_30D</stp>
        <stp>13/08/2015</stp>
        <stp>13/08/2015</stp>
        <stp>[Bbg_Market_Data_CL.xlsm]data!R413C18</stp>
        <tr r="R413" s="1"/>
      </tp>
      <tp>
        <v>38.25</v>
        <stp/>
        <stp>##V3_BDHV12</stp>
        <stp>CL2 Comdty</stp>
        <stp>VOLATILITY_10D</stp>
        <stp>12/08/2015</stp>
        <stp>12/08/2015</stp>
        <stp>[Bbg_Market_Data_CL.xlsm]data!R414C17</stp>
        <tr r="Q414" s="1"/>
      </tp>
      <tp t="s">
        <v>#N/A Requesting Data...</v>
        <stp/>
        <stp>##V3_BDHV12</stp>
        <stp>CL1 Comdty</stp>
        <stp>VOLATILITY_10D</stp>
        <stp>11/08/2015</stp>
        <stp>11/08/2015</stp>
        <stp>[Bbg_Market_Data_CL.xlsm]data!R415C17</stp>
        <tr r="Q415" s="1"/>
      </tp>
      <tp t="s">
        <v>#N/A Requesting Data...</v>
        <stp/>
        <stp>##V3_BDHV12</stp>
        <stp>CL1 Comdty</stp>
        <stp>VOLATILITY_10D</stp>
        <stp>01/09/2015</stp>
        <stp>01/09/2015</stp>
        <stp>[Bbg_Market_Data_CL.xlsm]data!R400C17</stp>
        <tr r="Q400" s="1"/>
      </tp>
      <tp>
        <v>33.619999999999997</v>
        <stp/>
        <stp>##V3_BDHV12</stp>
        <stp>CL2 Comdty</stp>
        <stp>VOLATILITY_10D</stp>
        <stp>21/08/2015</stp>
        <stp>21/08/2015</stp>
        <stp>[Bbg_Market_Data_CL.xlsm]data!R407C17</stp>
        <tr r="Q407" s="1"/>
      </tp>
      <tp t="s">
        <v>#N/A Requesting Data...</v>
        <stp/>
        <stp>##V3_BDHV12</stp>
        <stp>CL1 Comdty</stp>
        <stp>VOLATILITY_30D</stp>
        <stp>31/08/2015</stp>
        <stp>31/08/2015</stp>
        <stp>[Bbg_Market_Data_CL.xlsm]data!R401C18</stp>
        <tr r="R401" s="1"/>
      </tp>
      <tp t="s">
        <v>#N/A Requesting Data...</v>
        <stp/>
        <stp>##V3_BDHV12</stp>
        <stp>CL1 Comdty</stp>
        <stp>VOLATILITY_30D</stp>
        <stp>20/08/2015</stp>
        <stp>20/08/2015</stp>
        <stp>[Bbg_Market_Data_CL.xlsm]data!R408C18</stp>
        <tr r="R408" s="1"/>
      </tp>
      <tp>
        <v>36.700000000000003</v>
        <stp/>
        <stp>##V3_BDHV12</stp>
        <stp>CL2 Comdty</stp>
        <stp>VOLATILITY_30D</stp>
        <stp>10/08/2015</stp>
        <stp>10/08/2015</stp>
        <stp>[Bbg_Market_Data_CL.xlsm]data!R416C18</stp>
        <tr r="R416" s="1"/>
      </tp>
      <tp>
        <v>37.6</v>
        <stp/>
        <stp>##V3_BDHV12</stp>
        <stp>CL2 Comdty</stp>
        <stp>VOLATILITY_10D</stp>
        <stp>01/09/2016</stp>
        <stp>01/09/2016</stp>
        <stp>[Bbg_Market_Data_CL.xlsm]data!R151C17</stp>
        <tr r="Q151" s="1"/>
      </tp>
      <tp t="s">
        <v>#N/A Requesting Data...</v>
        <stp/>
        <stp>##V3_BDHV12</stp>
        <stp>CL1 Comdty</stp>
        <stp>VOLATILITY_30D</stp>
        <stp>30/09/2015</stp>
        <stp>30/09/2015</stp>
        <stp>[Bbg_Market_Data_CL.xlsm]data!R380C18</stp>
        <tr r="R380" s="1"/>
      </tp>
      <tp>
        <v>44.07</v>
        <stp/>
        <stp>##V3_BDHV12</stp>
        <stp>CL2 Comdty</stp>
        <stp>VOLATILITY_10D</stp>
        <stp>11/08/2016</stp>
        <stp>11/08/2016</stp>
        <stp>[Bbg_Market_Data_CL.xlsm]data!R166C17</stp>
        <tr r="Q166" s="1"/>
      </tp>
      <tp t="s">
        <v>#N/A Requesting Data...</v>
        <stp/>
        <stp>##V3_BDHV12</stp>
        <stp>CL1 Comdty</stp>
        <stp>VOLATILITY_10D</stp>
        <stp>10/09/2015</stp>
        <stp>10/09/2015</stp>
        <stp>[Bbg_Market_Data_CL.xlsm]data!R394C17</stp>
        <tr r="Q394" s="1"/>
      </tp>
      <tp t="s">
        <v>#N/A Requesting Data...</v>
        <stp/>
        <stp>##V3_BDHV12</stp>
        <stp>CL1 Comdty</stp>
        <stp>VOLATILITY_30D</stp>
        <stp>01/08/2016</stp>
        <stp>01/08/2016</stp>
        <stp>[Bbg_Market_Data_CL.xlsm]data!R173C18</stp>
        <tr r="R173" s="1"/>
      </tp>
      <tp>
        <v>37.18</v>
        <stp/>
        <stp>##V3_BDHV12</stp>
        <stp>CL2 Comdty</stp>
        <stp>VOLATILITY_30D</stp>
        <stp>31/08/2016</stp>
        <stp>31/08/2016</stp>
        <stp>[Bbg_Market_Data_CL.xlsm]data!R152C18</stp>
        <tr r="R152" s="1"/>
      </tp>
      <tp>
        <v>41.19</v>
        <stp/>
        <stp>##V3_BDHV12</stp>
        <stp>CL2 Comdty</stp>
        <stp>VOLATILITY_30D</stp>
        <stp>21/09/2016</stp>
        <stp>21/09/2016</stp>
        <stp>[Bbg_Market_Data_CL.xlsm]data!R138C18</stp>
        <tr r="R138" s="1"/>
      </tp>
      <tp t="s">
        <v>#N/A Requesting Data...</v>
        <stp/>
        <stp>##V3_BDHV12</stp>
        <stp>CL1 Comdty</stp>
        <stp>VOLATILITY_10D</stp>
        <stp>20/09/2016</stp>
        <stp>20/09/2016</stp>
        <stp>[Bbg_Market_Data_CL.xlsm]data!R139C17</stp>
        <tr r="Q139" s="1"/>
      </tp>
      <tp t="s">
        <v>#N/A Requesting Data...</v>
        <stp/>
        <stp>##V3_BDHV12</stp>
        <stp>CL1 Comdty</stp>
        <stp>VOLATILITY_10D</stp>
        <stp>30/08/2016</stp>
        <stp>30/08/2016</stp>
        <stp>[Bbg_Market_Data_CL.xlsm]data!R153C17</stp>
        <tr r="Q153" s="1"/>
      </tp>
      <tp t="s">
        <v>#N/A Requesting Data...</v>
        <stp/>
        <stp>##V3_BDHV12</stp>
        <stp>CL1 Comdty</stp>
        <stp>VOLATILITY_30D</stp>
        <stp>21/09/2015</stp>
        <stp>21/09/2015</stp>
        <stp>[Bbg_Market_Data_CL.xlsm]data!R387C18</stp>
        <tr r="R387" s="1"/>
      </tp>
      <tp>
        <v>62.76</v>
        <stp/>
        <stp>##V3_BDHV12</stp>
        <stp>CL2 Comdty</stp>
        <stp>VOLATILITY_30D</stp>
        <stp>11/09/2015</stp>
        <stp>11/09/2015</stp>
        <stp>[Bbg_Market_Data_CL.xlsm]data!R393C18</stp>
        <tr r="R393" s="1"/>
      </tp>
      <tp t="s">
        <v>#N/A Requesting Data...</v>
        <stp/>
        <stp>##V3_BDHV12</stp>
        <stp>CL1 Comdty</stp>
        <stp>VOLATILITY_30D</stp>
        <stp>10/08/2016</stp>
        <stp>10/08/2016</stp>
        <stp>[Bbg_Market_Data_CL.xlsm]data!R167C18</stp>
        <tr r="R167" s="1"/>
      </tp>
      <tp>
        <v>44.36</v>
        <stp/>
        <stp>##V3_BDHV12</stp>
        <stp>CL2 Comdty</stp>
        <stp>VOLATILITY_30D</stp>
        <stp>30/09/2016</stp>
        <stp>30/09/2016</stp>
        <stp>[Bbg_Market_Data_CL.xlsm]data!R131C18</stp>
        <tr r="R131" s="1"/>
      </tp>
      <tp>
        <v>43.45</v>
        <stp/>
        <stp>##V3_BDHV12</stp>
        <stp>CL2 Comdty</stp>
        <stp>VOLATILITY_10D</stp>
        <stp>23/09/2016</stp>
        <stp>23/09/2016</stp>
        <stp>[Bbg_Market_Data_CL.xlsm]data!R136C17</stp>
        <tr r="Q136" s="1"/>
      </tp>
      <tp t="s">
        <v>#N/A Requesting Data...</v>
        <stp/>
        <stp>##V3_BDHV12</stp>
        <stp>CL1 Comdty</stp>
        <stp>VOLATILITY_10D</stp>
        <stp>13/09/2016</stp>
        <stp>13/09/2016</stp>
        <stp>[Bbg_Market_Data_CL.xlsm]data!R144C17</stp>
        <tr r="Q144" s="1"/>
      </tp>
      <tp t="s">
        <v>#N/A Requesting Data...</v>
        <stp/>
        <stp>##V3_BDHV12</stp>
        <stp>CL1 Comdty</stp>
        <stp>VOLATILITY_10D</stp>
        <stp>03/08/2016</stp>
        <stp>03/08/2016</stp>
        <stp>[Bbg_Market_Data_CL.xlsm]data!R171C17</stp>
        <tr r="Q171" s="1"/>
      </tp>
      <tp>
        <v>64.7</v>
        <stp/>
        <stp>##V3_BDHV12</stp>
        <stp>CL2 Comdty</stp>
        <stp>VOLATILITY_30D</stp>
        <stp>22/09/2015</stp>
        <stp>22/09/2015</stp>
        <stp>[Bbg_Market_Data_CL.xlsm]data!R386C18</stp>
        <tr r="R386" s="1"/>
      </tp>
      <tp>
        <v>96.86</v>
        <stp/>
        <stp>##V3_BDHV12</stp>
        <stp>CL2 Comdty</stp>
        <stp>VOLATILITY_10D</stp>
        <stp>02/09/2015</stp>
        <stp>02/09/2015</stp>
        <stp>[Bbg_Market_Data_CL.xlsm]data!R399C17</stp>
        <tr r="Q399" s="1"/>
      </tp>
      <tp t="s">
        <v>#N/A Requesting Data...</v>
        <stp/>
        <stp>##V3_BDHV12</stp>
        <stp>CL1 Comdty</stp>
        <stp>VOLATILITY_30D</stp>
        <stp>23/08/2016</stp>
        <stp>23/08/2016</stp>
        <stp>[Bbg_Market_Data_CL.xlsm]data!R158C18</stp>
        <tr r="R158" s="1"/>
      </tp>
      <tp>
        <v>40.340000000000003</v>
        <stp/>
        <stp>##V3_BDHV12</stp>
        <stp>CL2 Comdty</stp>
        <stp>VOLATILITY_10D</stp>
        <stp>22/08/2016</stp>
        <stp>22/08/2016</stp>
        <stp>[Bbg_Market_Data_CL.xlsm]data!R159C17</stp>
        <tr r="Q159" s="1"/>
      </tp>
      <tp t="s">
        <v>#N/A Requesting Data...</v>
        <stp/>
        <stp>##V3_BDHV12</stp>
        <stp>CL1 Comdty</stp>
        <stp>VOLATILITY_10D</stp>
        <stp>02/09/2016</stp>
        <stp>02/09/2016</stp>
        <stp>[Bbg_Market_Data_CL.xlsm]data!R150C17</stp>
        <tr r="Q150" s="1"/>
      </tp>
      <tp t="s">
        <v>#N/A Requesting Data...</v>
        <stp/>
        <stp>##V3_BDHV12</stp>
        <stp>CL1 Comdty</stp>
        <stp>VOLATILITY_30D</stp>
        <stp>03/09/2015</stp>
        <stp>03/09/2015</stp>
        <stp>[Bbg_Market_Data_CL.xlsm]data!R398C18</stp>
        <tr r="R398" s="1"/>
      </tp>
      <tp t="s">
        <v>#N/A Requesting Data...</v>
        <stp/>
        <stp>##V3_BDHV12</stp>
        <stp>CL1 Comdty</stp>
        <stp>VOLATILITY_10D</stp>
        <stp>12/08/2016</stp>
        <stp>12/08/2016</stp>
        <stp>[Bbg_Market_Data_CL.xlsm]data!R165C17</stp>
        <tr r="Q165" s="1"/>
      </tp>
      <tp>
        <v>42.35</v>
        <stp/>
        <stp>##V3_BDHV12</stp>
        <stp>CL2 Comdty</stp>
        <stp>VOLATILITY_30D</stp>
        <stp>02/08/2016</stp>
        <stp>02/08/2016</stp>
        <stp>[Bbg_Market_Data_CL.xlsm]data!R172C18</stp>
        <tr r="R172" s="1"/>
      </tp>
      <tp t="s">
        <v>#N/A Requesting Data...</v>
        <stp/>
        <stp>##V3_BDHV12</stp>
        <stp>CL1 Comdty</stp>
        <stp>VOLATILITY_10D</stp>
        <stp>23/09/2015</stp>
        <stp>23/09/2015</stp>
        <stp>[Bbg_Market_Data_CL.xlsm]data!R385C17</stp>
        <tr r="Q385" s="1"/>
      </tp>
      <tp>
        <v>39.840000000000003</v>
        <stp/>
        <stp>##V3_BDHV12</stp>
        <stp>CL2 Comdty</stp>
        <stp>VOLATILITY_30D</stp>
        <stp>12/09/2016</stp>
        <stp>12/09/2016</stp>
        <stp>[Bbg_Market_Data_CL.xlsm]data!R145C18</stp>
        <tr r="R145" s="1"/>
      </tp>
      <tp t="s">
        <v>#N/A Requesting Data...</v>
        <stp/>
        <stp>##V3_BDHV12</stp>
        <stp>CL1 Comdty</stp>
        <stp>VOLATILITY_30D</stp>
        <stp>22/09/2016</stp>
        <stp>22/09/2016</stp>
        <stp>[Bbg_Market_Data_CL.xlsm]data!R137C18</stp>
        <tr r="R137" s="1"/>
      </tp>
      <tp t="s">
        <v>#N/A Requesting Data...</v>
        <stp/>
        <stp>##V3_BDHV12</stp>
        <stp>CL1 Comdty</stp>
        <stp>PX_LOW</stp>
        <stp>23/10/2015</stp>
        <stp>23/10/2015</stp>
        <stp>[Bbg_Market_Data_CL.xlsm]data!R364C7</stp>
        <tr r="G364" s="1"/>
      </tp>
      <tp>
        <v>46.86</v>
        <stp/>
        <stp>##V3_BDHV12</stp>
        <stp>CL2 Comdty</stp>
        <stp>PX_LOW</stp>
        <stp>03/11/2015</stp>
        <stp>03/11/2015</stp>
        <stp>[Bbg_Market_Data_CL.xlsm]data!R357C7</stp>
        <tr r="G357" s="1"/>
      </tp>
      <tp>
        <v>30.79</v>
        <stp/>
        <stp>##V3_BDHV12</stp>
        <stp>CL2 Comdty</stp>
        <stp>PX_LOW</stp>
        <stp>22/01/2016</stp>
        <stp>22/01/2016</stp>
        <stp>[Bbg_Market_Data_CL.xlsm]data!R304C7</stp>
        <tr r="G304" s="1"/>
      </tp>
      <tp>
        <v>49.91</v>
        <stp/>
        <stp>##V3_BDHV12</stp>
        <stp>CL2 Comdty</stp>
        <stp>PX_LOW</stp>
        <stp>07/06/2016</stp>
        <stp>07/06/2016</stp>
        <stp>[Bbg_Market_Data_CL.xlsm]data!R211C7</stp>
        <tr r="G211" s="1"/>
      </tp>
      <tp t="s">
        <v>#N/A Requesting Data...</v>
        <stp/>
        <stp>##V3_BDHV12</stp>
        <stp>CL2 Comdty</stp>
        <stp>PX_LOW</stp>
        <stp>05/06/2015</stp>
        <stp>05/06/2015</stp>
        <stp>[Bbg_Market_Data_CL.xlsm]data!R461C7</stp>
        <tr r="G461" s="1"/>
      </tp>
      <tp t="s">
        <v>#N/A Requesting Data...</v>
        <stp/>
        <stp>##V3_BDHV12</stp>
        <stp>CL1 Comdty</stp>
        <stp>PX_LOW</stp>
        <stp>07/07/2015</stp>
        <stp>07/07/2015</stp>
        <stp>[Bbg_Market_Data_CL.xlsm]data!R440C7</stp>
        <tr r="G440" s="1"/>
      </tp>
      <tp>
        <v>41.37</v>
        <stp/>
        <stp>##V3_BDHV12</stp>
        <stp>CL2 Comdty</stp>
        <stp>PX_LOW</stp>
        <stp>20/11/2015</stp>
        <stp>20/11/2015</stp>
        <stp>[Bbg_Market_Data_CL.xlsm]data!R345C7</stp>
        <tr r="G345" s="1"/>
      </tp>
      <tp t="s">
        <v>#N/A Requesting Data...</v>
        <stp/>
        <stp>##V3_BDHV12</stp>
        <stp>CL2 Comdty</stp>
        <stp>PX_LOW</stp>
        <stp>06/05/2015</stp>
        <stp>06/05/2015</stp>
        <stp>[Bbg_Market_Data_CL.xlsm]data!R482C7</stp>
        <tr r="G482" s="1"/>
      </tp>
      <tp t="s">
        <v>#N/A Requesting Data...</v>
        <stp/>
        <stp>##V3_BDHV12</stp>
        <stp>CL1 Comdty</stp>
        <stp>PX_LOW</stp>
        <stp>24/05/2016</stp>
        <stp>24/05/2016</stp>
        <stp>[Bbg_Market_Data_CL.xlsm]data!R220C7</stp>
        <tr r="G220" s="1"/>
      </tp>
      <tp>
        <v>45.57</v>
        <stp/>
        <stp>##V3_BDHV12</stp>
        <stp>CL2 Comdty</stp>
        <stp>PX_LOW</stp>
        <stp>07/07/2016</stp>
        <stp>07/07/2016</stp>
        <stp>[Bbg_Market_Data_CL.xlsm]data!R190C7</stp>
        <tr r="G190" s="1"/>
      </tp>
      <tp t="s">
        <v>#N/A Requesting Data...</v>
        <stp/>
        <stp>##V3_BDHV12</stp>
        <stp>CL1 Comdty</stp>
        <stp>PX_LOW</stp>
        <stp>25/04/2016</stp>
        <stp>25/04/2016</stp>
        <stp>[Bbg_Market_Data_CL.xlsm]data!R241C7</stp>
        <tr r="G241" s="1"/>
      </tp>
      <tp t="s">
        <v>#N/A Requesting Data...</v>
        <stp/>
        <stp>##V3_BDHV12</stp>
        <stp>CL1 Comdty</stp>
        <stp>PX_LOW</stp>
        <stp>06/05/2016</stp>
        <stp>06/05/2016</stp>
        <stp>[Bbg_Market_Data_CL.xlsm]data!R232C7</stp>
        <tr r="G232" s="1"/>
      </tp>
      <tp t="s">
        <v>#N/A Requesting Data...</v>
        <stp/>
        <stp>##V3_BDHV12</stp>
        <stp>CL1 Comdty</stp>
        <stp>PX_LOW</stp>
        <stp>07/04/2016</stp>
        <stp>07/04/2016</stp>
        <stp>[Bbg_Market_Data_CL.xlsm]data!R253C7</stp>
        <tr r="G253" s="1"/>
      </tp>
      <tp t="s">
        <v>#N/A Requesting Data...</v>
        <stp/>
        <stp>##V3_BDHV12</stp>
        <stp>CL1 Comdty</stp>
        <stp>PX_LOW</stp>
        <stp>05/06/2015</stp>
        <stp>05/06/2015</stp>
        <stp>[Bbg_Market_Data_CL.xlsm]data!R461C7</stp>
        <tr r="G461" s="1"/>
      </tp>
      <tp t="s">
        <v>#N/A Requesting Data...</v>
        <stp/>
        <stp>##V3_BDHV12</stp>
        <stp>CL2 Comdty</stp>
        <stp>PX_LOW</stp>
        <stp>07/07/2015</stp>
        <stp>07/07/2015</stp>
        <stp>[Bbg_Market_Data_CL.xlsm]data!R440C7</stp>
        <tr r="G440" s="1"/>
      </tp>
      <tp t="s">
        <v>#N/A Requesting Data...</v>
        <stp/>
        <stp>##V3_BDHV12</stp>
        <stp>CL1 Comdty</stp>
        <stp>PX_LOW</stp>
        <stp>20/11/2015</stp>
        <stp>20/11/2015</stp>
        <stp>[Bbg_Market_Data_CL.xlsm]data!R345C7</stp>
        <tr r="G345" s="1"/>
      </tp>
      <tp t="s">
        <v>#N/A Requesting Data...</v>
        <stp/>
        <stp>##V3_BDHV12</stp>
        <stp>CL1 Comdty</stp>
        <stp>PX_LOW</stp>
        <stp>06/05/2015</stp>
        <stp>06/05/2015</stp>
        <stp>[Bbg_Market_Data_CL.xlsm]data!R482C7</stp>
        <tr r="G482" s="1"/>
      </tp>
      <tp>
        <v>48.13</v>
        <stp/>
        <stp>##V3_BDHV12</stp>
        <stp>CL2 Comdty</stp>
        <stp>PX_LOW</stp>
        <stp>24/05/2016</stp>
        <stp>24/05/2016</stp>
        <stp>[Bbg_Market_Data_CL.xlsm]data!R220C7</stp>
        <tr r="G220" s="1"/>
      </tp>
      <tp t="s">
        <v>#N/A Requesting Data...</v>
        <stp/>
        <stp>##V3_BDHV12</stp>
        <stp>CL1 Comdty</stp>
        <stp>PX_LOW</stp>
        <stp>07/07/2016</stp>
        <stp>07/07/2016</stp>
        <stp>[Bbg_Market_Data_CL.xlsm]data!R190C7</stp>
        <tr r="G190" s="1"/>
      </tp>
      <tp>
        <v>43.53</v>
        <stp/>
        <stp>##V3_BDHV12</stp>
        <stp>CL2 Comdty</stp>
        <stp>PX_LOW</stp>
        <stp>25/04/2016</stp>
        <stp>25/04/2016</stp>
        <stp>[Bbg_Market_Data_CL.xlsm]data!R241C7</stp>
        <tr r="G241" s="1"/>
      </tp>
      <tp>
        <v>44.16</v>
        <stp/>
        <stp>##V3_BDHV12</stp>
        <stp>CL2 Comdty</stp>
        <stp>PX_LOW</stp>
        <stp>06/05/2016</stp>
        <stp>06/05/2016</stp>
        <stp>[Bbg_Market_Data_CL.xlsm]data!R232C7</stp>
        <tr r="G232" s="1"/>
      </tp>
      <tp>
        <v>37.94</v>
        <stp/>
        <stp>##V3_BDHV12</stp>
        <stp>CL2 Comdty</stp>
        <stp>PX_LOW</stp>
        <stp>07/04/2016</stp>
        <stp>07/04/2016</stp>
        <stp>[Bbg_Market_Data_CL.xlsm]data!R253C7</stp>
        <tr r="G253" s="1"/>
      </tp>
      <tp>
        <v>45.01</v>
        <stp/>
        <stp>##V3_BDHV12</stp>
        <stp>CL2 Comdty</stp>
        <stp>PX_LOW</stp>
        <stp>23/10/2015</stp>
        <stp>23/10/2015</stp>
        <stp>[Bbg_Market_Data_CL.xlsm]data!R364C7</stp>
        <tr r="G364" s="1"/>
      </tp>
      <tp t="s">
        <v>#N/A Requesting Data...</v>
        <stp/>
        <stp>##V3_BDHV12</stp>
        <stp>CL1 Comdty</stp>
        <stp>PX_LOW</stp>
        <stp>03/11/2015</stp>
        <stp>03/11/2015</stp>
        <stp>[Bbg_Market_Data_CL.xlsm]data!R357C7</stp>
        <tr r="G357" s="1"/>
      </tp>
      <tp t="s">
        <v>#N/A Requesting Data...</v>
        <stp/>
        <stp>##V3_BDHV12</stp>
        <stp>CL1 Comdty</stp>
        <stp>PX_LOW</stp>
        <stp>22/01/2016</stp>
        <stp>22/01/2016</stp>
        <stp>[Bbg_Market_Data_CL.xlsm]data!R304C7</stp>
        <tr r="G304" s="1"/>
      </tp>
      <tp t="s">
        <v>#N/A Requesting Data...</v>
        <stp/>
        <stp>##V3_BDHV12</stp>
        <stp>CL1 Comdty</stp>
        <stp>PX_LOW</stp>
        <stp>07/06/2016</stp>
        <stp>07/06/2016</stp>
        <stp>[Bbg_Market_Data_CL.xlsm]data!R211C7</stp>
        <tr r="G211" s="1"/>
      </tp>
      <tp>
        <v>46.26</v>
        <stp/>
        <stp>##V3_BDHV12</stp>
        <stp>CL2 Comdty</stp>
        <stp>PX_LOW</stp>
        <stp>06/10/2015</stp>
        <stp>06/10/2015</stp>
        <stp>[Bbg_Market_Data_CL.xlsm]data!R376C7</stp>
        <tr r="G376" s="1"/>
      </tp>
      <tp t="s">
        <v>#N/A Requesting Data...</v>
        <stp/>
        <stp>##V3_BDHV12</stp>
        <stp>CL1 Comdty</stp>
        <stp>PX_LOW</stp>
        <stp>04/02/2016</stp>
        <stp>04/02/2016</stp>
        <stp>[Bbg_Market_Data_CL.xlsm]data!R295C7</stp>
        <tr r="G295" s="1"/>
      </tp>
      <tp t="s">
        <v>#N/A Requesting Data...</v>
        <stp/>
        <stp>##V3_BDHV12</stp>
        <stp>CL1 Comdty</stp>
        <stp>PX_LOW</stp>
        <stp>23/04/2015</stp>
        <stp>23/04/2015</stp>
        <stp>[Bbg_Market_Data_CL.xlsm]data!R491C7</stp>
        <tr r="G491" s="1"/>
      </tp>
      <tp>
        <v>44.16</v>
        <stp/>
        <stp>##V3_BDHV12</stp>
        <stp>CL2 Comdty</stp>
        <stp>PX_LOW</stp>
        <stp>04/11/2016</stp>
        <stp>04/11/2016</stp>
        <stp>[Bbg_Market_Data_CL.xlsm]data!R107C7</stp>
        <tr r="G107" s="1"/>
      </tp>
      <tp t="s">
        <v>#N/A Requesting Data...</v>
        <stp/>
        <stp>##V3_BDHV12</stp>
        <stp>CL1 Comdty</stp>
        <stp>PX_LOW</stp>
        <stp>22/05/2015</stp>
        <stp>22/05/2015</stp>
        <stp>[Bbg_Market_Data_CL.xlsm]data!R470C7</stp>
        <tr r="G470" s="1"/>
      </tp>
      <tp t="s">
        <v>#N/A Requesting Data...</v>
        <stp/>
        <stp>##V3_BDHV12</stp>
        <stp>CL1 Comdty</stp>
        <stp>PX_LOW</stp>
        <stp>07/10/2016</stp>
        <stp>07/10/2016</stp>
        <stp>[Bbg_Market_Data_CL.xlsm]data!R126C7</stp>
        <tr r="G126" s="1"/>
      </tp>
      <tp>
        <v>36.979999999999997</v>
        <stp/>
        <stp>##V3_BDHV12</stp>
        <stp>CL2 Comdty</stp>
        <stp>PX_LOW</stp>
        <stp>05/01/2016</stp>
        <stp>05/01/2016</stp>
        <stp>[Bbg_Market_Data_CL.xlsm]data!R316C7</stp>
        <tr r="G316" s="1"/>
      </tp>
      <tp t="s">
        <v>#N/A Requesting Data...</v>
        <stp/>
        <stp>##V3_BDHV12</stp>
        <stp>CL1 Comdty</stp>
        <stp>PX_LOW</stp>
        <stp>30/07/2015</stp>
        <stp>30/07/2015</stp>
        <stp>[Bbg_Market_Data_CL.xlsm]data!R423C7</stp>
        <tr r="G423" s="1"/>
      </tp>
      <tp>
        <v>49.51</v>
        <stp/>
        <stp>##V3_BDHV12</stp>
        <stp>CL2 Comdty</stp>
        <stp>PX_LOW</stp>
        <stp>26/10/2016</stp>
        <stp>26/10/2016</stp>
        <stp>[Bbg_Market_Data_CL.xlsm]data!R114C7</stp>
        <tr r="G114" s="1"/>
      </tp>
      <tp>
        <v>49.96</v>
        <stp/>
        <stp>##V3_BDHV12</stp>
        <stp>CL2 Comdty</stp>
        <stp>PX_LOW</stp>
        <stp>07/10/2016</stp>
        <stp>07/10/2016</stp>
        <stp>[Bbg_Market_Data_CL.xlsm]data!R126C7</stp>
        <tr r="G126" s="1"/>
      </tp>
      <tp t="s">
        <v>#N/A Requesting Data...</v>
        <stp/>
        <stp>##V3_BDHV12</stp>
        <stp>CL1 Comdty</stp>
        <stp>PX_LOW</stp>
        <stp>05/01/2016</stp>
        <stp>05/01/2016</stp>
        <stp>[Bbg_Market_Data_CL.xlsm]data!R316C7</stp>
        <tr r="G316" s="1"/>
      </tp>
      <tp t="s">
        <v>#N/A Requesting Data...</v>
        <stp/>
        <stp>##V3_BDHV12</stp>
        <stp>CL2 Comdty</stp>
        <stp>PX_LOW</stp>
        <stp>30/07/2015</stp>
        <stp>30/07/2015</stp>
        <stp>[Bbg_Market_Data_CL.xlsm]data!R423C7</stp>
        <tr r="G423" s="1"/>
      </tp>
      <tp t="s">
        <v>#N/A Requesting Data...</v>
        <stp/>
        <stp>##V3_BDHV12</stp>
        <stp>CL1 Comdty</stp>
        <stp>PX_LOW</stp>
        <stp>26/10/2016</stp>
        <stp>26/10/2016</stp>
        <stp>[Bbg_Market_Data_CL.xlsm]data!R114C7</stp>
        <tr r="G114" s="1"/>
      </tp>
      <tp t="s">
        <v>#N/A Requesting Data...</v>
        <stp/>
        <stp>##V3_BDHV12</stp>
        <stp>CL1 Comdty</stp>
        <stp>PX_LOW</stp>
        <stp>06/10/2015</stp>
        <stp>06/10/2015</stp>
        <stp>[Bbg_Market_Data_CL.xlsm]data!R376C7</stp>
        <tr r="G376" s="1"/>
      </tp>
      <tp>
        <v>33.18</v>
        <stp/>
        <stp>##V3_BDHV12</stp>
        <stp>CL2 Comdty</stp>
        <stp>PX_LOW</stp>
        <stp>04/02/2016</stp>
        <stp>04/02/2016</stp>
        <stp>[Bbg_Market_Data_CL.xlsm]data!R295C7</stp>
        <tr r="G295" s="1"/>
      </tp>
      <tp t="s">
        <v>#N/A Requesting Data...</v>
        <stp/>
        <stp>##V3_BDHV12</stp>
        <stp>CL2 Comdty</stp>
        <stp>PX_LOW</stp>
        <stp>23/04/2015</stp>
        <stp>23/04/2015</stp>
        <stp>[Bbg_Market_Data_CL.xlsm]data!R491C7</stp>
        <tr r="G491" s="1"/>
      </tp>
      <tp t="s">
        <v>#N/A Requesting Data...</v>
        <stp/>
        <stp>##V3_BDHV12</stp>
        <stp>CL1 Comdty</stp>
        <stp>PX_LOW</stp>
        <stp>04/11/2016</stp>
        <stp>04/11/2016</stp>
        <stp>[Bbg_Market_Data_CL.xlsm]data!R107C7</stp>
        <tr r="G107" s="1"/>
      </tp>
      <tp t="s">
        <v>#N/A Requesting Data...</v>
        <stp/>
        <stp>##V3_BDHV12</stp>
        <stp>CL2 Comdty</stp>
        <stp>PX_LOW</stp>
        <stp>22/05/2015</stp>
        <stp>22/05/2015</stp>
        <stp>[Bbg_Market_Data_CL.xlsm]data!R470C7</stp>
        <tr r="G470" s="1"/>
      </tp>
      <tp>
        <v>29.35</v>
        <stp/>
        <stp>##V3_BDHV12</stp>
        <stp>CL2 Comdty</stp>
        <stp>PX_LOW</stp>
        <stp>19/01/2016</stp>
        <stp>19/01/2016</stp>
        <stp>[Bbg_Market_Data_CL.xlsm]data!R307C7</stp>
        <tr r="G307" s="1"/>
      </tp>
      <tp>
        <v>38.29</v>
        <stp/>
        <stp>##V3_BDHV12</stp>
        <stp>CL2 Comdty</stp>
        <stp>PX_LOW</stp>
        <stp>08/12/2015</stp>
        <stp>08/12/2015</stp>
        <stp>[Bbg_Market_Data_CL.xlsm]data!R334C7</stp>
        <tr r="G334" s="1"/>
      </tp>
      <tp t="s">
        <v>#N/A Requesting Data...</v>
        <stp/>
        <stp>##V3_BDHV12</stp>
        <stp>CL1 Comdty</stp>
        <stp>PX_LOW</stp>
        <stp>19/11/2015</stp>
        <stp>19/11/2015</stp>
        <stp>[Bbg_Market_Data_CL.xlsm]data!R346C7</stp>
        <tr r="G346" s="1"/>
      </tp>
      <tp t="s">
        <v>#N/A Requesting Data...</v>
        <stp/>
        <stp>##V3_BDHV12</stp>
        <stp>CL1 Comdty</stp>
        <stp>PX_LOW</stp>
        <stp>08/03/2016</stp>
        <stp>08/03/2016</stp>
        <stp>[Bbg_Market_Data_CL.xlsm]data!R274C7</stp>
        <tr r="G274" s="1"/>
      </tp>
      <tp>
        <v>38.03</v>
        <stp/>
        <stp>##V3_BDHV12</stp>
        <stp>CL2 Comdty</stp>
        <stp>PX_LOW</stp>
        <stp>08/03/2016</stp>
        <stp>08/03/2016</stp>
        <stp>[Bbg_Market_Data_CL.xlsm]data!R274C7</stp>
        <tr r="G274" s="1"/>
      </tp>
      <tp t="s">
        <v>#N/A Requesting Data...</v>
        <stp/>
        <stp>##V3_BDHV12</stp>
        <stp>CL1 Comdty</stp>
        <stp>PX_LOW</stp>
        <stp>19/01/2016</stp>
        <stp>19/01/2016</stp>
        <stp>[Bbg_Market_Data_CL.xlsm]data!R307C7</stp>
        <tr r="G307" s="1"/>
      </tp>
      <tp t="s">
        <v>#N/A Requesting Data...</v>
        <stp/>
        <stp>##V3_BDHV12</stp>
        <stp>CL1 Comdty</stp>
        <stp>PX_LOW</stp>
        <stp>08/12/2015</stp>
        <stp>08/12/2015</stp>
        <stp>[Bbg_Market_Data_CL.xlsm]data!R334C7</stp>
        <tr r="G334" s="1"/>
      </tp>
      <tp>
        <v>41.25</v>
        <stp/>
        <stp>##V3_BDHV12</stp>
        <stp>CL2 Comdty</stp>
        <stp>PX_LOW</stp>
        <stp>19/11/2015</stp>
        <stp>19/11/2015</stp>
        <stp>[Bbg_Market_Data_CL.xlsm]data!R346C7</stp>
        <tr r="G346" s="1"/>
      </tp>
      <tp>
        <v>47.26</v>
        <stp/>
        <stp>##V3_BDHV12</stp>
        <stp>CL2 Comdty</stp>
        <stp>PX_LOW</stp>
        <stp>19/05/2016</stp>
        <stp>19/05/2016</stp>
        <stp>[Bbg_Market_Data_CL.xlsm]data!R223C7</stp>
        <tr r="G223" s="1"/>
      </tp>
      <tp t="s">
        <v>#N/A Requesting Data...</v>
        <stp/>
        <stp>##V3_BDHV12</stp>
        <stp>CL1 Comdty</stp>
        <stp>PX_LOW</stp>
        <stp>19/05/2015</stp>
        <stp>19/05/2015</stp>
        <stp>[Bbg_Market_Data_CL.xlsm]data!R473C7</stp>
        <tr r="G473" s="1"/>
      </tp>
      <tp t="s">
        <v>#N/A Requesting Data...</v>
        <stp/>
        <stp>##V3_BDHV12</stp>
        <stp>CL1 Comdty</stp>
        <stp>PX_LOW</stp>
        <stp>19/05/2016</stp>
        <stp>19/05/2016</stp>
        <stp>[Bbg_Market_Data_CL.xlsm]data!R223C7</stp>
        <tr r="G223" s="1"/>
      </tp>
      <tp t="s">
        <v>#N/A Requesting Data...</v>
        <stp/>
        <stp>##V3_BDHV12</stp>
        <stp>CL2 Comdty</stp>
        <stp>PX_LOW</stp>
        <stp>19/05/2015</stp>
        <stp>19/05/2015</stp>
        <stp>[Bbg_Market_Data_CL.xlsm]data!R473C7</stp>
        <tr r="G473" s="1"/>
      </tp>
      <tp>
        <v>40.32</v>
        <stp/>
        <stp>##V3_BDHV12</stp>
        <stp>CL2 Comdty</stp>
        <stp>VOLATILITY_10D</stp>
        <stp>08/12/2015</stp>
        <stp>08/12/2015</stp>
        <stp>[Bbg_Market_Data_CL.xlsm]data!R334C17</stp>
        <tr r="Q334" s="1"/>
      </tp>
      <tp>
        <v>42.44</v>
        <stp/>
        <stp>##V3_BDHV12</stp>
        <stp>CL2 Comdty</stp>
        <stp>VOLATILITY_10D</stp>
        <stp>28/10/2015</stp>
        <stp>28/10/2015</stp>
        <stp>[Bbg_Market_Data_CL.xlsm]data!R361C17</stp>
        <tr r="Q361" s="1"/>
      </tp>
      <tp>
        <v>56.42</v>
        <stp/>
        <stp>##V3_BDHV12</stp>
        <stp>CL2 Comdty</stp>
        <stp>VOLATILITY_30D</stp>
        <stp>08/10/2015</stp>
        <stp>08/10/2015</stp>
        <stp>[Bbg_Market_Data_CL.xlsm]data!R374C18</stp>
        <tr r="R374" s="1"/>
      </tp>
      <tp>
        <v>35.93</v>
        <stp/>
        <stp>##V3_BDHV12</stp>
        <stp>CL2 Comdty</stp>
        <stp>VOLATILITY_30D</stp>
        <stp>18/11/2015</stp>
        <stp>18/11/2015</stp>
        <stp>[Bbg_Market_Data_CL.xlsm]data!R347C18</stp>
        <tr r="R347" s="1"/>
      </tp>
      <tp>
        <v>39.99</v>
        <stp/>
        <stp>##V3_BDHV12</stp>
        <stp>CL2 Comdty</stp>
        <stp>VOLATILITY_30D</stp>
        <stp>28/12/2015</stp>
        <stp>28/12/2015</stp>
        <stp>[Bbg_Market_Data_CL.xlsm]data!R321C18</stp>
        <tr r="R321" s="1"/>
      </tp>
      <tp t="s">
        <v>#N/A Requesting Data...</v>
        <stp/>
        <stp>##V3_BDHV12</stp>
        <stp>CL1 Comdty</stp>
        <stp>VOLATILITY_30D</stp>
        <stp>18/12/2015</stp>
        <stp>18/12/2015</stp>
        <stp>[Bbg_Market_Data_CL.xlsm]data!R326C18</stp>
        <tr r="R326" s="1"/>
      </tp>
      <tp t="s">
        <v>#N/A Requesting Data...</v>
        <stp/>
        <stp>##V3_BDHV12</stp>
        <stp>CL1 Comdty</stp>
        <stp>VOLATILITY_30D</stp>
        <stp>19/10/2016</stp>
        <stp>19/10/2016</stp>
        <stp>[Bbg_Market_Data_CL.xlsm]data!R119C18</stp>
        <tr r="R119" s="1"/>
      </tp>
      <tp t="s">
        <v>#N/A Requesting Data...</v>
        <stp/>
        <stp>##V3_BDHV12</stp>
        <stp>CL1 Comdty</stp>
        <stp>VOLATILITY_30D</stp>
        <stp>09/11/2016</stp>
        <stp>09/11/2016</stp>
        <stp>[Bbg_Market_Data_CL.xlsm]data!R104C18</stp>
        <tr r="R104" s="1"/>
      </tp>
      <tp>
        <v>29.58</v>
        <stp/>
        <stp>##V3_BDHV12</stp>
        <stp>CL2 Comdty</stp>
        <stp>VOLATILITY_10D</stp>
        <stp>08/11/2016</stp>
        <stp>08/11/2016</stp>
        <stp>[Bbg_Market_Data_CL.xlsm]data!R105C17</stp>
        <tr r="Q105" s="1"/>
      </tp>
      <tp t="s">
        <v>#N/A Requesting Data...</v>
        <stp/>
        <stp>##V3_BDHV12</stp>
        <stp>CL1 Comdty</stp>
        <stp>VOLATILITY_10D</stp>
        <stp>28/10/2016</stp>
        <stp>28/10/2016</stp>
        <stp>[Bbg_Market_Data_CL.xlsm]data!R112C17</stp>
        <tr r="Q112" s="1"/>
      </tp>
      <tp t="s">
        <v>#N/A Requesting Data...</v>
        <stp/>
        <stp>##V3_BDHV12</stp>
        <stp>CL1 Comdty</stp>
        <stp>VOLATILITY_10D</stp>
        <stp>29/12/2015</stp>
        <stp>29/12/2015</stp>
        <stp>[Bbg_Market_Data_CL.xlsm]data!R320C17</stp>
        <tr r="Q320" s="1"/>
      </tp>
      <tp>
        <v>22.21</v>
        <stp/>
        <stp>##V3_BDHV12</stp>
        <stp>CL2 Comdty</stp>
        <stp>VOLATILITY_10D</stp>
        <stp>18/10/2016</stp>
        <stp>18/10/2016</stp>
        <stp>[Bbg_Market_Data_CL.xlsm]data!R120C17</stp>
        <tr r="Q120" s="1"/>
      </tp>
      <tp t="s">
        <v>#N/A Requesting Data...</v>
        <stp/>
        <stp>##V3_BDHV12</stp>
        <stp>CL1 Comdty</stp>
        <stp>VOLATILITY_10D</stp>
        <stp>19/11/2015</stp>
        <stp>19/11/2015</stp>
        <stp>[Bbg_Market_Data_CL.xlsm]data!R346C17</stp>
        <tr r="Q346" s="1"/>
      </tp>
      <tp t="s">
        <v>#N/A Requesting Data...</v>
        <stp/>
        <stp>##V3_BDHV12</stp>
        <stp>CL1 Comdty</stp>
        <stp>VOLATILITY_10D</stp>
        <stp>09/10/2015</stp>
        <stp>09/10/2015</stp>
        <stp>[Bbg_Market_Data_CL.xlsm]data!R373C17</stp>
        <tr r="Q373" s="1"/>
      </tp>
      <tp t="s">
        <v>#N/A Requesting Data...</v>
        <stp/>
        <stp>##V3_BDHV12</stp>
        <stp>CL1 Comdty</stp>
        <stp>VOLATILITY_30D</stp>
        <stp>29/10/2015</stp>
        <stp>29/10/2015</stp>
        <stp>[Bbg_Market_Data_CL.xlsm]data!R360C18</stp>
        <tr r="R360" s="1"/>
      </tp>
      <tp>
        <v>44.75</v>
        <stp/>
        <stp>##V3_BDHV12</stp>
        <stp>CL2 Comdty</stp>
        <stp>VOLATILITY_30D</stp>
        <stp>19/10/2015</stp>
        <stp>19/10/2015</stp>
        <stp>[Bbg_Market_Data_CL.xlsm]data!R368C18</stp>
        <tr r="R368" s="1"/>
      </tp>
      <tp>
        <v>38.409999999999997</v>
        <stp/>
        <stp>##V3_BDHV12</stp>
        <stp>CL2 Comdty</stp>
        <stp>VOLATILITY_30D</stp>
        <stp>09/11/2015</stp>
        <stp>09/11/2015</stp>
        <stp>[Bbg_Market_Data_CL.xlsm]data!R353C18</stp>
        <tr r="R353" s="1"/>
      </tp>
      <tp t="s">
        <v>#N/A Requesting Data...</v>
        <stp/>
        <stp>##V3_BDHV12</stp>
        <stp>CL1 Comdty</stp>
        <stp>VOLATILITY_30D</stp>
        <stp>09/12/2015</stp>
        <stp>09/12/2015</stp>
        <stp>[Bbg_Market_Data_CL.xlsm]data!R333C18</stp>
        <tr r="R333" s="1"/>
      </tp>
      <tp>
        <v>43.4</v>
        <stp/>
        <stp>##V3_BDHV12</stp>
        <stp>CL2 Comdty</stp>
        <stp>VOLATILITY_10D</stp>
        <stp>19/01/2016</stp>
        <stp>19/01/2016</stp>
        <stp>[Bbg_Market_Data_CL.xlsm]data!R307C17</stp>
        <tr r="Q307" s="1"/>
      </tp>
      <tp>
        <v>75.95</v>
        <stp/>
        <stp>##V3_BDHV12</stp>
        <stp>CL2 Comdty</stp>
        <stp>VOLATILITY_30D</stp>
        <stp>18/02/2016</stp>
        <stp>18/02/2016</stp>
        <stp>[Bbg_Market_Data_CL.xlsm]data!R287C18</stp>
        <tr r="R287" s="1"/>
      </tp>
      <tp>
        <v>45.77</v>
        <stp/>
        <stp>##V3_BDHV12</stp>
        <stp>CL2 Comdty</stp>
        <stp>VOLATILITY_10D</stp>
        <stp>28/03/2016</stp>
        <stp>28/03/2016</stp>
        <stp>[Bbg_Market_Data_CL.xlsm]data!R261C17</stp>
        <tr r="Q261" s="1"/>
      </tp>
      <tp t="s">
        <v>#N/A Requesting Data...</v>
        <stp/>
        <stp>##V3_BDHV12</stp>
        <stp>CL1 Comdty</stp>
        <stp>VOLATILITY_10D</stp>
        <stp>18/03/2016</stp>
        <stp>18/03/2016</stp>
        <stp>[Bbg_Market_Data_CL.xlsm]data!R266C17</stp>
        <tr r="Q266" s="1"/>
      </tp>
      <tp t="s">
        <v>#N/A Requesting Data...</v>
        <stp/>
        <stp>##V3_BDHV12</stp>
        <stp>CL1 Comdty</stp>
        <stp>VOLATILITY_10D</stp>
        <stp>08/02/2016</stp>
        <stp>08/02/2016</stp>
        <stp>[Bbg_Market_Data_CL.xlsm]data!R293C17</stp>
        <tr r="Q293" s="1"/>
      </tp>
      <tp>
        <v>64.27</v>
        <stp/>
        <stp>##V3_BDHV12</stp>
        <stp>CL2 Comdty</stp>
        <stp>VOLATILITY_30D</stp>
        <stp>08/03/2016</stp>
        <stp>08/03/2016</stp>
        <stp>[Bbg_Market_Data_CL.xlsm]data!R274C18</stp>
        <tr r="R274" s="1"/>
      </tp>
      <tp>
        <v>40.57</v>
        <stp/>
        <stp>##V3_BDHV12</stp>
        <stp>CL2 Comdty</stp>
        <stp>VOLATILITY_10D</stp>
        <stp>08/01/2016</stp>
        <stp>08/01/2016</stp>
        <stp>[Bbg_Market_Data_CL.xlsm]data!R313C17</stp>
        <tr r="Q313" s="1"/>
      </tp>
      <tp t="s">
        <v>#N/A Requesting Data...</v>
        <stp/>
        <stp>##V3_BDHV12</stp>
        <stp>CL1 Comdty</stp>
        <stp>VOLATILITY_10D</stp>
        <stp>09/03/2016</stp>
        <stp>09/03/2016</stp>
        <stp>[Bbg_Market_Data_CL.xlsm]data!R273C17</stp>
        <tr r="Q273" s="1"/>
      </tp>
      <tp>
        <v>67.95</v>
        <stp/>
        <stp>##V3_BDHV12</stp>
        <stp>CL2 Comdty</stp>
        <stp>VOLATILITY_30D</stp>
        <stp>09/02/2016</stp>
        <stp>09/02/2016</stp>
        <stp>[Bbg_Market_Data_CL.xlsm]data!R292C18</stp>
        <tr r="R292" s="1"/>
      </tp>
      <tp t="s">
        <v>#N/A Requesting Data...</v>
        <stp/>
        <stp>##V3_BDHV12</stp>
        <stp>CL1 Comdty</stp>
        <stp>VOLATILITY_30D</stp>
        <stp>29/03/2016</stp>
        <stp>29/03/2016</stp>
        <stp>[Bbg_Market_Data_CL.xlsm]data!R260C18</stp>
        <tr r="R260" s="1"/>
      </tp>
      <tp t="s">
        <v>#N/A Requesting Data...</v>
        <stp/>
        <stp>##V3_BDHV12</stp>
        <stp>CL1 Comdty</stp>
        <stp>VOLATILITY_10D</stp>
        <stp>29/01/2016</stp>
        <stp>29/01/2016</stp>
        <stp>[Bbg_Market_Data_CL.xlsm]data!R299C17</stp>
        <tr r="Q299" s="1"/>
      </tp>
      <tp>
        <v>48.6</v>
        <stp/>
        <stp>##V3_BDHV12</stp>
        <stp>CL2 Comdty</stp>
        <stp>VOLATILITY_10D</stp>
        <stp>29/02/2016</stp>
        <stp>29/02/2016</stp>
        <stp>[Bbg_Market_Data_CL.xlsm]data!R280C17</stp>
        <tr r="Q280" s="1"/>
      </tp>
      <tp t="s">
        <v>#N/A Requesting Data...</v>
        <stp/>
        <stp>##V3_BDHV12</stp>
        <stp>CL1 Comdty</stp>
        <stp>VOLATILITY_10D</stp>
        <stp>19/02/2016</stp>
        <stp>19/02/2016</stp>
        <stp>[Bbg_Market_Data_CL.xlsm]data!R286C17</stp>
        <tr r="Q286" s="1"/>
      </tp>
      <tp>
        <v>61.78</v>
        <stp/>
        <stp>##V3_BDHV12</stp>
        <stp>CL2 Comdty</stp>
        <stp>VOLATILITY_30D</stp>
        <stp>28/01/2016</stp>
        <stp>28/01/2016</stp>
        <stp>[Bbg_Market_Data_CL.xlsm]data!R300C18</stp>
        <tr r="R300" s="1"/>
      </tp>
      <tp>
        <v>37.619999999999997</v>
        <stp/>
        <stp>##V3_BDHV12</stp>
        <stp>CL2 Comdty</stp>
        <stp>VOLATILITY_10D</stp>
        <stp>13/08/2015</stp>
        <stp>13/08/2015</stp>
        <stp>[Bbg_Market_Data_CL.xlsm]data!R413C17</stp>
        <tr r="Q413" s="1"/>
      </tp>
      <tp t="s">
        <v>#N/A Requesting Data...</v>
        <stp/>
        <stp>##V3_BDHV12</stp>
        <stp>CL1 Comdty</stp>
        <stp>VOLATILITY_30D</stp>
        <stp>03/08/2015</stp>
        <stp>03/08/2015</stp>
        <stp>[Bbg_Market_Data_CL.xlsm]data!R421C18</stp>
        <tr r="R421" s="1"/>
      </tp>
      <tp t="s">
        <v>#N/A Requesting Data...</v>
        <stp/>
        <stp>##V3_BDHV12</stp>
        <stp>CL1 Comdty</stp>
        <stp>VOLATILITY_30D</stp>
        <stp>12/08/2015</stp>
        <stp>12/08/2015</stp>
        <stp>[Bbg_Market_Data_CL.xlsm]data!R414C18</stp>
        <tr r="R414" s="1"/>
      </tp>
      <tp>
        <v>86.8</v>
        <stp/>
        <stp>##V3_BDHV12</stp>
        <stp>CL2 Comdty</stp>
        <stp>VOLATILITY_10D</stp>
        <stp>31/08/2015</stp>
        <stp>31/08/2015</stp>
        <stp>[Bbg_Market_Data_CL.xlsm]data!R401C17</stp>
        <tr r="Q401" s="1"/>
      </tp>
      <tp>
        <v>60.79</v>
        <stp/>
        <stp>##V3_BDHV12</stp>
        <stp>CL2 Comdty</stp>
        <stp>VOLATILITY_30D</stp>
        <stp>01/09/2015</stp>
        <stp>01/09/2015</stp>
        <stp>[Bbg_Market_Data_CL.xlsm]data!R400C18</stp>
        <tr r="R400" s="1"/>
      </tp>
      <tp t="s">
        <v>#N/A Requesting Data...</v>
        <stp/>
        <stp>##V3_BDHV12</stp>
        <stp>CL1 Comdty</stp>
        <stp>VOLATILITY_30D</stp>
        <stp>21/08/2015</stp>
        <stp>21/08/2015</stp>
        <stp>[Bbg_Market_Data_CL.xlsm]data!R407C18</stp>
        <tr r="R407" s="1"/>
      </tp>
      <tp>
        <v>36.79</v>
        <stp/>
        <stp>##V3_BDHV12</stp>
        <stp>CL2 Comdty</stp>
        <stp>VOLATILITY_30D</stp>
        <stp>11/08/2015</stp>
        <stp>11/08/2015</stp>
        <stp>[Bbg_Market_Data_CL.xlsm]data!R415C18</stp>
        <tr r="R415" s="1"/>
      </tp>
      <tp t="s">
        <v>#N/A Requesting Data...</v>
        <stp/>
        <stp>##V3_BDHV12</stp>
        <stp>CL1 Comdty</stp>
        <stp>VOLATILITY_10D</stp>
        <stp>10/08/2015</stp>
        <stp>10/08/2015</stp>
        <stp>[Bbg_Market_Data_CL.xlsm]data!R416C17</stp>
        <tr r="Q416" s="1"/>
      </tp>
      <tp>
        <v>39.99</v>
        <stp/>
        <stp>##V3_BDHV12</stp>
        <stp>CL2 Comdty</stp>
        <stp>VOLATILITY_10D</stp>
        <stp>20/08/2015</stp>
        <stp>20/08/2015</stp>
        <stp>[Bbg_Market_Data_CL.xlsm]data!R408C17</stp>
        <tr r="Q408" s="1"/>
      </tp>
      <tp t="s">
        <v>#N/A Requesting Data...</v>
        <stp/>
        <stp>##V3_BDHV12</stp>
        <stp>CL1 Comdty</stp>
        <stp>VOLATILITY_10D</stp>
        <stp>21/09/2016</stp>
        <stp>21/09/2016</stp>
        <stp>[Bbg_Market_Data_CL.xlsm]data!R138C17</stp>
        <tr r="Q138" s="1"/>
      </tp>
      <tp t="s">
        <v>#N/A Requesting Data...</v>
        <stp/>
        <stp>##V3_BDHV12</stp>
        <stp>CL1 Comdty</stp>
        <stp>VOLATILITY_10D</stp>
        <stp>31/08/2016</stp>
        <stp>31/08/2016</stp>
        <stp>[Bbg_Market_Data_CL.xlsm]data!R152C17</stp>
        <tr r="Q152" s="1"/>
      </tp>
      <tp>
        <v>24.53</v>
        <stp/>
        <stp>##V3_BDHV12</stp>
        <stp>CL2 Comdty</stp>
        <stp>VOLATILITY_10D</stp>
        <stp>01/08/2016</stp>
        <stp>01/08/2016</stp>
        <stp>[Bbg_Market_Data_CL.xlsm]data!R173C17</stp>
        <tr r="Q173" s="1"/>
      </tp>
      <tp>
        <v>62.78</v>
        <stp/>
        <stp>##V3_BDHV12</stp>
        <stp>CL2 Comdty</stp>
        <stp>VOLATILITY_30D</stp>
        <stp>10/09/2015</stp>
        <stp>10/09/2015</stp>
        <stp>[Bbg_Market_Data_CL.xlsm]data!R394C18</stp>
        <tr r="R394" s="1"/>
      </tp>
      <tp t="s">
        <v>#N/A Requesting Data...</v>
        <stp/>
        <stp>##V3_BDHV12</stp>
        <stp>CL1 Comdty</stp>
        <stp>VOLATILITY_30D</stp>
        <stp>11/08/2016</stp>
        <stp>11/08/2016</stp>
        <stp>[Bbg_Market_Data_CL.xlsm]data!R166C18</stp>
        <tr r="R166" s="1"/>
      </tp>
      <tp>
        <v>45.05</v>
        <stp/>
        <stp>##V3_BDHV12</stp>
        <stp>CL2 Comdty</stp>
        <stp>VOLATILITY_10D</stp>
        <stp>30/09/2015</stp>
        <stp>30/09/2015</stp>
        <stp>[Bbg_Market_Data_CL.xlsm]data!R380C17</stp>
        <tr r="Q380" s="1"/>
      </tp>
      <tp t="s">
        <v>#N/A Requesting Data...</v>
        <stp/>
        <stp>##V3_BDHV12</stp>
        <stp>CL1 Comdty</stp>
        <stp>VOLATILITY_30D</stp>
        <stp>01/09/2016</stp>
        <stp>01/09/2016</stp>
        <stp>[Bbg_Market_Data_CL.xlsm]data!R151C18</stp>
        <tr r="R151" s="1"/>
      </tp>
      <tp t="s">
        <v>#N/A Requesting Data...</v>
        <stp/>
        <stp>##V3_BDHV12</stp>
        <stp>CL1 Comdty</stp>
        <stp>VOLATILITY_10D</stp>
        <stp>30/09/2016</stp>
        <stp>30/09/2016</stp>
        <stp>[Bbg_Market_Data_CL.xlsm]data!R131C17</stp>
        <tr r="Q131" s="1"/>
      </tp>
      <tp>
        <v>38.770000000000003</v>
        <stp/>
        <stp>##V3_BDHV12</stp>
        <stp>CL2 Comdty</stp>
        <stp>VOLATILITY_10D</stp>
        <stp>10/08/2016</stp>
        <stp>10/08/2016</stp>
        <stp>[Bbg_Market_Data_CL.xlsm]data!R167C17</stp>
        <tr r="Q167" s="1"/>
      </tp>
      <tp t="s">
        <v>#N/A Requesting Data...</v>
        <stp/>
        <stp>##V3_BDHV12</stp>
        <stp>CL1 Comdty</stp>
        <stp>VOLATILITY_10D</stp>
        <stp>11/09/2015</stp>
        <stp>11/09/2015</stp>
        <stp>[Bbg_Market_Data_CL.xlsm]data!R393C17</stp>
        <tr r="Q393" s="1"/>
      </tp>
      <tp>
        <v>59.89</v>
        <stp/>
        <stp>##V3_BDHV12</stp>
        <stp>CL2 Comdty</stp>
        <stp>VOLATILITY_10D</stp>
        <stp>21/09/2015</stp>
        <stp>21/09/2015</stp>
        <stp>[Bbg_Market_Data_CL.xlsm]data!R387C17</stp>
        <tr r="Q387" s="1"/>
      </tp>
      <tp>
        <v>35.51</v>
        <stp/>
        <stp>##V3_BDHV12</stp>
        <stp>CL2 Comdty</stp>
        <stp>VOLATILITY_30D</stp>
        <stp>30/08/2016</stp>
        <stp>30/08/2016</stp>
        <stp>[Bbg_Market_Data_CL.xlsm]data!R153C18</stp>
        <tr r="R153" s="1"/>
      </tp>
      <tp>
        <v>40.159999999999997</v>
        <stp/>
        <stp>##V3_BDHV12</stp>
        <stp>CL2 Comdty</stp>
        <stp>VOLATILITY_30D</stp>
        <stp>20/09/2016</stp>
        <stp>20/09/2016</stp>
        <stp>[Bbg_Market_Data_CL.xlsm]data!R139C18</stp>
        <tr r="R139" s="1"/>
      </tp>
      <tp>
        <v>35.61</v>
        <stp/>
        <stp>##V3_BDHV12</stp>
        <stp>CL2 Comdty</stp>
        <stp>VOLATILITY_10D</stp>
        <stp>23/08/2016</stp>
        <stp>23/08/2016</stp>
        <stp>[Bbg_Market_Data_CL.xlsm]data!R158C17</stp>
        <tr r="Q158" s="1"/>
      </tp>
      <tp t="s">
        <v>#N/A Requesting Data...</v>
        <stp/>
        <stp>##V3_BDHV12</stp>
        <stp>CL1 Comdty</stp>
        <stp>VOLATILITY_30D</stp>
        <stp>02/09/2015</stp>
        <stp>02/09/2015</stp>
        <stp>[Bbg_Market_Data_CL.xlsm]data!R399C18</stp>
        <tr r="R399" s="1"/>
      </tp>
      <tp>
        <v>43.88</v>
        <stp/>
        <stp>##V3_BDHV12</stp>
        <stp>CL2 Comdty</stp>
        <stp>VOLATILITY_30D</stp>
        <stp>03/08/2016</stp>
        <stp>03/08/2016</stp>
        <stp>[Bbg_Market_Data_CL.xlsm]data!R171C18</stp>
        <tr r="R171" s="1"/>
      </tp>
      <tp t="s">
        <v>#N/A Requesting Data...</v>
        <stp/>
        <stp>##V3_BDHV12</stp>
        <stp>CL1 Comdty</stp>
        <stp>VOLATILITY_10D</stp>
        <stp>22/09/2015</stp>
        <stp>22/09/2015</stp>
        <stp>[Bbg_Market_Data_CL.xlsm]data!R386C17</stp>
        <tr r="Q386" s="1"/>
      </tp>
      <tp>
        <v>40.799999999999997</v>
        <stp/>
        <stp>##V3_BDHV12</stp>
        <stp>CL2 Comdty</stp>
        <stp>VOLATILITY_30D</stp>
        <stp>13/09/2016</stp>
        <stp>13/09/2016</stp>
        <stp>[Bbg_Market_Data_CL.xlsm]data!R144C18</stp>
        <tr r="R144" s="1"/>
      </tp>
      <tp t="s">
        <v>#N/A Requesting Data...</v>
        <stp/>
        <stp>##V3_BDHV12</stp>
        <stp>CL1 Comdty</stp>
        <stp>VOLATILITY_30D</stp>
        <stp>23/09/2016</stp>
        <stp>23/09/2016</stp>
        <stp>[Bbg_Market_Data_CL.xlsm]data!R136C18</stp>
        <tr r="R136" s="1"/>
      </tp>
      <tp>
        <v>38.159999999999997</v>
        <stp/>
        <stp>##V3_BDHV12</stp>
        <stp>CL2 Comdty</stp>
        <stp>VOLATILITY_10D</stp>
        <stp>22/09/2016</stp>
        <stp>22/09/2016</stp>
        <stp>[Bbg_Market_Data_CL.xlsm]data!R137C17</stp>
        <tr r="Q137" s="1"/>
      </tp>
      <tp t="s">
        <v>#N/A Requesting Data...</v>
        <stp/>
        <stp>##V3_BDHV12</stp>
        <stp>CL1 Comdty</stp>
        <stp>VOLATILITY_10D</stp>
        <stp>12/09/2016</stp>
        <stp>12/09/2016</stp>
        <stp>[Bbg_Market_Data_CL.xlsm]data!R145C17</stp>
        <tr r="Q145" s="1"/>
      </tp>
      <tp t="s">
        <v>#N/A Requesting Data...</v>
        <stp/>
        <stp>##V3_BDHV12</stp>
        <stp>CL1 Comdty</stp>
        <stp>VOLATILITY_10D</stp>
        <stp>02/08/2016</stp>
        <stp>02/08/2016</stp>
        <stp>[Bbg_Market_Data_CL.xlsm]data!R172C17</stp>
        <tr r="Q172" s="1"/>
      </tp>
      <tp>
        <v>65.3</v>
        <stp/>
        <stp>##V3_BDHV12</stp>
        <stp>CL2 Comdty</stp>
        <stp>VOLATILITY_30D</stp>
        <stp>23/09/2015</stp>
        <stp>23/09/2015</stp>
        <stp>[Bbg_Market_Data_CL.xlsm]data!R385C18</stp>
        <tr r="R385" s="1"/>
      </tp>
      <tp>
        <v>96.36</v>
        <stp/>
        <stp>##V3_BDHV12</stp>
        <stp>CL2 Comdty</stp>
        <stp>VOLATILITY_10D</stp>
        <stp>03/09/2015</stp>
        <stp>03/09/2015</stp>
        <stp>[Bbg_Market_Data_CL.xlsm]data!R398C17</stp>
        <tr r="Q398" s="1"/>
      </tp>
      <tp>
        <v>41.26</v>
        <stp/>
        <stp>##V3_BDHV12</stp>
        <stp>CL2 Comdty</stp>
        <stp>VOLATILITY_30D</stp>
        <stp>12/08/2016</stp>
        <stp>12/08/2016</stp>
        <stp>[Bbg_Market_Data_CL.xlsm]data!R165C18</stp>
        <tr r="R165" s="1"/>
      </tp>
      <tp t="s">
        <v>#N/A Requesting Data...</v>
        <stp/>
        <stp>##V3_BDHV12</stp>
        <stp>CL1 Comdty</stp>
        <stp>VOLATILITY_30D</stp>
        <stp>22/08/2016</stp>
        <stp>22/08/2016</stp>
        <stp>[Bbg_Market_Data_CL.xlsm]data!R159C18</stp>
        <tr r="R159" s="1"/>
      </tp>
      <tp>
        <v>38.85</v>
        <stp/>
        <stp>##V3_BDHV12</stp>
        <stp>CL2 Comdty</stp>
        <stp>VOLATILITY_30D</stp>
        <stp>02/09/2016</stp>
        <stp>02/09/2016</stp>
        <stp>[Bbg_Market_Data_CL.xlsm]data!R150C18</stp>
        <tr r="R150" s="1"/>
      </tp>
      <tp t="s">
        <v>#N/A Requesting Data...</v>
        <stp/>
        <stp>##V3_BDHV12</stp>
        <stp>CL1 Comdty</stp>
        <stp>PX_LOW</stp>
        <stp>21/01/2016</stp>
        <stp>21/01/2016</stp>
        <stp>[Bbg_Market_Data_CL.xlsm]data!R305C7</stp>
        <tr r="G305" s="1"/>
      </tp>
      <tp t="s">
        <v>#N/A Requesting Data...</v>
        <stp/>
        <stp>##V3_BDHV12</stp>
        <stp>CL2 Comdty</stp>
        <stp>PX_LOW</stp>
        <stp>24/04/2015</stp>
        <stp>24/04/2015</stp>
        <stp>[Bbg_Market_Data_CL.xlsm]data!R490C7</stp>
        <tr r="G490" s="1"/>
      </tp>
      <tp t="s">
        <v>#N/A Requesting Data...</v>
        <stp/>
        <stp>##V3_BDHV12</stp>
        <stp>CL1 Comdty</stp>
        <stp>PX_LOW</stp>
        <stp>06/07/2015</stp>
        <stp>06/07/2015</stp>
        <stp>[Bbg_Market_Data_CL.xlsm]data!R441C7</stp>
        <tr r="G441" s="1"/>
      </tp>
      <tp>
        <v>46.61</v>
        <stp/>
        <stp>##V3_BDHV12</stp>
        <stp>CL2 Comdty</stp>
        <stp>PX_LOW</stp>
        <stp>06/07/2016</stp>
        <stp>06/07/2016</stp>
        <stp>[Bbg_Market_Data_CL.xlsm]data!R191C7</stp>
        <tr r="G191" s="1"/>
      </tp>
      <tp t="s">
        <v>#N/A Requesting Data...</v>
        <stp/>
        <stp>##V3_BDHV12</stp>
        <stp>CL1 Comdty</stp>
        <stp>PX_LOW</stp>
        <stp>22/10/2015</stp>
        <stp>22/10/2015</stp>
        <stp>[Bbg_Market_Data_CL.xlsm]data!R365C7</stp>
        <tr r="G365" s="1"/>
      </tp>
      <tp t="s">
        <v>#N/A Requesting Data...</v>
        <stp/>
        <stp>##V3_BDHV12</stp>
        <stp>CL1 Comdty</stp>
        <stp>PX_LOW</stp>
        <stp>05/05/2015</stp>
        <stp>05/05/2015</stp>
        <stp>[Bbg_Market_Data_CL.xlsm]data!R483C7</stp>
        <tr r="G483" s="1"/>
      </tp>
      <tp t="s">
        <v>#N/A Requesting Data...</v>
        <stp/>
        <stp>##V3_BDHV12</stp>
        <stp>CL1 Comdty</stp>
        <stp>PX_LOW</stp>
        <stp>23/11/2015</stp>
        <stp>23/11/2015</stp>
        <stp>[Bbg_Market_Data_CL.xlsm]data!R344C7</stp>
        <tr r="G344" s="1"/>
      </tp>
      <tp>
        <v>44.55</v>
        <stp/>
        <stp>##V3_BDHV12</stp>
        <stp>CL2 Comdty</stp>
        <stp>PX_LOW</stp>
        <stp>05/05/2016</stp>
        <stp>05/05/2016</stp>
        <stp>[Bbg_Market_Data_CL.xlsm]data!R233C7</stp>
        <tr r="G233" s="1"/>
      </tp>
      <tp>
        <v>43.43</v>
        <stp/>
        <stp>##V3_BDHV12</stp>
        <stp>CL2 Comdty</stp>
        <stp>PX_LOW</stp>
        <stp>26/04/2016</stp>
        <stp>26/04/2016</stp>
        <stp>[Bbg_Market_Data_CL.xlsm]data!R240C7</stp>
        <tr r="G240" s="1"/>
      </tp>
      <tp>
        <v>45.65</v>
        <stp/>
        <stp>##V3_BDHV12</stp>
        <stp>CL2 Comdty</stp>
        <stp>PX_LOW</stp>
        <stp>22/10/2015</stp>
        <stp>22/10/2015</stp>
        <stp>[Bbg_Market_Data_CL.xlsm]data!R365C7</stp>
        <tr r="G365" s="1"/>
      </tp>
      <tp t="s">
        <v>#N/A Requesting Data...</v>
        <stp/>
        <stp>##V3_BDHV12</stp>
        <stp>CL2 Comdty</stp>
        <stp>PX_LOW</stp>
        <stp>05/05/2015</stp>
        <stp>05/05/2015</stp>
        <stp>[Bbg_Market_Data_CL.xlsm]data!R483C7</stp>
        <tr r="G483" s="1"/>
      </tp>
      <tp>
        <v>41.84</v>
        <stp/>
        <stp>##V3_BDHV12</stp>
        <stp>CL2 Comdty</stp>
        <stp>PX_LOW</stp>
        <stp>23/11/2015</stp>
        <stp>23/11/2015</stp>
        <stp>[Bbg_Market_Data_CL.xlsm]data!R344C7</stp>
        <tr r="G344" s="1"/>
      </tp>
      <tp t="s">
        <v>#N/A Requesting Data...</v>
        <stp/>
        <stp>##V3_BDHV12</stp>
        <stp>CL1 Comdty</stp>
        <stp>PX_LOW</stp>
        <stp>05/05/2016</stp>
        <stp>05/05/2016</stp>
        <stp>[Bbg_Market_Data_CL.xlsm]data!R233C7</stp>
        <tr r="G233" s="1"/>
      </tp>
      <tp t="s">
        <v>#N/A Requesting Data...</v>
        <stp/>
        <stp>##V3_BDHV12</stp>
        <stp>CL1 Comdty</stp>
        <stp>PX_LOW</stp>
        <stp>26/04/2016</stp>
        <stp>26/04/2016</stp>
        <stp>[Bbg_Market_Data_CL.xlsm]data!R240C7</stp>
        <tr r="G240" s="1"/>
      </tp>
      <tp>
        <v>29.22</v>
        <stp/>
        <stp>##V3_BDHV12</stp>
        <stp>CL2 Comdty</stp>
        <stp>PX_LOW</stp>
        <stp>21/01/2016</stp>
        <stp>21/01/2016</stp>
        <stp>[Bbg_Market_Data_CL.xlsm]data!R305C7</stp>
        <tr r="G305" s="1"/>
      </tp>
      <tp t="s">
        <v>#N/A Requesting Data...</v>
        <stp/>
        <stp>##V3_BDHV12</stp>
        <stp>CL1 Comdty</stp>
        <stp>PX_LOW</stp>
        <stp>24/04/2015</stp>
        <stp>24/04/2015</stp>
        <stp>[Bbg_Market_Data_CL.xlsm]data!R490C7</stp>
        <tr r="G490" s="1"/>
      </tp>
      <tp t="s">
        <v>#N/A Requesting Data...</v>
        <stp/>
        <stp>##V3_BDHV12</stp>
        <stp>CL2 Comdty</stp>
        <stp>PX_LOW</stp>
        <stp>06/07/2015</stp>
        <stp>06/07/2015</stp>
        <stp>[Bbg_Market_Data_CL.xlsm]data!R441C7</stp>
        <tr r="G441" s="1"/>
      </tp>
      <tp t="s">
        <v>#N/A Requesting Data...</v>
        <stp/>
        <stp>##V3_BDHV12</stp>
        <stp>CL1 Comdty</stp>
        <stp>PX_LOW</stp>
        <stp>06/07/2016</stp>
        <stp>06/07/2016</stp>
        <stp>[Bbg_Market_Data_CL.xlsm]data!R191C7</stp>
        <tr r="G191" s="1"/>
      </tp>
      <tp t="s">
        <v>#N/A Requesting Data...</v>
        <stp/>
        <stp>##V3_BDHV12</stp>
        <stp>CL1 Comdty</stp>
        <stp>PX_LOW</stp>
        <stp>31/07/2015</stp>
        <stp>31/07/2015</stp>
        <stp>[Bbg_Market_Data_CL.xlsm]data!R422C7</stp>
        <tr r="G422" s="1"/>
      </tp>
      <tp t="s">
        <v>#N/A Requesting Data...</v>
        <stp/>
        <stp>##V3_BDHV12</stp>
        <stp>CL1 Comdty</stp>
        <stp>PX_LOW</stp>
        <stp>07/11/2016</stp>
        <stp>07/11/2016</stp>
        <stp>[Bbg_Market_Data_CL.xlsm]data!R106C7</stp>
        <tr r="G106" s="1"/>
      </tp>
      <tp t="s">
        <v>#N/A Requesting Data...</v>
        <stp/>
        <stp>##V3_BDHV12</stp>
        <stp>CL2 Comdty</stp>
        <stp>PX_LOW</stp>
        <stp>21/05/2015</stp>
        <stp>21/05/2015</stp>
        <stp>[Bbg_Market_Data_CL.xlsm]data!R471C7</stp>
        <tr r="G471" s="1"/>
      </tp>
      <tp t="s">
        <v>#N/A Requesting Data...</v>
        <stp/>
        <stp>##V3_BDHV12</stp>
        <stp>CL1 Comdty</stp>
        <stp>PX_LOW</stp>
        <stp>07/12/2015</stp>
        <stp>07/12/2015</stp>
        <stp>[Bbg_Market_Data_CL.xlsm]data!R335C7</stp>
        <tr r="G335" s="1"/>
      </tp>
      <tp t="s">
        <v>#N/A Requesting Data...</v>
        <stp/>
        <stp>##V3_BDHV12</stp>
        <stp>CL1 Comdty</stp>
        <stp>PX_LOW</stp>
        <stp>06/10/2016</stp>
        <stp>06/10/2016</stp>
        <stp>[Bbg_Market_Data_CL.xlsm]data!R127C7</stp>
        <tr r="G127" s="1"/>
      </tp>
      <tp>
        <v>37.51</v>
        <stp/>
        <stp>##V3_BDHV12</stp>
        <stp>CL2 Comdty</stp>
        <stp>PX_LOW</stp>
        <stp>04/01/2016</stp>
        <stp>04/01/2016</stp>
        <stp>[Bbg_Market_Data_CL.xlsm]data!R317C7</stp>
        <tr r="G317" s="1"/>
      </tp>
      <tp t="s">
        <v>#N/A Requesting Data...</v>
        <stp/>
        <stp>##V3_BDHV12</stp>
        <stp>CL1 Comdty</stp>
        <stp>PX_LOW</stp>
        <stp>04/11/2015</stp>
        <stp>04/11/2015</stp>
        <stp>[Bbg_Market_Data_CL.xlsm]data!R356C7</stp>
        <tr r="G356" s="1"/>
      </tp>
      <tp t="s">
        <v>#N/A Requesting Data...</v>
        <stp/>
        <stp>##V3_BDHV12</stp>
        <stp>CL1 Comdty</stp>
        <stp>PX_LOW</stp>
        <stp>05/10/2015</stp>
        <stp>05/10/2015</stp>
        <stp>[Bbg_Market_Data_CL.xlsm]data!R377C7</stp>
        <tr r="G377" s="1"/>
      </tp>
      <tp>
        <v>48.72</v>
        <stp/>
        <stp>##V3_BDHV12</stp>
        <stp>CL2 Comdty</stp>
        <stp>PX_LOW</stp>
        <stp>20/06/2016</stp>
        <stp>20/06/2016</stp>
        <stp>[Bbg_Market_Data_CL.xlsm]data!R202C7</stp>
        <tr r="G202" s="1"/>
      </tp>
      <tp>
        <v>47.88</v>
        <stp/>
        <stp>##V3_BDHV12</stp>
        <stp>CL2 Comdty</stp>
        <stp>PX_LOW</stp>
        <stp>23/05/2016</stp>
        <stp>23/05/2016</stp>
        <stp>[Bbg_Market_Data_CL.xlsm]data!R221C7</stp>
        <tr r="G221" s="1"/>
      </tp>
      <tp t="s">
        <v>#N/A Requesting Data...</v>
        <stp/>
        <stp>##V3_BDHV12</stp>
        <stp>CL1 Comdty</stp>
        <stp>PX_LOW</stp>
        <stp>05/02/2016</stp>
        <stp>05/02/2016</stp>
        <stp>[Bbg_Market_Data_CL.xlsm]data!R294C7</stp>
        <tr r="G294" s="1"/>
      </tp>
      <tp t="s">
        <v>#N/A Requesting Data...</v>
        <stp/>
        <stp>##V3_BDHV12</stp>
        <stp>CL1 Comdty</stp>
        <stp>PX_LOW</stp>
        <stp>25/10/2016</stp>
        <stp>25/10/2016</stp>
        <stp>[Bbg_Market_Data_CL.xlsm]data!R115C7</stp>
        <tr r="G115" s="1"/>
      </tp>
      <tp>
        <v>38</v>
        <stp/>
        <stp>##V3_BDHV12</stp>
        <stp>CL2 Comdty</stp>
        <stp>PX_LOW</stp>
        <stp>07/03/2016</stp>
        <stp>07/03/2016</stp>
        <stp>[Bbg_Market_Data_CL.xlsm]data!R275C7</stp>
        <tr r="G275" s="1"/>
      </tp>
      <tp t="s">
        <v>#N/A Requesting Data...</v>
        <stp/>
        <stp>##V3_BDHV12</stp>
        <stp>CL1 Comdty</stp>
        <stp>PX_LOW</stp>
        <stp>20/06/2016</stp>
        <stp>20/06/2016</stp>
        <stp>[Bbg_Market_Data_CL.xlsm]data!R202C7</stp>
        <tr r="G202" s="1"/>
      </tp>
      <tp t="s">
        <v>#N/A Requesting Data...</v>
        <stp/>
        <stp>##V3_BDHV12</stp>
        <stp>CL1 Comdty</stp>
        <stp>PX_LOW</stp>
        <stp>23/05/2016</stp>
        <stp>23/05/2016</stp>
        <stp>[Bbg_Market_Data_CL.xlsm]data!R221C7</stp>
        <tr r="G221" s="1"/>
      </tp>
      <tp>
        <v>32.47</v>
        <stp/>
        <stp>##V3_BDHV12</stp>
        <stp>CL2 Comdty</stp>
        <stp>PX_LOW</stp>
        <stp>05/02/2016</stp>
        <stp>05/02/2016</stp>
        <stp>[Bbg_Market_Data_CL.xlsm]data!R294C7</stp>
        <tr r="G294" s="1"/>
      </tp>
      <tp>
        <v>49.93</v>
        <stp/>
        <stp>##V3_BDHV12</stp>
        <stp>CL2 Comdty</stp>
        <stp>PX_LOW</stp>
        <stp>25/10/2016</stp>
        <stp>25/10/2016</stp>
        <stp>[Bbg_Market_Data_CL.xlsm]data!R115C7</stp>
        <tr r="G115" s="1"/>
      </tp>
      <tp t="s">
        <v>#N/A Requesting Data...</v>
        <stp/>
        <stp>##V3_BDHV12</stp>
        <stp>CL1 Comdty</stp>
        <stp>PX_LOW</stp>
        <stp>07/03/2016</stp>
        <stp>07/03/2016</stp>
        <stp>[Bbg_Market_Data_CL.xlsm]data!R275C7</stp>
        <tr r="G275" s="1"/>
      </tp>
      <tp t="s">
        <v>#N/A Requesting Data...</v>
        <stp/>
        <stp>##V3_BDHV12</stp>
        <stp>CL2 Comdty</stp>
        <stp>PX_LOW</stp>
        <stp>31/07/2015</stp>
        <stp>31/07/2015</stp>
        <stp>[Bbg_Market_Data_CL.xlsm]data!R422C7</stp>
        <tr r="G422" s="1"/>
      </tp>
      <tp>
        <v>44.68</v>
        <stp/>
        <stp>##V3_BDHV12</stp>
        <stp>CL2 Comdty</stp>
        <stp>PX_LOW</stp>
        <stp>07/11/2016</stp>
        <stp>07/11/2016</stp>
        <stp>[Bbg_Market_Data_CL.xlsm]data!R106C7</stp>
        <tr r="G106" s="1"/>
      </tp>
      <tp t="s">
        <v>#N/A Requesting Data...</v>
        <stp/>
        <stp>##V3_BDHV12</stp>
        <stp>CL1 Comdty</stp>
        <stp>PX_LOW</stp>
        <stp>21/05/2015</stp>
        <stp>21/05/2015</stp>
        <stp>[Bbg_Market_Data_CL.xlsm]data!R471C7</stp>
        <tr r="G471" s="1"/>
      </tp>
      <tp>
        <v>39.090000000000003</v>
        <stp/>
        <stp>##V3_BDHV12</stp>
        <stp>CL2 Comdty</stp>
        <stp>PX_LOW</stp>
        <stp>07/12/2015</stp>
        <stp>07/12/2015</stp>
        <stp>[Bbg_Market_Data_CL.xlsm]data!R335C7</stp>
        <tr r="G335" s="1"/>
      </tp>
      <tp>
        <v>49.87</v>
        <stp/>
        <stp>##V3_BDHV12</stp>
        <stp>CL2 Comdty</stp>
        <stp>PX_LOW</stp>
        <stp>06/10/2016</stp>
        <stp>06/10/2016</stp>
        <stp>[Bbg_Market_Data_CL.xlsm]data!R127C7</stp>
        <tr r="G127" s="1"/>
      </tp>
      <tp t="s">
        <v>#N/A Requesting Data...</v>
        <stp/>
        <stp>##V3_BDHV12</stp>
        <stp>CL1 Comdty</stp>
        <stp>PX_LOW</stp>
        <stp>04/01/2016</stp>
        <stp>04/01/2016</stp>
        <stp>[Bbg_Market_Data_CL.xlsm]data!R317C7</stp>
        <tr r="G317" s="1"/>
      </tp>
      <tp>
        <v>47.06</v>
        <stp/>
        <stp>##V3_BDHV12</stp>
        <stp>CL2 Comdty</stp>
        <stp>PX_LOW</stp>
        <stp>04/11/2015</stp>
        <stp>04/11/2015</stp>
        <stp>[Bbg_Market_Data_CL.xlsm]data!R356C7</stp>
        <tr r="G356" s="1"/>
      </tp>
      <tp>
        <v>45.67</v>
        <stp/>
        <stp>##V3_BDHV12</stp>
        <stp>CL2 Comdty</stp>
        <stp>PX_LOW</stp>
        <stp>05/10/2015</stp>
        <stp>05/10/2015</stp>
        <stp>[Bbg_Market_Data_CL.xlsm]data!R377C7</stp>
        <tr r="G377" s="1"/>
      </tp>
      <tp t="s">
        <v>#N/A Requesting Data...</v>
        <stp/>
        <stp>##V3_BDHV12</stp>
        <stp>CL1 Comdty</stp>
        <stp>PX_LOW</stp>
        <stp>18/11/2015</stp>
        <stp>18/11/2015</stp>
        <stp>[Bbg_Market_Data_CL.xlsm]data!R347C7</stp>
        <tr r="G347" s="1"/>
      </tp>
      <tp>
        <v>41.28</v>
        <stp/>
        <stp>##V3_BDHV12</stp>
        <stp>CL2 Comdty</stp>
        <stp>PX_LOW</stp>
        <stp>18/11/2015</stp>
        <stp>18/11/2015</stp>
        <stp>[Bbg_Market_Data_CL.xlsm]data!R347C7</stp>
        <tr r="G347" s="1"/>
      </tp>
      <tp t="s">
        <v>#N/A Requesting Data...</v>
        <stp/>
        <stp>##V3_BDHV12</stp>
        <stp>CL1 Comdty</stp>
        <stp>PX_LOW</stp>
        <stp>08/06/2016</stp>
        <stp>08/06/2016</stp>
        <stp>[Bbg_Market_Data_CL.xlsm]data!R210C7</stp>
        <tr r="G210" s="1"/>
      </tp>
      <tp t="s">
        <v>#N/A Requesting Data...</v>
        <stp/>
        <stp>##V3_BDHV12</stp>
        <stp>CL2 Comdty</stp>
        <stp>PX_LOW</stp>
        <stp>19/06/2015</stp>
        <stp>19/06/2015</stp>
        <stp>[Bbg_Market_Data_CL.xlsm]data!R451C7</stp>
        <tr r="G451" s="1"/>
      </tp>
      <tp t="s">
        <v>#N/A Requesting Data...</v>
        <stp/>
        <stp>##V3_BDHV12</stp>
        <stp>CL2 Comdty</stp>
        <stp>PX_LOW</stp>
        <stp>08/06/2015</stp>
        <stp>08/06/2015</stp>
        <stp>[Bbg_Market_Data_CL.xlsm]data!R460C7</stp>
        <tr r="G460" s="1"/>
      </tp>
      <tp>
        <v>38.630000000000003</v>
        <stp/>
        <stp>##V3_BDHV12</stp>
        <stp>CL2 Comdty</stp>
        <stp>PX_LOW</stp>
        <stp>08/04/2016</stp>
        <stp>08/04/2016</stp>
        <stp>[Bbg_Market_Data_CL.xlsm]data!R252C7</stp>
        <tr r="G252" s="1"/>
      </tp>
      <tp t="s">
        <v>#N/A Requesting Data...</v>
        <stp/>
        <stp>##V3_BDHV12</stp>
        <stp>CL1 Comdty</stp>
        <stp>PX_LOW</stp>
        <stp>08/04/2016</stp>
        <stp>08/04/2016</stp>
        <stp>[Bbg_Market_Data_CL.xlsm]data!R252C7</stp>
        <tr r="G252" s="1"/>
      </tp>
      <tp>
        <v>50.87</v>
        <stp/>
        <stp>##V3_BDHV12</stp>
        <stp>CL2 Comdty</stp>
        <stp>PX_LOW</stp>
        <stp>08/06/2016</stp>
        <stp>08/06/2016</stp>
        <stp>[Bbg_Market_Data_CL.xlsm]data!R210C7</stp>
        <tr r="G210" s="1"/>
      </tp>
      <tp t="s">
        <v>#N/A Requesting Data...</v>
        <stp/>
        <stp>##V3_BDHV12</stp>
        <stp>CL1 Comdty</stp>
        <stp>PX_LOW</stp>
        <stp>19/06/2015</stp>
        <stp>19/06/2015</stp>
        <stp>[Bbg_Market_Data_CL.xlsm]data!R451C7</stp>
        <tr r="G451" s="1"/>
      </tp>
      <tp t="s">
        <v>#N/A Requesting Data...</v>
        <stp/>
        <stp>##V3_BDHV12</stp>
        <stp>CL1 Comdty</stp>
        <stp>PX_LOW</stp>
        <stp>08/06/2015</stp>
        <stp>08/06/2015</stp>
        <stp>[Bbg_Market_Data_CL.xlsm]data!R460C7</stp>
        <tr r="G460" s="1"/>
      </tp>
      <tp t="s">
        <v>#N/A Requesting Data...</v>
        <stp/>
        <stp>##V3_BDHV12</stp>
        <stp>CL1 Comdty</stp>
        <stp>VOLATILITY_10D</stp>
        <stp>08/12/2015</stp>
        <stp>08/12/2015</stp>
        <stp>[Bbg_Market_Data_CL.xlsm]data!R334C17</stp>
        <tr r="Q334" s="1"/>
      </tp>
      <tp t="s">
        <v>#N/A Requesting Data...</v>
        <stp/>
        <stp>##V3_BDHV12</stp>
        <stp>CL1 Comdty</stp>
        <stp>VOLATILITY_10D</stp>
        <stp>28/10/2015</stp>
        <stp>28/10/2015</stp>
        <stp>[Bbg_Market_Data_CL.xlsm]data!R361C17</stp>
        <tr r="Q361" s="1"/>
      </tp>
      <tp t="s">
        <v>#N/A Requesting Data...</v>
        <stp/>
        <stp>##V3_BDHV12</stp>
        <stp>CL1 Comdty</stp>
        <stp>VOLATILITY_30D</stp>
        <stp>08/10/2015</stp>
        <stp>08/10/2015</stp>
        <stp>[Bbg_Market_Data_CL.xlsm]data!R374C18</stp>
        <tr r="R374" s="1"/>
      </tp>
      <tp t="s">
        <v>#N/A Requesting Data...</v>
        <stp/>
        <stp>##V3_BDHV12</stp>
        <stp>CL1 Comdty</stp>
        <stp>VOLATILITY_30D</stp>
        <stp>18/11/2015</stp>
        <stp>18/11/2015</stp>
        <stp>[Bbg_Market_Data_CL.xlsm]data!R347C18</stp>
        <tr r="R347" s="1"/>
      </tp>
      <tp t="s">
        <v>#N/A Requesting Data...</v>
        <stp/>
        <stp>##V3_BDHV12</stp>
        <stp>CL1 Comdty</stp>
        <stp>VOLATILITY_30D</stp>
        <stp>28/12/2015</stp>
        <stp>28/12/2015</stp>
        <stp>[Bbg_Market_Data_CL.xlsm]data!R321C18</stp>
        <tr r="R321" s="1"/>
      </tp>
      <tp>
        <v>36</v>
        <stp/>
        <stp>##V3_BDHV12</stp>
        <stp>CL2 Comdty</stp>
        <stp>VOLATILITY_30D</stp>
        <stp>18/12/2015</stp>
        <stp>18/12/2015</stp>
        <stp>[Bbg_Market_Data_CL.xlsm]data!R326C18</stp>
        <tr r="R326" s="1"/>
      </tp>
      <tp>
        <v>36.96</v>
        <stp/>
        <stp>##V3_BDHV12</stp>
        <stp>CL2 Comdty</stp>
        <stp>VOLATILITY_30D</stp>
        <stp>19/10/2016</stp>
        <stp>19/10/2016</stp>
        <stp>[Bbg_Market_Data_CL.xlsm]data!R119C18</stp>
        <tr r="R119" s="1"/>
      </tp>
      <tp>
        <v>26.29</v>
        <stp/>
        <stp>##V3_BDHV12</stp>
        <stp>CL2 Comdty</stp>
        <stp>VOLATILITY_30D</stp>
        <stp>09/11/2016</stp>
        <stp>09/11/2016</stp>
        <stp>[Bbg_Market_Data_CL.xlsm]data!R104C18</stp>
        <tr r="R104" s="1"/>
      </tp>
      <tp t="s">
        <v>#N/A Requesting Data...</v>
        <stp/>
        <stp>##V3_BDHV12</stp>
        <stp>CL1 Comdty</stp>
        <stp>VOLATILITY_10D</stp>
        <stp>08/11/2016</stp>
        <stp>08/11/2016</stp>
        <stp>[Bbg_Market_Data_CL.xlsm]data!R105C17</stp>
        <tr r="Q105" s="1"/>
      </tp>
      <tp>
        <v>26.79</v>
        <stp/>
        <stp>##V3_BDHV12</stp>
        <stp>CL2 Comdty</stp>
        <stp>VOLATILITY_10D</stp>
        <stp>28/10/2016</stp>
        <stp>28/10/2016</stp>
        <stp>[Bbg_Market_Data_CL.xlsm]data!R112C17</stp>
        <tr r="Q112" s="1"/>
      </tp>
      <tp>
        <v>48</v>
        <stp/>
        <stp>##V3_BDHV12</stp>
        <stp>CL2 Comdty</stp>
        <stp>VOLATILITY_10D</stp>
        <stp>29/12/2015</stp>
        <stp>29/12/2015</stp>
        <stp>[Bbg_Market_Data_CL.xlsm]data!R320C17</stp>
        <tr r="Q320" s="1"/>
      </tp>
      <tp t="s">
        <v>#N/A Requesting Data...</v>
        <stp/>
        <stp>##V3_BDHV12</stp>
        <stp>CL1 Comdty</stp>
        <stp>VOLATILITY_10D</stp>
        <stp>18/10/2016</stp>
        <stp>18/10/2016</stp>
        <stp>[Bbg_Market_Data_CL.xlsm]data!R120C17</stp>
        <tr r="Q120" s="1"/>
      </tp>
      <tp>
        <v>28.06</v>
        <stp/>
        <stp>##V3_BDHV12</stp>
        <stp>CL2 Comdty</stp>
        <stp>VOLATILITY_10D</stp>
        <stp>19/11/2015</stp>
        <stp>19/11/2015</stp>
        <stp>[Bbg_Market_Data_CL.xlsm]data!R346C17</stp>
        <tr r="Q346" s="1"/>
      </tp>
      <tp>
        <v>31.27</v>
        <stp/>
        <stp>##V3_BDHV12</stp>
        <stp>CL2 Comdty</stp>
        <stp>VOLATILITY_10D</stp>
        <stp>09/10/2015</stp>
        <stp>09/10/2015</stp>
        <stp>[Bbg_Market_Data_CL.xlsm]data!R373C17</stp>
        <tr r="Q373" s="1"/>
      </tp>
      <tp>
        <v>39.18</v>
        <stp/>
        <stp>##V3_BDHV12</stp>
        <stp>CL2 Comdty</stp>
        <stp>VOLATILITY_30D</stp>
        <stp>29/10/2015</stp>
        <stp>29/10/2015</stp>
        <stp>[Bbg_Market_Data_CL.xlsm]data!R360C18</stp>
        <tr r="R360" s="1"/>
      </tp>
      <tp t="s">
        <v>#N/A Requesting Data...</v>
        <stp/>
        <stp>##V3_BDHV12</stp>
        <stp>CL1 Comdty</stp>
        <stp>VOLATILITY_30D</stp>
        <stp>19/10/2015</stp>
        <stp>19/10/2015</stp>
        <stp>[Bbg_Market_Data_CL.xlsm]data!R368C18</stp>
        <tr r="R368" s="1"/>
      </tp>
      <tp t="s">
        <v>#N/A Requesting Data...</v>
        <stp/>
        <stp>##V3_BDHV12</stp>
        <stp>CL1 Comdty</stp>
        <stp>VOLATILITY_30D</stp>
        <stp>09/11/2015</stp>
        <stp>09/11/2015</stp>
        <stp>[Bbg_Market_Data_CL.xlsm]data!R353C18</stp>
        <tr r="R353" s="1"/>
      </tp>
      <tp>
        <v>35.9</v>
        <stp/>
        <stp>##V3_BDHV12</stp>
        <stp>CL2 Comdty</stp>
        <stp>VOLATILITY_30D</stp>
        <stp>09/12/2015</stp>
        <stp>09/12/2015</stp>
        <stp>[Bbg_Market_Data_CL.xlsm]data!R333C18</stp>
        <tr r="R333" s="1"/>
      </tp>
      <tp t="s">
        <v>#N/A Requesting Data...</v>
        <stp/>
        <stp>##V3_BDHV12</stp>
        <stp>CL1 Comdty</stp>
        <stp>VOLATILITY_10D</stp>
        <stp>19/01/2016</stp>
        <stp>19/01/2016</stp>
        <stp>[Bbg_Market_Data_CL.xlsm]data!R307C17</stp>
        <tr r="Q307" s="1"/>
      </tp>
      <tp t="s">
        <v>#N/A Requesting Data...</v>
        <stp/>
        <stp>##V3_BDHV12</stp>
        <stp>CL1 Comdty</stp>
        <stp>VOLATILITY_30D</stp>
        <stp>18/02/2016</stp>
        <stp>18/02/2016</stp>
        <stp>[Bbg_Market_Data_CL.xlsm]data!R287C18</stp>
        <tr r="R287" s="1"/>
      </tp>
      <tp t="s">
        <v>#N/A Requesting Data...</v>
        <stp/>
        <stp>##V3_BDHV12</stp>
        <stp>CL1 Comdty</stp>
        <stp>VOLATILITY_10D</stp>
        <stp>28/03/2016</stp>
        <stp>28/03/2016</stp>
        <stp>[Bbg_Market_Data_CL.xlsm]data!R261C17</stp>
        <tr r="Q261" s="1"/>
      </tp>
      <tp>
        <v>54.51</v>
        <stp/>
        <stp>##V3_BDHV12</stp>
        <stp>CL2 Comdty</stp>
        <stp>VOLATILITY_10D</stp>
        <stp>18/03/2016</stp>
        <stp>18/03/2016</stp>
        <stp>[Bbg_Market_Data_CL.xlsm]data!R266C17</stp>
        <tr r="Q266" s="1"/>
      </tp>
      <tp>
        <v>67.510000000000005</v>
        <stp/>
        <stp>##V3_BDHV12</stp>
        <stp>CL2 Comdty</stp>
        <stp>VOLATILITY_10D</stp>
        <stp>08/02/2016</stp>
        <stp>08/02/2016</stp>
        <stp>[Bbg_Market_Data_CL.xlsm]data!R293C17</stp>
        <tr r="Q293" s="1"/>
      </tp>
      <tp t="s">
        <v>#N/A Requesting Data...</v>
        <stp/>
        <stp>##V3_BDHV12</stp>
        <stp>CL1 Comdty</stp>
        <stp>VOLATILITY_30D</stp>
        <stp>08/03/2016</stp>
        <stp>08/03/2016</stp>
        <stp>[Bbg_Market_Data_CL.xlsm]data!R274C18</stp>
        <tr r="R274" s="1"/>
      </tp>
      <tp t="s">
        <v>#N/A Requesting Data...</v>
        <stp/>
        <stp>##V3_BDHV12</stp>
        <stp>CL1 Comdty</stp>
        <stp>VOLATILITY_10D</stp>
        <stp>08/01/2016</stp>
        <stp>08/01/2016</stp>
        <stp>[Bbg_Market_Data_CL.xlsm]data!R313C17</stp>
        <tr r="Q313" s="1"/>
      </tp>
      <tp>
        <v>45.33</v>
        <stp/>
        <stp>##V3_BDHV12</stp>
        <stp>CL2 Comdty</stp>
        <stp>VOLATILITY_10D</stp>
        <stp>09/03/2016</stp>
        <stp>09/03/2016</stp>
        <stp>[Bbg_Market_Data_CL.xlsm]data!R273C17</stp>
        <tr r="Q273" s="1"/>
      </tp>
      <tp t="s">
        <v>#N/A Requesting Data...</v>
        <stp/>
        <stp>##V3_BDHV12</stp>
        <stp>CL1 Comdty</stp>
        <stp>VOLATILITY_30D</stp>
        <stp>09/02/2016</stp>
        <stp>09/02/2016</stp>
        <stp>[Bbg_Market_Data_CL.xlsm]data!R292C18</stp>
        <tr r="R292" s="1"/>
      </tp>
      <tp>
        <v>47.1</v>
        <stp/>
        <stp>##V3_BDHV12</stp>
        <stp>CL2 Comdty</stp>
        <stp>VOLATILITY_30D</stp>
        <stp>29/03/2016</stp>
        <stp>29/03/2016</stp>
        <stp>[Bbg_Market_Data_CL.xlsm]data!R260C18</stp>
        <tr r="R260" s="1"/>
      </tp>
      <tp>
        <v>79.88</v>
        <stp/>
        <stp>##V3_BDHV12</stp>
        <stp>CL2 Comdty</stp>
        <stp>VOLATILITY_10D</stp>
        <stp>29/01/2016</stp>
        <stp>29/01/2016</stp>
        <stp>[Bbg_Market_Data_CL.xlsm]data!R299C17</stp>
        <tr r="Q299" s="1"/>
      </tp>
      <tp t="s">
        <v>#N/A Requesting Data...</v>
        <stp/>
        <stp>##V3_BDHV12</stp>
        <stp>CL1 Comdty</stp>
        <stp>VOLATILITY_10D</stp>
        <stp>29/02/2016</stp>
        <stp>29/02/2016</stp>
        <stp>[Bbg_Market_Data_CL.xlsm]data!R280C17</stp>
        <tr r="Q280" s="1"/>
      </tp>
      <tp>
        <v>84.86</v>
        <stp/>
        <stp>##V3_BDHV12</stp>
        <stp>CL2 Comdty</stp>
        <stp>VOLATILITY_10D</stp>
        <stp>19/02/2016</stp>
        <stp>19/02/2016</stp>
        <stp>[Bbg_Market_Data_CL.xlsm]data!R286C17</stp>
        <tr r="Q286" s="1"/>
      </tp>
      <tp t="s">
        <v>#N/A Requesting Data...</v>
        <stp/>
        <stp>##V3_BDHV12</stp>
        <stp>CL1 Comdty</stp>
        <stp>VOLATILITY_30D</stp>
        <stp>28/01/2016</stp>
        <stp>28/01/2016</stp>
        <stp>[Bbg_Market_Data_CL.xlsm]data!R300C18</stp>
        <tr r="R300" s="1"/>
      </tp>
      <tp t="s">
        <v>#N/A Requesting Data...</v>
        <stp/>
        <stp>##V3_BDHV12</stp>
        <stp>CL1 Comdty</stp>
        <stp>VOLATILITY_10D</stp>
        <stp>13/08/2015</stp>
        <stp>13/08/2015</stp>
        <stp>[Bbg_Market_Data_CL.xlsm]data!R413C17</stp>
        <tr r="Q413" s="1"/>
      </tp>
      <tp t="s">
        <v>#N/A Requesting Data...</v>
        <stp/>
        <stp>##V3_BDHV12</stp>
        <stp>CL2 Comdty</stp>
        <stp>VOLATILITY_30D</stp>
        <stp>03/08/2015</stp>
        <stp>03/08/2015</stp>
        <stp>[Bbg_Market_Data_CL.xlsm]data!R421C18</stp>
        <tr r="R421" s="1"/>
      </tp>
      <tp>
        <v>35.700000000000003</v>
        <stp/>
        <stp>##V3_BDHV12</stp>
        <stp>CL2 Comdty</stp>
        <stp>VOLATILITY_30D</stp>
        <stp>12/08/2015</stp>
        <stp>12/08/2015</stp>
        <stp>[Bbg_Market_Data_CL.xlsm]data!R414C18</stp>
        <tr r="R414" s="1"/>
      </tp>
      <tp t="s">
        <v>#N/A Requesting Data...</v>
        <stp/>
        <stp>##V3_BDHV12</stp>
        <stp>CL1 Comdty</stp>
        <stp>VOLATILITY_10D</stp>
        <stp>31/08/2015</stp>
        <stp>31/08/2015</stp>
        <stp>[Bbg_Market_Data_CL.xlsm]data!R401C17</stp>
        <tr r="Q401" s="1"/>
      </tp>
      <tp t="s">
        <v>#N/A Requesting Data...</v>
        <stp/>
        <stp>##V3_BDHV12</stp>
        <stp>CL1 Comdty</stp>
        <stp>VOLATILITY_30D</stp>
        <stp>01/09/2015</stp>
        <stp>01/09/2015</stp>
        <stp>[Bbg_Market_Data_CL.xlsm]data!R400C18</stp>
        <tr r="R400" s="1"/>
      </tp>
      <tp>
        <v>30.2</v>
        <stp/>
        <stp>##V3_BDHV12</stp>
        <stp>CL2 Comdty</stp>
        <stp>VOLATILITY_30D</stp>
        <stp>21/08/2015</stp>
        <stp>21/08/2015</stp>
        <stp>[Bbg_Market_Data_CL.xlsm]data!R407C18</stp>
        <tr r="R407" s="1"/>
      </tp>
      <tp t="s">
        <v>#N/A Requesting Data...</v>
        <stp/>
        <stp>##V3_BDHV12</stp>
        <stp>CL1 Comdty</stp>
        <stp>VOLATILITY_30D</stp>
        <stp>11/08/2015</stp>
        <stp>11/08/2015</stp>
        <stp>[Bbg_Market_Data_CL.xlsm]data!R415C18</stp>
        <tr r="R415" s="1"/>
      </tp>
      <tp>
        <v>36.11</v>
        <stp/>
        <stp>##V3_BDHV12</stp>
        <stp>CL2 Comdty</stp>
        <stp>VOLATILITY_10D</stp>
        <stp>10/08/2015</stp>
        <stp>10/08/2015</stp>
        <stp>[Bbg_Market_Data_CL.xlsm]data!R416C17</stp>
        <tr r="Q416" s="1"/>
      </tp>
      <tp t="s">
        <v>#N/A Requesting Data...</v>
        <stp/>
        <stp>##V3_BDHV12</stp>
        <stp>CL1 Comdty</stp>
        <stp>VOLATILITY_10D</stp>
        <stp>20/08/2015</stp>
        <stp>20/08/2015</stp>
        <stp>[Bbg_Market_Data_CL.xlsm]data!R408C17</stp>
        <tr r="Q408" s="1"/>
      </tp>
      <tp>
        <v>41.15</v>
        <stp/>
        <stp>##V3_BDHV12</stp>
        <stp>CL2 Comdty</stp>
        <stp>VOLATILITY_10D</stp>
        <stp>21/09/2016</stp>
        <stp>21/09/2016</stp>
        <stp>[Bbg_Market_Data_CL.xlsm]data!R138C17</stp>
        <tr r="Q138" s="1"/>
      </tp>
      <tp>
        <v>35.99</v>
        <stp/>
        <stp>##V3_BDHV12</stp>
        <stp>CL2 Comdty</stp>
        <stp>VOLATILITY_10D</stp>
        <stp>31/08/2016</stp>
        <stp>31/08/2016</stp>
        <stp>[Bbg_Market_Data_CL.xlsm]data!R152C17</stp>
        <tr r="Q152" s="1"/>
      </tp>
      <tp t="s">
        <v>#N/A Requesting Data...</v>
        <stp/>
        <stp>##V3_BDHV12</stp>
        <stp>CL1 Comdty</stp>
        <stp>VOLATILITY_10D</stp>
        <stp>01/08/2016</stp>
        <stp>01/08/2016</stp>
        <stp>[Bbg_Market_Data_CL.xlsm]data!R173C17</stp>
        <tr r="Q173" s="1"/>
      </tp>
      <tp t="s">
        <v>#N/A Requesting Data...</v>
        <stp/>
        <stp>##V3_BDHV12</stp>
        <stp>CL1 Comdty</stp>
        <stp>VOLATILITY_30D</stp>
        <stp>10/09/2015</stp>
        <stp>10/09/2015</stp>
        <stp>[Bbg_Market_Data_CL.xlsm]data!R394C18</stp>
        <tr r="R394" s="1"/>
      </tp>
      <tp>
        <v>40.880000000000003</v>
        <stp/>
        <stp>##V3_BDHV12</stp>
        <stp>CL2 Comdty</stp>
        <stp>VOLATILITY_30D</stp>
        <stp>11/08/2016</stp>
        <stp>11/08/2016</stp>
        <stp>[Bbg_Market_Data_CL.xlsm]data!R166C18</stp>
        <tr r="R166" s="1"/>
      </tp>
      <tp t="s">
        <v>#N/A Requesting Data...</v>
        <stp/>
        <stp>##V3_BDHV12</stp>
        <stp>CL1 Comdty</stp>
        <stp>VOLATILITY_10D</stp>
        <stp>30/09/2015</stp>
        <stp>30/09/2015</stp>
        <stp>[Bbg_Market_Data_CL.xlsm]data!R380C17</stp>
        <tr r="Q380" s="1"/>
      </tp>
      <tp>
        <v>38.46</v>
        <stp/>
        <stp>##V3_BDHV12</stp>
        <stp>CL2 Comdty</stp>
        <stp>VOLATILITY_30D</stp>
        <stp>01/09/2016</stp>
        <stp>01/09/2016</stp>
        <stp>[Bbg_Market_Data_CL.xlsm]data!R151C18</stp>
        <tr r="R151" s="1"/>
      </tp>
      <tp>
        <v>48.2</v>
        <stp/>
        <stp>##V3_BDHV12</stp>
        <stp>CL2 Comdty</stp>
        <stp>VOLATILITY_10D</stp>
        <stp>30/09/2016</stp>
        <stp>30/09/2016</stp>
        <stp>[Bbg_Market_Data_CL.xlsm]data!R131C17</stp>
        <tr r="Q131" s="1"/>
      </tp>
      <tp t="s">
        <v>#N/A Requesting Data...</v>
        <stp/>
        <stp>##V3_BDHV12</stp>
        <stp>CL1 Comdty</stp>
        <stp>VOLATILITY_10D</stp>
        <stp>10/08/2016</stp>
        <stp>10/08/2016</stp>
        <stp>[Bbg_Market_Data_CL.xlsm]data!R167C17</stp>
        <tr r="Q167" s="1"/>
      </tp>
      <tp>
        <v>75.75</v>
        <stp/>
        <stp>##V3_BDHV12</stp>
        <stp>CL2 Comdty</stp>
        <stp>VOLATILITY_10D</stp>
        <stp>11/09/2015</stp>
        <stp>11/09/2015</stp>
        <stp>[Bbg_Market_Data_CL.xlsm]data!R393C17</stp>
        <tr r="Q393" s="1"/>
      </tp>
      <tp t="s">
        <v>#N/A Requesting Data...</v>
        <stp/>
        <stp>##V3_BDHV12</stp>
        <stp>CL1 Comdty</stp>
        <stp>VOLATILITY_10D</stp>
        <stp>21/09/2015</stp>
        <stp>21/09/2015</stp>
        <stp>[Bbg_Market_Data_CL.xlsm]data!R387C17</stp>
        <tr r="Q387" s="1"/>
      </tp>
      <tp t="s">
        <v>#N/A Requesting Data...</v>
        <stp/>
        <stp>##V3_BDHV12</stp>
        <stp>CL1 Comdty</stp>
        <stp>VOLATILITY_30D</stp>
        <stp>30/08/2016</stp>
        <stp>30/08/2016</stp>
        <stp>[Bbg_Market_Data_CL.xlsm]data!R153C18</stp>
        <tr r="R153" s="1"/>
      </tp>
      <tp t="s">
        <v>#N/A Requesting Data...</v>
        <stp/>
        <stp>##V3_BDHV12</stp>
        <stp>CL1 Comdty</stp>
        <stp>VOLATILITY_30D</stp>
        <stp>20/09/2016</stp>
        <stp>20/09/2016</stp>
        <stp>[Bbg_Market_Data_CL.xlsm]data!R139C18</stp>
        <tr r="R139" s="1"/>
      </tp>
      <tp t="s">
        <v>#N/A Requesting Data...</v>
        <stp/>
        <stp>##V3_BDHV12</stp>
        <stp>CL1 Comdty</stp>
        <stp>VOLATILITY_10D</stp>
        <stp>23/08/2016</stp>
        <stp>23/08/2016</stp>
        <stp>[Bbg_Market_Data_CL.xlsm]data!R158C17</stp>
        <tr r="Q158" s="1"/>
      </tp>
      <tp>
        <v>60.96</v>
        <stp/>
        <stp>##V3_BDHV12</stp>
        <stp>CL2 Comdty</stp>
        <stp>VOLATILITY_30D</stp>
        <stp>02/09/2015</stp>
        <stp>02/09/2015</stp>
        <stp>[Bbg_Market_Data_CL.xlsm]data!R399C18</stp>
        <tr r="R399" s="1"/>
      </tp>
      <tp t="s">
        <v>#N/A Requesting Data...</v>
        <stp/>
        <stp>##V3_BDHV12</stp>
        <stp>CL1 Comdty</stp>
        <stp>VOLATILITY_30D</stp>
        <stp>03/08/2016</stp>
        <stp>03/08/2016</stp>
        <stp>[Bbg_Market_Data_CL.xlsm]data!R171C18</stp>
        <tr r="R171" s="1"/>
      </tp>
      <tp>
        <v>55.69</v>
        <stp/>
        <stp>##V3_BDHV12</stp>
        <stp>CL2 Comdty</stp>
        <stp>VOLATILITY_10D</stp>
        <stp>22/09/2015</stp>
        <stp>22/09/2015</stp>
        <stp>[Bbg_Market_Data_CL.xlsm]data!R386C17</stp>
        <tr r="Q386" s="1"/>
      </tp>
      <tp t="s">
        <v>#N/A Requesting Data...</v>
        <stp/>
        <stp>##V3_BDHV12</stp>
        <stp>CL1 Comdty</stp>
        <stp>VOLATILITY_30D</stp>
        <stp>13/09/2016</stp>
        <stp>13/09/2016</stp>
        <stp>[Bbg_Market_Data_CL.xlsm]data!R144C18</stp>
        <tr r="R144" s="1"/>
      </tp>
      <tp>
        <v>41.29</v>
        <stp/>
        <stp>##V3_BDHV12</stp>
        <stp>CL2 Comdty</stp>
        <stp>VOLATILITY_30D</stp>
        <stp>23/09/2016</stp>
        <stp>23/09/2016</stp>
        <stp>[Bbg_Market_Data_CL.xlsm]data!R136C18</stp>
        <tr r="R136" s="1"/>
      </tp>
      <tp t="s">
        <v>#N/A Requesting Data...</v>
        <stp/>
        <stp>##V3_BDHV12</stp>
        <stp>CL1 Comdty</stp>
        <stp>VOLATILITY_10D</stp>
        <stp>22/09/2016</stp>
        <stp>22/09/2016</stp>
        <stp>[Bbg_Market_Data_CL.xlsm]data!R137C17</stp>
        <tr r="Q137" s="1"/>
      </tp>
      <tp>
        <v>48.98</v>
        <stp/>
        <stp>##V3_BDHV12</stp>
        <stp>CL2 Comdty</stp>
        <stp>VOLATILITY_10D</stp>
        <stp>12/09/2016</stp>
        <stp>12/09/2016</stp>
        <stp>[Bbg_Market_Data_CL.xlsm]data!R145C17</stp>
        <tr r="Q145" s="1"/>
      </tp>
      <tp>
        <v>21.84</v>
        <stp/>
        <stp>##V3_BDHV12</stp>
        <stp>CL2 Comdty</stp>
        <stp>VOLATILITY_10D</stp>
        <stp>02/08/2016</stp>
        <stp>02/08/2016</stp>
        <stp>[Bbg_Market_Data_CL.xlsm]data!R172C17</stp>
        <tr r="Q172" s="1"/>
      </tp>
      <tp t="s">
        <v>#N/A Requesting Data...</v>
        <stp/>
        <stp>##V3_BDHV12</stp>
        <stp>CL1 Comdty</stp>
        <stp>VOLATILITY_30D</stp>
        <stp>23/09/2015</stp>
        <stp>23/09/2015</stp>
        <stp>[Bbg_Market_Data_CL.xlsm]data!R385C18</stp>
        <tr r="R385" s="1"/>
      </tp>
      <tp t="s">
        <v>#N/A Requesting Data...</v>
        <stp/>
        <stp>##V3_BDHV12</stp>
        <stp>CL1 Comdty</stp>
        <stp>VOLATILITY_10D</stp>
        <stp>03/09/2015</stp>
        <stp>03/09/2015</stp>
        <stp>[Bbg_Market_Data_CL.xlsm]data!R398C17</stp>
        <tr r="Q398" s="1"/>
      </tp>
      <tp t="s">
        <v>#N/A Requesting Data...</v>
        <stp/>
        <stp>##V3_BDHV12</stp>
        <stp>CL1 Comdty</stp>
        <stp>VOLATILITY_30D</stp>
        <stp>12/08/2016</stp>
        <stp>12/08/2016</stp>
        <stp>[Bbg_Market_Data_CL.xlsm]data!R165C18</stp>
        <tr r="R165" s="1"/>
      </tp>
      <tp>
        <v>36.74</v>
        <stp/>
        <stp>##V3_BDHV12</stp>
        <stp>CL2 Comdty</stp>
        <stp>VOLATILITY_30D</stp>
        <stp>22/08/2016</stp>
        <stp>22/08/2016</stp>
        <stp>[Bbg_Market_Data_CL.xlsm]data!R159C18</stp>
        <tr r="R159" s="1"/>
      </tp>
      <tp t="s">
        <v>#N/A Requesting Data...</v>
        <stp/>
        <stp>##V3_BDHV12</stp>
        <stp>CL1 Comdty</stp>
        <stp>VOLATILITY_30D</stp>
        <stp>02/09/2016</stp>
        <stp>02/09/2016</stp>
        <stp>[Bbg_Market_Data_CL.xlsm]data!R150C18</stp>
        <tr r="R150" s="1"/>
      </tp>
      <tp>
        <v>36.69</v>
        <stp/>
        <stp>##V3_BDHV12</stp>
        <stp>CL2 Comdty</stp>
        <stp>PX_LOW</stp>
        <stp>22/12/2015</stp>
        <stp>22/12/2015</stp>
        <stp>[Bbg_Market_Data_CL.xlsm]data!R324C7</stp>
        <tr r="G324" s="1"/>
      </tp>
      <tp t="s">
        <v>#N/A Requesting Data...</v>
        <stp/>
        <stp>##V3_BDHV12</stp>
        <stp>CL1 Comdty</stp>
        <stp>PX_LOW</stp>
        <stp>22/02/2016</stp>
        <stp>22/02/2016</stp>
        <stp>[Bbg_Market_Data_CL.xlsm]data!R285C7</stp>
        <tr r="G285" s="1"/>
      </tp>
      <tp t="s">
        <v>#N/A Requesting Data...</v>
        <stp/>
        <stp>##V3_BDHV12</stp>
        <stp>CL1 Comdty</stp>
        <stp>PX_LOW</stp>
        <stp>05/07/2016</stp>
        <stp>05/07/2016</stp>
        <stp>[Bbg_Market_Data_CL.xlsm]data!R192C7</stp>
        <tr r="G192" s="1"/>
      </tp>
      <tp t="s">
        <v>#N/A Requesting Data...</v>
        <stp/>
        <stp>##V3_BDHV12</stp>
        <stp>CL1 Comdty</stp>
        <stp>PX_LOW</stp>
        <stp>20/01/2016</stp>
        <stp>20/01/2016</stp>
        <stp>[Bbg_Market_Data_CL.xlsm]data!R306C7</stp>
        <tr r="G306" s="1"/>
      </tp>
      <tp>
        <v>50.88</v>
        <stp/>
        <stp>##V3_BDHV12</stp>
        <stp>CL2 Comdty</stp>
        <stp>PX_LOW</stp>
        <stp>11/10/2016</stp>
        <stp>11/10/2016</stp>
        <stp>[Bbg_Market_Data_CL.xlsm]data!R125C7</stp>
        <tr r="G125" s="1"/>
      </tp>
      <tp t="s">
        <v>#N/A Requesting Data...</v>
        <stp/>
        <stp>##V3_BDHV12</stp>
        <stp>CL1 Comdty</stp>
        <stp>PX_LOW</stp>
        <stp>22/03/2016</stp>
        <stp>22/03/2016</stp>
        <stp>[Bbg_Market_Data_CL.xlsm]data!R264C7</stp>
        <tr r="G264" s="1"/>
      </tp>
      <tp>
        <v>31.3</v>
        <stp/>
        <stp>##V3_BDHV12</stp>
        <stp>CL2 Comdty</stp>
        <stp>PX_LOW</stp>
        <stp>02/02/2016</stp>
        <stp>02/02/2016</stp>
        <stp>[Bbg_Market_Data_CL.xlsm]data!R297C7</stp>
        <tr r="G297" s="1"/>
      </tp>
      <tp t="s">
        <v>#N/A Requesting Data...</v>
        <stp/>
        <stp>##V3_BDHV12</stp>
        <stp>CL1 Comdty</stp>
        <stp>PX_LOW</stp>
        <stp>16/07/2015</stp>
        <stp>16/07/2015</stp>
        <stp>[Bbg_Market_Data_CL.xlsm]data!R433C7</stp>
        <tr r="G433" s="1"/>
      </tp>
      <tp>
        <v>45.61</v>
        <stp/>
        <stp>##V3_BDHV12</stp>
        <stp>CL2 Comdty</stp>
        <stp>PX_LOW</stp>
        <stp>21/10/2015</stp>
        <stp>21/10/2015</stp>
        <stp>[Bbg_Market_Data_CL.xlsm]data!R366C7</stp>
        <tr r="G366" s="1"/>
      </tp>
      <tp>
        <v>27.56</v>
        <stp/>
        <stp>##V3_BDHV12</stp>
        <stp>CL2 Comdty</stp>
        <stp>PX_LOW</stp>
        <stp>20/01/2016</stp>
        <stp>20/01/2016</stp>
        <stp>[Bbg_Market_Data_CL.xlsm]data!R306C7</stp>
        <tr r="G306" s="1"/>
      </tp>
      <tp t="s">
        <v>#N/A Requesting Data...</v>
        <stp/>
        <stp>##V3_BDHV12</stp>
        <stp>CL1 Comdty</stp>
        <stp>PX_LOW</stp>
        <stp>11/10/2016</stp>
        <stp>11/10/2016</stp>
        <stp>[Bbg_Market_Data_CL.xlsm]data!R125C7</stp>
        <tr r="G125" s="1"/>
      </tp>
      <tp>
        <v>41.75</v>
        <stp/>
        <stp>##V3_BDHV12</stp>
        <stp>CL2 Comdty</stp>
        <stp>PX_LOW</stp>
        <stp>22/03/2016</stp>
        <stp>22/03/2016</stp>
        <stp>[Bbg_Market_Data_CL.xlsm]data!R264C7</stp>
        <tr r="G264" s="1"/>
      </tp>
      <tp t="s">
        <v>#N/A Requesting Data...</v>
        <stp/>
        <stp>##V3_BDHV12</stp>
        <stp>CL1 Comdty</stp>
        <stp>PX_LOW</stp>
        <stp>02/02/2016</stp>
        <stp>02/02/2016</stp>
        <stp>[Bbg_Market_Data_CL.xlsm]data!R297C7</stp>
        <tr r="G297" s="1"/>
      </tp>
      <tp t="s">
        <v>#N/A Requesting Data...</v>
        <stp/>
        <stp>##V3_BDHV12</stp>
        <stp>CL2 Comdty</stp>
        <stp>PX_LOW</stp>
        <stp>16/07/2015</stp>
        <stp>16/07/2015</stp>
        <stp>[Bbg_Market_Data_CL.xlsm]data!R433C7</stp>
        <tr r="G433" s="1"/>
      </tp>
      <tp t="s">
        <v>#N/A Requesting Data...</v>
        <stp/>
        <stp>##V3_BDHV12</stp>
        <stp>CL1 Comdty</stp>
        <stp>PX_LOW</stp>
        <stp>21/10/2015</stp>
        <stp>21/10/2015</stp>
        <stp>[Bbg_Market_Data_CL.xlsm]data!R366C7</stp>
        <tr r="G366" s="1"/>
      </tp>
      <tp t="s">
        <v>#N/A Requesting Data...</v>
        <stp/>
        <stp>##V3_BDHV12</stp>
        <stp>CL1 Comdty</stp>
        <stp>PX_LOW</stp>
        <stp>22/12/2015</stp>
        <stp>22/12/2015</stp>
        <stp>[Bbg_Market_Data_CL.xlsm]data!R324C7</stp>
        <tr r="G324" s="1"/>
      </tp>
      <tp>
        <v>31.61</v>
        <stp/>
        <stp>##V3_BDHV12</stp>
        <stp>CL2 Comdty</stp>
        <stp>PX_LOW</stp>
        <stp>22/02/2016</stp>
        <stp>22/02/2016</stp>
        <stp>[Bbg_Market_Data_CL.xlsm]data!R285C7</stp>
        <tr r="G285" s="1"/>
      </tp>
      <tp>
        <v>47</v>
        <stp/>
        <stp>##V3_BDHV12</stp>
        <stp>CL2 Comdty</stp>
        <stp>PX_LOW</stp>
        <stp>05/07/2016</stp>
        <stp>05/07/2016</stp>
        <stp>[Bbg_Market_Data_CL.xlsm]data!R192C7</stp>
        <tr r="G192" s="1"/>
      </tp>
      <tp>
        <v>48.85</v>
        <stp/>
        <stp>##V3_BDHV12</stp>
        <stp>CL2 Comdty</stp>
        <stp>PX_LOW</stp>
        <stp>21/06/2016</stp>
        <stp>21/06/2016</stp>
        <stp>[Bbg_Market_Data_CL.xlsm]data!R201C7</stp>
        <tr r="G201" s="1"/>
      </tp>
      <tp>
        <v>48.8</v>
        <stp/>
        <stp>##V3_BDHV12</stp>
        <stp>CL2 Comdty</stp>
        <stp>PX_LOW</stp>
        <stp>03/06/2016</stp>
        <stp>03/06/2016</stp>
        <stp>[Bbg_Market_Data_CL.xlsm]data!R213C7</stp>
        <tr r="G213" s="1"/>
      </tp>
      <tp t="s">
        <v>#N/A Requesting Data...</v>
        <stp/>
        <stp>##V3_BDHV12</stp>
        <stp>CL1 Comdty</stp>
        <stp>PX_LOW</stp>
        <stp>10/04/2015</stp>
        <stp>10/04/2015</stp>
        <stp>[Bbg_Market_Data_CL.xlsm]data!R500C7</stp>
        <tr r="G500" s="1"/>
      </tp>
      <tp>
        <v>41.03</v>
        <stp/>
        <stp>##V3_BDHV12</stp>
        <stp>CL2 Comdty</stp>
        <stp>PX_LOW</stp>
        <stp>04/12/2015</stp>
        <stp>04/12/2015</stp>
        <stp>[Bbg_Market_Data_CL.xlsm]data!R336C7</stp>
        <tr r="G336" s="1"/>
      </tp>
      <tp t="s">
        <v>#N/A Requesting Data...</v>
        <stp/>
        <stp>##V3_BDHV12</stp>
        <stp>CL1 Comdty</stp>
        <stp>PX_LOW</stp>
        <stp>07/01/2016</stp>
        <stp>07/01/2016</stp>
        <stp>[Bbg_Market_Data_CL.xlsm]data!R314C7</stp>
        <tr r="G314" s="1"/>
      </tp>
      <tp t="s">
        <v>#N/A Requesting Data...</v>
        <stp/>
        <stp>##V3_BDHV12</stp>
        <stp>CL1 Comdty</stp>
        <stp>PX_LOW</stp>
        <stp>03/06/2015</stp>
        <stp>03/06/2015</stp>
        <stp>[Bbg_Market_Data_CL.xlsm]data!R463C7</stp>
        <tr r="G463" s="1"/>
      </tp>
      <tp t="s">
        <v>#N/A Requesting Data...</v>
        <stp/>
        <stp>##V3_BDHV12</stp>
        <stp>CL1 Comdty</stp>
        <stp>PX_LOW</stp>
        <stp>24/10/2016</stp>
        <stp>24/10/2016</stp>
        <stp>[Bbg_Market_Data_CL.xlsm]data!R116C7</stp>
        <tr r="G116" s="1"/>
      </tp>
      <tp>
        <v>40</v>
        <stp/>
        <stp>##V3_BDHV12</stp>
        <stp>CL2 Comdty</stp>
        <stp>PX_LOW</stp>
        <stp>17/03/2016</stp>
        <stp>17/03/2016</stp>
        <stp>[Bbg_Market_Data_CL.xlsm]data!R267C7</stp>
        <tr r="G267" s="1"/>
      </tp>
      <tp t="s">
        <v>#N/A Requesting Data...</v>
        <stp/>
        <stp>##V3_BDHV12</stp>
        <stp>CL1 Comdty</stp>
        <stp>PX_LOW</stp>
        <stp>02/07/2015</stp>
        <stp>02/07/2015</stp>
        <stp>[Bbg_Market_Data_CL.xlsm]data!R442C7</stp>
        <tr r="G442" s="1"/>
      </tp>
      <tp t="s">
        <v>#N/A Requesting Data...</v>
        <stp/>
        <stp>##V3_BDHV12</stp>
        <stp>CL1 Comdty</stp>
        <stp>PX_LOW</stp>
        <stp>20/05/2016</stp>
        <stp>20/05/2016</stp>
        <stp>[Bbg_Market_Data_CL.xlsm]data!R222C7</stp>
        <tr r="G222" s="1"/>
      </tp>
      <tp t="s">
        <v>#N/A Requesting Data...</v>
        <stp/>
        <stp>##V3_BDHV12</stp>
        <stp>CL1 Comdty</stp>
        <stp>PX_LOW</stp>
        <stp>21/04/2016</stp>
        <stp>21/04/2016</stp>
        <stp>[Bbg_Market_Data_CL.xlsm]data!R243C7</stp>
        <tr r="G243" s="1"/>
      </tp>
      <tp t="s">
        <v>#N/A Requesting Data...</v>
        <stp/>
        <stp>##V3_BDHV12</stp>
        <stp>CL1 Comdty</stp>
        <stp>PX_LOW</stp>
        <stp>12/04/2016</stp>
        <stp>12/04/2016</stp>
        <stp>[Bbg_Market_Data_CL.xlsm]data!R250C7</stp>
        <tr r="G250" s="1"/>
      </tp>
      <tp>
        <v>45.22</v>
        <stp/>
        <stp>##V3_BDHV12</stp>
        <stp>CL2 Comdty</stp>
        <stp>PX_LOW</stp>
        <stp>21/07/2016</stp>
        <stp>21/07/2016</stp>
        <stp>[Bbg_Market_Data_CL.xlsm]data!R180C7</stp>
        <tr r="G180" s="1"/>
      </tp>
      <tp t="s">
        <v>#N/A Requesting Data...</v>
        <stp/>
        <stp>##V3_BDHV12</stp>
        <stp>CL1 Comdty</stp>
        <stp>PX_LOW</stp>
        <stp>21/07/2015</stp>
        <stp>21/07/2015</stp>
        <stp>[Bbg_Market_Data_CL.xlsm]data!R430C7</stp>
        <tr r="G430" s="1"/>
      </tp>
      <tp t="s">
        <v>#N/A Requesting Data...</v>
        <stp/>
        <stp>##V3_BDHV12</stp>
        <stp>CL1 Comdty</stp>
        <stp>PX_LOW</stp>
        <stp>04/03/2016</stp>
        <stp>04/03/2016</stp>
        <stp>[Bbg_Market_Data_CL.xlsm]data!R276C7</stp>
        <tr r="G276" s="1"/>
      </tp>
      <tp t="s">
        <v>#N/A Requesting Data...</v>
        <stp/>
        <stp>##V3_BDHV12</stp>
        <stp>CL2 Comdty</stp>
        <stp>PX_LOW</stp>
        <stp>21/04/2015</stp>
        <stp>21/04/2015</stp>
        <stp>[Bbg_Market_Data_CL.xlsm]data!R493C7</stp>
        <tr r="G493" s="1"/>
      </tp>
      <tp t="s">
        <v>#N/A Requesting Data...</v>
        <stp/>
        <stp>##V3_BDHV12</stp>
        <stp>CL1 Comdty</stp>
        <stp>PX_LOW</stp>
        <stp>17/12/2015</stp>
        <stp>17/12/2015</stp>
        <stp>[Bbg_Market_Data_CL.xlsm]data!R327C7</stp>
        <tr r="G327" s="1"/>
      </tp>
      <tp t="s">
        <v>#N/A Requesting Data...</v>
        <stp/>
        <stp>##V3_BDHV12</stp>
        <stp>CL2 Comdty</stp>
        <stp>PX_LOW</stp>
        <stp>20/05/2015</stp>
        <stp>20/05/2015</stp>
        <stp>[Bbg_Market_Data_CL.xlsm]data!R472C7</stp>
        <tr r="G472" s="1"/>
      </tp>
      <tp t="s">
        <v>#N/A Requesting Data...</v>
        <stp/>
        <stp>##V3_BDHV12</stp>
        <stp>CL1 Comdty</stp>
        <stp>PX_LOW</stp>
        <stp>05/11/2015</stp>
        <stp>05/11/2015</stp>
        <stp>[Bbg_Market_Data_CL.xlsm]data!R355C7</stp>
        <tr r="G355" s="1"/>
      </tp>
      <tp>
        <v>47.95</v>
        <stp/>
        <stp>##V3_BDHV12</stp>
        <stp>CL2 Comdty</stp>
        <stp>PX_LOW</stp>
        <stp>20/05/2016</stp>
        <stp>20/05/2016</stp>
        <stp>[Bbg_Market_Data_CL.xlsm]data!R222C7</stp>
        <tr r="G222" s="1"/>
      </tp>
      <tp>
        <v>43.89</v>
        <stp/>
        <stp>##V3_BDHV12</stp>
        <stp>CL2 Comdty</stp>
        <stp>PX_LOW</stp>
        <stp>21/04/2016</stp>
        <stp>21/04/2016</stp>
        <stp>[Bbg_Market_Data_CL.xlsm]data!R243C7</stp>
        <tr r="G243" s="1"/>
      </tp>
      <tp>
        <v>41.47</v>
        <stp/>
        <stp>##V3_BDHV12</stp>
        <stp>CL2 Comdty</stp>
        <stp>PX_LOW</stp>
        <stp>12/04/2016</stp>
        <stp>12/04/2016</stp>
        <stp>[Bbg_Market_Data_CL.xlsm]data!R250C7</stp>
        <tr r="G250" s="1"/>
      </tp>
      <tp t="s">
        <v>#N/A Requesting Data...</v>
        <stp/>
        <stp>##V3_BDHV12</stp>
        <stp>CL1 Comdty</stp>
        <stp>PX_LOW</stp>
        <stp>21/07/2016</stp>
        <stp>21/07/2016</stp>
        <stp>[Bbg_Market_Data_CL.xlsm]data!R180C7</stp>
        <tr r="G180" s="1"/>
      </tp>
      <tp t="s">
        <v>#N/A Requesting Data...</v>
        <stp/>
        <stp>##V3_BDHV12</stp>
        <stp>CL2 Comdty</stp>
        <stp>PX_LOW</stp>
        <stp>21/07/2015</stp>
        <stp>21/07/2015</stp>
        <stp>[Bbg_Market_Data_CL.xlsm]data!R430C7</stp>
        <tr r="G430" s="1"/>
      </tp>
      <tp>
        <v>36.19</v>
        <stp/>
        <stp>##V3_BDHV12</stp>
        <stp>CL2 Comdty</stp>
        <stp>PX_LOW</stp>
        <stp>04/03/2016</stp>
        <stp>04/03/2016</stp>
        <stp>[Bbg_Market_Data_CL.xlsm]data!R276C7</stp>
        <tr r="G276" s="1"/>
      </tp>
      <tp t="s">
        <v>#N/A Requesting Data...</v>
        <stp/>
        <stp>##V3_BDHV12</stp>
        <stp>CL1 Comdty</stp>
        <stp>PX_LOW</stp>
        <stp>21/04/2015</stp>
        <stp>21/04/2015</stp>
        <stp>[Bbg_Market_Data_CL.xlsm]data!R493C7</stp>
        <tr r="G493" s="1"/>
      </tp>
      <tp>
        <v>35.96</v>
        <stp/>
        <stp>##V3_BDHV12</stp>
        <stp>CL2 Comdty</stp>
        <stp>PX_LOW</stp>
        <stp>17/12/2015</stp>
        <stp>17/12/2015</stp>
        <stp>[Bbg_Market_Data_CL.xlsm]data!R327C7</stp>
        <tr r="G327" s="1"/>
      </tp>
      <tp t="s">
        <v>#N/A Requesting Data...</v>
        <stp/>
        <stp>##V3_BDHV12</stp>
        <stp>CL1 Comdty</stp>
        <stp>PX_LOW</stp>
        <stp>20/05/2015</stp>
        <stp>20/05/2015</stp>
        <stp>[Bbg_Market_Data_CL.xlsm]data!R472C7</stp>
        <tr r="G472" s="1"/>
      </tp>
      <tp>
        <v>46.15</v>
        <stp/>
        <stp>##V3_BDHV12</stp>
        <stp>CL2 Comdty</stp>
        <stp>PX_LOW</stp>
        <stp>05/11/2015</stp>
        <stp>05/11/2015</stp>
        <stp>[Bbg_Market_Data_CL.xlsm]data!R355C7</stp>
        <tr r="G355" s="1"/>
      </tp>
      <tp t="s">
        <v>#N/A Requesting Data...</v>
        <stp/>
        <stp>##V3_BDHV12</stp>
        <stp>CL1 Comdty</stp>
        <stp>PX_LOW</stp>
        <stp>21/06/2016</stp>
        <stp>21/06/2016</stp>
        <stp>[Bbg_Market_Data_CL.xlsm]data!R201C7</stp>
        <tr r="G201" s="1"/>
      </tp>
      <tp t="s">
        <v>#N/A Requesting Data...</v>
        <stp/>
        <stp>##V3_BDHV12</stp>
        <stp>CL1 Comdty</stp>
        <stp>PX_LOW</stp>
        <stp>03/06/2016</stp>
        <stp>03/06/2016</stp>
        <stp>[Bbg_Market_Data_CL.xlsm]data!R213C7</stp>
        <tr r="G213" s="1"/>
      </tp>
      <tp t="s">
        <v>#N/A Requesting Data...</v>
        <stp/>
        <stp>##V3_BDHV12</stp>
        <stp>CL2 Comdty</stp>
        <stp>PX_LOW</stp>
        <stp>10/04/2015</stp>
        <stp>10/04/2015</stp>
        <stp>[Bbg_Market_Data_CL.xlsm]data!R500C7</stp>
        <tr r="G500" s="1"/>
      </tp>
      <tp t="s">
        <v>#N/A Requesting Data...</v>
        <stp/>
        <stp>##V3_BDHV12</stp>
        <stp>CL1 Comdty</stp>
        <stp>PX_LOW</stp>
        <stp>04/12/2015</stp>
        <stp>04/12/2015</stp>
        <stp>[Bbg_Market_Data_CL.xlsm]data!R336C7</stp>
        <tr r="G336" s="1"/>
      </tp>
      <tp>
        <v>33.340000000000003</v>
        <stp/>
        <stp>##V3_BDHV12</stp>
        <stp>CL2 Comdty</stp>
        <stp>PX_LOW</stp>
        <stp>07/01/2016</stp>
        <stp>07/01/2016</stp>
        <stp>[Bbg_Market_Data_CL.xlsm]data!R314C7</stp>
        <tr r="G314" s="1"/>
      </tp>
      <tp t="s">
        <v>#N/A Requesting Data...</v>
        <stp/>
        <stp>##V3_BDHV12</stp>
        <stp>CL2 Comdty</stp>
        <stp>PX_LOW</stp>
        <stp>03/06/2015</stp>
        <stp>03/06/2015</stp>
        <stp>[Bbg_Market_Data_CL.xlsm]data!R463C7</stp>
        <tr r="G463" s="1"/>
      </tp>
      <tp>
        <v>50.27</v>
        <stp/>
        <stp>##V3_BDHV12</stp>
        <stp>CL2 Comdty</stp>
        <stp>PX_LOW</stp>
        <stp>24/10/2016</stp>
        <stp>24/10/2016</stp>
        <stp>[Bbg_Market_Data_CL.xlsm]data!R116C7</stp>
        <tr r="G116" s="1"/>
      </tp>
      <tp t="s">
        <v>#N/A Requesting Data...</v>
        <stp/>
        <stp>##V3_BDHV12</stp>
        <stp>CL1 Comdty</stp>
        <stp>PX_LOW</stp>
        <stp>17/03/2016</stp>
        <stp>17/03/2016</stp>
        <stp>[Bbg_Market_Data_CL.xlsm]data!R267C7</stp>
        <tr r="G267" s="1"/>
      </tp>
      <tp t="s">
        <v>#N/A Requesting Data...</v>
        <stp/>
        <stp>##V3_BDHV12</stp>
        <stp>CL2 Comdty</stp>
        <stp>PX_LOW</stp>
        <stp>02/07/2015</stp>
        <stp>02/07/2015</stp>
        <stp>[Bbg_Market_Data_CL.xlsm]data!R442C7</stp>
        <tr r="G442" s="1"/>
      </tp>
      <tp t="s">
        <v>#N/A Requesting Data...</v>
        <stp/>
        <stp>##V3_BDHV12</stp>
        <stp>CL1 Comdty</stp>
        <stp>PX_LOW</stp>
        <stp>19/02/2016</stp>
        <stp>19/02/2016</stp>
        <stp>[Bbg_Market_Data_CL.xlsm]data!R286C7</stp>
        <tr r="G286" s="1"/>
      </tp>
      <tp>
        <v>44.99</v>
        <stp/>
        <stp>##V3_BDHV12</stp>
        <stp>CL2 Comdty</stp>
        <stp>PX_LOW</stp>
        <stp>08/11/2016</stp>
        <stp>08/11/2016</stp>
        <stp>[Bbg_Market_Data_CL.xlsm]data!R105C7</stp>
        <tr r="G105" s="1"/>
      </tp>
      <tp t="s">
        <v>#N/A Requesting Data...</v>
        <stp/>
        <stp>##V3_BDHV12</stp>
        <stp>CL1 Comdty</stp>
        <stp>PX_LOW</stp>
        <stp>08/10/2015</stp>
        <stp>08/10/2015</stp>
        <stp>[Bbg_Market_Data_CL.xlsm]data!R374C7</stp>
        <tr r="G374" s="1"/>
      </tp>
      <tp>
        <v>48.32</v>
        <stp/>
        <stp>##V3_BDHV12</stp>
        <stp>CL2 Comdty</stp>
        <stp>PX_LOW</stp>
        <stp>08/10/2015</stp>
        <stp>08/10/2015</stp>
        <stp>[Bbg_Market_Data_CL.xlsm]data!R374C7</stp>
        <tr r="G374" s="1"/>
      </tp>
      <tp>
        <v>31.34</v>
        <stp/>
        <stp>##V3_BDHV12</stp>
        <stp>CL2 Comdty</stp>
        <stp>PX_LOW</stp>
        <stp>19/02/2016</stp>
        <stp>19/02/2016</stp>
        <stp>[Bbg_Market_Data_CL.xlsm]data!R286C7</stp>
        <tr r="G286" s="1"/>
      </tp>
      <tp t="s">
        <v>#N/A Requesting Data...</v>
        <stp/>
        <stp>##V3_BDHV12</stp>
        <stp>CL1 Comdty</stp>
        <stp>PX_LOW</stp>
        <stp>08/11/2016</stp>
        <stp>08/11/2016</stp>
        <stp>[Bbg_Market_Data_CL.xlsm]data!R105C7</stp>
        <tr r="G105" s="1"/>
      </tp>
      <tp t="s">
        <v>#N/A Requesting Data...</v>
        <stp/>
        <stp>##V3_BDHV12</stp>
        <stp>CL1 Comdty</stp>
        <stp>PX_LOW</stp>
        <stp>18/07/2016</stp>
        <stp>18/07/2016</stp>
        <stp>[Bbg_Market_Data_CL.xlsm]data!R183C7</stp>
        <tr r="G183" s="1"/>
      </tp>
      <tp t="s">
        <v>#N/A Requesting Data...</v>
        <stp/>
        <stp>##V3_BDHV12</stp>
        <stp>CL1 Comdty</stp>
        <stp>PX_LOW</stp>
        <stp>08/05/2015</stp>
        <stp>08/05/2015</stp>
        <stp>[Bbg_Market_Data_CL.xlsm]data!R480C7</stp>
        <tr r="G480" s="1"/>
      </tp>
      <tp t="s">
        <v>#N/A Requesting Data...</v>
        <stp/>
        <stp>##V3_BDHV12</stp>
        <stp>CL2 Comdty</stp>
        <stp>PX_LOW</stp>
        <stp>18/06/2015</stp>
        <stp>18/06/2015</stp>
        <stp>[Bbg_Market_Data_CL.xlsm]data!R452C7</stp>
        <tr r="G452" s="1"/>
      </tp>
      <tp t="s">
        <v>#N/A Requesting Data...</v>
        <stp/>
        <stp>##V3_BDHV12</stp>
        <stp>CL1 Comdty</stp>
        <stp>PX_LOW</stp>
        <stp>18/06/2015</stp>
        <stp>18/06/2015</stp>
        <stp>[Bbg_Market_Data_CL.xlsm]data!R452C7</stp>
        <tr r="G452" s="1"/>
      </tp>
      <tp>
        <v>45.54</v>
        <stp/>
        <stp>##V3_BDHV12</stp>
        <stp>CL2 Comdty</stp>
        <stp>PX_LOW</stp>
        <stp>18/07/2016</stp>
        <stp>18/07/2016</stp>
        <stp>[Bbg_Market_Data_CL.xlsm]data!R183C7</stp>
        <tr r="G183" s="1"/>
      </tp>
      <tp t="s">
        <v>#N/A Requesting Data...</v>
        <stp/>
        <stp>##V3_BDHV12</stp>
        <stp>CL2 Comdty</stp>
        <stp>PX_LOW</stp>
        <stp>08/05/2015</stp>
        <stp>08/05/2015</stp>
        <stp>[Bbg_Market_Data_CL.xlsm]data!R480C7</stp>
        <tr r="G480" s="1"/>
      </tp>
      <tp t="s">
        <v>#N/A Requesting Data...</v>
        <stp/>
        <stp>##V3_BDHV12</stp>
        <stp>CL1 Comdty</stp>
        <stp>VOLATILITY_10D</stp>
        <stp>09/11/2016</stp>
        <stp>09/11/2016</stp>
        <stp>[Bbg_Market_Data_CL.xlsm]data!R104C17</stp>
        <tr r="Q104" s="1"/>
      </tp>
      <tp t="s">
        <v>#N/A Requesting Data...</v>
        <stp/>
        <stp>##V3_BDHV12</stp>
        <stp>CL1 Comdty</stp>
        <stp>VOLATILITY_10D</stp>
        <stp>19/10/2016</stp>
        <stp>19/10/2016</stp>
        <stp>[Bbg_Market_Data_CL.xlsm]data!R119C17</stp>
        <tr r="Q119" s="1"/>
      </tp>
      <tp>
        <v>47.46</v>
        <stp/>
        <stp>##V3_BDHV12</stp>
        <stp>CL2 Comdty</stp>
        <stp>VOLATILITY_10D</stp>
        <stp>28/12/2015</stp>
        <stp>28/12/2015</stp>
        <stp>[Bbg_Market_Data_CL.xlsm]data!R321C17</stp>
        <tr r="Q321" s="1"/>
      </tp>
      <tp t="s">
        <v>#N/A Requesting Data...</v>
        <stp/>
        <stp>##V3_BDHV12</stp>
        <stp>CL1 Comdty</stp>
        <stp>VOLATILITY_10D</stp>
        <stp>18/12/2015</stp>
        <stp>18/12/2015</stp>
        <stp>[Bbg_Market_Data_CL.xlsm]data!R326C17</stp>
        <tr r="Q326" s="1"/>
      </tp>
      <tp>
        <v>28.18</v>
        <stp/>
        <stp>##V3_BDHV12</stp>
        <stp>CL2 Comdty</stp>
        <stp>VOLATILITY_10D</stp>
        <stp>18/11/2015</stp>
        <stp>18/11/2015</stp>
        <stp>[Bbg_Market_Data_CL.xlsm]data!R347C17</stp>
        <tr r="Q347" s="1"/>
      </tp>
      <tp>
        <v>38.299999999999997</v>
        <stp/>
        <stp>##V3_BDHV12</stp>
        <stp>CL2 Comdty</stp>
        <stp>VOLATILITY_10D</stp>
        <stp>08/10/2015</stp>
        <stp>08/10/2015</stp>
        <stp>[Bbg_Market_Data_CL.xlsm]data!R374C17</stp>
        <tr r="Q374" s="1"/>
      </tp>
      <tp>
        <v>41.81</v>
        <stp/>
        <stp>##V3_BDHV12</stp>
        <stp>CL2 Comdty</stp>
        <stp>VOLATILITY_30D</stp>
        <stp>28/10/2015</stp>
        <stp>28/10/2015</stp>
        <stp>[Bbg_Market_Data_CL.xlsm]data!R361C18</stp>
        <tr r="R361" s="1"/>
      </tp>
      <tp>
        <v>40.96</v>
        <stp/>
        <stp>##V3_BDHV12</stp>
        <stp>CL2 Comdty</stp>
        <stp>VOLATILITY_30D</stp>
        <stp>08/12/2015</stp>
        <stp>08/12/2015</stp>
        <stp>[Bbg_Market_Data_CL.xlsm]data!R334C18</stp>
        <tr r="R334" s="1"/>
      </tp>
      <tp t="s">
        <v>#N/A Requesting Data...</v>
        <stp/>
        <stp>##V3_BDHV12</stp>
        <stp>CL1 Comdty</stp>
        <stp>VOLATILITY_10D</stp>
        <stp>09/12/2015</stp>
        <stp>09/12/2015</stp>
        <stp>[Bbg_Market_Data_CL.xlsm]data!R333C17</stp>
        <tr r="Q333" s="1"/>
      </tp>
      <tp>
        <v>47.43</v>
        <stp/>
        <stp>##V3_BDHV12</stp>
        <stp>CL2 Comdty</stp>
        <stp>VOLATILITY_10D</stp>
        <stp>09/11/2015</stp>
        <stp>09/11/2015</stp>
        <stp>[Bbg_Market_Data_CL.xlsm]data!R353C17</stp>
        <tr r="Q353" s="1"/>
      </tp>
      <tp t="s">
        <v>#N/A Requesting Data...</v>
        <stp/>
        <stp>##V3_BDHV12</stp>
        <stp>CL1 Comdty</stp>
        <stp>VOLATILITY_10D</stp>
        <stp>29/10/2015</stp>
        <stp>29/10/2015</stp>
        <stp>[Bbg_Market_Data_CL.xlsm]data!R360C17</stp>
        <tr r="Q360" s="1"/>
      </tp>
      <tp>
        <v>40.049999999999997</v>
        <stp/>
        <stp>##V3_BDHV12</stp>
        <stp>CL2 Comdty</stp>
        <stp>VOLATILITY_10D</stp>
        <stp>19/10/2015</stp>
        <stp>19/10/2015</stp>
        <stp>[Bbg_Market_Data_CL.xlsm]data!R368C17</stp>
        <tr r="Q368" s="1"/>
      </tp>
      <tp t="s">
        <v>#N/A Requesting Data...</v>
        <stp/>
        <stp>##V3_BDHV12</stp>
        <stp>CL1 Comdty</stp>
        <stp>VOLATILITY_30D</stp>
        <stp>09/10/2015</stp>
        <stp>09/10/2015</stp>
        <stp>[Bbg_Market_Data_CL.xlsm]data!R373C18</stp>
        <tr r="R373" s="1"/>
      </tp>
      <tp t="s">
        <v>#N/A Requesting Data...</v>
        <stp/>
        <stp>##V3_BDHV12</stp>
        <stp>CL1 Comdty</stp>
        <stp>VOLATILITY_30D</stp>
        <stp>19/11/2015</stp>
        <stp>19/11/2015</stp>
        <stp>[Bbg_Market_Data_CL.xlsm]data!R346C18</stp>
        <tr r="R346" s="1"/>
      </tp>
      <tp t="s">
        <v>#N/A Requesting Data...</v>
        <stp/>
        <stp>##V3_BDHV12</stp>
        <stp>CL1 Comdty</stp>
        <stp>VOLATILITY_30D</stp>
        <stp>29/12/2015</stp>
        <stp>29/12/2015</stp>
        <stp>[Bbg_Market_Data_CL.xlsm]data!R320C18</stp>
        <tr r="R320" s="1"/>
      </tp>
      <tp>
        <v>38.590000000000003</v>
        <stp/>
        <stp>##V3_BDHV12</stp>
        <stp>CL2 Comdty</stp>
        <stp>VOLATILITY_30D</stp>
        <stp>18/10/2016</stp>
        <stp>18/10/2016</stp>
        <stp>[Bbg_Market_Data_CL.xlsm]data!R120C18</stp>
        <tr r="R120" s="1"/>
      </tp>
      <tp t="s">
        <v>#N/A Requesting Data...</v>
        <stp/>
        <stp>##V3_BDHV12</stp>
        <stp>CL1 Comdty</stp>
        <stp>VOLATILITY_30D</stp>
        <stp>28/10/2016</stp>
        <stp>28/10/2016</stp>
        <stp>[Bbg_Market_Data_CL.xlsm]data!R112C18</stp>
        <tr r="R112" s="1"/>
      </tp>
      <tp>
        <v>26.68</v>
        <stp/>
        <stp>##V3_BDHV12</stp>
        <stp>CL2 Comdty</stp>
        <stp>VOLATILITY_30D</stp>
        <stp>08/11/2016</stp>
        <stp>08/11/2016</stp>
        <stp>[Bbg_Market_Data_CL.xlsm]data!R105C18</stp>
        <tr r="R105" s="1"/>
      </tp>
      <tp>
        <v>42.73</v>
        <stp/>
        <stp>##V3_BDHV12</stp>
        <stp>CL2 Comdty</stp>
        <stp>VOLATILITY_10D</stp>
        <stp>08/03/2016</stp>
        <stp>08/03/2016</stp>
        <stp>[Bbg_Market_Data_CL.xlsm]data!R274C17</stp>
        <tr r="Q274" s="1"/>
      </tp>
      <tp t="s">
        <v>#N/A Requesting Data...</v>
        <stp/>
        <stp>##V3_BDHV12</stp>
        <stp>CL1 Comdty</stp>
        <stp>VOLATILITY_30D</stp>
        <stp>08/02/2016</stp>
        <stp>08/02/2016</stp>
        <stp>[Bbg_Market_Data_CL.xlsm]data!R293C18</stp>
        <tr r="R293" s="1"/>
      </tp>
      <tp>
        <v>47.41</v>
        <stp/>
        <stp>##V3_BDHV12</stp>
        <stp>CL2 Comdty</stp>
        <stp>VOLATILITY_30D</stp>
        <stp>28/03/2016</stp>
        <stp>28/03/2016</stp>
        <stp>[Bbg_Market_Data_CL.xlsm]data!R261C18</stp>
        <tr r="R261" s="1"/>
      </tp>
      <tp t="s">
        <v>#N/A Requesting Data...</v>
        <stp/>
        <stp>##V3_BDHV12</stp>
        <stp>CL1 Comdty</stp>
        <stp>VOLATILITY_30D</stp>
        <stp>18/03/2016</stp>
        <stp>18/03/2016</stp>
        <stp>[Bbg_Market_Data_CL.xlsm]data!R266C18</stp>
        <tr r="R266" s="1"/>
      </tp>
      <tp>
        <v>83.21</v>
        <stp/>
        <stp>##V3_BDHV12</stp>
        <stp>CL2 Comdty</stp>
        <stp>VOLATILITY_10D</stp>
        <stp>18/02/2016</stp>
        <stp>18/02/2016</stp>
        <stp>[Bbg_Market_Data_CL.xlsm]data!R287C17</stp>
        <tr r="Q287" s="1"/>
      </tp>
      <tp>
        <v>44.13</v>
        <stp/>
        <stp>##V3_BDHV12</stp>
        <stp>CL2 Comdty</stp>
        <stp>VOLATILITY_30D</stp>
        <stp>19/01/2016</stp>
        <stp>19/01/2016</stp>
        <stp>[Bbg_Market_Data_CL.xlsm]data!R307C18</stp>
        <tr r="R307" s="1"/>
      </tp>
      <tp>
        <v>88.68</v>
        <stp/>
        <stp>##V3_BDHV12</stp>
        <stp>CL2 Comdty</stp>
        <stp>VOLATILITY_10D</stp>
        <stp>28/01/2016</stp>
        <stp>28/01/2016</stp>
        <stp>[Bbg_Market_Data_CL.xlsm]data!R300C17</stp>
        <tr r="Q300" s="1"/>
      </tp>
      <tp>
        <v>74.010000000000005</v>
        <stp/>
        <stp>##V3_BDHV12</stp>
        <stp>CL2 Comdty</stp>
        <stp>VOLATILITY_30D</stp>
        <stp>29/02/2016</stp>
        <stp>29/02/2016</stp>
        <stp>[Bbg_Market_Data_CL.xlsm]data!R280C18</stp>
        <tr r="R280" s="1"/>
      </tp>
      <tp t="s">
        <v>#N/A Requesting Data...</v>
        <stp/>
        <stp>##V3_BDHV12</stp>
        <stp>CL1 Comdty</stp>
        <stp>VOLATILITY_30D</stp>
        <stp>19/02/2016</stp>
        <stp>19/02/2016</stp>
        <stp>[Bbg_Market_Data_CL.xlsm]data!R286C18</stp>
        <tr r="R286" s="1"/>
      </tp>
      <tp t="s">
        <v>#N/A Requesting Data...</v>
        <stp/>
        <stp>##V3_BDHV12</stp>
        <stp>CL1 Comdty</stp>
        <stp>VOLATILITY_10D</stp>
        <stp>29/03/2016</stp>
        <stp>29/03/2016</stp>
        <stp>[Bbg_Market_Data_CL.xlsm]data!R260C17</stp>
        <tr r="Q260" s="1"/>
      </tp>
      <tp t="s">
        <v>#N/A Requesting Data...</v>
        <stp/>
        <stp>##V3_BDHV12</stp>
        <stp>CL1 Comdty</stp>
        <stp>VOLATILITY_30D</stp>
        <stp>29/01/2016</stp>
        <stp>29/01/2016</stp>
        <stp>[Bbg_Market_Data_CL.xlsm]data!R299C18</stp>
        <tr r="R299" s="1"/>
      </tp>
      <tp>
        <v>71.150000000000006</v>
        <stp/>
        <stp>##V3_BDHV12</stp>
        <stp>CL2 Comdty</stp>
        <stp>VOLATILITY_10D</stp>
        <stp>09/02/2016</stp>
        <stp>09/02/2016</stp>
        <stp>[Bbg_Market_Data_CL.xlsm]data!R292C17</stp>
        <tr r="Q292" s="1"/>
      </tp>
      <tp t="s">
        <v>#N/A Requesting Data...</v>
        <stp/>
        <stp>##V3_BDHV12</stp>
        <stp>CL1 Comdty</stp>
        <stp>VOLATILITY_30D</stp>
        <stp>09/03/2016</stp>
        <stp>09/03/2016</stp>
        <stp>[Bbg_Market_Data_CL.xlsm]data!R273C18</stp>
        <tr r="R273" s="1"/>
      </tp>
      <tp>
        <v>41.42</v>
        <stp/>
        <stp>##V3_BDHV12</stp>
        <stp>CL2 Comdty</stp>
        <stp>VOLATILITY_30D</stp>
        <stp>08/01/2016</stp>
        <stp>08/01/2016</stp>
        <stp>[Bbg_Market_Data_CL.xlsm]data!R313C18</stp>
        <tr r="R313" s="1"/>
      </tp>
      <tp t="s">
        <v>#N/A Requesting Data...</v>
        <stp/>
        <stp>##V3_BDHV12</stp>
        <stp>CL1 Comdty</stp>
        <stp>VOLATILITY_10D</stp>
        <stp>03/08/2015</stp>
        <stp>03/08/2015</stp>
        <stp>[Bbg_Market_Data_CL.xlsm]data!R421C17</stp>
        <tr r="Q421" s="1"/>
      </tp>
      <tp>
        <v>35.869999999999997</v>
        <stp/>
        <stp>##V3_BDHV12</stp>
        <stp>CL2 Comdty</stp>
        <stp>VOLATILITY_30D</stp>
        <stp>13/08/2015</stp>
        <stp>13/08/2015</stp>
        <stp>[Bbg_Market_Data_CL.xlsm]data!R413C18</stp>
        <tr r="R413" s="1"/>
      </tp>
      <tp t="s">
        <v>#N/A Requesting Data...</v>
        <stp/>
        <stp>##V3_BDHV12</stp>
        <stp>CL1 Comdty</stp>
        <stp>VOLATILITY_10D</stp>
        <stp>12/08/2015</stp>
        <stp>12/08/2015</stp>
        <stp>[Bbg_Market_Data_CL.xlsm]data!R414C17</stp>
        <tr r="Q414" s="1"/>
      </tp>
      <tp>
        <v>37.450000000000003</v>
        <stp/>
        <stp>##V3_BDHV12</stp>
        <stp>CL2 Comdty</stp>
        <stp>VOLATILITY_10D</stp>
        <stp>11/08/2015</stp>
        <stp>11/08/2015</stp>
        <stp>[Bbg_Market_Data_CL.xlsm]data!R415C17</stp>
        <tr r="Q415" s="1"/>
      </tp>
      <tp>
        <v>97.05</v>
        <stp/>
        <stp>##V3_BDHV12</stp>
        <stp>CL2 Comdty</stp>
        <stp>VOLATILITY_10D</stp>
        <stp>01/09/2015</stp>
        <stp>01/09/2015</stp>
        <stp>[Bbg_Market_Data_CL.xlsm]data!R400C17</stp>
        <tr r="Q400" s="1"/>
      </tp>
      <tp t="s">
        <v>#N/A Requesting Data...</v>
        <stp/>
        <stp>##V3_BDHV12</stp>
        <stp>CL1 Comdty</stp>
        <stp>VOLATILITY_10D</stp>
        <stp>21/08/2015</stp>
        <stp>21/08/2015</stp>
        <stp>[Bbg_Market_Data_CL.xlsm]data!R407C17</stp>
        <tr r="Q407" s="1"/>
      </tp>
      <tp>
        <v>56.1</v>
        <stp/>
        <stp>##V3_BDHV12</stp>
        <stp>CL2 Comdty</stp>
        <stp>VOLATILITY_30D</stp>
        <stp>31/08/2015</stp>
        <stp>31/08/2015</stp>
        <stp>[Bbg_Market_Data_CL.xlsm]data!R401C18</stp>
        <tr r="R401" s="1"/>
      </tp>
      <tp>
        <v>30.16</v>
        <stp/>
        <stp>##V3_BDHV12</stp>
        <stp>CL2 Comdty</stp>
        <stp>VOLATILITY_30D</stp>
        <stp>20/08/2015</stp>
        <stp>20/08/2015</stp>
        <stp>[Bbg_Market_Data_CL.xlsm]data!R408C18</stp>
        <tr r="R408" s="1"/>
      </tp>
      <tp t="s">
        <v>#N/A Requesting Data...</v>
        <stp/>
        <stp>##V3_BDHV12</stp>
        <stp>CL1 Comdty</stp>
        <stp>VOLATILITY_30D</stp>
        <stp>10/08/2015</stp>
        <stp>10/08/2015</stp>
        <stp>[Bbg_Market_Data_CL.xlsm]data!R416C18</stp>
        <tr r="R416" s="1"/>
      </tp>
      <tp t="s">
        <v>#N/A Requesting Data...</v>
        <stp/>
        <stp>##V3_BDHV12</stp>
        <stp>CL1 Comdty</stp>
        <stp>VOLATILITY_10D</stp>
        <stp>01/09/2016</stp>
        <stp>01/09/2016</stp>
        <stp>[Bbg_Market_Data_CL.xlsm]data!R151C17</stp>
        <tr r="Q151" s="1"/>
      </tp>
      <tp>
        <v>63.93</v>
        <stp/>
        <stp>##V3_BDHV12</stp>
        <stp>CL2 Comdty</stp>
        <stp>VOLATILITY_30D</stp>
        <stp>30/09/2015</stp>
        <stp>30/09/2015</stp>
        <stp>[Bbg_Market_Data_CL.xlsm]data!R380C18</stp>
        <tr r="R380" s="1"/>
      </tp>
      <tp t="s">
        <v>#N/A Requesting Data...</v>
        <stp/>
        <stp>##V3_BDHV12</stp>
        <stp>CL1 Comdty</stp>
        <stp>VOLATILITY_10D</stp>
        <stp>11/08/2016</stp>
        <stp>11/08/2016</stp>
        <stp>[Bbg_Market_Data_CL.xlsm]data!R166C17</stp>
        <tr r="Q166" s="1"/>
      </tp>
      <tp>
        <v>80.23</v>
        <stp/>
        <stp>##V3_BDHV12</stp>
        <stp>CL2 Comdty</stp>
        <stp>VOLATILITY_10D</stp>
        <stp>10/09/2015</stp>
        <stp>10/09/2015</stp>
        <stp>[Bbg_Market_Data_CL.xlsm]data!R394C17</stp>
        <tr r="Q394" s="1"/>
      </tp>
      <tp>
        <v>42.34</v>
        <stp/>
        <stp>##V3_BDHV12</stp>
        <stp>CL2 Comdty</stp>
        <stp>VOLATILITY_30D</stp>
        <stp>01/08/2016</stp>
        <stp>01/08/2016</stp>
        <stp>[Bbg_Market_Data_CL.xlsm]data!R173C18</stp>
        <tr r="R173" s="1"/>
      </tp>
      <tp t="s">
        <v>#N/A Requesting Data...</v>
        <stp/>
        <stp>##V3_BDHV12</stp>
        <stp>CL1 Comdty</stp>
        <stp>VOLATILITY_30D</stp>
        <stp>31/08/2016</stp>
        <stp>31/08/2016</stp>
        <stp>[Bbg_Market_Data_CL.xlsm]data!R152C18</stp>
        <tr r="R152" s="1"/>
      </tp>
      <tp t="s">
        <v>#N/A Requesting Data...</v>
        <stp/>
        <stp>##V3_BDHV12</stp>
        <stp>CL1 Comdty</stp>
        <stp>VOLATILITY_30D</stp>
        <stp>21/09/2016</stp>
        <stp>21/09/2016</stp>
        <stp>[Bbg_Market_Data_CL.xlsm]data!R138C18</stp>
        <tr r="R138" s="1"/>
      </tp>
      <tp>
        <v>42.48</v>
        <stp/>
        <stp>##V3_BDHV12</stp>
        <stp>CL2 Comdty</stp>
        <stp>VOLATILITY_10D</stp>
        <stp>20/09/2016</stp>
        <stp>20/09/2016</stp>
        <stp>[Bbg_Market_Data_CL.xlsm]data!R139C17</stp>
        <tr r="Q139" s="1"/>
      </tp>
      <tp>
        <v>36.479999999999997</v>
        <stp/>
        <stp>##V3_BDHV12</stp>
        <stp>CL2 Comdty</stp>
        <stp>VOLATILITY_10D</stp>
        <stp>30/08/2016</stp>
        <stp>30/08/2016</stp>
        <stp>[Bbg_Market_Data_CL.xlsm]data!R153C17</stp>
        <tr r="Q153" s="1"/>
      </tp>
      <tp>
        <v>65.78</v>
        <stp/>
        <stp>##V3_BDHV12</stp>
        <stp>CL2 Comdty</stp>
        <stp>VOLATILITY_30D</stp>
        <stp>21/09/2015</stp>
        <stp>21/09/2015</stp>
        <stp>[Bbg_Market_Data_CL.xlsm]data!R387C18</stp>
        <tr r="R387" s="1"/>
      </tp>
      <tp t="s">
        <v>#N/A Requesting Data...</v>
        <stp/>
        <stp>##V3_BDHV12</stp>
        <stp>CL1 Comdty</stp>
        <stp>VOLATILITY_30D</stp>
        <stp>11/09/2015</stp>
        <stp>11/09/2015</stp>
        <stp>[Bbg_Market_Data_CL.xlsm]data!R393C18</stp>
        <tr r="R393" s="1"/>
      </tp>
      <tp>
        <v>39.299999999999997</v>
        <stp/>
        <stp>##V3_BDHV12</stp>
        <stp>CL2 Comdty</stp>
        <stp>VOLATILITY_30D</stp>
        <stp>10/08/2016</stp>
        <stp>10/08/2016</stp>
        <stp>[Bbg_Market_Data_CL.xlsm]data!R167C18</stp>
        <tr r="R167" s="1"/>
      </tp>
      <tp t="s">
        <v>#N/A Requesting Data...</v>
        <stp/>
        <stp>##V3_BDHV12</stp>
        <stp>CL1 Comdty</stp>
        <stp>VOLATILITY_30D</stp>
        <stp>30/09/2016</stp>
        <stp>30/09/2016</stp>
        <stp>[Bbg_Market_Data_CL.xlsm]data!R131C18</stp>
        <tr r="R131" s="1"/>
      </tp>
      <tp t="s">
        <v>#N/A Requesting Data...</v>
        <stp/>
        <stp>##V3_BDHV12</stp>
        <stp>CL1 Comdty</stp>
        <stp>VOLATILITY_10D</stp>
        <stp>23/09/2016</stp>
        <stp>23/09/2016</stp>
        <stp>[Bbg_Market_Data_CL.xlsm]data!R136C17</stp>
        <tr r="Q136" s="1"/>
      </tp>
      <tp>
        <v>50.89</v>
        <stp/>
        <stp>##V3_BDHV12</stp>
        <stp>CL2 Comdty</stp>
        <stp>VOLATILITY_10D</stp>
        <stp>13/09/2016</stp>
        <stp>13/09/2016</stp>
        <stp>[Bbg_Market_Data_CL.xlsm]data!R144C17</stp>
        <tr r="Q144" s="1"/>
      </tp>
      <tp>
        <v>32.799999999999997</v>
        <stp/>
        <stp>##V3_BDHV12</stp>
        <stp>CL2 Comdty</stp>
        <stp>VOLATILITY_10D</stp>
        <stp>03/08/2016</stp>
        <stp>03/08/2016</stp>
        <stp>[Bbg_Market_Data_CL.xlsm]data!R171C17</stp>
        <tr r="Q171" s="1"/>
      </tp>
      <tp t="s">
        <v>#N/A Requesting Data...</v>
        <stp/>
        <stp>##V3_BDHV12</stp>
        <stp>CL1 Comdty</stp>
        <stp>VOLATILITY_30D</stp>
        <stp>22/09/2015</stp>
        <stp>22/09/2015</stp>
        <stp>[Bbg_Market_Data_CL.xlsm]data!R386C18</stp>
        <tr r="R386" s="1"/>
      </tp>
      <tp t="s">
        <v>#N/A Requesting Data...</v>
        <stp/>
        <stp>##V3_BDHV12</stp>
        <stp>CL1 Comdty</stp>
        <stp>VOLATILITY_10D</stp>
        <stp>02/09/2015</stp>
        <stp>02/09/2015</stp>
        <stp>[Bbg_Market_Data_CL.xlsm]data!R399C17</stp>
        <tr r="Q399" s="1"/>
      </tp>
      <tp>
        <v>34.799999999999997</v>
        <stp/>
        <stp>##V3_BDHV12</stp>
        <stp>CL2 Comdty</stp>
        <stp>VOLATILITY_30D</stp>
        <stp>23/08/2016</stp>
        <stp>23/08/2016</stp>
        <stp>[Bbg_Market_Data_CL.xlsm]data!R158C18</stp>
        <tr r="R158" s="1"/>
      </tp>
      <tp t="s">
        <v>#N/A Requesting Data...</v>
        <stp/>
        <stp>##V3_BDHV12</stp>
        <stp>CL1 Comdty</stp>
        <stp>VOLATILITY_10D</stp>
        <stp>22/08/2016</stp>
        <stp>22/08/2016</stp>
        <stp>[Bbg_Market_Data_CL.xlsm]data!R159C17</stp>
        <tr r="Q159" s="1"/>
      </tp>
      <tp>
        <v>40.89</v>
        <stp/>
        <stp>##V3_BDHV12</stp>
        <stp>CL2 Comdty</stp>
        <stp>VOLATILITY_10D</stp>
        <stp>02/09/2016</stp>
        <stp>02/09/2016</stp>
        <stp>[Bbg_Market_Data_CL.xlsm]data!R150C17</stp>
        <tr r="Q150" s="1"/>
      </tp>
      <tp>
        <v>61.03</v>
        <stp/>
        <stp>##V3_BDHV12</stp>
        <stp>CL2 Comdty</stp>
        <stp>VOLATILITY_30D</stp>
        <stp>03/09/2015</stp>
        <stp>03/09/2015</stp>
        <stp>[Bbg_Market_Data_CL.xlsm]data!R398C18</stp>
        <tr r="R398" s="1"/>
      </tp>
      <tp>
        <v>37.049999999999997</v>
        <stp/>
        <stp>##V3_BDHV12</stp>
        <stp>CL2 Comdty</stp>
        <stp>VOLATILITY_10D</stp>
        <stp>12/08/2016</stp>
        <stp>12/08/2016</stp>
        <stp>[Bbg_Market_Data_CL.xlsm]data!R165C17</stp>
        <tr r="Q165" s="1"/>
      </tp>
      <tp t="s">
        <v>#N/A Requesting Data...</v>
        <stp/>
        <stp>##V3_BDHV12</stp>
        <stp>CL1 Comdty</stp>
        <stp>VOLATILITY_30D</stp>
        <stp>02/08/2016</stp>
        <stp>02/08/2016</stp>
        <stp>[Bbg_Market_Data_CL.xlsm]data!R172C18</stp>
        <tr r="R172" s="1"/>
      </tp>
      <tp>
        <v>54.21</v>
        <stp/>
        <stp>##V3_BDHV12</stp>
        <stp>CL2 Comdty</stp>
        <stp>VOLATILITY_10D</stp>
        <stp>23/09/2015</stp>
        <stp>23/09/2015</stp>
        <stp>[Bbg_Market_Data_CL.xlsm]data!R385C17</stp>
        <tr r="Q385" s="1"/>
      </tp>
      <tp t="s">
        <v>#N/A Requesting Data...</v>
        <stp/>
        <stp>##V3_BDHV12</stp>
        <stp>CL1 Comdty</stp>
        <stp>VOLATILITY_30D</stp>
        <stp>12/09/2016</stp>
        <stp>12/09/2016</stp>
        <stp>[Bbg_Market_Data_CL.xlsm]data!R145C18</stp>
        <tr r="R145" s="1"/>
      </tp>
      <tp>
        <v>39.9</v>
        <stp/>
        <stp>##V3_BDHV12</stp>
        <stp>CL2 Comdty</stp>
        <stp>VOLATILITY_30D</stp>
        <stp>22/09/2016</stp>
        <stp>22/09/2016</stp>
        <stp>[Bbg_Market_Data_CL.xlsm]data!R137C18</stp>
        <tr r="R137" s="1"/>
      </tp>
      <tp t="s">
        <v>#N/A Requesting Data...</v>
        <stp/>
        <stp>##V3_BDHV12</stp>
        <stp>CL1 Comdty</stp>
        <stp>MOV_AVG_30D</stp>
        <stp>03/04/2017</stp>
        <stp>03/04/2017</stp>
        <stp>[Bbg_Market_Data_CL.xlsm]data!R7C11</stp>
        <tr r="K7" s="1"/>
      </tp>
      <tp t="s">
        <v>#N/A Requesting Data...</v>
        <stp/>
        <stp>##V3_BDHV12</stp>
        <stp>CL1 Comdty</stp>
        <stp>MOV_AVG_30D</stp>
        <stp>06/04/2017</stp>
        <stp>06/04/2017</stp>
        <stp>[Bbg_Market_Data_CL.xlsm]data!R4C11</stp>
        <tr r="K4" s="1"/>
      </tp>
      <tp t="s">
        <v>#N/A Requesting Data...</v>
        <stp/>
        <stp>##V3_BDHV12</stp>
        <stp>CL1 Comdty</stp>
        <stp>MOV_AVG_30D</stp>
        <stp>07/04/2017</stp>
        <stp>07/04/2017</stp>
        <stp>[Bbg_Market_Data_CL.xlsm]data!R3C11</stp>
        <tr r="K3" s="1"/>
      </tp>
      <tp t="s">
        <v>#N/A Requesting Data...</v>
        <stp/>
        <stp>##V3_BDHV12</stp>
        <stp>CL1 Comdty</stp>
        <stp>MOV_AVG_30D</stp>
        <stp>04/04/2017</stp>
        <stp>04/04/2017</stp>
        <stp>[Bbg_Market_Data_CL.xlsm]data!R6C11</stp>
        <tr r="K6" s="1"/>
      </tp>
      <tp t="s">
        <v>#N/A Requesting Data...</v>
        <stp/>
        <stp>##V3_BDHV12</stp>
        <stp>CL1 Comdty</stp>
        <stp>MOV_AVG_30D</stp>
        <stp>05/04/2017</stp>
        <stp>05/04/2017</stp>
        <stp>[Bbg_Market_Data_CL.xlsm]data!R5C11</stp>
        <tr r="K5" s="1"/>
      </tp>
      <tp t="s">
        <v>#N/A Requesting Data...</v>
        <stp/>
        <stp>##V3_BDHV12</stp>
        <stp>CL1 Comdty</stp>
        <stp>MOV_AVG_30D</stp>
        <stp>10/04/2017</stp>
        <stp>10/04/2017</stp>
        <stp>[Bbg_Market_Data_CL.xlsm]data!R2C11</stp>
        <tr r="K2" s="1"/>
      </tp>
      <tp t="s">
        <v>#N/A Requesting Data...</v>
        <stp/>
        <stp>##V3_BDHV12</stp>
        <stp>CL2 Comdty</stp>
        <stp>MOV_AVG_30D</stp>
        <stp>10/04/2017</stp>
        <stp>10/04/2017</stp>
        <stp>[Bbg_Market_Data_CL.xlsm]data!R2C11</stp>
        <tr r="K2" s="1"/>
      </tp>
      <tp t="s">
        <v>#N/A Requesting Data...</v>
        <stp/>
        <stp>##V3_BDHV12</stp>
        <stp>CL2 Comdty</stp>
        <stp>MOV_AVG_30D</stp>
        <stp>03/04/2017</stp>
        <stp>03/04/2017</stp>
        <stp>[Bbg_Market_Data_CL.xlsm]data!R7C11</stp>
        <tr r="K7" s="1"/>
      </tp>
      <tp t="s">
        <v>#N/A Requesting Data...</v>
        <stp/>
        <stp>##V3_BDHV12</stp>
        <stp>CL2 Comdty</stp>
        <stp>MOV_AVG_30D</stp>
        <stp>06/04/2017</stp>
        <stp>06/04/2017</stp>
        <stp>[Bbg_Market_Data_CL.xlsm]data!R4C11</stp>
        <tr r="K4" s="1"/>
      </tp>
      <tp t="s">
        <v>#N/A Requesting Data...</v>
        <stp/>
        <stp>##V3_BDHV12</stp>
        <stp>CL2 Comdty</stp>
        <stp>MOV_AVG_30D</stp>
        <stp>07/04/2017</stp>
        <stp>07/04/2017</stp>
        <stp>[Bbg_Market_Data_CL.xlsm]data!R3C11</stp>
        <tr r="K3" s="1"/>
      </tp>
      <tp t="s">
        <v>#N/A Requesting Data...</v>
        <stp/>
        <stp>##V3_BDHV12</stp>
        <stp>CL2 Comdty</stp>
        <stp>MOV_AVG_30D</stp>
        <stp>04/04/2017</stp>
        <stp>04/04/2017</stp>
        <stp>[Bbg_Market_Data_CL.xlsm]data!R6C11</stp>
        <tr r="K6" s="1"/>
      </tp>
      <tp t="s">
        <v>#N/A Requesting Data...</v>
        <stp/>
        <stp>##V3_BDHV12</stp>
        <stp>CL2 Comdty</stp>
        <stp>MOV_AVG_30D</stp>
        <stp>05/04/2017</stp>
        <stp>05/04/2017</stp>
        <stp>[Bbg_Market_Data_CL.xlsm]data!R5C11</stp>
        <tr r="K5" s="1"/>
      </tp>
      <tp t="s">
        <v>#N/A Requesting Data...</v>
        <stp/>
        <stp>##V3_BDHV12</stp>
        <stp>CL1 Comdty</stp>
        <stp>MOV_AVG_30D</stp>
        <stp>30/03/2017</stp>
        <stp>30/03/2017</stp>
        <stp>[Bbg_Market_Data_CL.xlsm]data!R9C11</stp>
        <tr r="K9" s="1"/>
      </tp>
      <tp t="s">
        <v>#N/A Requesting Data...</v>
        <stp/>
        <stp>##V3_BDHV12</stp>
        <stp>CL1 Comdty</stp>
        <stp>MOV_AVG_30D</stp>
        <stp>31/03/2017</stp>
        <stp>31/03/2017</stp>
        <stp>[Bbg_Market_Data_CL.xlsm]data!R8C11</stp>
        <tr r="K8" s="1"/>
      </tp>
      <tp t="s">
        <v>#N/A Requesting Data...</v>
        <stp/>
        <stp>##V3_BDHV12</stp>
        <stp>CL2 Comdty</stp>
        <stp>MOV_AVG_30D</stp>
        <stp>30/03/2017</stp>
        <stp>30/03/2017</stp>
        <stp>[Bbg_Market_Data_CL.xlsm]data!R9C11</stp>
        <tr r="K9" s="1"/>
      </tp>
      <tp t="s">
        <v>#N/A Requesting Data...</v>
        <stp/>
        <stp>##V3_BDHV12</stp>
        <stp>CL2 Comdty</stp>
        <stp>MOV_AVG_30D</stp>
        <stp>31/03/2017</stp>
        <stp>31/03/2017</stp>
        <stp>[Bbg_Market_Data_CL.xlsm]data!R8C11</stp>
        <tr r="K8" s="1"/>
      </tp>
      <tp t="s">
        <v>#N/A Requesting Data...</v>
        <stp/>
        <stp>##V3_BDHV12</stp>
        <stp>CL1 Comdty</stp>
        <stp>PX_LOW</stp>
        <stp>03/12/2015</stp>
        <stp>03/12/2015</stp>
        <stp>[Bbg_Market_Data_CL.xlsm]data!R337C7</stp>
        <tr r="G337" s="1"/>
      </tp>
      <tp t="s">
        <v>#N/A Requesting Data...</v>
        <stp/>
        <stp>##V3_BDHV12</stp>
        <stp>CL2 Comdty</stp>
        <stp>PX_LOW</stp>
        <stp>04/06/2015</stp>
        <stp>04/06/2015</stp>
        <stp>[Bbg_Market_Data_CL.xlsm]data!R462C7</stp>
        <tr r="G462" s="1"/>
      </tp>
      <tp t="s">
        <v>#N/A Requesting Data...</v>
        <stp/>
        <stp>##V3_BDHV12</stp>
        <stp>CL1 Comdty</stp>
        <stp>PX_LOW</stp>
        <stp>17/07/2015</stp>
        <stp>17/07/2015</stp>
        <stp>[Bbg_Market_Data_CL.xlsm]data!R432C7</stp>
        <tr r="G432" s="1"/>
      </tp>
      <tp>
        <v>45.72</v>
        <stp/>
        <stp>##V3_BDHV12</stp>
        <stp>CL2 Comdty</stp>
        <stp>PX_LOW</stp>
        <stp>20/10/2015</stp>
        <stp>20/10/2015</stp>
        <stp>[Bbg_Market_Data_CL.xlsm]data!R367C7</stp>
        <tr r="G367" s="1"/>
      </tp>
      <tp t="s">
        <v>#N/A Requesting Data...</v>
        <stp/>
        <stp>##V3_BDHV12</stp>
        <stp>CL2 Comdty</stp>
        <stp>PX_LOW</stp>
        <stp>07/05/2015</stp>
        <stp>07/05/2015</stp>
        <stp>[Bbg_Market_Data_CL.xlsm]data!R481C7</stp>
        <tr r="G481" s="1"/>
      </tp>
      <tp t="s">
        <v>#N/A Requesting Data...</v>
        <stp/>
        <stp>##V3_BDHV12</stp>
        <stp>CL1 Comdty</stp>
        <stp>PX_LOW</stp>
        <stp>21/12/2015</stp>
        <stp>21/12/2015</stp>
        <stp>[Bbg_Market_Data_CL.xlsm]data!R325C7</stp>
        <tr r="G325" s="1"/>
      </tp>
      <tp>
        <v>31.14</v>
        <stp/>
        <stp>##V3_BDHV12</stp>
        <stp>CL2 Comdty</stp>
        <stp>PX_LOW</stp>
        <stp>03/02/2016</stp>
        <stp>03/02/2016</stp>
        <stp>[Bbg_Market_Data_CL.xlsm]data!R296C7</stp>
        <tr r="G296" s="1"/>
      </tp>
      <tp t="s">
        <v>#N/A Requesting Data...</v>
        <stp/>
        <stp>##V3_BDHV12</stp>
        <stp>CL1 Comdty</stp>
        <stp>PX_LOW</stp>
        <stp>12/10/2016</stp>
        <stp>12/10/2016</stp>
        <stp>[Bbg_Market_Data_CL.xlsm]data!R124C7</stp>
        <tr r="G124" s="1"/>
      </tp>
      <tp>
        <v>40.409999999999997</v>
        <stp/>
        <stp>##V3_BDHV12</stp>
        <stp>CL2 Comdty</stp>
        <stp>PX_LOW</stp>
        <stp>21/03/2016</stp>
        <stp>21/03/2016</stp>
        <stp>[Bbg_Market_Data_CL.xlsm]data!R265C7</stp>
        <tr r="G265" s="1"/>
      </tp>
      <tp t="s">
        <v>#N/A Requesting Data...</v>
        <stp/>
        <stp>##V3_BDHV12</stp>
        <stp>CL1 Comdty</stp>
        <stp>PX_LOW</stp>
        <stp>21/10/2016</stp>
        <stp>21/10/2016</stp>
        <stp>[Bbg_Market_Data_CL.xlsm]data!R117C7</stp>
        <tr r="G117" s="1"/>
      </tp>
      <tp t="s">
        <v>#N/A Requesting Data...</v>
        <stp/>
        <stp>##V3_BDHV12</stp>
        <stp>CL1 Comdty</stp>
        <stp>PX_LOW</stp>
        <stp>17/06/2015</stp>
        <stp>17/06/2015</stp>
        <stp>[Bbg_Market_Data_CL.xlsm]data!R453C7</stp>
        <tr r="G453" s="1"/>
      </tp>
      <tp>
        <v>35.81</v>
        <stp/>
        <stp>##V3_BDHV12</stp>
        <stp>CL2 Comdty</stp>
        <stp>PX_LOW</stp>
        <stp>03/03/2016</stp>
        <stp>03/03/2016</stp>
        <stp>[Bbg_Market_Data_CL.xlsm]data!R277C7</stp>
        <tr r="G277" s="1"/>
      </tp>
      <tp t="s">
        <v>#N/A Requesting Data...</v>
        <stp/>
        <stp>##V3_BDHV12</stp>
        <stp>CL1 Comdty</stp>
        <stp>PX_LOW</stp>
        <stp>23/02/2016</stp>
        <stp>23/02/2016</stp>
        <stp>[Bbg_Market_Data_CL.xlsm]data!R284C7</stp>
        <tr r="G284" s="1"/>
      </tp>
      <tp>
        <v>49.2</v>
        <stp/>
        <stp>##V3_BDHV12</stp>
        <stp>CL2 Comdty</stp>
        <stp>PX_LOW</stp>
        <stp>06/06/2016</stp>
        <stp>06/06/2016</stp>
        <stp>[Bbg_Market_Data_CL.xlsm]data!R212C7</stp>
        <tr r="G212" s="1"/>
      </tp>
      <tp>
        <v>46.4</v>
        <stp/>
        <stp>##V3_BDHV12</stp>
        <stp>CL2 Comdty</stp>
        <stp>PX_LOW</stp>
        <stp>17/06/2016</stp>
        <stp>17/06/2016</stp>
        <stp>[Bbg_Market_Data_CL.xlsm]data!R203C7</stp>
        <tr r="G203" s="1"/>
      </tp>
      <tp>
        <v>50.36</v>
        <stp/>
        <stp>##V3_BDHV12</stp>
        <stp>CL2 Comdty</stp>
        <stp>PX_LOW</stp>
        <stp>12/10/2016</stp>
        <stp>12/10/2016</stp>
        <stp>[Bbg_Market_Data_CL.xlsm]data!R124C7</stp>
        <tr r="G124" s="1"/>
      </tp>
      <tp t="s">
        <v>#N/A Requesting Data...</v>
        <stp/>
        <stp>##V3_BDHV12</stp>
        <stp>CL1 Comdty</stp>
        <stp>PX_LOW</stp>
        <stp>21/03/2016</stp>
        <stp>21/03/2016</stp>
        <stp>[Bbg_Market_Data_CL.xlsm]data!R265C7</stp>
        <tr r="G265" s="1"/>
      </tp>
      <tp>
        <v>50.78</v>
        <stp/>
        <stp>##V3_BDHV12</stp>
        <stp>CL2 Comdty</stp>
        <stp>PX_LOW</stp>
        <stp>21/10/2016</stp>
        <stp>21/10/2016</stp>
        <stp>[Bbg_Market_Data_CL.xlsm]data!R117C7</stp>
        <tr r="G117" s="1"/>
      </tp>
      <tp t="s">
        <v>#N/A Requesting Data...</v>
        <stp/>
        <stp>##V3_BDHV12</stp>
        <stp>CL2 Comdty</stp>
        <stp>PX_LOW</stp>
        <stp>17/06/2015</stp>
        <stp>17/06/2015</stp>
        <stp>[Bbg_Market_Data_CL.xlsm]data!R453C7</stp>
        <tr r="G453" s="1"/>
      </tp>
      <tp t="s">
        <v>#N/A Requesting Data...</v>
        <stp/>
        <stp>##V3_BDHV12</stp>
        <stp>CL1 Comdty</stp>
        <stp>PX_LOW</stp>
        <stp>03/03/2016</stp>
        <stp>03/03/2016</stp>
        <stp>[Bbg_Market_Data_CL.xlsm]data!R277C7</stp>
        <tr r="G277" s="1"/>
      </tp>
      <tp>
        <v>33.04</v>
        <stp/>
        <stp>##V3_BDHV12</stp>
        <stp>CL2 Comdty</stp>
        <stp>PX_LOW</stp>
        <stp>23/02/2016</stp>
        <stp>23/02/2016</stp>
        <stp>[Bbg_Market_Data_CL.xlsm]data!R284C7</stp>
        <tr r="G284" s="1"/>
      </tp>
      <tp t="s">
        <v>#N/A Requesting Data...</v>
        <stp/>
        <stp>##V3_BDHV12</stp>
        <stp>CL1 Comdty</stp>
        <stp>PX_LOW</stp>
        <stp>06/06/2016</stp>
        <stp>06/06/2016</stp>
        <stp>[Bbg_Market_Data_CL.xlsm]data!R212C7</stp>
        <tr r="G212" s="1"/>
      </tp>
      <tp t="s">
        <v>#N/A Requesting Data...</v>
        <stp/>
        <stp>##V3_BDHV12</stp>
        <stp>CL1 Comdty</stp>
        <stp>PX_LOW</stp>
        <stp>17/06/2016</stp>
        <stp>17/06/2016</stp>
        <stp>[Bbg_Market_Data_CL.xlsm]data!R203C7</stp>
        <tr r="G203" s="1"/>
      </tp>
      <tp>
        <v>41.49</v>
        <stp/>
        <stp>##V3_BDHV12</stp>
        <stp>CL2 Comdty</stp>
        <stp>PX_LOW</stp>
        <stp>03/12/2015</stp>
        <stp>03/12/2015</stp>
        <stp>[Bbg_Market_Data_CL.xlsm]data!R337C7</stp>
        <tr r="G337" s="1"/>
      </tp>
      <tp t="s">
        <v>#N/A Requesting Data...</v>
        <stp/>
        <stp>##V3_BDHV12</stp>
        <stp>CL1 Comdty</stp>
        <stp>PX_LOW</stp>
        <stp>04/06/2015</stp>
        <stp>04/06/2015</stp>
        <stp>[Bbg_Market_Data_CL.xlsm]data!R462C7</stp>
        <tr r="G462" s="1"/>
      </tp>
      <tp t="s">
        <v>#N/A Requesting Data...</v>
        <stp/>
        <stp>##V3_BDHV12</stp>
        <stp>CL2 Comdty</stp>
        <stp>PX_LOW</stp>
        <stp>17/07/2015</stp>
        <stp>17/07/2015</stp>
        <stp>[Bbg_Market_Data_CL.xlsm]data!R432C7</stp>
        <tr r="G432" s="1"/>
      </tp>
      <tp t="s">
        <v>#N/A Requesting Data...</v>
        <stp/>
        <stp>##V3_BDHV12</stp>
        <stp>CL1 Comdty</stp>
        <stp>PX_LOW</stp>
        <stp>20/10/2015</stp>
        <stp>20/10/2015</stp>
        <stp>[Bbg_Market_Data_CL.xlsm]data!R367C7</stp>
        <tr r="G367" s="1"/>
      </tp>
      <tp t="s">
        <v>#N/A Requesting Data...</v>
        <stp/>
        <stp>##V3_BDHV12</stp>
        <stp>CL1 Comdty</stp>
        <stp>PX_LOW</stp>
        <stp>07/05/2015</stp>
        <stp>07/05/2015</stp>
        <stp>[Bbg_Market_Data_CL.xlsm]data!R481C7</stp>
        <tr r="G481" s="1"/>
      </tp>
      <tp>
        <v>35.35</v>
        <stp/>
        <stp>##V3_BDHV12</stp>
        <stp>CL2 Comdty</stp>
        <stp>PX_LOW</stp>
        <stp>21/12/2015</stp>
        <stp>21/12/2015</stp>
        <stp>[Bbg_Market_Data_CL.xlsm]data!R325C7</stp>
        <tr r="G325" s="1"/>
      </tp>
      <tp t="s">
        <v>#N/A Requesting Data...</v>
        <stp/>
        <stp>##V3_BDHV12</stp>
        <stp>CL1 Comdty</stp>
        <stp>PX_LOW</stp>
        <stp>03/02/2016</stp>
        <stp>03/02/2016</stp>
        <stp>[Bbg_Market_Data_CL.xlsm]data!R296C7</stp>
        <tr r="G296" s="1"/>
      </tp>
      <tp t="s">
        <v>#N/A Requesting Data...</v>
        <stp/>
        <stp>##V3_BDHV12</stp>
        <stp>CL1 Comdty</stp>
        <stp>PX_LOW</stp>
        <stp>22/06/2016</stp>
        <stp>22/06/2016</stp>
        <stp>[Bbg_Market_Data_CL.xlsm]data!R200C7</stp>
        <tr r="G200" s="1"/>
      </tp>
      <tp t="s">
        <v>#N/A Requesting Data...</v>
        <stp/>
        <stp>##V3_BDHV12</stp>
        <stp>CL1 Comdty</stp>
        <stp>PX_LOW</stp>
        <stp>01/07/2016</stp>
        <stp>01/07/2016</stp>
        <stp>[Bbg_Market_Data_CL.xlsm]data!R193C7</stp>
        <tr r="G193" s="1"/>
      </tp>
      <tp>
        <v>44.55</v>
        <stp/>
        <stp>##V3_BDHV12</stp>
        <stp>CL2 Comdty</stp>
        <stp>PX_LOW</stp>
        <stp>20/07/2016</stp>
        <stp>20/07/2016</stp>
        <stp>[Bbg_Market_Data_CL.xlsm]data!R181C7</stp>
        <tr r="G181" s="1"/>
      </tp>
      <tp t="s">
        <v>#N/A Requesting Data...</v>
        <stp/>
        <stp>##V3_BDHV12</stp>
        <stp>CL2 Comdty</stp>
        <stp>PX_LOW</stp>
        <stp>01/07/2015</stp>
        <stp>01/07/2015</stp>
        <stp>[Bbg_Market_Data_CL.xlsm]data!R443C7</stp>
        <tr r="G443" s="1"/>
      </tp>
      <tp t="s">
        <v>#N/A Requesting Data...</v>
        <stp/>
        <stp>##V3_BDHV12</stp>
        <stp>CL1 Comdty</stp>
        <stp>PX_LOW</stp>
        <stp>20/07/2015</stp>
        <stp>20/07/2015</stp>
        <stp>[Bbg_Market_Data_CL.xlsm]data!R431C7</stp>
        <tr r="G431" s="1"/>
      </tp>
      <tp t="s">
        <v>#N/A Requesting Data...</v>
        <stp/>
        <stp>##V3_BDHV12</stp>
        <stp>CL2 Comdty</stp>
        <stp>PX_LOW</stp>
        <stp>22/06/2015</stp>
        <stp>22/06/2015</stp>
        <stp>[Bbg_Market_Data_CL.xlsm]data!R450C7</stp>
        <tr r="G450" s="1"/>
      </tp>
      <tp>
        <v>43.65</v>
        <stp/>
        <stp>##V3_BDHV12</stp>
        <stp>CL2 Comdty</stp>
        <stp>PX_LOW</stp>
        <stp>10/05/2016</stp>
        <stp>10/05/2016</stp>
        <stp>[Bbg_Market_Data_CL.xlsm]data!R230C7</stp>
        <tr r="G230" s="1"/>
      </tp>
      <tp>
        <v>40.53</v>
        <stp/>
        <stp>##V3_BDHV12</stp>
        <stp>CL2 Comdty</stp>
        <stp>PX_LOW</stp>
        <stp>11/04/2016</stp>
        <stp>11/04/2016</stp>
        <stp>[Bbg_Market_Data_CL.xlsm]data!R251C7</stp>
        <tr r="G251" s="1"/>
      </tp>
      <tp>
        <v>43.9</v>
        <stp/>
        <stp>##V3_BDHV12</stp>
        <stp>CL2 Comdty</stp>
        <stp>PX_LOW</stp>
        <stp>22/04/2016</stp>
        <stp>22/04/2016</stp>
        <stp>[Bbg_Market_Data_CL.xlsm]data!R242C7</stp>
        <tr r="G242" s="1"/>
      </tp>
      <tp>
        <v>45.3</v>
        <stp/>
        <stp>##V3_BDHV12</stp>
        <stp>CL2 Comdty</stp>
        <stp>PX_LOW</stp>
        <stp>06/11/2015</stp>
        <stp>06/11/2015</stp>
        <stp>[Bbg_Market_Data_CL.xlsm]data!R354C7</stp>
        <tr r="G354" s="1"/>
      </tp>
      <tp>
        <v>48.29</v>
        <stp/>
        <stp>##V3_BDHV12</stp>
        <stp>CL2 Comdty</stp>
        <stp>PX_LOW</stp>
        <stp>07/10/2015</stp>
        <stp>07/10/2015</stp>
        <stp>[Bbg_Market_Data_CL.xlsm]data!R375C7</stp>
        <tr r="G375" s="1"/>
      </tp>
      <tp t="s">
        <v>#N/A Requesting Data...</v>
        <stp/>
        <stp>##V3_BDHV12</stp>
        <stp>CL1 Comdty</stp>
        <stp>PX_LOW</stp>
        <stp>06/01/2016</stp>
        <stp>06/01/2016</stp>
        <stp>[Bbg_Market_Data_CL.xlsm]data!R315C7</stp>
        <tr r="G315" s="1"/>
      </tp>
      <tp t="s">
        <v>#N/A Requesting Data...</v>
        <stp/>
        <stp>##V3_BDHV12</stp>
        <stp>CL1 Comdty</stp>
        <stp>PX_LOW</stp>
        <stp>22/04/2015</stp>
        <stp>22/04/2015</stp>
        <stp>[Bbg_Market_Data_CL.xlsm]data!R492C7</stp>
        <tr r="G492" s="1"/>
      </tp>
      <tp t="s">
        <v>#N/A Requesting Data...</v>
        <stp/>
        <stp>##V3_BDHV12</stp>
        <stp>CL1 Comdty</stp>
        <stp>PX_LOW</stp>
        <stp>10/05/2016</stp>
        <stp>10/05/2016</stp>
        <stp>[Bbg_Market_Data_CL.xlsm]data!R230C7</stp>
        <tr r="G230" s="1"/>
      </tp>
      <tp t="s">
        <v>#N/A Requesting Data...</v>
        <stp/>
        <stp>##V3_BDHV12</stp>
        <stp>CL1 Comdty</stp>
        <stp>PX_LOW</stp>
        <stp>11/04/2016</stp>
        <stp>11/04/2016</stp>
        <stp>[Bbg_Market_Data_CL.xlsm]data!R251C7</stp>
        <tr r="G251" s="1"/>
      </tp>
      <tp t="s">
        <v>#N/A Requesting Data...</v>
        <stp/>
        <stp>##V3_BDHV12</stp>
        <stp>CL1 Comdty</stp>
        <stp>PX_LOW</stp>
        <stp>22/04/2016</stp>
        <stp>22/04/2016</stp>
        <stp>[Bbg_Market_Data_CL.xlsm]data!R242C7</stp>
        <tr r="G242" s="1"/>
      </tp>
      <tp t="s">
        <v>#N/A Requesting Data...</v>
        <stp/>
        <stp>##V3_BDHV12</stp>
        <stp>CL1 Comdty</stp>
        <stp>PX_LOW</stp>
        <stp>06/11/2015</stp>
        <stp>06/11/2015</stp>
        <stp>[Bbg_Market_Data_CL.xlsm]data!R354C7</stp>
        <tr r="G354" s="1"/>
      </tp>
      <tp t="s">
        <v>#N/A Requesting Data...</v>
        <stp/>
        <stp>##V3_BDHV12</stp>
        <stp>CL1 Comdty</stp>
        <stp>PX_LOW</stp>
        <stp>07/10/2015</stp>
        <stp>07/10/2015</stp>
        <stp>[Bbg_Market_Data_CL.xlsm]data!R375C7</stp>
        <tr r="G375" s="1"/>
      </tp>
      <tp>
        <v>35.07</v>
        <stp/>
        <stp>##V3_BDHV12</stp>
        <stp>CL2 Comdty</stp>
        <stp>PX_LOW</stp>
        <stp>06/01/2016</stp>
        <stp>06/01/2016</stp>
        <stp>[Bbg_Market_Data_CL.xlsm]data!R315C7</stp>
        <tr r="G315" s="1"/>
      </tp>
      <tp t="s">
        <v>#N/A Requesting Data...</v>
        <stp/>
        <stp>##V3_BDHV12</stp>
        <stp>CL2 Comdty</stp>
        <stp>PX_LOW</stp>
        <stp>22/04/2015</stp>
        <stp>22/04/2015</stp>
        <stp>[Bbg_Market_Data_CL.xlsm]data!R492C7</stp>
        <tr r="G492" s="1"/>
      </tp>
      <tp>
        <v>49.04</v>
        <stp/>
        <stp>##V3_BDHV12</stp>
        <stp>CL2 Comdty</stp>
        <stp>PX_LOW</stp>
        <stp>22/06/2016</stp>
        <stp>22/06/2016</stp>
        <stp>[Bbg_Market_Data_CL.xlsm]data!R200C7</stp>
        <tr r="G200" s="1"/>
      </tp>
      <tp>
        <v>48.58</v>
        <stp/>
        <stp>##V3_BDHV12</stp>
        <stp>CL2 Comdty</stp>
        <stp>PX_LOW</stp>
        <stp>01/07/2016</stp>
        <stp>01/07/2016</stp>
        <stp>[Bbg_Market_Data_CL.xlsm]data!R193C7</stp>
        <tr r="G193" s="1"/>
      </tp>
      <tp t="s">
        <v>#N/A Requesting Data...</v>
        <stp/>
        <stp>##V3_BDHV12</stp>
        <stp>CL1 Comdty</stp>
        <stp>PX_LOW</stp>
        <stp>20/07/2016</stp>
        <stp>20/07/2016</stp>
        <stp>[Bbg_Market_Data_CL.xlsm]data!R181C7</stp>
        <tr r="G181" s="1"/>
      </tp>
      <tp t="s">
        <v>#N/A Requesting Data...</v>
        <stp/>
        <stp>##V3_BDHV12</stp>
        <stp>CL1 Comdty</stp>
        <stp>PX_LOW</stp>
        <stp>01/07/2015</stp>
        <stp>01/07/2015</stp>
        <stp>[Bbg_Market_Data_CL.xlsm]data!R443C7</stp>
        <tr r="G443" s="1"/>
      </tp>
      <tp t="s">
        <v>#N/A Requesting Data...</v>
        <stp/>
        <stp>##V3_BDHV12</stp>
        <stp>CL2 Comdty</stp>
        <stp>PX_LOW</stp>
        <stp>20/07/2015</stp>
        <stp>20/07/2015</stp>
        <stp>[Bbg_Market_Data_CL.xlsm]data!R431C7</stp>
        <tr r="G431" s="1"/>
      </tp>
      <tp t="s">
        <v>#N/A Requesting Data...</v>
        <stp/>
        <stp>##V3_BDHV12</stp>
        <stp>CL1 Comdty</stp>
        <stp>PX_LOW</stp>
        <stp>22/06/2015</stp>
        <stp>22/06/2015</stp>
        <stp>[Bbg_Market_Data_CL.xlsm]data!R450C7</stp>
        <tr r="G450" s="1"/>
      </tp>
      <tp t="s">
        <v>#N/A Requesting Data...</v>
        <stp/>
        <stp>##V3_BDHV12</stp>
        <stp>CL1 Comdty</stp>
        <stp>PX_LOW</stp>
        <stp>18/03/2016</stp>
        <stp>18/03/2016</stp>
        <stp>[Bbg_Market_Data_CL.xlsm]data!R266C7</stp>
        <tr r="G266" s="1"/>
      </tp>
      <tp t="s">
        <v>#N/A Requesting Data...</v>
        <stp/>
        <stp>##V3_BDHV12</stp>
        <stp>CL1 Comdty</stp>
        <stp>PX_LOW</stp>
        <stp>18/02/2016</stp>
        <stp>18/02/2016</stp>
        <stp>[Bbg_Market_Data_CL.xlsm]data!R287C7</stp>
        <tr r="G287" s="1"/>
      </tp>
      <tp>
        <v>35.68</v>
        <stp/>
        <stp>##V3_BDHV12</stp>
        <stp>CL2 Comdty</stp>
        <stp>PX_LOW</stp>
        <stp>18/12/2015</stp>
        <stp>18/12/2015</stp>
        <stp>[Bbg_Market_Data_CL.xlsm]data!R326C7</stp>
        <tr r="G326" s="1"/>
      </tp>
      <tp>
        <v>43.75</v>
        <stp/>
        <stp>##V3_BDHV12</stp>
        <stp>CL2 Comdty</stp>
        <stp>PX_LOW</stp>
        <stp>09/11/2016</stp>
        <stp>09/11/2016</stp>
        <stp>[Bbg_Market_Data_CL.xlsm]data!R104C7</stp>
        <tr r="G104" s="1"/>
      </tp>
      <tp>
        <v>32.450000000000003</v>
        <stp/>
        <stp>##V3_BDHV12</stp>
        <stp>CL2 Comdty</stp>
        <stp>PX_LOW</stp>
        <stp>18/02/2016</stp>
        <stp>18/02/2016</stp>
        <stp>[Bbg_Market_Data_CL.xlsm]data!R287C7</stp>
        <tr r="G287" s="1"/>
      </tp>
      <tp t="s">
        <v>#N/A Requesting Data...</v>
        <stp/>
        <stp>##V3_BDHV12</stp>
        <stp>CL1 Comdty</stp>
        <stp>PX_LOW</stp>
        <stp>18/12/2015</stp>
        <stp>18/12/2015</stp>
        <stp>[Bbg_Market_Data_CL.xlsm]data!R326C7</stp>
        <tr r="G326" s="1"/>
      </tp>
      <tp t="s">
        <v>#N/A Requesting Data...</v>
        <stp/>
        <stp>##V3_BDHV12</stp>
        <stp>CL1 Comdty</stp>
        <stp>PX_LOW</stp>
        <stp>09/11/2016</stp>
        <stp>09/11/2016</stp>
        <stp>[Bbg_Market_Data_CL.xlsm]data!R104C7</stp>
        <tr r="G104" s="1"/>
      </tp>
      <tp>
        <v>41.02</v>
        <stp/>
        <stp>##V3_BDHV12</stp>
        <stp>CL2 Comdty</stp>
        <stp>PX_LOW</stp>
        <stp>18/03/2016</stp>
        <stp>18/03/2016</stp>
        <stp>[Bbg_Market_Data_CL.xlsm]data!R266C7</stp>
        <tr r="G266" s="1"/>
      </tp>
      <tp>
        <v>43.87</v>
        <stp/>
        <stp>##V3_BDHV12</stp>
        <stp>CL2 Comdty</stp>
        <stp>PX_LOW</stp>
        <stp>09/05/2016</stp>
        <stp>09/05/2016</stp>
        <stp>[Bbg_Market_Data_CL.xlsm]data!R231C7</stp>
        <tr r="G231" s="1"/>
      </tp>
      <tp t="s">
        <v>#N/A Requesting Data...</v>
        <stp/>
        <stp>##V3_BDHV12</stp>
        <stp>CL1 Comdty</stp>
        <stp>PX_LOW</stp>
        <stp>19/07/2016</stp>
        <stp>19/07/2016</stp>
        <stp>[Bbg_Market_Data_CL.xlsm]data!R182C7</stp>
        <tr r="G182" s="1"/>
      </tp>
      <tp t="s">
        <v>#N/A Requesting Data...</v>
        <stp/>
        <stp>##V3_BDHV12</stp>
        <stp>CL1 Comdty</stp>
        <stp>PX_LOW</stp>
        <stp>09/05/2016</stp>
        <stp>09/05/2016</stp>
        <stp>[Bbg_Market_Data_CL.xlsm]data!R231C7</stp>
        <tr r="G231" s="1"/>
      </tp>
      <tp>
        <v>45.28</v>
        <stp/>
        <stp>##V3_BDHV12</stp>
        <stp>CL2 Comdty</stp>
        <stp>PX_LOW</stp>
        <stp>19/07/2016</stp>
        <stp>19/07/2016</stp>
        <stp>[Bbg_Market_Data_CL.xlsm]data!R182C7</stp>
        <tr r="G182" s="1"/>
      </tp>
      <tp>
        <v>88.37</v>
        <stp/>
        <stp>##V3_BDHV12</stp>
        <stp>CL2 Comdty</stp>
        <stp>VOLATILITY_10D</stp>
        <stp>27/01/2016</stp>
        <stp>27/01/2016</stp>
        <stp>[Bbg_Market_Data_CL.xlsm]data!R301C17</stp>
        <tr r="Q301" s="1"/>
      </tp>
      <tp t="s">
        <v>#N/A Requesting Data...</v>
        <stp/>
        <stp>##V3_BDHV12</stp>
        <stp>CL1 Comdty</stp>
        <stp>VOLATILITY_10D</stp>
        <stp>25/10/2016</stp>
        <stp>25/10/2016</stp>
        <stp>[Bbg_Market_Data_CL.xlsm]data!R115C17</stp>
        <tr r="Q115" s="1"/>
      </tp>
      <tp t="s">
        <v>#N/A Requesting Data...</v>
        <stp/>
        <stp>##V3_BDHV12</stp>
        <stp>CL1 Comdty</stp>
        <stp>VOLATILITY_10D</stp>
        <stp>24/12/2015</stp>
        <stp>24/12/2015</stp>
        <stp>[Bbg_Market_Data_CL.xlsm]data!R322C17</stp>
        <tr r="Q322" s="1"/>
      </tp>
      <tp>
        <v>40.11</v>
        <stp/>
        <stp>##V3_BDHV12</stp>
        <stp>CL2 Comdty</stp>
        <stp>VOLATILITY_10D</stp>
        <stp>14/12/2015</stp>
        <stp>14/12/2015</stp>
        <stp>[Bbg_Market_Data_CL.xlsm]data!R330C17</stp>
        <tr r="Q330" s="1"/>
      </tp>
      <tp>
        <v>35.97</v>
        <stp/>
        <stp>##V3_BDHV12</stp>
        <stp>CL2 Comdty</stp>
        <stp>VOLATILITY_10D</stp>
        <stp>24/11/2015</stp>
        <stp>24/11/2015</stp>
        <stp>[Bbg_Market_Data_CL.xlsm]data!R343C17</stp>
        <tr r="Q343" s="1"/>
      </tp>
      <tp t="s">
        <v>#N/A Requesting Data...</v>
        <stp/>
        <stp>##V3_BDHV12</stp>
        <stp>CL2 Comdty</stp>
        <stp>VOLATILITY_10D</stp>
        <stp>23/06/2015</stp>
        <stp>23/06/2015</stp>
        <stp>[Bbg_Market_Data_CL.xlsm]data!R449C17</stp>
        <tr r="Q449" s="1"/>
      </tp>
      <tp t="s">
        <v>#N/A Requesting Data...</v>
        <stp/>
        <stp>##V3_BDHV12</stp>
        <stp>CL2 Comdty</stp>
        <stp>VOLATILITY_10D</stp>
        <stp>13/05/2015</stp>
        <stp>13/05/2015</stp>
        <stp>[Bbg_Market_Data_CL.xlsm]data!R477C17</stp>
        <tr r="Q477" s="1"/>
      </tp>
      <tp>
        <v>75.8</v>
        <stp/>
        <stp>##V3_BDHV12</stp>
        <stp>CL2 Comdty</stp>
        <stp>VOLATILITY_30D</stp>
        <stp>26/02/2016</stp>
        <stp>26/02/2016</stp>
        <stp>[Bbg_Market_Data_CL.xlsm]data!R281C18</stp>
        <tr r="R281" s="1"/>
      </tp>
      <tp t="s">
        <v>#N/A Requesting Data...</v>
        <stp/>
        <stp>##V3_BDHV12</stp>
        <stp>CL2 Comdty</stp>
        <stp>VOLATILITY_30D</stp>
        <stp>23/04/2015</stp>
        <stp>23/04/2015</stp>
        <stp>[Bbg_Market_Data_CL.xlsm]data!R491C18</stp>
        <tr r="R491" s="1"/>
      </tp>
      <tp>
        <v>59.08</v>
        <stp/>
        <stp>##V3_BDHV12</stp>
        <stp>CL2 Comdty</stp>
        <stp>VOLATILITY_10D</stp>
        <stp>16/03/2016</stp>
        <stp>16/03/2016</stp>
        <stp>[Bbg_Market_Data_CL.xlsm]data!R268C17</stp>
        <tr r="Q268" s="1"/>
      </tp>
      <tp t="s">
        <v>#N/A Requesting Data...</v>
        <stp/>
        <stp>##V3_BDHV12</stp>
        <stp>CL1 Comdty</stp>
        <stp>VOLATILITY_30D</stp>
        <stp>13/04/2015</stp>
        <stp>13/04/2015</stp>
        <stp>[Bbg_Market_Data_CL.xlsm]data!R499C18</stp>
        <tr r="R499" s="1"/>
      </tp>
      <tp>
        <v>43.72</v>
        <stp/>
        <stp>##V3_BDHV12</stp>
        <stp>CL2 Comdty</stp>
        <stp>VOLATILITY_30D</stp>
        <stp>14/10/2015</stp>
        <stp>14/10/2015</stp>
        <stp>[Bbg_Market_Data_CL.xlsm]data!R371C18</stp>
        <tr r="R371" s="1"/>
      </tp>
      <tp t="s">
        <v>#N/A Requesting Data...</v>
        <stp/>
        <stp>##V3_BDHV12</stp>
        <stp>CL2 Comdty</stp>
        <stp>VOLATILITY_30D</stp>
        <stp>03/06/2015</stp>
        <stp>03/06/2015</stp>
        <stp>[Bbg_Market_Data_CL.xlsm]data!R463C18</stp>
        <tr r="R463" s="1"/>
      </tp>
      <tp>
        <v>39.08</v>
        <stp/>
        <stp>##V3_BDHV12</stp>
        <stp>CL2 Comdty</stp>
        <stp>VOLATILITY_30D</stp>
        <stp>04/11/2015</stp>
        <stp>04/11/2015</stp>
        <stp>[Bbg_Market_Data_CL.xlsm]data!R356C18</stp>
        <tr r="R356" s="1"/>
      </tp>
      <tp t="s">
        <v>#N/A Requesting Data...</v>
        <stp/>
        <stp>##V3_BDHV12</stp>
        <stp>CL1 Comdty</stp>
        <stp>VOLATILITY_30D</stp>
        <stp>04/12/2015</stp>
        <stp>04/12/2015</stp>
        <stp>[Bbg_Market_Data_CL.xlsm]data!R336C18</stp>
        <tr r="R336" s="1"/>
      </tp>
      <tp t="s">
        <v>#N/A Requesting Data...</v>
        <stp/>
        <stp>##V3_BDHV12</stp>
        <stp>CL1 Comdty</stp>
        <stp>VOLATILITY_30D</stp>
        <stp>23/07/2015</stp>
        <stp>23/07/2015</stp>
        <stp>[Bbg_Market_Data_CL.xlsm]data!R428C18</stp>
        <tr r="R428" s="1"/>
      </tp>
      <tp t="s">
        <v>#N/A Requesting Data...</v>
        <stp/>
        <stp>##V3_BDHV12</stp>
        <stp>CL2 Comdty</stp>
        <stp>VOLATILITY_30D</stp>
        <stp>13/07/2015</stp>
        <stp>13/07/2015</stp>
        <stp>[Bbg_Market_Data_CL.xlsm]data!R436C18</stp>
        <tr r="R436" s="1"/>
      </tp>
      <tp t="s">
        <v>#N/A Requesting Data...</v>
        <stp/>
        <stp>##V3_BDHV12</stp>
        <stp>CL1 Comdty</stp>
        <stp>VOLATILITY_30D</stp>
        <stp>05/10/2016</stp>
        <stp>05/10/2016</stp>
        <stp>[Bbg_Market_Data_CL.xlsm]data!R128C18</stp>
        <tr r="R128" s="1"/>
      </tp>
      <tp t="s">
        <v>#N/A Requesting Data...</v>
        <stp/>
        <stp>##V3_BDHV12</stp>
        <stp>CL1 Comdty</stp>
        <stp>VOLATILITY_30D</stp>
        <stp>15/11/2016</stp>
        <stp>15/11/2016</stp>
        <stp>[Bbg_Market_Data_CL.xlsm]data!R101C18</stp>
        <tr r="R101" s="1"/>
      </tp>
      <tp>
        <v>41.52</v>
        <stp/>
        <stp>##V3_BDHV12</stp>
        <stp>CL2 Comdty</stp>
        <stp>VOLATILITY_30D</stp>
        <stp>07/01/2016</stp>
        <stp>07/01/2016</stp>
        <stp>[Bbg_Market_Data_CL.xlsm]data!R314C18</stp>
        <tr r="R314" s="1"/>
      </tp>
      <tp>
        <v>24.96</v>
        <stp/>
        <stp>##V3_BDHV12</stp>
        <stp>CL2 Comdty</stp>
        <stp>VOLATILITY_10D</stp>
        <stp>14/11/2016</stp>
        <stp>14/11/2016</stp>
        <stp>[Bbg_Market_Data_CL.xlsm]data!R102C17</stp>
        <tr r="Q102" s="1"/>
      </tp>
      <tp t="s">
        <v>#N/A Requesting Data...</v>
        <stp/>
        <stp>##V3_BDHV12</stp>
        <stp>CL1 Comdty</stp>
        <stp>VOLATILITY_10D</stp>
        <stp>06/01/2016</stp>
        <stp>06/01/2016</stp>
        <stp>[Bbg_Market_Data_CL.xlsm]data!R315C17</stp>
        <tr r="Q315" s="1"/>
      </tp>
      <tp>
        <v>45.21</v>
        <stp/>
        <stp>##V3_BDHV12</stp>
        <stp>CL2 Comdty</stp>
        <stp>VOLATILITY_10D</stp>
        <stp>04/10/2016</stp>
        <stp>04/10/2016</stp>
        <stp>[Bbg_Market_Data_CL.xlsm]data!R129C17</stp>
        <tr r="Q129" s="1"/>
      </tp>
      <tp t="s">
        <v>#N/A Requesting Data...</v>
        <stp/>
        <stp>##V3_BDHV12</stp>
        <stp>CL2 Comdty</stp>
        <stp>VOLATILITY_10D</stp>
        <stp>22/07/2015</stp>
        <stp>22/07/2015</stp>
        <stp>[Bbg_Market_Data_CL.xlsm]data!R429C17</stp>
        <tr r="Q429" s="1"/>
      </tp>
      <tp t="s">
        <v>#N/A Requesting Data...</v>
        <stp/>
        <stp>##V3_BDHV12</stp>
        <stp>CL1 Comdty</stp>
        <stp>VOLATILITY_10D</stp>
        <stp>05/11/2015</stp>
        <stp>05/11/2015</stp>
        <stp>[Bbg_Market_Data_CL.xlsm]data!R355C17</stp>
        <tr r="Q355" s="1"/>
      </tp>
      <tp>
        <v>30.86</v>
        <stp/>
        <stp>##V3_BDHV12</stp>
        <stp>CL2 Comdty</stp>
        <stp>VOLATILITY_10D</stp>
        <stp>07/03/2016</stp>
        <stp>07/03/2016</stp>
        <stp>[Bbg_Market_Data_CL.xlsm]data!R275C17</stp>
        <tr r="Q275" s="1"/>
      </tp>
      <tp t="s">
        <v>#N/A Requesting Data...</v>
        <stp/>
        <stp>##V3_BDHV12</stp>
        <stp>CL1 Comdty</stp>
        <stp>VOLATILITY_10D</stp>
        <stp>02/06/2015</stp>
        <stp>02/06/2015</stp>
        <stp>[Bbg_Market_Data_CL.xlsm]data!R464C17</stp>
        <tr r="Q464" s="1"/>
      </tp>
      <tp t="s">
        <v>#N/A Requesting Data...</v>
        <stp/>
        <stp>##V3_BDHV12</stp>
        <stp>CL1 Comdty</stp>
        <stp>VOLATILITY_10D</stp>
        <stp>15/10/2015</stp>
        <stp>15/10/2015</stp>
        <stp>[Bbg_Market_Data_CL.xlsm]data!R370C17</stp>
        <tr r="Q370" s="1"/>
      </tp>
      <tp>
        <v>61.41</v>
        <stp/>
        <stp>##V3_BDHV12</stp>
        <stp>CL2 Comdty</stp>
        <stp>VOLATILITY_30D</stp>
        <stp>05/10/2015</stp>
        <stp>05/10/2015</stp>
        <stp>[Bbg_Market_Data_CL.xlsm]data!R377C18</stp>
        <tr r="R377" s="1"/>
      </tp>
      <tp t="s">
        <v>#N/A Requesting Data...</v>
        <stp/>
        <stp>##V3_BDHV12</stp>
        <stp>CL1 Comdty</stp>
        <stp>VOLATILITY_30D</stp>
        <stp>17/03/2016</stp>
        <stp>17/03/2016</stp>
        <stp>[Bbg_Market_Data_CL.xlsm]data!R267C18</stp>
        <tr r="R267" s="1"/>
      </tp>
      <tp t="s">
        <v>#N/A Requesting Data...</v>
        <stp/>
        <stp>##V3_BDHV12</stp>
        <stp>CL1 Comdty</stp>
        <stp>VOLATILITY_10D</stp>
        <stp>22/04/2015</stp>
        <stp>22/04/2015</stp>
        <stp>[Bbg_Market_Data_CL.xlsm]data!R492C17</stp>
        <tr r="Q492" s="1"/>
      </tp>
      <tp t="s">
        <v>#N/A Requesting Data...</v>
        <stp/>
        <stp>##V3_BDHV12</stp>
        <stp>CL2 Comdty</stp>
        <stp>VOLATILITY_30D</stp>
        <stp>22/05/2015</stp>
        <stp>22/05/2015</stp>
        <stp>[Bbg_Market_Data_CL.xlsm]data!R470C18</stp>
        <tr r="R470" s="1"/>
      </tp>
      <tp>
        <v>83.5</v>
        <stp/>
        <stp>##V3_BDHV12</stp>
        <stp>CL2 Comdty</stp>
        <stp>VOLATILITY_10D</stp>
        <stp>17/02/2016</stp>
        <stp>17/02/2016</stp>
        <stp>[Bbg_Market_Data_CL.xlsm]data!R288C17</stp>
        <tr r="Q288" s="1"/>
      </tp>
      <tp t="s">
        <v>#N/A Requesting Data...</v>
        <stp/>
        <stp>##V3_BDHV12</stp>
        <stp>CL1 Comdty</stp>
        <stp>VOLATILITY_30D</stp>
        <stp>12/05/2015</stp>
        <stp>12/05/2015</stp>
        <stp>[Bbg_Market_Data_CL.xlsm]data!R478C18</stp>
        <tr r="R478" s="1"/>
      </tp>
      <tp t="s">
        <v>#N/A Requesting Data...</v>
        <stp/>
        <stp>##V3_BDHV12</stp>
        <stp>CL2 Comdty</stp>
        <stp>VOLATILITY_30D</stp>
        <stp>02/07/2015</stp>
        <stp>02/07/2015</stp>
        <stp>[Bbg_Market_Data_CL.xlsm]data!R442C18</stp>
        <tr r="R442" s="1"/>
      </tp>
      <tp t="s">
        <v>#N/A Requesting Data...</v>
        <stp/>
        <stp>##V3_BDHV12</stp>
        <stp>CL2 Comdty</stp>
        <stp>VOLATILITY_30D</stp>
        <stp>12/06/2015</stp>
        <stp>12/06/2015</stp>
        <stp>[Bbg_Market_Data_CL.xlsm]data!R456C18</stp>
        <tr r="R456" s="1"/>
      </tp>
      <tp t="s">
        <v>#N/A Requesting Data...</v>
        <stp/>
        <stp>##V3_BDHV12</stp>
        <stp>CL1 Comdty</stp>
        <stp>VOLATILITY_30D</stp>
        <stp>25/11/2015</stp>
        <stp>25/11/2015</stp>
        <stp>[Bbg_Market_Data_CL.xlsm]data!R342C18</stp>
        <tr r="R342" s="1"/>
      </tp>
      <tp t="s">
        <v>#N/A Requesting Data...</v>
        <stp/>
        <stp>##V3_BDHV12</stp>
        <stp>CL1 Comdty</stp>
        <stp>VOLATILITY_30D</stp>
        <stp>22/06/2015</stp>
        <stp>22/06/2015</stp>
        <stp>[Bbg_Market_Data_CL.xlsm]data!R450C18</stp>
        <tr r="R450" s="1"/>
      </tp>
      <tp t="s">
        <v>#N/A Requesting Data...</v>
        <stp/>
        <stp>##V3_BDHV12</stp>
        <stp>CL1 Comdty</stp>
        <stp>VOLATILITY_30D</stp>
        <stp>14/10/2016</stp>
        <stp>14/10/2016</stp>
        <stp>[Bbg_Market_Data_CL.xlsm]data!R122C18</stp>
        <tr r="R122" s="1"/>
      </tp>
      <tp t="s">
        <v>#N/A Requesting Data...</v>
        <stp/>
        <stp>##V3_BDHV12</stp>
        <stp>CL1 Comdty</stp>
        <stp>VOLATILITY_30D</stp>
        <stp>15/12/2015</stp>
        <stp>15/12/2015</stp>
        <stp>[Bbg_Market_Data_CL.xlsm]data!R329C18</stp>
        <tr r="R329" s="1"/>
      </tp>
      <tp t="s">
        <v>#N/A Requesting Data...</v>
        <stp/>
        <stp>##V3_BDHV12</stp>
        <stp>CL1 Comdty</stp>
        <stp>VOLATILITY_30D</stp>
        <stp>26/01/2016</stp>
        <stp>26/01/2016</stp>
        <stp>[Bbg_Market_Data_CL.xlsm]data!R302C18</stp>
        <tr r="R302" s="1"/>
      </tp>
      <tp>
        <v>34.53</v>
        <stp/>
        <stp>##V3_BDHV12</stp>
        <stp>CL2 Comdty</stp>
        <stp>VOLATILITY_30D</stp>
        <stp>24/10/2016</stp>
        <stp>24/10/2016</stp>
        <stp>[Bbg_Market_Data_CL.xlsm]data!R116C18</stp>
        <tr r="R116" s="1"/>
      </tp>
      <tp t="s">
        <v>#N/A Requesting Data...</v>
        <stp/>
        <stp>##V3_BDHV12</stp>
        <stp>CL1 Comdty</stp>
        <stp>VOLATILITY_30D</stp>
        <stp>04/11/2016</stp>
        <stp>04/11/2016</stp>
        <stp>[Bbg_Market_Data_CL.xlsm]data!R107C18</stp>
        <tr r="R107" s="1"/>
      </tp>
      <tp>
        <v>44.76</v>
        <stp/>
        <stp>##V3_BDHV12</stp>
        <stp>CL2 Comdty</stp>
        <stp>VOLATILITY_10D</stp>
        <stp>05/01/2016</stp>
        <stp>05/01/2016</stp>
        <stp>[Bbg_Market_Data_CL.xlsm]data!R316C17</stp>
        <tr r="Q316" s="1"/>
      </tp>
      <tp t="s">
        <v>#N/A Requesting Data...</v>
        <stp/>
        <stp>##V3_BDHV12</stp>
        <stp>CL1 Comdty</stp>
        <stp>VOLATILITY_10D</stp>
        <stp>07/10/2016</stp>
        <stp>07/10/2016</stp>
        <stp>[Bbg_Market_Data_CL.xlsm]data!R126C17</stp>
        <tr r="Q126" s="1"/>
      </tp>
      <tp t="s">
        <v>#N/A Requesting Data...</v>
        <stp/>
        <stp>##V3_BDHV12</stp>
        <stp>CL1 Comdty</stp>
        <stp>VOLATILITY_10D</stp>
        <stp>21/07/2015</stp>
        <stp>21/07/2015</stp>
        <stp>[Bbg_Market_Data_CL.xlsm]data!R430C17</stp>
        <tr r="Q430" s="1"/>
      </tp>
      <tp>
        <v>48.4</v>
        <stp/>
        <stp>##V3_BDHV12</stp>
        <stp>CL2 Comdty</stp>
        <stp>VOLATILITY_10D</stp>
        <stp>06/11/2015</stp>
        <stp>06/11/2015</stp>
        <stp>[Bbg_Market_Data_CL.xlsm]data!R354C17</stp>
        <tr r="Q354" s="1"/>
      </tp>
      <tp t="s">
        <v>#N/A Requesting Data...</v>
        <stp/>
        <stp>##V3_BDHV12</stp>
        <stp>CL1 Comdty</stp>
        <stp>VOLATILITY_10D</stp>
        <stp>26/10/2015</stp>
        <stp>26/10/2015</stp>
        <stp>[Bbg_Market_Data_CL.xlsm]data!R363C17</stp>
        <tr r="Q363" s="1"/>
      </tp>
      <tp t="s">
        <v>#N/A Requesting Data...</v>
        <stp/>
        <stp>##V3_BDHV12</stp>
        <stp>CL1 Comdty</stp>
        <stp>VOLATILITY_10D</stp>
        <stp>04/03/2016</stp>
        <stp>04/03/2016</stp>
        <stp>[Bbg_Market_Data_CL.xlsm]data!R276C17</stp>
        <tr r="Q276" s="1"/>
      </tp>
      <tp>
        <v>46.19</v>
        <stp/>
        <stp>##V3_BDHV12</stp>
        <stp>CL2 Comdty</stp>
        <stp>VOLATILITY_10D</stp>
        <stp>16/10/2015</stp>
        <stp>16/10/2015</stp>
        <stp>[Bbg_Market_Data_CL.xlsm]data!R369C17</stp>
        <tr r="Q369" s="1"/>
      </tp>
      <tp t="s">
        <v>#N/A Requesting Data...</v>
        <stp/>
        <stp>##V3_BDHV12</stp>
        <stp>CL2 Comdty</stp>
        <stp>VOLATILITY_10D</stp>
        <stp>01/06/2015</stp>
        <stp>01/06/2015</stp>
        <stp>[Bbg_Market_Data_CL.xlsm]data!R465C17</stp>
        <tr r="Q465" s="1"/>
      </tp>
      <tp>
        <v>67.260000000000005</v>
        <stp/>
        <stp>##V3_BDHV12</stp>
        <stp>CL2 Comdty</stp>
        <stp>VOLATILITY_30D</stp>
        <stp>04/02/2016</stp>
        <stp>04/02/2016</stp>
        <stp>[Bbg_Market_Data_CL.xlsm]data!R295C18</stp>
        <tr r="R295" s="1"/>
      </tp>
      <tp t="s">
        <v>#N/A Requesting Data...</v>
        <stp/>
        <stp>##V3_BDHV12</stp>
        <stp>CL1 Comdty</stp>
        <stp>VOLATILITY_30D</stp>
        <stp>24/03/2016</stp>
        <stp>24/03/2016</stp>
        <stp>[Bbg_Market_Data_CL.xlsm]data!R262C18</stp>
        <tr r="R262" s="1"/>
      </tp>
      <tp t="s">
        <v>#N/A Requesting Data...</v>
        <stp/>
        <stp>##V3_BDHV12</stp>
        <stp>CL1 Comdty</stp>
        <stp>VOLATILITY_30D</stp>
        <stp>06/10/2015</stp>
        <stp>06/10/2015</stp>
        <stp>[Bbg_Market_Data_CL.xlsm]data!R376C18</stp>
        <tr r="R376" s="1"/>
      </tp>
      <tp t="s">
        <v>#N/A Requesting Data...</v>
        <stp/>
        <stp>##V3_BDHV12</stp>
        <stp>CL2 Comdty</stp>
        <stp>VOLATILITY_10D</stp>
        <stp>21/04/2015</stp>
        <stp>21/04/2015</stp>
        <stp>[Bbg_Market_Data_CL.xlsm]data!R493C17</stp>
        <tr r="Q493" s="1"/>
      </tp>
      <tp>
        <v>76.319999999999993</v>
        <stp/>
        <stp>##V3_BDHV12</stp>
        <stp>CL2 Comdty</stp>
        <stp>VOLATILITY_10D</stp>
        <stp>24/02/2016</stp>
        <stp>24/02/2016</stp>
        <stp>[Bbg_Market_Data_CL.xlsm]data!R283C17</stp>
        <tr r="Q283" s="1"/>
      </tp>
      <tp>
        <v>63.22</v>
        <stp/>
        <stp>##V3_BDHV12</stp>
        <stp>CL2 Comdty</stp>
        <stp>VOLATILITY_30D</stp>
        <stp>14/03/2016</stp>
        <stp>14/03/2016</stp>
        <stp>[Bbg_Market_Data_CL.xlsm]data!R270C18</stp>
        <tr r="R270" s="1"/>
      </tp>
      <tp t="s">
        <v>#N/A Requesting Data...</v>
        <stp/>
        <stp>##V3_BDHV12</stp>
        <stp>CL1 Comdty</stp>
        <stp>VOLATILITY_10D</stp>
        <stp>01/05/2015</stp>
        <stp>01/05/2015</stp>
        <stp>[Bbg_Market_Data_CL.xlsm]data!R485C17</stp>
        <tr r="Q485" s="1"/>
      </tp>
      <tp t="s">
        <v>#N/A Requesting Data...</v>
        <stp/>
        <stp>##V3_BDHV12</stp>
        <stp>CL1 Comdty</stp>
        <stp>VOLATILITY_30D</stp>
        <stp>21/05/2015</stp>
        <stp>21/05/2015</stp>
        <stp>[Bbg_Market_Data_CL.xlsm]data!R471C18</stp>
        <tr r="R471" s="1"/>
      </tp>
      <tp t="s">
        <v>#N/A Requesting Data...</v>
        <stp/>
        <stp>##V3_BDHV12</stp>
        <stp>CL2 Comdty</stp>
        <stp>VOLATILITY_30D</stp>
        <stp>11/05/2015</stp>
        <stp>11/05/2015</stp>
        <stp>[Bbg_Market_Data_CL.xlsm]data!R479C18</stp>
        <tr r="R479" s="1"/>
      </tp>
      <tp t="s">
        <v>#N/A Requesting Data...</v>
        <stp/>
        <stp>##V3_BDHV12</stp>
        <stp>CL1 Comdty</stp>
        <stp>VOLATILITY_30D</stp>
        <stp>01/07/2015</stp>
        <stp>01/07/2015</stp>
        <stp>[Bbg_Market_Data_CL.xlsm]data!R443C18</stp>
        <tr r="R443" s="1"/>
      </tp>
      <tp t="s">
        <v>#N/A Requesting Data...</v>
        <stp/>
        <stp>##V3_BDHV12</stp>
        <stp>CL1 Comdty</stp>
        <stp>VOLATILITY_30D</stp>
        <stp>11/06/2015</stp>
        <stp>11/06/2015</stp>
        <stp>[Bbg_Market_Data_CL.xlsm]data!R457C18</stp>
        <tr r="R457" s="1"/>
      </tp>
      <tp t="s">
        <v>#N/A Requesting Data...</v>
        <stp/>
        <stp>##V3_BDHV12</stp>
        <stp>CL1 Comdty</stp>
        <stp>VOLATILITY_30D</stp>
        <stp>16/11/2015</stp>
        <stp>16/11/2015</stp>
        <stp>[Bbg_Market_Data_CL.xlsm]data!R349C18</stp>
        <tr r="R349" s="1"/>
      </tp>
      <tp t="s">
        <v>#N/A Requesting Data...</v>
        <stp/>
        <stp>##V3_BDHV12</stp>
        <stp>CL2 Comdty</stp>
        <stp>VOLATILITY_30D</stp>
        <stp>31/07/2015</stp>
        <stp>31/07/2015</stp>
        <stp>[Bbg_Market_Data_CL.xlsm]data!R422C18</stp>
        <tr r="R422" s="1"/>
      </tp>
      <tp>
        <v>38.75</v>
        <stp/>
        <stp>##V3_BDHV12</stp>
        <stp>CL2 Comdty</stp>
        <stp>VOLATILITY_30D</stp>
        <stp>17/10/2016</stp>
        <stp>17/10/2016</stp>
        <stp>[Bbg_Market_Data_CL.xlsm]data!R121C18</stp>
        <tr r="R121" s="1"/>
      </tp>
      <tp>
        <v>36.26</v>
        <stp/>
        <stp>##V3_BDHV12</stp>
        <stp>CL2 Comdty</stp>
        <stp>VOLATILITY_30D</stp>
        <stp>16/12/2015</stp>
        <stp>16/12/2015</stp>
        <stp>[Bbg_Market_Data_CL.xlsm]data!R328C18</stp>
        <tr r="R328" s="1"/>
      </tp>
      <tp t="s">
        <v>#N/A Requesting Data...</v>
        <stp/>
        <stp>##V3_BDHV12</stp>
        <stp>CL1 Comdty</stp>
        <stp>VOLATILITY_30D</stp>
        <stp>27/10/2016</stp>
        <stp>27/10/2016</stp>
        <stp>[Bbg_Market_Data_CL.xlsm]data!R113C18</stp>
        <tr r="R113" s="1"/>
      </tp>
      <tp>
        <v>60.39</v>
        <stp/>
        <stp>##V3_BDHV12</stp>
        <stp>CL2 Comdty</stp>
        <stp>VOLATILITY_30D</stp>
        <stp>25/01/2016</stp>
        <stp>25/01/2016</stp>
        <stp>[Bbg_Market_Data_CL.xlsm]data!R303C18</stp>
        <tr r="R303" s="1"/>
      </tp>
      <tp t="s">
        <v>#N/A Requesting Data...</v>
        <stp/>
        <stp>##V3_BDHV12</stp>
        <stp>CL2 Comdty</stp>
        <stp>VOLATILITY_30D</stp>
        <stp>10/04/2015</stp>
        <stp>10/04/2015</stp>
        <stp>[Bbg_Market_Data_CL.xlsm]data!R500C18</stp>
        <tr r="R500" s="1"/>
      </tp>
      <tp t="s">
        <v>#N/A Requesting Data...</v>
        <stp/>
        <stp>##V3_BDHV12</stp>
        <stp>CL1 Comdty</stp>
        <stp>VOLATILITY_30D</stp>
        <stp>15/01/2016</stp>
        <stp>15/01/2016</stp>
        <stp>[Bbg_Market_Data_CL.xlsm]data!R308C18</stp>
        <tr r="R308" s="1"/>
      </tp>
      <tp>
        <v>31.1</v>
        <stp/>
        <stp>##V3_BDHV12</stp>
        <stp>CL2 Comdty</stp>
        <stp>VOLATILITY_30D</stp>
        <stp>07/11/2016</stp>
        <stp>07/11/2016</stp>
        <stp>[Bbg_Market_Data_CL.xlsm]data!R106C18</stp>
        <tr r="R106" s="1"/>
      </tp>
      <tp>
        <v>23.9</v>
        <stp/>
        <stp>##V3_BDHV12</stp>
        <stp>CL2 Comdty</stp>
        <stp>VOLATILITY_10D</stp>
        <stp>26/10/2016</stp>
        <stp>26/10/2016</stp>
        <stp>[Bbg_Market_Data_CL.xlsm]data!R114C17</stp>
        <tr r="Q114" s="1"/>
      </tp>
      <tp>
        <v>40.22</v>
        <stp/>
        <stp>##V3_BDHV12</stp>
        <stp>CL2 Comdty</stp>
        <stp>VOLATILITY_10D</stp>
        <stp>14/01/2016</stp>
        <stp>14/01/2016</stp>
        <stp>[Bbg_Market_Data_CL.xlsm]data!R309C17</stp>
        <tr r="Q309" s="1"/>
      </tp>
      <tp t="s">
        <v>#N/A Requesting Data...</v>
        <stp/>
        <stp>##V3_BDHV12</stp>
        <stp>CL1 Comdty</stp>
        <stp>VOLATILITY_10D</stp>
        <stp>17/12/2015</stp>
        <stp>17/12/2015</stp>
        <stp>[Bbg_Market_Data_CL.xlsm]data!R327C17</stp>
        <tr r="Q327" s="1"/>
      </tp>
      <tp t="s">
        <v>#N/A Requesting Data...</v>
        <stp/>
        <stp>##V3_BDHV12</stp>
        <stp>CL1 Comdty</stp>
        <stp>VOLATILITY_10D</stp>
        <stp>30/07/2015</stp>
        <stp>30/07/2015</stp>
        <stp>[Bbg_Market_Data_CL.xlsm]data!R423C17</stp>
        <tr r="Q423" s="1"/>
      </tp>
      <tp t="s">
        <v>#N/A Requesting Data...</v>
        <stp/>
        <stp>##V3_BDHV12</stp>
        <stp>CL1 Comdty</stp>
        <stp>VOLATILITY_10D</stp>
        <stp>27/11/2015</stp>
        <stp>27/11/2015</stp>
        <stp>[Bbg_Market_Data_CL.xlsm]data!R341C17</stp>
        <tr r="Q341" s="1"/>
      </tp>
      <tp>
        <v>26.68</v>
        <stp/>
        <stp>##V3_BDHV12</stp>
        <stp>CL2 Comdty</stp>
        <stp>VOLATILITY_10D</stp>
        <stp>17/11/2015</stp>
        <stp>17/11/2015</stp>
        <stp>[Bbg_Market_Data_CL.xlsm]data!R348C17</stp>
        <tr r="Q348" s="1"/>
      </tp>
      <tp t="s">
        <v>#N/A Requesting Data...</v>
        <stp/>
        <stp>##V3_BDHV12</stp>
        <stp>CL2 Comdty</stp>
        <stp>VOLATILITY_10D</stp>
        <stp>10/06/2015</stp>
        <stp>10/06/2015</stp>
        <stp>[Bbg_Market_Data_CL.xlsm]data!R458C17</stp>
        <tr r="Q458" s="1"/>
      </tp>
      <tp t="s">
        <v>#N/A Requesting Data...</v>
        <stp/>
        <stp>##V3_BDHV12</stp>
        <stp>CL1 Comdty</stp>
        <stp>VOLATILITY_30D</stp>
        <stp>25/02/2016</stp>
        <stp>25/02/2016</stp>
        <stp>[Bbg_Market_Data_CL.xlsm]data!R282C18</stp>
        <tr r="R282" s="1"/>
      </tp>
      <tp t="s">
        <v>#N/A Requesting Data...</v>
        <stp/>
        <stp>##V3_BDHV12</stp>
        <stp>CL2 Comdty</stp>
        <stp>VOLATILITY_10D</stp>
        <stp>20/05/2015</stp>
        <stp>20/05/2015</stp>
        <stp>[Bbg_Market_Data_CL.xlsm]data!R472C17</stp>
        <tr r="Q472" s="1"/>
      </tp>
      <tp t="s">
        <v>#N/A Requesting Data...</v>
        <stp/>
        <stp>##V3_BDHV12</stp>
        <stp>CL1 Comdty</stp>
        <stp>VOLATILITY_30D</stp>
        <stp>20/04/2015</stp>
        <stp>20/04/2015</stp>
        <stp>[Bbg_Market_Data_CL.xlsm]data!R494C18</stp>
        <tr r="R494" s="1"/>
      </tp>
      <tp>
        <v>35.89</v>
        <stp/>
        <stp>##V3_BDHV12</stp>
        <stp>CL2 Comdty</stp>
        <stp>VOLATILITY_10D</stp>
        <stp>07/10/2015</stp>
        <stp>07/10/2015</stp>
        <stp>[Bbg_Market_Data_CL.xlsm]data!R375C17</stp>
        <tr r="Q375" s="1"/>
      </tp>
      <tp t="s">
        <v>#N/A Requesting Data...</v>
        <stp/>
        <stp>##V3_BDHV12</stp>
        <stp>CL1 Comdty</stp>
        <stp>VOLATILITY_10D</stp>
        <stp>15/03/2016</stp>
        <stp>15/03/2016</stp>
        <stp>[Bbg_Market_Data_CL.xlsm]data!R269C17</stp>
        <tr r="Q269" s="1"/>
      </tp>
      <tp t="s">
        <v>#N/A Requesting Data...</v>
        <stp/>
        <stp>##V3_BDHV12</stp>
        <stp>CL1 Comdty</stp>
        <stp>VOLATILITY_10D</stp>
        <stp>05/02/2016</stp>
        <stp>05/02/2016</stp>
        <stp>[Bbg_Market_Data_CL.xlsm]data!R294C17</stp>
        <tr r="Q294" s="1"/>
      </tp>
      <tp t="s">
        <v>#N/A Requesting Data...</v>
        <stp/>
        <stp>##V3_BDHV12</stp>
        <stp>CL2 Comdty</stp>
        <stp>VOLATILITY_10D</stp>
        <stp>30/04/2015</stp>
        <stp>30/04/2015</stp>
        <stp>[Bbg_Market_Data_CL.xlsm]data!R486C17</stp>
        <tr r="Q486" s="1"/>
      </tp>
      <tp>
        <v>37.51</v>
        <stp/>
        <stp>##V3_BDHV12</stp>
        <stp>CL2 Comdty</stp>
        <stp>VOLATILITY_30D</stp>
        <stp>27/10/2015</stp>
        <stp>27/10/2015</stp>
        <stp>[Bbg_Market_Data_CL.xlsm]data!R362C18</stp>
        <tr r="R362" s="1"/>
      </tp>
      <tp t="s">
        <v>#N/A Requesting Data...</v>
        <stp/>
        <stp>##V3_BDHV12</stp>
        <stp>CL2 Comdty</stp>
        <stp>VOLATILITY_30D</stp>
        <stp>30/06/2015</stp>
        <stp>30/06/2015</stp>
        <stp>[Bbg_Market_Data_CL.xlsm]data!R444C18</stp>
        <tr r="R444" s="1"/>
      </tp>
      <tp>
        <v>41.15</v>
        <stp/>
        <stp>##V3_BDHV12</stp>
        <stp>CL2 Comdty</stp>
        <stp>VOLATILITY_30D</stp>
        <stp>07/12/2015</stp>
        <stp>07/12/2015</stp>
        <stp>[Bbg_Market_Data_CL.xlsm]data!R335C18</stp>
        <tr r="R335" s="1"/>
      </tp>
      <tp t="s">
        <v>#N/A Requesting Data...</v>
        <stp/>
        <stp>##V3_BDHV12</stp>
        <stp>CL1 Comdty</stp>
        <stp>VOLATILITY_30D</stp>
        <stp>10/07/2015</stp>
        <stp>10/07/2015</stp>
        <stp>[Bbg_Market_Data_CL.xlsm]data!R437C18</stp>
        <tr r="R437" s="1"/>
      </tp>
      <tp>
        <v>41.98</v>
        <stp/>
        <stp>##V3_BDHV12</stp>
        <stp>CL2 Comdty</stp>
        <stp>VOLATILITY_30D</stp>
        <stp>06/10/2016</stp>
        <stp>06/10/2016</stp>
        <stp>[Bbg_Market_Data_CL.xlsm]data!R127C18</stp>
        <tr r="R127" s="1"/>
      </tp>
      <tp t="s">
        <v>#N/A Requesting Data...</v>
        <stp/>
        <stp>##V3_BDHV12</stp>
        <stp>CL2 Comdty</stp>
        <stp>VOLATILITY_30D</stp>
        <stp>20/07/2015</stp>
        <stp>20/07/2015</stp>
        <stp>[Bbg_Market_Data_CL.xlsm]data!R431C18</stp>
        <tr r="R431" s="1"/>
      </tp>
      <tp>
        <v>30.87</v>
        <stp/>
        <stp>##V3_BDHV12</stp>
        <stp>CL2 Comdty</stp>
        <stp>VOLATILITY_30D</stp>
        <stp>16/11/2016</stp>
        <stp>16/11/2016</stp>
        <stp>[Bbg_Market_Data_CL.xlsm]data!R100C18</stp>
        <tr r="R100" s="1"/>
      </tp>
      <tp t="s">
        <v>#N/A Requesting Data...</v>
        <stp/>
        <stp>##V3_BDHV12</stp>
        <stp>CL1 Comdty</stp>
        <stp>VOLATILITY_30D</stp>
        <stp>04/01/2016</stp>
        <stp>04/01/2016</stp>
        <stp>[Bbg_Market_Data_CL.xlsm]data!R317C18</stp>
        <tr r="R317" s="1"/>
      </tp>
      <tp>
        <v>12.31</v>
        <stp/>
        <stp>##V3_BDHV12</stp>
        <stp>CL2 Comdty</stp>
        <stp>VOLATILITY_10D</stp>
        <stp>02/06/2016</stp>
        <stp>02/06/2016</stp>
        <stp>[Bbg_Market_Data_CL.xlsm]data!R214C17</stp>
        <tr r="Q214" s="1"/>
      </tp>
      <tp t="s">
        <v>#N/A Requesting Data...</v>
        <stp/>
        <stp>##V3_BDHV12</stp>
        <stp>CL1 Comdty</stp>
        <stp>VOLATILITY_10D</stp>
        <stp>02/05/2016</stp>
        <stp>02/05/2016</stp>
        <stp>[Bbg_Market_Data_CL.xlsm]data!R236C17</stp>
        <tr r="Q236" s="1"/>
      </tp>
      <tp t="s">
        <v>#N/A Requesting Data...</v>
        <stp/>
        <stp>##V3_BDHV12</stp>
        <stp>CL1 Comdty</stp>
        <stp>VOLATILITY_10D</stp>
        <stp>12/04/2016</stp>
        <stp>12/04/2016</stp>
        <stp>[Bbg_Market_Data_CL.xlsm]data!R250C17</stp>
        <tr r="Q250" s="1"/>
      </tp>
      <tp>
        <v>39.340000000000003</v>
        <stp/>
        <stp>##V3_BDHV12</stp>
        <stp>CL2 Comdty</stp>
        <stp>VOLATILITY_10D</stp>
        <stp>22/04/2016</stp>
        <stp>22/04/2016</stp>
        <stp>[Bbg_Market_Data_CL.xlsm]data!R242C17</stp>
        <tr r="Q242" s="1"/>
      </tp>
      <tp>
        <v>35.92</v>
        <stp/>
        <stp>##V3_BDHV12</stp>
        <stp>CL2 Comdty</stp>
        <stp>VOLATILITY_30D</stp>
        <stp>01/07/2016</stp>
        <stp>01/07/2016</stp>
        <stp>[Bbg_Market_Data_CL.xlsm]data!R193C18</stp>
        <tr r="R193" s="1"/>
      </tp>
      <tp>
        <v>40.72</v>
        <stp/>
        <stp>##V3_BDHV12</stp>
        <stp>CL2 Comdty</stp>
        <stp>VOLATILITY_10D</stp>
        <stp>21/07/2016</stp>
        <stp>21/07/2016</stp>
        <stp>[Bbg_Market_Data_CL.xlsm]data!R180C17</stp>
        <tr r="Q180" s="1"/>
      </tp>
      <tp t="s">
        <v>#N/A Requesting Data...</v>
        <stp/>
        <stp>##V3_BDHV12</stp>
        <stp>CL1 Comdty</stp>
        <stp>VOLATILITY_10D</stp>
        <stp>11/07/2016</stp>
        <stp>11/07/2016</stp>
        <stp>[Bbg_Market_Data_CL.xlsm]data!R188C17</stp>
        <tr r="Q188" s="1"/>
      </tp>
      <tp>
        <v>41.31</v>
        <stp/>
        <stp>##V3_BDHV12</stp>
        <stp>CL2 Comdty</stp>
        <stp>VOLATILITY_30D</stp>
        <stp>12/05/2016</stp>
        <stp>12/05/2016</stp>
        <stp>[Bbg_Market_Data_CL.xlsm]data!R228C18</stp>
        <tr r="R228" s="1"/>
      </tp>
      <tp>
        <v>26.95</v>
        <stp/>
        <stp>##V3_BDHV12</stp>
        <stp>CL2 Comdty</stp>
        <stp>VOLATILITY_30D</stp>
        <stp>22/06/2016</stp>
        <stp>22/06/2016</stp>
        <stp>[Bbg_Market_Data_CL.xlsm]data!R200C18</stp>
        <tr r="R200" s="1"/>
      </tp>
      <tp>
        <v>26.6</v>
        <stp/>
        <stp>##V3_BDHV12</stp>
        <stp>CL2 Comdty</stp>
        <stp>VOLATILITY_10D</stp>
        <stp>13/06/2016</stp>
        <stp>13/06/2016</stp>
        <stp>[Bbg_Market_Data_CL.xlsm]data!R207C17</stp>
        <tr r="Q207" s="1"/>
      </tp>
      <tp t="s">
        <v>#N/A Requesting Data...</v>
        <stp/>
        <stp>##V3_BDHV12</stp>
        <stp>CL1 Comdty</stp>
        <stp>VOLATILITY_10D</stp>
        <stp>13/05/2016</stp>
        <stp>13/05/2016</stp>
        <stp>[Bbg_Market_Data_CL.xlsm]data!R227C17</stp>
        <tr r="Q227" s="1"/>
      </tp>
      <tp>
        <v>26.8</v>
        <stp/>
        <stp>##V3_BDHV12</stp>
        <stp>CL2 Comdty</stp>
        <stp>VOLATILITY_10D</stp>
        <stp>23/05/2016</stp>
        <stp>23/05/2016</stp>
        <stp>[Bbg_Market_Data_CL.xlsm]data!R221C17</stp>
        <tr r="Q221" s="1"/>
      </tp>
      <tp t="s">
        <v>#N/A Requesting Data...</v>
        <stp/>
        <stp>##V3_BDHV12</stp>
        <stp>CL1 Comdty</stp>
        <stp>VOLATILITY_30D</stp>
        <stp>20/07/2016</stp>
        <stp>20/07/2016</stp>
        <stp>[Bbg_Market_Data_CL.xlsm]data!R181C18</stp>
        <tr r="R181" s="1"/>
      </tp>
      <tp t="s">
        <v>#N/A Requesting Data...</v>
        <stp/>
        <stp>##V3_BDHV12</stp>
        <stp>CL1 Comdty</stp>
        <stp>VOLATILITY_30D</stp>
        <stp>30/06/2016</stp>
        <stp>30/06/2016</stp>
        <stp>[Bbg_Market_Data_CL.xlsm]data!R194C18</stp>
        <tr r="R194" s="1"/>
      </tp>
      <tp>
        <v>49.63</v>
        <stp/>
        <stp>##V3_BDHV12</stp>
        <stp>CL2 Comdty</stp>
        <stp>VOLATILITY_30D</stp>
        <stp>13/04/2016</stp>
        <stp>13/04/2016</stp>
        <stp>[Bbg_Market_Data_CL.xlsm]data!R249C18</stp>
        <tr r="R249" s="1"/>
      </tp>
      <tp>
        <v>43.47</v>
        <stp/>
        <stp>##V3_BDHV12</stp>
        <stp>CL2 Comdty</stp>
        <stp>VOLATILITY_30D</stp>
        <stp>03/05/2016</stp>
        <stp>03/05/2016</stp>
        <stp>[Bbg_Market_Data_CL.xlsm]data!R235C18</stp>
        <tr r="R235" s="1"/>
      </tp>
      <tp t="s">
        <v>#N/A Requesting Data...</v>
        <stp/>
        <stp>##V3_BDHV12</stp>
        <stp>CL1 Comdty</stp>
        <stp>VOLATILITY_30D</stp>
        <stp>03/06/2016</stp>
        <stp>03/06/2016</stp>
        <stp>[Bbg_Market_Data_CL.xlsm]data!R213C18</stp>
        <tr r="R213" s="1"/>
      </tp>
      <tp>
        <v>41.02</v>
        <stp/>
        <stp>##V3_BDHV12</stp>
        <stp>CL2 Comdty</stp>
        <stp>VOLATILITY_10D</stp>
        <stp>20/06/2016</stp>
        <stp>20/06/2016</stp>
        <stp>[Bbg_Market_Data_CL.xlsm]data!R202C17</stp>
        <tr r="Q202" s="1"/>
      </tp>
      <tp t="s">
        <v>#N/A Requesting Data...</v>
        <stp/>
        <stp>##V3_BDHV12</stp>
        <stp>CL1 Comdty</stp>
        <stp>VOLATILITY_10D</stp>
        <stp>10/06/2016</stp>
        <stp>10/06/2016</stp>
        <stp>[Bbg_Market_Data_CL.xlsm]data!R208C17</stp>
        <tr r="Q208" s="1"/>
      </tp>
      <tp>
        <v>32.99</v>
        <stp/>
        <stp>##V3_BDHV12</stp>
        <stp>CL2 Comdty</stp>
        <stp>VOLATILITY_10D</stp>
        <stp>10/05/2016</stp>
        <stp>10/05/2016</stp>
        <stp>[Bbg_Market_Data_CL.xlsm]data!R230C17</stp>
        <tr r="Q230" s="1"/>
      </tp>
      <tp t="s">
        <v>#N/A Requesting Data...</v>
        <stp/>
        <stp>##V3_BDHV12</stp>
        <stp>CL1 Comdty</stp>
        <stp>VOLATILITY_10D</stp>
        <stp>20/05/2016</stp>
        <stp>20/05/2016</stp>
        <stp>[Bbg_Market_Data_CL.xlsm]data!R222C17</stp>
        <tr r="Q222" s="1"/>
      </tp>
      <tp t="s">
        <v>#N/A Requesting Data...</v>
        <stp/>
        <stp>##V3_BDHV12</stp>
        <stp>CL1 Comdty</stp>
        <stp>VOLATILITY_30D</stp>
        <stp>13/07/2016</stp>
        <stp>13/07/2016</stp>
        <stp>[Bbg_Market_Data_CL.xlsm]data!R186C18</stp>
        <tr r="R186" s="1"/>
      </tp>
      <tp t="s">
        <v>#N/A Requesting Data...</v>
        <stp/>
        <stp>##V3_BDHV12</stp>
        <stp>CL1 Comdty</stp>
        <stp>VOLATILITY_10D</stp>
        <stp>23/06/2016</stp>
        <stp>23/06/2016</stp>
        <stp>[Bbg_Market_Data_CL.xlsm]data!R199C17</stp>
        <tr r="Q199" s="1"/>
      </tp>
      <tp>
        <v>46.27</v>
        <stp/>
        <stp>##V3_BDHV12</stp>
        <stp>CL2 Comdty</stp>
        <stp>VOLATILITY_30D</stp>
        <stp>20/04/2016</stp>
        <stp>20/04/2016</stp>
        <stp>[Bbg_Market_Data_CL.xlsm]data!R244C18</stp>
        <tr r="R244" s="1"/>
      </tp>
      <tp t="s">
        <v>#N/A Requesting Data...</v>
        <stp/>
        <stp>##V3_BDHV12</stp>
        <stp>CL1 Comdty</stp>
        <stp>VOLATILITY_10D</stp>
        <stp>01/06/2016</stp>
        <stp>01/06/2016</stp>
        <stp>[Bbg_Market_Data_CL.xlsm]data!R215C17</stp>
        <tr r="Q215" s="1"/>
      </tp>
      <tp t="s">
        <v>#N/A Requesting Data...</v>
        <stp/>
        <stp>##V3_BDHV12</stp>
        <stp>CL1 Comdty</stp>
        <stp>VOLATILITY_10D</stp>
        <stp>31/05/2016</stp>
        <stp>31/05/2016</stp>
        <stp>[Bbg_Market_Data_CL.xlsm]data!R216C17</stp>
        <tr r="Q216" s="1"/>
      </tp>
      <tp>
        <v>54.41</v>
        <stp/>
        <stp>##V3_BDHV12</stp>
        <stp>CL2 Comdty</stp>
        <stp>VOLATILITY_10D</stp>
        <stp>11/04/2016</stp>
        <stp>11/04/2016</stp>
        <stp>[Bbg_Market_Data_CL.xlsm]data!R251C17</stp>
        <tr r="Q251" s="1"/>
      </tp>
      <tp t="s">
        <v>#N/A Requesting Data...</v>
        <stp/>
        <stp>##V3_BDHV12</stp>
        <stp>CL1 Comdty</stp>
        <stp>VOLATILITY_10D</stp>
        <stp>21/04/2016</stp>
        <stp>21/04/2016</stp>
        <stp>[Bbg_Market_Data_CL.xlsm]data!R243C17</stp>
        <tr r="Q243" s="1"/>
      </tp>
      <tp t="s">
        <v>#N/A Requesting Data...</v>
        <stp/>
        <stp>##V3_BDHV12</stp>
        <stp>CL1 Comdty</stp>
        <stp>VOLATILITY_10D</stp>
        <stp>22/07/2016</stp>
        <stp>22/07/2016</stp>
        <stp>[Bbg_Market_Data_CL.xlsm]data!R179C17</stp>
        <tr r="Q179" s="1"/>
      </tp>
      <tp>
        <v>56.89</v>
        <stp/>
        <stp>##V3_BDHV12</stp>
        <stp>CL2 Comdty</stp>
        <stp>VOLATILITY_10D</stp>
        <stp>12/07/2016</stp>
        <stp>12/07/2016</stp>
        <stp>[Bbg_Market_Data_CL.xlsm]data!R187C17</stp>
        <tr r="Q187" s="1"/>
      </tp>
      <tp t="s">
        <v>#N/A Requesting Data...</v>
        <stp/>
        <stp>##V3_BDHV12</stp>
        <stp>CL1 Comdty</stp>
        <stp>VOLATILITY_30D</stp>
        <stp>01/04/2016</stp>
        <stp>01/04/2016</stp>
        <stp>[Bbg_Market_Data_CL.xlsm]data!R257C18</stp>
        <tr r="R257" s="1"/>
      </tp>
      <tp t="s">
        <v>#N/A Requesting Data...</v>
        <stp/>
        <stp>##V3_BDHV12</stp>
        <stp>CL1 Comdty</stp>
        <stp>VOLATILITY_30D</stp>
        <stp>11/05/2016</stp>
        <stp>11/05/2016</stp>
        <stp>[Bbg_Market_Data_CL.xlsm]data!R229C18</stp>
        <tr r="R229" s="1"/>
      </tp>
      <tp t="s">
        <v>#N/A Requesting Data...</v>
        <stp/>
        <stp>##V3_BDHV12</stp>
        <stp>CL1 Comdty</stp>
        <stp>VOLATILITY_30D</stp>
        <stp>21/06/2016</stp>
        <stp>21/06/2016</stp>
        <stp>[Bbg_Market_Data_CL.xlsm]data!R201C18</stp>
        <tr r="R201" s="1"/>
      </tp>
      <tp>
        <v>35.299999999999997</v>
        <stp/>
        <stp>##V3_BDHV12</stp>
        <stp>CL2 Comdty</stp>
        <stp>PX_LOW</stp>
        <stp>02/03/2016</stp>
        <stp>02/03/2016</stp>
        <stp>[Bbg_Market_Data_CL.xlsm]data!R278C7</stp>
        <tr r="G278" s="1"/>
      </tp>
      <tp t="s">
        <v>#N/A Requesting Data...</v>
        <stp/>
        <stp>##V3_BDHV12</stp>
        <stp>CL1 Comdty</stp>
        <stp>PX_LOW</stp>
        <stp>20/10/2016</stp>
        <stp>20/10/2016</stp>
        <stp>[Bbg_Market_Data_CL.xlsm]data!R118C7</stp>
        <tr r="G118" s="1"/>
      </tp>
      <tp t="s">
        <v>#N/A Requesting Data...</v>
        <stp/>
        <stp>##V3_BDHV12</stp>
        <stp>CL1 Comdty</stp>
        <stp>PX_LOW</stp>
        <stp>02/12/2015</stp>
        <stp>02/12/2015</stp>
        <stp>[Bbg_Market_Data_CL.xlsm]data!R338C7</stp>
        <tr r="G338" s="1"/>
      </tp>
      <tp>
        <v>46.33</v>
        <stp/>
        <stp>##V3_BDHV12</stp>
        <stp>CL2 Comdty</stp>
        <stp>PX_LOW</stp>
        <stp>30/10/2015</stp>
        <stp>30/10/2015</stp>
        <stp>[Bbg_Market_Data_CL.xlsm]data!R359C7</stp>
        <tr r="G359" s="1"/>
      </tp>
      <tp>
        <v>41.26</v>
        <stp/>
        <stp>##V3_BDHV12</stp>
        <stp>CL2 Comdty</stp>
        <stp>PX_LOW</stp>
        <stp>02/12/2015</stp>
        <stp>02/12/2015</stp>
        <stp>[Bbg_Market_Data_CL.xlsm]data!R338C7</stp>
        <tr r="G338" s="1"/>
      </tp>
      <tp t="s">
        <v>#N/A Requesting Data...</v>
        <stp/>
        <stp>##V3_BDHV12</stp>
        <stp>CL1 Comdty</stp>
        <stp>PX_LOW</stp>
        <stp>30/10/2015</stp>
        <stp>30/10/2015</stp>
        <stp>[Bbg_Market_Data_CL.xlsm]data!R359C7</stp>
        <tr r="G359" s="1"/>
      </tp>
      <tp t="s">
        <v>#N/A Requesting Data...</v>
        <stp/>
        <stp>##V3_BDHV12</stp>
        <stp>CL1 Comdty</stp>
        <stp>PX_LOW</stp>
        <stp>02/03/2016</stp>
        <stp>02/03/2016</stp>
        <stp>[Bbg_Market_Data_CL.xlsm]data!R278C7</stp>
        <tr r="G278" s="1"/>
      </tp>
      <tp>
        <v>50.44</v>
        <stp/>
        <stp>##V3_BDHV12</stp>
        <stp>CL2 Comdty</stp>
        <stp>PX_LOW</stp>
        <stp>20/10/2016</stp>
        <stp>20/10/2016</stp>
        <stp>[Bbg_Market_Data_CL.xlsm]data!R118C7</stp>
        <tr r="G118" s="1"/>
      </tp>
      <tp>
        <v>37.340000000000003</v>
        <stp/>
        <stp>##V3_BDHV12</stp>
        <stp>CL2 Comdty</stp>
        <stp>PX_LOW</stp>
        <stp>15/12/2015</stp>
        <stp>15/12/2015</stp>
        <stp>[Bbg_Market_Data_CL.xlsm]data!R329C7</stp>
        <tr r="G329" s="1"/>
      </tp>
      <tp t="s">
        <v>#N/A Requesting Data...</v>
        <stp/>
        <stp>##V3_BDHV12</stp>
        <stp>CL1 Comdty</stp>
        <stp>PX_LOW</stp>
        <stp>15/03/2016</stp>
        <stp>15/03/2016</stp>
        <stp>[Bbg_Market_Data_CL.xlsm]data!R269C7</stp>
        <tr r="G269" s="1"/>
      </tp>
      <tp>
        <v>30.81</v>
        <stp/>
        <stp>##V3_BDHV12</stp>
        <stp>CL2 Comdty</stp>
        <stp>PX_LOW</stp>
        <stp>17/02/2016</stp>
        <stp>17/02/2016</stp>
        <stp>[Bbg_Market_Data_CL.xlsm]data!R288C7</stp>
        <tr r="G288" s="1"/>
      </tp>
      <tp>
        <v>37.71</v>
        <stp/>
        <stp>##V3_BDHV12</stp>
        <stp>CL2 Comdty</stp>
        <stp>PX_LOW</stp>
        <stp>15/03/2016</stp>
        <stp>15/03/2016</stp>
        <stp>[Bbg_Market_Data_CL.xlsm]data!R269C7</stp>
        <tr r="G269" s="1"/>
      </tp>
      <tp t="s">
        <v>#N/A Requesting Data...</v>
        <stp/>
        <stp>##V3_BDHV12</stp>
        <stp>CL1 Comdty</stp>
        <stp>PX_LOW</stp>
        <stp>17/02/2016</stp>
        <stp>17/02/2016</stp>
        <stp>[Bbg_Market_Data_CL.xlsm]data!R288C7</stp>
        <tr r="G288" s="1"/>
      </tp>
      <tp t="s">
        <v>#N/A Requesting Data...</v>
        <stp/>
        <stp>##V3_BDHV12</stp>
        <stp>CL1 Comdty</stp>
        <stp>PX_LOW</stp>
        <stp>15/12/2015</stp>
        <stp>15/12/2015</stp>
        <stp>[Bbg_Market_Data_CL.xlsm]data!R329C7</stp>
        <tr r="G329" s="1"/>
      </tp>
      <tp>
        <v>40.6</v>
        <stp/>
        <stp>##V3_BDHV12</stp>
        <stp>CL2 Comdty</stp>
        <stp>PX_LOW</stp>
        <stp>01/08/2016</stp>
        <stp>01/08/2016</stp>
        <stp>[Bbg_Market_Data_CL.xlsm]data!R173C7</stp>
        <tr r="G173" s="1"/>
      </tp>
      <tp t="s">
        <v>#N/A Requesting Data...</v>
        <stp/>
        <stp>##V3_BDHV12</stp>
        <stp>CL1 Comdty</stp>
        <stp>PX_LOW</stp>
        <stp>30/09/2016</stp>
        <stp>30/09/2016</stp>
        <stp>[Bbg_Market_Data_CL.xlsm]data!R131C7</stp>
        <tr r="G131" s="1"/>
      </tp>
      <tp t="s">
        <v>#N/A Requesting Data...</v>
        <stp/>
        <stp>##V3_BDHV12</stp>
        <stp>CL1 Comdty</stp>
        <stp>PX_LOW</stp>
        <stp>11/09/2015</stp>
        <stp>11/09/2015</stp>
        <stp>[Bbg_Market_Data_CL.xlsm]data!R393C7</stp>
        <tr r="G393" s="1"/>
      </tp>
      <tp t="s">
        <v>#N/A Requesting Data...</v>
        <stp/>
        <stp>##V3_BDHV12</stp>
        <stp>CL1 Comdty</stp>
        <stp>PX_LOW</stp>
        <stp>01/08/2016</stp>
        <stp>01/08/2016</stp>
        <stp>[Bbg_Market_Data_CL.xlsm]data!R173C7</stp>
        <tr r="G173" s="1"/>
      </tp>
      <tp>
        <v>47.61</v>
        <stp/>
        <stp>##V3_BDHV12</stp>
        <stp>CL2 Comdty</stp>
        <stp>PX_LOW</stp>
        <stp>30/09/2016</stp>
        <stp>30/09/2016</stp>
        <stp>[Bbg_Market_Data_CL.xlsm]data!R131C7</stp>
        <tr r="G131" s="1"/>
      </tp>
      <tp>
        <v>44.66</v>
        <stp/>
        <stp>##V3_BDHV12</stp>
        <stp>CL2 Comdty</stp>
        <stp>PX_LOW</stp>
        <stp>11/09/2015</stp>
        <stp>11/09/2015</stp>
        <stp>[Bbg_Market_Data_CL.xlsm]data!R393C7</stp>
        <tr r="G393" s="1"/>
      </tp>
      <tp t="s">
        <v>#N/A Requesting Data...</v>
        <stp/>
        <stp>##V3_BDHV12</stp>
        <stp>CL1 Comdty</stp>
        <stp>PX_LOW</stp>
        <stp>14/08/2015</stp>
        <stp>14/08/2015</stp>
        <stp>[Bbg_Market_Data_CL.xlsm]data!R412C7</stp>
        <tr r="G412" s="1"/>
      </tp>
      <tp t="s">
        <v>#N/A Requesting Data...</v>
        <stp/>
        <stp>##V3_BDHV12</stp>
        <stp>CL1 Comdty</stp>
        <stp>PX_LOW</stp>
        <stp>17/08/2016</stp>
        <stp>17/08/2016</stp>
        <stp>[Bbg_Market_Data_CL.xlsm]data!R162C7</stp>
        <tr r="G162" s="1"/>
      </tp>
      <tp>
        <v>44</v>
        <stp/>
        <stp>##V3_BDHV12</stp>
        <stp>CL2 Comdty</stp>
        <stp>PX_LOW</stp>
        <stp>14/09/2016</stp>
        <stp>14/09/2016</stp>
        <stp>[Bbg_Market_Data_CL.xlsm]data!R143C7</stp>
        <tr r="G143" s="1"/>
      </tp>
      <tp t="s">
        <v>#N/A Requesting Data...</v>
        <stp/>
        <stp>##V3_BDHV12</stp>
        <stp>CL1 Comdty</stp>
        <stp>PX_LOW</stp>
        <stp>14/09/2016</stp>
        <stp>14/09/2016</stp>
        <stp>[Bbg_Market_Data_CL.xlsm]data!R143C7</stp>
        <tr r="G143" s="1"/>
      </tp>
      <tp>
        <v>42.16</v>
        <stp/>
        <stp>##V3_BDHV12</stp>
        <stp>CL2 Comdty</stp>
        <stp>PX_LOW</stp>
        <stp>14/08/2015</stp>
        <stp>14/08/2015</stp>
        <stp>[Bbg_Market_Data_CL.xlsm]data!R412C7</stp>
        <tr r="G412" s="1"/>
      </tp>
      <tp>
        <v>46.5</v>
        <stp/>
        <stp>##V3_BDHV12</stp>
        <stp>CL2 Comdty</stp>
        <stp>PX_LOW</stp>
        <stp>17/08/2016</stp>
        <stp>17/08/2016</stp>
        <stp>[Bbg_Market_Data_CL.xlsm]data!R162C7</stp>
        <tr r="G162" s="1"/>
      </tp>
      <tp>
        <v>38.840000000000003</v>
        <stp/>
        <stp>##V3_BDHV12</stp>
        <stp>CL2 Comdty</stp>
        <stp>VOLATILITY_10D</stp>
        <stp>15/11/2016</stp>
        <stp>15/11/2016</stp>
        <stp>[Bbg_Market_Data_CL.xlsm]data!R101C17</stp>
        <tr r="Q101" s="1"/>
      </tp>
      <tp t="s">
        <v>#N/A Requesting Data...</v>
        <stp/>
        <stp>##V3_BDHV12</stp>
        <stp>CL1 Comdty</stp>
        <stp>VOLATILITY_10D</stp>
        <stp>07/01/2016</stp>
        <stp>07/01/2016</stp>
        <stp>[Bbg_Market_Data_CL.xlsm]data!R314C17</stp>
        <tr r="Q314" s="1"/>
      </tp>
      <tp t="s">
        <v>#N/A Requesting Data...</v>
        <stp/>
        <stp>##V3_BDHV12</stp>
        <stp>CL1 Comdty</stp>
        <stp>VOLATILITY_10D</stp>
        <stp>13/07/2015</stp>
        <stp>13/07/2015</stp>
        <stp>[Bbg_Market_Data_CL.xlsm]data!R436C17</stp>
        <tr r="Q436" s="1"/>
      </tp>
      <tp>
        <v>45.27</v>
        <stp/>
        <stp>##V3_BDHV12</stp>
        <stp>CL2 Comdty</stp>
        <stp>VOLATILITY_10D</stp>
        <stp>05/10/2016</stp>
        <stp>05/10/2016</stp>
        <stp>[Bbg_Market_Data_CL.xlsm]data!R128C17</stp>
        <tr r="Q128" s="1"/>
      </tp>
      <tp>
        <v>42.86</v>
        <stp/>
        <stp>##V3_BDHV12</stp>
        <stp>CL2 Comdty</stp>
        <stp>VOLATILITY_10D</stp>
        <stp>04/12/2015</stp>
        <stp>04/12/2015</stp>
        <stp>[Bbg_Market_Data_CL.xlsm]data!R336C17</stp>
        <tr r="Q336" s="1"/>
      </tp>
      <tp t="s">
        <v>#N/A Requesting Data...</v>
        <stp/>
        <stp>##V3_BDHV12</stp>
        <stp>CL2 Comdty</stp>
        <stp>VOLATILITY_10D</stp>
        <stp>23/07/2015</stp>
        <stp>23/07/2015</stp>
        <stp>[Bbg_Market_Data_CL.xlsm]data!R428C17</stp>
        <tr r="Q428" s="1"/>
      </tp>
      <tp t="s">
        <v>#N/A Requesting Data...</v>
        <stp/>
        <stp>##V3_BDHV12</stp>
        <stp>CL1 Comdty</stp>
        <stp>VOLATILITY_10D</stp>
        <stp>04/11/2015</stp>
        <stp>04/11/2015</stp>
        <stp>[Bbg_Market_Data_CL.xlsm]data!R356C17</stp>
        <tr r="Q356" s="1"/>
      </tp>
      <tp t="s">
        <v>#N/A Requesting Data...</v>
        <stp/>
        <stp>##V3_BDHV12</stp>
        <stp>CL1 Comdty</stp>
        <stp>VOLATILITY_10D</stp>
        <stp>14/10/2015</stp>
        <stp>14/10/2015</stp>
        <stp>[Bbg_Market_Data_CL.xlsm]data!R371C17</stp>
        <tr r="Q371" s="1"/>
      </tp>
      <tp t="s">
        <v>#N/A Requesting Data...</v>
        <stp/>
        <stp>##V3_BDHV12</stp>
        <stp>CL1 Comdty</stp>
        <stp>VOLATILITY_10D</stp>
        <stp>03/06/2015</stp>
        <stp>03/06/2015</stp>
        <stp>[Bbg_Market_Data_CL.xlsm]data!R463C17</stp>
        <tr r="Q463" s="1"/>
      </tp>
      <tp t="s">
        <v>#N/A Requesting Data...</v>
        <stp/>
        <stp>##V3_BDHV12</stp>
        <stp>CL1 Comdty</stp>
        <stp>VOLATILITY_10D</stp>
        <stp>23/04/2015</stp>
        <stp>23/04/2015</stp>
        <stp>[Bbg_Market_Data_CL.xlsm]data!R491C17</stp>
        <tr r="Q491" s="1"/>
      </tp>
      <tp t="s">
        <v>#N/A Requesting Data...</v>
        <stp/>
        <stp>##V3_BDHV12</stp>
        <stp>CL1 Comdty</stp>
        <stp>VOLATILITY_30D</stp>
        <stp>16/03/2016</stp>
        <stp>16/03/2016</stp>
        <stp>[Bbg_Market_Data_CL.xlsm]data!R268C18</stp>
        <tr r="R268" s="1"/>
      </tp>
      <tp t="s">
        <v>#N/A Requesting Data...</v>
        <stp/>
        <stp>##V3_BDHV12</stp>
        <stp>CL2 Comdty</stp>
        <stp>VOLATILITY_10D</stp>
        <stp>13/04/2015</stp>
        <stp>13/04/2015</stp>
        <stp>[Bbg_Market_Data_CL.xlsm]data!R499C17</stp>
        <tr r="Q499" s="1"/>
      </tp>
      <tp t="s">
        <v>#N/A Requesting Data...</v>
        <stp/>
        <stp>##V3_BDHV12</stp>
        <stp>CL1 Comdty</stp>
        <stp>VOLATILITY_30D</stp>
        <stp>13/05/2015</stp>
        <stp>13/05/2015</stp>
        <stp>[Bbg_Market_Data_CL.xlsm]data!R477C18</stp>
        <tr r="R477" s="1"/>
      </tp>
      <tp t="s">
        <v>#N/A Requesting Data...</v>
        <stp/>
        <stp>##V3_BDHV12</stp>
        <stp>CL1 Comdty</stp>
        <stp>VOLATILITY_10D</stp>
        <stp>26/02/2016</stp>
        <stp>26/02/2016</stp>
        <stp>[Bbg_Market_Data_CL.xlsm]data!R281C17</stp>
        <tr r="Q281" s="1"/>
      </tp>
      <tp t="s">
        <v>#N/A Requesting Data...</v>
        <stp/>
        <stp>##V3_BDHV12</stp>
        <stp>CL1 Comdty</stp>
        <stp>VOLATILITY_30D</stp>
        <stp>23/06/2015</stp>
        <stp>23/06/2015</stp>
        <stp>[Bbg_Market_Data_CL.xlsm]data!R449C18</stp>
        <tr r="R449" s="1"/>
      </tp>
      <tp t="s">
        <v>#N/A Requesting Data...</v>
        <stp/>
        <stp>##V3_BDHV12</stp>
        <stp>CL1 Comdty</stp>
        <stp>VOLATILITY_30D</stp>
        <stp>24/11/2015</stp>
        <stp>24/11/2015</stp>
        <stp>[Bbg_Market_Data_CL.xlsm]data!R343C18</stp>
        <tr r="R343" s="1"/>
      </tp>
      <tp t="s">
        <v>#N/A Requesting Data...</v>
        <stp/>
        <stp>##V3_BDHV12</stp>
        <stp>CL1 Comdty</stp>
        <stp>VOLATILITY_30D</stp>
        <stp>14/12/2015</stp>
        <stp>14/12/2015</stp>
        <stp>[Bbg_Market_Data_CL.xlsm]data!R330C18</stp>
        <tr r="R330" s="1"/>
      </tp>
      <tp>
        <v>39.43</v>
        <stp/>
        <stp>##V3_BDHV12</stp>
        <stp>CL2 Comdty</stp>
        <stp>VOLATILITY_30D</stp>
        <stp>24/12/2015</stp>
        <stp>24/12/2015</stp>
        <stp>[Bbg_Market_Data_CL.xlsm]data!R322C18</stp>
        <tr r="R322" s="1"/>
      </tp>
      <tp t="s">
        <v>#N/A Requesting Data...</v>
        <stp/>
        <stp>##V3_BDHV12</stp>
        <stp>CL1 Comdty</stp>
        <stp>VOLATILITY_30D</stp>
        <stp>27/01/2016</stp>
        <stp>27/01/2016</stp>
        <stp>[Bbg_Market_Data_CL.xlsm]data!R301C18</stp>
        <tr r="R301" s="1"/>
      </tp>
      <tp>
        <v>33.270000000000003</v>
        <stp/>
        <stp>##V3_BDHV12</stp>
        <stp>CL2 Comdty</stp>
        <stp>VOLATILITY_30D</stp>
        <stp>25/10/2016</stp>
        <stp>25/10/2016</stp>
        <stp>[Bbg_Market_Data_CL.xlsm]data!R115C18</stp>
        <tr r="R115" s="1"/>
      </tp>
      <tp>
        <v>22.22</v>
        <stp/>
        <stp>##V3_BDHV12</stp>
        <stp>CL2 Comdty</stp>
        <stp>VOLATILITY_10D</stp>
        <stp>04/11/2016</stp>
        <stp>04/11/2016</stp>
        <stp>[Bbg_Market_Data_CL.xlsm]data!R107C17</stp>
        <tr r="Q107" s="1"/>
      </tp>
      <tp>
        <v>87.88</v>
        <stp/>
        <stp>##V3_BDHV12</stp>
        <stp>CL2 Comdty</stp>
        <stp>VOLATILITY_10D</stp>
        <stp>26/01/2016</stp>
        <stp>26/01/2016</stp>
        <stp>[Bbg_Market_Data_CL.xlsm]data!R302C17</stp>
        <tr r="Q302" s="1"/>
      </tp>
      <tp t="s">
        <v>#N/A Requesting Data...</v>
        <stp/>
        <stp>##V3_BDHV12</stp>
        <stp>CL1 Comdty</stp>
        <stp>VOLATILITY_10D</stp>
        <stp>24/10/2016</stp>
        <stp>24/10/2016</stp>
        <stp>[Bbg_Market_Data_CL.xlsm]data!R116C17</stp>
        <tr r="Q116" s="1"/>
      </tp>
      <tp>
        <v>24.4</v>
        <stp/>
        <stp>##V3_BDHV12</stp>
        <stp>CL2 Comdty</stp>
        <stp>VOLATILITY_10D</stp>
        <stp>14/10/2016</stp>
        <stp>14/10/2016</stp>
        <stp>[Bbg_Market_Data_CL.xlsm]data!R122C17</stp>
        <tr r="Q122" s="1"/>
      </tp>
      <tp>
        <v>41.59</v>
        <stp/>
        <stp>##V3_BDHV12</stp>
        <stp>CL2 Comdty</stp>
        <stp>VOLATILITY_10D</stp>
        <stp>15/12/2015</stp>
        <stp>15/12/2015</stp>
        <stp>[Bbg_Market_Data_CL.xlsm]data!R329C17</stp>
        <tr r="Q329" s="1"/>
      </tp>
      <tp t="s">
        <v>#N/A Requesting Data...</v>
        <stp/>
        <stp>##V3_BDHV12</stp>
        <stp>CL1 Comdty</stp>
        <stp>VOLATILITY_10D</stp>
        <stp>12/06/2015</stp>
        <stp>12/06/2015</stp>
        <stp>[Bbg_Market_Data_CL.xlsm]data!R456C17</stp>
        <tr r="Q456" s="1"/>
      </tp>
      <tp>
        <v>32.03</v>
        <stp/>
        <stp>##V3_BDHV12</stp>
        <stp>CL2 Comdty</stp>
        <stp>VOLATILITY_10D</stp>
        <stp>25/11/2015</stp>
        <stp>25/11/2015</stp>
        <stp>[Bbg_Market_Data_CL.xlsm]data!R342C17</stp>
        <tr r="Q342" s="1"/>
      </tp>
      <tp t="s">
        <v>#N/A Requesting Data...</v>
        <stp/>
        <stp>##V3_BDHV12</stp>
        <stp>CL2 Comdty</stp>
        <stp>VOLATILITY_10D</stp>
        <stp>22/06/2015</stp>
        <stp>22/06/2015</stp>
        <stp>[Bbg_Market_Data_CL.xlsm]data!R450C17</stp>
        <tr r="Q450" s="1"/>
      </tp>
      <tp t="s">
        <v>#N/A Requesting Data...</v>
        <stp/>
        <stp>##V3_BDHV12</stp>
        <stp>CL1 Comdty</stp>
        <stp>VOLATILITY_10D</stp>
        <stp>02/07/2015</stp>
        <stp>02/07/2015</stp>
        <stp>[Bbg_Market_Data_CL.xlsm]data!R442C17</stp>
        <tr r="Q442" s="1"/>
      </tp>
      <tp t="s">
        <v>#N/A Requesting Data...</v>
        <stp/>
        <stp>##V3_BDHV12</stp>
        <stp>CL1 Comdty</stp>
        <stp>VOLATILITY_10D</stp>
        <stp>22/05/2015</stp>
        <stp>22/05/2015</stp>
        <stp>[Bbg_Market_Data_CL.xlsm]data!R470C17</stp>
        <tr r="Q470" s="1"/>
      </tp>
      <tp t="s">
        <v>#N/A Requesting Data...</v>
        <stp/>
        <stp>##V3_BDHV12</stp>
        <stp>CL1 Comdty</stp>
        <stp>VOLATILITY_30D</stp>
        <stp>17/02/2016</stp>
        <stp>17/02/2016</stp>
        <stp>[Bbg_Market_Data_CL.xlsm]data!R288C18</stp>
        <tr r="R288" s="1"/>
      </tp>
      <tp t="s">
        <v>#N/A Requesting Data...</v>
        <stp/>
        <stp>##V3_BDHV12</stp>
        <stp>CL2 Comdty</stp>
        <stp>VOLATILITY_10D</stp>
        <stp>12/05/2015</stp>
        <stp>12/05/2015</stp>
        <stp>[Bbg_Market_Data_CL.xlsm]data!R478C17</stp>
        <tr r="Q478" s="1"/>
      </tp>
      <tp t="s">
        <v>#N/A Requesting Data...</v>
        <stp/>
        <stp>##V3_BDHV12</stp>
        <stp>CL1 Comdty</stp>
        <stp>VOLATILITY_10D</stp>
        <stp>05/10/2015</stp>
        <stp>05/10/2015</stp>
        <stp>[Bbg_Market_Data_CL.xlsm]data!R377C17</stp>
        <tr r="Q377" s="1"/>
      </tp>
      <tp>
        <v>59.44</v>
        <stp/>
        <stp>##V3_BDHV12</stp>
        <stp>CL2 Comdty</stp>
        <stp>VOLATILITY_10D</stp>
        <stp>17/03/2016</stp>
        <stp>17/03/2016</stp>
        <stp>[Bbg_Market_Data_CL.xlsm]data!R267C17</stp>
        <tr r="Q267" s="1"/>
      </tp>
      <tp t="s">
        <v>#N/A Requesting Data...</v>
        <stp/>
        <stp>##V3_BDHV12</stp>
        <stp>CL2 Comdty</stp>
        <stp>VOLATILITY_30D</stp>
        <stp>22/04/2015</stp>
        <stp>22/04/2015</stp>
        <stp>[Bbg_Market_Data_CL.xlsm]data!R492C18</stp>
        <tr r="R492" s="1"/>
      </tp>
      <tp t="s">
        <v>#N/A Requesting Data...</v>
        <stp/>
        <stp>##V3_BDHV12</stp>
        <stp>CL2 Comdty</stp>
        <stp>VOLATILITY_30D</stp>
        <stp>02/06/2015</stp>
        <stp>02/06/2015</stp>
        <stp>[Bbg_Market_Data_CL.xlsm]data!R464C18</stp>
        <tr r="R464" s="1"/>
      </tp>
      <tp>
        <v>43.65</v>
        <stp/>
        <stp>##V3_BDHV12</stp>
        <stp>CL2 Comdty</stp>
        <stp>VOLATILITY_30D</stp>
        <stp>15/10/2015</stp>
        <stp>15/10/2015</stp>
        <stp>[Bbg_Market_Data_CL.xlsm]data!R370C18</stp>
        <tr r="R370" s="1"/>
      </tp>
      <tp t="s">
        <v>#N/A Requesting Data...</v>
        <stp/>
        <stp>##V3_BDHV12</stp>
        <stp>CL1 Comdty</stp>
        <stp>VOLATILITY_30D</stp>
        <stp>07/03/2016</stp>
        <stp>07/03/2016</stp>
        <stp>[Bbg_Market_Data_CL.xlsm]data!R275C18</stp>
        <tr r="R275" s="1"/>
      </tp>
      <tp>
        <v>39.36</v>
        <stp/>
        <stp>##V3_BDHV12</stp>
        <stp>CL2 Comdty</stp>
        <stp>VOLATILITY_30D</stp>
        <stp>05/11/2015</stp>
        <stp>05/11/2015</stp>
        <stp>[Bbg_Market_Data_CL.xlsm]data!R355C18</stp>
        <tr r="R355" s="1"/>
      </tp>
      <tp t="s">
        <v>#N/A Requesting Data...</v>
        <stp/>
        <stp>##V3_BDHV12</stp>
        <stp>CL1 Comdty</stp>
        <stp>VOLATILITY_30D</stp>
        <stp>22/07/2015</stp>
        <stp>22/07/2015</stp>
        <stp>[Bbg_Market_Data_CL.xlsm]data!R429C18</stp>
        <tr r="R429" s="1"/>
      </tp>
      <tp t="s">
        <v>#N/A Requesting Data...</v>
        <stp/>
        <stp>##V3_BDHV12</stp>
        <stp>CL1 Comdty</stp>
        <stp>VOLATILITY_30D</stp>
        <stp>04/10/2016</stp>
        <stp>04/10/2016</stp>
        <stp>[Bbg_Market_Data_CL.xlsm]data!R129C18</stp>
        <tr r="R129" s="1"/>
      </tp>
      <tp t="s">
        <v>#N/A Requesting Data...</v>
        <stp/>
        <stp>##V3_BDHV12</stp>
        <stp>CL1 Comdty</stp>
        <stp>VOLATILITY_30D</stp>
        <stp>14/11/2016</stp>
        <stp>14/11/2016</stp>
        <stp>[Bbg_Market_Data_CL.xlsm]data!R102C18</stp>
        <tr r="R102" s="1"/>
      </tp>
      <tp>
        <v>42.68</v>
        <stp/>
        <stp>##V3_BDHV12</stp>
        <stp>CL2 Comdty</stp>
        <stp>VOLATILITY_30D</stp>
        <stp>06/01/2016</stp>
        <stp>06/01/2016</stp>
        <stp>[Bbg_Market_Data_CL.xlsm]data!R315C18</stp>
        <tr r="R315" s="1"/>
      </tp>
      <tp t="s">
        <v>#N/A Requesting Data...</v>
        <stp/>
        <stp>##V3_BDHV12</stp>
        <stp>CL1 Comdty</stp>
        <stp>VOLATILITY_10D</stp>
        <stp>07/11/2016</stp>
        <stp>07/11/2016</stp>
        <stp>[Bbg_Market_Data_CL.xlsm]data!R106C17</stp>
        <tr r="Q106" s="1"/>
      </tp>
      <tp t="s">
        <v>#N/A Requesting Data...</v>
        <stp/>
        <stp>##V3_BDHV12</stp>
        <stp>CL1 Comdty</stp>
        <stp>VOLATILITY_10D</stp>
        <stp>25/01/2016</stp>
        <stp>25/01/2016</stp>
        <stp>[Bbg_Market_Data_CL.xlsm]data!R303C17</stp>
        <tr r="Q303" s="1"/>
      </tp>
      <tp>
        <v>24.82</v>
        <stp/>
        <stp>##V3_BDHV12</stp>
        <stp>CL2 Comdty</stp>
        <stp>VOLATILITY_10D</stp>
        <stp>27/10/2016</stp>
        <stp>27/10/2016</stp>
        <stp>[Bbg_Market_Data_CL.xlsm]data!R113C17</stp>
        <tr r="Q113" s="1"/>
      </tp>
      <tp t="s">
        <v>#N/A Requesting Data...</v>
        <stp/>
        <stp>##V3_BDHV12</stp>
        <stp>CL1 Comdty</stp>
        <stp>VOLATILITY_10D</stp>
        <stp>10/04/2015</stp>
        <stp>10/04/2015</stp>
        <stp>[Bbg_Market_Data_CL.xlsm]data!R500C17</stp>
        <tr r="Q500" s="1"/>
      </tp>
      <tp>
        <v>43.46</v>
        <stp/>
        <stp>##V3_BDHV12</stp>
        <stp>CL2 Comdty</stp>
        <stp>VOLATILITY_10D</stp>
        <stp>15/01/2016</stp>
        <stp>15/01/2016</stp>
        <stp>[Bbg_Market_Data_CL.xlsm]data!R308C17</stp>
        <tr r="Q308" s="1"/>
      </tp>
      <tp t="s">
        <v>#N/A Requesting Data...</v>
        <stp/>
        <stp>##V3_BDHV12</stp>
        <stp>CL1 Comdty</stp>
        <stp>VOLATILITY_10D</stp>
        <stp>17/10/2016</stp>
        <stp>17/10/2016</stp>
        <stp>[Bbg_Market_Data_CL.xlsm]data!R121C17</stp>
        <tr r="Q121" s="1"/>
      </tp>
      <tp t="s">
        <v>#N/A Requesting Data...</v>
        <stp/>
        <stp>##V3_BDHV12</stp>
        <stp>CL1 Comdty</stp>
        <stp>VOLATILITY_10D</stp>
        <stp>16/12/2015</stp>
        <stp>16/12/2015</stp>
        <stp>[Bbg_Market_Data_CL.xlsm]data!R328C17</stp>
        <tr r="Q328" s="1"/>
      </tp>
      <tp t="s">
        <v>#N/A Requesting Data...</v>
        <stp/>
        <stp>##V3_BDHV12</stp>
        <stp>CL1 Comdty</stp>
        <stp>VOLATILITY_10D</stp>
        <stp>31/07/2015</stp>
        <stp>31/07/2015</stp>
        <stp>[Bbg_Market_Data_CL.xlsm]data!R422C17</stp>
        <tr r="Q422" s="1"/>
      </tp>
      <tp t="s">
        <v>#N/A Requesting Data...</v>
        <stp/>
        <stp>##V3_BDHV12</stp>
        <stp>CL2 Comdty</stp>
        <stp>VOLATILITY_10D</stp>
        <stp>11/06/2015</stp>
        <stp>11/06/2015</stp>
        <stp>[Bbg_Market_Data_CL.xlsm]data!R457C17</stp>
        <tr r="Q457" s="1"/>
      </tp>
      <tp>
        <v>28.05</v>
        <stp/>
        <stp>##V3_BDHV12</stp>
        <stp>CL2 Comdty</stp>
        <stp>VOLATILITY_10D</stp>
        <stp>16/11/2015</stp>
        <stp>16/11/2015</stp>
        <stp>[Bbg_Market_Data_CL.xlsm]data!R349C17</stp>
        <tr r="Q349" s="1"/>
      </tp>
      <tp t="s">
        <v>#N/A Requesting Data...</v>
        <stp/>
        <stp>##V3_BDHV12</stp>
        <stp>CL2 Comdty</stp>
        <stp>VOLATILITY_10D</stp>
        <stp>01/07/2015</stp>
        <stp>01/07/2015</stp>
        <stp>[Bbg_Market_Data_CL.xlsm]data!R443C17</stp>
        <tr r="Q443" s="1"/>
      </tp>
      <tp t="s">
        <v>#N/A Requesting Data...</v>
        <stp/>
        <stp>##V3_BDHV12</stp>
        <stp>CL1 Comdty</stp>
        <stp>VOLATILITY_30D</stp>
        <stp>24/02/2016</stp>
        <stp>24/02/2016</stp>
        <stp>[Bbg_Market_Data_CL.xlsm]data!R283C18</stp>
        <tr r="R283" s="1"/>
      </tp>
      <tp t="s">
        <v>#N/A Requesting Data...</v>
        <stp/>
        <stp>##V3_BDHV12</stp>
        <stp>CL1 Comdty</stp>
        <stp>VOLATILITY_10D</stp>
        <stp>14/03/2016</stp>
        <stp>14/03/2016</stp>
        <stp>[Bbg_Market_Data_CL.xlsm]data!R270C17</stp>
        <tr r="Q270" s="1"/>
      </tp>
      <tp t="s">
        <v>#N/A Requesting Data...</v>
        <stp/>
        <stp>##V3_BDHV12</stp>
        <stp>CL2 Comdty</stp>
        <stp>VOLATILITY_30D</stp>
        <stp>01/05/2015</stp>
        <stp>01/05/2015</stp>
        <stp>[Bbg_Market_Data_CL.xlsm]data!R485C18</stp>
        <tr r="R485" s="1"/>
      </tp>
      <tp t="s">
        <v>#N/A Requesting Data...</v>
        <stp/>
        <stp>##V3_BDHV12</stp>
        <stp>CL2 Comdty</stp>
        <stp>VOLATILITY_10D</stp>
        <stp>21/05/2015</stp>
        <stp>21/05/2015</stp>
        <stp>[Bbg_Market_Data_CL.xlsm]data!R471C17</stp>
        <tr r="Q471" s="1"/>
      </tp>
      <tp t="s">
        <v>#N/A Requesting Data...</v>
        <stp/>
        <stp>##V3_BDHV12</stp>
        <stp>CL1 Comdty</stp>
        <stp>VOLATILITY_10D</stp>
        <stp>11/05/2015</stp>
        <stp>11/05/2015</stp>
        <stp>[Bbg_Market_Data_CL.xlsm]data!R479C17</stp>
        <tr r="Q479" s="1"/>
      </tp>
      <tp>
        <v>49.78</v>
        <stp/>
        <stp>##V3_BDHV12</stp>
        <stp>CL2 Comdty</stp>
        <stp>VOLATILITY_10D</stp>
        <stp>24/03/2016</stp>
        <stp>24/03/2016</stp>
        <stp>[Bbg_Market_Data_CL.xlsm]data!R262C17</stp>
        <tr r="Q262" s="1"/>
      </tp>
      <tp>
        <v>33.869999999999997</v>
        <stp/>
        <stp>##V3_BDHV12</stp>
        <stp>CL2 Comdty</stp>
        <stp>VOLATILITY_10D</stp>
        <stp>06/10/2015</stp>
        <stp>06/10/2015</stp>
        <stp>[Bbg_Market_Data_CL.xlsm]data!R376C17</stp>
        <tr r="Q376" s="1"/>
      </tp>
      <tp t="s">
        <v>#N/A Requesting Data...</v>
        <stp/>
        <stp>##V3_BDHV12</stp>
        <stp>CL1 Comdty</stp>
        <stp>VOLATILITY_30D</stp>
        <stp>21/04/2015</stp>
        <stp>21/04/2015</stp>
        <stp>[Bbg_Market_Data_CL.xlsm]data!R493C18</stp>
        <tr r="R493" s="1"/>
      </tp>
      <tp t="s">
        <v>#N/A Requesting Data...</v>
        <stp/>
        <stp>##V3_BDHV12</stp>
        <stp>CL1 Comdty</stp>
        <stp>VOLATILITY_30D</stp>
        <stp>01/06/2015</stp>
        <stp>01/06/2015</stp>
        <stp>[Bbg_Market_Data_CL.xlsm]data!R465C18</stp>
        <tr r="R465" s="1"/>
      </tp>
      <tp t="s">
        <v>#N/A Requesting Data...</v>
        <stp/>
        <stp>##V3_BDHV12</stp>
        <stp>CL1 Comdty</stp>
        <stp>VOLATILITY_10D</stp>
        <stp>04/02/2016</stp>
        <stp>04/02/2016</stp>
        <stp>[Bbg_Market_Data_CL.xlsm]data!R295C17</stp>
        <tr r="Q295" s="1"/>
      </tp>
      <tp>
        <v>40.86</v>
        <stp/>
        <stp>##V3_BDHV12</stp>
        <stp>CL2 Comdty</stp>
        <stp>VOLATILITY_30D</stp>
        <stp>26/10/2015</stp>
        <stp>26/10/2015</stp>
        <stp>[Bbg_Market_Data_CL.xlsm]data!R363C18</stp>
        <tr r="R363" s="1"/>
      </tp>
      <tp>
        <v>64.349999999999994</v>
        <stp/>
        <stp>##V3_BDHV12</stp>
        <stp>CL2 Comdty</stp>
        <stp>VOLATILITY_30D</stp>
        <stp>04/03/2016</stp>
        <stp>04/03/2016</stp>
        <stp>[Bbg_Market_Data_CL.xlsm]data!R276C18</stp>
        <tr r="R276" s="1"/>
      </tp>
      <tp t="s">
        <v>#N/A Requesting Data...</v>
        <stp/>
        <stp>##V3_BDHV12</stp>
        <stp>CL1 Comdty</stp>
        <stp>VOLATILITY_30D</stp>
        <stp>16/10/2015</stp>
        <stp>16/10/2015</stp>
        <stp>[Bbg_Market_Data_CL.xlsm]data!R369C18</stp>
        <tr r="R369" s="1"/>
      </tp>
      <tp t="s">
        <v>#N/A Requesting Data...</v>
        <stp/>
        <stp>##V3_BDHV12</stp>
        <stp>CL1 Comdty</stp>
        <stp>VOLATILITY_30D</stp>
        <stp>06/11/2015</stp>
        <stp>06/11/2015</stp>
        <stp>[Bbg_Market_Data_CL.xlsm]data!R354C18</stp>
        <tr r="R354" s="1"/>
      </tp>
      <tp>
        <v>42.16</v>
        <stp/>
        <stp>##V3_BDHV12</stp>
        <stp>CL2 Comdty</stp>
        <stp>VOLATILITY_30D</stp>
        <stp>07/10/2016</stp>
        <stp>07/10/2016</stp>
        <stp>[Bbg_Market_Data_CL.xlsm]data!R126C18</stp>
        <tr r="R126" s="1"/>
      </tp>
      <tp t="s">
        <v>#N/A Requesting Data...</v>
        <stp/>
        <stp>##V3_BDHV12</stp>
        <stp>CL2 Comdty</stp>
        <stp>VOLATILITY_30D</stp>
        <stp>21/07/2015</stp>
        <stp>21/07/2015</stp>
        <stp>[Bbg_Market_Data_CL.xlsm]data!R430C18</stp>
        <tr r="R430" s="1"/>
      </tp>
      <tp t="s">
        <v>#N/A Requesting Data...</v>
        <stp/>
        <stp>##V3_BDHV12</stp>
        <stp>CL1 Comdty</stp>
        <stp>VOLATILITY_30D</stp>
        <stp>05/01/2016</stp>
        <stp>05/01/2016</stp>
        <stp>[Bbg_Market_Data_CL.xlsm]data!R316C18</stp>
        <tr r="R316" s="1"/>
      </tp>
      <tp t="s">
        <v>#N/A Requesting Data...</v>
        <stp/>
        <stp>##V3_BDHV12</stp>
        <stp>CL1 Comdty</stp>
        <stp>VOLATILITY_10D</stp>
        <stp>16/11/2016</stp>
        <stp>16/11/2016</stp>
        <stp>[Bbg_Market_Data_CL.xlsm]data!R100C17</stp>
        <tr r="Q100" s="1"/>
      </tp>
      <tp>
        <v>42.88</v>
        <stp/>
        <stp>##V3_BDHV12</stp>
        <stp>CL2 Comdty</stp>
        <stp>VOLATILITY_10D</stp>
        <stp>04/01/2016</stp>
        <stp>04/01/2016</stp>
        <stp>[Bbg_Market_Data_CL.xlsm]data!R317C17</stp>
        <tr r="Q317" s="1"/>
      </tp>
      <tp t="s">
        <v>#N/A Requesting Data...</v>
        <stp/>
        <stp>##V3_BDHV12</stp>
        <stp>CL2 Comdty</stp>
        <stp>VOLATILITY_10D</stp>
        <stp>10/07/2015</stp>
        <stp>10/07/2015</stp>
        <stp>[Bbg_Market_Data_CL.xlsm]data!R437C17</stp>
        <tr r="Q437" s="1"/>
      </tp>
      <tp t="s">
        <v>#N/A Requesting Data...</v>
        <stp/>
        <stp>##V3_BDHV12</stp>
        <stp>CL1 Comdty</stp>
        <stp>VOLATILITY_10D</stp>
        <stp>06/10/2016</stp>
        <stp>06/10/2016</stp>
        <stp>[Bbg_Market_Data_CL.xlsm]data!R127C17</stp>
        <tr r="Q127" s="1"/>
      </tp>
      <tp t="s">
        <v>#N/A Requesting Data...</v>
        <stp/>
        <stp>##V3_BDHV12</stp>
        <stp>CL1 Comdty</stp>
        <stp>VOLATILITY_10D</stp>
        <stp>20/07/2015</stp>
        <stp>20/07/2015</stp>
        <stp>[Bbg_Market_Data_CL.xlsm]data!R431C17</stp>
        <tr r="Q431" s="1"/>
      </tp>
      <tp t="s">
        <v>#N/A Requesting Data...</v>
        <stp/>
        <stp>##V3_BDHV12</stp>
        <stp>CL1 Comdty</stp>
        <stp>VOLATILITY_10D</stp>
        <stp>07/12/2015</stp>
        <stp>07/12/2015</stp>
        <stp>[Bbg_Market_Data_CL.xlsm]data!R335C17</stp>
        <tr r="Q335" s="1"/>
      </tp>
      <tp t="s">
        <v>#N/A Requesting Data...</v>
        <stp/>
        <stp>##V3_BDHV12</stp>
        <stp>CL1 Comdty</stp>
        <stp>VOLATILITY_10D</stp>
        <stp>30/06/2015</stp>
        <stp>30/06/2015</stp>
        <stp>[Bbg_Market_Data_CL.xlsm]data!R444C17</stp>
        <tr r="Q444" s="1"/>
      </tp>
      <tp t="s">
        <v>#N/A Requesting Data...</v>
        <stp/>
        <stp>##V3_BDHV12</stp>
        <stp>CL1 Comdty</stp>
        <stp>VOLATILITY_10D</stp>
        <stp>27/10/2015</stp>
        <stp>27/10/2015</stp>
        <stp>[Bbg_Market_Data_CL.xlsm]data!R362C17</stp>
        <tr r="Q362" s="1"/>
      </tp>
      <tp t="s">
        <v>#N/A Requesting Data...</v>
        <stp/>
        <stp>##V3_BDHV12</stp>
        <stp>CL1 Comdty</stp>
        <stp>VOLATILITY_30D</stp>
        <stp>30/04/2015</stp>
        <stp>30/04/2015</stp>
        <stp>[Bbg_Market_Data_CL.xlsm]data!R486C18</stp>
        <tr r="R486" s="1"/>
      </tp>
      <tp>
        <v>66.27</v>
        <stp/>
        <stp>##V3_BDHV12</stp>
        <stp>CL2 Comdty</stp>
        <stp>VOLATILITY_30D</stp>
        <stp>05/02/2016</stp>
        <stp>05/02/2016</stp>
        <stp>[Bbg_Market_Data_CL.xlsm]data!R294C18</stp>
        <tr r="R294" s="1"/>
      </tp>
      <tp t="s">
        <v>#N/A Requesting Data...</v>
        <stp/>
        <stp>##V3_BDHV12</stp>
        <stp>CL2 Comdty</stp>
        <stp>VOLATILITY_10D</stp>
        <stp>20/04/2015</stp>
        <stp>20/04/2015</stp>
        <stp>[Bbg_Market_Data_CL.xlsm]data!R494C17</stp>
        <tr r="Q494" s="1"/>
      </tp>
      <tp t="s">
        <v>#N/A Requesting Data...</v>
        <stp/>
        <stp>##V3_BDHV12</stp>
        <stp>CL1 Comdty</stp>
        <stp>VOLATILITY_30D</stp>
        <stp>07/10/2015</stp>
        <stp>07/10/2015</stp>
        <stp>[Bbg_Market_Data_CL.xlsm]data!R375C18</stp>
        <tr r="R375" s="1"/>
      </tp>
      <tp>
        <v>61.05</v>
        <stp/>
        <stp>##V3_BDHV12</stp>
        <stp>CL2 Comdty</stp>
        <stp>VOLATILITY_30D</stp>
        <stp>15/03/2016</stp>
        <stp>15/03/2016</stp>
        <stp>[Bbg_Market_Data_CL.xlsm]data!R269C18</stp>
        <tr r="R269" s="1"/>
      </tp>
      <tp>
        <v>71.59</v>
        <stp/>
        <stp>##V3_BDHV12</stp>
        <stp>CL2 Comdty</stp>
        <stp>VOLATILITY_10D</stp>
        <stp>25/02/2016</stp>
        <stp>25/02/2016</stp>
        <stp>[Bbg_Market_Data_CL.xlsm]data!R282C17</stp>
        <tr r="Q282" s="1"/>
      </tp>
      <tp t="s">
        <v>#N/A Requesting Data...</v>
        <stp/>
        <stp>##V3_BDHV12</stp>
        <stp>CL1 Comdty</stp>
        <stp>VOLATILITY_30D</stp>
        <stp>20/05/2015</stp>
        <stp>20/05/2015</stp>
        <stp>[Bbg_Market_Data_CL.xlsm]data!R472C18</stp>
        <tr r="R472" s="1"/>
      </tp>
      <tp>
        <v>36.090000000000003</v>
        <stp/>
        <stp>##V3_BDHV12</stp>
        <stp>CL2 Comdty</stp>
        <stp>VOLATILITY_30D</stp>
        <stp>27/11/2015</stp>
        <stp>27/11/2015</stp>
        <stp>[Bbg_Market_Data_CL.xlsm]data!R341C18</stp>
        <tr r="R341" s="1"/>
      </tp>
      <tp t="s">
        <v>#N/A Requesting Data...</v>
        <stp/>
        <stp>##V3_BDHV12</stp>
        <stp>CL1 Comdty</stp>
        <stp>VOLATILITY_30D</stp>
        <stp>17/11/2015</stp>
        <stp>17/11/2015</stp>
        <stp>[Bbg_Market_Data_CL.xlsm]data!R348C18</stp>
        <tr r="R348" s="1"/>
      </tp>
      <tp t="s">
        <v>#N/A Requesting Data...</v>
        <stp/>
        <stp>##V3_BDHV12</stp>
        <stp>CL1 Comdty</stp>
        <stp>VOLATILITY_30D</stp>
        <stp>10/06/2015</stp>
        <stp>10/06/2015</stp>
        <stp>[Bbg_Market_Data_CL.xlsm]data!R458C18</stp>
        <tr r="R458" s="1"/>
      </tp>
      <tp t="s">
        <v>#N/A Requesting Data...</v>
        <stp/>
        <stp>##V3_BDHV12</stp>
        <stp>CL2 Comdty</stp>
        <stp>VOLATILITY_30D</stp>
        <stp>30/07/2015</stp>
        <stp>30/07/2015</stp>
        <stp>[Bbg_Market_Data_CL.xlsm]data!R423C18</stp>
        <tr r="R423" s="1"/>
      </tp>
      <tp>
        <v>36.090000000000003</v>
        <stp/>
        <stp>##V3_BDHV12</stp>
        <stp>CL2 Comdty</stp>
        <stp>VOLATILITY_30D</stp>
        <stp>17/12/2015</stp>
        <stp>17/12/2015</stp>
        <stp>[Bbg_Market_Data_CL.xlsm]data!R327C18</stp>
        <tr r="R327" s="1"/>
      </tp>
      <tp t="s">
        <v>#N/A Requesting Data...</v>
        <stp/>
        <stp>##V3_BDHV12</stp>
        <stp>CL1 Comdty</stp>
        <stp>VOLATILITY_30D</stp>
        <stp>26/10/2016</stp>
        <stp>26/10/2016</stp>
        <stp>[Bbg_Market_Data_CL.xlsm]data!R114C18</stp>
        <tr r="R114" s="1"/>
      </tp>
      <tp t="s">
        <v>#N/A Requesting Data...</v>
        <stp/>
        <stp>##V3_BDHV12</stp>
        <stp>CL1 Comdty</stp>
        <stp>VOLATILITY_30D</stp>
        <stp>14/01/2016</stp>
        <stp>14/01/2016</stp>
        <stp>[Bbg_Market_Data_CL.xlsm]data!R309C18</stp>
        <tr r="R309" s="1"/>
      </tp>
      <tp t="s">
        <v>#N/A Requesting Data...</v>
        <stp/>
        <stp>##V3_BDHV12</stp>
        <stp>CL1 Comdty</stp>
        <stp>VOLATILITY_10D</stp>
        <stp>22/06/2016</stp>
        <stp>22/06/2016</stp>
        <stp>[Bbg_Market_Data_CL.xlsm]data!R200C17</stp>
        <tr r="Q200" s="1"/>
      </tp>
      <tp t="s">
        <v>#N/A Requesting Data...</v>
        <stp/>
        <stp>##V3_BDHV12</stp>
        <stp>CL1 Comdty</stp>
        <stp>VOLATILITY_10D</stp>
        <stp>12/05/2016</stp>
        <stp>12/05/2016</stp>
        <stp>[Bbg_Market_Data_CL.xlsm]data!R228C17</stp>
        <tr r="Q228" s="1"/>
      </tp>
      <tp t="s">
        <v>#N/A Requesting Data...</v>
        <stp/>
        <stp>##V3_BDHV12</stp>
        <stp>CL1 Comdty</stp>
        <stp>VOLATILITY_30D</stp>
        <stp>21/07/2016</stp>
        <stp>21/07/2016</stp>
        <stp>[Bbg_Market_Data_CL.xlsm]data!R180C18</stp>
        <tr r="R180" s="1"/>
      </tp>
      <tp>
        <v>41.44</v>
        <stp/>
        <stp>##V3_BDHV12</stp>
        <stp>CL2 Comdty</stp>
        <stp>VOLATILITY_30D</stp>
        <stp>11/07/2016</stp>
        <stp>11/07/2016</stp>
        <stp>[Bbg_Market_Data_CL.xlsm]data!R188C18</stp>
        <tr r="R188" s="1"/>
      </tp>
      <tp t="s">
        <v>#N/A Requesting Data...</v>
        <stp/>
        <stp>##V3_BDHV12</stp>
        <stp>CL1 Comdty</stp>
        <stp>VOLATILITY_10D</stp>
        <stp>01/07/2016</stp>
        <stp>01/07/2016</stp>
        <stp>[Bbg_Market_Data_CL.xlsm]data!R193C17</stp>
        <tr r="Q193" s="1"/>
      </tp>
      <tp t="s">
        <v>#N/A Requesting Data...</v>
        <stp/>
        <stp>##V3_BDHV12</stp>
        <stp>CL1 Comdty</stp>
        <stp>VOLATILITY_30D</stp>
        <stp>22/04/2016</stp>
        <stp>22/04/2016</stp>
        <stp>[Bbg_Market_Data_CL.xlsm]data!R242C18</stp>
        <tr r="R242" s="1"/>
      </tp>
      <tp>
        <v>49.35</v>
        <stp/>
        <stp>##V3_BDHV12</stp>
        <stp>CL2 Comdty</stp>
        <stp>VOLATILITY_30D</stp>
        <stp>12/04/2016</stp>
        <stp>12/04/2016</stp>
        <stp>[Bbg_Market_Data_CL.xlsm]data!R250C18</stp>
        <tr r="R250" s="1"/>
      </tp>
      <tp>
        <v>43.15</v>
        <stp/>
        <stp>##V3_BDHV12</stp>
        <stp>CL2 Comdty</stp>
        <stp>VOLATILITY_30D</stp>
        <stp>02/05/2016</stp>
        <stp>02/05/2016</stp>
        <stp>[Bbg_Market_Data_CL.xlsm]data!R236C18</stp>
        <tr r="R236" s="1"/>
      </tp>
      <tp t="s">
        <v>#N/A Requesting Data...</v>
        <stp/>
        <stp>##V3_BDHV12</stp>
        <stp>CL1 Comdty</stp>
        <stp>VOLATILITY_30D</stp>
        <stp>02/06/2016</stp>
        <stp>02/06/2016</stp>
        <stp>[Bbg_Market_Data_CL.xlsm]data!R214C18</stp>
        <tr r="R214" s="1"/>
      </tp>
      <tp>
        <v>13.78</v>
        <stp/>
        <stp>##V3_BDHV12</stp>
        <stp>CL2 Comdty</stp>
        <stp>VOLATILITY_10D</stp>
        <stp>03/06/2016</stp>
        <stp>03/06/2016</stp>
        <stp>[Bbg_Market_Data_CL.xlsm]data!R213C17</stp>
        <tr r="Q213" s="1"/>
      </tp>
      <tp t="s">
        <v>#N/A Requesting Data...</v>
        <stp/>
        <stp>##V3_BDHV12</stp>
        <stp>CL1 Comdty</stp>
        <stp>VOLATILITY_10D</stp>
        <stp>03/05/2016</stp>
        <stp>03/05/2016</stp>
        <stp>[Bbg_Market_Data_CL.xlsm]data!R235C17</stp>
        <tr r="Q235" s="1"/>
      </tp>
      <tp t="s">
        <v>#N/A Requesting Data...</v>
        <stp/>
        <stp>##V3_BDHV12</stp>
        <stp>CL1 Comdty</stp>
        <stp>VOLATILITY_10D</stp>
        <stp>13/04/2016</stp>
        <stp>13/04/2016</stp>
        <stp>[Bbg_Market_Data_CL.xlsm]data!R249C17</stp>
        <tr r="Q249" s="1"/>
      </tp>
      <tp>
        <v>51.15</v>
        <stp/>
        <stp>##V3_BDHV12</stp>
        <stp>CL2 Comdty</stp>
        <stp>VOLATILITY_10D</stp>
        <stp>30/06/2016</stp>
        <stp>30/06/2016</stp>
        <stp>[Bbg_Market_Data_CL.xlsm]data!R194C17</stp>
        <tr r="Q194" s="1"/>
      </tp>
      <tp>
        <v>40.79</v>
        <stp/>
        <stp>##V3_BDHV12</stp>
        <stp>CL2 Comdty</stp>
        <stp>VOLATILITY_10D</stp>
        <stp>20/07/2016</stp>
        <stp>20/07/2016</stp>
        <stp>[Bbg_Market_Data_CL.xlsm]data!R181C17</stp>
        <tr r="Q181" s="1"/>
      </tp>
      <tp>
        <v>40.01</v>
        <stp/>
        <stp>##V3_BDHV12</stp>
        <stp>CL2 Comdty</stp>
        <stp>VOLATILITY_30D</stp>
        <stp>13/05/2016</stp>
        <stp>13/05/2016</stp>
        <stp>[Bbg_Market_Data_CL.xlsm]data!R227C18</stp>
        <tr r="R227" s="1"/>
      </tp>
      <tp t="s">
        <v>#N/A Requesting Data...</v>
        <stp/>
        <stp>##V3_BDHV12</stp>
        <stp>CL1 Comdty</stp>
        <stp>VOLATILITY_30D</stp>
        <stp>23/05/2016</stp>
        <stp>23/05/2016</stp>
        <stp>[Bbg_Market_Data_CL.xlsm]data!R221C18</stp>
        <tr r="R221" s="1"/>
      </tp>
      <tp t="s">
        <v>#N/A Requesting Data...</v>
        <stp/>
        <stp>##V3_BDHV12</stp>
        <stp>CL1 Comdty</stp>
        <stp>VOLATILITY_30D</stp>
        <stp>13/06/2016</stp>
        <stp>13/06/2016</stp>
        <stp>[Bbg_Market_Data_CL.xlsm]data!R207C18</stp>
        <tr r="R207" s="1"/>
      </tp>
      <tp t="s">
        <v>#N/A Requesting Data...</v>
        <stp/>
        <stp>##V3_BDHV12</stp>
        <stp>CL1 Comdty</stp>
        <stp>VOLATILITY_10D</stp>
        <stp>20/04/2016</stp>
        <stp>20/04/2016</stp>
        <stp>[Bbg_Market_Data_CL.xlsm]data!R244C17</stp>
        <tr r="Q244" s="1"/>
      </tp>
      <tp>
        <v>27.38</v>
        <stp/>
        <stp>##V3_BDHV12</stp>
        <stp>CL2 Comdty</stp>
        <stp>VOLATILITY_30D</stp>
        <stp>23/06/2016</stp>
        <stp>23/06/2016</stp>
        <stp>[Bbg_Market_Data_CL.xlsm]data!R199C18</stp>
        <tr r="R199" s="1"/>
      </tp>
      <tp>
        <v>54.74</v>
        <stp/>
        <stp>##V3_BDHV12</stp>
        <stp>CL2 Comdty</stp>
        <stp>VOLATILITY_10D</stp>
        <stp>13/07/2016</stp>
        <stp>13/07/2016</stp>
        <stp>[Bbg_Market_Data_CL.xlsm]data!R186C17</stp>
        <tr r="Q186" s="1"/>
      </tp>
      <tp>
        <v>34.39</v>
        <stp/>
        <stp>##V3_BDHV12</stp>
        <stp>CL2 Comdty</stp>
        <stp>VOLATILITY_30D</stp>
        <stp>20/05/2016</stp>
        <stp>20/05/2016</stp>
        <stp>[Bbg_Market_Data_CL.xlsm]data!R222C18</stp>
        <tr r="R222" s="1"/>
      </tp>
      <tp t="s">
        <v>#N/A Requesting Data...</v>
        <stp/>
        <stp>##V3_BDHV12</stp>
        <stp>CL1 Comdty</stp>
        <stp>VOLATILITY_30D</stp>
        <stp>10/05/2016</stp>
        <stp>10/05/2016</stp>
        <stp>[Bbg_Market_Data_CL.xlsm]data!R230C18</stp>
        <tr r="R230" s="1"/>
      </tp>
      <tp t="s">
        <v>#N/A Requesting Data...</v>
        <stp/>
        <stp>##V3_BDHV12</stp>
        <stp>CL1 Comdty</stp>
        <stp>VOLATILITY_30D</stp>
        <stp>20/06/2016</stp>
        <stp>20/06/2016</stp>
        <stp>[Bbg_Market_Data_CL.xlsm]data!R202C18</stp>
        <tr r="R202" s="1"/>
      </tp>
      <tp>
        <v>27.9</v>
        <stp/>
        <stp>##V3_BDHV12</stp>
        <stp>CL2 Comdty</stp>
        <stp>VOLATILITY_30D</stp>
        <stp>10/06/2016</stp>
        <stp>10/06/2016</stp>
        <stp>[Bbg_Market_Data_CL.xlsm]data!R208C18</stp>
        <tr r="R208" s="1"/>
      </tp>
      <tp>
        <v>39.21</v>
        <stp/>
        <stp>##V3_BDHV12</stp>
        <stp>CL2 Comdty</stp>
        <stp>VOLATILITY_10D</stp>
        <stp>21/06/2016</stp>
        <stp>21/06/2016</stp>
        <stp>[Bbg_Market_Data_CL.xlsm]data!R201C17</stp>
        <tr r="Q201" s="1"/>
      </tp>
      <tp>
        <v>38.119999999999997</v>
        <stp/>
        <stp>##V3_BDHV12</stp>
        <stp>CL2 Comdty</stp>
        <stp>VOLATILITY_10D</stp>
        <stp>11/05/2016</stp>
        <stp>11/05/2016</stp>
        <stp>[Bbg_Market_Data_CL.xlsm]data!R229C17</stp>
        <tr r="Q229" s="1"/>
      </tp>
      <tp>
        <v>34.520000000000003</v>
        <stp/>
        <stp>##V3_BDHV12</stp>
        <stp>CL2 Comdty</stp>
        <stp>VOLATILITY_10D</stp>
        <stp>01/04/2016</stp>
        <stp>01/04/2016</stp>
        <stp>[Bbg_Market_Data_CL.xlsm]data!R257C17</stp>
        <tr r="Q257" s="1"/>
      </tp>
      <tp t="s">
        <v>#N/A Requesting Data...</v>
        <stp/>
        <stp>##V3_BDHV12</stp>
        <stp>CL1 Comdty</stp>
        <stp>VOLATILITY_30D</stp>
        <stp>12/07/2016</stp>
        <stp>12/07/2016</stp>
        <stp>[Bbg_Market_Data_CL.xlsm]data!R187C18</stp>
        <tr r="R187" s="1"/>
      </tp>
      <tp>
        <v>44.51</v>
        <stp/>
        <stp>##V3_BDHV12</stp>
        <stp>CL2 Comdty</stp>
        <stp>VOLATILITY_30D</stp>
        <stp>22/07/2016</stp>
        <stp>22/07/2016</stp>
        <stp>[Bbg_Market_Data_CL.xlsm]data!R179C18</stp>
        <tr r="R179" s="1"/>
      </tp>
      <tp>
        <v>45.91</v>
        <stp/>
        <stp>##V3_BDHV12</stp>
        <stp>CL2 Comdty</stp>
        <stp>VOLATILITY_30D</stp>
        <stp>21/04/2016</stp>
        <stp>21/04/2016</stp>
        <stp>[Bbg_Market_Data_CL.xlsm]data!R243C18</stp>
        <tr r="R243" s="1"/>
      </tp>
      <tp t="s">
        <v>#N/A Requesting Data...</v>
        <stp/>
        <stp>##V3_BDHV12</stp>
        <stp>CL1 Comdty</stp>
        <stp>VOLATILITY_30D</stp>
        <stp>11/04/2016</stp>
        <stp>11/04/2016</stp>
        <stp>[Bbg_Market_Data_CL.xlsm]data!R251C18</stp>
        <tr r="R251" s="1"/>
      </tp>
      <tp>
        <v>28.05</v>
        <stp/>
        <stp>##V3_BDHV12</stp>
        <stp>CL2 Comdty</stp>
        <stp>VOLATILITY_30D</stp>
        <stp>01/06/2016</stp>
        <stp>01/06/2016</stp>
        <stp>[Bbg_Market_Data_CL.xlsm]data!R215C18</stp>
        <tr r="R215" s="1"/>
      </tp>
      <tp>
        <v>29.95</v>
        <stp/>
        <stp>##V3_BDHV12</stp>
        <stp>CL2 Comdty</stp>
        <stp>VOLATILITY_30D</stp>
        <stp>31/05/2016</stp>
        <stp>31/05/2016</stp>
        <stp>[Bbg_Market_Data_CL.xlsm]data!R216C18</stp>
        <tr r="R216" s="1"/>
      </tp>
      <tp t="s">
        <v>#N/A Requesting Data...</v>
        <stp/>
        <stp>##V3_BDHV12</stp>
        <stp>CL1 Comdty</stp>
        <stp>PX_LOW</stp>
        <stp>01/03/2016</stp>
        <stp>01/03/2016</stp>
        <stp>[Bbg_Market_Data_CL.xlsm]data!R279C7</stp>
        <tr r="G279" s="1"/>
      </tp>
      <tp>
        <v>29.78</v>
        <stp/>
        <stp>##V3_BDHV12</stp>
        <stp>CL2 Comdty</stp>
        <stp>PX_LOW</stp>
        <stp>12/02/2016</stp>
        <stp>12/02/2016</stp>
        <stp>[Bbg_Market_Data_CL.xlsm]data!R289C7</stp>
        <tr r="G289" s="1"/>
      </tp>
      <tp>
        <v>44.75</v>
        <stp/>
        <stp>##V3_BDHV12</stp>
        <stp>CL2 Comdty</stp>
        <stp>PX_LOW</stp>
        <stp>29/09/2015</stp>
        <stp>29/09/2015</stp>
        <stp>[Bbg_Market_Data_CL.xlsm]data!R381C7</stp>
        <tr r="G381" s="1"/>
      </tp>
      <tp t="s">
        <v>#N/A Requesting Data...</v>
        <stp/>
        <stp>##V3_BDHV12</stp>
        <stp>CL1 Comdty</stp>
        <stp>PX_LOW</stp>
        <stp>01/02/2016</stp>
        <stp>01/02/2016</stp>
        <stp>[Bbg_Market_Data_CL.xlsm]data!R298C7</stp>
        <tr r="G298" s="1"/>
      </tp>
      <tp>
        <v>42.48</v>
        <stp/>
        <stp>##V3_BDHV12</stp>
        <stp>CL2 Comdty</stp>
        <stp>PX_LOW</stp>
        <stp>01/12/2015</stp>
        <stp>01/12/2015</stp>
        <stp>[Bbg_Market_Data_CL.xlsm]data!R339C7</stp>
        <tr r="G339" s="1"/>
      </tp>
      <tp>
        <v>33.03</v>
        <stp/>
        <stp>##V3_BDHV12</stp>
        <stp>CL2 Comdty</stp>
        <stp>PX_LOW</stp>
        <stp>01/02/2016</stp>
        <stp>01/02/2016</stp>
        <stp>[Bbg_Market_Data_CL.xlsm]data!R298C7</stp>
        <tr r="G298" s="1"/>
      </tp>
      <tp t="s">
        <v>#N/A Requesting Data...</v>
        <stp/>
        <stp>##V3_BDHV12</stp>
        <stp>CL1 Comdty</stp>
        <stp>PX_LOW</stp>
        <stp>01/12/2015</stp>
        <stp>01/12/2015</stp>
        <stp>[Bbg_Market_Data_CL.xlsm]data!R339C7</stp>
        <tr r="G339" s="1"/>
      </tp>
      <tp>
        <v>35.18</v>
        <stp/>
        <stp>##V3_BDHV12</stp>
        <stp>CL2 Comdty</stp>
        <stp>PX_LOW</stp>
        <stp>01/03/2016</stp>
        <stp>01/03/2016</stp>
        <stp>[Bbg_Market_Data_CL.xlsm]data!R279C7</stp>
        <tr r="G279" s="1"/>
      </tp>
      <tp t="s">
        <v>#N/A Requesting Data...</v>
        <stp/>
        <stp>##V3_BDHV12</stp>
        <stp>CL1 Comdty</stp>
        <stp>PX_LOW</stp>
        <stp>12/02/2016</stp>
        <stp>12/02/2016</stp>
        <stp>[Bbg_Market_Data_CL.xlsm]data!R289C7</stp>
        <tr r="G289" s="1"/>
      </tp>
      <tp t="s">
        <v>#N/A Requesting Data...</v>
        <stp/>
        <stp>##V3_BDHV12</stp>
        <stp>CL1 Comdty</stp>
        <stp>PX_LOW</stp>
        <stp>29/09/2015</stp>
        <stp>29/09/2015</stp>
        <stp>[Bbg_Market_Data_CL.xlsm]data!R381C7</stp>
        <tr r="G381" s="1"/>
      </tp>
      <tp t="s">
        <v>#N/A Requesting Data...</v>
        <stp/>
        <stp>##V3_BDHV12</stp>
        <stp>CL1 Comdty</stp>
        <stp>PX_LOW</stp>
        <stp>16/12/2015</stp>
        <stp>16/12/2015</stp>
        <stp>[Bbg_Market_Data_CL.xlsm]data!R328C7</stp>
        <tr r="G328" s="1"/>
      </tp>
      <tp>
        <v>38.39</v>
        <stp/>
        <stp>##V3_BDHV12</stp>
        <stp>CL2 Comdty</stp>
        <stp>PX_LOW</stp>
        <stp>16/03/2016</stp>
        <stp>16/03/2016</stp>
        <stp>[Bbg_Market_Data_CL.xlsm]data!R268C7</stp>
        <tr r="G268" s="1"/>
      </tp>
      <tp t="s">
        <v>#N/A Requesting Data...</v>
        <stp/>
        <stp>##V3_BDHV12</stp>
        <stp>CL1 Comdty</stp>
        <stp>PX_LOW</stp>
        <stp>16/03/2016</stp>
        <stp>16/03/2016</stp>
        <stp>[Bbg_Market_Data_CL.xlsm]data!R268C7</stp>
        <tr r="G268" s="1"/>
      </tp>
      <tp>
        <v>36.54</v>
        <stp/>
        <stp>##V3_BDHV12</stp>
        <stp>CL2 Comdty</stp>
        <stp>PX_LOW</stp>
        <stp>16/12/2015</stp>
        <stp>16/12/2015</stp>
        <stp>[Bbg_Market_Data_CL.xlsm]data!R328C7</stp>
        <tr r="G328" s="1"/>
      </tp>
      <tp t="s">
        <v>#N/A Requesting Data...</v>
        <stp/>
        <stp>##V3_BDHV12</stp>
        <stp>CL1 Comdty</stp>
        <stp>PX_LOW</stp>
        <stp>02/08/2016</stp>
        <stp>02/08/2016</stp>
        <stp>[Bbg_Market_Data_CL.xlsm]data!R172C7</stp>
        <tr r="G172" s="1"/>
      </tp>
      <tp>
        <v>45.11</v>
        <stp/>
        <stp>##V3_BDHV12</stp>
        <stp>CL2 Comdty</stp>
        <stp>PX_LOW</stp>
        <stp>30/09/2015</stp>
        <stp>30/09/2015</stp>
        <stp>[Bbg_Market_Data_CL.xlsm]data!R380C7</stp>
        <tr r="G380" s="1"/>
      </tp>
      <tp>
        <v>44.34</v>
        <stp/>
        <stp>##V3_BDHV12</stp>
        <stp>CL2 Comdty</stp>
        <stp>PX_LOW</stp>
        <stp>31/08/2015</stp>
        <stp>31/08/2015</stp>
        <stp>[Bbg_Market_Data_CL.xlsm]data!R401C7</stp>
        <tr r="G401" s="1"/>
      </tp>
      <tp>
        <v>42.66</v>
        <stp/>
        <stp>##V3_BDHV12</stp>
        <stp>CL2 Comdty</stp>
        <stp>PX_LOW</stp>
        <stp>13/08/2015</stp>
        <stp>13/08/2015</stp>
        <stp>[Bbg_Market_Data_CL.xlsm]data!R413C7</stp>
        <tr r="G413" s="1"/>
      </tp>
      <tp t="s">
        <v>#N/A Requesting Data...</v>
        <stp/>
        <stp>##V3_BDHV12</stp>
        <stp>CL1 Comdty</stp>
        <stp>PX_LOW</stp>
        <stp>29/01/2016</stp>
        <stp>29/01/2016</stp>
        <stp>[Bbg_Market_Data_CL.xlsm]data!R299C7</stp>
        <tr r="G299" s="1"/>
      </tp>
      <tp>
        <v>40.049999999999997</v>
        <stp/>
        <stp>##V3_BDHV12</stp>
        <stp>CL2 Comdty</stp>
        <stp>PX_LOW</stp>
        <stp>02/08/2016</stp>
        <stp>02/08/2016</stp>
        <stp>[Bbg_Market_Data_CL.xlsm]data!R172C7</stp>
        <tr r="G172" s="1"/>
      </tp>
      <tp t="s">
        <v>#N/A Requesting Data...</v>
        <stp/>
        <stp>##V3_BDHV12</stp>
        <stp>CL1 Comdty</stp>
        <stp>PX_LOW</stp>
        <stp>30/09/2015</stp>
        <stp>30/09/2015</stp>
        <stp>[Bbg_Market_Data_CL.xlsm]data!R380C7</stp>
        <tr r="G380" s="1"/>
      </tp>
      <tp t="s">
        <v>#N/A Requesting Data...</v>
        <stp/>
        <stp>##V3_BDHV12</stp>
        <stp>CL1 Comdty</stp>
        <stp>PX_LOW</stp>
        <stp>31/08/2015</stp>
        <stp>31/08/2015</stp>
        <stp>[Bbg_Market_Data_CL.xlsm]data!R401C7</stp>
        <tr r="G401" s="1"/>
      </tp>
      <tp t="s">
        <v>#N/A Requesting Data...</v>
        <stp/>
        <stp>##V3_BDHV12</stp>
        <stp>CL1 Comdty</stp>
        <stp>PX_LOW</stp>
        <stp>13/08/2015</stp>
        <stp>13/08/2015</stp>
        <stp>[Bbg_Market_Data_CL.xlsm]data!R413C7</stp>
        <tr r="G413" s="1"/>
      </tp>
      <tp>
        <v>34.29</v>
        <stp/>
        <stp>##V3_BDHV12</stp>
        <stp>CL2 Comdty</stp>
        <stp>PX_LOW</stp>
        <stp>29/01/2016</stp>
        <stp>29/01/2016</stp>
        <stp>[Bbg_Market_Data_CL.xlsm]data!R299C7</stp>
        <tr r="G299" s="1"/>
      </tp>
      <tp>
        <v>43.87</v>
        <stp/>
        <stp>##V3_BDHV12</stp>
        <stp>CL2 Comdty</stp>
        <stp>PX_LOW</stp>
        <stp>15/09/2016</stp>
        <stp>15/09/2016</stp>
        <stp>[Bbg_Market_Data_CL.xlsm]data!R142C7</stp>
        <tr r="G142" s="1"/>
      </tp>
      <tp t="s">
        <v>#N/A Requesting Data...</v>
        <stp/>
        <stp>##V3_BDHV12</stp>
        <stp>CL1 Comdty</stp>
        <stp>PX_LOW</stp>
        <stp>16/08/2016</stp>
        <stp>16/08/2016</stp>
        <stp>[Bbg_Market_Data_CL.xlsm]data!R163C7</stp>
        <tr r="G163" s="1"/>
      </tp>
      <tp t="s">
        <v>#N/A Requesting Data...</v>
        <stp/>
        <stp>##V3_BDHV12</stp>
        <stp>CL1 Comdty</stp>
        <stp>PX_LOW</stp>
        <stp>14/09/2015</stp>
        <stp>14/09/2015</stp>
        <stp>[Bbg_Market_Data_CL.xlsm]data!R392C7</stp>
        <tr r="G392" s="1"/>
      </tp>
      <tp>
        <v>46</v>
        <stp/>
        <stp>##V3_BDHV12</stp>
        <stp>CL2 Comdty</stp>
        <stp>PX_LOW</stp>
        <stp>16/08/2016</stp>
        <stp>16/08/2016</stp>
        <stp>[Bbg_Market_Data_CL.xlsm]data!R163C7</stp>
        <tr r="G163" s="1"/>
      </tp>
      <tp>
        <v>44.09</v>
        <stp/>
        <stp>##V3_BDHV12</stp>
        <stp>CL2 Comdty</stp>
        <stp>PX_LOW</stp>
        <stp>14/09/2015</stp>
        <stp>14/09/2015</stp>
        <stp>[Bbg_Market_Data_CL.xlsm]data!R392C7</stp>
        <tr r="G392" s="1"/>
      </tp>
      <tp t="s">
        <v>#N/A Requesting Data...</v>
        <stp/>
        <stp>##V3_BDHV12</stp>
        <stp>CL1 Comdty</stp>
        <stp>PX_LOW</stp>
        <stp>15/09/2016</stp>
        <stp>15/09/2016</stp>
        <stp>[Bbg_Market_Data_CL.xlsm]data!R142C7</stp>
        <tr r="G142" s="1"/>
      </tp>
      <tp t="s">
        <v>#N/A Requesting Data...</v>
        <stp/>
        <stp>##V3_BDHV12</stp>
        <stp>CL1 Comdty</stp>
        <stp>VOLATILITY_10D</stp>
        <stp>15/11/2016</stp>
        <stp>15/11/2016</stp>
        <stp>[Bbg_Market_Data_CL.xlsm]data!R101C17</stp>
        <tr r="Q101" s="1"/>
      </tp>
      <tp>
        <v>44.01</v>
        <stp/>
        <stp>##V3_BDHV12</stp>
        <stp>CL2 Comdty</stp>
        <stp>VOLATILITY_10D</stp>
        <stp>07/01/2016</stp>
        <stp>07/01/2016</stp>
        <stp>[Bbg_Market_Data_CL.xlsm]data!R314C17</stp>
        <tr r="Q314" s="1"/>
      </tp>
      <tp t="s">
        <v>#N/A Requesting Data...</v>
        <stp/>
        <stp>##V3_BDHV12</stp>
        <stp>CL2 Comdty</stp>
        <stp>VOLATILITY_10D</stp>
        <stp>13/07/2015</stp>
        <stp>13/07/2015</stp>
        <stp>[Bbg_Market_Data_CL.xlsm]data!R436C17</stp>
        <tr r="Q436" s="1"/>
      </tp>
      <tp t="s">
        <v>#N/A Requesting Data...</v>
        <stp/>
        <stp>##V3_BDHV12</stp>
        <stp>CL1 Comdty</stp>
        <stp>VOLATILITY_10D</stp>
        <stp>05/10/2016</stp>
        <stp>05/10/2016</stp>
        <stp>[Bbg_Market_Data_CL.xlsm]data!R128C17</stp>
        <tr r="Q128" s="1"/>
      </tp>
      <tp t="s">
        <v>#N/A Requesting Data...</v>
        <stp/>
        <stp>##V3_BDHV12</stp>
        <stp>CL1 Comdty</stp>
        <stp>VOLATILITY_10D</stp>
        <stp>04/12/2015</stp>
        <stp>04/12/2015</stp>
        <stp>[Bbg_Market_Data_CL.xlsm]data!R336C17</stp>
        <tr r="Q336" s="1"/>
      </tp>
      <tp t="s">
        <v>#N/A Requesting Data...</v>
        <stp/>
        <stp>##V3_BDHV12</stp>
        <stp>CL1 Comdty</stp>
        <stp>VOLATILITY_10D</stp>
        <stp>23/07/2015</stp>
        <stp>23/07/2015</stp>
        <stp>[Bbg_Market_Data_CL.xlsm]data!R428C17</stp>
        <tr r="Q428" s="1"/>
      </tp>
      <tp>
        <v>47.06</v>
        <stp/>
        <stp>##V3_BDHV12</stp>
        <stp>CL2 Comdty</stp>
        <stp>VOLATILITY_10D</stp>
        <stp>04/11/2015</stp>
        <stp>04/11/2015</stp>
        <stp>[Bbg_Market_Data_CL.xlsm]data!R356C17</stp>
        <tr r="Q356" s="1"/>
      </tp>
      <tp>
        <v>46.34</v>
        <stp/>
        <stp>##V3_BDHV12</stp>
        <stp>CL2 Comdty</stp>
        <stp>VOLATILITY_10D</stp>
        <stp>14/10/2015</stp>
        <stp>14/10/2015</stp>
        <stp>[Bbg_Market_Data_CL.xlsm]data!R371C17</stp>
        <tr r="Q371" s="1"/>
      </tp>
      <tp t="s">
        <v>#N/A Requesting Data...</v>
        <stp/>
        <stp>##V3_BDHV12</stp>
        <stp>CL2 Comdty</stp>
        <stp>VOLATILITY_10D</stp>
        <stp>03/06/2015</stp>
        <stp>03/06/2015</stp>
        <stp>[Bbg_Market_Data_CL.xlsm]data!R463C17</stp>
        <tr r="Q463" s="1"/>
      </tp>
      <tp t="s">
        <v>#N/A Requesting Data...</v>
        <stp/>
        <stp>##V3_BDHV12</stp>
        <stp>CL2 Comdty</stp>
        <stp>VOLATILITY_10D</stp>
        <stp>23/04/2015</stp>
        <stp>23/04/2015</stp>
        <stp>[Bbg_Market_Data_CL.xlsm]data!R491C17</stp>
        <tr r="Q491" s="1"/>
      </tp>
      <tp>
        <v>59.45</v>
        <stp/>
        <stp>##V3_BDHV12</stp>
        <stp>CL2 Comdty</stp>
        <stp>VOLATILITY_30D</stp>
        <stp>16/03/2016</stp>
        <stp>16/03/2016</stp>
        <stp>[Bbg_Market_Data_CL.xlsm]data!R268C18</stp>
        <tr r="R268" s="1"/>
      </tp>
      <tp t="s">
        <v>#N/A Requesting Data...</v>
        <stp/>
        <stp>##V3_BDHV12</stp>
        <stp>CL1 Comdty</stp>
        <stp>VOLATILITY_10D</stp>
        <stp>13/04/2015</stp>
        <stp>13/04/2015</stp>
        <stp>[Bbg_Market_Data_CL.xlsm]data!R499C17</stp>
        <tr r="Q499" s="1"/>
      </tp>
      <tp t="s">
        <v>#N/A Requesting Data...</v>
        <stp/>
        <stp>##V3_BDHV12</stp>
        <stp>CL2 Comdty</stp>
        <stp>VOLATILITY_30D</stp>
        <stp>13/05/2015</stp>
        <stp>13/05/2015</stp>
        <stp>[Bbg_Market_Data_CL.xlsm]data!R477C18</stp>
        <tr r="R477" s="1"/>
      </tp>
      <tp>
        <v>53.39</v>
        <stp/>
        <stp>##V3_BDHV12</stp>
        <stp>CL2 Comdty</stp>
        <stp>VOLATILITY_10D</stp>
        <stp>26/02/2016</stp>
        <stp>26/02/2016</stp>
        <stp>[Bbg_Market_Data_CL.xlsm]data!R281C17</stp>
        <tr r="Q281" s="1"/>
      </tp>
      <tp t="s">
        <v>#N/A Requesting Data...</v>
        <stp/>
        <stp>##V3_BDHV12</stp>
        <stp>CL2 Comdty</stp>
        <stp>VOLATILITY_30D</stp>
        <stp>23/06/2015</stp>
        <stp>23/06/2015</stp>
        <stp>[Bbg_Market_Data_CL.xlsm]data!R449C18</stp>
        <tr r="R449" s="1"/>
      </tp>
      <tp>
        <v>35.659999999999997</v>
        <stp/>
        <stp>##V3_BDHV12</stp>
        <stp>CL2 Comdty</stp>
        <stp>VOLATILITY_30D</stp>
        <stp>24/11/2015</stp>
        <stp>24/11/2015</stp>
        <stp>[Bbg_Market_Data_CL.xlsm]data!R343C18</stp>
        <tr r="R343" s="1"/>
      </tp>
      <tp>
        <v>36.409999999999997</v>
        <stp/>
        <stp>##V3_BDHV12</stp>
        <stp>CL2 Comdty</stp>
        <stp>VOLATILITY_30D</stp>
        <stp>14/12/2015</stp>
        <stp>14/12/2015</stp>
        <stp>[Bbg_Market_Data_CL.xlsm]data!R330C18</stp>
        <tr r="R330" s="1"/>
      </tp>
      <tp t="s">
        <v>#N/A Requesting Data...</v>
        <stp/>
        <stp>##V3_BDHV12</stp>
        <stp>CL1 Comdty</stp>
        <stp>VOLATILITY_30D</stp>
        <stp>24/12/2015</stp>
        <stp>24/12/2015</stp>
        <stp>[Bbg_Market_Data_CL.xlsm]data!R322C18</stp>
        <tr r="R322" s="1"/>
      </tp>
      <tp>
        <v>61.61</v>
        <stp/>
        <stp>##V3_BDHV12</stp>
        <stp>CL2 Comdty</stp>
        <stp>VOLATILITY_30D</stp>
        <stp>27/01/2016</stp>
        <stp>27/01/2016</stp>
        <stp>[Bbg_Market_Data_CL.xlsm]data!R301C18</stp>
        <tr r="R301" s="1"/>
      </tp>
      <tp t="s">
        <v>#N/A Requesting Data...</v>
        <stp/>
        <stp>##V3_BDHV12</stp>
        <stp>CL1 Comdty</stp>
        <stp>VOLATILITY_30D</stp>
        <stp>25/10/2016</stp>
        <stp>25/10/2016</stp>
        <stp>[Bbg_Market_Data_CL.xlsm]data!R115C18</stp>
        <tr r="R115" s="1"/>
      </tp>
      <tp t="s">
        <v>#N/A Requesting Data...</v>
        <stp/>
        <stp>##V3_BDHV12</stp>
        <stp>CL1 Comdty</stp>
        <stp>VOLATILITY_10D</stp>
        <stp>04/11/2016</stp>
        <stp>04/11/2016</stp>
        <stp>[Bbg_Market_Data_CL.xlsm]data!R107C17</stp>
        <tr r="Q107" s="1"/>
      </tp>
      <tp t="s">
        <v>#N/A Requesting Data...</v>
        <stp/>
        <stp>##V3_BDHV12</stp>
        <stp>CL1 Comdty</stp>
        <stp>VOLATILITY_10D</stp>
        <stp>26/01/2016</stp>
        <stp>26/01/2016</stp>
        <stp>[Bbg_Market_Data_CL.xlsm]data!R302C17</stp>
        <tr r="Q302" s="1"/>
      </tp>
      <tp>
        <v>22.82</v>
        <stp/>
        <stp>##V3_BDHV12</stp>
        <stp>CL2 Comdty</stp>
        <stp>VOLATILITY_10D</stp>
        <stp>24/10/2016</stp>
        <stp>24/10/2016</stp>
        <stp>[Bbg_Market_Data_CL.xlsm]data!R116C17</stp>
        <tr r="Q116" s="1"/>
      </tp>
      <tp t="s">
        <v>#N/A Requesting Data...</v>
        <stp/>
        <stp>##V3_BDHV12</stp>
        <stp>CL1 Comdty</stp>
        <stp>VOLATILITY_10D</stp>
        <stp>14/10/2016</stp>
        <stp>14/10/2016</stp>
        <stp>[Bbg_Market_Data_CL.xlsm]data!R122C17</stp>
        <tr r="Q122" s="1"/>
      </tp>
      <tp t="s">
        <v>#N/A Requesting Data...</v>
        <stp/>
        <stp>##V3_BDHV12</stp>
        <stp>CL1 Comdty</stp>
        <stp>VOLATILITY_10D</stp>
        <stp>15/12/2015</stp>
        <stp>15/12/2015</stp>
        <stp>[Bbg_Market_Data_CL.xlsm]data!R329C17</stp>
        <tr r="Q329" s="1"/>
      </tp>
      <tp t="s">
        <v>#N/A Requesting Data...</v>
        <stp/>
        <stp>##V3_BDHV12</stp>
        <stp>CL2 Comdty</stp>
        <stp>VOLATILITY_10D</stp>
        <stp>12/06/2015</stp>
        <stp>12/06/2015</stp>
        <stp>[Bbg_Market_Data_CL.xlsm]data!R456C17</stp>
        <tr r="Q456" s="1"/>
      </tp>
      <tp t="s">
        <v>#N/A Requesting Data...</v>
        <stp/>
        <stp>##V3_BDHV12</stp>
        <stp>CL1 Comdty</stp>
        <stp>VOLATILITY_10D</stp>
        <stp>25/11/2015</stp>
        <stp>25/11/2015</stp>
        <stp>[Bbg_Market_Data_CL.xlsm]data!R342C17</stp>
        <tr r="Q342" s="1"/>
      </tp>
      <tp t="s">
        <v>#N/A Requesting Data...</v>
        <stp/>
        <stp>##V3_BDHV12</stp>
        <stp>CL1 Comdty</stp>
        <stp>VOLATILITY_10D</stp>
        <stp>22/06/2015</stp>
        <stp>22/06/2015</stp>
        <stp>[Bbg_Market_Data_CL.xlsm]data!R450C17</stp>
        <tr r="Q450" s="1"/>
      </tp>
      <tp t="s">
        <v>#N/A Requesting Data...</v>
        <stp/>
        <stp>##V3_BDHV12</stp>
        <stp>CL2 Comdty</stp>
        <stp>VOLATILITY_10D</stp>
        <stp>02/07/2015</stp>
        <stp>02/07/2015</stp>
        <stp>[Bbg_Market_Data_CL.xlsm]data!R442C17</stp>
        <tr r="Q442" s="1"/>
      </tp>
      <tp t="s">
        <v>#N/A Requesting Data...</v>
        <stp/>
        <stp>##V3_BDHV12</stp>
        <stp>CL2 Comdty</stp>
        <stp>VOLATILITY_10D</stp>
        <stp>22/05/2015</stp>
        <stp>22/05/2015</stp>
        <stp>[Bbg_Market_Data_CL.xlsm]data!R470C17</stp>
        <tr r="Q470" s="1"/>
      </tp>
      <tp>
        <v>77.56</v>
        <stp/>
        <stp>##V3_BDHV12</stp>
        <stp>CL2 Comdty</stp>
        <stp>VOLATILITY_30D</stp>
        <stp>17/02/2016</stp>
        <stp>17/02/2016</stp>
        <stp>[Bbg_Market_Data_CL.xlsm]data!R288C18</stp>
        <tr r="R288" s="1"/>
      </tp>
      <tp t="s">
        <v>#N/A Requesting Data...</v>
        <stp/>
        <stp>##V3_BDHV12</stp>
        <stp>CL1 Comdty</stp>
        <stp>VOLATILITY_10D</stp>
        <stp>12/05/2015</stp>
        <stp>12/05/2015</stp>
        <stp>[Bbg_Market_Data_CL.xlsm]data!R478C17</stp>
        <tr r="Q478" s="1"/>
      </tp>
      <tp>
        <v>30.19</v>
        <stp/>
        <stp>##V3_BDHV12</stp>
        <stp>CL2 Comdty</stp>
        <stp>VOLATILITY_10D</stp>
        <stp>05/10/2015</stp>
        <stp>05/10/2015</stp>
        <stp>[Bbg_Market_Data_CL.xlsm]data!R377C17</stp>
        <tr r="Q377" s="1"/>
      </tp>
      <tp t="s">
        <v>#N/A Requesting Data...</v>
        <stp/>
        <stp>##V3_BDHV12</stp>
        <stp>CL1 Comdty</stp>
        <stp>VOLATILITY_10D</stp>
        <stp>17/03/2016</stp>
        <stp>17/03/2016</stp>
        <stp>[Bbg_Market_Data_CL.xlsm]data!R267C17</stp>
        <tr r="Q267" s="1"/>
      </tp>
      <tp t="s">
        <v>#N/A Requesting Data...</v>
        <stp/>
        <stp>##V3_BDHV12</stp>
        <stp>CL1 Comdty</stp>
        <stp>VOLATILITY_30D</stp>
        <stp>22/04/2015</stp>
        <stp>22/04/2015</stp>
        <stp>[Bbg_Market_Data_CL.xlsm]data!R492C18</stp>
        <tr r="R492" s="1"/>
      </tp>
      <tp t="s">
        <v>#N/A Requesting Data...</v>
        <stp/>
        <stp>##V3_BDHV12</stp>
        <stp>CL1 Comdty</stp>
        <stp>VOLATILITY_30D</stp>
        <stp>02/06/2015</stp>
        <stp>02/06/2015</stp>
        <stp>[Bbg_Market_Data_CL.xlsm]data!R464C18</stp>
        <tr r="R464" s="1"/>
      </tp>
      <tp t="s">
        <v>#N/A Requesting Data...</v>
        <stp/>
        <stp>##V3_BDHV12</stp>
        <stp>CL1 Comdty</stp>
        <stp>VOLATILITY_30D</stp>
        <stp>15/10/2015</stp>
        <stp>15/10/2015</stp>
        <stp>[Bbg_Market_Data_CL.xlsm]data!R370C18</stp>
        <tr r="R370" s="1"/>
      </tp>
      <tp>
        <v>63.52</v>
        <stp/>
        <stp>##V3_BDHV12</stp>
        <stp>CL2 Comdty</stp>
        <stp>VOLATILITY_30D</stp>
        <stp>07/03/2016</stp>
        <stp>07/03/2016</stp>
        <stp>[Bbg_Market_Data_CL.xlsm]data!R275C18</stp>
        <tr r="R275" s="1"/>
      </tp>
      <tp t="s">
        <v>#N/A Requesting Data...</v>
        <stp/>
        <stp>##V3_BDHV12</stp>
        <stp>CL1 Comdty</stp>
        <stp>VOLATILITY_30D</stp>
        <stp>05/11/2015</stp>
        <stp>05/11/2015</stp>
        <stp>[Bbg_Market_Data_CL.xlsm]data!R355C18</stp>
        <tr r="R355" s="1"/>
      </tp>
      <tp t="s">
        <v>#N/A Requesting Data...</v>
        <stp/>
        <stp>##V3_BDHV12</stp>
        <stp>CL2 Comdty</stp>
        <stp>VOLATILITY_30D</stp>
        <stp>22/07/2015</stp>
        <stp>22/07/2015</stp>
        <stp>[Bbg_Market_Data_CL.xlsm]data!R429C18</stp>
        <tr r="R429" s="1"/>
      </tp>
      <tp>
        <v>42.35</v>
        <stp/>
        <stp>##V3_BDHV12</stp>
        <stp>CL2 Comdty</stp>
        <stp>VOLATILITY_30D</stp>
        <stp>04/10/2016</stp>
        <stp>04/10/2016</stp>
        <stp>[Bbg_Market_Data_CL.xlsm]data!R129C18</stp>
        <tr r="R129" s="1"/>
      </tp>
      <tp>
        <v>26.88</v>
        <stp/>
        <stp>##V3_BDHV12</stp>
        <stp>CL2 Comdty</stp>
        <stp>VOLATILITY_30D</stp>
        <stp>14/11/2016</stp>
        <stp>14/11/2016</stp>
        <stp>[Bbg_Market_Data_CL.xlsm]data!R102C18</stp>
        <tr r="R102" s="1"/>
      </tp>
      <tp t="s">
        <v>#N/A Requesting Data...</v>
        <stp/>
        <stp>##V3_BDHV12</stp>
        <stp>CL1 Comdty</stp>
        <stp>VOLATILITY_30D</stp>
        <stp>06/01/2016</stp>
        <stp>06/01/2016</stp>
        <stp>[Bbg_Market_Data_CL.xlsm]data!R315C18</stp>
        <tr r="R315" s="1"/>
      </tp>
      <tp>
        <v>28.6</v>
        <stp/>
        <stp>##V3_BDHV12</stp>
        <stp>CL2 Comdty</stp>
        <stp>VOLATILITY_10D</stp>
        <stp>07/11/2016</stp>
        <stp>07/11/2016</stp>
        <stp>[Bbg_Market_Data_CL.xlsm]data!R106C17</stp>
        <tr r="Q106" s="1"/>
      </tp>
      <tp t="s">
        <v>#N/A Requesting Data...</v>
        <stp/>
        <stp>##V3_BDHV12</stp>
        <stp>CL1 Comdty</stp>
        <stp>VOLATILITY_10D</stp>
        <stp>27/10/2016</stp>
        <stp>27/10/2016</stp>
        <stp>[Bbg_Market_Data_CL.xlsm]data!R113C17</stp>
        <tr r="Q113" s="1"/>
      </tp>
      <tp>
        <v>87.82</v>
        <stp/>
        <stp>##V3_BDHV12</stp>
        <stp>CL2 Comdty</stp>
        <stp>VOLATILITY_10D</stp>
        <stp>25/01/2016</stp>
        <stp>25/01/2016</stp>
        <stp>[Bbg_Market_Data_CL.xlsm]data!R303C17</stp>
        <tr r="Q303" s="1"/>
      </tp>
      <tp t="s">
        <v>#N/A Requesting Data...</v>
        <stp/>
        <stp>##V3_BDHV12</stp>
        <stp>CL2 Comdty</stp>
        <stp>VOLATILITY_10D</stp>
        <stp>10/04/2015</stp>
        <stp>10/04/2015</stp>
        <stp>[Bbg_Market_Data_CL.xlsm]data!R500C17</stp>
        <tr r="Q500" s="1"/>
      </tp>
      <tp t="s">
        <v>#N/A Requesting Data...</v>
        <stp/>
        <stp>##V3_BDHV12</stp>
        <stp>CL1 Comdty</stp>
        <stp>VOLATILITY_10D</stp>
        <stp>15/01/2016</stp>
        <stp>15/01/2016</stp>
        <stp>[Bbg_Market_Data_CL.xlsm]data!R308C17</stp>
        <tr r="Q308" s="1"/>
      </tp>
      <tp>
        <v>24.94</v>
        <stp/>
        <stp>##V3_BDHV12</stp>
        <stp>CL2 Comdty</stp>
        <stp>VOLATILITY_10D</stp>
        <stp>17/10/2016</stp>
        <stp>17/10/2016</stp>
        <stp>[Bbg_Market_Data_CL.xlsm]data!R121C17</stp>
        <tr r="Q121" s="1"/>
      </tp>
      <tp>
        <v>40.409999999999997</v>
        <stp/>
        <stp>##V3_BDHV12</stp>
        <stp>CL2 Comdty</stp>
        <stp>VOLATILITY_10D</stp>
        <stp>16/12/2015</stp>
        <stp>16/12/2015</stp>
        <stp>[Bbg_Market_Data_CL.xlsm]data!R328C17</stp>
        <tr r="Q328" s="1"/>
      </tp>
      <tp t="s">
        <v>#N/A Requesting Data...</v>
        <stp/>
        <stp>##V3_BDHV12</stp>
        <stp>CL2 Comdty</stp>
        <stp>VOLATILITY_10D</stp>
        <stp>31/07/2015</stp>
        <stp>31/07/2015</stp>
        <stp>[Bbg_Market_Data_CL.xlsm]data!R422C17</stp>
        <tr r="Q422" s="1"/>
      </tp>
      <tp t="s">
        <v>#N/A Requesting Data...</v>
        <stp/>
        <stp>##V3_BDHV12</stp>
        <stp>CL1 Comdty</stp>
        <stp>VOLATILITY_10D</stp>
        <stp>11/06/2015</stp>
        <stp>11/06/2015</stp>
        <stp>[Bbg_Market_Data_CL.xlsm]data!R457C17</stp>
        <tr r="Q457" s="1"/>
      </tp>
      <tp t="s">
        <v>#N/A Requesting Data...</v>
        <stp/>
        <stp>##V3_BDHV12</stp>
        <stp>CL1 Comdty</stp>
        <stp>VOLATILITY_10D</stp>
        <stp>16/11/2015</stp>
        <stp>16/11/2015</stp>
        <stp>[Bbg_Market_Data_CL.xlsm]data!R349C17</stp>
        <tr r="Q349" s="1"/>
      </tp>
      <tp t="s">
        <v>#N/A Requesting Data...</v>
        <stp/>
        <stp>##V3_BDHV12</stp>
        <stp>CL1 Comdty</stp>
        <stp>VOLATILITY_10D</stp>
        <stp>01/07/2015</stp>
        <stp>01/07/2015</stp>
        <stp>[Bbg_Market_Data_CL.xlsm]data!R443C17</stp>
        <tr r="Q443" s="1"/>
      </tp>
      <tp>
        <v>75.790000000000006</v>
        <stp/>
        <stp>##V3_BDHV12</stp>
        <stp>CL2 Comdty</stp>
        <stp>VOLATILITY_30D</stp>
        <stp>24/02/2016</stp>
        <stp>24/02/2016</stp>
        <stp>[Bbg_Market_Data_CL.xlsm]data!R283C18</stp>
        <tr r="R283" s="1"/>
      </tp>
      <tp>
        <v>52.26</v>
        <stp/>
        <stp>##V3_BDHV12</stp>
        <stp>CL2 Comdty</stp>
        <stp>VOLATILITY_10D</stp>
        <stp>14/03/2016</stp>
        <stp>14/03/2016</stp>
        <stp>[Bbg_Market_Data_CL.xlsm]data!R270C17</stp>
        <tr r="Q270" s="1"/>
      </tp>
      <tp t="s">
        <v>#N/A Requesting Data...</v>
        <stp/>
        <stp>##V3_BDHV12</stp>
        <stp>CL1 Comdty</stp>
        <stp>VOLATILITY_30D</stp>
        <stp>01/05/2015</stp>
        <stp>01/05/2015</stp>
        <stp>[Bbg_Market_Data_CL.xlsm]data!R485C18</stp>
        <tr r="R485" s="1"/>
      </tp>
      <tp t="s">
        <v>#N/A Requesting Data...</v>
        <stp/>
        <stp>##V3_BDHV12</stp>
        <stp>CL1 Comdty</stp>
        <stp>VOLATILITY_10D</stp>
        <stp>21/05/2015</stp>
        <stp>21/05/2015</stp>
        <stp>[Bbg_Market_Data_CL.xlsm]data!R471C17</stp>
        <tr r="Q471" s="1"/>
      </tp>
      <tp t="s">
        <v>#N/A Requesting Data...</v>
        <stp/>
        <stp>##V3_BDHV12</stp>
        <stp>CL2 Comdty</stp>
        <stp>VOLATILITY_10D</stp>
        <stp>11/05/2015</stp>
        <stp>11/05/2015</stp>
        <stp>[Bbg_Market_Data_CL.xlsm]data!R479C17</stp>
        <tr r="Q479" s="1"/>
      </tp>
      <tp t="s">
        <v>#N/A Requesting Data...</v>
        <stp/>
        <stp>##V3_BDHV12</stp>
        <stp>CL1 Comdty</stp>
        <stp>VOLATILITY_10D</stp>
        <stp>24/03/2016</stp>
        <stp>24/03/2016</stp>
        <stp>[Bbg_Market_Data_CL.xlsm]data!R262C17</stp>
        <tr r="Q262" s="1"/>
      </tp>
      <tp t="s">
        <v>#N/A Requesting Data...</v>
        <stp/>
        <stp>##V3_BDHV12</stp>
        <stp>CL1 Comdty</stp>
        <stp>VOLATILITY_10D</stp>
        <stp>06/10/2015</stp>
        <stp>06/10/2015</stp>
        <stp>[Bbg_Market_Data_CL.xlsm]data!R376C17</stp>
        <tr r="Q376" s="1"/>
      </tp>
      <tp t="s">
        <v>#N/A Requesting Data...</v>
        <stp/>
        <stp>##V3_BDHV12</stp>
        <stp>CL2 Comdty</stp>
        <stp>VOLATILITY_30D</stp>
        <stp>21/04/2015</stp>
        <stp>21/04/2015</stp>
        <stp>[Bbg_Market_Data_CL.xlsm]data!R493C18</stp>
        <tr r="R493" s="1"/>
      </tp>
      <tp t="s">
        <v>#N/A Requesting Data...</v>
        <stp/>
        <stp>##V3_BDHV12</stp>
        <stp>CL2 Comdty</stp>
        <stp>VOLATILITY_30D</stp>
        <stp>01/06/2015</stp>
        <stp>01/06/2015</stp>
        <stp>[Bbg_Market_Data_CL.xlsm]data!R465C18</stp>
        <tr r="R465" s="1"/>
      </tp>
      <tp>
        <v>73.38</v>
        <stp/>
        <stp>##V3_BDHV12</stp>
        <stp>CL2 Comdty</stp>
        <stp>VOLATILITY_10D</stp>
        <stp>04/02/2016</stp>
        <stp>04/02/2016</stp>
        <stp>[Bbg_Market_Data_CL.xlsm]data!R295C17</stp>
        <tr r="Q295" s="1"/>
      </tp>
      <tp t="s">
        <v>#N/A Requesting Data...</v>
        <stp/>
        <stp>##V3_BDHV12</stp>
        <stp>CL1 Comdty</stp>
        <stp>VOLATILITY_30D</stp>
        <stp>26/10/2015</stp>
        <stp>26/10/2015</stp>
        <stp>[Bbg_Market_Data_CL.xlsm]data!R363C18</stp>
        <tr r="R363" s="1"/>
      </tp>
      <tp t="s">
        <v>#N/A Requesting Data...</v>
        <stp/>
        <stp>##V3_BDHV12</stp>
        <stp>CL1 Comdty</stp>
        <stp>VOLATILITY_30D</stp>
        <stp>04/03/2016</stp>
        <stp>04/03/2016</stp>
        <stp>[Bbg_Market_Data_CL.xlsm]data!R276C18</stp>
        <tr r="R276" s="1"/>
      </tp>
      <tp>
        <v>43.75</v>
        <stp/>
        <stp>##V3_BDHV12</stp>
        <stp>CL2 Comdty</stp>
        <stp>VOLATILITY_30D</stp>
        <stp>16/10/2015</stp>
        <stp>16/10/2015</stp>
        <stp>[Bbg_Market_Data_CL.xlsm]data!R369C18</stp>
        <tr r="R369" s="1"/>
      </tp>
      <tp>
        <v>38.69</v>
        <stp/>
        <stp>##V3_BDHV12</stp>
        <stp>CL2 Comdty</stp>
        <stp>VOLATILITY_30D</stp>
        <stp>06/11/2015</stp>
        <stp>06/11/2015</stp>
        <stp>[Bbg_Market_Data_CL.xlsm]data!R354C18</stp>
        <tr r="R354" s="1"/>
      </tp>
      <tp t="s">
        <v>#N/A Requesting Data...</v>
        <stp/>
        <stp>##V3_BDHV12</stp>
        <stp>CL1 Comdty</stp>
        <stp>VOLATILITY_30D</stp>
        <stp>07/10/2016</stp>
        <stp>07/10/2016</stp>
        <stp>[Bbg_Market_Data_CL.xlsm]data!R126C18</stp>
        <tr r="R126" s="1"/>
      </tp>
      <tp t="s">
        <v>#N/A Requesting Data...</v>
        <stp/>
        <stp>##V3_BDHV12</stp>
        <stp>CL1 Comdty</stp>
        <stp>VOLATILITY_30D</stp>
        <stp>21/07/2015</stp>
        <stp>21/07/2015</stp>
        <stp>[Bbg_Market_Data_CL.xlsm]data!R430C18</stp>
        <tr r="R430" s="1"/>
      </tp>
      <tp>
        <v>41.36</v>
        <stp/>
        <stp>##V3_BDHV12</stp>
        <stp>CL2 Comdty</stp>
        <stp>VOLATILITY_30D</stp>
        <stp>05/01/2016</stp>
        <stp>05/01/2016</stp>
        <stp>[Bbg_Market_Data_CL.xlsm]data!R316C18</stp>
        <tr r="R316" s="1"/>
      </tp>
      <tp>
        <v>37.950000000000003</v>
        <stp/>
        <stp>##V3_BDHV12</stp>
        <stp>CL2 Comdty</stp>
        <stp>VOLATILITY_10D</stp>
        <stp>16/11/2016</stp>
        <stp>16/11/2016</stp>
        <stp>[Bbg_Market_Data_CL.xlsm]data!R100C17</stp>
        <tr r="Q100" s="1"/>
      </tp>
      <tp t="s">
        <v>#N/A Requesting Data...</v>
        <stp/>
        <stp>##V3_BDHV12</stp>
        <stp>CL1 Comdty</stp>
        <stp>VOLATILITY_10D</stp>
        <stp>04/01/2016</stp>
        <stp>04/01/2016</stp>
        <stp>[Bbg_Market_Data_CL.xlsm]data!R317C17</stp>
        <tr r="Q317" s="1"/>
      </tp>
      <tp t="s">
        <v>#N/A Requesting Data...</v>
        <stp/>
        <stp>##V3_BDHV12</stp>
        <stp>CL1 Comdty</stp>
        <stp>VOLATILITY_10D</stp>
        <stp>10/07/2015</stp>
        <stp>10/07/2015</stp>
        <stp>[Bbg_Market_Data_CL.xlsm]data!R437C17</stp>
        <tr r="Q437" s="1"/>
      </tp>
      <tp>
        <v>35.07</v>
        <stp/>
        <stp>##V3_BDHV12</stp>
        <stp>CL2 Comdty</stp>
        <stp>VOLATILITY_10D</stp>
        <stp>06/10/2016</stp>
        <stp>06/10/2016</stp>
        <stp>[Bbg_Market_Data_CL.xlsm]data!R127C17</stp>
        <tr r="Q127" s="1"/>
      </tp>
      <tp t="s">
        <v>#N/A Requesting Data...</v>
        <stp/>
        <stp>##V3_BDHV12</stp>
        <stp>CL2 Comdty</stp>
        <stp>VOLATILITY_10D</stp>
        <stp>20/07/2015</stp>
        <stp>20/07/2015</stp>
        <stp>[Bbg_Market_Data_CL.xlsm]data!R431C17</stp>
        <tr r="Q431" s="1"/>
      </tp>
      <tp>
        <v>46.03</v>
        <stp/>
        <stp>##V3_BDHV12</stp>
        <stp>CL2 Comdty</stp>
        <stp>VOLATILITY_10D</stp>
        <stp>07/12/2015</stp>
        <stp>07/12/2015</stp>
        <stp>[Bbg_Market_Data_CL.xlsm]data!R335C17</stp>
        <tr r="Q335" s="1"/>
      </tp>
      <tp t="s">
        <v>#N/A Requesting Data...</v>
        <stp/>
        <stp>##V3_BDHV12</stp>
        <stp>CL2 Comdty</stp>
        <stp>VOLATILITY_10D</stp>
        <stp>30/06/2015</stp>
        <stp>30/06/2015</stp>
        <stp>[Bbg_Market_Data_CL.xlsm]data!R444C17</stp>
        <tr r="Q444" s="1"/>
      </tp>
      <tp>
        <v>22.5</v>
        <stp/>
        <stp>##V3_BDHV12</stp>
        <stp>CL2 Comdty</stp>
        <stp>VOLATILITY_10D</stp>
        <stp>27/10/2015</stp>
        <stp>27/10/2015</stp>
        <stp>[Bbg_Market_Data_CL.xlsm]data!R362C17</stp>
        <tr r="Q362" s="1"/>
      </tp>
      <tp t="s">
        <v>#N/A Requesting Data...</v>
        <stp/>
        <stp>##V3_BDHV12</stp>
        <stp>CL2 Comdty</stp>
        <stp>VOLATILITY_30D</stp>
        <stp>30/04/2015</stp>
        <stp>30/04/2015</stp>
        <stp>[Bbg_Market_Data_CL.xlsm]data!R486C18</stp>
        <tr r="R486" s="1"/>
      </tp>
      <tp t="s">
        <v>#N/A Requesting Data...</v>
        <stp/>
        <stp>##V3_BDHV12</stp>
        <stp>CL1 Comdty</stp>
        <stp>VOLATILITY_30D</stp>
        <stp>05/02/2016</stp>
        <stp>05/02/2016</stp>
        <stp>[Bbg_Market_Data_CL.xlsm]data!R294C18</stp>
        <tr r="R294" s="1"/>
      </tp>
      <tp t="s">
        <v>#N/A Requesting Data...</v>
        <stp/>
        <stp>##V3_BDHV12</stp>
        <stp>CL1 Comdty</stp>
        <stp>VOLATILITY_10D</stp>
        <stp>20/04/2015</stp>
        <stp>20/04/2015</stp>
        <stp>[Bbg_Market_Data_CL.xlsm]data!R494C17</stp>
        <tr r="Q494" s="1"/>
      </tp>
      <tp>
        <v>62.32</v>
        <stp/>
        <stp>##V3_BDHV12</stp>
        <stp>CL2 Comdty</stp>
        <stp>VOLATILITY_30D</stp>
        <stp>07/10/2015</stp>
        <stp>07/10/2015</stp>
        <stp>[Bbg_Market_Data_CL.xlsm]data!R375C18</stp>
        <tr r="R375" s="1"/>
      </tp>
      <tp t="s">
        <v>#N/A Requesting Data...</v>
        <stp/>
        <stp>##V3_BDHV12</stp>
        <stp>CL1 Comdty</stp>
        <stp>VOLATILITY_30D</stp>
        <stp>15/03/2016</stp>
        <stp>15/03/2016</stp>
        <stp>[Bbg_Market_Data_CL.xlsm]data!R269C18</stp>
        <tr r="R269" s="1"/>
      </tp>
      <tp t="s">
        <v>#N/A Requesting Data...</v>
        <stp/>
        <stp>##V3_BDHV12</stp>
        <stp>CL1 Comdty</stp>
        <stp>VOLATILITY_10D</stp>
        <stp>25/02/2016</stp>
        <stp>25/02/2016</stp>
        <stp>[Bbg_Market_Data_CL.xlsm]data!R282C17</stp>
        <tr r="Q282" s="1"/>
      </tp>
      <tp t="s">
        <v>#N/A Requesting Data...</v>
        <stp/>
        <stp>##V3_BDHV12</stp>
        <stp>CL2 Comdty</stp>
        <stp>VOLATILITY_30D</stp>
        <stp>20/05/2015</stp>
        <stp>20/05/2015</stp>
        <stp>[Bbg_Market_Data_CL.xlsm]data!R472C18</stp>
        <tr r="R472" s="1"/>
      </tp>
      <tp t="s">
        <v>#N/A Requesting Data...</v>
        <stp/>
        <stp>##V3_BDHV12</stp>
        <stp>CL1 Comdty</stp>
        <stp>VOLATILITY_30D</stp>
        <stp>27/11/2015</stp>
        <stp>27/11/2015</stp>
        <stp>[Bbg_Market_Data_CL.xlsm]data!R341C18</stp>
        <tr r="R341" s="1"/>
      </tp>
      <tp>
        <v>37.61</v>
        <stp/>
        <stp>##V3_BDHV12</stp>
        <stp>CL2 Comdty</stp>
        <stp>VOLATILITY_30D</stp>
        <stp>17/11/2015</stp>
        <stp>17/11/2015</stp>
        <stp>[Bbg_Market_Data_CL.xlsm]data!R348C18</stp>
        <tr r="R348" s="1"/>
      </tp>
      <tp t="s">
        <v>#N/A Requesting Data...</v>
        <stp/>
        <stp>##V3_BDHV12</stp>
        <stp>CL2 Comdty</stp>
        <stp>VOLATILITY_30D</stp>
        <stp>10/06/2015</stp>
        <stp>10/06/2015</stp>
        <stp>[Bbg_Market_Data_CL.xlsm]data!R458C18</stp>
        <tr r="R458" s="1"/>
      </tp>
      <tp t="s">
        <v>#N/A Requesting Data...</v>
        <stp/>
        <stp>##V3_BDHV12</stp>
        <stp>CL1 Comdty</stp>
        <stp>VOLATILITY_30D</stp>
        <stp>30/07/2015</stp>
        <stp>30/07/2015</stp>
        <stp>[Bbg_Market_Data_CL.xlsm]data!R423C18</stp>
        <tr r="R423" s="1"/>
      </tp>
      <tp t="s">
        <v>#N/A Requesting Data...</v>
        <stp/>
        <stp>##V3_BDHV12</stp>
        <stp>CL1 Comdty</stp>
        <stp>VOLATILITY_30D</stp>
        <stp>17/12/2015</stp>
        <stp>17/12/2015</stp>
        <stp>[Bbg_Market_Data_CL.xlsm]data!R327C18</stp>
        <tr r="R327" s="1"/>
      </tp>
      <tp>
        <v>33.78</v>
        <stp/>
        <stp>##V3_BDHV12</stp>
        <stp>CL2 Comdty</stp>
        <stp>VOLATILITY_30D</stp>
        <stp>26/10/2016</stp>
        <stp>26/10/2016</stp>
        <stp>[Bbg_Market_Data_CL.xlsm]data!R114C18</stp>
        <tr r="R114" s="1"/>
      </tp>
      <tp>
        <v>43.4</v>
        <stp/>
        <stp>##V3_BDHV12</stp>
        <stp>CL2 Comdty</stp>
        <stp>VOLATILITY_30D</stp>
        <stp>14/01/2016</stp>
        <stp>14/01/2016</stp>
        <stp>[Bbg_Market_Data_CL.xlsm]data!R309C18</stp>
        <tr r="R309" s="1"/>
      </tp>
      <tp>
        <v>38.950000000000003</v>
        <stp/>
        <stp>##V3_BDHV12</stp>
        <stp>CL2 Comdty</stp>
        <stp>VOLATILITY_10D</stp>
        <stp>22/06/2016</stp>
        <stp>22/06/2016</stp>
        <stp>[Bbg_Market_Data_CL.xlsm]data!R200C17</stp>
        <tr r="Q200" s="1"/>
      </tp>
      <tp>
        <v>38.31</v>
        <stp/>
        <stp>##V3_BDHV12</stp>
        <stp>CL2 Comdty</stp>
        <stp>VOLATILITY_10D</stp>
        <stp>12/05/2016</stp>
        <stp>12/05/2016</stp>
        <stp>[Bbg_Market_Data_CL.xlsm]data!R228C17</stp>
        <tr r="Q228" s="1"/>
      </tp>
      <tp>
        <v>45.12</v>
        <stp/>
        <stp>##V3_BDHV12</stp>
        <stp>CL2 Comdty</stp>
        <stp>VOLATILITY_30D</stp>
        <stp>21/07/2016</stp>
        <stp>21/07/2016</stp>
        <stp>[Bbg_Market_Data_CL.xlsm]data!R180C18</stp>
        <tr r="R180" s="1"/>
      </tp>
      <tp t="s">
        <v>#N/A Requesting Data...</v>
        <stp/>
        <stp>##V3_BDHV12</stp>
        <stp>CL1 Comdty</stp>
        <stp>VOLATILITY_30D</stp>
        <stp>11/07/2016</stp>
        <stp>11/07/2016</stp>
        <stp>[Bbg_Market_Data_CL.xlsm]data!R188C18</stp>
        <tr r="R188" s="1"/>
      </tp>
      <tp>
        <v>49.09</v>
        <stp/>
        <stp>##V3_BDHV12</stp>
        <stp>CL2 Comdty</stp>
        <stp>VOLATILITY_10D</stp>
        <stp>01/07/2016</stp>
        <stp>01/07/2016</stp>
        <stp>[Bbg_Market_Data_CL.xlsm]data!R193C17</stp>
        <tr r="Q193" s="1"/>
      </tp>
      <tp>
        <v>45.81</v>
        <stp/>
        <stp>##V3_BDHV12</stp>
        <stp>CL2 Comdty</stp>
        <stp>VOLATILITY_30D</stp>
        <stp>22/04/2016</stp>
        <stp>22/04/2016</stp>
        <stp>[Bbg_Market_Data_CL.xlsm]data!R242C18</stp>
        <tr r="R242" s="1"/>
      </tp>
      <tp t="s">
        <v>#N/A Requesting Data...</v>
        <stp/>
        <stp>##V3_BDHV12</stp>
        <stp>CL1 Comdty</stp>
        <stp>VOLATILITY_30D</stp>
        <stp>12/04/2016</stp>
        <stp>12/04/2016</stp>
        <stp>[Bbg_Market_Data_CL.xlsm]data!R250C18</stp>
        <tr r="R250" s="1"/>
      </tp>
      <tp t="s">
        <v>#N/A Requesting Data...</v>
        <stp/>
        <stp>##V3_BDHV12</stp>
        <stp>CL1 Comdty</stp>
        <stp>VOLATILITY_30D</stp>
        <stp>02/05/2016</stp>
        <stp>02/05/2016</stp>
        <stp>[Bbg_Market_Data_CL.xlsm]data!R236C18</stp>
        <tr r="R236" s="1"/>
      </tp>
      <tp>
        <v>27.93</v>
        <stp/>
        <stp>##V3_BDHV12</stp>
        <stp>CL2 Comdty</stp>
        <stp>VOLATILITY_30D</stp>
        <stp>02/06/2016</stp>
        <stp>02/06/2016</stp>
        <stp>[Bbg_Market_Data_CL.xlsm]data!R214C18</stp>
        <tr r="R214" s="1"/>
      </tp>
      <tp t="s">
        <v>#N/A Requesting Data...</v>
        <stp/>
        <stp>##V3_BDHV12</stp>
        <stp>CL1 Comdty</stp>
        <stp>VOLATILITY_10D</stp>
        <stp>03/06/2016</stp>
        <stp>03/06/2016</stp>
        <stp>[Bbg_Market_Data_CL.xlsm]data!R213C17</stp>
        <tr r="Q213" s="1"/>
      </tp>
      <tp>
        <v>35.200000000000003</v>
        <stp/>
        <stp>##V3_BDHV12</stp>
        <stp>CL2 Comdty</stp>
        <stp>VOLATILITY_10D</stp>
        <stp>03/05/2016</stp>
        <stp>03/05/2016</stp>
        <stp>[Bbg_Market_Data_CL.xlsm]data!R235C17</stp>
        <tr r="Q235" s="1"/>
      </tp>
      <tp>
        <v>58.56</v>
        <stp/>
        <stp>##V3_BDHV12</stp>
        <stp>CL2 Comdty</stp>
        <stp>VOLATILITY_10D</stp>
        <stp>13/04/2016</stp>
        <stp>13/04/2016</stp>
        <stp>[Bbg_Market_Data_CL.xlsm]data!R249C17</stp>
        <tr r="Q249" s="1"/>
      </tp>
      <tp t="s">
        <v>#N/A Requesting Data...</v>
        <stp/>
        <stp>##V3_BDHV12</stp>
        <stp>CL1 Comdty</stp>
        <stp>VOLATILITY_10D</stp>
        <stp>30/06/2016</stp>
        <stp>30/06/2016</stp>
        <stp>[Bbg_Market_Data_CL.xlsm]data!R194C17</stp>
        <tr r="Q194" s="1"/>
      </tp>
      <tp t="s">
        <v>#N/A Requesting Data...</v>
        <stp/>
        <stp>##V3_BDHV12</stp>
        <stp>CL1 Comdty</stp>
        <stp>VOLATILITY_10D</stp>
        <stp>20/07/2016</stp>
        <stp>20/07/2016</stp>
        <stp>[Bbg_Market_Data_CL.xlsm]data!R181C17</stp>
        <tr r="Q181" s="1"/>
      </tp>
      <tp t="s">
        <v>#N/A Requesting Data...</v>
        <stp/>
        <stp>##V3_BDHV12</stp>
        <stp>CL1 Comdty</stp>
        <stp>VOLATILITY_30D</stp>
        <stp>13/05/2016</stp>
        <stp>13/05/2016</stp>
        <stp>[Bbg_Market_Data_CL.xlsm]data!R227C18</stp>
        <tr r="R227" s="1"/>
      </tp>
      <tp>
        <v>32.53</v>
        <stp/>
        <stp>##V3_BDHV12</stp>
        <stp>CL2 Comdty</stp>
        <stp>VOLATILITY_30D</stp>
        <stp>23/05/2016</stp>
        <stp>23/05/2016</stp>
        <stp>[Bbg_Market_Data_CL.xlsm]data!R221C18</stp>
        <tr r="R221" s="1"/>
      </tp>
      <tp>
        <v>26.56</v>
        <stp/>
        <stp>##V3_BDHV12</stp>
        <stp>CL2 Comdty</stp>
        <stp>VOLATILITY_30D</stp>
        <stp>13/06/2016</stp>
        <stp>13/06/2016</stp>
        <stp>[Bbg_Market_Data_CL.xlsm]data!R207C18</stp>
        <tr r="R207" s="1"/>
      </tp>
      <tp>
        <v>48.48</v>
        <stp/>
        <stp>##V3_BDHV12</stp>
        <stp>CL2 Comdty</stp>
        <stp>VOLATILITY_10D</stp>
        <stp>20/04/2016</stp>
        <stp>20/04/2016</stp>
        <stp>[Bbg_Market_Data_CL.xlsm]data!R244C17</stp>
        <tr r="Q244" s="1"/>
      </tp>
      <tp t="s">
        <v>#N/A Requesting Data...</v>
        <stp/>
        <stp>##V3_BDHV12</stp>
        <stp>CL1 Comdty</stp>
        <stp>VOLATILITY_30D</stp>
        <stp>23/06/2016</stp>
        <stp>23/06/2016</stp>
        <stp>[Bbg_Market_Data_CL.xlsm]data!R199C18</stp>
        <tr r="R199" s="1"/>
      </tp>
      <tp t="s">
        <v>#N/A Requesting Data...</v>
        <stp/>
        <stp>##V3_BDHV12</stp>
        <stp>CL1 Comdty</stp>
        <stp>VOLATILITY_10D</stp>
        <stp>13/07/2016</stp>
        <stp>13/07/2016</stp>
        <stp>[Bbg_Market_Data_CL.xlsm]data!R186C17</stp>
        <tr r="Q186" s="1"/>
      </tp>
      <tp t="s">
        <v>#N/A Requesting Data...</v>
        <stp/>
        <stp>##V3_BDHV12</stp>
        <stp>CL1 Comdty</stp>
        <stp>VOLATILITY_30D</stp>
        <stp>20/05/2016</stp>
        <stp>20/05/2016</stp>
        <stp>[Bbg_Market_Data_CL.xlsm]data!R222C18</stp>
        <tr r="R222" s="1"/>
      </tp>
      <tp>
        <v>42.65</v>
        <stp/>
        <stp>##V3_BDHV12</stp>
        <stp>CL2 Comdty</stp>
        <stp>VOLATILITY_30D</stp>
        <stp>10/05/2016</stp>
        <stp>10/05/2016</stp>
        <stp>[Bbg_Market_Data_CL.xlsm]data!R230C18</stp>
        <tr r="R230" s="1"/>
      </tp>
      <tp>
        <v>29.77</v>
        <stp/>
        <stp>##V3_BDHV12</stp>
        <stp>CL2 Comdty</stp>
        <stp>VOLATILITY_30D</stp>
        <stp>20/06/2016</stp>
        <stp>20/06/2016</stp>
        <stp>[Bbg_Market_Data_CL.xlsm]data!R202C18</stp>
        <tr r="R202" s="1"/>
      </tp>
      <tp t="s">
        <v>#N/A Requesting Data...</v>
        <stp/>
        <stp>##V3_BDHV12</stp>
        <stp>CL1 Comdty</stp>
        <stp>VOLATILITY_30D</stp>
        <stp>10/06/2016</stp>
        <stp>10/06/2016</stp>
        <stp>[Bbg_Market_Data_CL.xlsm]data!R208C18</stp>
        <tr r="R208" s="1"/>
      </tp>
      <tp t="s">
        <v>#N/A Requesting Data...</v>
        <stp/>
        <stp>##V3_BDHV12</stp>
        <stp>CL1 Comdty</stp>
        <stp>VOLATILITY_10D</stp>
        <stp>21/06/2016</stp>
        <stp>21/06/2016</stp>
        <stp>[Bbg_Market_Data_CL.xlsm]data!R201C17</stp>
        <tr r="Q201" s="1"/>
      </tp>
      <tp t="s">
        <v>#N/A Requesting Data...</v>
        <stp/>
        <stp>##V3_BDHV12</stp>
        <stp>CL1 Comdty</stp>
        <stp>VOLATILITY_10D</stp>
        <stp>11/05/2016</stp>
        <stp>11/05/2016</stp>
        <stp>[Bbg_Market_Data_CL.xlsm]data!R229C17</stp>
        <tr r="Q229" s="1"/>
      </tp>
      <tp t="s">
        <v>#N/A Requesting Data...</v>
        <stp/>
        <stp>##V3_BDHV12</stp>
        <stp>CL1 Comdty</stp>
        <stp>VOLATILITY_10D</stp>
        <stp>01/04/2016</stp>
        <stp>01/04/2016</stp>
        <stp>[Bbg_Market_Data_CL.xlsm]data!R257C17</stp>
        <tr r="Q257" s="1"/>
      </tp>
      <tp>
        <v>43.77</v>
        <stp/>
        <stp>##V3_BDHV12</stp>
        <stp>CL2 Comdty</stp>
        <stp>VOLATILITY_30D</stp>
        <stp>12/07/2016</stp>
        <stp>12/07/2016</stp>
        <stp>[Bbg_Market_Data_CL.xlsm]data!R187C18</stp>
        <tr r="R187" s="1"/>
      </tp>
      <tp t="s">
        <v>#N/A Requesting Data...</v>
        <stp/>
        <stp>##V3_BDHV12</stp>
        <stp>CL1 Comdty</stp>
        <stp>VOLATILITY_30D</stp>
        <stp>22/07/2016</stp>
        <stp>22/07/2016</stp>
        <stp>[Bbg_Market_Data_CL.xlsm]data!R179C18</stp>
        <tr r="R179" s="1"/>
      </tp>
      <tp t="s">
        <v>#N/A Requesting Data...</v>
        <stp/>
        <stp>##V3_BDHV12</stp>
        <stp>CL1 Comdty</stp>
        <stp>VOLATILITY_30D</stp>
        <stp>21/04/2016</stp>
        <stp>21/04/2016</stp>
        <stp>[Bbg_Market_Data_CL.xlsm]data!R243C18</stp>
        <tr r="R243" s="1"/>
      </tp>
      <tp>
        <v>48.27</v>
        <stp/>
        <stp>##V3_BDHV12</stp>
        <stp>CL2 Comdty</stp>
        <stp>VOLATILITY_30D</stp>
        <stp>11/04/2016</stp>
        <stp>11/04/2016</stp>
        <stp>[Bbg_Market_Data_CL.xlsm]data!R251C18</stp>
        <tr r="R251" s="1"/>
      </tp>
      <tp t="s">
        <v>#N/A Requesting Data...</v>
        <stp/>
        <stp>##V3_BDHV12</stp>
        <stp>CL1 Comdty</stp>
        <stp>VOLATILITY_30D</stp>
        <stp>01/06/2016</stp>
        <stp>01/06/2016</stp>
        <stp>[Bbg_Market_Data_CL.xlsm]data!R215C18</stp>
        <tr r="R215" s="1"/>
      </tp>
      <tp t="s">
        <v>#N/A Requesting Data...</v>
        <stp/>
        <stp>##V3_BDHV12</stp>
        <stp>CL1 Comdty</stp>
        <stp>VOLATILITY_30D</stp>
        <stp>31/05/2016</stp>
        <stp>31/05/2016</stp>
        <stp>[Bbg_Market_Data_CL.xlsm]data!R216C18</stp>
        <tr r="R216" s="1"/>
      </tp>
      <tp>
        <v>44.45</v>
        <stp/>
        <stp>##V3_BDHV12</stp>
        <stp>CL2 Comdty</stp>
        <stp>PX_LOW</stp>
        <stp>02/10/2015</stp>
        <stp>02/10/2015</stp>
        <stp>[Bbg_Market_Data_CL.xlsm]data!R378C7</stp>
        <tr r="G378" s="1"/>
      </tp>
      <tp t="s">
        <v>#N/A Requesting Data...</v>
        <stp/>
        <stp>##V3_BDHV12</stp>
        <stp>CL1 Comdty</stp>
        <stp>PX_LOW</stp>
        <stp>30/12/2015</stp>
        <stp>30/12/2015</stp>
        <stp>[Bbg_Market_Data_CL.xlsm]data!R319C7</stp>
        <tr r="G319" s="1"/>
      </tp>
      <tp t="s">
        <v>#N/A Requesting Data...</v>
        <stp/>
        <stp>##V3_BDHV12</stp>
        <stp>CL1 Comdty</stp>
        <stp>PX_LOW</stp>
        <stp>29/09/2016</stp>
        <stp>29/09/2016</stp>
        <stp>[Bbg_Market_Data_CL.xlsm]data!R132C7</stp>
        <tr r="G132" s="1"/>
      </tp>
      <tp t="s">
        <v>#N/A Requesting Data...</v>
        <stp/>
        <stp>##V3_BDHV12</stp>
        <stp>CL1 Comdty</stp>
        <stp>PX_LOW</stp>
        <stp>18/08/2015</stp>
        <stp>18/08/2015</stp>
        <stp>[Bbg_Market_Data_CL.xlsm]data!R410C7</stp>
        <tr r="G410" s="1"/>
      </tp>
      <tp>
        <v>39.479999999999997</v>
        <stp/>
        <stp>##V3_BDHV12</stp>
        <stp>CL2 Comdty</stp>
        <stp>PX_LOW</stp>
        <stp>30/03/2016</stp>
        <stp>30/03/2016</stp>
        <stp>[Bbg_Market_Data_CL.xlsm]data!R259C7</stp>
        <tr r="G259" s="1"/>
      </tp>
      <tp t="s">
        <v>#N/A Requesting Data...</v>
        <stp/>
        <stp>##V3_BDHV12</stp>
        <stp>CL1 Comdty</stp>
        <stp>PX_LOW</stp>
        <stp>02/11/2016</stp>
        <stp>02/11/2016</stp>
        <stp>[Bbg_Market_Data_CL.xlsm]data!R109C7</stp>
        <tr r="G109" s="1"/>
      </tp>
      <tp>
        <v>48.55</v>
        <stp/>
        <stp>##V3_BDHV12</stp>
        <stp>CL2 Comdty</stp>
        <stp>PX_LOW</stp>
        <stp>19/08/2016</stp>
        <stp>19/08/2016</stp>
        <stp>[Bbg_Market_Data_CL.xlsm]data!R160C7</stp>
        <tr r="G160" s="1"/>
      </tp>
      <tp>
        <v>44.75</v>
        <stp/>
        <stp>##V3_BDHV12</stp>
        <stp>CL2 Comdty</stp>
        <stp>PX_LOW</stp>
        <stp>28/09/2015</stp>
        <stp>28/09/2015</stp>
        <stp>[Bbg_Market_Data_CL.xlsm]data!R382C7</stp>
        <tr r="G382" s="1"/>
      </tp>
      <tp t="s">
        <v>#N/A Requesting Data...</v>
        <stp/>
        <stp>##V3_BDHV12</stp>
        <stp>CL1 Comdty</stp>
        <stp>PX_LOW</stp>
        <stp>30/03/2016</stp>
        <stp>30/03/2016</stp>
        <stp>[Bbg_Market_Data_CL.xlsm]data!R259C7</stp>
        <tr r="G259" s="1"/>
      </tp>
      <tp>
        <v>45.56</v>
        <stp/>
        <stp>##V3_BDHV12</stp>
        <stp>CL2 Comdty</stp>
        <stp>PX_LOW</stp>
        <stp>02/11/2016</stp>
        <stp>02/11/2016</stp>
        <stp>[Bbg_Market_Data_CL.xlsm]data!R109C7</stp>
        <tr r="G109" s="1"/>
      </tp>
      <tp t="s">
        <v>#N/A Requesting Data...</v>
        <stp/>
        <stp>##V3_BDHV12</stp>
        <stp>CL1 Comdty</stp>
        <stp>PX_LOW</stp>
        <stp>19/08/2016</stp>
        <stp>19/08/2016</stp>
        <stp>[Bbg_Market_Data_CL.xlsm]data!R160C7</stp>
        <tr r="G160" s="1"/>
      </tp>
      <tp t="s">
        <v>#N/A Requesting Data...</v>
        <stp/>
        <stp>##V3_BDHV12</stp>
        <stp>CL1 Comdty</stp>
        <stp>PX_LOW</stp>
        <stp>28/09/2015</stp>
        <stp>28/09/2015</stp>
        <stp>[Bbg_Market_Data_CL.xlsm]data!R382C7</stp>
        <tr r="G382" s="1"/>
      </tp>
      <tp t="s">
        <v>#N/A Requesting Data...</v>
        <stp/>
        <stp>##V3_BDHV12</stp>
        <stp>CL1 Comdty</stp>
        <stp>PX_LOW</stp>
        <stp>02/10/2015</stp>
        <stp>02/10/2015</stp>
        <stp>[Bbg_Market_Data_CL.xlsm]data!R378C7</stp>
        <tr r="G378" s="1"/>
      </tp>
      <tp>
        <v>37.46</v>
        <stp/>
        <stp>##V3_BDHV12</stp>
        <stp>CL2 Comdty</stp>
        <stp>PX_LOW</stp>
        <stp>30/12/2015</stp>
        <stp>30/12/2015</stp>
        <stp>[Bbg_Market_Data_CL.xlsm]data!R319C7</stp>
        <tr r="G319" s="1"/>
      </tp>
      <tp>
        <v>47.16</v>
        <stp/>
        <stp>##V3_BDHV12</stp>
        <stp>CL2 Comdty</stp>
        <stp>PX_LOW</stp>
        <stp>29/09/2016</stp>
        <stp>29/09/2016</stp>
        <stp>[Bbg_Market_Data_CL.xlsm]data!R132C7</stp>
        <tr r="G132" s="1"/>
      </tp>
      <tp>
        <v>41.94</v>
        <stp/>
        <stp>##V3_BDHV12</stp>
        <stp>CL2 Comdty</stp>
        <stp>PX_LOW</stp>
        <stp>18/08/2015</stp>
        <stp>18/08/2015</stp>
        <stp>[Bbg_Market_Data_CL.xlsm]data!R410C7</stp>
        <tr r="G410" s="1"/>
      </tp>
      <tp>
        <v>49.68</v>
        <stp/>
        <stp>##V3_BDHV12</stp>
        <stp>CL2 Comdty</stp>
        <stp>PX_LOW</stp>
        <stp>05/10/2016</stp>
        <stp>05/10/2016</stp>
        <stp>[Bbg_Market_Data_CL.xlsm]data!R128C7</stp>
        <tr r="G128" s="1"/>
      </tp>
      <tp>
        <v>46.64</v>
        <stp/>
        <stp>##V3_BDHV12</stp>
        <stp>CL2 Comdty</stp>
        <stp>PX_LOW</stp>
        <stp>16/10/2015</stp>
        <stp>16/10/2015</stp>
        <stp>[Bbg_Market_Data_CL.xlsm]data!R369C7</stp>
        <tr r="G369" s="1"/>
      </tp>
      <tp>
        <v>31.16</v>
        <stp/>
        <stp>##V3_BDHV12</stp>
        <stp>CL2 Comdty</stp>
        <stp>PX_LOW</stp>
        <stp>14/01/2016</stp>
        <stp>14/01/2016</stp>
        <stp>[Bbg_Market_Data_CL.xlsm]data!R309C7</stp>
        <tr r="G309" s="1"/>
      </tp>
      <tp>
        <v>41.62</v>
        <stp/>
        <stp>##V3_BDHV12</stp>
        <stp>CL2 Comdty</stp>
        <stp>PX_LOW</stp>
        <stp>17/11/2015</stp>
        <stp>17/11/2015</stp>
        <stp>[Bbg_Market_Data_CL.xlsm]data!R348C7</stp>
        <tr r="G348" s="1"/>
      </tp>
      <tp t="s">
        <v>#N/A Requesting Data...</v>
        <stp/>
        <stp>##V3_BDHV12</stp>
        <stp>CL1 Comdty</stp>
        <stp>PX_LOW</stp>
        <stp>16/10/2015</stp>
        <stp>16/10/2015</stp>
        <stp>[Bbg_Market_Data_CL.xlsm]data!R369C7</stp>
        <tr r="G369" s="1"/>
      </tp>
      <tp t="s">
        <v>#N/A Requesting Data...</v>
        <stp/>
        <stp>##V3_BDHV12</stp>
        <stp>CL1 Comdty</stp>
        <stp>PX_LOW</stp>
        <stp>14/01/2016</stp>
        <stp>14/01/2016</stp>
        <stp>[Bbg_Market_Data_CL.xlsm]data!R309C7</stp>
        <tr r="G309" s="1"/>
      </tp>
      <tp t="s">
        <v>#N/A Requesting Data...</v>
        <stp/>
        <stp>##V3_BDHV12</stp>
        <stp>CL1 Comdty</stp>
        <stp>PX_LOW</stp>
        <stp>17/11/2015</stp>
        <stp>17/11/2015</stp>
        <stp>[Bbg_Market_Data_CL.xlsm]data!R348C7</stp>
        <tr r="G348" s="1"/>
      </tp>
      <tp t="s">
        <v>#N/A Requesting Data...</v>
        <stp/>
        <stp>##V3_BDHV12</stp>
        <stp>CL1 Comdty</stp>
        <stp>PX_LOW</stp>
        <stp>05/10/2016</stp>
        <stp>05/10/2016</stp>
        <stp>[Bbg_Market_Data_CL.xlsm]data!R128C7</stp>
        <tr r="G128" s="1"/>
      </tp>
      <tp t="s">
        <v>#N/A Requesting Data...</v>
        <stp/>
        <stp>##V3_BDHV12</stp>
        <stp>CL1 Comdty</stp>
        <stp>PX_LOW</stp>
        <stp>31/08/2016</stp>
        <stp>31/08/2016</stp>
        <stp>[Bbg_Market_Data_CL.xlsm]data!R152C7</stp>
        <tr r="G152" s="1"/>
      </tp>
      <tp t="s">
        <v>#N/A Requesting Data...</v>
        <stp/>
        <stp>##V3_BDHV12</stp>
        <stp>CL1 Comdty</stp>
        <stp>PX_LOW</stp>
        <stp>03/08/2016</stp>
        <stp>03/08/2016</stp>
        <stp>[Bbg_Market_Data_CL.xlsm]data!R171C7</stp>
        <tr r="G171" s="1"/>
      </tp>
      <tp t="s">
        <v>#N/A Requesting Data...</v>
        <stp/>
        <stp>##V3_BDHV12</stp>
        <stp>CL1 Comdty</stp>
        <stp>PX_LOW</stp>
        <stp>02/09/2016</stp>
        <stp>02/09/2016</stp>
        <stp>[Bbg_Market_Data_CL.xlsm]data!R150C7</stp>
        <tr r="G150" s="1"/>
      </tp>
      <tp t="s">
        <v>#N/A Requesting Data...</v>
        <stp/>
        <stp>##V3_BDHV12</stp>
        <stp>CL1 Comdty</stp>
        <stp>PX_LOW</stp>
        <stp>01/09/2015</stp>
        <stp>01/09/2015</stp>
        <stp>[Bbg_Market_Data_CL.xlsm]data!R400C7</stp>
        <tr r="G400" s="1"/>
      </tp>
      <tp t="s">
        <v>#N/A Requesting Data...</v>
        <stp/>
        <stp>##V3_BDHV12</stp>
        <stp>CL2 Comdty</stp>
        <stp>PX_LOW</stp>
        <stp>03/08/2015</stp>
        <stp>03/08/2015</stp>
        <stp>[Bbg_Market_Data_CL.xlsm]data!R421C7</stp>
        <tr r="G421" s="1"/>
      </tp>
      <tp>
        <v>51.01</v>
        <stp/>
        <stp>##V3_BDHV12</stp>
        <stp>CL2 Comdty</stp>
        <stp>PX_LOW</stp>
        <stp>19/10/2016</stp>
        <stp>19/10/2016</stp>
        <stp>[Bbg_Market_Data_CL.xlsm]data!R119C7</stp>
        <tr r="G119" s="1"/>
      </tp>
      <tp>
        <v>39.96</v>
        <stp/>
        <stp>##V3_BDHV12</stp>
        <stp>CL2 Comdty</stp>
        <stp>PX_LOW</stp>
        <stp>03/08/2016</stp>
        <stp>03/08/2016</stp>
        <stp>[Bbg_Market_Data_CL.xlsm]data!R171C7</stp>
        <tr r="G171" s="1"/>
      </tp>
      <tp>
        <v>43.75</v>
        <stp/>
        <stp>##V3_BDHV12</stp>
        <stp>CL2 Comdty</stp>
        <stp>PX_LOW</stp>
        <stp>02/09/2016</stp>
        <stp>02/09/2016</stp>
        <stp>[Bbg_Market_Data_CL.xlsm]data!R150C7</stp>
        <tr r="G150" s="1"/>
      </tp>
      <tp>
        <v>44.78</v>
        <stp/>
        <stp>##V3_BDHV12</stp>
        <stp>CL2 Comdty</stp>
        <stp>PX_LOW</stp>
        <stp>01/09/2015</stp>
        <stp>01/09/2015</stp>
        <stp>[Bbg_Market_Data_CL.xlsm]data!R400C7</stp>
        <tr r="G400" s="1"/>
      </tp>
      <tp t="s">
        <v>#N/A Requesting Data...</v>
        <stp/>
        <stp>##V3_BDHV12</stp>
        <stp>CL1 Comdty</stp>
        <stp>PX_LOW</stp>
        <stp>03/08/2015</stp>
        <stp>03/08/2015</stp>
        <stp>[Bbg_Market_Data_CL.xlsm]data!R421C7</stp>
        <tr r="G421" s="1"/>
      </tp>
      <tp t="s">
        <v>#N/A Requesting Data...</v>
        <stp/>
        <stp>##V3_BDHV12</stp>
        <stp>CL1 Comdty</stp>
        <stp>PX_LOW</stp>
        <stp>19/10/2016</stp>
        <stp>19/10/2016</stp>
        <stp>[Bbg_Market_Data_CL.xlsm]data!R119C7</stp>
        <tr r="G119" s="1"/>
      </tp>
      <tp>
        <v>45.14</v>
        <stp/>
        <stp>##V3_BDHV12</stp>
        <stp>CL2 Comdty</stp>
        <stp>PX_LOW</stp>
        <stp>31/08/2016</stp>
        <stp>31/08/2016</stp>
        <stp>[Bbg_Market_Data_CL.xlsm]data!R152C7</stp>
        <tr r="G152" s="1"/>
      </tp>
      <tp t="s">
        <v>#N/A Requesting Data...</v>
        <stp/>
        <stp>##V3_BDHV12</stp>
        <stp>CL1 Comdty</stp>
        <stp>PX_LOW</stp>
        <stp>27/08/2015</stp>
        <stp>27/08/2015</stp>
        <stp>[Bbg_Market_Data_CL.xlsm]data!R403C7</stp>
        <tr r="G403" s="1"/>
      </tp>
      <tp t="s">
        <v>#N/A Requesting Data...</v>
        <stp/>
        <stp>##V3_BDHV12</stp>
        <stp>CL1 Comdty</stp>
        <stp>PX_LOW</stp>
        <stp>16/09/2016</stp>
        <stp>16/09/2016</stp>
        <stp>[Bbg_Market_Data_CL.xlsm]data!R141C7</stp>
        <tr r="G141" s="1"/>
      </tp>
      <tp t="s">
        <v>#N/A Requesting Data...</v>
        <stp/>
        <stp>##V3_BDHV12</stp>
        <stp>CL1 Comdty</stp>
        <stp>PX_LOW</stp>
        <stp>15/09/2015</stp>
        <stp>15/09/2015</stp>
        <stp>[Bbg_Market_Data_CL.xlsm]data!R391C7</stp>
        <tr r="G391" s="1"/>
      </tp>
      <tp>
        <v>39.74</v>
        <stp/>
        <stp>##V3_BDHV12</stp>
        <stp>CL2 Comdty</stp>
        <stp>PX_LOW</stp>
        <stp>27/08/2015</stp>
        <stp>27/08/2015</stp>
        <stp>[Bbg_Market_Data_CL.xlsm]data!R403C7</stp>
        <tr r="G403" s="1"/>
      </tp>
      <tp>
        <v>43.35</v>
        <stp/>
        <stp>##V3_BDHV12</stp>
        <stp>CL2 Comdty</stp>
        <stp>PX_LOW</stp>
        <stp>16/09/2016</stp>
        <stp>16/09/2016</stp>
        <stp>[Bbg_Market_Data_CL.xlsm]data!R141C7</stp>
        <tr r="G141" s="1"/>
      </tp>
      <tp>
        <v>44.35</v>
        <stp/>
        <stp>##V3_BDHV12</stp>
        <stp>CL2 Comdty</stp>
        <stp>PX_LOW</stp>
        <stp>15/09/2015</stp>
        <stp>15/09/2015</stp>
        <stp>[Bbg_Market_Data_CL.xlsm]data!R391C7</stp>
        <tr r="G391" s="1"/>
      </tp>
      <tp t="s">
        <v>#N/A Requesting Data...</v>
        <stp/>
        <stp>##V3_BDHV12</stp>
        <stp>CL1 Comdty</stp>
        <stp>VOLATILITY_10D</stp>
        <stp>27/01/2016</stp>
        <stp>27/01/2016</stp>
        <stp>[Bbg_Market_Data_CL.xlsm]data!R301C17</stp>
        <tr r="Q301" s="1"/>
      </tp>
      <tp>
        <v>22.7</v>
        <stp/>
        <stp>##V3_BDHV12</stp>
        <stp>CL2 Comdty</stp>
        <stp>VOLATILITY_10D</stp>
        <stp>25/10/2016</stp>
        <stp>25/10/2016</stp>
        <stp>[Bbg_Market_Data_CL.xlsm]data!R115C17</stp>
        <tr r="Q115" s="1"/>
      </tp>
      <tp>
        <v>42.78</v>
        <stp/>
        <stp>##V3_BDHV12</stp>
        <stp>CL2 Comdty</stp>
        <stp>VOLATILITY_10D</stp>
        <stp>24/12/2015</stp>
        <stp>24/12/2015</stp>
        <stp>[Bbg_Market_Data_CL.xlsm]data!R322C17</stp>
        <tr r="Q322" s="1"/>
      </tp>
      <tp t="s">
        <v>#N/A Requesting Data...</v>
        <stp/>
        <stp>##V3_BDHV12</stp>
        <stp>CL1 Comdty</stp>
        <stp>VOLATILITY_10D</stp>
        <stp>14/12/2015</stp>
        <stp>14/12/2015</stp>
        <stp>[Bbg_Market_Data_CL.xlsm]data!R330C17</stp>
        <tr r="Q330" s="1"/>
      </tp>
      <tp t="s">
        <v>#N/A Requesting Data...</v>
        <stp/>
        <stp>##V3_BDHV12</stp>
        <stp>CL1 Comdty</stp>
        <stp>VOLATILITY_10D</stp>
        <stp>24/11/2015</stp>
        <stp>24/11/2015</stp>
        <stp>[Bbg_Market_Data_CL.xlsm]data!R343C17</stp>
        <tr r="Q343" s="1"/>
      </tp>
      <tp t="s">
        <v>#N/A Requesting Data...</v>
        <stp/>
        <stp>##V3_BDHV12</stp>
        <stp>CL1 Comdty</stp>
        <stp>VOLATILITY_10D</stp>
        <stp>23/06/2015</stp>
        <stp>23/06/2015</stp>
        <stp>[Bbg_Market_Data_CL.xlsm]data!R449C17</stp>
        <tr r="Q449" s="1"/>
      </tp>
      <tp t="s">
        <v>#N/A Requesting Data...</v>
        <stp/>
        <stp>##V3_BDHV12</stp>
        <stp>CL1 Comdty</stp>
        <stp>VOLATILITY_10D</stp>
        <stp>13/05/2015</stp>
        <stp>13/05/2015</stp>
        <stp>[Bbg_Market_Data_CL.xlsm]data!R477C17</stp>
        <tr r="Q477" s="1"/>
      </tp>
      <tp t="s">
        <v>#N/A Requesting Data...</v>
        <stp/>
        <stp>##V3_BDHV12</stp>
        <stp>CL1 Comdty</stp>
        <stp>VOLATILITY_30D</stp>
        <stp>26/02/2016</stp>
        <stp>26/02/2016</stp>
        <stp>[Bbg_Market_Data_CL.xlsm]data!R281C18</stp>
        <tr r="R281" s="1"/>
      </tp>
      <tp t="s">
        <v>#N/A Requesting Data...</v>
        <stp/>
        <stp>##V3_BDHV12</stp>
        <stp>CL1 Comdty</stp>
        <stp>VOLATILITY_30D</stp>
        <stp>23/04/2015</stp>
        <stp>23/04/2015</stp>
        <stp>[Bbg_Market_Data_CL.xlsm]data!R491C18</stp>
        <tr r="R491" s="1"/>
      </tp>
      <tp t="s">
        <v>#N/A Requesting Data...</v>
        <stp/>
        <stp>##V3_BDHV12</stp>
        <stp>CL1 Comdty</stp>
        <stp>VOLATILITY_10D</stp>
        <stp>16/03/2016</stp>
        <stp>16/03/2016</stp>
        <stp>[Bbg_Market_Data_CL.xlsm]data!R268C17</stp>
        <tr r="Q268" s="1"/>
      </tp>
      <tp t="s">
        <v>#N/A Requesting Data...</v>
        <stp/>
        <stp>##V3_BDHV12</stp>
        <stp>CL2 Comdty</stp>
        <stp>VOLATILITY_30D</stp>
        <stp>13/04/2015</stp>
        <stp>13/04/2015</stp>
        <stp>[Bbg_Market_Data_CL.xlsm]data!R499C18</stp>
        <tr r="R499" s="1"/>
      </tp>
      <tp t="s">
        <v>#N/A Requesting Data...</v>
        <stp/>
        <stp>##V3_BDHV12</stp>
        <stp>CL1 Comdty</stp>
        <stp>VOLATILITY_30D</stp>
        <stp>14/10/2015</stp>
        <stp>14/10/2015</stp>
        <stp>[Bbg_Market_Data_CL.xlsm]data!R371C18</stp>
        <tr r="R371" s="1"/>
      </tp>
      <tp t="s">
        <v>#N/A Requesting Data...</v>
        <stp/>
        <stp>##V3_BDHV12</stp>
        <stp>CL1 Comdty</stp>
        <stp>VOLATILITY_30D</stp>
        <stp>03/06/2015</stp>
        <stp>03/06/2015</stp>
        <stp>[Bbg_Market_Data_CL.xlsm]data!R463C18</stp>
        <tr r="R463" s="1"/>
      </tp>
      <tp t="s">
        <v>#N/A Requesting Data...</v>
        <stp/>
        <stp>##V3_BDHV12</stp>
        <stp>CL1 Comdty</stp>
        <stp>VOLATILITY_30D</stp>
        <stp>04/11/2015</stp>
        <stp>04/11/2015</stp>
        <stp>[Bbg_Market_Data_CL.xlsm]data!R356C18</stp>
        <tr r="R356" s="1"/>
      </tp>
      <tp>
        <v>38.56</v>
        <stp/>
        <stp>##V3_BDHV12</stp>
        <stp>CL2 Comdty</stp>
        <stp>VOLATILITY_30D</stp>
        <stp>04/12/2015</stp>
        <stp>04/12/2015</stp>
        <stp>[Bbg_Market_Data_CL.xlsm]data!R336C18</stp>
        <tr r="R336" s="1"/>
      </tp>
      <tp t="s">
        <v>#N/A Requesting Data...</v>
        <stp/>
        <stp>##V3_BDHV12</stp>
        <stp>CL2 Comdty</stp>
        <stp>VOLATILITY_30D</stp>
        <stp>23/07/2015</stp>
        <stp>23/07/2015</stp>
        <stp>[Bbg_Market_Data_CL.xlsm]data!R428C18</stp>
        <tr r="R428" s="1"/>
      </tp>
      <tp t="s">
        <v>#N/A Requesting Data...</v>
        <stp/>
        <stp>##V3_BDHV12</stp>
        <stp>CL1 Comdty</stp>
        <stp>VOLATILITY_30D</stp>
        <stp>13/07/2015</stp>
        <stp>13/07/2015</stp>
        <stp>[Bbg_Market_Data_CL.xlsm]data!R436C18</stp>
        <tr r="R436" s="1"/>
      </tp>
      <tp>
        <v>41.97</v>
        <stp/>
        <stp>##V3_BDHV12</stp>
        <stp>CL2 Comdty</stp>
        <stp>VOLATILITY_30D</stp>
        <stp>05/10/2016</stp>
        <stp>05/10/2016</stp>
        <stp>[Bbg_Market_Data_CL.xlsm]data!R128C18</stp>
        <tr r="R128" s="1"/>
      </tp>
      <tp>
        <v>31.19</v>
        <stp/>
        <stp>##V3_BDHV12</stp>
        <stp>CL2 Comdty</stp>
        <stp>VOLATILITY_30D</stp>
        <stp>15/11/2016</stp>
        <stp>15/11/2016</stp>
        <stp>[Bbg_Market_Data_CL.xlsm]data!R101C18</stp>
        <tr r="R101" s="1"/>
      </tp>
      <tp t="s">
        <v>#N/A Requesting Data...</v>
        <stp/>
        <stp>##V3_BDHV12</stp>
        <stp>CL1 Comdty</stp>
        <stp>VOLATILITY_30D</stp>
        <stp>07/01/2016</stp>
        <stp>07/01/2016</stp>
        <stp>[Bbg_Market_Data_CL.xlsm]data!R314C18</stp>
        <tr r="R314" s="1"/>
      </tp>
      <tp t="s">
        <v>#N/A Requesting Data...</v>
        <stp/>
        <stp>##V3_BDHV12</stp>
        <stp>CL1 Comdty</stp>
        <stp>VOLATILITY_10D</stp>
        <stp>14/11/2016</stp>
        <stp>14/11/2016</stp>
        <stp>[Bbg_Market_Data_CL.xlsm]data!R102C17</stp>
        <tr r="Q102" s="1"/>
      </tp>
      <tp>
        <v>50.49</v>
        <stp/>
        <stp>##V3_BDHV12</stp>
        <stp>CL2 Comdty</stp>
        <stp>VOLATILITY_10D</stp>
        <stp>06/01/2016</stp>
        <stp>06/01/2016</stp>
        <stp>[Bbg_Market_Data_CL.xlsm]data!R315C17</stp>
        <tr r="Q315" s="1"/>
      </tp>
      <tp t="s">
        <v>#N/A Requesting Data...</v>
        <stp/>
        <stp>##V3_BDHV12</stp>
        <stp>CL1 Comdty</stp>
        <stp>VOLATILITY_10D</stp>
        <stp>04/10/2016</stp>
        <stp>04/10/2016</stp>
        <stp>[Bbg_Market_Data_CL.xlsm]data!R129C17</stp>
        <tr r="Q129" s="1"/>
      </tp>
      <tp t="s">
        <v>#N/A Requesting Data...</v>
        <stp/>
        <stp>##V3_BDHV12</stp>
        <stp>CL1 Comdty</stp>
        <stp>VOLATILITY_10D</stp>
        <stp>22/07/2015</stp>
        <stp>22/07/2015</stp>
        <stp>[Bbg_Market_Data_CL.xlsm]data!R429C17</stp>
        <tr r="Q429" s="1"/>
      </tp>
      <tp>
        <v>47.94</v>
        <stp/>
        <stp>##V3_BDHV12</stp>
        <stp>CL2 Comdty</stp>
        <stp>VOLATILITY_10D</stp>
        <stp>05/11/2015</stp>
        <stp>05/11/2015</stp>
        <stp>[Bbg_Market_Data_CL.xlsm]data!R355C17</stp>
        <tr r="Q355" s="1"/>
      </tp>
      <tp t="s">
        <v>#N/A Requesting Data...</v>
        <stp/>
        <stp>##V3_BDHV12</stp>
        <stp>CL1 Comdty</stp>
        <stp>VOLATILITY_10D</stp>
        <stp>07/03/2016</stp>
        <stp>07/03/2016</stp>
        <stp>[Bbg_Market_Data_CL.xlsm]data!R275C17</stp>
        <tr r="Q275" s="1"/>
      </tp>
      <tp t="s">
        <v>#N/A Requesting Data...</v>
        <stp/>
        <stp>##V3_BDHV12</stp>
        <stp>CL2 Comdty</stp>
        <stp>VOLATILITY_10D</stp>
        <stp>02/06/2015</stp>
        <stp>02/06/2015</stp>
        <stp>[Bbg_Market_Data_CL.xlsm]data!R464C17</stp>
        <tr r="Q464" s="1"/>
      </tp>
      <tp>
        <v>46</v>
        <stp/>
        <stp>##V3_BDHV12</stp>
        <stp>CL2 Comdty</stp>
        <stp>VOLATILITY_10D</stp>
        <stp>15/10/2015</stp>
        <stp>15/10/2015</stp>
        <stp>[Bbg_Market_Data_CL.xlsm]data!R370C17</stp>
        <tr r="Q370" s="1"/>
      </tp>
      <tp t="s">
        <v>#N/A Requesting Data...</v>
        <stp/>
        <stp>##V3_BDHV12</stp>
        <stp>CL1 Comdty</stp>
        <stp>VOLATILITY_30D</stp>
        <stp>05/10/2015</stp>
        <stp>05/10/2015</stp>
        <stp>[Bbg_Market_Data_CL.xlsm]data!R377C18</stp>
        <tr r="R377" s="1"/>
      </tp>
      <tp>
        <v>60.01</v>
        <stp/>
        <stp>##V3_BDHV12</stp>
        <stp>CL2 Comdty</stp>
        <stp>VOLATILITY_30D</stp>
        <stp>17/03/2016</stp>
        <stp>17/03/2016</stp>
        <stp>[Bbg_Market_Data_CL.xlsm]data!R267C18</stp>
        <tr r="R267" s="1"/>
      </tp>
      <tp t="s">
        <v>#N/A Requesting Data...</v>
        <stp/>
        <stp>##V3_BDHV12</stp>
        <stp>CL2 Comdty</stp>
        <stp>VOLATILITY_10D</stp>
        <stp>22/04/2015</stp>
        <stp>22/04/2015</stp>
        <stp>[Bbg_Market_Data_CL.xlsm]data!R492C17</stp>
        <tr r="Q492" s="1"/>
      </tp>
      <tp t="s">
        <v>#N/A Requesting Data...</v>
        <stp/>
        <stp>##V3_BDHV12</stp>
        <stp>CL1 Comdty</stp>
        <stp>VOLATILITY_30D</stp>
        <stp>22/05/2015</stp>
        <stp>22/05/2015</stp>
        <stp>[Bbg_Market_Data_CL.xlsm]data!R470C18</stp>
        <tr r="R470" s="1"/>
      </tp>
      <tp t="s">
        <v>#N/A Requesting Data...</v>
        <stp/>
        <stp>##V3_BDHV12</stp>
        <stp>CL1 Comdty</stp>
        <stp>VOLATILITY_10D</stp>
        <stp>17/02/2016</stp>
        <stp>17/02/2016</stp>
        <stp>[Bbg_Market_Data_CL.xlsm]data!R288C17</stp>
        <tr r="Q288" s="1"/>
      </tp>
      <tp t="s">
        <v>#N/A Requesting Data...</v>
        <stp/>
        <stp>##V3_BDHV12</stp>
        <stp>CL2 Comdty</stp>
        <stp>VOLATILITY_30D</stp>
        <stp>12/05/2015</stp>
        <stp>12/05/2015</stp>
        <stp>[Bbg_Market_Data_CL.xlsm]data!R478C18</stp>
        <tr r="R478" s="1"/>
      </tp>
      <tp t="s">
        <v>#N/A Requesting Data...</v>
        <stp/>
        <stp>##V3_BDHV12</stp>
        <stp>CL1 Comdty</stp>
        <stp>VOLATILITY_30D</stp>
        <stp>02/07/2015</stp>
        <stp>02/07/2015</stp>
        <stp>[Bbg_Market_Data_CL.xlsm]data!R442C18</stp>
        <tr r="R442" s="1"/>
      </tp>
      <tp t="s">
        <v>#N/A Requesting Data...</v>
        <stp/>
        <stp>##V3_BDHV12</stp>
        <stp>CL1 Comdty</stp>
        <stp>VOLATILITY_30D</stp>
        <stp>12/06/2015</stp>
        <stp>12/06/2015</stp>
        <stp>[Bbg_Market_Data_CL.xlsm]data!R456C18</stp>
        <tr r="R456" s="1"/>
      </tp>
      <tp>
        <v>35.65</v>
        <stp/>
        <stp>##V3_BDHV12</stp>
        <stp>CL2 Comdty</stp>
        <stp>VOLATILITY_30D</stp>
        <stp>25/11/2015</stp>
        <stp>25/11/2015</stp>
        <stp>[Bbg_Market_Data_CL.xlsm]data!R342C18</stp>
        <tr r="R342" s="1"/>
      </tp>
      <tp t="s">
        <v>#N/A Requesting Data...</v>
        <stp/>
        <stp>##V3_BDHV12</stp>
        <stp>CL2 Comdty</stp>
        <stp>VOLATILITY_30D</stp>
        <stp>22/06/2015</stp>
        <stp>22/06/2015</stp>
        <stp>[Bbg_Market_Data_CL.xlsm]data!R450C18</stp>
        <tr r="R450" s="1"/>
      </tp>
      <tp>
        <v>38.64</v>
        <stp/>
        <stp>##V3_BDHV12</stp>
        <stp>CL2 Comdty</stp>
        <stp>VOLATILITY_30D</stp>
        <stp>14/10/2016</stp>
        <stp>14/10/2016</stp>
        <stp>[Bbg_Market_Data_CL.xlsm]data!R122C18</stp>
        <tr r="R122" s="1"/>
      </tp>
      <tp>
        <v>35.130000000000003</v>
        <stp/>
        <stp>##V3_BDHV12</stp>
        <stp>CL2 Comdty</stp>
        <stp>VOLATILITY_30D</stp>
        <stp>15/12/2015</stp>
        <stp>15/12/2015</stp>
        <stp>[Bbg_Market_Data_CL.xlsm]data!R329C18</stp>
        <tr r="R329" s="1"/>
      </tp>
      <tp>
        <v>61.07</v>
        <stp/>
        <stp>##V3_BDHV12</stp>
        <stp>CL2 Comdty</stp>
        <stp>VOLATILITY_30D</stp>
        <stp>26/01/2016</stp>
        <stp>26/01/2016</stp>
        <stp>[Bbg_Market_Data_CL.xlsm]data!R302C18</stp>
        <tr r="R302" s="1"/>
      </tp>
      <tp t="s">
        <v>#N/A Requesting Data...</v>
        <stp/>
        <stp>##V3_BDHV12</stp>
        <stp>CL1 Comdty</stp>
        <stp>VOLATILITY_30D</stp>
        <stp>24/10/2016</stp>
        <stp>24/10/2016</stp>
        <stp>[Bbg_Market_Data_CL.xlsm]data!R116C18</stp>
        <tr r="R116" s="1"/>
      </tp>
      <tp>
        <v>31.63</v>
        <stp/>
        <stp>##V3_BDHV12</stp>
        <stp>CL2 Comdty</stp>
        <stp>VOLATILITY_30D</stp>
        <stp>04/11/2016</stp>
        <stp>04/11/2016</stp>
        <stp>[Bbg_Market_Data_CL.xlsm]data!R107C18</stp>
        <tr r="R107" s="1"/>
      </tp>
      <tp t="s">
        <v>#N/A Requesting Data...</v>
        <stp/>
        <stp>##V3_BDHV12</stp>
        <stp>CL1 Comdty</stp>
        <stp>VOLATILITY_10D</stp>
        <stp>05/01/2016</stp>
        <stp>05/01/2016</stp>
        <stp>[Bbg_Market_Data_CL.xlsm]data!R316C17</stp>
        <tr r="Q316" s="1"/>
      </tp>
      <tp>
        <v>35.74</v>
        <stp/>
        <stp>##V3_BDHV12</stp>
        <stp>CL2 Comdty</stp>
        <stp>VOLATILITY_10D</stp>
        <stp>07/10/2016</stp>
        <stp>07/10/2016</stp>
        <stp>[Bbg_Market_Data_CL.xlsm]data!R126C17</stp>
        <tr r="Q126" s="1"/>
      </tp>
      <tp t="s">
        <v>#N/A Requesting Data...</v>
        <stp/>
        <stp>##V3_BDHV12</stp>
        <stp>CL2 Comdty</stp>
        <stp>VOLATILITY_10D</stp>
        <stp>21/07/2015</stp>
        <stp>21/07/2015</stp>
        <stp>[Bbg_Market_Data_CL.xlsm]data!R430C17</stp>
        <tr r="Q430" s="1"/>
      </tp>
      <tp t="s">
        <v>#N/A Requesting Data...</v>
        <stp/>
        <stp>##V3_BDHV12</stp>
        <stp>CL1 Comdty</stp>
        <stp>VOLATILITY_10D</stp>
        <stp>06/11/2015</stp>
        <stp>06/11/2015</stp>
        <stp>[Bbg_Market_Data_CL.xlsm]data!R354C17</stp>
        <tr r="Q354" s="1"/>
      </tp>
      <tp>
        <v>21.92</v>
        <stp/>
        <stp>##V3_BDHV12</stp>
        <stp>CL2 Comdty</stp>
        <stp>VOLATILITY_10D</stp>
        <stp>26/10/2015</stp>
        <stp>26/10/2015</stp>
        <stp>[Bbg_Market_Data_CL.xlsm]data!R363C17</stp>
        <tr r="Q363" s="1"/>
      </tp>
      <tp>
        <v>23.16</v>
        <stp/>
        <stp>##V3_BDHV12</stp>
        <stp>CL2 Comdty</stp>
        <stp>VOLATILITY_10D</stp>
        <stp>04/03/2016</stp>
        <stp>04/03/2016</stp>
        <stp>[Bbg_Market_Data_CL.xlsm]data!R276C17</stp>
        <tr r="Q276" s="1"/>
      </tp>
      <tp t="s">
        <v>#N/A Requesting Data...</v>
        <stp/>
        <stp>##V3_BDHV12</stp>
        <stp>CL1 Comdty</stp>
        <stp>VOLATILITY_10D</stp>
        <stp>16/10/2015</stp>
        <stp>16/10/2015</stp>
        <stp>[Bbg_Market_Data_CL.xlsm]data!R369C17</stp>
        <tr r="Q369" s="1"/>
      </tp>
      <tp t="s">
        <v>#N/A Requesting Data...</v>
        <stp/>
        <stp>##V3_BDHV12</stp>
        <stp>CL1 Comdty</stp>
        <stp>VOLATILITY_10D</stp>
        <stp>01/06/2015</stp>
        <stp>01/06/2015</stp>
        <stp>[Bbg_Market_Data_CL.xlsm]data!R465C17</stp>
        <tr r="Q465" s="1"/>
      </tp>
      <tp t="s">
        <v>#N/A Requesting Data...</v>
        <stp/>
        <stp>##V3_BDHV12</stp>
        <stp>CL1 Comdty</stp>
        <stp>VOLATILITY_30D</stp>
        <stp>04/02/2016</stp>
        <stp>04/02/2016</stp>
        <stp>[Bbg_Market_Data_CL.xlsm]data!R295C18</stp>
        <tr r="R295" s="1"/>
      </tp>
      <tp>
        <v>54.86</v>
        <stp/>
        <stp>##V3_BDHV12</stp>
        <stp>CL2 Comdty</stp>
        <stp>VOLATILITY_30D</stp>
        <stp>24/03/2016</stp>
        <stp>24/03/2016</stp>
        <stp>[Bbg_Market_Data_CL.xlsm]data!R262C18</stp>
        <tr r="R262" s="1"/>
      </tp>
      <tp>
        <v>62.37</v>
        <stp/>
        <stp>##V3_BDHV12</stp>
        <stp>CL2 Comdty</stp>
        <stp>VOLATILITY_30D</stp>
        <stp>06/10/2015</stp>
        <stp>06/10/2015</stp>
        <stp>[Bbg_Market_Data_CL.xlsm]data!R376C18</stp>
        <tr r="R376" s="1"/>
      </tp>
      <tp t="s">
        <v>#N/A Requesting Data...</v>
        <stp/>
        <stp>##V3_BDHV12</stp>
        <stp>CL1 Comdty</stp>
        <stp>VOLATILITY_10D</stp>
        <stp>21/04/2015</stp>
        <stp>21/04/2015</stp>
        <stp>[Bbg_Market_Data_CL.xlsm]data!R493C17</stp>
        <tr r="Q493" s="1"/>
      </tp>
      <tp t="s">
        <v>#N/A Requesting Data...</v>
        <stp/>
        <stp>##V3_BDHV12</stp>
        <stp>CL1 Comdty</stp>
        <stp>VOLATILITY_10D</stp>
        <stp>24/02/2016</stp>
        <stp>24/02/2016</stp>
        <stp>[Bbg_Market_Data_CL.xlsm]data!R283C17</stp>
        <tr r="Q283" s="1"/>
      </tp>
      <tp t="s">
        <v>#N/A Requesting Data...</v>
        <stp/>
        <stp>##V3_BDHV12</stp>
        <stp>CL1 Comdty</stp>
        <stp>VOLATILITY_30D</stp>
        <stp>14/03/2016</stp>
        <stp>14/03/2016</stp>
        <stp>[Bbg_Market_Data_CL.xlsm]data!R270C18</stp>
        <tr r="R270" s="1"/>
      </tp>
      <tp t="s">
        <v>#N/A Requesting Data...</v>
        <stp/>
        <stp>##V3_BDHV12</stp>
        <stp>CL2 Comdty</stp>
        <stp>VOLATILITY_10D</stp>
        <stp>01/05/2015</stp>
        <stp>01/05/2015</stp>
        <stp>[Bbg_Market_Data_CL.xlsm]data!R485C17</stp>
        <tr r="Q485" s="1"/>
      </tp>
      <tp t="s">
        <v>#N/A Requesting Data...</v>
        <stp/>
        <stp>##V3_BDHV12</stp>
        <stp>CL2 Comdty</stp>
        <stp>VOLATILITY_30D</stp>
        <stp>21/05/2015</stp>
        <stp>21/05/2015</stp>
        <stp>[Bbg_Market_Data_CL.xlsm]data!R471C18</stp>
        <tr r="R471" s="1"/>
      </tp>
      <tp t="s">
        <v>#N/A Requesting Data...</v>
        <stp/>
        <stp>##V3_BDHV12</stp>
        <stp>CL1 Comdty</stp>
        <stp>VOLATILITY_30D</stp>
        <stp>11/05/2015</stp>
        <stp>11/05/2015</stp>
        <stp>[Bbg_Market_Data_CL.xlsm]data!R479C18</stp>
        <tr r="R479" s="1"/>
      </tp>
      <tp t="s">
        <v>#N/A Requesting Data...</v>
        <stp/>
        <stp>##V3_BDHV12</stp>
        <stp>CL2 Comdty</stp>
        <stp>VOLATILITY_30D</stp>
        <stp>01/07/2015</stp>
        <stp>01/07/2015</stp>
        <stp>[Bbg_Market_Data_CL.xlsm]data!R443C18</stp>
        <tr r="R443" s="1"/>
      </tp>
      <tp t="s">
        <v>#N/A Requesting Data...</v>
        <stp/>
        <stp>##V3_BDHV12</stp>
        <stp>CL2 Comdty</stp>
        <stp>VOLATILITY_30D</stp>
        <stp>11/06/2015</stp>
        <stp>11/06/2015</stp>
        <stp>[Bbg_Market_Data_CL.xlsm]data!R457C18</stp>
        <tr r="R457" s="1"/>
      </tp>
      <tp>
        <v>37.15</v>
        <stp/>
        <stp>##V3_BDHV12</stp>
        <stp>CL2 Comdty</stp>
        <stp>VOLATILITY_30D</stp>
        <stp>16/11/2015</stp>
        <stp>16/11/2015</stp>
        <stp>[Bbg_Market_Data_CL.xlsm]data!R349C18</stp>
        <tr r="R349" s="1"/>
      </tp>
      <tp t="s">
        <v>#N/A Requesting Data...</v>
        <stp/>
        <stp>##V3_BDHV12</stp>
        <stp>CL1 Comdty</stp>
        <stp>VOLATILITY_30D</stp>
        <stp>31/07/2015</stp>
        <stp>31/07/2015</stp>
        <stp>[Bbg_Market_Data_CL.xlsm]data!R422C18</stp>
        <tr r="R422" s="1"/>
      </tp>
      <tp t="s">
        <v>#N/A Requesting Data...</v>
        <stp/>
        <stp>##V3_BDHV12</stp>
        <stp>CL1 Comdty</stp>
        <stp>VOLATILITY_30D</stp>
        <stp>17/10/2016</stp>
        <stp>17/10/2016</stp>
        <stp>[Bbg_Market_Data_CL.xlsm]data!R121C18</stp>
        <tr r="R121" s="1"/>
      </tp>
      <tp t="s">
        <v>#N/A Requesting Data...</v>
        <stp/>
        <stp>##V3_BDHV12</stp>
        <stp>CL1 Comdty</stp>
        <stp>VOLATILITY_30D</stp>
        <stp>16/12/2015</stp>
        <stp>16/12/2015</stp>
        <stp>[Bbg_Market_Data_CL.xlsm]data!R328C18</stp>
        <tr r="R328" s="1"/>
      </tp>
      <tp t="s">
        <v>#N/A Requesting Data...</v>
        <stp/>
        <stp>##V3_BDHV12</stp>
        <stp>CL1 Comdty</stp>
        <stp>VOLATILITY_30D</stp>
        <stp>25/01/2016</stp>
        <stp>25/01/2016</stp>
        <stp>[Bbg_Market_Data_CL.xlsm]data!R303C18</stp>
        <tr r="R303" s="1"/>
      </tp>
      <tp>
        <v>32.96</v>
        <stp/>
        <stp>##V3_BDHV12</stp>
        <stp>CL2 Comdty</stp>
        <stp>VOLATILITY_30D</stp>
        <stp>27/10/2016</stp>
        <stp>27/10/2016</stp>
        <stp>[Bbg_Market_Data_CL.xlsm]data!R113C18</stp>
        <tr r="R113" s="1"/>
      </tp>
      <tp t="s">
        <v>#N/A Requesting Data...</v>
        <stp/>
        <stp>##V3_BDHV12</stp>
        <stp>CL1 Comdty</stp>
        <stp>VOLATILITY_30D</stp>
        <stp>10/04/2015</stp>
        <stp>10/04/2015</stp>
        <stp>[Bbg_Market_Data_CL.xlsm]data!R500C18</stp>
        <tr r="R500" s="1"/>
      </tp>
      <tp>
        <v>44.1</v>
        <stp/>
        <stp>##V3_BDHV12</stp>
        <stp>CL2 Comdty</stp>
        <stp>VOLATILITY_30D</stp>
        <stp>15/01/2016</stp>
        <stp>15/01/2016</stp>
        <stp>[Bbg_Market_Data_CL.xlsm]data!R308C18</stp>
        <tr r="R308" s="1"/>
      </tp>
      <tp t="s">
        <v>#N/A Requesting Data...</v>
        <stp/>
        <stp>##V3_BDHV12</stp>
        <stp>CL1 Comdty</stp>
        <stp>VOLATILITY_30D</stp>
        <stp>07/11/2016</stp>
        <stp>07/11/2016</stp>
        <stp>[Bbg_Market_Data_CL.xlsm]data!R106C18</stp>
        <tr r="R106" s="1"/>
      </tp>
      <tp t="s">
        <v>#N/A Requesting Data...</v>
        <stp/>
        <stp>##V3_BDHV12</stp>
        <stp>CL1 Comdty</stp>
        <stp>VOLATILITY_10D</stp>
        <stp>26/10/2016</stp>
        <stp>26/10/2016</stp>
        <stp>[Bbg_Market_Data_CL.xlsm]data!R114C17</stp>
        <tr r="Q114" s="1"/>
      </tp>
      <tp t="s">
        <v>#N/A Requesting Data...</v>
        <stp/>
        <stp>##V3_BDHV12</stp>
        <stp>CL1 Comdty</stp>
        <stp>VOLATILITY_10D</stp>
        <stp>14/01/2016</stp>
        <stp>14/01/2016</stp>
        <stp>[Bbg_Market_Data_CL.xlsm]data!R309C17</stp>
        <tr r="Q309" s="1"/>
      </tp>
      <tp>
        <v>39.94</v>
        <stp/>
        <stp>##V3_BDHV12</stp>
        <stp>CL2 Comdty</stp>
        <stp>VOLATILITY_10D</stp>
        <stp>17/12/2015</stp>
        <stp>17/12/2015</stp>
        <stp>[Bbg_Market_Data_CL.xlsm]data!R327C17</stp>
        <tr r="Q327" s="1"/>
      </tp>
      <tp t="s">
        <v>#N/A Requesting Data...</v>
        <stp/>
        <stp>##V3_BDHV12</stp>
        <stp>CL2 Comdty</stp>
        <stp>VOLATILITY_10D</stp>
        <stp>30/07/2015</stp>
        <stp>30/07/2015</stp>
        <stp>[Bbg_Market_Data_CL.xlsm]data!R423C17</stp>
        <tr r="Q423" s="1"/>
      </tp>
      <tp>
        <v>33.880000000000003</v>
        <stp/>
        <stp>##V3_BDHV12</stp>
        <stp>CL2 Comdty</stp>
        <stp>VOLATILITY_10D</stp>
        <stp>27/11/2015</stp>
        <stp>27/11/2015</stp>
        <stp>[Bbg_Market_Data_CL.xlsm]data!R341C17</stp>
        <tr r="Q341" s="1"/>
      </tp>
      <tp t="s">
        <v>#N/A Requesting Data...</v>
        <stp/>
        <stp>##V3_BDHV12</stp>
        <stp>CL1 Comdty</stp>
        <stp>VOLATILITY_10D</stp>
        <stp>17/11/2015</stp>
        <stp>17/11/2015</stp>
        <stp>[Bbg_Market_Data_CL.xlsm]data!R348C17</stp>
        <tr r="Q348" s="1"/>
      </tp>
      <tp t="s">
        <v>#N/A Requesting Data...</v>
        <stp/>
        <stp>##V3_BDHV12</stp>
        <stp>CL1 Comdty</stp>
        <stp>VOLATILITY_10D</stp>
        <stp>10/06/2015</stp>
        <stp>10/06/2015</stp>
        <stp>[Bbg_Market_Data_CL.xlsm]data!R458C17</stp>
        <tr r="Q458" s="1"/>
      </tp>
      <tp>
        <v>75.97</v>
        <stp/>
        <stp>##V3_BDHV12</stp>
        <stp>CL2 Comdty</stp>
        <stp>VOLATILITY_30D</stp>
        <stp>25/02/2016</stp>
        <stp>25/02/2016</stp>
        <stp>[Bbg_Market_Data_CL.xlsm]data!R282C18</stp>
        <tr r="R282" s="1"/>
      </tp>
      <tp t="s">
        <v>#N/A Requesting Data...</v>
        <stp/>
        <stp>##V3_BDHV12</stp>
        <stp>CL1 Comdty</stp>
        <stp>VOLATILITY_10D</stp>
        <stp>20/05/2015</stp>
        <stp>20/05/2015</stp>
        <stp>[Bbg_Market_Data_CL.xlsm]data!R472C17</stp>
        <tr r="Q472" s="1"/>
      </tp>
      <tp t="s">
        <v>#N/A Requesting Data...</v>
        <stp/>
        <stp>##V3_BDHV12</stp>
        <stp>CL2 Comdty</stp>
        <stp>VOLATILITY_30D</stp>
        <stp>20/04/2015</stp>
        <stp>20/04/2015</stp>
        <stp>[Bbg_Market_Data_CL.xlsm]data!R494C18</stp>
        <tr r="R494" s="1"/>
      </tp>
      <tp t="s">
        <v>#N/A Requesting Data...</v>
        <stp/>
        <stp>##V3_BDHV12</stp>
        <stp>CL1 Comdty</stp>
        <stp>VOLATILITY_10D</stp>
        <stp>07/10/2015</stp>
        <stp>07/10/2015</stp>
        <stp>[Bbg_Market_Data_CL.xlsm]data!R375C17</stp>
        <tr r="Q375" s="1"/>
      </tp>
      <tp>
        <v>54.37</v>
        <stp/>
        <stp>##V3_BDHV12</stp>
        <stp>CL2 Comdty</stp>
        <stp>VOLATILITY_10D</stp>
        <stp>15/03/2016</stp>
        <stp>15/03/2016</stp>
        <stp>[Bbg_Market_Data_CL.xlsm]data!R269C17</stp>
        <tr r="Q269" s="1"/>
      </tp>
      <tp>
        <v>67.77</v>
        <stp/>
        <stp>##V3_BDHV12</stp>
        <stp>CL2 Comdty</stp>
        <stp>VOLATILITY_10D</stp>
        <stp>05/02/2016</stp>
        <stp>05/02/2016</stp>
        <stp>[Bbg_Market_Data_CL.xlsm]data!R294C17</stp>
        <tr r="Q294" s="1"/>
      </tp>
      <tp t="s">
        <v>#N/A Requesting Data...</v>
        <stp/>
        <stp>##V3_BDHV12</stp>
        <stp>CL1 Comdty</stp>
        <stp>VOLATILITY_10D</stp>
        <stp>30/04/2015</stp>
        <stp>30/04/2015</stp>
        <stp>[Bbg_Market_Data_CL.xlsm]data!R486C17</stp>
        <tr r="Q486" s="1"/>
      </tp>
      <tp t="s">
        <v>#N/A Requesting Data...</v>
        <stp/>
        <stp>##V3_BDHV12</stp>
        <stp>CL1 Comdty</stp>
        <stp>VOLATILITY_30D</stp>
        <stp>27/10/2015</stp>
        <stp>27/10/2015</stp>
        <stp>[Bbg_Market_Data_CL.xlsm]data!R362C18</stp>
        <tr r="R362" s="1"/>
      </tp>
      <tp t="s">
        <v>#N/A Requesting Data...</v>
        <stp/>
        <stp>##V3_BDHV12</stp>
        <stp>CL1 Comdty</stp>
        <stp>VOLATILITY_30D</stp>
        <stp>30/06/2015</stp>
        <stp>30/06/2015</stp>
        <stp>[Bbg_Market_Data_CL.xlsm]data!R444C18</stp>
        <tr r="R444" s="1"/>
      </tp>
      <tp t="s">
        <v>#N/A Requesting Data...</v>
        <stp/>
        <stp>##V3_BDHV12</stp>
        <stp>CL1 Comdty</stp>
        <stp>VOLATILITY_30D</stp>
        <stp>07/12/2015</stp>
        <stp>07/12/2015</stp>
        <stp>[Bbg_Market_Data_CL.xlsm]data!R335C18</stp>
        <tr r="R335" s="1"/>
      </tp>
      <tp t="s">
        <v>#N/A Requesting Data...</v>
        <stp/>
        <stp>##V3_BDHV12</stp>
        <stp>CL2 Comdty</stp>
        <stp>VOLATILITY_30D</stp>
        <stp>10/07/2015</stp>
        <stp>10/07/2015</stp>
        <stp>[Bbg_Market_Data_CL.xlsm]data!R437C18</stp>
        <tr r="R437" s="1"/>
      </tp>
      <tp t="s">
        <v>#N/A Requesting Data...</v>
        <stp/>
        <stp>##V3_BDHV12</stp>
        <stp>CL1 Comdty</stp>
        <stp>VOLATILITY_30D</stp>
        <stp>06/10/2016</stp>
        <stp>06/10/2016</stp>
        <stp>[Bbg_Market_Data_CL.xlsm]data!R127C18</stp>
        <tr r="R127" s="1"/>
      </tp>
      <tp t="s">
        <v>#N/A Requesting Data...</v>
        <stp/>
        <stp>##V3_BDHV12</stp>
        <stp>CL1 Comdty</stp>
        <stp>VOLATILITY_30D</stp>
        <stp>20/07/2015</stp>
        <stp>20/07/2015</stp>
        <stp>[Bbg_Market_Data_CL.xlsm]data!R431C18</stp>
        <tr r="R431" s="1"/>
      </tp>
      <tp t="s">
        <v>#N/A Requesting Data...</v>
        <stp/>
        <stp>##V3_BDHV12</stp>
        <stp>CL1 Comdty</stp>
        <stp>VOLATILITY_30D</stp>
        <stp>16/11/2016</stp>
        <stp>16/11/2016</stp>
        <stp>[Bbg_Market_Data_CL.xlsm]data!R100C18</stp>
        <tr r="R100" s="1"/>
      </tp>
      <tp>
        <v>41.12</v>
        <stp/>
        <stp>##V3_BDHV12</stp>
        <stp>CL2 Comdty</stp>
        <stp>VOLATILITY_30D</stp>
        <stp>04/01/2016</stp>
        <stp>04/01/2016</stp>
        <stp>[Bbg_Market_Data_CL.xlsm]data!R317C18</stp>
        <tr r="R317" s="1"/>
      </tp>
      <tp t="s">
        <v>#N/A Requesting Data...</v>
        <stp/>
        <stp>##V3_BDHV12</stp>
        <stp>CL1 Comdty</stp>
        <stp>VOLATILITY_10D</stp>
        <stp>02/06/2016</stp>
        <stp>02/06/2016</stp>
        <stp>[Bbg_Market_Data_CL.xlsm]data!R214C17</stp>
        <tr r="Q214" s="1"/>
      </tp>
      <tp>
        <v>37.32</v>
        <stp/>
        <stp>##V3_BDHV12</stp>
        <stp>CL2 Comdty</stp>
        <stp>VOLATILITY_10D</stp>
        <stp>02/05/2016</stp>
        <stp>02/05/2016</stp>
        <stp>[Bbg_Market_Data_CL.xlsm]data!R236C17</stp>
        <tr r="Q236" s="1"/>
      </tp>
      <tp>
        <v>57.49</v>
        <stp/>
        <stp>##V3_BDHV12</stp>
        <stp>CL2 Comdty</stp>
        <stp>VOLATILITY_10D</stp>
        <stp>12/04/2016</stp>
        <stp>12/04/2016</stp>
        <stp>[Bbg_Market_Data_CL.xlsm]data!R250C17</stp>
        <tr r="Q250" s="1"/>
      </tp>
      <tp t="s">
        <v>#N/A Requesting Data...</v>
        <stp/>
        <stp>##V3_BDHV12</stp>
        <stp>CL1 Comdty</stp>
        <stp>VOLATILITY_10D</stp>
        <stp>22/04/2016</stp>
        <stp>22/04/2016</stp>
        <stp>[Bbg_Market_Data_CL.xlsm]data!R242C17</stp>
        <tr r="Q242" s="1"/>
      </tp>
      <tp t="s">
        <v>#N/A Requesting Data...</v>
        <stp/>
        <stp>##V3_BDHV12</stp>
        <stp>CL1 Comdty</stp>
        <stp>VOLATILITY_30D</stp>
        <stp>01/07/2016</stp>
        <stp>01/07/2016</stp>
        <stp>[Bbg_Market_Data_CL.xlsm]data!R193C18</stp>
        <tr r="R193" s="1"/>
      </tp>
      <tp t="s">
        <v>#N/A Requesting Data...</v>
        <stp/>
        <stp>##V3_BDHV12</stp>
        <stp>CL1 Comdty</stp>
        <stp>VOLATILITY_10D</stp>
        <stp>21/07/2016</stp>
        <stp>21/07/2016</stp>
        <stp>[Bbg_Market_Data_CL.xlsm]data!R180C17</stp>
        <tr r="Q180" s="1"/>
      </tp>
      <tp>
        <v>54.17</v>
        <stp/>
        <stp>##V3_BDHV12</stp>
        <stp>CL2 Comdty</stp>
        <stp>VOLATILITY_10D</stp>
        <stp>11/07/2016</stp>
        <stp>11/07/2016</stp>
        <stp>[Bbg_Market_Data_CL.xlsm]data!R188C17</stp>
        <tr r="Q188" s="1"/>
      </tp>
      <tp t="s">
        <v>#N/A Requesting Data...</v>
        <stp/>
        <stp>##V3_BDHV12</stp>
        <stp>CL1 Comdty</stp>
        <stp>VOLATILITY_30D</stp>
        <stp>12/05/2016</stp>
        <stp>12/05/2016</stp>
        <stp>[Bbg_Market_Data_CL.xlsm]data!R228C18</stp>
        <tr r="R228" s="1"/>
      </tp>
      <tp t="s">
        <v>#N/A Requesting Data...</v>
        <stp/>
        <stp>##V3_BDHV12</stp>
        <stp>CL1 Comdty</stp>
        <stp>VOLATILITY_30D</stp>
        <stp>22/06/2016</stp>
        <stp>22/06/2016</stp>
        <stp>[Bbg_Market_Data_CL.xlsm]data!R200C18</stp>
        <tr r="R200" s="1"/>
      </tp>
      <tp t="s">
        <v>#N/A Requesting Data...</v>
        <stp/>
        <stp>##V3_BDHV12</stp>
        <stp>CL1 Comdty</stp>
        <stp>VOLATILITY_10D</stp>
        <stp>13/06/2016</stp>
        <stp>13/06/2016</stp>
        <stp>[Bbg_Market_Data_CL.xlsm]data!R207C17</stp>
        <tr r="Q207" s="1"/>
      </tp>
      <tp>
        <v>35.54</v>
        <stp/>
        <stp>##V3_BDHV12</stp>
        <stp>CL2 Comdty</stp>
        <stp>VOLATILITY_10D</stp>
        <stp>13/05/2016</stp>
        <stp>13/05/2016</stp>
        <stp>[Bbg_Market_Data_CL.xlsm]data!R227C17</stp>
        <tr r="Q227" s="1"/>
      </tp>
      <tp t="s">
        <v>#N/A Requesting Data...</v>
        <stp/>
        <stp>##V3_BDHV12</stp>
        <stp>CL1 Comdty</stp>
        <stp>VOLATILITY_10D</stp>
        <stp>23/05/2016</stp>
        <stp>23/05/2016</stp>
        <stp>[Bbg_Market_Data_CL.xlsm]data!R221C17</stp>
        <tr r="Q221" s="1"/>
      </tp>
      <tp>
        <v>45.18</v>
        <stp/>
        <stp>##V3_BDHV12</stp>
        <stp>CL2 Comdty</stp>
        <stp>VOLATILITY_30D</stp>
        <stp>20/07/2016</stp>
        <stp>20/07/2016</stp>
        <stp>[Bbg_Market_Data_CL.xlsm]data!R181C18</stp>
        <tr r="R181" s="1"/>
      </tp>
      <tp>
        <v>35.770000000000003</v>
        <stp/>
        <stp>##V3_BDHV12</stp>
        <stp>CL2 Comdty</stp>
        <stp>VOLATILITY_30D</stp>
        <stp>30/06/2016</stp>
        <stp>30/06/2016</stp>
        <stp>[Bbg_Market_Data_CL.xlsm]data!R194C18</stp>
        <tr r="R194" s="1"/>
      </tp>
      <tp t="s">
        <v>#N/A Requesting Data...</v>
        <stp/>
        <stp>##V3_BDHV12</stp>
        <stp>CL1 Comdty</stp>
        <stp>VOLATILITY_30D</stp>
        <stp>13/04/2016</stp>
        <stp>13/04/2016</stp>
        <stp>[Bbg_Market_Data_CL.xlsm]data!R249C18</stp>
        <tr r="R249" s="1"/>
      </tp>
      <tp t="s">
        <v>#N/A Requesting Data...</v>
        <stp/>
        <stp>##V3_BDHV12</stp>
        <stp>CL1 Comdty</stp>
        <stp>VOLATILITY_30D</stp>
        <stp>03/05/2016</stp>
        <stp>03/05/2016</stp>
        <stp>[Bbg_Market_Data_CL.xlsm]data!R235C18</stp>
        <tr r="R235" s="1"/>
      </tp>
      <tp>
        <v>28.17</v>
        <stp/>
        <stp>##V3_BDHV12</stp>
        <stp>CL2 Comdty</stp>
        <stp>VOLATILITY_30D</stp>
        <stp>03/06/2016</stp>
        <stp>03/06/2016</stp>
        <stp>[Bbg_Market_Data_CL.xlsm]data!R213C18</stp>
        <tr r="R213" s="1"/>
      </tp>
      <tp t="s">
        <v>#N/A Requesting Data...</v>
        <stp/>
        <stp>##V3_BDHV12</stp>
        <stp>CL1 Comdty</stp>
        <stp>VOLATILITY_10D</stp>
        <stp>20/06/2016</stp>
        <stp>20/06/2016</stp>
        <stp>[Bbg_Market_Data_CL.xlsm]data!R202C17</stp>
        <tr r="Q202" s="1"/>
      </tp>
      <tp>
        <v>26.61</v>
        <stp/>
        <stp>##V3_BDHV12</stp>
        <stp>CL2 Comdty</stp>
        <stp>VOLATILITY_10D</stp>
        <stp>10/06/2016</stp>
        <stp>10/06/2016</stp>
        <stp>[Bbg_Market_Data_CL.xlsm]data!R208C17</stp>
        <tr r="Q208" s="1"/>
      </tp>
      <tp t="s">
        <v>#N/A Requesting Data...</v>
        <stp/>
        <stp>##V3_BDHV12</stp>
        <stp>CL1 Comdty</stp>
        <stp>VOLATILITY_10D</stp>
        <stp>10/05/2016</stp>
        <stp>10/05/2016</stp>
        <stp>[Bbg_Market_Data_CL.xlsm]data!R230C17</stp>
        <tr r="Q230" s="1"/>
      </tp>
      <tp>
        <v>29.04</v>
        <stp/>
        <stp>##V3_BDHV12</stp>
        <stp>CL2 Comdty</stp>
        <stp>VOLATILITY_10D</stp>
        <stp>20/05/2016</stp>
        <stp>20/05/2016</stp>
        <stp>[Bbg_Market_Data_CL.xlsm]data!R222C17</stp>
        <tr r="Q222" s="1"/>
      </tp>
      <tp>
        <v>45.74</v>
        <stp/>
        <stp>##V3_BDHV12</stp>
        <stp>CL2 Comdty</stp>
        <stp>VOLATILITY_30D</stp>
        <stp>13/07/2016</stp>
        <stp>13/07/2016</stp>
        <stp>[Bbg_Market_Data_CL.xlsm]data!R186C18</stp>
        <tr r="R186" s="1"/>
      </tp>
      <tp>
        <v>36.979999999999997</v>
        <stp/>
        <stp>##V3_BDHV12</stp>
        <stp>CL2 Comdty</stp>
        <stp>VOLATILITY_10D</stp>
        <stp>23/06/2016</stp>
        <stp>23/06/2016</stp>
        <stp>[Bbg_Market_Data_CL.xlsm]data!R199C17</stp>
        <tr r="Q199" s="1"/>
      </tp>
      <tp t="s">
        <v>#N/A Requesting Data...</v>
        <stp/>
        <stp>##V3_BDHV12</stp>
        <stp>CL1 Comdty</stp>
        <stp>VOLATILITY_30D</stp>
        <stp>20/04/2016</stp>
        <stp>20/04/2016</stp>
        <stp>[Bbg_Market_Data_CL.xlsm]data!R244C18</stp>
        <tr r="R244" s="1"/>
      </tp>
      <tp>
        <v>12.51</v>
        <stp/>
        <stp>##V3_BDHV12</stp>
        <stp>CL2 Comdty</stp>
        <stp>VOLATILITY_10D</stp>
        <stp>01/06/2016</stp>
        <stp>01/06/2016</stp>
        <stp>[Bbg_Market_Data_CL.xlsm]data!R215C17</stp>
        <tr r="Q215" s="1"/>
      </tp>
      <tp>
        <v>12.87</v>
        <stp/>
        <stp>##V3_BDHV12</stp>
        <stp>CL2 Comdty</stp>
        <stp>VOLATILITY_10D</stp>
        <stp>31/05/2016</stp>
        <stp>31/05/2016</stp>
        <stp>[Bbg_Market_Data_CL.xlsm]data!R216C17</stp>
        <tr r="Q216" s="1"/>
      </tp>
      <tp t="s">
        <v>#N/A Requesting Data...</v>
        <stp/>
        <stp>##V3_BDHV12</stp>
        <stp>CL1 Comdty</stp>
        <stp>VOLATILITY_10D</stp>
        <stp>11/04/2016</stp>
        <stp>11/04/2016</stp>
        <stp>[Bbg_Market_Data_CL.xlsm]data!R251C17</stp>
        <tr r="Q251" s="1"/>
      </tp>
      <tp>
        <v>39.72</v>
        <stp/>
        <stp>##V3_BDHV12</stp>
        <stp>CL2 Comdty</stp>
        <stp>VOLATILITY_10D</stp>
        <stp>21/04/2016</stp>
        <stp>21/04/2016</stp>
        <stp>[Bbg_Market_Data_CL.xlsm]data!R243C17</stp>
        <tr r="Q243" s="1"/>
      </tp>
      <tp>
        <v>40.68</v>
        <stp/>
        <stp>##V3_BDHV12</stp>
        <stp>CL2 Comdty</stp>
        <stp>VOLATILITY_10D</stp>
        <stp>22/07/2016</stp>
        <stp>22/07/2016</stp>
        <stp>[Bbg_Market_Data_CL.xlsm]data!R179C17</stp>
        <tr r="Q179" s="1"/>
      </tp>
      <tp t="s">
        <v>#N/A Requesting Data...</v>
        <stp/>
        <stp>##V3_BDHV12</stp>
        <stp>CL1 Comdty</stp>
        <stp>VOLATILITY_10D</stp>
        <stp>12/07/2016</stp>
        <stp>12/07/2016</stp>
        <stp>[Bbg_Market_Data_CL.xlsm]data!R187C17</stp>
        <tr r="Q187" s="1"/>
      </tp>
      <tp>
        <v>44.23</v>
        <stp/>
        <stp>##V3_BDHV12</stp>
        <stp>CL2 Comdty</stp>
        <stp>VOLATILITY_30D</stp>
        <stp>01/04/2016</stp>
        <stp>01/04/2016</stp>
        <stp>[Bbg_Market_Data_CL.xlsm]data!R257C18</stp>
        <tr r="R257" s="1"/>
      </tp>
      <tp>
        <v>43.65</v>
        <stp/>
        <stp>##V3_BDHV12</stp>
        <stp>CL2 Comdty</stp>
        <stp>VOLATILITY_30D</stp>
        <stp>11/05/2016</stp>
        <stp>11/05/2016</stp>
        <stp>[Bbg_Market_Data_CL.xlsm]data!R229C18</stp>
        <tr r="R229" s="1"/>
      </tp>
      <tp>
        <v>28.78</v>
        <stp/>
        <stp>##V3_BDHV12</stp>
        <stp>CL2 Comdty</stp>
        <stp>VOLATILITY_30D</stp>
        <stp>21/06/2016</stp>
        <stp>21/06/2016</stp>
        <stp>[Bbg_Market_Data_CL.xlsm]data!R201C18</stp>
        <tr r="R201" s="1"/>
      </tp>
      <tp t="s">
        <v>#N/A Requesting Data...</v>
        <stp/>
        <stp>##V3_BDHV12</stp>
        <stp>CL1 Comdty</stp>
        <stp>PX_LOW</stp>
        <stp>03/11/2016</stp>
        <stp>03/11/2016</stp>
        <stp>[Bbg_Market_Data_CL.xlsm]data!R108C7</stp>
        <tr r="G108" s="1"/>
      </tp>
      <tp>
        <v>38.99</v>
        <stp/>
        <stp>##V3_BDHV12</stp>
        <stp>CL2 Comdty</stp>
        <stp>PX_LOW</stp>
        <stp>31/03/2016</stp>
        <stp>31/03/2016</stp>
        <stp>[Bbg_Market_Data_CL.xlsm]data!R258C7</stp>
        <tr r="G258" s="1"/>
      </tp>
      <tp t="s">
        <v>#N/A Requesting Data...</v>
        <stp/>
        <stp>##V3_BDHV12</stp>
        <stp>CL1 Comdty</stp>
        <stp>PX_LOW</stp>
        <stp>01/10/2015</stp>
        <stp>01/10/2015</stp>
        <stp>[Bbg_Market_Data_CL.xlsm]data!R379C7</stp>
        <tr r="G379" s="1"/>
      </tp>
      <tp>
        <v>43.66</v>
        <stp/>
        <stp>##V3_BDHV12</stp>
        <stp>CL2 Comdty</stp>
        <stp>PX_LOW</stp>
        <stp>19/09/2016</stp>
        <stp>19/09/2016</stp>
        <stp>[Bbg_Market_Data_CL.xlsm]data!R140C7</stp>
        <tr r="G140" s="1"/>
      </tp>
      <tp>
        <v>47.28</v>
        <stp/>
        <stp>##V3_BDHV12</stp>
        <stp>CL2 Comdty</stp>
        <stp>PX_LOW</stp>
        <stp>18/08/2016</stp>
        <stp>18/08/2016</stp>
        <stp>[Bbg_Market_Data_CL.xlsm]data!R161C7</stp>
        <tr r="G161" s="1"/>
      </tp>
      <tp>
        <v>42.6</v>
        <stp/>
        <stp>##V3_BDHV12</stp>
        <stp>CL2 Comdty</stp>
        <stp>PX_LOW</stp>
        <stp>28/08/2015</stp>
        <stp>28/08/2015</stp>
        <stp>[Bbg_Market_Data_CL.xlsm]data!R402C7</stp>
        <tr r="G402" s="1"/>
      </tp>
      <tp>
        <v>46.45</v>
        <stp/>
        <stp>##V3_BDHV12</stp>
        <stp>CL2 Comdty</stp>
        <stp>PX_LOW</stp>
        <stp>02/11/2015</stp>
        <stp>02/11/2015</stp>
        <stp>[Bbg_Market_Data_CL.xlsm]data!R358C7</stp>
        <tr r="G358" s="1"/>
      </tp>
      <tp t="s">
        <v>#N/A Requesting Data...</v>
        <stp/>
        <stp>##V3_BDHV12</stp>
        <stp>CL1 Comdty</stp>
        <stp>PX_LOW</stp>
        <stp>31/12/2015</stp>
        <stp>31/12/2015</stp>
        <stp>[Bbg_Market_Data_CL.xlsm]data!R318C7</stp>
        <tr r="G318" s="1"/>
      </tp>
      <tp t="s">
        <v>#N/A Requesting Data...</v>
        <stp/>
        <stp>##V3_BDHV12</stp>
        <stp>CL1 Comdty</stp>
        <stp>PX_LOW</stp>
        <stp>28/09/2016</stp>
        <stp>28/09/2016</stp>
        <stp>[Bbg_Market_Data_CL.xlsm]data!R133C7</stp>
        <tr r="G133" s="1"/>
      </tp>
      <tp t="s">
        <v>#N/A Requesting Data...</v>
        <stp/>
        <stp>##V3_BDHV12</stp>
        <stp>CL1 Comdty</stp>
        <stp>PX_LOW</stp>
        <stp>02/11/2015</stp>
        <stp>02/11/2015</stp>
        <stp>[Bbg_Market_Data_CL.xlsm]data!R358C7</stp>
        <tr r="G358" s="1"/>
      </tp>
      <tp>
        <v>37.28</v>
        <stp/>
        <stp>##V3_BDHV12</stp>
        <stp>CL2 Comdty</stp>
        <stp>PX_LOW</stp>
        <stp>31/12/2015</stp>
        <stp>31/12/2015</stp>
        <stp>[Bbg_Market_Data_CL.xlsm]data!R318C7</stp>
        <tr r="G318" s="1"/>
      </tp>
      <tp>
        <v>44.94</v>
        <stp/>
        <stp>##V3_BDHV12</stp>
        <stp>CL2 Comdty</stp>
        <stp>PX_LOW</stp>
        <stp>28/09/2016</stp>
        <stp>28/09/2016</stp>
        <stp>[Bbg_Market_Data_CL.xlsm]data!R133C7</stp>
        <tr r="G133" s="1"/>
      </tp>
      <tp>
        <v>44.96</v>
        <stp/>
        <stp>##V3_BDHV12</stp>
        <stp>CL2 Comdty</stp>
        <stp>PX_LOW</stp>
        <stp>03/11/2016</stp>
        <stp>03/11/2016</stp>
        <stp>[Bbg_Market_Data_CL.xlsm]data!R108C7</stp>
        <tr r="G108" s="1"/>
      </tp>
      <tp t="s">
        <v>#N/A Requesting Data...</v>
        <stp/>
        <stp>##V3_BDHV12</stp>
        <stp>CL1 Comdty</stp>
        <stp>PX_LOW</stp>
        <stp>31/03/2016</stp>
        <stp>31/03/2016</stp>
        <stp>[Bbg_Market_Data_CL.xlsm]data!R258C7</stp>
        <tr r="G258" s="1"/>
      </tp>
      <tp>
        <v>45.11</v>
        <stp/>
        <stp>##V3_BDHV12</stp>
        <stp>CL2 Comdty</stp>
        <stp>PX_LOW</stp>
        <stp>01/10/2015</stp>
        <stp>01/10/2015</stp>
        <stp>[Bbg_Market_Data_CL.xlsm]data!R379C7</stp>
        <tr r="G379" s="1"/>
      </tp>
      <tp t="s">
        <v>#N/A Requesting Data...</v>
        <stp/>
        <stp>##V3_BDHV12</stp>
        <stp>CL1 Comdty</stp>
        <stp>PX_LOW</stp>
        <stp>19/09/2016</stp>
        <stp>19/09/2016</stp>
        <stp>[Bbg_Market_Data_CL.xlsm]data!R140C7</stp>
        <tr r="G140" s="1"/>
      </tp>
      <tp t="s">
        <v>#N/A Requesting Data...</v>
        <stp/>
        <stp>##V3_BDHV12</stp>
        <stp>CL1 Comdty</stp>
        <stp>PX_LOW</stp>
        <stp>18/08/2016</stp>
        <stp>18/08/2016</stp>
        <stp>[Bbg_Market_Data_CL.xlsm]data!R161C7</stp>
        <tr r="G161" s="1"/>
      </tp>
      <tp t="s">
        <v>#N/A Requesting Data...</v>
        <stp/>
        <stp>##V3_BDHV12</stp>
        <stp>CL1 Comdty</stp>
        <stp>PX_LOW</stp>
        <stp>28/08/2015</stp>
        <stp>28/08/2015</stp>
        <stp>[Bbg_Market_Data_CL.xlsm]data!R402C7</stp>
        <tr r="G402" s="1"/>
      </tp>
      <tp>
        <v>30.06</v>
        <stp/>
        <stp>##V3_BDHV12</stp>
        <stp>CL2 Comdty</stp>
        <stp>PX_LOW</stp>
        <stp>15/01/2016</stp>
        <stp>15/01/2016</stp>
        <stp>[Bbg_Market_Data_CL.xlsm]data!R308C7</stp>
        <tr r="G308" s="1"/>
      </tp>
      <tp>
        <v>41.21</v>
        <stp/>
        <stp>##V3_BDHV12</stp>
        <stp>CL2 Comdty</stp>
        <stp>PX_LOW</stp>
        <stp>16/11/2015</stp>
        <stp>16/11/2015</stp>
        <stp>[Bbg_Market_Data_CL.xlsm]data!R349C7</stp>
        <tr r="G349" s="1"/>
      </tp>
      <tp>
        <v>48.85</v>
        <stp/>
        <stp>##V3_BDHV12</stp>
        <stp>CL2 Comdty</stp>
        <stp>PX_LOW</stp>
        <stp>04/10/2016</stp>
        <stp>04/10/2016</stp>
        <stp>[Bbg_Market_Data_CL.xlsm]data!R129C7</stp>
        <tr r="G129" s="1"/>
      </tp>
      <tp t="s">
        <v>#N/A Requesting Data...</v>
        <stp/>
        <stp>##V3_BDHV12</stp>
        <stp>CL1 Comdty</stp>
        <stp>PX_LOW</stp>
        <stp>04/10/2016</stp>
        <stp>04/10/2016</stp>
        <stp>[Bbg_Market_Data_CL.xlsm]data!R129C7</stp>
        <tr r="G129" s="1"/>
      </tp>
      <tp t="s">
        <v>#N/A Requesting Data...</v>
        <stp/>
        <stp>##V3_BDHV12</stp>
        <stp>CL1 Comdty</stp>
        <stp>PX_LOW</stp>
        <stp>15/01/2016</stp>
        <stp>15/01/2016</stp>
        <stp>[Bbg_Market_Data_CL.xlsm]data!R308C7</stp>
        <tr r="G308" s="1"/>
      </tp>
      <tp t="s">
        <v>#N/A Requesting Data...</v>
        <stp/>
        <stp>##V3_BDHV12</stp>
        <stp>CL1 Comdty</stp>
        <stp>PX_LOW</stp>
        <stp>16/11/2015</stp>
        <stp>16/11/2015</stp>
        <stp>[Bbg_Market_Data_CL.xlsm]data!R349C7</stp>
        <tr r="G349" s="1"/>
      </tp>
      <tp>
        <v>43.59</v>
        <stp/>
        <stp>##V3_BDHV12</stp>
        <stp>CL2 Comdty</stp>
        <stp>PX_LOW</stp>
        <stp>01/09/2016</stp>
        <stp>01/09/2016</stp>
        <stp>[Bbg_Market_Data_CL.xlsm]data!R151C7</stp>
        <tr r="G151" s="1"/>
      </tp>
      <tp t="s">
        <v>#N/A Requesting Data...</v>
        <stp/>
        <stp>##V3_BDHV12</stp>
        <stp>CL1 Comdty</stp>
        <stp>PX_LOW</stp>
        <stp>30/08/2016</stp>
        <stp>30/08/2016</stp>
        <stp>[Bbg_Market_Data_CL.xlsm]data!R153C7</stp>
        <tr r="G153" s="1"/>
      </tp>
      <tp t="s">
        <v>#N/A Requesting Data...</v>
        <stp/>
        <stp>##V3_BDHV12</stp>
        <stp>CL1 Comdty</stp>
        <stp>PX_LOW</stp>
        <stp>19/10/2015</stp>
        <stp>19/10/2015</stp>
        <stp>[Bbg_Market_Data_CL.xlsm]data!R368C7</stp>
        <tr r="G368" s="1"/>
      </tp>
      <tp t="s">
        <v>#N/A Requesting Data...</v>
        <stp/>
        <stp>##V3_BDHV12</stp>
        <stp>CL1 Comdty</stp>
        <stp>PX_LOW</stp>
        <stp>01/09/2016</stp>
        <stp>01/09/2016</stp>
        <stp>[Bbg_Market_Data_CL.xlsm]data!R151C7</stp>
        <tr r="G151" s="1"/>
      </tp>
      <tp>
        <v>46.84</v>
        <stp/>
        <stp>##V3_BDHV12</stp>
        <stp>CL2 Comdty</stp>
        <stp>PX_LOW</stp>
        <stp>30/08/2016</stp>
        <stp>30/08/2016</stp>
        <stp>[Bbg_Market_Data_CL.xlsm]data!R153C7</stp>
        <tr r="G153" s="1"/>
      </tp>
      <tp>
        <v>46.22</v>
        <stp/>
        <stp>##V3_BDHV12</stp>
        <stp>CL2 Comdty</stp>
        <stp>PX_LOW</stp>
        <stp>19/10/2015</stp>
        <stp>19/10/2015</stp>
        <stp>[Bbg_Market_Data_CL.xlsm]data!R368C7</stp>
        <tr r="G368" s="1"/>
      </tp>
      <tp>
        <v>42.27</v>
        <stp/>
        <stp>##V3_BDHV12</stp>
        <stp>CL2 Comdty</stp>
        <stp>PX_LOW</stp>
        <stp>17/08/2015</stp>
        <stp>17/08/2015</stp>
        <stp>[Bbg_Market_Data_CL.xlsm]data!R411C7</stp>
        <tr r="G411" s="1"/>
      </tp>
      <tp>
        <v>45.2</v>
        <stp/>
        <stp>##V3_BDHV12</stp>
        <stp>CL2 Comdty</stp>
        <stp>PX_LOW</stp>
        <stp>16/09/2015</stp>
        <stp>16/09/2015</stp>
        <stp>[Bbg_Market_Data_CL.xlsm]data!R390C7</stp>
        <tr r="G390" s="1"/>
      </tp>
      <tp>
        <v>45.42</v>
        <stp/>
        <stp>##V3_BDHV12</stp>
        <stp>CL2 Comdty</stp>
        <stp>PX_LOW</stp>
        <stp>25/09/2015</stp>
        <stp>25/09/2015</stp>
        <stp>[Bbg_Market_Data_CL.xlsm]data!R383C7</stp>
        <tr r="G383" s="1"/>
      </tp>
      <tp t="s">
        <v>#N/A Requesting Data...</v>
        <stp/>
        <stp>##V3_BDHV12</stp>
        <stp>CL1 Comdty</stp>
        <stp>PX_LOW</stp>
        <stp>04/08/2015</stp>
        <stp>04/08/2015</stp>
        <stp>[Bbg_Market_Data_CL.xlsm]data!R420C7</stp>
        <tr r="G420" s="1"/>
      </tp>
      <tp>
        <v>41.16</v>
        <stp/>
        <stp>##V3_BDHV12</stp>
        <stp>CL2 Comdty</stp>
        <stp>PX_LOW</stp>
        <stp>04/08/2016</stp>
        <stp>04/08/2016</stp>
        <stp>[Bbg_Market_Data_CL.xlsm]data!R170C7</stp>
        <tr r="G170" s="1"/>
      </tp>
      <tp t="s">
        <v>#N/A Requesting Data...</v>
        <stp/>
        <stp>##V3_BDHV12</stp>
        <stp>CL2 Comdty</stp>
        <stp>PX_LOW</stp>
        <stp>04/08/2015</stp>
        <stp>04/08/2015</stp>
        <stp>[Bbg_Market_Data_CL.xlsm]data!R420C7</stp>
        <tr r="G420" s="1"/>
      </tp>
      <tp t="s">
        <v>#N/A Requesting Data...</v>
        <stp/>
        <stp>##V3_BDHV12</stp>
        <stp>CL1 Comdty</stp>
        <stp>PX_LOW</stp>
        <stp>04/08/2016</stp>
        <stp>04/08/2016</stp>
        <stp>[Bbg_Market_Data_CL.xlsm]data!R170C7</stp>
        <tr r="G170" s="1"/>
      </tp>
      <tp t="s">
        <v>#N/A Requesting Data...</v>
        <stp/>
        <stp>##V3_BDHV12</stp>
        <stp>CL1 Comdty</stp>
        <stp>PX_LOW</stp>
        <stp>17/08/2015</stp>
        <stp>17/08/2015</stp>
        <stp>[Bbg_Market_Data_CL.xlsm]data!R411C7</stp>
        <tr r="G411" s="1"/>
      </tp>
      <tp t="s">
        <v>#N/A Requesting Data...</v>
        <stp/>
        <stp>##V3_BDHV12</stp>
        <stp>CL1 Comdty</stp>
        <stp>PX_LOW</stp>
        <stp>16/09/2015</stp>
        <stp>16/09/2015</stp>
        <stp>[Bbg_Market_Data_CL.xlsm]data!R390C7</stp>
        <tr r="G390" s="1"/>
      </tp>
      <tp t="s">
        <v>#N/A Requesting Data...</v>
        <stp/>
        <stp>##V3_BDHV12</stp>
        <stp>CL1 Comdty</stp>
        <stp>PX_LOW</stp>
        <stp>25/09/2015</stp>
        <stp>25/09/2015</stp>
        <stp>[Bbg_Market_Data_CL.xlsm]data!R383C7</stp>
        <tr r="G383" s="1"/>
      </tp>
      <tp t="s">
        <v>#N/A Requesting Data...</v>
        <stp/>
        <stp>##V3_BDHV12</stp>
        <stp>CL1 Comdty</stp>
        <stp>VOLATILITY_10D</stp>
        <stp>19/08/2015</stp>
        <stp>19/08/2015</stp>
        <stp>[Bbg_Market_Data_CL.xlsm]data!R409C17</stp>
        <tr r="Q409" s="1"/>
      </tp>
      <tp t="s">
        <v>#N/A Requesting Data...</v>
        <stp/>
        <stp>##V3_BDHV12</stp>
        <stp>CL1 Comdty</stp>
        <stp>VOLATILITY_30D</stp>
        <stp>28/08/2015</stp>
        <stp>28/08/2015</stp>
        <stp>[Bbg_Market_Data_CL.xlsm]data!R402C18</stp>
        <tr r="R402" s="1"/>
      </tp>
      <tp>
        <v>29.41</v>
        <stp/>
        <stp>##V3_BDHV12</stp>
        <stp>CL2 Comdty</stp>
        <stp>VOLATILITY_30D</stp>
        <stp>18/08/2015</stp>
        <stp>18/08/2015</stp>
        <stp>[Bbg_Market_Data_CL.xlsm]data!R410C18</stp>
        <tr r="R410" s="1"/>
      </tp>
      <tp t="s">
        <v>#N/A Requesting Data...</v>
        <stp/>
        <stp>##V3_BDHV12</stp>
        <stp>CL1 Comdty</stp>
        <stp>VOLATILITY_10D</stp>
        <stp>29/08/2016</stp>
        <stp>29/08/2016</stp>
        <stp>[Bbg_Market_Data_CL.xlsm]data!R154C17</stp>
        <tr r="Q154" s="1"/>
      </tp>
      <tp>
        <v>48.96</v>
        <stp/>
        <stp>##V3_BDHV12</stp>
        <stp>CL2 Comdty</stp>
        <stp>VOLATILITY_10D</stp>
        <stp>09/09/2016</stp>
        <stp>09/09/2016</stp>
        <stp>[Bbg_Market_Data_CL.xlsm]data!R146C17</stp>
        <tr r="Q146" s="1"/>
      </tp>
      <tp>
        <v>31.98</v>
        <stp/>
        <stp>##V3_BDHV12</stp>
        <stp>CL2 Comdty</stp>
        <stp>VOLATILITY_10D</stp>
        <stp>19/08/2016</stp>
        <stp>19/08/2016</stp>
        <stp>[Bbg_Market_Data_CL.xlsm]data!R160C17</stp>
        <tr r="Q160" s="1"/>
      </tp>
      <tp>
        <v>60.89</v>
        <stp/>
        <stp>##V3_BDHV12</stp>
        <stp>CL2 Comdty</stp>
        <stp>VOLATILITY_30D</stp>
        <stp>08/09/2015</stp>
        <stp>08/09/2015</stp>
        <stp>[Bbg_Market_Data_CL.xlsm]data!R396C18</stp>
        <tr r="R396" s="1"/>
      </tp>
      <tp t="s">
        <v>#N/A Requesting Data...</v>
        <stp/>
        <stp>##V3_BDHV12</stp>
        <stp>CL1 Comdty</stp>
        <stp>VOLATILITY_30D</stp>
        <stp>09/08/2016</stp>
        <stp>09/08/2016</stp>
        <stp>[Bbg_Market_Data_CL.xlsm]data!R168C18</stp>
        <tr r="R168" s="1"/>
      </tp>
      <tp t="s">
        <v>#N/A Requesting Data...</v>
        <stp/>
        <stp>##V3_BDHV12</stp>
        <stp>CL1 Comdty</stp>
        <stp>VOLATILITY_10D</stp>
        <stp>18/09/2015</stp>
        <stp>18/09/2015</stp>
        <stp>[Bbg_Market_Data_CL.xlsm]data!R388C17</stp>
        <tr r="Q388" s="1"/>
      </tp>
      <tp>
        <v>54.32</v>
        <stp/>
        <stp>##V3_BDHV12</stp>
        <stp>CL2 Comdty</stp>
        <stp>VOLATILITY_10D</stp>
        <stp>28/09/2015</stp>
        <stp>28/09/2015</stp>
        <stp>[Bbg_Market_Data_CL.xlsm]data!R382C17</stp>
        <tr r="Q382" s="1"/>
      </tp>
      <tp t="s">
        <v>#N/A Requesting Data...</v>
        <stp/>
        <stp>##V3_BDHV12</stp>
        <stp>CL1 Comdty</stp>
        <stp>VOLATILITY_30D</stp>
        <stp>19/09/2016</stp>
        <stp>19/09/2016</stp>
        <stp>[Bbg_Market_Data_CL.xlsm]data!R140C18</stp>
        <tr r="R140" s="1"/>
      </tp>
      <tp>
        <v>44.3</v>
        <stp/>
        <stp>##V3_BDHV12</stp>
        <stp>CL2 Comdty</stp>
        <stp>VOLATILITY_30D</stp>
        <stp>29/09/2016</stp>
        <stp>29/09/2016</stp>
        <stp>[Bbg_Market_Data_CL.xlsm]data!R132C18</stp>
        <tr r="R132" s="1"/>
      </tp>
      <tp t="s">
        <v>#N/A Requesting Data...</v>
        <stp/>
        <stp>##V3_BDHV12</stp>
        <stp>CL1 Comdty</stp>
        <stp>VOLATILITY_10D</stp>
        <stp>28/09/2016</stp>
        <stp>28/09/2016</stp>
        <stp>[Bbg_Market_Data_CL.xlsm]data!R133C17</stp>
        <tr r="Q133" s="1"/>
      </tp>
      <tp t="s">
        <v>#N/A Requesting Data...</v>
        <stp/>
        <stp>##V3_BDHV12</stp>
        <stp>CL1 Comdty</stp>
        <stp>VOLATILITY_30D</stp>
        <stp>29/09/2015</stp>
        <stp>29/09/2015</stp>
        <stp>[Bbg_Market_Data_CL.xlsm]data!R381C18</stp>
        <tr r="R381" s="1"/>
      </tp>
      <tp t="s">
        <v>#N/A Requesting Data...</v>
        <stp/>
        <stp>##V3_BDHV12</stp>
        <stp>CL1 Comdty</stp>
        <stp>VOLATILITY_30D</stp>
        <stp>18/08/2016</stp>
        <stp>18/08/2016</stp>
        <stp>[Bbg_Market_Data_CL.xlsm]data!R161C18</stp>
        <tr r="R161" s="1"/>
      </tp>
      <tp t="s">
        <v>#N/A Requesting Data...</v>
        <stp/>
        <stp>##V3_BDHV12</stp>
        <stp>CL1 Comdty</stp>
        <stp>VOLATILITY_10D</stp>
        <stp>09/09/2015</stp>
        <stp>09/09/2015</stp>
        <stp>[Bbg_Market_Data_CL.xlsm]data!R395C17</stp>
        <tr r="Q395" s="1"/>
      </tp>
      <tp t="s">
        <v>#N/A Requesting Data...</v>
        <stp/>
        <stp>##V3_BDHV12</stp>
        <stp>CL1 Comdty</stp>
        <stp>VOLATILITY_30D</stp>
        <stp>08/09/2016</stp>
        <stp>08/09/2016</stp>
        <stp>[Bbg_Market_Data_CL.xlsm]data!R147C18</stp>
        <tr r="R147" s="1"/>
      </tp>
      <tp>
        <v>17.440000000000001</v>
        <stp/>
        <stp>##V3_BDHV12</stp>
        <stp>CL2 Comdty</stp>
        <stp>VOLATILITY_10D</stp>
        <stp>06/06/2016</stp>
        <stp>06/06/2016</stp>
        <stp>[Bbg_Market_Data_CL.xlsm]data!R212C17</stp>
        <tr r="Q212" s="1"/>
      </tp>
      <tp t="s">
        <v>#N/A Requesting Data...</v>
        <stp/>
        <stp>##V3_BDHV12</stp>
        <stp>CL1 Comdty</stp>
        <stp>VOLATILITY_10D</stp>
        <stp>06/05/2016</stp>
        <stp>06/05/2016</stp>
        <stp>[Bbg_Market_Data_CL.xlsm]data!R232C17</stp>
        <tr r="Q232" s="1"/>
      </tp>
      <tp>
        <v>38.409999999999997</v>
        <stp/>
        <stp>##V3_BDHV12</stp>
        <stp>CL2 Comdty</stp>
        <stp>VOLATILITY_10D</stp>
        <stp>26/04/2016</stp>
        <stp>26/04/2016</stp>
        <stp>[Bbg_Market_Data_CL.xlsm]data!R240C17</stp>
        <tr r="Q240" s="1"/>
      </tp>
      <tp>
        <v>31.04</v>
        <stp/>
        <stp>##V3_BDHV12</stp>
        <stp>CL2 Comdty</stp>
        <stp>VOLATILITY_10D</stp>
        <stp>25/07/2016</stp>
        <stp>25/07/2016</stp>
        <stp>[Bbg_Market_Data_CL.xlsm]data!R178C17</stp>
        <tr r="Q178" s="1"/>
      </tp>
      <tp>
        <v>38.85</v>
        <stp/>
        <stp>##V3_BDHV12</stp>
        <stp>CL2 Comdty</stp>
        <stp>VOLATILITY_30D</stp>
        <stp>05/07/2016</stp>
        <stp>05/07/2016</stp>
        <stp>[Bbg_Market_Data_CL.xlsm]data!R192C18</stp>
        <tr r="R192" s="1"/>
      </tp>
      <tp t="s">
        <v>#N/A Requesting Data...</v>
        <stp/>
        <stp>##V3_BDHV12</stp>
        <stp>CL1 Comdty</stp>
        <stp>VOLATILITY_10D</stp>
        <stp>15/07/2016</stp>
        <stp>15/07/2016</stp>
        <stp>[Bbg_Market_Data_CL.xlsm]data!R184C17</stp>
        <tr r="Q184" s="1"/>
      </tp>
      <tp>
        <v>45.45</v>
        <stp/>
        <stp>##V3_BDHV12</stp>
        <stp>CL2 Comdty</stp>
        <stp>VOLATILITY_30D</stp>
        <stp>06/04/2016</stp>
        <stp>06/04/2016</stp>
        <stp>[Bbg_Market_Data_CL.xlsm]data!R254C18</stp>
        <tr r="R254" s="1"/>
      </tp>
      <tp>
        <v>40.58</v>
        <stp/>
        <stp>##V3_BDHV12</stp>
        <stp>CL2 Comdty</stp>
        <stp>VOLATILITY_30D</stp>
        <stp>16/05/2016</stp>
        <stp>16/05/2016</stp>
        <stp>[Bbg_Market_Data_CL.xlsm]data!R226C18</stp>
        <tr r="R226" s="1"/>
      </tp>
      <tp t="s">
        <v>#N/A Requesting Data...</v>
        <stp/>
        <stp>##V3_BDHV12</stp>
        <stp>CL1 Comdty</stp>
        <stp>VOLATILITY_30D</stp>
        <stp>16/06/2016</stp>
        <stp>16/06/2016</stp>
        <stp>[Bbg_Market_Data_CL.xlsm]data!R204C18</stp>
        <tr r="R204" s="1"/>
      </tp>
      <tp t="s">
        <v>#N/A Requesting Data...</v>
        <stp/>
        <stp>##V3_BDHV12</stp>
        <stp>CL1 Comdty</stp>
        <stp>VOLATILITY_30D</stp>
        <stp>26/05/2016</stp>
        <stp>26/05/2016</stp>
        <stp>[Bbg_Market_Data_CL.xlsm]data!R218C18</stp>
        <tr r="R218" s="1"/>
      </tp>
      <tp>
        <v>13.51</v>
        <stp/>
        <stp>##V3_BDHV12</stp>
        <stp>CL2 Comdty</stp>
        <stp>VOLATILITY_10D</stp>
        <stp>27/05/2016</stp>
        <stp>27/05/2016</stp>
        <stp>[Bbg_Market_Data_CL.xlsm]data!R217C17</stp>
        <tr r="Q217" s="1"/>
      </tp>
      <tp>
        <v>38.29</v>
        <stp/>
        <stp>##V3_BDHV12</stp>
        <stp>CL2 Comdty</stp>
        <stp>VOLATILITY_10D</stp>
        <stp>17/06/2016</stp>
        <stp>17/06/2016</stp>
        <stp>[Bbg_Market_Data_CL.xlsm]data!R203C17</stp>
        <tr r="Q203" s="1"/>
      </tp>
      <tp t="s">
        <v>#N/A Requesting Data...</v>
        <stp/>
        <stp>##V3_BDHV12</stp>
        <stp>CL1 Comdty</stp>
        <stp>VOLATILITY_10D</stp>
        <stp>17/05/2016</stp>
        <stp>17/05/2016</stp>
        <stp>[Bbg_Market_Data_CL.xlsm]data!R225C17</stp>
        <tr r="Q225" s="1"/>
      </tp>
      <tp t="s">
        <v>#N/A Requesting Data...</v>
        <stp/>
        <stp>##V3_BDHV12</stp>
        <stp>CL1 Comdty</stp>
        <stp>VOLATILITY_10D</stp>
        <stp>07/04/2016</stp>
        <stp>07/04/2016</stp>
        <stp>[Bbg_Market_Data_CL.xlsm]data!R253C17</stp>
        <tr r="Q253" s="1"/>
      </tp>
      <tp>
        <v>46.28</v>
        <stp/>
        <stp>##V3_BDHV12</stp>
        <stp>CL2 Comdty</stp>
        <stp>VOLATILITY_30D</stp>
        <stp>14/07/2016</stp>
        <stp>14/07/2016</stp>
        <stp>[Bbg_Market_Data_CL.xlsm]data!R185C18</stp>
        <tr r="R185" s="1"/>
      </tp>
      <tp>
        <v>46.38</v>
        <stp/>
        <stp>##V3_BDHV12</stp>
        <stp>CL2 Comdty</stp>
        <stp>VOLATILITY_10D</stp>
        <stp>24/06/2016</stp>
        <stp>24/06/2016</stp>
        <stp>[Bbg_Market_Data_CL.xlsm]data!R198C17</stp>
        <tr r="Q198" s="1"/>
      </tp>
      <tp t="s">
        <v>#N/A Requesting Data...</v>
        <stp/>
        <stp>##V3_BDHV12</stp>
        <stp>CL1 Comdty</stp>
        <stp>VOLATILITY_30D</stp>
        <stp>27/04/2016</stp>
        <stp>27/04/2016</stp>
        <stp>[Bbg_Market_Data_CL.xlsm]data!R239C18</stp>
        <tr r="R239" s="1"/>
      </tp>
      <tp t="s">
        <v>#N/A Requesting Data...</v>
        <stp/>
        <stp>##V3_BDHV12</stp>
        <stp>CL1 Comdty</stp>
        <stp>VOLATILITY_30D</stp>
        <stp>07/06/2016</stp>
        <stp>07/06/2016</stp>
        <stp>[Bbg_Market_Data_CL.xlsm]data!R211C18</stp>
        <tr r="R211" s="1"/>
      </tp>
      <tp t="s">
        <v>#N/A Requesting Data...</v>
        <stp/>
        <stp>##V3_BDHV12</stp>
        <stp>CL1 Comdty</stp>
        <stp>VOLATILITY_10D</stp>
        <stp>14/06/2016</stp>
        <stp>14/06/2016</stp>
        <stp>[Bbg_Market_Data_CL.xlsm]data!R206C17</stp>
        <tr r="Q206" s="1"/>
      </tp>
      <tp t="s">
        <v>#N/A Requesting Data...</v>
        <stp/>
        <stp>##V3_BDHV12</stp>
        <stp>CL1 Comdty</stp>
        <stp>VOLATILITY_10D</stp>
        <stp>24/05/2016</stp>
        <stp>24/05/2016</stp>
        <stp>[Bbg_Market_Data_CL.xlsm]data!R220C17</stp>
        <tr r="Q220" s="1"/>
      </tp>
      <tp>
        <v>34.700000000000003</v>
        <stp/>
        <stp>##V3_BDHV12</stp>
        <stp>CL2 Comdty</stp>
        <stp>VOLATILITY_10D</stp>
        <stp>04/04/2016</stp>
        <stp>04/04/2016</stp>
        <stp>[Bbg_Market_Data_CL.xlsm]data!R256C17</stp>
        <tr r="Q256" s="1"/>
      </tp>
      <tp t="s">
        <v>#N/A Requesting Data...</v>
        <stp/>
        <stp>##V3_BDHV12</stp>
        <stp>CL1 Comdty</stp>
        <stp>VOLATILITY_10D</stp>
        <stp>27/06/2016</stp>
        <stp>27/06/2016</stp>
        <stp>[Bbg_Market_Data_CL.xlsm]data!R197C17</stp>
        <tr r="Q197" s="1"/>
      </tp>
      <tp>
        <v>59.69</v>
        <stp/>
        <stp>##V3_BDHV12</stp>
        <stp>CL2 Comdty</stp>
        <stp>VOLATILITY_10D</stp>
        <stp>07/07/2016</stp>
        <stp>07/07/2016</stp>
        <stp>[Bbg_Market_Data_CL.xlsm]data!R190C17</stp>
        <tr r="Q190" s="1"/>
      </tp>
      <tp>
        <v>45.23</v>
        <stp/>
        <stp>##V3_BDHV12</stp>
        <stp>CL2 Comdty</stp>
        <stp>VOLATILITY_30D</stp>
        <stp>27/07/2016</stp>
        <stp>27/07/2016</stp>
        <stp>[Bbg_Market_Data_CL.xlsm]data!R176C18</stp>
        <tr r="R176" s="1"/>
      </tp>
      <tp t="s">
        <v>#N/A Requesting Data...</v>
        <stp/>
        <stp>##V3_BDHV12</stp>
        <stp>CL1 Comdty</stp>
        <stp>VOLATILITY_30D</stp>
        <stp>14/04/2016</stp>
        <stp>14/04/2016</stp>
        <stp>[Bbg_Market_Data_CL.xlsm]data!R248C18</stp>
        <tr r="R248" s="1"/>
      </tp>
      <tp t="s">
        <v>#N/A Requesting Data...</v>
        <stp/>
        <stp>##V3_BDHV12</stp>
        <stp>CL1 Comdty</stp>
        <stp>VOLATILITY_30D</stp>
        <stp>04/05/2016</stp>
        <stp>04/05/2016</stp>
        <stp>[Bbg_Market_Data_CL.xlsm]data!R234C18</stp>
        <tr r="R234" s="1"/>
      </tp>
      <tp>
        <v>34.9</v>
        <stp/>
        <stp>##V3_BDHV12</stp>
        <stp>CL2 Comdty</stp>
        <stp>VOLATILITY_10D</stp>
        <stp>05/05/2016</stp>
        <stp>05/05/2016</stp>
        <stp>[Bbg_Market_Data_CL.xlsm]data!R233C17</stp>
        <tr r="Q233" s="1"/>
      </tp>
      <tp>
        <v>50.03</v>
        <stp/>
        <stp>##V3_BDHV12</stp>
        <stp>CL2 Comdty</stp>
        <stp>VOLATILITY_10D</stp>
        <stp>15/04/2016</stp>
        <stp>15/04/2016</stp>
        <stp>[Bbg_Market_Data_CL.xlsm]data!R247C17</stp>
        <tr r="Q247" s="1"/>
      </tp>
      <tp t="s">
        <v>#N/A Requesting Data...</v>
        <stp/>
        <stp>##V3_BDHV12</stp>
        <stp>CL1 Comdty</stp>
        <stp>VOLATILITY_10D</stp>
        <stp>25/04/2016</stp>
        <stp>25/04/2016</stp>
        <stp>[Bbg_Market_Data_CL.xlsm]data!R241C17</stp>
        <tr r="Q241" s="1"/>
      </tp>
      <tp t="s">
        <v>#N/A Requesting Data...</v>
        <stp/>
        <stp>##V3_BDHV12</stp>
        <stp>CL1 Comdty</stp>
        <stp>VOLATILITY_10D</stp>
        <stp>26/07/2016</stp>
        <stp>26/07/2016</stp>
        <stp>[Bbg_Market_Data_CL.xlsm]data!R177C17</stp>
        <tr r="Q177" s="1"/>
      </tp>
      <tp t="s">
        <v>#N/A Requesting Data...</v>
        <stp/>
        <stp>##V3_BDHV12</stp>
        <stp>CL1 Comdty</stp>
        <stp>VOLATILITY_30D</stp>
        <stp>06/07/2016</stp>
        <stp>06/07/2016</stp>
        <stp>[Bbg_Market_Data_CL.xlsm]data!R191C18</stp>
        <tr r="R191" s="1"/>
      </tp>
      <tp t="s">
        <v>#N/A Requesting Data...</v>
        <stp/>
        <stp>##V3_BDHV12</stp>
        <stp>CL1 Comdty</stp>
        <stp>VOLATILITY_30D</stp>
        <stp>05/04/2016</stp>
        <stp>05/04/2016</stp>
        <stp>[Bbg_Market_Data_CL.xlsm]data!R255C18</stp>
        <tr r="R255" s="1"/>
      </tp>
      <tp>
        <v>25.91</v>
        <stp/>
        <stp>##V3_BDHV12</stp>
        <stp>CL2 Comdty</stp>
        <stp>VOLATILITY_30D</stp>
        <stp>15/06/2016</stp>
        <stp>15/06/2016</stp>
        <stp>[Bbg_Market_Data_CL.xlsm]data!R205C18</stp>
        <tr r="R205" s="1"/>
      </tp>
      <tp>
        <v>32.25</v>
        <stp/>
        <stp>##V3_BDHV12</stp>
        <stp>CL2 Comdty</stp>
        <stp>VOLATILITY_30D</stp>
        <stp>25/05/2016</stp>
        <stp>25/05/2016</stp>
        <stp>[Bbg_Market_Data_CL.xlsm]data!R219C18</stp>
        <tr r="R219" s="1"/>
      </tp>
      <tp t="s">
        <v>#N/A Requesting Data...</v>
        <stp/>
        <stp>##V3_BDHV12</stp>
        <stp>CL1 Comdty</stp>
        <stp>VOLATILITY_10D</stp>
        <stp>13/01/2016</stp>
        <stp>13/01/2016</stp>
        <stp>[Bbg_Market_Data_CL.xlsm]data!R310C17</stp>
        <tr r="Q310" s="1"/>
      </tp>
      <tp>
        <v>27.03</v>
        <stp/>
        <stp>##V3_BDHV12</stp>
        <stp>CL2 Comdty</stp>
        <stp>VOLATILITY_10D</stp>
        <stp>01/11/2016</stp>
        <stp>01/11/2016</stp>
        <stp>[Bbg_Market_Data_CL.xlsm]data!R110C17</stp>
        <tr r="Q110" s="1"/>
      </tp>
      <tp t="s">
        <v>#N/A Requesting Data...</v>
        <stp/>
        <stp>##V3_BDHV12</stp>
        <stp>CL1 Comdty</stp>
        <stp>VOLATILITY_10D</stp>
        <stp>21/10/2016</stp>
        <stp>21/10/2016</stp>
        <stp>[Bbg_Market_Data_CL.xlsm]data!R117C17</stp>
        <tr r="Q117" s="1"/>
      </tp>
      <tp>
        <v>22.98</v>
        <stp/>
        <stp>##V3_BDHV12</stp>
        <stp>CL2 Comdty</stp>
        <stp>VOLATILITY_10D</stp>
        <stp>11/10/2016</stp>
        <stp>11/10/2016</stp>
        <stp>[Bbg_Market_Data_CL.xlsm]data!R125C17</stp>
        <tr r="Q125" s="1"/>
      </tp>
      <tp>
        <v>38.520000000000003</v>
        <stp/>
        <stp>##V3_BDHV12</stp>
        <stp>CL2 Comdty</stp>
        <stp>VOLATILITY_10D</stp>
        <stp>10/12/2015</stp>
        <stp>10/12/2015</stp>
        <stp>[Bbg_Market_Data_CL.xlsm]data!R332C17</stp>
        <tr r="Q332" s="1"/>
      </tp>
      <tp>
        <v>29.04</v>
        <stp/>
        <stp>##V3_BDHV12</stp>
        <stp>CL2 Comdty</stp>
        <stp>VOLATILITY_10D</stp>
        <stp>20/11/2015</stp>
        <stp>20/11/2015</stp>
        <stp>[Bbg_Market_Data_CL.xlsm]data!R345C17</stp>
        <tr r="Q345" s="1"/>
      </tp>
      <tp t="s">
        <v>#N/A Requesting Data...</v>
        <stp/>
        <stp>##V3_BDHV12</stp>
        <stp>CL1 Comdty</stp>
        <stp>VOLATILITY_10D</stp>
        <stp>17/06/2015</stp>
        <stp>17/06/2015</stp>
        <stp>[Bbg_Market_Data_CL.xlsm]data!R453C17</stp>
        <tr r="Q453" s="1"/>
      </tp>
      <tp t="s">
        <v>#N/A Requesting Data...</v>
        <stp/>
        <stp>##V3_BDHV12</stp>
        <stp>CL1 Comdty</stp>
        <stp>VOLATILITY_10D</stp>
        <stp>10/11/2015</stp>
        <stp>10/11/2015</stp>
        <stp>[Bbg_Market_Data_CL.xlsm]data!R352C17</stp>
        <tr r="Q352" s="1"/>
      </tp>
      <tp t="s">
        <v>#N/A Requesting Data...</v>
        <stp/>
        <stp>##V3_BDHV12</stp>
        <stp>CL1 Comdty</stp>
        <stp>VOLATILITY_10D</stp>
        <stp>07/07/2015</stp>
        <stp>07/07/2015</stp>
        <stp>[Bbg_Market_Data_CL.xlsm]data!R440C17</stp>
        <tr r="Q440" s="1"/>
      </tp>
      <tp>
        <v>37.630000000000003</v>
        <stp/>
        <stp>##V3_BDHV12</stp>
        <stp>CL2 Comdty</stp>
        <stp>VOLATILITY_10D</stp>
        <stp>30/10/2015</stp>
        <stp>30/10/2015</stp>
        <stp>[Bbg_Market_Data_CL.xlsm]data!R359C17</stp>
        <tr r="Q359" s="1"/>
      </tp>
      <tp>
        <v>78.099999999999994</v>
        <stp/>
        <stp>##V3_BDHV12</stp>
        <stp>CL2 Comdty</stp>
        <stp>VOLATILITY_30D</stp>
        <stp>22/02/2016</stp>
        <stp>22/02/2016</stp>
        <stp>[Bbg_Market_Data_CL.xlsm]data!R285C18</stp>
        <tr r="R285" s="1"/>
      </tp>
      <tp t="s">
        <v>#N/A Requesting Data...</v>
        <stp/>
        <stp>##V3_BDHV12</stp>
        <stp>CL1 Comdty</stp>
        <stp>VOLATILITY_30D</stp>
        <stp>07/05/2015</stp>
        <stp>07/05/2015</stp>
        <stp>[Bbg_Market_Data_CL.xlsm]data!R481C18</stp>
        <tr r="R481" s="1"/>
      </tp>
      <tp t="s">
        <v>#N/A Requesting Data...</v>
        <stp/>
        <stp>##V3_BDHV12</stp>
        <stp>CL1 Comdty</stp>
        <stp>VOLATILITY_30D</stp>
        <stp>12/02/2016</stp>
        <stp>12/02/2016</stp>
        <stp>[Bbg_Market_Data_CL.xlsm]data!R289C18</stp>
        <tr r="R289" s="1"/>
      </tp>
      <tp t="s">
        <v>#N/A Requesting Data...</v>
        <stp/>
        <stp>##V3_BDHV12</stp>
        <stp>CL2 Comdty</stp>
        <stp>VOLATILITY_30D</stp>
        <stp>27/04/2015</stp>
        <stp>27/04/2015</stp>
        <stp>[Bbg_Market_Data_CL.xlsm]data!R489C18</stp>
        <tr r="R489" s="1"/>
      </tp>
      <tp t="s">
        <v>#N/A Requesting Data...</v>
        <stp/>
        <stp>##V3_BDHV12</stp>
        <stp>CL1 Comdty</stp>
        <stp>VOLATILITY_30D</stp>
        <stp>17/04/2015</stp>
        <stp>17/04/2015</stp>
        <stp>[Bbg_Market_Data_CL.xlsm]data!R495C18</stp>
        <tr r="R495" s="1"/>
      </tp>
      <tp t="s">
        <v>#N/A Requesting Data...</v>
        <stp/>
        <stp>##V3_BDHV12</stp>
        <stp>CL1 Comdty</stp>
        <stp>VOLATILITY_10D</stp>
        <stp>22/03/2016</stp>
        <stp>22/03/2016</stp>
        <stp>[Bbg_Market_Data_CL.xlsm]data!R264C17</stp>
        <tr r="Q264" s="1"/>
      </tp>
      <tp t="s">
        <v>#N/A Requesting Data...</v>
        <stp/>
        <stp>##V3_BDHV12</stp>
        <stp>CL1 Comdty</stp>
        <stp>VOLATILITY_10D</stp>
        <stp>27/05/2015</stp>
        <stp>27/05/2015</stp>
        <stp>[Bbg_Market_Data_CL.xlsm]data!R468C17</stp>
        <tr r="Q468" s="1"/>
      </tp>
      <tp>
        <v>88.87</v>
        <stp/>
        <stp>##V3_BDHV12</stp>
        <stp>CL2 Comdty</stp>
        <stp>VOLATILITY_10D</stp>
        <stp>02/02/2016</stp>
        <stp>02/02/2016</stp>
        <stp>[Bbg_Market_Data_CL.xlsm]data!R297C17</stp>
        <tr r="Q297" s="1"/>
      </tp>
      <tp t="s">
        <v>#N/A Requesting Data...</v>
        <stp/>
        <stp>##V3_BDHV12</stp>
        <stp>CL1 Comdty</stp>
        <stp>VOLATILITY_30D</stp>
        <stp>20/10/2015</stp>
        <stp>20/10/2015</stp>
        <stp>[Bbg_Market_Data_CL.xlsm]data!R367C18</stp>
        <tr r="R367" s="1"/>
      </tp>
      <tp t="s">
        <v>#N/A Requesting Data...</v>
        <stp/>
        <stp>##V3_BDHV12</stp>
        <stp>CL1 Comdty</stp>
        <stp>VOLATILITY_30D</stp>
        <stp>02/03/2016</stp>
        <stp>02/03/2016</stp>
        <stp>[Bbg_Market_Data_CL.xlsm]data!R278C18</stp>
        <tr r="R278" s="1"/>
      </tp>
      <tp t="s">
        <v>#N/A Requesting Data...</v>
        <stp/>
        <stp>##V3_BDHV12</stp>
        <stp>CL1 Comdty</stp>
        <stp>VOLATILITY_30D</stp>
        <stp>30/11/2015</stp>
        <stp>30/11/2015</stp>
        <stp>[Bbg_Market_Data_CL.xlsm]data!R340C18</stp>
        <tr r="R340" s="1"/>
      </tp>
      <tp t="s">
        <v>#N/A Requesting Data...</v>
        <stp/>
        <stp>##V3_BDHV12</stp>
        <stp>CL1 Comdty</stp>
        <stp>VOLATILITY_30D</stp>
        <stp>27/07/2015</stp>
        <stp>27/07/2015</stp>
        <stp>[Bbg_Market_Data_CL.xlsm]data!R426C18</stp>
        <tr r="R426" s="1"/>
      </tp>
      <tp t="s">
        <v>#N/A Requesting Data...</v>
        <stp/>
        <stp>##V3_BDHV12</stp>
        <stp>CL2 Comdty</stp>
        <stp>VOLATILITY_30D</stp>
        <stp>17/07/2015</stp>
        <stp>17/07/2015</stp>
        <stp>[Bbg_Market_Data_CL.xlsm]data!R432C18</stp>
        <tr r="R432" s="1"/>
      </tp>
      <tp>
        <v>36.15</v>
        <stp/>
        <stp>##V3_BDHV12</stp>
        <stp>CL2 Comdty</stp>
        <stp>VOLATILITY_30D</stp>
        <stp>31/10/2016</stp>
        <stp>31/10/2016</stp>
        <stp>[Bbg_Market_Data_CL.xlsm]data!R111C18</stp>
        <tr r="R111" s="1"/>
      </tp>
      <tp>
        <v>40.869999999999997</v>
        <stp/>
        <stp>##V3_BDHV12</stp>
        <stp>CL2 Comdty</stp>
        <stp>VOLATILITY_30D</stp>
        <stp>30/12/2015</stp>
        <stp>30/12/2015</stp>
        <stp>[Bbg_Market_Data_CL.xlsm]data!R319C18</stp>
        <tr r="R319" s="1"/>
      </tp>
      <tp>
        <v>28.38</v>
        <stp/>
        <stp>##V3_BDHV12</stp>
        <stp>CL2 Comdty</stp>
        <stp>VOLATILITY_10D</stp>
        <stp>10/11/2016</stp>
        <stp>10/11/2016</stp>
        <stp>[Bbg_Market_Data_CL.xlsm]data!R103C17</stp>
        <tr r="Q103" s="1"/>
      </tp>
      <tp t="s">
        <v>#N/A Requesting Data...</v>
        <stp/>
        <stp>##V3_BDHV12</stp>
        <stp>CL1 Comdty</stp>
        <stp>VOLATILITY_10D</stp>
        <stp>31/12/2015</stp>
        <stp>31/12/2015</stp>
        <stp>[Bbg_Market_Data_CL.xlsm]data!R318C17</stp>
        <tr r="Q318" s="1"/>
      </tp>
      <tp t="s">
        <v>#N/A Requesting Data...</v>
        <stp/>
        <stp>##V3_BDHV12</stp>
        <stp>CL1 Comdty</stp>
        <stp>VOLATILITY_10D</stp>
        <stp>16/07/2015</stp>
        <stp>16/07/2015</stp>
        <stp>[Bbg_Market_Data_CL.xlsm]data!R433C17</stp>
        <tr r="Q433" s="1"/>
      </tp>
      <tp>
        <v>28.49</v>
        <stp/>
        <stp>##V3_BDHV12</stp>
        <stp>CL2 Comdty</stp>
        <stp>VOLATILITY_10D</stp>
        <stp>01/12/2015</stp>
        <stp>01/12/2015</stp>
        <stp>[Bbg_Market_Data_CL.xlsm]data!R339C17</stp>
        <tr r="Q339" s="1"/>
      </tp>
      <tp>
        <v>32.96</v>
        <stp/>
        <stp>##V3_BDHV12</stp>
        <stp>CL2 Comdty</stp>
        <stp>VOLATILITY_10D</stp>
        <stp>21/10/2015</stp>
        <stp>21/10/2015</stp>
        <stp>[Bbg_Market_Data_CL.xlsm]data!R366C17</stp>
        <tr r="Q366" s="1"/>
      </tp>
      <tp>
        <v>27.77</v>
        <stp/>
        <stp>##V3_BDHV12</stp>
        <stp>CL2 Comdty</stp>
        <stp>VOLATILITY_10D</stp>
        <stp>03/03/2016</stp>
        <stp>03/03/2016</stp>
        <stp>[Bbg_Market_Data_CL.xlsm]data!R277C17</stp>
        <tr r="Q277" s="1"/>
      </tp>
      <tp t="s">
        <v>#N/A Requesting Data...</v>
        <stp/>
        <stp>##V3_BDHV12</stp>
        <stp>CL1 Comdty</stp>
        <stp>VOLATILITY_30D</stp>
        <stp>03/02/2016</stp>
        <stp>03/02/2016</stp>
        <stp>[Bbg_Market_Data_CL.xlsm]data!R296C18</stp>
        <tr r="R296" s="1"/>
      </tp>
      <tp t="s">
        <v>#N/A Requesting Data...</v>
        <stp/>
        <stp>##V3_BDHV12</stp>
        <stp>CL2 Comdty</stp>
        <stp>VOLATILITY_10D</stp>
        <stp>16/04/2015</stp>
        <stp>16/04/2015</stp>
        <stp>[Bbg_Market_Data_CL.xlsm]data!R496C17</stp>
        <tr r="Q496" s="1"/>
      </tp>
      <tp>
        <v>55.94</v>
        <stp/>
        <stp>##V3_BDHV12</stp>
        <stp>CL2 Comdty</stp>
        <stp>VOLATILITY_30D</stp>
        <stp>23/03/2016</stp>
        <stp>23/03/2016</stp>
        <stp>[Bbg_Market_Data_CL.xlsm]data!R263C18</stp>
        <tr r="R263" s="1"/>
      </tp>
      <tp>
        <v>64.010000000000005</v>
        <stp/>
        <stp>##V3_BDHV12</stp>
        <stp>CL2 Comdty</stp>
        <stp>VOLATILITY_30D</stp>
        <stp>01/10/2015</stp>
        <stp>01/10/2015</stp>
        <stp>[Bbg_Market_Data_CL.xlsm]data!R379C18</stp>
        <tr r="R379" s="1"/>
      </tp>
      <tp t="s">
        <v>#N/A Requesting Data...</v>
        <stp/>
        <stp>##V3_BDHV12</stp>
        <stp>CL2 Comdty</stp>
        <stp>VOLATILITY_30D</stp>
        <stp>26/05/2015</stp>
        <stp>26/05/2015</stp>
        <stp>[Bbg_Market_Data_CL.xlsm]data!R469C18</stp>
        <tr r="R469" s="1"/>
      </tp>
      <tp t="s">
        <v>#N/A Requesting Data...</v>
        <stp/>
        <stp>##V3_BDHV12</stp>
        <stp>CL2 Comdty</stp>
        <stp>VOLATILITY_10D</stp>
        <stp>06/05/2015</stp>
        <stp>06/05/2015</stp>
        <stp>[Bbg_Market_Data_CL.xlsm]data!R482C17</stp>
        <tr r="Q482" s="1"/>
      </tp>
      <tp t="s">
        <v>#N/A Requesting Data...</v>
        <stp/>
        <stp>##V3_BDHV12</stp>
        <stp>CL1 Comdty</stp>
        <stp>VOLATILITY_10D</stp>
        <stp>23/02/2016</stp>
        <stp>23/02/2016</stp>
        <stp>[Bbg_Market_Data_CL.xlsm]data!R284C17</stp>
        <tr r="Q284" s="1"/>
      </tp>
      <tp t="s">
        <v>#N/A Requesting Data...</v>
        <stp/>
        <stp>##V3_BDHV12</stp>
        <stp>CL1 Comdty</stp>
        <stp>VOLATILITY_30D</stp>
        <stp>26/06/2015</stp>
        <stp>26/06/2015</stp>
        <stp>[Bbg_Market_Data_CL.xlsm]data!R446C18</stp>
        <tr r="R446" s="1"/>
      </tp>
      <tp t="s">
        <v>#N/A Requesting Data...</v>
        <stp/>
        <stp>##V3_BDHV12</stp>
        <stp>CL2 Comdty</stp>
        <stp>VOLATILITY_30D</stp>
        <stp>06/07/2015</stp>
        <stp>06/07/2015</stp>
        <stp>[Bbg_Market_Data_CL.xlsm]data!R441C18</stp>
        <tr r="R441" s="1"/>
      </tp>
      <tp t="s">
        <v>#N/A Requesting Data...</v>
        <stp/>
        <stp>##V3_BDHV12</stp>
        <stp>CL2 Comdty</stp>
        <stp>VOLATILITY_30D</stp>
        <stp>16/06/2015</stp>
        <stp>16/06/2015</stp>
        <stp>[Bbg_Market_Data_CL.xlsm]data!R454C18</stp>
        <tr r="R454" s="1"/>
      </tp>
      <tp t="s">
        <v>#N/A Requesting Data...</v>
        <stp/>
        <stp>##V3_BDHV12</stp>
        <stp>CL1 Comdty</stp>
        <stp>VOLATILITY_30D</stp>
        <stp>11/12/2015</stp>
        <stp>11/12/2015</stp>
        <stp>[Bbg_Market_Data_CL.xlsm]data!R331C18</stp>
        <tr r="R331" s="1"/>
      </tp>
      <tp>
        <v>36</v>
        <stp/>
        <stp>##V3_BDHV12</stp>
        <stp>CL2 Comdty</stp>
        <stp>VOLATILITY_30D</stp>
        <stp>21/12/2015</stp>
        <stp>21/12/2015</stp>
        <stp>[Bbg_Market_Data_CL.xlsm]data!R325C18</stp>
        <tr r="R325" s="1"/>
      </tp>
      <tp t="s">
        <v>#N/A Requesting Data...</v>
        <stp/>
        <stp>##V3_BDHV12</stp>
        <stp>CL1 Comdty</stp>
        <stp>VOLATILITY_30D</stp>
        <stp>22/01/2016</stp>
        <stp>22/01/2016</stp>
        <stp>[Bbg_Market_Data_CL.xlsm]data!R304C18</stp>
        <tr r="R304" s="1"/>
      </tp>
      <tp>
        <v>35.700000000000003</v>
        <stp/>
        <stp>##V3_BDHV12</stp>
        <stp>CL2 Comdty</stp>
        <stp>VOLATILITY_30D</stp>
        <stp>20/10/2016</stp>
        <stp>20/10/2016</stp>
        <stp>[Bbg_Market_Data_CL.xlsm]data!R118C18</stp>
        <tr r="R118" s="1"/>
      </tp>
      <tp>
        <v>43.52</v>
        <stp/>
        <stp>##V3_BDHV12</stp>
        <stp>CL2 Comdty</stp>
        <stp>VOLATILITY_30D</stp>
        <stp>12/01/2016</stp>
        <stp>12/01/2016</stp>
        <stp>[Bbg_Market_Data_CL.xlsm]data!R311C18</stp>
        <tr r="R311" s="1"/>
      </tp>
      <tp t="s">
        <v>#N/A Requesting Data...</v>
        <stp/>
        <stp>##V3_BDHV12</stp>
        <stp>CL2 Comdty</stp>
        <stp>VOLATILITY_10D</stp>
        <stp>15/07/2015</stp>
        <stp>15/07/2015</stp>
        <stp>[Bbg_Market_Data_CL.xlsm]data!R434C17</stp>
        <tr r="Q434" s="1"/>
      </tp>
      <tp t="s">
        <v>#N/A Requesting Data...</v>
        <stp/>
        <stp>##V3_BDHV12</stp>
        <stp>CL1 Comdty</stp>
        <stp>VOLATILITY_10D</stp>
        <stp>03/10/2016</stp>
        <stp>03/10/2016</stp>
        <stp>[Bbg_Market_Data_CL.xlsm]data!R130C17</stp>
        <tr r="Q130" s="1"/>
      </tp>
      <tp t="s">
        <v>#N/A Requesting Data...</v>
        <stp/>
        <stp>##V3_BDHV12</stp>
        <stp>CL1 Comdty</stp>
        <stp>VOLATILITY_10D</stp>
        <stp>02/12/2015</stp>
        <stp>02/12/2015</stp>
        <stp>[Bbg_Market_Data_CL.xlsm]data!R338C17</stp>
        <tr r="Q338" s="1"/>
      </tp>
      <tp>
        <v>38.22</v>
        <stp/>
        <stp>##V3_BDHV12</stp>
        <stp>CL2 Comdty</stp>
        <stp>VOLATILITY_10D</stp>
        <stp>30/03/2016</stp>
        <stp>30/03/2016</stp>
        <stp>[Bbg_Market_Data_CL.xlsm]data!R259C17</stp>
        <tr r="Q259" s="1"/>
      </tp>
      <tp>
        <v>38.17</v>
        <stp/>
        <stp>##V3_BDHV12</stp>
        <stp>CL2 Comdty</stp>
        <stp>VOLATILITY_10D</stp>
        <stp>02/11/2015</stp>
        <stp>02/11/2015</stp>
        <stp>[Bbg_Market_Data_CL.xlsm]data!R358C17</stp>
        <tr r="Q358" s="1"/>
      </tp>
      <tp t="s">
        <v>#N/A Requesting Data...</v>
        <stp/>
        <stp>##V3_BDHV12</stp>
        <stp>CL1 Comdty</stp>
        <stp>VOLATILITY_10D</stp>
        <stp>22/10/2015</stp>
        <stp>22/10/2015</stp>
        <stp>[Bbg_Market_Data_CL.xlsm]data!R365C17</stp>
        <tr r="Q365" s="1"/>
      </tp>
      <tp t="s">
        <v>#N/A Requesting Data...</v>
        <stp/>
        <stp>##V3_BDHV12</stp>
        <stp>CL2 Comdty</stp>
        <stp>VOLATILITY_10D</stp>
        <stp>05/06/2015</stp>
        <stp>05/06/2015</stp>
        <stp>[Bbg_Market_Data_CL.xlsm]data!R461C17</stp>
        <tr r="Q461" s="1"/>
      </tp>
      <tp t="s">
        <v>#N/A Requesting Data...</v>
        <stp/>
        <stp>##V3_BDHV12</stp>
        <stp>CL1 Comdty</stp>
        <stp>VOLATILITY_10D</stp>
        <stp>10/02/2016</stp>
        <stp>10/02/2016</stp>
        <stp>[Bbg_Market_Data_CL.xlsm]data!R291C17</stp>
        <tr r="Q291" s="1"/>
      </tp>
      <tp t="s">
        <v>#N/A Requesting Data...</v>
        <stp/>
        <stp>##V3_BDHV12</stp>
        <stp>CL1 Comdty</stp>
        <stp>VOLATILITY_10D</stp>
        <stp>15/04/2015</stp>
        <stp>15/04/2015</stp>
        <stp>[Bbg_Market_Data_CL.xlsm]data!R497C17</stp>
        <tr r="Q497" s="1"/>
      </tp>
      <tp t="s">
        <v>#N/A Requesting Data...</v>
        <stp/>
        <stp>##V3_BDHV12</stp>
        <stp>CL1 Comdty</stp>
        <stp>VOLATILITY_30D</stp>
        <stp>02/10/2015</stp>
        <stp>02/10/2015</stp>
        <stp>[Bbg_Market_Data_CL.xlsm]data!R378C18</stp>
        <tr r="R378" s="1"/>
      </tp>
      <tp t="s">
        <v>#N/A Requesting Data...</v>
        <stp/>
        <stp>##V3_BDHV12</stp>
        <stp>CL2 Comdty</stp>
        <stp>VOLATILITY_30D</stp>
        <stp>15/05/2015</stp>
        <stp>15/05/2015</stp>
        <stp>[Bbg_Market_Data_CL.xlsm]data!R475C18</stp>
        <tr r="R475" s="1"/>
      </tp>
      <tp>
        <v>64.91</v>
        <stp/>
        <stp>##V3_BDHV12</stp>
        <stp>CL2 Comdty</stp>
        <stp>VOLATILITY_30D</stp>
        <stp>10/03/2016</stp>
        <stp>10/03/2016</stp>
        <stp>[Bbg_Market_Data_CL.xlsm]data!R272C18</stp>
        <tr r="R272" s="1"/>
      </tp>
      <tp t="s">
        <v>#N/A Requesting Data...</v>
        <stp/>
        <stp>##V3_BDHV12</stp>
        <stp>CL1 Comdty</stp>
        <stp>VOLATILITY_10D</stp>
        <stp>05/05/2015</stp>
        <stp>05/05/2015</stp>
        <stp>[Bbg_Market_Data_CL.xlsm]data!R483C17</stp>
        <tr r="Q483" s="1"/>
      </tp>
      <tp t="s">
        <v>#N/A Requesting Data...</v>
        <stp/>
        <stp>##V3_BDHV12</stp>
        <stp>CL2 Comdty</stp>
        <stp>VOLATILITY_30D</stp>
        <stp>25/06/2015</stp>
        <stp>25/06/2015</stp>
        <stp>[Bbg_Market_Data_CL.xlsm]data!R447C18</stp>
        <tr r="R447" s="1"/>
      </tp>
      <tp t="s">
        <v>#N/A Requesting Data...</v>
        <stp/>
        <stp>##V3_BDHV12</stp>
        <stp>CL1 Comdty</stp>
        <stp>VOLATILITY_30D</stp>
        <stp>12/11/2015</stp>
        <stp>12/11/2015</stp>
        <stp>[Bbg_Market_Data_CL.xlsm]data!R351C18</stp>
        <tr r="R351" s="1"/>
      </tp>
      <tp t="s">
        <v>#N/A Requesting Data...</v>
        <stp/>
        <stp>##V3_BDHV12</stp>
        <stp>CL1 Comdty</stp>
        <stp>VOLATILITY_30D</stp>
        <stp>15/06/2015</stp>
        <stp>15/06/2015</stp>
        <stp>[Bbg_Market_Data_CL.xlsm]data!R455C18</stp>
        <tr r="R455" s="1"/>
      </tp>
      <tp>
        <v>39.29</v>
        <stp/>
        <stp>##V3_BDHV12</stp>
        <stp>CL2 Comdty</stp>
        <stp>VOLATILITY_30D</stp>
        <stp>13/10/2016</stp>
        <stp>13/10/2016</stp>
        <stp>[Bbg_Market_Data_CL.xlsm]data!R123C18</stp>
        <tr r="R123" s="1"/>
      </tp>
      <tp t="s">
        <v>#N/A Requesting Data...</v>
        <stp/>
        <stp>##V3_BDHV12</stp>
        <stp>CL1 Comdty</stp>
        <stp>VOLATILITY_30D</stp>
        <stp>22/12/2015</stp>
        <stp>22/12/2015</stp>
        <stp>[Bbg_Market_Data_CL.xlsm]data!R324C18</stp>
        <tr r="R324" s="1"/>
      </tp>
      <tp>
        <v>51.92</v>
        <stp/>
        <stp>##V3_BDHV12</stp>
        <stp>CL2 Comdty</stp>
        <stp>VOLATILITY_30D</stp>
        <stp>21/01/2016</stp>
        <stp>21/01/2016</stp>
        <stp>[Bbg_Market_Data_CL.xlsm]data!R305C18</stp>
        <tr r="R305" s="1"/>
      </tp>
      <tp t="s">
        <v>#N/A Requesting Data...</v>
        <stp/>
        <stp>##V3_BDHV12</stp>
        <stp>CL1 Comdty</stp>
        <stp>VOLATILITY_30D</stp>
        <stp>11/01/2016</stp>
        <stp>11/01/2016</stp>
        <stp>[Bbg_Market_Data_CL.xlsm]data!R312C18</stp>
        <tr r="R312" s="1"/>
      </tp>
      <tp>
        <v>32.840000000000003</v>
        <stp/>
        <stp>##V3_BDHV12</stp>
        <stp>CL2 Comdty</stp>
        <stp>VOLATILITY_30D</stp>
        <stp>03/11/2016</stp>
        <stp>03/11/2016</stp>
        <stp>[Bbg_Market_Data_CL.xlsm]data!R108C18</stp>
        <tr r="R108" s="1"/>
      </tp>
      <tp t="s">
        <v>#N/A Requesting Data...</v>
        <stp/>
        <stp>##V3_BDHV12</stp>
        <stp>CL1 Comdty</stp>
        <stp>VOLATILITY_10D</stp>
        <stp>02/11/2016</stp>
        <stp>02/11/2016</stp>
        <stp>[Bbg_Market_Data_CL.xlsm]data!R109C17</stp>
        <tr r="Q109" s="1"/>
      </tp>
      <tp t="s">
        <v>#N/A Requesting Data...</v>
        <stp/>
        <stp>##V3_BDHV12</stp>
        <stp>CL1 Comdty</stp>
        <stp>VOLATILITY_10D</stp>
        <stp>20/01/2016</stp>
        <stp>20/01/2016</stp>
        <stp>[Bbg_Market_Data_CL.xlsm]data!R306C17</stp>
        <tr r="Q306" s="1"/>
      </tp>
      <tp>
        <v>46.14</v>
        <stp/>
        <stp>##V3_BDHV12</stp>
        <stp>CL2 Comdty</stp>
        <stp>VOLATILITY_10D</stp>
        <stp>23/12/2015</stp>
        <stp>23/12/2015</stp>
        <stp>[Bbg_Market_Data_CL.xlsm]data!R323C17</stp>
        <tr r="Q323" s="1"/>
      </tp>
      <tp t="s">
        <v>#N/A Requesting Data...</v>
        <stp/>
        <stp>##V3_BDHV12</stp>
        <stp>CL1 Comdty</stp>
        <stp>VOLATILITY_10D</stp>
        <stp>12/10/2016</stp>
        <stp>12/10/2016</stp>
        <stp>[Bbg_Market_Data_CL.xlsm]data!R124C17</stp>
        <tr r="Q124" s="1"/>
      </tp>
      <tp t="s">
        <v>#N/A Requesting Data...</v>
        <stp/>
        <stp>##V3_BDHV12</stp>
        <stp>CL1 Comdty</stp>
        <stp>VOLATILITY_10D</stp>
        <stp>23/11/2015</stp>
        <stp>23/11/2015</stp>
        <stp>[Bbg_Market_Data_CL.xlsm]data!R344C17</stp>
        <tr r="Q344" s="1"/>
      </tp>
      <tp>
        <v>35.67</v>
        <stp/>
        <stp>##V3_BDHV12</stp>
        <stp>CL2 Comdty</stp>
        <stp>VOLATILITY_10D</stp>
        <stp>13/11/2015</stp>
        <stp>13/11/2015</stp>
        <stp>[Bbg_Market_Data_CL.xlsm]data!R350C17</stp>
        <tr r="Q350" s="1"/>
      </tp>
      <tp t="s">
        <v>#N/A Requesting Data...</v>
        <stp/>
        <stp>##V3_BDHV12</stp>
        <stp>CL1 Comdty</stp>
        <stp>VOLATILITY_10D</stp>
        <stp>24/06/2015</stp>
        <stp>24/06/2015</stp>
        <stp>[Bbg_Market_Data_CL.xlsm]data!R448C17</stp>
        <tr r="Q448" s="1"/>
      </tp>
      <tp t="s">
        <v>#N/A Requesting Data...</v>
        <stp/>
        <stp>##V3_BDHV12</stp>
        <stp>CL1 Comdty</stp>
        <stp>VOLATILITY_10D</stp>
        <stp>11/03/2016</stp>
        <stp>11/03/2016</stp>
        <stp>[Bbg_Market_Data_CL.xlsm]data!R271C17</stp>
        <tr r="Q271" s="1"/>
      </tp>
      <tp t="s">
        <v>#N/A Requesting Data...</v>
        <stp/>
        <stp>##V3_BDHV12</stp>
        <stp>CL1 Comdty</stp>
        <stp>VOLATILITY_10D</stp>
        <stp>14/05/2015</stp>
        <stp>14/05/2015</stp>
        <stp>[Bbg_Market_Data_CL.xlsm]data!R476C17</stp>
        <tr r="Q476" s="1"/>
      </tp>
      <tp t="s">
        <v>#N/A Requesting Data...</v>
        <stp/>
        <stp>##V3_BDHV12</stp>
        <stp>CL2 Comdty</stp>
        <stp>VOLATILITY_30D</stp>
        <stp>04/05/2015</stp>
        <stp>04/05/2015</stp>
        <stp>[Bbg_Market_Data_CL.xlsm]data!R484C18</stp>
        <tr r="R484" s="1"/>
      </tp>
      <tp>
        <v>66.98</v>
        <stp/>
        <stp>##V3_BDHV12</stp>
        <stp>CL2 Comdty</stp>
        <stp>VOLATILITY_30D</stp>
        <stp>11/02/2016</stp>
        <stp>11/02/2016</stp>
        <stp>[Bbg_Market_Data_CL.xlsm]data!R290C18</stp>
        <tr r="R290" s="1"/>
      </tp>
      <tp t="s">
        <v>#N/A Requesting Data...</v>
        <stp/>
        <stp>##V3_BDHV12</stp>
        <stp>CL1 Comdty</stp>
        <stp>VOLATILITY_30D</stp>
        <stp>24/04/2015</stp>
        <stp>24/04/2015</stp>
        <stp>[Bbg_Market_Data_CL.xlsm]data!R490C18</stp>
        <tr r="R490" s="1"/>
      </tp>
      <tp>
        <v>49.02</v>
        <stp/>
        <stp>##V3_BDHV12</stp>
        <stp>CL2 Comdty</stp>
        <stp>VOLATILITY_10D</stp>
        <stp>21/03/2016</stp>
        <stp>21/03/2016</stp>
        <stp>[Bbg_Market_Data_CL.xlsm]data!R265C17</stp>
        <tr r="Q265" s="1"/>
      </tp>
      <tp t="s">
        <v>#N/A Requesting Data...</v>
        <stp/>
        <stp>##V3_BDHV12</stp>
        <stp>CL2 Comdty</stp>
        <stp>VOLATILITY_30D</stp>
        <stp>14/04/2015</stp>
        <stp>14/04/2015</stp>
        <stp>[Bbg_Market_Data_CL.xlsm]data!R498C18</stp>
        <tr r="R498" s="1"/>
      </tp>
      <tp t="s">
        <v>#N/A Requesting Data...</v>
        <stp/>
        <stp>##V3_BDHV12</stp>
        <stp>CL1 Comdty</stp>
        <stp>VOLATILITY_30D</stp>
        <stp>13/10/2015</stp>
        <stp>13/10/2015</stp>
        <stp>[Bbg_Market_Data_CL.xlsm]data!R372C18</stp>
        <tr r="R372" s="1"/>
      </tp>
      <tp t="s">
        <v>#N/A Requesting Data...</v>
        <stp/>
        <stp>##V3_BDHV12</stp>
        <stp>CL1 Comdty</stp>
        <stp>VOLATILITY_30D</stp>
        <stp>04/06/2015</stp>
        <stp>04/06/2015</stp>
        <stp>[Bbg_Market_Data_CL.xlsm]data!R462C18</stp>
        <tr r="R462" s="1"/>
      </tp>
      <tp t="s">
        <v>#N/A Requesting Data...</v>
        <stp/>
        <stp>##V3_BDHV12</stp>
        <stp>CL1 Comdty</stp>
        <stp>VOLATILITY_10D</stp>
        <stp>01/02/2016</stp>
        <stp>01/02/2016</stp>
        <stp>[Bbg_Market_Data_CL.xlsm]data!R298C17</stp>
        <tr r="Q298" s="1"/>
      </tp>
      <tp>
        <v>40.840000000000003</v>
        <stp/>
        <stp>##V3_BDHV12</stp>
        <stp>CL2 Comdty</stp>
        <stp>VOLATILITY_30D</stp>
        <stp>23/10/2015</stp>
        <stp>23/10/2015</stp>
        <stp>[Bbg_Market_Data_CL.xlsm]data!R364C18</stp>
        <tr r="R364" s="1"/>
      </tp>
      <tp>
        <v>73.36</v>
        <stp/>
        <stp>##V3_BDHV12</stp>
        <stp>CL2 Comdty</stp>
        <stp>VOLATILITY_30D</stp>
        <stp>01/03/2016</stp>
        <stp>01/03/2016</stp>
        <stp>[Bbg_Market_Data_CL.xlsm]data!R279C18</stp>
        <tr r="R279" s="1"/>
      </tp>
      <tp t="s">
        <v>#N/A Requesting Data...</v>
        <stp/>
        <stp>##V3_BDHV12</stp>
        <stp>CL1 Comdty</stp>
        <stp>VOLATILITY_30D</stp>
        <stp>03/11/2015</stp>
        <stp>03/11/2015</stp>
        <stp>[Bbg_Market_Data_CL.xlsm]data!R357C18</stp>
        <tr r="R357" s="1"/>
      </tp>
      <tp t="s">
        <v>#N/A Requesting Data...</v>
        <stp/>
        <stp>##V3_BDHV12</stp>
        <stp>CL1 Comdty</stp>
        <stp>VOLATILITY_30D</stp>
        <stp>31/03/2016</stp>
        <stp>31/03/2016</stp>
        <stp>[Bbg_Market_Data_CL.xlsm]data!R258C18</stp>
        <tr r="R258" s="1"/>
      </tp>
      <tp t="s">
        <v>#N/A Requesting Data...</v>
        <stp/>
        <stp>##V3_BDHV12</stp>
        <stp>CL2 Comdty</stp>
        <stp>VOLATILITY_30D</stp>
        <stp>24/07/2015</stp>
        <stp>24/07/2015</stp>
        <stp>[Bbg_Market_Data_CL.xlsm]data!R427C18</stp>
        <tr r="R427" s="1"/>
      </tp>
      <tp>
        <v>38.049999999999997</v>
        <stp/>
        <stp>##V3_BDHV12</stp>
        <stp>CL2 Comdty</stp>
        <stp>VOLATILITY_30D</stp>
        <stp>03/12/2015</stp>
        <stp>03/12/2015</stp>
        <stp>[Bbg_Market_Data_CL.xlsm]data!R337C18</stp>
        <tr r="R337" s="1"/>
      </tp>
      <tp t="s">
        <v>#N/A Requesting Data...</v>
        <stp/>
        <stp>##V3_BDHV12</stp>
        <stp>CL1 Comdty</stp>
        <stp>VOLATILITY_30D</stp>
        <stp>14/07/2015</stp>
        <stp>14/07/2015</stp>
        <stp>[Bbg_Market_Data_CL.xlsm]data!R435C18</stp>
        <tr r="R435" s="1"/>
      </tp>
      <tp t="s">
        <v>#N/A Requesting Data...</v>
        <stp/>
        <stp>##V3_BDHV12</stp>
        <stp>CL1 Comdty</stp>
        <stp>VOLUME_TOTAL_CALL</stp>
        <stp>30/01/2017</stp>
        <stp>30/01/2017</stp>
        <stp>[Bbg_Market_Data_CL.xlsm]data!R51C15</stp>
        <tr r="O51" s="1"/>
      </tp>
      <tp t="s">
        <v>#N/A Requesting Data...</v>
        <stp/>
        <stp>##V3_BDHV12</stp>
        <stp>CL2 Comdty</stp>
        <stp>VOLUME_TOTAL_CALL</stp>
        <stp>30/01/2017</stp>
        <stp>30/01/2017</stp>
        <stp>[Bbg_Market_Data_CL.xlsm]data!R51C15</stp>
        <tr r="O51" s="1"/>
      </tp>
      <tp t="s">
        <v>#N/A Requesting Data...</v>
        <stp/>
        <stp>##V3_BDHV12</stp>
        <stp>CL2 Comdty</stp>
        <stp>VOLUME_TOTAL_CALL</stp>
        <stp>10/03/2017</stp>
        <stp>10/03/2017</stp>
        <stp>[Bbg_Market_Data_CL.xlsm]data!R23C15</stp>
        <tr r="O23" s="1"/>
      </tp>
      <tp t="s">
        <v>#N/A Requesting Data...</v>
        <stp/>
        <stp>##V3_BDHV12</stp>
        <stp>CL1 Comdty</stp>
        <stp>VOLUME_TOTAL_CALL</stp>
        <stp>10/03/2017</stp>
        <stp>10/03/2017</stp>
        <stp>[Bbg_Market_Data_CL.xlsm]data!R23C15</stp>
        <tr r="O23" s="1"/>
      </tp>
      <tp t="s">
        <v>#N/A Requesting Data...</v>
        <stp/>
        <stp>##V3_BDHV12</stp>
        <stp>CL1 Comdty</stp>
        <stp>VOLUME_TOTAL_CALL</stp>
        <stp>31/01/2017</stp>
        <stp>31/01/2017</stp>
        <stp>[Bbg_Market_Data_CL.xlsm]data!R50C15</stp>
        <tr r="O50" s="1"/>
      </tp>
      <tp t="s">
        <v>#N/A Requesting Data...</v>
        <stp/>
        <stp>##V3_BDHV12</stp>
        <stp>CL1 Comdty</stp>
        <stp>VOLUME_TOTAL_CALL</stp>
        <stp>01/02/2017</stp>
        <stp>01/02/2017</stp>
        <stp>[Bbg_Market_Data_CL.xlsm]data!R49C15</stp>
        <tr r="O49" s="1"/>
      </tp>
      <tp t="s">
        <v>#N/A Requesting Data...</v>
        <stp/>
        <stp>##V3_BDHV12</stp>
        <stp>CL2 Comdty</stp>
        <stp>VOLUME_TOTAL_CALL</stp>
        <stp>01/02/2017</stp>
        <stp>01/02/2017</stp>
        <stp>[Bbg_Market_Data_CL.xlsm]data!R49C15</stp>
        <tr r="O49" s="1"/>
      </tp>
      <tp t="s">
        <v>#N/A Requesting Data...</v>
        <stp/>
        <stp>##V3_BDHV12</stp>
        <stp>CL2 Comdty</stp>
        <stp>VOLUME_TOTAL_CALL</stp>
        <stp>31/01/2017</stp>
        <stp>31/01/2017</stp>
        <stp>[Bbg_Market_Data_CL.xlsm]data!R50C15</stp>
        <tr r="O50" s="1"/>
      </tp>
      <tp t="s">
        <v>#N/A Requesting Data...</v>
        <stp/>
        <stp>##V3_BDHV12</stp>
        <stp>CL1 Comdty</stp>
        <stp>VOLUME_TOTAL_CALL</stp>
        <stp>21/11/2016</stp>
        <stp>21/11/2016</stp>
        <stp>[Bbg_Market_Data_CL.xlsm]data!R97C15</stp>
        <tr r="O97" s="1"/>
      </tp>
      <tp t="s">
        <v>#N/A Requesting Data...</v>
        <stp/>
        <stp>##V3_BDHV12</stp>
        <stp>CL2 Comdty</stp>
        <stp>VOLUME_TOTAL_CALL</stp>
        <stp>21/11/2016</stp>
        <stp>21/11/2016</stp>
        <stp>[Bbg_Market_Data_CL.xlsm]data!R97C15</stp>
        <tr r="O97" s="1"/>
      </tp>
      <tp t="s">
        <v>#N/A Requesting Data...</v>
        <stp/>
        <stp>##V3_BDHV12</stp>
        <stp>CL2 Comdty</stp>
        <stp>VOLUME_TOTAL_CALL</stp>
        <stp>02/02/2017</stp>
        <stp>02/02/2017</stp>
        <stp>[Bbg_Market_Data_CL.xlsm]data!R48C15</stp>
        <tr r="O48" s="1"/>
      </tp>
      <tp t="s">
        <v>#N/A Requesting Data...</v>
        <stp/>
        <stp>##V3_BDHV12</stp>
        <stp>CL1 Comdty</stp>
        <stp>VOLUME_TOTAL_CALL</stp>
        <stp>02/02/2017</stp>
        <stp>02/02/2017</stp>
        <stp>[Bbg_Market_Data_CL.xlsm]data!R48C15</stp>
        <tr r="O48" s="1"/>
      </tp>
      <tp t="s">
        <v>#N/A Requesting Data...</v>
        <stp/>
        <stp>##V3_BDHV12</stp>
        <stp>CL2 Comdty</stp>
        <stp>VOLUME_TOTAL_CALL</stp>
        <stp>12/12/2016</stp>
        <stp>12/12/2016</stp>
        <stp>[Bbg_Market_Data_CL.xlsm]data!R83C15</stp>
        <tr r="O83" s="1"/>
      </tp>
      <tp t="s">
        <v>#N/A Requesting Data...</v>
        <stp/>
        <stp>##V3_BDHV12</stp>
        <stp>CL2 Comdty</stp>
        <stp>VOLUME_TOTAL_CALL</stp>
        <stp>22/11/2016</stp>
        <stp>22/11/2016</stp>
        <stp>[Bbg_Market_Data_CL.xlsm]data!R96C15</stp>
        <tr r="O96" s="1"/>
      </tp>
      <tp t="s">
        <v>#N/A Requesting Data...</v>
        <stp/>
        <stp>##V3_BDHV12</stp>
        <stp>CL1 Comdty</stp>
        <stp>VOLUME_TOTAL_CALL</stp>
        <stp>22/11/2016</stp>
        <stp>22/11/2016</stp>
        <stp>[Bbg_Market_Data_CL.xlsm]data!R96C15</stp>
        <tr r="O96" s="1"/>
      </tp>
      <tp t="s">
        <v>#N/A Requesting Data...</v>
        <stp/>
        <stp>##V3_BDHV12</stp>
        <stp>CL1 Comdty</stp>
        <stp>VOLUME_TOTAL_CALL</stp>
        <stp>12/12/2016</stp>
        <stp>12/12/2016</stp>
        <stp>[Bbg_Market_Data_CL.xlsm]data!R83C15</stp>
        <tr r="O83" s="1"/>
      </tp>
      <tp t="s">
        <v>#N/A Requesting Data...</v>
        <stp/>
        <stp>##V3_BDHV12</stp>
        <stp>CL2 Comdty</stp>
        <stp>VOLUME_TOTAL_CALL</stp>
        <stp>03/02/2017</stp>
        <stp>03/02/2017</stp>
        <stp>[Bbg_Market_Data_CL.xlsm]data!R47C15</stp>
        <tr r="O47" s="1"/>
      </tp>
      <tp t="s">
        <v>#N/A Requesting Data...</v>
        <stp/>
        <stp>##V3_BDHV12</stp>
        <stp>CL1 Comdty</stp>
        <stp>VOLUME_TOTAL_CALL</stp>
        <stp>03/02/2017</stp>
        <stp>03/02/2017</stp>
        <stp>[Bbg_Market_Data_CL.xlsm]data!R47C15</stp>
        <tr r="O47" s="1"/>
      </tp>
      <tp t="s">
        <v>#N/A Requesting Data...</v>
        <stp/>
        <stp>##V3_BDHV12</stp>
        <stp>CL1 Comdty</stp>
        <stp>VOLUME_TOTAL_CALL</stp>
        <stp>13/03/2017</stp>
        <stp>13/03/2017</stp>
        <stp>[Bbg_Market_Data_CL.xlsm]data!R22C15</stp>
        <tr r="O22" s="1"/>
      </tp>
      <tp t="s">
        <v>#N/A Requesting Data...</v>
        <stp/>
        <stp>##V3_BDHV12</stp>
        <stp>CL2 Comdty</stp>
        <stp>VOLUME_TOTAL_CALL</stp>
        <stp>13/03/2017</stp>
        <stp>13/03/2017</stp>
        <stp>[Bbg_Market_Data_CL.xlsm]data!R22C15</stp>
        <tr r="O22" s="1"/>
      </tp>
      <tp t="s">
        <v>#N/A Requesting Data...</v>
        <stp/>
        <stp>##V3_BDHV12</stp>
        <stp>CL2 Comdty</stp>
        <stp>VOLUME_TOTAL_CALL</stp>
        <stp>23/11/2016</stp>
        <stp>23/11/2016</stp>
        <stp>[Bbg_Market_Data_CL.xlsm]data!R95C15</stp>
        <tr r="O95" s="1"/>
      </tp>
      <tp t="s">
        <v>#N/A Requesting Data...</v>
        <stp/>
        <stp>##V3_BDHV12</stp>
        <stp>CL2 Comdty</stp>
        <stp>VOLUME_TOTAL_CALL</stp>
        <stp>13/12/2016</stp>
        <stp>13/12/2016</stp>
        <stp>[Bbg_Market_Data_CL.xlsm]data!R82C15</stp>
        <tr r="O82" s="1"/>
      </tp>
      <tp t="s">
        <v>#N/A Requesting Data...</v>
        <stp/>
        <stp>##V3_BDHV12</stp>
        <stp>CL1 Comdty</stp>
        <stp>VOLUME_TOTAL_CALL</stp>
        <stp>13/12/2016</stp>
        <stp>13/12/2016</stp>
        <stp>[Bbg_Market_Data_CL.xlsm]data!R82C15</stp>
        <tr r="O82" s="1"/>
      </tp>
      <tp t="s">
        <v>#N/A Requesting Data...</v>
        <stp/>
        <stp>##V3_BDHV12</stp>
        <stp>CL1 Comdty</stp>
        <stp>VOLUME_TOTAL_CALL</stp>
        <stp>23/11/2016</stp>
        <stp>23/11/2016</stp>
        <stp>[Bbg_Market_Data_CL.xlsm]data!R95C15</stp>
        <tr r="O95" s="1"/>
      </tp>
      <tp t="s">
        <v>#N/A Requesting Data...</v>
        <stp/>
        <stp>##V3_BDHV12</stp>
        <stp>CL2 Comdty</stp>
        <stp>VOLUME_TOTAL_CALL</stp>
        <stp>14/03/2017</stp>
        <stp>14/03/2017</stp>
        <stp>[Bbg_Market_Data_CL.xlsm]data!R21C15</stp>
        <tr r="O21" s="1"/>
      </tp>
      <tp t="s">
        <v>#N/A Requesting Data...</v>
        <stp/>
        <stp>##V3_BDHV12</stp>
        <stp>CL1 Comdty</stp>
        <stp>VOLUME_TOTAL_CALL</stp>
        <stp>14/03/2017</stp>
        <stp>14/03/2017</stp>
        <stp>[Bbg_Market_Data_CL.xlsm]data!R21C15</stp>
        <tr r="O21" s="1"/>
      </tp>
      <tp t="s">
        <v>#N/A Requesting Data...</v>
        <stp/>
        <stp>##V3_BDHV12</stp>
        <stp>CL1 Comdty</stp>
        <stp>VOLUME_TOTAL_CALL</stp>
        <stp>14/12/2016</stp>
        <stp>14/12/2016</stp>
        <stp>[Bbg_Market_Data_CL.xlsm]data!R81C15</stp>
        <tr r="O81" s="1"/>
      </tp>
      <tp t="s">
        <v>#N/A Requesting Data...</v>
        <stp/>
        <stp>##V3_BDHV12</stp>
        <stp>CL2 Comdty</stp>
        <stp>VOLUME_TOTAL_CALL</stp>
        <stp>14/12/2016</stp>
        <stp>14/12/2016</stp>
        <stp>[Bbg_Market_Data_CL.xlsm]data!R81C15</stp>
        <tr r="O81" s="1"/>
      </tp>
      <tp t="s">
        <v>#N/A Requesting Data...</v>
        <stp/>
        <stp>##V3_BDHV12</stp>
        <stp>CL2 Comdty</stp>
        <stp>VOLUME_TOTAL_CALL</stp>
        <stp>15/03/2017</stp>
        <stp>15/03/2017</stp>
        <stp>[Bbg_Market_Data_CL.xlsm]data!R20C15</stp>
        <tr r="O20" s="1"/>
      </tp>
      <tp t="s">
        <v>#N/A Requesting Data...</v>
        <stp/>
        <stp>##V3_BDHV12</stp>
        <stp>CL1 Comdty</stp>
        <stp>VOLUME_TOTAL_CALL</stp>
        <stp>15/03/2017</stp>
        <stp>15/03/2017</stp>
        <stp>[Bbg_Market_Data_CL.xlsm]data!R20C15</stp>
        <tr r="O20" s="1"/>
      </tp>
      <tp t="s">
        <v>#N/A Requesting Data...</v>
        <stp/>
        <stp>##V3_BDHV12</stp>
        <stp>CL1 Comdty</stp>
        <stp>VOLUME_TOTAL_CALL</stp>
        <stp>15/12/2016</stp>
        <stp>15/12/2016</stp>
        <stp>[Bbg_Market_Data_CL.xlsm]data!R80C15</stp>
        <tr r="O80" s="1"/>
      </tp>
      <tp t="s">
        <v>#N/A Requesting Data...</v>
        <stp/>
        <stp>##V3_BDHV12</stp>
        <stp>CL1 Comdty</stp>
        <stp>VOLUME_TOTAL_CALL</stp>
        <stp>25/11/2016</stp>
        <stp>25/11/2016</stp>
        <stp>[Bbg_Market_Data_CL.xlsm]data!R94C15</stp>
        <tr r="O94" s="1"/>
      </tp>
      <tp t="s">
        <v>#N/A Requesting Data...</v>
        <stp/>
        <stp>##V3_BDHV12</stp>
        <stp>CL2 Comdty</stp>
        <stp>VOLUME_TOTAL_CALL</stp>
        <stp>25/11/2016</stp>
        <stp>25/11/2016</stp>
        <stp>[Bbg_Market_Data_CL.xlsm]data!R94C15</stp>
        <tr r="O94" s="1"/>
      </tp>
      <tp t="s">
        <v>#N/A Requesting Data...</v>
        <stp/>
        <stp>##V3_BDHV12</stp>
        <stp>CL2 Comdty</stp>
        <stp>VOLUME_TOTAL_CALL</stp>
        <stp>15/12/2016</stp>
        <stp>15/12/2016</stp>
        <stp>[Bbg_Market_Data_CL.xlsm]data!R80C15</stp>
        <tr r="O80" s="1"/>
      </tp>
      <tp t="s">
        <v>#N/A Requesting Data...</v>
        <stp/>
        <stp>##V3_BDHV12</stp>
        <stp>CL2 Comdty</stp>
        <stp>VOLUME_TOTAL_CALL</stp>
        <stp>16/03/2017</stp>
        <stp>16/03/2017</stp>
        <stp>[Bbg_Market_Data_CL.xlsm]data!R19C15</stp>
        <tr r="O19" s="1"/>
      </tp>
      <tp t="s">
        <v>#N/A Requesting Data...</v>
        <stp/>
        <stp>##V3_BDHV12</stp>
        <stp>CL1 Comdty</stp>
        <stp>VOLUME_TOTAL_CALL</stp>
        <stp>16/03/2017</stp>
        <stp>16/03/2017</stp>
        <stp>[Bbg_Market_Data_CL.xlsm]data!R19C15</stp>
        <tr r="O19" s="1"/>
      </tp>
      <tp t="s">
        <v>#N/A Requesting Data...</v>
        <stp/>
        <stp>##V3_BDHV12</stp>
        <stp>CL1 Comdty</stp>
        <stp>VOLUME_TOTAL_CALL</stp>
        <stp>16/12/2016</stp>
        <stp>16/12/2016</stp>
        <stp>[Bbg_Market_Data_CL.xlsm]data!R79C15</stp>
        <tr r="O79" s="1"/>
      </tp>
      <tp t="s">
        <v>#N/A Requesting Data...</v>
        <stp/>
        <stp>##V3_BDHV12</stp>
        <stp>CL2 Comdty</stp>
        <stp>VOLUME_TOTAL_CALL</stp>
        <stp>06/02/2017</stp>
        <stp>06/02/2017</stp>
        <stp>[Bbg_Market_Data_CL.xlsm]data!R46C15</stp>
        <tr r="O46" s="1"/>
      </tp>
      <tp t="s">
        <v>#N/A Requesting Data...</v>
        <stp/>
        <stp>##V3_BDHV12</stp>
        <stp>CL1 Comdty</stp>
        <stp>VOLUME_TOTAL_CALL</stp>
        <stp>06/02/2017</stp>
        <stp>06/02/2017</stp>
        <stp>[Bbg_Market_Data_CL.xlsm]data!R46C15</stp>
        <tr r="O46" s="1"/>
      </tp>
      <tp t="s">
        <v>#N/A Requesting Data...</v>
        <stp/>
        <stp>##V3_BDHV12</stp>
        <stp>CL2 Comdty</stp>
        <stp>VOLUME_TOTAL_CALL</stp>
        <stp>16/12/2016</stp>
        <stp>16/12/2016</stp>
        <stp>[Bbg_Market_Data_CL.xlsm]data!R79C15</stp>
        <tr r="O79" s="1"/>
      </tp>
      <tp t="s">
        <v>#N/A Requesting Data...</v>
        <stp/>
        <stp>##V3_BDHV12</stp>
        <stp>CL2 Comdty</stp>
        <stp>VOLUME_TOTAL_CALL</stp>
        <stp>17/03/2017</stp>
        <stp>17/03/2017</stp>
        <stp>[Bbg_Market_Data_CL.xlsm]data!R18C15</stp>
        <tr r="O18" s="1"/>
      </tp>
      <tp t="s">
        <v>#N/A Requesting Data...</v>
        <stp/>
        <stp>##V3_BDHV12</stp>
        <stp>CL1 Comdty</stp>
        <stp>VOLUME_TOTAL_CALL</stp>
        <stp>17/03/2017</stp>
        <stp>17/03/2017</stp>
        <stp>[Bbg_Market_Data_CL.xlsm]data!R18C15</stp>
        <tr r="O18" s="1"/>
      </tp>
      <tp t="s">
        <v>#N/A Requesting Data...</v>
        <stp/>
        <stp>##V3_BDHV12</stp>
        <stp>CL2 Comdty</stp>
        <stp>VOLUME_TOTAL_CALL</stp>
        <stp>07/02/2017</stp>
        <stp>07/02/2017</stp>
        <stp>[Bbg_Market_Data_CL.xlsm]data!R45C15</stp>
        <tr r="O45" s="1"/>
      </tp>
      <tp t="s">
        <v>#N/A Requesting Data...</v>
        <stp/>
        <stp>##V3_BDHV12</stp>
        <stp>CL1 Comdty</stp>
        <stp>VOLUME_TOTAL_CALL</stp>
        <stp>07/02/2017</stp>
        <stp>07/02/2017</stp>
        <stp>[Bbg_Market_Data_CL.xlsm]data!R45C15</stp>
        <tr r="O45" s="1"/>
      </tp>
      <tp t="s">
        <v>#N/A Requesting Data...</v>
        <stp/>
        <stp>##V3_BDHV12</stp>
        <stp>CL1 Comdty</stp>
        <stp>VOLUME_TOTAL_CALL</stp>
        <stp>28/11/2016</stp>
        <stp>28/11/2016</stp>
        <stp>[Bbg_Market_Data_CL.xlsm]data!R93C15</stp>
        <tr r="O93" s="1"/>
      </tp>
      <tp t="s">
        <v>#N/A Requesting Data...</v>
        <stp/>
        <stp>##V3_BDHV12</stp>
        <stp>CL2 Comdty</stp>
        <stp>VOLUME_TOTAL_CALL</stp>
        <stp>28/11/2016</stp>
        <stp>28/11/2016</stp>
        <stp>[Bbg_Market_Data_CL.xlsm]data!R93C15</stp>
        <tr r="O93" s="1"/>
      </tp>
      <tp t="s">
        <v>#N/A Requesting Data...</v>
        <stp/>
        <stp>##V3_BDHV12</stp>
        <stp>CL1 Comdty</stp>
        <stp>VOLUME_TOTAL_CALL</stp>
        <stp>08/02/2017</stp>
        <stp>08/02/2017</stp>
        <stp>[Bbg_Market_Data_CL.xlsm]data!R44C15</stp>
        <tr r="O44" s="1"/>
      </tp>
      <tp t="s">
        <v>#N/A Requesting Data...</v>
        <stp/>
        <stp>##V3_BDHV12</stp>
        <stp>CL2 Comdty</stp>
        <stp>VOLUME_TOTAL_CALL</stp>
        <stp>08/02/2017</stp>
        <stp>08/02/2017</stp>
        <stp>[Bbg_Market_Data_CL.xlsm]data!R44C15</stp>
        <tr r="O44" s="1"/>
      </tp>
      <tp t="s">
        <v>#N/A Requesting Data...</v>
        <stp/>
        <stp>##V3_BDHV12</stp>
        <stp>CL1 Comdty</stp>
        <stp>VOLUME_TOTAL_CALL</stp>
        <stp>29/11/2016</stp>
        <stp>29/11/2016</stp>
        <stp>[Bbg_Market_Data_CL.xlsm]data!R92C15</stp>
        <tr r="O92" s="1"/>
      </tp>
      <tp t="s">
        <v>#N/A Requesting Data...</v>
        <stp/>
        <stp>##V3_BDHV12</stp>
        <stp>CL2 Comdty</stp>
        <stp>VOLUME_TOTAL_CALL</stp>
        <stp>29/11/2016</stp>
        <stp>29/11/2016</stp>
        <stp>[Bbg_Market_Data_CL.xlsm]data!R92C15</stp>
        <tr r="O92" s="1"/>
      </tp>
      <tp t="s">
        <v>#N/A Requesting Data...</v>
        <stp/>
        <stp>##V3_BDHV12</stp>
        <stp>CL2 Comdty</stp>
        <stp>VOLUME_TOTAL_CALL</stp>
        <stp>19/12/2016</stp>
        <stp>19/12/2016</stp>
        <stp>[Bbg_Market_Data_CL.xlsm]data!R78C15</stp>
        <tr r="O78" s="1"/>
      </tp>
      <tp t="s">
        <v>#N/A Requesting Data...</v>
        <stp/>
        <stp>##V3_BDHV12</stp>
        <stp>CL1 Comdty</stp>
        <stp>VOLUME_TOTAL_CALL</stp>
        <stp>09/02/2017</stp>
        <stp>09/02/2017</stp>
        <stp>[Bbg_Market_Data_CL.xlsm]data!R43C15</stp>
        <tr r="O43" s="1"/>
      </tp>
      <tp t="s">
        <v>#N/A Requesting Data...</v>
        <stp/>
        <stp>##V3_BDHV12</stp>
        <stp>CL2 Comdty</stp>
        <stp>VOLUME_TOTAL_CALL</stp>
        <stp>09/02/2017</stp>
        <stp>09/02/2017</stp>
        <stp>[Bbg_Market_Data_CL.xlsm]data!R43C15</stp>
        <tr r="O43" s="1"/>
      </tp>
      <tp t="s">
        <v>#N/A Requesting Data...</v>
        <stp/>
        <stp>##V3_BDHV12</stp>
        <stp>CL1 Comdty</stp>
        <stp>VOLUME_TOTAL_CALL</stp>
        <stp>19/12/2016</stp>
        <stp>19/12/2016</stp>
        <stp>[Bbg_Market_Data_CL.xlsm]data!R78C15</stp>
        <tr r="O78" s="1"/>
      </tp>
      <tp t="s">
        <v>#N/A Requesting Data...</v>
        <stp/>
        <stp>##V3_BDHV12</stp>
        <stp>CL1 Comdty</stp>
        <stp>PX_LOW</stp>
        <stp>27/04/2015</stp>
        <stp>27/04/2015</stp>
        <stp>[Bbg_Market_Data_CL.xlsm]data!R489C7</stp>
        <tr r="G489" s="1"/>
      </tp>
      <tp>
        <v>49.61</v>
        <stp/>
        <stp>##V3_BDHV12</stp>
        <stp>CL2 Comdty</stp>
        <stp>PX_LOW</stp>
        <stp>26/05/2016</stp>
        <stp>26/05/2016</stp>
        <stp>[Bbg_Market_Data_CL.xlsm]data!R218C7</stp>
        <tr r="G218" s="1"/>
      </tp>
      <tp>
        <v>44.64</v>
        <stp/>
        <stp>##V3_BDHV12</stp>
        <stp>CL2 Comdty</stp>
        <stp>PX_LOW</stp>
        <stp>27/04/2016</stp>
        <stp>27/04/2016</stp>
        <stp>[Bbg_Market_Data_CL.xlsm]data!R239C7</stp>
        <tr r="G239" s="1"/>
      </tp>
      <tp t="s">
        <v>#N/A Requesting Data...</v>
        <stp/>
        <stp>##V3_BDHV12</stp>
        <stp>CL1 Comdty</stp>
        <stp>PX_LOW</stp>
        <stp>08/09/2015</stp>
        <stp>08/09/2015</stp>
        <stp>[Bbg_Market_Data_CL.xlsm]data!R396C7</stp>
        <tr r="G396" s="1"/>
      </tp>
      <tp t="s">
        <v>#N/A Requesting Data...</v>
        <stp/>
        <stp>##V3_BDHV12</stp>
        <stp>CL1 Comdty</stp>
        <stp>PX_LOW</stp>
        <stp>27/05/2015</stp>
        <stp>27/05/2015</stp>
        <stp>[Bbg_Market_Data_CL.xlsm]data!R468C7</stp>
        <tr r="G468" s="1"/>
      </tp>
      <tp>
        <v>46.15</v>
        <stp/>
        <stp>##V3_BDHV12</stp>
        <stp>CL2 Comdty</stp>
        <stp>PX_LOW</stp>
        <stp>09/09/2016</stp>
        <stp>09/09/2016</stp>
        <stp>[Bbg_Market_Data_CL.xlsm]data!R146C7</stp>
        <tr r="G146" s="1"/>
      </tp>
      <tp t="s">
        <v>#N/A Requesting Data...</v>
        <stp/>
        <stp>##V3_BDHV12</stp>
        <stp>CL2 Comdty</stp>
        <stp>PX_LOW</stp>
        <stp>27/05/2015</stp>
        <stp>27/05/2015</stp>
        <stp>[Bbg_Market_Data_CL.xlsm]data!R468C7</stp>
        <tr r="G468" s="1"/>
      </tp>
      <tp t="s">
        <v>#N/A Requesting Data...</v>
        <stp/>
        <stp>##V3_BDHV12</stp>
        <stp>CL1 Comdty</stp>
        <stp>PX_LOW</stp>
        <stp>09/09/2016</stp>
        <stp>09/09/2016</stp>
        <stp>[Bbg_Market_Data_CL.xlsm]data!R146C7</stp>
        <tr r="G146" s="1"/>
      </tp>
      <tp t="s">
        <v>#N/A Requesting Data...</v>
        <stp/>
        <stp>##V3_BDHV12</stp>
        <stp>CL2 Comdty</stp>
        <stp>PX_LOW</stp>
        <stp>27/04/2015</stp>
        <stp>27/04/2015</stp>
        <stp>[Bbg_Market_Data_CL.xlsm]data!R489C7</stp>
        <tr r="G489" s="1"/>
      </tp>
      <tp t="s">
        <v>#N/A Requesting Data...</v>
        <stp/>
        <stp>##V3_BDHV12</stp>
        <stp>CL1 Comdty</stp>
        <stp>PX_LOW</stp>
        <stp>26/05/2016</stp>
        <stp>26/05/2016</stp>
        <stp>[Bbg_Market_Data_CL.xlsm]data!R218C7</stp>
        <tr r="G218" s="1"/>
      </tp>
      <tp t="s">
        <v>#N/A Requesting Data...</v>
        <stp/>
        <stp>##V3_BDHV12</stp>
        <stp>CL1 Comdty</stp>
        <stp>PX_LOW</stp>
        <stp>27/04/2016</stp>
        <stp>27/04/2016</stp>
        <stp>[Bbg_Market_Data_CL.xlsm]data!R239C7</stp>
        <tr r="G239" s="1"/>
      </tp>
      <tp>
        <v>44.71</v>
        <stp/>
        <stp>##V3_BDHV12</stp>
        <stp>CL2 Comdty</stp>
        <stp>PX_LOW</stp>
        <stp>08/09/2015</stp>
        <stp>08/09/2015</stp>
        <stp>[Bbg_Market_Data_CL.xlsm]data!R396C7</stp>
        <tr r="G396" s="1"/>
      </tp>
      <tp t="s">
        <v>#N/A Requesting Data...</v>
        <stp/>
        <stp>##V3_BDHV12</stp>
        <stp>CL1 Comdty</stp>
        <stp>PX_LOW</stp>
        <stp>10/06/2016</stp>
        <stp>10/06/2016</stp>
        <stp>[Bbg_Market_Data_CL.xlsm]data!R208C7</stp>
        <tr r="G208" s="1"/>
      </tp>
      <tp t="s">
        <v>#N/A Requesting Data...</v>
        <stp/>
        <stp>##V3_BDHV12</stp>
        <stp>CL2 Comdty</stp>
        <stp>PX_LOW</stp>
        <stp>10/06/2015</stp>
        <stp>10/06/2015</stp>
        <stp>[Bbg_Market_Data_CL.xlsm]data!R458C7</stp>
        <tr r="G458" s="1"/>
      </tp>
      <tp>
        <v>49.45</v>
        <stp/>
        <stp>##V3_BDHV12</stp>
        <stp>CL2 Comdty</stp>
        <stp>PX_LOW</stp>
        <stp>10/06/2016</stp>
        <stp>10/06/2016</stp>
        <stp>[Bbg_Market_Data_CL.xlsm]data!R208C7</stp>
        <tr r="G208" s="1"/>
      </tp>
      <tp t="s">
        <v>#N/A Requesting Data...</v>
        <stp/>
        <stp>##V3_BDHV12</stp>
        <stp>CL1 Comdty</stp>
        <stp>PX_LOW</stp>
        <stp>10/06/2015</stp>
        <stp>10/06/2015</stp>
        <stp>[Bbg_Market_Data_CL.xlsm]data!R458C7</stp>
        <tr r="G458" s="1"/>
      </tp>
      <tp t="s">
        <v>#N/A Requesting Data...</v>
        <stp/>
        <stp>##V3_BDHV12</stp>
        <stp>CL1 Comdty</stp>
        <stp>PX_LOW</stp>
        <stp>10/08/2015</stp>
        <stp>10/08/2015</stp>
        <stp>[Bbg_Market_Data_CL.xlsm]data!R416C7</stp>
        <tr r="G416" s="1"/>
      </tp>
      <tp>
        <v>41.85</v>
        <stp/>
        <stp>##V3_BDHV12</stp>
        <stp>CL2 Comdty</stp>
        <stp>PX_LOW</stp>
        <stp>11/08/2016</stp>
        <stp>11/08/2016</stp>
        <stp>[Bbg_Market_Data_CL.xlsm]data!R166C7</stp>
        <tr r="G166" s="1"/>
      </tp>
      <tp t="s">
        <v>#N/A Requesting Data...</v>
        <stp/>
        <stp>##V3_BDHV12</stp>
        <stp>CL1 Comdty</stp>
        <stp>PX_LOW</stp>
        <stp>11/08/2016</stp>
        <stp>11/08/2016</stp>
        <stp>[Bbg_Market_Data_CL.xlsm]data!R166C7</stp>
        <tr r="G166" s="1"/>
      </tp>
      <tp>
        <v>43.84</v>
        <stp/>
        <stp>##V3_BDHV12</stp>
        <stp>CL2 Comdty</stp>
        <stp>PX_LOW</stp>
        <stp>10/08/2015</stp>
        <stp>10/08/2015</stp>
        <stp>[Bbg_Market_Data_CL.xlsm]data!R416C7</stp>
        <tr r="G416" s="1"/>
      </tp>
      <tp t="s">
        <v>#N/A Requesting Data...</v>
        <stp/>
        <stp>##V3_BDHV12</stp>
        <stp>CL2 Comdty</stp>
        <stp>PX_LOW</stp>
        <stp>09/07/2015</stp>
        <stp>09/07/2015</stp>
        <stp>[Bbg_Market_Data_CL.xlsm]data!R438C7</stp>
        <tr r="G438" s="1"/>
      </tp>
      <tp>
        <v>38.85</v>
        <stp/>
        <stp>##V3_BDHV12</stp>
        <stp>CL2 Comdty</stp>
        <stp>PX_LOW</stp>
        <stp>25/08/2015</stp>
        <stp>25/08/2015</stp>
        <stp>[Bbg_Market_Data_CL.xlsm]data!R405C7</stp>
        <tr r="G405" s="1"/>
      </tp>
      <tp>
        <v>44.2</v>
        <stp/>
        <stp>##V3_BDHV12</stp>
        <stp>CL2 Comdty</stp>
        <stp>PX_LOW</stp>
        <stp>07/08/2015</stp>
        <stp>07/08/2015</stp>
        <stp>[Bbg_Market_Data_CL.xlsm]data!R417C7</stp>
        <tr r="G417" s="1"/>
      </tp>
      <tp>
        <v>44.76</v>
        <stp/>
        <stp>##V3_BDHV12</stp>
        <stp>CL2 Comdty</stp>
        <stp>PX_LOW</stp>
        <stp>27/09/2016</stp>
        <stp>27/09/2016</stp>
        <stp>[Bbg_Market_Data_CL.xlsm]data!R134C7</stp>
        <tr r="G134" s="1"/>
      </tp>
      <tp>
        <v>47.62</v>
        <stp/>
        <stp>##V3_BDHV12</stp>
        <stp>CL2 Comdty</stp>
        <stp>PX_LOW</stp>
        <stp>26/08/2016</stp>
        <stp>26/08/2016</stp>
        <stp>[Bbg_Market_Data_CL.xlsm]data!R155C7</stp>
        <tr r="G155" s="1"/>
      </tp>
      <tp>
        <v>44.31</v>
        <stp/>
        <stp>##V3_BDHV12</stp>
        <stp>CL2 Comdty</stp>
        <stp>PX_LOW</stp>
        <stp>24/09/2015</stp>
        <stp>24/09/2015</stp>
        <stp>[Bbg_Market_Data_CL.xlsm]data!R384C7</stp>
        <tr r="G384" s="1"/>
      </tp>
      <tp t="s">
        <v>#N/A Requesting Data...</v>
        <stp/>
        <stp>##V3_BDHV12</stp>
        <stp>CL1 Comdty</stp>
        <stp>PX_LOW</stp>
        <stp>09/06/2016</stp>
        <stp>09/06/2016</stp>
        <stp>[Bbg_Market_Data_CL.xlsm]data!R209C7</stp>
        <tr r="G209" s="1"/>
      </tp>
      <tp t="s">
        <v>#N/A Requesting Data...</v>
        <stp/>
        <stp>##V3_BDHV12</stp>
        <stp>CL2 Comdty</stp>
        <stp>PX_LOW</stp>
        <stp>09/06/2015</stp>
        <stp>09/06/2015</stp>
        <stp>[Bbg_Market_Data_CL.xlsm]data!R459C7</stp>
        <tr r="G459" s="1"/>
      </tp>
      <tp t="s">
        <v>#N/A Requesting Data...</v>
        <stp/>
        <stp>##V3_BDHV12</stp>
        <stp>CL1 Comdty</stp>
        <stp>PX_LOW</stp>
        <stp>25/08/2015</stp>
        <stp>25/08/2015</stp>
        <stp>[Bbg_Market_Data_CL.xlsm]data!R405C7</stp>
        <tr r="G405" s="1"/>
      </tp>
      <tp t="s">
        <v>#N/A Requesting Data...</v>
        <stp/>
        <stp>##V3_BDHV12</stp>
        <stp>CL1 Comdty</stp>
        <stp>PX_LOW</stp>
        <stp>07/08/2015</stp>
        <stp>07/08/2015</stp>
        <stp>[Bbg_Market_Data_CL.xlsm]data!R417C7</stp>
        <tr r="G417" s="1"/>
      </tp>
      <tp t="s">
        <v>#N/A Requesting Data...</v>
        <stp/>
        <stp>##V3_BDHV12</stp>
        <stp>CL1 Comdty</stp>
        <stp>PX_LOW</stp>
        <stp>27/09/2016</stp>
        <stp>27/09/2016</stp>
        <stp>[Bbg_Market_Data_CL.xlsm]data!R134C7</stp>
        <tr r="G134" s="1"/>
      </tp>
      <tp t="s">
        <v>#N/A Requesting Data...</v>
        <stp/>
        <stp>##V3_BDHV12</stp>
        <stp>CL1 Comdty</stp>
        <stp>PX_LOW</stp>
        <stp>26/08/2016</stp>
        <stp>26/08/2016</stp>
        <stp>[Bbg_Market_Data_CL.xlsm]data!R155C7</stp>
        <tr r="G155" s="1"/>
      </tp>
      <tp t="s">
        <v>#N/A Requesting Data...</v>
        <stp/>
        <stp>##V3_BDHV12</stp>
        <stp>CL1 Comdty</stp>
        <stp>PX_LOW</stp>
        <stp>24/09/2015</stp>
        <stp>24/09/2015</stp>
        <stp>[Bbg_Market_Data_CL.xlsm]data!R384C7</stp>
        <tr r="G384" s="1"/>
      </tp>
      <tp>
        <v>50.83</v>
        <stp/>
        <stp>##V3_BDHV12</stp>
        <stp>CL2 Comdty</stp>
        <stp>PX_LOW</stp>
        <stp>09/06/2016</stp>
        <stp>09/06/2016</stp>
        <stp>[Bbg_Market_Data_CL.xlsm]data!R209C7</stp>
        <tr r="G209" s="1"/>
      </tp>
      <tp t="s">
        <v>#N/A Requesting Data...</v>
        <stp/>
        <stp>##V3_BDHV12</stp>
        <stp>CL1 Comdty</stp>
        <stp>PX_LOW</stp>
        <stp>09/06/2015</stp>
        <stp>09/06/2015</stp>
        <stp>[Bbg_Market_Data_CL.xlsm]data!R459C7</stp>
        <tr r="G459" s="1"/>
      </tp>
      <tp t="s">
        <v>#N/A Requesting Data...</v>
        <stp/>
        <stp>##V3_BDHV12</stp>
        <stp>CL1 Comdty</stp>
        <stp>PX_LOW</stp>
        <stp>09/07/2015</stp>
        <stp>09/07/2015</stp>
        <stp>[Bbg_Market_Data_CL.xlsm]data!R438C7</stp>
        <tr r="G438" s="1"/>
      </tp>
      <tp>
        <v>30.12</v>
        <stp/>
        <stp>##V3_BDHV12</stp>
        <stp>CL2 Comdty</stp>
        <stp>VOLATILITY_30D</stp>
        <stp>19/08/2015</stp>
        <stp>19/08/2015</stp>
        <stp>[Bbg_Market_Data_CL.xlsm]data!R409C18</stp>
        <tr r="R409" s="1"/>
      </tp>
      <tp t="s">
        <v>#N/A Requesting Data...</v>
        <stp/>
        <stp>##V3_BDHV12</stp>
        <stp>CL1 Comdty</stp>
        <stp>VOLATILITY_10D</stp>
        <stp>18/08/2015</stp>
        <stp>18/08/2015</stp>
        <stp>[Bbg_Market_Data_CL.xlsm]data!R410C17</stp>
        <tr r="Q410" s="1"/>
      </tp>
      <tp>
        <v>77.180000000000007</v>
        <stp/>
        <stp>##V3_BDHV12</stp>
        <stp>CL2 Comdty</stp>
        <stp>VOLATILITY_10D</stp>
        <stp>28/08/2015</stp>
        <stp>28/08/2015</stp>
        <stp>[Bbg_Market_Data_CL.xlsm]data!R402C17</stp>
        <tr r="Q402" s="1"/>
      </tp>
      <tp t="s">
        <v>#N/A Requesting Data...</v>
        <stp/>
        <stp>##V3_BDHV12</stp>
        <stp>CL1 Comdty</stp>
        <stp>VOLATILITY_10D</stp>
        <stp>29/09/2016</stp>
        <stp>29/09/2016</stp>
        <stp>[Bbg_Market_Data_CL.xlsm]data!R132C17</stp>
        <tr r="Q132" s="1"/>
      </tp>
      <tp>
        <v>43.64</v>
        <stp/>
        <stp>##V3_BDHV12</stp>
        <stp>CL2 Comdty</stp>
        <stp>VOLATILITY_10D</stp>
        <stp>19/09/2016</stp>
        <stp>19/09/2016</stp>
        <stp>[Bbg_Market_Data_CL.xlsm]data!R140C17</stp>
        <tr r="Q140" s="1"/>
      </tp>
      <tp>
        <v>65.12</v>
        <stp/>
        <stp>##V3_BDHV12</stp>
        <stp>CL2 Comdty</stp>
        <stp>VOLATILITY_30D</stp>
        <stp>18/09/2015</stp>
        <stp>18/09/2015</stp>
        <stp>[Bbg_Market_Data_CL.xlsm]data!R388C18</stp>
        <tr r="R388" s="1"/>
      </tp>
      <tp t="s">
        <v>#N/A Requesting Data...</v>
        <stp/>
        <stp>##V3_BDHV12</stp>
        <stp>CL1 Comdty</stp>
        <stp>VOLATILITY_30D</stp>
        <stp>28/09/2015</stp>
        <stp>28/09/2015</stp>
        <stp>[Bbg_Market_Data_CL.xlsm]data!R382C18</stp>
        <tr r="R382" s="1"/>
      </tp>
      <tp>
        <v>37.51</v>
        <stp/>
        <stp>##V3_BDHV12</stp>
        <stp>CL2 Comdty</stp>
        <stp>VOLATILITY_10D</stp>
        <stp>09/08/2016</stp>
        <stp>09/08/2016</stp>
        <stp>[Bbg_Market_Data_CL.xlsm]data!R168C17</stp>
        <tr r="Q168" s="1"/>
      </tp>
      <tp t="s">
        <v>#N/A Requesting Data...</v>
        <stp/>
        <stp>##V3_BDHV12</stp>
        <stp>CL1 Comdty</stp>
        <stp>VOLATILITY_30D</stp>
        <stp>19/08/2016</stp>
        <stp>19/08/2016</stp>
        <stp>[Bbg_Market_Data_CL.xlsm]data!R160C18</stp>
        <tr r="R160" s="1"/>
      </tp>
      <tp t="s">
        <v>#N/A Requesting Data...</v>
        <stp/>
        <stp>##V3_BDHV12</stp>
        <stp>CL1 Comdty</stp>
        <stp>VOLATILITY_10D</stp>
        <stp>08/09/2015</stp>
        <stp>08/09/2015</stp>
        <stp>[Bbg_Market_Data_CL.xlsm]data!R396C17</stp>
        <tr r="Q396" s="1"/>
      </tp>
      <tp t="s">
        <v>#N/A Requesting Data...</v>
        <stp/>
        <stp>##V3_BDHV12</stp>
        <stp>CL1 Comdty</stp>
        <stp>VOLATILITY_30D</stp>
        <stp>09/09/2016</stp>
        <stp>09/09/2016</stp>
        <stp>[Bbg_Market_Data_CL.xlsm]data!R146C18</stp>
        <tr r="R146" s="1"/>
      </tp>
      <tp>
        <v>35.24</v>
        <stp/>
        <stp>##V3_BDHV12</stp>
        <stp>CL2 Comdty</stp>
        <stp>VOLATILITY_30D</stp>
        <stp>29/08/2016</stp>
        <stp>29/08/2016</stp>
        <stp>[Bbg_Market_Data_CL.xlsm]data!R154C18</stp>
        <tr r="R154" s="1"/>
      </tp>
      <tp>
        <v>44.67</v>
        <stp/>
        <stp>##V3_BDHV12</stp>
        <stp>CL2 Comdty</stp>
        <stp>VOLATILITY_10D</stp>
        <stp>08/09/2016</stp>
        <stp>08/09/2016</stp>
        <stp>[Bbg_Market_Data_CL.xlsm]data!R147C17</stp>
        <tr r="Q147" s="1"/>
      </tp>
      <tp>
        <v>32.43</v>
        <stp/>
        <stp>##V3_BDHV12</stp>
        <stp>CL2 Comdty</stp>
        <stp>VOLATILITY_10D</stp>
        <stp>18/08/2016</stp>
        <stp>18/08/2016</stp>
        <stp>[Bbg_Market_Data_CL.xlsm]data!R161C17</stp>
        <tr r="Q161" s="1"/>
      </tp>
      <tp>
        <v>61.68</v>
        <stp/>
        <stp>##V3_BDHV12</stp>
        <stp>CL2 Comdty</stp>
        <stp>VOLATILITY_30D</stp>
        <stp>09/09/2015</stp>
        <stp>09/09/2015</stp>
        <stp>[Bbg_Market_Data_CL.xlsm]data!R395C18</stp>
        <tr r="R395" s="1"/>
      </tp>
      <tp>
        <v>45.05</v>
        <stp/>
        <stp>##V3_BDHV12</stp>
        <stp>CL2 Comdty</stp>
        <stp>VOLATILITY_10D</stp>
        <stp>29/09/2015</stp>
        <stp>29/09/2015</stp>
        <stp>[Bbg_Market_Data_CL.xlsm]data!R381C17</stp>
        <tr r="Q381" s="1"/>
      </tp>
      <tp>
        <v>44.89</v>
        <stp/>
        <stp>##V3_BDHV12</stp>
        <stp>CL2 Comdty</stp>
        <stp>VOLATILITY_30D</stp>
        <stp>28/09/2016</stp>
        <stp>28/09/2016</stp>
        <stp>[Bbg_Market_Data_CL.xlsm]data!R133C18</stp>
        <tr r="R133" s="1"/>
      </tp>
      <tp>
        <v>19.989999999999998</v>
        <stp/>
        <stp>##V3_BDHV12</stp>
        <stp>CL2 Comdty</stp>
        <stp>VOLATILITY_10D</stp>
        <stp>26/05/2016</stp>
        <stp>26/05/2016</stp>
        <stp>[Bbg_Market_Data_CL.xlsm]data!R218C17</stp>
        <tr r="Q218" s="1"/>
      </tp>
      <tp>
        <v>33.020000000000003</v>
        <stp/>
        <stp>##V3_BDHV12</stp>
        <stp>CL2 Comdty</stp>
        <stp>VOLATILITY_10D</stp>
        <stp>16/06/2016</stp>
        <stp>16/06/2016</stp>
        <stp>[Bbg_Market_Data_CL.xlsm]data!R204C17</stp>
        <tr r="Q204" s="1"/>
      </tp>
      <tp t="s">
        <v>#N/A Requesting Data...</v>
        <stp/>
        <stp>##V3_BDHV12</stp>
        <stp>CL1 Comdty</stp>
        <stp>VOLATILITY_10D</stp>
        <stp>16/05/2016</stp>
        <stp>16/05/2016</stp>
        <stp>[Bbg_Market_Data_CL.xlsm]data!R226C17</stp>
        <tr r="Q226" s="1"/>
      </tp>
      <tp t="s">
        <v>#N/A Requesting Data...</v>
        <stp/>
        <stp>##V3_BDHV12</stp>
        <stp>CL1 Comdty</stp>
        <stp>VOLATILITY_10D</stp>
        <stp>06/04/2016</stp>
        <stp>06/04/2016</stp>
        <stp>[Bbg_Market_Data_CL.xlsm]data!R254C17</stp>
        <tr r="Q254" s="1"/>
      </tp>
      <tp>
        <v>46.25</v>
        <stp/>
        <stp>##V3_BDHV12</stp>
        <stp>CL2 Comdty</stp>
        <stp>VOLATILITY_30D</stp>
        <stp>15/07/2016</stp>
        <stp>15/07/2016</stp>
        <stp>[Bbg_Market_Data_CL.xlsm]data!R184C18</stp>
        <tr r="R184" s="1"/>
      </tp>
      <tp t="s">
        <v>#N/A Requesting Data...</v>
        <stp/>
        <stp>##V3_BDHV12</stp>
        <stp>CL1 Comdty</stp>
        <stp>VOLATILITY_10D</stp>
        <stp>05/07/2016</stp>
        <stp>05/07/2016</stp>
        <stp>[Bbg_Market_Data_CL.xlsm]data!R192C17</stp>
        <tr r="Q192" s="1"/>
      </tp>
      <tp t="s">
        <v>#N/A Requesting Data...</v>
        <stp/>
        <stp>##V3_BDHV12</stp>
        <stp>CL1 Comdty</stp>
        <stp>VOLATILITY_30D</stp>
        <stp>25/07/2016</stp>
        <stp>25/07/2016</stp>
        <stp>[Bbg_Market_Data_CL.xlsm]data!R178C18</stp>
        <tr r="R178" s="1"/>
      </tp>
      <tp t="s">
        <v>#N/A Requesting Data...</v>
        <stp/>
        <stp>##V3_BDHV12</stp>
        <stp>CL1 Comdty</stp>
        <stp>VOLATILITY_30D</stp>
        <stp>26/04/2016</stp>
        <stp>26/04/2016</stp>
        <stp>[Bbg_Market_Data_CL.xlsm]data!R240C18</stp>
        <tr r="R240" s="1"/>
      </tp>
      <tp>
        <v>41.71</v>
        <stp/>
        <stp>##V3_BDHV12</stp>
        <stp>CL2 Comdty</stp>
        <stp>VOLATILITY_30D</stp>
        <stp>06/05/2016</stp>
        <stp>06/05/2016</stp>
        <stp>[Bbg_Market_Data_CL.xlsm]data!R232C18</stp>
        <tr r="R232" s="1"/>
      </tp>
      <tp t="s">
        <v>#N/A Requesting Data...</v>
        <stp/>
        <stp>##V3_BDHV12</stp>
        <stp>CL1 Comdty</stp>
        <stp>VOLATILITY_30D</stp>
        <stp>06/06/2016</stp>
        <stp>06/06/2016</stp>
        <stp>[Bbg_Market_Data_CL.xlsm]data!R212C18</stp>
        <tr r="R212" s="1"/>
      </tp>
      <tp>
        <v>18.190000000000001</v>
        <stp/>
        <stp>##V3_BDHV12</stp>
        <stp>CL2 Comdty</stp>
        <stp>VOLATILITY_10D</stp>
        <stp>07/06/2016</stp>
        <stp>07/06/2016</stp>
        <stp>[Bbg_Market_Data_CL.xlsm]data!R211C17</stp>
        <tr r="Q211" s="1"/>
      </tp>
      <tp>
        <v>39.520000000000003</v>
        <stp/>
        <stp>##V3_BDHV12</stp>
        <stp>CL2 Comdty</stp>
        <stp>VOLATILITY_10D</stp>
        <stp>27/04/2016</stp>
        <stp>27/04/2016</stp>
        <stp>[Bbg_Market_Data_CL.xlsm]data!R239C17</stp>
        <tr r="Q239" s="1"/>
      </tp>
      <tp t="s">
        <v>#N/A Requesting Data...</v>
        <stp/>
        <stp>##V3_BDHV12</stp>
        <stp>CL1 Comdty</stp>
        <stp>VOLATILITY_30D</stp>
        <stp>24/06/2016</stp>
        <stp>24/06/2016</stp>
        <stp>[Bbg_Market_Data_CL.xlsm]data!R198C18</stp>
        <tr r="R198" s="1"/>
      </tp>
      <tp t="s">
        <v>#N/A Requesting Data...</v>
        <stp/>
        <stp>##V3_BDHV12</stp>
        <stp>CL1 Comdty</stp>
        <stp>VOLATILITY_10D</stp>
        <stp>14/07/2016</stp>
        <stp>14/07/2016</stp>
        <stp>[Bbg_Market_Data_CL.xlsm]data!R185C17</stp>
        <tr r="Q185" s="1"/>
      </tp>
      <tp>
        <v>45.4</v>
        <stp/>
        <stp>##V3_BDHV12</stp>
        <stp>CL2 Comdty</stp>
        <stp>VOLATILITY_30D</stp>
        <stp>07/04/2016</stp>
        <stp>07/04/2016</stp>
        <stp>[Bbg_Market_Data_CL.xlsm]data!R253C18</stp>
        <tr r="R253" s="1"/>
      </tp>
      <tp>
        <v>38.659999999999997</v>
        <stp/>
        <stp>##V3_BDHV12</stp>
        <stp>CL2 Comdty</stp>
        <stp>VOLATILITY_30D</stp>
        <stp>17/05/2016</stp>
        <stp>17/05/2016</stp>
        <stp>[Bbg_Market_Data_CL.xlsm]data!R225C18</stp>
        <tr r="R225" s="1"/>
      </tp>
      <tp t="s">
        <v>#N/A Requesting Data...</v>
        <stp/>
        <stp>##V3_BDHV12</stp>
        <stp>CL1 Comdty</stp>
        <stp>VOLATILITY_30D</stp>
        <stp>17/06/2016</stp>
        <stp>17/06/2016</stp>
        <stp>[Bbg_Market_Data_CL.xlsm]data!R203C18</stp>
        <tr r="R203" s="1"/>
      </tp>
      <tp t="s">
        <v>#N/A Requesting Data...</v>
        <stp/>
        <stp>##V3_BDHV12</stp>
        <stp>CL1 Comdty</stp>
        <stp>VOLATILITY_30D</stp>
        <stp>27/05/2016</stp>
        <stp>27/05/2016</stp>
        <stp>[Bbg_Market_Data_CL.xlsm]data!R217C18</stp>
        <tr r="R217" s="1"/>
      </tp>
      <tp>
        <v>35.07</v>
        <stp/>
        <stp>##V3_BDHV12</stp>
        <stp>CL2 Comdty</stp>
        <stp>VOLATILITY_10D</stp>
        <stp>04/05/2016</stp>
        <stp>04/05/2016</stp>
        <stp>[Bbg_Market_Data_CL.xlsm]data!R234C17</stp>
        <tr r="Q234" s="1"/>
      </tp>
      <tp>
        <v>52.14</v>
        <stp/>
        <stp>##V3_BDHV12</stp>
        <stp>CL2 Comdty</stp>
        <stp>VOLATILITY_10D</stp>
        <stp>14/04/2016</stp>
        <stp>14/04/2016</stp>
        <stp>[Bbg_Market_Data_CL.xlsm]data!R248C17</stp>
        <tr r="Q248" s="1"/>
      </tp>
      <tp t="s">
        <v>#N/A Requesting Data...</v>
        <stp/>
        <stp>##V3_BDHV12</stp>
        <stp>CL1 Comdty</stp>
        <stp>VOLATILITY_10D</stp>
        <stp>27/07/2016</stp>
        <stp>27/07/2016</stp>
        <stp>[Bbg_Market_Data_CL.xlsm]data!R176C17</stp>
        <tr r="Q176" s="1"/>
      </tp>
      <tp>
        <v>30.82</v>
        <stp/>
        <stp>##V3_BDHV12</stp>
        <stp>CL2 Comdty</stp>
        <stp>VOLATILITY_30D</stp>
        <stp>27/06/2016</stp>
        <stp>27/06/2016</stp>
        <stp>[Bbg_Market_Data_CL.xlsm]data!R197C18</stp>
        <tr r="R197" s="1"/>
      </tp>
      <tp t="s">
        <v>#N/A Requesting Data...</v>
        <stp/>
        <stp>##V3_BDHV12</stp>
        <stp>CL1 Comdty</stp>
        <stp>VOLATILITY_30D</stp>
        <stp>07/07/2016</stp>
        <stp>07/07/2016</stp>
        <stp>[Bbg_Market_Data_CL.xlsm]data!R190C18</stp>
        <tr r="R190" s="1"/>
      </tp>
      <tp t="s">
        <v>#N/A Requesting Data...</v>
        <stp/>
        <stp>##V3_BDHV12</stp>
        <stp>CL1 Comdty</stp>
        <stp>VOLATILITY_30D</stp>
        <stp>04/04/2016</stp>
        <stp>04/04/2016</stp>
        <stp>[Bbg_Market_Data_CL.xlsm]data!R256C18</stp>
        <tr r="R256" s="1"/>
      </tp>
      <tp>
        <v>32.24</v>
        <stp/>
        <stp>##V3_BDHV12</stp>
        <stp>CL2 Comdty</stp>
        <stp>VOLATILITY_30D</stp>
        <stp>24/05/2016</stp>
        <stp>24/05/2016</stp>
        <stp>[Bbg_Market_Data_CL.xlsm]data!R220C18</stp>
        <tr r="R220" s="1"/>
      </tp>
      <tp>
        <v>25.54</v>
        <stp/>
        <stp>##V3_BDHV12</stp>
        <stp>CL2 Comdty</stp>
        <stp>VOLATILITY_30D</stp>
        <stp>14/06/2016</stp>
        <stp>14/06/2016</stp>
        <stp>[Bbg_Market_Data_CL.xlsm]data!R206C18</stp>
        <tr r="R206" s="1"/>
      </tp>
      <tp t="s">
        <v>#N/A Requesting Data...</v>
        <stp/>
        <stp>##V3_BDHV12</stp>
        <stp>CL1 Comdty</stp>
        <stp>VOLATILITY_10D</stp>
        <stp>25/05/2016</stp>
        <stp>25/05/2016</stp>
        <stp>[Bbg_Market_Data_CL.xlsm]data!R219C17</stp>
        <tr r="Q219" s="1"/>
      </tp>
      <tp t="s">
        <v>#N/A Requesting Data...</v>
        <stp/>
        <stp>##V3_BDHV12</stp>
        <stp>CL1 Comdty</stp>
        <stp>VOLATILITY_10D</stp>
        <stp>15/06/2016</stp>
        <stp>15/06/2016</stp>
        <stp>[Bbg_Market_Data_CL.xlsm]data!R205C17</stp>
        <tr r="Q205" s="1"/>
      </tp>
      <tp>
        <v>29.53</v>
        <stp/>
        <stp>##V3_BDHV12</stp>
        <stp>CL2 Comdty</stp>
        <stp>VOLATILITY_10D</stp>
        <stp>05/04/2016</stp>
        <stp>05/04/2016</stp>
        <stp>[Bbg_Market_Data_CL.xlsm]data!R255C17</stp>
        <tr r="Q255" s="1"/>
      </tp>
      <tp>
        <v>56.94</v>
        <stp/>
        <stp>##V3_BDHV12</stp>
        <stp>CL2 Comdty</stp>
        <stp>VOLATILITY_10D</stp>
        <stp>06/07/2016</stp>
        <stp>06/07/2016</stp>
        <stp>[Bbg_Market_Data_CL.xlsm]data!R191C17</stp>
        <tr r="Q191" s="1"/>
      </tp>
      <tp>
        <v>44.85</v>
        <stp/>
        <stp>##V3_BDHV12</stp>
        <stp>CL2 Comdty</stp>
        <stp>VOLATILITY_30D</stp>
        <stp>26/07/2016</stp>
        <stp>26/07/2016</stp>
        <stp>[Bbg_Market_Data_CL.xlsm]data!R177C18</stp>
        <tr r="R177" s="1"/>
      </tp>
      <tp t="s">
        <v>#N/A Requesting Data...</v>
        <stp/>
        <stp>##V3_BDHV12</stp>
        <stp>CL1 Comdty</stp>
        <stp>VOLATILITY_30D</stp>
        <stp>15/04/2016</stp>
        <stp>15/04/2016</stp>
        <stp>[Bbg_Market_Data_CL.xlsm]data!R247C18</stp>
        <tr r="R247" s="1"/>
      </tp>
      <tp>
        <v>45.18</v>
        <stp/>
        <stp>##V3_BDHV12</stp>
        <stp>CL2 Comdty</stp>
        <stp>VOLATILITY_30D</stp>
        <stp>25/04/2016</stp>
        <stp>25/04/2016</stp>
        <stp>[Bbg_Market_Data_CL.xlsm]data!R241C18</stp>
        <tr r="R241" s="1"/>
      </tp>
      <tp t="s">
        <v>#N/A Requesting Data...</v>
        <stp/>
        <stp>##V3_BDHV12</stp>
        <stp>CL1 Comdty</stp>
        <stp>VOLATILITY_30D</stp>
        <stp>05/05/2016</stp>
        <stp>05/05/2016</stp>
        <stp>[Bbg_Market_Data_CL.xlsm]data!R233C18</stp>
        <tr r="R233" s="1"/>
      </tp>
      <tp t="s">
        <v>#N/A Requesting Data...</v>
        <stp/>
        <stp>##V3_BDHV12</stp>
        <stp>CL1 Comdty</stp>
        <stp>VOLATILITY_10D</stp>
        <stp>31/10/2016</stp>
        <stp>31/10/2016</stp>
        <stp>[Bbg_Market_Data_CL.xlsm]data!R111C17</stp>
        <tr r="Q111" s="1"/>
      </tp>
      <tp t="s">
        <v>#N/A Requesting Data...</v>
        <stp/>
        <stp>##V3_BDHV12</stp>
        <stp>CL1 Comdty</stp>
        <stp>VOLATILITY_10D</stp>
        <stp>30/12/2015</stp>
        <stp>30/12/2015</stp>
        <stp>[Bbg_Market_Data_CL.xlsm]data!R319C17</stp>
        <tr r="Q319" s="1"/>
      </tp>
      <tp t="s">
        <v>#N/A Requesting Data...</v>
        <stp/>
        <stp>##V3_BDHV12</stp>
        <stp>CL1 Comdty</stp>
        <stp>VOLATILITY_10D</stp>
        <stp>17/07/2015</stp>
        <stp>17/07/2015</stp>
        <stp>[Bbg_Market_Data_CL.xlsm]data!R432C17</stp>
        <tr r="Q432" s="1"/>
      </tp>
      <tp t="s">
        <v>#N/A Requesting Data...</v>
        <stp/>
        <stp>##V3_BDHV12</stp>
        <stp>CL2 Comdty</stp>
        <stp>VOLATILITY_10D</stp>
        <stp>27/07/2015</stp>
        <stp>27/07/2015</stp>
        <stp>[Bbg_Market_Data_CL.xlsm]data!R426C17</stp>
        <tr r="Q426" s="1"/>
      </tp>
      <tp>
        <v>32.54</v>
        <stp/>
        <stp>##V3_BDHV12</stp>
        <stp>CL2 Comdty</stp>
        <stp>VOLATILITY_10D</stp>
        <stp>30/11/2015</stp>
        <stp>30/11/2015</stp>
        <stp>[Bbg_Market_Data_CL.xlsm]data!R340C17</stp>
        <tr r="Q340" s="1"/>
      </tp>
      <tp>
        <v>39.99</v>
        <stp/>
        <stp>##V3_BDHV12</stp>
        <stp>CL2 Comdty</stp>
        <stp>VOLATILITY_10D</stp>
        <stp>20/10/2015</stp>
        <stp>20/10/2015</stp>
        <stp>[Bbg_Market_Data_CL.xlsm]data!R367C17</stp>
        <tr r="Q367" s="1"/>
      </tp>
      <tp>
        <v>38.94</v>
        <stp/>
        <stp>##V3_BDHV12</stp>
        <stp>CL2 Comdty</stp>
        <stp>VOLATILITY_10D</stp>
        <stp>02/03/2016</stp>
        <stp>02/03/2016</stp>
        <stp>[Bbg_Market_Data_CL.xlsm]data!R278C17</stp>
        <tr r="Q278" s="1"/>
      </tp>
      <tp t="s">
        <v>#N/A Requesting Data...</v>
        <stp/>
        <stp>##V3_BDHV12</stp>
        <stp>CL1 Comdty</stp>
        <stp>VOLATILITY_30D</stp>
        <stp>02/02/2016</stp>
        <stp>02/02/2016</stp>
        <stp>[Bbg_Market_Data_CL.xlsm]data!R297C18</stp>
        <tr r="R297" s="1"/>
      </tp>
      <tp t="s">
        <v>#N/A Requesting Data...</v>
        <stp/>
        <stp>##V3_BDHV12</stp>
        <stp>CL2 Comdty</stp>
        <stp>VOLATILITY_10D</stp>
        <stp>17/04/2015</stp>
        <stp>17/04/2015</stp>
        <stp>[Bbg_Market_Data_CL.xlsm]data!R495C17</stp>
        <tr r="Q495" s="1"/>
      </tp>
      <tp>
        <v>54.06</v>
        <stp/>
        <stp>##V3_BDHV12</stp>
        <stp>CL2 Comdty</stp>
        <stp>VOLATILITY_30D</stp>
        <stp>22/03/2016</stp>
        <stp>22/03/2016</stp>
        <stp>[Bbg_Market_Data_CL.xlsm]data!R264C18</stp>
        <tr r="R264" s="1"/>
      </tp>
      <tp t="s">
        <v>#N/A Requesting Data...</v>
        <stp/>
        <stp>##V3_BDHV12</stp>
        <stp>CL2 Comdty</stp>
        <stp>VOLATILITY_30D</stp>
        <stp>27/05/2015</stp>
        <stp>27/05/2015</stp>
        <stp>[Bbg_Market_Data_CL.xlsm]data!R468C18</stp>
        <tr r="R468" s="1"/>
      </tp>
      <tp t="s">
        <v>#N/A Requesting Data...</v>
        <stp/>
        <stp>##V3_BDHV12</stp>
        <stp>CL1 Comdty</stp>
        <stp>VOLATILITY_10D</stp>
        <stp>22/02/2016</stp>
        <stp>22/02/2016</stp>
        <stp>[Bbg_Market_Data_CL.xlsm]data!R285C17</stp>
        <tr r="Q285" s="1"/>
      </tp>
      <tp t="s">
        <v>#N/A Requesting Data...</v>
        <stp/>
        <stp>##V3_BDHV12</stp>
        <stp>CL2 Comdty</stp>
        <stp>VOLATILITY_10D</stp>
        <stp>07/05/2015</stp>
        <stp>07/05/2015</stp>
        <stp>[Bbg_Market_Data_CL.xlsm]data!R481C17</stp>
        <tr r="Q481" s="1"/>
      </tp>
      <tp>
        <v>88.49</v>
        <stp/>
        <stp>##V3_BDHV12</stp>
        <stp>CL2 Comdty</stp>
        <stp>VOLATILITY_10D</stp>
        <stp>12/02/2016</stp>
        <stp>12/02/2016</stp>
        <stp>[Bbg_Market_Data_CL.xlsm]data!R289C17</stp>
        <tr r="Q289" s="1"/>
      </tp>
      <tp t="s">
        <v>#N/A Requesting Data...</v>
        <stp/>
        <stp>##V3_BDHV12</stp>
        <stp>CL1 Comdty</stp>
        <stp>VOLATILITY_10D</stp>
        <stp>27/04/2015</stp>
        <stp>27/04/2015</stp>
        <stp>[Bbg_Market_Data_CL.xlsm]data!R489C17</stp>
        <tr r="Q489" s="1"/>
      </tp>
      <tp>
        <v>38.47</v>
        <stp/>
        <stp>##V3_BDHV12</stp>
        <stp>CL2 Comdty</stp>
        <stp>VOLATILITY_30D</stp>
        <stp>10/11/2015</stp>
        <stp>10/11/2015</stp>
        <stp>[Bbg_Market_Data_CL.xlsm]data!R352C18</stp>
        <tr r="R352" s="1"/>
      </tp>
      <tp t="s">
        <v>#N/A Requesting Data...</v>
        <stp/>
        <stp>##V3_BDHV12</stp>
        <stp>CL2 Comdty</stp>
        <stp>VOLATILITY_30D</stp>
        <stp>07/07/2015</stp>
        <stp>07/07/2015</stp>
        <stp>[Bbg_Market_Data_CL.xlsm]data!R440C18</stp>
        <tr r="R440" s="1"/>
      </tp>
      <tp t="s">
        <v>#N/A Requesting Data...</v>
        <stp/>
        <stp>##V3_BDHV12</stp>
        <stp>CL1 Comdty</stp>
        <stp>VOLATILITY_30D</stp>
        <stp>30/10/2015</stp>
        <stp>30/10/2015</stp>
        <stp>[Bbg_Market_Data_CL.xlsm]data!R359C18</stp>
        <tr r="R359" s="1"/>
      </tp>
      <tp t="s">
        <v>#N/A Requesting Data...</v>
        <stp/>
        <stp>##V3_BDHV12</stp>
        <stp>CL1 Comdty</stp>
        <stp>VOLATILITY_30D</stp>
        <stp>20/11/2015</stp>
        <stp>20/11/2015</stp>
        <stp>[Bbg_Market_Data_CL.xlsm]data!R345C18</stp>
        <tr r="R345" s="1"/>
      </tp>
      <tp t="s">
        <v>#N/A Requesting Data...</v>
        <stp/>
        <stp>##V3_BDHV12</stp>
        <stp>CL2 Comdty</stp>
        <stp>VOLATILITY_30D</stp>
        <stp>17/06/2015</stp>
        <stp>17/06/2015</stp>
        <stp>[Bbg_Market_Data_CL.xlsm]data!R453C18</stp>
        <tr r="R453" s="1"/>
      </tp>
      <tp t="s">
        <v>#N/A Requesting Data...</v>
        <stp/>
        <stp>##V3_BDHV12</stp>
        <stp>CL1 Comdty</stp>
        <stp>VOLATILITY_30D</stp>
        <stp>10/12/2015</stp>
        <stp>10/12/2015</stp>
        <stp>[Bbg_Market_Data_CL.xlsm]data!R332C18</stp>
        <tr r="R332" s="1"/>
      </tp>
      <tp t="s">
        <v>#N/A Requesting Data...</v>
        <stp/>
        <stp>##V3_BDHV12</stp>
        <stp>CL1 Comdty</stp>
        <stp>VOLATILITY_30D</stp>
        <stp>11/10/2016</stp>
        <stp>11/10/2016</stp>
        <stp>[Bbg_Market_Data_CL.xlsm]data!R125C18</stp>
        <tr r="R125" s="1"/>
      </tp>
      <tp t="s">
        <v>#N/A Requesting Data...</v>
        <stp/>
        <stp>##V3_BDHV12</stp>
        <stp>CL1 Comdty</stp>
        <stp>VOLATILITY_30D</stp>
        <stp>01/11/2016</stp>
        <stp>01/11/2016</stp>
        <stp>[Bbg_Market_Data_CL.xlsm]data!R110C18</stp>
        <tr r="R110" s="1"/>
      </tp>
      <tp>
        <v>35.869999999999997</v>
        <stp/>
        <stp>##V3_BDHV12</stp>
        <stp>CL2 Comdty</stp>
        <stp>VOLATILITY_30D</stp>
        <stp>21/10/2016</stp>
        <stp>21/10/2016</stp>
        <stp>[Bbg_Market_Data_CL.xlsm]data!R117C18</stp>
        <tr r="R117" s="1"/>
      </tp>
      <tp>
        <v>43.34</v>
        <stp/>
        <stp>##V3_BDHV12</stp>
        <stp>CL2 Comdty</stp>
        <stp>VOLATILITY_30D</stp>
        <stp>13/01/2016</stp>
        <stp>13/01/2016</stp>
        <stp>[Bbg_Market_Data_CL.xlsm]data!R310C18</stp>
        <tr r="R310" s="1"/>
      </tp>
      <tp t="s">
        <v>#N/A Requesting Data...</v>
        <stp/>
        <stp>##V3_BDHV12</stp>
        <stp>CL1 Comdty</stp>
        <stp>VOLATILITY_10D</stp>
        <stp>12/01/2016</stp>
        <stp>12/01/2016</stp>
        <stp>[Bbg_Market_Data_CL.xlsm]data!R311C17</stp>
        <tr r="Q311" s="1"/>
      </tp>
      <tp>
        <v>88.1</v>
        <stp/>
        <stp>##V3_BDHV12</stp>
        <stp>CL2 Comdty</stp>
        <stp>VOLATILITY_10D</stp>
        <stp>22/01/2016</stp>
        <stp>22/01/2016</stp>
        <stp>[Bbg_Market_Data_CL.xlsm]data!R304C17</stp>
        <tr r="Q304" s="1"/>
      </tp>
      <tp t="s">
        <v>#N/A Requesting Data...</v>
        <stp/>
        <stp>##V3_BDHV12</stp>
        <stp>CL1 Comdty</stp>
        <stp>VOLATILITY_10D</stp>
        <stp>20/10/2016</stp>
        <stp>20/10/2016</stp>
        <stp>[Bbg_Market_Data_CL.xlsm]data!R118C17</stp>
        <tr r="Q118" s="1"/>
      </tp>
      <tp t="s">
        <v>#N/A Requesting Data...</v>
        <stp/>
        <stp>##V3_BDHV12</stp>
        <stp>CL1 Comdty</stp>
        <stp>VOLATILITY_10D</stp>
        <stp>21/12/2015</stp>
        <stp>21/12/2015</stp>
        <stp>[Bbg_Market_Data_CL.xlsm]data!R325C17</stp>
        <tr r="Q325" s="1"/>
      </tp>
      <tp>
        <v>39.119999999999997</v>
        <stp/>
        <stp>##V3_BDHV12</stp>
        <stp>CL2 Comdty</stp>
        <stp>VOLATILITY_10D</stp>
        <stp>11/12/2015</stp>
        <stp>11/12/2015</stp>
        <stp>[Bbg_Market_Data_CL.xlsm]data!R331C17</stp>
        <tr r="Q331" s="1"/>
      </tp>
      <tp t="s">
        <v>#N/A Requesting Data...</v>
        <stp/>
        <stp>##V3_BDHV12</stp>
        <stp>CL1 Comdty</stp>
        <stp>VOLATILITY_10D</stp>
        <stp>16/06/2015</stp>
        <stp>16/06/2015</stp>
        <stp>[Bbg_Market_Data_CL.xlsm]data!R454C17</stp>
        <tr r="Q454" s="1"/>
      </tp>
      <tp t="s">
        <v>#N/A Requesting Data...</v>
        <stp/>
        <stp>##V3_BDHV12</stp>
        <stp>CL2 Comdty</stp>
        <stp>VOLATILITY_10D</stp>
        <stp>26/06/2015</stp>
        <stp>26/06/2015</stp>
        <stp>[Bbg_Market_Data_CL.xlsm]data!R446C17</stp>
        <tr r="Q446" s="1"/>
      </tp>
      <tp t="s">
        <v>#N/A Requesting Data...</v>
        <stp/>
        <stp>##V3_BDHV12</stp>
        <stp>CL1 Comdty</stp>
        <stp>VOLATILITY_10D</stp>
        <stp>06/07/2015</stp>
        <stp>06/07/2015</stp>
        <stp>[Bbg_Market_Data_CL.xlsm]data!R441C17</stp>
        <tr r="Q441" s="1"/>
      </tp>
      <tp t="s">
        <v>#N/A Requesting Data...</v>
        <stp/>
        <stp>##V3_BDHV12</stp>
        <stp>CL1 Comdty</stp>
        <stp>VOLATILITY_30D</stp>
        <stp>06/05/2015</stp>
        <stp>06/05/2015</stp>
        <stp>[Bbg_Market_Data_CL.xlsm]data!R482C18</stp>
        <tr r="R482" s="1"/>
      </tp>
      <tp>
        <v>76.37</v>
        <stp/>
        <stp>##V3_BDHV12</stp>
        <stp>CL2 Comdty</stp>
        <stp>VOLATILITY_30D</stp>
        <stp>23/02/2016</stp>
        <stp>23/02/2016</stp>
        <stp>[Bbg_Market_Data_CL.xlsm]data!R284C18</stp>
        <tr r="R284" s="1"/>
      </tp>
      <tp t="s">
        <v>#N/A Requesting Data...</v>
        <stp/>
        <stp>##V3_BDHV12</stp>
        <stp>CL1 Comdty</stp>
        <stp>VOLATILITY_30D</stp>
        <stp>16/04/2015</stp>
        <stp>16/04/2015</stp>
        <stp>[Bbg_Market_Data_CL.xlsm]data!R496C18</stp>
        <tr r="R496" s="1"/>
      </tp>
      <tp t="s">
        <v>#N/A Requesting Data...</v>
        <stp/>
        <stp>##V3_BDHV12</stp>
        <stp>CL1 Comdty</stp>
        <stp>VOLATILITY_10D</stp>
        <stp>23/03/2016</stp>
        <stp>23/03/2016</stp>
        <stp>[Bbg_Market_Data_CL.xlsm]data!R263C17</stp>
        <tr r="Q263" s="1"/>
      </tp>
      <tp t="s">
        <v>#N/A Requesting Data...</v>
        <stp/>
        <stp>##V3_BDHV12</stp>
        <stp>CL1 Comdty</stp>
        <stp>VOLATILITY_10D</stp>
        <stp>01/10/2015</stp>
        <stp>01/10/2015</stp>
        <stp>[Bbg_Market_Data_CL.xlsm]data!R379C17</stp>
        <tr r="Q379" s="1"/>
      </tp>
      <tp t="s">
        <v>#N/A Requesting Data...</v>
        <stp/>
        <stp>##V3_BDHV12</stp>
        <stp>CL1 Comdty</stp>
        <stp>VOLATILITY_10D</stp>
        <stp>26/05/2015</stp>
        <stp>26/05/2015</stp>
        <stp>[Bbg_Market_Data_CL.xlsm]data!R469C17</stp>
        <tr r="Q469" s="1"/>
      </tp>
      <tp>
        <v>85.2</v>
        <stp/>
        <stp>##V3_BDHV12</stp>
        <stp>CL2 Comdty</stp>
        <stp>VOLATILITY_10D</stp>
        <stp>03/02/2016</stp>
        <stp>03/02/2016</stp>
        <stp>[Bbg_Market_Data_CL.xlsm]data!R296C17</stp>
        <tr r="Q296" s="1"/>
      </tp>
      <tp t="s">
        <v>#N/A Requesting Data...</v>
        <stp/>
        <stp>##V3_BDHV12</stp>
        <stp>CL1 Comdty</stp>
        <stp>VOLATILITY_30D</stp>
        <stp>21/10/2015</stp>
        <stp>21/10/2015</stp>
        <stp>[Bbg_Market_Data_CL.xlsm]data!R366C18</stp>
        <tr r="R366" s="1"/>
      </tp>
      <tp t="s">
        <v>#N/A Requesting Data...</v>
        <stp/>
        <stp>##V3_BDHV12</stp>
        <stp>CL1 Comdty</stp>
        <stp>VOLATILITY_30D</stp>
        <stp>03/03/2016</stp>
        <stp>03/03/2016</stp>
        <stp>[Bbg_Market_Data_CL.xlsm]data!R277C18</stp>
        <tr r="R277" s="1"/>
      </tp>
      <tp t="s">
        <v>#N/A Requesting Data...</v>
        <stp/>
        <stp>##V3_BDHV12</stp>
        <stp>CL1 Comdty</stp>
        <stp>VOLATILITY_30D</stp>
        <stp>01/12/2015</stp>
        <stp>01/12/2015</stp>
        <stp>[Bbg_Market_Data_CL.xlsm]data!R339C18</stp>
        <tr r="R339" s="1"/>
      </tp>
      <tp t="s">
        <v>#N/A Requesting Data...</v>
        <stp/>
        <stp>##V3_BDHV12</stp>
        <stp>CL2 Comdty</stp>
        <stp>VOLATILITY_30D</stp>
        <stp>16/07/2015</stp>
        <stp>16/07/2015</stp>
        <stp>[Bbg_Market_Data_CL.xlsm]data!R433C18</stp>
        <tr r="R433" s="1"/>
      </tp>
      <tp>
        <v>41.11</v>
        <stp/>
        <stp>##V3_BDHV12</stp>
        <stp>CL2 Comdty</stp>
        <stp>VOLATILITY_30D</stp>
        <stp>31/12/2015</stp>
        <stp>31/12/2015</stp>
        <stp>[Bbg_Market_Data_CL.xlsm]data!R318C18</stp>
        <tr r="R318" s="1"/>
      </tp>
      <tp t="s">
        <v>#N/A Requesting Data...</v>
        <stp/>
        <stp>##V3_BDHV12</stp>
        <stp>CL1 Comdty</stp>
        <stp>VOLATILITY_30D</stp>
        <stp>10/11/2016</stp>
        <stp>10/11/2016</stp>
        <stp>[Bbg_Market_Data_CL.xlsm]data!R103C18</stp>
        <tr r="R103" s="1"/>
      </tp>
      <tp>
        <v>44.91</v>
        <stp/>
        <stp>##V3_BDHV12</stp>
        <stp>CL2 Comdty</stp>
        <stp>VOLATILITY_10D</stp>
        <stp>11/01/2016</stp>
        <stp>11/01/2016</stp>
        <stp>[Bbg_Market_Data_CL.xlsm]data!R312C17</stp>
        <tr r="Q312" s="1"/>
      </tp>
      <tp t="s">
        <v>#N/A Requesting Data...</v>
        <stp/>
        <stp>##V3_BDHV12</stp>
        <stp>CL1 Comdty</stp>
        <stp>VOLATILITY_10D</stp>
        <stp>03/11/2016</stp>
        <stp>03/11/2016</stp>
        <stp>[Bbg_Market_Data_CL.xlsm]data!R108C17</stp>
        <tr r="Q108" s="1"/>
      </tp>
      <tp t="s">
        <v>#N/A Requesting Data...</v>
        <stp/>
        <stp>##V3_BDHV12</stp>
        <stp>CL1 Comdty</stp>
        <stp>VOLATILITY_10D</stp>
        <stp>21/01/2016</stp>
        <stp>21/01/2016</stp>
        <stp>[Bbg_Market_Data_CL.xlsm]data!R305C17</stp>
        <tr r="Q305" s="1"/>
      </tp>
      <tp t="s">
        <v>#N/A Requesting Data...</v>
        <stp/>
        <stp>##V3_BDHV12</stp>
        <stp>CL1 Comdty</stp>
        <stp>VOLATILITY_10D</stp>
        <stp>13/10/2016</stp>
        <stp>13/10/2016</stp>
        <stp>[Bbg_Market_Data_CL.xlsm]data!R123C17</stp>
        <tr r="Q123" s="1"/>
      </tp>
      <tp>
        <v>40.700000000000003</v>
        <stp/>
        <stp>##V3_BDHV12</stp>
        <stp>CL2 Comdty</stp>
        <stp>VOLATILITY_10D</stp>
        <stp>22/12/2015</stp>
        <stp>22/12/2015</stp>
        <stp>[Bbg_Market_Data_CL.xlsm]data!R324C17</stp>
        <tr r="Q324" s="1"/>
      </tp>
      <tp t="s">
        <v>#N/A Requesting Data...</v>
        <stp/>
        <stp>##V3_BDHV12</stp>
        <stp>CL2 Comdty</stp>
        <stp>VOLATILITY_10D</stp>
        <stp>15/06/2015</stp>
        <stp>15/06/2015</stp>
        <stp>[Bbg_Market_Data_CL.xlsm]data!R455C17</stp>
        <tr r="Q455" s="1"/>
      </tp>
      <tp t="s">
        <v>#N/A Requesting Data...</v>
        <stp/>
        <stp>##V3_BDHV12</stp>
        <stp>CL1 Comdty</stp>
        <stp>VOLATILITY_10D</stp>
        <stp>25/06/2015</stp>
        <stp>25/06/2015</stp>
        <stp>[Bbg_Market_Data_CL.xlsm]data!R447C17</stp>
        <tr r="Q447" s="1"/>
      </tp>
      <tp>
        <v>34.979999999999997</v>
        <stp/>
        <stp>##V3_BDHV12</stp>
        <stp>CL2 Comdty</stp>
        <stp>VOLATILITY_10D</stp>
        <stp>12/11/2015</stp>
        <stp>12/11/2015</stp>
        <stp>[Bbg_Market_Data_CL.xlsm]data!R351C17</stp>
        <tr r="Q351" s="1"/>
      </tp>
      <tp t="s">
        <v>#N/A Requesting Data...</v>
        <stp/>
        <stp>##V3_BDHV12</stp>
        <stp>CL1 Comdty</stp>
        <stp>VOLATILITY_10D</stp>
        <stp>15/05/2015</stp>
        <stp>15/05/2015</stp>
        <stp>[Bbg_Market_Data_CL.xlsm]data!R475C17</stp>
        <tr r="Q475" s="1"/>
      </tp>
      <tp t="s">
        <v>#N/A Requesting Data...</v>
        <stp/>
        <stp>##V3_BDHV12</stp>
        <stp>CL1 Comdty</stp>
        <stp>VOLATILITY_10D</stp>
        <stp>10/03/2016</stp>
        <stp>10/03/2016</stp>
        <stp>[Bbg_Market_Data_CL.xlsm]data!R272C17</stp>
        <tr r="Q272" s="1"/>
      </tp>
      <tp t="s">
        <v>#N/A Requesting Data...</v>
        <stp/>
        <stp>##V3_BDHV12</stp>
        <stp>CL2 Comdty</stp>
        <stp>VOLATILITY_30D</stp>
        <stp>05/05/2015</stp>
        <stp>05/05/2015</stp>
        <stp>[Bbg_Market_Data_CL.xlsm]data!R483C18</stp>
        <tr r="R483" s="1"/>
      </tp>
      <tp>
        <v>67.08</v>
        <stp/>
        <stp>##V3_BDHV12</stp>
        <stp>CL2 Comdty</stp>
        <stp>VOLATILITY_30D</stp>
        <stp>10/02/2016</stp>
        <stp>10/02/2016</stp>
        <stp>[Bbg_Market_Data_CL.xlsm]data!R291C18</stp>
        <tr r="R291" s="1"/>
      </tp>
      <tp t="s">
        <v>#N/A Requesting Data...</v>
        <stp/>
        <stp>##V3_BDHV12</stp>
        <stp>CL2 Comdty</stp>
        <stp>VOLATILITY_30D</stp>
        <stp>15/04/2015</stp>
        <stp>15/04/2015</stp>
        <stp>[Bbg_Market_Data_CL.xlsm]data!R497C18</stp>
        <tr r="R497" s="1"/>
      </tp>
      <tp>
        <v>29.45</v>
        <stp/>
        <stp>##V3_BDHV12</stp>
        <stp>CL2 Comdty</stp>
        <stp>VOLATILITY_10D</stp>
        <stp>02/10/2015</stp>
        <stp>02/10/2015</stp>
        <stp>[Bbg_Market_Data_CL.xlsm]data!R378C17</stp>
        <tr r="Q378" s="1"/>
      </tp>
      <tp t="s">
        <v>#N/A Requesting Data...</v>
        <stp/>
        <stp>##V3_BDHV12</stp>
        <stp>CL1 Comdty</stp>
        <stp>VOLATILITY_30D</stp>
        <stp>05/06/2015</stp>
        <stp>05/06/2015</stp>
        <stp>[Bbg_Market_Data_CL.xlsm]data!R461C18</stp>
        <tr r="R461" s="1"/>
      </tp>
      <tp>
        <v>40.92</v>
        <stp/>
        <stp>##V3_BDHV12</stp>
        <stp>CL2 Comdty</stp>
        <stp>VOLATILITY_30D</stp>
        <stp>22/10/2015</stp>
        <stp>22/10/2015</stp>
        <stp>[Bbg_Market_Data_CL.xlsm]data!R365C18</stp>
        <tr r="R365" s="1"/>
      </tp>
      <tp t="s">
        <v>#N/A Requesting Data...</v>
        <stp/>
        <stp>##V3_BDHV12</stp>
        <stp>CL1 Comdty</stp>
        <stp>VOLATILITY_30D</stp>
        <stp>02/11/2015</stp>
        <stp>02/11/2015</stp>
        <stp>[Bbg_Market_Data_CL.xlsm]data!R358C18</stp>
        <tr r="R358" s="1"/>
      </tp>
      <tp t="s">
        <v>#N/A Requesting Data...</v>
        <stp/>
        <stp>##V3_BDHV12</stp>
        <stp>CL1 Comdty</stp>
        <stp>VOLATILITY_30D</stp>
        <stp>30/03/2016</stp>
        <stp>30/03/2016</stp>
        <stp>[Bbg_Market_Data_CL.xlsm]data!R259C18</stp>
        <tr r="R259" s="1"/>
      </tp>
      <tp>
        <v>43.13</v>
        <stp/>
        <stp>##V3_BDHV12</stp>
        <stp>CL2 Comdty</stp>
        <stp>VOLATILITY_30D</stp>
        <stp>03/10/2016</stp>
        <stp>03/10/2016</stp>
        <stp>[Bbg_Market_Data_CL.xlsm]data!R130C18</stp>
        <tr r="R130" s="1"/>
      </tp>
      <tp>
        <v>37.01</v>
        <stp/>
        <stp>##V3_BDHV12</stp>
        <stp>CL2 Comdty</stp>
        <stp>VOLATILITY_30D</stp>
        <stp>02/12/2015</stp>
        <stp>02/12/2015</stp>
        <stp>[Bbg_Market_Data_CL.xlsm]data!R338C18</stp>
        <tr r="R338" s="1"/>
      </tp>
      <tp t="s">
        <v>#N/A Requesting Data...</v>
        <stp/>
        <stp>##V3_BDHV12</stp>
        <stp>CL1 Comdty</stp>
        <stp>VOLATILITY_30D</stp>
        <stp>15/07/2015</stp>
        <stp>15/07/2015</stp>
        <stp>[Bbg_Market_Data_CL.xlsm]data!R434C18</stp>
        <tr r="R434" s="1"/>
      </tp>
      <tp t="s">
        <v>#N/A Requesting Data...</v>
        <stp/>
        <stp>##V3_BDHV12</stp>
        <stp>CL2 Comdty</stp>
        <stp>VOLATILITY_10D</stp>
        <stp>14/07/2015</stp>
        <stp>14/07/2015</stp>
        <stp>[Bbg_Market_Data_CL.xlsm]data!R435C17</stp>
        <tr r="Q435" s="1"/>
      </tp>
      <tp t="s">
        <v>#N/A Requesting Data...</v>
        <stp/>
        <stp>##V3_BDHV12</stp>
        <stp>CL1 Comdty</stp>
        <stp>VOLATILITY_10D</stp>
        <stp>24/07/2015</stp>
        <stp>24/07/2015</stp>
        <stp>[Bbg_Market_Data_CL.xlsm]data!R427C17</stp>
        <tr r="Q427" s="1"/>
      </tp>
      <tp t="s">
        <v>#N/A Requesting Data...</v>
        <stp/>
        <stp>##V3_BDHV12</stp>
        <stp>CL1 Comdty</stp>
        <stp>VOLATILITY_10D</stp>
        <stp>03/12/2015</stp>
        <stp>03/12/2015</stp>
        <stp>[Bbg_Market_Data_CL.xlsm]data!R337C17</stp>
        <tr r="Q337" s="1"/>
      </tp>
      <tp>
        <v>29.12</v>
        <stp/>
        <stp>##V3_BDHV12</stp>
        <stp>CL2 Comdty</stp>
        <stp>VOLATILITY_10D</stp>
        <stp>31/03/2016</stp>
        <stp>31/03/2016</stp>
        <stp>[Bbg_Market_Data_CL.xlsm]data!R258C17</stp>
        <tr r="Q258" s="1"/>
      </tp>
      <tp>
        <v>41.83</v>
        <stp/>
        <stp>##V3_BDHV12</stp>
        <stp>CL2 Comdty</stp>
        <stp>VOLATILITY_10D</stp>
        <stp>03/11/2015</stp>
        <stp>03/11/2015</stp>
        <stp>[Bbg_Market_Data_CL.xlsm]data!R357C17</stp>
        <tr r="Q357" s="1"/>
      </tp>
      <tp t="s">
        <v>#N/A Requesting Data...</v>
        <stp/>
        <stp>##V3_BDHV12</stp>
        <stp>CL1 Comdty</stp>
        <stp>VOLATILITY_10D</stp>
        <stp>23/10/2015</stp>
        <stp>23/10/2015</stp>
        <stp>[Bbg_Market_Data_CL.xlsm]data!R364C17</stp>
        <tr r="Q364" s="1"/>
      </tp>
      <tp t="s">
        <v>#N/A Requesting Data...</v>
        <stp/>
        <stp>##V3_BDHV12</stp>
        <stp>CL1 Comdty</stp>
        <stp>VOLATILITY_10D</stp>
        <stp>01/03/2016</stp>
        <stp>01/03/2016</stp>
        <stp>[Bbg_Market_Data_CL.xlsm]data!R279C17</stp>
        <tr r="Q279" s="1"/>
      </tp>
      <tp>
        <v>46.77</v>
        <stp/>
        <stp>##V3_BDHV12</stp>
        <stp>CL2 Comdty</stp>
        <stp>VOLATILITY_10D</stp>
        <stp>13/10/2015</stp>
        <stp>13/10/2015</stp>
        <stp>[Bbg_Market_Data_CL.xlsm]data!R372C17</stp>
        <tr r="Q372" s="1"/>
      </tp>
      <tp t="s">
        <v>#N/A Requesting Data...</v>
        <stp/>
        <stp>##V3_BDHV12</stp>
        <stp>CL2 Comdty</stp>
        <stp>VOLATILITY_10D</stp>
        <stp>04/06/2015</stp>
        <stp>04/06/2015</stp>
        <stp>[Bbg_Market_Data_CL.xlsm]data!R462C17</stp>
        <tr r="Q462" s="1"/>
      </tp>
      <tp>
        <v>62.65</v>
        <stp/>
        <stp>##V3_BDHV12</stp>
        <stp>CL2 Comdty</stp>
        <stp>VOLATILITY_30D</stp>
        <stp>01/02/2016</stp>
        <stp>01/02/2016</stp>
        <stp>[Bbg_Market_Data_CL.xlsm]data!R298C18</stp>
        <tr r="R298" s="1"/>
      </tp>
      <tp t="s">
        <v>#N/A Requesting Data...</v>
        <stp/>
        <stp>##V3_BDHV12</stp>
        <stp>CL1 Comdty</stp>
        <stp>VOLATILITY_10D</stp>
        <stp>11/02/2016</stp>
        <stp>11/02/2016</stp>
        <stp>[Bbg_Market_Data_CL.xlsm]data!R290C17</stp>
        <tr r="Q290" s="1"/>
      </tp>
      <tp t="s">
        <v>#N/A Requesting Data...</v>
        <stp/>
        <stp>##V3_BDHV12</stp>
        <stp>CL2 Comdty</stp>
        <stp>VOLATILITY_10D</stp>
        <stp>24/04/2015</stp>
        <stp>24/04/2015</stp>
        <stp>[Bbg_Market_Data_CL.xlsm]data!R490C17</stp>
        <tr r="Q490" s="1"/>
      </tp>
      <tp t="s">
        <v>#N/A Requesting Data...</v>
        <stp/>
        <stp>##V3_BDHV12</stp>
        <stp>CL1 Comdty</stp>
        <stp>VOLATILITY_30D</stp>
        <stp>21/03/2016</stp>
        <stp>21/03/2016</stp>
        <stp>[Bbg_Market_Data_CL.xlsm]data!R265C18</stp>
        <tr r="R265" s="1"/>
      </tp>
      <tp t="s">
        <v>#N/A Requesting Data...</v>
        <stp/>
        <stp>##V3_BDHV12</stp>
        <stp>CL1 Comdty</stp>
        <stp>VOLATILITY_10D</stp>
        <stp>14/04/2015</stp>
        <stp>14/04/2015</stp>
        <stp>[Bbg_Market_Data_CL.xlsm]data!R498C17</stp>
        <tr r="Q498" s="1"/>
      </tp>
      <tp>
        <v>64.930000000000007</v>
        <stp/>
        <stp>##V3_BDHV12</stp>
        <stp>CL2 Comdty</stp>
        <stp>VOLATILITY_30D</stp>
        <stp>11/03/2016</stp>
        <stp>11/03/2016</stp>
        <stp>[Bbg_Market_Data_CL.xlsm]data!R271C18</stp>
        <tr r="R271" s="1"/>
      </tp>
      <tp t="s">
        <v>#N/A Requesting Data...</v>
        <stp/>
        <stp>##V3_BDHV12</stp>
        <stp>CL2 Comdty</stp>
        <stp>VOLATILITY_30D</stp>
        <stp>14/05/2015</stp>
        <stp>14/05/2015</stp>
        <stp>[Bbg_Market_Data_CL.xlsm]data!R476C18</stp>
        <tr r="R476" s="1"/>
      </tp>
      <tp t="s">
        <v>#N/A Requesting Data...</v>
        <stp/>
        <stp>##V3_BDHV12</stp>
        <stp>CL1 Comdty</stp>
        <stp>VOLATILITY_10D</stp>
        <stp>04/05/2015</stp>
        <stp>04/05/2015</stp>
        <stp>[Bbg_Market_Data_CL.xlsm]data!R484C17</stp>
        <tr r="Q484" s="1"/>
      </tp>
      <tp t="s">
        <v>#N/A Requesting Data...</v>
        <stp/>
        <stp>##V3_BDHV12</stp>
        <stp>CL1 Comdty</stp>
        <stp>VOLATILITY_30D</stp>
        <stp>13/11/2015</stp>
        <stp>13/11/2015</stp>
        <stp>[Bbg_Market_Data_CL.xlsm]data!R350C18</stp>
        <tr r="R350" s="1"/>
      </tp>
      <tp t="s">
        <v>#N/A Requesting Data...</v>
        <stp/>
        <stp>##V3_BDHV12</stp>
        <stp>CL2 Comdty</stp>
        <stp>VOLATILITY_30D</stp>
        <stp>24/06/2015</stp>
        <stp>24/06/2015</stp>
        <stp>[Bbg_Market_Data_CL.xlsm]data!R448C18</stp>
        <tr r="R448" s="1"/>
      </tp>
      <tp>
        <v>34.51</v>
        <stp/>
        <stp>##V3_BDHV12</stp>
        <stp>CL2 Comdty</stp>
        <stp>VOLATILITY_30D</stp>
        <stp>23/11/2015</stp>
        <stp>23/11/2015</stp>
        <stp>[Bbg_Market_Data_CL.xlsm]data!R344C18</stp>
        <tr r="R344" s="1"/>
      </tp>
      <tp t="s">
        <v>#N/A Requesting Data...</v>
        <stp/>
        <stp>##V3_BDHV12</stp>
        <stp>CL1 Comdty</stp>
        <stp>VOLATILITY_30D</stp>
        <stp>23/12/2015</stp>
        <stp>23/12/2015</stp>
        <stp>[Bbg_Market_Data_CL.xlsm]data!R323C18</stp>
        <tr r="R323" s="1"/>
      </tp>
      <tp>
        <v>41.1</v>
        <stp/>
        <stp>##V3_BDHV12</stp>
        <stp>CL2 Comdty</stp>
        <stp>VOLATILITY_30D</stp>
        <stp>12/10/2016</stp>
        <stp>12/10/2016</stp>
        <stp>[Bbg_Market_Data_CL.xlsm]data!R124C18</stp>
        <tr r="R124" s="1"/>
      </tp>
      <tp>
        <v>43.4</v>
        <stp/>
        <stp>##V3_BDHV12</stp>
        <stp>CL2 Comdty</stp>
        <stp>VOLATILITY_30D</stp>
        <stp>20/01/2016</stp>
        <stp>20/01/2016</stp>
        <stp>[Bbg_Market_Data_CL.xlsm]data!R306C18</stp>
        <tr r="R306" s="1"/>
      </tp>
      <tp>
        <v>34.64</v>
        <stp/>
        <stp>##V3_BDHV12</stp>
        <stp>CL2 Comdty</stp>
        <stp>VOLATILITY_30D</stp>
        <stp>02/11/2016</stp>
        <stp>02/11/2016</stp>
        <stp>[Bbg_Market_Data_CL.xlsm]data!R109C18</stp>
        <tr r="R109" s="1"/>
      </tp>
      <tp t="s">
        <v>#N/A Requesting Data...</v>
        <stp/>
        <stp>##V3_BDHV12</stp>
        <stp>CL2 Comdty</stp>
        <stp>VOLUME_TOTAL_CALL</stp>
        <stp>01/03/2017</stp>
        <stp>01/03/2017</stp>
        <stp>[Bbg_Market_Data_CL.xlsm]data!R30C15</stp>
        <tr r="O30" s="1"/>
      </tp>
      <tp t="s">
        <v>#N/A Requesting Data...</v>
        <stp/>
        <stp>##V3_BDHV12</stp>
        <stp>CL1 Comdty</stp>
        <stp>VOLUME_TOTAL_CALL</stp>
        <stp>01/03/2017</stp>
        <stp>01/03/2017</stp>
        <stp>[Bbg_Market_Data_CL.xlsm]data!R30C15</stp>
        <tr r="O30" s="1"/>
      </tp>
      <tp t="s">
        <v>#N/A Requesting Data...</v>
        <stp/>
        <stp>##V3_BDHV12</stp>
        <stp>CL1 Comdty</stp>
        <stp>VOLUME_TOTAL_CALL</stp>
        <stp>01/12/2016</stp>
        <stp>01/12/2016</stp>
        <stp>[Bbg_Market_Data_CL.xlsm]data!R90C15</stp>
        <tr r="O90" s="1"/>
      </tp>
      <tp t="s">
        <v>#N/A Requesting Data...</v>
        <stp/>
        <stp>##V3_BDHV12</stp>
        <stp>CL2 Comdty</stp>
        <stp>VOLUME_TOTAL_CALL</stp>
        <stp>01/12/2016</stp>
        <stp>01/12/2016</stp>
        <stp>[Bbg_Market_Data_CL.xlsm]data!R90C15</stp>
        <tr r="O90" s="1"/>
      </tp>
      <tp t="s">
        <v>#N/A Requesting Data...</v>
        <stp/>
        <stp>##V3_BDHV12</stp>
        <stp>CL1 Comdty</stp>
        <stp>VOLUME_TOTAL_CALL</stp>
        <stp>10/02/2017</stp>
        <stp>10/02/2017</stp>
        <stp>[Bbg_Market_Data_CL.xlsm]data!R42C15</stp>
        <tr r="O42" s="1"/>
      </tp>
      <tp t="s">
        <v>#N/A Requesting Data...</v>
        <stp/>
        <stp>##V3_BDHV12</stp>
        <stp>CL1 Comdty</stp>
        <stp>VOLUME_TOTAL_CALL</stp>
        <stp>20/01/2017</stp>
        <stp>20/01/2017</stp>
        <stp>[Bbg_Market_Data_CL.xlsm]data!R57C15</stp>
        <tr r="O57" s="1"/>
      </tp>
      <tp t="s">
        <v>#N/A Requesting Data...</v>
        <stp/>
        <stp>##V3_BDHV12</stp>
        <stp>CL2 Comdty</stp>
        <stp>VOLUME_TOTAL_CALL</stp>
        <stp>20/01/2017</stp>
        <stp>20/01/2017</stp>
        <stp>[Bbg_Market_Data_CL.xlsm]data!R57C15</stp>
        <tr r="O57" s="1"/>
      </tp>
      <tp t="s">
        <v>#N/A Requesting Data...</v>
        <stp/>
        <stp>##V3_BDHV12</stp>
        <stp>CL2 Comdty</stp>
        <stp>VOLUME_TOTAL_CALL</stp>
        <stp>10/02/2017</stp>
        <stp>10/02/2017</stp>
        <stp>[Bbg_Market_Data_CL.xlsm]data!R42C15</stp>
        <tr r="O42" s="1"/>
      </tp>
      <tp t="s">
        <v>#N/A Requesting Data...</v>
        <stp/>
        <stp>##V3_BDHV12</stp>
        <stp>CL1 Comdty</stp>
        <stp>VOLUME_TOTAL_CALL</stp>
        <stp>30/11/2016</stp>
        <stp>30/11/2016</stp>
        <stp>[Bbg_Market_Data_CL.xlsm]data!R91C15</stp>
        <tr r="O91" s="1"/>
      </tp>
      <tp t="s">
        <v>#N/A Requesting Data...</v>
        <stp/>
        <stp>##V3_BDHV12</stp>
        <stp>CL2 Comdty</stp>
        <stp>VOLUME_TOTAL_CALL</stp>
        <stp>30/11/2016</stp>
        <stp>30/11/2016</stp>
        <stp>[Bbg_Market_Data_CL.xlsm]data!R91C15</stp>
        <tr r="O91" s="1"/>
      </tp>
      <tp t="s">
        <v>#N/A Requesting Data...</v>
        <stp/>
        <stp>##V3_BDHV12</stp>
        <stp>CL2 Comdty</stp>
        <stp>VOLUME_TOTAL_CALL</stp>
        <stp>13/02/2017</stp>
        <stp>13/02/2017</stp>
        <stp>[Bbg_Market_Data_CL.xlsm]data!R41C15</stp>
        <tr r="O41" s="1"/>
      </tp>
      <tp t="s">
        <v>#N/A Requesting Data...</v>
        <stp/>
        <stp>##V3_BDHV12</stp>
        <stp>CL2 Comdty</stp>
        <stp>VOLUME_TOTAL_CALL</stp>
        <stp>23/01/2017</stp>
        <stp>23/01/2017</stp>
        <stp>[Bbg_Market_Data_CL.xlsm]data!R56C15</stp>
        <tr r="O56" s="1"/>
      </tp>
      <tp t="s">
        <v>#N/A Requesting Data...</v>
        <stp/>
        <stp>##V3_BDHV12</stp>
        <stp>CL1 Comdty</stp>
        <stp>VOLUME_TOTAL_CALL</stp>
        <stp>23/01/2017</stp>
        <stp>23/01/2017</stp>
        <stp>[Bbg_Market_Data_CL.xlsm]data!R56C15</stp>
        <tr r="O56" s="1"/>
      </tp>
      <tp t="s">
        <v>#N/A Requesting Data...</v>
        <stp/>
        <stp>##V3_BDHV12</stp>
        <stp>CL1 Comdty</stp>
        <stp>VOLUME_TOTAL_CALL</stp>
        <stp>13/02/2017</stp>
        <stp>13/02/2017</stp>
        <stp>[Bbg_Market_Data_CL.xlsm]data!R41C15</stp>
        <tr r="O41" s="1"/>
      </tp>
      <tp t="s">
        <v>#N/A Requesting Data...</v>
        <stp/>
        <stp>##V3_BDHV12</stp>
        <stp>CL1 Comdty</stp>
        <stp>VOLUME_TOTAL_CALL</stp>
        <stp>03/03/2017</stp>
        <stp>03/03/2017</stp>
        <stp>[Bbg_Market_Data_CL.xlsm]data!R28C15</stp>
        <tr r="O28" s="1"/>
      </tp>
      <tp t="s">
        <v>#N/A Requesting Data...</v>
        <stp/>
        <stp>##V3_BDHV12</stp>
        <stp>CL2 Comdty</stp>
        <stp>VOLUME_TOTAL_CALL</stp>
        <stp>03/03/2017</stp>
        <stp>03/03/2017</stp>
        <stp>[Bbg_Market_Data_CL.xlsm]data!R28C15</stp>
        <tr r="O28" s="1"/>
      </tp>
      <tp t="s">
        <v>#N/A Requesting Data...</v>
        <stp/>
        <stp>##V3_BDHV12</stp>
        <stp>CL1 Comdty</stp>
        <stp>VOLUME_TOTAL_CALL</stp>
        <stp>02/03/2017</stp>
        <stp>02/03/2017</stp>
        <stp>[Bbg_Market_Data_CL.xlsm]data!R29C15</stp>
        <tr r="O29" s="1"/>
      </tp>
      <tp t="s">
        <v>#N/A Requesting Data...</v>
        <stp/>
        <stp>##V3_BDHV12</stp>
        <stp>CL2 Comdty</stp>
        <stp>VOLUME_TOTAL_CALL</stp>
        <stp>02/03/2017</stp>
        <stp>02/03/2017</stp>
        <stp>[Bbg_Market_Data_CL.xlsm]data!R29C15</stp>
        <tr r="O29" s="1"/>
      </tp>
      <tp t="s">
        <v>#N/A Requesting Data...</v>
        <stp/>
        <stp>##V3_BDHV12</stp>
        <stp>CL2 Comdty</stp>
        <stp>VOLUME_TOTAL_CALL</stp>
        <stp>02/12/2016</stp>
        <stp>02/12/2016</stp>
        <stp>[Bbg_Market_Data_CL.xlsm]data!R89C15</stp>
        <tr r="O89" s="1"/>
      </tp>
      <tp t="s">
        <v>#N/A Requesting Data...</v>
        <stp/>
        <stp>##V3_BDHV12</stp>
        <stp>CL1 Comdty</stp>
        <stp>VOLUME_TOTAL_CALL</stp>
        <stp>02/12/2016</stp>
        <stp>02/12/2016</stp>
        <stp>[Bbg_Market_Data_CL.xlsm]data!R89C15</stp>
        <tr r="O89" s="1"/>
      </tp>
      <tp t="s">
        <v>#N/A Requesting Data...</v>
        <stp/>
        <stp>##V3_BDHV12</stp>
        <stp>CL2 Comdty</stp>
        <stp>VOLUME_TOTAL_CALL</stp>
        <stp>15/02/2017</stp>
        <stp>15/02/2017</stp>
        <stp>[Bbg_Market_Data_CL.xlsm]data!R39C15</stp>
        <tr r="O39" s="1"/>
      </tp>
      <tp t="s">
        <v>#N/A Requesting Data...</v>
        <stp/>
        <stp>##V3_BDHV12</stp>
        <stp>CL1 Comdty</stp>
        <stp>VOLUME_TOTAL_CALL</stp>
        <stp>15/02/2017</stp>
        <stp>15/02/2017</stp>
        <stp>[Bbg_Market_Data_CL.xlsm]data!R39C15</stp>
        <tr r="O39" s="1"/>
      </tp>
      <tp t="s">
        <v>#N/A Requesting Data...</v>
        <stp/>
        <stp>##V3_BDHV12</stp>
        <stp>CL1 Comdty</stp>
        <stp>VOLUME_TOTAL_CALL</stp>
        <stp>25/01/2017</stp>
        <stp>25/01/2017</stp>
        <stp>[Bbg_Market_Data_CL.xlsm]data!R54C15</stp>
        <tr r="O54" s="1"/>
      </tp>
      <tp t="s">
        <v>#N/A Requesting Data...</v>
        <stp/>
        <stp>##V3_BDHV12</stp>
        <stp>CL2 Comdty</stp>
        <stp>VOLUME_TOTAL_CALL</stp>
        <stp>25/01/2017</stp>
        <stp>25/01/2017</stp>
        <stp>[Bbg_Market_Data_CL.xlsm]data!R54C15</stp>
        <tr r="O54" s="1"/>
      </tp>
      <tp t="s">
        <v>#N/A Requesting Data...</v>
        <stp/>
        <stp>##V3_BDHV12</stp>
        <stp>CL1 Comdty</stp>
        <stp>VOLUME_TOTAL_CALL</stp>
        <stp>05/12/2016</stp>
        <stp>05/12/2016</stp>
        <stp>[Bbg_Market_Data_CL.xlsm]data!R88C15</stp>
        <tr r="O88" s="1"/>
      </tp>
      <tp t="s">
        <v>#N/A Requesting Data...</v>
        <stp/>
        <stp>##V3_BDHV12</stp>
        <stp>CL2 Comdty</stp>
        <stp>VOLUME_TOTAL_CALL</stp>
        <stp>05/12/2016</stp>
        <stp>05/12/2016</stp>
        <stp>[Bbg_Market_Data_CL.xlsm]data!R88C15</stp>
        <tr r="O88" s="1"/>
      </tp>
      <tp t="s">
        <v>#N/A Requesting Data...</v>
        <stp/>
        <stp>##V3_BDHV12</stp>
        <stp>CL1 Comdty</stp>
        <stp>VOLUME_TOTAL_CALL</stp>
        <stp>14/02/2017</stp>
        <stp>14/02/2017</stp>
        <stp>[Bbg_Market_Data_CL.xlsm]data!R40C15</stp>
        <tr r="O40" s="1"/>
      </tp>
      <tp t="s">
        <v>#N/A Requesting Data...</v>
        <stp/>
        <stp>##V3_BDHV12</stp>
        <stp>CL1 Comdty</stp>
        <stp>VOLUME_TOTAL_CALL</stp>
        <stp>24/01/2017</stp>
        <stp>24/01/2017</stp>
        <stp>[Bbg_Market_Data_CL.xlsm]data!R55C15</stp>
        <tr r="O55" s="1"/>
      </tp>
      <tp t="s">
        <v>#N/A Requesting Data...</v>
        <stp/>
        <stp>##V3_BDHV12</stp>
        <stp>CL2 Comdty</stp>
        <stp>VOLUME_TOTAL_CALL</stp>
        <stp>24/01/2017</stp>
        <stp>24/01/2017</stp>
        <stp>[Bbg_Market_Data_CL.xlsm]data!R55C15</stp>
        <tr r="O55" s="1"/>
      </tp>
      <tp t="s">
        <v>#N/A Requesting Data...</v>
        <stp/>
        <stp>##V3_BDHV12</stp>
        <stp>CL2 Comdty</stp>
        <stp>VOLUME_TOTAL_CALL</stp>
        <stp>14/02/2017</stp>
        <stp>14/02/2017</stp>
        <stp>[Bbg_Market_Data_CL.xlsm]data!R40C15</stp>
        <tr r="O40" s="1"/>
      </tp>
      <tp t="s">
        <v>#N/A Requesting Data...</v>
        <stp/>
        <stp>##V3_BDHV12</stp>
        <stp>CL1 Comdty</stp>
        <stp>VOLUME_TOTAL_CALL</stp>
        <stp>17/02/2017</stp>
        <stp>17/02/2017</stp>
        <stp>[Bbg_Market_Data_CL.xlsm]data!R37C15</stp>
        <tr r="O37" s="1"/>
      </tp>
      <tp t="s">
        <v>#N/A Requesting Data...</v>
        <stp/>
        <stp>##V3_BDHV12</stp>
        <stp>CL1 Comdty</stp>
        <stp>VOLUME_TOTAL_CALL</stp>
        <stp>07/03/2017</stp>
        <stp>07/03/2017</stp>
        <stp>[Bbg_Market_Data_CL.xlsm]data!R26C15</stp>
        <tr r="O26" s="1"/>
      </tp>
      <tp t="s">
        <v>#N/A Requesting Data...</v>
        <stp/>
        <stp>##V3_BDHV12</stp>
        <stp>CL2 Comdty</stp>
        <stp>VOLUME_TOTAL_CALL</stp>
        <stp>07/03/2017</stp>
        <stp>07/03/2017</stp>
        <stp>[Bbg_Market_Data_CL.xlsm]data!R26C15</stp>
        <tr r="O26" s="1"/>
      </tp>
      <tp t="s">
        <v>#N/A Requesting Data...</v>
        <stp/>
        <stp>##V3_BDHV12</stp>
        <stp>CL2 Comdty</stp>
        <stp>VOLUME_TOTAL_CALL</stp>
        <stp>17/02/2017</stp>
        <stp>17/02/2017</stp>
        <stp>[Bbg_Market_Data_CL.xlsm]data!R37C15</stp>
        <tr r="O37" s="1"/>
      </tp>
      <tp t="s">
        <v>#N/A Requesting Data...</v>
        <stp/>
        <stp>##V3_BDHV12</stp>
        <stp>CL2 Comdty</stp>
        <stp>VOLUME_TOTAL_CALL</stp>
        <stp>27/01/2017</stp>
        <stp>27/01/2017</stp>
        <stp>[Bbg_Market_Data_CL.xlsm]data!R52C15</stp>
        <tr r="O52" s="1"/>
      </tp>
      <tp t="s">
        <v>#N/A Requesting Data...</v>
        <stp/>
        <stp>##V3_BDHV12</stp>
        <stp>CL1 Comdty</stp>
        <stp>VOLUME_TOTAL_CALL</stp>
        <stp>27/01/2017</stp>
        <stp>27/01/2017</stp>
        <stp>[Bbg_Market_Data_CL.xlsm]data!R52C15</stp>
        <tr r="O52" s="1"/>
      </tp>
      <tp t="s">
        <v>#N/A Requesting Data...</v>
        <stp/>
        <stp>##V3_BDHV12</stp>
        <stp>CL2 Comdty</stp>
        <stp>VOLUME_TOTAL_CALL</stp>
        <stp>07/12/2016</stp>
        <stp>07/12/2016</stp>
        <stp>[Bbg_Market_Data_CL.xlsm]data!R86C15</stp>
        <tr r="O86" s="1"/>
      </tp>
      <tp t="s">
        <v>#N/A Requesting Data...</v>
        <stp/>
        <stp>##V3_BDHV12</stp>
        <stp>CL1 Comdty</stp>
        <stp>VOLUME_TOTAL_CALL</stp>
        <stp>07/12/2016</stp>
        <stp>07/12/2016</stp>
        <stp>[Bbg_Market_Data_CL.xlsm]data!R86C15</stp>
        <tr r="O86" s="1"/>
      </tp>
      <tp t="s">
        <v>#N/A Requesting Data...</v>
        <stp/>
        <stp>##V3_BDHV12</stp>
        <stp>CL1 Comdty</stp>
        <stp>VOLUME_TOTAL_CALL</stp>
        <stp>06/03/2017</stp>
        <stp>06/03/2017</stp>
        <stp>[Bbg_Market_Data_CL.xlsm]data!R27C15</stp>
        <tr r="O27" s="1"/>
      </tp>
      <tp t="s">
        <v>#N/A Requesting Data...</v>
        <stp/>
        <stp>##V3_BDHV12</stp>
        <stp>CL1 Comdty</stp>
        <stp>VOLUME_TOTAL_CALL</stp>
        <stp>16/02/2017</stp>
        <stp>16/02/2017</stp>
        <stp>[Bbg_Market_Data_CL.xlsm]data!R38C15</stp>
        <tr r="O38" s="1"/>
      </tp>
      <tp t="s">
        <v>#N/A Requesting Data...</v>
        <stp/>
        <stp>##V3_BDHV12</stp>
        <stp>CL2 Comdty</stp>
        <stp>VOLUME_TOTAL_CALL</stp>
        <stp>16/02/2017</stp>
        <stp>16/02/2017</stp>
        <stp>[Bbg_Market_Data_CL.xlsm]data!R38C15</stp>
        <tr r="O38" s="1"/>
      </tp>
      <tp t="s">
        <v>#N/A Requesting Data...</v>
        <stp/>
        <stp>##V3_BDHV12</stp>
        <stp>CL2 Comdty</stp>
        <stp>VOLUME_TOTAL_CALL</stp>
        <stp>06/03/2017</stp>
        <stp>06/03/2017</stp>
        <stp>[Bbg_Market_Data_CL.xlsm]data!R27C15</stp>
        <tr r="O27" s="1"/>
      </tp>
      <tp t="s">
        <v>#N/A Requesting Data...</v>
        <stp/>
        <stp>##V3_BDHV12</stp>
        <stp>CL2 Comdty</stp>
        <stp>VOLUME_TOTAL_CALL</stp>
        <stp>26/01/2017</stp>
        <stp>26/01/2017</stp>
        <stp>[Bbg_Market_Data_CL.xlsm]data!R53C15</stp>
        <tr r="O53" s="1"/>
      </tp>
      <tp t="s">
        <v>#N/A Requesting Data...</v>
        <stp/>
        <stp>##V3_BDHV12</stp>
        <stp>CL1 Comdty</stp>
        <stp>VOLUME_TOTAL_CALL</stp>
        <stp>26/01/2017</stp>
        <stp>26/01/2017</stp>
        <stp>[Bbg_Market_Data_CL.xlsm]data!R53C15</stp>
        <tr r="O53" s="1"/>
      </tp>
      <tp t="s">
        <v>#N/A Requesting Data...</v>
        <stp/>
        <stp>##V3_BDHV12</stp>
        <stp>CL2 Comdty</stp>
        <stp>VOLUME_TOTAL_CALL</stp>
        <stp>06/12/2016</stp>
        <stp>06/12/2016</stp>
        <stp>[Bbg_Market_Data_CL.xlsm]data!R87C15</stp>
        <tr r="O87" s="1"/>
      </tp>
      <tp t="s">
        <v>#N/A Requesting Data...</v>
        <stp/>
        <stp>##V3_BDHV12</stp>
        <stp>CL1 Comdty</stp>
        <stp>VOLUME_TOTAL_CALL</stp>
        <stp>06/12/2016</stp>
        <stp>06/12/2016</stp>
        <stp>[Bbg_Market_Data_CL.xlsm]data!R87C15</stp>
        <tr r="O87" s="1"/>
      </tp>
      <tp t="s">
        <v>#N/A Requesting Data...</v>
        <stp/>
        <stp>##V3_BDHV12</stp>
        <stp>CL1 Comdty</stp>
        <stp>VOLUME_TOTAL_CALL</stp>
        <stp>09/12/2016</stp>
        <stp>09/12/2016</stp>
        <stp>[Bbg_Market_Data_CL.xlsm]data!R84C15</stp>
        <tr r="O84" s="1"/>
      </tp>
      <tp t="s">
        <v>#N/A Requesting Data...</v>
        <stp/>
        <stp>##V3_BDHV12</stp>
        <stp>CL2 Comdty</stp>
        <stp>VOLUME_TOTAL_CALL</stp>
        <stp>09/12/2016</stp>
        <stp>09/12/2016</stp>
        <stp>[Bbg_Market_Data_CL.xlsm]data!R84C15</stp>
        <tr r="O84" s="1"/>
      </tp>
      <tp t="s">
        <v>#N/A Requesting Data...</v>
        <stp/>
        <stp>##V3_BDHV12</stp>
        <stp>CL2 Comdty</stp>
        <stp>VOLUME_TOTAL_CALL</stp>
        <stp>09/03/2017</stp>
        <stp>09/03/2017</stp>
        <stp>[Bbg_Market_Data_CL.xlsm]data!R24C15</stp>
        <tr r="O24" s="1"/>
      </tp>
      <tp t="s">
        <v>#N/A Requesting Data...</v>
        <stp/>
        <stp>##V3_BDHV12</stp>
        <stp>CL1 Comdty</stp>
        <stp>VOLUME_TOTAL_CALL</stp>
        <stp>09/03/2017</stp>
        <stp>09/03/2017</stp>
        <stp>[Bbg_Market_Data_CL.xlsm]data!R24C15</stp>
        <tr r="O24" s="1"/>
      </tp>
      <tp t="s">
        <v>#N/A Requesting Data...</v>
        <stp/>
        <stp>##V3_BDHV12</stp>
        <stp>CL1 Comdty</stp>
        <stp>VOLUME_TOTAL_CALL</stp>
        <stp>08/12/2016</stp>
        <stp>08/12/2016</stp>
        <stp>[Bbg_Market_Data_CL.xlsm]data!R85C15</stp>
        <tr r="O85" s="1"/>
      </tp>
      <tp t="s">
        <v>#N/A Requesting Data...</v>
        <stp/>
        <stp>##V3_BDHV12</stp>
        <stp>CL2 Comdty</stp>
        <stp>VOLUME_TOTAL_CALL</stp>
        <stp>08/12/2016</stp>
        <stp>08/12/2016</stp>
        <stp>[Bbg_Market_Data_CL.xlsm]data!R85C15</stp>
        <tr r="O85" s="1"/>
      </tp>
      <tp t="s">
        <v>#N/A Requesting Data...</v>
        <stp/>
        <stp>##V3_BDHV12</stp>
        <stp>CL2 Comdty</stp>
        <stp>VOLUME_TOTAL_CALL</stp>
        <stp>08/03/2017</stp>
        <stp>08/03/2017</stp>
        <stp>[Bbg_Market_Data_CL.xlsm]data!R25C15</stp>
        <tr r="O25" s="1"/>
      </tp>
      <tp t="s">
        <v>#N/A Requesting Data...</v>
        <stp/>
        <stp>##V3_BDHV12</stp>
        <stp>CL1 Comdty</stp>
        <stp>VOLUME_TOTAL_CALL</stp>
        <stp>08/03/2017</stp>
        <stp>08/03/2017</stp>
        <stp>[Bbg_Market_Data_CL.xlsm]data!R25C15</stp>
        <tr r="O25" s="1"/>
      </tp>
      <tp t="s">
        <v>#N/A Requesting Data...</v>
        <stp/>
        <stp>##V3_BDHV12</stp>
        <stp>CL1 Comdty</stp>
        <stp>PX_LOW</stp>
        <stp>26/05/2015</stp>
        <stp>26/05/2015</stp>
        <stp>[Bbg_Market_Data_CL.xlsm]data!R469C7</stp>
        <tr r="G469" s="1"/>
      </tp>
      <tp t="s">
        <v>#N/A Requesting Data...</v>
        <stp/>
        <stp>##V3_BDHV12</stp>
        <stp>CL1 Comdty</stp>
        <stp>PX_LOW</stp>
        <stp>25/05/2016</stp>
        <stp>25/05/2016</stp>
        <stp>[Bbg_Market_Data_CL.xlsm]data!R219C7</stp>
        <tr r="G219" s="1"/>
      </tp>
      <tp>
        <v>46.41</v>
        <stp/>
        <stp>##V3_BDHV12</stp>
        <stp>CL2 Comdty</stp>
        <stp>PX_LOW</stp>
        <stp>08/09/2016</stp>
        <stp>08/09/2016</stp>
        <stp>[Bbg_Market_Data_CL.xlsm]data!R147C7</stp>
        <tr r="G147" s="1"/>
      </tp>
      <tp t="s">
        <v>#N/A Requesting Data...</v>
        <stp/>
        <stp>##V3_BDHV12</stp>
        <stp>CL1 Comdty</stp>
        <stp>PX_LOW</stp>
        <stp>29/08/2016</stp>
        <stp>29/08/2016</stp>
        <stp>[Bbg_Market_Data_CL.xlsm]data!R154C7</stp>
        <tr r="G154" s="1"/>
      </tp>
      <tp>
        <v>47.29</v>
        <stp/>
        <stp>##V3_BDHV12</stp>
        <stp>CL2 Comdty</stp>
        <stp>PX_LOW</stp>
        <stp>29/08/2016</stp>
        <stp>29/08/2016</stp>
        <stp>[Bbg_Market_Data_CL.xlsm]data!R154C7</stp>
        <tr r="G154" s="1"/>
      </tp>
      <tp t="s">
        <v>#N/A Requesting Data...</v>
        <stp/>
        <stp>##V3_BDHV12</stp>
        <stp>CL2 Comdty</stp>
        <stp>PX_LOW</stp>
        <stp>26/05/2015</stp>
        <stp>26/05/2015</stp>
        <stp>[Bbg_Market_Data_CL.xlsm]data!R469C7</stp>
        <tr r="G469" s="1"/>
      </tp>
      <tp>
        <v>49.08</v>
        <stp/>
        <stp>##V3_BDHV12</stp>
        <stp>CL2 Comdty</stp>
        <stp>PX_LOW</stp>
        <stp>25/05/2016</stp>
        <stp>25/05/2016</stp>
        <stp>[Bbg_Market_Data_CL.xlsm]data!R219C7</stp>
        <tr r="G219" s="1"/>
      </tp>
      <tp t="s">
        <v>#N/A Requesting Data...</v>
        <stp/>
        <stp>##V3_BDHV12</stp>
        <stp>CL1 Comdty</stp>
        <stp>PX_LOW</stp>
        <stp>08/09/2016</stp>
        <stp>08/09/2016</stp>
        <stp>[Bbg_Market_Data_CL.xlsm]data!R147C7</stp>
        <tr r="G147" s="1"/>
      </tp>
      <tp t="s">
        <v>#N/A Requesting Data...</v>
        <stp/>
        <stp>##V3_BDHV12</stp>
        <stp>CL1 Comdty</stp>
        <stp>PX_LOW</stp>
        <stp>11/07/2016</stp>
        <stp>11/07/2016</stp>
        <stp>[Bbg_Market_Data_CL.xlsm]data!R188C7</stp>
        <tr r="G188" s="1"/>
      </tp>
      <tp>
        <v>45.2</v>
        <stp/>
        <stp>##V3_BDHV12</stp>
        <stp>CL2 Comdty</stp>
        <stp>PX_LOW</stp>
        <stp>11/07/2016</stp>
        <stp>11/07/2016</stp>
        <stp>[Bbg_Market_Data_CL.xlsm]data!R188C7</stp>
        <tr r="G188" s="1"/>
      </tp>
      <tp>
        <v>42.17</v>
        <stp/>
        <stp>##V3_BDHV12</stp>
        <stp>CL2 Comdty</stp>
        <stp>PX_LOW</stp>
        <stp>10/08/2016</stp>
        <stp>10/08/2016</stp>
        <stp>[Bbg_Market_Data_CL.xlsm]data!R167C7</stp>
        <tr r="G167" s="1"/>
      </tp>
      <tp t="s">
        <v>#N/A Requesting Data...</v>
        <stp/>
        <stp>##V3_BDHV12</stp>
        <stp>CL1 Comdty</stp>
        <stp>PX_LOW</stp>
        <stp>23/09/2015</stp>
        <stp>23/09/2015</stp>
        <stp>[Bbg_Market_Data_CL.xlsm]data!R385C7</stp>
        <tr r="G385" s="1"/>
      </tp>
      <tp>
        <v>45.04</v>
        <stp/>
        <stp>##V3_BDHV12</stp>
        <stp>CL2 Comdty</stp>
        <stp>PX_LOW</stp>
        <stp>23/09/2015</stp>
        <stp>23/09/2015</stp>
        <stp>[Bbg_Market_Data_CL.xlsm]data!R385C7</stp>
        <tr r="G385" s="1"/>
      </tp>
      <tp t="s">
        <v>#N/A Requesting Data...</v>
        <stp/>
        <stp>##V3_BDHV12</stp>
        <stp>CL1 Comdty</stp>
        <stp>PX_LOW</stp>
        <stp>10/08/2016</stp>
        <stp>10/08/2016</stp>
        <stp>[Bbg_Market_Data_CL.xlsm]data!R167C7</stp>
        <tr r="G167" s="1"/>
      </tp>
      <tp>
        <v>45.01</v>
        <stp/>
        <stp>##V3_BDHV12</stp>
        <stp>CL2 Comdty</stp>
        <stp>PX_LOW</stp>
        <stp>26/09/2016</stp>
        <stp>26/09/2016</stp>
        <stp>[Bbg_Market_Data_CL.xlsm]data!R135C7</stp>
        <tr r="G135" s="1"/>
      </tp>
      <tp t="s">
        <v>#N/A Requesting Data...</v>
        <stp/>
        <stp>##V3_BDHV12</stp>
        <stp>CL1 Comdty</stp>
        <stp>PX_LOW</stp>
        <stp>04/09/2015</stp>
        <stp>04/09/2015</stp>
        <stp>[Bbg_Market_Data_CL.xlsm]data!R397C7</stp>
        <tr r="G397" s="1"/>
      </tp>
      <tp t="s">
        <v>#N/A Requesting Data...</v>
        <stp/>
        <stp>##V3_BDHV12</stp>
        <stp>CL1 Comdty</stp>
        <stp>PX_LOW</stp>
        <stp>28/04/2016</stp>
        <stp>28/04/2016</stp>
        <stp>[Bbg_Market_Data_CL.xlsm]data!R238C7</stp>
        <tr r="G238" s="1"/>
      </tp>
      <tp t="s">
        <v>#N/A Requesting Data...</v>
        <stp/>
        <stp>##V3_BDHV12</stp>
        <stp>CL2 Comdty</stp>
        <stp>PX_LOW</stp>
        <stp>28/04/2015</stp>
        <stp>28/04/2015</stp>
        <stp>[Bbg_Market_Data_CL.xlsm]data!R488C7</stp>
        <tr r="G488" s="1"/>
      </tp>
      <tp t="s">
        <v>#N/A Requesting Data...</v>
        <stp/>
        <stp>##V3_BDHV12</stp>
        <stp>CL1 Comdty</stp>
        <stp>PX_LOW</stp>
        <stp>26/08/2015</stp>
        <stp>26/08/2015</stp>
        <stp>[Bbg_Market_Data_CL.xlsm]data!R404C7</stp>
        <tr r="G404" s="1"/>
      </tp>
      <tp t="s">
        <v>#N/A Requesting Data...</v>
        <stp/>
        <stp>##V3_BDHV12</stp>
        <stp>CL1 Comdty</stp>
        <stp>PX_LOW</stp>
        <stp>08/07/2016</stp>
        <stp>08/07/2016</stp>
        <stp>[Bbg_Market_Data_CL.xlsm]data!R189C7</stp>
        <tr r="G189" s="1"/>
      </tp>
      <tp t="s">
        <v>#N/A Requesting Data...</v>
        <stp/>
        <stp>##V3_BDHV12</stp>
        <stp>CL2 Comdty</stp>
        <stp>PX_LOW</stp>
        <stp>08/07/2015</stp>
        <stp>08/07/2015</stp>
        <stp>[Bbg_Market_Data_CL.xlsm]data!R439C7</stp>
        <tr r="G439" s="1"/>
      </tp>
      <tp>
        <v>39.299999999999997</v>
        <stp/>
        <stp>##V3_BDHV12</stp>
        <stp>CL2 Comdty</stp>
        <stp>PX_LOW</stp>
        <stp>26/08/2015</stp>
        <stp>26/08/2015</stp>
        <stp>[Bbg_Market_Data_CL.xlsm]data!R404C7</stp>
        <tr r="G404" s="1"/>
      </tp>
      <tp>
        <v>45.47</v>
        <stp/>
        <stp>##V3_BDHV12</stp>
        <stp>CL2 Comdty</stp>
        <stp>PX_LOW</stp>
        <stp>08/07/2016</stp>
        <stp>08/07/2016</stp>
        <stp>[Bbg_Market_Data_CL.xlsm]data!R189C7</stp>
        <tr r="G189" s="1"/>
      </tp>
      <tp t="s">
        <v>#N/A Requesting Data...</v>
        <stp/>
        <stp>##V3_BDHV12</stp>
        <stp>CL1 Comdty</stp>
        <stp>PX_LOW</stp>
        <stp>08/07/2015</stp>
        <stp>08/07/2015</stp>
        <stp>[Bbg_Market_Data_CL.xlsm]data!R439C7</stp>
        <tr r="G439" s="1"/>
      </tp>
      <tp t="s">
        <v>#N/A Requesting Data...</v>
        <stp/>
        <stp>##V3_BDHV12</stp>
        <stp>CL1 Comdty</stp>
        <stp>PX_LOW</stp>
        <stp>26/09/2016</stp>
        <stp>26/09/2016</stp>
        <stp>[Bbg_Market_Data_CL.xlsm]data!R135C7</stp>
        <tr r="G135" s="1"/>
      </tp>
      <tp>
        <v>46.18</v>
        <stp/>
        <stp>##V3_BDHV12</stp>
        <stp>CL2 Comdty</stp>
        <stp>PX_LOW</stp>
        <stp>04/09/2015</stp>
        <stp>04/09/2015</stp>
        <stp>[Bbg_Market_Data_CL.xlsm]data!R397C7</stp>
        <tr r="G397" s="1"/>
      </tp>
      <tp>
        <v>45.79</v>
        <stp/>
        <stp>##V3_BDHV12</stp>
        <stp>CL2 Comdty</stp>
        <stp>PX_LOW</stp>
        <stp>28/04/2016</stp>
        <stp>28/04/2016</stp>
        <stp>[Bbg_Market_Data_CL.xlsm]data!R238C7</stp>
        <tr r="G238" s="1"/>
      </tp>
      <tp t="s">
        <v>#N/A Requesting Data...</v>
        <stp/>
        <stp>##V3_BDHV12</stp>
        <stp>CL1 Comdty</stp>
        <stp>PX_LOW</stp>
        <stp>28/04/2015</stp>
        <stp>28/04/2015</stp>
        <stp>[Bbg_Market_Data_CL.xlsm]data!R488C7</stp>
        <tr r="G488" s="1"/>
      </tp>
      <tp t="s">
        <v>#N/A Requesting Data...</v>
        <stp/>
        <stp>##V3_BDHV12</stp>
        <stp>CL1 Comdty</stp>
        <stp>VOLATILITY_30D</stp>
        <stp>19/08/2015</stp>
        <stp>19/08/2015</stp>
        <stp>[Bbg_Market_Data_CL.xlsm]data!R409C18</stp>
        <tr r="R409" s="1"/>
      </tp>
      <tp>
        <v>34.17</v>
        <stp/>
        <stp>##V3_BDHV12</stp>
        <stp>CL2 Comdty</stp>
        <stp>VOLATILITY_10D</stp>
        <stp>18/08/2015</stp>
        <stp>18/08/2015</stp>
        <stp>[Bbg_Market_Data_CL.xlsm]data!R410C17</stp>
        <tr r="Q410" s="1"/>
      </tp>
      <tp t="s">
        <v>#N/A Requesting Data...</v>
        <stp/>
        <stp>##V3_BDHV12</stp>
        <stp>CL1 Comdty</stp>
        <stp>VOLATILITY_10D</stp>
        <stp>28/08/2015</stp>
        <stp>28/08/2015</stp>
        <stp>[Bbg_Market_Data_CL.xlsm]data!R402C17</stp>
        <tr r="Q402" s="1"/>
      </tp>
      <tp>
        <v>48.3</v>
        <stp/>
        <stp>##V3_BDHV12</stp>
        <stp>CL2 Comdty</stp>
        <stp>VOLATILITY_10D</stp>
        <stp>29/09/2016</stp>
        <stp>29/09/2016</stp>
        <stp>[Bbg_Market_Data_CL.xlsm]data!R132C17</stp>
        <tr r="Q132" s="1"/>
      </tp>
      <tp t="s">
        <v>#N/A Requesting Data...</v>
        <stp/>
        <stp>##V3_BDHV12</stp>
        <stp>CL1 Comdty</stp>
        <stp>VOLATILITY_10D</stp>
        <stp>19/09/2016</stp>
        <stp>19/09/2016</stp>
        <stp>[Bbg_Market_Data_CL.xlsm]data!R140C17</stp>
        <tr r="Q140" s="1"/>
      </tp>
      <tp t="s">
        <v>#N/A Requesting Data...</v>
        <stp/>
        <stp>##V3_BDHV12</stp>
        <stp>CL1 Comdty</stp>
        <stp>VOLATILITY_30D</stp>
        <stp>18/09/2015</stp>
        <stp>18/09/2015</stp>
        <stp>[Bbg_Market_Data_CL.xlsm]data!R388C18</stp>
        <tr r="R388" s="1"/>
      </tp>
      <tp>
        <v>65.459999999999994</v>
        <stp/>
        <stp>##V3_BDHV12</stp>
        <stp>CL2 Comdty</stp>
        <stp>VOLATILITY_30D</stp>
        <stp>28/09/2015</stp>
        <stp>28/09/2015</stp>
        <stp>[Bbg_Market_Data_CL.xlsm]data!R382C18</stp>
        <tr r="R382" s="1"/>
      </tp>
      <tp t="s">
        <v>#N/A Requesting Data...</v>
        <stp/>
        <stp>##V3_BDHV12</stp>
        <stp>CL1 Comdty</stp>
        <stp>VOLATILITY_10D</stp>
        <stp>09/08/2016</stp>
        <stp>09/08/2016</stp>
        <stp>[Bbg_Market_Data_CL.xlsm]data!R168C17</stp>
        <tr r="Q168" s="1"/>
      </tp>
      <tp>
        <v>37.36</v>
        <stp/>
        <stp>##V3_BDHV12</stp>
        <stp>CL2 Comdty</stp>
        <stp>VOLATILITY_30D</stp>
        <stp>19/08/2016</stp>
        <stp>19/08/2016</stp>
        <stp>[Bbg_Market_Data_CL.xlsm]data!R160C18</stp>
        <tr r="R160" s="1"/>
      </tp>
      <tp>
        <v>89.14</v>
        <stp/>
        <stp>##V3_BDHV12</stp>
        <stp>CL2 Comdty</stp>
        <stp>VOLATILITY_10D</stp>
        <stp>08/09/2015</stp>
        <stp>08/09/2015</stp>
        <stp>[Bbg_Market_Data_CL.xlsm]data!R396C17</stp>
        <tr r="Q396" s="1"/>
      </tp>
      <tp>
        <v>41.63</v>
        <stp/>
        <stp>##V3_BDHV12</stp>
        <stp>CL2 Comdty</stp>
        <stp>VOLATILITY_30D</stp>
        <stp>09/09/2016</stp>
        <stp>09/09/2016</stp>
        <stp>[Bbg_Market_Data_CL.xlsm]data!R146C18</stp>
        <tr r="R146" s="1"/>
      </tp>
      <tp t="s">
        <v>#N/A Requesting Data...</v>
        <stp/>
        <stp>##V3_BDHV12</stp>
        <stp>CL1 Comdty</stp>
        <stp>VOLATILITY_30D</stp>
        <stp>29/08/2016</stp>
        <stp>29/08/2016</stp>
        <stp>[Bbg_Market_Data_CL.xlsm]data!R154C18</stp>
        <tr r="R154" s="1"/>
      </tp>
      <tp t="s">
        <v>#N/A Requesting Data...</v>
        <stp/>
        <stp>##V3_BDHV12</stp>
        <stp>CL1 Comdty</stp>
        <stp>VOLATILITY_10D</stp>
        <stp>08/09/2016</stp>
        <stp>08/09/2016</stp>
        <stp>[Bbg_Market_Data_CL.xlsm]data!R147C17</stp>
        <tr r="Q147" s="1"/>
      </tp>
      <tp t="s">
        <v>#N/A Requesting Data...</v>
        <stp/>
        <stp>##V3_BDHV12</stp>
        <stp>CL1 Comdty</stp>
        <stp>VOLATILITY_10D</stp>
        <stp>18/08/2016</stp>
        <stp>18/08/2016</stp>
        <stp>[Bbg_Market_Data_CL.xlsm]data!R161C17</stp>
        <tr r="Q161" s="1"/>
      </tp>
      <tp t="s">
        <v>#N/A Requesting Data...</v>
        <stp/>
        <stp>##V3_BDHV12</stp>
        <stp>CL1 Comdty</stp>
        <stp>VOLATILITY_30D</stp>
        <stp>09/09/2015</stp>
        <stp>09/09/2015</stp>
        <stp>[Bbg_Market_Data_CL.xlsm]data!R395C18</stp>
        <tr r="R395" s="1"/>
      </tp>
      <tp t="s">
        <v>#N/A Requesting Data...</v>
        <stp/>
        <stp>##V3_BDHV12</stp>
        <stp>CL1 Comdty</stp>
        <stp>VOLATILITY_10D</stp>
        <stp>29/09/2015</stp>
        <stp>29/09/2015</stp>
        <stp>[Bbg_Market_Data_CL.xlsm]data!R381C17</stp>
        <tr r="Q381" s="1"/>
      </tp>
      <tp t="s">
        <v>#N/A Requesting Data...</v>
        <stp/>
        <stp>##V3_BDHV12</stp>
        <stp>CL1 Comdty</stp>
        <stp>VOLATILITY_30D</stp>
        <stp>28/09/2016</stp>
        <stp>28/09/2016</stp>
        <stp>[Bbg_Market_Data_CL.xlsm]data!R133C18</stp>
        <tr r="R133" s="1"/>
      </tp>
      <tp t="s">
        <v>#N/A Requesting Data...</v>
        <stp/>
        <stp>##V3_BDHV12</stp>
        <stp>CL1 Comdty</stp>
        <stp>VOLATILITY_10D</stp>
        <stp>26/05/2016</stp>
        <stp>26/05/2016</stp>
        <stp>[Bbg_Market_Data_CL.xlsm]data!R218C17</stp>
        <tr r="Q218" s="1"/>
      </tp>
      <tp t="s">
        <v>#N/A Requesting Data...</v>
        <stp/>
        <stp>##V3_BDHV12</stp>
        <stp>CL1 Comdty</stp>
        <stp>VOLATILITY_10D</stp>
        <stp>16/06/2016</stp>
        <stp>16/06/2016</stp>
        <stp>[Bbg_Market_Data_CL.xlsm]data!R204C17</stp>
        <tr r="Q204" s="1"/>
      </tp>
      <tp>
        <v>34.26</v>
        <stp/>
        <stp>##V3_BDHV12</stp>
        <stp>CL2 Comdty</stp>
        <stp>VOLATILITY_10D</stp>
        <stp>16/05/2016</stp>
        <stp>16/05/2016</stp>
        <stp>[Bbg_Market_Data_CL.xlsm]data!R226C17</stp>
        <tr r="Q226" s="1"/>
      </tp>
      <tp>
        <v>42.02</v>
        <stp/>
        <stp>##V3_BDHV12</stp>
        <stp>CL2 Comdty</stp>
        <stp>VOLATILITY_10D</stp>
        <stp>06/04/2016</stp>
        <stp>06/04/2016</stp>
        <stp>[Bbg_Market_Data_CL.xlsm]data!R254C17</stp>
        <tr r="Q254" s="1"/>
      </tp>
      <tp t="s">
        <v>#N/A Requesting Data...</v>
        <stp/>
        <stp>##V3_BDHV12</stp>
        <stp>CL1 Comdty</stp>
        <stp>VOLATILITY_30D</stp>
        <stp>15/07/2016</stp>
        <stp>15/07/2016</stp>
        <stp>[Bbg_Market_Data_CL.xlsm]data!R184C18</stp>
        <tr r="R184" s="1"/>
      </tp>
      <tp>
        <v>55.5</v>
        <stp/>
        <stp>##V3_BDHV12</stp>
        <stp>CL2 Comdty</stp>
        <stp>VOLATILITY_10D</stp>
        <stp>05/07/2016</stp>
        <stp>05/07/2016</stp>
        <stp>[Bbg_Market_Data_CL.xlsm]data!R192C17</stp>
        <tr r="Q192" s="1"/>
      </tp>
      <tp>
        <v>44.88</v>
        <stp/>
        <stp>##V3_BDHV12</stp>
        <stp>CL2 Comdty</stp>
        <stp>VOLATILITY_30D</stp>
        <stp>25/07/2016</stp>
        <stp>25/07/2016</stp>
        <stp>[Bbg_Market_Data_CL.xlsm]data!R178C18</stp>
        <tr r="R178" s="1"/>
      </tp>
      <tp>
        <v>45.18</v>
        <stp/>
        <stp>##V3_BDHV12</stp>
        <stp>CL2 Comdty</stp>
        <stp>VOLATILITY_30D</stp>
        <stp>26/04/2016</stp>
        <stp>26/04/2016</stp>
        <stp>[Bbg_Market_Data_CL.xlsm]data!R240C18</stp>
        <tr r="R240" s="1"/>
      </tp>
      <tp t="s">
        <v>#N/A Requesting Data...</v>
        <stp/>
        <stp>##V3_BDHV12</stp>
        <stp>CL1 Comdty</stp>
        <stp>VOLATILITY_30D</stp>
        <stp>06/05/2016</stp>
        <stp>06/05/2016</stp>
        <stp>[Bbg_Market_Data_CL.xlsm]data!R232C18</stp>
        <tr r="R232" s="1"/>
      </tp>
      <tp>
        <v>27.56</v>
        <stp/>
        <stp>##V3_BDHV12</stp>
        <stp>CL2 Comdty</stp>
        <stp>VOLATILITY_30D</stp>
        <stp>06/06/2016</stp>
        <stp>06/06/2016</stp>
        <stp>[Bbg_Market_Data_CL.xlsm]data!R212C18</stp>
        <tr r="R212" s="1"/>
      </tp>
      <tp t="s">
        <v>#N/A Requesting Data...</v>
        <stp/>
        <stp>##V3_BDHV12</stp>
        <stp>CL1 Comdty</stp>
        <stp>VOLATILITY_10D</stp>
        <stp>07/06/2016</stp>
        <stp>07/06/2016</stp>
        <stp>[Bbg_Market_Data_CL.xlsm]data!R211C17</stp>
        <tr r="Q211" s="1"/>
      </tp>
      <tp t="s">
        <v>#N/A Requesting Data...</v>
        <stp/>
        <stp>##V3_BDHV12</stp>
        <stp>CL1 Comdty</stp>
        <stp>VOLATILITY_10D</stp>
        <stp>27/04/2016</stp>
        <stp>27/04/2016</stp>
        <stp>[Bbg_Market_Data_CL.xlsm]data!R239C17</stp>
        <tr r="Q239" s="1"/>
      </tp>
      <tp>
        <v>31.24</v>
        <stp/>
        <stp>##V3_BDHV12</stp>
        <stp>CL2 Comdty</stp>
        <stp>VOLATILITY_30D</stp>
        <stp>24/06/2016</stp>
        <stp>24/06/2016</stp>
        <stp>[Bbg_Market_Data_CL.xlsm]data!R198C18</stp>
        <tr r="R198" s="1"/>
      </tp>
      <tp>
        <v>55.94</v>
        <stp/>
        <stp>##V3_BDHV12</stp>
        <stp>CL2 Comdty</stp>
        <stp>VOLATILITY_10D</stp>
        <stp>14/07/2016</stp>
        <stp>14/07/2016</stp>
        <stp>[Bbg_Market_Data_CL.xlsm]data!R185C17</stp>
        <tr r="Q185" s="1"/>
      </tp>
      <tp t="s">
        <v>#N/A Requesting Data...</v>
        <stp/>
        <stp>##V3_BDHV12</stp>
        <stp>CL1 Comdty</stp>
        <stp>VOLATILITY_30D</stp>
        <stp>07/04/2016</stp>
        <stp>07/04/2016</stp>
        <stp>[Bbg_Market_Data_CL.xlsm]data!R253C18</stp>
        <tr r="R253" s="1"/>
      </tp>
      <tp t="s">
        <v>#N/A Requesting Data...</v>
        <stp/>
        <stp>##V3_BDHV12</stp>
        <stp>CL1 Comdty</stp>
        <stp>VOLATILITY_30D</stp>
        <stp>17/05/2016</stp>
        <stp>17/05/2016</stp>
        <stp>[Bbg_Market_Data_CL.xlsm]data!R225C18</stp>
        <tr r="R225" s="1"/>
      </tp>
      <tp>
        <v>30.41</v>
        <stp/>
        <stp>##V3_BDHV12</stp>
        <stp>CL2 Comdty</stp>
        <stp>VOLATILITY_30D</stp>
        <stp>17/06/2016</stp>
        <stp>17/06/2016</stp>
        <stp>[Bbg_Market_Data_CL.xlsm]data!R203C18</stp>
        <tr r="R203" s="1"/>
      </tp>
      <tp>
        <v>30.73</v>
        <stp/>
        <stp>##V3_BDHV12</stp>
        <stp>CL2 Comdty</stp>
        <stp>VOLATILITY_30D</stp>
        <stp>27/05/2016</stp>
        <stp>27/05/2016</stp>
        <stp>[Bbg_Market_Data_CL.xlsm]data!R217C18</stp>
        <tr r="R217" s="1"/>
      </tp>
      <tp t="s">
        <v>#N/A Requesting Data...</v>
        <stp/>
        <stp>##V3_BDHV12</stp>
        <stp>CL1 Comdty</stp>
        <stp>VOLATILITY_10D</stp>
        <stp>04/05/2016</stp>
        <stp>04/05/2016</stp>
        <stp>[Bbg_Market_Data_CL.xlsm]data!R234C17</stp>
        <tr r="Q234" s="1"/>
      </tp>
      <tp t="s">
        <v>#N/A Requesting Data...</v>
        <stp/>
        <stp>##V3_BDHV12</stp>
        <stp>CL1 Comdty</stp>
        <stp>VOLATILITY_10D</stp>
        <stp>14/04/2016</stp>
        <stp>14/04/2016</stp>
        <stp>[Bbg_Market_Data_CL.xlsm]data!R248C17</stp>
        <tr r="Q248" s="1"/>
      </tp>
      <tp>
        <v>17.64</v>
        <stp/>
        <stp>##V3_BDHV12</stp>
        <stp>CL2 Comdty</stp>
        <stp>VOLATILITY_10D</stp>
        <stp>27/07/2016</stp>
        <stp>27/07/2016</stp>
        <stp>[Bbg_Market_Data_CL.xlsm]data!R176C17</stp>
        <tr r="Q176" s="1"/>
      </tp>
      <tp t="s">
        <v>#N/A Requesting Data...</v>
        <stp/>
        <stp>##V3_BDHV12</stp>
        <stp>CL1 Comdty</stp>
        <stp>VOLATILITY_30D</stp>
        <stp>27/06/2016</stp>
        <stp>27/06/2016</stp>
        <stp>[Bbg_Market_Data_CL.xlsm]data!R197C18</stp>
        <tr r="R197" s="1"/>
      </tp>
      <tp>
        <v>41.23</v>
        <stp/>
        <stp>##V3_BDHV12</stp>
        <stp>CL2 Comdty</stp>
        <stp>VOLATILITY_30D</stp>
        <stp>07/07/2016</stp>
        <stp>07/07/2016</stp>
        <stp>[Bbg_Market_Data_CL.xlsm]data!R190C18</stp>
        <tr r="R190" s="1"/>
      </tp>
      <tp>
        <v>43.43</v>
        <stp/>
        <stp>##V3_BDHV12</stp>
        <stp>CL2 Comdty</stp>
        <stp>VOLATILITY_30D</stp>
        <stp>04/04/2016</stp>
        <stp>04/04/2016</stp>
        <stp>[Bbg_Market_Data_CL.xlsm]data!R256C18</stp>
        <tr r="R256" s="1"/>
      </tp>
      <tp t="s">
        <v>#N/A Requesting Data...</v>
        <stp/>
        <stp>##V3_BDHV12</stp>
        <stp>CL1 Comdty</stp>
        <stp>VOLATILITY_30D</stp>
        <stp>24/05/2016</stp>
        <stp>24/05/2016</stp>
        <stp>[Bbg_Market_Data_CL.xlsm]data!R220C18</stp>
        <tr r="R220" s="1"/>
      </tp>
      <tp t="s">
        <v>#N/A Requesting Data...</v>
        <stp/>
        <stp>##V3_BDHV12</stp>
        <stp>CL1 Comdty</stp>
        <stp>VOLATILITY_30D</stp>
        <stp>14/06/2016</stp>
        <stp>14/06/2016</stp>
        <stp>[Bbg_Market_Data_CL.xlsm]data!R206C18</stp>
        <tr r="R206" s="1"/>
      </tp>
      <tp>
        <v>22</v>
        <stp/>
        <stp>##V3_BDHV12</stp>
        <stp>CL2 Comdty</stp>
        <stp>VOLATILITY_10D</stp>
        <stp>25/05/2016</stp>
        <stp>25/05/2016</stp>
        <stp>[Bbg_Market_Data_CL.xlsm]data!R219C17</stp>
        <tr r="Q219" s="1"/>
      </tp>
      <tp>
        <v>27.47</v>
        <stp/>
        <stp>##V3_BDHV12</stp>
        <stp>CL2 Comdty</stp>
        <stp>VOLATILITY_10D</stp>
        <stp>15/06/2016</stp>
        <stp>15/06/2016</stp>
        <stp>[Bbg_Market_Data_CL.xlsm]data!R205C17</stp>
        <tr r="Q205" s="1"/>
      </tp>
      <tp t="s">
        <v>#N/A Requesting Data...</v>
        <stp/>
        <stp>##V3_BDHV12</stp>
        <stp>CL1 Comdty</stp>
        <stp>VOLATILITY_10D</stp>
        <stp>05/04/2016</stp>
        <stp>05/04/2016</stp>
        <stp>[Bbg_Market_Data_CL.xlsm]data!R255C17</stp>
        <tr r="Q255" s="1"/>
      </tp>
      <tp t="s">
        <v>#N/A Requesting Data...</v>
        <stp/>
        <stp>##V3_BDHV12</stp>
        <stp>CL1 Comdty</stp>
        <stp>VOLATILITY_10D</stp>
        <stp>06/07/2016</stp>
        <stp>06/07/2016</stp>
        <stp>[Bbg_Market_Data_CL.xlsm]data!R191C17</stp>
        <tr r="Q191" s="1"/>
      </tp>
      <tp t="s">
        <v>#N/A Requesting Data...</v>
        <stp/>
        <stp>##V3_BDHV12</stp>
        <stp>CL1 Comdty</stp>
        <stp>VOLATILITY_30D</stp>
        <stp>26/07/2016</stp>
        <stp>26/07/2016</stp>
        <stp>[Bbg_Market_Data_CL.xlsm]data!R177C18</stp>
        <tr r="R177" s="1"/>
      </tp>
      <tp>
        <v>49.4</v>
        <stp/>
        <stp>##V3_BDHV12</stp>
        <stp>CL2 Comdty</stp>
        <stp>VOLATILITY_30D</stp>
        <stp>15/04/2016</stp>
        <stp>15/04/2016</stp>
        <stp>[Bbg_Market_Data_CL.xlsm]data!R247C18</stp>
        <tr r="R247" s="1"/>
      </tp>
      <tp t="s">
        <v>#N/A Requesting Data...</v>
        <stp/>
        <stp>##V3_BDHV12</stp>
        <stp>CL1 Comdty</stp>
        <stp>VOLATILITY_30D</stp>
        <stp>25/04/2016</stp>
        <stp>25/04/2016</stp>
        <stp>[Bbg_Market_Data_CL.xlsm]data!R241C18</stp>
        <tr r="R241" s="1"/>
      </tp>
      <tp>
        <v>41.72</v>
        <stp/>
        <stp>##V3_BDHV12</stp>
        <stp>CL2 Comdty</stp>
        <stp>VOLATILITY_30D</stp>
        <stp>05/05/2016</stp>
        <stp>05/05/2016</stp>
        <stp>[Bbg_Market_Data_CL.xlsm]data!R233C18</stp>
        <tr r="R233" s="1"/>
      </tp>
      <tp>
        <v>32.57</v>
        <stp/>
        <stp>##V3_BDHV12</stp>
        <stp>CL2 Comdty</stp>
        <stp>VOLATILITY_10D</stp>
        <stp>31/10/2016</stp>
        <stp>31/10/2016</stp>
        <stp>[Bbg_Market_Data_CL.xlsm]data!R111C17</stp>
        <tr r="Q111" s="1"/>
      </tp>
      <tp>
        <v>43.65</v>
        <stp/>
        <stp>##V3_BDHV12</stp>
        <stp>CL2 Comdty</stp>
        <stp>VOLATILITY_10D</stp>
        <stp>30/12/2015</stp>
        <stp>30/12/2015</stp>
        <stp>[Bbg_Market_Data_CL.xlsm]data!R319C17</stp>
        <tr r="Q319" s="1"/>
      </tp>
      <tp t="s">
        <v>#N/A Requesting Data...</v>
        <stp/>
        <stp>##V3_BDHV12</stp>
        <stp>CL2 Comdty</stp>
        <stp>VOLATILITY_10D</stp>
        <stp>17/07/2015</stp>
        <stp>17/07/2015</stp>
        <stp>[Bbg_Market_Data_CL.xlsm]data!R432C17</stp>
        <tr r="Q432" s="1"/>
      </tp>
      <tp t="s">
        <v>#N/A Requesting Data...</v>
        <stp/>
        <stp>##V3_BDHV12</stp>
        <stp>CL1 Comdty</stp>
        <stp>VOLATILITY_10D</stp>
        <stp>27/07/2015</stp>
        <stp>27/07/2015</stp>
        <stp>[Bbg_Market_Data_CL.xlsm]data!R426C17</stp>
        <tr r="Q426" s="1"/>
      </tp>
      <tp t="s">
        <v>#N/A Requesting Data...</v>
        <stp/>
        <stp>##V3_BDHV12</stp>
        <stp>CL1 Comdty</stp>
        <stp>VOLATILITY_10D</stp>
        <stp>30/11/2015</stp>
        <stp>30/11/2015</stp>
        <stp>[Bbg_Market_Data_CL.xlsm]data!R340C17</stp>
        <tr r="Q340" s="1"/>
      </tp>
      <tp t="s">
        <v>#N/A Requesting Data...</v>
        <stp/>
        <stp>##V3_BDHV12</stp>
        <stp>CL1 Comdty</stp>
        <stp>VOLATILITY_10D</stp>
        <stp>20/10/2015</stp>
        <stp>20/10/2015</stp>
        <stp>[Bbg_Market_Data_CL.xlsm]data!R367C17</stp>
        <tr r="Q367" s="1"/>
      </tp>
      <tp t="s">
        <v>#N/A Requesting Data...</v>
        <stp/>
        <stp>##V3_BDHV12</stp>
        <stp>CL1 Comdty</stp>
        <stp>VOLATILITY_10D</stp>
        <stp>02/03/2016</stp>
        <stp>02/03/2016</stp>
        <stp>[Bbg_Market_Data_CL.xlsm]data!R278C17</stp>
        <tr r="Q278" s="1"/>
      </tp>
      <tp>
        <v>64.489999999999995</v>
        <stp/>
        <stp>##V3_BDHV12</stp>
        <stp>CL2 Comdty</stp>
        <stp>VOLATILITY_30D</stp>
        <stp>02/02/2016</stp>
        <stp>02/02/2016</stp>
        <stp>[Bbg_Market_Data_CL.xlsm]data!R297C18</stp>
        <tr r="R297" s="1"/>
      </tp>
      <tp t="s">
        <v>#N/A Requesting Data...</v>
        <stp/>
        <stp>##V3_BDHV12</stp>
        <stp>CL1 Comdty</stp>
        <stp>VOLATILITY_10D</stp>
        <stp>17/04/2015</stp>
        <stp>17/04/2015</stp>
        <stp>[Bbg_Market_Data_CL.xlsm]data!R495C17</stp>
        <tr r="Q495" s="1"/>
      </tp>
      <tp t="s">
        <v>#N/A Requesting Data...</v>
        <stp/>
        <stp>##V3_BDHV12</stp>
        <stp>CL1 Comdty</stp>
        <stp>VOLATILITY_30D</stp>
        <stp>22/03/2016</stp>
        <stp>22/03/2016</stp>
        <stp>[Bbg_Market_Data_CL.xlsm]data!R264C18</stp>
        <tr r="R264" s="1"/>
      </tp>
      <tp t="s">
        <v>#N/A Requesting Data...</v>
        <stp/>
        <stp>##V3_BDHV12</stp>
        <stp>CL1 Comdty</stp>
        <stp>VOLATILITY_30D</stp>
        <stp>27/05/2015</stp>
        <stp>27/05/2015</stp>
        <stp>[Bbg_Market_Data_CL.xlsm]data!R468C18</stp>
        <tr r="R468" s="1"/>
      </tp>
      <tp>
        <v>87.11</v>
        <stp/>
        <stp>##V3_BDHV12</stp>
        <stp>CL2 Comdty</stp>
        <stp>VOLATILITY_10D</stp>
        <stp>22/02/2016</stp>
        <stp>22/02/2016</stp>
        <stp>[Bbg_Market_Data_CL.xlsm]data!R285C17</stp>
        <tr r="Q285" s="1"/>
      </tp>
      <tp t="s">
        <v>#N/A Requesting Data...</v>
        <stp/>
        <stp>##V3_BDHV12</stp>
        <stp>CL1 Comdty</stp>
        <stp>VOLATILITY_10D</stp>
        <stp>07/05/2015</stp>
        <stp>07/05/2015</stp>
        <stp>[Bbg_Market_Data_CL.xlsm]data!R481C17</stp>
        <tr r="Q481" s="1"/>
      </tp>
      <tp t="s">
        <v>#N/A Requesting Data...</v>
        <stp/>
        <stp>##V3_BDHV12</stp>
        <stp>CL1 Comdty</stp>
        <stp>VOLATILITY_10D</stp>
        <stp>12/02/2016</stp>
        <stp>12/02/2016</stp>
        <stp>[Bbg_Market_Data_CL.xlsm]data!R289C17</stp>
        <tr r="Q289" s="1"/>
      </tp>
      <tp t="s">
        <v>#N/A Requesting Data...</v>
        <stp/>
        <stp>##V3_BDHV12</stp>
        <stp>CL2 Comdty</stp>
        <stp>VOLATILITY_10D</stp>
        <stp>27/04/2015</stp>
        <stp>27/04/2015</stp>
        <stp>[Bbg_Market_Data_CL.xlsm]data!R489C17</stp>
        <tr r="Q489" s="1"/>
      </tp>
      <tp t="s">
        <v>#N/A Requesting Data...</v>
        <stp/>
        <stp>##V3_BDHV12</stp>
        <stp>CL1 Comdty</stp>
        <stp>VOLATILITY_30D</stp>
        <stp>10/11/2015</stp>
        <stp>10/11/2015</stp>
        <stp>[Bbg_Market_Data_CL.xlsm]data!R352C18</stp>
        <tr r="R352" s="1"/>
      </tp>
      <tp t="s">
        <v>#N/A Requesting Data...</v>
        <stp/>
        <stp>##V3_BDHV12</stp>
        <stp>CL1 Comdty</stp>
        <stp>VOLATILITY_30D</stp>
        <stp>07/07/2015</stp>
        <stp>07/07/2015</stp>
        <stp>[Bbg_Market_Data_CL.xlsm]data!R440C18</stp>
        <tr r="R440" s="1"/>
      </tp>
      <tp>
        <v>37.26</v>
        <stp/>
        <stp>##V3_BDHV12</stp>
        <stp>CL2 Comdty</stp>
        <stp>VOLATILITY_30D</stp>
        <stp>30/10/2015</stp>
        <stp>30/10/2015</stp>
        <stp>[Bbg_Market_Data_CL.xlsm]data!R359C18</stp>
        <tr r="R359" s="1"/>
      </tp>
      <tp>
        <v>33.049999999999997</v>
        <stp/>
        <stp>##V3_BDHV12</stp>
        <stp>CL2 Comdty</stp>
        <stp>VOLATILITY_30D</stp>
        <stp>20/11/2015</stp>
        <stp>20/11/2015</stp>
        <stp>[Bbg_Market_Data_CL.xlsm]data!R345C18</stp>
        <tr r="R345" s="1"/>
      </tp>
      <tp t="s">
        <v>#N/A Requesting Data...</v>
        <stp/>
        <stp>##V3_BDHV12</stp>
        <stp>CL1 Comdty</stp>
        <stp>VOLATILITY_30D</stp>
        <stp>17/06/2015</stp>
        <stp>17/06/2015</stp>
        <stp>[Bbg_Market_Data_CL.xlsm]data!R453C18</stp>
        <tr r="R453" s="1"/>
      </tp>
      <tp>
        <v>35.799999999999997</v>
        <stp/>
        <stp>##V3_BDHV12</stp>
        <stp>CL2 Comdty</stp>
        <stp>VOLATILITY_30D</stp>
        <stp>10/12/2015</stp>
        <stp>10/12/2015</stp>
        <stp>[Bbg_Market_Data_CL.xlsm]data!R332C18</stp>
        <tr r="R332" s="1"/>
      </tp>
      <tp>
        <v>42.6</v>
        <stp/>
        <stp>##V3_BDHV12</stp>
        <stp>CL2 Comdty</stp>
        <stp>VOLATILITY_30D</stp>
        <stp>11/10/2016</stp>
        <stp>11/10/2016</stp>
        <stp>[Bbg_Market_Data_CL.xlsm]data!R125C18</stp>
        <tr r="R125" s="1"/>
      </tp>
      <tp>
        <v>34.159999999999997</v>
        <stp/>
        <stp>##V3_BDHV12</stp>
        <stp>CL2 Comdty</stp>
        <stp>VOLATILITY_30D</stp>
        <stp>01/11/2016</stp>
        <stp>01/11/2016</stp>
        <stp>[Bbg_Market_Data_CL.xlsm]data!R110C18</stp>
        <tr r="R110" s="1"/>
      </tp>
      <tp t="s">
        <v>#N/A Requesting Data...</v>
        <stp/>
        <stp>##V3_BDHV12</stp>
        <stp>CL1 Comdty</stp>
        <stp>VOLATILITY_30D</stp>
        <stp>21/10/2016</stp>
        <stp>21/10/2016</stp>
        <stp>[Bbg_Market_Data_CL.xlsm]data!R117C18</stp>
        <tr r="R117" s="1"/>
      </tp>
      <tp t="s">
        <v>#N/A Requesting Data...</v>
        <stp/>
        <stp>##V3_BDHV12</stp>
        <stp>CL1 Comdty</stp>
        <stp>VOLATILITY_30D</stp>
        <stp>13/01/2016</stp>
        <stp>13/01/2016</stp>
        <stp>[Bbg_Market_Data_CL.xlsm]data!R310C18</stp>
        <tr r="R310" s="1"/>
      </tp>
      <tp>
        <v>36.549999999999997</v>
        <stp/>
        <stp>##V3_BDHV12</stp>
        <stp>CL2 Comdty</stp>
        <stp>VOLATILITY_10D</stp>
        <stp>12/01/2016</stp>
        <stp>12/01/2016</stp>
        <stp>[Bbg_Market_Data_CL.xlsm]data!R311C17</stp>
        <tr r="Q311" s="1"/>
      </tp>
      <tp t="s">
        <v>#N/A Requesting Data...</v>
        <stp/>
        <stp>##V3_BDHV12</stp>
        <stp>CL1 Comdty</stp>
        <stp>VOLATILITY_10D</stp>
        <stp>22/01/2016</stp>
        <stp>22/01/2016</stp>
        <stp>[Bbg_Market_Data_CL.xlsm]data!R304C17</stp>
        <tr r="Q304" s="1"/>
      </tp>
      <tp>
        <v>27.49</v>
        <stp/>
        <stp>##V3_BDHV12</stp>
        <stp>CL2 Comdty</stp>
        <stp>VOLATILITY_10D</stp>
        <stp>20/10/2016</stp>
        <stp>20/10/2016</stp>
        <stp>[Bbg_Market_Data_CL.xlsm]data!R118C17</stp>
        <tr r="Q118" s="1"/>
      </tp>
      <tp>
        <v>33.11</v>
        <stp/>
        <stp>##V3_BDHV12</stp>
        <stp>CL2 Comdty</stp>
        <stp>VOLATILITY_10D</stp>
        <stp>21/12/2015</stp>
        <stp>21/12/2015</stp>
        <stp>[Bbg_Market_Data_CL.xlsm]data!R325C17</stp>
        <tr r="Q325" s="1"/>
      </tp>
      <tp t="s">
        <v>#N/A Requesting Data...</v>
        <stp/>
        <stp>##V3_BDHV12</stp>
        <stp>CL1 Comdty</stp>
        <stp>VOLATILITY_10D</stp>
        <stp>11/12/2015</stp>
        <stp>11/12/2015</stp>
        <stp>[Bbg_Market_Data_CL.xlsm]data!R331C17</stp>
        <tr r="Q331" s="1"/>
      </tp>
      <tp t="s">
        <v>#N/A Requesting Data...</v>
        <stp/>
        <stp>##V3_BDHV12</stp>
        <stp>CL2 Comdty</stp>
        <stp>VOLATILITY_10D</stp>
        <stp>16/06/2015</stp>
        <stp>16/06/2015</stp>
        <stp>[Bbg_Market_Data_CL.xlsm]data!R454C17</stp>
        <tr r="Q454" s="1"/>
      </tp>
      <tp t="s">
        <v>#N/A Requesting Data...</v>
        <stp/>
        <stp>##V3_BDHV12</stp>
        <stp>CL1 Comdty</stp>
        <stp>VOLATILITY_10D</stp>
        <stp>26/06/2015</stp>
        <stp>26/06/2015</stp>
        <stp>[Bbg_Market_Data_CL.xlsm]data!R446C17</stp>
        <tr r="Q446" s="1"/>
      </tp>
      <tp t="s">
        <v>#N/A Requesting Data...</v>
        <stp/>
        <stp>##V3_BDHV12</stp>
        <stp>CL2 Comdty</stp>
        <stp>VOLATILITY_10D</stp>
        <stp>06/07/2015</stp>
        <stp>06/07/2015</stp>
        <stp>[Bbg_Market_Data_CL.xlsm]data!R441C17</stp>
        <tr r="Q441" s="1"/>
      </tp>
      <tp t="s">
        <v>#N/A Requesting Data...</v>
        <stp/>
        <stp>##V3_BDHV12</stp>
        <stp>CL2 Comdty</stp>
        <stp>VOLATILITY_30D</stp>
        <stp>06/05/2015</stp>
        <stp>06/05/2015</stp>
        <stp>[Bbg_Market_Data_CL.xlsm]data!R482C18</stp>
        <tr r="R482" s="1"/>
      </tp>
      <tp t="s">
        <v>#N/A Requesting Data...</v>
        <stp/>
        <stp>##V3_BDHV12</stp>
        <stp>CL1 Comdty</stp>
        <stp>VOLATILITY_30D</stp>
        <stp>23/02/2016</stp>
        <stp>23/02/2016</stp>
        <stp>[Bbg_Market_Data_CL.xlsm]data!R284C18</stp>
        <tr r="R284" s="1"/>
      </tp>
      <tp t="s">
        <v>#N/A Requesting Data...</v>
        <stp/>
        <stp>##V3_BDHV12</stp>
        <stp>CL2 Comdty</stp>
        <stp>VOLATILITY_30D</stp>
        <stp>16/04/2015</stp>
        <stp>16/04/2015</stp>
        <stp>[Bbg_Market_Data_CL.xlsm]data!R496C18</stp>
        <tr r="R496" s="1"/>
      </tp>
      <tp>
        <v>50.23</v>
        <stp/>
        <stp>##V3_BDHV12</stp>
        <stp>CL2 Comdty</stp>
        <stp>VOLATILITY_10D</stp>
        <stp>23/03/2016</stp>
        <stp>23/03/2016</stp>
        <stp>[Bbg_Market_Data_CL.xlsm]data!R263C17</stp>
        <tr r="Q263" s="1"/>
      </tp>
      <tp>
        <v>36.96</v>
        <stp/>
        <stp>##V3_BDHV12</stp>
        <stp>CL2 Comdty</stp>
        <stp>VOLATILITY_10D</stp>
        <stp>01/10/2015</stp>
        <stp>01/10/2015</stp>
        <stp>[Bbg_Market_Data_CL.xlsm]data!R379C17</stp>
        <tr r="Q379" s="1"/>
      </tp>
      <tp t="s">
        <v>#N/A Requesting Data...</v>
        <stp/>
        <stp>##V3_BDHV12</stp>
        <stp>CL2 Comdty</stp>
        <stp>VOLATILITY_10D</stp>
        <stp>26/05/2015</stp>
        <stp>26/05/2015</stp>
        <stp>[Bbg_Market_Data_CL.xlsm]data!R469C17</stp>
        <tr r="Q469" s="1"/>
      </tp>
      <tp t="s">
        <v>#N/A Requesting Data...</v>
        <stp/>
        <stp>##V3_BDHV12</stp>
        <stp>CL1 Comdty</stp>
        <stp>VOLATILITY_10D</stp>
        <stp>03/02/2016</stp>
        <stp>03/02/2016</stp>
        <stp>[Bbg_Market_Data_CL.xlsm]data!R296C17</stp>
        <tr r="Q296" s="1"/>
      </tp>
      <tp>
        <v>41.79</v>
        <stp/>
        <stp>##V3_BDHV12</stp>
        <stp>CL2 Comdty</stp>
        <stp>VOLATILITY_30D</stp>
        <stp>21/10/2015</stp>
        <stp>21/10/2015</stp>
        <stp>[Bbg_Market_Data_CL.xlsm]data!R366C18</stp>
        <tr r="R366" s="1"/>
      </tp>
      <tp>
        <v>67.89</v>
        <stp/>
        <stp>##V3_BDHV12</stp>
        <stp>CL2 Comdty</stp>
        <stp>VOLATILITY_30D</stp>
        <stp>03/03/2016</stp>
        <stp>03/03/2016</stp>
        <stp>[Bbg_Market_Data_CL.xlsm]data!R277C18</stp>
        <tr r="R277" s="1"/>
      </tp>
      <tp>
        <v>35.15</v>
        <stp/>
        <stp>##V3_BDHV12</stp>
        <stp>CL2 Comdty</stp>
        <stp>VOLATILITY_30D</stp>
        <stp>01/12/2015</stp>
        <stp>01/12/2015</stp>
        <stp>[Bbg_Market_Data_CL.xlsm]data!R339C18</stp>
        <tr r="R339" s="1"/>
      </tp>
      <tp t="s">
        <v>#N/A Requesting Data...</v>
        <stp/>
        <stp>##V3_BDHV12</stp>
        <stp>CL1 Comdty</stp>
        <stp>VOLATILITY_30D</stp>
        <stp>16/07/2015</stp>
        <stp>16/07/2015</stp>
        <stp>[Bbg_Market_Data_CL.xlsm]data!R433C18</stp>
        <tr r="R433" s="1"/>
      </tp>
      <tp t="s">
        <v>#N/A Requesting Data...</v>
        <stp/>
        <stp>##V3_BDHV12</stp>
        <stp>CL1 Comdty</stp>
        <stp>VOLATILITY_30D</stp>
        <stp>31/12/2015</stp>
        <stp>31/12/2015</stp>
        <stp>[Bbg_Market_Data_CL.xlsm]data!R318C18</stp>
        <tr r="R318" s="1"/>
      </tp>
      <tp>
        <v>26.28</v>
        <stp/>
        <stp>##V3_BDHV12</stp>
        <stp>CL2 Comdty</stp>
        <stp>VOLATILITY_30D</stp>
        <stp>10/11/2016</stp>
        <stp>10/11/2016</stp>
        <stp>[Bbg_Market_Data_CL.xlsm]data!R103C18</stp>
        <tr r="R103" s="1"/>
      </tp>
      <tp t="s">
        <v>#N/A Requesting Data...</v>
        <stp/>
        <stp>##V3_BDHV12</stp>
        <stp>CL1 Comdty</stp>
        <stp>VOLATILITY_10D</stp>
        <stp>11/01/2016</stp>
        <stp>11/01/2016</stp>
        <stp>[Bbg_Market_Data_CL.xlsm]data!R312C17</stp>
        <tr r="Q312" s="1"/>
      </tp>
      <tp>
        <v>22.85</v>
        <stp/>
        <stp>##V3_BDHV12</stp>
        <stp>CL2 Comdty</stp>
        <stp>VOLATILITY_10D</stp>
        <stp>03/11/2016</stp>
        <stp>03/11/2016</stp>
        <stp>[Bbg_Market_Data_CL.xlsm]data!R108C17</stp>
        <tr r="Q108" s="1"/>
      </tp>
      <tp>
        <v>71.25</v>
        <stp/>
        <stp>##V3_BDHV12</stp>
        <stp>CL2 Comdty</stp>
        <stp>VOLATILITY_10D</stp>
        <stp>21/01/2016</stp>
        <stp>21/01/2016</stp>
        <stp>[Bbg_Market_Data_CL.xlsm]data!R305C17</stp>
        <tr r="Q305" s="1"/>
      </tp>
      <tp>
        <v>24.61</v>
        <stp/>
        <stp>##V3_BDHV12</stp>
        <stp>CL2 Comdty</stp>
        <stp>VOLATILITY_10D</stp>
        <stp>13/10/2016</stp>
        <stp>13/10/2016</stp>
        <stp>[Bbg_Market_Data_CL.xlsm]data!R123C17</stp>
        <tr r="Q123" s="1"/>
      </tp>
      <tp t="s">
        <v>#N/A Requesting Data...</v>
        <stp/>
        <stp>##V3_BDHV12</stp>
        <stp>CL1 Comdty</stp>
        <stp>VOLATILITY_10D</stp>
        <stp>22/12/2015</stp>
        <stp>22/12/2015</stp>
        <stp>[Bbg_Market_Data_CL.xlsm]data!R324C17</stp>
        <tr r="Q324" s="1"/>
      </tp>
      <tp t="s">
        <v>#N/A Requesting Data...</v>
        <stp/>
        <stp>##V3_BDHV12</stp>
        <stp>CL1 Comdty</stp>
        <stp>VOLATILITY_10D</stp>
        <stp>15/06/2015</stp>
        <stp>15/06/2015</stp>
        <stp>[Bbg_Market_Data_CL.xlsm]data!R455C17</stp>
        <tr r="Q455" s="1"/>
      </tp>
      <tp t="s">
        <v>#N/A Requesting Data...</v>
        <stp/>
        <stp>##V3_BDHV12</stp>
        <stp>CL2 Comdty</stp>
        <stp>VOLATILITY_10D</stp>
        <stp>25/06/2015</stp>
        <stp>25/06/2015</stp>
        <stp>[Bbg_Market_Data_CL.xlsm]data!R447C17</stp>
        <tr r="Q447" s="1"/>
      </tp>
      <tp t="s">
        <v>#N/A Requesting Data...</v>
        <stp/>
        <stp>##V3_BDHV12</stp>
        <stp>CL1 Comdty</stp>
        <stp>VOLATILITY_10D</stp>
        <stp>12/11/2015</stp>
        <stp>12/11/2015</stp>
        <stp>[Bbg_Market_Data_CL.xlsm]data!R351C17</stp>
        <tr r="Q351" s="1"/>
      </tp>
      <tp t="s">
        <v>#N/A Requesting Data...</v>
        <stp/>
        <stp>##V3_BDHV12</stp>
        <stp>CL2 Comdty</stp>
        <stp>VOLATILITY_10D</stp>
        <stp>15/05/2015</stp>
        <stp>15/05/2015</stp>
        <stp>[Bbg_Market_Data_CL.xlsm]data!R475C17</stp>
        <tr r="Q475" s="1"/>
      </tp>
      <tp>
        <v>47.16</v>
        <stp/>
        <stp>##V3_BDHV12</stp>
        <stp>CL2 Comdty</stp>
        <stp>VOLATILITY_10D</stp>
        <stp>10/03/2016</stp>
        <stp>10/03/2016</stp>
        <stp>[Bbg_Market_Data_CL.xlsm]data!R272C17</stp>
        <tr r="Q272" s="1"/>
      </tp>
      <tp t="s">
        <v>#N/A Requesting Data...</v>
        <stp/>
        <stp>##V3_BDHV12</stp>
        <stp>CL1 Comdty</stp>
        <stp>VOLATILITY_30D</stp>
        <stp>05/05/2015</stp>
        <stp>05/05/2015</stp>
        <stp>[Bbg_Market_Data_CL.xlsm]data!R483C18</stp>
        <tr r="R483" s="1"/>
      </tp>
      <tp t="s">
        <v>#N/A Requesting Data...</v>
        <stp/>
        <stp>##V3_BDHV12</stp>
        <stp>CL1 Comdty</stp>
        <stp>VOLATILITY_30D</stp>
        <stp>10/02/2016</stp>
        <stp>10/02/2016</stp>
        <stp>[Bbg_Market_Data_CL.xlsm]data!R291C18</stp>
        <tr r="R291" s="1"/>
      </tp>
      <tp t="s">
        <v>#N/A Requesting Data...</v>
        <stp/>
        <stp>##V3_BDHV12</stp>
        <stp>CL1 Comdty</stp>
        <stp>VOLATILITY_30D</stp>
        <stp>15/04/2015</stp>
        <stp>15/04/2015</stp>
        <stp>[Bbg_Market_Data_CL.xlsm]data!R497C18</stp>
        <tr r="R497" s="1"/>
      </tp>
      <tp t="s">
        <v>#N/A Requesting Data...</v>
        <stp/>
        <stp>##V3_BDHV12</stp>
        <stp>CL1 Comdty</stp>
        <stp>VOLATILITY_10D</stp>
        <stp>02/10/2015</stp>
        <stp>02/10/2015</stp>
        <stp>[Bbg_Market_Data_CL.xlsm]data!R378C17</stp>
        <tr r="Q378" s="1"/>
      </tp>
      <tp t="s">
        <v>#N/A Requesting Data...</v>
        <stp/>
        <stp>##V3_BDHV12</stp>
        <stp>CL2 Comdty</stp>
        <stp>VOLATILITY_30D</stp>
        <stp>05/06/2015</stp>
        <stp>05/06/2015</stp>
        <stp>[Bbg_Market_Data_CL.xlsm]data!R461C18</stp>
        <tr r="R461" s="1"/>
      </tp>
      <tp t="s">
        <v>#N/A Requesting Data...</v>
        <stp/>
        <stp>##V3_BDHV12</stp>
        <stp>CL1 Comdty</stp>
        <stp>VOLATILITY_30D</stp>
        <stp>22/10/2015</stp>
        <stp>22/10/2015</stp>
        <stp>[Bbg_Market_Data_CL.xlsm]data!R365C18</stp>
        <tr r="R365" s="1"/>
      </tp>
      <tp>
        <v>37.159999999999997</v>
        <stp/>
        <stp>##V3_BDHV12</stp>
        <stp>CL2 Comdty</stp>
        <stp>VOLATILITY_30D</stp>
        <stp>02/11/2015</stp>
        <stp>02/11/2015</stp>
        <stp>[Bbg_Market_Data_CL.xlsm]data!R358C18</stp>
        <tr r="R358" s="1"/>
      </tp>
      <tp>
        <v>43.97</v>
        <stp/>
        <stp>##V3_BDHV12</stp>
        <stp>CL2 Comdty</stp>
        <stp>VOLATILITY_30D</stp>
        <stp>30/03/2016</stp>
        <stp>30/03/2016</stp>
        <stp>[Bbg_Market_Data_CL.xlsm]data!R259C18</stp>
        <tr r="R259" s="1"/>
      </tp>
      <tp t="s">
        <v>#N/A Requesting Data...</v>
        <stp/>
        <stp>##V3_BDHV12</stp>
        <stp>CL1 Comdty</stp>
        <stp>VOLATILITY_30D</stp>
        <stp>03/10/2016</stp>
        <stp>03/10/2016</stp>
        <stp>[Bbg_Market_Data_CL.xlsm]data!R130C18</stp>
        <tr r="R130" s="1"/>
      </tp>
      <tp t="s">
        <v>#N/A Requesting Data...</v>
        <stp/>
        <stp>##V3_BDHV12</stp>
        <stp>CL1 Comdty</stp>
        <stp>VOLATILITY_30D</stp>
        <stp>02/12/2015</stp>
        <stp>02/12/2015</stp>
        <stp>[Bbg_Market_Data_CL.xlsm]data!R338C18</stp>
        <tr r="R338" s="1"/>
      </tp>
      <tp t="s">
        <v>#N/A Requesting Data...</v>
        <stp/>
        <stp>##V3_BDHV12</stp>
        <stp>CL2 Comdty</stp>
        <stp>VOLATILITY_30D</stp>
        <stp>15/07/2015</stp>
        <stp>15/07/2015</stp>
        <stp>[Bbg_Market_Data_CL.xlsm]data!R434C18</stp>
        <tr r="R434" s="1"/>
      </tp>
      <tp t="s">
        <v>#N/A Requesting Data...</v>
        <stp/>
        <stp>##V3_BDHV12</stp>
        <stp>CL1 Comdty</stp>
        <stp>VOLATILITY_10D</stp>
        <stp>14/07/2015</stp>
        <stp>14/07/2015</stp>
        <stp>[Bbg_Market_Data_CL.xlsm]data!R435C17</stp>
        <tr r="Q435" s="1"/>
      </tp>
      <tp t="s">
        <v>#N/A Requesting Data...</v>
        <stp/>
        <stp>##V3_BDHV12</stp>
        <stp>CL2 Comdty</stp>
        <stp>VOLATILITY_10D</stp>
        <stp>24/07/2015</stp>
        <stp>24/07/2015</stp>
        <stp>[Bbg_Market_Data_CL.xlsm]data!R427C17</stp>
        <tr r="Q427" s="1"/>
      </tp>
      <tp>
        <v>40.11</v>
        <stp/>
        <stp>##V3_BDHV12</stp>
        <stp>CL2 Comdty</stp>
        <stp>VOLATILITY_10D</stp>
        <stp>03/12/2015</stp>
        <stp>03/12/2015</stp>
        <stp>[Bbg_Market_Data_CL.xlsm]data!R337C17</stp>
        <tr r="Q337" s="1"/>
      </tp>
      <tp t="s">
        <v>#N/A Requesting Data...</v>
        <stp/>
        <stp>##V3_BDHV12</stp>
        <stp>CL1 Comdty</stp>
        <stp>VOLATILITY_10D</stp>
        <stp>31/03/2016</stp>
        <stp>31/03/2016</stp>
        <stp>[Bbg_Market_Data_CL.xlsm]data!R258C17</stp>
        <tr r="Q258" s="1"/>
      </tp>
      <tp t="s">
        <v>#N/A Requesting Data...</v>
        <stp/>
        <stp>##V3_BDHV12</stp>
        <stp>CL1 Comdty</stp>
        <stp>VOLATILITY_10D</stp>
        <stp>03/11/2015</stp>
        <stp>03/11/2015</stp>
        <stp>[Bbg_Market_Data_CL.xlsm]data!R357C17</stp>
        <tr r="Q357" s="1"/>
      </tp>
      <tp>
        <v>21.66</v>
        <stp/>
        <stp>##V3_BDHV12</stp>
        <stp>CL2 Comdty</stp>
        <stp>VOLATILITY_10D</stp>
        <stp>23/10/2015</stp>
        <stp>23/10/2015</stp>
        <stp>[Bbg_Market_Data_CL.xlsm]data!R364C17</stp>
        <tr r="Q364" s="1"/>
      </tp>
      <tp>
        <v>39.380000000000003</v>
        <stp/>
        <stp>##V3_BDHV12</stp>
        <stp>CL2 Comdty</stp>
        <stp>VOLATILITY_10D</stp>
        <stp>01/03/2016</stp>
        <stp>01/03/2016</stp>
        <stp>[Bbg_Market_Data_CL.xlsm]data!R279C17</stp>
        <tr r="Q279" s="1"/>
      </tp>
      <tp t="s">
        <v>#N/A Requesting Data...</v>
        <stp/>
        <stp>##V3_BDHV12</stp>
        <stp>CL1 Comdty</stp>
        <stp>VOLATILITY_10D</stp>
        <stp>13/10/2015</stp>
        <stp>13/10/2015</stp>
        <stp>[Bbg_Market_Data_CL.xlsm]data!R372C17</stp>
        <tr r="Q372" s="1"/>
      </tp>
      <tp t="s">
        <v>#N/A Requesting Data...</v>
        <stp/>
        <stp>##V3_BDHV12</stp>
        <stp>CL1 Comdty</stp>
        <stp>VOLATILITY_10D</stp>
        <stp>04/06/2015</stp>
        <stp>04/06/2015</stp>
        <stp>[Bbg_Market_Data_CL.xlsm]data!R462C17</stp>
        <tr r="Q462" s="1"/>
      </tp>
      <tp t="s">
        <v>#N/A Requesting Data...</v>
        <stp/>
        <stp>##V3_BDHV12</stp>
        <stp>CL1 Comdty</stp>
        <stp>VOLATILITY_30D</stp>
        <stp>01/02/2016</stp>
        <stp>01/02/2016</stp>
        <stp>[Bbg_Market_Data_CL.xlsm]data!R298C18</stp>
        <tr r="R298" s="1"/>
      </tp>
      <tp>
        <v>64.02</v>
        <stp/>
        <stp>##V3_BDHV12</stp>
        <stp>CL2 Comdty</stp>
        <stp>VOLATILITY_10D</stp>
        <stp>11/02/2016</stp>
        <stp>11/02/2016</stp>
        <stp>[Bbg_Market_Data_CL.xlsm]data!R290C17</stp>
        <tr r="Q290" s="1"/>
      </tp>
      <tp t="s">
        <v>#N/A Requesting Data...</v>
        <stp/>
        <stp>##V3_BDHV12</stp>
        <stp>CL1 Comdty</stp>
        <stp>VOLATILITY_10D</stp>
        <stp>24/04/2015</stp>
        <stp>24/04/2015</stp>
        <stp>[Bbg_Market_Data_CL.xlsm]data!R490C17</stp>
        <tr r="Q490" s="1"/>
      </tp>
      <tp>
        <v>58.33</v>
        <stp/>
        <stp>##V3_BDHV12</stp>
        <stp>CL2 Comdty</stp>
        <stp>VOLATILITY_30D</stp>
        <stp>21/03/2016</stp>
        <stp>21/03/2016</stp>
        <stp>[Bbg_Market_Data_CL.xlsm]data!R265C18</stp>
        <tr r="R265" s="1"/>
      </tp>
      <tp t="s">
        <v>#N/A Requesting Data...</v>
        <stp/>
        <stp>##V3_BDHV12</stp>
        <stp>CL2 Comdty</stp>
        <stp>VOLATILITY_10D</stp>
        <stp>14/04/2015</stp>
        <stp>14/04/2015</stp>
        <stp>[Bbg_Market_Data_CL.xlsm]data!R498C17</stp>
        <tr r="Q498" s="1"/>
      </tp>
      <tp t="s">
        <v>#N/A Requesting Data...</v>
        <stp/>
        <stp>##V3_BDHV12</stp>
        <stp>CL1 Comdty</stp>
        <stp>VOLATILITY_30D</stp>
        <stp>11/03/2016</stp>
        <stp>11/03/2016</stp>
        <stp>[Bbg_Market_Data_CL.xlsm]data!R271C18</stp>
        <tr r="R271" s="1"/>
      </tp>
      <tp t="s">
        <v>#N/A Requesting Data...</v>
        <stp/>
        <stp>##V3_BDHV12</stp>
        <stp>CL1 Comdty</stp>
        <stp>VOLATILITY_30D</stp>
        <stp>14/05/2015</stp>
        <stp>14/05/2015</stp>
        <stp>[Bbg_Market_Data_CL.xlsm]data!R476C18</stp>
        <tr r="R476" s="1"/>
      </tp>
      <tp t="s">
        <v>#N/A Requesting Data...</v>
        <stp/>
        <stp>##V3_BDHV12</stp>
        <stp>CL2 Comdty</stp>
        <stp>VOLATILITY_10D</stp>
        <stp>04/05/2015</stp>
        <stp>04/05/2015</stp>
        <stp>[Bbg_Market_Data_CL.xlsm]data!R484C17</stp>
        <tr r="Q484" s="1"/>
      </tp>
      <tp>
        <v>39.74</v>
        <stp/>
        <stp>##V3_BDHV12</stp>
        <stp>CL2 Comdty</stp>
        <stp>VOLATILITY_30D</stp>
        <stp>13/11/2015</stp>
        <stp>13/11/2015</stp>
        <stp>[Bbg_Market_Data_CL.xlsm]data!R350C18</stp>
        <tr r="R350" s="1"/>
      </tp>
      <tp t="s">
        <v>#N/A Requesting Data...</v>
        <stp/>
        <stp>##V3_BDHV12</stp>
        <stp>CL1 Comdty</stp>
        <stp>VOLATILITY_30D</stp>
        <stp>24/06/2015</stp>
        <stp>24/06/2015</stp>
        <stp>[Bbg_Market_Data_CL.xlsm]data!R448C18</stp>
        <tr r="R448" s="1"/>
      </tp>
      <tp t="s">
        <v>#N/A Requesting Data...</v>
        <stp/>
        <stp>##V3_BDHV12</stp>
        <stp>CL1 Comdty</stp>
        <stp>VOLATILITY_30D</stp>
        <stp>23/11/2015</stp>
        <stp>23/11/2015</stp>
        <stp>[Bbg_Market_Data_CL.xlsm]data!R344C18</stp>
        <tr r="R344" s="1"/>
      </tp>
      <tp>
        <v>39.479999999999997</v>
        <stp/>
        <stp>##V3_BDHV12</stp>
        <stp>CL2 Comdty</stp>
        <stp>VOLATILITY_30D</stp>
        <stp>23/12/2015</stp>
        <stp>23/12/2015</stp>
        <stp>[Bbg_Market_Data_CL.xlsm]data!R323C18</stp>
        <tr r="R323" s="1"/>
      </tp>
      <tp t="s">
        <v>#N/A Requesting Data...</v>
        <stp/>
        <stp>##V3_BDHV12</stp>
        <stp>CL1 Comdty</stp>
        <stp>VOLATILITY_30D</stp>
        <stp>12/10/2016</stp>
        <stp>12/10/2016</stp>
        <stp>[Bbg_Market_Data_CL.xlsm]data!R124C18</stp>
        <tr r="R124" s="1"/>
      </tp>
      <tp t="s">
        <v>#N/A Requesting Data...</v>
        <stp/>
        <stp>##V3_BDHV12</stp>
        <stp>CL1 Comdty</stp>
        <stp>VOLATILITY_30D</stp>
        <stp>20/01/2016</stp>
        <stp>20/01/2016</stp>
        <stp>[Bbg_Market_Data_CL.xlsm]data!R306C18</stp>
        <tr r="R306" s="1"/>
      </tp>
      <tp t="s">
        <v>#N/A Requesting Data...</v>
        <stp/>
        <stp>##V3_BDHV12</stp>
        <stp>CL1 Comdty</stp>
        <stp>VOLATILITY_30D</stp>
        <stp>02/11/2016</stp>
        <stp>02/11/2016</stp>
        <stp>[Bbg_Market_Data_CL.xlsm]data!R109C18</stp>
        <tr r="R109" s="1"/>
      </tp>
      <tp t="s">
        <v>#N/A Requesting Data...</v>
        <stp/>
        <stp>##V3_BDHV12</stp>
        <stp>CL1 Comdty</stp>
        <stp>VOLUME_TOTAL_CALL</stp>
        <stp>12/01/2017</stp>
        <stp>12/01/2017</stp>
        <stp>[Bbg_Market_Data_CL.xlsm]data!R62C15</stp>
        <tr r="O62" s="1"/>
      </tp>
      <tp t="s">
        <v>#N/A Requesting Data...</v>
        <stp/>
        <stp>##V3_BDHV12</stp>
        <stp>CL2 Comdty</stp>
        <stp>VOLUME_TOTAL_CALL</stp>
        <stp>12/01/2017</stp>
        <stp>12/01/2017</stp>
        <stp>[Bbg_Market_Data_CL.xlsm]data!R62C15</stp>
        <tr r="O62" s="1"/>
      </tp>
      <tp t="s">
        <v>#N/A Requesting Data...</v>
        <stp/>
        <stp>##V3_BDHV12</stp>
        <stp>CL1 Comdty</stp>
        <stp>VOLUME_TOTAL_CALL</stp>
        <stp>22/02/2017</stp>
        <stp>22/02/2017</stp>
        <stp>[Bbg_Market_Data_CL.xlsm]data!R35C15</stp>
        <tr r="O35" s="1"/>
      </tp>
      <tp t="s">
        <v>#N/A Requesting Data...</v>
        <stp/>
        <stp>##V3_BDHV12</stp>
        <stp>CL2 Comdty</stp>
        <stp>VOLUME_TOTAL_CALL</stp>
        <stp>22/02/2017</stp>
        <stp>22/02/2017</stp>
        <stp>[Bbg_Market_Data_CL.xlsm]data!R35C15</stp>
        <tr r="O35" s="1"/>
      </tp>
      <tp t="s">
        <v>#N/A Requesting Data...</v>
        <stp/>
        <stp>##V3_BDHV12</stp>
        <stp>CL1 Comdty</stp>
        <stp>VOLUME_TOTAL_CALL</stp>
        <stp>13/01/2017</stp>
        <stp>13/01/2017</stp>
        <stp>[Bbg_Market_Data_CL.xlsm]data!R61C15</stp>
        <tr r="O61" s="1"/>
      </tp>
      <tp t="s">
        <v>#N/A Requesting Data...</v>
        <stp/>
        <stp>##V3_BDHV12</stp>
        <stp>CL2 Comdty</stp>
        <stp>VOLUME_TOTAL_CALL</stp>
        <stp>13/01/2017</stp>
        <stp>13/01/2017</stp>
        <stp>[Bbg_Market_Data_CL.xlsm]data!R61C15</stp>
        <tr r="O61" s="1"/>
      </tp>
      <tp t="s">
        <v>#N/A Requesting Data...</v>
        <stp/>
        <stp>##V3_BDHV12</stp>
        <stp>CL1 Comdty</stp>
        <stp>VOLUME_TOTAL_CALL</stp>
        <stp>23/02/2017</stp>
        <stp>23/02/2017</stp>
        <stp>[Bbg_Market_Data_CL.xlsm]data!R34C15</stp>
        <tr r="O34" s="1"/>
      </tp>
      <tp t="s">
        <v>#N/A Requesting Data...</v>
        <stp/>
        <stp>##V3_BDHV12</stp>
        <stp>CL2 Comdty</stp>
        <stp>VOLUME_TOTAL_CALL</stp>
        <stp>23/02/2017</stp>
        <stp>23/02/2017</stp>
        <stp>[Bbg_Market_Data_CL.xlsm]data!R34C15</stp>
        <tr r="O34" s="1"/>
      </tp>
      <tp t="s">
        <v>#N/A Requesting Data...</v>
        <stp/>
        <stp>##V3_BDHV12</stp>
        <stp>CL2 Comdty</stp>
        <stp>VOLUME_TOTAL_CALL</stp>
        <stp>10/01/2017</stp>
        <stp>10/01/2017</stp>
        <stp>[Bbg_Market_Data_CL.xlsm]data!R64C15</stp>
        <tr r="O64" s="1"/>
      </tp>
      <tp t="s">
        <v>#N/A Requesting Data...</v>
        <stp/>
        <stp>##V3_BDHV12</stp>
        <stp>CL2 Comdty</stp>
        <stp>VOLUME_TOTAL_CALL</stp>
        <stp>30/12/2016</stp>
        <stp>30/12/2016</stp>
        <stp>[Bbg_Market_Data_CL.xlsm]data!R70C15</stp>
        <tr r="O70" s="1"/>
      </tp>
      <tp t="s">
        <v>#N/A Requesting Data...</v>
        <stp/>
        <stp>##V3_BDHV12</stp>
        <stp>CL1 Comdty</stp>
        <stp>VOLUME_TOTAL_CALL</stp>
        <stp>10/01/2017</stp>
        <stp>10/01/2017</stp>
        <stp>[Bbg_Market_Data_CL.xlsm]data!R64C15</stp>
        <tr r="O64" s="1"/>
      </tp>
      <tp t="s">
        <v>#N/A Requesting Data...</v>
        <stp/>
        <stp>##V3_BDHV12</stp>
        <stp>CL1 Comdty</stp>
        <stp>VOLUME_TOTAL_CALL</stp>
        <stp>30/12/2016</stp>
        <stp>30/12/2016</stp>
        <stp>[Bbg_Market_Data_CL.xlsm]data!R70C15</stp>
        <tr r="O70" s="1"/>
      </tp>
      <tp t="s">
        <v>#N/A Requesting Data...</v>
        <stp/>
        <stp>##V3_BDHV12</stp>
        <stp>CL2 Comdty</stp>
        <stp>VOLUME_TOTAL_CALL</stp>
        <stp>11/01/2017</stp>
        <stp>11/01/2017</stp>
        <stp>[Bbg_Market_Data_CL.xlsm]data!R63C15</stp>
        <tr r="O63" s="1"/>
      </tp>
      <tp t="s">
        <v>#N/A Requesting Data...</v>
        <stp/>
        <stp>##V3_BDHV12</stp>
        <stp>CL1 Comdty</stp>
        <stp>VOLUME_TOTAL_CALL</stp>
        <stp>11/01/2017</stp>
        <stp>11/01/2017</stp>
        <stp>[Bbg_Market_Data_CL.xlsm]data!R63C15</stp>
        <tr r="O63" s="1"/>
      </tp>
      <tp t="s">
        <v>#N/A Requesting Data...</v>
        <stp/>
        <stp>##V3_BDHV12</stp>
        <stp>CL2 Comdty</stp>
        <stp>VOLUME_TOTAL_CALL</stp>
        <stp>21/02/2017</stp>
        <stp>21/02/2017</stp>
        <stp>[Bbg_Market_Data_CL.xlsm]data!R36C15</stp>
        <tr r="O36" s="1"/>
      </tp>
      <tp t="s">
        <v>#N/A Requesting Data...</v>
        <stp/>
        <stp>##V3_BDHV12</stp>
        <stp>CL1 Comdty</stp>
        <stp>VOLUME_TOTAL_CALL</stp>
        <stp>21/02/2017</stp>
        <stp>21/02/2017</stp>
        <stp>[Bbg_Market_Data_CL.xlsm]data!R36C15</stp>
        <tr r="O36" s="1"/>
      </tp>
      <tp t="s">
        <v>#N/A Requesting Data...</v>
        <stp/>
        <stp>##V3_BDHV12</stp>
        <stp>CL1 Comdty</stp>
        <stp>VOLUME_TOTAL_CALL</stp>
        <stp>27/02/2017</stp>
        <stp>27/02/2017</stp>
        <stp>[Bbg_Market_Data_CL.xlsm]data!R32C15</stp>
        <tr r="O32" s="1"/>
      </tp>
      <tp t="s">
        <v>#N/A Requesting Data...</v>
        <stp/>
        <stp>##V3_BDHV12</stp>
        <stp>CL2 Comdty</stp>
        <stp>VOLUME_TOTAL_CALL</stp>
        <stp>27/02/2017</stp>
        <stp>27/02/2017</stp>
        <stp>[Bbg_Market_Data_CL.xlsm]data!R32C15</stp>
        <tr r="O32" s="1"/>
      </tp>
      <tp t="s">
        <v>#N/A Requesting Data...</v>
        <stp/>
        <stp>##V3_BDHV12</stp>
        <stp>CL1 Comdty</stp>
        <stp>VOLUME_TOTAL_CALL</stp>
        <stp>17/01/2017</stp>
        <stp>17/01/2017</stp>
        <stp>[Bbg_Market_Data_CL.xlsm]data!R60C15</stp>
        <tr r="O60" s="1"/>
      </tp>
      <tp t="s">
        <v>#N/A Requesting Data...</v>
        <stp/>
        <stp>##V3_BDHV12</stp>
        <stp>CL2 Comdty</stp>
        <stp>VOLUME_TOTAL_CALL</stp>
        <stp>17/01/2017</stp>
        <stp>17/01/2017</stp>
        <stp>[Bbg_Market_Data_CL.xlsm]data!R60C15</stp>
        <tr r="O60" s="1"/>
      </tp>
      <tp t="s">
        <v>#N/A Requesting Data...</v>
        <stp/>
        <stp>##V3_BDHV12</stp>
        <stp>CL2 Comdty</stp>
        <stp>VOLUME_TOTAL_CALL</stp>
        <stp>24/02/2017</stp>
        <stp>24/02/2017</stp>
        <stp>[Bbg_Market_Data_CL.xlsm]data!R33C15</stp>
        <tr r="O33" s="1"/>
      </tp>
      <tp t="s">
        <v>#N/A Requesting Data...</v>
        <stp/>
        <stp>##V3_BDHV12</stp>
        <stp>CL1 Comdty</stp>
        <stp>VOLUME_TOTAL_CALL</stp>
        <stp>24/02/2017</stp>
        <stp>24/02/2017</stp>
        <stp>[Bbg_Market_Data_CL.xlsm]data!R33C15</stp>
        <tr r="O33" s="1"/>
      </tp>
      <tp t="s">
        <v>#N/A Requesting Data...</v>
        <stp/>
        <stp>##V3_BDHV12</stp>
        <stp>CL1 Comdty</stp>
        <stp>VOLUME_TOTAL_CALL</stp>
        <stp>18/01/2017</stp>
        <stp>18/01/2017</stp>
        <stp>[Bbg_Market_Data_CL.xlsm]data!R59C15</stp>
        <tr r="O59" s="1"/>
      </tp>
      <tp t="s">
        <v>#N/A Requesting Data...</v>
        <stp/>
        <stp>##V3_BDHV12</stp>
        <stp>CL2 Comdty</stp>
        <stp>VOLUME_TOTAL_CALL</stp>
        <stp>18/01/2017</stp>
        <stp>18/01/2017</stp>
        <stp>[Bbg_Market_Data_CL.xlsm]data!R59C15</stp>
        <tr r="O59" s="1"/>
      </tp>
      <tp t="s">
        <v>#N/A Requesting Data...</v>
        <stp/>
        <stp>##V3_BDHV12</stp>
        <stp>CL2 Comdty</stp>
        <stp>VOLUME_TOTAL_CALL</stp>
        <stp>28/02/2017</stp>
        <stp>28/02/2017</stp>
        <stp>[Bbg_Market_Data_CL.xlsm]data!R31C15</stp>
        <tr r="O31" s="1"/>
      </tp>
      <tp t="s">
        <v>#N/A Requesting Data...</v>
        <stp/>
        <stp>##V3_BDHV12</stp>
        <stp>CL1 Comdty</stp>
        <stp>VOLUME_TOTAL_CALL</stp>
        <stp>28/02/2017</stp>
        <stp>28/02/2017</stp>
        <stp>[Bbg_Market_Data_CL.xlsm]data!R31C15</stp>
        <tr r="O31" s="1"/>
      </tp>
      <tp t="s">
        <v>#N/A Requesting Data...</v>
        <stp/>
        <stp>##V3_BDHV12</stp>
        <stp>CL1 Comdty</stp>
        <stp>VOLUME_TOTAL_CALL</stp>
        <stp>19/01/2017</stp>
        <stp>19/01/2017</stp>
        <stp>[Bbg_Market_Data_CL.xlsm]data!R58C15</stp>
        <tr r="O58" s="1"/>
      </tp>
      <tp t="s">
        <v>#N/A Requesting Data...</v>
        <stp/>
        <stp>##V3_BDHV12</stp>
        <stp>CL2 Comdty</stp>
        <stp>VOLUME_TOTAL_CALL</stp>
        <stp>19/01/2017</stp>
        <stp>19/01/2017</stp>
        <stp>[Bbg_Market_Data_CL.xlsm]data!R58C15</stp>
        <tr r="O58" s="1"/>
      </tp>
      <tp t="s">
        <v>#N/A Requesting Data...</v>
        <stp/>
        <stp>##V3_BDHV12</stp>
        <stp>CL1 Comdty</stp>
        <stp>PX_LOW</stp>
        <stp>14/04/2015</stp>
        <stp>14/04/2015</stp>
        <stp>[Bbg_Market_Data_CL.xlsm]data!R498C7</stp>
        <tr r="G498" s="1"/>
      </tp>
      <tp>
        <v>42.06</v>
        <stp/>
        <stp>##V3_BDHV12</stp>
        <stp>CL2 Comdty</stp>
        <stp>PX_LOW</stp>
        <stp>14/04/2016</stp>
        <stp>14/04/2016</stp>
        <stp>[Bbg_Market_Data_CL.xlsm]data!R248C7</stp>
        <tr r="G248" s="1"/>
      </tp>
      <tp>
        <v>43.69</v>
        <stp/>
        <stp>##V3_BDHV12</stp>
        <stp>CL2 Comdty</stp>
        <stp>PX_LOW</stp>
        <stp>25/07/2016</stp>
        <stp>25/07/2016</stp>
        <stp>[Bbg_Market_Data_CL.xlsm]data!R178C7</stp>
        <tr r="G178" s="1"/>
      </tp>
      <tp t="s">
        <v>#N/A Requesting Data...</v>
        <stp/>
        <stp>##V3_BDHV12</stp>
        <stp>CL1 Comdty</stp>
        <stp>PX_LOW</stp>
        <stp>25/07/2016</stp>
        <stp>25/07/2016</stp>
        <stp>[Bbg_Market_Data_CL.xlsm]data!R178C7</stp>
        <tr r="G178" s="1"/>
      </tp>
      <tp t="s">
        <v>#N/A Requesting Data...</v>
        <stp/>
        <stp>##V3_BDHV12</stp>
        <stp>CL2 Comdty</stp>
        <stp>PX_LOW</stp>
        <stp>14/04/2015</stp>
        <stp>14/04/2015</stp>
        <stp>[Bbg_Market_Data_CL.xlsm]data!R498C7</stp>
        <tr r="G498" s="1"/>
      </tp>
      <tp t="s">
        <v>#N/A Requesting Data...</v>
        <stp/>
        <stp>##V3_BDHV12</stp>
        <stp>CL1 Comdty</stp>
        <stp>PX_LOW</stp>
        <stp>14/04/2016</stp>
        <stp>14/04/2016</stp>
        <stp>[Bbg_Market_Data_CL.xlsm]data!R248C7</stp>
        <tr r="G248" s="1"/>
      </tp>
      <tp>
        <v>44.66</v>
        <stp/>
        <stp>##V3_BDHV12</stp>
        <stp>CL2 Comdty</stp>
        <stp>PX_LOW</stp>
        <stp>11/05/2016</stp>
        <stp>11/05/2016</stp>
        <stp>[Bbg_Market_Data_CL.xlsm]data!R229C7</stp>
        <tr r="G229" s="1"/>
      </tp>
      <tp t="s">
        <v>#N/A Requesting Data...</v>
        <stp/>
        <stp>##V3_BDHV12</stp>
        <stp>CL1 Comdty</stp>
        <stp>PX_LOW</stp>
        <stp>11/05/2015</stp>
        <stp>11/05/2015</stp>
        <stp>[Bbg_Market_Data_CL.xlsm]data!R479C7</stp>
        <tr r="G479" s="1"/>
      </tp>
      <tp t="s">
        <v>#N/A Requesting Data...</v>
        <stp/>
        <stp>##V3_BDHV12</stp>
        <stp>CL2 Comdty</stp>
        <stp>PX_LOW</stp>
        <stp>23/07/2015</stp>
        <stp>23/07/2015</stp>
        <stp>[Bbg_Market_Data_CL.xlsm]data!R428C7</stp>
        <tr r="G428" s="1"/>
      </tp>
      <tp t="s">
        <v>#N/A Requesting Data...</v>
        <stp/>
        <stp>##V3_BDHV12</stp>
        <stp>CL1 Comdty</stp>
        <stp>PX_LOW</stp>
        <stp>23/06/2016</stp>
        <stp>23/06/2016</stp>
        <stp>[Bbg_Market_Data_CL.xlsm]data!R199C7</stp>
        <tr r="G199" s="1"/>
      </tp>
      <tp t="s">
        <v>#N/A Requesting Data...</v>
        <stp/>
        <stp>##V3_BDHV12</stp>
        <stp>CL2 Comdty</stp>
        <stp>PX_LOW</stp>
        <stp>23/06/2015</stp>
        <stp>23/06/2015</stp>
        <stp>[Bbg_Market_Data_CL.xlsm]data!R449C7</stp>
        <tr r="G449" s="1"/>
      </tp>
      <tp>
        <v>49.77</v>
        <stp/>
        <stp>##V3_BDHV12</stp>
        <stp>CL2 Comdty</stp>
        <stp>PX_LOW</stp>
        <stp>23/06/2016</stp>
        <stp>23/06/2016</stp>
        <stp>[Bbg_Market_Data_CL.xlsm]data!R199C7</stp>
        <tr r="G199" s="1"/>
      </tp>
      <tp t="s">
        <v>#N/A Requesting Data...</v>
        <stp/>
        <stp>##V3_BDHV12</stp>
        <stp>CL1 Comdty</stp>
        <stp>PX_LOW</stp>
        <stp>23/06/2015</stp>
        <stp>23/06/2015</stp>
        <stp>[Bbg_Market_Data_CL.xlsm]data!R449C7</stp>
        <tr r="G449" s="1"/>
      </tp>
      <tp t="s">
        <v>#N/A Requesting Data...</v>
        <stp/>
        <stp>##V3_BDHV12</stp>
        <stp>CL1 Comdty</stp>
        <stp>PX_LOW</stp>
        <stp>11/05/2016</stp>
        <stp>11/05/2016</stp>
        <stp>[Bbg_Market_Data_CL.xlsm]data!R229C7</stp>
        <tr r="G229" s="1"/>
      </tp>
      <tp t="s">
        <v>#N/A Requesting Data...</v>
        <stp/>
        <stp>##V3_BDHV12</stp>
        <stp>CL2 Comdty</stp>
        <stp>PX_LOW</stp>
        <stp>11/05/2015</stp>
        <stp>11/05/2015</stp>
        <stp>[Bbg_Market_Data_CL.xlsm]data!R479C7</stp>
        <tr r="G479" s="1"/>
      </tp>
      <tp t="s">
        <v>#N/A Requesting Data...</v>
        <stp/>
        <stp>##V3_BDHV12</stp>
        <stp>CL1 Comdty</stp>
        <stp>PX_LOW</stp>
        <stp>23/07/2015</stp>
        <stp>23/07/2015</stp>
        <stp>[Bbg_Market_Data_CL.xlsm]data!R428C7</stp>
        <tr r="G428" s="1"/>
      </tp>
      <tp t="s">
        <v>#N/A Requesting Data...</v>
        <stp/>
        <stp>##V3_BDHV12</stp>
        <stp>CL1 Comdty</stp>
        <stp>PX_LOW</stp>
        <stp>22/09/2015</stp>
        <stp>22/09/2015</stp>
        <stp>[Bbg_Market_Data_CL.xlsm]data!R386C7</stp>
        <tr r="G386" s="1"/>
      </tp>
      <tp t="s">
        <v>#N/A Requesting Data...</v>
        <stp/>
        <stp>##V3_BDHV12</stp>
        <stp>CL1 Comdty</stp>
        <stp>PX_LOW</stp>
        <stp>12/09/2016</stp>
        <stp>12/09/2016</stp>
        <stp>[Bbg_Market_Data_CL.xlsm]data!R145C7</stp>
        <tr r="G145" s="1"/>
      </tp>
      <tp>
        <v>44.82</v>
        <stp/>
        <stp>##V3_BDHV12</stp>
        <stp>CL2 Comdty</stp>
        <stp>PX_LOW</stp>
        <stp>23/09/2016</stp>
        <stp>23/09/2016</stp>
        <stp>[Bbg_Market_Data_CL.xlsm]data!R136C7</stp>
        <tr r="G136" s="1"/>
      </tp>
      <tp>
        <v>40.630000000000003</v>
        <stp/>
        <stp>##V3_BDHV12</stp>
        <stp>CL2 Comdty</stp>
        <stp>PX_LOW</stp>
        <stp>21/08/2015</stp>
        <stp>21/08/2015</stp>
        <stp>[Bbg_Market_Data_CL.xlsm]data!R407C7</stp>
        <tr r="G407" s="1"/>
      </tp>
      <tp>
        <v>43.55</v>
        <stp/>
        <stp>##V3_BDHV12</stp>
        <stp>CL2 Comdty</stp>
        <stp>PX_LOW</stp>
        <stp>12/08/2015</stp>
        <stp>12/08/2015</stp>
        <stp>[Bbg_Market_Data_CL.xlsm]data!R414C7</stp>
        <tr r="G414" s="1"/>
      </tp>
      <tp t="s">
        <v>#N/A Requesting Data...</v>
        <stp/>
        <stp>##V3_BDHV12</stp>
        <stp>CL1 Comdty</stp>
        <stp>PX_LOW</stp>
        <stp>23/09/2016</stp>
        <stp>23/09/2016</stp>
        <stp>[Bbg_Market_Data_CL.xlsm]data!R136C7</stp>
        <tr r="G136" s="1"/>
      </tp>
      <tp t="s">
        <v>#N/A Requesting Data...</v>
        <stp/>
        <stp>##V3_BDHV12</stp>
        <stp>CL1 Comdty</stp>
        <stp>PX_LOW</stp>
        <stp>21/08/2015</stp>
        <stp>21/08/2015</stp>
        <stp>[Bbg_Market_Data_CL.xlsm]data!R407C7</stp>
        <tr r="G407" s="1"/>
      </tp>
      <tp t="s">
        <v>#N/A Requesting Data...</v>
        <stp/>
        <stp>##V3_BDHV12</stp>
        <stp>CL1 Comdty</stp>
        <stp>PX_LOW</stp>
        <stp>12/08/2015</stp>
        <stp>12/08/2015</stp>
        <stp>[Bbg_Market_Data_CL.xlsm]data!R414C7</stp>
        <tr r="G414" s="1"/>
      </tp>
      <tp>
        <v>45.37</v>
        <stp/>
        <stp>##V3_BDHV12</stp>
        <stp>CL2 Comdty</stp>
        <stp>PX_LOW</stp>
        <stp>22/09/2015</stp>
        <stp>22/09/2015</stp>
        <stp>[Bbg_Market_Data_CL.xlsm]data!R386C7</stp>
        <tr r="G386" s="1"/>
      </tp>
      <tp>
        <v>45.32</v>
        <stp/>
        <stp>##V3_BDHV12</stp>
        <stp>CL2 Comdty</stp>
        <stp>PX_LOW</stp>
        <stp>12/09/2016</stp>
        <stp>12/09/2016</stp>
        <stp>[Bbg_Market_Data_CL.xlsm]data!R145C7</stp>
        <tr r="G145" s="1"/>
      </tp>
      <tp t="s">
        <v>#N/A Requesting Data...</v>
        <stp/>
        <stp>##V3_BDHV12</stp>
        <stp>CL1 Comdty</stp>
        <stp>PX_LOW</stp>
        <stp>24/08/2016</stp>
        <stp>24/08/2016</stp>
        <stp>[Bbg_Market_Data_CL.xlsm]data!R157C7</stp>
        <tr r="G157" s="1"/>
      </tp>
      <tp>
        <v>45.06</v>
        <stp/>
        <stp>##V3_BDHV12</stp>
        <stp>CL2 Comdty</stp>
        <stp>PX_LOW</stp>
        <stp>15/08/2016</stp>
        <stp>15/08/2016</stp>
        <stp>[Bbg_Market_Data_CL.xlsm]data!R164C7</stp>
        <tr r="G164" s="1"/>
      </tp>
      <tp t="s">
        <v>#N/A Requesting Data...</v>
        <stp/>
        <stp>##V3_BDHV12</stp>
        <stp>CL1 Comdty</stp>
        <stp>PX_LOW</stp>
        <stp>15/08/2016</stp>
        <stp>15/08/2016</stp>
        <stp>[Bbg_Market_Data_CL.xlsm]data!R164C7</stp>
        <tr r="G164" s="1"/>
      </tp>
      <tp>
        <v>47.15</v>
        <stp/>
        <stp>##V3_BDHV12</stp>
        <stp>CL2 Comdty</stp>
        <stp>PX_LOW</stp>
        <stp>24/08/2016</stp>
        <stp>24/08/2016</stp>
        <stp>[Bbg_Market_Data_CL.xlsm]data!R157C7</stp>
        <tr r="G157" s="1"/>
      </tp>
    </main>
    <main first="bloomberg.rtd">
      <tp>
        <v>39.81</v>
        <stp/>
        <stp>##V3_BDHV12</stp>
        <stp>CL2 Comdty</stp>
        <stp>VOLATILITY_10D</stp>
        <stp>19/08/2015</stp>
        <stp>19/08/2015</stp>
        <stp>[Bbg_Market_Data_CL.xlsm]data!R409C17</stp>
        <tr r="Q409" s="1"/>
      </tp>
      <tp>
        <v>49.96</v>
        <stp/>
        <stp>##V3_BDHV12</stp>
        <stp>CL2 Comdty</stp>
        <stp>VOLATILITY_30D</stp>
        <stp>28/08/2015</stp>
        <stp>28/08/2015</stp>
        <stp>[Bbg_Market_Data_CL.xlsm]data!R402C18</stp>
        <tr r="R402" s="1"/>
      </tp>
      <tp t="s">
        <v>#N/A Requesting Data...</v>
        <stp/>
        <stp>##V3_BDHV12</stp>
        <stp>CL1 Comdty</stp>
        <stp>VOLATILITY_30D</stp>
        <stp>18/08/2015</stp>
        <stp>18/08/2015</stp>
        <stp>[Bbg_Market_Data_CL.xlsm]data!R410C18</stp>
        <tr r="R410" s="1"/>
      </tp>
      <tp>
        <v>35.81</v>
        <stp/>
        <stp>##V3_BDHV12</stp>
        <stp>CL2 Comdty</stp>
        <stp>VOLATILITY_10D</stp>
        <stp>29/08/2016</stp>
        <stp>29/08/2016</stp>
        <stp>[Bbg_Market_Data_CL.xlsm]data!R154C17</stp>
        <tr r="Q154" s="1"/>
      </tp>
      <tp t="s">
        <v>#N/A Requesting Data...</v>
        <stp/>
        <stp>##V3_BDHV12</stp>
        <stp>CL1 Comdty</stp>
        <stp>VOLATILITY_10D</stp>
        <stp>09/09/2016</stp>
        <stp>09/09/2016</stp>
        <stp>[Bbg_Market_Data_CL.xlsm]data!R146C17</stp>
        <tr r="Q146" s="1"/>
      </tp>
      <tp t="s">
        <v>#N/A Requesting Data...</v>
        <stp/>
        <stp>##V3_BDHV12</stp>
        <stp>CL1 Comdty</stp>
        <stp>VOLATILITY_10D</stp>
        <stp>19/08/2016</stp>
        <stp>19/08/2016</stp>
        <stp>[Bbg_Market_Data_CL.xlsm]data!R160C17</stp>
        <tr r="Q160" s="1"/>
      </tp>
      <tp t="s">
        <v>#N/A Requesting Data...</v>
        <stp/>
        <stp>##V3_BDHV12</stp>
        <stp>CL1 Comdty</stp>
        <stp>VOLATILITY_30D</stp>
        <stp>08/09/2015</stp>
        <stp>08/09/2015</stp>
        <stp>[Bbg_Market_Data_CL.xlsm]data!R396C18</stp>
        <tr r="R396" s="1"/>
      </tp>
      <tp>
        <v>41.21</v>
        <stp/>
        <stp>##V3_BDHV12</stp>
        <stp>CL2 Comdty</stp>
        <stp>VOLATILITY_30D</stp>
        <stp>09/08/2016</stp>
        <stp>09/08/2016</stp>
        <stp>[Bbg_Market_Data_CL.xlsm]data!R168C18</stp>
        <tr r="R168" s="1"/>
      </tp>
      <tp>
        <v>54.46</v>
        <stp/>
        <stp>##V3_BDHV12</stp>
        <stp>CL2 Comdty</stp>
        <stp>VOLATILITY_10D</stp>
        <stp>18/09/2015</stp>
        <stp>18/09/2015</stp>
        <stp>[Bbg_Market_Data_CL.xlsm]data!R388C17</stp>
        <tr r="Q388" s="1"/>
      </tp>
      <tp t="s">
        <v>#N/A Requesting Data...</v>
        <stp/>
        <stp>##V3_BDHV12</stp>
        <stp>CL1 Comdty</stp>
        <stp>VOLATILITY_10D</stp>
        <stp>28/09/2015</stp>
        <stp>28/09/2015</stp>
        <stp>[Bbg_Market_Data_CL.xlsm]data!R382C17</stp>
        <tr r="Q382" s="1"/>
      </tp>
      <tp>
        <v>40.19</v>
        <stp/>
        <stp>##V3_BDHV12</stp>
        <stp>CL2 Comdty</stp>
        <stp>VOLATILITY_30D</stp>
        <stp>19/09/2016</stp>
        <stp>19/09/2016</stp>
        <stp>[Bbg_Market_Data_CL.xlsm]data!R140C18</stp>
        <tr r="R140" s="1"/>
      </tp>
      <tp t="s">
        <v>#N/A Requesting Data...</v>
        <stp/>
        <stp>##V3_BDHV12</stp>
        <stp>CL1 Comdty</stp>
        <stp>VOLATILITY_30D</stp>
        <stp>29/09/2016</stp>
        <stp>29/09/2016</stp>
        <stp>[Bbg_Market_Data_CL.xlsm]data!R132C18</stp>
        <tr r="R132" s="1"/>
      </tp>
      <tp>
        <v>51.12</v>
        <stp/>
        <stp>##V3_BDHV12</stp>
        <stp>CL2 Comdty</stp>
        <stp>VOLATILITY_10D</stp>
        <stp>28/09/2016</stp>
        <stp>28/09/2016</stp>
        <stp>[Bbg_Market_Data_CL.xlsm]data!R133C17</stp>
        <tr r="Q133" s="1"/>
      </tp>
      <tp>
        <v>65.47</v>
        <stp/>
        <stp>##V3_BDHV12</stp>
        <stp>CL2 Comdty</stp>
        <stp>VOLATILITY_30D</stp>
        <stp>29/09/2015</stp>
        <stp>29/09/2015</stp>
        <stp>[Bbg_Market_Data_CL.xlsm]data!R381C18</stp>
        <tr r="R381" s="1"/>
      </tp>
      <tp>
        <v>37.65</v>
        <stp/>
        <stp>##V3_BDHV12</stp>
        <stp>CL2 Comdty</stp>
        <stp>VOLATILITY_30D</stp>
        <stp>18/08/2016</stp>
        <stp>18/08/2016</stp>
        <stp>[Bbg_Market_Data_CL.xlsm]data!R161C18</stp>
        <tr r="R161" s="1"/>
      </tp>
      <tp>
        <v>92.87</v>
        <stp/>
        <stp>##V3_BDHV12</stp>
        <stp>CL2 Comdty</stp>
        <stp>VOLATILITY_10D</stp>
        <stp>09/09/2015</stp>
        <stp>09/09/2015</stp>
        <stp>[Bbg_Market_Data_CL.xlsm]data!R395C17</stp>
        <tr r="Q395" s="1"/>
      </tp>
      <tp>
        <v>39.67</v>
        <stp/>
        <stp>##V3_BDHV12</stp>
        <stp>CL2 Comdty</stp>
        <stp>VOLATILITY_30D</stp>
        <stp>08/09/2016</stp>
        <stp>08/09/2016</stp>
        <stp>[Bbg_Market_Data_CL.xlsm]data!R147C18</stp>
        <tr r="R147" s="1"/>
      </tp>
      <tp t="s">
        <v>#N/A Requesting Data...</v>
        <stp/>
        <stp>##V3_BDHV12</stp>
        <stp>CL1 Comdty</stp>
        <stp>VOLATILITY_10D</stp>
        <stp>06/06/2016</stp>
        <stp>06/06/2016</stp>
        <stp>[Bbg_Market_Data_CL.xlsm]data!R212C17</stp>
        <tr r="Q212" s="1"/>
      </tp>
      <tp>
        <v>32.270000000000003</v>
        <stp/>
        <stp>##V3_BDHV12</stp>
        <stp>CL2 Comdty</stp>
        <stp>VOLATILITY_10D</stp>
        <stp>06/05/2016</stp>
        <stp>06/05/2016</stp>
        <stp>[Bbg_Market_Data_CL.xlsm]data!R232C17</stp>
        <tr r="Q232" s="1"/>
      </tp>
      <tp t="s">
        <v>#N/A Requesting Data...</v>
        <stp/>
        <stp>##V3_BDHV12</stp>
        <stp>CL1 Comdty</stp>
        <stp>VOLATILITY_10D</stp>
        <stp>26/04/2016</stp>
        <stp>26/04/2016</stp>
        <stp>[Bbg_Market_Data_CL.xlsm]data!R240C17</stp>
        <tr r="Q240" s="1"/>
      </tp>
      <tp t="s">
        <v>#N/A Requesting Data...</v>
        <stp/>
        <stp>##V3_BDHV12</stp>
        <stp>CL1 Comdty</stp>
        <stp>VOLATILITY_10D</stp>
        <stp>25/07/2016</stp>
        <stp>25/07/2016</stp>
        <stp>[Bbg_Market_Data_CL.xlsm]data!R178C17</stp>
        <tr r="Q178" s="1"/>
      </tp>
      <tp t="s">
        <v>#N/A Requesting Data...</v>
        <stp/>
        <stp>##V3_BDHV12</stp>
        <stp>CL1 Comdty</stp>
        <stp>VOLATILITY_30D</stp>
        <stp>05/07/2016</stp>
        <stp>05/07/2016</stp>
        <stp>[Bbg_Market_Data_CL.xlsm]data!R192C18</stp>
        <tr r="R192" s="1"/>
      </tp>
      <tp>
        <v>55.22</v>
        <stp/>
        <stp>##V3_BDHV12</stp>
        <stp>CL2 Comdty</stp>
        <stp>VOLATILITY_10D</stp>
        <stp>15/07/2016</stp>
        <stp>15/07/2016</stp>
        <stp>[Bbg_Market_Data_CL.xlsm]data!R184C17</stp>
        <tr r="Q184" s="1"/>
      </tp>
      <tp t="s">
        <v>#N/A Requesting Data...</v>
        <stp/>
        <stp>##V3_BDHV12</stp>
        <stp>CL1 Comdty</stp>
        <stp>VOLATILITY_30D</stp>
        <stp>06/04/2016</stp>
        <stp>06/04/2016</stp>
        <stp>[Bbg_Market_Data_CL.xlsm]data!R254C18</stp>
        <tr r="R254" s="1"/>
      </tp>
      <tp t="s">
        <v>#N/A Requesting Data...</v>
        <stp/>
        <stp>##V3_BDHV12</stp>
        <stp>CL1 Comdty</stp>
        <stp>VOLATILITY_30D</stp>
        <stp>16/05/2016</stp>
        <stp>16/05/2016</stp>
        <stp>[Bbg_Market_Data_CL.xlsm]data!R226C18</stp>
        <tr r="R226" s="1"/>
      </tp>
      <tp>
        <v>28.4</v>
        <stp/>
        <stp>##V3_BDHV12</stp>
        <stp>CL2 Comdty</stp>
        <stp>VOLATILITY_30D</stp>
        <stp>16/06/2016</stp>
        <stp>16/06/2016</stp>
        <stp>[Bbg_Market_Data_CL.xlsm]data!R204C18</stp>
        <tr r="R204" s="1"/>
      </tp>
      <tp>
        <v>31.13</v>
        <stp/>
        <stp>##V3_BDHV12</stp>
        <stp>CL2 Comdty</stp>
        <stp>VOLATILITY_30D</stp>
        <stp>26/05/2016</stp>
        <stp>26/05/2016</stp>
        <stp>[Bbg_Market_Data_CL.xlsm]data!R218C18</stp>
        <tr r="R218" s="1"/>
      </tp>
      <tp t="s">
        <v>#N/A Requesting Data...</v>
        <stp/>
        <stp>##V3_BDHV12</stp>
        <stp>CL1 Comdty</stp>
        <stp>VOLATILITY_10D</stp>
        <stp>27/05/2016</stp>
        <stp>27/05/2016</stp>
        <stp>[Bbg_Market_Data_CL.xlsm]data!R217C17</stp>
        <tr r="Q217" s="1"/>
      </tp>
      <tp t="s">
        <v>#N/A Requesting Data...</v>
        <stp/>
        <stp>##V3_BDHV12</stp>
        <stp>CL1 Comdty</stp>
        <stp>VOLATILITY_10D</stp>
        <stp>17/06/2016</stp>
        <stp>17/06/2016</stp>
        <stp>[Bbg_Market_Data_CL.xlsm]data!R203C17</stp>
        <tr r="Q203" s="1"/>
      </tp>
      <tp>
        <v>33.79</v>
        <stp/>
        <stp>##V3_BDHV12</stp>
        <stp>CL2 Comdty</stp>
        <stp>VOLATILITY_10D</stp>
        <stp>17/05/2016</stp>
        <stp>17/05/2016</stp>
        <stp>[Bbg_Market_Data_CL.xlsm]data!R225C17</stp>
        <tr r="Q225" s="1"/>
      </tp>
      <tp>
        <v>42.21</v>
        <stp/>
        <stp>##V3_BDHV12</stp>
        <stp>CL2 Comdty</stp>
        <stp>VOLATILITY_10D</stp>
        <stp>07/04/2016</stp>
        <stp>07/04/2016</stp>
        <stp>[Bbg_Market_Data_CL.xlsm]data!R253C17</stp>
        <tr r="Q253" s="1"/>
      </tp>
      <tp t="s">
        <v>#N/A Requesting Data...</v>
        <stp/>
        <stp>##V3_BDHV12</stp>
        <stp>CL1 Comdty</stp>
        <stp>VOLATILITY_30D</stp>
        <stp>14/07/2016</stp>
        <stp>14/07/2016</stp>
        <stp>[Bbg_Market_Data_CL.xlsm]data!R185C18</stp>
        <tr r="R185" s="1"/>
      </tp>
      <tp t="s">
        <v>#N/A Requesting Data...</v>
        <stp/>
        <stp>##V3_BDHV12</stp>
        <stp>CL1 Comdty</stp>
        <stp>VOLATILITY_10D</stp>
        <stp>24/06/2016</stp>
        <stp>24/06/2016</stp>
        <stp>[Bbg_Market_Data_CL.xlsm]data!R198C17</stp>
        <tr r="Q198" s="1"/>
      </tp>
      <tp>
        <v>43.74</v>
        <stp/>
        <stp>##V3_BDHV12</stp>
        <stp>CL2 Comdty</stp>
        <stp>VOLATILITY_30D</stp>
        <stp>27/04/2016</stp>
        <stp>27/04/2016</stp>
        <stp>[Bbg_Market_Data_CL.xlsm]data!R239C18</stp>
        <tr r="R239" s="1"/>
      </tp>
      <tp>
        <v>26.69</v>
        <stp/>
        <stp>##V3_BDHV12</stp>
        <stp>CL2 Comdty</stp>
        <stp>VOLATILITY_30D</stp>
        <stp>07/06/2016</stp>
        <stp>07/06/2016</stp>
        <stp>[Bbg_Market_Data_CL.xlsm]data!R211C18</stp>
        <tr r="R211" s="1"/>
      </tp>
      <tp>
        <v>27.08</v>
        <stp/>
        <stp>##V3_BDHV12</stp>
        <stp>CL2 Comdty</stp>
        <stp>VOLATILITY_10D</stp>
        <stp>14/06/2016</stp>
        <stp>14/06/2016</stp>
        <stp>[Bbg_Market_Data_CL.xlsm]data!R206C17</stp>
        <tr r="Q206" s="1"/>
      </tp>
      <tp>
        <v>20.86</v>
        <stp/>
        <stp>##V3_BDHV12</stp>
        <stp>CL2 Comdty</stp>
        <stp>VOLATILITY_10D</stp>
        <stp>24/05/2016</stp>
        <stp>24/05/2016</stp>
        <stp>[Bbg_Market_Data_CL.xlsm]data!R220C17</stp>
        <tr r="Q220" s="1"/>
      </tp>
      <tp t="s">
        <v>#N/A Requesting Data...</v>
        <stp/>
        <stp>##V3_BDHV12</stp>
        <stp>CL1 Comdty</stp>
        <stp>VOLATILITY_10D</stp>
        <stp>04/04/2016</stp>
        <stp>04/04/2016</stp>
        <stp>[Bbg_Market_Data_CL.xlsm]data!R256C17</stp>
        <tr r="Q256" s="1"/>
      </tp>
      <tp>
        <v>48.14</v>
        <stp/>
        <stp>##V3_BDHV12</stp>
        <stp>CL2 Comdty</stp>
        <stp>VOLATILITY_10D</stp>
        <stp>27/06/2016</stp>
        <stp>27/06/2016</stp>
        <stp>[Bbg_Market_Data_CL.xlsm]data!R197C17</stp>
        <tr r="Q197" s="1"/>
      </tp>
      <tp t="s">
        <v>#N/A Requesting Data...</v>
        <stp/>
        <stp>##V3_BDHV12</stp>
        <stp>CL1 Comdty</stp>
        <stp>VOLATILITY_10D</stp>
        <stp>07/07/2016</stp>
        <stp>07/07/2016</stp>
        <stp>[Bbg_Market_Data_CL.xlsm]data!R190C17</stp>
        <tr r="Q190" s="1"/>
      </tp>
      <tp t="s">
        <v>#N/A Requesting Data...</v>
        <stp/>
        <stp>##V3_BDHV12</stp>
        <stp>CL1 Comdty</stp>
        <stp>VOLATILITY_30D</stp>
        <stp>27/07/2016</stp>
        <stp>27/07/2016</stp>
        <stp>[Bbg_Market_Data_CL.xlsm]data!R176C18</stp>
        <tr r="R176" s="1"/>
      </tp>
      <tp>
        <v>49.78</v>
        <stp/>
        <stp>##V3_BDHV12</stp>
        <stp>CL2 Comdty</stp>
        <stp>VOLATILITY_30D</stp>
        <stp>14/04/2016</stp>
        <stp>14/04/2016</stp>
        <stp>[Bbg_Market_Data_CL.xlsm]data!R248C18</stp>
        <tr r="R248" s="1"/>
      </tp>
      <tp>
        <v>41.74</v>
        <stp/>
        <stp>##V3_BDHV12</stp>
        <stp>CL2 Comdty</stp>
        <stp>VOLATILITY_30D</stp>
        <stp>04/05/2016</stp>
        <stp>04/05/2016</stp>
        <stp>[Bbg_Market_Data_CL.xlsm]data!R234C18</stp>
        <tr r="R234" s="1"/>
      </tp>
      <tp t="s">
        <v>#N/A Requesting Data...</v>
        <stp/>
        <stp>##V3_BDHV12</stp>
        <stp>CL1 Comdty</stp>
        <stp>VOLATILITY_10D</stp>
        <stp>05/05/2016</stp>
        <stp>05/05/2016</stp>
        <stp>[Bbg_Market_Data_CL.xlsm]data!R233C17</stp>
        <tr r="Q233" s="1"/>
      </tp>
      <tp t="s">
        <v>#N/A Requesting Data...</v>
        <stp/>
        <stp>##V3_BDHV12</stp>
        <stp>CL1 Comdty</stp>
        <stp>VOLATILITY_10D</stp>
        <stp>15/04/2016</stp>
        <stp>15/04/2016</stp>
        <stp>[Bbg_Market_Data_CL.xlsm]data!R247C17</stp>
        <tr r="Q247" s="1"/>
      </tp>
      <tp>
        <v>36.08</v>
        <stp/>
        <stp>##V3_BDHV12</stp>
        <stp>CL2 Comdty</stp>
        <stp>VOLATILITY_10D</stp>
        <stp>25/04/2016</stp>
        <stp>25/04/2016</stp>
        <stp>[Bbg_Market_Data_CL.xlsm]data!R241C17</stp>
        <tr r="Q241" s="1"/>
      </tp>
      <tp>
        <v>21.63</v>
        <stp/>
        <stp>##V3_BDHV12</stp>
        <stp>CL2 Comdty</stp>
        <stp>VOLATILITY_10D</stp>
        <stp>26/07/2016</stp>
        <stp>26/07/2016</stp>
        <stp>[Bbg_Market_Data_CL.xlsm]data!R177C17</stp>
        <tr r="Q177" s="1"/>
      </tp>
      <tp>
        <v>39.119999999999997</v>
        <stp/>
        <stp>##V3_BDHV12</stp>
        <stp>CL2 Comdty</stp>
        <stp>VOLATILITY_30D</stp>
        <stp>06/07/2016</stp>
        <stp>06/07/2016</stp>
        <stp>[Bbg_Market_Data_CL.xlsm]data!R191C18</stp>
        <tr r="R191" s="1"/>
      </tp>
      <tp>
        <v>43.42</v>
        <stp/>
        <stp>##V3_BDHV12</stp>
        <stp>CL2 Comdty</stp>
        <stp>VOLATILITY_30D</stp>
        <stp>05/04/2016</stp>
        <stp>05/04/2016</stp>
        <stp>[Bbg_Market_Data_CL.xlsm]data!R255C18</stp>
        <tr r="R255" s="1"/>
      </tp>
      <tp t="s">
        <v>#N/A Requesting Data...</v>
        <stp/>
        <stp>##V3_BDHV12</stp>
        <stp>CL1 Comdty</stp>
        <stp>VOLATILITY_30D</stp>
        <stp>15/06/2016</stp>
        <stp>15/06/2016</stp>
        <stp>[Bbg_Market_Data_CL.xlsm]data!R205C18</stp>
        <tr r="R205" s="1"/>
      </tp>
      <tp t="s">
        <v>#N/A Requesting Data...</v>
        <stp/>
        <stp>##V3_BDHV12</stp>
        <stp>CL1 Comdty</stp>
        <stp>VOLATILITY_30D</stp>
        <stp>25/05/2016</stp>
        <stp>25/05/2016</stp>
        <stp>[Bbg_Market_Data_CL.xlsm]data!R219C18</stp>
        <tr r="R219" s="1"/>
      </tp>
      <tp>
        <v>37.450000000000003</v>
        <stp/>
        <stp>##V3_BDHV12</stp>
        <stp>CL2 Comdty</stp>
        <stp>VOLATILITY_10D</stp>
        <stp>13/01/2016</stp>
        <stp>13/01/2016</stp>
        <stp>[Bbg_Market_Data_CL.xlsm]data!R310C17</stp>
        <tr r="Q310" s="1"/>
      </tp>
      <tp t="s">
        <v>#N/A Requesting Data...</v>
        <stp/>
        <stp>##V3_BDHV12</stp>
        <stp>CL1 Comdty</stp>
        <stp>VOLATILITY_10D</stp>
        <stp>01/11/2016</stp>
        <stp>01/11/2016</stp>
        <stp>[Bbg_Market_Data_CL.xlsm]data!R110C17</stp>
        <tr r="Q110" s="1"/>
      </tp>
      <tp>
        <v>23.62</v>
        <stp/>
        <stp>##V3_BDHV12</stp>
        <stp>CL2 Comdty</stp>
        <stp>VOLATILITY_10D</stp>
        <stp>21/10/2016</stp>
        <stp>21/10/2016</stp>
        <stp>[Bbg_Market_Data_CL.xlsm]data!R117C17</stp>
        <tr r="Q117" s="1"/>
      </tp>
      <tp t="s">
        <v>#N/A Requesting Data...</v>
        <stp/>
        <stp>##V3_BDHV12</stp>
        <stp>CL1 Comdty</stp>
        <stp>VOLATILITY_10D</stp>
        <stp>11/10/2016</stp>
        <stp>11/10/2016</stp>
        <stp>[Bbg_Market_Data_CL.xlsm]data!R125C17</stp>
        <tr r="Q125" s="1"/>
      </tp>
      <tp t="s">
        <v>#N/A Requesting Data...</v>
        <stp/>
        <stp>##V3_BDHV12</stp>
        <stp>CL1 Comdty</stp>
        <stp>VOLATILITY_10D</stp>
        <stp>10/12/2015</stp>
        <stp>10/12/2015</stp>
        <stp>[Bbg_Market_Data_CL.xlsm]data!R332C17</stp>
        <tr r="Q332" s="1"/>
      </tp>
      <tp t="s">
        <v>#N/A Requesting Data...</v>
        <stp/>
        <stp>##V3_BDHV12</stp>
        <stp>CL1 Comdty</stp>
        <stp>VOLATILITY_10D</stp>
        <stp>20/11/2015</stp>
        <stp>20/11/2015</stp>
        <stp>[Bbg_Market_Data_CL.xlsm]data!R345C17</stp>
        <tr r="Q345" s="1"/>
      </tp>
      <tp t="s">
        <v>#N/A Requesting Data...</v>
        <stp/>
        <stp>##V3_BDHV12</stp>
        <stp>CL2 Comdty</stp>
        <stp>VOLATILITY_10D</stp>
        <stp>17/06/2015</stp>
        <stp>17/06/2015</stp>
        <stp>[Bbg_Market_Data_CL.xlsm]data!R453C17</stp>
        <tr r="Q453" s="1"/>
      </tp>
      <tp>
        <v>33.25</v>
        <stp/>
        <stp>##V3_BDHV12</stp>
        <stp>CL2 Comdty</stp>
        <stp>VOLATILITY_10D</stp>
        <stp>10/11/2015</stp>
        <stp>10/11/2015</stp>
        <stp>[Bbg_Market_Data_CL.xlsm]data!R352C17</stp>
        <tr r="Q352" s="1"/>
      </tp>
      <tp t="s">
        <v>#N/A Requesting Data...</v>
        <stp/>
        <stp>##V3_BDHV12</stp>
        <stp>CL2 Comdty</stp>
        <stp>VOLATILITY_10D</stp>
        <stp>07/07/2015</stp>
        <stp>07/07/2015</stp>
        <stp>[Bbg_Market_Data_CL.xlsm]data!R440C17</stp>
        <tr r="Q440" s="1"/>
      </tp>
      <tp t="s">
        <v>#N/A Requesting Data...</v>
        <stp/>
        <stp>##V3_BDHV12</stp>
        <stp>CL1 Comdty</stp>
        <stp>VOLATILITY_10D</stp>
        <stp>30/10/2015</stp>
        <stp>30/10/2015</stp>
        <stp>[Bbg_Market_Data_CL.xlsm]data!R359C17</stp>
        <tr r="Q359" s="1"/>
      </tp>
      <tp t="s">
        <v>#N/A Requesting Data...</v>
        <stp/>
        <stp>##V3_BDHV12</stp>
        <stp>CL1 Comdty</stp>
        <stp>VOLATILITY_30D</stp>
        <stp>22/02/2016</stp>
        <stp>22/02/2016</stp>
        <stp>[Bbg_Market_Data_CL.xlsm]data!R285C18</stp>
        <tr r="R285" s="1"/>
      </tp>
      <tp t="s">
        <v>#N/A Requesting Data...</v>
        <stp/>
        <stp>##V3_BDHV12</stp>
        <stp>CL2 Comdty</stp>
        <stp>VOLATILITY_30D</stp>
        <stp>07/05/2015</stp>
        <stp>07/05/2015</stp>
        <stp>[Bbg_Market_Data_CL.xlsm]data!R481C18</stp>
        <tr r="R481" s="1"/>
      </tp>
      <tp>
        <v>74.5</v>
        <stp/>
        <stp>##V3_BDHV12</stp>
        <stp>CL2 Comdty</stp>
        <stp>VOLATILITY_30D</stp>
        <stp>12/02/2016</stp>
        <stp>12/02/2016</stp>
        <stp>[Bbg_Market_Data_CL.xlsm]data!R289C18</stp>
        <tr r="R289" s="1"/>
      </tp>
      <tp t="s">
        <v>#N/A Requesting Data...</v>
        <stp/>
        <stp>##V3_BDHV12</stp>
        <stp>CL1 Comdty</stp>
        <stp>VOLATILITY_30D</stp>
        <stp>27/04/2015</stp>
        <stp>27/04/2015</stp>
        <stp>[Bbg_Market_Data_CL.xlsm]data!R489C18</stp>
        <tr r="R489" s="1"/>
      </tp>
      <tp t="s">
        <v>#N/A Requesting Data...</v>
        <stp/>
        <stp>##V3_BDHV12</stp>
        <stp>CL2 Comdty</stp>
        <stp>VOLATILITY_30D</stp>
        <stp>17/04/2015</stp>
        <stp>17/04/2015</stp>
        <stp>[Bbg_Market_Data_CL.xlsm]data!R495C18</stp>
        <tr r="R495" s="1"/>
      </tp>
      <tp>
        <v>45.64</v>
        <stp/>
        <stp>##V3_BDHV12</stp>
        <stp>CL2 Comdty</stp>
        <stp>VOLATILITY_10D</stp>
        <stp>22/03/2016</stp>
        <stp>22/03/2016</stp>
        <stp>[Bbg_Market_Data_CL.xlsm]data!R264C17</stp>
        <tr r="Q264" s="1"/>
      </tp>
      <tp t="s">
        <v>#N/A Requesting Data...</v>
        <stp/>
        <stp>##V3_BDHV12</stp>
        <stp>CL2 Comdty</stp>
        <stp>VOLATILITY_10D</stp>
        <stp>27/05/2015</stp>
        <stp>27/05/2015</stp>
        <stp>[Bbg_Market_Data_CL.xlsm]data!R468C17</stp>
        <tr r="Q468" s="1"/>
      </tp>
      <tp t="s">
        <v>#N/A Requesting Data...</v>
        <stp/>
        <stp>##V3_BDHV12</stp>
        <stp>CL1 Comdty</stp>
        <stp>VOLATILITY_10D</stp>
        <stp>02/02/2016</stp>
        <stp>02/02/2016</stp>
        <stp>[Bbg_Market_Data_CL.xlsm]data!R297C17</stp>
        <tr r="Q297" s="1"/>
      </tp>
      <tp>
        <v>43.09</v>
        <stp/>
        <stp>##V3_BDHV12</stp>
        <stp>CL2 Comdty</stp>
        <stp>VOLATILITY_30D</stp>
        <stp>20/10/2015</stp>
        <stp>20/10/2015</stp>
        <stp>[Bbg_Market_Data_CL.xlsm]data!R367C18</stp>
        <tr r="R367" s="1"/>
      </tp>
      <tp>
        <v>71.78</v>
        <stp/>
        <stp>##V3_BDHV12</stp>
        <stp>CL2 Comdty</stp>
        <stp>VOLATILITY_30D</stp>
        <stp>02/03/2016</stp>
        <stp>02/03/2016</stp>
        <stp>[Bbg_Market_Data_CL.xlsm]data!R278C18</stp>
        <tr r="R278" s="1"/>
      </tp>
      <tp>
        <v>35.1</v>
        <stp/>
        <stp>##V3_BDHV12</stp>
        <stp>CL2 Comdty</stp>
        <stp>VOLATILITY_30D</stp>
        <stp>30/11/2015</stp>
        <stp>30/11/2015</stp>
        <stp>[Bbg_Market_Data_CL.xlsm]data!R340C18</stp>
        <tr r="R340" s="1"/>
      </tp>
      <tp t="s">
        <v>#N/A Requesting Data...</v>
        <stp/>
        <stp>##V3_BDHV12</stp>
        <stp>CL2 Comdty</stp>
        <stp>VOLATILITY_30D</stp>
        <stp>27/07/2015</stp>
        <stp>27/07/2015</stp>
        <stp>[Bbg_Market_Data_CL.xlsm]data!R426C18</stp>
        <tr r="R426" s="1"/>
      </tp>
      <tp t="s">
        <v>#N/A Requesting Data...</v>
        <stp/>
        <stp>##V3_BDHV12</stp>
        <stp>CL1 Comdty</stp>
        <stp>VOLATILITY_30D</stp>
        <stp>17/07/2015</stp>
        <stp>17/07/2015</stp>
        <stp>[Bbg_Market_Data_CL.xlsm]data!R432C18</stp>
        <tr r="R432" s="1"/>
      </tp>
      <tp t="s">
        <v>#N/A Requesting Data...</v>
        <stp/>
        <stp>##V3_BDHV12</stp>
        <stp>CL1 Comdty</stp>
        <stp>VOLATILITY_30D</stp>
        <stp>31/10/2016</stp>
        <stp>31/10/2016</stp>
        <stp>[Bbg_Market_Data_CL.xlsm]data!R111C18</stp>
        <tr r="R111" s="1"/>
      </tp>
      <tp t="s">
        <v>#N/A Requesting Data...</v>
        <stp/>
        <stp>##V3_BDHV12</stp>
        <stp>CL1 Comdty</stp>
        <stp>VOLATILITY_30D</stp>
        <stp>30/12/2015</stp>
        <stp>30/12/2015</stp>
        <stp>[Bbg_Market_Data_CL.xlsm]data!R319C18</stp>
        <tr r="R319" s="1"/>
      </tp>
      <tp t="s">
        <v>#N/A Requesting Data...</v>
        <stp/>
        <stp>##V3_BDHV12</stp>
        <stp>CL1 Comdty</stp>
        <stp>VOLATILITY_10D</stp>
        <stp>10/11/2016</stp>
        <stp>10/11/2016</stp>
        <stp>[Bbg_Market_Data_CL.xlsm]data!R103C17</stp>
        <tr r="Q103" s="1"/>
      </tp>
      <tp>
        <v>42.89</v>
        <stp/>
        <stp>##V3_BDHV12</stp>
        <stp>CL2 Comdty</stp>
        <stp>VOLATILITY_10D</stp>
        <stp>31/12/2015</stp>
        <stp>31/12/2015</stp>
        <stp>[Bbg_Market_Data_CL.xlsm]data!R318C17</stp>
        <tr r="Q318" s="1"/>
      </tp>
      <tp t="s">
        <v>#N/A Requesting Data...</v>
        <stp/>
        <stp>##V3_BDHV12</stp>
        <stp>CL2 Comdty</stp>
        <stp>VOLATILITY_10D</stp>
        <stp>16/07/2015</stp>
        <stp>16/07/2015</stp>
        <stp>[Bbg_Market_Data_CL.xlsm]data!R433C17</stp>
        <tr r="Q433" s="1"/>
      </tp>
      <tp t="s">
        <v>#N/A Requesting Data...</v>
        <stp/>
        <stp>##V3_BDHV12</stp>
        <stp>CL1 Comdty</stp>
        <stp>VOLATILITY_10D</stp>
        <stp>01/12/2015</stp>
        <stp>01/12/2015</stp>
        <stp>[Bbg_Market_Data_CL.xlsm]data!R339C17</stp>
        <tr r="Q339" s="1"/>
      </tp>
      <tp t="s">
        <v>#N/A Requesting Data...</v>
        <stp/>
        <stp>##V3_BDHV12</stp>
        <stp>CL1 Comdty</stp>
        <stp>VOLATILITY_10D</stp>
        <stp>21/10/2015</stp>
        <stp>21/10/2015</stp>
        <stp>[Bbg_Market_Data_CL.xlsm]data!R366C17</stp>
        <tr r="Q366" s="1"/>
      </tp>
      <tp t="s">
        <v>#N/A Requesting Data...</v>
        <stp/>
        <stp>##V3_BDHV12</stp>
        <stp>CL1 Comdty</stp>
        <stp>VOLATILITY_10D</stp>
        <stp>03/03/2016</stp>
        <stp>03/03/2016</stp>
        <stp>[Bbg_Market_Data_CL.xlsm]data!R277C17</stp>
        <tr r="Q277" s="1"/>
      </tp>
      <tp>
        <v>68.11</v>
        <stp/>
        <stp>##V3_BDHV12</stp>
        <stp>CL2 Comdty</stp>
        <stp>VOLATILITY_30D</stp>
        <stp>03/02/2016</stp>
        <stp>03/02/2016</stp>
        <stp>[Bbg_Market_Data_CL.xlsm]data!R296C18</stp>
        <tr r="R296" s="1"/>
      </tp>
      <tp t="s">
        <v>#N/A Requesting Data...</v>
        <stp/>
        <stp>##V3_BDHV12</stp>
        <stp>CL1 Comdty</stp>
        <stp>VOLATILITY_10D</stp>
        <stp>16/04/2015</stp>
        <stp>16/04/2015</stp>
        <stp>[Bbg_Market_Data_CL.xlsm]data!R496C17</stp>
        <tr r="Q496" s="1"/>
      </tp>
      <tp t="s">
        <v>#N/A Requesting Data...</v>
        <stp/>
        <stp>##V3_BDHV12</stp>
        <stp>CL1 Comdty</stp>
        <stp>VOLATILITY_30D</stp>
        <stp>23/03/2016</stp>
        <stp>23/03/2016</stp>
        <stp>[Bbg_Market_Data_CL.xlsm]data!R263C18</stp>
        <tr r="R263" s="1"/>
      </tp>
      <tp t="s">
        <v>#N/A Requesting Data...</v>
        <stp/>
        <stp>##V3_BDHV12</stp>
        <stp>CL1 Comdty</stp>
        <stp>VOLATILITY_30D</stp>
        <stp>01/10/2015</stp>
        <stp>01/10/2015</stp>
        <stp>[Bbg_Market_Data_CL.xlsm]data!R379C18</stp>
        <tr r="R379" s="1"/>
      </tp>
      <tp t="s">
        <v>#N/A Requesting Data...</v>
        <stp/>
        <stp>##V3_BDHV12</stp>
        <stp>CL1 Comdty</stp>
        <stp>VOLATILITY_30D</stp>
        <stp>26/05/2015</stp>
        <stp>26/05/2015</stp>
        <stp>[Bbg_Market_Data_CL.xlsm]data!R469C18</stp>
        <tr r="R469" s="1"/>
      </tp>
      <tp t="s">
        <v>#N/A Requesting Data...</v>
        <stp/>
        <stp>##V3_BDHV12</stp>
        <stp>CL1 Comdty</stp>
        <stp>VOLATILITY_10D</stp>
        <stp>06/05/2015</stp>
        <stp>06/05/2015</stp>
        <stp>[Bbg_Market_Data_CL.xlsm]data!R482C17</stp>
        <tr r="Q482" s="1"/>
      </tp>
      <tp>
        <v>76.95</v>
        <stp/>
        <stp>##V3_BDHV12</stp>
        <stp>CL2 Comdty</stp>
        <stp>VOLATILITY_10D</stp>
        <stp>23/02/2016</stp>
        <stp>23/02/2016</stp>
        <stp>[Bbg_Market_Data_CL.xlsm]data!R284C17</stp>
        <tr r="Q284" s="1"/>
      </tp>
      <tp t="s">
        <v>#N/A Requesting Data...</v>
        <stp/>
        <stp>##V3_BDHV12</stp>
        <stp>CL2 Comdty</stp>
        <stp>VOLATILITY_30D</stp>
        <stp>26/06/2015</stp>
        <stp>26/06/2015</stp>
        <stp>[Bbg_Market_Data_CL.xlsm]data!R446C18</stp>
        <tr r="R446" s="1"/>
      </tp>
      <tp t="s">
        <v>#N/A Requesting Data...</v>
        <stp/>
        <stp>##V3_BDHV12</stp>
        <stp>CL1 Comdty</stp>
        <stp>VOLATILITY_30D</stp>
        <stp>06/07/2015</stp>
        <stp>06/07/2015</stp>
        <stp>[Bbg_Market_Data_CL.xlsm]data!R441C18</stp>
        <tr r="R441" s="1"/>
      </tp>
      <tp t="s">
        <v>#N/A Requesting Data...</v>
        <stp/>
        <stp>##V3_BDHV12</stp>
        <stp>CL1 Comdty</stp>
        <stp>VOLATILITY_30D</stp>
        <stp>16/06/2015</stp>
        <stp>16/06/2015</stp>
        <stp>[Bbg_Market_Data_CL.xlsm]data!R454C18</stp>
        <tr r="R454" s="1"/>
      </tp>
      <tp>
        <v>36.020000000000003</v>
        <stp/>
        <stp>##V3_BDHV12</stp>
        <stp>CL2 Comdty</stp>
        <stp>VOLATILITY_30D</stp>
        <stp>11/12/2015</stp>
        <stp>11/12/2015</stp>
        <stp>[Bbg_Market_Data_CL.xlsm]data!R331C18</stp>
        <tr r="R331" s="1"/>
      </tp>
      <tp t="s">
        <v>#N/A Requesting Data...</v>
        <stp/>
        <stp>##V3_BDHV12</stp>
        <stp>CL1 Comdty</stp>
        <stp>VOLATILITY_30D</stp>
        <stp>21/12/2015</stp>
        <stp>21/12/2015</stp>
        <stp>[Bbg_Market_Data_CL.xlsm]data!R325C18</stp>
        <tr r="R325" s="1"/>
      </tp>
      <tp>
        <v>58.7</v>
        <stp/>
        <stp>##V3_BDHV12</stp>
        <stp>CL2 Comdty</stp>
        <stp>VOLATILITY_30D</stp>
        <stp>22/01/2016</stp>
        <stp>22/01/2016</stp>
        <stp>[Bbg_Market_Data_CL.xlsm]data!R304C18</stp>
        <tr r="R304" s="1"/>
      </tp>
      <tp t="s">
        <v>#N/A Requesting Data...</v>
        <stp/>
        <stp>##V3_BDHV12</stp>
        <stp>CL1 Comdty</stp>
        <stp>VOLATILITY_30D</stp>
        <stp>20/10/2016</stp>
        <stp>20/10/2016</stp>
        <stp>[Bbg_Market_Data_CL.xlsm]data!R118C18</stp>
        <tr r="R118" s="1"/>
      </tp>
      <tp t="s">
        <v>#N/A Requesting Data...</v>
        <stp/>
        <stp>##V3_BDHV12</stp>
        <stp>CL1 Comdty</stp>
        <stp>VOLATILITY_30D</stp>
        <stp>12/01/2016</stp>
        <stp>12/01/2016</stp>
        <stp>[Bbg_Market_Data_CL.xlsm]data!R311C18</stp>
        <tr r="R311" s="1"/>
      </tp>
      <tp t="s">
        <v>#N/A Requesting Data...</v>
        <stp/>
        <stp>##V3_BDHV12</stp>
        <stp>CL1 Comdty</stp>
        <stp>VOLATILITY_10D</stp>
        <stp>15/07/2015</stp>
        <stp>15/07/2015</stp>
        <stp>[Bbg_Market_Data_CL.xlsm]data!R434C17</stp>
        <tr r="Q434" s="1"/>
      </tp>
      <tp>
        <v>47.99</v>
        <stp/>
        <stp>##V3_BDHV12</stp>
        <stp>CL2 Comdty</stp>
        <stp>VOLATILITY_10D</stp>
        <stp>03/10/2016</stp>
        <stp>03/10/2016</stp>
        <stp>[Bbg_Market_Data_CL.xlsm]data!R130C17</stp>
        <tr r="Q130" s="1"/>
      </tp>
      <tp>
        <v>37.31</v>
        <stp/>
        <stp>##V3_BDHV12</stp>
        <stp>CL2 Comdty</stp>
        <stp>VOLATILITY_10D</stp>
        <stp>02/12/2015</stp>
        <stp>02/12/2015</stp>
        <stp>[Bbg_Market_Data_CL.xlsm]data!R338C17</stp>
        <tr r="Q338" s="1"/>
      </tp>
      <tp t="s">
        <v>#N/A Requesting Data...</v>
        <stp/>
        <stp>##V3_BDHV12</stp>
        <stp>CL1 Comdty</stp>
        <stp>VOLATILITY_10D</stp>
        <stp>30/03/2016</stp>
        <stp>30/03/2016</stp>
        <stp>[Bbg_Market_Data_CL.xlsm]data!R259C17</stp>
        <tr r="Q259" s="1"/>
      </tp>
      <tp t="s">
        <v>#N/A Requesting Data...</v>
        <stp/>
        <stp>##V3_BDHV12</stp>
        <stp>CL1 Comdty</stp>
        <stp>VOLATILITY_10D</stp>
        <stp>02/11/2015</stp>
        <stp>02/11/2015</stp>
        <stp>[Bbg_Market_Data_CL.xlsm]data!R358C17</stp>
        <tr r="Q358" s="1"/>
      </tp>
      <tp>
        <v>33.15</v>
        <stp/>
        <stp>##V3_BDHV12</stp>
        <stp>CL2 Comdty</stp>
        <stp>VOLATILITY_10D</stp>
        <stp>22/10/2015</stp>
        <stp>22/10/2015</stp>
        <stp>[Bbg_Market_Data_CL.xlsm]data!R365C17</stp>
        <tr r="Q365" s="1"/>
      </tp>
      <tp t="s">
        <v>#N/A Requesting Data...</v>
        <stp/>
        <stp>##V3_BDHV12</stp>
        <stp>CL1 Comdty</stp>
        <stp>VOLATILITY_10D</stp>
        <stp>05/06/2015</stp>
        <stp>05/06/2015</stp>
        <stp>[Bbg_Market_Data_CL.xlsm]data!R461C17</stp>
        <tr r="Q461" s="1"/>
      </tp>
      <tp>
        <v>67.099999999999994</v>
        <stp/>
        <stp>##V3_BDHV12</stp>
        <stp>CL2 Comdty</stp>
        <stp>VOLATILITY_10D</stp>
        <stp>10/02/2016</stp>
        <stp>10/02/2016</stp>
        <stp>[Bbg_Market_Data_CL.xlsm]data!R291C17</stp>
        <tr r="Q291" s="1"/>
      </tp>
      <tp t="s">
        <v>#N/A Requesting Data...</v>
        <stp/>
        <stp>##V3_BDHV12</stp>
        <stp>CL2 Comdty</stp>
        <stp>VOLATILITY_10D</stp>
        <stp>15/04/2015</stp>
        <stp>15/04/2015</stp>
        <stp>[Bbg_Market_Data_CL.xlsm]data!R497C17</stp>
        <tr r="Q497" s="1"/>
      </tp>
      <tp>
        <v>64.11</v>
        <stp/>
        <stp>##V3_BDHV12</stp>
        <stp>CL2 Comdty</stp>
        <stp>VOLATILITY_30D</stp>
        <stp>02/10/2015</stp>
        <stp>02/10/2015</stp>
        <stp>[Bbg_Market_Data_CL.xlsm]data!R378C18</stp>
        <tr r="R378" s="1"/>
      </tp>
      <tp t="s">
        <v>#N/A Requesting Data...</v>
        <stp/>
        <stp>##V3_BDHV12</stp>
        <stp>CL1 Comdty</stp>
        <stp>VOLATILITY_30D</stp>
        <stp>15/05/2015</stp>
        <stp>15/05/2015</stp>
        <stp>[Bbg_Market_Data_CL.xlsm]data!R475C18</stp>
        <tr r="R475" s="1"/>
      </tp>
      <tp t="s">
        <v>#N/A Requesting Data...</v>
        <stp/>
        <stp>##V3_BDHV12</stp>
        <stp>CL1 Comdty</stp>
        <stp>VOLATILITY_30D</stp>
        <stp>10/03/2016</stp>
        <stp>10/03/2016</stp>
        <stp>[Bbg_Market_Data_CL.xlsm]data!R272C18</stp>
        <tr r="R272" s="1"/>
      </tp>
      <tp t="s">
        <v>#N/A Requesting Data...</v>
        <stp/>
        <stp>##V3_BDHV12</stp>
        <stp>CL2 Comdty</stp>
        <stp>VOLATILITY_10D</stp>
        <stp>05/05/2015</stp>
        <stp>05/05/2015</stp>
        <stp>[Bbg_Market_Data_CL.xlsm]data!R483C17</stp>
        <tr r="Q483" s="1"/>
      </tp>
      <tp t="s">
        <v>#N/A Requesting Data...</v>
        <stp/>
        <stp>##V3_BDHV12</stp>
        <stp>CL1 Comdty</stp>
        <stp>VOLATILITY_30D</stp>
        <stp>25/06/2015</stp>
        <stp>25/06/2015</stp>
        <stp>[Bbg_Market_Data_CL.xlsm]data!R447C18</stp>
        <tr r="R447" s="1"/>
      </tp>
      <tp>
        <v>39.64</v>
        <stp/>
        <stp>##V3_BDHV12</stp>
        <stp>CL2 Comdty</stp>
        <stp>VOLATILITY_30D</stp>
        <stp>12/11/2015</stp>
        <stp>12/11/2015</stp>
        <stp>[Bbg_Market_Data_CL.xlsm]data!R351C18</stp>
        <tr r="R351" s="1"/>
      </tp>
      <tp t="s">
        <v>#N/A Requesting Data...</v>
        <stp/>
        <stp>##V3_BDHV12</stp>
        <stp>CL2 Comdty</stp>
        <stp>VOLATILITY_30D</stp>
        <stp>15/06/2015</stp>
        <stp>15/06/2015</stp>
        <stp>[Bbg_Market_Data_CL.xlsm]data!R455C18</stp>
        <tr r="R455" s="1"/>
      </tp>
      <tp t="s">
        <v>#N/A Requesting Data...</v>
        <stp/>
        <stp>##V3_BDHV12</stp>
        <stp>CL1 Comdty</stp>
        <stp>VOLATILITY_30D</stp>
        <stp>13/10/2016</stp>
        <stp>13/10/2016</stp>
        <stp>[Bbg_Market_Data_CL.xlsm]data!R123C18</stp>
        <tr r="R123" s="1"/>
      </tp>
      <tp>
        <v>37.93</v>
        <stp/>
        <stp>##V3_BDHV12</stp>
        <stp>CL2 Comdty</stp>
        <stp>VOLATILITY_30D</stp>
        <stp>22/12/2015</stp>
        <stp>22/12/2015</stp>
        <stp>[Bbg_Market_Data_CL.xlsm]data!R324C18</stp>
        <tr r="R324" s="1"/>
      </tp>
      <tp t="s">
        <v>#N/A Requesting Data...</v>
        <stp/>
        <stp>##V3_BDHV12</stp>
        <stp>CL1 Comdty</stp>
        <stp>VOLATILITY_30D</stp>
        <stp>21/01/2016</stp>
        <stp>21/01/2016</stp>
        <stp>[Bbg_Market_Data_CL.xlsm]data!R305C18</stp>
        <tr r="R305" s="1"/>
      </tp>
      <tp>
        <v>43.11</v>
        <stp/>
        <stp>##V3_BDHV12</stp>
        <stp>CL2 Comdty</stp>
        <stp>VOLATILITY_30D</stp>
        <stp>11/01/2016</stp>
        <stp>11/01/2016</stp>
        <stp>[Bbg_Market_Data_CL.xlsm]data!R312C18</stp>
        <tr r="R312" s="1"/>
      </tp>
      <tp t="s">
        <v>#N/A Requesting Data...</v>
        <stp/>
        <stp>##V3_BDHV12</stp>
        <stp>CL1 Comdty</stp>
        <stp>VOLATILITY_30D</stp>
        <stp>03/11/2016</stp>
        <stp>03/11/2016</stp>
        <stp>[Bbg_Market_Data_CL.xlsm]data!R108C18</stp>
        <tr r="R108" s="1"/>
      </tp>
      <tp>
        <v>27.9</v>
        <stp/>
        <stp>##V3_BDHV12</stp>
        <stp>CL2 Comdty</stp>
        <stp>VOLATILITY_10D</stp>
        <stp>02/11/2016</stp>
        <stp>02/11/2016</stp>
        <stp>[Bbg_Market_Data_CL.xlsm]data!R109C17</stp>
        <tr r="Q109" s="1"/>
      </tp>
      <tp>
        <v>41.11</v>
        <stp/>
        <stp>##V3_BDHV12</stp>
        <stp>CL2 Comdty</stp>
        <stp>VOLATILITY_10D</stp>
        <stp>20/01/2016</stp>
        <stp>20/01/2016</stp>
        <stp>[Bbg_Market_Data_CL.xlsm]data!R306C17</stp>
        <tr r="Q306" s="1"/>
      </tp>
      <tp t="s">
        <v>#N/A Requesting Data...</v>
        <stp/>
        <stp>##V3_BDHV12</stp>
        <stp>CL1 Comdty</stp>
        <stp>VOLATILITY_10D</stp>
        <stp>23/12/2015</stp>
        <stp>23/12/2015</stp>
        <stp>[Bbg_Market_Data_CL.xlsm]data!R323C17</stp>
        <tr r="Q323" s="1"/>
      </tp>
      <tp>
        <v>24.71</v>
        <stp/>
        <stp>##V3_BDHV12</stp>
        <stp>CL2 Comdty</stp>
        <stp>VOLATILITY_10D</stp>
        <stp>12/10/2016</stp>
        <stp>12/10/2016</stp>
        <stp>[Bbg_Market_Data_CL.xlsm]data!R124C17</stp>
        <tr r="Q124" s="1"/>
      </tp>
      <tp>
        <v>34.78</v>
        <stp/>
        <stp>##V3_BDHV12</stp>
        <stp>CL2 Comdty</stp>
        <stp>VOLATILITY_10D</stp>
        <stp>23/11/2015</stp>
        <stp>23/11/2015</stp>
        <stp>[Bbg_Market_Data_CL.xlsm]data!R344C17</stp>
        <tr r="Q344" s="1"/>
      </tp>
      <tp t="s">
        <v>#N/A Requesting Data...</v>
        <stp/>
        <stp>##V3_BDHV12</stp>
        <stp>CL1 Comdty</stp>
        <stp>VOLATILITY_10D</stp>
        <stp>13/11/2015</stp>
        <stp>13/11/2015</stp>
        <stp>[Bbg_Market_Data_CL.xlsm]data!R350C17</stp>
        <tr r="Q350" s="1"/>
      </tp>
      <tp t="s">
        <v>#N/A Requesting Data...</v>
        <stp/>
        <stp>##V3_BDHV12</stp>
        <stp>CL2 Comdty</stp>
        <stp>VOLATILITY_10D</stp>
        <stp>24/06/2015</stp>
        <stp>24/06/2015</stp>
        <stp>[Bbg_Market_Data_CL.xlsm]data!R448C17</stp>
        <tr r="Q448" s="1"/>
      </tp>
      <tp>
        <v>46.46</v>
        <stp/>
        <stp>##V3_BDHV12</stp>
        <stp>CL2 Comdty</stp>
        <stp>VOLATILITY_10D</stp>
        <stp>11/03/2016</stp>
        <stp>11/03/2016</stp>
        <stp>[Bbg_Market_Data_CL.xlsm]data!R271C17</stp>
        <tr r="Q271" s="1"/>
      </tp>
      <tp t="s">
        <v>#N/A Requesting Data...</v>
        <stp/>
        <stp>##V3_BDHV12</stp>
        <stp>CL2 Comdty</stp>
        <stp>VOLATILITY_10D</stp>
        <stp>14/05/2015</stp>
        <stp>14/05/2015</stp>
        <stp>[Bbg_Market_Data_CL.xlsm]data!R476C17</stp>
        <tr r="Q476" s="1"/>
      </tp>
      <tp t="s">
        <v>#N/A Requesting Data...</v>
        <stp/>
        <stp>##V3_BDHV12</stp>
        <stp>CL1 Comdty</stp>
        <stp>VOLATILITY_30D</stp>
        <stp>04/05/2015</stp>
        <stp>04/05/2015</stp>
        <stp>[Bbg_Market_Data_CL.xlsm]data!R484C18</stp>
        <tr r="R484" s="1"/>
      </tp>
      <tp t="s">
        <v>#N/A Requesting Data...</v>
        <stp/>
        <stp>##V3_BDHV12</stp>
        <stp>CL1 Comdty</stp>
        <stp>VOLATILITY_30D</stp>
        <stp>11/02/2016</stp>
        <stp>11/02/2016</stp>
        <stp>[Bbg_Market_Data_CL.xlsm]data!R290C18</stp>
        <tr r="R290" s="1"/>
      </tp>
      <tp t="s">
        <v>#N/A Requesting Data...</v>
        <stp/>
        <stp>##V3_BDHV12</stp>
        <stp>CL2 Comdty</stp>
        <stp>VOLATILITY_30D</stp>
        <stp>24/04/2015</stp>
        <stp>24/04/2015</stp>
        <stp>[Bbg_Market_Data_CL.xlsm]data!R490C18</stp>
        <tr r="R490" s="1"/>
      </tp>
      <tp t="s">
        <v>#N/A Requesting Data...</v>
        <stp/>
        <stp>##V3_BDHV12</stp>
        <stp>CL1 Comdty</stp>
        <stp>VOLATILITY_10D</stp>
        <stp>21/03/2016</stp>
        <stp>21/03/2016</stp>
        <stp>[Bbg_Market_Data_CL.xlsm]data!R265C17</stp>
        <tr r="Q265" s="1"/>
      </tp>
      <tp t="s">
        <v>#N/A Requesting Data...</v>
        <stp/>
        <stp>##V3_BDHV12</stp>
        <stp>CL1 Comdty</stp>
        <stp>VOLATILITY_30D</stp>
        <stp>14/04/2015</stp>
        <stp>14/04/2015</stp>
        <stp>[Bbg_Market_Data_CL.xlsm]data!R498C18</stp>
        <tr r="R498" s="1"/>
      </tp>
      <tp>
        <v>44.04</v>
        <stp/>
        <stp>##V3_BDHV12</stp>
        <stp>CL2 Comdty</stp>
        <stp>VOLATILITY_30D</stp>
        <stp>13/10/2015</stp>
        <stp>13/10/2015</stp>
        <stp>[Bbg_Market_Data_CL.xlsm]data!R372C18</stp>
        <tr r="R372" s="1"/>
      </tp>
      <tp t="s">
        <v>#N/A Requesting Data...</v>
        <stp/>
        <stp>##V3_BDHV12</stp>
        <stp>CL2 Comdty</stp>
        <stp>VOLATILITY_30D</stp>
        <stp>04/06/2015</stp>
        <stp>04/06/2015</stp>
        <stp>[Bbg_Market_Data_CL.xlsm]data!R462C18</stp>
        <tr r="R462" s="1"/>
      </tp>
      <tp>
        <v>86.22</v>
        <stp/>
        <stp>##V3_BDHV12</stp>
        <stp>CL2 Comdty</stp>
        <stp>VOLATILITY_10D</stp>
        <stp>01/02/2016</stp>
        <stp>01/02/2016</stp>
        <stp>[Bbg_Market_Data_CL.xlsm]data!R298C17</stp>
        <tr r="Q298" s="1"/>
      </tp>
      <tp t="s">
        <v>#N/A Requesting Data...</v>
        <stp/>
        <stp>##V3_BDHV12</stp>
        <stp>CL1 Comdty</stp>
        <stp>VOLATILITY_30D</stp>
        <stp>23/10/2015</stp>
        <stp>23/10/2015</stp>
        <stp>[Bbg_Market_Data_CL.xlsm]data!R364C18</stp>
        <tr r="R364" s="1"/>
      </tp>
      <tp t="s">
        <v>#N/A Requesting Data...</v>
        <stp/>
        <stp>##V3_BDHV12</stp>
        <stp>CL1 Comdty</stp>
        <stp>VOLATILITY_30D</stp>
        <stp>01/03/2016</stp>
        <stp>01/03/2016</stp>
        <stp>[Bbg_Market_Data_CL.xlsm]data!R279C18</stp>
        <tr r="R279" s="1"/>
      </tp>
      <tp>
        <v>37.630000000000003</v>
        <stp/>
        <stp>##V3_BDHV12</stp>
        <stp>CL2 Comdty</stp>
        <stp>VOLATILITY_30D</stp>
        <stp>03/11/2015</stp>
        <stp>03/11/2015</stp>
        <stp>[Bbg_Market_Data_CL.xlsm]data!R357C18</stp>
        <tr r="R357" s="1"/>
      </tp>
      <tp>
        <v>43.92</v>
        <stp/>
        <stp>##V3_BDHV12</stp>
        <stp>CL2 Comdty</stp>
        <stp>VOLATILITY_30D</stp>
        <stp>31/03/2016</stp>
        <stp>31/03/2016</stp>
        <stp>[Bbg_Market_Data_CL.xlsm]data!R258C18</stp>
        <tr r="R258" s="1"/>
      </tp>
      <tp t="s">
        <v>#N/A Requesting Data...</v>
        <stp/>
        <stp>##V3_BDHV12</stp>
        <stp>CL1 Comdty</stp>
        <stp>VOLATILITY_30D</stp>
        <stp>24/07/2015</stp>
        <stp>24/07/2015</stp>
        <stp>[Bbg_Market_Data_CL.xlsm]data!R427C18</stp>
        <tr r="R427" s="1"/>
      </tp>
      <tp t="s">
        <v>#N/A Requesting Data...</v>
        <stp/>
        <stp>##V3_BDHV12</stp>
        <stp>CL1 Comdty</stp>
        <stp>VOLATILITY_30D</stp>
        <stp>03/12/2015</stp>
        <stp>03/12/2015</stp>
        <stp>[Bbg_Market_Data_CL.xlsm]data!R337C18</stp>
        <tr r="R337" s="1"/>
      </tp>
      <tp t="s">
        <v>#N/A Requesting Data...</v>
        <stp/>
        <stp>##V3_BDHV12</stp>
        <stp>CL2 Comdty</stp>
        <stp>VOLATILITY_30D</stp>
        <stp>14/07/2015</stp>
        <stp>14/07/2015</stp>
        <stp>[Bbg_Market_Data_CL.xlsm]data!R435C18</stp>
        <tr r="R435" s="1"/>
      </tp>
      <tp t="s">
        <v>#N/A Requesting Data...</v>
        <stp/>
        <stp>##V3_BDHV12</stp>
        <stp>CL1 Comdty</stp>
        <stp>VOLUME_TOTAL_CALL</stp>
        <stp>23/12/2016</stp>
        <stp>23/12/2016</stp>
        <stp>[Bbg_Market_Data_CL.xlsm]data!R74C15</stp>
        <tr r="O74" s="1"/>
      </tp>
      <tp t="s">
        <v>#N/A Requesting Data...</v>
        <stp/>
        <stp>##V3_BDHV12</stp>
        <stp>CL1 Comdty</stp>
        <stp>VOLUME_TOTAL_CALL</stp>
        <stp>03/01/2017</stp>
        <stp>03/01/2017</stp>
        <stp>[Bbg_Market_Data_CL.xlsm]data!R69C15</stp>
        <tr r="O69" s="1"/>
      </tp>
      <tp t="s">
        <v>#N/A Requesting Data...</v>
        <stp/>
        <stp>##V3_BDHV12</stp>
        <stp>CL2 Comdty</stp>
        <stp>VOLUME_TOTAL_CALL</stp>
        <stp>23/12/2016</stp>
        <stp>23/12/2016</stp>
        <stp>[Bbg_Market_Data_CL.xlsm]data!R74C15</stp>
        <tr r="O74" s="1"/>
      </tp>
      <tp t="s">
        <v>#N/A Requesting Data...</v>
        <stp/>
        <stp>##V3_BDHV12</stp>
        <stp>CL2 Comdty</stp>
        <stp>VOLUME_TOTAL_CALL</stp>
        <stp>03/01/2017</stp>
        <stp>03/01/2017</stp>
        <stp>[Bbg_Market_Data_CL.xlsm]data!R69C15</stp>
        <tr r="O69" s="1"/>
      </tp>
      <tp t="s">
        <v>#N/A Requesting Data...</v>
        <stp/>
        <stp>##V3_BDHV12</stp>
        <stp>CL2 Comdty</stp>
        <stp>VOLUME_TOTAL_CALL</stp>
        <stp>23/03/2017</stp>
        <stp>23/03/2017</stp>
        <stp>[Bbg_Market_Data_CL.xlsm]data!R14C15</stp>
        <tr r="O14" s="1"/>
      </tp>
      <tp t="s">
        <v>#N/A Requesting Data...</v>
        <stp/>
        <stp>##V3_BDHV12</stp>
        <stp>CL1 Comdty</stp>
        <stp>VOLUME_TOTAL_CALL</stp>
        <stp>23/03/2017</stp>
        <stp>23/03/2017</stp>
        <stp>[Bbg_Market_Data_CL.xlsm]data!R14C15</stp>
        <tr r="O14" s="1"/>
      </tp>
      <tp t="s">
        <v>#N/A Requesting Data...</v>
        <stp/>
        <stp>##V3_BDHV12</stp>
        <stp>CL1 Comdty</stp>
        <stp>VOLUME_TOTAL_CALL</stp>
        <stp>22/12/2016</stp>
        <stp>22/12/2016</stp>
        <stp>[Bbg_Market_Data_CL.xlsm]data!R75C15</stp>
        <tr r="O75" s="1"/>
      </tp>
      <tp t="s">
        <v>#N/A Requesting Data...</v>
        <stp/>
        <stp>##V3_BDHV12</stp>
        <stp>CL2 Comdty</stp>
        <stp>VOLUME_TOTAL_CALL</stp>
        <stp>22/12/2016</stp>
        <stp>22/12/2016</stp>
        <stp>[Bbg_Market_Data_CL.xlsm]data!R75C15</stp>
        <tr r="O75" s="1"/>
      </tp>
      <tp t="s">
        <v>#N/A Requesting Data...</v>
        <stp/>
        <stp>##V3_BDHV12</stp>
        <stp>CL2 Comdty</stp>
        <stp>VOLUME_TOTAL_CALL</stp>
        <stp>22/03/2017</stp>
        <stp>22/03/2017</stp>
        <stp>[Bbg_Market_Data_CL.xlsm]data!R15C15</stp>
        <tr r="O15" s="1"/>
      </tp>
      <tp t="s">
        <v>#N/A Requesting Data...</v>
        <stp/>
        <stp>##V3_BDHV12</stp>
        <stp>CL1 Comdty</stp>
        <stp>VOLUME_TOTAL_CALL</stp>
        <stp>22/03/2017</stp>
        <stp>22/03/2017</stp>
        <stp>[Bbg_Market_Data_CL.xlsm]data!R15C15</stp>
        <tr r="O15" s="1"/>
      </tp>
      <tp t="s">
        <v>#N/A Requesting Data...</v>
        <stp/>
        <stp>##V3_BDHV12</stp>
        <stp>CL2 Comdty</stp>
        <stp>VOLUME_TOTAL_CALL</stp>
        <stp>21/12/2016</stp>
        <stp>21/12/2016</stp>
        <stp>[Bbg_Market_Data_CL.xlsm]data!R76C15</stp>
        <tr r="O76" s="1"/>
      </tp>
      <tp t="s">
        <v>#N/A Requesting Data...</v>
        <stp/>
        <stp>##V3_BDHV12</stp>
        <stp>CL1 Comdty</stp>
        <stp>VOLUME_TOTAL_CALL</stp>
        <stp>21/12/2016</stp>
        <stp>21/12/2016</stp>
        <stp>[Bbg_Market_Data_CL.xlsm]data!R76C15</stp>
        <tr r="O76" s="1"/>
      </tp>
      <tp t="s">
        <v>#N/A Requesting Data...</v>
        <stp/>
        <stp>##V3_BDHV12</stp>
        <stp>CL1 Comdty</stp>
        <stp>VOLUME_TOTAL_CALL</stp>
        <stp>21/03/2017</stp>
        <stp>21/03/2017</stp>
        <stp>[Bbg_Market_Data_CL.xlsm]data!R16C15</stp>
        <tr r="O16" s="1"/>
      </tp>
      <tp t="s">
        <v>#N/A Requesting Data...</v>
        <stp/>
        <stp>##V3_BDHV12</stp>
        <stp>CL2 Comdty</stp>
        <stp>VOLUME_TOTAL_CALL</stp>
        <stp>21/03/2017</stp>
        <stp>21/03/2017</stp>
        <stp>[Bbg_Market_Data_CL.xlsm]data!R16C15</stp>
        <tr r="O16" s="1"/>
      </tp>
      <tp t="s">
        <v>#N/A Requesting Data...</v>
        <stp/>
        <stp>##V3_BDHV12</stp>
        <stp>CL2 Comdty</stp>
        <stp>VOLUME_TOTAL_CALL</stp>
        <stp>20/12/2016</stp>
        <stp>20/12/2016</stp>
        <stp>[Bbg_Market_Data_CL.xlsm]data!R77C15</stp>
        <tr r="O77" s="1"/>
      </tp>
      <tp t="s">
        <v>#N/A Requesting Data...</v>
        <stp/>
        <stp>##V3_BDHV12</stp>
        <stp>CL1 Comdty</stp>
        <stp>VOLUME_TOTAL_CALL</stp>
        <stp>20/12/2016</stp>
        <stp>20/12/2016</stp>
        <stp>[Bbg_Market_Data_CL.xlsm]data!R77C15</stp>
        <tr r="O77" s="1"/>
      </tp>
      <tp t="s">
        <v>#N/A Requesting Data...</v>
        <stp/>
        <stp>##V3_BDHV12</stp>
        <stp>CL1 Comdty</stp>
        <stp>VOLUME_TOTAL_CALL</stp>
        <stp>20/03/2017</stp>
        <stp>20/03/2017</stp>
        <stp>[Bbg_Market_Data_CL.xlsm]data!R17C15</stp>
        <tr r="O17" s="1"/>
      </tp>
      <tp t="s">
        <v>#N/A Requesting Data...</v>
        <stp/>
        <stp>##V3_BDHV12</stp>
        <stp>CL2 Comdty</stp>
        <stp>VOLUME_TOTAL_CALL</stp>
        <stp>20/03/2017</stp>
        <stp>20/03/2017</stp>
        <stp>[Bbg_Market_Data_CL.xlsm]data!R17C15</stp>
        <tr r="O17" s="1"/>
      </tp>
      <tp t="s">
        <v>#N/A Requesting Data...</v>
        <stp/>
        <stp>##V3_BDHV12</stp>
        <stp>CL2 Comdty</stp>
        <stp>VOLUME_TOTAL_CALL</stp>
        <stp>27/03/2017</stp>
        <stp>27/03/2017</stp>
        <stp>[Bbg_Market_Data_CL.xlsm]data!R12C15</stp>
        <tr r="O12" s="1"/>
      </tp>
      <tp t="s">
        <v>#N/A Requesting Data...</v>
        <stp/>
        <stp>##V3_BDHV12</stp>
        <stp>CL1 Comdty</stp>
        <stp>VOLUME_TOTAL_CALL</stp>
        <stp>27/03/2017</stp>
        <stp>27/03/2017</stp>
        <stp>[Bbg_Market_Data_CL.xlsm]data!R12C15</stp>
        <tr r="O12" s="1"/>
      </tp>
      <tp t="s">
        <v>#N/A Requesting Data...</v>
        <stp/>
        <stp>##V3_BDHV12</stp>
        <stp>CL1 Comdty</stp>
        <stp>VOLUME_TOTAL_CALL</stp>
        <stp>27/12/2016</stp>
        <stp>27/12/2016</stp>
        <stp>[Bbg_Market_Data_CL.xlsm]data!R73C15</stp>
        <tr r="O73" s="1"/>
      </tp>
      <tp t="s">
        <v>#N/A Requesting Data...</v>
        <stp/>
        <stp>##V3_BDHV12</stp>
        <stp>CL2 Comdty</stp>
        <stp>VOLUME_TOTAL_CALL</stp>
        <stp>27/12/2016</stp>
        <stp>27/12/2016</stp>
        <stp>[Bbg_Market_Data_CL.xlsm]data!R73C15</stp>
        <tr r="O73" s="1"/>
      </tp>
      <tp t="s">
        <v>#N/A Requesting Data...</v>
        <stp/>
        <stp>##V3_BDHV12</stp>
        <stp>CL2 Comdty</stp>
        <stp>VOLUME_TOTAL_CALL</stp>
        <stp>17/11/2016</stp>
        <stp>17/11/2016</stp>
        <stp>[Bbg_Market_Data_CL.xlsm]data!R99C15</stp>
        <tr r="O99" s="1"/>
      </tp>
      <tp t="s">
        <v>#N/A Requesting Data...</v>
        <stp/>
        <stp>##V3_BDHV12</stp>
        <stp>CL1 Comdty</stp>
        <stp>VOLUME_TOTAL_CALL</stp>
        <stp>17/11/2016</stp>
        <stp>17/11/2016</stp>
        <stp>[Bbg_Market_Data_CL.xlsm]data!R99C15</stp>
        <tr r="O99" s="1"/>
      </tp>
      <tp t="s">
        <v>#N/A Requesting Data...</v>
        <stp/>
        <stp>##V3_BDHV12</stp>
        <stp>CL1 Comdty</stp>
        <stp>VOLUME_TOTAL_CALL</stp>
        <stp>06/01/2017</stp>
        <stp>06/01/2017</stp>
        <stp>[Bbg_Market_Data_CL.xlsm]data!R66C15</stp>
        <tr r="O66" s="1"/>
      </tp>
      <tp t="s">
        <v>#N/A Requesting Data...</v>
        <stp/>
        <stp>##V3_BDHV12</stp>
        <stp>CL2 Comdty</stp>
        <stp>VOLUME_TOTAL_CALL</stp>
        <stp>06/01/2017</stp>
        <stp>06/01/2017</stp>
        <stp>[Bbg_Market_Data_CL.xlsm]data!R66C15</stp>
        <tr r="O66" s="1"/>
      </tp>
      <tp t="s">
        <v>#N/A Requesting Data...</v>
        <stp/>
        <stp>##V3_BDHV12</stp>
        <stp>CL2 Comdty</stp>
        <stp>VOLUME_TOTAL_CALL</stp>
        <stp>05/01/2017</stp>
        <stp>05/01/2017</stp>
        <stp>[Bbg_Market_Data_CL.xlsm]data!R67C15</stp>
        <tr r="O67" s="1"/>
      </tp>
      <tp t="s">
        <v>#N/A Requesting Data...</v>
        <stp/>
        <stp>##V3_BDHV12</stp>
        <stp>CL1 Comdty</stp>
        <stp>VOLUME_TOTAL_CALL</stp>
        <stp>05/01/2017</stp>
        <stp>05/01/2017</stp>
        <stp>[Bbg_Market_Data_CL.xlsm]data!R67C15</stp>
        <tr r="O67" s="1"/>
      </tp>
      <tp t="s">
        <v>#N/A Requesting Data...</v>
        <stp/>
        <stp>##V3_BDHV12</stp>
        <stp>CL1 Comdty</stp>
        <stp>VOLUME_TOTAL_CALL</stp>
        <stp>24/03/2017</stp>
        <stp>24/03/2017</stp>
        <stp>[Bbg_Market_Data_CL.xlsm]data!R13C15</stp>
        <tr r="O13" s="1"/>
      </tp>
      <tp t="s">
        <v>#N/A Requesting Data...</v>
        <stp/>
        <stp>##V3_BDHV12</stp>
        <stp>CL2 Comdty</stp>
        <stp>VOLUME_TOTAL_CALL</stp>
        <stp>24/03/2017</stp>
        <stp>24/03/2017</stp>
        <stp>[Bbg_Market_Data_CL.xlsm]data!R13C15</stp>
        <tr r="O13" s="1"/>
      </tp>
      <tp t="s">
        <v>#N/A Requesting Data...</v>
        <stp/>
        <stp>##V3_BDHV12</stp>
        <stp>CL2 Comdty</stp>
        <stp>VOLUME_TOTAL_CALL</stp>
        <stp>04/01/2017</stp>
        <stp>04/01/2017</stp>
        <stp>[Bbg_Market_Data_CL.xlsm]data!R68C15</stp>
        <tr r="O68" s="1"/>
      </tp>
      <tp t="s">
        <v>#N/A Requesting Data...</v>
        <stp/>
        <stp>##V3_BDHV12</stp>
        <stp>CL1 Comdty</stp>
        <stp>VOLUME_TOTAL_CALL</stp>
        <stp>04/01/2017</stp>
        <stp>04/01/2017</stp>
        <stp>[Bbg_Market_Data_CL.xlsm]data!R68C15</stp>
        <tr r="O68" s="1"/>
      </tp>
      <tp t="s">
        <v>#N/A Requesting Data...</v>
        <stp/>
        <stp>##V3_BDHV12</stp>
        <stp>CL2 Comdty</stp>
        <stp>VOLUME_TOTAL_CALL</stp>
        <stp>09/01/2017</stp>
        <stp>09/01/2017</stp>
        <stp>[Bbg_Market_Data_CL.xlsm]data!R65C15</stp>
        <tr r="O65" s="1"/>
      </tp>
      <tp t="s">
        <v>#N/A Requesting Data...</v>
        <stp/>
        <stp>##V3_BDHV12</stp>
        <stp>CL2 Comdty</stp>
        <stp>VOLUME_TOTAL_CALL</stp>
        <stp>29/12/2016</stp>
        <stp>29/12/2016</stp>
        <stp>[Bbg_Market_Data_CL.xlsm]data!R71C15</stp>
        <tr r="O71" s="1"/>
      </tp>
      <tp t="s">
        <v>#N/A Requesting Data...</v>
        <stp/>
        <stp>##V3_BDHV12</stp>
        <stp>CL1 Comdty</stp>
        <stp>VOLUME_TOTAL_CALL</stp>
        <stp>09/01/2017</stp>
        <stp>09/01/2017</stp>
        <stp>[Bbg_Market_Data_CL.xlsm]data!R65C15</stp>
        <tr r="O65" s="1"/>
      </tp>
      <tp t="s">
        <v>#N/A Requesting Data...</v>
        <stp/>
        <stp>##V3_BDHV12</stp>
        <stp>CL1 Comdty</stp>
        <stp>VOLUME_TOTAL_CALL</stp>
        <stp>29/12/2016</stp>
        <stp>29/12/2016</stp>
        <stp>[Bbg_Market_Data_CL.xlsm]data!R71C15</stp>
        <tr r="O71" s="1"/>
      </tp>
      <tp t="s">
        <v>#N/A Requesting Data...</v>
        <stp/>
        <stp>##V3_BDHV12</stp>
        <stp>CL1 Comdty</stp>
        <stp>VOLUME_TOTAL_CALL</stp>
        <stp>29/03/2017</stp>
        <stp>29/03/2017</stp>
        <stp>[Bbg_Market_Data_CL.xlsm]data!R10C15</stp>
        <tr r="O10" s="1"/>
      </tp>
      <tp t="s">
        <v>#N/A Requesting Data...</v>
        <stp/>
        <stp>##V3_BDHV12</stp>
        <stp>CL2 Comdty</stp>
        <stp>VOLUME_TOTAL_CALL</stp>
        <stp>29/03/2017</stp>
        <stp>29/03/2017</stp>
        <stp>[Bbg_Market_Data_CL.xlsm]data!R10C15</stp>
        <tr r="O10" s="1"/>
      </tp>
      <tp t="s">
        <v>#N/A Requesting Data...</v>
        <stp/>
        <stp>##V3_BDHV12</stp>
        <stp>CL1 Comdty</stp>
        <stp>VOLUME_TOTAL_CALL</stp>
        <stp>18/11/2016</stp>
        <stp>18/11/2016</stp>
        <stp>[Bbg_Market_Data_CL.xlsm]data!R98C15</stp>
        <tr r="O98" s="1"/>
      </tp>
      <tp t="s">
        <v>#N/A Requesting Data...</v>
        <stp/>
        <stp>##V3_BDHV12</stp>
        <stp>CL2 Comdty</stp>
        <stp>VOLUME_TOTAL_CALL</stp>
        <stp>18/11/2016</stp>
        <stp>18/11/2016</stp>
        <stp>[Bbg_Market_Data_CL.xlsm]data!R98C15</stp>
        <tr r="O98" s="1"/>
      </tp>
      <tp t="s">
        <v>#N/A Requesting Data...</v>
        <stp/>
        <stp>##V3_BDHV12</stp>
        <stp>CL2 Comdty</stp>
        <stp>VOLUME_TOTAL_CALL</stp>
        <stp>28/12/2016</stp>
        <stp>28/12/2016</stp>
        <stp>[Bbg_Market_Data_CL.xlsm]data!R72C15</stp>
        <tr r="O72" s="1"/>
      </tp>
      <tp t="s">
        <v>#N/A Requesting Data...</v>
        <stp/>
        <stp>##V3_BDHV12</stp>
        <stp>CL1 Comdty</stp>
        <stp>VOLUME_TOTAL_CALL</stp>
        <stp>28/12/2016</stp>
        <stp>28/12/2016</stp>
        <stp>[Bbg_Market_Data_CL.xlsm]data!R72C15</stp>
        <tr r="O72" s="1"/>
      </tp>
      <tp t="s">
        <v>#N/A Requesting Data...</v>
        <stp/>
        <stp>##V3_BDHV12</stp>
        <stp>CL1 Comdty</stp>
        <stp>VOLUME_TOTAL_CALL</stp>
        <stp>28/03/2017</stp>
        <stp>28/03/2017</stp>
        <stp>[Bbg_Market_Data_CL.xlsm]data!R11C15</stp>
        <tr r="O11" s="1"/>
      </tp>
      <tp t="s">
        <v>#N/A Requesting Data...</v>
        <stp/>
        <stp>##V3_BDHV12</stp>
        <stp>CL2 Comdty</stp>
        <stp>VOLUME_TOTAL_CALL</stp>
        <stp>28/03/2017</stp>
        <stp>28/03/2017</stp>
        <stp>[Bbg_Market_Data_CL.xlsm]data!R11C15</stp>
        <tr r="O11" s="1"/>
      </tp>
      <tp t="s">
        <v>#N/A Requesting Data...</v>
        <stp/>
        <stp>##V3_BDHV12</stp>
        <stp>CL1 Comdty</stp>
        <stp>PX_LOW</stp>
        <stp>24/06/2015</stp>
        <stp>24/06/2015</stp>
        <stp>[Bbg_Market_Data_CL.xlsm]data!R448C7</stp>
        <tr r="G448" s="1"/>
      </tp>
      <tp>
        <v>47.39</v>
        <stp/>
        <stp>##V3_BDHV12</stp>
        <stp>CL2 Comdty</stp>
        <stp>PX_LOW</stp>
        <stp>24/06/2016</stp>
        <stp>24/06/2016</stp>
        <stp>[Bbg_Market_Data_CL.xlsm]data!R198C7</stp>
        <tr r="G198" s="1"/>
      </tp>
      <tp t="s">
        <v>#N/A Requesting Data...</v>
        <stp/>
        <stp>##V3_BDHV12</stp>
        <stp>CL1 Comdty</stp>
        <stp>PX_LOW</stp>
        <stp>09/09/2015</stp>
        <stp>09/09/2015</stp>
        <stp>[Bbg_Market_Data_CL.xlsm]data!R395C7</stp>
        <tr r="G395" s="1"/>
      </tp>
      <tp t="s">
        <v>#N/A Requesting Data...</v>
        <stp/>
        <stp>##V3_BDHV12</stp>
        <stp>CL2 Comdty</stp>
        <stp>PX_LOW</stp>
        <stp>24/06/2015</stp>
        <stp>24/06/2015</stp>
        <stp>[Bbg_Market_Data_CL.xlsm]data!R448C7</stp>
        <tr r="G448" s="1"/>
      </tp>
      <tp t="s">
        <v>#N/A Requesting Data...</v>
        <stp/>
        <stp>##V3_BDHV12</stp>
        <stp>CL1 Comdty</stp>
        <stp>PX_LOW</stp>
        <stp>24/06/2016</stp>
        <stp>24/06/2016</stp>
        <stp>[Bbg_Market_Data_CL.xlsm]data!R198C7</stp>
        <tr r="G198" s="1"/>
      </tp>
      <tp>
        <v>44.67</v>
        <stp/>
        <stp>##V3_BDHV12</stp>
        <stp>CL2 Comdty</stp>
        <stp>PX_LOW</stp>
        <stp>09/09/2015</stp>
        <stp>09/09/2015</stp>
        <stp>[Bbg_Market_Data_CL.xlsm]data!R395C7</stp>
        <tr r="G395" s="1"/>
      </tp>
      <tp t="s">
        <v>#N/A Requesting Data...</v>
        <stp/>
        <stp>##V3_BDHV12</stp>
        <stp>CL1 Comdty</stp>
        <stp>PX_LOW</stp>
        <stp>12/05/2016</stp>
        <stp>12/05/2016</stp>
        <stp>[Bbg_Market_Data_CL.xlsm]data!R228C7</stp>
        <tr r="G228" s="1"/>
      </tp>
      <tp t="s">
        <v>#N/A Requesting Data...</v>
        <stp/>
        <stp>##V3_BDHV12</stp>
        <stp>CL1 Comdty</stp>
        <stp>PX_LOW</stp>
        <stp>13/04/2016</stp>
        <stp>13/04/2016</stp>
        <stp>[Bbg_Market_Data_CL.xlsm]data!R249C7</stp>
        <tr r="G249" s="1"/>
      </tp>
      <tp t="s">
        <v>#N/A Requesting Data...</v>
        <stp/>
        <stp>##V3_BDHV12</stp>
        <stp>CL2 Comdty</stp>
        <stp>PX_LOW</stp>
        <stp>13/04/2015</stp>
        <stp>13/04/2015</stp>
        <stp>[Bbg_Market_Data_CL.xlsm]data!R499C7</stp>
        <tr r="G499" s="1"/>
      </tp>
      <tp t="s">
        <v>#N/A Requesting Data...</v>
        <stp/>
        <stp>##V3_BDHV12</stp>
        <stp>CL2 Comdty</stp>
        <stp>PX_LOW</stp>
        <stp>12/05/2015</stp>
        <stp>12/05/2015</stp>
        <stp>[Bbg_Market_Data_CL.xlsm]data!R478C7</stp>
        <tr r="G478" s="1"/>
      </tp>
      <tp t="s">
        <v>#N/A Requesting Data...</v>
        <stp/>
        <stp>##V3_BDHV12</stp>
        <stp>CL1 Comdty</stp>
        <stp>PX_LOW</stp>
        <stp>22/07/2016</stp>
        <stp>22/07/2016</stp>
        <stp>[Bbg_Market_Data_CL.xlsm]data!R179C7</stp>
        <tr r="G179" s="1"/>
      </tp>
      <tp t="s">
        <v>#N/A Requesting Data...</v>
        <stp/>
        <stp>##V3_BDHV12</stp>
        <stp>CL2 Comdty</stp>
        <stp>PX_LOW</stp>
        <stp>22/07/2015</stp>
        <stp>22/07/2015</stp>
        <stp>[Bbg_Market_Data_CL.xlsm]data!R429C7</stp>
        <tr r="G429" s="1"/>
      </tp>
      <tp>
        <v>44.42</v>
        <stp/>
        <stp>##V3_BDHV12</stp>
        <stp>CL2 Comdty</stp>
        <stp>PX_LOW</stp>
        <stp>22/07/2016</stp>
        <stp>22/07/2016</stp>
        <stp>[Bbg_Market_Data_CL.xlsm]data!R179C7</stp>
        <tr r="G179" s="1"/>
      </tp>
      <tp t="s">
        <v>#N/A Requesting Data...</v>
        <stp/>
        <stp>##V3_BDHV12</stp>
        <stp>CL1 Comdty</stp>
        <stp>PX_LOW</stp>
        <stp>22/07/2015</stp>
        <stp>22/07/2015</stp>
        <stp>[Bbg_Market_Data_CL.xlsm]data!R429C7</stp>
        <tr r="G429" s="1"/>
      </tp>
      <tp>
        <v>46.34</v>
        <stp/>
        <stp>##V3_BDHV12</stp>
        <stp>CL2 Comdty</stp>
        <stp>PX_LOW</stp>
        <stp>12/05/2016</stp>
        <stp>12/05/2016</stp>
        <stp>[Bbg_Market_Data_CL.xlsm]data!R228C7</stp>
        <tr r="G228" s="1"/>
      </tp>
      <tp>
        <v>42.58</v>
        <stp/>
        <stp>##V3_BDHV12</stp>
        <stp>CL2 Comdty</stp>
        <stp>PX_LOW</stp>
        <stp>13/04/2016</stp>
        <stp>13/04/2016</stp>
        <stp>[Bbg_Market_Data_CL.xlsm]data!R249C7</stp>
        <tr r="G249" s="1"/>
      </tp>
      <tp t="s">
        <v>#N/A Requesting Data...</v>
        <stp/>
        <stp>##V3_BDHV12</stp>
        <stp>CL1 Comdty</stp>
        <stp>PX_LOW</stp>
        <stp>13/04/2015</stp>
        <stp>13/04/2015</stp>
        <stp>[Bbg_Market_Data_CL.xlsm]data!R499C7</stp>
        <tr r="G499" s="1"/>
      </tp>
      <tp t="s">
        <v>#N/A Requesting Data...</v>
        <stp/>
        <stp>##V3_BDHV12</stp>
        <stp>CL1 Comdty</stp>
        <stp>PX_LOW</stp>
        <stp>12/05/2015</stp>
        <stp>12/05/2015</stp>
        <stp>[Bbg_Market_Data_CL.xlsm]data!R478C7</stp>
        <tr r="G478" s="1"/>
      </tp>
      <tp>
        <v>46.07</v>
        <stp/>
        <stp>##V3_BDHV12</stp>
        <stp>CL2 Comdty</stp>
        <stp>PX_LOW</stp>
        <stp>22/09/2016</stp>
        <stp>22/09/2016</stp>
        <stp>[Bbg_Market_Data_CL.xlsm]data!R137C7</stp>
        <tr r="G137" s="1"/>
      </tp>
      <tp>
        <v>45.03</v>
        <stp/>
        <stp>##V3_BDHV12</stp>
        <stp>CL2 Comdty</stp>
        <stp>PX_LOW</stp>
        <stp>21/09/2015</stp>
        <stp>21/09/2015</stp>
        <stp>[Bbg_Market_Data_CL.xlsm]data!R387C7</stp>
        <tr r="G387" s="1"/>
      </tp>
      <tp t="s">
        <v>#N/A Requesting Data...</v>
        <stp/>
        <stp>##V3_BDHV12</stp>
        <stp>CL1 Comdty</stp>
        <stp>PX_LOW</stp>
        <stp>13/09/2016</stp>
        <stp>13/09/2016</stp>
        <stp>[Bbg_Market_Data_CL.xlsm]data!R144C7</stp>
        <tr r="G144" s="1"/>
      </tp>
      <tp t="s">
        <v>#N/A Requesting Data...</v>
        <stp/>
        <stp>##V3_BDHV12</stp>
        <stp>CL1 Comdty</stp>
        <stp>PX_LOW</stp>
        <stp>12/08/2016</stp>
        <stp>12/08/2016</stp>
        <stp>[Bbg_Market_Data_CL.xlsm]data!R165C7</stp>
        <tr r="G165" s="1"/>
      </tp>
      <tp t="s">
        <v>#N/A Requesting Data...</v>
        <stp/>
        <stp>##V3_BDHV12</stp>
        <stp>CL1 Comdty</stp>
        <stp>PX_LOW</stp>
        <stp>10/09/2015</stp>
        <stp>10/09/2015</stp>
        <stp>[Bbg_Market_Data_CL.xlsm]data!R394C7</stp>
        <tr r="G394" s="1"/>
      </tp>
      <tp t="s">
        <v>#N/A Requesting Data...</v>
        <stp/>
        <stp>##V3_BDHV12</stp>
        <stp>CL1 Comdty</stp>
        <stp>PX_LOW</stp>
        <stp>11/08/2015</stp>
        <stp>11/08/2015</stp>
        <stp>[Bbg_Market_Data_CL.xlsm]data!R415C7</stp>
        <tr r="G415" s="1"/>
      </tp>
      <tp>
        <v>45.36</v>
        <stp/>
        <stp>##V3_BDHV12</stp>
        <stp>CL2 Comdty</stp>
        <stp>PX_LOW</stp>
        <stp>13/09/2016</stp>
        <stp>13/09/2016</stp>
        <stp>[Bbg_Market_Data_CL.xlsm]data!R144C7</stp>
        <tr r="G144" s="1"/>
      </tp>
      <tp>
        <v>44.03</v>
        <stp/>
        <stp>##V3_BDHV12</stp>
        <stp>CL2 Comdty</stp>
        <stp>PX_LOW</stp>
        <stp>12/08/2016</stp>
        <stp>12/08/2016</stp>
        <stp>[Bbg_Market_Data_CL.xlsm]data!R165C7</stp>
        <tr r="G165" s="1"/>
      </tp>
      <tp>
        <v>43.99</v>
        <stp/>
        <stp>##V3_BDHV12</stp>
        <stp>CL2 Comdty</stp>
        <stp>PX_LOW</stp>
        <stp>10/09/2015</stp>
        <stp>10/09/2015</stp>
        <stp>[Bbg_Market_Data_CL.xlsm]data!R394C7</stp>
        <tr r="G394" s="1"/>
      </tp>
      <tp>
        <v>43.53</v>
        <stp/>
        <stp>##V3_BDHV12</stp>
        <stp>CL2 Comdty</stp>
        <stp>PX_LOW</stp>
        <stp>11/08/2015</stp>
        <stp>11/08/2015</stp>
        <stp>[Bbg_Market_Data_CL.xlsm]data!R415C7</stp>
        <tr r="G415" s="1"/>
      </tp>
      <tp t="s">
        <v>#N/A Requesting Data...</v>
        <stp/>
        <stp>##V3_BDHV12</stp>
        <stp>CL1 Comdty</stp>
        <stp>PX_LOW</stp>
        <stp>22/09/2016</stp>
        <stp>22/09/2016</stp>
        <stp>[Bbg_Market_Data_CL.xlsm]data!R137C7</stp>
        <tr r="G137" s="1"/>
      </tp>
      <tp t="s">
        <v>#N/A Requesting Data...</v>
        <stp/>
        <stp>##V3_BDHV12</stp>
        <stp>CL1 Comdty</stp>
        <stp>PX_LOW</stp>
        <stp>21/09/2015</stp>
        <stp>21/09/2015</stp>
        <stp>[Bbg_Market_Data_CL.xlsm]data!R387C7</stp>
        <tr r="G387" s="1"/>
      </tp>
      <tp>
        <v>38.51</v>
        <stp/>
        <stp>##V3_BDHV12</stp>
        <stp>CL2 Comdty</stp>
        <stp>PX_LOW</stp>
        <stp>24/08/2015</stp>
        <stp>24/08/2015</stp>
        <stp>[Bbg_Market_Data_CL.xlsm]data!R406C7</stp>
        <tr r="G406" s="1"/>
      </tp>
      <tp t="s">
        <v>#N/A Requesting Data...</v>
        <stp/>
        <stp>##V3_BDHV12</stp>
        <stp>CL1 Comdty</stp>
        <stp>PX_LOW</stp>
        <stp>25/08/2016</stp>
        <stp>25/08/2016</stp>
        <stp>[Bbg_Market_Data_CL.xlsm]data!R156C7</stp>
        <tr r="G156" s="1"/>
      </tp>
      <tp>
        <v>47.12</v>
        <stp/>
        <stp>##V3_BDHV12</stp>
        <stp>CL2 Comdty</stp>
        <stp>PX_LOW</stp>
        <stp>25/08/2016</stp>
        <stp>25/08/2016</stp>
        <stp>[Bbg_Market_Data_CL.xlsm]data!R156C7</stp>
        <tr r="G156" s="1"/>
      </tp>
      <tp t="s">
        <v>#N/A Requesting Data...</v>
        <stp/>
        <stp>##V3_BDHV12</stp>
        <stp>CL1 Comdty</stp>
        <stp>PX_LOW</stp>
        <stp>24/08/2015</stp>
        <stp>24/08/2015</stp>
        <stp>[Bbg_Market_Data_CL.xlsm]data!R406C7</stp>
        <tr r="G406" s="1"/>
      </tp>
      <tp t="s">
        <v>#N/A Requesting Data...</v>
        <stp/>
        <stp>##V3_BDHV12</stp>
        <stp>CL1 Comdty</stp>
        <stp>30DAY_IMPVOL_100.0%MNY_DF</stp>
        <stp>28/11/2016</stp>
        <stp>28/11/2016</stp>
        <stp>[Bbg_Market_Data_CL.xlsm]data!R92C20</stp>
        <tr r="T92" s="1"/>
      </tp>
      <tp t="s">
        <v>#N/A Requesting Data...</v>
        <stp/>
        <stp>##V3_BDHV12</stp>
        <stp>CL1 Comdty</stp>
        <stp>30DAY_IMPVOL_110.0%MNY_DF</stp>
        <stp>29/11/2016</stp>
        <stp>29/11/2016</stp>
        <stp>[Bbg_Market_Data_CL.xlsm]data!R91C22</stp>
        <tr r="V91" s="1"/>
      </tp>
      <tp t="s">
        <v>#N/A Requesting Data...</v>
        <stp/>
        <stp>##V3_BDHV12</stp>
        <stp>CL1 Comdty</stp>
        <stp>30DAY_IMPVOL_110.0%MNY_DF</stp>
        <stp>19/12/2016</stp>
        <stp>19/12/2016</stp>
        <stp>[Bbg_Market_Data_CL.xlsm]data!R77C22</stp>
        <tr r="V77" s="1"/>
      </tp>
      <tp t="s">
        <v>#N/A Requesting Data...</v>
        <stp/>
        <stp>##V3_BDHV12</stp>
        <stp>CL1 Comdty</stp>
        <stp>30DAY_IMPVOL_100.0%MNY_DF</stp>
        <stp>08/02/2017</stp>
        <stp>08/02/2017</stp>
        <stp>[Bbg_Market_Data_CL.xlsm]data!R43C20</stp>
        <tr r="T43" s="1"/>
      </tp>
      <tp t="s">
        <v>#N/A Requesting Data...</v>
        <stp/>
        <stp>##V3_BDHV12</stp>
        <stp>CL1 Comdty</stp>
        <stp>30DAY_IMPVOL_110.0%MNY_DF</stp>
        <stp>09/02/2017</stp>
        <stp>09/02/2017</stp>
        <stp>[Bbg_Market_Data_CL.xlsm]data!R42C22</stp>
        <tr r="V42" s="1"/>
      </tp>
      <tp t="s">
        <v>#N/A Requesting Data...</v>
        <stp/>
        <stp>##V3_BDHV12</stp>
        <stp>CL1 Comdty</stp>
        <stp>30DAY_IMPVOL_100.0%MNY_DF</stp>
        <stp>29/11/2016</stp>
        <stp>29/11/2016</stp>
        <stp>[Bbg_Market_Data_CL.xlsm]data!R91C20</stp>
        <tr r="T91" s="1"/>
      </tp>
      <tp t="s">
        <v>#N/A Requesting Data...</v>
        <stp/>
        <stp>##V3_BDHV12</stp>
        <stp>CL1 Comdty</stp>
        <stp>30DAY_IMPVOL_110.0%MNY_DF</stp>
        <stp>28/11/2016</stp>
        <stp>28/11/2016</stp>
        <stp>[Bbg_Market_Data_CL.xlsm]data!R92C22</stp>
        <tr r="V92" s="1"/>
      </tp>
      <tp t="s">
        <v>#N/A Requesting Data...</v>
        <stp/>
        <stp>##V3_BDHV12</stp>
        <stp>CL1 Comdty</stp>
        <stp>30DAY_IMPVOL_100.0%MNY_DF</stp>
        <stp>09/02/2017</stp>
        <stp>09/02/2017</stp>
        <stp>[Bbg_Market_Data_CL.xlsm]data!R42C20</stp>
        <tr r="T42" s="1"/>
      </tp>
      <tp t="s">
        <v>#N/A Requesting Data...</v>
        <stp/>
        <stp>##V3_BDHV12</stp>
        <stp>CL1 Comdty</stp>
        <stp>30DAY_IMPVOL_100.0%MNY_DF</stp>
        <stp>19/12/2016</stp>
        <stp>19/12/2016</stp>
        <stp>[Bbg_Market_Data_CL.xlsm]data!R77C20</stp>
        <tr r="T77" s="1"/>
      </tp>
      <tp t="s">
        <v>#N/A Requesting Data...</v>
        <stp/>
        <stp>##V3_BDHV12</stp>
        <stp>CL1 Comdty</stp>
        <stp>30DAY_IMPVOL_110.0%MNY_DF</stp>
        <stp>08/02/2017</stp>
        <stp>08/02/2017</stp>
        <stp>[Bbg_Market_Data_CL.xlsm]data!R43C22</stp>
        <tr r="V43" s="1"/>
      </tp>
      <tp t="s">
        <v>#N/A Requesting Data...</v>
        <stp/>
        <stp>##V3_BDHV12</stp>
        <stp>CL1 Comdty</stp>
        <stp>30DAY_IMPVOL_105.0%MNY_DF</stp>
        <stp>09/02/2017</stp>
        <stp>09/02/2017</stp>
        <stp>[Bbg_Market_Data_CL.xlsm]data!R42C19</stp>
        <tr r="S42" s="1"/>
      </tp>
      <tp t="s">
        <v>#N/A Requesting Data...</v>
        <stp/>
        <stp>##V3_BDHV12</stp>
        <stp>CL1 Comdty</stp>
        <stp>30DAY_IMPVOL_105.0%MNY_DF</stp>
        <stp>19/12/2016</stp>
        <stp>19/12/2016</stp>
        <stp>[Bbg_Market_Data_CL.xlsm]data!R77C19</stp>
        <tr r="S77" s="1"/>
      </tp>
      <tp t="s">
        <v>#N/A Requesting Data...</v>
        <stp/>
        <stp>##V3_BDHV12</stp>
        <stp>CL1 Comdty</stp>
        <stp>30DAY_IMPVOL_105.0%MNY_DF</stp>
        <stp>29/11/2016</stp>
        <stp>29/11/2016</stp>
        <stp>[Bbg_Market_Data_CL.xlsm]data!R91C19</stp>
        <tr r="S91" s="1"/>
      </tp>
      <tp t="s">
        <v>#N/A Requesting Data...</v>
        <stp/>
        <stp>##V3_BDHV12</stp>
        <stp>CL1 Comdty</stp>
        <stp>30DAY_IMPVOL_105.0%MNY_DF</stp>
        <stp>08/02/2017</stp>
        <stp>08/02/2017</stp>
        <stp>[Bbg_Market_Data_CL.xlsm]data!R43C19</stp>
        <tr r="S43" s="1"/>
      </tp>
      <tp t="s">
        <v>#N/A Requesting Data...</v>
        <stp/>
        <stp>##V3_BDHV12</stp>
        <stp>CL1 Comdty</stp>
        <stp>30DAY_IMPVOL_105.0%MNY_DF</stp>
        <stp>28/11/2016</stp>
        <stp>28/11/2016</stp>
        <stp>[Bbg_Market_Data_CL.xlsm]data!R92C19</stp>
        <tr r="S92" s="1"/>
      </tp>
      <tp t="s">
        <v>#N/A Requesting Data...</v>
        <stp/>
        <stp>##V3_BDHV12</stp>
        <stp>CL1 Comdty</stp>
        <stp>30DAY_IMPVOL_100.0%MNY_DF</stp>
        <stp>10/03/2017</stp>
        <stp>10/03/2017</stp>
        <stp>[Bbg_Market_Data_CL.xlsm]data!R22C20</stp>
        <tr r="T22" s="1"/>
      </tp>
      <tp t="s">
        <v>#N/A Requesting Data...</v>
        <stp/>
        <stp>##V3_BDHV12</stp>
        <stp>CL1 Comdty</stp>
        <stp>30DAY_IMPVOL_100.0%MNY_DF</stp>
        <stp>30/01/2017</stp>
        <stp>30/01/2017</stp>
        <stp>[Bbg_Market_Data_CL.xlsm]data!R50C20</stp>
        <tr r="T50" s="1"/>
      </tp>
      <tp t="s">
        <v>#N/A Requesting Data...</v>
        <stp/>
        <stp>##V3_BDHV12</stp>
        <stp>CL1 Comdty</stp>
        <stp>30DAY_IMPVOL_105.0%MNY_DF</stp>
        <stp>23/11/2016</stp>
        <stp>23/11/2016</stp>
        <stp>[Bbg_Market_Data_CL.xlsm]data!R94C19</stp>
        <tr r="S94" s="1"/>
      </tp>
      <tp t="s">
        <v>#N/A Requesting Data...</v>
        <stp/>
        <stp>##V3_BDHV12</stp>
        <stp>CL1 Comdty</stp>
        <stp>30DAY_IMPVOL_110.0%MNY_DF</stp>
        <stp>01/02/2017</stp>
        <stp>01/02/2017</stp>
        <stp>[Bbg_Market_Data_CL.xlsm]data!R48C22</stp>
        <tr r="V48" s="1"/>
      </tp>
      <tp t="s">
        <v>#N/A Requesting Data...</v>
        <stp/>
        <stp>##V3_BDHV12</stp>
        <stp>CL1 Comdty</stp>
        <stp>30DAY_IMPVOL_110.0%MNY_DF</stp>
        <stp>31/01/2017</stp>
        <stp>31/01/2017</stp>
        <stp>[Bbg_Market_Data_CL.xlsm]data!R49C22</stp>
        <tr r="V49" s="1"/>
      </tp>
      <tp t="s">
        <v>#N/A Requesting Data...</v>
        <stp/>
        <stp>##V3_BDHV12</stp>
        <stp>CL1 Comdty</stp>
        <stp>30DAY_IMPVOL_105.0%MNY_DF</stp>
        <stp>13/12/2016</stp>
        <stp>13/12/2016</stp>
        <stp>[Bbg_Market_Data_CL.xlsm]data!R81C19</stp>
        <tr r="S81" s="1"/>
      </tp>
      <tp t="s">
        <v>#N/A Requesting Data...</v>
        <stp/>
        <stp>##V3_BDHV12</stp>
        <stp>CL1 Comdty</stp>
        <stp>30DAY_IMPVOL_105.0%MNY_DF</stp>
        <stp>03/02/2017</stp>
        <stp>03/02/2017</stp>
        <stp>[Bbg_Market_Data_CL.xlsm]data!R46C19</stp>
        <tr r="S46" s="1"/>
      </tp>
      <tp t="s">
        <v>#N/A Requesting Data...</v>
        <stp/>
        <stp>##V3_BDHV12</stp>
        <stp>CL1 Comdty</stp>
        <stp>30DAY_IMPVOL_110.0%MNY_DF</stp>
        <stp>21/11/2016</stp>
        <stp>21/11/2016</stp>
        <stp>[Bbg_Market_Data_CL.xlsm]data!R96C22</stp>
        <tr r="V96" s="1"/>
      </tp>
      <tp t="s">
        <v>#N/A Requesting Data...</v>
        <stp/>
        <stp>##V3_BDHV12</stp>
        <stp>CL1 Comdty</stp>
        <stp>30DAY_IMPVOL_105.0%MNY_DF</stp>
        <stp>13/03/2017</stp>
        <stp>13/03/2017</stp>
        <stp>[Bbg_Market_Data_CL.xlsm]data!R21C19</stp>
        <tr r="S21" s="1"/>
      </tp>
      <tp t="s">
        <v>#N/A Requesting Data...</v>
        <stp/>
        <stp>##V3_BDHV12</stp>
        <stp>CL1 Comdty</stp>
        <stp>30DAY_IMPVOL_110.0%MNY_DF</stp>
        <stp>10/03/2017</stp>
        <stp>10/03/2017</stp>
        <stp>[Bbg_Market_Data_CL.xlsm]data!R22C22</stp>
        <tr r="V22" s="1"/>
      </tp>
      <tp t="s">
        <v>#N/A Requesting Data...</v>
        <stp/>
        <stp>##V3_BDHV12</stp>
        <stp>CL1 Comdty</stp>
        <stp>30DAY_IMPVOL_100.0%MNY_DF</stp>
        <stp>01/02/2017</stp>
        <stp>01/02/2017</stp>
        <stp>[Bbg_Market_Data_CL.xlsm]data!R48C20</stp>
        <tr r="T48" s="1"/>
      </tp>
      <tp t="s">
        <v>#N/A Requesting Data...</v>
        <stp/>
        <stp>##V3_BDHV12</stp>
        <stp>CL1 Comdty</stp>
        <stp>30DAY_IMPVOL_100.0%MNY_DF</stp>
        <stp>31/01/2017</stp>
        <stp>31/01/2017</stp>
        <stp>[Bbg_Market_Data_CL.xlsm]data!R49C20</stp>
        <tr r="T49" s="1"/>
      </tp>
      <tp t="s">
        <v>#N/A Requesting Data...</v>
        <stp/>
        <stp>##V3_BDHV12</stp>
        <stp>CL1 Comdty</stp>
        <stp>30DAY_IMPVOL_105.0%MNY_DF</stp>
        <stp>12/12/2016</stp>
        <stp>12/12/2016</stp>
        <stp>[Bbg_Market_Data_CL.xlsm]data!R82C19</stp>
        <tr r="S82" s="1"/>
      </tp>
      <tp t="s">
        <v>#N/A Requesting Data...</v>
        <stp/>
        <stp>##V3_BDHV12</stp>
        <stp>CL1 Comdty</stp>
        <stp>30DAY_IMPVOL_110.0%MNY_DF</stp>
        <stp>30/01/2017</stp>
        <stp>30/01/2017</stp>
        <stp>[Bbg_Market_Data_CL.xlsm]data!R50C22</stp>
        <tr r="V50" s="1"/>
      </tp>
      <tp t="s">
        <v>#N/A Requesting Data...</v>
        <stp/>
        <stp>##V3_BDHV12</stp>
        <stp>CL1 Comdty</stp>
        <stp>30DAY_IMPVOL_105.0%MNY_DF</stp>
        <stp>22/11/2016</stp>
        <stp>22/11/2016</stp>
        <stp>[Bbg_Market_Data_CL.xlsm]data!R95C19</stp>
        <tr r="S95" s="1"/>
      </tp>
      <tp t="s">
        <v>#N/A Requesting Data...</v>
        <stp/>
        <stp>##V3_BDHV12</stp>
        <stp>CL1 Comdty</stp>
        <stp>30DAY_IMPVOL_100.0%MNY_DF</stp>
        <stp>21/11/2016</stp>
        <stp>21/11/2016</stp>
        <stp>[Bbg_Market_Data_CL.xlsm]data!R96C20</stp>
        <tr r="T96" s="1"/>
      </tp>
      <tp t="s">
        <v>#N/A Requesting Data...</v>
        <stp/>
        <stp>##V3_BDHV12</stp>
        <stp>CL1 Comdty</stp>
        <stp>30DAY_IMPVOL_105.0%MNY_DF</stp>
        <stp>02/02/2017</stp>
        <stp>02/02/2017</stp>
        <stp>[Bbg_Market_Data_CL.xlsm]data!R47C19</stp>
        <tr r="S47" s="1"/>
      </tp>
      <tp t="s">
        <v>#N/A Requesting Data...</v>
        <stp/>
        <stp>##V3_BDHV12</stp>
        <stp>CL1 Comdty</stp>
        <stp>30DAY_IMPVOL_110.0%MNY_DF</stp>
        <stp>13/03/2017</stp>
        <stp>13/03/2017</stp>
        <stp>[Bbg_Market_Data_CL.xlsm]data!R21C22</stp>
        <tr r="V21" s="1"/>
      </tp>
      <tp t="s">
        <v>#N/A Requesting Data...</v>
        <stp/>
        <stp>##V3_BDHV12</stp>
        <stp>CL1 Comdty</stp>
        <stp>30DAY_IMPVOL_110.0%MNY_DF</stp>
        <stp>03/02/2017</stp>
        <stp>03/02/2017</stp>
        <stp>[Bbg_Market_Data_CL.xlsm]data!R46C22</stp>
        <tr r="V46" s="1"/>
      </tp>
      <tp t="s">
        <v>#N/A Requesting Data...</v>
        <stp/>
        <stp>##V3_BDHV12</stp>
        <stp>CL1 Comdty</stp>
        <stp>30DAY_IMPVOL_105.0%MNY_DF</stp>
        <stp>21/11/2016</stp>
        <stp>21/11/2016</stp>
        <stp>[Bbg_Market_Data_CL.xlsm]data!R96C19</stp>
        <tr r="S96" s="1"/>
      </tp>
      <tp t="s">
        <v>#N/A Requesting Data...</v>
        <stp/>
        <stp>##V3_BDHV12</stp>
        <stp>CL1 Comdty</stp>
        <stp>30DAY_IMPVOL_100.0%MNY_DF</stp>
        <stp>02/02/2017</stp>
        <stp>02/02/2017</stp>
        <stp>[Bbg_Market_Data_CL.xlsm]data!R47C20</stp>
        <tr r="T47" s="1"/>
      </tp>
      <tp t="s">
        <v>#N/A Requesting Data...</v>
        <stp/>
        <stp>##V3_BDHV12</stp>
        <stp>CL1 Comdty</stp>
        <stp>30DAY_IMPVOL_110.0%MNY_DF</stp>
        <stp>23/11/2016</stp>
        <stp>23/11/2016</stp>
        <stp>[Bbg_Market_Data_CL.xlsm]data!R94C22</stp>
        <tr r="V94" s="1"/>
      </tp>
      <tp t="s">
        <v>#N/A Requesting Data...</v>
        <stp/>
        <stp>##V3_BDHV12</stp>
        <stp>CL1 Comdty</stp>
        <stp>30DAY_IMPVOL_105.0%MNY_DF</stp>
        <stp>01/02/2017</stp>
        <stp>01/02/2017</stp>
        <stp>[Bbg_Market_Data_CL.xlsm]data!R48C19</stp>
        <tr r="S48" s="1"/>
      </tp>
      <tp t="s">
        <v>#N/A Requesting Data...</v>
        <stp/>
        <stp>##V3_BDHV12</stp>
        <stp>CL1 Comdty</stp>
        <stp>30DAY_IMPVOL_105.0%MNY_DF</stp>
        <stp>31/01/2017</stp>
        <stp>31/01/2017</stp>
        <stp>[Bbg_Market_Data_CL.xlsm]data!R49C19</stp>
        <tr r="S49" s="1"/>
      </tp>
      <tp t="s">
        <v>#N/A Requesting Data...</v>
        <stp/>
        <stp>##V3_BDHV12</stp>
        <stp>CL1 Comdty</stp>
        <stp>30DAY_IMPVOL_110.0%MNY_DF</stp>
        <stp>13/12/2016</stp>
        <stp>13/12/2016</stp>
        <stp>[Bbg_Market_Data_CL.xlsm]data!R81C22</stp>
        <tr r="V81" s="1"/>
      </tp>
      <tp t="s">
        <v>#N/A Requesting Data...</v>
        <stp/>
        <stp>##V3_BDHV12</stp>
        <stp>CL1 Comdty</stp>
        <stp>30DAY_IMPVOL_100.0%MNY_DF</stp>
        <stp>12/12/2016</stp>
        <stp>12/12/2016</stp>
        <stp>[Bbg_Market_Data_CL.xlsm]data!R82C20</stp>
        <tr r="T82" s="1"/>
      </tp>
      <tp t="s">
        <v>#N/A Requesting Data...</v>
        <stp/>
        <stp>##V3_BDHV12</stp>
        <stp>CL1 Comdty</stp>
        <stp>30DAY_IMPVOL_100.0%MNY_DF</stp>
        <stp>22/11/2016</stp>
        <stp>22/11/2016</stp>
        <stp>[Bbg_Market_Data_CL.xlsm]data!R95C20</stp>
        <tr r="T95" s="1"/>
      </tp>
      <tp t="s">
        <v>#N/A Requesting Data...</v>
        <stp/>
        <stp>##V3_BDHV12</stp>
        <stp>CL1 Comdty</stp>
        <stp>30DAY_IMPVOL_100.0%MNY_DF</stp>
        <stp>13/03/2017</stp>
        <stp>13/03/2017</stp>
        <stp>[Bbg_Market_Data_CL.xlsm]data!R21C20</stp>
        <tr r="T21" s="1"/>
      </tp>
      <tp t="s">
        <v>#N/A Requesting Data...</v>
        <stp/>
        <stp>##V3_BDHV12</stp>
        <stp>CL1 Comdty</stp>
        <stp>30DAY_IMPVOL_110.0%MNY_DF</stp>
        <stp>02/02/2017</stp>
        <stp>02/02/2017</stp>
        <stp>[Bbg_Market_Data_CL.xlsm]data!R47C22</stp>
        <tr r="V47" s="1"/>
      </tp>
      <tp t="s">
        <v>#N/A Requesting Data...</v>
        <stp/>
        <stp>##V3_BDHV12</stp>
        <stp>CL1 Comdty</stp>
        <stp>30DAY_IMPVOL_100.0%MNY_DF</stp>
        <stp>03/02/2017</stp>
        <stp>03/02/2017</stp>
        <stp>[Bbg_Market_Data_CL.xlsm]data!R46C20</stp>
        <tr r="T46" s="1"/>
      </tp>
      <tp t="s">
        <v>#N/A Requesting Data...</v>
        <stp/>
        <stp>##V3_BDHV12</stp>
        <stp>CL1 Comdty</stp>
        <stp>30DAY_IMPVOL_110.0%MNY_DF</stp>
        <stp>12/12/2016</stp>
        <stp>12/12/2016</stp>
        <stp>[Bbg_Market_Data_CL.xlsm]data!R82C22</stp>
        <tr r="V82" s="1"/>
      </tp>
      <tp t="s">
        <v>#N/A Requesting Data...</v>
        <stp/>
        <stp>##V3_BDHV12</stp>
        <stp>CL1 Comdty</stp>
        <stp>30DAY_IMPVOL_105.0%MNY_DF</stp>
        <stp>30/01/2017</stp>
        <stp>30/01/2017</stp>
        <stp>[Bbg_Market_Data_CL.xlsm]data!R50C19</stp>
        <tr r="S50" s="1"/>
      </tp>
      <tp t="s">
        <v>#N/A Requesting Data...</v>
        <stp/>
        <stp>##V3_BDHV12</stp>
        <stp>CL1 Comdty</stp>
        <stp>30DAY_IMPVOL_110.0%MNY_DF</stp>
        <stp>22/11/2016</stp>
        <stp>22/11/2016</stp>
        <stp>[Bbg_Market_Data_CL.xlsm]data!R95C22</stp>
        <tr r="V95" s="1"/>
      </tp>
      <tp t="s">
        <v>#N/A Requesting Data...</v>
        <stp/>
        <stp>##V3_BDHV12</stp>
        <stp>CL1 Comdty</stp>
        <stp>30DAY_IMPVOL_100.0%MNY_DF</stp>
        <stp>23/11/2016</stp>
        <stp>23/11/2016</stp>
        <stp>[Bbg_Market_Data_CL.xlsm]data!R94C20</stp>
        <tr r="T94" s="1"/>
      </tp>
      <tp t="s">
        <v>#N/A Requesting Data...</v>
        <stp/>
        <stp>##V3_BDHV12</stp>
        <stp>CL1 Comdty</stp>
        <stp>30DAY_IMPVOL_100.0%MNY_DF</stp>
        <stp>13/12/2016</stp>
        <stp>13/12/2016</stp>
        <stp>[Bbg_Market_Data_CL.xlsm]data!R81C20</stp>
        <tr r="T81" s="1"/>
      </tp>
      <tp t="s">
        <v>#N/A Requesting Data...</v>
        <stp/>
        <stp>##V3_BDHV12</stp>
        <stp>CL1 Comdty</stp>
        <stp>30DAY_IMPVOL_105.0%MNY_DF</stp>
        <stp>10/03/2017</stp>
        <stp>10/03/2017</stp>
        <stp>[Bbg_Market_Data_CL.xlsm]data!R22C19</stp>
        <tr r="S22" s="1"/>
      </tp>
      <tp t="s">
        <v>#N/A Requesting Data...</v>
        <stp/>
        <stp>##V3_BDHV12</stp>
        <stp>CL1 Comdty</stp>
        <stp>30DAY_IMPVOL_110.0%MNY_DF</stp>
        <stp>15/12/2016</stp>
        <stp>15/12/2016</stp>
        <stp>[Bbg_Market_Data_CL.xlsm]data!R79C22</stp>
        <tr r="V79" s="1"/>
      </tp>
      <tp t="s">
        <v>#N/A Requesting Data...</v>
        <stp/>
        <stp>##V3_BDHV12</stp>
        <stp>CL1 Comdty</stp>
        <stp>30DAY_IMPVOL_100.0%MNY_DF</stp>
        <stp>14/03/2017</stp>
        <stp>14/03/2017</stp>
        <stp>[Bbg_Market_Data_CL.xlsm]data!R20C20</stp>
        <tr r="T20" s="1"/>
      </tp>
      <tp t="s">
        <v>#N/A Requesting Data...</v>
        <stp/>
        <stp>##V3_BDHV12</stp>
        <stp>CL1 Comdty</stp>
        <stp>30DAY_IMPVOL_110.0%MNY_DF</stp>
        <stp>15/03/2017</stp>
        <stp>15/03/2017</stp>
        <stp>[Bbg_Market_Data_CL.xlsm]data!R19C22</stp>
        <tr r="V19" s="1"/>
      </tp>
      <tp t="s">
        <v>#N/A Requesting Data...</v>
        <stp/>
        <stp>##V3_BDHV12</stp>
        <stp>CL1 Comdty</stp>
        <stp>30DAY_IMPVOL_105.0%MNY_DF</stp>
        <stp>17/03/2017</stp>
        <stp>17/03/2017</stp>
        <stp>[Bbg_Market_Data_CL.xlsm]data!R17C19</stp>
        <tr r="S17" s="1"/>
      </tp>
      <tp t="s">
        <v>#N/A Requesting Data...</v>
        <stp/>
        <stp>##V3_BDHV12</stp>
        <stp>CL1 Comdty</stp>
        <stp>30DAY_IMPVOL_100.0%MNY_DF</stp>
        <stp>14/12/2016</stp>
        <stp>14/12/2016</stp>
        <stp>[Bbg_Market_Data_CL.xlsm]data!R80C20</stp>
        <tr r="T80" s="1"/>
      </tp>
      <tp t="s">
        <v>#N/A Requesting Data...</v>
        <stp/>
        <stp>##V3_BDHV12</stp>
        <stp>CL1 Comdty</stp>
        <stp>30DAY_IMPVOL_110.0%MNY_DF</stp>
        <stp>25/11/2016</stp>
        <stp>25/11/2016</stp>
        <stp>[Bbg_Market_Data_CL.xlsm]data!R93C22</stp>
        <tr r="V93" s="1"/>
      </tp>
      <tp t="s">
        <v>#N/A Requesting Data...</v>
        <stp/>
        <stp>##V3_BDHV12</stp>
        <stp>CL1 Comdty</stp>
        <stp>30DAY_IMPVOL_105.0%MNY_DF</stp>
        <stp>07/02/2017</stp>
        <stp>07/02/2017</stp>
        <stp>[Bbg_Market_Data_CL.xlsm]data!R44C19</stp>
        <tr r="S44" s="1"/>
      </tp>
      <tp t="s">
        <v>#N/A Requesting Data...</v>
        <stp/>
        <stp>##V3_BDHV12</stp>
        <stp>CL1 Comdty</stp>
        <stp>30DAY_IMPVOL_100.0%MNY_DF</stp>
        <stp>15/12/2016</stp>
        <stp>15/12/2016</stp>
        <stp>[Bbg_Market_Data_CL.xlsm]data!R79C20</stp>
        <tr r="T79" s="1"/>
      </tp>
      <tp t="s">
        <v>#N/A Requesting Data...</v>
        <stp/>
        <stp>##V3_BDHV12</stp>
        <stp>CL1 Comdty</stp>
        <stp>30DAY_IMPVOL_110.0%MNY_DF</stp>
        <stp>14/03/2017</stp>
        <stp>14/03/2017</stp>
        <stp>[Bbg_Market_Data_CL.xlsm]data!R20C22</stp>
        <tr r="V20" s="1"/>
      </tp>
      <tp t="s">
        <v>#N/A Requesting Data...</v>
        <stp/>
        <stp>##V3_BDHV12</stp>
        <stp>CL1 Comdty</stp>
        <stp>30DAY_IMPVOL_100.0%MNY_DF</stp>
        <stp>15/03/2017</stp>
        <stp>15/03/2017</stp>
        <stp>[Bbg_Market_Data_CL.xlsm]data!R19C20</stp>
        <tr r="T19" s="1"/>
      </tp>
      <tp t="s">
        <v>#N/A Requesting Data...</v>
        <stp/>
        <stp>##V3_BDHV12</stp>
        <stp>CL1 Comdty</stp>
        <stp>30DAY_IMPVOL_105.0%MNY_DF</stp>
        <stp>16/03/2017</stp>
        <stp>16/03/2017</stp>
        <stp>[Bbg_Market_Data_CL.xlsm]data!R18C19</stp>
        <tr r="S18" s="1"/>
      </tp>
      <tp t="s">
        <v>#N/A Requesting Data...</v>
        <stp/>
        <stp>##V3_BDHV12</stp>
        <stp>CL1 Comdty</stp>
        <stp>30DAY_IMPVOL_100.0%MNY_DF</stp>
        <stp>25/11/2016</stp>
        <stp>25/11/2016</stp>
        <stp>[Bbg_Market_Data_CL.xlsm]data!R93C20</stp>
        <tr r="T93" s="1"/>
      </tp>
      <tp t="s">
        <v>#N/A Requesting Data...</v>
        <stp/>
        <stp>##V3_BDHV12</stp>
        <stp>CL1 Comdty</stp>
        <stp>30DAY_IMPVOL_105.0%MNY_DF</stp>
        <stp>16/12/2016</stp>
        <stp>16/12/2016</stp>
        <stp>[Bbg_Market_Data_CL.xlsm]data!R78C19</stp>
        <tr r="S78" s="1"/>
      </tp>
      <tp t="s">
        <v>#N/A Requesting Data...</v>
        <stp/>
        <stp>##V3_BDHV12</stp>
        <stp>CL1 Comdty</stp>
        <stp>30DAY_IMPVOL_110.0%MNY_DF</stp>
        <stp>14/12/2016</stp>
        <stp>14/12/2016</stp>
        <stp>[Bbg_Market_Data_CL.xlsm]data!R80C22</stp>
        <tr r="V80" s="1"/>
      </tp>
      <tp t="s">
        <v>#N/A Requesting Data...</v>
        <stp/>
        <stp>##V3_BDHV12</stp>
        <stp>CL1 Comdty</stp>
        <stp>30DAY_IMPVOL_105.0%MNY_DF</stp>
        <stp>06/02/2017</stp>
        <stp>06/02/2017</stp>
        <stp>[Bbg_Market_Data_CL.xlsm]data!R45C19</stp>
        <tr r="S45" s="1"/>
      </tp>
      <tp t="s">
        <v>#N/A Requesting Data...</v>
        <stp/>
        <stp>##V3_BDHV12</stp>
        <stp>CL1 Comdty</stp>
        <stp>30DAY_IMPVOL_105.0%MNY_DF</stp>
        <stp>25/11/2016</stp>
        <stp>25/11/2016</stp>
        <stp>[Bbg_Market_Data_CL.xlsm]data!R93C19</stp>
        <tr r="S93" s="1"/>
      </tp>
      <tp t="s">
        <v>#N/A Requesting Data...</v>
        <stp/>
        <stp>##V3_BDHV12</stp>
        <stp>CL1 Comdty</stp>
        <stp>30DAY_IMPVOL_110.0%MNY_DF</stp>
        <stp>07/02/2017</stp>
        <stp>07/02/2017</stp>
        <stp>[Bbg_Market_Data_CL.xlsm]data!R44C22</stp>
        <tr r="V44" s="1"/>
      </tp>
      <tp t="s">
        <v>#N/A Requesting Data...</v>
        <stp/>
        <stp>##V3_BDHV12</stp>
        <stp>CL1 Comdty</stp>
        <stp>30DAY_IMPVOL_100.0%MNY_DF</stp>
        <stp>16/12/2016</stp>
        <stp>16/12/2016</stp>
        <stp>[Bbg_Market_Data_CL.xlsm]data!R78C20</stp>
        <tr r="T78" s="1"/>
      </tp>
      <tp t="s">
        <v>#N/A Requesting Data...</v>
        <stp/>
        <stp>##V3_BDHV12</stp>
        <stp>CL1 Comdty</stp>
        <stp>30DAY_IMPVOL_100.0%MNY_DF</stp>
        <stp>06/02/2017</stp>
        <stp>06/02/2017</stp>
        <stp>[Bbg_Market_Data_CL.xlsm]data!R45C20</stp>
        <tr r="T45" s="1"/>
      </tp>
      <tp t="s">
        <v>#N/A Requesting Data...</v>
        <stp/>
        <stp>##V3_BDHV12</stp>
        <stp>CL1 Comdty</stp>
        <stp>30DAY_IMPVOL_110.0%MNY_DF</stp>
        <stp>17/03/2017</stp>
        <stp>17/03/2017</stp>
        <stp>[Bbg_Market_Data_CL.xlsm]data!R17C22</stp>
        <tr r="V17" s="1"/>
      </tp>
      <tp t="s">
        <v>#N/A Requesting Data...</v>
        <stp/>
        <stp>##V3_BDHV12</stp>
        <stp>CL1 Comdty</stp>
        <stp>30DAY_IMPVOL_100.0%MNY_DF</stp>
        <stp>16/03/2017</stp>
        <stp>16/03/2017</stp>
        <stp>[Bbg_Market_Data_CL.xlsm]data!R18C20</stp>
        <tr r="T18" s="1"/>
      </tp>
      <tp t="s">
        <v>#N/A Requesting Data...</v>
        <stp/>
        <stp>##V3_BDHV12</stp>
        <stp>CL1 Comdty</stp>
        <stp>30DAY_IMPVOL_105.0%MNY_DF</stp>
        <stp>15/03/2017</stp>
        <stp>15/03/2017</stp>
        <stp>[Bbg_Market_Data_CL.xlsm]data!R19C19</stp>
        <tr r="S19" s="1"/>
      </tp>
      <tp t="s">
        <v>#N/A Requesting Data...</v>
        <stp/>
        <stp>##V3_BDHV12</stp>
        <stp>CL1 Comdty</stp>
        <stp>30DAY_IMPVOL_105.0%MNY_DF</stp>
        <stp>15/12/2016</stp>
        <stp>15/12/2016</stp>
        <stp>[Bbg_Market_Data_CL.xlsm]data!R79C19</stp>
        <tr r="S79" s="1"/>
      </tp>
      <tp t="s">
        <v>#N/A Requesting Data...</v>
        <stp/>
        <stp>##V3_BDHV12</stp>
        <stp>CL1 Comdty</stp>
        <stp>30DAY_IMPVOL_105.0%MNY_DF</stp>
        <stp>14/12/2016</stp>
        <stp>14/12/2016</stp>
        <stp>[Bbg_Market_Data_CL.xlsm]data!R80C19</stp>
        <tr r="S80" s="1"/>
      </tp>
      <tp t="s">
        <v>#N/A Requesting Data...</v>
        <stp/>
        <stp>##V3_BDHV12</stp>
        <stp>CL1 Comdty</stp>
        <stp>30DAY_IMPVOL_110.0%MNY_DF</stp>
        <stp>06/02/2017</stp>
        <stp>06/02/2017</stp>
        <stp>[Bbg_Market_Data_CL.xlsm]data!R45C22</stp>
        <tr r="V45" s="1"/>
      </tp>
      <tp t="s">
        <v>#N/A Requesting Data...</v>
        <stp/>
        <stp>##V3_BDHV12</stp>
        <stp>CL1 Comdty</stp>
        <stp>30DAY_IMPVOL_100.0%MNY_DF</stp>
        <stp>07/02/2017</stp>
        <stp>07/02/2017</stp>
        <stp>[Bbg_Market_Data_CL.xlsm]data!R44C20</stp>
        <tr r="T44" s="1"/>
      </tp>
      <tp t="s">
        <v>#N/A Requesting Data...</v>
        <stp/>
        <stp>##V3_BDHV12</stp>
        <stp>CL1 Comdty</stp>
        <stp>30DAY_IMPVOL_110.0%MNY_DF</stp>
        <stp>16/12/2016</stp>
        <stp>16/12/2016</stp>
        <stp>[Bbg_Market_Data_CL.xlsm]data!R78C22</stp>
        <tr r="V78" s="1"/>
      </tp>
      <tp t="s">
        <v>#N/A Requesting Data...</v>
        <stp/>
        <stp>##V3_BDHV12</stp>
        <stp>CL1 Comdty</stp>
        <stp>30DAY_IMPVOL_110.0%MNY_DF</stp>
        <stp>16/03/2017</stp>
        <stp>16/03/2017</stp>
        <stp>[Bbg_Market_Data_CL.xlsm]data!R18C22</stp>
        <tr r="V18" s="1"/>
      </tp>
      <tp t="s">
        <v>#N/A Requesting Data...</v>
        <stp/>
        <stp>##V3_BDHV12</stp>
        <stp>CL1 Comdty</stp>
        <stp>30DAY_IMPVOL_100.0%MNY_DF</stp>
        <stp>17/03/2017</stp>
        <stp>17/03/2017</stp>
        <stp>[Bbg_Market_Data_CL.xlsm]data!R17C20</stp>
        <tr r="T17" s="1"/>
      </tp>
      <tp t="s">
        <v>#N/A Requesting Data...</v>
        <stp/>
        <stp>##V3_BDHV12</stp>
        <stp>CL1 Comdty</stp>
        <stp>30DAY_IMPVOL_105.0%MNY_DF</stp>
        <stp>14/03/2017</stp>
        <stp>14/03/2017</stp>
        <stp>[Bbg_Market_Data_CL.xlsm]data!R20C19</stp>
        <tr r="S20" s="1"/>
      </tp>
      <tp t="s">
        <v>#N/A Requesting Data...</v>
        <stp/>
        <stp>##V3_BDHV12</stp>
        <stp>CL2 Comdty</stp>
        <stp>VOLUME_TOTAL_CALL</stp>
        <stp>14/07/2015</stp>
        <stp>14/07/2015</stp>
        <stp>[Bbg_Market_Data_CL.xlsm]data!R435C15</stp>
        <tr r="O435" s="1"/>
      </tp>
      <tp t="s">
        <v>#N/A Requesting Data...</v>
        <stp/>
        <stp>##V3_BDHV12</stp>
        <stp>CL1 Comdty</stp>
        <stp>VOLUME_TOTAL_CALL</stp>
        <stp>27/07/2015</stp>
        <stp>27/07/2015</stp>
        <stp>[Bbg_Market_Data_CL.xlsm]data!R426C15</stp>
        <tr r="O426" s="1"/>
      </tp>
      <tp t="s">
        <v>#N/A Requesting Data...</v>
        <stp/>
        <stp>##V3_BDHV12</stp>
        <stp>CL1 Comdty</stp>
        <stp>VOLUME_TOTAL_CALL</stp>
        <stp>02/03/2016</stp>
        <stp>02/03/2016</stp>
        <stp>[Bbg_Market_Data_CL.xlsm]data!R278C15</stp>
        <tr r="O278" s="1"/>
      </tp>
      <tp t="s">
        <v>#N/A Requesting Data...</v>
        <stp/>
        <stp>##V3_BDHV12</stp>
        <stp>CL1 Comdty</stp>
        <stp>VOLUME_TOTAL_CALL</stp>
        <stp>20/10/2015</stp>
        <stp>20/10/2015</stp>
        <stp>[Bbg_Market_Data_CL.xlsm]data!R367C15</stp>
        <tr r="O367" s="1"/>
      </tp>
      <tp t="s">
        <v>#N/A Requesting Data...</v>
        <stp/>
        <stp>##V3_BDHV12</stp>
        <stp>CL2 Comdty</stp>
        <stp>VOLUME_TOTAL_CALL</stp>
        <stp>04/06/2015</stp>
        <stp>04/06/2015</stp>
        <stp>[Bbg_Market_Data_CL.xlsm]data!R462C15</stp>
        <tr r="O462" s="1"/>
      </tp>
      <tp t="s">
        <v>#N/A Requesting Data...</v>
        <stp/>
        <stp>##V3_BDHV12</stp>
        <stp>CL2 Comdty</stp>
        <stp>VOLUME_TOTAL_CALL</stp>
        <stp>13/10/2015</stp>
        <stp>13/10/2015</stp>
        <stp>[Bbg_Market_Data_CL.xlsm]data!R372C15</stp>
        <tr r="O372" s="1"/>
      </tp>
      <tp t="s">
        <v>#N/A Requesting Data...</v>
        <stp/>
        <stp>##V3_BDHV12</stp>
        <stp>CL2 Comdty</stp>
        <stp>VOLUME_TOTAL_CALL</stp>
        <stp>31/03/2016</stp>
        <stp>31/03/2016</stp>
        <stp>[Bbg_Market_Data_CL.xlsm]data!R258C15</stp>
        <tr r="O258" s="1"/>
      </tp>
      <tp t="s">
        <v>#N/A Requesting Data...</v>
        <stp/>
        <stp>##V3_BDHV12</stp>
        <stp>CL1 Comdty</stp>
        <stp>VOLUME_TOTAL_CALL</stp>
        <stp>30/11/2015</stp>
        <stp>30/11/2015</stp>
        <stp>[Bbg_Market_Data_CL.xlsm]data!R340C15</stp>
        <tr r="O340" s="1"/>
      </tp>
      <tp t="s">
        <v>#N/A Requesting Data...</v>
        <stp/>
        <stp>##V3_BDHV12</stp>
        <stp>CL2 Comdty</stp>
        <stp>VOLUME_TOTAL_CALL</stp>
        <stp>03/11/2015</stp>
        <stp>03/11/2015</stp>
        <stp>[Bbg_Market_Data_CL.xlsm]data!R357C15</stp>
        <tr r="O357" s="1"/>
      </tp>
      <tp t="s">
        <v>#N/A Requesting Data...</v>
        <stp/>
        <stp>##V3_BDHV12</stp>
        <stp>CL2 Comdty</stp>
        <stp>VOLUME_TOTAL_CALL</stp>
        <stp>24/04/2015</stp>
        <stp>24/04/2015</stp>
        <stp>[Bbg_Market_Data_CL.xlsm]data!R490C15</stp>
        <tr r="O490" s="1"/>
      </tp>
      <tp t="s">
        <v>#N/A Requesting Data...</v>
        <stp/>
        <stp>##V3_BDHV12</stp>
        <stp>CL1 Comdty</stp>
        <stp>VOLUME_TOTAL_CALL</stp>
        <stp>17/04/2015</stp>
        <stp>17/04/2015</stp>
        <stp>[Bbg_Market_Data_CL.xlsm]data!R495C15</stp>
        <tr r="O495" s="1"/>
      </tp>
      <tp t="s">
        <v>#N/A Requesting Data...</v>
        <stp/>
        <stp>##V3_BDHV12</stp>
        <stp>CL1 Comdty</stp>
        <stp>VOLUME_TOTAL_CALL</stp>
        <stp>12/02/2016</stp>
        <stp>12/02/2016</stp>
        <stp>[Bbg_Market_Data_CL.xlsm]data!R289C15</stp>
        <tr r="O289" s="1"/>
      </tp>
      <tp t="s">
        <v>#N/A Requesting Data...</v>
        <stp/>
        <stp>##V3_BDHV12</stp>
        <stp>CL1 Comdty</stp>
        <stp>VOLUME_TOTAL_CALL</stp>
        <stp>07/05/2015</stp>
        <stp>07/05/2015</stp>
        <stp>[Bbg_Market_Data_CL.xlsm]data!R481C15</stp>
        <tr r="O481" s="1"/>
      </tp>
      <tp t="s">
        <v>#N/A Requesting Data...</v>
        <stp/>
        <stp>##V3_BDHV12</stp>
        <stp>CL2 Comdty</stp>
        <stp>VOLUME_TOTAL_CALL</stp>
        <stp>22/12/2015</stp>
        <stp>22/12/2015</stp>
        <stp>[Bbg_Market_Data_CL.xlsm]data!R324C15</stp>
        <tr r="O324" s="1"/>
      </tp>
      <tp t="s">
        <v>#N/A Requesting Data...</v>
        <stp/>
        <stp>##V3_BDHV12</stp>
        <stp>CL1 Comdty</stp>
        <stp>VOLUME_TOTAL_CALL</stp>
        <stp>11/12/2015</stp>
        <stp>11/12/2015</stp>
        <stp>[Bbg_Market_Data_CL.xlsm]data!R331C15</stp>
        <tr r="O331" s="1"/>
      </tp>
      <tp t="s">
        <v>#N/A Requesting Data...</v>
        <stp/>
        <stp>##V3_BDHV12</stp>
        <stp>CL2 Comdty</stp>
        <stp>VOLUME_TOTAL_CALL</stp>
        <stp>11/01/2016</stp>
        <stp>11/01/2016</stp>
        <stp>[Bbg_Market_Data_CL.xlsm]data!R312C15</stp>
        <tr r="O312" s="1"/>
      </tp>
      <tp t="s">
        <v>#N/A Requesting Data...</v>
        <stp/>
        <stp>##V3_BDHV12</stp>
        <stp>CL1 Comdty</stp>
        <stp>VOLUME_TOTAL_CALL</stp>
        <stp>22/01/2016</stp>
        <stp>22/01/2016</stp>
        <stp>[Bbg_Market_Data_CL.xlsm]data!R304C15</stp>
        <tr r="O304" s="1"/>
      </tp>
      <tp t="s">
        <v>#N/A Requesting Data...</v>
        <stp/>
        <stp>##V3_BDHV12</stp>
        <stp>CL2 Comdty</stp>
        <stp>VOLUME_TOTAL_CALL</stp>
        <stp>02/10/2015</stp>
        <stp>02/10/2015</stp>
        <stp>[Bbg_Market_Data_CL.xlsm]data!R378C15</stp>
        <tr r="O378" s="1"/>
      </tp>
      <tp t="s">
        <v>#N/A Requesting Data...</v>
        <stp/>
        <stp>##V3_BDHV12</stp>
        <stp>CL2 Comdty</stp>
        <stp>VOLUME_TOTAL_CALL</stp>
        <stp>15/06/2015</stp>
        <stp>15/06/2015</stp>
        <stp>[Bbg_Market_Data_CL.xlsm]data!R455C15</stp>
        <tr r="O455" s="1"/>
      </tp>
      <tp t="s">
        <v>#N/A Requesting Data...</v>
        <stp/>
        <stp>##V3_BDHV12</stp>
        <stp>CL2 Comdty</stp>
        <stp>VOLUME_TOTAL_CALL</stp>
        <stp>12/11/2015</stp>
        <stp>12/11/2015</stp>
        <stp>[Bbg_Market_Data_CL.xlsm]data!R351C15</stp>
        <tr r="O351" s="1"/>
      </tp>
      <tp t="s">
        <v>#N/A Requesting Data...</v>
        <stp/>
        <stp>##V3_BDHV12</stp>
        <stp>CL1 Comdty</stp>
        <stp>VOLUME_TOTAL_CALL</stp>
        <stp>26/06/2015</stp>
        <stp>26/06/2015</stp>
        <stp>[Bbg_Market_Data_CL.xlsm]data!R446C15</stp>
        <tr r="O446" s="1"/>
      </tp>
      <tp t="s">
        <v>#N/A Requesting Data...</v>
        <stp/>
        <stp>##V3_BDHV12</stp>
        <stp>CL1 Comdty</stp>
        <stp>VOLUME_TOTAL_CALL</stp>
        <stp>03/02/2016</stp>
        <stp>03/02/2016</stp>
        <stp>[Bbg_Market_Data_CL.xlsm]data!R296C15</stp>
        <tr r="O296" s="1"/>
      </tp>
      <tp t="s">
        <v>#N/A Requesting Data...</v>
        <stp/>
        <stp>##V3_BDHV12</stp>
        <stp>CL1 Comdty</stp>
        <stp>VOLUME_TOTAL_CALL</stp>
        <stp>22/12/2015</stp>
        <stp>22/12/2015</stp>
        <stp>[Bbg_Market_Data_CL.xlsm]data!R324C15</stp>
        <tr r="O324" s="1"/>
      </tp>
      <tp t="s">
        <v>#N/A Requesting Data...</v>
        <stp/>
        <stp>##V3_BDHV12</stp>
        <stp>CL2 Comdty</stp>
        <stp>VOLUME_TOTAL_CALL</stp>
        <stp>11/12/2015</stp>
        <stp>11/12/2015</stp>
        <stp>[Bbg_Market_Data_CL.xlsm]data!R331C15</stp>
        <tr r="O331" s="1"/>
      </tp>
      <tp t="s">
        <v>#N/A Requesting Data...</v>
        <stp/>
        <stp>##V3_BDHV12</stp>
        <stp>CL1 Comdty</stp>
        <stp>VOLUME_TOTAL_CALL</stp>
        <stp>11/01/2016</stp>
        <stp>11/01/2016</stp>
        <stp>[Bbg_Market_Data_CL.xlsm]data!R312C15</stp>
        <tr r="O312" s="1"/>
      </tp>
      <tp t="s">
        <v>#N/A Requesting Data...</v>
        <stp/>
        <stp>##V3_BDHV12</stp>
        <stp>CL2 Comdty</stp>
        <stp>VOLUME_TOTAL_CALL</stp>
        <stp>22/01/2016</stp>
        <stp>22/01/2016</stp>
        <stp>[Bbg_Market_Data_CL.xlsm]data!R304C15</stp>
        <tr r="O304" s="1"/>
      </tp>
      <tp t="s">
        <v>#N/A Requesting Data...</v>
        <stp/>
        <stp>##V3_BDHV12</stp>
        <stp>CL1 Comdty</stp>
        <stp>VOLUME_TOTAL_CALL</stp>
        <stp>02/10/2015</stp>
        <stp>02/10/2015</stp>
        <stp>[Bbg_Market_Data_CL.xlsm]data!R378C15</stp>
        <tr r="O378" s="1"/>
      </tp>
      <tp t="s">
        <v>#N/A Requesting Data...</v>
        <stp/>
        <stp>##V3_BDHV12</stp>
        <stp>CL1 Comdty</stp>
        <stp>VOLUME_TOTAL_CALL</stp>
        <stp>15/06/2015</stp>
        <stp>15/06/2015</stp>
        <stp>[Bbg_Market_Data_CL.xlsm]data!R455C15</stp>
        <tr r="O455" s="1"/>
      </tp>
      <tp t="s">
        <v>#N/A Requesting Data...</v>
        <stp/>
        <stp>##V3_BDHV12</stp>
        <stp>CL1 Comdty</stp>
        <stp>VOLUME_TOTAL_CALL</stp>
        <stp>12/11/2015</stp>
        <stp>12/11/2015</stp>
        <stp>[Bbg_Market_Data_CL.xlsm]data!R351C15</stp>
        <tr r="O351" s="1"/>
      </tp>
      <tp t="s">
        <v>#N/A Requesting Data...</v>
        <stp/>
        <stp>##V3_BDHV12</stp>
        <stp>CL2 Comdty</stp>
        <stp>VOLUME_TOTAL_CALL</stp>
        <stp>26/06/2015</stp>
        <stp>26/06/2015</stp>
        <stp>[Bbg_Market_Data_CL.xlsm]data!R446C15</stp>
        <tr r="O446" s="1"/>
      </tp>
      <tp t="s">
        <v>#N/A Requesting Data...</v>
        <stp/>
        <stp>##V3_BDHV12</stp>
        <stp>CL2 Comdty</stp>
        <stp>VOLUME_TOTAL_CALL</stp>
        <stp>03/02/2016</stp>
        <stp>03/02/2016</stp>
        <stp>[Bbg_Market_Data_CL.xlsm]data!R296C15</stp>
        <tr r="O296" s="1"/>
      </tp>
      <tp t="s">
        <v>#N/A Requesting Data...</v>
        <stp/>
        <stp>##V3_BDHV12</stp>
        <stp>CL1 Comdty</stp>
        <stp>VOLUME_TOTAL_CALL</stp>
        <stp>14/07/2015</stp>
        <stp>14/07/2015</stp>
        <stp>[Bbg_Market_Data_CL.xlsm]data!R435C15</stp>
        <tr r="O435" s="1"/>
      </tp>
      <tp t="s">
        <v>#N/A Requesting Data...</v>
        <stp/>
        <stp>##V3_BDHV12</stp>
        <stp>CL2 Comdty</stp>
        <stp>VOLUME_TOTAL_CALL</stp>
        <stp>27/07/2015</stp>
        <stp>27/07/2015</stp>
        <stp>[Bbg_Market_Data_CL.xlsm]data!R426C15</stp>
        <tr r="O426" s="1"/>
      </tp>
      <tp t="s">
        <v>#N/A Requesting Data...</v>
        <stp/>
        <stp>##V3_BDHV12</stp>
        <stp>CL2 Comdty</stp>
        <stp>VOLUME_TOTAL_CALL</stp>
        <stp>02/03/2016</stp>
        <stp>02/03/2016</stp>
        <stp>[Bbg_Market_Data_CL.xlsm]data!R278C15</stp>
        <tr r="O278" s="1"/>
      </tp>
      <tp t="s">
        <v>#N/A Requesting Data...</v>
        <stp/>
        <stp>##V3_BDHV12</stp>
        <stp>CL2 Comdty</stp>
        <stp>VOLUME_TOTAL_CALL</stp>
        <stp>20/10/2015</stp>
        <stp>20/10/2015</stp>
        <stp>[Bbg_Market_Data_CL.xlsm]data!R367C15</stp>
        <tr r="O367" s="1"/>
      </tp>
      <tp t="s">
        <v>#N/A Requesting Data...</v>
        <stp/>
        <stp>##V3_BDHV12</stp>
        <stp>CL1 Comdty</stp>
        <stp>VOLUME_TOTAL_CALL</stp>
        <stp>04/06/2015</stp>
        <stp>04/06/2015</stp>
        <stp>[Bbg_Market_Data_CL.xlsm]data!R462C15</stp>
        <tr r="O462" s="1"/>
      </tp>
      <tp t="s">
        <v>#N/A Requesting Data...</v>
        <stp/>
        <stp>##V3_BDHV12</stp>
        <stp>CL1 Comdty</stp>
        <stp>VOLUME_TOTAL_CALL</stp>
        <stp>13/10/2015</stp>
        <stp>13/10/2015</stp>
        <stp>[Bbg_Market_Data_CL.xlsm]data!R372C15</stp>
        <tr r="O372" s="1"/>
      </tp>
      <tp t="s">
        <v>#N/A Requesting Data...</v>
        <stp/>
        <stp>##V3_BDHV12</stp>
        <stp>CL1 Comdty</stp>
        <stp>VOLUME_TOTAL_CALL</stp>
        <stp>31/03/2016</stp>
        <stp>31/03/2016</stp>
        <stp>[Bbg_Market_Data_CL.xlsm]data!R258C15</stp>
        <tr r="O258" s="1"/>
      </tp>
      <tp t="s">
        <v>#N/A Requesting Data...</v>
        <stp/>
        <stp>##V3_BDHV12</stp>
        <stp>CL2 Comdty</stp>
        <stp>VOLUME_TOTAL_CALL</stp>
        <stp>30/11/2015</stp>
        <stp>30/11/2015</stp>
        <stp>[Bbg_Market_Data_CL.xlsm]data!R340C15</stp>
        <tr r="O340" s="1"/>
      </tp>
      <tp t="s">
        <v>#N/A Requesting Data...</v>
        <stp/>
        <stp>##V3_BDHV12</stp>
        <stp>CL1 Comdty</stp>
        <stp>VOLUME_TOTAL_CALL</stp>
        <stp>03/11/2015</stp>
        <stp>03/11/2015</stp>
        <stp>[Bbg_Market_Data_CL.xlsm]data!R357C15</stp>
        <tr r="O357" s="1"/>
      </tp>
      <tp t="s">
        <v>#N/A Requesting Data...</v>
        <stp/>
        <stp>##V3_BDHV12</stp>
        <stp>CL1 Comdty</stp>
        <stp>VOLUME_TOTAL_CALL</stp>
        <stp>24/04/2015</stp>
        <stp>24/04/2015</stp>
        <stp>[Bbg_Market_Data_CL.xlsm]data!R490C15</stp>
        <tr r="O490" s="1"/>
      </tp>
      <tp t="s">
        <v>#N/A Requesting Data...</v>
        <stp/>
        <stp>##V3_BDHV12</stp>
        <stp>CL2 Comdty</stp>
        <stp>VOLUME_TOTAL_CALL</stp>
        <stp>17/04/2015</stp>
        <stp>17/04/2015</stp>
        <stp>[Bbg_Market_Data_CL.xlsm]data!R495C15</stp>
        <tr r="O495" s="1"/>
      </tp>
      <tp t="s">
        <v>#N/A Requesting Data...</v>
        <stp/>
        <stp>##V3_BDHV12</stp>
        <stp>CL2 Comdty</stp>
        <stp>VOLUME_TOTAL_CALL</stp>
        <stp>12/02/2016</stp>
        <stp>12/02/2016</stp>
        <stp>[Bbg_Market_Data_CL.xlsm]data!R289C15</stp>
        <tr r="O289" s="1"/>
      </tp>
      <tp t="s">
        <v>#N/A Requesting Data...</v>
        <stp/>
        <stp>##V3_BDHV12</stp>
        <stp>CL2 Comdty</stp>
        <stp>VOLUME_TOTAL_CALL</stp>
        <stp>07/05/2015</stp>
        <stp>07/05/2015</stp>
        <stp>[Bbg_Market_Data_CL.xlsm]data!R481C15</stp>
        <tr r="O481" s="1"/>
      </tp>
      <tp t="s">
        <v>#N/A Requesting Data...</v>
        <stp/>
        <stp>##V3_BDHV12</stp>
        <stp>CL1 Comdty</stp>
        <stp>VOLATILITY_10D</stp>
        <stp>28/02/2017</stp>
        <stp>28/02/2017</stp>
        <stp>[Bbg_Market_Data_CL.xlsm]data!R31C17</stp>
        <tr r="Q31" s="1"/>
      </tp>
      <tp t="s">
        <v>#N/A Requesting Data...</v>
        <stp/>
        <stp>##V3_BDHV12</stp>
        <stp>CL1 Comdty</stp>
        <stp>VOLUME_TOTAL_CALL</stp>
        <stp>26/05/2016</stp>
        <stp>26/05/2016</stp>
        <stp>[Bbg_Market_Data_CL.xlsm]data!R218C15</stp>
        <tr r="O218" s="1"/>
      </tp>
      <tp t="s">
        <v>#N/A Requesting Data...</v>
        <stp/>
        <stp>##V3_BDHV12</stp>
        <stp>CL1 Comdty</stp>
        <stp>VOLUME_TOTAL_CALL</stp>
        <stp>16/06/2016</stp>
        <stp>16/06/2016</stp>
        <stp>[Bbg_Market_Data_CL.xlsm]data!R204C15</stp>
        <tr r="O204" s="1"/>
      </tp>
      <tp t="s">
        <v>#N/A Requesting Data...</v>
        <stp/>
        <stp>##V3_BDHV12</stp>
        <stp>CL2 Comdty</stp>
        <stp>VOLUME_TOTAL_CALL</stp>
        <stp>05/04/2016</stp>
        <stp>05/04/2016</stp>
        <stp>[Bbg_Market_Data_CL.xlsm]data!R255C15</stp>
        <tr r="O255" s="1"/>
      </tp>
      <tp t="s">
        <v>#N/A Requesting Data...</v>
        <stp/>
        <stp>##V3_BDHV12</stp>
        <stp>CL1 Comdty</stp>
        <stp>VOLATILITY_10D</stp>
        <stp>18/01/2017</stp>
        <stp>18/01/2017</stp>
        <stp>[Bbg_Market_Data_CL.xlsm]data!R59C17</stp>
        <tr r="Q59" s="1"/>
      </tp>
      <tp>
        <v>27.42</v>
        <stp/>
        <stp>##V3_BDHV12</stp>
        <stp>CL2 Comdty</stp>
        <stp>VOLATILITY_30D</stp>
        <stp>19/01/2017</stp>
        <stp>19/01/2017</stp>
        <stp>[Bbg_Market_Data_CL.xlsm]data!R58C18</stp>
        <tr r="R58" s="1"/>
      </tp>
      <tp t="s">
        <v>#N/A Requesting Data...</v>
        <stp/>
        <stp>##V3_BDHV12</stp>
        <stp>CL2 Comdty</stp>
        <stp>VOLUME_TOTAL_CALL</stp>
        <stp>06/07/2016</stp>
        <stp>06/07/2016</stp>
        <stp>[Bbg_Market_Data_CL.xlsm]data!R191C15</stp>
        <tr r="O191" s="1"/>
      </tp>
      <tp t="s">
        <v>#N/A Requesting Data...</v>
        <stp/>
        <stp>##V3_BDHV12</stp>
        <stp>CL1 Comdty</stp>
        <stp>VOLUME_TOTAL_CALL</stp>
        <stp>27/04/2016</stp>
        <stp>27/04/2016</stp>
        <stp>[Bbg_Market_Data_CL.xlsm]data!R239C15</stp>
        <tr r="O239" s="1"/>
      </tp>
      <tp t="s">
        <v>#N/A Requesting Data...</v>
        <stp/>
        <stp>##V3_BDHV12</stp>
        <stp>CL2 Comdty</stp>
        <stp>VOLUME_TOTAL_CALL</stp>
        <stp>04/05/2016</stp>
        <stp>04/05/2016</stp>
        <stp>[Bbg_Market_Data_CL.xlsm]data!R234C15</stp>
        <tr r="O234" s="1"/>
      </tp>
      <tp t="s">
        <v>#N/A Requesting Data...</v>
        <stp/>
        <stp>##V3_BDHV12</stp>
        <stp>CL1 Comdty</stp>
        <stp>VOLUME_TOTAL_CALL</stp>
        <stp>07/06/2016</stp>
        <stp>07/06/2016</stp>
        <stp>[Bbg_Market_Data_CL.xlsm]data!R211C15</stp>
        <tr r="O211" s="1"/>
      </tp>
      <tp t="s">
        <v>#N/A Requesting Data...</v>
        <stp/>
        <stp>##V3_BDHV12</stp>
        <stp>CL1 Comdty</stp>
        <stp>VOLATILITY_10D</stp>
        <stp>19/01/2017</stp>
        <stp>19/01/2017</stp>
        <stp>[Bbg_Market_Data_CL.xlsm]data!R58C17</stp>
        <tr r="Q58" s="1"/>
      </tp>
      <tp t="s">
        <v>#N/A Requesting Data...</v>
        <stp/>
        <stp>##V3_BDHV12</stp>
        <stp>CL2 Comdty</stp>
        <stp>VOLUME_TOTAL_CALL</stp>
        <stp>14/04/2016</stp>
        <stp>14/04/2016</stp>
        <stp>[Bbg_Market_Data_CL.xlsm]data!R248C15</stp>
        <tr r="O248" s="1"/>
      </tp>
      <tp>
        <v>27.82</v>
        <stp/>
        <stp>##V3_BDHV12</stp>
        <stp>CL2 Comdty</stp>
        <stp>VOLATILITY_30D</stp>
        <stp>18/01/2017</stp>
        <stp>18/01/2017</stp>
        <stp>[Bbg_Market_Data_CL.xlsm]data!R59C18</stp>
        <tr r="R59" s="1"/>
      </tp>
      <tp>
        <v>19.149999999999999</v>
        <stp/>
        <stp>##V3_BDHV12</stp>
        <stp>CL2 Comdty</stp>
        <stp>VOLATILITY_30D</stp>
        <stp>28/02/2017</stp>
        <stp>28/02/2017</stp>
        <stp>[Bbg_Market_Data_CL.xlsm]data!R31C18</stp>
        <tr r="R31" s="1"/>
      </tp>
      <tp t="s">
        <v>#N/A Requesting Data...</v>
        <stp/>
        <stp>##V3_BDHV12</stp>
        <stp>CL2 Comdty</stp>
        <stp>VOLUME_TOTAL_CALL</stp>
        <stp>27/04/2016</stp>
        <stp>27/04/2016</stp>
        <stp>[Bbg_Market_Data_CL.xlsm]data!R239C15</stp>
        <tr r="O239" s="1"/>
      </tp>
      <tp t="s">
        <v>#N/A Requesting Data...</v>
        <stp/>
        <stp>##V3_BDHV12</stp>
        <stp>CL1 Comdty</stp>
        <stp>VOLUME_TOTAL_CALL</stp>
        <stp>04/05/2016</stp>
        <stp>04/05/2016</stp>
        <stp>[Bbg_Market_Data_CL.xlsm]data!R234C15</stp>
        <tr r="O234" s="1"/>
      </tp>
      <tp t="s">
        <v>#N/A Requesting Data...</v>
        <stp/>
        <stp>##V3_BDHV12</stp>
        <stp>CL2 Comdty</stp>
        <stp>VOLUME_TOTAL_CALL</stp>
        <stp>07/06/2016</stp>
        <stp>07/06/2016</stp>
        <stp>[Bbg_Market_Data_CL.xlsm]data!R211C15</stp>
        <tr r="O211" s="1"/>
      </tp>
      <tp>
        <v>33.200000000000003</v>
        <stp/>
        <stp>##V3_BDHV12</stp>
        <stp>CL2 Comdty</stp>
        <stp>VOLATILITY_10D</stp>
        <stp>19/01/2017</stp>
        <stp>19/01/2017</stp>
        <stp>[Bbg_Market_Data_CL.xlsm]data!R58C17</stp>
        <tr r="Q58" s="1"/>
      </tp>
      <tp t="s">
        <v>#N/A Requesting Data...</v>
        <stp/>
        <stp>##V3_BDHV12</stp>
        <stp>CL1 Comdty</stp>
        <stp>VOLUME_TOTAL_CALL</stp>
        <stp>14/04/2016</stp>
        <stp>14/04/2016</stp>
        <stp>[Bbg_Market_Data_CL.xlsm]data!R248C15</stp>
        <tr r="O248" s="1"/>
      </tp>
      <tp t="s">
        <v>#N/A Requesting Data...</v>
        <stp/>
        <stp>##V3_BDHV12</stp>
        <stp>CL1 Comdty</stp>
        <stp>VOLATILITY_30D</stp>
        <stp>18/01/2017</stp>
        <stp>18/01/2017</stp>
        <stp>[Bbg_Market_Data_CL.xlsm]data!R59C18</stp>
        <tr r="R59" s="1"/>
      </tp>
      <tp t="s">
        <v>#N/A Requesting Data...</v>
        <stp/>
        <stp>##V3_BDHV12</stp>
        <stp>CL1 Comdty</stp>
        <stp>VOLATILITY_30D</stp>
        <stp>28/02/2017</stp>
        <stp>28/02/2017</stp>
        <stp>[Bbg_Market_Data_CL.xlsm]data!R31C18</stp>
        <tr r="R31" s="1"/>
      </tp>
      <tp>
        <v>12.13</v>
        <stp/>
        <stp>##V3_BDHV12</stp>
        <stp>CL2 Comdty</stp>
        <stp>VOLATILITY_10D</stp>
        <stp>28/02/2017</stp>
        <stp>28/02/2017</stp>
        <stp>[Bbg_Market_Data_CL.xlsm]data!R31C17</stp>
        <tr r="Q31" s="1"/>
      </tp>
      <tp t="s">
        <v>#N/A Requesting Data...</v>
        <stp/>
        <stp>##V3_BDHV12</stp>
        <stp>CL2 Comdty</stp>
        <stp>VOLUME_TOTAL_CALL</stp>
        <stp>26/05/2016</stp>
        <stp>26/05/2016</stp>
        <stp>[Bbg_Market_Data_CL.xlsm]data!R218C15</stp>
        <tr r="O218" s="1"/>
      </tp>
      <tp t="s">
        <v>#N/A Requesting Data...</v>
        <stp/>
        <stp>##V3_BDHV12</stp>
        <stp>CL2 Comdty</stp>
        <stp>VOLUME_TOTAL_CALL</stp>
        <stp>16/06/2016</stp>
        <stp>16/06/2016</stp>
        <stp>[Bbg_Market_Data_CL.xlsm]data!R204C15</stp>
        <tr r="O204" s="1"/>
      </tp>
      <tp t="s">
        <v>#N/A Requesting Data...</v>
        <stp/>
        <stp>##V3_BDHV12</stp>
        <stp>CL1 Comdty</stp>
        <stp>VOLUME_TOTAL_CALL</stp>
        <stp>05/04/2016</stp>
        <stp>05/04/2016</stp>
        <stp>[Bbg_Market_Data_CL.xlsm]data!R255C15</stp>
        <tr r="O255" s="1"/>
      </tp>
      <tp>
        <v>33.659999999999997</v>
        <stp/>
        <stp>##V3_BDHV12</stp>
        <stp>CL2 Comdty</stp>
        <stp>VOLATILITY_10D</stp>
        <stp>18/01/2017</stp>
        <stp>18/01/2017</stp>
        <stp>[Bbg_Market_Data_CL.xlsm]data!R59C17</stp>
        <tr r="Q59" s="1"/>
      </tp>
      <tp t="s">
        <v>#N/A Requesting Data...</v>
        <stp/>
        <stp>##V3_BDHV12</stp>
        <stp>CL1 Comdty</stp>
        <stp>VOLATILITY_30D</stp>
        <stp>19/01/2017</stp>
        <stp>19/01/2017</stp>
        <stp>[Bbg_Market_Data_CL.xlsm]data!R58C18</stp>
        <tr r="R58" s="1"/>
      </tp>
      <tp t="s">
        <v>#N/A Requesting Data...</v>
        <stp/>
        <stp>##V3_BDHV12</stp>
        <stp>CL1 Comdty</stp>
        <stp>VOLUME_TOTAL_CALL</stp>
        <stp>06/07/2016</stp>
        <stp>06/07/2016</stp>
        <stp>[Bbg_Market_Data_CL.xlsm]data!R191C15</stp>
        <tr r="O191" s="1"/>
      </tp>
      <tp t="s">
        <v>#N/A Requesting Data...</v>
        <stp/>
        <stp>##V3_BDHV12</stp>
        <stp>CL1 Comdty</stp>
        <stp>VOLUME_TOTAL_CALL</stp>
        <stp>09/08/2016</stp>
        <stp>09/08/2016</stp>
        <stp>[Bbg_Market_Data_CL.xlsm]data!R168C15</stp>
        <tr r="O168" s="1"/>
      </tp>
      <tp t="s">
        <v>#N/A Requesting Data...</v>
        <stp/>
        <stp>##V3_BDHV12</stp>
        <stp>CL1 Comdty</stp>
        <stp>VOLUME_TOTAL_CALL</stp>
        <stp>19/09/2016</stp>
        <stp>19/09/2016</stp>
        <stp>[Bbg_Market_Data_CL.xlsm]data!R140C15</stp>
        <tr r="O140" s="1"/>
      </tp>
      <tp>
        <v>32.85</v>
        <stp/>
        <stp>##V3_BDHV12</stp>
        <stp>CL2 Comdty</stp>
        <stp>VOLATILITY_10D</stp>
        <stp>17/01/2017</stp>
        <stp>17/01/2017</stp>
        <stp>[Bbg_Market_Data_CL.xlsm]data!R60C17</stp>
        <tr r="Q60" s="1"/>
      </tp>
      <tp t="s">
        <v>#N/A Requesting Data...</v>
        <stp/>
        <stp>##V3_BDHV12</stp>
        <stp>CL1 Comdty</stp>
        <stp>VOLATILITY_10D</stp>
        <stp>24/02/2017</stp>
        <stp>24/02/2017</stp>
        <stp>[Bbg_Market_Data_CL.xlsm]data!R33C17</stp>
        <tr r="Q33" s="1"/>
      </tp>
      <tp>
        <v>12.25</v>
        <stp/>
        <stp>##V3_BDHV12</stp>
        <stp>CL2 Comdty</stp>
        <stp>VOLATILITY_10D</stp>
        <stp>27/02/2017</stp>
        <stp>27/02/2017</stp>
        <stp>[Bbg_Market_Data_CL.xlsm]data!R32C17</stp>
        <tr r="Q32" s="1"/>
      </tp>
      <tp t="s">
        <v>#N/A Requesting Data...</v>
        <stp/>
        <stp>##V3_BDHV12</stp>
        <stp>CL1 Comdty</stp>
        <stp>VOLATILITY_30D</stp>
        <stp>27/02/2017</stp>
        <stp>27/02/2017</stp>
        <stp>[Bbg_Market_Data_CL.xlsm]data!R32C18</stp>
        <tr r="R32" s="1"/>
      </tp>
      <tp>
        <v>19.59</v>
        <stp/>
        <stp>##V3_BDHV12</stp>
        <stp>CL2 Comdty</stp>
        <stp>VOLATILITY_30D</stp>
        <stp>24/02/2017</stp>
        <stp>24/02/2017</stp>
        <stp>[Bbg_Market_Data_CL.xlsm]data!R33C18</stp>
        <tr r="R33" s="1"/>
      </tp>
      <tp t="s">
        <v>#N/A Requesting Data...</v>
        <stp/>
        <stp>##V3_BDHV12</stp>
        <stp>CL1 Comdty</stp>
        <stp>VOLATILITY_30D</stp>
        <stp>17/01/2017</stp>
        <stp>17/01/2017</stp>
        <stp>[Bbg_Market_Data_CL.xlsm]data!R60C18</stp>
        <tr r="R60" s="1"/>
      </tp>
      <tp t="s">
        <v>#N/A Requesting Data...</v>
        <stp/>
        <stp>##V3_BDHV12</stp>
        <stp>CL1 Comdty</stp>
        <stp>VOLUME_TOTAL_CALL</stp>
        <stp>18/08/2016</stp>
        <stp>18/08/2016</stp>
        <stp>[Bbg_Market_Data_CL.xlsm]data!R161C15</stp>
        <tr r="O161" s="1"/>
      </tp>
      <tp t="s">
        <v>#N/A Requesting Data...</v>
        <stp/>
        <stp>##V3_BDHV12</stp>
        <stp>CL1 Comdty</stp>
        <stp>VOLUME_TOTAL_CALL</stp>
        <stp>08/09/2016</stp>
        <stp>08/09/2016</stp>
        <stp>[Bbg_Market_Data_CL.xlsm]data!R147C15</stp>
        <tr r="O147" s="1"/>
      </tp>
      <tp t="s">
        <v>#N/A Requesting Data...</v>
        <stp/>
        <stp>##V3_BDHV12</stp>
        <stp>CL1 Comdty</stp>
        <stp>VOLUME_TOTAL_CALL</stp>
        <stp>29/09/2015</stp>
        <stp>29/09/2015</stp>
        <stp>[Bbg_Market_Data_CL.xlsm]data!R381C15</stp>
        <tr r="O381" s="1"/>
      </tp>
      <tp>
        <v>19.16</v>
        <stp/>
        <stp>##V3_BDHV12</stp>
        <stp>CL2 Comdty</stp>
        <stp>VOLATILITY_30D</stp>
        <stp>27/02/2017</stp>
        <stp>27/02/2017</stp>
        <stp>[Bbg_Market_Data_CL.xlsm]data!R32C18</stp>
        <tr r="R32" s="1"/>
      </tp>
      <tp t="s">
        <v>#N/A Requesting Data...</v>
        <stp/>
        <stp>##V3_BDHV12</stp>
        <stp>CL1 Comdty</stp>
        <stp>VOLATILITY_30D</stp>
        <stp>24/02/2017</stp>
        <stp>24/02/2017</stp>
        <stp>[Bbg_Market_Data_CL.xlsm]data!R33C18</stp>
        <tr r="R33" s="1"/>
      </tp>
      <tp>
        <v>26.7</v>
        <stp/>
        <stp>##V3_BDHV12</stp>
        <stp>CL2 Comdty</stp>
        <stp>VOLATILITY_30D</stp>
        <stp>17/01/2017</stp>
        <stp>17/01/2017</stp>
        <stp>[Bbg_Market_Data_CL.xlsm]data!R60C18</stp>
        <tr r="R60" s="1"/>
      </tp>
      <tp t="s">
        <v>#N/A Requesting Data...</v>
        <stp/>
        <stp>##V3_BDHV12</stp>
        <stp>CL2 Comdty</stp>
        <stp>VOLUME_TOTAL_CALL</stp>
        <stp>18/08/2016</stp>
        <stp>18/08/2016</stp>
        <stp>[Bbg_Market_Data_CL.xlsm]data!R161C15</stp>
        <tr r="O161" s="1"/>
      </tp>
      <tp t="s">
        <v>#N/A Requesting Data...</v>
        <stp/>
        <stp>##V3_BDHV12</stp>
        <stp>CL2 Comdty</stp>
        <stp>VOLUME_TOTAL_CALL</stp>
        <stp>08/09/2016</stp>
        <stp>08/09/2016</stp>
        <stp>[Bbg_Market_Data_CL.xlsm]data!R147C15</stp>
        <tr r="O147" s="1"/>
      </tp>
      <tp t="s">
        <v>#N/A Requesting Data...</v>
        <stp/>
        <stp>##V3_BDHV12</stp>
        <stp>CL2 Comdty</stp>
        <stp>VOLUME_TOTAL_CALL</stp>
        <stp>29/09/2015</stp>
        <stp>29/09/2015</stp>
        <stp>[Bbg_Market_Data_CL.xlsm]data!R381C15</stp>
        <tr r="O381" s="1"/>
      </tp>
      <tp t="s">
        <v>#N/A Requesting Data...</v>
        <stp/>
        <stp>##V3_BDHV12</stp>
        <stp>CL2 Comdty</stp>
        <stp>VOLUME_TOTAL_CALL</stp>
        <stp>09/08/2016</stp>
        <stp>09/08/2016</stp>
        <stp>[Bbg_Market_Data_CL.xlsm]data!R168C15</stp>
        <tr r="O168" s="1"/>
      </tp>
      <tp t="s">
        <v>#N/A Requesting Data...</v>
        <stp/>
        <stp>##V3_BDHV12</stp>
        <stp>CL2 Comdty</stp>
        <stp>VOLUME_TOTAL_CALL</stp>
        <stp>19/09/2016</stp>
        <stp>19/09/2016</stp>
        <stp>[Bbg_Market_Data_CL.xlsm]data!R140C15</stp>
        <tr r="O140" s="1"/>
      </tp>
      <tp t="s">
        <v>#N/A Requesting Data...</v>
        <stp/>
        <stp>##V3_BDHV12</stp>
        <stp>CL1 Comdty</stp>
        <stp>VOLATILITY_10D</stp>
        <stp>17/01/2017</stp>
        <stp>17/01/2017</stp>
        <stp>[Bbg_Market_Data_CL.xlsm]data!R60C17</stp>
        <tr r="Q60" s="1"/>
      </tp>
      <tp>
        <v>15.87</v>
        <stp/>
        <stp>##V3_BDHV12</stp>
        <stp>CL2 Comdty</stp>
        <stp>VOLATILITY_10D</stp>
        <stp>24/02/2017</stp>
        <stp>24/02/2017</stp>
        <stp>[Bbg_Market_Data_CL.xlsm]data!R33C17</stp>
        <tr r="Q33" s="1"/>
      </tp>
      <tp t="s">
        <v>#N/A Requesting Data...</v>
        <stp/>
        <stp>##V3_BDHV12</stp>
        <stp>CL1 Comdty</stp>
        <stp>VOLATILITY_10D</stp>
        <stp>27/02/2017</stp>
        <stp>27/02/2017</stp>
        <stp>[Bbg_Market_Data_CL.xlsm]data!R32C17</stp>
        <tr r="Q32" s="1"/>
      </tp>
      <tp t="s">
        <v>#N/A Requesting Data...</v>
        <stp/>
        <stp>##V3_BDHV12</stp>
        <stp>CL1 Comdty</stp>
        <stp>VOLATILITY_30D</stp>
        <stp>12/01/2017</stp>
        <stp>12/01/2017</stp>
        <stp>[Bbg_Market_Data_CL.xlsm]data!R62C18</stp>
        <tr r="R62" s="1"/>
      </tp>
      <tp>
        <v>37.85</v>
        <stp/>
        <stp>##V3_BDHV12</stp>
        <stp>CL2 Comdty</stp>
        <stp>VOLATILITY_30D</stp>
        <stp>11/01/2017</stp>
        <stp>11/01/2017</stp>
        <stp>[Bbg_Market_Data_CL.xlsm]data!R63C18</stp>
        <tr r="R63" s="1"/>
      </tp>
      <tp t="s">
        <v>#N/A Requesting Data...</v>
        <stp/>
        <stp>##V3_BDHV12</stp>
        <stp>CL2 Comdty</stp>
        <stp>VOLUME_TOTAL_CALL</stp>
        <stp>28/08/2015</stp>
        <stp>28/08/2015</stp>
        <stp>[Bbg_Market_Data_CL.xlsm]data!R402C15</stp>
        <tr r="O402" s="1"/>
      </tp>
      <tp t="s">
        <v>#N/A Requesting Data...</v>
        <stp/>
        <stp>##V3_BDHV12</stp>
        <stp>CL1 Comdty</stp>
        <stp>VOLATILITY_30D</stp>
        <stp>22/02/2017</stp>
        <stp>22/02/2017</stp>
        <stp>[Bbg_Market_Data_CL.xlsm]data!R35C18</stp>
        <tr r="R35" s="1"/>
      </tp>
      <tp>
        <v>21.86</v>
        <stp/>
        <stp>##V3_BDHV12</stp>
        <stp>CL2 Comdty</stp>
        <stp>VOLATILITY_30D</stp>
        <stp>21/02/2017</stp>
        <stp>21/02/2017</stp>
        <stp>[Bbg_Market_Data_CL.xlsm]data!R36C18</stp>
        <tr r="R36" s="1"/>
      </tp>
      <tp>
        <v>17.16</v>
        <stp/>
        <stp>##V3_BDHV12</stp>
        <stp>CL2 Comdty</stp>
        <stp>VOLATILITY_10D</stp>
        <stp>23/02/2017</stp>
        <stp>23/02/2017</stp>
        <stp>[Bbg_Market_Data_CL.xlsm]data!R34C17</stp>
        <tr r="Q34" s="1"/>
      </tp>
      <tp t="s">
        <v>#N/A Requesting Data...</v>
        <stp/>
        <stp>##V3_BDHV12</stp>
        <stp>CL1 Comdty</stp>
        <stp>VOLATILITY_10D</stp>
        <stp>10/01/2017</stp>
        <stp>10/01/2017</stp>
        <stp>[Bbg_Market_Data_CL.xlsm]data!R64C17</stp>
        <tr r="Q64" s="1"/>
      </tp>
      <tp t="s">
        <v>#N/A Requesting Data...</v>
        <stp/>
        <stp>##V3_BDHV12</stp>
        <stp>CL1 Comdty</stp>
        <stp>VOLATILITY_10D</stp>
        <stp>30/12/2016</stp>
        <stp>30/12/2016</stp>
        <stp>[Bbg_Market_Data_CL.xlsm]data!R70C17</stp>
        <tr r="Q70" s="1"/>
      </tp>
      <tp>
        <v>35.479999999999997</v>
        <stp/>
        <stp>##V3_BDHV12</stp>
        <stp>CL2 Comdty</stp>
        <stp>VOLATILITY_10D</stp>
        <stp>13/01/2017</stp>
        <stp>13/01/2017</stp>
        <stp>[Bbg_Market_Data_CL.xlsm]data!R61C17</stp>
        <tr r="Q61" s="1"/>
      </tp>
      <tp t="s">
        <v>#N/A Requesting Data...</v>
        <stp/>
        <stp>##V3_BDHV12</stp>
        <stp>CL1 Comdty</stp>
        <stp>VOLATILITY_30D</stp>
        <stp>13/01/2017</stp>
        <stp>13/01/2017</stp>
        <stp>[Bbg_Market_Data_CL.xlsm]data!R61C18</stp>
        <tr r="R61" s="1"/>
      </tp>
      <tp>
        <v>39.5</v>
        <stp/>
        <stp>##V3_BDHV12</stp>
        <stp>CL2 Comdty</stp>
        <stp>VOLATILITY_30D</stp>
        <stp>10/01/2017</stp>
        <stp>10/01/2017</stp>
        <stp>[Bbg_Market_Data_CL.xlsm]data!R64C18</stp>
        <tr r="R64" s="1"/>
      </tp>
      <tp>
        <v>39.549999999999997</v>
        <stp/>
        <stp>##V3_BDHV12</stp>
        <stp>CL2 Comdty</stp>
        <stp>VOLATILITY_30D</stp>
        <stp>30/12/2016</stp>
        <stp>30/12/2016</stp>
        <stp>[Bbg_Market_Data_CL.xlsm]data!R70C18</stp>
        <tr r="R70" s="1"/>
      </tp>
      <tp t="s">
        <v>#N/A Requesting Data...</v>
        <stp/>
        <stp>##V3_BDHV12</stp>
        <stp>CL1 Comdty</stp>
        <stp>VOLATILITY_30D</stp>
        <stp>23/02/2017</stp>
        <stp>23/02/2017</stp>
        <stp>[Bbg_Market_Data_CL.xlsm]data!R34C18</stp>
        <tr r="R34" s="1"/>
      </tp>
      <tp t="s">
        <v>#N/A Requesting Data...</v>
        <stp/>
        <stp>##V3_BDHV12</stp>
        <stp>CL1 Comdty</stp>
        <stp>VOLATILITY_10D</stp>
        <stp>21/02/2017</stp>
        <stp>21/02/2017</stp>
        <stp>[Bbg_Market_Data_CL.xlsm]data!R36C17</stp>
        <tr r="Q36" s="1"/>
      </tp>
      <tp>
        <v>16.16</v>
        <stp/>
        <stp>##V3_BDHV12</stp>
        <stp>CL2 Comdty</stp>
        <stp>VOLATILITY_10D</stp>
        <stp>22/02/2017</stp>
        <stp>22/02/2017</stp>
        <stp>[Bbg_Market_Data_CL.xlsm]data!R35C17</stp>
        <tr r="Q35" s="1"/>
      </tp>
      <tp t="s">
        <v>#N/A Requesting Data...</v>
        <stp/>
        <stp>##V3_BDHV12</stp>
        <stp>CL1 Comdty</stp>
        <stp>VOLATILITY_10D</stp>
        <stp>11/01/2017</stp>
        <stp>11/01/2017</stp>
        <stp>[Bbg_Market_Data_CL.xlsm]data!R63C17</stp>
        <tr r="Q63" s="1"/>
      </tp>
      <tp>
        <v>34.979999999999997</v>
        <stp/>
        <stp>##V3_BDHV12</stp>
        <stp>CL2 Comdty</stp>
        <stp>VOLATILITY_10D</stp>
        <stp>12/01/2017</stp>
        <stp>12/01/2017</stp>
        <stp>[Bbg_Market_Data_CL.xlsm]data!R62C17</stp>
        <tr r="Q62" s="1"/>
      </tp>
      <tp>
        <v>26.97</v>
        <stp/>
        <stp>##V3_BDHV12</stp>
        <stp>CL2 Comdty</stp>
        <stp>VOLATILITY_30D</stp>
        <stp>13/01/2017</stp>
        <stp>13/01/2017</stp>
        <stp>[Bbg_Market_Data_CL.xlsm]data!R61C18</stp>
        <tr r="R61" s="1"/>
      </tp>
      <tp t="s">
        <v>#N/A Requesting Data...</v>
        <stp/>
        <stp>##V3_BDHV12</stp>
        <stp>CL1 Comdty</stp>
        <stp>VOLATILITY_30D</stp>
        <stp>10/01/2017</stp>
        <stp>10/01/2017</stp>
        <stp>[Bbg_Market_Data_CL.xlsm]data!R64C18</stp>
        <tr r="R64" s="1"/>
      </tp>
      <tp t="s">
        <v>#N/A Requesting Data...</v>
        <stp/>
        <stp>##V3_BDHV12</stp>
        <stp>CL1 Comdty</stp>
        <stp>VOLATILITY_30D</stp>
        <stp>30/12/2016</stp>
        <stp>30/12/2016</stp>
        <stp>[Bbg_Market_Data_CL.xlsm]data!R70C18</stp>
        <tr r="R70" s="1"/>
      </tp>
      <tp>
        <v>19.86</v>
        <stp/>
        <stp>##V3_BDHV12</stp>
        <stp>CL2 Comdty</stp>
        <stp>VOLATILITY_30D</stp>
        <stp>23/02/2017</stp>
        <stp>23/02/2017</stp>
        <stp>[Bbg_Market_Data_CL.xlsm]data!R34C18</stp>
        <tr r="R34" s="1"/>
      </tp>
      <tp>
        <v>15.11</v>
        <stp/>
        <stp>##V3_BDHV12</stp>
        <stp>CL2 Comdty</stp>
        <stp>VOLATILITY_10D</stp>
        <stp>21/02/2017</stp>
        <stp>21/02/2017</stp>
        <stp>[Bbg_Market_Data_CL.xlsm]data!R36C17</stp>
        <tr r="Q36" s="1"/>
      </tp>
      <tp t="s">
        <v>#N/A Requesting Data...</v>
        <stp/>
        <stp>##V3_BDHV12</stp>
        <stp>CL1 Comdty</stp>
        <stp>VOLATILITY_10D</stp>
        <stp>22/02/2017</stp>
        <stp>22/02/2017</stp>
        <stp>[Bbg_Market_Data_CL.xlsm]data!R35C17</stp>
        <tr r="Q35" s="1"/>
      </tp>
      <tp>
        <v>33.549999999999997</v>
        <stp/>
        <stp>##V3_BDHV12</stp>
        <stp>CL2 Comdty</stp>
        <stp>VOLATILITY_10D</stp>
        <stp>11/01/2017</stp>
        <stp>11/01/2017</stp>
        <stp>[Bbg_Market_Data_CL.xlsm]data!R63C17</stp>
        <tr r="Q63" s="1"/>
      </tp>
      <tp t="s">
        <v>#N/A Requesting Data...</v>
        <stp/>
        <stp>##V3_BDHV12</stp>
        <stp>CL1 Comdty</stp>
        <stp>VOLATILITY_10D</stp>
        <stp>12/01/2017</stp>
        <stp>12/01/2017</stp>
        <stp>[Bbg_Market_Data_CL.xlsm]data!R62C17</stp>
        <tr r="Q62" s="1"/>
      </tp>
      <tp>
        <v>28.15</v>
        <stp/>
        <stp>##V3_BDHV12</stp>
        <stp>CL2 Comdty</stp>
        <stp>VOLATILITY_30D</stp>
        <stp>12/01/2017</stp>
        <stp>12/01/2017</stp>
        <stp>[Bbg_Market_Data_CL.xlsm]data!R62C18</stp>
        <tr r="R62" s="1"/>
      </tp>
      <tp t="s">
        <v>#N/A Requesting Data...</v>
        <stp/>
        <stp>##V3_BDHV12</stp>
        <stp>CL1 Comdty</stp>
        <stp>VOLATILITY_30D</stp>
        <stp>11/01/2017</stp>
        <stp>11/01/2017</stp>
        <stp>[Bbg_Market_Data_CL.xlsm]data!R63C18</stp>
        <tr r="R63" s="1"/>
      </tp>
      <tp t="s">
        <v>#N/A Requesting Data...</v>
        <stp/>
        <stp>##V3_BDHV12</stp>
        <stp>CL1 Comdty</stp>
        <stp>VOLUME_TOTAL_CALL</stp>
        <stp>28/08/2015</stp>
        <stp>28/08/2015</stp>
        <stp>[Bbg_Market_Data_CL.xlsm]data!R402C15</stp>
        <tr r="O402" s="1"/>
      </tp>
      <tp>
        <v>20.81</v>
        <stp/>
        <stp>##V3_BDHV12</stp>
        <stp>CL2 Comdty</stp>
        <stp>VOLATILITY_30D</stp>
        <stp>22/02/2017</stp>
        <stp>22/02/2017</stp>
        <stp>[Bbg_Market_Data_CL.xlsm]data!R35C18</stp>
        <tr r="R35" s="1"/>
      </tp>
      <tp t="s">
        <v>#N/A Requesting Data...</v>
        <stp/>
        <stp>##V3_BDHV12</stp>
        <stp>CL1 Comdty</stp>
        <stp>VOLATILITY_30D</stp>
        <stp>21/02/2017</stp>
        <stp>21/02/2017</stp>
        <stp>[Bbg_Market_Data_CL.xlsm]data!R36C18</stp>
        <tr r="R36" s="1"/>
      </tp>
      <tp t="s">
        <v>#N/A Requesting Data...</v>
        <stp/>
        <stp>##V3_BDHV12</stp>
        <stp>CL1 Comdty</stp>
        <stp>VOLATILITY_10D</stp>
        <stp>23/02/2017</stp>
        <stp>23/02/2017</stp>
        <stp>[Bbg_Market_Data_CL.xlsm]data!R34C17</stp>
        <tr r="Q34" s="1"/>
      </tp>
      <tp>
        <v>28.84</v>
        <stp/>
        <stp>##V3_BDHV12</stp>
        <stp>CL2 Comdty</stp>
        <stp>VOLATILITY_10D</stp>
        <stp>10/01/2017</stp>
        <stp>10/01/2017</stp>
        <stp>[Bbg_Market_Data_CL.xlsm]data!R64C17</stp>
        <tr r="Q64" s="1"/>
      </tp>
      <tp>
        <v>9.5299999999999994</v>
        <stp/>
        <stp>##V3_BDHV12</stp>
        <stp>CL2 Comdty</stp>
        <stp>VOLATILITY_10D</stp>
        <stp>30/12/2016</stp>
        <stp>30/12/2016</stp>
        <stp>[Bbg_Market_Data_CL.xlsm]data!R70C17</stp>
        <tr r="Q70" s="1"/>
      </tp>
      <tp t="s">
        <v>#N/A Requesting Data...</v>
        <stp/>
        <stp>##V3_BDHV12</stp>
        <stp>CL1 Comdty</stp>
        <stp>VOLATILITY_10D</stp>
        <stp>13/01/2017</stp>
        <stp>13/01/2017</stp>
        <stp>[Bbg_Market_Data_CL.xlsm]data!R61C17</stp>
        <tr r="Q61" s="1"/>
      </tp>
      <tp>
        <v>402547</v>
        <stp/>
        <stp>##V3_BDHV12</stp>
        <stp>CL2 Comdty</stp>
        <stp>PX_VOLUME</stp>
        <stp>18/12/2015</stp>
        <stp>18/12/2015</stp>
        <stp>[Bbg_Market_Data_CL.xlsm]data!R326C8</stp>
        <tr r="H326" s="1"/>
      </tp>
      <tp>
        <v>414385</v>
        <stp/>
        <stp>##V3_BDHV12</stp>
        <stp>CL2 Comdty</stp>
        <stp>PX_VOLUME</stp>
        <stp>09/11/2016</stp>
        <stp>09/11/2016</stp>
        <stp>[Bbg_Market_Data_CL.xlsm]data!R104C8</stp>
        <tr r="H104" s="1"/>
      </tp>
      <tp t="s">
        <v>#N/A Requesting Data...</v>
        <stp/>
        <stp>##V3_BDHV12</stp>
        <stp>CL1 Comdty</stp>
        <stp>PX_VOLUME</stp>
        <stp>18/12/2015</stp>
        <stp>18/12/2015</stp>
        <stp>[Bbg_Market_Data_CL.xlsm]data!R326C8</stp>
        <tr r="H326" s="1"/>
      </tp>
      <tp t="s">
        <v>#N/A Requesting Data...</v>
        <stp/>
        <stp>##V3_BDHV12</stp>
        <stp>CL1 Comdty</stp>
        <stp>PX_VOLUME</stp>
        <stp>09/11/2016</stp>
        <stp>09/11/2016</stp>
        <stp>[Bbg_Market_Data_CL.xlsm]data!R104C8</stp>
        <tr r="H104" s="1"/>
      </tp>
      <tp t="s">
        <v>#N/A Requesting Data...</v>
        <stp/>
        <stp>##V3_BDHV12</stp>
        <stp>CL1 Comdty</stp>
        <stp>PX_VOLUME</stp>
        <stp>18/03/2016</stp>
        <stp>18/03/2016</stp>
        <stp>[Bbg_Market_Data_CL.xlsm]data!R266C8</stp>
        <tr r="H266" s="1"/>
      </tp>
      <tp>
        <v>671720</v>
        <stp/>
        <stp>##V3_BDHV12</stp>
        <stp>CL2 Comdty</stp>
        <stp>PX_VOLUME</stp>
        <stp>18/03/2016</stp>
        <stp>18/03/2016</stp>
        <stp>[Bbg_Market_Data_CL.xlsm]data!R266C8</stp>
        <tr r="H266" s="1"/>
      </tp>
      <tp t="s">
        <v>#N/A Requesting Data...</v>
        <stp/>
        <stp>##V3_BDHV12</stp>
        <stp>CL1 Comdty</stp>
        <stp>PX_VOLUME</stp>
        <stp>18/02/2016</stp>
        <stp>18/02/2016</stp>
        <stp>[Bbg_Market_Data_CL.xlsm]data!R287C8</stp>
        <tr r="H287" s="1"/>
      </tp>
      <tp>
        <v>432126</v>
        <stp/>
        <stp>##V3_BDHV12</stp>
        <stp>CL2 Comdty</stp>
        <stp>PX_VOLUME</stp>
        <stp>18/02/2016</stp>
        <stp>18/02/2016</stp>
        <stp>[Bbg_Market_Data_CL.xlsm]data!R287C8</stp>
        <tr r="H287" s="1"/>
      </tp>
      <tp t="s">
        <v>#N/A Requesting Data...</v>
        <stp/>
        <stp>##V3_BDHV12</stp>
        <stp>CL1 Comdty</stp>
        <stp>PX_VOLUME</stp>
        <stp>09/05/2016</stp>
        <stp>09/05/2016</stp>
        <stp>[Bbg_Market_Data_CL.xlsm]data!R231C8</stp>
        <tr r="H231" s="1"/>
      </tp>
      <tp>
        <v>293116</v>
        <stp/>
        <stp>##V3_BDHV12</stp>
        <stp>CL2 Comdty</stp>
        <stp>PX_VOLUME</stp>
        <stp>09/05/2016</stp>
        <stp>09/05/2016</stp>
        <stp>[Bbg_Market_Data_CL.xlsm]data!R231C8</stp>
        <tr r="H231" s="1"/>
      </tp>
      <tp>
        <v>481709</v>
        <stp/>
        <stp>##V3_BDHV12</stp>
        <stp>CL2 Comdty</stp>
        <stp>PX_VOLUME</stp>
        <stp>19/07/2016</stp>
        <stp>19/07/2016</stp>
        <stp>[Bbg_Market_Data_CL.xlsm]data!R182C8</stp>
        <tr r="H182" s="1"/>
      </tp>
      <tp t="s">
        <v>#N/A Requesting Data...</v>
        <stp/>
        <stp>##V3_BDHV12</stp>
        <stp>CL1 Comdty</stp>
        <stp>PX_VOLUME</stp>
        <stp>19/07/2016</stp>
        <stp>19/07/2016</stp>
        <stp>[Bbg_Market_Data_CL.xlsm]data!R182C8</stp>
        <tr r="H182" s="1"/>
      </tp>
      <tp>
        <v>168943</v>
        <stp/>
        <stp>##V3_BDHV12</stp>
        <stp>CL2 Comdty</stp>
        <stp>PX_VOLUME</stp>
        <stp>03/03/2016</stp>
        <stp>03/03/2016</stp>
        <stp>[Bbg_Market_Data_CL.xlsm]data!R277C8</stp>
        <tr r="H277" s="1"/>
      </tp>
      <tp t="s">
        <v>#N/A Requesting Data...</v>
        <stp/>
        <stp>##V3_BDHV12</stp>
        <stp>CL1 Comdty</stp>
        <stp>PX_VOLUME</stp>
        <stp>21/03/2016</stp>
        <stp>21/03/2016</stp>
        <stp>[Bbg_Market_Data_CL.xlsm]data!R265C8</stp>
        <tr r="H265" s="1"/>
      </tp>
      <tp>
        <v>479337</v>
        <stp/>
        <stp>##V3_BDHV12</stp>
        <stp>CL2 Comdty</stp>
        <stp>PX_VOLUME</stp>
        <stp>21/03/2016</stp>
        <stp>21/03/2016</stp>
        <stp>[Bbg_Market_Data_CL.xlsm]data!R265C8</stp>
        <tr r="H265" s="1"/>
      </tp>
      <tp t="s">
        <v>#N/A Requesting Data...</v>
        <stp/>
        <stp>##V3_BDHV12</stp>
        <stp>CL1 Comdty</stp>
        <stp>PX_VOLUME</stp>
        <stp>03/03/2016</stp>
        <stp>03/03/2016</stp>
        <stp>[Bbg_Market_Data_CL.xlsm]data!R277C8</stp>
        <tr r="H277" s="1"/>
      </tp>
      <tp>
        <v>417372</v>
        <stp/>
        <stp>##V3_BDHV12</stp>
        <stp>CL2 Comdty</stp>
        <stp>PX_VOLUME</stp>
        <stp>17/06/2016</stp>
        <stp>17/06/2016</stp>
        <stp>[Bbg_Market_Data_CL.xlsm]data!R203C8</stp>
        <tr r="H203" s="1"/>
      </tp>
      <tp>
        <v>116875</v>
        <stp/>
        <stp>##V3_BDHV12</stp>
        <stp>CL2 Comdty</stp>
        <stp>PX_VOLUME</stp>
        <stp>06/06/2016</stp>
        <stp>06/06/2016</stp>
        <stp>[Bbg_Market_Data_CL.xlsm]data!R212C8</stp>
        <tr r="H212" s="1"/>
      </tp>
      <tp t="s">
        <v>#N/A Requesting Data...</v>
        <stp/>
        <stp>##V3_BDHV12</stp>
        <stp>CL1 Comdty</stp>
        <stp>PX_VOLUME</stp>
        <stp>06/06/2016</stp>
        <stp>06/06/2016</stp>
        <stp>[Bbg_Market_Data_CL.xlsm]data!R212C8</stp>
        <tr r="H212" s="1"/>
      </tp>
      <tp t="s">
        <v>#N/A Requesting Data...</v>
        <stp/>
        <stp>##V3_BDHV12</stp>
        <stp>CL1 Comdty</stp>
        <stp>PX_VOLUME</stp>
        <stp>17/06/2016</stp>
        <stp>17/06/2016</stp>
        <stp>[Bbg_Market_Data_CL.xlsm]data!R203C8</stp>
        <tr r="H203" s="1"/>
      </tp>
      <tp>
        <v>289101</v>
        <stp/>
        <stp>##V3_BDHV12</stp>
        <stp>CL2 Comdty</stp>
        <stp>PX_VOLUME</stp>
        <stp>03/02/2016</stp>
        <stp>03/02/2016</stp>
        <stp>[Bbg_Market_Data_CL.xlsm]data!R296C8</stp>
        <tr r="H296" s="1"/>
      </tp>
      <tp t="s">
        <v>#N/A Requesting Data...</v>
        <stp/>
        <stp>##V3_BDHV12</stp>
        <stp>CL2 Comdty</stp>
        <stp>PX_VOLUME</stp>
        <stp>07/05/2015</stp>
        <stp>07/05/2015</stp>
        <stp>[Bbg_Market_Data_CL.xlsm]data!R481C8</stp>
        <tr r="H481" s="1"/>
      </tp>
      <tp>
        <v>361314</v>
        <stp/>
        <stp>##V3_BDHV12</stp>
        <stp>CL2 Comdty</stp>
        <stp>PX_VOLUME</stp>
        <stp>20/10/2015</stp>
        <stp>20/10/2015</stp>
        <stp>[Bbg_Market_Data_CL.xlsm]data!R367C8</stp>
        <tr r="H367" s="1"/>
      </tp>
      <tp t="s">
        <v>#N/A Requesting Data...</v>
        <stp/>
        <stp>##V3_BDHV12</stp>
        <stp>CL1 Comdty</stp>
        <stp>PX_VOLUME</stp>
        <stp>04/06/2015</stp>
        <stp>04/06/2015</stp>
        <stp>[Bbg_Market_Data_CL.xlsm]data!R462C8</stp>
        <tr r="H462" s="1"/>
      </tp>
      <tp t="s">
        <v>#N/A Requesting Data...</v>
        <stp/>
        <stp>##V3_BDHV12</stp>
        <stp>CL1 Comdty</stp>
        <stp>PX_VOLUME</stp>
        <stp>07/05/2015</stp>
        <stp>07/05/2015</stp>
        <stp>[Bbg_Market_Data_CL.xlsm]data!R481C8</stp>
        <tr r="H481" s="1"/>
      </tp>
      <tp t="s">
        <v>#N/A Requesting Data...</v>
        <stp/>
        <stp>##V3_BDHV12</stp>
        <stp>CL1 Comdty</stp>
        <stp>PX_VOLUME</stp>
        <stp>20/10/2015</stp>
        <stp>20/10/2015</stp>
        <stp>[Bbg_Market_Data_CL.xlsm]data!R367C8</stp>
        <tr r="H367" s="1"/>
      </tp>
      <tp t="s">
        <v>#N/A Requesting Data...</v>
        <stp/>
        <stp>##V3_BDHV12</stp>
        <stp>CL2 Comdty</stp>
        <stp>PX_VOLUME</stp>
        <stp>04/06/2015</stp>
        <stp>04/06/2015</stp>
        <stp>[Bbg_Market_Data_CL.xlsm]data!R462C8</stp>
        <tr r="H462" s="1"/>
      </tp>
      <tp t="s">
        <v>#N/A Requesting Data...</v>
        <stp/>
        <stp>##V3_BDHV12</stp>
        <stp>CL1 Comdty</stp>
        <stp>PX_VOLUME</stp>
        <stp>03/02/2016</stp>
        <stp>03/02/2016</stp>
        <stp>[Bbg_Market_Data_CL.xlsm]data!R296C8</stp>
        <tr r="H296" s="1"/>
      </tp>
      <tp>
        <v>298080</v>
        <stp/>
        <stp>##V3_BDHV12</stp>
        <stp>CL2 Comdty</stp>
        <stp>PX_VOLUME</stp>
        <stp>21/12/2015</stp>
        <stp>21/12/2015</stp>
        <stp>[Bbg_Market_Data_CL.xlsm]data!R325C8</stp>
        <tr r="H325" s="1"/>
      </tp>
      <tp t="s">
        <v>#N/A Requesting Data...</v>
        <stp/>
        <stp>##V3_BDHV12</stp>
        <stp>CL2 Comdty</stp>
        <stp>PX_VOLUME</stp>
        <stp>17/07/2015</stp>
        <stp>17/07/2015</stp>
        <stp>[Bbg_Market_Data_CL.xlsm]data!R432C8</stp>
        <tr r="H432" s="1"/>
      </tp>
      <tp t="s">
        <v>#N/A Requesting Data...</v>
        <stp/>
        <stp>##V3_BDHV12</stp>
        <stp>CL1 Comdty</stp>
        <stp>PX_VOLUME</stp>
        <stp>03/12/2015</stp>
        <stp>03/12/2015</stp>
        <stp>[Bbg_Market_Data_CL.xlsm]data!R337C8</stp>
        <tr r="H337" s="1"/>
      </tp>
      <tp t="s">
        <v>#N/A Requesting Data...</v>
        <stp/>
        <stp>##V3_BDHV12</stp>
        <stp>CL1 Comdty</stp>
        <stp>PX_VOLUME</stp>
        <stp>17/07/2015</stp>
        <stp>17/07/2015</stp>
        <stp>[Bbg_Market_Data_CL.xlsm]data!R432C8</stp>
        <tr r="H432" s="1"/>
      </tp>
      <tp>
        <v>119418</v>
        <stp/>
        <stp>##V3_BDHV12</stp>
        <stp>CL2 Comdty</stp>
        <stp>PX_VOLUME</stp>
        <stp>03/12/2015</stp>
        <stp>03/12/2015</stp>
        <stp>[Bbg_Market_Data_CL.xlsm]data!R337C8</stp>
        <tr r="H337" s="1"/>
      </tp>
      <tp t="s">
        <v>#N/A Requesting Data...</v>
        <stp/>
        <stp>##V3_BDHV12</stp>
        <stp>CL1 Comdty</stp>
        <stp>PX_VOLUME</stp>
        <stp>21/12/2015</stp>
        <stp>21/12/2015</stp>
        <stp>[Bbg_Market_Data_CL.xlsm]data!R325C8</stp>
        <tr r="H325" s="1"/>
      </tp>
      <tp>
        <v>123409</v>
        <stp/>
        <stp>##V3_BDHV12</stp>
        <stp>CL2 Comdty</stp>
        <stp>PX_VOLUME</stp>
        <stp>23/02/2016</stp>
        <stp>23/02/2016</stp>
        <stp>[Bbg_Market_Data_CL.xlsm]data!R284C8</stp>
        <tr r="H284" s="1"/>
      </tp>
      <tp t="s">
        <v>#N/A Requesting Data...</v>
        <stp/>
        <stp>##V3_BDHV12</stp>
        <stp>CL1 Comdty</stp>
        <stp>PX_VOLUME</stp>
        <stp>12/10/2016</stp>
        <stp>12/10/2016</stp>
        <stp>[Bbg_Market_Data_CL.xlsm]data!R124C8</stp>
        <tr r="H124" s="1"/>
      </tp>
      <tp>
        <v>163902</v>
        <stp/>
        <stp>##V3_BDHV12</stp>
        <stp>CL2 Comdty</stp>
        <stp>PX_VOLUME</stp>
        <stp>21/10/2016</stp>
        <stp>21/10/2016</stp>
        <stp>[Bbg_Market_Data_CL.xlsm]data!R117C8</stp>
        <tr r="H117" s="1"/>
      </tp>
      <tp t="s">
        <v>#N/A Requesting Data...</v>
        <stp/>
        <stp>##V3_BDHV12</stp>
        <stp>CL2 Comdty</stp>
        <stp>PX_VOLUME</stp>
        <stp>17/06/2015</stp>
        <stp>17/06/2015</stp>
        <stp>[Bbg_Market_Data_CL.xlsm]data!R453C8</stp>
        <tr r="H453" s="1"/>
      </tp>
      <tp>
        <v>278289</v>
        <stp/>
        <stp>##V3_BDHV12</stp>
        <stp>CL2 Comdty</stp>
        <stp>PX_VOLUME</stp>
        <stp>12/10/2016</stp>
        <stp>12/10/2016</stp>
        <stp>[Bbg_Market_Data_CL.xlsm]data!R124C8</stp>
        <tr r="H124" s="1"/>
      </tp>
      <tp t="s">
        <v>#N/A Requesting Data...</v>
        <stp/>
        <stp>##V3_BDHV12</stp>
        <stp>CL1 Comdty</stp>
        <stp>PX_VOLUME</stp>
        <stp>21/10/2016</stp>
        <stp>21/10/2016</stp>
        <stp>[Bbg_Market_Data_CL.xlsm]data!R117C8</stp>
        <tr r="H117" s="1"/>
      </tp>
      <tp t="s">
        <v>#N/A Requesting Data...</v>
        <stp/>
        <stp>##V3_BDHV12</stp>
        <stp>CL1 Comdty</stp>
        <stp>PX_VOLUME</stp>
        <stp>17/06/2015</stp>
        <stp>17/06/2015</stp>
        <stp>[Bbg_Market_Data_CL.xlsm]data!R453C8</stp>
        <tr r="H453" s="1"/>
      </tp>
      <tp t="s">
        <v>#N/A Requesting Data...</v>
        <stp/>
        <stp>##V3_BDHV12</stp>
        <stp>CL1 Comdty</stp>
        <stp>PX_VOLUME</stp>
        <stp>23/02/2016</stp>
        <stp>23/02/2016</stp>
        <stp>[Bbg_Market_Data_CL.xlsm]data!R284C8</stp>
        <tr r="H284" s="1"/>
      </tp>
      <tp t="s">
        <v>#N/A Requesting Data...</v>
        <stp/>
        <stp>##V3_BDHV12</stp>
        <stp>CL1 Comdty</stp>
        <stp>PX_VOLUME</stp>
        <stp>10/05/2016</stp>
        <stp>10/05/2016</stp>
        <stp>[Bbg_Market_Data_CL.xlsm]data!R230C8</stp>
        <tr r="H230" s="1"/>
      </tp>
      <tp t="s">
        <v>#N/A Requesting Data...</v>
        <stp/>
        <stp>##V3_BDHV12</stp>
        <stp>CL1 Comdty</stp>
        <stp>PX_VOLUME</stp>
        <stp>11/04/2016</stp>
        <stp>11/04/2016</stp>
        <stp>[Bbg_Market_Data_CL.xlsm]data!R251C8</stp>
        <tr r="H251" s="1"/>
      </tp>
      <tp>
        <v>88095</v>
        <stp/>
        <stp>##V3_BDHV12</stp>
        <stp>CL2 Comdty</stp>
        <stp>PX_VOLUME</stp>
        <stp>22/04/2016</stp>
        <stp>22/04/2016</stp>
        <stp>[Bbg_Market_Data_CL.xlsm]data!R242C8</stp>
        <tr r="H242" s="1"/>
      </tp>
      <tp>
        <v>316848</v>
        <stp/>
        <stp>##V3_BDHV12</stp>
        <stp>CL2 Comdty</stp>
        <stp>PX_VOLUME</stp>
        <stp>11/04/2016</stp>
        <stp>11/04/2016</stp>
        <stp>[Bbg_Market_Data_CL.xlsm]data!R251C8</stp>
        <tr r="H251" s="1"/>
      </tp>
      <tp t="s">
        <v>#N/A Requesting Data...</v>
        <stp/>
        <stp>##V3_BDHV12</stp>
        <stp>CL1 Comdty</stp>
        <stp>PX_VOLUME</stp>
        <stp>22/04/2016</stp>
        <stp>22/04/2016</stp>
        <stp>[Bbg_Market_Data_CL.xlsm]data!R242C8</stp>
        <tr r="H242" s="1"/>
      </tp>
      <tp>
        <v>257108</v>
        <stp/>
        <stp>##V3_BDHV12</stp>
        <stp>CL2 Comdty</stp>
        <stp>PX_VOLUME</stp>
        <stp>10/05/2016</stp>
        <stp>10/05/2016</stp>
        <stp>[Bbg_Market_Data_CL.xlsm]data!R230C8</stp>
        <tr r="H230" s="1"/>
      </tp>
      <tp t="s">
        <v>#N/A Requesting Data...</v>
        <stp/>
        <stp>##V3_BDHV12</stp>
        <stp>CL1 Comdty</stp>
        <stp>PX_VOLUME</stp>
        <stp>06/11/2015</stp>
        <stp>06/11/2015</stp>
        <stp>[Bbg_Market_Data_CL.xlsm]data!R354C8</stp>
        <tr r="H354" s="1"/>
      </tp>
      <tp t="s">
        <v>#N/A Requesting Data...</v>
        <stp/>
        <stp>##V3_BDHV12</stp>
        <stp>CL1 Comdty</stp>
        <stp>PX_VOLUME</stp>
        <stp>07/10/2015</stp>
        <stp>07/10/2015</stp>
        <stp>[Bbg_Market_Data_CL.xlsm]data!R375C8</stp>
        <tr r="H375" s="1"/>
      </tp>
      <tp>
        <v>251003</v>
        <stp/>
        <stp>##V3_BDHV12</stp>
        <stp>CL2 Comdty</stp>
        <stp>PX_VOLUME</stp>
        <stp>07/10/2015</stp>
        <stp>07/10/2015</stp>
        <stp>[Bbg_Market_Data_CL.xlsm]data!R375C8</stp>
        <tr r="H375" s="1"/>
      </tp>
      <tp>
        <v>190627</v>
        <stp/>
        <stp>##V3_BDHV12</stp>
        <stp>CL2 Comdty</stp>
        <stp>PX_VOLUME</stp>
        <stp>06/11/2015</stp>
        <stp>06/11/2015</stp>
        <stp>[Bbg_Market_Data_CL.xlsm]data!R354C8</stp>
        <tr r="H354" s="1"/>
      </tp>
      <tp>
        <v>541014</v>
        <stp/>
        <stp>##V3_BDHV12</stp>
        <stp>CL2 Comdty</stp>
        <stp>PX_VOLUME</stp>
        <stp>20/07/2016</stp>
        <stp>20/07/2016</stp>
        <stp>[Bbg_Market_Data_CL.xlsm]data!R181C8</stp>
        <tr r="H181" s="1"/>
      </tp>
      <tp t="s">
        <v>#N/A Requesting Data...</v>
        <stp/>
        <stp>##V3_BDHV12</stp>
        <stp>CL1 Comdty</stp>
        <stp>PX_VOLUME</stp>
        <stp>20/07/2016</stp>
        <stp>20/07/2016</stp>
        <stp>[Bbg_Market_Data_CL.xlsm]data!R181C8</stp>
        <tr r="H181" s="1"/>
      </tp>
      <tp t="s">
        <v>#N/A Requesting Data...</v>
        <stp/>
        <stp>##V3_BDHV12</stp>
        <stp>CL2 Comdty</stp>
        <stp>PX_VOLUME</stp>
        <stp>22/06/2015</stp>
        <stp>22/06/2015</stp>
        <stp>[Bbg_Market_Data_CL.xlsm]data!R450C8</stp>
        <tr r="H450" s="1"/>
      </tp>
      <tp t="s">
        <v>#N/A Requesting Data...</v>
        <stp/>
        <stp>##V3_BDHV12</stp>
        <stp>CL1 Comdty</stp>
        <stp>PX_VOLUME</stp>
        <stp>01/07/2015</stp>
        <stp>01/07/2015</stp>
        <stp>[Bbg_Market_Data_CL.xlsm]data!R443C8</stp>
        <tr r="H443" s="1"/>
      </tp>
      <tp t="s">
        <v>#N/A Requesting Data...</v>
        <stp/>
        <stp>##V3_BDHV12</stp>
        <stp>CL1 Comdty</stp>
        <stp>PX_VOLUME</stp>
        <stp>22/06/2015</stp>
        <stp>22/06/2015</stp>
        <stp>[Bbg_Market_Data_CL.xlsm]data!R450C8</stp>
        <tr r="H450" s="1"/>
      </tp>
      <tp t="s">
        <v>#N/A Requesting Data...</v>
        <stp/>
        <stp>##V3_BDHV12</stp>
        <stp>CL2 Comdty</stp>
        <stp>PX_VOLUME</stp>
        <stp>01/07/2015</stp>
        <stp>01/07/2015</stp>
        <stp>[Bbg_Market_Data_CL.xlsm]data!R443C8</stp>
        <tr r="H443" s="1"/>
      </tp>
      <tp>
        <v>109655</v>
        <stp/>
        <stp>##V3_BDHV12</stp>
        <stp>CL2 Comdty</stp>
        <stp>PX_VOLUME</stp>
        <stp>01/07/2016</stp>
        <stp>01/07/2016</stp>
        <stp>[Bbg_Market_Data_CL.xlsm]data!R193C8</stp>
        <tr r="H193" s="1"/>
      </tp>
      <tp>
        <v>147669</v>
        <stp/>
        <stp>##V3_BDHV12</stp>
        <stp>CL2 Comdty</stp>
        <stp>PX_VOLUME</stp>
        <stp>22/06/2016</stp>
        <stp>22/06/2016</stp>
        <stp>[Bbg_Market_Data_CL.xlsm]data!R200C8</stp>
        <tr r="H200" s="1"/>
      </tp>
      <tp t="s">
        <v>#N/A Requesting Data...</v>
        <stp/>
        <stp>##V3_BDHV12</stp>
        <stp>CL1 Comdty</stp>
        <stp>PX_VOLUME</stp>
        <stp>01/07/2016</stp>
        <stp>01/07/2016</stp>
        <stp>[Bbg_Market_Data_CL.xlsm]data!R193C8</stp>
        <tr r="H193" s="1"/>
      </tp>
      <tp t="s">
        <v>#N/A Requesting Data...</v>
        <stp/>
        <stp>##V3_BDHV12</stp>
        <stp>CL1 Comdty</stp>
        <stp>PX_VOLUME</stp>
        <stp>22/06/2016</stp>
        <stp>22/06/2016</stp>
        <stp>[Bbg_Market_Data_CL.xlsm]data!R200C8</stp>
        <tr r="H200" s="1"/>
      </tp>
      <tp t="s">
        <v>#N/A Requesting Data...</v>
        <stp/>
        <stp>##V3_BDHV12</stp>
        <stp>CL1 Comdty</stp>
        <stp>PX_VOLUME</stp>
        <stp>20/07/2015</stp>
        <stp>20/07/2015</stp>
        <stp>[Bbg_Market_Data_CL.xlsm]data!R431C8</stp>
        <tr r="H431" s="1"/>
      </tp>
      <tp t="s">
        <v>#N/A Requesting Data...</v>
        <stp/>
        <stp>##V3_BDHV12</stp>
        <stp>CL2 Comdty</stp>
        <stp>PX_VOLUME</stp>
        <stp>20/07/2015</stp>
        <stp>20/07/2015</stp>
        <stp>[Bbg_Market_Data_CL.xlsm]data!R431C8</stp>
        <tr r="H431" s="1"/>
      </tp>
      <tp t="s">
        <v>#N/A Requesting Data...</v>
        <stp/>
        <stp>##V3_BDHV12</stp>
        <stp>CL2 Comdty</stp>
        <stp>PX_VOLUME</stp>
        <stp>22/04/2015</stp>
        <stp>22/04/2015</stp>
        <stp>[Bbg_Market_Data_CL.xlsm]data!R492C8</stp>
        <tr r="H492" s="1"/>
      </tp>
      <tp>
        <v>195608</v>
        <stp/>
        <stp>##V3_BDHV12</stp>
        <stp>CL2 Comdty</stp>
        <stp>PX_VOLUME</stp>
        <stp>06/01/2016</stp>
        <stp>06/01/2016</stp>
        <stp>[Bbg_Market_Data_CL.xlsm]data!R315C8</stp>
        <tr r="H315" s="1"/>
      </tp>
      <tp t="s">
        <v>#N/A Requesting Data...</v>
        <stp/>
        <stp>##V3_BDHV12</stp>
        <stp>CL1 Comdty</stp>
        <stp>PX_VOLUME</stp>
        <stp>22/04/2015</stp>
        <stp>22/04/2015</stp>
        <stp>[Bbg_Market_Data_CL.xlsm]data!R492C8</stp>
        <tr r="H492" s="1"/>
      </tp>
      <tp t="s">
        <v>#N/A Requesting Data...</v>
        <stp/>
        <stp>##V3_BDHV12</stp>
        <stp>CL1 Comdty</stp>
        <stp>PX_VOLUME</stp>
        <stp>06/01/2016</stp>
        <stp>06/01/2016</stp>
        <stp>[Bbg_Market_Data_CL.xlsm]data!R315C8</stp>
        <tr r="H315" s="1"/>
      </tp>
      <tp t="s">
        <v>#N/A Requesting Data...</v>
        <stp/>
        <stp>##V3_BDHV12</stp>
        <stp>CL1 Comdty</stp>
        <stp>30DAY_IMPVOL_100.0%MNY_DF</stp>
        <stp>09/12/2016</stp>
        <stp>09/12/2016</stp>
        <stp>[Bbg_Market_Data_CL.xlsm]data!R83C20</stp>
        <tr r="T83" s="1"/>
      </tp>
      <tp t="s">
        <v>#N/A Requesting Data...</v>
        <stp/>
        <stp>##V3_BDHV12</stp>
        <stp>CL1 Comdty</stp>
        <stp>30DAY_IMPVOL_110.0%MNY_DF</stp>
        <stp>08/12/2016</stp>
        <stp>08/12/2016</stp>
        <stp>[Bbg_Market_Data_CL.xlsm]data!R84C22</stp>
        <tr r="V84" s="1"/>
      </tp>
      <tp t="s">
        <v>#N/A Requesting Data...</v>
        <stp/>
        <stp>##V3_BDHV12</stp>
        <stp>CL1 Comdty</stp>
        <stp>30DAY_IMPVOL_110.0%MNY_DF</stp>
        <stp>08/03/2017</stp>
        <stp>08/03/2017</stp>
        <stp>[Bbg_Market_Data_CL.xlsm]data!R24C22</stp>
        <tr r="V24" s="1"/>
      </tp>
      <tp t="s">
        <v>#N/A Requesting Data...</v>
        <stp/>
        <stp>##V3_BDHV12</stp>
        <stp>CL1 Comdty</stp>
        <stp>30DAY_IMPVOL_100.0%MNY_DF</stp>
        <stp>09/03/2017</stp>
        <stp>09/03/2017</stp>
        <stp>[Bbg_Market_Data_CL.xlsm]data!R23C20</stp>
        <tr r="T23" s="1"/>
      </tp>
      <tp t="s">
        <v>#N/A Requesting Data...</v>
        <stp/>
        <stp>##V3_BDHV12</stp>
        <stp>CL1 Comdty</stp>
        <stp>30DAY_IMPVOL_100.0%MNY_DF</stp>
        <stp>08/12/2016</stp>
        <stp>08/12/2016</stp>
        <stp>[Bbg_Market_Data_CL.xlsm]data!R84C20</stp>
        <tr r="T84" s="1"/>
      </tp>
      <tp t="s">
        <v>#N/A Requesting Data...</v>
        <stp/>
        <stp>##V3_BDHV12</stp>
        <stp>CL1 Comdty</stp>
        <stp>30DAY_IMPVOL_110.0%MNY_DF</stp>
        <stp>09/12/2016</stp>
        <stp>09/12/2016</stp>
        <stp>[Bbg_Market_Data_CL.xlsm]data!R83C22</stp>
        <tr r="V83" s="1"/>
      </tp>
      <tp t="s">
        <v>#N/A Requesting Data...</v>
        <stp/>
        <stp>##V3_BDHV12</stp>
        <stp>CL1 Comdty</stp>
        <stp>30DAY_IMPVOL_110.0%MNY_DF</stp>
        <stp>09/03/2017</stp>
        <stp>09/03/2017</stp>
        <stp>[Bbg_Market_Data_CL.xlsm]data!R23C22</stp>
        <tr r="V23" s="1"/>
      </tp>
      <tp t="s">
        <v>#N/A Requesting Data...</v>
        <stp/>
        <stp>##V3_BDHV12</stp>
        <stp>CL1 Comdty</stp>
        <stp>30DAY_IMPVOL_100.0%MNY_DF</stp>
        <stp>08/03/2017</stp>
        <stp>08/03/2017</stp>
        <stp>[Bbg_Market_Data_CL.xlsm]data!R24C20</stp>
        <tr r="T24" s="1"/>
      </tp>
      <tp t="s">
        <v>#N/A Requesting Data...</v>
        <stp/>
        <stp>##V3_BDHV12</stp>
        <stp>CL1 Comdty</stp>
        <stp>30DAY_IMPVOL_105.0%MNY_DF</stp>
        <stp>08/03/2017</stp>
        <stp>08/03/2017</stp>
        <stp>[Bbg_Market_Data_CL.xlsm]data!R24C19</stp>
        <tr r="S24" s="1"/>
      </tp>
      <tp t="s">
        <v>#N/A Requesting Data...</v>
        <stp/>
        <stp>##V3_BDHV12</stp>
        <stp>CL1 Comdty</stp>
        <stp>30DAY_IMPVOL_105.0%MNY_DF</stp>
        <stp>08/12/2016</stp>
        <stp>08/12/2016</stp>
        <stp>[Bbg_Market_Data_CL.xlsm]data!R84C19</stp>
        <tr r="S84" s="1"/>
      </tp>
      <tp t="s">
        <v>#N/A Requesting Data...</v>
        <stp/>
        <stp>##V3_BDHV12</stp>
        <stp>CL1 Comdty</stp>
        <stp>30DAY_IMPVOL_105.0%MNY_DF</stp>
        <stp>09/03/2017</stp>
        <stp>09/03/2017</stp>
        <stp>[Bbg_Market_Data_CL.xlsm]data!R23C19</stp>
        <tr r="S23" s="1"/>
      </tp>
      <tp t="s">
        <v>#N/A Requesting Data...</v>
        <stp/>
        <stp>##V3_BDHV12</stp>
        <stp>CL1 Comdty</stp>
        <stp>30DAY_IMPVOL_105.0%MNY_DF</stp>
        <stp>09/12/2016</stp>
        <stp>09/12/2016</stp>
        <stp>[Bbg_Market_Data_CL.xlsm]data!R83C19</stp>
        <tr r="S83" s="1"/>
      </tp>
      <tp t="s">
        <v>#N/A Requesting Data...</v>
        <stp/>
        <stp>##V3_BDHV12</stp>
        <stp>CL1 Comdty</stp>
        <stp>30DAY_IMPVOL_100.0%MNY_DF</stp>
        <stp>01/03/2017</stp>
        <stp>01/03/2017</stp>
        <stp>[Bbg_Market_Data_CL.xlsm]data!R29C20</stp>
        <tr r="T29" s="1"/>
      </tp>
      <tp t="s">
        <v>#N/A Requesting Data...</v>
        <stp/>
        <stp>##V3_BDHV12</stp>
        <stp>CL1 Comdty</stp>
        <stp>30DAY_IMPVOL_110.0%MNY_DF</stp>
        <stp>20/01/2017</stp>
        <stp>20/01/2017</stp>
        <stp>[Bbg_Market_Data_CL.xlsm]data!R56C22</stp>
        <tr r="V56" s="1"/>
      </tp>
      <tp t="s">
        <v>#N/A Requesting Data...</v>
        <stp/>
        <stp>##V3_BDHV12</stp>
        <stp>CL1 Comdty</stp>
        <stp>30DAY_IMPVOL_105.0%MNY_DF</stp>
        <stp>02/12/2016</stp>
        <stp>02/12/2016</stp>
        <stp>[Bbg_Market_Data_CL.xlsm]data!R88C19</stp>
        <tr r="S88" s="1"/>
      </tp>
      <tp t="s">
        <v>#N/A Requesting Data...</v>
        <stp/>
        <stp>##V3_BDHV12</stp>
        <stp>CL1 Comdty</stp>
        <stp>30DAY_IMPVOL_110.0%MNY_DF</stp>
        <stp>10/02/2017</stp>
        <stp>10/02/2017</stp>
        <stp>[Bbg_Market_Data_CL.xlsm]data!R41C22</stp>
        <tr r="V41" s="1"/>
      </tp>
      <tp t="s">
        <v>#N/A Requesting Data...</v>
        <stp/>
        <stp>##V3_BDHV12</stp>
        <stp>CL1 Comdty</stp>
        <stp>30DAY_IMPVOL_100.0%MNY_DF</stp>
        <stp>01/12/2016</stp>
        <stp>01/12/2016</stp>
        <stp>[Bbg_Market_Data_CL.xlsm]data!R89C20</stp>
        <tr r="T89" s="1"/>
      </tp>
      <tp t="s">
        <v>#N/A Requesting Data...</v>
        <stp/>
        <stp>##V3_BDHV12</stp>
        <stp>CL1 Comdty</stp>
        <stp>30DAY_IMPVOL_110.0%MNY_DF</stp>
        <stp>30/11/2016</stp>
        <stp>30/11/2016</stp>
        <stp>[Bbg_Market_Data_CL.xlsm]data!R90C22</stp>
        <tr r="V90" s="1"/>
      </tp>
      <tp t="s">
        <v>#N/A Requesting Data...</v>
        <stp/>
        <stp>##V3_BDHV12</stp>
        <stp>CL1 Comdty</stp>
        <stp>30DAY_IMPVOL_105.0%MNY_DF</stp>
        <stp>02/03/2017</stp>
        <stp>02/03/2017</stp>
        <stp>[Bbg_Market_Data_CL.xlsm]data!R28C19</stp>
        <tr r="S28" s="1"/>
      </tp>
      <tp t="s">
        <v>#N/A Requesting Data...</v>
        <stp/>
        <stp>##V3_BDHV12</stp>
        <stp>CL1 Comdty</stp>
        <stp>30DAY_IMPVOL_110.0%MNY_DF</stp>
        <stp>01/03/2017</stp>
        <stp>01/03/2017</stp>
        <stp>[Bbg_Market_Data_CL.xlsm]data!R29C22</stp>
        <tr r="V29" s="1"/>
      </tp>
      <tp t="s">
        <v>#N/A Requesting Data...</v>
        <stp/>
        <stp>##V3_BDHV12</stp>
        <stp>CL1 Comdty</stp>
        <stp>30DAY_IMPVOL_100.0%MNY_DF</stp>
        <stp>20/01/2017</stp>
        <stp>20/01/2017</stp>
        <stp>[Bbg_Market_Data_CL.xlsm]data!R56C20</stp>
        <tr r="T56" s="1"/>
      </tp>
      <tp t="s">
        <v>#N/A Requesting Data...</v>
        <stp/>
        <stp>##V3_BDHV12</stp>
        <stp>CL1 Comdty</stp>
        <stp>30DAY_IMPVOL_100.0%MNY_DF</stp>
        <stp>10/02/2017</stp>
        <stp>10/02/2017</stp>
        <stp>[Bbg_Market_Data_CL.xlsm]data!R41C20</stp>
        <tr r="T41" s="1"/>
      </tp>
      <tp t="s">
        <v>#N/A Requesting Data...</v>
        <stp/>
        <stp>##V3_BDHV12</stp>
        <stp>CL1 Comdty</stp>
        <stp>30DAY_IMPVOL_100.0%MNY_DF</stp>
        <stp>30/11/2016</stp>
        <stp>30/11/2016</stp>
        <stp>[Bbg_Market_Data_CL.xlsm]data!R90C20</stp>
        <tr r="T90" s="1"/>
      </tp>
      <tp t="s">
        <v>#N/A Requesting Data...</v>
        <stp/>
        <stp>##V3_BDHV12</stp>
        <stp>CL1 Comdty</stp>
        <stp>30DAY_IMPVOL_105.0%MNY_DF</stp>
        <stp>13/02/2017</stp>
        <stp>13/02/2017</stp>
        <stp>[Bbg_Market_Data_CL.xlsm]data!R40C19</stp>
        <tr r="S40" s="1"/>
      </tp>
      <tp t="s">
        <v>#N/A Requesting Data...</v>
        <stp/>
        <stp>##V3_BDHV12</stp>
        <stp>CL1 Comdty</stp>
        <stp>30DAY_IMPVOL_105.0%MNY_DF</stp>
        <stp>23/01/2017</stp>
        <stp>23/01/2017</stp>
        <stp>[Bbg_Market_Data_CL.xlsm]data!R55C19</stp>
        <tr r="S55" s="1"/>
      </tp>
      <tp t="s">
        <v>#N/A Requesting Data...</v>
        <stp/>
        <stp>##V3_BDHV12</stp>
        <stp>CL1 Comdty</stp>
        <stp>30DAY_IMPVOL_110.0%MNY_DF</stp>
        <stp>01/12/2016</stp>
        <stp>01/12/2016</stp>
        <stp>[Bbg_Market_Data_CL.xlsm]data!R89C22</stp>
        <tr r="V89" s="1"/>
      </tp>
      <tp t="s">
        <v>#N/A Requesting Data...</v>
        <stp/>
        <stp>##V3_BDHV12</stp>
        <stp>CL1 Comdty</stp>
        <stp>30DAY_IMPVOL_105.0%MNY_DF</stp>
        <stp>03/03/2017</stp>
        <stp>03/03/2017</stp>
        <stp>[Bbg_Market_Data_CL.xlsm]data!R27C19</stp>
        <tr r="S27" s="1"/>
      </tp>
      <tp t="s">
        <v>#N/A Requesting Data...</v>
        <stp/>
        <stp>##V3_BDHV12</stp>
        <stp>CL1 Comdty</stp>
        <stp>30DAY_IMPVOL_100.0%MNY_DF</stp>
        <stp>03/03/2017</stp>
        <stp>03/03/2017</stp>
        <stp>[Bbg_Market_Data_CL.xlsm]data!R27C20</stp>
        <tr r="T27" s="1"/>
      </tp>
      <tp t="s">
        <v>#N/A Requesting Data...</v>
        <stp/>
        <stp>##V3_BDHV12</stp>
        <stp>CL1 Comdty</stp>
        <stp>30DAY_IMPVOL_110.0%MNY_DF</stp>
        <stp>02/03/2017</stp>
        <stp>02/03/2017</stp>
        <stp>[Bbg_Market_Data_CL.xlsm]data!R28C22</stp>
        <tr r="V28" s="1"/>
      </tp>
      <tp t="s">
        <v>#N/A Requesting Data...</v>
        <stp/>
        <stp>##V3_BDHV12</stp>
        <stp>CL1 Comdty</stp>
        <stp>30DAY_IMPVOL_105.0%MNY_DF</stp>
        <stp>30/11/2016</stp>
        <stp>30/11/2016</stp>
        <stp>[Bbg_Market_Data_CL.xlsm]data!R90C19</stp>
        <tr r="S90" s="1"/>
      </tp>
      <tp t="s">
        <v>#N/A Requesting Data...</v>
        <stp/>
        <stp>##V3_BDHV12</stp>
        <stp>CL1 Comdty</stp>
        <stp>30DAY_IMPVOL_100.0%MNY_DF</stp>
        <stp>13/02/2017</stp>
        <stp>13/02/2017</stp>
        <stp>[Bbg_Market_Data_CL.xlsm]data!R40C20</stp>
        <tr r="T40" s="1"/>
      </tp>
      <tp t="s">
        <v>#N/A Requesting Data...</v>
        <stp/>
        <stp>##V3_BDHV12</stp>
        <stp>CL1 Comdty</stp>
        <stp>30DAY_IMPVOL_100.0%MNY_DF</stp>
        <stp>23/01/2017</stp>
        <stp>23/01/2017</stp>
        <stp>[Bbg_Market_Data_CL.xlsm]data!R55C20</stp>
        <tr r="T55" s="1"/>
      </tp>
      <tp t="s">
        <v>#N/A Requesting Data...</v>
        <stp/>
        <stp>##V3_BDHV12</stp>
        <stp>CL1 Comdty</stp>
        <stp>30DAY_IMPVOL_105.0%MNY_DF</stp>
        <stp>20/01/2017</stp>
        <stp>20/01/2017</stp>
        <stp>[Bbg_Market_Data_CL.xlsm]data!R56C19</stp>
        <tr r="S56" s="1"/>
      </tp>
      <tp t="s">
        <v>#N/A Requesting Data...</v>
        <stp/>
        <stp>##V3_BDHV12</stp>
        <stp>CL1 Comdty</stp>
        <stp>30DAY_IMPVOL_110.0%MNY_DF</stp>
        <stp>02/12/2016</stp>
        <stp>02/12/2016</stp>
        <stp>[Bbg_Market_Data_CL.xlsm]data!R88C22</stp>
        <tr r="V88" s="1"/>
      </tp>
      <tp t="s">
        <v>#N/A Requesting Data...</v>
        <stp/>
        <stp>##V3_BDHV12</stp>
        <stp>CL1 Comdty</stp>
        <stp>30DAY_IMPVOL_105.0%MNY_DF</stp>
        <stp>10/02/2017</stp>
        <stp>10/02/2017</stp>
        <stp>[Bbg_Market_Data_CL.xlsm]data!R41C19</stp>
        <tr r="S41" s="1"/>
      </tp>
      <tp t="s">
        <v>#N/A Requesting Data...</v>
        <stp/>
        <stp>##V3_BDHV12</stp>
        <stp>CL1 Comdty</stp>
        <stp>30DAY_IMPVOL_100.0%MNY_DF</stp>
        <stp>02/03/2017</stp>
        <stp>02/03/2017</stp>
        <stp>[Bbg_Market_Data_CL.xlsm]data!R28C20</stp>
        <tr r="T28" s="1"/>
      </tp>
      <tp t="s">
        <v>#N/A Requesting Data...</v>
        <stp/>
        <stp>##V3_BDHV12</stp>
        <stp>CL1 Comdty</stp>
        <stp>30DAY_IMPVOL_110.0%MNY_DF</stp>
        <stp>03/03/2017</stp>
        <stp>03/03/2017</stp>
        <stp>[Bbg_Market_Data_CL.xlsm]data!R27C22</stp>
        <tr r="V27" s="1"/>
      </tp>
      <tp t="s">
        <v>#N/A Requesting Data...</v>
        <stp/>
        <stp>##V3_BDHV12</stp>
        <stp>CL1 Comdty</stp>
        <stp>30DAY_IMPVOL_110.0%MNY_DF</stp>
        <stp>13/02/2017</stp>
        <stp>13/02/2017</stp>
        <stp>[Bbg_Market_Data_CL.xlsm]data!R40C22</stp>
        <tr r="V40" s="1"/>
      </tp>
      <tp t="s">
        <v>#N/A Requesting Data...</v>
        <stp/>
        <stp>##V3_BDHV12</stp>
        <stp>CL1 Comdty</stp>
        <stp>30DAY_IMPVOL_110.0%MNY_DF</stp>
        <stp>23/01/2017</stp>
        <stp>23/01/2017</stp>
        <stp>[Bbg_Market_Data_CL.xlsm]data!R55C22</stp>
        <tr r="V55" s="1"/>
      </tp>
      <tp t="s">
        <v>#N/A Requesting Data...</v>
        <stp/>
        <stp>##V3_BDHV12</stp>
        <stp>CL1 Comdty</stp>
        <stp>30DAY_IMPVOL_105.0%MNY_DF</stp>
        <stp>01/12/2016</stp>
        <stp>01/12/2016</stp>
        <stp>[Bbg_Market_Data_CL.xlsm]data!R89C19</stp>
        <tr r="S89" s="1"/>
      </tp>
      <tp t="s">
        <v>#N/A Requesting Data...</v>
        <stp/>
        <stp>##V3_BDHV12</stp>
        <stp>CL1 Comdty</stp>
        <stp>30DAY_IMPVOL_100.0%MNY_DF</stp>
        <stp>02/12/2016</stp>
        <stp>02/12/2016</stp>
        <stp>[Bbg_Market_Data_CL.xlsm]data!R88C20</stp>
        <tr r="T88" s="1"/>
      </tp>
      <tp t="s">
        <v>#N/A Requesting Data...</v>
        <stp/>
        <stp>##V3_BDHV12</stp>
        <stp>CL1 Comdty</stp>
        <stp>30DAY_IMPVOL_105.0%MNY_DF</stp>
        <stp>01/03/2017</stp>
        <stp>01/03/2017</stp>
        <stp>[Bbg_Market_Data_CL.xlsm]data!R29C19</stp>
        <tr r="S29" s="1"/>
      </tp>
      <tp t="s">
        <v>#N/A Requesting Data...</v>
        <stp/>
        <stp>##V3_BDHV12</stp>
        <stp>CL1 Comdty</stp>
        <stp>30DAY_IMPVOL_100.0%MNY_DF</stp>
        <stp>25/01/2017</stp>
        <stp>25/01/2017</stp>
        <stp>[Bbg_Market_Data_CL.xlsm]data!R53C20</stp>
        <tr r="T53" s="1"/>
      </tp>
      <tp t="s">
        <v>#N/A Requesting Data...</v>
        <stp/>
        <stp>##V3_BDHV12</stp>
        <stp>CL1 Comdty</stp>
        <stp>30DAY_IMPVOL_105.0%MNY_DF</stp>
        <stp>06/12/2016</stp>
        <stp>06/12/2016</stp>
        <stp>[Bbg_Market_Data_CL.xlsm]data!R86C19</stp>
        <tr r="S86" s="1"/>
      </tp>
      <tp t="s">
        <v>#N/A Requesting Data...</v>
        <stp/>
        <stp>##V3_BDHV12</stp>
        <stp>CL1 Comdty</stp>
        <stp>30DAY_IMPVOL_110.0%MNY_DF</stp>
        <stp>24/01/2017</stp>
        <stp>24/01/2017</stp>
        <stp>[Bbg_Market_Data_CL.xlsm]data!R54C22</stp>
        <tr r="V54" s="1"/>
      </tp>
      <tp t="s">
        <v>#N/A Requesting Data...</v>
        <stp/>
        <stp>##V3_BDHV12</stp>
        <stp>CL1 Comdty</stp>
        <stp>30DAY_IMPVOL_110.0%MNY_DF</stp>
        <stp>14/02/2017</stp>
        <stp>14/02/2017</stp>
        <stp>[Bbg_Market_Data_CL.xlsm]data!R39C22</stp>
        <tr r="V39" s="1"/>
      </tp>
      <tp t="s">
        <v>#N/A Requesting Data...</v>
        <stp/>
        <stp>##V3_BDHV12</stp>
        <stp>CL1 Comdty</stp>
        <stp>30DAY_IMPVOL_100.0%MNY_DF</stp>
        <stp>15/02/2017</stp>
        <stp>15/02/2017</stp>
        <stp>[Bbg_Market_Data_CL.xlsm]data!R38C20</stp>
        <tr r="T38" s="1"/>
      </tp>
      <tp t="s">
        <v>#N/A Requesting Data...</v>
        <stp/>
        <stp>##V3_BDHV12</stp>
        <stp>CL1 Comdty</stp>
        <stp>30DAY_IMPVOL_105.0%MNY_DF</stp>
        <stp>16/02/2017</stp>
        <stp>16/02/2017</stp>
        <stp>[Bbg_Market_Data_CL.xlsm]data!R37C19</stp>
        <tr r="S37" s="1"/>
      </tp>
      <tp t="s">
        <v>#N/A Requesting Data...</v>
        <stp/>
        <stp>##V3_BDHV12</stp>
        <stp>CL1 Comdty</stp>
        <stp>30DAY_IMPVOL_105.0%MNY_DF</stp>
        <stp>06/03/2017</stp>
        <stp>06/03/2017</stp>
        <stp>[Bbg_Market_Data_CL.xlsm]data!R26C19</stp>
        <tr r="S26" s="1"/>
      </tp>
      <tp t="s">
        <v>#N/A Requesting Data...</v>
        <stp/>
        <stp>##V3_BDHV12</stp>
        <stp>CL1 Comdty</stp>
        <stp>30DAY_IMPVOL_100.0%MNY_DF</stp>
        <stp>05/12/2016</stp>
        <stp>05/12/2016</stp>
        <stp>[Bbg_Market_Data_CL.xlsm]data!R87C20</stp>
        <tr r="T87" s="1"/>
      </tp>
      <tp t="s">
        <v>#N/A Requesting Data...</v>
        <stp/>
        <stp>##V3_BDHV12</stp>
        <stp>CL1 Comdty</stp>
        <stp>30DAY_IMPVOL_105.0%MNY_DF</stp>
        <stp>26/01/2017</stp>
        <stp>26/01/2017</stp>
        <stp>[Bbg_Market_Data_CL.xlsm]data!R52C19</stp>
        <tr r="S52" s="1"/>
      </tp>
      <tp t="s">
        <v>#N/A Requesting Data...</v>
        <stp/>
        <stp>##V3_BDHV12</stp>
        <stp>CL1 Comdty</stp>
        <stp>30DAY_IMPVOL_100.0%MNY_DF</stp>
        <stp>24/01/2017</stp>
        <stp>24/01/2017</stp>
        <stp>[Bbg_Market_Data_CL.xlsm]data!R54C20</stp>
        <tr r="T54" s="1"/>
      </tp>
      <tp t="s">
        <v>#N/A Requesting Data...</v>
        <stp/>
        <stp>##V3_BDHV12</stp>
        <stp>CL1 Comdty</stp>
        <stp>30DAY_IMPVOL_110.0%MNY_DF</stp>
        <stp>25/01/2017</stp>
        <stp>25/01/2017</stp>
        <stp>[Bbg_Market_Data_CL.xlsm]data!R53C22</stp>
        <tr r="V53" s="1"/>
      </tp>
      <tp t="s">
        <v>#N/A Requesting Data...</v>
        <stp/>
        <stp>##V3_BDHV12</stp>
        <stp>CL1 Comdty</stp>
        <stp>30DAY_IMPVOL_105.0%MNY_DF</stp>
        <stp>07/12/2016</stp>
        <stp>07/12/2016</stp>
        <stp>[Bbg_Market_Data_CL.xlsm]data!R85C19</stp>
        <tr r="S85" s="1"/>
      </tp>
      <tp t="s">
        <v>#N/A Requesting Data...</v>
        <stp/>
        <stp>##V3_BDHV12</stp>
        <stp>CL1 Comdty</stp>
        <stp>30DAY_IMPVOL_110.0%MNY_DF</stp>
        <stp>15/02/2017</stp>
        <stp>15/02/2017</stp>
        <stp>[Bbg_Market_Data_CL.xlsm]data!R38C22</stp>
        <tr r="V38" s="1"/>
      </tp>
      <tp t="s">
        <v>#N/A Requesting Data...</v>
        <stp/>
        <stp>##V3_BDHV12</stp>
        <stp>CL1 Comdty</stp>
        <stp>30DAY_IMPVOL_100.0%MNY_DF</stp>
        <stp>14/02/2017</stp>
        <stp>14/02/2017</stp>
        <stp>[Bbg_Market_Data_CL.xlsm]data!R39C20</stp>
        <tr r="T39" s="1"/>
      </tp>
      <tp t="s">
        <v>#N/A Requesting Data...</v>
        <stp/>
        <stp>##V3_BDHV12</stp>
        <stp>CL1 Comdty</stp>
        <stp>30DAY_IMPVOL_105.0%MNY_DF</stp>
        <stp>07/03/2017</stp>
        <stp>07/03/2017</stp>
        <stp>[Bbg_Market_Data_CL.xlsm]data!R25C19</stp>
        <tr r="S25" s="1"/>
      </tp>
      <tp t="s">
        <v>#N/A Requesting Data...</v>
        <stp/>
        <stp>##V3_BDHV12</stp>
        <stp>CL1 Comdty</stp>
        <stp>30DAY_IMPVOL_105.0%MNY_DF</stp>
        <stp>17/02/2017</stp>
        <stp>17/02/2017</stp>
        <stp>[Bbg_Market_Data_CL.xlsm]data!R36C19</stp>
        <tr r="S36" s="1"/>
      </tp>
      <tp t="s">
        <v>#N/A Requesting Data...</v>
        <stp/>
        <stp>##V3_BDHV12</stp>
        <stp>CL1 Comdty</stp>
        <stp>30DAY_IMPVOL_105.0%MNY_DF</stp>
        <stp>27/01/2017</stp>
        <stp>27/01/2017</stp>
        <stp>[Bbg_Market_Data_CL.xlsm]data!R51C19</stp>
        <tr r="S51" s="1"/>
      </tp>
      <tp t="s">
        <v>#N/A Requesting Data...</v>
        <stp/>
        <stp>##V3_BDHV12</stp>
        <stp>CL1 Comdty</stp>
        <stp>30DAY_IMPVOL_110.0%MNY_DF</stp>
        <stp>05/12/2016</stp>
        <stp>05/12/2016</stp>
        <stp>[Bbg_Market_Data_CL.xlsm]data!R87C22</stp>
        <tr r="V87" s="1"/>
      </tp>
      <tp t="s">
        <v>#N/A Requesting Data...</v>
        <stp/>
        <stp>##V3_BDHV12</stp>
        <stp>CL1 Comdty</stp>
        <stp>30DAY_IMPVOL_110.0%MNY_DF</stp>
        <stp>26/01/2017</stp>
        <stp>26/01/2017</stp>
        <stp>[Bbg_Market_Data_CL.xlsm]data!R52C22</stp>
        <tr r="V52" s="1"/>
      </tp>
      <tp t="s">
        <v>#N/A Requesting Data...</v>
        <stp/>
        <stp>##V3_BDHV12</stp>
        <stp>CL1 Comdty</stp>
        <stp>30DAY_IMPVOL_100.0%MNY_DF</stp>
        <stp>27/01/2017</stp>
        <stp>27/01/2017</stp>
        <stp>[Bbg_Market_Data_CL.xlsm]data!R51C20</stp>
        <tr r="T51" s="1"/>
      </tp>
      <tp t="s">
        <v>#N/A Requesting Data...</v>
        <stp/>
        <stp>##V3_BDHV12</stp>
        <stp>CL1 Comdty</stp>
        <stp>30DAY_IMPVOL_100.0%MNY_DF</stp>
        <stp>07/03/2017</stp>
        <stp>07/03/2017</stp>
        <stp>[Bbg_Market_Data_CL.xlsm]data!R25C20</stp>
        <tr r="T25" s="1"/>
      </tp>
      <tp t="s">
        <v>#N/A Requesting Data...</v>
        <stp/>
        <stp>##V3_BDHV12</stp>
        <stp>CL1 Comdty</stp>
        <stp>30DAY_IMPVOL_100.0%MNY_DF</stp>
        <stp>17/02/2017</stp>
        <stp>17/02/2017</stp>
        <stp>[Bbg_Market_Data_CL.xlsm]data!R36C20</stp>
        <tr r="T36" s="1"/>
      </tp>
      <tp t="s">
        <v>#N/A Requesting Data...</v>
        <stp/>
        <stp>##V3_BDHV12</stp>
        <stp>CL1 Comdty</stp>
        <stp>30DAY_IMPVOL_110.0%MNY_DF</stp>
        <stp>16/02/2017</stp>
        <stp>16/02/2017</stp>
        <stp>[Bbg_Market_Data_CL.xlsm]data!R37C22</stp>
        <tr r="V37" s="1"/>
      </tp>
      <tp t="s">
        <v>#N/A Requesting Data...</v>
        <stp/>
        <stp>##V3_BDHV12</stp>
        <stp>CL1 Comdty</stp>
        <stp>30DAY_IMPVOL_110.0%MNY_DF</stp>
        <stp>06/03/2017</stp>
        <stp>06/03/2017</stp>
        <stp>[Bbg_Market_Data_CL.xlsm]data!R26C22</stp>
        <tr r="V26" s="1"/>
      </tp>
      <tp t="s">
        <v>#N/A Requesting Data...</v>
        <stp/>
        <stp>##V3_BDHV12</stp>
        <stp>CL1 Comdty</stp>
        <stp>30DAY_IMPVOL_105.0%MNY_DF</stp>
        <stp>14/02/2017</stp>
        <stp>14/02/2017</stp>
        <stp>[Bbg_Market_Data_CL.xlsm]data!R39C19</stp>
        <tr r="S39" s="1"/>
      </tp>
      <tp t="s">
        <v>#N/A Requesting Data...</v>
        <stp/>
        <stp>##V3_BDHV12</stp>
        <stp>CL1 Comdty</stp>
        <stp>30DAY_IMPVOL_110.0%MNY_DF</stp>
        <stp>06/12/2016</stp>
        <stp>06/12/2016</stp>
        <stp>[Bbg_Market_Data_CL.xlsm]data!R86C22</stp>
        <tr r="V86" s="1"/>
      </tp>
      <tp t="s">
        <v>#N/A Requesting Data...</v>
        <stp/>
        <stp>##V3_BDHV12</stp>
        <stp>CL1 Comdty</stp>
        <stp>30DAY_IMPVOL_105.0%MNY_DF</stp>
        <stp>24/01/2017</stp>
        <stp>24/01/2017</stp>
        <stp>[Bbg_Market_Data_CL.xlsm]data!R54C19</stp>
        <tr r="S54" s="1"/>
      </tp>
      <tp t="s">
        <v>#N/A Requesting Data...</v>
        <stp/>
        <stp>##V3_BDHV12</stp>
        <stp>CL1 Comdty</stp>
        <stp>30DAY_IMPVOL_100.0%MNY_DF</stp>
        <stp>07/12/2016</stp>
        <stp>07/12/2016</stp>
        <stp>[Bbg_Market_Data_CL.xlsm]data!R85C20</stp>
        <tr r="T85" s="1"/>
      </tp>
      <tp t="s">
        <v>#N/A Requesting Data...</v>
        <stp/>
        <stp>##V3_BDHV12</stp>
        <stp>CL1 Comdty</stp>
        <stp>30DAY_IMPVOL_110.0%MNY_DF</stp>
        <stp>27/01/2017</stp>
        <stp>27/01/2017</stp>
        <stp>[Bbg_Market_Data_CL.xlsm]data!R51C22</stp>
        <tr r="V51" s="1"/>
      </tp>
      <tp t="s">
        <v>#N/A Requesting Data...</v>
        <stp/>
        <stp>##V3_BDHV12</stp>
        <stp>CL1 Comdty</stp>
        <stp>30DAY_IMPVOL_105.0%MNY_DF</stp>
        <stp>05/12/2016</stp>
        <stp>05/12/2016</stp>
        <stp>[Bbg_Market_Data_CL.xlsm]data!R87C19</stp>
        <tr r="S87" s="1"/>
      </tp>
      <tp t="s">
        <v>#N/A Requesting Data...</v>
        <stp/>
        <stp>##V3_BDHV12</stp>
        <stp>CL1 Comdty</stp>
        <stp>30DAY_IMPVOL_100.0%MNY_DF</stp>
        <stp>26/01/2017</stp>
        <stp>26/01/2017</stp>
        <stp>[Bbg_Market_Data_CL.xlsm]data!R52C20</stp>
        <tr r="T52" s="1"/>
      </tp>
      <tp t="s">
        <v>#N/A Requesting Data...</v>
        <stp/>
        <stp>##V3_BDHV12</stp>
        <stp>CL1 Comdty</stp>
        <stp>30DAY_IMPVOL_100.0%MNY_DF</stp>
        <stp>16/02/2017</stp>
        <stp>16/02/2017</stp>
        <stp>[Bbg_Market_Data_CL.xlsm]data!R37C20</stp>
        <tr r="T37" s="1"/>
      </tp>
      <tp t="s">
        <v>#N/A Requesting Data...</v>
        <stp/>
        <stp>##V3_BDHV12</stp>
        <stp>CL1 Comdty</stp>
        <stp>30DAY_IMPVOL_100.0%MNY_DF</stp>
        <stp>06/03/2017</stp>
        <stp>06/03/2017</stp>
        <stp>[Bbg_Market_Data_CL.xlsm]data!R26C20</stp>
        <tr r="T26" s="1"/>
      </tp>
      <tp t="s">
        <v>#N/A Requesting Data...</v>
        <stp/>
        <stp>##V3_BDHV12</stp>
        <stp>CL1 Comdty</stp>
        <stp>30DAY_IMPVOL_110.0%MNY_DF</stp>
        <stp>07/03/2017</stp>
        <stp>07/03/2017</stp>
        <stp>[Bbg_Market_Data_CL.xlsm]data!R25C22</stp>
        <tr r="V25" s="1"/>
      </tp>
      <tp t="s">
        <v>#N/A Requesting Data...</v>
        <stp/>
        <stp>##V3_BDHV12</stp>
        <stp>CL1 Comdty</stp>
        <stp>30DAY_IMPVOL_110.0%MNY_DF</stp>
        <stp>17/02/2017</stp>
        <stp>17/02/2017</stp>
        <stp>[Bbg_Market_Data_CL.xlsm]data!R36C22</stp>
        <tr r="V36" s="1"/>
      </tp>
      <tp t="s">
        <v>#N/A Requesting Data...</v>
        <stp/>
        <stp>##V3_BDHV12</stp>
        <stp>CL1 Comdty</stp>
        <stp>30DAY_IMPVOL_105.0%MNY_DF</stp>
        <stp>15/02/2017</stp>
        <stp>15/02/2017</stp>
        <stp>[Bbg_Market_Data_CL.xlsm]data!R38C19</stp>
        <tr r="S38" s="1"/>
      </tp>
      <tp t="s">
        <v>#N/A Requesting Data...</v>
        <stp/>
        <stp>##V3_BDHV12</stp>
        <stp>CL1 Comdty</stp>
        <stp>30DAY_IMPVOL_105.0%MNY_DF</stp>
        <stp>25/01/2017</stp>
        <stp>25/01/2017</stp>
        <stp>[Bbg_Market_Data_CL.xlsm]data!R53C19</stp>
        <tr r="S53" s="1"/>
      </tp>
      <tp t="s">
        <v>#N/A Requesting Data...</v>
        <stp/>
        <stp>##V3_BDHV12</stp>
        <stp>CL1 Comdty</stp>
        <stp>30DAY_IMPVOL_110.0%MNY_DF</stp>
        <stp>07/12/2016</stp>
        <stp>07/12/2016</stp>
        <stp>[Bbg_Market_Data_CL.xlsm]data!R85C22</stp>
        <tr r="V85" s="1"/>
      </tp>
      <tp t="s">
        <v>#N/A Requesting Data...</v>
        <stp/>
        <stp>##V3_BDHV12</stp>
        <stp>CL1 Comdty</stp>
        <stp>30DAY_IMPVOL_100.0%MNY_DF</stp>
        <stp>06/12/2016</stp>
        <stp>06/12/2016</stp>
        <stp>[Bbg_Market_Data_CL.xlsm]data!R86C20</stp>
        <tr r="T86" s="1"/>
      </tp>
      <tp t="s">
        <v>#N/A Requesting Data...</v>
        <stp/>
        <stp>##V3_BDHV12</stp>
        <stp>CL1 Comdty</stp>
        <stp>VOLUME_TOTAL_CALL</stp>
        <stp>11/10/2016</stp>
        <stp>11/10/2016</stp>
        <stp>[Bbg_Market_Data_CL.xlsm]data!R125C15</stp>
        <tr r="O125" s="1"/>
      </tp>
      <tp t="s">
        <v>#N/A Requesting Data...</v>
        <stp/>
        <stp>##V3_BDHV12</stp>
        <stp>CL2 Comdty</stp>
        <stp>VOLUME_TOTAL_CALL</stp>
        <stp>23/12/2015</stp>
        <stp>23/12/2015</stp>
        <stp>[Bbg_Market_Data_CL.xlsm]data!R323C15</stp>
        <tr r="O323" s="1"/>
      </tp>
      <tp t="s">
        <v>#N/A Requesting Data...</v>
        <stp/>
        <stp>##V3_BDHV12</stp>
        <stp>CL1 Comdty</stp>
        <stp>VOLUME_TOTAL_CALL</stp>
        <stp>10/12/2015</stp>
        <stp>10/12/2015</stp>
        <stp>[Bbg_Market_Data_CL.xlsm]data!R332C15</stp>
        <tr r="O332" s="1"/>
      </tp>
      <tp t="s">
        <v>#N/A Requesting Data...</v>
        <stp/>
        <stp>##V3_BDHV12</stp>
        <stp>CL1 Comdty</stp>
        <stp>VOLUME_TOTAL_CALL</stp>
        <stp>01/11/2016</stp>
        <stp>01/11/2016</stp>
        <stp>[Bbg_Market_Data_CL.xlsm]data!R110C15</stp>
        <tr r="O110" s="1"/>
      </tp>
      <tp t="s">
        <v>#N/A Requesting Data...</v>
        <stp/>
        <stp>##V3_BDHV12</stp>
        <stp>CL2 Comdty</stp>
        <stp>VOLUME_TOTAL_CALL</stp>
        <stp>21/03/2016</stp>
        <stp>21/03/2016</stp>
        <stp>[Bbg_Market_Data_CL.xlsm]data!R265C15</stp>
        <tr r="O265" s="1"/>
      </tp>
      <tp t="s">
        <v>#N/A Requesting Data...</v>
        <stp/>
        <stp>##V3_BDHV12</stp>
        <stp>CL1 Comdty</stp>
        <stp>VOLUME_TOTAL_CALL</stp>
        <stp>20/11/2015</stp>
        <stp>20/11/2015</stp>
        <stp>[Bbg_Market_Data_CL.xlsm]data!R345C15</stp>
        <tr r="O345" s="1"/>
      </tp>
      <tp t="s">
        <v>#N/A Requesting Data...</v>
        <stp/>
        <stp>##V3_BDHV12</stp>
        <stp>CL1 Comdty</stp>
        <stp>VOLUME_TOTAL_CALL</stp>
        <stp>30/10/2015</stp>
        <stp>30/10/2015</stp>
        <stp>[Bbg_Market_Data_CL.xlsm]data!R359C15</stp>
        <tr r="O359" s="1"/>
      </tp>
      <tp t="s">
        <v>#N/A Requesting Data...</v>
        <stp/>
        <stp>##V3_BDHV12</stp>
        <stp>CL2 Comdty</stp>
        <stp>VOLUME_TOTAL_CALL</stp>
        <stp>13/11/2015</stp>
        <stp>13/11/2015</stp>
        <stp>[Bbg_Market_Data_CL.xlsm]data!R350C15</stp>
        <tr r="O350" s="1"/>
      </tp>
      <tp t="s">
        <v>#N/A Requesting Data...</v>
        <stp/>
        <stp>##V3_BDHV12</stp>
        <stp>CL1 Comdty</stp>
        <stp>VOLUME_TOTAL_CALL</stp>
        <stp>02/02/2016</stp>
        <stp>02/02/2016</stp>
        <stp>[Bbg_Market_Data_CL.xlsm]data!R297C15</stp>
        <tr r="O297" s="1"/>
      </tp>
      <tp t="s">
        <v>#N/A Requesting Data...</v>
        <stp/>
        <stp>##V3_BDHV12</stp>
        <stp>CL2 Comdty</stp>
        <stp>VOLUME_TOTAL_CALL</stp>
        <stp>15/07/2015</stp>
        <stp>15/07/2015</stp>
        <stp>[Bbg_Market_Data_CL.xlsm]data!R434C15</stp>
        <tr r="O434" s="1"/>
      </tp>
      <tp t="s">
        <v>#N/A Requesting Data...</v>
        <stp/>
        <stp>##V3_BDHV12</stp>
        <stp>CL1 Comdty</stp>
        <stp>VOLUME_TOTAL_CALL</stp>
        <stp>01/12/2015</stp>
        <stp>01/12/2015</stp>
        <stp>[Bbg_Market_Data_CL.xlsm]data!R339C15</stp>
        <tr r="O339" s="1"/>
      </tp>
      <tp t="s">
        <v>#N/A Requesting Data...</v>
        <stp/>
        <stp>##V3_BDHV12</stp>
        <stp>CL1 Comdty</stp>
        <stp>VOLUME_TOTAL_CALL</stp>
        <stp>10/11/2016</stp>
        <stp>10/11/2016</stp>
        <stp>[Bbg_Market_Data_CL.xlsm]data!R103C15</stp>
        <tr r="O103" s="1"/>
      </tp>
      <tp t="s">
        <v>#N/A Requesting Data...</v>
        <stp/>
        <stp>##V3_BDHV12</stp>
        <stp>CL1 Comdty</stp>
        <stp>VOLUME_TOTAL_CALL</stp>
        <stp>21/10/2015</stp>
        <stp>21/10/2015</stp>
        <stp>[Bbg_Market_Data_CL.xlsm]data!R366C15</stp>
        <tr r="O366" s="1"/>
      </tp>
      <tp t="s">
        <v>#N/A Requesting Data...</v>
        <stp/>
        <stp>##V3_BDHV12</stp>
        <stp>CL1 Comdty</stp>
        <stp>VOLUME_TOTAL_CALL</stp>
        <stp>03/03/2016</stp>
        <stp>03/03/2016</stp>
        <stp>[Bbg_Market_Data_CL.xlsm]data!R277C15</stp>
        <tr r="O277" s="1"/>
      </tp>
      <tp t="s">
        <v>#N/A Requesting Data...</v>
        <stp/>
        <stp>##V3_BDHV12</stp>
        <stp>CL2 Comdty</stp>
        <stp>VOLUME_TOTAL_CALL</stp>
        <stp>05/06/2015</stp>
        <stp>05/06/2015</stp>
        <stp>[Bbg_Market_Data_CL.xlsm]data!R461C15</stp>
        <tr r="O461" s="1"/>
      </tp>
      <tp t="s">
        <v>#N/A Requesting Data...</v>
        <stp/>
        <stp>##V3_BDHV12</stp>
        <stp>CL2 Comdty</stp>
        <stp>VOLUME_TOTAL_CALL</stp>
        <stp>30/03/2016</stp>
        <stp>30/03/2016</stp>
        <stp>[Bbg_Market_Data_CL.xlsm]data!R259C15</stp>
        <tr r="O259" s="1"/>
      </tp>
      <tp t="s">
        <v>#N/A Requesting Data...</v>
        <stp/>
        <stp>##V3_BDHV12</stp>
        <stp>CL2 Comdty</stp>
        <stp>VOLUME_TOTAL_CALL</stp>
        <stp>02/11/2015</stp>
        <stp>02/11/2015</stp>
        <stp>[Bbg_Market_Data_CL.xlsm]data!R358C15</stp>
        <tr r="O358" s="1"/>
      </tp>
      <tp t="s">
        <v>#N/A Requesting Data...</v>
        <stp/>
        <stp>##V3_BDHV12</stp>
        <stp>CL1 Comdty</stp>
        <stp>VOLUME_TOTAL_CALL</stp>
        <stp>16/04/2015</stp>
        <stp>16/04/2015</stp>
        <stp>[Bbg_Market_Data_CL.xlsm]data!R496C15</stp>
        <tr r="O496" s="1"/>
      </tp>
      <tp t="s">
        <v>#N/A Requesting Data...</v>
        <stp/>
        <stp>##V3_BDHV12</stp>
        <stp>CL1 Comdty</stp>
        <stp>VOLUME_TOTAL_CALL</stp>
        <stp>06/05/2015</stp>
        <stp>06/05/2015</stp>
        <stp>[Bbg_Market_Data_CL.xlsm]data!R482C15</stp>
        <tr r="O482" s="1"/>
      </tp>
      <tp t="s">
        <v>#N/A Requesting Data...</v>
        <stp/>
        <stp>##V3_BDHV12</stp>
        <stp>CL1 Comdty</stp>
        <stp>VOLUME_TOTAL_CALL</stp>
        <stp>15/07/2015</stp>
        <stp>15/07/2015</stp>
        <stp>[Bbg_Market_Data_CL.xlsm]data!R434C15</stp>
        <tr r="O434" s="1"/>
      </tp>
      <tp t="s">
        <v>#N/A Requesting Data...</v>
        <stp/>
        <stp>##V3_BDHV12</stp>
        <stp>CL2 Comdty</stp>
        <stp>VOLUME_TOTAL_CALL</stp>
        <stp>01/12/2015</stp>
        <stp>01/12/2015</stp>
        <stp>[Bbg_Market_Data_CL.xlsm]data!R339C15</stp>
        <tr r="O339" s="1"/>
      </tp>
      <tp t="s">
        <v>#N/A Requesting Data...</v>
        <stp/>
        <stp>##V3_BDHV12</stp>
        <stp>CL2 Comdty</stp>
        <stp>VOLUME_TOTAL_CALL</stp>
        <stp>10/11/2016</stp>
        <stp>10/11/2016</stp>
        <stp>[Bbg_Market_Data_CL.xlsm]data!R103C15</stp>
        <tr r="O103" s="1"/>
      </tp>
      <tp t="s">
        <v>#N/A Requesting Data...</v>
        <stp/>
        <stp>##V3_BDHV12</stp>
        <stp>CL2 Comdty</stp>
        <stp>VOLUME_TOTAL_CALL</stp>
        <stp>21/10/2015</stp>
        <stp>21/10/2015</stp>
        <stp>[Bbg_Market_Data_CL.xlsm]data!R366C15</stp>
        <tr r="O366" s="1"/>
      </tp>
      <tp t="s">
        <v>#N/A Requesting Data...</v>
        <stp/>
        <stp>##V3_BDHV12</stp>
        <stp>CL2 Comdty</stp>
        <stp>VOLUME_TOTAL_CALL</stp>
        <stp>03/03/2016</stp>
        <stp>03/03/2016</stp>
        <stp>[Bbg_Market_Data_CL.xlsm]data!R277C15</stp>
        <tr r="O277" s="1"/>
      </tp>
      <tp t="s">
        <v>#N/A Requesting Data...</v>
        <stp/>
        <stp>##V3_BDHV12</stp>
        <stp>CL1 Comdty</stp>
        <stp>VOLUME_TOTAL_CALL</stp>
        <stp>05/06/2015</stp>
        <stp>05/06/2015</stp>
        <stp>[Bbg_Market_Data_CL.xlsm]data!R461C15</stp>
        <tr r="O461" s="1"/>
      </tp>
      <tp t="s">
        <v>#N/A Requesting Data...</v>
        <stp/>
        <stp>##V3_BDHV12</stp>
        <stp>CL1 Comdty</stp>
        <stp>VOLUME_TOTAL_CALL</stp>
        <stp>30/03/2016</stp>
        <stp>30/03/2016</stp>
        <stp>[Bbg_Market_Data_CL.xlsm]data!R259C15</stp>
        <tr r="O259" s="1"/>
      </tp>
      <tp t="s">
        <v>#N/A Requesting Data...</v>
        <stp/>
        <stp>##V3_BDHV12</stp>
        <stp>CL1 Comdty</stp>
        <stp>VOLUME_TOTAL_CALL</stp>
        <stp>02/11/2015</stp>
        <stp>02/11/2015</stp>
        <stp>[Bbg_Market_Data_CL.xlsm]data!R358C15</stp>
        <tr r="O358" s="1"/>
      </tp>
      <tp t="s">
        <v>#N/A Requesting Data...</v>
        <stp/>
        <stp>##V3_BDHV12</stp>
        <stp>CL2 Comdty</stp>
        <stp>VOLUME_TOTAL_CALL</stp>
        <stp>16/04/2015</stp>
        <stp>16/04/2015</stp>
        <stp>[Bbg_Market_Data_CL.xlsm]data!R496C15</stp>
        <tr r="O496" s="1"/>
      </tp>
      <tp t="s">
        <v>#N/A Requesting Data...</v>
        <stp/>
        <stp>##V3_BDHV12</stp>
        <stp>CL2 Comdty</stp>
        <stp>VOLUME_TOTAL_CALL</stp>
        <stp>06/05/2015</stp>
        <stp>06/05/2015</stp>
        <stp>[Bbg_Market_Data_CL.xlsm]data!R482C15</stp>
        <tr r="O482" s="1"/>
      </tp>
      <tp t="s">
        <v>#N/A Requesting Data...</v>
        <stp/>
        <stp>##V3_BDHV12</stp>
        <stp>CL2 Comdty</stp>
        <stp>VOLUME_TOTAL_CALL</stp>
        <stp>11/10/2016</stp>
        <stp>11/10/2016</stp>
        <stp>[Bbg_Market_Data_CL.xlsm]data!R125C15</stp>
        <tr r="O125" s="1"/>
      </tp>
      <tp t="s">
        <v>#N/A Requesting Data...</v>
        <stp/>
        <stp>##V3_BDHV12</stp>
        <stp>CL1 Comdty</stp>
        <stp>VOLUME_TOTAL_CALL</stp>
        <stp>23/12/2015</stp>
        <stp>23/12/2015</stp>
        <stp>[Bbg_Market_Data_CL.xlsm]data!R323C15</stp>
        <tr r="O323" s="1"/>
      </tp>
      <tp t="s">
        <v>#N/A Requesting Data...</v>
        <stp/>
        <stp>##V3_BDHV12</stp>
        <stp>CL2 Comdty</stp>
        <stp>VOLUME_TOTAL_CALL</stp>
        <stp>10/12/2015</stp>
        <stp>10/12/2015</stp>
        <stp>[Bbg_Market_Data_CL.xlsm]data!R332C15</stp>
        <tr r="O332" s="1"/>
      </tp>
      <tp t="s">
        <v>#N/A Requesting Data...</v>
        <stp/>
        <stp>##V3_BDHV12</stp>
        <stp>CL2 Comdty</stp>
        <stp>VOLUME_TOTAL_CALL</stp>
        <stp>01/11/2016</stp>
        <stp>01/11/2016</stp>
        <stp>[Bbg_Market_Data_CL.xlsm]data!R110C15</stp>
        <tr r="O110" s="1"/>
      </tp>
      <tp t="s">
        <v>#N/A Requesting Data...</v>
        <stp/>
        <stp>##V3_BDHV12</stp>
        <stp>CL1 Comdty</stp>
        <stp>VOLUME_TOTAL_CALL</stp>
        <stp>21/03/2016</stp>
        <stp>21/03/2016</stp>
        <stp>[Bbg_Market_Data_CL.xlsm]data!R265C15</stp>
        <tr r="O265" s="1"/>
      </tp>
      <tp t="s">
        <v>#N/A Requesting Data...</v>
        <stp/>
        <stp>##V3_BDHV12</stp>
        <stp>CL2 Comdty</stp>
        <stp>VOLUME_TOTAL_CALL</stp>
        <stp>20/11/2015</stp>
        <stp>20/11/2015</stp>
        <stp>[Bbg_Market_Data_CL.xlsm]data!R345C15</stp>
        <tr r="O345" s="1"/>
      </tp>
      <tp t="s">
        <v>#N/A Requesting Data...</v>
        <stp/>
        <stp>##V3_BDHV12</stp>
        <stp>CL2 Comdty</stp>
        <stp>VOLUME_TOTAL_CALL</stp>
        <stp>30/10/2015</stp>
        <stp>30/10/2015</stp>
        <stp>[Bbg_Market_Data_CL.xlsm]data!R359C15</stp>
        <tr r="O359" s="1"/>
      </tp>
      <tp t="s">
        <v>#N/A Requesting Data...</v>
        <stp/>
        <stp>##V3_BDHV12</stp>
        <stp>CL1 Comdty</stp>
        <stp>VOLUME_TOTAL_CALL</stp>
        <stp>13/11/2015</stp>
        <stp>13/11/2015</stp>
        <stp>[Bbg_Market_Data_CL.xlsm]data!R350C15</stp>
        <tr r="O350" s="1"/>
      </tp>
      <tp t="s">
        <v>#N/A Requesting Data...</v>
        <stp/>
        <stp>##V3_BDHV12</stp>
        <stp>CL2 Comdty</stp>
        <stp>VOLUME_TOTAL_CALL</stp>
        <stp>02/02/2016</stp>
        <stp>02/02/2016</stp>
        <stp>[Bbg_Market_Data_CL.xlsm]data!R297C15</stp>
        <tr r="O297" s="1"/>
      </tp>
      <tp t="s">
        <v>#N/A Requesting Data...</v>
        <stp/>
        <stp>##V3_BDHV12</stp>
        <stp>CL2 Comdty</stp>
        <stp>VOLUME_TOTAL_CALL</stp>
        <stp>05/05/2016</stp>
        <stp>05/05/2016</stp>
        <stp>[Bbg_Market_Data_CL.xlsm]data!R233C15</stp>
        <tr r="O233" s="1"/>
      </tp>
      <tp t="s">
        <v>#N/A Requesting Data...</v>
        <stp/>
        <stp>##V3_BDHV12</stp>
        <stp>CL1 Comdty</stp>
        <stp>VOLATILITY_10D</stp>
        <stp>29/03/2017</stp>
        <stp>29/03/2017</stp>
        <stp>[Bbg_Market_Data_CL.xlsm]data!R10C17</stp>
        <tr r="Q10" s="1"/>
      </tp>
      <tp t="s">
        <v>#N/A Requesting Data...</v>
        <stp/>
        <stp>##V3_BDHV12</stp>
        <stp>CL1 Comdty</stp>
        <stp>VOLUME_TOTAL_CALL</stp>
        <stp>06/06/2016</stp>
        <stp>06/06/2016</stp>
        <stp>[Bbg_Market_Data_CL.xlsm]data!R212C15</stp>
        <tr r="O212" s="1"/>
      </tp>
      <tp t="s">
        <v>#N/A Requesting Data...</v>
        <stp/>
        <stp>##V3_BDHV12</stp>
        <stp>CL1 Comdty</stp>
        <stp>VOLUME_TOTAL_CALL</stp>
        <stp>25/07/2016</stp>
        <stp>25/07/2016</stp>
        <stp>[Bbg_Market_Data_CL.xlsm]data!R178C15</stp>
        <tr r="O178" s="1"/>
      </tp>
      <tp t="s">
        <v>#N/A Requesting Data...</v>
        <stp/>
        <stp>##V3_BDHV12</stp>
        <stp>CL1 Comdty</stp>
        <stp>VOLATILITY_10D</stp>
        <stp>09/01/2017</stp>
        <stp>09/01/2017</stp>
        <stp>[Bbg_Market_Data_CL.xlsm]data!R65C17</stp>
        <tr r="Q65" s="1"/>
      </tp>
      <tp t="s">
        <v>#N/A Requesting Data...</v>
        <stp/>
        <stp>##V3_BDHV12</stp>
        <stp>CL1 Comdty</stp>
        <stp>VOLATILITY_10D</stp>
        <stp>29/12/2016</stp>
        <stp>29/12/2016</stp>
        <stp>[Bbg_Market_Data_CL.xlsm]data!R71C17</stp>
        <tr r="Q71" s="1"/>
      </tp>
      <tp>
        <v>29.32</v>
        <stp/>
        <stp>##V3_BDHV12</stp>
        <stp>CL2 Comdty</stp>
        <stp>VOLATILITY_30D</stp>
        <stp>18/11/2016</stp>
        <stp>18/11/2016</stp>
        <stp>[Bbg_Market_Data_CL.xlsm]data!R98C18</stp>
        <tr r="R98" s="1"/>
      </tp>
      <tp t="s">
        <v>#N/A Requesting Data...</v>
        <stp/>
        <stp>##V3_BDHV12</stp>
        <stp>CL1 Comdty</stp>
        <stp>VOLUME_TOTAL_CALL</stp>
        <stp>26/04/2016</stp>
        <stp>26/04/2016</stp>
        <stp>[Bbg_Market_Data_CL.xlsm]data!R240C15</stp>
        <tr r="O240" s="1"/>
      </tp>
      <tp t="s">
        <v>#N/A Requesting Data...</v>
        <stp/>
        <stp>##V3_BDHV12</stp>
        <stp>CL2 Comdty</stp>
        <stp>VOLUME_TOTAL_CALL</stp>
        <stp>15/04/2016</stp>
        <stp>15/04/2016</stp>
        <stp>[Bbg_Market_Data_CL.xlsm]data!R247C15</stp>
        <tr r="O247" s="1"/>
      </tp>
      <tp>
        <v>39.630000000000003</v>
        <stp/>
        <stp>##V3_BDHV12</stp>
        <stp>CL2 Comdty</stp>
        <stp>VOLATILITY_30D</stp>
        <stp>28/12/2016</stp>
        <stp>28/12/2016</stp>
        <stp>[Bbg_Market_Data_CL.xlsm]data!R72C18</stp>
        <tr r="R72" s="1"/>
      </tp>
      <tp>
        <v>22.74</v>
        <stp/>
        <stp>##V3_BDHV12</stp>
        <stp>CL2 Comdty</stp>
        <stp>VOLATILITY_30D</stp>
        <stp>28/03/2017</stp>
        <stp>28/03/2017</stp>
        <stp>[Bbg_Market_Data_CL.xlsm]data!R11C18</stp>
        <tr r="R11" s="1"/>
      </tp>
      <tp t="s">
        <v>#N/A Requesting Data...</v>
        <stp/>
        <stp>##V3_BDHV12</stp>
        <stp>CL1 Comdty</stp>
        <stp>VOLUME_TOTAL_CALL</stp>
        <stp>27/05/2016</stp>
        <stp>27/05/2016</stp>
        <stp>[Bbg_Market_Data_CL.xlsm]data!R217C15</stp>
        <tr r="O217" s="1"/>
      </tp>
      <tp t="s">
        <v>#N/A Requesting Data...</v>
        <stp/>
        <stp>##V3_BDHV12</stp>
        <stp>CL1 Comdty</stp>
        <stp>VOLATILITY_10D</stp>
        <stp>28/03/2017</stp>
        <stp>28/03/2017</stp>
        <stp>[Bbg_Market_Data_CL.xlsm]data!R11C17</stp>
        <tr r="Q11" s="1"/>
      </tp>
      <tp t="s">
        <v>#N/A Requesting Data...</v>
        <stp/>
        <stp>##V3_BDHV12</stp>
        <stp>CL1 Comdty</stp>
        <stp>VOLUME_TOTAL_CALL</stp>
        <stp>17/06/2016</stp>
        <stp>17/06/2016</stp>
        <stp>[Bbg_Market_Data_CL.xlsm]data!R203C15</stp>
        <tr r="O203" s="1"/>
      </tp>
      <tp t="s">
        <v>#N/A Requesting Data...</v>
        <stp/>
        <stp>##V3_BDHV12</stp>
        <stp>CL1 Comdty</stp>
        <stp>VOLATILITY_10D</stp>
        <stp>28/12/2016</stp>
        <stp>28/12/2016</stp>
        <stp>[Bbg_Market_Data_CL.xlsm]data!R72C17</stp>
        <tr r="Q72" s="1"/>
      </tp>
      <tp t="s">
        <v>#N/A Requesting Data...</v>
        <stp/>
        <stp>##V3_BDHV12</stp>
        <stp>CL2 Comdty</stp>
        <stp>VOLUME_TOTAL_CALL</stp>
        <stp>04/04/2016</stp>
        <stp>04/04/2016</stp>
        <stp>[Bbg_Market_Data_CL.xlsm]data!R256C15</stp>
        <tr r="O256" s="1"/>
      </tp>
      <tp>
        <v>39.08</v>
        <stp/>
        <stp>##V3_BDHV12</stp>
        <stp>CL2 Comdty</stp>
        <stp>VOLATILITY_30D</stp>
        <stp>09/01/2017</stp>
        <stp>09/01/2017</stp>
        <stp>[Bbg_Market_Data_CL.xlsm]data!R65C18</stp>
        <tr r="R65" s="1"/>
      </tp>
      <tp>
        <v>39.58</v>
        <stp/>
        <stp>##V3_BDHV12</stp>
        <stp>CL2 Comdty</stp>
        <stp>VOLATILITY_30D</stp>
        <stp>29/12/2016</stp>
        <stp>29/12/2016</stp>
        <stp>[Bbg_Market_Data_CL.xlsm]data!R71C18</stp>
        <tr r="R71" s="1"/>
      </tp>
      <tp t="s">
        <v>#N/A Requesting Data...</v>
        <stp/>
        <stp>##V3_BDHV12</stp>
        <stp>CL1 Comdty</stp>
        <stp>VOLATILITY_10D</stp>
        <stp>18/11/2016</stp>
        <stp>18/11/2016</stp>
        <stp>[Bbg_Market_Data_CL.xlsm]data!R98C17</stp>
        <tr r="Q98" s="1"/>
      </tp>
      <tp t="s">
        <v>#N/A Requesting Data...</v>
        <stp/>
        <stp>##V3_BDHV12</stp>
        <stp>CL1 Comdty</stp>
        <stp>VOLUME_TOTAL_CALL</stp>
        <stp>24/06/2016</stp>
        <stp>24/06/2016</stp>
        <stp>[Bbg_Market_Data_CL.xlsm]data!R198C15</stp>
        <tr r="O198" s="1"/>
      </tp>
      <tp t="s">
        <v>#N/A Requesting Data...</v>
        <stp/>
        <stp>##V3_BDHV12</stp>
        <stp>CL2 Comdty</stp>
        <stp>VOLUME_TOTAL_CALL</stp>
        <stp>07/07/2016</stp>
        <stp>07/07/2016</stp>
        <stp>[Bbg_Market_Data_CL.xlsm]data!R190C15</stp>
        <tr r="O190" s="1"/>
      </tp>
      <tp>
        <v>23.99</v>
        <stp/>
        <stp>##V3_BDHV12</stp>
        <stp>CL2 Comdty</stp>
        <stp>VOLATILITY_30D</stp>
        <stp>29/03/2017</stp>
        <stp>29/03/2017</stp>
        <stp>[Bbg_Market_Data_CL.xlsm]data!R10C18</stp>
        <tr r="R10" s="1"/>
      </tp>
      <tp t="s">
        <v>#N/A Requesting Data...</v>
        <stp/>
        <stp>##V3_BDHV12</stp>
        <stp>CL2 Comdty</stp>
        <stp>VOLUME_TOTAL_CALL</stp>
        <stp>27/05/2016</stp>
        <stp>27/05/2016</stp>
        <stp>[Bbg_Market_Data_CL.xlsm]data!R217C15</stp>
        <tr r="O217" s="1"/>
      </tp>
      <tp>
        <v>13.33</v>
        <stp/>
        <stp>##V3_BDHV12</stp>
        <stp>CL2 Comdty</stp>
        <stp>VOLATILITY_10D</stp>
        <stp>28/03/2017</stp>
        <stp>28/03/2017</stp>
        <stp>[Bbg_Market_Data_CL.xlsm]data!R11C17</stp>
        <tr r="Q11" s="1"/>
      </tp>
      <tp t="s">
        <v>#N/A Requesting Data...</v>
        <stp/>
        <stp>##V3_BDHV12</stp>
        <stp>CL2 Comdty</stp>
        <stp>VOLUME_TOTAL_CALL</stp>
        <stp>17/06/2016</stp>
        <stp>17/06/2016</stp>
        <stp>[Bbg_Market_Data_CL.xlsm]data!R203C15</stp>
        <tr r="O203" s="1"/>
      </tp>
      <tp>
        <v>11.54</v>
        <stp/>
        <stp>##V3_BDHV12</stp>
        <stp>CL2 Comdty</stp>
        <stp>VOLATILITY_10D</stp>
        <stp>28/12/2016</stp>
        <stp>28/12/2016</stp>
        <stp>[Bbg_Market_Data_CL.xlsm]data!R72C17</stp>
        <tr r="Q72" s="1"/>
      </tp>
      <tp t="s">
        <v>#N/A Requesting Data...</v>
        <stp/>
        <stp>##V3_BDHV12</stp>
        <stp>CL1 Comdty</stp>
        <stp>VOLUME_TOTAL_CALL</stp>
        <stp>04/04/2016</stp>
        <stp>04/04/2016</stp>
        <stp>[Bbg_Market_Data_CL.xlsm]data!R256C15</stp>
        <tr r="O256" s="1"/>
      </tp>
      <tp t="s">
        <v>#N/A Requesting Data...</v>
        <stp/>
        <stp>##V3_BDHV12</stp>
        <stp>CL1 Comdty</stp>
        <stp>VOLATILITY_30D</stp>
        <stp>09/01/2017</stp>
        <stp>09/01/2017</stp>
        <stp>[Bbg_Market_Data_CL.xlsm]data!R65C18</stp>
        <tr r="R65" s="1"/>
      </tp>
      <tp t="s">
        <v>#N/A Requesting Data...</v>
        <stp/>
        <stp>##V3_BDHV12</stp>
        <stp>CL1 Comdty</stp>
        <stp>VOLATILITY_30D</stp>
        <stp>29/12/2016</stp>
        <stp>29/12/2016</stp>
        <stp>[Bbg_Market_Data_CL.xlsm]data!R71C18</stp>
        <tr r="R71" s="1"/>
      </tp>
      <tp>
        <v>36.020000000000003</v>
        <stp/>
        <stp>##V3_BDHV12</stp>
        <stp>CL2 Comdty</stp>
        <stp>VOLATILITY_10D</stp>
        <stp>18/11/2016</stp>
        <stp>18/11/2016</stp>
        <stp>[Bbg_Market_Data_CL.xlsm]data!R98C17</stp>
        <tr r="Q98" s="1"/>
      </tp>
      <tp t="s">
        <v>#N/A Requesting Data...</v>
        <stp/>
        <stp>##V3_BDHV12</stp>
        <stp>CL2 Comdty</stp>
        <stp>VOLUME_TOTAL_CALL</stp>
        <stp>24/06/2016</stp>
        <stp>24/06/2016</stp>
        <stp>[Bbg_Market_Data_CL.xlsm]data!R198C15</stp>
        <tr r="O198" s="1"/>
      </tp>
      <tp t="s">
        <v>#N/A Requesting Data...</v>
        <stp/>
        <stp>##V3_BDHV12</stp>
        <stp>CL1 Comdty</stp>
        <stp>VOLUME_TOTAL_CALL</stp>
        <stp>07/07/2016</stp>
        <stp>07/07/2016</stp>
        <stp>[Bbg_Market_Data_CL.xlsm]data!R190C15</stp>
        <tr r="O190" s="1"/>
      </tp>
      <tp t="s">
        <v>#N/A Requesting Data...</v>
        <stp/>
        <stp>##V3_BDHV12</stp>
        <stp>CL1 Comdty</stp>
        <stp>VOLATILITY_30D</stp>
        <stp>29/03/2017</stp>
        <stp>29/03/2017</stp>
        <stp>[Bbg_Market_Data_CL.xlsm]data!R10C18</stp>
        <tr r="R10" s="1"/>
      </tp>
      <tp t="s">
        <v>#N/A Requesting Data...</v>
        <stp/>
        <stp>##V3_BDHV12</stp>
        <stp>CL1 Comdty</stp>
        <stp>VOLUME_TOTAL_CALL</stp>
        <stp>05/05/2016</stp>
        <stp>05/05/2016</stp>
        <stp>[Bbg_Market_Data_CL.xlsm]data!R233C15</stp>
        <tr r="O233" s="1"/>
      </tp>
      <tp>
        <v>18.190000000000001</v>
        <stp/>
        <stp>##V3_BDHV12</stp>
        <stp>CL2 Comdty</stp>
        <stp>VOLATILITY_10D</stp>
        <stp>29/03/2017</stp>
        <stp>29/03/2017</stp>
        <stp>[Bbg_Market_Data_CL.xlsm]data!R10C17</stp>
        <tr r="Q10" s="1"/>
      </tp>
      <tp t="s">
        <v>#N/A Requesting Data...</v>
        <stp/>
        <stp>##V3_BDHV12</stp>
        <stp>CL2 Comdty</stp>
        <stp>VOLUME_TOTAL_CALL</stp>
        <stp>06/06/2016</stp>
        <stp>06/06/2016</stp>
        <stp>[Bbg_Market_Data_CL.xlsm]data!R212C15</stp>
        <tr r="O212" s="1"/>
      </tp>
      <tp t="s">
        <v>#N/A Requesting Data...</v>
        <stp/>
        <stp>##V3_BDHV12</stp>
        <stp>CL2 Comdty</stp>
        <stp>VOLUME_TOTAL_CALL</stp>
        <stp>25/07/2016</stp>
        <stp>25/07/2016</stp>
        <stp>[Bbg_Market_Data_CL.xlsm]data!R178C15</stp>
        <tr r="O178" s="1"/>
      </tp>
      <tp>
        <v>29.33</v>
        <stp/>
        <stp>##V3_BDHV12</stp>
        <stp>CL2 Comdty</stp>
        <stp>VOLATILITY_10D</stp>
        <stp>09/01/2017</stp>
        <stp>09/01/2017</stp>
        <stp>[Bbg_Market_Data_CL.xlsm]data!R65C17</stp>
        <tr r="Q65" s="1"/>
      </tp>
      <tp>
        <v>12.01</v>
        <stp/>
        <stp>##V3_BDHV12</stp>
        <stp>CL2 Comdty</stp>
        <stp>VOLATILITY_10D</stp>
        <stp>29/12/2016</stp>
        <stp>29/12/2016</stp>
        <stp>[Bbg_Market_Data_CL.xlsm]data!R71C17</stp>
        <tr r="Q71" s="1"/>
      </tp>
      <tp t="s">
        <v>#N/A Requesting Data...</v>
        <stp/>
        <stp>##V3_BDHV12</stp>
        <stp>CL1 Comdty</stp>
        <stp>VOLATILITY_30D</stp>
        <stp>18/11/2016</stp>
        <stp>18/11/2016</stp>
        <stp>[Bbg_Market_Data_CL.xlsm]data!R98C18</stp>
        <tr r="R98" s="1"/>
      </tp>
      <tp t="s">
        <v>#N/A Requesting Data...</v>
        <stp/>
        <stp>##V3_BDHV12</stp>
        <stp>CL2 Comdty</stp>
        <stp>VOLUME_TOTAL_CALL</stp>
        <stp>26/04/2016</stp>
        <stp>26/04/2016</stp>
        <stp>[Bbg_Market_Data_CL.xlsm]data!R240C15</stp>
        <tr r="O240" s="1"/>
      </tp>
      <tp t="s">
        <v>#N/A Requesting Data...</v>
        <stp/>
        <stp>##V3_BDHV12</stp>
        <stp>CL1 Comdty</stp>
        <stp>VOLUME_TOTAL_CALL</stp>
        <stp>15/04/2016</stp>
        <stp>15/04/2016</stp>
        <stp>[Bbg_Market_Data_CL.xlsm]data!R247C15</stp>
        <tr r="O247" s="1"/>
      </tp>
      <tp t="s">
        <v>#N/A Requesting Data...</v>
        <stp/>
        <stp>##V3_BDHV12</stp>
        <stp>CL1 Comdty</stp>
        <stp>VOLATILITY_30D</stp>
        <stp>28/12/2016</stp>
        <stp>28/12/2016</stp>
        <stp>[Bbg_Market_Data_CL.xlsm]data!R72C18</stp>
        <tr r="R72" s="1"/>
      </tp>
      <tp t="s">
        <v>#N/A Requesting Data...</v>
        <stp/>
        <stp>##V3_BDHV12</stp>
        <stp>CL1 Comdty</stp>
        <stp>VOLATILITY_30D</stp>
        <stp>28/03/2017</stp>
        <stp>28/03/2017</stp>
        <stp>[Bbg_Market_Data_CL.xlsm]data!R11C18</stp>
        <tr r="R11" s="1"/>
      </tp>
      <tp>
        <v>22.73</v>
        <stp/>
        <stp>##V3_BDHV12</stp>
        <stp>CL2 Comdty</stp>
        <stp>VOLATILITY_30D</stp>
        <stp>24/03/2017</stp>
        <stp>24/03/2017</stp>
        <stp>[Bbg_Market_Data_CL.xlsm]data!R13C18</stp>
        <tr r="R13" s="1"/>
      </tp>
      <tp t="s">
        <v>#N/A Requesting Data...</v>
        <stp/>
        <stp>##V3_BDHV12</stp>
        <stp>CL1 Comdty</stp>
        <stp>VOLATILITY_30D</stp>
        <stp>27/03/2017</stp>
        <stp>27/03/2017</stp>
        <stp>[Bbg_Market_Data_CL.xlsm]data!R12C18</stp>
        <tr r="R12" s="1"/>
      </tp>
      <tp t="s">
        <v>#N/A Requesting Data...</v>
        <stp/>
        <stp>##V3_BDHV12</stp>
        <stp>CL1 Comdty</stp>
        <stp>VOLATILITY_30D</stp>
        <stp>27/12/2016</stp>
        <stp>27/12/2016</stp>
        <stp>[Bbg_Market_Data_CL.xlsm]data!R73C18</stp>
        <tr r="R73" s="1"/>
      </tp>
      <tp t="s">
        <v>#N/A Requesting Data...</v>
        <stp/>
        <stp>##V3_BDHV12</stp>
        <stp>CL1 Comdty</stp>
        <stp>VOLUME_TOTAL_CALL</stp>
        <stp>19/08/2016</stp>
        <stp>19/08/2016</stp>
        <stp>[Bbg_Market_Data_CL.xlsm]data!R160C15</stp>
        <tr r="O160" s="1"/>
      </tp>
      <tp>
        <v>39.380000000000003</v>
        <stp/>
        <stp>##V3_BDHV12</stp>
        <stp>CL2 Comdty</stp>
        <stp>VOLATILITY_30D</stp>
        <stp>04/01/2017</stp>
        <stp>04/01/2017</stp>
        <stp>[Bbg_Market_Data_CL.xlsm]data!R68C18</stp>
        <tr r="R68" s="1"/>
      </tp>
      <tp t="s">
        <v>#N/A Requesting Data...</v>
        <stp/>
        <stp>##V3_BDHV12</stp>
        <stp>CL1 Comdty</stp>
        <stp>VOLUME_TOTAL_CALL</stp>
        <stp>09/09/2016</stp>
        <stp>09/09/2016</stp>
        <stp>[Bbg_Market_Data_CL.xlsm]data!R146C15</stp>
        <tr r="O146" s="1"/>
      </tp>
      <tp t="s">
        <v>#N/A Requesting Data...</v>
        <stp/>
        <stp>##V3_BDHV12</stp>
        <stp>CL1 Comdty</stp>
        <stp>VOLATILITY_10D</stp>
        <stp>05/01/2017</stp>
        <stp>05/01/2017</stp>
        <stp>[Bbg_Market_Data_CL.xlsm]data!R67C17</stp>
        <tr r="Q67" s="1"/>
      </tp>
      <tp>
        <v>20.34</v>
        <stp/>
        <stp>##V3_BDHV12</stp>
        <stp>CL2 Comdty</stp>
        <stp>VOLATILITY_10D</stp>
        <stp>06/01/2017</stp>
        <stp>06/01/2017</stp>
        <stp>[Bbg_Market_Data_CL.xlsm]data!R66C17</stp>
        <tr r="Q66" s="1"/>
      </tp>
      <tp t="s">
        <v>#N/A Requesting Data...</v>
        <stp/>
        <stp>##V3_BDHV12</stp>
        <stp>CL1 Comdty</stp>
        <stp>VOLATILITY_30D</stp>
        <stp>17/11/2016</stp>
        <stp>17/11/2016</stp>
        <stp>[Bbg_Market_Data_CL.xlsm]data!R99C18</stp>
        <tr r="R99" s="1"/>
      </tp>
      <tp t="s">
        <v>#N/A Requesting Data...</v>
        <stp/>
        <stp>##V3_BDHV12</stp>
        <stp>CL1 Comdty</stp>
        <stp>VOLUME_TOTAL_CALL</stp>
        <stp>28/09/2015</stp>
        <stp>28/09/2015</stp>
        <stp>[Bbg_Market_Data_CL.xlsm]data!R382C15</stp>
        <tr r="O382" s="1"/>
      </tp>
      <tp t="s">
        <v>#N/A Requesting Data...</v>
        <stp/>
        <stp>##V3_BDHV12</stp>
        <stp>CL1 Comdty</stp>
        <stp>VOLATILITY_30D</stp>
        <stp>06/01/2017</stp>
        <stp>06/01/2017</stp>
        <stp>[Bbg_Market_Data_CL.xlsm]data!R66C18</stp>
        <tr r="R66" s="1"/>
      </tp>
      <tp>
        <v>36.96</v>
        <stp/>
        <stp>##V3_BDHV12</stp>
        <stp>CL2 Comdty</stp>
        <stp>VOLATILITY_10D</stp>
        <stp>17/11/2016</stp>
        <stp>17/11/2016</stp>
        <stp>[Bbg_Market_Data_CL.xlsm]data!R99C17</stp>
        <tr r="Q99" s="1"/>
      </tp>
      <tp>
        <v>39.28</v>
        <stp/>
        <stp>##V3_BDHV12</stp>
        <stp>CL2 Comdty</stp>
        <stp>VOLATILITY_30D</stp>
        <stp>05/01/2017</stp>
        <stp>05/01/2017</stp>
        <stp>[Bbg_Market_Data_CL.xlsm]data!R67C18</stp>
        <tr r="R67" s="1"/>
      </tp>
      <tp t="s">
        <v>#N/A Requesting Data...</v>
        <stp/>
        <stp>##V3_BDHV12</stp>
        <stp>CL1 Comdty</stp>
        <stp>VOLATILITY_10D</stp>
        <stp>04/01/2017</stp>
        <stp>04/01/2017</stp>
        <stp>[Bbg_Market_Data_CL.xlsm]data!R68C17</stp>
        <tr r="Q68" s="1"/>
      </tp>
      <tp>
        <v>24.91</v>
        <stp/>
        <stp>##V3_BDHV12</stp>
        <stp>CL2 Comdty</stp>
        <stp>VOLATILITY_10D</stp>
        <stp>27/12/2016</stp>
        <stp>27/12/2016</stp>
        <stp>[Bbg_Market_Data_CL.xlsm]data!R73C17</stp>
        <tr r="Q73" s="1"/>
      </tp>
      <tp>
        <v>16.62</v>
        <stp/>
        <stp>##V3_BDHV12</stp>
        <stp>CL2 Comdty</stp>
        <stp>VOLATILITY_10D</stp>
        <stp>27/03/2017</stp>
        <stp>27/03/2017</stp>
        <stp>[Bbg_Market_Data_CL.xlsm]data!R12C17</stp>
        <tr r="Q12" s="1"/>
      </tp>
      <tp t="s">
        <v>#N/A Requesting Data...</v>
        <stp/>
        <stp>##V3_BDHV12</stp>
        <stp>CL1 Comdty</stp>
        <stp>VOLATILITY_10D</stp>
        <stp>24/03/2017</stp>
        <stp>24/03/2017</stp>
        <stp>[Bbg_Market_Data_CL.xlsm]data!R13C17</stp>
        <tr r="Q13" s="1"/>
      </tp>
      <tp>
        <v>39.25</v>
        <stp/>
        <stp>##V3_BDHV12</stp>
        <stp>CL2 Comdty</stp>
        <stp>VOLATILITY_30D</stp>
        <stp>06/01/2017</stp>
        <stp>06/01/2017</stp>
        <stp>[Bbg_Market_Data_CL.xlsm]data!R66C18</stp>
        <tr r="R66" s="1"/>
      </tp>
      <tp t="s">
        <v>#N/A Requesting Data...</v>
        <stp/>
        <stp>##V3_BDHV12</stp>
        <stp>CL1 Comdty</stp>
        <stp>VOLATILITY_10D</stp>
        <stp>17/11/2016</stp>
        <stp>17/11/2016</stp>
        <stp>[Bbg_Market_Data_CL.xlsm]data!R99C17</stp>
        <tr r="Q99" s="1"/>
      </tp>
      <tp t="s">
        <v>#N/A Requesting Data...</v>
        <stp/>
        <stp>##V3_BDHV12</stp>
        <stp>CL1 Comdty</stp>
        <stp>VOLATILITY_30D</stp>
        <stp>05/01/2017</stp>
        <stp>05/01/2017</stp>
        <stp>[Bbg_Market_Data_CL.xlsm]data!R67C18</stp>
        <tr r="R67" s="1"/>
      </tp>
      <tp>
        <v>20.38</v>
        <stp/>
        <stp>##V3_BDHV12</stp>
        <stp>CL2 Comdty</stp>
        <stp>VOLATILITY_10D</stp>
        <stp>04/01/2017</stp>
        <stp>04/01/2017</stp>
        <stp>[Bbg_Market_Data_CL.xlsm]data!R68C17</stp>
        <tr r="Q68" s="1"/>
      </tp>
      <tp t="s">
        <v>#N/A Requesting Data...</v>
        <stp/>
        <stp>##V3_BDHV12</stp>
        <stp>CL1 Comdty</stp>
        <stp>VOLATILITY_10D</stp>
        <stp>27/12/2016</stp>
        <stp>27/12/2016</stp>
        <stp>[Bbg_Market_Data_CL.xlsm]data!R73C17</stp>
        <tr r="Q73" s="1"/>
      </tp>
      <tp t="s">
        <v>#N/A Requesting Data...</v>
        <stp/>
        <stp>##V3_BDHV12</stp>
        <stp>CL1 Comdty</stp>
        <stp>VOLATILITY_10D</stp>
        <stp>27/03/2017</stp>
        <stp>27/03/2017</stp>
        <stp>[Bbg_Market_Data_CL.xlsm]data!R12C17</stp>
        <tr r="Q12" s="1"/>
      </tp>
      <tp>
        <v>17.75</v>
        <stp/>
        <stp>##V3_BDHV12</stp>
        <stp>CL2 Comdty</stp>
        <stp>VOLATILITY_10D</stp>
        <stp>24/03/2017</stp>
        <stp>24/03/2017</stp>
        <stp>[Bbg_Market_Data_CL.xlsm]data!R13C17</stp>
        <tr r="Q13" s="1"/>
      </tp>
      <tp t="s">
        <v>#N/A Requesting Data...</v>
        <stp/>
        <stp>##V3_BDHV12</stp>
        <stp>CL1 Comdty</stp>
        <stp>VOLATILITY_30D</stp>
        <stp>24/03/2017</stp>
        <stp>24/03/2017</stp>
        <stp>[Bbg_Market_Data_CL.xlsm]data!R13C18</stp>
        <tr r="R13" s="1"/>
      </tp>
      <tp>
        <v>22.38</v>
        <stp/>
        <stp>##V3_BDHV12</stp>
        <stp>CL2 Comdty</stp>
        <stp>VOLATILITY_30D</stp>
        <stp>27/03/2017</stp>
        <stp>27/03/2017</stp>
        <stp>[Bbg_Market_Data_CL.xlsm]data!R12C18</stp>
        <tr r="R12" s="1"/>
      </tp>
      <tp>
        <v>42.18</v>
        <stp/>
        <stp>##V3_BDHV12</stp>
        <stp>CL2 Comdty</stp>
        <stp>VOLATILITY_30D</stp>
        <stp>27/12/2016</stp>
        <stp>27/12/2016</stp>
        <stp>[Bbg_Market_Data_CL.xlsm]data!R73C18</stp>
        <tr r="R73" s="1"/>
      </tp>
      <tp t="s">
        <v>#N/A Requesting Data...</v>
        <stp/>
        <stp>##V3_BDHV12</stp>
        <stp>CL2 Comdty</stp>
        <stp>VOLUME_TOTAL_CALL</stp>
        <stp>19/08/2016</stp>
        <stp>19/08/2016</stp>
        <stp>[Bbg_Market_Data_CL.xlsm]data!R160C15</stp>
        <tr r="O160" s="1"/>
      </tp>
      <tp t="s">
        <v>#N/A Requesting Data...</v>
        <stp/>
        <stp>##V3_BDHV12</stp>
        <stp>CL1 Comdty</stp>
        <stp>VOLATILITY_30D</stp>
        <stp>04/01/2017</stp>
        <stp>04/01/2017</stp>
        <stp>[Bbg_Market_Data_CL.xlsm]data!R68C18</stp>
        <tr r="R68" s="1"/>
      </tp>
      <tp t="s">
        <v>#N/A Requesting Data...</v>
        <stp/>
        <stp>##V3_BDHV12</stp>
        <stp>CL2 Comdty</stp>
        <stp>VOLUME_TOTAL_CALL</stp>
        <stp>09/09/2016</stp>
        <stp>09/09/2016</stp>
        <stp>[Bbg_Market_Data_CL.xlsm]data!R146C15</stp>
        <tr r="O146" s="1"/>
      </tp>
      <tp>
        <v>20.68</v>
        <stp/>
        <stp>##V3_BDHV12</stp>
        <stp>CL2 Comdty</stp>
        <stp>VOLATILITY_10D</stp>
        <stp>05/01/2017</stp>
        <stp>05/01/2017</stp>
        <stp>[Bbg_Market_Data_CL.xlsm]data!R67C17</stp>
        <tr r="Q67" s="1"/>
      </tp>
      <tp t="s">
        <v>#N/A Requesting Data...</v>
        <stp/>
        <stp>##V3_BDHV12</stp>
        <stp>CL1 Comdty</stp>
        <stp>VOLATILITY_10D</stp>
        <stp>06/01/2017</stp>
        <stp>06/01/2017</stp>
        <stp>[Bbg_Market_Data_CL.xlsm]data!R66C17</stp>
        <tr r="Q66" s="1"/>
      </tp>
      <tp>
        <v>30.76</v>
        <stp/>
        <stp>##V3_BDHV12</stp>
        <stp>CL2 Comdty</stp>
        <stp>VOLATILITY_30D</stp>
        <stp>17/11/2016</stp>
        <stp>17/11/2016</stp>
        <stp>[Bbg_Market_Data_CL.xlsm]data!R99C18</stp>
        <tr r="R99" s="1"/>
      </tp>
      <tp t="s">
        <v>#N/A Requesting Data...</v>
        <stp/>
        <stp>##V3_BDHV12</stp>
        <stp>CL2 Comdty</stp>
        <stp>VOLUME_TOTAL_CALL</stp>
        <stp>28/09/2015</stp>
        <stp>28/09/2015</stp>
        <stp>[Bbg_Market_Data_CL.xlsm]data!R382C15</stp>
        <tr r="O382" s="1"/>
      </tp>
      <tp t="s">
        <v>#N/A Requesting Data...</v>
        <stp/>
        <stp>##V3_BDHV12</stp>
        <stp>CL1 Comdty</stp>
        <stp>VOLATILITY_30D</stp>
        <stp>23/12/2016</stp>
        <stp>23/12/2016</stp>
        <stp>[Bbg_Market_Data_CL.xlsm]data!R74C18</stp>
        <tr r="R74" s="1"/>
      </tp>
      <tp t="s">
        <v>#N/A Requesting Data...</v>
        <stp/>
        <stp>##V3_BDHV12</stp>
        <stp>CL1 Comdty</stp>
        <stp>VOLATILITY_30D</stp>
        <stp>03/01/2017</stp>
        <stp>03/01/2017</stp>
        <stp>[Bbg_Market_Data_CL.xlsm]data!R69C18</stp>
        <tr r="R69" s="1"/>
      </tp>
      <tp>
        <v>43.77</v>
        <stp/>
        <stp>##V3_BDHV12</stp>
        <stp>CL2 Comdty</stp>
        <stp>VOLATILITY_30D</stp>
        <stp>20/12/2016</stp>
        <stp>20/12/2016</stp>
        <stp>[Bbg_Market_Data_CL.xlsm]data!R77C18</stp>
        <tr r="R77" s="1"/>
      </tp>
      <tp>
        <v>23.67</v>
        <stp/>
        <stp>##V3_BDHV12</stp>
        <stp>CL2 Comdty</stp>
        <stp>VOLATILITY_30D</stp>
        <stp>20/03/2017</stp>
        <stp>20/03/2017</stp>
        <stp>[Bbg_Market_Data_CL.xlsm]data!R17C18</stp>
        <tr r="R17" s="1"/>
      </tp>
      <tp t="s">
        <v>#N/A Requesting Data...</v>
        <stp/>
        <stp>##V3_BDHV12</stp>
        <stp>CL1 Comdty</stp>
        <stp>VOLATILITY_30D</stp>
        <stp>23/03/2017</stp>
        <stp>23/03/2017</stp>
        <stp>[Bbg_Market_Data_CL.xlsm]data!R14C18</stp>
        <tr r="R14" s="1"/>
      </tp>
      <tp>
        <v>18.920000000000002</v>
        <stp/>
        <stp>##V3_BDHV12</stp>
        <stp>CL2 Comdty</stp>
        <stp>VOLATILITY_10D</stp>
        <stp>22/03/2017</stp>
        <stp>22/03/2017</stp>
        <stp>[Bbg_Market_Data_CL.xlsm]data!R15C17</stp>
        <tr r="Q15" s="1"/>
      </tp>
      <tp t="s">
        <v>#N/A Requesting Data...</v>
        <stp/>
        <stp>##V3_BDHV12</stp>
        <stp>CL1 Comdty</stp>
        <stp>VOLATILITY_10D</stp>
        <stp>21/03/2017</stp>
        <stp>21/03/2017</stp>
        <stp>[Bbg_Market_Data_CL.xlsm]data!R16C17</stp>
        <tr r="Q16" s="1"/>
      </tp>
      <tp t="s">
        <v>#N/A Requesting Data...</v>
        <stp/>
        <stp>##V3_BDHV12</stp>
        <stp>CL1 Comdty</stp>
        <stp>VOLATILITY_10D</stp>
        <stp>21/12/2016</stp>
        <stp>21/12/2016</stp>
        <stp>[Bbg_Market_Data_CL.xlsm]data!R76C17</stp>
        <tr r="Q76" s="1"/>
      </tp>
      <tp>
        <v>26.87</v>
        <stp/>
        <stp>##V3_BDHV12</stp>
        <stp>CL2 Comdty</stp>
        <stp>VOLATILITY_10D</stp>
        <stp>22/12/2016</stp>
        <stp>22/12/2016</stp>
        <stp>[Bbg_Market_Data_CL.xlsm]data!R75C17</stp>
        <tr r="Q75" s="1"/>
      </tp>
      <tp t="s">
        <v>#N/A Requesting Data...</v>
        <stp/>
        <stp>##V3_BDHV12</stp>
        <stp>CL1 Comdty</stp>
        <stp>VOLATILITY_30D</stp>
        <stp>22/12/2016</stp>
        <stp>22/12/2016</stp>
        <stp>[Bbg_Market_Data_CL.xlsm]data!R75C18</stp>
        <tr r="R75" s="1"/>
      </tp>
      <tp>
        <v>43.78</v>
        <stp/>
        <stp>##V3_BDHV12</stp>
        <stp>CL2 Comdty</stp>
        <stp>VOLATILITY_30D</stp>
        <stp>21/12/2016</stp>
        <stp>21/12/2016</stp>
        <stp>[Bbg_Market_Data_CL.xlsm]data!R76C18</stp>
        <tr r="R76" s="1"/>
      </tp>
      <tp>
        <v>23.57</v>
        <stp/>
        <stp>##V3_BDHV12</stp>
        <stp>CL2 Comdty</stp>
        <stp>VOLATILITY_30D</stp>
        <stp>21/03/2017</stp>
        <stp>21/03/2017</stp>
        <stp>[Bbg_Market_Data_CL.xlsm]data!R16C18</stp>
        <tr r="R16" s="1"/>
      </tp>
      <tp t="s">
        <v>#N/A Requesting Data...</v>
        <stp/>
        <stp>##V3_BDHV12</stp>
        <stp>CL1 Comdty</stp>
        <stp>VOLATILITY_30D</stp>
        <stp>22/03/2017</stp>
        <stp>22/03/2017</stp>
        <stp>[Bbg_Market_Data_CL.xlsm]data!R15C18</stp>
        <tr r="R15" s="1"/>
      </tp>
      <tp>
        <v>17.350000000000001</v>
        <stp/>
        <stp>##V3_BDHV12</stp>
        <stp>CL2 Comdty</stp>
        <stp>VOLATILITY_10D</stp>
        <stp>23/03/2017</stp>
        <stp>23/03/2017</stp>
        <stp>[Bbg_Market_Data_CL.xlsm]data!R14C17</stp>
        <tr r="Q14" s="1"/>
      </tp>
      <tp t="s">
        <v>#N/A Requesting Data...</v>
        <stp/>
        <stp>##V3_BDHV12</stp>
        <stp>CL1 Comdty</stp>
        <stp>VOLATILITY_10D</stp>
        <stp>20/03/2017</stp>
        <stp>20/03/2017</stp>
        <stp>[Bbg_Market_Data_CL.xlsm]data!R17C17</stp>
        <tr r="Q17" s="1"/>
      </tp>
      <tp t="s">
        <v>#N/A Requesting Data...</v>
        <stp/>
        <stp>##V3_BDHV12</stp>
        <stp>CL1 Comdty</stp>
        <stp>VOLATILITY_10D</stp>
        <stp>20/12/2016</stp>
        <stp>20/12/2016</stp>
        <stp>[Bbg_Market_Data_CL.xlsm]data!R77C17</stp>
        <tr r="Q77" s="1"/>
      </tp>
      <tp>
        <v>23.45</v>
        <stp/>
        <stp>##V3_BDHV12</stp>
        <stp>CL2 Comdty</stp>
        <stp>VOLATILITY_10D</stp>
        <stp>23/12/2016</stp>
        <stp>23/12/2016</stp>
        <stp>[Bbg_Market_Data_CL.xlsm]data!R74C17</stp>
        <tr r="Q74" s="1"/>
      </tp>
      <tp>
        <v>18.29</v>
        <stp/>
        <stp>##V3_BDHV12</stp>
        <stp>CL2 Comdty</stp>
        <stp>VOLATILITY_10D</stp>
        <stp>03/01/2017</stp>
        <stp>03/01/2017</stp>
        <stp>[Bbg_Market_Data_CL.xlsm]data!R69C17</stp>
        <tr r="Q69" s="1"/>
      </tp>
      <tp>
        <v>43.44</v>
        <stp/>
        <stp>##V3_BDHV12</stp>
        <stp>CL2 Comdty</stp>
        <stp>VOLATILITY_30D</stp>
        <stp>22/12/2016</stp>
        <stp>22/12/2016</stp>
        <stp>[Bbg_Market_Data_CL.xlsm]data!R75C18</stp>
        <tr r="R75" s="1"/>
      </tp>
      <tp t="s">
        <v>#N/A Requesting Data...</v>
        <stp/>
        <stp>##V3_BDHV12</stp>
        <stp>CL1 Comdty</stp>
        <stp>VOLATILITY_30D</stp>
        <stp>21/12/2016</stp>
        <stp>21/12/2016</stp>
        <stp>[Bbg_Market_Data_CL.xlsm]data!R76C18</stp>
        <tr r="R76" s="1"/>
      </tp>
      <tp t="s">
        <v>#N/A Requesting Data...</v>
        <stp/>
        <stp>##V3_BDHV12</stp>
        <stp>CL1 Comdty</stp>
        <stp>VOLATILITY_30D</stp>
        <stp>21/03/2017</stp>
        <stp>21/03/2017</stp>
        <stp>[Bbg_Market_Data_CL.xlsm]data!R16C18</stp>
        <tr r="R16" s="1"/>
      </tp>
      <tp>
        <v>23.71</v>
        <stp/>
        <stp>##V3_BDHV12</stp>
        <stp>CL2 Comdty</stp>
        <stp>VOLATILITY_30D</stp>
        <stp>22/03/2017</stp>
        <stp>22/03/2017</stp>
        <stp>[Bbg_Market_Data_CL.xlsm]data!R15C18</stp>
        <tr r="R15" s="1"/>
      </tp>
      <tp t="s">
        <v>#N/A Requesting Data...</v>
        <stp/>
        <stp>##V3_BDHV12</stp>
        <stp>CL1 Comdty</stp>
        <stp>VOLATILITY_10D</stp>
        <stp>23/03/2017</stp>
        <stp>23/03/2017</stp>
        <stp>[Bbg_Market_Data_CL.xlsm]data!R14C17</stp>
        <tr r="Q14" s="1"/>
      </tp>
      <tp>
        <v>32.630000000000003</v>
        <stp/>
        <stp>##V3_BDHV12</stp>
        <stp>CL2 Comdty</stp>
        <stp>VOLATILITY_10D</stp>
        <stp>20/03/2017</stp>
        <stp>20/03/2017</stp>
        <stp>[Bbg_Market_Data_CL.xlsm]data!R17C17</stp>
        <tr r="Q17" s="1"/>
      </tp>
      <tp>
        <v>28.16</v>
        <stp/>
        <stp>##V3_BDHV12</stp>
        <stp>CL2 Comdty</stp>
        <stp>VOLATILITY_10D</stp>
        <stp>20/12/2016</stp>
        <stp>20/12/2016</stp>
        <stp>[Bbg_Market_Data_CL.xlsm]data!R77C17</stp>
        <tr r="Q77" s="1"/>
      </tp>
      <tp t="s">
        <v>#N/A Requesting Data...</v>
        <stp/>
        <stp>##V3_BDHV12</stp>
        <stp>CL1 Comdty</stp>
        <stp>VOLATILITY_10D</stp>
        <stp>23/12/2016</stp>
        <stp>23/12/2016</stp>
        <stp>[Bbg_Market_Data_CL.xlsm]data!R74C17</stp>
        <tr r="Q74" s="1"/>
      </tp>
      <tp t="s">
        <v>#N/A Requesting Data...</v>
        <stp/>
        <stp>##V3_BDHV12</stp>
        <stp>CL1 Comdty</stp>
        <stp>VOLATILITY_10D</stp>
        <stp>03/01/2017</stp>
        <stp>03/01/2017</stp>
        <stp>[Bbg_Market_Data_CL.xlsm]data!R69C17</stp>
        <tr r="Q69" s="1"/>
      </tp>
      <tp>
        <v>42.25</v>
        <stp/>
        <stp>##V3_BDHV12</stp>
        <stp>CL2 Comdty</stp>
        <stp>VOLATILITY_30D</stp>
        <stp>23/12/2016</stp>
        <stp>23/12/2016</stp>
        <stp>[Bbg_Market_Data_CL.xlsm]data!R74C18</stp>
        <tr r="R74" s="1"/>
      </tp>
      <tp>
        <v>40.64</v>
        <stp/>
        <stp>##V3_BDHV12</stp>
        <stp>CL2 Comdty</stp>
        <stp>VOLATILITY_30D</stp>
        <stp>03/01/2017</stp>
        <stp>03/01/2017</stp>
        <stp>[Bbg_Market_Data_CL.xlsm]data!R69C18</stp>
        <tr r="R69" s="1"/>
      </tp>
      <tp t="s">
        <v>#N/A Requesting Data...</v>
        <stp/>
        <stp>##V3_BDHV12</stp>
        <stp>CL1 Comdty</stp>
        <stp>VOLATILITY_30D</stp>
        <stp>20/12/2016</stp>
        <stp>20/12/2016</stp>
        <stp>[Bbg_Market_Data_CL.xlsm]data!R77C18</stp>
        <tr r="R77" s="1"/>
      </tp>
      <tp t="s">
        <v>#N/A Requesting Data...</v>
        <stp/>
        <stp>##V3_BDHV12</stp>
        <stp>CL1 Comdty</stp>
        <stp>VOLATILITY_30D</stp>
        <stp>20/03/2017</stp>
        <stp>20/03/2017</stp>
        <stp>[Bbg_Market_Data_CL.xlsm]data!R17C18</stp>
        <tr r="R17" s="1"/>
      </tp>
      <tp>
        <v>23.37</v>
        <stp/>
        <stp>##V3_BDHV12</stp>
        <stp>CL2 Comdty</stp>
        <stp>VOLATILITY_30D</stp>
        <stp>23/03/2017</stp>
        <stp>23/03/2017</stp>
        <stp>[Bbg_Market_Data_CL.xlsm]data!R14C18</stp>
        <tr r="R14" s="1"/>
      </tp>
      <tp t="s">
        <v>#N/A Requesting Data...</v>
        <stp/>
        <stp>##V3_BDHV12</stp>
        <stp>CL1 Comdty</stp>
        <stp>VOLATILITY_10D</stp>
        <stp>22/03/2017</stp>
        <stp>22/03/2017</stp>
        <stp>[Bbg_Market_Data_CL.xlsm]data!R15C17</stp>
        <tr r="Q15" s="1"/>
      </tp>
      <tp>
        <v>19.87</v>
        <stp/>
        <stp>##V3_BDHV12</stp>
        <stp>CL2 Comdty</stp>
        <stp>VOLATILITY_10D</stp>
        <stp>21/03/2017</stp>
        <stp>21/03/2017</stp>
        <stp>[Bbg_Market_Data_CL.xlsm]data!R16C17</stp>
        <tr r="Q16" s="1"/>
      </tp>
      <tp>
        <v>27.01</v>
        <stp/>
        <stp>##V3_BDHV12</stp>
        <stp>CL2 Comdty</stp>
        <stp>VOLATILITY_10D</stp>
        <stp>21/12/2016</stp>
        <stp>21/12/2016</stp>
        <stp>[Bbg_Market_Data_CL.xlsm]data!R76C17</stp>
        <tr r="Q76" s="1"/>
      </tp>
      <tp t="s">
        <v>#N/A Requesting Data...</v>
        <stp/>
        <stp>##V3_BDHV12</stp>
        <stp>CL1 Comdty</stp>
        <stp>VOLATILITY_10D</stp>
        <stp>22/12/2016</stp>
        <stp>22/12/2016</stp>
        <stp>[Bbg_Market_Data_CL.xlsm]data!R75C17</stp>
        <tr r="Q75" s="1"/>
      </tp>
      <tp>
        <v>303387</v>
        <stp/>
        <stp>##V3_BDHV12</stp>
        <stp>CL2 Comdty</stp>
        <stp>PX_VOLUME</stp>
        <stp>08/11/2016</stp>
        <stp>08/11/2016</stp>
        <stp>[Bbg_Market_Data_CL.xlsm]data!R105C8</stp>
        <tr r="H105" s="1"/>
      </tp>
      <tp t="s">
        <v>#N/A Requesting Data...</v>
        <stp/>
        <stp>##V3_BDHV12</stp>
        <stp>CL1 Comdty</stp>
        <stp>PX_VOLUME</stp>
        <stp>08/11/2016</stp>
        <stp>08/11/2016</stp>
        <stp>[Bbg_Market_Data_CL.xlsm]data!R105C8</stp>
        <tr r="H105" s="1"/>
      </tp>
      <tp t="s">
        <v>#N/A Requesting Data...</v>
        <stp/>
        <stp>##V3_BDHV12</stp>
        <stp>CL1 Comdty</stp>
        <stp>PX_VOLUME</stp>
        <stp>19/02/2016</stp>
        <stp>19/02/2016</stp>
        <stp>[Bbg_Market_Data_CL.xlsm]data!R286C8</stp>
        <tr r="H286" s="1"/>
      </tp>
      <tp>
        <v>510897</v>
        <stp/>
        <stp>##V3_BDHV12</stp>
        <stp>CL2 Comdty</stp>
        <stp>PX_VOLUME</stp>
        <stp>19/02/2016</stp>
        <stp>19/02/2016</stp>
        <stp>[Bbg_Market_Data_CL.xlsm]data!R286C8</stp>
        <tr r="H286" s="1"/>
      </tp>
      <tp>
        <v>251310</v>
        <stp/>
        <stp>##V3_BDHV12</stp>
        <stp>CL2 Comdty</stp>
        <stp>PX_VOLUME</stp>
        <stp>08/10/2015</stp>
        <stp>08/10/2015</stp>
        <stp>[Bbg_Market_Data_CL.xlsm]data!R374C8</stp>
        <tr r="H374" s="1"/>
      </tp>
      <tp t="s">
        <v>#N/A Requesting Data...</v>
        <stp/>
        <stp>##V3_BDHV12</stp>
        <stp>CL1 Comdty</stp>
        <stp>PX_VOLUME</stp>
        <stp>08/10/2015</stp>
        <stp>08/10/2015</stp>
        <stp>[Bbg_Market_Data_CL.xlsm]data!R374C8</stp>
        <tr r="H374" s="1"/>
      </tp>
      <tp t="s">
        <v>#N/A Requesting Data...</v>
        <stp/>
        <stp>##V3_BDHV12</stp>
        <stp>CL1 Comdty</stp>
        <stp>PX_VOLUME</stp>
        <stp>18/06/2015</stp>
        <stp>18/06/2015</stp>
        <stp>[Bbg_Market_Data_CL.xlsm]data!R452C8</stp>
        <tr r="H452" s="1"/>
      </tp>
      <tp t="s">
        <v>#N/A Requesting Data...</v>
        <stp/>
        <stp>##V3_BDHV12</stp>
        <stp>CL2 Comdty</stp>
        <stp>PX_VOLUME</stp>
        <stp>18/06/2015</stp>
        <stp>18/06/2015</stp>
        <stp>[Bbg_Market_Data_CL.xlsm]data!R452C8</stp>
        <tr r="H452" s="1"/>
      </tp>
      <tp>
        <v>334568</v>
        <stp/>
        <stp>##V3_BDHV12</stp>
        <stp>CL2 Comdty</stp>
        <stp>PX_VOLUME</stp>
        <stp>18/07/2016</stp>
        <stp>18/07/2016</stp>
        <stp>[Bbg_Market_Data_CL.xlsm]data!R183C8</stp>
        <tr r="H183" s="1"/>
      </tp>
      <tp t="s">
        <v>#N/A Requesting Data...</v>
        <stp/>
        <stp>##V3_BDHV12</stp>
        <stp>CL1 Comdty</stp>
        <stp>PX_VOLUME</stp>
        <stp>18/07/2016</stp>
        <stp>18/07/2016</stp>
        <stp>[Bbg_Market_Data_CL.xlsm]data!R183C8</stp>
        <tr r="H183" s="1"/>
      </tp>
      <tp t="s">
        <v>#N/A Requesting Data...</v>
        <stp/>
        <stp>##V3_BDHV12</stp>
        <stp>CL1 Comdty</stp>
        <stp>PX_VOLUME</stp>
        <stp>08/05/2015</stp>
        <stp>08/05/2015</stp>
        <stp>[Bbg_Market_Data_CL.xlsm]data!R480C8</stp>
        <tr r="H480" s="1"/>
      </tp>
      <tp t="s">
        <v>#N/A Requesting Data...</v>
        <stp/>
        <stp>##V3_BDHV12</stp>
        <stp>CL2 Comdty</stp>
        <stp>PX_VOLUME</stp>
        <stp>08/05/2015</stp>
        <stp>08/05/2015</stp>
        <stp>[Bbg_Market_Data_CL.xlsm]data!R480C8</stp>
        <tr r="H480" s="1"/>
      </tp>
      <tp>
        <v>94433</v>
        <stp/>
        <stp>##V3_BDHV12</stp>
        <stp>CL2 Comdty</stp>
        <stp>PX_VOLUME</stp>
        <stp>21/10/2015</stp>
        <stp>21/10/2015</stp>
        <stp>[Bbg_Market_Data_CL.xlsm]data!R366C8</stp>
        <tr r="H366" s="1"/>
      </tp>
      <tp>
        <v>185630</v>
        <stp/>
        <stp>##V3_BDHV12</stp>
        <stp>CL2 Comdty</stp>
        <stp>PX_VOLUME</stp>
        <stp>02/02/2016</stp>
        <stp>02/02/2016</stp>
        <stp>[Bbg_Market_Data_CL.xlsm]data!R297C8</stp>
        <tr r="H297" s="1"/>
      </tp>
      <tp>
        <v>469052</v>
        <stp/>
        <stp>##V3_BDHV12</stp>
        <stp>CL2 Comdty</stp>
        <stp>PX_VOLUME</stp>
        <stp>11/10/2016</stp>
        <stp>11/10/2016</stp>
        <stp>[Bbg_Market_Data_CL.xlsm]data!R125C8</stp>
        <tr r="H125" s="1"/>
      </tp>
      <tp t="s">
        <v>#N/A Requesting Data...</v>
        <stp/>
        <stp>##V3_BDHV12</stp>
        <stp>CL1 Comdty</stp>
        <stp>PX_VOLUME</stp>
        <stp>02/02/2016</stp>
        <stp>02/02/2016</stp>
        <stp>[Bbg_Market_Data_CL.xlsm]data!R297C8</stp>
        <tr r="H297" s="1"/>
      </tp>
      <tp t="s">
        <v>#N/A Requesting Data...</v>
        <stp/>
        <stp>##V3_BDHV12</stp>
        <stp>CL1 Comdty</stp>
        <stp>PX_VOLUME</stp>
        <stp>11/10/2016</stp>
        <stp>11/10/2016</stp>
        <stp>[Bbg_Market_Data_CL.xlsm]data!R125C8</stp>
        <tr r="H125" s="1"/>
      </tp>
      <tp t="s">
        <v>#N/A Requesting Data...</v>
        <stp/>
        <stp>##V3_BDHV12</stp>
        <stp>CL1 Comdty</stp>
        <stp>PX_VOLUME</stp>
        <stp>21/10/2015</stp>
        <stp>21/10/2015</stp>
        <stp>[Bbg_Market_Data_CL.xlsm]data!R366C8</stp>
        <tr r="H366" s="1"/>
      </tp>
      <tp t="s">
        <v>#N/A Requesting Data...</v>
        <stp/>
        <stp>##V3_BDHV12</stp>
        <stp>CL1 Comdty</stp>
        <stp>PX_VOLUME</stp>
        <stp>22/12/2015</stp>
        <stp>22/12/2015</stp>
        <stp>[Bbg_Market_Data_CL.xlsm]data!R324C8</stp>
        <tr r="H324" s="1"/>
      </tp>
      <tp>
        <v>87271</v>
        <stp/>
        <stp>##V3_BDHV12</stp>
        <stp>CL2 Comdty</stp>
        <stp>PX_VOLUME</stp>
        <stp>22/12/2015</stp>
        <stp>22/12/2015</stp>
        <stp>[Bbg_Market_Data_CL.xlsm]data!R324C8</stp>
        <tr r="H324" s="1"/>
      </tp>
      <tp>
        <v>521016</v>
        <stp/>
        <stp>##V3_BDHV12</stp>
        <stp>CL2 Comdty</stp>
        <stp>PX_VOLUME</stp>
        <stp>22/02/2016</stp>
        <stp>22/02/2016</stp>
        <stp>[Bbg_Market_Data_CL.xlsm]data!R285C8</stp>
        <tr r="H285" s="1"/>
      </tp>
      <tp t="s">
        <v>#N/A Requesting Data...</v>
        <stp/>
        <stp>##V3_BDHV12</stp>
        <stp>CL1 Comdty</stp>
        <stp>PX_VOLUME</stp>
        <stp>22/02/2016</stp>
        <stp>22/02/2016</stp>
        <stp>[Bbg_Market_Data_CL.xlsm]data!R285C8</stp>
        <tr r="H285" s="1"/>
      </tp>
      <tp>
        <v>165256</v>
        <stp/>
        <stp>##V3_BDHV12</stp>
        <stp>CL2 Comdty</stp>
        <stp>PX_VOLUME</stp>
        <stp>05/07/2016</stp>
        <stp>05/07/2016</stp>
        <stp>[Bbg_Market_Data_CL.xlsm]data!R192C8</stp>
        <tr r="H192" s="1"/>
      </tp>
      <tp t="s">
        <v>#N/A Requesting Data...</v>
        <stp/>
        <stp>##V3_BDHV12</stp>
        <stp>CL1 Comdty</stp>
        <stp>PX_VOLUME</stp>
        <stp>05/07/2016</stp>
        <stp>05/07/2016</stp>
        <stp>[Bbg_Market_Data_CL.xlsm]data!R192C8</stp>
        <tr r="H192" s="1"/>
      </tp>
      <tp t="s">
        <v>#N/A Requesting Data...</v>
        <stp/>
        <stp>##V3_BDHV12</stp>
        <stp>CL2 Comdty</stp>
        <stp>PX_VOLUME</stp>
        <stp>16/07/2015</stp>
        <stp>16/07/2015</stp>
        <stp>[Bbg_Market_Data_CL.xlsm]data!R433C8</stp>
        <tr r="H433" s="1"/>
      </tp>
      <tp t="s">
        <v>#N/A Requesting Data...</v>
        <stp/>
        <stp>##V3_BDHV12</stp>
        <stp>CL1 Comdty</stp>
        <stp>PX_VOLUME</stp>
        <stp>20/01/2016</stp>
        <stp>20/01/2016</stp>
        <stp>[Bbg_Market_Data_CL.xlsm]data!R306C8</stp>
        <tr r="H306" s="1"/>
      </tp>
      <tp>
        <v>138984</v>
        <stp/>
        <stp>##V3_BDHV12</stp>
        <stp>CL2 Comdty</stp>
        <stp>PX_VOLUME</stp>
        <stp>22/03/2016</stp>
        <stp>22/03/2016</stp>
        <stp>[Bbg_Market_Data_CL.xlsm]data!R264C8</stp>
        <tr r="H264" s="1"/>
      </tp>
      <tp>
        <v>690039</v>
        <stp/>
        <stp>##V3_BDHV12</stp>
        <stp>CL2 Comdty</stp>
        <stp>PX_VOLUME</stp>
        <stp>20/01/2016</stp>
        <stp>20/01/2016</stp>
        <stp>[Bbg_Market_Data_CL.xlsm]data!R306C8</stp>
        <tr r="H306" s="1"/>
      </tp>
      <tp t="s">
        <v>#N/A Requesting Data...</v>
        <stp/>
        <stp>##V3_BDHV12</stp>
        <stp>CL1 Comdty</stp>
        <stp>PX_VOLUME</stp>
        <stp>22/03/2016</stp>
        <stp>22/03/2016</stp>
        <stp>[Bbg_Market_Data_CL.xlsm]data!R264C8</stp>
        <tr r="H264" s="1"/>
      </tp>
      <tp t="s">
        <v>#N/A Requesting Data...</v>
        <stp/>
        <stp>##V3_BDHV12</stp>
        <stp>CL1 Comdty</stp>
        <stp>PX_VOLUME</stp>
        <stp>16/07/2015</stp>
        <stp>16/07/2015</stp>
        <stp>[Bbg_Market_Data_CL.xlsm]data!R433C8</stp>
        <tr r="H433" s="1"/>
      </tp>
      <tp>
        <v>77776</v>
        <stp/>
        <stp>##V3_BDHV12</stp>
        <stp>CL2 Comdty</stp>
        <stp>PX_VOLUME</stp>
        <stp>21/07/2016</stp>
        <stp>21/07/2016</stp>
        <stp>[Bbg_Market_Data_CL.xlsm]data!R180C8</stp>
        <tr r="H180" s="1"/>
      </tp>
      <tp t="s">
        <v>#N/A Requesting Data...</v>
        <stp/>
        <stp>##V3_BDHV12</stp>
        <stp>CL1 Comdty</stp>
        <stp>PX_VOLUME</stp>
        <stp>21/07/2016</stp>
        <stp>21/07/2016</stp>
        <stp>[Bbg_Market_Data_CL.xlsm]data!R180C8</stp>
        <tr r="H180" s="1"/>
      </tp>
      <tp t="s">
        <v>#N/A Requesting Data...</v>
        <stp/>
        <stp>##V3_BDHV12</stp>
        <stp>CL1 Comdty</stp>
        <stp>PX_VOLUME</stp>
        <stp>21/04/2015</stp>
        <stp>21/04/2015</stp>
        <stp>[Bbg_Market_Data_CL.xlsm]data!R493C8</stp>
        <tr r="H493" s="1"/>
      </tp>
      <tp t="s">
        <v>#N/A Requesting Data...</v>
        <stp/>
        <stp>##V3_BDHV12</stp>
        <stp>CL1 Comdty</stp>
        <stp>PX_VOLUME</stp>
        <stp>20/05/2015</stp>
        <stp>20/05/2015</stp>
        <stp>[Bbg_Market_Data_CL.xlsm]data!R472C8</stp>
        <tr r="H472" s="1"/>
      </tp>
      <tp t="s">
        <v>#N/A Requesting Data...</v>
        <stp/>
        <stp>##V3_BDHV12</stp>
        <stp>CL2 Comdty</stp>
        <stp>PX_VOLUME</stp>
        <stp>20/05/2015</stp>
        <stp>20/05/2015</stp>
        <stp>[Bbg_Market_Data_CL.xlsm]data!R472C8</stp>
        <tr r="H472" s="1"/>
      </tp>
      <tp t="s">
        <v>#N/A Requesting Data...</v>
        <stp/>
        <stp>##V3_BDHV12</stp>
        <stp>CL2 Comdty</stp>
        <stp>PX_VOLUME</stp>
        <stp>21/04/2015</stp>
        <stp>21/04/2015</stp>
        <stp>[Bbg_Market_Data_CL.xlsm]data!R493C8</stp>
        <tr r="H493" s="1"/>
      </tp>
      <tp>
        <v>89043</v>
        <stp/>
        <stp>##V3_BDHV12</stp>
        <stp>CL2 Comdty</stp>
        <stp>PX_VOLUME</stp>
        <stp>03/06/2016</stp>
        <stp>03/06/2016</stp>
        <stp>[Bbg_Market_Data_CL.xlsm]data!R213C8</stp>
        <tr r="H213" s="1"/>
      </tp>
      <tp t="s">
        <v>#N/A Requesting Data...</v>
        <stp/>
        <stp>##V3_BDHV12</stp>
        <stp>CL1 Comdty</stp>
        <stp>PX_VOLUME</stp>
        <stp>21/06/2016</stp>
        <stp>21/06/2016</stp>
        <stp>[Bbg_Market_Data_CL.xlsm]data!R201C8</stp>
        <tr r="H201" s="1"/>
      </tp>
      <tp>
        <v>475407</v>
        <stp/>
        <stp>##V3_BDHV12</stp>
        <stp>CL2 Comdty</stp>
        <stp>PX_VOLUME</stp>
        <stp>21/06/2016</stp>
        <stp>21/06/2016</stp>
        <stp>[Bbg_Market_Data_CL.xlsm]data!R201C8</stp>
        <tr r="H201" s="1"/>
      </tp>
      <tp t="s">
        <v>#N/A Requesting Data...</v>
        <stp/>
        <stp>##V3_BDHV12</stp>
        <stp>CL1 Comdty</stp>
        <stp>PX_VOLUME</stp>
        <stp>03/06/2016</stp>
        <stp>03/06/2016</stp>
        <stp>[Bbg_Market_Data_CL.xlsm]data!R213C8</stp>
        <tr r="H213" s="1"/>
      </tp>
      <tp>
        <v>442919</v>
        <stp/>
        <stp>##V3_BDHV12</stp>
        <stp>CL2 Comdty</stp>
        <stp>PX_VOLUME</stp>
        <stp>17/03/2016</stp>
        <stp>17/03/2016</stp>
        <stp>[Bbg_Market_Data_CL.xlsm]data!R267C8</stp>
        <tr r="H267" s="1"/>
      </tp>
      <tp>
        <v>118057</v>
        <stp/>
        <stp>##V3_BDHV12</stp>
        <stp>CL2 Comdty</stp>
        <stp>PX_VOLUME</stp>
        <stp>04/12/2015</stp>
        <stp>04/12/2015</stp>
        <stp>[Bbg_Market_Data_CL.xlsm]data!R336C8</stp>
        <tr r="H336" s="1"/>
      </tp>
      <tp t="s">
        <v>#N/A Requesting Data...</v>
        <stp/>
        <stp>##V3_BDHV12</stp>
        <stp>CL1 Comdty</stp>
        <stp>PX_VOLUME</stp>
        <stp>04/12/2015</stp>
        <stp>04/12/2015</stp>
        <stp>[Bbg_Market_Data_CL.xlsm]data!R336C8</stp>
        <tr r="H336" s="1"/>
      </tp>
      <tp t="s">
        <v>#N/A Requesting Data...</v>
        <stp/>
        <stp>##V3_BDHV12</stp>
        <stp>CL1 Comdty</stp>
        <stp>PX_VOLUME</stp>
        <stp>17/03/2016</stp>
        <stp>17/03/2016</stp>
        <stp>[Bbg_Market_Data_CL.xlsm]data!R267C8</stp>
        <tr r="H267" s="1"/>
      </tp>
      <tp t="s">
        <v>#N/A Requesting Data...</v>
        <stp/>
        <stp>##V3_BDHV12</stp>
        <stp>CL1 Comdty</stp>
        <stp>PX_VOLUME</stp>
        <stp>10/04/2015</stp>
        <stp>10/04/2015</stp>
        <stp>[Bbg_Market_Data_CL.xlsm]data!R500C8</stp>
        <tr r="H500" s="1"/>
      </tp>
      <tp>
        <v>185174</v>
        <stp/>
        <stp>##V3_BDHV12</stp>
        <stp>CL2 Comdty</stp>
        <stp>PX_VOLUME</stp>
        <stp>24/10/2016</stp>
        <stp>24/10/2016</stp>
        <stp>[Bbg_Market_Data_CL.xlsm]data!R116C8</stp>
        <tr r="H116" s="1"/>
      </tp>
      <tp t="s">
        <v>#N/A Requesting Data...</v>
        <stp/>
        <stp>##V3_BDHV12</stp>
        <stp>CL2 Comdty</stp>
        <stp>PX_VOLUME</stp>
        <stp>02/07/2015</stp>
        <stp>02/07/2015</stp>
        <stp>[Bbg_Market_Data_CL.xlsm]data!R442C8</stp>
        <tr r="H442" s="1"/>
      </tp>
      <tp>
        <v>237381</v>
        <stp/>
        <stp>##V3_BDHV12</stp>
        <stp>CL2 Comdty</stp>
        <stp>PX_VOLUME</stp>
        <stp>07/01/2016</stp>
        <stp>07/01/2016</stp>
        <stp>[Bbg_Market_Data_CL.xlsm]data!R314C8</stp>
        <tr r="H314" s="1"/>
      </tp>
      <tp t="s">
        <v>#N/A Requesting Data...</v>
        <stp/>
        <stp>##V3_BDHV12</stp>
        <stp>CL2 Comdty</stp>
        <stp>PX_VOLUME</stp>
        <stp>03/06/2015</stp>
        <stp>03/06/2015</stp>
        <stp>[Bbg_Market_Data_CL.xlsm]data!R463C8</stp>
        <tr r="H463" s="1"/>
      </tp>
      <tp t="s">
        <v>#N/A Requesting Data...</v>
        <stp/>
        <stp>##V3_BDHV12</stp>
        <stp>CL1 Comdty</stp>
        <stp>PX_VOLUME</stp>
        <stp>07/01/2016</stp>
        <stp>07/01/2016</stp>
        <stp>[Bbg_Market_Data_CL.xlsm]data!R314C8</stp>
        <tr r="H314" s="1"/>
      </tp>
      <tp t="s">
        <v>#N/A Requesting Data...</v>
        <stp/>
        <stp>##V3_BDHV12</stp>
        <stp>CL1 Comdty</stp>
        <stp>PX_VOLUME</stp>
        <stp>03/06/2015</stp>
        <stp>03/06/2015</stp>
        <stp>[Bbg_Market_Data_CL.xlsm]data!R463C8</stp>
        <tr r="H463" s="1"/>
      </tp>
      <tp t="s">
        <v>#N/A Requesting Data...</v>
        <stp/>
        <stp>##V3_BDHV12</stp>
        <stp>CL1 Comdty</stp>
        <stp>PX_VOLUME</stp>
        <stp>24/10/2016</stp>
        <stp>24/10/2016</stp>
        <stp>[Bbg_Market_Data_CL.xlsm]data!R116C8</stp>
        <tr r="H116" s="1"/>
      </tp>
      <tp t="s">
        <v>#N/A Requesting Data...</v>
        <stp/>
        <stp>##V3_BDHV12</stp>
        <stp>CL2 Comdty</stp>
        <stp>PX_VOLUME</stp>
        <stp>10/04/2015</stp>
        <stp>10/04/2015</stp>
        <stp>[Bbg_Market_Data_CL.xlsm]data!R500C8</stp>
        <tr r="H500" s="1"/>
      </tp>
      <tp t="s">
        <v>#N/A Requesting Data...</v>
        <stp/>
        <stp>##V3_BDHV12</stp>
        <stp>CL1 Comdty</stp>
        <stp>PX_VOLUME</stp>
        <stp>02/07/2015</stp>
        <stp>02/07/2015</stp>
        <stp>[Bbg_Market_Data_CL.xlsm]data!R442C8</stp>
        <tr r="H442" s="1"/>
      </tp>
      <tp t="s">
        <v>#N/A Requesting Data...</v>
        <stp/>
        <stp>##V3_BDHV12</stp>
        <stp>CL1 Comdty</stp>
        <stp>PX_VOLUME</stp>
        <stp>20/05/2016</stp>
        <stp>20/05/2016</stp>
        <stp>[Bbg_Market_Data_CL.xlsm]data!R222C8</stp>
        <tr r="H222" s="1"/>
      </tp>
      <tp>
        <v>384163</v>
        <stp/>
        <stp>##V3_BDHV12</stp>
        <stp>CL2 Comdty</stp>
        <stp>PX_VOLUME</stp>
        <stp>12/04/2016</stp>
        <stp>12/04/2016</stp>
        <stp>[Bbg_Market_Data_CL.xlsm]data!R250C8</stp>
        <tr r="H250" s="1"/>
      </tp>
      <tp t="s">
        <v>#N/A Requesting Data...</v>
        <stp/>
        <stp>##V3_BDHV12</stp>
        <stp>CL1 Comdty</stp>
        <stp>PX_VOLUME</stp>
        <stp>21/04/2016</stp>
        <stp>21/04/2016</stp>
        <stp>[Bbg_Market_Data_CL.xlsm]data!R243C8</stp>
        <tr r="H243" s="1"/>
      </tp>
      <tp t="s">
        <v>#N/A Requesting Data...</v>
        <stp/>
        <stp>##V3_BDHV12</stp>
        <stp>CL1 Comdty</stp>
        <stp>PX_VOLUME</stp>
        <stp>12/04/2016</stp>
        <stp>12/04/2016</stp>
        <stp>[Bbg_Market_Data_CL.xlsm]data!R250C8</stp>
        <tr r="H250" s="1"/>
      </tp>
      <tp>
        <v>130962</v>
        <stp/>
        <stp>##V3_BDHV12</stp>
        <stp>CL2 Comdty</stp>
        <stp>PX_VOLUME</stp>
        <stp>21/04/2016</stp>
        <stp>21/04/2016</stp>
        <stp>[Bbg_Market_Data_CL.xlsm]data!R243C8</stp>
        <tr r="H243" s="1"/>
      </tp>
      <tp>
        <v>538047</v>
        <stp/>
        <stp>##V3_BDHV12</stp>
        <stp>CL2 Comdty</stp>
        <stp>PX_VOLUME</stp>
        <stp>20/05/2016</stp>
        <stp>20/05/2016</stp>
        <stp>[Bbg_Market_Data_CL.xlsm]data!R222C8</stp>
        <tr r="H222" s="1"/>
      </tp>
      <tp t="s">
        <v>#N/A Requesting Data...</v>
        <stp/>
        <stp>##V3_BDHV12</stp>
        <stp>CL1 Comdty</stp>
        <stp>PX_VOLUME</stp>
        <stp>21/07/2015</stp>
        <stp>21/07/2015</stp>
        <stp>[Bbg_Market_Data_CL.xlsm]data!R430C8</stp>
        <tr r="H430" s="1"/>
      </tp>
      <tp t="s">
        <v>#N/A Requesting Data...</v>
        <stp/>
        <stp>##V3_BDHV12</stp>
        <stp>CL1 Comdty</stp>
        <stp>PX_VOLUME</stp>
        <stp>04/03/2016</stp>
        <stp>04/03/2016</stp>
        <stp>[Bbg_Market_Data_CL.xlsm]data!R276C8</stp>
        <tr r="H276" s="1"/>
      </tp>
      <tp>
        <v>147577</v>
        <stp/>
        <stp>##V3_BDHV12</stp>
        <stp>CL2 Comdty</stp>
        <stp>PX_VOLUME</stp>
        <stp>05/11/2015</stp>
        <stp>05/11/2015</stp>
        <stp>[Bbg_Market_Data_CL.xlsm]data!R355C8</stp>
        <tr r="H355" s="1"/>
      </tp>
      <tp t="s">
        <v>#N/A Requesting Data...</v>
        <stp/>
        <stp>##V3_BDHV12</stp>
        <stp>CL1 Comdty</stp>
        <stp>PX_VOLUME</stp>
        <stp>17/12/2015</stp>
        <stp>17/12/2015</stp>
        <stp>[Bbg_Market_Data_CL.xlsm]data!R327C8</stp>
        <tr r="H327" s="1"/>
      </tp>
      <tp>
        <v>292565</v>
        <stp/>
        <stp>##V3_BDHV12</stp>
        <stp>CL2 Comdty</stp>
        <stp>PX_VOLUME</stp>
        <stp>17/12/2015</stp>
        <stp>17/12/2015</stp>
        <stp>[Bbg_Market_Data_CL.xlsm]data!R327C8</stp>
        <tr r="H327" s="1"/>
      </tp>
      <tp t="s">
        <v>#N/A Requesting Data...</v>
        <stp/>
        <stp>##V3_BDHV12</stp>
        <stp>CL2 Comdty</stp>
        <stp>PX_VOLUME</stp>
        <stp>21/07/2015</stp>
        <stp>21/07/2015</stp>
        <stp>[Bbg_Market_Data_CL.xlsm]data!R430C8</stp>
        <tr r="H430" s="1"/>
      </tp>
      <tp>
        <v>151706</v>
        <stp/>
        <stp>##V3_BDHV12</stp>
        <stp>CL2 Comdty</stp>
        <stp>PX_VOLUME</stp>
        <stp>04/03/2016</stp>
        <stp>04/03/2016</stp>
        <stp>[Bbg_Market_Data_CL.xlsm]data!R276C8</stp>
        <tr r="H276" s="1"/>
      </tp>
      <tp t="s">
        <v>#N/A Requesting Data...</v>
        <stp/>
        <stp>##V3_BDHV12</stp>
        <stp>CL1 Comdty</stp>
        <stp>PX_VOLUME</stp>
        <stp>05/11/2015</stp>
        <stp>05/11/2015</stp>
        <stp>[Bbg_Market_Data_CL.xlsm]data!R355C8</stp>
        <tr r="H355" s="1"/>
      </tp>
      <tp t="s">
        <v>#N/A Requesting Data...</v>
        <stp/>
        <stp>##V3_BDHV12</stp>
        <stp>CL1 Comdty</stp>
        <stp>30DAY_IMPVOL_105.0%MNY_DF</stp>
        <stp>19/01/2017</stp>
        <stp>19/01/2017</stp>
        <stp>[Bbg_Market_Data_CL.xlsm]data!R57C19</stp>
        <tr r="S57" s="1"/>
      </tp>
      <tp t="s">
        <v>#N/A Requesting Data...</v>
        <stp/>
        <stp>##V3_BDHV12</stp>
        <stp>CL1 Comdty</stp>
        <stp>30DAY_IMPVOL_105.0%MNY_DF</stp>
        <stp>18/01/2017</stp>
        <stp>18/01/2017</stp>
        <stp>[Bbg_Market_Data_CL.xlsm]data!R58C19</stp>
        <tr r="S58" s="1"/>
      </tp>
      <tp t="s">
        <v>#N/A Requesting Data...</v>
        <stp/>
        <stp>##V3_BDHV12</stp>
        <stp>CL1 Comdty</stp>
        <stp>30DAY_IMPVOL_105.0%MNY_DF</stp>
        <stp>28/02/2017</stp>
        <stp>28/02/2017</stp>
        <stp>[Bbg_Market_Data_CL.xlsm]data!R30C19</stp>
        <tr r="S30" s="1"/>
      </tp>
      <tp t="s">
        <v>#N/A Requesting Data...</v>
        <stp/>
        <stp>##V3_BDHV12</stp>
        <stp>CL1 Comdty</stp>
        <stp>30DAY_IMPVOL_100.0%MNY_DF</stp>
        <stp>28/02/2017</stp>
        <stp>28/02/2017</stp>
        <stp>[Bbg_Market_Data_CL.xlsm]data!R30C20</stp>
        <tr r="T30" s="1"/>
      </tp>
      <tp t="s">
        <v>#N/A Requesting Data...</v>
        <stp/>
        <stp>##V3_BDHV12</stp>
        <stp>CL1 Comdty</stp>
        <stp>30DAY_IMPVOL_100.0%MNY_DF</stp>
        <stp>18/01/2017</stp>
        <stp>18/01/2017</stp>
        <stp>[Bbg_Market_Data_CL.xlsm]data!R58C20</stp>
        <tr r="T58" s="1"/>
      </tp>
      <tp t="s">
        <v>#N/A Requesting Data...</v>
        <stp/>
        <stp>##V3_BDHV12</stp>
        <stp>CL1 Comdty</stp>
        <stp>30DAY_IMPVOL_110.0%MNY_DF</stp>
        <stp>19/01/2017</stp>
        <stp>19/01/2017</stp>
        <stp>[Bbg_Market_Data_CL.xlsm]data!R57C22</stp>
        <tr r="V57" s="1"/>
      </tp>
      <tp t="s">
        <v>#N/A Requesting Data...</v>
        <stp/>
        <stp>##V3_BDHV12</stp>
        <stp>CL1 Comdty</stp>
        <stp>30DAY_IMPVOL_110.0%MNY_DF</stp>
        <stp>28/02/2017</stp>
        <stp>28/02/2017</stp>
        <stp>[Bbg_Market_Data_CL.xlsm]data!R30C22</stp>
        <tr r="V30" s="1"/>
      </tp>
      <tp t="s">
        <v>#N/A Requesting Data...</v>
        <stp/>
        <stp>##V3_BDHV12</stp>
        <stp>CL1 Comdty</stp>
        <stp>30DAY_IMPVOL_100.0%MNY_DF</stp>
        <stp>19/01/2017</stp>
        <stp>19/01/2017</stp>
        <stp>[Bbg_Market_Data_CL.xlsm]data!R57C20</stp>
        <tr r="T57" s="1"/>
      </tp>
      <tp t="s">
        <v>#N/A Requesting Data...</v>
        <stp/>
        <stp>##V3_BDHV12</stp>
        <stp>CL1 Comdty</stp>
        <stp>30DAY_IMPVOL_110.0%MNY_DF</stp>
        <stp>18/01/2017</stp>
        <stp>18/01/2017</stp>
        <stp>[Bbg_Market_Data_CL.xlsm]data!R58C22</stp>
        <tr r="V58" s="1"/>
      </tp>
      <tp t="s">
        <v>#N/A Requesting Data...</v>
        <stp/>
        <stp>##V3_BDHV12</stp>
        <stp>CL1 Comdty</stp>
        <stp>30DAY_IMPVOL_100.0%MNY_DF</stp>
        <stp>22/02/2017</stp>
        <stp>22/02/2017</stp>
        <stp>[Bbg_Market_Data_CL.xlsm]data!R34C20</stp>
        <tr r="T34" s="1"/>
      </tp>
      <tp t="s">
        <v>#N/A Requesting Data...</v>
        <stp/>
        <stp>##V3_BDHV12</stp>
        <stp>CL1 Comdty</stp>
        <stp>30DAY_IMPVOL_110.0%MNY_DF</stp>
        <stp>23/02/2017</stp>
        <stp>23/02/2017</stp>
        <stp>[Bbg_Market_Data_CL.xlsm]data!R33C22</stp>
        <tr r="V33" s="1"/>
      </tp>
      <tp t="s">
        <v>#N/A Requesting Data...</v>
        <stp/>
        <stp>##V3_BDHV12</stp>
        <stp>CL1 Comdty</stp>
        <stp>30DAY_IMPVOL_100.0%MNY_DF</stp>
        <stp>12/01/2017</stp>
        <stp>12/01/2017</stp>
        <stp>[Bbg_Market_Data_CL.xlsm]data!R61C20</stp>
        <tr r="T61" s="1"/>
      </tp>
      <tp t="s">
        <v>#N/A Requesting Data...</v>
        <stp/>
        <stp>##V3_BDHV12</stp>
        <stp>CL1 Comdty</stp>
        <stp>30DAY_IMPVOL_110.0%MNY_DF</stp>
        <stp>13/01/2017</stp>
        <stp>13/01/2017</stp>
        <stp>[Bbg_Market_Data_CL.xlsm]data!R60C22</stp>
        <tr r="V60" s="1"/>
      </tp>
      <tp t="s">
        <v>#N/A Requesting Data...</v>
        <stp/>
        <stp>##V3_BDHV12</stp>
        <stp>CL1 Comdty</stp>
        <stp>30DAY_IMPVOL_105.0%MNY_DF</stp>
        <stp>11/01/2017</stp>
        <stp>11/01/2017</stp>
        <stp>[Bbg_Market_Data_CL.xlsm]data!R62C19</stp>
        <tr r="S62" s="1"/>
      </tp>
      <tp t="s">
        <v>#N/A Requesting Data...</v>
        <stp/>
        <stp>##V3_BDHV12</stp>
        <stp>CL1 Comdty</stp>
        <stp>30DAY_IMPVOL_105.0%MNY_DF</stp>
        <stp>21/02/2017</stp>
        <stp>21/02/2017</stp>
        <stp>[Bbg_Market_Data_CL.xlsm]data!R35C19</stp>
        <tr r="S35" s="1"/>
      </tp>
      <tp t="s">
        <v>#N/A Requesting Data...</v>
        <stp/>
        <stp>##V3_BDHV12</stp>
        <stp>CL1 Comdty</stp>
        <stp>30DAY_IMPVOL_100.0%MNY_DF</stp>
        <stp>23/02/2017</stp>
        <stp>23/02/2017</stp>
        <stp>[Bbg_Market_Data_CL.xlsm]data!R33C20</stp>
        <tr r="T33" s="1"/>
      </tp>
      <tp t="s">
        <v>#N/A Requesting Data...</v>
        <stp/>
        <stp>##V3_BDHV12</stp>
        <stp>CL1 Comdty</stp>
        <stp>30DAY_IMPVOL_110.0%MNY_DF</stp>
        <stp>22/02/2017</stp>
        <stp>22/02/2017</stp>
        <stp>[Bbg_Market_Data_CL.xlsm]data!R34C22</stp>
        <tr r="V34" s="1"/>
      </tp>
      <tp t="s">
        <v>#N/A Requesting Data...</v>
        <stp/>
        <stp>##V3_BDHV12</stp>
        <stp>CL1 Comdty</stp>
        <stp>30DAY_IMPVOL_100.0%MNY_DF</stp>
        <stp>13/01/2017</stp>
        <stp>13/01/2017</stp>
        <stp>[Bbg_Market_Data_CL.xlsm]data!R60C20</stp>
        <tr r="T60" s="1"/>
      </tp>
      <tp t="s">
        <v>#N/A Requesting Data...</v>
        <stp/>
        <stp>##V3_BDHV12</stp>
        <stp>CL1 Comdty</stp>
        <stp>30DAY_IMPVOL_110.0%MNY_DF</stp>
        <stp>12/01/2017</stp>
        <stp>12/01/2017</stp>
        <stp>[Bbg_Market_Data_CL.xlsm]data!R61C22</stp>
        <tr r="V61" s="1"/>
      </tp>
      <tp t="s">
        <v>#N/A Requesting Data...</v>
        <stp/>
        <stp>##V3_BDHV12</stp>
        <stp>CL1 Comdty</stp>
        <stp>30DAY_IMPVOL_105.0%MNY_DF</stp>
        <stp>30/12/2016</stp>
        <stp>30/12/2016</stp>
        <stp>[Bbg_Market_Data_CL.xlsm]data!R69C19</stp>
        <tr r="S69" s="1"/>
      </tp>
      <tp t="s">
        <v>#N/A Requesting Data...</v>
        <stp/>
        <stp>##V3_BDHV12</stp>
        <stp>CL1 Comdty</stp>
        <stp>30DAY_IMPVOL_105.0%MNY_DF</stp>
        <stp>10/01/2017</stp>
        <stp>10/01/2017</stp>
        <stp>[Bbg_Market_Data_CL.xlsm]data!R63C19</stp>
        <tr r="S63" s="1"/>
      </tp>
      <tp t="s">
        <v>#N/A Requesting Data...</v>
        <stp/>
        <stp>##V3_BDHV12</stp>
        <stp>CL1 Comdty</stp>
        <stp>30DAY_IMPVOL_110.0%MNY_DF</stp>
        <stp>21/02/2017</stp>
        <stp>21/02/2017</stp>
        <stp>[Bbg_Market_Data_CL.xlsm]data!R35C22</stp>
        <tr r="V35" s="1"/>
      </tp>
      <tp t="s">
        <v>#N/A Requesting Data...</v>
        <stp/>
        <stp>##V3_BDHV12</stp>
        <stp>CL1 Comdty</stp>
        <stp>30DAY_IMPVOL_110.0%MNY_DF</stp>
        <stp>11/01/2017</stp>
        <stp>11/01/2017</stp>
        <stp>[Bbg_Market_Data_CL.xlsm]data!R62C22</stp>
        <tr r="V62" s="1"/>
      </tp>
      <tp t="s">
        <v>#N/A Requesting Data...</v>
        <stp/>
        <stp>##V3_BDHV12</stp>
        <stp>CL1 Comdty</stp>
        <stp>30DAY_IMPVOL_100.0%MNY_DF</stp>
        <stp>30/12/2016</stp>
        <stp>30/12/2016</stp>
        <stp>[Bbg_Market_Data_CL.xlsm]data!R69C20</stp>
        <tr r="T69" s="1"/>
      </tp>
      <tp t="s">
        <v>#N/A Requesting Data...</v>
        <stp/>
        <stp>##V3_BDHV12</stp>
        <stp>CL1 Comdty</stp>
        <stp>30DAY_IMPVOL_100.0%MNY_DF</stp>
        <stp>10/01/2017</stp>
        <stp>10/01/2017</stp>
        <stp>[Bbg_Market_Data_CL.xlsm]data!R63C20</stp>
        <tr r="T63" s="1"/>
      </tp>
      <tp t="s">
        <v>#N/A Requesting Data...</v>
        <stp/>
        <stp>##V3_BDHV12</stp>
        <stp>CL1 Comdty</stp>
        <stp>30DAY_IMPVOL_105.0%MNY_DF</stp>
        <stp>13/01/2017</stp>
        <stp>13/01/2017</stp>
        <stp>[Bbg_Market_Data_CL.xlsm]data!R60C19</stp>
        <tr r="S60" s="1"/>
      </tp>
      <tp t="s">
        <v>#N/A Requesting Data...</v>
        <stp/>
        <stp>##V3_BDHV12</stp>
        <stp>CL1 Comdty</stp>
        <stp>30DAY_IMPVOL_105.0%MNY_DF</stp>
        <stp>23/02/2017</stp>
        <stp>23/02/2017</stp>
        <stp>[Bbg_Market_Data_CL.xlsm]data!R33C19</stp>
        <tr r="S33" s="1"/>
      </tp>
      <tp t="s">
        <v>#N/A Requesting Data...</v>
        <stp/>
        <stp>##V3_BDHV12</stp>
        <stp>CL1 Comdty</stp>
        <stp>30DAY_IMPVOL_100.0%MNY_DF</stp>
        <stp>21/02/2017</stp>
        <stp>21/02/2017</stp>
        <stp>[Bbg_Market_Data_CL.xlsm]data!R35C20</stp>
        <tr r="T35" s="1"/>
      </tp>
      <tp t="s">
        <v>#N/A Requesting Data...</v>
        <stp/>
        <stp>##V3_BDHV12</stp>
        <stp>CL1 Comdty</stp>
        <stp>30DAY_IMPVOL_110.0%MNY_DF</stp>
        <stp>30/12/2016</stp>
        <stp>30/12/2016</stp>
        <stp>[Bbg_Market_Data_CL.xlsm]data!R69C22</stp>
        <tr r="V69" s="1"/>
      </tp>
      <tp t="s">
        <v>#N/A Requesting Data...</v>
        <stp/>
        <stp>##V3_BDHV12</stp>
        <stp>CL1 Comdty</stp>
        <stp>30DAY_IMPVOL_110.0%MNY_DF</stp>
        <stp>10/01/2017</stp>
        <stp>10/01/2017</stp>
        <stp>[Bbg_Market_Data_CL.xlsm]data!R63C22</stp>
        <tr r="V63" s="1"/>
      </tp>
      <tp t="s">
        <v>#N/A Requesting Data...</v>
        <stp/>
        <stp>##V3_BDHV12</stp>
        <stp>CL1 Comdty</stp>
        <stp>30DAY_IMPVOL_100.0%MNY_DF</stp>
        <stp>11/01/2017</stp>
        <stp>11/01/2017</stp>
        <stp>[Bbg_Market_Data_CL.xlsm]data!R62C20</stp>
        <tr r="T62" s="1"/>
      </tp>
      <tp t="s">
        <v>#N/A Requesting Data...</v>
        <stp/>
        <stp>##V3_BDHV12</stp>
        <stp>CL1 Comdty</stp>
        <stp>30DAY_IMPVOL_105.0%MNY_DF</stp>
        <stp>12/01/2017</stp>
        <stp>12/01/2017</stp>
        <stp>[Bbg_Market_Data_CL.xlsm]data!R61C19</stp>
        <tr r="S61" s="1"/>
      </tp>
      <tp t="s">
        <v>#N/A Requesting Data...</v>
        <stp/>
        <stp>##V3_BDHV12</stp>
        <stp>CL1 Comdty</stp>
        <stp>30DAY_IMPVOL_105.0%MNY_DF</stp>
        <stp>22/02/2017</stp>
        <stp>22/02/2017</stp>
        <stp>[Bbg_Market_Data_CL.xlsm]data!R34C19</stp>
        <tr r="S34" s="1"/>
      </tp>
      <tp t="s">
        <v>#N/A Requesting Data...</v>
        <stp/>
        <stp>##V3_BDHV12</stp>
        <stp>CL1 Comdty</stp>
        <stp>30DAY_IMPVOL_110.0%MNY_DF</stp>
        <stp>17/01/2017</stp>
        <stp>17/01/2017</stp>
        <stp>[Bbg_Market_Data_CL.xlsm]data!R59C22</stp>
        <tr r="V59" s="1"/>
      </tp>
      <tp t="s">
        <v>#N/A Requesting Data...</v>
        <stp/>
        <stp>##V3_BDHV12</stp>
        <stp>CL1 Comdty</stp>
        <stp>30DAY_IMPVOL_110.0%MNY_DF</stp>
        <stp>27/02/2017</stp>
        <stp>27/02/2017</stp>
        <stp>[Bbg_Market_Data_CL.xlsm]data!R31C22</stp>
        <tr r="V31" s="1"/>
      </tp>
      <tp t="s">
        <v>#N/A Requesting Data...</v>
        <stp/>
        <stp>##V3_BDHV12</stp>
        <stp>CL1 Comdty</stp>
        <stp>30DAY_IMPVOL_100.0%MNY_DF</stp>
        <stp>17/01/2017</stp>
        <stp>17/01/2017</stp>
        <stp>[Bbg_Market_Data_CL.xlsm]data!R59C20</stp>
        <tr r="T59" s="1"/>
      </tp>
      <tp t="s">
        <v>#N/A Requesting Data...</v>
        <stp/>
        <stp>##V3_BDHV12</stp>
        <stp>CL1 Comdty</stp>
        <stp>30DAY_IMPVOL_100.0%MNY_DF</stp>
        <stp>27/02/2017</stp>
        <stp>27/02/2017</stp>
        <stp>[Bbg_Market_Data_CL.xlsm]data!R31C20</stp>
        <tr r="T31" s="1"/>
      </tp>
      <tp t="s">
        <v>#N/A Requesting Data...</v>
        <stp/>
        <stp>##V3_BDHV12</stp>
        <stp>CL1 Comdty</stp>
        <stp>30DAY_IMPVOL_105.0%MNY_DF</stp>
        <stp>24/02/2017</stp>
        <stp>24/02/2017</stp>
        <stp>[Bbg_Market_Data_CL.xlsm]data!R32C19</stp>
        <tr r="S32" s="1"/>
      </tp>
      <tp t="s">
        <v>#N/A Requesting Data...</v>
        <stp/>
        <stp>##V3_BDHV12</stp>
        <stp>CL1 Comdty</stp>
        <stp>30DAY_IMPVOL_100.0%MNY_DF</stp>
        <stp>24/02/2017</stp>
        <stp>24/02/2017</stp>
        <stp>[Bbg_Market_Data_CL.xlsm]data!R32C20</stp>
        <tr r="T32" s="1"/>
      </tp>
      <tp t="s">
        <v>#N/A Requesting Data...</v>
        <stp/>
        <stp>##V3_BDHV12</stp>
        <stp>CL1 Comdty</stp>
        <stp>30DAY_IMPVOL_105.0%MNY_DF</stp>
        <stp>27/02/2017</stp>
        <stp>27/02/2017</stp>
        <stp>[Bbg_Market_Data_CL.xlsm]data!R31C19</stp>
        <tr r="S31" s="1"/>
      </tp>
      <tp t="s">
        <v>#N/A Requesting Data...</v>
        <stp/>
        <stp>##V3_BDHV12</stp>
        <stp>CL1 Comdty</stp>
        <stp>30DAY_IMPVOL_105.0%MNY_DF</stp>
        <stp>17/01/2017</stp>
        <stp>17/01/2017</stp>
        <stp>[Bbg_Market_Data_CL.xlsm]data!R59C19</stp>
        <tr r="S59" s="1"/>
      </tp>
      <tp t="s">
        <v>#N/A Requesting Data...</v>
        <stp/>
        <stp>##V3_BDHV12</stp>
        <stp>CL1 Comdty</stp>
        <stp>30DAY_IMPVOL_110.0%MNY_DF</stp>
        <stp>24/02/2017</stp>
        <stp>24/02/2017</stp>
        <stp>[Bbg_Market_Data_CL.xlsm]data!R32C22</stp>
        <tr r="V32" s="1"/>
      </tp>
      <tp t="s">
        <v>#N/A Requesting Data...</v>
        <stp/>
        <stp>##V3_BDHV12</stp>
        <stp>CL2 Comdty</stp>
        <stp>VOLUME_TOTAL_CALL</stp>
        <stp>12/10/2016</stp>
        <stp>12/10/2016</stp>
        <stp>[Bbg_Market_Data_CL.xlsm]data!R124C15</stp>
        <tr r="O124" s="1"/>
      </tp>
      <tp t="s">
        <v>#N/A Requesting Data...</v>
        <stp/>
        <stp>##V3_BDHV12</stp>
        <stp>CL2 Comdty</stp>
        <stp>VOLUME_TOTAL_CALL</stp>
        <stp>02/11/2016</stp>
        <stp>02/11/2016</stp>
        <stp>[Bbg_Market_Data_CL.xlsm]data!R109C15</stp>
        <tr r="O109" s="1"/>
      </tp>
      <tp t="s">
        <v>#N/A Requesting Data...</v>
        <stp/>
        <stp>##V3_BDHV12</stp>
        <stp>CL1 Comdty</stp>
        <stp>VOLUME_TOTAL_CALL</stp>
        <stp>13/01/2016</stp>
        <stp>13/01/2016</stp>
        <stp>[Bbg_Market_Data_CL.xlsm]data!R310C15</stp>
        <tr r="O310" s="1"/>
      </tp>
      <tp t="s">
        <v>#N/A Requesting Data...</v>
        <stp/>
        <stp>##V3_BDHV12</stp>
        <stp>CL2 Comdty</stp>
        <stp>VOLUME_TOTAL_CALL</stp>
        <stp>20/01/2016</stp>
        <stp>20/01/2016</stp>
        <stp>[Bbg_Market_Data_CL.xlsm]data!R306C15</stp>
        <tr r="O306" s="1"/>
      </tp>
      <tp t="s">
        <v>#N/A Requesting Data...</v>
        <stp/>
        <stp>##V3_BDHV12</stp>
        <stp>CL1 Comdty</stp>
        <stp>VOLUME_TOTAL_CALL</stp>
        <stp>21/10/2016</stp>
        <stp>21/10/2016</stp>
        <stp>[Bbg_Market_Data_CL.xlsm]data!R117C15</stp>
        <tr r="O117" s="1"/>
      </tp>
      <tp t="s">
        <v>#N/A Requesting Data...</v>
        <stp/>
        <stp>##V3_BDHV12</stp>
        <stp>CL2 Comdty</stp>
        <stp>VOLUME_TOTAL_CALL</stp>
        <stp>11/03/2016</stp>
        <stp>11/03/2016</stp>
        <stp>[Bbg_Market_Data_CL.xlsm]data!R271C15</stp>
        <tr r="O271" s="1"/>
      </tp>
      <tp t="s">
        <v>#N/A Requesting Data...</v>
        <stp/>
        <stp>##V3_BDHV12</stp>
        <stp>CL2 Comdty</stp>
        <stp>VOLUME_TOTAL_CALL</stp>
        <stp>14/05/2015</stp>
        <stp>14/05/2015</stp>
        <stp>[Bbg_Market_Data_CL.xlsm]data!R476C15</stp>
        <tr r="O476" s="1"/>
      </tp>
      <tp t="s">
        <v>#N/A Requesting Data...</v>
        <stp/>
        <stp>##V3_BDHV12</stp>
        <stp>CL1 Comdty</stp>
        <stp>VOLUME_TOTAL_CALL</stp>
        <stp>27/05/2015</stp>
        <stp>27/05/2015</stp>
        <stp>[Bbg_Market_Data_CL.xlsm]data!R468C15</stp>
        <tr r="O468" s="1"/>
      </tp>
      <tp t="s">
        <v>#N/A Requesting Data...</v>
        <stp/>
        <stp>##V3_BDHV12</stp>
        <stp>CL1 Comdty</stp>
        <stp>VOLUME_TOTAL_CALL</stp>
        <stp>22/03/2016</stp>
        <stp>22/03/2016</stp>
        <stp>[Bbg_Market_Data_CL.xlsm]data!R264C15</stp>
        <tr r="O264" s="1"/>
      </tp>
      <tp t="s">
        <v>#N/A Requesting Data...</v>
        <stp/>
        <stp>##V3_BDHV12</stp>
        <stp>CL1 Comdty</stp>
        <stp>VOLUME_TOTAL_CALL</stp>
        <stp>17/06/2015</stp>
        <stp>17/06/2015</stp>
        <stp>[Bbg_Market_Data_CL.xlsm]data!R453C15</stp>
        <tr r="O453" s="1"/>
      </tp>
      <tp t="s">
        <v>#N/A Requesting Data...</v>
        <stp/>
        <stp>##V3_BDHV12</stp>
        <stp>CL2 Comdty</stp>
        <stp>VOLUME_TOTAL_CALL</stp>
        <stp>23/11/2015</stp>
        <stp>23/11/2015</stp>
        <stp>[Bbg_Market_Data_CL.xlsm]data!R344C15</stp>
        <tr r="O344" s="1"/>
      </tp>
      <tp t="s">
        <v>#N/A Requesting Data...</v>
        <stp/>
        <stp>##V3_BDHV12</stp>
        <stp>CL2 Comdty</stp>
        <stp>VOLUME_TOTAL_CALL</stp>
        <stp>24/06/2015</stp>
        <stp>24/06/2015</stp>
        <stp>[Bbg_Market_Data_CL.xlsm]data!R448C15</stp>
        <tr r="O448" s="1"/>
      </tp>
      <tp t="s">
        <v>#N/A Requesting Data...</v>
        <stp/>
        <stp>##V3_BDHV12</stp>
        <stp>CL1 Comdty</stp>
        <stp>VOLUME_TOTAL_CALL</stp>
        <stp>07/07/2015</stp>
        <stp>07/07/2015</stp>
        <stp>[Bbg_Market_Data_CL.xlsm]data!R440C15</stp>
        <tr r="O440" s="1"/>
      </tp>
      <tp t="s">
        <v>#N/A Requesting Data...</v>
        <stp/>
        <stp>##V3_BDHV12</stp>
        <stp>CL1 Comdty</stp>
        <stp>VOLUME_TOTAL_CALL</stp>
        <stp>10/11/2015</stp>
        <stp>10/11/2015</stp>
        <stp>[Bbg_Market_Data_CL.xlsm]data!R352C15</stp>
        <tr r="O352" s="1"/>
      </tp>
      <tp t="s">
        <v>#N/A Requesting Data...</v>
        <stp/>
        <stp>##V3_BDHV12</stp>
        <stp>CL2 Comdty</stp>
        <stp>VOLUME_TOTAL_CALL</stp>
        <stp>01/02/2016</stp>
        <stp>01/02/2016</stp>
        <stp>[Bbg_Market_Data_CL.xlsm]data!R298C15</stp>
        <tr r="O298" s="1"/>
      </tp>
      <tp t="s">
        <v>#N/A Requesting Data...</v>
        <stp/>
        <stp>##V3_BDHV12</stp>
        <stp>CL1 Comdty</stp>
        <stp>VOLUME_TOTAL_CALL</stp>
        <stp>16/07/2015</stp>
        <stp>16/07/2015</stp>
        <stp>[Bbg_Market_Data_CL.xlsm]data!R433C15</stp>
        <tr r="O433" s="1"/>
      </tp>
      <tp t="s">
        <v>#N/A Requesting Data...</v>
        <stp/>
        <stp>##V3_BDHV12</stp>
        <stp>CL2 Comdty</stp>
        <stp>VOLUME_TOTAL_CALL</stp>
        <stp>02/12/2015</stp>
        <stp>02/12/2015</stp>
        <stp>[Bbg_Market_Data_CL.xlsm]data!R338C15</stp>
        <tr r="O338" s="1"/>
      </tp>
      <tp t="s">
        <v>#N/A Requesting Data...</v>
        <stp/>
        <stp>##V3_BDHV12</stp>
        <stp>CL2 Comdty</stp>
        <stp>VOLUME_TOTAL_CALL</stp>
        <stp>03/10/2016</stp>
        <stp>03/10/2016</stp>
        <stp>[Bbg_Market_Data_CL.xlsm]data!R130C15</stp>
        <tr r="O130" s="1"/>
      </tp>
      <tp t="s">
        <v>#N/A Requesting Data...</v>
        <stp/>
        <stp>##V3_BDHV12</stp>
        <stp>CL1 Comdty</stp>
        <stp>VOLUME_TOTAL_CALL</stp>
        <stp>31/12/2015</stp>
        <stp>31/12/2015</stp>
        <stp>[Bbg_Market_Data_CL.xlsm]data!R318C15</stp>
        <tr r="O318" s="1"/>
      </tp>
      <tp t="s">
        <v>#N/A Requesting Data...</v>
        <stp/>
        <stp>##V3_BDHV12</stp>
        <stp>CL2 Comdty</stp>
        <stp>VOLUME_TOTAL_CALL</stp>
        <stp>22/10/2015</stp>
        <stp>22/10/2015</stp>
        <stp>[Bbg_Market_Data_CL.xlsm]data!R365C15</stp>
        <tr r="O365" s="1"/>
      </tp>
      <tp t="s">
        <v>#N/A Requesting Data...</v>
        <stp/>
        <stp>##V3_BDHV12</stp>
        <stp>CL2 Comdty</stp>
        <stp>VOLUME_TOTAL_CALL</stp>
        <stp>10/02/2016</stp>
        <stp>10/02/2016</stp>
        <stp>[Bbg_Market_Data_CL.xlsm]data!R291C15</stp>
        <tr r="O291" s="1"/>
      </tp>
      <tp t="s">
        <v>#N/A Requesting Data...</v>
        <stp/>
        <stp>##V3_BDHV12</stp>
        <stp>CL2 Comdty</stp>
        <stp>VOLUME_TOTAL_CALL</stp>
        <stp>15/04/2015</stp>
        <stp>15/04/2015</stp>
        <stp>[Bbg_Market_Data_CL.xlsm]data!R497C15</stp>
        <tr r="O497" s="1"/>
      </tp>
      <tp t="s">
        <v>#N/A Requesting Data...</v>
        <stp/>
        <stp>##V3_BDHV12</stp>
        <stp>CL1 Comdty</stp>
        <stp>VOLUME_TOTAL_CALL</stp>
        <stp>23/02/2016</stp>
        <stp>23/02/2016</stp>
        <stp>[Bbg_Market_Data_CL.xlsm]data!R284C15</stp>
        <tr r="O284" s="1"/>
      </tp>
      <tp t="s">
        <v>#N/A Requesting Data...</v>
        <stp/>
        <stp>##V3_BDHV12</stp>
        <stp>CL2 Comdty</stp>
        <stp>VOLUME_TOTAL_CALL</stp>
        <stp>05/05/2015</stp>
        <stp>05/05/2015</stp>
        <stp>[Bbg_Market_Data_CL.xlsm]data!R483C15</stp>
        <tr r="O483" s="1"/>
      </tp>
      <tp t="s">
        <v>#N/A Requesting Data...</v>
        <stp/>
        <stp>##V3_BDHV12</stp>
        <stp>CL2 Comdty</stp>
        <stp>VOLUME_TOTAL_CALL</stp>
        <stp>16/07/2015</stp>
        <stp>16/07/2015</stp>
        <stp>[Bbg_Market_Data_CL.xlsm]data!R433C15</stp>
        <tr r="O433" s="1"/>
      </tp>
      <tp t="s">
        <v>#N/A Requesting Data...</v>
        <stp/>
        <stp>##V3_BDHV12</stp>
        <stp>CL1 Comdty</stp>
        <stp>VOLUME_TOTAL_CALL</stp>
        <stp>02/12/2015</stp>
        <stp>02/12/2015</stp>
        <stp>[Bbg_Market_Data_CL.xlsm]data!R338C15</stp>
        <tr r="O338" s="1"/>
      </tp>
      <tp t="s">
        <v>#N/A Requesting Data...</v>
        <stp/>
        <stp>##V3_BDHV12</stp>
        <stp>CL1 Comdty</stp>
        <stp>VOLUME_TOTAL_CALL</stp>
        <stp>03/10/2016</stp>
        <stp>03/10/2016</stp>
        <stp>[Bbg_Market_Data_CL.xlsm]data!R130C15</stp>
        <tr r="O130" s="1"/>
      </tp>
      <tp t="s">
        <v>#N/A Requesting Data...</v>
        <stp/>
        <stp>##V3_BDHV12</stp>
        <stp>CL2 Comdty</stp>
        <stp>VOLUME_TOTAL_CALL</stp>
        <stp>31/12/2015</stp>
        <stp>31/12/2015</stp>
        <stp>[Bbg_Market_Data_CL.xlsm]data!R318C15</stp>
        <tr r="O318" s="1"/>
      </tp>
      <tp t="s">
        <v>#N/A Requesting Data...</v>
        <stp/>
        <stp>##V3_BDHV12</stp>
        <stp>CL1 Comdty</stp>
        <stp>VOLUME_TOTAL_CALL</stp>
        <stp>22/10/2015</stp>
        <stp>22/10/2015</stp>
        <stp>[Bbg_Market_Data_CL.xlsm]data!R365C15</stp>
        <tr r="O365" s="1"/>
      </tp>
      <tp t="s">
        <v>#N/A Requesting Data...</v>
        <stp/>
        <stp>##V3_BDHV12</stp>
        <stp>CL1 Comdty</stp>
        <stp>VOLUME_TOTAL_CALL</stp>
        <stp>10/02/2016</stp>
        <stp>10/02/2016</stp>
        <stp>[Bbg_Market_Data_CL.xlsm]data!R291C15</stp>
        <tr r="O291" s="1"/>
      </tp>
      <tp t="s">
        <v>#N/A Requesting Data...</v>
        <stp/>
        <stp>##V3_BDHV12</stp>
        <stp>CL1 Comdty</stp>
        <stp>VOLUME_TOTAL_CALL</stp>
        <stp>15/04/2015</stp>
        <stp>15/04/2015</stp>
        <stp>[Bbg_Market_Data_CL.xlsm]data!R497C15</stp>
        <tr r="O497" s="1"/>
      </tp>
      <tp t="s">
        <v>#N/A Requesting Data...</v>
        <stp/>
        <stp>##V3_BDHV12</stp>
        <stp>CL2 Comdty</stp>
        <stp>VOLUME_TOTAL_CALL</stp>
        <stp>23/02/2016</stp>
        <stp>23/02/2016</stp>
        <stp>[Bbg_Market_Data_CL.xlsm]data!R284C15</stp>
        <tr r="O284" s="1"/>
      </tp>
      <tp t="s">
        <v>#N/A Requesting Data...</v>
        <stp/>
        <stp>##V3_BDHV12</stp>
        <stp>CL1 Comdty</stp>
        <stp>VOLUME_TOTAL_CALL</stp>
        <stp>05/05/2015</stp>
        <stp>05/05/2015</stp>
        <stp>[Bbg_Market_Data_CL.xlsm]data!R483C15</stp>
        <tr r="O483" s="1"/>
      </tp>
      <tp t="s">
        <v>#N/A Requesting Data...</v>
        <stp/>
        <stp>##V3_BDHV12</stp>
        <stp>CL1 Comdty</stp>
        <stp>VOLUME_TOTAL_CALL</stp>
        <stp>12/10/2016</stp>
        <stp>12/10/2016</stp>
        <stp>[Bbg_Market_Data_CL.xlsm]data!R124C15</stp>
        <tr r="O124" s="1"/>
      </tp>
      <tp t="s">
        <v>#N/A Requesting Data...</v>
        <stp/>
        <stp>##V3_BDHV12</stp>
        <stp>CL1 Comdty</stp>
        <stp>VOLUME_TOTAL_CALL</stp>
        <stp>02/11/2016</stp>
        <stp>02/11/2016</stp>
        <stp>[Bbg_Market_Data_CL.xlsm]data!R109C15</stp>
        <tr r="O109" s="1"/>
      </tp>
      <tp t="s">
        <v>#N/A Requesting Data...</v>
        <stp/>
        <stp>##V3_BDHV12</stp>
        <stp>CL2 Comdty</stp>
        <stp>VOLUME_TOTAL_CALL</stp>
        <stp>13/01/2016</stp>
        <stp>13/01/2016</stp>
        <stp>[Bbg_Market_Data_CL.xlsm]data!R310C15</stp>
        <tr r="O310" s="1"/>
      </tp>
      <tp t="s">
        <v>#N/A Requesting Data...</v>
        <stp/>
        <stp>##V3_BDHV12</stp>
        <stp>CL1 Comdty</stp>
        <stp>VOLUME_TOTAL_CALL</stp>
        <stp>20/01/2016</stp>
        <stp>20/01/2016</stp>
        <stp>[Bbg_Market_Data_CL.xlsm]data!R306C15</stp>
        <tr r="O306" s="1"/>
      </tp>
      <tp t="s">
        <v>#N/A Requesting Data...</v>
        <stp/>
        <stp>##V3_BDHV12</stp>
        <stp>CL2 Comdty</stp>
        <stp>VOLUME_TOTAL_CALL</stp>
        <stp>21/10/2016</stp>
        <stp>21/10/2016</stp>
        <stp>[Bbg_Market_Data_CL.xlsm]data!R117C15</stp>
        <tr r="O117" s="1"/>
      </tp>
      <tp t="s">
        <v>#N/A Requesting Data...</v>
        <stp/>
        <stp>##V3_BDHV12</stp>
        <stp>CL1 Comdty</stp>
        <stp>VOLUME_TOTAL_CALL</stp>
        <stp>11/03/2016</stp>
        <stp>11/03/2016</stp>
        <stp>[Bbg_Market_Data_CL.xlsm]data!R271C15</stp>
        <tr r="O271" s="1"/>
      </tp>
      <tp t="s">
        <v>#N/A Requesting Data...</v>
        <stp/>
        <stp>##V3_BDHV12</stp>
        <stp>CL1 Comdty</stp>
        <stp>VOLUME_TOTAL_CALL</stp>
        <stp>14/05/2015</stp>
        <stp>14/05/2015</stp>
        <stp>[Bbg_Market_Data_CL.xlsm]data!R476C15</stp>
        <tr r="O476" s="1"/>
      </tp>
      <tp t="s">
        <v>#N/A Requesting Data...</v>
        <stp/>
        <stp>##V3_BDHV12</stp>
        <stp>CL2 Comdty</stp>
        <stp>VOLUME_TOTAL_CALL</stp>
        <stp>27/05/2015</stp>
        <stp>27/05/2015</stp>
        <stp>[Bbg_Market_Data_CL.xlsm]data!R468C15</stp>
        <tr r="O468" s="1"/>
      </tp>
      <tp t="s">
        <v>#N/A Requesting Data...</v>
        <stp/>
        <stp>##V3_BDHV12</stp>
        <stp>CL2 Comdty</stp>
        <stp>VOLUME_TOTAL_CALL</stp>
        <stp>22/03/2016</stp>
        <stp>22/03/2016</stp>
        <stp>[Bbg_Market_Data_CL.xlsm]data!R264C15</stp>
        <tr r="O264" s="1"/>
      </tp>
      <tp t="s">
        <v>#N/A Requesting Data...</v>
        <stp/>
        <stp>##V3_BDHV12</stp>
        <stp>CL2 Comdty</stp>
        <stp>VOLUME_TOTAL_CALL</stp>
        <stp>17/06/2015</stp>
        <stp>17/06/2015</stp>
        <stp>[Bbg_Market_Data_CL.xlsm]data!R453C15</stp>
        <tr r="O453" s="1"/>
      </tp>
      <tp t="s">
        <v>#N/A Requesting Data...</v>
        <stp/>
        <stp>##V3_BDHV12</stp>
        <stp>CL1 Comdty</stp>
        <stp>VOLUME_TOTAL_CALL</stp>
        <stp>23/11/2015</stp>
        <stp>23/11/2015</stp>
        <stp>[Bbg_Market_Data_CL.xlsm]data!R344C15</stp>
        <tr r="O344" s="1"/>
      </tp>
      <tp t="s">
        <v>#N/A Requesting Data...</v>
        <stp/>
        <stp>##V3_BDHV12</stp>
        <stp>CL1 Comdty</stp>
        <stp>VOLUME_TOTAL_CALL</stp>
        <stp>24/06/2015</stp>
        <stp>24/06/2015</stp>
        <stp>[Bbg_Market_Data_CL.xlsm]data!R448C15</stp>
        <tr r="O448" s="1"/>
      </tp>
      <tp t="s">
        <v>#N/A Requesting Data...</v>
        <stp/>
        <stp>##V3_BDHV12</stp>
        <stp>CL2 Comdty</stp>
        <stp>VOLUME_TOTAL_CALL</stp>
        <stp>07/07/2015</stp>
        <stp>07/07/2015</stp>
        <stp>[Bbg_Market_Data_CL.xlsm]data!R440C15</stp>
        <tr r="O440" s="1"/>
      </tp>
      <tp t="s">
        <v>#N/A Requesting Data...</v>
        <stp/>
        <stp>##V3_BDHV12</stp>
        <stp>CL2 Comdty</stp>
        <stp>VOLUME_TOTAL_CALL</stp>
        <stp>10/11/2015</stp>
        <stp>10/11/2015</stp>
        <stp>[Bbg_Market_Data_CL.xlsm]data!R352C15</stp>
        <tr r="O352" s="1"/>
      </tp>
      <tp t="s">
        <v>#N/A Requesting Data...</v>
        <stp/>
        <stp>##V3_BDHV12</stp>
        <stp>CL1 Comdty</stp>
        <stp>VOLUME_TOTAL_CALL</stp>
        <stp>01/02/2016</stp>
        <stp>01/02/2016</stp>
        <stp>[Bbg_Market_Data_CL.xlsm]data!R298C15</stp>
        <tr r="O298" s="1"/>
      </tp>
      <tp t="s">
        <v>#N/A Requesting Data...</v>
        <stp/>
        <stp>##V3_BDHV12</stp>
        <stp>CL1 Comdty</stp>
        <stp>VOLUME_TOTAL_CALL</stp>
        <stp>06/05/2016</stp>
        <stp>06/05/2016</stp>
        <stp>[Bbg_Market_Data_CL.xlsm]data!R232C15</stp>
        <tr r="O232" s="1"/>
      </tp>
      <tp t="s">
        <v>#N/A Requesting Data...</v>
        <stp/>
        <stp>##V3_BDHV12</stp>
        <stp>CL2 Comdty</stp>
        <stp>VOLUME_TOTAL_CALL</stp>
        <stp>26/07/2016</stp>
        <stp>26/07/2016</stp>
        <stp>[Bbg_Market_Data_CL.xlsm]data!R177C15</stp>
        <tr r="O177" s="1"/>
      </tp>
      <tp t="s">
        <v>#N/A Requesting Data...</v>
        <stp/>
        <stp>##V3_BDHV12</stp>
        <stp>CL1 Comdty</stp>
        <stp>VOLATILITY_30D</stp>
        <stp>28/11/2016</stp>
        <stp>28/11/2016</stp>
        <stp>[Bbg_Market_Data_CL.xlsm]data!R93C18</stp>
        <tr r="R93" s="1"/>
      </tp>
      <tp>
        <v>31.23</v>
        <stp/>
        <stp>##V3_BDHV12</stp>
        <stp>CL2 Comdty</stp>
        <stp>VOLATILITY_10D</stp>
        <stp>19/12/2016</stp>
        <stp>19/12/2016</stp>
        <stp>[Bbg_Market_Data_CL.xlsm]data!R78C17</stp>
        <tr r="Q78" s="1"/>
      </tp>
      <tp>
        <v>19.48</v>
        <stp/>
        <stp>##V3_BDHV12</stp>
        <stp>CL2 Comdty</stp>
        <stp>VOLATILITY_10D</stp>
        <stp>09/02/2017</stp>
        <stp>09/02/2017</stp>
        <stp>[Bbg_Market_Data_CL.xlsm]data!R43C17</stp>
        <tr r="Q43" s="1"/>
      </tp>
      <tp t="s">
        <v>#N/A Requesting Data...</v>
        <stp/>
        <stp>##V3_BDHV12</stp>
        <stp>CL2 Comdty</stp>
        <stp>VOLUME_TOTAL_CALL</stp>
        <stp>25/04/2016</stp>
        <stp>25/04/2016</stp>
        <stp>[Bbg_Market_Data_CL.xlsm]data!R241C15</stp>
        <tr r="O241" s="1"/>
      </tp>
      <tp t="s">
        <v>#N/A Requesting Data...</v>
        <stp/>
        <stp>##V3_BDHV12</stp>
        <stp>CL1 Comdty</stp>
        <stp>VOLATILITY_30D</stp>
        <stp>08/02/2017</stp>
        <stp>08/02/2017</stp>
        <stp>[Bbg_Market_Data_CL.xlsm]data!R44C18</stp>
        <tr r="R44" s="1"/>
      </tp>
      <tp>
        <v>41.88</v>
        <stp/>
        <stp>##V3_BDHV12</stp>
        <stp>CL2 Comdty</stp>
        <stp>VOLATILITY_10D</stp>
        <stp>29/11/2016</stp>
        <stp>29/11/2016</stp>
        <stp>[Bbg_Market_Data_CL.xlsm]data!R92C17</stp>
        <tr r="Q92" s="1"/>
      </tp>
      <tp t="s">
        <v>#N/A Requesting Data...</v>
        <stp/>
        <stp>##V3_BDHV12</stp>
        <stp>CL1 Comdty</stp>
        <stp>VOLUME_TOTAL_CALL</stp>
        <stp>15/07/2016</stp>
        <stp>15/07/2016</stp>
        <stp>[Bbg_Market_Data_CL.xlsm]data!R184C15</stp>
        <tr r="O184" s="1"/>
      </tp>
      <tp t="s">
        <v>#N/A Requesting Data...</v>
        <stp/>
        <stp>##V3_BDHV12</stp>
        <stp>CL2 Comdty</stp>
        <stp>VOLUME_TOTAL_CALL</stp>
        <stp>24/05/2016</stp>
        <stp>24/05/2016</stp>
        <stp>[Bbg_Market_Data_CL.xlsm]data!R220C15</stp>
        <tr r="O220" s="1"/>
      </tp>
      <tp t="s">
        <v>#N/A Requesting Data...</v>
        <stp/>
        <stp>##V3_BDHV12</stp>
        <stp>CL1 Comdty</stp>
        <stp>VOLUME_TOTAL_CALL</stp>
        <stp>17/05/2016</stp>
        <stp>17/05/2016</stp>
        <stp>[Bbg_Market_Data_CL.xlsm]data!R225C15</stp>
        <tr r="O225" s="1"/>
      </tp>
      <tp t="s">
        <v>#N/A Requesting Data...</v>
        <stp/>
        <stp>##V3_BDHV12</stp>
        <stp>CL2 Comdty</stp>
        <stp>VOLUME_TOTAL_CALL</stp>
        <stp>14/06/2016</stp>
        <stp>14/06/2016</stp>
        <stp>[Bbg_Market_Data_CL.xlsm]data!R206C15</stp>
        <tr r="O206" s="1"/>
      </tp>
      <tp t="s">
        <v>#N/A Requesting Data...</v>
        <stp/>
        <stp>##V3_BDHV12</stp>
        <stp>CL1 Comdty</stp>
        <stp>VOLATILITY_30D</stp>
        <stp>29/11/2016</stp>
        <stp>29/11/2016</stp>
        <stp>[Bbg_Market_Data_CL.xlsm]data!R92C18</stp>
        <tr r="R92" s="1"/>
      </tp>
      <tp>
        <v>19.04</v>
        <stp/>
        <stp>##V3_BDHV12</stp>
        <stp>CL2 Comdty</stp>
        <stp>VOLATILITY_10D</stp>
        <stp>08/02/2017</stp>
        <stp>08/02/2017</stp>
        <stp>[Bbg_Market_Data_CL.xlsm]data!R44C17</stp>
        <tr r="Q44" s="1"/>
      </tp>
      <tp t="s">
        <v>#N/A Requesting Data...</v>
        <stp/>
        <stp>##V3_BDHV12</stp>
        <stp>CL1 Comdty</stp>
        <stp>VOLUME_TOTAL_CALL</stp>
        <stp>07/04/2016</stp>
        <stp>07/04/2016</stp>
        <stp>[Bbg_Market_Data_CL.xlsm]data!R253C15</stp>
        <tr r="O253" s="1"/>
      </tp>
      <tp t="s">
        <v>#N/A Requesting Data...</v>
        <stp/>
        <stp>##V3_BDHV12</stp>
        <stp>CL1 Comdty</stp>
        <stp>VOLATILITY_30D</stp>
        <stp>09/02/2017</stp>
        <stp>09/02/2017</stp>
        <stp>[Bbg_Market_Data_CL.xlsm]data!R43C18</stp>
        <tr r="R43" s="1"/>
      </tp>
      <tp>
        <v>43.86</v>
        <stp/>
        <stp>##V3_BDHV12</stp>
        <stp>CL2 Comdty</stp>
        <stp>VOLATILITY_10D</stp>
        <stp>28/11/2016</stp>
        <stp>28/11/2016</stp>
        <stp>[Bbg_Market_Data_CL.xlsm]data!R93C17</stp>
        <tr r="Q93" s="1"/>
      </tp>
      <tp t="s">
        <v>#N/A Requesting Data...</v>
        <stp/>
        <stp>##V3_BDHV12</stp>
        <stp>CL1 Comdty</stp>
        <stp>VOLATILITY_30D</stp>
        <stp>19/12/2016</stp>
        <stp>19/12/2016</stp>
        <stp>[Bbg_Market_Data_CL.xlsm]data!R78C18</stp>
        <tr r="R78" s="1"/>
      </tp>
      <tp t="s">
        <v>#N/A Requesting Data...</v>
        <stp/>
        <stp>##V3_BDHV12</stp>
        <stp>CL2 Comdty</stp>
        <stp>VOLUME_TOTAL_CALL</stp>
        <stp>27/06/2016</stp>
        <stp>27/06/2016</stp>
        <stp>[Bbg_Market_Data_CL.xlsm]data!R197C15</stp>
        <tr r="O197" s="1"/>
      </tp>
      <tp t="s">
        <v>#N/A Requesting Data...</v>
        <stp/>
        <stp>##V3_BDHV12</stp>
        <stp>CL1 Comdty</stp>
        <stp>VOLUME_TOTAL_CALL</stp>
        <stp>24/05/2016</stp>
        <stp>24/05/2016</stp>
        <stp>[Bbg_Market_Data_CL.xlsm]data!R220C15</stp>
        <tr r="O220" s="1"/>
      </tp>
      <tp t="s">
        <v>#N/A Requesting Data...</v>
        <stp/>
        <stp>##V3_BDHV12</stp>
        <stp>CL2 Comdty</stp>
        <stp>VOLUME_TOTAL_CALL</stp>
        <stp>17/05/2016</stp>
        <stp>17/05/2016</stp>
        <stp>[Bbg_Market_Data_CL.xlsm]data!R225C15</stp>
        <tr r="O225" s="1"/>
      </tp>
      <tp t="s">
        <v>#N/A Requesting Data...</v>
        <stp/>
        <stp>##V3_BDHV12</stp>
        <stp>CL1 Comdty</stp>
        <stp>VOLUME_TOTAL_CALL</stp>
        <stp>14/06/2016</stp>
        <stp>14/06/2016</stp>
        <stp>[Bbg_Market_Data_CL.xlsm]data!R206C15</stp>
        <tr r="O206" s="1"/>
      </tp>
      <tp>
        <v>36.43</v>
        <stp/>
        <stp>##V3_BDHV12</stp>
        <stp>CL2 Comdty</stp>
        <stp>VOLATILITY_30D</stp>
        <stp>29/11/2016</stp>
        <stp>29/11/2016</stp>
        <stp>[Bbg_Market_Data_CL.xlsm]data!R92C18</stp>
        <tr r="R92" s="1"/>
      </tp>
      <tp t="s">
        <v>#N/A Requesting Data...</v>
        <stp/>
        <stp>##V3_BDHV12</stp>
        <stp>CL1 Comdty</stp>
        <stp>VOLATILITY_10D</stp>
        <stp>08/02/2017</stp>
        <stp>08/02/2017</stp>
        <stp>[Bbg_Market_Data_CL.xlsm]data!R44C17</stp>
        <tr r="Q44" s="1"/>
      </tp>
      <tp t="s">
        <v>#N/A Requesting Data...</v>
        <stp/>
        <stp>##V3_BDHV12</stp>
        <stp>CL2 Comdty</stp>
        <stp>VOLUME_TOTAL_CALL</stp>
        <stp>07/04/2016</stp>
        <stp>07/04/2016</stp>
        <stp>[Bbg_Market_Data_CL.xlsm]data!R253C15</stp>
        <tr r="O253" s="1"/>
      </tp>
      <tp>
        <v>25.29</v>
        <stp/>
        <stp>##V3_BDHV12</stp>
        <stp>CL2 Comdty</stp>
        <stp>VOLATILITY_30D</stp>
        <stp>09/02/2017</stp>
        <stp>09/02/2017</stp>
        <stp>[Bbg_Market_Data_CL.xlsm]data!R43C18</stp>
        <tr r="R43" s="1"/>
      </tp>
      <tp t="s">
        <v>#N/A Requesting Data...</v>
        <stp/>
        <stp>##V3_BDHV12</stp>
        <stp>CL1 Comdty</stp>
        <stp>VOLATILITY_10D</stp>
        <stp>28/11/2016</stp>
        <stp>28/11/2016</stp>
        <stp>[Bbg_Market_Data_CL.xlsm]data!R93C17</stp>
        <tr r="Q93" s="1"/>
      </tp>
      <tp>
        <v>43.77</v>
        <stp/>
        <stp>##V3_BDHV12</stp>
        <stp>CL2 Comdty</stp>
        <stp>VOLATILITY_30D</stp>
        <stp>19/12/2016</stp>
        <stp>19/12/2016</stp>
        <stp>[Bbg_Market_Data_CL.xlsm]data!R78C18</stp>
        <tr r="R78" s="1"/>
      </tp>
      <tp t="s">
        <v>#N/A Requesting Data...</v>
        <stp/>
        <stp>##V3_BDHV12</stp>
        <stp>CL1 Comdty</stp>
        <stp>VOLUME_TOTAL_CALL</stp>
        <stp>27/06/2016</stp>
        <stp>27/06/2016</stp>
        <stp>[Bbg_Market_Data_CL.xlsm]data!R197C15</stp>
        <tr r="O197" s="1"/>
      </tp>
      <tp t="s">
        <v>#N/A Requesting Data...</v>
        <stp/>
        <stp>##V3_BDHV12</stp>
        <stp>CL2 Comdty</stp>
        <stp>VOLUME_TOTAL_CALL</stp>
        <stp>06/05/2016</stp>
        <stp>06/05/2016</stp>
        <stp>[Bbg_Market_Data_CL.xlsm]data!R232C15</stp>
        <tr r="O232" s="1"/>
      </tp>
      <tp t="s">
        <v>#N/A Requesting Data...</v>
        <stp/>
        <stp>##V3_BDHV12</stp>
        <stp>CL1 Comdty</stp>
        <stp>VOLUME_TOTAL_CALL</stp>
        <stp>26/07/2016</stp>
        <stp>26/07/2016</stp>
        <stp>[Bbg_Market_Data_CL.xlsm]data!R177C15</stp>
        <tr r="O177" s="1"/>
      </tp>
      <tp>
        <v>34.71</v>
        <stp/>
        <stp>##V3_BDHV12</stp>
        <stp>CL2 Comdty</stp>
        <stp>VOLATILITY_30D</stp>
        <stp>28/11/2016</stp>
        <stp>28/11/2016</stp>
        <stp>[Bbg_Market_Data_CL.xlsm]data!R93C18</stp>
        <tr r="R93" s="1"/>
      </tp>
      <tp t="s">
        <v>#N/A Requesting Data...</v>
        <stp/>
        <stp>##V3_BDHV12</stp>
        <stp>CL1 Comdty</stp>
        <stp>VOLATILITY_10D</stp>
        <stp>19/12/2016</stp>
        <stp>19/12/2016</stp>
        <stp>[Bbg_Market_Data_CL.xlsm]data!R78C17</stp>
        <tr r="Q78" s="1"/>
      </tp>
      <tp t="s">
        <v>#N/A Requesting Data...</v>
        <stp/>
        <stp>##V3_BDHV12</stp>
        <stp>CL1 Comdty</stp>
        <stp>VOLATILITY_10D</stp>
        <stp>09/02/2017</stp>
        <stp>09/02/2017</stp>
        <stp>[Bbg_Market_Data_CL.xlsm]data!R43C17</stp>
        <tr r="Q43" s="1"/>
      </tp>
      <tp t="s">
        <v>#N/A Requesting Data...</v>
        <stp/>
        <stp>##V3_BDHV12</stp>
        <stp>CL1 Comdty</stp>
        <stp>VOLUME_TOTAL_CALL</stp>
        <stp>25/04/2016</stp>
        <stp>25/04/2016</stp>
        <stp>[Bbg_Market_Data_CL.xlsm]data!R241C15</stp>
        <tr r="O241" s="1"/>
      </tp>
      <tp>
        <v>25.07</v>
        <stp/>
        <stp>##V3_BDHV12</stp>
        <stp>CL2 Comdty</stp>
        <stp>VOLATILITY_30D</stp>
        <stp>08/02/2017</stp>
        <stp>08/02/2017</stp>
        <stp>[Bbg_Market_Data_CL.xlsm]data!R44C18</stp>
        <tr r="R44" s="1"/>
      </tp>
      <tp t="s">
        <v>#N/A Requesting Data...</v>
        <stp/>
        <stp>##V3_BDHV12</stp>
        <stp>CL1 Comdty</stp>
        <stp>VOLATILITY_10D</stp>
        <stp>29/11/2016</stp>
        <stp>29/11/2016</stp>
        <stp>[Bbg_Market_Data_CL.xlsm]data!R92C17</stp>
        <tr r="Q92" s="1"/>
      </tp>
      <tp t="s">
        <v>#N/A Requesting Data...</v>
        <stp/>
        <stp>##V3_BDHV12</stp>
        <stp>CL2 Comdty</stp>
        <stp>VOLUME_TOTAL_CALL</stp>
        <stp>15/07/2016</stp>
        <stp>15/07/2016</stp>
        <stp>[Bbg_Market_Data_CL.xlsm]data!R184C15</stp>
        <tr r="O184" s="1"/>
      </tp>
      <tp t="s">
        <v>#N/A Requesting Data...</v>
        <stp/>
        <stp>##V3_BDHV12</stp>
        <stp>CL1 Comdty</stp>
        <stp>VOLATILITY_30D</stp>
        <stp>14/03/2017</stp>
        <stp>14/03/2017</stp>
        <stp>[Bbg_Market_Data_CL.xlsm]data!R21C18</stp>
        <tr r="R21" s="1"/>
      </tp>
      <tp>
        <v>23.92</v>
        <stp/>
        <stp>##V3_BDHV12</stp>
        <stp>CL2 Comdty</stp>
        <stp>VOLATILITY_30D</stp>
        <stp>17/03/2017</stp>
        <stp>17/03/2017</stp>
        <stp>[Bbg_Market_Data_CL.xlsm]data!R18C18</stp>
        <tr r="R18" s="1"/>
      </tp>
      <tp>
        <v>25.58</v>
        <stp/>
        <stp>##V3_BDHV12</stp>
        <stp>CL2 Comdty</stp>
        <stp>VOLATILITY_30D</stp>
        <stp>07/02/2017</stp>
        <stp>07/02/2017</stp>
        <stp>[Bbg_Market_Data_CL.xlsm]data!R45C18</stp>
        <tr r="R45" s="1"/>
      </tp>
      <tp>
        <v>31</v>
        <stp/>
        <stp>##V3_BDHV12</stp>
        <stp>CL2 Comdty</stp>
        <stp>VOLATILITY_10D</stp>
        <stp>15/12/2016</stp>
        <stp>15/12/2016</stp>
        <stp>[Bbg_Market_Data_CL.xlsm]data!R80C17</stp>
        <tr r="Q80" s="1"/>
      </tp>
      <tp t="s">
        <v>#N/A Requesting Data...</v>
        <stp/>
        <stp>##V3_BDHV12</stp>
        <stp>CL1 Comdty</stp>
        <stp>VOLUME_TOTAL_CALL</stp>
        <stp>29/08/2016</stp>
        <stp>29/08/2016</stp>
        <stp>[Bbg_Market_Data_CL.xlsm]data!R154C15</stp>
        <tr r="O154" s="1"/>
      </tp>
      <tp>
        <v>43.92</v>
        <stp/>
        <stp>##V3_BDHV12</stp>
        <stp>CL2 Comdty</stp>
        <stp>VOLATILITY_10D</stp>
        <stp>25/11/2016</stp>
        <stp>25/11/2016</stp>
        <stp>[Bbg_Market_Data_CL.xlsm]data!R94C17</stp>
        <tr r="Q94" s="1"/>
      </tp>
      <tp t="s">
        <v>#N/A Requesting Data...</v>
        <stp/>
        <stp>##V3_BDHV12</stp>
        <stp>CL1 Comdty</stp>
        <stp>VOLATILITY_10D</stp>
        <stp>06/02/2017</stp>
        <stp>06/02/2017</stp>
        <stp>[Bbg_Market_Data_CL.xlsm]data!R46C17</stp>
        <tr r="Q46" s="1"/>
      </tp>
      <tp t="s">
        <v>#N/A Requesting Data...</v>
        <stp/>
        <stp>##V3_BDHV12</stp>
        <stp>CL1 Comdty</stp>
        <stp>VOLATILITY_30D</stp>
        <stp>14/12/2016</stp>
        <stp>14/12/2016</stp>
        <stp>[Bbg_Market_Data_CL.xlsm]data!R81C18</stp>
        <tr r="R81" s="1"/>
      </tp>
      <tp t="s">
        <v>#N/A Requesting Data...</v>
        <stp/>
        <stp>##V3_BDHV12</stp>
        <stp>CL1 Comdty</stp>
        <stp>VOLATILITY_10D</stp>
        <stp>16/12/2016</stp>
        <stp>16/12/2016</stp>
        <stp>[Bbg_Market_Data_CL.xlsm]data!R79C17</stp>
        <tr r="Q79" s="1"/>
      </tp>
      <tp t="s">
        <v>#N/A Requesting Data...</v>
        <stp/>
        <stp>##V3_BDHV12</stp>
        <stp>CL1 Comdty</stp>
        <stp>VOLUME_TOTAL_CALL</stp>
        <stp>18/09/2015</stp>
        <stp>18/09/2015</stp>
        <stp>[Bbg_Market_Data_CL.xlsm]data!R388C15</stp>
        <tr r="O388" s="1"/>
      </tp>
      <tp>
        <v>34.909999999999997</v>
        <stp/>
        <stp>##V3_BDHV12</stp>
        <stp>CL2 Comdty</stp>
        <stp>VOLATILITY_10D</stp>
        <stp>15/03/2017</stp>
        <stp>15/03/2017</stp>
        <stp>[Bbg_Market_Data_CL.xlsm]data!R20C17</stp>
        <tr r="Q20" s="1"/>
      </tp>
      <tp t="s">
        <v>#N/A Requesting Data...</v>
        <stp/>
        <stp>##V3_BDHV12</stp>
        <stp>CL1 Comdty</stp>
        <stp>VOLATILITY_10D</stp>
        <stp>16/03/2017</stp>
        <stp>16/03/2017</stp>
        <stp>[Bbg_Market_Data_CL.xlsm]data!R19C17</stp>
        <tr r="Q19" s="1"/>
      </tp>
      <tp t="s">
        <v>#N/A Requesting Data...</v>
        <stp/>
        <stp>##V3_BDHV12</stp>
        <stp>CL1 Comdty</stp>
        <stp>VOLUME_TOTAL_CALL</stp>
        <stp>28/09/2016</stp>
        <stp>28/09/2016</stp>
        <stp>[Bbg_Market_Data_CL.xlsm]data!R133C15</stp>
        <tr r="O133" s="1"/>
      </tp>
      <tp t="s">
        <v>#N/A Requesting Data...</v>
        <stp/>
        <stp>##V3_BDHV12</stp>
        <stp>CL1 Comdty</stp>
        <stp>VOLATILITY_30D</stp>
        <stp>15/03/2017</stp>
        <stp>15/03/2017</stp>
        <stp>[Bbg_Market_Data_CL.xlsm]data!R20C18</stp>
        <tr r="R20" s="1"/>
      </tp>
      <tp>
        <v>24.03</v>
        <stp/>
        <stp>##V3_BDHV12</stp>
        <stp>CL2 Comdty</stp>
        <stp>VOLATILITY_30D</stp>
        <stp>16/03/2017</stp>
        <stp>16/03/2017</stp>
        <stp>[Bbg_Market_Data_CL.xlsm]data!R19C18</stp>
        <tr r="R19" s="1"/>
      </tp>
      <tp>
        <v>43.93</v>
        <stp/>
        <stp>##V3_BDHV12</stp>
        <stp>CL2 Comdty</stp>
        <stp>VOLATILITY_30D</stp>
        <stp>16/12/2016</stp>
        <stp>16/12/2016</stp>
        <stp>[Bbg_Market_Data_CL.xlsm]data!R79C18</stp>
        <tr r="R79" s="1"/>
      </tp>
      <tp>
        <v>25.14</v>
        <stp/>
        <stp>##V3_BDHV12</stp>
        <stp>CL2 Comdty</stp>
        <stp>VOLATILITY_30D</stp>
        <stp>06/02/2017</stp>
        <stp>06/02/2017</stp>
        <stp>[Bbg_Market_Data_CL.xlsm]data!R46C18</stp>
        <tr r="R46" s="1"/>
      </tp>
      <tp>
        <v>31.97</v>
        <stp/>
        <stp>##V3_BDHV12</stp>
        <stp>CL2 Comdty</stp>
        <stp>VOLATILITY_10D</stp>
        <stp>14/12/2016</stp>
        <stp>14/12/2016</stp>
        <stp>[Bbg_Market_Data_CL.xlsm]data!R81C17</stp>
        <tr r="Q81" s="1"/>
      </tp>
      <tp t="s">
        <v>#N/A Requesting Data...</v>
        <stp/>
        <stp>##V3_BDHV12</stp>
        <stp>CL1 Comdty</stp>
        <stp>VOLATILITY_30D</stp>
        <stp>25/11/2016</stp>
        <stp>25/11/2016</stp>
        <stp>[Bbg_Market_Data_CL.xlsm]data!R94C18</stp>
        <tr r="R94" s="1"/>
      </tp>
      <tp t="s">
        <v>#N/A Requesting Data...</v>
        <stp/>
        <stp>##V3_BDHV12</stp>
        <stp>CL1 Comdty</stp>
        <stp>VOLATILITY_10D</stp>
        <stp>07/02/2017</stp>
        <stp>07/02/2017</stp>
        <stp>[Bbg_Market_Data_CL.xlsm]data!R45C17</stp>
        <tr r="Q45" s="1"/>
      </tp>
      <tp t="s">
        <v>#N/A Requesting Data...</v>
        <stp/>
        <stp>##V3_BDHV12</stp>
        <stp>CL1 Comdty</stp>
        <stp>VOLATILITY_30D</stp>
        <stp>15/12/2016</stp>
        <stp>15/12/2016</stp>
        <stp>[Bbg_Market_Data_CL.xlsm]data!R80C18</stp>
        <tr r="R80" s="1"/>
      </tp>
      <tp t="s">
        <v>#N/A Requesting Data...</v>
        <stp/>
        <stp>##V3_BDHV12</stp>
        <stp>CL1 Comdty</stp>
        <stp>VOLUME_TOTAL_CALL</stp>
        <stp>09/09/2015</stp>
        <stp>09/09/2015</stp>
        <stp>[Bbg_Market_Data_CL.xlsm]data!R395C15</stp>
        <tr r="O395" s="1"/>
      </tp>
      <tp>
        <v>30.72</v>
        <stp/>
        <stp>##V3_BDHV12</stp>
        <stp>CL2 Comdty</stp>
        <stp>VOLATILITY_10D</stp>
        <stp>14/03/2017</stp>
        <stp>14/03/2017</stp>
        <stp>[Bbg_Market_Data_CL.xlsm]data!R21C17</stp>
        <tr r="Q21" s="1"/>
      </tp>
      <tp t="s">
        <v>#N/A Requesting Data...</v>
        <stp/>
        <stp>##V3_BDHV12</stp>
        <stp>CL1 Comdty</stp>
        <stp>VOLATILITY_10D</stp>
        <stp>17/03/2017</stp>
        <stp>17/03/2017</stp>
        <stp>[Bbg_Market_Data_CL.xlsm]data!R18C17</stp>
        <tr r="Q18" s="1"/>
      </tp>
      <tp t="s">
        <v>#N/A Requesting Data...</v>
        <stp/>
        <stp>##V3_BDHV12</stp>
        <stp>CL2 Comdty</stp>
        <stp>VOLUME_TOTAL_CALL</stp>
        <stp>28/09/2016</stp>
        <stp>28/09/2016</stp>
        <stp>[Bbg_Market_Data_CL.xlsm]data!R133C15</stp>
        <tr r="O133" s="1"/>
      </tp>
      <tp>
        <v>24.04</v>
        <stp/>
        <stp>##V3_BDHV12</stp>
        <stp>CL2 Comdty</stp>
        <stp>VOLATILITY_30D</stp>
        <stp>15/03/2017</stp>
        <stp>15/03/2017</stp>
        <stp>[Bbg_Market_Data_CL.xlsm]data!R20C18</stp>
        <tr r="R20" s="1"/>
      </tp>
      <tp t="s">
        <v>#N/A Requesting Data...</v>
        <stp/>
        <stp>##V3_BDHV12</stp>
        <stp>CL1 Comdty</stp>
        <stp>VOLATILITY_30D</stp>
        <stp>16/03/2017</stp>
        <stp>16/03/2017</stp>
        <stp>[Bbg_Market_Data_CL.xlsm]data!R19C18</stp>
        <tr r="R19" s="1"/>
      </tp>
      <tp t="s">
        <v>#N/A Requesting Data...</v>
        <stp/>
        <stp>##V3_BDHV12</stp>
        <stp>CL1 Comdty</stp>
        <stp>VOLATILITY_30D</stp>
        <stp>16/12/2016</stp>
        <stp>16/12/2016</stp>
        <stp>[Bbg_Market_Data_CL.xlsm]data!R79C18</stp>
        <tr r="R79" s="1"/>
      </tp>
      <tp t="s">
        <v>#N/A Requesting Data...</v>
        <stp/>
        <stp>##V3_BDHV12</stp>
        <stp>CL1 Comdty</stp>
        <stp>VOLATILITY_30D</stp>
        <stp>06/02/2017</stp>
        <stp>06/02/2017</stp>
        <stp>[Bbg_Market_Data_CL.xlsm]data!R46C18</stp>
        <tr r="R46" s="1"/>
      </tp>
      <tp t="s">
        <v>#N/A Requesting Data...</v>
        <stp/>
        <stp>##V3_BDHV12</stp>
        <stp>CL1 Comdty</stp>
        <stp>VOLATILITY_10D</stp>
        <stp>14/12/2016</stp>
        <stp>14/12/2016</stp>
        <stp>[Bbg_Market_Data_CL.xlsm]data!R81C17</stp>
        <tr r="Q81" s="1"/>
      </tp>
      <tp>
        <v>34.03</v>
        <stp/>
        <stp>##V3_BDHV12</stp>
        <stp>CL2 Comdty</stp>
        <stp>VOLATILITY_30D</stp>
        <stp>25/11/2016</stp>
        <stp>25/11/2016</stp>
        <stp>[Bbg_Market_Data_CL.xlsm]data!R94C18</stp>
        <tr r="R94" s="1"/>
      </tp>
      <tp>
        <v>22.2</v>
        <stp/>
        <stp>##V3_BDHV12</stp>
        <stp>CL2 Comdty</stp>
        <stp>VOLATILITY_10D</stp>
        <stp>07/02/2017</stp>
        <stp>07/02/2017</stp>
        <stp>[Bbg_Market_Data_CL.xlsm]data!R45C17</stp>
        <tr r="Q45" s="1"/>
      </tp>
      <tp>
        <v>44.11</v>
        <stp/>
        <stp>##V3_BDHV12</stp>
        <stp>CL2 Comdty</stp>
        <stp>VOLATILITY_30D</stp>
        <stp>15/12/2016</stp>
        <stp>15/12/2016</stp>
        <stp>[Bbg_Market_Data_CL.xlsm]data!R80C18</stp>
        <tr r="R80" s="1"/>
      </tp>
      <tp t="s">
        <v>#N/A Requesting Data...</v>
        <stp/>
        <stp>##V3_BDHV12</stp>
        <stp>CL2 Comdty</stp>
        <stp>VOLUME_TOTAL_CALL</stp>
        <stp>09/09/2015</stp>
        <stp>09/09/2015</stp>
        <stp>[Bbg_Market_Data_CL.xlsm]data!R395C15</stp>
        <tr r="O395" s="1"/>
      </tp>
      <tp t="s">
        <v>#N/A Requesting Data...</v>
        <stp/>
        <stp>##V3_BDHV12</stp>
        <stp>CL1 Comdty</stp>
        <stp>VOLATILITY_10D</stp>
        <stp>14/03/2017</stp>
        <stp>14/03/2017</stp>
        <stp>[Bbg_Market_Data_CL.xlsm]data!R21C17</stp>
        <tr r="Q21" s="1"/>
      </tp>
      <tp>
        <v>32.979999999999997</v>
        <stp/>
        <stp>##V3_BDHV12</stp>
        <stp>CL2 Comdty</stp>
        <stp>VOLATILITY_10D</stp>
        <stp>17/03/2017</stp>
        <stp>17/03/2017</stp>
        <stp>[Bbg_Market_Data_CL.xlsm]data!R18C17</stp>
        <tr r="Q18" s="1"/>
      </tp>
      <tp>
        <v>23.92</v>
        <stp/>
        <stp>##V3_BDHV12</stp>
        <stp>CL2 Comdty</stp>
        <stp>VOLATILITY_30D</stp>
        <stp>14/03/2017</stp>
        <stp>14/03/2017</stp>
        <stp>[Bbg_Market_Data_CL.xlsm]data!R21C18</stp>
        <tr r="R21" s="1"/>
      </tp>
      <tp t="s">
        <v>#N/A Requesting Data...</v>
        <stp/>
        <stp>##V3_BDHV12</stp>
        <stp>CL1 Comdty</stp>
        <stp>VOLATILITY_30D</stp>
        <stp>17/03/2017</stp>
        <stp>17/03/2017</stp>
        <stp>[Bbg_Market_Data_CL.xlsm]data!R18C18</stp>
        <tr r="R18" s="1"/>
      </tp>
      <tp t="s">
        <v>#N/A Requesting Data...</v>
        <stp/>
        <stp>##V3_BDHV12</stp>
        <stp>CL1 Comdty</stp>
        <stp>VOLATILITY_30D</stp>
        <stp>07/02/2017</stp>
        <stp>07/02/2017</stp>
        <stp>[Bbg_Market_Data_CL.xlsm]data!R45C18</stp>
        <tr r="R45" s="1"/>
      </tp>
      <tp t="s">
        <v>#N/A Requesting Data...</v>
        <stp/>
        <stp>##V3_BDHV12</stp>
        <stp>CL1 Comdty</stp>
        <stp>VOLATILITY_10D</stp>
        <stp>15/12/2016</stp>
        <stp>15/12/2016</stp>
        <stp>[Bbg_Market_Data_CL.xlsm]data!R80C17</stp>
        <tr r="Q80" s="1"/>
      </tp>
      <tp t="s">
        <v>#N/A Requesting Data...</v>
        <stp/>
        <stp>##V3_BDHV12</stp>
        <stp>CL2 Comdty</stp>
        <stp>VOLUME_TOTAL_CALL</stp>
        <stp>29/08/2016</stp>
        <stp>29/08/2016</stp>
        <stp>[Bbg_Market_Data_CL.xlsm]data!R154C15</stp>
        <tr r="O154" s="1"/>
      </tp>
      <tp t="s">
        <v>#N/A Requesting Data...</v>
        <stp/>
        <stp>##V3_BDHV12</stp>
        <stp>CL1 Comdty</stp>
        <stp>VOLATILITY_10D</stp>
        <stp>25/11/2016</stp>
        <stp>25/11/2016</stp>
        <stp>[Bbg_Market_Data_CL.xlsm]data!R94C17</stp>
        <tr r="Q94" s="1"/>
      </tp>
      <tp>
        <v>20.95</v>
        <stp/>
        <stp>##V3_BDHV12</stp>
        <stp>CL2 Comdty</stp>
        <stp>VOLATILITY_10D</stp>
        <stp>06/02/2017</stp>
        <stp>06/02/2017</stp>
        <stp>[Bbg_Market_Data_CL.xlsm]data!R46C17</stp>
        <tr r="Q46" s="1"/>
      </tp>
      <tp>
        <v>44.46</v>
        <stp/>
        <stp>##V3_BDHV12</stp>
        <stp>CL2 Comdty</stp>
        <stp>VOLATILITY_30D</stp>
        <stp>14/12/2016</stp>
        <stp>14/12/2016</stp>
        <stp>[Bbg_Market_Data_CL.xlsm]data!R81C18</stp>
        <tr r="R81" s="1"/>
      </tp>
      <tp>
        <v>32.81</v>
        <stp/>
        <stp>##V3_BDHV12</stp>
        <stp>CL2 Comdty</stp>
        <stp>VOLATILITY_10D</stp>
        <stp>16/12/2016</stp>
        <stp>16/12/2016</stp>
        <stp>[Bbg_Market_Data_CL.xlsm]data!R79C17</stp>
        <tr r="Q79" s="1"/>
      </tp>
      <tp t="s">
        <v>#N/A Requesting Data...</v>
        <stp/>
        <stp>##V3_BDHV12</stp>
        <stp>CL2 Comdty</stp>
        <stp>VOLUME_TOTAL_CALL</stp>
        <stp>18/09/2015</stp>
        <stp>18/09/2015</stp>
        <stp>[Bbg_Market_Data_CL.xlsm]data!R388C15</stp>
        <tr r="O388" s="1"/>
      </tp>
      <tp t="s">
        <v>#N/A Requesting Data...</v>
        <stp/>
        <stp>##V3_BDHV12</stp>
        <stp>CL1 Comdty</stp>
        <stp>VOLATILITY_10D</stp>
        <stp>15/03/2017</stp>
        <stp>15/03/2017</stp>
        <stp>[Bbg_Market_Data_CL.xlsm]data!R20C17</stp>
        <tr r="Q20" s="1"/>
      </tp>
      <tp>
        <v>32.72</v>
        <stp/>
        <stp>##V3_BDHV12</stp>
        <stp>CL2 Comdty</stp>
        <stp>VOLATILITY_10D</stp>
        <stp>16/03/2017</stp>
        <stp>16/03/2017</stp>
        <stp>[Bbg_Market_Data_CL.xlsm]data!R19C17</stp>
        <tr r="Q19" s="1"/>
      </tp>
      <tp t="s">
        <v>#N/A Requesting Data...</v>
        <stp/>
        <stp>##V3_BDHV12</stp>
        <stp>CL1 Comdty</stp>
        <stp>VOLATILITY_10D</stp>
        <stp>22/11/2016</stp>
        <stp>22/11/2016</stp>
        <stp>[Bbg_Market_Data_CL.xlsm]data!R96C17</stp>
        <tr r="Q96" s="1"/>
      </tp>
      <tp t="s">
        <v>#N/A Requesting Data...</v>
        <stp/>
        <stp>##V3_BDHV12</stp>
        <stp>CL1 Comdty</stp>
        <stp>VOLATILITY_30D</stp>
        <stp>30/01/2017</stp>
        <stp>30/01/2017</stp>
        <stp>[Bbg_Market_Data_CL.xlsm]data!R51C18</stp>
        <tr r="R51" s="1"/>
      </tp>
      <tp t="s">
        <v>#N/A Requesting Data...</v>
        <stp/>
        <stp>##V3_BDHV12</stp>
        <stp>CL1 Comdty</stp>
        <stp>VOLATILITY_10D</stp>
        <stp>12/12/2016</stp>
        <stp>12/12/2016</stp>
        <stp>[Bbg_Market_Data_CL.xlsm]data!R83C17</stp>
        <tr r="Q83" s="1"/>
      </tp>
      <tp>
        <v>24.82</v>
        <stp/>
        <stp>##V3_BDHV12</stp>
        <stp>CL2 Comdty</stp>
        <stp>VOLATILITY_30D</stp>
        <stp>03/02/2017</stp>
        <stp>03/02/2017</stp>
        <stp>[Bbg_Market_Data_CL.xlsm]data!R47C18</stp>
        <tr r="R47" s="1"/>
      </tp>
      <tp>
        <v>41.33</v>
        <stp/>
        <stp>##V3_BDHV12</stp>
        <stp>CL2 Comdty</stp>
        <stp>VOLATILITY_10D</stp>
        <stp>21/11/2016</stp>
        <stp>21/11/2016</stp>
        <stp>[Bbg_Market_Data_CL.xlsm]data!R97C17</stp>
        <tr r="Q97" s="1"/>
      </tp>
      <tp>
        <v>23.85</v>
        <stp/>
        <stp>##V3_BDHV12</stp>
        <stp>CL2 Comdty</stp>
        <stp>VOLATILITY_30D</stp>
        <stp>13/03/2017</stp>
        <stp>13/03/2017</stp>
        <stp>[Bbg_Market_Data_CL.xlsm]data!R22C18</stp>
        <tr r="R22" s="1"/>
      </tp>
      <tp t="s">
        <v>#N/A Requesting Data...</v>
        <stp/>
        <stp>##V3_BDHV12</stp>
        <stp>CL1 Comdty</stp>
        <stp>VOLATILITY_30D</stp>
        <stp>10/03/2017</stp>
        <stp>10/03/2017</stp>
        <stp>[Bbg_Market_Data_CL.xlsm]data!R23C18</stp>
        <tr r="R23" s="1"/>
      </tp>
      <tp t="s">
        <v>#N/A Requesting Data...</v>
        <stp/>
        <stp>##V3_BDHV12</stp>
        <stp>CL1 Comdty</stp>
        <stp>VOLATILITY_10D</stp>
        <stp>02/02/2017</stp>
        <stp>02/02/2017</stp>
        <stp>[Bbg_Market_Data_CL.xlsm]data!R48C17</stp>
        <tr r="Q48" s="1"/>
      </tp>
      <tp>
        <v>32.130000000000003</v>
        <stp/>
        <stp>##V3_BDHV12</stp>
        <stp>CL2 Comdty</stp>
        <stp>VOLATILITY_30D</stp>
        <stp>23/11/2016</stp>
        <stp>23/11/2016</stp>
        <stp>[Bbg_Market_Data_CL.xlsm]data!R95C18</stp>
        <tr r="R95" s="1"/>
      </tp>
      <tp>
        <v>18.79</v>
        <stp/>
        <stp>##V3_BDHV12</stp>
        <stp>CL2 Comdty</stp>
        <stp>VOLATILITY_10D</stp>
        <stp>31/01/2017</stp>
        <stp>31/01/2017</stp>
        <stp>[Bbg_Market_Data_CL.xlsm]data!R50C17</stp>
        <tr r="Q50" s="1"/>
      </tp>
      <tp>
        <v>43.94</v>
        <stp/>
        <stp>##V3_BDHV12</stp>
        <stp>CL2 Comdty</stp>
        <stp>VOLATILITY_30D</stp>
        <stp>13/12/2016</stp>
        <stp>13/12/2016</stp>
        <stp>[Bbg_Market_Data_CL.xlsm]data!R82C18</stp>
        <tr r="R82" s="1"/>
      </tp>
      <tp>
        <v>20.83</v>
        <stp/>
        <stp>##V3_BDHV12</stp>
        <stp>CL2 Comdty</stp>
        <stp>VOLATILITY_10D</stp>
        <stp>01/02/2017</stp>
        <stp>01/02/2017</stp>
        <stp>[Bbg_Market_Data_CL.xlsm]data!R49C17</stp>
        <tr r="Q49" s="1"/>
      </tp>
      <tp t="s">
        <v>#N/A Requesting Data...</v>
        <stp/>
        <stp>##V3_BDHV12</stp>
        <stp>CL1 Comdty</stp>
        <stp>VOLATILITY_10D</stp>
        <stp>13/12/2016</stp>
        <stp>13/12/2016</stp>
        <stp>[Bbg_Market_Data_CL.xlsm]data!R82C17</stp>
        <tr r="Q82" s="1"/>
      </tp>
      <tp t="s">
        <v>#N/A Requesting Data...</v>
        <stp/>
        <stp>##V3_BDHV12</stp>
        <stp>CL1 Comdty</stp>
        <stp>VOLATILITY_30D</stp>
        <stp>01/02/2017</stp>
        <stp>01/02/2017</stp>
        <stp>[Bbg_Market_Data_CL.xlsm]data!R49C18</stp>
        <tr r="R49" s="1"/>
      </tp>
      <tp t="s">
        <v>#N/A Requesting Data...</v>
        <stp/>
        <stp>##V3_BDHV12</stp>
        <stp>CL1 Comdty</stp>
        <stp>VOLATILITY_10D</stp>
        <stp>23/11/2016</stp>
        <stp>23/11/2016</stp>
        <stp>[Bbg_Market_Data_CL.xlsm]data!R95C17</stp>
        <tr r="Q95" s="1"/>
      </tp>
      <tp t="s">
        <v>#N/A Requesting Data...</v>
        <stp/>
        <stp>##V3_BDHV12</stp>
        <stp>CL1 Comdty</stp>
        <stp>VOLATILITY_30D</stp>
        <stp>31/01/2017</stp>
        <stp>31/01/2017</stp>
        <stp>[Bbg_Market_Data_CL.xlsm]data!R50C18</stp>
        <tr r="R50" s="1"/>
      </tp>
      <tp>
        <v>24.78</v>
        <stp/>
        <stp>##V3_BDHV12</stp>
        <stp>CL2 Comdty</stp>
        <stp>VOLATILITY_30D</stp>
        <stp>02/02/2017</stp>
        <stp>02/02/2017</stp>
        <stp>[Bbg_Market_Data_CL.xlsm]data!R48C18</stp>
        <tr r="R48" s="1"/>
      </tp>
      <tp t="s">
        <v>#N/A Requesting Data...</v>
        <stp/>
        <stp>##V3_BDHV12</stp>
        <stp>CL2 Comdty</stp>
        <stp>VOLUME_TOTAL_CALL</stp>
        <stp>19/08/2015</stp>
        <stp>19/08/2015</stp>
        <stp>[Bbg_Market_Data_CL.xlsm]data!R409C15</stp>
        <tr r="O409" s="1"/>
      </tp>
      <tp>
        <v>31.43</v>
        <stp/>
        <stp>##V3_BDHV12</stp>
        <stp>CL2 Comdty</stp>
        <stp>VOLATILITY_10D</stp>
        <stp>10/03/2017</stp>
        <stp>10/03/2017</stp>
        <stp>[Bbg_Market_Data_CL.xlsm]data!R23C17</stp>
        <tr r="Q23" s="1"/>
      </tp>
      <tp t="s">
        <v>#N/A Requesting Data...</v>
        <stp/>
        <stp>##V3_BDHV12</stp>
        <stp>CL1 Comdty</stp>
        <stp>VOLATILITY_10D</stp>
        <stp>13/03/2017</stp>
        <stp>13/03/2017</stp>
        <stp>[Bbg_Market_Data_CL.xlsm]data!R22C17</stp>
        <tr r="Q22" s="1"/>
      </tp>
      <tp t="s">
        <v>#N/A Requesting Data...</v>
        <stp/>
        <stp>##V3_BDHV12</stp>
        <stp>CL1 Comdty</stp>
        <stp>VOLATILITY_30D</stp>
        <stp>21/11/2016</stp>
        <stp>21/11/2016</stp>
        <stp>[Bbg_Market_Data_CL.xlsm]data!R97C18</stp>
        <tr r="R97" s="1"/>
      </tp>
      <tp t="s">
        <v>#N/A Requesting Data...</v>
        <stp/>
        <stp>##V3_BDHV12</stp>
        <stp>CL1 Comdty</stp>
        <stp>VOLATILITY_10D</stp>
        <stp>03/02/2017</stp>
        <stp>03/02/2017</stp>
        <stp>[Bbg_Market_Data_CL.xlsm]data!R47C17</stp>
        <tr r="Q47" s="1"/>
      </tp>
      <tp>
        <v>44.03</v>
        <stp/>
        <stp>##V3_BDHV12</stp>
        <stp>CL2 Comdty</stp>
        <stp>VOLATILITY_30D</stp>
        <stp>12/12/2016</stp>
        <stp>12/12/2016</stp>
        <stp>[Bbg_Market_Data_CL.xlsm]data!R83C18</stp>
        <tr r="R83" s="1"/>
      </tp>
      <tp>
        <v>32.17</v>
        <stp/>
        <stp>##V3_BDHV12</stp>
        <stp>CL2 Comdty</stp>
        <stp>VOLATILITY_30D</stp>
        <stp>22/11/2016</stp>
        <stp>22/11/2016</stp>
        <stp>[Bbg_Market_Data_CL.xlsm]data!R96C18</stp>
        <tr r="R96" s="1"/>
      </tp>
      <tp>
        <v>24.51</v>
        <stp/>
        <stp>##V3_BDHV12</stp>
        <stp>CL2 Comdty</stp>
        <stp>VOLATILITY_10D</stp>
        <stp>30/01/2017</stp>
        <stp>30/01/2017</stp>
        <stp>[Bbg_Market_Data_CL.xlsm]data!R51C17</stp>
        <tr r="Q51" s="1"/>
      </tp>
      <tp>
        <v>27.93</v>
        <stp/>
        <stp>##V3_BDHV12</stp>
        <stp>CL2 Comdty</stp>
        <stp>VOLATILITY_10D</stp>
        <stp>13/12/2016</stp>
        <stp>13/12/2016</stp>
        <stp>[Bbg_Market_Data_CL.xlsm]data!R82C17</stp>
        <tr r="Q82" s="1"/>
      </tp>
      <tp>
        <v>24.72</v>
        <stp/>
        <stp>##V3_BDHV12</stp>
        <stp>CL2 Comdty</stp>
        <stp>VOLATILITY_30D</stp>
        <stp>01/02/2017</stp>
        <stp>01/02/2017</stp>
        <stp>[Bbg_Market_Data_CL.xlsm]data!R49C18</stp>
        <tr r="R49" s="1"/>
      </tp>
      <tp>
        <v>40.24</v>
        <stp/>
        <stp>##V3_BDHV12</stp>
        <stp>CL2 Comdty</stp>
        <stp>VOLATILITY_10D</stp>
        <stp>23/11/2016</stp>
        <stp>23/11/2016</stp>
        <stp>[Bbg_Market_Data_CL.xlsm]data!R95C17</stp>
        <tr r="Q95" s="1"/>
      </tp>
      <tp>
        <v>24.02</v>
        <stp/>
        <stp>##V3_BDHV12</stp>
        <stp>CL2 Comdty</stp>
        <stp>VOLATILITY_30D</stp>
        <stp>31/01/2017</stp>
        <stp>31/01/2017</stp>
        <stp>[Bbg_Market_Data_CL.xlsm]data!R50C18</stp>
        <tr r="R50" s="1"/>
      </tp>
      <tp t="s">
        <v>#N/A Requesting Data...</v>
        <stp/>
        <stp>##V3_BDHV12</stp>
        <stp>CL1 Comdty</stp>
        <stp>VOLATILITY_30D</stp>
        <stp>02/02/2017</stp>
        <stp>02/02/2017</stp>
        <stp>[Bbg_Market_Data_CL.xlsm]data!R48C18</stp>
        <tr r="R48" s="1"/>
      </tp>
      <tp t="s">
        <v>#N/A Requesting Data...</v>
        <stp/>
        <stp>##V3_BDHV12</stp>
        <stp>CL1 Comdty</stp>
        <stp>VOLUME_TOTAL_CALL</stp>
        <stp>19/08/2015</stp>
        <stp>19/08/2015</stp>
        <stp>[Bbg_Market_Data_CL.xlsm]data!R409C15</stp>
        <tr r="O409" s="1"/>
      </tp>
      <tp t="s">
        <v>#N/A Requesting Data...</v>
        <stp/>
        <stp>##V3_BDHV12</stp>
        <stp>CL1 Comdty</stp>
        <stp>VOLATILITY_10D</stp>
        <stp>10/03/2017</stp>
        <stp>10/03/2017</stp>
        <stp>[Bbg_Market_Data_CL.xlsm]data!R23C17</stp>
        <tr r="Q23" s="1"/>
      </tp>
      <tp>
        <v>31.2</v>
        <stp/>
        <stp>##V3_BDHV12</stp>
        <stp>CL2 Comdty</stp>
        <stp>VOLATILITY_10D</stp>
        <stp>13/03/2017</stp>
        <stp>13/03/2017</stp>
        <stp>[Bbg_Market_Data_CL.xlsm]data!R22C17</stp>
        <tr r="Q22" s="1"/>
      </tp>
      <tp>
        <v>31.96</v>
        <stp/>
        <stp>##V3_BDHV12</stp>
        <stp>CL2 Comdty</stp>
        <stp>VOLATILITY_30D</stp>
        <stp>21/11/2016</stp>
        <stp>21/11/2016</stp>
        <stp>[Bbg_Market_Data_CL.xlsm]data!R97C18</stp>
        <tr r="R97" s="1"/>
      </tp>
      <tp>
        <v>19.079999999999998</v>
        <stp/>
        <stp>##V3_BDHV12</stp>
        <stp>CL2 Comdty</stp>
        <stp>VOLATILITY_10D</stp>
        <stp>03/02/2017</stp>
        <stp>03/02/2017</stp>
        <stp>[Bbg_Market_Data_CL.xlsm]data!R47C17</stp>
        <tr r="Q47" s="1"/>
      </tp>
      <tp t="s">
        <v>#N/A Requesting Data...</v>
        <stp/>
        <stp>##V3_BDHV12</stp>
        <stp>CL1 Comdty</stp>
        <stp>VOLATILITY_30D</stp>
        <stp>12/12/2016</stp>
        <stp>12/12/2016</stp>
        <stp>[Bbg_Market_Data_CL.xlsm]data!R83C18</stp>
        <tr r="R83" s="1"/>
      </tp>
      <tp t="s">
        <v>#N/A Requesting Data...</v>
        <stp/>
        <stp>##V3_BDHV12</stp>
        <stp>CL1 Comdty</stp>
        <stp>VOLATILITY_30D</stp>
        <stp>22/11/2016</stp>
        <stp>22/11/2016</stp>
        <stp>[Bbg_Market_Data_CL.xlsm]data!R96C18</stp>
        <tr r="R96" s="1"/>
      </tp>
      <tp t="s">
        <v>#N/A Requesting Data...</v>
        <stp/>
        <stp>##V3_BDHV12</stp>
        <stp>CL1 Comdty</stp>
        <stp>VOLATILITY_10D</stp>
        <stp>30/01/2017</stp>
        <stp>30/01/2017</stp>
        <stp>[Bbg_Market_Data_CL.xlsm]data!R51C17</stp>
        <tr r="Q51" s="1"/>
      </tp>
      <tp>
        <v>41.55</v>
        <stp/>
        <stp>##V3_BDHV12</stp>
        <stp>CL2 Comdty</stp>
        <stp>VOLATILITY_10D</stp>
        <stp>22/11/2016</stp>
        <stp>22/11/2016</stp>
        <stp>[Bbg_Market_Data_CL.xlsm]data!R96C17</stp>
        <tr r="Q96" s="1"/>
      </tp>
      <tp>
        <v>24.63</v>
        <stp/>
        <stp>##V3_BDHV12</stp>
        <stp>CL2 Comdty</stp>
        <stp>VOLATILITY_30D</stp>
        <stp>30/01/2017</stp>
        <stp>30/01/2017</stp>
        <stp>[Bbg_Market_Data_CL.xlsm]data!R51C18</stp>
        <tr r="R51" s="1"/>
      </tp>
      <tp>
        <v>50.82</v>
        <stp/>
        <stp>##V3_BDHV12</stp>
        <stp>CL2 Comdty</stp>
        <stp>VOLATILITY_10D</stp>
        <stp>12/12/2016</stp>
        <stp>12/12/2016</stp>
        <stp>[Bbg_Market_Data_CL.xlsm]data!R83C17</stp>
        <tr r="Q83" s="1"/>
      </tp>
      <tp t="s">
        <v>#N/A Requesting Data...</v>
        <stp/>
        <stp>##V3_BDHV12</stp>
        <stp>CL1 Comdty</stp>
        <stp>VOLATILITY_30D</stp>
        <stp>03/02/2017</stp>
        <stp>03/02/2017</stp>
        <stp>[Bbg_Market_Data_CL.xlsm]data!R47C18</stp>
        <tr r="R47" s="1"/>
      </tp>
      <tp t="s">
        <v>#N/A Requesting Data...</v>
        <stp/>
        <stp>##V3_BDHV12</stp>
        <stp>CL1 Comdty</stp>
        <stp>VOLATILITY_10D</stp>
        <stp>21/11/2016</stp>
        <stp>21/11/2016</stp>
        <stp>[Bbg_Market_Data_CL.xlsm]data!R97C17</stp>
        <tr r="Q97" s="1"/>
      </tp>
      <tp t="s">
        <v>#N/A Requesting Data...</v>
        <stp/>
        <stp>##V3_BDHV12</stp>
        <stp>CL1 Comdty</stp>
        <stp>VOLATILITY_30D</stp>
        <stp>13/03/2017</stp>
        <stp>13/03/2017</stp>
        <stp>[Bbg_Market_Data_CL.xlsm]data!R22C18</stp>
        <tr r="R22" s="1"/>
      </tp>
      <tp>
        <v>23.93</v>
        <stp/>
        <stp>##V3_BDHV12</stp>
        <stp>CL2 Comdty</stp>
        <stp>VOLATILITY_30D</stp>
        <stp>10/03/2017</stp>
        <stp>10/03/2017</stp>
        <stp>[Bbg_Market_Data_CL.xlsm]data!R23C18</stp>
        <tr r="R23" s="1"/>
      </tp>
      <tp>
        <v>19.059999999999999</v>
        <stp/>
        <stp>##V3_BDHV12</stp>
        <stp>CL2 Comdty</stp>
        <stp>VOLATILITY_10D</stp>
        <stp>02/02/2017</stp>
        <stp>02/02/2017</stp>
        <stp>[Bbg_Market_Data_CL.xlsm]data!R48C17</stp>
        <tr r="Q48" s="1"/>
      </tp>
      <tp t="s">
        <v>#N/A Requesting Data...</v>
        <stp/>
        <stp>##V3_BDHV12</stp>
        <stp>CL1 Comdty</stp>
        <stp>VOLATILITY_30D</stp>
        <stp>23/11/2016</stp>
        <stp>23/11/2016</stp>
        <stp>[Bbg_Market_Data_CL.xlsm]data!R95C18</stp>
        <tr r="R95" s="1"/>
      </tp>
      <tp t="s">
        <v>#N/A Requesting Data...</v>
        <stp/>
        <stp>##V3_BDHV12</stp>
        <stp>CL1 Comdty</stp>
        <stp>VOLATILITY_10D</stp>
        <stp>31/01/2017</stp>
        <stp>31/01/2017</stp>
        <stp>[Bbg_Market_Data_CL.xlsm]data!R50C17</stp>
        <tr r="Q50" s="1"/>
      </tp>
      <tp t="s">
        <v>#N/A Requesting Data...</v>
        <stp/>
        <stp>##V3_BDHV12</stp>
        <stp>CL1 Comdty</stp>
        <stp>VOLATILITY_30D</stp>
        <stp>13/12/2016</stp>
        <stp>13/12/2016</stp>
        <stp>[Bbg_Market_Data_CL.xlsm]data!R82C18</stp>
        <tr r="R82" s="1"/>
      </tp>
      <tp t="s">
        <v>#N/A Requesting Data...</v>
        <stp/>
        <stp>##V3_BDHV12</stp>
        <stp>CL1 Comdty</stp>
        <stp>VOLATILITY_10D</stp>
        <stp>01/02/2017</stp>
        <stp>01/02/2017</stp>
        <stp>[Bbg_Market_Data_CL.xlsm]data!R49C17</stp>
        <tr r="Q49" s="1"/>
      </tp>
      <tp>
        <v>372472</v>
        <stp/>
        <stp>##V3_BDHV12</stp>
        <stp>CL2 Comdty</stp>
        <stp>PX_VOLUME</stp>
        <stp>18/11/2015</stp>
        <stp>18/11/2015</stp>
        <stp>[Bbg_Market_Data_CL.xlsm]data!R347C8</stp>
        <tr r="H347" s="1"/>
      </tp>
      <tp t="s">
        <v>#N/A Requesting Data...</v>
        <stp/>
        <stp>##V3_BDHV12</stp>
        <stp>CL1 Comdty</stp>
        <stp>PX_VOLUME</stp>
        <stp>18/11/2015</stp>
        <stp>18/11/2015</stp>
        <stp>[Bbg_Market_Data_CL.xlsm]data!R347C8</stp>
        <tr r="H347" s="1"/>
      </tp>
      <tp t="s">
        <v>#N/A Requesting Data...</v>
        <stp/>
        <stp>##V3_BDHV12</stp>
        <stp>CL1 Comdty</stp>
        <stp>PX_VOLUME</stp>
        <stp>08/04/2016</stp>
        <stp>08/04/2016</stp>
        <stp>[Bbg_Market_Data_CL.xlsm]data!R252C8</stp>
        <tr r="H252" s="1"/>
      </tp>
      <tp>
        <v>389590</v>
        <stp/>
        <stp>##V3_BDHV12</stp>
        <stp>CL2 Comdty</stp>
        <stp>PX_VOLUME</stp>
        <stp>08/04/2016</stp>
        <stp>08/04/2016</stp>
        <stp>[Bbg_Market_Data_CL.xlsm]data!R252C8</stp>
        <tr r="H252" s="1"/>
      </tp>
      <tp t="s">
        <v>#N/A Requesting Data...</v>
        <stp/>
        <stp>##V3_BDHV12</stp>
        <stp>CL1 Comdty</stp>
        <stp>PX_VOLUME</stp>
        <stp>19/06/2015</stp>
        <stp>19/06/2015</stp>
        <stp>[Bbg_Market_Data_CL.xlsm]data!R451C8</stp>
        <tr r="H451" s="1"/>
      </tp>
      <tp t="s">
        <v>#N/A Requesting Data...</v>
        <stp/>
        <stp>##V3_BDHV12</stp>
        <stp>CL1 Comdty</stp>
        <stp>PX_VOLUME</stp>
        <stp>08/06/2015</stp>
        <stp>08/06/2015</stp>
        <stp>[Bbg_Market_Data_CL.xlsm]data!R460C8</stp>
        <tr r="H460" s="1"/>
      </tp>
      <tp t="s">
        <v>#N/A Requesting Data...</v>
        <stp/>
        <stp>##V3_BDHV12</stp>
        <stp>CL2 Comdty</stp>
        <stp>PX_VOLUME</stp>
        <stp>08/06/2015</stp>
        <stp>08/06/2015</stp>
        <stp>[Bbg_Market_Data_CL.xlsm]data!R460C8</stp>
        <tr r="H460" s="1"/>
      </tp>
      <tp t="s">
        <v>#N/A Requesting Data...</v>
        <stp/>
        <stp>##V3_BDHV12</stp>
        <stp>CL2 Comdty</stp>
        <stp>PX_VOLUME</stp>
        <stp>19/06/2015</stp>
        <stp>19/06/2015</stp>
        <stp>[Bbg_Market_Data_CL.xlsm]data!R451C8</stp>
        <tr r="H451" s="1"/>
      </tp>
      <tp t="s">
        <v>#N/A Requesting Data...</v>
        <stp/>
        <stp>##V3_BDHV12</stp>
        <stp>CL1 Comdty</stp>
        <stp>PX_VOLUME</stp>
        <stp>08/06/2016</stp>
        <stp>08/06/2016</stp>
        <stp>[Bbg_Market_Data_CL.xlsm]data!R210C8</stp>
        <tr r="H210" s="1"/>
      </tp>
      <tp>
        <v>264101</v>
        <stp/>
        <stp>##V3_BDHV12</stp>
        <stp>CL2 Comdty</stp>
        <stp>PX_VOLUME</stp>
        <stp>08/06/2016</stp>
        <stp>08/06/2016</stp>
        <stp>[Bbg_Market_Data_CL.xlsm]data!R210C8</stp>
        <tr r="H210" s="1"/>
      </tp>
      <tp t="s">
        <v>#N/A Requesting Data...</v>
        <stp/>
        <stp>##V3_BDHV12</stp>
        <stp>CL1 Comdty</stp>
        <stp>PX_VOLUME</stp>
        <stp>05/05/2016</stp>
        <stp>05/05/2016</stp>
        <stp>[Bbg_Market_Data_CL.xlsm]data!R233C8</stp>
        <tr r="H233" s="1"/>
      </tp>
      <tp>
        <v>116896</v>
        <stp/>
        <stp>##V3_BDHV12</stp>
        <stp>CL2 Comdty</stp>
        <stp>PX_VOLUME</stp>
        <stp>26/04/2016</stp>
        <stp>26/04/2016</stp>
        <stp>[Bbg_Market_Data_CL.xlsm]data!R240C8</stp>
        <tr r="H240" s="1"/>
      </tp>
      <tp>
        <v>195466</v>
        <stp/>
        <stp>##V3_BDHV12</stp>
        <stp>CL2 Comdty</stp>
        <stp>PX_VOLUME</stp>
        <stp>05/05/2016</stp>
        <stp>05/05/2016</stp>
        <stp>[Bbg_Market_Data_CL.xlsm]data!R233C8</stp>
        <tr r="H233" s="1"/>
      </tp>
      <tp t="s">
        <v>#N/A Requesting Data...</v>
        <stp/>
        <stp>##V3_BDHV12</stp>
        <stp>CL1 Comdty</stp>
        <stp>PX_VOLUME</stp>
        <stp>26/04/2016</stp>
        <stp>26/04/2016</stp>
        <stp>[Bbg_Market_Data_CL.xlsm]data!R240C8</stp>
        <tr r="H240" s="1"/>
      </tp>
      <tp t="s">
        <v>#N/A Requesting Data...</v>
        <stp/>
        <stp>##V3_BDHV12</stp>
        <stp>CL1 Comdty</stp>
        <stp>PX_VOLUME</stp>
        <stp>24/04/2015</stp>
        <stp>24/04/2015</stp>
        <stp>[Bbg_Market_Data_CL.xlsm]data!R490C8</stp>
        <tr r="H490" s="1"/>
      </tp>
      <tp t="s">
        <v>#N/A Requesting Data...</v>
        <stp/>
        <stp>##V3_BDHV12</stp>
        <stp>CL2 Comdty</stp>
        <stp>PX_VOLUME</stp>
        <stp>24/04/2015</stp>
        <stp>24/04/2015</stp>
        <stp>[Bbg_Market_Data_CL.xlsm]data!R490C8</stp>
        <tr r="H490" s="1"/>
      </tp>
      <tp t="s">
        <v>#N/A Requesting Data...</v>
        <stp/>
        <stp>##V3_BDHV12</stp>
        <stp>CL1 Comdty</stp>
        <stp>PX_VOLUME</stp>
        <stp>06/07/2016</stp>
        <stp>06/07/2016</stp>
        <stp>[Bbg_Market_Data_CL.xlsm]data!R191C8</stp>
        <tr r="H191" s="1"/>
      </tp>
      <tp>
        <v>217435</v>
        <stp/>
        <stp>##V3_BDHV12</stp>
        <stp>CL2 Comdty</stp>
        <stp>PX_VOLUME</stp>
        <stp>06/07/2016</stp>
        <stp>06/07/2016</stp>
        <stp>[Bbg_Market_Data_CL.xlsm]data!R191C8</stp>
        <tr r="H191" s="1"/>
      </tp>
      <tp t="s">
        <v>#N/A Requesting Data...</v>
        <stp/>
        <stp>##V3_BDHV12</stp>
        <stp>CL1 Comdty</stp>
        <stp>PX_VOLUME</stp>
        <stp>21/01/2016</stp>
        <stp>21/01/2016</stp>
        <stp>[Bbg_Market_Data_CL.xlsm]data!R305C8</stp>
        <tr r="H305" s="1"/>
      </tp>
      <tp t="s">
        <v>#N/A Requesting Data...</v>
        <stp/>
        <stp>##V3_BDHV12</stp>
        <stp>CL2 Comdty</stp>
        <stp>PX_VOLUME</stp>
        <stp>06/07/2015</stp>
        <stp>06/07/2015</stp>
        <stp>[Bbg_Market_Data_CL.xlsm]data!R441C8</stp>
        <tr r="H441" s="1"/>
      </tp>
      <tp>
        <v>151646</v>
        <stp/>
        <stp>##V3_BDHV12</stp>
        <stp>CL2 Comdty</stp>
        <stp>PX_VOLUME</stp>
        <stp>21/01/2016</stp>
        <stp>21/01/2016</stp>
        <stp>[Bbg_Market_Data_CL.xlsm]data!R305C8</stp>
        <tr r="H305" s="1"/>
      </tp>
      <tp t="s">
        <v>#N/A Requesting Data...</v>
        <stp/>
        <stp>##V3_BDHV12</stp>
        <stp>CL1 Comdty</stp>
        <stp>PX_VOLUME</stp>
        <stp>06/07/2015</stp>
        <stp>06/07/2015</stp>
        <stp>[Bbg_Market_Data_CL.xlsm]data!R441C8</stp>
        <tr r="H441" s="1"/>
      </tp>
      <tp t="s">
        <v>#N/A Requesting Data...</v>
        <stp/>
        <stp>##V3_BDHV12</stp>
        <stp>CL1 Comdty</stp>
        <stp>PX_VOLUME</stp>
        <stp>05/05/2015</stp>
        <stp>05/05/2015</stp>
        <stp>[Bbg_Market_Data_CL.xlsm]data!R483C8</stp>
        <tr r="H483" s="1"/>
      </tp>
      <tp t="s">
        <v>#N/A Requesting Data...</v>
        <stp/>
        <stp>##V3_BDHV12</stp>
        <stp>CL1 Comdty</stp>
        <stp>PX_VOLUME</stp>
        <stp>22/10/2015</stp>
        <stp>22/10/2015</stp>
        <stp>[Bbg_Market_Data_CL.xlsm]data!R365C8</stp>
        <tr r="H365" s="1"/>
      </tp>
      <tp t="s">
        <v>#N/A Requesting Data...</v>
        <stp/>
        <stp>##V3_BDHV12</stp>
        <stp>CL1 Comdty</stp>
        <stp>PX_VOLUME</stp>
        <stp>23/11/2015</stp>
        <stp>23/11/2015</stp>
        <stp>[Bbg_Market_Data_CL.xlsm]data!R344C8</stp>
        <tr r="H344" s="1"/>
      </tp>
      <tp>
        <v>126149</v>
        <stp/>
        <stp>##V3_BDHV12</stp>
        <stp>CL2 Comdty</stp>
        <stp>PX_VOLUME</stp>
        <stp>23/11/2015</stp>
        <stp>23/11/2015</stp>
        <stp>[Bbg_Market_Data_CL.xlsm]data!R344C8</stp>
        <tr r="H344" s="1"/>
      </tp>
      <tp t="s">
        <v>#N/A Requesting Data...</v>
        <stp/>
        <stp>##V3_BDHV12</stp>
        <stp>CL2 Comdty</stp>
        <stp>PX_VOLUME</stp>
        <stp>05/05/2015</stp>
        <stp>05/05/2015</stp>
        <stp>[Bbg_Market_Data_CL.xlsm]data!R483C8</stp>
        <tr r="H483" s="1"/>
      </tp>
      <tp>
        <v>93438</v>
        <stp/>
        <stp>##V3_BDHV12</stp>
        <stp>CL2 Comdty</stp>
        <stp>PX_VOLUME</stp>
        <stp>22/10/2015</stp>
        <stp>22/10/2015</stp>
        <stp>[Bbg_Market_Data_CL.xlsm]data!R365C8</stp>
        <tr r="H365" s="1"/>
      </tp>
      <tp>
        <v>86278</v>
        <stp/>
        <stp>##V3_BDHV12</stp>
        <stp>CL2 Comdty</stp>
        <stp>PX_VOLUME</stp>
        <stp>23/05/2016</stp>
        <stp>23/05/2016</stp>
        <stp>[Bbg_Market_Data_CL.xlsm]data!R221C8</stp>
        <tr r="H221" s="1"/>
      </tp>
      <tp t="s">
        <v>#N/A Requesting Data...</v>
        <stp/>
        <stp>##V3_BDHV12</stp>
        <stp>CL1 Comdty</stp>
        <stp>PX_VOLUME</stp>
        <stp>20/06/2016</stp>
        <stp>20/06/2016</stp>
        <stp>[Bbg_Market_Data_CL.xlsm]data!R202C8</stp>
        <tr r="H202" s="1"/>
      </tp>
      <tp t="s">
        <v>#N/A Requesting Data...</v>
        <stp/>
        <stp>##V3_BDHV12</stp>
        <stp>CL1 Comdty</stp>
        <stp>PX_VOLUME</stp>
        <stp>23/05/2016</stp>
        <stp>23/05/2016</stp>
        <stp>[Bbg_Market_Data_CL.xlsm]data!R221C8</stp>
        <tr r="H221" s="1"/>
      </tp>
      <tp>
        <v>453610</v>
        <stp/>
        <stp>##V3_BDHV12</stp>
        <stp>CL2 Comdty</stp>
        <stp>PX_VOLUME</stp>
        <stp>20/06/2016</stp>
        <stp>20/06/2016</stp>
        <stp>[Bbg_Market_Data_CL.xlsm]data!R202C8</stp>
        <tr r="H202" s="1"/>
      </tp>
      <tp>
        <v>289860</v>
        <stp/>
        <stp>##V3_BDHV12</stp>
        <stp>CL2 Comdty</stp>
        <stp>PX_VOLUME</stp>
        <stp>07/03/2016</stp>
        <stp>07/03/2016</stp>
        <stp>[Bbg_Market_Data_CL.xlsm]data!R275C8</stp>
        <tr r="H275" s="1"/>
      </tp>
      <tp t="s">
        <v>#N/A Requesting Data...</v>
        <stp/>
        <stp>##V3_BDHV12</stp>
        <stp>CL1 Comdty</stp>
        <stp>PX_VOLUME</stp>
        <stp>07/03/2016</stp>
        <stp>07/03/2016</stp>
        <stp>[Bbg_Market_Data_CL.xlsm]data!R275C8</stp>
        <tr r="H275" s="1"/>
      </tp>
      <tp t="s">
        <v>#N/A Requesting Data...</v>
        <stp/>
        <stp>##V3_BDHV12</stp>
        <stp>CL1 Comdty</stp>
        <stp>PX_VOLUME</stp>
        <stp>21/05/2015</stp>
        <stp>21/05/2015</stp>
        <stp>[Bbg_Market_Data_CL.xlsm]data!R471C8</stp>
        <tr r="H471" s="1"/>
      </tp>
      <tp t="s">
        <v>#N/A Requesting Data...</v>
        <stp/>
        <stp>##V3_BDHV12</stp>
        <stp>CL1 Comdty</stp>
        <stp>PX_VOLUME</stp>
        <stp>04/01/2016</stp>
        <stp>04/01/2016</stp>
        <stp>[Bbg_Market_Data_CL.xlsm]data!R317C8</stp>
        <tr r="H317" s="1"/>
      </tp>
      <tp>
        <v>108270</v>
        <stp/>
        <stp>##V3_BDHV12</stp>
        <stp>CL2 Comdty</stp>
        <stp>PX_VOLUME</stp>
        <stp>04/01/2016</stp>
        <stp>04/01/2016</stp>
        <stp>[Bbg_Market_Data_CL.xlsm]data!R317C8</stp>
        <tr r="H317" s="1"/>
      </tp>
      <tp t="s">
        <v>#N/A Requesting Data...</v>
        <stp/>
        <stp>##V3_BDHV12</stp>
        <stp>CL2 Comdty</stp>
        <stp>PX_VOLUME</stp>
        <stp>21/05/2015</stp>
        <stp>21/05/2015</stp>
        <stp>[Bbg_Market_Data_CL.xlsm]data!R471C8</stp>
        <tr r="H471" s="1"/>
      </tp>
      <tp t="s">
        <v>#N/A Requesting Data...</v>
        <stp/>
        <stp>##V3_BDHV12</stp>
        <stp>CL1 Comdty</stp>
        <stp>PX_VOLUME</stp>
        <stp>31/07/2015</stp>
        <stp>31/07/2015</stp>
        <stp>[Bbg_Market_Data_CL.xlsm]data!R422C8</stp>
        <tr r="H422" s="1"/>
      </tp>
      <tp t="s">
        <v>#N/A Requesting Data...</v>
        <stp/>
        <stp>##V3_BDHV12</stp>
        <stp>CL1 Comdty</stp>
        <stp>PX_VOLUME</stp>
        <stp>07/11/2016</stp>
        <stp>07/11/2016</stp>
        <stp>[Bbg_Market_Data_CL.xlsm]data!R106C8</stp>
        <tr r="H106" s="1"/>
      </tp>
      <tp>
        <v>124845</v>
        <stp/>
        <stp>##V3_BDHV12</stp>
        <stp>CL2 Comdty</stp>
        <stp>PX_VOLUME</stp>
        <stp>05/10/2015</stp>
        <stp>05/10/2015</stp>
        <stp>[Bbg_Market_Data_CL.xlsm]data!R377C8</stp>
        <tr r="H377" s="1"/>
      </tp>
      <tp t="s">
        <v>#N/A Requesting Data...</v>
        <stp/>
        <stp>##V3_BDHV12</stp>
        <stp>CL1 Comdty</stp>
        <stp>PX_VOLUME</stp>
        <stp>06/10/2016</stp>
        <stp>06/10/2016</stp>
        <stp>[Bbg_Market_Data_CL.xlsm]data!R127C8</stp>
        <tr r="H127" s="1"/>
      </tp>
      <tp t="s">
        <v>#N/A Requesting Data...</v>
        <stp/>
        <stp>##V3_BDHV12</stp>
        <stp>CL1 Comdty</stp>
        <stp>PX_VOLUME</stp>
        <stp>07/12/2015</stp>
        <stp>07/12/2015</stp>
        <stp>[Bbg_Market_Data_CL.xlsm]data!R335C8</stp>
        <tr r="H335" s="1"/>
      </tp>
      <tp>
        <v>106894</v>
        <stp/>
        <stp>##V3_BDHV12</stp>
        <stp>CL2 Comdty</stp>
        <stp>PX_VOLUME</stp>
        <stp>04/11/2015</stp>
        <stp>04/11/2015</stp>
        <stp>[Bbg_Market_Data_CL.xlsm]data!R356C8</stp>
        <tr r="H356" s="1"/>
      </tp>
      <tp>
        <v>258091</v>
        <stp/>
        <stp>##V3_BDHV12</stp>
        <stp>CL2 Comdty</stp>
        <stp>PX_VOLUME</stp>
        <stp>06/10/2016</stp>
        <stp>06/10/2016</stp>
        <stp>[Bbg_Market_Data_CL.xlsm]data!R127C8</stp>
        <tr r="H127" s="1"/>
      </tp>
      <tp>
        <v>264152</v>
        <stp/>
        <stp>##V3_BDHV12</stp>
        <stp>CL2 Comdty</stp>
        <stp>PX_VOLUME</stp>
        <stp>07/12/2015</stp>
        <stp>07/12/2015</stp>
        <stp>[Bbg_Market_Data_CL.xlsm]data!R335C8</stp>
        <tr r="H335" s="1"/>
      </tp>
      <tp t="s">
        <v>#N/A Requesting Data...</v>
        <stp/>
        <stp>##V3_BDHV12</stp>
        <stp>CL1 Comdty</stp>
        <stp>PX_VOLUME</stp>
        <stp>04/11/2015</stp>
        <stp>04/11/2015</stp>
        <stp>[Bbg_Market_Data_CL.xlsm]data!R356C8</stp>
        <tr r="H356" s="1"/>
      </tp>
      <tp t="s">
        <v>#N/A Requesting Data...</v>
        <stp/>
        <stp>##V3_BDHV12</stp>
        <stp>CL2 Comdty</stp>
        <stp>PX_VOLUME</stp>
        <stp>31/07/2015</stp>
        <stp>31/07/2015</stp>
        <stp>[Bbg_Market_Data_CL.xlsm]data!R422C8</stp>
        <tr r="H422" s="1"/>
      </tp>
      <tp>
        <v>257429</v>
        <stp/>
        <stp>##V3_BDHV12</stp>
        <stp>CL2 Comdty</stp>
        <stp>PX_VOLUME</stp>
        <stp>07/11/2016</stp>
        <stp>07/11/2016</stp>
        <stp>[Bbg_Market_Data_CL.xlsm]data!R106C8</stp>
        <tr r="H106" s="1"/>
      </tp>
      <tp t="s">
        <v>#N/A Requesting Data...</v>
        <stp/>
        <stp>##V3_BDHV12</stp>
        <stp>CL1 Comdty</stp>
        <stp>PX_VOLUME</stp>
        <stp>05/10/2015</stp>
        <stp>05/10/2015</stp>
        <stp>[Bbg_Market_Data_CL.xlsm]data!R377C8</stp>
        <tr r="H377" s="1"/>
      </tp>
      <tp t="s">
        <v>#N/A Requesting Data...</v>
        <stp/>
        <stp>##V3_BDHV12</stp>
        <stp>CL1 Comdty</stp>
        <stp>PX_VOLUME</stp>
        <stp>05/02/2016</stp>
        <stp>05/02/2016</stp>
        <stp>[Bbg_Market_Data_CL.xlsm]data!R294C8</stp>
        <tr r="H294" s="1"/>
      </tp>
      <tp>
        <v>123983</v>
        <stp/>
        <stp>##V3_BDHV12</stp>
        <stp>CL2 Comdty</stp>
        <stp>PX_VOLUME</stp>
        <stp>25/10/2016</stp>
        <stp>25/10/2016</stp>
        <stp>[Bbg_Market_Data_CL.xlsm]data!R115C8</stp>
        <tr r="H115" s="1"/>
      </tp>
      <tp>
        <v>233780</v>
        <stp/>
        <stp>##V3_BDHV12</stp>
        <stp>CL2 Comdty</stp>
        <stp>PX_VOLUME</stp>
        <stp>05/02/2016</stp>
        <stp>05/02/2016</stp>
        <stp>[Bbg_Market_Data_CL.xlsm]data!R294C8</stp>
        <tr r="H294" s="1"/>
      </tp>
      <tp t="s">
        <v>#N/A Requesting Data...</v>
        <stp/>
        <stp>##V3_BDHV12</stp>
        <stp>CL1 Comdty</stp>
        <stp>PX_VOLUME</stp>
        <stp>25/10/2016</stp>
        <stp>25/10/2016</stp>
        <stp>[Bbg_Market_Data_CL.xlsm]data!R115C8</stp>
        <tr r="H115" s="1"/>
      </tp>
      <tp t="s">
        <v>#N/A Requesting Data...</v>
        <stp/>
        <stp>##V3_BDHV12</stp>
        <stp>SPGSCLP Index</stp>
        <stp>CHG_PCT_1D</stp>
        <stp>03/01/2017</stp>
        <stp>03/01/2017</stp>
        <stp>[Bbg_Market_Data_CL.xlsm]data!R69C3</stp>
        <tr r="C69" s="1"/>
      </tp>
      <tp t="s">
        <v>#N/A Requesting Data...</v>
        <stp/>
        <stp>##V3_BDHV12</stp>
        <stp>SPGSCLP Index</stp>
        <stp>CHG_PCT_5D</stp>
        <stp>03/01/2017</stp>
        <stp>03/01/2017</stp>
        <stp>[Bbg_Market_Data_CL.xlsm]data!R69C4</stp>
        <tr r="D69" s="1"/>
      </tp>
      <tp t="s">
        <v>#N/A Requesting Data...</v>
        <stp/>
        <stp>##V3_BDHV12</stp>
        <stp>SPGSCLP Index</stp>
        <stp>CHG_PCT_1D</stp>
        <stp>18/11/2016</stp>
        <stp>18/11/2016</stp>
        <stp>[Bbg_Market_Data_CL.xlsm]data!R98C3</stp>
        <tr r="C98" s="1"/>
      </tp>
      <tp t="s">
        <v>#N/A Requesting Data...</v>
        <stp/>
        <stp>##V3_BDHV12</stp>
        <stp>SPGSCLP Index</stp>
        <stp>CHG_PCT_5D</stp>
        <stp>18/11/2016</stp>
        <stp>18/11/2016</stp>
        <stp>[Bbg_Market_Data_CL.xlsm]data!R98C4</stp>
        <tr r="D98" s="1"/>
      </tp>
      <tp t="s">
        <v>#N/A Requesting Data...</v>
        <stp/>
        <stp>##V3_BDHV12</stp>
        <stp>SPGSCLP Index</stp>
        <stp>CHG_PCT_1D</stp>
        <stp>18/01/2017</stp>
        <stp>18/01/2017</stp>
        <stp>[Bbg_Market_Data_CL.xlsm]data!R59C3</stp>
        <tr r="C59" s="1"/>
      </tp>
      <tp t="s">
        <v>#N/A Requesting Data...</v>
        <stp/>
        <stp>##V3_BDHV12</stp>
        <stp>SPGSCLP Index</stp>
        <stp>CHG_PCT_5D</stp>
        <stp>18/01/2017</stp>
        <stp>18/01/2017</stp>
        <stp>[Bbg_Market_Data_CL.xlsm]data!R59C4</stp>
        <tr r="D59" s="1"/>
      </tp>
      <tp t="s">
        <v>#N/A Requesting Data...</v>
        <stp/>
        <stp>##V3_BDHV12</stp>
        <stp>SPGSCLP Index</stp>
        <stp>CHG_PCT_5D</stp>
        <stp>05/12/2016</stp>
        <stp>05/12/2016</stp>
        <stp>[Bbg_Market_Data_CL.xlsm]data!R88C4</stp>
        <tr r="D88" s="1"/>
      </tp>
      <tp t="s">
        <v>#N/A Requesting Data...</v>
        <stp/>
        <stp>##V3_BDHV12</stp>
        <stp>SPGSCLP Index</stp>
        <stp>CHG_PCT_5D</stp>
        <stp>15/02/2017</stp>
        <stp>15/02/2017</stp>
        <stp>[Bbg_Market_Data_CL.xlsm]data!R39C4</stp>
        <tr r="D39" s="1"/>
      </tp>
      <tp t="s">
        <v>#N/A Requesting Data...</v>
        <stp/>
        <stp>##V3_BDHV12</stp>
        <stp>SPGSCLP Index</stp>
        <stp>CHG_PCT_1D</stp>
        <stp>02/03/2017</stp>
        <stp>02/03/2017</stp>
        <stp>[Bbg_Market_Data_CL.xlsm]data!R29C3</stp>
        <tr r="C29" s="1"/>
      </tp>
      <tp t="s">
        <v>#N/A Requesting Data...</v>
        <stp/>
        <stp>##V3_BDHV12</stp>
        <stp>SPGSCLP Index</stp>
        <stp>CHG_PCT_1D</stp>
        <stp>05/12/2016</stp>
        <stp>05/12/2016</stp>
        <stp>[Bbg_Market_Data_CL.xlsm]data!R88C3</stp>
        <tr r="C88" s="1"/>
      </tp>
      <tp t="s">
        <v>#N/A Requesting Data...</v>
        <stp/>
        <stp>##V3_BDHV12</stp>
        <stp>SPGSCLP Index</stp>
        <stp>CHG_PCT_1D</stp>
        <stp>15/02/2017</stp>
        <stp>15/02/2017</stp>
        <stp>[Bbg_Market_Data_CL.xlsm]data!R39C3</stp>
        <tr r="C39" s="1"/>
      </tp>
      <tp t="s">
        <v>#N/A Requesting Data...</v>
        <stp/>
        <stp>##V3_BDHV12</stp>
        <stp>SPGSCLP Index</stp>
        <stp>CHG_PCT_5D</stp>
        <stp>02/03/2017</stp>
        <stp>02/03/2017</stp>
        <stp>[Bbg_Market_Data_CL.xlsm]data!R29C4</stp>
        <tr r="D29" s="1"/>
      </tp>
      <tp t="s">
        <v>#N/A Requesting Data...</v>
        <stp/>
        <stp>##V3_BDHV12</stp>
        <stp>SPGSCLP Index</stp>
        <stp>CHG_PCT_5D</stp>
        <stp>16/03/2017</stp>
        <stp>16/03/2017</stp>
        <stp>[Bbg_Market_Data_CL.xlsm]data!R19C4</stp>
        <tr r="D19" s="1"/>
      </tp>
      <tp t="s">
        <v>#N/A Requesting Data...</v>
        <stp/>
        <stp>##V3_BDHV12</stp>
        <stp>SPGSCLP Index</stp>
        <stp>CHG_PCT_1D</stp>
        <stp>01/02/2017</stp>
        <stp>01/02/2017</stp>
        <stp>[Bbg_Market_Data_CL.xlsm]data!R49C3</stp>
        <tr r="C49" s="1"/>
      </tp>
      <tp t="s">
        <v>#N/A Requesting Data...</v>
        <stp/>
        <stp>##V3_BDHV12</stp>
        <stp>SPGSCLP Index</stp>
        <stp>CHG_PCT_5D</stp>
        <stp>01/02/2017</stp>
        <stp>01/02/2017</stp>
        <stp>[Bbg_Market_Data_CL.xlsm]data!R49C4</stp>
        <tr r="D49" s="1"/>
      </tp>
      <tp t="s">
        <v>#N/A Requesting Data...</v>
        <stp/>
        <stp>##V3_BDHV12</stp>
        <stp>SPGSCLP Index</stp>
        <stp>CHG_PCT_1D</stp>
        <stp>16/03/2017</stp>
        <stp>16/03/2017</stp>
        <stp>[Bbg_Market_Data_CL.xlsm]data!R19C3</stp>
        <tr r="C19" s="1"/>
      </tp>
      <tp t="s">
        <v>#N/A Requesting Data...</v>
        <stp/>
        <stp>##V3_BDHV12</stp>
        <stp>SPGSCLP Index</stp>
        <stp>CHG_PCT_1D</stp>
        <stp>19/12/2016</stp>
        <stp>19/12/2016</stp>
        <stp>[Bbg_Market_Data_CL.xlsm]data!R78C3</stp>
        <tr r="C78" s="1"/>
      </tp>
      <tp t="s">
        <v>#N/A Requesting Data...</v>
        <stp/>
        <stp>##V3_BDHV12</stp>
        <stp>SPGSCLP Index</stp>
        <stp>CHG_PCT_5D</stp>
        <stp>19/12/2016</stp>
        <stp>19/12/2016</stp>
        <stp>[Bbg_Market_Data_CL.xlsm]data!R78C4</stp>
        <tr r="D78" s="1"/>
      </tp>
      <tp t="s">
        <v>#N/A Requesting Data...</v>
        <stp/>
        <stp>##V3_BDHV12</stp>
        <stp>CL1 Comdty</stp>
        <stp>30DAY_IMPVOL_105.0%MNY_DF</stp>
        <stp>28/12/2016</stp>
        <stp>28/12/2016</stp>
        <stp>[Bbg_Market_Data_CL.xlsm]data!R71C19</stp>
        <tr r="S71" s="1"/>
      </tp>
      <tp t="s">
        <v>#N/A Requesting Data...</v>
        <stp/>
        <stp>##V3_BDHV12</stp>
        <stp>CL1 Comdty</stp>
        <stp>30DAY_IMPVOL_105.0%MNY_DF</stp>
        <stp>28/03/2017</stp>
        <stp>28/03/2017</stp>
        <stp>[Bbg_Market_Data_CL.xlsm]data!R10C19</stp>
        <tr r="S10" s="1"/>
      </tp>
      <tp t="s">
        <v>#N/A Requesting Data...</v>
        <stp/>
        <stp>##V3_BDHV12</stp>
        <stp>CL1 Comdty</stp>
        <stp>30DAY_IMPVOL_105.0%MNY_DF</stp>
        <stp>18/11/2016</stp>
        <stp>18/11/2016</stp>
        <stp>[Bbg_Market_Data_CL.xlsm]data!R97C19</stp>
        <tr r="S97" s="1"/>
      </tp>
      <tp t="s">
        <v>#N/A Requesting Data...</v>
        <stp/>
        <stp>##V3_BDHV12</stp>
        <stp>CL1 Comdty</stp>
        <stp>30DAY_IMPVOL_105.0%MNY_DF</stp>
        <stp>29/12/2016</stp>
        <stp>29/12/2016</stp>
        <stp>[Bbg_Market_Data_CL.xlsm]data!R70C19</stp>
        <tr r="S70" s="1"/>
      </tp>
      <tp t="s">
        <v>#N/A Requesting Data...</v>
        <stp/>
        <stp>##V3_BDHV12</stp>
        <stp>CL1 Comdty</stp>
        <stp>30DAY_IMPVOL_105.0%MNY_DF</stp>
        <stp>09/01/2017</stp>
        <stp>09/01/2017</stp>
        <stp>[Bbg_Market_Data_CL.xlsm]data!R64C19</stp>
        <tr r="S64" s="1"/>
      </tp>
      <tp t="s">
        <v>#N/A Requesting Data...</v>
        <stp/>
        <stp>##V3_BDHV12</stp>
        <stp>CL1 Comdty</stp>
        <stp>30DAY_IMPVOL_110.0%MNY_DF</stp>
        <stp>18/11/2016</stp>
        <stp>18/11/2016</stp>
        <stp>[Bbg_Market_Data_CL.xlsm]data!R97C22</stp>
        <tr r="V97" s="1"/>
      </tp>
      <tp t="s">
        <v>#N/A Requesting Data...</v>
        <stp/>
        <stp>##V3_BDHV12</stp>
        <stp>CL1 Comdty</stp>
        <stp>30DAY_IMPVOL_110.0%MNY_DF</stp>
        <stp>28/03/2017</stp>
        <stp>28/03/2017</stp>
        <stp>[Bbg_Market_Data_CL.xlsm]data!R10C22</stp>
        <tr r="V10" s="1"/>
      </tp>
      <tp t="s">
        <v>#N/A Requesting Data...</v>
        <stp/>
        <stp>##V3_BDHV12</stp>
        <stp>CL1 Comdty</stp>
        <stp>30DAY_IMPVOL_110.0%MNY_DF</stp>
        <stp>28/12/2016</stp>
        <stp>28/12/2016</stp>
        <stp>[Bbg_Market_Data_CL.xlsm]data!R71C22</stp>
        <tr r="V71" s="1"/>
      </tp>
      <tp t="s">
        <v>#N/A Requesting Data...</v>
        <stp/>
        <stp>##V3_BDHV12</stp>
        <stp>CL1 Comdty</stp>
        <stp>30DAY_IMPVOL_100.0%MNY_DF</stp>
        <stp>29/12/2016</stp>
        <stp>29/12/2016</stp>
        <stp>[Bbg_Market_Data_CL.xlsm]data!R70C20</stp>
        <tr r="T70" s="1"/>
      </tp>
      <tp t="s">
        <v>#N/A Requesting Data...</v>
        <stp/>
        <stp>##V3_BDHV12</stp>
        <stp>CL1 Comdty</stp>
        <stp>30DAY_IMPVOL_100.0%MNY_DF</stp>
        <stp>09/01/2017</stp>
        <stp>09/01/2017</stp>
        <stp>[Bbg_Market_Data_CL.xlsm]data!R64C20</stp>
        <tr r="T64" s="1"/>
      </tp>
      <tp t="s">
        <v>#N/A Requesting Data...</v>
        <stp/>
        <stp>##V3_BDHV12</stp>
        <stp>CL1 Comdty</stp>
        <stp>30DAY_IMPVOL_100.0%MNY_DF</stp>
        <stp>18/11/2016</stp>
        <stp>18/11/2016</stp>
        <stp>[Bbg_Market_Data_CL.xlsm]data!R97C20</stp>
        <tr r="T97" s="1"/>
      </tp>
      <tp t="s">
        <v>#N/A Requesting Data...</v>
        <stp/>
        <stp>##V3_BDHV12</stp>
        <stp>CL1 Comdty</stp>
        <stp>30DAY_IMPVOL_100.0%MNY_DF</stp>
        <stp>28/03/2017</stp>
        <stp>28/03/2017</stp>
        <stp>[Bbg_Market_Data_CL.xlsm]data!R10C20</stp>
        <tr r="T10" s="1"/>
      </tp>
      <tp t="s">
        <v>#N/A Requesting Data...</v>
        <stp/>
        <stp>##V3_BDHV12</stp>
        <stp>CL1 Comdty</stp>
        <stp>30DAY_IMPVOL_110.0%MNY_DF</stp>
        <stp>29/12/2016</stp>
        <stp>29/12/2016</stp>
        <stp>[Bbg_Market_Data_CL.xlsm]data!R70C22</stp>
        <tr r="V70" s="1"/>
      </tp>
      <tp t="s">
        <v>#N/A Requesting Data...</v>
        <stp/>
        <stp>##V3_BDHV12</stp>
        <stp>CL1 Comdty</stp>
        <stp>30DAY_IMPVOL_110.0%MNY_DF</stp>
        <stp>09/01/2017</stp>
        <stp>09/01/2017</stp>
        <stp>[Bbg_Market_Data_CL.xlsm]data!R64C22</stp>
        <tr r="V64" s="1"/>
      </tp>
      <tp t="s">
        <v>#N/A Requesting Data...</v>
        <stp/>
        <stp>##V3_BDHV12</stp>
        <stp>CL1 Comdty</stp>
        <stp>30DAY_IMPVOL_100.0%MNY_DF</stp>
        <stp>28/12/2016</stp>
        <stp>28/12/2016</stp>
        <stp>[Bbg_Market_Data_CL.xlsm]data!R71C20</stp>
        <tr r="T71" s="1"/>
      </tp>
      <tp t="s">
        <v>#N/A Requesting Data...</v>
        <stp/>
        <stp>##V3_BDHV12</stp>
        <stp>CL1 Comdty</stp>
        <stp>30DAY_IMPVOL_110.0%MNY_DF</stp>
        <stp>22/03/2017</stp>
        <stp>22/03/2017</stp>
        <stp>[Bbg_Market_Data_CL.xlsm]data!R14C22</stp>
        <tr r="V14" s="1"/>
      </tp>
      <tp t="s">
        <v>#N/A Requesting Data...</v>
        <stp/>
        <stp>##V3_BDHV12</stp>
        <stp>CL1 Comdty</stp>
        <stp>30DAY_IMPVOL_100.0%MNY_DF</stp>
        <stp>23/03/2017</stp>
        <stp>23/03/2017</stp>
        <stp>[Bbg_Market_Data_CL.xlsm]data!R13C20</stp>
        <tr r="T13" s="1"/>
      </tp>
      <tp t="s">
        <v>#N/A Requesting Data...</v>
        <stp/>
        <stp>##V3_BDHV12</stp>
        <stp>CL1 Comdty</stp>
        <stp>30DAY_IMPVOL_100.0%MNY_DF</stp>
        <stp>23/12/2016</stp>
        <stp>23/12/2016</stp>
        <stp>[Bbg_Market_Data_CL.xlsm]data!R73C20</stp>
        <tr r="T73" s="1"/>
      </tp>
      <tp t="s">
        <v>#N/A Requesting Data...</v>
        <stp/>
        <stp>##V3_BDHV12</stp>
        <stp>CL1 Comdty</stp>
        <stp>30DAY_IMPVOL_100.0%MNY_DF</stp>
        <stp>03/01/2017</stp>
        <stp>03/01/2017</stp>
        <stp>[Bbg_Market_Data_CL.xlsm]data!R68C20</stp>
        <tr r="T68" s="1"/>
      </tp>
      <tp t="s">
        <v>#N/A Requesting Data...</v>
        <stp/>
        <stp>##V3_BDHV12</stp>
        <stp>CL1 Comdty</stp>
        <stp>30DAY_IMPVOL_110.0%MNY_DF</stp>
        <stp>22/12/2016</stp>
        <stp>22/12/2016</stp>
        <stp>[Bbg_Market_Data_CL.xlsm]data!R74C22</stp>
        <tr r="V74" s="1"/>
      </tp>
      <tp t="s">
        <v>#N/A Requesting Data...</v>
        <stp/>
        <stp>##V3_BDHV12</stp>
        <stp>CL1 Comdty</stp>
        <stp>30DAY_IMPVOL_105.0%MNY_DF</stp>
        <stp>20/12/2016</stp>
        <stp>20/12/2016</stp>
        <stp>[Bbg_Market_Data_CL.xlsm]data!R76C19</stp>
        <tr r="S76" s="1"/>
      </tp>
      <tp t="s">
        <v>#N/A Requesting Data...</v>
        <stp/>
        <stp>##V3_BDHV12</stp>
        <stp>CL1 Comdty</stp>
        <stp>30DAY_IMPVOL_105.0%MNY_DF</stp>
        <stp>20/03/2017</stp>
        <stp>20/03/2017</stp>
        <stp>[Bbg_Market_Data_CL.xlsm]data!R16C19</stp>
        <tr r="S16" s="1"/>
      </tp>
      <tp t="s">
        <v>#N/A Requesting Data...</v>
        <stp/>
        <stp>##V3_BDHV12</stp>
        <stp>CL1 Comdty</stp>
        <stp>30DAY_IMPVOL_110.0%MNY_DF</stp>
        <stp>23/03/2017</stp>
        <stp>23/03/2017</stp>
        <stp>[Bbg_Market_Data_CL.xlsm]data!R13C22</stp>
        <tr r="V13" s="1"/>
      </tp>
      <tp t="s">
        <v>#N/A Requesting Data...</v>
        <stp/>
        <stp>##V3_BDHV12</stp>
        <stp>CL1 Comdty</stp>
        <stp>30DAY_IMPVOL_100.0%MNY_DF</stp>
        <stp>22/03/2017</stp>
        <stp>22/03/2017</stp>
        <stp>[Bbg_Market_Data_CL.xlsm]data!R14C20</stp>
        <tr r="T14" s="1"/>
      </tp>
      <tp t="s">
        <v>#N/A Requesting Data...</v>
        <stp/>
        <stp>##V3_BDHV12</stp>
        <stp>CL1 Comdty</stp>
        <stp>30DAY_IMPVOL_100.0%MNY_DF</stp>
        <stp>22/12/2016</stp>
        <stp>22/12/2016</stp>
        <stp>[Bbg_Market_Data_CL.xlsm]data!R74C20</stp>
        <tr r="T74" s="1"/>
      </tp>
      <tp t="s">
        <v>#N/A Requesting Data...</v>
        <stp/>
        <stp>##V3_BDHV12</stp>
        <stp>CL1 Comdty</stp>
        <stp>30DAY_IMPVOL_110.0%MNY_DF</stp>
        <stp>23/12/2016</stp>
        <stp>23/12/2016</stp>
        <stp>[Bbg_Market_Data_CL.xlsm]data!R73C22</stp>
        <tr r="V73" s="1"/>
      </tp>
      <tp t="s">
        <v>#N/A Requesting Data...</v>
        <stp/>
        <stp>##V3_BDHV12</stp>
        <stp>CL1 Comdty</stp>
        <stp>30DAY_IMPVOL_110.0%MNY_DF</stp>
        <stp>03/01/2017</stp>
        <stp>03/01/2017</stp>
        <stp>[Bbg_Market_Data_CL.xlsm]data!R68C22</stp>
        <tr r="V68" s="1"/>
      </tp>
      <tp t="s">
        <v>#N/A Requesting Data...</v>
        <stp/>
        <stp>##V3_BDHV12</stp>
        <stp>CL1 Comdty</stp>
        <stp>30DAY_IMPVOL_105.0%MNY_DF</stp>
        <stp>21/12/2016</stp>
        <stp>21/12/2016</stp>
        <stp>[Bbg_Market_Data_CL.xlsm]data!R75C19</stp>
        <tr r="S75" s="1"/>
      </tp>
      <tp t="s">
        <v>#N/A Requesting Data...</v>
        <stp/>
        <stp>##V3_BDHV12</stp>
        <stp>CL1 Comdty</stp>
        <stp>30DAY_IMPVOL_105.0%MNY_DF</stp>
        <stp>21/03/2017</stp>
        <stp>21/03/2017</stp>
        <stp>[Bbg_Market_Data_CL.xlsm]data!R15C19</stp>
        <tr r="S15" s="1"/>
      </tp>
      <tp t="s">
        <v>#N/A Requesting Data...</v>
        <stp/>
        <stp>##V3_BDHV12</stp>
        <stp>CL1 Comdty</stp>
        <stp>30DAY_IMPVOL_100.0%MNY_DF</stp>
        <stp>21/03/2017</stp>
        <stp>21/03/2017</stp>
        <stp>[Bbg_Market_Data_CL.xlsm]data!R15C20</stp>
        <tr r="T15" s="1"/>
      </tp>
      <tp t="s">
        <v>#N/A Requesting Data...</v>
        <stp/>
        <stp>##V3_BDHV12</stp>
        <stp>CL1 Comdty</stp>
        <stp>30DAY_IMPVOL_110.0%MNY_DF</stp>
        <stp>20/03/2017</stp>
        <stp>20/03/2017</stp>
        <stp>[Bbg_Market_Data_CL.xlsm]data!R16C22</stp>
        <tr r="V16" s="1"/>
      </tp>
      <tp t="s">
        <v>#N/A Requesting Data...</v>
        <stp/>
        <stp>##V3_BDHV12</stp>
        <stp>CL1 Comdty</stp>
        <stp>30DAY_IMPVOL_110.0%MNY_DF</stp>
        <stp>20/12/2016</stp>
        <stp>20/12/2016</stp>
        <stp>[Bbg_Market_Data_CL.xlsm]data!R76C22</stp>
        <tr r="V76" s="1"/>
      </tp>
      <tp t="s">
        <v>#N/A Requesting Data...</v>
        <stp/>
        <stp>##V3_BDHV12</stp>
        <stp>CL1 Comdty</stp>
        <stp>30DAY_IMPVOL_100.0%MNY_DF</stp>
        <stp>21/12/2016</stp>
        <stp>21/12/2016</stp>
        <stp>[Bbg_Market_Data_CL.xlsm]data!R75C20</stp>
        <tr r="T75" s="1"/>
      </tp>
      <tp t="s">
        <v>#N/A Requesting Data...</v>
        <stp/>
        <stp>##V3_BDHV12</stp>
        <stp>CL1 Comdty</stp>
        <stp>30DAY_IMPVOL_105.0%MNY_DF</stp>
        <stp>22/12/2016</stp>
        <stp>22/12/2016</stp>
        <stp>[Bbg_Market_Data_CL.xlsm]data!R74C19</stp>
        <tr r="S74" s="1"/>
      </tp>
      <tp t="s">
        <v>#N/A Requesting Data...</v>
        <stp/>
        <stp>##V3_BDHV12</stp>
        <stp>CL1 Comdty</stp>
        <stp>30DAY_IMPVOL_105.0%MNY_DF</stp>
        <stp>22/03/2017</stp>
        <stp>22/03/2017</stp>
        <stp>[Bbg_Market_Data_CL.xlsm]data!R14C19</stp>
        <tr r="S14" s="1"/>
      </tp>
      <tp t="s">
        <v>#N/A Requesting Data...</v>
        <stp/>
        <stp>##V3_BDHV12</stp>
        <stp>CL1 Comdty</stp>
        <stp>30DAY_IMPVOL_100.0%MNY_DF</stp>
        <stp>20/03/2017</stp>
        <stp>20/03/2017</stp>
        <stp>[Bbg_Market_Data_CL.xlsm]data!R16C20</stp>
        <tr r="T16" s="1"/>
      </tp>
      <tp t="s">
        <v>#N/A Requesting Data...</v>
        <stp/>
        <stp>##V3_BDHV12</stp>
        <stp>CL1 Comdty</stp>
        <stp>30DAY_IMPVOL_110.0%MNY_DF</stp>
        <stp>21/03/2017</stp>
        <stp>21/03/2017</stp>
        <stp>[Bbg_Market_Data_CL.xlsm]data!R15C22</stp>
        <tr r="V15" s="1"/>
      </tp>
      <tp t="s">
        <v>#N/A Requesting Data...</v>
        <stp/>
        <stp>##V3_BDHV12</stp>
        <stp>CL1 Comdty</stp>
        <stp>30DAY_IMPVOL_110.0%MNY_DF</stp>
        <stp>21/12/2016</stp>
        <stp>21/12/2016</stp>
        <stp>[Bbg_Market_Data_CL.xlsm]data!R75C22</stp>
        <tr r="V75" s="1"/>
      </tp>
      <tp t="s">
        <v>#N/A Requesting Data...</v>
        <stp/>
        <stp>##V3_BDHV12</stp>
        <stp>CL1 Comdty</stp>
        <stp>30DAY_IMPVOL_100.0%MNY_DF</stp>
        <stp>20/12/2016</stp>
        <stp>20/12/2016</stp>
        <stp>[Bbg_Market_Data_CL.xlsm]data!R76C20</stp>
        <tr r="T76" s="1"/>
      </tp>
      <tp t="s">
        <v>#N/A Requesting Data...</v>
        <stp/>
        <stp>##V3_BDHV12</stp>
        <stp>CL1 Comdty</stp>
        <stp>30DAY_IMPVOL_105.0%MNY_DF</stp>
        <stp>23/12/2016</stp>
        <stp>23/12/2016</stp>
        <stp>[Bbg_Market_Data_CL.xlsm]data!R73C19</stp>
        <tr r="S73" s="1"/>
      </tp>
      <tp t="s">
        <v>#N/A Requesting Data...</v>
        <stp/>
        <stp>##V3_BDHV12</stp>
        <stp>CL1 Comdty</stp>
        <stp>30DAY_IMPVOL_105.0%MNY_DF</stp>
        <stp>03/01/2017</stp>
        <stp>03/01/2017</stp>
        <stp>[Bbg_Market_Data_CL.xlsm]data!R68C19</stp>
        <tr r="S68" s="1"/>
      </tp>
      <tp t="s">
        <v>#N/A Requesting Data...</v>
        <stp/>
        <stp>##V3_BDHV12</stp>
        <stp>CL1 Comdty</stp>
        <stp>30DAY_IMPVOL_105.0%MNY_DF</stp>
        <stp>23/03/2017</stp>
        <stp>23/03/2017</stp>
        <stp>[Bbg_Market_Data_CL.xlsm]data!R13C19</stp>
        <tr r="S13" s="1"/>
      </tp>
      <tp t="s">
        <v>#N/A Requesting Data...</v>
        <stp/>
        <stp>##V3_BDHV12</stp>
        <stp>CL1 Comdty</stp>
        <stp>30DAY_IMPVOL_100.0%MNY_DF</stp>
        <stp>27/12/2016</stp>
        <stp>27/12/2016</stp>
        <stp>[Bbg_Market_Data_CL.xlsm]data!R72C20</stp>
        <tr r="T72" s="1"/>
      </tp>
      <tp t="s">
        <v>#N/A Requesting Data...</v>
        <stp/>
        <stp>##V3_BDHV12</stp>
        <stp>CL1 Comdty</stp>
        <stp>30DAY_IMPVOL_110.0%MNY_DF</stp>
        <stp>06/01/2017</stp>
        <stp>06/01/2017</stp>
        <stp>[Bbg_Market_Data_CL.xlsm]data!R65C22</stp>
        <tr r="V65" s="1"/>
      </tp>
      <tp t="s">
        <v>#N/A Requesting Data...</v>
        <stp/>
        <stp>##V3_BDHV12</stp>
        <stp>CL1 Comdty</stp>
        <stp>30DAY_IMPVOL_100.0%MNY_DF</stp>
        <stp>27/03/2017</stp>
        <stp>27/03/2017</stp>
        <stp>[Bbg_Market_Data_CL.xlsm]data!R11C20</stp>
        <tr r="T11" s="1"/>
      </tp>
      <tp t="s">
        <v>#N/A Requesting Data...</v>
        <stp/>
        <stp>##V3_BDHV12</stp>
        <stp>CL1 Comdty</stp>
        <stp>30DAY_IMPVOL_105.0%MNY_DF</stp>
        <stp>24/03/2017</stp>
        <stp>24/03/2017</stp>
        <stp>[Bbg_Market_Data_CL.xlsm]data!R12C19</stp>
        <tr r="S12" s="1"/>
      </tp>
      <tp t="s">
        <v>#N/A Requesting Data...</v>
        <stp/>
        <stp>##V3_BDHV12</stp>
        <stp>CL1 Comdty</stp>
        <stp>30DAY_IMPVOL_110.0%MNY_DF</stp>
        <stp>16/11/2016</stp>
        <stp>16/11/2016</stp>
        <stp>[Bbg_Market_Data_CL.xlsm]data!R99C22</stp>
        <tr r="V99" s="1"/>
      </tp>
      <tp t="s">
        <v>#N/A Requesting Data...</v>
        <stp/>
        <stp>##V3_BDHV12</stp>
        <stp>CL1 Comdty</stp>
        <stp>30DAY_IMPVOL_100.0%MNY_DF</stp>
        <stp>17/11/2016</stp>
        <stp>17/11/2016</stp>
        <stp>[Bbg_Market_Data_CL.xlsm]data!R98C20</stp>
        <tr r="T98" s="1"/>
      </tp>
      <tp t="s">
        <v>#N/A Requesting Data...</v>
        <stp/>
        <stp>##V3_BDHV12</stp>
        <stp>CL1 Comdty</stp>
        <stp>30DAY_IMPVOL_105.0%MNY_DF</stp>
        <stp>04/01/2017</stp>
        <stp>04/01/2017</stp>
        <stp>[Bbg_Market_Data_CL.xlsm]data!R67C19</stp>
        <tr r="S67" s="1"/>
      </tp>
      <tp t="s">
        <v>#N/A Requesting Data...</v>
        <stp/>
        <stp>##V3_BDHV12</stp>
        <stp>CL1 Comdty</stp>
        <stp>30DAY_IMPVOL_100.0%MNY_DF</stp>
        <stp>06/01/2017</stp>
        <stp>06/01/2017</stp>
        <stp>[Bbg_Market_Data_CL.xlsm]data!R65C20</stp>
        <tr r="T65" s="1"/>
      </tp>
      <tp t="s">
        <v>#N/A Requesting Data...</v>
        <stp/>
        <stp>##V3_BDHV12</stp>
        <stp>CL1 Comdty</stp>
        <stp>30DAY_IMPVOL_110.0%MNY_DF</stp>
        <stp>27/12/2016</stp>
        <stp>27/12/2016</stp>
        <stp>[Bbg_Market_Data_CL.xlsm]data!R72C22</stp>
        <tr r="V72" s="1"/>
      </tp>
      <tp t="s">
        <v>#N/A Requesting Data...</v>
        <stp/>
        <stp>##V3_BDHV12</stp>
        <stp>CL1 Comdty</stp>
        <stp>30DAY_IMPVOL_110.0%MNY_DF</stp>
        <stp>27/03/2017</stp>
        <stp>27/03/2017</stp>
        <stp>[Bbg_Market_Data_CL.xlsm]data!R11C22</stp>
        <tr r="V11" s="1"/>
      </tp>
      <tp t="s">
        <v>#N/A Requesting Data...</v>
        <stp/>
        <stp>##V3_BDHV12</stp>
        <stp>CL1 Comdty</stp>
        <stp>30DAY_IMPVOL_110.0%MNY_DF</stp>
        <stp>17/11/2016</stp>
        <stp>17/11/2016</stp>
        <stp>[Bbg_Market_Data_CL.xlsm]data!R98C22</stp>
        <tr r="V98" s="1"/>
      </tp>
      <tp t="s">
        <v>#N/A Requesting Data...</v>
        <stp/>
        <stp>##V3_BDHV12</stp>
        <stp>CL1 Comdty</stp>
        <stp>30DAY_IMPVOL_105.0%MNY_DF</stp>
        <stp>05/01/2017</stp>
        <stp>05/01/2017</stp>
        <stp>[Bbg_Market_Data_CL.xlsm]data!R66C19</stp>
        <tr r="S66" s="1"/>
      </tp>
      <tp t="s">
        <v>#N/A Requesting Data...</v>
        <stp/>
        <stp>##V3_BDHV12</stp>
        <stp>CL1 Comdty</stp>
        <stp>30DAY_IMPVOL_100.0%MNY_DF</stp>
        <stp>16/11/2016</stp>
        <stp>16/11/2016</stp>
        <stp>[Bbg_Market_Data_CL.xlsm]data!R99C20</stp>
        <tr r="T99" s="1"/>
      </tp>
      <tp t="s">
        <v>#N/A Requesting Data...</v>
        <stp/>
        <stp>##V3_BDHV12</stp>
        <stp>CL1 Comdty</stp>
        <stp>30DAY_IMPVOL_110.0%MNY_DF</stp>
        <stp>04/01/2017</stp>
        <stp>04/01/2017</stp>
        <stp>[Bbg_Market_Data_CL.xlsm]data!R67C22</stp>
        <tr r="V67" s="1"/>
      </tp>
      <tp t="s">
        <v>#N/A Requesting Data...</v>
        <stp/>
        <stp>##V3_BDHV12</stp>
        <stp>CL1 Comdty</stp>
        <stp>30DAY_IMPVOL_100.0%MNY_DF</stp>
        <stp>05/01/2017</stp>
        <stp>05/01/2017</stp>
        <stp>[Bbg_Market_Data_CL.xlsm]data!R66C20</stp>
        <tr r="T66" s="1"/>
      </tp>
      <tp t="s">
        <v>#N/A Requesting Data...</v>
        <stp/>
        <stp>##V3_BDHV12</stp>
        <stp>CL1 Comdty</stp>
        <stp>30DAY_IMPVOL_105.0%MNY_DF</stp>
        <stp>16/11/2016</stp>
        <stp>16/11/2016</stp>
        <stp>[Bbg_Market_Data_CL.xlsm]data!R99C19</stp>
        <tr r="S99" s="1"/>
      </tp>
      <tp t="s">
        <v>#N/A Requesting Data...</v>
        <stp/>
        <stp>##V3_BDHV12</stp>
        <stp>CL1 Comdty</stp>
        <stp>30DAY_IMPVOL_110.0%MNY_DF</stp>
        <stp>24/03/2017</stp>
        <stp>24/03/2017</stp>
        <stp>[Bbg_Market_Data_CL.xlsm]data!R12C22</stp>
        <tr r="V12" s="1"/>
      </tp>
      <tp t="s">
        <v>#N/A Requesting Data...</v>
        <stp/>
        <stp>##V3_BDHV12</stp>
        <stp>CL1 Comdty</stp>
        <stp>30DAY_IMPVOL_105.0%MNY_DF</stp>
        <stp>06/01/2017</stp>
        <stp>06/01/2017</stp>
        <stp>[Bbg_Market_Data_CL.xlsm]data!R65C19</stp>
        <tr r="S65" s="1"/>
      </tp>
      <tp t="s">
        <v>#N/A Requesting Data...</v>
        <stp/>
        <stp>##V3_BDHV12</stp>
        <stp>CL1 Comdty</stp>
        <stp>30DAY_IMPVOL_110.0%MNY_DF</stp>
        <stp>05/01/2017</stp>
        <stp>05/01/2017</stp>
        <stp>[Bbg_Market_Data_CL.xlsm]data!R66C22</stp>
        <tr r="V66" s="1"/>
      </tp>
      <tp t="s">
        <v>#N/A Requesting Data...</v>
        <stp/>
        <stp>##V3_BDHV12</stp>
        <stp>CL1 Comdty</stp>
        <stp>30DAY_IMPVOL_105.0%MNY_DF</stp>
        <stp>17/11/2016</stp>
        <stp>17/11/2016</stp>
        <stp>[Bbg_Market_Data_CL.xlsm]data!R98C19</stp>
        <tr r="S98" s="1"/>
      </tp>
      <tp t="s">
        <v>#N/A Requesting Data...</v>
        <stp/>
        <stp>##V3_BDHV12</stp>
        <stp>CL1 Comdty</stp>
        <stp>30DAY_IMPVOL_100.0%MNY_DF</stp>
        <stp>04/01/2017</stp>
        <stp>04/01/2017</stp>
        <stp>[Bbg_Market_Data_CL.xlsm]data!R67C20</stp>
        <tr r="T67" s="1"/>
      </tp>
      <tp t="s">
        <v>#N/A Requesting Data...</v>
        <stp/>
        <stp>##V3_BDHV12</stp>
        <stp>CL1 Comdty</stp>
        <stp>30DAY_IMPVOL_100.0%MNY_DF</stp>
        <stp>24/03/2017</stp>
        <stp>24/03/2017</stp>
        <stp>[Bbg_Market_Data_CL.xlsm]data!R12C20</stp>
        <tr r="T12" s="1"/>
      </tp>
      <tp t="s">
        <v>#N/A Requesting Data...</v>
        <stp/>
        <stp>##V3_BDHV12</stp>
        <stp>CL1 Comdty</stp>
        <stp>30DAY_IMPVOL_105.0%MNY_DF</stp>
        <stp>27/03/2017</stp>
        <stp>27/03/2017</stp>
        <stp>[Bbg_Market_Data_CL.xlsm]data!R11C19</stp>
        <tr r="S11" s="1"/>
      </tp>
      <tp t="s">
        <v>#N/A Requesting Data...</v>
        <stp/>
        <stp>##V3_BDHV12</stp>
        <stp>CL1 Comdty</stp>
        <stp>30DAY_IMPVOL_105.0%MNY_DF</stp>
        <stp>27/12/2016</stp>
        <stp>27/12/2016</stp>
        <stp>[Bbg_Market_Data_CL.xlsm]data!R72C19</stp>
        <tr r="S72" s="1"/>
      </tp>
      <tp t="s">
        <v>#N/A Requesting Data...</v>
        <stp/>
        <stp>##V3_BDHV12</stp>
        <stp>CL1 Comdty</stp>
        <stp>VOLUME_TOTAL_CALL</stp>
        <stp>17/07/2015</stp>
        <stp>17/07/2015</stp>
        <stp>[Bbg_Market_Data_CL.xlsm]data!R432C15</stp>
        <tr r="O432" s="1"/>
      </tp>
      <tp t="s">
        <v>#N/A Requesting Data...</v>
        <stp/>
        <stp>##V3_BDHV12</stp>
        <stp>CL2 Comdty</stp>
        <stp>VOLUME_TOTAL_CALL</stp>
        <stp>03/12/2015</stp>
        <stp>03/12/2015</stp>
        <stp>[Bbg_Market_Data_CL.xlsm]data!R337C15</stp>
        <tr r="O337" s="1"/>
      </tp>
      <tp t="s">
        <v>#N/A Requesting Data...</v>
        <stp/>
        <stp>##V3_BDHV12</stp>
        <stp>CL2 Comdty</stp>
        <stp>VOLUME_TOTAL_CALL</stp>
        <stp>24/07/2015</stp>
        <stp>24/07/2015</stp>
        <stp>[Bbg_Market_Data_CL.xlsm]data!R427C15</stp>
        <tr r="O427" s="1"/>
      </tp>
      <tp t="s">
        <v>#N/A Requesting Data...</v>
        <stp/>
        <stp>##V3_BDHV12</stp>
        <stp>CL1 Comdty</stp>
        <stp>VOLUME_TOTAL_CALL</stp>
        <stp>30/12/2015</stp>
        <stp>30/12/2015</stp>
        <stp>[Bbg_Market_Data_CL.xlsm]data!R319C15</stp>
        <tr r="O319" s="1"/>
      </tp>
      <tp t="s">
        <v>#N/A Requesting Data...</v>
        <stp/>
        <stp>##V3_BDHV12</stp>
        <stp>CL1 Comdty</stp>
        <stp>VOLUME_TOTAL_CALL</stp>
        <stp>31/10/2016</stp>
        <stp>31/10/2016</stp>
        <stp>[Bbg_Market_Data_CL.xlsm]data!R111C15</stp>
        <tr r="O111" s="1"/>
      </tp>
      <tp t="s">
        <v>#N/A Requesting Data...</v>
        <stp/>
        <stp>##V3_BDHV12</stp>
        <stp>CL2 Comdty</stp>
        <stp>VOLUME_TOTAL_CALL</stp>
        <stp>01/03/2016</stp>
        <stp>01/03/2016</stp>
        <stp>[Bbg_Market_Data_CL.xlsm]data!R279C15</stp>
        <tr r="O279" s="1"/>
      </tp>
      <tp t="s">
        <v>#N/A Requesting Data...</v>
        <stp/>
        <stp>##V3_BDHV12</stp>
        <stp>CL2 Comdty</stp>
        <stp>VOLUME_TOTAL_CALL</stp>
        <stp>23/10/2015</stp>
        <stp>23/10/2015</stp>
        <stp>[Bbg_Market_Data_CL.xlsm]data!R364C15</stp>
        <tr r="O364" s="1"/>
      </tp>
      <tp t="s">
        <v>#N/A Requesting Data...</v>
        <stp/>
        <stp>##V3_BDHV12</stp>
        <stp>CL2 Comdty</stp>
        <stp>VOLUME_TOTAL_CALL</stp>
        <stp>14/04/2015</stp>
        <stp>14/04/2015</stp>
        <stp>[Bbg_Market_Data_CL.xlsm]data!R498C15</stp>
        <tr r="O498" s="1"/>
      </tp>
      <tp t="s">
        <v>#N/A Requesting Data...</v>
        <stp/>
        <stp>##V3_BDHV12</stp>
        <stp>CL2 Comdty</stp>
        <stp>VOLUME_TOTAL_CALL</stp>
        <stp>11/02/2016</stp>
        <stp>11/02/2016</stp>
        <stp>[Bbg_Market_Data_CL.xlsm]data!R290C15</stp>
        <tr r="O290" s="1"/>
      </tp>
      <tp t="s">
        <v>#N/A Requesting Data...</v>
        <stp/>
        <stp>##V3_BDHV12</stp>
        <stp>CL1 Comdty</stp>
        <stp>VOLUME_TOTAL_CALL</stp>
        <stp>27/04/2015</stp>
        <stp>27/04/2015</stp>
        <stp>[Bbg_Market_Data_CL.xlsm]data!R489C15</stp>
        <tr r="O489" s="1"/>
      </tp>
      <tp t="s">
        <v>#N/A Requesting Data...</v>
        <stp/>
        <stp>##V3_BDHV12</stp>
        <stp>CL1 Comdty</stp>
        <stp>VOLUME_TOTAL_CALL</stp>
        <stp>22/02/2016</stp>
        <stp>22/02/2016</stp>
        <stp>[Bbg_Market_Data_CL.xlsm]data!R285C15</stp>
        <tr r="O285" s="1"/>
      </tp>
      <tp t="s">
        <v>#N/A Requesting Data...</v>
        <stp/>
        <stp>##V3_BDHV12</stp>
        <stp>CL2 Comdty</stp>
        <stp>VOLUME_TOTAL_CALL</stp>
        <stp>04/05/2015</stp>
        <stp>04/05/2015</stp>
        <stp>[Bbg_Market_Data_CL.xlsm]data!R484C15</stp>
        <tr r="O484" s="1"/>
      </tp>
      <tp t="s">
        <v>#N/A Requesting Data...</v>
        <stp/>
        <stp>##V3_BDHV12</stp>
        <stp>CL1 Comdty</stp>
        <stp>VOLUME_TOTAL_CALL</stp>
        <stp>21/12/2015</stp>
        <stp>21/12/2015</stp>
        <stp>[Bbg_Market_Data_CL.xlsm]data!R325C15</stp>
        <tr r="O325" s="1"/>
      </tp>
      <tp t="s">
        <v>#N/A Requesting Data...</v>
        <stp/>
        <stp>##V3_BDHV12</stp>
        <stp>CL2 Comdty</stp>
        <stp>VOLUME_TOTAL_CALL</stp>
        <stp>13/10/2016</stp>
        <stp>13/10/2016</stp>
        <stp>[Bbg_Market_Data_CL.xlsm]data!R123C15</stp>
        <tr r="O123" s="1"/>
      </tp>
      <tp t="s">
        <v>#N/A Requesting Data...</v>
        <stp/>
        <stp>##V3_BDHV12</stp>
        <stp>CL2 Comdty</stp>
        <stp>VOLUME_TOTAL_CALL</stp>
        <stp>03/11/2016</stp>
        <stp>03/11/2016</stp>
        <stp>[Bbg_Market_Data_CL.xlsm]data!R108C15</stp>
        <tr r="O108" s="1"/>
      </tp>
      <tp t="s">
        <v>#N/A Requesting Data...</v>
        <stp/>
        <stp>##V3_BDHV12</stp>
        <stp>CL1 Comdty</stp>
        <stp>VOLUME_TOTAL_CALL</stp>
        <stp>12/01/2016</stp>
        <stp>12/01/2016</stp>
        <stp>[Bbg_Market_Data_CL.xlsm]data!R311C15</stp>
        <tr r="O311" s="1"/>
      </tp>
      <tp t="s">
        <v>#N/A Requesting Data...</v>
        <stp/>
        <stp>##V3_BDHV12</stp>
        <stp>CL1 Comdty</stp>
        <stp>VOLUME_TOTAL_CALL</stp>
        <stp>20/10/2016</stp>
        <stp>20/10/2016</stp>
        <stp>[Bbg_Market_Data_CL.xlsm]data!R118C15</stp>
        <tr r="O118" s="1"/>
      </tp>
      <tp t="s">
        <v>#N/A Requesting Data...</v>
        <stp/>
        <stp>##V3_BDHV12</stp>
        <stp>CL2 Comdty</stp>
        <stp>VOLUME_TOTAL_CALL</stp>
        <stp>21/01/2016</stp>
        <stp>21/01/2016</stp>
        <stp>[Bbg_Market_Data_CL.xlsm]data!R305C15</stp>
        <tr r="O305" s="1"/>
      </tp>
      <tp t="s">
        <v>#N/A Requesting Data...</v>
        <stp/>
        <stp>##V3_BDHV12</stp>
        <stp>CL2 Comdty</stp>
        <stp>VOLUME_TOTAL_CALL</stp>
        <stp>15/05/2015</stp>
        <stp>15/05/2015</stp>
        <stp>[Bbg_Market_Data_CL.xlsm]data!R475C15</stp>
        <tr r="O475" s="1"/>
      </tp>
      <tp t="s">
        <v>#N/A Requesting Data...</v>
        <stp/>
        <stp>##V3_BDHV12</stp>
        <stp>CL2 Comdty</stp>
        <stp>VOLUME_TOTAL_CALL</stp>
        <stp>10/03/2016</stp>
        <stp>10/03/2016</stp>
        <stp>[Bbg_Market_Data_CL.xlsm]data!R272C15</stp>
        <tr r="O272" s="1"/>
      </tp>
      <tp t="s">
        <v>#N/A Requesting Data...</v>
        <stp/>
        <stp>##V3_BDHV12</stp>
        <stp>CL1 Comdty</stp>
        <stp>VOLUME_TOTAL_CALL</stp>
        <stp>26/05/2015</stp>
        <stp>26/05/2015</stp>
        <stp>[Bbg_Market_Data_CL.xlsm]data!R469C15</stp>
        <tr r="O469" s="1"/>
      </tp>
      <tp t="s">
        <v>#N/A Requesting Data...</v>
        <stp/>
        <stp>##V3_BDHV12</stp>
        <stp>CL1 Comdty</stp>
        <stp>VOLUME_TOTAL_CALL</stp>
        <stp>01/10/2015</stp>
        <stp>01/10/2015</stp>
        <stp>[Bbg_Market_Data_CL.xlsm]data!R379C15</stp>
        <tr r="O379" s="1"/>
      </tp>
      <tp t="s">
        <v>#N/A Requesting Data...</v>
        <stp/>
        <stp>##V3_BDHV12</stp>
        <stp>CL1 Comdty</stp>
        <stp>VOLUME_TOTAL_CALL</stp>
        <stp>23/03/2016</stp>
        <stp>23/03/2016</stp>
        <stp>[Bbg_Market_Data_CL.xlsm]data!R263C15</stp>
        <tr r="O263" s="1"/>
      </tp>
      <tp t="s">
        <v>#N/A Requesting Data...</v>
        <stp/>
        <stp>##V3_BDHV12</stp>
        <stp>CL1 Comdty</stp>
        <stp>VOLUME_TOTAL_CALL</stp>
        <stp>16/06/2015</stp>
        <stp>16/06/2015</stp>
        <stp>[Bbg_Market_Data_CL.xlsm]data!R454C15</stp>
        <tr r="O454" s="1"/>
      </tp>
      <tp t="s">
        <v>#N/A Requesting Data...</v>
        <stp/>
        <stp>##V3_BDHV12</stp>
        <stp>CL1 Comdty</stp>
        <stp>VOLUME_TOTAL_CALL</stp>
        <stp>06/07/2015</stp>
        <stp>06/07/2015</stp>
        <stp>[Bbg_Market_Data_CL.xlsm]data!R441C15</stp>
        <tr r="O441" s="1"/>
      </tp>
      <tp t="s">
        <v>#N/A Requesting Data...</v>
        <stp/>
        <stp>##V3_BDHV12</stp>
        <stp>CL2 Comdty</stp>
        <stp>VOLUME_TOTAL_CALL</stp>
        <stp>25/06/2015</stp>
        <stp>25/06/2015</stp>
        <stp>[Bbg_Market_Data_CL.xlsm]data!R447C15</stp>
        <tr r="O447" s="1"/>
      </tp>
      <tp t="s">
        <v>#N/A Requesting Data...</v>
        <stp/>
        <stp>##V3_BDHV12</stp>
        <stp>CL2 Comdty</stp>
        <stp>VOLUME_TOTAL_CALL</stp>
        <stp>21/12/2015</stp>
        <stp>21/12/2015</stp>
        <stp>[Bbg_Market_Data_CL.xlsm]data!R325C15</stp>
        <tr r="O325" s="1"/>
      </tp>
      <tp t="s">
        <v>#N/A Requesting Data...</v>
        <stp/>
        <stp>##V3_BDHV12</stp>
        <stp>CL1 Comdty</stp>
        <stp>VOLUME_TOTAL_CALL</stp>
        <stp>13/10/2016</stp>
        <stp>13/10/2016</stp>
        <stp>[Bbg_Market_Data_CL.xlsm]data!R123C15</stp>
        <tr r="O123" s="1"/>
      </tp>
      <tp t="s">
        <v>#N/A Requesting Data...</v>
        <stp/>
        <stp>##V3_BDHV12</stp>
        <stp>CL1 Comdty</stp>
        <stp>VOLUME_TOTAL_CALL</stp>
        <stp>03/11/2016</stp>
        <stp>03/11/2016</stp>
        <stp>[Bbg_Market_Data_CL.xlsm]data!R108C15</stp>
        <tr r="O108" s="1"/>
      </tp>
      <tp t="s">
        <v>#N/A Requesting Data...</v>
        <stp/>
        <stp>##V3_BDHV12</stp>
        <stp>CL2 Comdty</stp>
        <stp>VOLUME_TOTAL_CALL</stp>
        <stp>12/01/2016</stp>
        <stp>12/01/2016</stp>
        <stp>[Bbg_Market_Data_CL.xlsm]data!R311C15</stp>
        <tr r="O311" s="1"/>
      </tp>
      <tp t="s">
        <v>#N/A Requesting Data...</v>
        <stp/>
        <stp>##V3_BDHV12</stp>
        <stp>CL2 Comdty</stp>
        <stp>VOLUME_TOTAL_CALL</stp>
        <stp>20/10/2016</stp>
        <stp>20/10/2016</stp>
        <stp>[Bbg_Market_Data_CL.xlsm]data!R118C15</stp>
        <tr r="O118" s="1"/>
      </tp>
      <tp t="s">
        <v>#N/A Requesting Data...</v>
        <stp/>
        <stp>##V3_BDHV12</stp>
        <stp>CL1 Comdty</stp>
        <stp>VOLUME_TOTAL_CALL</stp>
        <stp>21/01/2016</stp>
        <stp>21/01/2016</stp>
        <stp>[Bbg_Market_Data_CL.xlsm]data!R305C15</stp>
        <tr r="O305" s="1"/>
      </tp>
      <tp t="s">
        <v>#N/A Requesting Data...</v>
        <stp/>
        <stp>##V3_BDHV12</stp>
        <stp>CL1 Comdty</stp>
        <stp>VOLUME_TOTAL_CALL</stp>
        <stp>15/05/2015</stp>
        <stp>15/05/2015</stp>
        <stp>[Bbg_Market_Data_CL.xlsm]data!R475C15</stp>
        <tr r="O475" s="1"/>
      </tp>
      <tp t="s">
        <v>#N/A Requesting Data...</v>
        <stp/>
        <stp>##V3_BDHV12</stp>
        <stp>CL1 Comdty</stp>
        <stp>VOLUME_TOTAL_CALL</stp>
        <stp>10/03/2016</stp>
        <stp>10/03/2016</stp>
        <stp>[Bbg_Market_Data_CL.xlsm]data!R272C15</stp>
        <tr r="O272" s="1"/>
      </tp>
      <tp t="s">
        <v>#N/A Requesting Data...</v>
        <stp/>
        <stp>##V3_BDHV12</stp>
        <stp>CL2 Comdty</stp>
        <stp>VOLUME_TOTAL_CALL</stp>
        <stp>26/05/2015</stp>
        <stp>26/05/2015</stp>
        <stp>[Bbg_Market_Data_CL.xlsm]data!R469C15</stp>
        <tr r="O469" s="1"/>
      </tp>
      <tp t="s">
        <v>#N/A Requesting Data...</v>
        <stp/>
        <stp>##V3_BDHV12</stp>
        <stp>CL2 Comdty</stp>
        <stp>VOLUME_TOTAL_CALL</stp>
        <stp>01/10/2015</stp>
        <stp>01/10/2015</stp>
        <stp>[Bbg_Market_Data_CL.xlsm]data!R379C15</stp>
        <tr r="O379" s="1"/>
      </tp>
      <tp t="s">
        <v>#N/A Requesting Data...</v>
        <stp/>
        <stp>##V3_BDHV12</stp>
        <stp>CL2 Comdty</stp>
        <stp>VOLUME_TOTAL_CALL</stp>
        <stp>23/03/2016</stp>
        <stp>23/03/2016</stp>
        <stp>[Bbg_Market_Data_CL.xlsm]data!R263C15</stp>
        <tr r="O263" s="1"/>
      </tp>
      <tp t="s">
        <v>#N/A Requesting Data...</v>
        <stp/>
        <stp>##V3_BDHV12</stp>
        <stp>CL2 Comdty</stp>
        <stp>VOLUME_TOTAL_CALL</stp>
        <stp>16/06/2015</stp>
        <stp>16/06/2015</stp>
        <stp>[Bbg_Market_Data_CL.xlsm]data!R454C15</stp>
        <tr r="O454" s="1"/>
      </tp>
      <tp t="s">
        <v>#N/A Requesting Data...</v>
        <stp/>
        <stp>##V3_BDHV12</stp>
        <stp>CL2 Comdty</stp>
        <stp>VOLUME_TOTAL_CALL</stp>
        <stp>06/07/2015</stp>
        <stp>06/07/2015</stp>
        <stp>[Bbg_Market_Data_CL.xlsm]data!R441C15</stp>
        <tr r="O441" s="1"/>
      </tp>
      <tp t="s">
        <v>#N/A Requesting Data...</v>
        <stp/>
        <stp>##V3_BDHV12</stp>
        <stp>CL1 Comdty</stp>
        <stp>VOLUME_TOTAL_CALL</stp>
        <stp>25/06/2015</stp>
        <stp>25/06/2015</stp>
        <stp>[Bbg_Market_Data_CL.xlsm]data!R447C15</stp>
        <tr r="O447" s="1"/>
      </tp>
      <tp t="s">
        <v>#N/A Requesting Data...</v>
        <stp/>
        <stp>##V3_BDHV12</stp>
        <stp>CL2 Comdty</stp>
        <stp>VOLUME_TOTAL_CALL</stp>
        <stp>17/07/2015</stp>
        <stp>17/07/2015</stp>
        <stp>[Bbg_Market_Data_CL.xlsm]data!R432C15</stp>
        <tr r="O432" s="1"/>
      </tp>
      <tp t="s">
        <v>#N/A Requesting Data...</v>
        <stp/>
        <stp>##V3_BDHV12</stp>
        <stp>CL1 Comdty</stp>
        <stp>VOLUME_TOTAL_CALL</stp>
        <stp>03/12/2015</stp>
        <stp>03/12/2015</stp>
        <stp>[Bbg_Market_Data_CL.xlsm]data!R337C15</stp>
        <tr r="O337" s="1"/>
      </tp>
      <tp t="s">
        <v>#N/A Requesting Data...</v>
        <stp/>
        <stp>##V3_BDHV12</stp>
        <stp>CL1 Comdty</stp>
        <stp>VOLUME_TOTAL_CALL</stp>
        <stp>24/07/2015</stp>
        <stp>24/07/2015</stp>
        <stp>[Bbg_Market_Data_CL.xlsm]data!R427C15</stp>
        <tr r="O427" s="1"/>
      </tp>
      <tp t="s">
        <v>#N/A Requesting Data...</v>
        <stp/>
        <stp>##V3_BDHV12</stp>
        <stp>CL2 Comdty</stp>
        <stp>VOLUME_TOTAL_CALL</stp>
        <stp>30/12/2015</stp>
        <stp>30/12/2015</stp>
        <stp>[Bbg_Market_Data_CL.xlsm]data!R319C15</stp>
        <tr r="O319" s="1"/>
      </tp>
      <tp t="s">
        <v>#N/A Requesting Data...</v>
        <stp/>
        <stp>##V3_BDHV12</stp>
        <stp>CL2 Comdty</stp>
        <stp>VOLUME_TOTAL_CALL</stp>
        <stp>31/10/2016</stp>
        <stp>31/10/2016</stp>
        <stp>[Bbg_Market_Data_CL.xlsm]data!R111C15</stp>
        <tr r="O111" s="1"/>
      </tp>
      <tp t="s">
        <v>#N/A Requesting Data...</v>
        <stp/>
        <stp>##V3_BDHV12</stp>
        <stp>CL1 Comdty</stp>
        <stp>VOLUME_TOTAL_CALL</stp>
        <stp>01/03/2016</stp>
        <stp>01/03/2016</stp>
        <stp>[Bbg_Market_Data_CL.xlsm]data!R279C15</stp>
        <tr r="O279" s="1"/>
      </tp>
      <tp t="s">
        <v>#N/A Requesting Data...</v>
        <stp/>
        <stp>##V3_BDHV12</stp>
        <stp>CL1 Comdty</stp>
        <stp>VOLUME_TOTAL_CALL</stp>
        <stp>23/10/2015</stp>
        <stp>23/10/2015</stp>
        <stp>[Bbg_Market_Data_CL.xlsm]data!R364C15</stp>
        <tr r="O364" s="1"/>
      </tp>
      <tp t="s">
        <v>#N/A Requesting Data...</v>
        <stp/>
        <stp>##V3_BDHV12</stp>
        <stp>CL1 Comdty</stp>
        <stp>VOLUME_TOTAL_CALL</stp>
        <stp>14/04/2015</stp>
        <stp>14/04/2015</stp>
        <stp>[Bbg_Market_Data_CL.xlsm]data!R498C15</stp>
        <tr r="O498" s="1"/>
      </tp>
      <tp t="s">
        <v>#N/A Requesting Data...</v>
        <stp/>
        <stp>##V3_BDHV12</stp>
        <stp>CL1 Comdty</stp>
        <stp>VOLUME_TOTAL_CALL</stp>
        <stp>11/02/2016</stp>
        <stp>11/02/2016</stp>
        <stp>[Bbg_Market_Data_CL.xlsm]data!R290C15</stp>
        <tr r="O290" s="1"/>
      </tp>
      <tp t="s">
        <v>#N/A Requesting Data...</v>
        <stp/>
        <stp>##V3_BDHV12</stp>
        <stp>CL2 Comdty</stp>
        <stp>VOLUME_TOTAL_CALL</stp>
        <stp>27/04/2015</stp>
        <stp>27/04/2015</stp>
        <stp>[Bbg_Market_Data_CL.xlsm]data!R489C15</stp>
        <tr r="O489" s="1"/>
      </tp>
      <tp t="s">
        <v>#N/A Requesting Data...</v>
        <stp/>
        <stp>##V3_BDHV12</stp>
        <stp>CL2 Comdty</stp>
        <stp>VOLUME_TOTAL_CALL</stp>
        <stp>22/02/2016</stp>
        <stp>22/02/2016</stp>
        <stp>[Bbg_Market_Data_CL.xlsm]data!R285C15</stp>
        <tr r="O285" s="1"/>
      </tp>
      <tp t="s">
        <v>#N/A Requesting Data...</v>
        <stp/>
        <stp>##V3_BDHV12</stp>
        <stp>CL1 Comdty</stp>
        <stp>VOLUME_TOTAL_CALL</stp>
        <stp>04/05/2015</stp>
        <stp>04/05/2015</stp>
        <stp>[Bbg_Market_Data_CL.xlsm]data!R484C15</stp>
        <tr r="O484" s="1"/>
      </tp>
      <tp>
        <v>31.45</v>
        <stp/>
        <stp>##V3_BDHV12</stp>
        <stp>CL2 Comdty</stp>
        <stp>VOLATILITY_10D</stp>
        <stp>08/03/2017</stp>
        <stp>08/03/2017</stp>
        <stp>[Bbg_Market_Data_CL.xlsm]data!R25C17</stp>
        <tr r="Q25" s="1"/>
      </tp>
      <tp t="s">
        <v>#N/A Requesting Data...</v>
        <stp/>
        <stp>##V3_BDHV12</stp>
        <stp>CL1 Comdty</stp>
        <stp>VOLUME_TOTAL_CALL</stp>
        <stp>16/05/2016</stp>
        <stp>16/05/2016</stp>
        <stp>[Bbg_Market_Data_CL.xlsm]data!R226C15</stp>
        <tr r="O226" s="1"/>
      </tp>
      <tp t="s">
        <v>#N/A Requesting Data...</v>
        <stp/>
        <stp>##V3_BDHV12</stp>
        <stp>CL2 Comdty</stp>
        <stp>VOLUME_TOTAL_CALL</stp>
        <stp>25/05/2016</stp>
        <stp>25/05/2016</stp>
        <stp>[Bbg_Market_Data_CL.xlsm]data!R219C15</stp>
        <tr r="O219" s="1"/>
      </tp>
      <tp t="s">
        <v>#N/A Requesting Data...</v>
        <stp/>
        <stp>##V3_BDHV12</stp>
        <stp>CL2 Comdty</stp>
        <stp>VOLUME_TOTAL_CALL</stp>
        <stp>15/06/2016</stp>
        <stp>15/06/2016</stp>
        <stp>[Bbg_Market_Data_CL.xlsm]data!R205C15</stp>
        <tr r="O205" s="1"/>
      </tp>
      <tp t="s">
        <v>#N/A Requesting Data...</v>
        <stp/>
        <stp>##V3_BDHV12</stp>
        <stp>CL1 Comdty</stp>
        <stp>VOLATILITY_30D</stp>
        <stp>09/12/2016</stp>
        <stp>09/12/2016</stp>
        <stp>[Bbg_Market_Data_CL.xlsm]data!R84C18</stp>
        <tr r="R84" s="1"/>
      </tp>
      <tp t="s">
        <v>#N/A Requesting Data...</v>
        <stp/>
        <stp>##V3_BDHV12</stp>
        <stp>CL1 Comdty</stp>
        <stp>VOLUME_TOTAL_CALL</stp>
        <stp>06/04/2016</stp>
        <stp>06/04/2016</stp>
        <stp>[Bbg_Market_Data_CL.xlsm]data!R254C15</stp>
        <tr r="O254" s="1"/>
      </tp>
      <tp t="s">
        <v>#N/A Requesting Data...</v>
        <stp/>
        <stp>##V3_BDHV12</stp>
        <stp>CL1 Comdty</stp>
        <stp>VOLUME_TOTAL_CALL</stp>
        <stp>05/07/2016</stp>
        <stp>05/07/2016</stp>
        <stp>[Bbg_Market_Data_CL.xlsm]data!R192C15</stp>
        <tr r="O192" s="1"/>
      </tp>
      <tp>
        <v>59.06</v>
        <stp/>
        <stp>##V3_BDHV12</stp>
        <stp>CL2 Comdty</stp>
        <stp>VOLATILITY_10D</stp>
        <stp>08/12/2016</stp>
        <stp>08/12/2016</stp>
        <stp>[Bbg_Market_Data_CL.xlsm]data!R85C17</stp>
        <tr r="Q85" s="1"/>
      </tp>
      <tp t="s">
        <v>#N/A Requesting Data...</v>
        <stp/>
        <stp>##V3_BDHV12</stp>
        <stp>CL1 Comdty</stp>
        <stp>VOLATILITY_30D</stp>
        <stp>09/03/2017</stp>
        <stp>09/03/2017</stp>
        <stp>[Bbg_Market_Data_CL.xlsm]data!R24C18</stp>
        <tr r="R24" s="1"/>
      </tp>
      <tp>
        <v>32.06</v>
        <stp/>
        <stp>##V3_BDHV12</stp>
        <stp>CL2 Comdty</stp>
        <stp>VOLATILITY_10D</stp>
        <stp>09/03/2017</stp>
        <stp>09/03/2017</stp>
        <stp>[Bbg_Market_Data_CL.xlsm]data!R24C17</stp>
        <tr r="Q24" s="1"/>
      </tp>
      <tp t="s">
        <v>#N/A Requesting Data...</v>
        <stp/>
        <stp>##V3_BDHV12</stp>
        <stp>CL1 Comdty</stp>
        <stp>VOLATILITY_30D</stp>
        <stp>08/12/2016</stp>
        <stp>08/12/2016</stp>
        <stp>[Bbg_Market_Data_CL.xlsm]data!R85C18</stp>
        <tr r="R85" s="1"/>
      </tp>
      <tp t="s">
        <v>#N/A Requesting Data...</v>
        <stp/>
        <stp>##V3_BDHV12</stp>
        <stp>CL2 Comdty</stp>
        <stp>VOLUME_TOTAL_CALL</stp>
        <stp>27/07/2016</stp>
        <stp>27/07/2016</stp>
        <stp>[Bbg_Market_Data_CL.xlsm]data!R176C15</stp>
        <tr r="O176" s="1"/>
      </tp>
      <tp>
        <v>58.76</v>
        <stp/>
        <stp>##V3_BDHV12</stp>
        <stp>CL2 Comdty</stp>
        <stp>VOLATILITY_10D</stp>
        <stp>09/12/2016</stp>
        <stp>09/12/2016</stp>
        <stp>[Bbg_Market_Data_CL.xlsm]data!R84C17</stp>
        <tr r="Q84" s="1"/>
      </tp>
      <tp t="s">
        <v>#N/A Requesting Data...</v>
        <stp/>
        <stp>##V3_BDHV12</stp>
        <stp>CL1 Comdty</stp>
        <stp>VOLUME_TOTAL_CALL</stp>
        <stp>14/07/2016</stp>
        <stp>14/07/2016</stp>
        <stp>[Bbg_Market_Data_CL.xlsm]data!R185C15</stp>
        <tr r="O185" s="1"/>
      </tp>
      <tp t="s">
        <v>#N/A Requesting Data...</v>
        <stp/>
        <stp>##V3_BDHV12</stp>
        <stp>CL1 Comdty</stp>
        <stp>VOLATILITY_30D</stp>
        <stp>08/03/2017</stp>
        <stp>08/03/2017</stp>
        <stp>[Bbg_Market_Data_CL.xlsm]data!R25C18</stp>
        <tr r="R25" s="1"/>
      </tp>
      <tp t="s">
        <v>#N/A Requesting Data...</v>
        <stp/>
        <stp>##V3_BDHV12</stp>
        <stp>CL1 Comdty</stp>
        <stp>VOLATILITY_10D</stp>
        <stp>09/03/2017</stp>
        <stp>09/03/2017</stp>
        <stp>[Bbg_Market_Data_CL.xlsm]data!R24C17</stp>
        <tr r="Q24" s="1"/>
      </tp>
      <tp>
        <v>45.77</v>
        <stp/>
        <stp>##V3_BDHV12</stp>
        <stp>CL2 Comdty</stp>
        <stp>VOLATILITY_30D</stp>
        <stp>08/12/2016</stp>
        <stp>08/12/2016</stp>
        <stp>[Bbg_Market_Data_CL.xlsm]data!R85C18</stp>
        <tr r="R85" s="1"/>
      </tp>
      <tp t="s">
        <v>#N/A Requesting Data...</v>
        <stp/>
        <stp>##V3_BDHV12</stp>
        <stp>CL1 Comdty</stp>
        <stp>VOLUME_TOTAL_CALL</stp>
        <stp>27/07/2016</stp>
        <stp>27/07/2016</stp>
        <stp>[Bbg_Market_Data_CL.xlsm]data!R176C15</stp>
        <tr r="O176" s="1"/>
      </tp>
      <tp t="s">
        <v>#N/A Requesting Data...</v>
        <stp/>
        <stp>##V3_BDHV12</stp>
        <stp>CL1 Comdty</stp>
        <stp>VOLATILITY_10D</stp>
        <stp>09/12/2016</stp>
        <stp>09/12/2016</stp>
        <stp>[Bbg_Market_Data_CL.xlsm]data!R84C17</stp>
        <tr r="Q84" s="1"/>
      </tp>
      <tp t="s">
        <v>#N/A Requesting Data...</v>
        <stp/>
        <stp>##V3_BDHV12</stp>
        <stp>CL2 Comdty</stp>
        <stp>VOLUME_TOTAL_CALL</stp>
        <stp>14/07/2016</stp>
        <stp>14/07/2016</stp>
        <stp>[Bbg_Market_Data_CL.xlsm]data!R185C15</stp>
        <tr r="O185" s="1"/>
      </tp>
      <tp>
        <v>23.98</v>
        <stp/>
        <stp>##V3_BDHV12</stp>
        <stp>CL2 Comdty</stp>
        <stp>VOLATILITY_30D</stp>
        <stp>08/03/2017</stp>
        <stp>08/03/2017</stp>
        <stp>[Bbg_Market_Data_CL.xlsm]data!R25C18</stp>
        <tr r="R25" s="1"/>
      </tp>
      <tp t="s">
        <v>#N/A Requesting Data...</v>
        <stp/>
        <stp>##V3_BDHV12</stp>
        <stp>CL1 Comdty</stp>
        <stp>VOLATILITY_10D</stp>
        <stp>08/03/2017</stp>
        <stp>08/03/2017</stp>
        <stp>[Bbg_Market_Data_CL.xlsm]data!R25C17</stp>
        <tr r="Q25" s="1"/>
      </tp>
      <tp t="s">
        <v>#N/A Requesting Data...</v>
        <stp/>
        <stp>##V3_BDHV12</stp>
        <stp>CL2 Comdty</stp>
        <stp>VOLUME_TOTAL_CALL</stp>
        <stp>16/05/2016</stp>
        <stp>16/05/2016</stp>
        <stp>[Bbg_Market_Data_CL.xlsm]data!R226C15</stp>
        <tr r="O226" s="1"/>
      </tp>
      <tp t="s">
        <v>#N/A Requesting Data...</v>
        <stp/>
        <stp>##V3_BDHV12</stp>
        <stp>CL1 Comdty</stp>
        <stp>VOLUME_TOTAL_CALL</stp>
        <stp>25/05/2016</stp>
        <stp>25/05/2016</stp>
        <stp>[Bbg_Market_Data_CL.xlsm]data!R219C15</stp>
        <tr r="O219" s="1"/>
      </tp>
      <tp t="s">
        <v>#N/A Requesting Data...</v>
        <stp/>
        <stp>##V3_BDHV12</stp>
        <stp>CL1 Comdty</stp>
        <stp>VOLUME_TOTAL_CALL</stp>
        <stp>15/06/2016</stp>
        <stp>15/06/2016</stp>
        <stp>[Bbg_Market_Data_CL.xlsm]data!R205C15</stp>
        <tr r="O205" s="1"/>
      </tp>
      <tp>
        <v>45.37</v>
        <stp/>
        <stp>##V3_BDHV12</stp>
        <stp>CL2 Comdty</stp>
        <stp>VOLATILITY_30D</stp>
        <stp>09/12/2016</stp>
        <stp>09/12/2016</stp>
        <stp>[Bbg_Market_Data_CL.xlsm]data!R84C18</stp>
        <tr r="R84" s="1"/>
      </tp>
      <tp t="s">
        <v>#N/A Requesting Data...</v>
        <stp/>
        <stp>##V3_BDHV12</stp>
        <stp>CL2 Comdty</stp>
        <stp>VOLUME_TOTAL_CALL</stp>
        <stp>06/04/2016</stp>
        <stp>06/04/2016</stp>
        <stp>[Bbg_Market_Data_CL.xlsm]data!R254C15</stp>
        <tr r="O254" s="1"/>
      </tp>
      <tp t="s">
        <v>#N/A Requesting Data...</v>
        <stp/>
        <stp>##V3_BDHV12</stp>
        <stp>CL2 Comdty</stp>
        <stp>VOLUME_TOTAL_CALL</stp>
        <stp>05/07/2016</stp>
        <stp>05/07/2016</stp>
        <stp>[Bbg_Market_Data_CL.xlsm]data!R192C15</stp>
        <tr r="O192" s="1"/>
      </tp>
      <tp t="s">
        <v>#N/A Requesting Data...</v>
        <stp/>
        <stp>##V3_BDHV12</stp>
        <stp>CL1 Comdty</stp>
        <stp>VOLATILITY_10D</stp>
        <stp>08/12/2016</stp>
        <stp>08/12/2016</stp>
        <stp>[Bbg_Market_Data_CL.xlsm]data!R85C17</stp>
        <tr r="Q85" s="1"/>
      </tp>
      <tp>
        <v>23.74</v>
        <stp/>
        <stp>##V3_BDHV12</stp>
        <stp>CL2 Comdty</stp>
        <stp>VOLATILITY_30D</stp>
        <stp>09/03/2017</stp>
        <stp>09/03/2017</stp>
        <stp>[Bbg_Market_Data_CL.xlsm]data!R24C18</stp>
        <tr r="R24" s="1"/>
      </tp>
      <tp>
        <v>24.47</v>
        <stp/>
        <stp>##V3_BDHV12</stp>
        <stp>CL2 Comdty</stp>
        <stp>VOLATILITY_30D</stp>
        <stp>16/02/2017</stp>
        <stp>16/02/2017</stp>
        <stp>[Bbg_Market_Data_CL.xlsm]data!R38C18</stp>
        <tr r="R38" s="1"/>
      </tp>
      <tp t="s">
        <v>#N/A Requesting Data...</v>
        <stp/>
        <stp>##V3_BDHV12</stp>
        <stp>CL1 Comdty</stp>
        <stp>VOLUME_TOTAL_CALL</stp>
        <stp>29/09/2016</stp>
        <stp>29/09/2016</stp>
        <stp>[Bbg_Market_Data_CL.xlsm]data!R132C15</stp>
        <tr r="O132" s="1"/>
      </tp>
      <tp>
        <v>18.02</v>
        <stp/>
        <stp>##V3_BDHV12</stp>
        <stp>CL2 Comdty</stp>
        <stp>VOLATILITY_30D</stp>
        <stp>06/03/2017</stp>
        <stp>06/03/2017</stp>
        <stp>[Bbg_Market_Data_CL.xlsm]data!R27C18</stp>
        <tr r="R27" s="1"/>
      </tp>
      <tp t="s">
        <v>#N/A Requesting Data...</v>
        <stp/>
        <stp>##V3_BDHV12</stp>
        <stp>CL1 Comdty</stp>
        <stp>VOLATILITY_30D</stp>
        <stp>15/02/2017</stp>
        <stp>15/02/2017</stp>
        <stp>[Bbg_Market_Data_CL.xlsm]data!R39C18</stp>
        <tr r="R39" s="1"/>
      </tp>
      <tp t="s">
        <v>#N/A Requesting Data...</v>
        <stp/>
        <stp>##V3_BDHV12</stp>
        <stp>CL1 Comdty</stp>
        <stp>VOLATILITY_10D</stp>
        <stp>07/12/2016</stp>
        <stp>07/12/2016</stp>
        <stp>[Bbg_Market_Data_CL.xlsm]data!R86C17</stp>
        <tr r="Q86" s="1"/>
      </tp>
      <tp t="s">
        <v>#N/A Requesting Data...</v>
        <stp/>
        <stp>##V3_BDHV12</stp>
        <stp>CL1 Comdty</stp>
        <stp>VOLATILITY_30D</stp>
        <stp>25/01/2017</stp>
        <stp>25/01/2017</stp>
        <stp>[Bbg_Market_Data_CL.xlsm]data!R54C18</stp>
        <tr r="R54" s="1"/>
      </tp>
      <tp>
        <v>26.47</v>
        <stp/>
        <stp>##V3_BDHV12</stp>
        <stp>CL2 Comdty</stp>
        <stp>VOLATILITY_30D</stp>
        <stp>26/01/2017</stp>
        <stp>26/01/2017</stp>
        <stp>[Bbg_Market_Data_CL.xlsm]data!R53C18</stp>
        <tr r="R53" s="1"/>
      </tp>
      <tp t="s">
        <v>#N/A Requesting Data...</v>
        <stp/>
        <stp>##V3_BDHV12</stp>
        <stp>CL1 Comdty</stp>
        <stp>VOLATILITY_10D</stp>
        <stp>27/01/2017</stp>
        <stp>27/01/2017</stp>
        <stp>[Bbg_Market_Data_CL.xlsm]data!R52C17</stp>
        <tr r="Q52" s="1"/>
      </tp>
      <tp t="s">
        <v>#N/A Requesting Data...</v>
        <stp/>
        <stp>##V3_BDHV12</stp>
        <stp>CL1 Comdty</stp>
        <stp>VOLATILITY_30D</stp>
        <stp>05/12/2016</stp>
        <stp>05/12/2016</stp>
        <stp>[Bbg_Market_Data_CL.xlsm]data!R88C18</stp>
        <tr r="R88" s="1"/>
      </tp>
      <tp>
        <v>45.37</v>
        <stp/>
        <stp>##V3_BDHV12</stp>
        <stp>CL2 Comdty</stp>
        <stp>VOLATILITY_30D</stp>
        <stp>06/12/2016</stp>
        <stp>06/12/2016</stp>
        <stp>[Bbg_Market_Data_CL.xlsm]data!R87C18</stp>
        <tr r="R87" s="1"/>
      </tp>
      <tp>
        <v>19.899999999999999</v>
        <stp/>
        <stp>##V3_BDHV12</stp>
        <stp>CL2 Comdty</stp>
        <stp>VOLATILITY_10D</stp>
        <stp>14/02/2017</stp>
        <stp>14/02/2017</stp>
        <stp>[Bbg_Market_Data_CL.xlsm]data!R40C17</stp>
        <tr r="Q40" s="1"/>
      </tp>
      <tp t="s">
        <v>#N/A Requesting Data...</v>
        <stp/>
        <stp>##V3_BDHV12</stp>
        <stp>CL1 Comdty</stp>
        <stp>VOLUME_TOTAL_CALL</stp>
        <stp>08/09/2015</stp>
        <stp>08/09/2015</stp>
        <stp>[Bbg_Market_Data_CL.xlsm]data!R396C15</stp>
        <tr r="O396" s="1"/>
      </tp>
      <tp>
        <v>25.99</v>
        <stp/>
        <stp>##V3_BDHV12</stp>
        <stp>CL2 Comdty</stp>
        <stp>VOLATILITY_10D</stp>
        <stp>24/01/2017</stp>
        <stp>24/01/2017</stp>
        <stp>[Bbg_Market_Data_CL.xlsm]data!R55C17</stp>
        <tr r="Q55" s="1"/>
      </tp>
      <tp t="s">
        <v>#N/A Requesting Data...</v>
        <stp/>
        <stp>##V3_BDHV12</stp>
        <stp>CL1 Comdty</stp>
        <stp>VOLATILITY_10D</stp>
        <stp>17/02/2017</stp>
        <stp>17/02/2017</stp>
        <stp>[Bbg_Market_Data_CL.xlsm]data!R37C17</stp>
        <tr r="Q37" s="1"/>
      </tp>
      <tp t="s">
        <v>#N/A Requesting Data...</v>
        <stp/>
        <stp>##V3_BDHV12</stp>
        <stp>CL1 Comdty</stp>
        <stp>VOLATILITY_10D</stp>
        <stp>07/03/2017</stp>
        <stp>07/03/2017</stp>
        <stp>[Bbg_Market_Data_CL.xlsm]data!R26C17</stp>
        <tr r="Q26" s="1"/>
      </tp>
      <tp>
        <v>17.91</v>
        <stp/>
        <stp>##V3_BDHV12</stp>
        <stp>CL2 Comdty</stp>
        <stp>VOLATILITY_30D</stp>
        <stp>07/03/2017</stp>
        <stp>07/03/2017</stp>
        <stp>[Bbg_Market_Data_CL.xlsm]data!R26C18</stp>
        <tr r="R26" s="1"/>
      </tp>
      <tp>
        <v>24.44</v>
        <stp/>
        <stp>##V3_BDHV12</stp>
        <stp>CL2 Comdty</stp>
        <stp>VOLATILITY_30D</stp>
        <stp>17/02/2017</stp>
        <stp>17/02/2017</stp>
        <stp>[Bbg_Market_Data_CL.xlsm]data!R37C18</stp>
        <tr r="R37" s="1"/>
      </tp>
      <tp t="s">
        <v>#N/A Requesting Data...</v>
        <stp/>
        <stp>##V3_BDHV12</stp>
        <stp>CL1 Comdty</stp>
        <stp>VOLATILITY_30D</stp>
        <stp>24/01/2017</stp>
        <stp>24/01/2017</stp>
        <stp>[Bbg_Market_Data_CL.xlsm]data!R55C18</stp>
        <tr r="R55" s="1"/>
      </tp>
      <tp t="s">
        <v>#N/A Requesting Data...</v>
        <stp/>
        <stp>##V3_BDHV12</stp>
        <stp>CL1 Comdty</stp>
        <stp>VOLATILITY_10D</stp>
        <stp>06/12/2016</stp>
        <stp>06/12/2016</stp>
        <stp>[Bbg_Market_Data_CL.xlsm]data!R87C17</stp>
        <tr r="Q87" s="1"/>
      </tp>
      <tp t="s">
        <v>#N/A Requesting Data...</v>
        <stp/>
        <stp>##V3_BDHV12</stp>
        <stp>CL1 Comdty</stp>
        <stp>VOLATILITY_30D</stp>
        <stp>14/02/2017</stp>
        <stp>14/02/2017</stp>
        <stp>[Bbg_Market_Data_CL.xlsm]data!R40C18</stp>
        <tr r="R40" s="1"/>
      </tp>
      <tp>
        <v>61.42</v>
        <stp/>
        <stp>##V3_BDHV12</stp>
        <stp>CL2 Comdty</stp>
        <stp>VOLATILITY_10D</stp>
        <stp>05/12/2016</stp>
        <stp>05/12/2016</stp>
        <stp>[Bbg_Market_Data_CL.xlsm]data!R88C17</stp>
        <tr r="Q88" s="1"/>
      </tp>
      <tp>
        <v>24.44</v>
        <stp/>
        <stp>##V3_BDHV12</stp>
        <stp>CL2 Comdty</stp>
        <stp>VOLATILITY_30D</stp>
        <stp>27/01/2017</stp>
        <stp>27/01/2017</stp>
        <stp>[Bbg_Market_Data_CL.xlsm]data!R52C18</stp>
        <tr r="R52" s="1"/>
      </tp>
      <tp t="s">
        <v>#N/A Requesting Data...</v>
        <stp/>
        <stp>##V3_BDHV12</stp>
        <stp>CL1 Comdty</stp>
        <stp>VOLATILITY_10D</stp>
        <stp>26/01/2017</stp>
        <stp>26/01/2017</stp>
        <stp>[Bbg_Market_Data_CL.xlsm]data!R53C17</stp>
        <tr r="Q53" s="1"/>
      </tp>
      <tp>
        <v>23.25</v>
        <stp/>
        <stp>##V3_BDHV12</stp>
        <stp>CL2 Comdty</stp>
        <stp>VOLATILITY_10D</stp>
        <stp>25/01/2017</stp>
        <stp>25/01/2017</stp>
        <stp>[Bbg_Market_Data_CL.xlsm]data!R54C17</stp>
        <tr r="Q54" s="1"/>
      </tp>
      <tp>
        <v>45.55</v>
        <stp/>
        <stp>##V3_BDHV12</stp>
        <stp>CL2 Comdty</stp>
        <stp>VOLATILITY_30D</stp>
        <stp>07/12/2016</stp>
        <stp>07/12/2016</stp>
        <stp>[Bbg_Market_Data_CL.xlsm]data!R86C18</stp>
        <tr r="R86" s="1"/>
      </tp>
      <tp>
        <v>19.739999999999998</v>
        <stp/>
        <stp>##V3_BDHV12</stp>
        <stp>CL2 Comdty</stp>
        <stp>VOLATILITY_10D</stp>
        <stp>15/02/2017</stp>
        <stp>15/02/2017</stp>
        <stp>[Bbg_Market_Data_CL.xlsm]data!R39C17</stp>
        <tr r="Q39" s="1"/>
      </tp>
      <tp t="s">
        <v>#N/A Requesting Data...</v>
        <stp/>
        <stp>##V3_BDHV12</stp>
        <stp>CL1 Comdty</stp>
        <stp>VOLATILITY_10D</stp>
        <stp>06/03/2017</stp>
        <stp>06/03/2017</stp>
        <stp>[Bbg_Market_Data_CL.xlsm]data!R27C17</stp>
        <tr r="Q27" s="1"/>
      </tp>
      <tp t="s">
        <v>#N/A Requesting Data...</v>
        <stp/>
        <stp>##V3_BDHV12</stp>
        <stp>CL1 Comdty</stp>
        <stp>VOLATILITY_10D</stp>
        <stp>16/02/2017</stp>
        <stp>16/02/2017</stp>
        <stp>[Bbg_Market_Data_CL.xlsm]data!R38C17</stp>
        <tr r="Q38" s="1"/>
      </tp>
      <tp t="s">
        <v>#N/A Requesting Data...</v>
        <stp/>
        <stp>##V3_BDHV12</stp>
        <stp>CL1 Comdty</stp>
        <stp>VOLATILITY_30D</stp>
        <stp>07/03/2017</stp>
        <stp>07/03/2017</stp>
        <stp>[Bbg_Market_Data_CL.xlsm]data!R26C18</stp>
        <tr r="R26" s="1"/>
      </tp>
      <tp t="s">
        <v>#N/A Requesting Data...</v>
        <stp/>
        <stp>##V3_BDHV12</stp>
        <stp>CL1 Comdty</stp>
        <stp>VOLATILITY_30D</stp>
        <stp>17/02/2017</stp>
        <stp>17/02/2017</stp>
        <stp>[Bbg_Market_Data_CL.xlsm]data!R37C18</stp>
        <tr r="R37" s="1"/>
      </tp>
      <tp>
        <v>26.8</v>
        <stp/>
        <stp>##V3_BDHV12</stp>
        <stp>CL2 Comdty</stp>
        <stp>VOLATILITY_30D</stp>
        <stp>24/01/2017</stp>
        <stp>24/01/2017</stp>
        <stp>[Bbg_Market_Data_CL.xlsm]data!R55C18</stp>
        <tr r="R55" s="1"/>
      </tp>
      <tp>
        <v>62.94</v>
        <stp/>
        <stp>##V3_BDHV12</stp>
        <stp>CL2 Comdty</stp>
        <stp>VOLATILITY_10D</stp>
        <stp>06/12/2016</stp>
        <stp>06/12/2016</stp>
        <stp>[Bbg_Market_Data_CL.xlsm]data!R87C17</stp>
        <tr r="Q87" s="1"/>
      </tp>
      <tp>
        <v>25.15</v>
        <stp/>
        <stp>##V3_BDHV12</stp>
        <stp>CL2 Comdty</stp>
        <stp>VOLATILITY_30D</stp>
        <stp>14/02/2017</stp>
        <stp>14/02/2017</stp>
        <stp>[Bbg_Market_Data_CL.xlsm]data!R40C18</stp>
        <tr r="R40" s="1"/>
      </tp>
      <tp t="s">
        <v>#N/A Requesting Data...</v>
        <stp/>
        <stp>##V3_BDHV12</stp>
        <stp>CL1 Comdty</stp>
        <stp>VOLATILITY_10D</stp>
        <stp>05/12/2016</stp>
        <stp>05/12/2016</stp>
        <stp>[Bbg_Market_Data_CL.xlsm]data!R88C17</stp>
        <tr r="Q88" s="1"/>
      </tp>
      <tp t="s">
        <v>#N/A Requesting Data...</v>
        <stp/>
        <stp>##V3_BDHV12</stp>
        <stp>CL1 Comdty</stp>
        <stp>VOLATILITY_30D</stp>
        <stp>27/01/2017</stp>
        <stp>27/01/2017</stp>
        <stp>[Bbg_Market_Data_CL.xlsm]data!R52C18</stp>
        <tr r="R52" s="1"/>
      </tp>
      <tp>
        <v>24.06</v>
        <stp/>
        <stp>##V3_BDHV12</stp>
        <stp>CL2 Comdty</stp>
        <stp>VOLATILITY_10D</stp>
        <stp>26/01/2017</stp>
        <stp>26/01/2017</stp>
        <stp>[Bbg_Market_Data_CL.xlsm]data!R53C17</stp>
        <tr r="Q53" s="1"/>
      </tp>
      <tp t="s">
        <v>#N/A Requesting Data...</v>
        <stp/>
        <stp>##V3_BDHV12</stp>
        <stp>CL1 Comdty</stp>
        <stp>VOLATILITY_10D</stp>
        <stp>25/01/2017</stp>
        <stp>25/01/2017</stp>
        <stp>[Bbg_Market_Data_CL.xlsm]data!R54C17</stp>
        <tr r="Q54" s="1"/>
      </tp>
      <tp t="s">
        <v>#N/A Requesting Data...</v>
        <stp/>
        <stp>##V3_BDHV12</stp>
        <stp>CL1 Comdty</stp>
        <stp>VOLATILITY_30D</stp>
        <stp>07/12/2016</stp>
        <stp>07/12/2016</stp>
        <stp>[Bbg_Market_Data_CL.xlsm]data!R86C18</stp>
        <tr r="R86" s="1"/>
      </tp>
      <tp t="s">
        <v>#N/A Requesting Data...</v>
        <stp/>
        <stp>##V3_BDHV12</stp>
        <stp>CL1 Comdty</stp>
        <stp>VOLATILITY_10D</stp>
        <stp>15/02/2017</stp>
        <stp>15/02/2017</stp>
        <stp>[Bbg_Market_Data_CL.xlsm]data!R39C17</stp>
        <tr r="Q39" s="1"/>
      </tp>
      <tp>
        <v>18.350000000000001</v>
        <stp/>
        <stp>##V3_BDHV12</stp>
        <stp>CL2 Comdty</stp>
        <stp>VOLATILITY_10D</stp>
        <stp>06/03/2017</stp>
        <stp>06/03/2017</stp>
        <stp>[Bbg_Market_Data_CL.xlsm]data!R27C17</stp>
        <tr r="Q27" s="1"/>
      </tp>
      <tp>
        <v>19.489999999999998</v>
        <stp/>
        <stp>##V3_BDHV12</stp>
        <stp>CL2 Comdty</stp>
        <stp>VOLATILITY_10D</stp>
        <stp>16/02/2017</stp>
        <stp>16/02/2017</stp>
        <stp>[Bbg_Market_Data_CL.xlsm]data!R38C17</stp>
        <tr r="Q38" s="1"/>
      </tp>
      <tp t="s">
        <v>#N/A Requesting Data...</v>
        <stp/>
        <stp>##V3_BDHV12</stp>
        <stp>CL1 Comdty</stp>
        <stp>VOLATILITY_30D</stp>
        <stp>16/02/2017</stp>
        <stp>16/02/2017</stp>
        <stp>[Bbg_Market_Data_CL.xlsm]data!R38C18</stp>
        <tr r="R38" s="1"/>
      </tp>
      <tp t="s">
        <v>#N/A Requesting Data...</v>
        <stp/>
        <stp>##V3_BDHV12</stp>
        <stp>CL2 Comdty</stp>
        <stp>VOLUME_TOTAL_CALL</stp>
        <stp>29/09/2016</stp>
        <stp>29/09/2016</stp>
        <stp>[Bbg_Market_Data_CL.xlsm]data!R132C15</stp>
        <tr r="O132" s="1"/>
      </tp>
      <tp t="s">
        <v>#N/A Requesting Data...</v>
        <stp/>
        <stp>##V3_BDHV12</stp>
        <stp>CL1 Comdty</stp>
        <stp>VOLATILITY_30D</stp>
        <stp>06/03/2017</stp>
        <stp>06/03/2017</stp>
        <stp>[Bbg_Market_Data_CL.xlsm]data!R27C18</stp>
        <tr r="R27" s="1"/>
      </tp>
      <tp>
        <v>24.6</v>
        <stp/>
        <stp>##V3_BDHV12</stp>
        <stp>CL2 Comdty</stp>
        <stp>VOLATILITY_30D</stp>
        <stp>15/02/2017</stp>
        <stp>15/02/2017</stp>
        <stp>[Bbg_Market_Data_CL.xlsm]data!R39C18</stp>
        <tr r="R39" s="1"/>
      </tp>
      <tp>
        <v>64.489999999999995</v>
        <stp/>
        <stp>##V3_BDHV12</stp>
        <stp>CL2 Comdty</stp>
        <stp>VOLATILITY_10D</stp>
        <stp>07/12/2016</stp>
        <stp>07/12/2016</stp>
        <stp>[Bbg_Market_Data_CL.xlsm]data!R86C17</stp>
        <tr r="Q86" s="1"/>
      </tp>
      <tp>
        <v>25.9</v>
        <stp/>
        <stp>##V3_BDHV12</stp>
        <stp>CL2 Comdty</stp>
        <stp>VOLATILITY_30D</stp>
        <stp>25/01/2017</stp>
        <stp>25/01/2017</stp>
        <stp>[Bbg_Market_Data_CL.xlsm]data!R54C18</stp>
        <tr r="R54" s="1"/>
      </tp>
      <tp t="s">
        <v>#N/A Requesting Data...</v>
        <stp/>
        <stp>##V3_BDHV12</stp>
        <stp>CL1 Comdty</stp>
        <stp>VOLATILITY_30D</stp>
        <stp>26/01/2017</stp>
        <stp>26/01/2017</stp>
        <stp>[Bbg_Market_Data_CL.xlsm]data!R53C18</stp>
        <tr r="R53" s="1"/>
      </tp>
      <tp>
        <v>23.83</v>
        <stp/>
        <stp>##V3_BDHV12</stp>
        <stp>CL2 Comdty</stp>
        <stp>VOLATILITY_10D</stp>
        <stp>27/01/2017</stp>
        <stp>27/01/2017</stp>
        <stp>[Bbg_Market_Data_CL.xlsm]data!R52C17</stp>
        <tr r="Q52" s="1"/>
      </tp>
      <tp>
        <v>45.21</v>
        <stp/>
        <stp>##V3_BDHV12</stp>
        <stp>CL2 Comdty</stp>
        <stp>VOLATILITY_30D</stp>
        <stp>05/12/2016</stp>
        <stp>05/12/2016</stp>
        <stp>[Bbg_Market_Data_CL.xlsm]data!R88C18</stp>
        <tr r="R88" s="1"/>
      </tp>
      <tp t="s">
        <v>#N/A Requesting Data...</v>
        <stp/>
        <stp>##V3_BDHV12</stp>
        <stp>CL1 Comdty</stp>
        <stp>VOLATILITY_30D</stp>
        <stp>06/12/2016</stp>
        <stp>06/12/2016</stp>
        <stp>[Bbg_Market_Data_CL.xlsm]data!R87C18</stp>
        <tr r="R87" s="1"/>
      </tp>
      <tp t="s">
        <v>#N/A Requesting Data...</v>
        <stp/>
        <stp>##V3_BDHV12</stp>
        <stp>CL1 Comdty</stp>
        <stp>VOLATILITY_10D</stp>
        <stp>14/02/2017</stp>
        <stp>14/02/2017</stp>
        <stp>[Bbg_Market_Data_CL.xlsm]data!R40C17</stp>
        <tr r="Q40" s="1"/>
      </tp>
      <tp t="s">
        <v>#N/A Requesting Data...</v>
        <stp/>
        <stp>##V3_BDHV12</stp>
        <stp>CL2 Comdty</stp>
        <stp>VOLUME_TOTAL_CALL</stp>
        <stp>08/09/2015</stp>
        <stp>08/09/2015</stp>
        <stp>[Bbg_Market_Data_CL.xlsm]data!R396C15</stp>
        <tr r="O396" s="1"/>
      </tp>
      <tp t="s">
        <v>#N/A Requesting Data...</v>
        <stp/>
        <stp>##V3_BDHV12</stp>
        <stp>CL1 Comdty</stp>
        <stp>VOLATILITY_10D</stp>
        <stp>24/01/2017</stp>
        <stp>24/01/2017</stp>
        <stp>[Bbg_Market_Data_CL.xlsm]data!R55C17</stp>
        <tr r="Q55" s="1"/>
      </tp>
      <tp>
        <v>17.54</v>
        <stp/>
        <stp>##V3_BDHV12</stp>
        <stp>CL2 Comdty</stp>
        <stp>VOLATILITY_10D</stp>
        <stp>17/02/2017</stp>
        <stp>17/02/2017</stp>
        <stp>[Bbg_Market_Data_CL.xlsm]data!R37C17</stp>
        <tr r="Q37" s="1"/>
      </tp>
      <tp>
        <v>17.98</v>
        <stp/>
        <stp>##V3_BDHV12</stp>
        <stp>CL2 Comdty</stp>
        <stp>VOLATILITY_10D</stp>
        <stp>07/03/2017</stp>
        <stp>07/03/2017</stp>
        <stp>[Bbg_Market_Data_CL.xlsm]data!R26C17</stp>
        <tr r="Q26" s="1"/>
      </tp>
      <tp>
        <v>62.79</v>
        <stp/>
        <stp>##V3_BDHV12</stp>
        <stp>CL2 Comdty</stp>
        <stp>VOLATILITY_10D</stp>
        <stp>30/11/2016</stp>
        <stp>30/11/2016</stp>
        <stp>[Bbg_Market_Data_CL.xlsm]data!R91C17</stp>
        <tr r="Q91" s="1"/>
      </tp>
      <tp t="s">
        <v>#N/A Requesting Data...</v>
        <stp/>
        <stp>##V3_BDHV12</stp>
        <stp>CL2 Comdty</stp>
        <stp>VOLUME_TOTAL_CALL</stp>
        <stp>18/08/2015</stp>
        <stp>18/08/2015</stp>
        <stp>[Bbg_Market_Data_CL.xlsm]data!R410C15</stp>
        <tr r="O410" s="1"/>
      </tp>
      <tp>
        <v>18.72</v>
        <stp/>
        <stp>##V3_BDHV12</stp>
        <stp>CL2 Comdty</stp>
        <stp>VOLATILITY_30D</stp>
        <stp>02/03/2017</stp>
        <stp>02/03/2017</stp>
        <stp>[Bbg_Market_Data_CL.xlsm]data!R29C18</stp>
        <tr r="R29" s="1"/>
      </tp>
      <tp t="s">
        <v>#N/A Requesting Data...</v>
        <stp/>
        <stp>##V3_BDHV12</stp>
        <stp>CL1 Comdty</stp>
        <stp>VOLATILITY_30D</stp>
        <stp>01/03/2017</stp>
        <stp>01/03/2017</stp>
        <stp>[Bbg_Market_Data_CL.xlsm]data!R30C18</stp>
        <tr r="R30" s="1"/>
      </tp>
      <tp t="s">
        <v>#N/A Requesting Data...</v>
        <stp/>
        <stp>##V3_BDHV12</stp>
        <stp>CL1 Comdty</stp>
        <stp>VOLATILITY_10D</stp>
        <stp>03/03/2017</stp>
        <stp>03/03/2017</stp>
        <stp>[Bbg_Market_Data_CL.xlsm]data!R28C17</stp>
        <tr r="Q28" s="1"/>
      </tp>
      <tp t="s">
        <v>#N/A Requesting Data...</v>
        <stp/>
        <stp>##V3_BDHV12</stp>
        <stp>CL1 Comdty</stp>
        <stp>VOLATILITY_10D</stp>
        <stp>23/01/2017</stp>
        <stp>23/01/2017</stp>
        <stp>[Bbg_Market_Data_CL.xlsm]data!R56C17</stp>
        <tr r="Q56" s="1"/>
      </tp>
      <tp t="s">
        <v>#N/A Requesting Data...</v>
        <stp/>
        <stp>##V3_BDHV12</stp>
        <stp>CL1 Comdty</stp>
        <stp>VOLATILITY_30D</stp>
        <stp>01/12/2016</stp>
        <stp>01/12/2016</stp>
        <stp>[Bbg_Market_Data_CL.xlsm]data!R90C18</stp>
        <tr r="R90" s="1"/>
      </tp>
      <tp t="s">
        <v>#N/A Requesting Data...</v>
        <stp/>
        <stp>##V3_BDHV12</stp>
        <stp>CL1 Comdty</stp>
        <stp>VOLATILITY_10D</stp>
        <stp>13/02/2017</stp>
        <stp>13/02/2017</stp>
        <stp>[Bbg_Market_Data_CL.xlsm]data!R41C17</stp>
        <tr r="Q41" s="1"/>
      </tp>
      <tp>
        <v>20.51</v>
        <stp/>
        <stp>##V3_BDHV12</stp>
        <stp>CL2 Comdty</stp>
        <stp>VOLATILITY_10D</stp>
        <stp>10/02/2017</stp>
        <stp>10/02/2017</stp>
        <stp>[Bbg_Market_Data_CL.xlsm]data!R42C17</stp>
        <tr r="Q42" s="1"/>
      </tp>
      <tp>
        <v>45.24</v>
        <stp/>
        <stp>##V3_BDHV12</stp>
        <stp>CL2 Comdty</stp>
        <stp>VOLATILITY_30D</stp>
        <stp>02/12/2016</stp>
        <stp>02/12/2016</stp>
        <stp>[Bbg_Market_Data_CL.xlsm]data!R89C18</stp>
        <tr r="R89" s="1"/>
      </tp>
      <tp>
        <v>35.909999999999997</v>
        <stp/>
        <stp>##V3_BDHV12</stp>
        <stp>CL2 Comdty</stp>
        <stp>VOLATILITY_10D</stp>
        <stp>20/01/2017</stp>
        <stp>20/01/2017</stp>
        <stp>[Bbg_Market_Data_CL.xlsm]data!R57C17</stp>
        <tr r="Q57" s="1"/>
      </tp>
      <tp t="s">
        <v>#N/A Requesting Data...</v>
        <stp/>
        <stp>##V3_BDHV12</stp>
        <stp>CL1 Comdty</stp>
        <stp>VOLATILITY_30D</stp>
        <stp>20/01/2017</stp>
        <stp>20/01/2017</stp>
        <stp>[Bbg_Market_Data_CL.xlsm]data!R57C18</stp>
        <tr r="R57" s="1"/>
      </tp>
      <tp t="s">
        <v>#N/A Requesting Data...</v>
        <stp/>
        <stp>##V3_BDHV12</stp>
        <stp>CL1 Comdty</stp>
        <stp>VOLATILITY_30D</stp>
        <stp>10/02/2017</stp>
        <stp>10/02/2017</stp>
        <stp>[Bbg_Market_Data_CL.xlsm]data!R42C18</stp>
        <tr r="R42" s="1"/>
      </tp>
      <tp t="s">
        <v>#N/A Requesting Data...</v>
        <stp/>
        <stp>##V3_BDHV12</stp>
        <stp>CL1 Comdty</stp>
        <stp>VOLATILITY_10D</stp>
        <stp>02/12/2016</stp>
        <stp>02/12/2016</stp>
        <stp>[Bbg_Market_Data_CL.xlsm]data!R89C17</stp>
        <tr r="Q89" s="1"/>
      </tp>
      <tp>
        <v>26.24</v>
        <stp/>
        <stp>##V3_BDHV12</stp>
        <stp>CL2 Comdty</stp>
        <stp>VOLATILITY_30D</stp>
        <stp>13/02/2017</stp>
        <stp>13/02/2017</stp>
        <stp>[Bbg_Market_Data_CL.xlsm]data!R41C18</stp>
        <tr r="R41" s="1"/>
      </tp>
      <tp>
        <v>26.9</v>
        <stp/>
        <stp>##V3_BDHV12</stp>
        <stp>CL2 Comdty</stp>
        <stp>VOLATILITY_30D</stp>
        <stp>23/01/2017</stp>
        <stp>23/01/2017</stp>
        <stp>[Bbg_Market_Data_CL.xlsm]data!R56C18</stp>
        <tr r="R56" s="1"/>
      </tp>
      <tp>
        <v>63.29</v>
        <stp/>
        <stp>##V3_BDHV12</stp>
        <stp>CL2 Comdty</stp>
        <stp>VOLATILITY_10D</stp>
        <stp>01/12/2016</stp>
        <stp>01/12/2016</stp>
        <stp>[Bbg_Market_Data_CL.xlsm]data!R90C17</stp>
        <tr r="Q90" s="1"/>
      </tp>
      <tp>
        <v>18.079999999999998</v>
        <stp/>
        <stp>##V3_BDHV12</stp>
        <stp>CL2 Comdty</stp>
        <stp>VOLATILITY_30D</stp>
        <stp>03/03/2017</stp>
        <stp>03/03/2017</stp>
        <stp>[Bbg_Market_Data_CL.xlsm]data!R28C18</stp>
        <tr r="R28" s="1"/>
      </tp>
      <tp>
        <v>12.2</v>
        <stp/>
        <stp>##V3_BDHV12</stp>
        <stp>CL2 Comdty</stp>
        <stp>VOLATILITY_10D</stp>
        <stp>01/03/2017</stp>
        <stp>01/03/2017</stp>
        <stp>[Bbg_Market_Data_CL.xlsm]data!R30C17</stp>
        <tr r="Q30" s="1"/>
      </tp>
      <tp t="s">
        <v>#N/A Requesting Data...</v>
        <stp/>
        <stp>##V3_BDHV12</stp>
        <stp>CL1 Comdty</stp>
        <stp>VOLATILITY_10D</stp>
        <stp>02/03/2017</stp>
        <stp>02/03/2017</stp>
        <stp>[Bbg_Market_Data_CL.xlsm]data!R29C17</stp>
        <tr r="Q29" s="1"/>
      </tp>
      <tp t="s">
        <v>#N/A Requesting Data...</v>
        <stp/>
        <stp>##V3_BDHV12</stp>
        <stp>CL1 Comdty</stp>
        <stp>VOLATILITY_30D</stp>
        <stp>30/11/2016</stp>
        <stp>30/11/2016</stp>
        <stp>[Bbg_Market_Data_CL.xlsm]data!R91C18</stp>
        <tr r="R91" s="1"/>
      </tp>
      <tp>
        <v>27.37</v>
        <stp/>
        <stp>##V3_BDHV12</stp>
        <stp>CL2 Comdty</stp>
        <stp>VOLATILITY_30D</stp>
        <stp>20/01/2017</stp>
        <stp>20/01/2017</stp>
        <stp>[Bbg_Market_Data_CL.xlsm]data!R57C18</stp>
        <tr r="R57" s="1"/>
      </tp>
      <tp>
        <v>25.77</v>
        <stp/>
        <stp>##V3_BDHV12</stp>
        <stp>CL2 Comdty</stp>
        <stp>VOLATILITY_30D</stp>
        <stp>10/02/2017</stp>
        <stp>10/02/2017</stp>
        <stp>[Bbg_Market_Data_CL.xlsm]data!R42C18</stp>
        <tr r="R42" s="1"/>
      </tp>
      <tp>
        <v>63.21</v>
        <stp/>
        <stp>##V3_BDHV12</stp>
        <stp>CL2 Comdty</stp>
        <stp>VOLATILITY_10D</stp>
        <stp>02/12/2016</stp>
        <stp>02/12/2016</stp>
        <stp>[Bbg_Market_Data_CL.xlsm]data!R89C17</stp>
        <tr r="Q89" s="1"/>
      </tp>
      <tp t="s">
        <v>#N/A Requesting Data...</v>
        <stp/>
        <stp>##V3_BDHV12</stp>
        <stp>CL1 Comdty</stp>
        <stp>VOLATILITY_30D</stp>
        <stp>13/02/2017</stp>
        <stp>13/02/2017</stp>
        <stp>[Bbg_Market_Data_CL.xlsm]data!R41C18</stp>
        <tr r="R41" s="1"/>
      </tp>
      <tp t="s">
        <v>#N/A Requesting Data...</v>
        <stp/>
        <stp>##V3_BDHV12</stp>
        <stp>CL1 Comdty</stp>
        <stp>VOLATILITY_30D</stp>
        <stp>23/01/2017</stp>
        <stp>23/01/2017</stp>
        <stp>[Bbg_Market_Data_CL.xlsm]data!R56C18</stp>
        <tr r="R56" s="1"/>
      </tp>
      <tp t="s">
        <v>#N/A Requesting Data...</v>
        <stp/>
        <stp>##V3_BDHV12</stp>
        <stp>CL1 Comdty</stp>
        <stp>VOLATILITY_10D</stp>
        <stp>01/12/2016</stp>
        <stp>01/12/2016</stp>
        <stp>[Bbg_Market_Data_CL.xlsm]data!R90C17</stp>
        <tr r="Q90" s="1"/>
      </tp>
      <tp t="s">
        <v>#N/A Requesting Data...</v>
        <stp/>
        <stp>##V3_BDHV12</stp>
        <stp>CL1 Comdty</stp>
        <stp>VOLATILITY_30D</stp>
        <stp>03/03/2017</stp>
        <stp>03/03/2017</stp>
        <stp>[Bbg_Market_Data_CL.xlsm]data!R28C18</stp>
        <tr r="R28" s="1"/>
      </tp>
      <tp t="s">
        <v>#N/A Requesting Data...</v>
        <stp/>
        <stp>##V3_BDHV12</stp>
        <stp>CL1 Comdty</stp>
        <stp>VOLATILITY_10D</stp>
        <stp>01/03/2017</stp>
        <stp>01/03/2017</stp>
        <stp>[Bbg_Market_Data_CL.xlsm]data!R30C17</stp>
        <tr r="Q30" s="1"/>
      </tp>
      <tp>
        <v>17.649999999999999</v>
        <stp/>
        <stp>##V3_BDHV12</stp>
        <stp>CL2 Comdty</stp>
        <stp>VOLATILITY_10D</stp>
        <stp>02/03/2017</stp>
        <stp>02/03/2017</stp>
        <stp>[Bbg_Market_Data_CL.xlsm]data!R29C17</stp>
        <tr r="Q29" s="1"/>
      </tp>
      <tp>
        <v>44.83</v>
        <stp/>
        <stp>##V3_BDHV12</stp>
        <stp>CL2 Comdty</stp>
        <stp>VOLATILITY_30D</stp>
        <stp>30/11/2016</stp>
        <stp>30/11/2016</stp>
        <stp>[Bbg_Market_Data_CL.xlsm]data!R91C18</stp>
        <tr r="R91" s="1"/>
      </tp>
      <tp t="s">
        <v>#N/A Requesting Data...</v>
        <stp/>
        <stp>##V3_BDHV12</stp>
        <stp>CL1 Comdty</stp>
        <stp>VOLATILITY_10D</stp>
        <stp>30/11/2016</stp>
        <stp>30/11/2016</stp>
        <stp>[Bbg_Market_Data_CL.xlsm]data!R91C17</stp>
        <tr r="Q91" s="1"/>
      </tp>
      <tp t="s">
        <v>#N/A Requesting Data...</v>
        <stp/>
        <stp>##V3_BDHV12</stp>
        <stp>CL1 Comdty</stp>
        <stp>VOLUME_TOTAL_CALL</stp>
        <stp>18/08/2015</stp>
        <stp>18/08/2015</stp>
        <stp>[Bbg_Market_Data_CL.xlsm]data!R410C15</stp>
        <tr r="O410" s="1"/>
      </tp>
      <tp t="s">
        <v>#N/A Requesting Data...</v>
        <stp/>
        <stp>##V3_BDHV12</stp>
        <stp>CL1 Comdty</stp>
        <stp>VOLATILITY_30D</stp>
        <stp>02/03/2017</stp>
        <stp>02/03/2017</stp>
        <stp>[Bbg_Market_Data_CL.xlsm]data!R29C18</stp>
        <tr r="R29" s="1"/>
      </tp>
      <tp>
        <v>17.309999999999999</v>
        <stp/>
        <stp>##V3_BDHV12</stp>
        <stp>CL2 Comdty</stp>
        <stp>VOLATILITY_30D</stp>
        <stp>01/03/2017</stp>
        <stp>01/03/2017</stp>
        <stp>[Bbg_Market_Data_CL.xlsm]data!R30C18</stp>
        <tr r="R30" s="1"/>
      </tp>
      <tp>
        <v>19.350000000000001</v>
        <stp/>
        <stp>##V3_BDHV12</stp>
        <stp>CL2 Comdty</stp>
        <stp>VOLATILITY_10D</stp>
        <stp>03/03/2017</stp>
        <stp>03/03/2017</stp>
        <stp>[Bbg_Market_Data_CL.xlsm]data!R28C17</stp>
        <tr r="Q28" s="1"/>
      </tp>
      <tp>
        <v>29.65</v>
        <stp/>
        <stp>##V3_BDHV12</stp>
        <stp>CL2 Comdty</stp>
        <stp>VOLATILITY_10D</stp>
        <stp>23/01/2017</stp>
        <stp>23/01/2017</stp>
        <stp>[Bbg_Market_Data_CL.xlsm]data!R56C17</stp>
        <tr r="Q56" s="1"/>
      </tp>
      <tp>
        <v>45.31</v>
        <stp/>
        <stp>##V3_BDHV12</stp>
        <stp>CL2 Comdty</stp>
        <stp>VOLATILITY_30D</stp>
        <stp>01/12/2016</stp>
        <stp>01/12/2016</stp>
        <stp>[Bbg_Market_Data_CL.xlsm]data!R90C18</stp>
        <tr r="R90" s="1"/>
      </tp>
      <tp>
        <v>22.86</v>
        <stp/>
        <stp>##V3_BDHV12</stp>
        <stp>CL2 Comdty</stp>
        <stp>VOLATILITY_10D</stp>
        <stp>13/02/2017</stp>
        <stp>13/02/2017</stp>
        <stp>[Bbg_Market_Data_CL.xlsm]data!R41C17</stp>
        <tr r="Q41" s="1"/>
      </tp>
      <tp t="s">
        <v>#N/A Requesting Data...</v>
        <stp/>
        <stp>##V3_BDHV12</stp>
        <stp>CL1 Comdty</stp>
        <stp>VOLATILITY_10D</stp>
        <stp>10/02/2017</stp>
        <stp>10/02/2017</stp>
        <stp>[Bbg_Market_Data_CL.xlsm]data!R42C17</stp>
        <tr r="Q42" s="1"/>
      </tp>
      <tp t="s">
        <v>#N/A Requesting Data...</v>
        <stp/>
        <stp>##V3_BDHV12</stp>
        <stp>CL1 Comdty</stp>
        <stp>VOLATILITY_30D</stp>
        <stp>02/12/2016</stp>
        <stp>02/12/2016</stp>
        <stp>[Bbg_Market_Data_CL.xlsm]data!R89C18</stp>
        <tr r="R89" s="1"/>
      </tp>
      <tp t="s">
        <v>#N/A Requesting Data...</v>
        <stp/>
        <stp>##V3_BDHV12</stp>
        <stp>CL1 Comdty</stp>
        <stp>VOLATILITY_10D</stp>
        <stp>20/01/2017</stp>
        <stp>20/01/2017</stp>
        <stp>[Bbg_Market_Data_CL.xlsm]data!R57C17</stp>
        <tr r="Q57" s="1"/>
      </tp>
      <tp t="s">
        <v>#N/A Requesting Data...</v>
        <stp/>
        <stp>##V3_BDHV12</stp>
        <stp>CL1 Comdty</stp>
        <stp>PX_VOLUME</stp>
        <stp>19/01/2016</stp>
        <stp>19/01/2016</stp>
        <stp>[Bbg_Market_Data_CL.xlsm]data!R307C8</stp>
        <tr r="H307" s="1"/>
      </tp>
      <tp>
        <v>352770</v>
        <stp/>
        <stp>##V3_BDHV12</stp>
        <stp>CL2 Comdty</stp>
        <stp>PX_VOLUME</stp>
        <stp>08/12/2015</stp>
        <stp>08/12/2015</stp>
        <stp>[Bbg_Market_Data_CL.xlsm]data!R334C8</stp>
        <tr r="H334" s="1"/>
      </tp>
      <tp t="s">
        <v>#N/A Requesting Data...</v>
        <stp/>
        <stp>##V3_BDHV12</stp>
        <stp>CL1 Comdty</stp>
        <stp>PX_VOLUME</stp>
        <stp>08/12/2015</stp>
        <stp>08/12/2015</stp>
        <stp>[Bbg_Market_Data_CL.xlsm]data!R334C8</stp>
        <tr r="H334" s="1"/>
      </tp>
      <tp>
        <v>743931</v>
        <stp/>
        <stp>##V3_BDHV12</stp>
        <stp>CL2 Comdty</stp>
        <stp>PX_VOLUME</stp>
        <stp>19/01/2016</stp>
        <stp>19/01/2016</stp>
        <stp>[Bbg_Market_Data_CL.xlsm]data!R307C8</stp>
        <tr r="H307" s="1"/>
      </tp>
      <tp>
        <v>422086</v>
        <stp/>
        <stp>##V3_BDHV12</stp>
        <stp>CL2 Comdty</stp>
        <stp>PX_VOLUME</stp>
        <stp>19/11/2015</stp>
        <stp>19/11/2015</stp>
        <stp>[Bbg_Market_Data_CL.xlsm]data!R346C8</stp>
        <tr r="H346" s="1"/>
      </tp>
      <tp t="s">
        <v>#N/A Requesting Data...</v>
        <stp/>
        <stp>##V3_BDHV12</stp>
        <stp>CL1 Comdty</stp>
        <stp>PX_VOLUME</stp>
        <stp>19/11/2015</stp>
        <stp>19/11/2015</stp>
        <stp>[Bbg_Market_Data_CL.xlsm]data!R346C8</stp>
        <tr r="H346" s="1"/>
      </tp>
      <tp t="s">
        <v>#N/A Requesting Data...</v>
        <stp/>
        <stp>##V3_BDHV12</stp>
        <stp>CL1 Comdty</stp>
        <stp>PX_VOLUME</stp>
        <stp>08/03/2016</stp>
        <stp>08/03/2016</stp>
        <stp>[Bbg_Market_Data_CL.xlsm]data!R274C8</stp>
        <tr r="H274" s="1"/>
      </tp>
      <tp>
        <v>287390</v>
        <stp/>
        <stp>##V3_BDHV12</stp>
        <stp>CL2 Comdty</stp>
        <stp>PX_VOLUME</stp>
        <stp>08/03/2016</stp>
        <stp>08/03/2016</stp>
        <stp>[Bbg_Market_Data_CL.xlsm]data!R274C8</stp>
        <tr r="H274" s="1"/>
      </tp>
      <tp t="s">
        <v>#N/A Requesting Data...</v>
        <stp/>
        <stp>##V3_BDHV12</stp>
        <stp>CL1 Comdty</stp>
        <stp>PX_VOLUME</stp>
        <stp>19/05/2016</stp>
        <stp>19/05/2016</stp>
        <stp>[Bbg_Market_Data_CL.xlsm]data!R223C8</stp>
        <tr r="H223" s="1"/>
      </tp>
      <tp>
        <v>620753</v>
        <stp/>
        <stp>##V3_BDHV12</stp>
        <stp>CL2 Comdty</stp>
        <stp>PX_VOLUME</stp>
        <stp>19/05/2016</stp>
        <stp>19/05/2016</stp>
        <stp>[Bbg_Market_Data_CL.xlsm]data!R223C8</stp>
        <tr r="H223" s="1"/>
      </tp>
      <tp t="s">
        <v>#N/A Requesting Data...</v>
        <stp/>
        <stp>##V3_BDHV12</stp>
        <stp>CL1 Comdty</stp>
        <stp>PX_VOLUME</stp>
        <stp>19/05/2015</stp>
        <stp>19/05/2015</stp>
        <stp>[Bbg_Market_Data_CL.xlsm]data!R473C8</stp>
        <tr r="H473" s="1"/>
      </tp>
      <tp t="s">
        <v>#N/A Requesting Data...</v>
        <stp/>
        <stp>##V3_BDHV12</stp>
        <stp>CL2 Comdty</stp>
        <stp>PX_VOLUME</stp>
        <stp>19/05/2015</stp>
        <stp>19/05/2015</stp>
        <stp>[Bbg_Market_Data_CL.xlsm]data!R473C8</stp>
        <tr r="H473" s="1"/>
      </tp>
      <tp t="s">
        <v>#N/A Requesting Data...</v>
        <stp/>
        <stp>##V3_BDHV12</stp>
        <stp>CL2 Comdty</stp>
        <stp>PX_VOLUME</stp>
        <stp>06/05/2015</stp>
        <stp>06/05/2015</stp>
        <stp>[Bbg_Market_Data_CL.xlsm]data!R482C8</stp>
        <tr r="H482" s="1"/>
      </tp>
      <tp t="s">
        <v>#N/A Requesting Data...</v>
        <stp/>
        <stp>##V3_BDHV12</stp>
        <stp>CL1 Comdty</stp>
        <stp>PX_VOLUME</stp>
        <stp>05/06/2015</stp>
        <stp>05/06/2015</stp>
        <stp>[Bbg_Market_Data_CL.xlsm]data!R461C8</stp>
        <tr r="H461" s="1"/>
      </tp>
      <tp>
        <v>432642</v>
        <stp/>
        <stp>##V3_BDHV12</stp>
        <stp>CL2 Comdty</stp>
        <stp>PX_VOLUME</stp>
        <stp>20/11/2015</stp>
        <stp>20/11/2015</stp>
        <stp>[Bbg_Market_Data_CL.xlsm]data!R345C8</stp>
        <tr r="H345" s="1"/>
      </tp>
      <tp t="s">
        <v>#N/A Requesting Data...</v>
        <stp/>
        <stp>##V3_BDHV12</stp>
        <stp>CL1 Comdty</stp>
        <stp>PX_VOLUME</stp>
        <stp>20/11/2015</stp>
        <stp>20/11/2015</stp>
        <stp>[Bbg_Market_Data_CL.xlsm]data!R345C8</stp>
        <tr r="H345" s="1"/>
      </tp>
      <tp t="s">
        <v>#N/A Requesting Data...</v>
        <stp/>
        <stp>##V3_BDHV12</stp>
        <stp>CL1 Comdty</stp>
        <stp>PX_VOLUME</stp>
        <stp>06/05/2015</stp>
        <stp>06/05/2015</stp>
        <stp>[Bbg_Market_Data_CL.xlsm]data!R482C8</stp>
        <tr r="H482" s="1"/>
      </tp>
      <tp t="s">
        <v>#N/A Requesting Data...</v>
        <stp/>
        <stp>##V3_BDHV12</stp>
        <stp>CL2 Comdty</stp>
        <stp>PX_VOLUME</stp>
        <stp>05/06/2015</stp>
        <stp>05/06/2015</stp>
        <stp>[Bbg_Market_Data_CL.xlsm]data!R461C8</stp>
        <tr r="H461" s="1"/>
      </tp>
      <tp t="s">
        <v>#N/A Requesting Data...</v>
        <stp/>
        <stp>##V3_BDHV12</stp>
        <stp>CL1 Comdty</stp>
        <stp>PX_VOLUME</stp>
        <stp>07/07/2016</stp>
        <stp>07/07/2016</stp>
        <stp>[Bbg_Market_Data_CL.xlsm]data!R190C8</stp>
        <tr r="H190" s="1"/>
      </tp>
      <tp>
        <v>203360</v>
        <stp/>
        <stp>##V3_BDHV12</stp>
        <stp>CL2 Comdty</stp>
        <stp>PX_VOLUME</stp>
        <stp>07/07/2016</stp>
        <stp>07/07/2016</stp>
        <stp>[Bbg_Market_Data_CL.xlsm]data!R190C8</stp>
        <tr r="H190" s="1"/>
      </tp>
      <tp>
        <v>152379</v>
        <stp/>
        <stp>##V3_BDHV12</stp>
        <stp>CL2 Comdty</stp>
        <stp>PX_VOLUME</stp>
        <stp>22/01/2016</stp>
        <stp>22/01/2016</stp>
        <stp>[Bbg_Market_Data_CL.xlsm]data!R304C8</stp>
        <tr r="H304" s="1"/>
      </tp>
      <tp t="s">
        <v>#N/A Requesting Data...</v>
        <stp/>
        <stp>##V3_BDHV12</stp>
        <stp>CL1 Comdty</stp>
        <stp>PX_VOLUME</stp>
        <stp>03/11/2015</stp>
        <stp>03/11/2015</stp>
        <stp>[Bbg_Market_Data_CL.xlsm]data!R357C8</stp>
        <tr r="H357" s="1"/>
      </tp>
      <tp>
        <v>87734</v>
        <stp/>
        <stp>##V3_BDHV12</stp>
        <stp>CL2 Comdty</stp>
        <stp>PX_VOLUME</stp>
        <stp>03/11/2015</stp>
        <stp>03/11/2015</stp>
        <stp>[Bbg_Market_Data_CL.xlsm]data!R357C8</stp>
        <tr r="H357" s="1"/>
      </tp>
      <tp t="s">
        <v>#N/A Requesting Data...</v>
        <stp/>
        <stp>##V3_BDHV12</stp>
        <stp>CL1 Comdty</stp>
        <stp>PX_VOLUME</stp>
        <stp>22/01/2016</stp>
        <stp>22/01/2016</stp>
        <stp>[Bbg_Market_Data_CL.xlsm]data!R304C8</stp>
        <tr r="H304" s="1"/>
      </tp>
      <tp>
        <v>223539</v>
        <stp/>
        <stp>##V3_BDHV12</stp>
        <stp>CL2 Comdty</stp>
        <stp>PX_VOLUME</stp>
        <stp>07/06/2016</stp>
        <stp>07/06/2016</stp>
        <stp>[Bbg_Market_Data_CL.xlsm]data!R211C8</stp>
        <tr r="H211" s="1"/>
      </tp>
      <tp t="s">
        <v>#N/A Requesting Data...</v>
        <stp/>
        <stp>##V3_BDHV12</stp>
        <stp>CL1 Comdty</stp>
        <stp>PX_VOLUME</stp>
        <stp>07/06/2016</stp>
        <stp>07/06/2016</stp>
        <stp>[Bbg_Market_Data_CL.xlsm]data!R211C8</stp>
        <tr r="H211" s="1"/>
      </tp>
      <tp t="s">
        <v>#N/A Requesting Data...</v>
        <stp/>
        <stp>##V3_BDHV12</stp>
        <stp>CL1 Comdty</stp>
        <stp>PX_VOLUME</stp>
        <stp>23/10/2015</stp>
        <stp>23/10/2015</stp>
        <stp>[Bbg_Market_Data_CL.xlsm]data!R364C8</stp>
        <tr r="H364" s="1"/>
      </tp>
      <tp>
        <v>119697</v>
        <stp/>
        <stp>##V3_BDHV12</stp>
        <stp>CL2 Comdty</stp>
        <stp>PX_VOLUME</stp>
        <stp>23/10/2015</stp>
        <stp>23/10/2015</stp>
        <stp>[Bbg_Market_Data_CL.xlsm]data!R364C8</stp>
        <tr r="H364" s="1"/>
      </tp>
      <tp t="s">
        <v>#N/A Requesting Data...</v>
        <stp/>
        <stp>##V3_BDHV12</stp>
        <stp>CL2 Comdty</stp>
        <stp>PX_VOLUME</stp>
        <stp>07/07/2015</stp>
        <stp>07/07/2015</stp>
        <stp>[Bbg_Market_Data_CL.xlsm]data!R440C8</stp>
        <tr r="H440" s="1"/>
      </tp>
      <tp t="s">
        <v>#N/A Requesting Data...</v>
        <stp/>
        <stp>##V3_BDHV12</stp>
        <stp>CL1 Comdty</stp>
        <stp>PX_VOLUME</stp>
        <stp>07/07/2015</stp>
        <stp>07/07/2015</stp>
        <stp>[Bbg_Market_Data_CL.xlsm]data!R440C8</stp>
        <tr r="H440" s="1"/>
      </tp>
      <tp t="s">
        <v>#N/A Requesting Data...</v>
        <stp/>
        <stp>##V3_BDHV12</stp>
        <stp>CL1 Comdty</stp>
        <stp>PX_VOLUME</stp>
        <stp>24/05/2016</stp>
        <stp>24/05/2016</stp>
        <stp>[Bbg_Market_Data_CL.xlsm]data!R220C8</stp>
        <tr r="H220" s="1"/>
      </tp>
      <tp>
        <v>269936</v>
        <stp/>
        <stp>##V3_BDHV12</stp>
        <stp>CL2 Comdty</stp>
        <stp>PX_VOLUME</stp>
        <stp>07/04/2016</stp>
        <stp>07/04/2016</stp>
        <stp>[Bbg_Market_Data_CL.xlsm]data!R253C8</stp>
        <tr r="H253" s="1"/>
      </tp>
      <tp>
        <v>241309</v>
        <stp/>
        <stp>##V3_BDHV12</stp>
        <stp>CL2 Comdty</stp>
        <stp>PX_VOLUME</stp>
        <stp>06/05/2016</stp>
        <stp>06/05/2016</stp>
        <stp>[Bbg_Market_Data_CL.xlsm]data!R232C8</stp>
        <tr r="H232" s="1"/>
      </tp>
      <tp t="s">
        <v>#N/A Requesting Data...</v>
        <stp/>
        <stp>##V3_BDHV12</stp>
        <stp>CL1 Comdty</stp>
        <stp>PX_VOLUME</stp>
        <stp>25/04/2016</stp>
        <stp>25/04/2016</stp>
        <stp>[Bbg_Market_Data_CL.xlsm]data!R241C8</stp>
        <tr r="H241" s="1"/>
      </tp>
      <tp t="s">
        <v>#N/A Requesting Data...</v>
        <stp/>
        <stp>##V3_BDHV12</stp>
        <stp>CL1 Comdty</stp>
        <stp>PX_VOLUME</stp>
        <stp>06/05/2016</stp>
        <stp>06/05/2016</stp>
        <stp>[Bbg_Market_Data_CL.xlsm]data!R232C8</stp>
        <tr r="H232" s="1"/>
      </tp>
      <tp>
        <v>128815</v>
        <stp/>
        <stp>##V3_BDHV12</stp>
        <stp>CL2 Comdty</stp>
        <stp>PX_VOLUME</stp>
        <stp>25/04/2016</stp>
        <stp>25/04/2016</stp>
        <stp>[Bbg_Market_Data_CL.xlsm]data!R241C8</stp>
        <tr r="H241" s="1"/>
      </tp>
      <tp>
        <v>101827</v>
        <stp/>
        <stp>##V3_BDHV12</stp>
        <stp>CL2 Comdty</stp>
        <stp>PX_VOLUME</stp>
        <stp>24/05/2016</stp>
        <stp>24/05/2016</stp>
        <stp>[Bbg_Market_Data_CL.xlsm]data!R220C8</stp>
        <tr r="H220" s="1"/>
      </tp>
      <tp t="s">
        <v>#N/A Requesting Data...</v>
        <stp/>
        <stp>##V3_BDHV12</stp>
        <stp>CL1 Comdty</stp>
        <stp>PX_VOLUME</stp>
        <stp>07/04/2016</stp>
        <stp>07/04/2016</stp>
        <stp>[Bbg_Market_Data_CL.xlsm]data!R253C8</stp>
        <tr r="H253" s="1"/>
      </tp>
      <tp t="s">
        <v>#N/A Requesting Data...</v>
        <stp/>
        <stp>##V3_BDHV12</stp>
        <stp>CL1 Comdty</stp>
        <stp>PX_VOLUME</stp>
        <stp>05/01/2016</stp>
        <stp>05/01/2016</stp>
        <stp>[Bbg_Market_Data_CL.xlsm]data!R316C8</stp>
        <tr r="H316" s="1"/>
      </tp>
      <tp t="s">
        <v>#N/A Requesting Data...</v>
        <stp/>
        <stp>##V3_BDHV12</stp>
        <stp>CL1 Comdty</stp>
        <stp>PX_VOLUME</stp>
        <stp>26/10/2016</stp>
        <stp>26/10/2016</stp>
        <stp>[Bbg_Market_Data_CL.xlsm]data!R114C8</stp>
        <tr r="H114" s="1"/>
      </tp>
      <tp>
        <v>134877</v>
        <stp/>
        <stp>##V3_BDHV12</stp>
        <stp>CL2 Comdty</stp>
        <stp>PX_VOLUME</stp>
        <stp>26/10/2016</stp>
        <stp>26/10/2016</stp>
        <stp>[Bbg_Market_Data_CL.xlsm]data!R114C8</stp>
        <tr r="H114" s="1"/>
      </tp>
      <tp>
        <v>126519</v>
        <stp/>
        <stp>##V3_BDHV12</stp>
        <stp>CL2 Comdty</stp>
        <stp>PX_VOLUME</stp>
        <stp>05/01/2016</stp>
        <stp>05/01/2016</stp>
        <stp>[Bbg_Market_Data_CL.xlsm]data!R316C8</stp>
        <tr r="H316" s="1"/>
      </tp>
      <tp>
        <v>210399</v>
        <stp/>
        <stp>##V3_BDHV12</stp>
        <stp>CL2 Comdty</stp>
        <stp>PX_VOLUME</stp>
        <stp>04/11/2016</stp>
        <stp>04/11/2016</stp>
        <stp>[Bbg_Market_Data_CL.xlsm]data!R107C8</stp>
        <tr r="H107" s="1"/>
      </tp>
      <tp t="s">
        <v>#N/A Requesting Data...</v>
        <stp/>
        <stp>##V3_BDHV12</stp>
        <stp>CL1 Comdty</stp>
        <stp>PX_VOLUME</stp>
        <stp>06/10/2015</stp>
        <stp>06/10/2015</stp>
        <stp>[Bbg_Market_Data_CL.xlsm]data!R376C8</stp>
        <tr r="H376" s="1"/>
      </tp>
      <tp t="s">
        <v>#N/A Requesting Data...</v>
        <stp/>
        <stp>##V3_BDHV12</stp>
        <stp>CL1 Comdty</stp>
        <stp>PX_VOLUME</stp>
        <stp>04/11/2016</stp>
        <stp>04/11/2016</stp>
        <stp>[Bbg_Market_Data_CL.xlsm]data!R107C8</stp>
        <tr r="H107" s="1"/>
      </tp>
      <tp>
        <v>175112</v>
        <stp/>
        <stp>##V3_BDHV12</stp>
        <stp>CL2 Comdty</stp>
        <stp>PX_VOLUME</stp>
        <stp>06/10/2015</stp>
        <stp>06/10/2015</stp>
        <stp>[Bbg_Market_Data_CL.xlsm]data!R376C8</stp>
        <tr r="H376" s="1"/>
      </tp>
      <tp t="s">
        <v>#N/A Requesting Data...</v>
        <stp/>
        <stp>##V3_BDHV12</stp>
        <stp>CL1 Comdty</stp>
        <stp>PX_VOLUME</stp>
        <stp>04/02/2016</stp>
        <stp>04/02/2016</stp>
        <stp>[Bbg_Market_Data_CL.xlsm]data!R295C8</stp>
        <tr r="H295" s="1"/>
      </tp>
      <tp t="s">
        <v>#N/A Requesting Data...</v>
        <stp/>
        <stp>##V3_BDHV12</stp>
        <stp>CL2 Comdty</stp>
        <stp>PX_VOLUME</stp>
        <stp>22/05/2015</stp>
        <stp>22/05/2015</stp>
        <stp>[Bbg_Market_Data_CL.xlsm]data!R470C8</stp>
        <tr r="H470" s="1"/>
      </tp>
      <tp t="s">
        <v>#N/A Requesting Data...</v>
        <stp/>
        <stp>##V3_BDHV12</stp>
        <stp>CL2 Comdty</stp>
        <stp>PX_VOLUME</stp>
        <stp>23/04/2015</stp>
        <stp>23/04/2015</stp>
        <stp>[Bbg_Market_Data_CL.xlsm]data!R491C8</stp>
        <tr r="H491" s="1"/>
      </tp>
      <tp t="s">
        <v>#N/A Requesting Data...</v>
        <stp/>
        <stp>##V3_BDHV12</stp>
        <stp>CL1 Comdty</stp>
        <stp>PX_VOLUME</stp>
        <stp>23/04/2015</stp>
        <stp>23/04/2015</stp>
        <stp>[Bbg_Market_Data_CL.xlsm]data!R491C8</stp>
        <tr r="H491" s="1"/>
      </tp>
      <tp>
        <v>241329</v>
        <stp/>
        <stp>##V3_BDHV12</stp>
        <stp>CL2 Comdty</stp>
        <stp>PX_VOLUME</stp>
        <stp>04/02/2016</stp>
        <stp>04/02/2016</stp>
        <stp>[Bbg_Market_Data_CL.xlsm]data!R295C8</stp>
        <tr r="H295" s="1"/>
      </tp>
      <tp t="s">
        <v>#N/A Requesting Data...</v>
        <stp/>
        <stp>##V3_BDHV12</stp>
        <stp>CL1 Comdty</stp>
        <stp>PX_VOLUME</stp>
        <stp>22/05/2015</stp>
        <stp>22/05/2015</stp>
        <stp>[Bbg_Market_Data_CL.xlsm]data!R470C8</stp>
        <tr r="H470" s="1"/>
      </tp>
      <tp t="s">
        <v>#N/A Requesting Data...</v>
        <stp/>
        <stp>##V3_BDHV12</stp>
        <stp>CL1 Comdty</stp>
        <stp>PX_VOLUME</stp>
        <stp>07/10/2016</stp>
        <stp>07/10/2016</stp>
        <stp>[Bbg_Market_Data_CL.xlsm]data!R126C8</stp>
        <tr r="H126" s="1"/>
      </tp>
      <tp t="s">
        <v>#N/A Requesting Data...</v>
        <stp/>
        <stp>##V3_BDHV12</stp>
        <stp>CL1 Comdty</stp>
        <stp>PX_VOLUME</stp>
        <stp>30/07/2015</stp>
        <stp>30/07/2015</stp>
        <stp>[Bbg_Market_Data_CL.xlsm]data!R423C8</stp>
        <tr r="H423" s="1"/>
      </tp>
      <tp t="s">
        <v>#N/A Requesting Data...</v>
        <stp/>
        <stp>##V3_BDHV12</stp>
        <stp>CL2 Comdty</stp>
        <stp>PX_VOLUME</stp>
        <stp>30/07/2015</stp>
        <stp>30/07/2015</stp>
        <stp>[Bbg_Market_Data_CL.xlsm]data!R423C8</stp>
        <tr r="H423" s="1"/>
      </tp>
      <tp>
        <v>273375</v>
        <stp/>
        <stp>##V3_BDHV12</stp>
        <stp>CL2 Comdty</stp>
        <stp>PX_VOLUME</stp>
        <stp>07/10/2016</stp>
        <stp>07/10/2016</stp>
        <stp>[Bbg_Market_Data_CL.xlsm]data!R126C8</stp>
        <tr r="H126" s="1"/>
      </tp>
      <tp t="s">
        <v>#N/A Requesting Data...</v>
        <stp/>
        <stp>##V3_BDHV12</stp>
        <stp>SPGSCLP Index</stp>
        <stp>CHG_PCT_5D</stp>
        <stp>17/11/2016</stp>
        <stp>17/11/2016</stp>
        <stp>[Bbg_Market_Data_CL.xlsm]data!R99C4</stp>
        <tr r="D99" s="1"/>
      </tp>
      <tp t="s">
        <v>#N/A Requesting Data...</v>
        <stp/>
        <stp>##V3_BDHV12</stp>
        <stp>SPGSCLP Index</stp>
        <stp>CHG_PCT_5D</stp>
        <stp>04/01/2017</stp>
        <stp>04/01/2017</stp>
        <stp>[Bbg_Market_Data_CL.xlsm]data!R68C4</stp>
        <tr r="D68" s="1"/>
      </tp>
      <tp t="s">
        <v>#N/A Requesting Data...</v>
        <stp/>
        <stp>##V3_BDHV12</stp>
        <stp>SPGSCLP Index</stp>
        <stp>CHG_PCT_1D</stp>
        <stp>04/01/2017</stp>
        <stp>04/01/2017</stp>
        <stp>[Bbg_Market_Data_CL.xlsm]data!R68C3</stp>
        <tr r="C68" s="1"/>
      </tp>
      <tp t="s">
        <v>#N/A Requesting Data...</v>
        <stp/>
        <stp>##V3_BDHV12</stp>
        <stp>SPGSCLP Index</stp>
        <stp>CHG_PCT_1D</stp>
        <stp>17/11/2016</stp>
        <stp>17/11/2016</stp>
        <stp>[Bbg_Market_Data_CL.xlsm]data!R99C3</stp>
        <tr r="C99" s="1"/>
      </tp>
      <tp t="s">
        <v>#N/A Requesting Data...</v>
        <stp/>
        <stp>##V3_BDHV12</stp>
        <stp>SPGSCLP Index</stp>
        <stp>CHG_PCT_1D</stp>
        <stp>19/01/2017</stp>
        <stp>19/01/2017</stp>
        <stp>[Bbg_Market_Data_CL.xlsm]data!R58C3</stp>
        <tr r="C58" s="1"/>
      </tp>
      <tp t="s">
        <v>#N/A Requesting Data...</v>
        <stp/>
        <stp>##V3_BDHV12</stp>
        <stp>SPGSCLP Index</stp>
        <stp>CHG_PCT_5D</stp>
        <stp>19/01/2017</stp>
        <stp>19/01/2017</stp>
        <stp>[Bbg_Market_Data_CL.xlsm]data!R58C4</stp>
        <tr r="D58" s="1"/>
      </tp>
      <tp t="s">
        <v>#N/A Requesting Data...</v>
        <stp/>
        <stp>##V3_BDHV12</stp>
        <stp>SPGSCLP Index</stp>
        <stp>CHG_PCT_1D</stp>
        <stp>02/12/2016</stp>
        <stp>02/12/2016</stp>
        <stp>[Bbg_Market_Data_CL.xlsm]data!R89C3</stp>
        <tr r="C89" s="1"/>
      </tp>
      <tp t="s">
        <v>#N/A Requesting Data...</v>
        <stp/>
        <stp>##V3_BDHV12</stp>
        <stp>SPGSCLP Index</stp>
        <stp>CHG_PCT_1D</stp>
        <stp>03/03/2017</stp>
        <stp>03/03/2017</stp>
        <stp>[Bbg_Market_Data_CL.xlsm]data!R28C3</stp>
        <tr r="C28" s="1"/>
      </tp>
      <tp t="s">
        <v>#N/A Requesting Data...</v>
        <stp/>
        <stp>##V3_BDHV12</stp>
        <stp>SPGSCLP Index</stp>
        <stp>CHG_PCT_5D</stp>
        <stp>16/02/2017</stp>
        <stp>16/02/2017</stp>
        <stp>[Bbg_Market_Data_CL.xlsm]data!R38C4</stp>
        <tr r="D38" s="1"/>
      </tp>
      <tp t="s">
        <v>#N/A Requesting Data...</v>
        <stp/>
        <stp>##V3_BDHV12</stp>
        <stp>SPGSCLP Index</stp>
        <stp>CHG_PCT_1D</stp>
        <stp>16/02/2017</stp>
        <stp>16/02/2017</stp>
        <stp>[Bbg_Market_Data_CL.xlsm]data!R38C3</stp>
        <tr r="C38" s="1"/>
      </tp>
      <tp t="s">
        <v>#N/A Requesting Data...</v>
        <stp/>
        <stp>##V3_BDHV12</stp>
        <stp>SPGSCLP Index</stp>
        <stp>CHG_PCT_5D</stp>
        <stp>03/03/2017</stp>
        <stp>03/03/2017</stp>
        <stp>[Bbg_Market_Data_CL.xlsm]data!R28C4</stp>
        <tr r="D28" s="1"/>
      </tp>
      <tp t="s">
        <v>#N/A Requesting Data...</v>
        <stp/>
        <stp>##V3_BDHV12</stp>
        <stp>SPGSCLP Index</stp>
        <stp>CHG_PCT_5D</stp>
        <stp>02/12/2016</stp>
        <stp>02/12/2016</stp>
        <stp>[Bbg_Market_Data_CL.xlsm]data!R89C4</stp>
        <tr r="D89" s="1"/>
      </tp>
      <tp t="s">
        <v>#N/A Requesting Data...</v>
        <stp/>
        <stp>##V3_BDHV12</stp>
        <stp>SPGSCLP Index</stp>
        <stp>CHG_PCT_1D</stp>
        <stp>02/02/2017</stp>
        <stp>02/02/2017</stp>
        <stp>[Bbg_Market_Data_CL.xlsm]data!R48C3</stp>
        <tr r="C48" s="1"/>
      </tp>
      <tp t="s">
        <v>#N/A Requesting Data...</v>
        <stp/>
        <stp>##V3_BDHV12</stp>
        <stp>SPGSCLP Index</stp>
        <stp>CHG_PCT_5D</stp>
        <stp>16/12/2016</stp>
        <stp>16/12/2016</stp>
        <stp>[Bbg_Market_Data_CL.xlsm]data!R79C4</stp>
        <tr r="D79" s="1"/>
      </tp>
      <tp t="s">
        <v>#N/A Requesting Data...</v>
        <stp/>
        <stp>##V3_BDHV12</stp>
        <stp>SPGSCLP Index</stp>
        <stp>CHG_PCT_5D</stp>
        <stp>17/03/2017</stp>
        <stp>17/03/2017</stp>
        <stp>[Bbg_Market_Data_CL.xlsm]data!R18C4</stp>
        <tr r="D18" s="1"/>
      </tp>
      <tp t="s">
        <v>#N/A Requesting Data...</v>
        <stp/>
        <stp>##V3_BDHV12</stp>
        <stp>SPGSCLP Index</stp>
        <stp>CHG_PCT_1D</stp>
        <stp>17/03/2017</stp>
        <stp>17/03/2017</stp>
        <stp>[Bbg_Market_Data_CL.xlsm]data!R18C3</stp>
        <tr r="C18" s="1"/>
      </tp>
      <tp t="s">
        <v>#N/A Requesting Data...</v>
        <stp/>
        <stp>##V3_BDHV12</stp>
        <stp>SPGSCLP Index</stp>
        <stp>CHG_PCT_1D</stp>
        <stp>16/12/2016</stp>
        <stp>16/12/2016</stp>
        <stp>[Bbg_Market_Data_CL.xlsm]data!R79C3</stp>
        <tr r="C79" s="1"/>
      </tp>
      <tp t="s">
        <v>#N/A Requesting Data...</v>
        <stp/>
        <stp>##V3_BDHV12</stp>
        <stp>SPGSCLP Index</stp>
        <stp>CHG_PCT_5D</stp>
        <stp>02/02/2017</stp>
        <stp>02/02/2017</stp>
        <stp>[Bbg_Market_Data_CL.xlsm]data!R48C4</stp>
        <tr r="D48" s="1"/>
      </tp>
      <tp t="s">
        <v>#N/A Requesting Data...</v>
        <stp/>
        <stp>##V3_BDHV12</stp>
        <stp>CL2 Comdty</stp>
        <stp>VOLUME_TOTAL_CALL</stp>
        <stp>11/05/2016</stp>
        <stp>11/05/2016</stp>
        <stp>[Bbg_Market_Data_CL.xlsm]data!R229C15</stp>
        <tr r="O229" s="1"/>
      </tp>
      <tp t="s">
        <v>#N/A Requesting Data...</v>
        <stp/>
        <stp>##V3_BDHV12</stp>
        <stp>CL2 Comdty</stp>
        <stp>VOLUME_TOTAL_CALL</stp>
        <stp>21/06/2016</stp>
        <stp>21/06/2016</stp>
        <stp>[Bbg_Market_Data_CL.xlsm]data!R201C15</stp>
        <tr r="O201" s="1"/>
      </tp>
      <tp t="s">
        <v>#N/A Requesting Data...</v>
        <stp/>
        <stp>##V3_BDHV12</stp>
        <stp>CL2 Comdty</stp>
        <stp>VOLUME_TOTAL_CALL</stp>
        <stp>01/04/2016</stp>
        <stp>01/04/2016</stp>
        <stp>[Bbg_Market_Data_CL.xlsm]data!R257C15</stp>
        <tr r="O257" s="1"/>
      </tp>
      <tp t="s">
        <v>#N/A Requesting Data...</v>
        <stp/>
        <stp>##V3_BDHV12</stp>
        <stp>CL1 Comdty</stp>
        <stp>VOLUME_TOTAL_CALL</stp>
        <stp>03/06/2016</stp>
        <stp>03/06/2016</stp>
        <stp>[Bbg_Market_Data_CL.xlsm]data!R213C15</stp>
        <tr r="O213" s="1"/>
      </tp>
      <tp t="s">
        <v>#N/A Requesting Data...</v>
        <stp/>
        <stp>##V3_BDHV12</stp>
        <stp>CL1 Comdty</stp>
        <stp>VOLUME_TOTAL_CALL</stp>
        <stp>30/06/2016</stp>
        <stp>30/06/2016</stp>
        <stp>[Bbg_Market_Data_CL.xlsm]data!R194C15</stp>
        <tr r="O194" s="1"/>
      </tp>
      <tp t="s">
        <v>#N/A Requesting Data...</v>
        <stp/>
        <stp>##V3_BDHV12</stp>
        <stp>CL1 Comdty</stp>
        <stp>VOLUME_TOTAL_CALL</stp>
        <stp>20/07/2016</stp>
        <stp>20/07/2016</stp>
        <stp>[Bbg_Market_Data_CL.xlsm]data!R181C15</stp>
        <tr r="O181" s="1"/>
      </tp>
      <tp t="s">
        <v>#N/A Requesting Data...</v>
        <stp/>
        <stp>##V3_BDHV12</stp>
        <stp>CL2 Comdty</stp>
        <stp>VOLUME_TOTAL_CALL</stp>
        <stp>13/07/2016</stp>
        <stp>13/07/2016</stp>
        <stp>[Bbg_Market_Data_CL.xlsm]data!R186C15</stp>
        <tr r="O186" s="1"/>
      </tp>
      <tp t="s">
        <v>#N/A Requesting Data...</v>
        <stp/>
        <stp>##V3_BDHV12</stp>
        <stp>CL2 Comdty</stp>
        <stp>VOLUME_TOTAL_CALL</stp>
        <stp>03/06/2016</stp>
        <stp>03/06/2016</stp>
        <stp>[Bbg_Market_Data_CL.xlsm]data!R213C15</stp>
        <tr r="O213" s="1"/>
      </tp>
      <tp t="s">
        <v>#N/A Requesting Data...</v>
        <stp/>
        <stp>##V3_BDHV12</stp>
        <stp>CL2 Comdty</stp>
        <stp>VOLUME_TOTAL_CALL</stp>
        <stp>30/06/2016</stp>
        <stp>30/06/2016</stp>
        <stp>[Bbg_Market_Data_CL.xlsm]data!R194C15</stp>
        <tr r="O194" s="1"/>
      </tp>
      <tp t="s">
        <v>#N/A Requesting Data...</v>
        <stp/>
        <stp>##V3_BDHV12</stp>
        <stp>CL2 Comdty</stp>
        <stp>VOLUME_TOTAL_CALL</stp>
        <stp>20/07/2016</stp>
        <stp>20/07/2016</stp>
        <stp>[Bbg_Market_Data_CL.xlsm]data!R181C15</stp>
        <tr r="O181" s="1"/>
      </tp>
      <tp t="s">
        <v>#N/A Requesting Data...</v>
        <stp/>
        <stp>##V3_BDHV12</stp>
        <stp>CL1 Comdty</stp>
        <stp>VOLUME_TOTAL_CALL</stp>
        <stp>13/07/2016</stp>
        <stp>13/07/2016</stp>
        <stp>[Bbg_Market_Data_CL.xlsm]data!R186C15</stp>
        <tr r="O186" s="1"/>
      </tp>
      <tp t="s">
        <v>#N/A Requesting Data...</v>
        <stp/>
        <stp>##V3_BDHV12</stp>
        <stp>CL1 Comdty</stp>
        <stp>VOLUME_TOTAL_CALL</stp>
        <stp>11/05/2016</stp>
        <stp>11/05/2016</stp>
        <stp>[Bbg_Market_Data_CL.xlsm]data!R229C15</stp>
        <tr r="O229" s="1"/>
      </tp>
      <tp t="s">
        <v>#N/A Requesting Data...</v>
        <stp/>
        <stp>##V3_BDHV12</stp>
        <stp>CL1 Comdty</stp>
        <stp>VOLUME_TOTAL_CALL</stp>
        <stp>21/06/2016</stp>
        <stp>21/06/2016</stp>
        <stp>[Bbg_Market_Data_CL.xlsm]data!R201C15</stp>
        <tr r="O201" s="1"/>
      </tp>
      <tp t="s">
        <v>#N/A Requesting Data...</v>
        <stp/>
        <stp>##V3_BDHV12</stp>
        <stp>CL1 Comdty</stp>
        <stp>VOLUME_TOTAL_CALL</stp>
        <stp>01/04/2016</stp>
        <stp>01/04/2016</stp>
        <stp>[Bbg_Market_Data_CL.xlsm]data!R257C15</stp>
        <tr r="O257" s="1"/>
      </tp>
      <tp t="s">
        <v>#N/A Requesting Data...</v>
        <stp/>
        <stp>##V3_BDHV12</stp>
        <stp>CL1 Comdty</stp>
        <stp>VOLUME_TOTAL_CALL</stp>
        <stp>05/10/2016</stp>
        <stp>05/10/2016</stp>
        <stp>[Bbg_Market_Data_CL.xlsm]data!R128C15</stp>
        <tr r="O128" s="1"/>
      </tp>
      <tp t="s">
        <v>#N/A Requesting Data...</v>
        <stp/>
        <stp>##V3_BDHV12</stp>
        <stp>CL2 Comdty</stp>
        <stp>VOLUME_TOTAL_CALL</stp>
        <stp>10/07/2015</stp>
        <stp>10/07/2015</stp>
        <stp>[Bbg_Market_Data_CL.xlsm]data!R437C15</stp>
        <tr r="O437" s="1"/>
      </tp>
      <tp t="s">
        <v>#N/A Requesting Data...</v>
        <stp/>
        <stp>##V3_BDHV12</stp>
        <stp>CL1 Comdty</stp>
        <stp>VOLUME_TOTAL_CALL</stp>
        <stp>23/07/2015</stp>
        <stp>23/07/2015</stp>
        <stp>[Bbg_Market_Data_CL.xlsm]data!R428C15</stp>
        <tr r="O428" s="1"/>
      </tp>
      <tp t="s">
        <v>#N/A Requesting Data...</v>
        <stp/>
        <stp>##V3_BDHV12</stp>
        <stp>CL1 Comdty</stp>
        <stp>VOLUME_TOTAL_CALL</stp>
        <stp>04/12/2015</stp>
        <stp>04/12/2015</stp>
        <stp>[Bbg_Market_Data_CL.xlsm]data!R336C15</stp>
        <tr r="O336" s="1"/>
      </tp>
      <tp t="s">
        <v>#N/A Requesting Data...</v>
        <stp/>
        <stp>##V3_BDHV12</stp>
        <stp>CL2 Comdty</stp>
        <stp>VOLUME_TOTAL_CALL</stp>
        <stp>04/01/2016</stp>
        <stp>04/01/2016</stp>
        <stp>[Bbg_Market_Data_CL.xlsm]data!R317C15</stp>
        <tr r="O317" s="1"/>
      </tp>
      <tp t="s">
        <v>#N/A Requesting Data...</v>
        <stp/>
        <stp>##V3_BDHV12</stp>
        <stp>CL1 Comdty</stp>
        <stp>VOLUME_TOTAL_CALL</stp>
        <stp>15/11/2016</stp>
        <stp>15/11/2016</stp>
        <stp>[Bbg_Market_Data_CL.xlsm]data!R101C15</stp>
        <tr r="O101" s="1"/>
      </tp>
      <tp t="s">
        <v>#N/A Requesting Data...</v>
        <stp/>
        <stp>##V3_BDHV12</stp>
        <stp>CL1 Comdty</stp>
        <stp>VOLUME_TOTAL_CALL</stp>
        <stp>13/04/2015</stp>
        <stp>13/04/2015</stp>
        <stp>[Bbg_Market_Data_CL.xlsm]data!R499C15</stp>
        <tr r="O499" s="1"/>
      </tp>
      <tp t="s">
        <v>#N/A Requesting Data...</v>
        <stp/>
        <stp>##V3_BDHV12</stp>
        <stp>CL2 Comdty</stp>
        <stp>VOLUME_TOTAL_CALL</stp>
        <stp>20/04/2015</stp>
        <stp>20/04/2015</stp>
        <stp>[Bbg_Market_Data_CL.xlsm]data!R494C15</stp>
        <tr r="O494" s="1"/>
      </tp>
      <tp t="s">
        <v>#N/A Requesting Data...</v>
        <stp/>
        <stp>##V3_BDHV12</stp>
        <stp>CL2 Comdty</stp>
        <stp>VOLUME_TOTAL_CALL</stp>
        <stp>25/02/2016</stp>
        <stp>25/02/2016</stp>
        <stp>[Bbg_Market_Data_CL.xlsm]data!R282C15</stp>
        <tr r="O282" s="1"/>
      </tp>
      <tp t="s">
        <v>#N/A Requesting Data...</v>
        <stp/>
        <stp>##V3_BDHV12</stp>
        <stp>CL1 Comdty</stp>
        <stp>VOLUME_TOTAL_CALL</stp>
        <stp>15/12/2015</stp>
        <stp>15/12/2015</stp>
        <stp>[Bbg_Market_Data_CL.xlsm]data!R329C15</stp>
        <tr r="O329" s="1"/>
      </tp>
      <tp t="s">
        <v>#N/A Requesting Data...</v>
        <stp/>
        <stp>##V3_BDHV12</stp>
        <stp>CL1 Comdty</stp>
        <stp>VOLUME_TOTAL_CALL</stp>
        <stp>14/10/2016</stp>
        <stp>14/10/2016</stp>
        <stp>[Bbg_Market_Data_CL.xlsm]data!R122C15</stp>
        <tr r="O122" s="1"/>
      </tp>
      <tp t="s">
        <v>#N/A Requesting Data...</v>
        <stp/>
        <stp>##V3_BDHV12</stp>
        <stp>CL1 Comdty</stp>
        <stp>VOLUME_TOTAL_CALL</stp>
        <stp>04/11/2016</stp>
        <stp>04/11/2016</stp>
        <stp>[Bbg_Market_Data_CL.xlsm]data!R107C15</stp>
        <tr r="O107" s="1"/>
      </tp>
      <tp t="s">
        <v>#N/A Requesting Data...</v>
        <stp/>
        <stp>##V3_BDHV12</stp>
        <stp>CL2 Comdty</stp>
        <stp>VOLUME_TOTAL_CALL</stp>
        <stp>15/01/2016</stp>
        <stp>15/01/2016</stp>
        <stp>[Bbg_Market_Data_CL.xlsm]data!R308C15</stp>
        <tr r="O308" s="1"/>
      </tp>
      <tp t="s">
        <v>#N/A Requesting Data...</v>
        <stp/>
        <stp>##V3_BDHV12</stp>
        <stp>CL1 Comdty</stp>
        <stp>VOLUME_TOTAL_CALL</stp>
        <stp>26/01/2016</stp>
        <stp>26/01/2016</stp>
        <stp>[Bbg_Market_Data_CL.xlsm]data!R302C15</stp>
        <tr r="O302" s="1"/>
      </tp>
      <tp t="s">
        <v>#N/A Requesting Data...</v>
        <stp/>
        <stp>##V3_BDHV12</stp>
        <stp>CL2 Comdty</stp>
        <stp>VOLUME_TOTAL_CALL</stp>
        <stp>27/10/2016</stp>
        <stp>27/10/2016</stp>
        <stp>[Bbg_Market_Data_CL.xlsm]data!R113C15</stp>
        <tr r="O113" s="1"/>
      </tp>
      <tp t="s">
        <v>#N/A Requesting Data...</v>
        <stp/>
        <stp>##V3_BDHV12</stp>
        <stp>CL1 Comdty</stp>
        <stp>VOLUME_TOTAL_CALL</stp>
        <stp>12/05/2015</stp>
        <stp>12/05/2015</stp>
        <stp>[Bbg_Market_Data_CL.xlsm]data!R478C15</stp>
        <tr r="O478" s="1"/>
      </tp>
      <tp t="s">
        <v>#N/A Requesting Data...</v>
        <stp/>
        <stp>##V3_BDHV12</stp>
        <stp>CL2 Comdty</stp>
        <stp>VOLUME_TOTAL_CALL</stp>
        <stp>21/05/2015</stp>
        <stp>21/05/2015</stp>
        <stp>[Bbg_Market_Data_CL.xlsm]data!R471C15</stp>
        <tr r="O471" s="1"/>
      </tp>
      <tp t="s">
        <v>#N/A Requesting Data...</v>
        <stp/>
        <stp>##V3_BDHV12</stp>
        <stp>CL1 Comdty</stp>
        <stp>VOLUME_TOTAL_CALL</stp>
        <stp>17/03/2016</stp>
        <stp>17/03/2016</stp>
        <stp>[Bbg_Market_Data_CL.xlsm]data!R267C15</stp>
        <tr r="O267" s="1"/>
      </tp>
      <tp t="s">
        <v>#N/A Requesting Data...</v>
        <stp/>
        <stp>##V3_BDHV12</stp>
        <stp>CL2 Comdty</stp>
        <stp>VOLUME_TOTAL_CALL</stp>
        <stp>06/10/2015</stp>
        <stp>06/10/2015</stp>
        <stp>[Bbg_Market_Data_CL.xlsm]data!R376C15</stp>
        <tr r="O376" s="1"/>
      </tp>
      <tp t="s">
        <v>#N/A Requesting Data...</v>
        <stp/>
        <stp>##V3_BDHV12</stp>
        <stp>CL2 Comdty</stp>
        <stp>VOLUME_TOTAL_CALL</stp>
        <stp>24/03/2016</stp>
        <stp>24/03/2016</stp>
        <stp>[Bbg_Market_Data_CL.xlsm]data!R262C15</stp>
        <tr r="O262" s="1"/>
      </tp>
      <tp t="s">
        <v>#N/A Requesting Data...</v>
        <stp/>
        <stp>##V3_BDHV12</stp>
        <stp>CL2 Comdty</stp>
        <stp>VOLUME_TOTAL_CALL</stp>
        <stp>16/11/2015</stp>
        <stp>16/11/2015</stp>
        <stp>[Bbg_Market_Data_CL.xlsm]data!R349C15</stp>
        <tr r="O349" s="1"/>
      </tp>
      <tp t="s">
        <v>#N/A Requesting Data...</v>
        <stp/>
        <stp>##V3_BDHV12</stp>
        <stp>CL1 Comdty</stp>
        <stp>VOLUME_TOTAL_CALL</stp>
        <stp>22/06/2015</stp>
        <stp>22/06/2015</stp>
        <stp>[Bbg_Market_Data_CL.xlsm]data!R450C15</stp>
        <tr r="O450" s="1"/>
      </tp>
      <tp t="s">
        <v>#N/A Requesting Data...</v>
        <stp/>
        <stp>##V3_BDHV12</stp>
        <stp>CL1 Comdty</stp>
        <stp>VOLUME_TOTAL_CALL</stp>
        <stp>25/11/2015</stp>
        <stp>25/11/2015</stp>
        <stp>[Bbg_Market_Data_CL.xlsm]data!R342C15</stp>
        <tr r="O342" s="1"/>
      </tp>
      <tp t="s">
        <v>#N/A Requesting Data...</v>
        <stp/>
        <stp>##V3_BDHV12</stp>
        <stp>CL2 Comdty</stp>
        <stp>VOLUME_TOTAL_CALL</stp>
        <stp>11/06/2015</stp>
        <stp>11/06/2015</stp>
        <stp>[Bbg_Market_Data_CL.xlsm]data!R457C15</stp>
        <tr r="O457" s="1"/>
      </tp>
      <tp t="s">
        <v>#N/A Requesting Data...</v>
        <stp/>
        <stp>##V3_BDHV12</stp>
        <stp>CL2 Comdty</stp>
        <stp>VOLUME_TOTAL_CALL</stp>
        <stp>01/07/2015</stp>
        <stp>01/07/2015</stp>
        <stp>[Bbg_Market_Data_CL.xlsm]data!R443C15</stp>
        <tr r="O443" s="1"/>
      </tp>
      <tp t="s">
        <v>#N/A Requesting Data...</v>
        <stp/>
        <stp>##V3_BDHV12</stp>
        <stp>CL2 Comdty</stp>
        <stp>VOLUME_TOTAL_CALL</stp>
        <stp>15/12/2015</stp>
        <stp>15/12/2015</stp>
        <stp>[Bbg_Market_Data_CL.xlsm]data!R329C15</stp>
        <tr r="O329" s="1"/>
      </tp>
      <tp t="s">
        <v>#N/A Requesting Data...</v>
        <stp/>
        <stp>##V3_BDHV12</stp>
        <stp>CL2 Comdty</stp>
        <stp>VOLUME_TOTAL_CALL</stp>
        <stp>14/10/2016</stp>
        <stp>14/10/2016</stp>
        <stp>[Bbg_Market_Data_CL.xlsm]data!R122C15</stp>
        <tr r="O122" s="1"/>
      </tp>
      <tp t="s">
        <v>#N/A Requesting Data...</v>
        <stp/>
        <stp>##V3_BDHV12</stp>
        <stp>CL2 Comdty</stp>
        <stp>VOLUME_TOTAL_CALL</stp>
        <stp>04/11/2016</stp>
        <stp>04/11/2016</stp>
        <stp>[Bbg_Market_Data_CL.xlsm]data!R107C15</stp>
        <tr r="O107" s="1"/>
      </tp>
      <tp t="s">
        <v>#N/A Requesting Data...</v>
        <stp/>
        <stp>##V3_BDHV12</stp>
        <stp>CL1 Comdty</stp>
        <stp>VOLUME_TOTAL_CALL</stp>
        <stp>15/01/2016</stp>
        <stp>15/01/2016</stp>
        <stp>[Bbg_Market_Data_CL.xlsm]data!R308C15</stp>
        <tr r="O308" s="1"/>
      </tp>
      <tp t="s">
        <v>#N/A Requesting Data...</v>
        <stp/>
        <stp>##V3_BDHV12</stp>
        <stp>CL2 Comdty</stp>
        <stp>VOLUME_TOTAL_CALL</stp>
        <stp>26/01/2016</stp>
        <stp>26/01/2016</stp>
        <stp>[Bbg_Market_Data_CL.xlsm]data!R302C15</stp>
        <tr r="O302" s="1"/>
      </tp>
      <tp t="s">
        <v>#N/A Requesting Data...</v>
        <stp/>
        <stp>##V3_BDHV12</stp>
        <stp>CL1 Comdty</stp>
        <stp>VOLUME_TOTAL_CALL</stp>
        <stp>27/10/2016</stp>
        <stp>27/10/2016</stp>
        <stp>[Bbg_Market_Data_CL.xlsm]data!R113C15</stp>
        <tr r="O113" s="1"/>
      </tp>
      <tp t="s">
        <v>#N/A Requesting Data...</v>
        <stp/>
        <stp>##V3_BDHV12</stp>
        <stp>CL2 Comdty</stp>
        <stp>VOLUME_TOTAL_CALL</stp>
        <stp>12/05/2015</stp>
        <stp>12/05/2015</stp>
        <stp>[Bbg_Market_Data_CL.xlsm]data!R478C15</stp>
        <tr r="O478" s="1"/>
      </tp>
      <tp t="s">
        <v>#N/A Requesting Data...</v>
        <stp/>
        <stp>##V3_BDHV12</stp>
        <stp>CL1 Comdty</stp>
        <stp>VOLUME_TOTAL_CALL</stp>
        <stp>21/05/2015</stp>
        <stp>21/05/2015</stp>
        <stp>[Bbg_Market_Data_CL.xlsm]data!R471C15</stp>
        <tr r="O471" s="1"/>
      </tp>
      <tp t="s">
        <v>#N/A Requesting Data...</v>
        <stp/>
        <stp>##V3_BDHV12</stp>
        <stp>CL2 Comdty</stp>
        <stp>VOLUME_TOTAL_CALL</stp>
        <stp>17/03/2016</stp>
        <stp>17/03/2016</stp>
        <stp>[Bbg_Market_Data_CL.xlsm]data!R267C15</stp>
        <tr r="O267" s="1"/>
      </tp>
      <tp t="s">
        <v>#N/A Requesting Data...</v>
        <stp/>
        <stp>##V3_BDHV12</stp>
        <stp>CL1 Comdty</stp>
        <stp>VOLUME_TOTAL_CALL</stp>
        <stp>06/10/2015</stp>
        <stp>06/10/2015</stp>
        <stp>[Bbg_Market_Data_CL.xlsm]data!R376C15</stp>
        <tr r="O376" s="1"/>
      </tp>
      <tp t="s">
        <v>#N/A Requesting Data...</v>
        <stp/>
        <stp>##V3_BDHV12</stp>
        <stp>CL1 Comdty</stp>
        <stp>VOLUME_TOTAL_CALL</stp>
        <stp>24/03/2016</stp>
        <stp>24/03/2016</stp>
        <stp>[Bbg_Market_Data_CL.xlsm]data!R262C15</stp>
        <tr r="O262" s="1"/>
      </tp>
      <tp t="s">
        <v>#N/A Requesting Data...</v>
        <stp/>
        <stp>##V3_BDHV12</stp>
        <stp>CL1 Comdty</stp>
        <stp>VOLUME_TOTAL_CALL</stp>
        <stp>16/11/2015</stp>
        <stp>16/11/2015</stp>
        <stp>[Bbg_Market_Data_CL.xlsm]data!R349C15</stp>
        <tr r="O349" s="1"/>
      </tp>
      <tp t="s">
        <v>#N/A Requesting Data...</v>
        <stp/>
        <stp>##V3_BDHV12</stp>
        <stp>CL2 Comdty</stp>
        <stp>VOLUME_TOTAL_CALL</stp>
        <stp>22/06/2015</stp>
        <stp>22/06/2015</stp>
        <stp>[Bbg_Market_Data_CL.xlsm]data!R450C15</stp>
        <tr r="O450" s="1"/>
      </tp>
      <tp t="s">
        <v>#N/A Requesting Data...</v>
        <stp/>
        <stp>##V3_BDHV12</stp>
        <stp>CL1 Comdty</stp>
        <stp>VOLUME_TOTAL_CALL</stp>
        <stp>11/06/2015</stp>
        <stp>11/06/2015</stp>
        <stp>[Bbg_Market_Data_CL.xlsm]data!R457C15</stp>
        <tr r="O457" s="1"/>
      </tp>
      <tp t="s">
        <v>#N/A Requesting Data...</v>
        <stp/>
        <stp>##V3_BDHV12</stp>
        <stp>CL2 Comdty</stp>
        <stp>VOLUME_TOTAL_CALL</stp>
        <stp>25/11/2015</stp>
        <stp>25/11/2015</stp>
        <stp>[Bbg_Market_Data_CL.xlsm]data!R342C15</stp>
        <tr r="O342" s="1"/>
      </tp>
      <tp t="s">
        <v>#N/A Requesting Data...</v>
        <stp/>
        <stp>##V3_BDHV12</stp>
        <stp>CL1 Comdty</stp>
        <stp>VOLUME_TOTAL_CALL</stp>
        <stp>01/07/2015</stp>
        <stp>01/07/2015</stp>
        <stp>[Bbg_Market_Data_CL.xlsm]data!R443C15</stp>
        <tr r="O443" s="1"/>
      </tp>
      <tp t="s">
        <v>#N/A Requesting Data...</v>
        <stp/>
        <stp>##V3_BDHV12</stp>
        <stp>CL2 Comdty</stp>
        <stp>VOLUME_TOTAL_CALL</stp>
        <stp>05/10/2016</stp>
        <stp>05/10/2016</stp>
        <stp>[Bbg_Market_Data_CL.xlsm]data!R128C15</stp>
        <tr r="O128" s="1"/>
      </tp>
      <tp t="s">
        <v>#N/A Requesting Data...</v>
        <stp/>
        <stp>##V3_BDHV12</stp>
        <stp>CL1 Comdty</stp>
        <stp>VOLUME_TOTAL_CALL</stp>
        <stp>10/07/2015</stp>
        <stp>10/07/2015</stp>
        <stp>[Bbg_Market_Data_CL.xlsm]data!R437C15</stp>
        <tr r="O437" s="1"/>
      </tp>
      <tp t="s">
        <v>#N/A Requesting Data...</v>
        <stp/>
        <stp>##V3_BDHV12</stp>
        <stp>CL2 Comdty</stp>
        <stp>VOLUME_TOTAL_CALL</stp>
        <stp>23/07/2015</stp>
        <stp>23/07/2015</stp>
        <stp>[Bbg_Market_Data_CL.xlsm]data!R428C15</stp>
        <tr r="O428" s="1"/>
      </tp>
      <tp t="s">
        <v>#N/A Requesting Data...</v>
        <stp/>
        <stp>##V3_BDHV12</stp>
        <stp>CL2 Comdty</stp>
        <stp>VOLUME_TOTAL_CALL</stp>
        <stp>04/12/2015</stp>
        <stp>04/12/2015</stp>
        <stp>[Bbg_Market_Data_CL.xlsm]data!R336C15</stp>
        <tr r="O336" s="1"/>
      </tp>
      <tp t="s">
        <v>#N/A Requesting Data...</v>
        <stp/>
        <stp>##V3_BDHV12</stp>
        <stp>CL1 Comdty</stp>
        <stp>VOLUME_TOTAL_CALL</stp>
        <stp>04/01/2016</stp>
        <stp>04/01/2016</stp>
        <stp>[Bbg_Market_Data_CL.xlsm]data!R317C15</stp>
        <tr r="O317" s="1"/>
      </tp>
      <tp t="s">
        <v>#N/A Requesting Data...</v>
        <stp/>
        <stp>##V3_BDHV12</stp>
        <stp>CL2 Comdty</stp>
        <stp>VOLUME_TOTAL_CALL</stp>
        <stp>15/11/2016</stp>
        <stp>15/11/2016</stp>
        <stp>[Bbg_Market_Data_CL.xlsm]data!R101C15</stp>
        <tr r="O101" s="1"/>
      </tp>
      <tp t="s">
        <v>#N/A Requesting Data...</v>
        <stp/>
        <stp>##V3_BDHV12</stp>
        <stp>CL2 Comdty</stp>
        <stp>VOLUME_TOTAL_CALL</stp>
        <stp>13/04/2015</stp>
        <stp>13/04/2015</stp>
        <stp>[Bbg_Market_Data_CL.xlsm]data!R499C15</stp>
        <tr r="O499" s="1"/>
      </tp>
      <tp t="s">
        <v>#N/A Requesting Data...</v>
        <stp/>
        <stp>##V3_BDHV12</stp>
        <stp>CL1 Comdty</stp>
        <stp>VOLUME_TOTAL_CALL</stp>
        <stp>20/04/2015</stp>
        <stp>20/04/2015</stp>
        <stp>[Bbg_Market_Data_CL.xlsm]data!R494C15</stp>
        <tr r="O494" s="1"/>
      </tp>
      <tp t="s">
        <v>#N/A Requesting Data...</v>
        <stp/>
        <stp>##V3_BDHV12</stp>
        <stp>CL1 Comdty</stp>
        <stp>VOLUME_TOTAL_CALL</stp>
        <stp>25/02/2016</stp>
        <stp>25/02/2016</stp>
        <stp>[Bbg_Market_Data_CL.xlsm]data!R282C15</stp>
        <tr r="O282" s="1"/>
      </tp>
      <tp>
        <v>266971</v>
        <stp/>
        <stp>##V3_BDHV12</stp>
        <stp>CL2 Comdty</stp>
        <stp>PX_VOLUME</stp>
        <stp>09/12/2015</stp>
        <stp>09/12/2015</stp>
        <stp>[Bbg_Market_Data_CL.xlsm]data!R333C8</stp>
        <tr r="H333" s="1"/>
      </tp>
      <tp t="s">
        <v>#N/A Requesting Data...</v>
        <stp/>
        <stp>##V3_BDHV12</stp>
        <stp>CL1 Comdty</stp>
        <stp>PX_VOLUME</stp>
        <stp>09/12/2015</stp>
        <stp>09/12/2015</stp>
        <stp>[Bbg_Market_Data_CL.xlsm]data!R333C8</stp>
        <tr r="H333" s="1"/>
      </tp>
      <tp t="s">
        <v>#N/A Requesting Data...</v>
        <stp/>
        <stp>##V3_BDHV12</stp>
        <stp>CL1 Comdty</stp>
        <stp>PX_VOLUME</stp>
        <stp>02/09/2015</stp>
        <stp>02/09/2015</stp>
        <stp>[Bbg_Market_Data_CL.xlsm]data!R399C8</stp>
        <tr r="H399" s="1"/>
      </tp>
      <tp>
        <v>172548</v>
        <stp/>
        <stp>##V3_BDHV12</stp>
        <stp>CL2 Comdty</stp>
        <stp>PX_VOLUME</stp>
        <stp>02/09/2015</stp>
        <stp>02/09/2015</stp>
        <stp>[Bbg_Market_Data_CL.xlsm]data!R399C8</stp>
        <tr r="H399" s="1"/>
      </tp>
      <tp>
        <v>380490</v>
        <stp/>
        <stp>##V3_BDHV12</stp>
        <stp>CL2 Comdty</stp>
        <stp>PX_VOLUME</stp>
        <stp>18/10/2016</stp>
        <stp>18/10/2016</stp>
        <stp>[Bbg_Market_Data_CL.xlsm]data!R120C8</stp>
        <tr r="H120" s="1"/>
      </tp>
      <tp t="s">
        <v>#N/A Requesting Data...</v>
        <stp/>
        <stp>##V3_BDHV12</stp>
        <stp>CL1 Comdty</stp>
        <stp>PX_VOLUME</stp>
        <stp>28/03/2016</stp>
        <stp>28/03/2016</stp>
        <stp>[Bbg_Market_Data_CL.xlsm]data!R261C8</stp>
        <tr r="H261" s="1"/>
      </tp>
      <tp t="s">
        <v>#N/A Requesting Data...</v>
        <stp/>
        <stp>##V3_BDHV12</stp>
        <stp>CL1 Comdty</stp>
        <stp>PX_VOLUME</stp>
        <stp>29/02/2016</stp>
        <stp>29/02/2016</stp>
        <stp>[Bbg_Market_Data_CL.xlsm]data!R280C8</stp>
        <tr r="H280" s="1"/>
      </tp>
      <tp>
        <v>132233</v>
        <stp/>
        <stp>##V3_BDHV12</stp>
        <stp>CL2 Comdty</stp>
        <stp>PX_VOLUME</stp>
        <stp>29/02/2016</stp>
        <stp>29/02/2016</stp>
        <stp>[Bbg_Market_Data_CL.xlsm]data!R280C8</stp>
        <tr r="H280" s="1"/>
      </tp>
      <tp t="s">
        <v>#N/A Requesting Data...</v>
        <stp/>
        <stp>##V3_BDHV12</stp>
        <stp>CL1 Comdty</stp>
        <stp>PX_VOLUME</stp>
        <stp>18/10/2016</stp>
        <stp>18/10/2016</stp>
        <stp>[Bbg_Market_Data_CL.xlsm]data!R120C8</stp>
        <tr r="H120" s="1"/>
      </tp>
      <tp>
        <v>57121</v>
        <stp/>
        <stp>##V3_BDHV12</stp>
        <stp>CL2 Comdty</stp>
        <stp>PX_VOLUME</stp>
        <stp>28/03/2016</stp>
        <stp>28/03/2016</stp>
        <stp>[Bbg_Market_Data_CL.xlsm]data!R261C8</stp>
        <tr r="H261" s="1"/>
      </tp>
      <tp t="s">
        <v>#N/A Requesting Data...</v>
        <stp/>
        <stp>##V3_BDHV12</stp>
        <stp>CL1 Comdty</stp>
        <stp>PX_VOLUME</stp>
        <stp>09/03/2016</stp>
        <stp>09/03/2016</stp>
        <stp>[Bbg_Market_Data_CL.xlsm]data!R273C8</stp>
        <tr r="H273" s="1"/>
      </tp>
      <tp>
        <v>334937</v>
        <stp/>
        <stp>##V3_BDHV12</stp>
        <stp>CL2 Comdty</stp>
        <stp>PX_VOLUME</stp>
        <stp>09/03/2016</stp>
        <stp>09/03/2016</stp>
        <stp>[Bbg_Market_Data_CL.xlsm]data!R273C8</stp>
        <tr r="H273" s="1"/>
      </tp>
      <tp t="s">
        <v>#N/A Requesting Data...</v>
        <stp/>
        <stp>##V3_BDHV12</stp>
        <stp>CL1 Comdty</stp>
        <stp>PX_VOLUME</stp>
        <stp>09/02/2016</stp>
        <stp>09/02/2016</stp>
        <stp>[Bbg_Market_Data_CL.xlsm]data!R292C8</stp>
        <tr r="H292" s="1"/>
      </tp>
      <tp>
        <v>49195</v>
        <stp/>
        <stp>##V3_BDHV12</stp>
        <stp>CL2 Comdty</stp>
        <stp>PX_VOLUME</stp>
        <stp>28/12/2015</stp>
        <stp>28/12/2015</stp>
        <stp>[Bbg_Market_Data_CL.xlsm]data!R321C8</stp>
        <tr r="H321" s="1"/>
      </tp>
      <tp>
        <v>364500</v>
        <stp/>
        <stp>##V3_BDHV12</stp>
        <stp>CL2 Comdty</stp>
        <stp>PX_VOLUME</stp>
        <stp>09/02/2016</stp>
        <stp>09/02/2016</stp>
        <stp>[Bbg_Market_Data_CL.xlsm]data!R292C8</stp>
        <tr r="H292" s="1"/>
      </tp>
      <tp t="s">
        <v>#N/A Requesting Data...</v>
        <stp/>
        <stp>##V3_BDHV12</stp>
        <stp>CL1 Comdty</stp>
        <stp>PX_VOLUME</stp>
        <stp>28/12/2015</stp>
        <stp>28/12/2015</stp>
        <stp>[Bbg_Market_Data_CL.xlsm]data!R321C8</stp>
        <tr r="H321" s="1"/>
      </tp>
      <tp t="s">
        <v>#N/A Requesting Data...</v>
        <stp/>
        <stp>##V3_BDHV12</stp>
        <stp>CL1 Comdty</stp>
        <stp>PX_VOLUME</stp>
        <stp>18/05/2016</stp>
        <stp>18/05/2016</stp>
        <stp>[Bbg_Market_Data_CL.xlsm]data!R224C8</stp>
        <tr r="H224" s="1"/>
      </tp>
      <tp t="s">
        <v>#N/A Requesting Data...</v>
        <stp/>
        <stp>##V3_BDHV12</stp>
        <stp>CL1 Comdty</stp>
        <stp>PX_VOLUME</stp>
        <stp>19/04/2016</stp>
        <stp>19/04/2016</stp>
        <stp>[Bbg_Market_Data_CL.xlsm]data!R245C8</stp>
        <tr r="H245" s="1"/>
      </tp>
      <tp>
        <v>711459</v>
        <stp/>
        <stp>##V3_BDHV12</stp>
        <stp>CL2 Comdty</stp>
        <stp>PX_VOLUME</stp>
        <stp>19/04/2016</stp>
        <stp>19/04/2016</stp>
        <stp>[Bbg_Market_Data_CL.xlsm]data!R245C8</stp>
        <tr r="H245" s="1"/>
      </tp>
      <tp>
        <v>522016</v>
        <stp/>
        <stp>##V3_BDHV12</stp>
        <stp>CL2 Comdty</stp>
        <stp>PX_VOLUME</stp>
        <stp>18/05/2016</stp>
        <stp>18/05/2016</stp>
        <stp>[Bbg_Market_Data_CL.xlsm]data!R224C8</stp>
        <tr r="H224" s="1"/>
      </tp>
      <tp t="s">
        <v>#N/A Requesting Data...</v>
        <stp/>
        <stp>##V3_BDHV12</stp>
        <stp>CL1 Comdty</stp>
        <stp>PX_VOLUME</stp>
        <stp>28/05/2015</stp>
        <stp>28/05/2015</stp>
        <stp>[Bbg_Market_Data_CL.xlsm]data!R467C8</stp>
        <tr r="H467" s="1"/>
      </tp>
      <tp t="s">
        <v>#N/A Requesting Data...</v>
        <stp/>
        <stp>##V3_BDHV12</stp>
        <stp>CL2 Comdty</stp>
        <stp>PX_VOLUME</stp>
        <stp>28/05/2015</stp>
        <stp>28/05/2015</stp>
        <stp>[Bbg_Market_Data_CL.xlsm]data!R467C8</stp>
        <tr r="H467" s="1"/>
      </tp>
      <tp>
        <v>94814</v>
        <stp/>
        <stp>##V3_BDHV12</stp>
        <stp>CL2 Comdty</stp>
        <stp>PX_VOLUME</stp>
        <stp>28/07/2016</stp>
        <stp>28/07/2016</stp>
        <stp>[Bbg_Market_Data_CL.xlsm]data!R175C8</stp>
        <tr r="H175" s="1"/>
      </tp>
      <tp t="s">
        <v>#N/A Requesting Data...</v>
        <stp/>
        <stp>##V3_BDHV12</stp>
        <stp>CL1 Comdty</stp>
        <stp>PX_VOLUME</stp>
        <stp>28/07/2016</stp>
        <stp>28/07/2016</stp>
        <stp>[Bbg_Market_Data_CL.xlsm]data!R175C8</stp>
        <tr r="H175" s="1"/>
      </tp>
      <tp>
        <v>161457</v>
        <stp/>
        <stp>##V3_BDHV12</stp>
        <stp>CL2 Comdty</stp>
        <stp>PX_VOLUME</stp>
        <stp>06/08/2015</stp>
        <stp>06/08/2015</stp>
        <stp>[Bbg_Market_Data_CL.xlsm]data!R418C8</stp>
        <tr r="H418" s="1"/>
      </tp>
      <tp t="s">
        <v>#N/A Requesting Data...</v>
        <stp/>
        <stp>##V3_BDHV12</stp>
        <stp>CL1 Comdty</stp>
        <stp>PX_VOLUME</stp>
        <stp>06/08/2015</stp>
        <stp>06/08/2015</stp>
        <stp>[Bbg_Market_Data_CL.xlsm]data!R418C8</stp>
        <tr r="H418" s="1"/>
      </tp>
      <tp t="s">
        <v>#N/A Requesting Data...</v>
        <stp/>
        <stp>##V3_BDHV12</stp>
        <stp>CL1 Comdty</stp>
        <stp>PX_VOLUME</stp>
        <stp>28/07/2015</stp>
        <stp>28/07/2015</stp>
        <stp>[Bbg_Market_Data_CL.xlsm]data!R425C8</stp>
        <tr r="H425" s="1"/>
      </tp>
      <tp t="s">
        <v>#N/A Requesting Data...</v>
        <stp/>
        <stp>##V3_BDHV12</stp>
        <stp>CL2 Comdty</stp>
        <stp>PX_VOLUME</stp>
        <stp>28/07/2015</stp>
        <stp>28/07/2015</stp>
        <stp>[Bbg_Market_Data_CL.xlsm]data!R425C8</stp>
        <tr r="H425" s="1"/>
      </tp>
      <tp t="s">
        <v>#N/A Requesting Data...</v>
        <stp/>
        <stp>##V3_BDHV12</stp>
        <stp>CL1 Comdty</stp>
        <stp>PX_VOLUME</stp>
        <stp>18/05/2015</stp>
        <stp>18/05/2015</stp>
        <stp>[Bbg_Market_Data_CL.xlsm]data!R474C8</stp>
        <tr r="H474" s="1"/>
      </tp>
      <tp t="s">
        <v>#N/A Requesting Data...</v>
        <stp/>
        <stp>##V3_BDHV12</stp>
        <stp>CL2 Comdty</stp>
        <stp>PX_VOLUME</stp>
        <stp>18/05/2015</stp>
        <stp>18/05/2015</stp>
        <stp>[Bbg_Market_Data_CL.xlsm]data!R474C8</stp>
        <tr r="H474" s="1"/>
      </tp>
      <tp t="s">
        <v>#N/A Requesting Data...</v>
        <stp/>
        <stp>##V3_BDHV12</stp>
        <stp>CL1 Comdty</stp>
        <stp>PX_VOLUME</stp>
        <stp>06/09/2016</stp>
        <stp>06/09/2016</stp>
        <stp>[Bbg_Market_Data_CL.xlsm]data!R149C8</stp>
        <tr r="H149" s="1"/>
      </tp>
      <tp>
        <v>264289</v>
        <stp/>
        <stp>##V3_BDHV12</stp>
        <stp>CL2 Comdty</stp>
        <stp>PX_VOLUME</stp>
        <stp>06/09/2016</stp>
        <stp>06/09/2016</stp>
        <stp>[Bbg_Market_Data_CL.xlsm]data!R149C8</stp>
        <tr r="H149" s="1"/>
      </tp>
      <tp>
        <v>228071</v>
        <stp/>
        <stp>##V3_BDHV12</stp>
        <stp>CL2 Comdty</stp>
        <stp>PX_VOLUME</stp>
        <stp>10/12/2015</stp>
        <stp>10/12/2015</stp>
        <stp>[Bbg_Market_Data_CL.xlsm]data!R332C8</stp>
        <tr r="H332" s="1"/>
      </tp>
      <tp>
        <v>278185</v>
        <stp/>
        <stp>##V3_BDHV12</stp>
        <stp>CL2 Comdty</stp>
        <stp>PX_VOLUME</stp>
        <stp>01/11/2016</stp>
        <stp>01/11/2016</stp>
        <stp>[Bbg_Market_Data_CL.xlsm]data!R110C8</stp>
        <tr r="H110" s="1"/>
      </tp>
      <tp t="s">
        <v>#N/A Requesting Data...</v>
        <stp/>
        <stp>##V3_BDHV12</stp>
        <stp>CL1 Comdty</stp>
        <stp>PX_VOLUME</stp>
        <stp>10/12/2015</stp>
        <stp>10/12/2015</stp>
        <stp>[Bbg_Market_Data_CL.xlsm]data!R332C8</stp>
        <tr r="H332" s="1"/>
      </tp>
      <tp t="s">
        <v>#N/A Requesting Data...</v>
        <stp/>
        <stp>##V3_BDHV12</stp>
        <stp>CL1 Comdty</stp>
        <stp>PX_VOLUME</stp>
        <stp>01/11/2016</stp>
        <stp>01/11/2016</stp>
        <stp>[Bbg_Market_Data_CL.xlsm]data!R110C8</stp>
        <tr r="H110" s="1"/>
      </tp>
      <tp>
        <v>71529</v>
        <stp/>
        <stp>##V3_BDHV12</stp>
        <stp>CL2 Comdty</stp>
        <stp>PX_VOLUME</stp>
        <stp>27/05/2016</stp>
        <stp>27/05/2016</stp>
        <stp>[Bbg_Market_Data_CL.xlsm]data!R217C8</stp>
        <tr r="H217" s="1"/>
      </tp>
      <tp t="s">
        <v>#N/A Requesting Data...</v>
        <stp/>
        <stp>##V3_BDHV12</stp>
        <stp>CL1 Comdty</stp>
        <stp>PX_VOLUME</stp>
        <stp>27/05/2016</stp>
        <stp>27/05/2016</stp>
        <stp>[Bbg_Market_Data_CL.xlsm]data!R217C8</stp>
        <tr r="H217" s="1"/>
      </tp>
      <tp>
        <v>243534</v>
        <stp/>
        <stp>##V3_BDHV12</stp>
        <stp>CL2 Comdty</stp>
        <stp>PX_VOLUME</stp>
        <stp>09/08/2016</stp>
        <stp>09/08/2016</stp>
        <stp>[Bbg_Market_Data_CL.xlsm]data!R168C8</stp>
        <tr r="H168" s="1"/>
      </tp>
      <tp t="s">
        <v>#N/A Requesting Data...</v>
        <stp/>
        <stp>##V3_BDHV12</stp>
        <stp>CL1 Comdty</stp>
        <stp>PX_VOLUME</stp>
        <stp>09/08/2016</stp>
        <stp>09/08/2016</stp>
        <stp>[Bbg_Market_Data_CL.xlsm]data!R168C8</stp>
        <tr r="H168" s="1"/>
      </tp>
      <tp t="s">
        <v>#N/A Requesting Data...</v>
        <stp/>
        <stp>##V3_BDHV12</stp>
        <stp>CL1 Comdty</stp>
        <stp>PX_VOLUME</stp>
        <stp>12/11/2015</stp>
        <stp>12/11/2015</stp>
        <stp>[Bbg_Market_Data_CL.xlsm]data!R351C8</stp>
        <tr r="H351" s="1"/>
      </tp>
      <tp t="s">
        <v>#N/A Requesting Data...</v>
        <stp/>
        <stp>##V3_BDHV12</stp>
        <stp>CL2 Comdty</stp>
        <stp>PX_VOLUME</stp>
        <stp>17/04/2015</stp>
        <stp>17/04/2015</stp>
        <stp>[Bbg_Market_Data_CL.xlsm]data!R495C8</stp>
        <tr r="H495" s="1"/>
      </tp>
      <tp t="s">
        <v>#N/A Requesting Data...</v>
        <stp/>
        <stp>##V3_BDHV12</stp>
        <stp>CL1 Comdty</stp>
        <stp>PX_VOLUME</stp>
        <stp>17/04/2015</stp>
        <stp>17/04/2015</stp>
        <stp>[Bbg_Market_Data_CL.xlsm]data!R495C8</stp>
        <tr r="H495" s="1"/>
      </tp>
      <tp>
        <v>260264</v>
        <stp/>
        <stp>##V3_BDHV12</stp>
        <stp>CL2 Comdty</stp>
        <stp>PX_VOLUME</stp>
        <stp>12/11/2015</stp>
        <stp>12/11/2015</stp>
        <stp>[Bbg_Market_Data_CL.xlsm]data!R351C8</stp>
        <tr r="H351" s="1"/>
      </tp>
      <tp t="s">
        <v>#N/A Requesting Data...</v>
        <stp/>
        <stp>##V3_BDHV12</stp>
        <stp>CL1 Comdty</stp>
        <stp>PX_VOLUME</stp>
        <stp>10/03/2016</stp>
        <stp>10/03/2016</stp>
        <stp>[Bbg_Market_Data_CL.xlsm]data!R272C8</stp>
        <tr r="H272" s="1"/>
      </tp>
      <tp>
        <v>315942</v>
        <stp/>
        <stp>##V3_BDHV12</stp>
        <stp>CL2 Comdty</stp>
        <stp>PX_VOLUME</stp>
        <stp>10/03/2016</stp>
        <stp>10/03/2016</stp>
        <stp>[Bbg_Market_Data_CL.xlsm]data!R272C8</stp>
        <tr r="H272" s="1"/>
      </tp>
      <tp>
        <v>287071</v>
        <stp/>
        <stp>##V3_BDHV12</stp>
        <stp>CL2 Comdty</stp>
        <stp>PX_VOLUME</stp>
        <stp>06/04/2016</stp>
        <stp>06/04/2016</stp>
        <stp>[Bbg_Market_Data_CL.xlsm]data!R254C8</stp>
        <tr r="H254" s="1"/>
      </tp>
      <tp t="s">
        <v>#N/A Requesting Data...</v>
        <stp/>
        <stp>##V3_BDHV12</stp>
        <stp>CL1 Comdty</stp>
        <stp>PX_VOLUME</stp>
        <stp>06/04/2016</stp>
        <stp>06/04/2016</stp>
        <stp>[Bbg_Market_Data_CL.xlsm]data!R254C8</stp>
        <tr r="H254" s="1"/>
      </tp>
      <tp>
        <v>283487</v>
        <stp/>
        <stp>##V3_BDHV12</stp>
        <stp>CL2 Comdty</stp>
        <stp>PX_VOLUME</stp>
        <stp>18/09/2015</stp>
        <stp>18/09/2015</stp>
        <stp>[Bbg_Market_Data_CL.xlsm]data!R388C8</stp>
        <tr r="H388" s="1"/>
      </tp>
      <tp t="s">
        <v>#N/A Requesting Data...</v>
        <stp/>
        <stp>##V3_BDHV12</stp>
        <stp>CL1 Comdty</stp>
        <stp>PX_VOLUME</stp>
        <stp>18/09/2015</stp>
        <stp>18/09/2015</stp>
        <stp>[Bbg_Market_Data_CL.xlsm]data!R388C8</stp>
        <tr r="H388" s="1"/>
      </tp>
      <tp t="s">
        <v>#N/A Requesting Data...</v>
        <stp/>
        <stp>##V3_BDHV12</stp>
        <stp>CL1 Comdty</stp>
        <stp>PX_VOLUME</stp>
        <stp>19/08/2015</stp>
        <stp>19/08/2015</stp>
        <stp>[Bbg_Market_Data_CL.xlsm]data!R409C8</stp>
        <tr r="H409" s="1"/>
      </tp>
      <tp>
        <v>458073</v>
        <stp/>
        <stp>##V3_BDHV12</stp>
        <stp>CL2 Comdty</stp>
        <stp>PX_VOLUME</stp>
        <stp>19/08/2015</stp>
        <stp>19/08/2015</stp>
        <stp>[Bbg_Market_Data_CL.xlsm]data!R409C8</stp>
        <tr r="H409" s="1"/>
      </tp>
      <tp>
        <v>358235</v>
        <stp/>
        <stp>##V3_BDHV12</stp>
        <stp>CL2 Comdty</stp>
        <stp>PX_VOLUME</stp>
        <stp>13/01/2016</stp>
        <stp>13/01/2016</stp>
        <stp>[Bbg_Market_Data_CL.xlsm]data!R310C8</stp>
        <tr r="H310" s="1"/>
      </tp>
      <tp t="s">
        <v>#N/A Requesting Data...</v>
        <stp/>
        <stp>##V3_BDHV12</stp>
        <stp>CL1 Comdty</stp>
        <stp>PX_VOLUME</stp>
        <stp>13/01/2016</stp>
        <stp>13/01/2016</stp>
        <stp>[Bbg_Market_Data_CL.xlsm]data!R310C8</stp>
        <tr r="H310" s="1"/>
      </tp>
      <tp>
        <v>204415</v>
        <stp/>
        <stp>##V3_BDHV12</stp>
        <stp>CL2 Comdty</stp>
        <stp>PX_VOLUME</stp>
        <stp>13/06/2016</stp>
        <stp>13/06/2016</stp>
        <stp>[Bbg_Market_Data_CL.xlsm]data!R207C8</stp>
        <tr r="H207" s="1"/>
      </tp>
      <tp t="s">
        <v>#N/A Requesting Data...</v>
        <stp/>
        <stp>##V3_BDHV12</stp>
        <stp>CL1 Comdty</stp>
        <stp>PX_VOLUME</stp>
        <stp>13/06/2016</stp>
        <stp>13/06/2016</stp>
        <stp>[Bbg_Market_Data_CL.xlsm]data!R207C8</stp>
        <tr r="H207" s="1"/>
      </tp>
      <tp t="s">
        <v>#N/A Requesting Data...</v>
        <stp/>
        <stp>##V3_BDHV12</stp>
        <stp>CL1 Comdty</stp>
        <stp>PX_VOLUME</stp>
        <stp>13/07/2016</stp>
        <stp>13/07/2016</stp>
        <stp>[Bbg_Market_Data_CL.xlsm]data!R186C8</stp>
        <tr r="H186" s="1"/>
      </tp>
      <tp>
        <v>376846</v>
        <stp/>
        <stp>##V3_BDHV12</stp>
        <stp>CL2 Comdty</stp>
        <stp>PX_VOLUME</stp>
        <stp>13/07/2016</stp>
        <stp>13/07/2016</stp>
        <stp>[Bbg_Market_Data_CL.xlsm]data!R186C8</stp>
        <tr r="H186" s="1"/>
      </tp>
      <tp t="s">
        <v>#N/A Requesting Data...</v>
        <stp/>
        <stp>##V3_BDHV12</stp>
        <stp>CL1 Comdty</stp>
        <stp>PX_VOLUME</stp>
        <stp>27/10/2016</stp>
        <stp>27/10/2016</stp>
        <stp>[Bbg_Market_Data_CL.xlsm]data!R113C8</stp>
        <tr r="H113" s="1"/>
      </tp>
      <tp t="s">
        <v>#N/A Requesting Data...</v>
        <stp/>
        <stp>##V3_BDHV12</stp>
        <stp>CL1 Comdty</stp>
        <stp>PX_VOLUME</stp>
        <stp>11/06/2015</stp>
        <stp>11/06/2015</stp>
        <stp>[Bbg_Market_Data_CL.xlsm]data!R457C8</stp>
        <tr r="H457" s="1"/>
      </tp>
      <tp>
        <v>68617</v>
        <stp/>
        <stp>##V3_BDHV12</stp>
        <stp>CL2 Comdty</stp>
        <stp>PX_VOLUME</stp>
        <stp>25/11/2015</stp>
        <stp>25/11/2015</stp>
        <stp>[Bbg_Market_Data_CL.xlsm]data!R342C8</stp>
        <tr r="H342" s="1"/>
      </tp>
      <tp>
        <v>407942</v>
        <stp/>
        <stp>##V3_BDHV12</stp>
        <stp>CL2 Comdty</stp>
        <stp>PX_VOLUME</stp>
        <stp>15/11/2016</stp>
        <stp>15/11/2016</stp>
        <stp>[Bbg_Market_Data_CL.xlsm]data!R101C8</stp>
        <tr r="H101" s="1"/>
      </tp>
      <tp t="s">
        <v>#N/A Requesting Data...</v>
        <stp/>
        <stp>##V3_BDHV12</stp>
        <stp>CL1 Comdty</stp>
        <stp>PX_VOLUME</stp>
        <stp>15/11/2016</stp>
        <stp>15/11/2016</stp>
        <stp>[Bbg_Market_Data_CL.xlsm]data!R101C8</stp>
        <tr r="H101" s="1"/>
      </tp>
      <tp>
        <v>115070</v>
        <stp/>
        <stp>##V3_BDHV12</stp>
        <stp>CL2 Comdty</stp>
        <stp>PX_VOLUME</stp>
        <stp>27/10/2016</stp>
        <stp>27/10/2016</stp>
        <stp>[Bbg_Market_Data_CL.xlsm]data!R113C8</stp>
        <tr r="H113" s="1"/>
      </tp>
      <tp t="s">
        <v>#N/A Requesting Data...</v>
        <stp/>
        <stp>##V3_BDHV12</stp>
        <stp>CL1 Comdty</stp>
        <stp>PX_VOLUME</stp>
        <stp>25/11/2015</stp>
        <stp>25/11/2015</stp>
        <stp>[Bbg_Market_Data_CL.xlsm]data!R342C8</stp>
        <tr r="H342" s="1"/>
      </tp>
      <tp t="s">
        <v>#N/A Requesting Data...</v>
        <stp/>
        <stp>##V3_BDHV12</stp>
        <stp>CL2 Comdty</stp>
        <stp>PX_VOLUME</stp>
        <stp>11/06/2015</stp>
        <stp>11/06/2015</stp>
        <stp>[Bbg_Market_Data_CL.xlsm]data!R457C8</stp>
        <tr r="H457" s="1"/>
      </tp>
      <tp>
        <v>172284</v>
        <stp/>
        <stp>##V3_BDHV12</stp>
        <stp>CL2 Comdty</stp>
        <stp>PX_VOLUME</stp>
        <stp>03/05/2016</stp>
        <stp>03/05/2016</stp>
        <stp>[Bbg_Market_Data_CL.xlsm]data!R235C8</stp>
        <tr r="H235" s="1"/>
      </tp>
      <tp t="s">
        <v>#N/A Requesting Data...</v>
        <stp/>
        <stp>##V3_BDHV12</stp>
        <stp>CL1 Comdty</stp>
        <stp>PX_VOLUME</stp>
        <stp>03/05/2016</stp>
        <stp>03/05/2016</stp>
        <stp>[Bbg_Market_Data_CL.xlsm]data!R235C8</stp>
        <tr r="H235" s="1"/>
      </tp>
      <tp t="s">
        <v>#N/A Requesting Data...</v>
        <stp/>
        <stp>##V3_BDHV12</stp>
        <stp>CL1 Comdty</stp>
        <stp>PX_VOLUME</stp>
        <stp>25/01/2016</stp>
        <stp>25/01/2016</stp>
        <stp>[Bbg_Market_Data_CL.xlsm]data!R303C8</stp>
        <tr r="H303" s="1"/>
      </tp>
      <tp t="s">
        <v>#N/A Requesting Data...</v>
        <stp/>
        <stp>##V3_BDHV12</stp>
        <stp>CL2 Comdty</stp>
        <stp>PX_VOLUME</stp>
        <stp>13/07/2015</stp>
        <stp>13/07/2015</stp>
        <stp>[Bbg_Market_Data_CL.xlsm]data!R436C8</stp>
        <tr r="H436" s="1"/>
      </tp>
      <tp t="s">
        <v>#N/A Requesting Data...</v>
        <stp/>
        <stp>##V3_BDHV12</stp>
        <stp>CL1 Comdty</stp>
        <stp>PX_VOLUME</stp>
        <stp>13/07/2015</stp>
        <stp>13/07/2015</stp>
        <stp>[Bbg_Market_Data_CL.xlsm]data!R436C8</stp>
        <tr r="H436" s="1"/>
      </tp>
      <tp>
        <v>152736</v>
        <stp/>
        <stp>##V3_BDHV12</stp>
        <stp>CL2 Comdty</stp>
        <stp>PX_VOLUME</stp>
        <stp>25/01/2016</stp>
        <stp>25/01/2016</stp>
        <stp>[Bbg_Market_Data_CL.xlsm]data!R303C8</stp>
        <tr r="H303" s="1"/>
      </tp>
      <tp t="s">
        <v>#N/A Requesting Data...</v>
        <stp/>
        <stp>##V3_BDHV12</stp>
        <stp>CL1 Comdty</stp>
        <stp>PX_VOLUME</stp>
        <stp>31/05/2016</stp>
        <stp>31/05/2016</stp>
        <stp>[Bbg_Market_Data_CL.xlsm]data!R216C8</stp>
        <tr r="H216" s="1"/>
      </tp>
      <tp>
        <v>89874</v>
        <stp/>
        <stp>##V3_BDHV12</stp>
        <stp>CL2 Comdty</stp>
        <stp>PX_VOLUME</stp>
        <stp>31/05/2016</stp>
        <stp>31/05/2016</stp>
        <stp>[Bbg_Market_Data_CL.xlsm]data!R216C8</stp>
        <tr r="H216" s="1"/>
      </tp>
      <tp t="s">
        <v>#N/A Requesting Data...</v>
        <stp/>
        <stp>##V3_BDHV12</stp>
        <stp>CL1 Comdty</stp>
        <stp>PX_VOLUME</stp>
        <stp>01/05/2015</stp>
        <stp>01/05/2015</stp>
        <stp>[Bbg_Market_Data_CL.xlsm]data!R485C8</stp>
        <tr r="H485" s="1"/>
      </tp>
      <tp t="s">
        <v>#N/A Requesting Data...</v>
        <stp/>
        <stp>##V3_BDHV12</stp>
        <stp>CL1 Comdty</stp>
        <stp>PX_VOLUME</stp>
        <stp>26/10/2015</stp>
        <stp>26/10/2015</stp>
        <stp>[Bbg_Market_Data_CL.xlsm]data!R363C8</stp>
        <tr r="H363" s="1"/>
      </tp>
      <tp>
        <v>276935</v>
        <stp/>
        <stp>##V3_BDHV12</stp>
        <stp>CL2 Comdty</stp>
        <stp>PX_VOLUME</stp>
        <stp>15/10/2015</stp>
        <stp>15/10/2015</stp>
        <stp>[Bbg_Market_Data_CL.xlsm]data!R370C8</stp>
        <tr r="H370" s="1"/>
      </tp>
      <tp t="s">
        <v>#N/A Requesting Data...</v>
        <stp/>
        <stp>##V3_BDHV12</stp>
        <stp>CL2 Comdty</stp>
        <stp>PX_VOLUME</stp>
        <stp>01/05/2015</stp>
        <stp>01/05/2015</stp>
        <stp>[Bbg_Market_Data_CL.xlsm]data!R485C8</stp>
        <tr r="H485" s="1"/>
      </tp>
      <tp>
        <v>68537</v>
        <stp/>
        <stp>##V3_BDHV12</stp>
        <stp>CL2 Comdty</stp>
        <stp>PX_VOLUME</stp>
        <stp>26/10/2015</stp>
        <stp>26/10/2015</stp>
        <stp>[Bbg_Market_Data_CL.xlsm]data!R363C8</stp>
        <tr r="H363" s="1"/>
      </tp>
      <tp t="s">
        <v>#N/A Requesting Data...</v>
        <stp/>
        <stp>##V3_BDHV12</stp>
        <stp>CL1 Comdty</stp>
        <stp>PX_VOLUME</stp>
        <stp>15/10/2015</stp>
        <stp>15/10/2015</stp>
        <stp>[Bbg_Market_Data_CL.xlsm]data!R370C8</stp>
        <tr r="H370" s="1"/>
      </tp>
      <tp>
        <v>24.54</v>
        <stp/>
        <stp>##V3_BDHV12</stp>
        <stp>CL2 Comdty</stp>
        <stp>VOLATILITY_30D</stp>
        <stp>30/03/2017</stp>
        <stp>30/03/2017</stp>
        <stp>[Bbg_Market_Data_CL.xlsm]data!R9C18</stp>
        <tr r="R9" s="1"/>
      </tp>
      <tp>
        <v>24.63</v>
        <stp/>
        <stp>##V3_BDHV12</stp>
        <stp>CL2 Comdty</stp>
        <stp>VOLATILITY_30D</stp>
        <stp>31/03/2017</stp>
        <stp>31/03/2017</stp>
        <stp>[Bbg_Market_Data_CL.xlsm]data!R8C18</stp>
        <tr r="R8" s="1"/>
      </tp>
      <tp t="s">
        <v>#N/A Requesting Data...</v>
        <stp/>
        <stp>##V3_BDHV12</stp>
        <stp>CL1 Comdty</stp>
        <stp>VOLATILITY_30D</stp>
        <stp>31/03/2017</stp>
        <stp>31/03/2017</stp>
        <stp>[Bbg_Market_Data_CL.xlsm]data!R8C18</stp>
        <tr r="R8" s="1"/>
      </tp>
      <tp t="s">
        <v>#N/A Requesting Data...</v>
        <stp/>
        <stp>##V3_BDHV12</stp>
        <stp>CL1 Comdty</stp>
        <stp>VOLATILITY_30D</stp>
        <stp>30/03/2017</stp>
        <stp>30/03/2017</stp>
        <stp>[Bbg_Market_Data_CL.xlsm]data!R9C18</stp>
        <tr r="R9" s="1"/>
      </tp>
      <tp>
        <v>18.39</v>
        <stp/>
        <stp>##V3_BDHV12</stp>
        <stp>CL2 Comdty</stp>
        <stp>VOLATILITY_10D</stp>
        <stp>31/03/2017</stp>
        <stp>31/03/2017</stp>
        <stp>[Bbg_Market_Data_CL.xlsm]data!R8C17</stp>
        <tr r="Q8" s="1"/>
      </tp>
      <tp>
        <v>19.63</v>
        <stp/>
        <stp>##V3_BDHV12</stp>
        <stp>CL2 Comdty</stp>
        <stp>VOLATILITY_10D</stp>
        <stp>30/03/2017</stp>
        <stp>30/03/2017</stp>
        <stp>[Bbg_Market_Data_CL.xlsm]data!R9C17</stp>
        <tr r="Q9" s="1"/>
      </tp>
      <tp t="s">
        <v>#N/A Requesting Data...</v>
        <stp/>
        <stp>##V3_BDHV12</stp>
        <stp>CL1 Comdty</stp>
        <stp>VOLATILITY_10D</stp>
        <stp>30/03/2017</stp>
        <stp>30/03/2017</stp>
        <stp>[Bbg_Market_Data_CL.xlsm]data!R9C17</stp>
        <tr r="Q9" s="1"/>
      </tp>
      <tp t="s">
        <v>#N/A Requesting Data...</v>
        <stp/>
        <stp>##V3_BDHV12</stp>
        <stp>CL1 Comdty</stp>
        <stp>VOLATILITY_10D</stp>
        <stp>31/03/2017</stp>
        <stp>31/03/2017</stp>
        <stp>[Bbg_Market_Data_CL.xlsm]data!R8C17</stp>
        <tr r="Q8" s="1"/>
      </tp>
      <tp t="s">
        <v>#N/A Requesting Data...</v>
        <stp/>
        <stp>##V3_BDHV12</stp>
        <stp>CL1 Comdty</stp>
        <stp>VOLATILITY_30D</stp>
        <stp>03/04/2017</stp>
        <stp>03/04/2017</stp>
        <stp>[Bbg_Market_Data_CL.xlsm]data!R7C18</stp>
        <tr r="R7" s="1"/>
      </tp>
      <tp>
        <v>24.4</v>
        <stp/>
        <stp>##V3_BDHV12</stp>
        <stp>CL2 Comdty</stp>
        <stp>VOLATILITY_30D</stp>
        <stp>03/04/2017</stp>
        <stp>03/04/2017</stp>
        <stp>[Bbg_Market_Data_CL.xlsm]data!R7C18</stp>
        <tr r="R7" s="1"/>
      </tp>
      <tp>
        <v>24.93</v>
        <stp/>
        <stp>##V3_BDHV12</stp>
        <stp>CL2 Comdty</stp>
        <stp>VOLATILITY_30D</stp>
        <stp>04/04/2017</stp>
        <stp>04/04/2017</stp>
        <stp>[Bbg_Market_Data_CL.xlsm]data!R6C18</stp>
        <tr r="R6" s="1"/>
      </tp>
      <tp t="s">
        <v>#N/A Requesting Data...</v>
        <stp/>
        <stp>##V3_BDHV12</stp>
        <stp>CL1 Comdty</stp>
        <stp>VOLATILITY_30D</stp>
        <stp>07/04/2017</stp>
        <stp>07/04/2017</stp>
        <stp>[Bbg_Market_Data_CL.xlsm]data!R3C18</stp>
        <tr r="R3" s="1"/>
      </tp>
      <tp t="s">
        <v>#N/A Requesting Data...</v>
        <stp/>
        <stp>##V3_BDHV12</stp>
        <stp>CL1 Comdty</stp>
        <stp>VOLATILITY_30D</stp>
        <stp>06/04/2017</stp>
        <stp>06/04/2017</stp>
        <stp>[Bbg_Market_Data_CL.xlsm]data!R4C18</stp>
        <tr r="R4" s="1"/>
      </tp>
      <tp>
        <v>24.4</v>
        <stp/>
        <stp>##V3_BDHV12</stp>
        <stp>CL2 Comdty</stp>
        <stp>VOLATILITY_30D</stp>
        <stp>05/04/2017</stp>
        <stp>05/04/2017</stp>
        <stp>[Bbg_Market_Data_CL.xlsm]data!R5C18</stp>
        <tr r="R5" s="1"/>
      </tp>
      <tp>
        <v>24.6</v>
        <stp/>
        <stp>##V3_BDHV12</stp>
        <stp>CL2 Comdty</stp>
        <stp>VOLATILITY_30D</stp>
        <stp>06/04/2017</stp>
        <stp>06/04/2017</stp>
        <stp>[Bbg_Market_Data_CL.xlsm]data!R4C18</stp>
        <tr r="R4" s="1"/>
      </tp>
      <tp t="s">
        <v>#N/A Requesting Data...</v>
        <stp/>
        <stp>##V3_BDHV12</stp>
        <stp>CL1 Comdty</stp>
        <stp>VOLATILITY_30D</stp>
        <stp>05/04/2017</stp>
        <stp>05/04/2017</stp>
        <stp>[Bbg_Market_Data_CL.xlsm]data!R5C18</stp>
        <tr r="R5" s="1"/>
      </tp>
      <tp t="s">
        <v>#N/A Requesting Data...</v>
        <stp/>
        <stp>##V3_BDHV12</stp>
        <stp>CL1 Comdty</stp>
        <stp>VOLATILITY_30D</stp>
        <stp>04/04/2017</stp>
        <stp>04/04/2017</stp>
        <stp>[Bbg_Market_Data_CL.xlsm]data!R6C18</stp>
        <tr r="R6" s="1"/>
      </tp>
      <tp>
        <v>24.81</v>
        <stp/>
        <stp>##V3_BDHV12</stp>
        <stp>CL2 Comdty</stp>
        <stp>VOLATILITY_30D</stp>
        <stp>07/04/2017</stp>
        <stp>07/04/2017</stp>
        <stp>[Bbg_Market_Data_CL.xlsm]data!R3C18</stp>
        <tr r="R3" s="1"/>
      </tp>
      <tp t="s">
        <v>#N/A Requesting Data...</v>
        <stp/>
        <stp>##V3_BDHV12</stp>
        <stp>CL1 Comdty</stp>
        <stp>VOLATILITY_10D</stp>
        <stp>06/04/2017</stp>
        <stp>06/04/2017</stp>
        <stp>[Bbg_Market_Data_CL.xlsm]data!R4C17</stp>
        <tr r="Q4" s="1"/>
      </tp>
      <tp>
        <v>15.77</v>
        <stp/>
        <stp>##V3_BDHV12</stp>
        <stp>CL2 Comdty</stp>
        <stp>VOLATILITY_10D</stp>
        <stp>05/04/2017</stp>
        <stp>05/04/2017</stp>
        <stp>[Bbg_Market_Data_CL.xlsm]data!R5C17</stp>
        <tr r="Q5" s="1"/>
      </tp>
      <tp>
        <v>17.32</v>
        <stp/>
        <stp>##V3_BDHV12</stp>
        <stp>CL2 Comdty</stp>
        <stp>VOLATILITY_10D</stp>
        <stp>04/04/2017</stp>
        <stp>04/04/2017</stp>
        <stp>[Bbg_Market_Data_CL.xlsm]data!R6C17</stp>
        <tr r="Q6" s="1"/>
      </tp>
      <tp t="s">
        <v>#N/A Requesting Data...</v>
        <stp/>
        <stp>##V3_BDHV12</stp>
        <stp>CL1 Comdty</stp>
        <stp>VOLATILITY_10D</stp>
        <stp>07/04/2017</stp>
        <stp>07/04/2017</stp>
        <stp>[Bbg_Market_Data_CL.xlsm]data!R3C17</stp>
        <tr r="Q3" s="1"/>
      </tp>
      <tp t="s">
        <v>#N/A Requesting Data...</v>
        <stp/>
        <stp>##V3_BDHV12</stp>
        <stp>CL1 Comdty</stp>
        <stp>VOLATILITY_10D</stp>
        <stp>04/04/2017</stp>
        <stp>04/04/2017</stp>
        <stp>[Bbg_Market_Data_CL.xlsm]data!R6C17</stp>
        <tr r="Q6" s="1"/>
      </tp>
      <tp>
        <v>13.89</v>
        <stp/>
        <stp>##V3_BDHV12</stp>
        <stp>CL2 Comdty</stp>
        <stp>VOLATILITY_10D</stp>
        <stp>07/04/2017</stp>
        <stp>07/04/2017</stp>
        <stp>[Bbg_Market_Data_CL.xlsm]data!R3C17</stp>
        <tr r="Q3" s="1"/>
      </tp>
      <tp>
        <v>15.77</v>
        <stp/>
        <stp>##V3_BDHV12</stp>
        <stp>CL2 Comdty</stp>
        <stp>VOLATILITY_10D</stp>
        <stp>06/04/2017</stp>
        <stp>06/04/2017</stp>
        <stp>[Bbg_Market_Data_CL.xlsm]data!R4C17</stp>
        <tr r="Q4" s="1"/>
      </tp>
      <tp t="s">
        <v>#N/A Requesting Data...</v>
        <stp/>
        <stp>##V3_BDHV12</stp>
        <stp>CL1 Comdty</stp>
        <stp>VOLATILITY_10D</stp>
        <stp>05/04/2017</stp>
        <stp>05/04/2017</stp>
        <stp>[Bbg_Market_Data_CL.xlsm]data!R5C17</stp>
        <tr r="Q5" s="1"/>
      </tp>
      <tp t="s">
        <v>#N/A Requesting Data...</v>
        <stp/>
        <stp>##V3_BDHV12</stp>
        <stp>CL1 Comdty</stp>
        <stp>VOLATILITY_10D</stp>
        <stp>03/04/2017</stp>
        <stp>03/04/2017</stp>
        <stp>[Bbg_Market_Data_CL.xlsm]data!R7C17</stp>
        <tr r="Q7" s="1"/>
      </tp>
      <tp>
        <v>16.43</v>
        <stp/>
        <stp>##V3_BDHV12</stp>
        <stp>CL2 Comdty</stp>
        <stp>VOLATILITY_10D</stp>
        <stp>03/04/2017</stp>
        <stp>03/04/2017</stp>
        <stp>[Bbg_Market_Data_CL.xlsm]data!R7C17</stp>
        <tr r="Q7" s="1"/>
      </tp>
      <tp>
        <v>25.32</v>
        <stp/>
        <stp>##V3_BDHV12</stp>
        <stp>CL2 Comdty</stp>
        <stp>VOLATILITY_30D</stp>
        <stp>10/04/2017</stp>
        <stp>10/04/2017</stp>
        <stp>[Bbg_Market_Data_CL.xlsm]data!R2C18</stp>
        <tr r="R2" s="1"/>
      </tp>
      <tp t="s">
        <v>#N/A Requesting Data...</v>
        <stp/>
        <stp>##V3_BDHV12</stp>
        <stp>CL1 Comdty</stp>
        <stp>VOLATILITY_30D</stp>
        <stp>10/04/2017</stp>
        <stp>10/04/2017</stp>
        <stp>[Bbg_Market_Data_CL.xlsm]data!R2C18</stp>
        <tr r="R2" s="1"/>
      </tp>
      <tp>
        <v>14.24</v>
        <stp/>
        <stp>##V3_BDHV12</stp>
        <stp>CL2 Comdty</stp>
        <stp>VOLATILITY_10D</stp>
        <stp>10/04/2017</stp>
        <stp>10/04/2017</stp>
        <stp>[Bbg_Market_Data_CL.xlsm]data!R2C17</stp>
        <tr r="Q2" s="1"/>
      </tp>
      <tp t="s">
        <v>#N/A Requesting Data...</v>
        <stp/>
        <stp>##V3_BDHV12</stp>
        <stp>CL1 Comdty</stp>
        <stp>VOLATILITY_10D</stp>
        <stp>10/04/2017</stp>
        <stp>10/04/2017</stp>
        <stp>[Bbg_Market_Data_CL.xlsm]data!R2C17</stp>
        <tr r="Q2" s="1"/>
      </tp>
      <tp t="s">
        <v>#N/A Requesting Data...</v>
        <stp/>
        <stp>##V3_BDHV12</stp>
        <stp>CL1 Comdty</stp>
        <stp>VOLUME_TOTAL_CALL</stp>
        <stp>02/06/2016</stp>
        <stp>02/06/2016</stp>
        <stp>[Bbg_Market_Data_CL.xlsm]data!R214C15</stp>
        <tr r="O214" s="1"/>
      </tp>
      <tp t="s">
        <v>#N/A Requesting Data...</v>
        <stp/>
        <stp>##V3_BDHV12</stp>
        <stp>CL2 Comdty</stp>
        <stp>VOLUME_TOTAL_CALL</stp>
        <stp>11/04/2016</stp>
        <stp>11/04/2016</stp>
        <stp>[Bbg_Market_Data_CL.xlsm]data!R251C15</stp>
        <tr r="O251" s="1"/>
      </tp>
      <tp t="s">
        <v>#N/A Requesting Data...</v>
        <stp/>
        <stp>##V3_BDHV12</stp>
        <stp>CL1 Comdty</stp>
        <stp>VOLUME_TOTAL_CALL</stp>
        <stp>22/04/2016</stp>
        <stp>22/04/2016</stp>
        <stp>[Bbg_Market_Data_CL.xlsm]data!R242C15</stp>
        <tr r="O242" s="1"/>
      </tp>
      <tp t="s">
        <v>#N/A Requesting Data...</v>
        <stp/>
        <stp>##V3_BDHV12</stp>
        <stp>CL1 Comdty</stp>
        <stp>VOLUME_TOTAL_CALL</stp>
        <stp>21/07/2016</stp>
        <stp>21/07/2016</stp>
        <stp>[Bbg_Market_Data_CL.xlsm]data!R180C15</stp>
        <tr r="O180" s="1"/>
      </tp>
      <tp t="s">
        <v>#N/A Requesting Data...</v>
        <stp/>
        <stp>##V3_BDHV12</stp>
        <stp>CL2 Comdty</stp>
        <stp>VOLUME_TOTAL_CALL</stp>
        <stp>12/07/2016</stp>
        <stp>12/07/2016</stp>
        <stp>[Bbg_Market_Data_CL.xlsm]data!R187C15</stp>
        <tr r="O187" s="1"/>
      </tp>
      <tp t="s">
        <v>#N/A Requesting Data...</v>
        <stp/>
        <stp>##V3_BDHV12</stp>
        <stp>CL2 Comdty</stp>
        <stp>VOLUME_TOTAL_CALL</stp>
        <stp>10/05/2016</stp>
        <stp>10/05/2016</stp>
        <stp>[Bbg_Market_Data_CL.xlsm]data!R230C15</stp>
        <tr r="O230" s="1"/>
      </tp>
      <tp t="s">
        <v>#N/A Requesting Data...</v>
        <stp/>
        <stp>##V3_BDHV12</stp>
        <stp>CL1 Comdty</stp>
        <stp>VOLUME_TOTAL_CALL</stp>
        <stp>23/05/2016</stp>
        <stp>23/05/2016</stp>
        <stp>[Bbg_Market_Data_CL.xlsm]data!R221C15</stp>
        <tr r="O221" s="1"/>
      </tp>
      <tp t="s">
        <v>#N/A Requesting Data...</v>
        <stp/>
        <stp>##V3_BDHV12</stp>
        <stp>CL2 Comdty</stp>
        <stp>VOLUME_TOTAL_CALL</stp>
        <stp>20/06/2016</stp>
        <stp>20/06/2016</stp>
        <stp>[Bbg_Market_Data_CL.xlsm]data!R202C15</stp>
        <tr r="O202" s="1"/>
      </tp>
      <tp t="s">
        <v>#N/A Requesting Data...</v>
        <stp/>
        <stp>##V3_BDHV12</stp>
        <stp>CL1 Comdty</stp>
        <stp>VOLUME_TOTAL_CALL</stp>
        <stp>13/06/2016</stp>
        <stp>13/06/2016</stp>
        <stp>[Bbg_Market_Data_CL.xlsm]data!R207C15</stp>
        <tr r="O207" s="1"/>
      </tp>
      <tp t="s">
        <v>#N/A Requesting Data...</v>
        <stp/>
        <stp>##V3_BDHV12</stp>
        <stp>CL1 Comdty</stp>
        <stp>VOLUME_TOTAL_CALL</stp>
        <stp>10/05/2016</stp>
        <stp>10/05/2016</stp>
        <stp>[Bbg_Market_Data_CL.xlsm]data!R230C15</stp>
        <tr r="O230" s="1"/>
      </tp>
      <tp t="s">
        <v>#N/A Requesting Data...</v>
        <stp/>
        <stp>##V3_BDHV12</stp>
        <stp>CL2 Comdty</stp>
        <stp>VOLUME_TOTAL_CALL</stp>
        <stp>23/05/2016</stp>
        <stp>23/05/2016</stp>
        <stp>[Bbg_Market_Data_CL.xlsm]data!R221C15</stp>
        <tr r="O221" s="1"/>
      </tp>
      <tp t="s">
        <v>#N/A Requesting Data...</v>
        <stp/>
        <stp>##V3_BDHV12</stp>
        <stp>CL1 Comdty</stp>
        <stp>VOLUME_TOTAL_CALL</stp>
        <stp>20/06/2016</stp>
        <stp>20/06/2016</stp>
        <stp>[Bbg_Market_Data_CL.xlsm]data!R202C15</stp>
        <tr r="O202" s="1"/>
      </tp>
      <tp t="s">
        <v>#N/A Requesting Data...</v>
        <stp/>
        <stp>##V3_BDHV12</stp>
        <stp>CL2 Comdty</stp>
        <stp>VOLUME_TOTAL_CALL</stp>
        <stp>13/06/2016</stp>
        <stp>13/06/2016</stp>
        <stp>[Bbg_Market_Data_CL.xlsm]data!R207C15</stp>
        <tr r="O207" s="1"/>
      </tp>
      <tp t="s">
        <v>#N/A Requesting Data...</v>
        <stp/>
        <stp>##V3_BDHV12</stp>
        <stp>CL2 Comdty</stp>
        <stp>VOLUME_TOTAL_CALL</stp>
        <stp>02/06/2016</stp>
        <stp>02/06/2016</stp>
        <stp>[Bbg_Market_Data_CL.xlsm]data!R214C15</stp>
        <tr r="O214" s="1"/>
      </tp>
      <tp t="s">
        <v>#N/A Requesting Data...</v>
        <stp/>
        <stp>##V3_BDHV12</stp>
        <stp>CL1 Comdty</stp>
        <stp>VOLUME_TOTAL_CALL</stp>
        <stp>11/04/2016</stp>
        <stp>11/04/2016</stp>
        <stp>[Bbg_Market_Data_CL.xlsm]data!R251C15</stp>
        <tr r="O251" s="1"/>
      </tp>
      <tp t="s">
        <v>#N/A Requesting Data...</v>
        <stp/>
        <stp>##V3_BDHV12</stp>
        <stp>CL2 Comdty</stp>
        <stp>VOLUME_TOTAL_CALL</stp>
        <stp>22/04/2016</stp>
        <stp>22/04/2016</stp>
        <stp>[Bbg_Market_Data_CL.xlsm]data!R242C15</stp>
        <tr r="O242" s="1"/>
      </tp>
      <tp t="s">
        <v>#N/A Requesting Data...</v>
        <stp/>
        <stp>##V3_BDHV12</stp>
        <stp>CL2 Comdty</stp>
        <stp>VOLUME_TOTAL_CALL</stp>
        <stp>21/07/2016</stp>
        <stp>21/07/2016</stp>
        <stp>[Bbg_Market_Data_CL.xlsm]data!R180C15</stp>
        <tr r="O180" s="1"/>
      </tp>
      <tp t="s">
        <v>#N/A Requesting Data...</v>
        <stp/>
        <stp>##V3_BDHV12</stp>
        <stp>CL1 Comdty</stp>
        <stp>VOLUME_TOTAL_CALL</stp>
        <stp>12/07/2016</stp>
        <stp>12/07/2016</stp>
        <stp>[Bbg_Market_Data_CL.xlsm]data!R187C15</stp>
        <tr r="O187" s="1"/>
      </tp>
      <tp t="s">
        <v>#N/A Requesting Data...</v>
        <stp/>
        <stp>##V3_BDHV12</stp>
        <stp>CL1 Comdty</stp>
        <stp>VOLUME_TOTAL_CALL</stp>
        <stp>14/12/2015</stp>
        <stp>14/12/2015</stp>
        <stp>[Bbg_Market_Data_CL.xlsm]data!R330C15</stp>
        <tr r="O330" s="1"/>
      </tp>
      <tp t="s">
        <v>#N/A Requesting Data...</v>
        <stp/>
        <stp>##V3_BDHV12</stp>
        <stp>CL2 Comdty</stp>
        <stp>VOLUME_TOTAL_CALL</stp>
        <stp>14/01/2016</stp>
        <stp>14/01/2016</stp>
        <stp>[Bbg_Market_Data_CL.xlsm]data!R309C15</stp>
        <tr r="O309" s="1"/>
      </tp>
      <tp t="s">
        <v>#N/A Requesting Data...</v>
        <stp/>
        <stp>##V3_BDHV12</stp>
        <stp>CL2 Comdty</stp>
        <stp>VOLUME_TOTAL_CALL</stp>
        <stp>26/10/2016</stp>
        <stp>26/10/2016</stp>
        <stp>[Bbg_Market_Data_CL.xlsm]data!R114C15</stp>
        <tr r="O114" s="1"/>
      </tp>
      <tp t="s">
        <v>#N/A Requesting Data...</v>
        <stp/>
        <stp>##V3_BDHV12</stp>
        <stp>CL1 Comdty</stp>
        <stp>VOLUME_TOTAL_CALL</stp>
        <stp>27/01/2016</stp>
        <stp>27/01/2016</stp>
        <stp>[Bbg_Market_Data_CL.xlsm]data!R301C15</stp>
        <tr r="O301" s="1"/>
      </tp>
      <tp t="s">
        <v>#N/A Requesting Data...</v>
        <stp/>
        <stp>##V3_BDHV12</stp>
        <stp>CL2 Comdty</stp>
        <stp>VOLUME_TOTAL_CALL</stp>
        <stp>20/05/2015</stp>
        <stp>20/05/2015</stp>
        <stp>[Bbg_Market_Data_CL.xlsm]data!R472C15</stp>
        <tr r="O472" s="1"/>
      </tp>
      <tp t="s">
        <v>#N/A Requesting Data...</v>
        <stp/>
        <stp>##V3_BDHV12</stp>
        <stp>CL1 Comdty</stp>
        <stp>VOLUME_TOTAL_CALL</stp>
        <stp>13/05/2015</stp>
        <stp>13/05/2015</stp>
        <stp>[Bbg_Market_Data_CL.xlsm]data!R477C15</stp>
        <tr r="O477" s="1"/>
      </tp>
      <tp t="s">
        <v>#N/A Requesting Data...</v>
        <stp/>
        <stp>##V3_BDHV12</stp>
        <stp>CL1 Comdty</stp>
        <stp>VOLUME_TOTAL_CALL</stp>
        <stp>16/03/2016</stp>
        <stp>16/03/2016</stp>
        <stp>[Bbg_Market_Data_CL.xlsm]data!R268C15</stp>
        <tr r="O268" s="1"/>
      </tp>
      <tp t="s">
        <v>#N/A Requesting Data...</v>
        <stp/>
        <stp>##V3_BDHV12</stp>
        <stp>CL2 Comdty</stp>
        <stp>VOLUME_TOTAL_CALL</stp>
        <stp>07/10/2015</stp>
        <stp>07/10/2015</stp>
        <stp>[Bbg_Market_Data_CL.xlsm]data!R375C15</stp>
        <tr r="O375" s="1"/>
      </tp>
      <tp t="s">
        <v>#N/A Requesting Data...</v>
        <stp/>
        <stp>##V3_BDHV12</stp>
        <stp>CL2 Comdty</stp>
        <stp>VOLUME_TOTAL_CALL</stp>
        <stp>10/06/2015</stp>
        <stp>10/06/2015</stp>
        <stp>[Bbg_Market_Data_CL.xlsm]data!R458C15</stp>
        <tr r="O458" s="1"/>
      </tp>
      <tp t="s">
        <v>#N/A Requesting Data...</v>
        <stp/>
        <stp>##V3_BDHV12</stp>
        <stp>CL2 Comdty</stp>
        <stp>VOLUME_TOTAL_CALL</stp>
        <stp>17/11/2015</stp>
        <stp>17/11/2015</stp>
        <stp>[Bbg_Market_Data_CL.xlsm]data!R348C15</stp>
        <tr r="O348" s="1"/>
      </tp>
      <tp t="s">
        <v>#N/A Requesting Data...</v>
        <stp/>
        <stp>##V3_BDHV12</stp>
        <stp>CL1 Comdty</stp>
        <stp>VOLUME_TOTAL_CALL</stp>
        <stp>24/11/2015</stp>
        <stp>24/11/2015</stp>
        <stp>[Bbg_Market_Data_CL.xlsm]data!R343C15</stp>
        <tr r="O343" s="1"/>
      </tp>
      <tp t="s">
        <v>#N/A Requesting Data...</v>
        <stp/>
        <stp>##V3_BDHV12</stp>
        <stp>CL1 Comdty</stp>
        <stp>VOLUME_TOTAL_CALL</stp>
        <stp>23/06/2015</stp>
        <stp>23/06/2015</stp>
        <stp>[Bbg_Market_Data_CL.xlsm]data!R449C15</stp>
        <tr r="O449" s="1"/>
      </tp>
      <tp t="s">
        <v>#N/A Requesting Data...</v>
        <stp/>
        <stp>##V3_BDHV12</stp>
        <stp>CL2 Comdty</stp>
        <stp>VOLUME_TOTAL_CALL</stp>
        <stp>30/04/2015</stp>
        <stp>30/04/2015</stp>
        <stp>[Bbg_Market_Data_CL.xlsm]data!R486C15</stp>
        <tr r="O486" s="1"/>
      </tp>
      <tp t="s">
        <v>#N/A Requesting Data...</v>
        <stp/>
        <stp>##V3_BDHV12</stp>
        <stp>CL1 Comdty</stp>
        <stp>VOLUME_TOTAL_CALL</stp>
        <stp>04/10/2016</stp>
        <stp>04/10/2016</stp>
        <stp>[Bbg_Market_Data_CL.xlsm]data!R129C15</stp>
        <tr r="O129" s="1"/>
      </tp>
      <tp t="s">
        <v>#N/A Requesting Data...</v>
        <stp/>
        <stp>##V3_BDHV12</stp>
        <stp>CL1 Comdty</stp>
        <stp>VOLUME_TOTAL_CALL</stp>
        <stp>22/07/2015</stp>
        <stp>22/07/2015</stp>
        <stp>[Bbg_Market_Data_CL.xlsm]data!R429C15</stp>
        <tr r="O429" s="1"/>
      </tp>
      <tp t="s">
        <v>#N/A Requesting Data...</v>
        <stp/>
        <stp>##V3_BDHV12</stp>
        <stp>CL2 Comdty</stp>
        <stp>VOLUME_TOTAL_CALL</stp>
        <stp>05/01/2016</stp>
        <stp>05/01/2016</stp>
        <stp>[Bbg_Market_Data_CL.xlsm]data!R316C15</stp>
        <tr r="O316" s="1"/>
      </tp>
      <tp t="s">
        <v>#N/A Requesting Data...</v>
        <stp/>
        <stp>##V3_BDHV12</stp>
        <stp>CL1 Comdty</stp>
        <stp>VOLUME_TOTAL_CALL</stp>
        <stp>14/11/2016</stp>
        <stp>14/11/2016</stp>
        <stp>[Bbg_Market_Data_CL.xlsm]data!R102C15</stp>
        <tr r="O102" s="1"/>
      </tp>
      <tp t="s">
        <v>#N/A Requesting Data...</v>
        <stp/>
        <stp>##V3_BDHV12</stp>
        <stp>CL2 Comdty</stp>
        <stp>VOLUME_TOTAL_CALL</stp>
        <stp>16/10/2015</stp>
        <stp>16/10/2015</stp>
        <stp>[Bbg_Market_Data_CL.xlsm]data!R369C15</stp>
        <tr r="O369" s="1"/>
      </tp>
      <tp t="s">
        <v>#N/A Requesting Data...</v>
        <stp/>
        <stp>##V3_BDHV12</stp>
        <stp>CL1 Comdty</stp>
        <stp>VOLUME_TOTAL_CALL</stp>
        <stp>07/03/2016</stp>
        <stp>07/03/2016</stp>
        <stp>[Bbg_Market_Data_CL.xlsm]data!R275C15</stp>
        <tr r="O275" s="1"/>
      </tp>
      <tp t="s">
        <v>#N/A Requesting Data...</v>
        <stp/>
        <stp>##V3_BDHV12</stp>
        <stp>CL2 Comdty</stp>
        <stp>VOLUME_TOTAL_CALL</stp>
        <stp>01/06/2015</stp>
        <stp>01/06/2015</stp>
        <stp>[Bbg_Market_Data_CL.xlsm]data!R465C15</stp>
        <tr r="O465" s="1"/>
      </tp>
      <tp t="s">
        <v>#N/A Requesting Data...</v>
        <stp/>
        <stp>##V3_BDHV12</stp>
        <stp>CL2 Comdty</stp>
        <stp>VOLUME_TOTAL_CALL</stp>
        <stp>06/11/2015</stp>
        <stp>06/11/2015</stp>
        <stp>[Bbg_Market_Data_CL.xlsm]data!R354C15</stp>
        <tr r="O354" s="1"/>
      </tp>
      <tp t="s">
        <v>#N/A Requesting Data...</v>
        <stp/>
        <stp>##V3_BDHV12</stp>
        <stp>CL2 Comdty</stp>
        <stp>VOLUME_TOTAL_CALL</stp>
        <stp>21/04/2015</stp>
        <stp>21/04/2015</stp>
        <stp>[Bbg_Market_Data_CL.xlsm]data!R493C15</stp>
        <tr r="O493" s="1"/>
      </tp>
      <tp t="s">
        <v>#N/A Requesting Data...</v>
        <stp/>
        <stp>##V3_BDHV12</stp>
        <stp>CL1 Comdty</stp>
        <stp>VOLUME_TOTAL_CALL</stp>
        <stp>17/02/2016</stp>
        <stp>17/02/2016</stp>
        <stp>[Bbg_Market_Data_CL.xlsm]data!R288C15</stp>
        <tr r="O288" s="1"/>
      </tp>
      <tp t="s">
        <v>#N/A Requesting Data...</v>
        <stp/>
        <stp>##V3_BDHV12</stp>
        <stp>CL2 Comdty</stp>
        <stp>VOLUME_TOTAL_CALL</stp>
        <stp>24/02/2016</stp>
        <stp>24/02/2016</stp>
        <stp>[Bbg_Market_Data_CL.xlsm]data!R283C15</stp>
        <tr r="O283" s="1"/>
      </tp>
      <tp t="s">
        <v>#N/A Requesting Data...</v>
        <stp/>
        <stp>##V3_BDHV12</stp>
        <stp>CL2 Comdty</stp>
        <stp>VOLUME_TOTAL_CALL</stp>
        <stp>04/10/2016</stp>
        <stp>04/10/2016</stp>
        <stp>[Bbg_Market_Data_CL.xlsm]data!R129C15</stp>
        <tr r="O129" s="1"/>
      </tp>
      <tp t="s">
        <v>#N/A Requesting Data...</v>
        <stp/>
        <stp>##V3_BDHV12</stp>
        <stp>CL2 Comdty</stp>
        <stp>VOLUME_TOTAL_CALL</stp>
        <stp>22/07/2015</stp>
        <stp>22/07/2015</stp>
        <stp>[Bbg_Market_Data_CL.xlsm]data!R429C15</stp>
        <tr r="O429" s="1"/>
      </tp>
      <tp t="s">
        <v>#N/A Requesting Data...</v>
        <stp/>
        <stp>##V3_BDHV12</stp>
        <stp>CL1 Comdty</stp>
        <stp>VOLUME_TOTAL_CALL</stp>
        <stp>05/01/2016</stp>
        <stp>05/01/2016</stp>
        <stp>[Bbg_Market_Data_CL.xlsm]data!R316C15</stp>
        <tr r="O316" s="1"/>
      </tp>
      <tp t="s">
        <v>#N/A Requesting Data...</v>
        <stp/>
        <stp>##V3_BDHV12</stp>
        <stp>CL2 Comdty</stp>
        <stp>VOLUME_TOTAL_CALL</stp>
        <stp>14/11/2016</stp>
        <stp>14/11/2016</stp>
        <stp>[Bbg_Market_Data_CL.xlsm]data!R102C15</stp>
        <tr r="O102" s="1"/>
      </tp>
      <tp t="s">
        <v>#N/A Requesting Data...</v>
        <stp/>
        <stp>##V3_BDHV12</stp>
        <stp>CL1 Comdty</stp>
        <stp>VOLUME_TOTAL_CALL</stp>
        <stp>16/10/2015</stp>
        <stp>16/10/2015</stp>
        <stp>[Bbg_Market_Data_CL.xlsm]data!R369C15</stp>
        <tr r="O369" s="1"/>
      </tp>
      <tp t="s">
        <v>#N/A Requesting Data...</v>
        <stp/>
        <stp>##V3_BDHV12</stp>
        <stp>CL2 Comdty</stp>
        <stp>VOLUME_TOTAL_CALL</stp>
        <stp>07/03/2016</stp>
        <stp>07/03/2016</stp>
        <stp>[Bbg_Market_Data_CL.xlsm]data!R275C15</stp>
        <tr r="O275" s="1"/>
      </tp>
      <tp t="s">
        <v>#N/A Requesting Data...</v>
        <stp/>
        <stp>##V3_BDHV12</stp>
        <stp>CL1 Comdty</stp>
        <stp>VOLUME_TOTAL_CALL</stp>
        <stp>01/06/2015</stp>
        <stp>01/06/2015</stp>
        <stp>[Bbg_Market_Data_CL.xlsm]data!R465C15</stp>
        <tr r="O465" s="1"/>
      </tp>
      <tp t="s">
        <v>#N/A Requesting Data...</v>
        <stp/>
        <stp>##V3_BDHV12</stp>
        <stp>CL1 Comdty</stp>
        <stp>VOLUME_TOTAL_CALL</stp>
        <stp>06/11/2015</stp>
        <stp>06/11/2015</stp>
        <stp>[Bbg_Market_Data_CL.xlsm]data!R354C15</stp>
        <tr r="O354" s="1"/>
      </tp>
      <tp t="s">
        <v>#N/A Requesting Data...</v>
        <stp/>
        <stp>##V3_BDHV12</stp>
        <stp>CL1 Comdty</stp>
        <stp>VOLUME_TOTAL_CALL</stp>
        <stp>21/04/2015</stp>
        <stp>21/04/2015</stp>
        <stp>[Bbg_Market_Data_CL.xlsm]data!R493C15</stp>
        <tr r="O493" s="1"/>
      </tp>
      <tp t="s">
        <v>#N/A Requesting Data...</v>
        <stp/>
        <stp>##V3_BDHV12</stp>
        <stp>CL2 Comdty</stp>
        <stp>VOLUME_TOTAL_CALL</stp>
        <stp>17/02/2016</stp>
        <stp>17/02/2016</stp>
        <stp>[Bbg_Market_Data_CL.xlsm]data!R288C15</stp>
        <tr r="O288" s="1"/>
      </tp>
      <tp t="s">
        <v>#N/A Requesting Data...</v>
        <stp/>
        <stp>##V3_BDHV12</stp>
        <stp>CL1 Comdty</stp>
        <stp>VOLUME_TOTAL_CALL</stp>
        <stp>24/02/2016</stp>
        <stp>24/02/2016</stp>
        <stp>[Bbg_Market_Data_CL.xlsm]data!R283C15</stp>
        <tr r="O283" s="1"/>
      </tp>
      <tp t="s">
        <v>#N/A Requesting Data...</v>
        <stp/>
        <stp>##V3_BDHV12</stp>
        <stp>CL2 Comdty</stp>
        <stp>VOLUME_TOTAL_CALL</stp>
        <stp>14/12/2015</stp>
        <stp>14/12/2015</stp>
        <stp>[Bbg_Market_Data_CL.xlsm]data!R330C15</stp>
        <tr r="O330" s="1"/>
      </tp>
      <tp t="s">
        <v>#N/A Requesting Data...</v>
        <stp/>
        <stp>##V3_BDHV12</stp>
        <stp>CL1 Comdty</stp>
        <stp>VOLUME_TOTAL_CALL</stp>
        <stp>14/01/2016</stp>
        <stp>14/01/2016</stp>
        <stp>[Bbg_Market_Data_CL.xlsm]data!R309C15</stp>
        <tr r="O309" s="1"/>
      </tp>
      <tp t="s">
        <v>#N/A Requesting Data...</v>
        <stp/>
        <stp>##V3_BDHV12</stp>
        <stp>CL1 Comdty</stp>
        <stp>VOLUME_TOTAL_CALL</stp>
        <stp>26/10/2016</stp>
        <stp>26/10/2016</stp>
        <stp>[Bbg_Market_Data_CL.xlsm]data!R114C15</stp>
        <tr r="O114" s="1"/>
      </tp>
      <tp t="s">
        <v>#N/A Requesting Data...</v>
        <stp/>
        <stp>##V3_BDHV12</stp>
        <stp>CL2 Comdty</stp>
        <stp>VOLUME_TOTAL_CALL</stp>
        <stp>27/01/2016</stp>
        <stp>27/01/2016</stp>
        <stp>[Bbg_Market_Data_CL.xlsm]data!R301C15</stp>
        <tr r="O301" s="1"/>
      </tp>
      <tp t="s">
        <v>#N/A Requesting Data...</v>
        <stp/>
        <stp>##V3_BDHV12</stp>
        <stp>CL1 Comdty</stp>
        <stp>VOLUME_TOTAL_CALL</stp>
        <stp>20/05/2015</stp>
        <stp>20/05/2015</stp>
        <stp>[Bbg_Market_Data_CL.xlsm]data!R472C15</stp>
        <tr r="O472" s="1"/>
      </tp>
      <tp t="s">
        <v>#N/A Requesting Data...</v>
        <stp/>
        <stp>##V3_BDHV12</stp>
        <stp>CL2 Comdty</stp>
        <stp>VOLUME_TOTAL_CALL</stp>
        <stp>13/05/2015</stp>
        <stp>13/05/2015</stp>
        <stp>[Bbg_Market_Data_CL.xlsm]data!R477C15</stp>
        <tr r="O477" s="1"/>
      </tp>
      <tp t="s">
        <v>#N/A Requesting Data...</v>
        <stp/>
        <stp>##V3_BDHV12</stp>
        <stp>CL2 Comdty</stp>
        <stp>VOLUME_TOTAL_CALL</stp>
        <stp>16/03/2016</stp>
        <stp>16/03/2016</stp>
        <stp>[Bbg_Market_Data_CL.xlsm]data!R268C15</stp>
        <tr r="O268" s="1"/>
      </tp>
      <tp t="s">
        <v>#N/A Requesting Data...</v>
        <stp/>
        <stp>##V3_BDHV12</stp>
        <stp>CL1 Comdty</stp>
        <stp>VOLUME_TOTAL_CALL</stp>
        <stp>07/10/2015</stp>
        <stp>07/10/2015</stp>
        <stp>[Bbg_Market_Data_CL.xlsm]data!R375C15</stp>
        <tr r="O375" s="1"/>
      </tp>
      <tp t="s">
        <v>#N/A Requesting Data...</v>
        <stp/>
        <stp>##V3_BDHV12</stp>
        <stp>CL1 Comdty</stp>
        <stp>VOLUME_TOTAL_CALL</stp>
        <stp>10/06/2015</stp>
        <stp>10/06/2015</stp>
        <stp>[Bbg_Market_Data_CL.xlsm]data!R458C15</stp>
        <tr r="O458" s="1"/>
      </tp>
      <tp t="s">
        <v>#N/A Requesting Data...</v>
        <stp/>
        <stp>##V3_BDHV12</stp>
        <stp>CL1 Comdty</stp>
        <stp>VOLUME_TOTAL_CALL</stp>
        <stp>17/11/2015</stp>
        <stp>17/11/2015</stp>
        <stp>[Bbg_Market_Data_CL.xlsm]data!R348C15</stp>
        <tr r="O348" s="1"/>
      </tp>
      <tp t="s">
        <v>#N/A Requesting Data...</v>
        <stp/>
        <stp>##V3_BDHV12</stp>
        <stp>CL2 Comdty</stp>
        <stp>VOLUME_TOTAL_CALL</stp>
        <stp>24/11/2015</stp>
        <stp>24/11/2015</stp>
        <stp>[Bbg_Market_Data_CL.xlsm]data!R343C15</stp>
        <tr r="O343" s="1"/>
      </tp>
      <tp t="s">
        <v>#N/A Requesting Data...</v>
        <stp/>
        <stp>##V3_BDHV12</stp>
        <stp>CL2 Comdty</stp>
        <stp>VOLUME_TOTAL_CALL</stp>
        <stp>23/06/2015</stp>
        <stp>23/06/2015</stp>
        <stp>[Bbg_Market_Data_CL.xlsm]data!R449C15</stp>
        <tr r="O449" s="1"/>
      </tp>
      <tp t="s">
        <v>#N/A Requesting Data...</v>
        <stp/>
        <stp>##V3_BDHV12</stp>
        <stp>CL1 Comdty</stp>
        <stp>VOLUME_TOTAL_CALL</stp>
        <stp>30/04/2015</stp>
        <stp>30/04/2015</stp>
        <stp>[Bbg_Market_Data_CL.xlsm]data!R486C15</stp>
        <tr r="O486" s="1"/>
      </tp>
      <tp t="s">
        <v>#N/A Requesting Data...</v>
        <stp/>
        <stp>##V3_BDHV12</stp>
        <stp>CL1 Comdty</stp>
        <stp>PX_VOLUME</stp>
        <stp>29/03/2016</stp>
        <stp>29/03/2016</stp>
        <stp>[Bbg_Market_Data_CL.xlsm]data!R260C8</stp>
        <tr r="H260" s="1"/>
      </tp>
      <tp>
        <v>114210</v>
        <stp/>
        <stp>##V3_BDHV12</stp>
        <stp>CL2 Comdty</stp>
        <stp>PX_VOLUME</stp>
        <stp>29/03/2016</stp>
        <stp>29/03/2016</stp>
        <stp>[Bbg_Market_Data_CL.xlsm]data!R260C8</stp>
        <tr r="H260" s="1"/>
      </tp>
      <tp t="s">
        <v>#N/A Requesting Data...</v>
        <stp/>
        <stp>##V3_BDHV12</stp>
        <stp>CL1 Comdty</stp>
        <stp>PX_VOLUME</stp>
        <stp>03/09/2015</stp>
        <stp>03/09/2015</stp>
        <stp>[Bbg_Market_Data_CL.xlsm]data!R398C8</stp>
        <tr r="H398" s="1"/>
      </tp>
      <tp>
        <v>131868</v>
        <stp/>
        <stp>##V3_BDHV12</stp>
        <stp>CL2 Comdty</stp>
        <stp>PX_VOLUME</stp>
        <stp>03/09/2015</stp>
        <stp>03/09/2015</stp>
        <stp>[Bbg_Market_Data_CL.xlsm]data!R398C8</stp>
        <tr r="H398" s="1"/>
      </tp>
      <tp t="s">
        <v>#N/A Requesting Data...</v>
        <stp/>
        <stp>##V3_BDHV12</stp>
        <stp>CL1 Comdty</stp>
        <stp>PX_VOLUME</stp>
        <stp>08/02/2016</stp>
        <stp>08/02/2016</stp>
        <stp>[Bbg_Market_Data_CL.xlsm]data!R293C8</stp>
        <tr r="H293" s="1"/>
      </tp>
      <tp>
        <v>54907</v>
        <stp/>
        <stp>##V3_BDHV12</stp>
        <stp>CL2 Comdty</stp>
        <stp>PX_VOLUME</stp>
        <stp>29/12/2015</stp>
        <stp>29/12/2015</stp>
        <stp>[Bbg_Market_Data_CL.xlsm]data!R320C8</stp>
        <tr r="H320" s="1"/>
      </tp>
      <tp>
        <v>105378</v>
        <stp/>
        <stp>##V3_BDHV12</stp>
        <stp>CL2 Comdty</stp>
        <stp>PX_VOLUME</stp>
        <stp>28/10/2016</stp>
        <stp>28/10/2016</stp>
        <stp>[Bbg_Market_Data_CL.xlsm]data!R112C8</stp>
        <tr r="H112" s="1"/>
      </tp>
      <tp>
        <v>281252</v>
        <stp/>
        <stp>##V3_BDHV12</stp>
        <stp>CL2 Comdty</stp>
        <stp>PX_VOLUME</stp>
        <stp>08/02/2016</stp>
        <stp>08/02/2016</stp>
        <stp>[Bbg_Market_Data_CL.xlsm]data!R293C8</stp>
        <tr r="H293" s="1"/>
      </tp>
      <tp t="s">
        <v>#N/A Requesting Data...</v>
        <stp/>
        <stp>##V3_BDHV12</stp>
        <stp>CL1 Comdty</stp>
        <stp>PX_VOLUME</stp>
        <stp>29/12/2015</stp>
        <stp>29/12/2015</stp>
        <stp>[Bbg_Market_Data_CL.xlsm]data!R320C8</stp>
        <tr r="H320" s="1"/>
      </tp>
      <tp t="s">
        <v>#N/A Requesting Data...</v>
        <stp/>
        <stp>##V3_BDHV12</stp>
        <stp>CL1 Comdty</stp>
        <stp>PX_VOLUME</stp>
        <stp>28/10/2016</stp>
        <stp>28/10/2016</stp>
        <stp>[Bbg_Market_Data_CL.xlsm]data!R112C8</stp>
        <tr r="H112" s="1"/>
      </tp>
      <tp>
        <v>115016</v>
        <stp/>
        <stp>##V3_BDHV12</stp>
        <stp>CL2 Comdty</stp>
        <stp>PX_VOLUME</stp>
        <stp>29/07/2016</stp>
        <stp>29/07/2016</stp>
        <stp>[Bbg_Market_Data_CL.xlsm]data!R174C8</stp>
        <tr r="H174" s="1"/>
      </tp>
      <tp t="s">
        <v>#N/A Requesting Data...</v>
        <stp/>
        <stp>##V3_BDHV12</stp>
        <stp>CL1 Comdty</stp>
        <stp>PX_VOLUME</stp>
        <stp>29/07/2016</stp>
        <stp>29/07/2016</stp>
        <stp>[Bbg_Market_Data_CL.xlsm]data!R174C8</stp>
        <tr r="H174" s="1"/>
      </tp>
      <tp t="s">
        <v>#N/A Requesting Data...</v>
        <stp/>
        <stp>##V3_BDHV12</stp>
        <stp>CL1 Comdty</stp>
        <stp>PX_VOLUME</stp>
        <stp>29/04/2015</stp>
        <stp>29/04/2015</stp>
        <stp>[Bbg_Market_Data_CL.xlsm]data!R487C8</stp>
        <tr r="H487" s="1"/>
      </tp>
      <tp t="s">
        <v>#N/A Requesting Data...</v>
        <stp/>
        <stp>##V3_BDHV12</stp>
        <stp>CL2 Comdty</stp>
        <stp>PX_VOLUME</stp>
        <stp>29/04/2015</stp>
        <stp>29/04/2015</stp>
        <stp>[Bbg_Market_Data_CL.xlsm]data!R487C8</stp>
        <tr r="H487" s="1"/>
      </tp>
      <tp t="s">
        <v>#N/A Requesting Data...</v>
        <stp/>
        <stp>##V3_BDHV12</stp>
        <stp>CL1 Comdty</stp>
        <stp>PX_VOLUME</stp>
        <stp>17/09/2015</stp>
        <stp>17/09/2015</stp>
        <stp>[Bbg_Market_Data_CL.xlsm]data!R389C8</stp>
        <tr r="H389" s="1"/>
      </tp>
      <tp>
        <v>221847</v>
        <stp/>
        <stp>##V3_BDHV12</stp>
        <stp>CL2 Comdty</stp>
        <stp>PX_VOLUME</stp>
        <stp>17/09/2015</stp>
        <stp>17/09/2015</stp>
        <stp>[Bbg_Market_Data_CL.xlsm]data!R389C8</stp>
        <tr r="H389" s="1"/>
      </tp>
      <tp>
        <v>152340</v>
        <stp/>
        <stp>##V3_BDHV12</stp>
        <stp>CL2 Comdty</stp>
        <stp>PX_VOLUME</stp>
        <stp>29/06/2016</stp>
        <stp>29/06/2016</stp>
        <stp>[Bbg_Market_Data_CL.xlsm]data!R195C8</stp>
        <tr r="H195" s="1"/>
      </tp>
      <tp t="s">
        <v>#N/A Requesting Data...</v>
        <stp/>
        <stp>##V3_BDHV12</stp>
        <stp>CL1 Comdty</stp>
        <stp>PX_VOLUME</stp>
        <stp>29/06/2016</stp>
        <stp>29/06/2016</stp>
        <stp>[Bbg_Market_Data_CL.xlsm]data!R195C8</stp>
        <tr r="H195" s="1"/>
      </tp>
      <tp t="s">
        <v>#N/A Requesting Data...</v>
        <stp/>
        <stp>##V3_BDHV12</stp>
        <stp>CL1 Comdty</stp>
        <stp>PX_VOLUME</stp>
        <stp>29/05/2015</stp>
        <stp>29/05/2015</stp>
        <stp>[Bbg_Market_Data_CL.xlsm]data!R466C8</stp>
        <tr r="H466" s="1"/>
      </tp>
      <tp t="s">
        <v>#N/A Requesting Data...</v>
        <stp/>
        <stp>##V3_BDHV12</stp>
        <stp>CL2 Comdty</stp>
        <stp>PX_VOLUME</stp>
        <stp>29/05/2015</stp>
        <stp>29/05/2015</stp>
        <stp>[Bbg_Market_Data_CL.xlsm]data!R466C8</stp>
        <tr r="H466" s="1"/>
      </tp>
      <tp>
        <v>215855</v>
        <stp/>
        <stp>##V3_BDHV12</stp>
        <stp>CL2 Comdty</stp>
        <stp>PX_VOLUME</stp>
        <stp>05/08/2016</stp>
        <stp>05/08/2016</stp>
        <stp>[Bbg_Market_Data_CL.xlsm]data!R169C8</stp>
        <tr r="H169" s="1"/>
      </tp>
      <tp t="s">
        <v>#N/A Requesting Data...</v>
        <stp/>
        <stp>##V3_BDHV12</stp>
        <stp>CL1 Comdty</stp>
        <stp>PX_VOLUME</stp>
        <stp>05/08/2016</stp>
        <stp>05/08/2016</stp>
        <stp>[Bbg_Market_Data_CL.xlsm]data!R169C8</stp>
        <tr r="H169" s="1"/>
      </tp>
      <tp t="s">
        <v>#N/A Requesting Data...</v>
        <stp/>
        <stp>##V3_BDHV12</stp>
        <stp>CL1 Comdty</stp>
        <stp>PX_VOLUME</stp>
        <stp>29/06/2015</stp>
        <stp>29/06/2015</stp>
        <stp>[Bbg_Market_Data_CL.xlsm]data!R445C8</stp>
        <tr r="H445" s="1"/>
      </tp>
      <tp t="s">
        <v>#N/A Requesting Data...</v>
        <stp/>
        <stp>##V3_BDHV12</stp>
        <stp>CL2 Comdty</stp>
        <stp>PX_VOLUME</stp>
        <stp>29/06/2015</stp>
        <stp>29/06/2015</stp>
        <stp>[Bbg_Market_Data_CL.xlsm]data!R445C8</stp>
        <tr r="H445" s="1"/>
      </tp>
      <tp t="s">
        <v>#N/A Requesting Data...</v>
        <stp/>
        <stp>##V3_BDHV12</stp>
        <stp>CL1 Comdty</stp>
        <stp>PX_VOLUME</stp>
        <stp>05/08/2015</stp>
        <stp>05/08/2015</stp>
        <stp>[Bbg_Market_Data_CL.xlsm]data!R419C8</stp>
        <tr r="H419" s="1"/>
      </tp>
      <tp t="s">
        <v>#N/A Requesting Data...</v>
        <stp/>
        <stp>##V3_BDHV12</stp>
        <stp>CL2 Comdty</stp>
        <stp>PX_VOLUME</stp>
        <stp>05/08/2015</stp>
        <stp>05/08/2015</stp>
        <stp>[Bbg_Market_Data_CL.xlsm]data!R419C8</stp>
        <tr r="H419" s="1"/>
      </tp>
      <tp t="s">
        <v>#N/A Requesting Data...</v>
        <stp/>
        <stp>##V3_BDHV12</stp>
        <stp>CL1 Comdty</stp>
        <stp>PX_VOLUME</stp>
        <stp>07/09/2016</stp>
        <stp>07/09/2016</stp>
        <stp>[Bbg_Market_Data_CL.xlsm]data!R148C8</stp>
        <tr r="H148" s="1"/>
      </tp>
      <tp>
        <v>152800</v>
        <stp/>
        <stp>##V3_BDHV12</stp>
        <stp>CL2 Comdty</stp>
        <stp>PX_VOLUME</stp>
        <stp>07/09/2016</stp>
        <stp>07/09/2016</stp>
        <stp>[Bbg_Market_Data_CL.xlsm]data!R148C8</stp>
        <tr r="H148" s="1"/>
      </tp>
      <tp t="s">
        <v>#N/A Requesting Data...</v>
        <stp/>
        <stp>##V3_BDHV12</stp>
        <stp>CL1 Comdty</stp>
        <stp>PX_VOLUME</stp>
        <stp>29/04/2016</stp>
        <stp>29/04/2016</stp>
        <stp>[Bbg_Market_Data_CL.xlsm]data!R237C8</stp>
        <tr r="H237" s="1"/>
      </tp>
      <tp>
        <v>134085</v>
        <stp/>
        <stp>##V3_BDHV12</stp>
        <stp>CL2 Comdty</stp>
        <stp>PX_VOLUME</stp>
        <stp>29/04/2016</stp>
        <stp>29/04/2016</stp>
        <stp>[Bbg_Market_Data_CL.xlsm]data!R237C8</stp>
        <tr r="H237" s="1"/>
      </tp>
      <tp t="s">
        <v>#N/A Requesting Data...</v>
        <stp/>
        <stp>##V3_BDHV12</stp>
        <stp>CL1 Comdty</stp>
        <stp>PX_VOLUME</stp>
        <stp>29/07/2015</stp>
        <stp>29/07/2015</stp>
        <stp>[Bbg_Market_Data_CL.xlsm]data!R424C8</stp>
        <tr r="H424" s="1"/>
      </tp>
      <tp t="s">
        <v>#N/A Requesting Data...</v>
        <stp/>
        <stp>##V3_BDHV12</stp>
        <stp>CL2 Comdty</stp>
        <stp>PX_VOLUME</stp>
        <stp>29/07/2015</stp>
        <stp>29/07/2015</stp>
        <stp>[Bbg_Market_Data_CL.xlsm]data!R424C8</stp>
        <tr r="H424" s="1"/>
      </tp>
      <tp t="s">
        <v>#N/A Requesting Data...</v>
        <stp/>
        <stp>##V3_BDHV12</stp>
        <stp>CL1 Comdty</stp>
        <stp>PX_VOLUME</stp>
        <stp>13/11/2015</stp>
        <stp>13/11/2015</stp>
        <stp>[Bbg_Market_Data_CL.xlsm]data!R350C8</stp>
        <tr r="H350" s="1"/>
      </tp>
      <tp>
        <v>248589</v>
        <stp/>
        <stp>##V3_BDHV12</stp>
        <stp>CL2 Comdty</stp>
        <stp>PX_VOLUME</stp>
        <stp>13/11/2015</stp>
        <stp>13/11/2015</stp>
        <stp>[Bbg_Market_Data_CL.xlsm]data!R350C8</stp>
        <tr r="H350" s="1"/>
      </tp>
      <tp t="s">
        <v>#N/A Requesting Data...</v>
        <stp/>
        <stp>##V3_BDHV12</stp>
        <stp>CL1 Comdty</stp>
        <stp>PX_VOLUME</stp>
        <stp>04/05/2016</stp>
        <stp>04/05/2016</stp>
        <stp>[Bbg_Market_Data_CL.xlsm]data!R234C8</stp>
        <tr r="H234" s="1"/>
      </tp>
      <tp t="s">
        <v>#N/A Requesting Data...</v>
        <stp/>
        <stp>##V3_BDHV12</stp>
        <stp>CL1 Comdty</stp>
        <stp>PX_VOLUME</stp>
        <stp>05/04/2016</stp>
        <stp>05/04/2016</stp>
        <stp>[Bbg_Market_Data_CL.xlsm]data!R255C8</stp>
        <tr r="H255" s="1"/>
      </tp>
      <tp>
        <v>151205</v>
        <stp/>
        <stp>##V3_BDHV12</stp>
        <stp>CL2 Comdty</stp>
        <stp>PX_VOLUME</stp>
        <stp>05/04/2016</stp>
        <stp>05/04/2016</stp>
        <stp>[Bbg_Market_Data_CL.xlsm]data!R255C8</stp>
        <tr r="H255" s="1"/>
      </tp>
      <tp>
        <v>218772</v>
        <stp/>
        <stp>##V3_BDHV12</stp>
        <stp>CL2 Comdty</stp>
        <stp>PX_VOLUME</stp>
        <stp>04/05/2016</stp>
        <stp>04/05/2016</stp>
        <stp>[Bbg_Market_Data_CL.xlsm]data!R234C8</stp>
        <tr r="H234" s="1"/>
      </tp>
      <tp>
        <v>287085</v>
        <stp/>
        <stp>##V3_BDHV12</stp>
        <stp>CL2 Comdty</stp>
        <stp>PX_VOLUME</stp>
        <stp>12/01/2016</stp>
        <stp>12/01/2016</stp>
        <stp>[Bbg_Market_Data_CL.xlsm]data!R311C8</stp>
        <tr r="H311" s="1"/>
      </tp>
      <tp t="s">
        <v>#N/A Requesting Data...</v>
        <stp/>
        <stp>##V3_BDHV12</stp>
        <stp>CL1 Comdty</stp>
        <stp>PX_VOLUME</stp>
        <stp>15/05/2015</stp>
        <stp>15/05/2015</stp>
        <stp>[Bbg_Market_Data_CL.xlsm]data!R475C8</stp>
        <tr r="H475" s="1"/>
      </tp>
      <tp t="s">
        <v>#N/A Requesting Data...</v>
        <stp/>
        <stp>##V3_BDHV12</stp>
        <stp>CL1 Comdty</stp>
        <stp>PX_VOLUME</stp>
        <stp>04/05/2015</stp>
        <stp>04/05/2015</stp>
        <stp>[Bbg_Market_Data_CL.xlsm]data!R484C8</stp>
        <tr r="H484" s="1"/>
      </tp>
      <tp t="s">
        <v>#N/A Requesting Data...</v>
        <stp/>
        <stp>##V3_BDHV12</stp>
        <stp>CL2 Comdty</stp>
        <stp>PX_VOLUME</stp>
        <stp>04/05/2015</stp>
        <stp>04/05/2015</stp>
        <stp>[Bbg_Market_Data_CL.xlsm]data!R484C8</stp>
        <tr r="H484" s="1"/>
      </tp>
      <tp t="s">
        <v>#N/A Requesting Data...</v>
        <stp/>
        <stp>##V3_BDHV12</stp>
        <stp>CL1 Comdty</stp>
        <stp>PX_VOLUME</stp>
        <stp>12/01/2016</stp>
        <stp>12/01/2016</stp>
        <stp>[Bbg_Market_Data_CL.xlsm]data!R311C8</stp>
        <tr r="H311" s="1"/>
      </tp>
      <tp t="s">
        <v>#N/A Requesting Data...</v>
        <stp/>
        <stp>##V3_BDHV12</stp>
        <stp>CL2 Comdty</stp>
        <stp>PX_VOLUME</stp>
        <stp>15/05/2015</stp>
        <stp>15/05/2015</stp>
        <stp>[Bbg_Market_Data_CL.xlsm]data!R475C8</stp>
        <tr r="H475" s="1"/>
      </tp>
      <tp t="s">
        <v>#N/A Requesting Data...</v>
        <stp/>
        <stp>##V3_BDHV12</stp>
        <stp>CL1 Comdty</stp>
        <stp>PX_VOLUME</stp>
        <stp>03/10/2016</stp>
        <stp>03/10/2016</stp>
        <stp>[Bbg_Market_Data_CL.xlsm]data!R130C8</stp>
        <tr r="H130" s="1"/>
      </tp>
      <tp>
        <v>144964</v>
        <stp/>
        <stp>##V3_BDHV12</stp>
        <stp>CL2 Comdty</stp>
        <stp>PX_VOLUME</stp>
        <stp>03/10/2016</stp>
        <stp>03/10/2016</stp>
        <stp>[Bbg_Market_Data_CL.xlsm]data!R130C8</stp>
        <tr r="H130" s="1"/>
      </tp>
      <tp>
        <v>313961</v>
        <stp/>
        <stp>##V3_BDHV12</stp>
        <stp>CL2 Comdty</stp>
        <stp>PX_VOLUME</stp>
        <stp>17/05/2016</stp>
        <stp>17/05/2016</stp>
        <stp>[Bbg_Market_Data_CL.xlsm]data!R225C8</stp>
        <tr r="H225" s="1"/>
      </tp>
      <tp t="s">
        <v>#N/A Requesting Data...</v>
        <stp/>
        <stp>##V3_BDHV12</stp>
        <stp>CL1 Comdty</stp>
        <stp>PX_VOLUME</stp>
        <stp>14/06/2016</stp>
        <stp>14/06/2016</stp>
        <stp>[Bbg_Market_Data_CL.xlsm]data!R206C8</stp>
        <tr r="H206" s="1"/>
      </tp>
      <tp t="s">
        <v>#N/A Requesting Data...</v>
        <stp/>
        <stp>##V3_BDHV12</stp>
        <stp>CL1 Comdty</stp>
        <stp>PX_VOLUME</stp>
        <stp>17/05/2016</stp>
        <stp>17/05/2016</stp>
        <stp>[Bbg_Market_Data_CL.xlsm]data!R225C8</stp>
        <tr r="H225" s="1"/>
      </tp>
      <tp>
        <v>224661</v>
        <stp/>
        <stp>##V3_BDHV12</stp>
        <stp>CL2 Comdty</stp>
        <stp>PX_VOLUME</stp>
        <stp>14/06/2016</stp>
        <stp>14/06/2016</stp>
        <stp>[Bbg_Market_Data_CL.xlsm]data!R206C8</stp>
        <tr r="H206" s="1"/>
      </tp>
      <tp t="s">
        <v>#N/A Requesting Data...</v>
        <stp/>
        <stp>##V3_BDHV12</stp>
        <stp>CL1 Comdty</stp>
        <stp>PX_VOLUME</stp>
        <stp>12/07/2016</stp>
        <stp>12/07/2016</stp>
        <stp>[Bbg_Market_Data_CL.xlsm]data!R187C8</stp>
        <tr r="H187" s="1"/>
      </tp>
      <tp>
        <v>303661</v>
        <stp/>
        <stp>##V3_BDHV12</stp>
        <stp>CL2 Comdty</stp>
        <stp>PX_VOLUME</stp>
        <stp>12/07/2016</stp>
        <stp>12/07/2016</stp>
        <stp>[Bbg_Market_Data_CL.xlsm]data!R187C8</stp>
        <tr r="H187" s="1"/>
      </tp>
      <tp t="s">
        <v>#N/A Requesting Data...</v>
        <stp/>
        <stp>##V3_BDHV12</stp>
        <stp>CL1 Comdty</stp>
        <stp>PX_VOLUME</stp>
        <stp>30/04/2015</stp>
        <stp>30/04/2015</stp>
        <stp>[Bbg_Market_Data_CL.xlsm]data!R486C8</stp>
        <tr r="H486" s="1"/>
      </tp>
      <tp>
        <v>78637</v>
        <stp/>
        <stp>##V3_BDHV12</stp>
        <stp>CL2 Comdty</stp>
        <stp>PX_VOLUME</stp>
        <stp>24/11/2015</stp>
        <stp>24/11/2015</stp>
        <stp>[Bbg_Market_Data_CL.xlsm]data!R343C8</stp>
        <tr r="H343" s="1"/>
      </tp>
      <tp t="s">
        <v>#N/A Requesting Data...</v>
        <stp/>
        <stp>##V3_BDHV12</stp>
        <stp>CL2 Comdty</stp>
        <stp>PX_VOLUME</stp>
        <stp>30/04/2015</stp>
        <stp>30/04/2015</stp>
        <stp>[Bbg_Market_Data_CL.xlsm]data!R486C8</stp>
        <tr r="H486" s="1"/>
      </tp>
      <tp t="s">
        <v>#N/A Requesting Data...</v>
        <stp/>
        <stp>##V3_BDHV12</stp>
        <stp>CL1 Comdty</stp>
        <stp>PX_VOLUME</stp>
        <stp>24/11/2015</stp>
        <stp>24/11/2015</stp>
        <stp>[Bbg_Market_Data_CL.xlsm]data!R343C8</stp>
        <tr r="H343" s="1"/>
      </tp>
      <tp>
        <v>147276</v>
        <stp/>
        <stp>##V3_BDHV12</stp>
        <stp>CL2 Comdty</stp>
        <stp>PX_VOLUME</stp>
        <stp>30/06/2016</stp>
        <stp>30/06/2016</stp>
        <stp>[Bbg_Market_Data_CL.xlsm]data!R194C8</stp>
        <tr r="H194" s="1"/>
      </tp>
      <tp t="s">
        <v>#N/A Requesting Data...</v>
        <stp/>
        <stp>##V3_BDHV12</stp>
        <stp>CL1 Comdty</stp>
        <stp>PX_VOLUME</stp>
        <stp>30/06/2016</stp>
        <stp>30/06/2016</stp>
        <stp>[Bbg_Market_Data_CL.xlsm]data!R194C8</stp>
        <tr r="H194" s="1"/>
      </tp>
      <tp>
        <v>147884</v>
        <stp/>
        <stp>##V3_BDHV12</stp>
        <stp>CL2 Comdty</stp>
        <stp>PX_VOLUME</stp>
        <stp>26/01/2016</stp>
        <stp>26/01/2016</stp>
        <stp>[Bbg_Market_Data_CL.xlsm]data!R302C8</stp>
        <tr r="H302" s="1"/>
      </tp>
      <tp t="s">
        <v>#N/A Requesting Data...</v>
        <stp/>
        <stp>##V3_BDHV12</stp>
        <stp>CL1 Comdty</stp>
        <stp>PX_VOLUME</stp>
        <stp>10/07/2015</stp>
        <stp>10/07/2015</stp>
        <stp>[Bbg_Market_Data_CL.xlsm]data!R437C8</stp>
        <tr r="H437" s="1"/>
      </tp>
      <tp t="s">
        <v>#N/A Requesting Data...</v>
        <stp/>
        <stp>##V3_BDHV12</stp>
        <stp>CL2 Comdty</stp>
        <stp>PX_VOLUME</stp>
        <stp>10/07/2015</stp>
        <stp>10/07/2015</stp>
        <stp>[Bbg_Market_Data_CL.xlsm]data!R437C8</stp>
        <tr r="H437" s="1"/>
      </tp>
      <tp t="s">
        <v>#N/A Requesting Data...</v>
        <stp/>
        <stp>##V3_BDHV12</stp>
        <stp>CL1 Comdty</stp>
        <stp>PX_VOLUME</stp>
        <stp>26/01/2016</stp>
        <stp>26/01/2016</stp>
        <stp>[Bbg_Market_Data_CL.xlsm]data!R302C8</stp>
        <tr r="H302" s="1"/>
      </tp>
      <tp t="s">
        <v>#N/A Requesting Data...</v>
        <stp/>
        <stp>##V3_BDHV12</stp>
        <stp>CL1 Comdty</stp>
        <stp>PX_VOLUME</stp>
        <stp>17/10/2016</stp>
        <stp>17/10/2016</stp>
        <stp>[Bbg_Market_Data_CL.xlsm]data!R121C8</stp>
        <tr r="H121" s="1"/>
      </tp>
      <tp t="s">
        <v>#N/A Requesting Data...</v>
        <stp/>
        <stp>##V3_BDHV12</stp>
        <stp>CL2 Comdty</stp>
        <stp>PX_VOLUME</stp>
        <stp>12/06/2015</stp>
        <stp>12/06/2015</stp>
        <stp>[Bbg_Market_Data_CL.xlsm]data!R456C8</stp>
        <tr r="H456" s="1"/>
      </tp>
      <tp>
        <v>149859</v>
        <stp/>
        <stp>##V3_BDHV12</stp>
        <stp>CL2 Comdty</stp>
        <stp>PX_VOLUME</stp>
        <stp>26/02/2016</stp>
        <stp>26/02/2016</stp>
        <stp>[Bbg_Market_Data_CL.xlsm]data!R281C8</stp>
        <tr r="H281" s="1"/>
      </tp>
      <tp t="s">
        <v>#N/A Requesting Data...</v>
        <stp/>
        <stp>##V3_BDHV12</stp>
        <stp>CL1 Comdty</stp>
        <stp>PX_VOLUME</stp>
        <stp>16/11/2016</stp>
        <stp>16/11/2016</stp>
        <stp>[Bbg_Market_Data_CL.xlsm]data!R100C8</stp>
        <tr r="H100" s="1"/>
      </tp>
      <tp t="s">
        <v>#N/A Requesting Data...</v>
        <stp/>
        <stp>##V3_BDHV12</stp>
        <stp>CL1 Comdty</stp>
        <stp>PX_VOLUME</stp>
        <stp>27/10/2015</stp>
        <stp>27/10/2015</stp>
        <stp>[Bbg_Market_Data_CL.xlsm]data!R362C8</stp>
        <tr r="H362" s="1"/>
      </tp>
      <tp>
        <v>191873</v>
        <stp/>
        <stp>##V3_BDHV12</stp>
        <stp>CL2 Comdty</stp>
        <stp>PX_VOLUME</stp>
        <stp>14/10/2015</stp>
        <stp>14/10/2015</stp>
        <stp>[Bbg_Market_Data_CL.xlsm]data!R371C8</stp>
        <tr r="H371" s="1"/>
      </tp>
      <tp t="s">
        <v>#N/A Requesting Data...</v>
        <stp/>
        <stp>##V3_BDHV12</stp>
        <stp>CL1 Comdty</stp>
        <stp>PX_VOLUME</stp>
        <stp>30/06/2015</stp>
        <stp>30/06/2015</stp>
        <stp>[Bbg_Market_Data_CL.xlsm]data!R444C8</stp>
        <tr r="H444" s="1"/>
      </tp>
      <tp t="s">
        <v>#N/A Requesting Data...</v>
        <stp/>
        <stp>##V3_BDHV12</stp>
        <stp>CL1 Comdty</stp>
        <stp>PX_VOLUME</stp>
        <stp>26/02/2016</stp>
        <stp>26/02/2016</stp>
        <stp>[Bbg_Market_Data_CL.xlsm]data!R281C8</stp>
        <tr r="H281" s="1"/>
      </tp>
      <tp>
        <v>419130</v>
        <stp/>
        <stp>##V3_BDHV12</stp>
        <stp>CL2 Comdty</stp>
        <stp>PX_VOLUME</stp>
        <stp>16/11/2016</stp>
        <stp>16/11/2016</stp>
        <stp>[Bbg_Market_Data_CL.xlsm]data!R100C8</stp>
        <tr r="H100" s="1"/>
      </tp>
      <tp>
        <v>86545</v>
        <stp/>
        <stp>##V3_BDHV12</stp>
        <stp>CL2 Comdty</stp>
        <stp>PX_VOLUME</stp>
        <stp>27/10/2015</stp>
        <stp>27/10/2015</stp>
        <stp>[Bbg_Market_Data_CL.xlsm]data!R362C8</stp>
        <tr r="H362" s="1"/>
      </tp>
      <tp t="s">
        <v>#N/A Requesting Data...</v>
        <stp/>
        <stp>##V3_BDHV12</stp>
        <stp>CL1 Comdty</stp>
        <stp>PX_VOLUME</stp>
        <stp>14/10/2015</stp>
        <stp>14/10/2015</stp>
        <stp>[Bbg_Market_Data_CL.xlsm]data!R371C8</stp>
        <tr r="H371" s="1"/>
      </tp>
      <tp t="s">
        <v>#N/A Requesting Data...</v>
        <stp/>
        <stp>##V3_BDHV12</stp>
        <stp>CL2 Comdty</stp>
        <stp>PX_VOLUME</stp>
        <stp>30/06/2015</stp>
        <stp>30/06/2015</stp>
        <stp>[Bbg_Market_Data_CL.xlsm]data!R444C8</stp>
        <tr r="H444" s="1"/>
      </tp>
      <tp>
        <v>310442</v>
        <stp/>
        <stp>##V3_BDHV12</stp>
        <stp>CL2 Comdty</stp>
        <stp>PX_VOLUME</stp>
        <stp>17/10/2016</stp>
        <stp>17/10/2016</stp>
        <stp>[Bbg_Market_Data_CL.xlsm]data!R121C8</stp>
        <tr r="H121" s="1"/>
      </tp>
      <tp t="s">
        <v>#N/A Requesting Data...</v>
        <stp/>
        <stp>##V3_BDHV12</stp>
        <stp>CL1 Comdty</stp>
        <stp>PX_VOLUME</stp>
        <stp>12/06/2015</stp>
        <stp>12/06/2015</stp>
        <stp>[Bbg_Market_Data_CL.xlsm]data!R456C8</stp>
        <tr r="H456" s="1"/>
      </tp>
      <tp t="s">
        <v>#N/A Requesting Data...</v>
        <stp/>
        <stp>##V3_BDHV12</stp>
        <stp>CL1 Comdty</stp>
        <stp>30DAY_IMPVOL_90.0%MNY_DF</stp>
        <stp>31/03/2017</stp>
        <stp>31/03/2017</stp>
        <stp>[Bbg_Market_Data_CL.xlsm]data!R7C23</stp>
        <tr r="W7" s="1"/>
      </tp>
      <tp t="s">
        <v>#N/A Requesting Data...</v>
        <stp/>
        <stp>##V3_BDHV12</stp>
        <stp>CL1 Comdty</stp>
        <stp>30DAY_IMPVOL_90.0%MNY_DF</stp>
        <stp>30/03/2017</stp>
        <stp>30/03/2017</stp>
        <stp>[Bbg_Market_Data_CL.xlsm]data!R8C23</stp>
        <tr r="W8" s="1"/>
      </tp>
      <tp t="s">
        <v>#N/A Requesting Data...</v>
        <stp/>
        <stp>##V3_BDHV12</stp>
        <stp>CL1 Comdty</stp>
        <stp>30DAY_IMPVOL_95.0%MNY_DF</stp>
        <stp>31/03/2017</stp>
        <stp>31/03/2017</stp>
        <stp>[Bbg_Market_Data_CL.xlsm]data!R7C21</stp>
        <tr r="U7" s="1"/>
      </tp>
      <tp t="s">
        <v>#N/A Requesting Data...</v>
        <stp/>
        <stp>##V3_BDHV12</stp>
        <stp>CL1 Comdty</stp>
        <stp>30DAY_IMPVOL_95.0%MNY_DF</stp>
        <stp>30/03/2017</stp>
        <stp>30/03/2017</stp>
        <stp>[Bbg_Market_Data_CL.xlsm]data!R8C21</stp>
        <tr r="U8" s="1"/>
      </tp>
      <tp t="s">
        <v>#N/A Requesting Data...</v>
        <stp/>
        <stp>##V3_BDHV12</stp>
        <stp>CL1 Comdty</stp>
        <stp>30DAY_IMPVOL_90.0%MNY_DF</stp>
        <stp>29/03/2017</stp>
        <stp>29/03/2017</stp>
        <stp>[Bbg_Market_Data_CL.xlsm]data!R9C23</stp>
        <tr r="W9" s="1"/>
      </tp>
      <tp t="s">
        <v>#N/A Requesting Data...</v>
        <stp/>
        <stp>##V3_BDHV12</stp>
        <stp>CL1 Comdty</stp>
        <stp>30DAY_IMPVOL_95.0%MNY_DF</stp>
        <stp>29/03/2017</stp>
        <stp>29/03/2017</stp>
        <stp>[Bbg_Market_Data_CL.xlsm]data!R9C21</stp>
        <tr r="U9" s="1"/>
      </tp>
      <tp t="s">
        <v>#N/A Requesting Data...</v>
        <stp/>
        <stp>##V3_BDHV12</stp>
        <stp>CL1 Comdty</stp>
        <stp>30DAY_IMPVOL_95.0%MNY_DF</stp>
        <stp>03/04/2017</stp>
        <stp>03/04/2017</stp>
        <stp>[Bbg_Market_Data_CL.xlsm]data!R6C21</stp>
        <tr r="U6" s="1"/>
      </tp>
      <tp t="s">
        <v>#N/A Requesting Data...</v>
        <stp/>
        <stp>##V3_BDHV12</stp>
        <stp>CL1 Comdty</stp>
        <stp>30DAY_IMPVOL_90.0%MNY_DF</stp>
        <stp>03/04/2017</stp>
        <stp>03/04/2017</stp>
        <stp>[Bbg_Market_Data_CL.xlsm]data!R6C23</stp>
        <tr r="W6" s="1"/>
      </tp>
      <tp t="s">
        <v>#N/A Requesting Data...</v>
        <stp/>
        <stp>##V3_BDHV12</stp>
        <stp>CL1 Comdty</stp>
        <stp>30DAY_IMPVOL_90.0%MNY_DF</stp>
        <stp>05/04/2017</stp>
        <stp>05/04/2017</stp>
        <stp>[Bbg_Market_Data_CL.xlsm]data!R4C23</stp>
        <tr r="W4" s="1"/>
      </tp>
      <tp t="s">
        <v>#N/A Requesting Data...</v>
        <stp/>
        <stp>##V3_BDHV12</stp>
        <stp>CL1 Comdty</stp>
        <stp>30DAY_IMPVOL_95.0%MNY_DF</stp>
        <stp>07/04/2017</stp>
        <stp>07/04/2017</stp>
        <stp>[Bbg_Market_Data_CL.xlsm]data!R2C21</stp>
        <tr r="U2" s="1"/>
      </tp>
      <tp t="s">
        <v>#N/A Requesting Data...</v>
        <stp/>
        <stp>##V3_BDHV12</stp>
        <stp>CL1 Comdty</stp>
        <stp>30DAY_IMPVOL_90.0%MNY_DF</stp>
        <stp>04/04/2017</stp>
        <stp>04/04/2017</stp>
        <stp>[Bbg_Market_Data_CL.xlsm]data!R5C23</stp>
        <tr r="W5" s="1"/>
      </tp>
      <tp t="s">
        <v>#N/A Requesting Data...</v>
        <stp/>
        <stp>##V3_BDHV12</stp>
        <stp>CL1 Comdty</stp>
        <stp>30DAY_IMPVOL_95.0%MNY_DF</stp>
        <stp>06/04/2017</stp>
        <stp>06/04/2017</stp>
        <stp>[Bbg_Market_Data_CL.xlsm]data!R3C21</stp>
        <tr r="U3" s="1"/>
      </tp>
      <tp t="s">
        <v>#N/A Requesting Data...</v>
        <stp/>
        <stp>##V3_BDHV12</stp>
        <stp>CL1 Comdty</stp>
        <stp>30DAY_IMPVOL_90.0%MNY_DF</stp>
        <stp>07/04/2017</stp>
        <stp>07/04/2017</stp>
        <stp>[Bbg_Market_Data_CL.xlsm]data!R2C23</stp>
        <tr r="W2" s="1"/>
      </tp>
      <tp t="s">
        <v>#N/A Requesting Data...</v>
        <stp/>
        <stp>##V3_BDHV12</stp>
        <stp>CL1 Comdty</stp>
        <stp>30DAY_IMPVOL_95.0%MNY_DF</stp>
        <stp>05/04/2017</stp>
        <stp>05/04/2017</stp>
        <stp>[Bbg_Market_Data_CL.xlsm]data!R4C21</stp>
        <tr r="U4" s="1"/>
      </tp>
      <tp t="s">
        <v>#N/A Requesting Data...</v>
        <stp/>
        <stp>##V3_BDHV12</stp>
        <stp>CL1 Comdty</stp>
        <stp>30DAY_IMPVOL_90.0%MNY_DF</stp>
        <stp>06/04/2017</stp>
        <stp>06/04/2017</stp>
        <stp>[Bbg_Market_Data_CL.xlsm]data!R3C23</stp>
        <tr r="W3" s="1"/>
      </tp>
      <tp t="s">
        <v>#N/A Requesting Data...</v>
        <stp/>
        <stp>##V3_BDHV12</stp>
        <stp>CL1 Comdty</stp>
        <stp>30DAY_IMPVOL_95.0%MNY_DF</stp>
        <stp>04/04/2017</stp>
        <stp>04/04/2017</stp>
        <stp>[Bbg_Market_Data_CL.xlsm]data!R5C21</stp>
        <tr r="U5" s="1"/>
      </tp>
      <tp t="s">
        <v>#N/A Requesting Data...</v>
        <stp/>
        <stp>##V3_BDHV12</stp>
        <stp>CL1 Comdty</stp>
        <stp>VOLUME_TOTAL_CALL</stp>
        <stp>02/05/2016</stp>
        <stp>02/05/2016</stp>
        <stp>[Bbg_Market_Data_CL.xlsm]data!R236C15</stp>
        <tr r="O236" s="1"/>
      </tp>
      <tp t="s">
        <v>#N/A Requesting Data...</v>
        <stp/>
        <stp>##V3_BDHV12</stp>
        <stp>CL2 Comdty</stp>
        <stp>VOLUME_TOTAL_CALL</stp>
        <stp>31/05/2016</stp>
        <stp>31/05/2016</stp>
        <stp>[Bbg_Market_Data_CL.xlsm]data!R216C15</stp>
        <tr r="O216" s="1"/>
      </tp>
      <tp t="s">
        <v>#N/A Requesting Data...</v>
        <stp/>
        <stp>##V3_BDHV12</stp>
        <stp>CL2 Comdty</stp>
        <stp>VOLUME_TOTAL_CALL</stp>
        <stp>01/06/2016</stp>
        <stp>01/06/2016</stp>
        <stp>[Bbg_Market_Data_CL.xlsm]data!R215C15</stp>
        <tr r="O215" s="1"/>
      </tp>
      <tp t="s">
        <v>#N/A Requesting Data...</v>
        <stp/>
        <stp>##V3_BDHV12</stp>
        <stp>CL2 Comdty</stp>
        <stp>VOLUME_TOTAL_CALL</stp>
        <stp>22/07/2016</stp>
        <stp>22/07/2016</stp>
        <stp>[Bbg_Market_Data_CL.xlsm]data!R179C15</stp>
        <tr r="O179" s="1"/>
      </tp>
      <tp t="s">
        <v>#N/A Requesting Data...</v>
        <stp/>
        <stp>##V3_BDHV12</stp>
        <stp>CL1 Comdty</stp>
        <stp>VOLUME_TOTAL_CALL</stp>
        <stp>12/04/2016</stp>
        <stp>12/04/2016</stp>
        <stp>[Bbg_Market_Data_CL.xlsm]data!R250C15</stp>
        <tr r="O250" s="1"/>
      </tp>
      <tp t="s">
        <v>#N/A Requesting Data...</v>
        <stp/>
        <stp>##V3_BDHV12</stp>
        <stp>CL2 Comdty</stp>
        <stp>VOLUME_TOTAL_CALL</stp>
        <stp>21/04/2016</stp>
        <stp>21/04/2016</stp>
        <stp>[Bbg_Market_Data_CL.xlsm]data!R243C15</stp>
        <tr r="O243" s="1"/>
      </tp>
      <tp t="s">
        <v>#N/A Requesting Data...</v>
        <stp/>
        <stp>##V3_BDHV12</stp>
        <stp>CL1 Comdty</stp>
        <stp>VOLUME_TOTAL_CALL</stp>
        <stp>11/07/2016</stp>
        <stp>11/07/2016</stp>
        <stp>[Bbg_Market_Data_CL.xlsm]data!R188C15</stp>
        <tr r="O188" s="1"/>
      </tp>
      <tp t="s">
        <v>#N/A Requesting Data...</v>
        <stp/>
        <stp>##V3_BDHV12</stp>
        <stp>CL2 Comdty</stp>
        <stp>VOLUME_TOTAL_CALL</stp>
        <stp>20/05/2016</stp>
        <stp>20/05/2016</stp>
        <stp>[Bbg_Market_Data_CL.xlsm]data!R222C15</stp>
        <tr r="O222" s="1"/>
      </tp>
      <tp t="s">
        <v>#N/A Requesting Data...</v>
        <stp/>
        <stp>##V3_BDHV12</stp>
        <stp>CL1 Comdty</stp>
        <stp>VOLUME_TOTAL_CALL</stp>
        <stp>13/05/2016</stp>
        <stp>13/05/2016</stp>
        <stp>[Bbg_Market_Data_CL.xlsm]data!R227C15</stp>
        <tr r="O227" s="1"/>
      </tp>
      <tp t="s">
        <v>#N/A Requesting Data...</v>
        <stp/>
        <stp>##V3_BDHV12</stp>
        <stp>CL2 Comdty</stp>
        <stp>VOLUME_TOTAL_CALL</stp>
        <stp>10/06/2016</stp>
        <stp>10/06/2016</stp>
        <stp>[Bbg_Market_Data_CL.xlsm]data!R208C15</stp>
        <tr r="O208" s="1"/>
      </tp>
      <tp t="s">
        <v>#N/A Requesting Data...</v>
        <stp/>
        <stp>##V3_BDHV12</stp>
        <stp>CL2 Comdty</stp>
        <stp>VOLUME_TOTAL_CALL</stp>
        <stp>23/06/2016</stp>
        <stp>23/06/2016</stp>
        <stp>[Bbg_Market_Data_CL.xlsm]data!R199C15</stp>
        <tr r="O199" s="1"/>
      </tp>
      <tp t="s">
        <v>#N/A Requesting Data...</v>
        <stp/>
        <stp>##V3_BDHV12</stp>
        <stp>CL1 Comdty</stp>
        <stp>VOLUME_TOTAL_CALL</stp>
        <stp>20/05/2016</stp>
        <stp>20/05/2016</stp>
        <stp>[Bbg_Market_Data_CL.xlsm]data!R222C15</stp>
        <tr r="O222" s="1"/>
      </tp>
      <tp t="s">
        <v>#N/A Requesting Data...</v>
        <stp/>
        <stp>##V3_BDHV12</stp>
        <stp>CL2 Comdty</stp>
        <stp>VOLUME_TOTAL_CALL</stp>
        <stp>13/05/2016</stp>
        <stp>13/05/2016</stp>
        <stp>[Bbg_Market_Data_CL.xlsm]data!R227C15</stp>
        <tr r="O227" s="1"/>
      </tp>
      <tp t="s">
        <v>#N/A Requesting Data...</v>
        <stp/>
        <stp>##V3_BDHV12</stp>
        <stp>CL1 Comdty</stp>
        <stp>VOLUME_TOTAL_CALL</stp>
        <stp>10/06/2016</stp>
        <stp>10/06/2016</stp>
        <stp>[Bbg_Market_Data_CL.xlsm]data!R208C15</stp>
        <tr r="O208" s="1"/>
      </tp>
      <tp t="s">
        <v>#N/A Requesting Data...</v>
        <stp/>
        <stp>##V3_BDHV12</stp>
        <stp>CL1 Comdty</stp>
        <stp>VOLUME_TOTAL_CALL</stp>
        <stp>23/06/2016</stp>
        <stp>23/06/2016</stp>
        <stp>[Bbg_Market_Data_CL.xlsm]data!R199C15</stp>
        <tr r="O199" s="1"/>
      </tp>
      <tp t="s">
        <v>#N/A Requesting Data...</v>
        <stp/>
        <stp>##V3_BDHV12</stp>
        <stp>CL2 Comdty</stp>
        <stp>VOLUME_TOTAL_CALL</stp>
        <stp>02/05/2016</stp>
        <stp>02/05/2016</stp>
        <stp>[Bbg_Market_Data_CL.xlsm]data!R236C15</stp>
        <tr r="O236" s="1"/>
      </tp>
      <tp t="s">
        <v>#N/A Requesting Data...</v>
        <stp/>
        <stp>##V3_BDHV12</stp>
        <stp>CL1 Comdty</stp>
        <stp>VOLUME_TOTAL_CALL</stp>
        <stp>31/05/2016</stp>
        <stp>31/05/2016</stp>
        <stp>[Bbg_Market_Data_CL.xlsm]data!R216C15</stp>
        <tr r="O216" s="1"/>
      </tp>
      <tp t="s">
        <v>#N/A Requesting Data...</v>
        <stp/>
        <stp>##V3_BDHV12</stp>
        <stp>CL1 Comdty</stp>
        <stp>VOLUME_TOTAL_CALL</stp>
        <stp>01/06/2016</stp>
        <stp>01/06/2016</stp>
        <stp>[Bbg_Market_Data_CL.xlsm]data!R215C15</stp>
        <tr r="O215" s="1"/>
      </tp>
      <tp t="s">
        <v>#N/A Requesting Data...</v>
        <stp/>
        <stp>##V3_BDHV12</stp>
        <stp>CL1 Comdty</stp>
        <stp>VOLUME_TOTAL_CALL</stp>
        <stp>22/07/2016</stp>
        <stp>22/07/2016</stp>
        <stp>[Bbg_Market_Data_CL.xlsm]data!R179C15</stp>
        <tr r="O179" s="1"/>
      </tp>
      <tp t="s">
        <v>#N/A Requesting Data...</v>
        <stp/>
        <stp>##V3_BDHV12</stp>
        <stp>CL2 Comdty</stp>
        <stp>VOLUME_TOTAL_CALL</stp>
        <stp>12/04/2016</stp>
        <stp>12/04/2016</stp>
        <stp>[Bbg_Market_Data_CL.xlsm]data!R250C15</stp>
        <tr r="O250" s="1"/>
      </tp>
      <tp t="s">
        <v>#N/A Requesting Data...</v>
        <stp/>
        <stp>##V3_BDHV12</stp>
        <stp>CL1 Comdty</stp>
        <stp>VOLUME_TOTAL_CALL</stp>
        <stp>21/04/2016</stp>
        <stp>21/04/2016</stp>
        <stp>[Bbg_Market_Data_CL.xlsm]data!R243C15</stp>
        <tr r="O243" s="1"/>
      </tp>
      <tp t="s">
        <v>#N/A Requesting Data...</v>
        <stp/>
        <stp>##V3_BDHV12</stp>
        <stp>CL2 Comdty</stp>
        <stp>VOLUME_TOTAL_CALL</stp>
        <stp>11/07/2016</stp>
        <stp>11/07/2016</stp>
        <stp>[Bbg_Market_Data_CL.xlsm]data!R188C15</stp>
        <tr r="O188" s="1"/>
      </tp>
      <tp t="s">
        <v>#N/A Requesting Data...</v>
        <stp/>
        <stp>##V3_BDHV12</stp>
        <stp>CL2 Comdty</stp>
        <stp>VOLUME_TOTAL_CALL</stp>
        <stp>17/12/2015</stp>
        <stp>17/12/2015</stp>
        <stp>[Bbg_Market_Data_CL.xlsm]data!R327C15</stp>
        <tr r="O327" s="1"/>
      </tp>
      <tp t="s">
        <v>#N/A Requesting Data...</v>
        <stp/>
        <stp>##V3_BDHV12</stp>
        <stp>CL1 Comdty</stp>
        <stp>VOLUME_TOTAL_CALL</stp>
        <stp>24/12/2015</stp>
        <stp>24/12/2015</stp>
        <stp>[Bbg_Market_Data_CL.xlsm]data!R322C15</stp>
        <tr r="O322" s="1"/>
      </tp>
      <tp t="s">
        <v>#N/A Requesting Data...</v>
        <stp/>
        <stp>##V3_BDHV12</stp>
        <stp>CL2 Comdty</stp>
        <stp>VOLUME_TOTAL_CALL</stp>
        <stp>30/07/2015</stp>
        <stp>30/07/2015</stp>
        <stp>[Bbg_Market_Data_CL.xlsm]data!R423C15</stp>
        <tr r="O423" s="1"/>
      </tp>
      <tp t="s">
        <v>#N/A Requesting Data...</v>
        <stp/>
        <stp>##V3_BDHV12</stp>
        <stp>CL1 Comdty</stp>
        <stp>VOLUME_TOTAL_CALL</stp>
        <stp>25/10/2016</stp>
        <stp>25/10/2016</stp>
        <stp>[Bbg_Market_Data_CL.xlsm]data!R115C15</stp>
        <tr r="O115" s="1"/>
      </tp>
      <tp t="s">
        <v>#N/A Requesting Data...</v>
        <stp/>
        <stp>##V3_BDHV12</stp>
        <stp>CL2 Comdty</stp>
        <stp>VOLUME_TOTAL_CALL</stp>
        <stp>15/03/2016</stp>
        <stp>15/03/2016</stp>
        <stp>[Bbg_Market_Data_CL.xlsm]data!R269C15</stp>
        <tr r="O269" s="1"/>
      </tp>
      <tp t="s">
        <v>#N/A Requesting Data...</v>
        <stp/>
        <stp>##V3_BDHV12</stp>
        <stp>CL2 Comdty</stp>
        <stp>VOLUME_TOTAL_CALL</stp>
        <stp>27/11/2015</stp>
        <stp>27/11/2015</stp>
        <stp>[Bbg_Market_Data_CL.xlsm]data!R341C15</stp>
        <tr r="O341" s="1"/>
      </tp>
      <tp t="s">
        <v>#N/A Requesting Data...</v>
        <stp/>
        <stp>##V3_BDHV12</stp>
        <stp>CL2 Comdty</stp>
        <stp>VOLUME_TOTAL_CALL</stp>
        <stp>05/02/2016</stp>
        <stp>05/02/2016</stp>
        <stp>[Bbg_Market_Data_CL.xlsm]data!R294C15</stp>
        <tr r="O294" s="1"/>
      </tp>
      <tp t="s">
        <v>#N/A Requesting Data...</v>
        <stp/>
        <stp>##V3_BDHV12</stp>
        <stp>CL2 Comdty</stp>
        <stp>VOLUME_TOTAL_CALL</stp>
        <stp>21/07/2015</stp>
        <stp>21/07/2015</stp>
        <stp>[Bbg_Market_Data_CL.xlsm]data!R430C15</stp>
        <tr r="O430" s="1"/>
      </tp>
      <tp t="s">
        <v>#N/A Requesting Data...</v>
        <stp/>
        <stp>##V3_BDHV12</stp>
        <stp>CL2 Comdty</stp>
        <stp>VOLUME_TOTAL_CALL</stp>
        <stp>07/10/2016</stp>
        <stp>07/10/2016</stp>
        <stp>[Bbg_Market_Data_CL.xlsm]data!R126C15</stp>
        <tr r="O126" s="1"/>
      </tp>
      <tp t="s">
        <v>#N/A Requesting Data...</v>
        <stp/>
        <stp>##V3_BDHV12</stp>
        <stp>CL1 Comdty</stp>
        <stp>VOLUME_TOTAL_CALL</stp>
        <stp>06/01/2016</stp>
        <stp>06/01/2016</stp>
        <stp>[Bbg_Market_Data_CL.xlsm]data!R315C15</stp>
        <tr r="O315" s="1"/>
      </tp>
      <tp t="s">
        <v>#N/A Requesting Data...</v>
        <stp/>
        <stp>##V3_BDHV12</stp>
        <stp>CL2 Comdty</stp>
        <stp>VOLUME_TOTAL_CALL</stp>
        <stp>04/03/2016</stp>
        <stp>04/03/2016</stp>
        <stp>[Bbg_Market_Data_CL.xlsm]data!R276C15</stp>
        <tr r="O276" s="1"/>
      </tp>
      <tp t="s">
        <v>#N/A Requesting Data...</v>
        <stp/>
        <stp>##V3_BDHV12</stp>
        <stp>CL2 Comdty</stp>
        <stp>VOLUME_TOTAL_CALL</stp>
        <stp>26/10/2015</stp>
        <stp>26/10/2015</stp>
        <stp>[Bbg_Market_Data_CL.xlsm]data!R363C15</stp>
        <tr r="O363" s="1"/>
      </tp>
      <tp t="s">
        <v>#N/A Requesting Data...</v>
        <stp/>
        <stp>##V3_BDHV12</stp>
        <stp>CL1 Comdty</stp>
        <stp>VOLUME_TOTAL_CALL</stp>
        <stp>15/10/2015</stp>
        <stp>15/10/2015</stp>
        <stp>[Bbg_Market_Data_CL.xlsm]data!R370C15</stp>
        <tr r="O370" s="1"/>
      </tp>
      <tp t="s">
        <v>#N/A Requesting Data...</v>
        <stp/>
        <stp>##V3_BDHV12</stp>
        <stp>CL1 Comdty</stp>
        <stp>VOLUME_TOTAL_CALL</stp>
        <stp>02/06/2015</stp>
        <stp>02/06/2015</stp>
        <stp>[Bbg_Market_Data_CL.xlsm]data!R464C15</stp>
        <tr r="O464" s="1"/>
      </tp>
      <tp t="s">
        <v>#N/A Requesting Data...</v>
        <stp/>
        <stp>##V3_BDHV12</stp>
        <stp>CL1 Comdty</stp>
        <stp>VOLUME_TOTAL_CALL</stp>
        <stp>05/11/2015</stp>
        <stp>05/11/2015</stp>
        <stp>[Bbg_Market_Data_CL.xlsm]data!R355C15</stp>
        <tr r="O355" s="1"/>
      </tp>
      <tp t="s">
        <v>#N/A Requesting Data...</v>
        <stp/>
        <stp>##V3_BDHV12</stp>
        <stp>CL1 Comdty</stp>
        <stp>VOLUME_TOTAL_CALL</stp>
        <stp>22/04/2015</stp>
        <stp>22/04/2015</stp>
        <stp>[Bbg_Market_Data_CL.xlsm]data!R492C15</stp>
        <tr r="O492" s="1"/>
      </tp>
      <tp t="s">
        <v>#N/A Requesting Data...</v>
        <stp/>
        <stp>##V3_BDHV12</stp>
        <stp>CL2 Comdty</stp>
        <stp>VOLUME_TOTAL_CALL</stp>
        <stp>01/05/2015</stp>
        <stp>01/05/2015</stp>
        <stp>[Bbg_Market_Data_CL.xlsm]data!R485C15</stp>
        <tr r="O485" s="1"/>
      </tp>
      <tp t="s">
        <v>#N/A Requesting Data...</v>
        <stp/>
        <stp>##V3_BDHV12</stp>
        <stp>CL1 Comdty</stp>
        <stp>VOLUME_TOTAL_CALL</stp>
        <stp>21/07/2015</stp>
        <stp>21/07/2015</stp>
        <stp>[Bbg_Market_Data_CL.xlsm]data!R430C15</stp>
        <tr r="O430" s="1"/>
      </tp>
      <tp t="s">
        <v>#N/A Requesting Data...</v>
        <stp/>
        <stp>##V3_BDHV12</stp>
        <stp>CL1 Comdty</stp>
        <stp>VOLUME_TOTAL_CALL</stp>
        <stp>07/10/2016</stp>
        <stp>07/10/2016</stp>
        <stp>[Bbg_Market_Data_CL.xlsm]data!R126C15</stp>
        <tr r="O126" s="1"/>
      </tp>
      <tp t="s">
        <v>#N/A Requesting Data...</v>
        <stp/>
        <stp>##V3_BDHV12</stp>
        <stp>CL2 Comdty</stp>
        <stp>VOLUME_TOTAL_CALL</stp>
        <stp>06/01/2016</stp>
        <stp>06/01/2016</stp>
        <stp>[Bbg_Market_Data_CL.xlsm]data!R315C15</stp>
        <tr r="O315" s="1"/>
      </tp>
      <tp t="s">
        <v>#N/A Requesting Data...</v>
        <stp/>
        <stp>##V3_BDHV12</stp>
        <stp>CL1 Comdty</stp>
        <stp>VOLUME_TOTAL_CALL</stp>
        <stp>04/03/2016</stp>
        <stp>04/03/2016</stp>
        <stp>[Bbg_Market_Data_CL.xlsm]data!R276C15</stp>
        <tr r="O276" s="1"/>
      </tp>
      <tp t="s">
        <v>#N/A Requesting Data...</v>
        <stp/>
        <stp>##V3_BDHV12</stp>
        <stp>CL1 Comdty</stp>
        <stp>VOLUME_TOTAL_CALL</stp>
        <stp>26/10/2015</stp>
        <stp>26/10/2015</stp>
        <stp>[Bbg_Market_Data_CL.xlsm]data!R363C15</stp>
        <tr r="O363" s="1"/>
      </tp>
      <tp t="s">
        <v>#N/A Requesting Data...</v>
        <stp/>
        <stp>##V3_BDHV12</stp>
        <stp>CL2 Comdty</stp>
        <stp>VOLUME_TOTAL_CALL</stp>
        <stp>15/10/2015</stp>
        <stp>15/10/2015</stp>
        <stp>[Bbg_Market_Data_CL.xlsm]data!R370C15</stp>
        <tr r="O370" s="1"/>
      </tp>
      <tp t="s">
        <v>#N/A Requesting Data...</v>
        <stp/>
        <stp>##V3_BDHV12</stp>
        <stp>CL2 Comdty</stp>
        <stp>VOLUME_TOTAL_CALL</stp>
        <stp>02/06/2015</stp>
        <stp>02/06/2015</stp>
        <stp>[Bbg_Market_Data_CL.xlsm]data!R464C15</stp>
        <tr r="O464" s="1"/>
      </tp>
      <tp t="s">
        <v>#N/A Requesting Data...</v>
        <stp/>
        <stp>##V3_BDHV12</stp>
        <stp>CL2 Comdty</stp>
        <stp>VOLUME_TOTAL_CALL</stp>
        <stp>05/11/2015</stp>
        <stp>05/11/2015</stp>
        <stp>[Bbg_Market_Data_CL.xlsm]data!R355C15</stp>
        <tr r="O355" s="1"/>
      </tp>
      <tp t="s">
        <v>#N/A Requesting Data...</v>
        <stp/>
        <stp>##V3_BDHV12</stp>
        <stp>CL2 Comdty</stp>
        <stp>VOLUME_TOTAL_CALL</stp>
        <stp>22/04/2015</stp>
        <stp>22/04/2015</stp>
        <stp>[Bbg_Market_Data_CL.xlsm]data!R492C15</stp>
        <tr r="O492" s="1"/>
      </tp>
      <tp t="s">
        <v>#N/A Requesting Data...</v>
        <stp/>
        <stp>##V3_BDHV12</stp>
        <stp>CL1 Comdty</stp>
        <stp>VOLUME_TOTAL_CALL</stp>
        <stp>01/05/2015</stp>
        <stp>01/05/2015</stp>
        <stp>[Bbg_Market_Data_CL.xlsm]data!R485C15</stp>
        <tr r="O485" s="1"/>
      </tp>
      <tp t="s">
        <v>#N/A Requesting Data...</v>
        <stp/>
        <stp>##V3_BDHV12</stp>
        <stp>CL1 Comdty</stp>
        <stp>VOLUME_TOTAL_CALL</stp>
        <stp>17/12/2015</stp>
        <stp>17/12/2015</stp>
        <stp>[Bbg_Market_Data_CL.xlsm]data!R327C15</stp>
        <tr r="O327" s="1"/>
      </tp>
      <tp t="s">
        <v>#N/A Requesting Data...</v>
        <stp/>
        <stp>##V3_BDHV12</stp>
        <stp>CL2 Comdty</stp>
        <stp>VOLUME_TOTAL_CALL</stp>
        <stp>24/12/2015</stp>
        <stp>24/12/2015</stp>
        <stp>[Bbg_Market_Data_CL.xlsm]data!R322C15</stp>
        <tr r="O322" s="1"/>
      </tp>
      <tp t="s">
        <v>#N/A Requesting Data...</v>
        <stp/>
        <stp>##V3_BDHV12</stp>
        <stp>CL1 Comdty</stp>
        <stp>VOLUME_TOTAL_CALL</stp>
        <stp>30/07/2015</stp>
        <stp>30/07/2015</stp>
        <stp>[Bbg_Market_Data_CL.xlsm]data!R423C15</stp>
        <tr r="O423" s="1"/>
      </tp>
      <tp t="s">
        <v>#N/A Requesting Data...</v>
        <stp/>
        <stp>##V3_BDHV12</stp>
        <stp>CL2 Comdty</stp>
        <stp>VOLUME_TOTAL_CALL</stp>
        <stp>25/10/2016</stp>
        <stp>25/10/2016</stp>
        <stp>[Bbg_Market_Data_CL.xlsm]data!R115C15</stp>
        <tr r="O115" s="1"/>
      </tp>
      <tp t="s">
        <v>#N/A Requesting Data...</v>
        <stp/>
        <stp>##V3_BDHV12</stp>
        <stp>CL1 Comdty</stp>
        <stp>VOLUME_TOTAL_CALL</stp>
        <stp>15/03/2016</stp>
        <stp>15/03/2016</stp>
        <stp>[Bbg_Market_Data_CL.xlsm]data!R269C15</stp>
        <tr r="O269" s="1"/>
      </tp>
      <tp t="s">
        <v>#N/A Requesting Data...</v>
        <stp/>
        <stp>##V3_BDHV12</stp>
        <stp>CL1 Comdty</stp>
        <stp>VOLUME_TOTAL_CALL</stp>
        <stp>27/11/2015</stp>
        <stp>27/11/2015</stp>
        <stp>[Bbg_Market_Data_CL.xlsm]data!R341C15</stp>
        <tr r="O341" s="1"/>
      </tp>
      <tp t="s">
        <v>#N/A Requesting Data...</v>
        <stp/>
        <stp>##V3_BDHV12</stp>
        <stp>CL1 Comdty</stp>
        <stp>VOLUME_TOTAL_CALL</stp>
        <stp>05/02/2016</stp>
        <stp>05/02/2016</stp>
        <stp>[Bbg_Market_Data_CL.xlsm]data!R294C15</stp>
        <tr r="O294" s="1"/>
      </tp>
      <tp t="s">
        <v>#N/A Requesting Data...</v>
        <stp/>
        <stp>##V3_BDHV12</stp>
        <stp>CL1 Comdty</stp>
        <stp>PX_VOLUME</stp>
        <stp>08/01/2016</stp>
        <stp>08/01/2016</stp>
        <stp>[Bbg_Market_Data_CL.xlsm]data!R313C8</stp>
        <tr r="H313" s="1"/>
      </tp>
      <tp>
        <v>106680</v>
        <stp/>
        <stp>##V3_BDHV12</stp>
        <stp>CL2 Comdty</stp>
        <stp>PX_VOLUME</stp>
        <stp>28/10/2015</stp>
        <stp>28/10/2015</stp>
        <stp>[Bbg_Market_Data_CL.xlsm]data!R361C8</stp>
        <tr r="H361" s="1"/>
      </tp>
      <tp>
        <v>297365</v>
        <stp/>
        <stp>##V3_BDHV12</stp>
        <stp>CL2 Comdty</stp>
        <stp>PX_VOLUME</stp>
        <stp>08/01/2016</stp>
        <stp>08/01/2016</stp>
        <stp>[Bbg_Market_Data_CL.xlsm]data!R313C8</stp>
        <tr r="H313" s="1"/>
      </tp>
      <tp t="s">
        <v>#N/A Requesting Data...</v>
        <stp/>
        <stp>##V3_BDHV12</stp>
        <stp>CL1 Comdty</stp>
        <stp>PX_VOLUME</stp>
        <stp>28/10/2015</stp>
        <stp>28/10/2015</stp>
        <stp>[Bbg_Market_Data_CL.xlsm]data!R361C8</stp>
        <tr r="H361" s="1"/>
      </tp>
      <tp t="s">
        <v>#N/A Requesting Data...</v>
        <stp/>
        <stp>##V3_BDHV12</stp>
        <stp>CL1 Comdty</stp>
        <stp>PX_VOLUME</stp>
        <stp>23/08/2016</stp>
        <stp>23/08/2016</stp>
        <stp>[Bbg_Market_Data_CL.xlsm]data!R158C8</stp>
        <tr r="H158" s="1"/>
      </tp>
      <tp>
        <v>113062</v>
        <stp/>
        <stp>##V3_BDHV12</stp>
        <stp>CL2 Comdty</stp>
        <stp>PX_VOLUME</stp>
        <stp>23/08/2016</stp>
        <stp>23/08/2016</stp>
        <stp>[Bbg_Market_Data_CL.xlsm]data!R158C8</stp>
        <tr r="H158" s="1"/>
      </tp>
      <tp t="s">
        <v>#N/A Requesting Data...</v>
        <stp/>
        <stp>##V3_BDHV12</stp>
        <stp>CL1 Comdty</stp>
        <stp>PX_VOLUME</stp>
        <stp>20/08/2015</stp>
        <stp>20/08/2015</stp>
        <stp>[Bbg_Market_Data_CL.xlsm]data!R408C8</stp>
        <tr r="H408" s="1"/>
      </tp>
      <tp>
        <v>380433</v>
        <stp/>
        <stp>##V3_BDHV12</stp>
        <stp>CL2 Comdty</stp>
        <stp>PX_VOLUME</stp>
        <stp>20/08/2015</stp>
        <stp>20/08/2015</stp>
        <stp>[Bbg_Market_Data_CL.xlsm]data!R408C8</stp>
        <tr r="H408" s="1"/>
      </tp>
      <tp>
        <v>271679</v>
        <stp/>
        <stp>##V3_BDHV12</stp>
        <stp>CL2 Comdty</stp>
        <stp>PX_VOLUME</stp>
        <stp>09/10/2015</stp>
        <stp>09/10/2015</stp>
        <stp>[Bbg_Market_Data_CL.xlsm]data!R373C8</stp>
        <tr r="H373" s="1"/>
      </tp>
      <tp t="s">
        <v>#N/A Requesting Data...</v>
        <stp/>
        <stp>##V3_BDHV12</stp>
        <stp>CL1 Comdty</stp>
        <stp>PX_VOLUME</stp>
        <stp>09/10/2015</stp>
        <stp>09/10/2015</stp>
        <stp>[Bbg_Market_Data_CL.xlsm]data!R373C8</stp>
        <tr r="H373" s="1"/>
      </tp>
      <tp>
        <v>694130</v>
        <stp/>
        <stp>##V3_BDHV12</stp>
        <stp>CL2 Comdty</stp>
        <stp>PX_VOLUME</stp>
        <stp>20/09/2016</stp>
        <stp>20/09/2016</stp>
        <stp>[Bbg_Market_Data_CL.xlsm]data!R139C8</stp>
        <tr r="H139" s="1"/>
      </tp>
      <tp t="s">
        <v>#N/A Requesting Data...</v>
        <stp/>
        <stp>##V3_BDHV12</stp>
        <stp>CL1 Comdty</stp>
        <stp>PX_VOLUME</stp>
        <stp>20/09/2016</stp>
        <stp>20/09/2016</stp>
        <stp>[Bbg_Market_Data_CL.xlsm]data!R139C8</stp>
        <tr r="H139" s="1"/>
      </tp>
      <tp>
        <v>131351</v>
        <stp/>
        <stp>##V3_BDHV12</stp>
        <stp>CL2 Comdty</stp>
        <stp>PX_VOLUME</stp>
        <stp>28/06/2016</stp>
        <stp>28/06/2016</stp>
        <stp>[Bbg_Market_Data_CL.xlsm]data!R196C8</stp>
        <tr r="H196" s="1"/>
      </tp>
      <tp t="s">
        <v>#N/A Requesting Data...</v>
        <stp/>
        <stp>##V3_BDHV12</stp>
        <stp>CL1 Comdty</stp>
        <stp>PX_VOLUME</stp>
        <stp>28/06/2016</stp>
        <stp>28/06/2016</stp>
        <stp>[Bbg_Market_Data_CL.xlsm]data!R196C8</stp>
        <tr r="H196" s="1"/>
      </tp>
      <tp t="s">
        <v>#N/A Requesting Data...</v>
        <stp/>
        <stp>##V3_BDHV12</stp>
        <stp>CL1 Comdty</stp>
        <stp>PX_VOLUME</stp>
        <stp>15/07/2015</stp>
        <stp>15/07/2015</stp>
        <stp>[Bbg_Market_Data_CL.xlsm]data!R434C8</stp>
        <tr r="H434" s="1"/>
      </tp>
      <tp>
        <v>314127</v>
        <stp/>
        <stp>##V3_BDHV12</stp>
        <stp>CL2 Comdty</stp>
        <stp>PX_VOLUME</stp>
        <stp>10/11/2016</stp>
        <stp>10/11/2016</stp>
        <stp>[Bbg_Market_Data_CL.xlsm]data!R103C8</stp>
        <tr r="H103" s="1"/>
      </tp>
      <tp t="s">
        <v>#N/A Requesting Data...</v>
        <stp/>
        <stp>##V3_BDHV12</stp>
        <stp>CL1 Comdty</stp>
        <stp>PX_VOLUME</stp>
        <stp>23/12/2015</stp>
        <stp>23/12/2015</stp>
        <stp>[Bbg_Market_Data_CL.xlsm]data!R323C8</stp>
        <tr r="H323" s="1"/>
      </tp>
      <tp>
        <v>97650</v>
        <stp/>
        <stp>##V3_BDHV12</stp>
        <stp>CL2 Comdty</stp>
        <stp>PX_VOLUME</stp>
        <stp>23/12/2015</stp>
        <stp>23/12/2015</stp>
        <stp>[Bbg_Market_Data_CL.xlsm]data!R323C8</stp>
        <tr r="H323" s="1"/>
      </tp>
      <tp t="s">
        <v>#N/A Requesting Data...</v>
        <stp/>
        <stp>##V3_BDHV12</stp>
        <stp>CL2 Comdty</stp>
        <stp>PX_VOLUME</stp>
        <stp>15/07/2015</stp>
        <stp>15/07/2015</stp>
        <stp>[Bbg_Market_Data_CL.xlsm]data!R434C8</stp>
        <tr r="H434" s="1"/>
      </tp>
      <tp t="s">
        <v>#N/A Requesting Data...</v>
        <stp/>
        <stp>##V3_BDHV12</stp>
        <stp>CL1 Comdty</stp>
        <stp>PX_VOLUME</stp>
        <stp>10/11/2016</stp>
        <stp>10/11/2016</stp>
        <stp>[Bbg_Market_Data_CL.xlsm]data!R103C8</stp>
        <tr r="H103" s="1"/>
      </tp>
      <tp t="s">
        <v>#N/A Requesting Data...</v>
        <stp/>
        <stp>##V3_BDHV12</stp>
        <stp>CL1 Comdty</stp>
        <stp>PX_VOLUME</stp>
        <stp>04/04/2016</stp>
        <stp>04/04/2016</stp>
        <stp>[Bbg_Market_Data_CL.xlsm]data!R256C8</stp>
        <tr r="H256" s="1"/>
      </tp>
      <tp t="s">
        <v>#N/A Requesting Data...</v>
        <stp/>
        <stp>##V3_BDHV12</stp>
        <stp>CL1 Comdty</stp>
        <stp>PX_VOLUME</stp>
        <stp>15/04/2016</stp>
        <stp>15/04/2016</stp>
        <stp>[Bbg_Market_Data_CL.xlsm]data!R247C8</stp>
        <tr r="H247" s="1"/>
      </tp>
      <tp>
        <v>387546</v>
        <stp/>
        <stp>##V3_BDHV12</stp>
        <stp>CL2 Comdty</stp>
        <stp>PX_VOLUME</stp>
        <stp>15/04/2016</stp>
        <stp>15/04/2016</stp>
        <stp>[Bbg_Market_Data_CL.xlsm]data!R247C8</stp>
        <tr r="H247" s="1"/>
      </tp>
      <tp>
        <v>194055</v>
        <stp/>
        <stp>##V3_BDHV12</stp>
        <stp>CL2 Comdty</stp>
        <stp>PX_VOLUME</stp>
        <stp>04/04/2016</stp>
        <stp>04/04/2016</stp>
        <stp>[Bbg_Market_Data_CL.xlsm]data!R256C8</stp>
        <tr r="H256" s="1"/>
      </tp>
      <tp t="s">
        <v>#N/A Requesting Data...</v>
        <stp/>
        <stp>##V3_BDHV12</stp>
        <stp>CL1 Comdty</stp>
        <stp>PX_VOLUME</stp>
        <stp>11/01/2016</stp>
        <stp>11/01/2016</stp>
        <stp>[Bbg_Market_Data_CL.xlsm]data!R312C8</stp>
        <tr r="H312" s="1"/>
      </tp>
      <tp t="s">
        <v>#N/A Requesting Data...</v>
        <stp/>
        <stp>##V3_BDHV12</stp>
        <stp>CL1 Comdty</stp>
        <stp>PX_VOLUME</stp>
        <stp>15/06/2015</stp>
        <stp>15/06/2015</stp>
        <stp>[Bbg_Market_Data_CL.xlsm]data!R455C8</stp>
        <tr r="H455" s="1"/>
      </tp>
      <tp t="s">
        <v>#N/A Requesting Data...</v>
        <stp/>
        <stp>##V3_BDHV12</stp>
        <stp>CL2 Comdty</stp>
        <stp>PX_VOLUME</stp>
        <stp>26/06/2015</stp>
        <stp>26/06/2015</stp>
        <stp>[Bbg_Market_Data_CL.xlsm]data!R446C8</stp>
        <tr r="H446" s="1"/>
      </tp>
      <tp t="s">
        <v>#N/A Requesting Data...</v>
        <stp/>
        <stp>##V3_BDHV12</stp>
        <stp>CL1 Comdty</stp>
        <stp>PX_VOLUME</stp>
        <stp>13/10/2015</stp>
        <stp>13/10/2015</stp>
        <stp>[Bbg_Market_Data_CL.xlsm]data!R372C8</stp>
        <tr r="H372" s="1"/>
      </tp>
      <tp>
        <v>262780</v>
        <stp/>
        <stp>##V3_BDHV12</stp>
        <stp>CL2 Comdty</stp>
        <stp>PX_VOLUME</stp>
        <stp>13/10/2015</stp>
        <stp>13/10/2015</stp>
        <stp>[Bbg_Market_Data_CL.xlsm]data!R372C8</stp>
        <tr r="H372" s="1"/>
      </tp>
      <tp>
        <v>303766</v>
        <stp/>
        <stp>##V3_BDHV12</stp>
        <stp>CL2 Comdty</stp>
        <stp>PX_VOLUME</stp>
        <stp>11/01/2016</stp>
        <stp>11/01/2016</stp>
        <stp>[Bbg_Market_Data_CL.xlsm]data!R312C8</stp>
        <tr r="H312" s="1"/>
      </tp>
      <tp t="s">
        <v>#N/A Requesting Data...</v>
        <stp/>
        <stp>##V3_BDHV12</stp>
        <stp>CL2 Comdty</stp>
        <stp>PX_VOLUME</stp>
        <stp>15/06/2015</stp>
        <stp>15/06/2015</stp>
        <stp>[Bbg_Market_Data_CL.xlsm]data!R455C8</stp>
        <tr r="H455" s="1"/>
      </tp>
      <tp t="s">
        <v>#N/A Requesting Data...</v>
        <stp/>
        <stp>##V3_BDHV12</stp>
        <stp>CL1 Comdty</stp>
        <stp>PX_VOLUME</stp>
        <stp>26/06/2015</stp>
        <stp>26/06/2015</stp>
        <stp>[Bbg_Market_Data_CL.xlsm]data!R446C8</stp>
        <tr r="H446" s="1"/>
      </tp>
      <tp>
        <v>144395</v>
        <stp/>
        <stp>##V3_BDHV12</stp>
        <stp>CL2 Comdty</stp>
        <stp>PX_VOLUME</stp>
        <stp>23/03/2016</stp>
        <stp>23/03/2016</stp>
        <stp>[Bbg_Market_Data_CL.xlsm]data!R263C8</stp>
        <tr r="H263" s="1"/>
      </tp>
      <tp t="s">
        <v>#N/A Requesting Data...</v>
        <stp/>
        <stp>##V3_BDHV12</stp>
        <stp>CL1 Comdty</stp>
        <stp>PX_VOLUME</stp>
        <stp>24/07/2015</stp>
        <stp>24/07/2015</stp>
        <stp>[Bbg_Market_Data_CL.xlsm]data!R427C8</stp>
        <tr r="H427" s="1"/>
      </tp>
      <tp t="s">
        <v>#N/A Requesting Data...</v>
        <stp/>
        <stp>##V3_BDHV12</stp>
        <stp>CL2 Comdty</stp>
        <stp>PX_VOLUME</stp>
        <stp>24/07/2015</stp>
        <stp>24/07/2015</stp>
        <stp>[Bbg_Market_Data_CL.xlsm]data!R427C8</stp>
        <tr r="H427" s="1"/>
      </tp>
      <tp t="s">
        <v>#N/A Requesting Data...</v>
        <stp/>
        <stp>##V3_BDHV12</stp>
        <stp>CL1 Comdty</stp>
        <stp>PX_VOLUME</stp>
        <stp>23/03/2016</stp>
        <stp>23/03/2016</stp>
        <stp>[Bbg_Market_Data_CL.xlsm]data!R263C8</stp>
        <tr r="H263" s="1"/>
      </tp>
      <tp>
        <v>273392</v>
        <stp/>
        <stp>##V3_BDHV12</stp>
        <stp>CL2 Comdty</stp>
        <stp>PX_VOLUME</stp>
        <stp>16/05/2016</stp>
        <stp>16/05/2016</stp>
        <stp>[Bbg_Market_Data_CL.xlsm]data!R226C8</stp>
        <tr r="H226" s="1"/>
      </tp>
      <tp t="s">
        <v>#N/A Requesting Data...</v>
        <stp/>
        <stp>##V3_BDHV12</stp>
        <stp>CL1 Comdty</stp>
        <stp>PX_VOLUME</stp>
        <stp>15/06/2016</stp>
        <stp>15/06/2016</stp>
        <stp>[Bbg_Market_Data_CL.xlsm]data!R205C8</stp>
        <tr r="H205" s="1"/>
      </tp>
      <tp t="s">
        <v>#N/A Requesting Data...</v>
        <stp/>
        <stp>##V3_BDHV12</stp>
        <stp>CL1 Comdty</stp>
        <stp>PX_VOLUME</stp>
        <stp>16/05/2016</stp>
        <stp>16/05/2016</stp>
        <stp>[Bbg_Market_Data_CL.xlsm]data!R226C8</stp>
        <tr r="H226" s="1"/>
      </tp>
      <tp>
        <v>285231</v>
        <stp/>
        <stp>##V3_BDHV12</stp>
        <stp>CL2 Comdty</stp>
        <stp>PX_VOLUME</stp>
        <stp>15/06/2016</stp>
        <stp>15/06/2016</stp>
        <stp>[Bbg_Market_Data_CL.xlsm]data!R205C8</stp>
        <tr r="H205" s="1"/>
      </tp>
      <tp t="s">
        <v>#N/A Requesting Data...</v>
        <stp/>
        <stp>##V3_BDHV12</stp>
        <stp>CL1 Comdty</stp>
        <stp>PX_VOLUME</stp>
        <stp>10/02/2016</stp>
        <stp>10/02/2016</stp>
        <stp>[Bbg_Market_Data_CL.xlsm]data!R291C8</stp>
        <tr r="H291" s="1"/>
      </tp>
      <tp t="s">
        <v>#N/A Requesting Data...</v>
        <stp/>
        <stp>##V3_BDHV12</stp>
        <stp>CL1 Comdty</stp>
        <stp>PX_VOLUME</stp>
        <stp>15/04/2015</stp>
        <stp>15/04/2015</stp>
        <stp>[Bbg_Market_Data_CL.xlsm]data!R497C8</stp>
        <tr r="H497" s="1"/>
      </tp>
      <tp t="s">
        <v>#N/A Requesting Data...</v>
        <stp/>
        <stp>##V3_BDHV12</stp>
        <stp>CL1 Comdty</stp>
        <stp>PX_VOLUME</stp>
        <stp>14/05/2015</stp>
        <stp>14/05/2015</stp>
        <stp>[Bbg_Market_Data_CL.xlsm]data!R476C8</stp>
        <tr r="H476" s="1"/>
      </tp>
      <tp t="s">
        <v>#N/A Requesting Data...</v>
        <stp/>
        <stp>##V3_BDHV12</stp>
        <stp>CL2 Comdty</stp>
        <stp>PX_VOLUME</stp>
        <stp>14/05/2015</stp>
        <stp>14/05/2015</stp>
        <stp>[Bbg_Market_Data_CL.xlsm]data!R476C8</stp>
        <tr r="H476" s="1"/>
      </tp>
      <tp>
        <v>442451</v>
        <stp/>
        <stp>##V3_BDHV12</stp>
        <stp>CL2 Comdty</stp>
        <stp>PX_VOLUME</stp>
        <stp>10/02/2016</stp>
        <stp>10/02/2016</stp>
        <stp>[Bbg_Market_Data_CL.xlsm]data!R291C8</stp>
        <tr r="H291" s="1"/>
      </tp>
      <tp t="s">
        <v>#N/A Requesting Data...</v>
        <stp/>
        <stp>##V3_BDHV12</stp>
        <stp>CL2 Comdty</stp>
        <stp>PX_VOLUME</stp>
        <stp>15/04/2015</stp>
        <stp>15/04/2015</stp>
        <stp>[Bbg_Market_Data_CL.xlsm]data!R497C8</stp>
        <tr r="H497" s="1"/>
      </tp>
      <tp>
        <v>265014</v>
        <stp/>
        <stp>##V3_BDHV12</stp>
        <stp>CL2 Comdty</stp>
        <stp>PX_VOLUME</stp>
        <stp>15/07/2016</stp>
        <stp>15/07/2016</stp>
        <stp>[Bbg_Market_Data_CL.xlsm]data!R184C8</stp>
        <tr r="H184" s="1"/>
      </tp>
      <tp t="s">
        <v>#N/A Requesting Data...</v>
        <stp/>
        <stp>##V3_BDHV12</stp>
        <stp>CL1 Comdty</stp>
        <stp>PX_VOLUME</stp>
        <stp>26/07/2016</stp>
        <stp>26/07/2016</stp>
        <stp>[Bbg_Market_Data_CL.xlsm]data!R177C8</stp>
        <tr r="H177" s="1"/>
      </tp>
      <tp t="s">
        <v>#N/A Requesting Data...</v>
        <stp/>
        <stp>##V3_BDHV12</stp>
        <stp>CL1 Comdty</stp>
        <stp>PX_VOLUME</stp>
        <stp>15/07/2016</stp>
        <stp>15/07/2016</stp>
        <stp>[Bbg_Market_Data_CL.xlsm]data!R184C8</stp>
        <tr r="H184" s="1"/>
      </tp>
      <tp>
        <v>103915</v>
        <stp/>
        <stp>##V3_BDHV12</stp>
        <stp>CL2 Comdty</stp>
        <stp>PX_VOLUME</stp>
        <stp>26/07/2016</stp>
        <stp>26/07/2016</stp>
        <stp>[Bbg_Market_Data_CL.xlsm]data!R177C8</stp>
        <tr r="H177" s="1"/>
      </tp>
      <tp>
        <v>107303</v>
        <stp/>
        <stp>##V3_BDHV12</stp>
        <stp>CL2 Comdty</stp>
        <stp>PX_VOLUME</stp>
        <stp>02/06/2016</stp>
        <stp>02/06/2016</stp>
        <stp>[Bbg_Market_Data_CL.xlsm]data!R214C8</stp>
        <tr r="H214" s="1"/>
      </tp>
      <tp t="s">
        <v>#N/A Requesting Data...</v>
        <stp/>
        <stp>##V3_BDHV12</stp>
        <stp>CL1 Comdty</stp>
        <stp>PX_VOLUME</stp>
        <stp>02/06/2016</stp>
        <stp>02/06/2016</stp>
        <stp>[Bbg_Market_Data_CL.xlsm]data!R214C8</stp>
        <tr r="H214" s="1"/>
      </tp>
      <tp>
        <v>234759</v>
        <stp/>
        <stp>##V3_BDHV12</stp>
        <stp>CL2 Comdty</stp>
        <stp>PX_VOLUME</stp>
        <stp>14/12/2015</stp>
        <stp>14/12/2015</stp>
        <stp>[Bbg_Market_Data_CL.xlsm]data!R330C8</stp>
        <tr r="H330" s="1"/>
      </tp>
      <tp>
        <v>179258</v>
        <stp/>
        <stp>##V3_BDHV12</stp>
        <stp>CL2 Comdty</stp>
        <stp>PX_VOLUME</stp>
        <stp>27/01/2016</stp>
        <stp>27/01/2016</stp>
        <stp>[Bbg_Market_Data_CL.xlsm]data!R301C8</stp>
        <tr r="H301" s="1"/>
      </tp>
      <tp t="s">
        <v>#N/A Requesting Data...</v>
        <stp/>
        <stp>##V3_BDHV12</stp>
        <stp>CL1 Comdty</stp>
        <stp>PX_VOLUME</stp>
        <stp>14/12/2015</stp>
        <stp>14/12/2015</stp>
        <stp>[Bbg_Market_Data_CL.xlsm]data!R330C8</stp>
        <tr r="H330" s="1"/>
      </tp>
      <tp t="s">
        <v>#N/A Requesting Data...</v>
        <stp/>
        <stp>##V3_BDHV12</stp>
        <stp>CL1 Comdty</stp>
        <stp>PX_VOLUME</stp>
        <stp>27/01/2016</stp>
        <stp>27/01/2016</stp>
        <stp>[Bbg_Market_Data_CL.xlsm]data!R301C8</stp>
        <tr r="H301" s="1"/>
      </tp>
      <tp>
        <v>353204</v>
        <stp/>
        <stp>##V3_BDHV12</stp>
        <stp>CL2 Comdty</stp>
        <stp>PX_VOLUME</stp>
        <stp>14/10/2016</stp>
        <stp>14/10/2016</stp>
        <stp>[Bbg_Market_Data_CL.xlsm]data!R122C8</stp>
        <tr r="H122" s="1"/>
      </tp>
      <tp t="s">
        <v>#N/A Requesting Data...</v>
        <stp/>
        <stp>##V3_BDHV12</stp>
        <stp>CL1 Comdty</stp>
        <stp>PX_VOLUME</stp>
        <stp>20/04/2015</stp>
        <stp>20/04/2015</stp>
        <stp>[Bbg_Market_Data_CL.xlsm]data!R494C8</stp>
        <tr r="H494" s="1"/>
      </tp>
      <tp t="s">
        <v>#N/A Requesting Data...</v>
        <stp/>
        <stp>##V3_BDHV12</stp>
        <stp>CL1 Comdty</stp>
        <stp>PX_VOLUME</stp>
        <stp>25/02/2016</stp>
        <stp>25/02/2016</stp>
        <stp>[Bbg_Market_Data_CL.xlsm]data!R282C8</stp>
        <tr r="H282" s="1"/>
      </tp>
      <tp t="s">
        <v>#N/A Requesting Data...</v>
        <stp/>
        <stp>##V3_BDHV12</stp>
        <stp>CL2 Comdty</stp>
        <stp>PX_VOLUME</stp>
        <stp>20/04/2015</stp>
        <stp>20/04/2015</stp>
        <stp>[Bbg_Market_Data_CL.xlsm]data!R494C8</stp>
        <tr r="H494" s="1"/>
      </tp>
      <tp>
        <v>161130</v>
        <stp/>
        <stp>##V3_BDHV12</stp>
        <stp>CL2 Comdty</stp>
        <stp>PX_VOLUME</stp>
        <stp>25/02/2016</stp>
        <stp>25/02/2016</stp>
        <stp>[Bbg_Market_Data_CL.xlsm]data!R282C8</stp>
        <tr r="H282" s="1"/>
      </tp>
      <tp t="s">
        <v>#N/A Requesting Data...</v>
        <stp/>
        <stp>##V3_BDHV12</stp>
        <stp>CL1 Comdty</stp>
        <stp>PX_VOLUME</stp>
        <stp>14/10/2016</stp>
        <stp>14/10/2016</stp>
        <stp>[Bbg_Market_Data_CL.xlsm]data!R122C8</stp>
        <tr r="H122" s="1"/>
      </tp>
      <tp t="s">
        <v>#N/A Requesting Data...</v>
        <stp/>
        <stp>##V3_BDHV12</stp>
        <stp>CL1 Comdty</stp>
        <stp>PX_VOLUME</stp>
        <stp>20/04/2016</stp>
        <stp>20/04/2016</stp>
        <stp>[Bbg_Market_Data_CL.xlsm]data!R244C8</stp>
        <tr r="H244" s="1"/>
      </tp>
      <tp>
        <v>796240</v>
        <stp/>
        <stp>##V3_BDHV12</stp>
        <stp>CL2 Comdty</stp>
        <stp>PX_VOLUME</stp>
        <stp>20/04/2016</stp>
        <stp>20/04/2016</stp>
        <stp>[Bbg_Market_Data_CL.xlsm]data!R244C8</stp>
        <tr r="H244" s="1"/>
      </tp>
      <tp t="s">
        <v>#N/A Requesting Data...</v>
        <stp/>
        <stp>##V3_BDHV12</stp>
        <stp>CL1 Comdty</stp>
        <stp>PX_VOLUME</stp>
        <stp>14/03/2016</stp>
        <stp>14/03/2016</stp>
        <stp>[Bbg_Market_Data_CL.xlsm]data!R270C8</stp>
        <tr r="H270" s="1"/>
      </tp>
      <tp>
        <v>229532</v>
        <stp/>
        <stp>##V3_BDHV12</stp>
        <stp>CL2 Comdty</stp>
        <stp>PX_VOLUME</stp>
        <stp>14/03/2016</stp>
        <stp>14/03/2016</stp>
        <stp>[Bbg_Market_Data_CL.xlsm]data!R270C8</stp>
        <tr r="H270" s="1"/>
      </tp>
      <tp t="s">
        <v>#N/A Requesting Data...</v>
        <stp/>
        <stp>##V3_BDHV12</stp>
        <stp>CL2 Comdty</stp>
        <stp>PX_VOLUME</stp>
        <stp>02/06/2015</stp>
        <stp>02/06/2015</stp>
        <stp>[Bbg_Market_Data_CL.xlsm]data!R464C8</stp>
        <tr r="H464" s="1"/>
      </tp>
      <tp t="s">
        <v>#N/A Requesting Data...</v>
        <stp/>
        <stp>##V3_BDHV12</stp>
        <stp>CL1 Comdty</stp>
        <stp>PX_VOLUME</stp>
        <stp>02/06/2015</stp>
        <stp>02/06/2015</stp>
        <stp>[Bbg_Market_Data_CL.xlsm]data!R464C8</stp>
        <tr r="H464" s="1"/>
      </tp>
      <tp t="s">
        <v>#N/A Requesting Data...</v>
        <stp/>
        <stp>##V3_BDHV12</stp>
        <stp>CL1 Comdty</stp>
        <stp>VOLUME_TOTAL_CALL</stp>
        <stp>12/05/2016</stp>
        <stp>12/05/2016</stp>
        <stp>[Bbg_Market_Data_CL.xlsm]data!R228C15</stp>
        <tr r="O228" s="1"/>
      </tp>
      <tp t="s">
        <v>#N/A Requesting Data...</v>
        <stp/>
        <stp>##V3_BDHV12</stp>
        <stp>CL1 Comdty</stp>
        <stp>VOLUME_TOTAL_CALL</stp>
        <stp>22/06/2016</stp>
        <stp>22/06/2016</stp>
        <stp>[Bbg_Market_Data_CL.xlsm]data!R200C15</stp>
        <tr r="O200" s="1"/>
      </tp>
      <tp t="s">
        <v>#N/A Requesting Data...</v>
        <stp/>
        <stp>##V3_BDHV12</stp>
        <stp>CL1 Comdty</stp>
        <stp>VOLUME_TOTAL_CALL</stp>
        <stp>01/07/2016</stp>
        <stp>01/07/2016</stp>
        <stp>[Bbg_Market_Data_CL.xlsm]data!R193C15</stp>
        <tr r="O193" s="1"/>
      </tp>
      <tp t="s">
        <v>#N/A Requesting Data...</v>
        <stp/>
        <stp>##V3_BDHV12</stp>
        <stp>CL1 Comdty</stp>
        <stp>VOLUME_TOTAL_CALL</stp>
        <stp>03/05/2016</stp>
        <stp>03/05/2016</stp>
        <stp>[Bbg_Market_Data_CL.xlsm]data!R235C15</stp>
        <tr r="O235" s="1"/>
      </tp>
      <tp t="s">
        <v>#N/A Requesting Data...</v>
        <stp/>
        <stp>##V3_BDHV12</stp>
        <stp>CL1 Comdty</stp>
        <stp>VOLUME_TOTAL_CALL</stp>
        <stp>13/04/2016</stp>
        <stp>13/04/2016</stp>
        <stp>[Bbg_Market_Data_CL.xlsm]data!R249C15</stp>
        <tr r="O249" s="1"/>
      </tp>
      <tp t="s">
        <v>#N/A Requesting Data...</v>
        <stp/>
        <stp>##V3_BDHV12</stp>
        <stp>CL2 Comdty</stp>
        <stp>VOLUME_TOTAL_CALL</stp>
        <stp>20/04/2016</stp>
        <stp>20/04/2016</stp>
        <stp>[Bbg_Market_Data_CL.xlsm]data!R244C15</stp>
        <tr r="O244" s="1"/>
      </tp>
      <tp t="s">
        <v>#N/A Requesting Data...</v>
        <stp/>
        <stp>##V3_BDHV12</stp>
        <stp>CL2 Comdty</stp>
        <stp>VOLUME_TOTAL_CALL</stp>
        <stp>03/05/2016</stp>
        <stp>03/05/2016</stp>
        <stp>[Bbg_Market_Data_CL.xlsm]data!R235C15</stp>
        <tr r="O235" s="1"/>
      </tp>
      <tp t="s">
        <v>#N/A Requesting Data...</v>
        <stp/>
        <stp>##V3_BDHV12</stp>
        <stp>CL2 Comdty</stp>
        <stp>VOLUME_TOTAL_CALL</stp>
        <stp>13/04/2016</stp>
        <stp>13/04/2016</stp>
        <stp>[Bbg_Market_Data_CL.xlsm]data!R249C15</stp>
        <tr r="O249" s="1"/>
      </tp>
      <tp t="s">
        <v>#N/A Requesting Data...</v>
        <stp/>
        <stp>##V3_BDHV12</stp>
        <stp>CL1 Comdty</stp>
        <stp>VOLUME_TOTAL_CALL</stp>
        <stp>20/04/2016</stp>
        <stp>20/04/2016</stp>
        <stp>[Bbg_Market_Data_CL.xlsm]data!R244C15</stp>
        <tr r="O244" s="1"/>
      </tp>
      <tp t="s">
        <v>#N/A Requesting Data...</v>
        <stp/>
        <stp>##V3_BDHV12</stp>
        <stp>CL2 Comdty</stp>
        <stp>VOLUME_TOTAL_CALL</stp>
        <stp>12/05/2016</stp>
        <stp>12/05/2016</stp>
        <stp>[Bbg_Market_Data_CL.xlsm]data!R228C15</stp>
        <tr r="O228" s="1"/>
      </tp>
      <tp t="s">
        <v>#N/A Requesting Data...</v>
        <stp/>
        <stp>##V3_BDHV12</stp>
        <stp>CL2 Comdty</stp>
        <stp>VOLUME_TOTAL_CALL</stp>
        <stp>22/06/2016</stp>
        <stp>22/06/2016</stp>
        <stp>[Bbg_Market_Data_CL.xlsm]data!R200C15</stp>
        <tr r="O200" s="1"/>
      </tp>
      <tp t="s">
        <v>#N/A Requesting Data...</v>
        <stp/>
        <stp>##V3_BDHV12</stp>
        <stp>CL2 Comdty</stp>
        <stp>VOLUME_TOTAL_CALL</stp>
        <stp>01/07/2016</stp>
        <stp>01/07/2016</stp>
        <stp>[Bbg_Market_Data_CL.xlsm]data!R193C15</stp>
        <tr r="O193" s="1"/>
      </tp>
      <tp t="s">
        <v>#N/A Requesting Data...</v>
        <stp/>
        <stp>##V3_BDHV12</stp>
        <stp>CL2 Comdty</stp>
        <stp>VOLUME_TOTAL_CALL</stp>
        <stp>20/07/2015</stp>
        <stp>20/07/2015</stp>
        <stp>[Bbg_Market_Data_CL.xlsm]data!R431C15</stp>
        <tr r="O431" s="1"/>
      </tp>
      <tp t="s">
        <v>#N/A Requesting Data...</v>
        <stp/>
        <stp>##V3_BDHV12</stp>
        <stp>CL2 Comdty</stp>
        <stp>VOLUME_TOTAL_CALL</stp>
        <stp>06/10/2016</stp>
        <stp>06/10/2016</stp>
        <stp>[Bbg_Market_Data_CL.xlsm]data!R127C15</stp>
        <tr r="O127" s="1"/>
      </tp>
      <tp t="s">
        <v>#N/A Requesting Data...</v>
        <stp/>
        <stp>##V3_BDHV12</stp>
        <stp>CL1 Comdty</stp>
        <stp>VOLUME_TOTAL_CALL</stp>
        <stp>13/07/2015</stp>
        <stp>13/07/2015</stp>
        <stp>[Bbg_Market_Data_CL.xlsm]data!R436C15</stp>
        <tr r="O436" s="1"/>
      </tp>
      <tp t="s">
        <v>#N/A Requesting Data...</v>
        <stp/>
        <stp>##V3_BDHV12</stp>
        <stp>CL2 Comdty</stp>
        <stp>VOLUME_TOTAL_CALL</stp>
        <stp>07/12/2015</stp>
        <stp>07/12/2015</stp>
        <stp>[Bbg_Market_Data_CL.xlsm]data!R335C15</stp>
        <tr r="O335" s="1"/>
      </tp>
      <tp t="s">
        <v>#N/A Requesting Data...</v>
        <stp/>
        <stp>##V3_BDHV12</stp>
        <stp>CL1 Comdty</stp>
        <stp>VOLUME_TOTAL_CALL</stp>
        <stp>07/01/2016</stp>
        <stp>07/01/2016</stp>
        <stp>[Bbg_Market_Data_CL.xlsm]data!R314C15</stp>
        <tr r="O314" s="1"/>
      </tp>
      <tp t="s">
        <v>#N/A Requesting Data...</v>
        <stp/>
        <stp>##V3_BDHV12</stp>
        <stp>CL2 Comdty</stp>
        <stp>VOLUME_TOTAL_CALL</stp>
        <stp>16/11/2016</stp>
        <stp>16/11/2016</stp>
        <stp>[Bbg_Market_Data_CL.xlsm]data!R100C15</stp>
        <tr r="O100" s="1"/>
      </tp>
      <tp t="s">
        <v>#N/A Requesting Data...</v>
        <stp/>
        <stp>##V3_BDHV12</stp>
        <stp>CL2 Comdty</stp>
        <stp>VOLUME_TOTAL_CALL</stp>
        <stp>27/10/2015</stp>
        <stp>27/10/2015</stp>
        <stp>[Bbg_Market_Data_CL.xlsm]data!R362C15</stp>
        <tr r="O362" s="1"/>
      </tp>
      <tp t="s">
        <v>#N/A Requesting Data...</v>
        <stp/>
        <stp>##V3_BDHV12</stp>
        <stp>CL1 Comdty</stp>
        <stp>VOLUME_TOTAL_CALL</stp>
        <stp>03/06/2015</stp>
        <stp>03/06/2015</stp>
        <stp>[Bbg_Market_Data_CL.xlsm]data!R463C15</stp>
        <tr r="O463" s="1"/>
      </tp>
      <tp t="s">
        <v>#N/A Requesting Data...</v>
        <stp/>
        <stp>##V3_BDHV12</stp>
        <stp>CL1 Comdty</stp>
        <stp>VOLUME_TOTAL_CALL</stp>
        <stp>14/10/2015</stp>
        <stp>14/10/2015</stp>
        <stp>[Bbg_Market_Data_CL.xlsm]data!R371C15</stp>
        <tr r="O371" s="1"/>
      </tp>
      <tp t="s">
        <v>#N/A Requesting Data...</v>
        <stp/>
        <stp>##V3_BDHV12</stp>
        <stp>CL1 Comdty</stp>
        <stp>VOLUME_TOTAL_CALL</stp>
        <stp>04/11/2015</stp>
        <stp>04/11/2015</stp>
        <stp>[Bbg_Market_Data_CL.xlsm]data!R356C15</stp>
        <tr r="O356" s="1"/>
      </tp>
      <tp t="s">
        <v>#N/A Requesting Data...</v>
        <stp/>
        <stp>##V3_BDHV12</stp>
        <stp>CL2 Comdty</stp>
        <stp>VOLUME_TOTAL_CALL</stp>
        <stp>30/06/2015</stp>
        <stp>30/06/2015</stp>
        <stp>[Bbg_Market_Data_CL.xlsm]data!R444C15</stp>
        <tr r="O444" s="1"/>
      </tp>
      <tp t="s">
        <v>#N/A Requesting Data...</v>
        <stp/>
        <stp>##V3_BDHV12</stp>
        <stp>CL1 Comdty</stp>
        <stp>VOLUME_TOTAL_CALL</stp>
        <stp>23/04/2015</stp>
        <stp>23/04/2015</stp>
        <stp>[Bbg_Market_Data_CL.xlsm]data!R491C15</stp>
        <tr r="O491" s="1"/>
      </tp>
      <tp t="s">
        <v>#N/A Requesting Data...</v>
        <stp/>
        <stp>##V3_BDHV12</stp>
        <stp>CL1 Comdty</stp>
        <stp>VOLUME_TOTAL_CALL</stp>
        <stp>26/02/2016</stp>
        <stp>26/02/2016</stp>
        <stp>[Bbg_Market_Data_CL.xlsm]data!R281C15</stp>
        <tr r="O281" s="1"/>
      </tp>
      <tp t="s">
        <v>#N/A Requesting Data...</v>
        <stp/>
        <stp>##V3_BDHV12</stp>
        <stp>CL2 Comdty</stp>
        <stp>VOLUME_TOTAL_CALL</stp>
        <stp>16/12/2015</stp>
        <stp>16/12/2015</stp>
        <stp>[Bbg_Market_Data_CL.xlsm]data!R328C15</stp>
        <tr r="O328" s="1"/>
      </tp>
      <tp t="s">
        <v>#N/A Requesting Data...</v>
        <stp/>
        <stp>##V3_BDHV12</stp>
        <stp>CL2 Comdty</stp>
        <stp>VOLUME_TOTAL_CALL</stp>
        <stp>17/10/2016</stp>
        <stp>17/10/2016</stp>
        <stp>[Bbg_Market_Data_CL.xlsm]data!R121C15</stp>
        <tr r="O121" s="1"/>
      </tp>
      <tp t="s">
        <v>#N/A Requesting Data...</v>
        <stp/>
        <stp>##V3_BDHV12</stp>
        <stp>CL2 Comdty</stp>
        <stp>VOLUME_TOTAL_CALL</stp>
        <stp>31/07/2015</stp>
        <stp>31/07/2015</stp>
        <stp>[Bbg_Market_Data_CL.xlsm]data!R422C15</stp>
        <tr r="O422" s="1"/>
      </tp>
      <tp t="s">
        <v>#N/A Requesting Data...</v>
        <stp/>
        <stp>##V3_BDHV12</stp>
        <stp>CL2 Comdty</stp>
        <stp>VOLUME_TOTAL_CALL</stp>
        <stp>07/11/2016</stp>
        <stp>07/11/2016</stp>
        <stp>[Bbg_Market_Data_CL.xlsm]data!R106C15</stp>
        <tr r="O106" s="1"/>
      </tp>
      <tp t="s">
        <v>#N/A Requesting Data...</v>
        <stp/>
        <stp>##V3_BDHV12</stp>
        <stp>CL1 Comdty</stp>
        <stp>VOLUME_TOTAL_CALL</stp>
        <stp>24/10/2016</stp>
        <stp>24/10/2016</stp>
        <stp>[Bbg_Market_Data_CL.xlsm]data!R116C15</stp>
        <tr r="O116" s="1"/>
      </tp>
      <tp t="s">
        <v>#N/A Requesting Data...</v>
        <stp/>
        <stp>##V3_BDHV12</stp>
        <stp>CL2 Comdty</stp>
        <stp>VOLUME_TOTAL_CALL</stp>
        <stp>10/04/2015</stp>
        <stp>10/04/2015</stp>
        <stp>[Bbg_Market_Data_CL.xlsm]data!R500C15</stp>
        <tr r="O500" s="1"/>
      </tp>
      <tp t="s">
        <v>#N/A Requesting Data...</v>
        <stp/>
        <stp>##V3_BDHV12</stp>
        <stp>CL2 Comdty</stp>
        <stp>VOLUME_TOTAL_CALL</stp>
        <stp>25/01/2016</stp>
        <stp>25/01/2016</stp>
        <stp>[Bbg_Market_Data_CL.xlsm]data!R303C15</stp>
        <tr r="O303" s="1"/>
      </tp>
      <tp t="s">
        <v>#N/A Requesting Data...</v>
        <stp/>
        <stp>##V3_BDHV12</stp>
        <stp>CL2 Comdty</stp>
        <stp>VOLUME_TOTAL_CALL</stp>
        <stp>11/05/2015</stp>
        <stp>11/05/2015</stp>
        <stp>[Bbg_Market_Data_CL.xlsm]data!R479C15</stp>
        <tr r="O479" s="1"/>
      </tp>
      <tp t="s">
        <v>#N/A Requesting Data...</v>
        <stp/>
        <stp>##V3_BDHV12</stp>
        <stp>CL1 Comdty</stp>
        <stp>VOLUME_TOTAL_CALL</stp>
        <stp>22/05/2015</stp>
        <stp>22/05/2015</stp>
        <stp>[Bbg_Market_Data_CL.xlsm]data!R470C15</stp>
        <tr r="O470" s="1"/>
      </tp>
      <tp t="s">
        <v>#N/A Requesting Data...</v>
        <stp/>
        <stp>##V3_BDHV12</stp>
        <stp>CL2 Comdty</stp>
        <stp>VOLUME_TOTAL_CALL</stp>
        <stp>14/03/2016</stp>
        <stp>14/03/2016</stp>
        <stp>[Bbg_Market_Data_CL.xlsm]data!R270C15</stp>
        <tr r="O270" s="1"/>
      </tp>
      <tp t="s">
        <v>#N/A Requesting Data...</v>
        <stp/>
        <stp>##V3_BDHV12</stp>
        <stp>CL1 Comdty</stp>
        <stp>VOLUME_TOTAL_CALL</stp>
        <stp>05/10/2015</stp>
        <stp>05/10/2015</stp>
        <stp>[Bbg_Market_Data_CL.xlsm]data!R377C15</stp>
        <tr r="O377" s="1"/>
      </tp>
      <tp t="s">
        <v>#N/A Requesting Data...</v>
        <stp/>
        <stp>##V3_BDHV12</stp>
        <stp>CL1 Comdty</stp>
        <stp>VOLUME_TOTAL_CALL</stp>
        <stp>12/06/2015</stp>
        <stp>12/06/2015</stp>
        <stp>[Bbg_Market_Data_CL.xlsm]data!R456C15</stp>
        <tr r="O456" s="1"/>
      </tp>
      <tp t="s">
        <v>#N/A Requesting Data...</v>
        <stp/>
        <stp>##V3_BDHV12</stp>
        <stp>CL1 Comdty</stp>
        <stp>VOLUME_TOTAL_CALL</stp>
        <stp>02/07/2015</stp>
        <stp>02/07/2015</stp>
        <stp>[Bbg_Market_Data_CL.xlsm]data!R442C15</stp>
        <tr r="O442" s="1"/>
      </tp>
      <tp t="s">
        <v>#N/A Requesting Data...</v>
        <stp/>
        <stp>##V3_BDHV12</stp>
        <stp>CL2 Comdty</stp>
        <stp>VOLUME_TOTAL_CALL</stp>
        <stp>04/02/2016</stp>
        <stp>04/02/2016</stp>
        <stp>[Bbg_Market_Data_CL.xlsm]data!R295C15</stp>
        <tr r="O295" s="1"/>
      </tp>
      <tp t="s">
        <v>#N/A Requesting Data...</v>
        <stp/>
        <stp>##V3_BDHV12</stp>
        <stp>CL1 Comdty</stp>
        <stp>VOLUME_TOTAL_CALL</stp>
        <stp>16/12/2015</stp>
        <stp>16/12/2015</stp>
        <stp>[Bbg_Market_Data_CL.xlsm]data!R328C15</stp>
        <tr r="O328" s="1"/>
      </tp>
      <tp t="s">
        <v>#N/A Requesting Data...</v>
        <stp/>
        <stp>##V3_BDHV12</stp>
        <stp>CL1 Comdty</stp>
        <stp>VOLUME_TOTAL_CALL</stp>
        <stp>17/10/2016</stp>
        <stp>17/10/2016</stp>
        <stp>[Bbg_Market_Data_CL.xlsm]data!R121C15</stp>
        <tr r="O121" s="1"/>
      </tp>
      <tp t="s">
        <v>#N/A Requesting Data...</v>
        <stp/>
        <stp>##V3_BDHV12</stp>
        <stp>CL1 Comdty</stp>
        <stp>VOLUME_TOTAL_CALL</stp>
        <stp>31/07/2015</stp>
        <stp>31/07/2015</stp>
        <stp>[Bbg_Market_Data_CL.xlsm]data!R422C15</stp>
        <tr r="O422" s="1"/>
      </tp>
      <tp t="s">
        <v>#N/A Requesting Data...</v>
        <stp/>
        <stp>##V3_BDHV12</stp>
        <stp>CL1 Comdty</stp>
        <stp>VOLUME_TOTAL_CALL</stp>
        <stp>07/11/2016</stp>
        <stp>07/11/2016</stp>
        <stp>[Bbg_Market_Data_CL.xlsm]data!R106C15</stp>
        <tr r="O106" s="1"/>
      </tp>
      <tp t="s">
        <v>#N/A Requesting Data...</v>
        <stp/>
        <stp>##V3_BDHV12</stp>
        <stp>CL1 Comdty</stp>
        <stp>VOLUME_TOTAL_CALL</stp>
        <stp>10/04/2015</stp>
        <stp>10/04/2015</stp>
        <stp>[Bbg_Market_Data_CL.xlsm]data!R500C15</stp>
        <tr r="O500" s="1"/>
      </tp>
      <tp t="s">
        <v>#N/A Requesting Data...</v>
        <stp/>
        <stp>##V3_BDHV12</stp>
        <stp>CL2 Comdty</stp>
        <stp>VOLUME_TOTAL_CALL</stp>
        <stp>24/10/2016</stp>
        <stp>24/10/2016</stp>
        <stp>[Bbg_Market_Data_CL.xlsm]data!R116C15</stp>
        <tr r="O116" s="1"/>
      </tp>
      <tp t="s">
        <v>#N/A Requesting Data...</v>
        <stp/>
        <stp>##V3_BDHV12</stp>
        <stp>CL1 Comdty</stp>
        <stp>VOLUME_TOTAL_CALL</stp>
        <stp>25/01/2016</stp>
        <stp>25/01/2016</stp>
        <stp>[Bbg_Market_Data_CL.xlsm]data!R303C15</stp>
        <tr r="O303" s="1"/>
      </tp>
      <tp t="s">
        <v>#N/A Requesting Data...</v>
        <stp/>
        <stp>##V3_BDHV12</stp>
        <stp>CL1 Comdty</stp>
        <stp>VOLUME_TOTAL_CALL</stp>
        <stp>11/05/2015</stp>
        <stp>11/05/2015</stp>
        <stp>[Bbg_Market_Data_CL.xlsm]data!R479C15</stp>
        <tr r="O479" s="1"/>
      </tp>
      <tp t="s">
        <v>#N/A Requesting Data...</v>
        <stp/>
        <stp>##V3_BDHV12</stp>
        <stp>CL2 Comdty</stp>
        <stp>VOLUME_TOTAL_CALL</stp>
        <stp>22/05/2015</stp>
        <stp>22/05/2015</stp>
        <stp>[Bbg_Market_Data_CL.xlsm]data!R470C15</stp>
        <tr r="O470" s="1"/>
      </tp>
      <tp t="s">
        <v>#N/A Requesting Data...</v>
        <stp/>
        <stp>##V3_BDHV12</stp>
        <stp>CL1 Comdty</stp>
        <stp>VOLUME_TOTAL_CALL</stp>
        <stp>14/03/2016</stp>
        <stp>14/03/2016</stp>
        <stp>[Bbg_Market_Data_CL.xlsm]data!R270C15</stp>
        <tr r="O270" s="1"/>
      </tp>
      <tp t="s">
        <v>#N/A Requesting Data...</v>
        <stp/>
        <stp>##V3_BDHV12</stp>
        <stp>CL2 Comdty</stp>
        <stp>VOLUME_TOTAL_CALL</stp>
        <stp>05/10/2015</stp>
        <stp>05/10/2015</stp>
        <stp>[Bbg_Market_Data_CL.xlsm]data!R377C15</stp>
        <tr r="O377" s="1"/>
      </tp>
      <tp t="s">
        <v>#N/A Requesting Data...</v>
        <stp/>
        <stp>##V3_BDHV12</stp>
        <stp>CL2 Comdty</stp>
        <stp>VOLUME_TOTAL_CALL</stp>
        <stp>12/06/2015</stp>
        <stp>12/06/2015</stp>
        <stp>[Bbg_Market_Data_CL.xlsm]data!R456C15</stp>
        <tr r="O456" s="1"/>
      </tp>
      <tp t="s">
        <v>#N/A Requesting Data...</v>
        <stp/>
        <stp>##V3_BDHV12</stp>
        <stp>CL2 Comdty</stp>
        <stp>VOLUME_TOTAL_CALL</stp>
        <stp>02/07/2015</stp>
        <stp>02/07/2015</stp>
        <stp>[Bbg_Market_Data_CL.xlsm]data!R442C15</stp>
        <tr r="O442" s="1"/>
      </tp>
      <tp t="s">
        <v>#N/A Requesting Data...</v>
        <stp/>
        <stp>##V3_BDHV12</stp>
        <stp>CL1 Comdty</stp>
        <stp>VOLUME_TOTAL_CALL</stp>
        <stp>04/02/2016</stp>
        <stp>04/02/2016</stp>
        <stp>[Bbg_Market_Data_CL.xlsm]data!R295C15</stp>
        <tr r="O295" s="1"/>
      </tp>
      <tp t="s">
        <v>#N/A Requesting Data...</v>
        <stp/>
        <stp>##V3_BDHV12</stp>
        <stp>CL1 Comdty</stp>
        <stp>VOLUME_TOTAL_CALL</stp>
        <stp>20/07/2015</stp>
        <stp>20/07/2015</stp>
        <stp>[Bbg_Market_Data_CL.xlsm]data!R431C15</stp>
        <tr r="O431" s="1"/>
      </tp>
      <tp t="s">
        <v>#N/A Requesting Data...</v>
        <stp/>
        <stp>##V3_BDHV12</stp>
        <stp>CL1 Comdty</stp>
        <stp>VOLUME_TOTAL_CALL</stp>
        <stp>06/10/2016</stp>
        <stp>06/10/2016</stp>
        <stp>[Bbg_Market_Data_CL.xlsm]data!R127C15</stp>
        <tr r="O127" s="1"/>
      </tp>
      <tp t="s">
        <v>#N/A Requesting Data...</v>
        <stp/>
        <stp>##V3_BDHV12</stp>
        <stp>CL2 Comdty</stp>
        <stp>VOLUME_TOTAL_CALL</stp>
        <stp>13/07/2015</stp>
        <stp>13/07/2015</stp>
        <stp>[Bbg_Market_Data_CL.xlsm]data!R436C15</stp>
        <tr r="O436" s="1"/>
      </tp>
      <tp t="s">
        <v>#N/A Requesting Data...</v>
        <stp/>
        <stp>##V3_BDHV12</stp>
        <stp>CL1 Comdty</stp>
        <stp>VOLUME_TOTAL_CALL</stp>
        <stp>07/12/2015</stp>
        <stp>07/12/2015</stp>
        <stp>[Bbg_Market_Data_CL.xlsm]data!R335C15</stp>
        <tr r="O335" s="1"/>
      </tp>
      <tp t="s">
        <v>#N/A Requesting Data...</v>
        <stp/>
        <stp>##V3_BDHV12</stp>
        <stp>CL2 Comdty</stp>
        <stp>VOLUME_TOTAL_CALL</stp>
        <stp>07/01/2016</stp>
        <stp>07/01/2016</stp>
        <stp>[Bbg_Market_Data_CL.xlsm]data!R314C15</stp>
        <tr r="O314" s="1"/>
      </tp>
      <tp t="s">
        <v>#N/A Requesting Data...</v>
        <stp/>
        <stp>##V3_BDHV12</stp>
        <stp>CL1 Comdty</stp>
        <stp>VOLUME_TOTAL_CALL</stp>
        <stp>16/11/2016</stp>
        <stp>16/11/2016</stp>
        <stp>[Bbg_Market_Data_CL.xlsm]data!R100C15</stp>
        <tr r="O100" s="1"/>
      </tp>
      <tp t="s">
        <v>#N/A Requesting Data...</v>
        <stp/>
        <stp>##V3_BDHV12</stp>
        <stp>CL1 Comdty</stp>
        <stp>VOLUME_TOTAL_CALL</stp>
        <stp>27/10/2015</stp>
        <stp>27/10/2015</stp>
        <stp>[Bbg_Market_Data_CL.xlsm]data!R362C15</stp>
        <tr r="O362" s="1"/>
      </tp>
      <tp t="s">
        <v>#N/A Requesting Data...</v>
        <stp/>
        <stp>##V3_BDHV12</stp>
        <stp>CL2 Comdty</stp>
        <stp>VOLUME_TOTAL_CALL</stp>
        <stp>03/06/2015</stp>
        <stp>03/06/2015</stp>
        <stp>[Bbg_Market_Data_CL.xlsm]data!R463C15</stp>
        <tr r="O463" s="1"/>
      </tp>
      <tp t="s">
        <v>#N/A Requesting Data...</v>
        <stp/>
        <stp>##V3_BDHV12</stp>
        <stp>CL2 Comdty</stp>
        <stp>VOLUME_TOTAL_CALL</stp>
        <stp>14/10/2015</stp>
        <stp>14/10/2015</stp>
        <stp>[Bbg_Market_Data_CL.xlsm]data!R371C15</stp>
        <tr r="O371" s="1"/>
      </tp>
      <tp t="s">
        <v>#N/A Requesting Data...</v>
        <stp/>
        <stp>##V3_BDHV12</stp>
        <stp>CL2 Comdty</stp>
        <stp>VOLUME_TOTAL_CALL</stp>
        <stp>04/11/2015</stp>
        <stp>04/11/2015</stp>
        <stp>[Bbg_Market_Data_CL.xlsm]data!R356C15</stp>
        <tr r="O356" s="1"/>
      </tp>
      <tp t="s">
        <v>#N/A Requesting Data...</v>
        <stp/>
        <stp>##V3_BDHV12</stp>
        <stp>CL1 Comdty</stp>
        <stp>VOLUME_TOTAL_CALL</stp>
        <stp>30/06/2015</stp>
        <stp>30/06/2015</stp>
        <stp>[Bbg_Market_Data_CL.xlsm]data!R444C15</stp>
        <tr r="O444" s="1"/>
      </tp>
      <tp t="s">
        <v>#N/A Requesting Data...</v>
        <stp/>
        <stp>##V3_BDHV12</stp>
        <stp>CL2 Comdty</stp>
        <stp>VOLUME_TOTAL_CALL</stp>
        <stp>23/04/2015</stp>
        <stp>23/04/2015</stp>
        <stp>[Bbg_Market_Data_CL.xlsm]data!R491C15</stp>
        <tr r="O491" s="1"/>
      </tp>
      <tp t="s">
        <v>#N/A Requesting Data...</v>
        <stp/>
        <stp>##V3_BDHV12</stp>
        <stp>CL2 Comdty</stp>
        <stp>VOLUME_TOTAL_CALL</stp>
        <stp>26/02/2016</stp>
        <stp>26/02/2016</stp>
        <stp>[Bbg_Market_Data_CL.xlsm]data!R281C15</stp>
        <tr r="O281" s="1"/>
      </tp>
      <tp>
        <v>112802</v>
        <stp/>
        <stp>##V3_BDHV12</stp>
        <stp>CL2 Comdty</stp>
        <stp>PX_VOLUME</stp>
        <stp>29/10/2015</stp>
        <stp>29/10/2015</stp>
        <stp>[Bbg_Market_Data_CL.xlsm]data!R360C8</stp>
        <tr r="H360" s="1"/>
      </tp>
      <tp t="s">
        <v>#N/A Requesting Data...</v>
        <stp/>
        <stp>##V3_BDHV12</stp>
        <stp>CL1 Comdty</stp>
        <stp>PX_VOLUME</stp>
        <stp>29/10/2015</stp>
        <stp>29/10/2015</stp>
        <stp>[Bbg_Market_Data_CL.xlsm]data!R360C8</stp>
        <tr r="H360" s="1"/>
      </tp>
      <tp t="s">
        <v>#N/A Requesting Data...</v>
        <stp/>
        <stp>##V3_BDHV12</stp>
        <stp>CL1 Comdty</stp>
        <stp>PX_VOLUME</stp>
        <stp>22/08/2016</stp>
        <stp>22/08/2016</stp>
        <stp>[Bbg_Market_Data_CL.xlsm]data!R159C8</stp>
        <tr r="H159" s="1"/>
      </tp>
      <tp>
        <v>515256</v>
        <stp/>
        <stp>##V3_BDHV12</stp>
        <stp>CL2 Comdty</stp>
        <stp>PX_VOLUME</stp>
        <stp>22/08/2016</stp>
        <stp>22/08/2016</stp>
        <stp>[Bbg_Market_Data_CL.xlsm]data!R159C8</stp>
        <tr r="H159" s="1"/>
      </tp>
      <tp>
        <v>218162</v>
        <stp/>
        <stp>##V3_BDHV12</stp>
        <stp>CL2 Comdty</stp>
        <stp>PX_VOLUME</stp>
        <stp>21/09/2016</stp>
        <stp>21/09/2016</stp>
        <stp>[Bbg_Market_Data_CL.xlsm]data!R138C8</stp>
        <tr r="H138" s="1"/>
      </tp>
      <tp t="s">
        <v>#N/A Requesting Data...</v>
        <stp/>
        <stp>##V3_BDHV12</stp>
        <stp>CL1 Comdty</stp>
        <stp>PX_VOLUME</stp>
        <stp>21/09/2016</stp>
        <stp>21/09/2016</stp>
        <stp>[Bbg_Market_Data_CL.xlsm]data!R138C8</stp>
        <tr r="H138" s="1"/>
      </tp>
      <tp>
        <v>237590</v>
        <stp/>
        <stp>##V3_BDHV12</stp>
        <stp>CL2 Comdty</stp>
        <stp>PX_VOLUME</stp>
        <stp>09/11/2015</stp>
        <stp>09/11/2015</stp>
        <stp>[Bbg_Market_Data_CL.xlsm]data!R353C8</stp>
        <tr r="H353" s="1"/>
      </tp>
      <tp t="s">
        <v>#N/A Requesting Data...</v>
        <stp/>
        <stp>##V3_BDHV12</stp>
        <stp>CL1 Comdty</stp>
        <stp>PX_VOLUME</stp>
        <stp>28/01/2016</stp>
        <stp>28/01/2016</stp>
        <stp>[Bbg_Market_Data_CL.xlsm]data!R300C8</stp>
        <tr r="H300" s="1"/>
      </tp>
      <tp>
        <v>202581</v>
        <stp/>
        <stp>##V3_BDHV12</stp>
        <stp>CL2 Comdty</stp>
        <stp>PX_VOLUME</stp>
        <stp>28/01/2016</stp>
        <stp>28/01/2016</stp>
        <stp>[Bbg_Market_Data_CL.xlsm]data!R300C8</stp>
        <tr r="H300" s="1"/>
      </tp>
      <tp t="s">
        <v>#N/A Requesting Data...</v>
        <stp/>
        <stp>##V3_BDHV12</stp>
        <stp>CL1 Comdty</stp>
        <stp>PX_VOLUME</stp>
        <stp>09/11/2015</stp>
        <stp>09/11/2015</stp>
        <stp>[Bbg_Market_Data_CL.xlsm]data!R353C8</stp>
        <tr r="H353" s="1"/>
      </tp>
      <tp t="s">
        <v>#N/A Requesting Data...</v>
        <stp/>
        <stp>##V3_BDHV12</stp>
        <stp>CL1 Comdty</stp>
        <stp>PX_VOLUME</stp>
        <stp>18/04/2016</stp>
        <stp>18/04/2016</stp>
        <stp>[Bbg_Market_Data_CL.xlsm]data!R246C8</stp>
        <tr r="H246" s="1"/>
      </tp>
      <tp>
        <v>609487</v>
        <stp/>
        <stp>##V3_BDHV12</stp>
        <stp>CL2 Comdty</stp>
        <stp>PX_VOLUME</stp>
        <stp>18/04/2016</stp>
        <stp>18/04/2016</stp>
        <stp>[Bbg_Market_Data_CL.xlsm]data!R246C8</stp>
        <tr r="H246" s="1"/>
      </tp>
      <tp t="s">
        <v>#N/A Requesting Data...</v>
        <stp/>
        <stp>##V3_BDHV12</stp>
        <stp>CL2 Comdty</stp>
        <stp>PX_VOLUME</stp>
        <stp>16/04/2015</stp>
        <stp>16/04/2015</stp>
        <stp>[Bbg_Market_Data_CL.xlsm]data!R496C8</stp>
        <tr r="H496" s="1"/>
      </tp>
      <tp t="s">
        <v>#N/A Requesting Data...</v>
        <stp/>
        <stp>##V3_BDHV12</stp>
        <stp>CL1 Comdty</stp>
        <stp>PX_VOLUME</stp>
        <stp>16/04/2015</stp>
        <stp>16/04/2015</stp>
        <stp>[Bbg_Market_Data_CL.xlsm]data!R496C8</stp>
        <tr r="H496" s="1"/>
      </tp>
      <tp>
        <v>228159</v>
        <stp/>
        <stp>##V3_BDHV12</stp>
        <stp>CL2 Comdty</stp>
        <stp>PX_VOLUME</stp>
        <stp>11/12/2015</stp>
        <stp>11/12/2015</stp>
        <stp>[Bbg_Market_Data_CL.xlsm]data!R331C8</stp>
        <tr r="H331" s="1"/>
      </tp>
      <tp t="s">
        <v>#N/A Requesting Data...</v>
        <stp/>
        <stp>##V3_BDHV12</stp>
        <stp>CL1 Comdty</stp>
        <stp>PX_VOLUME</stp>
        <stp>14/07/2015</stp>
        <stp>14/07/2015</stp>
        <stp>[Bbg_Market_Data_CL.xlsm]data!R435C8</stp>
        <tr r="H435" s="1"/>
      </tp>
      <tp t="s">
        <v>#N/A Requesting Data...</v>
        <stp/>
        <stp>##V3_BDHV12</stp>
        <stp>CL2 Comdty</stp>
        <stp>PX_VOLUME</stp>
        <stp>27/07/2015</stp>
        <stp>27/07/2015</stp>
        <stp>[Bbg_Market_Data_CL.xlsm]data!R426C8</stp>
        <tr r="H426" s="1"/>
      </tp>
      <tp>
        <v>87776</v>
        <stp/>
        <stp>##V3_BDHV12</stp>
        <stp>CL2 Comdty</stp>
        <stp>PX_VOLUME</stp>
        <stp>30/11/2015</stp>
        <stp>30/11/2015</stp>
        <stp>[Bbg_Market_Data_CL.xlsm]data!R340C8</stp>
        <tr r="H340" s="1"/>
      </tp>
      <tp t="s">
        <v>#N/A Requesting Data...</v>
        <stp/>
        <stp>##V3_BDHV12</stp>
        <stp>CL2 Comdty</stp>
        <stp>PX_VOLUME</stp>
        <stp>14/07/2015</stp>
        <stp>14/07/2015</stp>
        <stp>[Bbg_Market_Data_CL.xlsm]data!R435C8</stp>
        <tr r="H435" s="1"/>
      </tp>
      <tp t="s">
        <v>#N/A Requesting Data...</v>
        <stp/>
        <stp>##V3_BDHV12</stp>
        <stp>CL1 Comdty</stp>
        <stp>PX_VOLUME</stp>
        <stp>27/07/2015</stp>
        <stp>27/07/2015</stp>
        <stp>[Bbg_Market_Data_CL.xlsm]data!R426C8</stp>
        <tr r="H426" s="1"/>
      </tp>
      <tp t="s">
        <v>#N/A Requesting Data...</v>
        <stp/>
        <stp>##V3_BDHV12</stp>
        <stp>CL1 Comdty</stp>
        <stp>PX_VOLUME</stp>
        <stp>30/11/2015</stp>
        <stp>30/11/2015</stp>
        <stp>[Bbg_Market_Data_CL.xlsm]data!R340C8</stp>
        <tr r="H340" s="1"/>
      </tp>
      <tp t="s">
        <v>#N/A Requesting Data...</v>
        <stp/>
        <stp>##V3_BDHV12</stp>
        <stp>CL1 Comdty</stp>
        <stp>PX_VOLUME</stp>
        <stp>11/12/2015</stp>
        <stp>11/12/2015</stp>
        <stp>[Bbg_Market_Data_CL.xlsm]data!R331C8</stp>
        <tr r="H331" s="1"/>
      </tp>
      <tp>
        <v>370737</v>
        <stp/>
        <stp>##V3_BDHV12</stp>
        <stp>CL2 Comdty</stp>
        <stp>PX_VOLUME</stp>
        <stp>16/06/2016</stp>
        <stp>16/06/2016</stp>
        <stp>[Bbg_Market_Data_CL.xlsm]data!R204C8</stp>
        <tr r="H204" s="1"/>
      </tp>
      <tp t="s">
        <v>#N/A Requesting Data...</v>
        <stp/>
        <stp>##V3_BDHV12</stp>
        <stp>CL1 Comdty</stp>
        <stp>PX_VOLUME</stp>
        <stp>16/06/2016</stp>
        <stp>16/06/2016</stp>
        <stp>[Bbg_Market_Data_CL.xlsm]data!R204C8</stp>
        <tr r="H204" s="1"/>
      </tp>
      <tp t="s">
        <v>#N/A Requesting Data...</v>
        <stp/>
        <stp>##V3_BDHV12</stp>
        <stp>CL1 Comdty</stp>
        <stp>PX_VOLUME</stp>
        <stp>13/10/2016</stp>
        <stp>13/10/2016</stp>
        <stp>[Bbg_Market_Data_CL.xlsm]data!R123C8</stp>
        <tr r="H123" s="1"/>
      </tp>
      <tp t="s">
        <v>#N/A Requesting Data...</v>
        <stp/>
        <stp>##V3_BDHV12</stp>
        <stp>CL2 Comdty</stp>
        <stp>PX_VOLUME</stp>
        <stp>16/06/2015</stp>
        <stp>16/06/2015</stp>
        <stp>[Bbg_Market_Data_CL.xlsm]data!R454C8</stp>
        <tr r="H454" s="1"/>
      </tp>
      <tp t="s">
        <v>#N/A Requesting Data...</v>
        <stp/>
        <stp>##V3_BDHV12</stp>
        <stp>CL1 Comdty</stp>
        <stp>PX_VOLUME</stp>
        <stp>25/06/2015</stp>
        <stp>25/06/2015</stp>
        <stp>[Bbg_Market_Data_CL.xlsm]data!R447C8</stp>
        <tr r="H447" s="1"/>
      </tp>
      <tp t="s">
        <v>#N/A Requesting Data...</v>
        <stp/>
        <stp>##V3_BDHV12</stp>
        <stp>CL1 Comdty</stp>
        <stp>PX_VOLUME</stp>
        <stp>11/02/2016</stp>
        <stp>11/02/2016</stp>
        <stp>[Bbg_Market_Data_CL.xlsm]data!R290C8</stp>
        <tr r="H290" s="1"/>
      </tp>
      <tp>
        <v>164529</v>
        <stp/>
        <stp>##V3_BDHV12</stp>
        <stp>CL2 Comdty</stp>
        <stp>PX_VOLUME</stp>
        <stp>31/10/2016</stp>
        <stp>31/10/2016</stp>
        <stp>[Bbg_Market_Data_CL.xlsm]data!R111C8</stp>
        <tr r="H111" s="1"/>
      </tp>
      <tp>
        <v>437444</v>
        <stp/>
        <stp>##V3_BDHV12</stp>
        <stp>CL2 Comdty</stp>
        <stp>PX_VOLUME</stp>
        <stp>11/02/2016</stp>
        <stp>11/02/2016</stp>
        <stp>[Bbg_Market_Data_CL.xlsm]data!R290C8</stp>
        <tr r="H290" s="1"/>
      </tp>
      <tp t="s">
        <v>#N/A Requesting Data...</v>
        <stp/>
        <stp>##V3_BDHV12</stp>
        <stp>CL1 Comdty</stp>
        <stp>PX_VOLUME</stp>
        <stp>31/10/2016</stp>
        <stp>31/10/2016</stp>
        <stp>[Bbg_Market_Data_CL.xlsm]data!R111C8</stp>
        <tr r="H111" s="1"/>
      </tp>
      <tp>
        <v>471400</v>
        <stp/>
        <stp>##V3_BDHV12</stp>
        <stp>CL2 Comdty</stp>
        <stp>PX_VOLUME</stp>
        <stp>13/10/2016</stp>
        <stp>13/10/2016</stp>
        <stp>[Bbg_Market_Data_CL.xlsm]data!R123C8</stp>
        <tr r="H123" s="1"/>
      </tp>
      <tp t="s">
        <v>#N/A Requesting Data...</v>
        <stp/>
        <stp>##V3_BDHV12</stp>
        <stp>CL1 Comdty</stp>
        <stp>PX_VOLUME</stp>
        <stp>16/06/2015</stp>
        <stp>16/06/2015</stp>
        <stp>[Bbg_Market_Data_CL.xlsm]data!R454C8</stp>
        <tr r="H454" s="1"/>
      </tp>
      <tp t="s">
        <v>#N/A Requesting Data...</v>
        <stp/>
        <stp>##V3_BDHV12</stp>
        <stp>CL2 Comdty</stp>
        <stp>PX_VOLUME</stp>
        <stp>25/06/2015</stp>
        <stp>25/06/2015</stp>
        <stp>[Bbg_Market_Data_CL.xlsm]data!R447C8</stp>
        <tr r="H447" s="1"/>
      </tp>
      <tp>
        <v>312794</v>
        <stp/>
        <stp>##V3_BDHV12</stp>
        <stp>CL2 Comdty</stp>
        <stp>PX_VOLUME</stp>
        <stp>14/07/2016</stp>
        <stp>14/07/2016</stp>
        <stp>[Bbg_Market_Data_CL.xlsm]data!R185C8</stp>
        <tr r="H185" s="1"/>
      </tp>
      <tp t="s">
        <v>#N/A Requesting Data...</v>
        <stp/>
        <stp>##V3_BDHV12</stp>
        <stp>CL1 Comdty</stp>
        <stp>PX_VOLUME</stp>
        <stp>27/07/2016</stp>
        <stp>27/07/2016</stp>
        <stp>[Bbg_Market_Data_CL.xlsm]data!R176C8</stp>
        <tr r="H176" s="1"/>
      </tp>
      <tp t="s">
        <v>#N/A Requesting Data...</v>
        <stp/>
        <stp>##V3_BDHV12</stp>
        <stp>CL1 Comdty</stp>
        <stp>PX_VOLUME</stp>
        <stp>14/07/2016</stp>
        <stp>14/07/2016</stp>
        <stp>[Bbg_Market_Data_CL.xlsm]data!R185C8</stp>
        <tr r="H185" s="1"/>
      </tp>
      <tp>
        <v>132822</v>
        <stp/>
        <stp>##V3_BDHV12</stp>
        <stp>CL2 Comdty</stp>
        <stp>PX_VOLUME</stp>
        <stp>27/07/2016</stp>
        <stp>27/07/2016</stp>
        <stp>[Bbg_Market_Data_CL.xlsm]data!R176C8</stp>
        <tr r="H176" s="1"/>
      </tp>
      <tp t="s">
        <v>#N/A Requesting Data...</v>
        <stp/>
        <stp>##V3_BDHV12</stp>
        <stp>CL1 Comdty</stp>
        <stp>PX_VOLUME</stp>
        <stp>11/03/2016</stp>
        <stp>11/03/2016</stp>
        <stp>[Bbg_Market_Data_CL.xlsm]data!R271C8</stp>
        <tr r="H271" s="1"/>
      </tp>
      <tp>
        <v>192357</v>
        <stp/>
        <stp>##V3_BDHV12</stp>
        <stp>CL2 Comdty</stp>
        <stp>PX_VOLUME</stp>
        <stp>10/11/2015</stp>
        <stp>10/11/2015</stp>
        <stp>[Bbg_Market_Data_CL.xlsm]data!R352C8</stp>
        <tr r="H352" s="1"/>
      </tp>
      <tp>
        <v>254376</v>
        <stp/>
        <stp>##V3_BDHV12</stp>
        <stp>CL2 Comdty</stp>
        <stp>PX_VOLUME</stp>
        <stp>11/03/2016</stp>
        <stp>11/03/2016</stp>
        <stp>[Bbg_Market_Data_CL.xlsm]data!R271C8</stp>
        <tr r="H271" s="1"/>
      </tp>
      <tp t="s">
        <v>#N/A Requesting Data...</v>
        <stp/>
        <stp>##V3_BDHV12</stp>
        <stp>CL1 Comdty</stp>
        <stp>PX_VOLUME</stp>
        <stp>10/11/2015</stp>
        <stp>10/11/2015</stp>
        <stp>[Bbg_Market_Data_CL.xlsm]data!R352C8</stp>
        <tr r="H352" s="1"/>
      </tp>
      <tp t="s">
        <v>#N/A Requesting Data...</v>
        <stp/>
        <stp>##V3_BDHV12</stp>
        <stp>CL1 Comdty</stp>
        <stp>PX_VOLUME</stp>
        <stp>27/06/2016</stp>
        <stp>27/06/2016</stp>
        <stp>[Bbg_Market_Data_CL.xlsm]data!R197C8</stp>
        <tr r="H197" s="1"/>
      </tp>
      <tp>
        <v>105294</v>
        <stp/>
        <stp>##V3_BDHV12</stp>
        <stp>CL2 Comdty</stp>
        <stp>PX_VOLUME</stp>
        <stp>27/06/2016</stp>
        <stp>27/06/2016</stp>
        <stp>[Bbg_Market_Data_CL.xlsm]data!R197C8</stp>
        <tr r="H197" s="1"/>
      </tp>
      <tp t="s">
        <v>#N/A Requesting Data...</v>
        <stp/>
        <stp>##V3_BDHV12</stp>
        <stp>CL1 Comdty</stp>
        <stp>PX_VOLUME</stp>
        <stp>24/02/2016</stp>
        <stp>24/02/2016</stp>
        <stp>[Bbg_Market_Data_CL.xlsm]data!R283C8</stp>
        <tr r="H283" s="1"/>
      </tp>
      <tp>
        <v>378509</v>
        <stp/>
        <stp>##V3_BDHV12</stp>
        <stp>CL2 Comdty</stp>
        <stp>PX_VOLUME</stp>
        <stp>14/11/2016</stp>
        <stp>14/11/2016</stp>
        <stp>[Bbg_Market_Data_CL.xlsm]data!R102C8</stp>
        <tr r="H102" s="1"/>
      </tp>
      <tp t="s">
        <v>#N/A Requesting Data...</v>
        <stp/>
        <stp>##V3_BDHV12</stp>
        <stp>CL1 Comdty</stp>
        <stp>PX_VOLUME</stp>
        <stp>01/06/2015</stp>
        <stp>01/06/2015</stp>
        <stp>[Bbg_Market_Data_CL.xlsm]data!R465C8</stp>
        <tr r="H465" s="1"/>
      </tp>
      <tp t="s">
        <v>#N/A Requesting Data...</v>
        <stp/>
        <stp>##V3_BDHV12</stp>
        <stp>CL2 Comdty</stp>
        <stp>PX_VOLUME</stp>
        <stp>13/05/2015</stp>
        <stp>13/05/2015</stp>
        <stp>[Bbg_Market_Data_CL.xlsm]data!R477C8</stp>
        <tr r="H477" s="1"/>
      </tp>
      <tp t="s">
        <v>#N/A Requesting Data...</v>
        <stp/>
        <stp>##V3_BDHV12</stp>
        <stp>CL1 Comdty</stp>
        <stp>PX_VOLUME</stp>
        <stp>13/05/2015</stp>
        <stp>13/05/2015</stp>
        <stp>[Bbg_Market_Data_CL.xlsm]data!R477C8</stp>
        <tr r="H477" s="1"/>
      </tp>
      <tp>
        <v>162270</v>
        <stp/>
        <stp>##V3_BDHV12</stp>
        <stp>CL2 Comdty</stp>
        <stp>PX_VOLUME</stp>
        <stp>24/02/2016</stp>
        <stp>24/02/2016</stp>
        <stp>[Bbg_Market_Data_CL.xlsm]data!R283C8</stp>
        <tr r="H283" s="1"/>
      </tp>
      <tp t="s">
        <v>#N/A Requesting Data...</v>
        <stp/>
        <stp>##V3_BDHV12</stp>
        <stp>CL1 Comdty</stp>
        <stp>PX_VOLUME</stp>
        <stp>14/11/2016</stp>
        <stp>14/11/2016</stp>
        <stp>[Bbg_Market_Data_CL.xlsm]data!R102C8</stp>
        <tr r="H102" s="1"/>
      </tp>
      <tp t="s">
        <v>#N/A Requesting Data...</v>
        <stp/>
        <stp>##V3_BDHV12</stp>
        <stp>CL2 Comdty</stp>
        <stp>PX_VOLUME</stp>
        <stp>01/06/2015</stp>
        <stp>01/06/2015</stp>
        <stp>[Bbg_Market_Data_CL.xlsm]data!R465C8</stp>
        <tr r="H465" s="1"/>
      </tp>
      <tp t="s">
        <v>#N/A Requesting Data...</v>
        <stp/>
        <stp>##V3_BDHV12</stp>
        <stp>CL1 Comdty</stp>
        <stp>PX_VOLUME</stp>
        <stp>01/04/2016</stp>
        <stp>01/04/2016</stp>
        <stp>[Bbg_Market_Data_CL.xlsm]data!R257C8</stp>
        <tr r="H257" s="1"/>
      </tp>
      <tp>
        <v>131459</v>
        <stp/>
        <stp>##V3_BDHV12</stp>
        <stp>CL2 Comdty</stp>
        <stp>PX_VOLUME</stp>
        <stp>01/04/2016</stp>
        <stp>01/04/2016</stp>
        <stp>[Bbg_Market_Data_CL.xlsm]data!R257C8</stp>
        <tr r="H257" s="1"/>
      </tp>
      <tp t="s">
        <v>#N/A Requesting Data...</v>
        <stp/>
        <stp>##V3_BDHV12</stp>
        <stp>CL1 Comdty</stp>
        <stp>PX_VOLUME</stp>
        <stp>24/03/2016</stp>
        <stp>24/03/2016</stp>
        <stp>[Bbg_Market_Data_CL.xlsm]data!R262C8</stp>
        <tr r="H262" s="1"/>
      </tp>
      <tp>
        <v>147134</v>
        <stp/>
        <stp>##V3_BDHV12</stp>
        <stp>CL2 Comdty</stp>
        <stp>PX_VOLUME</stp>
        <stp>24/03/2016</stp>
        <stp>24/03/2016</stp>
        <stp>[Bbg_Market_Data_CL.xlsm]data!R262C8</stp>
        <tr r="H262" s="1"/>
      </tp>
      <tp>
        <v>191049</v>
        <stp/>
        <stp>##V3_BDHV12</stp>
        <stp>CL2 Comdty</stp>
        <stp>PX_VOLUME</stp>
        <stp>13/05/2016</stp>
        <stp>13/05/2016</stp>
        <stp>[Bbg_Market_Data_CL.xlsm]data!R227C8</stp>
        <tr r="H227" s="1"/>
      </tp>
      <tp>
        <v>106142</v>
        <stp/>
        <stp>##V3_BDHV12</stp>
        <stp>CL2 Comdty</stp>
        <stp>PX_VOLUME</stp>
        <stp>02/05/2016</stp>
        <stp>02/05/2016</stp>
        <stp>[Bbg_Market_Data_CL.xlsm]data!R236C8</stp>
        <tr r="H236" s="1"/>
      </tp>
      <tp t="s">
        <v>#N/A Requesting Data...</v>
        <stp/>
        <stp>##V3_BDHV12</stp>
        <stp>CL1 Comdty</stp>
        <stp>PX_VOLUME</stp>
        <stp>01/06/2016</stp>
        <stp>01/06/2016</stp>
        <stp>[Bbg_Market_Data_CL.xlsm]data!R215C8</stp>
        <tr r="H215" s="1"/>
      </tp>
      <tp t="s">
        <v>#N/A Requesting Data...</v>
        <stp/>
        <stp>##V3_BDHV12</stp>
        <stp>CL1 Comdty</stp>
        <stp>PX_VOLUME</stp>
        <stp>02/05/2016</stp>
        <stp>02/05/2016</stp>
        <stp>[Bbg_Market_Data_CL.xlsm]data!R236C8</stp>
        <tr r="H236" s="1"/>
      </tp>
      <tp>
        <v>142491</v>
        <stp/>
        <stp>##V3_BDHV12</stp>
        <stp>CL2 Comdty</stp>
        <stp>PX_VOLUME</stp>
        <stp>01/06/2016</stp>
        <stp>01/06/2016</stp>
        <stp>[Bbg_Market_Data_CL.xlsm]data!R215C8</stp>
        <tr r="H215" s="1"/>
      </tp>
      <tp t="s">
        <v>#N/A Requesting Data...</v>
        <stp/>
        <stp>##V3_BDHV12</stp>
        <stp>CL1 Comdty</stp>
        <stp>PX_VOLUME</stp>
        <stp>13/05/2016</stp>
        <stp>13/05/2016</stp>
        <stp>[Bbg_Market_Data_CL.xlsm]data!R227C8</stp>
        <tr r="H227" s="1"/>
      </tp>
      <tp>
        <v>46669</v>
        <stp/>
        <stp>##V3_BDHV12</stp>
        <stp>CL2 Comdty</stp>
        <stp>PX_VOLUME</stp>
        <stp>24/12/2015</stp>
        <stp>24/12/2015</stp>
        <stp>[Bbg_Market_Data_CL.xlsm]data!R322C8</stp>
        <tr r="H322" s="1"/>
      </tp>
      <tp t="s">
        <v>#N/A Requesting Data...</v>
        <stp/>
        <stp>##V3_BDHV12</stp>
        <stp>CL1 Comdty</stp>
        <stp>PX_VOLUME</stp>
        <stp>27/11/2015</stp>
        <stp>27/11/2015</stp>
        <stp>[Bbg_Market_Data_CL.xlsm]data!R341C8</stp>
        <tr r="H341" s="1"/>
      </tp>
      <tp t="s">
        <v>#N/A Requesting Data...</v>
        <stp/>
        <stp>##V3_BDHV12</stp>
        <stp>CL1 Comdty</stp>
        <stp>PX_VOLUME</stp>
        <stp>24/12/2015</stp>
        <stp>24/12/2015</stp>
        <stp>[Bbg_Market_Data_CL.xlsm]data!R322C8</stp>
        <tr r="H322" s="1"/>
      </tp>
      <tp>
        <v>45492</v>
        <stp/>
        <stp>##V3_BDHV12</stp>
        <stp>CL2 Comdty</stp>
        <stp>PX_VOLUME</stp>
        <stp>27/11/2015</stp>
        <stp>27/11/2015</stp>
        <stp>[Bbg_Market_Data_CL.xlsm]data!R341C8</stp>
        <tr r="H341" s="1"/>
      </tp>
      <tp t="s">
        <v>#N/A Requesting Data...</v>
        <stp/>
        <stp>##V3_BDHV12</stp>
        <stp>CL2 Comdty</stp>
        <stp>VOLUME_TOTAL_CALL</stp>
        <stp>22/09/2016</stp>
        <stp>22/09/2016</stp>
        <stp>[Bbg_Market_Data_CL.xlsm]data!R137C15</stp>
        <tr r="O137" s="1"/>
      </tp>
      <tp t="s">
        <v>#N/A Requesting Data...</v>
        <stp/>
        <stp>##V3_BDHV12</stp>
        <stp>CL1 Comdty</stp>
        <stp>VOLUME_TOTAL_CALL</stp>
        <stp>01/08/2016</stp>
        <stp>01/08/2016</stp>
        <stp>[Bbg_Market_Data_CL.xlsm]data!R173C15</stp>
        <tr r="O173" s="1"/>
      </tp>
      <tp t="s">
        <v>#N/A Requesting Data...</v>
        <stp/>
        <stp>##V3_BDHV12</stp>
        <stp>CL2 Comdty</stp>
        <stp>VOLUME_TOTAL_CALL</stp>
        <stp>03/09/2015</stp>
        <stp>03/09/2015</stp>
        <stp>[Bbg_Market_Data_CL.xlsm]data!R398C15</stp>
        <tr r="O398" s="1"/>
      </tp>
      <tp t="s">
        <v>#N/A Requesting Data...</v>
        <stp/>
        <stp>##V3_BDHV12</stp>
        <stp>CL1 Comdty</stp>
        <stp>VOLUME_TOTAL_CALL</stp>
        <stp>30/09/2015</stp>
        <stp>30/09/2015</stp>
        <stp>[Bbg_Market_Data_CL.xlsm]data!R380C15</stp>
        <tr r="O380" s="1"/>
      </tp>
      <tp t="s">
        <v>#N/A Requesting Data...</v>
        <stp/>
        <stp>##V3_BDHV12</stp>
        <stp>CL1 Comdty</stp>
        <stp>VOLUME_TOTAL_CALL</stp>
        <stp>10/08/2016</stp>
        <stp>10/08/2016</stp>
        <stp>[Bbg_Market_Data_CL.xlsm]data!R167C15</stp>
        <tr r="O167" s="1"/>
      </tp>
      <tp t="s">
        <v>#N/A Requesting Data...</v>
        <stp/>
        <stp>##V3_BDHV12</stp>
        <stp>CL2 Comdty</stp>
        <stp>VOLUME_TOTAL_CALL</stp>
        <stp>23/08/2016</stp>
        <stp>23/08/2016</stp>
        <stp>[Bbg_Market_Data_CL.xlsm]data!R158C15</stp>
        <tr r="O158" s="1"/>
      </tp>
      <tp t="s">
        <v>#N/A Requesting Data...</v>
        <stp/>
        <stp>##V3_BDHV12</stp>
        <stp>CL1 Comdty</stp>
        <stp>VOLUME_TOTAL_CALL</stp>
        <stp>21/09/2015</stp>
        <stp>21/09/2015</stp>
        <stp>[Bbg_Market_Data_CL.xlsm]data!R387C15</stp>
        <tr r="O387" s="1"/>
      </tp>
      <tp t="s">
        <v>#N/A Requesting Data...</v>
        <stp/>
        <stp>##V3_BDHV12</stp>
        <stp>CL2 Comdty</stp>
        <stp>VOLUME_TOTAL_CALL</stp>
        <stp>10/08/2016</stp>
        <stp>10/08/2016</stp>
        <stp>[Bbg_Market_Data_CL.xlsm]data!R167C15</stp>
        <tr r="O167" s="1"/>
      </tp>
      <tp t="s">
        <v>#N/A Requesting Data...</v>
        <stp/>
        <stp>##V3_BDHV12</stp>
        <stp>CL1 Comdty</stp>
        <stp>VOLUME_TOTAL_CALL</stp>
        <stp>23/08/2016</stp>
        <stp>23/08/2016</stp>
        <stp>[Bbg_Market_Data_CL.xlsm]data!R158C15</stp>
        <tr r="O158" s="1"/>
      </tp>
      <tp t="s">
        <v>#N/A Requesting Data...</v>
        <stp/>
        <stp>##V3_BDHV12</stp>
        <stp>CL2 Comdty</stp>
        <stp>VOLUME_TOTAL_CALL</stp>
        <stp>21/09/2015</stp>
        <stp>21/09/2015</stp>
        <stp>[Bbg_Market_Data_CL.xlsm]data!R387C15</stp>
        <tr r="O387" s="1"/>
      </tp>
      <tp t="s">
        <v>#N/A Requesting Data...</v>
        <stp/>
        <stp>##V3_BDHV12</stp>
        <stp>CL1 Comdty</stp>
        <stp>VOLUME_TOTAL_CALL</stp>
        <stp>22/09/2016</stp>
        <stp>22/09/2016</stp>
        <stp>[Bbg_Market_Data_CL.xlsm]data!R137C15</stp>
        <tr r="O137" s="1"/>
      </tp>
      <tp t="s">
        <v>#N/A Requesting Data...</v>
        <stp/>
        <stp>##V3_BDHV12</stp>
        <stp>CL2 Comdty</stp>
        <stp>VOLUME_TOTAL_CALL</stp>
        <stp>01/08/2016</stp>
        <stp>01/08/2016</stp>
        <stp>[Bbg_Market_Data_CL.xlsm]data!R173C15</stp>
        <tr r="O173" s="1"/>
      </tp>
      <tp t="s">
        <v>#N/A Requesting Data...</v>
        <stp/>
        <stp>##V3_BDHV12</stp>
        <stp>CL1 Comdty</stp>
        <stp>VOLUME_TOTAL_CALL</stp>
        <stp>03/09/2015</stp>
        <stp>03/09/2015</stp>
        <stp>[Bbg_Market_Data_CL.xlsm]data!R398C15</stp>
        <tr r="O398" s="1"/>
      </tp>
      <tp t="s">
        <v>#N/A Requesting Data...</v>
        <stp/>
        <stp>##V3_BDHV12</stp>
        <stp>CL2 Comdty</stp>
        <stp>VOLUME_TOTAL_CALL</stp>
        <stp>30/09/2015</stp>
        <stp>30/09/2015</stp>
        <stp>[Bbg_Market_Data_CL.xlsm]data!R380C15</stp>
        <tr r="O380" s="1"/>
      </tp>
      <tp t="s">
        <v>#N/A Requesting Data...</v>
        <stp/>
        <stp>##V3_BDHV12</stp>
        <stp>CL1 Comdty</stp>
        <stp>VOLUME_TOTAL_CALL</stp>
        <stp>13/08/2015</stp>
        <stp>13/08/2015</stp>
        <stp>[Bbg_Market_Data_CL.xlsm]data!R413C15</stp>
        <tr r="O413" s="1"/>
      </tp>
      <tp t="s">
        <v>#N/A Requesting Data...</v>
        <stp/>
        <stp>##V3_BDHV12</stp>
        <stp>CL2 Comdty</stp>
        <stp>VOLUME_TOTAL_CALL</stp>
        <stp>20/08/2015</stp>
        <stp>20/08/2015</stp>
        <stp>[Bbg_Market_Data_CL.xlsm]data!R408C15</stp>
        <tr r="O408" s="1"/>
      </tp>
      <tp t="s">
        <v>#N/A Requesting Data...</v>
        <stp/>
        <stp>##V3_BDHV12</stp>
        <stp>CL2 Comdty</stp>
        <stp>VOLUME_TOTAL_CALL</stp>
        <stp>31/08/2015</stp>
        <stp>31/08/2015</stp>
        <stp>[Bbg_Market_Data_CL.xlsm]data!R401C15</stp>
        <tr r="O401" s="1"/>
      </tp>
      <tp t="s">
        <v>#N/A Requesting Data...</v>
        <stp/>
        <stp>##V3_BDHV12</stp>
        <stp>CL1 Comdty</stp>
        <stp>VOLUME_TOTAL_CALL</stp>
        <stp>31/08/2015</stp>
        <stp>31/08/2015</stp>
        <stp>[Bbg_Market_Data_CL.xlsm]data!R401C15</stp>
        <tr r="O401" s="1"/>
      </tp>
      <tp t="s">
        <v>#N/A Requesting Data...</v>
        <stp/>
        <stp>##V3_BDHV12</stp>
        <stp>CL2 Comdty</stp>
        <stp>VOLUME_TOTAL_CALL</stp>
        <stp>13/08/2015</stp>
        <stp>13/08/2015</stp>
        <stp>[Bbg_Market_Data_CL.xlsm]data!R413C15</stp>
        <tr r="O413" s="1"/>
      </tp>
      <tp t="s">
        <v>#N/A Requesting Data...</v>
        <stp/>
        <stp>##V3_BDHV12</stp>
        <stp>CL1 Comdty</stp>
        <stp>VOLUME_TOTAL_CALL</stp>
        <stp>20/08/2015</stp>
        <stp>20/08/2015</stp>
        <stp>[Bbg_Market_Data_CL.xlsm]data!R408C15</stp>
        <tr r="O408" s="1"/>
      </tp>
      <tp t="s">
        <v>#N/A Requesting Data...</v>
        <stp/>
        <stp>##V3_BDHV12</stp>
        <stp>CL1 Comdty</stp>
        <stp>VOLUME_TOTAL_CALL</stp>
        <stp>08/12/2015</stp>
        <stp>08/12/2015</stp>
        <stp>[Bbg_Market_Data_CL.xlsm]data!R334C15</stp>
        <tr r="O334" s="1"/>
      </tp>
      <tp t="s">
        <v>#N/A Requesting Data...</v>
        <stp/>
        <stp>##V3_BDHV12</stp>
        <stp>CL2 Comdty</stp>
        <stp>VOLUME_TOTAL_CALL</stp>
        <stp>08/01/2016</stp>
        <stp>08/01/2016</stp>
        <stp>[Bbg_Market_Data_CL.xlsm]data!R313C15</stp>
        <tr r="O313" s="1"/>
      </tp>
      <tp t="s">
        <v>#N/A Requesting Data...</v>
        <stp/>
        <stp>##V3_BDHV12</stp>
        <stp>CL1 Comdty</stp>
        <stp>VOLUME_TOTAL_CALL</stp>
        <stp>28/10/2015</stp>
        <stp>28/10/2015</stp>
        <stp>[Bbg_Market_Data_CL.xlsm]data!R361C15</stp>
        <tr r="O361" s="1"/>
      </tp>
      <tp t="s">
        <v>#N/A Requesting Data...</v>
        <stp/>
        <stp>##V3_BDHV12</stp>
        <stp>CL2 Comdty</stp>
        <stp>VOLUME_TOTAL_CALL</stp>
        <stp>29/02/2016</stp>
        <stp>29/02/2016</stp>
        <stp>[Bbg_Market_Data_CL.xlsm]data!R280C15</stp>
        <tr r="O280" s="1"/>
      </tp>
      <tp t="s">
        <v>#N/A Requesting Data...</v>
        <stp/>
        <stp>##V3_BDHV12</stp>
        <stp>CL1 Comdty</stp>
        <stp>VOLUME_TOTAL_CALL</stp>
        <stp>18/10/2016</stp>
        <stp>18/10/2016</stp>
        <stp>[Bbg_Market_Data_CL.xlsm]data!R120C15</stp>
        <tr r="O120" s="1"/>
      </tp>
      <tp t="s">
        <v>#N/A Requesting Data...</v>
        <stp/>
        <stp>##V3_BDHV12</stp>
        <stp>CL1 Comdty</stp>
        <stp>VOLUME_TOTAL_CALL</stp>
        <stp>08/11/2016</stp>
        <stp>08/11/2016</stp>
        <stp>[Bbg_Market_Data_CL.xlsm]data!R105C15</stp>
        <tr r="O105" s="1"/>
      </tp>
      <tp t="s">
        <v>#N/A Requesting Data...</v>
        <stp/>
        <stp>##V3_BDHV12</stp>
        <stp>CL2 Comdty</stp>
        <stp>VOLUME_TOTAL_CALL</stp>
        <stp>19/01/2016</stp>
        <stp>19/01/2016</stp>
        <stp>[Bbg_Market_Data_CL.xlsm]data!R307C15</stp>
        <tr r="O307" s="1"/>
      </tp>
      <tp t="s">
        <v>#N/A Requesting Data...</v>
        <stp/>
        <stp>##V3_BDHV12</stp>
        <stp>CL2 Comdty</stp>
        <stp>VOLUME_TOTAL_CALL</stp>
        <stp>28/03/2016</stp>
        <stp>28/03/2016</stp>
        <stp>[Bbg_Market_Data_CL.xlsm]data!R261C15</stp>
        <tr r="O261" s="1"/>
      </tp>
      <tp t="s">
        <v>#N/A Requesting Data...</v>
        <stp/>
        <stp>##V3_BDHV12</stp>
        <stp>CL2 Comdty</stp>
        <stp>VOLUME_TOTAL_CALL</stp>
        <stp>18/10/2016</stp>
        <stp>18/10/2016</stp>
        <stp>[Bbg_Market_Data_CL.xlsm]data!R120C15</stp>
        <tr r="O120" s="1"/>
      </tp>
      <tp t="s">
        <v>#N/A Requesting Data...</v>
        <stp/>
        <stp>##V3_BDHV12</stp>
        <stp>CL2 Comdty</stp>
        <stp>VOLUME_TOTAL_CALL</stp>
        <stp>08/11/2016</stp>
        <stp>08/11/2016</stp>
        <stp>[Bbg_Market_Data_CL.xlsm]data!R105C15</stp>
        <tr r="O105" s="1"/>
      </tp>
      <tp t="s">
        <v>#N/A Requesting Data...</v>
        <stp/>
        <stp>##V3_BDHV12</stp>
        <stp>CL1 Comdty</stp>
        <stp>VOLUME_TOTAL_CALL</stp>
        <stp>19/01/2016</stp>
        <stp>19/01/2016</stp>
        <stp>[Bbg_Market_Data_CL.xlsm]data!R307C15</stp>
        <tr r="O307" s="1"/>
      </tp>
      <tp t="s">
        <v>#N/A Requesting Data...</v>
        <stp/>
        <stp>##V3_BDHV12</stp>
        <stp>CL1 Comdty</stp>
        <stp>VOLUME_TOTAL_CALL</stp>
        <stp>28/03/2016</stp>
        <stp>28/03/2016</stp>
        <stp>[Bbg_Market_Data_CL.xlsm]data!R261C15</stp>
        <tr r="O261" s="1"/>
      </tp>
      <tp t="s">
        <v>#N/A Requesting Data...</v>
        <stp/>
        <stp>##V3_BDHV12</stp>
        <stp>CL2 Comdty</stp>
        <stp>VOLUME_TOTAL_CALL</stp>
        <stp>08/12/2015</stp>
        <stp>08/12/2015</stp>
        <stp>[Bbg_Market_Data_CL.xlsm]data!R334C15</stp>
        <tr r="O334" s="1"/>
      </tp>
      <tp t="s">
        <v>#N/A Requesting Data...</v>
        <stp/>
        <stp>##V3_BDHV12</stp>
        <stp>CL1 Comdty</stp>
        <stp>VOLUME_TOTAL_CALL</stp>
        <stp>08/01/2016</stp>
        <stp>08/01/2016</stp>
        <stp>[Bbg_Market_Data_CL.xlsm]data!R313C15</stp>
        <tr r="O313" s="1"/>
      </tp>
      <tp t="s">
        <v>#N/A Requesting Data...</v>
        <stp/>
        <stp>##V3_BDHV12</stp>
        <stp>CL2 Comdty</stp>
        <stp>VOLUME_TOTAL_CALL</stp>
        <stp>28/10/2015</stp>
        <stp>28/10/2015</stp>
        <stp>[Bbg_Market_Data_CL.xlsm]data!R361C15</stp>
        <tr r="O361" s="1"/>
      </tp>
      <tp t="s">
        <v>#N/A Requesting Data...</v>
        <stp/>
        <stp>##V3_BDHV12</stp>
        <stp>CL1 Comdty</stp>
        <stp>VOLUME_TOTAL_CALL</stp>
        <stp>29/02/2016</stp>
        <stp>29/02/2016</stp>
        <stp>[Bbg_Market_Data_CL.xlsm]data!R280C15</stp>
        <tr r="O280" s="1"/>
      </tp>
      <tp>
        <v>344190</v>
        <stp/>
        <stp>##V3_BDHV12</stp>
        <stp>CL2 Comdty</stp>
        <stp>PX_VOLUME</stp>
        <stp>21/09/2015</stp>
        <stp>21/09/2015</stp>
        <stp>[Bbg_Market_Data_CL.xlsm]data!R387C8</stp>
        <tr r="H387" s="1"/>
      </tp>
      <tp t="s">
        <v>#N/A Requesting Data...</v>
        <stp/>
        <stp>##V3_BDHV12</stp>
        <stp>CL1 Comdty</stp>
        <stp>PX_VOLUME</stp>
        <stp>22/09/2016</stp>
        <stp>22/09/2016</stp>
        <stp>[Bbg_Market_Data_CL.xlsm]data!R137C8</stp>
        <tr r="H137" s="1"/>
      </tp>
      <tp>
        <v>214495</v>
        <stp/>
        <stp>##V3_BDHV12</stp>
        <stp>CL2 Comdty</stp>
        <stp>PX_VOLUME</stp>
        <stp>22/09/2016</stp>
        <stp>22/09/2016</stp>
        <stp>[Bbg_Market_Data_CL.xlsm]data!R137C8</stp>
        <tr r="H137" s="1"/>
      </tp>
      <tp t="s">
        <v>#N/A Requesting Data...</v>
        <stp/>
        <stp>##V3_BDHV12</stp>
        <stp>CL1 Comdty</stp>
        <stp>PX_VOLUME</stp>
        <stp>21/09/2015</stp>
        <stp>21/09/2015</stp>
        <stp>[Bbg_Market_Data_CL.xlsm]data!R387C8</stp>
        <tr r="H387" s="1"/>
      </tp>
      <tp t="s">
        <v>#N/A Requesting Data...</v>
        <stp/>
        <stp>##V3_BDHV12</stp>
        <stp>CL1 Comdty</stp>
        <stp>PX_VOLUME</stp>
        <stp>13/09/2016</stp>
        <stp>13/09/2016</stp>
        <stp>[Bbg_Market_Data_CL.xlsm]data!R144C8</stp>
        <tr r="H144" s="1"/>
      </tp>
      <tp>
        <v>216751</v>
        <stp/>
        <stp>##V3_BDHV12</stp>
        <stp>CL2 Comdty</stp>
        <stp>PX_VOLUME</stp>
        <stp>10/09/2015</stp>
        <stp>10/09/2015</stp>
        <stp>[Bbg_Market_Data_CL.xlsm]data!R394C8</stp>
        <tr r="H394" s="1"/>
      </tp>
      <tp t="s">
        <v>#N/A Requesting Data...</v>
        <stp/>
        <stp>##V3_BDHV12</stp>
        <stp>CL1 Comdty</stp>
        <stp>PX_VOLUME</stp>
        <stp>12/08/2016</stp>
        <stp>12/08/2016</stp>
        <stp>[Bbg_Market_Data_CL.xlsm]data!R165C8</stp>
        <tr r="H165" s="1"/>
      </tp>
      <tp t="s">
        <v>#N/A Requesting Data...</v>
        <stp/>
        <stp>##V3_BDHV12</stp>
        <stp>CL1 Comdty</stp>
        <stp>PX_VOLUME</stp>
        <stp>10/09/2015</stp>
        <stp>10/09/2015</stp>
        <stp>[Bbg_Market_Data_CL.xlsm]data!R394C8</stp>
        <tr r="H394" s="1"/>
      </tp>
      <tp>
        <v>186973</v>
        <stp/>
        <stp>##V3_BDHV12</stp>
        <stp>CL2 Comdty</stp>
        <stp>PX_VOLUME</stp>
        <stp>12/08/2016</stp>
        <stp>12/08/2016</stp>
        <stp>[Bbg_Market_Data_CL.xlsm]data!R165C8</stp>
        <tr r="H165" s="1"/>
      </tp>
      <tp>
        <v>319462</v>
        <stp/>
        <stp>##V3_BDHV12</stp>
        <stp>CL2 Comdty</stp>
        <stp>PX_VOLUME</stp>
        <stp>13/09/2016</stp>
        <stp>13/09/2016</stp>
        <stp>[Bbg_Market_Data_CL.xlsm]data!R144C8</stp>
        <tr r="H144" s="1"/>
      </tp>
      <tp t="s">
        <v>#N/A Requesting Data...</v>
        <stp/>
        <stp>##V3_BDHV12</stp>
        <stp>CL1 Comdty</stp>
        <stp>PX_VOLUME</stp>
        <stp>11/08/2015</stp>
        <stp>11/08/2015</stp>
        <stp>[Bbg_Market_Data_CL.xlsm]data!R415C8</stp>
        <tr r="H415" s="1"/>
      </tp>
      <tp>
        <v>293755</v>
        <stp/>
        <stp>##V3_BDHV12</stp>
        <stp>CL2 Comdty</stp>
        <stp>PX_VOLUME</stp>
        <stp>11/08/2015</stp>
        <stp>11/08/2015</stp>
        <stp>[Bbg_Market_Data_CL.xlsm]data!R415C8</stp>
        <tr r="H415" s="1"/>
      </tp>
      <tp t="s">
        <v>#N/A Requesting Data...</v>
        <stp/>
        <stp>##V3_BDHV12</stp>
        <stp>CL1 Comdty</stp>
        <stp>PX_VOLUME</stp>
        <stp>24/08/2015</stp>
        <stp>24/08/2015</stp>
        <stp>[Bbg_Market_Data_CL.xlsm]data!R406C8</stp>
        <tr r="H406" s="1"/>
      </tp>
      <tp>
        <v>100016</v>
        <stp/>
        <stp>##V3_BDHV12</stp>
        <stp>CL2 Comdty</stp>
        <stp>PX_VOLUME</stp>
        <stp>24/08/2015</stp>
        <stp>24/08/2015</stp>
        <stp>[Bbg_Market_Data_CL.xlsm]data!R406C8</stp>
        <tr r="H406" s="1"/>
      </tp>
      <tp>
        <v>87431</v>
        <stp/>
        <stp>##V3_BDHV12</stp>
        <stp>CL2 Comdty</stp>
        <stp>PX_VOLUME</stp>
        <stp>25/08/2016</stp>
        <stp>25/08/2016</stp>
        <stp>[Bbg_Market_Data_CL.xlsm]data!R156C8</stp>
        <tr r="H156" s="1"/>
      </tp>
      <tp t="s">
        <v>#N/A Requesting Data...</v>
        <stp/>
        <stp>##V3_BDHV12</stp>
        <stp>CL1 Comdty</stp>
        <stp>PX_VOLUME</stp>
        <stp>25/08/2016</stp>
        <stp>25/08/2016</stp>
        <stp>[Bbg_Market_Data_CL.xlsm]data!R156C8</stp>
        <tr r="H156" s="1"/>
      </tp>
      <tp>
        <v>142712</v>
        <stp/>
        <stp>##V3_BDHV12</stp>
        <stp>CL2 Comdty</stp>
        <stp>PX_VOLUME</stp>
        <stp>24/06/2016</stp>
        <stp>24/06/2016</stp>
        <stp>[Bbg_Market_Data_CL.xlsm]data!R198C8</stp>
        <tr r="H198" s="1"/>
      </tp>
      <tp t="s">
        <v>#N/A Requesting Data...</v>
        <stp/>
        <stp>##V3_BDHV12</stp>
        <stp>CL1 Comdty</stp>
        <stp>PX_VOLUME</stp>
        <stp>24/06/2016</stp>
        <stp>24/06/2016</stp>
        <stp>[Bbg_Market_Data_CL.xlsm]data!R198C8</stp>
        <tr r="H198" s="1"/>
      </tp>
      <tp>
        <v>178022</v>
        <stp/>
        <stp>##V3_BDHV12</stp>
        <stp>CL2 Comdty</stp>
        <stp>PX_VOLUME</stp>
        <stp>09/09/2015</stp>
        <stp>09/09/2015</stp>
        <stp>[Bbg_Market_Data_CL.xlsm]data!R395C8</stp>
        <tr r="H395" s="1"/>
      </tp>
      <tp t="s">
        <v>#N/A Requesting Data...</v>
        <stp/>
        <stp>##V3_BDHV12</stp>
        <stp>CL1 Comdty</stp>
        <stp>PX_VOLUME</stp>
        <stp>09/09/2015</stp>
        <stp>09/09/2015</stp>
        <stp>[Bbg_Market_Data_CL.xlsm]data!R395C8</stp>
        <tr r="H395" s="1"/>
      </tp>
      <tp t="s">
        <v>#N/A Requesting Data...</v>
        <stp/>
        <stp>##V3_BDHV12</stp>
        <stp>CL1 Comdty</stp>
        <stp>PX_VOLUME</stp>
        <stp>24/06/2015</stp>
        <stp>24/06/2015</stp>
        <stp>[Bbg_Market_Data_CL.xlsm]data!R448C8</stp>
        <tr r="H448" s="1"/>
      </tp>
      <tp t="s">
        <v>#N/A Requesting Data...</v>
        <stp/>
        <stp>##V3_BDHV12</stp>
        <stp>CL2 Comdty</stp>
        <stp>PX_VOLUME</stp>
        <stp>24/06/2015</stp>
        <stp>24/06/2015</stp>
        <stp>[Bbg_Market_Data_CL.xlsm]data!R448C8</stp>
        <tr r="H448" s="1"/>
      </tp>
      <tp t="s">
        <v>#N/A Requesting Data...</v>
        <stp/>
        <stp>##V3_BDHV12</stp>
        <stp>CL2 Comdty</stp>
        <stp>PX_VOLUME</stp>
        <stp>22/07/2015</stp>
        <stp>22/07/2015</stp>
        <stp>[Bbg_Market_Data_CL.xlsm]data!R429C8</stp>
        <tr r="H429" s="1"/>
      </tp>
      <tp t="s">
        <v>#N/A Requesting Data...</v>
        <stp/>
        <stp>##V3_BDHV12</stp>
        <stp>CL1 Comdty</stp>
        <stp>PX_VOLUME</stp>
        <stp>22/07/2015</stp>
        <stp>22/07/2015</stp>
        <stp>[Bbg_Market_Data_CL.xlsm]data!R429C8</stp>
        <tr r="H429" s="1"/>
      </tp>
      <tp t="s">
        <v>#N/A Requesting Data...</v>
        <stp/>
        <stp>##V3_BDHV12</stp>
        <stp>CL2 Comdty</stp>
        <stp>PX_VOLUME</stp>
        <stp>12/05/2015</stp>
        <stp>12/05/2015</stp>
        <stp>[Bbg_Market_Data_CL.xlsm]data!R478C8</stp>
        <tr r="H478" s="1"/>
      </tp>
      <tp t="s">
        <v>#N/A Requesting Data...</v>
        <stp/>
        <stp>##V3_BDHV12</stp>
        <stp>CL2 Comdty</stp>
        <stp>PX_VOLUME</stp>
        <stp>13/04/2015</stp>
        <stp>13/04/2015</stp>
        <stp>[Bbg_Market_Data_CL.xlsm]data!R499C8</stp>
        <tr r="H499" s="1"/>
      </tp>
      <tp t="s">
        <v>#N/A Requesting Data...</v>
        <stp/>
        <stp>##V3_BDHV12</stp>
        <stp>CL1 Comdty</stp>
        <stp>PX_VOLUME</stp>
        <stp>13/04/2015</stp>
        <stp>13/04/2015</stp>
        <stp>[Bbg_Market_Data_CL.xlsm]data!R499C8</stp>
        <tr r="H499" s="1"/>
      </tp>
      <tp t="s">
        <v>#N/A Requesting Data...</v>
        <stp/>
        <stp>##V3_BDHV12</stp>
        <stp>CL1 Comdty</stp>
        <stp>PX_VOLUME</stp>
        <stp>12/05/2015</stp>
        <stp>12/05/2015</stp>
        <stp>[Bbg_Market_Data_CL.xlsm]data!R478C8</stp>
        <tr r="H478" s="1"/>
      </tp>
      <tp>
        <v>341985</v>
        <stp/>
        <stp>##V3_BDHV12</stp>
        <stp>CL2 Comdty</stp>
        <stp>PX_VOLUME</stp>
        <stp>13/04/2016</stp>
        <stp>13/04/2016</stp>
        <stp>[Bbg_Market_Data_CL.xlsm]data!R249C8</stp>
        <tr r="H249" s="1"/>
      </tp>
      <tp>
        <v>280262</v>
        <stp/>
        <stp>##V3_BDHV12</stp>
        <stp>CL2 Comdty</stp>
        <stp>PX_VOLUME</stp>
        <stp>12/05/2016</stp>
        <stp>12/05/2016</stp>
        <stp>[Bbg_Market_Data_CL.xlsm]data!R228C8</stp>
        <tr r="H228" s="1"/>
      </tp>
      <tp t="s">
        <v>#N/A Requesting Data...</v>
        <stp/>
        <stp>##V3_BDHV12</stp>
        <stp>CL1 Comdty</stp>
        <stp>PX_VOLUME</stp>
        <stp>12/05/2016</stp>
        <stp>12/05/2016</stp>
        <stp>[Bbg_Market_Data_CL.xlsm]data!R228C8</stp>
        <tr r="H228" s="1"/>
      </tp>
      <tp t="s">
        <v>#N/A Requesting Data...</v>
        <stp/>
        <stp>##V3_BDHV12</stp>
        <stp>CL1 Comdty</stp>
        <stp>PX_VOLUME</stp>
        <stp>13/04/2016</stp>
        <stp>13/04/2016</stp>
        <stp>[Bbg_Market_Data_CL.xlsm]data!R249C8</stp>
        <tr r="H249" s="1"/>
      </tp>
      <tp t="s">
        <v>#N/A Requesting Data...</v>
        <stp/>
        <stp>##V3_BDHV12</stp>
        <stp>CL1 Comdty</stp>
        <stp>PX_VOLUME</stp>
        <stp>22/07/2016</stp>
        <stp>22/07/2016</stp>
        <stp>[Bbg_Market_Data_CL.xlsm]data!R179C8</stp>
        <tr r="H179" s="1"/>
      </tp>
      <tp>
        <v>68040</v>
        <stp/>
        <stp>##V3_BDHV12</stp>
        <stp>CL2 Comdty</stp>
        <stp>PX_VOLUME</stp>
        <stp>22/07/2016</stp>
        <stp>22/07/2016</stp>
        <stp>[Bbg_Market_Data_CL.xlsm]data!R179C8</stp>
        <tr r="H179" s="1"/>
      </tp>
      <tp t="s">
        <v>#N/A Requesting Data...</v>
        <stp/>
        <stp>##V3_BDHV12</stp>
        <stp>SPGSCLP Index</stp>
        <stp>CHG_PCT_5D</stp>
        <stp>24/03/2017</stp>
        <stp>24/03/2017</stp>
        <stp>[Bbg_Market_Data_CL.xlsm]data!R13C4</stp>
        <tr r="D13" s="1"/>
      </tp>
      <tp t="s">
        <v>#N/A Requesting Data...</v>
        <stp/>
        <stp>##V3_BDHV12</stp>
        <stp>SPGSCLP Index</stp>
        <stp>CHG_PCT_1D</stp>
        <stp>24/03/2017</stp>
        <stp>24/03/2017</stp>
        <stp>[Bbg_Market_Data_CL.xlsm]data!R13C3</stp>
        <tr r="C13" s="1"/>
      </tp>
      <tp t="s">
        <v>#N/A Requesting Data...</v>
        <stp/>
        <stp>##V3_BDHV12</stp>
        <stp>SPGSCLP Index</stp>
        <stp>CHG_PCT_1D</stp>
        <stp>28/12/2016</stp>
        <stp>28/12/2016</stp>
        <stp>[Bbg_Market_Data_CL.xlsm]data!R72C3</stp>
        <tr r="C72" s="1"/>
      </tp>
      <tp t="s">
        <v>#N/A Requesting Data...</v>
        <stp/>
        <stp>##V3_BDHV12</stp>
        <stp>SPGSCLP Index</stp>
        <stp>CHG_PCT_5D</stp>
        <stp>28/12/2016</stp>
        <stp>28/12/2016</stp>
        <stp>[Bbg_Market_Data_CL.xlsm]data!R72C4</stp>
        <tr r="D72" s="1"/>
      </tp>
      <tp t="s">
        <v>#N/A Requesting Data...</v>
        <stp/>
        <stp>##V3_BDHV12</stp>
        <stp>SPGSCLP Index</stp>
        <stp>CHG_PCT_1D</stp>
        <stp>11/01/2017</stp>
        <stp>11/01/2017</stp>
        <stp>[Bbg_Market_Data_CL.xlsm]data!R63C3</stp>
        <tr r="C63" s="1"/>
      </tp>
      <tp t="s">
        <v>#N/A Requesting Data...</v>
        <stp/>
        <stp>##V3_BDHV12</stp>
        <stp>SPGSCLP Index</stp>
        <stp>CHG_PCT_5D</stp>
        <stp>24/02/2017</stp>
        <stp>24/02/2017</stp>
        <stp>[Bbg_Market_Data_CL.xlsm]data!R33C4</stp>
        <tr r="D33" s="1"/>
      </tp>
      <tp t="s">
        <v>#N/A Requesting Data...</v>
        <stp/>
        <stp>##V3_BDHV12</stp>
        <stp>SPGSCLP Index</stp>
        <stp>CHG_PCT_1D</stp>
        <stp>24/02/2017</stp>
        <stp>24/02/2017</stp>
        <stp>[Bbg_Market_Data_CL.xlsm]data!R33C3</stp>
        <tr r="C33" s="1"/>
      </tp>
      <tp t="s">
        <v>#N/A Requesting Data...</v>
        <stp/>
        <stp>##V3_BDHV12</stp>
        <stp>SPGSCLP Index</stp>
        <stp>CHG_PCT_5D</stp>
        <stp>11/01/2017</stp>
        <stp>11/01/2017</stp>
        <stp>[Bbg_Market_Data_CL.xlsm]data!R63C4</stp>
        <tr r="D63" s="1"/>
      </tp>
      <tp t="s">
        <v>#N/A Requesting Data...</v>
        <stp/>
        <stp>##V3_BDHV12</stp>
        <stp>SPGSCLP Index</stp>
        <stp>CHG_PCT_5D</stp>
        <stp>26/01/2017</stp>
        <stp>26/01/2017</stp>
        <stp>[Bbg_Market_Data_CL.xlsm]data!R53C4</stp>
        <tr r="D53" s="1"/>
      </tp>
      <tp t="s">
        <v>#N/A Requesting Data...</v>
        <stp/>
        <stp>##V3_BDHV12</stp>
        <stp>SPGSCLP Index</stp>
        <stp>CHG_PCT_1D</stp>
        <stp>26/01/2017</stp>
        <stp>26/01/2017</stp>
        <stp>[Bbg_Market_Data_CL.xlsm]data!R53C3</stp>
        <tr r="C53" s="1"/>
      </tp>
      <tp t="s">
        <v>#N/A Requesting Data...</v>
        <stp/>
        <stp>##V3_BDHV12</stp>
        <stp>SPGSCLP Index</stp>
        <stp>CHG_PCT_1D</stp>
        <stp>13/12/2016</stp>
        <stp>13/12/2016</stp>
        <stp>[Bbg_Market_Data_CL.xlsm]data!R82C3</stp>
        <tr r="C82" s="1"/>
      </tp>
      <tp t="s">
        <v>#N/A Requesting Data...</v>
        <stp/>
        <stp>##V3_BDHV12</stp>
        <stp>SPGSCLP Index</stp>
        <stp>CHG_PCT_1D</stp>
        <stp>10/03/2017</stp>
        <stp>10/03/2017</stp>
        <stp>[Bbg_Market_Data_CL.xlsm]data!R23C3</stp>
        <tr r="C23" s="1"/>
      </tp>
      <tp t="s">
        <v>#N/A Requesting Data...</v>
        <stp/>
        <stp>##V3_BDHV12</stp>
        <stp>SPGSCLP Index</stp>
        <stp>CHG_PCT_5D</stp>
        <stp>10/03/2017</stp>
        <stp>10/03/2017</stp>
        <stp>[Bbg_Market_Data_CL.xlsm]data!R23C4</stp>
        <tr r="D23" s="1"/>
      </tp>
      <tp t="s">
        <v>#N/A Requesting Data...</v>
        <stp/>
        <stp>##V3_BDHV12</stp>
        <stp>SPGSCLP Index</stp>
        <stp>CHG_PCT_5D</stp>
        <stp>13/12/2016</stp>
        <stp>13/12/2016</stp>
        <stp>[Bbg_Market_Data_CL.xlsm]data!R82C4</stp>
        <tr r="D82" s="1"/>
      </tp>
      <tp t="s">
        <v>#N/A Requesting Data...</v>
        <stp/>
        <stp>##V3_BDHV12</stp>
        <stp>SPGSCLP Index</stp>
        <stp>CHG_PCT_1D</stp>
        <stp>09/02/2017</stp>
        <stp>09/02/2017</stp>
        <stp>[Bbg_Market_Data_CL.xlsm]data!R43C3</stp>
        <tr r="C43" s="1"/>
      </tp>
      <tp t="s">
        <v>#N/A Requesting Data...</v>
        <stp/>
        <stp>##V3_BDHV12</stp>
        <stp>SPGSCLP Index</stp>
        <stp>CHG_PCT_1D</stp>
        <stp>29/11/2016</stp>
        <stp>29/11/2016</stp>
        <stp>[Bbg_Market_Data_CL.xlsm]data!R92C3</stp>
        <tr r="C92" s="1"/>
      </tp>
      <tp t="s">
        <v>#N/A Requesting Data...</v>
        <stp/>
        <stp>##V3_BDHV12</stp>
        <stp>SPGSCLP Index</stp>
        <stp>CHG_PCT_5D</stp>
        <stp>09/02/2017</stp>
        <stp>09/02/2017</stp>
        <stp>[Bbg_Market_Data_CL.xlsm]data!R43C4</stp>
        <tr r="D43" s="1"/>
      </tp>
      <tp t="s">
        <v>#N/A Requesting Data...</v>
        <stp/>
        <stp>##V3_BDHV12</stp>
        <stp>SPGSCLP Index</stp>
        <stp>CHG_PCT_5D</stp>
        <stp>29/11/2016</stp>
        <stp>29/11/2016</stp>
        <stp>[Bbg_Market_Data_CL.xlsm]data!R92C4</stp>
        <tr r="D92" s="1"/>
      </tp>
      <tp t="s">
        <v>#N/A Requesting Data...</v>
        <stp/>
        <stp>##V3_BDHV12</stp>
        <stp>CL2 Comdty</stp>
        <stp>RSI_9D</stp>
        <stp>06/04/2017</stp>
        <stp>06/04/2017</stp>
        <stp>[Bbg_Market_Data_CL.xlsm]data!R4C12</stp>
        <tr r="L4" s="1"/>
      </tp>
      <tp t="s">
        <v>#N/A Requesting Data...</v>
        <stp/>
        <stp>##V3_BDHV12</stp>
        <stp>CL1 Comdty</stp>
        <stp>RSI_9D</stp>
        <stp>05/04/2017</stp>
        <stp>05/04/2017</stp>
        <stp>[Bbg_Market_Data_CL.xlsm]data!R5C12</stp>
        <tr r="L5" s="1"/>
      </tp>
      <tp t="s">
        <v>#N/A Requesting Data...</v>
        <stp/>
        <stp>##V3_BDHV12</stp>
        <stp>CL2 Comdty</stp>
        <stp>RSI_9D</stp>
        <stp>07/04/2017</stp>
        <stp>07/04/2017</stp>
        <stp>[Bbg_Market_Data_CL.xlsm]data!R3C12</stp>
        <tr r="L3" s="1"/>
      </tp>
      <tp t="s">
        <v>#N/A Requesting Data...</v>
        <stp/>
        <stp>##V3_BDHV12</stp>
        <stp>CL1 Comdty</stp>
        <stp>RSI_9D</stp>
        <stp>04/04/2017</stp>
        <stp>04/04/2017</stp>
        <stp>[Bbg_Market_Data_CL.xlsm]data!R6C12</stp>
        <tr r="L6" s="1"/>
      </tp>
      <tp t="s">
        <v>#N/A Requesting Data...</v>
        <stp/>
        <stp>##V3_BDHV12</stp>
        <stp>CL1 Comdty</stp>
        <stp>RSI_9D</stp>
        <stp>07/04/2017</stp>
        <stp>07/04/2017</stp>
        <stp>[Bbg_Market_Data_CL.xlsm]data!R3C12</stp>
        <tr r="L3" s="1"/>
      </tp>
      <tp t="s">
        <v>#N/A Requesting Data...</v>
        <stp/>
        <stp>##V3_BDHV12</stp>
        <stp>CL2 Comdty</stp>
        <stp>RSI_9D</stp>
        <stp>04/04/2017</stp>
        <stp>04/04/2017</stp>
        <stp>[Bbg_Market_Data_CL.xlsm]data!R6C12</stp>
        <tr r="L6" s="1"/>
      </tp>
      <tp t="s">
        <v>#N/A Requesting Data...</v>
        <stp/>
        <stp>##V3_BDHV12</stp>
        <stp>CL1 Comdty</stp>
        <stp>RSI_9D</stp>
        <stp>06/04/2017</stp>
        <stp>06/04/2017</stp>
        <stp>[Bbg_Market_Data_CL.xlsm]data!R4C12</stp>
        <tr r="L4" s="1"/>
      </tp>
      <tp t="s">
        <v>#N/A Requesting Data...</v>
        <stp/>
        <stp>##V3_BDHV12</stp>
        <stp>CL2 Comdty</stp>
        <stp>RSI_9D</stp>
        <stp>05/04/2017</stp>
        <stp>05/04/2017</stp>
        <stp>[Bbg_Market_Data_CL.xlsm]data!R5C12</stp>
        <tr r="L5" s="1"/>
      </tp>
      <tp t="s">
        <v>#N/A Requesting Data...</v>
        <stp/>
        <stp>##V3_BDHV12</stp>
        <stp>CL2 Comdty</stp>
        <stp>RSI_9D</stp>
        <stp>03/04/2017</stp>
        <stp>03/04/2017</stp>
        <stp>[Bbg_Market_Data_CL.xlsm]data!R7C12</stp>
        <tr r="L7" s="1"/>
      </tp>
      <tp t="s">
        <v>#N/A Requesting Data...</v>
        <stp/>
        <stp>##V3_BDHV12</stp>
        <stp>CL1 Comdty</stp>
        <stp>RSI_9D</stp>
        <stp>03/04/2017</stp>
        <stp>03/04/2017</stp>
        <stp>[Bbg_Market_Data_CL.xlsm]data!R7C12</stp>
        <tr r="L7" s="1"/>
      </tp>
      <tp t="s">
        <v>#N/A Requesting Data...</v>
        <stp/>
        <stp>##V3_BDHV12</stp>
        <stp>CL1 Comdty</stp>
        <stp>RSI_9D</stp>
        <stp>10/04/2017</stp>
        <stp>10/04/2017</stp>
        <stp>[Bbg_Market_Data_CL.xlsm]data!R2C12</stp>
        <tr r="L2" s="1"/>
      </tp>
      <tp t="s">
        <v>#N/A Requesting Data...</v>
        <stp/>
        <stp>##V3_BDHV12</stp>
        <stp>CL2 Comdty</stp>
        <stp>RSI_9D</stp>
        <stp>10/04/2017</stp>
        <stp>10/04/2017</stp>
        <stp>[Bbg_Market_Data_CL.xlsm]data!R2C12</stp>
        <tr r="L2" s="1"/>
      </tp>
      <tp t="s">
        <v>#N/A Requesting Data...</v>
        <stp/>
        <stp>##V3_BDHV12</stp>
        <stp>CL1 Comdty</stp>
        <stp>RSI_9D</stp>
        <stp>31/03/2017</stp>
        <stp>31/03/2017</stp>
        <stp>[Bbg_Market_Data_CL.xlsm]data!R8C12</stp>
        <tr r="L8" s="1"/>
      </tp>
      <tp t="s">
        <v>#N/A Requesting Data...</v>
        <stp/>
        <stp>##V3_BDHV12</stp>
        <stp>CL1 Comdty</stp>
        <stp>RSI_9D</stp>
        <stp>30/03/2017</stp>
        <stp>30/03/2017</stp>
        <stp>[Bbg_Market_Data_CL.xlsm]data!R9C12</stp>
        <tr r="L9" s="1"/>
      </tp>
      <tp t="s">
        <v>#N/A Requesting Data...</v>
        <stp/>
        <stp>##V3_BDHV12</stp>
        <stp>CL2 Comdty</stp>
        <stp>RSI_9D</stp>
        <stp>30/03/2017</stp>
        <stp>30/03/2017</stp>
        <stp>[Bbg_Market_Data_CL.xlsm]data!R9C12</stp>
        <tr r="L9" s="1"/>
      </tp>
      <tp t="s">
        <v>#N/A Requesting Data...</v>
        <stp/>
        <stp>##V3_BDHV12</stp>
        <stp>CL2 Comdty</stp>
        <stp>RSI_9D</stp>
        <stp>31/03/2017</stp>
        <stp>31/03/2017</stp>
        <stp>[Bbg_Market_Data_CL.xlsm]data!R8C12</stp>
        <tr r="L8" s="1"/>
      </tp>
      <tp t="s">
        <v>#N/A Requesting Data...</v>
        <stp/>
        <stp>##V3_BDHV12</stp>
        <stp>CL1 Comdty</stp>
        <stp>VOLUME_TOTAL_CALL</stp>
        <stp>11/08/2016</stp>
        <stp>11/08/2016</stp>
        <stp>[Bbg_Market_Data_CL.xlsm]data!R166C15</stp>
        <tr r="O166" s="1"/>
      </tp>
      <tp t="s">
        <v>#N/A Requesting Data...</v>
        <stp/>
        <stp>##V3_BDHV12</stp>
        <stp>CL1 Comdty</stp>
        <stp>VOLUME_TOTAL_CALL</stp>
        <stp>01/09/2016</stp>
        <stp>01/09/2016</stp>
        <stp>[Bbg_Market_Data_CL.xlsm]data!R151C15</stp>
        <tr r="O151" s="1"/>
      </tp>
      <tp t="s">
        <v>#N/A Requesting Data...</v>
        <stp/>
        <stp>##V3_BDHV12</stp>
        <stp>CL2 Comdty</stp>
        <stp>VOLUME_TOTAL_CALL</stp>
        <stp>22/08/2016</stp>
        <stp>22/08/2016</stp>
        <stp>[Bbg_Market_Data_CL.xlsm]data!R159C15</stp>
        <tr r="O159" s="1"/>
      </tp>
      <tp t="s">
        <v>#N/A Requesting Data...</v>
        <stp/>
        <stp>##V3_BDHV12</stp>
        <stp>CL2 Comdty</stp>
        <stp>VOLUME_TOTAL_CALL</stp>
        <stp>23/09/2016</stp>
        <stp>23/09/2016</stp>
        <stp>[Bbg_Market_Data_CL.xlsm]data!R136C15</stp>
        <tr r="O136" s="1"/>
      </tp>
      <tp t="s">
        <v>#N/A Requesting Data...</v>
        <stp/>
        <stp>##V3_BDHV12</stp>
        <stp>CL2 Comdty</stp>
        <stp>VOLUME_TOTAL_CALL</stp>
        <stp>02/09/2015</stp>
        <stp>02/09/2015</stp>
        <stp>[Bbg_Market_Data_CL.xlsm]data!R399C15</stp>
        <tr r="O399" s="1"/>
      </tp>
      <tp t="s">
        <v>#N/A Requesting Data...</v>
        <stp/>
        <stp>##V3_BDHV12</stp>
        <stp>CL1 Comdty</stp>
        <stp>VOLUME_TOTAL_CALL</stp>
        <stp>23/09/2016</stp>
        <stp>23/09/2016</stp>
        <stp>[Bbg_Market_Data_CL.xlsm]data!R136C15</stp>
        <tr r="O136" s="1"/>
      </tp>
      <tp t="s">
        <v>#N/A Requesting Data...</v>
        <stp/>
        <stp>##V3_BDHV12</stp>
        <stp>CL1 Comdty</stp>
        <stp>VOLUME_TOTAL_CALL</stp>
        <stp>02/09/2015</stp>
        <stp>02/09/2015</stp>
        <stp>[Bbg_Market_Data_CL.xlsm]data!R399C15</stp>
        <tr r="O399" s="1"/>
      </tp>
      <tp t="s">
        <v>#N/A Requesting Data...</v>
        <stp/>
        <stp>##V3_BDHV12</stp>
        <stp>CL2 Comdty</stp>
        <stp>VOLUME_TOTAL_CALL</stp>
        <stp>11/08/2016</stp>
        <stp>11/08/2016</stp>
        <stp>[Bbg_Market_Data_CL.xlsm]data!R166C15</stp>
        <tr r="O166" s="1"/>
      </tp>
      <tp t="s">
        <v>#N/A Requesting Data...</v>
        <stp/>
        <stp>##V3_BDHV12</stp>
        <stp>CL2 Comdty</stp>
        <stp>VOLUME_TOTAL_CALL</stp>
        <stp>01/09/2016</stp>
        <stp>01/09/2016</stp>
        <stp>[Bbg_Market_Data_CL.xlsm]data!R151C15</stp>
        <tr r="O151" s="1"/>
      </tp>
      <tp t="s">
        <v>#N/A Requesting Data...</v>
        <stp/>
        <stp>##V3_BDHV12</stp>
        <stp>CL1 Comdty</stp>
        <stp>VOLUME_TOTAL_CALL</stp>
        <stp>22/08/2016</stp>
        <stp>22/08/2016</stp>
        <stp>[Bbg_Market_Data_CL.xlsm]data!R159C15</stp>
        <tr r="O159" s="1"/>
      </tp>
      <tp t="s">
        <v>#N/A Requesting Data...</v>
        <stp/>
        <stp>##V3_BDHV12</stp>
        <stp>CL1 Comdty</stp>
        <stp>VOLUME_TOTAL_CALL</stp>
        <stp>03/08/2015</stp>
        <stp>03/08/2015</stp>
        <stp>[Bbg_Market_Data_CL.xlsm]data!R421C15</stp>
        <tr r="O421" s="1"/>
      </tp>
      <tp t="s">
        <v>#N/A Requesting Data...</v>
        <stp/>
        <stp>##V3_BDHV12</stp>
        <stp>CL1 Comdty</stp>
        <stp>VOLUME_TOTAL_CALL</stp>
        <stp>12/08/2015</stp>
        <stp>12/08/2015</stp>
        <stp>[Bbg_Market_Data_CL.xlsm]data!R414C15</stp>
        <tr r="O414" s="1"/>
      </tp>
      <tp t="s">
        <v>#N/A Requesting Data...</v>
        <stp/>
        <stp>##V3_BDHV12</stp>
        <stp>CL2 Comdty</stp>
        <stp>VOLUME_TOTAL_CALL</stp>
        <stp>21/08/2015</stp>
        <stp>21/08/2015</stp>
        <stp>[Bbg_Market_Data_CL.xlsm]data!R407C15</stp>
        <tr r="O407" s="1"/>
      </tp>
      <tp t="s">
        <v>#N/A Requesting Data...</v>
        <stp/>
        <stp>##V3_BDHV12</stp>
        <stp>CL2 Comdty</stp>
        <stp>VOLUME_TOTAL_CALL</stp>
        <stp>12/08/2015</stp>
        <stp>12/08/2015</stp>
        <stp>[Bbg_Market_Data_CL.xlsm]data!R414C15</stp>
        <tr r="O414" s="1"/>
      </tp>
      <tp t="s">
        <v>#N/A Requesting Data...</v>
        <stp/>
        <stp>##V3_BDHV12</stp>
        <stp>CL1 Comdty</stp>
        <stp>VOLUME_TOTAL_CALL</stp>
        <stp>21/08/2015</stp>
        <stp>21/08/2015</stp>
        <stp>[Bbg_Market_Data_CL.xlsm]data!R407C15</stp>
        <tr r="O407" s="1"/>
      </tp>
      <tp t="s">
        <v>#N/A Requesting Data...</v>
        <stp/>
        <stp>##V3_BDHV12</stp>
        <stp>CL2 Comdty</stp>
        <stp>VOLUME_TOTAL_CALL</stp>
        <stp>03/08/2015</stp>
        <stp>03/08/2015</stp>
        <stp>[Bbg_Market_Data_CL.xlsm]data!R421C15</stp>
        <tr r="O421" s="1"/>
      </tp>
      <tp t="s">
        <v>#N/A Requesting Data...</v>
        <stp/>
        <stp>##V3_BDHV12</stp>
        <stp>CL1 Comdty</stp>
        <stp>VOLUME_TOTAL_CALL</stp>
        <stp>18/12/2015</stp>
        <stp>18/12/2015</stp>
        <stp>[Bbg_Market_Data_CL.xlsm]data!R326C15</stp>
        <tr r="O326" s="1"/>
      </tp>
      <tp t="s">
        <v>#N/A Requesting Data...</v>
        <stp/>
        <stp>##V3_BDHV12</stp>
        <stp>CL1 Comdty</stp>
        <stp>VOLUME_TOTAL_CALL</stp>
        <stp>09/11/2016</stp>
        <stp>09/11/2016</stp>
        <stp>[Bbg_Market_Data_CL.xlsm]data!R104C15</stp>
        <tr r="O104" s="1"/>
      </tp>
      <tp t="s">
        <v>#N/A Requesting Data...</v>
        <stp/>
        <stp>##V3_BDHV12</stp>
        <stp>CL1 Comdty</stp>
        <stp>VOLUME_TOTAL_CALL</stp>
        <stp>19/10/2016</stp>
        <stp>19/10/2016</stp>
        <stp>[Bbg_Market_Data_CL.xlsm]data!R119C15</stp>
        <tr r="O119" s="1"/>
      </tp>
      <tp t="s">
        <v>#N/A Requesting Data...</v>
        <stp/>
        <stp>##V3_BDHV12</stp>
        <stp>CL2 Comdty</stp>
        <stp>VOLUME_TOTAL_CALL</stp>
        <stp>29/03/2016</stp>
        <stp>29/03/2016</stp>
        <stp>[Bbg_Market_Data_CL.xlsm]data!R260C15</stp>
        <tr r="O260" s="1"/>
      </tp>
      <tp t="s">
        <v>#N/A Requesting Data...</v>
        <stp/>
        <stp>##V3_BDHV12</stp>
        <stp>CL1 Comdty</stp>
        <stp>VOLUME_TOTAL_CALL</stp>
        <stp>09/12/2015</stp>
        <stp>09/12/2015</stp>
        <stp>[Bbg_Market_Data_CL.xlsm]data!R333C15</stp>
        <tr r="O333" s="1"/>
      </tp>
      <tp t="s">
        <v>#N/A Requesting Data...</v>
        <stp/>
        <stp>##V3_BDHV12</stp>
        <stp>CL1 Comdty</stp>
        <stp>VOLUME_TOTAL_CALL</stp>
        <stp>29/10/2015</stp>
        <stp>29/10/2015</stp>
        <stp>[Bbg_Market_Data_CL.xlsm]data!R360C15</stp>
        <tr r="O360" s="1"/>
      </tp>
      <tp t="s">
        <v>#N/A Requesting Data...</v>
        <stp/>
        <stp>##V3_BDHV12</stp>
        <stp>CL2 Comdty</stp>
        <stp>VOLUME_TOTAL_CALL</stp>
        <stp>09/12/2015</stp>
        <stp>09/12/2015</stp>
        <stp>[Bbg_Market_Data_CL.xlsm]data!R333C15</stp>
        <tr r="O333" s="1"/>
      </tp>
      <tp t="s">
        <v>#N/A Requesting Data...</v>
        <stp/>
        <stp>##V3_BDHV12</stp>
        <stp>CL2 Comdty</stp>
        <stp>VOLUME_TOTAL_CALL</stp>
        <stp>29/10/2015</stp>
        <stp>29/10/2015</stp>
        <stp>[Bbg_Market_Data_CL.xlsm]data!R360C15</stp>
        <tr r="O360" s="1"/>
      </tp>
      <tp t="s">
        <v>#N/A Requesting Data...</v>
        <stp/>
        <stp>##V3_BDHV12</stp>
        <stp>CL2 Comdty</stp>
        <stp>VOLUME_TOTAL_CALL</stp>
        <stp>18/12/2015</stp>
        <stp>18/12/2015</stp>
        <stp>[Bbg_Market_Data_CL.xlsm]data!R326C15</stp>
        <tr r="O326" s="1"/>
      </tp>
      <tp t="s">
        <v>#N/A Requesting Data...</v>
        <stp/>
        <stp>##V3_BDHV12</stp>
        <stp>CL2 Comdty</stp>
        <stp>VOLUME_TOTAL_CALL</stp>
        <stp>09/11/2016</stp>
        <stp>09/11/2016</stp>
        <stp>[Bbg_Market_Data_CL.xlsm]data!R104C15</stp>
        <tr r="O104" s="1"/>
      </tp>
      <tp t="s">
        <v>#N/A Requesting Data...</v>
        <stp/>
        <stp>##V3_BDHV12</stp>
        <stp>CL2 Comdty</stp>
        <stp>VOLUME_TOTAL_CALL</stp>
        <stp>19/10/2016</stp>
        <stp>19/10/2016</stp>
        <stp>[Bbg_Market_Data_CL.xlsm]data!R119C15</stp>
        <tr r="O119" s="1"/>
      </tp>
      <tp t="s">
        <v>#N/A Requesting Data...</v>
        <stp/>
        <stp>##V3_BDHV12</stp>
        <stp>CL1 Comdty</stp>
        <stp>VOLUME_TOTAL_CALL</stp>
        <stp>29/03/2016</stp>
        <stp>29/03/2016</stp>
        <stp>[Bbg_Market_Data_CL.xlsm]data!R260C15</stp>
        <tr r="O260" s="1"/>
      </tp>
      <tp t="s">
        <v>#N/A Requesting Data...</v>
        <stp/>
        <stp>##V3_BDHV12</stp>
        <stp>CL1 Comdty</stp>
        <stp>PX_VOLUME</stp>
        <stp>23/09/2016</stp>
        <stp>23/09/2016</stp>
        <stp>[Bbg_Market_Data_CL.xlsm]data!R136C8</stp>
        <tr r="H136" s="1"/>
      </tp>
      <tp>
        <v>205352</v>
        <stp/>
        <stp>##V3_BDHV12</stp>
        <stp>CL2 Comdty</stp>
        <stp>PX_VOLUME</stp>
        <stp>23/09/2016</stp>
        <stp>23/09/2016</stp>
        <stp>[Bbg_Market_Data_CL.xlsm]data!R136C8</stp>
        <tr r="H136" s="1"/>
      </tp>
      <tp>
        <v>273263</v>
        <stp/>
        <stp>##V3_BDHV12</stp>
        <stp>CL2 Comdty</stp>
        <stp>PX_VOLUME</stp>
        <stp>12/08/2015</stp>
        <stp>12/08/2015</stp>
        <stp>[Bbg_Market_Data_CL.xlsm]data!R414C8</stp>
        <tr r="H414" s="1"/>
      </tp>
      <tp t="s">
        <v>#N/A Requesting Data...</v>
        <stp/>
        <stp>##V3_BDHV12</stp>
        <stp>CL1 Comdty</stp>
        <stp>PX_VOLUME</stp>
        <stp>21/08/2015</stp>
        <stp>21/08/2015</stp>
        <stp>[Bbg_Market_Data_CL.xlsm]data!R407C8</stp>
        <tr r="H407" s="1"/>
      </tp>
      <tp t="s">
        <v>#N/A Requesting Data...</v>
        <stp/>
        <stp>##V3_BDHV12</stp>
        <stp>CL1 Comdty</stp>
        <stp>PX_VOLUME</stp>
        <stp>12/08/2015</stp>
        <stp>12/08/2015</stp>
        <stp>[Bbg_Market_Data_CL.xlsm]data!R414C8</stp>
        <tr r="H414" s="1"/>
      </tp>
      <tp>
        <v>88859</v>
        <stp/>
        <stp>##V3_BDHV12</stp>
        <stp>CL2 Comdty</stp>
        <stp>PX_VOLUME</stp>
        <stp>21/08/2015</stp>
        <stp>21/08/2015</stp>
        <stp>[Bbg_Market_Data_CL.xlsm]data!R407C8</stp>
        <tr r="H407" s="1"/>
      </tp>
      <tp t="s">
        <v>#N/A Requesting Data...</v>
        <stp/>
        <stp>##V3_BDHV12</stp>
        <stp>CL1 Comdty</stp>
        <stp>PX_VOLUME</stp>
        <stp>22/09/2015</stp>
        <stp>22/09/2015</stp>
        <stp>[Bbg_Market_Data_CL.xlsm]data!R386C8</stp>
        <tr r="H386" s="1"/>
      </tp>
      <tp t="s">
        <v>#N/A Requesting Data...</v>
        <stp/>
        <stp>##V3_BDHV12</stp>
        <stp>CL1 Comdty</stp>
        <stp>PX_VOLUME</stp>
        <stp>12/09/2016</stp>
        <stp>12/09/2016</stp>
        <stp>[Bbg_Market_Data_CL.xlsm]data!R145C8</stp>
        <tr r="H145" s="1"/>
      </tp>
      <tp>
        <v>315831</v>
        <stp/>
        <stp>##V3_BDHV12</stp>
        <stp>CL2 Comdty</stp>
        <stp>PX_VOLUME</stp>
        <stp>12/09/2016</stp>
        <stp>12/09/2016</stp>
        <stp>[Bbg_Market_Data_CL.xlsm]data!R145C8</stp>
        <tr r="H145" s="1"/>
      </tp>
      <tp>
        <v>345875</v>
        <stp/>
        <stp>##V3_BDHV12</stp>
        <stp>CL2 Comdty</stp>
        <stp>PX_VOLUME</stp>
        <stp>22/09/2015</stp>
        <stp>22/09/2015</stp>
        <stp>[Bbg_Market_Data_CL.xlsm]data!R386C8</stp>
        <tr r="H386" s="1"/>
      </tp>
      <tp>
        <v>242999</v>
        <stp/>
        <stp>##V3_BDHV12</stp>
        <stp>CL2 Comdty</stp>
        <stp>PX_VOLUME</stp>
        <stp>15/08/2016</stp>
        <stp>15/08/2016</stp>
        <stp>[Bbg_Market_Data_CL.xlsm]data!R164C8</stp>
        <tr r="H164" s="1"/>
      </tp>
      <tp t="s">
        <v>#N/A Requesting Data...</v>
        <stp/>
        <stp>##V3_BDHV12</stp>
        <stp>CL1 Comdty</stp>
        <stp>PX_VOLUME</stp>
        <stp>15/08/2016</stp>
        <stp>15/08/2016</stp>
        <stp>[Bbg_Market_Data_CL.xlsm]data!R164C8</stp>
        <tr r="H164" s="1"/>
      </tp>
      <tp>
        <v>127197</v>
        <stp/>
        <stp>##V3_BDHV12</stp>
        <stp>CL2 Comdty</stp>
        <stp>PX_VOLUME</stp>
        <stp>24/08/2016</stp>
        <stp>24/08/2016</stp>
        <stp>[Bbg_Market_Data_CL.xlsm]data!R157C8</stp>
        <tr r="H157" s="1"/>
      </tp>
      <tp t="s">
        <v>#N/A Requesting Data...</v>
        <stp/>
        <stp>##V3_BDHV12</stp>
        <stp>CL1 Comdty</stp>
        <stp>PX_VOLUME</stp>
        <stp>24/08/2016</stp>
        <stp>24/08/2016</stp>
        <stp>[Bbg_Market_Data_CL.xlsm]data!R157C8</stp>
        <tr r="H157" s="1"/>
      </tp>
      <tp>
        <v>71819</v>
        <stp/>
        <stp>##V3_BDHV12</stp>
        <stp>CL2 Comdty</stp>
        <stp>PX_VOLUME</stp>
        <stp>25/07/2016</stp>
        <stp>25/07/2016</stp>
        <stp>[Bbg_Market_Data_CL.xlsm]data!R178C8</stp>
        <tr r="H178" s="1"/>
      </tp>
      <tp t="s">
        <v>#N/A Requesting Data...</v>
        <stp/>
        <stp>##V3_BDHV12</stp>
        <stp>CL1 Comdty</stp>
        <stp>PX_VOLUME</stp>
        <stp>25/07/2016</stp>
        <stp>25/07/2016</stp>
        <stp>[Bbg_Market_Data_CL.xlsm]data!R178C8</stp>
        <tr r="H178" s="1"/>
      </tp>
      <tp t="s">
        <v>#N/A Requesting Data...</v>
        <stp/>
        <stp>##V3_BDHV12</stp>
        <stp>CL1 Comdty</stp>
        <stp>PX_VOLUME</stp>
        <stp>14/04/2016</stp>
        <stp>14/04/2016</stp>
        <stp>[Bbg_Market_Data_CL.xlsm]data!R248C8</stp>
        <tr r="H248" s="1"/>
      </tp>
      <tp>
        <v>260593</v>
        <stp/>
        <stp>##V3_BDHV12</stp>
        <stp>CL2 Comdty</stp>
        <stp>PX_VOLUME</stp>
        <stp>14/04/2016</stp>
        <stp>14/04/2016</stp>
        <stp>[Bbg_Market_Data_CL.xlsm]data!R248C8</stp>
        <tr r="H248" s="1"/>
      </tp>
      <tp t="s">
        <v>#N/A Requesting Data...</v>
        <stp/>
        <stp>##V3_BDHV12</stp>
        <stp>CL1 Comdty</stp>
        <stp>PX_VOLUME</stp>
        <stp>14/04/2015</stp>
        <stp>14/04/2015</stp>
        <stp>[Bbg_Market_Data_CL.xlsm]data!R498C8</stp>
        <tr r="H498" s="1"/>
      </tp>
      <tp t="s">
        <v>#N/A Requesting Data...</v>
        <stp/>
        <stp>##V3_BDHV12</stp>
        <stp>CL2 Comdty</stp>
        <stp>PX_VOLUME</stp>
        <stp>14/04/2015</stp>
        <stp>14/04/2015</stp>
        <stp>[Bbg_Market_Data_CL.xlsm]data!R498C8</stp>
        <tr r="H498" s="1"/>
      </tp>
      <tp t="s">
        <v>#N/A Requesting Data...</v>
        <stp/>
        <stp>##V3_BDHV12</stp>
        <stp>CL2 Comdty</stp>
        <stp>PX_VOLUME</stp>
        <stp>23/06/2015</stp>
        <stp>23/06/2015</stp>
        <stp>[Bbg_Market_Data_CL.xlsm]data!R449C8</stp>
        <tr r="H449" s="1"/>
      </tp>
      <tp t="s">
        <v>#N/A Requesting Data...</v>
        <stp/>
        <stp>##V3_BDHV12</stp>
        <stp>CL1 Comdty</stp>
        <stp>PX_VOLUME</stp>
        <stp>23/06/2015</stp>
        <stp>23/06/2015</stp>
        <stp>[Bbg_Market_Data_CL.xlsm]data!R449C8</stp>
        <tr r="H449" s="1"/>
      </tp>
      <tp t="s">
        <v>#N/A Requesting Data...</v>
        <stp/>
        <stp>##V3_BDHV12</stp>
        <stp>CL1 Comdty</stp>
        <stp>PX_VOLUME</stp>
        <stp>11/05/2016</stp>
        <stp>11/05/2016</stp>
        <stp>[Bbg_Market_Data_CL.xlsm]data!R229C8</stp>
        <tr r="H229" s="1"/>
      </tp>
      <tp>
        <v>358584</v>
        <stp/>
        <stp>##V3_BDHV12</stp>
        <stp>CL2 Comdty</stp>
        <stp>PX_VOLUME</stp>
        <stp>11/05/2016</stp>
        <stp>11/05/2016</stp>
        <stp>[Bbg_Market_Data_CL.xlsm]data!R229C8</stp>
        <tr r="H229" s="1"/>
      </tp>
      <tp t="s">
        <v>#N/A Requesting Data...</v>
        <stp/>
        <stp>##V3_BDHV12</stp>
        <stp>CL2 Comdty</stp>
        <stp>PX_VOLUME</stp>
        <stp>23/07/2015</stp>
        <stp>23/07/2015</stp>
        <stp>[Bbg_Market_Data_CL.xlsm]data!R428C8</stp>
        <tr r="H428" s="1"/>
      </tp>
      <tp t="s">
        <v>#N/A Requesting Data...</v>
        <stp/>
        <stp>##V3_BDHV12</stp>
        <stp>CL1 Comdty</stp>
        <stp>PX_VOLUME</stp>
        <stp>23/07/2015</stp>
        <stp>23/07/2015</stp>
        <stp>[Bbg_Market_Data_CL.xlsm]data!R428C8</stp>
        <tr r="H428" s="1"/>
      </tp>
      <tp t="s">
        <v>#N/A Requesting Data...</v>
        <stp/>
        <stp>##V3_BDHV12</stp>
        <stp>CL1 Comdty</stp>
        <stp>PX_VOLUME</stp>
        <stp>11/05/2015</stp>
        <stp>11/05/2015</stp>
        <stp>[Bbg_Market_Data_CL.xlsm]data!R479C8</stp>
        <tr r="H479" s="1"/>
      </tp>
      <tp t="s">
        <v>#N/A Requesting Data...</v>
        <stp/>
        <stp>##V3_BDHV12</stp>
        <stp>CL2 Comdty</stp>
        <stp>PX_VOLUME</stp>
        <stp>11/05/2015</stp>
        <stp>11/05/2015</stp>
        <stp>[Bbg_Market_Data_CL.xlsm]data!R479C8</stp>
        <tr r="H479" s="1"/>
      </tp>
      <tp t="s">
        <v>#N/A Requesting Data...</v>
        <stp/>
        <stp>##V3_BDHV12</stp>
        <stp>CL1 Comdty</stp>
        <stp>PX_VOLUME</stp>
        <stp>23/06/2016</stp>
        <stp>23/06/2016</stp>
        <stp>[Bbg_Market_Data_CL.xlsm]data!R199C8</stp>
        <tr r="H199" s="1"/>
      </tp>
      <tp>
        <v>95559</v>
        <stp/>
        <stp>##V3_BDHV12</stp>
        <stp>CL2 Comdty</stp>
        <stp>PX_VOLUME</stp>
        <stp>23/06/2016</stp>
        <stp>23/06/2016</stp>
        <stp>[Bbg_Market_Data_CL.xlsm]data!R199C8</stp>
        <tr r="H199" s="1"/>
      </tp>
      <tp t="s">
        <v>#N/A Requesting Data...</v>
        <stp/>
        <stp>##V3_BDHV12</stp>
        <stp>SPGSCLP Index</stp>
        <stp>CHG_PCT_5D</stp>
        <stp>27/03/2017</stp>
        <stp>27/03/2017</stp>
        <stp>[Bbg_Market_Data_CL.xlsm]data!R12C4</stp>
        <tr r="D12" s="1"/>
      </tp>
      <tp t="s">
        <v>#N/A Requesting Data...</v>
        <stp/>
        <stp>##V3_BDHV12</stp>
        <stp>SPGSCLP Index</stp>
        <stp>CHG_PCT_5D</stp>
        <stp>27/12/2016</stp>
        <stp>27/12/2016</stp>
        <stp>[Bbg_Market_Data_CL.xlsm]data!R73C4</stp>
        <tr r="D73" s="1"/>
      </tp>
      <tp t="s">
        <v>#N/A Requesting Data...</v>
        <stp/>
        <stp>##V3_BDHV12</stp>
        <stp>SPGSCLP Index</stp>
        <stp>CHG_PCT_1D</stp>
        <stp>27/12/2016</stp>
        <stp>27/12/2016</stp>
        <stp>[Bbg_Market_Data_CL.xlsm]data!R73C3</stp>
        <tr r="C73" s="1"/>
      </tp>
      <tp t="s">
        <v>#N/A Requesting Data...</v>
        <stp/>
        <stp>##V3_BDHV12</stp>
        <stp>SPGSCLP Index</stp>
        <stp>CHG_PCT_1D</stp>
        <stp>27/03/2017</stp>
        <stp>27/03/2017</stp>
        <stp>[Bbg_Market_Data_CL.xlsm]data!R12C3</stp>
        <tr r="C12" s="1"/>
      </tp>
      <tp t="s">
        <v>#N/A Requesting Data...</v>
        <stp/>
        <stp>##V3_BDHV12</stp>
        <stp>SPGSCLP Index</stp>
        <stp>CHG_PCT_5D</stp>
        <stp>27/02/2017</stp>
        <stp>27/02/2017</stp>
        <stp>[Bbg_Market_Data_CL.xlsm]data!R32C4</stp>
        <tr r="D32" s="1"/>
      </tp>
      <tp t="s">
        <v>#N/A Requesting Data...</v>
        <stp/>
        <stp>##V3_BDHV12</stp>
        <stp>SPGSCLP Index</stp>
        <stp>CHG_PCT_1D</stp>
        <stp>12/01/2017</stp>
        <stp>12/01/2017</stp>
        <stp>[Bbg_Market_Data_CL.xlsm]data!R62C3</stp>
        <tr r="C62" s="1"/>
      </tp>
      <tp t="s">
        <v>#N/A Requesting Data...</v>
        <stp/>
        <stp>##V3_BDHV12</stp>
        <stp>SPGSCLP Index</stp>
        <stp>CHG_PCT_5D</stp>
        <stp>12/01/2017</stp>
        <stp>12/01/2017</stp>
        <stp>[Bbg_Market_Data_CL.xlsm]data!R62C4</stp>
        <tr r="D62" s="1"/>
      </tp>
      <tp t="s">
        <v>#N/A Requesting Data...</v>
        <stp/>
        <stp>##V3_BDHV12</stp>
        <stp>SPGSCLP Index</stp>
        <stp>CHG_PCT_1D</stp>
        <stp>27/02/2017</stp>
        <stp>27/02/2017</stp>
        <stp>[Bbg_Market_Data_CL.xlsm]data!R32C3</stp>
        <tr r="C32" s="1"/>
      </tp>
      <tp t="s">
        <v>#N/A Requesting Data...</v>
        <stp/>
        <stp>##V3_BDHV12</stp>
        <stp>SPGSCLP Index</stp>
        <stp>CHG_PCT_5D</stp>
        <stp>27/01/2017</stp>
        <stp>27/01/2017</stp>
        <stp>[Bbg_Market_Data_CL.xlsm]data!R52C4</stp>
        <tr r="D52" s="1"/>
      </tp>
      <tp t="s">
        <v>#N/A Requesting Data...</v>
        <stp/>
        <stp>##V3_BDHV12</stp>
        <stp>SPGSCLP Index</stp>
        <stp>CHG_PCT_1D</stp>
        <stp>10/02/2017</stp>
        <stp>10/02/2017</stp>
        <stp>[Bbg_Market_Data_CL.xlsm]data!R42C3</stp>
        <tr r="C42" s="1"/>
      </tp>
      <tp t="s">
        <v>#N/A Requesting Data...</v>
        <stp/>
        <stp>##V3_BDHV12</stp>
        <stp>SPGSCLP Index</stp>
        <stp>CHG_PCT_1D</stp>
        <stp>27/01/2017</stp>
        <stp>27/01/2017</stp>
        <stp>[Bbg_Market_Data_CL.xlsm]data!R52C3</stp>
        <tr r="C52" s="1"/>
      </tp>
      <tp t="s">
        <v>#N/A Requesting Data...</v>
        <stp/>
        <stp>##V3_BDHV12</stp>
        <stp>SPGSCLP Index</stp>
        <stp>CHG_PCT_5D</stp>
        <stp>10/02/2017</stp>
        <stp>10/02/2017</stp>
        <stp>[Bbg_Market_Data_CL.xlsm]data!R42C4</stp>
        <tr r="D42" s="1"/>
      </tp>
      <tp t="s">
        <v>#N/A Requesting Data...</v>
        <stp/>
        <stp>##V3_BDHV12</stp>
        <stp>SPGSCLP Index</stp>
        <stp>CHG_PCT_1D</stp>
        <stp>13/03/2017</stp>
        <stp>13/03/2017</stp>
        <stp>[Bbg_Market_Data_CL.xlsm]data!R22C3</stp>
        <tr r="C22" s="1"/>
      </tp>
      <tp t="s">
        <v>#N/A Requesting Data...</v>
        <stp/>
        <stp>##V3_BDHV12</stp>
        <stp>SPGSCLP Index</stp>
        <stp>CHG_PCT_1D</stp>
        <stp>12/12/2016</stp>
        <stp>12/12/2016</stp>
        <stp>[Bbg_Market_Data_CL.xlsm]data!R83C3</stp>
        <tr r="C83" s="1"/>
      </tp>
      <tp t="s">
        <v>#N/A Requesting Data...</v>
        <stp/>
        <stp>##V3_BDHV12</stp>
        <stp>SPGSCLP Index</stp>
        <stp>CHG_PCT_5D</stp>
        <stp>12/12/2016</stp>
        <stp>12/12/2016</stp>
        <stp>[Bbg_Market_Data_CL.xlsm]data!R83C4</stp>
        <tr r="D83" s="1"/>
      </tp>
      <tp t="s">
        <v>#N/A Requesting Data...</v>
        <stp/>
        <stp>##V3_BDHV12</stp>
        <stp>SPGSCLP Index</stp>
        <stp>CHG_PCT_5D</stp>
        <stp>13/03/2017</stp>
        <stp>13/03/2017</stp>
        <stp>[Bbg_Market_Data_CL.xlsm]data!R22C4</stp>
        <tr r="D22" s="1"/>
      </tp>
      <tp t="s">
        <v>#N/A Requesting Data...</v>
        <stp/>
        <stp>##V3_BDHV12</stp>
        <stp>SPGSCLP Index</stp>
        <stp>CHG_PCT_1D</stp>
        <stp>28/11/2016</stp>
        <stp>28/11/2016</stp>
        <stp>[Bbg_Market_Data_CL.xlsm]data!R93C3</stp>
        <tr r="C93" s="1"/>
      </tp>
      <tp t="s">
        <v>#N/A Requesting Data...</v>
        <stp/>
        <stp>##V3_BDHV12</stp>
        <stp>SPGSCLP Index</stp>
        <stp>CHG_PCT_5D</stp>
        <stp>28/11/2016</stp>
        <stp>28/11/2016</stp>
        <stp>[Bbg_Market_Data_CL.xlsm]data!R93C4</stp>
        <tr r="D93" s="1"/>
      </tp>
      <tp t="s">
        <v>#N/A Requesting Data...</v>
        <stp/>
        <stp>##V3_BDHV12</stp>
        <stp>CL2 Comdty</stp>
        <stp>VOLUME_TOTAL_CALL</stp>
        <stp>12/08/2016</stp>
        <stp>12/08/2016</stp>
        <stp>[Bbg_Market_Data_CL.xlsm]data!R165C15</stp>
        <tr r="O165" s="1"/>
      </tp>
      <tp t="s">
        <v>#N/A Requesting Data...</v>
        <stp/>
        <stp>##V3_BDHV12</stp>
        <stp>CL2 Comdty</stp>
        <stp>VOLUME_TOTAL_CALL</stp>
        <stp>02/09/2016</stp>
        <stp>02/09/2016</stp>
        <stp>[Bbg_Market_Data_CL.xlsm]data!R150C15</stp>
        <tr r="O150" s="1"/>
      </tp>
      <tp t="s">
        <v>#N/A Requesting Data...</v>
        <stp/>
        <stp>##V3_BDHV12</stp>
        <stp>CL1 Comdty</stp>
        <stp>VOLUME_TOTAL_CALL</stp>
        <stp>10/09/2015</stp>
        <stp>10/09/2015</stp>
        <stp>[Bbg_Market_Data_CL.xlsm]data!R394C15</stp>
        <tr r="O394" s="1"/>
      </tp>
      <tp t="s">
        <v>#N/A Requesting Data...</v>
        <stp/>
        <stp>##V3_BDHV12</stp>
        <stp>CL2 Comdty</stp>
        <stp>VOLUME_TOTAL_CALL</stp>
        <stp>23/09/2015</stp>
        <stp>23/09/2015</stp>
        <stp>[Bbg_Market_Data_CL.xlsm]data!R385C15</stp>
        <tr r="O385" s="1"/>
      </tp>
      <tp t="s">
        <v>#N/A Requesting Data...</v>
        <stp/>
        <stp>##V3_BDHV12</stp>
        <stp>CL1 Comdty</stp>
        <stp>VOLUME_TOTAL_CALL</stp>
        <stp>20/09/2016</stp>
        <stp>20/09/2016</stp>
        <stp>[Bbg_Market_Data_CL.xlsm]data!R139C15</stp>
        <tr r="O139" s="1"/>
      </tp>
      <tp t="s">
        <v>#N/A Requesting Data...</v>
        <stp/>
        <stp>##V3_BDHV12</stp>
        <stp>CL2 Comdty</stp>
        <stp>VOLUME_TOTAL_CALL</stp>
        <stp>03/08/2016</stp>
        <stp>03/08/2016</stp>
        <stp>[Bbg_Market_Data_CL.xlsm]data!R171C15</stp>
        <tr r="O171" s="1"/>
      </tp>
      <tp t="s">
        <v>#N/A Requesting Data...</v>
        <stp/>
        <stp>##V3_BDHV12</stp>
        <stp>CL1 Comdty</stp>
        <stp>VOLUME_TOTAL_CALL</stp>
        <stp>30/08/2016</stp>
        <stp>30/08/2016</stp>
        <stp>[Bbg_Market_Data_CL.xlsm]data!R153C15</stp>
        <tr r="O153" s="1"/>
      </tp>
      <tp t="s">
        <v>#N/A Requesting Data...</v>
        <stp/>
        <stp>##V3_BDHV12</stp>
        <stp>CL2 Comdty</stp>
        <stp>VOLUME_TOTAL_CALL</stp>
        <stp>13/09/2016</stp>
        <stp>13/09/2016</stp>
        <stp>[Bbg_Market_Data_CL.xlsm]data!R144C15</stp>
        <tr r="O144" s="1"/>
      </tp>
      <tp t="s">
        <v>#N/A Requesting Data...</v>
        <stp/>
        <stp>##V3_BDHV12</stp>
        <stp>CL2 Comdty</stp>
        <stp>VOLUME_TOTAL_CALL</stp>
        <stp>20/09/2016</stp>
        <stp>20/09/2016</stp>
        <stp>[Bbg_Market_Data_CL.xlsm]data!R139C15</stp>
        <tr r="O139" s="1"/>
      </tp>
      <tp t="s">
        <v>#N/A Requesting Data...</v>
        <stp/>
        <stp>##V3_BDHV12</stp>
        <stp>CL1 Comdty</stp>
        <stp>VOLUME_TOTAL_CALL</stp>
        <stp>03/08/2016</stp>
        <stp>03/08/2016</stp>
        <stp>[Bbg_Market_Data_CL.xlsm]data!R171C15</stp>
        <tr r="O171" s="1"/>
      </tp>
      <tp t="s">
        <v>#N/A Requesting Data...</v>
        <stp/>
        <stp>##V3_BDHV12</stp>
        <stp>CL2 Comdty</stp>
        <stp>VOLUME_TOTAL_CALL</stp>
        <stp>30/08/2016</stp>
        <stp>30/08/2016</stp>
        <stp>[Bbg_Market_Data_CL.xlsm]data!R153C15</stp>
        <tr r="O153" s="1"/>
      </tp>
      <tp t="s">
        <v>#N/A Requesting Data...</v>
        <stp/>
        <stp>##V3_BDHV12</stp>
        <stp>CL1 Comdty</stp>
        <stp>VOLUME_TOTAL_CALL</stp>
        <stp>13/09/2016</stp>
        <stp>13/09/2016</stp>
        <stp>[Bbg_Market_Data_CL.xlsm]data!R144C15</stp>
        <tr r="O144" s="1"/>
      </tp>
      <tp t="s">
        <v>#N/A Requesting Data...</v>
        <stp/>
        <stp>##V3_BDHV12</stp>
        <stp>CL1 Comdty</stp>
        <stp>VOLUME_TOTAL_CALL</stp>
        <stp>12/08/2016</stp>
        <stp>12/08/2016</stp>
        <stp>[Bbg_Market_Data_CL.xlsm]data!R165C15</stp>
        <tr r="O165" s="1"/>
      </tp>
      <tp t="s">
        <v>#N/A Requesting Data...</v>
        <stp/>
        <stp>##V3_BDHV12</stp>
        <stp>CL1 Comdty</stp>
        <stp>VOLUME_TOTAL_CALL</stp>
        <stp>02/09/2016</stp>
        <stp>02/09/2016</stp>
        <stp>[Bbg_Market_Data_CL.xlsm]data!R150C15</stp>
        <tr r="O150" s="1"/>
      </tp>
      <tp t="s">
        <v>#N/A Requesting Data...</v>
        <stp/>
        <stp>##V3_BDHV12</stp>
        <stp>CL2 Comdty</stp>
        <stp>VOLUME_TOTAL_CALL</stp>
        <stp>10/09/2015</stp>
        <stp>10/09/2015</stp>
        <stp>[Bbg_Market_Data_CL.xlsm]data!R394C15</stp>
        <tr r="O394" s="1"/>
      </tp>
      <tp t="s">
        <v>#N/A Requesting Data...</v>
        <stp/>
        <stp>##V3_BDHV12</stp>
        <stp>CL1 Comdty</stp>
        <stp>VOLUME_TOTAL_CALL</stp>
        <stp>23/09/2015</stp>
        <stp>23/09/2015</stp>
        <stp>[Bbg_Market_Data_CL.xlsm]data!R385C15</stp>
        <tr r="O385" s="1"/>
      </tp>
      <tp t="s">
        <v>#N/A Requesting Data...</v>
        <stp/>
        <stp>##V3_BDHV12</stp>
        <stp>CL2 Comdty</stp>
        <stp>VOLUME_TOTAL_CALL</stp>
        <stp>11/08/2015</stp>
        <stp>11/08/2015</stp>
        <stp>[Bbg_Market_Data_CL.xlsm]data!R415C15</stp>
        <tr r="O415" s="1"/>
      </tp>
      <tp t="s">
        <v>#N/A Requesting Data...</v>
        <stp/>
        <stp>##V3_BDHV12</stp>
        <stp>CL2 Comdty</stp>
        <stp>VOLUME_TOTAL_CALL</stp>
        <stp>01/09/2015</stp>
        <stp>01/09/2015</stp>
        <stp>[Bbg_Market_Data_CL.xlsm]data!R400C15</stp>
        <tr r="O400" s="1"/>
      </tp>
      <tp t="s">
        <v>#N/A Requesting Data...</v>
        <stp/>
        <stp>##V3_BDHV12</stp>
        <stp>CL1 Comdty</stp>
        <stp>VOLUME_TOTAL_CALL</stp>
        <stp>11/08/2015</stp>
        <stp>11/08/2015</stp>
        <stp>[Bbg_Market_Data_CL.xlsm]data!R415C15</stp>
        <tr r="O415" s="1"/>
      </tp>
      <tp t="s">
        <v>#N/A Requesting Data...</v>
        <stp/>
        <stp>##V3_BDHV12</stp>
        <stp>CL1 Comdty</stp>
        <stp>VOLUME_TOTAL_CALL</stp>
        <stp>01/09/2015</stp>
        <stp>01/09/2015</stp>
        <stp>[Bbg_Market_Data_CL.xlsm]data!R400C15</stp>
        <tr r="O400" s="1"/>
      </tp>
      <tp t="s">
        <v>#N/A Requesting Data...</v>
        <stp/>
        <stp>##V3_BDHV12</stp>
        <stp>CL1 Comdty</stp>
        <stp>VOLUME_TOTAL_CALL</stp>
        <stp>28/12/2015</stp>
        <stp>28/12/2015</stp>
        <stp>[Bbg_Market_Data_CL.xlsm]data!R321C15</stp>
        <tr r="O321" s="1"/>
      </tp>
      <tp t="s">
        <v>#N/A Requesting Data...</v>
        <stp/>
        <stp>##V3_BDHV12</stp>
        <stp>CL2 Comdty</stp>
        <stp>VOLUME_TOTAL_CALL</stp>
        <stp>28/01/2016</stp>
        <stp>28/01/2016</stp>
        <stp>[Bbg_Market_Data_CL.xlsm]data!R300C15</stp>
        <tr r="O300" s="1"/>
      </tp>
      <tp t="s">
        <v>#N/A Requesting Data...</v>
        <stp/>
        <stp>##V3_BDHV12</stp>
        <stp>CL1 Comdty</stp>
        <stp>VOLUME_TOTAL_CALL</stp>
        <stp>08/10/2015</stp>
        <stp>08/10/2015</stp>
        <stp>[Bbg_Market_Data_CL.xlsm]data!R374C15</stp>
        <tr r="O374" s="1"/>
      </tp>
      <tp t="s">
        <v>#N/A Requesting Data...</v>
        <stp/>
        <stp>##V3_BDHV12</stp>
        <stp>CL1 Comdty</stp>
        <stp>VOLUME_TOTAL_CALL</stp>
        <stp>18/11/2015</stp>
        <stp>18/11/2015</stp>
        <stp>[Bbg_Market_Data_CL.xlsm]data!R347C15</stp>
        <tr r="O347" s="1"/>
      </tp>
      <tp t="s">
        <v>#N/A Requesting Data...</v>
        <stp/>
        <stp>##V3_BDHV12</stp>
        <stp>CL2 Comdty</stp>
        <stp>VOLUME_TOTAL_CALL</stp>
        <stp>09/02/2016</stp>
        <stp>09/02/2016</stp>
        <stp>[Bbg_Market_Data_CL.xlsm]data!R292C15</stp>
        <tr r="O292" s="1"/>
      </tp>
      <tp t="s">
        <v>#N/A Requesting Data...</v>
        <stp/>
        <stp>##V3_BDHV12</stp>
        <stp>CL1 Comdty</stp>
        <stp>VOLUME_TOTAL_CALL</stp>
        <stp>19/10/2015</stp>
        <stp>19/10/2015</stp>
        <stp>[Bbg_Market_Data_CL.xlsm]data!R368C15</stp>
        <tr r="O368" s="1"/>
      </tp>
      <tp t="s">
        <v>#N/A Requesting Data...</v>
        <stp/>
        <stp>##V3_BDHV12</stp>
        <stp>CL2 Comdty</stp>
        <stp>VOLUME_TOTAL_CALL</stp>
        <stp>08/03/2016</stp>
        <stp>08/03/2016</stp>
        <stp>[Bbg_Market_Data_CL.xlsm]data!R274C15</stp>
        <tr r="O274" s="1"/>
      </tp>
      <tp t="s">
        <v>#N/A Requesting Data...</v>
        <stp/>
        <stp>##V3_BDHV12</stp>
        <stp>CL1 Comdty</stp>
        <stp>VOLUME_TOTAL_CALL</stp>
        <stp>09/11/2015</stp>
        <stp>09/11/2015</stp>
        <stp>[Bbg_Market_Data_CL.xlsm]data!R353C15</stp>
        <tr r="O353" s="1"/>
      </tp>
      <tp t="s">
        <v>#N/A Requesting Data...</v>
        <stp/>
        <stp>##V3_BDHV12</stp>
        <stp>CL2 Comdty</stp>
        <stp>VOLUME_TOTAL_CALL</stp>
        <stp>18/02/2016</stp>
        <stp>18/02/2016</stp>
        <stp>[Bbg_Market_Data_CL.xlsm]data!R287C15</stp>
        <tr r="O287" s="1"/>
      </tp>
      <tp t="s">
        <v>#N/A Requesting Data...</v>
        <stp/>
        <stp>##V3_BDHV12</stp>
        <stp>CL2 Comdty</stp>
        <stp>VOLUME_TOTAL_CALL</stp>
        <stp>19/10/2015</stp>
        <stp>19/10/2015</stp>
        <stp>[Bbg_Market_Data_CL.xlsm]data!R368C15</stp>
        <tr r="O368" s="1"/>
      </tp>
      <tp t="s">
        <v>#N/A Requesting Data...</v>
        <stp/>
        <stp>##V3_BDHV12</stp>
        <stp>CL1 Comdty</stp>
        <stp>VOLUME_TOTAL_CALL</stp>
        <stp>08/03/2016</stp>
        <stp>08/03/2016</stp>
        <stp>[Bbg_Market_Data_CL.xlsm]data!R274C15</stp>
        <tr r="O274" s="1"/>
      </tp>
      <tp t="s">
        <v>#N/A Requesting Data...</v>
        <stp/>
        <stp>##V3_BDHV12</stp>
        <stp>CL2 Comdty</stp>
        <stp>VOLUME_TOTAL_CALL</stp>
        <stp>09/11/2015</stp>
        <stp>09/11/2015</stp>
        <stp>[Bbg_Market_Data_CL.xlsm]data!R353C15</stp>
        <tr r="O353" s="1"/>
      </tp>
      <tp t="s">
        <v>#N/A Requesting Data...</v>
        <stp/>
        <stp>##V3_BDHV12</stp>
        <stp>CL1 Comdty</stp>
        <stp>VOLUME_TOTAL_CALL</stp>
        <stp>18/02/2016</stp>
        <stp>18/02/2016</stp>
        <stp>[Bbg_Market_Data_CL.xlsm]data!R287C15</stp>
        <tr r="O287" s="1"/>
      </tp>
      <tp t="s">
        <v>#N/A Requesting Data...</v>
        <stp/>
        <stp>##V3_BDHV12</stp>
        <stp>CL2 Comdty</stp>
        <stp>VOLUME_TOTAL_CALL</stp>
        <stp>28/12/2015</stp>
        <stp>28/12/2015</stp>
        <stp>[Bbg_Market_Data_CL.xlsm]data!R321C15</stp>
        <tr r="O321" s="1"/>
      </tp>
      <tp t="s">
        <v>#N/A Requesting Data...</v>
        <stp/>
        <stp>##V3_BDHV12</stp>
        <stp>CL1 Comdty</stp>
        <stp>VOLUME_TOTAL_CALL</stp>
        <stp>28/01/2016</stp>
        <stp>28/01/2016</stp>
        <stp>[Bbg_Market_Data_CL.xlsm]data!R300C15</stp>
        <tr r="O300" s="1"/>
      </tp>
      <tp t="s">
        <v>#N/A Requesting Data...</v>
        <stp/>
        <stp>##V3_BDHV12</stp>
        <stp>CL2 Comdty</stp>
        <stp>VOLUME_TOTAL_CALL</stp>
        <stp>08/10/2015</stp>
        <stp>08/10/2015</stp>
        <stp>[Bbg_Market_Data_CL.xlsm]data!R374C15</stp>
        <tr r="O374" s="1"/>
      </tp>
      <tp t="s">
        <v>#N/A Requesting Data...</v>
        <stp/>
        <stp>##V3_BDHV12</stp>
        <stp>CL2 Comdty</stp>
        <stp>VOLUME_TOTAL_CALL</stp>
        <stp>18/11/2015</stp>
        <stp>18/11/2015</stp>
        <stp>[Bbg_Market_Data_CL.xlsm]data!R347C15</stp>
        <tr r="O347" s="1"/>
      </tp>
      <tp t="s">
        <v>#N/A Requesting Data...</v>
        <stp/>
        <stp>##V3_BDHV12</stp>
        <stp>CL1 Comdty</stp>
        <stp>VOLUME_TOTAL_CALL</stp>
        <stp>09/02/2016</stp>
        <stp>09/02/2016</stp>
        <stp>[Bbg_Market_Data_CL.xlsm]data!R292C15</stp>
        <tr r="O292" s="1"/>
      </tp>
      <tp>
        <v>255727</v>
        <stp/>
        <stp>##V3_BDHV12</stp>
        <stp>CL2 Comdty</stp>
        <stp>PX_VOLUME</stp>
        <stp>10/08/2016</stp>
        <stp>10/08/2016</stp>
        <stp>[Bbg_Market_Data_CL.xlsm]data!R167C8</stp>
        <tr r="H167" s="1"/>
      </tp>
      <tp t="s">
        <v>#N/A Requesting Data...</v>
        <stp/>
        <stp>##V3_BDHV12</stp>
        <stp>CL1 Comdty</stp>
        <stp>PX_VOLUME</stp>
        <stp>10/08/2016</stp>
        <stp>10/08/2016</stp>
        <stp>[Bbg_Market_Data_CL.xlsm]data!R167C8</stp>
        <tr r="H167" s="1"/>
      </tp>
      <tp t="s">
        <v>#N/A Requesting Data...</v>
        <stp/>
        <stp>##V3_BDHV12</stp>
        <stp>CL1 Comdty</stp>
        <stp>PX_VOLUME</stp>
        <stp>23/09/2015</stp>
        <stp>23/09/2015</stp>
        <stp>[Bbg_Market_Data_CL.xlsm]data!R385C8</stp>
        <tr r="H385" s="1"/>
      </tp>
      <tp>
        <v>113848</v>
        <stp/>
        <stp>##V3_BDHV12</stp>
        <stp>CL2 Comdty</stp>
        <stp>PX_VOLUME</stp>
        <stp>23/09/2015</stp>
        <stp>23/09/2015</stp>
        <stp>[Bbg_Market_Data_CL.xlsm]data!R385C8</stp>
        <tr r="H385" s="1"/>
      </tp>
      <tp t="s">
        <v>#N/A Requesting Data...</v>
        <stp/>
        <stp>##V3_BDHV12</stp>
        <stp>CL1 Comdty</stp>
        <stp>PX_VOLUME</stp>
        <stp>08/07/2015</stp>
        <stp>08/07/2015</stp>
        <stp>[Bbg_Market_Data_CL.xlsm]data!R439C8</stp>
        <tr r="H439" s="1"/>
      </tp>
      <tp t="s">
        <v>#N/A Requesting Data...</v>
        <stp/>
        <stp>##V3_BDHV12</stp>
        <stp>CL2 Comdty</stp>
        <stp>PX_VOLUME</stp>
        <stp>08/07/2015</stp>
        <stp>08/07/2015</stp>
        <stp>[Bbg_Market_Data_CL.xlsm]data!R439C8</stp>
        <tr r="H439" s="1"/>
      </tp>
      <tp t="s">
        <v>#N/A Requesting Data...</v>
        <stp/>
        <stp>##V3_BDHV12</stp>
        <stp>CL1 Comdty</stp>
        <stp>PX_VOLUME</stp>
        <stp>28/04/2015</stp>
        <stp>28/04/2015</stp>
        <stp>[Bbg_Market_Data_CL.xlsm]data!R488C8</stp>
        <tr r="H488" s="1"/>
      </tp>
      <tp t="s">
        <v>#N/A Requesting Data...</v>
        <stp/>
        <stp>##V3_BDHV12</stp>
        <stp>CL2 Comdty</stp>
        <stp>PX_VOLUME</stp>
        <stp>28/04/2015</stp>
        <stp>28/04/2015</stp>
        <stp>[Bbg_Market_Data_CL.xlsm]data!R488C8</stp>
        <tr r="H488" s="1"/>
      </tp>
      <tp t="s">
        <v>#N/A Requesting Data...</v>
        <stp/>
        <stp>##V3_BDHV12</stp>
        <stp>CL1 Comdty</stp>
        <stp>PX_VOLUME</stp>
        <stp>26/09/2016</stp>
        <stp>26/09/2016</stp>
        <stp>[Bbg_Market_Data_CL.xlsm]data!R135C8</stp>
        <tr r="H135" s="1"/>
      </tp>
      <tp>
        <v>146465</v>
        <stp/>
        <stp>##V3_BDHV12</stp>
        <stp>CL2 Comdty</stp>
        <stp>PX_VOLUME</stp>
        <stp>26/09/2016</stp>
        <stp>26/09/2016</stp>
        <stp>[Bbg_Market_Data_CL.xlsm]data!R135C8</stp>
        <tr r="H135" s="1"/>
      </tp>
      <tp t="s">
        <v>#N/A Requesting Data...</v>
        <stp/>
        <stp>##V3_BDHV12</stp>
        <stp>CL1 Comdty</stp>
        <stp>PX_VOLUME</stp>
        <stp>28/04/2016</stp>
        <stp>28/04/2016</stp>
        <stp>[Bbg_Market_Data_CL.xlsm]data!R238C8</stp>
        <tr r="H238" s="1"/>
      </tp>
      <tp>
        <v>110355</v>
        <stp/>
        <stp>##V3_BDHV12</stp>
        <stp>CL2 Comdty</stp>
        <stp>PX_VOLUME</stp>
        <stp>28/04/2016</stp>
        <stp>28/04/2016</stp>
        <stp>[Bbg_Market_Data_CL.xlsm]data!R238C8</stp>
        <tr r="H238" s="1"/>
      </tp>
      <tp>
        <v>100450</v>
        <stp/>
        <stp>##V3_BDHV12</stp>
        <stp>CL2 Comdty</stp>
        <stp>PX_VOLUME</stp>
        <stp>04/09/2015</stp>
        <stp>04/09/2015</stp>
        <stp>[Bbg_Market_Data_CL.xlsm]data!R397C8</stp>
        <tr r="H397" s="1"/>
      </tp>
      <tp t="s">
        <v>#N/A Requesting Data...</v>
        <stp/>
        <stp>##V3_BDHV12</stp>
        <stp>CL1 Comdty</stp>
        <stp>PX_VOLUME</stp>
        <stp>04/09/2015</stp>
        <stp>04/09/2015</stp>
        <stp>[Bbg_Market_Data_CL.xlsm]data!R397C8</stp>
        <tr r="H397" s="1"/>
      </tp>
      <tp>
        <v>239732</v>
        <stp/>
        <stp>##V3_BDHV12</stp>
        <stp>CL2 Comdty</stp>
        <stp>PX_VOLUME</stp>
        <stp>08/07/2016</stp>
        <stp>08/07/2016</stp>
        <stp>[Bbg_Market_Data_CL.xlsm]data!R189C8</stp>
        <tr r="H189" s="1"/>
      </tp>
      <tp t="s">
        <v>#N/A Requesting Data...</v>
        <stp/>
        <stp>##V3_BDHV12</stp>
        <stp>CL1 Comdty</stp>
        <stp>PX_VOLUME</stp>
        <stp>08/07/2016</stp>
        <stp>08/07/2016</stp>
        <stp>[Bbg_Market_Data_CL.xlsm]data!R189C8</stp>
        <tr r="H189" s="1"/>
      </tp>
      <tp>
        <v>97690</v>
        <stp/>
        <stp>##V3_BDHV12</stp>
        <stp>CL2 Comdty</stp>
        <stp>PX_VOLUME</stp>
        <stp>26/08/2015</stp>
        <stp>26/08/2015</stp>
        <stp>[Bbg_Market_Data_CL.xlsm]data!R404C8</stp>
        <tr r="H404" s="1"/>
      </tp>
      <tp t="s">
        <v>#N/A Requesting Data...</v>
        <stp/>
        <stp>##V3_BDHV12</stp>
        <stp>CL1 Comdty</stp>
        <stp>PX_VOLUME</stp>
        <stp>26/08/2015</stp>
        <stp>26/08/2015</stp>
        <stp>[Bbg_Market_Data_CL.xlsm]data!R404C8</stp>
        <tr r="H404" s="1"/>
      </tp>
      <tp>
        <v>295618</v>
        <stp/>
        <stp>##V3_BDHV12</stp>
        <stp>CL2 Comdty</stp>
        <stp>PX_VOLUME</stp>
        <stp>08/09/2016</stp>
        <stp>08/09/2016</stp>
        <stp>[Bbg_Market_Data_CL.xlsm]data!R147C8</stp>
        <tr r="H147" s="1"/>
      </tp>
      <tp t="s">
        <v>#N/A Requesting Data...</v>
        <stp/>
        <stp>##V3_BDHV12</stp>
        <stp>CL1 Comdty</stp>
        <stp>PX_VOLUME</stp>
        <stp>08/09/2016</stp>
        <stp>08/09/2016</stp>
        <stp>[Bbg_Market_Data_CL.xlsm]data!R147C8</stp>
        <tr r="H147" s="1"/>
      </tp>
      <tp t="s">
        <v>#N/A Requesting Data...</v>
        <stp/>
        <stp>##V3_BDHV12</stp>
        <stp>CL2 Comdty</stp>
        <stp>PX_VOLUME</stp>
        <stp>26/05/2015</stp>
        <stp>26/05/2015</stp>
        <stp>[Bbg_Market_Data_CL.xlsm]data!R469C8</stp>
        <tr r="H469" s="1"/>
      </tp>
      <tp t="s">
        <v>#N/A Requesting Data...</v>
        <stp/>
        <stp>##V3_BDHV12</stp>
        <stp>CL1 Comdty</stp>
        <stp>PX_VOLUME</stp>
        <stp>26/05/2015</stp>
        <stp>26/05/2015</stp>
        <stp>[Bbg_Market_Data_CL.xlsm]data!R469C8</stp>
        <tr r="H469" s="1"/>
      </tp>
      <tp t="s">
        <v>#N/A Requesting Data...</v>
        <stp/>
        <stp>##V3_BDHV12</stp>
        <stp>CL1 Comdty</stp>
        <stp>PX_VOLUME</stp>
        <stp>25/05/2016</stp>
        <stp>25/05/2016</stp>
        <stp>[Bbg_Market_Data_CL.xlsm]data!R219C8</stp>
        <tr r="H219" s="1"/>
      </tp>
      <tp>
        <v>104008</v>
        <stp/>
        <stp>##V3_BDHV12</stp>
        <stp>CL2 Comdty</stp>
        <stp>PX_VOLUME</stp>
        <stp>25/05/2016</stp>
        <stp>25/05/2016</stp>
        <stp>[Bbg_Market_Data_CL.xlsm]data!R219C8</stp>
        <tr r="H219" s="1"/>
      </tp>
      <tp>
        <v>59423</v>
        <stp/>
        <stp>##V3_BDHV12</stp>
        <stp>CL2 Comdty</stp>
        <stp>PX_VOLUME</stp>
        <stp>29/08/2016</stp>
        <stp>29/08/2016</stp>
        <stp>[Bbg_Market_Data_CL.xlsm]data!R154C8</stp>
        <tr r="H154" s="1"/>
      </tp>
      <tp t="s">
        <v>#N/A Requesting Data...</v>
        <stp/>
        <stp>##V3_BDHV12</stp>
        <stp>CL1 Comdty</stp>
        <stp>PX_VOLUME</stp>
        <stp>29/08/2016</stp>
        <stp>29/08/2016</stp>
        <stp>[Bbg_Market_Data_CL.xlsm]data!R154C8</stp>
        <tr r="H154" s="1"/>
      </tp>
      <tp>
        <v>249914</v>
        <stp/>
        <stp>##V3_BDHV12</stp>
        <stp>CL2 Comdty</stp>
        <stp>PX_VOLUME</stp>
        <stp>11/07/2016</stp>
        <stp>11/07/2016</stp>
        <stp>[Bbg_Market_Data_CL.xlsm]data!R188C8</stp>
        <tr r="H188" s="1"/>
      </tp>
      <tp t="s">
        <v>#N/A Requesting Data...</v>
        <stp/>
        <stp>##V3_BDHV12</stp>
        <stp>CL1 Comdty</stp>
        <stp>PX_VOLUME</stp>
        <stp>11/07/2016</stp>
        <stp>11/07/2016</stp>
        <stp>[Bbg_Market_Data_CL.xlsm]data!R188C8</stp>
        <tr r="H188" s="1"/>
      </tp>
      <tp t="s">
        <v>#N/A Requesting Data...</v>
        <stp/>
        <stp>##V3_BDHV12</stp>
        <stp>SPGSCLP Index</stp>
        <stp>CHG_PCT_1D</stp>
        <stp>28/03/2017</stp>
        <stp>28/03/2017</stp>
        <stp>[Bbg_Market_Data_CL.xlsm]data!R11C3</stp>
        <tr r="C11" s="1"/>
      </tp>
      <tp t="s">
        <v>#N/A Requesting Data...</v>
        <stp/>
        <stp>##V3_BDHV12</stp>
        <stp>SPGSCLP Index</stp>
        <stp>CHG_PCT_5D</stp>
        <stp>28/03/2017</stp>
        <stp>28/03/2017</stp>
        <stp>[Bbg_Market_Data_CL.xlsm]data!R11C4</stp>
        <tr r="D11" s="1"/>
      </tp>
      <tp t="s">
        <v>#N/A Requesting Data...</v>
        <stp/>
        <stp>##V3_BDHV12</stp>
        <stp>SPGSCLP Index</stp>
        <stp>CHG_PCT_1D</stp>
        <stp>30/12/2016</stp>
        <stp>30/12/2016</stp>
        <stp>[Bbg_Market_Data_CL.xlsm]data!R70C3</stp>
        <tr r="C70" s="1"/>
      </tp>
      <tp t="s">
        <v>#N/A Requesting Data...</v>
        <stp/>
        <stp>##V3_BDHV12</stp>
        <stp>SPGSCLP Index</stp>
        <stp>CHG_PCT_1D</stp>
        <stp>13/01/2017</stp>
        <stp>13/01/2017</stp>
        <stp>[Bbg_Market_Data_CL.xlsm]data!R61C3</stp>
        <tr r="C61" s="1"/>
      </tp>
      <tp t="s">
        <v>#N/A Requesting Data...</v>
        <stp/>
        <stp>##V3_BDHV12</stp>
        <stp>SPGSCLP Index</stp>
        <stp>CHG_PCT_5D</stp>
        <stp>13/01/2017</stp>
        <stp>13/01/2017</stp>
        <stp>[Bbg_Market_Data_CL.xlsm]data!R61C4</stp>
        <tr r="D61" s="1"/>
      </tp>
      <tp t="s">
        <v>#N/A Requesting Data...</v>
        <stp/>
        <stp>##V3_BDHV12</stp>
        <stp>SPGSCLP Index</stp>
        <stp>CHG_PCT_5D</stp>
        <stp>30/12/2016</stp>
        <stp>30/12/2016</stp>
        <stp>[Bbg_Market_Data_CL.xlsm]data!R70C4</stp>
        <tr r="D70" s="1"/>
      </tp>
      <tp t="s">
        <v>#N/A Requesting Data...</v>
        <stp/>
        <stp>##V3_BDHV12</stp>
        <stp>SPGSCLP Index</stp>
        <stp>CHG_PCT_1D</stp>
        <stp>28/02/2017</stp>
        <stp>28/02/2017</stp>
        <stp>[Bbg_Market_Data_CL.xlsm]data!R31C3</stp>
        <tr r="C31" s="1"/>
      </tp>
      <tp t="s">
        <v>#N/A Requesting Data...</v>
        <stp/>
        <stp>##V3_BDHV12</stp>
        <stp>SPGSCLP Index</stp>
        <stp>CHG_PCT_5D</stp>
        <stp>28/02/2017</stp>
        <stp>28/02/2017</stp>
        <stp>[Bbg_Market_Data_CL.xlsm]data!R31C4</stp>
        <tr r="D31" s="1"/>
      </tp>
      <tp t="s">
        <v>#N/A Requesting Data...</v>
        <stp/>
        <stp>##V3_BDHV12</stp>
        <stp>SPGSCLP Index</stp>
        <stp>CHG_PCT_1D</stp>
        <stp>13/02/2017</stp>
        <stp>13/02/2017</stp>
        <stp>[Bbg_Market_Data_CL.xlsm]data!R41C3</stp>
        <tr r="C41" s="1"/>
      </tp>
      <tp t="s">
        <v>#N/A Requesting Data...</v>
        <stp/>
        <stp>##V3_BDHV12</stp>
        <stp>SPGSCLP Index</stp>
        <stp>CHG_PCT_1D</stp>
        <stp>01/12/2016</stp>
        <stp>01/12/2016</stp>
        <stp>[Bbg_Market_Data_CL.xlsm]data!R90C3</stp>
        <tr r="C90" s="1"/>
      </tp>
      <tp t="s">
        <v>#N/A Requesting Data...</v>
        <stp/>
        <stp>##V3_BDHV12</stp>
        <stp>SPGSCLP Index</stp>
        <stp>CHG_PCT_5D</stp>
        <stp>01/12/2016</stp>
        <stp>01/12/2016</stp>
        <stp>[Bbg_Market_Data_CL.xlsm]data!R90C4</stp>
        <tr r="D90" s="1"/>
      </tp>
      <tp t="s">
        <v>#N/A Requesting Data...</v>
        <stp/>
        <stp>##V3_BDHV12</stp>
        <stp>SPGSCLP Index</stp>
        <stp>CHG_PCT_5D</stp>
        <stp>13/02/2017</stp>
        <stp>13/02/2017</stp>
        <stp>[Bbg_Market_Data_CL.xlsm]data!R41C4</stp>
        <tr r="D41" s="1"/>
      </tp>
      <tp t="s">
        <v>#N/A Requesting Data...</v>
        <stp/>
        <stp>##V3_BDHV12</stp>
        <stp>SPGSCLP Index</stp>
        <stp>CHG_PCT_5D</stp>
        <stp>14/03/2017</stp>
        <stp>14/03/2017</stp>
        <stp>[Bbg_Market_Data_CL.xlsm]data!R21C4</stp>
        <tr r="D21" s="1"/>
      </tp>
      <tp t="s">
        <v>#N/A Requesting Data...</v>
        <stp/>
        <stp>##V3_BDHV12</stp>
        <stp>SPGSCLP Index</stp>
        <stp>CHG_PCT_5D</stp>
        <stp>15/12/2016</stp>
        <stp>15/12/2016</stp>
        <stp>[Bbg_Market_Data_CL.xlsm]data!R80C4</stp>
        <tr r="D80" s="1"/>
      </tp>
      <tp t="s">
        <v>#N/A Requesting Data...</v>
        <stp/>
        <stp>##V3_BDHV12</stp>
        <stp>SPGSCLP Index</stp>
        <stp>CHG_PCT_1D</stp>
        <stp>30/01/2017</stp>
        <stp>30/01/2017</stp>
        <stp>[Bbg_Market_Data_CL.xlsm]data!R51C3</stp>
        <tr r="C51" s="1"/>
      </tp>
      <tp t="s">
        <v>#N/A Requesting Data...</v>
        <stp/>
        <stp>##V3_BDHV12</stp>
        <stp>SPGSCLP Index</stp>
        <stp>CHG_PCT_5D</stp>
        <stp>30/01/2017</stp>
        <stp>30/01/2017</stp>
        <stp>[Bbg_Market_Data_CL.xlsm]data!R51C4</stp>
        <tr r="D51" s="1"/>
      </tp>
      <tp t="s">
        <v>#N/A Requesting Data...</v>
        <stp/>
        <stp>##V3_BDHV12</stp>
        <stp>SPGSCLP Index</stp>
        <stp>CHG_PCT_1D</stp>
        <stp>15/12/2016</stp>
        <stp>15/12/2016</stp>
        <stp>[Bbg_Market_Data_CL.xlsm]data!R80C3</stp>
        <tr r="C80" s="1"/>
      </tp>
      <tp t="s">
        <v>#N/A Requesting Data...</v>
        <stp/>
        <stp>##V3_BDHV12</stp>
        <stp>SPGSCLP Index</stp>
        <stp>CHG_PCT_1D</stp>
        <stp>14/03/2017</stp>
        <stp>14/03/2017</stp>
        <stp>[Bbg_Market_Data_CL.xlsm]data!R21C3</stp>
        <tr r="C21" s="1"/>
      </tp>
      <tp t="s">
        <v>#N/A Requesting Data...</v>
        <stp/>
        <stp>##V3_BDHV12</stp>
        <stp>CL1 Comdty</stp>
        <stp>VOLUME_TOTAL_CALL</stp>
        <stp>21/09/2016</stp>
        <stp>21/09/2016</stp>
        <stp>[Bbg_Market_Data_CL.xlsm]data!R138C15</stp>
        <tr r="O138" s="1"/>
      </tp>
      <tp t="s">
        <v>#N/A Requesting Data...</v>
        <stp/>
        <stp>##V3_BDHV12</stp>
        <stp>CL2 Comdty</stp>
        <stp>VOLUME_TOTAL_CALL</stp>
        <stp>02/08/2016</stp>
        <stp>02/08/2016</stp>
        <stp>[Bbg_Market_Data_CL.xlsm]data!R172C15</stp>
        <tr r="O172" s="1"/>
      </tp>
      <tp t="s">
        <v>#N/A Requesting Data...</v>
        <stp/>
        <stp>##V3_BDHV12</stp>
        <stp>CL1 Comdty</stp>
        <stp>VOLUME_TOTAL_CALL</stp>
        <stp>31/08/2016</stp>
        <stp>31/08/2016</stp>
        <stp>[Bbg_Market_Data_CL.xlsm]data!R152C15</stp>
        <tr r="O152" s="1"/>
      </tp>
      <tp t="s">
        <v>#N/A Requesting Data...</v>
        <stp/>
        <stp>##V3_BDHV12</stp>
        <stp>CL2 Comdty</stp>
        <stp>VOLUME_TOTAL_CALL</stp>
        <stp>12/09/2016</stp>
        <stp>12/09/2016</stp>
        <stp>[Bbg_Market_Data_CL.xlsm]data!R145C15</stp>
        <tr r="O145" s="1"/>
      </tp>
      <tp t="s">
        <v>#N/A Requesting Data...</v>
        <stp/>
        <stp>##V3_BDHV12</stp>
        <stp>CL1 Comdty</stp>
        <stp>VOLUME_TOTAL_CALL</stp>
        <stp>30/09/2016</stp>
        <stp>30/09/2016</stp>
        <stp>[Bbg_Market_Data_CL.xlsm]data!R131C15</stp>
        <tr r="O131" s="1"/>
      </tp>
      <tp t="s">
        <v>#N/A Requesting Data...</v>
        <stp/>
        <stp>##V3_BDHV12</stp>
        <stp>CL1 Comdty</stp>
        <stp>VOLUME_TOTAL_CALL</stp>
        <stp>11/09/2015</stp>
        <stp>11/09/2015</stp>
        <stp>[Bbg_Market_Data_CL.xlsm]data!R393C15</stp>
        <tr r="O393" s="1"/>
      </tp>
      <tp t="s">
        <v>#N/A Requesting Data...</v>
        <stp/>
        <stp>##V3_BDHV12</stp>
        <stp>CL2 Comdty</stp>
        <stp>VOLUME_TOTAL_CALL</stp>
        <stp>22/09/2015</stp>
        <stp>22/09/2015</stp>
        <stp>[Bbg_Market_Data_CL.xlsm]data!R386C15</stp>
        <tr r="O386" s="1"/>
      </tp>
      <tp t="s">
        <v>#N/A Requesting Data...</v>
        <stp/>
        <stp>##V3_BDHV12</stp>
        <stp>CL2 Comdty</stp>
        <stp>VOLUME_TOTAL_CALL</stp>
        <stp>30/09/2016</stp>
        <stp>30/09/2016</stp>
        <stp>[Bbg_Market_Data_CL.xlsm]data!R131C15</stp>
        <tr r="O131" s="1"/>
      </tp>
      <tp t="s">
        <v>#N/A Requesting Data...</v>
        <stp/>
        <stp>##V3_BDHV12</stp>
        <stp>CL2 Comdty</stp>
        <stp>VOLUME_TOTAL_CALL</stp>
        <stp>11/09/2015</stp>
        <stp>11/09/2015</stp>
        <stp>[Bbg_Market_Data_CL.xlsm]data!R393C15</stp>
        <tr r="O393" s="1"/>
      </tp>
      <tp t="s">
        <v>#N/A Requesting Data...</v>
        <stp/>
        <stp>##V3_BDHV12</stp>
        <stp>CL1 Comdty</stp>
        <stp>VOLUME_TOTAL_CALL</stp>
        <stp>22/09/2015</stp>
        <stp>22/09/2015</stp>
        <stp>[Bbg_Market_Data_CL.xlsm]data!R386C15</stp>
        <tr r="O386" s="1"/>
      </tp>
      <tp t="s">
        <v>#N/A Requesting Data...</v>
        <stp/>
        <stp>##V3_BDHV12</stp>
        <stp>CL2 Comdty</stp>
        <stp>VOLUME_TOTAL_CALL</stp>
        <stp>21/09/2016</stp>
        <stp>21/09/2016</stp>
        <stp>[Bbg_Market_Data_CL.xlsm]data!R138C15</stp>
        <tr r="O138" s="1"/>
      </tp>
      <tp t="s">
        <v>#N/A Requesting Data...</v>
        <stp/>
        <stp>##V3_BDHV12</stp>
        <stp>CL1 Comdty</stp>
        <stp>VOLUME_TOTAL_CALL</stp>
        <stp>02/08/2016</stp>
        <stp>02/08/2016</stp>
        <stp>[Bbg_Market_Data_CL.xlsm]data!R172C15</stp>
        <tr r="O172" s="1"/>
      </tp>
      <tp t="s">
        <v>#N/A Requesting Data...</v>
        <stp/>
        <stp>##V3_BDHV12</stp>
        <stp>CL2 Comdty</stp>
        <stp>VOLUME_TOTAL_CALL</stp>
        <stp>31/08/2016</stp>
        <stp>31/08/2016</stp>
        <stp>[Bbg_Market_Data_CL.xlsm]data!R152C15</stp>
        <tr r="O152" s="1"/>
      </tp>
      <tp t="s">
        <v>#N/A Requesting Data...</v>
        <stp/>
        <stp>##V3_BDHV12</stp>
        <stp>CL1 Comdty</stp>
        <stp>VOLUME_TOTAL_CALL</stp>
        <stp>12/09/2016</stp>
        <stp>12/09/2016</stp>
        <stp>[Bbg_Market_Data_CL.xlsm]data!R145C15</stp>
        <tr r="O145" s="1"/>
      </tp>
      <tp t="s">
        <v>#N/A Requesting Data...</v>
        <stp/>
        <stp>##V3_BDHV12</stp>
        <stp>CL2 Comdty</stp>
        <stp>VOLUME_TOTAL_CALL</stp>
        <stp>10/08/2015</stp>
        <stp>10/08/2015</stp>
        <stp>[Bbg_Market_Data_CL.xlsm]data!R416C15</stp>
        <tr r="O416" s="1"/>
      </tp>
      <tp t="s">
        <v>#N/A Requesting Data...</v>
        <stp/>
        <stp>##V3_BDHV12</stp>
        <stp>CL1 Comdty</stp>
        <stp>VOLUME_TOTAL_CALL</stp>
        <stp>10/08/2015</stp>
        <stp>10/08/2015</stp>
        <stp>[Bbg_Market_Data_CL.xlsm]data!R416C15</stp>
        <tr r="O416" s="1"/>
      </tp>
      <tp t="s">
        <v>#N/A Requesting Data...</v>
        <stp/>
        <stp>##V3_BDHV12</stp>
        <stp>CL2 Comdty</stp>
        <stp>VOLUME_TOTAL_CALL</stp>
        <stp>09/03/2016</stp>
        <stp>09/03/2016</stp>
        <stp>[Bbg_Market_Data_CL.xlsm]data!R273C15</stp>
        <tr r="O273" s="1"/>
      </tp>
      <tp t="s">
        <v>#N/A Requesting Data...</v>
        <stp/>
        <stp>##V3_BDHV12</stp>
        <stp>CL2 Comdty</stp>
        <stp>VOLUME_TOTAL_CALL</stp>
        <stp>29/01/2016</stp>
        <stp>29/01/2016</stp>
        <stp>[Bbg_Market_Data_CL.xlsm]data!R299C15</stp>
        <tr r="O299" s="1"/>
      </tp>
      <tp t="s">
        <v>#N/A Requesting Data...</v>
        <stp/>
        <stp>##V3_BDHV12</stp>
        <stp>CL2 Comdty</stp>
        <stp>VOLUME_TOTAL_CALL</stp>
        <stp>19/02/2016</stp>
        <stp>19/02/2016</stp>
        <stp>[Bbg_Market_Data_CL.xlsm]data!R286C15</stp>
        <tr r="O286" s="1"/>
      </tp>
      <tp t="s">
        <v>#N/A Requesting Data...</v>
        <stp/>
        <stp>##V3_BDHV12</stp>
        <stp>CL1 Comdty</stp>
        <stp>VOLUME_TOTAL_CALL</stp>
        <stp>29/12/2015</stp>
        <stp>29/12/2015</stp>
        <stp>[Bbg_Market_Data_CL.xlsm]data!R320C15</stp>
        <tr r="O320" s="1"/>
      </tp>
      <tp t="s">
        <v>#N/A Requesting Data...</v>
        <stp/>
        <stp>##V3_BDHV12</stp>
        <stp>CL1 Comdty</stp>
        <stp>VOLUME_TOTAL_CALL</stp>
        <stp>28/10/2016</stp>
        <stp>28/10/2016</stp>
        <stp>[Bbg_Market_Data_CL.xlsm]data!R112C15</stp>
        <tr r="O112" s="1"/>
      </tp>
      <tp t="s">
        <v>#N/A Requesting Data...</v>
        <stp/>
        <stp>##V3_BDHV12</stp>
        <stp>CL2 Comdty</stp>
        <stp>VOLUME_TOTAL_CALL</stp>
        <stp>18/03/2016</stp>
        <stp>18/03/2016</stp>
        <stp>[Bbg_Market_Data_CL.xlsm]data!R266C15</stp>
        <tr r="O266" s="1"/>
      </tp>
      <tp t="s">
        <v>#N/A Requesting Data...</v>
        <stp/>
        <stp>##V3_BDHV12</stp>
        <stp>CL1 Comdty</stp>
        <stp>VOLUME_TOTAL_CALL</stp>
        <stp>09/10/2015</stp>
        <stp>09/10/2015</stp>
        <stp>[Bbg_Market_Data_CL.xlsm]data!R373C15</stp>
        <tr r="O373" s="1"/>
      </tp>
      <tp t="s">
        <v>#N/A Requesting Data...</v>
        <stp/>
        <stp>##V3_BDHV12</stp>
        <stp>CL1 Comdty</stp>
        <stp>VOLUME_TOTAL_CALL</stp>
        <stp>19/11/2015</stp>
        <stp>19/11/2015</stp>
        <stp>[Bbg_Market_Data_CL.xlsm]data!R346C15</stp>
        <tr r="O346" s="1"/>
      </tp>
      <tp t="s">
        <v>#N/A Requesting Data...</v>
        <stp/>
        <stp>##V3_BDHV12</stp>
        <stp>CL2 Comdty</stp>
        <stp>VOLUME_TOTAL_CALL</stp>
        <stp>08/02/2016</stp>
        <stp>08/02/2016</stp>
        <stp>[Bbg_Market_Data_CL.xlsm]data!R293C15</stp>
        <tr r="O293" s="1"/>
      </tp>
      <tp t="s">
        <v>#N/A Requesting Data...</v>
        <stp/>
        <stp>##V3_BDHV12</stp>
        <stp>CL2 Comdty</stp>
        <stp>VOLUME_TOTAL_CALL</stp>
        <stp>29/12/2015</stp>
        <stp>29/12/2015</stp>
        <stp>[Bbg_Market_Data_CL.xlsm]data!R320C15</stp>
        <tr r="O320" s="1"/>
      </tp>
      <tp t="s">
        <v>#N/A Requesting Data...</v>
        <stp/>
        <stp>##V3_BDHV12</stp>
        <stp>CL2 Comdty</stp>
        <stp>VOLUME_TOTAL_CALL</stp>
        <stp>28/10/2016</stp>
        <stp>28/10/2016</stp>
        <stp>[Bbg_Market_Data_CL.xlsm]data!R112C15</stp>
        <tr r="O112" s="1"/>
      </tp>
      <tp t="s">
        <v>#N/A Requesting Data...</v>
        <stp/>
        <stp>##V3_BDHV12</stp>
        <stp>CL1 Comdty</stp>
        <stp>VOLUME_TOTAL_CALL</stp>
        <stp>18/03/2016</stp>
        <stp>18/03/2016</stp>
        <stp>[Bbg_Market_Data_CL.xlsm]data!R266C15</stp>
        <tr r="O266" s="1"/>
      </tp>
      <tp t="s">
        <v>#N/A Requesting Data...</v>
        <stp/>
        <stp>##V3_BDHV12</stp>
        <stp>CL2 Comdty</stp>
        <stp>VOLUME_TOTAL_CALL</stp>
        <stp>09/10/2015</stp>
        <stp>09/10/2015</stp>
        <stp>[Bbg_Market_Data_CL.xlsm]data!R373C15</stp>
        <tr r="O373" s="1"/>
      </tp>
      <tp t="s">
        <v>#N/A Requesting Data...</v>
        <stp/>
        <stp>##V3_BDHV12</stp>
        <stp>CL2 Comdty</stp>
        <stp>VOLUME_TOTAL_CALL</stp>
        <stp>19/11/2015</stp>
        <stp>19/11/2015</stp>
        <stp>[Bbg_Market_Data_CL.xlsm]data!R346C15</stp>
        <tr r="O346" s="1"/>
      </tp>
      <tp t="s">
        <v>#N/A Requesting Data...</v>
        <stp/>
        <stp>##V3_BDHV12</stp>
        <stp>CL1 Comdty</stp>
        <stp>VOLUME_TOTAL_CALL</stp>
        <stp>08/02/2016</stp>
        <stp>08/02/2016</stp>
        <stp>[Bbg_Market_Data_CL.xlsm]data!R293C15</stp>
        <tr r="O293" s="1"/>
      </tp>
      <tp t="s">
        <v>#N/A Requesting Data...</v>
        <stp/>
        <stp>##V3_BDHV12</stp>
        <stp>CL1 Comdty</stp>
        <stp>VOLUME_TOTAL_CALL</stp>
        <stp>09/03/2016</stp>
        <stp>09/03/2016</stp>
        <stp>[Bbg_Market_Data_CL.xlsm]data!R273C15</stp>
        <tr r="O273" s="1"/>
      </tp>
      <tp t="s">
        <v>#N/A Requesting Data...</v>
        <stp/>
        <stp>##V3_BDHV12</stp>
        <stp>CL1 Comdty</stp>
        <stp>VOLUME_TOTAL_CALL</stp>
        <stp>29/01/2016</stp>
        <stp>29/01/2016</stp>
        <stp>[Bbg_Market_Data_CL.xlsm]data!R299C15</stp>
        <tr r="O299" s="1"/>
      </tp>
      <tp t="s">
        <v>#N/A Requesting Data...</v>
        <stp/>
        <stp>##V3_BDHV12</stp>
        <stp>CL1 Comdty</stp>
        <stp>VOLUME_TOTAL_CALL</stp>
        <stp>19/02/2016</stp>
        <stp>19/02/2016</stp>
        <stp>[Bbg_Market_Data_CL.xlsm]data!R286C15</stp>
        <tr r="O286" s="1"/>
      </tp>
      <tp>
        <v>264353</v>
        <stp/>
        <stp>##V3_BDHV12</stp>
        <stp>CL2 Comdty</stp>
        <stp>PX_VOLUME</stp>
        <stp>11/08/2016</stp>
        <stp>11/08/2016</stp>
        <stp>[Bbg_Market_Data_CL.xlsm]data!R166C8</stp>
        <tr r="H166" s="1"/>
      </tp>
      <tp t="s">
        <v>#N/A Requesting Data...</v>
        <stp/>
        <stp>##V3_BDHV12</stp>
        <stp>CL1 Comdty</stp>
        <stp>PX_VOLUME</stp>
        <stp>11/08/2016</stp>
        <stp>11/08/2016</stp>
        <stp>[Bbg_Market_Data_CL.xlsm]data!R166C8</stp>
        <tr r="H166" s="1"/>
      </tp>
      <tp t="s">
        <v>#N/A Requesting Data...</v>
        <stp/>
        <stp>##V3_BDHV12</stp>
        <stp>CL1 Comdty</stp>
        <stp>PX_VOLUME</stp>
        <stp>10/08/2015</stp>
        <stp>10/08/2015</stp>
        <stp>[Bbg_Market_Data_CL.xlsm]data!R416C8</stp>
        <tr r="H416" s="1"/>
      </tp>
      <tp>
        <v>257563</v>
        <stp/>
        <stp>##V3_BDHV12</stp>
        <stp>CL2 Comdty</stp>
        <stp>PX_VOLUME</stp>
        <stp>10/08/2015</stp>
        <stp>10/08/2015</stp>
        <stp>[Bbg_Market_Data_CL.xlsm]data!R416C8</stp>
        <tr r="H416" s="1"/>
      </tp>
      <tp t="s">
        <v>#N/A Requesting Data...</v>
        <stp/>
        <stp>##V3_BDHV12</stp>
        <stp>CL1 Comdty</stp>
        <stp>PX_VOLUME</stp>
        <stp>09/06/2015</stp>
        <stp>09/06/2015</stp>
        <stp>[Bbg_Market_Data_CL.xlsm]data!R459C8</stp>
        <tr r="H459" s="1"/>
      </tp>
      <tp t="s">
        <v>#N/A Requesting Data...</v>
        <stp/>
        <stp>##V3_BDHV12</stp>
        <stp>CL2 Comdty</stp>
        <stp>PX_VOLUME</stp>
        <stp>09/06/2015</stp>
        <stp>09/06/2015</stp>
        <stp>[Bbg_Market_Data_CL.xlsm]data!R459C8</stp>
        <tr r="H459" s="1"/>
      </tp>
      <tp t="s">
        <v>#N/A Requesting Data...</v>
        <stp/>
        <stp>##V3_BDHV12</stp>
        <stp>CL1 Comdty</stp>
        <stp>PX_VOLUME</stp>
        <stp>25/08/2015</stp>
        <stp>25/08/2015</stp>
        <stp>[Bbg_Market_Data_CL.xlsm]data!R405C8</stp>
        <tr r="H405" s="1"/>
      </tp>
      <tp>
        <v>184851</v>
        <stp/>
        <stp>##V3_BDHV12</stp>
        <stp>CL2 Comdty</stp>
        <stp>PX_VOLUME</stp>
        <stp>07/08/2015</stp>
        <stp>07/08/2015</stp>
        <stp>[Bbg_Market_Data_CL.xlsm]data!R417C8</stp>
        <tr r="H417" s="1"/>
      </tp>
      <tp t="s">
        <v>#N/A Requesting Data...</v>
        <stp/>
        <stp>##V3_BDHV12</stp>
        <stp>CL1 Comdty</stp>
        <stp>PX_VOLUME</stp>
        <stp>07/08/2015</stp>
        <stp>07/08/2015</stp>
        <stp>[Bbg_Market_Data_CL.xlsm]data!R417C8</stp>
        <tr r="H417" s="1"/>
      </tp>
      <tp>
        <v>100996</v>
        <stp/>
        <stp>##V3_BDHV12</stp>
        <stp>CL2 Comdty</stp>
        <stp>PX_VOLUME</stp>
        <stp>25/08/2015</stp>
        <stp>25/08/2015</stp>
        <stp>[Bbg_Market_Data_CL.xlsm]data!R405C8</stp>
        <tr r="H405" s="1"/>
      </tp>
      <tp t="s">
        <v>#N/A Requesting Data...</v>
        <stp/>
        <stp>##V3_BDHV12</stp>
        <stp>CL1 Comdty</stp>
        <stp>PX_VOLUME</stp>
        <stp>27/09/2016</stp>
        <stp>27/09/2016</stp>
        <stp>[Bbg_Market_Data_CL.xlsm]data!R134C8</stp>
        <tr r="H134" s="1"/>
      </tp>
      <tp>
        <v>105247</v>
        <stp/>
        <stp>##V3_BDHV12</stp>
        <stp>CL2 Comdty</stp>
        <stp>PX_VOLUME</stp>
        <stp>24/09/2015</stp>
        <stp>24/09/2015</stp>
        <stp>[Bbg_Market_Data_CL.xlsm]data!R384C8</stp>
        <tr r="H384" s="1"/>
      </tp>
      <tp t="s">
        <v>#N/A Requesting Data...</v>
        <stp/>
        <stp>##V3_BDHV12</stp>
        <stp>CL1 Comdty</stp>
        <stp>PX_VOLUME</stp>
        <stp>26/08/2016</stp>
        <stp>26/08/2016</stp>
        <stp>[Bbg_Market_Data_CL.xlsm]data!R155C8</stp>
        <tr r="H155" s="1"/>
      </tp>
      <tp t="s">
        <v>#N/A Requesting Data...</v>
        <stp/>
        <stp>##V3_BDHV12</stp>
        <stp>CL1 Comdty</stp>
        <stp>PX_VOLUME</stp>
        <stp>24/09/2015</stp>
        <stp>24/09/2015</stp>
        <stp>[Bbg_Market_Data_CL.xlsm]data!R384C8</stp>
        <tr r="H384" s="1"/>
      </tp>
      <tp>
        <v>109819</v>
        <stp/>
        <stp>##V3_BDHV12</stp>
        <stp>CL2 Comdty</stp>
        <stp>PX_VOLUME</stp>
        <stp>26/08/2016</stp>
        <stp>26/08/2016</stp>
        <stp>[Bbg_Market_Data_CL.xlsm]data!R155C8</stp>
        <tr r="H155" s="1"/>
      </tp>
      <tp>
        <v>157518</v>
        <stp/>
        <stp>##V3_BDHV12</stp>
        <stp>CL2 Comdty</stp>
        <stp>PX_VOLUME</stp>
        <stp>27/09/2016</stp>
        <stp>27/09/2016</stp>
        <stp>[Bbg_Market_Data_CL.xlsm]data!R134C8</stp>
        <tr r="H134" s="1"/>
      </tp>
      <tp t="s">
        <v>#N/A Requesting Data...</v>
        <stp/>
        <stp>##V3_BDHV12</stp>
        <stp>CL1 Comdty</stp>
        <stp>PX_VOLUME</stp>
        <stp>09/07/2015</stp>
        <stp>09/07/2015</stp>
        <stp>[Bbg_Market_Data_CL.xlsm]data!R438C8</stp>
        <tr r="H438" s="1"/>
      </tp>
      <tp t="s">
        <v>#N/A Requesting Data...</v>
        <stp/>
        <stp>##V3_BDHV12</stp>
        <stp>CL2 Comdty</stp>
        <stp>PX_VOLUME</stp>
        <stp>09/07/2015</stp>
        <stp>09/07/2015</stp>
        <stp>[Bbg_Market_Data_CL.xlsm]data!R438C8</stp>
        <tr r="H438" s="1"/>
      </tp>
      <tp t="s">
        <v>#N/A Requesting Data...</v>
        <stp/>
        <stp>##V3_BDHV12</stp>
        <stp>CL1 Comdty</stp>
        <stp>PX_VOLUME</stp>
        <stp>09/06/2016</stp>
        <stp>09/06/2016</stp>
        <stp>[Bbg_Market_Data_CL.xlsm]data!R209C8</stp>
        <tr r="H209" s="1"/>
      </tp>
      <tp>
        <v>226020</v>
        <stp/>
        <stp>##V3_BDHV12</stp>
        <stp>CL2 Comdty</stp>
        <stp>PX_VOLUME</stp>
        <stp>09/06/2016</stp>
        <stp>09/06/2016</stp>
        <stp>[Bbg_Market_Data_CL.xlsm]data!R209C8</stp>
        <tr r="H209" s="1"/>
      </tp>
      <tp>
        <v>290787</v>
        <stp/>
        <stp>##V3_BDHV12</stp>
        <stp>CL2 Comdty</stp>
        <stp>PX_VOLUME</stp>
        <stp>09/09/2016</stp>
        <stp>09/09/2016</stp>
        <stp>[Bbg_Market_Data_CL.xlsm]data!R146C8</stp>
        <tr r="H146" s="1"/>
      </tp>
      <tp t="s">
        <v>#N/A Requesting Data...</v>
        <stp/>
        <stp>##V3_BDHV12</stp>
        <stp>CL1 Comdty</stp>
        <stp>PX_VOLUME</stp>
        <stp>09/09/2016</stp>
        <stp>09/09/2016</stp>
        <stp>[Bbg_Market_Data_CL.xlsm]data!R146C8</stp>
        <tr r="H146" s="1"/>
      </tp>
      <tp>
        <v>124341</v>
        <stp/>
        <stp>##V3_BDHV12</stp>
        <stp>CL2 Comdty</stp>
        <stp>PX_VOLUME</stp>
        <stp>27/04/2016</stp>
        <stp>27/04/2016</stp>
        <stp>[Bbg_Market_Data_CL.xlsm]data!R239C8</stp>
        <tr r="H239" s="1"/>
      </tp>
      <tp>
        <v>91441</v>
        <stp/>
        <stp>##V3_BDHV12</stp>
        <stp>CL2 Comdty</stp>
        <stp>PX_VOLUME</stp>
        <stp>26/05/2016</stp>
        <stp>26/05/2016</stp>
        <stp>[Bbg_Market_Data_CL.xlsm]data!R218C8</stp>
        <tr r="H218" s="1"/>
      </tp>
      <tp t="s">
        <v>#N/A Requesting Data...</v>
        <stp/>
        <stp>##V3_BDHV12</stp>
        <stp>CL1 Comdty</stp>
        <stp>PX_VOLUME</stp>
        <stp>26/05/2016</stp>
        <stp>26/05/2016</stp>
        <stp>[Bbg_Market_Data_CL.xlsm]data!R218C8</stp>
        <tr r="H218" s="1"/>
      </tp>
      <tp t="s">
        <v>#N/A Requesting Data...</v>
        <stp/>
        <stp>##V3_BDHV12</stp>
        <stp>CL1 Comdty</stp>
        <stp>PX_VOLUME</stp>
        <stp>27/04/2016</stp>
        <stp>27/04/2016</stp>
        <stp>[Bbg_Market_Data_CL.xlsm]data!R239C8</stp>
        <tr r="H239" s="1"/>
      </tp>
      <tp>
        <v>164181</v>
        <stp/>
        <stp>##V3_BDHV12</stp>
        <stp>CL2 Comdty</stp>
        <stp>PX_VOLUME</stp>
        <stp>08/09/2015</stp>
        <stp>08/09/2015</stp>
        <stp>[Bbg_Market_Data_CL.xlsm]data!R396C8</stp>
        <tr r="H396" s="1"/>
      </tp>
      <tp t="s">
        <v>#N/A Requesting Data...</v>
        <stp/>
        <stp>##V3_BDHV12</stp>
        <stp>CL1 Comdty</stp>
        <stp>PX_VOLUME</stp>
        <stp>08/09/2015</stp>
        <stp>08/09/2015</stp>
        <stp>[Bbg_Market_Data_CL.xlsm]data!R396C8</stp>
        <tr r="H396" s="1"/>
      </tp>
      <tp t="s">
        <v>#N/A Requesting Data...</v>
        <stp/>
        <stp>##V3_BDHV12</stp>
        <stp>CL2 Comdty</stp>
        <stp>PX_VOLUME</stp>
        <stp>27/04/2015</stp>
        <stp>27/04/2015</stp>
        <stp>[Bbg_Market_Data_CL.xlsm]data!R489C8</stp>
        <tr r="H489" s="1"/>
      </tp>
      <tp t="s">
        <v>#N/A Requesting Data...</v>
        <stp/>
        <stp>##V3_BDHV12</stp>
        <stp>CL1 Comdty</stp>
        <stp>PX_VOLUME</stp>
        <stp>27/04/2015</stp>
        <stp>27/04/2015</stp>
        <stp>[Bbg_Market_Data_CL.xlsm]data!R489C8</stp>
        <tr r="H489" s="1"/>
      </tp>
      <tp t="s">
        <v>#N/A Requesting Data...</v>
        <stp/>
        <stp>##V3_BDHV12</stp>
        <stp>CL2 Comdty</stp>
        <stp>PX_VOLUME</stp>
        <stp>27/05/2015</stp>
        <stp>27/05/2015</stp>
        <stp>[Bbg_Market_Data_CL.xlsm]data!R468C8</stp>
        <tr r="H468" s="1"/>
      </tp>
      <tp t="s">
        <v>#N/A Requesting Data...</v>
        <stp/>
        <stp>##V3_BDHV12</stp>
        <stp>CL1 Comdty</stp>
        <stp>PX_VOLUME</stp>
        <stp>27/05/2015</stp>
        <stp>27/05/2015</stp>
        <stp>[Bbg_Market_Data_CL.xlsm]data!R468C8</stp>
        <tr r="H468" s="1"/>
      </tp>
      <tp t="s">
        <v>#N/A Requesting Data...</v>
        <stp/>
        <stp>##V3_BDHV12</stp>
        <stp>CL1 Comdty</stp>
        <stp>PX_VOLUME</stp>
        <stp>10/06/2015</stp>
        <stp>10/06/2015</stp>
        <stp>[Bbg_Market_Data_CL.xlsm]data!R458C8</stp>
        <tr r="H458" s="1"/>
      </tp>
      <tp t="s">
        <v>#N/A Requesting Data...</v>
        <stp/>
        <stp>##V3_BDHV12</stp>
        <stp>CL2 Comdty</stp>
        <stp>PX_VOLUME</stp>
        <stp>10/06/2015</stp>
        <stp>10/06/2015</stp>
        <stp>[Bbg_Market_Data_CL.xlsm]data!R458C8</stp>
        <tr r="H458" s="1"/>
      </tp>
      <tp t="s">
        <v>#N/A Requesting Data...</v>
        <stp/>
        <stp>##V3_BDHV12</stp>
        <stp>CL1 Comdty</stp>
        <stp>PX_VOLUME</stp>
        <stp>10/06/2016</stp>
        <stp>10/06/2016</stp>
        <stp>[Bbg_Market_Data_CL.xlsm]data!R208C8</stp>
        <tr r="H208" s="1"/>
      </tp>
      <tp>
        <v>241751</v>
        <stp/>
        <stp>##V3_BDHV12</stp>
        <stp>CL2 Comdty</stp>
        <stp>PX_VOLUME</stp>
        <stp>10/06/2016</stp>
        <stp>10/06/2016</stp>
        <stp>[Bbg_Market_Data_CL.xlsm]data!R208C8</stp>
        <tr r="H208" s="1"/>
      </tp>
      <tp t="s">
        <v>#N/A Requesting Data...</v>
        <stp/>
        <stp>##V3_BDHV12</stp>
        <stp>SPGSCLP Index</stp>
        <stp>CHG_PCT_1D</stp>
        <stp>29/03/2017</stp>
        <stp>29/03/2017</stp>
        <stp>[Bbg_Market_Data_CL.xlsm]data!R10C3</stp>
        <tr r="C10" s="1"/>
      </tp>
      <tp t="s">
        <v>#N/A Requesting Data...</v>
        <stp/>
        <stp>##V3_BDHV12</stp>
        <stp>SPGSCLP Index</stp>
        <stp>CHG_PCT_1D</stp>
        <stp>29/12/2016</stp>
        <stp>29/12/2016</stp>
        <stp>[Bbg_Market_Data_CL.xlsm]data!R71C3</stp>
        <tr r="C71" s="1"/>
      </tp>
      <tp t="s">
        <v>#N/A Requesting Data...</v>
        <stp/>
        <stp>##V3_BDHV12</stp>
        <stp>SPGSCLP Index</stp>
        <stp>CHG_PCT_5D</stp>
        <stp>29/12/2016</stp>
        <stp>29/12/2016</stp>
        <stp>[Bbg_Market_Data_CL.xlsm]data!R71C4</stp>
        <tr r="D71" s="1"/>
      </tp>
      <tp t="s">
        <v>#N/A Requesting Data...</v>
        <stp/>
        <stp>##V3_BDHV12</stp>
        <stp>SPGSCLP Index</stp>
        <stp>CHG_PCT_5D</stp>
        <stp>29/03/2017</stp>
        <stp>29/03/2017</stp>
        <stp>[Bbg_Market_Data_CL.xlsm]data!R10C4</stp>
        <tr r="D10" s="1"/>
      </tp>
      <tp t="s">
        <v>#N/A Requesting Data...</v>
        <stp/>
        <stp>##V3_BDHV12</stp>
        <stp>SPGSCLP Index</stp>
        <stp>CHG_PCT_5D</stp>
        <stp>17/01/2017</stp>
        <stp>17/01/2017</stp>
        <stp>[Bbg_Market_Data_CL.xlsm]data!R60C4</stp>
        <tr r="D60" s="1"/>
      </tp>
      <tp t="s">
        <v>#N/A Requesting Data...</v>
        <stp/>
        <stp>##V3_BDHV12</stp>
        <stp>SPGSCLP Index</stp>
        <stp>CHG_PCT_1D</stp>
        <stp>17/01/2017</stp>
        <stp>17/01/2017</stp>
        <stp>[Bbg_Market_Data_CL.xlsm]data!R60C3</stp>
        <tr r="C60" s="1"/>
      </tp>
      <tp t="s">
        <v>#N/A Requesting Data...</v>
        <stp/>
        <stp>##V3_BDHV12</stp>
        <stp>SPGSCLP Index</stp>
        <stp>CHG_PCT_5D</stp>
        <stp>14/02/2017</stp>
        <stp>14/02/2017</stp>
        <stp>[Bbg_Market_Data_CL.xlsm]data!R40C4</stp>
        <tr r="D40" s="1"/>
      </tp>
      <tp t="s">
        <v>#N/A Requesting Data...</v>
        <stp/>
        <stp>##V3_BDHV12</stp>
        <stp>SPGSCLP Index</stp>
        <stp>CHG_PCT_1D</stp>
        <stp>30/11/2016</stp>
        <stp>30/11/2016</stp>
        <stp>[Bbg_Market_Data_CL.xlsm]data!R91C3</stp>
        <tr r="C91" s="1"/>
      </tp>
      <tp t="s">
        <v>#N/A Requesting Data...</v>
        <stp/>
        <stp>##V3_BDHV12</stp>
        <stp>SPGSCLP Index</stp>
        <stp>CHG_PCT_1D</stp>
        <stp>01/03/2017</stp>
        <stp>01/03/2017</stp>
        <stp>[Bbg_Market_Data_CL.xlsm]data!R30C3</stp>
        <tr r="C30" s="1"/>
      </tp>
      <tp t="s">
        <v>#N/A Requesting Data...</v>
        <stp/>
        <stp>##V3_BDHV12</stp>
        <stp>SPGSCLP Index</stp>
        <stp>CHG_PCT_5D</stp>
        <stp>01/03/2017</stp>
        <stp>01/03/2017</stp>
        <stp>[Bbg_Market_Data_CL.xlsm]data!R30C4</stp>
        <tr r="D30" s="1"/>
      </tp>
      <tp t="s">
        <v>#N/A Requesting Data...</v>
        <stp/>
        <stp>##V3_BDHV12</stp>
        <stp>SPGSCLP Index</stp>
        <stp>CHG_PCT_5D</stp>
        <stp>30/11/2016</stp>
        <stp>30/11/2016</stp>
        <stp>[Bbg_Market_Data_CL.xlsm]data!R91C4</stp>
        <tr r="D91" s="1"/>
      </tp>
      <tp t="s">
        <v>#N/A Requesting Data...</v>
        <stp/>
        <stp>##V3_BDHV12</stp>
        <stp>SPGSCLP Index</stp>
        <stp>CHG_PCT_1D</stp>
        <stp>14/02/2017</stp>
        <stp>14/02/2017</stp>
        <stp>[Bbg_Market_Data_CL.xlsm]data!R40C3</stp>
        <tr r="C40" s="1"/>
      </tp>
      <tp t="s">
        <v>#N/A Requesting Data...</v>
        <stp/>
        <stp>##V3_BDHV12</stp>
        <stp>SPGSCLP Index</stp>
        <stp>CHG_PCT_5D</stp>
        <stp>14/12/2016</stp>
        <stp>14/12/2016</stp>
        <stp>[Bbg_Market_Data_CL.xlsm]data!R81C4</stp>
        <tr r="D81" s="1"/>
      </tp>
      <tp t="s">
        <v>#N/A Requesting Data...</v>
        <stp/>
        <stp>##V3_BDHV12</stp>
        <stp>SPGSCLP Index</stp>
        <stp>CHG_PCT_5D</stp>
        <stp>15/03/2017</stp>
        <stp>15/03/2017</stp>
        <stp>[Bbg_Market_Data_CL.xlsm]data!R20C4</stp>
        <tr r="D20" s="1"/>
      </tp>
      <tp t="s">
        <v>#N/A Requesting Data...</v>
        <stp/>
        <stp>##V3_BDHV12</stp>
        <stp>SPGSCLP Index</stp>
        <stp>CHG_PCT_1D</stp>
        <stp>31/01/2017</stp>
        <stp>31/01/2017</stp>
        <stp>[Bbg_Market_Data_CL.xlsm]data!R50C3</stp>
        <tr r="C50" s="1"/>
      </tp>
      <tp t="s">
        <v>#N/A Requesting Data...</v>
        <stp/>
        <stp>##V3_BDHV12</stp>
        <stp>SPGSCLP Index</stp>
        <stp>CHG_PCT_5D</stp>
        <stp>31/01/2017</stp>
        <stp>31/01/2017</stp>
        <stp>[Bbg_Market_Data_CL.xlsm]data!R50C4</stp>
        <tr r="D50" s="1"/>
      </tp>
      <tp t="s">
        <v>#N/A Requesting Data...</v>
        <stp/>
        <stp>##V3_BDHV12</stp>
        <stp>SPGSCLP Index</stp>
        <stp>CHG_PCT_1D</stp>
        <stp>15/03/2017</stp>
        <stp>15/03/2017</stp>
        <stp>[Bbg_Market_Data_CL.xlsm]data!R20C3</stp>
        <tr r="C20" s="1"/>
      </tp>
      <tp t="s">
        <v>#N/A Requesting Data...</v>
        <stp/>
        <stp>##V3_BDHV12</stp>
        <stp>SPGSCLP Index</stp>
        <stp>CHG_PCT_1D</stp>
        <stp>14/12/2016</stp>
        <stp>14/12/2016</stp>
        <stp>[Bbg_Market_Data_CL.xlsm]data!R81C3</stp>
        <tr r="C81" s="1"/>
      </tp>
      <tp t="s">
        <v>#N/A Requesting Data...</v>
        <stp/>
        <stp>##V3_BDHV12</stp>
        <stp>CL1 Comdty</stp>
        <stp>VOLUME_TOTAL_CALL</stp>
        <stp>17/08/2015</stp>
        <stp>17/08/2015</stp>
        <stp>[Bbg_Market_Data_CL.xlsm]data!R411C15</stp>
        <tr r="O411" s="1"/>
      </tp>
      <tp t="s">
        <v>#N/A Requesting Data...</v>
        <stp/>
        <stp>##V3_BDHV12</stp>
        <stp>CL2 Comdty</stp>
        <stp>VOLUME_TOTAL_CALL</stp>
        <stp>24/08/2015</stp>
        <stp>24/08/2015</stp>
        <stp>[Bbg_Market_Data_CL.xlsm]data!R406C15</stp>
        <tr r="O406" s="1"/>
      </tp>
      <tp t="s">
        <v>#N/A Requesting Data...</v>
        <stp/>
        <stp>##V3_BDHV12</stp>
        <stp>CL1 Comdty</stp>
        <stp>VOLUME_TOTAL_CALL</stp>
        <stp>06/08/2015</stp>
        <stp>06/08/2015</stp>
        <stp>[Bbg_Market_Data_CL.xlsm]data!R418C15</stp>
        <tr r="O418" s="1"/>
      </tp>
      <tp t="s">
        <v>#N/A Requesting Data...</v>
        <stp/>
        <stp>##V3_BDHV12</stp>
        <stp>CL2 Comdty</stp>
        <stp>VOLUME_TOTAL_CALL</stp>
        <stp>06/08/2015</stp>
        <stp>06/08/2015</stp>
        <stp>[Bbg_Market_Data_CL.xlsm]data!R418C15</stp>
        <tr r="O418" s="1"/>
      </tp>
      <tp t="s">
        <v>#N/A Requesting Data...</v>
        <stp/>
        <stp>##V3_BDHV12</stp>
        <stp>CL2 Comdty</stp>
        <stp>VOLUME_TOTAL_CALL</stp>
        <stp>17/08/2015</stp>
        <stp>17/08/2015</stp>
        <stp>[Bbg_Market_Data_CL.xlsm]data!R411C15</stp>
        <tr r="O411" s="1"/>
      </tp>
      <tp t="s">
        <v>#N/A Requesting Data...</v>
        <stp/>
        <stp>##V3_BDHV12</stp>
        <stp>CL1 Comdty</stp>
        <stp>VOLUME_TOTAL_CALL</stp>
        <stp>24/08/2015</stp>
        <stp>24/08/2015</stp>
        <stp>[Bbg_Market_Data_CL.xlsm]data!R406C15</stp>
        <tr r="O406" s="1"/>
      </tp>
      <tp t="s">
        <v>#N/A Requesting Data...</v>
        <stp/>
        <stp>##V3_BDHV12</stp>
        <stp>CL2 Comdty</stp>
        <stp>VOLUME_TOTAL_CALL</stp>
        <stp>26/09/2016</stp>
        <stp>26/09/2016</stp>
        <stp>[Bbg_Market_Data_CL.xlsm]data!R135C15</stp>
        <tr r="O135" s="1"/>
      </tp>
      <tp t="s">
        <v>#N/A Requesting Data...</v>
        <stp/>
        <stp>##V3_BDHV12</stp>
        <stp>CL1 Comdty</stp>
        <stp>VOLUME_TOTAL_CALL</stp>
        <stp>05/08/2016</stp>
        <stp>05/08/2016</stp>
        <stp>[Bbg_Market_Data_CL.xlsm]data!R169C15</stp>
        <tr r="O169" s="1"/>
      </tp>
      <tp t="s">
        <v>#N/A Requesting Data...</v>
        <stp/>
        <stp>##V3_BDHV12</stp>
        <stp>CL1 Comdty</stp>
        <stp>VOLUME_TOTAL_CALL</stp>
        <stp>15/09/2016</stp>
        <stp>15/09/2016</stp>
        <stp>[Bbg_Market_Data_CL.xlsm]data!R142C15</stp>
        <tr r="O142" s="1"/>
      </tp>
      <tp t="s">
        <v>#N/A Requesting Data...</v>
        <stp/>
        <stp>##V3_BDHV12</stp>
        <stp>CL2 Comdty</stp>
        <stp>VOLUME_TOTAL_CALL</stp>
        <stp>16/09/2015</stp>
        <stp>16/09/2015</stp>
        <stp>[Bbg_Market_Data_CL.xlsm]data!R390C15</stp>
        <tr r="O390" s="1"/>
      </tp>
      <tp t="s">
        <v>#N/A Requesting Data...</v>
        <stp/>
        <stp>##V3_BDHV12</stp>
        <stp>CL1 Comdty</stp>
        <stp>VOLUME_TOTAL_CALL</stp>
        <stp>25/09/2015</stp>
        <stp>25/09/2015</stp>
        <stp>[Bbg_Market_Data_CL.xlsm]data!R383C15</stp>
        <tr r="O383" s="1"/>
      </tp>
      <tp t="s">
        <v>#N/A Requesting Data...</v>
        <stp/>
        <stp>##V3_BDHV12</stp>
        <stp>CL1 Comdty</stp>
        <stp>VOLUME_TOTAL_CALL</stp>
        <stp>16/09/2015</stp>
        <stp>16/09/2015</stp>
        <stp>[Bbg_Market_Data_CL.xlsm]data!R390C15</stp>
        <tr r="O390" s="1"/>
      </tp>
      <tp t="s">
        <v>#N/A Requesting Data...</v>
        <stp/>
        <stp>##V3_BDHV12</stp>
        <stp>CL2 Comdty</stp>
        <stp>VOLUME_TOTAL_CALL</stp>
        <stp>25/09/2015</stp>
        <stp>25/09/2015</stp>
        <stp>[Bbg_Market_Data_CL.xlsm]data!R383C15</stp>
        <tr r="O383" s="1"/>
      </tp>
      <tp t="s">
        <v>#N/A Requesting Data...</v>
        <stp/>
        <stp>##V3_BDHV12</stp>
        <stp>CL1 Comdty</stp>
        <stp>VOLUME_TOTAL_CALL</stp>
        <stp>26/09/2016</stp>
        <stp>26/09/2016</stp>
        <stp>[Bbg_Market_Data_CL.xlsm]data!R135C15</stp>
        <tr r="O135" s="1"/>
      </tp>
      <tp t="s">
        <v>#N/A Requesting Data...</v>
        <stp/>
        <stp>##V3_BDHV12</stp>
        <stp>CL2 Comdty</stp>
        <stp>VOLUME_TOTAL_CALL</stp>
        <stp>05/08/2016</stp>
        <stp>05/08/2016</stp>
        <stp>[Bbg_Market_Data_CL.xlsm]data!R169C15</stp>
        <tr r="O169" s="1"/>
      </tp>
      <tp t="s">
        <v>#N/A Requesting Data...</v>
        <stp/>
        <stp>##V3_BDHV12</stp>
        <stp>CL2 Comdty</stp>
        <stp>VOLUME_TOTAL_CALL</stp>
        <stp>15/09/2016</stp>
        <stp>15/09/2016</stp>
        <stp>[Bbg_Market_Data_CL.xlsm]data!R142C15</stp>
        <tr r="O142" s="1"/>
      </tp>
      <tp t="s">
        <v>#N/A Requesting Data...</v>
        <stp/>
        <stp>##V3_BDHV12</stp>
        <stp>CL2 Comdty</stp>
        <stp>VOLUME_TOTAL_CALL</stp>
        <stp>19/05/2016</stp>
        <stp>19/05/2016</stp>
        <stp>[Bbg_Market_Data_CL.xlsm]data!R223C15</stp>
        <tr r="O223" s="1"/>
      </tp>
      <tp t="s">
        <v>#N/A Requesting Data...</v>
        <stp/>
        <stp>##V3_BDHV12</stp>
        <stp>CL1 Comdty</stp>
        <stp>VOLUME_TOTAL_CALL</stp>
        <stp>29/06/2016</stp>
        <stp>29/06/2016</stp>
        <stp>[Bbg_Market_Data_CL.xlsm]data!R195C15</stp>
        <tr r="O195" s="1"/>
      </tp>
      <tp t="s">
        <v>#N/A Requesting Data...</v>
        <stp/>
        <stp>##V3_BDHV12</stp>
        <stp>CL1 Comdty</stp>
        <stp>VOLUME_TOTAL_CALL</stp>
        <stp>28/07/2016</stp>
        <stp>28/07/2016</stp>
        <stp>[Bbg_Market_Data_CL.xlsm]data!R175C15</stp>
        <tr r="O175" s="1"/>
      </tp>
      <tp t="s">
        <v>#N/A Requesting Data...</v>
        <stp/>
        <stp>##V3_BDHV12</stp>
        <stp>CL2 Comdty</stp>
        <stp>VOLUME_TOTAL_CALL</stp>
        <stp>18/04/2016</stp>
        <stp>18/04/2016</stp>
        <stp>[Bbg_Market_Data_CL.xlsm]data!R246C15</stp>
        <tr r="O246" s="1"/>
      </tp>
      <tp t="s">
        <v>#N/A Requesting Data...</v>
        <stp/>
        <stp>##V3_BDHV12</stp>
        <stp>CL2 Comdty</stp>
        <stp>VOLUME_TOTAL_CALL</stp>
        <stp>28/07/2016</stp>
        <stp>28/07/2016</stp>
        <stp>[Bbg_Market_Data_CL.xlsm]data!R175C15</stp>
        <tr r="O175" s="1"/>
      </tp>
      <tp t="s">
        <v>#N/A Requesting Data...</v>
        <stp/>
        <stp>##V3_BDHV12</stp>
        <stp>CL1 Comdty</stp>
        <stp>VOLUME_TOTAL_CALL</stp>
        <stp>18/04/2016</stp>
        <stp>18/04/2016</stp>
        <stp>[Bbg_Market_Data_CL.xlsm]data!R246C15</stp>
        <tr r="O246" s="1"/>
      </tp>
      <tp t="s">
        <v>#N/A Requesting Data...</v>
        <stp/>
        <stp>##V3_BDHV12</stp>
        <stp>CL1 Comdty</stp>
        <stp>VOLUME_TOTAL_CALL</stp>
        <stp>19/05/2016</stp>
        <stp>19/05/2016</stp>
        <stp>[Bbg_Market_Data_CL.xlsm]data!R223C15</stp>
        <tr r="O223" s="1"/>
      </tp>
      <tp t="s">
        <v>#N/A Requesting Data...</v>
        <stp/>
        <stp>##V3_BDHV12</stp>
        <stp>CL2 Comdty</stp>
        <stp>VOLUME_TOTAL_CALL</stp>
        <stp>29/06/2016</stp>
        <stp>29/06/2016</stp>
        <stp>[Bbg_Market_Data_CL.xlsm]data!R195C15</stp>
        <tr r="O195" s="1"/>
      </tp>
      <tp t="s">
        <v>#N/A Requesting Data...</v>
        <stp/>
        <stp>##V3_BDHV12</stp>
        <stp>CL2 Comdty</stp>
        <stp>VOLUME_TOTAL_CALL</stp>
        <stp>08/06/2015</stp>
        <stp>08/06/2015</stp>
        <stp>[Bbg_Market_Data_CL.xlsm]data!R460C15</stp>
        <tr r="O460" s="1"/>
      </tp>
      <tp t="s">
        <v>#N/A Requesting Data...</v>
        <stp/>
        <stp>##V3_BDHV12</stp>
        <stp>CL2 Comdty</stp>
        <stp>VOLUME_TOTAL_CALL</stp>
        <stp>28/04/2015</stp>
        <stp>28/04/2015</stp>
        <stp>[Bbg_Market_Data_CL.xlsm]data!R488C15</stp>
        <tr r="O488" s="1"/>
      </tp>
      <tp t="s">
        <v>#N/A Requesting Data...</v>
        <stp/>
        <stp>##V3_BDHV12</stp>
        <stp>CL2 Comdty</stp>
        <stp>VOLUME_TOTAL_CALL</stp>
        <stp>09/07/2015</stp>
        <stp>09/07/2015</stp>
        <stp>[Bbg_Market_Data_CL.xlsm]data!R438C15</stp>
        <tr r="O438" s="1"/>
      </tp>
      <tp t="s">
        <v>#N/A Requesting Data...</v>
        <stp/>
        <stp>##V3_BDHV12</stp>
        <stp>CL2 Comdty</stp>
        <stp>VOLUME_TOTAL_CALL</stp>
        <stp>29/05/2015</stp>
        <stp>29/05/2015</stp>
        <stp>[Bbg_Market_Data_CL.xlsm]data!R466C15</stp>
        <tr r="O466" s="1"/>
      </tp>
      <tp t="s">
        <v>#N/A Requesting Data...</v>
        <stp/>
        <stp>##V3_BDHV12</stp>
        <stp>CL2 Comdty</stp>
        <stp>VOLUME_TOTAL_CALL</stp>
        <stp>19/06/2015</stp>
        <stp>19/06/2015</stp>
        <stp>[Bbg_Market_Data_CL.xlsm]data!R451C15</stp>
        <tr r="O451" s="1"/>
      </tp>
      <tp t="s">
        <v>#N/A Requesting Data...</v>
        <stp/>
        <stp>##V3_BDHV12</stp>
        <stp>CL1 Comdty</stp>
        <stp>VOLUME_TOTAL_CALL</stp>
        <stp>09/07/2015</stp>
        <stp>09/07/2015</stp>
        <stp>[Bbg_Market_Data_CL.xlsm]data!R438C15</stp>
        <tr r="O438" s="1"/>
      </tp>
      <tp t="s">
        <v>#N/A Requesting Data...</v>
        <stp/>
        <stp>##V3_BDHV12</stp>
        <stp>CL1 Comdty</stp>
        <stp>VOLUME_TOTAL_CALL</stp>
        <stp>29/05/2015</stp>
        <stp>29/05/2015</stp>
        <stp>[Bbg_Market_Data_CL.xlsm]data!R466C15</stp>
        <tr r="O466" s="1"/>
      </tp>
      <tp t="s">
        <v>#N/A Requesting Data...</v>
        <stp/>
        <stp>##V3_BDHV12</stp>
        <stp>CL1 Comdty</stp>
        <stp>VOLUME_TOTAL_CALL</stp>
        <stp>19/06/2015</stp>
        <stp>19/06/2015</stp>
        <stp>[Bbg_Market_Data_CL.xlsm]data!R451C15</stp>
        <tr r="O451" s="1"/>
      </tp>
      <tp t="s">
        <v>#N/A Requesting Data...</v>
        <stp/>
        <stp>##V3_BDHV12</stp>
        <stp>CL1 Comdty</stp>
        <stp>VOLUME_TOTAL_CALL</stp>
        <stp>08/06/2015</stp>
        <stp>08/06/2015</stp>
        <stp>[Bbg_Market_Data_CL.xlsm]data!R460C15</stp>
        <tr r="O460" s="1"/>
      </tp>
      <tp t="s">
        <v>#N/A Requesting Data...</v>
        <stp/>
        <stp>##V3_BDHV12</stp>
        <stp>CL1 Comdty</stp>
        <stp>VOLUME_TOTAL_CALL</stp>
        <stp>28/04/2015</stp>
        <stp>28/04/2015</stp>
        <stp>[Bbg_Market_Data_CL.xlsm]data!R488C15</stp>
        <tr r="O488" s="1"/>
      </tp>
      <tp>
        <v>170369</v>
        <stp/>
        <stp>##V3_BDHV12</stp>
        <stp>CL2 Comdty</stp>
        <stp>PX_VOLUME</stp>
        <stp>01/09/2016</stp>
        <stp>01/09/2016</stp>
        <stp>[Bbg_Market_Data_CL.xlsm]data!R151C8</stp>
        <tr r="H151" s="1"/>
      </tp>
      <tp t="s">
        <v>#N/A Requesting Data...</v>
        <stp/>
        <stp>##V3_BDHV12</stp>
        <stp>CL1 Comdty</stp>
        <stp>PX_VOLUME</stp>
        <stp>01/09/2016</stp>
        <stp>01/09/2016</stp>
        <stp>[Bbg_Market_Data_CL.xlsm]data!R151C8</stp>
        <tr r="H151" s="1"/>
      </tp>
      <tp>
        <v>395602</v>
        <stp/>
        <stp>##V3_BDHV12</stp>
        <stp>CL2 Comdty</stp>
        <stp>PX_VOLUME</stp>
        <stp>19/10/2015</stp>
        <stp>19/10/2015</stp>
        <stp>[Bbg_Market_Data_CL.xlsm]data!R368C8</stp>
        <tr r="H368" s="1"/>
      </tp>
      <tp t="s">
        <v>#N/A Requesting Data...</v>
        <stp/>
        <stp>##V3_BDHV12</stp>
        <stp>CL1 Comdty</stp>
        <stp>PX_VOLUME</stp>
        <stp>19/10/2015</stp>
        <stp>19/10/2015</stp>
        <stp>[Bbg_Market_Data_CL.xlsm]data!R368C8</stp>
        <tr r="H368" s="1"/>
      </tp>
      <tp>
        <v>115703</v>
        <stp/>
        <stp>##V3_BDHV12</stp>
        <stp>CL2 Comdty</stp>
        <stp>PX_VOLUME</stp>
        <stp>30/08/2016</stp>
        <stp>30/08/2016</stp>
        <stp>[Bbg_Market_Data_CL.xlsm]data!R153C8</stp>
        <tr r="H153" s="1"/>
      </tp>
      <tp t="s">
        <v>#N/A Requesting Data...</v>
        <stp/>
        <stp>##V3_BDHV12</stp>
        <stp>CL1 Comdty</stp>
        <stp>PX_VOLUME</stp>
        <stp>30/08/2016</stp>
        <stp>30/08/2016</stp>
        <stp>[Bbg_Market_Data_CL.xlsm]data!R153C8</stp>
        <tr r="H153" s="1"/>
      </tp>
      <tp t="s">
        <v>#N/A Requesting Data...</v>
        <stp/>
        <stp>##V3_BDHV12</stp>
        <stp>CL1 Comdty</stp>
        <stp>MOV_AVG_30D</stp>
        <stp>08/02/2017</stp>
        <stp>08/02/2017</stp>
        <stp>[Bbg_Market_Data_CL.xlsm]data!R44C11</stp>
        <tr r="K44" s="1"/>
      </tp>
      <tp t="s">
        <v>#N/A Requesting Data...</v>
        <stp/>
        <stp>##V3_BDHV12</stp>
        <stp>CL1 Comdty</stp>
        <stp>MOV_AVG_30D</stp>
        <stp>28/11/2016</stp>
        <stp>28/11/2016</stp>
        <stp>[Bbg_Market_Data_CL.xlsm]data!R93C11</stp>
        <tr r="K93" s="1"/>
      </tp>
      <tp>
        <v>195416</v>
        <stp/>
        <stp>##V3_BDHV12</stp>
        <stp>CL2 Comdty</stp>
        <stp>PX_VOLUME</stp>
        <stp>04/08/2016</stp>
        <stp>04/08/2016</stp>
        <stp>[Bbg_Market_Data_CL.xlsm]data!R170C8</stp>
        <tr r="H170" s="1"/>
      </tp>
      <tp t="s">
        <v>#N/A Requesting Data...</v>
        <stp/>
        <stp>##V3_BDHV12</stp>
        <stp>CL1 Comdty</stp>
        <stp>PX_VOLUME</stp>
        <stp>04/08/2016</stp>
        <stp>04/08/2016</stp>
        <stp>[Bbg_Market_Data_CL.xlsm]data!R170C8</stp>
        <tr r="H170" s="1"/>
      </tp>
      <tp t="s">
        <v>#N/A Requesting Data...</v>
        <stp/>
        <stp>##V3_BDHV12</stp>
        <stp>CL1 Comdty</stp>
        <stp>MOV_AVG_30D</stp>
        <stp>19/12/2016</stp>
        <stp>19/12/2016</stp>
        <stp>[Bbg_Market_Data_CL.xlsm]data!R78C11</stp>
        <tr r="K78" s="1"/>
      </tp>
      <tp t="s">
        <v>#N/A Requesting Data...</v>
        <stp/>
        <stp>##V3_BDHV12</stp>
        <stp>CL1 Comdty</stp>
        <stp>MOV_AVG_30D</stp>
        <stp>09/02/2017</stp>
        <stp>09/02/2017</stp>
        <stp>[Bbg_Market_Data_CL.xlsm]data!R43C11</stp>
        <tr r="K43" s="1"/>
      </tp>
      <tp t="s">
        <v>#N/A Requesting Data...</v>
        <stp/>
        <stp>##V3_BDHV12</stp>
        <stp>CL1 Comdty</stp>
        <stp>MOV_AVG_30D</stp>
        <stp>29/11/2016</stp>
        <stp>29/11/2016</stp>
        <stp>[Bbg_Market_Data_CL.xlsm]data!R92C11</stp>
        <tr r="K92" s="1"/>
      </tp>
      <tp>
        <v>212805</v>
        <stp/>
        <stp>##V3_BDHV12</stp>
        <stp>CL2 Comdty</stp>
        <stp>PX_VOLUME</stp>
        <stp>17/08/2015</stp>
        <stp>17/08/2015</stp>
        <stp>[Bbg_Market_Data_CL.xlsm]data!R411C8</stp>
        <tr r="H411" s="1"/>
      </tp>
      <tp t="s">
        <v>#N/A Requesting Data...</v>
        <stp/>
        <stp>##V3_BDHV12</stp>
        <stp>CL1 Comdty</stp>
        <stp>PX_VOLUME</stp>
        <stp>17/08/2015</stp>
        <stp>17/08/2015</stp>
        <stp>[Bbg_Market_Data_CL.xlsm]data!R411C8</stp>
        <tr r="H411" s="1"/>
      </tp>
      <tp t="s">
        <v>#N/A Requesting Data...</v>
        <stp/>
        <stp>##V3_BDHV12</stp>
        <stp>CL1 Comdty</stp>
        <stp>PX_VOLUME</stp>
        <stp>16/09/2015</stp>
        <stp>16/09/2015</stp>
        <stp>[Bbg_Market_Data_CL.xlsm]data!R390C8</stp>
        <tr r="H390" s="1"/>
      </tp>
      <tp>
        <v>114882</v>
        <stp/>
        <stp>##V3_BDHV12</stp>
        <stp>CL2 Comdty</stp>
        <stp>PX_VOLUME</stp>
        <stp>25/09/2015</stp>
        <stp>25/09/2015</stp>
        <stp>[Bbg_Market_Data_CL.xlsm]data!R383C8</stp>
        <tr r="H383" s="1"/>
      </tp>
      <tp>
        <v>249589</v>
        <stp/>
        <stp>##V3_BDHV12</stp>
        <stp>CL2 Comdty</stp>
        <stp>PX_VOLUME</stp>
        <stp>16/09/2015</stp>
        <stp>16/09/2015</stp>
        <stp>[Bbg_Market_Data_CL.xlsm]data!R390C8</stp>
        <tr r="H390" s="1"/>
      </tp>
      <tp t="s">
        <v>#N/A Requesting Data...</v>
        <stp/>
        <stp>##V3_BDHV12</stp>
        <stp>CL1 Comdty</stp>
        <stp>PX_VOLUME</stp>
        <stp>25/09/2015</stp>
        <stp>25/09/2015</stp>
        <stp>[Bbg_Market_Data_CL.xlsm]data!R383C8</stp>
        <tr r="H383" s="1"/>
      </tp>
      <tp t="s">
        <v>#N/A Requesting Data...</v>
        <stp/>
        <stp>##V3_BDHV12</stp>
        <stp>CL2 Comdty</stp>
        <stp>MOV_AVG_30D</stp>
        <stp>09/01/2017</stp>
        <stp>09/01/2017</stp>
        <stp>[Bbg_Market_Data_CL.xlsm]data!R65C11</stp>
        <tr r="K65" s="1"/>
      </tp>
      <tp t="s">
        <v>#N/A Requesting Data...</v>
        <stp/>
        <stp>##V3_BDHV12</stp>
        <stp>CL2 Comdty</stp>
        <stp>MOV_AVG_30D</stp>
        <stp>29/12/2016</stp>
        <stp>29/12/2016</stp>
        <stp>[Bbg_Market_Data_CL.xlsm]data!R71C11</stp>
        <tr r="K71" s="1"/>
      </tp>
      <tp t="s">
        <v>#N/A Requesting Data...</v>
        <stp/>
        <stp>##V3_BDHV12</stp>
        <stp>CL2 Comdty</stp>
        <stp>MOV_AVG_30D</stp>
        <stp>29/03/2017</stp>
        <stp>29/03/2017</stp>
        <stp>[Bbg_Market_Data_CL.xlsm]data!R10C11</stp>
        <tr r="K10" s="1"/>
      </tp>
      <tp t="s">
        <v>#N/A Requesting Data...</v>
        <stp/>
        <stp>##V3_BDHV12</stp>
        <stp>CL2 Comdty</stp>
        <stp>MOV_AVG_30D</stp>
        <stp>28/12/2016</stp>
        <stp>28/12/2016</stp>
        <stp>[Bbg_Market_Data_CL.xlsm]data!R72C11</stp>
        <tr r="K72" s="1"/>
      </tp>
      <tp t="s">
        <v>#N/A Requesting Data...</v>
        <stp/>
        <stp>##V3_BDHV12</stp>
        <stp>CL2 Comdty</stp>
        <stp>MOV_AVG_30D</stp>
        <stp>28/03/2017</stp>
        <stp>28/03/2017</stp>
        <stp>[Bbg_Market_Data_CL.xlsm]data!R11C11</stp>
        <tr r="K11" s="1"/>
      </tp>
      <tp t="s">
        <v>#N/A Requesting Data...</v>
        <stp/>
        <stp>##V3_BDHV12</stp>
        <stp>CL2 Comdty</stp>
        <stp>MOV_AVG_30D</stp>
        <stp>18/11/2016</stp>
        <stp>18/11/2016</stp>
        <stp>[Bbg_Market_Data_CL.xlsm]data!R98C11</stp>
        <tr r="K98" s="1"/>
      </tp>
      <tp t="s">
        <v>#N/A Requesting Data...</v>
        <stp/>
        <stp>##V3_BDHV12</stp>
        <stp>CL1 Comdty</stp>
        <stp>PX_VOLUME</stp>
        <stp>04/08/2015</stp>
        <stp>04/08/2015</stp>
        <stp>[Bbg_Market_Data_CL.xlsm]data!R420C8</stp>
        <tr r="H420" s="1"/>
      </tp>
      <tp t="s">
        <v>#N/A Requesting Data...</v>
        <stp/>
        <stp>##V3_BDHV12</stp>
        <stp>CL2 Comdty</stp>
        <stp>PX_VOLUME</stp>
        <stp>04/08/2015</stp>
        <stp>04/08/2015</stp>
        <stp>[Bbg_Market_Data_CL.xlsm]data!R420C8</stp>
        <tr r="H420" s="1"/>
      </tp>
      <tp t="s">
        <v>#N/A Requesting Data...</v>
        <stp/>
        <stp>##V3_BDHV12</stp>
        <stp>CL2 Comdty</stp>
        <stp>MOV_AVG_30D</stp>
        <stp>17/11/2016</stp>
        <stp>17/11/2016</stp>
        <stp>[Bbg_Market_Data_CL.xlsm]data!R99C11</stp>
        <tr r="K99" s="1"/>
      </tp>
      <tp t="s">
        <v>#N/A Requesting Data...</v>
        <stp/>
        <stp>##V3_BDHV12</stp>
        <stp>CL1 Comdty</stp>
        <stp>MOV_AVG_30D</stp>
        <stp>14/12/2016</stp>
        <stp>14/12/2016</stp>
        <stp>[Bbg_Market_Data_CL.xlsm]data!R81C11</stp>
        <tr r="K81" s="1"/>
      </tp>
      <tp t="s">
        <v>#N/A Requesting Data...</v>
        <stp/>
        <stp>##V3_BDHV12</stp>
        <stp>CL1 Comdty</stp>
        <stp>MOV_AVG_30D</stp>
        <stp>14/03/2017</stp>
        <stp>14/03/2017</stp>
        <stp>[Bbg_Market_Data_CL.xlsm]data!R21C11</stp>
        <tr r="K21" s="1"/>
      </tp>
      <tp t="s">
        <v>#N/A Requesting Data...</v>
        <stp/>
        <stp>##V3_BDHV12</stp>
        <stp>CL2 Comdty</stp>
        <stp>MOV_AVG_30D</stp>
        <stp>27/03/2017</stp>
        <stp>27/03/2017</stp>
        <stp>[Bbg_Market_Data_CL.xlsm]data!R12C11</stp>
        <tr r="K12" s="1"/>
      </tp>
      <tp t="s">
        <v>#N/A Requesting Data...</v>
        <stp/>
        <stp>##V3_BDHV12</stp>
        <stp>CL2 Comdty</stp>
        <stp>MOV_AVG_30D</stp>
        <stp>27/12/2016</stp>
        <stp>27/12/2016</stp>
        <stp>[Bbg_Market_Data_CL.xlsm]data!R73C11</stp>
        <tr r="K73" s="1"/>
      </tp>
      <tp t="s">
        <v>#N/A Requesting Data...</v>
        <stp/>
        <stp>##V3_BDHV12</stp>
        <stp>CL1 Comdty</stp>
        <stp>PX_VOLUME</stp>
        <stp>02/11/2015</stp>
        <stp>02/11/2015</stp>
        <stp>[Bbg_Market_Data_CL.xlsm]data!R358C8</stp>
        <tr r="H358" s="1"/>
      </tp>
      <tp>
        <v>64618</v>
        <stp/>
        <stp>##V3_BDHV12</stp>
        <stp>CL2 Comdty</stp>
        <stp>PX_VOLUME</stp>
        <stp>02/11/2015</stp>
        <stp>02/11/2015</stp>
        <stp>[Bbg_Market_Data_CL.xlsm]data!R358C8</stp>
        <tr r="H358" s="1"/>
      </tp>
      <tp t="s">
        <v>#N/A Requesting Data...</v>
        <stp/>
        <stp>##V3_BDHV12</stp>
        <stp>CL1 Comdty</stp>
        <stp>MOV_AVG_30D</stp>
        <stp>25/11/2016</stp>
        <stp>25/11/2016</stp>
        <stp>[Bbg_Market_Data_CL.xlsm]data!R94C11</stp>
        <tr r="K94" s="1"/>
      </tp>
      <tp t="s">
        <v>#N/A Requesting Data...</v>
        <stp/>
        <stp>##V3_BDHV12</stp>
        <stp>CL1 Comdty</stp>
        <stp>MOV_AVG_30D</stp>
        <stp>15/12/2016</stp>
        <stp>15/12/2016</stp>
        <stp>[Bbg_Market_Data_CL.xlsm]data!R80C11</stp>
        <tr r="K80" s="1"/>
      </tp>
      <tp t="s">
        <v>#N/A Requesting Data...</v>
        <stp/>
        <stp>##V3_BDHV12</stp>
        <stp>CL1 Comdty</stp>
        <stp>MOV_AVG_30D</stp>
        <stp>15/03/2017</stp>
        <stp>15/03/2017</stp>
        <stp>[Bbg_Market_Data_CL.xlsm]data!R20C11</stp>
        <tr r="K20" s="1"/>
      </tp>
      <tp t="s">
        <v>#N/A Requesting Data...</v>
        <stp/>
        <stp>##V3_BDHV12</stp>
        <stp>CL2 Comdty</stp>
        <stp>MOV_AVG_30D</stp>
        <stp>06/01/2017</stp>
        <stp>06/01/2017</stp>
        <stp>[Bbg_Market_Data_CL.xlsm]data!R66C11</stp>
        <tr r="K66" s="1"/>
      </tp>
      <tp>
        <v>474898</v>
        <stp/>
        <stp>##V3_BDHV12</stp>
        <stp>CL2 Comdty</stp>
        <stp>PX_VOLUME</stp>
        <stp>18/08/2016</stp>
        <stp>18/08/2016</stp>
        <stp>[Bbg_Market_Data_CL.xlsm]data!R161C8</stp>
        <tr r="H161" s="1"/>
      </tp>
      <tp>
        <v>515314</v>
        <stp/>
        <stp>##V3_BDHV12</stp>
        <stp>CL2 Comdty</stp>
        <stp>PX_VOLUME</stp>
        <stp>19/09/2016</stp>
        <stp>19/09/2016</stp>
        <stp>[Bbg_Market_Data_CL.xlsm]data!R140C8</stp>
        <tr r="H140" s="1"/>
      </tp>
      <tp t="s">
        <v>#N/A Requesting Data...</v>
        <stp/>
        <stp>##V3_BDHV12</stp>
        <stp>CL1 Comdty</stp>
        <stp>PX_VOLUME</stp>
        <stp>19/09/2016</stp>
        <stp>19/09/2016</stp>
        <stp>[Bbg_Market_Data_CL.xlsm]data!R140C8</stp>
        <tr r="H140" s="1"/>
      </tp>
      <tp t="s">
        <v>#N/A Requesting Data...</v>
        <stp/>
        <stp>##V3_BDHV12</stp>
        <stp>CL1 Comdty</stp>
        <stp>PX_VOLUME</stp>
        <stp>18/08/2016</stp>
        <stp>18/08/2016</stp>
        <stp>[Bbg_Market_Data_CL.xlsm]data!R161C8</stp>
        <tr r="H161" s="1"/>
      </tp>
      <tp t="s">
        <v>#N/A Requesting Data...</v>
        <stp/>
        <stp>##V3_BDHV12</stp>
        <stp>CL1 Comdty</stp>
        <stp>PX_VOLUME</stp>
        <stp>28/08/2015</stp>
        <stp>28/08/2015</stp>
        <stp>[Bbg_Market_Data_CL.xlsm]data!R402C8</stp>
        <tr r="H402" s="1"/>
      </tp>
      <tp>
        <v>132863</v>
        <stp/>
        <stp>##V3_BDHV12</stp>
        <stp>CL2 Comdty</stp>
        <stp>PX_VOLUME</stp>
        <stp>28/08/2015</stp>
        <stp>28/08/2015</stp>
        <stp>[Bbg_Market_Data_CL.xlsm]data!R402C8</stp>
        <tr r="H402" s="1"/>
      </tp>
      <tp t="s">
        <v>#N/A Requesting Data...</v>
        <stp/>
        <stp>##V3_BDHV12</stp>
        <stp>CL1 Comdty</stp>
        <stp>PX_VOLUME</stp>
        <stp>31/03/2016</stp>
        <stp>31/03/2016</stp>
        <stp>[Bbg_Market_Data_CL.xlsm]data!R258C8</stp>
        <tr r="H258" s="1"/>
      </tp>
      <tp>
        <v>151953</v>
        <stp/>
        <stp>##V3_BDHV12</stp>
        <stp>CL2 Comdty</stp>
        <stp>PX_VOLUME</stp>
        <stp>31/03/2016</stp>
        <stp>31/03/2016</stp>
        <stp>[Bbg_Market_Data_CL.xlsm]data!R258C8</stp>
        <tr r="H258" s="1"/>
      </tp>
      <tp t="s">
        <v>#N/A Requesting Data...</v>
        <stp/>
        <stp>##V3_BDHV12</stp>
        <stp>CL1 Comdty</stp>
        <stp>MOV_AVG_30D</stp>
        <stp>16/03/2017</stp>
        <stp>16/03/2017</stp>
        <stp>[Bbg_Market_Data_CL.xlsm]data!R19C11</stp>
        <tr r="K19" s="1"/>
      </tp>
      <tp t="s">
        <v>#N/A Requesting Data...</v>
        <stp/>
        <stp>##V3_BDHV12</stp>
        <stp>CL2 Comdty</stp>
        <stp>MOV_AVG_30D</stp>
        <stp>05/01/2017</stp>
        <stp>05/01/2017</stp>
        <stp>[Bbg_Market_Data_CL.xlsm]data!R67C11</stp>
        <tr r="K67" s="1"/>
      </tp>
      <tp t="s">
        <v>#N/A Requesting Data...</v>
        <stp/>
        <stp>##V3_BDHV12</stp>
        <stp>CL1 Comdty</stp>
        <stp>MOV_AVG_30D</stp>
        <stp>06/02/2017</stp>
        <stp>06/02/2017</stp>
        <stp>[Bbg_Market_Data_CL.xlsm]data!R46C11</stp>
        <tr r="K46" s="1"/>
      </tp>
      <tp t="s">
        <v>#N/A Requesting Data...</v>
        <stp/>
        <stp>##V3_BDHV12</stp>
        <stp>CL1 Comdty</stp>
        <stp>MOV_AVG_30D</stp>
        <stp>16/12/2016</stp>
        <stp>16/12/2016</stp>
        <stp>[Bbg_Market_Data_CL.xlsm]data!R79C11</stp>
        <tr r="K79" s="1"/>
      </tp>
      <tp t="s">
        <v>#N/A Requesting Data...</v>
        <stp/>
        <stp>##V3_BDHV12</stp>
        <stp>CL1 Comdty</stp>
        <stp>PX_VOLUME</stp>
        <stp>03/11/2016</stp>
        <stp>03/11/2016</stp>
        <stp>[Bbg_Market_Data_CL.xlsm]data!R108C8</stp>
        <tr r="H108" s="1"/>
      </tp>
      <tp>
        <v>157451</v>
        <stp/>
        <stp>##V3_BDHV12</stp>
        <stp>CL2 Comdty</stp>
        <stp>PX_VOLUME</stp>
        <stp>01/10/2015</stp>
        <stp>01/10/2015</stp>
        <stp>[Bbg_Market_Data_CL.xlsm]data!R379C8</stp>
        <tr r="H379" s="1"/>
      </tp>
      <tp>
        <v>122568</v>
        <stp/>
        <stp>##V3_BDHV12</stp>
        <stp>CL2 Comdty</stp>
        <stp>PX_VOLUME</stp>
        <stp>03/11/2016</stp>
        <stp>03/11/2016</stp>
        <stp>[Bbg_Market_Data_CL.xlsm]data!R108C8</stp>
        <tr r="H108" s="1"/>
      </tp>
      <tp t="s">
        <v>#N/A Requesting Data...</v>
        <stp/>
        <stp>##V3_BDHV12</stp>
        <stp>CL1 Comdty</stp>
        <stp>PX_VOLUME</stp>
        <stp>01/10/2015</stp>
        <stp>01/10/2015</stp>
        <stp>[Bbg_Market_Data_CL.xlsm]data!R379C8</stp>
        <tr r="H379" s="1"/>
      </tp>
      <tp t="s">
        <v>#N/A Requesting Data...</v>
        <stp/>
        <stp>##V3_BDHV12</stp>
        <stp>CL1 Comdty</stp>
        <stp>MOV_AVG_30D</stp>
        <stp>17/03/2017</stp>
        <stp>17/03/2017</stp>
        <stp>[Bbg_Market_Data_CL.xlsm]data!R18C11</stp>
        <tr r="K18" s="1"/>
      </tp>
      <tp t="s">
        <v>#N/A Requesting Data...</v>
        <stp/>
        <stp>##V3_BDHV12</stp>
        <stp>CL2 Comdty</stp>
        <stp>MOV_AVG_30D</stp>
        <stp>24/03/2017</stp>
        <stp>24/03/2017</stp>
        <stp>[Bbg_Market_Data_CL.xlsm]data!R13C11</stp>
        <tr r="K13" s="1"/>
      </tp>
      <tp t="s">
        <v>#N/A Requesting Data...</v>
        <stp/>
        <stp>##V3_BDHV12</stp>
        <stp>CL1 Comdty</stp>
        <stp>MOV_AVG_30D</stp>
        <stp>07/02/2017</stp>
        <stp>07/02/2017</stp>
        <stp>[Bbg_Market_Data_CL.xlsm]data!R45C11</stp>
        <tr r="K45" s="1"/>
      </tp>
      <tp t="s">
        <v>#N/A Requesting Data...</v>
        <stp/>
        <stp>##V3_BDHV12</stp>
        <stp>CL2 Comdty</stp>
        <stp>MOV_AVG_30D</stp>
        <stp>04/01/2017</stp>
        <stp>04/01/2017</stp>
        <stp>[Bbg_Market_Data_CL.xlsm]data!R68C11</stp>
        <tr r="K68" s="1"/>
      </tp>
      <tp>
        <v>317053</v>
        <stp/>
        <stp>##V3_BDHV12</stp>
        <stp>CL2 Comdty</stp>
        <stp>PX_VOLUME</stp>
        <stp>28/09/2016</stp>
        <stp>28/09/2016</stp>
        <stp>[Bbg_Market_Data_CL.xlsm]data!R133C8</stp>
        <tr r="H133" s="1"/>
      </tp>
      <tp t="s">
        <v>#N/A Requesting Data...</v>
        <stp/>
        <stp>##V3_BDHV12</stp>
        <stp>CL1 Comdty</stp>
        <stp>PX_VOLUME</stp>
        <stp>28/09/2016</stp>
        <stp>28/09/2016</stp>
        <stp>[Bbg_Market_Data_CL.xlsm]data!R133C8</stp>
        <tr r="H133" s="1"/>
      </tp>
      <tp>
        <v>67442</v>
        <stp/>
        <stp>##V3_BDHV12</stp>
        <stp>CL2 Comdty</stp>
        <stp>PX_VOLUME</stp>
        <stp>31/12/2015</stp>
        <stp>31/12/2015</stp>
        <stp>[Bbg_Market_Data_CL.xlsm]data!R318C8</stp>
        <tr r="H318" s="1"/>
      </tp>
      <tp t="s">
        <v>#N/A Requesting Data...</v>
        <stp/>
        <stp>##V3_BDHV12</stp>
        <stp>CL1 Comdty</stp>
        <stp>PX_VOLUME</stp>
        <stp>31/12/2015</stp>
        <stp>31/12/2015</stp>
        <stp>[Bbg_Market_Data_CL.xlsm]data!R318C8</stp>
        <tr r="H318" s="1"/>
      </tp>
      <tp t="s">
        <v>#N/A Requesting Data...</v>
        <stp/>
        <stp>##V3_BDHV12</stp>
        <stp>CL2 Comdty</stp>
        <stp>MOV_AVG_30D</stp>
        <stp>23/12/2016</stp>
        <stp>23/12/2016</stp>
        <stp>[Bbg_Market_Data_CL.xlsm]data!R74C11</stp>
        <tr r="K74" s="1"/>
      </tp>
      <tp t="s">
        <v>#N/A Requesting Data...</v>
        <stp/>
        <stp>##V3_BDHV12</stp>
        <stp>CL1 Comdty</stp>
        <stp>MOV_AVG_30D</stp>
        <stp>30/01/2017</stp>
        <stp>30/01/2017</stp>
        <stp>[Bbg_Market_Data_CL.xlsm]data!R51C11</stp>
        <tr r="K51" s="1"/>
      </tp>
      <tp t="s">
        <v>#N/A Requesting Data...</v>
        <stp/>
        <stp>##V3_BDHV12</stp>
        <stp>CL2 Comdty</stp>
        <stp>MOV_AVG_30D</stp>
        <stp>03/01/2017</stp>
        <stp>03/01/2017</stp>
        <stp>[Bbg_Market_Data_CL.xlsm]data!R69C11</stp>
        <tr r="K69" s="1"/>
      </tp>
      <tp t="s">
        <v>#N/A Requesting Data...</v>
        <stp/>
        <stp>##V3_BDHV12</stp>
        <stp>CL2 Comdty</stp>
        <stp>MOV_AVG_30D</stp>
        <stp>23/03/2017</stp>
        <stp>23/03/2017</stp>
        <stp>[Bbg_Market_Data_CL.xlsm]data!R14C11</stp>
        <tr r="K14" s="1"/>
      </tp>
      <tp t="s">
        <v>#N/A Requesting Data...</v>
        <stp/>
        <stp>##V3_BDHV12</stp>
        <stp>CL1 Comdty</stp>
        <stp>MOV_AVG_30D</stp>
        <stp>10/03/2017</stp>
        <stp>10/03/2017</stp>
        <stp>[Bbg_Market_Data_CL.xlsm]data!R23C11</stp>
        <tr r="K23" s="1"/>
      </tp>
      <tp>
        <v>186253</v>
        <stp/>
        <stp>##V3_BDHV12</stp>
        <stp>CL2 Comdty</stp>
        <stp>PX_VOLUME</stp>
        <stp>04/10/2016</stp>
        <stp>04/10/2016</stp>
        <stp>[Bbg_Market_Data_CL.xlsm]data!R129C8</stp>
        <tr r="H129" s="1"/>
      </tp>
      <tp t="s">
        <v>#N/A Requesting Data...</v>
        <stp/>
        <stp>##V3_BDHV12</stp>
        <stp>CL1 Comdty</stp>
        <stp>PX_VOLUME</stp>
        <stp>04/10/2016</stp>
        <stp>04/10/2016</stp>
        <stp>[Bbg_Market_Data_CL.xlsm]data!R129C8</stp>
        <tr r="H129" s="1"/>
      </tp>
      <tp t="s">
        <v>#N/A Requesting Data...</v>
        <stp/>
        <stp>##V3_BDHV12</stp>
        <stp>CL1 Comdty</stp>
        <stp>MOV_AVG_30D</stp>
        <stp>21/11/2016</stp>
        <stp>21/11/2016</stp>
        <stp>[Bbg_Market_Data_CL.xlsm]data!R97C11</stp>
        <tr r="K97" s="1"/>
      </tp>
      <tp t="s">
        <v>#N/A Requesting Data...</v>
        <stp/>
        <stp>##V3_BDHV12</stp>
        <stp>CL1 Comdty</stp>
        <stp>MOV_AVG_30D</stp>
        <stp>01/02/2017</stp>
        <stp>01/02/2017</stp>
        <stp>[Bbg_Market_Data_CL.xlsm]data!R49C11</stp>
        <tr r="K49" s="1"/>
      </tp>
      <tp t="s">
        <v>#N/A Requesting Data...</v>
        <stp/>
        <stp>##V3_BDHV12</stp>
        <stp>CL2 Comdty</stp>
        <stp>MOV_AVG_30D</stp>
        <stp>22/12/2016</stp>
        <stp>22/12/2016</stp>
        <stp>[Bbg_Market_Data_CL.xlsm]data!R75C11</stp>
        <tr r="K75" s="1"/>
      </tp>
      <tp t="s">
        <v>#N/A Requesting Data...</v>
        <stp/>
        <stp>##V3_BDHV12</stp>
        <stp>CL1 Comdty</stp>
        <stp>MOV_AVG_30D</stp>
        <stp>31/01/2017</stp>
        <stp>31/01/2017</stp>
        <stp>[Bbg_Market_Data_CL.xlsm]data!R50C11</stp>
        <tr r="K50" s="1"/>
      </tp>
      <tp t="s">
        <v>#N/A Requesting Data...</v>
        <stp/>
        <stp>##V3_BDHV12</stp>
        <stp>CL2 Comdty</stp>
        <stp>MOV_AVG_30D</stp>
        <stp>22/03/2017</stp>
        <stp>22/03/2017</stp>
        <stp>[Bbg_Market_Data_CL.xlsm]data!R15C11</stp>
        <tr r="K15" s="1"/>
      </tp>
      <tp t="s">
        <v>#N/A Requesting Data...</v>
        <stp/>
        <stp>##V3_BDHV12</stp>
        <stp>CL1 Comdty</stp>
        <stp>PX_VOLUME</stp>
        <stp>15/01/2016</stp>
        <stp>15/01/2016</stp>
        <stp>[Bbg_Market_Data_CL.xlsm]data!R308C8</stp>
        <tr r="H308" s="1"/>
      </tp>
      <tp t="s">
        <v>#N/A Requesting Data...</v>
        <stp/>
        <stp>##V3_BDHV12</stp>
        <stp>CL1 Comdty</stp>
        <stp>PX_VOLUME</stp>
        <stp>16/11/2015</stp>
        <stp>16/11/2015</stp>
        <stp>[Bbg_Market_Data_CL.xlsm]data!R349C8</stp>
        <tr r="H349" s="1"/>
      </tp>
      <tp>
        <v>358984</v>
        <stp/>
        <stp>##V3_BDHV12</stp>
        <stp>CL2 Comdty</stp>
        <stp>PX_VOLUME</stp>
        <stp>15/01/2016</stp>
        <stp>15/01/2016</stp>
        <stp>[Bbg_Market_Data_CL.xlsm]data!R308C8</stp>
        <tr r="H308" s="1"/>
      </tp>
      <tp>
        <v>354422</v>
        <stp/>
        <stp>##V3_BDHV12</stp>
        <stp>CL2 Comdty</stp>
        <stp>PX_VOLUME</stp>
        <stp>16/11/2015</stp>
        <stp>16/11/2015</stp>
        <stp>[Bbg_Market_Data_CL.xlsm]data!R349C8</stp>
        <tr r="H349" s="1"/>
      </tp>
      <tp t="s">
        <v>#N/A Requesting Data...</v>
        <stp/>
        <stp>##V3_BDHV12</stp>
        <stp>CL1 Comdty</stp>
        <stp>MOV_AVG_30D</stp>
        <stp>12/12/2016</stp>
        <stp>12/12/2016</stp>
        <stp>[Bbg_Market_Data_CL.xlsm]data!R83C11</stp>
        <tr r="K83" s="1"/>
      </tp>
      <tp t="s">
        <v>#N/A Requesting Data...</v>
        <stp/>
        <stp>##V3_BDHV12</stp>
        <stp>CL1 Comdty</stp>
        <stp>MOV_AVG_30D</stp>
        <stp>22/11/2016</stp>
        <stp>22/11/2016</stp>
        <stp>[Bbg_Market_Data_CL.xlsm]data!R96C11</stp>
        <tr r="K96" s="1"/>
      </tp>
      <tp t="s">
        <v>#N/A Requesting Data...</v>
        <stp/>
        <stp>##V3_BDHV12</stp>
        <stp>CL2 Comdty</stp>
        <stp>MOV_AVG_30D</stp>
        <stp>21/12/2016</stp>
        <stp>21/12/2016</stp>
        <stp>[Bbg_Market_Data_CL.xlsm]data!R76C11</stp>
        <tr r="K76" s="1"/>
      </tp>
      <tp t="s">
        <v>#N/A Requesting Data...</v>
        <stp/>
        <stp>##V3_BDHV12</stp>
        <stp>CL1 Comdty</stp>
        <stp>MOV_AVG_30D</stp>
        <stp>02/02/2017</stp>
        <stp>02/02/2017</stp>
        <stp>[Bbg_Market_Data_CL.xlsm]data!R48C11</stp>
        <tr r="K48" s="1"/>
      </tp>
      <tp t="s">
        <v>#N/A Requesting Data...</v>
        <stp/>
        <stp>##V3_BDHV12</stp>
        <stp>CL2 Comdty</stp>
        <stp>MOV_AVG_30D</stp>
        <stp>21/03/2017</stp>
        <stp>21/03/2017</stp>
        <stp>[Bbg_Market_Data_CL.xlsm]data!R16C11</stp>
        <tr r="K16" s="1"/>
      </tp>
      <tp t="s">
        <v>#N/A Requesting Data...</v>
        <stp/>
        <stp>##V3_BDHV12</stp>
        <stp>CL1 Comdty</stp>
        <stp>MOV_AVG_30D</stp>
        <stp>23/11/2016</stp>
        <stp>23/11/2016</stp>
        <stp>[Bbg_Market_Data_CL.xlsm]data!R95C11</stp>
        <tr r="K95" s="1"/>
      </tp>
      <tp t="s">
        <v>#N/A Requesting Data...</v>
        <stp/>
        <stp>##V3_BDHV12</stp>
        <stp>CL1 Comdty</stp>
        <stp>MOV_AVG_30D</stp>
        <stp>13/12/2016</stp>
        <stp>13/12/2016</stp>
        <stp>[Bbg_Market_Data_CL.xlsm]data!R82C11</stp>
        <tr r="K82" s="1"/>
      </tp>
      <tp t="s">
        <v>#N/A Requesting Data...</v>
        <stp/>
        <stp>##V3_BDHV12</stp>
        <stp>CL1 Comdty</stp>
        <stp>MOV_AVG_30D</stp>
        <stp>03/02/2017</stp>
        <stp>03/02/2017</stp>
        <stp>[Bbg_Market_Data_CL.xlsm]data!R47C11</stp>
        <tr r="K47" s="1"/>
      </tp>
      <tp t="s">
        <v>#N/A Requesting Data...</v>
        <stp/>
        <stp>##V3_BDHV12</stp>
        <stp>CL2 Comdty</stp>
        <stp>MOV_AVG_30D</stp>
        <stp>20/12/2016</stp>
        <stp>20/12/2016</stp>
        <stp>[Bbg_Market_Data_CL.xlsm]data!R77C11</stp>
        <tr r="K77" s="1"/>
      </tp>
      <tp t="s">
        <v>#N/A Requesting Data...</v>
        <stp/>
        <stp>##V3_BDHV12</stp>
        <stp>CL2 Comdty</stp>
        <stp>MOV_AVG_30D</stp>
        <stp>20/03/2017</stp>
        <stp>20/03/2017</stp>
        <stp>[Bbg_Market_Data_CL.xlsm]data!R17C11</stp>
        <tr r="K17" s="1"/>
      </tp>
      <tp t="s">
        <v>#N/A Requesting Data...</v>
        <stp/>
        <stp>##V3_BDHV12</stp>
        <stp>CL1 Comdty</stp>
        <stp>MOV_AVG_30D</stp>
        <stp>13/03/2017</stp>
        <stp>13/03/2017</stp>
        <stp>[Bbg_Market_Data_CL.xlsm]data!R22C11</stp>
        <tr r="K22" s="1"/>
      </tp>
      <tp t="s">
        <v>#N/A Requesting Data...</v>
        <stp/>
        <stp>##V3_BDHV12</stp>
        <stp>SPGSCLP Index</stp>
        <stp>CHG_PCT_1D</stp>
        <stp>20/03/2017</stp>
        <stp>20/03/2017</stp>
        <stp>[Bbg_Market_Data_CL.xlsm]data!R17C3</stp>
        <tr r="C17" s="1"/>
      </tp>
      <tp t="s">
        <v>#N/A Requesting Data...</v>
        <stp/>
        <stp>##V3_BDHV12</stp>
        <stp>SPGSCLP Index</stp>
        <stp>CHG_PCT_1D</stp>
        <stp>21/12/2016</stp>
        <stp>21/12/2016</stp>
        <stp>[Bbg_Market_Data_CL.xlsm]data!R76C3</stp>
        <tr r="C76" s="1"/>
      </tp>
      <tp t="s">
        <v>#N/A Requesting Data...</v>
        <stp/>
        <stp>##V3_BDHV12</stp>
        <stp>SPGSCLP Index</stp>
        <stp>CHG_PCT_5D</stp>
        <stp>05/01/2017</stp>
        <stp>05/01/2017</stp>
        <stp>[Bbg_Market_Data_CL.xlsm]data!R67C4</stp>
        <tr r="D67" s="1"/>
      </tp>
      <tp t="s">
        <v>#N/A Requesting Data...</v>
        <stp/>
        <stp>##V3_BDHV12</stp>
        <stp>SPGSCLP Index</stp>
        <stp>CHG_PCT_1D</stp>
        <stp>05/01/2017</stp>
        <stp>05/01/2017</stp>
        <stp>[Bbg_Market_Data_CL.xlsm]data!R67C3</stp>
        <tr r="C67" s="1"/>
      </tp>
      <tp t="s">
        <v>#N/A Requesting Data...</v>
        <stp/>
        <stp>##V3_BDHV12</stp>
        <stp>SPGSCLP Index</stp>
        <stp>CHG_PCT_5D</stp>
        <stp>21/12/2016</stp>
        <stp>21/12/2016</stp>
        <stp>[Bbg_Market_Data_CL.xlsm]data!R76C4</stp>
        <tr r="D76" s="1"/>
      </tp>
      <tp t="s">
        <v>#N/A Requesting Data...</v>
        <stp/>
        <stp>##V3_BDHV12</stp>
        <stp>SPGSCLP Index</stp>
        <stp>CHG_PCT_5D</stp>
        <stp>20/03/2017</stp>
        <stp>20/03/2017</stp>
        <stp>[Bbg_Market_Data_CL.xlsm]data!R17C4</stp>
        <tr r="D17" s="1"/>
      </tp>
      <tp t="s">
        <v>#N/A Requesting Data...</v>
        <stp/>
        <stp>##V3_BDHV12</stp>
        <stp>SPGSCLP Index</stp>
        <stp>CHG_PCT_5D</stp>
        <stp>07/12/2016</stp>
        <stp>07/12/2016</stp>
        <stp>[Bbg_Market_Data_CL.xlsm]data!R86C4</stp>
        <tr r="D86" s="1"/>
      </tp>
      <tp t="s">
        <v>#N/A Requesting Data...</v>
        <stp/>
        <stp>##V3_BDHV12</stp>
        <stp>SPGSCLP Index</stp>
        <stp>CHG_PCT_5D</stp>
        <stp>17/02/2017</stp>
        <stp>17/02/2017</stp>
        <stp>[Bbg_Market_Data_CL.xlsm]data!R37C4</stp>
        <tr r="D37" s="1"/>
      </tp>
      <tp t="s">
        <v>#N/A Requesting Data...</v>
        <stp/>
        <stp>##V3_BDHV12</stp>
        <stp>SPGSCLP Index</stp>
        <stp>CHG_PCT_1D</stp>
        <stp>20/01/2017</stp>
        <stp>20/01/2017</stp>
        <stp>[Bbg_Market_Data_CL.xlsm]data!R57C3</stp>
        <tr r="C57" s="1"/>
      </tp>
      <tp t="s">
        <v>#N/A Requesting Data...</v>
        <stp/>
        <stp>##V3_BDHV12</stp>
        <stp>SPGSCLP Index</stp>
        <stp>CHG_PCT_5D</stp>
        <stp>06/03/2017</stp>
        <stp>06/03/2017</stp>
        <stp>[Bbg_Market_Data_CL.xlsm]data!R27C4</stp>
        <tr r="D27" s="1"/>
      </tp>
      <tp t="s">
        <v>#N/A Requesting Data...</v>
        <stp/>
        <stp>##V3_BDHV12</stp>
        <stp>SPGSCLP Index</stp>
        <stp>CHG_PCT_1D</stp>
        <stp>06/03/2017</stp>
        <stp>06/03/2017</stp>
        <stp>[Bbg_Market_Data_CL.xlsm]data!R27C3</stp>
        <tr r="C27" s="1"/>
      </tp>
      <tp t="s">
        <v>#N/A Requesting Data...</v>
        <stp/>
        <stp>##V3_BDHV12</stp>
        <stp>SPGSCLP Index</stp>
        <stp>CHG_PCT_1D</stp>
        <stp>07/12/2016</stp>
        <stp>07/12/2016</stp>
        <stp>[Bbg_Market_Data_CL.xlsm]data!R86C3</stp>
        <tr r="C86" s="1"/>
      </tp>
      <tp t="s">
        <v>#N/A Requesting Data...</v>
        <stp/>
        <stp>##V3_BDHV12</stp>
        <stp>SPGSCLP Index</stp>
        <stp>CHG_PCT_5D</stp>
        <stp>20/01/2017</stp>
        <stp>20/01/2017</stp>
        <stp>[Bbg_Market_Data_CL.xlsm]data!R57C4</stp>
        <tr r="D57" s="1"/>
      </tp>
      <tp t="s">
        <v>#N/A Requesting Data...</v>
        <stp/>
        <stp>##V3_BDHV12</stp>
        <stp>SPGSCLP Index</stp>
        <stp>CHG_PCT_1D</stp>
        <stp>17/02/2017</stp>
        <stp>17/02/2017</stp>
        <stp>[Bbg_Market_Data_CL.xlsm]data!R37C3</stp>
        <tr r="C37" s="1"/>
      </tp>
      <tp t="s">
        <v>#N/A Requesting Data...</v>
        <stp/>
        <stp>##V3_BDHV12</stp>
        <stp>SPGSCLP Index</stp>
        <stp>CHG_PCT_1D</stp>
        <stp>03/02/2017</stp>
        <stp>03/02/2017</stp>
        <stp>[Bbg_Market_Data_CL.xlsm]data!R47C3</stp>
        <tr r="C47" s="1"/>
      </tp>
      <tp t="s">
        <v>#N/A Requesting Data...</v>
        <stp/>
        <stp>##V3_BDHV12</stp>
        <stp>SPGSCLP Index</stp>
        <stp>CHG_PCT_1D</stp>
        <stp>22/11/2016</stp>
        <stp>22/11/2016</stp>
        <stp>[Bbg_Market_Data_CL.xlsm]data!R96C3</stp>
        <tr r="C96" s="1"/>
      </tp>
      <tp t="s">
        <v>#N/A Requesting Data...</v>
        <stp/>
        <stp>##V3_BDHV12</stp>
        <stp>SPGSCLP Index</stp>
        <stp>CHG_PCT_5D</stp>
        <stp>22/11/2016</stp>
        <stp>22/11/2016</stp>
        <stp>[Bbg_Market_Data_CL.xlsm]data!R96C4</stp>
        <tr r="D96" s="1"/>
      </tp>
      <tp t="s">
        <v>#N/A Requesting Data...</v>
        <stp/>
        <stp>##V3_BDHV12</stp>
        <stp>SPGSCLP Index</stp>
        <stp>CHG_PCT_5D</stp>
        <stp>03/02/2017</stp>
        <stp>03/02/2017</stp>
        <stp>[Bbg_Market_Data_CL.xlsm]data!R47C4</stp>
        <tr r="D47" s="1"/>
      </tp>
      <tp t="s">
        <v>#N/A Requesting Data...</v>
        <stp/>
        <stp>##V3_BDHV12</stp>
        <stp>CL1 Comdty</stp>
        <stp>VOLUME_TOTAL_CALL</stp>
        <stp>07/08/2015</stp>
        <stp>07/08/2015</stp>
        <stp>[Bbg_Market_Data_CL.xlsm]data!R417C15</stp>
        <tr r="O417" s="1"/>
      </tp>
      <tp t="s">
        <v>#N/A Requesting Data...</v>
        <stp/>
        <stp>##V3_BDHV12</stp>
        <stp>CL2 Comdty</stp>
        <stp>VOLUME_TOTAL_CALL</stp>
        <stp>25/08/2015</stp>
        <stp>25/08/2015</stp>
        <stp>[Bbg_Market_Data_CL.xlsm]data!R405C15</stp>
        <tr r="O405" s="1"/>
      </tp>
      <tp t="s">
        <v>#N/A Requesting Data...</v>
        <stp/>
        <stp>##V3_BDHV12</stp>
        <stp>CL1 Comdty</stp>
        <stp>VOLUME_TOTAL_CALL</stp>
        <stp>25/08/2015</stp>
        <stp>25/08/2015</stp>
        <stp>[Bbg_Market_Data_CL.xlsm]data!R405C15</stp>
        <tr r="O405" s="1"/>
      </tp>
      <tp t="s">
        <v>#N/A Requesting Data...</v>
        <stp/>
        <stp>##V3_BDHV12</stp>
        <stp>CL2 Comdty</stp>
        <stp>VOLUME_TOTAL_CALL</stp>
        <stp>07/08/2015</stp>
        <stp>07/08/2015</stp>
        <stp>[Bbg_Market_Data_CL.xlsm]data!R417C15</stp>
        <tr r="O417" s="1"/>
      </tp>
      <tp t="s">
        <v>#N/A Requesting Data...</v>
        <stp/>
        <stp>##V3_BDHV12</stp>
        <stp>CL1 Comdty</stp>
        <stp>VOLUME_TOTAL_CALL</stp>
        <stp>15/08/2016</stp>
        <stp>15/08/2016</stp>
        <stp>[Bbg_Market_Data_CL.xlsm]data!R164C15</stp>
        <tr r="O164" s="1"/>
      </tp>
      <tp t="s">
        <v>#N/A Requesting Data...</v>
        <stp/>
        <stp>##V3_BDHV12</stp>
        <stp>CL2 Comdty</stp>
        <stp>VOLUME_TOTAL_CALL</stp>
        <stp>26/08/2016</stp>
        <stp>26/08/2016</stp>
        <stp>[Bbg_Market_Data_CL.xlsm]data!R155C15</stp>
        <tr r="O155" s="1"/>
      </tp>
      <tp t="s">
        <v>#N/A Requesting Data...</v>
        <stp/>
        <stp>##V3_BDHV12</stp>
        <stp>CL1 Comdty</stp>
        <stp>VOLUME_TOTAL_CALL</stp>
        <stp>24/09/2015</stp>
        <stp>24/09/2015</stp>
        <stp>[Bbg_Market_Data_CL.xlsm]data!R384C15</stp>
        <tr r="O384" s="1"/>
      </tp>
      <tp t="s">
        <v>#N/A Requesting Data...</v>
        <stp/>
        <stp>##V3_BDHV12</stp>
        <stp>CL2 Comdty</stp>
        <stp>VOLUME_TOTAL_CALL</stp>
        <stp>17/09/2015</stp>
        <stp>17/09/2015</stp>
        <stp>[Bbg_Market_Data_CL.xlsm]data!R389C15</stp>
        <tr r="O389" s="1"/>
      </tp>
      <tp t="s">
        <v>#N/A Requesting Data...</v>
        <stp/>
        <stp>##V3_BDHV12</stp>
        <stp>CL2 Comdty</stp>
        <stp>VOLUME_TOTAL_CALL</stp>
        <stp>27/09/2016</stp>
        <stp>27/09/2016</stp>
        <stp>[Bbg_Market_Data_CL.xlsm]data!R134C15</stp>
        <tr r="O134" s="1"/>
      </tp>
      <tp t="s">
        <v>#N/A Requesting Data...</v>
        <stp/>
        <stp>##V3_BDHV12</stp>
        <stp>CL1 Comdty</stp>
        <stp>VOLUME_TOTAL_CALL</stp>
        <stp>04/08/2016</stp>
        <stp>04/08/2016</stp>
        <stp>[Bbg_Market_Data_CL.xlsm]data!R170C15</stp>
        <tr r="O170" s="1"/>
      </tp>
      <tp t="s">
        <v>#N/A Requesting Data...</v>
        <stp/>
        <stp>##V3_BDHV12</stp>
        <stp>CL1 Comdty</stp>
        <stp>VOLUME_TOTAL_CALL</stp>
        <stp>14/09/2016</stp>
        <stp>14/09/2016</stp>
        <stp>[Bbg_Market_Data_CL.xlsm]data!R143C15</stp>
        <tr r="O143" s="1"/>
      </tp>
      <tp t="s">
        <v>#N/A Requesting Data...</v>
        <stp/>
        <stp>##V3_BDHV12</stp>
        <stp>CL1 Comdty</stp>
        <stp>VOLUME_TOTAL_CALL</stp>
        <stp>27/09/2016</stp>
        <stp>27/09/2016</stp>
        <stp>[Bbg_Market_Data_CL.xlsm]data!R134C15</stp>
        <tr r="O134" s="1"/>
      </tp>
      <tp t="s">
        <v>#N/A Requesting Data...</v>
        <stp/>
        <stp>##V3_BDHV12</stp>
        <stp>CL2 Comdty</stp>
        <stp>VOLUME_TOTAL_CALL</stp>
        <stp>04/08/2016</stp>
        <stp>04/08/2016</stp>
        <stp>[Bbg_Market_Data_CL.xlsm]data!R170C15</stp>
        <tr r="O170" s="1"/>
      </tp>
      <tp t="s">
        <v>#N/A Requesting Data...</v>
        <stp/>
        <stp>##V3_BDHV12</stp>
        <stp>CL2 Comdty</stp>
        <stp>VOLUME_TOTAL_CALL</stp>
        <stp>14/09/2016</stp>
        <stp>14/09/2016</stp>
        <stp>[Bbg_Market_Data_CL.xlsm]data!R143C15</stp>
        <tr r="O143" s="1"/>
      </tp>
      <tp t="s">
        <v>#N/A Requesting Data...</v>
        <stp/>
        <stp>##V3_BDHV12</stp>
        <stp>CL2 Comdty</stp>
        <stp>VOLUME_TOTAL_CALL</stp>
        <stp>15/08/2016</stp>
        <stp>15/08/2016</stp>
        <stp>[Bbg_Market_Data_CL.xlsm]data!R164C15</stp>
        <tr r="O164" s="1"/>
      </tp>
      <tp t="s">
        <v>#N/A Requesting Data...</v>
        <stp/>
        <stp>##V3_BDHV12</stp>
        <stp>CL1 Comdty</stp>
        <stp>VOLUME_TOTAL_CALL</stp>
        <stp>26/08/2016</stp>
        <stp>26/08/2016</stp>
        <stp>[Bbg_Market_Data_CL.xlsm]data!R155C15</stp>
        <tr r="O155" s="1"/>
      </tp>
      <tp t="s">
        <v>#N/A Requesting Data...</v>
        <stp/>
        <stp>##V3_BDHV12</stp>
        <stp>CL2 Comdty</stp>
        <stp>VOLUME_TOTAL_CALL</stp>
        <stp>24/09/2015</stp>
        <stp>24/09/2015</stp>
        <stp>[Bbg_Market_Data_CL.xlsm]data!R384C15</stp>
        <tr r="O384" s="1"/>
      </tp>
      <tp t="s">
        <v>#N/A Requesting Data...</v>
        <stp/>
        <stp>##V3_BDHV12</stp>
        <stp>CL1 Comdty</stp>
        <stp>VOLUME_TOTAL_CALL</stp>
        <stp>17/09/2015</stp>
        <stp>17/09/2015</stp>
        <stp>[Bbg_Market_Data_CL.xlsm]data!R389C15</stp>
        <tr r="O389" s="1"/>
      </tp>
      <tp t="s">
        <v>#N/A Requesting Data...</v>
        <stp/>
        <stp>##V3_BDHV12</stp>
        <stp>CL2 Comdty</stp>
        <stp>VOLUME_TOTAL_CALL</stp>
        <stp>09/05/2016</stp>
        <stp>09/05/2016</stp>
        <stp>[Bbg_Market_Data_CL.xlsm]data!R231C15</stp>
        <tr r="O231" s="1"/>
      </tp>
      <tp t="s">
        <v>#N/A Requesting Data...</v>
        <stp/>
        <stp>##V3_BDHV12</stp>
        <stp>CL1 Comdty</stp>
        <stp>VOLUME_TOTAL_CALL</stp>
        <stp>29/07/2016</stp>
        <stp>29/07/2016</stp>
        <stp>[Bbg_Market_Data_CL.xlsm]data!R174C15</stp>
        <tr r="O174" s="1"/>
      </tp>
      <tp t="s">
        <v>#N/A Requesting Data...</v>
        <stp/>
        <stp>##V3_BDHV12</stp>
        <stp>CL2 Comdty</stp>
        <stp>VOLUME_TOTAL_CALL</stp>
        <stp>19/04/2016</stp>
        <stp>19/04/2016</stp>
        <stp>[Bbg_Market_Data_CL.xlsm]data!R245C15</stp>
        <tr r="O245" s="1"/>
      </tp>
      <tp t="s">
        <v>#N/A Requesting Data...</v>
        <stp/>
        <stp>##V3_BDHV12</stp>
        <stp>CL2 Comdty</stp>
        <stp>VOLUME_TOTAL_CALL</stp>
        <stp>18/05/2016</stp>
        <stp>18/05/2016</stp>
        <stp>[Bbg_Market_Data_CL.xlsm]data!R224C15</stp>
        <tr r="O224" s="1"/>
      </tp>
      <tp t="s">
        <v>#N/A Requesting Data...</v>
        <stp/>
        <stp>##V3_BDHV12</stp>
        <stp>CL2 Comdty</stp>
        <stp>VOLUME_TOTAL_CALL</stp>
        <stp>08/04/2016</stp>
        <stp>08/04/2016</stp>
        <stp>[Bbg_Market_Data_CL.xlsm]data!R252C15</stp>
        <tr r="O252" s="1"/>
      </tp>
      <tp t="s">
        <v>#N/A Requesting Data...</v>
        <stp/>
        <stp>##V3_BDHV12</stp>
        <stp>CL1 Comdty</stp>
        <stp>VOLUME_TOTAL_CALL</stp>
        <stp>28/06/2016</stp>
        <stp>28/06/2016</stp>
        <stp>[Bbg_Market_Data_CL.xlsm]data!R196C15</stp>
        <tr r="O196" s="1"/>
      </tp>
      <tp t="s">
        <v>#N/A Requesting Data...</v>
        <stp/>
        <stp>##V3_BDHV12</stp>
        <stp>CL1 Comdty</stp>
        <stp>VOLUME_TOTAL_CALL</stp>
        <stp>18/05/2016</stp>
        <stp>18/05/2016</stp>
        <stp>[Bbg_Market_Data_CL.xlsm]data!R224C15</stp>
        <tr r="O224" s="1"/>
      </tp>
      <tp t="s">
        <v>#N/A Requesting Data...</v>
        <stp/>
        <stp>##V3_BDHV12</stp>
        <stp>CL1 Comdty</stp>
        <stp>VOLUME_TOTAL_CALL</stp>
        <stp>08/04/2016</stp>
        <stp>08/04/2016</stp>
        <stp>[Bbg_Market_Data_CL.xlsm]data!R252C15</stp>
        <tr r="O252" s="1"/>
      </tp>
      <tp t="s">
        <v>#N/A Requesting Data...</v>
        <stp/>
        <stp>##V3_BDHV12</stp>
        <stp>CL2 Comdty</stp>
        <stp>VOLUME_TOTAL_CALL</stp>
        <stp>28/06/2016</stp>
        <stp>28/06/2016</stp>
        <stp>[Bbg_Market_Data_CL.xlsm]data!R196C15</stp>
        <tr r="O196" s="1"/>
      </tp>
      <tp t="s">
        <v>#N/A Requesting Data...</v>
        <stp/>
        <stp>##V3_BDHV12</stp>
        <stp>CL1 Comdty</stp>
        <stp>VOLUME_TOTAL_CALL</stp>
        <stp>09/05/2016</stp>
        <stp>09/05/2016</stp>
        <stp>[Bbg_Market_Data_CL.xlsm]data!R231C15</stp>
        <tr r="O231" s="1"/>
      </tp>
      <tp t="s">
        <v>#N/A Requesting Data...</v>
        <stp/>
        <stp>##V3_BDHV12</stp>
        <stp>CL2 Comdty</stp>
        <stp>VOLUME_TOTAL_CALL</stp>
        <stp>29/07/2016</stp>
        <stp>29/07/2016</stp>
        <stp>[Bbg_Market_Data_CL.xlsm]data!R174C15</stp>
        <tr r="O174" s="1"/>
      </tp>
      <tp t="s">
        <v>#N/A Requesting Data...</v>
        <stp/>
        <stp>##V3_BDHV12</stp>
        <stp>CL1 Comdty</stp>
        <stp>VOLUME_TOTAL_CALL</stp>
        <stp>19/04/2016</stp>
        <stp>19/04/2016</stp>
        <stp>[Bbg_Market_Data_CL.xlsm]data!R245C15</stp>
        <tr r="O245" s="1"/>
      </tp>
      <tp t="s">
        <v>#N/A Requesting Data...</v>
        <stp/>
        <stp>##V3_BDHV12</stp>
        <stp>CL2 Comdty</stp>
        <stp>VOLUME_TOTAL_CALL</stp>
        <stp>08/07/2015</stp>
        <stp>08/07/2015</stp>
        <stp>[Bbg_Market_Data_CL.xlsm]data!R439C15</stp>
        <tr r="O439" s="1"/>
      </tp>
      <tp t="s">
        <v>#N/A Requesting Data...</v>
        <stp/>
        <stp>##V3_BDHV12</stp>
        <stp>CL2 Comdty</stp>
        <stp>VOLUME_TOTAL_CALL</stp>
        <stp>28/05/2015</stp>
        <stp>28/05/2015</stp>
        <stp>[Bbg_Market_Data_CL.xlsm]data!R467C15</stp>
        <tr r="O467" s="1"/>
      </tp>
      <tp t="s">
        <v>#N/A Requesting Data...</v>
        <stp/>
        <stp>##V3_BDHV12</stp>
        <stp>CL2 Comdty</stp>
        <stp>VOLUME_TOTAL_CALL</stp>
        <stp>18/06/2015</stp>
        <stp>18/06/2015</stp>
        <stp>[Bbg_Market_Data_CL.xlsm]data!R452C15</stp>
        <tr r="O452" s="1"/>
      </tp>
      <tp t="s">
        <v>#N/A Requesting Data...</v>
        <stp/>
        <stp>##V3_BDHV12</stp>
        <stp>CL2 Comdty</stp>
        <stp>VOLUME_TOTAL_CALL</stp>
        <stp>09/06/2015</stp>
        <stp>09/06/2015</stp>
        <stp>[Bbg_Market_Data_CL.xlsm]data!R459C15</stp>
        <tr r="O459" s="1"/>
      </tp>
      <tp t="s">
        <v>#N/A Requesting Data...</v>
        <stp/>
        <stp>##V3_BDHV12</stp>
        <stp>CL2 Comdty</stp>
        <stp>VOLUME_TOTAL_CALL</stp>
        <stp>29/04/2015</stp>
        <stp>29/04/2015</stp>
        <stp>[Bbg_Market_Data_CL.xlsm]data!R487C15</stp>
        <tr r="O487" s="1"/>
      </tp>
      <tp t="s">
        <v>#N/A Requesting Data...</v>
        <stp/>
        <stp>##V3_BDHV12</stp>
        <stp>CL1 Comdty</stp>
        <stp>VOLUME_TOTAL_CALL</stp>
        <stp>09/06/2015</stp>
        <stp>09/06/2015</stp>
        <stp>[Bbg_Market_Data_CL.xlsm]data!R459C15</stp>
        <tr r="O459" s="1"/>
      </tp>
      <tp t="s">
        <v>#N/A Requesting Data...</v>
        <stp/>
        <stp>##V3_BDHV12</stp>
        <stp>CL1 Comdty</stp>
        <stp>VOLUME_TOTAL_CALL</stp>
        <stp>29/04/2015</stp>
        <stp>29/04/2015</stp>
        <stp>[Bbg_Market_Data_CL.xlsm]data!R487C15</stp>
        <tr r="O487" s="1"/>
      </tp>
      <tp t="s">
        <v>#N/A Requesting Data...</v>
        <stp/>
        <stp>##V3_BDHV12</stp>
        <stp>CL1 Comdty</stp>
        <stp>VOLUME_TOTAL_CALL</stp>
        <stp>08/07/2015</stp>
        <stp>08/07/2015</stp>
        <stp>[Bbg_Market_Data_CL.xlsm]data!R439C15</stp>
        <tr r="O439" s="1"/>
      </tp>
      <tp t="s">
        <v>#N/A Requesting Data...</v>
        <stp/>
        <stp>##V3_BDHV12</stp>
        <stp>CL1 Comdty</stp>
        <stp>VOLUME_TOTAL_CALL</stp>
        <stp>28/05/2015</stp>
        <stp>28/05/2015</stp>
        <stp>[Bbg_Market_Data_CL.xlsm]data!R467C15</stp>
        <tr r="O467" s="1"/>
      </tp>
      <tp t="s">
        <v>#N/A Requesting Data...</v>
        <stp/>
        <stp>##V3_BDHV12</stp>
        <stp>CL1 Comdty</stp>
        <stp>VOLUME_TOTAL_CALL</stp>
        <stp>18/06/2015</stp>
        <stp>18/06/2015</stp>
        <stp>[Bbg_Market_Data_CL.xlsm]data!R452C15</stp>
        <tr r="O452" s="1"/>
      </tp>
      <tp>
        <v>631938</v>
        <stp/>
        <stp>##V3_BDHV12</stp>
        <stp>CL2 Comdty</stp>
        <stp>PX_VOLUME</stp>
        <stp>19/10/2016</stp>
        <stp>19/10/2016</stp>
        <stp>[Bbg_Market_Data_CL.xlsm]data!R119C8</stp>
        <tr r="H119" s="1"/>
      </tp>
      <tp t="s">
        <v>#N/A Requesting Data...</v>
        <stp/>
        <stp>##V3_BDHV12</stp>
        <stp>CL1 Comdty</stp>
        <stp>PX_VOLUME</stp>
        <stp>19/10/2016</stp>
        <stp>19/10/2016</stp>
        <stp>[Bbg_Market_Data_CL.xlsm]data!R119C8</stp>
        <tr r="H119" s="1"/>
      </tp>
      <tp t="s">
        <v>#N/A Requesting Data...</v>
        <stp/>
        <stp>##V3_BDHV12</stp>
        <stp>CL2 Comdty</stp>
        <stp>PX_VOLUME</stp>
        <stp>03/08/2015</stp>
        <stp>03/08/2015</stp>
        <stp>[Bbg_Market_Data_CL.xlsm]data!R421C8</stp>
        <tr r="H421" s="1"/>
      </tp>
      <tp t="s">
        <v>#N/A Requesting Data...</v>
        <stp/>
        <stp>##V3_BDHV12</stp>
        <stp>CL1 Comdty</stp>
        <stp>PX_VOLUME</stp>
        <stp>03/08/2015</stp>
        <stp>03/08/2015</stp>
        <stp>[Bbg_Market_Data_CL.xlsm]data!R421C8</stp>
        <tr r="H421" s="1"/>
      </tp>
      <tp>
        <v>143478</v>
        <stp/>
        <stp>##V3_BDHV12</stp>
        <stp>CL2 Comdty</stp>
        <stp>PX_VOLUME</stp>
        <stp>31/08/2016</stp>
        <stp>31/08/2016</stp>
        <stp>[Bbg_Market_Data_CL.xlsm]data!R152C8</stp>
        <tr r="H152" s="1"/>
      </tp>
      <tp t="s">
        <v>#N/A Requesting Data...</v>
        <stp/>
        <stp>##V3_BDHV12</stp>
        <stp>CL1 Comdty</stp>
        <stp>PX_VOLUME</stp>
        <stp>31/08/2016</stp>
        <stp>31/08/2016</stp>
        <stp>[Bbg_Market_Data_CL.xlsm]data!R152C8</stp>
        <tr r="H152" s="1"/>
      </tp>
      <tp t="s">
        <v>#N/A Requesting Data...</v>
        <stp/>
        <stp>##V3_BDHV12</stp>
        <stp>CL1 Comdty</stp>
        <stp>PX_VOLUME</stp>
        <stp>03/08/2016</stp>
        <stp>03/08/2016</stp>
        <stp>[Bbg_Market_Data_CL.xlsm]data!R171C8</stp>
        <tr r="H171" s="1"/>
      </tp>
      <tp t="s">
        <v>#N/A Requesting Data...</v>
        <stp/>
        <stp>##V3_BDHV12</stp>
        <stp>CL1 Comdty</stp>
        <stp>PX_VOLUME</stp>
        <stp>02/09/2016</stp>
        <stp>02/09/2016</stp>
        <stp>[Bbg_Market_Data_CL.xlsm]data!R150C8</stp>
        <tr r="H150" s="1"/>
      </tp>
      <tp>
        <v>129611</v>
        <stp/>
        <stp>##V3_BDHV12</stp>
        <stp>CL2 Comdty</stp>
        <stp>PX_VOLUME</stp>
        <stp>02/09/2016</stp>
        <stp>02/09/2016</stp>
        <stp>[Bbg_Market_Data_CL.xlsm]data!R150C8</stp>
        <tr r="H150" s="1"/>
      </tp>
      <tp>
        <v>176231</v>
        <stp/>
        <stp>##V3_BDHV12</stp>
        <stp>CL2 Comdty</stp>
        <stp>PX_VOLUME</stp>
        <stp>03/08/2016</stp>
        <stp>03/08/2016</stp>
        <stp>[Bbg_Market_Data_CL.xlsm]data!R171C8</stp>
        <tr r="H171" s="1"/>
      </tp>
      <tp t="s">
        <v>#N/A Requesting Data...</v>
        <stp/>
        <stp>##V3_BDHV12</stp>
        <stp>CL1 Comdty</stp>
        <stp>PX_VOLUME</stp>
        <stp>01/09/2015</stp>
        <stp>01/09/2015</stp>
        <stp>[Bbg_Market_Data_CL.xlsm]data!R400C8</stp>
        <tr r="H400" s="1"/>
      </tp>
      <tp>
        <v>179758</v>
        <stp/>
        <stp>##V3_BDHV12</stp>
        <stp>CL2 Comdty</stp>
        <stp>PX_VOLUME</stp>
        <stp>01/09/2015</stp>
        <stp>01/09/2015</stp>
        <stp>[Bbg_Market_Data_CL.xlsm]data!R400C8</stp>
        <tr r="H400" s="1"/>
      </tp>
      <tp t="s">
        <v>#N/A Requesting Data...</v>
        <stp/>
        <stp>##V3_BDHV12</stp>
        <stp>CL1 Comdty</stp>
        <stp>MOV_AVG_30D</stp>
        <stp>09/03/2017</stp>
        <stp>09/03/2017</stp>
        <stp>[Bbg_Market_Data_CL.xlsm]data!R24C11</stp>
        <tr r="K24" s="1"/>
      </tp>
      <tp t="s">
        <v>#N/A Requesting Data...</v>
        <stp/>
        <stp>##V3_BDHV12</stp>
        <stp>CL1 Comdty</stp>
        <stp>MOV_AVG_30D</stp>
        <stp>09/12/2016</stp>
        <stp>09/12/2016</stp>
        <stp>[Bbg_Market_Data_CL.xlsm]data!R84C11</stp>
        <tr r="K84" s="1"/>
      </tp>
      <tp t="s">
        <v>#N/A Requesting Data...</v>
        <stp/>
        <stp>##V3_BDHV12</stp>
        <stp>CL1 Comdty</stp>
        <stp>MOV_AVG_30D</stp>
        <stp>08/03/2017</stp>
        <stp>08/03/2017</stp>
        <stp>[Bbg_Market_Data_CL.xlsm]data!R25C11</stp>
        <tr r="K25" s="1"/>
      </tp>
      <tp t="s">
        <v>#N/A Requesting Data...</v>
        <stp/>
        <stp>##V3_BDHV12</stp>
        <stp>CL1 Comdty</stp>
        <stp>MOV_AVG_30D</stp>
        <stp>08/12/2016</stp>
        <stp>08/12/2016</stp>
        <stp>[Bbg_Market_Data_CL.xlsm]data!R85C11</stp>
        <tr r="K85" s="1"/>
      </tp>
      <tp t="s">
        <v>#N/A Requesting Data...</v>
        <stp/>
        <stp>##V3_BDHV12</stp>
        <stp>CL2 Comdty</stp>
        <stp>MOV_AVG_30D</stp>
        <stp>18/01/2017</stp>
        <stp>18/01/2017</stp>
        <stp>[Bbg_Market_Data_CL.xlsm]data!R59C11</stp>
        <tr r="K59" s="1"/>
      </tp>
      <tp t="s">
        <v>#N/A Requesting Data...</v>
        <stp/>
        <stp>##V3_BDHV12</stp>
        <stp>CL2 Comdty</stp>
        <stp>MOV_AVG_30D</stp>
        <stp>28/02/2017</stp>
        <stp>28/02/2017</stp>
        <stp>[Bbg_Market_Data_CL.xlsm]data!R31C11</stp>
        <tr r="K31" s="1"/>
      </tp>
      <tp>
        <v>111693</v>
        <stp/>
        <stp>##V3_BDHV12</stp>
        <stp>CL2 Comdty</stp>
        <stp>PX_VOLUME</stp>
        <stp>27/08/2015</stp>
        <stp>27/08/2015</stp>
        <stp>[Bbg_Market_Data_CL.xlsm]data!R403C8</stp>
        <tr r="H403" s="1"/>
      </tp>
      <tp t="s">
        <v>#N/A Requesting Data...</v>
        <stp/>
        <stp>##V3_BDHV12</stp>
        <stp>CL1 Comdty</stp>
        <stp>PX_VOLUME</stp>
        <stp>27/08/2015</stp>
        <stp>27/08/2015</stp>
        <stp>[Bbg_Market_Data_CL.xlsm]data!R403C8</stp>
        <tr r="H403" s="1"/>
      </tp>
      <tp>
        <v>170349</v>
        <stp/>
        <stp>##V3_BDHV12</stp>
        <stp>CL2 Comdty</stp>
        <stp>PX_VOLUME</stp>
        <stp>15/09/2015</stp>
        <stp>15/09/2015</stp>
        <stp>[Bbg_Market_Data_CL.xlsm]data!R391C8</stp>
        <tr r="H391" s="1"/>
      </tp>
      <tp t="s">
        <v>#N/A Requesting Data...</v>
        <stp/>
        <stp>##V3_BDHV12</stp>
        <stp>CL1 Comdty</stp>
        <stp>PX_VOLUME</stp>
        <stp>16/09/2016</stp>
        <stp>16/09/2016</stp>
        <stp>[Bbg_Market_Data_CL.xlsm]data!R141C8</stp>
        <tr r="H141" s="1"/>
      </tp>
      <tp>
        <v>421422</v>
        <stp/>
        <stp>##V3_BDHV12</stp>
        <stp>CL2 Comdty</stp>
        <stp>PX_VOLUME</stp>
        <stp>16/09/2016</stp>
        <stp>16/09/2016</stp>
        <stp>[Bbg_Market_Data_CL.xlsm]data!R141C8</stp>
        <tr r="H141" s="1"/>
      </tp>
      <tp t="s">
        <v>#N/A Requesting Data...</v>
        <stp/>
        <stp>##V3_BDHV12</stp>
        <stp>CL1 Comdty</stp>
        <stp>PX_VOLUME</stp>
        <stp>15/09/2015</stp>
        <stp>15/09/2015</stp>
        <stp>[Bbg_Market_Data_CL.xlsm]data!R391C8</stp>
        <tr r="H391" s="1"/>
      </tp>
      <tp t="s">
        <v>#N/A Requesting Data...</v>
        <stp/>
        <stp>##V3_BDHV12</stp>
        <stp>CL2 Comdty</stp>
        <stp>MOV_AVG_30D</stp>
        <stp>19/01/2017</stp>
        <stp>19/01/2017</stp>
        <stp>[Bbg_Market_Data_CL.xlsm]data!R58C11</stp>
        <tr r="K58" s="1"/>
      </tp>
      <tp t="s">
        <v>#N/A Requesting Data...</v>
        <stp/>
        <stp>##V3_BDHV12</stp>
        <stp>CL1 Comdty</stp>
        <stp>MOV_AVG_30D</stp>
        <stp>05/12/2016</stp>
        <stp>05/12/2016</stp>
        <stp>[Bbg_Market_Data_CL.xlsm]data!R88C11</stp>
        <tr r="K88" s="1"/>
      </tp>
      <tp t="s">
        <v>#N/A Requesting Data...</v>
        <stp/>
        <stp>##V3_BDHV12</stp>
        <stp>CL1 Comdty</stp>
        <stp>MOV_AVG_30D</stp>
        <stp>15/02/2017</stp>
        <stp>15/02/2017</stp>
        <stp>[Bbg_Market_Data_CL.xlsm]data!R39C11</stp>
        <tr r="K39" s="1"/>
      </tp>
      <tp t="s">
        <v>#N/A Requesting Data...</v>
        <stp/>
        <stp>##V3_BDHV12</stp>
        <stp>CL1 Comdty</stp>
        <stp>MOV_AVG_30D</stp>
        <stp>25/01/2017</stp>
        <stp>25/01/2017</stp>
        <stp>[Bbg_Market_Data_CL.xlsm]data!R54C11</stp>
        <tr r="K54" s="1"/>
      </tp>
      <tp>
        <v>89078</v>
        <stp/>
        <stp>##V3_BDHV12</stp>
        <stp>CL2 Comdty</stp>
        <stp>PX_VOLUME</stp>
        <stp>28/09/2015</stp>
        <stp>28/09/2015</stp>
        <stp>[Bbg_Market_Data_CL.xlsm]data!R382C8</stp>
        <tr r="H382" s="1"/>
      </tp>
      <tp>
        <v>555574</v>
        <stp/>
        <stp>##V3_BDHV12</stp>
        <stp>CL2 Comdty</stp>
        <stp>PX_VOLUME</stp>
        <stp>19/08/2016</stp>
        <stp>19/08/2016</stp>
        <stp>[Bbg_Market_Data_CL.xlsm]data!R160C8</stp>
        <tr r="H160" s="1"/>
      </tp>
      <tp t="s">
        <v>#N/A Requesting Data...</v>
        <stp/>
        <stp>##V3_BDHV12</stp>
        <stp>CL1 Comdty</stp>
        <stp>PX_VOLUME</stp>
        <stp>28/09/2015</stp>
        <stp>28/09/2015</stp>
        <stp>[Bbg_Market_Data_CL.xlsm]data!R382C8</stp>
        <tr r="H382" s="1"/>
      </tp>
      <tp t="s">
        <v>#N/A Requesting Data...</v>
        <stp/>
        <stp>##V3_BDHV12</stp>
        <stp>CL1 Comdty</stp>
        <stp>PX_VOLUME</stp>
        <stp>19/08/2016</stp>
        <stp>19/08/2016</stp>
        <stp>[Bbg_Market_Data_CL.xlsm]data!R160C8</stp>
        <tr r="H160" s="1"/>
      </tp>
      <tp t="s">
        <v>#N/A Requesting Data...</v>
        <stp/>
        <stp>##V3_BDHV12</stp>
        <stp>CL1 Comdty</stp>
        <stp>PX_VOLUME</stp>
        <stp>30/03/2016</stp>
        <stp>30/03/2016</stp>
        <stp>[Bbg_Market_Data_CL.xlsm]data!R259C8</stp>
        <tr r="H259" s="1"/>
      </tp>
      <tp>
        <v>136570</v>
        <stp/>
        <stp>##V3_BDHV12</stp>
        <stp>CL2 Comdty</stp>
        <stp>PX_VOLUME</stp>
        <stp>30/03/2016</stp>
        <stp>30/03/2016</stp>
        <stp>[Bbg_Market_Data_CL.xlsm]data!R259C8</stp>
        <tr r="H259" s="1"/>
      </tp>
      <tp t="s">
        <v>#N/A Requesting Data...</v>
        <stp/>
        <stp>##V3_BDHV12</stp>
        <stp>CL2 Comdty</stp>
        <stp>MOV_AVG_30D</stp>
        <stp>27/02/2017</stp>
        <stp>27/02/2017</stp>
        <stp>[Bbg_Market_Data_CL.xlsm]data!R32C11</stp>
        <tr r="K32" s="1"/>
      </tp>
      <tp t="s">
        <v>#N/A Requesting Data...</v>
        <stp/>
        <stp>##V3_BDHV12</stp>
        <stp>CL1 Comdty</stp>
        <stp>MOV_AVG_30D</stp>
        <stp>24/01/2017</stp>
        <stp>24/01/2017</stp>
        <stp>[Bbg_Market_Data_CL.xlsm]data!R55C11</stp>
        <tr r="K55" s="1"/>
      </tp>
      <tp t="s">
        <v>#N/A Requesting Data...</v>
        <stp/>
        <stp>##V3_BDHV12</stp>
        <stp>CL2 Comdty</stp>
        <stp>MOV_AVG_30D</stp>
        <stp>17/01/2017</stp>
        <stp>17/01/2017</stp>
        <stp>[Bbg_Market_Data_CL.xlsm]data!R60C11</stp>
        <tr r="K60" s="1"/>
      </tp>
      <tp t="s">
        <v>#N/A Requesting Data...</v>
        <stp/>
        <stp>##V3_BDHV12</stp>
        <stp>CL1 Comdty</stp>
        <stp>MOV_AVG_30D</stp>
        <stp>14/02/2017</stp>
        <stp>14/02/2017</stp>
        <stp>[Bbg_Market_Data_CL.xlsm]data!R40C11</stp>
        <tr r="K40" s="1"/>
      </tp>
      <tp t="s">
        <v>#N/A Requesting Data...</v>
        <stp/>
        <stp>##V3_BDHV12</stp>
        <stp>CL1 Comdty</stp>
        <stp>PX_VOLUME</stp>
        <stp>02/10/2015</stp>
        <stp>02/10/2015</stp>
        <stp>[Bbg_Market_Data_CL.xlsm]data!R378C8</stp>
        <tr r="H378" s="1"/>
      </tp>
      <tp>
        <v>157132</v>
        <stp/>
        <stp>##V3_BDHV12</stp>
        <stp>CL2 Comdty</stp>
        <stp>PX_VOLUME</stp>
        <stp>02/10/2015</stp>
        <stp>02/10/2015</stp>
        <stp>[Bbg_Market_Data_CL.xlsm]data!R378C8</stp>
        <tr r="H378" s="1"/>
      </tp>
      <tp t="s">
        <v>#N/A Requesting Data...</v>
        <stp/>
        <stp>##V3_BDHV12</stp>
        <stp>CL1 Comdty</stp>
        <stp>MOV_AVG_30D</stp>
        <stp>07/12/2016</stp>
        <stp>07/12/2016</stp>
        <stp>[Bbg_Market_Data_CL.xlsm]data!R86C11</stp>
        <tr r="K86" s="1"/>
      </tp>
      <tp t="s">
        <v>#N/A Requesting Data...</v>
        <stp/>
        <stp>##V3_BDHV12</stp>
        <stp>CL2 Comdty</stp>
        <stp>MOV_AVG_30D</stp>
        <stp>24/02/2017</stp>
        <stp>24/02/2017</stp>
        <stp>[Bbg_Market_Data_CL.xlsm]data!R33C11</stp>
        <tr r="K33" s="1"/>
      </tp>
      <tp t="s">
        <v>#N/A Requesting Data...</v>
        <stp/>
        <stp>##V3_BDHV12</stp>
        <stp>CL1 Comdty</stp>
        <stp>MOV_AVG_30D</stp>
        <stp>07/03/2017</stp>
        <stp>07/03/2017</stp>
        <stp>[Bbg_Market_Data_CL.xlsm]data!R26C11</stp>
        <tr r="K26" s="1"/>
      </tp>
      <tp t="s">
        <v>#N/A Requesting Data...</v>
        <stp/>
        <stp>##V3_BDHV12</stp>
        <stp>CL1 Comdty</stp>
        <stp>MOV_AVG_30D</stp>
        <stp>17/02/2017</stp>
        <stp>17/02/2017</stp>
        <stp>[Bbg_Market_Data_CL.xlsm]data!R37C11</stp>
        <tr r="K37" s="1"/>
      </tp>
      <tp t="s">
        <v>#N/A Requesting Data...</v>
        <stp/>
        <stp>##V3_BDHV12</stp>
        <stp>CL1 Comdty</stp>
        <stp>MOV_AVG_30D</stp>
        <stp>27/01/2017</stp>
        <stp>27/01/2017</stp>
        <stp>[Bbg_Market_Data_CL.xlsm]data!R52C11</stp>
        <tr r="K52" s="1"/>
      </tp>
      <tp>
        <v>241839</v>
        <stp/>
        <stp>##V3_BDHV12</stp>
        <stp>CL2 Comdty</stp>
        <stp>PX_VOLUME</stp>
        <stp>29/09/2016</stp>
        <stp>29/09/2016</stp>
        <stp>[Bbg_Market_Data_CL.xlsm]data!R132C8</stp>
        <tr r="H132" s="1"/>
      </tp>
      <tp t="s">
        <v>#N/A Requesting Data...</v>
        <stp/>
        <stp>##V3_BDHV12</stp>
        <stp>CL1 Comdty</stp>
        <stp>PX_VOLUME</stp>
        <stp>29/09/2016</stp>
        <stp>29/09/2016</stp>
        <stp>[Bbg_Market_Data_CL.xlsm]data!R132C8</stp>
        <tr r="H132" s="1"/>
      </tp>
      <tp t="s">
        <v>#N/A Requesting Data...</v>
        <stp/>
        <stp>##V3_BDHV12</stp>
        <stp>CL1 Comdty</stp>
        <stp>PX_VOLUME</stp>
        <stp>18/08/2015</stp>
        <stp>18/08/2015</stp>
        <stp>[Bbg_Market_Data_CL.xlsm]data!R410C8</stp>
        <tr r="H410" s="1"/>
      </tp>
      <tp>
        <v>248262</v>
        <stp/>
        <stp>##V3_BDHV12</stp>
        <stp>CL2 Comdty</stp>
        <stp>PX_VOLUME</stp>
        <stp>18/08/2015</stp>
        <stp>18/08/2015</stp>
        <stp>[Bbg_Market_Data_CL.xlsm]data!R410C8</stp>
        <tr r="H410" s="1"/>
      </tp>
      <tp>
        <v>59446</v>
        <stp/>
        <stp>##V3_BDHV12</stp>
        <stp>CL2 Comdty</stp>
        <stp>PX_VOLUME</stp>
        <stp>30/12/2015</stp>
        <stp>30/12/2015</stp>
        <stp>[Bbg_Market_Data_CL.xlsm]data!R319C8</stp>
        <tr r="H319" s="1"/>
      </tp>
      <tp t="s">
        <v>#N/A Requesting Data...</v>
        <stp/>
        <stp>##V3_BDHV12</stp>
        <stp>CL1 Comdty</stp>
        <stp>PX_VOLUME</stp>
        <stp>30/12/2015</stp>
        <stp>30/12/2015</stp>
        <stp>[Bbg_Market_Data_CL.xlsm]data!R319C8</stp>
        <tr r="H319" s="1"/>
      </tp>
      <tp t="s">
        <v>#N/A Requesting Data...</v>
        <stp/>
        <stp>##V3_BDHV12</stp>
        <stp>CL1 Comdty</stp>
        <stp>MOV_AVG_30D</stp>
        <stp>06/12/2016</stp>
        <stp>06/12/2016</stp>
        <stp>[Bbg_Market_Data_CL.xlsm]data!R87C11</stp>
        <tr r="K87" s="1"/>
      </tp>
      <tp t="s">
        <v>#N/A Requesting Data...</v>
        <stp/>
        <stp>##V3_BDHV12</stp>
        <stp>CL1 Comdty</stp>
        <stp>MOV_AVG_30D</stp>
        <stp>16/02/2017</stp>
        <stp>16/02/2017</stp>
        <stp>[Bbg_Market_Data_CL.xlsm]data!R38C11</stp>
        <tr r="K38" s="1"/>
      </tp>
      <tp t="s">
        <v>#N/A Requesting Data...</v>
        <stp/>
        <stp>##V3_BDHV12</stp>
        <stp>CL1 Comdty</stp>
        <stp>MOV_AVG_30D</stp>
        <stp>06/03/2017</stp>
        <stp>06/03/2017</stp>
        <stp>[Bbg_Market_Data_CL.xlsm]data!R27C11</stp>
        <tr r="K27" s="1"/>
      </tp>
      <tp t="s">
        <v>#N/A Requesting Data...</v>
        <stp/>
        <stp>##V3_BDHV12</stp>
        <stp>CL1 Comdty</stp>
        <stp>MOV_AVG_30D</stp>
        <stp>26/01/2017</stp>
        <stp>26/01/2017</stp>
        <stp>[Bbg_Market_Data_CL.xlsm]data!R53C11</stp>
        <tr r="K53" s="1"/>
      </tp>
      <tp t="s">
        <v>#N/A Requesting Data...</v>
        <stp/>
        <stp>##V3_BDHV12</stp>
        <stp>CL1 Comdty</stp>
        <stp>PX_VOLUME</stp>
        <stp>02/11/2016</stp>
        <stp>02/11/2016</stp>
        <stp>[Bbg_Market_Data_CL.xlsm]data!R109C8</stp>
        <tr r="H109" s="1"/>
      </tp>
      <tp>
        <v>170595</v>
        <stp/>
        <stp>##V3_BDHV12</stp>
        <stp>CL2 Comdty</stp>
        <stp>PX_VOLUME</stp>
        <stp>02/11/2016</stp>
        <stp>02/11/2016</stp>
        <stp>[Bbg_Market_Data_CL.xlsm]data!R109C8</stp>
        <tr r="H109" s="1"/>
      </tp>
      <tp t="s">
        <v>#N/A Requesting Data...</v>
        <stp/>
        <stp>##V3_BDHV12</stp>
        <stp>CL1 Comdty</stp>
        <stp>MOV_AVG_30D</stp>
        <stp>01/12/2016</stp>
        <stp>01/12/2016</stp>
        <stp>[Bbg_Market_Data_CL.xlsm]data!R90C11</stp>
        <tr r="K90" s="1"/>
      </tp>
      <tp t="s">
        <v>#N/A Requesting Data...</v>
        <stp/>
        <stp>##V3_BDHV12</stp>
        <stp>CL2 Comdty</stp>
        <stp>MOV_AVG_30D</stp>
        <stp>12/01/2017</stp>
        <stp>12/01/2017</stp>
        <stp>[Bbg_Market_Data_CL.xlsm]data!R62C11</stp>
        <tr r="K62" s="1"/>
      </tp>
      <tp t="s">
        <v>#N/A Requesting Data...</v>
        <stp/>
        <stp>##V3_BDHV12</stp>
        <stp>CL1 Comdty</stp>
        <stp>MOV_AVG_30D</stp>
        <stp>01/03/2017</stp>
        <stp>01/03/2017</stp>
        <stp>[Bbg_Market_Data_CL.xlsm]data!R30C11</stp>
        <tr r="K30" s="1"/>
      </tp>
      <tp t="s">
        <v>#N/A Requesting Data...</v>
        <stp/>
        <stp>##V3_BDHV12</stp>
        <stp>CL2 Comdty</stp>
        <stp>MOV_AVG_30D</stp>
        <stp>22/02/2017</stp>
        <stp>22/02/2017</stp>
        <stp>[Bbg_Market_Data_CL.xlsm]data!R35C11</stp>
        <tr r="K35" s="1"/>
      </tp>
      <tp t="s">
        <v>#N/A Requesting Data...</v>
        <stp/>
        <stp>##V3_BDHV12</stp>
        <stp>CL1 Comdty</stp>
        <stp>PX_VOLUME</stp>
        <stp>16/10/2015</stp>
        <stp>16/10/2015</stp>
        <stp>[Bbg_Market_Data_CL.xlsm]data!R369C8</stp>
        <tr r="H369" s="1"/>
      </tp>
      <tp t="s">
        <v>#N/A Requesting Data...</v>
        <stp/>
        <stp>##V3_BDHV12</stp>
        <stp>CL1 Comdty</stp>
        <stp>PX_VOLUME</stp>
        <stp>14/01/2016</stp>
        <stp>14/01/2016</stp>
        <stp>[Bbg_Market_Data_CL.xlsm]data!R309C8</stp>
        <tr r="H309" s="1"/>
      </tp>
      <tp t="s">
        <v>#N/A Requesting Data...</v>
        <stp/>
        <stp>##V3_BDHV12</stp>
        <stp>CL1 Comdty</stp>
        <stp>PX_VOLUME</stp>
        <stp>17/11/2015</stp>
        <stp>17/11/2015</stp>
        <stp>[Bbg_Market_Data_CL.xlsm]data!R348C8</stp>
        <tr r="H348" s="1"/>
      </tp>
      <tp>
        <v>407645</v>
        <stp/>
        <stp>##V3_BDHV12</stp>
        <stp>CL2 Comdty</stp>
        <stp>PX_VOLUME</stp>
        <stp>14/01/2016</stp>
        <stp>14/01/2016</stp>
        <stp>[Bbg_Market_Data_CL.xlsm]data!R309C8</stp>
        <tr r="H309" s="1"/>
      </tp>
      <tp>
        <v>272900</v>
        <stp/>
        <stp>##V3_BDHV12</stp>
        <stp>CL2 Comdty</stp>
        <stp>PX_VOLUME</stp>
        <stp>17/11/2015</stp>
        <stp>17/11/2015</stp>
        <stp>[Bbg_Market_Data_CL.xlsm]data!R348C8</stp>
        <tr r="H348" s="1"/>
      </tp>
      <tp>
        <v>284312</v>
        <stp/>
        <stp>##V3_BDHV12</stp>
        <stp>CL2 Comdty</stp>
        <stp>PX_VOLUME</stp>
        <stp>16/10/2015</stp>
        <stp>16/10/2015</stp>
        <stp>[Bbg_Market_Data_CL.xlsm]data!R369C8</stp>
        <tr r="H369" s="1"/>
      </tp>
      <tp t="s">
        <v>#N/A Requesting Data...</v>
        <stp/>
        <stp>##V3_BDHV12</stp>
        <stp>CL1 Comdty</stp>
        <stp>MOV_AVG_30D</stp>
        <stp>30/11/2016</stp>
        <stp>30/11/2016</stp>
        <stp>[Bbg_Market_Data_CL.xlsm]data!R91C11</stp>
        <tr r="K91" s="1"/>
      </tp>
      <tp t="s">
        <v>#N/A Requesting Data...</v>
        <stp/>
        <stp>##V3_BDHV12</stp>
        <stp>CL1 Comdty</stp>
        <stp>MOV_AVG_30D</stp>
        <stp>20/01/2017</stp>
        <stp>20/01/2017</stp>
        <stp>[Bbg_Market_Data_CL.xlsm]data!R57C11</stp>
        <tr r="K57" s="1"/>
      </tp>
      <tp t="s">
        <v>#N/A Requesting Data...</v>
        <stp/>
        <stp>##V3_BDHV12</stp>
        <stp>CL2 Comdty</stp>
        <stp>MOV_AVG_30D</stp>
        <stp>13/01/2017</stp>
        <stp>13/01/2017</stp>
        <stp>[Bbg_Market_Data_CL.xlsm]data!R61C11</stp>
        <tr r="K61" s="1"/>
      </tp>
      <tp t="s">
        <v>#N/A Requesting Data...</v>
        <stp/>
        <stp>##V3_BDHV12</stp>
        <stp>CL1 Comdty</stp>
        <stp>MOV_AVG_30D</stp>
        <stp>10/02/2017</stp>
        <stp>10/02/2017</stp>
        <stp>[Bbg_Market_Data_CL.xlsm]data!R42C11</stp>
        <tr r="K42" s="1"/>
      </tp>
      <tp t="s">
        <v>#N/A Requesting Data...</v>
        <stp/>
        <stp>##V3_BDHV12</stp>
        <stp>CL2 Comdty</stp>
        <stp>MOV_AVG_30D</stp>
        <stp>23/02/2017</stp>
        <stp>23/02/2017</stp>
        <stp>[Bbg_Market_Data_CL.xlsm]data!R34C11</stp>
        <tr r="K34" s="1"/>
      </tp>
      <tp>
        <v>197367</v>
        <stp/>
        <stp>##V3_BDHV12</stp>
        <stp>CL2 Comdty</stp>
        <stp>PX_VOLUME</stp>
        <stp>05/10/2016</stp>
        <stp>05/10/2016</stp>
        <stp>[Bbg_Market_Data_CL.xlsm]data!R128C8</stp>
        <tr r="H128" s="1"/>
      </tp>
      <tp t="s">
        <v>#N/A Requesting Data...</v>
        <stp/>
        <stp>##V3_BDHV12</stp>
        <stp>CL1 Comdty</stp>
        <stp>PX_VOLUME</stp>
        <stp>05/10/2016</stp>
        <stp>05/10/2016</stp>
        <stp>[Bbg_Market_Data_CL.xlsm]data!R128C8</stp>
        <tr r="H128" s="1"/>
      </tp>
      <tp t="s">
        <v>#N/A Requesting Data...</v>
        <stp/>
        <stp>##V3_BDHV12</stp>
        <stp>CL1 Comdty</stp>
        <stp>MOV_AVG_30D</stp>
        <stp>13/02/2017</stp>
        <stp>13/02/2017</stp>
        <stp>[Bbg_Market_Data_CL.xlsm]data!R41C11</stp>
        <tr r="K41" s="1"/>
      </tp>
      <tp t="s">
        <v>#N/A Requesting Data...</v>
        <stp/>
        <stp>##V3_BDHV12</stp>
        <stp>CL2 Comdty</stp>
        <stp>MOV_AVG_30D</stp>
        <stp>10/01/2017</stp>
        <stp>10/01/2017</stp>
        <stp>[Bbg_Market_Data_CL.xlsm]data!R64C11</stp>
        <tr r="K64" s="1"/>
      </tp>
      <tp t="s">
        <v>#N/A Requesting Data...</v>
        <stp/>
        <stp>##V3_BDHV12</stp>
        <stp>CL1 Comdty</stp>
        <stp>MOV_AVG_30D</stp>
        <stp>23/01/2017</stp>
        <stp>23/01/2017</stp>
        <stp>[Bbg_Market_Data_CL.xlsm]data!R56C11</stp>
        <tr r="K56" s="1"/>
      </tp>
      <tp t="s">
        <v>#N/A Requesting Data...</v>
        <stp/>
        <stp>##V3_BDHV12</stp>
        <stp>CL2 Comdty</stp>
        <stp>MOV_AVG_30D</stp>
        <stp>30/12/2016</stp>
        <stp>30/12/2016</stp>
        <stp>[Bbg_Market_Data_CL.xlsm]data!R70C11</stp>
        <tr r="K70" s="1"/>
      </tp>
      <tp t="s">
        <v>#N/A Requesting Data...</v>
        <stp/>
        <stp>##V3_BDHV12</stp>
        <stp>CL1 Comdty</stp>
        <stp>MOV_AVG_30D</stp>
        <stp>03/03/2017</stp>
        <stp>03/03/2017</stp>
        <stp>[Bbg_Market_Data_CL.xlsm]data!R28C11</stp>
        <tr r="K28" s="1"/>
      </tp>
      <tp t="s">
        <v>#N/A Requesting Data...</v>
        <stp/>
        <stp>##V3_BDHV12</stp>
        <stp>CL1 Comdty</stp>
        <stp>MOV_AVG_30D</stp>
        <stp>02/12/2016</stp>
        <stp>02/12/2016</stp>
        <stp>[Bbg_Market_Data_CL.xlsm]data!R89C11</stp>
        <tr r="K89" s="1"/>
      </tp>
      <tp t="s">
        <v>#N/A Requesting Data...</v>
        <stp/>
        <stp>##V3_BDHV12</stp>
        <stp>CL2 Comdty</stp>
        <stp>MOV_AVG_30D</stp>
        <stp>11/01/2017</stp>
        <stp>11/01/2017</stp>
        <stp>[Bbg_Market_Data_CL.xlsm]data!R63C11</stp>
        <tr r="K63" s="1"/>
      </tp>
      <tp t="s">
        <v>#N/A Requesting Data...</v>
        <stp/>
        <stp>##V3_BDHV12</stp>
        <stp>CL2 Comdty</stp>
        <stp>MOV_AVG_30D</stp>
        <stp>21/02/2017</stp>
        <stp>21/02/2017</stp>
        <stp>[Bbg_Market_Data_CL.xlsm]data!R36C11</stp>
        <tr r="K36" s="1"/>
      </tp>
      <tp t="s">
        <v>#N/A Requesting Data...</v>
        <stp/>
        <stp>##V3_BDHV12</stp>
        <stp>CL1 Comdty</stp>
        <stp>MOV_AVG_30D</stp>
        <stp>02/03/2017</stp>
        <stp>02/03/2017</stp>
        <stp>[Bbg_Market_Data_CL.xlsm]data!R29C11</stp>
        <tr r="K29" s="1"/>
      </tp>
      <tp t="s">
        <v>#N/A Requesting Data...</v>
        <stp/>
        <stp>##V3_BDHV12</stp>
        <stp>SPGSCLP Index</stp>
        <stp>CHG_PCT_1D</stp>
        <stp>20/12/2016</stp>
        <stp>20/12/2016</stp>
        <stp>[Bbg_Market_Data_CL.xlsm]data!R77C3</stp>
        <tr r="C77" s="1"/>
      </tp>
      <tp t="s">
        <v>#N/A Requesting Data...</v>
        <stp/>
        <stp>##V3_BDHV12</stp>
        <stp>SPGSCLP Index</stp>
        <stp>CHG_PCT_1D</stp>
        <stp>21/03/2017</stp>
        <stp>21/03/2017</stp>
        <stp>[Bbg_Market_Data_CL.xlsm]data!R16C3</stp>
        <tr r="C16" s="1"/>
      </tp>
      <tp t="s">
        <v>#N/A Requesting Data...</v>
        <stp/>
        <stp>##V3_BDHV12</stp>
        <stp>SPGSCLP Index</stp>
        <stp>CHG_PCT_5D</stp>
        <stp>06/01/2017</stp>
        <stp>06/01/2017</stp>
        <stp>[Bbg_Market_Data_CL.xlsm]data!R66C4</stp>
        <tr r="D66" s="1"/>
      </tp>
      <tp t="s">
        <v>#N/A Requesting Data...</v>
        <stp/>
        <stp>##V3_BDHV12</stp>
        <stp>SPGSCLP Index</stp>
        <stp>CHG_PCT_1D</stp>
        <stp>06/01/2017</stp>
        <stp>06/01/2017</stp>
        <stp>[Bbg_Market_Data_CL.xlsm]data!R66C3</stp>
        <tr r="C66" s="1"/>
      </tp>
      <tp t="s">
        <v>#N/A Requesting Data...</v>
        <stp/>
        <stp>##V3_BDHV12</stp>
        <stp>SPGSCLP Index</stp>
        <stp>CHG_PCT_5D</stp>
        <stp>21/03/2017</stp>
        <stp>21/03/2017</stp>
        <stp>[Bbg_Market_Data_CL.xlsm]data!R16C4</stp>
        <tr r="D16" s="1"/>
      </tp>
      <tp t="s">
        <v>#N/A Requesting Data...</v>
        <stp/>
        <stp>##V3_BDHV12</stp>
        <stp>SPGSCLP Index</stp>
        <stp>CHG_PCT_5D</stp>
        <stp>20/12/2016</stp>
        <stp>20/12/2016</stp>
        <stp>[Bbg_Market_Data_CL.xlsm]data!R77C4</stp>
        <tr r="D77" s="1"/>
      </tp>
      <tp t="s">
        <v>#N/A Requesting Data...</v>
        <stp/>
        <stp>##V3_BDHV12</stp>
        <stp>SPGSCLP Index</stp>
        <stp>CHG_PCT_1D</stp>
        <stp>21/02/2017</stp>
        <stp>21/02/2017</stp>
        <stp>[Bbg_Market_Data_CL.xlsm]data!R36C3</stp>
        <tr r="C36" s="1"/>
      </tp>
      <tp t="s">
        <v>#N/A Requesting Data...</v>
        <stp/>
        <stp>##V3_BDHV12</stp>
        <stp>SPGSCLP Index</stp>
        <stp>CHG_PCT_5D</stp>
        <stp>21/02/2017</stp>
        <stp>21/02/2017</stp>
        <stp>[Bbg_Market_Data_CL.xlsm]data!R36C4</stp>
        <tr r="D36" s="1"/>
      </tp>
      <tp t="s">
        <v>#N/A Requesting Data...</v>
        <stp/>
        <stp>##V3_BDHV12</stp>
        <stp>SPGSCLP Index</stp>
        <stp>CHG_PCT_1D</stp>
        <stp>23/01/2017</stp>
        <stp>23/01/2017</stp>
        <stp>[Bbg_Market_Data_CL.xlsm]data!R56C3</stp>
        <tr r="C56" s="1"/>
      </tp>
      <tp t="s">
        <v>#N/A Requesting Data...</v>
        <stp/>
        <stp>##V3_BDHV12</stp>
        <stp>SPGSCLP Index</stp>
        <stp>CHG_PCT_5D</stp>
        <stp>07/03/2017</stp>
        <stp>07/03/2017</stp>
        <stp>[Bbg_Market_Data_CL.xlsm]data!R26C4</stp>
        <tr r="D26" s="1"/>
      </tp>
      <tp t="s">
        <v>#N/A Requesting Data...</v>
        <stp/>
        <stp>##V3_BDHV12</stp>
        <stp>SPGSCLP Index</stp>
        <stp>CHG_PCT_5D</stp>
        <stp>06/12/2016</stp>
        <stp>06/12/2016</stp>
        <stp>[Bbg_Market_Data_CL.xlsm]data!R87C4</stp>
        <tr r="D87" s="1"/>
      </tp>
      <tp t="s">
        <v>#N/A Requesting Data...</v>
        <stp/>
        <stp>##V3_BDHV12</stp>
        <stp>SPGSCLP Index</stp>
        <stp>CHG_PCT_1D</stp>
        <stp>06/12/2016</stp>
        <stp>06/12/2016</stp>
        <stp>[Bbg_Market_Data_CL.xlsm]data!R87C3</stp>
        <tr r="C87" s="1"/>
      </tp>
      <tp t="s">
        <v>#N/A Requesting Data...</v>
        <stp/>
        <stp>##V3_BDHV12</stp>
        <stp>SPGSCLP Index</stp>
        <stp>CHG_PCT_1D</stp>
        <stp>07/03/2017</stp>
        <stp>07/03/2017</stp>
        <stp>[Bbg_Market_Data_CL.xlsm]data!R26C3</stp>
        <tr r="C26" s="1"/>
      </tp>
      <tp t="s">
        <v>#N/A Requesting Data...</v>
        <stp/>
        <stp>##V3_BDHV12</stp>
        <stp>SPGSCLP Index</stp>
        <stp>CHG_PCT_5D</stp>
        <stp>23/01/2017</stp>
        <stp>23/01/2017</stp>
        <stp>[Bbg_Market_Data_CL.xlsm]data!R56C4</stp>
        <tr r="D56" s="1"/>
      </tp>
      <tp t="s">
        <v>#N/A Requesting Data...</v>
        <stp/>
        <stp>##V3_BDHV12</stp>
        <stp>SPGSCLP Index</stp>
        <stp>CHG_PCT_1D</stp>
        <stp>21/11/2016</stp>
        <stp>21/11/2016</stp>
        <stp>[Bbg_Market_Data_CL.xlsm]data!R97C3</stp>
        <tr r="C97" s="1"/>
      </tp>
      <tp t="s">
        <v>#N/A Requesting Data...</v>
        <stp/>
        <stp>##V3_BDHV12</stp>
        <stp>SPGSCLP Index</stp>
        <stp>CHG_PCT_5D</stp>
        <stp>06/02/2017</stp>
        <stp>06/02/2017</stp>
        <stp>[Bbg_Market_Data_CL.xlsm]data!R46C4</stp>
        <tr r="D46" s="1"/>
      </tp>
      <tp t="s">
        <v>#N/A Requesting Data...</v>
        <stp/>
        <stp>##V3_BDHV12</stp>
        <stp>SPGSCLP Index</stp>
        <stp>CHG_PCT_5D</stp>
        <stp>21/11/2016</stp>
        <stp>21/11/2016</stp>
        <stp>[Bbg_Market_Data_CL.xlsm]data!R97C4</stp>
        <tr r="D97" s="1"/>
      </tp>
      <tp t="s">
        <v>#N/A Requesting Data...</v>
        <stp/>
        <stp>##V3_BDHV12</stp>
        <stp>SPGSCLP Index</stp>
        <stp>CHG_PCT_1D</stp>
        <stp>06/02/2017</stp>
        <stp>06/02/2017</stp>
        <stp>[Bbg_Market_Data_CL.xlsm]data!R46C3</stp>
        <tr r="C46" s="1"/>
      </tp>
    </main>
    <main first="bloomberg.rtd">
      <tp t="s">
        <v>#N/A Requesting Data...</v>
        <stp/>
        <stp>##V3_BDHV12</stp>
        <stp>CL2 Comdty</stp>
        <stp>VOLUME_TOTAL_CALL</stp>
        <stp>04/08/2015</stp>
        <stp>04/08/2015</stp>
        <stp>[Bbg_Market_Data_CL.xlsm]data!R420C15</stp>
        <tr r="O420" s="1"/>
      </tp>
      <tp t="s">
        <v>#N/A Requesting Data...</v>
        <stp/>
        <stp>##V3_BDHV12</stp>
        <stp>CL1 Comdty</stp>
        <stp>VOLUME_TOTAL_CALL</stp>
        <stp>26/08/2015</stp>
        <stp>26/08/2015</stp>
        <stp>[Bbg_Market_Data_CL.xlsm]data!R404C15</stp>
        <tr r="O404" s="1"/>
      </tp>
      <tp t="s">
        <v>#N/A Requesting Data...</v>
        <stp/>
        <stp>##V3_BDHV12</stp>
        <stp>CL2 Comdty</stp>
        <stp>VOLUME_TOTAL_CALL</stp>
        <stp>26/08/2015</stp>
        <stp>26/08/2015</stp>
        <stp>[Bbg_Market_Data_CL.xlsm]data!R404C15</stp>
        <tr r="O404" s="1"/>
      </tp>
      <tp t="s">
        <v>#N/A Requesting Data...</v>
        <stp/>
        <stp>##V3_BDHV12</stp>
        <stp>CL1 Comdty</stp>
        <stp>VOLUME_TOTAL_CALL</stp>
        <stp>04/08/2015</stp>
        <stp>04/08/2015</stp>
        <stp>[Bbg_Market_Data_CL.xlsm]data!R420C15</stp>
        <tr r="O420" s="1"/>
      </tp>
      <tp t="s">
        <v>#N/A Requesting Data...</v>
        <stp/>
        <stp>##V3_BDHV12</stp>
        <stp>CL2 Comdty</stp>
        <stp>VOLUME_TOTAL_CALL</stp>
        <stp>16/08/2016</stp>
        <stp>16/08/2016</stp>
        <stp>[Bbg_Market_Data_CL.xlsm]data!R163C15</stp>
        <tr r="O163" s="1"/>
      </tp>
      <tp t="s">
        <v>#N/A Requesting Data...</v>
        <stp/>
        <stp>##V3_BDHV12</stp>
        <stp>CL1 Comdty</stp>
        <stp>VOLUME_TOTAL_CALL</stp>
        <stp>25/08/2016</stp>
        <stp>25/08/2016</stp>
        <stp>[Bbg_Market_Data_CL.xlsm]data!R156C15</stp>
        <tr r="O156" s="1"/>
      </tp>
      <tp t="s">
        <v>#N/A Requesting Data...</v>
        <stp/>
        <stp>##V3_BDHV12</stp>
        <stp>CL2 Comdty</stp>
        <stp>VOLUME_TOTAL_CALL</stp>
        <stp>06/09/2016</stp>
        <stp>06/09/2016</stp>
        <stp>[Bbg_Market_Data_CL.xlsm]data!R149C15</stp>
        <tr r="O149" s="1"/>
      </tp>
      <tp t="s">
        <v>#N/A Requesting Data...</v>
        <stp/>
        <stp>##V3_BDHV12</stp>
        <stp>CL1 Comdty</stp>
        <stp>VOLUME_TOTAL_CALL</stp>
        <stp>14/09/2015</stp>
        <stp>14/09/2015</stp>
        <stp>[Bbg_Market_Data_CL.xlsm]data!R392C15</stp>
        <tr r="O392" s="1"/>
      </tp>
      <tp t="s">
        <v>#N/A Requesting Data...</v>
        <stp/>
        <stp>##V3_BDHV12</stp>
        <stp>CL1 Comdty</stp>
        <stp>VOLUME_TOTAL_CALL</stp>
        <stp>16/08/2016</stp>
        <stp>16/08/2016</stp>
        <stp>[Bbg_Market_Data_CL.xlsm]data!R163C15</stp>
        <tr r="O163" s="1"/>
      </tp>
      <tp t="s">
        <v>#N/A Requesting Data...</v>
        <stp/>
        <stp>##V3_BDHV12</stp>
        <stp>CL2 Comdty</stp>
        <stp>VOLUME_TOTAL_CALL</stp>
        <stp>25/08/2016</stp>
        <stp>25/08/2016</stp>
        <stp>[Bbg_Market_Data_CL.xlsm]data!R156C15</stp>
        <tr r="O156" s="1"/>
      </tp>
      <tp t="s">
        <v>#N/A Requesting Data...</v>
        <stp/>
        <stp>##V3_BDHV12</stp>
        <stp>CL1 Comdty</stp>
        <stp>VOLUME_TOTAL_CALL</stp>
        <stp>06/09/2016</stp>
        <stp>06/09/2016</stp>
        <stp>[Bbg_Market_Data_CL.xlsm]data!R149C15</stp>
        <tr r="O149" s="1"/>
      </tp>
      <tp t="s">
        <v>#N/A Requesting Data...</v>
        <stp/>
        <stp>##V3_BDHV12</stp>
        <stp>CL2 Comdty</stp>
        <stp>VOLUME_TOTAL_CALL</stp>
        <stp>14/09/2015</stp>
        <stp>14/09/2015</stp>
        <stp>[Bbg_Market_Data_CL.xlsm]data!R392C15</stp>
        <tr r="O392" s="1"/>
      </tp>
      <tp t="s">
        <v>#N/A Requesting Data...</v>
        <stp/>
        <stp>##V3_BDHV12</stp>
        <stp>CL2 Comdty</stp>
        <stp>VOLUME_TOTAL_CALL</stp>
        <stp>29/04/2016</stp>
        <stp>29/04/2016</stp>
        <stp>[Bbg_Market_Data_CL.xlsm]data!R237C15</stp>
        <tr r="O237" s="1"/>
      </tp>
      <tp t="s">
        <v>#N/A Requesting Data...</v>
        <stp/>
        <stp>##V3_BDHV12</stp>
        <stp>CL2 Comdty</stp>
        <stp>VOLUME_TOTAL_CALL</stp>
        <stp>09/06/2016</stp>
        <stp>09/06/2016</stp>
        <stp>[Bbg_Market_Data_CL.xlsm]data!R209C15</stp>
        <tr r="O209" s="1"/>
      </tp>
      <tp t="s">
        <v>#N/A Requesting Data...</v>
        <stp/>
        <stp>##V3_BDHV12</stp>
        <stp>CL1 Comdty</stp>
        <stp>VOLUME_TOTAL_CALL</stp>
        <stp>19/07/2016</stp>
        <stp>19/07/2016</stp>
        <stp>[Bbg_Market_Data_CL.xlsm]data!R182C15</stp>
        <tr r="O182" s="1"/>
      </tp>
      <tp t="s">
        <v>#N/A Requesting Data...</v>
        <stp/>
        <stp>##V3_BDHV12</stp>
        <stp>CL1 Comdty</stp>
        <stp>VOLUME_TOTAL_CALL</stp>
        <stp>08/07/2016</stp>
        <stp>08/07/2016</stp>
        <stp>[Bbg_Market_Data_CL.xlsm]data!R189C15</stp>
        <tr r="O189" s="1"/>
      </tp>
      <tp t="s">
        <v>#N/A Requesting Data...</v>
        <stp/>
        <stp>##V3_BDHV12</stp>
        <stp>CL2 Comdty</stp>
        <stp>VOLUME_TOTAL_CALL</stp>
        <stp>08/07/2016</stp>
        <stp>08/07/2016</stp>
        <stp>[Bbg_Market_Data_CL.xlsm]data!R189C15</stp>
        <tr r="O189" s="1"/>
      </tp>
      <tp t="s">
        <v>#N/A Requesting Data...</v>
        <stp/>
        <stp>##V3_BDHV12</stp>
        <stp>CL1 Comdty</stp>
        <stp>VOLUME_TOTAL_CALL</stp>
        <stp>29/04/2016</stp>
        <stp>29/04/2016</stp>
        <stp>[Bbg_Market_Data_CL.xlsm]data!R237C15</stp>
        <tr r="O237" s="1"/>
      </tp>
      <tp t="s">
        <v>#N/A Requesting Data...</v>
        <stp/>
        <stp>##V3_BDHV12</stp>
        <stp>CL1 Comdty</stp>
        <stp>VOLUME_TOTAL_CALL</stp>
        <stp>09/06/2016</stp>
        <stp>09/06/2016</stp>
        <stp>[Bbg_Market_Data_CL.xlsm]data!R209C15</stp>
        <tr r="O209" s="1"/>
      </tp>
      <tp t="s">
        <v>#N/A Requesting Data...</v>
        <stp/>
        <stp>##V3_BDHV12</stp>
        <stp>CL2 Comdty</stp>
        <stp>VOLUME_TOTAL_CALL</stp>
        <stp>19/07/2016</stp>
        <stp>19/07/2016</stp>
        <stp>[Bbg_Market_Data_CL.xlsm]data!R182C15</stp>
        <tr r="O182" s="1"/>
      </tp>
      <tp t="s">
        <v>#N/A Requesting Data...</v>
        <stp/>
        <stp>##V3_BDHV12</stp>
        <stp>CL2 Comdty</stp>
        <stp>VOLUME_TOTAL_CALL</stp>
        <stp>18/05/2015</stp>
        <stp>18/05/2015</stp>
        <stp>[Bbg_Market_Data_CL.xlsm]data!R474C15</stp>
        <tr r="O474" s="1"/>
      </tp>
      <tp t="s">
        <v>#N/A Requesting Data...</v>
        <stp/>
        <stp>##V3_BDHV12</stp>
        <stp>CL2 Comdty</stp>
        <stp>VOLUME_TOTAL_CALL</stp>
        <stp>29/07/2015</stp>
        <stp>29/07/2015</stp>
        <stp>[Bbg_Market_Data_CL.xlsm]data!R424C15</stp>
        <tr r="O424" s="1"/>
      </tp>
      <tp t="s">
        <v>#N/A Requesting Data...</v>
        <stp/>
        <stp>##V3_BDHV12</stp>
        <stp>CL1 Comdty</stp>
        <stp>VOLUME_TOTAL_CALL</stp>
        <stp>29/07/2015</stp>
        <stp>29/07/2015</stp>
        <stp>[Bbg_Market_Data_CL.xlsm]data!R424C15</stp>
        <tr r="O424" s="1"/>
      </tp>
      <tp t="s">
        <v>#N/A Requesting Data...</v>
        <stp/>
        <stp>##V3_BDHV12</stp>
        <stp>CL1 Comdty</stp>
        <stp>VOLUME_TOTAL_CALL</stp>
        <stp>18/05/2015</stp>
        <stp>18/05/2015</stp>
        <stp>[Bbg_Market_Data_CL.xlsm]data!R474C15</stp>
        <tr r="O474" s="1"/>
      </tp>
      <tp>
        <v>116681</v>
        <stp/>
        <stp>##V3_BDHV12</stp>
        <stp>CL2 Comdty</stp>
        <stp>PX_VOLUME</stp>
        <stp>30/09/2015</stp>
        <stp>30/09/2015</stp>
        <stp>[Bbg_Market_Data_CL.xlsm]data!R380C8</stp>
        <tr r="H380" s="1"/>
      </tp>
      <tp t="s">
        <v>#N/A Requesting Data...</v>
        <stp/>
        <stp>##V3_BDHV12</stp>
        <stp>CL1 Comdty</stp>
        <stp>PX_VOLUME</stp>
        <stp>30/09/2015</stp>
        <stp>30/09/2015</stp>
        <stp>[Bbg_Market_Data_CL.xlsm]data!R380C8</stp>
        <tr r="H380" s="1"/>
      </tp>
      <tp t="s">
        <v>#N/A Requesting Data...</v>
        <stp/>
        <stp>##V3_BDHV12</stp>
        <stp>CL1 Comdty</stp>
        <stp>PX_VOLUME</stp>
        <stp>31/08/2015</stp>
        <stp>31/08/2015</stp>
        <stp>[Bbg_Market_Data_CL.xlsm]data!R401C8</stp>
        <tr r="H401" s="1"/>
      </tp>
      <tp>
        <v>262886</v>
        <stp/>
        <stp>##V3_BDHV12</stp>
        <stp>CL2 Comdty</stp>
        <stp>PX_VOLUME</stp>
        <stp>13/08/2015</stp>
        <stp>13/08/2015</stp>
        <stp>[Bbg_Market_Data_CL.xlsm]data!R413C8</stp>
        <tr r="H413" s="1"/>
      </tp>
      <tp t="s">
        <v>#N/A Requesting Data...</v>
        <stp/>
        <stp>##V3_BDHV12</stp>
        <stp>CL1 Comdty</stp>
        <stp>PX_VOLUME</stp>
        <stp>13/08/2015</stp>
        <stp>13/08/2015</stp>
        <stp>[Bbg_Market_Data_CL.xlsm]data!R413C8</stp>
        <tr r="H413" s="1"/>
      </tp>
      <tp>
        <v>154921</v>
        <stp/>
        <stp>##V3_BDHV12</stp>
        <stp>CL2 Comdty</stp>
        <stp>PX_VOLUME</stp>
        <stp>31/08/2015</stp>
        <stp>31/08/2015</stp>
        <stp>[Bbg_Market_Data_CL.xlsm]data!R401C8</stp>
        <tr r="H401" s="1"/>
      </tp>
      <tp t="s">
        <v>#N/A Requesting Data...</v>
        <stp/>
        <stp>##V3_BDHV12</stp>
        <stp>CL1 Comdty</stp>
        <stp>PX_VOLUME</stp>
        <stp>29/01/2016</stp>
        <stp>29/01/2016</stp>
        <stp>[Bbg_Market_Data_CL.xlsm]data!R299C8</stp>
        <tr r="H299" s="1"/>
      </tp>
      <tp>
        <v>178457</v>
        <stp/>
        <stp>##V3_BDHV12</stp>
        <stp>CL2 Comdty</stp>
        <stp>PX_VOLUME</stp>
        <stp>29/01/2016</stp>
        <stp>29/01/2016</stp>
        <stp>[Bbg_Market_Data_CL.xlsm]data!R299C8</stp>
        <tr r="H299" s="1"/>
      </tp>
      <tp t="s">
        <v>#N/A Requesting Data...</v>
        <stp/>
        <stp>##V3_BDHV12</stp>
        <stp>CL1 Comdty</stp>
        <stp>PX_VOLUME</stp>
        <stp>02/08/2016</stp>
        <stp>02/08/2016</stp>
        <stp>[Bbg_Market_Data_CL.xlsm]data!R172C8</stp>
        <tr r="H172" s="1"/>
      </tp>
      <tp>
        <v>136591</v>
        <stp/>
        <stp>##V3_BDHV12</stp>
        <stp>CL2 Comdty</stp>
        <stp>PX_VOLUME</stp>
        <stp>02/08/2016</stp>
        <stp>02/08/2016</stp>
        <stp>[Bbg_Market_Data_CL.xlsm]data!R172C8</stp>
        <tr r="H172" s="1"/>
      </tp>
      <tp t="s">
        <v>#N/A Requesting Data...</v>
        <stp/>
        <stp>##V3_BDHV12</stp>
        <stp>CL2 Comdty</stp>
        <stp>MOV_AVG_30D</stp>
        <stp>09/03/2017</stp>
        <stp>09/03/2017</stp>
        <stp>[Bbg_Market_Data_CL.xlsm]data!R24C11</stp>
        <tr r="K24" s="1"/>
      </tp>
      <tp t="s">
        <v>#N/A Requesting Data...</v>
        <stp/>
        <stp>##V3_BDHV12</stp>
        <stp>CL2 Comdty</stp>
        <stp>MOV_AVG_30D</stp>
        <stp>09/12/2016</stp>
        <stp>09/12/2016</stp>
        <stp>[Bbg_Market_Data_CL.xlsm]data!R84C11</stp>
        <tr r="K84" s="1"/>
      </tp>
      <tp t="s">
        <v>#N/A Requesting Data...</v>
        <stp/>
        <stp>##V3_BDHV12</stp>
        <stp>CL2 Comdty</stp>
        <stp>MOV_AVG_30D</stp>
        <stp>08/03/2017</stp>
        <stp>08/03/2017</stp>
        <stp>[Bbg_Market_Data_CL.xlsm]data!R25C11</stp>
        <tr r="K25" s="1"/>
      </tp>
      <tp t="s">
        <v>#N/A Requesting Data...</v>
        <stp/>
        <stp>##V3_BDHV12</stp>
        <stp>CL2 Comdty</stp>
        <stp>MOV_AVG_30D</stp>
        <stp>08/12/2016</stp>
        <stp>08/12/2016</stp>
        <stp>[Bbg_Market_Data_CL.xlsm]data!R85C11</stp>
        <tr r="K85" s="1"/>
      </tp>
      <tp>
        <v>392520</v>
        <stp/>
        <stp>##V3_BDHV12</stp>
        <stp>CL2 Comdty</stp>
        <stp>PX_VOLUME</stp>
        <stp>15/09/2016</stp>
        <stp>15/09/2016</stp>
        <stp>[Bbg_Market_Data_CL.xlsm]data!R142C8</stp>
        <tr r="H142" s="1"/>
      </tp>
      <tp t="s">
        <v>#N/A Requesting Data...</v>
        <stp/>
        <stp>##V3_BDHV12</stp>
        <stp>CL1 Comdty</stp>
        <stp>PX_VOLUME</stp>
        <stp>15/09/2016</stp>
        <stp>15/09/2016</stp>
        <stp>[Bbg_Market_Data_CL.xlsm]data!R142C8</stp>
        <tr r="H142" s="1"/>
      </tp>
      <tp t="s">
        <v>#N/A Requesting Data...</v>
        <stp/>
        <stp>##V3_BDHV12</stp>
        <stp>CL1 Comdty</stp>
        <stp>MOV_AVG_30D</stp>
        <stp>18/01/2017</stp>
        <stp>18/01/2017</stp>
        <stp>[Bbg_Market_Data_CL.xlsm]data!R59C11</stp>
        <tr r="K59" s="1"/>
      </tp>
      <tp t="s">
        <v>#N/A Requesting Data...</v>
        <stp/>
        <stp>##V3_BDHV12</stp>
        <stp>CL1 Comdty</stp>
        <stp>MOV_AVG_30D</stp>
        <stp>28/02/2017</stp>
        <stp>28/02/2017</stp>
        <stp>[Bbg_Market_Data_CL.xlsm]data!R31C11</stp>
        <tr r="K31" s="1"/>
      </tp>
      <tp t="s">
        <v>#N/A Requesting Data...</v>
        <stp/>
        <stp>##V3_BDHV12</stp>
        <stp>CL1 Comdty</stp>
        <stp>MOV_AVG_30D</stp>
        <stp>19/01/2017</stp>
        <stp>19/01/2017</stp>
        <stp>[Bbg_Market_Data_CL.xlsm]data!R58C11</stp>
        <tr r="K58" s="1"/>
      </tp>
      <tp>
        <v>171247</v>
        <stp/>
        <stp>##V3_BDHV12</stp>
        <stp>CL2 Comdty</stp>
        <stp>PX_VOLUME</stp>
        <stp>14/09/2015</stp>
        <stp>14/09/2015</stp>
        <stp>[Bbg_Market_Data_CL.xlsm]data!R392C8</stp>
        <tr r="H392" s="1"/>
      </tp>
      <tp t="s">
        <v>#N/A Requesting Data...</v>
        <stp/>
        <stp>##V3_BDHV12</stp>
        <stp>CL1 Comdty</stp>
        <stp>PX_VOLUME</stp>
        <stp>16/08/2016</stp>
        <stp>16/08/2016</stp>
        <stp>[Bbg_Market_Data_CL.xlsm]data!R163C8</stp>
        <tr r="H163" s="1"/>
      </tp>
      <tp t="s">
        <v>#N/A Requesting Data...</v>
        <stp/>
        <stp>##V3_BDHV12</stp>
        <stp>CL1 Comdty</stp>
        <stp>PX_VOLUME</stp>
        <stp>14/09/2015</stp>
        <stp>14/09/2015</stp>
        <stp>[Bbg_Market_Data_CL.xlsm]data!R392C8</stp>
        <tr r="H392" s="1"/>
      </tp>
      <tp>
        <v>272462</v>
        <stp/>
        <stp>##V3_BDHV12</stp>
        <stp>CL2 Comdty</stp>
        <stp>PX_VOLUME</stp>
        <stp>16/08/2016</stp>
        <stp>16/08/2016</stp>
        <stp>[Bbg_Market_Data_CL.xlsm]data!R163C8</stp>
        <tr r="H163" s="1"/>
      </tp>
      <tp t="s">
        <v>#N/A Requesting Data...</v>
        <stp/>
        <stp>##V3_BDHV12</stp>
        <stp>CL2 Comdty</stp>
        <stp>MOV_AVG_30D</stp>
        <stp>05/12/2016</stp>
        <stp>05/12/2016</stp>
        <stp>[Bbg_Market_Data_CL.xlsm]data!R88C11</stp>
        <tr r="K88" s="1"/>
      </tp>
      <tp t="s">
        <v>#N/A Requesting Data...</v>
        <stp/>
        <stp>##V3_BDHV12</stp>
        <stp>CL2 Comdty</stp>
        <stp>MOV_AVG_30D</stp>
        <stp>15/02/2017</stp>
        <stp>15/02/2017</stp>
        <stp>[Bbg_Market_Data_CL.xlsm]data!R39C11</stp>
        <tr r="K39" s="1"/>
      </tp>
      <tp t="s">
        <v>#N/A Requesting Data...</v>
        <stp/>
        <stp>##V3_BDHV12</stp>
        <stp>CL2 Comdty</stp>
        <stp>MOV_AVG_30D</stp>
        <stp>25/01/2017</stp>
        <stp>25/01/2017</stp>
        <stp>[Bbg_Market_Data_CL.xlsm]data!R54C11</stp>
        <tr r="K54" s="1"/>
      </tp>
      <tp>
        <v>84065</v>
        <stp/>
        <stp>##V3_BDHV12</stp>
        <stp>CL2 Comdty</stp>
        <stp>PX_VOLUME</stp>
        <stp>01/12/2015</stp>
        <stp>01/12/2015</stp>
        <stp>[Bbg_Market_Data_CL.xlsm]data!R339C8</stp>
        <tr r="H339" s="1"/>
      </tp>
      <tp t="s">
        <v>#N/A Requesting Data...</v>
        <stp/>
        <stp>##V3_BDHV12</stp>
        <stp>CL1 Comdty</stp>
        <stp>PX_VOLUME</stp>
        <stp>01/12/2015</stp>
        <stp>01/12/2015</stp>
        <stp>[Bbg_Market_Data_CL.xlsm]data!R339C8</stp>
        <tr r="H339" s="1"/>
      </tp>
      <tp t="s">
        <v>#N/A Requesting Data...</v>
        <stp/>
        <stp>##V3_BDHV12</stp>
        <stp>CL1 Comdty</stp>
        <stp>MOV_AVG_30D</stp>
        <stp>27/02/2017</stp>
        <stp>27/02/2017</stp>
        <stp>[Bbg_Market_Data_CL.xlsm]data!R32C11</stp>
        <tr r="K32" s="1"/>
      </tp>
      <tp t="s">
        <v>#N/A Requesting Data...</v>
        <stp/>
        <stp>##V3_BDHV12</stp>
        <stp>CL2 Comdty</stp>
        <stp>MOV_AVG_30D</stp>
        <stp>24/01/2017</stp>
        <stp>24/01/2017</stp>
        <stp>[Bbg_Market_Data_CL.xlsm]data!R55C11</stp>
        <tr r="K55" s="1"/>
      </tp>
      <tp t="s">
        <v>#N/A Requesting Data...</v>
        <stp/>
        <stp>##V3_BDHV12</stp>
        <stp>CL1 Comdty</stp>
        <stp>MOV_AVG_30D</stp>
        <stp>17/01/2017</stp>
        <stp>17/01/2017</stp>
        <stp>[Bbg_Market_Data_CL.xlsm]data!R60C11</stp>
        <tr r="K60" s="1"/>
      </tp>
      <tp t="s">
        <v>#N/A Requesting Data...</v>
        <stp/>
        <stp>##V3_BDHV12</stp>
        <stp>CL2 Comdty</stp>
        <stp>MOV_AVG_30D</stp>
        <stp>14/02/2017</stp>
        <stp>14/02/2017</stp>
        <stp>[Bbg_Market_Data_CL.xlsm]data!R40C11</stp>
        <tr r="K40" s="1"/>
      </tp>
      <tp>
        <v>81160</v>
        <stp/>
        <stp>##V3_BDHV12</stp>
        <stp>CL2 Comdty</stp>
        <stp>PX_VOLUME</stp>
        <stp>29/09/2015</stp>
        <stp>29/09/2015</stp>
        <stp>[Bbg_Market_Data_CL.xlsm]data!R381C8</stp>
        <tr r="H381" s="1"/>
      </tp>
      <tp t="s">
        <v>#N/A Requesting Data...</v>
        <stp/>
        <stp>##V3_BDHV12</stp>
        <stp>CL1 Comdty</stp>
        <stp>PX_VOLUME</stp>
        <stp>29/09/2015</stp>
        <stp>29/09/2015</stp>
        <stp>[Bbg_Market_Data_CL.xlsm]data!R381C8</stp>
        <tr r="H381" s="1"/>
      </tp>
      <tp>
        <v>426183</v>
        <stp/>
        <stp>##V3_BDHV12</stp>
        <stp>CL2 Comdty</stp>
        <stp>PX_VOLUME</stp>
        <stp>12/02/2016</stp>
        <stp>12/02/2016</stp>
        <stp>[Bbg_Market_Data_CL.xlsm]data!R289C8</stp>
        <tr r="H289" s="1"/>
      </tp>
      <tp t="s">
        <v>#N/A Requesting Data...</v>
        <stp/>
        <stp>##V3_BDHV12</stp>
        <stp>CL1 Comdty</stp>
        <stp>PX_VOLUME</stp>
        <stp>12/02/2016</stp>
        <stp>12/02/2016</stp>
        <stp>[Bbg_Market_Data_CL.xlsm]data!R289C8</stp>
        <tr r="H289" s="1"/>
      </tp>
      <tp t="s">
        <v>#N/A Requesting Data...</v>
        <stp/>
        <stp>##V3_BDHV12</stp>
        <stp>CL2 Comdty</stp>
        <stp>MOV_AVG_30D</stp>
        <stp>07/12/2016</stp>
        <stp>07/12/2016</stp>
        <stp>[Bbg_Market_Data_CL.xlsm]data!R86C11</stp>
        <tr r="K86" s="1"/>
      </tp>
      <tp t="s">
        <v>#N/A Requesting Data...</v>
        <stp/>
        <stp>##V3_BDHV12</stp>
        <stp>CL1 Comdty</stp>
        <stp>MOV_AVG_30D</stp>
        <stp>24/02/2017</stp>
        <stp>24/02/2017</stp>
        <stp>[Bbg_Market_Data_CL.xlsm]data!R33C11</stp>
        <tr r="K33" s="1"/>
      </tp>
      <tp t="s">
        <v>#N/A Requesting Data...</v>
        <stp/>
        <stp>##V3_BDHV12</stp>
        <stp>CL2 Comdty</stp>
        <stp>MOV_AVG_30D</stp>
        <stp>07/03/2017</stp>
        <stp>07/03/2017</stp>
        <stp>[Bbg_Market_Data_CL.xlsm]data!R26C11</stp>
        <tr r="K26" s="1"/>
      </tp>
      <tp t="s">
        <v>#N/A Requesting Data...</v>
        <stp/>
        <stp>##V3_BDHV12</stp>
        <stp>CL2 Comdty</stp>
        <stp>MOV_AVG_30D</stp>
        <stp>17/02/2017</stp>
        <stp>17/02/2017</stp>
        <stp>[Bbg_Market_Data_CL.xlsm]data!R37C11</stp>
        <tr r="K37" s="1"/>
      </tp>
      <tp t="s">
        <v>#N/A Requesting Data...</v>
        <stp/>
        <stp>##V3_BDHV12</stp>
        <stp>CL2 Comdty</stp>
        <stp>MOV_AVG_30D</stp>
        <stp>27/01/2017</stp>
        <stp>27/01/2017</stp>
        <stp>[Bbg_Market_Data_CL.xlsm]data!R52C11</stp>
        <tr r="K52" s="1"/>
      </tp>
      <tp t="s">
        <v>#N/A Requesting Data...</v>
        <stp/>
        <stp>##V3_BDHV12</stp>
        <stp>CL1 Comdty</stp>
        <stp>PX_VOLUME</stp>
        <stp>01/03/2016</stp>
        <stp>01/03/2016</stp>
        <stp>[Bbg_Market_Data_CL.xlsm]data!R279C8</stp>
        <tr r="H279" s="1"/>
      </tp>
      <tp>
        <v>178398</v>
        <stp/>
        <stp>##V3_BDHV12</stp>
        <stp>CL2 Comdty</stp>
        <stp>PX_VOLUME</stp>
        <stp>01/03/2016</stp>
        <stp>01/03/2016</stp>
        <stp>[Bbg_Market_Data_CL.xlsm]data!R279C8</stp>
        <tr r="H279" s="1"/>
      </tp>
      <tp t="s">
        <v>#N/A Requesting Data...</v>
        <stp/>
        <stp>##V3_BDHV12</stp>
        <stp>CL2 Comdty</stp>
        <stp>MOV_AVG_30D</stp>
        <stp>06/12/2016</stp>
        <stp>06/12/2016</stp>
        <stp>[Bbg_Market_Data_CL.xlsm]data!R87C11</stp>
        <tr r="K87" s="1"/>
      </tp>
      <tp t="s">
        <v>#N/A Requesting Data...</v>
        <stp/>
        <stp>##V3_BDHV12</stp>
        <stp>CL2 Comdty</stp>
        <stp>MOV_AVG_30D</stp>
        <stp>16/02/2017</stp>
        <stp>16/02/2017</stp>
        <stp>[Bbg_Market_Data_CL.xlsm]data!R38C11</stp>
        <tr r="K38" s="1"/>
      </tp>
      <tp t="s">
        <v>#N/A Requesting Data...</v>
        <stp/>
        <stp>##V3_BDHV12</stp>
        <stp>CL2 Comdty</stp>
        <stp>MOV_AVG_30D</stp>
        <stp>06/03/2017</stp>
        <stp>06/03/2017</stp>
        <stp>[Bbg_Market_Data_CL.xlsm]data!R27C11</stp>
        <tr r="K27" s="1"/>
      </tp>
      <tp t="s">
        <v>#N/A Requesting Data...</v>
        <stp/>
        <stp>##V3_BDHV12</stp>
        <stp>CL2 Comdty</stp>
        <stp>MOV_AVG_30D</stp>
        <stp>26/01/2017</stp>
        <stp>26/01/2017</stp>
        <stp>[Bbg_Market_Data_CL.xlsm]data!R53C11</stp>
        <tr r="K53" s="1"/>
      </tp>
      <tp t="s">
        <v>#N/A Requesting Data...</v>
        <stp/>
        <stp>##V3_BDHV12</stp>
        <stp>CL1 Comdty</stp>
        <stp>PX_VOLUME</stp>
        <stp>01/02/2016</stp>
        <stp>01/02/2016</stp>
        <stp>[Bbg_Market_Data_CL.xlsm]data!R298C8</stp>
        <tr r="H298" s="1"/>
      </tp>
      <tp>
        <v>165432</v>
        <stp/>
        <stp>##V3_BDHV12</stp>
        <stp>CL2 Comdty</stp>
        <stp>PX_VOLUME</stp>
        <stp>01/02/2016</stp>
        <stp>01/02/2016</stp>
        <stp>[Bbg_Market_Data_CL.xlsm]data!R298C8</stp>
        <tr r="H298" s="1"/>
      </tp>
      <tp t="s">
        <v>#N/A Requesting Data...</v>
        <stp/>
        <stp>##V3_BDHV12</stp>
        <stp>CL2 Comdty</stp>
        <stp>MOV_AVG_30D</stp>
        <stp>01/12/2016</stp>
        <stp>01/12/2016</stp>
        <stp>[Bbg_Market_Data_CL.xlsm]data!R90C11</stp>
        <tr r="K90" s="1"/>
      </tp>
      <tp t="s">
        <v>#N/A Requesting Data...</v>
        <stp/>
        <stp>##V3_BDHV12</stp>
        <stp>CL1 Comdty</stp>
        <stp>MOV_AVG_30D</stp>
        <stp>12/01/2017</stp>
        <stp>12/01/2017</stp>
        <stp>[Bbg_Market_Data_CL.xlsm]data!R62C11</stp>
        <tr r="K62" s="1"/>
      </tp>
      <tp t="s">
        <v>#N/A Requesting Data...</v>
        <stp/>
        <stp>##V3_BDHV12</stp>
        <stp>CL2 Comdty</stp>
        <stp>MOV_AVG_30D</stp>
        <stp>01/03/2017</stp>
        <stp>01/03/2017</stp>
        <stp>[Bbg_Market_Data_CL.xlsm]data!R30C11</stp>
        <tr r="K30" s="1"/>
      </tp>
      <tp t="s">
        <v>#N/A Requesting Data...</v>
        <stp/>
        <stp>##V3_BDHV12</stp>
        <stp>CL1 Comdty</stp>
        <stp>MOV_AVG_30D</stp>
        <stp>22/02/2017</stp>
        <stp>22/02/2017</stp>
        <stp>[Bbg_Market_Data_CL.xlsm]data!R35C11</stp>
        <tr r="K35" s="1"/>
      </tp>
      <tp>
        <v>374538</v>
        <stp/>
        <stp>##V3_BDHV12</stp>
        <stp>CL2 Comdty</stp>
        <stp>PX_VOLUME</stp>
        <stp>16/03/2016</stp>
        <stp>16/03/2016</stp>
        <stp>[Bbg_Market_Data_CL.xlsm]data!R268C8</stp>
        <tr r="H268" s="1"/>
      </tp>
      <tp t="s">
        <v>#N/A Requesting Data...</v>
        <stp/>
        <stp>##V3_BDHV12</stp>
        <stp>CL1 Comdty</stp>
        <stp>PX_VOLUME</stp>
        <stp>16/03/2016</stp>
        <stp>16/03/2016</stp>
        <stp>[Bbg_Market_Data_CL.xlsm]data!R268C8</stp>
        <tr r="H268" s="1"/>
      </tp>
      <tp t="s">
        <v>#N/A Requesting Data...</v>
        <stp/>
        <stp>##V3_BDHV12</stp>
        <stp>CL2 Comdty</stp>
        <stp>MOV_AVG_30D</stp>
        <stp>30/11/2016</stp>
        <stp>30/11/2016</stp>
        <stp>[Bbg_Market_Data_CL.xlsm]data!R91C11</stp>
        <tr r="K91" s="1"/>
      </tp>
      <tp t="s">
        <v>#N/A Requesting Data...</v>
        <stp/>
        <stp>##V3_BDHV12</stp>
        <stp>CL2 Comdty</stp>
        <stp>MOV_AVG_30D</stp>
        <stp>20/01/2017</stp>
        <stp>20/01/2017</stp>
        <stp>[Bbg_Market_Data_CL.xlsm]data!R57C11</stp>
        <tr r="K57" s="1"/>
      </tp>
      <tp t="s">
        <v>#N/A Requesting Data...</v>
        <stp/>
        <stp>##V3_BDHV12</stp>
        <stp>CL1 Comdty</stp>
        <stp>MOV_AVG_30D</stp>
        <stp>13/01/2017</stp>
        <stp>13/01/2017</stp>
        <stp>[Bbg_Market_Data_CL.xlsm]data!R61C11</stp>
        <tr r="K61" s="1"/>
      </tp>
      <tp t="s">
        <v>#N/A Requesting Data...</v>
        <stp/>
        <stp>##V3_BDHV12</stp>
        <stp>CL2 Comdty</stp>
        <stp>MOV_AVG_30D</stp>
        <stp>10/02/2017</stp>
        <stp>10/02/2017</stp>
        <stp>[Bbg_Market_Data_CL.xlsm]data!R42C11</stp>
        <tr r="K42" s="1"/>
      </tp>
      <tp t="s">
        <v>#N/A Requesting Data...</v>
        <stp/>
        <stp>##V3_BDHV12</stp>
        <stp>CL1 Comdty</stp>
        <stp>MOV_AVG_30D</stp>
        <stp>23/02/2017</stp>
        <stp>23/02/2017</stp>
        <stp>[Bbg_Market_Data_CL.xlsm]data!R34C11</stp>
        <tr r="K34" s="1"/>
      </tp>
      <tp t="s">
        <v>#N/A Requesting Data...</v>
        <stp/>
        <stp>##V3_BDHV12</stp>
        <stp>CL2 Comdty</stp>
        <stp>MOV_AVG_30D</stp>
        <stp>13/02/2017</stp>
        <stp>13/02/2017</stp>
        <stp>[Bbg_Market_Data_CL.xlsm]data!R41C11</stp>
        <tr r="K41" s="1"/>
      </tp>
      <tp t="s">
        <v>#N/A Requesting Data...</v>
        <stp/>
        <stp>##V3_BDHV12</stp>
        <stp>CL1 Comdty</stp>
        <stp>MOV_AVG_30D</stp>
        <stp>10/01/2017</stp>
        <stp>10/01/2017</stp>
        <stp>[Bbg_Market_Data_CL.xlsm]data!R64C11</stp>
        <tr r="K64" s="1"/>
      </tp>
      <tp t="s">
        <v>#N/A Requesting Data...</v>
        <stp/>
        <stp>##V3_BDHV12</stp>
        <stp>CL2 Comdty</stp>
        <stp>MOV_AVG_30D</stp>
        <stp>23/01/2017</stp>
        <stp>23/01/2017</stp>
        <stp>[Bbg_Market_Data_CL.xlsm]data!R56C11</stp>
        <tr r="K56" s="1"/>
      </tp>
      <tp t="s">
        <v>#N/A Requesting Data...</v>
        <stp/>
        <stp>##V3_BDHV12</stp>
        <stp>CL1 Comdty</stp>
        <stp>MOV_AVG_30D</stp>
        <stp>30/12/2016</stp>
        <stp>30/12/2016</stp>
        <stp>[Bbg_Market_Data_CL.xlsm]data!R70C11</stp>
        <tr r="K70" s="1"/>
      </tp>
      <tp t="s">
        <v>#N/A Requesting Data...</v>
        <stp/>
        <stp>##V3_BDHV12</stp>
        <stp>CL2 Comdty</stp>
        <stp>MOV_AVG_30D</stp>
        <stp>03/03/2017</stp>
        <stp>03/03/2017</stp>
        <stp>[Bbg_Market_Data_CL.xlsm]data!R28C11</stp>
        <tr r="K28" s="1"/>
      </tp>
      <tp t="s">
        <v>#N/A Requesting Data...</v>
        <stp/>
        <stp>##V3_BDHV12</stp>
        <stp>CL1 Comdty</stp>
        <stp>PX_VOLUME</stp>
        <stp>16/12/2015</stp>
        <stp>16/12/2015</stp>
        <stp>[Bbg_Market_Data_CL.xlsm]data!R328C8</stp>
        <tr r="H328" s="1"/>
      </tp>
      <tp>
        <v>300698</v>
        <stp/>
        <stp>##V3_BDHV12</stp>
        <stp>CL2 Comdty</stp>
        <stp>PX_VOLUME</stp>
        <stp>16/12/2015</stp>
        <stp>16/12/2015</stp>
        <stp>[Bbg_Market_Data_CL.xlsm]data!R328C8</stp>
        <tr r="H328" s="1"/>
      </tp>
      <tp t="s">
        <v>#N/A Requesting Data...</v>
        <stp/>
        <stp>##V3_BDHV12</stp>
        <stp>CL2 Comdty</stp>
        <stp>MOV_AVG_30D</stp>
        <stp>02/12/2016</stp>
        <stp>02/12/2016</stp>
        <stp>[Bbg_Market_Data_CL.xlsm]data!R89C11</stp>
        <tr r="K89" s="1"/>
      </tp>
      <tp t="s">
        <v>#N/A Requesting Data...</v>
        <stp/>
        <stp>##V3_BDHV12</stp>
        <stp>CL1 Comdty</stp>
        <stp>MOV_AVG_30D</stp>
        <stp>11/01/2017</stp>
        <stp>11/01/2017</stp>
        <stp>[Bbg_Market_Data_CL.xlsm]data!R63C11</stp>
        <tr r="K63" s="1"/>
      </tp>
      <tp t="s">
        <v>#N/A Requesting Data...</v>
        <stp/>
        <stp>##V3_BDHV12</stp>
        <stp>CL1 Comdty</stp>
        <stp>MOV_AVG_30D</stp>
        <stp>21/02/2017</stp>
        <stp>21/02/2017</stp>
        <stp>[Bbg_Market_Data_CL.xlsm]data!R36C11</stp>
        <tr r="K36" s="1"/>
      </tp>
      <tp t="s">
        <v>#N/A Requesting Data...</v>
        <stp/>
        <stp>##V3_BDHV12</stp>
        <stp>CL2 Comdty</stp>
        <stp>MOV_AVG_30D</stp>
        <stp>02/03/2017</stp>
        <stp>02/03/2017</stp>
        <stp>[Bbg_Market_Data_CL.xlsm]data!R29C11</stp>
        <tr r="K29" s="1"/>
      </tp>
      <tp t="s">
        <v>#N/A Requesting Data...</v>
        <stp/>
        <stp>##V3_BDHV12</stp>
        <stp>SPGSCLP Index</stp>
        <stp>CHG_PCT_1D</stp>
        <stp>22/03/2017</stp>
        <stp>22/03/2017</stp>
        <stp>[Bbg_Market_Data_CL.xlsm]data!R15C3</stp>
        <tr r="C15" s="1"/>
      </tp>
      <tp t="s">
        <v>#N/A Requesting Data...</v>
        <stp/>
        <stp>##V3_BDHV12</stp>
        <stp>SPGSCLP Index</stp>
        <stp>CHG_PCT_1D</stp>
        <stp>23/12/2016</stp>
        <stp>23/12/2016</stp>
        <stp>[Bbg_Market_Data_CL.xlsm]data!R74C3</stp>
        <tr r="C74" s="1"/>
      </tp>
      <tp t="s">
        <v>#N/A Requesting Data...</v>
        <stp/>
        <stp>##V3_BDHV12</stp>
        <stp>SPGSCLP Index</stp>
        <stp>CHG_PCT_5D</stp>
        <stp>23/12/2016</stp>
        <stp>23/12/2016</stp>
        <stp>[Bbg_Market_Data_CL.xlsm]data!R74C4</stp>
        <tr r="D74" s="1"/>
      </tp>
      <tp t="s">
        <v>#N/A Requesting Data...</v>
        <stp/>
        <stp>##V3_BDHV12</stp>
        <stp>SPGSCLP Index</stp>
        <stp>CHG_PCT_5D</stp>
        <stp>22/03/2017</stp>
        <stp>22/03/2017</stp>
        <stp>[Bbg_Market_Data_CL.xlsm]data!R15C4</stp>
        <tr r="D15" s="1"/>
      </tp>
      <tp t="s">
        <v>#N/A Requesting Data...</v>
        <stp/>
        <stp>##V3_BDHV12</stp>
        <stp>SPGSCLP Index</stp>
        <stp>CHG_PCT_1D</stp>
        <stp>09/01/2017</stp>
        <stp>09/01/2017</stp>
        <stp>[Bbg_Market_Data_CL.xlsm]data!R65C3</stp>
        <tr r="C65" s="1"/>
      </tp>
      <tp t="s">
        <v>#N/A Requesting Data...</v>
        <stp/>
        <stp>##V3_BDHV12</stp>
        <stp>SPGSCLP Index</stp>
        <stp>CHG_PCT_5D</stp>
        <stp>09/01/2017</stp>
        <stp>09/01/2017</stp>
        <stp>[Bbg_Market_Data_CL.xlsm]data!R65C4</stp>
        <tr r="D65" s="1"/>
      </tp>
      <tp t="s">
        <v>#N/A Requesting Data...</v>
        <stp/>
        <stp>##V3_BDHV12</stp>
        <stp>SPGSCLP Index</stp>
        <stp>CHG_PCT_1D</stp>
        <stp>22/02/2017</stp>
        <stp>22/02/2017</stp>
        <stp>[Bbg_Market_Data_CL.xlsm]data!R35C3</stp>
        <tr r="C35" s="1"/>
      </tp>
      <tp t="s">
        <v>#N/A Requesting Data...</v>
        <stp/>
        <stp>##V3_BDHV12</stp>
        <stp>SPGSCLP Index</stp>
        <stp>CHG_PCT_5D</stp>
        <stp>22/02/2017</stp>
        <stp>22/02/2017</stp>
        <stp>[Bbg_Market_Data_CL.xlsm]data!R35C4</stp>
        <tr r="D35" s="1"/>
      </tp>
      <tp t="s">
        <v>#N/A Requesting Data...</v>
        <stp/>
        <stp>##V3_BDHV12</stp>
        <stp>SPGSCLP Index</stp>
        <stp>CHG_PCT_5D</stp>
        <stp>24/01/2017</stp>
        <stp>24/01/2017</stp>
        <stp>[Bbg_Market_Data_CL.xlsm]data!R55C4</stp>
        <tr r="D55" s="1"/>
      </tp>
      <tp t="s">
        <v>#N/A Requesting Data...</v>
        <stp/>
        <stp>##V3_BDHV12</stp>
        <stp>SPGSCLP Index</stp>
        <stp>CHG_PCT_1D</stp>
        <stp>24/01/2017</stp>
        <stp>24/01/2017</stp>
        <stp>[Bbg_Market_Data_CL.xlsm]data!R55C3</stp>
        <tr r="C55" s="1"/>
      </tp>
      <tp t="s">
        <v>#N/A Requesting Data...</v>
        <stp/>
        <stp>##V3_BDHV12</stp>
        <stp>SPGSCLP Index</stp>
        <stp>CHG_PCT_1D</stp>
        <stp>08/03/2017</stp>
        <stp>08/03/2017</stp>
        <stp>[Bbg_Market_Data_CL.xlsm]data!R25C3</stp>
        <tr r="C25" s="1"/>
      </tp>
      <tp t="s">
        <v>#N/A Requesting Data...</v>
        <stp/>
        <stp>##V3_BDHV12</stp>
        <stp>SPGSCLP Index</stp>
        <stp>CHG_PCT_1D</stp>
        <stp>09/12/2016</stp>
        <stp>09/12/2016</stp>
        <stp>[Bbg_Market_Data_CL.xlsm]data!R84C3</stp>
        <tr r="C84" s="1"/>
      </tp>
      <tp t="s">
        <v>#N/A Requesting Data...</v>
        <stp/>
        <stp>##V3_BDHV12</stp>
        <stp>SPGSCLP Index</stp>
        <stp>CHG_PCT_5D</stp>
        <stp>09/12/2016</stp>
        <stp>09/12/2016</stp>
        <stp>[Bbg_Market_Data_CL.xlsm]data!R84C4</stp>
        <tr r="D84" s="1"/>
      </tp>
      <tp t="s">
        <v>#N/A Requesting Data...</v>
        <stp/>
        <stp>##V3_BDHV12</stp>
        <stp>SPGSCLP Index</stp>
        <stp>CHG_PCT_5D</stp>
        <stp>08/03/2017</stp>
        <stp>08/03/2017</stp>
        <stp>[Bbg_Market_Data_CL.xlsm]data!R25C4</stp>
        <tr r="D25" s="1"/>
      </tp>
      <tp t="s">
        <v>#N/A Requesting Data...</v>
        <stp/>
        <stp>##V3_BDHV12</stp>
        <stp>SPGSCLP Index</stp>
        <stp>CHG_PCT_5D</stp>
        <stp>25/11/2016</stp>
        <stp>25/11/2016</stp>
        <stp>[Bbg_Market_Data_CL.xlsm]data!R94C4</stp>
        <tr r="D94" s="1"/>
      </tp>
      <tp t="s">
        <v>#N/A Requesting Data...</v>
        <stp/>
        <stp>##V3_BDHV12</stp>
        <stp>SPGSCLP Index</stp>
        <stp>CHG_PCT_5D</stp>
        <stp>07/02/2017</stp>
        <stp>07/02/2017</stp>
        <stp>[Bbg_Market_Data_CL.xlsm]data!R45C4</stp>
        <tr r="D45" s="1"/>
      </tp>
      <tp t="s">
        <v>#N/A Requesting Data...</v>
        <stp/>
        <stp>##V3_BDHV12</stp>
        <stp>SPGSCLP Index</stp>
        <stp>CHG_PCT_1D</stp>
        <stp>07/02/2017</stp>
        <stp>07/02/2017</stp>
        <stp>[Bbg_Market_Data_CL.xlsm]data!R45C3</stp>
        <tr r="C45" s="1"/>
      </tp>
      <tp t="s">
        <v>#N/A Requesting Data...</v>
        <stp/>
        <stp>##V3_BDHV12</stp>
        <stp>SPGSCLP Index</stp>
        <stp>CHG_PCT_1D</stp>
        <stp>25/11/2016</stp>
        <stp>25/11/2016</stp>
        <stp>[Bbg_Market_Data_CL.xlsm]data!R94C3</stp>
        <tr r="C94" s="1"/>
      </tp>
      <tp t="s">
        <v>#N/A Requesting Data...</v>
        <stp/>
        <stp>##V3_BDHV12</stp>
        <stp>CL2 Comdty</stp>
        <stp>VOLUME_TOTAL_CALL</stp>
        <stp>14/08/2015</stp>
        <stp>14/08/2015</stp>
        <stp>[Bbg_Market_Data_CL.xlsm]data!R412C15</stp>
        <tr r="O412" s="1"/>
      </tp>
      <tp t="s">
        <v>#N/A Requesting Data...</v>
        <stp/>
        <stp>##V3_BDHV12</stp>
        <stp>CL1 Comdty</stp>
        <stp>VOLUME_TOTAL_CALL</stp>
        <stp>27/08/2015</stp>
        <stp>27/08/2015</stp>
        <stp>[Bbg_Market_Data_CL.xlsm]data!R403C15</stp>
        <tr r="O403" s="1"/>
      </tp>
      <tp t="s">
        <v>#N/A Requesting Data...</v>
        <stp/>
        <stp>##V3_BDHV12</stp>
        <stp>CL2 Comdty</stp>
        <stp>VOLUME_TOTAL_CALL</stp>
        <stp>05/08/2015</stp>
        <stp>05/08/2015</stp>
        <stp>[Bbg_Market_Data_CL.xlsm]data!R419C15</stp>
        <tr r="O419" s="1"/>
      </tp>
      <tp t="s">
        <v>#N/A Requesting Data...</v>
        <stp/>
        <stp>##V3_BDHV12</stp>
        <stp>CL1 Comdty</stp>
        <stp>VOLUME_TOTAL_CALL</stp>
        <stp>05/08/2015</stp>
        <stp>05/08/2015</stp>
        <stp>[Bbg_Market_Data_CL.xlsm]data!R419C15</stp>
        <tr r="O419" s="1"/>
      </tp>
      <tp t="s">
        <v>#N/A Requesting Data...</v>
        <stp/>
        <stp>##V3_BDHV12</stp>
        <stp>CL1 Comdty</stp>
        <stp>VOLUME_TOTAL_CALL</stp>
        <stp>14/08/2015</stp>
        <stp>14/08/2015</stp>
        <stp>[Bbg_Market_Data_CL.xlsm]data!R412C15</stp>
        <tr r="O412" s="1"/>
      </tp>
      <tp t="s">
        <v>#N/A Requesting Data...</v>
        <stp/>
        <stp>##V3_BDHV12</stp>
        <stp>CL2 Comdty</stp>
        <stp>VOLUME_TOTAL_CALL</stp>
        <stp>27/08/2015</stp>
        <stp>27/08/2015</stp>
        <stp>[Bbg_Market_Data_CL.xlsm]data!R403C15</stp>
        <tr r="O403" s="1"/>
      </tp>
      <tp t="s">
        <v>#N/A Requesting Data...</v>
        <stp/>
        <stp>##V3_BDHV12</stp>
        <stp>CL2 Comdty</stp>
        <stp>VOLUME_TOTAL_CALL</stp>
        <stp>16/09/2016</stp>
        <stp>16/09/2016</stp>
        <stp>[Bbg_Market_Data_CL.xlsm]data!R141C15</stp>
        <tr r="O141" s="1"/>
      </tp>
      <tp t="s">
        <v>#N/A Requesting Data...</v>
        <stp/>
        <stp>##V3_BDHV12</stp>
        <stp>CL1 Comdty</stp>
        <stp>VOLUME_TOTAL_CALL</stp>
        <stp>04/09/2015</stp>
        <stp>04/09/2015</stp>
        <stp>[Bbg_Market_Data_CL.xlsm]data!R397C15</stp>
        <tr r="O397" s="1"/>
      </tp>
      <tp t="s">
        <v>#N/A Requesting Data...</v>
        <stp/>
        <stp>##V3_BDHV12</stp>
        <stp>CL2 Comdty</stp>
        <stp>VOLUME_TOTAL_CALL</stp>
        <stp>17/08/2016</stp>
        <stp>17/08/2016</stp>
        <stp>[Bbg_Market_Data_CL.xlsm]data!R162C15</stp>
        <tr r="O162" s="1"/>
      </tp>
      <tp t="s">
        <v>#N/A Requesting Data...</v>
        <stp/>
        <stp>##V3_BDHV12</stp>
        <stp>CL1 Comdty</stp>
        <stp>VOLUME_TOTAL_CALL</stp>
        <stp>24/08/2016</stp>
        <stp>24/08/2016</stp>
        <stp>[Bbg_Market_Data_CL.xlsm]data!R157C15</stp>
        <tr r="O157" s="1"/>
      </tp>
      <tp t="s">
        <v>#N/A Requesting Data...</v>
        <stp/>
        <stp>##V3_BDHV12</stp>
        <stp>CL2 Comdty</stp>
        <stp>VOLUME_TOTAL_CALL</stp>
        <stp>07/09/2016</stp>
        <stp>07/09/2016</stp>
        <stp>[Bbg_Market_Data_CL.xlsm]data!R148C15</stp>
        <tr r="O148" s="1"/>
      </tp>
      <tp t="s">
        <v>#N/A Requesting Data...</v>
        <stp/>
        <stp>##V3_BDHV12</stp>
        <stp>CL1 Comdty</stp>
        <stp>VOLUME_TOTAL_CALL</stp>
        <stp>15/09/2015</stp>
        <stp>15/09/2015</stp>
        <stp>[Bbg_Market_Data_CL.xlsm]data!R391C15</stp>
        <tr r="O391" s="1"/>
      </tp>
      <tp t="s">
        <v>#N/A Requesting Data...</v>
        <stp/>
        <stp>##V3_BDHV12</stp>
        <stp>CL1 Comdty</stp>
        <stp>VOLUME_TOTAL_CALL</stp>
        <stp>17/08/2016</stp>
        <stp>17/08/2016</stp>
        <stp>[Bbg_Market_Data_CL.xlsm]data!R162C15</stp>
        <tr r="O162" s="1"/>
      </tp>
      <tp t="s">
        <v>#N/A Requesting Data...</v>
        <stp/>
        <stp>##V3_BDHV12</stp>
        <stp>CL2 Comdty</stp>
        <stp>VOLUME_TOTAL_CALL</stp>
        <stp>24/08/2016</stp>
        <stp>24/08/2016</stp>
        <stp>[Bbg_Market_Data_CL.xlsm]data!R157C15</stp>
        <tr r="O157" s="1"/>
      </tp>
      <tp t="s">
        <v>#N/A Requesting Data...</v>
        <stp/>
        <stp>##V3_BDHV12</stp>
        <stp>CL1 Comdty</stp>
        <stp>VOLUME_TOTAL_CALL</stp>
        <stp>07/09/2016</stp>
        <stp>07/09/2016</stp>
        <stp>[Bbg_Market_Data_CL.xlsm]data!R148C15</stp>
        <tr r="O148" s="1"/>
      </tp>
      <tp t="s">
        <v>#N/A Requesting Data...</v>
        <stp/>
        <stp>##V3_BDHV12</stp>
        <stp>CL2 Comdty</stp>
        <stp>VOLUME_TOTAL_CALL</stp>
        <stp>15/09/2015</stp>
        <stp>15/09/2015</stp>
        <stp>[Bbg_Market_Data_CL.xlsm]data!R391C15</stp>
        <tr r="O391" s="1"/>
      </tp>
      <tp t="s">
        <v>#N/A Requesting Data...</v>
        <stp/>
        <stp>##V3_BDHV12</stp>
        <stp>CL1 Comdty</stp>
        <stp>VOLUME_TOTAL_CALL</stp>
        <stp>16/09/2016</stp>
        <stp>16/09/2016</stp>
        <stp>[Bbg_Market_Data_CL.xlsm]data!R141C15</stp>
        <tr r="O141" s="1"/>
      </tp>
      <tp t="s">
        <v>#N/A Requesting Data...</v>
        <stp/>
        <stp>##V3_BDHV12</stp>
        <stp>CL2 Comdty</stp>
        <stp>VOLUME_TOTAL_CALL</stp>
        <stp>04/09/2015</stp>
        <stp>04/09/2015</stp>
        <stp>[Bbg_Market_Data_CL.xlsm]data!R397C15</stp>
        <tr r="O397" s="1"/>
      </tp>
      <tp t="s">
        <v>#N/A Requesting Data...</v>
        <stp/>
        <stp>##V3_BDHV12</stp>
        <stp>CL2 Comdty</stp>
        <stp>VOLUME_TOTAL_CALL</stp>
        <stp>28/04/2016</stp>
        <stp>28/04/2016</stp>
        <stp>[Bbg_Market_Data_CL.xlsm]data!R238C15</stp>
        <tr r="O238" s="1"/>
      </tp>
      <tp t="s">
        <v>#N/A Requesting Data...</v>
        <stp/>
        <stp>##V3_BDHV12</stp>
        <stp>CL2 Comdty</stp>
        <stp>VOLUME_TOTAL_CALL</stp>
        <stp>08/06/2016</stp>
        <stp>08/06/2016</stp>
        <stp>[Bbg_Market_Data_CL.xlsm]data!R210C15</stp>
        <tr r="O210" s="1"/>
      </tp>
      <tp t="s">
        <v>#N/A Requesting Data...</v>
        <stp/>
        <stp>##V3_BDHV12</stp>
        <stp>CL1 Comdty</stp>
        <stp>VOLUME_TOTAL_CALL</stp>
        <stp>18/07/2016</stp>
        <stp>18/07/2016</stp>
        <stp>[Bbg_Market_Data_CL.xlsm]data!R183C15</stp>
        <tr r="O183" s="1"/>
      </tp>
      <tp t="s">
        <v>#N/A Requesting Data...</v>
        <stp/>
        <stp>##V3_BDHV12</stp>
        <stp>CL1 Comdty</stp>
        <stp>VOLUME_TOTAL_CALL</stp>
        <stp>28/04/2016</stp>
        <stp>28/04/2016</stp>
        <stp>[Bbg_Market_Data_CL.xlsm]data!R238C15</stp>
        <tr r="O238" s="1"/>
      </tp>
      <tp t="s">
        <v>#N/A Requesting Data...</v>
        <stp/>
        <stp>##V3_BDHV12</stp>
        <stp>CL1 Comdty</stp>
        <stp>VOLUME_TOTAL_CALL</stp>
        <stp>08/06/2016</stp>
        <stp>08/06/2016</stp>
        <stp>[Bbg_Market_Data_CL.xlsm]data!R210C15</stp>
        <tr r="O210" s="1"/>
      </tp>
      <tp t="s">
        <v>#N/A Requesting Data...</v>
        <stp/>
        <stp>##V3_BDHV12</stp>
        <stp>CL2 Comdty</stp>
        <stp>VOLUME_TOTAL_CALL</stp>
        <stp>18/07/2016</stp>
        <stp>18/07/2016</stp>
        <stp>[Bbg_Market_Data_CL.xlsm]data!R183C15</stp>
        <tr r="O183" s="1"/>
      </tp>
      <tp t="s">
        <v>#N/A Requesting Data...</v>
        <stp/>
        <stp>##V3_BDHV12</stp>
        <stp>CL2 Comdty</stp>
        <stp>VOLUME_TOTAL_CALL</stp>
        <stp>28/07/2015</stp>
        <stp>28/07/2015</stp>
        <stp>[Bbg_Market_Data_CL.xlsm]data!R425C15</stp>
        <tr r="O425" s="1"/>
      </tp>
      <tp t="s">
        <v>#N/A Requesting Data...</v>
        <stp/>
        <stp>##V3_BDHV12</stp>
        <stp>CL2 Comdty</stp>
        <stp>VOLUME_TOTAL_CALL</stp>
        <stp>08/05/2015</stp>
        <stp>08/05/2015</stp>
        <stp>[Bbg_Market_Data_CL.xlsm]data!R480C15</stp>
        <tr r="O480" s="1"/>
      </tp>
      <tp t="s">
        <v>#N/A Requesting Data...</v>
        <stp/>
        <stp>##V3_BDHV12</stp>
        <stp>CL2 Comdty</stp>
        <stp>VOLUME_TOTAL_CALL</stp>
        <stp>19/05/2015</stp>
        <stp>19/05/2015</stp>
        <stp>[Bbg_Market_Data_CL.xlsm]data!R473C15</stp>
        <tr r="O473" s="1"/>
      </tp>
      <tp t="s">
        <v>#N/A Requesting Data...</v>
        <stp/>
        <stp>##V3_BDHV12</stp>
        <stp>CL2 Comdty</stp>
        <stp>VOLUME_TOTAL_CALL</stp>
        <stp>29/06/2015</stp>
        <stp>29/06/2015</stp>
        <stp>[Bbg_Market_Data_CL.xlsm]data!R445C15</stp>
        <tr r="O445" s="1"/>
      </tp>
      <tp t="s">
        <v>#N/A Requesting Data...</v>
        <stp/>
        <stp>##V3_BDHV12</stp>
        <stp>CL1 Comdty</stp>
        <stp>VOLUME_TOTAL_CALL</stp>
        <stp>19/05/2015</stp>
        <stp>19/05/2015</stp>
        <stp>[Bbg_Market_Data_CL.xlsm]data!R473C15</stp>
        <tr r="O473" s="1"/>
      </tp>
      <tp t="s">
        <v>#N/A Requesting Data...</v>
        <stp/>
        <stp>##V3_BDHV12</stp>
        <stp>CL1 Comdty</stp>
        <stp>VOLUME_TOTAL_CALL</stp>
        <stp>29/06/2015</stp>
        <stp>29/06/2015</stp>
        <stp>[Bbg_Market_Data_CL.xlsm]data!R445C15</stp>
        <tr r="O445" s="1"/>
      </tp>
      <tp t="s">
        <v>#N/A Requesting Data...</v>
        <stp/>
        <stp>##V3_BDHV12</stp>
        <stp>CL1 Comdty</stp>
        <stp>VOLUME_TOTAL_CALL</stp>
        <stp>28/07/2015</stp>
        <stp>28/07/2015</stp>
        <stp>[Bbg_Market_Data_CL.xlsm]data!R425C15</stp>
        <tr r="O425" s="1"/>
      </tp>
      <tp t="s">
        <v>#N/A Requesting Data...</v>
        <stp/>
        <stp>##V3_BDHV12</stp>
        <stp>CL1 Comdty</stp>
        <stp>VOLUME_TOTAL_CALL</stp>
        <stp>08/05/2015</stp>
        <stp>08/05/2015</stp>
        <stp>[Bbg_Market_Data_CL.xlsm]data!R480C15</stp>
        <tr r="O480" s="1"/>
      </tp>
      <tp>
        <v>168088</v>
        <stp/>
        <stp>##V3_BDHV12</stp>
        <stp>CL2 Comdty</stp>
        <stp>PX_VOLUME</stp>
        <stp>01/08/2016</stp>
        <stp>01/08/2016</stp>
        <stp>[Bbg_Market_Data_CL.xlsm]data!R173C8</stp>
        <tr r="H173" s="1"/>
      </tp>
      <tp t="s">
        <v>#N/A Requesting Data...</v>
        <stp/>
        <stp>##V3_BDHV12</stp>
        <stp>CL1 Comdty</stp>
        <stp>PX_VOLUME</stp>
        <stp>01/08/2016</stp>
        <stp>01/08/2016</stp>
        <stp>[Bbg_Market_Data_CL.xlsm]data!R173C8</stp>
        <tr r="H173" s="1"/>
      </tp>
      <tp>
        <v>168383</v>
        <stp/>
        <stp>##V3_BDHV12</stp>
        <stp>CL2 Comdty</stp>
        <stp>PX_VOLUME</stp>
        <stp>11/09/2015</stp>
        <stp>11/09/2015</stp>
        <stp>[Bbg_Market_Data_CL.xlsm]data!R393C8</stp>
        <tr r="H393" s="1"/>
      </tp>
      <tp>
        <v>155198</v>
        <stp/>
        <stp>##V3_BDHV12</stp>
        <stp>CL2 Comdty</stp>
        <stp>PX_VOLUME</stp>
        <stp>30/09/2016</stp>
        <stp>30/09/2016</stp>
        <stp>[Bbg_Market_Data_CL.xlsm]data!R131C8</stp>
        <tr r="H131" s="1"/>
      </tp>
      <tp t="s">
        <v>#N/A Requesting Data...</v>
        <stp/>
        <stp>##V3_BDHV12</stp>
        <stp>CL1 Comdty</stp>
        <stp>PX_VOLUME</stp>
        <stp>11/09/2015</stp>
        <stp>11/09/2015</stp>
        <stp>[Bbg_Market_Data_CL.xlsm]data!R393C8</stp>
        <tr r="H393" s="1"/>
      </tp>
      <tp t="s">
        <v>#N/A Requesting Data...</v>
        <stp/>
        <stp>##V3_BDHV12</stp>
        <stp>CL1 Comdty</stp>
        <stp>PX_VOLUME</stp>
        <stp>30/09/2016</stp>
        <stp>30/09/2016</stp>
        <stp>[Bbg_Market_Data_CL.xlsm]data!R131C8</stp>
        <tr r="H131" s="1"/>
      </tp>
      <tp t="s">
        <v>#N/A Requesting Data...</v>
        <stp/>
        <stp>##V3_BDHV12</stp>
        <stp>CL2 Comdty</stp>
        <stp>MOV_AVG_30D</stp>
        <stp>08/02/2017</stp>
        <stp>08/02/2017</stp>
        <stp>[Bbg_Market_Data_CL.xlsm]data!R44C11</stp>
        <tr r="K44" s="1"/>
      </tp>
      <tp t="s">
        <v>#N/A Requesting Data...</v>
        <stp/>
        <stp>##V3_BDHV12</stp>
        <stp>CL2 Comdty</stp>
        <stp>MOV_AVG_30D</stp>
        <stp>28/11/2016</stp>
        <stp>28/11/2016</stp>
        <stp>[Bbg_Market_Data_CL.xlsm]data!R93C11</stp>
        <tr r="K93" s="1"/>
      </tp>
      <tp>
        <v>350533</v>
        <stp/>
        <stp>##V3_BDHV12</stp>
        <stp>CL2 Comdty</stp>
        <stp>PX_VOLUME</stp>
        <stp>14/09/2016</stp>
        <stp>14/09/2016</stp>
        <stp>[Bbg_Market_Data_CL.xlsm]data!R143C8</stp>
        <tr r="H143" s="1"/>
      </tp>
      <tp t="s">
        <v>#N/A Requesting Data...</v>
        <stp/>
        <stp>##V3_BDHV12</stp>
        <stp>CL1 Comdty</stp>
        <stp>PX_VOLUME</stp>
        <stp>14/09/2016</stp>
        <stp>14/09/2016</stp>
        <stp>[Bbg_Market_Data_CL.xlsm]data!R143C8</stp>
        <tr r="H143" s="1"/>
      </tp>
      <tp t="s">
        <v>#N/A Requesting Data...</v>
        <stp/>
        <stp>##V3_BDHV12</stp>
        <stp>CL2 Comdty</stp>
        <stp>MOV_AVG_30D</stp>
        <stp>19/12/2016</stp>
        <stp>19/12/2016</stp>
        <stp>[Bbg_Market_Data_CL.xlsm]data!R78C11</stp>
        <tr r="K78" s="1"/>
      </tp>
      <tp t="s">
        <v>#N/A Requesting Data...</v>
        <stp/>
        <stp>##V3_BDHV12</stp>
        <stp>CL2 Comdty</stp>
        <stp>MOV_AVG_30D</stp>
        <stp>09/02/2017</stp>
        <stp>09/02/2017</stp>
        <stp>[Bbg_Market_Data_CL.xlsm]data!R43C11</stp>
        <tr r="K43" s="1"/>
      </tp>
      <tp t="s">
        <v>#N/A Requesting Data...</v>
        <stp/>
        <stp>##V3_BDHV12</stp>
        <stp>CL2 Comdty</stp>
        <stp>MOV_AVG_30D</stp>
        <stp>29/11/2016</stp>
        <stp>29/11/2016</stp>
        <stp>[Bbg_Market_Data_CL.xlsm]data!R92C11</stp>
        <tr r="K92" s="1"/>
      </tp>
      <tp t="s">
        <v>#N/A Requesting Data...</v>
        <stp/>
        <stp>##V3_BDHV12</stp>
        <stp>CL1 Comdty</stp>
        <stp>MOV_AVG_30D</stp>
        <stp>09/01/2017</stp>
        <stp>09/01/2017</stp>
        <stp>[Bbg_Market_Data_CL.xlsm]data!R65C11</stp>
        <tr r="K65" s="1"/>
      </tp>
      <tp t="s">
        <v>#N/A Requesting Data...</v>
        <stp/>
        <stp>##V3_BDHV12</stp>
        <stp>CL1 Comdty</stp>
        <stp>MOV_AVG_30D</stp>
        <stp>29/12/2016</stp>
        <stp>29/12/2016</stp>
        <stp>[Bbg_Market_Data_CL.xlsm]data!R71C11</stp>
        <tr r="K71" s="1"/>
      </tp>
      <tp t="s">
        <v>#N/A Requesting Data...</v>
        <stp/>
        <stp>##V3_BDHV12</stp>
        <stp>CL1 Comdty</stp>
        <stp>MOV_AVG_30D</stp>
        <stp>29/03/2017</stp>
        <stp>29/03/2017</stp>
        <stp>[Bbg_Market_Data_CL.xlsm]data!R10C11</stp>
        <tr r="K10" s="1"/>
      </tp>
      <tp t="s">
        <v>#N/A Requesting Data...</v>
        <stp/>
        <stp>##V3_BDHV12</stp>
        <stp>CL1 Comdty</stp>
        <stp>PX_VOLUME</stp>
        <stp>14/08/2015</stp>
        <stp>14/08/2015</stp>
        <stp>[Bbg_Market_Data_CL.xlsm]data!R412C8</stp>
        <tr r="H412" s="1"/>
      </tp>
      <tp>
        <v>185423</v>
        <stp/>
        <stp>##V3_BDHV12</stp>
        <stp>CL2 Comdty</stp>
        <stp>PX_VOLUME</stp>
        <stp>14/08/2015</stp>
        <stp>14/08/2015</stp>
        <stp>[Bbg_Market_Data_CL.xlsm]data!R412C8</stp>
        <tr r="H412" s="1"/>
      </tp>
      <tp t="s">
        <v>#N/A Requesting Data...</v>
        <stp/>
        <stp>##V3_BDHV12</stp>
        <stp>CL1 Comdty</stp>
        <stp>PX_VOLUME</stp>
        <stp>17/08/2016</stp>
        <stp>17/08/2016</stp>
        <stp>[Bbg_Market_Data_CL.xlsm]data!R162C8</stp>
        <tr r="H162" s="1"/>
      </tp>
      <tp>
        <v>397540</v>
        <stp/>
        <stp>##V3_BDHV12</stp>
        <stp>CL2 Comdty</stp>
        <stp>PX_VOLUME</stp>
        <stp>17/08/2016</stp>
        <stp>17/08/2016</stp>
        <stp>[Bbg_Market_Data_CL.xlsm]data!R162C8</stp>
        <tr r="H162" s="1"/>
      </tp>
      <tp t="s">
        <v>#N/A Requesting Data...</v>
        <stp/>
        <stp>##V3_BDHV12</stp>
        <stp>CL1 Comdty</stp>
        <stp>MOV_AVG_30D</stp>
        <stp>28/12/2016</stp>
        <stp>28/12/2016</stp>
        <stp>[Bbg_Market_Data_CL.xlsm]data!R72C11</stp>
        <tr r="K72" s="1"/>
      </tp>
      <tp t="s">
        <v>#N/A Requesting Data...</v>
        <stp/>
        <stp>##V3_BDHV12</stp>
        <stp>CL1 Comdty</stp>
        <stp>MOV_AVG_30D</stp>
        <stp>28/03/2017</stp>
        <stp>28/03/2017</stp>
        <stp>[Bbg_Market_Data_CL.xlsm]data!R11C11</stp>
        <tr r="K11" s="1"/>
      </tp>
      <tp t="s">
        <v>#N/A Requesting Data...</v>
        <stp/>
        <stp>##V3_BDHV12</stp>
        <stp>CL1 Comdty</stp>
        <stp>MOV_AVG_30D</stp>
        <stp>18/11/2016</stp>
        <stp>18/11/2016</stp>
        <stp>[Bbg_Market_Data_CL.xlsm]data!R98C11</stp>
        <tr r="K98" s="1"/>
      </tp>
      <tp t="s">
        <v>#N/A Requesting Data...</v>
        <stp/>
        <stp>##V3_BDHV12</stp>
        <stp>CL1 Comdty</stp>
        <stp>MOV_AVG_30D</stp>
        <stp>17/11/2016</stp>
        <stp>17/11/2016</stp>
        <stp>[Bbg_Market_Data_CL.xlsm]data!R99C11</stp>
        <tr r="K99" s="1"/>
      </tp>
      <tp t="s">
        <v>#N/A Requesting Data...</v>
        <stp/>
        <stp>##V3_BDHV12</stp>
        <stp>CL2 Comdty</stp>
        <stp>MOV_AVG_30D</stp>
        <stp>14/12/2016</stp>
        <stp>14/12/2016</stp>
        <stp>[Bbg_Market_Data_CL.xlsm]data!R81C11</stp>
        <tr r="K81" s="1"/>
      </tp>
      <tp t="s">
        <v>#N/A Requesting Data...</v>
        <stp/>
        <stp>##V3_BDHV12</stp>
        <stp>CL2 Comdty</stp>
        <stp>MOV_AVG_30D</stp>
        <stp>14/03/2017</stp>
        <stp>14/03/2017</stp>
        <stp>[Bbg_Market_Data_CL.xlsm]data!R21C11</stp>
        <tr r="K21" s="1"/>
      </tp>
      <tp t="s">
        <v>#N/A Requesting Data...</v>
        <stp/>
        <stp>##V3_BDHV12</stp>
        <stp>CL1 Comdty</stp>
        <stp>MOV_AVG_30D</stp>
        <stp>27/03/2017</stp>
        <stp>27/03/2017</stp>
        <stp>[Bbg_Market_Data_CL.xlsm]data!R12C11</stp>
        <tr r="K12" s="1"/>
      </tp>
      <tp t="s">
        <v>#N/A Requesting Data...</v>
        <stp/>
        <stp>##V3_BDHV12</stp>
        <stp>CL1 Comdty</stp>
        <stp>MOV_AVG_30D</stp>
        <stp>27/12/2016</stp>
        <stp>27/12/2016</stp>
        <stp>[Bbg_Market_Data_CL.xlsm]data!R73C11</stp>
        <tr r="K73" s="1"/>
      </tp>
      <tp>
        <v>81093</v>
        <stp/>
        <stp>##V3_BDHV12</stp>
        <stp>CL2 Comdty</stp>
        <stp>PX_VOLUME</stp>
        <stp>30/10/2015</stp>
        <stp>30/10/2015</stp>
        <stp>[Bbg_Market_Data_CL.xlsm]data!R359C8</stp>
        <tr r="H359" s="1"/>
      </tp>
      <tp t="s">
        <v>#N/A Requesting Data...</v>
        <stp/>
        <stp>##V3_BDHV12</stp>
        <stp>CL1 Comdty</stp>
        <stp>PX_VOLUME</stp>
        <stp>30/10/2015</stp>
        <stp>30/10/2015</stp>
        <stp>[Bbg_Market_Data_CL.xlsm]data!R359C8</stp>
        <tr r="H359" s="1"/>
      </tp>
      <tp t="s">
        <v>#N/A Requesting Data...</v>
        <stp/>
        <stp>##V3_BDHV12</stp>
        <stp>CL2 Comdty</stp>
        <stp>MOV_AVG_30D</stp>
        <stp>25/11/2016</stp>
        <stp>25/11/2016</stp>
        <stp>[Bbg_Market_Data_CL.xlsm]data!R94C11</stp>
        <tr r="K94" s="1"/>
      </tp>
      <tp t="s">
        <v>#N/A Requesting Data...</v>
        <stp/>
        <stp>##V3_BDHV12</stp>
        <stp>CL2 Comdty</stp>
        <stp>MOV_AVG_30D</stp>
        <stp>15/12/2016</stp>
        <stp>15/12/2016</stp>
        <stp>[Bbg_Market_Data_CL.xlsm]data!R80C11</stp>
        <tr r="K80" s="1"/>
      </tp>
      <tp t="s">
        <v>#N/A Requesting Data...</v>
        <stp/>
        <stp>##V3_BDHV12</stp>
        <stp>CL2 Comdty</stp>
        <stp>MOV_AVG_30D</stp>
        <stp>15/03/2017</stp>
        <stp>15/03/2017</stp>
        <stp>[Bbg_Market_Data_CL.xlsm]data!R20C11</stp>
        <tr r="K20" s="1"/>
      </tp>
      <tp t="s">
        <v>#N/A Requesting Data...</v>
        <stp/>
        <stp>##V3_BDHV12</stp>
        <stp>CL1 Comdty</stp>
        <stp>MOV_AVG_30D</stp>
        <stp>06/01/2017</stp>
        <stp>06/01/2017</stp>
        <stp>[Bbg_Market_Data_CL.xlsm]data!R66C11</stp>
        <tr r="K66" s="1"/>
      </tp>
      <tp>
        <v>184863</v>
        <stp/>
        <stp>##V3_BDHV12</stp>
        <stp>CL2 Comdty</stp>
        <stp>PX_VOLUME</stp>
        <stp>02/03/2016</stp>
        <stp>02/03/2016</stp>
        <stp>[Bbg_Market_Data_CL.xlsm]data!R278C8</stp>
        <tr r="H278" s="1"/>
      </tp>
      <tp t="s">
        <v>#N/A Requesting Data...</v>
        <stp/>
        <stp>##V3_BDHV12</stp>
        <stp>CL1 Comdty</stp>
        <stp>PX_VOLUME</stp>
        <stp>02/03/2016</stp>
        <stp>02/03/2016</stp>
        <stp>[Bbg_Market_Data_CL.xlsm]data!R278C8</stp>
        <tr r="H278" s="1"/>
      </tp>
      <tp t="s">
        <v>#N/A Requesting Data...</v>
        <stp/>
        <stp>##V3_BDHV12</stp>
        <stp>CL2 Comdty</stp>
        <stp>MOV_AVG_30D</stp>
        <stp>16/03/2017</stp>
        <stp>16/03/2017</stp>
        <stp>[Bbg_Market_Data_CL.xlsm]data!R19C11</stp>
        <tr r="K19" s="1"/>
      </tp>
      <tp t="s">
        <v>#N/A Requesting Data...</v>
        <stp/>
        <stp>##V3_BDHV12</stp>
        <stp>CL1 Comdty</stp>
        <stp>MOV_AVG_30D</stp>
        <stp>05/01/2017</stp>
        <stp>05/01/2017</stp>
        <stp>[Bbg_Market_Data_CL.xlsm]data!R67C11</stp>
        <tr r="K67" s="1"/>
      </tp>
      <tp t="s">
        <v>#N/A Requesting Data...</v>
        <stp/>
        <stp>##V3_BDHV12</stp>
        <stp>CL2 Comdty</stp>
        <stp>MOV_AVG_30D</stp>
        <stp>06/02/2017</stp>
        <stp>06/02/2017</stp>
        <stp>[Bbg_Market_Data_CL.xlsm]data!R46C11</stp>
        <tr r="K46" s="1"/>
      </tp>
      <tp t="s">
        <v>#N/A Requesting Data...</v>
        <stp/>
        <stp>##V3_BDHV12</stp>
        <stp>CL2 Comdty</stp>
        <stp>MOV_AVG_30D</stp>
        <stp>16/12/2016</stp>
        <stp>16/12/2016</stp>
        <stp>[Bbg_Market_Data_CL.xlsm]data!R79C11</stp>
        <tr r="K79" s="1"/>
      </tp>
      <tp>
        <v>548947</v>
        <stp/>
        <stp>##V3_BDHV12</stp>
        <stp>CL2 Comdty</stp>
        <stp>PX_VOLUME</stp>
        <stp>20/10/2016</stp>
        <stp>20/10/2016</stp>
        <stp>[Bbg_Market_Data_CL.xlsm]data!R118C8</stp>
        <tr r="H118" s="1"/>
      </tp>
      <tp t="s">
        <v>#N/A Requesting Data...</v>
        <stp/>
        <stp>##V3_BDHV12</stp>
        <stp>CL1 Comdty</stp>
        <stp>PX_VOLUME</stp>
        <stp>20/10/2016</stp>
        <stp>20/10/2016</stp>
        <stp>[Bbg_Market_Data_CL.xlsm]data!R118C8</stp>
        <tr r="H118" s="1"/>
      </tp>
      <tp t="s">
        <v>#N/A Requesting Data...</v>
        <stp/>
        <stp>##V3_BDHV12</stp>
        <stp>CL2 Comdty</stp>
        <stp>MOV_AVG_30D</stp>
        <stp>17/03/2017</stp>
        <stp>17/03/2017</stp>
        <stp>[Bbg_Market_Data_CL.xlsm]data!R18C11</stp>
        <tr r="K18" s="1"/>
      </tp>
      <tp t="s">
        <v>#N/A Requesting Data...</v>
        <stp/>
        <stp>##V3_BDHV12</stp>
        <stp>CL1 Comdty</stp>
        <stp>MOV_AVG_30D</stp>
        <stp>24/03/2017</stp>
        <stp>24/03/2017</stp>
        <stp>[Bbg_Market_Data_CL.xlsm]data!R13C11</stp>
        <tr r="K13" s="1"/>
      </tp>
      <tp t="s">
        <v>#N/A Requesting Data...</v>
        <stp/>
        <stp>##V3_BDHV12</stp>
        <stp>CL2 Comdty</stp>
        <stp>MOV_AVG_30D</stp>
        <stp>07/02/2017</stp>
        <stp>07/02/2017</stp>
        <stp>[Bbg_Market_Data_CL.xlsm]data!R45C11</stp>
        <tr r="K45" s="1"/>
      </tp>
      <tp t="s">
        <v>#N/A Requesting Data...</v>
        <stp/>
        <stp>##V3_BDHV12</stp>
        <stp>CL1 Comdty</stp>
        <stp>MOV_AVG_30D</stp>
        <stp>04/01/2017</stp>
        <stp>04/01/2017</stp>
        <stp>[Bbg_Market_Data_CL.xlsm]data!R68C11</stp>
        <tr r="K68" s="1"/>
      </tp>
      <tp t="s">
        <v>#N/A Requesting Data...</v>
        <stp/>
        <stp>##V3_BDHV12</stp>
        <stp>CL1 Comdty</stp>
        <stp>PX_VOLUME</stp>
        <stp>02/12/2015</stp>
        <stp>02/12/2015</stp>
        <stp>[Bbg_Market_Data_CL.xlsm]data!R338C8</stp>
        <tr r="H338" s="1"/>
      </tp>
      <tp>
        <v>135013</v>
        <stp/>
        <stp>##V3_BDHV12</stp>
        <stp>CL2 Comdty</stp>
        <stp>PX_VOLUME</stp>
        <stp>02/12/2015</stp>
        <stp>02/12/2015</stp>
        <stp>[Bbg_Market_Data_CL.xlsm]data!R338C8</stp>
        <tr r="H338" s="1"/>
      </tp>
      <tp t="s">
        <v>#N/A Requesting Data...</v>
        <stp/>
        <stp>##V3_BDHV12</stp>
        <stp>CL1 Comdty</stp>
        <stp>MOV_AVG_30D</stp>
        <stp>23/12/2016</stp>
        <stp>23/12/2016</stp>
        <stp>[Bbg_Market_Data_CL.xlsm]data!R74C11</stp>
        <tr r="K74" s="1"/>
      </tp>
      <tp t="s">
        <v>#N/A Requesting Data...</v>
        <stp/>
        <stp>##V3_BDHV12</stp>
        <stp>CL2 Comdty</stp>
        <stp>MOV_AVG_30D</stp>
        <stp>30/01/2017</stp>
        <stp>30/01/2017</stp>
        <stp>[Bbg_Market_Data_CL.xlsm]data!R51C11</stp>
        <tr r="K51" s="1"/>
      </tp>
      <tp t="s">
        <v>#N/A Requesting Data...</v>
        <stp/>
        <stp>##V3_BDHV12</stp>
        <stp>CL1 Comdty</stp>
        <stp>MOV_AVG_30D</stp>
        <stp>03/01/2017</stp>
        <stp>03/01/2017</stp>
        <stp>[Bbg_Market_Data_CL.xlsm]data!R69C11</stp>
        <tr r="K69" s="1"/>
      </tp>
      <tp t="s">
        <v>#N/A Requesting Data...</v>
        <stp/>
        <stp>##V3_BDHV12</stp>
        <stp>CL1 Comdty</stp>
        <stp>MOV_AVG_30D</stp>
        <stp>23/03/2017</stp>
        <stp>23/03/2017</stp>
        <stp>[Bbg_Market_Data_CL.xlsm]data!R14C11</stp>
        <tr r="K14" s="1"/>
      </tp>
      <tp t="s">
        <v>#N/A Requesting Data...</v>
        <stp/>
        <stp>##V3_BDHV12</stp>
        <stp>CL2 Comdty</stp>
        <stp>MOV_AVG_30D</stp>
        <stp>10/03/2017</stp>
        <stp>10/03/2017</stp>
        <stp>[Bbg_Market_Data_CL.xlsm]data!R23C11</stp>
        <tr r="K23" s="1"/>
      </tp>
      <tp>
        <v>458686</v>
        <stp/>
        <stp>##V3_BDHV12</stp>
        <stp>CL2 Comdty</stp>
        <stp>PX_VOLUME</stp>
        <stp>17/02/2016</stp>
        <stp>17/02/2016</stp>
        <stp>[Bbg_Market_Data_CL.xlsm]data!R288C8</stp>
        <tr r="H288" s="1"/>
      </tp>
      <tp t="s">
        <v>#N/A Requesting Data...</v>
        <stp/>
        <stp>##V3_BDHV12</stp>
        <stp>CL1 Comdty</stp>
        <stp>PX_VOLUME</stp>
        <stp>17/02/2016</stp>
        <stp>17/02/2016</stp>
        <stp>[Bbg_Market_Data_CL.xlsm]data!R288C8</stp>
        <tr r="H288" s="1"/>
      </tp>
      <tp t="s">
        <v>#N/A Requesting Data...</v>
        <stp/>
        <stp>##V3_BDHV12</stp>
        <stp>CL2 Comdty</stp>
        <stp>MOV_AVG_30D</stp>
        <stp>21/11/2016</stp>
        <stp>21/11/2016</stp>
        <stp>[Bbg_Market_Data_CL.xlsm]data!R97C11</stp>
        <tr r="K97" s="1"/>
      </tp>
      <tp t="s">
        <v>#N/A Requesting Data...</v>
        <stp/>
        <stp>##V3_BDHV12</stp>
        <stp>CL2 Comdty</stp>
        <stp>MOV_AVG_30D</stp>
        <stp>01/02/2017</stp>
        <stp>01/02/2017</stp>
        <stp>[Bbg_Market_Data_CL.xlsm]data!R49C11</stp>
        <tr r="K49" s="1"/>
      </tp>
      <tp t="s">
        <v>#N/A Requesting Data...</v>
        <stp/>
        <stp>##V3_BDHV12</stp>
        <stp>CL1 Comdty</stp>
        <stp>MOV_AVG_30D</stp>
        <stp>22/12/2016</stp>
        <stp>22/12/2016</stp>
        <stp>[Bbg_Market_Data_CL.xlsm]data!R75C11</stp>
        <tr r="K75" s="1"/>
      </tp>
      <tp t="s">
        <v>#N/A Requesting Data...</v>
        <stp/>
        <stp>##V3_BDHV12</stp>
        <stp>CL2 Comdty</stp>
        <stp>MOV_AVG_30D</stp>
        <stp>31/01/2017</stp>
        <stp>31/01/2017</stp>
        <stp>[Bbg_Market_Data_CL.xlsm]data!R50C11</stp>
        <tr r="K50" s="1"/>
      </tp>
      <tp t="s">
        <v>#N/A Requesting Data...</v>
        <stp/>
        <stp>##V3_BDHV12</stp>
        <stp>CL1 Comdty</stp>
        <stp>MOV_AVG_30D</stp>
        <stp>22/03/2017</stp>
        <stp>22/03/2017</stp>
        <stp>[Bbg_Market_Data_CL.xlsm]data!R15C11</stp>
        <tr r="K15" s="1"/>
      </tp>
      <tp>
        <v>273412</v>
        <stp/>
        <stp>##V3_BDHV12</stp>
        <stp>CL2 Comdty</stp>
        <stp>PX_VOLUME</stp>
        <stp>15/12/2015</stp>
        <stp>15/12/2015</stp>
        <stp>[Bbg_Market_Data_CL.xlsm]data!R329C8</stp>
        <tr r="H329" s="1"/>
      </tp>
      <tp t="s">
        <v>#N/A Requesting Data...</v>
        <stp/>
        <stp>##V3_BDHV12</stp>
        <stp>CL1 Comdty</stp>
        <stp>PX_VOLUME</stp>
        <stp>15/12/2015</stp>
        <stp>15/12/2015</stp>
        <stp>[Bbg_Market_Data_CL.xlsm]data!R329C8</stp>
        <tr r="H329" s="1"/>
      </tp>
      <tp t="s">
        <v>#N/A Requesting Data...</v>
        <stp/>
        <stp>##V3_BDHV12</stp>
        <stp>CL2 Comdty</stp>
        <stp>MOV_AVG_30D</stp>
        <stp>12/12/2016</stp>
        <stp>12/12/2016</stp>
        <stp>[Bbg_Market_Data_CL.xlsm]data!R83C11</stp>
        <tr r="K83" s="1"/>
      </tp>
      <tp t="s">
        <v>#N/A Requesting Data...</v>
        <stp/>
        <stp>##V3_BDHV12</stp>
        <stp>CL2 Comdty</stp>
        <stp>MOV_AVG_30D</stp>
        <stp>22/11/2016</stp>
        <stp>22/11/2016</stp>
        <stp>[Bbg_Market_Data_CL.xlsm]data!R96C11</stp>
        <tr r="K96" s="1"/>
      </tp>
      <tp t="s">
        <v>#N/A Requesting Data...</v>
        <stp/>
        <stp>##V3_BDHV12</stp>
        <stp>CL1 Comdty</stp>
        <stp>MOV_AVG_30D</stp>
        <stp>21/12/2016</stp>
        <stp>21/12/2016</stp>
        <stp>[Bbg_Market_Data_CL.xlsm]data!R76C11</stp>
        <tr r="K76" s="1"/>
      </tp>
      <tp t="s">
        <v>#N/A Requesting Data...</v>
        <stp/>
        <stp>##V3_BDHV12</stp>
        <stp>CL2 Comdty</stp>
        <stp>MOV_AVG_30D</stp>
        <stp>02/02/2017</stp>
        <stp>02/02/2017</stp>
        <stp>[Bbg_Market_Data_CL.xlsm]data!R48C11</stp>
        <tr r="K48" s="1"/>
      </tp>
      <tp t="s">
        <v>#N/A Requesting Data...</v>
        <stp/>
        <stp>##V3_BDHV12</stp>
        <stp>CL1 Comdty</stp>
        <stp>MOV_AVG_30D</stp>
        <stp>21/03/2017</stp>
        <stp>21/03/2017</stp>
        <stp>[Bbg_Market_Data_CL.xlsm]data!R16C11</stp>
        <tr r="K16" s="1"/>
      </tp>
      <tp t="s">
        <v>#N/A Requesting Data...</v>
        <stp/>
        <stp>##V3_BDHV12</stp>
        <stp>CL2 Comdty</stp>
        <stp>MOV_AVG_30D</stp>
        <stp>23/11/2016</stp>
        <stp>23/11/2016</stp>
        <stp>[Bbg_Market_Data_CL.xlsm]data!R95C11</stp>
        <tr r="K95" s="1"/>
      </tp>
      <tp t="s">
        <v>#N/A Requesting Data...</v>
        <stp/>
        <stp>##V3_BDHV12</stp>
        <stp>CL2 Comdty</stp>
        <stp>MOV_AVG_30D</stp>
        <stp>13/12/2016</stp>
        <stp>13/12/2016</stp>
        <stp>[Bbg_Market_Data_CL.xlsm]data!R82C11</stp>
        <tr r="K82" s="1"/>
      </tp>
      <tp t="s">
        <v>#N/A Requesting Data...</v>
        <stp/>
        <stp>##V3_BDHV12</stp>
        <stp>CL2 Comdty</stp>
        <stp>MOV_AVG_30D</stp>
        <stp>03/02/2017</stp>
        <stp>03/02/2017</stp>
        <stp>[Bbg_Market_Data_CL.xlsm]data!R47C11</stp>
        <tr r="K47" s="1"/>
      </tp>
      <tp t="s">
        <v>#N/A Requesting Data...</v>
        <stp/>
        <stp>##V3_BDHV12</stp>
        <stp>CL1 Comdty</stp>
        <stp>MOV_AVG_30D</stp>
        <stp>20/12/2016</stp>
        <stp>20/12/2016</stp>
        <stp>[Bbg_Market_Data_CL.xlsm]data!R77C11</stp>
        <tr r="K77" s="1"/>
      </tp>
      <tp t="s">
        <v>#N/A Requesting Data...</v>
        <stp/>
        <stp>##V3_BDHV12</stp>
        <stp>CL1 Comdty</stp>
        <stp>MOV_AVG_30D</stp>
        <stp>20/03/2017</stp>
        <stp>20/03/2017</stp>
        <stp>[Bbg_Market_Data_CL.xlsm]data!R17C11</stp>
        <tr r="K17" s="1"/>
      </tp>
      <tp t="s">
        <v>#N/A Requesting Data...</v>
        <stp/>
        <stp>##V3_BDHV12</stp>
        <stp>CL2 Comdty</stp>
        <stp>MOV_AVG_30D</stp>
        <stp>13/03/2017</stp>
        <stp>13/03/2017</stp>
        <stp>[Bbg_Market_Data_CL.xlsm]data!R22C11</stp>
        <tr r="K22" s="1"/>
      </tp>
      <tp t="s">
        <v>#N/A Requesting Data...</v>
        <stp/>
        <stp>##V3_BDHV12</stp>
        <stp>CL1 Comdty</stp>
        <stp>PX_VOLUME</stp>
        <stp>15/03/2016</stp>
        <stp>15/03/2016</stp>
        <stp>[Bbg_Market_Data_CL.xlsm]data!R269C8</stp>
        <tr r="H269" s="1"/>
      </tp>
      <tp>
        <v>246022</v>
        <stp/>
        <stp>##V3_BDHV12</stp>
        <stp>CL2 Comdty</stp>
        <stp>PX_VOLUME</stp>
        <stp>15/03/2016</stp>
        <stp>15/03/2016</stp>
        <stp>[Bbg_Market_Data_CL.xlsm]data!R269C8</stp>
        <tr r="H269" s="1"/>
      </tp>
      <tp t="s">
        <v>#N/A Requesting Data...</v>
        <stp/>
        <stp>##V3_BDHV12</stp>
        <stp>SPGSCLP Index</stp>
        <stp>CHG_PCT_1D</stp>
        <stp>22/12/2016</stp>
        <stp>22/12/2016</stp>
        <stp>[Bbg_Market_Data_CL.xlsm]data!R75C3</stp>
        <tr r="C75" s="1"/>
      </tp>
      <tp t="s">
        <v>#N/A Requesting Data...</v>
        <stp/>
        <stp>##V3_BDHV12</stp>
        <stp>SPGSCLP Index</stp>
        <stp>CHG_PCT_1D</stp>
        <stp>23/03/2017</stp>
        <stp>23/03/2017</stp>
        <stp>[Bbg_Market_Data_CL.xlsm]data!R14C3</stp>
        <tr r="C14" s="1"/>
      </tp>
      <tp t="s">
        <v>#N/A Requesting Data...</v>
        <stp/>
        <stp>##V3_BDHV12</stp>
        <stp>SPGSCLP Index</stp>
        <stp>CHG_PCT_5D</stp>
        <stp>23/03/2017</stp>
        <stp>23/03/2017</stp>
        <stp>[Bbg_Market_Data_CL.xlsm]data!R14C4</stp>
        <tr r="D14" s="1"/>
      </tp>
      <tp t="s">
        <v>#N/A Requesting Data...</v>
        <stp/>
        <stp>##V3_BDHV12</stp>
        <stp>SPGSCLP Index</stp>
        <stp>CHG_PCT_5D</stp>
        <stp>22/12/2016</stp>
        <stp>22/12/2016</stp>
        <stp>[Bbg_Market_Data_CL.xlsm]data!R75C4</stp>
        <tr r="D75" s="1"/>
      </tp>
      <tp t="s">
        <v>#N/A Requesting Data...</v>
        <stp/>
        <stp>##V3_BDHV12</stp>
        <stp>SPGSCLP Index</stp>
        <stp>CHG_PCT_1D</stp>
        <stp>10/01/2017</stp>
        <stp>10/01/2017</stp>
        <stp>[Bbg_Market_Data_CL.xlsm]data!R64C3</stp>
        <tr r="C64" s="1"/>
      </tp>
      <tp t="s">
        <v>#N/A Requesting Data...</v>
        <stp/>
        <stp>##V3_BDHV12</stp>
        <stp>SPGSCLP Index</stp>
        <stp>CHG_PCT_1D</stp>
        <stp>23/02/2017</stp>
        <stp>23/02/2017</stp>
        <stp>[Bbg_Market_Data_CL.xlsm]data!R34C3</stp>
        <tr r="C34" s="1"/>
      </tp>
      <tp t="s">
        <v>#N/A Requesting Data...</v>
        <stp/>
        <stp>##V3_BDHV12</stp>
        <stp>SPGSCLP Index</stp>
        <stp>CHG_PCT_5D</stp>
        <stp>23/02/2017</stp>
        <stp>23/02/2017</stp>
        <stp>[Bbg_Market_Data_CL.xlsm]data!R34C4</stp>
        <tr r="D34" s="1"/>
      </tp>
      <tp t="s">
        <v>#N/A Requesting Data...</v>
        <stp/>
        <stp>##V3_BDHV12</stp>
        <stp>SPGSCLP Index</stp>
        <stp>CHG_PCT_5D</stp>
        <stp>10/01/2017</stp>
        <stp>10/01/2017</stp>
        <stp>[Bbg_Market_Data_CL.xlsm]data!R64C4</stp>
        <tr r="D64" s="1"/>
      </tp>
      <tp t="s">
        <v>#N/A Requesting Data...</v>
        <stp/>
        <stp>##V3_BDHV12</stp>
        <stp>SPGSCLP Index</stp>
        <stp>CHG_PCT_5D</stp>
        <stp>25/01/2017</stp>
        <stp>25/01/2017</stp>
        <stp>[Bbg_Market_Data_CL.xlsm]data!R54C4</stp>
        <tr r="D54" s="1"/>
      </tp>
      <tp t="s">
        <v>#N/A Requesting Data...</v>
        <stp/>
        <stp>##V3_BDHV12</stp>
        <stp>SPGSCLP Index</stp>
        <stp>CHG_PCT_1D</stp>
        <stp>25/01/2017</stp>
        <stp>25/01/2017</stp>
        <stp>[Bbg_Market_Data_CL.xlsm]data!R54C3</stp>
        <tr r="C54" s="1"/>
      </tp>
      <tp t="s">
        <v>#N/A Requesting Data...</v>
        <stp/>
        <stp>##V3_BDHV12</stp>
        <stp>SPGSCLP Index</stp>
        <stp>CHG_PCT_1D</stp>
        <stp>08/12/2016</stp>
        <stp>08/12/2016</stp>
        <stp>[Bbg_Market_Data_CL.xlsm]data!R85C3</stp>
        <tr r="C85" s="1"/>
      </tp>
      <tp t="s">
        <v>#N/A Requesting Data...</v>
        <stp/>
        <stp>##V3_BDHV12</stp>
        <stp>SPGSCLP Index</stp>
        <stp>CHG_PCT_1D</stp>
        <stp>09/03/2017</stp>
        <stp>09/03/2017</stp>
        <stp>[Bbg_Market_Data_CL.xlsm]data!R24C3</stp>
        <tr r="C24" s="1"/>
      </tp>
      <tp t="s">
        <v>#N/A Requesting Data...</v>
        <stp/>
        <stp>##V3_BDHV12</stp>
        <stp>SPGSCLP Index</stp>
        <stp>CHG_PCT_5D</stp>
        <stp>09/03/2017</stp>
        <stp>09/03/2017</stp>
        <stp>[Bbg_Market_Data_CL.xlsm]data!R24C4</stp>
        <tr r="D24" s="1"/>
      </tp>
      <tp t="s">
        <v>#N/A Requesting Data...</v>
        <stp/>
        <stp>##V3_BDHV12</stp>
        <stp>SPGSCLP Index</stp>
        <stp>CHG_PCT_5D</stp>
        <stp>08/12/2016</stp>
        <stp>08/12/2016</stp>
        <stp>[Bbg_Market_Data_CL.xlsm]data!R85C4</stp>
        <tr r="D85" s="1"/>
      </tp>
      <tp t="s">
        <v>#N/A Requesting Data...</v>
        <stp/>
        <stp>##V3_BDHV12</stp>
        <stp>SPGSCLP Index</stp>
        <stp>CHG_PCT_1D</stp>
        <stp>23/11/2016</stp>
        <stp>23/11/2016</stp>
        <stp>[Bbg_Market_Data_CL.xlsm]data!R95C3</stp>
        <tr r="C95" s="1"/>
      </tp>
      <tp t="s">
        <v>#N/A Requesting Data...</v>
        <stp/>
        <stp>##V3_BDHV12</stp>
        <stp>SPGSCLP Index</stp>
        <stp>CHG_PCT_5D</stp>
        <stp>23/11/2016</stp>
        <stp>23/11/2016</stp>
        <stp>[Bbg_Market_Data_CL.xlsm]data!R95C4</stp>
        <tr r="D95" s="1"/>
      </tp>
      <tp t="s">
        <v>#N/A Requesting Data...</v>
        <stp/>
        <stp>##V3_BDHV12</stp>
        <stp>SPGSCLP Index</stp>
        <stp>CHG_PCT_1D</stp>
        <stp>08/02/2017</stp>
        <stp>08/02/2017</stp>
        <stp>[Bbg_Market_Data_CL.xlsm]data!R44C3</stp>
        <tr r="C44" s="1"/>
      </tp>
      <tp t="s">
        <v>#N/A Requesting Data...</v>
        <stp/>
        <stp>##V3_BDHV12</stp>
        <stp>SPGSCLP Index</stp>
        <stp>CHG_PCT_5D</stp>
        <stp>08/02/2017</stp>
        <stp>08/02/2017</stp>
        <stp>[Bbg_Market_Data_CL.xlsm]data!R44C4</stp>
        <tr r="D44" s="1"/>
      </tp>
      <tp t="s">
        <v>#N/A Requesting Data...</v>
        <stp/>
        <stp>##V3_BDHV12</stp>
        <stp>CL1 Comdty</stp>
        <stp>RSI_9D</stp>
        <stp>03/02/2016</stp>
        <stp>03/02/2016</stp>
        <stp>[Bbg_Market_Data_CL.xlsm]data!R296C12</stp>
        <tr r="L296" s="1"/>
      </tp>
      <tp t="s">
        <v>#N/A Requesting Data...</v>
        <stp/>
        <stp>##V3_BDHV12</stp>
        <stp>CL1 Comdty</stp>
        <stp>RSI_9D</stp>
        <stp>22/01/2016</stp>
        <stp>22/01/2016</stp>
        <stp>[Bbg_Market_Data_CL.xlsm]data!R304C12</stp>
        <tr r="L304" s="1"/>
      </tp>
      <tp t="s">
        <v>#N/A Requesting Data...</v>
        <stp/>
        <stp>##V3_BDHV12</stp>
        <stp>CL2 Comdty</stp>
        <stp>RSI_9D</stp>
        <stp>20/10/2016</stp>
        <stp>20/10/2016</stp>
        <stp>[Bbg_Market_Data_CL.xlsm]data!R118C12</stp>
        <tr r="L118" s="1"/>
      </tp>
      <tp t="s">
        <v>#N/A Requesting Data...</v>
        <stp/>
        <stp>##V3_BDHV12</stp>
        <stp>CL2 Comdty</stp>
        <stp>RSI_9D</stp>
        <stp>12/01/2016</stp>
        <stp>12/01/2016</stp>
        <stp>[Bbg_Market_Data_CL.xlsm]data!R311C12</stp>
        <tr r="L311" s="1"/>
      </tp>
      <tp t="s">
        <v>#N/A Requesting Data...</v>
        <stp/>
        <stp>##V3_BDHV12</stp>
        <stp>CL1 Comdty</stp>
        <stp>RSI_9D</stp>
        <stp>11/12/2015</stp>
        <stp>11/12/2015</stp>
        <stp>[Bbg_Market_Data_CL.xlsm]data!R331C12</stp>
        <tr r="L331" s="1"/>
      </tp>
      <tp t="s">
        <v>#N/A Requesting Data...</v>
        <stp/>
        <stp>##V3_BDHV12</stp>
        <stp>CL2 Comdty</stp>
        <stp>RSI_9D</stp>
        <stp>21/12/2015</stp>
        <stp>21/12/2015</stp>
        <stp>[Bbg_Market_Data_CL.xlsm]data!R325C12</stp>
        <tr r="L325" s="1"/>
      </tp>
      <tp t="s">
        <v>#N/A Requesting Data...</v>
        <stp/>
        <stp>##V3_BDHV12</stp>
        <stp>CL2 Comdty</stp>
        <stp>RSI_9D</stp>
        <stp>06/07/2015</stp>
        <stp>06/07/2015</stp>
        <stp>[Bbg_Market_Data_CL.xlsm]data!R441C12</stp>
        <tr r="L441" s="1"/>
      </tp>
      <tp t="s">
        <v>#N/A Requesting Data...</v>
        <stp/>
        <stp>##V3_BDHV12</stp>
        <stp>CL1 Comdty</stp>
        <stp>RSI_9D</stp>
        <stp>26/06/2015</stp>
        <stp>26/06/2015</stp>
        <stp>[Bbg_Market_Data_CL.xlsm]data!R446C12</stp>
        <tr r="L446" s="1"/>
      </tp>
      <tp t="s">
        <v>#N/A Requesting Data...</v>
        <stp/>
        <stp>##V3_BDHV12</stp>
        <stp>CL2 Comdty</stp>
        <stp>RSI_9D</stp>
        <stp>16/06/2015</stp>
        <stp>16/06/2015</stp>
        <stp>[Bbg_Market_Data_CL.xlsm]data!R454C12</stp>
        <tr r="L454" s="1"/>
      </tp>
      <tp t="s">
        <v>#N/A Requesting Data...</v>
        <stp/>
        <stp>##V3_BDHV12</stp>
        <stp>CL2 Comdty</stp>
        <stp>RSI_9D</stp>
        <stp>23/03/2016</stp>
        <stp>23/03/2016</stp>
        <stp>[Bbg_Market_Data_CL.xlsm]data!R263C12</stp>
        <tr r="L263" s="1"/>
      </tp>
      <tp t="s">
        <v>#N/A Requesting Data...</v>
        <stp/>
        <stp>##V3_BDHV12</stp>
        <stp>CL2 Comdty</stp>
        <stp>RSI_9D</stp>
        <stp>26/05/2015</stp>
        <stp>26/05/2015</stp>
        <stp>[Bbg_Market_Data_CL.xlsm]data!R469C12</stp>
        <tr r="L469" s="1"/>
      </tp>
      <tp t="s">
        <v>#N/A Requesting Data...</v>
        <stp/>
        <stp>##V3_BDHV12</stp>
        <stp>CL2 Comdty</stp>
        <stp>RSI_9D</stp>
        <stp>01/10/2015</stp>
        <stp>01/10/2015</stp>
        <stp>[Bbg_Market_Data_CL.xlsm]data!R379C12</stp>
        <tr r="L379" s="1"/>
      </tp>
      <tp t="s">
        <v>#N/A Requesting Data...</v>
        <stp/>
        <stp>##V3_BDHV12</stp>
        <stp>CL2 Comdty</stp>
        <stp>RSI_9D</stp>
        <stp>22/02/2016</stp>
        <stp>22/02/2016</stp>
        <stp>[Bbg_Market_Data_CL.xlsm]data!R285C12</stp>
        <tr r="L285" s="1"/>
      </tp>
      <tp t="s">
        <v>#N/A Requesting Data...</v>
        <stp/>
        <stp>##V3_BDHV12</stp>
        <stp>CL1 Comdty</stp>
        <stp>RSI_9D</stp>
        <stp>07/05/2015</stp>
        <stp>07/05/2015</stp>
        <stp>[Bbg_Market_Data_CL.xlsm]data!R481C12</stp>
        <tr r="L481" s="1"/>
      </tp>
      <tp t="s">
        <v>#N/A Requesting Data...</v>
        <stp/>
        <stp>##V3_BDHV12</stp>
        <stp>CL2 Comdty</stp>
        <stp>RSI_9D</stp>
        <stp>27/04/2015</stp>
        <stp>27/04/2015</stp>
        <stp>[Bbg_Market_Data_CL.xlsm]data!R489C12</stp>
        <tr r="L489" s="1"/>
      </tp>
      <tp t="s">
        <v>#N/A Requesting Data...</v>
        <stp/>
        <stp>##V3_BDHV12</stp>
        <stp>CL1 Comdty</stp>
        <stp>RSI_9D</stp>
        <stp>12/02/2016</stp>
        <stp>12/02/2016</stp>
        <stp>[Bbg_Market_Data_CL.xlsm]data!R289C12</stp>
        <tr r="L289" s="1"/>
      </tp>
      <tp t="s">
        <v>#N/A Requesting Data...</v>
        <stp/>
        <stp>##V3_BDHV12</stp>
        <stp>CL1 Comdty</stp>
        <stp>RSI_9D</stp>
        <stp>17/04/2015</stp>
        <stp>17/04/2015</stp>
        <stp>[Bbg_Market_Data_CL.xlsm]data!R495C12</stp>
        <tr r="L495" s="1"/>
      </tp>
      <tp t="s">
        <v>#N/A Requesting Data...</v>
        <stp/>
        <stp>##V3_BDHV12</stp>
        <stp>CL2 Comdty</stp>
        <stp>RSI_9D</stp>
        <stp>31/10/2016</stp>
        <stp>31/10/2016</stp>
        <stp>[Bbg_Market_Data_CL.xlsm]data!R111C12</stp>
        <tr r="L111" s="1"/>
      </tp>
      <tp t="s">
        <v>#N/A Requesting Data...</v>
        <stp/>
        <stp>##V3_BDHV12</stp>
        <stp>CL2 Comdty</stp>
        <stp>RSI_9D</stp>
        <stp>30/12/2015</stp>
        <stp>30/12/2015</stp>
        <stp>[Bbg_Market_Data_CL.xlsm]data!R319C12</stp>
        <tr r="L319" s="1"/>
      </tp>
      <tp t="s">
        <v>#N/A Requesting Data...</v>
        <stp/>
        <stp>##V3_BDHV12</stp>
        <stp>CL1 Comdty</stp>
        <stp>RSI_9D</stp>
        <stp>27/07/2015</stp>
        <stp>27/07/2015</stp>
        <stp>[Bbg_Market_Data_CL.xlsm]data!R426C12</stp>
        <tr r="L426" s="1"/>
      </tp>
      <tp t="s">
        <v>#N/A Requesting Data...</v>
        <stp/>
        <stp>##V3_BDHV12</stp>
        <stp>CL2 Comdty</stp>
        <stp>RSI_9D</stp>
        <stp>17/07/2015</stp>
        <stp>17/07/2015</stp>
        <stp>[Bbg_Market_Data_CL.xlsm]data!R432C12</stp>
        <tr r="L432" s="1"/>
      </tp>
      <tp t="s">
        <v>#N/A Requesting Data...</v>
        <stp/>
        <stp>##V3_BDHV12</stp>
        <stp>CL1 Comdty</stp>
        <stp>RSI_9D</stp>
        <stp>30/11/2015</stp>
        <stp>30/11/2015</stp>
        <stp>[Bbg_Market_Data_CL.xlsm]data!R340C12</stp>
        <tr r="L340" s="1"/>
      </tp>
      <tp t="s">
        <v>#N/A Requesting Data...</v>
        <stp/>
        <stp>##V3_BDHV12</stp>
        <stp>CL1 Comdty</stp>
        <stp>RSI_9D</stp>
        <stp>20/10/2015</stp>
        <stp>20/10/2015</stp>
        <stp>[Bbg_Market_Data_CL.xlsm]data!R367C12</stp>
        <tr r="L367" s="1"/>
      </tp>
      <tp t="s">
        <v>#N/A Requesting Data...</v>
        <stp/>
        <stp>##V3_BDHV12</stp>
        <stp>CL1 Comdty</stp>
        <stp>RSI_9D</stp>
        <stp>02/03/2016</stp>
        <stp>02/03/2016</stp>
        <stp>[Bbg_Market_Data_CL.xlsm]data!R278C12</stp>
        <tr r="L278" s="1"/>
      </tp>
      <tp t="s">
        <v>#N/A Requesting Data...</v>
        <stp/>
        <stp>##V3_BDHV12</stp>
        <stp>CL2 Comdty</stp>
        <stp>RSI_9D</stp>
        <stp>04/05/2015</stp>
        <stp>04/05/2015</stp>
        <stp>[Bbg_Market_Data_CL.xlsm]data!R484C12</stp>
        <tr r="L484" s="1"/>
      </tp>
      <tp t="s">
        <v>#N/A Requesting Data...</v>
        <stp/>
        <stp>##V3_BDHV12</stp>
        <stp>CL1 Comdty</stp>
        <stp>RSI_9D</stp>
        <stp>24/04/2015</stp>
        <stp>24/04/2015</stp>
        <stp>[Bbg_Market_Data_CL.xlsm]data!R490C12</stp>
        <tr r="L490" s="1"/>
      </tp>
      <tp t="s">
        <v>#N/A Requesting Data...</v>
        <stp/>
        <stp>##V3_BDHV12</stp>
        <stp>CL2 Comdty</stp>
        <stp>RSI_9D</stp>
        <stp>11/02/2016</stp>
        <stp>11/02/2016</stp>
        <stp>[Bbg_Market_Data_CL.xlsm]data!R290C12</stp>
        <tr r="L290" s="1"/>
      </tp>
      <tp t="s">
        <v>#N/A Requesting Data...</v>
        <stp/>
        <stp>##V3_BDHV12</stp>
        <stp>CL2 Comdty</stp>
        <stp>RSI_9D</stp>
        <stp>14/04/2015</stp>
        <stp>14/04/2015</stp>
        <stp>[Bbg_Market_Data_CL.xlsm]data!R498C12</stp>
        <tr r="L498" s="1"/>
      </tp>
      <tp t="s">
        <v>#N/A Requesting Data...</v>
        <stp/>
        <stp>##V3_BDHV12</stp>
        <stp>CL2 Comdty</stp>
        <stp>RSI_9D</stp>
        <stp>03/12/2015</stp>
        <stp>03/12/2015</stp>
        <stp>[Bbg_Market_Data_CL.xlsm]data!R337C12</stp>
        <tr r="L337" s="1"/>
      </tp>
      <tp t="s">
        <v>#N/A Requesting Data...</v>
        <stp/>
        <stp>##V3_BDHV12</stp>
        <stp>CL2 Comdty</stp>
        <stp>RSI_9D</stp>
        <stp>24/07/2015</stp>
        <stp>24/07/2015</stp>
        <stp>[Bbg_Market_Data_CL.xlsm]data!R427C12</stp>
        <tr r="L427" s="1"/>
      </tp>
      <tp t="s">
        <v>#N/A Requesting Data...</v>
        <stp/>
        <stp>##V3_BDHV12</stp>
        <stp>CL1 Comdty</stp>
        <stp>RSI_9D</stp>
        <stp>14/07/2015</stp>
        <stp>14/07/2015</stp>
        <stp>[Bbg_Market_Data_CL.xlsm]data!R435C12</stp>
        <tr r="L435" s="1"/>
      </tp>
      <tp t="s">
        <v>#N/A Requesting Data...</v>
        <stp/>
        <stp>##V3_BDHV12</stp>
        <stp>CL1 Comdty</stp>
        <stp>RSI_9D</stp>
        <stp>03/11/2015</stp>
        <stp>03/11/2015</stp>
        <stp>[Bbg_Market_Data_CL.xlsm]data!R357C12</stp>
        <tr r="L357" s="1"/>
      </tp>
      <tp t="s">
        <v>#N/A Requesting Data...</v>
        <stp/>
        <stp>##V3_BDHV12</stp>
        <stp>CL1 Comdty</stp>
        <stp>RSI_9D</stp>
        <stp>31/03/2016</stp>
        <stp>31/03/2016</stp>
        <stp>[Bbg_Market_Data_CL.xlsm]data!R258C12</stp>
        <tr r="L258" s="1"/>
      </tp>
      <tp t="s">
        <v>#N/A Requesting Data...</v>
        <stp/>
        <stp>##V3_BDHV12</stp>
        <stp>CL1 Comdty</stp>
        <stp>RSI_9D</stp>
        <stp>04/06/2015</stp>
        <stp>04/06/2015</stp>
        <stp>[Bbg_Market_Data_CL.xlsm]data!R462C12</stp>
        <tr r="L462" s="1"/>
      </tp>
      <tp t="s">
        <v>#N/A Requesting Data...</v>
        <stp/>
        <stp>##V3_BDHV12</stp>
        <stp>CL1 Comdty</stp>
        <stp>RSI_9D</stp>
        <stp>13/10/2015</stp>
        <stp>13/10/2015</stp>
        <stp>[Bbg_Market_Data_CL.xlsm]data!R372C12</stp>
        <tr r="L372" s="1"/>
      </tp>
      <tp t="s">
        <v>#N/A Requesting Data...</v>
        <stp/>
        <stp>##V3_BDHV12</stp>
        <stp>CL2 Comdty</stp>
        <stp>RSI_9D</stp>
        <stp>23/10/2015</stp>
        <stp>23/10/2015</stp>
        <stp>[Bbg_Market_Data_CL.xlsm]data!R364C12</stp>
        <tr r="L364" s="1"/>
      </tp>
      <tp t="s">
        <v>#N/A Requesting Data...</v>
        <stp/>
        <stp>##V3_BDHV12</stp>
        <stp>CL2 Comdty</stp>
        <stp>RSI_9D</stp>
        <stp>01/03/2016</stp>
        <stp>01/03/2016</stp>
        <stp>[Bbg_Market_Data_CL.xlsm]data!R279C12</stp>
        <tr r="L279" s="1"/>
      </tp>
      <tp t="s">
        <v>#N/A Requesting Data...</v>
        <stp/>
        <stp>##V3_BDHV12</stp>
        <stp>CL2 Comdty</stp>
        <stp>RSI_9D</stp>
        <stp>21/01/2016</stp>
        <stp>21/01/2016</stp>
        <stp>[Bbg_Market_Data_CL.xlsm]data!R305C12</stp>
        <tr r="L305" s="1"/>
      </tp>
      <tp t="s">
        <v>#N/A Requesting Data...</v>
        <stp/>
        <stp>##V3_BDHV12</stp>
        <stp>CL1 Comdty</stp>
        <stp>RSI_9D</stp>
        <stp>11/01/2016</stp>
        <stp>11/01/2016</stp>
        <stp>[Bbg_Market_Data_CL.xlsm]data!R312C12</stp>
        <tr r="L312" s="1"/>
      </tp>
      <tp t="s">
        <v>#N/A Requesting Data...</v>
        <stp/>
        <stp>##V3_BDHV12</stp>
        <stp>CL2 Comdty</stp>
        <stp>RSI_9D</stp>
        <stp>03/11/2016</stp>
        <stp>03/11/2016</stp>
        <stp>[Bbg_Market_Data_CL.xlsm]data!R108C12</stp>
        <tr r="L108" s="1"/>
      </tp>
      <tp t="s">
        <v>#N/A Requesting Data...</v>
        <stp/>
        <stp>##V3_BDHV12</stp>
        <stp>CL1 Comdty</stp>
        <stp>RSI_9D</stp>
        <stp>22/12/2015</stp>
        <stp>22/12/2015</stp>
        <stp>[Bbg_Market_Data_CL.xlsm]data!R324C12</stp>
        <tr r="L324" s="1"/>
      </tp>
      <tp t="s">
        <v>#N/A Requesting Data...</v>
        <stp/>
        <stp>##V3_BDHV12</stp>
        <stp>CL2 Comdty</stp>
        <stp>RSI_9D</stp>
        <stp>13/10/2016</stp>
        <stp>13/10/2016</stp>
        <stp>[Bbg_Market_Data_CL.xlsm]data!R123C12</stp>
        <tr r="L123" s="1"/>
      </tp>
      <tp t="s">
        <v>#N/A Requesting Data...</v>
        <stp/>
        <stp>##V3_BDHV12</stp>
        <stp>CL1 Comdty</stp>
        <stp>RSI_9D</stp>
        <stp>12/11/2015</stp>
        <stp>12/11/2015</stp>
        <stp>[Bbg_Market_Data_CL.xlsm]data!R351C12</stp>
        <tr r="L351" s="1"/>
      </tp>
      <tp t="s">
        <v>#N/A Requesting Data...</v>
        <stp/>
        <stp>##V3_BDHV12</stp>
        <stp>CL2 Comdty</stp>
        <stp>RSI_9D</stp>
        <stp>25/06/2015</stp>
        <stp>25/06/2015</stp>
        <stp>[Bbg_Market_Data_CL.xlsm]data!R447C12</stp>
        <tr r="L447" s="1"/>
      </tp>
      <tp t="s">
        <v>#N/A Requesting Data...</v>
        <stp/>
        <stp>##V3_BDHV12</stp>
        <stp>CL1 Comdty</stp>
        <stp>RSI_9D</stp>
        <stp>15/06/2015</stp>
        <stp>15/06/2015</stp>
        <stp>[Bbg_Market_Data_CL.xlsm]data!R455C12</stp>
        <tr r="L455" s="1"/>
      </tp>
      <tp t="s">
        <v>#N/A Requesting Data...</v>
        <stp/>
        <stp>##V3_BDHV12</stp>
        <stp>CL1 Comdty</stp>
        <stp>RSI_9D</stp>
        <stp>02/10/2015</stp>
        <stp>02/10/2015</stp>
        <stp>[Bbg_Market_Data_CL.xlsm]data!R378C12</stp>
        <tr r="L378" s="1"/>
      </tp>
      <tp t="s">
        <v>#N/A Requesting Data...</v>
        <stp/>
        <stp>##V3_BDHV12</stp>
        <stp>CL2 Comdty</stp>
        <stp>RSI_9D</stp>
        <stp>15/05/2015</stp>
        <stp>15/05/2015</stp>
        <stp>[Bbg_Market_Data_CL.xlsm]data!R475C12</stp>
        <tr r="L475" s="1"/>
      </tp>
      <tp t="s">
        <v>#N/A Requesting Data...</v>
        <stp/>
        <stp>##V3_BDHV12</stp>
        <stp>CL2 Comdty</stp>
        <stp>RSI_9D</stp>
        <stp>10/03/2016</stp>
        <stp>10/03/2016</stp>
        <stp>[Bbg_Market_Data_CL.xlsm]data!R272C12</stp>
        <tr r="L272" s="1"/>
      </tp>
      <tp t="s">
        <v>#N/A Requesting Data...</v>
        <stp/>
        <stp>##V3_BDHV12</stp>
        <stp>CL2 Comdty</stp>
        <stp>RSI_9D</stp>
        <stp>14/07/2016</stp>
        <stp>14/07/2016</stp>
        <stp>[Bbg_Market_Data_CL.xlsm]data!R185C12</stp>
        <tr r="L185" s="1"/>
      </tp>
      <tp t="s">
        <v>#N/A Requesting Data...</v>
        <stp/>
        <stp>##V3_BDHV12</stp>
        <stp>CL1 Comdty</stp>
        <stp>RSI_9D</stp>
        <stp>07/06/2016</stp>
        <stp>07/06/2016</stp>
        <stp>[Bbg_Market_Data_CL.xlsm]data!R211C12</stp>
        <tr r="L211" s="1"/>
      </tp>
      <tp t="s">
        <v>#N/A Requesting Data...</v>
        <stp/>
        <stp>##V3_BDHV12</stp>
        <stp>CL1 Comdty</stp>
        <stp>RSI_9D</stp>
        <stp>27/04/2016</stp>
        <stp>27/04/2016</stp>
        <stp>[Bbg_Market_Data_CL.xlsm]data!R239C12</stp>
        <tr r="L239" s="1"/>
      </tp>
      <tp t="s">
        <v>#N/A Requesting Data...</v>
        <stp/>
        <stp>##V3_BDHV12</stp>
        <stp>CL2 Comdty</stp>
        <stp>RSI_9D</stp>
        <stp>05/07/2016</stp>
        <stp>05/07/2016</stp>
        <stp>[Bbg_Market_Data_CL.xlsm]data!R192C12</stp>
        <tr r="L192" s="1"/>
      </tp>
      <tp t="s">
        <v>#N/A Requesting Data...</v>
        <stp/>
        <stp>##V3_BDHV12</stp>
        <stp>CL1 Comdty</stp>
        <stp>RSI_9D</stp>
        <stp>16/06/2016</stp>
        <stp>16/06/2016</stp>
        <stp>[Bbg_Market_Data_CL.xlsm]data!R204C12</stp>
        <tr r="L204" s="1"/>
      </tp>
      <tp t="s">
        <v>#N/A Requesting Data...</v>
        <stp/>
        <stp>##V3_BDHV12</stp>
        <stp>CL1 Comdty</stp>
        <stp>RSI_9D</stp>
        <stp>26/05/2016</stp>
        <stp>26/05/2016</stp>
        <stp>[Bbg_Market_Data_CL.xlsm]data!R218C12</stp>
        <tr r="L218" s="1"/>
      </tp>
      <tp t="s">
        <v>#N/A Requesting Data...</v>
        <stp/>
        <stp>##V3_BDHV12</stp>
        <stp>CL2 Comdty</stp>
        <stp>RSI_9D</stp>
        <stp>16/05/2016</stp>
        <stp>16/05/2016</stp>
        <stp>[Bbg_Market_Data_CL.xlsm]data!R226C12</stp>
        <tr r="L226" s="1"/>
      </tp>
      <tp t="s">
        <v>#N/A Requesting Data...</v>
        <stp/>
        <stp>##V3_BDHV12</stp>
        <stp>CL2 Comdty</stp>
        <stp>RSI_9D</stp>
        <stp>06/04/2016</stp>
        <stp>06/04/2016</stp>
        <stp>[Bbg_Market_Data_CL.xlsm]data!R254C12</stp>
        <tr r="L254" s="1"/>
      </tp>
      <tp t="s">
        <v>#N/A Requesting Data...</v>
        <stp/>
        <stp>##V3_BDHV12</stp>
        <stp>CL1 Comdty</stp>
        <stp>RSI_9D</stp>
        <stp>06/07/2016</stp>
        <stp>06/07/2016</stp>
        <stp>[Bbg_Market_Data_CL.xlsm]data!R191C12</stp>
        <tr r="L191" s="1"/>
      </tp>
      <tp t="s">
        <v>#N/A Requesting Data...</v>
        <stp/>
        <stp>##V3_BDHV12</stp>
        <stp>CL2 Comdty</stp>
        <stp>RSI_9D</stp>
        <stp>15/06/2016</stp>
        <stp>15/06/2016</stp>
        <stp>[Bbg_Market_Data_CL.xlsm]data!R205C12</stp>
        <tr r="L205" s="1"/>
      </tp>
      <tp t="s">
        <v>#N/A Requesting Data...</v>
        <stp/>
        <stp>##V3_BDHV12</stp>
        <stp>CL2 Comdty</stp>
        <stp>RSI_9D</stp>
        <stp>25/05/2016</stp>
        <stp>25/05/2016</stp>
        <stp>[Bbg_Market_Data_CL.xlsm]data!R219C12</stp>
        <tr r="L219" s="1"/>
      </tp>
      <tp t="s">
        <v>#N/A Requesting Data...</v>
        <stp/>
        <stp>##V3_BDHV12</stp>
        <stp>CL1 Comdty</stp>
        <stp>RSI_9D</stp>
        <stp>05/04/2016</stp>
        <stp>05/04/2016</stp>
        <stp>[Bbg_Market_Data_CL.xlsm]data!R255C12</stp>
        <tr r="L255" s="1"/>
      </tp>
      <tp t="s">
        <v>#N/A Requesting Data...</v>
        <stp/>
        <stp>##V3_BDHV12</stp>
        <stp>CL1 Comdty</stp>
        <stp>RSI_9D</stp>
        <stp>04/05/2016</stp>
        <stp>04/05/2016</stp>
        <stp>[Bbg_Market_Data_CL.xlsm]data!R234C12</stp>
        <tr r="L234" s="1"/>
      </tp>
      <tp t="s">
        <v>#N/A Requesting Data...</v>
        <stp/>
        <stp>##V3_BDHV12</stp>
        <stp>CL1 Comdty</stp>
        <stp>RSI_9D</stp>
        <stp>14/04/2016</stp>
        <stp>14/04/2016</stp>
        <stp>[Bbg_Market_Data_CL.xlsm]data!R248C12</stp>
        <tr r="L248" s="1"/>
      </tp>
      <tp t="s">
        <v>#N/A Requesting Data...</v>
        <stp/>
        <stp>##V3_BDHV12</stp>
        <stp>CL2 Comdty</stp>
        <stp>RSI_9D</stp>
        <stp>27/07/2016</stp>
        <stp>27/07/2016</stp>
        <stp>[Bbg_Market_Data_CL.xlsm]data!R176C12</stp>
        <tr r="L176" s="1"/>
      </tp>
      <tp t="s">
        <v>#N/A Requesting Data...</v>
        <stp/>
        <stp>##V3_BDHV12</stp>
        <stp>CL1 Comdty</stp>
        <stp>RSI_9D</stp>
        <stp>29/09/2015</stp>
        <stp>29/09/2015</stp>
        <stp>[Bbg_Market_Data_CL.xlsm]data!R381C12</stp>
        <tr r="L381" s="1"/>
      </tp>
      <tp t="s">
        <v>#N/A Requesting Data...</v>
        <stp/>
        <stp>##V3_BDHV12</stp>
        <stp>CL1 Comdty</stp>
        <stp>RSI_9D</stp>
        <stp>08/09/2016</stp>
        <stp>08/09/2016</stp>
        <stp>[Bbg_Market_Data_CL.xlsm]data!R147C12</stp>
        <tr r="L147" s="1"/>
      </tp>
      <tp t="s">
        <v>#N/A Requesting Data...</v>
        <stp/>
        <stp>##V3_BDHV12</stp>
        <stp>CL1 Comdty</stp>
        <stp>RSI_9D</stp>
        <stp>18/08/2016</stp>
        <stp>18/08/2016</stp>
        <stp>[Bbg_Market_Data_CL.xlsm]data!R161C12</stp>
        <tr r="L161" s="1"/>
      </tp>
      <tp t="s">
        <v>#N/A Requesting Data...</v>
        <stp/>
        <stp>##V3_BDHV12</stp>
        <stp>CL2 Comdty</stp>
        <stp>RSI_9D</stp>
        <stp>08/09/2015</stp>
        <stp>08/09/2015</stp>
        <stp>[Bbg_Market_Data_CL.xlsm]data!R396C12</stp>
        <tr r="L396" s="1"/>
      </tp>
      <tp t="s">
        <v>#N/A Requesting Data...</v>
        <stp/>
        <stp>##V3_BDHV12</stp>
        <stp>CL2 Comdty</stp>
        <stp>RSI_9D</stp>
        <stp>29/09/2016</stp>
        <stp>29/09/2016</stp>
        <stp>[Bbg_Market_Data_CL.xlsm]data!R132C12</stp>
        <tr r="L132" s="1"/>
      </tp>
      <tp t="s">
        <v>#N/A Requesting Data...</v>
        <stp/>
        <stp>##V3_BDHV12</stp>
        <stp>CL1 Comdty</stp>
        <stp>RSI_9D</stp>
        <stp>19/09/2016</stp>
        <stp>19/09/2016</stp>
        <stp>[Bbg_Market_Data_CL.xlsm]data!R140C12</stp>
        <tr r="L140" s="1"/>
      </tp>
      <tp t="s">
        <v>#N/A Requesting Data...</v>
        <stp/>
        <stp>##V3_BDHV12</stp>
        <stp>CL1 Comdty</stp>
        <stp>RSI_9D</stp>
        <stp>09/08/2016</stp>
        <stp>09/08/2016</stp>
        <stp>[Bbg_Market_Data_CL.xlsm]data!R168C12</stp>
        <tr r="L168" s="1"/>
      </tp>
      <tp t="s">
        <v>#N/A Requesting Data...</v>
        <stp/>
        <stp>##V3_BDHV12</stp>
        <stp>CL1 Comdty</stp>
        <stp>RSI_9D</stp>
        <stp>28/08/2015</stp>
        <stp>28/08/2015</stp>
        <stp>[Bbg_Market_Data_CL.xlsm]data!R402C12</stp>
        <tr r="L402" s="1"/>
      </tp>
      <tp t="s">
        <v>#N/A Requesting Data...</v>
        <stp/>
        <stp>##V3_BDHV12</stp>
        <stp>CL2 Comdty</stp>
        <stp>RSI_9D</stp>
        <stp>18/08/2015</stp>
        <stp>18/08/2015</stp>
        <stp>[Bbg_Market_Data_CL.xlsm]data!R410C12</stp>
        <tr r="L410" s="1"/>
      </tp>
      <tp t="s">
        <v>#N/A Requesting Data...</v>
        <stp/>
        <stp>##V3_BDHV12</stp>
        <stp>CL1 Comdty</stp>
        <stp>30DAY_IMPVOL_110.0%MNY_DF</stp>
        <stp>02/09/2016</stp>
        <stp>02/09/2016</stp>
        <stp>[Bbg_Market_Data_CL.xlsm]data!R149C22</stp>
        <tr r="V149" s="1"/>
      </tp>
      <tp t="s">
        <v>#N/A Requesting Data...</v>
        <stp/>
        <stp>##V3_BDHV12</stp>
        <stp>CL1 Comdty</stp>
        <stp>30DAY_IMPVOL_100.0%MNY_DF</stp>
        <stp>02/08/2016</stp>
        <stp>02/08/2016</stp>
        <stp>[Bbg_Market_Data_CL.xlsm]data!R171C20</stp>
        <tr r="T171" s="1"/>
      </tp>
      <tp t="s">
        <v>#N/A Requesting Data...</v>
        <stp/>
        <stp>##V3_BDHV12</stp>
        <stp>CL1 Comdty</stp>
        <stp>30DAY_IMPVOL_110.0%MNY_DF</stp>
        <stp>12/08/2016</stp>
        <stp>12/08/2016</stp>
        <stp>[Bbg_Market_Data_CL.xlsm]data!R164C22</stp>
        <tr r="V164" s="1"/>
      </tp>
      <tp t="s">
        <v>#N/A Requesting Data...</v>
        <stp/>
        <stp>##V3_BDHV12</stp>
        <stp>CL1 Comdty</stp>
        <stp>30DAY_IMPVOL_100.0%MNY_DF</stp>
        <stp>12/09/2016</stp>
        <stp>12/09/2016</stp>
        <stp>[Bbg_Market_Data_CL.xlsm]data!R144C20</stp>
        <tr r="T144" s="1"/>
      </tp>
      <tp t="s">
        <v>#N/A Requesting Data...</v>
        <stp/>
        <stp>##V3_BDHV12</stp>
        <stp>CL1 Comdty</stp>
        <stp>30DAY_IMPVOL_110.0%MNY_DF</stp>
        <stp>23/09/2015</stp>
        <stp>23/09/2015</stp>
        <stp>[Bbg_Market_Data_CL.xlsm]data!R384C22</stp>
        <tr r="V384" s="1"/>
      </tp>
      <tp t="s">
        <v>#N/A Requesting Data...</v>
        <stp/>
        <stp>##V3_BDHV12</stp>
        <stp>CL1 Comdty</stp>
        <stp>30DAY_IMPVOL_110.0%MNY_DF</stp>
        <stp>13/09/2016</stp>
        <stp>13/09/2016</stp>
        <stp>[Bbg_Market_Data_CL.xlsm]data!R143C22</stp>
        <tr r="V143" s="1"/>
      </tp>
      <tp t="s">
        <v>#N/A Requesting Data...</v>
        <stp/>
        <stp>##V3_BDHV12</stp>
        <stp>CL1 Comdty</stp>
        <stp>30DAY_IMPVOL_110.0%MNY_DF</stp>
        <stp>03/08/2016</stp>
        <stp>03/08/2016</stp>
        <stp>[Bbg_Market_Data_CL.xlsm]data!R170C22</stp>
        <tr r="V170" s="1"/>
      </tp>
      <tp t="s">
        <v>#N/A Requesting Data...</v>
        <stp/>
        <stp>##V3_BDHV12</stp>
        <stp>CL1 Comdty</stp>
        <stp>30DAY_IMPVOL_100.0%MNY_DF</stp>
        <stp>22/09/2015</stp>
        <stp>22/09/2015</stp>
        <stp>[Bbg_Market_Data_CL.xlsm]data!R385C20</stp>
        <tr r="T385" s="1"/>
      </tp>
      <tp t="s">
        <v>#N/A Requesting Data...</v>
        <stp/>
        <stp>##V3_BDHV12</stp>
        <stp>CL1 Comdty</stp>
        <stp>30DAY_IMPVOL_100.0%MNY_DF</stp>
        <stp>30/09/2016</stp>
        <stp>30/09/2016</stp>
        <stp>[Bbg_Market_Data_CL.xlsm]data!R130C20</stp>
        <tr r="T130" s="1"/>
      </tp>
      <tp t="s">
        <v>#N/A Requesting Data...</v>
        <stp/>
        <stp>##V3_BDHV12</stp>
        <stp>CL1 Comdty</stp>
        <stp>30DAY_IMPVOL_110.0%MNY_DF</stp>
        <stp>20/09/2016</stp>
        <stp>20/09/2016</stp>
        <stp>[Bbg_Market_Data_CL.xlsm]data!R138C22</stp>
        <tr r="V138" s="1"/>
      </tp>
      <tp t="s">
        <v>#N/A Requesting Data...</v>
        <stp/>
        <stp>##V3_BDHV12</stp>
        <stp>CL1 Comdty</stp>
        <stp>30DAY_IMPVOL_110.0%MNY_DF</stp>
        <stp>30/08/2016</stp>
        <stp>30/08/2016</stp>
        <stp>[Bbg_Market_Data_CL.xlsm]data!R152C22</stp>
        <tr r="V152" s="1"/>
      </tp>
      <tp t="s">
        <v>#N/A Requesting Data...</v>
        <stp/>
        <stp>##V3_BDHV12</stp>
        <stp>CL1 Comdty</stp>
        <stp>30DAY_IMPVOL_110.0%MNY_DF</stp>
        <stp>01/09/2015</stp>
        <stp>01/09/2015</stp>
        <stp>[Bbg_Market_Data_CL.xlsm]data!R399C22</stp>
        <tr r="V399" s="1"/>
      </tp>
      <tp t="s">
        <v>#N/A Requesting Data...</v>
        <stp/>
        <stp>##V3_BDHV12</stp>
        <stp>CL1 Comdty</stp>
        <stp>30DAY_IMPVOL_105.0%MNY_DF</stp>
        <stp>10/08/2015</stp>
        <stp>10/08/2015</stp>
        <stp>[Bbg_Market_Data_CL.xlsm]data!R415C19</stp>
        <tr r="S415" s="1"/>
      </tp>
      <tp t="s">
        <v>#N/A Requesting Data...</v>
        <stp/>
        <stp>##V3_BDHV12</stp>
        <stp>CL1 Comdty</stp>
        <stp>30DAY_IMPVOL_100.0%MNY_DF</stp>
        <stp>11/09/2015</stp>
        <stp>11/09/2015</stp>
        <stp>[Bbg_Market_Data_CL.xlsm]data!R392C20</stp>
        <tr r="T392" s="1"/>
      </tp>
      <tp t="s">
        <v>#N/A Requesting Data...</v>
        <stp/>
        <stp>##V3_BDHV12</stp>
        <stp>CL1 Comdty</stp>
        <stp>30DAY_IMPVOL_100.0%MNY_DF</stp>
        <stp>21/09/2016</stp>
        <stp>21/09/2016</stp>
        <stp>[Bbg_Market_Data_CL.xlsm]data!R137C20</stp>
        <tr r="T137" s="1"/>
      </tp>
      <tp t="s">
        <v>#N/A Requesting Data...</v>
        <stp/>
        <stp>##V3_BDHV12</stp>
        <stp>CL1 Comdty</stp>
        <stp>30DAY_IMPVOL_100.0%MNY_DF</stp>
        <stp>31/08/2016</stp>
        <stp>31/08/2016</stp>
        <stp>[Bbg_Market_Data_CL.xlsm]data!R151C20</stp>
        <tr r="T151" s="1"/>
      </tp>
      <tp t="s">
        <v>#N/A Requesting Data...</v>
        <stp/>
        <stp>##V3_BDHV12</stp>
        <stp>CL1 Comdty</stp>
        <stp>30DAY_IMPVOL_110.0%MNY_DF</stp>
        <stp>10/09/2015</stp>
        <stp>10/09/2015</stp>
        <stp>[Bbg_Market_Data_CL.xlsm]data!R393C22</stp>
        <tr r="V393" s="1"/>
      </tp>
      <tp t="s">
        <v>#N/A Requesting Data...</v>
        <stp/>
        <stp>##V3_BDHV12</stp>
        <stp>CL1 Comdty</stp>
        <stp>30DAY_IMPVOL_105.0%MNY_DF</stp>
        <stp>11/09/2015</stp>
        <stp>11/09/2015</stp>
        <stp>[Bbg_Market_Data_CL.xlsm]data!R392C19</stp>
        <tr r="S392" s="1"/>
      </tp>
      <tp t="s">
        <v>#N/A Requesting Data...</v>
        <stp/>
        <stp>##V3_BDHV12</stp>
        <stp>CL1 Comdty</stp>
        <stp>30DAY_IMPVOL_100.0%MNY_DF</stp>
        <stp>10/08/2015</stp>
        <stp>10/08/2015</stp>
        <stp>[Bbg_Market_Data_CL.xlsm]data!R415C20</stp>
        <tr r="T415" s="1"/>
      </tp>
      <tp t="s">
        <v>#N/A Requesting Data...</v>
        <stp/>
        <stp>##V3_BDHV12</stp>
        <stp>CL1 Comdty</stp>
        <stp>30DAY_IMPVOL_105.0%MNY_DF</stp>
        <stp>30/09/2016</stp>
        <stp>30/09/2016</stp>
        <stp>[Bbg_Market_Data_CL.xlsm]data!R130C19</stp>
        <tr r="S130" s="1"/>
      </tp>
      <tp t="s">
        <v>#N/A Requesting Data...</v>
        <stp/>
        <stp>##V3_BDHV12</stp>
        <stp>CL1 Comdty</stp>
        <stp>30DAY_IMPVOL_110.0%MNY_DF</stp>
        <stp>11/08/2015</stp>
        <stp>11/08/2015</stp>
        <stp>[Bbg_Market_Data_CL.xlsm]data!R414C22</stp>
        <tr r="V414" s="1"/>
      </tp>
      <tp t="s">
        <v>#N/A Requesting Data...</v>
        <stp/>
        <stp>##V3_BDHV12</stp>
        <stp>CL1 Comdty</stp>
        <stp>30DAY_IMPVOL_105.0%MNY_DF</stp>
        <stp>21/09/2016</stp>
        <stp>21/09/2016</stp>
        <stp>[Bbg_Market_Data_CL.xlsm]data!R137C19</stp>
        <tr r="S137" s="1"/>
      </tp>
      <tp t="s">
        <v>#N/A Requesting Data...</v>
        <stp/>
        <stp>##V3_BDHV12</stp>
        <stp>CL1 Comdty</stp>
        <stp>30DAY_IMPVOL_105.0%MNY_DF</stp>
        <stp>31/08/2016</stp>
        <stp>31/08/2016</stp>
        <stp>[Bbg_Market_Data_CL.xlsm]data!R151C19</stp>
        <tr r="S151" s="1"/>
      </tp>
      <tp t="s">
        <v>#N/A Requesting Data...</v>
        <stp/>
        <stp>##V3_BDHV12</stp>
        <stp>CL1 Comdty</stp>
        <stp>30DAY_IMPVOL_105.0%MNY_DF</stp>
        <stp>02/08/2016</stp>
        <stp>02/08/2016</stp>
        <stp>[Bbg_Market_Data_CL.xlsm]data!R171C19</stp>
        <tr r="S171" s="1"/>
      </tp>
      <tp t="s">
        <v>#N/A Requesting Data...</v>
        <stp/>
        <stp>##V3_BDHV12</stp>
        <stp>CL1 Comdty</stp>
        <stp>30DAY_IMPVOL_105.0%MNY_DF</stp>
        <stp>12/09/2016</stp>
        <stp>12/09/2016</stp>
        <stp>[Bbg_Market_Data_CL.xlsm]data!R144C19</stp>
        <tr r="S144" s="1"/>
      </tp>
      <tp t="s">
        <v>#N/A Requesting Data...</v>
        <stp/>
        <stp>##V3_BDHV12</stp>
        <stp>CL1 Comdty</stp>
        <stp>30DAY_IMPVOL_105.0%MNY_DF</stp>
        <stp>22/09/2015</stp>
        <stp>22/09/2015</stp>
        <stp>[Bbg_Market_Data_CL.xlsm]data!R385C19</stp>
        <tr r="S385" s="1"/>
      </tp>
      <tp t="s">
        <v>#N/A Requesting Data...</v>
        <stp/>
        <stp>##V3_BDHV12</stp>
        <stp>CL1 Comdty</stp>
        <stp>30DAY_IMPVOL_100.0%MNY_DF</stp>
        <stp>09/03/2016</stp>
        <stp>09/03/2016</stp>
        <stp>[Bbg_Market_Data_CL.xlsm]data!R272C20</stp>
        <tr r="T272" s="1"/>
      </tp>
      <tp t="s">
        <v>#N/A Requesting Data...</v>
        <stp/>
        <stp>##V3_BDHV12</stp>
        <stp>CL1 Comdty</stp>
        <stp>30DAY_IMPVOL_110.0%MNY_DF</stp>
        <stp>09/02/2016</stp>
        <stp>09/02/2016</stp>
        <stp>[Bbg_Market_Data_CL.xlsm]data!R291C22</stp>
        <tr r="V291" s="1"/>
      </tp>
      <tp t="s">
        <v>#N/A Requesting Data...</v>
        <stp/>
        <stp>##V3_BDHV12</stp>
        <stp>CL1 Comdty</stp>
        <stp>30DAY_IMPVOL_100.0%MNY_DF</stp>
        <stp>19/02/2016</stp>
        <stp>19/02/2016</stp>
        <stp>[Bbg_Market_Data_CL.xlsm]data!R285C20</stp>
        <tr r="T285" s="1"/>
      </tp>
      <tp t="s">
        <v>#N/A Requesting Data...</v>
        <stp/>
        <stp>##V3_BDHV12</stp>
        <stp>CL1 Comdty</stp>
        <stp>30DAY_IMPVOL_100.0%MNY_DF</stp>
        <stp>29/01/2016</stp>
        <stp>29/01/2016</stp>
        <stp>[Bbg_Market_Data_CL.xlsm]data!R298C20</stp>
        <tr r="T298" s="1"/>
      </tp>
      <tp t="s">
        <v>#N/A Requesting Data...</v>
        <stp/>
        <stp>##V3_BDHV12</stp>
        <stp>CL1 Comdty</stp>
        <stp>30DAY_IMPVOL_100.0%MNY_DF</stp>
        <stp>18/03/2016</stp>
        <stp>18/03/2016</stp>
        <stp>[Bbg_Market_Data_CL.xlsm]data!R265C20</stp>
        <tr r="T265" s="1"/>
      </tp>
      <tp t="s">
        <v>#N/A Requesting Data...</v>
        <stp/>
        <stp>##V3_BDHV12</stp>
        <stp>CL1 Comdty</stp>
        <stp>30DAY_IMPVOL_110.0%MNY_DF</stp>
        <stp>08/03/2016</stp>
        <stp>08/03/2016</stp>
        <stp>[Bbg_Market_Data_CL.xlsm]data!R273C22</stp>
        <tr r="V273" s="1"/>
      </tp>
      <tp t="s">
        <v>#N/A Requesting Data...</v>
        <stp/>
        <stp>##V3_BDHV12</stp>
        <stp>CL1 Comdty</stp>
        <stp>30DAY_IMPVOL_110.0%MNY_DF</stp>
        <stp>18/02/2016</stp>
        <stp>18/02/2016</stp>
        <stp>[Bbg_Market_Data_CL.xlsm]data!R286C22</stp>
        <tr r="V286" s="1"/>
      </tp>
      <tp t="s">
        <v>#N/A Requesting Data...</v>
        <stp/>
        <stp>##V3_BDHV12</stp>
        <stp>CL1 Comdty</stp>
        <stp>30DAY_IMPVOL_110.0%MNY_DF</stp>
        <stp>28/01/2016</stp>
        <stp>28/01/2016</stp>
        <stp>[Bbg_Market_Data_CL.xlsm]data!R299C22</stp>
        <tr r="V299" s="1"/>
      </tp>
      <tp t="s">
        <v>#N/A Requesting Data...</v>
        <stp/>
        <stp>##V3_BDHV12</stp>
        <stp>CL1 Comdty</stp>
        <stp>30DAY_IMPVOL_100.0%MNY_DF</stp>
        <stp>08/02/2016</stp>
        <stp>08/02/2016</stp>
        <stp>[Bbg_Market_Data_CL.xlsm]data!R292C20</stp>
        <tr r="T292" s="1"/>
      </tp>
      <tp t="s">
        <v>#N/A Requesting Data...</v>
        <stp/>
        <stp>##V3_BDHV12</stp>
        <stp>CL1 Comdty</stp>
        <stp>30DAY_IMPVOL_100.0%MNY_DF</stp>
        <stp>28/10/2016</stp>
        <stp>28/10/2016</stp>
        <stp>[Bbg_Market_Data_CL.xlsm]data!R111C20</stp>
        <tr r="T111" s="1"/>
      </tp>
      <tp t="s">
        <v>#N/A Requesting Data...</v>
        <stp/>
        <stp>##V3_BDHV12</stp>
        <stp>CL1 Comdty</stp>
        <stp>30DAY_IMPVOL_100.0%MNY_DF</stp>
        <stp>29/12/2015</stp>
        <stp>29/12/2015</stp>
        <stp>[Bbg_Market_Data_CL.xlsm]data!R319C20</stp>
        <tr r="T319" s="1"/>
      </tp>
      <tp t="s">
        <v>#N/A Requesting Data...</v>
        <stp/>
        <stp>##V3_BDHV12</stp>
        <stp>CL1 Comdty</stp>
        <stp>30DAY_IMPVOL_100.0%MNY_DF</stp>
        <stp>09/10/2015</stp>
        <stp>09/10/2015</stp>
        <stp>[Bbg_Market_Data_CL.xlsm]data!R372C20</stp>
        <tr r="T372" s="1"/>
      </tp>
      <tp t="s">
        <v>#N/A Requesting Data...</v>
        <stp/>
        <stp>##V3_BDHV12</stp>
        <stp>CL1 Comdty</stp>
        <stp>30DAY_IMPVOL_110.0%MNY_DF</stp>
        <stp>09/11/2015</stp>
        <stp>09/11/2015</stp>
        <stp>[Bbg_Market_Data_CL.xlsm]data!R352C22</stp>
        <tr r="V352" s="1"/>
      </tp>
      <tp t="s">
        <v>#N/A Requesting Data...</v>
        <stp/>
        <stp>##V3_BDHV12</stp>
        <stp>CL1 Comdty</stp>
        <stp>30DAY_IMPVOL_100.0%MNY_DF</stp>
        <stp>19/11/2015</stp>
        <stp>19/11/2015</stp>
        <stp>[Bbg_Market_Data_CL.xlsm]data!R345C20</stp>
        <tr r="T345" s="1"/>
      </tp>
      <tp t="s">
        <v>#N/A Requesting Data...</v>
        <stp/>
        <stp>##V3_BDHV12</stp>
        <stp>CL1 Comdty</stp>
        <stp>30DAY_IMPVOL_110.0%MNY_DF</stp>
        <stp>19/10/2015</stp>
        <stp>19/10/2015</stp>
        <stp>[Bbg_Market_Data_CL.xlsm]data!R367C22</stp>
        <tr r="V367" s="1"/>
      </tp>
      <tp t="s">
        <v>#N/A Requesting Data...</v>
        <stp/>
        <stp>##V3_BDHV12</stp>
        <stp>CL1 Comdty</stp>
        <stp>30DAY_IMPVOL_110.0%MNY_DF</stp>
        <stp>28/12/2015</stp>
        <stp>28/12/2015</stp>
        <stp>[Bbg_Market_Data_CL.xlsm]data!R320C22</stp>
        <tr r="V320" s="1"/>
      </tp>
      <tp t="s">
        <v>#N/A Requesting Data...</v>
        <stp/>
        <stp>##V3_BDHV12</stp>
        <stp>CL1 Comdty</stp>
        <stp>30DAY_IMPVOL_110.0%MNY_DF</stp>
        <stp>18/11/2015</stp>
        <stp>18/11/2015</stp>
        <stp>[Bbg_Market_Data_CL.xlsm]data!R346C22</stp>
        <tr r="V346" s="1"/>
      </tp>
      <tp t="s">
        <v>#N/A Requesting Data...</v>
        <stp/>
        <stp>##V3_BDHV12</stp>
        <stp>CL1 Comdty</stp>
        <stp>30DAY_IMPVOL_110.0%MNY_DF</stp>
        <stp>08/10/2015</stp>
        <stp>08/10/2015</stp>
        <stp>[Bbg_Market_Data_CL.xlsm]data!R373C22</stp>
        <tr r="V373" s="1"/>
      </tp>
      <tp t="s">
        <v>#N/A Requesting Data...</v>
        <stp/>
        <stp>##V3_BDHV12</stp>
        <stp>CL1 Comdty</stp>
        <stp>30DAY_IMPVOL_105.0%MNY_DF</stp>
        <stp>28/10/2016</stp>
        <stp>28/10/2016</stp>
        <stp>[Bbg_Market_Data_CL.xlsm]data!R111C19</stp>
        <tr r="S111" s="1"/>
      </tp>
      <tp t="s">
        <v>#N/A Requesting Data...</v>
        <stp/>
        <stp>##V3_BDHV12</stp>
        <stp>CL1 Comdty</stp>
        <stp>30DAY_IMPVOL_105.0%MNY_DF</stp>
        <stp>29/12/2015</stp>
        <stp>29/12/2015</stp>
        <stp>[Bbg_Market_Data_CL.xlsm]data!R319C19</stp>
        <tr r="S319" s="1"/>
      </tp>
      <tp t="s">
        <v>#N/A Requesting Data...</v>
        <stp/>
        <stp>##V3_BDHV12</stp>
        <stp>CL1 Comdty</stp>
        <stp>30DAY_IMPVOL_105.0%MNY_DF</stp>
        <stp>09/10/2015</stp>
        <stp>09/10/2015</stp>
        <stp>[Bbg_Market_Data_CL.xlsm]data!R372C19</stp>
        <tr r="S372" s="1"/>
      </tp>
      <tp t="s">
        <v>#N/A Requesting Data...</v>
        <stp/>
        <stp>##V3_BDHV12</stp>
        <stp>CL1 Comdty</stp>
        <stp>30DAY_IMPVOL_105.0%MNY_DF</stp>
        <stp>19/11/2015</stp>
        <stp>19/11/2015</stp>
        <stp>[Bbg_Market_Data_CL.xlsm]data!R345C19</stp>
        <tr r="S345" s="1"/>
      </tp>
      <tp t="s">
        <v>#N/A Requesting Data...</v>
        <stp/>
        <stp>##V3_BDHV12</stp>
        <stp>CL1 Comdty</stp>
        <stp>30DAY_IMPVOL_105.0%MNY_DF</stp>
        <stp>29/01/2016</stp>
        <stp>29/01/2016</stp>
        <stp>[Bbg_Market_Data_CL.xlsm]data!R298C19</stp>
        <tr r="S298" s="1"/>
      </tp>
      <tp t="s">
        <v>#N/A Requesting Data...</v>
        <stp/>
        <stp>##V3_BDHV12</stp>
        <stp>CL1 Comdty</stp>
        <stp>30DAY_IMPVOL_105.0%MNY_DF</stp>
        <stp>19/02/2016</stp>
        <stp>19/02/2016</stp>
        <stp>[Bbg_Market_Data_CL.xlsm]data!R285C19</stp>
        <tr r="S285" s="1"/>
      </tp>
      <tp t="s">
        <v>#N/A Requesting Data...</v>
        <stp/>
        <stp>##V3_BDHV12</stp>
        <stp>CL1 Comdty</stp>
        <stp>30DAY_IMPVOL_105.0%MNY_DF</stp>
        <stp>09/03/2016</stp>
        <stp>09/03/2016</stp>
        <stp>[Bbg_Market_Data_CL.xlsm]data!R272C19</stp>
        <tr r="S272" s="1"/>
      </tp>
      <tp t="s">
        <v>#N/A Requesting Data...</v>
        <stp/>
        <stp>##V3_BDHV12</stp>
        <stp>CL1 Comdty</stp>
        <stp>30DAY_IMPVOL_105.0%MNY_DF</stp>
        <stp>08/02/2016</stp>
        <stp>08/02/2016</stp>
        <stp>[Bbg_Market_Data_CL.xlsm]data!R292C19</stp>
        <tr r="S292" s="1"/>
      </tp>
      <tp t="s">
        <v>#N/A Requesting Data...</v>
        <stp/>
        <stp>##V3_BDHV12</stp>
        <stp>CL1 Comdty</stp>
        <stp>30DAY_IMPVOL_105.0%MNY_DF</stp>
        <stp>18/03/2016</stp>
        <stp>18/03/2016</stp>
        <stp>[Bbg_Market_Data_CL.xlsm]data!R265C19</stp>
        <tr r="S265" s="1"/>
      </tp>
      <tp t="s">
        <v>#N/A Requesting Data...</v>
        <stp/>
        <stp>##V3_BDHV12</stp>
        <stp>CL1 Comdty</stp>
        <stp>30DAY_IMPVOL_95.0%MNY_DF</stp>
        <stp>17/02/2017</stp>
        <stp>17/02/2017</stp>
        <stp>[Bbg_Market_Data_CL.xlsm]data!R36C21</stp>
        <tr r="U36" s="1"/>
      </tp>
      <tp t="s">
        <v>#N/A Requesting Data...</v>
        <stp/>
        <stp>##V3_BDHV12</stp>
        <stp>CL1 Comdty</stp>
        <stp>30DAY_IMPVOL_95.0%MNY_DF</stp>
        <stp>07/03/2017</stp>
        <stp>07/03/2017</stp>
        <stp>[Bbg_Market_Data_CL.xlsm]data!R25C21</stp>
        <tr r="U25" s="1"/>
      </tp>
      <tp t="s">
        <v>#N/A Requesting Data...</v>
        <stp/>
        <stp>##V3_BDHV12</stp>
        <stp>CL1 Comdty</stp>
        <stp>30DAY_IMPVOL_90.0%MNY_DF</stp>
        <stp>27/01/2017</stp>
        <stp>27/01/2017</stp>
        <stp>[Bbg_Market_Data_CL.xlsm]data!R51C23</stp>
        <tr r="W51" s="1"/>
      </tp>
      <tp t="s">
        <v>#N/A Requesting Data...</v>
        <stp/>
        <stp>##V3_BDHV12</stp>
        <stp>CL1 Comdty</stp>
        <stp>30DAY_IMPVOL_90.0%MNY_DF</stp>
        <stp>07/03/2017</stp>
        <stp>07/03/2017</stp>
        <stp>[Bbg_Market_Data_CL.xlsm]data!R25C23</stp>
        <tr r="W25" s="1"/>
      </tp>
      <tp t="s">
        <v>#N/A Requesting Data...</v>
        <stp/>
        <stp>##V3_BDHV12</stp>
        <stp>CL1 Comdty</stp>
        <stp>30DAY_IMPVOL_95.0%MNY_DF</stp>
        <stp>27/01/2017</stp>
        <stp>27/01/2017</stp>
        <stp>[Bbg_Market_Data_CL.xlsm]data!R51C21</stp>
        <tr r="U51" s="1"/>
      </tp>
      <tp t="s">
        <v>#N/A Requesting Data...</v>
        <stp/>
        <stp>##V3_BDHV12</stp>
        <stp>CL1 Comdty</stp>
        <stp>30DAY_IMPVOL_90.0%MNY_DF</stp>
        <stp>17/02/2017</stp>
        <stp>17/02/2017</stp>
        <stp>[Bbg_Market_Data_CL.xlsm]data!R36C23</stp>
        <tr r="W36" s="1"/>
      </tp>
      <tp t="s">
        <v>#N/A Requesting Data...</v>
        <stp/>
        <stp>##V3_BDHV12</stp>
        <stp>CL1 Comdty</stp>
        <stp>30DAY_IMPVOL_95.0%MNY_DF</stp>
        <stp>07/12/2016</stp>
        <stp>07/12/2016</stp>
        <stp>[Bbg_Market_Data_CL.xlsm]data!R85C21</stp>
        <tr r="U85" s="1"/>
      </tp>
      <tp t="s">
        <v>#N/A Requesting Data...</v>
        <stp/>
        <stp>##V3_BDHV12</stp>
        <stp>CL1 Comdty</stp>
        <stp>30DAY_IMPVOL_90.0%MNY_DF</stp>
        <stp>07/12/2016</stp>
        <stp>07/12/2016</stp>
        <stp>[Bbg_Market_Data_CL.xlsm]data!R85C23</stp>
        <tr r="W85" s="1"/>
      </tp>
      <tp t="s">
        <v>#N/A Requesting Data...</v>
        <stp/>
        <stp>##V3_BDHV12</stp>
        <stp>CL1 Comdty</stp>
        <stp>30DAY_IMPVOL_95.0%MNY_DF</stp>
        <stp>06/03/2017</stp>
        <stp>06/03/2017</stp>
        <stp>[Bbg_Market_Data_CL.xlsm]data!R26C21</stp>
        <tr r="U26" s="1"/>
      </tp>
      <tp t="s">
        <v>#N/A Requesting Data...</v>
        <stp/>
        <stp>##V3_BDHV12</stp>
        <stp>CL1 Comdty</stp>
        <stp>30DAY_IMPVOL_90.0%MNY_DF</stp>
        <stp>26/01/2017</stp>
        <stp>26/01/2017</stp>
        <stp>[Bbg_Market_Data_CL.xlsm]data!R52C23</stp>
        <tr r="W52" s="1"/>
      </tp>
      <tp t="s">
        <v>#N/A Requesting Data...</v>
        <stp/>
        <stp>##V3_BDHV12</stp>
        <stp>CL1 Comdty</stp>
        <stp>30DAY_IMPVOL_95.0%MNY_DF</stp>
        <stp>16/02/2017</stp>
        <stp>16/02/2017</stp>
        <stp>[Bbg_Market_Data_CL.xlsm]data!R37C21</stp>
        <tr r="U37" s="1"/>
      </tp>
      <tp t="s">
        <v>#N/A Requesting Data...</v>
        <stp/>
        <stp>##V3_BDHV12</stp>
        <stp>CL1 Comdty</stp>
        <stp>30DAY_IMPVOL_90.0%MNY_DF</stp>
        <stp>16/02/2017</stp>
        <stp>16/02/2017</stp>
        <stp>[Bbg_Market_Data_CL.xlsm]data!R37C23</stp>
        <tr r="W37" s="1"/>
      </tp>
      <tp t="s">
        <v>#N/A Requesting Data...</v>
        <stp/>
        <stp>##V3_BDHV12</stp>
        <stp>CL1 Comdty</stp>
        <stp>30DAY_IMPVOL_90.0%MNY_DF</stp>
        <stp>06/03/2017</stp>
        <stp>06/03/2017</stp>
        <stp>[Bbg_Market_Data_CL.xlsm]data!R26C23</stp>
        <tr r="W26" s="1"/>
      </tp>
      <tp t="s">
        <v>#N/A Requesting Data...</v>
        <stp/>
        <stp>##V3_BDHV12</stp>
        <stp>CL1 Comdty</stp>
        <stp>30DAY_IMPVOL_95.0%MNY_DF</stp>
        <stp>26/01/2017</stp>
        <stp>26/01/2017</stp>
        <stp>[Bbg_Market_Data_CL.xlsm]data!R52C21</stp>
        <tr r="U52" s="1"/>
      </tp>
      <tp t="s">
        <v>#N/A Requesting Data...</v>
        <stp/>
        <stp>##V3_BDHV12</stp>
        <stp>CL1 Comdty</stp>
        <stp>30DAY_IMPVOL_95.0%MNY_DF</stp>
        <stp>06/12/2016</stp>
        <stp>06/12/2016</stp>
        <stp>[Bbg_Market_Data_CL.xlsm]data!R86C21</stp>
        <tr r="U86" s="1"/>
      </tp>
      <tp t="s">
        <v>#N/A Requesting Data...</v>
        <stp/>
        <stp>##V3_BDHV12</stp>
        <stp>CL1 Comdty</stp>
        <stp>30DAY_IMPVOL_90.0%MNY_DF</stp>
        <stp>06/12/2016</stp>
        <stp>06/12/2016</stp>
        <stp>[Bbg_Market_Data_CL.xlsm]data!R86C23</stp>
        <tr r="W86" s="1"/>
      </tp>
      <tp t="s">
        <v>#N/A Requesting Data...</v>
        <stp/>
        <stp>##V3_BDHV12</stp>
        <stp>CL1 Comdty</stp>
        <stp>30DAY_IMPVOL_95.0%MNY_DF</stp>
        <stp>15/02/2017</stp>
        <stp>15/02/2017</stp>
        <stp>[Bbg_Market_Data_CL.xlsm]data!R38C21</stp>
        <tr r="U38" s="1"/>
      </tp>
      <tp t="s">
        <v>#N/A Requesting Data...</v>
        <stp/>
        <stp>##V3_BDHV12</stp>
        <stp>CL1 Comdty</stp>
        <stp>30DAY_IMPVOL_90.0%MNY_DF</stp>
        <stp>25/01/2017</stp>
        <stp>25/01/2017</stp>
        <stp>[Bbg_Market_Data_CL.xlsm]data!R53C23</stp>
        <tr r="W53" s="1"/>
      </tp>
      <tp t="s">
        <v>#N/A Requesting Data...</v>
        <stp/>
        <stp>##V3_BDHV12</stp>
        <stp>CL1 Comdty</stp>
        <stp>30DAY_IMPVOL_95.0%MNY_DF</stp>
        <stp>25/01/2017</stp>
        <stp>25/01/2017</stp>
        <stp>[Bbg_Market_Data_CL.xlsm]data!R53C21</stp>
        <tr r="U53" s="1"/>
      </tp>
      <tp t="s">
        <v>#N/A Requesting Data...</v>
        <stp/>
        <stp>##V3_BDHV12</stp>
        <stp>CL1 Comdty</stp>
        <stp>30DAY_IMPVOL_90.0%MNY_DF</stp>
        <stp>15/02/2017</stp>
        <stp>15/02/2017</stp>
        <stp>[Bbg_Market_Data_CL.xlsm]data!R38C23</stp>
        <tr r="W38" s="1"/>
      </tp>
      <tp t="s">
        <v>#N/A Requesting Data...</v>
        <stp/>
        <stp>##V3_BDHV12</stp>
        <stp>CL1 Comdty</stp>
        <stp>30DAY_IMPVOL_95.0%MNY_DF</stp>
        <stp>05/12/2016</stp>
        <stp>05/12/2016</stp>
        <stp>[Bbg_Market_Data_CL.xlsm]data!R87C21</stp>
        <tr r="U87" s="1"/>
      </tp>
      <tp t="s">
        <v>#N/A Requesting Data...</v>
        <stp/>
        <stp>##V3_BDHV12</stp>
        <stp>CL1 Comdty</stp>
        <stp>30DAY_IMPVOL_90.0%MNY_DF</stp>
        <stp>05/12/2016</stp>
        <stp>05/12/2016</stp>
        <stp>[Bbg_Market_Data_CL.xlsm]data!R87C23</stp>
        <tr r="W87" s="1"/>
      </tp>
      <tp t="s">
        <v>#N/A Requesting Data...</v>
        <stp/>
        <stp>##V3_BDHV12</stp>
        <stp>CL1 Comdty</stp>
        <stp>30DAY_IMPVOL_90.0%MNY_DF</stp>
        <stp>24/01/2017</stp>
        <stp>24/01/2017</stp>
        <stp>[Bbg_Market_Data_CL.xlsm]data!R54C23</stp>
        <tr r="W54" s="1"/>
      </tp>
      <tp t="s">
        <v>#N/A Requesting Data...</v>
        <stp/>
        <stp>##V3_BDHV12</stp>
        <stp>CL1 Comdty</stp>
        <stp>30DAY_IMPVOL_95.0%MNY_DF</stp>
        <stp>14/02/2017</stp>
        <stp>14/02/2017</stp>
        <stp>[Bbg_Market_Data_CL.xlsm]data!R39C21</stp>
        <tr r="U39" s="1"/>
      </tp>
      <tp t="s">
        <v>#N/A Requesting Data...</v>
        <stp/>
        <stp>##V3_BDHV12</stp>
        <stp>CL1 Comdty</stp>
        <stp>30DAY_IMPVOL_90.0%MNY_DF</stp>
        <stp>14/02/2017</stp>
        <stp>14/02/2017</stp>
        <stp>[Bbg_Market_Data_CL.xlsm]data!R39C23</stp>
        <tr r="W39" s="1"/>
      </tp>
      <tp t="s">
        <v>#N/A Requesting Data...</v>
        <stp/>
        <stp>##V3_BDHV12</stp>
        <stp>CL1 Comdty</stp>
        <stp>30DAY_IMPVOL_95.0%MNY_DF</stp>
        <stp>24/01/2017</stp>
        <stp>24/01/2017</stp>
        <stp>[Bbg_Market_Data_CL.xlsm]data!R54C21</stp>
        <tr r="U54" s="1"/>
      </tp>
      <tp t="s">
        <v>#N/A Requesting Data...</v>
        <stp/>
        <stp>##V3_BDHV12</stp>
        <stp>CL1 Comdty</stp>
        <stp>30DAY_IMPVOL_95.0%MNY_DF</stp>
        <stp>23/01/2017</stp>
        <stp>23/01/2017</stp>
        <stp>[Bbg_Market_Data_CL.xlsm]data!R55C21</stp>
        <tr r="U55" s="1"/>
      </tp>
      <tp t="s">
        <v>#N/A Requesting Data...</v>
        <stp/>
        <stp>##V3_BDHV12</stp>
        <stp>CL1 Comdty</stp>
        <stp>30DAY_IMPVOL_90.0%MNY_DF</stp>
        <stp>03/03/2017</stp>
        <stp>03/03/2017</stp>
        <stp>[Bbg_Market_Data_CL.xlsm]data!R27C23</stp>
        <tr r="W27" s="1"/>
      </tp>
      <tp t="s">
        <v>#N/A Requesting Data...</v>
        <stp/>
        <stp>##V3_BDHV12</stp>
        <stp>CL1 Comdty</stp>
        <stp>30DAY_IMPVOL_95.0%MNY_DF</stp>
        <stp>13/02/2017</stp>
        <stp>13/02/2017</stp>
        <stp>[Bbg_Market_Data_CL.xlsm]data!R40C21</stp>
        <tr r="U40" s="1"/>
      </tp>
      <tp t="s">
        <v>#N/A Requesting Data...</v>
        <stp/>
        <stp>##V3_BDHV12</stp>
        <stp>CL1 Comdty</stp>
        <stp>30DAY_IMPVOL_90.0%MNY_DF</stp>
        <stp>13/02/2017</stp>
        <stp>13/02/2017</stp>
        <stp>[Bbg_Market_Data_CL.xlsm]data!R40C23</stp>
        <tr r="W40" s="1"/>
      </tp>
      <tp t="s">
        <v>#N/A Requesting Data...</v>
        <stp/>
        <stp>##V3_BDHV12</stp>
        <stp>CL1 Comdty</stp>
        <stp>30DAY_IMPVOL_90.0%MNY_DF</stp>
        <stp>23/01/2017</stp>
        <stp>23/01/2017</stp>
        <stp>[Bbg_Market_Data_CL.xlsm]data!R55C23</stp>
        <tr r="W55" s="1"/>
      </tp>
      <tp t="s">
        <v>#N/A Requesting Data...</v>
        <stp/>
        <stp>##V3_BDHV12</stp>
        <stp>CL1 Comdty</stp>
        <stp>30DAY_IMPVOL_95.0%MNY_DF</stp>
        <stp>03/03/2017</stp>
        <stp>03/03/2017</stp>
        <stp>[Bbg_Market_Data_CL.xlsm]data!R27C21</stp>
        <tr r="U27" s="1"/>
      </tp>
      <tp t="s">
        <v>#N/A Requesting Data...</v>
        <stp/>
        <stp>##V3_BDHV12</stp>
        <stp>CL1 Comdty</stp>
        <stp>30DAY_IMPVOL_90.0%MNY_DF</stp>
        <stp>02/03/2017</stp>
        <stp>02/03/2017</stp>
        <stp>[Bbg_Market_Data_CL.xlsm]data!R28C23</stp>
        <tr r="W28" s="1"/>
      </tp>
      <tp t="s">
        <v>#N/A Requesting Data...</v>
        <stp/>
        <stp>##V3_BDHV12</stp>
        <stp>CL1 Comdty</stp>
        <stp>30DAY_IMPVOL_95.0%MNY_DF</stp>
        <stp>02/03/2017</stp>
        <stp>02/03/2017</stp>
        <stp>[Bbg_Market_Data_CL.xlsm]data!R28C21</stp>
        <tr r="U28" s="1"/>
      </tp>
      <tp t="s">
        <v>#N/A Requesting Data...</v>
        <stp/>
        <stp>##V3_BDHV12</stp>
        <stp>CL1 Comdty</stp>
        <stp>30DAY_IMPVOL_90.0%MNY_DF</stp>
        <stp>02/12/2016</stp>
        <stp>02/12/2016</stp>
        <stp>[Bbg_Market_Data_CL.xlsm]data!R88C23</stp>
        <tr r="W88" s="1"/>
      </tp>
      <tp t="s">
        <v>#N/A Requesting Data...</v>
        <stp/>
        <stp>##V3_BDHV12</stp>
        <stp>CL1 Comdty</stp>
        <stp>30DAY_IMPVOL_95.0%MNY_DF</stp>
        <stp>02/12/2016</stp>
        <stp>02/12/2016</stp>
        <stp>[Bbg_Market_Data_CL.xlsm]data!R88C21</stp>
        <tr r="U88" s="1"/>
      </tp>
      <tp t="s">
        <v>#N/A Requesting Data...</v>
        <stp/>
        <stp>##V3_BDHV12</stp>
        <stp>CL1 Comdty</stp>
        <stp>30DAY_IMPVOL_90.0%MNY_DF</stp>
        <stp>01/03/2017</stp>
        <stp>01/03/2017</stp>
        <stp>[Bbg_Market_Data_CL.xlsm]data!R29C23</stp>
        <tr r="W29" s="1"/>
      </tp>
      <tp t="s">
        <v>#N/A Requesting Data...</v>
        <stp/>
        <stp>##V3_BDHV12</stp>
        <stp>CL1 Comdty</stp>
        <stp>30DAY_IMPVOL_95.0%MNY_DF</stp>
        <stp>01/03/2017</stp>
        <stp>01/03/2017</stp>
        <stp>[Bbg_Market_Data_CL.xlsm]data!R29C21</stp>
        <tr r="U29" s="1"/>
      </tp>
      <tp t="s">
        <v>#N/A Requesting Data...</v>
        <stp/>
        <stp>##V3_BDHV12</stp>
        <stp>CL1 Comdty</stp>
        <stp>30DAY_IMPVOL_90.0%MNY_DF</stp>
        <stp>01/12/2016</stp>
        <stp>01/12/2016</stp>
        <stp>[Bbg_Market_Data_CL.xlsm]data!R89C23</stp>
        <tr r="W89" s="1"/>
      </tp>
      <tp t="s">
        <v>#N/A Requesting Data...</v>
        <stp/>
        <stp>##V3_BDHV12</stp>
        <stp>CL1 Comdty</stp>
        <stp>30DAY_IMPVOL_95.0%MNY_DF</stp>
        <stp>01/12/2016</stp>
        <stp>01/12/2016</stp>
        <stp>[Bbg_Market_Data_CL.xlsm]data!R89C21</stp>
        <tr r="U89" s="1"/>
      </tp>
      <tp t="s">
        <v>#N/A Requesting Data...</v>
        <stp/>
        <stp>##V3_BDHV12</stp>
        <stp>CL1 Comdty</stp>
        <stp>30DAY_IMPVOL_95.0%MNY_DF</stp>
        <stp>10/02/2017</stp>
        <stp>10/02/2017</stp>
        <stp>[Bbg_Market_Data_CL.xlsm]data!R41C21</stp>
        <tr r="U41" s="1"/>
      </tp>
      <tp t="s">
        <v>#N/A Requesting Data...</v>
        <stp/>
        <stp>##V3_BDHV12</stp>
        <stp>CL1 Comdty</stp>
        <stp>30DAY_IMPVOL_95.0%MNY_DF</stp>
        <stp>20/01/2017</stp>
        <stp>20/01/2017</stp>
        <stp>[Bbg_Market_Data_CL.xlsm]data!R56C21</stp>
        <tr r="U56" s="1"/>
      </tp>
      <tp t="s">
        <v>#N/A Requesting Data...</v>
        <stp/>
        <stp>##V3_BDHV12</stp>
        <stp>CL1 Comdty</stp>
        <stp>30DAY_IMPVOL_90.0%MNY_DF</stp>
        <stp>20/01/2017</stp>
        <stp>20/01/2017</stp>
        <stp>[Bbg_Market_Data_CL.xlsm]data!R56C23</stp>
        <tr r="W56" s="1"/>
      </tp>
      <tp t="s">
        <v>#N/A Requesting Data...</v>
        <stp/>
        <stp>##V3_BDHV12</stp>
        <stp>CL1 Comdty</stp>
        <stp>30DAY_IMPVOL_90.0%MNY_DF</stp>
        <stp>10/02/2017</stp>
        <stp>10/02/2017</stp>
        <stp>[Bbg_Market_Data_CL.xlsm]data!R41C23</stp>
        <tr r="W41" s="1"/>
      </tp>
      <tp t="s">
        <v>#N/A Requesting Data...</v>
        <stp/>
        <stp>##V3_BDHV12</stp>
        <stp>CL1 Comdty</stp>
        <stp>30DAY_IMPVOL_90.0%MNY_DF</stp>
        <stp>30/11/2016</stp>
        <stp>30/11/2016</stp>
        <stp>[Bbg_Market_Data_CL.xlsm]data!R90C23</stp>
        <tr r="W90" s="1"/>
      </tp>
      <tp t="s">
        <v>#N/A Requesting Data...</v>
        <stp/>
        <stp>##V3_BDHV12</stp>
        <stp>CL1 Comdty</stp>
        <stp>30DAY_IMPVOL_95.0%MNY_DF</stp>
        <stp>30/11/2016</stp>
        <stp>30/11/2016</stp>
        <stp>[Bbg_Market_Data_CL.xlsm]data!R90C21</stp>
        <tr r="U90" s="1"/>
      </tp>
      <tp t="s">
        <v>#N/A Requesting Data...</v>
        <stp/>
        <stp>##V3_BDHV12</stp>
        <stp>CL1 Comdty</stp>
        <stp>30DAY_IMPVOL_90.0%MNY_DF</stp>
        <stp>09/12/2016</stp>
        <stp>09/12/2016</stp>
        <stp>[Bbg_Market_Data_CL.xlsm]data!R83C23</stp>
        <tr r="W83" s="1"/>
      </tp>
      <tp t="s">
        <v>#N/A Requesting Data...</v>
        <stp/>
        <stp>##V3_BDHV12</stp>
        <stp>CL1 Comdty</stp>
        <stp>30DAY_IMPVOL_95.0%MNY_DF</stp>
        <stp>09/12/2016</stp>
        <stp>09/12/2016</stp>
        <stp>[Bbg_Market_Data_CL.xlsm]data!R83C21</stp>
        <tr r="U83" s="1"/>
      </tp>
      <tp t="s">
        <v>#N/A Requesting Data...</v>
        <stp/>
        <stp>##V3_BDHV12</stp>
        <stp>CL1 Comdty</stp>
        <stp>30DAY_IMPVOL_90.0%MNY_DF</stp>
        <stp>09/03/2017</stp>
        <stp>09/03/2017</stp>
        <stp>[Bbg_Market_Data_CL.xlsm]data!R23C23</stp>
        <tr r="W23" s="1"/>
      </tp>
      <tp t="s">
        <v>#N/A Requesting Data...</v>
        <stp/>
        <stp>##V3_BDHV12</stp>
        <stp>CL1 Comdty</stp>
        <stp>30DAY_IMPVOL_95.0%MNY_DF</stp>
        <stp>09/03/2017</stp>
        <stp>09/03/2017</stp>
        <stp>[Bbg_Market_Data_CL.xlsm]data!R23C21</stp>
        <tr r="U23" s="1"/>
      </tp>
      <tp t="s">
        <v>#N/A Requesting Data...</v>
        <stp/>
        <stp>##V3_BDHV12</stp>
        <stp>CL1 Comdty</stp>
        <stp>30DAY_IMPVOL_90.0%MNY_DF</stp>
        <stp>08/12/2016</stp>
        <stp>08/12/2016</stp>
        <stp>[Bbg_Market_Data_CL.xlsm]data!R84C23</stp>
        <tr r="W84" s="1"/>
      </tp>
      <tp t="s">
        <v>#N/A Requesting Data...</v>
        <stp/>
        <stp>##V3_BDHV12</stp>
        <stp>CL1 Comdty</stp>
        <stp>30DAY_IMPVOL_95.0%MNY_DF</stp>
        <stp>08/12/2016</stp>
        <stp>08/12/2016</stp>
        <stp>[Bbg_Market_Data_CL.xlsm]data!R84C21</stp>
        <tr r="U84" s="1"/>
      </tp>
      <tp t="s">
        <v>#N/A Requesting Data...</v>
        <stp/>
        <stp>##V3_BDHV12</stp>
        <stp>CL1 Comdty</stp>
        <stp>30DAY_IMPVOL_90.0%MNY_DF</stp>
        <stp>08/03/2017</stp>
        <stp>08/03/2017</stp>
        <stp>[Bbg_Market_Data_CL.xlsm]data!R24C23</stp>
        <tr r="W24" s="1"/>
      </tp>
      <tp t="s">
        <v>#N/A Requesting Data...</v>
        <stp/>
        <stp>##V3_BDHV12</stp>
        <stp>CL1 Comdty</stp>
        <stp>30DAY_IMPVOL_95.0%MNY_DF</stp>
        <stp>08/03/2017</stp>
        <stp>08/03/2017</stp>
        <stp>[Bbg_Market_Data_CL.xlsm]data!R24C21</stp>
        <tr r="U24" s="1"/>
      </tp>
      <tp t="s">
        <v>#N/A Requesting Data...</v>
        <stp/>
        <stp>##V3_BDHV12</stp>
        <stp>CL2 Comdty</stp>
        <stp>RSI_9D</stp>
        <stp>23/02/2016</stp>
        <stp>23/02/2016</stp>
        <stp>[Bbg_Market_Data_CL.xlsm]data!R284C12</stp>
        <tr r="L284" s="1"/>
      </tp>
      <tp t="s">
        <v>#N/A Requesting Data...</v>
        <stp/>
        <stp>##V3_BDHV12</stp>
        <stp>CL1 Comdty</stp>
        <stp>RSI_9D</stp>
        <stp>06/05/2015</stp>
        <stp>06/05/2015</stp>
        <stp>[Bbg_Market_Data_CL.xlsm]data!R482C12</stp>
        <tr r="L482" s="1"/>
      </tp>
      <tp t="s">
        <v>#N/A Requesting Data...</v>
        <stp/>
        <stp>##V3_BDHV12</stp>
        <stp>CL1 Comdty</stp>
        <stp>RSI_9D</stp>
        <stp>16/04/2015</stp>
        <stp>16/04/2015</stp>
        <stp>[Bbg_Market_Data_CL.xlsm]data!R496C12</stp>
        <tr r="L496" s="1"/>
      </tp>
      <tp t="s">
        <v>#N/A Requesting Data...</v>
        <stp/>
        <stp>##V3_BDHV12</stp>
        <stp>CL2 Comdty</stp>
        <stp>RSI_9D</stp>
        <stp>31/12/2015</stp>
        <stp>31/12/2015</stp>
        <stp>[Bbg_Market_Data_CL.xlsm]data!R318C12</stp>
        <tr r="L318" s="1"/>
      </tp>
      <tp t="s">
        <v>#N/A Requesting Data...</v>
        <stp/>
        <stp>##V3_BDHV12</stp>
        <stp>CL1 Comdty</stp>
        <stp>RSI_9D</stp>
        <stp>10/11/2016</stp>
        <stp>10/11/2016</stp>
        <stp>[Bbg_Market_Data_CL.xlsm]data!R103C12</stp>
        <tr r="L103" s="1"/>
      </tp>
      <tp t="s">
        <v>#N/A Requesting Data...</v>
        <stp/>
        <stp>##V3_BDHV12</stp>
        <stp>CL1 Comdty</stp>
        <stp>RSI_9D</stp>
        <stp>01/12/2015</stp>
        <stp>01/12/2015</stp>
        <stp>[Bbg_Market_Data_CL.xlsm]data!R339C12</stp>
        <tr r="L339" s="1"/>
      </tp>
      <tp t="s">
        <v>#N/A Requesting Data...</v>
        <stp/>
        <stp>##V3_BDHV12</stp>
        <stp>CL2 Comdty</stp>
        <stp>RSI_9D</stp>
        <stp>16/07/2015</stp>
        <stp>16/07/2015</stp>
        <stp>[Bbg_Market_Data_CL.xlsm]data!R433C12</stp>
        <tr r="L433" s="1"/>
      </tp>
      <tp t="s">
        <v>#N/A Requesting Data...</v>
        <stp/>
        <stp>##V3_BDHV12</stp>
        <stp>CL1 Comdty</stp>
        <stp>RSI_9D</stp>
        <stp>21/10/2015</stp>
        <stp>21/10/2015</stp>
        <stp>[Bbg_Market_Data_CL.xlsm]data!R366C12</stp>
        <tr r="L366" s="1"/>
      </tp>
      <tp t="s">
        <v>#N/A Requesting Data...</v>
        <stp/>
        <stp>##V3_BDHV12</stp>
        <stp>CL1 Comdty</stp>
        <stp>RSI_9D</stp>
        <stp>03/03/2016</stp>
        <stp>03/03/2016</stp>
        <stp>[Bbg_Market_Data_CL.xlsm]data!R277C12</stp>
        <tr r="L277" s="1"/>
      </tp>
      <tp t="s">
        <v>#N/A Requesting Data...</v>
        <stp/>
        <stp>##V3_BDHV12</stp>
        <stp>CL1 Comdty</stp>
        <stp>RSI_9D</stp>
        <stp>02/02/2016</stp>
        <stp>02/02/2016</stp>
        <stp>[Bbg_Market_Data_CL.xlsm]data!R297C12</stp>
        <tr r="L297" s="1"/>
      </tp>
      <tp t="s">
        <v>#N/A Requesting Data...</v>
        <stp/>
        <stp>##V3_BDHV12</stp>
        <stp>CL2 Comdty</stp>
        <stp>RSI_9D</stp>
        <stp>21/10/2016</stp>
        <stp>21/10/2016</stp>
        <stp>[Bbg_Market_Data_CL.xlsm]data!R117C12</stp>
        <tr r="L117" s="1"/>
      </tp>
      <tp t="s">
        <v>#N/A Requesting Data...</v>
        <stp/>
        <stp>##V3_BDHV12</stp>
        <stp>CL1 Comdty</stp>
        <stp>RSI_9D</stp>
        <stp>01/11/2016</stp>
        <stp>01/11/2016</stp>
        <stp>[Bbg_Market_Data_CL.xlsm]data!R110C12</stp>
        <tr r="L110" s="1"/>
      </tp>
      <tp t="s">
        <v>#N/A Requesting Data...</v>
        <stp/>
        <stp>##V3_BDHV12</stp>
        <stp>CL2 Comdty</stp>
        <stp>RSI_9D</stp>
        <stp>13/01/2016</stp>
        <stp>13/01/2016</stp>
        <stp>[Bbg_Market_Data_CL.xlsm]data!R310C12</stp>
        <tr r="L310" s="1"/>
      </tp>
      <tp t="s">
        <v>#N/A Requesting Data...</v>
        <stp/>
        <stp>##V3_BDHV12</stp>
        <stp>CL1 Comdty</stp>
        <stp>RSI_9D</stp>
        <stp>10/12/2015</stp>
        <stp>10/12/2015</stp>
        <stp>[Bbg_Market_Data_CL.xlsm]data!R332C12</stp>
        <tr r="L332" s="1"/>
      </tp>
      <tp t="s">
        <v>#N/A Requesting Data...</v>
        <stp/>
        <stp>##V3_BDHV12</stp>
        <stp>CL1 Comdty</stp>
        <stp>RSI_9D</stp>
        <stp>11/10/2016</stp>
        <stp>11/10/2016</stp>
        <stp>[Bbg_Market_Data_CL.xlsm]data!R125C12</stp>
        <tr r="L125" s="1"/>
      </tp>
      <tp t="s">
        <v>#N/A Requesting Data...</v>
        <stp/>
        <stp>##V3_BDHV12</stp>
        <stp>CL2 Comdty</stp>
        <stp>RSI_9D</stp>
        <stp>07/07/2015</stp>
        <stp>07/07/2015</stp>
        <stp>[Bbg_Market_Data_CL.xlsm]data!R440C12</stp>
        <tr r="L440" s="1"/>
      </tp>
      <tp t="s">
        <v>#N/A Requesting Data...</v>
        <stp/>
        <stp>##V3_BDHV12</stp>
        <stp>CL2 Comdty</stp>
        <stp>RSI_9D</stp>
        <stp>10/11/2015</stp>
        <stp>10/11/2015</stp>
        <stp>[Bbg_Market_Data_CL.xlsm]data!R352C12</stp>
        <tr r="L352" s="1"/>
      </tp>
      <tp t="s">
        <v>#N/A Requesting Data...</v>
        <stp/>
        <stp>##V3_BDHV12</stp>
        <stp>CL1 Comdty</stp>
        <stp>RSI_9D</stp>
        <stp>30/10/2015</stp>
        <stp>30/10/2015</stp>
        <stp>[Bbg_Market_Data_CL.xlsm]data!R359C12</stp>
        <tr r="L359" s="1"/>
      </tp>
      <tp t="s">
        <v>#N/A Requesting Data...</v>
        <stp/>
        <stp>##V3_BDHV12</stp>
        <stp>CL2 Comdty</stp>
        <stp>RSI_9D</stp>
        <stp>17/06/2015</stp>
        <stp>17/06/2015</stp>
        <stp>[Bbg_Market_Data_CL.xlsm]data!R453C12</stp>
        <tr r="L453" s="1"/>
      </tp>
      <tp t="s">
        <v>#N/A Requesting Data...</v>
        <stp/>
        <stp>##V3_BDHV12</stp>
        <stp>CL1 Comdty</stp>
        <stp>RSI_9D</stp>
        <stp>20/11/2015</stp>
        <stp>20/11/2015</stp>
        <stp>[Bbg_Market_Data_CL.xlsm]data!R345C12</stp>
        <tr r="L345" s="1"/>
      </tp>
      <tp t="s">
        <v>#N/A Requesting Data...</v>
        <stp/>
        <stp>##V3_BDHV12</stp>
        <stp>CL2 Comdty</stp>
        <stp>RSI_9D</stp>
        <stp>22/03/2016</stp>
        <stp>22/03/2016</stp>
        <stp>[Bbg_Market_Data_CL.xlsm]data!R264C12</stp>
        <tr r="L264" s="1"/>
      </tp>
      <tp t="s">
        <v>#N/A Requesting Data...</v>
        <stp/>
        <stp>##V3_BDHV12</stp>
        <stp>CL2 Comdty</stp>
        <stp>RSI_9D</stp>
        <stp>27/05/2015</stp>
        <stp>27/05/2015</stp>
        <stp>[Bbg_Market_Data_CL.xlsm]data!R468C12</stp>
        <tr r="L468" s="1"/>
      </tp>
      <tp t="s">
        <v>#N/A Requesting Data...</v>
        <stp/>
        <stp>##V3_BDHV12</stp>
        <stp>CL2 Comdty</stp>
        <stp>RSI_9D</stp>
        <stp>01/02/2016</stp>
        <stp>01/02/2016</stp>
        <stp>[Bbg_Market_Data_CL.xlsm]data!R298C12</stp>
        <tr r="L298" s="1"/>
      </tp>
      <tp t="s">
        <v>#N/A Requesting Data...</v>
        <stp/>
        <stp>##V3_BDHV12</stp>
        <stp>CL2 Comdty</stp>
        <stp>RSI_9D</stp>
        <stp>20/01/2016</stp>
        <stp>20/01/2016</stp>
        <stp>[Bbg_Market_Data_CL.xlsm]data!R306C12</stp>
        <tr r="L306" s="1"/>
      </tp>
      <tp t="s">
        <v>#N/A Requesting Data...</v>
        <stp/>
        <stp>##V3_BDHV12</stp>
        <stp>CL2 Comdty</stp>
        <stp>RSI_9D</stp>
        <stp>02/11/2016</stp>
        <stp>02/11/2016</stp>
        <stp>[Bbg_Market_Data_CL.xlsm]data!R109C12</stp>
        <tr r="L109" s="1"/>
      </tp>
      <tp t="s">
        <v>#N/A Requesting Data...</v>
        <stp/>
        <stp>##V3_BDHV12</stp>
        <stp>CL2 Comdty</stp>
        <stp>RSI_9D</stp>
        <stp>12/10/2016</stp>
        <stp>12/10/2016</stp>
        <stp>[Bbg_Market_Data_CL.xlsm]data!R124C12</stp>
        <tr r="L124" s="1"/>
      </tp>
      <tp t="s">
        <v>#N/A Requesting Data...</v>
        <stp/>
        <stp>##V3_BDHV12</stp>
        <stp>CL1 Comdty</stp>
        <stp>RSI_9D</stp>
        <stp>23/12/2015</stp>
        <stp>23/12/2015</stp>
        <stp>[Bbg_Market_Data_CL.xlsm]data!R323C12</stp>
        <tr r="L323" s="1"/>
      </tp>
      <tp t="s">
        <v>#N/A Requesting Data...</v>
        <stp/>
        <stp>##V3_BDHV12</stp>
        <stp>CL1 Comdty</stp>
        <stp>RSI_9D</stp>
        <stp>13/11/2015</stp>
        <stp>13/11/2015</stp>
        <stp>[Bbg_Market_Data_CL.xlsm]data!R350C12</stp>
        <tr r="L350" s="1"/>
      </tp>
      <tp t="s">
        <v>#N/A Requesting Data...</v>
        <stp/>
        <stp>##V3_BDHV12</stp>
        <stp>CL2 Comdty</stp>
        <stp>RSI_9D</stp>
        <stp>24/06/2015</stp>
        <stp>24/06/2015</stp>
        <stp>[Bbg_Market_Data_CL.xlsm]data!R448C12</stp>
        <tr r="L448" s="1"/>
      </tp>
      <tp t="s">
        <v>#N/A Requesting Data...</v>
        <stp/>
        <stp>##V3_BDHV12</stp>
        <stp>CL2 Comdty</stp>
        <stp>RSI_9D</stp>
        <stp>23/11/2015</stp>
        <stp>23/11/2015</stp>
        <stp>[Bbg_Market_Data_CL.xlsm]data!R344C12</stp>
        <tr r="L344" s="1"/>
      </tp>
      <tp t="s">
        <v>#N/A Requesting Data...</v>
        <stp/>
        <stp>##V3_BDHV12</stp>
        <stp>CL1 Comdty</stp>
        <stp>RSI_9D</stp>
        <stp>21/03/2016</stp>
        <stp>21/03/2016</stp>
        <stp>[Bbg_Market_Data_CL.xlsm]data!R265C12</stp>
        <tr r="L265" s="1"/>
      </tp>
      <tp t="s">
        <v>#N/A Requesting Data...</v>
        <stp/>
        <stp>##V3_BDHV12</stp>
        <stp>CL2 Comdty</stp>
        <stp>RSI_9D</stp>
        <stp>11/03/2016</stp>
        <stp>11/03/2016</stp>
        <stp>[Bbg_Market_Data_CL.xlsm]data!R271C12</stp>
        <tr r="L271" s="1"/>
      </tp>
      <tp t="s">
        <v>#N/A Requesting Data...</v>
        <stp/>
        <stp>##V3_BDHV12</stp>
        <stp>CL2 Comdty</stp>
        <stp>RSI_9D</stp>
        <stp>14/05/2015</stp>
        <stp>14/05/2015</stp>
        <stp>[Bbg_Market_Data_CL.xlsm]data!R476C12</stp>
        <tr r="L476" s="1"/>
      </tp>
      <tp t="s">
        <v>#N/A Requesting Data...</v>
        <stp/>
        <stp>##V3_BDHV12</stp>
        <stp>CL2 Comdty</stp>
        <stp>RSI_9D</stp>
        <stp>05/05/2015</stp>
        <stp>05/05/2015</stp>
        <stp>[Bbg_Market_Data_CL.xlsm]data!R483C12</stp>
        <tr r="L483" s="1"/>
      </tp>
      <tp t="s">
        <v>#N/A Requesting Data...</v>
        <stp/>
        <stp>##V3_BDHV12</stp>
        <stp>CL2 Comdty</stp>
        <stp>RSI_9D</stp>
        <stp>10/02/2016</stp>
        <stp>10/02/2016</stp>
        <stp>[Bbg_Market_Data_CL.xlsm]data!R291C12</stp>
        <tr r="L291" s="1"/>
      </tp>
      <tp t="s">
        <v>#N/A Requesting Data...</v>
        <stp/>
        <stp>##V3_BDHV12</stp>
        <stp>CL2 Comdty</stp>
        <stp>RSI_9D</stp>
        <stp>15/04/2015</stp>
        <stp>15/04/2015</stp>
        <stp>[Bbg_Market_Data_CL.xlsm]data!R497C12</stp>
        <tr r="L497" s="1"/>
      </tp>
      <tp t="s">
        <v>#N/A Requesting Data...</v>
        <stp/>
        <stp>##V3_BDHV12</stp>
        <stp>CL2 Comdty</stp>
        <stp>RSI_9D</stp>
        <stp>03/10/2016</stp>
        <stp>03/10/2016</stp>
        <stp>[Bbg_Market_Data_CL.xlsm]data!R130C12</stp>
        <tr r="L130" s="1"/>
      </tp>
      <tp t="s">
        <v>#N/A Requesting Data...</v>
        <stp/>
        <stp>##V3_BDHV12</stp>
        <stp>CL2 Comdty</stp>
        <stp>RSI_9D</stp>
        <stp>02/12/2015</stp>
        <stp>02/12/2015</stp>
        <stp>[Bbg_Market_Data_CL.xlsm]data!R338C12</stp>
        <tr r="L338" s="1"/>
      </tp>
      <tp t="s">
        <v>#N/A Requesting Data...</v>
        <stp/>
        <stp>##V3_BDHV12</stp>
        <stp>CL1 Comdty</stp>
        <stp>RSI_9D</stp>
        <stp>15/07/2015</stp>
        <stp>15/07/2015</stp>
        <stp>[Bbg_Market_Data_CL.xlsm]data!R434C12</stp>
        <tr r="L434" s="1"/>
      </tp>
      <tp t="s">
        <v>#N/A Requesting Data...</v>
        <stp/>
        <stp>##V3_BDHV12</stp>
        <stp>CL1 Comdty</stp>
        <stp>RSI_9D</stp>
        <stp>02/11/2015</stp>
        <stp>02/11/2015</stp>
        <stp>[Bbg_Market_Data_CL.xlsm]data!R358C12</stp>
        <tr r="L358" s="1"/>
      </tp>
      <tp t="s">
        <v>#N/A Requesting Data...</v>
        <stp/>
        <stp>##V3_BDHV12</stp>
        <stp>CL1 Comdty</stp>
        <stp>RSI_9D</stp>
        <stp>30/03/2016</stp>
        <stp>30/03/2016</stp>
        <stp>[Bbg_Market_Data_CL.xlsm]data!R259C12</stp>
        <tr r="L259" s="1"/>
      </tp>
      <tp t="s">
        <v>#N/A Requesting Data...</v>
        <stp/>
        <stp>##V3_BDHV12</stp>
        <stp>CL1 Comdty</stp>
        <stp>RSI_9D</stp>
        <stp>05/06/2015</stp>
        <stp>05/06/2015</stp>
        <stp>[Bbg_Market_Data_CL.xlsm]data!R461C12</stp>
        <tr r="L461" s="1"/>
      </tp>
      <tp t="s">
        <v>#N/A Requesting Data...</v>
        <stp/>
        <stp>##V3_BDHV12</stp>
        <stp>CL2 Comdty</stp>
        <stp>RSI_9D</stp>
        <stp>22/10/2015</stp>
        <stp>22/10/2015</stp>
        <stp>[Bbg_Market_Data_CL.xlsm]data!R365C12</stp>
        <tr r="L365" s="1"/>
      </tp>
      <tp t="s">
        <v>#N/A Requesting Data...</v>
        <stp/>
        <stp>##V3_BDHV12</stp>
        <stp>CL1 Comdty</stp>
        <stp>RSI_9D</stp>
        <stp>24/06/2016</stp>
        <stp>24/06/2016</stp>
        <stp>[Bbg_Market_Data_CL.xlsm]data!R198C12</stp>
        <tr r="L198" s="1"/>
      </tp>
      <tp t="s">
        <v>#N/A Requesting Data...</v>
        <stp/>
        <stp>##V3_BDHV12</stp>
        <stp>CL1 Comdty</stp>
        <stp>RSI_9D</stp>
        <stp>17/06/2016</stp>
        <stp>17/06/2016</stp>
        <stp>[Bbg_Market_Data_CL.xlsm]data!R203C12</stp>
        <tr r="L203" s="1"/>
      </tp>
      <tp t="s">
        <v>#N/A Requesting Data...</v>
        <stp/>
        <stp>##V3_BDHV12</stp>
        <stp>CL1 Comdty</stp>
        <stp>RSI_9D</stp>
        <stp>27/05/2016</stp>
        <stp>27/05/2016</stp>
        <stp>[Bbg_Market_Data_CL.xlsm]data!R217C12</stp>
        <tr r="L217" s="1"/>
      </tp>
      <tp t="s">
        <v>#N/A Requesting Data...</v>
        <stp/>
        <stp>##V3_BDHV12</stp>
        <stp>CL2 Comdty</stp>
        <stp>RSI_9D</stp>
        <stp>17/05/2016</stp>
        <stp>17/05/2016</stp>
        <stp>[Bbg_Market_Data_CL.xlsm]data!R225C12</stp>
        <tr r="L225" s="1"/>
      </tp>
      <tp t="s">
        <v>#N/A Requesting Data...</v>
        <stp/>
        <stp>##V3_BDHV12</stp>
        <stp>CL2 Comdty</stp>
        <stp>RSI_9D</stp>
        <stp>07/04/2016</stp>
        <stp>07/04/2016</stp>
        <stp>[Bbg_Market_Data_CL.xlsm]data!R253C12</stp>
        <tr r="L253" s="1"/>
      </tp>
      <tp t="s">
        <v>#N/A Requesting Data...</v>
        <stp/>
        <stp>##V3_BDHV12</stp>
        <stp>CL2 Comdty</stp>
        <stp>RSI_9D</stp>
        <stp>15/07/2016</stp>
        <stp>15/07/2016</stp>
        <stp>[Bbg_Market_Data_CL.xlsm]data!R184C12</stp>
        <tr r="L184" s="1"/>
      </tp>
      <tp t="s">
        <v>#N/A Requesting Data...</v>
        <stp/>
        <stp>##V3_BDHV12</stp>
        <stp>CL1 Comdty</stp>
        <stp>RSI_9D</stp>
        <stp>06/06/2016</stp>
        <stp>06/06/2016</stp>
        <stp>[Bbg_Market_Data_CL.xlsm]data!R212C12</stp>
        <tr r="L212" s="1"/>
      </tp>
      <tp t="s">
        <v>#N/A Requesting Data...</v>
        <stp/>
        <stp>##V3_BDHV12</stp>
        <stp>CL2 Comdty</stp>
        <stp>RSI_9D</stp>
        <stp>06/05/2016</stp>
        <stp>06/05/2016</stp>
        <stp>[Bbg_Market_Data_CL.xlsm]data!R232C12</stp>
        <tr r="L232" s="1"/>
      </tp>
      <tp t="s">
        <v>#N/A Requesting Data...</v>
        <stp/>
        <stp>##V3_BDHV12</stp>
        <stp>CL1 Comdty</stp>
        <stp>RSI_9D</stp>
        <stp>26/04/2016</stp>
        <stp>26/04/2016</stp>
        <stp>[Bbg_Market_Data_CL.xlsm]data!R240C12</stp>
        <tr r="L240" s="1"/>
      </tp>
      <tp t="s">
        <v>#N/A Requesting Data...</v>
        <stp/>
        <stp>##V3_BDHV12</stp>
        <stp>CL1 Comdty</stp>
        <stp>RSI_9D</stp>
        <stp>25/07/2016</stp>
        <stp>25/07/2016</stp>
        <stp>[Bbg_Market_Data_CL.xlsm]data!R178C12</stp>
        <tr r="L178" s="1"/>
      </tp>
      <tp t="s">
        <v>#N/A Requesting Data...</v>
        <stp/>
        <stp>##V3_BDHV12</stp>
        <stp>CL1 Comdty</stp>
        <stp>RSI_9D</stp>
        <stp>05/05/2016</stp>
        <stp>05/05/2016</stp>
        <stp>[Bbg_Market_Data_CL.xlsm]data!R233C12</stp>
        <tr r="L233" s="1"/>
      </tp>
      <tp t="s">
        <v>#N/A Requesting Data...</v>
        <stp/>
        <stp>##V3_BDHV12</stp>
        <stp>CL2 Comdty</stp>
        <stp>RSI_9D</stp>
        <stp>25/04/2016</stp>
        <stp>25/04/2016</stp>
        <stp>[Bbg_Market_Data_CL.xlsm]data!R241C12</stp>
        <tr r="L241" s="1"/>
      </tp>
      <tp t="s">
        <v>#N/A Requesting Data...</v>
        <stp/>
        <stp>##V3_BDHV12</stp>
        <stp>CL1 Comdty</stp>
        <stp>RSI_9D</stp>
        <stp>15/04/2016</stp>
        <stp>15/04/2016</stp>
        <stp>[Bbg_Market_Data_CL.xlsm]data!R247C12</stp>
        <tr r="L247" s="1"/>
      </tp>
      <tp t="s">
        <v>#N/A Requesting Data...</v>
        <stp/>
        <stp>##V3_BDHV12</stp>
        <stp>CL2 Comdty</stp>
        <stp>RSI_9D</stp>
        <stp>26/07/2016</stp>
        <stp>26/07/2016</stp>
        <stp>[Bbg_Market_Data_CL.xlsm]data!R177C12</stp>
        <tr r="L177" s="1"/>
      </tp>
      <tp t="s">
        <v>#N/A Requesting Data...</v>
        <stp/>
        <stp>##V3_BDHV12</stp>
        <stp>CL1 Comdty</stp>
        <stp>RSI_9D</stp>
        <stp>07/07/2016</stp>
        <stp>07/07/2016</stp>
        <stp>[Bbg_Market_Data_CL.xlsm]data!R190C12</stp>
        <tr r="L190" s="1"/>
      </tp>
      <tp t="s">
        <v>#N/A Requesting Data...</v>
        <stp/>
        <stp>##V3_BDHV12</stp>
        <stp>CL2 Comdty</stp>
        <stp>RSI_9D</stp>
        <stp>27/06/2016</stp>
        <stp>27/06/2016</stp>
        <stp>[Bbg_Market_Data_CL.xlsm]data!R197C12</stp>
        <tr r="L197" s="1"/>
      </tp>
      <tp t="s">
        <v>#N/A Requesting Data...</v>
        <stp/>
        <stp>##V3_BDHV12</stp>
        <stp>CL2 Comdty</stp>
        <stp>RSI_9D</stp>
        <stp>14/06/2016</stp>
        <stp>14/06/2016</stp>
        <stp>[Bbg_Market_Data_CL.xlsm]data!R206C12</stp>
        <tr r="L206" s="1"/>
      </tp>
      <tp t="s">
        <v>#N/A Requesting Data...</v>
        <stp/>
        <stp>##V3_BDHV12</stp>
        <stp>CL2 Comdty</stp>
        <stp>RSI_9D</stp>
        <stp>24/05/2016</stp>
        <stp>24/05/2016</stp>
        <stp>[Bbg_Market_Data_CL.xlsm]data!R220C12</stp>
        <tr r="L220" s="1"/>
      </tp>
      <tp t="s">
        <v>#N/A Requesting Data...</v>
        <stp/>
        <stp>##V3_BDHV12</stp>
        <stp>CL1 Comdty</stp>
        <stp>RSI_9D</stp>
        <stp>04/04/2016</stp>
        <stp>04/04/2016</stp>
        <stp>[Bbg_Market_Data_CL.xlsm]data!R256C12</stp>
        <tr r="L256" s="1"/>
      </tp>
      <tp t="s">
        <v>#N/A Requesting Data...</v>
        <stp/>
        <stp>##V3_BDHV12</stp>
        <stp>CL2 Comdty</stp>
        <stp>RSI_9D</stp>
        <stp>09/09/2015</stp>
        <stp>09/09/2015</stp>
        <stp>[Bbg_Market_Data_CL.xlsm]data!R395C12</stp>
        <tr r="L395" s="1"/>
      </tp>
      <tp t="s">
        <v>#N/A Requesting Data...</v>
        <stp/>
        <stp>##V3_BDHV12</stp>
        <stp>CL2 Comdty</stp>
        <stp>RSI_9D</stp>
        <stp>28/09/2016</stp>
        <stp>28/09/2016</stp>
        <stp>[Bbg_Market_Data_CL.xlsm]data!R133C12</stp>
        <tr r="L133" s="1"/>
      </tp>
      <tp t="s">
        <v>#N/A Requesting Data...</v>
        <stp/>
        <stp>##V3_BDHV12</stp>
        <stp>CL2 Comdty</stp>
        <stp>RSI_9D</stp>
        <stp>18/09/2015</stp>
        <stp>18/09/2015</stp>
        <stp>[Bbg_Market_Data_CL.xlsm]data!R388C12</stp>
        <tr r="L388" s="1"/>
      </tp>
      <tp t="s">
        <v>#N/A Requesting Data...</v>
        <stp/>
        <stp>##V3_BDHV12</stp>
        <stp>CL1 Comdty</stp>
        <stp>RSI_9D</stp>
        <stp>28/09/2015</stp>
        <stp>28/09/2015</stp>
        <stp>[Bbg_Market_Data_CL.xlsm]data!R382C12</stp>
        <tr r="L382" s="1"/>
      </tp>
      <tp t="s">
        <v>#N/A Requesting Data...</v>
        <stp/>
        <stp>##V3_BDHV12</stp>
        <stp>CL1 Comdty</stp>
        <stp>RSI_9D</stp>
        <stp>09/09/2016</stp>
        <stp>09/09/2016</stp>
        <stp>[Bbg_Market_Data_CL.xlsm]data!R146C12</stp>
        <tr r="L146" s="1"/>
      </tp>
      <tp t="s">
        <v>#N/A Requesting Data...</v>
        <stp/>
        <stp>##V3_BDHV12</stp>
        <stp>CL2 Comdty</stp>
        <stp>RSI_9D</stp>
        <stp>29/08/2016</stp>
        <stp>29/08/2016</stp>
        <stp>[Bbg_Market_Data_CL.xlsm]data!R154C12</stp>
        <tr r="L154" s="1"/>
      </tp>
      <tp t="s">
        <v>#N/A Requesting Data...</v>
        <stp/>
        <stp>##V3_BDHV12</stp>
        <stp>CL1 Comdty</stp>
        <stp>RSI_9D</stp>
        <stp>19/08/2016</stp>
        <stp>19/08/2016</stp>
        <stp>[Bbg_Market_Data_CL.xlsm]data!R160C12</stp>
        <tr r="L160" s="1"/>
      </tp>
      <tp t="s">
        <v>#N/A Requesting Data...</v>
        <stp/>
        <stp>##V3_BDHV12</stp>
        <stp>CL2 Comdty</stp>
        <stp>RSI_9D</stp>
        <stp>19/08/2015</stp>
        <stp>19/08/2015</stp>
        <stp>[Bbg_Market_Data_CL.xlsm]data!R409C12</stp>
        <tr r="L409" s="1"/>
      </tp>
      <tp t="s">
        <v>#N/A Requesting Data...</v>
        <stp/>
        <stp>##V3_BDHV12</stp>
        <stp>CL1 Comdty</stp>
        <stp>30DAY_IMPVOL_100.0%MNY_DF</stp>
        <stp>12/08/2016</stp>
        <stp>12/08/2016</stp>
        <stp>[Bbg_Market_Data_CL.xlsm]data!R164C20</stp>
        <tr r="T164" s="1"/>
      </tp>
      <tp t="s">
        <v>#N/A Requesting Data...</v>
        <stp/>
        <stp>##V3_BDHV12</stp>
        <stp>CL1 Comdty</stp>
        <stp>30DAY_IMPVOL_110.0%MNY_DF</stp>
        <stp>12/09/2016</stp>
        <stp>12/09/2016</stp>
        <stp>[Bbg_Market_Data_CL.xlsm]data!R144C22</stp>
        <tr r="V144" s="1"/>
      </tp>
      <tp t="s">
        <v>#N/A Requesting Data...</v>
        <stp/>
        <stp>##V3_BDHV12</stp>
        <stp>CL1 Comdty</stp>
        <stp>30DAY_IMPVOL_100.0%MNY_DF</stp>
        <stp>02/09/2016</stp>
        <stp>02/09/2016</stp>
        <stp>[Bbg_Market_Data_CL.xlsm]data!R149C20</stp>
        <tr r="T149" s="1"/>
      </tp>
      <tp t="s">
        <v>#N/A Requesting Data...</v>
        <stp/>
        <stp>##V3_BDHV12</stp>
        <stp>CL1 Comdty</stp>
        <stp>30DAY_IMPVOL_110.0%MNY_DF</stp>
        <stp>02/08/2016</stp>
        <stp>02/08/2016</stp>
        <stp>[Bbg_Market_Data_CL.xlsm]data!R171C22</stp>
        <tr r="V171" s="1"/>
      </tp>
      <tp t="s">
        <v>#N/A Requesting Data...</v>
        <stp/>
        <stp>##V3_BDHV12</stp>
        <stp>CL1 Comdty</stp>
        <stp>30DAY_IMPVOL_100.0%MNY_DF</stp>
        <stp>23/09/2015</stp>
        <stp>23/09/2015</stp>
        <stp>[Bbg_Market_Data_CL.xlsm]data!R384C20</stp>
        <tr r="T384" s="1"/>
      </tp>
      <tp t="s">
        <v>#N/A Requesting Data...</v>
        <stp/>
        <stp>##V3_BDHV12</stp>
        <stp>CL1 Comdty</stp>
        <stp>30DAY_IMPVOL_100.0%MNY_DF</stp>
        <stp>03/08/2016</stp>
        <stp>03/08/2016</stp>
        <stp>[Bbg_Market_Data_CL.xlsm]data!R170C20</stp>
        <tr r="T170" s="1"/>
      </tp>
      <tp t="s">
        <v>#N/A Requesting Data...</v>
        <stp/>
        <stp>##V3_BDHV12</stp>
        <stp>CL1 Comdty</stp>
        <stp>30DAY_IMPVOL_100.0%MNY_DF</stp>
        <stp>13/09/2016</stp>
        <stp>13/09/2016</stp>
        <stp>[Bbg_Market_Data_CL.xlsm]data!R143C20</stp>
        <tr r="T143" s="1"/>
      </tp>
      <tp t="s">
        <v>#N/A Requesting Data...</v>
        <stp/>
        <stp>##V3_BDHV12</stp>
        <stp>CL1 Comdty</stp>
        <stp>30DAY_IMPVOL_110.0%MNY_DF</stp>
        <stp>22/09/2015</stp>
        <stp>22/09/2015</stp>
        <stp>[Bbg_Market_Data_CL.xlsm]data!R385C22</stp>
        <tr r="V385" s="1"/>
      </tp>
      <tp t="s">
        <v>#N/A Requesting Data...</v>
        <stp/>
        <stp>##V3_BDHV12</stp>
        <stp>CL1 Comdty</stp>
        <stp>30DAY_IMPVOL_100.0%MNY_DF</stp>
        <stp>20/09/2016</stp>
        <stp>20/09/2016</stp>
        <stp>[Bbg_Market_Data_CL.xlsm]data!R138C20</stp>
        <tr r="T138" s="1"/>
      </tp>
      <tp t="s">
        <v>#N/A Requesting Data...</v>
        <stp/>
        <stp>##V3_BDHV12</stp>
        <stp>CL1 Comdty</stp>
        <stp>30DAY_IMPVOL_110.0%MNY_DF</stp>
        <stp>30/09/2016</stp>
        <stp>30/09/2016</stp>
        <stp>[Bbg_Market_Data_CL.xlsm]data!R130C22</stp>
        <tr r="V130" s="1"/>
      </tp>
      <tp t="s">
        <v>#N/A Requesting Data...</v>
        <stp/>
        <stp>##V3_BDHV12</stp>
        <stp>CL1 Comdty</stp>
        <stp>30DAY_IMPVOL_100.0%MNY_DF</stp>
        <stp>30/08/2016</stp>
        <stp>30/08/2016</stp>
        <stp>[Bbg_Market_Data_CL.xlsm]data!R152C20</stp>
        <tr r="T152" s="1"/>
      </tp>
      <tp t="s">
        <v>#N/A Requesting Data...</v>
        <stp/>
        <stp>##V3_BDHV12</stp>
        <stp>CL1 Comdty</stp>
        <stp>30DAY_IMPVOL_110.0%MNY_DF</stp>
        <stp>11/09/2015</stp>
        <stp>11/09/2015</stp>
        <stp>[Bbg_Market_Data_CL.xlsm]data!R392C22</stp>
        <tr r="V392" s="1"/>
      </tp>
      <tp t="s">
        <v>#N/A Requesting Data...</v>
        <stp/>
        <stp>##V3_BDHV12</stp>
        <stp>CL1 Comdty</stp>
        <stp>30DAY_IMPVOL_100.0%MNY_DF</stp>
        <stp>01/09/2015</stp>
        <stp>01/09/2015</stp>
        <stp>[Bbg_Market_Data_CL.xlsm]data!R399C20</stp>
        <tr r="T399" s="1"/>
      </tp>
      <tp t="s">
        <v>#N/A Requesting Data...</v>
        <stp/>
        <stp>##V3_BDHV12</stp>
        <stp>CL1 Comdty</stp>
        <stp>30DAY_IMPVOL_110.0%MNY_DF</stp>
        <stp>21/09/2016</stp>
        <stp>21/09/2016</stp>
        <stp>[Bbg_Market_Data_CL.xlsm]data!R137C22</stp>
        <tr r="V137" s="1"/>
      </tp>
      <tp t="s">
        <v>#N/A Requesting Data...</v>
        <stp/>
        <stp>##V3_BDHV12</stp>
        <stp>CL1 Comdty</stp>
        <stp>30DAY_IMPVOL_110.0%MNY_DF</stp>
        <stp>31/08/2016</stp>
        <stp>31/08/2016</stp>
        <stp>[Bbg_Market_Data_CL.xlsm]data!R151C22</stp>
        <tr r="V151" s="1"/>
      </tp>
      <tp t="s">
        <v>#N/A Requesting Data...</v>
        <stp/>
        <stp>##V3_BDHV12</stp>
        <stp>CL1 Comdty</stp>
        <stp>30DAY_IMPVOL_105.0%MNY_DF</stp>
        <stp>11/08/2015</stp>
        <stp>11/08/2015</stp>
        <stp>[Bbg_Market_Data_CL.xlsm]data!R414C19</stp>
        <tr r="S414" s="1"/>
      </tp>
      <tp t="s">
        <v>#N/A Requesting Data...</v>
        <stp/>
        <stp>##V3_BDHV12</stp>
        <stp>CL1 Comdty</stp>
        <stp>30DAY_IMPVOL_100.0%MNY_DF</stp>
        <stp>10/09/2015</stp>
        <stp>10/09/2015</stp>
        <stp>[Bbg_Market_Data_CL.xlsm]data!R393C20</stp>
        <tr r="T393" s="1"/>
      </tp>
      <tp t="s">
        <v>#N/A Requesting Data...</v>
        <stp/>
        <stp>##V3_BDHV12</stp>
        <stp>CL1 Comdty</stp>
        <stp>30DAY_IMPVOL_110.0%MNY_DF</stp>
        <stp>10/08/2015</stp>
        <stp>10/08/2015</stp>
        <stp>[Bbg_Market_Data_CL.xlsm]data!R415C22</stp>
        <tr r="V415" s="1"/>
      </tp>
      <tp t="s">
        <v>#N/A Requesting Data...</v>
        <stp/>
        <stp>##V3_BDHV12</stp>
        <stp>CL1 Comdty</stp>
        <stp>30DAY_IMPVOL_105.0%MNY_DF</stp>
        <stp>01/09/2015</stp>
        <stp>01/09/2015</stp>
        <stp>[Bbg_Market_Data_CL.xlsm]data!R399C19</stp>
        <tr r="S399" s="1"/>
      </tp>
      <tp t="s">
        <v>#N/A Requesting Data...</v>
        <stp/>
        <stp>##V3_BDHV12</stp>
        <stp>CL1 Comdty</stp>
        <stp>30DAY_IMPVOL_105.0%MNY_DF</stp>
        <stp>20/09/2016</stp>
        <stp>20/09/2016</stp>
        <stp>[Bbg_Market_Data_CL.xlsm]data!R138C19</stp>
        <tr r="S138" s="1"/>
      </tp>
      <tp t="s">
        <v>#N/A Requesting Data...</v>
        <stp/>
        <stp>##V3_BDHV12</stp>
        <stp>CL1 Comdty</stp>
        <stp>30DAY_IMPVOL_105.0%MNY_DF</stp>
        <stp>30/08/2016</stp>
        <stp>30/08/2016</stp>
        <stp>[Bbg_Market_Data_CL.xlsm]data!R152C19</stp>
        <tr r="S152" s="1"/>
      </tp>
      <tp t="s">
        <v>#N/A Requesting Data...</v>
        <stp/>
        <stp>##V3_BDHV12</stp>
        <stp>CL1 Comdty</stp>
        <stp>30DAY_IMPVOL_105.0%MNY_DF</stp>
        <stp>10/09/2015</stp>
        <stp>10/09/2015</stp>
        <stp>[Bbg_Market_Data_CL.xlsm]data!R393C19</stp>
        <tr r="S393" s="1"/>
      </tp>
      <tp t="s">
        <v>#N/A Requesting Data...</v>
        <stp/>
        <stp>##V3_BDHV12</stp>
        <stp>CL1 Comdty</stp>
        <stp>30DAY_IMPVOL_100.0%MNY_DF</stp>
        <stp>11/08/2015</stp>
        <stp>11/08/2015</stp>
        <stp>[Bbg_Market_Data_CL.xlsm]data!R414C20</stp>
        <tr r="T414" s="1"/>
      </tp>
      <tp t="s">
        <v>#N/A Requesting Data...</v>
        <stp/>
        <stp>##V3_BDHV12</stp>
        <stp>CL1 Comdty</stp>
        <stp>30DAY_IMPVOL_105.0%MNY_DF</stp>
        <stp>23/09/2015</stp>
        <stp>23/09/2015</stp>
        <stp>[Bbg_Market_Data_CL.xlsm]data!R384C19</stp>
        <tr r="S384" s="1"/>
      </tp>
      <tp t="s">
        <v>#N/A Requesting Data...</v>
        <stp/>
        <stp>##V3_BDHV12</stp>
        <stp>CL1 Comdty</stp>
        <stp>30DAY_IMPVOL_105.0%MNY_DF</stp>
        <stp>12/08/2016</stp>
        <stp>12/08/2016</stp>
        <stp>[Bbg_Market_Data_CL.xlsm]data!R164C19</stp>
        <tr r="S164" s="1"/>
      </tp>
      <tp t="s">
        <v>#N/A Requesting Data...</v>
        <stp/>
        <stp>##V3_BDHV12</stp>
        <stp>CL1 Comdty</stp>
        <stp>30DAY_IMPVOL_105.0%MNY_DF</stp>
        <stp>02/09/2016</stp>
        <stp>02/09/2016</stp>
        <stp>[Bbg_Market_Data_CL.xlsm]data!R149C19</stp>
        <tr r="S149" s="1"/>
      </tp>
      <tp t="s">
        <v>#N/A Requesting Data...</v>
        <stp/>
        <stp>##V3_BDHV12</stp>
        <stp>CL1 Comdty</stp>
        <stp>30DAY_IMPVOL_105.0%MNY_DF</stp>
        <stp>03/08/2016</stp>
        <stp>03/08/2016</stp>
        <stp>[Bbg_Market_Data_CL.xlsm]data!R170C19</stp>
        <tr r="S170" s="1"/>
      </tp>
      <tp t="s">
        <v>#N/A Requesting Data...</v>
        <stp/>
        <stp>##V3_BDHV12</stp>
        <stp>CL1 Comdty</stp>
        <stp>30DAY_IMPVOL_105.0%MNY_DF</stp>
        <stp>13/09/2016</stp>
        <stp>13/09/2016</stp>
        <stp>[Bbg_Market_Data_CL.xlsm]data!R143C19</stp>
        <tr r="S143" s="1"/>
      </tp>
      <tp t="s">
        <v>#N/A Requesting Data...</v>
        <stp/>
        <stp>##V3_BDHV12</stp>
        <stp>CL1 Comdty</stp>
        <stp>30DAY_IMPVOL_110.0%MNY_DF</stp>
        <stp>09/03/2016</stp>
        <stp>09/03/2016</stp>
        <stp>[Bbg_Market_Data_CL.xlsm]data!R272C22</stp>
        <tr r="V272" s="1"/>
      </tp>
      <tp t="s">
        <v>#N/A Requesting Data...</v>
        <stp/>
        <stp>##V3_BDHV12</stp>
        <stp>CL1 Comdty</stp>
        <stp>30DAY_IMPVOL_110.0%MNY_DF</stp>
        <stp>19/02/2016</stp>
        <stp>19/02/2016</stp>
        <stp>[Bbg_Market_Data_CL.xlsm]data!R285C22</stp>
        <tr r="V285" s="1"/>
      </tp>
      <tp t="s">
        <v>#N/A Requesting Data...</v>
        <stp/>
        <stp>##V3_BDHV12</stp>
        <stp>CL1 Comdty</stp>
        <stp>30DAY_IMPVOL_110.0%MNY_DF</stp>
        <stp>29/01/2016</stp>
        <stp>29/01/2016</stp>
        <stp>[Bbg_Market_Data_CL.xlsm]data!R298C22</stp>
        <tr r="V298" s="1"/>
      </tp>
      <tp t="s">
        <v>#N/A Requesting Data...</v>
        <stp/>
        <stp>##V3_BDHV12</stp>
        <stp>CL1 Comdty</stp>
        <stp>30DAY_IMPVOL_100.0%MNY_DF</stp>
        <stp>09/02/2016</stp>
        <stp>09/02/2016</stp>
        <stp>[Bbg_Market_Data_CL.xlsm]data!R291C20</stp>
        <tr r="T291" s="1"/>
      </tp>
      <tp t="s">
        <v>#N/A Requesting Data...</v>
        <stp/>
        <stp>##V3_BDHV12</stp>
        <stp>CL1 Comdty</stp>
        <stp>30DAY_IMPVOL_100.0%MNY_DF</stp>
        <stp>08/03/2016</stp>
        <stp>08/03/2016</stp>
        <stp>[Bbg_Market_Data_CL.xlsm]data!R273C20</stp>
        <tr r="T273" s="1"/>
      </tp>
      <tp t="s">
        <v>#N/A Requesting Data...</v>
        <stp/>
        <stp>##V3_BDHV12</stp>
        <stp>CL1 Comdty</stp>
        <stp>30DAY_IMPVOL_110.0%MNY_DF</stp>
        <stp>18/03/2016</stp>
        <stp>18/03/2016</stp>
        <stp>[Bbg_Market_Data_CL.xlsm]data!R265C22</stp>
        <tr r="V265" s="1"/>
      </tp>
      <tp t="s">
        <v>#N/A Requesting Data...</v>
        <stp/>
        <stp>##V3_BDHV12</stp>
        <stp>CL1 Comdty</stp>
        <stp>30DAY_IMPVOL_110.0%MNY_DF</stp>
        <stp>08/02/2016</stp>
        <stp>08/02/2016</stp>
        <stp>[Bbg_Market_Data_CL.xlsm]data!R292C22</stp>
        <tr r="V292" s="1"/>
      </tp>
      <tp t="s">
        <v>#N/A Requesting Data...</v>
        <stp/>
        <stp>##V3_BDHV12</stp>
        <stp>CL1 Comdty</stp>
        <stp>30DAY_IMPVOL_100.0%MNY_DF</stp>
        <stp>18/02/2016</stp>
        <stp>18/02/2016</stp>
        <stp>[Bbg_Market_Data_CL.xlsm]data!R286C20</stp>
        <tr r="T286" s="1"/>
      </tp>
      <tp t="s">
        <v>#N/A Requesting Data...</v>
        <stp/>
        <stp>##V3_BDHV12</stp>
        <stp>CL1 Comdty</stp>
        <stp>30DAY_IMPVOL_100.0%MNY_DF</stp>
        <stp>28/01/2016</stp>
        <stp>28/01/2016</stp>
        <stp>[Bbg_Market_Data_CL.xlsm]data!R299C20</stp>
        <tr r="T299" s="1"/>
      </tp>
      <tp t="s">
        <v>#N/A Requesting Data...</v>
        <stp/>
        <stp>##V3_BDHV12</stp>
        <stp>CL1 Comdty</stp>
        <stp>30DAY_IMPVOL_110.0%MNY_DF</stp>
        <stp>28/10/2016</stp>
        <stp>28/10/2016</stp>
        <stp>[Bbg_Market_Data_CL.xlsm]data!R111C22</stp>
        <tr r="V111" s="1"/>
      </tp>
      <tp t="s">
        <v>#N/A Requesting Data...</v>
        <stp/>
        <stp>##V3_BDHV12</stp>
        <stp>CL1 Comdty</stp>
        <stp>30DAY_IMPVOL_110.0%MNY_DF</stp>
        <stp>29/12/2015</stp>
        <stp>29/12/2015</stp>
        <stp>[Bbg_Market_Data_CL.xlsm]data!R319C22</stp>
        <tr r="V319" s="1"/>
      </tp>
      <tp t="s">
        <v>#N/A Requesting Data...</v>
        <stp/>
        <stp>##V3_BDHV12</stp>
        <stp>CL1 Comdty</stp>
        <stp>30DAY_IMPVOL_110.0%MNY_DF</stp>
        <stp>19/11/2015</stp>
        <stp>19/11/2015</stp>
        <stp>[Bbg_Market_Data_CL.xlsm]data!R345C22</stp>
        <tr r="V345" s="1"/>
      </tp>
      <tp t="s">
        <v>#N/A Requesting Data...</v>
        <stp/>
        <stp>##V3_BDHV12</stp>
        <stp>CL1 Comdty</stp>
        <stp>30DAY_IMPVOL_100.0%MNY_DF</stp>
        <stp>19/10/2015</stp>
        <stp>19/10/2015</stp>
        <stp>[Bbg_Market_Data_CL.xlsm]data!R367C20</stp>
        <tr r="T367" s="1"/>
      </tp>
      <tp t="s">
        <v>#N/A Requesting Data...</v>
        <stp/>
        <stp>##V3_BDHV12</stp>
        <stp>CL1 Comdty</stp>
        <stp>30DAY_IMPVOL_110.0%MNY_DF</stp>
        <stp>09/10/2015</stp>
        <stp>09/10/2015</stp>
        <stp>[Bbg_Market_Data_CL.xlsm]data!R372C22</stp>
        <tr r="V372" s="1"/>
      </tp>
      <tp t="s">
        <v>#N/A Requesting Data...</v>
        <stp/>
        <stp>##V3_BDHV12</stp>
        <stp>CL1 Comdty</stp>
        <stp>30DAY_IMPVOL_100.0%MNY_DF</stp>
        <stp>09/11/2015</stp>
        <stp>09/11/2015</stp>
        <stp>[Bbg_Market_Data_CL.xlsm]data!R352C20</stp>
        <tr r="T352" s="1"/>
      </tp>
      <tp t="s">
        <v>#N/A Requesting Data...</v>
        <stp/>
        <stp>##V3_BDHV12</stp>
        <stp>CL1 Comdty</stp>
        <stp>30DAY_IMPVOL_100.0%MNY_DF</stp>
        <stp>28/12/2015</stp>
        <stp>28/12/2015</stp>
        <stp>[Bbg_Market_Data_CL.xlsm]data!R320C20</stp>
        <tr r="T320" s="1"/>
      </tp>
      <tp t="s">
        <v>#N/A Requesting Data...</v>
        <stp/>
        <stp>##V3_BDHV12</stp>
        <stp>CL1 Comdty</stp>
        <stp>30DAY_IMPVOL_100.0%MNY_DF</stp>
        <stp>08/10/2015</stp>
        <stp>08/10/2015</stp>
        <stp>[Bbg_Market_Data_CL.xlsm]data!R373C20</stp>
        <tr r="T373" s="1"/>
      </tp>
      <tp t="s">
        <v>#N/A Requesting Data...</v>
        <stp/>
        <stp>##V3_BDHV12</stp>
        <stp>CL1 Comdty</stp>
        <stp>30DAY_IMPVOL_100.0%MNY_DF</stp>
        <stp>18/11/2015</stp>
        <stp>18/11/2015</stp>
        <stp>[Bbg_Market_Data_CL.xlsm]data!R346C20</stp>
        <tr r="T346" s="1"/>
      </tp>
      <tp t="s">
        <v>#N/A Requesting Data...</v>
        <stp/>
        <stp>##V3_BDHV12</stp>
        <stp>CL1 Comdty</stp>
        <stp>30DAY_IMPVOL_105.0%MNY_DF</stp>
        <stp>19/10/2015</stp>
        <stp>19/10/2015</stp>
        <stp>[Bbg_Market_Data_CL.xlsm]data!R367C19</stp>
        <tr r="S367" s="1"/>
      </tp>
      <tp t="s">
        <v>#N/A Requesting Data...</v>
        <stp/>
        <stp>##V3_BDHV12</stp>
        <stp>CL1 Comdty</stp>
        <stp>30DAY_IMPVOL_105.0%MNY_DF</stp>
        <stp>09/11/2015</stp>
        <stp>09/11/2015</stp>
        <stp>[Bbg_Market_Data_CL.xlsm]data!R352C19</stp>
        <tr r="S352" s="1"/>
      </tp>
      <tp t="s">
        <v>#N/A Requesting Data...</v>
        <stp/>
        <stp>##V3_BDHV12</stp>
        <stp>CL1 Comdty</stp>
        <stp>30DAY_IMPVOL_105.0%MNY_DF</stp>
        <stp>28/12/2015</stp>
        <stp>28/12/2015</stp>
        <stp>[Bbg_Market_Data_CL.xlsm]data!R320C19</stp>
        <tr r="S320" s="1"/>
      </tp>
      <tp t="s">
        <v>#N/A Requesting Data...</v>
        <stp/>
        <stp>##V3_BDHV12</stp>
        <stp>CL1 Comdty</stp>
        <stp>30DAY_IMPVOL_105.0%MNY_DF</stp>
        <stp>08/10/2015</stp>
        <stp>08/10/2015</stp>
        <stp>[Bbg_Market_Data_CL.xlsm]data!R373C19</stp>
        <tr r="S373" s="1"/>
      </tp>
      <tp t="s">
        <v>#N/A Requesting Data...</v>
        <stp/>
        <stp>##V3_BDHV12</stp>
        <stp>CL1 Comdty</stp>
        <stp>30DAY_IMPVOL_105.0%MNY_DF</stp>
        <stp>18/11/2015</stp>
        <stp>18/11/2015</stp>
        <stp>[Bbg_Market_Data_CL.xlsm]data!R346C19</stp>
        <tr r="S346" s="1"/>
      </tp>
      <tp t="s">
        <v>#N/A Requesting Data...</v>
        <stp/>
        <stp>##V3_BDHV12</stp>
        <stp>CL1 Comdty</stp>
        <stp>30DAY_IMPVOL_105.0%MNY_DF</stp>
        <stp>09/02/2016</stp>
        <stp>09/02/2016</stp>
        <stp>[Bbg_Market_Data_CL.xlsm]data!R291C19</stp>
        <tr r="S291" s="1"/>
      </tp>
      <tp t="s">
        <v>#N/A Requesting Data...</v>
        <stp/>
        <stp>##V3_BDHV12</stp>
        <stp>CL1 Comdty</stp>
        <stp>30DAY_IMPVOL_105.0%MNY_DF</stp>
        <stp>28/01/2016</stp>
        <stp>28/01/2016</stp>
        <stp>[Bbg_Market_Data_CL.xlsm]data!R299C19</stp>
        <tr r="S299" s="1"/>
      </tp>
      <tp t="s">
        <v>#N/A Requesting Data...</v>
        <stp/>
        <stp>##V3_BDHV12</stp>
        <stp>CL1 Comdty</stp>
        <stp>30DAY_IMPVOL_105.0%MNY_DF</stp>
        <stp>18/02/2016</stp>
        <stp>18/02/2016</stp>
        <stp>[Bbg_Market_Data_CL.xlsm]data!R286C19</stp>
        <tr r="S286" s="1"/>
      </tp>
      <tp t="s">
        <v>#N/A Requesting Data...</v>
        <stp/>
        <stp>##V3_BDHV12</stp>
        <stp>CL1 Comdty</stp>
        <stp>30DAY_IMPVOL_105.0%MNY_DF</stp>
        <stp>08/03/2016</stp>
        <stp>08/03/2016</stp>
        <stp>[Bbg_Market_Data_CL.xlsm]data!R273C19</stp>
        <tr r="S273" s="1"/>
      </tp>
      <tp t="s">
        <v>#N/A Requesting Data...</v>
        <stp/>
        <stp>##V3_BDHV12</stp>
        <stp>CL1 Comdty</stp>
        <stp>30DAY_IMPVOL_90.0%MNY_DF</stp>
        <stp>06/02/2017</stp>
        <stp>06/02/2017</stp>
        <stp>[Bbg_Market_Data_CL.xlsm]data!R45C23</stp>
        <tr r="W45" s="1"/>
      </tp>
      <tp t="s">
        <v>#N/A Requesting Data...</v>
        <stp/>
        <stp>##V3_BDHV12</stp>
        <stp>CL1 Comdty</stp>
        <stp>30DAY_IMPVOL_90.0%MNY_DF</stp>
        <stp>16/12/2016</stp>
        <stp>16/12/2016</stp>
        <stp>[Bbg_Market_Data_CL.xlsm]data!R78C23</stp>
        <tr r="W78" s="1"/>
      </tp>
      <tp t="s">
        <v>#N/A Requesting Data...</v>
        <stp/>
        <stp>##V3_BDHV12</stp>
        <stp>CL1 Comdty</stp>
        <stp>30DAY_IMPVOL_95.0%MNY_DF</stp>
        <stp>16/03/2017</stp>
        <stp>16/03/2017</stp>
        <stp>[Bbg_Market_Data_CL.xlsm]data!R18C21</stp>
        <tr r="U18" s="1"/>
      </tp>
      <tp t="s">
        <v>#N/A Requesting Data...</v>
        <stp/>
        <stp>##V3_BDHV12</stp>
        <stp>CL1 Comdty</stp>
        <stp>30DAY_IMPVOL_95.0%MNY_DF</stp>
        <stp>16/12/2016</stp>
        <stp>16/12/2016</stp>
        <stp>[Bbg_Market_Data_CL.xlsm]data!R78C21</stp>
        <tr r="U78" s="1"/>
      </tp>
      <tp t="s">
        <v>#N/A Requesting Data...</v>
        <stp/>
        <stp>##V3_BDHV12</stp>
        <stp>CL1 Comdty</stp>
        <stp>30DAY_IMPVOL_90.0%MNY_DF</stp>
        <stp>16/03/2017</stp>
        <stp>16/03/2017</stp>
        <stp>[Bbg_Market_Data_CL.xlsm]data!R18C23</stp>
        <tr r="W18" s="1"/>
      </tp>
      <tp t="s">
        <v>#N/A Requesting Data...</v>
        <stp/>
        <stp>##V3_BDHV12</stp>
        <stp>CL1 Comdty</stp>
        <stp>30DAY_IMPVOL_95.0%MNY_DF</stp>
        <stp>06/02/2017</stp>
        <stp>06/02/2017</stp>
        <stp>[Bbg_Market_Data_CL.xlsm]data!R45C21</stp>
        <tr r="U45" s="1"/>
      </tp>
      <tp t="s">
        <v>#N/A Requesting Data...</v>
        <stp/>
        <stp>##V3_BDHV12</stp>
        <stp>CL1 Comdty</stp>
        <stp>30DAY_IMPVOL_90.0%MNY_DF</stp>
        <stp>07/02/2017</stp>
        <stp>07/02/2017</stp>
        <stp>[Bbg_Market_Data_CL.xlsm]data!R44C23</stp>
        <tr r="W44" s="1"/>
      </tp>
      <tp t="s">
        <v>#N/A Requesting Data...</v>
        <stp/>
        <stp>##V3_BDHV12</stp>
        <stp>CL1 Comdty</stp>
        <stp>30DAY_IMPVOL_95.0%MNY_DF</stp>
        <stp>17/03/2017</stp>
        <stp>17/03/2017</stp>
        <stp>[Bbg_Market_Data_CL.xlsm]data!R17C21</stp>
        <tr r="U17" s="1"/>
      </tp>
      <tp t="s">
        <v>#N/A Requesting Data...</v>
        <stp/>
        <stp>##V3_BDHV12</stp>
        <stp>CL1 Comdty</stp>
        <stp>30DAY_IMPVOL_90.0%MNY_DF</stp>
        <stp>17/03/2017</stp>
        <stp>17/03/2017</stp>
        <stp>[Bbg_Market_Data_CL.xlsm]data!R17C23</stp>
        <tr r="W17" s="1"/>
      </tp>
      <tp t="s">
        <v>#N/A Requesting Data...</v>
        <stp/>
        <stp>##V3_BDHV12</stp>
        <stp>CL1 Comdty</stp>
        <stp>30DAY_IMPVOL_95.0%MNY_DF</stp>
        <stp>07/02/2017</stp>
        <stp>07/02/2017</stp>
        <stp>[Bbg_Market_Data_CL.xlsm]data!R44C21</stp>
        <tr r="U44" s="1"/>
      </tp>
      <tp t="s">
        <v>#N/A Requesting Data...</v>
        <stp/>
        <stp>##V3_BDHV12</stp>
        <stp>CL1 Comdty</stp>
        <stp>30DAY_IMPVOL_95.0%MNY_DF</stp>
        <stp>14/03/2017</stp>
        <stp>14/03/2017</stp>
        <stp>[Bbg_Market_Data_CL.xlsm]data!R20C21</stp>
        <tr r="U20" s="1"/>
      </tp>
      <tp t="s">
        <v>#N/A Requesting Data...</v>
        <stp/>
        <stp>##V3_BDHV12</stp>
        <stp>CL1 Comdty</stp>
        <stp>30DAY_IMPVOL_90.0%MNY_DF</stp>
        <stp>14/03/2017</stp>
        <stp>14/03/2017</stp>
        <stp>[Bbg_Market_Data_CL.xlsm]data!R20C23</stp>
        <tr r="W20" s="1"/>
      </tp>
      <tp t="s">
        <v>#N/A Requesting Data...</v>
        <stp/>
        <stp>##V3_BDHV12</stp>
        <stp>CL1 Comdty</stp>
        <stp>30DAY_IMPVOL_95.0%MNY_DF</stp>
        <stp>14/12/2016</stp>
        <stp>14/12/2016</stp>
        <stp>[Bbg_Market_Data_CL.xlsm]data!R80C21</stp>
        <tr r="U80" s="1"/>
      </tp>
      <tp t="s">
        <v>#N/A Requesting Data...</v>
        <stp/>
        <stp>##V3_BDHV12</stp>
        <stp>CL1 Comdty</stp>
        <stp>30DAY_IMPVOL_90.0%MNY_DF</stp>
        <stp>14/12/2016</stp>
        <stp>14/12/2016</stp>
        <stp>[Bbg_Market_Data_CL.xlsm]data!R80C23</stp>
        <tr r="W80" s="1"/>
      </tp>
      <tp t="s">
        <v>#N/A Requesting Data...</v>
        <stp/>
        <stp>##V3_BDHV12</stp>
        <stp>CL1 Comdty</stp>
        <stp>30DAY_IMPVOL_95.0%MNY_DF</stp>
        <stp>15/03/2017</stp>
        <stp>15/03/2017</stp>
        <stp>[Bbg_Market_Data_CL.xlsm]data!R19C21</stp>
        <tr r="U19" s="1"/>
      </tp>
      <tp t="s">
        <v>#N/A Requesting Data...</v>
        <stp/>
        <stp>##V3_BDHV12</stp>
        <stp>CL1 Comdty</stp>
        <stp>30DAY_IMPVOL_90.0%MNY_DF</stp>
        <stp>15/12/2016</stp>
        <stp>15/12/2016</stp>
        <stp>[Bbg_Market_Data_CL.xlsm]data!R79C23</stp>
        <tr r="W79" s="1"/>
      </tp>
      <tp t="s">
        <v>#N/A Requesting Data...</v>
        <stp/>
        <stp>##V3_BDHV12</stp>
        <stp>CL1 Comdty</stp>
        <stp>30DAY_IMPVOL_90.0%MNY_DF</stp>
        <stp>15/03/2017</stp>
        <stp>15/03/2017</stp>
        <stp>[Bbg_Market_Data_CL.xlsm]data!R19C23</stp>
        <tr r="W19" s="1"/>
      </tp>
      <tp t="s">
        <v>#N/A Requesting Data...</v>
        <stp/>
        <stp>##V3_BDHV12</stp>
        <stp>CL1 Comdty</stp>
        <stp>30DAY_IMPVOL_95.0%MNY_DF</stp>
        <stp>15/12/2016</stp>
        <stp>15/12/2016</stp>
        <stp>[Bbg_Market_Data_CL.xlsm]data!R79C21</stp>
        <tr r="U79" s="1"/>
      </tp>
      <tp t="s">
        <v>#N/A Requesting Data...</v>
        <stp/>
        <stp>##V3_BDHV12</stp>
        <stp>CL1 Comdty</stp>
        <stp>30DAY_IMPVOL_95.0%MNY_DF</stp>
        <stp>25/11/2016</stp>
        <stp>25/11/2016</stp>
        <stp>[Bbg_Market_Data_CL.xlsm]data!R93C21</stp>
        <tr r="U93" s="1"/>
      </tp>
      <tp t="s">
        <v>#N/A Requesting Data...</v>
        <stp/>
        <stp>##V3_BDHV12</stp>
        <stp>CL1 Comdty</stp>
        <stp>30DAY_IMPVOL_90.0%MNY_DF</stp>
        <stp>25/11/2016</stp>
        <stp>25/11/2016</stp>
        <stp>[Bbg_Market_Data_CL.xlsm]data!R93C23</stp>
        <tr r="W93" s="1"/>
      </tp>
      <tp t="s">
        <v>#N/A Requesting Data...</v>
        <stp/>
        <stp>##V3_BDHV12</stp>
        <stp>CL1 Comdty</stp>
        <stp>30DAY_IMPVOL_95.0%MNY_DF</stp>
        <stp>02/02/2017</stp>
        <stp>02/02/2017</stp>
        <stp>[Bbg_Market_Data_CL.xlsm]data!R47C21</stp>
        <tr r="U47" s="1"/>
      </tp>
      <tp t="s">
        <v>#N/A Requesting Data...</v>
        <stp/>
        <stp>##V3_BDHV12</stp>
        <stp>CL1 Comdty</stp>
        <stp>30DAY_IMPVOL_90.0%MNY_DF</stp>
        <stp>02/02/2017</stp>
        <stp>02/02/2017</stp>
        <stp>[Bbg_Market_Data_CL.xlsm]data!R47C23</stp>
        <tr r="W47" s="1"/>
      </tp>
      <tp t="s">
        <v>#N/A Requesting Data...</v>
        <stp/>
        <stp>##V3_BDHV12</stp>
        <stp>CL1 Comdty</stp>
        <stp>30DAY_IMPVOL_90.0%MNY_DF</stp>
        <stp>12/12/2016</stp>
        <stp>12/12/2016</stp>
        <stp>[Bbg_Market_Data_CL.xlsm]data!R82C23</stp>
        <tr r="W82" s="1"/>
      </tp>
      <tp t="s">
        <v>#N/A Requesting Data...</v>
        <stp/>
        <stp>##V3_BDHV12</stp>
        <stp>CL1 Comdty</stp>
        <stp>30DAY_IMPVOL_90.0%MNY_DF</stp>
        <stp>22/11/2016</stp>
        <stp>22/11/2016</stp>
        <stp>[Bbg_Market_Data_CL.xlsm]data!R95C23</stp>
        <tr r="W95" s="1"/>
      </tp>
      <tp t="s">
        <v>#N/A Requesting Data...</v>
        <stp/>
        <stp>##V3_BDHV12</stp>
        <stp>CL1 Comdty</stp>
        <stp>30DAY_IMPVOL_95.0%MNY_DF</stp>
        <stp>22/11/2016</stp>
        <stp>22/11/2016</stp>
        <stp>[Bbg_Market_Data_CL.xlsm]data!R95C21</stp>
        <tr r="U95" s="1"/>
      </tp>
      <tp t="s">
        <v>#N/A Requesting Data...</v>
        <stp/>
        <stp>##V3_BDHV12</stp>
        <stp>CL1 Comdty</stp>
        <stp>30DAY_IMPVOL_95.0%MNY_DF</stp>
        <stp>12/12/2016</stp>
        <stp>12/12/2016</stp>
        <stp>[Bbg_Market_Data_CL.xlsm]data!R82C21</stp>
        <tr r="U82" s="1"/>
      </tp>
      <tp t="s">
        <v>#N/A Requesting Data...</v>
        <stp/>
        <stp>##V3_BDHV12</stp>
        <stp>CL1 Comdty</stp>
        <stp>30DAY_IMPVOL_90.0%MNY_DF</stp>
        <stp>13/03/2017</stp>
        <stp>13/03/2017</stp>
        <stp>[Bbg_Market_Data_CL.xlsm]data!R21C23</stp>
        <tr r="W21" s="1"/>
      </tp>
      <tp t="s">
        <v>#N/A Requesting Data...</v>
        <stp/>
        <stp>##V3_BDHV12</stp>
        <stp>CL1 Comdty</stp>
        <stp>30DAY_IMPVOL_95.0%MNY_DF</stp>
        <stp>03/02/2017</stp>
        <stp>03/02/2017</stp>
        <stp>[Bbg_Market_Data_CL.xlsm]data!R46C21</stp>
        <tr r="U46" s="1"/>
      </tp>
      <tp t="s">
        <v>#N/A Requesting Data...</v>
        <stp/>
        <stp>##V3_BDHV12</stp>
        <stp>CL1 Comdty</stp>
        <stp>30DAY_IMPVOL_90.0%MNY_DF</stp>
        <stp>03/02/2017</stp>
        <stp>03/02/2017</stp>
        <stp>[Bbg_Market_Data_CL.xlsm]data!R46C23</stp>
        <tr r="W46" s="1"/>
      </tp>
      <tp t="s">
        <v>#N/A Requesting Data...</v>
        <stp/>
        <stp>##V3_BDHV12</stp>
        <stp>CL1 Comdty</stp>
        <stp>30DAY_IMPVOL_95.0%MNY_DF</stp>
        <stp>13/03/2017</stp>
        <stp>13/03/2017</stp>
        <stp>[Bbg_Market_Data_CL.xlsm]data!R21C21</stp>
        <tr r="U21" s="1"/>
      </tp>
      <tp t="s">
        <v>#N/A Requesting Data...</v>
        <stp/>
        <stp>##V3_BDHV12</stp>
        <stp>CL1 Comdty</stp>
        <stp>30DAY_IMPVOL_90.0%MNY_DF</stp>
        <stp>23/11/2016</stp>
        <stp>23/11/2016</stp>
        <stp>[Bbg_Market_Data_CL.xlsm]data!R94C23</stp>
        <tr r="W94" s="1"/>
      </tp>
      <tp t="s">
        <v>#N/A Requesting Data...</v>
        <stp/>
        <stp>##V3_BDHV12</stp>
        <stp>CL1 Comdty</stp>
        <stp>30DAY_IMPVOL_90.0%MNY_DF</stp>
        <stp>13/12/2016</stp>
        <stp>13/12/2016</stp>
        <stp>[Bbg_Market_Data_CL.xlsm]data!R81C23</stp>
        <tr r="W81" s="1"/>
      </tp>
      <tp t="s">
        <v>#N/A Requesting Data...</v>
        <stp/>
        <stp>##V3_BDHV12</stp>
        <stp>CL1 Comdty</stp>
        <stp>30DAY_IMPVOL_95.0%MNY_DF</stp>
        <stp>13/12/2016</stp>
        <stp>13/12/2016</stp>
        <stp>[Bbg_Market_Data_CL.xlsm]data!R81C21</stp>
        <tr r="U81" s="1"/>
      </tp>
      <tp t="s">
        <v>#N/A Requesting Data...</v>
        <stp/>
        <stp>##V3_BDHV12</stp>
        <stp>CL1 Comdty</stp>
        <stp>30DAY_IMPVOL_95.0%MNY_DF</stp>
        <stp>23/11/2016</stp>
        <stp>23/11/2016</stp>
        <stp>[Bbg_Market_Data_CL.xlsm]data!R94C21</stp>
        <tr r="U94" s="1"/>
      </tp>
      <tp t="s">
        <v>#N/A Requesting Data...</v>
        <stp/>
        <stp>##V3_BDHV12</stp>
        <stp>CL1 Comdty</stp>
        <stp>30DAY_IMPVOL_95.0%MNY_DF</stp>
        <stp>30/01/2017</stp>
        <stp>30/01/2017</stp>
        <stp>[Bbg_Market_Data_CL.xlsm]data!R50C21</stp>
        <tr r="U50" s="1"/>
      </tp>
      <tp t="s">
        <v>#N/A Requesting Data...</v>
        <stp/>
        <stp>##V3_BDHV12</stp>
        <stp>CL1 Comdty</stp>
        <stp>30DAY_IMPVOL_90.0%MNY_DF</stp>
        <stp>10/03/2017</stp>
        <stp>10/03/2017</stp>
        <stp>[Bbg_Market_Data_CL.xlsm]data!R22C23</stp>
        <tr r="W22" s="1"/>
      </tp>
      <tp t="s">
        <v>#N/A Requesting Data...</v>
        <stp/>
        <stp>##V3_BDHV12</stp>
        <stp>CL1 Comdty</stp>
        <stp>30DAY_IMPVOL_90.0%MNY_DF</stp>
        <stp>30/01/2017</stp>
        <stp>30/01/2017</stp>
        <stp>[Bbg_Market_Data_CL.xlsm]data!R50C23</stp>
        <tr r="W50" s="1"/>
      </tp>
      <tp t="s">
        <v>#N/A Requesting Data...</v>
        <stp/>
        <stp>##V3_BDHV12</stp>
        <stp>CL1 Comdty</stp>
        <stp>30DAY_IMPVOL_95.0%MNY_DF</stp>
        <stp>10/03/2017</stp>
        <stp>10/03/2017</stp>
        <stp>[Bbg_Market_Data_CL.xlsm]data!R22C21</stp>
        <tr r="U22" s="1"/>
      </tp>
      <tp t="s">
        <v>#N/A Requesting Data...</v>
        <stp/>
        <stp>##V3_BDHV12</stp>
        <stp>CL1 Comdty</stp>
        <stp>30DAY_IMPVOL_95.0%MNY_DF</stp>
        <stp>31/01/2017</stp>
        <stp>31/01/2017</stp>
        <stp>[Bbg_Market_Data_CL.xlsm]data!R49C21</stp>
        <tr r="U49" s="1"/>
      </tp>
      <tp t="s">
        <v>#N/A Requesting Data...</v>
        <stp/>
        <stp>##V3_BDHV12</stp>
        <stp>CL1 Comdty</stp>
        <stp>30DAY_IMPVOL_95.0%MNY_DF</stp>
        <stp>01/02/2017</stp>
        <stp>01/02/2017</stp>
        <stp>[Bbg_Market_Data_CL.xlsm]data!R48C21</stp>
        <tr r="U48" s="1"/>
      </tp>
      <tp t="s">
        <v>#N/A Requesting Data...</v>
        <stp/>
        <stp>##V3_BDHV12</stp>
        <stp>CL1 Comdty</stp>
        <stp>30DAY_IMPVOL_90.0%MNY_DF</stp>
        <stp>31/01/2017</stp>
        <stp>31/01/2017</stp>
        <stp>[Bbg_Market_Data_CL.xlsm]data!R49C23</stp>
        <tr r="W49" s="1"/>
      </tp>
      <tp t="s">
        <v>#N/A Requesting Data...</v>
        <stp/>
        <stp>##V3_BDHV12</stp>
        <stp>CL1 Comdty</stp>
        <stp>30DAY_IMPVOL_90.0%MNY_DF</stp>
        <stp>01/02/2017</stp>
        <stp>01/02/2017</stp>
        <stp>[Bbg_Market_Data_CL.xlsm]data!R48C23</stp>
        <tr r="W48" s="1"/>
      </tp>
      <tp t="s">
        <v>#N/A Requesting Data...</v>
        <stp/>
        <stp>##V3_BDHV12</stp>
        <stp>CL1 Comdty</stp>
        <stp>30DAY_IMPVOL_90.0%MNY_DF</stp>
        <stp>21/11/2016</stp>
        <stp>21/11/2016</stp>
        <stp>[Bbg_Market_Data_CL.xlsm]data!R96C23</stp>
        <tr r="W96" s="1"/>
      </tp>
      <tp t="s">
        <v>#N/A Requesting Data...</v>
        <stp/>
        <stp>##V3_BDHV12</stp>
        <stp>CL1 Comdty</stp>
        <stp>30DAY_IMPVOL_95.0%MNY_DF</stp>
        <stp>21/11/2016</stp>
        <stp>21/11/2016</stp>
        <stp>[Bbg_Market_Data_CL.xlsm]data!R96C21</stp>
        <tr r="U96" s="1"/>
      </tp>
      <tp t="s">
        <v>#N/A Requesting Data...</v>
        <stp/>
        <stp>##V3_BDHV12</stp>
        <stp>CL1 Comdty</stp>
        <stp>30DAY_IMPVOL_90.0%MNY_DF</stp>
        <stp>28/11/2016</stp>
        <stp>28/11/2016</stp>
        <stp>[Bbg_Market_Data_CL.xlsm]data!R92C23</stp>
        <tr r="W92" s="1"/>
      </tp>
      <tp t="s">
        <v>#N/A Requesting Data...</v>
        <stp/>
        <stp>##V3_BDHV12</stp>
        <stp>CL1 Comdty</stp>
        <stp>30DAY_IMPVOL_95.0%MNY_DF</stp>
        <stp>28/11/2016</stp>
        <stp>28/11/2016</stp>
        <stp>[Bbg_Market_Data_CL.xlsm]data!R92C21</stp>
        <tr r="U92" s="1"/>
      </tp>
      <tp t="s">
        <v>#N/A Requesting Data...</v>
        <stp/>
        <stp>##V3_BDHV12</stp>
        <stp>CL1 Comdty</stp>
        <stp>30DAY_IMPVOL_95.0%MNY_DF</stp>
        <stp>08/02/2017</stp>
        <stp>08/02/2017</stp>
        <stp>[Bbg_Market_Data_CL.xlsm]data!R43C21</stp>
        <tr r="U43" s="1"/>
      </tp>
      <tp t="s">
        <v>#N/A Requesting Data...</v>
        <stp/>
        <stp>##V3_BDHV12</stp>
        <stp>CL1 Comdty</stp>
        <stp>30DAY_IMPVOL_90.0%MNY_DF</stp>
        <stp>08/02/2017</stp>
        <stp>08/02/2017</stp>
        <stp>[Bbg_Market_Data_CL.xlsm]data!R43C23</stp>
        <tr r="W43" s="1"/>
      </tp>
      <tp t="s">
        <v>#N/A Requesting Data...</v>
        <stp/>
        <stp>##V3_BDHV12</stp>
        <stp>CL1 Comdty</stp>
        <stp>30DAY_IMPVOL_90.0%MNY_DF</stp>
        <stp>29/11/2016</stp>
        <stp>29/11/2016</stp>
        <stp>[Bbg_Market_Data_CL.xlsm]data!R91C23</stp>
        <tr r="W91" s="1"/>
      </tp>
      <tp t="s">
        <v>#N/A Requesting Data...</v>
        <stp/>
        <stp>##V3_BDHV12</stp>
        <stp>CL1 Comdty</stp>
        <stp>30DAY_IMPVOL_95.0%MNY_DF</stp>
        <stp>29/11/2016</stp>
        <stp>29/11/2016</stp>
        <stp>[Bbg_Market_Data_CL.xlsm]data!R91C21</stp>
        <tr r="U91" s="1"/>
      </tp>
      <tp t="s">
        <v>#N/A Requesting Data...</v>
        <stp/>
        <stp>##V3_BDHV12</stp>
        <stp>CL1 Comdty</stp>
        <stp>30DAY_IMPVOL_95.0%MNY_DF</stp>
        <stp>09/02/2017</stp>
        <stp>09/02/2017</stp>
        <stp>[Bbg_Market_Data_CL.xlsm]data!R42C21</stp>
        <tr r="U42" s="1"/>
      </tp>
      <tp t="s">
        <v>#N/A Requesting Data...</v>
        <stp/>
        <stp>##V3_BDHV12</stp>
        <stp>CL1 Comdty</stp>
        <stp>30DAY_IMPVOL_95.0%MNY_DF</stp>
        <stp>19/12/2016</stp>
        <stp>19/12/2016</stp>
        <stp>[Bbg_Market_Data_CL.xlsm]data!R77C21</stp>
        <tr r="U77" s="1"/>
      </tp>
      <tp t="s">
        <v>#N/A Requesting Data...</v>
        <stp/>
        <stp>##V3_BDHV12</stp>
        <stp>CL1 Comdty</stp>
        <stp>30DAY_IMPVOL_90.0%MNY_DF</stp>
        <stp>19/12/2016</stp>
        <stp>19/12/2016</stp>
        <stp>[Bbg_Market_Data_CL.xlsm]data!R77C23</stp>
        <tr r="W77" s="1"/>
      </tp>
      <tp t="s">
        <v>#N/A Requesting Data...</v>
        <stp/>
        <stp>##V3_BDHV12</stp>
        <stp>CL1 Comdty</stp>
        <stp>30DAY_IMPVOL_90.0%MNY_DF</stp>
        <stp>09/02/2017</stp>
        <stp>09/02/2017</stp>
        <stp>[Bbg_Market_Data_CL.xlsm]data!R42C23</stp>
        <tr r="W42" s="1"/>
      </tp>
      <tp t="s">
        <v>#N/A Requesting Data...</v>
        <stp/>
        <stp>##V3_BDHV12</stp>
        <stp>CL1 Comdty</stp>
        <stp>RSI_9D</stp>
        <stp>23/02/2016</stp>
        <stp>23/02/2016</stp>
        <stp>[Bbg_Market_Data_CL.xlsm]data!R284C12</stp>
        <tr r="L284" s="1"/>
      </tp>
      <tp t="s">
        <v>#N/A Requesting Data...</v>
        <stp/>
        <stp>##V3_BDHV12</stp>
        <stp>CL2 Comdty</stp>
        <stp>RSI_9D</stp>
        <stp>06/05/2015</stp>
        <stp>06/05/2015</stp>
        <stp>[Bbg_Market_Data_CL.xlsm]data!R482C12</stp>
        <tr r="L482" s="1"/>
      </tp>
      <tp t="s">
        <v>#N/A Requesting Data...</v>
        <stp/>
        <stp>##V3_BDHV12</stp>
        <stp>CL2 Comdty</stp>
        <stp>RSI_9D</stp>
        <stp>16/04/2015</stp>
        <stp>16/04/2015</stp>
        <stp>[Bbg_Market_Data_CL.xlsm]data!R496C12</stp>
        <tr r="L496" s="1"/>
      </tp>
      <tp t="s">
        <v>#N/A Requesting Data...</v>
        <stp/>
        <stp>##V3_BDHV12</stp>
        <stp>CL1 Comdty</stp>
        <stp>RSI_9D</stp>
        <stp>31/12/2015</stp>
        <stp>31/12/2015</stp>
        <stp>[Bbg_Market_Data_CL.xlsm]data!R318C12</stp>
        <tr r="L318" s="1"/>
      </tp>
      <tp t="s">
        <v>#N/A Requesting Data...</v>
        <stp/>
        <stp>##V3_BDHV12</stp>
        <stp>CL2 Comdty</stp>
        <stp>RSI_9D</stp>
        <stp>10/11/2016</stp>
        <stp>10/11/2016</stp>
        <stp>[Bbg_Market_Data_CL.xlsm]data!R103C12</stp>
        <tr r="L103" s="1"/>
      </tp>
      <tp t="s">
        <v>#N/A Requesting Data...</v>
        <stp/>
        <stp>##V3_BDHV12</stp>
        <stp>CL2 Comdty</stp>
        <stp>RSI_9D</stp>
        <stp>01/12/2015</stp>
        <stp>01/12/2015</stp>
        <stp>[Bbg_Market_Data_CL.xlsm]data!R339C12</stp>
        <tr r="L339" s="1"/>
      </tp>
      <tp t="s">
        <v>#N/A Requesting Data...</v>
        <stp/>
        <stp>##V3_BDHV12</stp>
        <stp>CL1 Comdty</stp>
        <stp>RSI_9D</stp>
        <stp>16/07/2015</stp>
        <stp>16/07/2015</stp>
        <stp>[Bbg_Market_Data_CL.xlsm]data!R433C12</stp>
        <tr r="L433" s="1"/>
      </tp>
      <tp t="s">
        <v>#N/A Requesting Data...</v>
        <stp/>
        <stp>##V3_BDHV12</stp>
        <stp>CL2 Comdty</stp>
        <stp>RSI_9D</stp>
        <stp>21/10/2015</stp>
        <stp>21/10/2015</stp>
        <stp>[Bbg_Market_Data_CL.xlsm]data!R366C12</stp>
        <tr r="L366" s="1"/>
      </tp>
      <tp t="s">
        <v>#N/A Requesting Data...</v>
        <stp/>
        <stp>##V3_BDHV12</stp>
        <stp>CL2 Comdty</stp>
        <stp>RSI_9D</stp>
        <stp>03/03/2016</stp>
        <stp>03/03/2016</stp>
        <stp>[Bbg_Market_Data_CL.xlsm]data!R277C12</stp>
        <tr r="L277" s="1"/>
      </tp>
      <tp t="s">
        <v>#N/A Requesting Data...</v>
        <stp/>
        <stp>##V3_BDHV12</stp>
        <stp>CL2 Comdty</stp>
        <stp>RSI_9D</stp>
        <stp>02/02/2016</stp>
        <stp>02/02/2016</stp>
        <stp>[Bbg_Market_Data_CL.xlsm]data!R297C12</stp>
        <tr r="L297" s="1"/>
      </tp>
      <tp t="s">
        <v>#N/A Requesting Data...</v>
        <stp/>
        <stp>##V3_BDHV12</stp>
        <stp>CL1 Comdty</stp>
        <stp>RSI_9D</stp>
        <stp>21/10/2016</stp>
        <stp>21/10/2016</stp>
        <stp>[Bbg_Market_Data_CL.xlsm]data!R117C12</stp>
        <tr r="L117" s="1"/>
      </tp>
      <tp t="s">
        <v>#N/A Requesting Data...</v>
        <stp/>
        <stp>##V3_BDHV12</stp>
        <stp>CL2 Comdty</stp>
        <stp>RSI_9D</stp>
        <stp>01/11/2016</stp>
        <stp>01/11/2016</stp>
        <stp>[Bbg_Market_Data_CL.xlsm]data!R110C12</stp>
        <tr r="L110" s="1"/>
      </tp>
      <tp t="s">
        <v>#N/A Requesting Data...</v>
        <stp/>
        <stp>##V3_BDHV12</stp>
        <stp>CL1 Comdty</stp>
        <stp>RSI_9D</stp>
        <stp>13/01/2016</stp>
        <stp>13/01/2016</stp>
        <stp>[Bbg_Market_Data_CL.xlsm]data!R310C12</stp>
        <tr r="L310" s="1"/>
      </tp>
      <tp t="s">
        <v>#N/A Requesting Data...</v>
        <stp/>
        <stp>##V3_BDHV12</stp>
        <stp>CL2 Comdty</stp>
        <stp>RSI_9D</stp>
        <stp>10/12/2015</stp>
        <stp>10/12/2015</stp>
        <stp>[Bbg_Market_Data_CL.xlsm]data!R332C12</stp>
        <tr r="L332" s="1"/>
      </tp>
      <tp t="s">
        <v>#N/A Requesting Data...</v>
        <stp/>
        <stp>##V3_BDHV12</stp>
        <stp>CL2 Comdty</stp>
        <stp>RSI_9D</stp>
        <stp>11/10/2016</stp>
        <stp>11/10/2016</stp>
        <stp>[Bbg_Market_Data_CL.xlsm]data!R125C12</stp>
        <tr r="L125" s="1"/>
      </tp>
      <tp t="s">
        <v>#N/A Requesting Data...</v>
        <stp/>
        <stp>##V3_BDHV12</stp>
        <stp>CL1 Comdty</stp>
        <stp>RSI_9D</stp>
        <stp>07/07/2015</stp>
        <stp>07/07/2015</stp>
        <stp>[Bbg_Market_Data_CL.xlsm]data!R440C12</stp>
        <tr r="L440" s="1"/>
      </tp>
      <tp t="s">
        <v>#N/A Requesting Data...</v>
        <stp/>
        <stp>##V3_BDHV12</stp>
        <stp>CL1 Comdty</stp>
        <stp>RSI_9D</stp>
        <stp>10/11/2015</stp>
        <stp>10/11/2015</stp>
        <stp>[Bbg_Market_Data_CL.xlsm]data!R352C12</stp>
        <tr r="L352" s="1"/>
      </tp>
      <tp t="s">
        <v>#N/A Requesting Data...</v>
        <stp/>
        <stp>##V3_BDHV12</stp>
        <stp>CL2 Comdty</stp>
        <stp>RSI_9D</stp>
        <stp>30/10/2015</stp>
        <stp>30/10/2015</stp>
        <stp>[Bbg_Market_Data_CL.xlsm]data!R359C12</stp>
        <tr r="L359" s="1"/>
      </tp>
      <tp t="s">
        <v>#N/A Requesting Data...</v>
        <stp/>
        <stp>##V3_BDHV12</stp>
        <stp>CL1 Comdty</stp>
        <stp>RSI_9D</stp>
        <stp>17/06/2015</stp>
        <stp>17/06/2015</stp>
        <stp>[Bbg_Market_Data_CL.xlsm]data!R453C12</stp>
        <tr r="L453" s="1"/>
      </tp>
      <tp t="s">
        <v>#N/A Requesting Data...</v>
        <stp/>
        <stp>##V3_BDHV12</stp>
        <stp>CL2 Comdty</stp>
        <stp>RSI_9D</stp>
        <stp>20/11/2015</stp>
        <stp>20/11/2015</stp>
        <stp>[Bbg_Market_Data_CL.xlsm]data!R345C12</stp>
        <tr r="L345" s="1"/>
      </tp>
      <tp t="s">
        <v>#N/A Requesting Data...</v>
        <stp/>
        <stp>##V3_BDHV12</stp>
        <stp>CL1 Comdty</stp>
        <stp>RSI_9D</stp>
        <stp>22/03/2016</stp>
        <stp>22/03/2016</stp>
        <stp>[Bbg_Market_Data_CL.xlsm]data!R264C12</stp>
        <tr r="L264" s="1"/>
      </tp>
      <tp t="s">
        <v>#N/A Requesting Data...</v>
        <stp/>
        <stp>##V3_BDHV12</stp>
        <stp>CL1 Comdty</stp>
        <stp>RSI_9D</stp>
        <stp>27/05/2015</stp>
        <stp>27/05/2015</stp>
        <stp>[Bbg_Market_Data_CL.xlsm]data!R468C12</stp>
        <tr r="L468" s="1"/>
      </tp>
      <tp t="s">
        <v>#N/A Requesting Data...</v>
        <stp/>
        <stp>##V3_BDHV12</stp>
        <stp>CL1 Comdty</stp>
        <stp>RSI_9D</stp>
        <stp>01/02/2016</stp>
        <stp>01/02/2016</stp>
        <stp>[Bbg_Market_Data_CL.xlsm]data!R298C12</stp>
        <tr r="L298" s="1"/>
      </tp>
      <tp t="s">
        <v>#N/A Requesting Data...</v>
        <stp/>
        <stp>##V3_BDHV12</stp>
        <stp>CL1 Comdty</stp>
        <stp>RSI_9D</stp>
        <stp>20/01/2016</stp>
        <stp>20/01/2016</stp>
        <stp>[Bbg_Market_Data_CL.xlsm]data!R306C12</stp>
        <tr r="L306" s="1"/>
      </tp>
      <tp t="s">
        <v>#N/A Requesting Data...</v>
        <stp/>
        <stp>##V3_BDHV12</stp>
        <stp>CL1 Comdty</stp>
        <stp>RSI_9D</stp>
        <stp>02/11/2016</stp>
        <stp>02/11/2016</stp>
        <stp>[Bbg_Market_Data_CL.xlsm]data!R109C12</stp>
        <tr r="L109" s="1"/>
      </tp>
      <tp t="s">
        <v>#N/A Requesting Data...</v>
        <stp/>
        <stp>##V3_BDHV12</stp>
        <stp>CL1 Comdty</stp>
        <stp>RSI_9D</stp>
        <stp>12/10/2016</stp>
        <stp>12/10/2016</stp>
        <stp>[Bbg_Market_Data_CL.xlsm]data!R124C12</stp>
        <tr r="L124" s="1"/>
      </tp>
      <tp t="s">
        <v>#N/A Requesting Data...</v>
        <stp/>
        <stp>##V3_BDHV12</stp>
        <stp>CL2 Comdty</stp>
        <stp>RSI_9D</stp>
        <stp>23/12/2015</stp>
        <stp>23/12/2015</stp>
        <stp>[Bbg_Market_Data_CL.xlsm]data!R323C12</stp>
        <tr r="L323" s="1"/>
      </tp>
      <tp t="s">
        <v>#N/A Requesting Data...</v>
        <stp/>
        <stp>##V3_BDHV12</stp>
        <stp>CL2 Comdty</stp>
        <stp>RSI_9D</stp>
        <stp>13/11/2015</stp>
        <stp>13/11/2015</stp>
        <stp>[Bbg_Market_Data_CL.xlsm]data!R350C12</stp>
        <tr r="L350" s="1"/>
      </tp>
      <tp t="s">
        <v>#N/A Requesting Data...</v>
        <stp/>
        <stp>##V3_BDHV12</stp>
        <stp>CL1 Comdty</stp>
        <stp>RSI_9D</stp>
        <stp>24/06/2015</stp>
        <stp>24/06/2015</stp>
        <stp>[Bbg_Market_Data_CL.xlsm]data!R448C12</stp>
        <tr r="L448" s="1"/>
      </tp>
      <tp t="s">
        <v>#N/A Requesting Data...</v>
        <stp/>
        <stp>##V3_BDHV12</stp>
        <stp>CL1 Comdty</stp>
        <stp>RSI_9D</stp>
        <stp>23/11/2015</stp>
        <stp>23/11/2015</stp>
        <stp>[Bbg_Market_Data_CL.xlsm]data!R344C12</stp>
        <tr r="L344" s="1"/>
      </tp>
      <tp t="s">
        <v>#N/A Requesting Data...</v>
        <stp/>
        <stp>##V3_BDHV12</stp>
        <stp>CL2 Comdty</stp>
        <stp>RSI_9D</stp>
        <stp>21/03/2016</stp>
        <stp>21/03/2016</stp>
        <stp>[Bbg_Market_Data_CL.xlsm]data!R265C12</stp>
        <tr r="L265" s="1"/>
      </tp>
      <tp t="s">
        <v>#N/A Requesting Data...</v>
        <stp/>
        <stp>##V3_BDHV12</stp>
        <stp>CL1 Comdty</stp>
        <stp>RSI_9D</stp>
        <stp>11/03/2016</stp>
        <stp>11/03/2016</stp>
        <stp>[Bbg_Market_Data_CL.xlsm]data!R271C12</stp>
        <tr r="L271" s="1"/>
      </tp>
      <tp t="s">
        <v>#N/A Requesting Data...</v>
        <stp/>
        <stp>##V3_BDHV12</stp>
        <stp>CL1 Comdty</stp>
        <stp>RSI_9D</stp>
        <stp>14/05/2015</stp>
        <stp>14/05/2015</stp>
        <stp>[Bbg_Market_Data_CL.xlsm]data!R476C12</stp>
        <tr r="L476" s="1"/>
      </tp>
      <tp t="s">
        <v>#N/A Requesting Data...</v>
        <stp/>
        <stp>##V3_BDHV12</stp>
        <stp>CL1 Comdty</stp>
        <stp>RSI_9D</stp>
        <stp>05/05/2015</stp>
        <stp>05/05/2015</stp>
        <stp>[Bbg_Market_Data_CL.xlsm]data!R483C12</stp>
        <tr r="L483" s="1"/>
      </tp>
      <tp t="s">
        <v>#N/A Requesting Data...</v>
        <stp/>
        <stp>##V3_BDHV12</stp>
        <stp>CL1 Comdty</stp>
        <stp>RSI_9D</stp>
        <stp>10/02/2016</stp>
        <stp>10/02/2016</stp>
        <stp>[Bbg_Market_Data_CL.xlsm]data!R291C12</stp>
        <tr r="L291" s="1"/>
      </tp>
      <tp t="s">
        <v>#N/A Requesting Data...</v>
        <stp/>
        <stp>##V3_BDHV12</stp>
        <stp>CL1 Comdty</stp>
        <stp>RSI_9D</stp>
        <stp>15/04/2015</stp>
        <stp>15/04/2015</stp>
        <stp>[Bbg_Market_Data_CL.xlsm]data!R497C12</stp>
        <tr r="L497" s="1"/>
      </tp>
      <tp t="s">
        <v>#N/A Requesting Data...</v>
        <stp/>
        <stp>##V3_BDHV12</stp>
        <stp>CL1 Comdty</stp>
        <stp>RSI_9D</stp>
        <stp>03/10/2016</stp>
        <stp>03/10/2016</stp>
        <stp>[Bbg_Market_Data_CL.xlsm]data!R130C12</stp>
        <tr r="L130" s="1"/>
      </tp>
      <tp t="s">
        <v>#N/A Requesting Data...</v>
        <stp/>
        <stp>##V3_BDHV12</stp>
        <stp>CL1 Comdty</stp>
        <stp>RSI_9D</stp>
        <stp>02/12/2015</stp>
        <stp>02/12/2015</stp>
        <stp>[Bbg_Market_Data_CL.xlsm]data!R338C12</stp>
        <tr r="L338" s="1"/>
      </tp>
      <tp t="s">
        <v>#N/A Requesting Data...</v>
        <stp/>
        <stp>##V3_BDHV12</stp>
        <stp>CL2 Comdty</stp>
        <stp>RSI_9D</stp>
        <stp>15/07/2015</stp>
        <stp>15/07/2015</stp>
        <stp>[Bbg_Market_Data_CL.xlsm]data!R434C12</stp>
        <tr r="L434" s="1"/>
      </tp>
      <tp t="s">
        <v>#N/A Requesting Data...</v>
        <stp/>
        <stp>##V3_BDHV12</stp>
        <stp>CL2 Comdty</stp>
        <stp>RSI_9D</stp>
        <stp>02/11/2015</stp>
        <stp>02/11/2015</stp>
        <stp>[Bbg_Market_Data_CL.xlsm]data!R358C12</stp>
        <tr r="L358" s="1"/>
      </tp>
      <tp t="s">
        <v>#N/A Requesting Data...</v>
        <stp/>
        <stp>##V3_BDHV12</stp>
        <stp>CL2 Comdty</stp>
        <stp>RSI_9D</stp>
        <stp>30/03/2016</stp>
        <stp>30/03/2016</stp>
        <stp>[Bbg_Market_Data_CL.xlsm]data!R259C12</stp>
        <tr r="L259" s="1"/>
      </tp>
      <tp t="s">
        <v>#N/A Requesting Data...</v>
        <stp/>
        <stp>##V3_BDHV12</stp>
        <stp>CL2 Comdty</stp>
        <stp>RSI_9D</stp>
        <stp>05/06/2015</stp>
        <stp>05/06/2015</stp>
        <stp>[Bbg_Market_Data_CL.xlsm]data!R461C12</stp>
        <tr r="L461" s="1"/>
      </tp>
      <tp t="s">
        <v>#N/A Requesting Data...</v>
        <stp/>
        <stp>##V3_BDHV12</stp>
        <stp>CL1 Comdty</stp>
        <stp>RSI_9D</stp>
        <stp>22/10/2015</stp>
        <stp>22/10/2015</stp>
        <stp>[Bbg_Market_Data_CL.xlsm]data!R365C12</stp>
        <tr r="L365" s="1"/>
      </tp>
      <tp t="s">
        <v>#N/A Requesting Data...</v>
        <stp/>
        <stp>##V3_BDHV12</stp>
        <stp>CL2 Comdty</stp>
        <stp>RSI_9D</stp>
        <stp>24/06/2016</stp>
        <stp>24/06/2016</stp>
        <stp>[Bbg_Market_Data_CL.xlsm]data!R198C12</stp>
        <tr r="L198" s="1"/>
      </tp>
      <tp t="s">
        <v>#N/A Requesting Data...</v>
        <stp/>
        <stp>##V3_BDHV12</stp>
        <stp>CL2 Comdty</stp>
        <stp>RSI_9D</stp>
        <stp>17/06/2016</stp>
        <stp>17/06/2016</stp>
        <stp>[Bbg_Market_Data_CL.xlsm]data!R203C12</stp>
        <tr r="L203" s="1"/>
      </tp>
      <tp t="s">
        <v>#N/A Requesting Data...</v>
        <stp/>
        <stp>##V3_BDHV12</stp>
        <stp>CL2 Comdty</stp>
        <stp>RSI_9D</stp>
        <stp>27/05/2016</stp>
        <stp>27/05/2016</stp>
        <stp>[Bbg_Market_Data_CL.xlsm]data!R217C12</stp>
        <tr r="L217" s="1"/>
      </tp>
      <tp t="s">
        <v>#N/A Requesting Data...</v>
        <stp/>
        <stp>##V3_BDHV12</stp>
        <stp>CL1 Comdty</stp>
        <stp>RSI_9D</stp>
        <stp>17/05/2016</stp>
        <stp>17/05/2016</stp>
        <stp>[Bbg_Market_Data_CL.xlsm]data!R225C12</stp>
        <tr r="L225" s="1"/>
      </tp>
      <tp t="s">
        <v>#N/A Requesting Data...</v>
        <stp/>
        <stp>##V3_BDHV12</stp>
        <stp>CL1 Comdty</stp>
        <stp>RSI_9D</stp>
        <stp>07/04/2016</stp>
        <stp>07/04/2016</stp>
        <stp>[Bbg_Market_Data_CL.xlsm]data!R253C12</stp>
        <tr r="L253" s="1"/>
      </tp>
      <tp t="s">
        <v>#N/A Requesting Data...</v>
        <stp/>
        <stp>##V3_BDHV12</stp>
        <stp>CL1 Comdty</stp>
        <stp>RSI_9D</stp>
        <stp>15/07/2016</stp>
        <stp>15/07/2016</stp>
        <stp>[Bbg_Market_Data_CL.xlsm]data!R184C12</stp>
        <tr r="L184" s="1"/>
      </tp>
      <tp t="s">
        <v>#N/A Requesting Data...</v>
        <stp/>
        <stp>##V3_BDHV12</stp>
        <stp>CL2 Comdty</stp>
        <stp>RSI_9D</stp>
        <stp>06/06/2016</stp>
        <stp>06/06/2016</stp>
        <stp>[Bbg_Market_Data_CL.xlsm]data!R212C12</stp>
        <tr r="L212" s="1"/>
      </tp>
      <tp t="s">
        <v>#N/A Requesting Data...</v>
        <stp/>
        <stp>##V3_BDHV12</stp>
        <stp>CL1 Comdty</stp>
        <stp>RSI_9D</stp>
        <stp>06/05/2016</stp>
        <stp>06/05/2016</stp>
        <stp>[Bbg_Market_Data_CL.xlsm]data!R232C12</stp>
        <tr r="L232" s="1"/>
      </tp>
      <tp t="s">
        <v>#N/A Requesting Data...</v>
        <stp/>
        <stp>##V3_BDHV12</stp>
        <stp>CL2 Comdty</stp>
        <stp>RSI_9D</stp>
        <stp>26/04/2016</stp>
        <stp>26/04/2016</stp>
        <stp>[Bbg_Market_Data_CL.xlsm]data!R240C12</stp>
        <tr r="L240" s="1"/>
      </tp>
      <tp t="s">
        <v>#N/A Requesting Data...</v>
        <stp/>
        <stp>##V3_BDHV12</stp>
        <stp>CL2 Comdty</stp>
        <stp>RSI_9D</stp>
        <stp>25/07/2016</stp>
        <stp>25/07/2016</stp>
        <stp>[Bbg_Market_Data_CL.xlsm]data!R178C12</stp>
        <tr r="L178" s="1"/>
      </tp>
      <tp t="s">
        <v>#N/A Requesting Data...</v>
        <stp/>
        <stp>##V3_BDHV12</stp>
        <stp>CL2 Comdty</stp>
        <stp>RSI_9D</stp>
        <stp>05/05/2016</stp>
        <stp>05/05/2016</stp>
        <stp>[Bbg_Market_Data_CL.xlsm]data!R233C12</stp>
        <tr r="L233" s="1"/>
      </tp>
      <tp t="s">
        <v>#N/A Requesting Data...</v>
        <stp/>
        <stp>##V3_BDHV12</stp>
        <stp>CL1 Comdty</stp>
        <stp>RSI_9D</stp>
        <stp>25/04/2016</stp>
        <stp>25/04/2016</stp>
        <stp>[Bbg_Market_Data_CL.xlsm]data!R241C12</stp>
        <tr r="L241" s="1"/>
      </tp>
      <tp t="s">
        <v>#N/A Requesting Data...</v>
        <stp/>
        <stp>##V3_BDHV12</stp>
        <stp>CL2 Comdty</stp>
        <stp>RSI_9D</stp>
        <stp>15/04/2016</stp>
        <stp>15/04/2016</stp>
        <stp>[Bbg_Market_Data_CL.xlsm]data!R247C12</stp>
        <tr r="L247" s="1"/>
      </tp>
      <tp t="s">
        <v>#N/A Requesting Data...</v>
        <stp/>
        <stp>##V3_BDHV12</stp>
        <stp>CL1 Comdty</stp>
        <stp>RSI_9D</stp>
        <stp>26/07/2016</stp>
        <stp>26/07/2016</stp>
        <stp>[Bbg_Market_Data_CL.xlsm]data!R177C12</stp>
        <tr r="L177" s="1"/>
      </tp>
      <tp t="s">
        <v>#N/A Requesting Data...</v>
        <stp/>
        <stp>##V3_BDHV12</stp>
        <stp>CL2 Comdty</stp>
        <stp>RSI_9D</stp>
        <stp>07/07/2016</stp>
        <stp>07/07/2016</stp>
        <stp>[Bbg_Market_Data_CL.xlsm]data!R190C12</stp>
        <tr r="L190" s="1"/>
      </tp>
      <tp t="s">
        <v>#N/A Requesting Data...</v>
        <stp/>
        <stp>##V3_BDHV12</stp>
        <stp>CL1 Comdty</stp>
        <stp>RSI_9D</stp>
        <stp>27/06/2016</stp>
        <stp>27/06/2016</stp>
        <stp>[Bbg_Market_Data_CL.xlsm]data!R197C12</stp>
        <tr r="L197" s="1"/>
      </tp>
      <tp t="s">
        <v>#N/A Requesting Data...</v>
        <stp/>
        <stp>##V3_BDHV12</stp>
        <stp>CL1 Comdty</stp>
        <stp>RSI_9D</stp>
        <stp>14/06/2016</stp>
        <stp>14/06/2016</stp>
        <stp>[Bbg_Market_Data_CL.xlsm]data!R206C12</stp>
        <tr r="L206" s="1"/>
      </tp>
      <tp t="s">
        <v>#N/A Requesting Data...</v>
        <stp/>
        <stp>##V3_BDHV12</stp>
        <stp>CL1 Comdty</stp>
        <stp>RSI_9D</stp>
        <stp>24/05/2016</stp>
        <stp>24/05/2016</stp>
        <stp>[Bbg_Market_Data_CL.xlsm]data!R220C12</stp>
        <tr r="L220" s="1"/>
      </tp>
      <tp t="s">
        <v>#N/A Requesting Data...</v>
        <stp/>
        <stp>##V3_BDHV12</stp>
        <stp>CL2 Comdty</stp>
        <stp>RSI_9D</stp>
        <stp>04/04/2016</stp>
        <stp>04/04/2016</stp>
        <stp>[Bbg_Market_Data_CL.xlsm]data!R256C12</stp>
        <tr r="L256" s="1"/>
      </tp>
      <tp t="s">
        <v>#N/A Requesting Data...</v>
        <stp/>
        <stp>##V3_BDHV12</stp>
        <stp>CL1 Comdty</stp>
        <stp>RSI_9D</stp>
        <stp>09/09/2015</stp>
        <stp>09/09/2015</stp>
        <stp>[Bbg_Market_Data_CL.xlsm]data!R395C12</stp>
        <tr r="L395" s="1"/>
      </tp>
      <tp t="s">
        <v>#N/A Requesting Data...</v>
        <stp/>
        <stp>##V3_BDHV12</stp>
        <stp>CL1 Comdty</stp>
        <stp>RSI_9D</stp>
        <stp>28/09/2016</stp>
        <stp>28/09/2016</stp>
        <stp>[Bbg_Market_Data_CL.xlsm]data!R133C12</stp>
        <tr r="L133" s="1"/>
      </tp>
      <tp t="s">
        <v>#N/A Requesting Data...</v>
        <stp/>
        <stp>##V3_BDHV12</stp>
        <stp>CL1 Comdty</stp>
        <stp>RSI_9D</stp>
        <stp>18/09/2015</stp>
        <stp>18/09/2015</stp>
        <stp>[Bbg_Market_Data_CL.xlsm]data!R388C12</stp>
        <tr r="L388" s="1"/>
      </tp>
      <tp t="s">
        <v>#N/A Requesting Data...</v>
        <stp/>
        <stp>##V3_BDHV12</stp>
        <stp>CL2 Comdty</stp>
        <stp>RSI_9D</stp>
        <stp>28/09/2015</stp>
        <stp>28/09/2015</stp>
        <stp>[Bbg_Market_Data_CL.xlsm]data!R382C12</stp>
        <tr r="L382" s="1"/>
      </tp>
      <tp t="s">
        <v>#N/A Requesting Data...</v>
        <stp/>
        <stp>##V3_BDHV12</stp>
        <stp>CL2 Comdty</stp>
        <stp>RSI_9D</stp>
        <stp>09/09/2016</stp>
        <stp>09/09/2016</stp>
        <stp>[Bbg_Market_Data_CL.xlsm]data!R146C12</stp>
        <tr r="L146" s="1"/>
      </tp>
      <tp t="s">
        <v>#N/A Requesting Data...</v>
        <stp/>
        <stp>##V3_BDHV12</stp>
        <stp>CL1 Comdty</stp>
        <stp>RSI_9D</stp>
        <stp>29/08/2016</stp>
        <stp>29/08/2016</stp>
        <stp>[Bbg_Market_Data_CL.xlsm]data!R154C12</stp>
        <tr r="L154" s="1"/>
      </tp>
      <tp t="s">
        <v>#N/A Requesting Data...</v>
        <stp/>
        <stp>##V3_BDHV12</stp>
        <stp>CL2 Comdty</stp>
        <stp>RSI_9D</stp>
        <stp>19/08/2016</stp>
        <stp>19/08/2016</stp>
        <stp>[Bbg_Market_Data_CL.xlsm]data!R160C12</stp>
        <tr r="L160" s="1"/>
      </tp>
      <tp t="s">
        <v>#N/A Requesting Data...</v>
        <stp/>
        <stp>##V3_BDHV12</stp>
        <stp>CL1 Comdty</stp>
        <stp>RSI_9D</stp>
        <stp>19/08/2015</stp>
        <stp>19/08/2015</stp>
        <stp>[Bbg_Market_Data_CL.xlsm]data!R409C12</stp>
        <tr r="L409" s="1"/>
      </tp>
      <tp t="s">
        <v>#N/A Requesting Data...</v>
        <stp/>
        <stp>##V3_BDHV12</stp>
        <stp>CL1 Comdty</stp>
        <stp>30DAY_IMPVOL_110.0%MNY_DF</stp>
        <stp>22/09/2016</stp>
        <stp>22/09/2016</stp>
        <stp>[Bbg_Market_Data_CL.xlsm]data!R136C22</stp>
        <tr r="V136" s="1"/>
      </tp>
      <tp t="s">
        <v>#N/A Requesting Data...</v>
        <stp/>
        <stp>##V3_BDHV12</stp>
        <stp>CL1 Comdty</stp>
        <stp>30DAY_IMPVOL_100.0%MNY_DF</stp>
        <stp>22/08/2016</stp>
        <stp>22/08/2016</stp>
        <stp>[Bbg_Market_Data_CL.xlsm]data!R158C20</stp>
        <tr r="T158" s="1"/>
      </tp>
      <tp t="s">
        <v>#N/A Requesting Data...</v>
        <stp/>
        <stp>##V3_BDHV12</stp>
        <stp>CL1 Comdty</stp>
        <stp>30DAY_IMPVOL_110.0%MNY_DF</stp>
        <stp>03/09/2015</stp>
        <stp>03/09/2015</stp>
        <stp>[Bbg_Market_Data_CL.xlsm]data!R397C22</stp>
        <tr r="V397" s="1"/>
      </tp>
      <tp t="s">
        <v>#N/A Requesting Data...</v>
        <stp/>
        <stp>##V3_BDHV12</stp>
        <stp>CL1 Comdty</stp>
        <stp>30DAY_IMPVOL_105.0%MNY_DF</stp>
        <stp>12/08/2015</stp>
        <stp>12/08/2015</stp>
        <stp>[Bbg_Market_Data_CL.xlsm]data!R413C19</stp>
        <tr r="S413" s="1"/>
      </tp>
      <tp t="s">
        <v>#N/A Requesting Data...</v>
        <stp/>
        <stp>##V3_BDHV12</stp>
        <stp>CL1 Comdty</stp>
        <stp>30DAY_IMPVOL_100.0%MNY_DF</stp>
        <stp>23/09/2016</stp>
        <stp>23/09/2016</stp>
        <stp>[Bbg_Market_Data_CL.xlsm]data!R135C20</stp>
        <tr r="T135" s="1"/>
      </tp>
      <tp t="s">
        <v>#N/A Requesting Data...</v>
        <stp/>
        <stp>##V3_BDHV12</stp>
        <stp>CL1 Comdty</stp>
        <stp>30DAY_IMPVOL_110.0%MNY_DF</stp>
        <stp>23/08/2016</stp>
        <stp>23/08/2016</stp>
        <stp>[Bbg_Market_Data_CL.xlsm]data!R157C22</stp>
        <tr r="V157" s="1"/>
      </tp>
      <tp t="s">
        <v>#N/A Requesting Data...</v>
        <stp/>
        <stp>##V3_BDHV12</stp>
        <stp>CL1 Comdty</stp>
        <stp>30DAY_IMPVOL_105.0%MNY_DF</stp>
        <stp>03/08/2015</stp>
        <stp>03/08/2015</stp>
        <stp>[Bbg_Market_Data_CL.xlsm]data!R420C19</stp>
        <tr r="S420" s="1"/>
      </tp>
      <tp t="s">
        <v>#N/A Requesting Data...</v>
        <stp/>
        <stp>##V3_BDHV12</stp>
        <stp>CL1 Comdty</stp>
        <stp>30DAY_IMPVOL_100.0%MNY_DF</stp>
        <stp>02/09/2015</stp>
        <stp>02/09/2015</stp>
        <stp>[Bbg_Market_Data_CL.xlsm]data!R398C20</stp>
        <tr r="T398" s="1"/>
      </tp>
      <tp t="s">
        <v>#N/A Requesting Data...</v>
        <stp/>
        <stp>##V3_BDHV12</stp>
        <stp>CL1 Comdty</stp>
        <stp>30DAY_IMPVOL_110.0%MNY_DF</stp>
        <stp>10/08/2016</stp>
        <stp>10/08/2016</stp>
        <stp>[Bbg_Market_Data_CL.xlsm]data!R166C22</stp>
        <tr r="V166" s="1"/>
      </tp>
      <tp t="s">
        <v>#N/A Requesting Data...</v>
        <stp/>
        <stp>##V3_BDHV12</stp>
        <stp>CL1 Comdty</stp>
        <stp>30DAY_IMPVOL_110.0%MNY_DF</stp>
        <stp>21/09/2015</stp>
        <stp>21/09/2015</stp>
        <stp>[Bbg_Market_Data_CL.xlsm]data!R386C22</stp>
        <tr r="V386" s="1"/>
      </tp>
      <tp t="s">
        <v>#N/A Requesting Data...</v>
        <stp/>
        <stp>##V3_BDHV12</stp>
        <stp>CL1 Comdty</stp>
        <stp>30DAY_IMPVOL_100.0%MNY_DF</stp>
        <stp>11/08/2016</stp>
        <stp>11/08/2016</stp>
        <stp>[Bbg_Market_Data_CL.xlsm]data!R165C20</stp>
        <tr r="T165" s="1"/>
      </tp>
      <tp t="s">
        <v>#N/A Requesting Data...</v>
        <stp/>
        <stp>##V3_BDHV12</stp>
        <stp>CL1 Comdty</stp>
        <stp>30DAY_IMPVOL_110.0%MNY_DF</stp>
        <stp>30/09/2015</stp>
        <stp>30/09/2015</stp>
        <stp>[Bbg_Market_Data_CL.xlsm]data!R379C22</stp>
        <tr r="V379" s="1"/>
      </tp>
      <tp t="s">
        <v>#N/A Requesting Data...</v>
        <stp/>
        <stp>##V3_BDHV12</stp>
        <stp>CL1 Comdty</stp>
        <stp>30DAY_IMPVOL_100.0%MNY_DF</stp>
        <stp>01/09/2016</stp>
        <stp>01/09/2016</stp>
        <stp>[Bbg_Market_Data_CL.xlsm]data!R150C20</stp>
        <tr r="T150" s="1"/>
      </tp>
      <tp t="s">
        <v>#N/A Requesting Data...</v>
        <stp/>
        <stp>##V3_BDHV12</stp>
        <stp>CL1 Comdty</stp>
        <stp>30DAY_IMPVOL_110.0%MNY_DF</stp>
        <stp>01/08/2016</stp>
        <stp>01/08/2016</stp>
        <stp>[Bbg_Market_Data_CL.xlsm]data!R172C22</stp>
        <tr r="V172" s="1"/>
      </tp>
      <tp t="s">
        <v>#N/A Requesting Data...</v>
        <stp/>
        <stp>##V3_BDHV12</stp>
        <stp>CL1 Comdty</stp>
        <stp>30DAY_IMPVOL_105.0%MNY_DF</stp>
        <stp>21/08/2015</stp>
        <stp>21/08/2015</stp>
        <stp>[Bbg_Market_Data_CL.xlsm]data!R406C19</stp>
        <tr r="S406" s="1"/>
      </tp>
      <tp t="s">
        <v>#N/A Requesting Data...</v>
        <stp/>
        <stp>##V3_BDHV12</stp>
        <stp>CL1 Comdty</stp>
        <stp>30DAY_IMPVOL_110.0%MNY_DF</stp>
        <stp>20/08/2015</stp>
        <stp>20/08/2015</stp>
        <stp>[Bbg_Market_Data_CL.xlsm]data!R407C22</stp>
        <tr r="V407" s="1"/>
      </tp>
      <tp t="s">
        <v>#N/A Requesting Data...</v>
        <stp/>
        <stp>##V3_BDHV12</stp>
        <stp>CL1 Comdty</stp>
        <stp>30DAY_IMPVOL_110.0%MNY_DF</stp>
        <stp>31/08/2015</stp>
        <stp>31/08/2015</stp>
        <stp>[Bbg_Market_Data_CL.xlsm]data!R400C22</stp>
        <tr r="V400" s="1"/>
      </tp>
      <tp t="s">
        <v>#N/A Requesting Data...</v>
        <stp/>
        <stp>##V3_BDHV12</stp>
        <stp>CL1 Comdty</stp>
        <stp>30DAY_IMPVOL_100.0%MNY_DF</stp>
        <stp>21/08/2015</stp>
        <stp>21/08/2015</stp>
        <stp>[Bbg_Market_Data_CL.xlsm]data!R406C20</stp>
        <tr r="T406" s="1"/>
      </tp>
      <tp t="s">
        <v>#N/A Requesting Data...</v>
        <stp/>
        <stp>##V3_BDHV12</stp>
        <stp>CL1 Comdty</stp>
        <stp>30DAY_IMPVOL_105.0%MNY_DF</stp>
        <stp>11/08/2016</stp>
        <stp>11/08/2016</stp>
        <stp>[Bbg_Market_Data_CL.xlsm]data!R165C19</stp>
        <tr r="S165" s="1"/>
      </tp>
      <tp t="s">
        <v>#N/A Requesting Data...</v>
        <stp/>
        <stp>##V3_BDHV12</stp>
        <stp>CL1 Comdty</stp>
        <stp>30DAY_IMPVOL_105.0%MNY_DF</stp>
        <stp>01/09/2016</stp>
        <stp>01/09/2016</stp>
        <stp>[Bbg_Market_Data_CL.xlsm]data!R150C19</stp>
        <tr r="S150" s="1"/>
      </tp>
      <tp t="s">
        <v>#N/A Requesting Data...</v>
        <stp/>
        <stp>##V3_BDHV12</stp>
        <stp>CL1 Comdty</stp>
        <stp>30DAY_IMPVOL_100.0%MNY_DF</stp>
        <stp>12/08/2015</stp>
        <stp>12/08/2015</stp>
        <stp>[Bbg_Market_Data_CL.xlsm]data!R413C20</stp>
        <tr r="T413" s="1"/>
      </tp>
      <tp t="s">
        <v>#N/A Requesting Data...</v>
        <stp/>
        <stp>##V3_BDHV12</stp>
        <stp>CL1 Comdty</stp>
        <stp>30DAY_IMPVOL_105.0%MNY_DF</stp>
        <stp>22/08/2016</stp>
        <stp>22/08/2016</stp>
        <stp>[Bbg_Market_Data_CL.xlsm]data!R158C19</stp>
        <tr r="S158" s="1"/>
      </tp>
      <tp t="s">
        <v>#N/A Requesting Data...</v>
        <stp/>
        <stp>##V3_BDHV12</stp>
        <stp>CL1 Comdty</stp>
        <stp>30DAY_IMPVOL_100.0%MNY_DF</stp>
        <stp>03/08/2015</stp>
        <stp>03/08/2015</stp>
        <stp>[Bbg_Market_Data_CL.xlsm]data!R420C20</stp>
        <tr r="T420" s="1"/>
      </tp>
      <tp t="s">
        <v>#N/A Requesting Data...</v>
        <stp/>
        <stp>##V3_BDHV12</stp>
        <stp>CL1 Comdty</stp>
        <stp>30DAY_IMPVOL_110.0%MNY_DF</stp>
        <stp>13/08/2015</stp>
        <stp>13/08/2015</stp>
        <stp>[Bbg_Market_Data_CL.xlsm]data!R412C22</stp>
        <tr r="V412" s="1"/>
      </tp>
      <tp t="s">
        <v>#N/A Requesting Data...</v>
        <stp/>
        <stp>##V3_BDHV12</stp>
        <stp>CL1 Comdty</stp>
        <stp>30DAY_IMPVOL_105.0%MNY_DF</stp>
        <stp>02/09/2015</stp>
        <stp>02/09/2015</stp>
        <stp>[Bbg_Market_Data_CL.xlsm]data!R398C19</stp>
        <tr r="S398" s="1"/>
      </tp>
      <tp t="s">
        <v>#N/A Requesting Data...</v>
        <stp/>
        <stp>##V3_BDHV12</stp>
        <stp>CL1 Comdty</stp>
        <stp>30DAY_IMPVOL_105.0%MNY_DF</stp>
        <stp>23/09/2016</stp>
        <stp>23/09/2016</stp>
        <stp>[Bbg_Market_Data_CL.xlsm]data!R135C19</stp>
        <tr r="S135" s="1"/>
      </tp>
      <tp t="s">
        <v>#N/A Requesting Data...</v>
        <stp/>
        <stp>##V3_BDHV12</stp>
        <stp>CL1 Comdty</stp>
        <stp>30DAY_IMPVOL_110.0%MNY_DF</stp>
        <stp>08/01/2016</stp>
        <stp>08/01/2016</stp>
        <stp>[Bbg_Market_Data_CL.xlsm]data!R312C22</stp>
        <tr r="V312" s="1"/>
      </tp>
      <tp t="s">
        <v>#N/A Requesting Data...</v>
        <stp/>
        <stp>##V3_BDHV12</stp>
        <stp>CL1 Comdty</stp>
        <stp>30DAY_IMPVOL_110.0%MNY_DF</stp>
        <stp>29/02/2016</stp>
        <stp>29/02/2016</stp>
        <stp>[Bbg_Market_Data_CL.xlsm]data!R279C22</stp>
        <tr r="V279" s="1"/>
      </tp>
      <tp t="s">
        <v>#N/A Requesting Data...</v>
        <stp/>
        <stp>##V3_BDHV12</stp>
        <stp>CL1 Comdty</stp>
        <stp>30DAY_IMPVOL_100.0%MNY_DF</stp>
        <stp>29/03/2016</stp>
        <stp>29/03/2016</stp>
        <stp>[Bbg_Market_Data_CL.xlsm]data!R259C20</stp>
        <tr r="T259" s="1"/>
      </tp>
      <tp t="s">
        <v>#N/A Requesting Data...</v>
        <stp/>
        <stp>##V3_BDHV12</stp>
        <stp>CL1 Comdty</stp>
        <stp>30DAY_IMPVOL_110.0%MNY_DF</stp>
        <stp>19/01/2016</stp>
        <stp>19/01/2016</stp>
        <stp>[Bbg_Market_Data_CL.xlsm]data!R306C22</stp>
        <tr r="V306" s="1"/>
      </tp>
      <tp t="s">
        <v>#N/A Requesting Data...</v>
        <stp/>
        <stp>##V3_BDHV12</stp>
        <stp>CL1 Comdty</stp>
        <stp>30DAY_IMPVOL_110.0%MNY_DF</stp>
        <stp>28/03/2016</stp>
        <stp>28/03/2016</stp>
        <stp>[Bbg_Market_Data_CL.xlsm]data!R260C22</stp>
        <tr r="V260" s="1"/>
      </tp>
      <tp t="s">
        <v>#N/A Requesting Data...</v>
        <stp/>
        <stp>##V3_BDHV12</stp>
        <stp>CL1 Comdty</stp>
        <stp>30DAY_IMPVOL_100.0%MNY_DF</stp>
        <stp>09/12/2015</stp>
        <stp>09/12/2015</stp>
        <stp>[Bbg_Market_Data_CL.xlsm]data!R332C20</stp>
        <tr r="T332" s="1"/>
      </tp>
      <tp t="s">
        <v>#N/A Requesting Data...</v>
        <stp/>
        <stp>##V3_BDHV12</stp>
        <stp>CL1 Comdty</stp>
        <stp>30DAY_IMPVOL_110.0%MNY_DF</stp>
        <stp>18/10/2016</stp>
        <stp>18/10/2016</stp>
        <stp>[Bbg_Market_Data_CL.xlsm]data!R119C22</stp>
        <tr r="V119" s="1"/>
      </tp>
      <tp t="s">
        <v>#N/A Requesting Data...</v>
        <stp/>
        <stp>##V3_BDHV12</stp>
        <stp>CL1 Comdty</stp>
        <stp>30DAY_IMPVOL_110.0%MNY_DF</stp>
        <stp>08/11/2016</stp>
        <stp>08/11/2016</stp>
        <stp>[Bbg_Market_Data_CL.xlsm]data!R104C22</stp>
        <tr r="V104" s="1"/>
      </tp>
      <tp t="s">
        <v>#N/A Requesting Data...</v>
        <stp/>
        <stp>##V3_BDHV12</stp>
        <stp>CL1 Comdty</stp>
        <stp>30DAY_IMPVOL_100.0%MNY_DF</stp>
        <stp>29/10/2015</stp>
        <stp>29/10/2015</stp>
        <stp>[Bbg_Market_Data_CL.xlsm]data!R359C20</stp>
        <tr r="T359" s="1"/>
      </tp>
      <tp t="s">
        <v>#N/A Requesting Data...</v>
        <stp/>
        <stp>##V3_BDHV12</stp>
        <stp>CL1 Comdty</stp>
        <stp>30DAY_IMPVOL_100.0%MNY_DF</stp>
        <stp>18/12/2015</stp>
        <stp>18/12/2015</stp>
        <stp>[Bbg_Market_Data_CL.xlsm]data!R325C20</stp>
        <tr r="T325" s="1"/>
      </tp>
      <tp t="s">
        <v>#N/A Requesting Data...</v>
        <stp/>
        <stp>##V3_BDHV12</stp>
        <stp>CL1 Comdty</stp>
        <stp>30DAY_IMPVOL_110.0%MNY_DF</stp>
        <stp>08/12/2015</stp>
        <stp>08/12/2015</stp>
        <stp>[Bbg_Market_Data_CL.xlsm]data!R333C22</stp>
        <tr r="V333" s="1"/>
      </tp>
      <tp t="s">
        <v>#N/A Requesting Data...</v>
        <stp/>
        <stp>##V3_BDHV12</stp>
        <stp>CL1 Comdty</stp>
        <stp>30DAY_IMPVOL_100.0%MNY_DF</stp>
        <stp>19/10/2016</stp>
        <stp>19/10/2016</stp>
        <stp>[Bbg_Market_Data_CL.xlsm]data!R118C20</stp>
        <tr r="T118" s="1"/>
      </tp>
      <tp t="s">
        <v>#N/A Requesting Data...</v>
        <stp/>
        <stp>##V3_BDHV12</stp>
        <stp>CL1 Comdty</stp>
        <stp>30DAY_IMPVOL_100.0%MNY_DF</stp>
        <stp>09/11/2016</stp>
        <stp>09/11/2016</stp>
        <stp>[Bbg_Market_Data_CL.xlsm]data!R103C20</stp>
        <tr r="T103" s="1"/>
      </tp>
      <tp t="s">
        <v>#N/A Requesting Data...</v>
        <stp/>
        <stp>##V3_BDHV12</stp>
        <stp>CL1 Comdty</stp>
        <stp>30DAY_IMPVOL_110.0%MNY_DF</stp>
        <stp>28/10/2015</stp>
        <stp>28/10/2015</stp>
        <stp>[Bbg_Market_Data_CL.xlsm]data!R360C22</stp>
        <tr r="V360" s="1"/>
      </tp>
      <tp t="s">
        <v>#N/A Requesting Data...</v>
        <stp/>
        <stp>##V3_BDHV12</stp>
        <stp>CL1 Comdty</stp>
        <stp>30DAY_IMPVOL_105.0%MNY_DF</stp>
        <stp>09/12/2015</stp>
        <stp>09/12/2015</stp>
        <stp>[Bbg_Market_Data_CL.xlsm]data!R332C19</stp>
        <tr r="S332" s="1"/>
      </tp>
      <tp t="s">
        <v>#N/A Requesting Data...</v>
        <stp/>
        <stp>##V3_BDHV12</stp>
        <stp>CL1 Comdty</stp>
        <stp>30DAY_IMPVOL_105.0%MNY_DF</stp>
        <stp>29/10/2015</stp>
        <stp>29/10/2015</stp>
        <stp>[Bbg_Market_Data_CL.xlsm]data!R359C19</stp>
        <tr r="S359" s="1"/>
      </tp>
      <tp t="s">
        <v>#N/A Requesting Data...</v>
        <stp/>
        <stp>##V3_BDHV12</stp>
        <stp>CL1 Comdty</stp>
        <stp>30DAY_IMPVOL_105.0%MNY_DF</stp>
        <stp>18/12/2015</stp>
        <stp>18/12/2015</stp>
        <stp>[Bbg_Market_Data_CL.xlsm]data!R325C19</stp>
        <tr r="S325" s="1"/>
      </tp>
      <tp t="s">
        <v>#N/A Requesting Data...</v>
        <stp/>
        <stp>##V3_BDHV12</stp>
        <stp>CL1 Comdty</stp>
        <stp>30DAY_IMPVOL_105.0%MNY_DF</stp>
        <stp>09/11/2016</stp>
        <stp>09/11/2016</stp>
        <stp>[Bbg_Market_Data_CL.xlsm]data!R103C19</stp>
        <tr r="S103" s="1"/>
      </tp>
      <tp t="s">
        <v>#N/A Requesting Data...</v>
        <stp/>
        <stp>##V3_BDHV12</stp>
        <stp>CL1 Comdty</stp>
        <stp>30DAY_IMPVOL_105.0%MNY_DF</stp>
        <stp>19/10/2016</stp>
        <stp>19/10/2016</stp>
        <stp>[Bbg_Market_Data_CL.xlsm]data!R118C19</stp>
        <tr r="S118" s="1"/>
      </tp>
      <tp t="s">
        <v>#N/A Requesting Data...</v>
        <stp/>
        <stp>##V3_BDHV12</stp>
        <stp>CL1 Comdty</stp>
        <stp>30DAY_IMPVOL_105.0%MNY_DF</stp>
        <stp>29/03/2016</stp>
        <stp>29/03/2016</stp>
        <stp>[Bbg_Market_Data_CL.xlsm]data!R259C19</stp>
        <tr r="S259" s="1"/>
      </tp>
      <tp t="s">
        <v>#N/A Requesting Data...</v>
        <stp/>
        <stp>##V3_BDHV12</stp>
        <stp>CL1 Comdty</stp>
        <stp>30DAY_IMPVOL_90.0%MNY_DF</stp>
        <stp>05/01/2017</stp>
        <stp>05/01/2017</stp>
        <stp>[Bbg_Market_Data_CL.xlsm]data!R66C23</stp>
        <tr r="W66" s="1"/>
      </tp>
      <tp t="s">
        <v>#N/A Requesting Data...</v>
        <stp/>
        <stp>##V3_BDHV12</stp>
        <stp>CL1 Comdty</stp>
        <stp>30DAY_IMPVOL_95.0%MNY_DF</stp>
        <stp>05/01/2017</stp>
        <stp>05/01/2017</stp>
        <stp>[Bbg_Market_Data_CL.xlsm]data!R66C21</stp>
        <tr r="U66" s="1"/>
      </tp>
      <tp t="s">
        <v>#N/A Requesting Data...</v>
        <stp/>
        <stp>##V3_BDHV12</stp>
        <stp>CL1 Comdty</stp>
        <stp>30DAY_IMPVOL_90.0%MNY_DF</stp>
        <stp>04/01/2017</stp>
        <stp>04/01/2017</stp>
        <stp>[Bbg_Market_Data_CL.xlsm]data!R67C23</stp>
        <tr r="W67" s="1"/>
      </tp>
      <tp t="s">
        <v>#N/A Requesting Data...</v>
        <stp/>
        <stp>##V3_BDHV12</stp>
        <stp>CL1 Comdty</stp>
        <stp>30DAY_IMPVOL_95.0%MNY_DF</stp>
        <stp>24/03/2017</stp>
        <stp>24/03/2017</stp>
        <stp>[Bbg_Market_Data_CL.xlsm]data!R12C21</stp>
        <tr r="U12" s="1"/>
      </tp>
      <tp t="s">
        <v>#N/A Requesting Data...</v>
        <stp/>
        <stp>##V3_BDHV12</stp>
        <stp>CL1 Comdty</stp>
        <stp>30DAY_IMPVOL_95.0%MNY_DF</stp>
        <stp>04/01/2017</stp>
        <stp>04/01/2017</stp>
        <stp>[Bbg_Market_Data_CL.xlsm]data!R67C21</stp>
        <tr r="U67" s="1"/>
      </tp>
      <tp t="s">
        <v>#N/A Requesting Data...</v>
        <stp/>
        <stp>##V3_BDHV12</stp>
        <stp>CL1 Comdty</stp>
        <stp>30DAY_IMPVOL_90.0%MNY_DF</stp>
        <stp>24/03/2017</stp>
        <stp>24/03/2017</stp>
        <stp>[Bbg_Market_Data_CL.xlsm]data!R12C23</stp>
        <tr r="W12" s="1"/>
      </tp>
      <tp t="s">
        <v>#N/A Requesting Data...</v>
        <stp/>
        <stp>##V3_BDHV12</stp>
        <stp>CL1 Comdty</stp>
        <stp>30DAY_IMPVOL_95.0%MNY_DF</stp>
        <stp>27/03/2017</stp>
        <stp>27/03/2017</stp>
        <stp>[Bbg_Market_Data_CL.xlsm]data!R11C21</stp>
        <tr r="U11" s="1"/>
      </tp>
      <tp t="s">
        <v>#N/A Requesting Data...</v>
        <stp/>
        <stp>##V3_BDHV12</stp>
        <stp>CL1 Comdty</stp>
        <stp>30DAY_IMPVOL_90.0%MNY_DF</stp>
        <stp>27/12/2016</stp>
        <stp>27/12/2016</stp>
        <stp>[Bbg_Market_Data_CL.xlsm]data!R72C23</stp>
        <tr r="W72" s="1"/>
      </tp>
      <tp t="s">
        <v>#N/A Requesting Data...</v>
        <stp/>
        <stp>##V3_BDHV12</stp>
        <stp>CL1 Comdty</stp>
        <stp>30DAY_IMPVOL_90.0%MNY_DF</stp>
        <stp>27/03/2017</stp>
        <stp>27/03/2017</stp>
        <stp>[Bbg_Market_Data_CL.xlsm]data!R11C23</stp>
        <tr r="W11" s="1"/>
      </tp>
      <tp t="s">
        <v>#N/A Requesting Data...</v>
        <stp/>
        <stp>##V3_BDHV12</stp>
        <stp>CL1 Comdty</stp>
        <stp>30DAY_IMPVOL_95.0%MNY_DF</stp>
        <stp>27/12/2016</stp>
        <stp>27/12/2016</stp>
        <stp>[Bbg_Market_Data_CL.xlsm]data!R72C21</stp>
        <tr r="U72" s="1"/>
      </tp>
      <tp t="s">
        <v>#N/A Requesting Data...</v>
        <stp/>
        <stp>##V3_BDHV12</stp>
        <stp>CL1 Comdty</stp>
        <stp>30DAY_IMPVOL_95.0%MNY_DF</stp>
        <stp>17/11/2016</stp>
        <stp>17/11/2016</stp>
        <stp>[Bbg_Market_Data_CL.xlsm]data!R98C21</stp>
        <tr r="U98" s="1"/>
      </tp>
      <tp t="s">
        <v>#N/A Requesting Data...</v>
        <stp/>
        <stp>##V3_BDHV12</stp>
        <stp>CL1 Comdty</stp>
        <stp>30DAY_IMPVOL_90.0%MNY_DF</stp>
        <stp>17/11/2016</stp>
        <stp>17/11/2016</stp>
        <stp>[Bbg_Market_Data_CL.xlsm]data!R98C23</stp>
        <tr r="W98" s="1"/>
      </tp>
      <tp t="s">
        <v>#N/A Requesting Data...</v>
        <stp/>
        <stp>##V3_BDHV12</stp>
        <stp>CL1 Comdty</stp>
        <stp>30DAY_IMPVOL_90.0%MNY_DF</stp>
        <stp>06/01/2017</stp>
        <stp>06/01/2017</stp>
        <stp>[Bbg_Market_Data_CL.xlsm]data!R65C23</stp>
        <tr r="W65" s="1"/>
      </tp>
      <tp t="s">
        <v>#N/A Requesting Data...</v>
        <stp/>
        <stp>##V3_BDHV12</stp>
        <stp>CL1 Comdty</stp>
        <stp>30DAY_IMPVOL_95.0%MNY_DF</stp>
        <stp>06/01/2017</stp>
        <stp>06/01/2017</stp>
        <stp>[Bbg_Market_Data_CL.xlsm]data!R65C21</stp>
        <tr r="U65" s="1"/>
      </tp>
      <tp t="s">
        <v>#N/A Requesting Data...</v>
        <stp/>
        <stp>##V3_BDHV12</stp>
        <stp>CL1 Comdty</stp>
        <stp>30DAY_IMPVOL_95.0%MNY_DF</stp>
        <stp>16/11/2016</stp>
        <stp>16/11/2016</stp>
        <stp>[Bbg_Market_Data_CL.xlsm]data!R99C21</stp>
        <tr r="U99" s="1"/>
      </tp>
      <tp t="s">
        <v>#N/A Requesting Data...</v>
        <stp/>
        <stp>##V3_BDHV12</stp>
        <stp>CL1 Comdty</stp>
        <stp>30DAY_IMPVOL_90.0%MNY_DF</stp>
        <stp>16/11/2016</stp>
        <stp>16/11/2016</stp>
        <stp>[Bbg_Market_Data_CL.xlsm]data!R99C23</stp>
        <tr r="W99" s="1"/>
      </tp>
      <tp t="s">
        <v>#N/A Requesting Data...</v>
        <stp/>
        <stp>##V3_BDHV12</stp>
        <stp>CL1 Comdty</stp>
        <stp>30DAY_IMPVOL_90.0%MNY_DF</stp>
        <stp>21/03/2017</stp>
        <stp>21/03/2017</stp>
        <stp>[Bbg_Market_Data_CL.xlsm]data!R15C23</stp>
        <tr r="W15" s="1"/>
      </tp>
      <tp t="s">
        <v>#N/A Requesting Data...</v>
        <stp/>
        <stp>##V3_BDHV12</stp>
        <stp>CL1 Comdty</stp>
        <stp>30DAY_IMPVOL_95.0%MNY_DF</stp>
        <stp>21/12/2016</stp>
        <stp>21/12/2016</stp>
        <stp>[Bbg_Market_Data_CL.xlsm]data!R75C21</stp>
        <tr r="U75" s="1"/>
      </tp>
      <tp t="s">
        <v>#N/A Requesting Data...</v>
        <stp/>
        <stp>##V3_BDHV12</stp>
        <stp>CL1 Comdty</stp>
        <stp>30DAY_IMPVOL_95.0%MNY_DF</stp>
        <stp>21/03/2017</stp>
        <stp>21/03/2017</stp>
        <stp>[Bbg_Market_Data_CL.xlsm]data!R15C21</stp>
        <tr r="U15" s="1"/>
      </tp>
      <tp t="s">
        <v>#N/A Requesting Data...</v>
        <stp/>
        <stp>##V3_BDHV12</stp>
        <stp>CL1 Comdty</stp>
        <stp>30DAY_IMPVOL_90.0%MNY_DF</stp>
        <stp>21/12/2016</stp>
        <stp>21/12/2016</stp>
        <stp>[Bbg_Market_Data_CL.xlsm]data!R75C23</stp>
        <tr r="W75" s="1"/>
      </tp>
      <tp t="s">
        <v>#N/A Requesting Data...</v>
        <stp/>
        <stp>##V3_BDHV12</stp>
        <stp>CL1 Comdty</stp>
        <stp>30DAY_IMPVOL_95.0%MNY_DF</stp>
        <stp>20/12/2016</stp>
        <stp>20/12/2016</stp>
        <stp>[Bbg_Market_Data_CL.xlsm]data!R76C21</stp>
        <tr r="U76" s="1"/>
      </tp>
      <tp t="s">
        <v>#N/A Requesting Data...</v>
        <stp/>
        <stp>##V3_BDHV12</stp>
        <stp>CL1 Comdty</stp>
        <stp>30DAY_IMPVOL_90.0%MNY_DF</stp>
        <stp>20/03/2017</stp>
        <stp>20/03/2017</stp>
        <stp>[Bbg_Market_Data_CL.xlsm]data!R16C23</stp>
        <tr r="W16" s="1"/>
      </tp>
      <tp t="s">
        <v>#N/A Requesting Data...</v>
        <stp/>
        <stp>##V3_BDHV12</stp>
        <stp>CL1 Comdty</stp>
        <stp>30DAY_IMPVOL_90.0%MNY_DF</stp>
        <stp>20/12/2016</stp>
        <stp>20/12/2016</stp>
        <stp>[Bbg_Market_Data_CL.xlsm]data!R76C23</stp>
        <tr r="W76" s="1"/>
      </tp>
      <tp t="s">
        <v>#N/A Requesting Data...</v>
        <stp/>
        <stp>##V3_BDHV12</stp>
        <stp>CL1 Comdty</stp>
        <stp>30DAY_IMPVOL_95.0%MNY_DF</stp>
        <stp>20/03/2017</stp>
        <stp>20/03/2017</stp>
        <stp>[Bbg_Market_Data_CL.xlsm]data!R16C21</stp>
        <tr r="U16" s="1"/>
      </tp>
      <tp t="s">
        <v>#N/A Requesting Data...</v>
        <stp/>
        <stp>##V3_BDHV12</stp>
        <stp>CL1 Comdty</stp>
        <stp>30DAY_IMPVOL_90.0%MNY_DF</stp>
        <stp>23/03/2017</stp>
        <stp>23/03/2017</stp>
        <stp>[Bbg_Market_Data_CL.xlsm]data!R13C23</stp>
        <tr r="W13" s="1"/>
      </tp>
      <tp t="s">
        <v>#N/A Requesting Data...</v>
        <stp/>
        <stp>##V3_BDHV12</stp>
        <stp>CL1 Comdty</stp>
        <stp>30DAY_IMPVOL_95.0%MNY_DF</stp>
        <stp>23/12/2016</stp>
        <stp>23/12/2016</stp>
        <stp>[Bbg_Market_Data_CL.xlsm]data!R73C21</stp>
        <tr r="U73" s="1"/>
      </tp>
      <tp t="s">
        <v>#N/A Requesting Data...</v>
        <stp/>
        <stp>##V3_BDHV12</stp>
        <stp>CL1 Comdty</stp>
        <stp>30DAY_IMPVOL_95.0%MNY_DF</stp>
        <stp>03/01/2017</stp>
        <stp>03/01/2017</stp>
        <stp>[Bbg_Market_Data_CL.xlsm]data!R68C21</stp>
        <tr r="U68" s="1"/>
      </tp>
      <tp t="s">
        <v>#N/A Requesting Data...</v>
        <stp/>
        <stp>##V3_BDHV12</stp>
        <stp>CL1 Comdty</stp>
        <stp>30DAY_IMPVOL_95.0%MNY_DF</stp>
        <stp>23/03/2017</stp>
        <stp>23/03/2017</stp>
        <stp>[Bbg_Market_Data_CL.xlsm]data!R13C21</stp>
        <tr r="U13" s="1"/>
      </tp>
      <tp t="s">
        <v>#N/A Requesting Data...</v>
        <stp/>
        <stp>##V3_BDHV12</stp>
        <stp>CL1 Comdty</stp>
        <stp>30DAY_IMPVOL_90.0%MNY_DF</stp>
        <stp>23/12/2016</stp>
        <stp>23/12/2016</stp>
        <stp>[Bbg_Market_Data_CL.xlsm]data!R73C23</stp>
        <tr r="W73" s="1"/>
      </tp>
      <tp t="s">
        <v>#N/A Requesting Data...</v>
        <stp/>
        <stp>##V3_BDHV12</stp>
        <stp>CL1 Comdty</stp>
        <stp>30DAY_IMPVOL_90.0%MNY_DF</stp>
        <stp>03/01/2017</stp>
        <stp>03/01/2017</stp>
        <stp>[Bbg_Market_Data_CL.xlsm]data!R68C23</stp>
        <tr r="W68" s="1"/>
      </tp>
      <tp t="s">
        <v>#N/A Requesting Data...</v>
        <stp/>
        <stp>##V3_BDHV12</stp>
        <stp>CL1 Comdty</stp>
        <stp>30DAY_IMPVOL_95.0%MNY_DF</stp>
        <stp>22/12/2016</stp>
        <stp>22/12/2016</stp>
        <stp>[Bbg_Market_Data_CL.xlsm]data!R74C21</stp>
        <tr r="U74" s="1"/>
      </tp>
      <tp t="s">
        <v>#N/A Requesting Data...</v>
        <stp/>
        <stp>##V3_BDHV12</stp>
        <stp>CL1 Comdty</stp>
        <stp>30DAY_IMPVOL_90.0%MNY_DF</stp>
        <stp>22/03/2017</stp>
        <stp>22/03/2017</stp>
        <stp>[Bbg_Market_Data_CL.xlsm]data!R14C23</stp>
        <tr r="W14" s="1"/>
      </tp>
      <tp t="s">
        <v>#N/A Requesting Data...</v>
        <stp/>
        <stp>##V3_BDHV12</stp>
        <stp>CL1 Comdty</stp>
        <stp>30DAY_IMPVOL_90.0%MNY_DF</stp>
        <stp>22/12/2016</stp>
        <stp>22/12/2016</stp>
        <stp>[Bbg_Market_Data_CL.xlsm]data!R74C23</stp>
        <tr r="W74" s="1"/>
      </tp>
      <tp t="s">
        <v>#N/A Requesting Data...</v>
        <stp/>
        <stp>##V3_BDHV12</stp>
        <stp>CL1 Comdty</stp>
        <stp>30DAY_IMPVOL_95.0%MNY_DF</stp>
        <stp>22/03/2017</stp>
        <stp>22/03/2017</stp>
        <stp>[Bbg_Market_Data_CL.xlsm]data!R14C21</stp>
        <tr r="U14" s="1"/>
      </tp>
      <tp t="s">
        <v>#N/A Requesting Data...</v>
        <stp/>
        <stp>##V3_BDHV12</stp>
        <stp>CL1 Comdty</stp>
        <stp>30DAY_IMPVOL_95.0%MNY_DF</stp>
        <stp>09/01/2017</stp>
        <stp>09/01/2017</stp>
        <stp>[Bbg_Market_Data_CL.xlsm]data!R64C21</stp>
        <tr r="U64" s="1"/>
      </tp>
      <tp t="s">
        <v>#N/A Requesting Data...</v>
        <stp/>
        <stp>##V3_BDHV12</stp>
        <stp>CL1 Comdty</stp>
        <stp>30DAY_IMPVOL_95.0%MNY_DF</stp>
        <stp>29/12/2016</stp>
        <stp>29/12/2016</stp>
        <stp>[Bbg_Market_Data_CL.xlsm]data!R70C21</stp>
        <tr r="U70" s="1"/>
      </tp>
      <tp t="s">
        <v>#N/A Requesting Data...</v>
        <stp/>
        <stp>##V3_BDHV12</stp>
        <stp>CL1 Comdty</stp>
        <stp>30DAY_IMPVOL_90.0%MNY_DF</stp>
        <stp>09/01/2017</stp>
        <stp>09/01/2017</stp>
        <stp>[Bbg_Market_Data_CL.xlsm]data!R64C23</stp>
        <tr r="W64" s="1"/>
      </tp>
      <tp t="s">
        <v>#N/A Requesting Data...</v>
        <stp/>
        <stp>##V3_BDHV12</stp>
        <stp>CL1 Comdty</stp>
        <stp>30DAY_IMPVOL_90.0%MNY_DF</stp>
        <stp>29/12/2016</stp>
        <stp>29/12/2016</stp>
        <stp>[Bbg_Market_Data_CL.xlsm]data!R70C23</stp>
        <tr r="W70" s="1"/>
      </tp>
      <tp t="s">
        <v>#N/A Requesting Data...</v>
        <stp/>
        <stp>##V3_BDHV12</stp>
        <stp>CL1 Comdty</stp>
        <stp>30DAY_IMPVOL_90.0%MNY_DF</stp>
        <stp>18/11/2016</stp>
        <stp>18/11/2016</stp>
        <stp>[Bbg_Market_Data_CL.xlsm]data!R97C23</stp>
        <tr r="W97" s="1"/>
      </tp>
      <tp t="s">
        <v>#N/A Requesting Data...</v>
        <stp/>
        <stp>##V3_BDHV12</stp>
        <stp>CL1 Comdty</stp>
        <stp>30DAY_IMPVOL_95.0%MNY_DF</stp>
        <stp>18/11/2016</stp>
        <stp>18/11/2016</stp>
        <stp>[Bbg_Market_Data_CL.xlsm]data!R97C21</stp>
        <tr r="U97" s="1"/>
      </tp>
      <tp t="s">
        <v>#N/A Requesting Data...</v>
        <stp/>
        <stp>##V3_BDHV12</stp>
        <stp>CL1 Comdty</stp>
        <stp>30DAY_IMPVOL_90.0%MNY_DF</stp>
        <stp>28/03/2017</stp>
        <stp>28/03/2017</stp>
        <stp>[Bbg_Market_Data_CL.xlsm]data!R10C23</stp>
        <tr r="W10" s="1"/>
      </tp>
      <tp t="s">
        <v>#N/A Requesting Data...</v>
        <stp/>
        <stp>##V3_BDHV12</stp>
        <stp>CL1 Comdty</stp>
        <stp>30DAY_IMPVOL_95.0%MNY_DF</stp>
        <stp>28/12/2016</stp>
        <stp>28/12/2016</stp>
        <stp>[Bbg_Market_Data_CL.xlsm]data!R71C21</stp>
        <tr r="U71" s="1"/>
      </tp>
      <tp t="s">
        <v>#N/A Requesting Data...</v>
        <stp/>
        <stp>##V3_BDHV12</stp>
        <stp>CL1 Comdty</stp>
        <stp>30DAY_IMPVOL_90.0%MNY_DF</stp>
        <stp>28/12/2016</stp>
        <stp>28/12/2016</stp>
        <stp>[Bbg_Market_Data_CL.xlsm]data!R71C23</stp>
        <tr r="W71" s="1"/>
      </tp>
      <tp t="s">
        <v>#N/A Requesting Data...</v>
        <stp/>
        <stp>##V3_BDHV12</stp>
        <stp>CL1 Comdty</stp>
        <stp>30DAY_IMPVOL_95.0%MNY_DF</stp>
        <stp>28/03/2017</stp>
        <stp>28/03/2017</stp>
        <stp>[Bbg_Market_Data_CL.xlsm]data!R10C21</stp>
        <tr r="U10" s="1"/>
      </tp>
      <tp t="s">
        <v>#N/A Requesting Data...</v>
        <stp/>
        <stp>##V3_BDHV12</stp>
        <stp>CL2 Comdty</stp>
        <stp>RSI_9D</stp>
        <stp>03/02/2016</stp>
        <stp>03/02/2016</stp>
        <stp>[Bbg_Market_Data_CL.xlsm]data!R296C12</stp>
        <tr r="L296" s="1"/>
      </tp>
      <tp t="s">
        <v>#N/A Requesting Data...</v>
        <stp/>
        <stp>##V3_BDHV12</stp>
        <stp>CL2 Comdty</stp>
        <stp>RSI_9D</stp>
        <stp>22/01/2016</stp>
        <stp>22/01/2016</stp>
        <stp>[Bbg_Market_Data_CL.xlsm]data!R304C12</stp>
        <tr r="L304" s="1"/>
      </tp>
      <tp t="s">
        <v>#N/A Requesting Data...</v>
        <stp/>
        <stp>##V3_BDHV12</stp>
        <stp>CL1 Comdty</stp>
        <stp>RSI_9D</stp>
        <stp>20/10/2016</stp>
        <stp>20/10/2016</stp>
        <stp>[Bbg_Market_Data_CL.xlsm]data!R118C12</stp>
        <tr r="L118" s="1"/>
      </tp>
      <tp t="s">
        <v>#N/A Requesting Data...</v>
        <stp/>
        <stp>##V3_BDHV12</stp>
        <stp>CL1 Comdty</stp>
        <stp>RSI_9D</stp>
        <stp>12/01/2016</stp>
        <stp>12/01/2016</stp>
        <stp>[Bbg_Market_Data_CL.xlsm]data!R311C12</stp>
        <tr r="L311" s="1"/>
      </tp>
      <tp t="s">
        <v>#N/A Requesting Data...</v>
        <stp/>
        <stp>##V3_BDHV12</stp>
        <stp>CL2 Comdty</stp>
        <stp>RSI_9D</stp>
        <stp>11/12/2015</stp>
        <stp>11/12/2015</stp>
        <stp>[Bbg_Market_Data_CL.xlsm]data!R331C12</stp>
        <tr r="L331" s="1"/>
      </tp>
      <tp t="s">
        <v>#N/A Requesting Data...</v>
        <stp/>
        <stp>##V3_BDHV12</stp>
        <stp>CL1 Comdty</stp>
        <stp>RSI_9D</stp>
        <stp>21/12/2015</stp>
        <stp>21/12/2015</stp>
        <stp>[Bbg_Market_Data_CL.xlsm]data!R325C12</stp>
        <tr r="L325" s="1"/>
      </tp>
      <tp t="s">
        <v>#N/A Requesting Data...</v>
        <stp/>
        <stp>##V3_BDHV12</stp>
        <stp>CL1 Comdty</stp>
        <stp>RSI_9D</stp>
        <stp>06/07/2015</stp>
        <stp>06/07/2015</stp>
        <stp>[Bbg_Market_Data_CL.xlsm]data!R441C12</stp>
        <tr r="L441" s="1"/>
      </tp>
      <tp t="s">
        <v>#N/A Requesting Data...</v>
        <stp/>
        <stp>##V3_BDHV12</stp>
        <stp>CL2 Comdty</stp>
        <stp>RSI_9D</stp>
        <stp>26/06/2015</stp>
        <stp>26/06/2015</stp>
        <stp>[Bbg_Market_Data_CL.xlsm]data!R446C12</stp>
        <tr r="L446" s="1"/>
      </tp>
      <tp t="s">
        <v>#N/A Requesting Data...</v>
        <stp/>
        <stp>##V3_BDHV12</stp>
        <stp>CL1 Comdty</stp>
        <stp>RSI_9D</stp>
        <stp>16/06/2015</stp>
        <stp>16/06/2015</stp>
        <stp>[Bbg_Market_Data_CL.xlsm]data!R454C12</stp>
        <tr r="L454" s="1"/>
      </tp>
      <tp t="s">
        <v>#N/A Requesting Data...</v>
        <stp/>
        <stp>##V3_BDHV12</stp>
        <stp>CL1 Comdty</stp>
        <stp>RSI_9D</stp>
        <stp>23/03/2016</stp>
        <stp>23/03/2016</stp>
        <stp>[Bbg_Market_Data_CL.xlsm]data!R263C12</stp>
        <tr r="L263" s="1"/>
      </tp>
      <tp t="s">
        <v>#N/A Requesting Data...</v>
        <stp/>
        <stp>##V3_BDHV12</stp>
        <stp>CL1 Comdty</stp>
        <stp>RSI_9D</stp>
        <stp>26/05/2015</stp>
        <stp>26/05/2015</stp>
        <stp>[Bbg_Market_Data_CL.xlsm]data!R469C12</stp>
        <tr r="L469" s="1"/>
      </tp>
      <tp t="s">
        <v>#N/A Requesting Data...</v>
        <stp/>
        <stp>##V3_BDHV12</stp>
        <stp>CL1 Comdty</stp>
        <stp>RSI_9D</stp>
        <stp>01/10/2015</stp>
        <stp>01/10/2015</stp>
        <stp>[Bbg_Market_Data_CL.xlsm]data!R379C12</stp>
        <tr r="L379" s="1"/>
      </tp>
      <tp t="s">
        <v>#N/A Requesting Data...</v>
        <stp/>
        <stp>##V3_BDHV12</stp>
        <stp>CL1 Comdty</stp>
        <stp>RSI_9D</stp>
        <stp>22/02/2016</stp>
        <stp>22/02/2016</stp>
        <stp>[Bbg_Market_Data_CL.xlsm]data!R285C12</stp>
        <tr r="L285" s="1"/>
      </tp>
      <tp t="s">
        <v>#N/A Requesting Data...</v>
        <stp/>
        <stp>##V3_BDHV12</stp>
        <stp>CL2 Comdty</stp>
        <stp>RSI_9D</stp>
        <stp>07/05/2015</stp>
        <stp>07/05/2015</stp>
        <stp>[Bbg_Market_Data_CL.xlsm]data!R481C12</stp>
        <tr r="L481" s="1"/>
      </tp>
      <tp t="s">
        <v>#N/A Requesting Data...</v>
        <stp/>
        <stp>##V3_BDHV12</stp>
        <stp>CL1 Comdty</stp>
        <stp>RSI_9D</stp>
        <stp>27/04/2015</stp>
        <stp>27/04/2015</stp>
        <stp>[Bbg_Market_Data_CL.xlsm]data!R489C12</stp>
        <tr r="L489" s="1"/>
      </tp>
      <tp t="s">
        <v>#N/A Requesting Data...</v>
        <stp/>
        <stp>##V3_BDHV12</stp>
        <stp>CL2 Comdty</stp>
        <stp>RSI_9D</stp>
        <stp>12/02/2016</stp>
        <stp>12/02/2016</stp>
        <stp>[Bbg_Market_Data_CL.xlsm]data!R289C12</stp>
        <tr r="L289" s="1"/>
      </tp>
      <tp t="s">
        <v>#N/A Requesting Data...</v>
        <stp/>
        <stp>##V3_BDHV12</stp>
        <stp>CL2 Comdty</stp>
        <stp>RSI_9D</stp>
        <stp>17/04/2015</stp>
        <stp>17/04/2015</stp>
        <stp>[Bbg_Market_Data_CL.xlsm]data!R495C12</stp>
        <tr r="L495" s="1"/>
      </tp>
      <tp t="s">
        <v>#N/A Requesting Data...</v>
        <stp/>
        <stp>##V3_BDHV12</stp>
        <stp>CL1 Comdty</stp>
        <stp>RSI_9D</stp>
        <stp>31/10/2016</stp>
        <stp>31/10/2016</stp>
        <stp>[Bbg_Market_Data_CL.xlsm]data!R111C12</stp>
        <tr r="L111" s="1"/>
      </tp>
      <tp t="s">
        <v>#N/A Requesting Data...</v>
        <stp/>
        <stp>##V3_BDHV12</stp>
        <stp>CL1 Comdty</stp>
        <stp>RSI_9D</stp>
        <stp>30/12/2015</stp>
        <stp>30/12/2015</stp>
        <stp>[Bbg_Market_Data_CL.xlsm]data!R319C12</stp>
        <tr r="L319" s="1"/>
      </tp>
      <tp t="s">
        <v>#N/A Requesting Data...</v>
        <stp/>
        <stp>##V3_BDHV12</stp>
        <stp>CL2 Comdty</stp>
        <stp>RSI_9D</stp>
        <stp>27/07/2015</stp>
        <stp>27/07/2015</stp>
        <stp>[Bbg_Market_Data_CL.xlsm]data!R426C12</stp>
        <tr r="L426" s="1"/>
      </tp>
      <tp t="s">
        <v>#N/A Requesting Data...</v>
        <stp/>
        <stp>##V3_BDHV12</stp>
        <stp>CL1 Comdty</stp>
        <stp>RSI_9D</stp>
        <stp>17/07/2015</stp>
        <stp>17/07/2015</stp>
        <stp>[Bbg_Market_Data_CL.xlsm]data!R432C12</stp>
        <tr r="L432" s="1"/>
      </tp>
      <tp t="s">
        <v>#N/A Requesting Data...</v>
        <stp/>
        <stp>##V3_BDHV12</stp>
        <stp>CL2 Comdty</stp>
        <stp>RSI_9D</stp>
        <stp>30/11/2015</stp>
        <stp>30/11/2015</stp>
        <stp>[Bbg_Market_Data_CL.xlsm]data!R340C12</stp>
        <tr r="L340" s="1"/>
      </tp>
      <tp t="s">
        <v>#N/A Requesting Data...</v>
        <stp/>
        <stp>##V3_BDHV12</stp>
        <stp>CL2 Comdty</stp>
        <stp>RSI_9D</stp>
        <stp>20/10/2015</stp>
        <stp>20/10/2015</stp>
        <stp>[Bbg_Market_Data_CL.xlsm]data!R367C12</stp>
        <tr r="L367" s="1"/>
      </tp>
      <tp t="s">
        <v>#N/A Requesting Data...</v>
        <stp/>
        <stp>##V3_BDHV12</stp>
        <stp>CL2 Comdty</stp>
        <stp>RSI_9D</stp>
        <stp>02/03/2016</stp>
        <stp>02/03/2016</stp>
        <stp>[Bbg_Market_Data_CL.xlsm]data!R278C12</stp>
        <tr r="L278" s="1"/>
      </tp>
      <tp t="s">
        <v>#N/A Requesting Data...</v>
        <stp/>
        <stp>##V3_BDHV12</stp>
        <stp>CL1 Comdty</stp>
        <stp>RSI_9D</stp>
        <stp>04/05/2015</stp>
        <stp>04/05/2015</stp>
        <stp>[Bbg_Market_Data_CL.xlsm]data!R484C12</stp>
        <tr r="L484" s="1"/>
      </tp>
      <tp t="s">
        <v>#N/A Requesting Data...</v>
        <stp/>
        <stp>##V3_BDHV12</stp>
        <stp>CL2 Comdty</stp>
        <stp>RSI_9D</stp>
        <stp>24/04/2015</stp>
        <stp>24/04/2015</stp>
        <stp>[Bbg_Market_Data_CL.xlsm]data!R490C12</stp>
        <tr r="L490" s="1"/>
      </tp>
      <tp t="s">
        <v>#N/A Requesting Data...</v>
        <stp/>
        <stp>##V3_BDHV12</stp>
        <stp>CL1 Comdty</stp>
        <stp>RSI_9D</stp>
        <stp>11/02/2016</stp>
        <stp>11/02/2016</stp>
        <stp>[Bbg_Market_Data_CL.xlsm]data!R290C12</stp>
        <tr r="L290" s="1"/>
      </tp>
      <tp t="s">
        <v>#N/A Requesting Data...</v>
        <stp/>
        <stp>##V3_BDHV12</stp>
        <stp>CL1 Comdty</stp>
        <stp>RSI_9D</stp>
        <stp>14/04/2015</stp>
        <stp>14/04/2015</stp>
        <stp>[Bbg_Market_Data_CL.xlsm]data!R498C12</stp>
        <tr r="L498" s="1"/>
      </tp>
      <tp t="s">
        <v>#N/A Requesting Data...</v>
        <stp/>
        <stp>##V3_BDHV12</stp>
        <stp>CL1 Comdty</stp>
        <stp>RSI_9D</stp>
        <stp>03/12/2015</stp>
        <stp>03/12/2015</stp>
        <stp>[Bbg_Market_Data_CL.xlsm]data!R337C12</stp>
        <tr r="L337" s="1"/>
      </tp>
      <tp t="s">
        <v>#N/A Requesting Data...</v>
        <stp/>
        <stp>##V3_BDHV12</stp>
        <stp>CL1 Comdty</stp>
        <stp>RSI_9D</stp>
        <stp>24/07/2015</stp>
        <stp>24/07/2015</stp>
        <stp>[Bbg_Market_Data_CL.xlsm]data!R427C12</stp>
        <tr r="L427" s="1"/>
      </tp>
      <tp t="s">
        <v>#N/A Requesting Data...</v>
        <stp/>
        <stp>##V3_BDHV12</stp>
        <stp>CL2 Comdty</stp>
        <stp>RSI_9D</stp>
        <stp>14/07/2015</stp>
        <stp>14/07/2015</stp>
        <stp>[Bbg_Market_Data_CL.xlsm]data!R435C12</stp>
        <tr r="L435" s="1"/>
      </tp>
      <tp t="s">
        <v>#N/A Requesting Data...</v>
        <stp/>
        <stp>##V3_BDHV12</stp>
        <stp>CL2 Comdty</stp>
        <stp>RSI_9D</stp>
        <stp>03/11/2015</stp>
        <stp>03/11/2015</stp>
        <stp>[Bbg_Market_Data_CL.xlsm]data!R357C12</stp>
        <tr r="L357" s="1"/>
      </tp>
      <tp t="s">
        <v>#N/A Requesting Data...</v>
        <stp/>
        <stp>##V3_BDHV12</stp>
        <stp>CL2 Comdty</stp>
        <stp>RSI_9D</stp>
        <stp>31/03/2016</stp>
        <stp>31/03/2016</stp>
        <stp>[Bbg_Market_Data_CL.xlsm]data!R258C12</stp>
        <tr r="L258" s="1"/>
      </tp>
      <tp t="s">
        <v>#N/A Requesting Data...</v>
        <stp/>
        <stp>##V3_BDHV12</stp>
        <stp>CL2 Comdty</stp>
        <stp>RSI_9D</stp>
        <stp>04/06/2015</stp>
        <stp>04/06/2015</stp>
        <stp>[Bbg_Market_Data_CL.xlsm]data!R462C12</stp>
        <tr r="L462" s="1"/>
      </tp>
      <tp t="s">
        <v>#N/A Requesting Data...</v>
        <stp/>
        <stp>##V3_BDHV12</stp>
        <stp>CL2 Comdty</stp>
        <stp>RSI_9D</stp>
        <stp>13/10/2015</stp>
        <stp>13/10/2015</stp>
        <stp>[Bbg_Market_Data_CL.xlsm]data!R372C12</stp>
        <tr r="L372" s="1"/>
      </tp>
      <tp t="s">
        <v>#N/A Requesting Data...</v>
        <stp/>
        <stp>##V3_BDHV12</stp>
        <stp>CL1 Comdty</stp>
        <stp>RSI_9D</stp>
        <stp>23/10/2015</stp>
        <stp>23/10/2015</stp>
        <stp>[Bbg_Market_Data_CL.xlsm]data!R364C12</stp>
        <tr r="L364" s="1"/>
      </tp>
      <tp t="s">
        <v>#N/A Requesting Data...</v>
        <stp/>
        <stp>##V3_BDHV12</stp>
        <stp>CL1 Comdty</stp>
        <stp>RSI_9D</stp>
        <stp>01/03/2016</stp>
        <stp>01/03/2016</stp>
        <stp>[Bbg_Market_Data_CL.xlsm]data!R279C12</stp>
        <tr r="L279" s="1"/>
      </tp>
      <tp t="s">
        <v>#N/A Requesting Data...</v>
        <stp/>
        <stp>##V3_BDHV12</stp>
        <stp>CL1 Comdty</stp>
        <stp>RSI_9D</stp>
        <stp>21/01/2016</stp>
        <stp>21/01/2016</stp>
        <stp>[Bbg_Market_Data_CL.xlsm]data!R305C12</stp>
        <tr r="L305" s="1"/>
      </tp>
      <tp t="s">
        <v>#N/A Requesting Data...</v>
        <stp/>
        <stp>##V3_BDHV12</stp>
        <stp>CL2 Comdty</stp>
        <stp>RSI_9D</stp>
        <stp>11/01/2016</stp>
        <stp>11/01/2016</stp>
        <stp>[Bbg_Market_Data_CL.xlsm]data!R312C12</stp>
        <tr r="L312" s="1"/>
      </tp>
      <tp t="s">
        <v>#N/A Requesting Data...</v>
        <stp/>
        <stp>##V3_BDHV12</stp>
        <stp>CL1 Comdty</stp>
        <stp>RSI_9D</stp>
        <stp>03/11/2016</stp>
        <stp>03/11/2016</stp>
        <stp>[Bbg_Market_Data_CL.xlsm]data!R108C12</stp>
        <tr r="L108" s="1"/>
      </tp>
      <tp t="s">
        <v>#N/A Requesting Data...</v>
        <stp/>
        <stp>##V3_BDHV12</stp>
        <stp>CL2 Comdty</stp>
        <stp>RSI_9D</stp>
        <stp>22/12/2015</stp>
        <stp>22/12/2015</stp>
        <stp>[Bbg_Market_Data_CL.xlsm]data!R324C12</stp>
        <tr r="L324" s="1"/>
      </tp>
      <tp t="s">
        <v>#N/A Requesting Data...</v>
        <stp/>
        <stp>##V3_BDHV12</stp>
        <stp>CL1 Comdty</stp>
        <stp>RSI_9D</stp>
        <stp>13/10/2016</stp>
        <stp>13/10/2016</stp>
        <stp>[Bbg_Market_Data_CL.xlsm]data!R123C12</stp>
        <tr r="L123" s="1"/>
      </tp>
      <tp t="s">
        <v>#N/A Requesting Data...</v>
        <stp/>
        <stp>##V3_BDHV12</stp>
        <stp>CL2 Comdty</stp>
        <stp>RSI_9D</stp>
        <stp>12/11/2015</stp>
        <stp>12/11/2015</stp>
        <stp>[Bbg_Market_Data_CL.xlsm]data!R351C12</stp>
        <tr r="L351" s="1"/>
      </tp>
      <tp t="s">
        <v>#N/A Requesting Data...</v>
        <stp/>
        <stp>##V3_BDHV12</stp>
        <stp>CL1 Comdty</stp>
        <stp>RSI_9D</stp>
        <stp>25/06/2015</stp>
        <stp>25/06/2015</stp>
        <stp>[Bbg_Market_Data_CL.xlsm]data!R447C12</stp>
        <tr r="L447" s="1"/>
      </tp>
      <tp t="s">
        <v>#N/A Requesting Data...</v>
        <stp/>
        <stp>##V3_BDHV12</stp>
        <stp>CL2 Comdty</stp>
        <stp>RSI_9D</stp>
        <stp>15/06/2015</stp>
        <stp>15/06/2015</stp>
        <stp>[Bbg_Market_Data_CL.xlsm]data!R455C12</stp>
        <tr r="L455" s="1"/>
      </tp>
      <tp t="s">
        <v>#N/A Requesting Data...</v>
        <stp/>
        <stp>##V3_BDHV12</stp>
        <stp>CL2 Comdty</stp>
        <stp>RSI_9D</stp>
        <stp>02/10/2015</stp>
        <stp>02/10/2015</stp>
        <stp>[Bbg_Market_Data_CL.xlsm]data!R378C12</stp>
        <tr r="L378" s="1"/>
      </tp>
      <tp t="s">
        <v>#N/A Requesting Data...</v>
        <stp/>
        <stp>##V3_BDHV12</stp>
        <stp>CL1 Comdty</stp>
        <stp>RSI_9D</stp>
        <stp>15/05/2015</stp>
        <stp>15/05/2015</stp>
        <stp>[Bbg_Market_Data_CL.xlsm]data!R475C12</stp>
        <tr r="L475" s="1"/>
      </tp>
      <tp t="s">
        <v>#N/A Requesting Data...</v>
        <stp/>
        <stp>##V3_BDHV12</stp>
        <stp>CL1 Comdty</stp>
        <stp>RSI_9D</stp>
        <stp>10/03/2016</stp>
        <stp>10/03/2016</stp>
        <stp>[Bbg_Market_Data_CL.xlsm]data!R272C12</stp>
        <tr r="L272" s="1"/>
      </tp>
      <tp t="s">
        <v>#N/A Requesting Data...</v>
        <stp/>
        <stp>##V3_BDHV12</stp>
        <stp>CL1 Comdty</stp>
        <stp>RSI_9D</stp>
        <stp>14/07/2016</stp>
        <stp>14/07/2016</stp>
        <stp>[Bbg_Market_Data_CL.xlsm]data!R185C12</stp>
        <tr r="L185" s="1"/>
      </tp>
      <tp t="s">
        <v>#N/A Requesting Data...</v>
        <stp/>
        <stp>##V3_BDHV12</stp>
        <stp>CL2 Comdty</stp>
        <stp>RSI_9D</stp>
        <stp>07/06/2016</stp>
        <stp>07/06/2016</stp>
        <stp>[Bbg_Market_Data_CL.xlsm]data!R211C12</stp>
        <tr r="L211" s="1"/>
      </tp>
      <tp t="s">
        <v>#N/A Requesting Data...</v>
        <stp/>
        <stp>##V3_BDHV12</stp>
        <stp>CL2 Comdty</stp>
        <stp>RSI_9D</stp>
        <stp>27/04/2016</stp>
        <stp>27/04/2016</stp>
        <stp>[Bbg_Market_Data_CL.xlsm]data!R239C12</stp>
        <tr r="L239" s="1"/>
      </tp>
      <tp t="s">
        <v>#N/A Requesting Data...</v>
        <stp/>
        <stp>##V3_BDHV12</stp>
        <stp>CL1 Comdty</stp>
        <stp>RSI_9D</stp>
        <stp>05/07/2016</stp>
        <stp>05/07/2016</stp>
        <stp>[Bbg_Market_Data_CL.xlsm]data!R192C12</stp>
        <tr r="L192" s="1"/>
      </tp>
      <tp t="s">
        <v>#N/A Requesting Data...</v>
        <stp/>
        <stp>##V3_BDHV12</stp>
        <stp>CL2 Comdty</stp>
        <stp>RSI_9D</stp>
        <stp>16/06/2016</stp>
        <stp>16/06/2016</stp>
        <stp>[Bbg_Market_Data_CL.xlsm]data!R204C12</stp>
        <tr r="L204" s="1"/>
      </tp>
      <tp t="s">
        <v>#N/A Requesting Data...</v>
        <stp/>
        <stp>##V3_BDHV12</stp>
        <stp>CL2 Comdty</stp>
        <stp>RSI_9D</stp>
        <stp>26/05/2016</stp>
        <stp>26/05/2016</stp>
        <stp>[Bbg_Market_Data_CL.xlsm]data!R218C12</stp>
        <tr r="L218" s="1"/>
      </tp>
      <tp t="s">
        <v>#N/A Requesting Data...</v>
        <stp/>
        <stp>##V3_BDHV12</stp>
        <stp>CL1 Comdty</stp>
        <stp>RSI_9D</stp>
        <stp>16/05/2016</stp>
        <stp>16/05/2016</stp>
        <stp>[Bbg_Market_Data_CL.xlsm]data!R226C12</stp>
        <tr r="L226" s="1"/>
      </tp>
      <tp t="s">
        <v>#N/A Requesting Data...</v>
        <stp/>
        <stp>##V3_BDHV12</stp>
        <stp>CL1 Comdty</stp>
        <stp>RSI_9D</stp>
        <stp>06/04/2016</stp>
        <stp>06/04/2016</stp>
        <stp>[Bbg_Market_Data_CL.xlsm]data!R254C12</stp>
        <tr r="L254" s="1"/>
      </tp>
      <tp t="s">
        <v>#N/A Requesting Data...</v>
        <stp/>
        <stp>##V3_BDHV12</stp>
        <stp>CL2 Comdty</stp>
        <stp>RSI_9D</stp>
        <stp>06/07/2016</stp>
        <stp>06/07/2016</stp>
        <stp>[Bbg_Market_Data_CL.xlsm]data!R191C12</stp>
        <tr r="L191" s="1"/>
      </tp>
      <tp t="s">
        <v>#N/A Requesting Data...</v>
        <stp/>
        <stp>##V3_BDHV12</stp>
        <stp>CL1 Comdty</stp>
        <stp>RSI_9D</stp>
        <stp>15/06/2016</stp>
        <stp>15/06/2016</stp>
        <stp>[Bbg_Market_Data_CL.xlsm]data!R205C12</stp>
        <tr r="L205" s="1"/>
      </tp>
      <tp t="s">
        <v>#N/A Requesting Data...</v>
        <stp/>
        <stp>##V3_BDHV12</stp>
        <stp>CL1 Comdty</stp>
        <stp>RSI_9D</stp>
        <stp>25/05/2016</stp>
        <stp>25/05/2016</stp>
        <stp>[Bbg_Market_Data_CL.xlsm]data!R219C12</stp>
        <tr r="L219" s="1"/>
      </tp>
      <tp t="s">
        <v>#N/A Requesting Data...</v>
        <stp/>
        <stp>##V3_BDHV12</stp>
        <stp>CL2 Comdty</stp>
        <stp>RSI_9D</stp>
        <stp>05/04/2016</stp>
        <stp>05/04/2016</stp>
        <stp>[Bbg_Market_Data_CL.xlsm]data!R255C12</stp>
        <tr r="L255" s="1"/>
      </tp>
      <tp t="s">
        <v>#N/A Requesting Data...</v>
        <stp/>
        <stp>##V3_BDHV12</stp>
        <stp>CL2 Comdty</stp>
        <stp>RSI_9D</stp>
        <stp>04/05/2016</stp>
        <stp>04/05/2016</stp>
        <stp>[Bbg_Market_Data_CL.xlsm]data!R234C12</stp>
        <tr r="L234" s="1"/>
      </tp>
      <tp t="s">
        <v>#N/A Requesting Data...</v>
        <stp/>
        <stp>##V3_BDHV12</stp>
        <stp>CL2 Comdty</stp>
        <stp>RSI_9D</stp>
        <stp>14/04/2016</stp>
        <stp>14/04/2016</stp>
        <stp>[Bbg_Market_Data_CL.xlsm]data!R248C12</stp>
        <tr r="L248" s="1"/>
      </tp>
      <tp t="s">
        <v>#N/A Requesting Data...</v>
        <stp/>
        <stp>##V3_BDHV12</stp>
        <stp>CL1 Comdty</stp>
        <stp>RSI_9D</stp>
        <stp>27/07/2016</stp>
        <stp>27/07/2016</stp>
        <stp>[Bbg_Market_Data_CL.xlsm]data!R176C12</stp>
        <tr r="L176" s="1"/>
      </tp>
      <tp t="s">
        <v>#N/A Requesting Data...</v>
        <stp/>
        <stp>##V3_BDHV12</stp>
        <stp>CL2 Comdty</stp>
        <stp>RSI_9D</stp>
        <stp>29/09/2015</stp>
        <stp>29/09/2015</stp>
        <stp>[Bbg_Market_Data_CL.xlsm]data!R381C12</stp>
        <tr r="L381" s="1"/>
      </tp>
      <tp t="s">
        <v>#N/A Requesting Data...</v>
        <stp/>
        <stp>##V3_BDHV12</stp>
        <stp>CL2 Comdty</stp>
        <stp>RSI_9D</stp>
        <stp>08/09/2016</stp>
        <stp>08/09/2016</stp>
        <stp>[Bbg_Market_Data_CL.xlsm]data!R147C12</stp>
        <tr r="L147" s="1"/>
      </tp>
      <tp t="s">
        <v>#N/A Requesting Data...</v>
        <stp/>
        <stp>##V3_BDHV12</stp>
        <stp>CL2 Comdty</stp>
        <stp>RSI_9D</stp>
        <stp>18/08/2016</stp>
        <stp>18/08/2016</stp>
        <stp>[Bbg_Market_Data_CL.xlsm]data!R161C12</stp>
        <tr r="L161" s="1"/>
      </tp>
      <tp t="s">
        <v>#N/A Requesting Data...</v>
        <stp/>
        <stp>##V3_BDHV12</stp>
        <stp>CL1 Comdty</stp>
        <stp>RSI_9D</stp>
        <stp>08/09/2015</stp>
        <stp>08/09/2015</stp>
        <stp>[Bbg_Market_Data_CL.xlsm]data!R396C12</stp>
        <tr r="L396" s="1"/>
      </tp>
      <tp t="s">
        <v>#N/A Requesting Data...</v>
        <stp/>
        <stp>##V3_BDHV12</stp>
        <stp>CL1 Comdty</stp>
        <stp>RSI_9D</stp>
        <stp>29/09/2016</stp>
        <stp>29/09/2016</stp>
        <stp>[Bbg_Market_Data_CL.xlsm]data!R132C12</stp>
        <tr r="L132" s="1"/>
      </tp>
      <tp t="s">
        <v>#N/A Requesting Data...</v>
        <stp/>
        <stp>##V3_BDHV12</stp>
        <stp>CL2 Comdty</stp>
        <stp>RSI_9D</stp>
        <stp>19/09/2016</stp>
        <stp>19/09/2016</stp>
        <stp>[Bbg_Market_Data_CL.xlsm]data!R140C12</stp>
        <tr r="L140" s="1"/>
      </tp>
      <tp t="s">
        <v>#N/A Requesting Data...</v>
        <stp/>
        <stp>##V3_BDHV12</stp>
        <stp>CL2 Comdty</stp>
        <stp>RSI_9D</stp>
        <stp>09/08/2016</stp>
        <stp>09/08/2016</stp>
        <stp>[Bbg_Market_Data_CL.xlsm]data!R168C12</stp>
        <tr r="L168" s="1"/>
      </tp>
      <tp t="s">
        <v>#N/A Requesting Data...</v>
        <stp/>
        <stp>##V3_BDHV12</stp>
        <stp>CL2 Comdty</stp>
        <stp>RSI_9D</stp>
        <stp>28/08/2015</stp>
        <stp>28/08/2015</stp>
        <stp>[Bbg_Market_Data_CL.xlsm]data!R402C12</stp>
        <tr r="L402" s="1"/>
      </tp>
      <tp t="s">
        <v>#N/A Requesting Data...</v>
        <stp/>
        <stp>##V3_BDHV12</stp>
        <stp>CL1 Comdty</stp>
        <stp>RSI_9D</stp>
        <stp>18/08/2015</stp>
        <stp>18/08/2015</stp>
        <stp>[Bbg_Market_Data_CL.xlsm]data!R410C12</stp>
        <tr r="L410" s="1"/>
      </tp>
      <tp t="s">
        <v>#N/A Requesting Data...</v>
        <stp/>
        <stp>##V3_BDHV12</stp>
        <stp>CL1 Comdty</stp>
        <stp>30DAY_IMPVOL_100.0%MNY_DF</stp>
        <stp>22/09/2016</stp>
        <stp>22/09/2016</stp>
        <stp>[Bbg_Market_Data_CL.xlsm]data!R136C20</stp>
        <tr r="T136" s="1"/>
      </tp>
      <tp t="s">
        <v>#N/A Requesting Data...</v>
        <stp/>
        <stp>##V3_BDHV12</stp>
        <stp>CL1 Comdty</stp>
        <stp>30DAY_IMPVOL_110.0%MNY_DF</stp>
        <stp>22/08/2016</stp>
        <stp>22/08/2016</stp>
        <stp>[Bbg_Market_Data_CL.xlsm]data!R158C22</stp>
        <tr r="V158" s="1"/>
      </tp>
      <tp t="s">
        <v>#N/A Requesting Data...</v>
        <stp/>
        <stp>##V3_BDHV12</stp>
        <stp>CL1 Comdty</stp>
        <stp>30DAY_IMPVOL_100.0%MNY_DF</stp>
        <stp>03/09/2015</stp>
        <stp>03/09/2015</stp>
        <stp>[Bbg_Market_Data_CL.xlsm]data!R397C20</stp>
        <tr r="T397" s="1"/>
      </tp>
      <tp t="s">
        <v>#N/A Requesting Data...</v>
        <stp/>
        <stp>##V3_BDHV12</stp>
        <stp>CL1 Comdty</stp>
        <stp>30DAY_IMPVOL_110.0%MNY_DF</stp>
        <stp>23/09/2016</stp>
        <stp>23/09/2016</stp>
        <stp>[Bbg_Market_Data_CL.xlsm]data!R135C22</stp>
        <tr r="V135" s="1"/>
      </tp>
      <tp t="s">
        <v>#N/A Requesting Data...</v>
        <stp/>
        <stp>##V3_BDHV12</stp>
        <stp>CL1 Comdty</stp>
        <stp>30DAY_IMPVOL_100.0%MNY_DF</stp>
        <stp>23/08/2016</stp>
        <stp>23/08/2016</stp>
        <stp>[Bbg_Market_Data_CL.xlsm]data!R157C20</stp>
        <tr r="T157" s="1"/>
      </tp>
      <tp t="s">
        <v>#N/A Requesting Data...</v>
        <stp/>
        <stp>##V3_BDHV12</stp>
        <stp>CL1 Comdty</stp>
        <stp>30DAY_IMPVOL_110.0%MNY_DF</stp>
        <stp>02/09/2015</stp>
        <stp>02/09/2015</stp>
        <stp>[Bbg_Market_Data_CL.xlsm]data!R398C22</stp>
        <tr r="V398" s="1"/>
      </tp>
      <tp t="s">
        <v>#N/A Requesting Data...</v>
        <stp/>
        <stp>##V3_BDHV12</stp>
        <stp>CL1 Comdty</stp>
        <stp>30DAY_IMPVOL_105.0%MNY_DF</stp>
        <stp>13/08/2015</stp>
        <stp>13/08/2015</stp>
        <stp>[Bbg_Market_Data_CL.xlsm]data!R412C19</stp>
        <tr r="S412" s="1"/>
      </tp>
      <tp t="s">
        <v>#N/A Requesting Data...</v>
        <stp/>
        <stp>##V3_BDHV12</stp>
        <stp>CL1 Comdty</stp>
        <stp>30DAY_IMPVOL_100.0%MNY_DF</stp>
        <stp>10/08/2016</stp>
        <stp>10/08/2016</stp>
        <stp>[Bbg_Market_Data_CL.xlsm]data!R166C20</stp>
        <tr r="T166" s="1"/>
      </tp>
      <tp t="s">
        <v>#N/A Requesting Data...</v>
        <stp/>
        <stp>##V3_BDHV12</stp>
        <stp>CL1 Comdty</stp>
        <stp>30DAY_IMPVOL_100.0%MNY_DF</stp>
        <stp>21/09/2015</stp>
        <stp>21/09/2015</stp>
        <stp>[Bbg_Market_Data_CL.xlsm]data!R386C20</stp>
        <tr r="T386" s="1"/>
      </tp>
      <tp t="s">
        <v>#N/A Requesting Data...</v>
        <stp/>
        <stp>##V3_BDHV12</stp>
        <stp>CL1 Comdty</stp>
        <stp>30DAY_IMPVOL_105.0%MNY_DF</stp>
        <stp>20/08/2015</stp>
        <stp>20/08/2015</stp>
        <stp>[Bbg_Market_Data_CL.xlsm]data!R407C19</stp>
        <tr r="S407" s="1"/>
      </tp>
      <tp t="s">
        <v>#N/A Requesting Data...</v>
        <stp/>
        <stp>##V3_BDHV12</stp>
        <stp>CL1 Comdty</stp>
        <stp>30DAY_IMPVOL_100.0%MNY_DF</stp>
        <stp>30/09/2015</stp>
        <stp>30/09/2015</stp>
        <stp>[Bbg_Market_Data_CL.xlsm]data!R379C20</stp>
        <tr r="T379" s="1"/>
      </tp>
      <tp t="s">
        <v>#N/A Requesting Data...</v>
        <stp/>
        <stp>##V3_BDHV12</stp>
        <stp>CL1 Comdty</stp>
        <stp>30DAY_IMPVOL_110.0%MNY_DF</stp>
        <stp>01/09/2016</stp>
        <stp>01/09/2016</stp>
        <stp>[Bbg_Market_Data_CL.xlsm]data!R150C22</stp>
        <tr r="V150" s="1"/>
      </tp>
      <tp t="s">
        <v>#N/A Requesting Data...</v>
        <stp/>
        <stp>##V3_BDHV12</stp>
        <stp>CL1 Comdty</stp>
        <stp>30DAY_IMPVOL_100.0%MNY_DF</stp>
        <stp>01/08/2016</stp>
        <stp>01/08/2016</stp>
        <stp>[Bbg_Market_Data_CL.xlsm]data!R172C20</stp>
        <tr r="T172" s="1"/>
      </tp>
      <tp t="s">
        <v>#N/A Requesting Data...</v>
        <stp/>
        <stp>##V3_BDHV12</stp>
        <stp>CL1 Comdty</stp>
        <stp>30DAY_IMPVOL_110.0%MNY_DF</stp>
        <stp>11/08/2016</stp>
        <stp>11/08/2016</stp>
        <stp>[Bbg_Market_Data_CL.xlsm]data!R165C22</stp>
        <tr r="V165" s="1"/>
      </tp>
      <tp t="s">
        <v>#N/A Requesting Data...</v>
        <stp/>
        <stp>##V3_BDHV12</stp>
        <stp>CL1 Comdty</stp>
        <stp>30DAY_IMPVOL_105.0%MNY_DF</stp>
        <stp>31/08/2015</stp>
        <stp>31/08/2015</stp>
        <stp>[Bbg_Market_Data_CL.xlsm]data!R400C19</stp>
        <tr r="S400" s="1"/>
      </tp>
      <tp t="s">
        <v>#N/A Requesting Data...</v>
        <stp/>
        <stp>##V3_BDHV12</stp>
        <stp>CL1 Comdty</stp>
        <stp>30DAY_IMPVOL_100.0%MNY_DF</stp>
        <stp>20/08/2015</stp>
        <stp>20/08/2015</stp>
        <stp>[Bbg_Market_Data_CL.xlsm]data!R407C20</stp>
        <tr r="T407" s="1"/>
      </tp>
      <tp t="s">
        <v>#N/A Requesting Data...</v>
        <stp/>
        <stp>##V3_BDHV12</stp>
        <stp>CL1 Comdty</stp>
        <stp>30DAY_IMPVOL_105.0%MNY_DF</stp>
        <stp>21/09/2015</stp>
        <stp>21/09/2015</stp>
        <stp>[Bbg_Market_Data_CL.xlsm]data!R386C19</stp>
        <tr r="S386" s="1"/>
      </tp>
      <tp t="s">
        <v>#N/A Requesting Data...</v>
        <stp/>
        <stp>##V3_BDHV12</stp>
        <stp>CL1 Comdty</stp>
        <stp>30DAY_IMPVOL_105.0%MNY_DF</stp>
        <stp>10/08/2016</stp>
        <stp>10/08/2016</stp>
        <stp>[Bbg_Market_Data_CL.xlsm]data!R166C19</stp>
        <tr r="S166" s="1"/>
      </tp>
      <tp t="s">
        <v>#N/A Requesting Data...</v>
        <stp/>
        <stp>##V3_BDHV12</stp>
        <stp>CL1 Comdty</stp>
        <stp>30DAY_IMPVOL_110.0%MNY_DF</stp>
        <stp>21/08/2015</stp>
        <stp>21/08/2015</stp>
        <stp>[Bbg_Market_Data_CL.xlsm]data!R406C22</stp>
        <tr r="V406" s="1"/>
      </tp>
      <tp t="s">
        <v>#N/A Requesting Data...</v>
        <stp/>
        <stp>##V3_BDHV12</stp>
        <stp>CL1 Comdty</stp>
        <stp>30DAY_IMPVOL_100.0%MNY_DF</stp>
        <stp>31/08/2015</stp>
        <stp>31/08/2015</stp>
        <stp>[Bbg_Market_Data_CL.xlsm]data!R400C20</stp>
        <tr r="T400" s="1"/>
      </tp>
      <tp t="s">
        <v>#N/A Requesting Data...</v>
        <stp/>
        <stp>##V3_BDHV12</stp>
        <stp>CL1 Comdty</stp>
        <stp>30DAY_IMPVOL_105.0%MNY_DF</stp>
        <stp>30/09/2015</stp>
        <stp>30/09/2015</stp>
        <stp>[Bbg_Market_Data_CL.xlsm]data!R379C19</stp>
        <tr r="S379" s="1"/>
      </tp>
      <tp t="s">
        <v>#N/A Requesting Data...</v>
        <stp/>
        <stp>##V3_BDHV12</stp>
        <stp>CL1 Comdty</stp>
        <stp>30DAY_IMPVOL_105.0%MNY_DF</stp>
        <stp>01/08/2016</stp>
        <stp>01/08/2016</stp>
        <stp>[Bbg_Market_Data_CL.xlsm]data!R172C19</stp>
        <tr r="S172" s="1"/>
      </tp>
      <tp t="s">
        <v>#N/A Requesting Data...</v>
        <stp/>
        <stp>##V3_BDHV12</stp>
        <stp>CL1 Comdty</stp>
        <stp>30DAY_IMPVOL_110.0%MNY_DF</stp>
        <stp>12/08/2015</stp>
        <stp>12/08/2015</stp>
        <stp>[Bbg_Market_Data_CL.xlsm]data!R413C22</stp>
        <tr r="V413" s="1"/>
      </tp>
      <tp t="s">
        <v>#N/A Requesting Data...</v>
        <stp/>
        <stp>##V3_BDHV12</stp>
        <stp>CL1 Comdty</stp>
        <stp>30DAY_IMPVOL_105.0%MNY_DF</stp>
        <stp>03/09/2015</stp>
        <stp>03/09/2015</stp>
        <stp>[Bbg_Market_Data_CL.xlsm]data!R397C19</stp>
        <tr r="S397" s="1"/>
      </tp>
      <tp t="s">
        <v>#N/A Requesting Data...</v>
        <stp/>
        <stp>##V3_BDHV12</stp>
        <stp>CL1 Comdty</stp>
        <stp>30DAY_IMPVOL_105.0%MNY_DF</stp>
        <stp>22/09/2016</stp>
        <stp>22/09/2016</stp>
        <stp>[Bbg_Market_Data_CL.xlsm]data!R136C19</stp>
        <tr r="S136" s="1"/>
      </tp>
      <tp t="s">
        <v>#N/A Requesting Data...</v>
        <stp/>
        <stp>##V3_BDHV12</stp>
        <stp>CL1 Comdty</stp>
        <stp>30DAY_IMPVOL_110.0%MNY_DF</stp>
        <stp>03/08/2015</stp>
        <stp>03/08/2015</stp>
        <stp>[Bbg_Market_Data_CL.xlsm]data!R420C22</stp>
        <tr r="V420" s="1"/>
      </tp>
      <tp t="s">
        <v>#N/A Requesting Data...</v>
        <stp/>
        <stp>##V3_BDHV12</stp>
        <stp>CL1 Comdty</stp>
        <stp>30DAY_IMPVOL_100.0%MNY_DF</stp>
        <stp>13/08/2015</stp>
        <stp>13/08/2015</stp>
        <stp>[Bbg_Market_Data_CL.xlsm]data!R412C20</stp>
        <tr r="T412" s="1"/>
      </tp>
      <tp t="s">
        <v>#N/A Requesting Data...</v>
        <stp/>
        <stp>##V3_BDHV12</stp>
        <stp>CL1 Comdty</stp>
        <stp>30DAY_IMPVOL_105.0%MNY_DF</stp>
        <stp>23/08/2016</stp>
        <stp>23/08/2016</stp>
        <stp>[Bbg_Market_Data_CL.xlsm]data!R157C19</stp>
        <tr r="S157" s="1"/>
      </tp>
      <tp t="s">
        <v>#N/A Requesting Data...</v>
        <stp/>
        <stp>##V3_BDHV12</stp>
        <stp>CL1 Comdty</stp>
        <stp>30DAY_IMPVOL_100.0%MNY_DF</stp>
        <stp>08/01/2016</stp>
        <stp>08/01/2016</stp>
        <stp>[Bbg_Market_Data_CL.xlsm]data!R312C20</stp>
        <tr r="T312" s="1"/>
      </tp>
      <tp t="s">
        <v>#N/A Requesting Data...</v>
        <stp/>
        <stp>##V3_BDHV12</stp>
        <stp>CL1 Comdty</stp>
        <stp>30DAY_IMPVOL_100.0%MNY_DF</stp>
        <stp>29/02/2016</stp>
        <stp>29/02/2016</stp>
        <stp>[Bbg_Market_Data_CL.xlsm]data!R279C20</stp>
        <tr r="T279" s="1"/>
      </tp>
      <tp t="s">
        <v>#N/A Requesting Data...</v>
        <stp/>
        <stp>##V3_BDHV12</stp>
        <stp>CL1 Comdty</stp>
        <stp>30DAY_IMPVOL_110.0%MNY_DF</stp>
        <stp>29/03/2016</stp>
        <stp>29/03/2016</stp>
        <stp>[Bbg_Market_Data_CL.xlsm]data!R259C22</stp>
        <tr r="V259" s="1"/>
      </tp>
      <tp t="s">
        <v>#N/A Requesting Data...</v>
        <stp/>
        <stp>##V3_BDHV12</stp>
        <stp>CL1 Comdty</stp>
        <stp>30DAY_IMPVOL_100.0%MNY_DF</stp>
        <stp>19/01/2016</stp>
        <stp>19/01/2016</stp>
        <stp>[Bbg_Market_Data_CL.xlsm]data!R306C20</stp>
        <tr r="T306" s="1"/>
      </tp>
      <tp t="s">
        <v>#N/A Requesting Data...</v>
        <stp/>
        <stp>##V3_BDHV12</stp>
        <stp>CL1 Comdty</stp>
        <stp>30DAY_IMPVOL_100.0%MNY_DF</stp>
        <stp>28/03/2016</stp>
        <stp>28/03/2016</stp>
        <stp>[Bbg_Market_Data_CL.xlsm]data!R260C20</stp>
        <tr r="T260" s="1"/>
      </tp>
      <tp t="s">
        <v>#N/A Requesting Data...</v>
        <stp/>
        <stp>##V3_BDHV12</stp>
        <stp>CL1 Comdty</stp>
        <stp>30DAY_IMPVOL_110.0%MNY_DF</stp>
        <stp>09/12/2015</stp>
        <stp>09/12/2015</stp>
        <stp>[Bbg_Market_Data_CL.xlsm]data!R332C22</stp>
        <tr r="V332" s="1"/>
      </tp>
      <tp t="s">
        <v>#N/A Requesting Data...</v>
        <stp/>
        <stp>##V3_BDHV12</stp>
        <stp>CL1 Comdty</stp>
        <stp>30DAY_IMPVOL_100.0%MNY_DF</stp>
        <stp>18/10/2016</stp>
        <stp>18/10/2016</stp>
        <stp>[Bbg_Market_Data_CL.xlsm]data!R119C20</stp>
        <tr r="T119" s="1"/>
      </tp>
      <tp t="s">
        <v>#N/A Requesting Data...</v>
        <stp/>
        <stp>##V3_BDHV12</stp>
        <stp>CL1 Comdty</stp>
        <stp>30DAY_IMPVOL_100.0%MNY_DF</stp>
        <stp>08/11/2016</stp>
        <stp>08/11/2016</stp>
        <stp>[Bbg_Market_Data_CL.xlsm]data!R104C20</stp>
        <tr r="T104" s="1"/>
      </tp>
      <tp t="s">
        <v>#N/A Requesting Data...</v>
        <stp/>
        <stp>##V3_BDHV12</stp>
        <stp>CL1 Comdty</stp>
        <stp>30DAY_IMPVOL_110.0%MNY_DF</stp>
        <stp>29/10/2015</stp>
        <stp>29/10/2015</stp>
        <stp>[Bbg_Market_Data_CL.xlsm]data!R359C22</stp>
        <tr r="V359" s="1"/>
      </tp>
      <tp t="s">
        <v>#N/A Requesting Data...</v>
        <stp/>
        <stp>##V3_BDHV12</stp>
        <stp>CL1 Comdty</stp>
        <stp>30DAY_IMPVOL_100.0%MNY_DF</stp>
        <stp>08/12/2015</stp>
        <stp>08/12/2015</stp>
        <stp>[Bbg_Market_Data_CL.xlsm]data!R333C20</stp>
        <tr r="T333" s="1"/>
      </tp>
      <tp t="s">
        <v>#N/A Requesting Data...</v>
        <stp/>
        <stp>##V3_BDHV12</stp>
        <stp>CL1 Comdty</stp>
        <stp>30DAY_IMPVOL_110.0%MNY_DF</stp>
        <stp>19/10/2016</stp>
        <stp>19/10/2016</stp>
        <stp>[Bbg_Market_Data_CL.xlsm]data!R118C22</stp>
        <tr r="V118" s="1"/>
      </tp>
      <tp t="s">
        <v>#N/A Requesting Data...</v>
        <stp/>
        <stp>##V3_BDHV12</stp>
        <stp>CL1 Comdty</stp>
        <stp>30DAY_IMPVOL_110.0%MNY_DF</stp>
        <stp>09/11/2016</stp>
        <stp>09/11/2016</stp>
        <stp>[Bbg_Market_Data_CL.xlsm]data!R103C22</stp>
        <tr r="V103" s="1"/>
      </tp>
      <tp t="s">
        <v>#N/A Requesting Data...</v>
        <stp/>
        <stp>##V3_BDHV12</stp>
        <stp>CL1 Comdty</stp>
        <stp>30DAY_IMPVOL_110.0%MNY_DF</stp>
        <stp>18/12/2015</stp>
        <stp>18/12/2015</stp>
        <stp>[Bbg_Market_Data_CL.xlsm]data!R325C22</stp>
        <tr r="V325" s="1"/>
      </tp>
      <tp t="s">
        <v>#N/A Requesting Data...</v>
        <stp/>
        <stp>##V3_BDHV12</stp>
        <stp>CL1 Comdty</stp>
        <stp>30DAY_IMPVOL_100.0%MNY_DF</stp>
        <stp>28/10/2015</stp>
        <stp>28/10/2015</stp>
        <stp>[Bbg_Market_Data_CL.xlsm]data!R360C20</stp>
        <tr r="T360" s="1"/>
      </tp>
      <tp t="s">
        <v>#N/A Requesting Data...</v>
        <stp/>
        <stp>##V3_BDHV12</stp>
        <stp>CL1 Comdty</stp>
        <stp>30DAY_IMPVOL_105.0%MNY_DF</stp>
        <stp>08/11/2016</stp>
        <stp>08/11/2016</stp>
        <stp>[Bbg_Market_Data_CL.xlsm]data!R104C19</stp>
        <tr r="S104" s="1"/>
      </tp>
      <tp t="s">
        <v>#N/A Requesting Data...</v>
        <stp/>
        <stp>##V3_BDHV12</stp>
        <stp>CL1 Comdty</stp>
        <stp>30DAY_IMPVOL_105.0%MNY_DF</stp>
        <stp>18/10/2016</stp>
        <stp>18/10/2016</stp>
        <stp>[Bbg_Market_Data_CL.xlsm]data!R119C19</stp>
        <tr r="S119" s="1"/>
      </tp>
      <tp t="s">
        <v>#N/A Requesting Data...</v>
        <stp/>
        <stp>##V3_BDHV12</stp>
        <stp>CL1 Comdty</stp>
        <stp>30DAY_IMPVOL_105.0%MNY_DF</stp>
        <stp>08/12/2015</stp>
        <stp>08/12/2015</stp>
        <stp>[Bbg_Market_Data_CL.xlsm]data!R333C19</stp>
        <tr r="S333" s="1"/>
      </tp>
      <tp t="s">
        <v>#N/A Requesting Data...</v>
        <stp/>
        <stp>##V3_BDHV12</stp>
        <stp>CL1 Comdty</stp>
        <stp>30DAY_IMPVOL_105.0%MNY_DF</stp>
        <stp>28/10/2015</stp>
        <stp>28/10/2015</stp>
        <stp>[Bbg_Market_Data_CL.xlsm]data!R360C19</stp>
        <tr r="S360" s="1"/>
      </tp>
      <tp t="s">
        <v>#N/A Requesting Data...</v>
        <stp/>
        <stp>##V3_BDHV12</stp>
        <stp>CL1 Comdty</stp>
        <stp>30DAY_IMPVOL_105.0%MNY_DF</stp>
        <stp>08/01/2016</stp>
        <stp>08/01/2016</stp>
        <stp>[Bbg_Market_Data_CL.xlsm]data!R312C19</stp>
        <tr r="S312" s="1"/>
      </tp>
      <tp t="s">
        <v>#N/A Requesting Data...</v>
        <stp/>
        <stp>##V3_BDHV12</stp>
        <stp>CL1 Comdty</stp>
        <stp>30DAY_IMPVOL_105.0%MNY_DF</stp>
        <stp>29/02/2016</stp>
        <stp>29/02/2016</stp>
        <stp>[Bbg_Market_Data_CL.xlsm]data!R279C19</stp>
        <tr r="S279" s="1"/>
      </tp>
      <tp t="s">
        <v>#N/A Requesting Data...</v>
        <stp/>
        <stp>##V3_BDHV12</stp>
        <stp>CL1 Comdty</stp>
        <stp>30DAY_IMPVOL_105.0%MNY_DF</stp>
        <stp>19/01/2016</stp>
        <stp>19/01/2016</stp>
        <stp>[Bbg_Market_Data_CL.xlsm]data!R306C19</stp>
        <tr r="S306" s="1"/>
      </tp>
      <tp t="s">
        <v>#N/A Requesting Data...</v>
        <stp/>
        <stp>##V3_BDHV12</stp>
        <stp>CL1 Comdty</stp>
        <stp>30DAY_IMPVOL_105.0%MNY_DF</stp>
        <stp>28/03/2016</stp>
        <stp>28/03/2016</stp>
        <stp>[Bbg_Market_Data_CL.xlsm]data!R260C19</stp>
        <tr r="S260" s="1"/>
      </tp>
      <tp t="s">
        <v>#N/A Requesting Data...</v>
        <stp/>
        <stp>##V3_BDHV12</stp>
        <stp>CL1 Comdty</stp>
        <stp>30DAY_IMPVOL_95.0%MNY_DF</stp>
        <stp>24/02/2017</stp>
        <stp>24/02/2017</stp>
        <stp>[Bbg_Market_Data_CL.xlsm]data!R32C21</stp>
        <tr r="U32" s="1"/>
      </tp>
      <tp t="s">
        <v>#N/A Requesting Data...</v>
        <stp/>
        <stp>##V3_BDHV12</stp>
        <stp>CL1 Comdty</stp>
        <stp>30DAY_IMPVOL_90.0%MNY_DF</stp>
        <stp>24/02/2017</stp>
        <stp>24/02/2017</stp>
        <stp>[Bbg_Market_Data_CL.xlsm]data!R32C23</stp>
        <tr r="W32" s="1"/>
      </tp>
      <tp t="s">
        <v>#N/A Requesting Data...</v>
        <stp/>
        <stp>##V3_BDHV12</stp>
        <stp>CL1 Comdty</stp>
        <stp>30DAY_IMPVOL_95.0%MNY_DF</stp>
        <stp>27/02/2017</stp>
        <stp>27/02/2017</stp>
        <stp>[Bbg_Market_Data_CL.xlsm]data!R31C21</stp>
        <tr r="U31" s="1"/>
      </tp>
      <tp t="s">
        <v>#N/A Requesting Data...</v>
        <stp/>
        <stp>##V3_BDHV12</stp>
        <stp>CL1 Comdty</stp>
        <stp>30DAY_IMPVOL_90.0%MNY_DF</stp>
        <stp>17/01/2017</stp>
        <stp>17/01/2017</stp>
        <stp>[Bbg_Market_Data_CL.xlsm]data!R59C23</stp>
        <tr r="W59" s="1"/>
      </tp>
      <tp t="s">
        <v>#N/A Requesting Data...</v>
        <stp/>
        <stp>##V3_BDHV12</stp>
        <stp>CL1 Comdty</stp>
        <stp>30DAY_IMPVOL_95.0%MNY_DF</stp>
        <stp>17/01/2017</stp>
        <stp>17/01/2017</stp>
        <stp>[Bbg_Market_Data_CL.xlsm]data!R59C21</stp>
        <tr r="U59" s="1"/>
      </tp>
      <tp t="s">
        <v>#N/A Requesting Data...</v>
        <stp/>
        <stp>##V3_BDHV12</stp>
        <stp>CL1 Comdty</stp>
        <stp>30DAY_IMPVOL_90.0%MNY_DF</stp>
        <stp>27/02/2017</stp>
        <stp>27/02/2017</stp>
        <stp>[Bbg_Market_Data_CL.xlsm]data!R31C23</stp>
        <tr r="W31" s="1"/>
      </tp>
      <tp t="s">
        <v>#N/A Requesting Data...</v>
        <stp/>
        <stp>##V3_BDHV12</stp>
        <stp>CL1 Comdty</stp>
        <stp>30DAY_IMPVOL_95.0%MNY_DF</stp>
        <stp>10/01/2017</stp>
        <stp>10/01/2017</stp>
        <stp>[Bbg_Market_Data_CL.xlsm]data!R63C21</stp>
        <tr r="U63" s="1"/>
      </tp>
      <tp t="s">
        <v>#N/A Requesting Data...</v>
        <stp/>
        <stp>##V3_BDHV12</stp>
        <stp>CL1 Comdty</stp>
        <stp>30DAY_IMPVOL_95.0%MNY_DF</stp>
        <stp>30/12/2016</stp>
        <stp>30/12/2016</stp>
        <stp>[Bbg_Market_Data_CL.xlsm]data!R69C21</stp>
        <tr r="U69" s="1"/>
      </tp>
      <tp t="s">
        <v>#N/A Requesting Data...</v>
        <stp/>
        <stp>##V3_BDHV12</stp>
        <stp>CL1 Comdty</stp>
        <stp>30DAY_IMPVOL_90.0%MNY_DF</stp>
        <stp>30/12/2016</stp>
        <stp>30/12/2016</stp>
        <stp>[Bbg_Market_Data_CL.xlsm]data!R69C23</stp>
        <tr r="W69" s="1"/>
      </tp>
      <tp t="s">
        <v>#N/A Requesting Data...</v>
        <stp/>
        <stp>##V3_BDHV12</stp>
        <stp>CL1 Comdty</stp>
        <stp>30DAY_IMPVOL_90.0%MNY_DF</stp>
        <stp>10/01/2017</stp>
        <stp>10/01/2017</stp>
        <stp>[Bbg_Market_Data_CL.xlsm]data!R63C23</stp>
        <tr r="W63" s="1"/>
      </tp>
      <tp t="s">
        <v>#N/A Requesting Data...</v>
        <stp/>
        <stp>##V3_BDHV12</stp>
        <stp>CL1 Comdty</stp>
        <stp>30DAY_IMPVOL_90.0%MNY_DF</stp>
        <stp>21/02/2017</stp>
        <stp>21/02/2017</stp>
        <stp>[Bbg_Market_Data_CL.xlsm]data!R35C23</stp>
        <tr r="W35" s="1"/>
      </tp>
      <tp t="s">
        <v>#N/A Requesting Data...</v>
        <stp/>
        <stp>##V3_BDHV12</stp>
        <stp>CL1 Comdty</stp>
        <stp>30DAY_IMPVOL_95.0%MNY_DF</stp>
        <stp>11/01/2017</stp>
        <stp>11/01/2017</stp>
        <stp>[Bbg_Market_Data_CL.xlsm]data!R62C21</stp>
        <tr r="U62" s="1"/>
      </tp>
      <tp t="s">
        <v>#N/A Requesting Data...</v>
        <stp/>
        <stp>##V3_BDHV12</stp>
        <stp>CL1 Comdty</stp>
        <stp>30DAY_IMPVOL_90.0%MNY_DF</stp>
        <stp>11/01/2017</stp>
        <stp>11/01/2017</stp>
        <stp>[Bbg_Market_Data_CL.xlsm]data!R62C23</stp>
        <tr r="W62" s="1"/>
      </tp>
      <tp t="s">
        <v>#N/A Requesting Data...</v>
        <stp/>
        <stp>##V3_BDHV12</stp>
        <stp>CL1 Comdty</stp>
        <stp>30DAY_IMPVOL_95.0%MNY_DF</stp>
        <stp>21/02/2017</stp>
        <stp>21/02/2017</stp>
        <stp>[Bbg_Market_Data_CL.xlsm]data!R35C21</stp>
        <tr r="U35" s="1"/>
      </tp>
      <tp t="s">
        <v>#N/A Requesting Data...</v>
        <stp/>
        <stp>##V3_BDHV12</stp>
        <stp>CL1 Comdty</stp>
        <stp>30DAY_IMPVOL_95.0%MNY_DF</stp>
        <stp>12/01/2017</stp>
        <stp>12/01/2017</stp>
        <stp>[Bbg_Market_Data_CL.xlsm]data!R61C21</stp>
        <tr r="U61" s="1"/>
      </tp>
      <tp t="s">
        <v>#N/A Requesting Data...</v>
        <stp/>
        <stp>##V3_BDHV12</stp>
        <stp>CL1 Comdty</stp>
        <stp>30DAY_IMPVOL_90.0%MNY_DF</stp>
        <stp>22/02/2017</stp>
        <stp>22/02/2017</stp>
        <stp>[Bbg_Market_Data_CL.xlsm]data!R34C23</stp>
        <tr r="W34" s="1"/>
      </tp>
      <tp t="s">
        <v>#N/A Requesting Data...</v>
        <stp/>
        <stp>##V3_BDHV12</stp>
        <stp>CL1 Comdty</stp>
        <stp>30DAY_IMPVOL_95.0%MNY_DF</stp>
        <stp>22/02/2017</stp>
        <stp>22/02/2017</stp>
        <stp>[Bbg_Market_Data_CL.xlsm]data!R34C21</stp>
        <tr r="U34" s="1"/>
      </tp>
      <tp t="s">
        <v>#N/A Requesting Data...</v>
        <stp/>
        <stp>##V3_BDHV12</stp>
        <stp>CL1 Comdty</stp>
        <stp>30DAY_IMPVOL_90.0%MNY_DF</stp>
        <stp>12/01/2017</stp>
        <stp>12/01/2017</stp>
        <stp>[Bbg_Market_Data_CL.xlsm]data!R61C23</stp>
        <tr r="W61" s="1"/>
      </tp>
      <tp t="s">
        <v>#N/A Requesting Data...</v>
        <stp/>
        <stp>##V3_BDHV12</stp>
        <stp>CL1 Comdty</stp>
        <stp>30DAY_IMPVOL_95.0%MNY_DF</stp>
        <stp>13/01/2017</stp>
        <stp>13/01/2017</stp>
        <stp>[Bbg_Market_Data_CL.xlsm]data!R60C21</stp>
        <tr r="U60" s="1"/>
      </tp>
      <tp t="s">
        <v>#N/A Requesting Data...</v>
        <stp/>
        <stp>##V3_BDHV12</stp>
        <stp>CL1 Comdty</stp>
        <stp>30DAY_IMPVOL_90.0%MNY_DF</stp>
        <stp>23/02/2017</stp>
        <stp>23/02/2017</stp>
        <stp>[Bbg_Market_Data_CL.xlsm]data!R33C23</stp>
        <tr r="W33" s="1"/>
      </tp>
      <tp t="s">
        <v>#N/A Requesting Data...</v>
        <stp/>
        <stp>##V3_BDHV12</stp>
        <stp>CL1 Comdty</stp>
        <stp>30DAY_IMPVOL_95.0%MNY_DF</stp>
        <stp>23/02/2017</stp>
        <stp>23/02/2017</stp>
        <stp>[Bbg_Market_Data_CL.xlsm]data!R33C21</stp>
        <tr r="U33" s="1"/>
      </tp>
      <tp t="s">
        <v>#N/A Requesting Data...</v>
        <stp/>
        <stp>##V3_BDHV12</stp>
        <stp>CL1 Comdty</stp>
        <stp>30DAY_IMPVOL_90.0%MNY_DF</stp>
        <stp>13/01/2017</stp>
        <stp>13/01/2017</stp>
        <stp>[Bbg_Market_Data_CL.xlsm]data!R60C23</stp>
        <tr r="W60" s="1"/>
      </tp>
      <tp t="s">
        <v>#N/A Requesting Data...</v>
        <stp/>
        <stp>##V3_BDHV12</stp>
        <stp>CL1 Comdty</stp>
        <stp>30DAY_IMPVOL_90.0%MNY_DF</stp>
        <stp>28/02/2017</stp>
        <stp>28/02/2017</stp>
        <stp>[Bbg_Market_Data_CL.xlsm]data!R30C23</stp>
        <tr r="W30" s="1"/>
      </tp>
      <tp t="s">
        <v>#N/A Requesting Data...</v>
        <stp/>
        <stp>##V3_BDHV12</stp>
        <stp>CL1 Comdty</stp>
        <stp>30DAY_IMPVOL_95.0%MNY_DF</stp>
        <stp>18/01/2017</stp>
        <stp>18/01/2017</stp>
        <stp>[Bbg_Market_Data_CL.xlsm]data!R58C21</stp>
        <tr r="U58" s="1"/>
      </tp>
      <tp t="s">
        <v>#N/A Requesting Data...</v>
        <stp/>
        <stp>##V3_BDHV12</stp>
        <stp>CL1 Comdty</stp>
        <stp>30DAY_IMPVOL_90.0%MNY_DF</stp>
        <stp>18/01/2017</stp>
        <stp>18/01/2017</stp>
        <stp>[Bbg_Market_Data_CL.xlsm]data!R58C23</stp>
        <tr r="W58" s="1"/>
      </tp>
      <tp t="s">
        <v>#N/A Requesting Data...</v>
        <stp/>
        <stp>##V3_BDHV12</stp>
        <stp>CL1 Comdty</stp>
        <stp>30DAY_IMPVOL_95.0%MNY_DF</stp>
        <stp>28/02/2017</stp>
        <stp>28/02/2017</stp>
        <stp>[Bbg_Market_Data_CL.xlsm]data!R30C21</stp>
        <tr r="U30" s="1"/>
      </tp>
      <tp t="s">
        <v>#N/A Requesting Data...</v>
        <stp/>
        <stp>##V3_BDHV12</stp>
        <stp>CL1 Comdty</stp>
        <stp>30DAY_IMPVOL_95.0%MNY_DF</stp>
        <stp>19/01/2017</stp>
        <stp>19/01/2017</stp>
        <stp>[Bbg_Market_Data_CL.xlsm]data!R57C21</stp>
        <tr r="U57" s="1"/>
      </tp>
      <tp t="s">
        <v>#N/A Requesting Data...</v>
        <stp/>
        <stp>##V3_BDHV12</stp>
        <stp>CL1 Comdty</stp>
        <stp>30DAY_IMPVOL_90.0%MNY_DF</stp>
        <stp>19/01/2017</stp>
        <stp>19/01/2017</stp>
        <stp>[Bbg_Market_Data_CL.xlsm]data!R57C23</stp>
        <tr r="W57" s="1"/>
      </tp>
      <tp t="s">
        <v>#N/A Requesting Data...</v>
        <stp/>
        <stp>##V3_BDHV12</stp>
        <stp>CL2 Comdty</stp>
        <stp>VOLUME_TOTAL_PUT</stp>
        <stp>23/02/2017</stp>
        <stp>23/02/2017</stp>
        <stp>[Bbg_Market_Data_CL.xlsm]data!R34C16</stp>
        <tr r="P34" s="1"/>
      </tp>
      <tp t="s">
        <v>#N/A Requesting Data...</v>
        <stp/>
        <stp>##V3_BDHV12</stp>
        <stp>CL1 Comdty</stp>
        <stp>VOLUME_TOTAL_PUT</stp>
        <stp>23/02/2017</stp>
        <stp>23/02/2017</stp>
        <stp>[Bbg_Market_Data_CL.xlsm]data!R34C16</stp>
        <tr r="P34" s="1"/>
      </tp>
      <tp t="s">
        <v>#N/A Requesting Data...</v>
        <stp/>
        <stp>##V3_BDHV12</stp>
        <stp>CL2 Comdty</stp>
        <stp>VOLUME_TOTAL_PUT</stp>
        <stp>13/01/2017</stp>
        <stp>13/01/2017</stp>
        <stp>[Bbg_Market_Data_CL.xlsm]data!R61C16</stp>
        <tr r="P61" s="1"/>
      </tp>
      <tp t="s">
        <v>#N/A Requesting Data...</v>
        <stp/>
        <stp>##V3_BDHV12</stp>
        <stp>CL1 Comdty</stp>
        <stp>VOLUME_TOTAL_PUT</stp>
        <stp>13/01/2017</stp>
        <stp>13/01/2017</stp>
        <stp>[Bbg_Market_Data_CL.xlsm]data!R61C16</stp>
        <tr r="P61" s="1"/>
      </tp>
      <tp t="s">
        <v>#N/A Requesting Data...</v>
        <stp/>
        <stp>##V3_BDHV12</stp>
        <stp>CL2 Comdty</stp>
        <stp>VOLUME_TOTAL_PUT</stp>
        <stp>22/02/2017</stp>
        <stp>22/02/2017</stp>
        <stp>[Bbg_Market_Data_CL.xlsm]data!R35C16</stp>
        <tr r="P35" s="1"/>
      </tp>
      <tp t="s">
        <v>#N/A Requesting Data...</v>
        <stp/>
        <stp>##V3_BDHV12</stp>
        <stp>CL1 Comdty</stp>
        <stp>VOLUME_TOTAL_PUT</stp>
        <stp>22/02/2017</stp>
        <stp>22/02/2017</stp>
        <stp>[Bbg_Market_Data_CL.xlsm]data!R35C16</stp>
        <tr r="P35" s="1"/>
      </tp>
      <tp t="s">
        <v>#N/A Requesting Data...</v>
        <stp/>
        <stp>##V3_BDHV12</stp>
        <stp>CL1 Comdty</stp>
        <stp>VOLUME_TOTAL_PUT</stp>
        <stp>12/01/2017</stp>
        <stp>12/01/2017</stp>
        <stp>[Bbg_Market_Data_CL.xlsm]data!R62C16</stp>
        <tr r="P62" s="1"/>
      </tp>
      <tp t="s">
        <v>#N/A Requesting Data...</v>
        <stp/>
        <stp>##V3_BDHV12</stp>
        <stp>CL2 Comdty</stp>
        <stp>VOLUME_TOTAL_PUT</stp>
        <stp>12/01/2017</stp>
        <stp>12/01/2017</stp>
        <stp>[Bbg_Market_Data_CL.xlsm]data!R62C16</stp>
        <tr r="P62" s="1"/>
      </tp>
      <tp t="s">
        <v>#N/A Requesting Data...</v>
        <stp/>
        <stp>##V3_BDHV12</stp>
        <stp>CL1 Comdty</stp>
        <stp>VOLUME_TOTAL_PUT</stp>
        <stp>21/02/2017</stp>
        <stp>21/02/2017</stp>
        <stp>[Bbg_Market_Data_CL.xlsm]data!R36C16</stp>
        <tr r="P36" s="1"/>
      </tp>
      <tp t="s">
        <v>#N/A Requesting Data...</v>
        <stp/>
        <stp>##V3_BDHV12</stp>
        <stp>CL2 Comdty</stp>
        <stp>VOLUME_TOTAL_PUT</stp>
        <stp>21/02/2017</stp>
        <stp>21/02/2017</stp>
        <stp>[Bbg_Market_Data_CL.xlsm]data!R36C16</stp>
        <tr r="P36" s="1"/>
      </tp>
      <tp t="s">
        <v>#N/A Requesting Data...</v>
        <stp/>
        <stp>##V3_BDHV12</stp>
        <stp>CL1 Comdty</stp>
        <stp>VOLUME_TOTAL_PUT</stp>
        <stp>11/01/2017</stp>
        <stp>11/01/2017</stp>
        <stp>[Bbg_Market_Data_CL.xlsm]data!R63C16</stp>
        <tr r="P63" s="1"/>
      </tp>
      <tp t="s">
        <v>#N/A Requesting Data...</v>
        <stp/>
        <stp>##V3_BDHV12</stp>
        <stp>CL2 Comdty</stp>
        <stp>VOLUME_TOTAL_PUT</stp>
        <stp>11/01/2017</stp>
        <stp>11/01/2017</stp>
        <stp>[Bbg_Market_Data_CL.xlsm]data!R63C16</stp>
        <tr r="P63" s="1"/>
      </tp>
      <tp t="s">
        <v>#N/A Requesting Data...</v>
        <stp/>
        <stp>##V3_BDHV12</stp>
        <stp>CL2 Comdty</stp>
        <stp>VOLUME_TOTAL_PUT</stp>
        <stp>30/12/2016</stp>
        <stp>30/12/2016</stp>
        <stp>[Bbg_Market_Data_CL.xlsm]data!R70C16</stp>
        <tr r="P70" s="1"/>
      </tp>
      <tp t="s">
        <v>#N/A Requesting Data...</v>
        <stp/>
        <stp>##V3_BDHV12</stp>
        <stp>CL1 Comdty</stp>
        <stp>VOLUME_TOTAL_PUT</stp>
        <stp>30/12/2016</stp>
        <stp>30/12/2016</stp>
        <stp>[Bbg_Market_Data_CL.xlsm]data!R70C16</stp>
        <tr r="P70" s="1"/>
      </tp>
      <tp t="s">
        <v>#N/A Requesting Data...</v>
        <stp/>
        <stp>##V3_BDHV12</stp>
        <stp>CL2 Comdty</stp>
        <stp>VOLUME_TOTAL_PUT</stp>
        <stp>10/01/2017</stp>
        <stp>10/01/2017</stp>
        <stp>[Bbg_Market_Data_CL.xlsm]data!R64C16</stp>
        <tr r="P64" s="1"/>
      </tp>
      <tp t="s">
        <v>#N/A Requesting Data...</v>
        <stp/>
        <stp>##V3_BDHV12</stp>
        <stp>CL1 Comdty</stp>
        <stp>VOLUME_TOTAL_PUT</stp>
        <stp>10/01/2017</stp>
        <stp>10/01/2017</stp>
        <stp>[Bbg_Market_Data_CL.xlsm]data!R64C16</stp>
        <tr r="P64" s="1"/>
      </tp>
      <tp t="s">
        <v>#N/A Requesting Data...</v>
        <stp/>
        <stp>##V3_BDHV12</stp>
        <stp>CL2 Comdty</stp>
        <stp>VOLUME_TOTAL_PUT</stp>
        <stp>17/01/2017</stp>
        <stp>17/01/2017</stp>
        <stp>[Bbg_Market_Data_CL.xlsm]data!R60C16</stp>
        <tr r="P60" s="1"/>
      </tp>
      <tp t="s">
        <v>#N/A Requesting Data...</v>
        <stp/>
        <stp>##V3_BDHV12</stp>
        <stp>CL1 Comdty</stp>
        <stp>VOLUME_TOTAL_PUT</stp>
        <stp>17/01/2017</stp>
        <stp>17/01/2017</stp>
        <stp>[Bbg_Market_Data_CL.xlsm]data!R60C16</stp>
        <tr r="P60" s="1"/>
      </tp>
      <tp t="s">
        <v>#N/A Requesting Data...</v>
        <stp/>
        <stp>##V3_BDHV12</stp>
        <stp>CL1 Comdty</stp>
        <stp>VOLUME_TOTAL_PUT</stp>
        <stp>27/02/2017</stp>
        <stp>27/02/2017</stp>
        <stp>[Bbg_Market_Data_CL.xlsm]data!R32C16</stp>
        <tr r="P32" s="1"/>
      </tp>
      <tp t="s">
        <v>#N/A Requesting Data...</v>
        <stp/>
        <stp>##V3_BDHV12</stp>
        <stp>CL2 Comdty</stp>
        <stp>VOLUME_TOTAL_PUT</stp>
        <stp>27/02/2017</stp>
        <stp>27/02/2017</stp>
        <stp>[Bbg_Market_Data_CL.xlsm]data!R32C16</stp>
        <tr r="P32" s="1"/>
      </tp>
      <tp t="s">
        <v>#N/A Requesting Data...</v>
        <stp/>
        <stp>##V3_BDHV12</stp>
        <stp>CL1 Comdty</stp>
        <stp>VOLUME_TOTAL_PUT</stp>
        <stp>24/02/2017</stp>
        <stp>24/02/2017</stp>
        <stp>[Bbg_Market_Data_CL.xlsm]data!R33C16</stp>
        <tr r="P33" s="1"/>
      </tp>
      <tp t="s">
        <v>#N/A Requesting Data...</v>
        <stp/>
        <stp>##V3_BDHV12</stp>
        <stp>CL2 Comdty</stp>
        <stp>VOLUME_TOTAL_PUT</stp>
        <stp>24/02/2017</stp>
        <stp>24/02/2017</stp>
        <stp>[Bbg_Market_Data_CL.xlsm]data!R33C16</stp>
        <tr r="P33" s="1"/>
      </tp>
      <tp t="s">
        <v>#N/A Requesting Data...</v>
        <stp/>
        <stp>##V3_BDHV12</stp>
        <stp>CL2 Comdty</stp>
        <stp>VOLUME_TOTAL_PUT</stp>
        <stp>19/01/2017</stp>
        <stp>19/01/2017</stp>
        <stp>[Bbg_Market_Data_CL.xlsm]data!R58C16</stp>
        <tr r="P58" s="1"/>
      </tp>
      <tp t="s">
        <v>#N/A Requesting Data...</v>
        <stp/>
        <stp>##V3_BDHV12</stp>
        <stp>CL1 Comdty</stp>
        <stp>VOLUME_TOTAL_PUT</stp>
        <stp>19/01/2017</stp>
        <stp>19/01/2017</stp>
        <stp>[Bbg_Market_Data_CL.xlsm]data!R58C16</stp>
        <tr r="P58" s="1"/>
      </tp>
      <tp t="s">
        <v>#N/A Requesting Data...</v>
        <stp/>
        <stp>##V3_BDHV12</stp>
        <stp>CL2 Comdty</stp>
        <stp>VOLUME_TOTAL_PUT</stp>
        <stp>28/02/2017</stp>
        <stp>28/02/2017</stp>
        <stp>[Bbg_Market_Data_CL.xlsm]data!R31C16</stp>
        <tr r="P31" s="1"/>
      </tp>
      <tp t="s">
        <v>#N/A Requesting Data...</v>
        <stp/>
        <stp>##V3_BDHV12</stp>
        <stp>CL1 Comdty</stp>
        <stp>VOLUME_TOTAL_PUT</stp>
        <stp>28/02/2017</stp>
        <stp>28/02/2017</stp>
        <stp>[Bbg_Market_Data_CL.xlsm]data!R31C16</stp>
        <tr r="P31" s="1"/>
      </tp>
      <tp t="s">
        <v>#N/A Requesting Data...</v>
        <stp/>
        <stp>##V3_BDHV12</stp>
        <stp>CL2 Comdty</stp>
        <stp>VOLUME_TOTAL_PUT</stp>
        <stp>18/01/2017</stp>
        <stp>18/01/2017</stp>
        <stp>[Bbg_Market_Data_CL.xlsm]data!R59C16</stp>
        <tr r="P59" s="1"/>
      </tp>
      <tp t="s">
        <v>#N/A Requesting Data...</v>
        <stp/>
        <stp>##V3_BDHV12</stp>
        <stp>CL1 Comdty</stp>
        <stp>VOLUME_TOTAL_PUT</stp>
        <stp>18/01/2017</stp>
        <stp>18/01/2017</stp>
        <stp>[Bbg_Market_Data_CL.xlsm]data!R59C16</stp>
        <tr r="P59" s="1"/>
      </tp>
      <tp t="s">
        <v>#N/A Requesting Data...</v>
        <stp/>
        <stp>##V3_BDHV12</stp>
        <stp>CL1 Comdty</stp>
        <stp>RSI_9D</stp>
        <stp>20/07/2016</stp>
        <stp>20/07/2016</stp>
        <stp>[Bbg_Market_Data_CL.xlsm]data!R181C12</stp>
        <tr r="L181" s="1"/>
      </tp>
      <tp t="s">
        <v>#N/A Requesting Data...</v>
        <stp/>
        <stp>##V3_BDHV12</stp>
        <stp>CL1 Comdty</stp>
        <stp>RSI_9D</stp>
        <stp>30/06/2016</stp>
        <stp>30/06/2016</stp>
        <stp>[Bbg_Market_Data_CL.xlsm]data!R194C12</stp>
        <tr r="L194" s="1"/>
      </tp>
      <tp t="s">
        <v>#N/A Requesting Data...</v>
        <stp/>
        <stp>##V3_BDHV12</stp>
        <stp>CL1 Comdty</stp>
        <stp>RSI_9D</stp>
        <stp>03/06/2016</stp>
        <stp>03/06/2016</stp>
        <stp>[Bbg_Market_Data_CL.xlsm]data!R213C12</stp>
        <tr r="L213" s="1"/>
      </tp>
      <tp t="s">
        <v>#N/A Requesting Data...</v>
        <stp/>
        <stp>##V3_BDHV12</stp>
        <stp>CL2 Comdty</stp>
        <stp>RSI_9D</stp>
        <stp>03/05/2016</stp>
        <stp>03/05/2016</stp>
        <stp>[Bbg_Market_Data_CL.xlsm]data!R235C12</stp>
        <tr r="L235" s="1"/>
      </tp>
      <tp t="s">
        <v>#N/A Requesting Data...</v>
        <stp/>
        <stp>##V3_BDHV12</stp>
        <stp>CL2 Comdty</stp>
        <stp>RSI_9D</stp>
        <stp>13/04/2016</stp>
        <stp>13/04/2016</stp>
        <stp>[Bbg_Market_Data_CL.xlsm]data!R249C12</stp>
        <tr r="L249" s="1"/>
      </tp>
      <tp t="s">
        <v>#N/A Requesting Data...</v>
        <stp/>
        <stp>##V3_BDHV12</stp>
        <stp>CL1 Comdty</stp>
        <stp>RSI_9D</stp>
        <stp>10/03/2017</stp>
        <stp>10/03/2017</stp>
        <stp>[Bbg_Market_Data_CL.xlsm]data!R23C12</stp>
        <tr r="L23" s="1"/>
      </tp>
      <tp t="s">
        <v>#N/A Requesting Data...</v>
        <stp/>
        <stp>##V3_BDHV12</stp>
        <stp>CL2 Comdty</stp>
        <stp>RSI_9D</stp>
        <stp>13/03/2017</stp>
        <stp>13/03/2017</stp>
        <stp>[Bbg_Market_Data_CL.xlsm]data!R22C12</stp>
        <tr r="L22" s="1"/>
      </tp>
      <tp t="s">
        <v>#N/A Requesting Data...</v>
        <stp/>
        <stp>##V3_BDHV12</stp>
        <stp>CL2 Comdty</stp>
        <stp>RSI_9D</stp>
        <stp>03/02/2017</stp>
        <stp>03/02/2017</stp>
        <stp>[Bbg_Market_Data_CL.xlsm]data!R47C12</stp>
        <tr r="L47" s="1"/>
      </tp>
      <tp t="s">
        <v>#N/A Requesting Data...</v>
        <stp/>
        <stp>##V3_BDHV12</stp>
        <stp>CL1 Comdty</stp>
        <stp>RSI_9D</stp>
        <stp>30/01/2017</stp>
        <stp>30/01/2017</stp>
        <stp>[Bbg_Market_Data_CL.xlsm]data!R51C12</stp>
        <tr r="L51" s="1"/>
      </tp>
      <tp t="s">
        <v>#N/A Requesting Data...</v>
        <stp/>
        <stp>##V3_BDHV12</stp>
        <stp>CL2 Comdty</stp>
        <stp>RSI_9D</stp>
        <stp>13/12/2016</stp>
        <stp>13/12/2016</stp>
        <stp>[Bbg_Market_Data_CL.xlsm]data!R82C12</stp>
        <tr r="L82" s="1"/>
      </tp>
      <tp t="s">
        <v>#N/A Requesting Data...</v>
        <stp/>
        <stp>##V3_BDHV12</stp>
        <stp>CL2 Comdty</stp>
        <stp>RSI_9D</stp>
        <stp>23/11/2016</stp>
        <stp>23/11/2016</stp>
        <stp>[Bbg_Market_Data_CL.xlsm]data!R95C12</stp>
        <tr r="L95" s="1"/>
      </tp>
      <tp t="s">
        <v>#N/A Requesting Data...</v>
        <stp/>
        <stp>##V3_BDHV12</stp>
        <stp>CL2 Comdty</stp>
        <stp>RSI_9D</stp>
        <stp>01/07/2016</stp>
        <stp>01/07/2016</stp>
        <stp>[Bbg_Market_Data_CL.xlsm]data!R193C12</stp>
        <tr r="L193" s="1"/>
      </tp>
      <tp t="s">
        <v>#N/A Requesting Data...</v>
        <stp/>
        <stp>##V3_BDHV12</stp>
        <stp>CL2 Comdty</stp>
        <stp>RSI_9D</stp>
        <stp>22/06/2016</stp>
        <stp>22/06/2016</stp>
        <stp>[Bbg_Market_Data_CL.xlsm]data!R200C12</stp>
        <tr r="L200" s="1"/>
      </tp>
      <tp t="s">
        <v>#N/A Requesting Data...</v>
        <stp/>
        <stp>##V3_BDHV12</stp>
        <stp>CL2 Comdty</stp>
        <stp>RSI_9D</stp>
        <stp>12/05/2016</stp>
        <stp>12/05/2016</stp>
        <stp>[Bbg_Market_Data_CL.xlsm]data!R228C12</stp>
        <tr r="L228" s="1"/>
      </tp>
      <tp t="s">
        <v>#N/A Requesting Data...</v>
        <stp/>
        <stp>##V3_BDHV12</stp>
        <stp>CL2 Comdty</stp>
        <stp>RSI_9D</stp>
        <stp>02/02/2017</stp>
        <stp>02/02/2017</stp>
        <stp>[Bbg_Market_Data_CL.xlsm]data!R48C12</stp>
        <tr r="L48" s="1"/>
      </tp>
      <tp t="s">
        <v>#N/A Requesting Data...</v>
        <stp/>
        <stp>##V3_BDHV12</stp>
        <stp>CL1 Comdty</stp>
        <stp>RSI_9D</stp>
        <stp>31/01/2017</stp>
        <stp>31/01/2017</stp>
        <stp>[Bbg_Market_Data_CL.xlsm]data!R50C12</stp>
        <tr r="L50" s="1"/>
      </tp>
      <tp t="s">
        <v>#N/A Requesting Data...</v>
        <stp/>
        <stp>##V3_BDHV12</stp>
        <stp>CL1 Comdty</stp>
        <stp>RSI_9D</stp>
        <stp>01/02/2017</stp>
        <stp>01/02/2017</stp>
        <stp>[Bbg_Market_Data_CL.xlsm]data!R49C12</stp>
        <tr r="L49" s="1"/>
      </tp>
      <tp t="s">
        <v>#N/A Requesting Data...</v>
        <stp/>
        <stp>##V3_BDHV12</stp>
        <stp>CL2 Comdty</stp>
        <stp>RSI_9D</stp>
        <stp>22/11/2016</stp>
        <stp>22/11/2016</stp>
        <stp>[Bbg_Market_Data_CL.xlsm]data!R96C12</stp>
        <tr r="L96" s="1"/>
      </tp>
      <tp t="s">
        <v>#N/A Requesting Data...</v>
        <stp/>
        <stp>##V3_BDHV12</stp>
        <stp>CL2 Comdty</stp>
        <stp>RSI_9D</stp>
        <stp>12/12/2016</stp>
        <stp>12/12/2016</stp>
        <stp>[Bbg_Market_Data_CL.xlsm]data!R83C12</stp>
        <tr r="L83" s="1"/>
      </tp>
      <tp t="s">
        <v>#N/A Requesting Data...</v>
        <stp/>
        <stp>##V3_BDHV12</stp>
        <stp>CL1 Comdty</stp>
        <stp>RSI_9D</stp>
        <stp>21/11/2016</stp>
        <stp>21/11/2016</stp>
        <stp>[Bbg_Market_Data_CL.xlsm]data!R97C12</stp>
        <tr r="L97" s="1"/>
      </tp>
      <tp t="s">
        <v>#N/A Requesting Data...</v>
        <stp/>
        <stp>##V3_BDHV12</stp>
        <stp>CL1 Comdty</stp>
        <stp>RSI_9D</stp>
        <stp>21/06/2016</stp>
        <stp>21/06/2016</stp>
        <stp>[Bbg_Market_Data_CL.xlsm]data!R201C12</stp>
        <tr r="L201" s="1"/>
      </tp>
      <tp t="s">
        <v>#N/A Requesting Data...</v>
        <stp/>
        <stp>##V3_BDHV12</stp>
        <stp>CL1 Comdty</stp>
        <stp>RSI_9D</stp>
        <stp>11/05/2016</stp>
        <stp>11/05/2016</stp>
        <stp>[Bbg_Market_Data_CL.xlsm]data!R229C12</stp>
        <tr r="L229" s="1"/>
      </tp>
      <tp t="s">
        <v>#N/A Requesting Data...</v>
        <stp/>
        <stp>##V3_BDHV12</stp>
        <stp>CL1 Comdty</stp>
        <stp>RSI_9D</stp>
        <stp>01/04/2016</stp>
        <stp>01/04/2016</stp>
        <stp>[Bbg_Market_Data_CL.xlsm]data!R257C12</stp>
        <tr r="L257" s="1"/>
      </tp>
      <tp t="s">
        <v>#N/A Requesting Data...</v>
        <stp/>
        <stp>##V3_BDHV12</stp>
        <stp>CL1 Comdty</stp>
        <stp>RSI_9D</stp>
        <stp>02/02/2017</stp>
        <stp>02/02/2017</stp>
        <stp>[Bbg_Market_Data_CL.xlsm]data!R48C12</stp>
        <tr r="L48" s="1"/>
      </tp>
      <tp t="s">
        <v>#N/A Requesting Data...</v>
        <stp/>
        <stp>##V3_BDHV12</stp>
        <stp>CL2 Comdty</stp>
        <stp>RSI_9D</stp>
        <stp>31/01/2017</stp>
        <stp>31/01/2017</stp>
        <stp>[Bbg_Market_Data_CL.xlsm]data!R50C12</stp>
        <tr r="L50" s="1"/>
      </tp>
      <tp t="s">
        <v>#N/A Requesting Data...</v>
        <stp/>
        <stp>##V3_BDHV12</stp>
        <stp>CL2 Comdty</stp>
        <stp>RSI_9D</stp>
        <stp>01/02/2017</stp>
        <stp>01/02/2017</stp>
        <stp>[Bbg_Market_Data_CL.xlsm]data!R49C12</stp>
        <tr r="L49" s="1"/>
      </tp>
      <tp t="s">
        <v>#N/A Requesting Data...</v>
        <stp/>
        <stp>##V3_BDHV12</stp>
        <stp>CL1 Comdty</stp>
        <stp>RSI_9D</stp>
        <stp>22/11/2016</stp>
        <stp>22/11/2016</stp>
        <stp>[Bbg_Market_Data_CL.xlsm]data!R96C12</stp>
        <tr r="L96" s="1"/>
      </tp>
      <tp t="s">
        <v>#N/A Requesting Data...</v>
        <stp/>
        <stp>##V3_BDHV12</stp>
        <stp>CL1 Comdty</stp>
        <stp>RSI_9D</stp>
        <stp>12/12/2016</stp>
        <stp>12/12/2016</stp>
        <stp>[Bbg_Market_Data_CL.xlsm]data!R83C12</stp>
        <tr r="L83" s="1"/>
      </tp>
      <tp t="s">
        <v>#N/A Requesting Data...</v>
        <stp/>
        <stp>##V3_BDHV12</stp>
        <stp>CL2 Comdty</stp>
        <stp>RSI_9D</stp>
        <stp>21/11/2016</stp>
        <stp>21/11/2016</stp>
        <stp>[Bbg_Market_Data_CL.xlsm]data!R97C12</stp>
        <tr r="L97" s="1"/>
      </tp>
      <tp t="s">
        <v>#N/A Requesting Data...</v>
        <stp/>
        <stp>##V3_BDHV12</stp>
        <stp>CL1 Comdty</stp>
        <stp>RSI_9D</stp>
        <stp>13/07/2016</stp>
        <stp>13/07/2016</stp>
        <stp>[Bbg_Market_Data_CL.xlsm]data!R186C12</stp>
        <tr r="L186" s="1"/>
      </tp>
      <tp t="s">
        <v>#N/A Requesting Data...</v>
        <stp/>
        <stp>##V3_BDHV12</stp>
        <stp>CL2 Comdty</stp>
        <stp>RSI_9D</stp>
        <stp>20/04/2016</stp>
        <stp>20/04/2016</stp>
        <stp>[Bbg_Market_Data_CL.xlsm]data!R244C12</stp>
        <tr r="L244" s="1"/>
      </tp>
      <tp t="s">
        <v>#N/A Requesting Data...</v>
        <stp/>
        <stp>##V3_BDHV12</stp>
        <stp>CL2 Comdty</stp>
        <stp>RSI_9D</stp>
        <stp>10/03/2017</stp>
        <stp>10/03/2017</stp>
        <stp>[Bbg_Market_Data_CL.xlsm]data!R23C12</stp>
        <tr r="L23" s="1"/>
      </tp>
      <tp t="s">
        <v>#N/A Requesting Data...</v>
        <stp/>
        <stp>##V3_BDHV12</stp>
        <stp>CL1 Comdty</stp>
        <stp>RSI_9D</stp>
        <stp>13/03/2017</stp>
        <stp>13/03/2017</stp>
        <stp>[Bbg_Market_Data_CL.xlsm]data!R22C12</stp>
        <tr r="L22" s="1"/>
      </tp>
      <tp t="s">
        <v>#N/A Requesting Data...</v>
        <stp/>
        <stp>##V3_BDHV12</stp>
        <stp>CL1 Comdty</stp>
        <stp>RSI_9D</stp>
        <stp>03/02/2017</stp>
        <stp>03/02/2017</stp>
        <stp>[Bbg_Market_Data_CL.xlsm]data!R47C12</stp>
        <tr r="L47" s="1"/>
      </tp>
      <tp t="s">
        <v>#N/A Requesting Data...</v>
        <stp/>
        <stp>##V3_BDHV12</stp>
        <stp>CL2 Comdty</stp>
        <stp>RSI_9D</stp>
        <stp>30/01/2017</stp>
        <stp>30/01/2017</stp>
        <stp>[Bbg_Market_Data_CL.xlsm]data!R51C12</stp>
        <tr r="L51" s="1"/>
      </tp>
      <tp t="s">
        <v>#N/A Requesting Data...</v>
        <stp/>
        <stp>##V3_BDHV12</stp>
        <stp>CL1 Comdty</stp>
        <stp>RSI_9D</stp>
        <stp>13/12/2016</stp>
        <stp>13/12/2016</stp>
        <stp>[Bbg_Market_Data_CL.xlsm]data!R82C12</stp>
        <tr r="L82" s="1"/>
      </tp>
      <tp t="s">
        <v>#N/A Requesting Data...</v>
        <stp/>
        <stp>##V3_BDHV12</stp>
        <stp>CL1 Comdty</stp>
        <stp>RSI_9D</stp>
        <stp>23/11/2016</stp>
        <stp>23/11/2016</stp>
        <stp>[Bbg_Market_Data_CL.xlsm]data!R95C12</stp>
        <tr r="L95" s="1"/>
      </tp>
      <tp t="s">
        <v>#N/A Requesting Data...</v>
        <stp/>
        <stp>##V3_BDHV12</stp>
        <stp>CL2 Comdty</stp>
        <stp>RSI_9D</stp>
        <stp>24/10/2016</stp>
        <stp>24/10/2016</stp>
        <stp>[Bbg_Market_Data_CL.xlsm]data!R116C12</stp>
        <tr r="L116" s="1"/>
      </tp>
      <tp t="s">
        <v>#N/A Requesting Data...</v>
        <stp/>
        <stp>##V3_BDHV12</stp>
        <stp>CL1 Comdty</stp>
        <stp>RSI_9D</stp>
        <stp>26/01/2016</stp>
        <stp>26/01/2016</stp>
        <stp>[Bbg_Market_Data_CL.xlsm]data!R302C12</stp>
        <tr r="L302" s="1"/>
      </tp>
      <tp t="s">
        <v>#N/A Requesting Data...</v>
        <stp/>
        <stp>##V3_BDHV12</stp>
        <stp>CL1 Comdty</stp>
        <stp>RSI_9D</stp>
        <stp>04/11/2016</stp>
        <stp>04/11/2016</stp>
        <stp>[Bbg_Market_Data_CL.xlsm]data!R107C12</stp>
        <tr r="L107" s="1"/>
      </tp>
      <tp t="s">
        <v>#N/A Requesting Data...</v>
        <stp/>
        <stp>##V3_BDHV12</stp>
        <stp>CL1 Comdty</stp>
        <stp>RSI_9D</stp>
        <stp>14/10/2016</stp>
        <stp>14/10/2016</stp>
        <stp>[Bbg_Market_Data_CL.xlsm]data!R122C12</stp>
        <tr r="L122" s="1"/>
      </tp>
      <tp t="s">
        <v>#N/A Requesting Data...</v>
        <stp/>
        <stp>##V3_BDHV12</stp>
        <stp>CL1 Comdty</stp>
        <stp>RSI_9D</stp>
        <stp>15/12/2015</stp>
        <stp>15/12/2015</stp>
        <stp>[Bbg_Market_Data_CL.xlsm]data!R329C12</stp>
        <tr r="L329" s="1"/>
      </tp>
      <tp t="s">
        <v>#N/A Requesting Data...</v>
        <stp/>
        <stp>##V3_BDHV12</stp>
        <stp>CL2 Comdty</stp>
        <stp>RSI_9D</stp>
        <stp>02/07/2015</stp>
        <stp>02/07/2015</stp>
        <stp>[Bbg_Market_Data_CL.xlsm]data!R442C12</stp>
        <tr r="L442" s="1"/>
      </tp>
      <tp t="s">
        <v>#N/A Requesting Data...</v>
        <stp/>
        <stp>##V3_BDHV12</stp>
        <stp>CL1 Comdty</stp>
        <stp>RSI_9D</stp>
        <stp>22/06/2015</stp>
        <stp>22/06/2015</stp>
        <stp>[Bbg_Market_Data_CL.xlsm]data!R450C12</stp>
        <tr r="L450" s="1"/>
      </tp>
      <tp t="s">
        <v>#N/A Requesting Data...</v>
        <stp/>
        <stp>##V3_BDHV12</stp>
        <stp>CL2 Comdty</stp>
        <stp>RSI_9D</stp>
        <stp>12/06/2015</stp>
        <stp>12/06/2015</stp>
        <stp>[Bbg_Market_Data_CL.xlsm]data!R456C12</stp>
        <tr r="L456" s="1"/>
      </tp>
      <tp t="s">
        <v>#N/A Requesting Data...</v>
        <stp/>
        <stp>##V3_BDHV12</stp>
        <stp>CL1 Comdty</stp>
        <stp>RSI_9D</stp>
        <stp>25/11/2015</stp>
        <stp>25/11/2015</stp>
        <stp>[Bbg_Market_Data_CL.xlsm]data!R342C12</stp>
        <tr r="L342" s="1"/>
      </tp>
      <tp t="s">
        <v>#N/A Requesting Data...</v>
        <stp/>
        <stp>##V3_BDHV12</stp>
        <stp>CL1 Comdty</stp>
        <stp>RSI_9D</stp>
        <stp>17/03/2016</stp>
        <stp>17/03/2016</stp>
        <stp>[Bbg_Market_Data_CL.xlsm]data!R267C12</stp>
        <tr r="L267" s="1"/>
      </tp>
      <tp t="s">
        <v>#N/A Requesting Data...</v>
        <stp/>
        <stp>##V3_BDHV12</stp>
        <stp>CL2 Comdty</stp>
        <stp>RSI_9D</stp>
        <stp>05/10/2015</stp>
        <stp>05/10/2015</stp>
        <stp>[Bbg_Market_Data_CL.xlsm]data!R377C12</stp>
        <tr r="L377" s="1"/>
      </tp>
      <tp t="s">
        <v>#N/A Requesting Data...</v>
        <stp/>
        <stp>##V3_BDHV12</stp>
        <stp>CL2 Comdty</stp>
        <stp>RSI_9D</stp>
        <stp>22/05/2015</stp>
        <stp>22/05/2015</stp>
        <stp>[Bbg_Market_Data_CL.xlsm]data!R470C12</stp>
        <tr r="L470" s="1"/>
      </tp>
      <tp t="s">
        <v>#N/A Requesting Data...</v>
        <stp/>
        <stp>##V3_BDHV12</stp>
        <stp>CL1 Comdty</stp>
        <stp>RSI_9D</stp>
        <stp>12/05/2015</stp>
        <stp>12/05/2015</stp>
        <stp>[Bbg_Market_Data_CL.xlsm]data!R478C12</stp>
        <tr r="L478" s="1"/>
      </tp>
      <tp t="s">
        <v>#N/A Requesting Data...</v>
        <stp/>
        <stp>##V3_BDHV12</stp>
        <stp>CL2 Comdty</stp>
        <stp>RSI_9D</stp>
        <stp>07/02/2017</stp>
        <stp>07/02/2017</stp>
        <stp>[Bbg_Market_Data_CL.xlsm]data!R45C12</stp>
        <tr r="L45" s="1"/>
      </tp>
      <tp t="s">
        <v>#N/A Requesting Data...</v>
        <stp/>
        <stp>##V3_BDHV12</stp>
        <stp>CL2 Comdty</stp>
        <stp>RSI_9D</stp>
        <stp>17/03/2017</stp>
        <stp>17/03/2017</stp>
        <stp>[Bbg_Market_Data_CL.xlsm]data!R18C12</stp>
        <tr r="L18" s="1"/>
      </tp>
      <tp t="s">
        <v>#N/A Requesting Data...</v>
        <stp/>
        <stp>##V3_BDHV12</stp>
        <stp>CL1 Comdty</stp>
        <stp>RSI_9D</stp>
        <stp>14/03/2017</stp>
        <stp>14/03/2017</stp>
        <stp>[Bbg_Market_Data_CL.xlsm]data!R21C12</stp>
        <tr r="L21" s="1"/>
      </tp>
      <tp t="s">
        <v>#N/A Requesting Data...</v>
        <stp/>
        <stp>##V3_BDHV12</stp>
        <stp>CL1 Comdty</stp>
        <stp>RSI_9D</stp>
        <stp>14/12/2016</stp>
        <stp>14/12/2016</stp>
        <stp>[Bbg_Market_Data_CL.xlsm]data!R81C12</stp>
        <tr r="L81" s="1"/>
      </tp>
      <tp t="s">
        <v>#N/A Requesting Data...</v>
        <stp/>
        <stp>##V3_BDHV12</stp>
        <stp>CL2 Comdty</stp>
        <stp>RSI_9D</stp>
        <stp>26/02/2016</stp>
        <stp>26/02/2016</stp>
        <stp>[Bbg_Market_Data_CL.xlsm]data!R281C12</stp>
        <tr r="L281" s="1"/>
      </tp>
      <tp t="s">
        <v>#N/A Requesting Data...</v>
        <stp/>
        <stp>##V3_BDHV12</stp>
        <stp>CL2 Comdty</stp>
        <stp>RSI_9D</stp>
        <stp>23/04/2015</stp>
        <stp>23/04/2015</stp>
        <stp>[Bbg_Market_Data_CL.xlsm]data!R491C12</stp>
        <tr r="L491" s="1"/>
      </tp>
      <tp t="s">
        <v>#N/A Requesting Data...</v>
        <stp/>
        <stp>##V3_BDHV12</stp>
        <stp>CL1 Comdty</stp>
        <stp>RSI_9D</stp>
        <stp>13/04/2015</stp>
        <stp>13/04/2015</stp>
        <stp>[Bbg_Market_Data_CL.xlsm]data!R499C12</stp>
        <tr r="L499" s="1"/>
      </tp>
      <tp t="s">
        <v>#N/A Requesting Data...</v>
        <stp/>
        <stp>##V3_BDHV12</stp>
        <stp>CL2 Comdty</stp>
        <stp>RSI_9D</stp>
        <stp>07/01/2016</stp>
        <stp>07/01/2016</stp>
        <stp>[Bbg_Market_Data_CL.xlsm]data!R314C12</stp>
        <tr r="L314" s="1"/>
      </tp>
      <tp t="s">
        <v>#N/A Requesting Data...</v>
        <stp/>
        <stp>##V3_BDHV12</stp>
        <stp>CL1 Comdty</stp>
        <stp>RSI_9D</stp>
        <stp>15/11/2016</stp>
        <stp>15/11/2016</stp>
        <stp>[Bbg_Market_Data_CL.xlsm]data!R101C12</stp>
        <tr r="L101" s="1"/>
      </tp>
      <tp t="s">
        <v>#N/A Requesting Data...</v>
        <stp/>
        <stp>##V3_BDHV12</stp>
        <stp>CL1 Comdty</stp>
        <stp>RSI_9D</stp>
        <stp>04/12/2015</stp>
        <stp>04/12/2015</stp>
        <stp>[Bbg_Market_Data_CL.xlsm]data!R336C12</stp>
        <tr r="L336" s="1"/>
      </tp>
      <tp t="s">
        <v>#N/A Requesting Data...</v>
        <stp/>
        <stp>##V3_BDHV12</stp>
        <stp>CL1 Comdty</stp>
        <stp>RSI_9D</stp>
        <stp>23/07/2015</stp>
        <stp>23/07/2015</stp>
        <stp>[Bbg_Market_Data_CL.xlsm]data!R428C12</stp>
        <tr r="L428" s="1"/>
      </tp>
      <tp t="s">
        <v>#N/A Requesting Data...</v>
        <stp/>
        <stp>##V3_BDHV12</stp>
        <stp>CL2 Comdty</stp>
        <stp>RSI_9D</stp>
        <stp>13/07/2015</stp>
        <stp>13/07/2015</stp>
        <stp>[Bbg_Market_Data_CL.xlsm]data!R436C12</stp>
        <tr r="L436" s="1"/>
      </tp>
      <tp t="s">
        <v>#N/A Requesting Data...</v>
        <stp/>
        <stp>##V3_BDHV12</stp>
        <stp>CL1 Comdty</stp>
        <stp>RSI_9D</stp>
        <stp>05/10/2016</stp>
        <stp>05/10/2016</stp>
        <stp>[Bbg_Market_Data_CL.xlsm]data!R128C12</stp>
        <tr r="L128" s="1"/>
      </tp>
      <tp t="s">
        <v>#N/A Requesting Data...</v>
        <stp/>
        <stp>##V3_BDHV12</stp>
        <stp>CL2 Comdty</stp>
        <stp>RSI_9D</stp>
        <stp>04/11/2015</stp>
        <stp>04/11/2015</stp>
        <stp>[Bbg_Market_Data_CL.xlsm]data!R356C12</stp>
        <tr r="L356" s="1"/>
      </tp>
      <tp t="s">
        <v>#N/A Requesting Data...</v>
        <stp/>
        <stp>##V3_BDHV12</stp>
        <stp>CL2 Comdty</stp>
        <stp>RSI_9D</stp>
        <stp>03/06/2015</stp>
        <stp>03/06/2015</stp>
        <stp>[Bbg_Market_Data_CL.xlsm]data!R463C12</stp>
        <tr r="L463" s="1"/>
      </tp>
      <tp t="s">
        <v>#N/A Requesting Data...</v>
        <stp/>
        <stp>##V3_BDHV12</stp>
        <stp>CL2 Comdty</stp>
        <stp>RSI_9D</stp>
        <stp>14/10/2015</stp>
        <stp>14/10/2015</stp>
        <stp>[Bbg_Market_Data_CL.xlsm]data!R371C12</stp>
        <tr r="L371" s="1"/>
      </tp>
      <tp t="s">
        <v>#N/A Requesting Data...</v>
        <stp/>
        <stp>##V3_BDHV12</stp>
        <stp>CL2 Comdty</stp>
        <stp>RSI_9D</stp>
        <stp>06/02/2017</stp>
        <stp>06/02/2017</stp>
        <stp>[Bbg_Market_Data_CL.xlsm]data!R46C12</stp>
        <tr r="L46" s="1"/>
      </tp>
      <tp t="s">
        <v>#N/A Requesting Data...</v>
        <stp/>
        <stp>##V3_BDHV12</stp>
        <stp>CL2 Comdty</stp>
        <stp>RSI_9D</stp>
        <stp>16/12/2016</stp>
        <stp>16/12/2016</stp>
        <stp>[Bbg_Market_Data_CL.xlsm]data!R79C12</stp>
        <tr r="L79" s="1"/>
      </tp>
      <tp t="s">
        <v>#N/A Requesting Data...</v>
        <stp/>
        <stp>##V3_BDHV12</stp>
        <stp>CL2 Comdty</stp>
        <stp>RSI_9D</stp>
        <stp>16/03/2017</stp>
        <stp>16/03/2017</stp>
        <stp>[Bbg_Market_Data_CL.xlsm]data!R19C12</stp>
        <tr r="L19" s="1"/>
      </tp>
      <tp t="s">
        <v>#N/A Requesting Data...</v>
        <stp/>
        <stp>##V3_BDHV12</stp>
        <stp>CL1 Comdty</stp>
        <stp>RSI_9D</stp>
        <stp>15/03/2017</stp>
        <stp>15/03/2017</stp>
        <stp>[Bbg_Market_Data_CL.xlsm]data!R20C12</stp>
        <tr r="L20" s="1"/>
      </tp>
      <tp t="s">
        <v>#N/A Requesting Data...</v>
        <stp/>
        <stp>##V3_BDHV12</stp>
        <stp>CL1 Comdty</stp>
        <stp>RSI_9D</stp>
        <stp>15/12/2016</stp>
        <stp>15/12/2016</stp>
        <stp>[Bbg_Market_Data_CL.xlsm]data!R80C12</stp>
        <tr r="L80" s="1"/>
      </tp>
      <tp t="s">
        <v>#N/A Requesting Data...</v>
        <stp/>
        <stp>##V3_BDHV12</stp>
        <stp>CL1 Comdty</stp>
        <stp>RSI_9D</stp>
        <stp>25/11/2016</stp>
        <stp>25/11/2016</stp>
        <stp>[Bbg_Market_Data_CL.xlsm]data!R94C12</stp>
        <tr r="L94" s="1"/>
      </tp>
      <tp t="s">
        <v>#N/A Requesting Data...</v>
        <stp/>
        <stp>##V3_BDHV12</stp>
        <stp>CL1 Comdty</stp>
        <stp>RSI_9D</stp>
        <stp>25/02/2016</stp>
        <stp>25/02/2016</stp>
        <stp>[Bbg_Market_Data_CL.xlsm]data!R282C12</stp>
        <tr r="L282" s="1"/>
      </tp>
      <tp t="s">
        <v>#N/A Requesting Data...</v>
        <stp/>
        <stp>##V3_BDHV12</stp>
        <stp>CL1 Comdty</stp>
        <stp>RSI_9D</stp>
        <stp>20/04/2015</stp>
        <stp>20/04/2015</stp>
        <stp>[Bbg_Market_Data_CL.xlsm]data!R494C12</stp>
        <tr r="L494" s="1"/>
      </tp>
      <tp t="s">
        <v>#N/A Requesting Data...</v>
        <stp/>
        <stp>##V3_BDHV12</stp>
        <stp>CL1 Comdty</stp>
        <stp>RSI_9D</stp>
        <stp>04/01/2016</stp>
        <stp>04/01/2016</stp>
        <stp>[Bbg_Market_Data_CL.xlsm]data!R317C12</stp>
        <tr r="L317" s="1"/>
      </tp>
      <tp t="s">
        <v>#N/A Requesting Data...</v>
        <stp/>
        <stp>##V3_BDHV12</stp>
        <stp>CL2 Comdty</stp>
        <stp>RSI_9D</stp>
        <stp>16/11/2016</stp>
        <stp>16/11/2016</stp>
        <stp>[Bbg_Market_Data_CL.xlsm]data!R100C12</stp>
        <tr r="L100" s="1"/>
      </tp>
      <tp t="s">
        <v>#N/A Requesting Data...</v>
        <stp/>
        <stp>##V3_BDHV12</stp>
        <stp>CL2 Comdty</stp>
        <stp>RSI_9D</stp>
        <stp>07/12/2015</stp>
        <stp>07/12/2015</stp>
        <stp>[Bbg_Market_Data_CL.xlsm]data!R335C12</stp>
        <tr r="L335" s="1"/>
      </tp>
      <tp t="s">
        <v>#N/A Requesting Data...</v>
        <stp/>
        <stp>##V3_BDHV12</stp>
        <stp>CL2 Comdty</stp>
        <stp>RSI_9D</stp>
        <stp>20/07/2015</stp>
        <stp>20/07/2015</stp>
        <stp>[Bbg_Market_Data_CL.xlsm]data!R431C12</stp>
        <tr r="L431" s="1"/>
      </tp>
      <tp t="s">
        <v>#N/A Requesting Data...</v>
        <stp/>
        <stp>##V3_BDHV12</stp>
        <stp>CL2 Comdty</stp>
        <stp>RSI_9D</stp>
        <stp>06/10/2016</stp>
        <stp>06/10/2016</stp>
        <stp>[Bbg_Market_Data_CL.xlsm]data!R127C12</stp>
        <tr r="L127" s="1"/>
      </tp>
      <tp t="s">
        <v>#N/A Requesting Data...</v>
        <stp/>
        <stp>##V3_BDHV12</stp>
        <stp>CL1 Comdty</stp>
        <stp>RSI_9D</stp>
        <stp>10/07/2015</stp>
        <stp>10/07/2015</stp>
        <stp>[Bbg_Market_Data_CL.xlsm]data!R437C12</stp>
        <tr r="L437" s="1"/>
      </tp>
      <tp t="s">
        <v>#N/A Requesting Data...</v>
        <stp/>
        <stp>##V3_BDHV12</stp>
        <stp>CL2 Comdty</stp>
        <stp>RSI_9D</stp>
        <stp>30/06/2015</stp>
        <stp>30/06/2015</stp>
        <stp>[Bbg_Market_Data_CL.xlsm]data!R444C12</stp>
        <tr r="L444" s="1"/>
      </tp>
      <tp t="s">
        <v>#N/A Requesting Data...</v>
        <stp/>
        <stp>##V3_BDHV12</stp>
        <stp>CL2 Comdty</stp>
        <stp>RSI_9D</stp>
        <stp>27/10/2015</stp>
        <stp>27/10/2015</stp>
        <stp>[Bbg_Market_Data_CL.xlsm]data!R362C12</stp>
        <tr r="L362" s="1"/>
      </tp>
      <tp t="s">
        <v>#N/A Requesting Data...</v>
        <stp/>
        <stp>##V3_BDHV12</stp>
        <stp>CL1 Comdty</stp>
        <stp>RSI_9D</stp>
        <stp>06/02/2017</stp>
        <stp>06/02/2017</stp>
        <stp>[Bbg_Market_Data_CL.xlsm]data!R46C12</stp>
        <tr r="L46" s="1"/>
      </tp>
      <tp t="s">
        <v>#N/A Requesting Data...</v>
        <stp/>
        <stp>##V3_BDHV12</stp>
        <stp>CL1 Comdty</stp>
        <stp>RSI_9D</stp>
        <stp>16/12/2016</stp>
        <stp>16/12/2016</stp>
        <stp>[Bbg_Market_Data_CL.xlsm]data!R79C12</stp>
        <tr r="L79" s="1"/>
      </tp>
      <tp t="s">
        <v>#N/A Requesting Data...</v>
        <stp/>
        <stp>##V3_BDHV12</stp>
        <stp>CL1 Comdty</stp>
        <stp>RSI_9D</stp>
        <stp>16/03/2017</stp>
        <stp>16/03/2017</stp>
        <stp>[Bbg_Market_Data_CL.xlsm]data!R19C12</stp>
        <tr r="L19" s="1"/>
      </tp>
      <tp t="s">
        <v>#N/A Requesting Data...</v>
        <stp/>
        <stp>##V3_BDHV12</stp>
        <stp>CL2 Comdty</stp>
        <stp>RSI_9D</stp>
        <stp>15/03/2017</stp>
        <stp>15/03/2017</stp>
        <stp>[Bbg_Market_Data_CL.xlsm]data!R20C12</stp>
        <tr r="L20" s="1"/>
      </tp>
      <tp t="s">
        <v>#N/A Requesting Data...</v>
        <stp/>
        <stp>##V3_BDHV12</stp>
        <stp>CL2 Comdty</stp>
        <stp>RSI_9D</stp>
        <stp>15/12/2016</stp>
        <stp>15/12/2016</stp>
        <stp>[Bbg_Market_Data_CL.xlsm]data!R80C12</stp>
        <tr r="L80" s="1"/>
      </tp>
      <tp t="s">
        <v>#N/A Requesting Data...</v>
        <stp/>
        <stp>##V3_BDHV12</stp>
        <stp>CL2 Comdty</stp>
        <stp>RSI_9D</stp>
        <stp>25/11/2016</stp>
        <stp>25/11/2016</stp>
        <stp>[Bbg_Market_Data_CL.xlsm]data!R94C12</stp>
        <tr r="L94" s="1"/>
      </tp>
      <tp t="s">
        <v>#N/A Requesting Data...</v>
        <stp/>
        <stp>##V3_BDHV12</stp>
        <stp>CL2 Comdty</stp>
        <stp>RSI_9D</stp>
        <stp>04/02/2016</stp>
        <stp>04/02/2016</stp>
        <stp>[Bbg_Market_Data_CL.xlsm]data!R295C12</stp>
        <tr r="L295" s="1"/>
      </tp>
      <tp t="s">
        <v>#N/A Requesting Data...</v>
        <stp/>
        <stp>##V3_BDHV12</stp>
        <stp>CL2 Comdty</stp>
        <stp>RSI_9D</stp>
        <stp>10/04/2015</stp>
        <stp>10/04/2015</stp>
        <stp>[Bbg_Market_Data_CL.xlsm]data!R500C12</stp>
        <tr r="L500" s="1"/>
      </tp>
      <tp t="s">
        <v>#N/A Requesting Data...</v>
        <stp/>
        <stp>##V3_BDHV12</stp>
        <stp>CL1 Comdty</stp>
        <stp>RSI_9D</stp>
        <stp>27/10/2016</stp>
        <stp>27/10/2016</stp>
        <stp>[Bbg_Market_Data_CL.xlsm]data!R113C12</stp>
        <tr r="L113" s="1"/>
      </tp>
      <tp t="s">
        <v>#N/A Requesting Data...</v>
        <stp/>
        <stp>##V3_BDHV12</stp>
        <stp>CL2 Comdty</stp>
        <stp>RSI_9D</stp>
        <stp>25/01/2016</stp>
        <stp>25/01/2016</stp>
        <stp>[Bbg_Market_Data_CL.xlsm]data!R303C12</stp>
        <tr r="L303" s="1"/>
      </tp>
      <tp t="s">
        <v>#N/A Requesting Data...</v>
        <stp/>
        <stp>##V3_BDHV12</stp>
        <stp>CL1 Comdty</stp>
        <stp>RSI_9D</stp>
        <stp>15/01/2016</stp>
        <stp>15/01/2016</stp>
        <stp>[Bbg_Market_Data_CL.xlsm]data!R308C12</stp>
        <tr r="L308" s="1"/>
      </tp>
      <tp t="s">
        <v>#N/A Requesting Data...</v>
        <stp/>
        <stp>##V3_BDHV12</stp>
        <stp>CL2 Comdty</stp>
        <stp>RSI_9D</stp>
        <stp>07/11/2016</stp>
        <stp>07/11/2016</stp>
        <stp>[Bbg_Market_Data_CL.xlsm]data!R106C12</stp>
        <tr r="L106" s="1"/>
      </tp>
      <tp t="s">
        <v>#N/A Requesting Data...</v>
        <stp/>
        <stp>##V3_BDHV12</stp>
        <stp>CL2 Comdty</stp>
        <stp>RSI_9D</stp>
        <stp>31/07/2015</stp>
        <stp>31/07/2015</stp>
        <stp>[Bbg_Market_Data_CL.xlsm]data!R422C12</stp>
        <tr r="L422" s="1"/>
      </tp>
      <tp t="s">
        <v>#N/A Requesting Data...</v>
        <stp/>
        <stp>##V3_BDHV12</stp>
        <stp>CL2 Comdty</stp>
        <stp>RSI_9D</stp>
        <stp>17/10/2016</stp>
        <stp>17/10/2016</stp>
        <stp>[Bbg_Market_Data_CL.xlsm]data!R121C12</stp>
        <tr r="L121" s="1"/>
      </tp>
      <tp t="s">
        <v>#N/A Requesting Data...</v>
        <stp/>
        <stp>##V3_BDHV12</stp>
        <stp>CL2 Comdty</stp>
        <stp>RSI_9D</stp>
        <stp>16/12/2015</stp>
        <stp>16/12/2015</stp>
        <stp>[Bbg_Market_Data_CL.xlsm]data!R328C12</stp>
        <tr r="L328" s="1"/>
      </tp>
      <tp t="s">
        <v>#N/A Requesting Data...</v>
        <stp/>
        <stp>##V3_BDHV12</stp>
        <stp>CL1 Comdty</stp>
        <stp>RSI_9D</stp>
        <stp>01/07/2015</stp>
        <stp>01/07/2015</stp>
        <stp>[Bbg_Market_Data_CL.xlsm]data!R443C12</stp>
        <tr r="L443" s="1"/>
      </tp>
      <tp t="s">
        <v>#N/A Requesting Data...</v>
        <stp/>
        <stp>##V3_BDHV12</stp>
        <stp>CL1 Comdty</stp>
        <stp>RSI_9D</stp>
        <stp>11/06/2015</stp>
        <stp>11/06/2015</stp>
        <stp>[Bbg_Market_Data_CL.xlsm]data!R457C12</stp>
        <tr r="L457" s="1"/>
      </tp>
      <tp t="s">
        <v>#N/A Requesting Data...</v>
        <stp/>
        <stp>##V3_BDHV12</stp>
        <stp>CL1 Comdty</stp>
        <stp>RSI_9D</stp>
        <stp>16/11/2015</stp>
        <stp>16/11/2015</stp>
        <stp>[Bbg_Market_Data_CL.xlsm]data!R349C12</stp>
        <tr r="L349" s="1"/>
      </tp>
      <tp t="s">
        <v>#N/A Requesting Data...</v>
        <stp/>
        <stp>##V3_BDHV12</stp>
        <stp>CL1 Comdty</stp>
        <stp>RSI_9D</stp>
        <stp>06/10/2015</stp>
        <stp>06/10/2015</stp>
        <stp>[Bbg_Market_Data_CL.xlsm]data!R376C12</stp>
        <tr r="L376" s="1"/>
      </tp>
      <tp t="s">
        <v>#N/A Requesting Data...</v>
        <stp/>
        <stp>##V3_BDHV12</stp>
        <stp>CL1 Comdty</stp>
        <stp>RSI_9D</stp>
        <stp>24/03/2016</stp>
        <stp>24/03/2016</stp>
        <stp>[Bbg_Market_Data_CL.xlsm]data!R262C12</stp>
        <tr r="L262" s="1"/>
      </tp>
      <tp t="s">
        <v>#N/A Requesting Data...</v>
        <stp/>
        <stp>##V3_BDHV12</stp>
        <stp>CL1 Comdty</stp>
        <stp>RSI_9D</stp>
        <stp>21/05/2015</stp>
        <stp>21/05/2015</stp>
        <stp>[Bbg_Market_Data_CL.xlsm]data!R471C12</stp>
        <tr r="L471" s="1"/>
      </tp>
      <tp t="s">
        <v>#N/A Requesting Data...</v>
        <stp/>
        <stp>##V3_BDHV12</stp>
        <stp>CL2 Comdty</stp>
        <stp>RSI_9D</stp>
        <stp>14/03/2016</stp>
        <stp>14/03/2016</stp>
        <stp>[Bbg_Market_Data_CL.xlsm]data!R270C12</stp>
        <tr r="L270" s="1"/>
      </tp>
      <tp t="s">
        <v>#N/A Requesting Data...</v>
        <stp/>
        <stp>##V3_BDHV12</stp>
        <stp>CL2 Comdty</stp>
        <stp>RSI_9D</stp>
        <stp>11/05/2015</stp>
        <stp>11/05/2015</stp>
        <stp>[Bbg_Market_Data_CL.xlsm]data!R479C12</stp>
        <tr r="L479" s="1"/>
      </tp>
      <tp t="s">
        <v>#N/A Requesting Data...</v>
        <stp/>
        <stp>##V3_BDHV12</stp>
        <stp>CL1 Comdty</stp>
        <stp>RSI_9D</stp>
        <stp>07/02/2017</stp>
        <stp>07/02/2017</stp>
        <stp>[Bbg_Market_Data_CL.xlsm]data!R45C12</stp>
        <tr r="L45" s="1"/>
      </tp>
      <tp t="s">
        <v>#N/A Requesting Data...</v>
        <stp/>
        <stp>##V3_BDHV12</stp>
        <stp>CL1 Comdty</stp>
        <stp>RSI_9D</stp>
        <stp>17/03/2017</stp>
        <stp>17/03/2017</stp>
        <stp>[Bbg_Market_Data_CL.xlsm]data!R18C12</stp>
        <tr r="L18" s="1"/>
      </tp>
      <tp t="s">
        <v>#N/A Requesting Data...</v>
        <stp/>
        <stp>##V3_BDHV12</stp>
        <stp>CL2 Comdty</stp>
        <stp>RSI_9D</stp>
        <stp>14/03/2017</stp>
        <stp>14/03/2017</stp>
        <stp>[Bbg_Market_Data_CL.xlsm]data!R21C12</stp>
        <tr r="L21" s="1"/>
      </tp>
      <tp t="s">
        <v>#N/A Requesting Data...</v>
        <stp/>
        <stp>##V3_BDHV12</stp>
        <stp>CL2 Comdty</stp>
        <stp>RSI_9D</stp>
        <stp>14/12/2016</stp>
        <stp>14/12/2016</stp>
        <stp>[Bbg_Market_Data_CL.xlsm]data!R81C12</stp>
        <tr r="L81" s="1"/>
      </tp>
      <tp t="s">
        <v>#N/A Requesting Data...</v>
        <stp/>
        <stp>##V3_BDHV12</stp>
        <stp>CL1 Comdty</stp>
        <stp>RSI_9D</stp>
        <stp>28/11/2016</stp>
        <stp>28/11/2016</stp>
        <stp>[Bbg_Market_Data_CL.xlsm]data!R93C12</stp>
        <tr r="L93" s="1"/>
      </tp>
      <tp t="s">
        <v>#N/A Requesting Data...</v>
        <stp/>
        <stp>##V3_BDHV12</stp>
        <stp>CL1 Comdty</stp>
        <stp>RSI_9D</stp>
        <stp>08/02/2017</stp>
        <stp>08/02/2017</stp>
        <stp>[Bbg_Market_Data_CL.xlsm]data!R44C12</stp>
        <tr r="L44" s="1"/>
      </tp>
      <tp t="s">
        <v>#N/A Requesting Data...</v>
        <stp/>
        <stp>##V3_BDHV12</stp>
        <stp>CL1 Comdty</stp>
        <stp>RSI_9D</stp>
        <stp>29/11/2016</stp>
        <stp>29/11/2016</stp>
        <stp>[Bbg_Market_Data_CL.xlsm]data!R92C12</stp>
        <tr r="L92" s="1"/>
      </tp>
      <tp t="s">
        <v>#N/A Requesting Data...</v>
        <stp/>
        <stp>##V3_BDHV12</stp>
        <stp>CL1 Comdty</stp>
        <stp>RSI_9D</stp>
        <stp>19/12/2016</stp>
        <stp>19/12/2016</stp>
        <stp>[Bbg_Market_Data_CL.xlsm]data!R78C12</stp>
        <tr r="L78" s="1"/>
      </tp>
      <tp t="s">
        <v>#N/A Requesting Data...</v>
        <stp/>
        <stp>##V3_BDHV12</stp>
        <stp>CL1 Comdty</stp>
        <stp>RSI_9D</stp>
        <stp>09/02/2017</stp>
        <stp>09/02/2017</stp>
        <stp>[Bbg_Market_Data_CL.xlsm]data!R43C12</stp>
        <tr r="L43" s="1"/>
      </tp>
      <tp t="s">
        <v>#N/A Requesting Data...</v>
        <stp/>
        <stp>##V3_BDHV12</stp>
        <stp>CL2 Comdty</stp>
        <stp>RSI_9D</stp>
        <stp>29/11/2016</stp>
        <stp>29/11/2016</stp>
        <stp>[Bbg_Market_Data_CL.xlsm]data!R92C12</stp>
        <tr r="L92" s="1"/>
      </tp>
      <tp t="s">
        <v>#N/A Requesting Data...</v>
        <stp/>
        <stp>##V3_BDHV12</stp>
        <stp>CL2 Comdty</stp>
        <stp>RSI_9D</stp>
        <stp>19/12/2016</stp>
        <stp>19/12/2016</stp>
        <stp>[Bbg_Market_Data_CL.xlsm]data!R78C12</stp>
        <tr r="L78" s="1"/>
      </tp>
      <tp t="s">
        <v>#N/A Requesting Data...</v>
        <stp/>
        <stp>##V3_BDHV12</stp>
        <stp>CL2 Comdty</stp>
        <stp>RSI_9D</stp>
        <stp>09/02/2017</stp>
        <stp>09/02/2017</stp>
        <stp>[Bbg_Market_Data_CL.xlsm]data!R43C12</stp>
        <tr r="L43" s="1"/>
      </tp>
      <tp t="s">
        <v>#N/A Requesting Data...</v>
        <stp/>
        <stp>##V3_BDHV12</stp>
        <stp>CL2 Comdty</stp>
        <stp>RSI_9D</stp>
        <stp>28/11/2016</stp>
        <stp>28/11/2016</stp>
        <stp>[Bbg_Market_Data_CL.xlsm]data!R93C12</stp>
        <tr r="L93" s="1"/>
      </tp>
      <tp t="s">
        <v>#N/A Requesting Data...</v>
        <stp/>
        <stp>##V3_BDHV12</stp>
        <stp>CL2 Comdty</stp>
        <stp>RSI_9D</stp>
        <stp>08/02/2017</stp>
        <stp>08/02/2017</stp>
        <stp>[Bbg_Market_Data_CL.xlsm]data!R44C12</stp>
        <tr r="L44" s="1"/>
      </tp>
      <tp t="s">
        <v>#N/A Requesting Data...</v>
        <stp/>
        <stp>##V3_BDHV12</stp>
        <stp>CL1 Comdty</stp>
        <stp>30DAY_IMPVOL_110.0%MNY_DF</stp>
        <stp>04/08/2015</stp>
        <stp>04/08/2015</stp>
        <stp>[Bbg_Market_Data_CL.xlsm]data!R419C22</stp>
        <tr r="V419" s="1"/>
      </tp>
      <tp t="s">
        <v>#N/A Requesting Data...</v>
        <stp/>
        <stp>##V3_BDHV12</stp>
        <stp>CL1 Comdty</stp>
        <stp>30DAY_IMPVOL_105.0%MNY_DF</stp>
        <stp>15/09/2015</stp>
        <stp>15/09/2015</stp>
        <stp>[Bbg_Market_Data_CL.xlsm]data!R390C19</stp>
        <tr r="S390" s="1"/>
      </tp>
      <tp t="s">
        <v>#N/A Requesting Data...</v>
        <stp/>
        <stp>##V3_BDHV12</stp>
        <stp>CL1 Comdty</stp>
        <stp>30DAY_IMPVOL_100.0%MNY_DF</stp>
        <stp>14/08/2015</stp>
        <stp>14/08/2015</stp>
        <stp>[Bbg_Market_Data_CL.xlsm]data!R411C20</stp>
        <tr r="T411" s="1"/>
      </tp>
      <tp t="s">
        <v>#N/A Requesting Data...</v>
        <stp/>
        <stp>##V3_BDHV12</stp>
        <stp>CL1 Comdty</stp>
        <stp>30DAY_IMPVOL_105.0%MNY_DF</stp>
        <stp>24/08/2016</stp>
        <stp>24/08/2016</stp>
        <stp>[Bbg_Market_Data_CL.xlsm]data!R156C19</stp>
        <tr r="S156" s="1"/>
      </tp>
      <tp t="s">
        <v>#N/A Requesting Data...</v>
        <stp/>
        <stp>##V3_BDHV12</stp>
        <stp>CL1 Comdty</stp>
        <stp>30DAY_IMPVOL_105.0%MNY_DF</stp>
        <stp>04/09/2015</stp>
        <stp>04/09/2015</stp>
        <stp>[Bbg_Market_Data_CL.xlsm]data!R396C19</stp>
        <tr r="S396" s="1"/>
      </tp>
      <tp t="s">
        <v>#N/A Requesting Data...</v>
        <stp/>
        <stp>##V3_BDHV12</stp>
        <stp>CL1 Comdty</stp>
        <stp>30DAY_IMPVOL_100.0%MNY_DF</stp>
        <stp>05/08/2015</stp>
        <stp>05/08/2015</stp>
        <stp>[Bbg_Market_Data_CL.xlsm]data!R418C20</stp>
        <tr r="T418" s="1"/>
      </tp>
      <tp t="s">
        <v>#N/A Requesting Data...</v>
        <stp/>
        <stp>##V3_BDHV12</stp>
        <stp>CL1 Comdty</stp>
        <stp>30DAY_IMPVOL_110.0%MNY_DF</stp>
        <stp>26/08/2015</stp>
        <stp>26/08/2015</stp>
        <stp>[Bbg_Market_Data_CL.xlsm]data!R403C22</stp>
        <tr r="V403" s="1"/>
      </tp>
      <tp t="s">
        <v>#N/A Requesting Data...</v>
        <stp/>
        <stp>##V3_BDHV12</stp>
        <stp>CL1 Comdty</stp>
        <stp>30DAY_IMPVOL_105.0%MNY_DF</stp>
        <stp>16/09/2016</stp>
        <stp>16/09/2016</stp>
        <stp>[Bbg_Market_Data_CL.xlsm]data!R140C19</stp>
        <tr r="S140" s="1"/>
      </tp>
      <tp t="s">
        <v>#N/A Requesting Data...</v>
        <stp/>
        <stp>##V3_BDHV12</stp>
        <stp>CL1 Comdty</stp>
        <stp>30DAY_IMPVOL_100.0%MNY_DF</stp>
        <stp>27/08/2015</stp>
        <stp>27/08/2015</stp>
        <stp>[Bbg_Market_Data_CL.xlsm]data!R402C20</stp>
        <tr r="T402" s="1"/>
      </tp>
      <tp t="s">
        <v>#N/A Requesting Data...</v>
        <stp/>
        <stp>##V3_BDHV12</stp>
        <stp>CL1 Comdty</stp>
        <stp>30DAY_IMPVOL_105.0%MNY_DF</stp>
        <stp>17/08/2016</stp>
        <stp>17/08/2016</stp>
        <stp>[Bbg_Market_Data_CL.xlsm]data!R161C19</stp>
        <tr r="S161" s="1"/>
      </tp>
      <tp t="s">
        <v>#N/A Requesting Data...</v>
        <stp/>
        <stp>##V3_BDHV12</stp>
        <stp>CL1 Comdty</stp>
        <stp>30DAY_IMPVOL_105.0%MNY_DF</stp>
        <stp>07/09/2016</stp>
        <stp>07/09/2016</stp>
        <stp>[Bbg_Market_Data_CL.xlsm]data!R147C19</stp>
        <tr r="S147" s="1"/>
      </tp>
      <tp t="s">
        <v>#N/A Requesting Data...</v>
        <stp/>
        <stp>##V3_BDHV12</stp>
        <stp>CL1 Comdty</stp>
        <stp>30DAY_IMPVOL_110.0%MNY_DF</stp>
        <stp>06/09/2016</stp>
        <stp>06/09/2016</stp>
        <stp>[Bbg_Market_Data_CL.xlsm]data!R148C22</stp>
        <tr r="V148" s="1"/>
      </tp>
      <tp t="s">
        <v>#N/A Requesting Data...</v>
        <stp/>
        <stp>##V3_BDHV12</stp>
        <stp>CL1 Comdty</stp>
        <stp>30DAY_IMPVOL_100.0%MNY_DF</stp>
        <stp>16/09/2016</stp>
        <stp>16/09/2016</stp>
        <stp>[Bbg_Market_Data_CL.xlsm]data!R140C20</stp>
        <tr r="T140" s="1"/>
      </tp>
      <tp t="s">
        <v>#N/A Requesting Data...</v>
        <stp/>
        <stp>##V3_BDHV12</stp>
        <stp>CL1 Comdty</stp>
        <stp>30DAY_IMPVOL_110.0%MNY_DF</stp>
        <stp>16/08/2016</stp>
        <stp>16/08/2016</stp>
        <stp>[Bbg_Market_Data_CL.xlsm]data!R162C22</stp>
        <tr r="V162" s="1"/>
      </tp>
      <tp t="s">
        <v>#N/A Requesting Data...</v>
        <stp/>
        <stp>##V3_BDHV12</stp>
        <stp>CL1 Comdty</stp>
        <stp>30DAY_IMPVOL_100.0%MNY_DF</stp>
        <stp>17/08/2016</stp>
        <stp>17/08/2016</stp>
        <stp>[Bbg_Market_Data_CL.xlsm]data!R161C20</stp>
        <tr r="T161" s="1"/>
      </tp>
      <tp t="s">
        <v>#N/A Requesting Data...</v>
        <stp/>
        <stp>##V3_BDHV12</stp>
        <stp>CL1 Comdty</stp>
        <stp>30DAY_IMPVOL_100.0%MNY_DF</stp>
        <stp>07/09/2016</stp>
        <stp>07/09/2016</stp>
        <stp>[Bbg_Market_Data_CL.xlsm]data!R147C20</stp>
        <tr r="T147" s="1"/>
      </tp>
      <tp t="s">
        <v>#N/A Requesting Data...</v>
        <stp/>
        <stp>##V3_BDHV12</stp>
        <stp>CL1 Comdty</stp>
        <stp>30DAY_IMPVOL_105.0%MNY_DF</stp>
        <stp>27/08/2015</stp>
        <stp>27/08/2015</stp>
        <stp>[Bbg_Market_Data_CL.xlsm]data!R402C19</stp>
        <tr r="S402" s="1"/>
      </tp>
      <tp t="s">
        <v>#N/A Requesting Data...</v>
        <stp/>
        <stp>##V3_BDHV12</stp>
        <stp>CL1 Comdty</stp>
        <stp>30DAY_IMPVOL_100.0%MNY_DF</stp>
        <stp>24/08/2016</stp>
        <stp>24/08/2016</stp>
        <stp>[Bbg_Market_Data_CL.xlsm]data!R156C20</stp>
        <tr r="T156" s="1"/>
      </tp>
      <tp t="s">
        <v>#N/A Requesting Data...</v>
        <stp/>
        <stp>##V3_BDHV12</stp>
        <stp>CL1 Comdty</stp>
        <stp>30DAY_IMPVOL_105.0%MNY_DF</stp>
        <stp>14/08/2015</stp>
        <stp>14/08/2015</stp>
        <stp>[Bbg_Market_Data_CL.xlsm]data!R411C19</stp>
        <tr r="S411" s="1"/>
      </tp>
      <tp t="s">
        <v>#N/A Requesting Data...</v>
        <stp/>
        <stp>##V3_BDHV12</stp>
        <stp>CL1 Comdty</stp>
        <stp>30DAY_IMPVOL_100.0%MNY_DF</stp>
        <stp>15/09/2015</stp>
        <stp>15/09/2015</stp>
        <stp>[Bbg_Market_Data_CL.xlsm]data!R390C20</stp>
        <tr r="T390" s="1"/>
      </tp>
      <tp t="s">
        <v>#N/A Requesting Data...</v>
        <stp/>
        <stp>##V3_BDHV12</stp>
        <stp>CL1 Comdty</stp>
        <stp>30DAY_IMPVOL_110.0%MNY_DF</stp>
        <stp>25/08/2016</stp>
        <stp>25/08/2016</stp>
        <stp>[Bbg_Market_Data_CL.xlsm]data!R155C22</stp>
        <tr r="V155" s="1"/>
      </tp>
      <tp t="s">
        <v>#N/A Requesting Data...</v>
        <stp/>
        <stp>##V3_BDHV12</stp>
        <stp>CL1 Comdty</stp>
        <stp>30DAY_IMPVOL_110.0%MNY_DF</stp>
        <stp>14/09/2015</stp>
        <stp>14/09/2015</stp>
        <stp>[Bbg_Market_Data_CL.xlsm]data!R391C22</stp>
        <tr r="V391" s="1"/>
      </tp>
      <tp t="s">
        <v>#N/A Requesting Data...</v>
        <stp/>
        <stp>##V3_BDHV12</stp>
        <stp>CL1 Comdty</stp>
        <stp>30DAY_IMPVOL_105.0%MNY_DF</stp>
        <stp>05/08/2015</stp>
        <stp>05/08/2015</stp>
        <stp>[Bbg_Market_Data_CL.xlsm]data!R418C19</stp>
        <tr r="S418" s="1"/>
      </tp>
      <tp t="s">
        <v>#N/A Requesting Data...</v>
        <stp/>
        <stp>##V3_BDHV12</stp>
        <stp>CL1 Comdty</stp>
        <stp>30DAY_IMPVOL_100.0%MNY_DF</stp>
        <stp>04/09/2015</stp>
        <stp>04/09/2015</stp>
        <stp>[Bbg_Market_Data_CL.xlsm]data!R396C20</stp>
        <tr r="T396" s="1"/>
      </tp>
      <tp t="s">
        <v>#N/A Requesting Data...</v>
        <stp/>
        <stp>##V3_BDHV12</stp>
        <stp>CL1 Comdty</stp>
        <stp>30DAY_IMPVOL_110.0%MNY_DF</stp>
        <stp>09/06/2016</stp>
        <stp>09/06/2016</stp>
        <stp>[Bbg_Market_Data_CL.xlsm]data!R208C22</stp>
        <tr r="V208" s="1"/>
      </tp>
      <tp t="s">
        <v>#N/A Requesting Data...</v>
        <stp/>
        <stp>##V3_BDHV12</stp>
        <stp>CL1 Comdty</stp>
        <stp>30DAY_IMPVOL_110.0%MNY_DF</stp>
        <stp>29/04/2016</stp>
        <stp>29/04/2016</stp>
        <stp>[Bbg_Market_Data_CL.xlsm]data!R236C22</stp>
        <tr r="V236" s="1"/>
      </tp>
      <tp t="s">
        <v>#N/A Requesting Data...</v>
        <stp/>
        <stp>##V3_BDHV12</stp>
        <stp>CL1 Comdty</stp>
        <stp>30DAY_IMPVOL_100.0%MNY_DF</stp>
        <stp>28/04/2016</stp>
        <stp>28/04/2016</stp>
        <stp>[Bbg_Market_Data_CL.xlsm]data!R237C20</stp>
        <tr r="T237" s="1"/>
      </tp>
      <tp t="s">
        <v>#N/A Requesting Data...</v>
        <stp/>
        <stp>##V3_BDHV12</stp>
        <stp>CL1 Comdty</stp>
        <stp>30DAY_IMPVOL_100.0%MNY_DF</stp>
        <stp>08/06/2016</stp>
        <stp>08/06/2016</stp>
        <stp>[Bbg_Market_Data_CL.xlsm]data!R209C20</stp>
        <tr r="T209" s="1"/>
      </tp>
      <tp t="s">
        <v>#N/A Requesting Data...</v>
        <stp/>
        <stp>##V3_BDHV12</stp>
        <stp>CL1 Comdty</stp>
        <stp>30DAY_IMPVOL_110.0%MNY_DF</stp>
        <stp>08/07/2016</stp>
        <stp>08/07/2016</stp>
        <stp>[Bbg_Market_Data_CL.xlsm]data!R188C22</stp>
        <tr r="V188" s="1"/>
      </tp>
      <tp t="s">
        <v>#N/A Requesting Data...</v>
        <stp/>
        <stp>##V3_BDHV12</stp>
        <stp>CL1 Comdty</stp>
        <stp>30DAY_IMPVOL_105.0%MNY_DF</stp>
        <stp>28/07/2015</stp>
        <stp>28/07/2015</stp>
        <stp>[Bbg_Market_Data_CL.xlsm]data!R424C19</stp>
        <tr r="S424" s="1"/>
      </tp>
      <tp t="s">
        <v>#N/A Requesting Data...</v>
        <stp/>
        <stp>##V3_BDHV12</stp>
        <stp>CL1 Comdty</stp>
        <stp>30DAY_IMPVOL_100.0%MNY_DF</stp>
        <stp>18/07/2016</stp>
        <stp>18/07/2016</stp>
        <stp>[Bbg_Market_Data_CL.xlsm]data!R182C20</stp>
        <tr r="T182" s="1"/>
      </tp>
      <tp t="s">
        <v>#N/A Requesting Data...</v>
        <stp/>
        <stp>##V3_BDHV12</stp>
        <stp>CL1 Comdty</stp>
        <stp>30DAY_IMPVOL_105.0%MNY_DF</stp>
        <stp>09/04/2015</stp>
        <stp>09/04/2015</stp>
        <stp>[Bbg_Market_Data_CL.xlsm]data!R500C19</stp>
        <tr r="S500" s="1"/>
      </tp>
      <tp t="s">
        <v>#N/A Requesting Data...</v>
        <stp/>
        <stp>##V3_BDHV12</stp>
        <stp>CL1 Comdty</stp>
        <stp>30DAY_IMPVOL_105.0%MNY_DF</stp>
        <stp>08/05/2015</stp>
        <stp>08/05/2015</stp>
        <stp>[Bbg_Market_Data_CL.xlsm]data!R479C19</stp>
        <tr r="S479" s="1"/>
      </tp>
      <tp t="s">
        <v>#N/A Requesting Data...</v>
        <stp/>
        <stp>##V3_BDHV12</stp>
        <stp>CL1 Comdty</stp>
        <stp>30DAY_IMPVOL_110.0%MNY_DF</stp>
        <stp>19/07/2016</stp>
        <stp>19/07/2016</stp>
        <stp>[Bbg_Market_Data_CL.xlsm]data!R181C22</stp>
        <tr r="V181" s="1"/>
      </tp>
      <tp t="s">
        <v>#N/A Requesting Data...</v>
        <stp/>
        <stp>##V3_BDHV12</stp>
        <stp>CL1 Comdty</stp>
        <stp>30DAY_IMPVOL_105.0%MNY_DF</stp>
        <stp>19/05/2015</stp>
        <stp>19/05/2015</stp>
        <stp>[Bbg_Market_Data_CL.xlsm]data!R472C19</stp>
        <tr r="S472" s="1"/>
      </tp>
      <tp t="s">
        <v>#N/A Requesting Data...</v>
        <stp/>
        <stp>##V3_BDHV12</stp>
        <stp>CL1 Comdty</stp>
        <stp>30DAY_IMPVOL_105.0%MNY_DF</stp>
        <stp>29/06/2015</stp>
        <stp>29/06/2015</stp>
        <stp>[Bbg_Market_Data_CL.xlsm]data!R444C19</stp>
        <tr r="S444" s="1"/>
      </tp>
      <tp t="s">
        <v>#N/A Requesting Data...</v>
        <stp/>
        <stp>##V3_BDHV12</stp>
        <stp>CL1 Comdty</stp>
        <stp>30DAY_IMPVOL_100.0%MNY_DF</stp>
        <stp>28/07/2015</stp>
        <stp>28/07/2015</stp>
        <stp>[Bbg_Market_Data_CL.xlsm]data!R424C20</stp>
        <tr r="T424" s="1"/>
      </tp>
      <tp t="s">
        <v>#N/A Requesting Data...</v>
        <stp/>
        <stp>##V3_BDHV12</stp>
        <stp>CL1 Comdty</stp>
        <stp>30DAY_IMPVOL_100.0%MNY_DF</stp>
        <stp>09/04/2015</stp>
        <stp>09/04/2015</stp>
        <stp>[Bbg_Market_Data_CL.xlsm]data!R500C20</stp>
        <tr r="T500" s="1"/>
      </tp>
      <tp t="s">
        <v>#N/A Requesting Data...</v>
        <stp/>
        <stp>##V3_BDHV12</stp>
        <stp>CL1 Comdty</stp>
        <stp>30DAY_IMPVOL_105.0%MNY_DF</stp>
        <stp>18/07/2016</stp>
        <stp>18/07/2016</stp>
        <stp>[Bbg_Market_Data_CL.xlsm]data!R182C19</stp>
        <tr r="S182" s="1"/>
      </tp>
      <tp t="s">
        <v>#N/A Requesting Data...</v>
        <stp/>
        <stp>##V3_BDHV12</stp>
        <stp>CL1 Comdty</stp>
        <stp>30DAY_IMPVOL_100.0%MNY_DF</stp>
        <stp>08/05/2015</stp>
        <stp>08/05/2015</stp>
        <stp>[Bbg_Market_Data_CL.xlsm]data!R479C20</stp>
        <tr r="T479" s="1"/>
      </tp>
      <tp t="s">
        <v>#N/A Requesting Data...</v>
        <stp/>
        <stp>##V3_BDHV12</stp>
        <stp>CL1 Comdty</stp>
        <stp>30DAY_IMPVOL_110.0%MNY_DF</stp>
        <stp>18/05/2015</stp>
        <stp>18/05/2015</stp>
        <stp>[Bbg_Market_Data_CL.xlsm]data!R473C22</stp>
        <tr r="V473" s="1"/>
      </tp>
      <tp t="s">
        <v>#N/A Requesting Data...</v>
        <stp/>
        <stp>##V3_BDHV12</stp>
        <stp>CL1 Comdty</stp>
        <stp>30DAY_IMPVOL_110.0%MNY_DF</stp>
        <stp>29/07/2015</stp>
        <stp>29/07/2015</stp>
        <stp>[Bbg_Market_Data_CL.xlsm]data!R423C22</stp>
        <tr r="V423" s="1"/>
      </tp>
      <tp t="s">
        <v>#N/A Requesting Data...</v>
        <stp/>
        <stp>##V3_BDHV12</stp>
        <stp>CL1 Comdty</stp>
        <stp>30DAY_IMPVOL_100.0%MNY_DF</stp>
        <stp>19/05/2015</stp>
        <stp>19/05/2015</stp>
        <stp>[Bbg_Market_Data_CL.xlsm]data!R472C20</stp>
        <tr r="T472" s="1"/>
      </tp>
      <tp t="s">
        <v>#N/A Requesting Data...</v>
        <stp/>
        <stp>##V3_BDHV12</stp>
        <stp>CL1 Comdty</stp>
        <stp>30DAY_IMPVOL_100.0%MNY_DF</stp>
        <stp>29/06/2015</stp>
        <stp>29/06/2015</stp>
        <stp>[Bbg_Market_Data_CL.xlsm]data!R444C20</stp>
        <tr r="T444" s="1"/>
      </tp>
      <tp t="s">
        <v>#N/A Requesting Data...</v>
        <stp/>
        <stp>##V3_BDHV12</stp>
        <stp>CL1 Comdty</stp>
        <stp>30DAY_IMPVOL_105.0%MNY_DF</stp>
        <stp>28/04/2016</stp>
        <stp>28/04/2016</stp>
        <stp>[Bbg_Market_Data_CL.xlsm]data!R237C19</stp>
        <tr r="S237" s="1"/>
      </tp>
      <tp t="s">
        <v>#N/A Requesting Data...</v>
        <stp/>
        <stp>##V3_BDHV12</stp>
        <stp>CL1 Comdty</stp>
        <stp>30DAY_IMPVOL_105.0%MNY_DF</stp>
        <stp>08/06/2016</stp>
        <stp>08/06/2016</stp>
        <stp>[Bbg_Market_Data_CL.xlsm]data!R209C19</stp>
        <tr r="S209" s="1"/>
      </tp>
      <tp t="s">
        <v>#N/A Requesting Data...</v>
        <stp/>
        <stp>##V3_BDHV12</stp>
        <stp>CL2 Comdty</stp>
        <stp>VOLUME_TOTAL_PUT</stp>
        <stp>22/03/2017</stp>
        <stp>22/03/2017</stp>
        <stp>[Bbg_Market_Data_CL.xlsm]data!R15C16</stp>
        <tr r="P15" s="1"/>
      </tp>
      <tp t="s">
        <v>#N/A Requesting Data...</v>
        <stp/>
        <stp>##V3_BDHV12</stp>
        <stp>CL1 Comdty</stp>
        <stp>VOLUME_TOTAL_PUT</stp>
        <stp>22/03/2017</stp>
        <stp>22/03/2017</stp>
        <stp>[Bbg_Market_Data_CL.xlsm]data!R15C16</stp>
        <tr r="P15" s="1"/>
      </tp>
      <tp t="s">
        <v>#N/A Requesting Data...</v>
        <stp/>
        <stp>##V3_BDHV12</stp>
        <stp>CL2 Comdty</stp>
        <stp>VOLUME_TOTAL_PUT</stp>
        <stp>22/12/2016</stp>
        <stp>22/12/2016</stp>
        <stp>[Bbg_Market_Data_CL.xlsm]data!R75C16</stp>
        <tr r="P75" s="1"/>
      </tp>
      <tp t="s">
        <v>#N/A Requesting Data...</v>
        <stp/>
        <stp>##V3_BDHV12</stp>
        <stp>CL1 Comdty</stp>
        <stp>VOLUME_TOTAL_PUT</stp>
        <stp>22/12/2016</stp>
        <stp>22/12/2016</stp>
        <stp>[Bbg_Market_Data_CL.xlsm]data!R75C16</stp>
        <tr r="P75" s="1"/>
      </tp>
      <tp t="s">
        <v>#N/A Requesting Data...</v>
        <stp/>
        <stp>##V3_BDHV12</stp>
        <stp>CL2 Comdty</stp>
        <stp>VOLUME_TOTAL_PUT</stp>
        <stp>23/03/2017</stp>
        <stp>23/03/2017</stp>
        <stp>[Bbg_Market_Data_CL.xlsm]data!R14C16</stp>
        <tr r="P14" s="1"/>
      </tp>
      <tp t="s">
        <v>#N/A Requesting Data...</v>
        <stp/>
        <stp>##V3_BDHV12</stp>
        <stp>CL1 Comdty</stp>
        <stp>VOLUME_TOTAL_PUT</stp>
        <stp>23/03/2017</stp>
        <stp>23/03/2017</stp>
        <stp>[Bbg_Market_Data_CL.xlsm]data!R14C16</stp>
        <tr r="P14" s="1"/>
      </tp>
      <tp t="s">
        <v>#N/A Requesting Data...</v>
        <stp/>
        <stp>##V3_BDHV12</stp>
        <stp>CL2 Comdty</stp>
        <stp>VOLUME_TOTAL_PUT</stp>
        <stp>23/12/2016</stp>
        <stp>23/12/2016</stp>
        <stp>[Bbg_Market_Data_CL.xlsm]data!R74C16</stp>
        <tr r="P74" s="1"/>
      </tp>
      <tp t="s">
        <v>#N/A Requesting Data...</v>
        <stp/>
        <stp>##V3_BDHV12</stp>
        <stp>CL1 Comdty</stp>
        <stp>VOLUME_TOTAL_PUT</stp>
        <stp>23/12/2016</stp>
        <stp>23/12/2016</stp>
        <stp>[Bbg_Market_Data_CL.xlsm]data!R74C16</stp>
        <tr r="P74" s="1"/>
      </tp>
      <tp t="s">
        <v>#N/A Requesting Data...</v>
        <stp/>
        <stp>##V3_BDHV12</stp>
        <stp>CL2 Comdty</stp>
        <stp>VOLUME_TOTAL_PUT</stp>
        <stp>03/01/2017</stp>
        <stp>03/01/2017</stp>
        <stp>[Bbg_Market_Data_CL.xlsm]data!R69C16</stp>
        <tr r="P69" s="1"/>
      </tp>
      <tp t="s">
        <v>#N/A Requesting Data...</v>
        <stp/>
        <stp>##V3_BDHV12</stp>
        <stp>CL1 Comdty</stp>
        <stp>VOLUME_TOTAL_PUT</stp>
        <stp>03/01/2017</stp>
        <stp>03/01/2017</stp>
        <stp>[Bbg_Market_Data_CL.xlsm]data!R69C16</stp>
        <tr r="P69" s="1"/>
      </tp>
      <tp t="s">
        <v>#N/A Requesting Data...</v>
        <stp/>
        <stp>##V3_BDHV12</stp>
        <stp>CL1 Comdty</stp>
        <stp>VOLUME_TOTAL_PUT</stp>
        <stp>20/03/2017</stp>
        <stp>20/03/2017</stp>
        <stp>[Bbg_Market_Data_CL.xlsm]data!R17C16</stp>
        <tr r="P17" s="1"/>
      </tp>
      <tp t="s">
        <v>#N/A Requesting Data...</v>
        <stp/>
        <stp>##V3_BDHV12</stp>
        <stp>CL2 Comdty</stp>
        <stp>VOLUME_TOTAL_PUT</stp>
        <stp>20/03/2017</stp>
        <stp>20/03/2017</stp>
        <stp>[Bbg_Market_Data_CL.xlsm]data!R17C16</stp>
        <tr r="P17" s="1"/>
      </tp>
      <tp t="s">
        <v>#N/A Requesting Data...</v>
        <stp/>
        <stp>##V3_BDHV12</stp>
        <stp>CL1 Comdty</stp>
        <stp>VOLUME_TOTAL_PUT</stp>
        <stp>20/12/2016</stp>
        <stp>20/12/2016</stp>
        <stp>[Bbg_Market_Data_CL.xlsm]data!R77C16</stp>
        <tr r="P77" s="1"/>
      </tp>
      <tp t="s">
        <v>#N/A Requesting Data...</v>
        <stp/>
        <stp>##V3_BDHV12</stp>
        <stp>CL2 Comdty</stp>
        <stp>VOLUME_TOTAL_PUT</stp>
        <stp>20/12/2016</stp>
        <stp>20/12/2016</stp>
        <stp>[Bbg_Market_Data_CL.xlsm]data!R77C16</stp>
        <tr r="P77" s="1"/>
      </tp>
      <tp t="s">
        <v>#N/A Requesting Data...</v>
        <stp/>
        <stp>##V3_BDHV12</stp>
        <stp>CL1 Comdty</stp>
        <stp>VOLUME_TOTAL_PUT</stp>
        <stp>21/03/2017</stp>
        <stp>21/03/2017</stp>
        <stp>[Bbg_Market_Data_CL.xlsm]data!R16C16</stp>
        <tr r="P16" s="1"/>
      </tp>
      <tp t="s">
        <v>#N/A Requesting Data...</v>
        <stp/>
        <stp>##V3_BDHV12</stp>
        <stp>CL2 Comdty</stp>
        <stp>VOLUME_TOTAL_PUT</stp>
        <stp>21/03/2017</stp>
        <stp>21/03/2017</stp>
        <stp>[Bbg_Market_Data_CL.xlsm]data!R16C16</stp>
        <tr r="P16" s="1"/>
      </tp>
      <tp t="s">
        <v>#N/A Requesting Data...</v>
        <stp/>
        <stp>##V3_BDHV12</stp>
        <stp>CL1 Comdty</stp>
        <stp>VOLUME_TOTAL_PUT</stp>
        <stp>21/12/2016</stp>
        <stp>21/12/2016</stp>
        <stp>[Bbg_Market_Data_CL.xlsm]data!R76C16</stp>
        <tr r="P76" s="1"/>
      </tp>
      <tp t="s">
        <v>#N/A Requesting Data...</v>
        <stp/>
        <stp>##V3_BDHV12</stp>
        <stp>CL2 Comdty</stp>
        <stp>VOLUME_TOTAL_PUT</stp>
        <stp>21/12/2016</stp>
        <stp>21/12/2016</stp>
        <stp>[Bbg_Market_Data_CL.xlsm]data!R76C16</stp>
        <tr r="P76" s="1"/>
      </tp>
      <tp t="s">
        <v>#N/A Requesting Data...</v>
        <stp/>
        <stp>##V3_BDHV12</stp>
        <stp>CL1 Comdty</stp>
        <stp>VOLUME_TOTAL_PUT</stp>
        <stp>06/01/2017</stp>
        <stp>06/01/2017</stp>
        <stp>[Bbg_Market_Data_CL.xlsm]data!R66C16</stp>
        <tr r="P66" s="1"/>
      </tp>
      <tp t="s">
        <v>#N/A Requesting Data...</v>
        <stp/>
        <stp>##V3_BDHV12</stp>
        <stp>CL2 Comdty</stp>
        <stp>VOLUME_TOTAL_PUT</stp>
        <stp>06/01/2017</stp>
        <stp>06/01/2017</stp>
        <stp>[Bbg_Market_Data_CL.xlsm]data!R66C16</stp>
        <tr r="P66" s="1"/>
      </tp>
      <tp t="s">
        <v>#N/A Requesting Data...</v>
        <stp/>
        <stp>##V3_BDHV12</stp>
        <stp>CL2 Comdty</stp>
        <stp>VOLUME_TOTAL_PUT</stp>
        <stp>17/11/2016</stp>
        <stp>17/11/2016</stp>
        <stp>[Bbg_Market_Data_CL.xlsm]data!R99C16</stp>
        <tr r="P99" s="1"/>
      </tp>
      <tp t="s">
        <v>#N/A Requesting Data...</v>
        <stp/>
        <stp>##V3_BDHV12</stp>
        <stp>CL1 Comdty</stp>
        <stp>VOLUME_TOTAL_PUT</stp>
        <stp>17/11/2016</stp>
        <stp>17/11/2016</stp>
        <stp>[Bbg_Market_Data_CL.xlsm]data!R99C16</stp>
        <tr r="P99" s="1"/>
      </tp>
      <tp t="s">
        <v>#N/A Requesting Data...</v>
        <stp/>
        <stp>##V3_BDHV12</stp>
        <stp>CL1 Comdty</stp>
        <stp>VOLUME_TOTAL_PUT</stp>
        <stp>27/12/2016</stp>
        <stp>27/12/2016</stp>
        <stp>[Bbg_Market_Data_CL.xlsm]data!R73C16</stp>
        <tr r="P73" s="1"/>
      </tp>
      <tp t="s">
        <v>#N/A Requesting Data...</v>
        <stp/>
        <stp>##V3_BDHV12</stp>
        <stp>CL2 Comdty</stp>
        <stp>VOLUME_TOTAL_PUT</stp>
        <stp>27/12/2016</stp>
        <stp>27/12/2016</stp>
        <stp>[Bbg_Market_Data_CL.xlsm]data!R73C16</stp>
        <tr r="P73" s="1"/>
      </tp>
      <tp t="s">
        <v>#N/A Requesting Data...</v>
        <stp/>
        <stp>##V3_BDHV12</stp>
        <stp>CL1 Comdty</stp>
        <stp>VOLUME_TOTAL_PUT</stp>
        <stp>27/03/2017</stp>
        <stp>27/03/2017</stp>
        <stp>[Bbg_Market_Data_CL.xlsm]data!R12C16</stp>
        <tr r="P12" s="1"/>
      </tp>
      <tp t="s">
        <v>#N/A Requesting Data...</v>
        <stp/>
        <stp>##V3_BDHV12</stp>
        <stp>CL2 Comdty</stp>
        <stp>VOLUME_TOTAL_PUT</stp>
        <stp>27/03/2017</stp>
        <stp>27/03/2017</stp>
        <stp>[Bbg_Market_Data_CL.xlsm]data!R12C16</stp>
        <tr r="P12" s="1"/>
      </tp>
      <tp t="s">
        <v>#N/A Requesting Data...</v>
        <stp/>
        <stp>##V3_BDHV12</stp>
        <stp>CL2 Comdty</stp>
        <stp>VOLUME_TOTAL_PUT</stp>
        <stp>04/01/2017</stp>
        <stp>04/01/2017</stp>
        <stp>[Bbg_Market_Data_CL.xlsm]data!R68C16</stp>
        <tr r="P68" s="1"/>
      </tp>
      <tp t="s">
        <v>#N/A Requesting Data...</v>
        <stp/>
        <stp>##V3_BDHV12</stp>
        <stp>CL1 Comdty</stp>
        <stp>VOLUME_TOTAL_PUT</stp>
        <stp>04/01/2017</stp>
        <stp>04/01/2017</stp>
        <stp>[Bbg_Market_Data_CL.xlsm]data!R68C16</stp>
        <tr r="P68" s="1"/>
      </tp>
      <tp t="s">
        <v>#N/A Requesting Data...</v>
        <stp/>
        <stp>##V3_BDHV12</stp>
        <stp>CL1 Comdty</stp>
        <stp>VOLUME_TOTAL_PUT</stp>
        <stp>24/03/2017</stp>
        <stp>24/03/2017</stp>
        <stp>[Bbg_Market_Data_CL.xlsm]data!R13C16</stp>
        <tr r="P13" s="1"/>
      </tp>
      <tp t="s">
        <v>#N/A Requesting Data...</v>
        <stp/>
        <stp>##V3_BDHV12</stp>
        <stp>CL2 Comdty</stp>
        <stp>VOLUME_TOTAL_PUT</stp>
        <stp>24/03/2017</stp>
        <stp>24/03/2017</stp>
        <stp>[Bbg_Market_Data_CL.xlsm]data!R13C16</stp>
        <tr r="P13" s="1"/>
      </tp>
      <tp t="s">
        <v>#N/A Requesting Data...</v>
        <stp/>
        <stp>##V3_BDHV12</stp>
        <stp>CL1 Comdty</stp>
        <stp>VOLUME_TOTAL_PUT</stp>
        <stp>05/01/2017</stp>
        <stp>05/01/2017</stp>
        <stp>[Bbg_Market_Data_CL.xlsm]data!R67C16</stp>
        <tr r="P67" s="1"/>
      </tp>
      <tp t="s">
        <v>#N/A Requesting Data...</v>
        <stp/>
        <stp>##V3_BDHV12</stp>
        <stp>CL2 Comdty</stp>
        <stp>VOLUME_TOTAL_PUT</stp>
        <stp>05/01/2017</stp>
        <stp>05/01/2017</stp>
        <stp>[Bbg_Market_Data_CL.xlsm]data!R67C16</stp>
        <tr r="P67" s="1"/>
      </tp>
      <tp t="s">
        <v>#N/A Requesting Data...</v>
        <stp/>
        <stp>##V3_BDHV12</stp>
        <stp>CL2 Comdty</stp>
        <stp>VOLUME_TOTAL_PUT</stp>
        <stp>28/03/2017</stp>
        <stp>28/03/2017</stp>
        <stp>[Bbg_Market_Data_CL.xlsm]data!R11C16</stp>
        <tr r="P11" s="1"/>
      </tp>
      <tp t="s">
        <v>#N/A Requesting Data...</v>
        <stp/>
        <stp>##V3_BDHV12</stp>
        <stp>CL1 Comdty</stp>
        <stp>VOLUME_TOTAL_PUT</stp>
        <stp>28/03/2017</stp>
        <stp>28/03/2017</stp>
        <stp>[Bbg_Market_Data_CL.xlsm]data!R11C16</stp>
        <tr r="P11" s="1"/>
      </tp>
      <tp t="s">
        <v>#N/A Requesting Data...</v>
        <stp/>
        <stp>##V3_BDHV12</stp>
        <stp>CL1 Comdty</stp>
        <stp>VOLUME_TOTAL_PUT</stp>
        <stp>28/12/2016</stp>
        <stp>28/12/2016</stp>
        <stp>[Bbg_Market_Data_CL.xlsm]data!R72C16</stp>
        <tr r="P72" s="1"/>
      </tp>
      <tp t="s">
        <v>#N/A Requesting Data...</v>
        <stp/>
        <stp>##V3_BDHV12</stp>
        <stp>CL2 Comdty</stp>
        <stp>VOLUME_TOTAL_PUT</stp>
        <stp>28/12/2016</stp>
        <stp>28/12/2016</stp>
        <stp>[Bbg_Market_Data_CL.xlsm]data!R72C16</stp>
        <tr r="P72" s="1"/>
      </tp>
      <tp t="s">
        <v>#N/A Requesting Data...</v>
        <stp/>
        <stp>##V3_BDHV12</stp>
        <stp>CL2 Comdty</stp>
        <stp>VOLUME_TOTAL_PUT</stp>
        <stp>18/11/2016</stp>
        <stp>18/11/2016</stp>
        <stp>[Bbg_Market_Data_CL.xlsm]data!R98C16</stp>
        <tr r="P98" s="1"/>
      </tp>
      <tp t="s">
        <v>#N/A Requesting Data...</v>
        <stp/>
        <stp>##V3_BDHV12</stp>
        <stp>CL1 Comdty</stp>
        <stp>VOLUME_TOTAL_PUT</stp>
        <stp>18/11/2016</stp>
        <stp>18/11/2016</stp>
        <stp>[Bbg_Market_Data_CL.xlsm]data!R98C16</stp>
        <tr r="P98" s="1"/>
      </tp>
      <tp t="s">
        <v>#N/A Requesting Data...</v>
        <stp/>
        <stp>##V3_BDHV12</stp>
        <stp>CL2 Comdty</stp>
        <stp>VOLUME_TOTAL_PUT</stp>
        <stp>29/03/2017</stp>
        <stp>29/03/2017</stp>
        <stp>[Bbg_Market_Data_CL.xlsm]data!R10C16</stp>
        <tr r="P10" s="1"/>
      </tp>
      <tp t="s">
        <v>#N/A Requesting Data...</v>
        <stp/>
        <stp>##V3_BDHV12</stp>
        <stp>CL1 Comdty</stp>
        <stp>VOLUME_TOTAL_PUT</stp>
        <stp>29/03/2017</stp>
        <stp>29/03/2017</stp>
        <stp>[Bbg_Market_Data_CL.xlsm]data!R10C16</stp>
        <tr r="P10" s="1"/>
      </tp>
      <tp t="s">
        <v>#N/A Requesting Data...</v>
        <stp/>
        <stp>##V3_BDHV12</stp>
        <stp>CL2 Comdty</stp>
        <stp>VOLUME_TOTAL_PUT</stp>
        <stp>29/12/2016</stp>
        <stp>29/12/2016</stp>
        <stp>[Bbg_Market_Data_CL.xlsm]data!R71C16</stp>
        <tr r="P71" s="1"/>
      </tp>
      <tp t="s">
        <v>#N/A Requesting Data...</v>
        <stp/>
        <stp>##V3_BDHV12</stp>
        <stp>CL1 Comdty</stp>
        <stp>VOLUME_TOTAL_PUT</stp>
        <stp>29/12/2016</stp>
        <stp>29/12/2016</stp>
        <stp>[Bbg_Market_Data_CL.xlsm]data!R71C16</stp>
        <tr r="P71" s="1"/>
      </tp>
      <tp t="s">
        <v>#N/A Requesting Data...</v>
        <stp/>
        <stp>##V3_BDHV12</stp>
        <stp>CL2 Comdty</stp>
        <stp>VOLUME_TOTAL_PUT</stp>
        <stp>09/01/2017</stp>
        <stp>09/01/2017</stp>
        <stp>[Bbg_Market_Data_CL.xlsm]data!R65C16</stp>
        <tr r="P65" s="1"/>
      </tp>
      <tp t="s">
        <v>#N/A Requesting Data...</v>
        <stp/>
        <stp>##V3_BDHV12</stp>
        <stp>CL1 Comdty</stp>
        <stp>VOLUME_TOTAL_PUT</stp>
        <stp>09/01/2017</stp>
        <stp>09/01/2017</stp>
        <stp>[Bbg_Market_Data_CL.xlsm]data!R65C16</stp>
        <tr r="P65" s="1"/>
      </tp>
      <tp t="s">
        <v>#N/A Requesting Data...</v>
        <stp/>
        <stp>##V3_BDHV12</stp>
        <stp>CL1 Comdty</stp>
        <stp>RSI_9D</stp>
        <stp>13/06/2016</stp>
        <stp>13/06/2016</stp>
        <stp>[Bbg_Market_Data_CL.xlsm]data!R207C12</stp>
        <tr r="L207" s="1"/>
      </tp>
      <tp t="s">
        <v>#N/A Requesting Data...</v>
        <stp/>
        <stp>##V3_BDHV12</stp>
        <stp>CL1 Comdty</stp>
        <stp>RSI_9D</stp>
        <stp>23/05/2016</stp>
        <stp>23/05/2016</stp>
        <stp>[Bbg_Market_Data_CL.xlsm]data!R221C12</stp>
        <tr r="L221" s="1"/>
      </tp>
      <tp t="s">
        <v>#N/A Requesting Data...</v>
        <stp/>
        <stp>##V3_BDHV12</stp>
        <stp>CL2 Comdty</stp>
        <stp>RSI_9D</stp>
        <stp>13/05/2016</stp>
        <stp>13/05/2016</stp>
        <stp>[Bbg_Market_Data_CL.xlsm]data!R227C12</stp>
        <tr r="L227" s="1"/>
      </tp>
      <tp t="s">
        <v>#N/A Requesting Data...</v>
        <stp/>
        <stp>##V3_BDHV12</stp>
        <stp>CL1 Comdty</stp>
        <stp>RSI_9D</stp>
        <stp>01/03/2017</stp>
        <stp>01/03/2017</stp>
        <stp>[Bbg_Market_Data_CL.xlsm]data!R30C12</stp>
        <tr r="L30" s="1"/>
      </tp>
      <tp t="s">
        <v>#N/A Requesting Data...</v>
        <stp/>
        <stp>##V3_BDHV12</stp>
        <stp>CL2 Comdty</stp>
        <stp>RSI_9D</stp>
        <stp>02/03/2017</stp>
        <stp>02/03/2017</stp>
        <stp>[Bbg_Market_Data_CL.xlsm]data!R29C12</stp>
        <tr r="L29" s="1"/>
      </tp>
      <tp t="s">
        <v>#N/A Requesting Data...</v>
        <stp/>
        <stp>##V3_BDHV12</stp>
        <stp>CL2 Comdty</stp>
        <stp>RSI_9D</stp>
        <stp>02/12/2016</stp>
        <stp>02/12/2016</stp>
        <stp>[Bbg_Market_Data_CL.xlsm]data!R89C12</stp>
        <tr r="L89" s="1"/>
      </tp>
      <tp t="s">
        <v>#N/A Requesting Data...</v>
        <stp/>
        <stp>##V3_BDHV12</stp>
        <stp>CL1 Comdty</stp>
        <stp>RSI_9D</stp>
        <stp>01/12/2016</stp>
        <stp>01/12/2016</stp>
        <stp>[Bbg_Market_Data_CL.xlsm]data!R90C12</stp>
        <tr r="L90" s="1"/>
      </tp>
      <tp t="s">
        <v>#N/A Requesting Data...</v>
        <stp/>
        <stp>##V3_BDHV12</stp>
        <stp>CL1 Comdty</stp>
        <stp>RSI_9D</stp>
        <stp>21/07/2016</stp>
        <stp>21/07/2016</stp>
        <stp>[Bbg_Market_Data_CL.xlsm]data!R180C12</stp>
        <tr r="L180" s="1"/>
      </tp>
      <tp t="s">
        <v>#N/A Requesting Data...</v>
        <stp/>
        <stp>##V3_BDHV12</stp>
        <stp>CL2 Comdty</stp>
        <stp>RSI_9D</stp>
        <stp>11/07/2016</stp>
        <stp>11/07/2016</stp>
        <stp>[Bbg_Market_Data_CL.xlsm]data!R188C12</stp>
        <tr r="L188" s="1"/>
      </tp>
      <tp t="s">
        <v>#N/A Requesting Data...</v>
        <stp/>
        <stp>##V3_BDHV12</stp>
        <stp>CL1 Comdty</stp>
        <stp>RSI_9D</stp>
        <stp>02/06/2016</stp>
        <stp>02/06/2016</stp>
        <stp>[Bbg_Market_Data_CL.xlsm]data!R214C12</stp>
        <tr r="L214" s="1"/>
      </tp>
      <tp t="s">
        <v>#N/A Requesting Data...</v>
        <stp/>
        <stp>##V3_BDHV12</stp>
        <stp>CL2 Comdty</stp>
        <stp>RSI_9D</stp>
        <stp>02/05/2016</stp>
        <stp>02/05/2016</stp>
        <stp>[Bbg_Market_Data_CL.xlsm]data!R236C12</stp>
        <tr r="L236" s="1"/>
      </tp>
      <tp t="s">
        <v>#N/A Requesting Data...</v>
        <stp/>
        <stp>##V3_BDHV12</stp>
        <stp>CL1 Comdty</stp>
        <stp>RSI_9D</stp>
        <stp>22/04/2016</stp>
        <stp>22/04/2016</stp>
        <stp>[Bbg_Market_Data_CL.xlsm]data!R242C12</stp>
        <tr r="L242" s="1"/>
      </tp>
      <tp t="s">
        <v>#N/A Requesting Data...</v>
        <stp/>
        <stp>##V3_BDHV12</stp>
        <stp>CL2 Comdty</stp>
        <stp>RSI_9D</stp>
        <stp>12/04/2016</stp>
        <stp>12/04/2016</stp>
        <stp>[Bbg_Market_Data_CL.xlsm]data!R250C12</stp>
        <tr r="L250" s="1"/>
      </tp>
      <tp t="s">
        <v>#N/A Requesting Data...</v>
        <stp/>
        <stp>##V3_BDHV12</stp>
        <stp>CL2 Comdty</stp>
        <stp>RSI_9D</stp>
        <stp>03/03/2017</stp>
        <stp>03/03/2017</stp>
        <stp>[Bbg_Market_Data_CL.xlsm]data!R28C12</stp>
        <tr r="L28" s="1"/>
      </tp>
      <tp t="s">
        <v>#N/A Requesting Data...</v>
        <stp/>
        <stp>##V3_BDHV12</stp>
        <stp>CL2 Comdty</stp>
        <stp>RSI_9D</stp>
        <stp>23/01/2017</stp>
        <stp>23/01/2017</stp>
        <stp>[Bbg_Market_Data_CL.xlsm]data!R56C12</stp>
        <tr r="L56" s="1"/>
      </tp>
      <tp t="s">
        <v>#N/A Requesting Data...</v>
        <stp/>
        <stp>##V3_BDHV12</stp>
        <stp>CL2 Comdty</stp>
        <stp>RSI_9D</stp>
        <stp>13/02/2017</stp>
        <stp>13/02/2017</stp>
        <stp>[Bbg_Market_Data_CL.xlsm]data!R41C12</stp>
        <tr r="L41" s="1"/>
      </tp>
      <tp t="s">
        <v>#N/A Requesting Data...</v>
        <stp/>
        <stp>##V3_BDHV12</stp>
        <stp>CL1 Comdty</stp>
        <stp>RSI_9D</stp>
        <stp>10/02/2017</stp>
        <stp>10/02/2017</stp>
        <stp>[Bbg_Market_Data_CL.xlsm]data!R42C12</stp>
        <tr r="L42" s="1"/>
      </tp>
      <tp t="s">
        <v>#N/A Requesting Data...</v>
        <stp/>
        <stp>##V3_BDHV12</stp>
        <stp>CL1 Comdty</stp>
        <stp>RSI_9D</stp>
        <stp>20/01/2017</stp>
        <stp>20/01/2017</stp>
        <stp>[Bbg_Market_Data_CL.xlsm]data!R57C12</stp>
        <tr r="L57" s="1"/>
      </tp>
      <tp t="s">
        <v>#N/A Requesting Data...</v>
        <stp/>
        <stp>##V3_BDHV12</stp>
        <stp>CL1 Comdty</stp>
        <stp>RSI_9D</stp>
        <stp>30/11/2016</stp>
        <stp>30/11/2016</stp>
        <stp>[Bbg_Market_Data_CL.xlsm]data!R91C12</stp>
        <tr r="L91" s="1"/>
      </tp>
      <tp t="s">
        <v>#N/A Requesting Data...</v>
        <stp/>
        <stp>##V3_BDHV12</stp>
        <stp>CL1 Comdty</stp>
        <stp>RSI_9D</stp>
        <stp>12/07/2016</stp>
        <stp>12/07/2016</stp>
        <stp>[Bbg_Market_Data_CL.xlsm]data!R187C12</stp>
        <tr r="L187" s="1"/>
      </tp>
      <tp t="s">
        <v>#N/A Requesting Data...</v>
        <stp/>
        <stp>##V3_BDHV12</stp>
        <stp>CL2 Comdty</stp>
        <stp>RSI_9D</stp>
        <stp>31/05/2016</stp>
        <stp>31/05/2016</stp>
        <stp>[Bbg_Market_Data_CL.xlsm]data!R216C12</stp>
        <tr r="L216" s="1"/>
      </tp>
      <tp t="s">
        <v>#N/A Requesting Data...</v>
        <stp/>
        <stp>##V3_BDHV12</stp>
        <stp>CL2 Comdty</stp>
        <stp>RSI_9D</stp>
        <stp>01/06/2016</stp>
        <stp>01/06/2016</stp>
        <stp>[Bbg_Market_Data_CL.xlsm]data!R215C12</stp>
        <tr r="L215" s="1"/>
      </tp>
      <tp t="s">
        <v>#N/A Requesting Data...</v>
        <stp/>
        <stp>##V3_BDHV12</stp>
        <stp>CL2 Comdty</stp>
        <stp>RSI_9D</stp>
        <stp>21/04/2016</stp>
        <stp>21/04/2016</stp>
        <stp>[Bbg_Market_Data_CL.xlsm]data!R243C12</stp>
        <tr r="L243" s="1"/>
      </tp>
      <tp t="s">
        <v>#N/A Requesting Data...</v>
        <stp/>
        <stp>##V3_BDHV12</stp>
        <stp>CL1 Comdty</stp>
        <stp>RSI_9D</stp>
        <stp>11/04/2016</stp>
        <stp>11/04/2016</stp>
        <stp>[Bbg_Market_Data_CL.xlsm]data!R251C12</stp>
        <tr r="L251" s="1"/>
      </tp>
      <tp t="s">
        <v>#N/A Requesting Data...</v>
        <stp/>
        <stp>##V3_BDHV12</stp>
        <stp>CL2 Comdty</stp>
        <stp>RSI_9D</stp>
        <stp>22/07/2016</stp>
        <stp>22/07/2016</stp>
        <stp>[Bbg_Market_Data_CL.xlsm]data!R179C12</stp>
        <tr r="L179" s="1"/>
      </tp>
      <tp t="s">
        <v>#N/A Requesting Data...</v>
        <stp/>
        <stp>##V3_BDHV12</stp>
        <stp>CL1 Comdty</stp>
        <stp>RSI_9D</stp>
        <stp>03/03/2017</stp>
        <stp>03/03/2017</stp>
        <stp>[Bbg_Market_Data_CL.xlsm]data!R28C12</stp>
        <tr r="L28" s="1"/>
      </tp>
      <tp t="s">
        <v>#N/A Requesting Data...</v>
        <stp/>
        <stp>##V3_BDHV12</stp>
        <stp>CL1 Comdty</stp>
        <stp>RSI_9D</stp>
        <stp>23/01/2017</stp>
        <stp>23/01/2017</stp>
        <stp>[Bbg_Market_Data_CL.xlsm]data!R56C12</stp>
        <tr r="L56" s="1"/>
      </tp>
      <tp t="s">
        <v>#N/A Requesting Data...</v>
        <stp/>
        <stp>##V3_BDHV12</stp>
        <stp>CL1 Comdty</stp>
        <stp>RSI_9D</stp>
        <stp>13/02/2017</stp>
        <stp>13/02/2017</stp>
        <stp>[Bbg_Market_Data_CL.xlsm]data!R41C12</stp>
        <tr r="L41" s="1"/>
      </tp>
      <tp t="s">
        <v>#N/A Requesting Data...</v>
        <stp/>
        <stp>##V3_BDHV12</stp>
        <stp>CL2 Comdty</stp>
        <stp>RSI_9D</stp>
        <stp>10/02/2017</stp>
        <stp>10/02/2017</stp>
        <stp>[Bbg_Market_Data_CL.xlsm]data!R42C12</stp>
        <tr r="L42" s="1"/>
      </tp>
      <tp t="s">
        <v>#N/A Requesting Data...</v>
        <stp/>
        <stp>##V3_BDHV12</stp>
        <stp>CL2 Comdty</stp>
        <stp>RSI_9D</stp>
        <stp>20/01/2017</stp>
        <stp>20/01/2017</stp>
        <stp>[Bbg_Market_Data_CL.xlsm]data!R57C12</stp>
        <tr r="L57" s="1"/>
      </tp>
      <tp t="s">
        <v>#N/A Requesting Data...</v>
        <stp/>
        <stp>##V3_BDHV12</stp>
        <stp>CL2 Comdty</stp>
        <stp>RSI_9D</stp>
        <stp>30/11/2016</stp>
        <stp>30/11/2016</stp>
        <stp>[Bbg_Market_Data_CL.xlsm]data!R91C12</stp>
        <tr r="L91" s="1"/>
      </tp>
      <tp t="s">
        <v>#N/A Requesting Data...</v>
        <stp/>
        <stp>##V3_BDHV12</stp>
        <stp>CL2 Comdty</stp>
        <stp>RSI_9D</stp>
        <stp>23/06/2016</stp>
        <stp>23/06/2016</stp>
        <stp>[Bbg_Market_Data_CL.xlsm]data!R199C12</stp>
        <tr r="L199" s="1"/>
      </tp>
      <tp t="s">
        <v>#N/A Requesting Data...</v>
        <stp/>
        <stp>##V3_BDHV12</stp>
        <stp>CL1 Comdty</stp>
        <stp>RSI_9D</stp>
        <stp>20/06/2016</stp>
        <stp>20/06/2016</stp>
        <stp>[Bbg_Market_Data_CL.xlsm]data!R202C12</stp>
        <tr r="L202" s="1"/>
      </tp>
      <tp t="s">
        <v>#N/A Requesting Data...</v>
        <stp/>
        <stp>##V3_BDHV12</stp>
        <stp>CL2 Comdty</stp>
        <stp>RSI_9D</stp>
        <stp>10/06/2016</stp>
        <stp>10/06/2016</stp>
        <stp>[Bbg_Market_Data_CL.xlsm]data!R208C12</stp>
        <tr r="L208" s="1"/>
      </tp>
      <tp t="s">
        <v>#N/A Requesting Data...</v>
        <stp/>
        <stp>##V3_BDHV12</stp>
        <stp>CL2 Comdty</stp>
        <stp>RSI_9D</stp>
        <stp>20/05/2016</stp>
        <stp>20/05/2016</stp>
        <stp>[Bbg_Market_Data_CL.xlsm]data!R222C12</stp>
        <tr r="L222" s="1"/>
      </tp>
      <tp t="s">
        <v>#N/A Requesting Data...</v>
        <stp/>
        <stp>##V3_BDHV12</stp>
        <stp>CL1 Comdty</stp>
        <stp>RSI_9D</stp>
        <stp>10/05/2016</stp>
        <stp>10/05/2016</stp>
        <stp>[Bbg_Market_Data_CL.xlsm]data!R230C12</stp>
        <tr r="L230" s="1"/>
      </tp>
      <tp t="s">
        <v>#N/A Requesting Data...</v>
        <stp/>
        <stp>##V3_BDHV12</stp>
        <stp>CL2 Comdty</stp>
        <stp>RSI_9D</stp>
        <stp>01/03/2017</stp>
        <stp>01/03/2017</stp>
        <stp>[Bbg_Market_Data_CL.xlsm]data!R30C12</stp>
        <tr r="L30" s="1"/>
      </tp>
      <tp t="s">
        <v>#N/A Requesting Data...</v>
        <stp/>
        <stp>##V3_BDHV12</stp>
        <stp>CL1 Comdty</stp>
        <stp>RSI_9D</stp>
        <stp>02/03/2017</stp>
        <stp>02/03/2017</stp>
        <stp>[Bbg_Market_Data_CL.xlsm]data!R29C12</stp>
        <tr r="L29" s="1"/>
      </tp>
      <tp t="s">
        <v>#N/A Requesting Data...</v>
        <stp/>
        <stp>##V3_BDHV12</stp>
        <stp>CL1 Comdty</stp>
        <stp>RSI_9D</stp>
        <stp>02/12/2016</stp>
        <stp>02/12/2016</stp>
        <stp>[Bbg_Market_Data_CL.xlsm]data!R89C12</stp>
        <tr r="L89" s="1"/>
      </tp>
      <tp t="s">
        <v>#N/A Requesting Data...</v>
        <stp/>
        <stp>##V3_BDHV12</stp>
        <stp>CL2 Comdty</stp>
        <stp>RSI_9D</stp>
        <stp>01/12/2016</stp>
        <stp>01/12/2016</stp>
        <stp>[Bbg_Market_Data_CL.xlsm]data!R90C12</stp>
        <tr r="L90" s="1"/>
      </tp>
      <tp t="s">
        <v>#N/A Requesting Data...</v>
        <stp/>
        <stp>##V3_BDHV12</stp>
        <stp>CL1 Comdty</stp>
        <stp>RSI_9D</stp>
        <stp>17/02/2016</stp>
        <stp>17/02/2016</stp>
        <stp>[Bbg_Market_Data_CL.xlsm]data!R288C12</stp>
        <tr r="L288" s="1"/>
      </tp>
      <tp t="s">
        <v>#N/A Requesting Data...</v>
        <stp/>
        <stp>##V3_BDHV12</stp>
        <stp>CL2 Comdty</stp>
        <stp>RSI_9D</stp>
        <stp>22/04/2015</stp>
        <stp>22/04/2015</stp>
        <stp>[Bbg_Market_Data_CL.xlsm]data!R492C12</stp>
        <tr r="L492" s="1"/>
      </tp>
      <tp t="s">
        <v>#N/A Requesting Data...</v>
        <stp/>
        <stp>##V3_BDHV12</stp>
        <stp>CL2 Comdty</stp>
        <stp>RSI_9D</stp>
        <stp>06/01/2016</stp>
        <stp>06/01/2016</stp>
        <stp>[Bbg_Market_Data_CL.xlsm]data!R315C12</stp>
        <tr r="L315" s="1"/>
      </tp>
      <tp t="s">
        <v>#N/A Requesting Data...</v>
        <stp/>
        <stp>##V3_BDHV12</stp>
        <stp>CL1 Comdty</stp>
        <stp>RSI_9D</stp>
        <stp>14/11/2016</stp>
        <stp>14/11/2016</stp>
        <stp>[Bbg_Market_Data_CL.xlsm]data!R102C12</stp>
        <tr r="L102" s="1"/>
      </tp>
      <tp t="s">
        <v>#N/A Requesting Data...</v>
        <stp/>
        <stp>##V3_BDHV12</stp>
        <stp>CL1 Comdty</stp>
        <stp>RSI_9D</stp>
        <stp>22/07/2015</stp>
        <stp>22/07/2015</stp>
        <stp>[Bbg_Market_Data_CL.xlsm]data!R429C12</stp>
        <tr r="L429" s="1"/>
      </tp>
      <tp t="s">
        <v>#N/A Requesting Data...</v>
        <stp/>
        <stp>##V3_BDHV12</stp>
        <stp>CL1 Comdty</stp>
        <stp>RSI_9D</stp>
        <stp>04/10/2016</stp>
        <stp>04/10/2016</stp>
        <stp>[Bbg_Market_Data_CL.xlsm]data!R129C12</stp>
        <tr r="L129" s="1"/>
      </tp>
      <tp t="s">
        <v>#N/A Requesting Data...</v>
        <stp/>
        <stp>##V3_BDHV12</stp>
        <stp>CL2 Comdty</stp>
        <stp>RSI_9D</stp>
        <stp>05/11/2015</stp>
        <stp>05/11/2015</stp>
        <stp>[Bbg_Market_Data_CL.xlsm]data!R355C12</stp>
        <tr r="L355" s="1"/>
      </tp>
      <tp t="s">
        <v>#N/A Requesting Data...</v>
        <stp/>
        <stp>##V3_BDHV12</stp>
        <stp>CL2 Comdty</stp>
        <stp>RSI_9D</stp>
        <stp>15/10/2015</stp>
        <stp>15/10/2015</stp>
        <stp>[Bbg_Market_Data_CL.xlsm]data!R370C12</stp>
        <tr r="L370" s="1"/>
      </tp>
      <tp t="s">
        <v>#N/A Requesting Data...</v>
        <stp/>
        <stp>##V3_BDHV12</stp>
        <stp>CL2 Comdty</stp>
        <stp>RSI_9D</stp>
        <stp>02/06/2015</stp>
        <stp>02/06/2015</stp>
        <stp>[Bbg_Market_Data_CL.xlsm]data!R464C12</stp>
        <tr r="L464" s="1"/>
      </tp>
      <tp t="s">
        <v>#N/A Requesting Data...</v>
        <stp/>
        <stp>##V3_BDHV12</stp>
        <stp>CL1 Comdty</stp>
        <stp>RSI_9D</stp>
        <stp>07/03/2016</stp>
        <stp>07/03/2016</stp>
        <stp>[Bbg_Market_Data_CL.xlsm]data!R275C12</stp>
        <tr r="L275" s="1"/>
      </tp>
      <tp t="s">
        <v>#N/A Requesting Data...</v>
        <stp/>
        <stp>##V3_BDHV12</stp>
        <stp>CL2 Comdty</stp>
        <stp>RSI_9D</stp>
        <stp>26/01/2017</stp>
        <stp>26/01/2017</stp>
        <stp>[Bbg_Market_Data_CL.xlsm]data!R53C12</stp>
        <tr r="L53" s="1"/>
      </tp>
      <tp t="s">
        <v>#N/A Requesting Data...</v>
        <stp/>
        <stp>##V3_BDHV12</stp>
        <stp>CL1 Comdty</stp>
        <stp>RSI_9D</stp>
        <stp>25/01/2017</stp>
        <stp>25/01/2017</stp>
        <stp>[Bbg_Market_Data_CL.xlsm]data!R54C12</stp>
        <tr r="L54" s="1"/>
      </tp>
      <tp t="s">
        <v>#N/A Requesting Data...</v>
        <stp/>
        <stp>##V3_BDHV12</stp>
        <stp>CL1 Comdty</stp>
        <stp>RSI_9D</stp>
        <stp>15/02/2017</stp>
        <stp>15/02/2017</stp>
        <stp>[Bbg_Market_Data_CL.xlsm]data!R39C12</stp>
        <tr r="L39" s="1"/>
      </tp>
      <tp t="s">
        <v>#N/A Requesting Data...</v>
        <stp/>
        <stp>##V3_BDHV12</stp>
        <stp>CL2 Comdty</stp>
        <stp>RSI_9D</stp>
        <stp>06/03/2017</stp>
        <stp>06/03/2017</stp>
        <stp>[Bbg_Market_Data_CL.xlsm]data!R27C12</stp>
        <tr r="L27" s="1"/>
      </tp>
      <tp t="s">
        <v>#N/A Requesting Data...</v>
        <stp/>
        <stp>##V3_BDHV12</stp>
        <stp>CL2 Comdty</stp>
        <stp>RSI_9D</stp>
        <stp>16/02/2017</stp>
        <stp>16/02/2017</stp>
        <stp>[Bbg_Market_Data_CL.xlsm]data!R38C12</stp>
        <tr r="L38" s="1"/>
      </tp>
      <tp t="s">
        <v>#N/A Requesting Data...</v>
        <stp/>
        <stp>##V3_BDHV12</stp>
        <stp>CL2 Comdty</stp>
        <stp>RSI_9D</stp>
        <stp>06/12/2016</stp>
        <stp>06/12/2016</stp>
        <stp>[Bbg_Market_Data_CL.xlsm]data!R87C12</stp>
        <tr r="L87" s="1"/>
      </tp>
      <tp t="s">
        <v>#N/A Requesting Data...</v>
        <stp/>
        <stp>##V3_BDHV12</stp>
        <stp>CL1 Comdty</stp>
        <stp>RSI_9D</stp>
        <stp>05/12/2016</stp>
        <stp>05/12/2016</stp>
        <stp>[Bbg_Market_Data_CL.xlsm]data!R88C12</stp>
        <tr r="L88" s="1"/>
      </tp>
      <tp t="s">
        <v>#N/A Requesting Data...</v>
        <stp/>
        <stp>##V3_BDHV12</stp>
        <stp>CL2 Comdty</stp>
        <stp>RSI_9D</stp>
        <stp>25/10/2016</stp>
        <stp>25/10/2016</stp>
        <stp>[Bbg_Market_Data_CL.xlsm]data!R115C12</stp>
        <tr r="L115" s="1"/>
      </tp>
      <tp t="s">
        <v>#N/A Requesting Data...</v>
        <stp/>
        <stp>##V3_BDHV12</stp>
        <stp>CL1 Comdty</stp>
        <stp>RSI_9D</stp>
        <stp>27/01/2016</stp>
        <stp>27/01/2016</stp>
        <stp>[Bbg_Market_Data_CL.xlsm]data!R301C12</stp>
        <tr r="L301" s="1"/>
      </tp>
      <tp t="s">
        <v>#N/A Requesting Data...</v>
        <stp/>
        <stp>##V3_BDHV12</stp>
        <stp>CL1 Comdty</stp>
        <stp>RSI_9D</stp>
        <stp>14/12/2015</stp>
        <stp>14/12/2015</stp>
        <stp>[Bbg_Market_Data_CL.xlsm]data!R330C12</stp>
        <tr r="L330" s="1"/>
      </tp>
      <tp t="s">
        <v>#N/A Requesting Data...</v>
        <stp/>
        <stp>##V3_BDHV12</stp>
        <stp>CL2 Comdty</stp>
        <stp>RSI_9D</stp>
        <stp>24/12/2015</stp>
        <stp>24/12/2015</stp>
        <stp>[Bbg_Market_Data_CL.xlsm]data!R322C12</stp>
        <tr r="L322" s="1"/>
      </tp>
      <tp t="s">
        <v>#N/A Requesting Data...</v>
        <stp/>
        <stp>##V3_BDHV12</stp>
        <stp>CL1 Comdty</stp>
        <stp>RSI_9D</stp>
        <stp>23/06/2015</stp>
        <stp>23/06/2015</stp>
        <stp>[Bbg_Market_Data_CL.xlsm]data!R449C12</stp>
        <tr r="L449" s="1"/>
      </tp>
      <tp t="s">
        <v>#N/A Requesting Data...</v>
        <stp/>
        <stp>##V3_BDHV12</stp>
        <stp>CL1 Comdty</stp>
        <stp>RSI_9D</stp>
        <stp>24/11/2015</stp>
        <stp>24/11/2015</stp>
        <stp>[Bbg_Market_Data_CL.xlsm]data!R343C12</stp>
        <tr r="L343" s="1"/>
      </tp>
      <tp t="s">
        <v>#N/A Requesting Data...</v>
        <stp/>
        <stp>##V3_BDHV12</stp>
        <stp>CL1 Comdty</stp>
        <stp>RSI_9D</stp>
        <stp>16/03/2016</stp>
        <stp>16/03/2016</stp>
        <stp>[Bbg_Market_Data_CL.xlsm]data!R268C12</stp>
        <tr r="L268" s="1"/>
      </tp>
      <tp t="s">
        <v>#N/A Requesting Data...</v>
        <stp/>
        <stp>##V3_BDHV12</stp>
        <stp>CL1 Comdty</stp>
        <stp>RSI_9D</stp>
        <stp>13/05/2015</stp>
        <stp>13/05/2015</stp>
        <stp>[Bbg_Market_Data_CL.xlsm]data!R477C12</stp>
        <tr r="L477" s="1"/>
      </tp>
      <tp t="s">
        <v>#N/A Requesting Data...</v>
        <stp/>
        <stp>##V3_BDHV12</stp>
        <stp>CL2 Comdty</stp>
        <stp>RSI_9D</stp>
        <stp>27/01/2017</stp>
        <stp>27/01/2017</stp>
        <stp>[Bbg_Market_Data_CL.xlsm]data!R52C12</stp>
        <tr r="L52" s="1"/>
      </tp>
      <tp t="s">
        <v>#N/A Requesting Data...</v>
        <stp/>
        <stp>##V3_BDHV12</stp>
        <stp>CL1 Comdty</stp>
        <stp>RSI_9D</stp>
        <stp>14/02/2017</stp>
        <stp>14/02/2017</stp>
        <stp>[Bbg_Market_Data_CL.xlsm]data!R40C12</stp>
        <tr r="L40" s="1"/>
      </tp>
      <tp t="s">
        <v>#N/A Requesting Data...</v>
        <stp/>
        <stp>##V3_BDHV12</stp>
        <stp>CL1 Comdty</stp>
        <stp>RSI_9D</stp>
        <stp>24/01/2017</stp>
        <stp>24/01/2017</stp>
        <stp>[Bbg_Market_Data_CL.xlsm]data!R55C12</stp>
        <tr r="L55" s="1"/>
      </tp>
      <tp t="s">
        <v>#N/A Requesting Data...</v>
        <stp/>
        <stp>##V3_BDHV12</stp>
        <stp>CL2 Comdty</stp>
        <stp>RSI_9D</stp>
        <stp>17/02/2017</stp>
        <stp>17/02/2017</stp>
        <stp>[Bbg_Market_Data_CL.xlsm]data!R37C12</stp>
        <tr r="L37" s="1"/>
      </tp>
      <tp t="s">
        <v>#N/A Requesting Data...</v>
        <stp/>
        <stp>##V3_BDHV12</stp>
        <stp>CL2 Comdty</stp>
        <stp>RSI_9D</stp>
        <stp>07/03/2017</stp>
        <stp>07/03/2017</stp>
        <stp>[Bbg_Market_Data_CL.xlsm]data!R26C12</stp>
        <tr r="L26" s="1"/>
      </tp>
      <tp t="s">
        <v>#N/A Requesting Data...</v>
        <stp/>
        <stp>##V3_BDHV12</stp>
        <stp>CL2 Comdty</stp>
        <stp>RSI_9D</stp>
        <stp>07/12/2016</stp>
        <stp>07/12/2016</stp>
        <stp>[Bbg_Market_Data_CL.xlsm]data!R86C12</stp>
        <tr r="L86" s="1"/>
      </tp>
      <tp t="s">
        <v>#N/A Requesting Data...</v>
        <stp/>
        <stp>##V3_BDHV12</stp>
        <stp>CL1 Comdty</stp>
        <stp>RSI_9D</stp>
        <stp>30/04/2015</stp>
        <stp>30/04/2015</stp>
        <stp>[Bbg_Market_Data_CL.xlsm]data!R486C12</stp>
        <tr r="L486" s="1"/>
      </tp>
      <tp t="s">
        <v>#N/A Requesting Data...</v>
        <stp/>
        <stp>##V3_BDHV12</stp>
        <stp>CL2 Comdty</stp>
        <stp>RSI_9D</stp>
        <stp>05/02/2016</stp>
        <stp>05/02/2016</stp>
        <stp>[Bbg_Market_Data_CL.xlsm]data!R294C12</stp>
        <tr r="L294" s="1"/>
      </tp>
      <tp t="s">
        <v>#N/A Requesting Data...</v>
        <stp/>
        <stp>##V3_BDHV12</stp>
        <stp>CL1 Comdty</stp>
        <stp>RSI_9D</stp>
        <stp>26/10/2016</stp>
        <stp>26/10/2016</stp>
        <stp>[Bbg_Market_Data_CL.xlsm]data!R114C12</stp>
        <tr r="L114" s="1"/>
      </tp>
      <tp t="s">
        <v>#N/A Requesting Data...</v>
        <stp/>
        <stp>##V3_BDHV12</stp>
        <stp>CL1 Comdty</stp>
        <stp>RSI_9D</stp>
        <stp>14/01/2016</stp>
        <stp>14/01/2016</stp>
        <stp>[Bbg_Market_Data_CL.xlsm]data!R309C12</stp>
        <tr r="L309" s="1"/>
      </tp>
      <tp t="s">
        <v>#N/A Requesting Data...</v>
        <stp/>
        <stp>##V3_BDHV12</stp>
        <stp>CL2 Comdty</stp>
        <stp>RSI_9D</stp>
        <stp>30/07/2015</stp>
        <stp>30/07/2015</stp>
        <stp>[Bbg_Market_Data_CL.xlsm]data!R423C12</stp>
        <tr r="L423" s="1"/>
      </tp>
      <tp t="s">
        <v>#N/A Requesting Data...</v>
        <stp/>
        <stp>##V3_BDHV12</stp>
        <stp>CL2 Comdty</stp>
        <stp>RSI_9D</stp>
        <stp>17/12/2015</stp>
        <stp>17/12/2015</stp>
        <stp>[Bbg_Market_Data_CL.xlsm]data!R327C12</stp>
        <tr r="L327" s="1"/>
      </tp>
      <tp t="s">
        <v>#N/A Requesting Data...</v>
        <stp/>
        <stp>##V3_BDHV12</stp>
        <stp>CL2 Comdty</stp>
        <stp>RSI_9D</stp>
        <stp>27/11/2015</stp>
        <stp>27/11/2015</stp>
        <stp>[Bbg_Market_Data_CL.xlsm]data!R341C12</stp>
        <tr r="L341" s="1"/>
      </tp>
      <tp t="s">
        <v>#N/A Requesting Data...</v>
        <stp/>
        <stp>##V3_BDHV12</stp>
        <stp>CL1 Comdty</stp>
        <stp>RSI_9D</stp>
        <stp>10/06/2015</stp>
        <stp>10/06/2015</stp>
        <stp>[Bbg_Market_Data_CL.xlsm]data!R458C12</stp>
        <tr r="L458" s="1"/>
      </tp>
      <tp t="s">
        <v>#N/A Requesting Data...</v>
        <stp/>
        <stp>##V3_BDHV12</stp>
        <stp>CL1 Comdty</stp>
        <stp>RSI_9D</stp>
        <stp>17/11/2015</stp>
        <stp>17/11/2015</stp>
        <stp>[Bbg_Market_Data_CL.xlsm]data!R348C12</stp>
        <tr r="L348" s="1"/>
      </tp>
      <tp t="s">
        <v>#N/A Requesting Data...</v>
        <stp/>
        <stp>##V3_BDHV12</stp>
        <stp>CL1 Comdty</stp>
        <stp>RSI_9D</stp>
        <stp>07/10/2015</stp>
        <stp>07/10/2015</stp>
        <stp>[Bbg_Market_Data_CL.xlsm]data!R375C12</stp>
        <tr r="L375" s="1"/>
      </tp>
      <tp t="s">
        <v>#N/A Requesting Data...</v>
        <stp/>
        <stp>##V3_BDHV12</stp>
        <stp>CL2 Comdty</stp>
        <stp>RSI_9D</stp>
        <stp>15/03/2016</stp>
        <stp>15/03/2016</stp>
        <stp>[Bbg_Market_Data_CL.xlsm]data!R269C12</stp>
        <tr r="L269" s="1"/>
      </tp>
      <tp t="s">
        <v>#N/A Requesting Data...</v>
        <stp/>
        <stp>##V3_BDHV12</stp>
        <stp>CL1 Comdty</stp>
        <stp>RSI_9D</stp>
        <stp>20/05/2015</stp>
        <stp>20/05/2015</stp>
        <stp>[Bbg_Market_Data_CL.xlsm]data!R472C12</stp>
        <tr r="L472" s="1"/>
      </tp>
      <tp t="s">
        <v>#N/A Requesting Data...</v>
        <stp/>
        <stp>##V3_BDHV12</stp>
        <stp>CL1 Comdty</stp>
        <stp>RSI_9D</stp>
        <stp>27/01/2017</stp>
        <stp>27/01/2017</stp>
        <stp>[Bbg_Market_Data_CL.xlsm]data!R52C12</stp>
        <tr r="L52" s="1"/>
      </tp>
      <tp t="s">
        <v>#N/A Requesting Data...</v>
        <stp/>
        <stp>##V3_BDHV12</stp>
        <stp>CL2 Comdty</stp>
        <stp>RSI_9D</stp>
        <stp>14/02/2017</stp>
        <stp>14/02/2017</stp>
        <stp>[Bbg_Market_Data_CL.xlsm]data!R40C12</stp>
        <tr r="L40" s="1"/>
      </tp>
      <tp t="s">
        <v>#N/A Requesting Data...</v>
        <stp/>
        <stp>##V3_BDHV12</stp>
        <stp>CL2 Comdty</stp>
        <stp>RSI_9D</stp>
        <stp>24/01/2017</stp>
        <stp>24/01/2017</stp>
        <stp>[Bbg_Market_Data_CL.xlsm]data!R55C12</stp>
        <tr r="L55" s="1"/>
      </tp>
      <tp t="s">
        <v>#N/A Requesting Data...</v>
        <stp/>
        <stp>##V3_BDHV12</stp>
        <stp>CL1 Comdty</stp>
        <stp>RSI_9D</stp>
        <stp>17/02/2017</stp>
        <stp>17/02/2017</stp>
        <stp>[Bbg_Market_Data_CL.xlsm]data!R37C12</stp>
        <tr r="L37" s="1"/>
      </tp>
      <tp t="s">
        <v>#N/A Requesting Data...</v>
        <stp/>
        <stp>##V3_BDHV12</stp>
        <stp>CL1 Comdty</stp>
        <stp>RSI_9D</stp>
        <stp>07/03/2017</stp>
        <stp>07/03/2017</stp>
        <stp>[Bbg_Market_Data_CL.xlsm]data!R26C12</stp>
        <tr r="L26" s="1"/>
      </tp>
      <tp t="s">
        <v>#N/A Requesting Data...</v>
        <stp/>
        <stp>##V3_BDHV12</stp>
        <stp>CL1 Comdty</stp>
        <stp>RSI_9D</stp>
        <stp>07/12/2016</stp>
        <stp>07/12/2016</stp>
        <stp>[Bbg_Market_Data_CL.xlsm]data!R86C12</stp>
        <tr r="L86" s="1"/>
      </tp>
      <tp t="s">
        <v>#N/A Requesting Data...</v>
        <stp/>
        <stp>##V3_BDHV12</stp>
        <stp>CL2 Comdty</stp>
        <stp>RSI_9D</stp>
        <stp>01/05/2015</stp>
        <stp>01/05/2015</stp>
        <stp>[Bbg_Market_Data_CL.xlsm]data!R485C12</stp>
        <tr r="L485" s="1"/>
      </tp>
      <tp t="s">
        <v>#N/A Requesting Data...</v>
        <stp/>
        <stp>##V3_BDHV12</stp>
        <stp>CL1 Comdty</stp>
        <stp>RSI_9D</stp>
        <stp>24/02/2016</stp>
        <stp>24/02/2016</stp>
        <stp>[Bbg_Market_Data_CL.xlsm]data!R283C12</stp>
        <tr r="L283" s="1"/>
      </tp>
      <tp t="s">
        <v>#N/A Requesting Data...</v>
        <stp/>
        <stp>##V3_BDHV12</stp>
        <stp>CL1 Comdty</stp>
        <stp>RSI_9D</stp>
        <stp>21/04/2015</stp>
        <stp>21/04/2015</stp>
        <stp>[Bbg_Market_Data_CL.xlsm]data!R493C12</stp>
        <tr r="L493" s="1"/>
      </tp>
      <tp t="s">
        <v>#N/A Requesting Data...</v>
        <stp/>
        <stp>##V3_BDHV12</stp>
        <stp>CL1 Comdty</stp>
        <stp>RSI_9D</stp>
        <stp>05/01/2016</stp>
        <stp>05/01/2016</stp>
        <stp>[Bbg_Market_Data_CL.xlsm]data!R316C12</stp>
        <tr r="L316" s="1"/>
      </tp>
      <tp t="s">
        <v>#N/A Requesting Data...</v>
        <stp/>
        <stp>##V3_BDHV12</stp>
        <stp>CL2 Comdty</stp>
        <stp>RSI_9D</stp>
        <stp>21/07/2015</stp>
        <stp>21/07/2015</stp>
        <stp>[Bbg_Market_Data_CL.xlsm]data!R430C12</stp>
        <tr r="L430" s="1"/>
      </tp>
      <tp t="s">
        <v>#N/A Requesting Data...</v>
        <stp/>
        <stp>##V3_BDHV12</stp>
        <stp>CL2 Comdty</stp>
        <stp>RSI_9D</stp>
        <stp>07/10/2016</stp>
        <stp>07/10/2016</stp>
        <stp>[Bbg_Market_Data_CL.xlsm]data!R126C12</stp>
        <tr r="L126" s="1"/>
      </tp>
      <tp t="s">
        <v>#N/A Requesting Data...</v>
        <stp/>
        <stp>##V3_BDHV12</stp>
        <stp>CL1 Comdty</stp>
        <stp>RSI_9D</stp>
        <stp>06/11/2015</stp>
        <stp>06/11/2015</stp>
        <stp>[Bbg_Market_Data_CL.xlsm]data!R354C12</stp>
        <tr r="L354" s="1"/>
      </tp>
      <tp t="s">
        <v>#N/A Requesting Data...</v>
        <stp/>
        <stp>##V3_BDHV12</stp>
        <stp>CL1 Comdty</stp>
        <stp>RSI_9D</stp>
        <stp>01/06/2015</stp>
        <stp>01/06/2015</stp>
        <stp>[Bbg_Market_Data_CL.xlsm]data!R465C12</stp>
        <tr r="L465" s="1"/>
      </tp>
      <tp t="s">
        <v>#N/A Requesting Data...</v>
        <stp/>
        <stp>##V3_BDHV12</stp>
        <stp>CL2 Comdty</stp>
        <stp>RSI_9D</stp>
        <stp>04/03/2016</stp>
        <stp>04/03/2016</stp>
        <stp>[Bbg_Market_Data_CL.xlsm]data!R276C12</stp>
        <tr r="L276" s="1"/>
      </tp>
      <tp t="s">
        <v>#N/A Requesting Data...</v>
        <stp/>
        <stp>##V3_BDHV12</stp>
        <stp>CL2 Comdty</stp>
        <stp>RSI_9D</stp>
        <stp>26/10/2015</stp>
        <stp>26/10/2015</stp>
        <stp>[Bbg_Market_Data_CL.xlsm]data!R363C12</stp>
        <tr r="L363" s="1"/>
      </tp>
      <tp t="s">
        <v>#N/A Requesting Data...</v>
        <stp/>
        <stp>##V3_BDHV12</stp>
        <stp>CL1 Comdty</stp>
        <stp>RSI_9D</stp>
        <stp>16/10/2015</stp>
        <stp>16/10/2015</stp>
        <stp>[Bbg_Market_Data_CL.xlsm]data!R369C12</stp>
        <tr r="L369" s="1"/>
      </tp>
      <tp t="s">
        <v>#N/A Requesting Data...</v>
        <stp/>
        <stp>##V3_BDHV12</stp>
        <stp>CL1 Comdty</stp>
        <stp>RSI_9D</stp>
        <stp>26/01/2017</stp>
        <stp>26/01/2017</stp>
        <stp>[Bbg_Market_Data_CL.xlsm]data!R53C12</stp>
        <tr r="L53" s="1"/>
      </tp>
      <tp t="s">
        <v>#N/A Requesting Data...</v>
        <stp/>
        <stp>##V3_BDHV12</stp>
        <stp>CL2 Comdty</stp>
        <stp>RSI_9D</stp>
        <stp>25/01/2017</stp>
        <stp>25/01/2017</stp>
        <stp>[Bbg_Market_Data_CL.xlsm]data!R54C12</stp>
        <tr r="L54" s="1"/>
      </tp>
      <tp t="s">
        <v>#N/A Requesting Data...</v>
        <stp/>
        <stp>##V3_BDHV12</stp>
        <stp>CL2 Comdty</stp>
        <stp>RSI_9D</stp>
        <stp>15/02/2017</stp>
        <stp>15/02/2017</stp>
        <stp>[Bbg_Market_Data_CL.xlsm]data!R39C12</stp>
        <tr r="L39" s="1"/>
      </tp>
      <tp t="s">
        <v>#N/A Requesting Data...</v>
        <stp/>
        <stp>##V3_BDHV12</stp>
        <stp>CL1 Comdty</stp>
        <stp>RSI_9D</stp>
        <stp>06/03/2017</stp>
        <stp>06/03/2017</stp>
        <stp>[Bbg_Market_Data_CL.xlsm]data!R27C12</stp>
        <tr r="L27" s="1"/>
      </tp>
      <tp t="s">
        <v>#N/A Requesting Data...</v>
        <stp/>
        <stp>##V3_BDHV12</stp>
        <stp>CL1 Comdty</stp>
        <stp>RSI_9D</stp>
        <stp>16/02/2017</stp>
        <stp>16/02/2017</stp>
        <stp>[Bbg_Market_Data_CL.xlsm]data!R38C12</stp>
        <tr r="L38" s="1"/>
      </tp>
      <tp t="s">
        <v>#N/A Requesting Data...</v>
        <stp/>
        <stp>##V3_BDHV12</stp>
        <stp>CL1 Comdty</stp>
        <stp>RSI_9D</stp>
        <stp>06/12/2016</stp>
        <stp>06/12/2016</stp>
        <stp>[Bbg_Market_Data_CL.xlsm]data!R87C12</stp>
        <tr r="L87" s="1"/>
      </tp>
      <tp t="s">
        <v>#N/A Requesting Data...</v>
        <stp/>
        <stp>##V3_BDHV12</stp>
        <stp>CL2 Comdty</stp>
        <stp>RSI_9D</stp>
        <stp>05/12/2016</stp>
        <stp>05/12/2016</stp>
        <stp>[Bbg_Market_Data_CL.xlsm]data!R88C12</stp>
        <tr r="L88" s="1"/>
      </tp>
      <tp t="s">
        <v>#N/A Requesting Data...</v>
        <stp/>
        <stp>##V3_BDHV12</stp>
        <stp>CL1 Comdty</stp>
        <stp>RSI_9D</stp>
        <stp>09/12/2016</stp>
        <stp>09/12/2016</stp>
        <stp>[Bbg_Market_Data_CL.xlsm]data!R84C12</stp>
        <tr r="L84" s="1"/>
      </tp>
      <tp t="s">
        <v>#N/A Requesting Data...</v>
        <stp/>
        <stp>##V3_BDHV12</stp>
        <stp>CL1 Comdty</stp>
        <stp>RSI_9D</stp>
        <stp>09/03/2017</stp>
        <stp>09/03/2017</stp>
        <stp>[Bbg_Market_Data_CL.xlsm]data!R24C12</stp>
        <tr r="L24" s="1"/>
      </tp>
      <tp t="s">
        <v>#N/A Requesting Data...</v>
        <stp/>
        <stp>##V3_BDHV12</stp>
        <stp>CL1 Comdty</stp>
        <stp>RSI_9D</stp>
        <stp>08/12/2016</stp>
        <stp>08/12/2016</stp>
        <stp>[Bbg_Market_Data_CL.xlsm]data!R85C12</stp>
        <tr r="L85" s="1"/>
      </tp>
      <tp t="s">
        <v>#N/A Requesting Data...</v>
        <stp/>
        <stp>##V3_BDHV12</stp>
        <stp>CL1 Comdty</stp>
        <stp>RSI_9D</stp>
        <stp>08/03/2017</stp>
        <stp>08/03/2017</stp>
        <stp>[Bbg_Market_Data_CL.xlsm]data!R25C12</stp>
        <tr r="L25" s="1"/>
      </tp>
      <tp t="s">
        <v>#N/A Requesting Data...</v>
        <stp/>
        <stp>##V3_BDHV12</stp>
        <stp>CL2 Comdty</stp>
        <stp>RSI_9D</stp>
        <stp>08/12/2016</stp>
        <stp>08/12/2016</stp>
        <stp>[Bbg_Market_Data_CL.xlsm]data!R85C12</stp>
        <tr r="L85" s="1"/>
      </tp>
      <tp t="s">
        <v>#N/A Requesting Data...</v>
        <stp/>
        <stp>##V3_BDHV12</stp>
        <stp>CL2 Comdty</stp>
        <stp>RSI_9D</stp>
        <stp>08/03/2017</stp>
        <stp>08/03/2017</stp>
        <stp>[Bbg_Market_Data_CL.xlsm]data!R25C12</stp>
        <tr r="L25" s="1"/>
      </tp>
      <tp t="s">
        <v>#N/A Requesting Data...</v>
        <stp/>
        <stp>##V3_BDHV12</stp>
        <stp>CL2 Comdty</stp>
        <stp>RSI_9D</stp>
        <stp>09/12/2016</stp>
        <stp>09/12/2016</stp>
        <stp>[Bbg_Market_Data_CL.xlsm]data!R84C12</stp>
        <tr r="L84" s="1"/>
      </tp>
      <tp t="s">
        <v>#N/A Requesting Data...</v>
        <stp/>
        <stp>##V3_BDHV12</stp>
        <stp>CL2 Comdty</stp>
        <stp>RSI_9D</stp>
        <stp>09/03/2017</stp>
        <stp>09/03/2017</stp>
        <stp>[Bbg_Market_Data_CL.xlsm]data!R24C12</stp>
        <tr r="L24" s="1"/>
      </tp>
      <tp t="s">
        <v>#N/A Requesting Data...</v>
        <stp/>
        <stp>##V3_BDHV12</stp>
        <stp>CL1 Comdty</stp>
        <stp>30DAY_IMPVOL_110.0%MNY_DF</stp>
        <stp>14/08/2015</stp>
        <stp>14/08/2015</stp>
        <stp>[Bbg_Market_Data_CL.xlsm]data!R411C22</stp>
        <tr r="V411" s="1"/>
      </tp>
      <tp t="s">
        <v>#N/A Requesting Data...</v>
        <stp/>
        <stp>##V3_BDHV12</stp>
        <stp>CL1 Comdty</stp>
        <stp>30DAY_IMPVOL_100.0%MNY_DF</stp>
        <stp>04/08/2015</stp>
        <stp>04/08/2015</stp>
        <stp>[Bbg_Market_Data_CL.xlsm]data!R419C20</stp>
        <tr r="T419" s="1"/>
      </tp>
      <tp t="s">
        <v>#N/A Requesting Data...</v>
        <stp/>
        <stp>##V3_BDHV12</stp>
        <stp>CL1 Comdty</stp>
        <stp>30DAY_IMPVOL_110.0%MNY_DF</stp>
        <stp>05/08/2015</stp>
        <stp>05/08/2015</stp>
        <stp>[Bbg_Market_Data_CL.xlsm]data!R418C22</stp>
        <tr r="V418" s="1"/>
      </tp>
      <tp t="s">
        <v>#N/A Requesting Data...</v>
        <stp/>
        <stp>##V3_BDHV12</stp>
        <stp>CL1 Comdty</stp>
        <stp>30DAY_IMPVOL_105.0%MNY_DF</stp>
        <stp>14/09/2015</stp>
        <stp>14/09/2015</stp>
        <stp>[Bbg_Market_Data_CL.xlsm]data!R391C19</stp>
        <tr r="S391" s="1"/>
      </tp>
      <tp t="s">
        <v>#N/A Requesting Data...</v>
        <stp/>
        <stp>##V3_BDHV12</stp>
        <stp>CL1 Comdty</stp>
        <stp>30DAY_IMPVOL_105.0%MNY_DF</stp>
        <stp>25/08/2016</stp>
        <stp>25/08/2016</stp>
        <stp>[Bbg_Market_Data_CL.xlsm]data!R155C19</stp>
        <tr r="S155" s="1"/>
      </tp>
      <tp t="s">
        <v>#N/A Requesting Data...</v>
        <stp/>
        <stp>##V3_BDHV12</stp>
        <stp>CL1 Comdty</stp>
        <stp>30DAY_IMPVOL_100.0%MNY_DF</stp>
        <stp>26/08/2015</stp>
        <stp>26/08/2015</stp>
        <stp>[Bbg_Market_Data_CL.xlsm]data!R403C20</stp>
        <tr r="T403" s="1"/>
      </tp>
      <tp t="s">
        <v>#N/A Requesting Data...</v>
        <stp/>
        <stp>##V3_BDHV12</stp>
        <stp>CL1 Comdty</stp>
        <stp>30DAY_IMPVOL_105.0%MNY_DF</stp>
        <stp>16/08/2016</stp>
        <stp>16/08/2016</stp>
        <stp>[Bbg_Market_Data_CL.xlsm]data!R162C19</stp>
        <tr r="S162" s="1"/>
      </tp>
      <tp t="s">
        <v>#N/A Requesting Data...</v>
        <stp/>
        <stp>##V3_BDHV12</stp>
        <stp>CL1 Comdty</stp>
        <stp>30DAY_IMPVOL_105.0%MNY_DF</stp>
        <stp>06/09/2016</stp>
        <stp>06/09/2016</stp>
        <stp>[Bbg_Market_Data_CL.xlsm]data!R148C19</stp>
        <tr r="S148" s="1"/>
      </tp>
      <tp t="s">
        <v>#N/A Requesting Data...</v>
        <stp/>
        <stp>##V3_BDHV12</stp>
        <stp>CL1 Comdty</stp>
        <stp>30DAY_IMPVOL_110.0%MNY_DF</stp>
        <stp>27/08/2015</stp>
        <stp>27/08/2015</stp>
        <stp>[Bbg_Market_Data_CL.xlsm]data!R402C22</stp>
        <tr r="V402" s="1"/>
      </tp>
      <tp t="s">
        <v>#N/A Requesting Data...</v>
        <stp/>
        <stp>##V3_BDHV12</stp>
        <stp>CL1 Comdty</stp>
        <stp>30DAY_IMPVOL_110.0%MNY_DF</stp>
        <stp>16/09/2016</stp>
        <stp>16/09/2016</stp>
        <stp>[Bbg_Market_Data_CL.xlsm]data!R140C22</stp>
        <tr r="V140" s="1"/>
      </tp>
      <tp t="s">
        <v>#N/A Requesting Data...</v>
        <stp/>
        <stp>##V3_BDHV12</stp>
        <stp>CL1 Comdty</stp>
        <stp>30DAY_IMPVOL_100.0%MNY_DF</stp>
        <stp>16/08/2016</stp>
        <stp>16/08/2016</stp>
        <stp>[Bbg_Market_Data_CL.xlsm]data!R162C20</stp>
        <tr r="T162" s="1"/>
      </tp>
      <tp t="s">
        <v>#N/A Requesting Data...</v>
        <stp/>
        <stp>##V3_BDHV12</stp>
        <stp>CL1 Comdty</stp>
        <stp>30DAY_IMPVOL_100.0%MNY_DF</stp>
        <stp>06/09/2016</stp>
        <stp>06/09/2016</stp>
        <stp>[Bbg_Market_Data_CL.xlsm]data!R148C20</stp>
        <tr r="T148" s="1"/>
      </tp>
      <tp t="s">
        <v>#N/A Requesting Data...</v>
        <stp/>
        <stp>##V3_BDHV12</stp>
        <stp>CL1 Comdty</stp>
        <stp>30DAY_IMPVOL_105.0%MNY_DF</stp>
        <stp>26/08/2015</stp>
        <stp>26/08/2015</stp>
        <stp>[Bbg_Market_Data_CL.xlsm]data!R403C19</stp>
        <tr r="S403" s="1"/>
      </tp>
      <tp t="s">
        <v>#N/A Requesting Data...</v>
        <stp/>
        <stp>##V3_BDHV12</stp>
        <stp>CL1 Comdty</stp>
        <stp>30DAY_IMPVOL_110.0%MNY_DF</stp>
        <stp>07/09/2016</stp>
        <stp>07/09/2016</stp>
        <stp>[Bbg_Market_Data_CL.xlsm]data!R147C22</stp>
        <tr r="V147" s="1"/>
      </tp>
      <tp t="s">
        <v>#N/A Requesting Data...</v>
        <stp/>
        <stp>##V3_BDHV12</stp>
        <stp>CL1 Comdty</stp>
        <stp>30DAY_IMPVOL_110.0%MNY_DF</stp>
        <stp>17/08/2016</stp>
        <stp>17/08/2016</stp>
        <stp>[Bbg_Market_Data_CL.xlsm]data!R161C22</stp>
        <tr r="V161" s="1"/>
      </tp>
      <tp t="s">
        <v>#N/A Requesting Data...</v>
        <stp/>
        <stp>##V3_BDHV12</stp>
        <stp>CL1 Comdty</stp>
        <stp>30DAY_IMPVOL_110.0%MNY_DF</stp>
        <stp>24/08/2016</stp>
        <stp>24/08/2016</stp>
        <stp>[Bbg_Market_Data_CL.xlsm]data!R156C22</stp>
        <tr r="V156" s="1"/>
      </tp>
      <tp t="s">
        <v>#N/A Requesting Data...</v>
        <stp/>
        <stp>##V3_BDHV12</stp>
        <stp>CL1 Comdty</stp>
        <stp>30DAY_IMPVOL_110.0%MNY_DF</stp>
        <stp>15/09/2015</stp>
        <stp>15/09/2015</stp>
        <stp>[Bbg_Market_Data_CL.xlsm]data!R390C22</stp>
        <tr r="V390" s="1"/>
      </tp>
      <tp t="s">
        <v>#N/A Requesting Data...</v>
        <stp/>
        <stp>##V3_BDHV12</stp>
        <stp>CL1 Comdty</stp>
        <stp>30DAY_IMPVOL_105.0%MNY_DF</stp>
        <stp>04/08/2015</stp>
        <stp>04/08/2015</stp>
        <stp>[Bbg_Market_Data_CL.xlsm]data!R419C19</stp>
        <tr r="S419" s="1"/>
      </tp>
      <tp t="s">
        <v>#N/A Requesting Data...</v>
        <stp/>
        <stp>##V3_BDHV12</stp>
        <stp>CL1 Comdty</stp>
        <stp>30DAY_IMPVOL_100.0%MNY_DF</stp>
        <stp>25/08/2016</stp>
        <stp>25/08/2016</stp>
        <stp>[Bbg_Market_Data_CL.xlsm]data!R155C20</stp>
        <tr r="T155" s="1"/>
      </tp>
      <tp t="s">
        <v>#N/A Requesting Data...</v>
        <stp/>
        <stp>##V3_BDHV12</stp>
        <stp>CL1 Comdty</stp>
        <stp>30DAY_IMPVOL_110.0%MNY_DF</stp>
        <stp>04/09/2015</stp>
        <stp>04/09/2015</stp>
        <stp>[Bbg_Market_Data_CL.xlsm]data!R396C22</stp>
        <tr r="V396" s="1"/>
      </tp>
      <tp t="s">
        <v>#N/A Requesting Data...</v>
        <stp/>
        <stp>##V3_BDHV12</stp>
        <stp>CL1 Comdty</stp>
        <stp>30DAY_IMPVOL_100.0%MNY_DF</stp>
        <stp>14/09/2015</stp>
        <stp>14/09/2015</stp>
        <stp>[Bbg_Market_Data_CL.xlsm]data!R391C20</stp>
        <tr r="T391" s="1"/>
      </tp>
      <tp t="s">
        <v>#N/A Requesting Data...</v>
        <stp/>
        <stp>##V3_BDHV12</stp>
        <stp>CL1 Comdty</stp>
        <stp>30DAY_IMPVOL_100.0%MNY_DF</stp>
        <stp>29/04/2016</stp>
        <stp>29/04/2016</stp>
        <stp>[Bbg_Market_Data_CL.xlsm]data!R236C20</stp>
        <tr r="T236" s="1"/>
      </tp>
      <tp t="s">
        <v>#N/A Requesting Data...</v>
        <stp/>
        <stp>##V3_BDHV12</stp>
        <stp>CL1 Comdty</stp>
        <stp>30DAY_IMPVOL_100.0%MNY_DF</stp>
        <stp>09/06/2016</stp>
        <stp>09/06/2016</stp>
        <stp>[Bbg_Market_Data_CL.xlsm]data!R208C20</stp>
        <tr r="T208" s="1"/>
      </tp>
      <tp t="s">
        <v>#N/A Requesting Data...</v>
        <stp/>
        <stp>##V3_BDHV12</stp>
        <stp>CL1 Comdty</stp>
        <stp>30DAY_IMPVOL_110.0%MNY_DF</stp>
        <stp>08/06/2016</stp>
        <stp>08/06/2016</stp>
        <stp>[Bbg_Market_Data_CL.xlsm]data!R209C22</stp>
        <tr r="V209" s="1"/>
      </tp>
      <tp t="s">
        <v>#N/A Requesting Data...</v>
        <stp/>
        <stp>##V3_BDHV12</stp>
        <stp>CL1 Comdty</stp>
        <stp>30DAY_IMPVOL_110.0%MNY_DF</stp>
        <stp>28/04/2016</stp>
        <stp>28/04/2016</stp>
        <stp>[Bbg_Market_Data_CL.xlsm]data!R237C22</stp>
        <tr r="V237" s="1"/>
      </tp>
      <tp t="s">
        <v>#N/A Requesting Data...</v>
        <stp/>
        <stp>##V3_BDHV12</stp>
        <stp>CL1 Comdty</stp>
        <stp>30DAY_IMPVOL_110.0%MNY_DF</stp>
        <stp>18/07/2016</stp>
        <stp>18/07/2016</stp>
        <stp>[Bbg_Market_Data_CL.xlsm]data!R182C22</stp>
        <tr r="V182" s="1"/>
      </tp>
      <tp t="s">
        <v>#N/A Requesting Data...</v>
        <stp/>
        <stp>##V3_BDHV12</stp>
        <stp>CL1 Comdty</stp>
        <stp>30DAY_IMPVOL_100.0%MNY_DF</stp>
        <stp>08/07/2016</stp>
        <stp>08/07/2016</stp>
        <stp>[Bbg_Market_Data_CL.xlsm]data!R188C20</stp>
        <tr r="T188" s="1"/>
      </tp>
      <tp t="s">
        <v>#N/A Requesting Data...</v>
        <stp/>
        <stp>##V3_BDHV12</stp>
        <stp>CL1 Comdty</stp>
        <stp>30DAY_IMPVOL_105.0%MNY_DF</stp>
        <stp>18/05/2015</stp>
        <stp>18/05/2015</stp>
        <stp>[Bbg_Market_Data_CL.xlsm]data!R473C19</stp>
        <tr r="S473" s="1"/>
      </tp>
      <tp t="s">
        <v>#N/A Requesting Data...</v>
        <stp/>
        <stp>##V3_BDHV12</stp>
        <stp>CL1 Comdty</stp>
        <stp>30DAY_IMPVOL_105.0%MNY_DF</stp>
        <stp>29/07/2015</stp>
        <stp>29/07/2015</stp>
        <stp>[Bbg_Market_Data_CL.xlsm]data!R423C19</stp>
        <tr r="S423" s="1"/>
      </tp>
      <tp t="s">
        <v>#N/A Requesting Data...</v>
        <stp/>
        <stp>##V3_BDHV12</stp>
        <stp>CL1 Comdty</stp>
        <stp>30DAY_IMPVOL_100.0%MNY_DF</stp>
        <stp>19/07/2016</stp>
        <stp>19/07/2016</stp>
        <stp>[Bbg_Market_Data_CL.xlsm]data!R181C20</stp>
        <tr r="T181" s="1"/>
      </tp>
      <tp t="s">
        <v>#N/A Requesting Data...</v>
        <stp/>
        <stp>##V3_BDHV12</stp>
        <stp>CL1 Comdty</stp>
        <stp>30DAY_IMPVOL_110.0%MNY_DF</stp>
        <stp>09/04/2015</stp>
        <stp>09/04/2015</stp>
        <stp>[Bbg_Market_Data_CL.xlsm]data!R500C22</stp>
        <tr r="V500" s="1"/>
      </tp>
      <tp t="s">
        <v>#N/A Requesting Data...</v>
        <stp/>
        <stp>##V3_BDHV12</stp>
        <stp>CL1 Comdty</stp>
        <stp>30DAY_IMPVOL_110.0%MNY_DF</stp>
        <stp>28/07/2015</stp>
        <stp>28/07/2015</stp>
        <stp>[Bbg_Market_Data_CL.xlsm]data!R424C22</stp>
        <tr r="V424" s="1"/>
      </tp>
      <tp t="s">
        <v>#N/A Requesting Data...</v>
        <stp/>
        <stp>##V3_BDHV12</stp>
        <stp>CL1 Comdty</stp>
        <stp>30DAY_IMPVOL_105.0%MNY_DF</stp>
        <stp>08/07/2016</stp>
        <stp>08/07/2016</stp>
        <stp>[Bbg_Market_Data_CL.xlsm]data!R188C19</stp>
        <tr r="S188" s="1"/>
      </tp>
      <tp t="s">
        <v>#N/A Requesting Data...</v>
        <stp/>
        <stp>##V3_BDHV12</stp>
        <stp>CL1 Comdty</stp>
        <stp>30DAY_IMPVOL_100.0%MNY_DF</stp>
        <stp>18/05/2015</stp>
        <stp>18/05/2015</stp>
        <stp>[Bbg_Market_Data_CL.xlsm]data!R473C20</stp>
        <tr r="T473" s="1"/>
      </tp>
      <tp t="s">
        <v>#N/A Requesting Data...</v>
        <stp/>
        <stp>##V3_BDHV12</stp>
        <stp>CL1 Comdty</stp>
        <stp>30DAY_IMPVOL_110.0%MNY_DF</stp>
        <stp>08/05/2015</stp>
        <stp>08/05/2015</stp>
        <stp>[Bbg_Market_Data_CL.xlsm]data!R479C22</stp>
        <tr r="V479" s="1"/>
      </tp>
      <tp t="s">
        <v>#N/A Requesting Data...</v>
        <stp/>
        <stp>##V3_BDHV12</stp>
        <stp>CL1 Comdty</stp>
        <stp>30DAY_IMPVOL_100.0%MNY_DF</stp>
        <stp>29/07/2015</stp>
        <stp>29/07/2015</stp>
        <stp>[Bbg_Market_Data_CL.xlsm]data!R423C20</stp>
        <tr r="T423" s="1"/>
      </tp>
      <tp t="s">
        <v>#N/A Requesting Data...</v>
        <stp/>
        <stp>##V3_BDHV12</stp>
        <stp>CL1 Comdty</stp>
        <stp>30DAY_IMPVOL_105.0%MNY_DF</stp>
        <stp>19/07/2016</stp>
        <stp>19/07/2016</stp>
        <stp>[Bbg_Market_Data_CL.xlsm]data!R181C19</stp>
        <tr r="S181" s="1"/>
      </tp>
      <tp t="s">
        <v>#N/A Requesting Data...</v>
        <stp/>
        <stp>##V3_BDHV12</stp>
        <stp>CL1 Comdty</stp>
        <stp>30DAY_IMPVOL_110.0%MNY_DF</stp>
        <stp>29/06/2015</stp>
        <stp>29/06/2015</stp>
        <stp>[Bbg_Market_Data_CL.xlsm]data!R444C22</stp>
        <tr r="V444" s="1"/>
      </tp>
      <tp t="s">
        <v>#N/A Requesting Data...</v>
        <stp/>
        <stp>##V3_BDHV12</stp>
        <stp>CL1 Comdty</stp>
        <stp>30DAY_IMPVOL_110.0%MNY_DF</stp>
        <stp>19/05/2015</stp>
        <stp>19/05/2015</stp>
        <stp>[Bbg_Market_Data_CL.xlsm]data!R472C22</stp>
        <tr r="V472" s="1"/>
      </tp>
      <tp t="s">
        <v>#N/A Requesting Data...</v>
        <stp/>
        <stp>##V3_BDHV12</stp>
        <stp>CL1 Comdty</stp>
        <stp>30DAY_IMPVOL_105.0%MNY_DF</stp>
        <stp>29/04/2016</stp>
        <stp>29/04/2016</stp>
        <stp>[Bbg_Market_Data_CL.xlsm]data!R236C19</stp>
        <tr r="S236" s="1"/>
      </tp>
      <tp t="s">
        <v>#N/A Requesting Data...</v>
        <stp/>
        <stp>##V3_BDHV12</stp>
        <stp>CL1 Comdty</stp>
        <stp>30DAY_IMPVOL_105.0%MNY_DF</stp>
        <stp>09/06/2016</stp>
        <stp>09/06/2016</stp>
        <stp>[Bbg_Market_Data_CL.xlsm]data!R208C19</stp>
        <tr r="S208" s="1"/>
      </tp>
      <tp t="s">
        <v>#N/A Requesting Data...</v>
        <stp/>
        <stp>##V3_BDHV12</stp>
        <stp>CL1 Comdty</stp>
        <stp>VOLUME_TOTAL_PUT</stp>
        <stp>21/11/2016</stp>
        <stp>21/11/2016</stp>
        <stp>[Bbg_Market_Data_CL.xlsm]data!R97C16</stp>
        <tr r="P97" s="1"/>
      </tp>
      <tp t="s">
        <v>#N/A Requesting Data...</v>
        <stp/>
        <stp>##V3_BDHV12</stp>
        <stp>CL2 Comdty</stp>
        <stp>VOLUME_TOTAL_PUT</stp>
        <stp>21/11/2016</stp>
        <stp>21/11/2016</stp>
        <stp>[Bbg_Market_Data_CL.xlsm]data!R97C16</stp>
        <tr r="P97" s="1"/>
      </tp>
      <tp t="s">
        <v>#N/A Requesting Data...</v>
        <stp/>
        <stp>##V3_BDHV12</stp>
        <stp>CL2 Comdty</stp>
        <stp>VOLUME_TOTAL_PUT</stp>
        <stp>31/01/2017</stp>
        <stp>31/01/2017</stp>
        <stp>[Bbg_Market_Data_CL.xlsm]data!R50C16</stp>
        <tr r="P50" s="1"/>
      </tp>
      <tp t="s">
        <v>#N/A Requesting Data...</v>
        <stp/>
        <stp>##V3_BDHV12</stp>
        <stp>CL1 Comdty</stp>
        <stp>VOLUME_TOTAL_PUT</stp>
        <stp>31/01/2017</stp>
        <stp>31/01/2017</stp>
        <stp>[Bbg_Market_Data_CL.xlsm]data!R50C16</stp>
        <tr r="P50" s="1"/>
      </tp>
      <tp t="s">
        <v>#N/A Requesting Data...</v>
        <stp/>
        <stp>##V3_BDHV12</stp>
        <stp>CL2 Comdty</stp>
        <stp>VOLUME_TOTAL_PUT</stp>
        <stp>01/02/2017</stp>
        <stp>01/02/2017</stp>
        <stp>[Bbg_Market_Data_CL.xlsm]data!R49C16</stp>
        <tr r="P49" s="1"/>
      </tp>
      <tp t="s">
        <v>#N/A Requesting Data...</v>
        <stp/>
        <stp>##V3_BDHV12</stp>
        <stp>CL1 Comdty</stp>
        <stp>VOLUME_TOTAL_PUT</stp>
        <stp>01/02/2017</stp>
        <stp>01/02/2017</stp>
        <stp>[Bbg_Market_Data_CL.xlsm]data!R49C16</stp>
        <tr r="P49" s="1"/>
      </tp>
      <tp t="s">
        <v>#N/A Requesting Data...</v>
        <stp/>
        <stp>##V3_BDHV12</stp>
        <stp>CL1 Comdty</stp>
        <stp>VOLUME_TOTAL_PUT</stp>
        <stp>10/03/2017</stp>
        <stp>10/03/2017</stp>
        <stp>[Bbg_Market_Data_CL.xlsm]data!R23C16</stp>
        <tr r="P23" s="1"/>
      </tp>
      <tp t="s">
        <v>#N/A Requesting Data...</v>
        <stp/>
        <stp>##V3_BDHV12</stp>
        <stp>CL2 Comdty</stp>
        <stp>VOLUME_TOTAL_PUT</stp>
        <stp>10/03/2017</stp>
        <stp>10/03/2017</stp>
        <stp>[Bbg_Market_Data_CL.xlsm]data!R23C16</stp>
        <tr r="P23" s="1"/>
      </tp>
      <tp t="s">
        <v>#N/A Requesting Data...</v>
        <stp/>
        <stp>##V3_BDHV12</stp>
        <stp>CL2 Comdty</stp>
        <stp>VOLUME_TOTAL_PUT</stp>
        <stp>30/01/2017</stp>
        <stp>30/01/2017</stp>
        <stp>[Bbg_Market_Data_CL.xlsm]data!R51C16</stp>
        <tr r="P51" s="1"/>
      </tp>
      <tp t="s">
        <v>#N/A Requesting Data...</v>
        <stp/>
        <stp>##V3_BDHV12</stp>
        <stp>CL1 Comdty</stp>
        <stp>VOLUME_TOTAL_PUT</stp>
        <stp>30/01/2017</stp>
        <stp>30/01/2017</stp>
        <stp>[Bbg_Market_Data_CL.xlsm]data!R51C16</stp>
        <tr r="P51" s="1"/>
      </tp>
      <tp t="s">
        <v>#N/A Requesting Data...</v>
        <stp/>
        <stp>##V3_BDHV12</stp>
        <stp>CL1 Comdty</stp>
        <stp>VOLUME_TOTAL_PUT</stp>
        <stp>13/12/2016</stp>
        <stp>13/12/2016</stp>
        <stp>[Bbg_Market_Data_CL.xlsm]data!R82C16</stp>
        <tr r="P82" s="1"/>
      </tp>
      <tp t="s">
        <v>#N/A Requesting Data...</v>
        <stp/>
        <stp>##V3_BDHV12</stp>
        <stp>CL2 Comdty</stp>
        <stp>VOLUME_TOTAL_PUT</stp>
        <stp>13/12/2016</stp>
        <stp>13/12/2016</stp>
        <stp>[Bbg_Market_Data_CL.xlsm]data!R82C16</stp>
        <tr r="P82" s="1"/>
      </tp>
      <tp t="s">
        <v>#N/A Requesting Data...</v>
        <stp/>
        <stp>##V3_BDHV12</stp>
        <stp>CL2 Comdty</stp>
        <stp>VOLUME_TOTAL_PUT</stp>
        <stp>23/11/2016</stp>
        <stp>23/11/2016</stp>
        <stp>[Bbg_Market_Data_CL.xlsm]data!R95C16</stp>
        <tr r="P95" s="1"/>
      </tp>
      <tp t="s">
        <v>#N/A Requesting Data...</v>
        <stp/>
        <stp>##V3_BDHV12</stp>
        <stp>CL1 Comdty</stp>
        <stp>VOLUME_TOTAL_PUT</stp>
        <stp>23/11/2016</stp>
        <stp>23/11/2016</stp>
        <stp>[Bbg_Market_Data_CL.xlsm]data!R95C16</stp>
        <tr r="P95" s="1"/>
      </tp>
      <tp t="s">
        <v>#N/A Requesting Data...</v>
        <stp/>
        <stp>##V3_BDHV12</stp>
        <stp>CL1 Comdty</stp>
        <stp>VOLUME_TOTAL_PUT</stp>
        <stp>13/03/2017</stp>
        <stp>13/03/2017</stp>
        <stp>[Bbg_Market_Data_CL.xlsm]data!R22C16</stp>
        <tr r="P22" s="1"/>
      </tp>
      <tp t="s">
        <v>#N/A Requesting Data...</v>
        <stp/>
        <stp>##V3_BDHV12</stp>
        <stp>CL2 Comdty</stp>
        <stp>VOLUME_TOTAL_PUT</stp>
        <stp>13/03/2017</stp>
        <stp>13/03/2017</stp>
        <stp>[Bbg_Market_Data_CL.xlsm]data!R22C16</stp>
        <tr r="P22" s="1"/>
      </tp>
      <tp t="s">
        <v>#N/A Requesting Data...</v>
        <stp/>
        <stp>##V3_BDHV12</stp>
        <stp>CL1 Comdty</stp>
        <stp>VOLUME_TOTAL_PUT</stp>
        <stp>03/02/2017</stp>
        <stp>03/02/2017</stp>
        <stp>[Bbg_Market_Data_CL.xlsm]data!R47C16</stp>
        <tr r="P47" s="1"/>
      </tp>
      <tp t="s">
        <v>#N/A Requesting Data...</v>
        <stp/>
        <stp>##V3_BDHV12</stp>
        <stp>CL2 Comdty</stp>
        <stp>VOLUME_TOTAL_PUT</stp>
        <stp>03/02/2017</stp>
        <stp>03/02/2017</stp>
        <stp>[Bbg_Market_Data_CL.xlsm]data!R47C16</stp>
        <tr r="P47" s="1"/>
      </tp>
      <tp t="s">
        <v>#N/A Requesting Data...</v>
        <stp/>
        <stp>##V3_BDHV12</stp>
        <stp>CL1 Comdty</stp>
        <stp>VOLUME_TOTAL_PUT</stp>
        <stp>22/11/2016</stp>
        <stp>22/11/2016</stp>
        <stp>[Bbg_Market_Data_CL.xlsm]data!R96C16</stp>
        <tr r="P96" s="1"/>
      </tp>
      <tp t="s">
        <v>#N/A Requesting Data...</v>
        <stp/>
        <stp>##V3_BDHV12</stp>
        <stp>CL2 Comdty</stp>
        <stp>VOLUME_TOTAL_PUT</stp>
        <stp>22/11/2016</stp>
        <stp>22/11/2016</stp>
        <stp>[Bbg_Market_Data_CL.xlsm]data!R96C16</stp>
        <tr r="P96" s="1"/>
      </tp>
      <tp t="s">
        <v>#N/A Requesting Data...</v>
        <stp/>
        <stp>##V3_BDHV12</stp>
        <stp>CL1 Comdty</stp>
        <stp>VOLUME_TOTAL_PUT</stp>
        <stp>12/12/2016</stp>
        <stp>12/12/2016</stp>
        <stp>[Bbg_Market_Data_CL.xlsm]data!R83C16</stp>
        <tr r="P83" s="1"/>
      </tp>
      <tp t="s">
        <v>#N/A Requesting Data...</v>
        <stp/>
        <stp>##V3_BDHV12</stp>
        <stp>CL2 Comdty</stp>
        <stp>VOLUME_TOTAL_PUT</stp>
        <stp>12/12/2016</stp>
        <stp>12/12/2016</stp>
        <stp>[Bbg_Market_Data_CL.xlsm]data!R83C16</stp>
        <tr r="P83" s="1"/>
      </tp>
      <tp t="s">
        <v>#N/A Requesting Data...</v>
        <stp/>
        <stp>##V3_BDHV12</stp>
        <stp>CL2 Comdty</stp>
        <stp>VOLUME_TOTAL_PUT</stp>
        <stp>02/02/2017</stp>
        <stp>02/02/2017</stp>
        <stp>[Bbg_Market_Data_CL.xlsm]data!R48C16</stp>
        <tr r="P48" s="1"/>
      </tp>
      <tp t="s">
        <v>#N/A Requesting Data...</v>
        <stp/>
        <stp>##V3_BDHV12</stp>
        <stp>CL1 Comdty</stp>
        <stp>VOLUME_TOTAL_PUT</stp>
        <stp>02/02/2017</stp>
        <stp>02/02/2017</stp>
        <stp>[Bbg_Market_Data_CL.xlsm]data!R48C16</stp>
        <tr r="P48" s="1"/>
      </tp>
      <tp t="s">
        <v>#N/A Requesting Data...</v>
        <stp/>
        <stp>##V3_BDHV12</stp>
        <stp>CL2 Comdty</stp>
        <stp>VOLUME_TOTAL_PUT</stp>
        <stp>15/12/2016</stp>
        <stp>15/12/2016</stp>
        <stp>[Bbg_Market_Data_CL.xlsm]data!R80C16</stp>
        <tr r="P80" s="1"/>
      </tp>
      <tp t="s">
        <v>#N/A Requesting Data...</v>
        <stp/>
        <stp>##V3_BDHV12</stp>
        <stp>CL1 Comdty</stp>
        <stp>VOLUME_TOTAL_PUT</stp>
        <stp>15/12/2016</stp>
        <stp>15/12/2016</stp>
        <stp>[Bbg_Market_Data_CL.xlsm]data!R80C16</stp>
        <tr r="P80" s="1"/>
      </tp>
      <tp t="s">
        <v>#N/A Requesting Data...</v>
        <stp/>
        <stp>##V3_BDHV12</stp>
        <stp>CL2 Comdty</stp>
        <stp>VOLUME_TOTAL_PUT</stp>
        <stp>25/11/2016</stp>
        <stp>25/11/2016</stp>
        <stp>[Bbg_Market_Data_CL.xlsm]data!R94C16</stp>
        <tr r="P94" s="1"/>
      </tp>
      <tp t="s">
        <v>#N/A Requesting Data...</v>
        <stp/>
        <stp>##V3_BDHV12</stp>
        <stp>CL1 Comdty</stp>
        <stp>VOLUME_TOTAL_PUT</stp>
        <stp>25/11/2016</stp>
        <stp>25/11/2016</stp>
        <stp>[Bbg_Market_Data_CL.xlsm]data!R94C16</stp>
        <tr r="P94" s="1"/>
      </tp>
      <tp t="s">
        <v>#N/A Requesting Data...</v>
        <stp/>
        <stp>##V3_BDHV12</stp>
        <stp>CL2 Comdty</stp>
        <stp>VOLUME_TOTAL_PUT</stp>
        <stp>15/03/2017</stp>
        <stp>15/03/2017</stp>
        <stp>[Bbg_Market_Data_CL.xlsm]data!R20C16</stp>
        <tr r="P20" s="1"/>
      </tp>
      <tp t="s">
        <v>#N/A Requesting Data...</v>
        <stp/>
        <stp>##V3_BDHV12</stp>
        <stp>CL1 Comdty</stp>
        <stp>VOLUME_TOTAL_PUT</stp>
        <stp>15/03/2017</stp>
        <stp>15/03/2017</stp>
        <stp>[Bbg_Market_Data_CL.xlsm]data!R20C16</stp>
        <tr r="P20" s="1"/>
      </tp>
      <tp t="s">
        <v>#N/A Requesting Data...</v>
        <stp/>
        <stp>##V3_BDHV12</stp>
        <stp>CL2 Comdty</stp>
        <stp>VOLUME_TOTAL_PUT</stp>
        <stp>14/12/2016</stp>
        <stp>14/12/2016</stp>
        <stp>[Bbg_Market_Data_CL.xlsm]data!R81C16</stp>
        <tr r="P81" s="1"/>
      </tp>
      <tp t="s">
        <v>#N/A Requesting Data...</v>
        <stp/>
        <stp>##V3_BDHV12</stp>
        <stp>CL1 Comdty</stp>
        <stp>VOLUME_TOTAL_PUT</stp>
        <stp>14/12/2016</stp>
        <stp>14/12/2016</stp>
        <stp>[Bbg_Market_Data_CL.xlsm]data!R81C16</stp>
        <tr r="P81" s="1"/>
      </tp>
      <tp t="s">
        <v>#N/A Requesting Data...</v>
        <stp/>
        <stp>##V3_BDHV12</stp>
        <stp>CL2 Comdty</stp>
        <stp>VOLUME_TOTAL_PUT</stp>
        <stp>14/03/2017</stp>
        <stp>14/03/2017</stp>
        <stp>[Bbg_Market_Data_CL.xlsm]data!R21C16</stp>
        <tr r="P21" s="1"/>
      </tp>
      <tp t="s">
        <v>#N/A Requesting Data...</v>
        <stp/>
        <stp>##V3_BDHV12</stp>
        <stp>CL1 Comdty</stp>
        <stp>VOLUME_TOTAL_PUT</stp>
        <stp>14/03/2017</stp>
        <stp>14/03/2017</stp>
        <stp>[Bbg_Market_Data_CL.xlsm]data!R21C16</stp>
        <tr r="P21" s="1"/>
      </tp>
      <tp t="s">
        <v>#N/A Requesting Data...</v>
        <stp/>
        <stp>##V3_BDHV12</stp>
        <stp>CL2 Comdty</stp>
        <stp>VOLUME_TOTAL_PUT</stp>
        <stp>07/02/2017</stp>
        <stp>07/02/2017</stp>
        <stp>[Bbg_Market_Data_CL.xlsm]data!R45C16</stp>
        <tr r="P45" s="1"/>
      </tp>
      <tp t="s">
        <v>#N/A Requesting Data...</v>
        <stp/>
        <stp>##V3_BDHV12</stp>
        <stp>CL1 Comdty</stp>
        <stp>VOLUME_TOTAL_PUT</stp>
        <stp>07/02/2017</stp>
        <stp>07/02/2017</stp>
        <stp>[Bbg_Market_Data_CL.xlsm]data!R45C16</stp>
        <tr r="P45" s="1"/>
      </tp>
      <tp t="s">
        <v>#N/A Requesting Data...</v>
        <stp/>
        <stp>##V3_BDHV12</stp>
        <stp>CL2 Comdty</stp>
        <stp>VOLUME_TOTAL_PUT</stp>
        <stp>17/03/2017</stp>
        <stp>17/03/2017</stp>
        <stp>[Bbg_Market_Data_CL.xlsm]data!R18C16</stp>
        <tr r="P18" s="1"/>
      </tp>
      <tp t="s">
        <v>#N/A Requesting Data...</v>
        <stp/>
        <stp>##V3_BDHV12</stp>
        <stp>CL1 Comdty</stp>
        <stp>VOLUME_TOTAL_PUT</stp>
        <stp>17/03/2017</stp>
        <stp>17/03/2017</stp>
        <stp>[Bbg_Market_Data_CL.xlsm]data!R18C16</stp>
        <tr r="P18" s="1"/>
      </tp>
      <tp t="s">
        <v>#N/A Requesting Data...</v>
        <stp/>
        <stp>##V3_BDHV12</stp>
        <stp>CL1 Comdty</stp>
        <stp>VOLUME_TOTAL_PUT</stp>
        <stp>06/02/2017</stp>
        <stp>06/02/2017</stp>
        <stp>[Bbg_Market_Data_CL.xlsm]data!R46C16</stp>
        <tr r="P46" s="1"/>
      </tp>
      <tp t="s">
        <v>#N/A Requesting Data...</v>
        <stp/>
        <stp>##V3_BDHV12</stp>
        <stp>CL2 Comdty</stp>
        <stp>VOLUME_TOTAL_PUT</stp>
        <stp>06/02/2017</stp>
        <stp>06/02/2017</stp>
        <stp>[Bbg_Market_Data_CL.xlsm]data!R46C16</stp>
        <tr r="P46" s="1"/>
      </tp>
      <tp t="s">
        <v>#N/A Requesting Data...</v>
        <stp/>
        <stp>##V3_BDHV12</stp>
        <stp>CL2 Comdty</stp>
        <stp>VOLUME_TOTAL_PUT</stp>
        <stp>16/12/2016</stp>
        <stp>16/12/2016</stp>
        <stp>[Bbg_Market_Data_CL.xlsm]data!R79C16</stp>
        <tr r="P79" s="1"/>
      </tp>
      <tp t="s">
        <v>#N/A Requesting Data...</v>
        <stp/>
        <stp>##V3_BDHV12</stp>
        <stp>CL1 Comdty</stp>
        <stp>VOLUME_TOTAL_PUT</stp>
        <stp>16/12/2016</stp>
        <stp>16/12/2016</stp>
        <stp>[Bbg_Market_Data_CL.xlsm]data!R79C16</stp>
        <tr r="P79" s="1"/>
      </tp>
      <tp t="s">
        <v>#N/A Requesting Data...</v>
        <stp/>
        <stp>##V3_BDHV12</stp>
        <stp>CL2 Comdty</stp>
        <stp>VOLUME_TOTAL_PUT</stp>
        <stp>16/03/2017</stp>
        <stp>16/03/2017</stp>
        <stp>[Bbg_Market_Data_CL.xlsm]data!R19C16</stp>
        <tr r="P19" s="1"/>
      </tp>
      <tp t="s">
        <v>#N/A Requesting Data...</v>
        <stp/>
        <stp>##V3_BDHV12</stp>
        <stp>CL1 Comdty</stp>
        <stp>VOLUME_TOTAL_PUT</stp>
        <stp>16/03/2017</stp>
        <stp>16/03/2017</stp>
        <stp>[Bbg_Market_Data_CL.xlsm]data!R19C16</stp>
        <tr r="P19" s="1"/>
      </tp>
      <tp t="s">
        <v>#N/A Requesting Data...</v>
        <stp/>
        <stp>##V3_BDHV12</stp>
        <stp>CL2 Comdty</stp>
        <stp>VOLUME_TOTAL_PUT</stp>
        <stp>19/12/2016</stp>
        <stp>19/12/2016</stp>
        <stp>[Bbg_Market_Data_CL.xlsm]data!R78C16</stp>
        <tr r="P78" s="1"/>
      </tp>
      <tp t="s">
        <v>#N/A Requesting Data...</v>
        <stp/>
        <stp>##V3_BDHV12</stp>
        <stp>CL1 Comdty</stp>
        <stp>VOLUME_TOTAL_PUT</stp>
        <stp>19/12/2016</stp>
        <stp>19/12/2016</stp>
        <stp>[Bbg_Market_Data_CL.xlsm]data!R78C16</stp>
        <tr r="P78" s="1"/>
      </tp>
      <tp t="s">
        <v>#N/A Requesting Data...</v>
        <stp/>
        <stp>##V3_BDHV12</stp>
        <stp>CL1 Comdty</stp>
        <stp>VOLUME_TOTAL_PUT</stp>
        <stp>09/02/2017</stp>
        <stp>09/02/2017</stp>
        <stp>[Bbg_Market_Data_CL.xlsm]data!R43C16</stp>
        <tr r="P43" s="1"/>
      </tp>
      <tp t="s">
        <v>#N/A Requesting Data...</v>
        <stp/>
        <stp>##V3_BDHV12</stp>
        <stp>CL2 Comdty</stp>
        <stp>VOLUME_TOTAL_PUT</stp>
        <stp>09/02/2017</stp>
        <stp>09/02/2017</stp>
        <stp>[Bbg_Market_Data_CL.xlsm]data!R43C16</stp>
        <tr r="P43" s="1"/>
      </tp>
      <tp t="s">
        <v>#N/A Requesting Data...</v>
        <stp/>
        <stp>##V3_BDHV12</stp>
        <stp>CL1 Comdty</stp>
        <stp>VOLUME_TOTAL_PUT</stp>
        <stp>29/11/2016</stp>
        <stp>29/11/2016</stp>
        <stp>[Bbg_Market_Data_CL.xlsm]data!R92C16</stp>
        <tr r="P92" s="1"/>
      </tp>
      <tp t="s">
        <v>#N/A Requesting Data...</v>
        <stp/>
        <stp>##V3_BDHV12</stp>
        <stp>CL2 Comdty</stp>
        <stp>VOLUME_TOTAL_PUT</stp>
        <stp>29/11/2016</stp>
        <stp>29/11/2016</stp>
        <stp>[Bbg_Market_Data_CL.xlsm]data!R92C16</stp>
        <tr r="P92" s="1"/>
      </tp>
      <tp t="s">
        <v>#N/A Requesting Data...</v>
        <stp/>
        <stp>##V3_BDHV12</stp>
        <stp>CL2 Comdty</stp>
        <stp>VOLUME_TOTAL_PUT</stp>
        <stp>08/02/2017</stp>
        <stp>08/02/2017</stp>
        <stp>[Bbg_Market_Data_CL.xlsm]data!R44C16</stp>
        <tr r="P44" s="1"/>
      </tp>
      <tp t="s">
        <v>#N/A Requesting Data...</v>
        <stp/>
        <stp>##V3_BDHV12</stp>
        <stp>CL1 Comdty</stp>
        <stp>VOLUME_TOTAL_PUT</stp>
        <stp>08/02/2017</stp>
        <stp>08/02/2017</stp>
        <stp>[Bbg_Market_Data_CL.xlsm]data!R44C16</stp>
        <tr r="P44" s="1"/>
      </tp>
      <tp t="s">
        <v>#N/A Requesting Data...</v>
        <stp/>
        <stp>##V3_BDHV12</stp>
        <stp>CL1 Comdty</stp>
        <stp>VOLUME_TOTAL_PUT</stp>
        <stp>28/11/2016</stp>
        <stp>28/11/2016</stp>
        <stp>[Bbg_Market_Data_CL.xlsm]data!R93C16</stp>
        <tr r="P93" s="1"/>
      </tp>
      <tp t="s">
        <v>#N/A Requesting Data...</v>
        <stp/>
        <stp>##V3_BDHV12</stp>
        <stp>CL2 Comdty</stp>
        <stp>VOLUME_TOTAL_PUT</stp>
        <stp>28/11/2016</stp>
        <stp>28/11/2016</stp>
        <stp>[Bbg_Market_Data_CL.xlsm]data!R93C16</stp>
        <tr r="P93" s="1"/>
      </tp>
      <tp t="s">
        <v>#N/A Requesting Data...</v>
        <stp/>
        <stp>##V3_BDHV12</stp>
        <stp>CL2 Comdty</stp>
        <stp>RSI_9D</stp>
        <stp>13/06/2016</stp>
        <stp>13/06/2016</stp>
        <stp>[Bbg_Market_Data_CL.xlsm]data!R207C12</stp>
        <tr r="L207" s="1"/>
      </tp>
      <tp t="s">
        <v>#N/A Requesting Data...</v>
        <stp/>
        <stp>##V3_BDHV12</stp>
        <stp>CL2 Comdty</stp>
        <stp>RSI_9D</stp>
        <stp>23/05/2016</stp>
        <stp>23/05/2016</stp>
        <stp>[Bbg_Market_Data_CL.xlsm]data!R221C12</stp>
        <tr r="L221" s="1"/>
      </tp>
      <tp t="s">
        <v>#N/A Requesting Data...</v>
        <stp/>
        <stp>##V3_BDHV12</stp>
        <stp>CL1 Comdty</stp>
        <stp>RSI_9D</stp>
        <stp>13/05/2016</stp>
        <stp>13/05/2016</stp>
        <stp>[Bbg_Market_Data_CL.xlsm]data!R227C12</stp>
        <tr r="L227" s="1"/>
      </tp>
      <tp t="s">
        <v>#N/A Requesting Data...</v>
        <stp/>
        <stp>##V3_BDHV12</stp>
        <stp>CL2 Comdty</stp>
        <stp>RSI_9D</stp>
        <stp>21/02/2017</stp>
        <stp>21/02/2017</stp>
        <stp>[Bbg_Market_Data_CL.xlsm]data!R36C12</stp>
        <tr r="L36" s="1"/>
      </tp>
      <tp t="s">
        <v>#N/A Requesting Data...</v>
        <stp/>
        <stp>##V3_BDHV12</stp>
        <stp>CL1 Comdty</stp>
        <stp>RSI_9D</stp>
        <stp>22/02/2017</stp>
        <stp>22/02/2017</stp>
        <stp>[Bbg_Market_Data_CL.xlsm]data!R35C12</stp>
        <tr r="L35" s="1"/>
      </tp>
      <tp t="s">
        <v>#N/A Requesting Data...</v>
        <stp/>
        <stp>##V3_BDHV12</stp>
        <stp>CL2 Comdty</stp>
        <stp>RSI_9D</stp>
        <stp>11/01/2017</stp>
        <stp>11/01/2017</stp>
        <stp>[Bbg_Market_Data_CL.xlsm]data!R63C12</stp>
        <tr r="L63" s="1"/>
      </tp>
      <tp t="s">
        <v>#N/A Requesting Data...</v>
        <stp/>
        <stp>##V3_BDHV12</stp>
        <stp>CL1 Comdty</stp>
        <stp>RSI_9D</stp>
        <stp>12/01/2017</stp>
        <stp>12/01/2017</stp>
        <stp>[Bbg_Market_Data_CL.xlsm]data!R62C12</stp>
        <tr r="L62" s="1"/>
      </tp>
      <tp t="s">
        <v>#N/A Requesting Data...</v>
        <stp/>
        <stp>##V3_BDHV12</stp>
        <stp>CL2 Comdty</stp>
        <stp>RSI_9D</stp>
        <stp>21/07/2016</stp>
        <stp>21/07/2016</stp>
        <stp>[Bbg_Market_Data_CL.xlsm]data!R180C12</stp>
        <tr r="L180" s="1"/>
      </tp>
      <tp t="s">
        <v>#N/A Requesting Data...</v>
        <stp/>
        <stp>##V3_BDHV12</stp>
        <stp>CL1 Comdty</stp>
        <stp>RSI_9D</stp>
        <stp>11/07/2016</stp>
        <stp>11/07/2016</stp>
        <stp>[Bbg_Market_Data_CL.xlsm]data!R188C12</stp>
        <tr r="L188" s="1"/>
      </tp>
      <tp t="s">
        <v>#N/A Requesting Data...</v>
        <stp/>
        <stp>##V3_BDHV12</stp>
        <stp>CL2 Comdty</stp>
        <stp>RSI_9D</stp>
        <stp>02/06/2016</stp>
        <stp>02/06/2016</stp>
        <stp>[Bbg_Market_Data_CL.xlsm]data!R214C12</stp>
        <tr r="L214" s="1"/>
      </tp>
      <tp t="s">
        <v>#N/A Requesting Data...</v>
        <stp/>
        <stp>##V3_BDHV12</stp>
        <stp>CL1 Comdty</stp>
        <stp>RSI_9D</stp>
        <stp>02/05/2016</stp>
        <stp>02/05/2016</stp>
        <stp>[Bbg_Market_Data_CL.xlsm]data!R236C12</stp>
        <tr r="L236" s="1"/>
      </tp>
      <tp t="s">
        <v>#N/A Requesting Data...</v>
        <stp/>
        <stp>##V3_BDHV12</stp>
        <stp>CL2 Comdty</stp>
        <stp>RSI_9D</stp>
        <stp>22/04/2016</stp>
        <stp>22/04/2016</stp>
        <stp>[Bbg_Market_Data_CL.xlsm]data!R242C12</stp>
        <tr r="L242" s="1"/>
      </tp>
      <tp t="s">
        <v>#N/A Requesting Data...</v>
        <stp/>
        <stp>##V3_BDHV12</stp>
        <stp>CL1 Comdty</stp>
        <stp>RSI_9D</stp>
        <stp>12/04/2016</stp>
        <stp>12/04/2016</stp>
        <stp>[Bbg_Market_Data_CL.xlsm]data!R250C12</stp>
        <tr r="L250" s="1"/>
      </tp>
      <tp t="s">
        <v>#N/A Requesting Data...</v>
        <stp/>
        <stp>##V3_BDHV12</stp>
        <stp>CL1 Comdty</stp>
        <stp>RSI_9D</stp>
        <stp>23/02/2017</stp>
        <stp>23/02/2017</stp>
        <stp>[Bbg_Market_Data_CL.xlsm]data!R34C12</stp>
        <tr r="L34" s="1"/>
      </tp>
      <tp t="s">
        <v>#N/A Requesting Data...</v>
        <stp/>
        <stp>##V3_BDHV12</stp>
        <stp>CL2 Comdty</stp>
        <stp>RSI_9D</stp>
        <stp>30/12/2016</stp>
        <stp>30/12/2016</stp>
        <stp>[Bbg_Market_Data_CL.xlsm]data!R70C12</stp>
        <tr r="L70" s="1"/>
      </tp>
      <tp t="s">
        <v>#N/A Requesting Data...</v>
        <stp/>
        <stp>##V3_BDHV12</stp>
        <stp>CL2 Comdty</stp>
        <stp>RSI_9D</stp>
        <stp>10/01/2017</stp>
        <stp>10/01/2017</stp>
        <stp>[Bbg_Market_Data_CL.xlsm]data!R64C12</stp>
        <tr r="L64" s="1"/>
      </tp>
      <tp t="s">
        <v>#N/A Requesting Data...</v>
        <stp/>
        <stp>##V3_BDHV12</stp>
        <stp>CL1 Comdty</stp>
        <stp>RSI_9D</stp>
        <stp>13/01/2017</stp>
        <stp>13/01/2017</stp>
        <stp>[Bbg_Market_Data_CL.xlsm]data!R61C12</stp>
        <tr r="L61" s="1"/>
      </tp>
      <tp t="s">
        <v>#N/A Requesting Data...</v>
        <stp/>
        <stp>##V3_BDHV12</stp>
        <stp>CL2 Comdty</stp>
        <stp>RSI_9D</stp>
        <stp>12/07/2016</stp>
        <stp>12/07/2016</stp>
        <stp>[Bbg_Market_Data_CL.xlsm]data!R187C12</stp>
        <tr r="L187" s="1"/>
      </tp>
      <tp t="s">
        <v>#N/A Requesting Data...</v>
        <stp/>
        <stp>##V3_BDHV12</stp>
        <stp>CL1 Comdty</stp>
        <stp>RSI_9D</stp>
        <stp>31/05/2016</stp>
        <stp>31/05/2016</stp>
        <stp>[Bbg_Market_Data_CL.xlsm]data!R216C12</stp>
        <tr r="L216" s="1"/>
      </tp>
      <tp t="s">
        <v>#N/A Requesting Data...</v>
        <stp/>
        <stp>##V3_BDHV12</stp>
        <stp>CL1 Comdty</stp>
        <stp>RSI_9D</stp>
        <stp>01/06/2016</stp>
        <stp>01/06/2016</stp>
        <stp>[Bbg_Market_Data_CL.xlsm]data!R215C12</stp>
        <tr r="L215" s="1"/>
      </tp>
      <tp t="s">
        <v>#N/A Requesting Data...</v>
        <stp/>
        <stp>##V3_BDHV12</stp>
        <stp>CL1 Comdty</stp>
        <stp>RSI_9D</stp>
        <stp>21/04/2016</stp>
        <stp>21/04/2016</stp>
        <stp>[Bbg_Market_Data_CL.xlsm]data!R243C12</stp>
        <tr r="L243" s="1"/>
      </tp>
      <tp t="s">
        <v>#N/A Requesting Data...</v>
        <stp/>
        <stp>##V3_BDHV12</stp>
        <stp>CL2 Comdty</stp>
        <stp>RSI_9D</stp>
        <stp>11/04/2016</stp>
        <stp>11/04/2016</stp>
        <stp>[Bbg_Market_Data_CL.xlsm]data!R251C12</stp>
        <tr r="L251" s="1"/>
      </tp>
      <tp t="s">
        <v>#N/A Requesting Data...</v>
        <stp/>
        <stp>##V3_BDHV12</stp>
        <stp>CL1 Comdty</stp>
        <stp>RSI_9D</stp>
        <stp>22/07/2016</stp>
        <stp>22/07/2016</stp>
        <stp>[Bbg_Market_Data_CL.xlsm]data!R179C12</stp>
        <tr r="L179" s="1"/>
      </tp>
      <tp t="s">
        <v>#N/A Requesting Data...</v>
        <stp/>
        <stp>##V3_BDHV12</stp>
        <stp>CL2 Comdty</stp>
        <stp>RSI_9D</stp>
        <stp>23/02/2017</stp>
        <stp>23/02/2017</stp>
        <stp>[Bbg_Market_Data_CL.xlsm]data!R34C12</stp>
        <tr r="L34" s="1"/>
      </tp>
      <tp t="s">
        <v>#N/A Requesting Data...</v>
        <stp/>
        <stp>##V3_BDHV12</stp>
        <stp>CL1 Comdty</stp>
        <stp>RSI_9D</stp>
        <stp>30/12/2016</stp>
        <stp>30/12/2016</stp>
        <stp>[Bbg_Market_Data_CL.xlsm]data!R70C12</stp>
        <tr r="L70" s="1"/>
      </tp>
      <tp t="s">
        <v>#N/A Requesting Data...</v>
        <stp/>
        <stp>##V3_BDHV12</stp>
        <stp>CL1 Comdty</stp>
        <stp>RSI_9D</stp>
        <stp>10/01/2017</stp>
        <stp>10/01/2017</stp>
        <stp>[Bbg_Market_Data_CL.xlsm]data!R64C12</stp>
        <tr r="L64" s="1"/>
      </tp>
      <tp t="s">
        <v>#N/A Requesting Data...</v>
        <stp/>
        <stp>##V3_BDHV12</stp>
        <stp>CL2 Comdty</stp>
        <stp>RSI_9D</stp>
        <stp>13/01/2017</stp>
        <stp>13/01/2017</stp>
        <stp>[Bbg_Market_Data_CL.xlsm]data!R61C12</stp>
        <tr r="L61" s="1"/>
      </tp>
      <tp t="s">
        <v>#N/A Requesting Data...</v>
        <stp/>
        <stp>##V3_BDHV12</stp>
        <stp>CL1 Comdty</stp>
        <stp>RSI_9D</stp>
        <stp>23/06/2016</stp>
        <stp>23/06/2016</stp>
        <stp>[Bbg_Market_Data_CL.xlsm]data!R199C12</stp>
        <tr r="L199" s="1"/>
      </tp>
      <tp t="s">
        <v>#N/A Requesting Data...</v>
        <stp/>
        <stp>##V3_BDHV12</stp>
        <stp>CL2 Comdty</stp>
        <stp>RSI_9D</stp>
        <stp>20/06/2016</stp>
        <stp>20/06/2016</stp>
        <stp>[Bbg_Market_Data_CL.xlsm]data!R202C12</stp>
        <tr r="L202" s="1"/>
      </tp>
      <tp t="s">
        <v>#N/A Requesting Data...</v>
        <stp/>
        <stp>##V3_BDHV12</stp>
        <stp>CL1 Comdty</stp>
        <stp>RSI_9D</stp>
        <stp>10/06/2016</stp>
        <stp>10/06/2016</stp>
        <stp>[Bbg_Market_Data_CL.xlsm]data!R208C12</stp>
        <tr r="L208" s="1"/>
      </tp>
      <tp t="s">
        <v>#N/A Requesting Data...</v>
        <stp/>
        <stp>##V3_BDHV12</stp>
        <stp>CL1 Comdty</stp>
        <stp>RSI_9D</stp>
        <stp>20/05/2016</stp>
        <stp>20/05/2016</stp>
        <stp>[Bbg_Market_Data_CL.xlsm]data!R222C12</stp>
        <tr r="L222" s="1"/>
      </tp>
      <tp t="s">
        <v>#N/A Requesting Data...</v>
        <stp/>
        <stp>##V3_BDHV12</stp>
        <stp>CL2 Comdty</stp>
        <stp>RSI_9D</stp>
        <stp>10/05/2016</stp>
        <stp>10/05/2016</stp>
        <stp>[Bbg_Market_Data_CL.xlsm]data!R230C12</stp>
        <tr r="L230" s="1"/>
      </tp>
      <tp t="s">
        <v>#N/A Requesting Data...</v>
        <stp/>
        <stp>##V3_BDHV12</stp>
        <stp>CL1 Comdty</stp>
        <stp>RSI_9D</stp>
        <stp>21/02/2017</stp>
        <stp>21/02/2017</stp>
        <stp>[Bbg_Market_Data_CL.xlsm]data!R36C12</stp>
        <tr r="L36" s="1"/>
      </tp>
      <tp t="s">
        <v>#N/A Requesting Data...</v>
        <stp/>
        <stp>##V3_BDHV12</stp>
        <stp>CL2 Comdty</stp>
        <stp>RSI_9D</stp>
        <stp>22/02/2017</stp>
        <stp>22/02/2017</stp>
        <stp>[Bbg_Market_Data_CL.xlsm]data!R35C12</stp>
        <tr r="L35" s="1"/>
      </tp>
      <tp t="s">
        <v>#N/A Requesting Data...</v>
        <stp/>
        <stp>##V3_BDHV12</stp>
        <stp>CL1 Comdty</stp>
        <stp>RSI_9D</stp>
        <stp>11/01/2017</stp>
        <stp>11/01/2017</stp>
        <stp>[Bbg_Market_Data_CL.xlsm]data!R63C12</stp>
        <tr r="L63" s="1"/>
      </tp>
      <tp t="s">
        <v>#N/A Requesting Data...</v>
        <stp/>
        <stp>##V3_BDHV12</stp>
        <stp>CL2 Comdty</stp>
        <stp>RSI_9D</stp>
        <stp>12/01/2017</stp>
        <stp>12/01/2017</stp>
        <stp>[Bbg_Market_Data_CL.xlsm]data!R62C12</stp>
        <tr r="L62" s="1"/>
      </tp>
      <tp t="s">
        <v>#N/A Requesting Data...</v>
        <stp/>
        <stp>##V3_BDHV12</stp>
        <stp>CL2 Comdty</stp>
        <stp>RSI_9D</stp>
        <stp>17/02/2016</stp>
        <stp>17/02/2016</stp>
        <stp>[Bbg_Market_Data_CL.xlsm]data!R288C12</stp>
        <tr r="L288" s="1"/>
      </tp>
      <tp t="s">
        <v>#N/A Requesting Data...</v>
        <stp/>
        <stp>##V3_BDHV12</stp>
        <stp>CL1 Comdty</stp>
        <stp>RSI_9D</stp>
        <stp>22/04/2015</stp>
        <stp>22/04/2015</stp>
        <stp>[Bbg_Market_Data_CL.xlsm]data!R492C12</stp>
        <tr r="L492" s="1"/>
      </tp>
      <tp t="s">
        <v>#N/A Requesting Data...</v>
        <stp/>
        <stp>##V3_BDHV12</stp>
        <stp>CL1 Comdty</stp>
        <stp>RSI_9D</stp>
        <stp>06/01/2016</stp>
        <stp>06/01/2016</stp>
        <stp>[Bbg_Market_Data_CL.xlsm]data!R315C12</stp>
        <tr r="L315" s="1"/>
      </tp>
      <tp t="s">
        <v>#N/A Requesting Data...</v>
        <stp/>
        <stp>##V3_BDHV12</stp>
        <stp>CL2 Comdty</stp>
        <stp>RSI_9D</stp>
        <stp>14/11/2016</stp>
        <stp>14/11/2016</stp>
        <stp>[Bbg_Market_Data_CL.xlsm]data!R102C12</stp>
        <tr r="L102" s="1"/>
      </tp>
      <tp t="s">
        <v>#N/A Requesting Data...</v>
        <stp/>
        <stp>##V3_BDHV12</stp>
        <stp>CL2 Comdty</stp>
        <stp>RSI_9D</stp>
        <stp>22/07/2015</stp>
        <stp>22/07/2015</stp>
        <stp>[Bbg_Market_Data_CL.xlsm]data!R429C12</stp>
        <tr r="L429" s="1"/>
      </tp>
      <tp t="s">
        <v>#N/A Requesting Data...</v>
        <stp/>
        <stp>##V3_BDHV12</stp>
        <stp>CL2 Comdty</stp>
        <stp>RSI_9D</stp>
        <stp>04/10/2016</stp>
        <stp>04/10/2016</stp>
        <stp>[Bbg_Market_Data_CL.xlsm]data!R129C12</stp>
        <tr r="L129" s="1"/>
      </tp>
      <tp t="s">
        <v>#N/A Requesting Data...</v>
        <stp/>
        <stp>##V3_BDHV12</stp>
        <stp>CL1 Comdty</stp>
        <stp>RSI_9D</stp>
        <stp>05/11/2015</stp>
        <stp>05/11/2015</stp>
        <stp>[Bbg_Market_Data_CL.xlsm]data!R355C12</stp>
        <tr r="L355" s="1"/>
      </tp>
      <tp t="s">
        <v>#N/A Requesting Data...</v>
        <stp/>
        <stp>##V3_BDHV12</stp>
        <stp>CL1 Comdty</stp>
        <stp>RSI_9D</stp>
        <stp>15/10/2015</stp>
        <stp>15/10/2015</stp>
        <stp>[Bbg_Market_Data_CL.xlsm]data!R370C12</stp>
        <tr r="L370" s="1"/>
      </tp>
      <tp t="s">
        <v>#N/A Requesting Data...</v>
        <stp/>
        <stp>##V3_BDHV12</stp>
        <stp>CL1 Comdty</stp>
        <stp>RSI_9D</stp>
        <stp>02/06/2015</stp>
        <stp>02/06/2015</stp>
        <stp>[Bbg_Market_Data_CL.xlsm]data!R464C12</stp>
        <tr r="L464" s="1"/>
      </tp>
      <tp t="s">
        <v>#N/A Requesting Data...</v>
        <stp/>
        <stp>##V3_BDHV12</stp>
        <stp>CL2 Comdty</stp>
        <stp>RSI_9D</stp>
        <stp>07/03/2016</stp>
        <stp>07/03/2016</stp>
        <stp>[Bbg_Market_Data_CL.xlsm]data!R275C12</stp>
        <tr r="L275" s="1"/>
      </tp>
      <tp t="s">
        <v>#N/A Requesting Data...</v>
        <stp/>
        <stp>##V3_BDHV12</stp>
        <stp>CL1 Comdty</stp>
        <stp>RSI_9D</stp>
        <stp>25/10/2016</stp>
        <stp>25/10/2016</stp>
        <stp>[Bbg_Market_Data_CL.xlsm]data!R115C12</stp>
        <tr r="L115" s="1"/>
      </tp>
      <tp t="s">
        <v>#N/A Requesting Data...</v>
        <stp/>
        <stp>##V3_BDHV12</stp>
        <stp>CL2 Comdty</stp>
        <stp>RSI_9D</stp>
        <stp>27/01/2016</stp>
        <stp>27/01/2016</stp>
        <stp>[Bbg_Market_Data_CL.xlsm]data!R301C12</stp>
        <tr r="L301" s="1"/>
      </tp>
      <tp t="s">
        <v>#N/A Requesting Data...</v>
        <stp/>
        <stp>##V3_BDHV12</stp>
        <stp>CL2 Comdty</stp>
        <stp>RSI_9D</stp>
        <stp>14/12/2015</stp>
        <stp>14/12/2015</stp>
        <stp>[Bbg_Market_Data_CL.xlsm]data!R330C12</stp>
        <tr r="L330" s="1"/>
      </tp>
      <tp t="s">
        <v>#N/A Requesting Data...</v>
        <stp/>
        <stp>##V3_BDHV12</stp>
        <stp>CL1 Comdty</stp>
        <stp>RSI_9D</stp>
        <stp>24/12/2015</stp>
        <stp>24/12/2015</stp>
        <stp>[Bbg_Market_Data_CL.xlsm]data!R322C12</stp>
        <tr r="L322" s="1"/>
      </tp>
      <tp t="s">
        <v>#N/A Requesting Data...</v>
        <stp/>
        <stp>##V3_BDHV12</stp>
        <stp>CL2 Comdty</stp>
        <stp>RSI_9D</stp>
        <stp>23/06/2015</stp>
        <stp>23/06/2015</stp>
        <stp>[Bbg_Market_Data_CL.xlsm]data!R449C12</stp>
        <tr r="L449" s="1"/>
      </tp>
      <tp t="s">
        <v>#N/A Requesting Data...</v>
        <stp/>
        <stp>##V3_BDHV12</stp>
        <stp>CL2 Comdty</stp>
        <stp>RSI_9D</stp>
        <stp>24/11/2015</stp>
        <stp>24/11/2015</stp>
        <stp>[Bbg_Market_Data_CL.xlsm]data!R343C12</stp>
        <tr r="L343" s="1"/>
      </tp>
      <tp t="s">
        <v>#N/A Requesting Data...</v>
        <stp/>
        <stp>##V3_BDHV12</stp>
        <stp>CL2 Comdty</stp>
        <stp>RSI_9D</stp>
        <stp>16/03/2016</stp>
        <stp>16/03/2016</stp>
        <stp>[Bbg_Market_Data_CL.xlsm]data!R268C12</stp>
        <tr r="L268" s="1"/>
      </tp>
      <tp t="s">
        <v>#N/A Requesting Data...</v>
        <stp/>
        <stp>##V3_BDHV12</stp>
        <stp>CL2 Comdty</stp>
        <stp>RSI_9D</stp>
        <stp>13/05/2015</stp>
        <stp>13/05/2015</stp>
        <stp>[Bbg_Market_Data_CL.xlsm]data!R477C12</stp>
        <tr r="L477" s="1"/>
      </tp>
      <tp t="s">
        <v>#N/A Requesting Data...</v>
        <stp/>
        <stp>##V3_BDHV12</stp>
        <stp>CL1 Comdty</stp>
        <stp>RSI_9D</stp>
        <stp>17/01/2017</stp>
        <stp>17/01/2017</stp>
        <stp>[Bbg_Market_Data_CL.xlsm]data!R60C12</stp>
        <tr r="L60" s="1"/>
      </tp>
      <tp t="s">
        <v>#N/A Requesting Data...</v>
        <stp/>
        <stp>##V3_BDHV12</stp>
        <stp>CL2 Comdty</stp>
        <stp>RSI_9D</stp>
        <stp>24/02/2017</stp>
        <stp>24/02/2017</stp>
        <stp>[Bbg_Market_Data_CL.xlsm]data!R33C12</stp>
        <tr r="L33" s="1"/>
      </tp>
      <tp t="s">
        <v>#N/A Requesting Data...</v>
        <stp/>
        <stp>##V3_BDHV12</stp>
        <stp>CL1 Comdty</stp>
        <stp>RSI_9D</stp>
        <stp>27/02/2017</stp>
        <stp>27/02/2017</stp>
        <stp>[Bbg_Market_Data_CL.xlsm]data!R32C12</stp>
        <tr r="L32" s="1"/>
      </tp>
      <tp t="s">
        <v>#N/A Requesting Data...</v>
        <stp/>
        <stp>##V3_BDHV12</stp>
        <stp>CL2 Comdty</stp>
        <stp>RSI_9D</stp>
        <stp>30/04/2015</stp>
        <stp>30/04/2015</stp>
        <stp>[Bbg_Market_Data_CL.xlsm]data!R486C12</stp>
        <tr r="L486" s="1"/>
      </tp>
      <tp t="s">
        <v>#N/A Requesting Data...</v>
        <stp/>
        <stp>##V3_BDHV12</stp>
        <stp>CL1 Comdty</stp>
        <stp>RSI_9D</stp>
        <stp>05/02/2016</stp>
        <stp>05/02/2016</stp>
        <stp>[Bbg_Market_Data_CL.xlsm]data!R294C12</stp>
        <tr r="L294" s="1"/>
      </tp>
      <tp t="s">
        <v>#N/A Requesting Data...</v>
        <stp/>
        <stp>##V3_BDHV12</stp>
        <stp>CL2 Comdty</stp>
        <stp>RSI_9D</stp>
        <stp>26/10/2016</stp>
        <stp>26/10/2016</stp>
        <stp>[Bbg_Market_Data_CL.xlsm]data!R114C12</stp>
        <tr r="L114" s="1"/>
      </tp>
      <tp t="s">
        <v>#N/A Requesting Data...</v>
        <stp/>
        <stp>##V3_BDHV12</stp>
        <stp>CL2 Comdty</stp>
        <stp>RSI_9D</stp>
        <stp>14/01/2016</stp>
        <stp>14/01/2016</stp>
        <stp>[Bbg_Market_Data_CL.xlsm]data!R309C12</stp>
        <tr r="L309" s="1"/>
      </tp>
      <tp t="s">
        <v>#N/A Requesting Data...</v>
        <stp/>
        <stp>##V3_BDHV12</stp>
        <stp>CL1 Comdty</stp>
        <stp>RSI_9D</stp>
        <stp>30/07/2015</stp>
        <stp>30/07/2015</stp>
        <stp>[Bbg_Market_Data_CL.xlsm]data!R423C12</stp>
        <tr r="L423" s="1"/>
      </tp>
      <tp t="s">
        <v>#N/A Requesting Data...</v>
        <stp/>
        <stp>##V3_BDHV12</stp>
        <stp>CL1 Comdty</stp>
        <stp>RSI_9D</stp>
        <stp>17/12/2015</stp>
        <stp>17/12/2015</stp>
        <stp>[Bbg_Market_Data_CL.xlsm]data!R327C12</stp>
        <tr r="L327" s="1"/>
      </tp>
      <tp t="s">
        <v>#N/A Requesting Data...</v>
        <stp/>
        <stp>##V3_BDHV12</stp>
        <stp>CL1 Comdty</stp>
        <stp>RSI_9D</stp>
        <stp>27/11/2015</stp>
        <stp>27/11/2015</stp>
        <stp>[Bbg_Market_Data_CL.xlsm]data!R341C12</stp>
        <tr r="L341" s="1"/>
      </tp>
      <tp t="s">
        <v>#N/A Requesting Data...</v>
        <stp/>
        <stp>##V3_BDHV12</stp>
        <stp>CL2 Comdty</stp>
        <stp>RSI_9D</stp>
        <stp>10/06/2015</stp>
        <stp>10/06/2015</stp>
        <stp>[Bbg_Market_Data_CL.xlsm]data!R458C12</stp>
        <tr r="L458" s="1"/>
      </tp>
      <tp t="s">
        <v>#N/A Requesting Data...</v>
        <stp/>
        <stp>##V3_BDHV12</stp>
        <stp>CL2 Comdty</stp>
        <stp>RSI_9D</stp>
        <stp>17/11/2015</stp>
        <stp>17/11/2015</stp>
        <stp>[Bbg_Market_Data_CL.xlsm]data!R348C12</stp>
        <tr r="L348" s="1"/>
      </tp>
      <tp t="s">
        <v>#N/A Requesting Data...</v>
        <stp/>
        <stp>##V3_BDHV12</stp>
        <stp>CL2 Comdty</stp>
        <stp>RSI_9D</stp>
        <stp>07/10/2015</stp>
        <stp>07/10/2015</stp>
        <stp>[Bbg_Market_Data_CL.xlsm]data!R375C12</stp>
        <tr r="L375" s="1"/>
      </tp>
      <tp t="s">
        <v>#N/A Requesting Data...</v>
        <stp/>
        <stp>##V3_BDHV12</stp>
        <stp>CL1 Comdty</stp>
        <stp>RSI_9D</stp>
        <stp>15/03/2016</stp>
        <stp>15/03/2016</stp>
        <stp>[Bbg_Market_Data_CL.xlsm]data!R269C12</stp>
        <tr r="L269" s="1"/>
      </tp>
      <tp t="s">
        <v>#N/A Requesting Data...</v>
        <stp/>
        <stp>##V3_BDHV12</stp>
        <stp>CL2 Comdty</stp>
        <stp>RSI_9D</stp>
        <stp>20/05/2015</stp>
        <stp>20/05/2015</stp>
        <stp>[Bbg_Market_Data_CL.xlsm]data!R472C12</stp>
        <tr r="L472" s="1"/>
      </tp>
      <tp t="s">
        <v>#N/A Requesting Data...</v>
        <stp/>
        <stp>##V3_BDHV12</stp>
        <stp>CL2 Comdty</stp>
        <stp>RSI_9D</stp>
        <stp>17/01/2017</stp>
        <stp>17/01/2017</stp>
        <stp>[Bbg_Market_Data_CL.xlsm]data!R60C12</stp>
        <tr r="L60" s="1"/>
      </tp>
      <tp t="s">
        <v>#N/A Requesting Data...</v>
        <stp/>
        <stp>##V3_BDHV12</stp>
        <stp>CL1 Comdty</stp>
        <stp>RSI_9D</stp>
        <stp>24/02/2017</stp>
        <stp>24/02/2017</stp>
        <stp>[Bbg_Market_Data_CL.xlsm]data!R33C12</stp>
        <tr r="L33" s="1"/>
      </tp>
      <tp t="s">
        <v>#N/A Requesting Data...</v>
        <stp/>
        <stp>##V3_BDHV12</stp>
        <stp>CL2 Comdty</stp>
        <stp>RSI_9D</stp>
        <stp>27/02/2017</stp>
        <stp>27/02/2017</stp>
        <stp>[Bbg_Market_Data_CL.xlsm]data!R32C12</stp>
        <tr r="L32" s="1"/>
      </tp>
      <tp t="s">
        <v>#N/A Requesting Data...</v>
        <stp/>
        <stp>##V3_BDHV12</stp>
        <stp>CL1 Comdty</stp>
        <stp>RSI_9D</stp>
        <stp>01/05/2015</stp>
        <stp>01/05/2015</stp>
        <stp>[Bbg_Market_Data_CL.xlsm]data!R485C12</stp>
        <tr r="L485" s="1"/>
      </tp>
      <tp t="s">
        <v>#N/A Requesting Data...</v>
        <stp/>
        <stp>##V3_BDHV12</stp>
        <stp>CL2 Comdty</stp>
        <stp>RSI_9D</stp>
        <stp>24/02/2016</stp>
        <stp>24/02/2016</stp>
        <stp>[Bbg_Market_Data_CL.xlsm]data!R283C12</stp>
        <tr r="L283" s="1"/>
      </tp>
      <tp t="s">
        <v>#N/A Requesting Data...</v>
        <stp/>
        <stp>##V3_BDHV12</stp>
        <stp>CL2 Comdty</stp>
        <stp>RSI_9D</stp>
        <stp>21/04/2015</stp>
        <stp>21/04/2015</stp>
        <stp>[Bbg_Market_Data_CL.xlsm]data!R493C12</stp>
        <tr r="L493" s="1"/>
      </tp>
      <tp t="s">
        <v>#N/A Requesting Data...</v>
        <stp/>
        <stp>##V3_BDHV12</stp>
        <stp>CL2 Comdty</stp>
        <stp>RSI_9D</stp>
        <stp>05/01/2016</stp>
        <stp>05/01/2016</stp>
        <stp>[Bbg_Market_Data_CL.xlsm]data!R316C12</stp>
        <tr r="L316" s="1"/>
      </tp>
      <tp t="s">
        <v>#N/A Requesting Data...</v>
        <stp/>
        <stp>##V3_BDHV12</stp>
        <stp>CL1 Comdty</stp>
        <stp>RSI_9D</stp>
        <stp>21/07/2015</stp>
        <stp>21/07/2015</stp>
        <stp>[Bbg_Market_Data_CL.xlsm]data!R430C12</stp>
        <tr r="L430" s="1"/>
      </tp>
      <tp t="s">
        <v>#N/A Requesting Data...</v>
        <stp/>
        <stp>##V3_BDHV12</stp>
        <stp>CL1 Comdty</stp>
        <stp>RSI_9D</stp>
        <stp>07/10/2016</stp>
        <stp>07/10/2016</stp>
        <stp>[Bbg_Market_Data_CL.xlsm]data!R126C12</stp>
        <tr r="L126" s="1"/>
      </tp>
      <tp t="s">
        <v>#N/A Requesting Data...</v>
        <stp/>
        <stp>##V3_BDHV12</stp>
        <stp>CL2 Comdty</stp>
        <stp>RSI_9D</stp>
        <stp>06/11/2015</stp>
        <stp>06/11/2015</stp>
        <stp>[Bbg_Market_Data_CL.xlsm]data!R354C12</stp>
        <tr r="L354" s="1"/>
      </tp>
      <tp t="s">
        <v>#N/A Requesting Data...</v>
        <stp/>
        <stp>##V3_BDHV12</stp>
        <stp>CL2 Comdty</stp>
        <stp>RSI_9D</stp>
        <stp>01/06/2015</stp>
        <stp>01/06/2015</stp>
        <stp>[Bbg_Market_Data_CL.xlsm]data!R465C12</stp>
        <tr r="L465" s="1"/>
      </tp>
      <tp t="s">
        <v>#N/A Requesting Data...</v>
        <stp/>
        <stp>##V3_BDHV12</stp>
        <stp>CL1 Comdty</stp>
        <stp>RSI_9D</stp>
        <stp>04/03/2016</stp>
        <stp>04/03/2016</stp>
        <stp>[Bbg_Market_Data_CL.xlsm]data!R276C12</stp>
        <tr r="L276" s="1"/>
      </tp>
      <tp t="s">
        <v>#N/A Requesting Data...</v>
        <stp/>
        <stp>##V3_BDHV12</stp>
        <stp>CL1 Comdty</stp>
        <stp>RSI_9D</stp>
        <stp>26/10/2015</stp>
        <stp>26/10/2015</stp>
        <stp>[Bbg_Market_Data_CL.xlsm]data!R363C12</stp>
        <tr r="L363" s="1"/>
      </tp>
      <tp t="s">
        <v>#N/A Requesting Data...</v>
        <stp/>
        <stp>##V3_BDHV12</stp>
        <stp>CL2 Comdty</stp>
        <stp>RSI_9D</stp>
        <stp>16/10/2015</stp>
        <stp>16/10/2015</stp>
        <stp>[Bbg_Market_Data_CL.xlsm]data!R369C12</stp>
        <tr r="L369" s="1"/>
      </tp>
      <tp t="s">
        <v>#N/A Requesting Data...</v>
        <stp/>
        <stp>##V3_BDHV12</stp>
        <stp>CL2 Comdty</stp>
        <stp>RSI_9D</stp>
        <stp>19/01/2017</stp>
        <stp>19/01/2017</stp>
        <stp>[Bbg_Market_Data_CL.xlsm]data!R58C12</stp>
        <tr r="L58" s="1"/>
      </tp>
      <tp t="s">
        <v>#N/A Requesting Data...</v>
        <stp/>
        <stp>##V3_BDHV12</stp>
        <stp>CL2 Comdty</stp>
        <stp>RSI_9D</stp>
        <stp>28/02/2017</stp>
        <stp>28/02/2017</stp>
        <stp>[Bbg_Market_Data_CL.xlsm]data!R31C12</stp>
        <tr r="L31" s="1"/>
      </tp>
      <tp t="s">
        <v>#N/A Requesting Data...</v>
        <stp/>
        <stp>##V3_BDHV12</stp>
        <stp>CL2 Comdty</stp>
        <stp>RSI_9D</stp>
        <stp>18/01/2017</stp>
        <stp>18/01/2017</stp>
        <stp>[Bbg_Market_Data_CL.xlsm]data!R59C12</stp>
        <tr r="L59" s="1"/>
      </tp>
      <tp t="s">
        <v>#N/A Requesting Data...</v>
        <stp/>
        <stp>##V3_BDHV12</stp>
        <stp>CL1 Comdty</stp>
        <stp>RSI_9D</stp>
        <stp>28/02/2017</stp>
        <stp>28/02/2017</stp>
        <stp>[Bbg_Market_Data_CL.xlsm]data!R31C12</stp>
        <tr r="L31" s="1"/>
      </tp>
      <tp t="s">
        <v>#N/A Requesting Data...</v>
        <stp/>
        <stp>##V3_BDHV12</stp>
        <stp>CL1 Comdty</stp>
        <stp>RSI_9D</stp>
        <stp>18/01/2017</stp>
        <stp>18/01/2017</stp>
        <stp>[Bbg_Market_Data_CL.xlsm]data!R59C12</stp>
        <tr r="L59" s="1"/>
      </tp>
      <tp t="s">
        <v>#N/A Requesting Data...</v>
        <stp/>
        <stp>##V3_BDHV12</stp>
        <stp>CL1 Comdty</stp>
        <stp>RSI_9D</stp>
        <stp>19/01/2017</stp>
        <stp>19/01/2017</stp>
        <stp>[Bbg_Market_Data_CL.xlsm]data!R58C12</stp>
        <tr r="L58" s="1"/>
      </tp>
      <tp t="s">
        <v>#N/A Requesting Data...</v>
        <stp/>
        <stp>##V3_BDHV12</stp>
        <stp>CL1 Comdty</stp>
        <stp>30DAY_IMPVOL_110.0%MNY_DF</stp>
        <stp>24/08/2015</stp>
        <stp>24/08/2015</stp>
        <stp>[Bbg_Market_Data_CL.xlsm]data!R405C22</stp>
        <tr r="V405" s="1"/>
      </tp>
      <tp t="s">
        <v>#N/A Requesting Data...</v>
        <stp/>
        <stp>##V3_BDHV12</stp>
        <stp>CL1 Comdty</stp>
        <stp>30DAY_IMPVOL_105.0%MNY_DF</stp>
        <stp>04/08/2016</stp>
        <stp>04/08/2016</stp>
        <stp>[Bbg_Market_Data_CL.xlsm]data!R169C19</stp>
        <tr r="S169" s="1"/>
      </tp>
      <tp t="s">
        <v>#N/A Requesting Data...</v>
        <stp/>
        <stp>##V3_BDHV12</stp>
        <stp>CL1 Comdty</stp>
        <stp>30DAY_IMPVOL_105.0%MNY_DF</stp>
        <stp>14/09/2016</stp>
        <stp>14/09/2016</stp>
        <stp>[Bbg_Market_Data_CL.xlsm]data!R142C19</stp>
        <tr r="S142" s="1"/>
      </tp>
      <tp t="s">
        <v>#N/A Requesting Data...</v>
        <stp/>
        <stp>##V3_BDHV12</stp>
        <stp>CL1 Comdty</stp>
        <stp>30DAY_IMPVOL_100.0%MNY_DF</stp>
        <stp>25/08/2015</stp>
        <stp>25/08/2015</stp>
        <stp>[Bbg_Market_Data_CL.xlsm]data!R404C20</stp>
        <tr r="T404" s="1"/>
      </tp>
      <tp t="s">
        <v>#N/A Requesting Data...</v>
        <stp/>
        <stp>##V3_BDHV12</stp>
        <stp>CL1 Comdty</stp>
        <stp>30DAY_IMPVOL_105.0%MNY_DF</stp>
        <stp>24/09/2015</stp>
        <stp>24/09/2015</stp>
        <stp>[Bbg_Market_Data_CL.xlsm]data!R383C19</stp>
        <tr r="S383" s="1"/>
      </tp>
      <tp t="s">
        <v>#N/A Requesting Data...</v>
        <stp/>
        <stp>##V3_BDHV12</stp>
        <stp>CL1 Comdty</stp>
        <stp>30DAY_IMPVOL_105.0%MNY_DF</stp>
        <stp>15/08/2016</stp>
        <stp>15/08/2016</stp>
        <stp>[Bbg_Market_Data_CL.xlsm]data!R163C19</stp>
        <tr r="S163" s="1"/>
      </tp>
      <tp t="s">
        <v>#N/A Requesting Data...</v>
        <stp/>
        <stp>##V3_BDHV12</stp>
        <stp>CL1 Comdty</stp>
        <stp>30DAY_IMPVOL_110.0%MNY_DF</stp>
        <stp>06/08/2015</stp>
        <stp>06/08/2015</stp>
        <stp>[Bbg_Market_Data_CL.xlsm]data!R417C22</stp>
        <tr r="V417" s="1"/>
      </tp>
      <tp t="s">
        <v>#N/A Requesting Data...</v>
        <stp/>
        <stp>##V3_BDHV12</stp>
        <stp>CL1 Comdty</stp>
        <stp>30DAY_IMPVOL_105.0%MNY_DF</stp>
        <stp>17/09/2015</stp>
        <stp>17/09/2015</stp>
        <stp>[Bbg_Market_Data_CL.xlsm]data!R388C19</stp>
        <tr r="S388" s="1"/>
      </tp>
      <tp t="s">
        <v>#N/A Requesting Data...</v>
        <stp/>
        <stp>##V3_BDHV12</stp>
        <stp>CL1 Comdty</stp>
        <stp>30DAY_IMPVOL_105.0%MNY_DF</stp>
        <stp>26/08/2016</stp>
        <stp>26/08/2016</stp>
        <stp>[Bbg_Market_Data_CL.xlsm]data!R154C19</stp>
        <tr r="S154" s="1"/>
      </tp>
      <tp t="s">
        <v>#N/A Requesting Data...</v>
        <stp/>
        <stp>##V3_BDHV12</stp>
        <stp>CL1 Comdty</stp>
        <stp>30DAY_IMPVOL_110.0%MNY_DF</stp>
        <stp>17/08/2015</stp>
        <stp>17/08/2015</stp>
        <stp>[Bbg_Market_Data_CL.xlsm]data!R410C22</stp>
        <tr r="V410" s="1"/>
      </tp>
      <tp t="s">
        <v>#N/A Requesting Data...</v>
        <stp/>
        <stp>##V3_BDHV12</stp>
        <stp>CL1 Comdty</stp>
        <stp>30DAY_IMPVOL_100.0%MNY_DF</stp>
        <stp>07/08/2015</stp>
        <stp>07/08/2015</stp>
        <stp>[Bbg_Market_Data_CL.xlsm]data!R416C20</stp>
        <tr r="T416" s="1"/>
      </tp>
      <tp t="s">
        <v>#N/A Requesting Data...</v>
        <stp/>
        <stp>##V3_BDHV12</stp>
        <stp>CL1 Comdty</stp>
        <stp>30DAY_IMPVOL_105.0%MNY_DF</stp>
        <stp>27/09/2016</stp>
        <stp>27/09/2016</stp>
        <stp>[Bbg_Market_Data_CL.xlsm]data!R133C19</stp>
        <tr r="S133" s="1"/>
      </tp>
      <tp t="s">
        <v>#N/A Requesting Data...</v>
        <stp/>
        <stp>##V3_BDHV12</stp>
        <stp>CL1 Comdty</stp>
        <stp>30DAY_IMPVOL_110.0%MNY_DF</stp>
        <stp>26/09/2016</stp>
        <stp>26/09/2016</stp>
        <stp>[Bbg_Market_Data_CL.xlsm]data!R134C22</stp>
        <tr r="V134" s="1"/>
      </tp>
      <tp t="s">
        <v>#N/A Requesting Data...</v>
        <stp/>
        <stp>##V3_BDHV12</stp>
        <stp>CL1 Comdty</stp>
        <stp>30DAY_IMPVOL_100.0%MNY_DF</stp>
        <stp>26/08/2016</stp>
        <stp>26/08/2016</stp>
        <stp>[Bbg_Market_Data_CL.xlsm]data!R154C20</stp>
        <tr r="T154" s="1"/>
      </tp>
      <tp t="s">
        <v>#N/A Requesting Data...</v>
        <stp/>
        <stp>##V3_BDHV12</stp>
        <stp>CL1 Comdty</stp>
        <stp>30DAY_IMPVOL_100.0%MNY_DF</stp>
        <stp>17/09/2015</stp>
        <stp>17/09/2015</stp>
        <stp>[Bbg_Market_Data_CL.xlsm]data!R388C20</stp>
        <tr r="T388" s="1"/>
      </tp>
      <tp t="s">
        <v>#N/A Requesting Data...</v>
        <stp/>
        <stp>##V3_BDHV12</stp>
        <stp>CL1 Comdty</stp>
        <stp>30DAY_IMPVOL_100.0%MNY_DF</stp>
        <stp>27/09/2016</stp>
        <stp>27/09/2016</stp>
        <stp>[Bbg_Market_Data_CL.xlsm]data!R133C20</stp>
        <tr r="T133" s="1"/>
      </tp>
      <tp t="s">
        <v>#N/A Requesting Data...</v>
        <stp/>
        <stp>##V3_BDHV12</stp>
        <stp>CL1 Comdty</stp>
        <stp>30DAY_IMPVOL_110.0%MNY_DF</stp>
        <stp>16/09/2015</stp>
        <stp>16/09/2015</stp>
        <stp>[Bbg_Market_Data_CL.xlsm]data!R389C22</stp>
        <tr r="V389" s="1"/>
      </tp>
      <tp t="s">
        <v>#N/A Requesting Data...</v>
        <stp/>
        <stp>##V3_BDHV12</stp>
        <stp>CL1 Comdty</stp>
        <stp>30DAY_IMPVOL_105.0%MNY_DF</stp>
        <stp>07/08/2015</stp>
        <stp>07/08/2015</stp>
        <stp>[Bbg_Market_Data_CL.xlsm]data!R416C19</stp>
        <tr r="S416" s="1"/>
      </tp>
      <tp t="s">
        <v>#N/A Requesting Data...</v>
        <stp/>
        <stp>##V3_BDHV12</stp>
        <stp>CL1 Comdty</stp>
        <stp>30DAY_IMPVOL_100.0%MNY_DF</stp>
        <stp>04/08/2016</stp>
        <stp>04/08/2016</stp>
        <stp>[Bbg_Market_Data_CL.xlsm]data!R169C20</stp>
        <tr r="T169" s="1"/>
      </tp>
      <tp t="s">
        <v>#N/A Requesting Data...</v>
        <stp/>
        <stp>##V3_BDHV12</stp>
        <stp>CL1 Comdty</stp>
        <stp>30DAY_IMPVOL_100.0%MNY_DF</stp>
        <stp>14/09/2016</stp>
        <stp>14/09/2016</stp>
        <stp>[Bbg_Market_Data_CL.xlsm]data!R142C20</stp>
        <tr r="T142" s="1"/>
      </tp>
      <tp t="s">
        <v>#N/A Requesting Data...</v>
        <stp/>
        <stp>##V3_BDHV12</stp>
        <stp>CL1 Comdty</stp>
        <stp>30DAY_IMPVOL_110.0%MNY_DF</stp>
        <stp>25/09/2015</stp>
        <stp>25/09/2015</stp>
        <stp>[Bbg_Market_Data_CL.xlsm]data!R382C22</stp>
        <tr r="V382" s="1"/>
      </tp>
      <tp t="s">
        <v>#N/A Requesting Data...</v>
        <stp/>
        <stp>##V3_BDHV12</stp>
        <stp>CL1 Comdty</stp>
        <stp>30DAY_IMPVOL_110.0%MNY_DF</stp>
        <stp>15/09/2016</stp>
        <stp>15/09/2016</stp>
        <stp>[Bbg_Market_Data_CL.xlsm]data!R141C22</stp>
        <tr r="V141" s="1"/>
      </tp>
      <tp t="s">
        <v>#N/A Requesting Data...</v>
        <stp/>
        <stp>##V3_BDHV12</stp>
        <stp>CL1 Comdty</stp>
        <stp>30DAY_IMPVOL_100.0%MNY_DF</stp>
        <stp>15/08/2016</stp>
        <stp>15/08/2016</stp>
        <stp>[Bbg_Market_Data_CL.xlsm]data!R163C20</stp>
        <tr r="T163" s="1"/>
      </tp>
      <tp t="s">
        <v>#N/A Requesting Data...</v>
        <stp/>
        <stp>##V3_BDHV12</stp>
        <stp>CL1 Comdty</stp>
        <stp>30DAY_IMPVOL_110.0%MNY_DF</stp>
        <stp>05/08/2016</stp>
        <stp>05/08/2016</stp>
        <stp>[Bbg_Market_Data_CL.xlsm]data!R168C22</stp>
        <tr r="V168" s="1"/>
      </tp>
      <tp t="s">
        <v>#N/A Requesting Data...</v>
        <stp/>
        <stp>##V3_BDHV12</stp>
        <stp>CL1 Comdty</stp>
        <stp>30DAY_IMPVOL_100.0%MNY_DF</stp>
        <stp>24/09/2015</stp>
        <stp>24/09/2015</stp>
        <stp>[Bbg_Market_Data_CL.xlsm]data!R383C20</stp>
        <tr r="T383" s="1"/>
      </tp>
      <tp t="s">
        <v>#N/A Requesting Data...</v>
        <stp/>
        <stp>##V3_BDHV12</stp>
        <stp>CL1 Comdty</stp>
        <stp>30DAY_IMPVOL_105.0%MNY_DF</stp>
        <stp>25/08/2015</stp>
        <stp>25/08/2015</stp>
        <stp>[Bbg_Market_Data_CL.xlsm]data!R404C19</stp>
        <tr r="S404" s="1"/>
      </tp>
      <tp t="s">
        <v>#N/A Requesting Data...</v>
        <stp/>
        <stp>##V3_BDHV12</stp>
        <stp>CL1 Comdty</stp>
        <stp>30DAY_IMPVOL_100.0%MNY_DF</stp>
        <stp>09/05/2016</stp>
        <stp>09/05/2016</stp>
        <stp>[Bbg_Market_Data_CL.xlsm]data!R230C20</stp>
        <tr r="T230" s="1"/>
      </tp>
      <tp t="s">
        <v>#N/A Requesting Data...</v>
        <stp/>
        <stp>##V3_BDHV12</stp>
        <stp>CL1 Comdty</stp>
        <stp>30DAY_IMPVOL_110.0%MNY_DF</stp>
        <stp>19/05/2016</stp>
        <stp>19/05/2016</stp>
        <stp>[Bbg_Market_Data_CL.xlsm]data!R222C22</stp>
        <tr r="V222" s="1"/>
      </tp>
      <tp t="s">
        <v>#N/A Requesting Data...</v>
        <stp/>
        <stp>##V3_BDHV12</stp>
        <stp>CL1 Comdty</stp>
        <stp>30DAY_IMPVOL_100.0%MNY_DF</stp>
        <stp>19/04/2016</stp>
        <stp>19/04/2016</stp>
        <stp>[Bbg_Market_Data_CL.xlsm]data!R244C20</stp>
        <tr r="T244" s="1"/>
      </tp>
      <tp t="s">
        <v>#N/A Requesting Data...</v>
        <stp/>
        <stp>##V3_BDHV12</stp>
        <stp>CL1 Comdty</stp>
        <stp>30DAY_IMPVOL_100.0%MNY_DF</stp>
        <stp>18/05/2016</stp>
        <stp>18/05/2016</stp>
        <stp>[Bbg_Market_Data_CL.xlsm]data!R223C20</stp>
        <tr r="T223" s="1"/>
      </tp>
      <tp t="s">
        <v>#N/A Requesting Data...</v>
        <stp/>
        <stp>##V3_BDHV12</stp>
        <stp>CL1 Comdty</stp>
        <stp>30DAY_IMPVOL_110.0%MNY_DF</stp>
        <stp>18/04/2016</stp>
        <stp>18/04/2016</stp>
        <stp>[Bbg_Market_Data_CL.xlsm]data!R245C22</stp>
        <tr r="V245" s="1"/>
      </tp>
      <tp t="s">
        <v>#N/A Requesting Data...</v>
        <stp/>
        <stp>##V3_BDHV12</stp>
        <stp>CL1 Comdty</stp>
        <stp>30DAY_IMPVOL_100.0%MNY_DF</stp>
        <stp>08/04/2016</stp>
        <stp>08/04/2016</stp>
        <stp>[Bbg_Market_Data_CL.xlsm]data!R251C20</stp>
        <tr r="T251" s="1"/>
      </tp>
      <tp t="s">
        <v>#N/A Requesting Data...</v>
        <stp/>
        <stp>##V3_BDHV12</stp>
        <stp>CL1 Comdty</stp>
        <stp>30DAY_IMPVOL_110.0%MNY_DF</stp>
        <stp>28/07/2016</stp>
        <stp>28/07/2016</stp>
        <stp>[Bbg_Market_Data_CL.xlsm]data!R174C22</stp>
        <tr r="V174" s="1"/>
      </tp>
      <tp t="s">
        <v>#N/A Requesting Data...</v>
        <stp/>
        <stp>##V3_BDHV12</stp>
        <stp>CL1 Comdty</stp>
        <stp>30DAY_IMPVOL_105.0%MNY_DF</stp>
        <stp>08/07/2015</stp>
        <stp>08/07/2015</stp>
        <stp>[Bbg_Market_Data_CL.xlsm]data!R438C19</stp>
        <tr r="S438" s="1"/>
      </tp>
      <tp t="s">
        <v>#N/A Requesting Data...</v>
        <stp/>
        <stp>##V3_BDHV12</stp>
        <stp>CL1 Comdty</stp>
        <stp>30DAY_IMPVOL_100.0%MNY_DF</stp>
        <stp>28/06/2016</stp>
        <stp>28/06/2016</stp>
        <stp>[Bbg_Market_Data_CL.xlsm]data!R195C20</stp>
        <tr r="T195" s="1"/>
      </tp>
      <tp t="s">
        <v>#N/A Requesting Data...</v>
        <stp/>
        <stp>##V3_BDHV12</stp>
        <stp>CL1 Comdty</stp>
        <stp>30DAY_IMPVOL_105.0%MNY_DF</stp>
        <stp>28/05/2015</stp>
        <stp>28/05/2015</stp>
        <stp>[Bbg_Market_Data_CL.xlsm]data!R466C19</stp>
        <tr r="S466" s="1"/>
      </tp>
      <tp t="s">
        <v>#N/A Requesting Data...</v>
        <stp/>
        <stp>##V3_BDHV12</stp>
        <stp>CL1 Comdty</stp>
        <stp>30DAY_IMPVOL_105.0%MNY_DF</stp>
        <stp>18/06/2015</stp>
        <stp>18/06/2015</stp>
        <stp>[Bbg_Market_Data_CL.xlsm]data!R451C19</stp>
        <tr r="S451" s="1"/>
      </tp>
      <tp t="s">
        <v>#N/A Requesting Data...</v>
        <stp/>
        <stp>##V3_BDHV12</stp>
        <stp>CL1 Comdty</stp>
        <stp>30DAY_IMPVOL_105.0%MNY_DF</stp>
        <stp>29/04/2015</stp>
        <stp>29/04/2015</stp>
        <stp>[Bbg_Market_Data_CL.xlsm]data!R486C19</stp>
        <tr r="S486" s="1"/>
      </tp>
      <tp t="s">
        <v>#N/A Requesting Data...</v>
        <stp/>
        <stp>##V3_BDHV12</stp>
        <stp>CL1 Comdty</stp>
        <stp>30DAY_IMPVOL_100.0%MNY_DF</stp>
        <stp>29/07/2016</stp>
        <stp>29/07/2016</stp>
        <stp>[Bbg_Market_Data_CL.xlsm]data!R173C20</stp>
        <tr r="T173" s="1"/>
      </tp>
      <tp t="s">
        <v>#N/A Requesting Data...</v>
        <stp/>
        <stp>##V3_BDHV12</stp>
        <stp>CL1 Comdty</stp>
        <stp>30DAY_IMPVOL_110.0%MNY_DF</stp>
        <stp>29/06/2016</stp>
        <stp>29/06/2016</stp>
        <stp>[Bbg_Market_Data_CL.xlsm]data!R194C22</stp>
        <tr r="V194" s="1"/>
      </tp>
      <tp t="s">
        <v>#N/A Requesting Data...</v>
        <stp/>
        <stp>##V3_BDHV12</stp>
        <stp>CL1 Comdty</stp>
        <stp>30DAY_IMPVOL_105.0%MNY_DF</stp>
        <stp>09/06/2015</stp>
        <stp>09/06/2015</stp>
        <stp>[Bbg_Market_Data_CL.xlsm]data!R458C19</stp>
        <tr r="S458" s="1"/>
      </tp>
      <tp t="s">
        <v>#N/A Requesting Data...</v>
        <stp/>
        <stp>##V3_BDHV12</stp>
        <stp>CL1 Comdty</stp>
        <stp>30DAY_IMPVOL_100.0%MNY_DF</stp>
        <stp>08/07/2015</stp>
        <stp>08/07/2015</stp>
        <stp>[Bbg_Market_Data_CL.xlsm]data!R438C20</stp>
        <tr r="T438" s="1"/>
      </tp>
      <tp t="s">
        <v>#N/A Requesting Data...</v>
        <stp/>
        <stp>##V3_BDHV12</stp>
        <stp>CL1 Comdty</stp>
        <stp>30DAY_IMPVOL_105.0%MNY_DF</stp>
        <stp>28/06/2016</stp>
        <stp>28/06/2016</stp>
        <stp>[Bbg_Market_Data_CL.xlsm]data!R195C19</stp>
        <tr r="S195" s="1"/>
      </tp>
      <tp t="s">
        <v>#N/A Requesting Data...</v>
        <stp/>
        <stp>##V3_BDHV12</stp>
        <stp>CL1 Comdty</stp>
        <stp>30DAY_IMPVOL_100.0%MNY_DF</stp>
        <stp>28/05/2015</stp>
        <stp>28/05/2015</stp>
        <stp>[Bbg_Market_Data_CL.xlsm]data!R466C20</stp>
        <tr r="T466" s="1"/>
      </tp>
      <tp t="s">
        <v>#N/A Requesting Data...</v>
        <stp/>
        <stp>##V3_BDHV12</stp>
        <stp>CL1 Comdty</stp>
        <stp>30DAY_IMPVOL_110.0%MNY_DF</stp>
        <stp>08/06/2015</stp>
        <stp>08/06/2015</stp>
        <stp>[Bbg_Market_Data_CL.xlsm]data!R459C22</stp>
        <tr r="V459" s="1"/>
      </tp>
      <tp t="s">
        <v>#N/A Requesting Data...</v>
        <stp/>
        <stp>##V3_BDHV12</stp>
        <stp>CL1 Comdty</stp>
        <stp>30DAY_IMPVOL_100.0%MNY_DF</stp>
        <stp>18/06/2015</stp>
        <stp>18/06/2015</stp>
        <stp>[Bbg_Market_Data_CL.xlsm]data!R451C20</stp>
        <tr r="T451" s="1"/>
      </tp>
      <tp t="s">
        <v>#N/A Requesting Data...</v>
        <stp/>
        <stp>##V3_BDHV12</stp>
        <stp>CL1 Comdty</stp>
        <stp>30DAY_IMPVOL_110.0%MNY_DF</stp>
        <stp>28/04/2015</stp>
        <stp>28/04/2015</stp>
        <stp>[Bbg_Market_Data_CL.xlsm]data!R487C22</stp>
        <tr r="V487" s="1"/>
      </tp>
      <tp t="s">
        <v>#N/A Requesting Data...</v>
        <stp/>
        <stp>##V3_BDHV12</stp>
        <stp>CL1 Comdty</stp>
        <stp>30DAY_IMPVOL_110.0%MNY_DF</stp>
        <stp>09/07/2015</stp>
        <stp>09/07/2015</stp>
        <stp>[Bbg_Market_Data_CL.xlsm]data!R437C22</stp>
        <tr r="V437" s="1"/>
      </tp>
      <tp t="s">
        <v>#N/A Requesting Data...</v>
        <stp/>
        <stp>##V3_BDHV12</stp>
        <stp>CL1 Comdty</stp>
        <stp>30DAY_IMPVOL_110.0%MNY_DF</stp>
        <stp>19/06/2015</stp>
        <stp>19/06/2015</stp>
        <stp>[Bbg_Market_Data_CL.xlsm]data!R450C22</stp>
        <tr r="V450" s="1"/>
      </tp>
      <tp t="s">
        <v>#N/A Requesting Data...</v>
        <stp/>
        <stp>##V3_BDHV12</stp>
        <stp>CL1 Comdty</stp>
        <stp>30DAY_IMPVOL_110.0%MNY_DF</stp>
        <stp>29/05/2015</stp>
        <stp>29/05/2015</stp>
        <stp>[Bbg_Market_Data_CL.xlsm]data!R465C22</stp>
        <tr r="V465" s="1"/>
      </tp>
      <tp t="s">
        <v>#N/A Requesting Data...</v>
        <stp/>
        <stp>##V3_BDHV12</stp>
        <stp>CL1 Comdty</stp>
        <stp>30DAY_IMPVOL_100.0%MNY_DF</stp>
        <stp>09/06/2015</stp>
        <stp>09/06/2015</stp>
        <stp>[Bbg_Market_Data_CL.xlsm]data!R458C20</stp>
        <tr r="T458" s="1"/>
      </tp>
      <tp t="s">
        <v>#N/A Requesting Data...</v>
        <stp/>
        <stp>##V3_BDHV12</stp>
        <stp>CL1 Comdty</stp>
        <stp>30DAY_IMPVOL_100.0%MNY_DF</stp>
        <stp>29/04/2015</stp>
        <stp>29/04/2015</stp>
        <stp>[Bbg_Market_Data_CL.xlsm]data!R486C20</stp>
        <tr r="T486" s="1"/>
      </tp>
      <tp t="s">
        <v>#N/A Requesting Data...</v>
        <stp/>
        <stp>##V3_BDHV12</stp>
        <stp>CL1 Comdty</stp>
        <stp>30DAY_IMPVOL_105.0%MNY_DF</stp>
        <stp>29/07/2016</stp>
        <stp>29/07/2016</stp>
        <stp>[Bbg_Market_Data_CL.xlsm]data!R173C19</stp>
        <tr r="S173" s="1"/>
      </tp>
      <tp t="s">
        <v>#N/A Requesting Data...</v>
        <stp/>
        <stp>##V3_BDHV12</stp>
        <stp>CL1 Comdty</stp>
        <stp>30DAY_IMPVOL_105.0%MNY_DF</stp>
        <stp>09/05/2016</stp>
        <stp>09/05/2016</stp>
        <stp>[Bbg_Market_Data_CL.xlsm]data!R230C19</stp>
        <tr r="S230" s="1"/>
      </tp>
      <tp t="s">
        <v>#N/A Requesting Data...</v>
        <stp/>
        <stp>##V3_BDHV12</stp>
        <stp>CL1 Comdty</stp>
        <stp>30DAY_IMPVOL_105.0%MNY_DF</stp>
        <stp>19/04/2016</stp>
        <stp>19/04/2016</stp>
        <stp>[Bbg_Market_Data_CL.xlsm]data!R244C19</stp>
        <tr r="S244" s="1"/>
      </tp>
      <tp t="s">
        <v>#N/A Requesting Data...</v>
        <stp/>
        <stp>##V3_BDHV12</stp>
        <stp>CL1 Comdty</stp>
        <stp>30DAY_IMPVOL_105.0%MNY_DF</stp>
        <stp>18/05/2016</stp>
        <stp>18/05/2016</stp>
        <stp>[Bbg_Market_Data_CL.xlsm]data!R223C19</stp>
        <tr r="S223" s="1"/>
      </tp>
      <tp t="s">
        <v>#N/A Requesting Data...</v>
        <stp/>
        <stp>##V3_BDHV12</stp>
        <stp>CL1 Comdty</stp>
        <stp>30DAY_IMPVOL_105.0%MNY_DF</stp>
        <stp>08/04/2016</stp>
        <stp>08/04/2016</stp>
        <stp>[Bbg_Market_Data_CL.xlsm]data!R251C19</stp>
        <tr r="S251" s="1"/>
      </tp>
      <tp t="s">
        <v>#N/A Requesting Data...</v>
        <stp/>
        <stp>##V3_BDHV12</stp>
        <stp>CL2 Comdty</stp>
        <stp>VOLUME_TOTAL_PUT</stp>
        <stp>30/11/2016</stp>
        <stp>30/11/2016</stp>
        <stp>[Bbg_Market_Data_CL.xlsm]data!R91C16</stp>
        <tr r="P91" s="1"/>
      </tp>
      <tp t="s">
        <v>#N/A Requesting Data...</v>
        <stp/>
        <stp>##V3_BDHV12</stp>
        <stp>CL1 Comdty</stp>
        <stp>VOLUME_TOTAL_PUT</stp>
        <stp>30/11/2016</stp>
        <stp>30/11/2016</stp>
        <stp>[Bbg_Market_Data_CL.xlsm]data!R91C16</stp>
        <tr r="P91" s="1"/>
      </tp>
      <tp t="s">
        <v>#N/A Requesting Data...</v>
        <stp/>
        <stp>##V3_BDHV12</stp>
        <stp>CL1 Comdty</stp>
        <stp>VOLUME_TOTAL_PUT</stp>
        <stp>10/02/2017</stp>
        <stp>10/02/2017</stp>
        <stp>[Bbg_Market_Data_CL.xlsm]data!R42C16</stp>
        <tr r="P42" s="1"/>
      </tp>
      <tp t="s">
        <v>#N/A Requesting Data...</v>
        <stp/>
        <stp>##V3_BDHV12</stp>
        <stp>CL2 Comdty</stp>
        <stp>VOLUME_TOTAL_PUT</stp>
        <stp>10/02/2017</stp>
        <stp>10/02/2017</stp>
        <stp>[Bbg_Market_Data_CL.xlsm]data!R42C16</stp>
        <tr r="P42" s="1"/>
      </tp>
      <tp t="s">
        <v>#N/A Requesting Data...</v>
        <stp/>
        <stp>##V3_BDHV12</stp>
        <stp>CL1 Comdty</stp>
        <stp>VOLUME_TOTAL_PUT</stp>
        <stp>20/01/2017</stp>
        <stp>20/01/2017</stp>
        <stp>[Bbg_Market_Data_CL.xlsm]data!R57C16</stp>
        <tr r="P57" s="1"/>
      </tp>
      <tp t="s">
        <v>#N/A Requesting Data...</v>
        <stp/>
        <stp>##V3_BDHV12</stp>
        <stp>CL2 Comdty</stp>
        <stp>VOLUME_TOTAL_PUT</stp>
        <stp>20/01/2017</stp>
        <stp>20/01/2017</stp>
        <stp>[Bbg_Market_Data_CL.xlsm]data!R57C16</stp>
        <tr r="P57" s="1"/>
      </tp>
      <tp t="s">
        <v>#N/A Requesting Data...</v>
        <stp/>
        <stp>##V3_BDHV12</stp>
        <stp>CL2 Comdty</stp>
        <stp>VOLUME_TOTAL_PUT</stp>
        <stp>01/12/2016</stp>
        <stp>01/12/2016</stp>
        <stp>[Bbg_Market_Data_CL.xlsm]data!R90C16</stp>
        <tr r="P90" s="1"/>
      </tp>
      <tp t="s">
        <v>#N/A Requesting Data...</v>
        <stp/>
        <stp>##V3_BDHV12</stp>
        <stp>CL1 Comdty</stp>
        <stp>VOLUME_TOTAL_PUT</stp>
        <stp>01/12/2016</stp>
        <stp>01/12/2016</stp>
        <stp>[Bbg_Market_Data_CL.xlsm]data!R90C16</stp>
        <tr r="P90" s="1"/>
      </tp>
      <tp t="s">
        <v>#N/A Requesting Data...</v>
        <stp/>
        <stp>##V3_BDHV12</stp>
        <stp>CL2 Comdty</stp>
        <stp>VOLUME_TOTAL_PUT</stp>
        <stp>01/03/2017</stp>
        <stp>01/03/2017</stp>
        <stp>[Bbg_Market_Data_CL.xlsm]data!R30C16</stp>
        <tr r="P30" s="1"/>
      </tp>
      <tp t="s">
        <v>#N/A Requesting Data...</v>
        <stp/>
        <stp>##V3_BDHV12</stp>
        <stp>CL1 Comdty</stp>
        <stp>VOLUME_TOTAL_PUT</stp>
        <stp>01/03/2017</stp>
        <stp>01/03/2017</stp>
        <stp>[Bbg_Market_Data_CL.xlsm]data!R30C16</stp>
        <tr r="P30" s="1"/>
      </tp>
      <tp t="s">
        <v>#N/A Requesting Data...</v>
        <stp/>
        <stp>##V3_BDHV12</stp>
        <stp>CL2 Comdty</stp>
        <stp>VOLUME_TOTAL_PUT</stp>
        <stp>02/12/2016</stp>
        <stp>02/12/2016</stp>
        <stp>[Bbg_Market_Data_CL.xlsm]data!R89C16</stp>
        <tr r="P89" s="1"/>
      </tp>
      <tp t="s">
        <v>#N/A Requesting Data...</v>
        <stp/>
        <stp>##V3_BDHV12</stp>
        <stp>CL1 Comdty</stp>
        <stp>VOLUME_TOTAL_PUT</stp>
        <stp>02/12/2016</stp>
        <stp>02/12/2016</stp>
        <stp>[Bbg_Market_Data_CL.xlsm]data!R89C16</stp>
        <tr r="P89" s="1"/>
      </tp>
      <tp t="s">
        <v>#N/A Requesting Data...</v>
        <stp/>
        <stp>##V3_BDHV12</stp>
        <stp>CL2 Comdty</stp>
        <stp>VOLUME_TOTAL_PUT</stp>
        <stp>02/03/2017</stp>
        <stp>02/03/2017</stp>
        <stp>[Bbg_Market_Data_CL.xlsm]data!R29C16</stp>
        <tr r="P29" s="1"/>
      </tp>
      <tp t="s">
        <v>#N/A Requesting Data...</v>
        <stp/>
        <stp>##V3_BDHV12</stp>
        <stp>CL1 Comdty</stp>
        <stp>VOLUME_TOTAL_PUT</stp>
        <stp>02/03/2017</stp>
        <stp>02/03/2017</stp>
        <stp>[Bbg_Market_Data_CL.xlsm]data!R29C16</stp>
        <tr r="P29" s="1"/>
      </tp>
      <tp t="s">
        <v>#N/A Requesting Data...</v>
        <stp/>
        <stp>##V3_BDHV12</stp>
        <stp>CL2 Comdty</stp>
        <stp>VOLUME_TOTAL_PUT</stp>
        <stp>03/03/2017</stp>
        <stp>03/03/2017</stp>
        <stp>[Bbg_Market_Data_CL.xlsm]data!R28C16</stp>
        <tr r="P28" s="1"/>
      </tp>
      <tp t="s">
        <v>#N/A Requesting Data...</v>
        <stp/>
        <stp>##V3_BDHV12</stp>
        <stp>CL1 Comdty</stp>
        <stp>VOLUME_TOTAL_PUT</stp>
        <stp>03/03/2017</stp>
        <stp>03/03/2017</stp>
        <stp>[Bbg_Market_Data_CL.xlsm]data!R28C16</stp>
        <tr r="P28" s="1"/>
      </tp>
      <tp t="s">
        <v>#N/A Requesting Data...</v>
        <stp/>
        <stp>##V3_BDHV12</stp>
        <stp>CL1 Comdty</stp>
        <stp>VOLUME_TOTAL_PUT</stp>
        <stp>23/01/2017</stp>
        <stp>23/01/2017</stp>
        <stp>[Bbg_Market_Data_CL.xlsm]data!R56C16</stp>
        <tr r="P56" s="1"/>
      </tp>
      <tp t="s">
        <v>#N/A Requesting Data...</v>
        <stp/>
        <stp>##V3_BDHV12</stp>
        <stp>CL2 Comdty</stp>
        <stp>VOLUME_TOTAL_PUT</stp>
        <stp>23/01/2017</stp>
        <stp>23/01/2017</stp>
        <stp>[Bbg_Market_Data_CL.xlsm]data!R56C16</stp>
        <tr r="P56" s="1"/>
      </tp>
      <tp t="s">
        <v>#N/A Requesting Data...</v>
        <stp/>
        <stp>##V3_BDHV12</stp>
        <stp>CL2 Comdty</stp>
        <stp>VOLUME_TOTAL_PUT</stp>
        <stp>13/02/2017</stp>
        <stp>13/02/2017</stp>
        <stp>[Bbg_Market_Data_CL.xlsm]data!R41C16</stp>
        <tr r="P41" s="1"/>
      </tp>
      <tp t="s">
        <v>#N/A Requesting Data...</v>
        <stp/>
        <stp>##V3_BDHV12</stp>
        <stp>CL1 Comdty</stp>
        <stp>VOLUME_TOTAL_PUT</stp>
        <stp>13/02/2017</stp>
        <stp>13/02/2017</stp>
        <stp>[Bbg_Market_Data_CL.xlsm]data!R41C16</stp>
        <tr r="P41" s="1"/>
      </tp>
      <tp t="s">
        <v>#N/A Requesting Data...</v>
        <stp/>
        <stp>##V3_BDHV12</stp>
        <stp>CL2 Comdty</stp>
        <stp>VOLUME_TOTAL_PUT</stp>
        <stp>14/02/2017</stp>
        <stp>14/02/2017</stp>
        <stp>[Bbg_Market_Data_CL.xlsm]data!R40C16</stp>
        <tr r="P40" s="1"/>
      </tp>
      <tp t="s">
        <v>#N/A Requesting Data...</v>
        <stp/>
        <stp>##V3_BDHV12</stp>
        <stp>CL1 Comdty</stp>
        <stp>VOLUME_TOTAL_PUT</stp>
        <stp>14/02/2017</stp>
        <stp>14/02/2017</stp>
        <stp>[Bbg_Market_Data_CL.xlsm]data!R40C16</stp>
        <tr r="P40" s="1"/>
      </tp>
      <tp t="s">
        <v>#N/A Requesting Data...</v>
        <stp/>
        <stp>##V3_BDHV12</stp>
        <stp>CL2 Comdty</stp>
        <stp>VOLUME_TOTAL_PUT</stp>
        <stp>24/01/2017</stp>
        <stp>24/01/2017</stp>
        <stp>[Bbg_Market_Data_CL.xlsm]data!R55C16</stp>
        <tr r="P55" s="1"/>
      </tp>
      <tp t="s">
        <v>#N/A Requesting Data...</v>
        <stp/>
        <stp>##V3_BDHV12</stp>
        <stp>CL1 Comdty</stp>
        <stp>VOLUME_TOTAL_PUT</stp>
        <stp>24/01/2017</stp>
        <stp>24/01/2017</stp>
        <stp>[Bbg_Market_Data_CL.xlsm]data!R55C16</stp>
        <tr r="P55" s="1"/>
      </tp>
      <tp t="s">
        <v>#N/A Requesting Data...</v>
        <stp/>
        <stp>##V3_BDHV12</stp>
        <stp>CL2 Comdty</stp>
        <stp>VOLUME_TOTAL_PUT</stp>
        <stp>05/12/2016</stp>
        <stp>05/12/2016</stp>
        <stp>[Bbg_Market_Data_CL.xlsm]data!R88C16</stp>
        <tr r="P88" s="1"/>
      </tp>
      <tp t="s">
        <v>#N/A Requesting Data...</v>
        <stp/>
        <stp>##V3_BDHV12</stp>
        <stp>CL1 Comdty</stp>
        <stp>VOLUME_TOTAL_PUT</stp>
        <stp>05/12/2016</stp>
        <stp>05/12/2016</stp>
        <stp>[Bbg_Market_Data_CL.xlsm]data!R88C16</stp>
        <tr r="P88" s="1"/>
      </tp>
      <tp t="s">
        <v>#N/A Requesting Data...</v>
        <stp/>
        <stp>##V3_BDHV12</stp>
        <stp>CL2 Comdty</stp>
        <stp>VOLUME_TOTAL_PUT</stp>
        <stp>25/01/2017</stp>
        <stp>25/01/2017</stp>
        <stp>[Bbg_Market_Data_CL.xlsm]data!R54C16</stp>
        <tr r="P54" s="1"/>
      </tp>
      <tp t="s">
        <v>#N/A Requesting Data...</v>
        <stp/>
        <stp>##V3_BDHV12</stp>
        <stp>CL1 Comdty</stp>
        <stp>VOLUME_TOTAL_PUT</stp>
        <stp>25/01/2017</stp>
        <stp>25/01/2017</stp>
        <stp>[Bbg_Market_Data_CL.xlsm]data!R54C16</stp>
        <tr r="P54" s="1"/>
      </tp>
      <tp t="s">
        <v>#N/A Requesting Data...</v>
        <stp/>
        <stp>##V3_BDHV12</stp>
        <stp>CL2 Comdty</stp>
        <stp>VOLUME_TOTAL_PUT</stp>
        <stp>15/02/2017</stp>
        <stp>15/02/2017</stp>
        <stp>[Bbg_Market_Data_CL.xlsm]data!R39C16</stp>
        <tr r="P39" s="1"/>
      </tp>
      <tp t="s">
        <v>#N/A Requesting Data...</v>
        <stp/>
        <stp>##V3_BDHV12</stp>
        <stp>CL1 Comdty</stp>
        <stp>VOLUME_TOTAL_PUT</stp>
        <stp>15/02/2017</stp>
        <stp>15/02/2017</stp>
        <stp>[Bbg_Market_Data_CL.xlsm]data!R39C16</stp>
        <tr r="P39" s="1"/>
      </tp>
      <tp t="s">
        <v>#N/A Requesting Data...</v>
        <stp/>
        <stp>##V3_BDHV12</stp>
        <stp>CL1 Comdty</stp>
        <stp>VOLUME_TOTAL_PUT</stp>
        <stp>06/12/2016</stp>
        <stp>06/12/2016</stp>
        <stp>[Bbg_Market_Data_CL.xlsm]data!R87C16</stp>
        <tr r="P87" s="1"/>
      </tp>
      <tp t="s">
        <v>#N/A Requesting Data...</v>
        <stp/>
        <stp>##V3_BDHV12</stp>
        <stp>CL2 Comdty</stp>
        <stp>VOLUME_TOTAL_PUT</stp>
        <stp>06/12/2016</stp>
        <stp>06/12/2016</stp>
        <stp>[Bbg_Market_Data_CL.xlsm]data!R87C16</stp>
        <tr r="P87" s="1"/>
      </tp>
      <tp t="s">
        <v>#N/A Requesting Data...</v>
        <stp/>
        <stp>##V3_BDHV12</stp>
        <stp>CL1 Comdty</stp>
        <stp>VOLUME_TOTAL_PUT</stp>
        <stp>26/01/2017</stp>
        <stp>26/01/2017</stp>
        <stp>[Bbg_Market_Data_CL.xlsm]data!R53C16</stp>
        <tr r="P53" s="1"/>
      </tp>
      <tp t="s">
        <v>#N/A Requesting Data...</v>
        <stp/>
        <stp>##V3_BDHV12</stp>
        <stp>CL2 Comdty</stp>
        <stp>VOLUME_TOTAL_PUT</stp>
        <stp>26/01/2017</stp>
        <stp>26/01/2017</stp>
        <stp>[Bbg_Market_Data_CL.xlsm]data!R53C16</stp>
        <tr r="P53" s="1"/>
      </tp>
      <tp t="s">
        <v>#N/A Requesting Data...</v>
        <stp/>
        <stp>##V3_BDHV12</stp>
        <stp>CL1 Comdty</stp>
        <stp>VOLUME_TOTAL_PUT</stp>
        <stp>06/03/2017</stp>
        <stp>06/03/2017</stp>
        <stp>[Bbg_Market_Data_CL.xlsm]data!R27C16</stp>
        <tr r="P27" s="1"/>
      </tp>
      <tp t="s">
        <v>#N/A Requesting Data...</v>
        <stp/>
        <stp>##V3_BDHV12</stp>
        <stp>CL2 Comdty</stp>
        <stp>VOLUME_TOTAL_PUT</stp>
        <stp>06/03/2017</stp>
        <stp>06/03/2017</stp>
        <stp>[Bbg_Market_Data_CL.xlsm]data!R27C16</stp>
        <tr r="P27" s="1"/>
      </tp>
      <tp t="s">
        <v>#N/A Requesting Data...</v>
        <stp/>
        <stp>##V3_BDHV12</stp>
        <stp>CL2 Comdty</stp>
        <stp>VOLUME_TOTAL_PUT</stp>
        <stp>16/02/2017</stp>
        <stp>16/02/2017</stp>
        <stp>[Bbg_Market_Data_CL.xlsm]data!R38C16</stp>
        <tr r="P38" s="1"/>
      </tp>
      <tp t="s">
        <v>#N/A Requesting Data...</v>
        <stp/>
        <stp>##V3_BDHV12</stp>
        <stp>CL1 Comdty</stp>
        <stp>VOLUME_TOTAL_PUT</stp>
        <stp>16/02/2017</stp>
        <stp>16/02/2017</stp>
        <stp>[Bbg_Market_Data_CL.xlsm]data!R38C16</stp>
        <tr r="P38" s="1"/>
      </tp>
      <tp t="s">
        <v>#N/A Requesting Data...</v>
        <stp/>
        <stp>##V3_BDHV12</stp>
        <stp>CL1 Comdty</stp>
        <stp>VOLUME_TOTAL_PUT</stp>
        <stp>07/12/2016</stp>
        <stp>07/12/2016</stp>
        <stp>[Bbg_Market_Data_CL.xlsm]data!R86C16</stp>
        <tr r="P86" s="1"/>
      </tp>
      <tp t="s">
        <v>#N/A Requesting Data...</v>
        <stp/>
        <stp>##V3_BDHV12</stp>
        <stp>CL2 Comdty</stp>
        <stp>VOLUME_TOTAL_PUT</stp>
        <stp>07/12/2016</stp>
        <stp>07/12/2016</stp>
        <stp>[Bbg_Market_Data_CL.xlsm]data!R86C16</stp>
        <tr r="P86" s="1"/>
      </tp>
      <tp t="s">
        <v>#N/A Requesting Data...</v>
        <stp/>
        <stp>##V3_BDHV12</stp>
        <stp>CL1 Comdty</stp>
        <stp>VOLUME_TOTAL_PUT</stp>
        <stp>27/01/2017</stp>
        <stp>27/01/2017</stp>
        <stp>[Bbg_Market_Data_CL.xlsm]data!R52C16</stp>
        <tr r="P52" s="1"/>
      </tp>
      <tp t="s">
        <v>#N/A Requesting Data...</v>
        <stp/>
        <stp>##V3_BDHV12</stp>
        <stp>CL2 Comdty</stp>
        <stp>VOLUME_TOTAL_PUT</stp>
        <stp>27/01/2017</stp>
        <stp>27/01/2017</stp>
        <stp>[Bbg_Market_Data_CL.xlsm]data!R52C16</stp>
        <tr r="P52" s="1"/>
      </tp>
      <tp t="s">
        <v>#N/A Requesting Data...</v>
        <stp/>
        <stp>##V3_BDHV12</stp>
        <stp>CL1 Comdty</stp>
        <stp>VOLUME_TOTAL_PUT</stp>
        <stp>17/02/2017</stp>
        <stp>17/02/2017</stp>
        <stp>[Bbg_Market_Data_CL.xlsm]data!R37C16</stp>
        <tr r="P37" s="1"/>
      </tp>
      <tp t="s">
        <v>#N/A Requesting Data...</v>
        <stp/>
        <stp>##V3_BDHV12</stp>
        <stp>CL2 Comdty</stp>
        <stp>VOLUME_TOTAL_PUT</stp>
        <stp>17/02/2017</stp>
        <stp>17/02/2017</stp>
        <stp>[Bbg_Market_Data_CL.xlsm]data!R37C16</stp>
        <tr r="P37" s="1"/>
      </tp>
      <tp t="s">
        <v>#N/A Requesting Data...</v>
        <stp/>
        <stp>##V3_BDHV12</stp>
        <stp>CL1 Comdty</stp>
        <stp>VOLUME_TOTAL_PUT</stp>
        <stp>07/03/2017</stp>
        <stp>07/03/2017</stp>
        <stp>[Bbg_Market_Data_CL.xlsm]data!R26C16</stp>
        <tr r="P26" s="1"/>
      </tp>
      <tp t="s">
        <v>#N/A Requesting Data...</v>
        <stp/>
        <stp>##V3_BDHV12</stp>
        <stp>CL2 Comdty</stp>
        <stp>VOLUME_TOTAL_PUT</stp>
        <stp>07/03/2017</stp>
        <stp>07/03/2017</stp>
        <stp>[Bbg_Market_Data_CL.xlsm]data!R26C16</stp>
        <tr r="P26" s="1"/>
      </tp>
      <tp t="s">
        <v>#N/A Requesting Data...</v>
        <stp/>
        <stp>##V3_BDHV12</stp>
        <stp>CL2 Comdty</stp>
        <stp>VOLUME_TOTAL_PUT</stp>
        <stp>08/03/2017</stp>
        <stp>08/03/2017</stp>
        <stp>[Bbg_Market_Data_CL.xlsm]data!R25C16</stp>
        <tr r="P25" s="1"/>
      </tp>
      <tp t="s">
        <v>#N/A Requesting Data...</v>
        <stp/>
        <stp>##V3_BDHV12</stp>
        <stp>CL1 Comdty</stp>
        <stp>VOLUME_TOTAL_PUT</stp>
        <stp>08/03/2017</stp>
        <stp>08/03/2017</stp>
        <stp>[Bbg_Market_Data_CL.xlsm]data!R25C16</stp>
        <tr r="P25" s="1"/>
      </tp>
      <tp t="s">
        <v>#N/A Requesting Data...</v>
        <stp/>
        <stp>##V3_BDHV12</stp>
        <stp>CL2 Comdty</stp>
        <stp>VOLUME_TOTAL_PUT</stp>
        <stp>08/12/2016</stp>
        <stp>08/12/2016</stp>
        <stp>[Bbg_Market_Data_CL.xlsm]data!R85C16</stp>
        <tr r="P85" s="1"/>
      </tp>
      <tp t="s">
        <v>#N/A Requesting Data...</v>
        <stp/>
        <stp>##V3_BDHV12</stp>
        <stp>CL1 Comdty</stp>
        <stp>VOLUME_TOTAL_PUT</stp>
        <stp>08/12/2016</stp>
        <stp>08/12/2016</stp>
        <stp>[Bbg_Market_Data_CL.xlsm]data!R85C16</stp>
        <tr r="P85" s="1"/>
      </tp>
      <tp t="s">
        <v>#N/A Requesting Data...</v>
        <stp/>
        <stp>##V3_BDHV12</stp>
        <stp>CL2 Comdty</stp>
        <stp>VOLUME_TOTAL_PUT</stp>
        <stp>09/03/2017</stp>
        <stp>09/03/2017</stp>
        <stp>[Bbg_Market_Data_CL.xlsm]data!R24C16</stp>
        <tr r="P24" s="1"/>
      </tp>
      <tp t="s">
        <v>#N/A Requesting Data...</v>
        <stp/>
        <stp>##V3_BDHV12</stp>
        <stp>CL1 Comdty</stp>
        <stp>VOLUME_TOTAL_PUT</stp>
        <stp>09/03/2017</stp>
        <stp>09/03/2017</stp>
        <stp>[Bbg_Market_Data_CL.xlsm]data!R24C16</stp>
        <tr r="P24" s="1"/>
      </tp>
      <tp t="s">
        <v>#N/A Requesting Data...</v>
        <stp/>
        <stp>##V3_BDHV12</stp>
        <stp>CL2 Comdty</stp>
        <stp>VOLUME_TOTAL_PUT</stp>
        <stp>09/12/2016</stp>
        <stp>09/12/2016</stp>
        <stp>[Bbg_Market_Data_CL.xlsm]data!R84C16</stp>
        <tr r="P84" s="1"/>
      </tp>
      <tp t="s">
        <v>#N/A Requesting Data...</v>
        <stp/>
        <stp>##V3_BDHV12</stp>
        <stp>CL1 Comdty</stp>
        <stp>VOLUME_TOTAL_PUT</stp>
        <stp>09/12/2016</stp>
        <stp>09/12/2016</stp>
        <stp>[Bbg_Market_Data_CL.xlsm]data!R84C16</stp>
        <tr r="P84" s="1"/>
      </tp>
      <tp t="s">
        <v>#N/A Requesting Data...</v>
        <stp/>
        <stp>##V3_BDHV12</stp>
        <stp>CL2 Comdty</stp>
        <stp>RSI_9D</stp>
        <stp>20/07/2016</stp>
        <stp>20/07/2016</stp>
        <stp>[Bbg_Market_Data_CL.xlsm]data!R181C12</stp>
        <tr r="L181" s="1"/>
      </tp>
      <tp t="s">
        <v>#N/A Requesting Data...</v>
        <stp/>
        <stp>##V3_BDHV12</stp>
        <stp>CL2 Comdty</stp>
        <stp>RSI_9D</stp>
        <stp>30/06/2016</stp>
        <stp>30/06/2016</stp>
        <stp>[Bbg_Market_Data_CL.xlsm]data!R194C12</stp>
        <tr r="L194" s="1"/>
      </tp>
      <tp t="s">
        <v>#N/A Requesting Data...</v>
        <stp/>
        <stp>##V3_BDHV12</stp>
        <stp>CL2 Comdty</stp>
        <stp>RSI_9D</stp>
        <stp>03/06/2016</stp>
        <stp>03/06/2016</stp>
        <stp>[Bbg_Market_Data_CL.xlsm]data!R213C12</stp>
        <tr r="L213" s="1"/>
      </tp>
      <tp t="s">
        <v>#N/A Requesting Data...</v>
        <stp/>
        <stp>##V3_BDHV12</stp>
        <stp>CL1 Comdty</stp>
        <stp>RSI_9D</stp>
        <stp>03/05/2016</stp>
        <stp>03/05/2016</stp>
        <stp>[Bbg_Market_Data_CL.xlsm]data!R235C12</stp>
        <tr r="L235" s="1"/>
      </tp>
      <tp t="s">
        <v>#N/A Requesting Data...</v>
        <stp/>
        <stp>##V3_BDHV12</stp>
        <stp>CL1 Comdty</stp>
        <stp>RSI_9D</stp>
        <stp>13/04/2016</stp>
        <stp>13/04/2016</stp>
        <stp>[Bbg_Market_Data_CL.xlsm]data!R249C12</stp>
        <tr r="L249" s="1"/>
      </tp>
      <tp t="s">
        <v>#N/A Requesting Data...</v>
        <stp/>
        <stp>##V3_BDHV12</stp>
        <stp>CL1 Comdty</stp>
        <stp>RSI_9D</stp>
        <stp>23/03/2017</stp>
        <stp>23/03/2017</stp>
        <stp>[Bbg_Market_Data_CL.xlsm]data!R14C12</stp>
        <tr r="L14" s="1"/>
      </tp>
      <tp t="s">
        <v>#N/A Requesting Data...</v>
        <stp/>
        <stp>##V3_BDHV12</stp>
        <stp>CL2 Comdty</stp>
        <stp>RSI_9D</stp>
        <stp>20/03/2017</stp>
        <stp>20/03/2017</stp>
        <stp>[Bbg_Market_Data_CL.xlsm]data!R17C12</stp>
        <tr r="L17" s="1"/>
      </tp>
      <tp t="s">
        <v>#N/A Requesting Data...</v>
        <stp/>
        <stp>##V3_BDHV12</stp>
        <stp>CL2 Comdty</stp>
        <stp>RSI_9D</stp>
        <stp>20/12/2016</stp>
        <stp>20/12/2016</stp>
        <stp>[Bbg_Market_Data_CL.xlsm]data!R77C12</stp>
        <tr r="L77" s="1"/>
      </tp>
      <tp t="s">
        <v>#N/A Requesting Data...</v>
        <stp/>
        <stp>##V3_BDHV12</stp>
        <stp>CL1 Comdty</stp>
        <stp>RSI_9D</stp>
        <stp>03/01/2017</stp>
        <stp>03/01/2017</stp>
        <stp>[Bbg_Market_Data_CL.xlsm]data!R69C12</stp>
        <tr r="L69" s="1"/>
      </tp>
      <tp t="s">
        <v>#N/A Requesting Data...</v>
        <stp/>
        <stp>##V3_BDHV12</stp>
        <stp>CL1 Comdty</stp>
        <stp>RSI_9D</stp>
        <stp>23/12/2016</stp>
        <stp>23/12/2016</stp>
        <stp>[Bbg_Market_Data_CL.xlsm]data!R74C12</stp>
        <tr r="L74" s="1"/>
      </tp>
      <tp t="s">
        <v>#N/A Requesting Data...</v>
        <stp/>
        <stp>##V3_BDHV12</stp>
        <stp>CL1 Comdty</stp>
        <stp>RSI_9D</stp>
        <stp>01/07/2016</stp>
        <stp>01/07/2016</stp>
        <stp>[Bbg_Market_Data_CL.xlsm]data!R193C12</stp>
        <tr r="L193" s="1"/>
      </tp>
      <tp t="s">
        <v>#N/A Requesting Data...</v>
        <stp/>
        <stp>##V3_BDHV12</stp>
        <stp>CL1 Comdty</stp>
        <stp>RSI_9D</stp>
        <stp>22/06/2016</stp>
        <stp>22/06/2016</stp>
        <stp>[Bbg_Market_Data_CL.xlsm]data!R200C12</stp>
        <tr r="L200" s="1"/>
      </tp>
      <tp t="s">
        <v>#N/A Requesting Data...</v>
        <stp/>
        <stp>##V3_BDHV12</stp>
        <stp>CL1 Comdty</stp>
        <stp>RSI_9D</stp>
        <stp>12/05/2016</stp>
        <stp>12/05/2016</stp>
        <stp>[Bbg_Market_Data_CL.xlsm]data!R228C12</stp>
        <tr r="L228" s="1"/>
      </tp>
      <tp t="s">
        <v>#N/A Requesting Data...</v>
        <stp/>
        <stp>##V3_BDHV12</stp>
        <stp>CL1 Comdty</stp>
        <stp>RSI_9D</stp>
        <stp>22/03/2017</stp>
        <stp>22/03/2017</stp>
        <stp>[Bbg_Market_Data_CL.xlsm]data!R15C12</stp>
        <tr r="L15" s="1"/>
      </tp>
      <tp t="s">
        <v>#N/A Requesting Data...</v>
        <stp/>
        <stp>##V3_BDHV12</stp>
        <stp>CL2 Comdty</stp>
        <stp>RSI_9D</stp>
        <stp>21/03/2017</stp>
        <stp>21/03/2017</stp>
        <stp>[Bbg_Market_Data_CL.xlsm]data!R16C12</stp>
        <tr r="L16" s="1"/>
      </tp>
      <tp t="s">
        <v>#N/A Requesting Data...</v>
        <stp/>
        <stp>##V3_BDHV12</stp>
        <stp>CL2 Comdty</stp>
        <stp>RSI_9D</stp>
        <stp>21/12/2016</stp>
        <stp>21/12/2016</stp>
        <stp>[Bbg_Market_Data_CL.xlsm]data!R76C12</stp>
        <tr r="L76" s="1"/>
      </tp>
      <tp t="s">
        <v>#N/A Requesting Data...</v>
        <stp/>
        <stp>##V3_BDHV12</stp>
        <stp>CL1 Comdty</stp>
        <stp>RSI_9D</stp>
        <stp>22/12/2016</stp>
        <stp>22/12/2016</stp>
        <stp>[Bbg_Market_Data_CL.xlsm]data!R75C12</stp>
        <tr r="L75" s="1"/>
      </tp>
      <tp t="s">
        <v>#N/A Requesting Data...</v>
        <stp/>
        <stp>##V3_BDHV12</stp>
        <stp>CL2 Comdty</stp>
        <stp>RSI_9D</stp>
        <stp>21/06/2016</stp>
        <stp>21/06/2016</stp>
        <stp>[Bbg_Market_Data_CL.xlsm]data!R201C12</stp>
        <tr r="L201" s="1"/>
      </tp>
      <tp t="s">
        <v>#N/A Requesting Data...</v>
        <stp/>
        <stp>##V3_BDHV12</stp>
        <stp>CL2 Comdty</stp>
        <stp>RSI_9D</stp>
        <stp>11/05/2016</stp>
        <stp>11/05/2016</stp>
        <stp>[Bbg_Market_Data_CL.xlsm]data!R229C12</stp>
        <tr r="L229" s="1"/>
      </tp>
      <tp t="s">
        <v>#N/A Requesting Data...</v>
        <stp/>
        <stp>##V3_BDHV12</stp>
        <stp>CL2 Comdty</stp>
        <stp>RSI_9D</stp>
        <stp>01/04/2016</stp>
        <stp>01/04/2016</stp>
        <stp>[Bbg_Market_Data_CL.xlsm]data!R257C12</stp>
        <tr r="L257" s="1"/>
      </tp>
      <tp t="s">
        <v>#N/A Requesting Data...</v>
        <stp/>
        <stp>##V3_BDHV12</stp>
        <stp>CL2 Comdty</stp>
        <stp>RSI_9D</stp>
        <stp>22/03/2017</stp>
        <stp>22/03/2017</stp>
        <stp>[Bbg_Market_Data_CL.xlsm]data!R15C12</stp>
        <tr r="L15" s="1"/>
      </tp>
      <tp t="s">
        <v>#N/A Requesting Data...</v>
        <stp/>
        <stp>##V3_BDHV12</stp>
        <stp>CL1 Comdty</stp>
        <stp>RSI_9D</stp>
        <stp>21/03/2017</stp>
        <stp>21/03/2017</stp>
        <stp>[Bbg_Market_Data_CL.xlsm]data!R16C12</stp>
        <tr r="L16" s="1"/>
      </tp>
      <tp t="s">
        <v>#N/A Requesting Data...</v>
        <stp/>
        <stp>##V3_BDHV12</stp>
        <stp>CL1 Comdty</stp>
        <stp>RSI_9D</stp>
        <stp>21/12/2016</stp>
        <stp>21/12/2016</stp>
        <stp>[Bbg_Market_Data_CL.xlsm]data!R76C12</stp>
        <tr r="L76" s="1"/>
      </tp>
      <tp t="s">
        <v>#N/A Requesting Data...</v>
        <stp/>
        <stp>##V3_BDHV12</stp>
        <stp>CL2 Comdty</stp>
        <stp>RSI_9D</stp>
        <stp>22/12/2016</stp>
        <stp>22/12/2016</stp>
        <stp>[Bbg_Market_Data_CL.xlsm]data!R75C12</stp>
        <tr r="L75" s="1"/>
      </tp>
      <tp t="s">
        <v>#N/A Requesting Data...</v>
        <stp/>
        <stp>##V3_BDHV12</stp>
        <stp>CL2 Comdty</stp>
        <stp>RSI_9D</stp>
        <stp>13/07/2016</stp>
        <stp>13/07/2016</stp>
        <stp>[Bbg_Market_Data_CL.xlsm]data!R186C12</stp>
        <tr r="L186" s="1"/>
      </tp>
      <tp t="s">
        <v>#N/A Requesting Data...</v>
        <stp/>
        <stp>##V3_BDHV12</stp>
        <stp>CL1 Comdty</stp>
        <stp>RSI_9D</stp>
        <stp>20/04/2016</stp>
        <stp>20/04/2016</stp>
        <stp>[Bbg_Market_Data_CL.xlsm]data!R244C12</stp>
        <tr r="L244" s="1"/>
      </tp>
      <tp t="s">
        <v>#N/A Requesting Data...</v>
        <stp/>
        <stp>##V3_BDHV12</stp>
        <stp>CL2 Comdty</stp>
        <stp>RSI_9D</stp>
        <stp>23/03/2017</stp>
        <stp>23/03/2017</stp>
        <stp>[Bbg_Market_Data_CL.xlsm]data!R14C12</stp>
        <tr r="L14" s="1"/>
      </tp>
      <tp t="s">
        <v>#N/A Requesting Data...</v>
        <stp/>
        <stp>##V3_BDHV12</stp>
        <stp>CL1 Comdty</stp>
        <stp>RSI_9D</stp>
        <stp>20/03/2017</stp>
        <stp>20/03/2017</stp>
        <stp>[Bbg_Market_Data_CL.xlsm]data!R17C12</stp>
        <tr r="L17" s="1"/>
      </tp>
      <tp t="s">
        <v>#N/A Requesting Data...</v>
        <stp/>
        <stp>##V3_BDHV12</stp>
        <stp>CL1 Comdty</stp>
        <stp>RSI_9D</stp>
        <stp>20/12/2016</stp>
        <stp>20/12/2016</stp>
        <stp>[Bbg_Market_Data_CL.xlsm]data!R77C12</stp>
        <tr r="L77" s="1"/>
      </tp>
      <tp t="s">
        <v>#N/A Requesting Data...</v>
        <stp/>
        <stp>##V3_BDHV12</stp>
        <stp>CL2 Comdty</stp>
        <stp>RSI_9D</stp>
        <stp>03/01/2017</stp>
        <stp>03/01/2017</stp>
        <stp>[Bbg_Market_Data_CL.xlsm]data!R69C12</stp>
        <tr r="L69" s="1"/>
      </tp>
      <tp t="s">
        <v>#N/A Requesting Data...</v>
        <stp/>
        <stp>##V3_BDHV12</stp>
        <stp>CL2 Comdty</stp>
        <stp>RSI_9D</stp>
        <stp>23/12/2016</stp>
        <stp>23/12/2016</stp>
        <stp>[Bbg_Market_Data_CL.xlsm]data!R74C12</stp>
        <tr r="L74" s="1"/>
      </tp>
      <tp t="s">
        <v>#N/A Requesting Data...</v>
        <stp/>
        <stp>##V3_BDHV12</stp>
        <stp>CL1 Comdty</stp>
        <stp>RSI_9D</stp>
        <stp>24/10/2016</stp>
        <stp>24/10/2016</stp>
        <stp>[Bbg_Market_Data_CL.xlsm]data!R116C12</stp>
        <tr r="L116" s="1"/>
      </tp>
      <tp t="s">
        <v>#N/A Requesting Data...</v>
        <stp/>
        <stp>##V3_BDHV12</stp>
        <stp>CL2 Comdty</stp>
        <stp>RSI_9D</stp>
        <stp>26/01/2016</stp>
        <stp>26/01/2016</stp>
        <stp>[Bbg_Market_Data_CL.xlsm]data!R302C12</stp>
        <tr r="L302" s="1"/>
      </tp>
      <tp t="s">
        <v>#N/A Requesting Data...</v>
        <stp/>
        <stp>##V3_BDHV12</stp>
        <stp>CL2 Comdty</stp>
        <stp>RSI_9D</stp>
        <stp>04/11/2016</stp>
        <stp>04/11/2016</stp>
        <stp>[Bbg_Market_Data_CL.xlsm]data!R107C12</stp>
        <tr r="L107" s="1"/>
      </tp>
      <tp t="s">
        <v>#N/A Requesting Data...</v>
        <stp/>
        <stp>##V3_BDHV12</stp>
        <stp>CL2 Comdty</stp>
        <stp>RSI_9D</stp>
        <stp>14/10/2016</stp>
        <stp>14/10/2016</stp>
        <stp>[Bbg_Market_Data_CL.xlsm]data!R122C12</stp>
        <tr r="L122" s="1"/>
      </tp>
      <tp t="s">
        <v>#N/A Requesting Data...</v>
        <stp/>
        <stp>##V3_BDHV12</stp>
        <stp>CL2 Comdty</stp>
        <stp>RSI_9D</stp>
        <stp>15/12/2015</stp>
        <stp>15/12/2015</stp>
        <stp>[Bbg_Market_Data_CL.xlsm]data!R329C12</stp>
        <tr r="L329" s="1"/>
      </tp>
      <tp t="s">
        <v>#N/A Requesting Data...</v>
        <stp/>
        <stp>##V3_BDHV12</stp>
        <stp>CL1 Comdty</stp>
        <stp>RSI_9D</stp>
        <stp>02/07/2015</stp>
        <stp>02/07/2015</stp>
        <stp>[Bbg_Market_Data_CL.xlsm]data!R442C12</stp>
        <tr r="L442" s="1"/>
      </tp>
      <tp t="s">
        <v>#N/A Requesting Data...</v>
        <stp/>
        <stp>##V3_BDHV12</stp>
        <stp>CL2 Comdty</stp>
        <stp>RSI_9D</stp>
        <stp>22/06/2015</stp>
        <stp>22/06/2015</stp>
        <stp>[Bbg_Market_Data_CL.xlsm]data!R450C12</stp>
        <tr r="L450" s="1"/>
      </tp>
      <tp t="s">
        <v>#N/A Requesting Data...</v>
        <stp/>
        <stp>##V3_BDHV12</stp>
        <stp>CL1 Comdty</stp>
        <stp>RSI_9D</stp>
        <stp>12/06/2015</stp>
        <stp>12/06/2015</stp>
        <stp>[Bbg_Market_Data_CL.xlsm]data!R456C12</stp>
        <tr r="L456" s="1"/>
      </tp>
      <tp t="s">
        <v>#N/A Requesting Data...</v>
        <stp/>
        <stp>##V3_BDHV12</stp>
        <stp>CL2 Comdty</stp>
        <stp>RSI_9D</stp>
        <stp>25/11/2015</stp>
        <stp>25/11/2015</stp>
        <stp>[Bbg_Market_Data_CL.xlsm]data!R342C12</stp>
        <tr r="L342" s="1"/>
      </tp>
      <tp t="s">
        <v>#N/A Requesting Data...</v>
        <stp/>
        <stp>##V3_BDHV12</stp>
        <stp>CL2 Comdty</stp>
        <stp>RSI_9D</stp>
        <stp>17/03/2016</stp>
        <stp>17/03/2016</stp>
        <stp>[Bbg_Market_Data_CL.xlsm]data!R267C12</stp>
        <tr r="L267" s="1"/>
      </tp>
      <tp t="s">
        <v>#N/A Requesting Data...</v>
        <stp/>
        <stp>##V3_BDHV12</stp>
        <stp>CL1 Comdty</stp>
        <stp>RSI_9D</stp>
        <stp>05/10/2015</stp>
        <stp>05/10/2015</stp>
        <stp>[Bbg_Market_Data_CL.xlsm]data!R377C12</stp>
        <tr r="L377" s="1"/>
      </tp>
      <tp t="s">
        <v>#N/A Requesting Data...</v>
        <stp/>
        <stp>##V3_BDHV12</stp>
        <stp>CL1 Comdty</stp>
        <stp>RSI_9D</stp>
        <stp>22/05/2015</stp>
        <stp>22/05/2015</stp>
        <stp>[Bbg_Market_Data_CL.xlsm]data!R470C12</stp>
        <tr r="L470" s="1"/>
      </tp>
      <tp t="s">
        <v>#N/A Requesting Data...</v>
        <stp/>
        <stp>##V3_BDHV12</stp>
        <stp>CL2 Comdty</stp>
        <stp>RSI_9D</stp>
        <stp>12/05/2015</stp>
        <stp>12/05/2015</stp>
        <stp>[Bbg_Market_Data_CL.xlsm]data!R478C12</stp>
        <tr r="L478" s="1"/>
      </tp>
      <tp t="s">
        <v>#N/A Requesting Data...</v>
        <stp/>
        <stp>##V3_BDHV12</stp>
        <stp>CL2 Comdty</stp>
        <stp>RSI_9D</stp>
        <stp>04/01/2017</stp>
        <stp>04/01/2017</stp>
        <stp>[Bbg_Market_Data_CL.xlsm]data!R68C12</stp>
        <tr r="L68" s="1"/>
      </tp>
      <tp t="s">
        <v>#N/A Requesting Data...</v>
        <stp/>
        <stp>##V3_BDHV12</stp>
        <stp>CL1 Comdty</stp>
        <stp>RSI_9D</stp>
        <stp>27/12/2016</stp>
        <stp>27/12/2016</stp>
        <stp>[Bbg_Market_Data_CL.xlsm]data!R73C12</stp>
        <tr r="L73" s="1"/>
      </tp>
      <tp t="s">
        <v>#N/A Requesting Data...</v>
        <stp/>
        <stp>##V3_BDHV12</stp>
        <stp>CL1 Comdty</stp>
        <stp>RSI_9D</stp>
        <stp>27/03/2017</stp>
        <stp>27/03/2017</stp>
        <stp>[Bbg_Market_Data_CL.xlsm]data!R12C12</stp>
        <tr r="L12" s="1"/>
      </tp>
      <tp t="s">
        <v>#N/A Requesting Data...</v>
        <stp/>
        <stp>##V3_BDHV12</stp>
        <stp>CL2 Comdty</stp>
        <stp>RSI_9D</stp>
        <stp>24/03/2017</stp>
        <stp>24/03/2017</stp>
        <stp>[Bbg_Market_Data_CL.xlsm]data!R13C12</stp>
        <tr r="L13" s="1"/>
      </tp>
      <tp t="s">
        <v>#N/A Requesting Data...</v>
        <stp/>
        <stp>##V3_BDHV12</stp>
        <stp>CL1 Comdty</stp>
        <stp>RSI_9D</stp>
        <stp>17/11/2016</stp>
        <stp>17/11/2016</stp>
        <stp>[Bbg_Market_Data_CL.xlsm]data!R99C12</stp>
        <tr r="L99" s="1"/>
      </tp>
      <tp t="s">
        <v>#N/A Requesting Data...</v>
        <stp/>
        <stp>##V3_BDHV12</stp>
        <stp>CL1 Comdty</stp>
        <stp>RSI_9D</stp>
        <stp>26/02/2016</stp>
        <stp>26/02/2016</stp>
        <stp>[Bbg_Market_Data_CL.xlsm]data!R281C12</stp>
        <tr r="L281" s="1"/>
      </tp>
      <tp t="s">
        <v>#N/A Requesting Data...</v>
        <stp/>
        <stp>##V3_BDHV12</stp>
        <stp>CL1 Comdty</stp>
        <stp>RSI_9D</stp>
        <stp>23/04/2015</stp>
        <stp>23/04/2015</stp>
        <stp>[Bbg_Market_Data_CL.xlsm]data!R491C12</stp>
        <tr r="L491" s="1"/>
      </tp>
      <tp t="s">
        <v>#N/A Requesting Data...</v>
        <stp/>
        <stp>##V3_BDHV12</stp>
        <stp>CL2 Comdty</stp>
        <stp>RSI_9D</stp>
        <stp>13/04/2015</stp>
        <stp>13/04/2015</stp>
        <stp>[Bbg_Market_Data_CL.xlsm]data!R499C12</stp>
        <tr r="L499" s="1"/>
      </tp>
      <tp t="s">
        <v>#N/A Requesting Data...</v>
        <stp/>
        <stp>##V3_BDHV12</stp>
        <stp>CL1 Comdty</stp>
        <stp>RSI_9D</stp>
        <stp>07/01/2016</stp>
        <stp>07/01/2016</stp>
        <stp>[Bbg_Market_Data_CL.xlsm]data!R314C12</stp>
        <tr r="L314" s="1"/>
      </tp>
      <tp t="s">
        <v>#N/A Requesting Data...</v>
        <stp/>
        <stp>##V3_BDHV12</stp>
        <stp>CL2 Comdty</stp>
        <stp>RSI_9D</stp>
        <stp>15/11/2016</stp>
        <stp>15/11/2016</stp>
        <stp>[Bbg_Market_Data_CL.xlsm]data!R101C12</stp>
        <tr r="L101" s="1"/>
      </tp>
      <tp t="s">
        <v>#N/A Requesting Data...</v>
        <stp/>
        <stp>##V3_BDHV12</stp>
        <stp>CL2 Comdty</stp>
        <stp>RSI_9D</stp>
        <stp>04/12/2015</stp>
        <stp>04/12/2015</stp>
        <stp>[Bbg_Market_Data_CL.xlsm]data!R336C12</stp>
        <tr r="L336" s="1"/>
      </tp>
      <tp t="s">
        <v>#N/A Requesting Data...</v>
        <stp/>
        <stp>##V3_BDHV12</stp>
        <stp>CL2 Comdty</stp>
        <stp>RSI_9D</stp>
        <stp>23/07/2015</stp>
        <stp>23/07/2015</stp>
        <stp>[Bbg_Market_Data_CL.xlsm]data!R428C12</stp>
        <tr r="L428" s="1"/>
      </tp>
      <tp t="s">
        <v>#N/A Requesting Data...</v>
        <stp/>
        <stp>##V3_BDHV12</stp>
        <stp>CL1 Comdty</stp>
        <stp>RSI_9D</stp>
        <stp>13/07/2015</stp>
        <stp>13/07/2015</stp>
        <stp>[Bbg_Market_Data_CL.xlsm]data!R436C12</stp>
        <tr r="L436" s="1"/>
      </tp>
      <tp t="s">
        <v>#N/A Requesting Data...</v>
        <stp/>
        <stp>##V3_BDHV12</stp>
        <stp>CL2 Comdty</stp>
        <stp>RSI_9D</stp>
        <stp>05/10/2016</stp>
        <stp>05/10/2016</stp>
        <stp>[Bbg_Market_Data_CL.xlsm]data!R128C12</stp>
        <tr r="L128" s="1"/>
      </tp>
      <tp t="s">
        <v>#N/A Requesting Data...</v>
        <stp/>
        <stp>##V3_BDHV12</stp>
        <stp>CL1 Comdty</stp>
        <stp>RSI_9D</stp>
        <stp>04/11/2015</stp>
        <stp>04/11/2015</stp>
        <stp>[Bbg_Market_Data_CL.xlsm]data!R356C12</stp>
        <tr r="L356" s="1"/>
      </tp>
      <tp t="s">
        <v>#N/A Requesting Data...</v>
        <stp/>
        <stp>##V3_BDHV12</stp>
        <stp>CL1 Comdty</stp>
        <stp>RSI_9D</stp>
        <stp>03/06/2015</stp>
        <stp>03/06/2015</stp>
        <stp>[Bbg_Market_Data_CL.xlsm]data!R463C12</stp>
        <tr r="L463" s="1"/>
      </tp>
      <tp t="s">
        <v>#N/A Requesting Data...</v>
        <stp/>
        <stp>##V3_BDHV12</stp>
        <stp>CL1 Comdty</stp>
        <stp>RSI_9D</stp>
        <stp>14/10/2015</stp>
        <stp>14/10/2015</stp>
        <stp>[Bbg_Market_Data_CL.xlsm]data!R371C12</stp>
        <tr r="L371" s="1"/>
      </tp>
      <tp t="s">
        <v>#N/A Requesting Data...</v>
        <stp/>
        <stp>##V3_BDHV12</stp>
        <stp>CL2 Comdty</stp>
        <stp>RSI_9D</stp>
        <stp>05/01/2017</stp>
        <stp>05/01/2017</stp>
        <stp>[Bbg_Market_Data_CL.xlsm]data!R67C12</stp>
        <tr r="L67" s="1"/>
      </tp>
      <tp t="s">
        <v>#N/A Requesting Data...</v>
        <stp/>
        <stp>##V3_BDHV12</stp>
        <stp>CL1 Comdty</stp>
        <stp>RSI_9D</stp>
        <stp>06/01/2017</stp>
        <stp>06/01/2017</stp>
        <stp>[Bbg_Market_Data_CL.xlsm]data!R66C12</stp>
        <tr r="L66" s="1"/>
      </tp>
      <tp t="s">
        <v>#N/A Requesting Data...</v>
        <stp/>
        <stp>##V3_BDHV12</stp>
        <stp>CL2 Comdty</stp>
        <stp>RSI_9D</stp>
        <stp>25/02/2016</stp>
        <stp>25/02/2016</stp>
        <stp>[Bbg_Market_Data_CL.xlsm]data!R282C12</stp>
        <tr r="L282" s="1"/>
      </tp>
      <tp t="s">
        <v>#N/A Requesting Data...</v>
        <stp/>
        <stp>##V3_BDHV12</stp>
        <stp>CL2 Comdty</stp>
        <stp>RSI_9D</stp>
        <stp>20/04/2015</stp>
        <stp>20/04/2015</stp>
        <stp>[Bbg_Market_Data_CL.xlsm]data!R494C12</stp>
        <tr r="L494" s="1"/>
      </tp>
      <tp t="s">
        <v>#N/A Requesting Data...</v>
        <stp/>
        <stp>##V3_BDHV12</stp>
        <stp>CL2 Comdty</stp>
        <stp>RSI_9D</stp>
        <stp>04/01/2016</stp>
        <stp>04/01/2016</stp>
        <stp>[Bbg_Market_Data_CL.xlsm]data!R317C12</stp>
        <tr r="L317" s="1"/>
      </tp>
      <tp t="s">
        <v>#N/A Requesting Data...</v>
        <stp/>
        <stp>##V3_BDHV12</stp>
        <stp>CL1 Comdty</stp>
        <stp>RSI_9D</stp>
        <stp>16/11/2016</stp>
        <stp>16/11/2016</stp>
        <stp>[Bbg_Market_Data_CL.xlsm]data!R100C12</stp>
        <tr r="L100" s="1"/>
      </tp>
      <tp t="s">
        <v>#N/A Requesting Data...</v>
        <stp/>
        <stp>##V3_BDHV12</stp>
        <stp>CL1 Comdty</stp>
        <stp>RSI_9D</stp>
        <stp>07/12/2015</stp>
        <stp>07/12/2015</stp>
        <stp>[Bbg_Market_Data_CL.xlsm]data!R335C12</stp>
        <tr r="L335" s="1"/>
      </tp>
      <tp t="s">
        <v>#N/A Requesting Data...</v>
        <stp/>
        <stp>##V3_BDHV12</stp>
        <stp>CL1 Comdty</stp>
        <stp>RSI_9D</stp>
        <stp>20/07/2015</stp>
        <stp>20/07/2015</stp>
        <stp>[Bbg_Market_Data_CL.xlsm]data!R431C12</stp>
        <tr r="L431" s="1"/>
      </tp>
      <tp t="s">
        <v>#N/A Requesting Data...</v>
        <stp/>
        <stp>##V3_BDHV12</stp>
        <stp>CL1 Comdty</stp>
        <stp>RSI_9D</stp>
        <stp>06/10/2016</stp>
        <stp>06/10/2016</stp>
        <stp>[Bbg_Market_Data_CL.xlsm]data!R127C12</stp>
        <tr r="L127" s="1"/>
      </tp>
      <tp t="s">
        <v>#N/A Requesting Data...</v>
        <stp/>
        <stp>##V3_BDHV12</stp>
        <stp>CL2 Comdty</stp>
        <stp>RSI_9D</stp>
        <stp>10/07/2015</stp>
        <stp>10/07/2015</stp>
        <stp>[Bbg_Market_Data_CL.xlsm]data!R437C12</stp>
        <tr r="L437" s="1"/>
      </tp>
      <tp t="s">
        <v>#N/A Requesting Data...</v>
        <stp/>
        <stp>##V3_BDHV12</stp>
        <stp>CL1 Comdty</stp>
        <stp>RSI_9D</stp>
        <stp>30/06/2015</stp>
        <stp>30/06/2015</stp>
        <stp>[Bbg_Market_Data_CL.xlsm]data!R444C12</stp>
        <tr r="L444" s="1"/>
      </tp>
      <tp t="s">
        <v>#N/A Requesting Data...</v>
        <stp/>
        <stp>##V3_BDHV12</stp>
        <stp>CL1 Comdty</stp>
        <stp>RSI_9D</stp>
        <stp>27/10/2015</stp>
        <stp>27/10/2015</stp>
        <stp>[Bbg_Market_Data_CL.xlsm]data!R362C12</stp>
        <tr r="L362" s="1"/>
      </tp>
      <tp t="s">
        <v>#N/A Requesting Data...</v>
        <stp/>
        <stp>##V3_BDHV12</stp>
        <stp>CL1 Comdty</stp>
        <stp>RSI_9D</stp>
        <stp>05/01/2017</stp>
        <stp>05/01/2017</stp>
        <stp>[Bbg_Market_Data_CL.xlsm]data!R67C12</stp>
        <tr r="L67" s="1"/>
      </tp>
      <tp t="s">
        <v>#N/A Requesting Data...</v>
        <stp/>
        <stp>##V3_BDHV12</stp>
        <stp>CL2 Comdty</stp>
        <stp>RSI_9D</stp>
        <stp>06/01/2017</stp>
        <stp>06/01/2017</stp>
        <stp>[Bbg_Market_Data_CL.xlsm]data!R66C12</stp>
        <tr r="L66" s="1"/>
      </tp>
      <tp t="s">
        <v>#N/A Requesting Data...</v>
        <stp/>
        <stp>##V3_BDHV12</stp>
        <stp>CL1 Comdty</stp>
        <stp>RSI_9D</stp>
        <stp>04/02/2016</stp>
        <stp>04/02/2016</stp>
        <stp>[Bbg_Market_Data_CL.xlsm]data!R295C12</stp>
        <tr r="L295" s="1"/>
      </tp>
      <tp t="s">
        <v>#N/A Requesting Data...</v>
        <stp/>
        <stp>##V3_BDHV12</stp>
        <stp>CL1 Comdty</stp>
        <stp>RSI_9D</stp>
        <stp>10/04/2015</stp>
        <stp>10/04/2015</stp>
        <stp>[Bbg_Market_Data_CL.xlsm]data!R500C12</stp>
        <tr r="L500" s="1"/>
      </tp>
      <tp t="s">
        <v>#N/A Requesting Data...</v>
        <stp/>
        <stp>##V3_BDHV12</stp>
        <stp>CL1 Comdty</stp>
        <stp>RSI_9D</stp>
        <stp>25/01/2016</stp>
        <stp>25/01/2016</stp>
        <stp>[Bbg_Market_Data_CL.xlsm]data!R303C12</stp>
        <tr r="L303" s="1"/>
      </tp>
      <tp t="s">
        <v>#N/A Requesting Data...</v>
        <stp/>
        <stp>##V3_BDHV12</stp>
        <stp>CL2 Comdty</stp>
        <stp>RSI_9D</stp>
        <stp>27/10/2016</stp>
        <stp>27/10/2016</stp>
        <stp>[Bbg_Market_Data_CL.xlsm]data!R113C12</stp>
        <tr r="L113" s="1"/>
      </tp>
      <tp t="s">
        <v>#N/A Requesting Data...</v>
        <stp/>
        <stp>##V3_BDHV12</stp>
        <stp>CL2 Comdty</stp>
        <stp>RSI_9D</stp>
        <stp>15/01/2016</stp>
        <stp>15/01/2016</stp>
        <stp>[Bbg_Market_Data_CL.xlsm]data!R308C12</stp>
        <tr r="L308" s="1"/>
      </tp>
      <tp t="s">
        <v>#N/A Requesting Data...</v>
        <stp/>
        <stp>##V3_BDHV12</stp>
        <stp>CL1 Comdty</stp>
        <stp>RSI_9D</stp>
        <stp>07/11/2016</stp>
        <stp>07/11/2016</stp>
        <stp>[Bbg_Market_Data_CL.xlsm]data!R106C12</stp>
        <tr r="L106" s="1"/>
      </tp>
      <tp t="s">
        <v>#N/A Requesting Data...</v>
        <stp/>
        <stp>##V3_BDHV12</stp>
        <stp>CL1 Comdty</stp>
        <stp>RSI_9D</stp>
        <stp>31/07/2015</stp>
        <stp>31/07/2015</stp>
        <stp>[Bbg_Market_Data_CL.xlsm]data!R422C12</stp>
        <tr r="L422" s="1"/>
      </tp>
      <tp t="s">
        <v>#N/A Requesting Data...</v>
        <stp/>
        <stp>##V3_BDHV12</stp>
        <stp>CL1 Comdty</stp>
        <stp>RSI_9D</stp>
        <stp>17/10/2016</stp>
        <stp>17/10/2016</stp>
        <stp>[Bbg_Market_Data_CL.xlsm]data!R121C12</stp>
        <tr r="L121" s="1"/>
      </tp>
      <tp t="s">
        <v>#N/A Requesting Data...</v>
        <stp/>
        <stp>##V3_BDHV12</stp>
        <stp>CL1 Comdty</stp>
        <stp>RSI_9D</stp>
        <stp>16/12/2015</stp>
        <stp>16/12/2015</stp>
        <stp>[Bbg_Market_Data_CL.xlsm]data!R328C12</stp>
        <tr r="L328" s="1"/>
      </tp>
      <tp t="s">
        <v>#N/A Requesting Data...</v>
        <stp/>
        <stp>##V3_BDHV12</stp>
        <stp>CL2 Comdty</stp>
        <stp>RSI_9D</stp>
        <stp>01/07/2015</stp>
        <stp>01/07/2015</stp>
        <stp>[Bbg_Market_Data_CL.xlsm]data!R443C12</stp>
        <tr r="L443" s="1"/>
      </tp>
      <tp t="s">
        <v>#N/A Requesting Data...</v>
        <stp/>
        <stp>##V3_BDHV12</stp>
        <stp>CL2 Comdty</stp>
        <stp>RSI_9D</stp>
        <stp>11/06/2015</stp>
        <stp>11/06/2015</stp>
        <stp>[Bbg_Market_Data_CL.xlsm]data!R457C12</stp>
        <tr r="L457" s="1"/>
      </tp>
      <tp t="s">
        <v>#N/A Requesting Data...</v>
        <stp/>
        <stp>##V3_BDHV12</stp>
        <stp>CL2 Comdty</stp>
        <stp>RSI_9D</stp>
        <stp>16/11/2015</stp>
        <stp>16/11/2015</stp>
        <stp>[Bbg_Market_Data_CL.xlsm]data!R349C12</stp>
        <tr r="L349" s="1"/>
      </tp>
      <tp t="s">
        <v>#N/A Requesting Data...</v>
        <stp/>
        <stp>##V3_BDHV12</stp>
        <stp>CL2 Comdty</stp>
        <stp>RSI_9D</stp>
        <stp>06/10/2015</stp>
        <stp>06/10/2015</stp>
        <stp>[Bbg_Market_Data_CL.xlsm]data!R376C12</stp>
        <tr r="L376" s="1"/>
      </tp>
      <tp t="s">
        <v>#N/A Requesting Data...</v>
        <stp/>
        <stp>##V3_BDHV12</stp>
        <stp>CL2 Comdty</stp>
        <stp>RSI_9D</stp>
        <stp>24/03/2016</stp>
        <stp>24/03/2016</stp>
        <stp>[Bbg_Market_Data_CL.xlsm]data!R262C12</stp>
        <tr r="L262" s="1"/>
      </tp>
      <tp t="s">
        <v>#N/A Requesting Data...</v>
        <stp/>
        <stp>##V3_BDHV12</stp>
        <stp>CL2 Comdty</stp>
        <stp>RSI_9D</stp>
        <stp>21/05/2015</stp>
        <stp>21/05/2015</stp>
        <stp>[Bbg_Market_Data_CL.xlsm]data!R471C12</stp>
        <tr r="L471" s="1"/>
      </tp>
      <tp t="s">
        <v>#N/A Requesting Data...</v>
        <stp/>
        <stp>##V3_BDHV12</stp>
        <stp>CL1 Comdty</stp>
        <stp>RSI_9D</stp>
        <stp>14/03/2016</stp>
        <stp>14/03/2016</stp>
        <stp>[Bbg_Market_Data_CL.xlsm]data!R270C12</stp>
        <tr r="L270" s="1"/>
      </tp>
      <tp t="s">
        <v>#N/A Requesting Data...</v>
        <stp/>
        <stp>##V3_BDHV12</stp>
        <stp>CL1 Comdty</stp>
        <stp>RSI_9D</stp>
        <stp>11/05/2015</stp>
        <stp>11/05/2015</stp>
        <stp>[Bbg_Market_Data_CL.xlsm]data!R479C12</stp>
        <tr r="L479" s="1"/>
      </tp>
      <tp t="s">
        <v>#N/A Requesting Data...</v>
        <stp/>
        <stp>##V3_BDHV12</stp>
        <stp>CL1 Comdty</stp>
        <stp>RSI_9D</stp>
        <stp>04/01/2017</stp>
        <stp>04/01/2017</stp>
        <stp>[Bbg_Market_Data_CL.xlsm]data!R68C12</stp>
        <tr r="L68" s="1"/>
      </tp>
      <tp t="s">
        <v>#N/A Requesting Data...</v>
        <stp/>
        <stp>##V3_BDHV12</stp>
        <stp>CL2 Comdty</stp>
        <stp>RSI_9D</stp>
        <stp>27/12/2016</stp>
        <stp>27/12/2016</stp>
        <stp>[Bbg_Market_Data_CL.xlsm]data!R73C12</stp>
        <tr r="L73" s="1"/>
      </tp>
      <tp t="s">
        <v>#N/A Requesting Data...</v>
        <stp/>
        <stp>##V3_BDHV12</stp>
        <stp>CL2 Comdty</stp>
        <stp>RSI_9D</stp>
        <stp>27/03/2017</stp>
        <stp>27/03/2017</stp>
        <stp>[Bbg_Market_Data_CL.xlsm]data!R12C12</stp>
        <tr r="L12" s="1"/>
      </tp>
      <tp t="s">
        <v>#N/A Requesting Data...</v>
        <stp/>
        <stp>##V3_BDHV12</stp>
        <stp>CL1 Comdty</stp>
        <stp>RSI_9D</stp>
        <stp>24/03/2017</stp>
        <stp>24/03/2017</stp>
        <stp>[Bbg_Market_Data_CL.xlsm]data!R13C12</stp>
        <tr r="L13" s="1"/>
      </tp>
      <tp t="s">
        <v>#N/A Requesting Data...</v>
        <stp/>
        <stp>##V3_BDHV12</stp>
        <stp>CL2 Comdty</stp>
        <stp>RSI_9D</stp>
        <stp>17/11/2016</stp>
        <stp>17/11/2016</stp>
        <stp>[Bbg_Market_Data_CL.xlsm]data!R99C12</stp>
        <tr r="L99" s="1"/>
      </tp>
      <tp t="s">
        <v>#N/A Requesting Data...</v>
        <stp/>
        <stp>##V3_BDHV12</stp>
        <stp>CL2 Comdty</stp>
        <stp>RSI_9D</stp>
        <stp>18/11/2016</stp>
        <stp>18/11/2016</stp>
        <stp>[Bbg_Market_Data_CL.xlsm]data!R98C12</stp>
        <tr r="L98" s="1"/>
      </tp>
      <tp t="s">
        <v>#N/A Requesting Data...</v>
        <stp/>
        <stp>##V3_BDHV12</stp>
        <stp>CL2 Comdty</stp>
        <stp>RSI_9D</stp>
        <stp>28/03/2017</stp>
        <stp>28/03/2017</stp>
        <stp>[Bbg_Market_Data_CL.xlsm]data!R11C12</stp>
        <tr r="L11" s="1"/>
      </tp>
      <tp t="s">
        <v>#N/A Requesting Data...</v>
        <stp/>
        <stp>##V3_BDHV12</stp>
        <stp>CL2 Comdty</stp>
        <stp>RSI_9D</stp>
        <stp>28/12/2016</stp>
        <stp>28/12/2016</stp>
        <stp>[Bbg_Market_Data_CL.xlsm]data!R72C12</stp>
        <tr r="L72" s="1"/>
      </tp>
      <tp t="s">
        <v>#N/A Requesting Data...</v>
        <stp/>
        <stp>##V3_BDHV12</stp>
        <stp>CL2 Comdty</stp>
        <stp>RSI_9D</stp>
        <stp>29/03/2017</stp>
        <stp>29/03/2017</stp>
        <stp>[Bbg_Market_Data_CL.xlsm]data!R10C12</stp>
        <tr r="L10" s="1"/>
      </tp>
      <tp t="s">
        <v>#N/A Requesting Data...</v>
        <stp/>
        <stp>##V3_BDHV12</stp>
        <stp>CL2 Comdty</stp>
        <stp>RSI_9D</stp>
        <stp>29/12/2016</stp>
        <stp>29/12/2016</stp>
        <stp>[Bbg_Market_Data_CL.xlsm]data!R71C12</stp>
        <tr r="L71" s="1"/>
      </tp>
      <tp t="s">
        <v>#N/A Requesting Data...</v>
        <stp/>
        <stp>##V3_BDHV12</stp>
        <stp>CL2 Comdty</stp>
        <stp>RSI_9D</stp>
        <stp>09/01/2017</stp>
        <stp>09/01/2017</stp>
        <stp>[Bbg_Market_Data_CL.xlsm]data!R65C12</stp>
        <tr r="L65" s="1"/>
      </tp>
      <tp t="s">
        <v>#N/A Requesting Data...</v>
        <stp/>
        <stp>##V3_BDHV12</stp>
        <stp>CL1 Comdty</stp>
        <stp>RSI_9D</stp>
        <stp>29/03/2017</stp>
        <stp>29/03/2017</stp>
        <stp>[Bbg_Market_Data_CL.xlsm]data!R10C12</stp>
        <tr r="L10" s="1"/>
      </tp>
      <tp t="s">
        <v>#N/A Requesting Data...</v>
        <stp/>
        <stp>##V3_BDHV12</stp>
        <stp>CL1 Comdty</stp>
        <stp>RSI_9D</stp>
        <stp>29/12/2016</stp>
        <stp>29/12/2016</stp>
        <stp>[Bbg_Market_Data_CL.xlsm]data!R71C12</stp>
        <tr r="L71" s="1"/>
      </tp>
      <tp t="s">
        <v>#N/A Requesting Data...</v>
        <stp/>
        <stp>##V3_BDHV12</stp>
        <stp>CL1 Comdty</stp>
        <stp>RSI_9D</stp>
        <stp>09/01/2017</stp>
        <stp>09/01/2017</stp>
        <stp>[Bbg_Market_Data_CL.xlsm]data!R65C12</stp>
        <tr r="L65" s="1"/>
      </tp>
      <tp t="s">
        <v>#N/A Requesting Data...</v>
        <stp/>
        <stp>##V3_BDHV12</stp>
        <stp>CL1 Comdty</stp>
        <stp>RSI_9D</stp>
        <stp>18/11/2016</stp>
        <stp>18/11/2016</stp>
        <stp>[Bbg_Market_Data_CL.xlsm]data!R98C12</stp>
        <tr r="L98" s="1"/>
      </tp>
      <tp t="s">
        <v>#N/A Requesting Data...</v>
        <stp/>
        <stp>##V3_BDHV12</stp>
        <stp>CL1 Comdty</stp>
        <stp>RSI_9D</stp>
        <stp>28/03/2017</stp>
        <stp>28/03/2017</stp>
        <stp>[Bbg_Market_Data_CL.xlsm]data!R11C12</stp>
        <tr r="L11" s="1"/>
      </tp>
      <tp t="s">
        <v>#N/A Requesting Data...</v>
        <stp/>
        <stp>##V3_BDHV12</stp>
        <stp>CL1 Comdty</stp>
        <stp>RSI_9D</stp>
        <stp>28/12/2016</stp>
        <stp>28/12/2016</stp>
        <stp>[Bbg_Market_Data_CL.xlsm]data!R72C12</stp>
        <tr r="L72" s="1"/>
      </tp>
      <tp t="s">
        <v>#N/A Requesting Data...</v>
        <stp/>
        <stp>##V3_BDHV12</stp>
        <stp>CL1 Comdty</stp>
        <stp>30DAY_IMPVOL_100.0%MNY_DF</stp>
        <stp>24/08/2015</stp>
        <stp>24/08/2015</stp>
        <stp>[Bbg_Market_Data_CL.xlsm]data!R405C20</stp>
        <tr r="T405" s="1"/>
      </tp>
      <tp t="s">
        <v>#N/A Requesting Data...</v>
        <stp/>
        <stp>##V3_BDHV12</stp>
        <stp>CL1 Comdty</stp>
        <stp>30DAY_IMPVOL_105.0%MNY_DF</stp>
        <stp>25/09/2015</stp>
        <stp>25/09/2015</stp>
        <stp>[Bbg_Market_Data_CL.xlsm]data!R382C19</stp>
        <tr r="S382" s="1"/>
      </tp>
      <tp t="s">
        <v>#N/A Requesting Data...</v>
        <stp/>
        <stp>##V3_BDHV12</stp>
        <stp>CL1 Comdty</stp>
        <stp>30DAY_IMPVOL_110.0%MNY_DF</stp>
        <stp>25/08/2015</stp>
        <stp>25/08/2015</stp>
        <stp>[Bbg_Market_Data_CL.xlsm]data!R404C22</stp>
        <tr r="V404" s="1"/>
      </tp>
      <tp t="s">
        <v>#N/A Requesting Data...</v>
        <stp/>
        <stp>##V3_BDHV12</stp>
        <stp>CL1 Comdty</stp>
        <stp>30DAY_IMPVOL_105.0%MNY_DF</stp>
        <stp>05/08/2016</stp>
        <stp>05/08/2016</stp>
        <stp>[Bbg_Market_Data_CL.xlsm]data!R168C19</stp>
        <tr r="S168" s="1"/>
      </tp>
      <tp t="s">
        <v>#N/A Requesting Data...</v>
        <stp/>
        <stp>##V3_BDHV12</stp>
        <stp>CL1 Comdty</stp>
        <stp>30DAY_IMPVOL_105.0%MNY_DF</stp>
        <stp>15/09/2016</stp>
        <stp>15/09/2016</stp>
        <stp>[Bbg_Market_Data_CL.xlsm]data!R141C19</stp>
        <tr r="S141" s="1"/>
      </tp>
      <tp t="s">
        <v>#N/A Requesting Data...</v>
        <stp/>
        <stp>##V3_BDHV12</stp>
        <stp>CL1 Comdty</stp>
        <stp>30DAY_IMPVOL_100.0%MNY_DF</stp>
        <stp>06/08/2015</stp>
        <stp>06/08/2015</stp>
        <stp>[Bbg_Market_Data_CL.xlsm]data!R417C20</stp>
        <tr r="T417" s="1"/>
      </tp>
      <tp t="s">
        <v>#N/A Requesting Data...</v>
        <stp/>
        <stp>##V3_BDHV12</stp>
        <stp>CL1 Comdty</stp>
        <stp>30DAY_IMPVOL_105.0%MNY_DF</stp>
        <stp>26/09/2016</stp>
        <stp>26/09/2016</stp>
        <stp>[Bbg_Market_Data_CL.xlsm]data!R134C19</stp>
        <tr r="S134" s="1"/>
      </tp>
      <tp t="s">
        <v>#N/A Requesting Data...</v>
        <stp/>
        <stp>##V3_BDHV12</stp>
        <stp>CL1 Comdty</stp>
        <stp>30DAY_IMPVOL_110.0%MNY_DF</stp>
        <stp>07/08/2015</stp>
        <stp>07/08/2015</stp>
        <stp>[Bbg_Market_Data_CL.xlsm]data!R416C22</stp>
        <tr r="V416" s="1"/>
      </tp>
      <tp t="s">
        <v>#N/A Requesting Data...</v>
        <stp/>
        <stp>##V3_BDHV12</stp>
        <stp>CL1 Comdty</stp>
        <stp>30DAY_IMPVOL_105.0%MNY_DF</stp>
        <stp>16/09/2015</stp>
        <stp>16/09/2015</stp>
        <stp>[Bbg_Market_Data_CL.xlsm]data!R389C19</stp>
        <tr r="S389" s="1"/>
      </tp>
      <tp t="s">
        <v>#N/A Requesting Data...</v>
        <stp/>
        <stp>##V3_BDHV12</stp>
        <stp>CL1 Comdty</stp>
        <stp>30DAY_IMPVOL_100.0%MNY_DF</stp>
        <stp>17/08/2015</stp>
        <stp>17/08/2015</stp>
        <stp>[Bbg_Market_Data_CL.xlsm]data!R410C20</stp>
        <tr r="T410" s="1"/>
      </tp>
      <tp t="s">
        <v>#N/A Requesting Data...</v>
        <stp/>
        <stp>##V3_BDHV12</stp>
        <stp>CL1 Comdty</stp>
        <stp>30DAY_IMPVOL_100.0%MNY_DF</stp>
        <stp>26/09/2016</stp>
        <stp>26/09/2016</stp>
        <stp>[Bbg_Market_Data_CL.xlsm]data!R134C20</stp>
        <tr r="T134" s="1"/>
      </tp>
      <tp t="s">
        <v>#N/A Requesting Data...</v>
        <stp/>
        <stp>##V3_BDHV12</stp>
        <stp>CL1 Comdty</stp>
        <stp>30DAY_IMPVOL_110.0%MNY_DF</stp>
        <stp>26/08/2016</stp>
        <stp>26/08/2016</stp>
        <stp>[Bbg_Market_Data_CL.xlsm]data!R154C22</stp>
        <tr r="V154" s="1"/>
      </tp>
      <tp t="s">
        <v>#N/A Requesting Data...</v>
        <stp/>
        <stp>##V3_BDHV12</stp>
        <stp>CL1 Comdty</stp>
        <stp>30DAY_IMPVOL_110.0%MNY_DF</stp>
        <stp>17/09/2015</stp>
        <stp>17/09/2015</stp>
        <stp>[Bbg_Market_Data_CL.xlsm]data!R388C22</stp>
        <tr r="V388" s="1"/>
      </tp>
      <tp t="s">
        <v>#N/A Requesting Data...</v>
        <stp/>
        <stp>##V3_BDHV12</stp>
        <stp>CL1 Comdty</stp>
        <stp>30DAY_IMPVOL_105.0%MNY_DF</stp>
        <stp>06/08/2015</stp>
        <stp>06/08/2015</stp>
        <stp>[Bbg_Market_Data_CL.xlsm]data!R417C19</stp>
        <tr r="S417" s="1"/>
      </tp>
      <tp t="s">
        <v>#N/A Requesting Data...</v>
        <stp/>
        <stp>##V3_BDHV12</stp>
        <stp>CL1 Comdty</stp>
        <stp>30DAY_IMPVOL_110.0%MNY_DF</stp>
        <stp>27/09/2016</stp>
        <stp>27/09/2016</stp>
        <stp>[Bbg_Market_Data_CL.xlsm]data!R133C22</stp>
        <tr r="V133" s="1"/>
      </tp>
      <tp t="s">
        <v>#N/A Requesting Data...</v>
        <stp/>
        <stp>##V3_BDHV12</stp>
        <stp>CL1 Comdty</stp>
        <stp>30DAY_IMPVOL_100.0%MNY_DF</stp>
        <stp>16/09/2015</stp>
        <stp>16/09/2015</stp>
        <stp>[Bbg_Market_Data_CL.xlsm]data!R389C20</stp>
        <tr r="T389" s="1"/>
      </tp>
      <tp t="s">
        <v>#N/A Requesting Data...</v>
        <stp/>
        <stp>##V3_BDHV12</stp>
        <stp>CL1 Comdty</stp>
        <stp>30DAY_IMPVOL_105.0%MNY_DF</stp>
        <stp>17/08/2015</stp>
        <stp>17/08/2015</stp>
        <stp>[Bbg_Market_Data_CL.xlsm]data!R410C19</stp>
        <tr r="S410" s="1"/>
      </tp>
      <tp t="s">
        <v>#N/A Requesting Data...</v>
        <stp/>
        <stp>##V3_BDHV12</stp>
        <stp>CL1 Comdty</stp>
        <stp>30DAY_IMPVOL_110.0%MNY_DF</stp>
        <stp>14/09/2016</stp>
        <stp>14/09/2016</stp>
        <stp>[Bbg_Market_Data_CL.xlsm]data!R142C22</stp>
        <tr r="V142" s="1"/>
      </tp>
      <tp t="s">
        <v>#N/A Requesting Data...</v>
        <stp/>
        <stp>##V3_BDHV12</stp>
        <stp>CL1 Comdty</stp>
        <stp>30DAY_IMPVOL_110.0%MNY_DF</stp>
        <stp>04/08/2016</stp>
        <stp>04/08/2016</stp>
        <stp>[Bbg_Market_Data_CL.xlsm]data!R169C22</stp>
        <tr r="V169" s="1"/>
      </tp>
      <tp t="s">
        <v>#N/A Requesting Data...</v>
        <stp/>
        <stp>##V3_BDHV12</stp>
        <stp>CL1 Comdty</stp>
        <stp>30DAY_IMPVOL_100.0%MNY_DF</stp>
        <stp>25/09/2015</stp>
        <stp>25/09/2015</stp>
        <stp>[Bbg_Market_Data_CL.xlsm]data!R382C20</stp>
        <tr r="T382" s="1"/>
      </tp>
      <tp t="s">
        <v>#N/A Requesting Data...</v>
        <stp/>
        <stp>##V3_BDHV12</stp>
        <stp>CL1 Comdty</stp>
        <stp>30DAY_IMPVOL_105.0%MNY_DF</stp>
        <stp>24/08/2015</stp>
        <stp>24/08/2015</stp>
        <stp>[Bbg_Market_Data_CL.xlsm]data!R405C19</stp>
        <tr r="S405" s="1"/>
      </tp>
      <tp t="s">
        <v>#N/A Requesting Data...</v>
        <stp/>
        <stp>##V3_BDHV12</stp>
        <stp>CL1 Comdty</stp>
        <stp>30DAY_IMPVOL_100.0%MNY_DF</stp>
        <stp>05/08/2016</stp>
        <stp>05/08/2016</stp>
        <stp>[Bbg_Market_Data_CL.xlsm]data!R168C20</stp>
        <tr r="T168" s="1"/>
      </tp>
      <tp t="s">
        <v>#N/A Requesting Data...</v>
        <stp/>
        <stp>##V3_BDHV12</stp>
        <stp>CL1 Comdty</stp>
        <stp>30DAY_IMPVOL_100.0%MNY_DF</stp>
        <stp>15/09/2016</stp>
        <stp>15/09/2016</stp>
        <stp>[Bbg_Market_Data_CL.xlsm]data!R141C20</stp>
        <tr r="T141" s="1"/>
      </tp>
      <tp t="s">
        <v>#N/A Requesting Data...</v>
        <stp/>
        <stp>##V3_BDHV12</stp>
        <stp>CL1 Comdty</stp>
        <stp>30DAY_IMPVOL_110.0%MNY_DF</stp>
        <stp>15/08/2016</stp>
        <stp>15/08/2016</stp>
        <stp>[Bbg_Market_Data_CL.xlsm]data!R163C22</stp>
        <tr r="V163" s="1"/>
      </tp>
      <tp t="s">
        <v>#N/A Requesting Data...</v>
        <stp/>
        <stp>##V3_BDHV12</stp>
        <stp>CL1 Comdty</stp>
        <stp>30DAY_IMPVOL_110.0%MNY_DF</stp>
        <stp>24/09/2015</stp>
        <stp>24/09/2015</stp>
        <stp>[Bbg_Market_Data_CL.xlsm]data!R383C22</stp>
        <tr r="V383" s="1"/>
      </tp>
      <tp t="s">
        <v>#N/A Requesting Data...</v>
        <stp/>
        <stp>##V3_BDHV12</stp>
        <stp>CL1 Comdty</stp>
        <stp>30DAY_IMPVOL_100.0%MNY_DF</stp>
        <stp>19/05/2016</stp>
        <stp>19/05/2016</stp>
        <stp>[Bbg_Market_Data_CL.xlsm]data!R222C20</stp>
        <tr r="T222" s="1"/>
      </tp>
      <tp t="s">
        <v>#N/A Requesting Data...</v>
        <stp/>
        <stp>##V3_BDHV12</stp>
        <stp>CL1 Comdty</stp>
        <stp>30DAY_IMPVOL_110.0%MNY_DF</stp>
        <stp>09/05/2016</stp>
        <stp>09/05/2016</stp>
        <stp>[Bbg_Market_Data_CL.xlsm]data!R230C22</stp>
        <tr r="V230" s="1"/>
      </tp>
      <tp t="s">
        <v>#N/A Requesting Data...</v>
        <stp/>
        <stp>##V3_BDHV12</stp>
        <stp>CL1 Comdty</stp>
        <stp>30DAY_IMPVOL_110.0%MNY_DF</stp>
        <stp>19/04/2016</stp>
        <stp>19/04/2016</stp>
        <stp>[Bbg_Market_Data_CL.xlsm]data!R244C22</stp>
        <tr r="V244" s="1"/>
      </tp>
      <tp t="s">
        <v>#N/A Requesting Data...</v>
        <stp/>
        <stp>##V3_BDHV12</stp>
        <stp>CL1 Comdty</stp>
        <stp>30DAY_IMPVOL_110.0%MNY_DF</stp>
        <stp>18/05/2016</stp>
        <stp>18/05/2016</stp>
        <stp>[Bbg_Market_Data_CL.xlsm]data!R223C22</stp>
        <tr r="V223" s="1"/>
      </tp>
      <tp t="s">
        <v>#N/A Requesting Data...</v>
        <stp/>
        <stp>##V3_BDHV12</stp>
        <stp>CL1 Comdty</stp>
        <stp>30DAY_IMPVOL_110.0%MNY_DF</stp>
        <stp>08/04/2016</stp>
        <stp>08/04/2016</stp>
        <stp>[Bbg_Market_Data_CL.xlsm]data!R251C22</stp>
        <tr r="V251" s="1"/>
      </tp>
      <tp t="s">
        <v>#N/A Requesting Data...</v>
        <stp/>
        <stp>##V3_BDHV12</stp>
        <stp>CL1 Comdty</stp>
        <stp>30DAY_IMPVOL_100.0%MNY_DF</stp>
        <stp>18/04/2016</stp>
        <stp>18/04/2016</stp>
        <stp>[Bbg_Market_Data_CL.xlsm]data!R245C20</stp>
        <tr r="T245" s="1"/>
      </tp>
      <tp t="s">
        <v>#N/A Requesting Data...</v>
        <stp/>
        <stp>##V3_BDHV12</stp>
        <stp>CL1 Comdty</stp>
        <stp>30DAY_IMPVOL_105.0%MNY_DF</stp>
        <stp>28/04/2015</stp>
        <stp>28/04/2015</stp>
        <stp>[Bbg_Market_Data_CL.xlsm]data!R487C19</stp>
        <tr r="S487" s="1"/>
      </tp>
      <tp t="s">
        <v>#N/A Requesting Data...</v>
        <stp/>
        <stp>##V3_BDHV12</stp>
        <stp>CL1 Comdty</stp>
        <stp>30DAY_IMPVOL_100.0%MNY_DF</stp>
        <stp>28/07/2016</stp>
        <stp>28/07/2016</stp>
        <stp>[Bbg_Market_Data_CL.xlsm]data!R174C20</stp>
        <tr r="T174" s="1"/>
      </tp>
      <tp t="s">
        <v>#N/A Requesting Data...</v>
        <stp/>
        <stp>##V3_BDHV12</stp>
        <stp>CL1 Comdty</stp>
        <stp>30DAY_IMPVOL_110.0%MNY_DF</stp>
        <stp>28/06/2016</stp>
        <stp>28/06/2016</stp>
        <stp>[Bbg_Market_Data_CL.xlsm]data!R195C22</stp>
        <tr r="V195" s="1"/>
      </tp>
      <tp t="s">
        <v>#N/A Requesting Data...</v>
        <stp/>
        <stp>##V3_BDHV12</stp>
        <stp>CL1 Comdty</stp>
        <stp>30DAY_IMPVOL_105.0%MNY_DF</stp>
        <stp>08/06/2015</stp>
        <stp>08/06/2015</stp>
        <stp>[Bbg_Market_Data_CL.xlsm]data!R459C19</stp>
        <tr r="S459" s="1"/>
      </tp>
      <tp t="s">
        <v>#N/A Requesting Data...</v>
        <stp/>
        <stp>##V3_BDHV12</stp>
        <stp>CL1 Comdty</stp>
        <stp>30DAY_IMPVOL_110.0%MNY_DF</stp>
        <stp>29/07/2016</stp>
        <stp>29/07/2016</stp>
        <stp>[Bbg_Market_Data_CL.xlsm]data!R173C22</stp>
        <tr r="V173" s="1"/>
      </tp>
      <tp t="s">
        <v>#N/A Requesting Data...</v>
        <stp/>
        <stp>##V3_BDHV12</stp>
        <stp>CL1 Comdty</stp>
        <stp>30DAY_IMPVOL_105.0%MNY_DF</stp>
        <stp>09/07/2015</stp>
        <stp>09/07/2015</stp>
        <stp>[Bbg_Market_Data_CL.xlsm]data!R437C19</stp>
        <tr r="S437" s="1"/>
      </tp>
      <tp t="s">
        <v>#N/A Requesting Data...</v>
        <stp/>
        <stp>##V3_BDHV12</stp>
        <stp>CL1 Comdty</stp>
        <stp>30DAY_IMPVOL_100.0%MNY_DF</stp>
        <stp>29/06/2016</stp>
        <stp>29/06/2016</stp>
        <stp>[Bbg_Market_Data_CL.xlsm]data!R194C20</stp>
        <tr r="T194" s="1"/>
      </tp>
      <tp t="s">
        <v>#N/A Requesting Data...</v>
        <stp/>
        <stp>##V3_BDHV12</stp>
        <stp>CL1 Comdty</stp>
        <stp>30DAY_IMPVOL_105.0%MNY_DF</stp>
        <stp>29/05/2015</stp>
        <stp>29/05/2015</stp>
        <stp>[Bbg_Market_Data_CL.xlsm]data!R465C19</stp>
        <tr r="S465" s="1"/>
      </tp>
      <tp t="s">
        <v>#N/A Requesting Data...</v>
        <stp/>
        <stp>##V3_BDHV12</stp>
        <stp>CL1 Comdty</stp>
        <stp>30DAY_IMPVOL_105.0%MNY_DF</stp>
        <stp>19/06/2015</stp>
        <stp>19/06/2015</stp>
        <stp>[Bbg_Market_Data_CL.xlsm]data!R450C19</stp>
        <tr r="S450" s="1"/>
      </tp>
      <tp t="s">
        <v>#N/A Requesting Data...</v>
        <stp/>
        <stp>##V3_BDHV12</stp>
        <stp>CL1 Comdty</stp>
        <stp>30DAY_IMPVOL_110.0%MNY_DF</stp>
        <stp>08/07/2015</stp>
        <stp>08/07/2015</stp>
        <stp>[Bbg_Market_Data_CL.xlsm]data!R438C22</stp>
        <tr r="V438" s="1"/>
      </tp>
      <tp t="s">
        <v>#N/A Requesting Data...</v>
        <stp/>
        <stp>##V3_BDHV12</stp>
        <stp>CL1 Comdty</stp>
        <stp>30DAY_IMPVOL_110.0%MNY_DF</stp>
        <stp>18/06/2015</stp>
        <stp>18/06/2015</stp>
        <stp>[Bbg_Market_Data_CL.xlsm]data!R451C22</stp>
        <tr r="V451" s="1"/>
      </tp>
      <tp t="s">
        <v>#N/A Requesting Data...</v>
        <stp/>
        <stp>##V3_BDHV12</stp>
        <stp>CL1 Comdty</stp>
        <stp>30DAY_IMPVOL_110.0%MNY_DF</stp>
        <stp>28/05/2015</stp>
        <stp>28/05/2015</stp>
        <stp>[Bbg_Market_Data_CL.xlsm]data!R466C22</stp>
        <tr r="V466" s="1"/>
      </tp>
      <tp t="s">
        <v>#N/A Requesting Data...</v>
        <stp/>
        <stp>##V3_BDHV12</stp>
        <stp>CL1 Comdty</stp>
        <stp>30DAY_IMPVOL_100.0%MNY_DF</stp>
        <stp>08/06/2015</stp>
        <stp>08/06/2015</stp>
        <stp>[Bbg_Market_Data_CL.xlsm]data!R459C20</stp>
        <tr r="T459" s="1"/>
      </tp>
      <tp t="s">
        <v>#N/A Requesting Data...</v>
        <stp/>
        <stp>##V3_BDHV12</stp>
        <stp>CL1 Comdty</stp>
        <stp>30DAY_IMPVOL_100.0%MNY_DF</stp>
        <stp>28/04/2015</stp>
        <stp>28/04/2015</stp>
        <stp>[Bbg_Market_Data_CL.xlsm]data!R487C20</stp>
        <tr r="T487" s="1"/>
      </tp>
      <tp t="s">
        <v>#N/A Requesting Data...</v>
        <stp/>
        <stp>##V3_BDHV12</stp>
        <stp>CL1 Comdty</stp>
        <stp>30DAY_IMPVOL_105.0%MNY_DF</stp>
        <stp>28/07/2016</stp>
        <stp>28/07/2016</stp>
        <stp>[Bbg_Market_Data_CL.xlsm]data!R174C19</stp>
        <tr r="S174" s="1"/>
      </tp>
      <tp t="s">
        <v>#N/A Requesting Data...</v>
        <stp/>
        <stp>##V3_BDHV12</stp>
        <stp>CL1 Comdty</stp>
        <stp>30DAY_IMPVOL_100.0%MNY_DF</stp>
        <stp>09/07/2015</stp>
        <stp>09/07/2015</stp>
        <stp>[Bbg_Market_Data_CL.xlsm]data!R437C20</stp>
        <tr r="T437" s="1"/>
      </tp>
      <tp t="s">
        <v>#N/A Requesting Data...</v>
        <stp/>
        <stp>##V3_BDHV12</stp>
        <stp>CL1 Comdty</stp>
        <stp>30DAY_IMPVOL_105.0%MNY_DF</stp>
        <stp>29/06/2016</stp>
        <stp>29/06/2016</stp>
        <stp>[Bbg_Market_Data_CL.xlsm]data!R194C19</stp>
        <tr r="S194" s="1"/>
      </tp>
      <tp t="s">
        <v>#N/A Requesting Data...</v>
        <stp/>
        <stp>##V3_BDHV12</stp>
        <stp>CL1 Comdty</stp>
        <stp>30DAY_IMPVOL_100.0%MNY_DF</stp>
        <stp>29/05/2015</stp>
        <stp>29/05/2015</stp>
        <stp>[Bbg_Market_Data_CL.xlsm]data!R465C20</stp>
        <tr r="T465" s="1"/>
      </tp>
      <tp t="s">
        <v>#N/A Requesting Data...</v>
        <stp/>
        <stp>##V3_BDHV12</stp>
        <stp>CL1 Comdty</stp>
        <stp>30DAY_IMPVOL_110.0%MNY_DF</stp>
        <stp>09/06/2015</stp>
        <stp>09/06/2015</stp>
        <stp>[Bbg_Market_Data_CL.xlsm]data!R458C22</stp>
        <tr r="V458" s="1"/>
      </tp>
      <tp t="s">
        <v>#N/A Requesting Data...</v>
        <stp/>
        <stp>##V3_BDHV12</stp>
        <stp>CL1 Comdty</stp>
        <stp>30DAY_IMPVOL_100.0%MNY_DF</stp>
        <stp>19/06/2015</stp>
        <stp>19/06/2015</stp>
        <stp>[Bbg_Market_Data_CL.xlsm]data!R450C20</stp>
        <tr r="T450" s="1"/>
      </tp>
      <tp t="s">
        <v>#N/A Requesting Data...</v>
        <stp/>
        <stp>##V3_BDHV12</stp>
        <stp>CL1 Comdty</stp>
        <stp>30DAY_IMPVOL_110.0%MNY_DF</stp>
        <stp>29/04/2015</stp>
        <stp>29/04/2015</stp>
        <stp>[Bbg_Market_Data_CL.xlsm]data!R486C22</stp>
        <tr r="V486" s="1"/>
      </tp>
      <tp t="s">
        <v>#N/A Requesting Data...</v>
        <stp/>
        <stp>##V3_BDHV12</stp>
        <stp>CL1 Comdty</stp>
        <stp>30DAY_IMPVOL_105.0%MNY_DF</stp>
        <stp>19/05/2016</stp>
        <stp>19/05/2016</stp>
        <stp>[Bbg_Market_Data_CL.xlsm]data!R222C19</stp>
        <tr r="S222" s="1"/>
      </tp>
      <tp t="s">
        <v>#N/A Requesting Data...</v>
        <stp/>
        <stp>##V3_BDHV12</stp>
        <stp>CL1 Comdty</stp>
        <stp>30DAY_IMPVOL_105.0%MNY_DF</stp>
        <stp>18/04/2016</stp>
        <stp>18/04/2016</stp>
        <stp>[Bbg_Market_Data_CL.xlsm]data!R245C19</stp>
        <tr r="S245" s="1"/>
      </tp>
      <tp t="s">
        <v>#N/A Requesting Data...</v>
        <stp/>
        <stp>##V3_BDHV12</stp>
        <stp>CL1 Comdty</stp>
        <stp>RSI_9D</stp>
        <stp>21/09/2015</stp>
        <stp>21/09/2015</stp>
        <stp>[Bbg_Market_Data_CL.xlsm]data!R387C12</stp>
        <tr r="L387" s="1"/>
      </tp>
      <tp t="s">
        <v>#N/A Requesting Data...</v>
        <stp/>
        <stp>##V3_BDHV12</stp>
        <stp>CL2 Comdty</stp>
        <stp>RSI_9D</stp>
        <stp>11/09/2015</stp>
        <stp>11/09/2015</stp>
        <stp>[Bbg_Market_Data_CL.xlsm]data!R393C12</stp>
        <tr r="L393" s="1"/>
      </tp>
      <tp t="s">
        <v>#N/A Requesting Data...</v>
        <stp/>
        <stp>##V3_BDHV12</stp>
        <stp>CL2 Comdty</stp>
        <stp>RSI_9D</stp>
        <stp>30/09/2016</stp>
        <stp>30/09/2016</stp>
        <stp>[Bbg_Market_Data_CL.xlsm]data!R131C12</stp>
        <tr r="L131" s="1"/>
      </tp>
      <tp t="s">
        <v>#N/A Requesting Data...</v>
        <stp/>
        <stp>##V3_BDHV12</stp>
        <stp>CL1 Comdty</stp>
        <stp>RSI_9D</stp>
        <stp>10/08/2016</stp>
        <stp>10/08/2016</stp>
        <stp>[Bbg_Market_Data_CL.xlsm]data!R167C12</stp>
        <tr r="L167" s="1"/>
      </tp>
      <tp t="s">
        <v>#N/A Requesting Data...</v>
        <stp/>
        <stp>##V3_BDHV12</stp>
        <stp>CL1 Comdty</stp>
        <stp>RSI_9D</stp>
        <stp>30/09/2015</stp>
        <stp>30/09/2015</stp>
        <stp>[Bbg_Market_Data_CL.xlsm]data!R380C12</stp>
        <tr r="L380" s="1"/>
      </tp>
      <tp t="s">
        <v>#N/A Requesting Data...</v>
        <stp/>
        <stp>##V3_BDHV12</stp>
        <stp>CL2 Comdty</stp>
        <stp>RSI_9D</stp>
        <stp>21/09/2016</stp>
        <stp>21/09/2016</stp>
        <stp>[Bbg_Market_Data_CL.xlsm]data!R138C12</stp>
        <tr r="L138" s="1"/>
      </tp>
      <tp t="s">
        <v>#N/A Requesting Data...</v>
        <stp/>
        <stp>##V3_BDHV12</stp>
        <stp>CL2 Comdty</stp>
        <stp>RSI_9D</stp>
        <stp>31/08/2016</stp>
        <stp>31/08/2016</stp>
        <stp>[Bbg_Market_Data_CL.xlsm]data!R152C12</stp>
        <tr r="L152" s="1"/>
      </tp>
      <tp t="s">
        <v>#N/A Requesting Data...</v>
        <stp/>
        <stp>##V3_BDHV12</stp>
        <stp>CL1 Comdty</stp>
        <stp>RSI_9D</stp>
        <stp>01/08/2016</stp>
        <stp>01/08/2016</stp>
        <stp>[Bbg_Market_Data_CL.xlsm]data!R173C12</stp>
        <tr r="L173" s="1"/>
      </tp>
      <tp t="s">
        <v>#N/A Requesting Data...</v>
        <stp/>
        <stp>##V3_BDHV12</stp>
        <stp>CL1 Comdty</stp>
        <stp>RSI_9D</stp>
        <stp>03/09/2015</stp>
        <stp>03/09/2015</stp>
        <stp>[Bbg_Market_Data_CL.xlsm]data!R398C12</stp>
        <tr r="L398" s="1"/>
      </tp>
      <tp t="s">
        <v>#N/A Requesting Data...</v>
        <stp/>
        <stp>##V3_BDHV12</stp>
        <stp>CL1 Comdty</stp>
        <stp>RSI_9D</stp>
        <stp>22/09/2016</stp>
        <stp>22/09/2016</stp>
        <stp>[Bbg_Market_Data_CL.xlsm]data!R137C12</stp>
        <tr r="L137" s="1"/>
      </tp>
      <tp t="s">
        <v>#N/A Requesting Data...</v>
        <stp/>
        <stp>##V3_BDHV12</stp>
        <stp>CL2 Comdty</stp>
        <stp>RSI_9D</stp>
        <stp>12/09/2016</stp>
        <stp>12/09/2016</stp>
        <stp>[Bbg_Market_Data_CL.xlsm]data!R145C12</stp>
        <tr r="L145" s="1"/>
      </tp>
      <tp t="s">
        <v>#N/A Requesting Data...</v>
        <stp/>
        <stp>##V3_BDHV12</stp>
        <stp>CL2 Comdty</stp>
        <stp>RSI_9D</stp>
        <stp>02/08/2016</stp>
        <stp>02/08/2016</stp>
        <stp>[Bbg_Market_Data_CL.xlsm]data!R172C12</stp>
        <tr r="L172" s="1"/>
      </tp>
      <tp t="s">
        <v>#N/A Requesting Data...</v>
        <stp/>
        <stp>##V3_BDHV12</stp>
        <stp>CL2 Comdty</stp>
        <stp>RSI_9D</stp>
        <stp>22/09/2015</stp>
        <stp>22/09/2015</stp>
        <stp>[Bbg_Market_Data_CL.xlsm]data!R386C12</stp>
        <tr r="L386" s="1"/>
      </tp>
      <tp t="s">
        <v>#N/A Requesting Data...</v>
        <stp/>
        <stp>##V3_BDHV12</stp>
        <stp>CL1 Comdty</stp>
        <stp>RSI_9D</stp>
        <stp>23/08/2016</stp>
        <stp>23/08/2016</stp>
        <stp>[Bbg_Market_Data_CL.xlsm]data!R158C12</stp>
        <tr r="L158" s="1"/>
      </tp>
      <tp t="s">
        <v>#N/A Requesting Data...</v>
        <stp/>
        <stp>##V3_BDHV12</stp>
        <stp>CL1 Comdty</stp>
        <stp>RSI_9D</stp>
        <stp>13/08/2015</stp>
        <stp>13/08/2015</stp>
        <stp>[Bbg_Market_Data_CL.xlsm]data!R413C12</stp>
        <tr r="L413" s="1"/>
      </tp>
      <tp t="s">
        <v>#N/A Requesting Data...</v>
        <stp/>
        <stp>##V3_BDHV12</stp>
        <stp>CL1 Comdty</stp>
        <stp>RSI_9D</stp>
        <stp>20/08/2015</stp>
        <stp>20/08/2015</stp>
        <stp>[Bbg_Market_Data_CL.xlsm]data!R408C12</stp>
        <tr r="L408" s="1"/>
      </tp>
      <tp t="s">
        <v>#N/A Requesting Data...</v>
        <stp/>
        <stp>##V3_BDHV12</stp>
        <stp>CL2 Comdty</stp>
        <stp>RSI_9D</stp>
        <stp>10/08/2015</stp>
        <stp>10/08/2015</stp>
        <stp>[Bbg_Market_Data_CL.xlsm]data!R416C12</stp>
        <tr r="L416" s="1"/>
      </tp>
      <tp t="s">
        <v>#N/A Requesting Data...</v>
        <stp/>
        <stp>##V3_BDHV12</stp>
        <stp>CL1 Comdty</stp>
        <stp>RSI_9D</stp>
        <stp>31/08/2015</stp>
        <stp>31/08/2015</stp>
        <stp>[Bbg_Market_Data_CL.xlsm]data!R401C12</stp>
        <tr r="L401" s="1"/>
      </tp>
      <tp t="s">
        <v>#N/A Requesting Data...</v>
        <stp/>
        <stp>##V3_BDHV12</stp>
        <stp>CL2 Comdty</stp>
        <stp>RSI_9D</stp>
        <stp>28/10/2016</stp>
        <stp>28/10/2016</stp>
        <stp>[Bbg_Market_Data_CL.xlsm]data!R112C12</stp>
        <tr r="L112" s="1"/>
      </tp>
      <tp t="s">
        <v>#N/A Requesting Data...</v>
        <stp/>
        <stp>##V3_BDHV12</stp>
        <stp>CL1 Comdty</stp>
        <stp>RSI_9D</stp>
        <stp>08/11/2016</stp>
        <stp>08/11/2016</stp>
        <stp>[Bbg_Market_Data_CL.xlsm]data!R105C12</stp>
        <tr r="L105" s="1"/>
      </tp>
      <tp t="s">
        <v>#N/A Requesting Data...</v>
        <stp/>
        <stp>##V3_BDHV12</stp>
        <stp>CL2 Comdty</stp>
        <stp>RSI_9D</stp>
        <stp>29/12/2015</stp>
        <stp>29/12/2015</stp>
        <stp>[Bbg_Market_Data_CL.xlsm]data!R320C12</stp>
        <tr r="L320" s="1"/>
      </tp>
      <tp t="s">
        <v>#N/A Requesting Data...</v>
        <stp/>
        <stp>##V3_BDHV12</stp>
        <stp>CL1 Comdty</stp>
        <stp>RSI_9D</stp>
        <stp>18/10/2016</stp>
        <stp>18/10/2016</stp>
        <stp>[Bbg_Market_Data_CL.xlsm]data!R120C12</stp>
        <tr r="L120" s="1"/>
      </tp>
      <tp t="s">
        <v>#N/A Requesting Data...</v>
        <stp/>
        <stp>##V3_BDHV12</stp>
        <stp>CL2 Comdty</stp>
        <stp>RSI_9D</stp>
        <stp>19/11/2015</stp>
        <stp>19/11/2015</stp>
        <stp>[Bbg_Market_Data_CL.xlsm]data!R346C12</stp>
        <tr r="L346" s="1"/>
      </tp>
      <tp t="s">
        <v>#N/A Requesting Data...</v>
        <stp/>
        <stp>##V3_BDHV12</stp>
        <stp>CL2 Comdty</stp>
        <stp>RSI_9D</stp>
        <stp>09/10/2015</stp>
        <stp>09/10/2015</stp>
        <stp>[Bbg_Market_Data_CL.xlsm]data!R373C12</stp>
        <tr r="L373" s="1"/>
      </tp>
      <tp t="s">
        <v>#N/A Requesting Data...</v>
        <stp/>
        <stp>##V3_BDHV12</stp>
        <stp>CL1 Comdty</stp>
        <stp>RSI_9D</stp>
        <stp>08/12/2015</stp>
        <stp>08/12/2015</stp>
        <stp>[Bbg_Market_Data_CL.xlsm]data!R334C12</stp>
        <tr r="L334" s="1"/>
      </tp>
      <tp t="s">
        <v>#N/A Requesting Data...</v>
        <stp/>
        <stp>##V3_BDHV12</stp>
        <stp>CL1 Comdty</stp>
        <stp>RSI_9D</stp>
        <stp>28/10/2015</stp>
        <stp>28/10/2015</stp>
        <stp>[Bbg_Market_Data_CL.xlsm]data!R361C12</stp>
        <tr r="L361" s="1"/>
      </tp>
      <tp t="s">
        <v>#N/A Requesting Data...</v>
        <stp/>
        <stp>##V3_BDHV12</stp>
        <stp>CL2 Comdty</stp>
        <stp>RSI_9D</stp>
        <stp>19/02/2016</stp>
        <stp>19/02/2016</stp>
        <stp>[Bbg_Market_Data_CL.xlsm]data!R286C12</stp>
        <tr r="L286" s="1"/>
      </tp>
      <tp t="s">
        <v>#N/A Requesting Data...</v>
        <stp/>
        <stp>##V3_BDHV12</stp>
        <stp>CL1 Comdty</stp>
        <stp>RSI_9D</stp>
        <stp>29/02/2016</stp>
        <stp>29/02/2016</stp>
        <stp>[Bbg_Market_Data_CL.xlsm]data!R280C12</stp>
        <tr r="L280" s="1"/>
      </tp>
      <tp t="s">
        <v>#N/A Requesting Data...</v>
        <stp/>
        <stp>##V3_BDHV12</stp>
        <stp>CL2 Comdty</stp>
        <stp>RSI_9D</stp>
        <stp>29/01/2016</stp>
        <stp>29/01/2016</stp>
        <stp>[Bbg_Market_Data_CL.xlsm]data!R299C12</stp>
        <tr r="L299" s="1"/>
      </tp>
      <tp t="s">
        <v>#N/A Requesting Data...</v>
        <stp/>
        <stp>##V3_BDHV12</stp>
        <stp>CL1 Comdty</stp>
        <stp>RSI_9D</stp>
        <stp>08/01/2016</stp>
        <stp>08/01/2016</stp>
        <stp>[Bbg_Market_Data_CL.xlsm]data!R313C12</stp>
        <tr r="L313" s="1"/>
      </tp>
      <tp t="s">
        <v>#N/A Requesting Data...</v>
        <stp/>
        <stp>##V3_BDHV12</stp>
        <stp>CL2 Comdty</stp>
        <stp>RSI_9D</stp>
        <stp>09/03/2016</stp>
        <stp>09/03/2016</stp>
        <stp>[Bbg_Market_Data_CL.xlsm]data!R273C12</stp>
        <tr r="L273" s="1"/>
      </tp>
      <tp t="s">
        <v>#N/A Requesting Data...</v>
        <stp/>
        <stp>##V3_BDHV12</stp>
        <stp>CL2 Comdty</stp>
        <stp>RSI_9D</stp>
        <stp>08/02/2016</stp>
        <stp>08/02/2016</stp>
        <stp>[Bbg_Market_Data_CL.xlsm]data!R293C12</stp>
        <tr r="L293" s="1"/>
      </tp>
      <tp t="s">
        <v>#N/A Requesting Data...</v>
        <stp/>
        <stp>##V3_BDHV12</stp>
        <stp>CL1 Comdty</stp>
        <stp>RSI_9D</stp>
        <stp>19/01/2016</stp>
        <stp>19/01/2016</stp>
        <stp>[Bbg_Market_Data_CL.xlsm]data!R307C12</stp>
        <tr r="L307" s="1"/>
      </tp>
      <tp t="s">
        <v>#N/A Requesting Data...</v>
        <stp/>
        <stp>##V3_BDHV12</stp>
        <stp>CL2 Comdty</stp>
        <stp>RSI_9D</stp>
        <stp>18/03/2016</stp>
        <stp>18/03/2016</stp>
        <stp>[Bbg_Market_Data_CL.xlsm]data!R266C12</stp>
        <tr r="L266" s="1"/>
      </tp>
      <tp t="s">
        <v>#N/A Requesting Data...</v>
        <stp/>
        <stp>##V3_BDHV12</stp>
        <stp>CL1 Comdty</stp>
        <stp>RSI_9D</stp>
        <stp>28/03/2016</stp>
        <stp>28/03/2016</stp>
        <stp>[Bbg_Market_Data_CL.xlsm]data!R261C12</stp>
        <tr r="L261" s="1"/>
      </tp>
      <tp t="s">
        <v>#N/A Requesting Data...</v>
        <stp/>
        <stp>##V3_BDHV12</stp>
        <stp>CL1 Comdty</stp>
        <stp>30DAY_IMPVOL_100.0%MNY_DF</stp>
        <stp>24/07/2015</stp>
        <stp>24/07/2015</stp>
        <stp>[Bbg_Market_Data_CL.xlsm]data!R426C20</stp>
        <tr r="T426" s="1"/>
      </tp>
      <tp t="s">
        <v>#N/A Requesting Data...</v>
        <stp/>
        <stp>##V3_BDHV12</stp>
        <stp>CL1 Comdty</stp>
        <stp>30DAY_IMPVOL_100.0%MNY_DF</stp>
        <stp>03/12/2015</stp>
        <stp>03/12/2015</stp>
        <stp>[Bbg_Market_Data_CL.xlsm]data!R336C20</stp>
        <tr r="T336" s="1"/>
      </tp>
      <tp t="s">
        <v>#N/A Requesting Data...</v>
        <stp/>
        <stp>##V3_BDHV12</stp>
        <stp>CL1 Comdty</stp>
        <stp>30DAY_IMPVOL_110.0%MNY_DF</stp>
        <stp>20/01/2016</stp>
        <stp>20/01/2016</stp>
        <stp>[Bbg_Market_Data_CL.xlsm]data!R305C22</stp>
        <tr r="V305" s="1"/>
      </tp>
      <tp t="s">
        <v>#N/A Requesting Data...</v>
        <stp/>
        <stp>##V3_BDHV12</stp>
        <stp>CL1 Comdty</stp>
        <stp>30DAY_IMPVOL_110.0%MNY_DF</stp>
        <stp>02/11/2016</stp>
        <stp>02/11/2016</stp>
        <stp>[Bbg_Market_Data_CL.xlsm]data!R108C22</stp>
        <tr r="V108" s="1"/>
      </tp>
      <tp t="s">
        <v>#N/A Requesting Data...</v>
        <stp/>
        <stp>##V3_BDHV12</stp>
        <stp>CL1 Comdty</stp>
        <stp>30DAY_IMPVOL_110.0%MNY_DF</stp>
        <stp>12/10/2016</stp>
        <stp>12/10/2016</stp>
        <stp>[Bbg_Market_Data_CL.xlsm]data!R123C22</stp>
        <tr r="V123" s="1"/>
      </tp>
      <tp t="s">
        <v>#N/A Requesting Data...</v>
        <stp/>
        <stp>##V3_BDHV12</stp>
        <stp>CL1 Comdty</stp>
        <stp>30DAY_IMPVOL_105.0%MNY_DF</stp>
        <stp>14/07/2016</stp>
        <stp>14/07/2016</stp>
        <stp>[Bbg_Market_Data_CL.xlsm]data!R184C19</stp>
        <tr r="S184" s="1"/>
      </tp>
      <tp t="s">
        <v>#N/A Requesting Data...</v>
        <stp/>
        <stp>##V3_BDHV12</stp>
        <stp>CL1 Comdty</stp>
        <stp>30DAY_IMPVOL_110.0%MNY_DF</stp>
        <stp>24/06/2015</stp>
        <stp>24/06/2015</stp>
        <stp>[Bbg_Market_Data_CL.xlsm]data!R447C22</stp>
        <tr r="V447" s="1"/>
      </tp>
      <tp t="s">
        <v>#N/A Requesting Data...</v>
        <stp/>
        <stp>##V3_BDHV12</stp>
        <stp>CL1 Comdty</stp>
        <stp>30DAY_IMPVOL_110.0%MNY_DF</stp>
        <stp>23/11/2015</stp>
        <stp>23/11/2015</stp>
        <stp>[Bbg_Market_Data_CL.xlsm]data!R343C22</stp>
        <tr r="V343" s="1"/>
      </tp>
      <tp t="s">
        <v>#N/A Requesting Data...</v>
        <stp/>
        <stp>##V3_BDHV12</stp>
        <stp>CL1 Comdty</stp>
        <stp>30DAY_IMPVOL_100.0%MNY_DF</stp>
        <stp>23/10/2015</stp>
        <stp>23/10/2015</stp>
        <stp>[Bbg_Market_Data_CL.xlsm]data!R363C20</stp>
        <tr r="T363" s="1"/>
      </tp>
      <tp t="s">
        <v>#N/A Requesting Data...</v>
        <stp/>
        <stp>##V3_BDHV12</stp>
        <stp>CL1 Comdty</stp>
        <stp>30DAY_IMPVOL_100.0%MNY_DF</stp>
        <stp>01/03/2016</stp>
        <stp>01/03/2016</stp>
        <stp>[Bbg_Market_Data_CL.xlsm]data!R278C20</stp>
        <tr r="T278" s="1"/>
      </tp>
      <tp t="s">
        <v>#N/A Requesting Data...</v>
        <stp/>
        <stp>##V3_BDHV12</stp>
        <stp>CL1 Comdty</stp>
        <stp>30DAY_IMPVOL_110.0%MNY_DF</stp>
        <stp>14/05/2015</stp>
        <stp>14/05/2015</stp>
        <stp>[Bbg_Market_Data_CL.xlsm]data!R475C22</stp>
        <tr r="V475" s="1"/>
      </tp>
      <tp t="s">
        <v>#N/A Requesting Data...</v>
        <stp/>
        <stp>##V3_BDHV12</stp>
        <stp>CL1 Comdty</stp>
        <stp>30DAY_IMPVOL_110.0%MNY_DF</stp>
        <stp>11/03/2016</stp>
        <stp>11/03/2016</stp>
        <stp>[Bbg_Market_Data_CL.xlsm]data!R270C22</stp>
        <tr r="V270" s="1"/>
      </tp>
      <tp t="s">
        <v>#N/A Requesting Data...</v>
        <stp/>
        <stp>##V3_BDHV12</stp>
        <stp>CL1 Comdty</stp>
        <stp>30DAY_IMPVOL_110.0%MNY_DF</stp>
        <stp>01/02/2016</stp>
        <stp>01/02/2016</stp>
        <stp>[Bbg_Market_Data_CL.xlsm]data!R297C22</stp>
        <tr r="V297" s="1"/>
      </tp>
      <tp t="s">
        <v>#N/A Requesting Data...</v>
        <stp/>
        <stp>##V3_BDHV12</stp>
        <stp>CL1 Comdty</stp>
        <stp>30DAY_IMPVOL_100.0%MNY_DF</stp>
        <stp>04/05/2015</stp>
        <stp>04/05/2015</stp>
        <stp>[Bbg_Market_Data_CL.xlsm]data!R483C20</stp>
        <tr r="T483" s="1"/>
      </tp>
      <tp t="s">
        <v>#N/A Requesting Data...</v>
        <stp/>
        <stp>##V3_BDHV12</stp>
        <stp>CL1 Comdty</stp>
        <stp>30DAY_IMPVOL_100.0%MNY_DF</stp>
        <stp>11/02/2016</stp>
        <stp>11/02/2016</stp>
        <stp>[Bbg_Market_Data_CL.xlsm]data!R289C20</stp>
        <tr r="T289" s="1"/>
      </tp>
      <tp t="s">
        <v>#N/A Requesting Data...</v>
        <stp/>
        <stp>##V3_BDHV12</stp>
        <stp>CL1 Comdty</stp>
        <stp>30DAY_IMPVOL_100.0%MNY_DF</stp>
        <stp>14/04/2015</stp>
        <stp>14/04/2015</stp>
        <stp>[Bbg_Market_Data_CL.xlsm]data!R497C20</stp>
        <tr r="T497" s="1"/>
      </tp>
      <tp t="s">
        <v>#N/A Requesting Data...</v>
        <stp/>
        <stp>##V3_BDHV12</stp>
        <stp>CL1 Comdty</stp>
        <stp>30DAY_IMPVOL_100.0%MNY_DF</stp>
        <stp>13/10/2016</stp>
        <stp>13/10/2016</stp>
        <stp>[Bbg_Market_Data_CL.xlsm]data!R122C20</stp>
        <tr r="T122" s="1"/>
      </tp>
      <tp t="s">
        <v>#N/A Requesting Data...</v>
        <stp/>
        <stp>##V3_BDHV12</stp>
        <stp>CL1 Comdty</stp>
        <stp>30DAY_IMPVOL_110.0%MNY_DF</stp>
        <stp>02/12/2015</stp>
        <stp>02/12/2015</stp>
        <stp>[Bbg_Market_Data_CL.xlsm]data!R337C22</stp>
        <tr r="V337" s="1"/>
      </tp>
      <tp t="s">
        <v>#N/A Requesting Data...</v>
        <stp/>
        <stp>##V3_BDHV12</stp>
        <stp>CL1 Comdty</stp>
        <stp>30DAY_IMPVOL_100.0%MNY_DF</stp>
        <stp>21/01/2016</stp>
        <stp>21/01/2016</stp>
        <stp>[Bbg_Market_Data_CL.xlsm]data!R304C20</stp>
        <tr r="T304" s="1"/>
      </tp>
      <tp t="s">
        <v>#N/A Requesting Data...</v>
        <stp/>
        <stp>##V3_BDHV12</stp>
        <stp>CL1 Comdty</stp>
        <stp>30DAY_IMPVOL_105.0%MNY_DF</stp>
        <stp>05/07/2016</stp>
        <stp>05/07/2016</stp>
        <stp>[Bbg_Market_Data_CL.xlsm]data!R191C19</stp>
        <tr r="S191" s="1"/>
      </tp>
      <tp t="s">
        <v>#N/A Requesting Data...</v>
        <stp/>
        <stp>##V3_BDHV12</stp>
        <stp>CL1 Comdty</stp>
        <stp>30DAY_IMPVOL_100.0%MNY_DF</stp>
        <stp>03/11/2016</stp>
        <stp>03/11/2016</stp>
        <stp>[Bbg_Market_Data_CL.xlsm]data!R107C20</stp>
        <tr r="T107" s="1"/>
      </tp>
      <tp t="s">
        <v>#N/A Requesting Data...</v>
        <stp/>
        <stp>##V3_BDHV12</stp>
        <stp>CL1 Comdty</stp>
        <stp>30DAY_IMPVOL_110.0%MNY_DF</stp>
        <stp>03/10/2016</stp>
        <stp>03/10/2016</stp>
        <stp>[Bbg_Market_Data_CL.xlsm]data!R129C22</stp>
        <tr r="V129" s="1"/>
      </tp>
      <tp t="s">
        <v>#N/A Requesting Data...</v>
        <stp/>
        <stp>##V3_BDHV12</stp>
        <stp>CL1 Comdty</stp>
        <stp>30DAY_IMPVOL_100.0%MNY_DF</stp>
        <stp>15/05/2015</stp>
        <stp>15/05/2015</stp>
        <stp>[Bbg_Market_Data_CL.xlsm]data!R474C20</stp>
        <tr r="T474" s="1"/>
      </tp>
      <tp t="s">
        <v>#N/A Requesting Data...</v>
        <stp/>
        <stp>##V3_BDHV12</stp>
        <stp>CL1 Comdty</stp>
        <stp>30DAY_IMPVOL_100.0%MNY_DF</stp>
        <stp>10/03/2016</stp>
        <stp>10/03/2016</stp>
        <stp>[Bbg_Market_Data_CL.xlsm]data!R271C20</stp>
        <tr r="T271" s="1"/>
      </tp>
      <tp t="s">
        <v>#N/A Requesting Data...</v>
        <stp/>
        <stp>##V3_BDHV12</stp>
        <stp>CL1 Comdty</stp>
        <stp>30DAY_IMPVOL_100.0%MNY_DF</stp>
        <stp>25/06/2015</stp>
        <stp>25/06/2015</stp>
        <stp>[Bbg_Market_Data_CL.xlsm]data!R446C20</stp>
        <tr r="T446" s="1"/>
      </tp>
      <tp t="s">
        <v>#N/A Requesting Data...</v>
        <stp/>
        <stp>##V3_BDHV12</stp>
        <stp>CL1 Comdty</stp>
        <stp>30DAY_IMPVOL_110.0%MNY_DF</stp>
        <stp>22/10/2015</stp>
        <stp>22/10/2015</stp>
        <stp>[Bbg_Market_Data_CL.xlsm]data!R364C22</stp>
        <tr r="V364" s="1"/>
      </tp>
      <tp t="s">
        <v>#N/A Requesting Data...</v>
        <stp/>
        <stp>##V3_BDHV12</stp>
        <stp>CL1 Comdty</stp>
        <stp>30DAY_IMPVOL_110.0%MNY_DF</stp>
        <stp>05/05/2015</stp>
        <stp>05/05/2015</stp>
        <stp>[Bbg_Market_Data_CL.xlsm]data!R482C22</stp>
        <tr r="V482" s="1"/>
      </tp>
      <tp t="s">
        <v>#N/A Requesting Data...</v>
        <stp/>
        <stp>##V3_BDHV12</stp>
        <stp>CL1 Comdty</stp>
        <stp>30DAY_IMPVOL_105.0%MNY_DF</stp>
        <stp>16/05/2016</stp>
        <stp>16/05/2016</stp>
        <stp>[Bbg_Market_Data_CL.xlsm]data!R225C19</stp>
        <tr r="S225" s="1"/>
      </tp>
      <tp t="s">
        <v>#N/A Requesting Data...</v>
        <stp/>
        <stp>##V3_BDHV12</stp>
        <stp>CL1 Comdty</stp>
        <stp>30DAY_IMPVOL_110.0%MNY_DF</stp>
        <stp>10/02/2016</stp>
        <stp>10/02/2016</stp>
        <stp>[Bbg_Market_Data_CL.xlsm]data!R290C22</stp>
        <tr r="V290" s="1"/>
      </tp>
      <tp t="s">
        <v>#N/A Requesting Data...</v>
        <stp/>
        <stp>##V3_BDHV12</stp>
        <stp>CL1 Comdty</stp>
        <stp>30DAY_IMPVOL_110.0%MNY_DF</stp>
        <stp>15/04/2015</stp>
        <stp>15/04/2015</stp>
        <stp>[Bbg_Market_Data_CL.xlsm]data!R496C22</stp>
        <tr r="V496" s="1"/>
      </tp>
      <tp t="s">
        <v>#N/A Requesting Data...</v>
        <stp/>
        <stp>##V3_BDHV12</stp>
        <stp>CL1 Comdty</stp>
        <stp>30DAY_IMPVOL_105.0%MNY_DF</stp>
        <stp>06/04/2016</stp>
        <stp>06/04/2016</stp>
        <stp>[Bbg_Market_Data_CL.xlsm]data!R253C19</stp>
        <tr r="S253" s="1"/>
      </tp>
      <tp t="s">
        <v>#N/A Requesting Data...</v>
        <stp/>
        <stp>##V3_BDHV12</stp>
        <stp>CL1 Comdty</stp>
        <stp>30DAY_IMPVOL_110.0%MNY_DF</stp>
        <stp>31/12/2015</stp>
        <stp>31/12/2015</stp>
        <stp>[Bbg_Market_Data_CL.xlsm]data!R317C22</stp>
        <tr r="V317" s="1"/>
      </tp>
      <tp t="s">
        <v>#N/A Requesting Data...</v>
        <stp/>
        <stp>##V3_BDHV12</stp>
        <stp>CL1 Comdty</stp>
        <stp>30DAY_IMPVOL_100.0%MNY_DF</stp>
        <stp>21/12/2015</stp>
        <stp>21/12/2015</stp>
        <stp>[Bbg_Market_Data_CL.xlsm]data!R324C20</stp>
        <tr r="T324" s="1"/>
      </tp>
      <tp t="s">
        <v>#N/A Requesting Data...</v>
        <stp/>
        <stp>##V3_BDHV12</stp>
        <stp>CL1 Comdty</stp>
        <stp>30DAY_IMPVOL_100.0%MNY_DF</stp>
        <stp>20/10/2016</stp>
        <stp>20/10/2016</stp>
        <stp>[Bbg_Market_Data_CL.xlsm]data!R117C20</stp>
        <tr r="T117" s="1"/>
      </tp>
      <tp t="s">
        <v>#N/A Requesting Data...</v>
        <stp/>
        <stp>##V3_BDHV12</stp>
        <stp>CL1 Comdty</stp>
        <stp>30DAY_IMPVOL_100.0%MNY_DF</stp>
        <stp>12/01/2016</stp>
        <stp>12/01/2016</stp>
        <stp>[Bbg_Market_Data_CL.xlsm]data!R310C20</stp>
        <tr r="T310" s="1"/>
      </tp>
      <tp t="s">
        <v>#N/A Requesting Data...</v>
        <stp/>
        <stp>##V3_BDHV12</stp>
        <stp>CL1 Comdty</stp>
        <stp>30DAY_IMPVOL_110.0%MNY_DF</stp>
        <stp>16/07/2015</stp>
        <stp>16/07/2015</stp>
        <stp>[Bbg_Market_Data_CL.xlsm]data!R432C22</stp>
        <tr r="V432" s="1"/>
      </tp>
      <tp t="s">
        <v>#N/A Requesting Data...</v>
        <stp/>
        <stp>##V3_BDHV12</stp>
        <stp>CL1 Comdty</stp>
        <stp>30DAY_IMPVOL_100.0%MNY_DF</stp>
        <stp>23/03/2016</stp>
        <stp>23/03/2016</stp>
        <stp>[Bbg_Market_Data_CL.xlsm]data!R262C20</stp>
        <tr r="T262" s="1"/>
      </tp>
      <tp t="s">
        <v>#N/A Requesting Data...</v>
        <stp/>
        <stp>##V3_BDHV12</stp>
        <stp>CL1 Comdty</stp>
        <stp>30DAY_IMPVOL_100.0%MNY_DF</stp>
        <stp>01/10/2015</stp>
        <stp>01/10/2015</stp>
        <stp>[Bbg_Market_Data_CL.xlsm]data!R378C20</stp>
        <tr r="T378" s="1"/>
      </tp>
      <tp t="s">
        <v>#N/A Requesting Data...</v>
        <stp/>
        <stp>##V3_BDHV12</stp>
        <stp>CL1 Comdty</stp>
        <stp>30DAY_IMPVOL_100.0%MNY_DF</stp>
        <stp>26/05/2015</stp>
        <stp>26/05/2015</stp>
        <stp>[Bbg_Market_Data_CL.xlsm]data!R468C20</stp>
        <tr r="T468" s="1"/>
      </tp>
      <tp t="s">
        <v>#N/A Requesting Data...</v>
        <stp/>
        <stp>##V3_BDHV12</stp>
        <stp>CL1 Comdty</stp>
        <stp>30DAY_IMPVOL_100.0%MNY_DF</stp>
        <stp>06/07/2015</stp>
        <stp>06/07/2015</stp>
        <stp>[Bbg_Market_Data_CL.xlsm]data!R440C20</stp>
        <tr r="T440" s="1"/>
      </tp>
      <tp t="s">
        <v>#N/A Requesting Data...</v>
        <stp/>
        <stp>##V3_BDHV12</stp>
        <stp>CL1 Comdty</stp>
        <stp>30DAY_IMPVOL_100.0%MNY_DF</stp>
        <stp>16/06/2015</stp>
        <stp>16/06/2015</stp>
        <stp>[Bbg_Market_Data_CL.xlsm]data!R453C20</stp>
        <tr r="T453" s="1"/>
      </tp>
      <tp t="s">
        <v>#N/A Requesting Data...</v>
        <stp/>
        <stp>##V3_BDHV12</stp>
        <stp>CL1 Comdty</stp>
        <stp>30DAY_IMPVOL_110.0%MNY_DF</stp>
        <stp>23/02/2016</stp>
        <stp>23/02/2016</stp>
        <stp>[Bbg_Market_Data_CL.xlsm]data!R283C22</stp>
        <tr r="V283" s="1"/>
      </tp>
      <tp t="s">
        <v>#N/A Requesting Data...</v>
        <stp/>
        <stp>##V3_BDHV12</stp>
        <stp>CL1 Comdty</stp>
        <stp>30DAY_IMPVOL_105.0%MNY_DF</stp>
        <stp>25/05/2016</stp>
        <stp>25/05/2016</stp>
        <stp>[Bbg_Market_Data_CL.xlsm]data!R218C19</stp>
        <tr r="S218" s="1"/>
      </tp>
      <tp t="s">
        <v>#N/A Requesting Data...</v>
        <stp/>
        <stp>##V3_BDHV12</stp>
        <stp>CL1 Comdty</stp>
        <stp>30DAY_IMPVOL_105.0%MNY_DF</stp>
        <stp>15/06/2016</stp>
        <stp>15/06/2016</stp>
        <stp>[Bbg_Market_Data_CL.xlsm]data!R204C19</stp>
        <tr r="S204" s="1"/>
      </tp>
      <tp t="s">
        <v>#N/A Requesting Data...</v>
        <stp/>
        <stp>##V3_BDHV12</stp>
        <stp>CL1 Comdty</stp>
        <stp>30DAY_IMPVOL_110.0%MNY_DF</stp>
        <stp>21/10/2016</stp>
        <stp>21/10/2016</stp>
        <stp>[Bbg_Market_Data_CL.xlsm]data!R116C22</stp>
        <tr r="V116" s="1"/>
      </tp>
      <tp t="s">
        <v>#N/A Requesting Data...</v>
        <stp/>
        <stp>##V3_BDHV12</stp>
        <stp>CL1 Comdty</stp>
        <stp>30DAY_IMPVOL_110.0%MNY_DF</stp>
        <stp>13/01/2016</stp>
        <stp>13/01/2016</stp>
        <stp>[Bbg_Market_Data_CL.xlsm]data!R309C22</stp>
        <tr r="V309" s="1"/>
      </tp>
      <tp t="s">
        <v>#N/A Requesting Data...</v>
        <stp/>
        <stp>##V3_BDHV12</stp>
        <stp>CL1 Comdty</stp>
        <stp>30DAY_IMPVOL_100.0%MNY_DF</stp>
        <stp>17/07/2015</stp>
        <stp>17/07/2015</stp>
        <stp>[Bbg_Market_Data_CL.xlsm]data!R431C20</stp>
        <tr r="T431" s="1"/>
      </tp>
      <tp t="s">
        <v>#N/A Requesting Data...</v>
        <stp/>
        <stp>##V3_BDHV12</stp>
        <stp>CL1 Comdty</stp>
        <stp>30DAY_IMPVOL_100.0%MNY_DF</stp>
        <stp>31/10/2016</stp>
        <stp>31/10/2016</stp>
        <stp>[Bbg_Market_Data_CL.xlsm]data!R110C20</stp>
        <tr r="T110" s="1"/>
      </tp>
      <tp t="s">
        <v>#N/A Requesting Data...</v>
        <stp/>
        <stp>##V3_BDHV12</stp>
        <stp>CL1 Comdty</stp>
        <stp>30DAY_IMPVOL_100.0%MNY_DF</stp>
        <stp>30/12/2015</stp>
        <stp>30/12/2015</stp>
        <stp>[Bbg_Market_Data_CL.xlsm]data!R318C20</stp>
        <tr r="T318" s="1"/>
      </tp>
      <tp t="s">
        <v>#N/A Requesting Data...</v>
        <stp/>
        <stp>##V3_BDHV12</stp>
        <stp>CL1 Comdty</stp>
        <stp>30DAY_IMPVOL_110.0%MNY_DF</stp>
        <stp>07/07/2015</stp>
        <stp>07/07/2015</stp>
        <stp>[Bbg_Market_Data_CL.xlsm]data!R439C22</stp>
        <tr r="V439" s="1"/>
      </tp>
      <tp t="s">
        <v>#N/A Requesting Data...</v>
        <stp/>
        <stp>##V3_BDHV12</stp>
        <stp>CL1 Comdty</stp>
        <stp>30DAY_IMPVOL_110.0%MNY_DF</stp>
        <stp>10/11/2015</stp>
        <stp>10/11/2015</stp>
        <stp>[Bbg_Market_Data_CL.xlsm]data!R351C22</stp>
        <tr r="V351" s="1"/>
      </tp>
      <tp t="s">
        <v>#N/A Requesting Data...</v>
        <stp/>
        <stp>##V3_BDHV12</stp>
        <stp>CL1 Comdty</stp>
        <stp>30DAY_IMPVOL_110.0%MNY_DF</stp>
        <stp>17/06/2015</stp>
        <stp>17/06/2015</stp>
        <stp>[Bbg_Market_Data_CL.xlsm]data!R452C22</stp>
        <tr r="V452" s="1"/>
      </tp>
      <tp t="s">
        <v>#N/A Requesting Data...</v>
        <stp/>
        <stp>##V3_BDHV12</stp>
        <stp>CL1 Comdty</stp>
        <stp>30DAY_IMPVOL_110.0%MNY_DF</stp>
        <stp>27/05/2015</stp>
        <stp>27/05/2015</stp>
        <stp>[Bbg_Market_Data_CL.xlsm]data!R467C22</stp>
        <tr r="V467" s="1"/>
      </tp>
      <tp t="s">
        <v>#N/A Requesting Data...</v>
        <stp/>
        <stp>##V3_BDHV12</stp>
        <stp>CL1 Comdty</stp>
        <stp>30DAY_IMPVOL_110.0%MNY_DF</stp>
        <stp>22/03/2016</stp>
        <stp>22/03/2016</stp>
        <stp>[Bbg_Market_Data_CL.xlsm]data!R263C22</stp>
        <tr r="V263" s="1"/>
      </tp>
      <tp t="s">
        <v>#N/A Requesting Data...</v>
        <stp/>
        <stp>##V3_BDHV12</stp>
        <stp>CL1 Comdty</stp>
        <stp>30DAY_IMPVOL_100.0%MNY_DF</stp>
        <stp>22/02/2016</stp>
        <stp>22/02/2016</stp>
        <stp>[Bbg_Market_Data_CL.xlsm]data!R284C20</stp>
        <tr r="T284" s="1"/>
      </tp>
      <tp t="s">
        <v>#N/A Requesting Data...</v>
        <stp/>
        <stp>##V3_BDHV12</stp>
        <stp>CL1 Comdty</stp>
        <stp>30DAY_IMPVOL_100.0%MNY_DF</stp>
        <stp>27/04/2015</stp>
        <stp>27/04/2015</stp>
        <stp>[Bbg_Market_Data_CL.xlsm]data!R488C20</stp>
        <tr r="T488" s="1"/>
      </tp>
      <tp t="s">
        <v>#N/A Requesting Data...</v>
        <stp/>
        <stp>##V3_BDHV12</stp>
        <stp>CL1 Comdty</stp>
        <stp>30DAY_IMPVOL_105.0%MNY_DF</stp>
        <stp>27/07/2016</stp>
        <stp>27/07/2016</stp>
        <stp>[Bbg_Market_Data_CL.xlsm]data!R175C19</stp>
        <tr r="S175" s="1"/>
      </tp>
      <tp t="s">
        <v>#N/A Requesting Data...</v>
        <stp/>
        <stp>##V3_BDHV12</stp>
        <stp>CL1 Comdty</stp>
        <stp>30DAY_IMPVOL_100.0%MNY_DF</stp>
        <stp>15/06/2016</stp>
        <stp>15/06/2016</stp>
        <stp>[Bbg_Market_Data_CL.xlsm]data!R204C20</stp>
        <tr r="T204" s="1"/>
      </tp>
      <tp t="s">
        <v>#N/A Requesting Data...</v>
        <stp/>
        <stp>##V3_BDHV12</stp>
        <stp>CL1 Comdty</stp>
        <stp>30DAY_IMPVOL_100.0%MNY_DF</stp>
        <stp>25/05/2016</stp>
        <stp>25/05/2016</stp>
        <stp>[Bbg_Market_Data_CL.xlsm]data!R218C20</stp>
        <tr r="T218" s="1"/>
      </tp>
      <tp t="s">
        <v>#N/A Requesting Data...</v>
        <stp/>
        <stp>##V3_BDHV12</stp>
        <stp>CL1 Comdty</stp>
        <stp>30DAY_IMPVOL_110.0%MNY_DF</stp>
        <stp>25/04/2016</stp>
        <stp>25/04/2016</stp>
        <stp>[Bbg_Market_Data_CL.xlsm]data!R240C22</stp>
        <tr r="V240" s="1"/>
      </tp>
      <tp t="s">
        <v>#N/A Requesting Data...</v>
        <stp/>
        <stp>##V3_BDHV12</stp>
        <stp>CL1 Comdty</stp>
        <stp>30DAY_IMPVOL_110.0%MNY_DF</stp>
        <stp>26/07/2016</stp>
        <stp>26/07/2016</stp>
        <stp>[Bbg_Market_Data_CL.xlsm]data!R176C22</stp>
        <tr r="V176" s="1"/>
      </tp>
      <tp t="s">
        <v>#N/A Requesting Data...</v>
        <stp/>
        <stp>##V3_BDHV12</stp>
        <stp>CL1 Comdty</stp>
        <stp>30DAY_IMPVOL_105.0%MNY_DF</stp>
        <stp>21/12/2015</stp>
        <stp>21/12/2015</stp>
        <stp>[Bbg_Market_Data_CL.xlsm]data!R324C19</stp>
        <tr r="S324" s="1"/>
      </tp>
      <tp t="s">
        <v>#N/A Requesting Data...</v>
        <stp/>
        <stp>##V3_BDHV12</stp>
        <stp>CL1 Comdty</stp>
        <stp>30DAY_IMPVOL_105.0%MNY_DF</stp>
        <stp>12/01/2016</stp>
        <stp>12/01/2016</stp>
        <stp>[Bbg_Market_Data_CL.xlsm]data!R310C19</stp>
        <tr r="S310" s="1"/>
      </tp>
      <tp t="s">
        <v>#N/A Requesting Data...</v>
        <stp/>
        <stp>##V3_BDHV12</stp>
        <stp>CL1 Comdty</stp>
        <stp>30DAY_IMPVOL_105.0%MNY_DF</stp>
        <stp>20/10/2016</stp>
        <stp>20/10/2016</stp>
        <stp>[Bbg_Market_Data_CL.xlsm]data!R117C19</stp>
        <tr r="S117" s="1"/>
      </tp>
      <tp t="s">
        <v>#N/A Requesting Data...</v>
        <stp/>
        <stp>##V3_BDHV12</stp>
        <stp>CL1 Comdty</stp>
        <stp>30DAY_IMPVOL_105.0%MNY_DF</stp>
        <stp>23/03/2016</stp>
        <stp>23/03/2016</stp>
        <stp>[Bbg_Market_Data_CL.xlsm]data!R262C19</stp>
        <tr r="S262" s="1"/>
      </tp>
      <tp t="s">
        <v>#N/A Requesting Data...</v>
        <stp/>
        <stp>##V3_BDHV12</stp>
        <stp>CL1 Comdty</stp>
        <stp>30DAY_IMPVOL_105.0%MNY_DF</stp>
        <stp>01/10/2015</stp>
        <stp>01/10/2015</stp>
        <stp>[Bbg_Market_Data_CL.xlsm]data!R378C19</stp>
        <tr r="S378" s="1"/>
      </tp>
      <tp t="s">
        <v>#N/A Requesting Data...</v>
        <stp/>
        <stp>##V3_BDHV12</stp>
        <stp>CL1 Comdty</stp>
        <stp>30DAY_IMPVOL_105.0%MNY_DF</stp>
        <stp>26/05/2015</stp>
        <stp>26/05/2015</stp>
        <stp>[Bbg_Market_Data_CL.xlsm]data!R468C19</stp>
        <tr r="S468" s="1"/>
      </tp>
      <tp t="s">
        <v>#N/A Requesting Data...</v>
        <stp/>
        <stp>##V3_BDHV12</stp>
        <stp>CL1 Comdty</stp>
        <stp>30DAY_IMPVOL_105.0%MNY_DF</stp>
        <stp>16/06/2015</stp>
        <stp>16/06/2015</stp>
        <stp>[Bbg_Market_Data_CL.xlsm]data!R453C19</stp>
        <tr r="S453" s="1"/>
      </tp>
      <tp t="s">
        <v>#N/A Requesting Data...</v>
        <stp/>
        <stp>##V3_BDHV12</stp>
        <stp>CL1 Comdty</stp>
        <stp>30DAY_IMPVOL_105.0%MNY_DF</stp>
        <stp>06/07/2015</stp>
        <stp>06/07/2015</stp>
        <stp>[Bbg_Market_Data_CL.xlsm]data!R440C19</stp>
        <tr r="S440" s="1"/>
      </tp>
      <tp t="s">
        <v>#N/A Requesting Data...</v>
        <stp/>
        <stp>##V3_BDHV12</stp>
        <stp>CL1 Comdty</stp>
        <stp>30DAY_IMPVOL_110.0%MNY_DF</stp>
        <stp>14/06/2016</stp>
        <stp>14/06/2016</stp>
        <stp>[Bbg_Market_Data_CL.xlsm]data!R205C22</stp>
        <tr r="V205" s="1"/>
      </tp>
      <tp t="s">
        <v>#N/A Requesting Data...</v>
        <stp/>
        <stp>##V3_BDHV12</stp>
        <stp>CL1 Comdty</stp>
        <stp>30DAY_IMPVOL_110.0%MNY_DF</stp>
        <stp>24/05/2016</stp>
        <stp>24/05/2016</stp>
        <stp>[Bbg_Market_Data_CL.xlsm]data!R219C22</stp>
        <tr r="V219" s="1"/>
      </tp>
      <tp t="s">
        <v>#N/A Requesting Data...</v>
        <stp/>
        <stp>##V3_BDHV12</stp>
        <stp>CL1 Comdty</stp>
        <stp>30DAY_IMPVOL_105.0%MNY_DF</stp>
        <stp>22/02/2016</stp>
        <stp>22/02/2016</stp>
        <stp>[Bbg_Market_Data_CL.xlsm]data!R284C19</stp>
        <tr r="S284" s="1"/>
      </tp>
      <tp t="s">
        <v>#N/A Requesting Data...</v>
        <stp/>
        <stp>##V3_BDHV12</stp>
        <stp>CL1 Comdty</stp>
        <stp>30DAY_IMPVOL_105.0%MNY_DF</stp>
        <stp>27/04/2015</stp>
        <stp>27/04/2015</stp>
        <stp>[Bbg_Market_Data_CL.xlsm]data!R488C19</stp>
        <tr r="S488" s="1"/>
      </tp>
      <tp t="s">
        <v>#N/A Requesting Data...</v>
        <stp/>
        <stp>##V3_BDHV12</stp>
        <stp>CL1 Comdty</stp>
        <stp>30DAY_IMPVOL_100.0%MNY_DF</stp>
        <stp>27/07/2016</stp>
        <stp>27/07/2016</stp>
        <stp>[Bbg_Market_Data_CL.xlsm]data!R175C20</stp>
        <tr r="T175" s="1"/>
      </tp>
      <tp t="s">
        <v>#N/A Requesting Data...</v>
        <stp/>
        <stp>##V3_BDHV12</stp>
        <stp>CL1 Comdty</stp>
        <stp>30DAY_IMPVOL_105.0%MNY_DF</stp>
        <stp>17/07/2015</stp>
        <stp>17/07/2015</stp>
        <stp>[Bbg_Market_Data_CL.xlsm]data!R431C19</stp>
        <tr r="S431" s="1"/>
      </tp>
      <tp t="s">
        <v>#N/A Requesting Data...</v>
        <stp/>
        <stp>##V3_BDHV12</stp>
        <stp>CL1 Comdty</stp>
        <stp>30DAY_IMPVOL_110.0%MNY_DF</stp>
        <stp>27/06/2016</stp>
        <stp>27/06/2016</stp>
        <stp>[Bbg_Market_Data_CL.xlsm]data!R196C22</stp>
        <tr r="V196" s="1"/>
      </tp>
      <tp t="s">
        <v>#N/A Requesting Data...</v>
        <stp/>
        <stp>##V3_BDHV12</stp>
        <stp>CL1 Comdty</stp>
        <stp>30DAY_IMPVOL_105.0%MNY_DF</stp>
        <stp>31/10/2016</stp>
        <stp>31/10/2016</stp>
        <stp>[Bbg_Market_Data_CL.xlsm]data!R110C19</stp>
        <tr r="S110" s="1"/>
      </tp>
      <tp t="s">
        <v>#N/A Requesting Data...</v>
        <stp/>
        <stp>##V3_BDHV12</stp>
        <stp>CL1 Comdty</stp>
        <stp>30DAY_IMPVOL_105.0%MNY_DF</stp>
        <stp>30/12/2015</stp>
        <stp>30/12/2015</stp>
        <stp>[Bbg_Market_Data_CL.xlsm]data!R318C19</stp>
        <tr r="S318" s="1"/>
      </tp>
      <tp t="s">
        <v>#N/A Requesting Data...</v>
        <stp/>
        <stp>##V3_BDHV12</stp>
        <stp>CL1 Comdty</stp>
        <stp>30DAY_IMPVOL_110.0%MNY_DF</stp>
        <stp>17/05/2016</stp>
        <stp>17/05/2016</stp>
        <stp>[Bbg_Market_Data_CL.xlsm]data!R224C22</stp>
        <tr r="V224" s="1"/>
      </tp>
      <tp t="s">
        <v>#N/A Requesting Data...</v>
        <stp/>
        <stp>##V3_BDHV12</stp>
        <stp>CL1 Comdty</stp>
        <stp>30DAY_IMPVOL_105.0%MNY_DF</stp>
        <stp>14/04/2015</stp>
        <stp>14/04/2015</stp>
        <stp>[Bbg_Market_Data_CL.xlsm]data!R497C19</stp>
        <tr r="S497" s="1"/>
      </tp>
      <tp t="s">
        <v>#N/A Requesting Data...</v>
        <stp/>
        <stp>##V3_BDHV12</stp>
        <stp>CL1 Comdty</stp>
        <stp>30DAY_IMPVOL_105.0%MNY_DF</stp>
        <stp>04/05/2015</stp>
        <stp>04/05/2015</stp>
        <stp>[Bbg_Market_Data_CL.xlsm]data!R483C19</stp>
        <tr r="S483" s="1"/>
      </tp>
      <tp t="s">
        <v>#N/A Requesting Data...</v>
        <stp/>
        <stp>##V3_BDHV12</stp>
        <stp>CL1 Comdty</stp>
        <stp>30DAY_IMPVOL_105.0%MNY_DF</stp>
        <stp>11/02/2016</stp>
        <stp>11/02/2016</stp>
        <stp>[Bbg_Market_Data_CL.xlsm]data!R289C19</stp>
        <tr r="S289" s="1"/>
      </tp>
      <tp t="s">
        <v>#N/A Requesting Data...</v>
        <stp/>
        <stp>##V3_BDHV12</stp>
        <stp>CL1 Comdty</stp>
        <stp>30DAY_IMPVOL_110.0%MNY_DF</stp>
        <stp>07/04/2016</stp>
        <stp>07/04/2016</stp>
        <stp>[Bbg_Market_Data_CL.xlsm]data!R252C22</stp>
        <tr r="V252" s="1"/>
      </tp>
      <tp t="s">
        <v>#N/A Requesting Data...</v>
        <stp/>
        <stp>##V3_BDHV12</stp>
        <stp>CL1 Comdty</stp>
        <stp>30DAY_IMPVOL_105.0%MNY_DF</stp>
        <stp>24/07/2015</stp>
        <stp>24/07/2015</stp>
        <stp>[Bbg_Market_Data_CL.xlsm]data!R426C19</stp>
        <tr r="S426" s="1"/>
      </tp>
      <tp t="s">
        <v>#N/A Requesting Data...</v>
        <stp/>
        <stp>##V3_BDHV12</stp>
        <stp>CL1 Comdty</stp>
        <stp>30DAY_IMPVOL_105.0%MNY_DF</stp>
        <stp>03/12/2015</stp>
        <stp>03/12/2015</stp>
        <stp>[Bbg_Market_Data_CL.xlsm]data!R336C19</stp>
        <tr r="S336" s="1"/>
      </tp>
      <tp t="s">
        <v>#N/A Requesting Data...</v>
        <stp/>
        <stp>##V3_BDHV12</stp>
        <stp>CL1 Comdty</stp>
        <stp>30DAY_IMPVOL_100.0%MNY_DF</stp>
        <stp>14/07/2016</stp>
        <stp>14/07/2016</stp>
        <stp>[Bbg_Market_Data_CL.xlsm]data!R184C20</stp>
        <tr r="T184" s="1"/>
      </tp>
      <tp t="s">
        <v>#N/A Requesting Data...</v>
        <stp/>
        <stp>##V3_BDHV12</stp>
        <stp>CL1 Comdty</stp>
        <stp>30DAY_IMPVOL_105.0%MNY_DF</stp>
        <stp>23/10/2015</stp>
        <stp>23/10/2015</stp>
        <stp>[Bbg_Market_Data_CL.xlsm]data!R363C19</stp>
        <tr r="S363" s="1"/>
      </tp>
      <tp t="s">
        <v>#N/A Requesting Data...</v>
        <stp/>
        <stp>##V3_BDHV12</stp>
        <stp>CL1 Comdty</stp>
        <stp>30DAY_IMPVOL_105.0%MNY_DF</stp>
        <stp>01/03/2016</stp>
        <stp>01/03/2016</stp>
        <stp>[Bbg_Market_Data_CL.xlsm]data!R278C19</stp>
        <tr r="S278" s="1"/>
      </tp>
      <tp t="s">
        <v>#N/A Requesting Data...</v>
        <stp/>
        <stp>##V3_BDHV12</stp>
        <stp>CL1 Comdty</stp>
        <stp>30DAY_IMPVOL_100.0%MNY_DF</stp>
        <stp>16/05/2016</stp>
        <stp>16/05/2016</stp>
        <stp>[Bbg_Market_Data_CL.xlsm]data!R225C20</stp>
        <tr r="T225" s="1"/>
      </tp>
      <tp t="s">
        <v>#N/A Requesting Data...</v>
        <stp/>
        <stp>##V3_BDHV12</stp>
        <stp>CL1 Comdty</stp>
        <stp>30DAY_IMPVOL_110.0%MNY_DF</stp>
        <stp>06/05/2016</stp>
        <stp>06/05/2016</stp>
        <stp>[Bbg_Market_Data_CL.xlsm]data!R231C22</stp>
        <tr r="V231" s="1"/>
      </tp>
      <tp t="s">
        <v>#N/A Requesting Data...</v>
        <stp/>
        <stp>##V3_BDHV12</stp>
        <stp>CL1 Comdty</stp>
        <stp>30DAY_IMPVOL_100.0%MNY_DF</stp>
        <stp>06/04/2016</stp>
        <stp>06/04/2016</stp>
        <stp>[Bbg_Market_Data_CL.xlsm]data!R253C20</stp>
        <tr r="T253" s="1"/>
      </tp>
      <tp t="s">
        <v>#N/A Requesting Data...</v>
        <stp/>
        <stp>##V3_BDHV12</stp>
        <stp>CL1 Comdty</stp>
        <stp>30DAY_IMPVOL_105.0%MNY_DF</stp>
        <stp>13/10/2016</stp>
        <stp>13/10/2016</stp>
        <stp>[Bbg_Market_Data_CL.xlsm]data!R122C19</stp>
        <tr r="S122" s="1"/>
      </tp>
      <tp t="s">
        <v>#N/A Requesting Data...</v>
        <stp/>
        <stp>##V3_BDHV12</stp>
        <stp>CL1 Comdty</stp>
        <stp>30DAY_IMPVOL_110.0%MNY_DF</stp>
        <stp>15/07/2016</stp>
        <stp>15/07/2016</stp>
        <stp>[Bbg_Market_Data_CL.xlsm]data!R183C22</stp>
        <tr r="V183" s="1"/>
      </tp>
      <tp t="s">
        <v>#N/A Requesting Data...</v>
        <stp/>
        <stp>##V3_BDHV12</stp>
        <stp>CL1 Comdty</stp>
        <stp>30DAY_IMPVOL_105.0%MNY_DF</stp>
        <stp>03/11/2016</stp>
        <stp>03/11/2016</stp>
        <stp>[Bbg_Market_Data_CL.xlsm]data!R107C19</stp>
        <tr r="S107" s="1"/>
      </tp>
      <tp t="s">
        <v>#N/A Requesting Data...</v>
        <stp/>
        <stp>##V3_BDHV12</stp>
        <stp>CL1 Comdty</stp>
        <stp>30DAY_IMPVOL_105.0%MNY_DF</stp>
        <stp>21/01/2016</stp>
        <stp>21/01/2016</stp>
        <stp>[Bbg_Market_Data_CL.xlsm]data!R304C19</stp>
        <tr r="S304" s="1"/>
      </tp>
      <tp t="s">
        <v>#N/A Requesting Data...</v>
        <stp/>
        <stp>##V3_BDHV12</stp>
        <stp>CL1 Comdty</stp>
        <stp>30DAY_IMPVOL_100.0%MNY_DF</stp>
        <stp>05/07/2016</stp>
        <stp>05/07/2016</stp>
        <stp>[Bbg_Market_Data_CL.xlsm]data!R191C20</stp>
        <tr r="T191" s="1"/>
      </tp>
      <tp t="s">
        <v>#N/A Requesting Data...</v>
        <stp/>
        <stp>##V3_BDHV12</stp>
        <stp>CL1 Comdty</stp>
        <stp>30DAY_IMPVOL_105.0%MNY_DF</stp>
        <stp>15/05/2015</stp>
        <stp>15/05/2015</stp>
        <stp>[Bbg_Market_Data_CL.xlsm]data!R474C19</stp>
        <tr r="S474" s="1"/>
      </tp>
      <tp t="s">
        <v>#N/A Requesting Data...</v>
        <stp/>
        <stp>##V3_BDHV12</stp>
        <stp>CL1 Comdty</stp>
        <stp>30DAY_IMPVOL_105.0%MNY_DF</stp>
        <stp>10/03/2016</stp>
        <stp>10/03/2016</stp>
        <stp>[Bbg_Market_Data_CL.xlsm]data!R271C19</stp>
        <tr r="S271" s="1"/>
      </tp>
      <tp t="s">
        <v>#N/A Requesting Data...</v>
        <stp/>
        <stp>##V3_BDHV12</stp>
        <stp>CL1 Comdty</stp>
        <stp>30DAY_IMPVOL_105.0%MNY_DF</stp>
        <stp>25/06/2015</stp>
        <stp>25/06/2015</stp>
        <stp>[Bbg_Market_Data_CL.xlsm]data!R446C19</stp>
        <tr r="S446" s="1"/>
      </tp>
      <tp t="s">
        <v>#N/A Requesting Data...</v>
        <stp/>
        <stp>##V3_BDHV12</stp>
        <stp>CL1 Comdty</stp>
        <stp>30DAY_IMPVOL_110.0%MNY_DF</stp>
        <stp>28/09/2016</stp>
        <stp>28/09/2016</stp>
        <stp>[Bbg_Market_Data_CL.xlsm]data!R132C22</stp>
        <tr r="V132" s="1"/>
      </tp>
      <tp t="s">
        <v>#N/A Requesting Data...</v>
        <stp/>
        <stp>##V3_BDHV12</stp>
        <stp>CL1 Comdty</stp>
        <stp>30DAY_IMPVOL_110.0%MNY_DF</stp>
        <stp>09/09/2015</stp>
        <stp>09/09/2015</stp>
        <stp>[Bbg_Market_Data_CL.xlsm]data!R394C22</stp>
        <tr r="V394" s="1"/>
      </tp>
      <tp t="s">
        <v>#N/A Requesting Data...</v>
        <stp/>
        <stp>##V3_BDHV12</stp>
        <stp>CL1 Comdty</stp>
        <stp>30DAY_IMPVOL_105.0%MNY_DF</stp>
        <stp>18/08/2015</stp>
        <stp>18/08/2015</stp>
        <stp>[Bbg_Market_Data_CL.xlsm]data!R409C19</stp>
        <tr r="S409" s="1"/>
      </tp>
      <tp t="s">
        <v>#N/A Requesting Data...</v>
        <stp/>
        <stp>##V3_BDHV12</stp>
        <stp>CL1 Comdty</stp>
        <stp>30DAY_IMPVOL_100.0%MNY_DF</stp>
        <stp>29/09/2016</stp>
        <stp>29/09/2016</stp>
        <stp>[Bbg_Market_Data_CL.xlsm]data!R131C20</stp>
        <tr r="T131" s="1"/>
      </tp>
      <tp t="s">
        <v>#N/A Requesting Data...</v>
        <stp/>
        <stp>##V3_BDHV12</stp>
        <stp>CL1 Comdty</stp>
        <stp>30DAY_IMPVOL_110.0%MNY_DF</stp>
        <stp>29/08/2016</stp>
        <stp>29/08/2016</stp>
        <stp>[Bbg_Market_Data_CL.xlsm]data!R153C22</stp>
        <tr r="V153" s="1"/>
      </tp>
      <tp t="s">
        <v>#N/A Requesting Data...</v>
        <stp/>
        <stp>##V3_BDHV12</stp>
        <stp>CL1 Comdty</stp>
        <stp>30DAY_IMPVOL_110.0%MNY_DF</stp>
        <stp>18/09/2015</stp>
        <stp>18/09/2015</stp>
        <stp>[Bbg_Market_Data_CL.xlsm]data!R387C22</stp>
        <tr r="V387" s="1"/>
      </tp>
      <tp t="s">
        <v>#N/A Requesting Data...</v>
        <stp/>
        <stp>##V3_BDHV12</stp>
        <stp>CL1 Comdty</stp>
        <stp>30DAY_IMPVOL_100.0%MNY_DF</stp>
        <stp>08/09/2015</stp>
        <stp>08/09/2015</stp>
        <stp>[Bbg_Market_Data_CL.xlsm]data!R395C20</stp>
        <tr r="T395" s="1"/>
      </tp>
      <tp t="s">
        <v>#N/A Requesting Data...</v>
        <stp/>
        <stp>##V3_BDHV12</stp>
        <stp>CL1 Comdty</stp>
        <stp>30DAY_IMPVOL_100.0%MNY_DF</stp>
        <stp>18/08/2015</stp>
        <stp>18/08/2015</stp>
        <stp>[Bbg_Market_Data_CL.xlsm]data!R409C20</stp>
        <tr r="T409" s="1"/>
      </tp>
      <tp t="s">
        <v>#N/A Requesting Data...</v>
        <stp/>
        <stp>##V3_BDHV12</stp>
        <stp>CL1 Comdty</stp>
        <stp>30DAY_IMPVOL_110.0%MNY_DF</stp>
        <stp>19/08/2015</stp>
        <stp>19/08/2015</stp>
        <stp>[Bbg_Market_Data_CL.xlsm]data!R408C22</stp>
        <tr r="V408" s="1"/>
      </tp>
      <tp t="s">
        <v>#N/A Requesting Data...</v>
        <stp/>
        <stp>##V3_BDHV12</stp>
        <stp>CL1 Comdty</stp>
        <stp>30DAY_IMPVOL_105.0%MNY_DF</stp>
        <stp>08/09/2015</stp>
        <stp>08/09/2015</stp>
        <stp>[Bbg_Market_Data_CL.xlsm]data!R395C19</stp>
        <tr r="S395" s="1"/>
      </tp>
      <tp t="s">
        <v>#N/A Requesting Data...</v>
        <stp/>
        <stp>##V3_BDHV12</stp>
        <stp>CL1 Comdty</stp>
        <stp>30DAY_IMPVOL_105.0%MNY_DF</stp>
        <stp>29/09/2016</stp>
        <stp>29/09/2016</stp>
        <stp>[Bbg_Market_Data_CL.xlsm]data!R131C19</stp>
        <tr r="S131" s="1"/>
      </tp>
      <tp t="s">
        <v>#N/A Requesting Data...</v>
        <stp/>
        <stp>##V3_BDHV12</stp>
        <stp>CL2 Comdty</stp>
        <stp>RSI_9D</stp>
        <stp>20/09/2016</stp>
        <stp>20/09/2016</stp>
        <stp>[Bbg_Market_Data_CL.xlsm]data!R139C12</stp>
        <tr r="L139" s="1"/>
      </tp>
      <tp t="s">
        <v>#N/A Requesting Data...</v>
        <stp/>
        <stp>##V3_BDHV12</stp>
        <stp>CL2 Comdty</stp>
        <stp>RSI_9D</stp>
        <stp>30/08/2016</stp>
        <stp>30/08/2016</stp>
        <stp>[Bbg_Market_Data_CL.xlsm]data!R153C12</stp>
        <tr r="L153" s="1"/>
      </tp>
      <tp t="s">
        <v>#N/A Requesting Data...</v>
        <stp/>
        <stp>##V3_BDHV12</stp>
        <stp>CL2 Comdty</stp>
        <stp>RSI_9D</stp>
        <stp>10/09/2015</stp>
        <stp>10/09/2015</stp>
        <stp>[Bbg_Market_Data_CL.xlsm]data!R394C12</stp>
        <tr r="L394" s="1"/>
      </tp>
      <tp t="s">
        <v>#N/A Requesting Data...</v>
        <stp/>
        <stp>##V3_BDHV12</stp>
        <stp>CL1 Comdty</stp>
        <stp>RSI_9D</stp>
        <stp>01/09/2016</stp>
        <stp>01/09/2016</stp>
        <stp>[Bbg_Market_Data_CL.xlsm]data!R151C12</stp>
        <tr r="L151" s="1"/>
      </tp>
      <tp t="s">
        <v>#N/A Requesting Data...</v>
        <stp/>
        <stp>##V3_BDHV12</stp>
        <stp>CL1 Comdty</stp>
        <stp>RSI_9D</stp>
        <stp>11/08/2016</stp>
        <stp>11/08/2016</stp>
        <stp>[Bbg_Market_Data_CL.xlsm]data!R166C12</stp>
        <tr r="L166" s="1"/>
      </tp>
      <tp t="s">
        <v>#N/A Requesting Data...</v>
        <stp/>
        <stp>##V3_BDHV12</stp>
        <stp>CL2 Comdty</stp>
        <stp>RSI_9D</stp>
        <stp>23/09/2015</stp>
        <stp>23/09/2015</stp>
        <stp>[Bbg_Market_Data_CL.xlsm]data!R385C12</stp>
        <tr r="L385" s="1"/>
      </tp>
      <tp t="s">
        <v>#N/A Requesting Data...</v>
        <stp/>
        <stp>##V3_BDHV12</stp>
        <stp>CL1 Comdty</stp>
        <stp>RSI_9D</stp>
        <stp>22/08/2016</stp>
        <stp>22/08/2016</stp>
        <stp>[Bbg_Market_Data_CL.xlsm]data!R159C12</stp>
        <tr r="L159" s="1"/>
      </tp>
      <tp t="s">
        <v>#N/A Requesting Data...</v>
        <stp/>
        <stp>##V3_BDHV12</stp>
        <stp>CL2 Comdty</stp>
        <stp>RSI_9D</stp>
        <stp>02/09/2016</stp>
        <stp>02/09/2016</stp>
        <stp>[Bbg_Market_Data_CL.xlsm]data!R150C12</stp>
        <tr r="L150" s="1"/>
      </tp>
      <tp t="s">
        <v>#N/A Requesting Data...</v>
        <stp/>
        <stp>##V3_BDHV12</stp>
        <stp>CL2 Comdty</stp>
        <stp>RSI_9D</stp>
        <stp>12/08/2016</stp>
        <stp>12/08/2016</stp>
        <stp>[Bbg_Market_Data_CL.xlsm]data!R165C12</stp>
        <tr r="L165" s="1"/>
      </tp>
      <tp t="s">
        <v>#N/A Requesting Data...</v>
        <stp/>
        <stp>##V3_BDHV12</stp>
        <stp>CL1 Comdty</stp>
        <stp>RSI_9D</stp>
        <stp>02/09/2015</stp>
        <stp>02/09/2015</stp>
        <stp>[Bbg_Market_Data_CL.xlsm]data!R399C12</stp>
        <tr r="L399" s="1"/>
      </tp>
      <tp t="s">
        <v>#N/A Requesting Data...</v>
        <stp/>
        <stp>##V3_BDHV12</stp>
        <stp>CL1 Comdty</stp>
        <stp>RSI_9D</stp>
        <stp>23/09/2016</stp>
        <stp>23/09/2016</stp>
        <stp>[Bbg_Market_Data_CL.xlsm]data!R136C12</stp>
        <tr r="L136" s="1"/>
      </tp>
      <tp t="s">
        <v>#N/A Requesting Data...</v>
        <stp/>
        <stp>##V3_BDHV12</stp>
        <stp>CL2 Comdty</stp>
        <stp>RSI_9D</stp>
        <stp>13/09/2016</stp>
        <stp>13/09/2016</stp>
        <stp>[Bbg_Market_Data_CL.xlsm]data!R144C12</stp>
        <tr r="L144" s="1"/>
      </tp>
      <tp t="s">
        <v>#N/A Requesting Data...</v>
        <stp/>
        <stp>##V3_BDHV12</stp>
        <stp>CL2 Comdty</stp>
        <stp>RSI_9D</stp>
        <stp>03/08/2016</stp>
        <stp>03/08/2016</stp>
        <stp>[Bbg_Market_Data_CL.xlsm]data!R171C12</stp>
        <tr r="L171" s="1"/>
      </tp>
      <tp t="s">
        <v>#N/A Requesting Data...</v>
        <stp/>
        <stp>##V3_BDHV12</stp>
        <stp>CL1 Comdty</stp>
        <stp>RSI_9D</stp>
        <stp>12/08/2015</stp>
        <stp>12/08/2015</stp>
        <stp>[Bbg_Market_Data_CL.xlsm]data!R414C12</stp>
        <tr r="L414" s="1"/>
      </tp>
      <tp t="s">
        <v>#N/A Requesting Data...</v>
        <stp/>
        <stp>##V3_BDHV12</stp>
        <stp>CL1 Comdty</stp>
        <stp>RSI_9D</stp>
        <stp>03/08/2015</stp>
        <stp>03/08/2015</stp>
        <stp>[Bbg_Market_Data_CL.xlsm]data!R421C12</stp>
        <tr r="L421" s="1"/>
      </tp>
      <tp t="s">
        <v>#N/A Requesting Data...</v>
        <stp/>
        <stp>##V3_BDHV12</stp>
        <stp>CL1 Comdty</stp>
        <stp>RSI_9D</stp>
        <stp>21/08/2015</stp>
        <stp>21/08/2015</stp>
        <stp>[Bbg_Market_Data_CL.xlsm]data!R407C12</stp>
        <tr r="L407" s="1"/>
      </tp>
      <tp t="s">
        <v>#N/A Requesting Data...</v>
        <stp/>
        <stp>##V3_BDHV12</stp>
        <stp>CL2 Comdty</stp>
        <stp>RSI_9D</stp>
        <stp>01/09/2015</stp>
        <stp>01/09/2015</stp>
        <stp>[Bbg_Market_Data_CL.xlsm]data!R400C12</stp>
        <tr r="L400" s="1"/>
      </tp>
      <tp t="s">
        <v>#N/A Requesting Data...</v>
        <stp/>
        <stp>##V3_BDHV12</stp>
        <stp>CL2 Comdty</stp>
        <stp>RSI_9D</stp>
        <stp>11/08/2015</stp>
        <stp>11/08/2015</stp>
        <stp>[Bbg_Market_Data_CL.xlsm]data!R415C12</stp>
        <tr r="L415" s="1"/>
      </tp>
      <tp t="s">
        <v>#N/A Requesting Data...</v>
        <stp/>
        <stp>##V3_BDHV12</stp>
        <stp>CL1 Comdty</stp>
        <stp>RSI_9D</stp>
        <stp>09/12/2015</stp>
        <stp>09/12/2015</stp>
        <stp>[Bbg_Market_Data_CL.xlsm]data!R333C12</stp>
        <tr r="L333" s="1"/>
      </tp>
      <tp t="s">
        <v>#N/A Requesting Data...</v>
        <stp/>
        <stp>##V3_BDHV12</stp>
        <stp>CL2 Comdty</stp>
        <stp>RSI_9D</stp>
        <stp>09/11/2015</stp>
        <stp>09/11/2015</stp>
        <stp>[Bbg_Market_Data_CL.xlsm]data!R353C12</stp>
        <tr r="L353" s="1"/>
      </tp>
      <tp t="s">
        <v>#N/A Requesting Data...</v>
        <stp/>
        <stp>##V3_BDHV12</stp>
        <stp>CL1 Comdty</stp>
        <stp>RSI_9D</stp>
        <stp>29/10/2015</stp>
        <stp>29/10/2015</stp>
        <stp>[Bbg_Market_Data_CL.xlsm]data!R360C12</stp>
        <tr r="L360" s="1"/>
      </tp>
      <tp t="s">
        <v>#N/A Requesting Data...</v>
        <stp/>
        <stp>##V3_BDHV12</stp>
        <stp>CL2 Comdty</stp>
        <stp>RSI_9D</stp>
        <stp>19/10/2015</stp>
        <stp>19/10/2015</stp>
        <stp>[Bbg_Market_Data_CL.xlsm]data!R368C12</stp>
        <tr r="L368" s="1"/>
      </tp>
      <tp t="s">
        <v>#N/A Requesting Data...</v>
        <stp/>
        <stp>##V3_BDHV12</stp>
        <stp>CL1 Comdty</stp>
        <stp>RSI_9D</stp>
        <stp>19/10/2016</stp>
        <stp>19/10/2016</stp>
        <stp>[Bbg_Market_Data_CL.xlsm]data!R119C12</stp>
        <tr r="L119" s="1"/>
      </tp>
      <tp t="s">
        <v>#N/A Requesting Data...</v>
        <stp/>
        <stp>##V3_BDHV12</stp>
        <stp>CL1 Comdty</stp>
        <stp>RSI_9D</stp>
        <stp>09/11/2016</stp>
        <stp>09/11/2016</stp>
        <stp>[Bbg_Market_Data_CL.xlsm]data!R104C12</stp>
        <tr r="L104" s="1"/>
      </tp>
      <tp t="s">
        <v>#N/A Requesting Data...</v>
        <stp/>
        <stp>##V3_BDHV12</stp>
        <stp>CL1 Comdty</stp>
        <stp>RSI_9D</stp>
        <stp>18/12/2015</stp>
        <stp>18/12/2015</stp>
        <stp>[Bbg_Market_Data_CL.xlsm]data!R326C12</stp>
        <tr r="L326" s="1"/>
      </tp>
      <tp t="s">
        <v>#N/A Requesting Data...</v>
        <stp/>
        <stp>##V3_BDHV12</stp>
        <stp>CL2 Comdty</stp>
        <stp>RSI_9D</stp>
        <stp>28/12/2015</stp>
        <stp>28/12/2015</stp>
        <stp>[Bbg_Market_Data_CL.xlsm]data!R321C12</stp>
        <tr r="L321" s="1"/>
      </tp>
      <tp t="s">
        <v>#N/A Requesting Data...</v>
        <stp/>
        <stp>##V3_BDHV12</stp>
        <stp>CL2 Comdty</stp>
        <stp>RSI_9D</stp>
        <stp>18/11/2015</stp>
        <stp>18/11/2015</stp>
        <stp>[Bbg_Market_Data_CL.xlsm]data!R347C12</stp>
        <tr r="L347" s="1"/>
      </tp>
      <tp t="s">
        <v>#N/A Requesting Data...</v>
        <stp/>
        <stp>##V3_BDHV12</stp>
        <stp>CL2 Comdty</stp>
        <stp>RSI_9D</stp>
        <stp>08/10/2015</stp>
        <stp>08/10/2015</stp>
        <stp>[Bbg_Market_Data_CL.xlsm]data!R374C12</stp>
        <tr r="L374" s="1"/>
      </tp>
      <tp t="s">
        <v>#N/A Requesting Data...</v>
        <stp/>
        <stp>##V3_BDHV12</stp>
        <stp>CL2 Comdty</stp>
        <stp>RSI_9D</stp>
        <stp>09/02/2016</stp>
        <stp>09/02/2016</stp>
        <stp>[Bbg_Market_Data_CL.xlsm]data!R292C12</stp>
        <tr r="L292" s="1"/>
      </tp>
      <tp t="s">
        <v>#N/A Requesting Data...</v>
        <stp/>
        <stp>##V3_BDHV12</stp>
        <stp>CL2 Comdty</stp>
        <stp>RSI_9D</stp>
        <stp>28/01/2016</stp>
        <stp>28/01/2016</stp>
        <stp>[Bbg_Market_Data_CL.xlsm]data!R300C12</stp>
        <tr r="L300" s="1"/>
      </tp>
      <tp t="s">
        <v>#N/A Requesting Data...</v>
        <stp/>
        <stp>##V3_BDHV12</stp>
        <stp>CL1 Comdty</stp>
        <stp>RSI_9D</stp>
        <stp>29/03/2016</stp>
        <stp>29/03/2016</stp>
        <stp>[Bbg_Market_Data_CL.xlsm]data!R260C12</stp>
        <tr r="L260" s="1"/>
      </tp>
      <tp t="s">
        <v>#N/A Requesting Data...</v>
        <stp/>
        <stp>##V3_BDHV12</stp>
        <stp>CL2 Comdty</stp>
        <stp>RSI_9D</stp>
        <stp>18/02/2016</stp>
        <stp>18/02/2016</stp>
        <stp>[Bbg_Market_Data_CL.xlsm]data!R287C12</stp>
        <tr r="L287" s="1"/>
      </tp>
      <tp t="s">
        <v>#N/A Requesting Data...</v>
        <stp/>
        <stp>##V3_BDHV12</stp>
        <stp>CL2 Comdty</stp>
        <stp>RSI_9D</stp>
        <stp>08/03/2016</stp>
        <stp>08/03/2016</stp>
        <stp>[Bbg_Market_Data_CL.xlsm]data!R274C12</stp>
        <tr r="L274" s="1"/>
      </tp>
      <tp t="s">
        <v>#N/A Requesting Data...</v>
        <stp/>
        <stp>##V3_BDHV12</stp>
        <stp>CL1 Comdty</stp>
        <stp>30DAY_IMPVOL_100.0%MNY_DF</stp>
        <stp>12/10/2016</stp>
        <stp>12/10/2016</stp>
        <stp>[Bbg_Market_Data_CL.xlsm]data!R123C20</stp>
        <tr r="T123" s="1"/>
      </tp>
      <tp t="s">
        <v>#N/A Requesting Data...</v>
        <stp/>
        <stp>##V3_BDHV12</stp>
        <stp>CL1 Comdty</stp>
        <stp>30DAY_IMPVOL_110.0%MNY_DF</stp>
        <stp>24/07/2015</stp>
        <stp>24/07/2015</stp>
        <stp>[Bbg_Market_Data_CL.xlsm]data!R426C22</stp>
        <tr r="V426" s="1"/>
      </tp>
      <tp t="s">
        <v>#N/A Requesting Data...</v>
        <stp/>
        <stp>##V3_BDHV12</stp>
        <stp>CL1 Comdty</stp>
        <stp>30DAY_IMPVOL_110.0%MNY_DF</stp>
        <stp>03/12/2015</stp>
        <stp>03/12/2015</stp>
        <stp>[Bbg_Market_Data_CL.xlsm]data!R336C22</stp>
        <tr r="V336" s="1"/>
      </tp>
      <tp t="s">
        <v>#N/A Requesting Data...</v>
        <stp/>
        <stp>##V3_BDHV12</stp>
        <stp>CL1 Comdty</stp>
        <stp>30DAY_IMPVOL_100.0%MNY_DF</stp>
        <stp>20/01/2016</stp>
        <stp>20/01/2016</stp>
        <stp>[Bbg_Market_Data_CL.xlsm]data!R305C20</stp>
        <tr r="T305" s="1"/>
      </tp>
      <tp t="s">
        <v>#N/A Requesting Data...</v>
        <stp/>
        <stp>##V3_BDHV12</stp>
        <stp>CL1 Comdty</stp>
        <stp>30DAY_IMPVOL_100.0%MNY_DF</stp>
        <stp>02/11/2016</stp>
        <stp>02/11/2016</stp>
        <stp>[Bbg_Market_Data_CL.xlsm]data!R108C20</stp>
        <tr r="T108" s="1"/>
      </tp>
      <tp t="s">
        <v>#N/A Requesting Data...</v>
        <stp/>
        <stp>##V3_BDHV12</stp>
        <stp>CL1 Comdty</stp>
        <stp>30DAY_IMPVOL_100.0%MNY_DF</stp>
        <stp>14/05/2015</stp>
        <stp>14/05/2015</stp>
        <stp>[Bbg_Market_Data_CL.xlsm]data!R475C20</stp>
        <tr r="T475" s="1"/>
      </tp>
      <tp t="s">
        <v>#N/A Requesting Data...</v>
        <stp/>
        <stp>##V3_BDHV12</stp>
        <stp>CL1 Comdty</stp>
        <stp>30DAY_IMPVOL_100.0%MNY_DF</stp>
        <stp>11/03/2016</stp>
        <stp>11/03/2016</stp>
        <stp>[Bbg_Market_Data_CL.xlsm]data!R270C20</stp>
        <tr r="T270" s="1"/>
      </tp>
      <tp t="s">
        <v>#N/A Requesting Data...</v>
        <stp/>
        <stp>##V3_BDHV12</stp>
        <stp>CL1 Comdty</stp>
        <stp>30DAY_IMPVOL_100.0%MNY_DF</stp>
        <stp>24/06/2015</stp>
        <stp>24/06/2015</stp>
        <stp>[Bbg_Market_Data_CL.xlsm]data!R447C20</stp>
        <tr r="T447" s="1"/>
      </tp>
      <tp t="s">
        <v>#N/A Requesting Data...</v>
        <stp/>
        <stp>##V3_BDHV12</stp>
        <stp>CL1 Comdty</stp>
        <stp>30DAY_IMPVOL_100.0%MNY_DF</stp>
        <stp>23/11/2015</stp>
        <stp>23/11/2015</stp>
        <stp>[Bbg_Market_Data_CL.xlsm]data!R343C20</stp>
        <tr r="T343" s="1"/>
      </tp>
      <tp t="s">
        <v>#N/A Requesting Data...</v>
        <stp/>
        <stp>##V3_BDHV12</stp>
        <stp>CL1 Comdty</stp>
        <stp>30DAY_IMPVOL_110.0%MNY_DF</stp>
        <stp>23/10/2015</stp>
        <stp>23/10/2015</stp>
        <stp>[Bbg_Market_Data_CL.xlsm]data!R363C22</stp>
        <tr r="V363" s="1"/>
      </tp>
      <tp t="s">
        <v>#N/A Requesting Data...</v>
        <stp/>
        <stp>##V3_BDHV12</stp>
        <stp>CL1 Comdty</stp>
        <stp>30DAY_IMPVOL_110.0%MNY_DF</stp>
        <stp>01/03/2016</stp>
        <stp>01/03/2016</stp>
        <stp>[Bbg_Market_Data_CL.xlsm]data!R278C22</stp>
        <tr r="V278" s="1"/>
      </tp>
      <tp t="s">
        <v>#N/A Requesting Data...</v>
        <stp/>
        <stp>##V3_BDHV12</stp>
        <stp>CL1 Comdty</stp>
        <stp>30DAY_IMPVOL_110.0%MNY_DF</stp>
        <stp>04/05/2015</stp>
        <stp>04/05/2015</stp>
        <stp>[Bbg_Market_Data_CL.xlsm]data!R483C22</stp>
        <tr r="V483" s="1"/>
      </tp>
      <tp t="s">
        <v>#N/A Requesting Data...</v>
        <stp/>
        <stp>##V3_BDHV12</stp>
        <stp>CL1 Comdty</stp>
        <stp>30DAY_IMPVOL_110.0%MNY_DF</stp>
        <stp>11/02/2016</stp>
        <stp>11/02/2016</stp>
        <stp>[Bbg_Market_Data_CL.xlsm]data!R289C22</stp>
        <tr r="V289" s="1"/>
      </tp>
      <tp t="s">
        <v>#N/A Requesting Data...</v>
        <stp/>
        <stp>##V3_BDHV12</stp>
        <stp>CL1 Comdty</stp>
        <stp>30DAY_IMPVOL_105.0%MNY_DF</stp>
        <stp>17/05/2016</stp>
        <stp>17/05/2016</stp>
        <stp>[Bbg_Market_Data_CL.xlsm]data!R224C19</stp>
        <tr r="S224" s="1"/>
      </tp>
      <tp t="s">
        <v>#N/A Requesting Data...</v>
        <stp/>
        <stp>##V3_BDHV12</stp>
        <stp>CL1 Comdty</stp>
        <stp>30DAY_IMPVOL_110.0%MNY_DF</stp>
        <stp>14/04/2015</stp>
        <stp>14/04/2015</stp>
        <stp>[Bbg_Market_Data_CL.xlsm]data!R497C22</stp>
        <tr r="V497" s="1"/>
      </tp>
      <tp t="s">
        <v>#N/A Requesting Data...</v>
        <stp/>
        <stp>##V3_BDHV12</stp>
        <stp>CL1 Comdty</stp>
        <stp>30DAY_IMPVOL_100.0%MNY_DF</stp>
        <stp>01/02/2016</stp>
        <stp>01/02/2016</stp>
        <stp>[Bbg_Market_Data_CL.xlsm]data!R297C20</stp>
        <tr r="T297" s="1"/>
      </tp>
      <tp t="s">
        <v>#N/A Requesting Data...</v>
        <stp/>
        <stp>##V3_BDHV12</stp>
        <stp>CL1 Comdty</stp>
        <stp>30DAY_IMPVOL_105.0%MNY_DF</stp>
        <stp>07/04/2016</stp>
        <stp>07/04/2016</stp>
        <stp>[Bbg_Market_Data_CL.xlsm]data!R252C19</stp>
        <tr r="S252" s="1"/>
      </tp>
      <tp t="s">
        <v>#N/A Requesting Data...</v>
        <stp/>
        <stp>##V3_BDHV12</stp>
        <stp>CL1 Comdty</stp>
        <stp>30DAY_IMPVOL_100.0%MNY_DF</stp>
        <stp>02/12/2015</stp>
        <stp>02/12/2015</stp>
        <stp>[Bbg_Market_Data_CL.xlsm]data!R337C20</stp>
        <tr r="T337" s="1"/>
      </tp>
      <tp t="s">
        <v>#N/A Requesting Data...</v>
        <stp/>
        <stp>##V3_BDHV12</stp>
        <stp>CL1 Comdty</stp>
        <stp>30DAY_IMPVOL_110.0%MNY_DF</stp>
        <stp>21/01/2016</stp>
        <stp>21/01/2016</stp>
        <stp>[Bbg_Market_Data_CL.xlsm]data!R304C22</stp>
        <tr r="V304" s="1"/>
      </tp>
      <tp t="s">
        <v>#N/A Requesting Data...</v>
        <stp/>
        <stp>##V3_BDHV12</stp>
        <stp>CL1 Comdty</stp>
        <stp>30DAY_IMPVOL_110.0%MNY_DF</stp>
        <stp>03/11/2016</stp>
        <stp>03/11/2016</stp>
        <stp>[Bbg_Market_Data_CL.xlsm]data!R107C22</stp>
        <tr r="V107" s="1"/>
      </tp>
      <tp t="s">
        <v>#N/A Requesting Data...</v>
        <stp/>
        <stp>##V3_BDHV12</stp>
        <stp>CL1 Comdty</stp>
        <stp>30DAY_IMPVOL_100.0%MNY_DF</stp>
        <stp>03/10/2016</stp>
        <stp>03/10/2016</stp>
        <stp>[Bbg_Market_Data_CL.xlsm]data!R129C20</stp>
        <tr r="T129" s="1"/>
      </tp>
      <tp t="s">
        <v>#N/A Requesting Data...</v>
        <stp/>
        <stp>##V3_BDHV12</stp>
        <stp>CL1 Comdty</stp>
        <stp>30DAY_IMPVOL_110.0%MNY_DF</stp>
        <stp>13/10/2016</stp>
        <stp>13/10/2016</stp>
        <stp>[Bbg_Market_Data_CL.xlsm]data!R122C22</stp>
        <tr r="V122" s="1"/>
      </tp>
      <tp t="s">
        <v>#N/A Requesting Data...</v>
        <stp/>
        <stp>##V3_BDHV12</stp>
        <stp>CL1 Comdty</stp>
        <stp>30DAY_IMPVOL_105.0%MNY_DF</stp>
        <stp>15/07/2016</stp>
        <stp>15/07/2016</stp>
        <stp>[Bbg_Market_Data_CL.xlsm]data!R183C19</stp>
        <tr r="S183" s="1"/>
      </tp>
      <tp t="s">
        <v>#N/A Requesting Data...</v>
        <stp/>
        <stp>##V3_BDHV12</stp>
        <stp>CL1 Comdty</stp>
        <stp>30DAY_IMPVOL_110.0%MNY_DF</stp>
        <stp>25/06/2015</stp>
        <stp>25/06/2015</stp>
        <stp>[Bbg_Market_Data_CL.xlsm]data!R446C22</stp>
        <tr r="V446" s="1"/>
      </tp>
      <tp t="s">
        <v>#N/A Requesting Data...</v>
        <stp/>
        <stp>##V3_BDHV12</stp>
        <stp>CL1 Comdty</stp>
        <stp>30DAY_IMPVOL_100.0%MNY_DF</stp>
        <stp>22/10/2015</stp>
        <stp>22/10/2015</stp>
        <stp>[Bbg_Market_Data_CL.xlsm]data!R364C20</stp>
        <tr r="T364" s="1"/>
      </tp>
      <tp t="s">
        <v>#N/A Requesting Data...</v>
        <stp/>
        <stp>##V3_BDHV12</stp>
        <stp>CL1 Comdty</stp>
        <stp>30DAY_IMPVOL_110.0%MNY_DF</stp>
        <stp>15/05/2015</stp>
        <stp>15/05/2015</stp>
        <stp>[Bbg_Market_Data_CL.xlsm]data!R474C22</stp>
        <tr r="V474" s="1"/>
      </tp>
      <tp t="s">
        <v>#N/A Requesting Data...</v>
        <stp/>
        <stp>##V3_BDHV12</stp>
        <stp>CL1 Comdty</stp>
        <stp>30DAY_IMPVOL_110.0%MNY_DF</stp>
        <stp>10/03/2016</stp>
        <stp>10/03/2016</stp>
        <stp>[Bbg_Market_Data_CL.xlsm]data!R271C22</stp>
        <tr r="V271" s="1"/>
      </tp>
      <tp t="s">
        <v>#N/A Requesting Data...</v>
        <stp/>
        <stp>##V3_BDHV12</stp>
        <stp>CL1 Comdty</stp>
        <stp>30DAY_IMPVOL_105.0%MNY_DF</stp>
        <stp>06/05/2016</stp>
        <stp>06/05/2016</stp>
        <stp>[Bbg_Market_Data_CL.xlsm]data!R231C19</stp>
        <tr r="S231" s="1"/>
      </tp>
      <tp t="s">
        <v>#N/A Requesting Data...</v>
        <stp/>
        <stp>##V3_BDHV12</stp>
        <stp>CL1 Comdty</stp>
        <stp>30DAY_IMPVOL_100.0%MNY_DF</stp>
        <stp>05/05/2015</stp>
        <stp>05/05/2015</stp>
        <stp>[Bbg_Market_Data_CL.xlsm]data!R482C20</stp>
        <tr r="T482" s="1"/>
      </tp>
      <tp t="s">
        <v>#N/A Requesting Data...</v>
        <stp/>
        <stp>##V3_BDHV12</stp>
        <stp>CL1 Comdty</stp>
        <stp>30DAY_IMPVOL_100.0%MNY_DF</stp>
        <stp>10/02/2016</stp>
        <stp>10/02/2016</stp>
        <stp>[Bbg_Market_Data_CL.xlsm]data!R290C20</stp>
        <tr r="T290" s="1"/>
      </tp>
      <tp t="s">
        <v>#N/A Requesting Data...</v>
        <stp/>
        <stp>##V3_BDHV12</stp>
        <stp>CL1 Comdty</stp>
        <stp>30DAY_IMPVOL_100.0%MNY_DF</stp>
        <stp>15/04/2015</stp>
        <stp>15/04/2015</stp>
        <stp>[Bbg_Market_Data_CL.xlsm]data!R496C20</stp>
        <tr r="T496" s="1"/>
      </tp>
      <tp t="s">
        <v>#N/A Requesting Data...</v>
        <stp/>
        <stp>##V3_BDHV12</stp>
        <stp>CL1 Comdty</stp>
        <stp>30DAY_IMPVOL_110.0%MNY_DF</stp>
        <stp>20/10/2016</stp>
        <stp>20/10/2016</stp>
        <stp>[Bbg_Market_Data_CL.xlsm]data!R117C22</stp>
        <tr r="V117" s="1"/>
      </tp>
      <tp t="s">
        <v>#N/A Requesting Data...</v>
        <stp/>
        <stp>##V3_BDHV12</stp>
        <stp>CL1 Comdty</stp>
        <stp>30DAY_IMPVOL_110.0%MNY_DF</stp>
        <stp>12/01/2016</stp>
        <stp>12/01/2016</stp>
        <stp>[Bbg_Market_Data_CL.xlsm]data!R310C22</stp>
        <tr r="V310" s="1"/>
      </tp>
      <tp t="s">
        <v>#N/A Requesting Data...</v>
        <stp/>
        <stp>##V3_BDHV12</stp>
        <stp>CL1 Comdty</stp>
        <stp>30DAY_IMPVOL_100.0%MNY_DF</stp>
        <stp>16/07/2015</stp>
        <stp>16/07/2015</stp>
        <stp>[Bbg_Market_Data_CL.xlsm]data!R432C20</stp>
        <tr r="T432" s="1"/>
      </tp>
      <tp t="s">
        <v>#N/A Requesting Data...</v>
        <stp/>
        <stp>##V3_BDHV12</stp>
        <stp>CL1 Comdty</stp>
        <stp>30DAY_IMPVOL_100.0%MNY_DF</stp>
        <stp>31/12/2015</stp>
        <stp>31/12/2015</stp>
        <stp>[Bbg_Market_Data_CL.xlsm]data!R317C20</stp>
        <tr r="T317" s="1"/>
      </tp>
      <tp t="s">
        <v>#N/A Requesting Data...</v>
        <stp/>
        <stp>##V3_BDHV12</stp>
        <stp>CL1 Comdty</stp>
        <stp>30DAY_IMPVOL_110.0%MNY_DF</stp>
        <stp>21/12/2015</stp>
        <stp>21/12/2015</stp>
        <stp>[Bbg_Market_Data_CL.xlsm]data!R324C22</stp>
        <tr r="V324" s="1"/>
      </tp>
      <tp t="s">
        <v>#N/A Requesting Data...</v>
        <stp/>
        <stp>##V3_BDHV12</stp>
        <stp>CL1 Comdty</stp>
        <stp>30DAY_IMPVOL_110.0%MNY_DF</stp>
        <stp>06/07/2015</stp>
        <stp>06/07/2015</stp>
        <stp>[Bbg_Market_Data_CL.xlsm]data!R440C22</stp>
        <tr r="V440" s="1"/>
      </tp>
      <tp t="s">
        <v>#N/A Requesting Data...</v>
        <stp/>
        <stp>##V3_BDHV12</stp>
        <stp>CL1 Comdty</stp>
        <stp>30DAY_IMPVOL_110.0%MNY_DF</stp>
        <stp>16/06/2015</stp>
        <stp>16/06/2015</stp>
        <stp>[Bbg_Market_Data_CL.xlsm]data!R453C22</stp>
        <tr r="V453" s="1"/>
      </tp>
      <tp t="s">
        <v>#N/A Requesting Data...</v>
        <stp/>
        <stp>##V3_BDHV12</stp>
        <stp>CL1 Comdty</stp>
        <stp>30DAY_IMPVOL_110.0%MNY_DF</stp>
        <stp>23/03/2016</stp>
        <stp>23/03/2016</stp>
        <stp>[Bbg_Market_Data_CL.xlsm]data!R262C22</stp>
        <tr r="V262" s="1"/>
      </tp>
      <tp t="s">
        <v>#N/A Requesting Data...</v>
        <stp/>
        <stp>##V3_BDHV12</stp>
        <stp>CL1 Comdty</stp>
        <stp>30DAY_IMPVOL_110.0%MNY_DF</stp>
        <stp>01/10/2015</stp>
        <stp>01/10/2015</stp>
        <stp>[Bbg_Market_Data_CL.xlsm]data!R378C22</stp>
        <tr r="V378" s="1"/>
      </tp>
      <tp t="s">
        <v>#N/A Requesting Data...</v>
        <stp/>
        <stp>##V3_BDHV12</stp>
        <stp>CL1 Comdty</stp>
        <stp>30DAY_IMPVOL_110.0%MNY_DF</stp>
        <stp>26/05/2015</stp>
        <stp>26/05/2015</stp>
        <stp>[Bbg_Market_Data_CL.xlsm]data!R468C22</stp>
        <tr r="V468" s="1"/>
      </tp>
      <tp t="s">
        <v>#N/A Requesting Data...</v>
        <stp/>
        <stp>##V3_BDHV12</stp>
        <stp>CL1 Comdty</stp>
        <stp>30DAY_IMPVOL_100.0%MNY_DF</stp>
        <stp>23/02/2016</stp>
        <stp>23/02/2016</stp>
        <stp>[Bbg_Market_Data_CL.xlsm]data!R283C20</stp>
        <tr r="T283" s="1"/>
      </tp>
      <tp t="s">
        <v>#N/A Requesting Data...</v>
        <stp/>
        <stp>##V3_BDHV12</stp>
        <stp>CL1 Comdty</stp>
        <stp>30DAY_IMPVOL_105.0%MNY_DF</stp>
        <stp>26/07/2016</stp>
        <stp>26/07/2016</stp>
        <stp>[Bbg_Market_Data_CL.xlsm]data!R176C19</stp>
        <tr r="S176" s="1"/>
      </tp>
      <tp t="s">
        <v>#N/A Requesting Data...</v>
        <stp/>
        <stp>##V3_BDHV12</stp>
        <stp>CL1 Comdty</stp>
        <stp>30DAY_IMPVOL_105.0%MNY_DF</stp>
        <stp>25/04/2016</stp>
        <stp>25/04/2016</stp>
        <stp>[Bbg_Market_Data_CL.xlsm]data!R240C19</stp>
        <tr r="S240" s="1"/>
      </tp>
      <tp t="s">
        <v>#N/A Requesting Data...</v>
        <stp/>
        <stp>##V3_BDHV12</stp>
        <stp>CL1 Comdty</stp>
        <stp>30DAY_IMPVOL_110.0%MNY_DF</stp>
        <stp>31/10/2016</stp>
        <stp>31/10/2016</stp>
        <stp>[Bbg_Market_Data_CL.xlsm]data!R110C22</stp>
        <tr r="V110" s="1"/>
      </tp>
      <tp t="s">
        <v>#N/A Requesting Data...</v>
        <stp/>
        <stp>##V3_BDHV12</stp>
        <stp>CL1 Comdty</stp>
        <stp>30DAY_IMPVOL_110.0%MNY_DF</stp>
        <stp>30/12/2015</stp>
        <stp>30/12/2015</stp>
        <stp>[Bbg_Market_Data_CL.xlsm]data!R318C22</stp>
        <tr r="V318" s="1"/>
      </tp>
      <tp t="s">
        <v>#N/A Requesting Data...</v>
        <stp/>
        <stp>##V3_BDHV12</stp>
        <stp>CL1 Comdty</stp>
        <stp>30DAY_IMPVOL_100.0%MNY_DF</stp>
        <stp>07/07/2015</stp>
        <stp>07/07/2015</stp>
        <stp>[Bbg_Market_Data_CL.xlsm]data!R439C20</stp>
        <tr r="T439" s="1"/>
      </tp>
      <tp t="s">
        <v>#N/A Requesting Data...</v>
        <stp/>
        <stp>##V3_BDHV12</stp>
        <stp>CL1 Comdty</stp>
        <stp>30DAY_IMPVOL_105.0%MNY_DF</stp>
        <stp>27/06/2016</stp>
        <stp>27/06/2016</stp>
        <stp>[Bbg_Market_Data_CL.xlsm]data!R196C19</stp>
        <tr r="S196" s="1"/>
      </tp>
      <tp t="s">
        <v>#N/A Requesting Data...</v>
        <stp/>
        <stp>##V3_BDHV12</stp>
        <stp>CL1 Comdty</stp>
        <stp>30DAY_IMPVOL_100.0%MNY_DF</stp>
        <stp>21/10/2016</stp>
        <stp>21/10/2016</stp>
        <stp>[Bbg_Market_Data_CL.xlsm]data!R116C20</stp>
        <tr r="T116" s="1"/>
      </tp>
      <tp t="s">
        <v>#N/A Requesting Data...</v>
        <stp/>
        <stp>##V3_BDHV12</stp>
        <stp>CL1 Comdty</stp>
        <stp>30DAY_IMPVOL_100.0%MNY_DF</stp>
        <stp>13/01/2016</stp>
        <stp>13/01/2016</stp>
        <stp>[Bbg_Market_Data_CL.xlsm]data!R309C20</stp>
        <tr r="T309" s="1"/>
      </tp>
      <tp t="s">
        <v>#N/A Requesting Data...</v>
        <stp/>
        <stp>##V3_BDHV12</stp>
        <stp>CL1 Comdty</stp>
        <stp>30DAY_IMPVOL_110.0%MNY_DF</stp>
        <stp>17/07/2015</stp>
        <stp>17/07/2015</stp>
        <stp>[Bbg_Market_Data_CL.xlsm]data!R431C22</stp>
        <tr r="V431" s="1"/>
      </tp>
      <tp t="s">
        <v>#N/A Requesting Data...</v>
        <stp/>
        <stp>##V3_BDHV12</stp>
        <stp>CL1 Comdty</stp>
        <stp>30DAY_IMPVOL_100.0%MNY_DF</stp>
        <stp>27/05/2015</stp>
        <stp>27/05/2015</stp>
        <stp>[Bbg_Market_Data_CL.xlsm]data!R467C20</stp>
        <tr r="T467" s="1"/>
      </tp>
      <tp t="s">
        <v>#N/A Requesting Data...</v>
        <stp/>
        <stp>##V3_BDHV12</stp>
        <stp>CL1 Comdty</stp>
        <stp>30DAY_IMPVOL_100.0%MNY_DF</stp>
        <stp>22/03/2016</stp>
        <stp>22/03/2016</stp>
        <stp>[Bbg_Market_Data_CL.xlsm]data!R263C20</stp>
        <tr r="T263" s="1"/>
      </tp>
      <tp t="s">
        <v>#N/A Requesting Data...</v>
        <stp/>
        <stp>##V3_BDHV12</stp>
        <stp>CL1 Comdty</stp>
        <stp>30DAY_IMPVOL_100.0%MNY_DF</stp>
        <stp>10/11/2015</stp>
        <stp>10/11/2015</stp>
        <stp>[Bbg_Market_Data_CL.xlsm]data!R351C20</stp>
        <tr r="T351" s="1"/>
      </tp>
      <tp t="s">
        <v>#N/A Requesting Data...</v>
        <stp/>
        <stp>##V3_BDHV12</stp>
        <stp>CL1 Comdty</stp>
        <stp>30DAY_IMPVOL_100.0%MNY_DF</stp>
        <stp>17/06/2015</stp>
        <stp>17/06/2015</stp>
        <stp>[Bbg_Market_Data_CL.xlsm]data!R452C20</stp>
        <tr r="T452" s="1"/>
      </tp>
      <tp t="s">
        <v>#N/A Requesting Data...</v>
        <stp/>
        <stp>##V3_BDHV12</stp>
        <stp>CL1 Comdty</stp>
        <stp>30DAY_IMPVOL_110.0%MNY_DF</stp>
        <stp>22/02/2016</stp>
        <stp>22/02/2016</stp>
        <stp>[Bbg_Market_Data_CL.xlsm]data!R284C22</stp>
        <tr r="V284" s="1"/>
      </tp>
      <tp t="s">
        <v>#N/A Requesting Data...</v>
        <stp/>
        <stp>##V3_BDHV12</stp>
        <stp>CL1 Comdty</stp>
        <stp>30DAY_IMPVOL_110.0%MNY_DF</stp>
        <stp>27/04/2015</stp>
        <stp>27/04/2015</stp>
        <stp>[Bbg_Market_Data_CL.xlsm]data!R488C22</stp>
        <tr r="V488" s="1"/>
      </tp>
      <tp t="s">
        <v>#N/A Requesting Data...</v>
        <stp/>
        <stp>##V3_BDHV12</stp>
        <stp>CL1 Comdty</stp>
        <stp>30DAY_IMPVOL_105.0%MNY_DF</stp>
        <stp>24/05/2016</stp>
        <stp>24/05/2016</stp>
        <stp>[Bbg_Market_Data_CL.xlsm]data!R219C19</stp>
        <tr r="S219" s="1"/>
      </tp>
      <tp t="s">
        <v>#N/A Requesting Data...</v>
        <stp/>
        <stp>##V3_BDHV12</stp>
        <stp>CL1 Comdty</stp>
        <stp>30DAY_IMPVOL_105.0%MNY_DF</stp>
        <stp>14/06/2016</stp>
        <stp>14/06/2016</stp>
        <stp>[Bbg_Market_Data_CL.xlsm]data!R205C19</stp>
        <tr r="S205" s="1"/>
      </tp>
      <tp t="s">
        <v>#N/A Requesting Data...</v>
        <stp/>
        <stp>##V3_BDHV12</stp>
        <stp>CL1 Comdty</stp>
        <stp>30DAY_IMPVOL_110.0%MNY_DF</stp>
        <stp>15/06/2016</stp>
        <stp>15/06/2016</stp>
        <stp>[Bbg_Market_Data_CL.xlsm]data!R204C22</stp>
        <tr r="V204" s="1"/>
      </tp>
      <tp t="s">
        <v>#N/A Requesting Data...</v>
        <stp/>
        <stp>##V3_BDHV12</stp>
        <stp>CL1 Comdty</stp>
        <stp>30DAY_IMPVOL_110.0%MNY_DF</stp>
        <stp>25/05/2016</stp>
        <stp>25/05/2016</stp>
        <stp>[Bbg_Market_Data_CL.xlsm]data!R218C22</stp>
        <tr r="V218" s="1"/>
      </tp>
      <tp t="s">
        <v>#N/A Requesting Data...</v>
        <stp/>
        <stp>##V3_BDHV12</stp>
        <stp>CL1 Comdty</stp>
        <stp>30DAY_IMPVOL_105.0%MNY_DF</stp>
        <stp>23/02/2016</stp>
        <stp>23/02/2016</stp>
        <stp>[Bbg_Market_Data_CL.xlsm]data!R283C19</stp>
        <tr r="S283" s="1"/>
      </tp>
      <tp t="s">
        <v>#N/A Requesting Data...</v>
        <stp/>
        <stp>##V3_BDHV12</stp>
        <stp>CL1 Comdty</stp>
        <stp>30DAY_IMPVOL_100.0%MNY_DF</stp>
        <stp>26/07/2016</stp>
        <stp>26/07/2016</stp>
        <stp>[Bbg_Market_Data_CL.xlsm]data!R176C20</stp>
        <tr r="T176" s="1"/>
      </tp>
      <tp t="s">
        <v>#N/A Requesting Data...</v>
        <stp/>
        <stp>##V3_BDHV12</stp>
        <stp>CL1 Comdty</stp>
        <stp>30DAY_IMPVOL_100.0%MNY_DF</stp>
        <stp>25/04/2016</stp>
        <stp>25/04/2016</stp>
        <stp>[Bbg_Market_Data_CL.xlsm]data!R240C20</stp>
        <tr r="T240" s="1"/>
      </tp>
      <tp t="s">
        <v>#N/A Requesting Data...</v>
        <stp/>
        <stp>##V3_BDHV12</stp>
        <stp>CL1 Comdty</stp>
        <stp>30DAY_IMPVOL_105.0%MNY_DF</stp>
        <stp>16/07/2015</stp>
        <stp>16/07/2015</stp>
        <stp>[Bbg_Market_Data_CL.xlsm]data!R432C19</stp>
        <tr r="S432" s="1"/>
      </tp>
      <tp t="s">
        <v>#N/A Requesting Data...</v>
        <stp/>
        <stp>##V3_BDHV12</stp>
        <stp>CL1 Comdty</stp>
        <stp>30DAY_IMPVOL_105.0%MNY_DF</stp>
        <stp>31/12/2015</stp>
        <stp>31/12/2015</stp>
        <stp>[Bbg_Market_Data_CL.xlsm]data!R317C19</stp>
        <tr r="S317" s="1"/>
      </tp>
      <tp t="s">
        <v>#N/A Requesting Data...</v>
        <stp/>
        <stp>##V3_BDHV12</stp>
        <stp>CL1 Comdty</stp>
        <stp>30DAY_IMPVOL_100.0%MNY_DF</stp>
        <stp>14/06/2016</stp>
        <stp>14/06/2016</stp>
        <stp>[Bbg_Market_Data_CL.xlsm]data!R205C20</stp>
        <tr r="T205" s="1"/>
      </tp>
      <tp t="s">
        <v>#N/A Requesting Data...</v>
        <stp/>
        <stp>##V3_BDHV12</stp>
        <stp>CL1 Comdty</stp>
        <stp>30DAY_IMPVOL_100.0%MNY_DF</stp>
        <stp>24/05/2016</stp>
        <stp>24/05/2016</stp>
        <stp>[Bbg_Market_Data_CL.xlsm]data!R219C20</stp>
        <tr r="T219" s="1"/>
      </tp>
      <tp t="s">
        <v>#N/A Requesting Data...</v>
        <stp/>
        <stp>##V3_BDHV12</stp>
        <stp>CL1 Comdty</stp>
        <stp>30DAY_IMPVOL_110.0%MNY_DF</stp>
        <stp>27/07/2016</stp>
        <stp>27/07/2016</stp>
        <stp>[Bbg_Market_Data_CL.xlsm]data!R175C22</stp>
        <tr r="V175" s="1"/>
      </tp>
      <tp t="s">
        <v>#N/A Requesting Data...</v>
        <stp/>
        <stp>##V3_BDHV12</stp>
        <stp>CL1 Comdty</stp>
        <stp>30DAY_IMPVOL_105.0%MNY_DF</stp>
        <stp>07/07/2015</stp>
        <stp>07/07/2015</stp>
        <stp>[Bbg_Market_Data_CL.xlsm]data!R439C19</stp>
        <tr r="S439" s="1"/>
      </tp>
      <tp t="s">
        <v>#N/A Requesting Data...</v>
        <stp/>
        <stp>##V3_BDHV12</stp>
        <stp>CL1 Comdty</stp>
        <stp>30DAY_IMPVOL_100.0%MNY_DF</stp>
        <stp>27/06/2016</stp>
        <stp>27/06/2016</stp>
        <stp>[Bbg_Market_Data_CL.xlsm]data!R196C20</stp>
        <tr r="T196" s="1"/>
      </tp>
      <tp t="s">
        <v>#N/A Requesting Data...</v>
        <stp/>
        <stp>##V3_BDHV12</stp>
        <stp>CL1 Comdty</stp>
        <stp>30DAY_IMPVOL_105.0%MNY_DF</stp>
        <stp>21/10/2016</stp>
        <stp>21/10/2016</stp>
        <stp>[Bbg_Market_Data_CL.xlsm]data!R116C19</stp>
        <tr r="S116" s="1"/>
      </tp>
      <tp t="s">
        <v>#N/A Requesting Data...</v>
        <stp/>
        <stp>##V3_BDHV12</stp>
        <stp>CL1 Comdty</stp>
        <stp>30DAY_IMPVOL_105.0%MNY_DF</stp>
        <stp>13/01/2016</stp>
        <stp>13/01/2016</stp>
        <stp>[Bbg_Market_Data_CL.xlsm]data!R309C19</stp>
        <tr r="S309" s="1"/>
      </tp>
      <tp t="s">
        <v>#N/A Requesting Data...</v>
        <stp/>
        <stp>##V3_BDHV12</stp>
        <stp>CL1 Comdty</stp>
        <stp>30DAY_IMPVOL_105.0%MNY_DF</stp>
        <stp>27/05/2015</stp>
        <stp>27/05/2015</stp>
        <stp>[Bbg_Market_Data_CL.xlsm]data!R467C19</stp>
        <tr r="S467" s="1"/>
      </tp>
      <tp t="s">
        <v>#N/A Requesting Data...</v>
        <stp/>
        <stp>##V3_BDHV12</stp>
        <stp>CL1 Comdty</stp>
        <stp>30DAY_IMPVOL_105.0%MNY_DF</stp>
        <stp>22/03/2016</stp>
        <stp>22/03/2016</stp>
        <stp>[Bbg_Market_Data_CL.xlsm]data!R263C19</stp>
        <tr r="S263" s="1"/>
      </tp>
      <tp t="s">
        <v>#N/A Requesting Data...</v>
        <stp/>
        <stp>##V3_BDHV12</stp>
        <stp>CL1 Comdty</stp>
        <stp>30DAY_IMPVOL_105.0%MNY_DF</stp>
        <stp>17/06/2015</stp>
        <stp>17/06/2015</stp>
        <stp>[Bbg_Market_Data_CL.xlsm]data!R452C19</stp>
        <tr r="S452" s="1"/>
      </tp>
      <tp t="s">
        <v>#N/A Requesting Data...</v>
        <stp/>
        <stp>##V3_BDHV12</stp>
        <stp>CL1 Comdty</stp>
        <stp>30DAY_IMPVOL_105.0%MNY_DF</stp>
        <stp>10/11/2015</stp>
        <stp>10/11/2015</stp>
        <stp>[Bbg_Market_Data_CL.xlsm]data!R351C19</stp>
        <tr r="S351" s="1"/>
      </tp>
      <tp t="s">
        <v>#N/A Requesting Data...</v>
        <stp/>
        <stp>##V3_BDHV12</stp>
        <stp>CL1 Comdty</stp>
        <stp>30DAY_IMPVOL_100.0%MNY_DF</stp>
        <stp>17/05/2016</stp>
        <stp>17/05/2016</stp>
        <stp>[Bbg_Market_Data_CL.xlsm]data!R224C20</stp>
        <tr r="T224" s="1"/>
      </tp>
      <tp t="s">
        <v>#N/A Requesting Data...</v>
        <stp/>
        <stp>##V3_BDHV12</stp>
        <stp>CL1 Comdty</stp>
        <stp>30DAY_IMPVOL_105.0%MNY_DF</stp>
        <stp>01/02/2016</stp>
        <stp>01/02/2016</stp>
        <stp>[Bbg_Market_Data_CL.xlsm]data!R297C19</stp>
        <tr r="S297" s="1"/>
      </tp>
      <tp t="s">
        <v>#N/A Requesting Data...</v>
        <stp/>
        <stp>##V3_BDHV12</stp>
        <stp>CL1 Comdty</stp>
        <stp>30DAY_IMPVOL_100.0%MNY_DF</stp>
        <stp>07/04/2016</stp>
        <stp>07/04/2016</stp>
        <stp>[Bbg_Market_Data_CL.xlsm]data!R252C20</stp>
        <tr r="T252" s="1"/>
      </tp>
      <tp t="s">
        <v>#N/A Requesting Data...</v>
        <stp/>
        <stp>##V3_BDHV12</stp>
        <stp>CL1 Comdty</stp>
        <stp>30DAY_IMPVOL_105.0%MNY_DF</stp>
        <stp>12/10/2016</stp>
        <stp>12/10/2016</stp>
        <stp>[Bbg_Market_Data_CL.xlsm]data!R123C19</stp>
        <tr r="S123" s="1"/>
      </tp>
      <tp t="s">
        <v>#N/A Requesting Data...</v>
        <stp/>
        <stp>##V3_BDHV12</stp>
        <stp>CL1 Comdty</stp>
        <stp>30DAY_IMPVOL_110.0%MNY_DF</stp>
        <stp>14/07/2016</stp>
        <stp>14/07/2016</stp>
        <stp>[Bbg_Market_Data_CL.xlsm]data!R184C22</stp>
        <tr r="V184" s="1"/>
      </tp>
      <tp t="s">
        <v>#N/A Requesting Data...</v>
        <stp/>
        <stp>##V3_BDHV12</stp>
        <stp>CL1 Comdty</stp>
        <stp>30DAY_IMPVOL_105.0%MNY_DF</stp>
        <stp>02/11/2016</stp>
        <stp>02/11/2016</stp>
        <stp>[Bbg_Market_Data_CL.xlsm]data!R108C19</stp>
        <tr r="S108" s="1"/>
      </tp>
      <tp t="s">
        <v>#N/A Requesting Data...</v>
        <stp/>
        <stp>##V3_BDHV12</stp>
        <stp>CL1 Comdty</stp>
        <stp>30DAY_IMPVOL_105.0%MNY_DF</stp>
        <stp>20/01/2016</stp>
        <stp>20/01/2016</stp>
        <stp>[Bbg_Market_Data_CL.xlsm]data!R305C19</stp>
        <tr r="S305" s="1"/>
      </tp>
      <tp t="s">
        <v>#N/A Requesting Data...</v>
        <stp/>
        <stp>##V3_BDHV12</stp>
        <stp>CL1 Comdty</stp>
        <stp>30DAY_IMPVOL_105.0%MNY_DF</stp>
        <stp>14/05/2015</stp>
        <stp>14/05/2015</stp>
        <stp>[Bbg_Market_Data_CL.xlsm]data!R475C19</stp>
        <tr r="S475" s="1"/>
      </tp>
      <tp t="s">
        <v>#N/A Requesting Data...</v>
        <stp/>
        <stp>##V3_BDHV12</stp>
        <stp>CL1 Comdty</stp>
        <stp>30DAY_IMPVOL_105.0%MNY_DF</stp>
        <stp>11/03/2016</stp>
        <stp>11/03/2016</stp>
        <stp>[Bbg_Market_Data_CL.xlsm]data!R270C19</stp>
        <tr r="S270" s="1"/>
      </tp>
      <tp t="s">
        <v>#N/A Requesting Data...</v>
        <stp/>
        <stp>##V3_BDHV12</stp>
        <stp>CL1 Comdty</stp>
        <stp>30DAY_IMPVOL_105.0%MNY_DF</stp>
        <stp>23/11/2015</stp>
        <stp>23/11/2015</stp>
        <stp>[Bbg_Market_Data_CL.xlsm]data!R343C19</stp>
        <tr r="S343" s="1"/>
      </tp>
      <tp t="s">
        <v>#N/A Requesting Data...</v>
        <stp/>
        <stp>##V3_BDHV12</stp>
        <stp>CL1 Comdty</stp>
        <stp>30DAY_IMPVOL_105.0%MNY_DF</stp>
        <stp>24/06/2015</stp>
        <stp>24/06/2015</stp>
        <stp>[Bbg_Market_Data_CL.xlsm]data!R447C19</stp>
        <tr r="S447" s="1"/>
      </tp>
      <tp t="s">
        <v>#N/A Requesting Data...</v>
        <stp/>
        <stp>##V3_BDHV12</stp>
        <stp>CL1 Comdty</stp>
        <stp>30DAY_IMPVOL_100.0%MNY_DF</stp>
        <stp>06/05/2016</stp>
        <stp>06/05/2016</stp>
        <stp>[Bbg_Market_Data_CL.xlsm]data!R231C20</stp>
        <tr r="T231" s="1"/>
      </tp>
      <tp t="s">
        <v>#N/A Requesting Data...</v>
        <stp/>
        <stp>##V3_BDHV12</stp>
        <stp>CL1 Comdty</stp>
        <stp>30DAY_IMPVOL_110.0%MNY_DF</stp>
        <stp>16/05/2016</stp>
        <stp>16/05/2016</stp>
        <stp>[Bbg_Market_Data_CL.xlsm]data!R225C22</stp>
        <tr r="V225" s="1"/>
      </tp>
      <tp t="s">
        <v>#N/A Requesting Data...</v>
        <stp/>
        <stp>##V3_BDHV12</stp>
        <stp>CL1 Comdty</stp>
        <stp>30DAY_IMPVOL_105.0%MNY_DF</stp>
        <stp>10/02/2016</stp>
        <stp>10/02/2016</stp>
        <stp>[Bbg_Market_Data_CL.xlsm]data!R290C19</stp>
        <tr r="S290" s="1"/>
      </tp>
      <tp t="s">
        <v>#N/A Requesting Data...</v>
        <stp/>
        <stp>##V3_BDHV12</stp>
        <stp>CL1 Comdty</stp>
        <stp>30DAY_IMPVOL_105.0%MNY_DF</stp>
        <stp>15/04/2015</stp>
        <stp>15/04/2015</stp>
        <stp>[Bbg_Market_Data_CL.xlsm]data!R496C19</stp>
        <tr r="S496" s="1"/>
      </tp>
      <tp t="s">
        <v>#N/A Requesting Data...</v>
        <stp/>
        <stp>##V3_BDHV12</stp>
        <stp>CL1 Comdty</stp>
        <stp>30DAY_IMPVOL_105.0%MNY_DF</stp>
        <stp>05/05/2015</stp>
        <stp>05/05/2015</stp>
        <stp>[Bbg_Market_Data_CL.xlsm]data!R482C19</stp>
        <tr r="S482" s="1"/>
      </tp>
      <tp t="s">
        <v>#N/A Requesting Data...</v>
        <stp/>
        <stp>##V3_BDHV12</stp>
        <stp>CL1 Comdty</stp>
        <stp>30DAY_IMPVOL_110.0%MNY_DF</stp>
        <stp>06/04/2016</stp>
        <stp>06/04/2016</stp>
        <stp>[Bbg_Market_Data_CL.xlsm]data!R253C22</stp>
        <tr r="V253" s="1"/>
      </tp>
      <tp t="s">
        <v>#N/A Requesting Data...</v>
        <stp/>
        <stp>##V3_BDHV12</stp>
        <stp>CL1 Comdty</stp>
        <stp>30DAY_IMPVOL_105.0%MNY_DF</stp>
        <stp>03/10/2016</stp>
        <stp>03/10/2016</stp>
        <stp>[Bbg_Market_Data_CL.xlsm]data!R129C19</stp>
        <tr r="S129" s="1"/>
      </tp>
      <tp t="s">
        <v>#N/A Requesting Data...</v>
        <stp/>
        <stp>##V3_BDHV12</stp>
        <stp>CL1 Comdty</stp>
        <stp>30DAY_IMPVOL_105.0%MNY_DF</stp>
        <stp>02/12/2015</stp>
        <stp>02/12/2015</stp>
        <stp>[Bbg_Market_Data_CL.xlsm]data!R337C19</stp>
        <tr r="S337" s="1"/>
      </tp>
      <tp t="s">
        <v>#N/A Requesting Data...</v>
        <stp/>
        <stp>##V3_BDHV12</stp>
        <stp>CL1 Comdty</stp>
        <stp>30DAY_IMPVOL_110.0%MNY_DF</stp>
        <stp>05/07/2016</stp>
        <stp>05/07/2016</stp>
        <stp>[Bbg_Market_Data_CL.xlsm]data!R191C22</stp>
        <tr r="V191" s="1"/>
      </tp>
      <tp t="s">
        <v>#N/A Requesting Data...</v>
        <stp/>
        <stp>##V3_BDHV12</stp>
        <stp>CL1 Comdty</stp>
        <stp>30DAY_IMPVOL_100.0%MNY_DF</stp>
        <stp>15/07/2016</stp>
        <stp>15/07/2016</stp>
        <stp>[Bbg_Market_Data_CL.xlsm]data!R183C20</stp>
        <tr r="T183" s="1"/>
      </tp>
      <tp t="s">
        <v>#N/A Requesting Data...</v>
        <stp/>
        <stp>##V3_BDHV12</stp>
        <stp>CL1 Comdty</stp>
        <stp>30DAY_IMPVOL_105.0%MNY_DF</stp>
        <stp>22/10/2015</stp>
        <stp>22/10/2015</stp>
        <stp>[Bbg_Market_Data_CL.xlsm]data!R364C19</stp>
        <tr r="S364" s="1"/>
      </tp>
      <tp t="s">
        <v>#N/A Requesting Data...</v>
        <stp/>
        <stp>##V3_BDHV12</stp>
        <stp>CL1 Comdty</stp>
        <stp>30DAY_IMPVOL_100.0%MNY_DF</stp>
        <stp>28/09/2016</stp>
        <stp>28/09/2016</stp>
        <stp>[Bbg_Market_Data_CL.xlsm]data!R132C20</stp>
        <tr r="T132" s="1"/>
      </tp>
      <tp t="s">
        <v>#N/A Requesting Data...</v>
        <stp/>
        <stp>##V3_BDHV12</stp>
        <stp>CL1 Comdty</stp>
        <stp>30DAY_IMPVOL_100.0%MNY_DF</stp>
        <stp>09/09/2015</stp>
        <stp>09/09/2015</stp>
        <stp>[Bbg_Market_Data_CL.xlsm]data!R394C20</stp>
        <tr r="T394" s="1"/>
      </tp>
      <tp t="s">
        <v>#N/A Requesting Data...</v>
        <stp/>
        <stp>##V3_BDHV12</stp>
        <stp>CL1 Comdty</stp>
        <stp>30DAY_IMPVOL_110.0%MNY_DF</stp>
        <stp>29/09/2016</stp>
        <stp>29/09/2016</stp>
        <stp>[Bbg_Market_Data_CL.xlsm]data!R131C22</stp>
        <tr r="V131" s="1"/>
      </tp>
      <tp t="s">
        <v>#N/A Requesting Data...</v>
        <stp/>
        <stp>##V3_BDHV12</stp>
        <stp>CL1 Comdty</stp>
        <stp>30DAY_IMPVOL_100.0%MNY_DF</stp>
        <stp>29/08/2016</stp>
        <stp>29/08/2016</stp>
        <stp>[Bbg_Market_Data_CL.xlsm]data!R153C20</stp>
        <tr r="T153" s="1"/>
      </tp>
      <tp t="s">
        <v>#N/A Requesting Data...</v>
        <stp/>
        <stp>##V3_BDHV12</stp>
        <stp>CL1 Comdty</stp>
        <stp>30DAY_IMPVOL_110.0%MNY_DF</stp>
        <stp>08/09/2015</stp>
        <stp>08/09/2015</stp>
        <stp>[Bbg_Market_Data_CL.xlsm]data!R395C22</stp>
        <tr r="V395" s="1"/>
      </tp>
      <tp t="s">
        <v>#N/A Requesting Data...</v>
        <stp/>
        <stp>##V3_BDHV12</stp>
        <stp>CL1 Comdty</stp>
        <stp>30DAY_IMPVOL_100.0%MNY_DF</stp>
        <stp>18/09/2015</stp>
        <stp>18/09/2015</stp>
        <stp>[Bbg_Market_Data_CL.xlsm]data!R387C20</stp>
        <tr r="T387" s="1"/>
      </tp>
      <tp t="s">
        <v>#N/A Requesting Data...</v>
        <stp/>
        <stp>##V3_BDHV12</stp>
        <stp>CL1 Comdty</stp>
        <stp>30DAY_IMPVOL_105.0%MNY_DF</stp>
        <stp>19/08/2015</stp>
        <stp>19/08/2015</stp>
        <stp>[Bbg_Market_Data_CL.xlsm]data!R408C19</stp>
        <tr r="S408" s="1"/>
      </tp>
      <tp t="s">
        <v>#N/A Requesting Data...</v>
        <stp/>
        <stp>##V3_BDHV12</stp>
        <stp>CL1 Comdty</stp>
        <stp>30DAY_IMPVOL_110.0%MNY_DF</stp>
        <stp>18/08/2015</stp>
        <stp>18/08/2015</stp>
        <stp>[Bbg_Market_Data_CL.xlsm]data!R409C22</stp>
        <tr r="V409" s="1"/>
      </tp>
      <tp t="s">
        <v>#N/A Requesting Data...</v>
        <stp/>
        <stp>##V3_BDHV12</stp>
        <stp>CL1 Comdty</stp>
        <stp>30DAY_IMPVOL_105.0%MNY_DF</stp>
        <stp>09/09/2015</stp>
        <stp>09/09/2015</stp>
        <stp>[Bbg_Market_Data_CL.xlsm]data!R394C19</stp>
        <tr r="S394" s="1"/>
      </tp>
      <tp t="s">
        <v>#N/A Requesting Data...</v>
        <stp/>
        <stp>##V3_BDHV12</stp>
        <stp>CL1 Comdty</stp>
        <stp>30DAY_IMPVOL_105.0%MNY_DF</stp>
        <stp>28/09/2016</stp>
        <stp>28/09/2016</stp>
        <stp>[Bbg_Market_Data_CL.xlsm]data!R132C19</stp>
        <tr r="S132" s="1"/>
      </tp>
      <tp t="s">
        <v>#N/A Requesting Data...</v>
        <stp/>
        <stp>##V3_BDHV12</stp>
        <stp>CL1 Comdty</stp>
        <stp>30DAY_IMPVOL_100.0%MNY_DF</stp>
        <stp>19/08/2015</stp>
        <stp>19/08/2015</stp>
        <stp>[Bbg_Market_Data_CL.xlsm]data!R408C20</stp>
        <tr r="T408" s="1"/>
      </tp>
      <tp t="s">
        <v>#N/A Requesting Data...</v>
        <stp/>
        <stp>##V3_BDHV12</stp>
        <stp>CL1 Comdty</stp>
        <stp>30DAY_IMPVOL_105.0%MNY_DF</stp>
        <stp>18/09/2015</stp>
        <stp>18/09/2015</stp>
        <stp>[Bbg_Market_Data_CL.xlsm]data!R387C19</stp>
        <tr r="S387" s="1"/>
      </tp>
      <tp t="s">
        <v>#N/A Requesting Data...</v>
        <stp/>
        <stp>##V3_BDHV12</stp>
        <stp>CL1 Comdty</stp>
        <stp>30DAY_IMPVOL_105.0%MNY_DF</stp>
        <stp>29/08/2016</stp>
        <stp>29/08/2016</stp>
        <stp>[Bbg_Market_Data_CL.xlsm]data!R153C19</stp>
        <tr r="S153" s="1"/>
      </tp>
      <tp t="s">
        <v>#N/A Requesting Data...</v>
        <stp/>
        <stp>##V3_BDHV12</stp>
        <stp>CL1 Comdty</stp>
        <stp>RSI_9D</stp>
        <stp>20/09/2016</stp>
        <stp>20/09/2016</stp>
        <stp>[Bbg_Market_Data_CL.xlsm]data!R139C12</stp>
        <tr r="L139" s="1"/>
      </tp>
      <tp t="s">
        <v>#N/A Requesting Data...</v>
        <stp/>
        <stp>##V3_BDHV12</stp>
        <stp>CL1 Comdty</stp>
        <stp>RSI_9D</stp>
        <stp>30/08/2016</stp>
        <stp>30/08/2016</stp>
        <stp>[Bbg_Market_Data_CL.xlsm]data!R153C12</stp>
        <tr r="L153" s="1"/>
      </tp>
      <tp t="s">
        <v>#N/A Requesting Data...</v>
        <stp/>
        <stp>##V3_BDHV12</stp>
        <stp>CL1 Comdty</stp>
        <stp>RSI_9D</stp>
        <stp>10/09/2015</stp>
        <stp>10/09/2015</stp>
        <stp>[Bbg_Market_Data_CL.xlsm]data!R394C12</stp>
        <tr r="L394" s="1"/>
      </tp>
      <tp t="s">
        <v>#N/A Requesting Data...</v>
        <stp/>
        <stp>##V3_BDHV12</stp>
        <stp>CL2 Comdty</stp>
        <stp>RSI_9D</stp>
        <stp>01/09/2016</stp>
        <stp>01/09/2016</stp>
        <stp>[Bbg_Market_Data_CL.xlsm]data!R151C12</stp>
        <tr r="L151" s="1"/>
      </tp>
      <tp t="s">
        <v>#N/A Requesting Data...</v>
        <stp/>
        <stp>##V3_BDHV12</stp>
        <stp>CL2 Comdty</stp>
        <stp>RSI_9D</stp>
        <stp>11/08/2016</stp>
        <stp>11/08/2016</stp>
        <stp>[Bbg_Market_Data_CL.xlsm]data!R166C12</stp>
        <tr r="L166" s="1"/>
      </tp>
      <tp t="s">
        <v>#N/A Requesting Data...</v>
        <stp/>
        <stp>##V3_BDHV12</stp>
        <stp>CL1 Comdty</stp>
        <stp>RSI_9D</stp>
        <stp>23/09/2015</stp>
        <stp>23/09/2015</stp>
        <stp>[Bbg_Market_Data_CL.xlsm]data!R385C12</stp>
        <tr r="L385" s="1"/>
      </tp>
      <tp t="s">
        <v>#N/A Requesting Data...</v>
        <stp/>
        <stp>##V3_BDHV12</stp>
        <stp>CL2 Comdty</stp>
        <stp>RSI_9D</stp>
        <stp>22/08/2016</stp>
        <stp>22/08/2016</stp>
        <stp>[Bbg_Market_Data_CL.xlsm]data!R159C12</stp>
        <tr r="L159" s="1"/>
      </tp>
      <tp t="s">
        <v>#N/A Requesting Data...</v>
        <stp/>
        <stp>##V3_BDHV12</stp>
        <stp>CL1 Comdty</stp>
        <stp>RSI_9D</stp>
        <stp>02/09/2016</stp>
        <stp>02/09/2016</stp>
        <stp>[Bbg_Market_Data_CL.xlsm]data!R150C12</stp>
        <tr r="L150" s="1"/>
      </tp>
      <tp t="s">
        <v>#N/A Requesting Data...</v>
        <stp/>
        <stp>##V3_BDHV12</stp>
        <stp>CL1 Comdty</stp>
        <stp>RSI_9D</stp>
        <stp>12/08/2016</stp>
        <stp>12/08/2016</stp>
        <stp>[Bbg_Market_Data_CL.xlsm]data!R165C12</stp>
        <tr r="L165" s="1"/>
      </tp>
      <tp t="s">
        <v>#N/A Requesting Data...</v>
        <stp/>
        <stp>##V3_BDHV12</stp>
        <stp>CL2 Comdty</stp>
        <stp>RSI_9D</stp>
        <stp>02/09/2015</stp>
        <stp>02/09/2015</stp>
        <stp>[Bbg_Market_Data_CL.xlsm]data!R399C12</stp>
        <tr r="L399" s="1"/>
      </tp>
      <tp t="s">
        <v>#N/A Requesting Data...</v>
        <stp/>
        <stp>##V3_BDHV12</stp>
        <stp>CL2 Comdty</stp>
        <stp>RSI_9D</stp>
        <stp>23/09/2016</stp>
        <stp>23/09/2016</stp>
        <stp>[Bbg_Market_Data_CL.xlsm]data!R136C12</stp>
        <tr r="L136" s="1"/>
      </tp>
      <tp t="s">
        <v>#N/A Requesting Data...</v>
        <stp/>
        <stp>##V3_BDHV12</stp>
        <stp>CL1 Comdty</stp>
        <stp>RSI_9D</stp>
        <stp>13/09/2016</stp>
        <stp>13/09/2016</stp>
        <stp>[Bbg_Market_Data_CL.xlsm]data!R144C12</stp>
        <tr r="L144" s="1"/>
      </tp>
      <tp t="s">
        <v>#N/A Requesting Data...</v>
        <stp/>
        <stp>##V3_BDHV12</stp>
        <stp>CL1 Comdty</stp>
        <stp>RSI_9D</stp>
        <stp>03/08/2016</stp>
        <stp>03/08/2016</stp>
        <stp>[Bbg_Market_Data_CL.xlsm]data!R171C12</stp>
        <tr r="L171" s="1"/>
      </tp>
      <tp t="s">
        <v>#N/A Requesting Data...</v>
        <stp/>
        <stp>##V3_BDHV12</stp>
        <stp>CL2 Comdty</stp>
        <stp>RSI_9D</stp>
        <stp>12/08/2015</stp>
        <stp>12/08/2015</stp>
        <stp>[Bbg_Market_Data_CL.xlsm]data!R414C12</stp>
        <tr r="L414" s="1"/>
      </tp>
      <tp t="s">
        <v>#N/A Requesting Data...</v>
        <stp/>
        <stp>##V3_BDHV12</stp>
        <stp>CL2 Comdty</stp>
        <stp>RSI_9D</stp>
        <stp>03/08/2015</stp>
        <stp>03/08/2015</stp>
        <stp>[Bbg_Market_Data_CL.xlsm]data!R421C12</stp>
        <tr r="L421" s="1"/>
      </tp>
      <tp t="s">
        <v>#N/A Requesting Data...</v>
        <stp/>
        <stp>##V3_BDHV12</stp>
        <stp>CL2 Comdty</stp>
        <stp>RSI_9D</stp>
        <stp>21/08/2015</stp>
        <stp>21/08/2015</stp>
        <stp>[Bbg_Market_Data_CL.xlsm]data!R407C12</stp>
        <tr r="L407" s="1"/>
      </tp>
      <tp t="s">
        <v>#N/A Requesting Data...</v>
        <stp/>
        <stp>##V3_BDHV12</stp>
        <stp>CL1 Comdty</stp>
        <stp>RSI_9D</stp>
        <stp>01/09/2015</stp>
        <stp>01/09/2015</stp>
        <stp>[Bbg_Market_Data_CL.xlsm]data!R400C12</stp>
        <tr r="L400" s="1"/>
      </tp>
      <tp t="s">
        <v>#N/A Requesting Data...</v>
        <stp/>
        <stp>##V3_BDHV12</stp>
        <stp>CL1 Comdty</stp>
        <stp>RSI_9D</stp>
        <stp>11/08/2015</stp>
        <stp>11/08/2015</stp>
        <stp>[Bbg_Market_Data_CL.xlsm]data!R415C12</stp>
        <tr r="L415" s="1"/>
      </tp>
      <tp t="s">
        <v>#N/A Requesting Data...</v>
        <stp/>
        <stp>##V3_BDHV12</stp>
        <stp>CL2 Comdty</stp>
        <stp>RSI_9D</stp>
        <stp>09/12/2015</stp>
        <stp>09/12/2015</stp>
        <stp>[Bbg_Market_Data_CL.xlsm]data!R333C12</stp>
        <tr r="L333" s="1"/>
      </tp>
      <tp t="s">
        <v>#N/A Requesting Data...</v>
        <stp/>
        <stp>##V3_BDHV12</stp>
        <stp>CL1 Comdty</stp>
        <stp>RSI_9D</stp>
        <stp>09/11/2015</stp>
        <stp>09/11/2015</stp>
        <stp>[Bbg_Market_Data_CL.xlsm]data!R353C12</stp>
        <tr r="L353" s="1"/>
      </tp>
      <tp t="s">
        <v>#N/A Requesting Data...</v>
        <stp/>
        <stp>##V3_BDHV12</stp>
        <stp>CL2 Comdty</stp>
        <stp>RSI_9D</stp>
        <stp>29/10/2015</stp>
        <stp>29/10/2015</stp>
        <stp>[Bbg_Market_Data_CL.xlsm]data!R360C12</stp>
        <tr r="L360" s="1"/>
      </tp>
      <tp t="s">
        <v>#N/A Requesting Data...</v>
        <stp/>
        <stp>##V3_BDHV12</stp>
        <stp>CL1 Comdty</stp>
        <stp>RSI_9D</stp>
        <stp>19/10/2015</stp>
        <stp>19/10/2015</stp>
        <stp>[Bbg_Market_Data_CL.xlsm]data!R368C12</stp>
        <tr r="L368" s="1"/>
      </tp>
      <tp t="s">
        <v>#N/A Requesting Data...</v>
        <stp/>
        <stp>##V3_BDHV12</stp>
        <stp>CL2 Comdty</stp>
        <stp>RSI_9D</stp>
        <stp>19/10/2016</stp>
        <stp>19/10/2016</stp>
        <stp>[Bbg_Market_Data_CL.xlsm]data!R119C12</stp>
        <tr r="L119" s="1"/>
      </tp>
      <tp t="s">
        <v>#N/A Requesting Data...</v>
        <stp/>
        <stp>##V3_BDHV12</stp>
        <stp>CL2 Comdty</stp>
        <stp>RSI_9D</stp>
        <stp>09/11/2016</stp>
        <stp>09/11/2016</stp>
        <stp>[Bbg_Market_Data_CL.xlsm]data!R104C12</stp>
        <tr r="L104" s="1"/>
      </tp>
      <tp t="s">
        <v>#N/A Requesting Data...</v>
        <stp/>
        <stp>##V3_BDHV12</stp>
        <stp>CL2 Comdty</stp>
        <stp>RSI_9D</stp>
        <stp>18/12/2015</stp>
        <stp>18/12/2015</stp>
        <stp>[Bbg_Market_Data_CL.xlsm]data!R326C12</stp>
        <tr r="L326" s="1"/>
      </tp>
      <tp t="s">
        <v>#N/A Requesting Data...</v>
        <stp/>
        <stp>##V3_BDHV12</stp>
        <stp>CL1 Comdty</stp>
        <stp>RSI_9D</stp>
        <stp>28/12/2015</stp>
        <stp>28/12/2015</stp>
        <stp>[Bbg_Market_Data_CL.xlsm]data!R321C12</stp>
        <tr r="L321" s="1"/>
      </tp>
      <tp t="s">
        <v>#N/A Requesting Data...</v>
        <stp/>
        <stp>##V3_BDHV12</stp>
        <stp>CL1 Comdty</stp>
        <stp>RSI_9D</stp>
        <stp>18/11/2015</stp>
        <stp>18/11/2015</stp>
        <stp>[Bbg_Market_Data_CL.xlsm]data!R347C12</stp>
        <tr r="L347" s="1"/>
      </tp>
      <tp t="s">
        <v>#N/A Requesting Data...</v>
        <stp/>
        <stp>##V3_BDHV12</stp>
        <stp>CL1 Comdty</stp>
        <stp>RSI_9D</stp>
        <stp>08/10/2015</stp>
        <stp>08/10/2015</stp>
        <stp>[Bbg_Market_Data_CL.xlsm]data!R374C12</stp>
        <tr r="L374" s="1"/>
      </tp>
      <tp t="s">
        <v>#N/A Requesting Data...</v>
        <stp/>
        <stp>##V3_BDHV12</stp>
        <stp>CL1 Comdty</stp>
        <stp>RSI_9D</stp>
        <stp>09/02/2016</stp>
        <stp>09/02/2016</stp>
        <stp>[Bbg_Market_Data_CL.xlsm]data!R292C12</stp>
        <tr r="L292" s="1"/>
      </tp>
      <tp t="s">
        <v>#N/A Requesting Data...</v>
        <stp/>
        <stp>##V3_BDHV12</stp>
        <stp>CL1 Comdty</stp>
        <stp>RSI_9D</stp>
        <stp>28/01/2016</stp>
        <stp>28/01/2016</stp>
        <stp>[Bbg_Market_Data_CL.xlsm]data!R300C12</stp>
        <tr r="L300" s="1"/>
      </tp>
      <tp t="s">
        <v>#N/A Requesting Data...</v>
        <stp/>
        <stp>##V3_BDHV12</stp>
        <stp>CL2 Comdty</stp>
        <stp>RSI_9D</stp>
        <stp>29/03/2016</stp>
        <stp>29/03/2016</stp>
        <stp>[Bbg_Market_Data_CL.xlsm]data!R260C12</stp>
        <tr r="L260" s="1"/>
      </tp>
      <tp t="s">
        <v>#N/A Requesting Data...</v>
        <stp/>
        <stp>##V3_BDHV12</stp>
        <stp>CL1 Comdty</stp>
        <stp>RSI_9D</stp>
        <stp>18/02/2016</stp>
        <stp>18/02/2016</stp>
        <stp>[Bbg_Market_Data_CL.xlsm]data!R287C12</stp>
        <tr r="L287" s="1"/>
      </tp>
      <tp t="s">
        <v>#N/A Requesting Data...</v>
        <stp/>
        <stp>##V3_BDHV12</stp>
        <stp>CL1 Comdty</stp>
        <stp>RSI_9D</stp>
        <stp>08/03/2016</stp>
        <stp>08/03/2016</stp>
        <stp>[Bbg_Market_Data_CL.xlsm]data!R274C12</stp>
        <tr r="L274" s="1"/>
      </tp>
      <tp t="s">
        <v>#N/A Requesting Data...</v>
        <stp/>
        <stp>##V3_BDHV12</stp>
        <stp>CL1 Comdty</stp>
        <stp>30DAY_IMPVOL_100.0%MNY_DF</stp>
        <stp>23/12/2015</stp>
        <stp>23/12/2015</stp>
        <stp>[Bbg_Market_Data_CL.xlsm]data!R322C20</stp>
        <tr r="T322" s="1"/>
      </tp>
      <tp t="s">
        <v>#N/A Requesting Data...</v>
        <stp/>
        <stp>##V3_BDHV12</stp>
        <stp>CL1 Comdty</stp>
        <stp>30DAY_IMPVOL_105.0%MNY_DF</stp>
        <stp>24/06/2016</stp>
        <stp>24/06/2016</stp>
        <stp>[Bbg_Market_Data_CL.xlsm]data!R197C19</stp>
        <tr r="S197" s="1"/>
      </tp>
      <tp t="s">
        <v>#N/A Requesting Data...</v>
        <stp/>
        <stp>##V3_BDHV12</stp>
        <stp>CL1 Comdty</stp>
        <stp>30DAY_IMPVOL_110.0%MNY_DF</stp>
        <stp>14/07/2015</stp>
        <stp>14/07/2015</stp>
        <stp>[Bbg_Market_Data_CL.xlsm]data!R434C22</stp>
        <tr r="V434" s="1"/>
      </tp>
      <tp t="s">
        <v>#N/A Requesting Data...</v>
        <stp/>
        <stp>##V3_BDHV12</stp>
        <stp>CL1 Comdty</stp>
        <stp>30DAY_IMPVOL_100.0%MNY_DF</stp>
        <stp>21/03/2016</stp>
        <stp>21/03/2016</stp>
        <stp>[Bbg_Market_Data_CL.xlsm]data!R264C20</stp>
        <tr r="T264" s="1"/>
      </tp>
      <tp t="s">
        <v>#N/A Requesting Data...</v>
        <stp/>
        <stp>##V3_BDHV12</stp>
        <stp>CL1 Comdty</stp>
        <stp>30DAY_IMPVOL_110.0%MNY_DF</stp>
        <stp>03/11/2015</stp>
        <stp>03/11/2015</stp>
        <stp>[Bbg_Market_Data_CL.xlsm]data!R356C22</stp>
        <tr r="V356" s="1"/>
      </tp>
      <tp t="s">
        <v>#N/A Requesting Data...</v>
        <stp/>
        <stp>##V3_BDHV12</stp>
        <stp>CL1 Comdty</stp>
        <stp>30DAY_IMPVOL_110.0%MNY_DF</stp>
        <stp>31/03/2016</stp>
        <stp>31/03/2016</stp>
        <stp>[Bbg_Market_Data_CL.xlsm]data!R257C22</stp>
        <tr r="V257" s="1"/>
      </tp>
      <tp t="s">
        <v>#N/A Requesting Data...</v>
        <stp/>
        <stp>##V3_BDHV12</stp>
        <stp>CL1 Comdty</stp>
        <stp>30DAY_IMPVOL_110.0%MNY_DF</stp>
        <stp>13/10/2015</stp>
        <stp>13/10/2015</stp>
        <stp>[Bbg_Market_Data_CL.xlsm]data!R371C22</stp>
        <tr r="V371" s="1"/>
      </tp>
      <tp t="s">
        <v>#N/A Requesting Data...</v>
        <stp/>
        <stp>##V3_BDHV12</stp>
        <stp>CL1 Comdty</stp>
        <stp>30DAY_IMPVOL_110.0%MNY_DF</stp>
        <stp>04/06/2015</stp>
        <stp>04/06/2015</stp>
        <stp>[Bbg_Market_Data_CL.xlsm]data!R461C22</stp>
        <tr r="V461" s="1"/>
      </tp>
      <tp t="s">
        <v>#N/A Requesting Data...</v>
        <stp/>
        <stp>##V3_BDHV12</stp>
        <stp>CL1 Comdty</stp>
        <stp>30DAY_IMPVOL_100.0%MNY_DF</stp>
        <stp>13/11/2015</stp>
        <stp>13/11/2015</stp>
        <stp>[Bbg_Market_Data_CL.xlsm]data!R349C20</stp>
        <tr r="T349" s="1"/>
      </tp>
      <tp t="s">
        <v>#N/A Requesting Data...</v>
        <stp/>
        <stp>##V3_BDHV12</stp>
        <stp>CL1 Comdty</stp>
        <stp>30DAY_IMPVOL_110.0%MNY_DF</stp>
        <stp>24/04/2015</stp>
        <stp>24/04/2015</stp>
        <stp>[Bbg_Market_Data_CL.xlsm]data!R489C22</stp>
        <tr r="V489" s="1"/>
      </tp>
      <tp t="s">
        <v>#N/A Requesting Data...</v>
        <stp/>
        <stp>##V3_BDHV12</stp>
        <stp>CL1 Comdty</stp>
        <stp>30DAY_IMPVOL_105.0%MNY_DF</stp>
        <stp>27/05/2016</stp>
        <stp>27/05/2016</stp>
        <stp>[Bbg_Market_Data_CL.xlsm]data!R216C19</stp>
        <tr r="S216" s="1"/>
      </tp>
      <tp t="s">
        <v>#N/A Requesting Data...</v>
        <stp/>
        <stp>##V3_BDHV12</stp>
        <stp>CL1 Comdty</stp>
        <stp>30DAY_IMPVOL_105.0%MNY_DF</stp>
        <stp>17/06/2016</stp>
        <stp>17/06/2016</stp>
        <stp>[Bbg_Market_Data_CL.xlsm]data!R202C19</stp>
        <tr r="S202" s="1"/>
      </tp>
      <tp t="s">
        <v>#N/A Requesting Data...</v>
        <stp/>
        <stp>##V3_BDHV12</stp>
        <stp>CL1 Comdty</stp>
        <stp>30DAY_IMPVOL_110.0%MNY_DF</stp>
        <stp>11/01/2016</stp>
        <stp>11/01/2016</stp>
        <stp>[Bbg_Market_Data_CL.xlsm]data!R311C22</stp>
        <tr r="V311" s="1"/>
      </tp>
      <tp t="s">
        <v>#N/A Requesting Data...</v>
        <stp/>
        <stp>##V3_BDHV12</stp>
        <stp>CL1 Comdty</stp>
        <stp>30DAY_IMPVOL_100.0%MNY_DF</stp>
        <stp>15/07/2015</stp>
        <stp>15/07/2015</stp>
        <stp>[Bbg_Market_Data_CL.xlsm]data!R433C20</stp>
        <tr r="T433" s="1"/>
      </tp>
      <tp t="s">
        <v>#N/A Requesting Data...</v>
        <stp/>
        <stp>##V3_BDHV12</stp>
        <stp>CL1 Comdty</stp>
        <stp>30DAY_IMPVOL_110.0%MNY_DF</stp>
        <stp>22/12/2015</stp>
        <stp>22/12/2015</stp>
        <stp>[Bbg_Market_Data_CL.xlsm]data!R323C22</stp>
        <tr r="V323" s="1"/>
      </tp>
      <tp t="s">
        <v>#N/A Requesting Data...</v>
        <stp/>
        <stp>##V3_BDHV12</stp>
        <stp>CL1 Comdty</stp>
        <stp>30DAY_IMPVOL_110.0%MNY_DF</stp>
        <stp>12/11/2015</stp>
        <stp>12/11/2015</stp>
        <stp>[Bbg_Market_Data_CL.xlsm]data!R350C22</stp>
        <tr r="V350" s="1"/>
      </tp>
      <tp t="s">
        <v>#N/A Requesting Data...</v>
        <stp/>
        <stp>##V3_BDHV12</stp>
        <stp>CL1 Comdty</stp>
        <stp>30DAY_IMPVOL_100.0%MNY_DF</stp>
        <stp>05/06/2015</stp>
        <stp>05/06/2015</stp>
        <stp>[Bbg_Market_Data_CL.xlsm]data!R460C20</stp>
        <tr r="T460" s="1"/>
      </tp>
      <tp t="s">
        <v>#N/A Requesting Data...</v>
        <stp/>
        <stp>##V3_BDHV12</stp>
        <stp>CL1 Comdty</stp>
        <stp>30DAY_IMPVOL_110.0%MNY_DF</stp>
        <stp>15/06/2015</stp>
        <stp>15/06/2015</stp>
        <stp>[Bbg_Market_Data_CL.xlsm]data!R454C22</stp>
        <tr r="V454" s="1"/>
      </tp>
      <tp t="s">
        <v>#N/A Requesting Data...</v>
        <stp/>
        <stp>##V3_BDHV12</stp>
        <stp>CL1 Comdty</stp>
        <stp>30DAY_IMPVOL_100.0%MNY_DF</stp>
        <stp>02/11/2015</stp>
        <stp>02/11/2015</stp>
        <stp>[Bbg_Market_Data_CL.xlsm]data!R357C20</stp>
        <tr r="T357" s="1"/>
      </tp>
      <tp t="s">
        <v>#N/A Requesting Data...</v>
        <stp/>
        <stp>##V3_BDHV12</stp>
        <stp>CL1 Comdty</stp>
        <stp>30DAY_IMPVOL_110.0%MNY_DF</stp>
        <stp>02/10/2015</stp>
        <stp>02/10/2015</stp>
        <stp>[Bbg_Market_Data_CL.xlsm]data!R377C22</stp>
        <tr r="V377" s="1"/>
      </tp>
      <tp t="s">
        <v>#N/A Requesting Data...</v>
        <stp/>
        <stp>##V3_BDHV12</stp>
        <stp>CL1 Comdty</stp>
        <stp>30DAY_IMPVOL_100.0%MNY_DF</stp>
        <stp>30/03/2016</stp>
        <stp>30/03/2016</stp>
        <stp>[Bbg_Market_Data_CL.xlsm]data!R258C20</stp>
        <tr r="T258" s="1"/>
      </tp>
      <tp t="s">
        <v>#N/A Requesting Data...</v>
        <stp/>
        <stp>##V3_BDHV12</stp>
        <stp>CL1 Comdty</stp>
        <stp>30DAY_IMPVOL_105.0%MNY_DF</stp>
        <stp>26/04/2016</stp>
        <stp>26/04/2016</stp>
        <stp>[Bbg_Market_Data_CL.xlsm]data!R239C19</stp>
        <tr r="S239" s="1"/>
      </tp>
      <tp t="s">
        <v>#N/A Requesting Data...</v>
        <stp/>
        <stp>##V3_BDHV12</stp>
        <stp>CL1 Comdty</stp>
        <stp>30DAY_IMPVOL_105.0%MNY_DF</stp>
        <stp>06/06/2016</stp>
        <stp>06/06/2016</stp>
        <stp>[Bbg_Market_Data_CL.xlsm]data!R211C19</stp>
        <tr r="S211" s="1"/>
      </tp>
      <tp t="s">
        <v>#N/A Requesting Data...</v>
        <stp/>
        <stp>##V3_BDHV12</stp>
        <stp>CL1 Comdty</stp>
        <stp>30DAY_IMPVOL_105.0%MNY_DF</stp>
        <stp>25/07/2016</stp>
        <stp>25/07/2016</stp>
        <stp>[Bbg_Market_Data_CL.xlsm]data!R177C19</stp>
        <tr r="S177" s="1"/>
      </tp>
      <tp t="s">
        <v>#N/A Requesting Data...</v>
        <stp/>
        <stp>##V3_BDHV12</stp>
        <stp>CL1 Comdty</stp>
        <stp>30DAY_IMPVOL_110.0%MNY_DF</stp>
        <stp>22/01/2016</stp>
        <stp>22/01/2016</stp>
        <stp>[Bbg_Market_Data_CL.xlsm]data!R303C22</stp>
        <tr r="V303" s="1"/>
      </tp>
      <tp t="s">
        <v>#N/A Requesting Data...</v>
        <stp/>
        <stp>##V3_BDHV12</stp>
        <stp>CL1 Comdty</stp>
        <stp>30DAY_IMPVOL_100.0%MNY_DF</stp>
        <stp>01/12/2015</stp>
        <stp>01/12/2015</stp>
        <stp>[Bbg_Market_Data_CL.xlsm]data!R338C20</stp>
        <tr r="T338" s="1"/>
      </tp>
      <tp t="s">
        <v>#N/A Requesting Data...</v>
        <stp/>
        <stp>##V3_BDHV12</stp>
        <stp>CL1 Comdty</stp>
        <stp>30DAY_IMPVOL_110.0%MNY_DF</stp>
        <stp>11/12/2015</stp>
        <stp>11/12/2015</stp>
        <stp>[Bbg_Market_Data_CL.xlsm]data!R330C22</stp>
        <tr r="V330" s="1"/>
      </tp>
      <tp t="s">
        <v>#N/A Requesting Data...</v>
        <stp/>
        <stp>##V3_BDHV12</stp>
        <stp>CL1 Comdty</stp>
        <stp>30DAY_IMPVOL_100.0%MNY_DF</stp>
        <stp>10/11/2016</stp>
        <stp>10/11/2016</stp>
        <stp>[Bbg_Market_Data_CL.xlsm]data!R102C20</stp>
        <tr r="T102" s="1"/>
      </tp>
      <tp t="s">
        <v>#N/A Requesting Data...</v>
        <stp/>
        <stp>##V3_BDHV12</stp>
        <stp>CL1 Comdty</stp>
        <stp>30DAY_IMPVOL_110.0%MNY_DF</stp>
        <stp>26/06/2015</stp>
        <stp>26/06/2015</stp>
        <stp>[Bbg_Market_Data_CL.xlsm]data!R445C22</stp>
        <tr r="V445" s="1"/>
      </tp>
      <tp t="s">
        <v>#N/A Requesting Data...</v>
        <stp/>
        <stp>##V3_BDHV12</stp>
        <stp>CL1 Comdty</stp>
        <stp>30DAY_IMPVOL_100.0%MNY_DF</stp>
        <stp>03/03/2016</stp>
        <stp>03/03/2016</stp>
        <stp>[Bbg_Market_Data_CL.xlsm]data!R276C20</stp>
        <tr r="T276" s="1"/>
      </tp>
      <tp t="s">
        <v>#N/A Requesting Data...</v>
        <stp/>
        <stp>##V3_BDHV12</stp>
        <stp>CL1 Comdty</stp>
        <stp>30DAY_IMPVOL_100.0%MNY_DF</stp>
        <stp>21/10/2015</stp>
        <stp>21/10/2015</stp>
        <stp>[Bbg_Market_Data_CL.xlsm]data!R365C20</stp>
        <tr r="T365" s="1"/>
      </tp>
      <tp t="s">
        <v>#N/A Requesting Data...</v>
        <stp/>
        <stp>##V3_BDHV12</stp>
        <stp>CL1 Comdty</stp>
        <stp>30DAY_IMPVOL_105.0%MNY_DF</stp>
        <stp>05/05/2016</stp>
        <stp>05/05/2016</stp>
        <stp>[Bbg_Market_Data_CL.xlsm]data!R232C19</stp>
        <tr r="S232" s="1"/>
      </tp>
      <tp t="s">
        <v>#N/A Requesting Data...</v>
        <stp/>
        <stp>##V3_BDHV12</stp>
        <stp>CL1 Comdty</stp>
        <stp>30DAY_IMPVOL_110.0%MNY_DF</stp>
        <stp>03/02/2016</stp>
        <stp>03/02/2016</stp>
        <stp>[Bbg_Market_Data_CL.xlsm]data!R295C22</stp>
        <tr r="V295" s="1"/>
      </tp>
      <tp t="s">
        <v>#N/A Requesting Data...</v>
        <stp/>
        <stp>##V3_BDHV12</stp>
        <stp>CL1 Comdty</stp>
        <stp>30DAY_IMPVOL_100.0%MNY_DF</stp>
        <stp>06/05/2015</stp>
        <stp>06/05/2015</stp>
        <stp>[Bbg_Market_Data_CL.xlsm]data!R481C20</stp>
        <tr r="T481" s="1"/>
      </tp>
      <tp t="s">
        <v>#N/A Requesting Data...</v>
        <stp/>
        <stp>##V3_BDHV12</stp>
        <stp>CL1 Comdty</stp>
        <stp>30DAY_IMPVOL_100.0%MNY_DF</stp>
        <stp>16/04/2015</stp>
        <stp>16/04/2015</stp>
        <stp>[Bbg_Market_Data_CL.xlsm]data!R495C20</stp>
        <tr r="T495" s="1"/>
      </tp>
      <tp t="s">
        <v>#N/A Requesting Data...</v>
        <stp/>
        <stp>##V3_BDHV12</stp>
        <stp>CL1 Comdty</stp>
        <stp>30DAY_IMPVOL_105.0%MNY_DF</stp>
        <stp>15/04/2016</stp>
        <stp>15/04/2016</stp>
        <stp>[Bbg_Market_Data_CL.xlsm]data!R246C19</stp>
        <tr r="S246" s="1"/>
      </tp>
      <tp t="s">
        <v>#N/A Requesting Data...</v>
        <stp/>
        <stp>##V3_BDHV12</stp>
        <stp>CL1 Comdty</stp>
        <stp>30DAY_IMPVOL_100.0%MNY_DF</stp>
        <stp>10/12/2015</stp>
        <stp>10/12/2015</stp>
        <stp>[Bbg_Market_Data_CL.xlsm]data!R331C20</stp>
        <tr r="T331" s="1"/>
      </tp>
      <tp t="s">
        <v>#N/A Requesting Data...</v>
        <stp/>
        <stp>##V3_BDHV12</stp>
        <stp>CL1 Comdty</stp>
        <stp>30DAY_IMPVOL_100.0%MNY_DF</stp>
        <stp>11/10/2016</stp>
        <stp>11/10/2016</stp>
        <stp>[Bbg_Market_Data_CL.xlsm]data!R124C20</stp>
        <tr r="T124" s="1"/>
      </tp>
      <tp t="s">
        <v>#N/A Requesting Data...</v>
        <stp/>
        <stp>##V3_BDHV12</stp>
        <stp>CL1 Comdty</stp>
        <stp>30DAY_IMPVOL_110.0%MNY_DF</stp>
        <stp>27/07/2015</stp>
        <stp>27/07/2015</stp>
        <stp>[Bbg_Market_Data_CL.xlsm]data!R425C22</stp>
        <tr r="V425" s="1"/>
      </tp>
      <tp t="s">
        <v>#N/A Requesting Data...</v>
        <stp/>
        <stp>##V3_BDHV12</stp>
        <stp>CL1 Comdty</stp>
        <stp>30DAY_IMPVOL_110.0%MNY_DF</stp>
        <stp>30/11/2015</stp>
        <stp>30/11/2015</stp>
        <stp>[Bbg_Market_Data_CL.xlsm]data!R339C22</stp>
        <tr r="V339" s="1"/>
      </tp>
      <tp t="s">
        <v>#N/A Requesting Data...</v>
        <stp/>
        <stp>##V3_BDHV12</stp>
        <stp>CL1 Comdty</stp>
        <stp>30DAY_IMPVOL_100.0%MNY_DF</stp>
        <stp>01/11/2016</stp>
        <stp>01/11/2016</stp>
        <stp>[Bbg_Market_Data_CL.xlsm]data!R109C20</stp>
        <tr r="T109" s="1"/>
      </tp>
      <tp t="s">
        <v>#N/A Requesting Data...</v>
        <stp/>
        <stp>##V3_BDHV12</stp>
        <stp>CL1 Comdty</stp>
        <stp>30DAY_IMPVOL_105.0%MNY_DF</stp>
        <stp>07/07/2016</stp>
        <stp>07/07/2016</stp>
        <stp>[Bbg_Market_Data_CL.xlsm]data!R189C19</stp>
        <tr r="S189" s="1"/>
      </tp>
      <tp t="s">
        <v>#N/A Requesting Data...</v>
        <stp/>
        <stp>##V3_BDHV12</stp>
        <stp>CL1 Comdty</stp>
        <stp>30DAY_IMPVOL_100.0%MNY_DF</stp>
        <stp>30/10/2015</stp>
        <stp>30/10/2015</stp>
        <stp>[Bbg_Market_Data_CL.xlsm]data!R358C20</stp>
        <tr r="T358" s="1"/>
      </tp>
      <tp t="s">
        <v>#N/A Requesting Data...</v>
        <stp/>
        <stp>##V3_BDHV12</stp>
        <stp>CL1 Comdty</stp>
        <stp>30DAY_IMPVOL_110.0%MNY_DF</stp>
        <stp>20/10/2015</stp>
        <stp>20/10/2015</stp>
        <stp>[Bbg_Market_Data_CL.xlsm]data!R366C22</stp>
        <tr r="V366" s="1"/>
      </tp>
      <tp t="s">
        <v>#N/A Requesting Data...</v>
        <stp/>
        <stp>##V3_BDHV12</stp>
        <stp>CL1 Comdty</stp>
        <stp>30DAY_IMPVOL_110.0%MNY_DF</stp>
        <stp>02/03/2016</stp>
        <stp>02/03/2016</stp>
        <stp>[Bbg_Market_Data_CL.xlsm]data!R277C22</stp>
        <tr r="V277" s="1"/>
      </tp>
      <tp t="s">
        <v>#N/A Requesting Data...</v>
        <stp/>
        <stp>##V3_BDHV12</stp>
        <stp>CL1 Comdty</stp>
        <stp>30DAY_IMPVOL_100.0%MNY_DF</stp>
        <stp>20/11/2015</stp>
        <stp>20/11/2015</stp>
        <stp>[Bbg_Market_Data_CL.xlsm]data!R344C20</stp>
        <tr r="T344" s="1"/>
      </tp>
      <tp t="s">
        <v>#N/A Requesting Data...</v>
        <stp/>
        <stp>##V3_BDHV12</stp>
        <stp>CL1 Comdty</stp>
        <stp>30DAY_IMPVOL_110.0%MNY_DF</stp>
        <stp>07/05/2015</stp>
        <stp>07/05/2015</stp>
        <stp>[Bbg_Market_Data_CL.xlsm]data!R480C22</stp>
        <tr r="V480" s="1"/>
      </tp>
      <tp t="s">
        <v>#N/A Requesting Data...</v>
        <stp/>
        <stp>##V3_BDHV12</stp>
        <stp>CL1 Comdty</stp>
        <stp>30DAY_IMPVOL_110.0%MNY_DF</stp>
        <stp>12/02/2016</stp>
        <stp>12/02/2016</stp>
        <stp>[Bbg_Market_Data_CL.xlsm]data!R288C22</stp>
        <tr r="V288" s="1"/>
      </tp>
      <tp t="s">
        <v>#N/A Requesting Data...</v>
        <stp/>
        <stp>##V3_BDHV12</stp>
        <stp>CL1 Comdty</stp>
        <stp>30DAY_IMPVOL_110.0%MNY_DF</stp>
        <stp>17/04/2015</stp>
        <stp>17/04/2015</stp>
        <stp>[Bbg_Market_Data_CL.xlsm]data!R494C22</stp>
        <tr r="V494" s="1"/>
      </tp>
      <tp t="s">
        <v>#N/A Requesting Data...</v>
        <stp/>
        <stp>##V3_BDHV12</stp>
        <stp>CL1 Comdty</stp>
        <stp>30DAY_IMPVOL_100.0%MNY_DF</stp>
        <stp>02/02/2016</stp>
        <stp>02/02/2016</stp>
        <stp>[Bbg_Market_Data_CL.xlsm]data!R296C20</stp>
        <tr r="T296" s="1"/>
      </tp>
      <tp t="s">
        <v>#N/A Requesting Data...</v>
        <stp/>
        <stp>##V3_BDHV12</stp>
        <stp>CL1 Comdty</stp>
        <stp>30DAY_IMPVOL_105.0%MNY_DF</stp>
        <stp>04/04/2016</stp>
        <stp>04/04/2016</stp>
        <stp>[Bbg_Market_Data_CL.xlsm]data!R255C19</stp>
        <tr r="S255" s="1"/>
      </tp>
      <tp t="s">
        <v>#N/A Requesting Data...</v>
        <stp/>
        <stp>##V3_BDHV12</stp>
        <stp>CL1 Comdty</stp>
        <stp>30DAY_IMPVOL_100.0%MNY_DF</stp>
        <stp>05/05/2016</stp>
        <stp>05/05/2016</stp>
        <stp>[Bbg_Market_Data_CL.xlsm]data!R232C20</stp>
        <tr r="T232" s="1"/>
      </tp>
      <tp t="s">
        <v>#N/A Requesting Data...</v>
        <stp/>
        <stp>##V3_BDHV12</stp>
        <stp>CL1 Comdty</stp>
        <stp>30DAY_IMPVOL_105.0%MNY_DF</stp>
        <stp>16/04/2015</stp>
        <stp>16/04/2015</stp>
        <stp>[Bbg_Market_Data_CL.xlsm]data!R495C19</stp>
        <tr r="S495" s="1"/>
      </tp>
      <tp t="s">
        <v>#N/A Requesting Data...</v>
        <stp/>
        <stp>##V3_BDHV12</stp>
        <stp>CL1 Comdty</stp>
        <stp>30DAY_IMPVOL_105.0%MNY_DF</stp>
        <stp>06/05/2015</stp>
        <stp>06/05/2015</stp>
        <stp>[Bbg_Market_Data_CL.xlsm]data!R481C19</stp>
        <tr r="S481" s="1"/>
      </tp>
      <tp t="s">
        <v>#N/A Requesting Data...</v>
        <stp/>
        <stp>##V3_BDHV12</stp>
        <stp>CL1 Comdty</stp>
        <stp>30DAY_IMPVOL_110.0%MNY_DF</stp>
        <stp>05/04/2016</stp>
        <stp>05/04/2016</stp>
        <stp>[Bbg_Market_Data_CL.xlsm]data!R254C22</stp>
        <tr r="V254" s="1"/>
      </tp>
      <tp t="s">
        <v>#N/A Requesting Data...</v>
        <stp/>
        <stp>##V3_BDHV12</stp>
        <stp>CL1 Comdty</stp>
        <stp>30DAY_IMPVOL_100.0%MNY_DF</stp>
        <stp>15/04/2016</stp>
        <stp>15/04/2016</stp>
        <stp>[Bbg_Market_Data_CL.xlsm]data!R246C20</stp>
        <tr r="T246" s="1"/>
      </tp>
      <tp t="s">
        <v>#N/A Requesting Data...</v>
        <stp/>
        <stp>##V3_BDHV12</stp>
        <stp>CL1 Comdty</stp>
        <stp>30DAY_IMPVOL_110.0%MNY_DF</stp>
        <stp>06/07/2016</stp>
        <stp>06/07/2016</stp>
        <stp>[Bbg_Market_Data_CL.xlsm]data!R190C22</stp>
        <tr r="V190" s="1"/>
      </tp>
      <tp t="s">
        <v>#N/A Requesting Data...</v>
        <stp/>
        <stp>##V3_BDHV12</stp>
        <stp>CL1 Comdty</stp>
        <stp>30DAY_IMPVOL_105.0%MNY_DF</stp>
        <stp>01/12/2015</stp>
        <stp>01/12/2015</stp>
        <stp>[Bbg_Market_Data_CL.xlsm]data!R338C19</stp>
        <tr r="S338" s="1"/>
      </tp>
      <tp t="s">
        <v>#N/A Requesting Data...</v>
        <stp/>
        <stp>##V3_BDHV12</stp>
        <stp>CL1 Comdty</stp>
        <stp>30DAY_IMPVOL_105.0%MNY_DF</stp>
        <stp>10/11/2016</stp>
        <stp>10/11/2016</stp>
        <stp>[Bbg_Market_Data_CL.xlsm]data!R102C19</stp>
        <tr r="S102" s="1"/>
      </tp>
      <tp t="s">
        <v>#N/A Requesting Data...</v>
        <stp/>
        <stp>##V3_BDHV12</stp>
        <stp>CL1 Comdty</stp>
        <stp>30DAY_IMPVOL_105.0%MNY_DF</stp>
        <stp>03/03/2016</stp>
        <stp>03/03/2016</stp>
        <stp>[Bbg_Market_Data_CL.xlsm]data!R276C19</stp>
        <tr r="S276" s="1"/>
      </tp>
      <tp t="s">
        <v>#N/A Requesting Data...</v>
        <stp/>
        <stp>##V3_BDHV12</stp>
        <stp>CL1 Comdty</stp>
        <stp>30DAY_IMPVOL_105.0%MNY_DF</stp>
        <stp>21/10/2015</stp>
        <stp>21/10/2015</stp>
        <stp>[Bbg_Market_Data_CL.xlsm]data!R365C19</stp>
        <tr r="S365" s="1"/>
      </tp>
      <tp t="s">
        <v>#N/A Requesting Data...</v>
        <stp/>
        <stp>##V3_BDHV12</stp>
        <stp>CL1 Comdty</stp>
        <stp>30DAY_IMPVOL_105.0%MNY_DF</stp>
        <stp>02/02/2016</stp>
        <stp>02/02/2016</stp>
        <stp>[Bbg_Market_Data_CL.xlsm]data!R296C19</stp>
        <tr r="S296" s="1"/>
      </tp>
      <tp t="s">
        <v>#N/A Requesting Data...</v>
        <stp/>
        <stp>##V3_BDHV12</stp>
        <stp>CL1 Comdty</stp>
        <stp>30DAY_IMPVOL_110.0%MNY_DF</stp>
        <stp>04/05/2016</stp>
        <stp>04/05/2016</stp>
        <stp>[Bbg_Market_Data_CL.xlsm]data!R233C22</stp>
        <tr r="V233" s="1"/>
      </tp>
      <tp t="s">
        <v>#N/A Requesting Data...</v>
        <stp/>
        <stp>##V3_BDHV12</stp>
        <stp>CL1 Comdty</stp>
        <stp>30DAY_IMPVOL_110.0%MNY_DF</stp>
        <stp>14/04/2016</stp>
        <stp>14/04/2016</stp>
        <stp>[Bbg_Market_Data_CL.xlsm]data!R247C22</stp>
        <tr r="V247" s="1"/>
      </tp>
      <tp t="s">
        <v>#N/A Requesting Data...</v>
        <stp/>
        <stp>##V3_BDHV12</stp>
        <stp>CL1 Comdty</stp>
        <stp>30DAY_IMPVOL_100.0%MNY_DF</stp>
        <stp>04/04/2016</stp>
        <stp>04/04/2016</stp>
        <stp>[Bbg_Market_Data_CL.xlsm]data!R255C20</stp>
        <tr r="T255" s="1"/>
      </tp>
      <tp t="s">
        <v>#N/A Requesting Data...</v>
        <stp/>
        <stp>##V3_BDHV12</stp>
        <stp>CL1 Comdty</stp>
        <stp>30DAY_IMPVOL_105.0%MNY_DF</stp>
        <stp>11/10/2016</stp>
        <stp>11/10/2016</stp>
        <stp>[Bbg_Market_Data_CL.xlsm]data!R124C19</stp>
        <tr r="S124" s="1"/>
      </tp>
      <tp t="s">
        <v>#N/A Requesting Data...</v>
        <stp/>
        <stp>##V3_BDHV12</stp>
        <stp>CL1 Comdty</stp>
        <stp>30DAY_IMPVOL_105.0%MNY_DF</stp>
        <stp>10/12/2015</stp>
        <stp>10/12/2015</stp>
        <stp>[Bbg_Market_Data_CL.xlsm]data!R331C19</stp>
        <tr r="S331" s="1"/>
      </tp>
      <tp t="s">
        <v>#N/A Requesting Data...</v>
        <stp/>
        <stp>##V3_BDHV12</stp>
        <stp>CL1 Comdty</stp>
        <stp>30DAY_IMPVOL_105.0%MNY_DF</stp>
        <stp>01/11/2016</stp>
        <stp>01/11/2016</stp>
        <stp>[Bbg_Market_Data_CL.xlsm]data!R109C19</stp>
        <tr r="S109" s="1"/>
      </tp>
      <tp t="s">
        <v>#N/A Requesting Data...</v>
        <stp/>
        <stp>##V3_BDHV12</stp>
        <stp>CL1 Comdty</stp>
        <stp>30DAY_IMPVOL_100.0%MNY_DF</stp>
        <stp>07/07/2016</stp>
        <stp>07/07/2016</stp>
        <stp>[Bbg_Market_Data_CL.xlsm]data!R189C20</stp>
        <tr r="T189" s="1"/>
      </tp>
      <tp t="s">
        <v>#N/A Requesting Data...</v>
        <stp/>
        <stp>##V3_BDHV12</stp>
        <stp>CL1 Comdty</stp>
        <stp>30DAY_IMPVOL_105.0%MNY_DF</stp>
        <stp>20/11/2015</stp>
        <stp>20/11/2015</stp>
        <stp>[Bbg_Market_Data_CL.xlsm]data!R344C19</stp>
        <tr r="S344" s="1"/>
      </tp>
      <tp t="s">
        <v>#N/A Requesting Data...</v>
        <stp/>
        <stp>##V3_BDHV12</stp>
        <stp>CL1 Comdty</stp>
        <stp>30DAY_IMPVOL_105.0%MNY_DF</stp>
        <stp>30/10/2015</stp>
        <stp>30/10/2015</stp>
        <stp>[Bbg_Market_Data_CL.xlsm]data!R358C19</stp>
        <tr r="S358" s="1"/>
      </tp>
      <tp t="s">
        <v>#N/A Requesting Data...</v>
        <stp/>
        <stp>##V3_BDHV12</stp>
        <stp>CL1 Comdty</stp>
        <stp>30DAY_IMPVOL_110.0%MNY_DF</stp>
        <stp>07/06/2016</stp>
        <stp>07/06/2016</stp>
        <stp>[Bbg_Market_Data_CL.xlsm]data!R210C22</stp>
        <tr r="V210" s="1"/>
      </tp>
      <tp t="s">
        <v>#N/A Requesting Data...</v>
        <stp/>
        <stp>##V3_BDHV12</stp>
        <stp>CL1 Comdty</stp>
        <stp>30DAY_IMPVOL_100.0%MNY_DF</stp>
        <stp>17/06/2016</stp>
        <stp>17/06/2016</stp>
        <stp>[Bbg_Market_Data_CL.xlsm]data!R202C20</stp>
        <tr r="T202" s="1"/>
      </tp>
      <tp t="s">
        <v>#N/A Requesting Data...</v>
        <stp/>
        <stp>##V3_BDHV12</stp>
        <stp>CL1 Comdty</stp>
        <stp>30DAY_IMPVOL_100.0%MNY_DF</stp>
        <stp>27/05/2016</stp>
        <stp>27/05/2016</stp>
        <stp>[Bbg_Market_Data_CL.xlsm]data!R216C20</stp>
        <tr r="T216" s="1"/>
      </tp>
      <tp t="s">
        <v>#N/A Requesting Data...</v>
        <stp/>
        <stp>##V3_BDHV12</stp>
        <stp>CL1 Comdty</stp>
        <stp>30DAY_IMPVOL_110.0%MNY_DF</stp>
        <stp>27/04/2016</stp>
        <stp>27/04/2016</stp>
        <stp>[Bbg_Market_Data_CL.xlsm]data!R238C22</stp>
        <tr r="V238" s="1"/>
      </tp>
      <tp t="s">
        <v>#N/A Requesting Data...</v>
        <stp/>
        <stp>##V3_BDHV12</stp>
        <stp>CL1 Comdty</stp>
        <stp>30DAY_IMPVOL_105.0%MNY_DF</stp>
        <stp>23/12/2015</stp>
        <stp>23/12/2015</stp>
        <stp>[Bbg_Market_Data_CL.xlsm]data!R322C19</stp>
        <tr r="S322" s="1"/>
      </tp>
      <tp t="s">
        <v>#N/A Requesting Data...</v>
        <stp/>
        <stp>##V3_BDHV12</stp>
        <stp>CL1 Comdty</stp>
        <stp>30DAY_IMPVOL_100.0%MNY_DF</stp>
        <stp>24/06/2016</stp>
        <stp>24/06/2016</stp>
        <stp>[Bbg_Market_Data_CL.xlsm]data!R197C20</stp>
        <tr r="T197" s="1"/>
      </tp>
      <tp t="s">
        <v>#N/A Requesting Data...</v>
        <stp/>
        <stp>##V3_BDHV12</stp>
        <stp>CL1 Comdty</stp>
        <stp>30DAY_IMPVOL_105.0%MNY_DF</stp>
        <stp>21/03/2016</stp>
        <stp>21/03/2016</stp>
        <stp>[Bbg_Market_Data_CL.xlsm]data!R264C19</stp>
        <tr r="S264" s="1"/>
      </tp>
      <tp t="s">
        <v>#N/A Requesting Data...</v>
        <stp/>
        <stp>##V3_BDHV12</stp>
        <stp>CL1 Comdty</stp>
        <stp>30DAY_IMPVOL_105.0%MNY_DF</stp>
        <stp>13/11/2015</stp>
        <stp>13/11/2015</stp>
        <stp>[Bbg_Market_Data_CL.xlsm]data!R349C19</stp>
        <tr r="S349" s="1"/>
      </tp>
      <tp t="s">
        <v>#N/A Requesting Data...</v>
        <stp/>
        <stp>##V3_BDHV12</stp>
        <stp>CL1 Comdty</stp>
        <stp>30DAY_IMPVOL_110.0%MNY_DF</stp>
        <stp>16/06/2016</stp>
        <stp>16/06/2016</stp>
        <stp>[Bbg_Market_Data_CL.xlsm]data!R203C22</stp>
        <tr r="V203" s="1"/>
      </tp>
      <tp t="s">
        <v>#N/A Requesting Data...</v>
        <stp/>
        <stp>##V3_BDHV12</stp>
        <stp>CL1 Comdty</stp>
        <stp>30DAY_IMPVOL_110.0%MNY_DF</stp>
        <stp>26/05/2016</stp>
        <stp>26/05/2016</stp>
        <stp>[Bbg_Market_Data_CL.xlsm]data!R217C22</stp>
        <tr r="V217" s="1"/>
      </tp>
      <tp t="s">
        <v>#N/A Requesting Data...</v>
        <stp/>
        <stp>##V3_BDHV12</stp>
        <stp>CL1 Comdty</stp>
        <stp>30DAY_IMPVOL_100.0%MNY_DF</stp>
        <stp>26/04/2016</stp>
        <stp>26/04/2016</stp>
        <stp>[Bbg_Market_Data_CL.xlsm]data!R239C20</stp>
        <tr r="T239" s="1"/>
      </tp>
      <tp t="s">
        <v>#N/A Requesting Data...</v>
        <stp/>
        <stp>##V3_BDHV12</stp>
        <stp>CL1 Comdty</stp>
        <stp>30DAY_IMPVOL_100.0%MNY_DF</stp>
        <stp>06/06/2016</stp>
        <stp>06/06/2016</stp>
        <stp>[Bbg_Market_Data_CL.xlsm]data!R211C20</stp>
        <tr r="T211" s="1"/>
      </tp>
      <tp t="s">
        <v>#N/A Requesting Data...</v>
        <stp/>
        <stp>##V3_BDHV12</stp>
        <stp>CL1 Comdty</stp>
        <stp>30DAY_IMPVOL_100.0%MNY_DF</stp>
        <stp>25/07/2016</stp>
        <stp>25/07/2016</stp>
        <stp>[Bbg_Market_Data_CL.xlsm]data!R177C20</stp>
        <tr r="T177" s="1"/>
      </tp>
      <tp t="s">
        <v>#N/A Requesting Data...</v>
        <stp/>
        <stp>##V3_BDHV12</stp>
        <stp>CL1 Comdty</stp>
        <stp>30DAY_IMPVOL_105.0%MNY_DF</stp>
        <stp>15/07/2015</stp>
        <stp>15/07/2015</stp>
        <stp>[Bbg_Market_Data_CL.xlsm]data!R433C19</stp>
        <tr r="S433" s="1"/>
      </tp>
      <tp t="s">
        <v>#N/A Requesting Data...</v>
        <stp/>
        <stp>##V3_BDHV12</stp>
        <stp>CL1 Comdty</stp>
        <stp>30DAY_IMPVOL_105.0%MNY_DF</stp>
        <stp>05/06/2015</stp>
        <stp>05/06/2015</stp>
        <stp>[Bbg_Market_Data_CL.xlsm]data!R460C19</stp>
        <tr r="S460" s="1"/>
      </tp>
      <tp t="s">
        <v>#N/A Requesting Data...</v>
        <stp/>
        <stp>##V3_BDHV12</stp>
        <stp>CL1 Comdty</stp>
        <stp>30DAY_IMPVOL_105.0%MNY_DF</stp>
        <stp>30/03/2016</stp>
        <stp>30/03/2016</stp>
        <stp>[Bbg_Market_Data_CL.xlsm]data!R258C19</stp>
        <tr r="S258" s="1"/>
      </tp>
      <tp t="s">
        <v>#N/A Requesting Data...</v>
        <stp/>
        <stp>##V3_BDHV12</stp>
        <stp>CL1 Comdty</stp>
        <stp>30DAY_IMPVOL_105.0%MNY_DF</stp>
        <stp>02/11/2015</stp>
        <stp>02/11/2015</stp>
        <stp>[Bbg_Market_Data_CL.xlsm]data!R357C19</stp>
        <tr r="S357" s="1"/>
      </tp>
      <tp t="s">
        <v>#N/A Requesting Data...</v>
        <stp/>
        <stp>##V3_BDHV12</stp>
        <stp>CL1 Comdty</stp>
        <stp>30DAY_IMPVOL_110.0%MNY_DF</stp>
        <stp>08/09/2016</stp>
        <stp>08/09/2016</stp>
        <stp>[Bbg_Market_Data_CL.xlsm]data!R146C22</stp>
        <tr r="V146" s="1"/>
      </tp>
      <tp t="s">
        <v>#N/A Requesting Data...</v>
        <stp/>
        <stp>##V3_BDHV12</stp>
        <stp>CL1 Comdty</stp>
        <stp>30DAY_IMPVOL_110.0%MNY_DF</stp>
        <stp>18/08/2016</stp>
        <stp>18/08/2016</stp>
        <stp>[Bbg_Market_Data_CL.xlsm]data!R160C22</stp>
        <tr r="V160" s="1"/>
      </tp>
      <tp t="s">
        <v>#N/A Requesting Data...</v>
        <stp/>
        <stp>##V3_BDHV12</stp>
        <stp>CL1 Comdty</stp>
        <stp>30DAY_IMPVOL_110.0%MNY_DF</stp>
        <stp>29/09/2015</stp>
        <stp>29/09/2015</stp>
        <stp>[Bbg_Market_Data_CL.xlsm]data!R380C22</stp>
        <tr r="V380" s="1"/>
      </tp>
      <tp t="s">
        <v>#N/A Requesting Data...</v>
        <stp/>
        <stp>##V3_BDHV12</stp>
        <stp>CL1 Comdty</stp>
        <stp>30DAY_IMPVOL_110.0%MNY_DF</stp>
        <stp>19/09/2016</stp>
        <stp>19/09/2016</stp>
        <stp>[Bbg_Market_Data_CL.xlsm]data!R139C22</stp>
        <tr r="V139" s="1"/>
      </tp>
      <tp t="s">
        <v>#N/A Requesting Data...</v>
        <stp/>
        <stp>##V3_BDHV12</stp>
        <stp>CL1 Comdty</stp>
        <stp>30DAY_IMPVOL_100.0%MNY_DF</stp>
        <stp>09/09/2016</stp>
        <stp>09/09/2016</stp>
        <stp>[Bbg_Market_Data_CL.xlsm]data!R145C20</stp>
        <tr r="T145" s="1"/>
      </tp>
      <tp t="s">
        <v>#N/A Requesting Data...</v>
        <stp/>
        <stp>##V3_BDHV12</stp>
        <stp>CL1 Comdty</stp>
        <stp>30DAY_IMPVOL_110.0%MNY_DF</stp>
        <stp>09/08/2016</stp>
        <stp>09/08/2016</stp>
        <stp>[Bbg_Market_Data_CL.xlsm]data!R167C22</stp>
        <tr r="V167" s="1"/>
      </tp>
      <tp t="s">
        <v>#N/A Requesting Data...</v>
        <stp/>
        <stp>##V3_BDHV12</stp>
        <stp>CL1 Comdty</stp>
        <stp>30DAY_IMPVOL_100.0%MNY_DF</stp>
        <stp>19/08/2016</stp>
        <stp>19/08/2016</stp>
        <stp>[Bbg_Market_Data_CL.xlsm]data!R159C20</stp>
        <tr r="T159" s="1"/>
      </tp>
      <tp t="s">
        <v>#N/A Requesting Data...</v>
        <stp/>
        <stp>##V3_BDHV12</stp>
        <stp>CL1 Comdty</stp>
        <stp>30DAY_IMPVOL_100.0%MNY_DF</stp>
        <stp>28/09/2015</stp>
        <stp>28/09/2015</stp>
        <stp>[Bbg_Market_Data_CL.xlsm]data!R381C20</stp>
        <tr r="T381" s="1"/>
      </tp>
      <tp t="s">
        <v>#N/A Requesting Data...</v>
        <stp/>
        <stp>##V3_BDHV12</stp>
        <stp>CL1 Comdty</stp>
        <stp>30DAY_IMPVOL_110.0%MNY_DF</stp>
        <stp>28/08/2015</stp>
        <stp>28/08/2015</stp>
        <stp>[Bbg_Market_Data_CL.xlsm]data!R401C22</stp>
        <tr r="V401" s="1"/>
      </tp>
      <tp t="s">
        <v>#N/A Requesting Data...</v>
        <stp/>
        <stp>##V3_BDHV12</stp>
        <stp>CL1 Comdty</stp>
        <stp>30DAY_IMPVOL_105.0%MNY_DF</stp>
        <stp>28/09/2015</stp>
        <stp>28/09/2015</stp>
        <stp>[Bbg_Market_Data_CL.xlsm]data!R381C19</stp>
        <tr r="S381" s="1"/>
      </tp>
      <tp t="s">
        <v>#N/A Requesting Data...</v>
        <stp/>
        <stp>##V3_BDHV12</stp>
        <stp>CL1 Comdty</stp>
        <stp>30DAY_IMPVOL_105.0%MNY_DF</stp>
        <stp>19/08/2016</stp>
        <stp>19/08/2016</stp>
        <stp>[Bbg_Market_Data_CL.xlsm]data!R159C19</stp>
        <tr r="S159" s="1"/>
      </tp>
      <tp t="s">
        <v>#N/A Requesting Data...</v>
        <stp/>
        <stp>##V3_BDHV12</stp>
        <stp>CL1 Comdty</stp>
        <stp>30DAY_IMPVOL_105.0%MNY_DF</stp>
        <stp>09/09/2016</stp>
        <stp>09/09/2016</stp>
        <stp>[Bbg_Market_Data_CL.xlsm]data!R145C19</stp>
        <tr r="S145" s="1"/>
      </tp>
      <tp t="s">
        <v>#N/A Requesting Data...</v>
        <stp/>
        <stp>##V3_BDHV12</stp>
        <stp>CL2 Comdty</stp>
        <stp>RSI_9D</stp>
        <stp>21/09/2015</stp>
        <stp>21/09/2015</stp>
        <stp>[Bbg_Market_Data_CL.xlsm]data!R387C12</stp>
        <tr r="L387" s="1"/>
      </tp>
      <tp t="s">
        <v>#N/A Requesting Data...</v>
        <stp/>
        <stp>##V3_BDHV12</stp>
        <stp>CL1 Comdty</stp>
        <stp>RSI_9D</stp>
        <stp>11/09/2015</stp>
        <stp>11/09/2015</stp>
        <stp>[Bbg_Market_Data_CL.xlsm]data!R393C12</stp>
        <tr r="L393" s="1"/>
      </tp>
      <tp t="s">
        <v>#N/A Requesting Data...</v>
        <stp/>
        <stp>##V3_BDHV12</stp>
        <stp>CL1 Comdty</stp>
        <stp>RSI_9D</stp>
        <stp>30/09/2016</stp>
        <stp>30/09/2016</stp>
        <stp>[Bbg_Market_Data_CL.xlsm]data!R131C12</stp>
        <tr r="L131" s="1"/>
      </tp>
      <tp t="s">
        <v>#N/A Requesting Data...</v>
        <stp/>
        <stp>##V3_BDHV12</stp>
        <stp>CL2 Comdty</stp>
        <stp>RSI_9D</stp>
        <stp>10/08/2016</stp>
        <stp>10/08/2016</stp>
        <stp>[Bbg_Market_Data_CL.xlsm]data!R167C12</stp>
        <tr r="L167" s="1"/>
      </tp>
      <tp t="s">
        <v>#N/A Requesting Data...</v>
        <stp/>
        <stp>##V3_BDHV12</stp>
        <stp>CL2 Comdty</stp>
        <stp>RSI_9D</stp>
        <stp>30/09/2015</stp>
        <stp>30/09/2015</stp>
        <stp>[Bbg_Market_Data_CL.xlsm]data!R380C12</stp>
        <tr r="L380" s="1"/>
      </tp>
      <tp t="s">
        <v>#N/A Requesting Data...</v>
        <stp/>
        <stp>##V3_BDHV12</stp>
        <stp>CL1 Comdty</stp>
        <stp>RSI_9D</stp>
        <stp>21/09/2016</stp>
        <stp>21/09/2016</stp>
        <stp>[Bbg_Market_Data_CL.xlsm]data!R138C12</stp>
        <tr r="L138" s="1"/>
      </tp>
      <tp t="s">
        <v>#N/A Requesting Data...</v>
        <stp/>
        <stp>##V3_BDHV12</stp>
        <stp>CL1 Comdty</stp>
        <stp>RSI_9D</stp>
        <stp>31/08/2016</stp>
        <stp>31/08/2016</stp>
        <stp>[Bbg_Market_Data_CL.xlsm]data!R152C12</stp>
        <tr r="L152" s="1"/>
      </tp>
      <tp t="s">
        <v>#N/A Requesting Data...</v>
        <stp/>
        <stp>##V3_BDHV12</stp>
        <stp>CL2 Comdty</stp>
        <stp>RSI_9D</stp>
        <stp>01/08/2016</stp>
        <stp>01/08/2016</stp>
        <stp>[Bbg_Market_Data_CL.xlsm]data!R173C12</stp>
        <tr r="L173" s="1"/>
      </tp>
      <tp t="s">
        <v>#N/A Requesting Data...</v>
        <stp/>
        <stp>##V3_BDHV12</stp>
        <stp>CL2 Comdty</stp>
        <stp>RSI_9D</stp>
        <stp>03/09/2015</stp>
        <stp>03/09/2015</stp>
        <stp>[Bbg_Market_Data_CL.xlsm]data!R398C12</stp>
        <tr r="L398" s="1"/>
      </tp>
      <tp t="s">
        <v>#N/A Requesting Data...</v>
        <stp/>
        <stp>##V3_BDHV12</stp>
        <stp>CL2 Comdty</stp>
        <stp>RSI_9D</stp>
        <stp>22/09/2016</stp>
        <stp>22/09/2016</stp>
        <stp>[Bbg_Market_Data_CL.xlsm]data!R137C12</stp>
        <tr r="L137" s="1"/>
      </tp>
      <tp t="s">
        <v>#N/A Requesting Data...</v>
        <stp/>
        <stp>##V3_BDHV12</stp>
        <stp>CL1 Comdty</stp>
        <stp>RSI_9D</stp>
        <stp>12/09/2016</stp>
        <stp>12/09/2016</stp>
        <stp>[Bbg_Market_Data_CL.xlsm]data!R145C12</stp>
        <tr r="L145" s="1"/>
      </tp>
      <tp t="s">
        <v>#N/A Requesting Data...</v>
        <stp/>
        <stp>##V3_BDHV12</stp>
        <stp>CL1 Comdty</stp>
        <stp>RSI_9D</stp>
        <stp>02/08/2016</stp>
        <stp>02/08/2016</stp>
        <stp>[Bbg_Market_Data_CL.xlsm]data!R172C12</stp>
        <tr r="L172" s="1"/>
      </tp>
      <tp t="s">
        <v>#N/A Requesting Data...</v>
        <stp/>
        <stp>##V3_BDHV12</stp>
        <stp>CL1 Comdty</stp>
        <stp>RSI_9D</stp>
        <stp>22/09/2015</stp>
        <stp>22/09/2015</stp>
        <stp>[Bbg_Market_Data_CL.xlsm]data!R386C12</stp>
        <tr r="L386" s="1"/>
      </tp>
      <tp t="s">
        <v>#N/A Requesting Data...</v>
        <stp/>
        <stp>##V3_BDHV12</stp>
        <stp>CL2 Comdty</stp>
        <stp>RSI_9D</stp>
        <stp>23/08/2016</stp>
        <stp>23/08/2016</stp>
        <stp>[Bbg_Market_Data_CL.xlsm]data!R158C12</stp>
        <tr r="L158" s="1"/>
      </tp>
      <tp t="s">
        <v>#N/A Requesting Data...</v>
        <stp/>
        <stp>##V3_BDHV12</stp>
        <stp>CL2 Comdty</stp>
        <stp>RSI_9D</stp>
        <stp>13/08/2015</stp>
        <stp>13/08/2015</stp>
        <stp>[Bbg_Market_Data_CL.xlsm]data!R413C12</stp>
        <tr r="L413" s="1"/>
      </tp>
      <tp t="s">
        <v>#N/A Requesting Data...</v>
        <stp/>
        <stp>##V3_BDHV12</stp>
        <stp>CL2 Comdty</stp>
        <stp>RSI_9D</stp>
        <stp>20/08/2015</stp>
        <stp>20/08/2015</stp>
        <stp>[Bbg_Market_Data_CL.xlsm]data!R408C12</stp>
        <tr r="L408" s="1"/>
      </tp>
      <tp t="s">
        <v>#N/A Requesting Data...</v>
        <stp/>
        <stp>##V3_BDHV12</stp>
        <stp>CL1 Comdty</stp>
        <stp>RSI_9D</stp>
        <stp>10/08/2015</stp>
        <stp>10/08/2015</stp>
        <stp>[Bbg_Market_Data_CL.xlsm]data!R416C12</stp>
        <tr r="L416" s="1"/>
      </tp>
      <tp t="s">
        <v>#N/A Requesting Data...</v>
        <stp/>
        <stp>##V3_BDHV12</stp>
        <stp>CL2 Comdty</stp>
        <stp>RSI_9D</stp>
        <stp>31/08/2015</stp>
        <stp>31/08/2015</stp>
        <stp>[Bbg_Market_Data_CL.xlsm]data!R401C12</stp>
        <tr r="L401" s="1"/>
      </tp>
      <tp t="s">
        <v>#N/A Requesting Data...</v>
        <stp/>
        <stp>##V3_BDHV12</stp>
        <stp>CL1 Comdty</stp>
        <stp>RSI_9D</stp>
        <stp>28/10/2016</stp>
        <stp>28/10/2016</stp>
        <stp>[Bbg_Market_Data_CL.xlsm]data!R112C12</stp>
        <tr r="L112" s="1"/>
      </tp>
      <tp t="s">
        <v>#N/A Requesting Data...</v>
        <stp/>
        <stp>##V3_BDHV12</stp>
        <stp>CL2 Comdty</stp>
        <stp>RSI_9D</stp>
        <stp>08/11/2016</stp>
        <stp>08/11/2016</stp>
        <stp>[Bbg_Market_Data_CL.xlsm]data!R105C12</stp>
        <tr r="L105" s="1"/>
      </tp>
      <tp t="s">
        <v>#N/A Requesting Data...</v>
        <stp/>
        <stp>##V3_BDHV12</stp>
        <stp>CL1 Comdty</stp>
        <stp>RSI_9D</stp>
        <stp>29/12/2015</stp>
        <stp>29/12/2015</stp>
        <stp>[Bbg_Market_Data_CL.xlsm]data!R320C12</stp>
        <tr r="L320" s="1"/>
      </tp>
      <tp t="s">
        <v>#N/A Requesting Data...</v>
        <stp/>
        <stp>##V3_BDHV12</stp>
        <stp>CL2 Comdty</stp>
        <stp>RSI_9D</stp>
        <stp>18/10/2016</stp>
        <stp>18/10/2016</stp>
        <stp>[Bbg_Market_Data_CL.xlsm]data!R120C12</stp>
        <tr r="L120" s="1"/>
      </tp>
      <tp t="s">
        <v>#N/A Requesting Data...</v>
        <stp/>
        <stp>##V3_BDHV12</stp>
        <stp>CL1 Comdty</stp>
        <stp>RSI_9D</stp>
        <stp>19/11/2015</stp>
        <stp>19/11/2015</stp>
        <stp>[Bbg_Market_Data_CL.xlsm]data!R346C12</stp>
        <tr r="L346" s="1"/>
      </tp>
      <tp t="s">
        <v>#N/A Requesting Data...</v>
        <stp/>
        <stp>##V3_BDHV12</stp>
        <stp>CL1 Comdty</stp>
        <stp>RSI_9D</stp>
        <stp>09/10/2015</stp>
        <stp>09/10/2015</stp>
        <stp>[Bbg_Market_Data_CL.xlsm]data!R373C12</stp>
        <tr r="L373" s="1"/>
      </tp>
      <tp t="s">
        <v>#N/A Requesting Data...</v>
        <stp/>
        <stp>##V3_BDHV12</stp>
        <stp>CL2 Comdty</stp>
        <stp>RSI_9D</stp>
        <stp>08/12/2015</stp>
        <stp>08/12/2015</stp>
        <stp>[Bbg_Market_Data_CL.xlsm]data!R334C12</stp>
        <tr r="L334" s="1"/>
      </tp>
      <tp t="s">
        <v>#N/A Requesting Data...</v>
        <stp/>
        <stp>##V3_BDHV12</stp>
        <stp>CL2 Comdty</stp>
        <stp>RSI_9D</stp>
        <stp>28/10/2015</stp>
        <stp>28/10/2015</stp>
        <stp>[Bbg_Market_Data_CL.xlsm]data!R361C12</stp>
        <tr r="L361" s="1"/>
      </tp>
      <tp t="s">
        <v>#N/A Requesting Data...</v>
        <stp/>
        <stp>##V3_BDHV12</stp>
        <stp>CL1 Comdty</stp>
        <stp>RSI_9D</stp>
        <stp>19/02/2016</stp>
        <stp>19/02/2016</stp>
        <stp>[Bbg_Market_Data_CL.xlsm]data!R286C12</stp>
        <tr r="L286" s="1"/>
      </tp>
      <tp t="s">
        <v>#N/A Requesting Data...</v>
        <stp/>
        <stp>##V3_BDHV12</stp>
        <stp>CL2 Comdty</stp>
        <stp>RSI_9D</stp>
        <stp>29/02/2016</stp>
        <stp>29/02/2016</stp>
        <stp>[Bbg_Market_Data_CL.xlsm]data!R280C12</stp>
        <tr r="L280" s="1"/>
      </tp>
      <tp t="s">
        <v>#N/A Requesting Data...</v>
        <stp/>
        <stp>##V3_BDHV12</stp>
        <stp>CL1 Comdty</stp>
        <stp>RSI_9D</stp>
        <stp>29/01/2016</stp>
        <stp>29/01/2016</stp>
        <stp>[Bbg_Market_Data_CL.xlsm]data!R299C12</stp>
        <tr r="L299" s="1"/>
      </tp>
      <tp t="s">
        <v>#N/A Requesting Data...</v>
        <stp/>
        <stp>##V3_BDHV12</stp>
        <stp>CL2 Comdty</stp>
        <stp>RSI_9D</stp>
        <stp>08/01/2016</stp>
        <stp>08/01/2016</stp>
        <stp>[Bbg_Market_Data_CL.xlsm]data!R313C12</stp>
        <tr r="L313" s="1"/>
      </tp>
      <tp t="s">
        <v>#N/A Requesting Data...</v>
        <stp/>
        <stp>##V3_BDHV12</stp>
        <stp>CL1 Comdty</stp>
        <stp>RSI_9D</stp>
        <stp>09/03/2016</stp>
        <stp>09/03/2016</stp>
        <stp>[Bbg_Market_Data_CL.xlsm]data!R273C12</stp>
        <tr r="L273" s="1"/>
      </tp>
      <tp t="s">
        <v>#N/A Requesting Data...</v>
        <stp/>
        <stp>##V3_BDHV12</stp>
        <stp>CL1 Comdty</stp>
        <stp>RSI_9D</stp>
        <stp>08/02/2016</stp>
        <stp>08/02/2016</stp>
        <stp>[Bbg_Market_Data_CL.xlsm]data!R293C12</stp>
        <tr r="L293" s="1"/>
      </tp>
      <tp t="s">
        <v>#N/A Requesting Data...</v>
        <stp/>
        <stp>##V3_BDHV12</stp>
        <stp>CL2 Comdty</stp>
        <stp>RSI_9D</stp>
        <stp>19/01/2016</stp>
        <stp>19/01/2016</stp>
        <stp>[Bbg_Market_Data_CL.xlsm]data!R307C12</stp>
        <tr r="L307" s="1"/>
      </tp>
      <tp t="s">
        <v>#N/A Requesting Data...</v>
        <stp/>
        <stp>##V3_BDHV12</stp>
        <stp>CL1 Comdty</stp>
        <stp>RSI_9D</stp>
        <stp>18/03/2016</stp>
        <stp>18/03/2016</stp>
        <stp>[Bbg_Market_Data_CL.xlsm]data!R266C12</stp>
        <tr r="L266" s="1"/>
      </tp>
      <tp t="s">
        <v>#N/A Requesting Data...</v>
        <stp/>
        <stp>##V3_BDHV12</stp>
        <stp>CL2 Comdty</stp>
        <stp>RSI_9D</stp>
        <stp>28/03/2016</stp>
        <stp>28/03/2016</stp>
        <stp>[Bbg_Market_Data_CL.xlsm]data!R261C12</stp>
        <tr r="L261" s="1"/>
      </tp>
      <tp t="s">
        <v>#N/A Requesting Data...</v>
        <stp/>
        <stp>##V3_BDHV12</stp>
        <stp>CL1 Comdty</stp>
        <stp>30DAY_IMPVOL_100.0%MNY_DF</stp>
        <stp>14/07/2015</stp>
        <stp>14/07/2015</stp>
        <stp>[Bbg_Market_Data_CL.xlsm]data!R434C20</stp>
        <tr r="T434" s="1"/>
      </tp>
      <tp t="s">
        <v>#N/A Requesting Data...</v>
        <stp/>
        <stp>##V3_BDHV12</stp>
        <stp>CL1 Comdty</stp>
        <stp>30DAY_IMPVOL_110.0%MNY_DF</stp>
        <stp>23/12/2015</stp>
        <stp>23/12/2015</stp>
        <stp>[Bbg_Market_Data_CL.xlsm]data!R322C22</stp>
        <tr r="V322" s="1"/>
      </tp>
      <tp t="s">
        <v>#N/A Requesting Data...</v>
        <stp/>
        <stp>##V3_BDHV12</stp>
        <stp>CL1 Comdty</stp>
        <stp>30DAY_IMPVOL_100.0%MNY_DF</stp>
        <stp>13/10/2015</stp>
        <stp>13/10/2015</stp>
        <stp>[Bbg_Market_Data_CL.xlsm]data!R371C20</stp>
        <tr r="T371" s="1"/>
      </tp>
      <tp t="s">
        <v>#N/A Requesting Data...</v>
        <stp/>
        <stp>##V3_BDHV12</stp>
        <stp>CL1 Comdty</stp>
        <stp>30DAY_IMPVOL_100.0%MNY_DF</stp>
        <stp>04/06/2015</stp>
        <stp>04/06/2015</stp>
        <stp>[Bbg_Market_Data_CL.xlsm]data!R461C20</stp>
        <tr r="T461" s="1"/>
      </tp>
      <tp t="s">
        <v>#N/A Requesting Data...</v>
        <stp/>
        <stp>##V3_BDHV12</stp>
        <stp>CL1 Comdty</stp>
        <stp>30DAY_IMPVOL_110.0%MNY_DF</stp>
        <stp>13/11/2015</stp>
        <stp>13/11/2015</stp>
        <stp>[Bbg_Market_Data_CL.xlsm]data!R349C22</stp>
        <tr r="V349" s="1"/>
      </tp>
      <tp t="s">
        <v>#N/A Requesting Data...</v>
        <stp/>
        <stp>##V3_BDHV12</stp>
        <stp>CL1 Comdty</stp>
        <stp>30DAY_IMPVOL_110.0%MNY_DF</stp>
        <stp>21/03/2016</stp>
        <stp>21/03/2016</stp>
        <stp>[Bbg_Market_Data_CL.xlsm]data!R264C22</stp>
        <tr r="V264" s="1"/>
      </tp>
      <tp t="s">
        <v>#N/A Requesting Data...</v>
        <stp/>
        <stp>##V3_BDHV12</stp>
        <stp>CL1 Comdty</stp>
        <stp>30DAY_IMPVOL_100.0%MNY_DF</stp>
        <stp>03/11/2015</stp>
        <stp>03/11/2015</stp>
        <stp>[Bbg_Market_Data_CL.xlsm]data!R356C20</stp>
        <tr r="T356" s="1"/>
      </tp>
      <tp t="s">
        <v>#N/A Requesting Data...</v>
        <stp/>
        <stp>##V3_BDHV12</stp>
        <stp>CL1 Comdty</stp>
        <stp>30DAY_IMPVOL_100.0%MNY_DF</stp>
        <stp>31/03/2016</stp>
        <stp>31/03/2016</stp>
        <stp>[Bbg_Market_Data_CL.xlsm]data!R257C20</stp>
        <tr r="T257" s="1"/>
      </tp>
      <tp t="s">
        <v>#N/A Requesting Data...</v>
        <stp/>
        <stp>##V3_BDHV12</stp>
        <stp>CL1 Comdty</stp>
        <stp>30DAY_IMPVOL_105.0%MNY_DF</stp>
        <stp>27/04/2016</stp>
        <stp>27/04/2016</stp>
        <stp>[Bbg_Market_Data_CL.xlsm]data!R238C19</stp>
        <tr r="S238" s="1"/>
      </tp>
      <tp t="s">
        <v>#N/A Requesting Data...</v>
        <stp/>
        <stp>##V3_BDHV12</stp>
        <stp>CL1 Comdty</stp>
        <stp>30DAY_IMPVOL_105.0%MNY_DF</stp>
        <stp>07/06/2016</stp>
        <stp>07/06/2016</stp>
        <stp>[Bbg_Market_Data_CL.xlsm]data!R210C19</stp>
        <tr r="S210" s="1"/>
      </tp>
      <tp t="s">
        <v>#N/A Requesting Data...</v>
        <stp/>
        <stp>##V3_BDHV12</stp>
        <stp>CL1 Comdty</stp>
        <stp>30DAY_IMPVOL_100.0%MNY_DF</stp>
        <stp>24/04/2015</stp>
        <stp>24/04/2015</stp>
        <stp>[Bbg_Market_Data_CL.xlsm]data!R489C20</stp>
        <tr r="T489" s="1"/>
      </tp>
      <tp t="s">
        <v>#N/A Requesting Data...</v>
        <stp/>
        <stp>##V3_BDHV12</stp>
        <stp>CL1 Comdty</stp>
        <stp>30DAY_IMPVOL_100.0%MNY_DF</stp>
        <stp>22/12/2015</stp>
        <stp>22/12/2015</stp>
        <stp>[Bbg_Market_Data_CL.xlsm]data!R323C20</stp>
        <tr r="T323" s="1"/>
      </tp>
      <tp t="s">
        <v>#N/A Requesting Data...</v>
        <stp/>
        <stp>##V3_BDHV12</stp>
        <stp>CL1 Comdty</stp>
        <stp>30DAY_IMPVOL_100.0%MNY_DF</stp>
        <stp>11/01/2016</stp>
        <stp>11/01/2016</stp>
        <stp>[Bbg_Market_Data_CL.xlsm]data!R311C20</stp>
        <tr r="T311" s="1"/>
      </tp>
      <tp t="s">
        <v>#N/A Requesting Data...</v>
        <stp/>
        <stp>##V3_BDHV12</stp>
        <stp>CL1 Comdty</stp>
        <stp>30DAY_IMPVOL_110.0%MNY_DF</stp>
        <stp>15/07/2015</stp>
        <stp>15/07/2015</stp>
        <stp>[Bbg_Market_Data_CL.xlsm]data!R433C22</stp>
        <tr r="V433" s="1"/>
      </tp>
      <tp t="s">
        <v>#N/A Requesting Data...</v>
        <stp/>
        <stp>##V3_BDHV12</stp>
        <stp>CL1 Comdty</stp>
        <stp>30DAY_IMPVOL_110.0%MNY_DF</stp>
        <stp>02/11/2015</stp>
        <stp>02/11/2015</stp>
        <stp>[Bbg_Market_Data_CL.xlsm]data!R357C22</stp>
        <tr r="V357" s="1"/>
      </tp>
      <tp t="s">
        <v>#N/A Requesting Data...</v>
        <stp/>
        <stp>##V3_BDHV12</stp>
        <stp>CL1 Comdty</stp>
        <stp>30DAY_IMPVOL_100.0%MNY_DF</stp>
        <stp>02/10/2015</stp>
        <stp>02/10/2015</stp>
        <stp>[Bbg_Market_Data_CL.xlsm]data!R377C20</stp>
        <tr r="T377" s="1"/>
      </tp>
      <tp t="s">
        <v>#N/A Requesting Data...</v>
        <stp/>
        <stp>##V3_BDHV12</stp>
        <stp>CL1 Comdty</stp>
        <stp>30DAY_IMPVOL_110.0%MNY_DF</stp>
        <stp>30/03/2016</stp>
        <stp>30/03/2016</stp>
        <stp>[Bbg_Market_Data_CL.xlsm]data!R258C22</stp>
        <tr r="V258" s="1"/>
      </tp>
      <tp t="s">
        <v>#N/A Requesting Data...</v>
        <stp/>
        <stp>##V3_BDHV12</stp>
        <stp>CL1 Comdty</stp>
        <stp>30DAY_IMPVOL_100.0%MNY_DF</stp>
        <stp>12/11/2015</stp>
        <stp>12/11/2015</stp>
        <stp>[Bbg_Market_Data_CL.xlsm]data!R350C20</stp>
        <tr r="T350" s="1"/>
      </tp>
      <tp t="s">
        <v>#N/A Requesting Data...</v>
        <stp/>
        <stp>##V3_BDHV12</stp>
        <stp>CL1 Comdty</stp>
        <stp>30DAY_IMPVOL_110.0%MNY_DF</stp>
        <stp>05/06/2015</stp>
        <stp>05/06/2015</stp>
        <stp>[Bbg_Market_Data_CL.xlsm]data!R460C22</stp>
        <tr r="V460" s="1"/>
      </tp>
      <tp t="s">
        <v>#N/A Requesting Data...</v>
        <stp/>
        <stp>##V3_BDHV12</stp>
        <stp>CL1 Comdty</stp>
        <stp>30DAY_IMPVOL_100.0%MNY_DF</stp>
        <stp>15/06/2015</stp>
        <stp>15/06/2015</stp>
        <stp>[Bbg_Market_Data_CL.xlsm]data!R454C20</stp>
        <tr r="T454" s="1"/>
      </tp>
      <tp t="s">
        <v>#N/A Requesting Data...</v>
        <stp/>
        <stp>##V3_BDHV12</stp>
        <stp>CL1 Comdty</stp>
        <stp>30DAY_IMPVOL_105.0%MNY_DF</stp>
        <stp>26/05/2016</stp>
        <stp>26/05/2016</stp>
        <stp>[Bbg_Market_Data_CL.xlsm]data!R217C19</stp>
        <tr r="S217" s="1"/>
      </tp>
      <tp t="s">
        <v>#N/A Requesting Data...</v>
        <stp/>
        <stp>##V3_BDHV12</stp>
        <stp>CL1 Comdty</stp>
        <stp>30DAY_IMPVOL_105.0%MNY_DF</stp>
        <stp>16/06/2016</stp>
        <stp>16/06/2016</stp>
        <stp>[Bbg_Market_Data_CL.xlsm]data!R203C19</stp>
        <tr r="S203" s="1"/>
      </tp>
      <tp t="s">
        <v>#N/A Requesting Data...</v>
        <stp/>
        <stp>##V3_BDHV12</stp>
        <stp>CL1 Comdty</stp>
        <stp>30DAY_IMPVOL_100.0%MNY_DF</stp>
        <stp>11/12/2015</stp>
        <stp>11/12/2015</stp>
        <stp>[Bbg_Market_Data_CL.xlsm]data!R330C20</stp>
        <tr r="T330" s="1"/>
      </tp>
      <tp t="s">
        <v>#N/A Requesting Data...</v>
        <stp/>
        <stp>##V3_BDHV12</stp>
        <stp>CL1 Comdty</stp>
        <stp>30DAY_IMPVOL_110.0%MNY_DF</stp>
        <stp>10/11/2016</stp>
        <stp>10/11/2016</stp>
        <stp>[Bbg_Market_Data_CL.xlsm]data!R102C22</stp>
        <tr r="V102" s="1"/>
      </tp>
      <tp t="s">
        <v>#N/A Requesting Data...</v>
        <stp/>
        <stp>##V3_BDHV12</stp>
        <stp>CL1 Comdty</stp>
        <stp>30DAY_IMPVOL_100.0%MNY_DF</stp>
        <stp>22/01/2016</stp>
        <stp>22/01/2016</stp>
        <stp>[Bbg_Market_Data_CL.xlsm]data!R303C20</stp>
        <tr r="T303" s="1"/>
      </tp>
      <tp t="s">
        <v>#N/A Requesting Data...</v>
        <stp/>
        <stp>##V3_BDHV12</stp>
        <stp>CL1 Comdty</stp>
        <stp>30DAY_IMPVOL_105.0%MNY_DF</stp>
        <stp>06/07/2016</stp>
        <stp>06/07/2016</stp>
        <stp>[Bbg_Market_Data_CL.xlsm]data!R190C19</stp>
        <tr r="S190" s="1"/>
      </tp>
      <tp t="s">
        <v>#N/A Requesting Data...</v>
        <stp/>
        <stp>##V3_BDHV12</stp>
        <stp>CL1 Comdty</stp>
        <stp>30DAY_IMPVOL_110.0%MNY_DF</stp>
        <stp>01/12/2015</stp>
        <stp>01/12/2015</stp>
        <stp>[Bbg_Market_Data_CL.xlsm]data!R338C22</stp>
        <tr r="V338" s="1"/>
      </tp>
      <tp t="s">
        <v>#N/A Requesting Data...</v>
        <stp/>
        <stp>##V3_BDHV12</stp>
        <stp>CL1 Comdty</stp>
        <stp>30DAY_IMPVOL_100.0%MNY_DF</stp>
        <stp>26/06/2015</stp>
        <stp>26/06/2015</stp>
        <stp>[Bbg_Market_Data_CL.xlsm]data!R445C20</stp>
        <tr r="T445" s="1"/>
      </tp>
      <tp t="s">
        <v>#N/A Requesting Data...</v>
        <stp/>
        <stp>##V3_BDHV12</stp>
        <stp>CL1 Comdty</stp>
        <stp>30DAY_IMPVOL_110.0%MNY_DF</stp>
        <stp>03/03/2016</stp>
        <stp>03/03/2016</stp>
        <stp>[Bbg_Market_Data_CL.xlsm]data!R276C22</stp>
        <tr r="V276" s="1"/>
      </tp>
      <tp t="s">
        <v>#N/A Requesting Data...</v>
        <stp/>
        <stp>##V3_BDHV12</stp>
        <stp>CL1 Comdty</stp>
        <stp>30DAY_IMPVOL_110.0%MNY_DF</stp>
        <stp>21/10/2015</stp>
        <stp>21/10/2015</stp>
        <stp>[Bbg_Market_Data_CL.xlsm]data!R365C22</stp>
        <tr r="V365" s="1"/>
      </tp>
      <tp t="s">
        <v>#N/A Requesting Data...</v>
        <stp/>
        <stp>##V3_BDHV12</stp>
        <stp>CL1 Comdty</stp>
        <stp>30DAY_IMPVOL_110.0%MNY_DF</stp>
        <stp>06/05/2015</stp>
        <stp>06/05/2015</stp>
        <stp>[Bbg_Market_Data_CL.xlsm]data!R481C22</stp>
        <tr r="V481" s="1"/>
      </tp>
      <tp t="s">
        <v>#N/A Requesting Data...</v>
        <stp/>
        <stp>##V3_BDHV12</stp>
        <stp>CL1 Comdty</stp>
        <stp>30DAY_IMPVOL_110.0%MNY_DF</stp>
        <stp>16/04/2015</stp>
        <stp>16/04/2015</stp>
        <stp>[Bbg_Market_Data_CL.xlsm]data!R495C22</stp>
        <tr r="V495" s="1"/>
      </tp>
      <tp t="s">
        <v>#N/A Requesting Data...</v>
        <stp/>
        <stp>##V3_BDHV12</stp>
        <stp>CL1 Comdty</stp>
        <stp>30DAY_IMPVOL_100.0%MNY_DF</stp>
        <stp>03/02/2016</stp>
        <stp>03/02/2016</stp>
        <stp>[Bbg_Market_Data_CL.xlsm]data!R295C20</stp>
        <tr r="T295" s="1"/>
      </tp>
      <tp t="s">
        <v>#N/A Requesting Data...</v>
        <stp/>
        <stp>##V3_BDHV12</stp>
        <stp>CL1 Comdty</stp>
        <stp>30DAY_IMPVOL_105.0%MNY_DF</stp>
        <stp>05/04/2016</stp>
        <stp>05/04/2016</stp>
        <stp>[Bbg_Market_Data_CL.xlsm]data!R254C19</stp>
        <tr r="S254" s="1"/>
      </tp>
      <tp t="s">
        <v>#N/A Requesting Data...</v>
        <stp/>
        <stp>##V3_BDHV12</stp>
        <stp>CL1 Comdty</stp>
        <stp>30DAY_IMPVOL_100.0%MNY_DF</stp>
        <stp>27/07/2015</stp>
        <stp>27/07/2015</stp>
        <stp>[Bbg_Market_Data_CL.xlsm]data!R425C20</stp>
        <tr r="T425" s="1"/>
      </tp>
      <tp t="s">
        <v>#N/A Requesting Data...</v>
        <stp/>
        <stp>##V3_BDHV12</stp>
        <stp>CL1 Comdty</stp>
        <stp>30DAY_IMPVOL_100.0%MNY_DF</stp>
        <stp>30/11/2015</stp>
        <stp>30/11/2015</stp>
        <stp>[Bbg_Market_Data_CL.xlsm]data!R339C20</stp>
        <tr r="T339" s="1"/>
      </tp>
      <tp t="s">
        <v>#N/A Requesting Data...</v>
        <stp/>
        <stp>##V3_BDHV12</stp>
        <stp>CL1 Comdty</stp>
        <stp>30DAY_IMPVOL_110.0%MNY_DF</stp>
        <stp>01/11/2016</stp>
        <stp>01/11/2016</stp>
        <stp>[Bbg_Market_Data_CL.xlsm]data!R109C22</stp>
        <tr r="V109" s="1"/>
      </tp>
      <tp t="s">
        <v>#N/A Requesting Data...</v>
        <stp/>
        <stp>##V3_BDHV12</stp>
        <stp>CL1 Comdty</stp>
        <stp>30DAY_IMPVOL_110.0%MNY_DF</stp>
        <stp>10/12/2015</stp>
        <stp>10/12/2015</stp>
        <stp>[Bbg_Market_Data_CL.xlsm]data!R331C22</stp>
        <tr r="V331" s="1"/>
      </tp>
      <tp t="s">
        <v>#N/A Requesting Data...</v>
        <stp/>
        <stp>##V3_BDHV12</stp>
        <stp>CL1 Comdty</stp>
        <stp>30DAY_IMPVOL_110.0%MNY_DF</stp>
        <stp>11/10/2016</stp>
        <stp>11/10/2016</stp>
        <stp>[Bbg_Market_Data_CL.xlsm]data!R124C22</stp>
        <tr r="V124" s="1"/>
      </tp>
      <tp t="s">
        <v>#N/A Requesting Data...</v>
        <stp/>
        <stp>##V3_BDHV12</stp>
        <stp>CL1 Comdty</stp>
        <stp>30DAY_IMPVOL_110.0%MNY_DF</stp>
        <stp>30/10/2015</stp>
        <stp>30/10/2015</stp>
        <stp>[Bbg_Market_Data_CL.xlsm]data!R358C22</stp>
        <tr r="V358" s="1"/>
      </tp>
      <tp t="s">
        <v>#N/A Requesting Data...</v>
        <stp/>
        <stp>##V3_BDHV12</stp>
        <stp>CL1 Comdty</stp>
        <stp>30DAY_IMPVOL_100.0%MNY_DF</stp>
        <stp>20/10/2015</stp>
        <stp>20/10/2015</stp>
        <stp>[Bbg_Market_Data_CL.xlsm]data!R366C20</stp>
        <tr r="T366" s="1"/>
      </tp>
      <tp t="s">
        <v>#N/A Requesting Data...</v>
        <stp/>
        <stp>##V3_BDHV12</stp>
        <stp>CL1 Comdty</stp>
        <stp>30DAY_IMPVOL_100.0%MNY_DF</stp>
        <stp>02/03/2016</stp>
        <stp>02/03/2016</stp>
        <stp>[Bbg_Market_Data_CL.xlsm]data!R277C20</stp>
        <tr r="T277" s="1"/>
      </tp>
      <tp t="s">
        <v>#N/A Requesting Data...</v>
        <stp/>
        <stp>##V3_BDHV12</stp>
        <stp>CL1 Comdty</stp>
        <stp>30DAY_IMPVOL_110.0%MNY_DF</stp>
        <stp>20/11/2015</stp>
        <stp>20/11/2015</stp>
        <stp>[Bbg_Market_Data_CL.xlsm]data!R344C22</stp>
        <tr r="V344" s="1"/>
      </tp>
      <tp t="s">
        <v>#N/A Requesting Data...</v>
        <stp/>
        <stp>##V3_BDHV12</stp>
        <stp>CL1 Comdty</stp>
        <stp>30DAY_IMPVOL_105.0%MNY_DF</stp>
        <stp>04/05/2016</stp>
        <stp>04/05/2016</stp>
        <stp>[Bbg_Market_Data_CL.xlsm]data!R233C19</stp>
        <tr r="S233" s="1"/>
      </tp>
      <tp t="s">
        <v>#N/A Requesting Data...</v>
        <stp/>
        <stp>##V3_BDHV12</stp>
        <stp>CL1 Comdty</stp>
        <stp>30DAY_IMPVOL_110.0%MNY_DF</stp>
        <stp>02/02/2016</stp>
        <stp>02/02/2016</stp>
        <stp>[Bbg_Market_Data_CL.xlsm]data!R296C22</stp>
        <tr r="V296" s="1"/>
      </tp>
      <tp t="s">
        <v>#N/A Requesting Data...</v>
        <stp/>
        <stp>##V3_BDHV12</stp>
        <stp>CL1 Comdty</stp>
        <stp>30DAY_IMPVOL_100.0%MNY_DF</stp>
        <stp>07/05/2015</stp>
        <stp>07/05/2015</stp>
        <stp>[Bbg_Market_Data_CL.xlsm]data!R480C20</stp>
        <tr r="T480" s="1"/>
      </tp>
      <tp t="s">
        <v>#N/A Requesting Data...</v>
        <stp/>
        <stp>##V3_BDHV12</stp>
        <stp>CL1 Comdty</stp>
        <stp>30DAY_IMPVOL_100.0%MNY_DF</stp>
        <stp>12/02/2016</stp>
        <stp>12/02/2016</stp>
        <stp>[Bbg_Market_Data_CL.xlsm]data!R288C20</stp>
        <tr r="T288" s="1"/>
      </tp>
      <tp t="s">
        <v>#N/A Requesting Data...</v>
        <stp/>
        <stp>##V3_BDHV12</stp>
        <stp>CL1 Comdty</stp>
        <stp>30DAY_IMPVOL_100.0%MNY_DF</stp>
        <stp>17/04/2015</stp>
        <stp>17/04/2015</stp>
        <stp>[Bbg_Market_Data_CL.xlsm]data!R494C20</stp>
        <tr r="T494" s="1"/>
      </tp>
      <tp t="s">
        <v>#N/A Requesting Data...</v>
        <stp/>
        <stp>##V3_BDHV12</stp>
        <stp>CL1 Comdty</stp>
        <stp>30DAY_IMPVOL_105.0%MNY_DF</stp>
        <stp>14/04/2016</stp>
        <stp>14/04/2016</stp>
        <stp>[Bbg_Market_Data_CL.xlsm]data!R247C19</stp>
        <tr r="S247" s="1"/>
      </tp>
      <tp t="s">
        <v>#N/A Requesting Data...</v>
        <stp/>
        <stp>##V3_BDHV12</stp>
        <stp>CL1 Comdty</stp>
        <stp>30DAY_IMPVOL_105.0%MNY_DF</stp>
        <stp>03/02/2016</stp>
        <stp>03/02/2016</stp>
        <stp>[Bbg_Market_Data_CL.xlsm]data!R295C19</stp>
        <tr r="S295" s="1"/>
      </tp>
      <tp t="s">
        <v>#N/A Requesting Data...</v>
        <stp/>
        <stp>##V3_BDHV12</stp>
        <stp>CL1 Comdty</stp>
        <stp>30DAY_IMPVOL_110.0%MNY_DF</stp>
        <stp>05/05/2016</stp>
        <stp>05/05/2016</stp>
        <stp>[Bbg_Market_Data_CL.xlsm]data!R232C22</stp>
        <tr r="V232" s="1"/>
      </tp>
      <tp t="s">
        <v>#N/A Requesting Data...</v>
        <stp/>
        <stp>##V3_BDHV12</stp>
        <stp>CL1 Comdty</stp>
        <stp>30DAY_IMPVOL_110.0%MNY_DF</stp>
        <stp>15/04/2016</stp>
        <stp>15/04/2016</stp>
        <stp>[Bbg_Market_Data_CL.xlsm]data!R246C22</stp>
        <tr r="V246" s="1"/>
      </tp>
      <tp t="s">
        <v>#N/A Requesting Data...</v>
        <stp/>
        <stp>##V3_BDHV12</stp>
        <stp>CL1 Comdty</stp>
        <stp>30DAY_IMPVOL_100.0%MNY_DF</stp>
        <stp>05/04/2016</stp>
        <stp>05/04/2016</stp>
        <stp>[Bbg_Market_Data_CL.xlsm]data!R254C20</stp>
        <tr r="T254" s="1"/>
      </tp>
      <tp t="s">
        <v>#N/A Requesting Data...</v>
        <stp/>
        <stp>##V3_BDHV12</stp>
        <stp>CL1 Comdty</stp>
        <stp>30DAY_IMPVOL_105.0%MNY_DF</stp>
        <stp>11/12/2015</stp>
        <stp>11/12/2015</stp>
        <stp>[Bbg_Market_Data_CL.xlsm]data!R330C19</stp>
        <tr r="S330" s="1"/>
      </tp>
      <tp t="s">
        <v>#N/A Requesting Data...</v>
        <stp/>
        <stp>##V3_BDHV12</stp>
        <stp>CL1 Comdty</stp>
        <stp>30DAY_IMPVOL_105.0%MNY_DF</stp>
        <stp>22/01/2016</stp>
        <stp>22/01/2016</stp>
        <stp>[Bbg_Market_Data_CL.xlsm]data!R303C19</stp>
        <tr r="S303" s="1"/>
      </tp>
      <tp t="s">
        <v>#N/A Requesting Data...</v>
        <stp/>
        <stp>##V3_BDHV12</stp>
        <stp>CL1 Comdty</stp>
        <stp>30DAY_IMPVOL_100.0%MNY_DF</stp>
        <stp>06/07/2016</stp>
        <stp>06/07/2016</stp>
        <stp>[Bbg_Market_Data_CL.xlsm]data!R190C20</stp>
        <tr r="T190" s="1"/>
      </tp>
      <tp t="s">
        <v>#N/A Requesting Data...</v>
        <stp/>
        <stp>##V3_BDHV12</stp>
        <stp>CL1 Comdty</stp>
        <stp>30DAY_IMPVOL_105.0%MNY_DF</stp>
        <stp>26/06/2015</stp>
        <stp>26/06/2015</stp>
        <stp>[Bbg_Market_Data_CL.xlsm]data!R445C19</stp>
        <tr r="S445" s="1"/>
      </tp>
      <tp t="s">
        <v>#N/A Requesting Data...</v>
        <stp/>
        <stp>##V3_BDHV12</stp>
        <stp>CL1 Comdty</stp>
        <stp>30DAY_IMPVOL_100.0%MNY_DF</stp>
        <stp>04/05/2016</stp>
        <stp>04/05/2016</stp>
        <stp>[Bbg_Market_Data_CL.xlsm]data!R233C20</stp>
        <tr r="T233" s="1"/>
      </tp>
      <tp t="s">
        <v>#N/A Requesting Data...</v>
        <stp/>
        <stp>##V3_BDHV12</stp>
        <stp>CL1 Comdty</stp>
        <stp>30DAY_IMPVOL_105.0%MNY_DF</stp>
        <stp>17/04/2015</stp>
        <stp>17/04/2015</stp>
        <stp>[Bbg_Market_Data_CL.xlsm]data!R494C19</stp>
        <tr r="S494" s="1"/>
      </tp>
      <tp t="s">
        <v>#N/A Requesting Data...</v>
        <stp/>
        <stp>##V3_BDHV12</stp>
        <stp>CL1 Comdty</stp>
        <stp>30DAY_IMPVOL_105.0%MNY_DF</stp>
        <stp>07/05/2015</stp>
        <stp>07/05/2015</stp>
        <stp>[Bbg_Market_Data_CL.xlsm]data!R480C19</stp>
        <tr r="S480" s="1"/>
      </tp>
      <tp t="s">
        <v>#N/A Requesting Data...</v>
        <stp/>
        <stp>##V3_BDHV12</stp>
        <stp>CL1 Comdty</stp>
        <stp>30DAY_IMPVOL_105.0%MNY_DF</stp>
        <stp>12/02/2016</stp>
        <stp>12/02/2016</stp>
        <stp>[Bbg_Market_Data_CL.xlsm]data!R288C19</stp>
        <tr r="S288" s="1"/>
      </tp>
      <tp t="s">
        <v>#N/A Requesting Data...</v>
        <stp/>
        <stp>##V3_BDHV12</stp>
        <stp>CL1 Comdty</stp>
        <stp>30DAY_IMPVOL_110.0%MNY_DF</stp>
        <stp>04/04/2016</stp>
        <stp>04/04/2016</stp>
        <stp>[Bbg_Market_Data_CL.xlsm]data!R255C22</stp>
        <tr r="V255" s="1"/>
      </tp>
      <tp t="s">
        <v>#N/A Requesting Data...</v>
        <stp/>
        <stp>##V3_BDHV12</stp>
        <stp>CL1 Comdty</stp>
        <stp>30DAY_IMPVOL_100.0%MNY_DF</stp>
        <stp>14/04/2016</stp>
        <stp>14/04/2016</stp>
        <stp>[Bbg_Market_Data_CL.xlsm]data!R247C20</stp>
        <tr r="T247" s="1"/>
      </tp>
      <tp t="s">
        <v>#N/A Requesting Data...</v>
        <stp/>
        <stp>##V3_BDHV12</stp>
        <stp>CL1 Comdty</stp>
        <stp>30DAY_IMPVOL_110.0%MNY_DF</stp>
        <stp>07/07/2016</stp>
        <stp>07/07/2016</stp>
        <stp>[Bbg_Market_Data_CL.xlsm]data!R189C22</stp>
        <tr r="V189" s="1"/>
      </tp>
      <tp t="s">
        <v>#N/A Requesting Data...</v>
        <stp/>
        <stp>##V3_BDHV12</stp>
        <stp>CL1 Comdty</stp>
        <stp>30DAY_IMPVOL_105.0%MNY_DF</stp>
        <stp>27/07/2015</stp>
        <stp>27/07/2015</stp>
        <stp>[Bbg_Market_Data_CL.xlsm]data!R425C19</stp>
        <tr r="S425" s="1"/>
      </tp>
      <tp t="s">
        <v>#N/A Requesting Data...</v>
        <stp/>
        <stp>##V3_BDHV12</stp>
        <stp>CL1 Comdty</stp>
        <stp>30DAY_IMPVOL_105.0%MNY_DF</stp>
        <stp>30/11/2015</stp>
        <stp>30/11/2015</stp>
        <stp>[Bbg_Market_Data_CL.xlsm]data!R339C19</stp>
        <tr r="S339" s="1"/>
      </tp>
      <tp t="s">
        <v>#N/A Requesting Data...</v>
        <stp/>
        <stp>##V3_BDHV12</stp>
        <stp>CL1 Comdty</stp>
        <stp>30DAY_IMPVOL_105.0%MNY_DF</stp>
        <stp>20/10/2015</stp>
        <stp>20/10/2015</stp>
        <stp>[Bbg_Market_Data_CL.xlsm]data!R366C19</stp>
        <tr r="S366" s="1"/>
      </tp>
      <tp t="s">
        <v>#N/A Requesting Data...</v>
        <stp/>
        <stp>##V3_BDHV12</stp>
        <stp>CL1 Comdty</stp>
        <stp>30DAY_IMPVOL_105.0%MNY_DF</stp>
        <stp>02/03/2016</stp>
        <stp>02/03/2016</stp>
        <stp>[Bbg_Market_Data_CL.xlsm]data!R277C19</stp>
        <tr r="S277" s="1"/>
      </tp>
      <tp t="s">
        <v>#N/A Requesting Data...</v>
        <stp/>
        <stp>##V3_BDHV12</stp>
        <stp>CL1 Comdty</stp>
        <stp>30DAY_IMPVOL_110.0%MNY_DF</stp>
        <stp>17/06/2016</stp>
        <stp>17/06/2016</stp>
        <stp>[Bbg_Market_Data_CL.xlsm]data!R202C22</stp>
        <tr r="V202" s="1"/>
      </tp>
      <tp t="s">
        <v>#N/A Requesting Data...</v>
        <stp/>
        <stp>##V3_BDHV12</stp>
        <stp>CL1 Comdty</stp>
        <stp>30DAY_IMPVOL_110.0%MNY_DF</stp>
        <stp>27/05/2016</stp>
        <stp>27/05/2016</stp>
        <stp>[Bbg_Market_Data_CL.xlsm]data!R216C22</stp>
        <tr r="V216" s="1"/>
      </tp>
      <tp t="s">
        <v>#N/A Requesting Data...</v>
        <stp/>
        <stp>##V3_BDHV12</stp>
        <stp>CL1 Comdty</stp>
        <stp>30DAY_IMPVOL_100.0%MNY_DF</stp>
        <stp>27/04/2016</stp>
        <stp>27/04/2016</stp>
        <stp>[Bbg_Market_Data_CL.xlsm]data!R238C20</stp>
        <tr r="T238" s="1"/>
      </tp>
      <tp t="s">
        <v>#N/A Requesting Data...</v>
        <stp/>
        <stp>##V3_BDHV12</stp>
        <stp>CL1 Comdty</stp>
        <stp>30DAY_IMPVOL_100.0%MNY_DF</stp>
        <stp>07/06/2016</stp>
        <stp>07/06/2016</stp>
        <stp>[Bbg_Market_Data_CL.xlsm]data!R210C20</stp>
        <tr r="T210" s="1"/>
      </tp>
      <tp t="s">
        <v>#N/A Requesting Data...</v>
        <stp/>
        <stp>##V3_BDHV12</stp>
        <stp>CL1 Comdty</stp>
        <stp>30DAY_IMPVOL_105.0%MNY_DF</stp>
        <stp>24/04/2015</stp>
        <stp>24/04/2015</stp>
        <stp>[Bbg_Market_Data_CL.xlsm]data!R489C19</stp>
        <tr r="S489" s="1"/>
      </tp>
      <tp t="s">
        <v>#N/A Requesting Data...</v>
        <stp/>
        <stp>##V3_BDHV12</stp>
        <stp>CL1 Comdty</stp>
        <stp>30DAY_IMPVOL_105.0%MNY_DF</stp>
        <stp>14/07/2015</stp>
        <stp>14/07/2015</stp>
        <stp>[Bbg_Market_Data_CL.xlsm]data!R434C19</stp>
        <tr r="S434" s="1"/>
      </tp>
      <tp t="s">
        <v>#N/A Requesting Data...</v>
        <stp/>
        <stp>##V3_BDHV12</stp>
        <stp>CL1 Comdty</stp>
        <stp>30DAY_IMPVOL_110.0%MNY_DF</stp>
        <stp>24/06/2016</stp>
        <stp>24/06/2016</stp>
        <stp>[Bbg_Market_Data_CL.xlsm]data!R197C22</stp>
        <tr r="V197" s="1"/>
      </tp>
      <tp t="s">
        <v>#N/A Requesting Data...</v>
        <stp/>
        <stp>##V3_BDHV12</stp>
        <stp>CL1 Comdty</stp>
        <stp>30DAY_IMPVOL_105.0%MNY_DF</stp>
        <stp>13/10/2015</stp>
        <stp>13/10/2015</stp>
        <stp>[Bbg_Market_Data_CL.xlsm]data!R371C19</stp>
        <tr r="S371" s="1"/>
      </tp>
      <tp t="s">
        <v>#N/A Requesting Data...</v>
        <stp/>
        <stp>##V3_BDHV12</stp>
        <stp>CL1 Comdty</stp>
        <stp>30DAY_IMPVOL_105.0%MNY_DF</stp>
        <stp>04/06/2015</stp>
        <stp>04/06/2015</stp>
        <stp>[Bbg_Market_Data_CL.xlsm]data!R461C19</stp>
        <tr r="S461" s="1"/>
      </tp>
      <tp t="s">
        <v>#N/A Requesting Data...</v>
        <stp/>
        <stp>##V3_BDHV12</stp>
        <stp>CL1 Comdty</stp>
        <stp>30DAY_IMPVOL_105.0%MNY_DF</stp>
        <stp>31/03/2016</stp>
        <stp>31/03/2016</stp>
        <stp>[Bbg_Market_Data_CL.xlsm]data!R257C19</stp>
        <tr r="S257" s="1"/>
      </tp>
      <tp t="s">
        <v>#N/A Requesting Data...</v>
        <stp/>
        <stp>##V3_BDHV12</stp>
        <stp>CL1 Comdty</stp>
        <stp>30DAY_IMPVOL_105.0%MNY_DF</stp>
        <stp>03/11/2015</stp>
        <stp>03/11/2015</stp>
        <stp>[Bbg_Market_Data_CL.xlsm]data!R356C19</stp>
        <tr r="S356" s="1"/>
      </tp>
      <tp t="s">
        <v>#N/A Requesting Data...</v>
        <stp/>
        <stp>##V3_BDHV12</stp>
        <stp>CL1 Comdty</stp>
        <stp>30DAY_IMPVOL_110.0%MNY_DF</stp>
        <stp>06/06/2016</stp>
        <stp>06/06/2016</stp>
        <stp>[Bbg_Market_Data_CL.xlsm]data!R211C22</stp>
        <tr r="V211" s="1"/>
      </tp>
      <tp t="s">
        <v>#N/A Requesting Data...</v>
        <stp/>
        <stp>##V3_BDHV12</stp>
        <stp>CL1 Comdty</stp>
        <stp>30DAY_IMPVOL_100.0%MNY_DF</stp>
        <stp>16/06/2016</stp>
        <stp>16/06/2016</stp>
        <stp>[Bbg_Market_Data_CL.xlsm]data!R203C20</stp>
        <tr r="T203" s="1"/>
      </tp>
      <tp t="s">
        <v>#N/A Requesting Data...</v>
        <stp/>
        <stp>##V3_BDHV12</stp>
        <stp>CL1 Comdty</stp>
        <stp>30DAY_IMPVOL_100.0%MNY_DF</stp>
        <stp>26/05/2016</stp>
        <stp>26/05/2016</stp>
        <stp>[Bbg_Market_Data_CL.xlsm]data!R217C20</stp>
        <tr r="T217" s="1"/>
      </tp>
      <tp t="s">
        <v>#N/A Requesting Data...</v>
        <stp/>
        <stp>##V3_BDHV12</stp>
        <stp>CL1 Comdty</stp>
        <stp>30DAY_IMPVOL_110.0%MNY_DF</stp>
        <stp>26/04/2016</stp>
        <stp>26/04/2016</stp>
        <stp>[Bbg_Market_Data_CL.xlsm]data!R239C22</stp>
        <tr r="V239" s="1"/>
      </tp>
      <tp t="s">
        <v>#N/A Requesting Data...</v>
        <stp/>
        <stp>##V3_BDHV12</stp>
        <stp>CL1 Comdty</stp>
        <stp>30DAY_IMPVOL_110.0%MNY_DF</stp>
        <stp>25/07/2016</stp>
        <stp>25/07/2016</stp>
        <stp>[Bbg_Market_Data_CL.xlsm]data!R177C22</stp>
        <tr r="V177" s="1"/>
      </tp>
      <tp t="s">
        <v>#N/A Requesting Data...</v>
        <stp/>
        <stp>##V3_BDHV12</stp>
        <stp>CL1 Comdty</stp>
        <stp>30DAY_IMPVOL_105.0%MNY_DF</stp>
        <stp>22/12/2015</stp>
        <stp>22/12/2015</stp>
        <stp>[Bbg_Market_Data_CL.xlsm]data!R323C19</stp>
        <tr r="S323" s="1"/>
      </tp>
      <tp t="s">
        <v>#N/A Requesting Data...</v>
        <stp/>
        <stp>##V3_BDHV12</stp>
        <stp>CL1 Comdty</stp>
        <stp>30DAY_IMPVOL_105.0%MNY_DF</stp>
        <stp>11/01/2016</stp>
        <stp>11/01/2016</stp>
        <stp>[Bbg_Market_Data_CL.xlsm]data!R311C19</stp>
        <tr r="S311" s="1"/>
      </tp>
      <tp t="s">
        <v>#N/A Requesting Data...</v>
        <stp/>
        <stp>##V3_BDHV12</stp>
        <stp>CL1 Comdty</stp>
        <stp>30DAY_IMPVOL_105.0%MNY_DF</stp>
        <stp>02/10/2015</stp>
        <stp>02/10/2015</stp>
        <stp>[Bbg_Market_Data_CL.xlsm]data!R377C19</stp>
        <tr r="S377" s="1"/>
      </tp>
      <tp t="s">
        <v>#N/A Requesting Data...</v>
        <stp/>
        <stp>##V3_BDHV12</stp>
        <stp>CL1 Comdty</stp>
        <stp>30DAY_IMPVOL_105.0%MNY_DF</stp>
        <stp>15/06/2015</stp>
        <stp>15/06/2015</stp>
        <stp>[Bbg_Market_Data_CL.xlsm]data!R454C19</stp>
        <tr r="S454" s="1"/>
      </tp>
      <tp t="s">
        <v>#N/A Requesting Data...</v>
        <stp/>
        <stp>##V3_BDHV12</stp>
        <stp>CL1 Comdty</stp>
        <stp>30DAY_IMPVOL_105.0%MNY_DF</stp>
        <stp>12/11/2015</stp>
        <stp>12/11/2015</stp>
        <stp>[Bbg_Market_Data_CL.xlsm]data!R350C19</stp>
        <tr r="S350" s="1"/>
      </tp>
      <tp t="s">
        <v>#N/A Requesting Data...</v>
        <stp/>
        <stp>##V3_BDHV12</stp>
        <stp>CL1 Comdty</stp>
        <stp>30DAY_IMPVOL_100.0%MNY_DF</stp>
        <stp>18/08/2016</stp>
        <stp>18/08/2016</stp>
        <stp>[Bbg_Market_Data_CL.xlsm]data!R160C20</stp>
        <tr r="T160" s="1"/>
      </tp>
      <tp t="s">
        <v>#N/A Requesting Data...</v>
        <stp/>
        <stp>##V3_BDHV12</stp>
        <stp>CL1 Comdty</stp>
        <stp>30DAY_IMPVOL_100.0%MNY_DF</stp>
        <stp>08/09/2016</stp>
        <stp>08/09/2016</stp>
        <stp>[Bbg_Market_Data_CL.xlsm]data!R146C20</stp>
        <tr r="T146" s="1"/>
      </tp>
      <tp t="s">
        <v>#N/A Requesting Data...</v>
        <stp/>
        <stp>##V3_BDHV12</stp>
        <stp>CL1 Comdty</stp>
        <stp>30DAY_IMPVOL_100.0%MNY_DF</stp>
        <stp>29/09/2015</stp>
        <stp>29/09/2015</stp>
        <stp>[Bbg_Market_Data_CL.xlsm]data!R380C20</stp>
        <tr r="T380" s="1"/>
      </tp>
      <tp t="s">
        <v>#N/A Requesting Data...</v>
        <stp/>
        <stp>##V3_BDHV12</stp>
        <stp>CL1 Comdty</stp>
        <stp>30DAY_IMPVOL_105.0%MNY_DF</stp>
        <stp>28/08/2015</stp>
        <stp>28/08/2015</stp>
        <stp>[Bbg_Market_Data_CL.xlsm]data!R401C19</stp>
        <tr r="S401" s="1"/>
      </tp>
      <tp t="s">
        <v>#N/A Requesting Data...</v>
        <stp/>
        <stp>##V3_BDHV12</stp>
        <stp>CL1 Comdty</stp>
        <stp>30DAY_IMPVOL_100.0%MNY_DF</stp>
        <stp>19/09/2016</stp>
        <stp>19/09/2016</stp>
        <stp>[Bbg_Market_Data_CL.xlsm]data!R139C20</stp>
        <tr r="T139" s="1"/>
      </tp>
      <tp t="s">
        <v>#N/A Requesting Data...</v>
        <stp/>
        <stp>##V3_BDHV12</stp>
        <stp>CL1 Comdty</stp>
        <stp>30DAY_IMPVOL_110.0%MNY_DF</stp>
        <stp>09/09/2016</stp>
        <stp>09/09/2016</stp>
        <stp>[Bbg_Market_Data_CL.xlsm]data!R145C22</stp>
        <tr r="V145" s="1"/>
      </tp>
      <tp t="s">
        <v>#N/A Requesting Data...</v>
        <stp/>
        <stp>##V3_BDHV12</stp>
        <stp>CL1 Comdty</stp>
        <stp>30DAY_IMPVOL_100.0%MNY_DF</stp>
        <stp>09/08/2016</stp>
        <stp>09/08/2016</stp>
        <stp>[Bbg_Market_Data_CL.xlsm]data!R167C20</stp>
        <tr r="T167" s="1"/>
      </tp>
      <tp t="s">
        <v>#N/A Requesting Data...</v>
        <stp/>
        <stp>##V3_BDHV12</stp>
        <stp>CL1 Comdty</stp>
        <stp>30DAY_IMPVOL_110.0%MNY_DF</stp>
        <stp>19/08/2016</stp>
        <stp>19/08/2016</stp>
        <stp>[Bbg_Market_Data_CL.xlsm]data!R159C22</stp>
        <tr r="V159" s="1"/>
      </tp>
      <tp t="s">
        <v>#N/A Requesting Data...</v>
        <stp/>
        <stp>##V3_BDHV12</stp>
        <stp>CL1 Comdty</stp>
        <stp>30DAY_IMPVOL_110.0%MNY_DF</stp>
        <stp>28/09/2015</stp>
        <stp>28/09/2015</stp>
        <stp>[Bbg_Market_Data_CL.xlsm]data!R381C22</stp>
        <tr r="V381" s="1"/>
      </tp>
      <tp t="s">
        <v>#N/A Requesting Data...</v>
        <stp/>
        <stp>##V3_BDHV12</stp>
        <stp>CL1 Comdty</stp>
        <stp>30DAY_IMPVOL_100.0%MNY_DF</stp>
        <stp>28/08/2015</stp>
        <stp>28/08/2015</stp>
        <stp>[Bbg_Market_Data_CL.xlsm]data!R401C20</stp>
        <tr r="T401" s="1"/>
      </tp>
      <tp t="s">
        <v>#N/A Requesting Data...</v>
        <stp/>
        <stp>##V3_BDHV12</stp>
        <stp>CL1 Comdty</stp>
        <stp>30DAY_IMPVOL_105.0%MNY_DF</stp>
        <stp>29/09/2015</stp>
        <stp>29/09/2015</stp>
        <stp>[Bbg_Market_Data_CL.xlsm]data!R380C19</stp>
        <tr r="S380" s="1"/>
      </tp>
      <tp t="s">
        <v>#N/A Requesting Data...</v>
        <stp/>
        <stp>##V3_BDHV12</stp>
        <stp>CL1 Comdty</stp>
        <stp>30DAY_IMPVOL_105.0%MNY_DF</stp>
        <stp>18/08/2016</stp>
        <stp>18/08/2016</stp>
        <stp>[Bbg_Market_Data_CL.xlsm]data!R160C19</stp>
        <tr r="S160" s="1"/>
      </tp>
      <tp t="s">
        <v>#N/A Requesting Data...</v>
        <stp/>
        <stp>##V3_BDHV12</stp>
        <stp>CL1 Comdty</stp>
        <stp>30DAY_IMPVOL_105.0%MNY_DF</stp>
        <stp>08/09/2016</stp>
        <stp>08/09/2016</stp>
        <stp>[Bbg_Market_Data_CL.xlsm]data!R146C19</stp>
        <tr r="S146" s="1"/>
      </tp>
      <tp t="s">
        <v>#N/A Requesting Data...</v>
        <stp/>
        <stp>##V3_BDHV12</stp>
        <stp>CL1 Comdty</stp>
        <stp>30DAY_IMPVOL_105.0%MNY_DF</stp>
        <stp>19/09/2016</stp>
        <stp>19/09/2016</stp>
        <stp>[Bbg_Market_Data_CL.xlsm]data!R139C19</stp>
        <tr r="S139" s="1"/>
      </tp>
      <tp t="s">
        <v>#N/A Requesting Data...</v>
        <stp/>
        <stp>##V3_BDHV12</stp>
        <stp>CL1 Comdty</stp>
        <stp>30DAY_IMPVOL_105.0%MNY_DF</stp>
        <stp>09/08/2016</stp>
        <stp>09/08/2016</stp>
        <stp>[Bbg_Market_Data_CL.xlsm]data!R167C19</stp>
        <tr r="S167" s="1"/>
      </tp>
      <tp t="s">
        <v>#N/A Requesting Data...</v>
        <stp/>
        <stp>##V3_BDHV12</stp>
        <stp>CL1 Comdty</stp>
        <stp>RSI_9D</stp>
        <stp>06/08/2015</stp>
        <stp>06/08/2015</stp>
        <stp>[Bbg_Market_Data_CL.xlsm]data!R418C12</stp>
        <tr r="L418" s="1"/>
      </tp>
      <tp t="s">
        <v>#N/A Requesting Data...</v>
        <stp/>
        <stp>##V3_BDHV12</stp>
        <stp>CL2 Comdty</stp>
        <stp>RSI_9D</stp>
        <stp>27/08/2015</stp>
        <stp>27/08/2015</stp>
        <stp>[Bbg_Market_Data_CL.xlsm]data!R403C12</stp>
        <tr r="L403" s="1"/>
      </tp>
      <tp t="s">
        <v>#N/A Requesting Data...</v>
        <stp/>
        <stp>##V3_BDHV12</stp>
        <stp>CL1 Comdty</stp>
        <stp>RSI_9D</stp>
        <stp>17/08/2015</stp>
        <stp>17/08/2015</stp>
        <stp>[Bbg_Market_Data_CL.xlsm]data!R411C12</stp>
        <tr r="L411" s="1"/>
      </tp>
      <tp t="s">
        <v>#N/A Requesting Data...</v>
        <stp/>
        <stp>##V3_BDHV12</stp>
        <stp>CL1 Comdty</stp>
        <stp>RSI_9D</stp>
        <stp>24/08/2015</stp>
        <stp>24/08/2015</stp>
        <stp>[Bbg_Market_Data_CL.xlsm]data!R406C12</stp>
        <tr r="L406" s="1"/>
      </tp>
      <tp t="s">
        <v>#N/A Requesting Data...</v>
        <stp/>
        <stp>##V3_BDHV12</stp>
        <stp>CL2 Comdty</stp>
        <stp>RSI_9D</stp>
        <stp>14/08/2015</stp>
        <stp>14/08/2015</stp>
        <stp>[Bbg_Market_Data_CL.xlsm]data!R412C12</stp>
        <tr r="L412" s="1"/>
      </tp>
      <tp t="s">
        <v>#N/A Requesting Data...</v>
        <stp/>
        <stp>##V3_BDHV12</stp>
        <stp>CL2 Comdty</stp>
        <stp>RSI_9D</stp>
        <stp>05/08/2015</stp>
        <stp>05/08/2015</stp>
        <stp>[Bbg_Market_Data_CL.xlsm]data!R419C12</stp>
        <tr r="L419" s="1"/>
      </tp>
      <tp t="s">
        <v>#N/A Requesting Data...</v>
        <stp/>
        <stp>##V3_BDHV12</stp>
        <stp>CL1 Comdty</stp>
        <stp>RSI_9D</stp>
        <stp>25/09/2015</stp>
        <stp>25/09/2015</stp>
        <stp>[Bbg_Market_Data_CL.xlsm]data!R383C12</stp>
        <tr r="L383" s="1"/>
      </tp>
      <tp t="s">
        <v>#N/A Requesting Data...</v>
        <stp/>
        <stp>##V3_BDHV12</stp>
        <stp>CL2 Comdty</stp>
        <stp>RSI_9D</stp>
        <stp>15/09/2015</stp>
        <stp>15/09/2015</stp>
        <stp>[Bbg_Market_Data_CL.xlsm]data!R391C12</stp>
        <tr r="L391" s="1"/>
      </tp>
      <tp t="s">
        <v>#N/A Requesting Data...</v>
        <stp/>
        <stp>##V3_BDHV12</stp>
        <stp>CL2 Comdty</stp>
        <stp>RSI_9D</stp>
        <stp>24/08/2016</stp>
        <stp>24/08/2016</stp>
        <stp>[Bbg_Market_Data_CL.xlsm]data!R157C12</stp>
        <tr r="L157" s="1"/>
      </tp>
      <tp t="s">
        <v>#N/A Requesting Data...</v>
        <stp/>
        <stp>##V3_BDHV12</stp>
        <stp>CL2 Comdty</stp>
        <stp>RSI_9D</stp>
        <stp>04/09/2015</stp>
        <stp>04/09/2015</stp>
        <stp>[Bbg_Market_Data_CL.xlsm]data!R397C12</stp>
        <tr r="L397" s="1"/>
      </tp>
      <tp t="s">
        <v>#N/A Requesting Data...</v>
        <stp/>
        <stp>##V3_BDHV12</stp>
        <stp>CL1 Comdty</stp>
        <stp>RSI_9D</stp>
        <stp>15/09/2016</stp>
        <stp>15/09/2016</stp>
        <stp>[Bbg_Market_Data_CL.xlsm]data!R142C12</stp>
        <tr r="L142" s="1"/>
      </tp>
      <tp t="s">
        <v>#N/A Requesting Data...</v>
        <stp/>
        <stp>##V3_BDHV12</stp>
        <stp>CL1 Comdty</stp>
        <stp>RSI_9D</stp>
        <stp>05/08/2016</stp>
        <stp>05/08/2016</stp>
        <stp>[Bbg_Market_Data_CL.xlsm]data!R169C12</stp>
        <tr r="L169" s="1"/>
      </tp>
      <tp t="s">
        <v>#N/A Requesting Data...</v>
        <stp/>
        <stp>##V3_BDHV12</stp>
        <stp>CL1 Comdty</stp>
        <stp>RSI_9D</stp>
        <stp>26/09/2016</stp>
        <stp>26/09/2016</stp>
        <stp>[Bbg_Market_Data_CL.xlsm]data!R135C12</stp>
        <tr r="L135" s="1"/>
      </tp>
      <tp t="s">
        <v>#N/A Requesting Data...</v>
        <stp/>
        <stp>##V3_BDHV12</stp>
        <stp>CL2 Comdty</stp>
        <stp>RSI_9D</stp>
        <stp>16/09/2016</stp>
        <stp>16/09/2016</stp>
        <stp>[Bbg_Market_Data_CL.xlsm]data!R141C12</stp>
        <tr r="L141" s="1"/>
      </tp>
      <tp t="s">
        <v>#N/A Requesting Data...</v>
        <stp/>
        <stp>##V3_BDHV12</stp>
        <stp>CL1 Comdty</stp>
        <stp>RSI_9D</stp>
        <stp>16/09/2015</stp>
        <stp>16/09/2015</stp>
        <stp>[Bbg_Market_Data_CL.xlsm]data!R390C12</stp>
        <tr r="L390" s="1"/>
      </tp>
      <tp t="s">
        <v>#N/A Requesting Data...</v>
        <stp/>
        <stp>##V3_BDHV12</stp>
        <stp>CL2 Comdty</stp>
        <stp>RSI_9D</stp>
        <stp>07/09/2016</stp>
        <stp>07/09/2016</stp>
        <stp>[Bbg_Market_Data_CL.xlsm]data!R148C12</stp>
        <tr r="L148" s="1"/>
      </tp>
      <tp t="s">
        <v>#N/A Requesting Data...</v>
        <stp/>
        <stp>##V3_BDHV12</stp>
        <stp>CL2 Comdty</stp>
        <stp>RSI_9D</stp>
        <stp>17/08/2016</stp>
        <stp>17/08/2016</stp>
        <stp>[Bbg_Market_Data_CL.xlsm]data!R162C12</stp>
        <tr r="L162" s="1"/>
      </tp>
      <tp t="s">
        <v>#N/A Requesting Data...</v>
        <stp/>
        <stp>##V3_BDHV12</stp>
        <stp>CL2 Comdty</stp>
        <stp>RSI_9D</stp>
        <stp>18/07/2016</stp>
        <stp>18/07/2016</stp>
        <stp>[Bbg_Market_Data_CL.xlsm]data!R183C12</stp>
        <tr r="L183" s="1"/>
      </tp>
      <tp t="s">
        <v>#N/A Requesting Data...</v>
        <stp/>
        <stp>##V3_BDHV12</stp>
        <stp>CL1 Comdty</stp>
        <stp>RSI_9D</stp>
        <stp>28/07/2016</stp>
        <stp>28/07/2016</stp>
        <stp>[Bbg_Market_Data_CL.xlsm]data!R175C12</stp>
        <tr r="L175" s="1"/>
      </tp>
      <tp t="s">
        <v>#N/A Requesting Data...</v>
        <stp/>
        <stp>##V3_BDHV12</stp>
        <stp>CL1 Comdty</stp>
        <stp>RSI_9D</stp>
        <stp>29/06/2016</stp>
        <stp>29/06/2016</stp>
        <stp>[Bbg_Market_Data_CL.xlsm]data!R195C12</stp>
        <tr r="L195" s="1"/>
      </tp>
      <tp t="s">
        <v>#N/A Requesting Data...</v>
        <stp/>
        <stp>##V3_BDHV12</stp>
        <stp>CL1 Comdty</stp>
        <stp>RSI_9D</stp>
        <stp>19/05/2016</stp>
        <stp>19/05/2016</stp>
        <stp>[Bbg_Market_Data_CL.xlsm]data!R223C12</stp>
        <tr r="L223" s="1"/>
      </tp>
      <tp t="s">
        <v>#N/A Requesting Data...</v>
        <stp/>
        <stp>##V3_BDHV12</stp>
        <stp>CL2 Comdty</stp>
        <stp>RSI_9D</stp>
        <stp>08/06/2016</stp>
        <stp>08/06/2016</stp>
        <stp>[Bbg_Market_Data_CL.xlsm]data!R210C12</stp>
        <tr r="L210" s="1"/>
      </tp>
      <tp t="s">
        <v>#N/A Requesting Data...</v>
        <stp/>
        <stp>##V3_BDHV12</stp>
        <stp>CL2 Comdty</stp>
        <stp>RSI_9D</stp>
        <stp>28/04/2016</stp>
        <stp>28/04/2016</stp>
        <stp>[Bbg_Market_Data_CL.xlsm]data!R238C12</stp>
        <tr r="L238" s="1"/>
      </tp>
      <tp t="s">
        <v>#N/A Requesting Data...</v>
        <stp/>
        <stp>##V3_BDHV12</stp>
        <stp>CL1 Comdty</stp>
        <stp>RSI_9D</stp>
        <stp>18/04/2016</stp>
        <stp>18/04/2016</stp>
        <stp>[Bbg_Market_Data_CL.xlsm]data!R246C12</stp>
        <tr r="L246" s="1"/>
      </tp>
      <tp t="s">
        <v>#N/A Requesting Data...</v>
        <stp/>
        <stp>##V3_BDHV12</stp>
        <stp>CL2 Comdty</stp>
        <stp>RSI_9D</stp>
        <stp>08/05/2015</stp>
        <stp>08/05/2015</stp>
        <stp>[Bbg_Market_Data_CL.xlsm]data!R480C12</stp>
        <tr r="L480" s="1"/>
      </tp>
      <tp t="s">
        <v>#N/A Requesting Data...</v>
        <stp/>
        <stp>##V3_BDHV12</stp>
        <stp>CL1 Comdty</stp>
        <stp>RSI_9D</stp>
        <stp>28/04/2015</stp>
        <stp>28/04/2015</stp>
        <stp>[Bbg_Market_Data_CL.xlsm]data!R488C12</stp>
        <tr r="L488" s="1"/>
      </tp>
      <tp t="s">
        <v>#N/A Requesting Data...</v>
        <stp/>
        <stp>##V3_BDHV12</stp>
        <stp>CL2 Comdty</stp>
        <stp>RSI_9D</stp>
        <stp>28/07/2015</stp>
        <stp>28/07/2015</stp>
        <stp>[Bbg_Market_Data_CL.xlsm]data!R425C12</stp>
        <tr r="L425" s="1"/>
      </tp>
      <tp t="s">
        <v>#N/A Requesting Data...</v>
        <stp/>
        <stp>##V3_BDHV12</stp>
        <stp>CL1 Comdty</stp>
        <stp>RSI_9D</stp>
        <stp>08/06/2015</stp>
        <stp>08/06/2015</stp>
        <stp>[Bbg_Market_Data_CL.xlsm]data!R460C12</stp>
        <tr r="L460" s="1"/>
      </tp>
      <tp t="s">
        <v>#N/A Requesting Data...</v>
        <stp/>
        <stp>##V3_BDHV12</stp>
        <stp>CL1 Comdty</stp>
        <stp>RSI_9D</stp>
        <stp>09/07/2015</stp>
        <stp>09/07/2015</stp>
        <stp>[Bbg_Market_Data_CL.xlsm]data!R438C12</stp>
        <tr r="L438" s="1"/>
      </tp>
      <tp t="s">
        <v>#N/A Requesting Data...</v>
        <stp/>
        <stp>##V3_BDHV12</stp>
        <stp>CL2 Comdty</stp>
        <stp>RSI_9D</stp>
        <stp>29/06/2015</stp>
        <stp>29/06/2015</stp>
        <stp>[Bbg_Market_Data_CL.xlsm]data!R445C12</stp>
        <tr r="L445" s="1"/>
      </tp>
      <tp t="s">
        <v>#N/A Requesting Data...</v>
        <stp/>
        <stp>##V3_BDHV12</stp>
        <stp>CL1 Comdty</stp>
        <stp>RSI_9D</stp>
        <stp>19/06/2015</stp>
        <stp>19/06/2015</stp>
        <stp>[Bbg_Market_Data_CL.xlsm]data!R451C12</stp>
        <tr r="L451" s="1"/>
      </tp>
      <tp t="s">
        <v>#N/A Requesting Data...</v>
        <stp/>
        <stp>##V3_BDHV12</stp>
        <stp>CL1 Comdty</stp>
        <stp>RSI_9D</stp>
        <stp>29/05/2015</stp>
        <stp>29/05/2015</stp>
        <stp>[Bbg_Market_Data_CL.xlsm]data!R466C12</stp>
        <tr r="L466" s="1"/>
      </tp>
      <tp t="s">
        <v>#N/A Requesting Data...</v>
        <stp/>
        <stp>##V3_BDHV12</stp>
        <stp>CL2 Comdty</stp>
        <stp>RSI_9D</stp>
        <stp>19/05/2015</stp>
        <stp>19/05/2015</stp>
        <stp>[Bbg_Market_Data_CL.xlsm]data!R473C12</stp>
        <tr r="L473" s="1"/>
      </tp>
      <tp t="s">
        <v>#N/A Requesting Data...</v>
        <stp/>
        <stp>##V3_BDHV12</stp>
        <stp>CL1 Comdty</stp>
        <stp>30DAY_IMPVOL_110.0%MNY_DF</stp>
        <stp>31/05/2016</stp>
        <stp>31/05/2016</stp>
        <stp>[Bbg_Market_Data_CL.xlsm]data!R215C22</stp>
        <tr r="V215" s="1"/>
      </tp>
      <tp t="s">
        <v>#N/A Requesting Data...</v>
        <stp/>
        <stp>##V3_BDHV12</stp>
        <stp>CL1 Comdty</stp>
        <stp>30DAY_IMPVOL_110.0%MNY_DF</stp>
        <stp>01/06/2016</stp>
        <stp>01/06/2016</stp>
        <stp>[Bbg_Market_Data_CL.xlsm]data!R214C22</stp>
        <tr r="V214" s="1"/>
      </tp>
      <tp t="s">
        <v>#N/A Requesting Data...</v>
        <stp/>
        <stp>##V3_BDHV12</stp>
        <stp>CL1 Comdty</stp>
        <stp>30DAY_IMPVOL_110.0%MNY_DF</stp>
        <stp>21/04/2016</stp>
        <stp>21/04/2016</stp>
        <stp>[Bbg_Market_Data_CL.xlsm]data!R242C22</stp>
        <tr r="V242" s="1"/>
      </tp>
      <tp t="s">
        <v>#N/A Requesting Data...</v>
        <stp/>
        <stp>##V3_BDHV12</stp>
        <stp>CL1 Comdty</stp>
        <stp>30DAY_IMPVOL_110.0%MNY_DF</stp>
        <stp>22/07/2016</stp>
        <stp>22/07/2016</stp>
        <stp>[Bbg_Market_Data_CL.xlsm]data!R178C22</stp>
        <tr r="V178" s="1"/>
      </tp>
      <tp t="s">
        <v>#N/A Requesting Data...</v>
        <stp/>
        <stp>##V3_BDHV12</stp>
        <stp>CL1 Comdty</stp>
        <stp>30DAY_IMPVOL_105.0%MNY_DF</stp>
        <stp>24/10/2016</stp>
        <stp>24/10/2016</stp>
        <stp>[Bbg_Market_Data_CL.xlsm]data!R115C19</stp>
        <tr r="S115" s="1"/>
      </tp>
      <tp t="s">
        <v>#N/A Requesting Data...</v>
        <stp/>
        <stp>##V3_BDHV12</stp>
        <stp>CL1 Comdty</stp>
        <stp>30DAY_IMPVOL_100.0%MNY_DF</stp>
        <stp>22/06/2016</stp>
        <stp>22/06/2016</stp>
        <stp>[Bbg_Market_Data_CL.xlsm]data!R199C20</stp>
        <tr r="T199" s="1"/>
      </tp>
      <tp t="s">
        <v>#N/A Requesting Data...</v>
        <stp/>
        <stp>##V3_BDHV12</stp>
        <stp>CL1 Comdty</stp>
        <stp>30DAY_IMPVOL_105.0%MNY_DF</stp>
        <stp>05/10/2015</stp>
        <stp>05/10/2015</stp>
        <stp>[Bbg_Market_Data_CL.xlsm]data!R376C19</stp>
        <tr r="S376" s="1"/>
      </tp>
      <tp t="s">
        <v>#N/A Requesting Data...</v>
        <stp/>
        <stp>##V3_BDHV12</stp>
        <stp>CL1 Comdty</stp>
        <stp>30DAY_IMPVOL_105.0%MNY_DF</stp>
        <stp>22/05/2015</stp>
        <stp>22/05/2015</stp>
        <stp>[Bbg_Market_Data_CL.xlsm]data!R469C19</stp>
        <tr r="S469" s="1"/>
      </tp>
      <tp t="s">
        <v>#N/A Requesting Data...</v>
        <stp/>
        <stp>##V3_BDHV12</stp>
        <stp>CL1 Comdty</stp>
        <stp>30DAY_IMPVOL_105.0%MNY_DF</stp>
        <stp>12/06/2015</stp>
        <stp>12/06/2015</stp>
        <stp>[Bbg_Market_Data_CL.xlsm]data!R455C19</stp>
        <tr r="S455" s="1"/>
      </tp>
      <tp t="s">
        <v>#N/A Requesting Data...</v>
        <stp/>
        <stp>##V3_BDHV12</stp>
        <stp>CL1 Comdty</stp>
        <stp>30DAY_IMPVOL_105.0%MNY_DF</stp>
        <stp>02/07/2015</stp>
        <stp>02/07/2015</stp>
        <stp>[Bbg_Market_Data_CL.xlsm]data!R441C19</stp>
        <tr r="S441" s="1"/>
      </tp>
      <tp t="s">
        <v>#N/A Requesting Data...</v>
        <stp/>
        <stp>##V3_BDHV12</stp>
        <stp>CL1 Comdty</stp>
        <stp>30DAY_IMPVOL_110.0%MNY_DF</stp>
        <stp>10/06/2016</stp>
        <stp>10/06/2016</stp>
        <stp>[Bbg_Market_Data_CL.xlsm]data!R207C22</stp>
        <tr r="V207" s="1"/>
      </tp>
      <tp t="s">
        <v>#N/A Requesting Data...</v>
        <stp/>
        <stp>##V3_BDHV12</stp>
        <stp>CL1 Comdty</stp>
        <stp>30DAY_IMPVOL_105.0%MNY_DF</stp>
        <stp>23/04/2015</stp>
        <stp>23/04/2015</stp>
        <stp>[Bbg_Market_Data_CL.xlsm]data!R490C19</stp>
        <tr r="S490" s="1"/>
      </tp>
      <tp t="s">
        <v>#N/A Requesting Data...</v>
        <stp/>
        <stp>##V3_BDHV12</stp>
        <stp>CL1 Comdty</stp>
        <stp>30DAY_IMPVOL_110.0%MNY_DF</stp>
        <stp>20/05/2016</stp>
        <stp>20/05/2016</stp>
        <stp>[Bbg_Market_Data_CL.xlsm]data!R221C22</stp>
        <tr r="V221" s="1"/>
      </tp>
      <tp t="s">
        <v>#N/A Requesting Data...</v>
        <stp/>
        <stp>##V3_BDHV12</stp>
        <stp>CL1 Comdty</stp>
        <stp>30DAY_IMPVOL_105.0%MNY_DF</stp>
        <stp>26/02/2016</stp>
        <stp>26/02/2016</stp>
        <stp>[Bbg_Market_Data_CL.xlsm]data!R280C19</stp>
        <tr r="S280" s="1"/>
      </tp>
      <tp t="s">
        <v>#N/A Requesting Data...</v>
        <stp/>
        <stp>##V3_BDHV12</stp>
        <stp>CL1 Comdty</stp>
        <stp>30DAY_IMPVOL_100.0%MNY_DF</stp>
        <stp>20/04/2016</stp>
        <stp>20/04/2016</stp>
        <stp>[Bbg_Market_Data_CL.xlsm]data!R243C20</stp>
        <tr r="T243" s="1"/>
      </tp>
      <tp t="s">
        <v>#N/A Requesting Data...</v>
        <stp/>
        <stp>##V3_BDHV12</stp>
        <stp>CL1 Comdty</stp>
        <stp>30DAY_IMPVOL_105.0%MNY_DF</stp>
        <stp>13/07/2015</stp>
        <stp>13/07/2015</stp>
        <stp>[Bbg_Market_Data_CL.xlsm]data!R435C19</stp>
        <tr r="S435" s="1"/>
      </tp>
      <tp t="s">
        <v>#N/A Requesting Data...</v>
        <stp/>
        <stp>##V3_BDHV12</stp>
        <stp>CL1 Comdty</stp>
        <stp>30DAY_IMPVOL_110.0%MNY_DF</stp>
        <stp>23/06/2016</stp>
        <stp>23/06/2016</stp>
        <stp>[Bbg_Market_Data_CL.xlsm]data!R198C22</stp>
        <tr r="V198" s="1"/>
      </tp>
      <tp t="s">
        <v>#N/A Requesting Data...</v>
        <stp/>
        <stp>##V3_BDHV12</stp>
        <stp>CL1 Comdty</stp>
        <stp>30DAY_IMPVOL_105.0%MNY_DF</stp>
        <stp>07/01/2016</stp>
        <stp>07/01/2016</stp>
        <stp>[Bbg_Market_Data_CL.xlsm]data!R313C19</stp>
        <tr r="S313" s="1"/>
      </tp>
      <tp t="s">
        <v>#N/A Requesting Data...</v>
        <stp/>
        <stp>##V3_BDHV12</stp>
        <stp>CL1 Comdty</stp>
        <stp>30DAY_IMPVOL_105.0%MNY_DF</stp>
        <stp>14/10/2015</stp>
        <stp>14/10/2015</stp>
        <stp>[Bbg_Market_Data_CL.xlsm]data!R370C19</stp>
        <tr r="S370" s="1"/>
      </tp>
      <tp t="s">
        <v>#N/A Requesting Data...</v>
        <stp/>
        <stp>##V3_BDHV12</stp>
        <stp>CL1 Comdty</stp>
        <stp>30DAY_IMPVOL_105.0%MNY_DF</stp>
        <stp>03/06/2015</stp>
        <stp>03/06/2015</stp>
        <stp>[Bbg_Market_Data_CL.xlsm]data!R462C19</stp>
        <tr r="S462" s="1"/>
      </tp>
      <tp t="s">
        <v>#N/A Requesting Data...</v>
        <stp/>
        <stp>##V3_BDHV12</stp>
        <stp>CL1 Comdty</stp>
        <stp>30DAY_IMPVOL_105.0%MNY_DF</stp>
        <stp>04/11/2015</stp>
        <stp>04/11/2015</stp>
        <stp>[Bbg_Market_Data_CL.xlsm]data!R355C19</stp>
        <tr r="S355" s="1"/>
      </tp>
      <tp t="s">
        <v>#N/A Requesting Data...</v>
        <stp/>
        <stp>##V3_BDHV12</stp>
        <stp>CL1 Comdty</stp>
        <stp>30DAY_IMPVOL_100.0%MNY_DF</stp>
        <stp>03/05/2016</stp>
        <stp>03/05/2016</stp>
        <stp>[Bbg_Market_Data_CL.xlsm]data!R234C20</stp>
        <tr r="T234" s="1"/>
      </tp>
      <tp t="s">
        <v>#N/A Requesting Data...</v>
        <stp/>
        <stp>##V3_BDHV12</stp>
        <stp>CL1 Comdty</stp>
        <stp>30DAY_IMPVOL_110.0%MNY_DF</stp>
        <stp>13/05/2016</stp>
        <stp>13/05/2016</stp>
        <stp>[Bbg_Market_Data_CL.xlsm]data!R226C22</stp>
        <tr r="V226" s="1"/>
      </tp>
      <tp t="s">
        <v>#N/A Requesting Data...</v>
        <stp/>
        <stp>##V3_BDHV12</stp>
        <stp>CL1 Comdty</stp>
        <stp>30DAY_IMPVOL_105.0%MNY_DF</stp>
        <stp>10/04/2015</stp>
        <stp>10/04/2015</stp>
        <stp>[Bbg_Market_Data_CL.xlsm]data!R499C19</stp>
        <tr r="S499" s="1"/>
      </tp>
      <tp t="s">
        <v>#N/A Requesting Data...</v>
        <stp/>
        <stp>##V3_BDHV12</stp>
        <stp>CL1 Comdty</stp>
        <stp>30DAY_IMPVOL_100.0%MNY_DF</stp>
        <stp>13/04/2016</stp>
        <stp>13/04/2016</stp>
        <stp>[Bbg_Market_Data_CL.xlsm]data!R248C20</stp>
        <tr r="T248" s="1"/>
      </tp>
      <tp t="s">
        <v>#N/A Requesting Data...</v>
        <stp/>
        <stp>##V3_BDHV12</stp>
        <stp>CL1 Comdty</stp>
        <stp>30DAY_IMPVOL_105.0%MNY_DF</stp>
        <stp>20/07/2015</stp>
        <stp>20/07/2015</stp>
        <stp>[Bbg_Market_Data_CL.xlsm]data!R430C19</stp>
        <tr r="S430" s="1"/>
      </tp>
      <tp t="s">
        <v>#N/A Requesting Data...</v>
        <stp/>
        <stp>##V3_BDHV12</stp>
        <stp>CL1 Comdty</stp>
        <stp>30DAY_IMPVOL_105.0%MNY_DF</stp>
        <stp>06/10/2016</stp>
        <stp>06/10/2016</stp>
        <stp>[Bbg_Market_Data_CL.xlsm]data!R126C19</stp>
        <tr r="S126" s="1"/>
      </tp>
      <tp t="s">
        <v>#N/A Requesting Data...</v>
        <stp/>
        <stp>##V3_BDHV12</stp>
        <stp>CL1 Comdty</stp>
        <stp>30DAY_IMPVOL_105.0%MNY_DF</stp>
        <stp>07/12/2015</stp>
        <stp>07/12/2015</stp>
        <stp>[Bbg_Market_Data_CL.xlsm]data!R334C19</stp>
        <tr r="S334" s="1"/>
      </tp>
      <tp t="s">
        <v>#N/A Requesting Data...</v>
        <stp/>
        <stp>##V3_BDHV12</stp>
        <stp>CL1 Comdty</stp>
        <stp>30DAY_IMPVOL_105.0%MNY_DF</stp>
        <stp>27/10/2015</stp>
        <stp>27/10/2015</stp>
        <stp>[Bbg_Market_Data_CL.xlsm]data!R361C19</stp>
        <tr r="S361" s="1"/>
      </tp>
      <tp t="s">
        <v>#N/A Requesting Data...</v>
        <stp/>
        <stp>##V3_BDHV12</stp>
        <stp>CL1 Comdty</stp>
        <stp>30DAY_IMPVOL_105.0%MNY_DF</stp>
        <stp>30/06/2015</stp>
        <stp>30/06/2015</stp>
        <stp>[Bbg_Market_Data_CL.xlsm]data!R443C19</stp>
        <tr r="S443" s="1"/>
      </tp>
      <tp t="s">
        <v>#N/A Requesting Data...</v>
        <stp/>
        <stp>##V3_BDHV12</stp>
        <stp>CL1 Comdty</stp>
        <stp>30DAY_IMPVOL_100.0%MNY_DF</stp>
        <stp>12/05/2016</stp>
        <stp>12/05/2016</stp>
        <stp>[Bbg_Market_Data_CL.xlsm]data!R227C20</stp>
        <tr r="T227" s="1"/>
      </tp>
      <tp t="s">
        <v>#N/A Requesting Data...</v>
        <stp/>
        <stp>##V3_BDHV12</stp>
        <stp>CL1 Comdty</stp>
        <stp>30DAY_IMPVOL_105.0%MNY_DF</stp>
        <stp>04/02/2016</stp>
        <stp>04/02/2016</stp>
        <stp>[Bbg_Market_Data_CL.xlsm]data!R294C19</stp>
        <tr r="S294" s="1"/>
      </tp>
      <tp t="s">
        <v>#N/A Requesting Data...</v>
        <stp/>
        <stp>##V3_BDHV12</stp>
        <stp>CL1 Comdty</stp>
        <stp>30DAY_IMPVOL_110.0%MNY_DF</stp>
        <stp>02/05/2016</stp>
        <stp>02/05/2016</stp>
        <stp>[Bbg_Market_Data_CL.xlsm]data!R235C22</stp>
        <tr r="V235" s="1"/>
      </tp>
      <tp t="s">
        <v>#N/A Requesting Data...</v>
        <stp/>
        <stp>##V3_BDHV12</stp>
        <stp>CL1 Comdty</stp>
        <stp>30DAY_IMPVOL_110.0%MNY_DF</stp>
        <stp>12/04/2016</stp>
        <stp>12/04/2016</stp>
        <stp>[Bbg_Market_Data_CL.xlsm]data!R249C22</stp>
        <tr r="V249" s="1"/>
      </tp>
      <tp t="s">
        <v>#N/A Requesting Data...</v>
        <stp/>
        <stp>##V3_BDHV12</stp>
        <stp>CL1 Comdty</stp>
        <stp>30DAY_IMPVOL_110.0%MNY_DF</stp>
        <stp>11/07/2016</stp>
        <stp>11/07/2016</stp>
        <stp>[Bbg_Market_Data_CL.xlsm]data!R187C22</stp>
        <tr r="V187" s="1"/>
      </tp>
      <tp t="s">
        <v>#N/A Requesting Data...</v>
        <stp/>
        <stp>##V3_BDHV12</stp>
        <stp>CL1 Comdty</stp>
        <stp>30DAY_IMPVOL_105.0%MNY_DF</stp>
        <stp>17/10/2016</stp>
        <stp>17/10/2016</stp>
        <stp>[Bbg_Market_Data_CL.xlsm]data!R120C19</stp>
        <tr r="S120" s="1"/>
      </tp>
      <tp t="s">
        <v>#N/A Requesting Data...</v>
        <stp/>
        <stp>##V3_BDHV12</stp>
        <stp>CL1 Comdty</stp>
        <stp>30DAY_IMPVOL_105.0%MNY_DF</stp>
        <stp>16/12/2015</stp>
        <stp>16/12/2015</stp>
        <stp>[Bbg_Market_Data_CL.xlsm]data!R327C19</stp>
        <tr r="S327" s="1"/>
      </tp>
      <tp t="s">
        <v>#N/A Requesting Data...</v>
        <stp/>
        <stp>##V3_BDHV12</stp>
        <stp>CL1 Comdty</stp>
        <stp>30DAY_IMPVOL_105.0%MNY_DF</stp>
        <stp>31/07/2015</stp>
        <stp>31/07/2015</stp>
        <stp>[Bbg_Market_Data_CL.xlsm]data!R421C19</stp>
        <tr r="S421" s="1"/>
      </tp>
      <tp t="s">
        <v>#N/A Requesting Data...</v>
        <stp/>
        <stp>##V3_BDHV12</stp>
        <stp>CL1 Comdty</stp>
        <stp>30DAY_IMPVOL_105.0%MNY_DF</stp>
        <stp>07/11/2016</stp>
        <stp>07/11/2016</stp>
        <stp>[Bbg_Market_Data_CL.xlsm]data!R105C19</stp>
        <tr r="S105" s="1"/>
      </tp>
      <tp t="s">
        <v>#N/A Requesting Data...</v>
        <stp/>
        <stp>##V3_BDHV12</stp>
        <stp>CL1 Comdty</stp>
        <stp>30DAY_IMPVOL_105.0%MNY_DF</stp>
        <stp>25/01/2016</stp>
        <stp>25/01/2016</stp>
        <stp>[Bbg_Market_Data_CL.xlsm]data!R302C19</stp>
        <tr r="S302" s="1"/>
      </tp>
      <tp t="s">
        <v>#N/A Requesting Data...</v>
        <stp/>
        <stp>##V3_BDHV12</stp>
        <stp>CL1 Comdty</stp>
        <stp>30DAY_IMPVOL_100.0%MNY_DF</stp>
        <stp>01/07/2016</stp>
        <stp>01/07/2016</stp>
        <stp>[Bbg_Market_Data_CL.xlsm]data!R192C20</stp>
        <tr r="T192" s="1"/>
      </tp>
      <tp t="s">
        <v>#N/A Requesting Data...</v>
        <stp/>
        <stp>##V3_BDHV12</stp>
        <stp>CL1 Comdty</stp>
        <stp>30DAY_IMPVOL_105.0%MNY_DF</stp>
        <stp>11/05/2015</stp>
        <stp>11/05/2015</stp>
        <stp>[Bbg_Market_Data_CL.xlsm]data!R478C19</stp>
        <tr r="S478" s="1"/>
      </tp>
      <tp t="s">
        <v>#N/A Requesting Data...</v>
        <stp/>
        <stp>##V3_BDHV12</stp>
        <stp>CL1 Comdty</stp>
        <stp>30DAY_IMPVOL_105.0%MNY_DF</stp>
        <stp>14/03/2016</stp>
        <stp>14/03/2016</stp>
        <stp>[Bbg_Market_Data_CL.xlsm]data!R269C19</stp>
        <tr r="S269" s="1"/>
      </tp>
      <tp t="s">
        <v>#N/A Requesting Data...</v>
        <stp/>
        <stp>##V3_BDHV12</stp>
        <stp>CL1 Comdty</stp>
        <stp>30DAY_IMPVOL_100.0%MNY_DF</stp>
        <stp>07/12/2015</stp>
        <stp>07/12/2015</stp>
        <stp>[Bbg_Market_Data_CL.xlsm]data!R334C20</stp>
        <tr r="T334" s="1"/>
      </tp>
      <tp t="s">
        <v>#N/A Requesting Data...</v>
        <stp/>
        <stp>##V3_BDHV12</stp>
        <stp>CL1 Comdty</stp>
        <stp>30DAY_IMPVOL_100.0%MNY_DF</stp>
        <stp>20/07/2015</stp>
        <stp>20/07/2015</stp>
        <stp>[Bbg_Market_Data_CL.xlsm]data!R430C20</stp>
        <tr r="T430" s="1"/>
      </tp>
      <tp t="s">
        <v>#N/A Requesting Data...</v>
        <stp/>
        <stp>##V3_BDHV12</stp>
        <stp>CL1 Comdty</stp>
        <stp>30DAY_IMPVOL_100.0%MNY_DF</stp>
        <stp>06/10/2016</stp>
        <stp>06/10/2016</stp>
        <stp>[Bbg_Market_Data_CL.xlsm]data!R126C20</stp>
        <tr r="T126" s="1"/>
      </tp>
      <tp t="s">
        <v>#N/A Requesting Data...</v>
        <stp/>
        <stp>##V3_BDHV12</stp>
        <stp>CL1 Comdty</stp>
        <stp>30DAY_IMPVOL_110.0%MNY_DF</stp>
        <stp>30/07/2015</stp>
        <stp>30/07/2015</stp>
        <stp>[Bbg_Market_Data_CL.xlsm]data!R422C22</stp>
        <tr r="V422" s="1"/>
      </tp>
      <tp t="s">
        <v>#N/A Requesting Data...</v>
        <stp/>
        <stp>##V3_BDHV12</stp>
        <stp>CL1 Comdty</stp>
        <stp>30DAY_IMPVOL_110.0%MNY_DF</stp>
        <stp>17/12/2015</stp>
        <stp>17/12/2015</stp>
        <stp>[Bbg_Market_Data_CL.xlsm]data!R326C22</stp>
        <tr r="V326" s="1"/>
      </tp>
      <tp t="s">
        <v>#N/A Requesting Data...</v>
        <stp/>
        <stp>##V3_BDHV12</stp>
        <stp>CL1 Comdty</stp>
        <stp>30DAY_IMPVOL_100.0%MNY_DF</stp>
        <stp>27/10/2015</stp>
        <stp>27/10/2015</stp>
        <stp>[Bbg_Market_Data_CL.xlsm]data!R361C20</stp>
        <tr r="T361" s="1"/>
      </tp>
      <tp t="s">
        <v>#N/A Requesting Data...</v>
        <stp/>
        <stp>##V3_BDHV12</stp>
        <stp>CL1 Comdty</stp>
        <stp>30DAY_IMPVOL_110.0%MNY_DF</stp>
        <stp>27/11/2015</stp>
        <stp>27/11/2015</stp>
        <stp>[Bbg_Market_Data_CL.xlsm]data!R340C22</stp>
        <tr r="V340" s="1"/>
      </tp>
      <tp t="s">
        <v>#N/A Requesting Data...</v>
        <stp/>
        <stp>##V3_BDHV12</stp>
        <stp>CL1 Comdty</stp>
        <stp>30DAY_IMPVOL_100.0%MNY_DF</stp>
        <stp>30/06/2015</stp>
        <stp>30/06/2015</stp>
        <stp>[Bbg_Market_Data_CL.xlsm]data!R443C20</stp>
        <tr r="T443" s="1"/>
      </tp>
      <tp t="s">
        <v>#N/A Requesting Data...</v>
        <stp/>
        <stp>##V3_BDHV12</stp>
        <stp>CL1 Comdty</stp>
        <stp>30DAY_IMPVOL_110.0%MNY_DF</stp>
        <stp>15/03/2016</stp>
        <stp>15/03/2016</stp>
        <stp>[Bbg_Market_Data_CL.xlsm]data!R268C22</stp>
        <tr r="V268" s="1"/>
      </tp>
      <tp t="s">
        <v>#N/A Requesting Data...</v>
        <stp/>
        <stp>##V3_BDHV12</stp>
        <stp>CL1 Comdty</stp>
        <stp>30DAY_IMPVOL_105.0%MNY_DF</stp>
        <stp>03/05/2016</stp>
        <stp>03/05/2016</stp>
        <stp>[Bbg_Market_Data_CL.xlsm]data!R234C19</stp>
        <tr r="S234" s="1"/>
      </tp>
      <tp t="s">
        <v>#N/A Requesting Data...</v>
        <stp/>
        <stp>##V3_BDHV12</stp>
        <stp>CL1 Comdty</stp>
        <stp>30DAY_IMPVOL_110.0%MNY_DF</stp>
        <stp>05/02/2016</stp>
        <stp>05/02/2016</stp>
        <stp>[Bbg_Market_Data_CL.xlsm]data!R293C22</stp>
        <tr r="V293" s="1"/>
      </tp>
      <tp t="s">
        <v>#N/A Requesting Data...</v>
        <stp/>
        <stp>##V3_BDHV12</stp>
        <stp>CL1 Comdty</stp>
        <stp>30DAY_IMPVOL_100.0%MNY_DF</stp>
        <stp>10/04/2015</stp>
        <stp>10/04/2015</stp>
        <stp>[Bbg_Market_Data_CL.xlsm]data!R499C20</stp>
        <tr r="T499" s="1"/>
      </tp>
      <tp t="s">
        <v>#N/A Requesting Data...</v>
        <stp/>
        <stp>##V3_BDHV12</stp>
        <stp>CL1 Comdty</stp>
        <stp>30DAY_IMPVOL_105.0%MNY_DF</stp>
        <stp>13/04/2016</stp>
        <stp>13/04/2016</stp>
        <stp>[Bbg_Market_Data_CL.xlsm]data!R248C19</stp>
        <tr r="S248" s="1"/>
      </tp>
      <tp t="s">
        <v>#N/A Requesting Data...</v>
        <stp/>
        <stp>##V3_BDHV12</stp>
        <stp>CL1 Comdty</stp>
        <stp>30DAY_IMPVOL_100.0%MNY_DF</stp>
        <stp>31/07/2015</stp>
        <stp>31/07/2015</stp>
        <stp>[Bbg_Market_Data_CL.xlsm]data!R421C20</stp>
        <tr r="T421" s="1"/>
      </tp>
      <tp t="s">
        <v>#N/A Requesting Data...</v>
        <stp/>
        <stp>##V3_BDHV12</stp>
        <stp>CL1 Comdty</stp>
        <stp>30DAY_IMPVOL_100.0%MNY_DF</stp>
        <stp>17/10/2016</stp>
        <stp>17/10/2016</stp>
        <stp>[Bbg_Market_Data_CL.xlsm]data!R120C20</stp>
        <tr r="T120" s="1"/>
      </tp>
      <tp t="s">
        <v>#N/A Requesting Data...</v>
        <stp/>
        <stp>##V3_BDHV12</stp>
        <stp>CL1 Comdty</stp>
        <stp>30DAY_IMPVOL_100.0%MNY_DF</stp>
        <stp>16/12/2015</stp>
        <stp>16/12/2015</stp>
        <stp>[Bbg_Market_Data_CL.xlsm]data!R327C20</stp>
        <tr r="T327" s="1"/>
      </tp>
      <tp t="s">
        <v>#N/A Requesting Data...</v>
        <stp/>
        <stp>##V3_BDHV12</stp>
        <stp>CL1 Comdty</stp>
        <stp>30DAY_IMPVOL_100.0%MNY_DF</stp>
        <stp>25/01/2016</stp>
        <stp>25/01/2016</stp>
        <stp>[Bbg_Market_Data_CL.xlsm]data!R302C20</stp>
        <tr r="T302" s="1"/>
      </tp>
      <tp t="s">
        <v>#N/A Requesting Data...</v>
        <stp/>
        <stp>##V3_BDHV12</stp>
        <stp>CL1 Comdty</stp>
        <stp>30DAY_IMPVOL_105.0%MNY_DF</stp>
        <stp>01/07/2016</stp>
        <stp>01/07/2016</stp>
        <stp>[Bbg_Market_Data_CL.xlsm]data!R192C19</stp>
        <tr r="S192" s="1"/>
      </tp>
      <tp t="s">
        <v>#N/A Requesting Data...</v>
        <stp/>
        <stp>##V3_BDHV12</stp>
        <stp>CL1 Comdty</stp>
        <stp>30DAY_IMPVOL_110.0%MNY_DF</stp>
        <stp>21/07/2015</stp>
        <stp>21/07/2015</stp>
        <stp>[Bbg_Market_Data_CL.xlsm]data!R429C22</stp>
        <tr r="V429" s="1"/>
      </tp>
      <tp t="s">
        <v>#N/A Requesting Data...</v>
        <stp/>
        <stp>##V3_BDHV12</stp>
        <stp>CL1 Comdty</stp>
        <stp>30DAY_IMPVOL_100.0%MNY_DF</stp>
        <stp>07/11/2016</stp>
        <stp>07/11/2016</stp>
        <stp>[Bbg_Market_Data_CL.xlsm]data!R105C20</stp>
        <tr r="T105" s="1"/>
      </tp>
      <tp t="s">
        <v>#N/A Requesting Data...</v>
        <stp/>
        <stp>##V3_BDHV12</stp>
        <stp>CL1 Comdty</stp>
        <stp>30DAY_IMPVOL_110.0%MNY_DF</stp>
        <stp>07/10/2016</stp>
        <stp>07/10/2016</stp>
        <stp>[Bbg_Market_Data_CL.xlsm]data!R125C22</stp>
        <tr r="V125" s="1"/>
      </tp>
      <tp t="s">
        <v>#N/A Requesting Data...</v>
        <stp/>
        <stp>##V3_BDHV12</stp>
        <stp>CL1 Comdty</stp>
        <stp>30DAY_IMPVOL_100.0%MNY_DF</stp>
        <stp>14/03/2016</stp>
        <stp>14/03/2016</stp>
        <stp>[Bbg_Market_Data_CL.xlsm]data!R269C20</stp>
        <tr r="T269" s="1"/>
      </tp>
      <tp t="s">
        <v>#N/A Requesting Data...</v>
        <stp/>
        <stp>##V3_BDHV12</stp>
        <stp>CL1 Comdty</stp>
        <stp>30DAY_IMPVOL_100.0%MNY_DF</stp>
        <stp>11/05/2015</stp>
        <stp>11/05/2015</stp>
        <stp>[Bbg_Market_Data_CL.xlsm]data!R478C20</stp>
        <tr r="T478" s="1"/>
      </tp>
      <tp t="s">
        <v>#N/A Requesting Data...</v>
        <stp/>
        <stp>##V3_BDHV12</stp>
        <stp>CL1 Comdty</stp>
        <stp>30DAY_IMPVOL_110.0%MNY_DF</stp>
        <stp>26/10/2015</stp>
        <stp>26/10/2015</stp>
        <stp>[Bbg_Market_Data_CL.xlsm]data!R362C22</stp>
        <tr r="V362" s="1"/>
      </tp>
      <tp t="s">
        <v>#N/A Requesting Data...</v>
        <stp/>
        <stp>##V3_BDHV12</stp>
        <stp>CL1 Comdty</stp>
        <stp>30DAY_IMPVOL_110.0%MNY_DF</stp>
        <stp>04/03/2016</stp>
        <stp>04/03/2016</stp>
        <stp>[Bbg_Market_Data_CL.xlsm]data!R275C22</stp>
        <tr r="V275" s="1"/>
      </tp>
      <tp t="s">
        <v>#N/A Requesting Data...</v>
        <stp/>
        <stp>##V3_BDHV12</stp>
        <stp>CL1 Comdty</stp>
        <stp>30DAY_IMPVOL_110.0%MNY_DF</stp>
        <stp>01/05/2015</stp>
        <stp>01/05/2015</stp>
        <stp>[Bbg_Market_Data_CL.xlsm]data!R484C22</stp>
        <tr r="V484" s="1"/>
      </tp>
      <tp t="s">
        <v>#N/A Requesting Data...</v>
        <stp/>
        <stp>##V3_BDHV12</stp>
        <stp>CL1 Comdty</stp>
        <stp>30DAY_IMPVOL_105.0%MNY_DF</stp>
        <stp>12/05/2016</stp>
        <stp>12/05/2016</stp>
        <stp>[Bbg_Market_Data_CL.xlsm]data!R227C19</stp>
        <tr r="S227" s="1"/>
      </tp>
      <tp t="s">
        <v>#N/A Requesting Data...</v>
        <stp/>
        <stp>##V3_BDHV12</stp>
        <stp>CL1 Comdty</stp>
        <stp>30DAY_IMPVOL_100.0%MNY_DF</stp>
        <stp>04/02/2016</stp>
        <stp>04/02/2016</stp>
        <stp>[Bbg_Market_Data_CL.xlsm]data!R294C20</stp>
        <tr r="T294" s="1"/>
      </tp>
      <tp t="s">
        <v>#N/A Requesting Data...</v>
        <stp/>
        <stp>##V3_BDHV12</stp>
        <stp>CL1 Comdty</stp>
        <stp>30DAY_IMPVOL_110.0%MNY_DF</stp>
        <stp>06/01/2016</stp>
        <stp>06/01/2016</stp>
        <stp>[Bbg_Market_Data_CL.xlsm]data!R314C22</stp>
        <tr r="V314" s="1"/>
      </tp>
      <tp t="s">
        <v>#N/A Requesting Data...</v>
        <stp/>
        <stp>##V3_BDHV12</stp>
        <stp>CL1 Comdty</stp>
        <stp>30DAY_IMPVOL_100.0%MNY_DF</stp>
        <stp>24/10/2016</stp>
        <stp>24/10/2016</stp>
        <stp>[Bbg_Market_Data_CL.xlsm]data!R115C20</stp>
        <tr r="T115" s="1"/>
      </tp>
      <tp t="s">
        <v>#N/A Requesting Data...</v>
        <stp/>
        <stp>##V3_BDHV12</stp>
        <stp>CL1 Comdty</stp>
        <stp>30DAY_IMPVOL_105.0%MNY_DF</stp>
        <stp>22/06/2016</stp>
        <stp>22/06/2016</stp>
        <stp>[Bbg_Market_Data_CL.xlsm]data!R199C19</stp>
        <tr r="S199" s="1"/>
      </tp>
      <tp t="s">
        <v>#N/A Requesting Data...</v>
        <stp/>
        <stp>##V3_BDHV12</stp>
        <stp>CL1 Comdty</stp>
        <stp>30DAY_IMPVOL_110.0%MNY_DF</stp>
        <stp>05/11/2015</stp>
        <stp>05/11/2015</stp>
        <stp>[Bbg_Market_Data_CL.xlsm]data!R354C22</stp>
        <tr r="V354" s="1"/>
      </tp>
      <tp t="s">
        <v>#N/A Requesting Data...</v>
        <stp/>
        <stp>##V3_BDHV12</stp>
        <stp>CL1 Comdty</stp>
        <stp>30DAY_IMPVOL_100.0%MNY_DF</stp>
        <stp>05/10/2015</stp>
        <stp>05/10/2015</stp>
        <stp>[Bbg_Market_Data_CL.xlsm]data!R376C20</stp>
        <tr r="T376" s="1"/>
      </tp>
      <tp t="s">
        <v>#N/A Requesting Data...</v>
        <stp/>
        <stp>##V3_BDHV12</stp>
        <stp>CL1 Comdty</stp>
        <stp>30DAY_IMPVOL_100.0%MNY_DF</stp>
        <stp>22/05/2015</stp>
        <stp>22/05/2015</stp>
        <stp>[Bbg_Market_Data_CL.xlsm]data!R469C20</stp>
        <tr r="T469" s="1"/>
      </tp>
      <tp t="s">
        <v>#N/A Requesting Data...</v>
        <stp/>
        <stp>##V3_BDHV12</stp>
        <stp>CL1 Comdty</stp>
        <stp>30DAY_IMPVOL_110.0%MNY_DF</stp>
        <stp>02/06/2015</stp>
        <stp>02/06/2015</stp>
        <stp>[Bbg_Market_Data_CL.xlsm]data!R463C22</stp>
        <tr r="V463" s="1"/>
      </tp>
      <tp t="s">
        <v>#N/A Requesting Data...</v>
        <stp/>
        <stp>##V3_BDHV12</stp>
        <stp>CL1 Comdty</stp>
        <stp>30DAY_IMPVOL_100.0%MNY_DF</stp>
        <stp>02/07/2015</stp>
        <stp>02/07/2015</stp>
        <stp>[Bbg_Market_Data_CL.xlsm]data!R441C20</stp>
        <tr r="T441" s="1"/>
      </tp>
      <tp t="s">
        <v>#N/A Requesting Data...</v>
        <stp/>
        <stp>##V3_BDHV12</stp>
        <stp>CL1 Comdty</stp>
        <stp>30DAY_IMPVOL_100.0%MNY_DF</stp>
        <stp>12/06/2015</stp>
        <stp>12/06/2015</stp>
        <stp>[Bbg_Market_Data_CL.xlsm]data!R455C20</stp>
        <tr r="T455" s="1"/>
      </tp>
      <tp t="s">
        <v>#N/A Requesting Data...</v>
        <stp/>
        <stp>##V3_BDHV12</stp>
        <stp>CL1 Comdty</stp>
        <stp>30DAY_IMPVOL_110.0%MNY_DF</stp>
        <stp>15/10/2015</stp>
        <stp>15/10/2015</stp>
        <stp>[Bbg_Market_Data_CL.xlsm]data!R369C22</stp>
        <tr r="V369" s="1"/>
      </tp>
      <tp t="s">
        <v>#N/A Requesting Data...</v>
        <stp/>
        <stp>##V3_BDHV12</stp>
        <stp>CL1 Comdty</stp>
        <stp>30DAY_IMPVOL_110.0%MNY_DF</stp>
        <stp>22/04/2015</stp>
        <stp>22/04/2015</stp>
        <stp>[Bbg_Market_Data_CL.xlsm]data!R491C22</stp>
        <tr r="V491" s="1"/>
      </tp>
      <tp t="s">
        <v>#N/A Requesting Data...</v>
        <stp/>
        <stp>##V3_BDHV12</stp>
        <stp>CL1 Comdty</stp>
        <stp>30DAY_IMPVOL_110.0%MNY_DF</stp>
        <stp>25/10/2016</stp>
        <stp>25/10/2016</stp>
        <stp>[Bbg_Market_Data_CL.xlsm]data!R114C22</stp>
        <tr r="V114" s="1"/>
      </tp>
      <tp t="s">
        <v>#N/A Requesting Data...</v>
        <stp/>
        <stp>##V3_BDHV12</stp>
        <stp>CL1 Comdty</stp>
        <stp>30DAY_IMPVOL_100.0%MNY_DF</stp>
        <stp>13/07/2015</stp>
        <stp>13/07/2015</stp>
        <stp>[Bbg_Market_Data_CL.xlsm]data!R435C20</stp>
        <tr r="T435" s="1"/>
      </tp>
      <tp t="s">
        <v>#N/A Requesting Data...</v>
        <stp/>
        <stp>##V3_BDHV12</stp>
        <stp>CL1 Comdty</stp>
        <stp>30DAY_IMPVOL_110.0%MNY_DF</stp>
        <stp>24/12/2015</stp>
        <stp>24/12/2015</stp>
        <stp>[Bbg_Market_Data_CL.xlsm]data!R321C22</stp>
        <tr r="V321" s="1"/>
      </tp>
      <tp t="s">
        <v>#N/A Requesting Data...</v>
        <stp/>
        <stp>##V3_BDHV12</stp>
        <stp>CL1 Comdty</stp>
        <stp>30DAY_IMPVOL_100.0%MNY_DF</stp>
        <stp>07/01/2016</stp>
        <stp>07/01/2016</stp>
        <stp>[Bbg_Market_Data_CL.xlsm]data!R313C20</stp>
        <tr r="T313" s="1"/>
      </tp>
      <tp t="s">
        <v>#N/A Requesting Data...</v>
        <stp/>
        <stp>##V3_BDHV12</stp>
        <stp>CL1 Comdty</stp>
        <stp>30DAY_IMPVOL_100.0%MNY_DF</stp>
        <stp>14/10/2015</stp>
        <stp>14/10/2015</stp>
        <stp>[Bbg_Market_Data_CL.xlsm]data!R370C20</stp>
        <tr r="T370" s="1"/>
      </tp>
      <tp t="s">
        <v>#N/A Requesting Data...</v>
        <stp/>
        <stp>##V3_BDHV12</stp>
        <stp>CL1 Comdty</stp>
        <stp>30DAY_IMPVOL_100.0%MNY_DF</stp>
        <stp>03/06/2015</stp>
        <stp>03/06/2015</stp>
        <stp>[Bbg_Market_Data_CL.xlsm]data!R462C20</stp>
        <tr r="T462" s="1"/>
      </tp>
      <tp t="s">
        <v>#N/A Requesting Data...</v>
        <stp/>
        <stp>##V3_BDHV12</stp>
        <stp>CL1 Comdty</stp>
        <stp>30DAY_IMPVOL_100.0%MNY_DF</stp>
        <stp>04/11/2015</stp>
        <stp>04/11/2015</stp>
        <stp>[Bbg_Market_Data_CL.xlsm]data!R355C20</stp>
        <tr r="T355" s="1"/>
      </tp>
      <tp t="s">
        <v>#N/A Requesting Data...</v>
        <stp/>
        <stp>##V3_BDHV12</stp>
        <stp>CL1 Comdty</stp>
        <stp>30DAY_IMPVOL_100.0%MNY_DF</stp>
        <stp>26/02/2016</stp>
        <stp>26/02/2016</stp>
        <stp>[Bbg_Market_Data_CL.xlsm]data!R280C20</stp>
        <tr r="T280" s="1"/>
      </tp>
      <tp t="s">
        <v>#N/A Requesting Data...</v>
        <stp/>
        <stp>##V3_BDHV12</stp>
        <stp>CL1 Comdty</stp>
        <stp>30DAY_IMPVOL_100.0%MNY_DF</stp>
        <stp>23/04/2015</stp>
        <stp>23/04/2015</stp>
        <stp>[Bbg_Market_Data_CL.xlsm]data!R490C20</stp>
        <tr r="T490" s="1"/>
      </tp>
      <tp t="s">
        <v>#N/A Requesting Data...</v>
        <stp/>
        <stp>##V3_BDHV12</stp>
        <stp>CL1 Comdty</stp>
        <stp>30DAY_IMPVOL_105.0%MNY_DF</stp>
        <stp>20/04/2016</stp>
        <stp>20/04/2016</stp>
        <stp>[Bbg_Market_Data_CL.xlsm]data!R243C19</stp>
        <tr r="S243" s="1"/>
      </tp>
      <tp t="s">
        <v>#N/A Requesting Data...</v>
        <stp/>
        <stp>##V3_BDHV12</stp>
        <stp>CL2 Comdty</stp>
        <stp>RSI_9D</stp>
        <stp>26/08/2015</stp>
        <stp>26/08/2015</stp>
        <stp>[Bbg_Market_Data_CL.xlsm]data!R404C12</stp>
        <tr r="L404" s="1"/>
      </tp>
      <tp t="s">
        <v>#N/A Requesting Data...</v>
        <stp/>
        <stp>##V3_BDHV12</stp>
        <stp>CL1 Comdty</stp>
        <stp>RSI_9D</stp>
        <stp>07/08/2015</stp>
        <stp>07/08/2015</stp>
        <stp>[Bbg_Market_Data_CL.xlsm]data!R417C12</stp>
        <tr r="L417" s="1"/>
      </tp>
      <tp t="s">
        <v>#N/A Requesting Data...</v>
        <stp/>
        <stp>##V3_BDHV12</stp>
        <stp>CL2 Comdty</stp>
        <stp>RSI_9D</stp>
        <stp>04/08/2015</stp>
        <stp>04/08/2015</stp>
        <stp>[Bbg_Market_Data_CL.xlsm]data!R420C12</stp>
        <tr r="L420" s="1"/>
      </tp>
      <tp t="s">
        <v>#N/A Requesting Data...</v>
        <stp/>
        <stp>##V3_BDHV12</stp>
        <stp>CL1 Comdty</stp>
        <stp>RSI_9D</stp>
        <stp>25/08/2015</stp>
        <stp>25/08/2015</stp>
        <stp>[Bbg_Market_Data_CL.xlsm]data!R405C12</stp>
        <tr r="L405" s="1"/>
      </tp>
      <tp t="s">
        <v>#N/A Requesting Data...</v>
        <stp/>
        <stp>##V3_BDHV12</stp>
        <stp>CL1 Comdty</stp>
        <stp>RSI_9D</stp>
        <stp>14/09/2016</stp>
        <stp>14/09/2016</stp>
        <stp>[Bbg_Market_Data_CL.xlsm]data!R143C12</stp>
        <tr r="L143" s="1"/>
      </tp>
      <tp t="s">
        <v>#N/A Requesting Data...</v>
        <stp/>
        <stp>##V3_BDHV12</stp>
        <stp>CL1 Comdty</stp>
        <stp>RSI_9D</stp>
        <stp>04/08/2016</stp>
        <stp>04/08/2016</stp>
        <stp>[Bbg_Market_Data_CL.xlsm]data!R170C12</stp>
        <tr r="L170" s="1"/>
      </tp>
      <tp t="s">
        <v>#N/A Requesting Data...</v>
        <stp/>
        <stp>##V3_BDHV12</stp>
        <stp>CL1 Comdty</stp>
        <stp>RSI_9D</stp>
        <stp>24/09/2015</stp>
        <stp>24/09/2015</stp>
        <stp>[Bbg_Market_Data_CL.xlsm]data!R384C12</stp>
        <tr r="L384" s="1"/>
      </tp>
      <tp t="s">
        <v>#N/A Requesting Data...</v>
        <stp/>
        <stp>##V3_BDHV12</stp>
        <stp>CL2 Comdty</stp>
        <stp>RSI_9D</stp>
        <stp>14/09/2015</stp>
        <stp>14/09/2015</stp>
        <stp>[Bbg_Market_Data_CL.xlsm]data!R392C12</stp>
        <tr r="L392" s="1"/>
      </tp>
      <tp t="s">
        <v>#N/A Requesting Data...</v>
        <stp/>
        <stp>##V3_BDHV12</stp>
        <stp>CL2 Comdty</stp>
        <stp>RSI_9D</stp>
        <stp>25/08/2016</stp>
        <stp>25/08/2016</stp>
        <stp>[Bbg_Market_Data_CL.xlsm]data!R156C12</stp>
        <tr r="L156" s="1"/>
      </tp>
      <tp t="s">
        <v>#N/A Requesting Data...</v>
        <stp/>
        <stp>##V3_BDHV12</stp>
        <stp>CL1 Comdty</stp>
        <stp>RSI_9D</stp>
        <stp>15/08/2016</stp>
        <stp>15/08/2016</stp>
        <stp>[Bbg_Market_Data_CL.xlsm]data!R164C12</stp>
        <tr r="L164" s="1"/>
      </tp>
      <tp t="s">
        <v>#N/A Requesting Data...</v>
        <stp/>
        <stp>##V3_BDHV12</stp>
        <stp>CL1 Comdty</stp>
        <stp>RSI_9D</stp>
        <stp>17/09/2015</stp>
        <stp>17/09/2015</stp>
        <stp>[Bbg_Market_Data_CL.xlsm]data!R389C12</stp>
        <tr r="L389" s="1"/>
      </tp>
      <tp t="s">
        <v>#N/A Requesting Data...</v>
        <stp/>
        <stp>##V3_BDHV12</stp>
        <stp>CL2 Comdty</stp>
        <stp>RSI_9D</stp>
        <stp>06/09/2016</stp>
        <stp>06/09/2016</stp>
        <stp>[Bbg_Market_Data_CL.xlsm]data!R149C12</stp>
        <tr r="L149" s="1"/>
      </tp>
      <tp t="s">
        <v>#N/A Requesting Data...</v>
        <stp/>
        <stp>##V3_BDHV12</stp>
        <stp>CL1 Comdty</stp>
        <stp>RSI_9D</stp>
        <stp>26/08/2016</stp>
        <stp>26/08/2016</stp>
        <stp>[Bbg_Market_Data_CL.xlsm]data!R155C12</stp>
        <tr r="L155" s="1"/>
      </tp>
      <tp t="s">
        <v>#N/A Requesting Data...</v>
        <stp/>
        <stp>##V3_BDHV12</stp>
        <stp>CL2 Comdty</stp>
        <stp>RSI_9D</stp>
        <stp>16/08/2016</stp>
        <stp>16/08/2016</stp>
        <stp>[Bbg_Market_Data_CL.xlsm]data!R163C12</stp>
        <tr r="L163" s="1"/>
      </tp>
      <tp t="s">
        <v>#N/A Requesting Data...</v>
        <stp/>
        <stp>##V3_BDHV12</stp>
        <stp>CL1 Comdty</stp>
        <stp>RSI_9D</stp>
        <stp>27/09/2016</stp>
        <stp>27/09/2016</stp>
        <stp>[Bbg_Market_Data_CL.xlsm]data!R134C12</stp>
        <tr r="L134" s="1"/>
      </tp>
      <tp t="s">
        <v>#N/A Requesting Data...</v>
        <stp/>
        <stp>##V3_BDHV12</stp>
        <stp>CL2 Comdty</stp>
        <stp>RSI_9D</stp>
        <stp>08/07/2016</stp>
        <stp>08/07/2016</stp>
        <stp>[Bbg_Market_Data_CL.xlsm]data!R189C12</stp>
        <tr r="L189" s="1"/>
      </tp>
      <tp t="s">
        <v>#N/A Requesting Data...</v>
        <stp/>
        <stp>##V3_BDHV12</stp>
        <stp>CL1 Comdty</stp>
        <stp>RSI_9D</stp>
        <stp>28/06/2016</stp>
        <stp>28/06/2016</stp>
        <stp>[Bbg_Market_Data_CL.xlsm]data!R196C12</stp>
        <tr r="L196" s="1"/>
      </tp>
      <tp t="s">
        <v>#N/A Requesting Data...</v>
        <stp/>
        <stp>##V3_BDHV12</stp>
        <stp>CL2 Comdty</stp>
        <stp>RSI_9D</stp>
        <stp>19/07/2016</stp>
        <stp>19/07/2016</stp>
        <stp>[Bbg_Market_Data_CL.xlsm]data!R182C12</stp>
        <tr r="L182" s="1"/>
      </tp>
      <tp t="s">
        <v>#N/A Requesting Data...</v>
        <stp/>
        <stp>##V3_BDHV12</stp>
        <stp>CL1 Comdty</stp>
        <stp>RSI_9D</stp>
        <stp>29/07/2016</stp>
        <stp>29/07/2016</stp>
        <stp>[Bbg_Market_Data_CL.xlsm]data!R174C12</stp>
        <tr r="L174" s="1"/>
      </tp>
      <tp t="s">
        <v>#N/A Requesting Data...</v>
        <stp/>
        <stp>##V3_BDHV12</stp>
        <stp>CL2 Comdty</stp>
        <stp>RSI_9D</stp>
        <stp>09/06/2016</stp>
        <stp>09/06/2016</stp>
        <stp>[Bbg_Market_Data_CL.xlsm]data!R209C12</stp>
        <tr r="L209" s="1"/>
      </tp>
      <tp t="s">
        <v>#N/A Requesting Data...</v>
        <stp/>
        <stp>##V3_BDHV12</stp>
        <stp>CL1 Comdty</stp>
        <stp>RSI_9D</stp>
        <stp>09/05/2016</stp>
        <stp>09/05/2016</stp>
        <stp>[Bbg_Market_Data_CL.xlsm]data!R231C12</stp>
        <tr r="L231" s="1"/>
      </tp>
      <tp t="s">
        <v>#N/A Requesting Data...</v>
        <stp/>
        <stp>##V3_BDHV12</stp>
        <stp>CL2 Comdty</stp>
        <stp>RSI_9D</stp>
        <stp>29/04/2016</stp>
        <stp>29/04/2016</stp>
        <stp>[Bbg_Market_Data_CL.xlsm]data!R237C12</stp>
        <tr r="L237" s="1"/>
      </tp>
      <tp t="s">
        <v>#N/A Requesting Data...</v>
        <stp/>
        <stp>##V3_BDHV12</stp>
        <stp>CL1 Comdty</stp>
        <stp>RSI_9D</stp>
        <stp>19/04/2016</stp>
        <stp>19/04/2016</stp>
        <stp>[Bbg_Market_Data_CL.xlsm]data!R245C12</stp>
        <tr r="L245" s="1"/>
      </tp>
      <tp t="s">
        <v>#N/A Requesting Data...</v>
        <stp/>
        <stp>##V3_BDHV12</stp>
        <stp>CL1 Comdty</stp>
        <stp>RSI_9D</stp>
        <stp>18/05/2016</stp>
        <stp>18/05/2016</stp>
        <stp>[Bbg_Market_Data_CL.xlsm]data!R224C12</stp>
        <tr r="L224" s="1"/>
      </tp>
      <tp t="s">
        <v>#N/A Requesting Data...</v>
        <stp/>
        <stp>##V3_BDHV12</stp>
        <stp>CL1 Comdty</stp>
        <stp>RSI_9D</stp>
        <stp>08/04/2016</stp>
        <stp>08/04/2016</stp>
        <stp>[Bbg_Market_Data_CL.xlsm]data!R252C12</stp>
        <tr r="L252" s="1"/>
      </tp>
      <tp t="s">
        <v>#N/A Requesting Data...</v>
        <stp/>
        <stp>##V3_BDHV12</stp>
        <stp>CL1 Comdty</stp>
        <stp>RSI_9D</stp>
        <stp>08/07/2015</stp>
        <stp>08/07/2015</stp>
        <stp>[Bbg_Market_Data_CL.xlsm]data!R439C12</stp>
        <tr r="L439" s="1"/>
      </tp>
      <tp t="s">
        <v>#N/A Requesting Data...</v>
        <stp/>
        <stp>##V3_BDHV12</stp>
        <stp>CL1 Comdty</stp>
        <stp>RSI_9D</stp>
        <stp>18/06/2015</stp>
        <stp>18/06/2015</stp>
        <stp>[Bbg_Market_Data_CL.xlsm]data!R452C12</stp>
        <tr r="L452" s="1"/>
      </tp>
      <tp t="s">
        <v>#N/A Requesting Data...</v>
        <stp/>
        <stp>##V3_BDHV12</stp>
        <stp>CL1 Comdty</stp>
        <stp>RSI_9D</stp>
        <stp>28/05/2015</stp>
        <stp>28/05/2015</stp>
        <stp>[Bbg_Market_Data_CL.xlsm]data!R467C12</stp>
        <tr r="L467" s="1"/>
      </tp>
      <tp t="s">
        <v>#N/A Requesting Data...</v>
        <stp/>
        <stp>##V3_BDHV12</stp>
        <stp>CL2 Comdty</stp>
        <stp>RSI_9D</stp>
        <stp>18/05/2015</stp>
        <stp>18/05/2015</stp>
        <stp>[Bbg_Market_Data_CL.xlsm]data!R474C12</stp>
        <tr r="L474" s="1"/>
      </tp>
      <tp t="s">
        <v>#N/A Requesting Data...</v>
        <stp/>
        <stp>##V3_BDHV12</stp>
        <stp>CL1 Comdty</stp>
        <stp>RSI_9D</stp>
        <stp>29/04/2015</stp>
        <stp>29/04/2015</stp>
        <stp>[Bbg_Market_Data_CL.xlsm]data!R487C12</stp>
        <tr r="L487" s="1"/>
      </tp>
      <tp t="s">
        <v>#N/A Requesting Data...</v>
        <stp/>
        <stp>##V3_BDHV12</stp>
        <stp>CL2 Comdty</stp>
        <stp>RSI_9D</stp>
        <stp>29/07/2015</stp>
        <stp>29/07/2015</stp>
        <stp>[Bbg_Market_Data_CL.xlsm]data!R424C12</stp>
        <tr r="L424" s="1"/>
      </tp>
      <tp t="s">
        <v>#N/A Requesting Data...</v>
        <stp/>
        <stp>##V3_BDHV12</stp>
        <stp>CL1 Comdty</stp>
        <stp>RSI_9D</stp>
        <stp>09/06/2015</stp>
        <stp>09/06/2015</stp>
        <stp>[Bbg_Market_Data_CL.xlsm]data!R459C12</stp>
        <tr r="L459" s="1"/>
      </tp>
      <tp t="s">
        <v>#N/A Requesting Data...</v>
        <stp/>
        <stp>##V3_BDHV12</stp>
        <stp>CL1 Comdty</stp>
        <stp>30DAY_IMPVOL_105.0%MNY_DF</stp>
        <stp>22/04/2015</stp>
        <stp>22/04/2015</stp>
        <stp>[Bbg_Market_Data_CL.xlsm]data!R491C19</stp>
        <tr r="S491" s="1"/>
      </tp>
      <tp t="s">
        <v>#N/A Requesting Data...</v>
        <stp/>
        <stp>##V3_BDHV12</stp>
        <stp>CL1 Comdty</stp>
        <stp>30DAY_IMPVOL_100.0%MNY_DF</stp>
        <stp>31/05/2016</stp>
        <stp>31/05/2016</stp>
        <stp>[Bbg_Market_Data_CL.xlsm]data!R215C20</stp>
        <tr r="T215" s="1"/>
      </tp>
      <tp t="s">
        <v>#N/A Requesting Data...</v>
        <stp/>
        <stp>##V3_BDHV12</stp>
        <stp>CL1 Comdty</stp>
        <stp>30DAY_IMPVOL_100.0%MNY_DF</stp>
        <stp>01/06/2016</stp>
        <stp>01/06/2016</stp>
        <stp>[Bbg_Market_Data_CL.xlsm]data!R214C20</stp>
        <tr r="T214" s="1"/>
      </tp>
      <tp t="s">
        <v>#N/A Requesting Data...</v>
        <stp/>
        <stp>##V3_BDHV12</stp>
        <stp>CL1 Comdty</stp>
        <stp>30DAY_IMPVOL_100.0%MNY_DF</stp>
        <stp>22/07/2016</stp>
        <stp>22/07/2016</stp>
        <stp>[Bbg_Market_Data_CL.xlsm]data!R178C20</stp>
        <tr r="T178" s="1"/>
      </tp>
      <tp t="s">
        <v>#N/A Requesting Data...</v>
        <stp/>
        <stp>##V3_BDHV12</stp>
        <stp>CL1 Comdty</stp>
        <stp>30DAY_IMPVOL_100.0%MNY_DF</stp>
        <stp>21/04/2016</stp>
        <stp>21/04/2016</stp>
        <stp>[Bbg_Market_Data_CL.xlsm]data!R242C20</stp>
        <tr r="T242" s="1"/>
      </tp>
      <tp t="s">
        <v>#N/A Requesting Data...</v>
        <stp/>
        <stp>##V3_BDHV12</stp>
        <stp>CL1 Comdty</stp>
        <stp>30DAY_IMPVOL_110.0%MNY_DF</stp>
        <stp>22/06/2016</stp>
        <stp>22/06/2016</stp>
        <stp>[Bbg_Market_Data_CL.xlsm]data!R199C22</stp>
        <tr r="V199" s="1"/>
      </tp>
      <tp t="s">
        <v>#N/A Requesting Data...</v>
        <stp/>
        <stp>##V3_BDHV12</stp>
        <stp>CL1 Comdty</stp>
        <stp>30DAY_IMPVOL_105.0%MNY_DF</stp>
        <stp>06/01/2016</stp>
        <stp>06/01/2016</stp>
        <stp>[Bbg_Market_Data_CL.xlsm]data!R314C19</stp>
        <tr r="S314" s="1"/>
      </tp>
      <tp t="s">
        <v>#N/A Requesting Data...</v>
        <stp/>
        <stp>##V3_BDHV12</stp>
        <stp>CL1 Comdty</stp>
        <stp>30DAY_IMPVOL_105.0%MNY_DF</stp>
        <stp>15/10/2015</stp>
        <stp>15/10/2015</stp>
        <stp>[Bbg_Market_Data_CL.xlsm]data!R369C19</stp>
        <tr r="S369" s="1"/>
      </tp>
      <tp t="s">
        <v>#N/A Requesting Data...</v>
        <stp/>
        <stp>##V3_BDHV12</stp>
        <stp>CL1 Comdty</stp>
        <stp>30DAY_IMPVOL_105.0%MNY_DF</stp>
        <stp>02/06/2015</stp>
        <stp>02/06/2015</stp>
        <stp>[Bbg_Market_Data_CL.xlsm]data!R463C19</stp>
        <tr r="S463" s="1"/>
      </tp>
      <tp t="s">
        <v>#N/A Requesting Data...</v>
        <stp/>
        <stp>##V3_BDHV12</stp>
        <stp>CL1 Comdty</stp>
        <stp>30DAY_IMPVOL_105.0%MNY_DF</stp>
        <stp>05/11/2015</stp>
        <stp>05/11/2015</stp>
        <stp>[Bbg_Market_Data_CL.xlsm]data!R354C19</stp>
        <tr r="S354" s="1"/>
      </tp>
      <tp t="s">
        <v>#N/A Requesting Data...</v>
        <stp/>
        <stp>##V3_BDHV12</stp>
        <stp>CL1 Comdty</stp>
        <stp>30DAY_IMPVOL_100.0%MNY_DF</stp>
        <stp>20/05/2016</stp>
        <stp>20/05/2016</stp>
        <stp>[Bbg_Market_Data_CL.xlsm]data!R221C20</stp>
        <tr r="T221" s="1"/>
      </tp>
      <tp t="s">
        <v>#N/A Requesting Data...</v>
        <stp/>
        <stp>##V3_BDHV12</stp>
        <stp>CL1 Comdty</stp>
        <stp>30DAY_IMPVOL_100.0%MNY_DF</stp>
        <stp>10/06/2016</stp>
        <stp>10/06/2016</stp>
        <stp>[Bbg_Market_Data_CL.xlsm]data!R207C20</stp>
        <tr r="T207" s="1"/>
      </tp>
      <tp t="s">
        <v>#N/A Requesting Data...</v>
        <stp/>
        <stp>##V3_BDHV12</stp>
        <stp>CL1 Comdty</stp>
        <stp>30DAY_IMPVOL_110.0%MNY_DF</stp>
        <stp>20/04/2016</stp>
        <stp>20/04/2016</stp>
        <stp>[Bbg_Market_Data_CL.xlsm]data!R243C22</stp>
        <tr r="V243" s="1"/>
      </tp>
      <tp t="s">
        <v>#N/A Requesting Data...</v>
        <stp/>
        <stp>##V3_BDHV12</stp>
        <stp>CL1 Comdty</stp>
        <stp>30DAY_IMPVOL_105.0%MNY_DF</stp>
        <stp>24/12/2015</stp>
        <stp>24/12/2015</stp>
        <stp>[Bbg_Market_Data_CL.xlsm]data!R321C19</stp>
        <tr r="S321" s="1"/>
      </tp>
      <tp t="s">
        <v>#N/A Requesting Data...</v>
        <stp/>
        <stp>##V3_BDHV12</stp>
        <stp>CL1 Comdty</stp>
        <stp>30DAY_IMPVOL_105.0%MNY_DF</stp>
        <stp>25/10/2016</stp>
        <stp>25/10/2016</stp>
        <stp>[Bbg_Market_Data_CL.xlsm]data!R114C19</stp>
        <tr r="S114" s="1"/>
      </tp>
      <tp t="s">
        <v>#N/A Requesting Data...</v>
        <stp/>
        <stp>##V3_BDHV12</stp>
        <stp>CL1 Comdty</stp>
        <stp>30DAY_IMPVOL_100.0%MNY_DF</stp>
        <stp>23/06/2016</stp>
        <stp>23/06/2016</stp>
        <stp>[Bbg_Market_Data_CL.xlsm]data!R198C20</stp>
        <tr r="T198" s="1"/>
      </tp>
      <tp t="s">
        <v>#N/A Requesting Data...</v>
        <stp/>
        <stp>##V3_BDHV12</stp>
        <stp>CL1 Comdty</stp>
        <stp>30DAY_IMPVOL_100.0%MNY_DF</stp>
        <stp>13/05/2016</stp>
        <stp>13/05/2016</stp>
        <stp>[Bbg_Market_Data_CL.xlsm]data!R226C20</stp>
        <tr r="T226" s="1"/>
      </tp>
      <tp t="s">
        <v>#N/A Requesting Data...</v>
        <stp/>
        <stp>##V3_BDHV12</stp>
        <stp>CL1 Comdty</stp>
        <stp>30DAY_IMPVOL_105.0%MNY_DF</stp>
        <stp>05/02/2016</stp>
        <stp>05/02/2016</stp>
        <stp>[Bbg_Market_Data_CL.xlsm]data!R293C19</stp>
        <tr r="S293" s="1"/>
      </tp>
      <tp t="s">
        <v>#N/A Requesting Data...</v>
        <stp/>
        <stp>##V3_BDHV12</stp>
        <stp>CL1 Comdty</stp>
        <stp>30DAY_IMPVOL_110.0%MNY_DF</stp>
        <stp>03/05/2016</stp>
        <stp>03/05/2016</stp>
        <stp>[Bbg_Market_Data_CL.xlsm]data!R234C22</stp>
        <tr r="V234" s="1"/>
      </tp>
      <tp t="s">
        <v>#N/A Requesting Data...</v>
        <stp/>
        <stp>##V3_BDHV12</stp>
        <stp>CL1 Comdty</stp>
        <stp>30DAY_IMPVOL_110.0%MNY_DF</stp>
        <stp>13/04/2016</stp>
        <stp>13/04/2016</stp>
        <stp>[Bbg_Market_Data_CL.xlsm]data!R248C22</stp>
        <tr r="V248" s="1"/>
      </tp>
      <tp t="s">
        <v>#N/A Requesting Data...</v>
        <stp/>
        <stp>##V3_BDHV12</stp>
        <stp>CL1 Comdty</stp>
        <stp>30DAY_IMPVOL_105.0%MNY_DF</stp>
        <stp>17/12/2015</stp>
        <stp>17/12/2015</stp>
        <stp>[Bbg_Market_Data_CL.xlsm]data!R326C19</stp>
        <tr r="S326" s="1"/>
      </tp>
      <tp t="s">
        <v>#N/A Requesting Data...</v>
        <stp/>
        <stp>##V3_BDHV12</stp>
        <stp>CL1 Comdty</stp>
        <stp>30DAY_IMPVOL_105.0%MNY_DF</stp>
        <stp>30/07/2015</stp>
        <stp>30/07/2015</stp>
        <stp>[Bbg_Market_Data_CL.xlsm]data!R422C19</stp>
        <tr r="S422" s="1"/>
      </tp>
      <tp t="s">
        <v>#N/A Requesting Data...</v>
        <stp/>
        <stp>##V3_BDHV12</stp>
        <stp>CL1 Comdty</stp>
        <stp>30DAY_IMPVOL_105.0%MNY_DF</stp>
        <stp>15/03/2016</stp>
        <stp>15/03/2016</stp>
        <stp>[Bbg_Market_Data_CL.xlsm]data!R268C19</stp>
        <tr r="S268" s="1"/>
      </tp>
      <tp t="s">
        <v>#N/A Requesting Data...</v>
        <stp/>
        <stp>##V3_BDHV12</stp>
        <stp>CL1 Comdty</stp>
        <stp>30DAY_IMPVOL_105.0%MNY_DF</stp>
        <stp>27/11/2015</stp>
        <stp>27/11/2015</stp>
        <stp>[Bbg_Market_Data_CL.xlsm]data!R340C19</stp>
        <tr r="S340" s="1"/>
      </tp>
      <tp t="s">
        <v>#N/A Requesting Data...</v>
        <stp/>
        <stp>##V3_BDHV12</stp>
        <stp>CL1 Comdty</stp>
        <stp>30DAY_IMPVOL_100.0%MNY_DF</stp>
        <stp>02/05/2016</stp>
        <stp>02/05/2016</stp>
        <stp>[Bbg_Market_Data_CL.xlsm]data!R235C20</stp>
        <tr r="T235" s="1"/>
      </tp>
      <tp t="s">
        <v>#N/A Requesting Data...</v>
        <stp/>
        <stp>##V3_BDHV12</stp>
        <stp>CL1 Comdty</stp>
        <stp>30DAY_IMPVOL_110.0%MNY_DF</stp>
        <stp>12/05/2016</stp>
        <stp>12/05/2016</stp>
        <stp>[Bbg_Market_Data_CL.xlsm]data!R227C22</stp>
        <tr r="V227" s="1"/>
      </tp>
      <tp t="s">
        <v>#N/A Requesting Data...</v>
        <stp/>
        <stp>##V3_BDHV12</stp>
        <stp>CL1 Comdty</stp>
        <stp>30DAY_IMPVOL_105.0%MNY_DF</stp>
        <stp>01/05/2015</stp>
        <stp>01/05/2015</stp>
        <stp>[Bbg_Market_Data_CL.xlsm]data!R484C19</stp>
        <tr r="S484" s="1"/>
      </tp>
      <tp t="s">
        <v>#N/A Requesting Data...</v>
        <stp/>
        <stp>##V3_BDHV12</stp>
        <stp>CL1 Comdty</stp>
        <stp>30DAY_IMPVOL_100.0%MNY_DF</stp>
        <stp>12/04/2016</stp>
        <stp>12/04/2016</stp>
        <stp>[Bbg_Market_Data_CL.xlsm]data!R249C20</stp>
        <tr r="T249" s="1"/>
      </tp>
      <tp t="s">
        <v>#N/A Requesting Data...</v>
        <stp/>
        <stp>##V3_BDHV12</stp>
        <stp>CL1 Comdty</stp>
        <stp>30DAY_IMPVOL_105.0%MNY_DF</stp>
        <stp>07/10/2016</stp>
        <stp>07/10/2016</stp>
        <stp>[Bbg_Market_Data_CL.xlsm]data!R125C19</stp>
        <tr r="S125" s="1"/>
      </tp>
      <tp t="s">
        <v>#N/A Requesting Data...</v>
        <stp/>
        <stp>##V3_BDHV12</stp>
        <stp>CL1 Comdty</stp>
        <stp>30DAY_IMPVOL_110.0%MNY_DF</stp>
        <stp>01/07/2016</stp>
        <stp>01/07/2016</stp>
        <stp>[Bbg_Market_Data_CL.xlsm]data!R192C22</stp>
        <tr r="V192" s="1"/>
      </tp>
      <tp t="s">
        <v>#N/A Requesting Data...</v>
        <stp/>
        <stp>##V3_BDHV12</stp>
        <stp>CL1 Comdty</stp>
        <stp>30DAY_IMPVOL_105.0%MNY_DF</stp>
        <stp>21/07/2015</stp>
        <stp>21/07/2015</stp>
        <stp>[Bbg_Market_Data_CL.xlsm]data!R429C19</stp>
        <tr r="S429" s="1"/>
      </tp>
      <tp t="s">
        <v>#N/A Requesting Data...</v>
        <stp/>
        <stp>##V3_BDHV12</stp>
        <stp>CL1 Comdty</stp>
        <stp>30DAY_IMPVOL_100.0%MNY_DF</stp>
        <stp>11/07/2016</stp>
        <stp>11/07/2016</stp>
        <stp>[Bbg_Market_Data_CL.xlsm]data!R187C20</stp>
        <tr r="T187" s="1"/>
      </tp>
      <tp t="s">
        <v>#N/A Requesting Data...</v>
        <stp/>
        <stp>##V3_BDHV12</stp>
        <stp>CL1 Comdty</stp>
        <stp>30DAY_IMPVOL_105.0%MNY_DF</stp>
        <stp>26/10/2015</stp>
        <stp>26/10/2015</stp>
        <stp>[Bbg_Market_Data_CL.xlsm]data!R362C19</stp>
        <tr r="S362" s="1"/>
      </tp>
      <tp t="s">
        <v>#N/A Requesting Data...</v>
        <stp/>
        <stp>##V3_BDHV12</stp>
        <stp>CL1 Comdty</stp>
        <stp>30DAY_IMPVOL_105.0%MNY_DF</stp>
        <stp>04/03/2016</stp>
        <stp>04/03/2016</stp>
        <stp>[Bbg_Market_Data_CL.xlsm]data!R275C19</stp>
        <tr r="S275" s="1"/>
      </tp>
      <tp t="s">
        <v>#N/A Requesting Data...</v>
        <stp/>
        <stp>##V3_BDHV12</stp>
        <stp>CL1 Comdty</stp>
        <stp>30DAY_IMPVOL_100.0%MNY_DF</stp>
        <stp>30/07/2015</stp>
        <stp>30/07/2015</stp>
        <stp>[Bbg_Market_Data_CL.xlsm]data!R422C20</stp>
        <tr r="T422" s="1"/>
      </tp>
      <tp t="s">
        <v>#N/A Requesting Data...</v>
        <stp/>
        <stp>##V3_BDHV12</stp>
        <stp>CL1 Comdty</stp>
        <stp>30DAY_IMPVOL_100.0%MNY_DF</stp>
        <stp>17/12/2015</stp>
        <stp>17/12/2015</stp>
        <stp>[Bbg_Market_Data_CL.xlsm]data!R326C20</stp>
        <tr r="T326" s="1"/>
      </tp>
      <tp t="s">
        <v>#N/A Requesting Data...</v>
        <stp/>
        <stp>##V3_BDHV12</stp>
        <stp>CL1 Comdty</stp>
        <stp>30DAY_IMPVOL_110.0%MNY_DF</stp>
        <stp>07/12/2015</stp>
        <stp>07/12/2015</stp>
        <stp>[Bbg_Market_Data_CL.xlsm]data!R334C22</stp>
        <tr r="V334" s="1"/>
      </tp>
      <tp t="s">
        <v>#N/A Requesting Data...</v>
        <stp/>
        <stp>##V3_BDHV12</stp>
        <stp>CL1 Comdty</stp>
        <stp>30DAY_IMPVOL_110.0%MNY_DF</stp>
        <stp>20/07/2015</stp>
        <stp>20/07/2015</stp>
        <stp>[Bbg_Market_Data_CL.xlsm]data!R430C22</stp>
        <tr r="V430" s="1"/>
      </tp>
      <tp t="s">
        <v>#N/A Requesting Data...</v>
        <stp/>
        <stp>##V3_BDHV12</stp>
        <stp>CL1 Comdty</stp>
        <stp>30DAY_IMPVOL_110.0%MNY_DF</stp>
        <stp>06/10/2016</stp>
        <stp>06/10/2016</stp>
        <stp>[Bbg_Market_Data_CL.xlsm]data!R126C22</stp>
        <tr r="V126" s="1"/>
      </tp>
      <tp t="s">
        <v>#N/A Requesting Data...</v>
        <stp/>
        <stp>##V3_BDHV12</stp>
        <stp>CL1 Comdty</stp>
        <stp>30DAY_IMPVOL_110.0%MNY_DF</stp>
        <stp>30/06/2015</stp>
        <stp>30/06/2015</stp>
        <stp>[Bbg_Market_Data_CL.xlsm]data!R443C22</stp>
        <tr r="V443" s="1"/>
      </tp>
      <tp t="s">
        <v>#N/A Requesting Data...</v>
        <stp/>
        <stp>##V3_BDHV12</stp>
        <stp>CL1 Comdty</stp>
        <stp>30DAY_IMPVOL_100.0%MNY_DF</stp>
        <stp>15/03/2016</stp>
        <stp>15/03/2016</stp>
        <stp>[Bbg_Market_Data_CL.xlsm]data!R268C20</stp>
        <tr r="T268" s="1"/>
      </tp>
      <tp t="s">
        <v>#N/A Requesting Data...</v>
        <stp/>
        <stp>##V3_BDHV12</stp>
        <stp>CL1 Comdty</stp>
        <stp>30DAY_IMPVOL_100.0%MNY_DF</stp>
        <stp>27/11/2015</stp>
        <stp>27/11/2015</stp>
        <stp>[Bbg_Market_Data_CL.xlsm]data!R340C20</stp>
        <tr r="T340" s="1"/>
      </tp>
      <tp t="s">
        <v>#N/A Requesting Data...</v>
        <stp/>
        <stp>##V3_BDHV12</stp>
        <stp>CL1 Comdty</stp>
        <stp>30DAY_IMPVOL_110.0%MNY_DF</stp>
        <stp>27/10/2015</stp>
        <stp>27/10/2015</stp>
        <stp>[Bbg_Market_Data_CL.xlsm]data!R361C22</stp>
        <tr r="V361" s="1"/>
      </tp>
      <tp t="s">
        <v>#N/A Requesting Data...</v>
        <stp/>
        <stp>##V3_BDHV12</stp>
        <stp>CL1 Comdty</stp>
        <stp>30DAY_IMPVOL_105.0%MNY_DF</stp>
        <stp>13/05/2016</stp>
        <stp>13/05/2016</stp>
        <stp>[Bbg_Market_Data_CL.xlsm]data!R226C19</stp>
        <tr r="S226" s="1"/>
      </tp>
      <tp t="s">
        <v>#N/A Requesting Data...</v>
        <stp/>
        <stp>##V3_BDHV12</stp>
        <stp>CL1 Comdty</stp>
        <stp>30DAY_IMPVOL_110.0%MNY_DF</stp>
        <stp>10/04/2015</stp>
        <stp>10/04/2015</stp>
        <stp>[Bbg_Market_Data_CL.xlsm]data!R499C22</stp>
        <tr r="V499" s="1"/>
      </tp>
      <tp t="s">
        <v>#N/A Requesting Data...</v>
        <stp/>
        <stp>##V3_BDHV12</stp>
        <stp>CL1 Comdty</stp>
        <stp>30DAY_IMPVOL_100.0%MNY_DF</stp>
        <stp>05/02/2016</stp>
        <stp>05/02/2016</stp>
        <stp>[Bbg_Market_Data_CL.xlsm]data!R293C20</stp>
        <tr r="T293" s="1"/>
      </tp>
      <tp t="s">
        <v>#N/A Requesting Data...</v>
        <stp/>
        <stp>##V3_BDHV12</stp>
        <stp>CL1 Comdty</stp>
        <stp>30DAY_IMPVOL_110.0%MNY_DF</stp>
        <stp>25/01/2016</stp>
        <stp>25/01/2016</stp>
        <stp>[Bbg_Market_Data_CL.xlsm]data!R302C22</stp>
        <tr r="V302" s="1"/>
      </tp>
      <tp t="s">
        <v>#N/A Requesting Data...</v>
        <stp/>
        <stp>##V3_BDHV12</stp>
        <stp>CL1 Comdty</stp>
        <stp>30DAY_IMPVOL_100.0%MNY_DF</stp>
        <stp>21/07/2015</stp>
        <stp>21/07/2015</stp>
        <stp>[Bbg_Market_Data_CL.xlsm]data!R429C20</stp>
        <tr r="T429" s="1"/>
      </tp>
      <tp t="s">
        <v>#N/A Requesting Data...</v>
        <stp/>
        <stp>##V3_BDHV12</stp>
        <stp>CL1 Comdty</stp>
        <stp>30DAY_IMPVOL_110.0%MNY_DF</stp>
        <stp>07/11/2016</stp>
        <stp>07/11/2016</stp>
        <stp>[Bbg_Market_Data_CL.xlsm]data!R105C22</stp>
        <tr r="V105" s="1"/>
      </tp>
      <tp t="s">
        <v>#N/A Requesting Data...</v>
        <stp/>
        <stp>##V3_BDHV12</stp>
        <stp>CL1 Comdty</stp>
        <stp>30DAY_IMPVOL_100.0%MNY_DF</stp>
        <stp>07/10/2016</stp>
        <stp>07/10/2016</stp>
        <stp>[Bbg_Market_Data_CL.xlsm]data!R125C20</stp>
        <tr r="T125" s="1"/>
      </tp>
      <tp t="s">
        <v>#N/A Requesting Data...</v>
        <stp/>
        <stp>##V3_BDHV12</stp>
        <stp>CL1 Comdty</stp>
        <stp>30DAY_IMPVOL_110.0%MNY_DF</stp>
        <stp>31/07/2015</stp>
        <stp>31/07/2015</stp>
        <stp>[Bbg_Market_Data_CL.xlsm]data!R421C22</stp>
        <tr r="V421" s="1"/>
      </tp>
      <tp t="s">
        <v>#N/A Requesting Data...</v>
        <stp/>
        <stp>##V3_BDHV12</stp>
        <stp>CL1 Comdty</stp>
        <stp>30DAY_IMPVOL_105.0%MNY_DF</stp>
        <stp>11/07/2016</stp>
        <stp>11/07/2016</stp>
        <stp>[Bbg_Market_Data_CL.xlsm]data!R187C19</stp>
        <tr r="S187" s="1"/>
      </tp>
      <tp t="s">
        <v>#N/A Requesting Data...</v>
        <stp/>
        <stp>##V3_BDHV12</stp>
        <stp>CL1 Comdty</stp>
        <stp>30DAY_IMPVOL_110.0%MNY_DF</stp>
        <stp>17/10/2016</stp>
        <stp>17/10/2016</stp>
        <stp>[Bbg_Market_Data_CL.xlsm]data!R120C22</stp>
        <tr r="V120" s="1"/>
      </tp>
      <tp t="s">
        <v>#N/A Requesting Data...</v>
        <stp/>
        <stp>##V3_BDHV12</stp>
        <stp>CL1 Comdty</stp>
        <stp>30DAY_IMPVOL_110.0%MNY_DF</stp>
        <stp>16/12/2015</stp>
        <stp>16/12/2015</stp>
        <stp>[Bbg_Market_Data_CL.xlsm]data!R327C22</stp>
        <tr r="V327" s="1"/>
      </tp>
      <tp t="s">
        <v>#N/A Requesting Data...</v>
        <stp/>
        <stp>##V3_BDHV12</stp>
        <stp>CL1 Comdty</stp>
        <stp>30DAY_IMPVOL_100.0%MNY_DF</stp>
        <stp>26/10/2015</stp>
        <stp>26/10/2015</stp>
        <stp>[Bbg_Market_Data_CL.xlsm]data!R362C20</stp>
        <tr r="T362" s="1"/>
      </tp>
      <tp t="s">
        <v>#N/A Requesting Data...</v>
        <stp/>
        <stp>##V3_BDHV12</stp>
        <stp>CL1 Comdty</stp>
        <stp>30DAY_IMPVOL_100.0%MNY_DF</stp>
        <stp>04/03/2016</stp>
        <stp>04/03/2016</stp>
        <stp>[Bbg_Market_Data_CL.xlsm]data!R275C20</stp>
        <tr r="T275" s="1"/>
      </tp>
      <tp t="s">
        <v>#N/A Requesting Data...</v>
        <stp/>
        <stp>##V3_BDHV12</stp>
        <stp>CL1 Comdty</stp>
        <stp>30DAY_IMPVOL_110.0%MNY_DF</stp>
        <stp>14/03/2016</stp>
        <stp>14/03/2016</stp>
        <stp>[Bbg_Market_Data_CL.xlsm]data!R269C22</stp>
        <tr r="V269" s="1"/>
      </tp>
      <tp t="s">
        <v>#N/A Requesting Data...</v>
        <stp/>
        <stp>##V3_BDHV12</stp>
        <stp>CL1 Comdty</stp>
        <stp>30DAY_IMPVOL_110.0%MNY_DF</stp>
        <stp>11/05/2015</stp>
        <stp>11/05/2015</stp>
        <stp>[Bbg_Market_Data_CL.xlsm]data!R478C22</stp>
        <tr r="V478" s="1"/>
      </tp>
      <tp t="s">
        <v>#N/A Requesting Data...</v>
        <stp/>
        <stp>##V3_BDHV12</stp>
        <stp>CL1 Comdty</stp>
        <stp>30DAY_IMPVOL_105.0%MNY_DF</stp>
        <stp>02/05/2016</stp>
        <stp>02/05/2016</stp>
        <stp>[Bbg_Market_Data_CL.xlsm]data!R235C19</stp>
        <tr r="S235" s="1"/>
      </tp>
      <tp t="s">
        <v>#N/A Requesting Data...</v>
        <stp/>
        <stp>##V3_BDHV12</stp>
        <stp>CL1 Comdty</stp>
        <stp>30DAY_IMPVOL_110.0%MNY_DF</stp>
        <stp>04/02/2016</stp>
        <stp>04/02/2016</stp>
        <stp>[Bbg_Market_Data_CL.xlsm]data!R294C22</stp>
        <tr r="V294" s="1"/>
      </tp>
      <tp t="s">
        <v>#N/A Requesting Data...</v>
        <stp/>
        <stp>##V3_BDHV12</stp>
        <stp>CL1 Comdty</stp>
        <stp>30DAY_IMPVOL_100.0%MNY_DF</stp>
        <stp>01/05/2015</stp>
        <stp>01/05/2015</stp>
        <stp>[Bbg_Market_Data_CL.xlsm]data!R484C20</stp>
        <tr r="T484" s="1"/>
      </tp>
      <tp t="s">
        <v>#N/A Requesting Data...</v>
        <stp/>
        <stp>##V3_BDHV12</stp>
        <stp>CL1 Comdty</stp>
        <stp>30DAY_IMPVOL_105.0%MNY_DF</stp>
        <stp>12/04/2016</stp>
        <stp>12/04/2016</stp>
        <stp>[Bbg_Market_Data_CL.xlsm]data!R249C19</stp>
        <tr r="S249" s="1"/>
      </tp>
      <tp t="s">
        <v>#N/A Requesting Data...</v>
        <stp/>
        <stp>##V3_BDHV12</stp>
        <stp>CL1 Comdty</stp>
        <stp>30DAY_IMPVOL_110.0%MNY_DF</stp>
        <stp>24/10/2016</stp>
        <stp>24/10/2016</stp>
        <stp>[Bbg_Market_Data_CL.xlsm]data!R115C22</stp>
        <tr r="V115" s="1"/>
      </tp>
      <tp t="s">
        <v>#N/A Requesting Data...</v>
        <stp/>
        <stp>##V3_BDHV12</stp>
        <stp>CL1 Comdty</stp>
        <stp>30DAY_IMPVOL_100.0%MNY_DF</stp>
        <stp>06/01/2016</stp>
        <stp>06/01/2016</stp>
        <stp>[Bbg_Market_Data_CL.xlsm]data!R314C20</stp>
        <tr r="T314" s="1"/>
      </tp>
      <tp t="s">
        <v>#N/A Requesting Data...</v>
        <stp/>
        <stp>##V3_BDHV12</stp>
        <stp>CL1 Comdty</stp>
        <stp>30DAY_IMPVOL_100.0%MNY_DF</stp>
        <stp>02/06/2015</stp>
        <stp>02/06/2015</stp>
        <stp>[Bbg_Market_Data_CL.xlsm]data!R463C20</stp>
        <tr r="T463" s="1"/>
      </tp>
      <tp t="s">
        <v>#N/A Requesting Data...</v>
        <stp/>
        <stp>##V3_BDHV12</stp>
        <stp>CL1 Comdty</stp>
        <stp>30DAY_IMPVOL_110.0%MNY_DF</stp>
        <stp>02/07/2015</stp>
        <stp>02/07/2015</stp>
        <stp>[Bbg_Market_Data_CL.xlsm]data!R441C22</stp>
        <tr r="V441" s="1"/>
      </tp>
      <tp t="s">
        <v>#N/A Requesting Data...</v>
        <stp/>
        <stp>##V3_BDHV12</stp>
        <stp>CL1 Comdty</stp>
        <stp>30DAY_IMPVOL_110.0%MNY_DF</stp>
        <stp>12/06/2015</stp>
        <stp>12/06/2015</stp>
        <stp>[Bbg_Market_Data_CL.xlsm]data!R455C22</stp>
        <tr r="V455" s="1"/>
      </tp>
      <tp t="s">
        <v>#N/A Requesting Data...</v>
        <stp/>
        <stp>##V3_BDHV12</stp>
        <stp>CL1 Comdty</stp>
        <stp>30DAY_IMPVOL_100.0%MNY_DF</stp>
        <stp>15/10/2015</stp>
        <stp>15/10/2015</stp>
        <stp>[Bbg_Market_Data_CL.xlsm]data!R369C20</stp>
        <tr r="T369" s="1"/>
      </tp>
      <tp t="s">
        <v>#N/A Requesting Data...</v>
        <stp/>
        <stp>##V3_BDHV12</stp>
        <stp>CL1 Comdty</stp>
        <stp>30DAY_IMPVOL_100.0%MNY_DF</stp>
        <stp>05/11/2015</stp>
        <stp>05/11/2015</stp>
        <stp>[Bbg_Market_Data_CL.xlsm]data!R354C20</stp>
        <tr r="T354" s="1"/>
      </tp>
      <tp t="s">
        <v>#N/A Requesting Data...</v>
        <stp/>
        <stp>##V3_BDHV12</stp>
        <stp>CL1 Comdty</stp>
        <stp>30DAY_IMPVOL_110.0%MNY_DF</stp>
        <stp>05/10/2015</stp>
        <stp>05/10/2015</stp>
        <stp>[Bbg_Market_Data_CL.xlsm]data!R376C22</stp>
        <tr r="V376" s="1"/>
      </tp>
      <tp t="s">
        <v>#N/A Requesting Data...</v>
        <stp/>
        <stp>##V3_BDHV12</stp>
        <stp>CL1 Comdty</stp>
        <stp>30DAY_IMPVOL_110.0%MNY_DF</stp>
        <stp>22/05/2015</stp>
        <stp>22/05/2015</stp>
        <stp>[Bbg_Market_Data_CL.xlsm]data!R469C22</stp>
        <tr r="V469" s="1"/>
      </tp>
      <tp t="s">
        <v>#N/A Requesting Data...</v>
        <stp/>
        <stp>##V3_BDHV12</stp>
        <stp>CL1 Comdty</stp>
        <stp>30DAY_IMPVOL_105.0%MNY_DF</stp>
        <stp>31/05/2016</stp>
        <stp>31/05/2016</stp>
        <stp>[Bbg_Market_Data_CL.xlsm]data!R215C19</stp>
        <tr r="S215" s="1"/>
      </tp>
      <tp t="s">
        <v>#N/A Requesting Data...</v>
        <stp/>
        <stp>##V3_BDHV12</stp>
        <stp>CL1 Comdty</stp>
        <stp>30DAY_IMPVOL_105.0%MNY_DF</stp>
        <stp>01/06/2016</stp>
        <stp>01/06/2016</stp>
        <stp>[Bbg_Market_Data_CL.xlsm]data!R214C19</stp>
        <tr r="S214" s="1"/>
      </tp>
      <tp t="s">
        <v>#N/A Requesting Data...</v>
        <stp/>
        <stp>##V3_BDHV12</stp>
        <stp>CL1 Comdty</stp>
        <stp>30DAY_IMPVOL_100.0%MNY_DF</stp>
        <stp>22/04/2015</stp>
        <stp>22/04/2015</stp>
        <stp>[Bbg_Market_Data_CL.xlsm]data!R491C20</stp>
        <tr r="T491" s="1"/>
      </tp>
      <tp t="s">
        <v>#N/A Requesting Data...</v>
        <stp/>
        <stp>##V3_BDHV12</stp>
        <stp>CL1 Comdty</stp>
        <stp>30DAY_IMPVOL_105.0%MNY_DF</stp>
        <stp>22/07/2016</stp>
        <stp>22/07/2016</stp>
        <stp>[Bbg_Market_Data_CL.xlsm]data!R178C19</stp>
        <tr r="S178" s="1"/>
      </tp>
      <tp t="s">
        <v>#N/A Requesting Data...</v>
        <stp/>
        <stp>##V3_BDHV12</stp>
        <stp>CL1 Comdty</stp>
        <stp>30DAY_IMPVOL_105.0%MNY_DF</stp>
        <stp>21/04/2016</stp>
        <stp>21/04/2016</stp>
        <stp>[Bbg_Market_Data_CL.xlsm]data!R242C19</stp>
        <tr r="S242" s="1"/>
      </tp>
      <tp t="s">
        <v>#N/A Requesting Data...</v>
        <stp/>
        <stp>##V3_BDHV12</stp>
        <stp>CL1 Comdty</stp>
        <stp>30DAY_IMPVOL_100.0%MNY_DF</stp>
        <stp>24/12/2015</stp>
        <stp>24/12/2015</stp>
        <stp>[Bbg_Market_Data_CL.xlsm]data!R321C20</stp>
        <tr r="T321" s="1"/>
      </tp>
      <tp t="s">
        <v>#N/A Requesting Data...</v>
        <stp/>
        <stp>##V3_BDHV12</stp>
        <stp>CL1 Comdty</stp>
        <stp>30DAY_IMPVOL_110.0%MNY_DF</stp>
        <stp>07/01/2016</stp>
        <stp>07/01/2016</stp>
        <stp>[Bbg_Market_Data_CL.xlsm]data!R313C22</stp>
        <tr r="V313" s="1"/>
      </tp>
      <tp t="s">
        <v>#N/A Requesting Data...</v>
        <stp/>
        <stp>##V3_BDHV12</stp>
        <stp>CL1 Comdty</stp>
        <stp>30DAY_IMPVOL_100.0%MNY_DF</stp>
        <stp>25/10/2016</stp>
        <stp>25/10/2016</stp>
        <stp>[Bbg_Market_Data_CL.xlsm]data!R114C20</stp>
        <tr r="T114" s="1"/>
      </tp>
      <tp t="s">
        <v>#N/A Requesting Data...</v>
        <stp/>
        <stp>##V3_BDHV12</stp>
        <stp>CL1 Comdty</stp>
        <stp>30DAY_IMPVOL_105.0%MNY_DF</stp>
        <stp>23/06/2016</stp>
        <stp>23/06/2016</stp>
        <stp>[Bbg_Market_Data_CL.xlsm]data!R198C19</stp>
        <tr r="S198" s="1"/>
      </tp>
      <tp t="s">
        <v>#N/A Requesting Data...</v>
        <stp/>
        <stp>##V3_BDHV12</stp>
        <stp>CL1 Comdty</stp>
        <stp>30DAY_IMPVOL_110.0%MNY_DF</stp>
        <stp>13/07/2015</stp>
        <stp>13/07/2015</stp>
        <stp>[Bbg_Market_Data_CL.xlsm]data!R435C22</stp>
        <tr r="V435" s="1"/>
      </tp>
      <tp t="s">
        <v>#N/A Requesting Data...</v>
        <stp/>
        <stp>##V3_BDHV12</stp>
        <stp>CL1 Comdty</stp>
        <stp>30DAY_IMPVOL_110.0%MNY_DF</stp>
        <stp>04/11/2015</stp>
        <stp>04/11/2015</stp>
        <stp>[Bbg_Market_Data_CL.xlsm]data!R355C22</stp>
        <tr r="V355" s="1"/>
      </tp>
      <tp t="s">
        <v>#N/A Requesting Data...</v>
        <stp/>
        <stp>##V3_BDHV12</stp>
        <stp>CL1 Comdty</stp>
        <stp>30DAY_IMPVOL_110.0%MNY_DF</stp>
        <stp>14/10/2015</stp>
        <stp>14/10/2015</stp>
        <stp>[Bbg_Market_Data_CL.xlsm]data!R370C22</stp>
        <tr r="V370" s="1"/>
      </tp>
      <tp t="s">
        <v>#N/A Requesting Data...</v>
        <stp/>
        <stp>##V3_BDHV12</stp>
        <stp>CL1 Comdty</stp>
        <stp>30DAY_IMPVOL_110.0%MNY_DF</stp>
        <stp>03/06/2015</stp>
        <stp>03/06/2015</stp>
        <stp>[Bbg_Market_Data_CL.xlsm]data!R462C22</stp>
        <tr r="V462" s="1"/>
      </tp>
      <tp t="s">
        <v>#N/A Requesting Data...</v>
        <stp/>
        <stp>##V3_BDHV12</stp>
        <stp>CL1 Comdty</stp>
        <stp>30DAY_IMPVOL_110.0%MNY_DF</stp>
        <stp>26/02/2016</stp>
        <stp>26/02/2016</stp>
        <stp>[Bbg_Market_Data_CL.xlsm]data!R280C22</stp>
        <tr r="V280" s="1"/>
      </tp>
      <tp t="s">
        <v>#N/A Requesting Data...</v>
        <stp/>
        <stp>##V3_BDHV12</stp>
        <stp>CL1 Comdty</stp>
        <stp>30DAY_IMPVOL_105.0%MNY_DF</stp>
        <stp>20/05/2016</stp>
        <stp>20/05/2016</stp>
        <stp>[Bbg_Market_Data_CL.xlsm]data!R221C19</stp>
        <tr r="S221" s="1"/>
      </tp>
      <tp t="s">
        <v>#N/A Requesting Data...</v>
        <stp/>
        <stp>##V3_BDHV12</stp>
        <stp>CL1 Comdty</stp>
        <stp>30DAY_IMPVOL_110.0%MNY_DF</stp>
        <stp>23/04/2015</stp>
        <stp>23/04/2015</stp>
        <stp>[Bbg_Market_Data_CL.xlsm]data!R490C22</stp>
        <tr r="V490" s="1"/>
      </tp>
      <tp t="s">
        <v>#N/A Requesting Data...</v>
        <stp/>
        <stp>##V3_BDHV12</stp>
        <stp>CL1 Comdty</stp>
        <stp>30DAY_IMPVOL_105.0%MNY_DF</stp>
        <stp>10/06/2016</stp>
        <stp>10/06/2016</stp>
        <stp>[Bbg_Market_Data_CL.xlsm]data!R207C19</stp>
        <tr r="S207" s="1"/>
      </tp>
      <tp t="s">
        <v>#N/A Requesting Data...</v>
        <stp/>
        <stp>##V3_BDHV12</stp>
        <stp>CL1 Comdty</stp>
        <stp>RSI_9D</stp>
        <stp>26/08/2015</stp>
        <stp>26/08/2015</stp>
        <stp>[Bbg_Market_Data_CL.xlsm]data!R404C12</stp>
        <tr r="L404" s="1"/>
      </tp>
      <tp t="s">
        <v>#N/A Requesting Data...</v>
        <stp/>
        <stp>##V3_BDHV12</stp>
        <stp>CL2 Comdty</stp>
        <stp>RSI_9D</stp>
        <stp>07/08/2015</stp>
        <stp>07/08/2015</stp>
        <stp>[Bbg_Market_Data_CL.xlsm]data!R417C12</stp>
        <tr r="L417" s="1"/>
      </tp>
      <tp t="s">
        <v>#N/A Requesting Data...</v>
        <stp/>
        <stp>##V3_BDHV12</stp>
        <stp>CL1 Comdty</stp>
        <stp>RSI_9D</stp>
        <stp>04/08/2015</stp>
        <stp>04/08/2015</stp>
        <stp>[Bbg_Market_Data_CL.xlsm]data!R420C12</stp>
        <tr r="L420" s="1"/>
      </tp>
      <tp t="s">
        <v>#N/A Requesting Data...</v>
        <stp/>
        <stp>##V3_BDHV12</stp>
        <stp>CL2 Comdty</stp>
        <stp>RSI_9D</stp>
        <stp>25/08/2015</stp>
        <stp>25/08/2015</stp>
        <stp>[Bbg_Market_Data_CL.xlsm]data!R405C12</stp>
        <tr r="L405" s="1"/>
      </tp>
      <tp t="s">
        <v>#N/A Requesting Data...</v>
        <stp/>
        <stp>##V3_BDHV12</stp>
        <stp>CL2 Comdty</stp>
        <stp>RSI_9D</stp>
        <stp>14/09/2016</stp>
        <stp>14/09/2016</stp>
        <stp>[Bbg_Market_Data_CL.xlsm]data!R143C12</stp>
        <tr r="L143" s="1"/>
      </tp>
      <tp t="s">
        <v>#N/A Requesting Data...</v>
        <stp/>
        <stp>##V3_BDHV12</stp>
        <stp>CL2 Comdty</stp>
        <stp>RSI_9D</stp>
        <stp>04/08/2016</stp>
        <stp>04/08/2016</stp>
        <stp>[Bbg_Market_Data_CL.xlsm]data!R170C12</stp>
        <tr r="L170" s="1"/>
      </tp>
      <tp t="s">
        <v>#N/A Requesting Data...</v>
        <stp/>
        <stp>##V3_BDHV12</stp>
        <stp>CL2 Comdty</stp>
        <stp>RSI_9D</stp>
        <stp>24/09/2015</stp>
        <stp>24/09/2015</stp>
        <stp>[Bbg_Market_Data_CL.xlsm]data!R384C12</stp>
        <tr r="L384" s="1"/>
      </tp>
      <tp t="s">
        <v>#N/A Requesting Data...</v>
        <stp/>
        <stp>##V3_BDHV12</stp>
        <stp>CL1 Comdty</stp>
        <stp>RSI_9D</stp>
        <stp>14/09/2015</stp>
        <stp>14/09/2015</stp>
        <stp>[Bbg_Market_Data_CL.xlsm]data!R392C12</stp>
        <tr r="L392" s="1"/>
      </tp>
      <tp t="s">
        <v>#N/A Requesting Data...</v>
        <stp/>
        <stp>##V3_BDHV12</stp>
        <stp>CL1 Comdty</stp>
        <stp>RSI_9D</stp>
        <stp>25/08/2016</stp>
        <stp>25/08/2016</stp>
        <stp>[Bbg_Market_Data_CL.xlsm]data!R156C12</stp>
        <tr r="L156" s="1"/>
      </tp>
      <tp t="s">
        <v>#N/A Requesting Data...</v>
        <stp/>
        <stp>##V3_BDHV12</stp>
        <stp>CL2 Comdty</stp>
        <stp>RSI_9D</stp>
        <stp>15/08/2016</stp>
        <stp>15/08/2016</stp>
        <stp>[Bbg_Market_Data_CL.xlsm]data!R164C12</stp>
        <tr r="L164" s="1"/>
      </tp>
      <tp t="s">
        <v>#N/A Requesting Data...</v>
        <stp/>
        <stp>##V3_BDHV12</stp>
        <stp>CL2 Comdty</stp>
        <stp>RSI_9D</stp>
        <stp>17/09/2015</stp>
        <stp>17/09/2015</stp>
        <stp>[Bbg_Market_Data_CL.xlsm]data!R389C12</stp>
        <tr r="L389" s="1"/>
      </tp>
      <tp t="s">
        <v>#N/A Requesting Data...</v>
        <stp/>
        <stp>##V3_BDHV12</stp>
        <stp>CL1 Comdty</stp>
        <stp>RSI_9D</stp>
        <stp>06/09/2016</stp>
        <stp>06/09/2016</stp>
        <stp>[Bbg_Market_Data_CL.xlsm]data!R149C12</stp>
        <tr r="L149" s="1"/>
      </tp>
      <tp t="s">
        <v>#N/A Requesting Data...</v>
        <stp/>
        <stp>##V3_BDHV12</stp>
        <stp>CL2 Comdty</stp>
        <stp>RSI_9D</stp>
        <stp>26/08/2016</stp>
        <stp>26/08/2016</stp>
        <stp>[Bbg_Market_Data_CL.xlsm]data!R155C12</stp>
        <tr r="L155" s="1"/>
      </tp>
      <tp t="s">
        <v>#N/A Requesting Data...</v>
        <stp/>
        <stp>##V3_BDHV12</stp>
        <stp>CL1 Comdty</stp>
        <stp>RSI_9D</stp>
        <stp>16/08/2016</stp>
        <stp>16/08/2016</stp>
        <stp>[Bbg_Market_Data_CL.xlsm]data!R163C12</stp>
        <tr r="L163" s="1"/>
      </tp>
      <tp t="s">
        <v>#N/A Requesting Data...</v>
        <stp/>
        <stp>##V3_BDHV12</stp>
        <stp>CL2 Comdty</stp>
        <stp>RSI_9D</stp>
        <stp>27/09/2016</stp>
        <stp>27/09/2016</stp>
        <stp>[Bbg_Market_Data_CL.xlsm]data!R134C12</stp>
        <tr r="L134" s="1"/>
      </tp>
      <tp t="s">
        <v>#N/A Requesting Data...</v>
        <stp/>
        <stp>##V3_BDHV12</stp>
        <stp>CL1 Comdty</stp>
        <stp>RSI_9D</stp>
        <stp>08/07/2016</stp>
        <stp>08/07/2016</stp>
        <stp>[Bbg_Market_Data_CL.xlsm]data!R189C12</stp>
        <tr r="L189" s="1"/>
      </tp>
      <tp t="s">
        <v>#N/A Requesting Data...</v>
        <stp/>
        <stp>##V3_BDHV12</stp>
        <stp>CL2 Comdty</stp>
        <stp>RSI_9D</stp>
        <stp>28/06/2016</stp>
        <stp>28/06/2016</stp>
        <stp>[Bbg_Market_Data_CL.xlsm]data!R196C12</stp>
        <tr r="L196" s="1"/>
      </tp>
      <tp t="s">
        <v>#N/A Requesting Data...</v>
        <stp/>
        <stp>##V3_BDHV12</stp>
        <stp>CL1 Comdty</stp>
        <stp>RSI_9D</stp>
        <stp>19/07/2016</stp>
        <stp>19/07/2016</stp>
        <stp>[Bbg_Market_Data_CL.xlsm]data!R182C12</stp>
        <tr r="L182" s="1"/>
      </tp>
      <tp t="s">
        <v>#N/A Requesting Data...</v>
        <stp/>
        <stp>##V3_BDHV12</stp>
        <stp>CL2 Comdty</stp>
        <stp>RSI_9D</stp>
        <stp>29/07/2016</stp>
        <stp>29/07/2016</stp>
        <stp>[Bbg_Market_Data_CL.xlsm]data!R174C12</stp>
        <tr r="L174" s="1"/>
      </tp>
      <tp t="s">
        <v>#N/A Requesting Data...</v>
        <stp/>
        <stp>##V3_BDHV12</stp>
        <stp>CL1 Comdty</stp>
        <stp>RSI_9D</stp>
        <stp>09/06/2016</stp>
        <stp>09/06/2016</stp>
        <stp>[Bbg_Market_Data_CL.xlsm]data!R209C12</stp>
        <tr r="L209" s="1"/>
      </tp>
      <tp t="s">
        <v>#N/A Requesting Data...</v>
        <stp/>
        <stp>##V3_BDHV12</stp>
        <stp>CL2 Comdty</stp>
        <stp>RSI_9D</stp>
        <stp>09/05/2016</stp>
        <stp>09/05/2016</stp>
        <stp>[Bbg_Market_Data_CL.xlsm]data!R231C12</stp>
        <tr r="L231" s="1"/>
      </tp>
      <tp t="s">
        <v>#N/A Requesting Data...</v>
        <stp/>
        <stp>##V3_BDHV12</stp>
        <stp>CL1 Comdty</stp>
        <stp>RSI_9D</stp>
        <stp>29/04/2016</stp>
        <stp>29/04/2016</stp>
        <stp>[Bbg_Market_Data_CL.xlsm]data!R237C12</stp>
        <tr r="L237" s="1"/>
      </tp>
      <tp t="s">
        <v>#N/A Requesting Data...</v>
        <stp/>
        <stp>##V3_BDHV12</stp>
        <stp>CL2 Comdty</stp>
        <stp>RSI_9D</stp>
        <stp>19/04/2016</stp>
        <stp>19/04/2016</stp>
        <stp>[Bbg_Market_Data_CL.xlsm]data!R245C12</stp>
        <tr r="L245" s="1"/>
      </tp>
      <tp t="s">
        <v>#N/A Requesting Data...</v>
        <stp/>
        <stp>##V3_BDHV12</stp>
        <stp>CL2 Comdty</stp>
        <stp>RSI_9D</stp>
        <stp>18/05/2016</stp>
        <stp>18/05/2016</stp>
        <stp>[Bbg_Market_Data_CL.xlsm]data!R224C12</stp>
        <tr r="L224" s="1"/>
      </tp>
      <tp t="s">
        <v>#N/A Requesting Data...</v>
        <stp/>
        <stp>##V3_BDHV12</stp>
        <stp>CL2 Comdty</stp>
        <stp>RSI_9D</stp>
        <stp>08/04/2016</stp>
        <stp>08/04/2016</stp>
        <stp>[Bbg_Market_Data_CL.xlsm]data!R252C12</stp>
        <tr r="L252" s="1"/>
      </tp>
      <tp t="s">
        <v>#N/A Requesting Data...</v>
        <stp/>
        <stp>##V3_BDHV12</stp>
        <stp>CL2 Comdty</stp>
        <stp>RSI_9D</stp>
        <stp>08/07/2015</stp>
        <stp>08/07/2015</stp>
        <stp>[Bbg_Market_Data_CL.xlsm]data!R439C12</stp>
        <tr r="L439" s="1"/>
      </tp>
      <tp t="s">
        <v>#N/A Requesting Data...</v>
        <stp/>
        <stp>##V3_BDHV12</stp>
        <stp>CL2 Comdty</stp>
        <stp>RSI_9D</stp>
        <stp>18/06/2015</stp>
        <stp>18/06/2015</stp>
        <stp>[Bbg_Market_Data_CL.xlsm]data!R452C12</stp>
        <tr r="L452" s="1"/>
      </tp>
      <tp t="s">
        <v>#N/A Requesting Data...</v>
        <stp/>
        <stp>##V3_BDHV12</stp>
        <stp>CL2 Comdty</stp>
        <stp>RSI_9D</stp>
        <stp>28/05/2015</stp>
        <stp>28/05/2015</stp>
        <stp>[Bbg_Market_Data_CL.xlsm]data!R467C12</stp>
        <tr r="L467" s="1"/>
      </tp>
      <tp t="s">
        <v>#N/A Requesting Data...</v>
        <stp/>
        <stp>##V3_BDHV12</stp>
        <stp>CL1 Comdty</stp>
        <stp>RSI_9D</stp>
        <stp>18/05/2015</stp>
        <stp>18/05/2015</stp>
        <stp>[Bbg_Market_Data_CL.xlsm]data!R474C12</stp>
        <tr r="L474" s="1"/>
      </tp>
      <tp t="s">
        <v>#N/A Requesting Data...</v>
        <stp/>
        <stp>##V3_BDHV12</stp>
        <stp>CL2 Comdty</stp>
        <stp>RSI_9D</stp>
        <stp>29/04/2015</stp>
        <stp>29/04/2015</stp>
        <stp>[Bbg_Market_Data_CL.xlsm]data!R487C12</stp>
        <tr r="L487" s="1"/>
      </tp>
      <tp t="s">
        <v>#N/A Requesting Data...</v>
        <stp/>
        <stp>##V3_BDHV12</stp>
        <stp>CL1 Comdty</stp>
        <stp>RSI_9D</stp>
        <stp>29/07/2015</stp>
        <stp>29/07/2015</stp>
        <stp>[Bbg_Market_Data_CL.xlsm]data!R424C12</stp>
        <tr r="L424" s="1"/>
      </tp>
      <tp t="s">
        <v>#N/A Requesting Data...</v>
        <stp/>
        <stp>##V3_BDHV12</stp>
        <stp>CL2 Comdty</stp>
        <stp>RSI_9D</stp>
        <stp>09/06/2015</stp>
        <stp>09/06/2015</stp>
        <stp>[Bbg_Market_Data_CL.xlsm]data!R459C12</stp>
        <tr r="L459" s="1"/>
      </tp>
      <tp t="s">
        <v>#N/A Requesting Data...</v>
        <stp/>
        <stp>##V3_BDHV12</stp>
        <stp>CL1 Comdty</stp>
        <stp>30DAY_IMPVOL_110.0%MNY_DF</stp>
        <stp>21/06/2016</stp>
        <stp>21/06/2016</stp>
        <stp>[Bbg_Market_Data_CL.xlsm]data!R200C22</stp>
        <tr r="V200" s="1"/>
      </tp>
      <tp t="s">
        <v>#N/A Requesting Data...</v>
        <stp/>
        <stp>##V3_BDHV12</stp>
        <stp>CL1 Comdty</stp>
        <stp>30DAY_IMPVOL_110.0%MNY_DF</stp>
        <stp>11/05/2016</stp>
        <stp>11/05/2016</stp>
        <stp>[Bbg_Market_Data_CL.xlsm]data!R228C22</stp>
        <tr r="V228" s="1"/>
      </tp>
      <tp t="s">
        <v>#N/A Requesting Data...</v>
        <stp/>
        <stp>##V3_BDHV12</stp>
        <stp>CL1 Comdty</stp>
        <stp>30DAY_IMPVOL_105.0%MNY_DF</stp>
        <stp>17/02/2016</stp>
        <stp>17/02/2016</stp>
        <stp>[Bbg_Market_Data_CL.xlsm]data!R287C19</stp>
        <tr r="S287" s="1"/>
      </tp>
      <tp t="s">
        <v>#N/A Requesting Data...</v>
        <stp/>
        <stp>##V3_BDHV12</stp>
        <stp>CL1 Comdty</stp>
        <stp>30DAY_IMPVOL_110.0%MNY_DF</stp>
        <stp>01/04/2016</stp>
        <stp>01/04/2016</stp>
        <stp>[Bbg_Market_Data_CL.xlsm]data!R256C22</stp>
        <tr r="V256" s="1"/>
      </tp>
      <tp t="s">
        <v>#N/A Requesting Data...</v>
        <stp/>
        <stp>##V3_BDHV12</stp>
        <stp>CL1 Comdty</stp>
        <stp>30DAY_IMPVOL_100.0%MNY_DF</stp>
        <stp>11/04/2016</stp>
        <stp>11/04/2016</stp>
        <stp>[Bbg_Market_Data_CL.xlsm]data!R250C20</stp>
        <tr r="T250" s="1"/>
      </tp>
      <tp t="s">
        <v>#N/A Requesting Data...</v>
        <stp/>
        <stp>##V3_BDHV12</stp>
        <stp>CL1 Comdty</stp>
        <stp>30DAY_IMPVOL_105.0%MNY_DF</stp>
        <stp>04/10/2016</stp>
        <stp>04/10/2016</stp>
        <stp>[Bbg_Market_Data_CL.xlsm]data!R128C19</stp>
        <tr r="S128" s="1"/>
      </tp>
      <tp t="s">
        <v>#N/A Requesting Data...</v>
        <stp/>
        <stp>##V3_BDHV12</stp>
        <stp>CL1 Comdty</stp>
        <stp>30DAY_IMPVOL_105.0%MNY_DF</stp>
        <stp>22/07/2015</stp>
        <stp>22/07/2015</stp>
        <stp>[Bbg_Market_Data_CL.xlsm]data!R428C19</stp>
        <tr r="S428" s="1"/>
      </tp>
      <tp t="s">
        <v>#N/A Requesting Data...</v>
        <stp/>
        <stp>##V3_BDHV12</stp>
        <stp>CL1 Comdty</stp>
        <stp>30DAY_IMPVOL_100.0%MNY_DF</stp>
        <stp>12/07/2016</stp>
        <stp>12/07/2016</stp>
        <stp>[Bbg_Market_Data_CL.xlsm]data!R186C20</stp>
        <tr r="T186" s="1"/>
      </tp>
      <tp t="s">
        <v>#N/A Requesting Data...</v>
        <stp/>
        <stp>##V3_BDHV12</stp>
        <stp>CL1 Comdty</stp>
        <stp>30DAY_IMPVOL_105.0%MNY_DF</stp>
        <stp>14/11/2016</stp>
        <stp>14/11/2016</stp>
        <stp>[Bbg_Market_Data_CL.xlsm]data!R101C19</stp>
        <tr r="S101" s="1"/>
      </tp>
      <tp t="s">
        <v>#N/A Requesting Data...</v>
        <stp/>
        <stp>##V3_BDHV12</stp>
        <stp>CL1 Comdty</stp>
        <stp>30DAY_IMPVOL_105.0%MNY_DF</stp>
        <stp>07/03/2016</stp>
        <stp>07/03/2016</stp>
        <stp>[Bbg_Market_Data_CL.xlsm]data!R274C19</stp>
        <tr r="S274" s="1"/>
      </tp>
      <tp t="s">
        <v>#N/A Requesting Data...</v>
        <stp/>
        <stp>##V3_BDHV12</stp>
        <stp>CL1 Comdty</stp>
        <stp>30DAY_IMPVOL_100.0%MNY_DF</stp>
        <stp>10/05/2016</stp>
        <stp>10/05/2016</stp>
        <stp>[Bbg_Market_Data_CL.xlsm]data!R229C20</stp>
        <tr r="T229" s="1"/>
      </tp>
      <tp t="s">
        <v>#N/A Requesting Data...</v>
        <stp/>
        <stp>##V3_BDHV12</stp>
        <stp>CL1 Comdty</stp>
        <stp>30DAY_IMPVOL_100.0%MNY_DF</stp>
        <stp>20/06/2016</stp>
        <stp>20/06/2016</stp>
        <stp>[Bbg_Market_Data_CL.xlsm]data!R201C20</stp>
        <tr r="T201" s="1"/>
      </tp>
      <tp t="s">
        <v>#N/A Requesting Data...</v>
        <stp/>
        <stp>##V3_BDHV12</stp>
        <stp>CL1 Comdty</stp>
        <stp>30DAY_IMPVOL_110.0%MNY_DF</stp>
        <stp>13/07/2016</stp>
        <stp>13/07/2016</stp>
        <stp>[Bbg_Market_Data_CL.xlsm]data!R185C22</stp>
        <tr r="V185" s="1"/>
      </tp>
      <tp t="s">
        <v>#N/A Requesting Data...</v>
        <stp/>
        <stp>##V3_BDHV12</stp>
        <stp>CL1 Comdty</stp>
        <stp>30DAY_IMPVOL_105.0%MNY_DF</stp>
        <stp>14/12/2015</stp>
        <stp>14/12/2015</stp>
        <stp>[Bbg_Market_Data_CL.xlsm]data!R329C19</stp>
        <tr r="S329" s="1"/>
      </tp>
      <tp t="s">
        <v>#N/A Requesting Data...</v>
        <stp/>
        <stp>##V3_BDHV12</stp>
        <stp>CL1 Comdty</stp>
        <stp>30DAY_IMPVOL_105.0%MNY_DF</stp>
        <stp>27/01/2016</stp>
        <stp>27/01/2016</stp>
        <stp>[Bbg_Market_Data_CL.xlsm]data!R300C19</stp>
        <tr r="S300" s="1"/>
      </tp>
      <tp t="s">
        <v>#N/A Requesting Data...</v>
        <stp/>
        <stp>##V3_BDHV12</stp>
        <stp>CL1 Comdty</stp>
        <stp>30DAY_IMPVOL_105.0%MNY_DF</stp>
        <stp>13/05/2015</stp>
        <stp>13/05/2015</stp>
        <stp>[Bbg_Market_Data_CL.xlsm]data!R476C19</stp>
        <tr r="S476" s="1"/>
      </tp>
      <tp t="s">
        <v>#N/A Requesting Data...</v>
        <stp/>
        <stp>##V3_BDHV12</stp>
        <stp>CL1 Comdty</stp>
        <stp>30DAY_IMPVOL_105.0%MNY_DF</stp>
        <stp>16/03/2016</stp>
        <stp>16/03/2016</stp>
        <stp>[Bbg_Market_Data_CL.xlsm]data!R267C19</stp>
        <tr r="S267" s="1"/>
      </tp>
      <tp t="s">
        <v>#N/A Requesting Data...</v>
        <stp/>
        <stp>##V3_BDHV12</stp>
        <stp>CL1 Comdty</stp>
        <stp>30DAY_IMPVOL_105.0%MNY_DF</stp>
        <stp>24/11/2015</stp>
        <stp>24/11/2015</stp>
        <stp>[Bbg_Market_Data_CL.xlsm]data!R342C19</stp>
        <tr r="S342" s="1"/>
      </tp>
      <tp t="s">
        <v>#N/A Requesting Data...</v>
        <stp/>
        <stp>##V3_BDHV12</stp>
        <stp>CL1 Comdty</stp>
        <stp>30DAY_IMPVOL_105.0%MNY_DF</stp>
        <stp>23/06/2015</stp>
        <stp>23/06/2015</stp>
        <stp>[Bbg_Market_Data_CL.xlsm]data!R448C19</stp>
        <tr r="S448" s="1"/>
      </tp>
      <tp t="s">
        <v>#N/A Requesting Data...</v>
        <stp/>
        <stp>##V3_BDHV12</stp>
        <stp>CL1 Comdty</stp>
        <stp>30DAY_IMPVOL_100.0%MNY_DF</stp>
        <stp>23/05/2016</stp>
        <stp>23/05/2016</stp>
        <stp>[Bbg_Market_Data_CL.xlsm]data!R220C20</stp>
        <tr r="T220" s="1"/>
      </tp>
      <tp t="s">
        <v>#N/A Requesting Data...</v>
        <stp/>
        <stp>##V3_BDHV12</stp>
        <stp>CL1 Comdty</stp>
        <stp>30DAY_IMPVOL_110.0%MNY_DF</stp>
        <stp>03/06/2016</stp>
        <stp>03/06/2016</stp>
        <stp>[Bbg_Market_Data_CL.xlsm]data!R212C22</stp>
        <tr r="V212" s="1"/>
      </tp>
      <tp t="s">
        <v>#N/A Requesting Data...</v>
        <stp/>
        <stp>##V3_BDHV12</stp>
        <stp>CL1 Comdty</stp>
        <stp>30DAY_IMPVOL_100.0%MNY_DF</stp>
        <stp>13/06/2016</stp>
        <stp>13/06/2016</stp>
        <stp>[Bbg_Market_Data_CL.xlsm]data!R206C20</stp>
        <tr r="T206" s="1"/>
      </tp>
      <tp t="s">
        <v>#N/A Requesting Data...</v>
        <stp/>
        <stp>##V3_BDHV12</stp>
        <stp>CL1 Comdty</stp>
        <stp>30DAY_IMPVOL_105.0%MNY_DF</stp>
        <stp>30/04/2015</stp>
        <stp>30/04/2015</stp>
        <stp>[Bbg_Market_Data_CL.xlsm]data!R485C19</stp>
        <tr r="S485" s="1"/>
      </tp>
      <tp t="s">
        <v>#N/A Requesting Data...</v>
        <stp/>
        <stp>##V3_BDHV12</stp>
        <stp>CL1 Comdty</stp>
        <stp>30DAY_IMPVOL_110.0%MNY_DF</stp>
        <stp>20/07/2016</stp>
        <stp>20/07/2016</stp>
        <stp>[Bbg_Market_Data_CL.xlsm]data!R180C22</stp>
        <tr r="V180" s="1"/>
      </tp>
      <tp t="s">
        <v>#N/A Requesting Data...</v>
        <stp/>
        <stp>##V3_BDHV12</stp>
        <stp>CL1 Comdty</stp>
        <stp>30DAY_IMPVOL_110.0%MNY_DF</stp>
        <stp>30/06/2016</stp>
        <stp>30/06/2016</stp>
        <stp>[Bbg_Market_Data_CL.xlsm]data!R193C22</stp>
        <tr r="V193" s="1"/>
      </tp>
      <tp t="s">
        <v>#N/A Requesting Data...</v>
        <stp/>
        <stp>##V3_BDHV12</stp>
        <stp>CL1 Comdty</stp>
        <stp>30DAY_IMPVOL_105.0%MNY_DF</stp>
        <stp>26/10/2016</stp>
        <stp>26/10/2016</stp>
        <stp>[Bbg_Market_Data_CL.xlsm]data!R113C19</stp>
        <tr r="S113" s="1"/>
      </tp>
      <tp t="s">
        <v>#N/A Requesting Data...</v>
        <stp/>
        <stp>##V3_BDHV12</stp>
        <stp>CL1 Comdty</stp>
        <stp>30DAY_IMPVOL_105.0%MNY_DF</stp>
        <stp>14/01/2016</stp>
        <stp>14/01/2016</stp>
        <stp>[Bbg_Market_Data_CL.xlsm]data!R308C19</stp>
        <tr r="S308" s="1"/>
      </tp>
      <tp t="s">
        <v>#N/A Requesting Data...</v>
        <stp/>
        <stp>##V3_BDHV12</stp>
        <stp>CL1 Comdty</stp>
        <stp>30DAY_IMPVOL_105.0%MNY_DF</stp>
        <stp>20/05/2015</stp>
        <stp>20/05/2015</stp>
        <stp>[Bbg_Market_Data_CL.xlsm]data!R471C19</stp>
        <tr r="S471" s="1"/>
      </tp>
      <tp t="s">
        <v>#N/A Requesting Data...</v>
        <stp/>
        <stp>##V3_BDHV12</stp>
        <stp>CL1 Comdty</stp>
        <stp>30DAY_IMPVOL_105.0%MNY_DF</stp>
        <stp>07/10/2015</stp>
        <stp>07/10/2015</stp>
        <stp>[Bbg_Market_Data_CL.xlsm]data!R374C19</stp>
        <tr r="S374" s="1"/>
      </tp>
      <tp t="s">
        <v>#N/A Requesting Data...</v>
        <stp/>
        <stp>##V3_BDHV12</stp>
        <stp>CL1 Comdty</stp>
        <stp>30DAY_IMPVOL_105.0%MNY_DF</stp>
        <stp>10/06/2015</stp>
        <stp>10/06/2015</stp>
        <stp>[Bbg_Market_Data_CL.xlsm]data!R457C19</stp>
        <tr r="S457" s="1"/>
      </tp>
      <tp t="s">
        <v>#N/A Requesting Data...</v>
        <stp/>
        <stp>##V3_BDHV12</stp>
        <stp>CL1 Comdty</stp>
        <stp>30DAY_IMPVOL_105.0%MNY_DF</stp>
        <stp>17/11/2015</stp>
        <stp>17/11/2015</stp>
        <stp>[Bbg_Market_Data_CL.xlsm]data!R347C19</stp>
        <tr r="S347" s="1"/>
      </tp>
      <tp t="s">
        <v>#N/A Requesting Data...</v>
        <stp/>
        <stp>##V3_BDHV12</stp>
        <stp>CL1 Comdty</stp>
        <stp>30DAY_IMPVOL_105.0%MNY_DF</stp>
        <stp>21/04/2015</stp>
        <stp>21/04/2015</stp>
        <stp>[Bbg_Market_Data_CL.xlsm]data!R492C19</stp>
        <tr r="S492" s="1"/>
      </tp>
      <tp t="s">
        <v>#N/A Requesting Data...</v>
        <stp/>
        <stp>##V3_BDHV12</stp>
        <stp>CL1 Comdty</stp>
        <stp>30DAY_IMPVOL_105.0%MNY_DF</stp>
        <stp>24/02/2016</stp>
        <stp>24/02/2016</stp>
        <stp>[Bbg_Market_Data_CL.xlsm]data!R282C19</stp>
        <tr r="S282" s="1"/>
      </tp>
      <tp t="s">
        <v>#N/A Requesting Data...</v>
        <stp/>
        <stp>##V3_BDHV12</stp>
        <stp>CL1 Comdty</stp>
        <stp>30DAY_IMPVOL_100.0%MNY_DF</stp>
        <stp>02/06/2016</stp>
        <stp>02/06/2016</stp>
        <stp>[Bbg_Market_Data_CL.xlsm]data!R213C20</stp>
        <tr r="T213" s="1"/>
      </tp>
      <tp t="s">
        <v>#N/A Requesting Data...</v>
        <stp/>
        <stp>##V3_BDHV12</stp>
        <stp>CL1 Comdty</stp>
        <stp>30DAY_IMPVOL_100.0%MNY_DF</stp>
        <stp>21/07/2016</stp>
        <stp>21/07/2016</stp>
        <stp>[Bbg_Market_Data_CL.xlsm]data!R179C20</stp>
        <tr r="T179" s="1"/>
      </tp>
      <tp t="s">
        <v>#N/A Requesting Data...</v>
        <stp/>
        <stp>##V3_BDHV12</stp>
        <stp>CL1 Comdty</stp>
        <stp>30DAY_IMPVOL_100.0%MNY_DF</stp>
        <stp>22/04/2016</stp>
        <stp>22/04/2016</stp>
        <stp>[Bbg_Market_Data_CL.xlsm]data!R241C20</stp>
        <tr r="T241" s="1"/>
      </tp>
      <tp t="s">
        <v>#N/A Requesting Data...</v>
        <stp/>
        <stp>##V3_BDHV12</stp>
        <stp>CL1 Comdty</stp>
        <stp>30DAY_IMPVOL_105.0%MNY_DF</stp>
        <stp>05/01/2016</stp>
        <stp>05/01/2016</stp>
        <stp>[Bbg_Market_Data_CL.xlsm]data!R315C19</stp>
        <tr r="S315" s="1"/>
      </tp>
      <tp t="s">
        <v>#N/A Requesting Data...</v>
        <stp/>
        <stp>##V3_BDHV12</stp>
        <stp>CL1 Comdty</stp>
        <stp>30DAY_IMPVOL_105.0%MNY_DF</stp>
        <stp>16/10/2015</stp>
        <stp>16/10/2015</stp>
        <stp>[Bbg_Market_Data_CL.xlsm]data!R368C19</stp>
        <tr r="S368" s="1"/>
      </tp>
      <tp t="s">
        <v>#N/A Requesting Data...</v>
        <stp/>
        <stp>##V3_BDHV12</stp>
        <stp>CL1 Comdty</stp>
        <stp>30DAY_IMPVOL_105.0%MNY_DF</stp>
        <stp>01/06/2015</stp>
        <stp>01/06/2015</stp>
        <stp>[Bbg_Market_Data_CL.xlsm]data!R464C19</stp>
        <tr r="S464" s="1"/>
      </tp>
      <tp t="s">
        <v>#N/A Requesting Data...</v>
        <stp/>
        <stp>##V3_BDHV12</stp>
        <stp>CL1 Comdty</stp>
        <stp>30DAY_IMPVOL_105.0%MNY_DF</stp>
        <stp>06/11/2015</stp>
        <stp>06/11/2015</stp>
        <stp>[Bbg_Market_Data_CL.xlsm]data!R353C19</stp>
        <tr r="S353" s="1"/>
      </tp>
      <tp t="s">
        <v>#N/A Requesting Data...</v>
        <stp/>
        <stp>##V3_BDHV12</stp>
        <stp>CL1 Comdty</stp>
        <stp>30DAY_IMPVOL_110.0%MNY_DF</stp>
        <stp>04/01/2016</stp>
        <stp>04/01/2016</stp>
        <stp>[Bbg_Market_Data_CL.xlsm]data!R316C22</stp>
        <tr r="V316" s="1"/>
      </tp>
      <tp t="s">
        <v>#N/A Requesting Data...</v>
        <stp/>
        <stp>##V3_BDHV12</stp>
        <stp>CL1 Comdty</stp>
        <stp>30DAY_IMPVOL_100.0%MNY_DF</stp>
        <stp>26/10/2016</stp>
        <stp>26/10/2016</stp>
        <stp>[Bbg_Market_Data_CL.xlsm]data!R113C20</stp>
        <tr r="T113" s="1"/>
      </tp>
      <tp t="s">
        <v>#N/A Requesting Data...</v>
        <stp/>
        <stp>##V3_BDHV12</stp>
        <stp>CL1 Comdty</stp>
        <stp>30DAY_IMPVOL_100.0%MNY_DF</stp>
        <stp>14/01/2016</stp>
        <stp>14/01/2016</stp>
        <stp>[Bbg_Market_Data_CL.xlsm]data!R308C20</stp>
        <tr r="T308" s="1"/>
      </tp>
      <tp t="s">
        <v>#N/A Requesting Data...</v>
        <stp/>
        <stp>##V3_BDHV12</stp>
        <stp>CL1 Comdty</stp>
        <stp>30DAY_IMPVOL_110.0%MNY_DF</stp>
        <stp>10/07/2015</stp>
        <stp>10/07/2015</stp>
        <stp>[Bbg_Market_Data_CL.xlsm]data!R436C22</stp>
        <tr r="V436" s="1"/>
      </tp>
      <tp t="s">
        <v>#N/A Requesting Data...</v>
        <stp/>
        <stp>##V3_BDHV12</stp>
        <stp>CL1 Comdty</stp>
        <stp>30DAY_IMPVOL_100.0%MNY_DF</stp>
        <stp>07/10/2015</stp>
        <stp>07/10/2015</stp>
        <stp>[Bbg_Market_Data_CL.xlsm]data!R374C20</stp>
        <tr r="T374" s="1"/>
      </tp>
      <tp t="s">
        <v>#N/A Requesting Data...</v>
        <stp/>
        <stp>##V3_BDHV12</stp>
        <stp>CL1 Comdty</stp>
        <stp>30DAY_IMPVOL_100.0%MNY_DF</stp>
        <stp>20/05/2015</stp>
        <stp>20/05/2015</stp>
        <stp>[Bbg_Market_Data_CL.xlsm]data!R471C20</stp>
        <tr r="T471" s="1"/>
      </tp>
      <tp t="s">
        <v>#N/A Requesting Data...</v>
        <stp/>
        <stp>##V3_BDHV12</stp>
        <stp>CL1 Comdty</stp>
        <stp>30DAY_IMPVOL_100.0%MNY_DF</stp>
        <stp>10/06/2015</stp>
        <stp>10/06/2015</stp>
        <stp>[Bbg_Market_Data_CL.xlsm]data!R457C20</stp>
        <tr r="T457" s="1"/>
      </tp>
      <tp t="s">
        <v>#N/A Requesting Data...</v>
        <stp/>
        <stp>##V3_BDHV12</stp>
        <stp>CL1 Comdty</stp>
        <stp>30DAY_IMPVOL_100.0%MNY_DF</stp>
        <stp>17/11/2015</stp>
        <stp>17/11/2015</stp>
        <stp>[Bbg_Market_Data_CL.xlsm]data!R347C20</stp>
        <tr r="T347" s="1"/>
      </tp>
      <tp t="s">
        <v>#N/A Requesting Data...</v>
        <stp/>
        <stp>##V3_BDHV12</stp>
        <stp>CL1 Comdty</stp>
        <stp>30DAY_IMPVOL_110.0%MNY_DF</stp>
        <stp>25/02/2016</stp>
        <stp>25/02/2016</stp>
        <stp>[Bbg_Market_Data_CL.xlsm]data!R281C22</stp>
        <tr r="V281" s="1"/>
      </tp>
      <tp t="s">
        <v>#N/A Requesting Data...</v>
        <stp/>
        <stp>##V3_BDHV12</stp>
        <stp>CL1 Comdty</stp>
        <stp>30DAY_IMPVOL_110.0%MNY_DF</stp>
        <stp>20/04/2015</stp>
        <stp>20/04/2015</stp>
        <stp>[Bbg_Market_Data_CL.xlsm]data!R493C22</stp>
        <tr r="V493" s="1"/>
      </tp>
      <tp t="s">
        <v>#N/A Requesting Data...</v>
        <stp/>
        <stp>##V3_BDHV12</stp>
        <stp>CL1 Comdty</stp>
        <stp>30DAY_IMPVOL_105.0%MNY_DF</stp>
        <stp>23/05/2016</stp>
        <stp>23/05/2016</stp>
        <stp>[Bbg_Market_Data_CL.xlsm]data!R220C19</stp>
        <tr r="S220" s="1"/>
      </tp>
      <tp t="s">
        <v>#N/A Requesting Data...</v>
        <stp/>
        <stp>##V3_BDHV12</stp>
        <stp>CL1 Comdty</stp>
        <stp>30DAY_IMPVOL_100.0%MNY_DF</stp>
        <stp>30/04/2015</stp>
        <stp>30/04/2015</stp>
        <stp>[Bbg_Market_Data_CL.xlsm]data!R485C20</stp>
        <tr r="T485" s="1"/>
      </tp>
      <tp t="s">
        <v>#N/A Requesting Data...</v>
        <stp/>
        <stp>##V3_BDHV12</stp>
        <stp>CL1 Comdty</stp>
        <stp>30DAY_IMPVOL_105.0%MNY_DF</stp>
        <stp>13/06/2016</stp>
        <stp>13/06/2016</stp>
        <stp>[Bbg_Market_Data_CL.xlsm]data!R206C19</stp>
        <tr r="S206" s="1"/>
      </tp>
      <tp t="s">
        <v>#N/A Requesting Data...</v>
        <stp/>
        <stp>##V3_BDHV12</stp>
        <stp>CL1 Comdty</stp>
        <stp>30DAY_IMPVOL_110.0%MNY_DF</stp>
        <stp>27/10/2016</stp>
        <stp>27/10/2016</stp>
        <stp>[Bbg_Market_Data_CL.xlsm]data!R112C22</stp>
        <tr r="V112" s="1"/>
      </tp>
      <tp t="s">
        <v>#N/A Requesting Data...</v>
        <stp/>
        <stp>##V3_BDHV12</stp>
        <stp>CL1 Comdty</stp>
        <stp>30DAY_IMPVOL_110.0%MNY_DF</stp>
        <stp>15/01/2016</stp>
        <stp>15/01/2016</stp>
        <stp>[Bbg_Market_Data_CL.xlsm]data!R307C22</stp>
        <tr r="V307" s="1"/>
      </tp>
      <tp t="s">
        <v>#N/A Requesting Data...</v>
        <stp/>
        <stp>##V3_BDHV12</stp>
        <stp>CL1 Comdty</stp>
        <stp>30DAY_IMPVOL_100.0%MNY_DF</stp>
        <stp>05/01/2016</stp>
        <stp>05/01/2016</stp>
        <stp>[Bbg_Market_Data_CL.xlsm]data!R315C20</stp>
        <tr r="T315" s="1"/>
      </tp>
      <tp t="s">
        <v>#N/A Requesting Data...</v>
        <stp/>
        <stp>##V3_BDHV12</stp>
        <stp>CL1 Comdty</stp>
        <stp>30DAY_IMPVOL_100.0%MNY_DF</stp>
        <stp>01/06/2015</stp>
        <stp>01/06/2015</stp>
        <stp>[Bbg_Market_Data_CL.xlsm]data!R464C20</stp>
        <tr r="T464" s="1"/>
      </tp>
      <tp t="s">
        <v>#N/A Requesting Data...</v>
        <stp/>
        <stp>##V3_BDHV12</stp>
        <stp>CL1 Comdty</stp>
        <stp>30DAY_IMPVOL_110.0%MNY_DF</stp>
        <stp>01/07/2015</stp>
        <stp>01/07/2015</stp>
        <stp>[Bbg_Market_Data_CL.xlsm]data!R442C22</stp>
        <tr r="V442" s="1"/>
      </tp>
      <tp t="s">
        <v>#N/A Requesting Data...</v>
        <stp/>
        <stp>##V3_BDHV12</stp>
        <stp>CL1 Comdty</stp>
        <stp>30DAY_IMPVOL_110.0%MNY_DF</stp>
        <stp>11/06/2015</stp>
        <stp>11/06/2015</stp>
        <stp>[Bbg_Market_Data_CL.xlsm]data!R456C22</stp>
        <tr r="V456" s="1"/>
      </tp>
      <tp t="s">
        <v>#N/A Requesting Data...</v>
        <stp/>
        <stp>##V3_BDHV12</stp>
        <stp>CL1 Comdty</stp>
        <stp>30DAY_IMPVOL_110.0%MNY_DF</stp>
        <stp>16/11/2015</stp>
        <stp>16/11/2015</stp>
        <stp>[Bbg_Market_Data_CL.xlsm]data!R348C22</stp>
        <tr r="V348" s="1"/>
      </tp>
      <tp t="s">
        <v>#N/A Requesting Data...</v>
        <stp/>
        <stp>##V3_BDHV12</stp>
        <stp>CL1 Comdty</stp>
        <stp>30DAY_IMPVOL_100.0%MNY_DF</stp>
        <stp>16/10/2015</stp>
        <stp>16/10/2015</stp>
        <stp>[Bbg_Market_Data_CL.xlsm]data!R368C20</stp>
        <tr r="T368" s="1"/>
      </tp>
      <tp t="s">
        <v>#N/A Requesting Data...</v>
        <stp/>
        <stp>##V3_BDHV12</stp>
        <stp>CL1 Comdty</stp>
        <stp>30DAY_IMPVOL_110.0%MNY_DF</stp>
        <stp>24/03/2016</stp>
        <stp>24/03/2016</stp>
        <stp>[Bbg_Market_Data_CL.xlsm]data!R261C22</stp>
        <tr r="V261" s="1"/>
      </tp>
      <tp t="s">
        <v>#N/A Requesting Data...</v>
        <stp/>
        <stp>##V3_BDHV12</stp>
        <stp>CL1 Comdty</stp>
        <stp>30DAY_IMPVOL_100.0%MNY_DF</stp>
        <stp>06/11/2015</stp>
        <stp>06/11/2015</stp>
        <stp>[Bbg_Market_Data_CL.xlsm]data!R353C20</stp>
        <tr r="T353" s="1"/>
      </tp>
      <tp t="s">
        <v>#N/A Requesting Data...</v>
        <stp/>
        <stp>##V3_BDHV12</stp>
        <stp>CL1 Comdty</stp>
        <stp>30DAY_IMPVOL_110.0%MNY_DF</stp>
        <stp>06/10/2015</stp>
        <stp>06/10/2015</stp>
        <stp>[Bbg_Market_Data_CL.xlsm]data!R375C22</stp>
        <tr r="V375" s="1"/>
      </tp>
      <tp t="s">
        <v>#N/A Requesting Data...</v>
        <stp/>
        <stp>##V3_BDHV12</stp>
        <stp>CL1 Comdty</stp>
        <stp>30DAY_IMPVOL_110.0%MNY_DF</stp>
        <stp>21/05/2015</stp>
        <stp>21/05/2015</stp>
        <stp>[Bbg_Market_Data_CL.xlsm]data!R470C22</stp>
        <tr r="V470" s="1"/>
      </tp>
      <tp t="s">
        <v>#N/A Requesting Data...</v>
        <stp/>
        <stp>##V3_BDHV12</stp>
        <stp>CL1 Comdty</stp>
        <stp>30DAY_IMPVOL_100.0%MNY_DF</stp>
        <stp>24/02/2016</stp>
        <stp>24/02/2016</stp>
        <stp>[Bbg_Market_Data_CL.xlsm]data!R282C20</stp>
        <tr r="T282" s="1"/>
      </tp>
      <tp t="s">
        <v>#N/A Requesting Data...</v>
        <stp/>
        <stp>##V3_BDHV12</stp>
        <stp>CL1 Comdty</stp>
        <stp>30DAY_IMPVOL_105.0%MNY_DF</stp>
        <stp>02/06/2016</stp>
        <stp>02/06/2016</stp>
        <stp>[Bbg_Market_Data_CL.xlsm]data!R213C19</stp>
        <tr r="S213" s="1"/>
      </tp>
      <tp t="s">
        <v>#N/A Requesting Data...</v>
        <stp/>
        <stp>##V3_BDHV12</stp>
        <stp>CL1 Comdty</stp>
        <stp>30DAY_IMPVOL_100.0%MNY_DF</stp>
        <stp>21/04/2015</stp>
        <stp>21/04/2015</stp>
        <stp>[Bbg_Market_Data_CL.xlsm]data!R492C20</stp>
        <tr r="T492" s="1"/>
      </tp>
      <tp t="s">
        <v>#N/A Requesting Data...</v>
        <stp/>
        <stp>##V3_BDHV12</stp>
        <stp>CL1 Comdty</stp>
        <stp>30DAY_IMPVOL_105.0%MNY_DF</stp>
        <stp>21/07/2016</stp>
        <stp>21/07/2016</stp>
        <stp>[Bbg_Market_Data_CL.xlsm]data!R179C19</stp>
        <tr r="S179" s="1"/>
      </tp>
      <tp t="s">
        <v>#N/A Requesting Data...</v>
        <stp/>
        <stp>##V3_BDHV12</stp>
        <stp>CL1 Comdty</stp>
        <stp>30DAY_IMPVOL_105.0%MNY_DF</stp>
        <stp>22/04/2016</stp>
        <stp>22/04/2016</stp>
        <stp>[Bbg_Market_Data_CL.xlsm]data!R241C19</stp>
        <tr r="S241" s="1"/>
      </tp>
      <tp t="s">
        <v>#N/A Requesting Data...</v>
        <stp/>
        <stp>##V3_BDHV12</stp>
        <stp>CL1 Comdty</stp>
        <stp>30DAY_IMPVOL_110.0%MNY_DF</stp>
        <stp>26/01/2016</stp>
        <stp>26/01/2016</stp>
        <stp>[Bbg_Market_Data_CL.xlsm]data!R301C22</stp>
        <tr r="V301" s="1"/>
      </tp>
      <tp t="s">
        <v>#N/A Requesting Data...</v>
        <stp/>
        <stp>##V3_BDHV12</stp>
        <stp>CL1 Comdty</stp>
        <stp>30DAY_IMPVOL_100.0%MNY_DF</stp>
        <stp>22/07/2015</stp>
        <stp>22/07/2015</stp>
        <stp>[Bbg_Market_Data_CL.xlsm]data!R428C20</stp>
        <tr r="T428" s="1"/>
      </tp>
      <tp t="s">
        <v>#N/A Requesting Data...</v>
        <stp/>
        <stp>##V3_BDHV12</stp>
        <stp>CL1 Comdty</stp>
        <stp>30DAY_IMPVOL_110.0%MNY_DF</stp>
        <stp>04/11/2016</stp>
        <stp>04/11/2016</stp>
        <stp>[Bbg_Market_Data_CL.xlsm]data!R106C22</stp>
        <tr r="V106" s="1"/>
      </tp>
      <tp t="s">
        <v>#N/A Requesting Data...</v>
        <stp/>
        <stp>##V3_BDHV12</stp>
        <stp>CL1 Comdty</stp>
        <stp>30DAY_IMPVOL_100.0%MNY_DF</stp>
        <stp>04/10/2016</stp>
        <stp>04/10/2016</stp>
        <stp>[Bbg_Market_Data_CL.xlsm]data!R128C20</stp>
        <tr r="T128" s="1"/>
      </tp>
      <tp t="s">
        <v>#N/A Requesting Data...</v>
        <stp/>
        <stp>##V3_BDHV12</stp>
        <stp>CL1 Comdty</stp>
        <stp>30DAY_IMPVOL_110.0%MNY_DF</stp>
        <stp>14/10/2016</stp>
        <stp>14/10/2016</stp>
        <stp>[Bbg_Market_Data_CL.xlsm]data!R121C22</stp>
        <tr r="V121" s="1"/>
      </tp>
      <tp t="s">
        <v>#N/A Requesting Data...</v>
        <stp/>
        <stp>##V3_BDHV12</stp>
        <stp>CL1 Comdty</stp>
        <stp>30DAY_IMPVOL_100.0%MNY_DF</stp>
        <stp>14/11/2016</stp>
        <stp>14/11/2016</stp>
        <stp>[Bbg_Market_Data_CL.xlsm]data!R101C20</stp>
        <tr r="T101" s="1"/>
      </tp>
      <tp t="s">
        <v>#N/A Requesting Data...</v>
        <stp/>
        <stp>##V3_BDHV12</stp>
        <stp>CL1 Comdty</stp>
        <stp>30DAY_IMPVOL_105.0%MNY_DF</stp>
        <stp>12/07/2016</stp>
        <stp>12/07/2016</stp>
        <stp>[Bbg_Market_Data_CL.xlsm]data!R186C19</stp>
        <tr r="S186" s="1"/>
      </tp>
      <tp t="s">
        <v>#N/A Requesting Data...</v>
        <stp/>
        <stp>##V3_BDHV12</stp>
        <stp>CL1 Comdty</stp>
        <stp>30DAY_IMPVOL_110.0%MNY_DF</stp>
        <stp>15/12/2015</stp>
        <stp>15/12/2015</stp>
        <stp>[Bbg_Market_Data_CL.xlsm]data!R328C22</stp>
        <tr r="V328" s="1"/>
      </tp>
      <tp t="s">
        <v>#N/A Requesting Data...</v>
        <stp/>
        <stp>##V3_BDHV12</stp>
        <stp>CL1 Comdty</stp>
        <stp>30DAY_IMPVOL_110.0%MNY_DF</stp>
        <stp>22/06/2015</stp>
        <stp>22/06/2015</stp>
        <stp>[Bbg_Market_Data_CL.xlsm]data!R449C22</stp>
        <tr r="V449" s="1"/>
      </tp>
      <tp t="s">
        <v>#N/A Requesting Data...</v>
        <stp/>
        <stp>##V3_BDHV12</stp>
        <stp>CL1 Comdty</stp>
        <stp>30DAY_IMPVOL_110.0%MNY_DF</stp>
        <stp>25/11/2015</stp>
        <stp>25/11/2015</stp>
        <stp>[Bbg_Market_Data_CL.xlsm]data!R341C22</stp>
        <tr r="V341" s="1"/>
      </tp>
      <tp t="s">
        <v>#N/A Requesting Data...</v>
        <stp/>
        <stp>##V3_BDHV12</stp>
        <stp>CL1 Comdty</stp>
        <stp>30DAY_IMPVOL_100.0%MNY_DF</stp>
        <stp>07/03/2016</stp>
        <stp>07/03/2016</stp>
        <stp>[Bbg_Market_Data_CL.xlsm]data!R274C20</stp>
        <tr r="T274" s="1"/>
      </tp>
      <tp t="s">
        <v>#N/A Requesting Data...</v>
        <stp/>
        <stp>##V3_BDHV12</stp>
        <stp>CL1 Comdty</stp>
        <stp>30DAY_IMPVOL_110.0%MNY_DF</stp>
        <stp>17/03/2016</stp>
        <stp>17/03/2016</stp>
        <stp>[Bbg_Market_Data_CL.xlsm]data!R266C22</stp>
        <tr r="V266" s="1"/>
      </tp>
      <tp t="s">
        <v>#N/A Requesting Data...</v>
        <stp/>
        <stp>##V3_BDHV12</stp>
        <stp>CL1 Comdty</stp>
        <stp>30DAY_IMPVOL_110.0%MNY_DF</stp>
        <stp>12/05/2015</stp>
        <stp>12/05/2015</stp>
        <stp>[Bbg_Market_Data_CL.xlsm]data!R477C22</stp>
        <tr r="V477" s="1"/>
      </tp>
      <tp t="s">
        <v>#N/A Requesting Data...</v>
        <stp/>
        <stp>##V3_BDHV12</stp>
        <stp>CL1 Comdty</stp>
        <stp>30DAY_IMPVOL_100.0%MNY_DF</stp>
        <stp>17/02/2016</stp>
        <stp>17/02/2016</stp>
        <stp>[Bbg_Market_Data_CL.xlsm]data!R287C20</stp>
        <tr r="T287" s="1"/>
      </tp>
      <tp t="s">
        <v>#N/A Requesting Data...</v>
        <stp/>
        <stp>##V3_BDHV12</stp>
        <stp>CL1 Comdty</stp>
        <stp>30DAY_IMPVOL_105.0%MNY_DF</stp>
        <stp>11/04/2016</stp>
        <stp>11/04/2016</stp>
        <stp>[Bbg_Market_Data_CL.xlsm]data!R250C19</stp>
        <tr r="S250" s="1"/>
      </tp>
      <tp t="s">
        <v>#N/A Requesting Data...</v>
        <stp/>
        <stp>##V3_BDHV12</stp>
        <stp>CL1 Comdty</stp>
        <stp>30DAY_IMPVOL_110.0%MNY_DF</stp>
        <stp>15/11/2016</stp>
        <stp>15/11/2016</stp>
        <stp>[Bbg_Market_Data_CL.xlsm]data!R100C22</stp>
        <tr r="V100" s="1"/>
      </tp>
      <tp t="s">
        <v>#N/A Requesting Data...</v>
        <stp/>
        <stp>##V3_BDHV12</stp>
        <stp>CL1 Comdty</stp>
        <stp>30DAY_IMPVOL_100.0%MNY_DF</stp>
        <stp>14/12/2015</stp>
        <stp>14/12/2015</stp>
        <stp>[Bbg_Market_Data_CL.xlsm]data!R329C20</stp>
        <tr r="T329" s="1"/>
      </tp>
      <tp t="s">
        <v>#N/A Requesting Data...</v>
        <stp/>
        <stp>##V3_BDHV12</stp>
        <stp>CL1 Comdty</stp>
        <stp>30DAY_IMPVOL_100.0%MNY_DF</stp>
        <stp>27/01/2016</stp>
        <stp>27/01/2016</stp>
        <stp>[Bbg_Market_Data_CL.xlsm]data!R300C20</stp>
        <tr r="T300" s="1"/>
      </tp>
      <tp t="s">
        <v>#N/A Requesting Data...</v>
        <stp/>
        <stp>##V3_BDHV12</stp>
        <stp>CL1 Comdty</stp>
        <stp>30DAY_IMPVOL_110.0%MNY_DF</stp>
        <stp>23/07/2015</stp>
        <stp>23/07/2015</stp>
        <stp>[Bbg_Market_Data_CL.xlsm]data!R427C22</stp>
        <tr r="V427" s="1"/>
      </tp>
      <tp t="s">
        <v>#N/A Requesting Data...</v>
        <stp/>
        <stp>##V3_BDHV12</stp>
        <stp>CL1 Comdty</stp>
        <stp>30DAY_IMPVOL_110.0%MNY_DF</stp>
        <stp>04/12/2015</stp>
        <stp>04/12/2015</stp>
        <stp>[Bbg_Market_Data_CL.xlsm]data!R335C22</stp>
        <tr r="V335" s="1"/>
      </tp>
      <tp t="s">
        <v>#N/A Requesting Data...</v>
        <stp/>
        <stp>##V3_BDHV12</stp>
        <stp>CL1 Comdty</stp>
        <stp>30DAY_IMPVOL_110.0%MNY_DF</stp>
        <stp>05/10/2016</stp>
        <stp>05/10/2016</stp>
        <stp>[Bbg_Market_Data_CL.xlsm]data!R127C22</stp>
        <tr r="V127" s="1"/>
      </tp>
      <tp t="s">
        <v>#N/A Requesting Data...</v>
        <stp/>
        <stp>##V3_BDHV12</stp>
        <stp>CL1 Comdty</stp>
        <stp>30DAY_IMPVOL_100.0%MNY_DF</stp>
        <stp>16/03/2016</stp>
        <stp>16/03/2016</stp>
        <stp>[Bbg_Market_Data_CL.xlsm]data!R267C20</stp>
        <tr r="T267" s="1"/>
      </tp>
      <tp t="s">
        <v>#N/A Requesting Data...</v>
        <stp/>
        <stp>##V3_BDHV12</stp>
        <stp>CL1 Comdty</stp>
        <stp>30DAY_IMPVOL_100.0%MNY_DF</stp>
        <stp>13/05/2015</stp>
        <stp>13/05/2015</stp>
        <stp>[Bbg_Market_Data_CL.xlsm]data!R476C20</stp>
        <tr r="T476" s="1"/>
      </tp>
      <tp t="s">
        <v>#N/A Requesting Data...</v>
        <stp/>
        <stp>##V3_BDHV12</stp>
        <stp>CL1 Comdty</stp>
        <stp>30DAY_IMPVOL_100.0%MNY_DF</stp>
        <stp>23/06/2015</stp>
        <stp>23/06/2015</stp>
        <stp>[Bbg_Market_Data_CL.xlsm]data!R448C20</stp>
        <tr r="T448" s="1"/>
      </tp>
      <tp t="s">
        <v>#N/A Requesting Data...</v>
        <stp/>
        <stp>##V3_BDHV12</stp>
        <stp>CL1 Comdty</stp>
        <stp>30DAY_IMPVOL_100.0%MNY_DF</stp>
        <stp>24/11/2015</stp>
        <stp>24/11/2015</stp>
        <stp>[Bbg_Market_Data_CL.xlsm]data!R342C20</stp>
        <tr r="T342" s="1"/>
      </tp>
      <tp t="s">
        <v>#N/A Requesting Data...</v>
        <stp/>
        <stp>##V3_BDHV12</stp>
        <stp>CL1 Comdty</stp>
        <stp>30DAY_IMPVOL_105.0%MNY_DF</stp>
        <stp>10/05/2016</stp>
        <stp>10/05/2016</stp>
        <stp>[Bbg_Market_Data_CL.xlsm]data!R229C19</stp>
        <tr r="S229" s="1"/>
      </tp>
      <tp t="s">
        <v>#N/A Requesting Data...</v>
        <stp/>
        <stp>##V3_BDHV12</stp>
        <stp>CL1 Comdty</stp>
        <stp>30DAY_IMPVOL_110.0%MNY_DF</stp>
        <stp>13/04/2015</stp>
        <stp>13/04/2015</stp>
        <stp>[Bbg_Market_Data_CL.xlsm]data!R498C22</stp>
        <tr r="V498" s="1"/>
      </tp>
      <tp t="s">
        <v>#N/A Requesting Data...</v>
        <stp/>
        <stp>##V3_BDHV12</stp>
        <stp>CL1 Comdty</stp>
        <stp>30DAY_IMPVOL_105.0%MNY_DF</stp>
        <stp>20/06/2016</stp>
        <stp>20/06/2016</stp>
        <stp>[Bbg_Market_Data_CL.xlsm]data!R201C19</stp>
        <tr r="S201" s="1"/>
      </tp>
      <tp t="s">
        <v>#N/A Requesting Data...</v>
        <stp/>
        <stp>##V3_BDHV12</stp>
        <stp>CL2 Comdty</stp>
        <stp>RSI_9D</stp>
        <stp>06/08/2015</stp>
        <stp>06/08/2015</stp>
        <stp>[Bbg_Market_Data_CL.xlsm]data!R418C12</stp>
        <tr r="L418" s="1"/>
      </tp>
      <tp t="s">
        <v>#N/A Requesting Data...</v>
        <stp/>
        <stp>##V3_BDHV12</stp>
        <stp>CL1 Comdty</stp>
        <stp>RSI_9D</stp>
        <stp>27/08/2015</stp>
        <stp>27/08/2015</stp>
        <stp>[Bbg_Market_Data_CL.xlsm]data!R403C12</stp>
        <tr r="L403" s="1"/>
      </tp>
      <tp t="s">
        <v>#N/A Requesting Data...</v>
        <stp/>
        <stp>##V3_BDHV12</stp>
        <stp>CL2 Comdty</stp>
        <stp>RSI_9D</stp>
        <stp>17/08/2015</stp>
        <stp>17/08/2015</stp>
        <stp>[Bbg_Market_Data_CL.xlsm]data!R411C12</stp>
        <tr r="L411" s="1"/>
      </tp>
      <tp t="s">
        <v>#N/A Requesting Data...</v>
        <stp/>
        <stp>##V3_BDHV12</stp>
        <stp>CL2 Comdty</stp>
        <stp>RSI_9D</stp>
        <stp>24/08/2015</stp>
        <stp>24/08/2015</stp>
        <stp>[Bbg_Market_Data_CL.xlsm]data!R406C12</stp>
        <tr r="L406" s="1"/>
      </tp>
      <tp t="s">
        <v>#N/A Requesting Data...</v>
        <stp/>
        <stp>##V3_BDHV12</stp>
        <stp>CL1 Comdty</stp>
        <stp>RSI_9D</stp>
        <stp>14/08/2015</stp>
        <stp>14/08/2015</stp>
        <stp>[Bbg_Market_Data_CL.xlsm]data!R412C12</stp>
        <tr r="L412" s="1"/>
      </tp>
      <tp t="s">
        <v>#N/A Requesting Data...</v>
        <stp/>
        <stp>##V3_BDHV12</stp>
        <stp>CL1 Comdty</stp>
        <stp>RSI_9D</stp>
        <stp>05/08/2015</stp>
        <stp>05/08/2015</stp>
        <stp>[Bbg_Market_Data_CL.xlsm]data!R419C12</stp>
        <tr r="L419" s="1"/>
      </tp>
      <tp t="s">
        <v>#N/A Requesting Data...</v>
        <stp/>
        <stp>##V3_BDHV12</stp>
        <stp>CL2 Comdty</stp>
        <stp>RSI_9D</stp>
        <stp>25/09/2015</stp>
        <stp>25/09/2015</stp>
        <stp>[Bbg_Market_Data_CL.xlsm]data!R383C12</stp>
        <tr r="L383" s="1"/>
      </tp>
      <tp t="s">
        <v>#N/A Requesting Data...</v>
        <stp/>
        <stp>##V3_BDHV12</stp>
        <stp>CL1 Comdty</stp>
        <stp>RSI_9D</stp>
        <stp>15/09/2015</stp>
        <stp>15/09/2015</stp>
        <stp>[Bbg_Market_Data_CL.xlsm]data!R391C12</stp>
        <tr r="L391" s="1"/>
      </tp>
      <tp t="s">
        <v>#N/A Requesting Data...</v>
        <stp/>
        <stp>##V3_BDHV12</stp>
        <stp>CL1 Comdty</stp>
        <stp>RSI_9D</stp>
        <stp>24/08/2016</stp>
        <stp>24/08/2016</stp>
        <stp>[Bbg_Market_Data_CL.xlsm]data!R157C12</stp>
        <tr r="L157" s="1"/>
      </tp>
      <tp t="s">
        <v>#N/A Requesting Data...</v>
        <stp/>
        <stp>##V3_BDHV12</stp>
        <stp>CL1 Comdty</stp>
        <stp>RSI_9D</stp>
        <stp>04/09/2015</stp>
        <stp>04/09/2015</stp>
        <stp>[Bbg_Market_Data_CL.xlsm]data!R397C12</stp>
        <tr r="L397" s="1"/>
      </tp>
      <tp t="s">
        <v>#N/A Requesting Data...</v>
        <stp/>
        <stp>##V3_BDHV12</stp>
        <stp>CL2 Comdty</stp>
        <stp>RSI_9D</stp>
        <stp>15/09/2016</stp>
        <stp>15/09/2016</stp>
        <stp>[Bbg_Market_Data_CL.xlsm]data!R142C12</stp>
        <tr r="L142" s="1"/>
      </tp>
      <tp t="s">
        <v>#N/A Requesting Data...</v>
        <stp/>
        <stp>##V3_BDHV12</stp>
        <stp>CL2 Comdty</stp>
        <stp>RSI_9D</stp>
        <stp>05/08/2016</stp>
        <stp>05/08/2016</stp>
        <stp>[Bbg_Market_Data_CL.xlsm]data!R169C12</stp>
        <tr r="L169" s="1"/>
      </tp>
      <tp t="s">
        <v>#N/A Requesting Data...</v>
        <stp/>
        <stp>##V3_BDHV12</stp>
        <stp>CL2 Comdty</stp>
        <stp>RSI_9D</stp>
        <stp>26/09/2016</stp>
        <stp>26/09/2016</stp>
        <stp>[Bbg_Market_Data_CL.xlsm]data!R135C12</stp>
        <tr r="L135" s="1"/>
      </tp>
      <tp t="s">
        <v>#N/A Requesting Data...</v>
        <stp/>
        <stp>##V3_BDHV12</stp>
        <stp>CL1 Comdty</stp>
        <stp>RSI_9D</stp>
        <stp>16/09/2016</stp>
        <stp>16/09/2016</stp>
        <stp>[Bbg_Market_Data_CL.xlsm]data!R141C12</stp>
        <tr r="L141" s="1"/>
      </tp>
      <tp t="s">
        <v>#N/A Requesting Data...</v>
        <stp/>
        <stp>##V3_BDHV12</stp>
        <stp>CL2 Comdty</stp>
        <stp>RSI_9D</stp>
        <stp>16/09/2015</stp>
        <stp>16/09/2015</stp>
        <stp>[Bbg_Market_Data_CL.xlsm]data!R390C12</stp>
        <tr r="L390" s="1"/>
      </tp>
      <tp t="s">
        <v>#N/A Requesting Data...</v>
        <stp/>
        <stp>##V3_BDHV12</stp>
        <stp>CL1 Comdty</stp>
        <stp>RSI_9D</stp>
        <stp>07/09/2016</stp>
        <stp>07/09/2016</stp>
        <stp>[Bbg_Market_Data_CL.xlsm]data!R148C12</stp>
        <tr r="L148" s="1"/>
      </tp>
      <tp t="s">
        <v>#N/A Requesting Data...</v>
        <stp/>
        <stp>##V3_BDHV12</stp>
        <stp>CL1 Comdty</stp>
        <stp>RSI_9D</stp>
        <stp>17/08/2016</stp>
        <stp>17/08/2016</stp>
        <stp>[Bbg_Market_Data_CL.xlsm]data!R162C12</stp>
        <tr r="L162" s="1"/>
      </tp>
      <tp t="s">
        <v>#N/A Requesting Data...</v>
        <stp/>
        <stp>##V3_BDHV12</stp>
        <stp>CL1 Comdty</stp>
        <stp>RSI_9D</stp>
        <stp>18/07/2016</stp>
        <stp>18/07/2016</stp>
        <stp>[Bbg_Market_Data_CL.xlsm]data!R183C12</stp>
        <tr r="L183" s="1"/>
      </tp>
      <tp t="s">
        <v>#N/A Requesting Data...</v>
        <stp/>
        <stp>##V3_BDHV12</stp>
        <stp>CL2 Comdty</stp>
        <stp>RSI_9D</stp>
        <stp>28/07/2016</stp>
        <stp>28/07/2016</stp>
        <stp>[Bbg_Market_Data_CL.xlsm]data!R175C12</stp>
        <tr r="L175" s="1"/>
      </tp>
      <tp t="s">
        <v>#N/A Requesting Data...</v>
        <stp/>
        <stp>##V3_BDHV12</stp>
        <stp>CL2 Comdty</stp>
        <stp>RSI_9D</stp>
        <stp>29/06/2016</stp>
        <stp>29/06/2016</stp>
        <stp>[Bbg_Market_Data_CL.xlsm]data!R195C12</stp>
        <tr r="L195" s="1"/>
      </tp>
      <tp t="s">
        <v>#N/A Requesting Data...</v>
        <stp/>
        <stp>##V3_BDHV12</stp>
        <stp>CL2 Comdty</stp>
        <stp>RSI_9D</stp>
        <stp>19/05/2016</stp>
        <stp>19/05/2016</stp>
        <stp>[Bbg_Market_Data_CL.xlsm]data!R223C12</stp>
        <tr r="L223" s="1"/>
      </tp>
      <tp t="s">
        <v>#N/A Requesting Data...</v>
        <stp/>
        <stp>##V3_BDHV12</stp>
        <stp>CL1 Comdty</stp>
        <stp>RSI_9D</stp>
        <stp>08/06/2016</stp>
        <stp>08/06/2016</stp>
        <stp>[Bbg_Market_Data_CL.xlsm]data!R210C12</stp>
        <tr r="L210" s="1"/>
      </tp>
      <tp t="s">
        <v>#N/A Requesting Data...</v>
        <stp/>
        <stp>##V3_BDHV12</stp>
        <stp>CL1 Comdty</stp>
        <stp>RSI_9D</stp>
        <stp>28/04/2016</stp>
        <stp>28/04/2016</stp>
        <stp>[Bbg_Market_Data_CL.xlsm]data!R238C12</stp>
        <tr r="L238" s="1"/>
      </tp>
      <tp t="s">
        <v>#N/A Requesting Data...</v>
        <stp/>
        <stp>##V3_BDHV12</stp>
        <stp>CL2 Comdty</stp>
        <stp>RSI_9D</stp>
        <stp>18/04/2016</stp>
        <stp>18/04/2016</stp>
        <stp>[Bbg_Market_Data_CL.xlsm]data!R246C12</stp>
        <tr r="L246" s="1"/>
      </tp>
      <tp t="s">
        <v>#N/A Requesting Data...</v>
        <stp/>
        <stp>##V3_BDHV12</stp>
        <stp>CL1 Comdty</stp>
        <stp>RSI_9D</stp>
        <stp>08/05/2015</stp>
        <stp>08/05/2015</stp>
        <stp>[Bbg_Market_Data_CL.xlsm]data!R480C12</stp>
        <tr r="L480" s="1"/>
      </tp>
      <tp t="s">
        <v>#N/A Requesting Data...</v>
        <stp/>
        <stp>##V3_BDHV12</stp>
        <stp>CL2 Comdty</stp>
        <stp>RSI_9D</stp>
        <stp>28/04/2015</stp>
        <stp>28/04/2015</stp>
        <stp>[Bbg_Market_Data_CL.xlsm]data!R488C12</stp>
        <tr r="L488" s="1"/>
      </tp>
      <tp t="s">
        <v>#N/A Requesting Data...</v>
        <stp/>
        <stp>##V3_BDHV12</stp>
        <stp>CL1 Comdty</stp>
        <stp>RSI_9D</stp>
        <stp>28/07/2015</stp>
        <stp>28/07/2015</stp>
        <stp>[Bbg_Market_Data_CL.xlsm]data!R425C12</stp>
        <tr r="L425" s="1"/>
      </tp>
      <tp t="s">
        <v>#N/A Requesting Data...</v>
        <stp/>
        <stp>##V3_BDHV12</stp>
        <stp>CL2 Comdty</stp>
        <stp>RSI_9D</stp>
        <stp>08/06/2015</stp>
        <stp>08/06/2015</stp>
        <stp>[Bbg_Market_Data_CL.xlsm]data!R460C12</stp>
        <tr r="L460" s="1"/>
      </tp>
      <tp t="s">
        <v>#N/A Requesting Data...</v>
        <stp/>
        <stp>##V3_BDHV12</stp>
        <stp>CL2 Comdty</stp>
        <stp>RSI_9D</stp>
        <stp>09/07/2015</stp>
        <stp>09/07/2015</stp>
        <stp>[Bbg_Market_Data_CL.xlsm]data!R438C12</stp>
        <tr r="L438" s="1"/>
      </tp>
      <tp t="s">
        <v>#N/A Requesting Data...</v>
        <stp/>
        <stp>##V3_BDHV12</stp>
        <stp>CL1 Comdty</stp>
        <stp>RSI_9D</stp>
        <stp>29/06/2015</stp>
        <stp>29/06/2015</stp>
        <stp>[Bbg_Market_Data_CL.xlsm]data!R445C12</stp>
        <tr r="L445" s="1"/>
      </tp>
      <tp t="s">
        <v>#N/A Requesting Data...</v>
        <stp/>
        <stp>##V3_BDHV12</stp>
        <stp>CL2 Comdty</stp>
        <stp>RSI_9D</stp>
        <stp>19/06/2015</stp>
        <stp>19/06/2015</stp>
        <stp>[Bbg_Market_Data_CL.xlsm]data!R451C12</stp>
        <tr r="L451" s="1"/>
      </tp>
      <tp t="s">
        <v>#N/A Requesting Data...</v>
        <stp/>
        <stp>##V3_BDHV12</stp>
        <stp>CL2 Comdty</stp>
        <stp>RSI_9D</stp>
        <stp>29/05/2015</stp>
        <stp>29/05/2015</stp>
        <stp>[Bbg_Market_Data_CL.xlsm]data!R466C12</stp>
        <tr r="L466" s="1"/>
      </tp>
      <tp t="s">
        <v>#N/A Requesting Data...</v>
        <stp/>
        <stp>##V3_BDHV12</stp>
        <stp>CL1 Comdty</stp>
        <stp>RSI_9D</stp>
        <stp>19/05/2015</stp>
        <stp>19/05/2015</stp>
        <stp>[Bbg_Market_Data_CL.xlsm]data!R473C12</stp>
        <tr r="L473" s="1"/>
      </tp>
      <tp t="s">
        <v>#N/A Requesting Data...</v>
        <stp/>
        <stp>##V3_BDHV12</stp>
        <stp>CL1 Comdty</stp>
        <stp>30DAY_IMPVOL_100.0%MNY_DF</stp>
        <stp>11/05/2016</stp>
        <stp>11/05/2016</stp>
        <stp>[Bbg_Market_Data_CL.xlsm]data!R228C20</stp>
        <tr r="T228" s="1"/>
      </tp>
      <tp t="s">
        <v>#N/A Requesting Data...</v>
        <stp/>
        <stp>##V3_BDHV12</stp>
        <stp>CL1 Comdty</stp>
        <stp>30DAY_IMPVOL_100.0%MNY_DF</stp>
        <stp>21/06/2016</stp>
        <stp>21/06/2016</stp>
        <stp>[Bbg_Market_Data_CL.xlsm]data!R200C20</stp>
        <tr r="T200" s="1"/>
      </tp>
      <tp t="s">
        <v>#N/A Requesting Data...</v>
        <stp/>
        <stp>##V3_BDHV12</stp>
        <stp>CL1 Comdty</stp>
        <stp>30DAY_IMPVOL_110.0%MNY_DF</stp>
        <stp>11/04/2016</stp>
        <stp>11/04/2016</stp>
        <stp>[Bbg_Market_Data_CL.xlsm]data!R250C22</stp>
        <tr r="V250" s="1"/>
      </tp>
      <tp t="s">
        <v>#N/A Requesting Data...</v>
        <stp/>
        <stp>##V3_BDHV12</stp>
        <stp>CL1 Comdty</stp>
        <stp>30DAY_IMPVOL_100.0%MNY_DF</stp>
        <stp>01/04/2016</stp>
        <stp>01/04/2016</stp>
        <stp>[Bbg_Market_Data_CL.xlsm]data!R256C20</stp>
        <tr r="T256" s="1"/>
      </tp>
      <tp t="s">
        <v>#N/A Requesting Data...</v>
        <stp/>
        <stp>##V3_BDHV12</stp>
        <stp>CL1 Comdty</stp>
        <stp>30DAY_IMPVOL_105.0%MNY_DF</stp>
        <stp>14/10/2016</stp>
        <stp>14/10/2016</stp>
        <stp>[Bbg_Market_Data_CL.xlsm]data!R121C19</stp>
        <tr r="S121" s="1"/>
      </tp>
      <tp t="s">
        <v>#N/A Requesting Data...</v>
        <stp/>
        <stp>##V3_BDHV12</stp>
        <stp>CL1 Comdty</stp>
        <stp>30DAY_IMPVOL_110.0%MNY_DF</stp>
        <stp>12/07/2016</stp>
        <stp>12/07/2016</stp>
        <stp>[Bbg_Market_Data_CL.xlsm]data!R186C22</stp>
        <tr r="V186" s="1"/>
      </tp>
      <tp t="s">
        <v>#N/A Requesting Data...</v>
        <stp/>
        <stp>##V3_BDHV12</stp>
        <stp>CL1 Comdty</stp>
        <stp>30DAY_IMPVOL_105.0%MNY_DF</stp>
        <stp>15/12/2015</stp>
        <stp>15/12/2015</stp>
        <stp>[Bbg_Market_Data_CL.xlsm]data!R328C19</stp>
        <tr r="S328" s="1"/>
      </tp>
      <tp t="s">
        <v>#N/A Requesting Data...</v>
        <stp/>
        <stp>##V3_BDHV12</stp>
        <stp>CL1 Comdty</stp>
        <stp>30DAY_IMPVOL_105.0%MNY_DF</stp>
        <stp>04/11/2016</stp>
        <stp>04/11/2016</stp>
        <stp>[Bbg_Market_Data_CL.xlsm]data!R106C19</stp>
        <tr r="S106" s="1"/>
      </tp>
      <tp t="s">
        <v>#N/A Requesting Data...</v>
        <stp/>
        <stp>##V3_BDHV12</stp>
        <stp>CL1 Comdty</stp>
        <stp>30DAY_IMPVOL_105.0%MNY_DF</stp>
        <stp>26/01/2016</stp>
        <stp>26/01/2016</stp>
        <stp>[Bbg_Market_Data_CL.xlsm]data!R301C19</stp>
        <tr r="S301" s="1"/>
      </tp>
      <tp t="s">
        <v>#N/A Requesting Data...</v>
        <stp/>
        <stp>##V3_BDHV12</stp>
        <stp>CL1 Comdty</stp>
        <stp>30DAY_IMPVOL_105.0%MNY_DF</stp>
        <stp>12/05/2015</stp>
        <stp>12/05/2015</stp>
        <stp>[Bbg_Market_Data_CL.xlsm]data!R477C19</stp>
        <tr r="S477" s="1"/>
      </tp>
      <tp t="s">
        <v>#N/A Requesting Data...</v>
        <stp/>
        <stp>##V3_BDHV12</stp>
        <stp>CL1 Comdty</stp>
        <stp>30DAY_IMPVOL_105.0%MNY_DF</stp>
        <stp>17/03/2016</stp>
        <stp>17/03/2016</stp>
        <stp>[Bbg_Market_Data_CL.xlsm]data!R266C19</stp>
        <tr r="S266" s="1"/>
      </tp>
      <tp t="s">
        <v>#N/A Requesting Data...</v>
        <stp/>
        <stp>##V3_BDHV12</stp>
        <stp>CL1 Comdty</stp>
        <stp>30DAY_IMPVOL_105.0%MNY_DF</stp>
        <stp>25/11/2015</stp>
        <stp>25/11/2015</stp>
        <stp>[Bbg_Market_Data_CL.xlsm]data!R341C19</stp>
        <tr r="S341" s="1"/>
      </tp>
      <tp t="s">
        <v>#N/A Requesting Data...</v>
        <stp/>
        <stp>##V3_BDHV12</stp>
        <stp>CL1 Comdty</stp>
        <stp>30DAY_IMPVOL_105.0%MNY_DF</stp>
        <stp>22/06/2015</stp>
        <stp>22/06/2015</stp>
        <stp>[Bbg_Market_Data_CL.xlsm]data!R449C19</stp>
        <tr r="S449" s="1"/>
      </tp>
      <tp t="s">
        <v>#N/A Requesting Data...</v>
        <stp/>
        <stp>##V3_BDHV12</stp>
        <stp>CL1 Comdty</stp>
        <stp>30DAY_IMPVOL_110.0%MNY_DF</stp>
        <stp>20/06/2016</stp>
        <stp>20/06/2016</stp>
        <stp>[Bbg_Market_Data_CL.xlsm]data!R201C22</stp>
        <tr r="V201" s="1"/>
      </tp>
      <tp t="s">
        <v>#N/A Requesting Data...</v>
        <stp/>
        <stp>##V3_BDHV12</stp>
        <stp>CL1 Comdty</stp>
        <stp>30DAY_IMPVOL_105.0%MNY_DF</stp>
        <stp>13/04/2015</stp>
        <stp>13/04/2015</stp>
        <stp>[Bbg_Market_Data_CL.xlsm]data!R498C19</stp>
        <tr r="S498" s="1"/>
      </tp>
      <tp t="s">
        <v>#N/A Requesting Data...</v>
        <stp/>
        <stp>##V3_BDHV12</stp>
        <stp>CL1 Comdty</stp>
        <stp>30DAY_IMPVOL_110.0%MNY_DF</stp>
        <stp>10/05/2016</stp>
        <stp>10/05/2016</stp>
        <stp>[Bbg_Market_Data_CL.xlsm]data!R229C22</stp>
        <tr r="V229" s="1"/>
      </tp>
      <tp t="s">
        <v>#N/A Requesting Data...</v>
        <stp/>
        <stp>##V3_BDHV12</stp>
        <stp>CL1 Comdty</stp>
        <stp>30DAY_IMPVOL_105.0%MNY_DF</stp>
        <stp>05/10/2016</stp>
        <stp>05/10/2016</stp>
        <stp>[Bbg_Market_Data_CL.xlsm]data!R127C19</stp>
        <tr r="S127" s="1"/>
      </tp>
      <tp t="s">
        <v>#N/A Requesting Data...</v>
        <stp/>
        <stp>##V3_BDHV12</stp>
        <stp>CL1 Comdty</stp>
        <stp>30DAY_IMPVOL_105.0%MNY_DF</stp>
        <stp>23/07/2015</stp>
        <stp>23/07/2015</stp>
        <stp>[Bbg_Market_Data_CL.xlsm]data!R427C19</stp>
        <tr r="S427" s="1"/>
      </tp>
      <tp t="s">
        <v>#N/A Requesting Data...</v>
        <stp/>
        <stp>##V3_BDHV12</stp>
        <stp>CL1 Comdty</stp>
        <stp>30DAY_IMPVOL_105.0%MNY_DF</stp>
        <stp>04/12/2015</stp>
        <stp>04/12/2015</stp>
        <stp>[Bbg_Market_Data_CL.xlsm]data!R335C19</stp>
        <tr r="S335" s="1"/>
      </tp>
      <tp t="s">
        <v>#N/A Requesting Data...</v>
        <stp/>
        <stp>##V3_BDHV12</stp>
        <stp>CL1 Comdty</stp>
        <stp>30DAY_IMPVOL_105.0%MNY_DF</stp>
        <stp>15/11/2016</stp>
        <stp>15/11/2016</stp>
        <stp>[Bbg_Market_Data_CL.xlsm]data!R100C19</stp>
        <tr r="S100" s="1"/>
      </tp>
      <tp t="s">
        <v>#N/A Requesting Data...</v>
        <stp/>
        <stp>##V3_BDHV12</stp>
        <stp>CL1 Comdty</stp>
        <stp>30DAY_IMPVOL_100.0%MNY_DF</stp>
        <stp>13/07/2016</stp>
        <stp>13/07/2016</stp>
        <stp>[Bbg_Market_Data_CL.xlsm]data!R185C20</stp>
        <tr r="T185" s="1"/>
      </tp>
      <tp t="s">
        <v>#N/A Requesting Data...</v>
        <stp/>
        <stp>##V3_BDHV12</stp>
        <stp>CL1 Comdty</stp>
        <stp>30DAY_IMPVOL_110.0%MNY_DF</stp>
        <stp>13/06/2016</stp>
        <stp>13/06/2016</stp>
        <stp>[Bbg_Market_Data_CL.xlsm]data!R206C22</stp>
        <tr r="V206" s="1"/>
      </tp>
      <tp t="s">
        <v>#N/A Requesting Data...</v>
        <stp/>
        <stp>##V3_BDHV12</stp>
        <stp>CL1 Comdty</stp>
        <stp>30DAY_IMPVOL_105.0%MNY_DF</stp>
        <stp>20/04/2015</stp>
        <stp>20/04/2015</stp>
        <stp>[Bbg_Market_Data_CL.xlsm]data!R493C19</stp>
        <tr r="S493" s="1"/>
      </tp>
      <tp t="s">
        <v>#N/A Requesting Data...</v>
        <stp/>
        <stp>##V3_BDHV12</stp>
        <stp>CL1 Comdty</stp>
        <stp>30DAY_IMPVOL_110.0%MNY_DF</stp>
        <stp>23/05/2016</stp>
        <stp>23/05/2016</stp>
        <stp>[Bbg_Market_Data_CL.xlsm]data!R220C22</stp>
        <tr r="V220" s="1"/>
      </tp>
      <tp t="s">
        <v>#N/A Requesting Data...</v>
        <stp/>
        <stp>##V3_BDHV12</stp>
        <stp>CL1 Comdty</stp>
        <stp>30DAY_IMPVOL_105.0%MNY_DF</stp>
        <stp>25/02/2016</stp>
        <stp>25/02/2016</stp>
        <stp>[Bbg_Market_Data_CL.xlsm]data!R281C19</stp>
        <tr r="S281" s="1"/>
      </tp>
      <tp t="s">
        <v>#N/A Requesting Data...</v>
        <stp/>
        <stp>##V3_BDHV12</stp>
        <stp>CL1 Comdty</stp>
        <stp>30DAY_IMPVOL_100.0%MNY_DF</stp>
        <stp>03/06/2016</stp>
        <stp>03/06/2016</stp>
        <stp>[Bbg_Market_Data_CL.xlsm]data!R212C20</stp>
        <tr r="T212" s="1"/>
      </tp>
      <tp t="s">
        <v>#N/A Requesting Data...</v>
        <stp/>
        <stp>##V3_BDHV12</stp>
        <stp>CL1 Comdty</stp>
        <stp>30DAY_IMPVOL_105.0%MNY_DF</stp>
        <stp>10/07/2015</stp>
        <stp>10/07/2015</stp>
        <stp>[Bbg_Market_Data_CL.xlsm]data!R436C19</stp>
        <tr r="S436" s="1"/>
      </tp>
      <tp t="s">
        <v>#N/A Requesting Data...</v>
        <stp/>
        <stp>##V3_BDHV12</stp>
        <stp>CL1 Comdty</stp>
        <stp>30DAY_IMPVOL_100.0%MNY_DF</stp>
        <stp>20/07/2016</stp>
        <stp>20/07/2016</stp>
        <stp>[Bbg_Market_Data_CL.xlsm]data!R180C20</stp>
        <tr r="T180" s="1"/>
      </tp>
      <tp t="s">
        <v>#N/A Requesting Data...</v>
        <stp/>
        <stp>##V3_BDHV12</stp>
        <stp>CL1 Comdty</stp>
        <stp>30DAY_IMPVOL_105.0%MNY_DF</stp>
        <stp>04/01/2016</stp>
        <stp>04/01/2016</stp>
        <stp>[Bbg_Market_Data_CL.xlsm]data!R316C19</stp>
        <tr r="S316" s="1"/>
      </tp>
      <tp t="s">
        <v>#N/A Requesting Data...</v>
        <stp/>
        <stp>##V3_BDHV12</stp>
        <stp>CL1 Comdty</stp>
        <stp>30DAY_IMPVOL_100.0%MNY_DF</stp>
        <stp>30/06/2016</stp>
        <stp>30/06/2016</stp>
        <stp>[Bbg_Market_Data_CL.xlsm]data!R193C20</stp>
        <tr r="T193" s="1"/>
      </tp>
      <tp t="s">
        <v>#N/A Requesting Data...</v>
        <stp/>
        <stp>##V3_BDHV12</stp>
        <stp>CL1 Comdty</stp>
        <stp>30DAY_IMPVOL_110.0%MNY_DF</stp>
        <stp>02/06/2016</stp>
        <stp>02/06/2016</stp>
        <stp>[Bbg_Market_Data_CL.xlsm]data!R213C22</stp>
        <tr r="V213" s="1"/>
      </tp>
      <tp t="s">
        <v>#N/A Requesting Data...</v>
        <stp/>
        <stp>##V3_BDHV12</stp>
        <stp>CL1 Comdty</stp>
        <stp>30DAY_IMPVOL_110.0%MNY_DF</stp>
        <stp>22/04/2016</stp>
        <stp>22/04/2016</stp>
        <stp>[Bbg_Market_Data_CL.xlsm]data!R241C22</stp>
        <tr r="V241" s="1"/>
      </tp>
      <tp t="s">
        <v>#N/A Requesting Data...</v>
        <stp/>
        <stp>##V3_BDHV12</stp>
        <stp>CL1 Comdty</stp>
        <stp>30DAY_IMPVOL_110.0%MNY_DF</stp>
        <stp>21/07/2016</stp>
        <stp>21/07/2016</stp>
        <stp>[Bbg_Market_Data_CL.xlsm]data!R179C22</stp>
        <tr r="V179" s="1"/>
      </tp>
      <tp t="s">
        <v>#N/A Requesting Data...</v>
        <stp/>
        <stp>##V3_BDHV12</stp>
        <stp>CL1 Comdty</stp>
        <stp>30DAY_IMPVOL_105.0%MNY_DF</stp>
        <stp>27/10/2016</stp>
        <stp>27/10/2016</stp>
        <stp>[Bbg_Market_Data_CL.xlsm]data!R112C19</stp>
        <tr r="S112" s="1"/>
      </tp>
      <tp t="s">
        <v>#N/A Requesting Data...</v>
        <stp/>
        <stp>##V3_BDHV12</stp>
        <stp>CL1 Comdty</stp>
        <stp>30DAY_IMPVOL_105.0%MNY_DF</stp>
        <stp>15/01/2016</stp>
        <stp>15/01/2016</stp>
        <stp>[Bbg_Market_Data_CL.xlsm]data!R307C19</stp>
        <tr r="S307" s="1"/>
      </tp>
      <tp t="s">
        <v>#N/A Requesting Data...</v>
        <stp/>
        <stp>##V3_BDHV12</stp>
        <stp>CL1 Comdty</stp>
        <stp>30DAY_IMPVOL_105.0%MNY_DF</stp>
        <stp>21/05/2015</stp>
        <stp>21/05/2015</stp>
        <stp>[Bbg_Market_Data_CL.xlsm]data!R470C19</stp>
        <tr r="S470" s="1"/>
      </tp>
      <tp t="s">
        <v>#N/A Requesting Data...</v>
        <stp/>
        <stp>##V3_BDHV12</stp>
        <stp>CL1 Comdty</stp>
        <stp>30DAY_IMPVOL_105.0%MNY_DF</stp>
        <stp>24/03/2016</stp>
        <stp>24/03/2016</stp>
        <stp>[Bbg_Market_Data_CL.xlsm]data!R261C19</stp>
        <tr r="S261" s="1"/>
      </tp>
      <tp t="s">
        <v>#N/A Requesting Data...</v>
        <stp/>
        <stp>##V3_BDHV12</stp>
        <stp>CL1 Comdty</stp>
        <stp>30DAY_IMPVOL_105.0%MNY_DF</stp>
        <stp>06/10/2015</stp>
        <stp>06/10/2015</stp>
        <stp>[Bbg_Market_Data_CL.xlsm]data!R375C19</stp>
        <tr r="S375" s="1"/>
      </tp>
      <tp t="s">
        <v>#N/A Requesting Data...</v>
        <stp/>
        <stp>##V3_BDHV12</stp>
        <stp>CL1 Comdty</stp>
        <stp>30DAY_IMPVOL_105.0%MNY_DF</stp>
        <stp>11/06/2015</stp>
        <stp>11/06/2015</stp>
        <stp>[Bbg_Market_Data_CL.xlsm]data!R456C19</stp>
        <tr r="S456" s="1"/>
      </tp>
      <tp t="s">
        <v>#N/A Requesting Data...</v>
        <stp/>
        <stp>##V3_BDHV12</stp>
        <stp>CL1 Comdty</stp>
        <stp>30DAY_IMPVOL_105.0%MNY_DF</stp>
        <stp>16/11/2015</stp>
        <stp>16/11/2015</stp>
        <stp>[Bbg_Market_Data_CL.xlsm]data!R348C19</stp>
        <tr r="S348" s="1"/>
      </tp>
      <tp t="s">
        <v>#N/A Requesting Data...</v>
        <stp/>
        <stp>##V3_BDHV12</stp>
        <stp>CL1 Comdty</stp>
        <stp>30DAY_IMPVOL_105.0%MNY_DF</stp>
        <stp>01/07/2015</stp>
        <stp>01/07/2015</stp>
        <stp>[Bbg_Market_Data_CL.xlsm]data!R442C19</stp>
        <tr r="S442" s="1"/>
      </tp>
      <tp t="s">
        <v>#N/A Requesting Data...</v>
        <stp/>
        <stp>##V3_BDHV12</stp>
        <stp>CL1 Comdty</stp>
        <stp>30DAY_IMPVOL_110.0%MNY_DF</stp>
        <stp>26/10/2016</stp>
        <stp>26/10/2016</stp>
        <stp>[Bbg_Market_Data_CL.xlsm]data!R113C22</stp>
        <tr r="V113" s="1"/>
      </tp>
      <tp t="s">
        <v>#N/A Requesting Data...</v>
        <stp/>
        <stp>##V3_BDHV12</stp>
        <stp>CL1 Comdty</stp>
        <stp>30DAY_IMPVOL_110.0%MNY_DF</stp>
        <stp>14/01/2016</stp>
        <stp>14/01/2016</stp>
        <stp>[Bbg_Market_Data_CL.xlsm]data!R308C22</stp>
        <tr r="V308" s="1"/>
      </tp>
      <tp t="s">
        <v>#N/A Requesting Data...</v>
        <stp/>
        <stp>##V3_BDHV12</stp>
        <stp>CL1 Comdty</stp>
        <stp>30DAY_IMPVOL_100.0%MNY_DF</stp>
        <stp>10/07/2015</stp>
        <stp>10/07/2015</stp>
        <stp>[Bbg_Market_Data_CL.xlsm]data!R436C20</stp>
        <tr r="T436" s="1"/>
      </tp>
      <tp t="s">
        <v>#N/A Requesting Data...</v>
        <stp/>
        <stp>##V3_BDHV12</stp>
        <stp>CL1 Comdty</stp>
        <stp>30DAY_IMPVOL_105.0%MNY_DF</stp>
        <stp>30/06/2016</stp>
        <stp>30/06/2016</stp>
        <stp>[Bbg_Market_Data_CL.xlsm]data!R193C19</stp>
        <tr r="S193" s="1"/>
      </tp>
      <tp t="s">
        <v>#N/A Requesting Data...</v>
        <stp/>
        <stp>##V3_BDHV12</stp>
        <stp>CL1 Comdty</stp>
        <stp>30DAY_IMPVOL_105.0%MNY_DF</stp>
        <stp>20/07/2016</stp>
        <stp>20/07/2016</stp>
        <stp>[Bbg_Market_Data_CL.xlsm]data!R180C19</stp>
        <tr r="S180" s="1"/>
      </tp>
      <tp t="s">
        <v>#N/A Requesting Data...</v>
        <stp/>
        <stp>##V3_BDHV12</stp>
        <stp>CL1 Comdty</stp>
        <stp>30DAY_IMPVOL_100.0%MNY_DF</stp>
        <stp>04/01/2016</stp>
        <stp>04/01/2016</stp>
        <stp>[Bbg_Market_Data_CL.xlsm]data!R316C20</stp>
        <tr r="T316" s="1"/>
      </tp>
      <tp t="s">
        <v>#N/A Requesting Data...</v>
        <stp/>
        <stp>##V3_BDHV12</stp>
        <stp>CL1 Comdty</stp>
        <stp>30DAY_IMPVOL_110.0%MNY_DF</stp>
        <stp>10/06/2015</stp>
        <stp>10/06/2015</stp>
        <stp>[Bbg_Market_Data_CL.xlsm]data!R457C22</stp>
        <tr r="V457" s="1"/>
      </tp>
      <tp t="s">
        <v>#N/A Requesting Data...</v>
        <stp/>
        <stp>##V3_BDHV12</stp>
        <stp>CL1 Comdty</stp>
        <stp>30DAY_IMPVOL_110.0%MNY_DF</stp>
        <stp>17/11/2015</stp>
        <stp>17/11/2015</stp>
        <stp>[Bbg_Market_Data_CL.xlsm]data!R347C22</stp>
        <tr r="V347" s="1"/>
      </tp>
      <tp t="s">
        <v>#N/A Requesting Data...</v>
        <stp/>
        <stp>##V3_BDHV12</stp>
        <stp>CL1 Comdty</stp>
        <stp>30DAY_IMPVOL_110.0%MNY_DF</stp>
        <stp>07/10/2015</stp>
        <stp>07/10/2015</stp>
        <stp>[Bbg_Market_Data_CL.xlsm]data!R374C22</stp>
        <tr r="V374" s="1"/>
      </tp>
      <tp t="s">
        <v>#N/A Requesting Data...</v>
        <stp/>
        <stp>##V3_BDHV12</stp>
        <stp>CL1 Comdty</stp>
        <stp>30DAY_IMPVOL_110.0%MNY_DF</stp>
        <stp>20/05/2015</stp>
        <stp>20/05/2015</stp>
        <stp>[Bbg_Market_Data_CL.xlsm]data!R471C22</stp>
        <tr r="V471" s="1"/>
      </tp>
      <tp t="s">
        <v>#N/A Requesting Data...</v>
        <stp/>
        <stp>##V3_BDHV12</stp>
        <stp>CL1 Comdty</stp>
        <stp>30DAY_IMPVOL_110.0%MNY_DF</stp>
        <stp>30/04/2015</stp>
        <stp>30/04/2015</stp>
        <stp>[Bbg_Market_Data_CL.xlsm]data!R485C22</stp>
        <tr r="V485" s="1"/>
      </tp>
      <tp t="s">
        <v>#N/A Requesting Data...</v>
        <stp/>
        <stp>##V3_BDHV12</stp>
        <stp>CL1 Comdty</stp>
        <stp>30DAY_IMPVOL_100.0%MNY_DF</stp>
        <stp>25/02/2016</stp>
        <stp>25/02/2016</stp>
        <stp>[Bbg_Market_Data_CL.xlsm]data!R281C20</stp>
        <tr r="T281" s="1"/>
      </tp>
      <tp t="s">
        <v>#N/A Requesting Data...</v>
        <stp/>
        <stp>##V3_BDHV12</stp>
        <stp>CL1 Comdty</stp>
        <stp>30DAY_IMPVOL_105.0%MNY_DF</stp>
        <stp>03/06/2016</stp>
        <stp>03/06/2016</stp>
        <stp>[Bbg_Market_Data_CL.xlsm]data!R212C19</stp>
        <tr r="S212" s="1"/>
      </tp>
      <tp t="s">
        <v>#N/A Requesting Data...</v>
        <stp/>
        <stp>##V3_BDHV12</stp>
        <stp>CL1 Comdty</stp>
        <stp>30DAY_IMPVOL_100.0%MNY_DF</stp>
        <stp>20/04/2015</stp>
        <stp>20/04/2015</stp>
        <stp>[Bbg_Market_Data_CL.xlsm]data!R493C20</stp>
        <tr r="T493" s="1"/>
      </tp>
      <tp t="s">
        <v>#N/A Requesting Data...</v>
        <stp/>
        <stp>##V3_BDHV12</stp>
        <stp>CL1 Comdty</stp>
        <stp>30DAY_IMPVOL_110.0%MNY_DF</stp>
        <stp>05/01/2016</stp>
        <stp>05/01/2016</stp>
        <stp>[Bbg_Market_Data_CL.xlsm]data!R315C22</stp>
        <tr r="V315" s="1"/>
      </tp>
      <tp t="s">
        <v>#N/A Requesting Data...</v>
        <stp/>
        <stp>##V3_BDHV12</stp>
        <stp>CL1 Comdty</stp>
        <stp>30DAY_IMPVOL_100.0%MNY_DF</stp>
        <stp>27/10/2016</stp>
        <stp>27/10/2016</stp>
        <stp>[Bbg_Market_Data_CL.xlsm]data!R112C20</stp>
        <tr r="T112" s="1"/>
      </tp>
      <tp t="s">
        <v>#N/A Requesting Data...</v>
        <stp/>
        <stp>##V3_BDHV12</stp>
        <stp>CL1 Comdty</stp>
        <stp>30DAY_IMPVOL_100.0%MNY_DF</stp>
        <stp>15/01/2016</stp>
        <stp>15/01/2016</stp>
        <stp>[Bbg_Market_Data_CL.xlsm]data!R307C20</stp>
        <tr r="T307" s="1"/>
      </tp>
      <tp t="s">
        <v>#N/A Requesting Data...</v>
        <stp/>
        <stp>##V3_BDHV12</stp>
        <stp>CL1 Comdty</stp>
        <stp>30DAY_IMPVOL_100.0%MNY_DF</stp>
        <stp>24/03/2016</stp>
        <stp>24/03/2016</stp>
        <stp>[Bbg_Market_Data_CL.xlsm]data!R261C20</stp>
        <tr r="T261" s="1"/>
      </tp>
      <tp t="s">
        <v>#N/A Requesting Data...</v>
        <stp/>
        <stp>##V3_BDHV12</stp>
        <stp>CL1 Comdty</stp>
        <stp>30DAY_IMPVOL_110.0%MNY_DF</stp>
        <stp>06/11/2015</stp>
        <stp>06/11/2015</stp>
        <stp>[Bbg_Market_Data_CL.xlsm]data!R353C22</stp>
        <tr r="V353" s="1"/>
      </tp>
      <tp t="s">
        <v>#N/A Requesting Data...</v>
        <stp/>
        <stp>##V3_BDHV12</stp>
        <stp>CL1 Comdty</stp>
        <stp>30DAY_IMPVOL_100.0%MNY_DF</stp>
        <stp>06/10/2015</stp>
        <stp>06/10/2015</stp>
        <stp>[Bbg_Market_Data_CL.xlsm]data!R375C20</stp>
        <tr r="T375" s="1"/>
      </tp>
      <tp t="s">
        <v>#N/A Requesting Data...</v>
        <stp/>
        <stp>##V3_BDHV12</stp>
        <stp>CL1 Comdty</stp>
        <stp>30DAY_IMPVOL_100.0%MNY_DF</stp>
        <stp>21/05/2015</stp>
        <stp>21/05/2015</stp>
        <stp>[Bbg_Market_Data_CL.xlsm]data!R470C20</stp>
        <tr r="T470" s="1"/>
      </tp>
      <tp t="s">
        <v>#N/A Requesting Data...</v>
        <stp/>
        <stp>##V3_BDHV12</stp>
        <stp>CL1 Comdty</stp>
        <stp>30DAY_IMPVOL_110.0%MNY_DF</stp>
        <stp>01/06/2015</stp>
        <stp>01/06/2015</stp>
        <stp>[Bbg_Market_Data_CL.xlsm]data!R464C22</stp>
        <tr r="V464" s="1"/>
      </tp>
      <tp t="s">
        <v>#N/A Requesting Data...</v>
        <stp/>
        <stp>##V3_BDHV12</stp>
        <stp>CL1 Comdty</stp>
        <stp>30DAY_IMPVOL_100.0%MNY_DF</stp>
        <stp>01/07/2015</stp>
        <stp>01/07/2015</stp>
        <stp>[Bbg_Market_Data_CL.xlsm]data!R442C20</stp>
        <tr r="T442" s="1"/>
      </tp>
      <tp t="s">
        <v>#N/A Requesting Data...</v>
        <stp/>
        <stp>##V3_BDHV12</stp>
        <stp>CL1 Comdty</stp>
        <stp>30DAY_IMPVOL_100.0%MNY_DF</stp>
        <stp>11/06/2015</stp>
        <stp>11/06/2015</stp>
        <stp>[Bbg_Market_Data_CL.xlsm]data!R456C20</stp>
        <tr r="T456" s="1"/>
      </tp>
      <tp t="s">
        <v>#N/A Requesting Data...</v>
        <stp/>
        <stp>##V3_BDHV12</stp>
        <stp>CL1 Comdty</stp>
        <stp>30DAY_IMPVOL_100.0%MNY_DF</stp>
        <stp>16/11/2015</stp>
        <stp>16/11/2015</stp>
        <stp>[Bbg_Market_Data_CL.xlsm]data!R348C20</stp>
        <tr r="T348" s="1"/>
      </tp>
      <tp t="s">
        <v>#N/A Requesting Data...</v>
        <stp/>
        <stp>##V3_BDHV12</stp>
        <stp>CL1 Comdty</stp>
        <stp>30DAY_IMPVOL_110.0%MNY_DF</stp>
        <stp>16/10/2015</stp>
        <stp>16/10/2015</stp>
        <stp>[Bbg_Market_Data_CL.xlsm]data!R368C22</stp>
        <tr r="V368" s="1"/>
      </tp>
      <tp t="s">
        <v>#N/A Requesting Data...</v>
        <stp/>
        <stp>##V3_BDHV12</stp>
        <stp>CL1 Comdty</stp>
        <stp>30DAY_IMPVOL_110.0%MNY_DF</stp>
        <stp>24/02/2016</stp>
        <stp>24/02/2016</stp>
        <stp>[Bbg_Market_Data_CL.xlsm]data!R282C22</stp>
        <tr r="V282" s="1"/>
      </tp>
      <tp t="s">
        <v>#N/A Requesting Data...</v>
        <stp/>
        <stp>##V3_BDHV12</stp>
        <stp>CL1 Comdty</stp>
        <stp>30DAY_IMPVOL_110.0%MNY_DF</stp>
        <stp>21/04/2015</stp>
        <stp>21/04/2015</stp>
        <stp>[Bbg_Market_Data_CL.xlsm]data!R492C22</stp>
        <tr r="V492" s="1"/>
      </tp>
      <tp t="s">
        <v>#N/A Requesting Data...</v>
        <stp/>
        <stp>##V3_BDHV12</stp>
        <stp>CL1 Comdty</stp>
        <stp>30DAY_IMPVOL_100.0%MNY_DF</stp>
        <stp>14/10/2016</stp>
        <stp>14/10/2016</stp>
        <stp>[Bbg_Market_Data_CL.xlsm]data!R121C20</stp>
        <tr r="T121" s="1"/>
      </tp>
      <tp t="s">
        <v>#N/A Requesting Data...</v>
        <stp/>
        <stp>##V3_BDHV12</stp>
        <stp>CL1 Comdty</stp>
        <stp>30DAY_IMPVOL_110.0%MNY_DF</stp>
        <stp>14/11/2016</stp>
        <stp>14/11/2016</stp>
        <stp>[Bbg_Market_Data_CL.xlsm]data!R101C22</stp>
        <tr r="V101" s="1"/>
      </tp>
      <tp t="s">
        <v>#N/A Requesting Data...</v>
        <stp/>
        <stp>##V3_BDHV12</stp>
        <stp>CL1 Comdty</stp>
        <stp>30DAY_IMPVOL_100.0%MNY_DF</stp>
        <stp>15/12/2015</stp>
        <stp>15/12/2015</stp>
        <stp>[Bbg_Market_Data_CL.xlsm]data!R328C20</stp>
        <tr r="T328" s="1"/>
      </tp>
      <tp t="s">
        <v>#N/A Requesting Data...</v>
        <stp/>
        <stp>##V3_BDHV12</stp>
        <stp>CL1 Comdty</stp>
        <stp>30DAY_IMPVOL_100.0%MNY_DF</stp>
        <stp>26/01/2016</stp>
        <stp>26/01/2016</stp>
        <stp>[Bbg_Market_Data_CL.xlsm]data!R301C20</stp>
        <tr r="T301" s="1"/>
      </tp>
      <tp t="s">
        <v>#N/A Requesting Data...</v>
        <stp/>
        <stp>##V3_BDHV12</stp>
        <stp>CL1 Comdty</stp>
        <stp>30DAY_IMPVOL_110.0%MNY_DF</stp>
        <stp>22/07/2015</stp>
        <stp>22/07/2015</stp>
        <stp>[Bbg_Market_Data_CL.xlsm]data!R428C22</stp>
        <tr r="V428" s="1"/>
      </tp>
      <tp t="s">
        <v>#N/A Requesting Data...</v>
        <stp/>
        <stp>##V3_BDHV12</stp>
        <stp>CL1 Comdty</stp>
        <stp>30DAY_IMPVOL_100.0%MNY_DF</stp>
        <stp>04/11/2016</stp>
        <stp>04/11/2016</stp>
        <stp>[Bbg_Market_Data_CL.xlsm]data!R106C20</stp>
        <tr r="T106" s="1"/>
      </tp>
      <tp t="s">
        <v>#N/A Requesting Data...</v>
        <stp/>
        <stp>##V3_BDHV12</stp>
        <stp>CL1 Comdty</stp>
        <stp>30DAY_IMPVOL_110.0%MNY_DF</stp>
        <stp>04/10/2016</stp>
        <stp>04/10/2016</stp>
        <stp>[Bbg_Market_Data_CL.xlsm]data!R128C22</stp>
        <tr r="V128" s="1"/>
      </tp>
      <tp t="s">
        <v>#N/A Requesting Data...</v>
        <stp/>
        <stp>##V3_BDHV12</stp>
        <stp>CL1 Comdty</stp>
        <stp>30DAY_IMPVOL_100.0%MNY_DF</stp>
        <stp>17/03/2016</stp>
        <stp>17/03/2016</stp>
        <stp>[Bbg_Market_Data_CL.xlsm]data!R266C20</stp>
        <tr r="T266" s="1"/>
      </tp>
      <tp t="s">
        <v>#N/A Requesting Data...</v>
        <stp/>
        <stp>##V3_BDHV12</stp>
        <stp>CL1 Comdty</stp>
        <stp>30DAY_IMPVOL_100.0%MNY_DF</stp>
        <stp>12/05/2015</stp>
        <stp>12/05/2015</stp>
        <stp>[Bbg_Market_Data_CL.xlsm]data!R477C20</stp>
        <tr r="T477" s="1"/>
      </tp>
      <tp t="s">
        <v>#N/A Requesting Data...</v>
        <stp/>
        <stp>##V3_BDHV12</stp>
        <stp>CL1 Comdty</stp>
        <stp>30DAY_IMPVOL_100.0%MNY_DF</stp>
        <stp>22/06/2015</stp>
        <stp>22/06/2015</stp>
        <stp>[Bbg_Market_Data_CL.xlsm]data!R449C20</stp>
        <tr r="T449" s="1"/>
      </tp>
      <tp t="s">
        <v>#N/A Requesting Data...</v>
        <stp/>
        <stp>##V3_BDHV12</stp>
        <stp>CL1 Comdty</stp>
        <stp>30DAY_IMPVOL_100.0%MNY_DF</stp>
        <stp>25/11/2015</stp>
        <stp>25/11/2015</stp>
        <stp>[Bbg_Market_Data_CL.xlsm]data!R341C20</stp>
        <tr r="T341" s="1"/>
      </tp>
      <tp t="s">
        <v>#N/A Requesting Data...</v>
        <stp/>
        <stp>##V3_BDHV12</stp>
        <stp>CL1 Comdty</stp>
        <stp>30DAY_IMPVOL_110.0%MNY_DF</stp>
        <stp>07/03/2016</stp>
        <stp>07/03/2016</stp>
        <stp>[Bbg_Market_Data_CL.xlsm]data!R274C22</stp>
        <tr r="V274" s="1"/>
      </tp>
      <tp t="s">
        <v>#N/A Requesting Data...</v>
        <stp/>
        <stp>##V3_BDHV12</stp>
        <stp>CL1 Comdty</stp>
        <stp>30DAY_IMPVOL_110.0%MNY_DF</stp>
        <stp>17/02/2016</stp>
        <stp>17/02/2016</stp>
        <stp>[Bbg_Market_Data_CL.xlsm]data!R287C22</stp>
        <tr r="V287" s="1"/>
      </tp>
      <tp t="s">
        <v>#N/A Requesting Data...</v>
        <stp/>
        <stp>##V3_BDHV12</stp>
        <stp>CL1 Comdty</stp>
        <stp>30DAY_IMPVOL_105.0%MNY_DF</stp>
        <stp>11/05/2016</stp>
        <stp>11/05/2016</stp>
        <stp>[Bbg_Market_Data_CL.xlsm]data!R228C19</stp>
        <tr r="S228" s="1"/>
      </tp>
      <tp t="s">
        <v>#N/A Requesting Data...</v>
        <stp/>
        <stp>##V3_BDHV12</stp>
        <stp>CL1 Comdty</stp>
        <stp>30DAY_IMPVOL_105.0%MNY_DF</stp>
        <stp>21/06/2016</stp>
        <stp>21/06/2016</stp>
        <stp>[Bbg_Market_Data_CL.xlsm]data!R200C19</stp>
        <tr r="S200" s="1"/>
      </tp>
      <tp t="s">
        <v>#N/A Requesting Data...</v>
        <stp/>
        <stp>##V3_BDHV12</stp>
        <stp>CL1 Comdty</stp>
        <stp>30DAY_IMPVOL_105.0%MNY_DF</stp>
        <stp>01/04/2016</stp>
        <stp>01/04/2016</stp>
        <stp>[Bbg_Market_Data_CL.xlsm]data!R256C19</stp>
        <tr r="S256" s="1"/>
      </tp>
      <tp t="s">
        <v>#N/A Requesting Data...</v>
        <stp/>
        <stp>##V3_BDHV12</stp>
        <stp>CL1 Comdty</stp>
        <stp>30DAY_IMPVOL_110.0%MNY_DF</stp>
        <stp>27/01/2016</stp>
        <stp>27/01/2016</stp>
        <stp>[Bbg_Market_Data_CL.xlsm]data!R300C22</stp>
        <tr r="V300" s="1"/>
      </tp>
      <tp t="s">
        <v>#N/A Requesting Data...</v>
        <stp/>
        <stp>##V3_BDHV12</stp>
        <stp>CL1 Comdty</stp>
        <stp>30DAY_IMPVOL_100.0%MNY_DF</stp>
        <stp>23/07/2015</stp>
        <stp>23/07/2015</stp>
        <stp>[Bbg_Market_Data_CL.xlsm]data!R427C20</stp>
        <tr r="T427" s="1"/>
      </tp>
      <tp t="s">
        <v>#N/A Requesting Data...</v>
        <stp/>
        <stp>##V3_BDHV12</stp>
        <stp>CL1 Comdty</stp>
        <stp>30DAY_IMPVOL_100.0%MNY_DF</stp>
        <stp>04/12/2015</stp>
        <stp>04/12/2015</stp>
        <stp>[Bbg_Market_Data_CL.xlsm]data!R335C20</stp>
        <tr r="T335" s="1"/>
      </tp>
      <tp t="s">
        <v>#N/A Requesting Data...</v>
        <stp/>
        <stp>##V3_BDHV12</stp>
        <stp>CL1 Comdty</stp>
        <stp>30DAY_IMPVOL_100.0%MNY_DF</stp>
        <stp>05/10/2016</stp>
        <stp>05/10/2016</stp>
        <stp>[Bbg_Market_Data_CL.xlsm]data!R127C20</stp>
        <tr r="T127" s="1"/>
      </tp>
      <tp t="s">
        <v>#N/A Requesting Data...</v>
        <stp/>
        <stp>##V3_BDHV12</stp>
        <stp>CL1 Comdty</stp>
        <stp>30DAY_IMPVOL_100.0%MNY_DF</stp>
        <stp>15/11/2016</stp>
        <stp>15/11/2016</stp>
        <stp>[Bbg_Market_Data_CL.xlsm]data!R100C20</stp>
        <tr r="T100" s="1"/>
      </tp>
      <tp t="s">
        <v>#N/A Requesting Data...</v>
        <stp/>
        <stp>##V3_BDHV12</stp>
        <stp>CL1 Comdty</stp>
        <stp>30DAY_IMPVOL_105.0%MNY_DF</stp>
        <stp>13/07/2016</stp>
        <stp>13/07/2016</stp>
        <stp>[Bbg_Market_Data_CL.xlsm]data!R185C19</stp>
        <tr r="S185" s="1"/>
      </tp>
      <tp t="s">
        <v>#N/A Requesting Data...</v>
        <stp/>
        <stp>##V3_BDHV12</stp>
        <stp>CL1 Comdty</stp>
        <stp>30DAY_IMPVOL_110.0%MNY_DF</stp>
        <stp>14/12/2015</stp>
        <stp>14/12/2015</stp>
        <stp>[Bbg_Market_Data_CL.xlsm]data!R329C22</stp>
        <tr r="V329" s="1"/>
      </tp>
      <tp t="s">
        <v>#N/A Requesting Data...</v>
        <stp/>
        <stp>##V3_BDHV12</stp>
        <stp>CL1 Comdty</stp>
        <stp>30DAY_IMPVOL_110.0%MNY_DF</stp>
        <stp>23/06/2015</stp>
        <stp>23/06/2015</stp>
        <stp>[Bbg_Market_Data_CL.xlsm]data!R448C22</stp>
        <tr r="V448" s="1"/>
      </tp>
      <tp t="s">
        <v>#N/A Requesting Data...</v>
        <stp/>
        <stp>##V3_BDHV12</stp>
        <stp>CL1 Comdty</stp>
        <stp>30DAY_IMPVOL_110.0%MNY_DF</stp>
        <stp>24/11/2015</stp>
        <stp>24/11/2015</stp>
        <stp>[Bbg_Market_Data_CL.xlsm]data!R342C22</stp>
        <tr r="V342" s="1"/>
      </tp>
      <tp t="s">
        <v>#N/A Requesting Data...</v>
        <stp/>
        <stp>##V3_BDHV12</stp>
        <stp>CL1 Comdty</stp>
        <stp>30DAY_IMPVOL_110.0%MNY_DF</stp>
        <stp>16/03/2016</stp>
        <stp>16/03/2016</stp>
        <stp>[Bbg_Market_Data_CL.xlsm]data!R267C22</stp>
        <tr r="V267" s="1"/>
      </tp>
      <tp t="s">
        <v>#N/A Requesting Data...</v>
        <stp/>
        <stp>##V3_BDHV12</stp>
        <stp>CL1 Comdty</stp>
        <stp>30DAY_IMPVOL_110.0%MNY_DF</stp>
        <stp>13/05/2015</stp>
        <stp>13/05/2015</stp>
        <stp>[Bbg_Market_Data_CL.xlsm]data!R476C22</stp>
        <tr r="V476" s="1"/>
      </tp>
      <tp t="s">
        <v>#N/A Requesting Data...</v>
        <stp/>
        <stp>##V3_BDHV12</stp>
        <stp>CL1 Comdty</stp>
        <stp>30DAY_IMPVOL_100.0%MNY_DF</stp>
        <stp>13/04/2015</stp>
        <stp>13/04/2015</stp>
        <stp>[Bbg_Market_Data_CL.xlsm]data!R498C20</stp>
        <tr r="T498" s="1"/>
      </tp>
      <tp t="s">
        <v>#N/A Requesting Data...</v>
        <stp/>
        <stp>##V3_BDHV12</stp>
        <stp>CL1 Comdty</stp>
        <stp>VOLUME_TOTAL_PUT</stp>
        <stp>09/09/2016</stp>
        <stp>09/09/2016</stp>
        <stp>[Bbg_Market_Data_CL.xlsm]data!R146C16</stp>
        <tr r="P146" s="1"/>
      </tp>
      <tp t="s">
        <v>#N/A Requesting Data...</v>
        <stp/>
        <stp>##V3_BDHV12</stp>
        <stp>CL2 Comdty</stp>
        <stp>VOLUME_TOTAL_PUT</stp>
        <stp>19/08/2016</stp>
        <stp>19/08/2016</stp>
        <stp>[Bbg_Market_Data_CL.xlsm]data!R160C16</stp>
        <tr r="P160" s="1"/>
      </tp>
      <tp t="s">
        <v>#N/A Requesting Data...</v>
        <stp/>
        <stp>##V3_BDHV12</stp>
        <stp>CL1 Comdty</stp>
        <stp>VOLUME_TOTAL_PUT</stp>
        <stp>19/08/2016</stp>
        <stp>19/08/2016</stp>
        <stp>[Bbg_Market_Data_CL.xlsm]data!R160C16</stp>
        <tr r="P160" s="1"/>
      </tp>
      <tp t="s">
        <v>#N/A Requesting Data...</v>
        <stp/>
        <stp>##V3_BDHV12</stp>
        <stp>CL2 Comdty</stp>
        <stp>VOLUME_TOTAL_PUT</stp>
        <stp>09/09/2016</stp>
        <stp>09/09/2016</stp>
        <stp>[Bbg_Market_Data_CL.xlsm]data!R146C16</stp>
        <tr r="P146" s="1"/>
      </tp>
      <tp t="s">
        <v>#N/A Requesting Data...</v>
        <stp/>
        <stp>##V3_BDHV12</stp>
        <stp>CL1 Comdty</stp>
        <stp>VOLUME_TOTAL_PUT</stp>
        <stp>28/09/2015</stp>
        <stp>28/09/2015</stp>
        <stp>[Bbg_Market_Data_CL.xlsm]data!R382C16</stp>
        <tr r="P382" s="1"/>
      </tp>
      <tp t="s">
        <v>#N/A Requesting Data...</v>
        <stp/>
        <stp>##V3_BDHV12</stp>
        <stp>CL2 Comdty</stp>
        <stp>VOLUME_TOTAL_PUT</stp>
        <stp>28/09/2015</stp>
        <stp>28/09/2015</stp>
        <stp>[Bbg_Market_Data_CL.xlsm]data!R382C16</stp>
        <tr r="P382" s="1"/>
      </tp>
      <tp t="s">
        <v>#N/A Requesting Data...</v>
        <stp/>
        <stp>##V3_BDHV12</stp>
        <stp>CL1 Comdty</stp>
        <stp>VOLUME_TOTAL_PUT</stp>
        <stp>17/06/2016</stp>
        <stp>17/06/2016</stp>
        <stp>[Bbg_Market_Data_CL.xlsm]data!R203C16</stp>
        <tr r="P203" s="1"/>
      </tp>
      <tp t="s">
        <v>#N/A Requesting Data...</v>
        <stp/>
        <stp>##V3_BDHV12</stp>
        <stp>CL1 Comdty</stp>
        <stp>VOLUME_TOTAL_PUT</stp>
        <stp>27/05/2016</stp>
        <stp>27/05/2016</stp>
        <stp>[Bbg_Market_Data_CL.xlsm]data!R217C16</stp>
        <tr r="P217" s="1"/>
      </tp>
      <tp t="s">
        <v>#N/A Requesting Data...</v>
        <stp/>
        <stp>##V3_BDHV12</stp>
        <stp>CL2 Comdty</stp>
        <stp>VOLUME_TOTAL_PUT</stp>
        <stp>27/05/2016</stp>
        <stp>27/05/2016</stp>
        <stp>[Bbg_Market_Data_CL.xlsm]data!R217C16</stp>
        <tr r="P217" s="1"/>
      </tp>
      <tp t="s">
        <v>#N/A Requesting Data...</v>
        <stp/>
        <stp>##V3_BDHV12</stp>
        <stp>CL2 Comdty</stp>
        <stp>VOLUME_TOTAL_PUT</stp>
        <stp>17/06/2016</stp>
        <stp>17/06/2016</stp>
        <stp>[Bbg_Market_Data_CL.xlsm]data!R203C16</stp>
        <tr r="P203" s="1"/>
      </tp>
      <tp t="s">
        <v>#N/A Requesting Data...</v>
        <stp/>
        <stp>##V3_BDHV12</stp>
        <stp>CL1 Comdty</stp>
        <stp>VOLUME_TOTAL_PUT</stp>
        <stp>24/06/2016</stp>
        <stp>24/06/2016</stp>
        <stp>[Bbg_Market_Data_CL.xlsm]data!R198C16</stp>
        <tr r="P198" s="1"/>
      </tp>
      <tp t="s">
        <v>#N/A Requesting Data...</v>
        <stp/>
        <stp>##V3_BDHV12</stp>
        <stp>CL2 Comdty</stp>
        <stp>VOLUME_TOTAL_PUT</stp>
        <stp>24/06/2016</stp>
        <stp>24/06/2016</stp>
        <stp>[Bbg_Market_Data_CL.xlsm]data!R198C16</stp>
        <tr r="P198" s="1"/>
      </tp>
      <tp t="s">
        <v>#N/A Requesting Data...</v>
        <stp/>
        <stp>##V3_BDHV12</stp>
        <stp>CL1 Comdty</stp>
        <stp>VOLUME_TOTAL_PUT</stp>
        <stp>26/04/2016</stp>
        <stp>26/04/2016</stp>
        <stp>[Bbg_Market_Data_CL.xlsm]data!R240C16</stp>
        <tr r="P240" s="1"/>
      </tp>
      <tp t="s">
        <v>#N/A Requesting Data...</v>
        <stp/>
        <stp>##V3_BDHV12</stp>
        <stp>CL2 Comdty</stp>
        <stp>VOLUME_TOTAL_PUT</stp>
        <stp>25/07/2016</stp>
        <stp>25/07/2016</stp>
        <stp>[Bbg_Market_Data_CL.xlsm]data!R178C16</stp>
        <tr r="P178" s="1"/>
      </tp>
      <tp t="s">
        <v>#N/A Requesting Data...</v>
        <stp/>
        <stp>##V3_BDHV12</stp>
        <stp>CL2 Comdty</stp>
        <stp>VOLUME_TOTAL_PUT</stp>
        <stp>26/04/2016</stp>
        <stp>26/04/2016</stp>
        <stp>[Bbg_Market_Data_CL.xlsm]data!R240C16</stp>
        <tr r="P240" s="1"/>
      </tp>
      <tp t="s">
        <v>#N/A Requesting Data...</v>
        <stp/>
        <stp>##V3_BDHV12</stp>
        <stp>CL1 Comdty</stp>
        <stp>VOLUME_TOTAL_PUT</stp>
        <stp>25/07/2016</stp>
        <stp>25/07/2016</stp>
        <stp>[Bbg_Market_Data_CL.xlsm]data!R178C16</stp>
        <tr r="P178" s="1"/>
      </tp>
      <tp t="s">
        <v>#N/A Requesting Data...</v>
        <stp/>
        <stp>##V3_BDHV12</stp>
        <stp>CL1 Comdty</stp>
        <stp>VOLUME_TOTAL_PUT</stp>
        <stp>06/06/2016</stp>
        <stp>06/06/2016</stp>
        <stp>[Bbg_Market_Data_CL.xlsm]data!R212C16</stp>
        <tr r="P212" s="1"/>
      </tp>
      <tp t="s">
        <v>#N/A Requesting Data...</v>
        <stp/>
        <stp>##V3_BDHV12</stp>
        <stp>CL2 Comdty</stp>
        <stp>VOLUME_TOTAL_PUT</stp>
        <stp>06/06/2016</stp>
        <stp>06/06/2016</stp>
        <stp>[Bbg_Market_Data_CL.xlsm]data!R212C16</stp>
        <tr r="P212" s="1"/>
      </tp>
      <tp t="s">
        <v>#N/A Requesting Data...</v>
        <stp/>
        <stp>##V3_BDHV12</stp>
        <stp>CL1 Comdty</stp>
        <stp>VOLUME_TOTAL_PUT</stp>
        <stp>15/04/2016</stp>
        <stp>15/04/2016</stp>
        <stp>[Bbg_Market_Data_CL.xlsm]data!R247C16</stp>
        <tr r="P247" s="1"/>
      </tp>
      <tp t="s">
        <v>#N/A Requesting Data...</v>
        <stp/>
        <stp>##V3_BDHV12</stp>
        <stp>CL2 Comdty</stp>
        <stp>VOLUME_TOTAL_PUT</stp>
        <stp>15/04/2016</stp>
        <stp>15/04/2016</stp>
        <stp>[Bbg_Market_Data_CL.xlsm]data!R247C16</stp>
        <tr r="P247" s="1"/>
      </tp>
      <tp t="s">
        <v>#N/A Requesting Data...</v>
        <stp/>
        <stp>##V3_BDHV12</stp>
        <stp>CL2 Comdty</stp>
        <stp>VOLUME_TOTAL_PUT</stp>
        <stp>05/05/2016</stp>
        <stp>05/05/2016</stp>
        <stp>[Bbg_Market_Data_CL.xlsm]data!R233C16</stp>
        <tr r="P233" s="1"/>
      </tp>
      <tp t="s">
        <v>#N/A Requesting Data...</v>
        <stp/>
        <stp>##V3_BDHV12</stp>
        <stp>CL1 Comdty</stp>
        <stp>VOLUME_TOTAL_PUT</stp>
        <stp>05/05/2016</stp>
        <stp>05/05/2016</stp>
        <stp>[Bbg_Market_Data_CL.xlsm]data!R233C16</stp>
        <tr r="P233" s="1"/>
      </tp>
      <tp t="s">
        <v>#N/A Requesting Data...</v>
        <stp/>
        <stp>##V3_BDHV12</stp>
        <stp>CL1 Comdty</stp>
        <stp>VOLUME_TOTAL_PUT</stp>
        <stp>04/04/2016</stp>
        <stp>04/04/2016</stp>
        <stp>[Bbg_Market_Data_CL.xlsm]data!R256C16</stp>
        <tr r="P256" s="1"/>
      </tp>
      <tp t="s">
        <v>#N/A Requesting Data...</v>
        <stp/>
        <stp>##V3_BDHV12</stp>
        <stp>CL2 Comdty</stp>
        <stp>VOLUME_TOTAL_PUT</stp>
        <stp>04/04/2016</stp>
        <stp>04/04/2016</stp>
        <stp>[Bbg_Market_Data_CL.xlsm]data!R256C16</stp>
        <tr r="P256" s="1"/>
      </tp>
      <tp t="s">
        <v>#N/A Requesting Data...</v>
        <stp/>
        <stp>##V3_BDHV12</stp>
        <stp>CL1 Comdty</stp>
        <stp>VOLUME_TOTAL_PUT</stp>
        <stp>07/07/2016</stp>
        <stp>07/07/2016</stp>
        <stp>[Bbg_Market_Data_CL.xlsm]data!R190C16</stp>
        <tr r="P190" s="1"/>
      </tp>
      <tp t="s">
        <v>#N/A Requesting Data...</v>
        <stp/>
        <stp>##V3_BDHV12</stp>
        <stp>CL2 Comdty</stp>
        <stp>VOLUME_TOTAL_PUT</stp>
        <stp>07/07/2016</stp>
        <stp>07/07/2016</stp>
        <stp>[Bbg_Market_Data_CL.xlsm]data!R190C16</stp>
        <tr r="P190" s="1"/>
      </tp>
      <tp t="s">
        <v>#N/A Requesting Data...</v>
        <stp/>
        <stp>##V3_BDHV12</stp>
        <stp>CL2 Comdty</stp>
        <stp>VOLUME_TOTAL_PUT</stp>
        <stp>21/10/2015</stp>
        <stp>21/10/2015</stp>
        <stp>[Bbg_Market_Data_CL.xlsm]data!R366C16</stp>
        <tr r="P366" s="1"/>
      </tp>
      <tp t="s">
        <v>#N/A Requesting Data...</v>
        <stp/>
        <stp>##V3_BDHV12</stp>
        <stp>CL2 Comdty</stp>
        <stp>VOLUME_TOTAL_PUT</stp>
        <stp>03/03/2016</stp>
        <stp>03/03/2016</stp>
        <stp>[Bbg_Market_Data_CL.xlsm]data!R277C16</stp>
        <tr r="P277" s="1"/>
      </tp>
      <tp t="s">
        <v>#N/A Requesting Data...</v>
        <stp/>
        <stp>##V3_BDHV12</stp>
        <stp>CL1 Comdty</stp>
        <stp>VOLUME_TOTAL_PUT</stp>
        <stp>21/10/2015</stp>
        <stp>21/10/2015</stp>
        <stp>[Bbg_Market_Data_CL.xlsm]data!R366C16</stp>
        <tr r="P366" s="1"/>
      </tp>
      <tp t="s">
        <v>#N/A Requesting Data...</v>
        <stp/>
        <stp>##V3_BDHV12</stp>
        <stp>CL1 Comdty</stp>
        <stp>VOLUME_TOTAL_PUT</stp>
        <stp>03/03/2016</stp>
        <stp>03/03/2016</stp>
        <stp>[Bbg_Market_Data_CL.xlsm]data!R277C16</stp>
        <tr r="P277" s="1"/>
      </tp>
      <tp t="s">
        <v>#N/A Requesting Data...</v>
        <stp/>
        <stp>##V3_BDHV12</stp>
        <stp>CL1 Comdty</stp>
        <stp>VOLUME_TOTAL_PUT</stp>
        <stp>10/11/2016</stp>
        <stp>10/11/2016</stp>
        <stp>[Bbg_Market_Data_CL.xlsm]data!R103C16</stp>
        <tr r="P103" s="1"/>
      </tp>
      <tp t="s">
        <v>#N/A Requesting Data...</v>
        <stp/>
        <stp>##V3_BDHV12</stp>
        <stp>CL2 Comdty</stp>
        <stp>VOLUME_TOTAL_PUT</stp>
        <stp>01/12/2015</stp>
        <stp>01/12/2015</stp>
        <stp>[Bbg_Market_Data_CL.xlsm]data!R339C16</stp>
        <tr r="P339" s="1"/>
      </tp>
      <tp t="s">
        <v>#N/A Requesting Data...</v>
        <stp/>
        <stp>##V3_BDHV12</stp>
        <stp>CL2 Comdty</stp>
        <stp>VOLUME_TOTAL_PUT</stp>
        <stp>10/11/2016</stp>
        <stp>10/11/2016</stp>
        <stp>[Bbg_Market_Data_CL.xlsm]data!R103C16</stp>
        <tr r="P103" s="1"/>
      </tp>
      <tp t="s">
        <v>#N/A Requesting Data...</v>
        <stp/>
        <stp>##V3_BDHV12</stp>
        <stp>CL1 Comdty</stp>
        <stp>VOLUME_TOTAL_PUT</stp>
        <stp>01/12/2015</stp>
        <stp>01/12/2015</stp>
        <stp>[Bbg_Market_Data_CL.xlsm]data!R339C16</stp>
        <tr r="P339" s="1"/>
      </tp>
      <tp t="s">
        <v>#N/A Requesting Data...</v>
        <stp/>
        <stp>##V3_BDHV12</stp>
        <stp>CL1 Comdty</stp>
        <stp>VOLUME_TOTAL_PUT</stp>
        <stp>06/05/2015</stp>
        <stp>06/05/2015</stp>
        <stp>[Bbg_Market_Data_CL.xlsm]data!R482C16</stp>
        <tr r="P482" s="1"/>
      </tp>
      <tp t="s">
        <v>#N/A Requesting Data...</v>
        <stp/>
        <stp>##V3_BDHV12</stp>
        <stp>CL1 Comdty</stp>
        <stp>VOLUME_TOTAL_PUT</stp>
        <stp>16/04/2015</stp>
        <stp>16/04/2015</stp>
        <stp>[Bbg_Market_Data_CL.xlsm]data!R496C16</stp>
        <tr r="P496" s="1"/>
      </tp>
      <tp t="s">
        <v>#N/A Requesting Data...</v>
        <stp/>
        <stp>##V3_BDHV12</stp>
        <stp>CL2 Comdty</stp>
        <stp>VOLUME_TOTAL_PUT</stp>
        <stp>16/04/2015</stp>
        <stp>16/04/2015</stp>
        <stp>[Bbg_Market_Data_CL.xlsm]data!R496C16</stp>
        <tr r="P496" s="1"/>
      </tp>
      <tp t="s">
        <v>#N/A Requesting Data...</v>
        <stp/>
        <stp>##V3_BDHV12</stp>
        <stp>CL2 Comdty</stp>
        <stp>VOLUME_TOTAL_PUT</stp>
        <stp>06/05/2015</stp>
        <stp>06/05/2015</stp>
        <stp>[Bbg_Market_Data_CL.xlsm]data!R482C16</stp>
        <tr r="P482" s="1"/>
      </tp>
      <tp t="s">
        <v>#N/A Requesting Data...</v>
        <stp/>
        <stp>##V3_BDHV12</stp>
        <stp>CL1 Comdty</stp>
        <stp>VOLUME_TOTAL_PUT</stp>
        <stp>30/10/2015</stp>
        <stp>30/10/2015</stp>
        <stp>[Bbg_Market_Data_CL.xlsm]data!R359C16</stp>
        <tr r="P359" s="1"/>
      </tp>
      <tp t="s">
        <v>#N/A Requesting Data...</v>
        <stp/>
        <stp>##V3_BDHV12</stp>
        <stp>CL1 Comdty</stp>
        <stp>VOLUME_TOTAL_PUT</stp>
        <stp>20/11/2015</stp>
        <stp>20/11/2015</stp>
        <stp>[Bbg_Market_Data_CL.xlsm]data!R345C16</stp>
        <tr r="P345" s="1"/>
      </tp>
      <tp t="s">
        <v>#N/A Requesting Data...</v>
        <stp/>
        <stp>##V3_BDHV12</stp>
        <stp>CL2 Comdty</stp>
        <stp>VOLUME_TOTAL_PUT</stp>
        <stp>20/11/2015</stp>
        <stp>20/11/2015</stp>
        <stp>[Bbg_Market_Data_CL.xlsm]data!R345C16</stp>
        <tr r="P345" s="1"/>
      </tp>
      <tp t="s">
        <v>#N/A Requesting Data...</v>
        <stp/>
        <stp>##V3_BDHV12</stp>
        <stp>CL2 Comdty</stp>
        <stp>VOLUME_TOTAL_PUT</stp>
        <stp>30/10/2015</stp>
        <stp>30/10/2015</stp>
        <stp>[Bbg_Market_Data_CL.xlsm]data!R359C16</stp>
        <tr r="P359" s="1"/>
      </tp>
      <tp t="s">
        <v>#N/A Requesting Data...</v>
        <stp/>
        <stp>##V3_BDHV12</stp>
        <stp>CL2 Comdty</stp>
        <stp>VOLUME_TOTAL_PUT</stp>
        <stp>11/10/2016</stp>
        <stp>11/10/2016</stp>
        <stp>[Bbg_Market_Data_CL.xlsm]data!R125C16</stp>
        <tr r="P125" s="1"/>
      </tp>
      <tp t="s">
        <v>#N/A Requesting Data...</v>
        <stp/>
        <stp>##V3_BDHV12</stp>
        <stp>CL1 Comdty</stp>
        <stp>VOLUME_TOTAL_PUT</stp>
        <stp>01/11/2016</stp>
        <stp>01/11/2016</stp>
        <stp>[Bbg_Market_Data_CL.xlsm]data!R110C16</stp>
        <tr r="P110" s="1"/>
      </tp>
      <tp t="s">
        <v>#N/A Requesting Data...</v>
        <stp/>
        <stp>##V3_BDHV12</stp>
        <stp>CL2 Comdty</stp>
        <stp>VOLUME_TOTAL_PUT</stp>
        <stp>10/12/2015</stp>
        <stp>10/12/2015</stp>
        <stp>[Bbg_Market_Data_CL.xlsm]data!R332C16</stp>
        <tr r="P332" s="1"/>
      </tp>
      <tp t="s">
        <v>#N/A Requesting Data...</v>
        <stp/>
        <stp>##V3_BDHV12</stp>
        <stp>CL1 Comdty</stp>
        <stp>VOLUME_TOTAL_PUT</stp>
        <stp>10/12/2015</stp>
        <stp>10/12/2015</stp>
        <stp>[Bbg_Market_Data_CL.xlsm]data!R332C16</stp>
        <tr r="P332" s="1"/>
      </tp>
      <tp t="s">
        <v>#N/A Requesting Data...</v>
        <stp/>
        <stp>##V3_BDHV12</stp>
        <stp>CL1 Comdty</stp>
        <stp>VOLUME_TOTAL_PUT</stp>
        <stp>11/10/2016</stp>
        <stp>11/10/2016</stp>
        <stp>[Bbg_Market_Data_CL.xlsm]data!R125C16</stp>
        <tr r="P125" s="1"/>
      </tp>
      <tp t="s">
        <v>#N/A Requesting Data...</v>
        <stp/>
        <stp>##V3_BDHV12</stp>
        <stp>CL2 Comdty</stp>
        <stp>VOLUME_TOTAL_PUT</stp>
        <stp>01/11/2016</stp>
        <stp>01/11/2016</stp>
        <stp>[Bbg_Market_Data_CL.xlsm]data!R110C16</stp>
        <tr r="P110" s="1"/>
      </tp>
      <tp t="s">
        <v>#N/A Requesting Data...</v>
        <stp/>
        <stp>##V3_BDHV12</stp>
        <stp>CL1 Comdty</stp>
        <stp>VOLUME_TOTAL_PUT</stp>
        <stp>02/02/2016</stp>
        <stp>02/02/2016</stp>
        <stp>[Bbg_Market_Data_CL.xlsm]data!R297C16</stp>
        <tr r="P297" s="1"/>
      </tp>
      <tp t="s">
        <v>#N/A Requesting Data...</v>
        <stp/>
        <stp>##V3_BDHV12</stp>
        <stp>CL2 Comdty</stp>
        <stp>VOLUME_TOTAL_PUT</stp>
        <stp>02/02/2016</stp>
        <stp>02/02/2016</stp>
        <stp>[Bbg_Market_Data_CL.xlsm]data!R297C16</stp>
        <tr r="P297" s="1"/>
      </tp>
      <tp t="s">
        <v>#N/A Requesting Data...</v>
        <stp/>
        <stp>##V3_BDHV12</stp>
        <stp>CL1 Comdty</stp>
        <stp>VOLUME_TOTAL_PUT</stp>
        <stp>13/11/2015</stp>
        <stp>13/11/2015</stp>
        <stp>[Bbg_Market_Data_CL.xlsm]data!R350C16</stp>
        <tr r="P350" s="1"/>
      </tp>
      <tp t="s">
        <v>#N/A Requesting Data...</v>
        <stp/>
        <stp>##V3_BDHV12</stp>
        <stp>CL2 Comdty</stp>
        <stp>VOLUME_TOTAL_PUT</stp>
        <stp>21/03/2016</stp>
        <stp>21/03/2016</stp>
        <stp>[Bbg_Market_Data_CL.xlsm]data!R265C16</stp>
        <tr r="P265" s="1"/>
      </tp>
      <tp t="s">
        <v>#N/A Requesting Data...</v>
        <stp/>
        <stp>##V3_BDHV12</stp>
        <stp>CL1 Comdty</stp>
        <stp>VOLUME_TOTAL_PUT</stp>
        <stp>21/03/2016</stp>
        <stp>21/03/2016</stp>
        <stp>[Bbg_Market_Data_CL.xlsm]data!R265C16</stp>
        <tr r="P265" s="1"/>
      </tp>
      <tp t="s">
        <v>#N/A Requesting Data...</v>
        <stp/>
        <stp>##V3_BDHV12</stp>
        <stp>CL2 Comdty</stp>
        <stp>VOLUME_TOTAL_PUT</stp>
        <stp>13/11/2015</stp>
        <stp>13/11/2015</stp>
        <stp>[Bbg_Market_Data_CL.xlsm]data!R350C16</stp>
        <tr r="P350" s="1"/>
      </tp>
      <tp t="s">
        <v>#N/A Requesting Data...</v>
        <stp/>
        <stp>##V3_BDHV12</stp>
        <stp>CL2 Comdty</stp>
        <stp>VOLUME_TOTAL_PUT</stp>
        <stp>23/12/2015</stp>
        <stp>23/12/2015</stp>
        <stp>[Bbg_Market_Data_CL.xlsm]data!R323C16</stp>
        <tr r="P323" s="1"/>
      </tp>
      <tp t="s">
        <v>#N/A Requesting Data...</v>
        <stp/>
        <stp>##V3_BDHV12</stp>
        <stp>CL1 Comdty</stp>
        <stp>VOLUME_TOTAL_PUT</stp>
        <stp>23/12/2015</stp>
        <stp>23/12/2015</stp>
        <stp>[Bbg_Market_Data_CL.xlsm]data!R323C16</stp>
        <tr r="P323" s="1"/>
      </tp>
      <tp t="s">
        <v>#N/A Requesting Data...</v>
        <stp/>
        <stp>##V3_BDHV12</stp>
        <stp>CL1 Comdty</stp>
        <stp>VOLUME_TOTAL_PUT</stp>
        <stp>02/11/2015</stp>
        <stp>02/11/2015</stp>
        <stp>[Bbg_Market_Data_CL.xlsm]data!R358C16</stp>
        <tr r="P358" s="1"/>
      </tp>
      <tp t="s">
        <v>#N/A Requesting Data...</v>
        <stp/>
        <stp>##V3_BDHV12</stp>
        <stp>CL2 Comdty</stp>
        <stp>VOLUME_TOTAL_PUT</stp>
        <stp>05/06/2015</stp>
        <stp>05/06/2015</stp>
        <stp>[Bbg_Market_Data_CL.xlsm]data!R461C16</stp>
        <tr r="P461" s="1"/>
      </tp>
      <tp t="s">
        <v>#N/A Requesting Data...</v>
        <stp/>
        <stp>##V3_BDHV12</stp>
        <stp>CL1 Comdty</stp>
        <stp>VOLUME_TOTAL_PUT</stp>
        <stp>30/03/2016</stp>
        <stp>30/03/2016</stp>
        <stp>[Bbg_Market_Data_CL.xlsm]data!R259C16</stp>
        <tr r="P259" s="1"/>
      </tp>
      <tp t="s">
        <v>#N/A Requesting Data...</v>
        <stp/>
        <stp>##V3_BDHV12</stp>
        <stp>CL1 Comdty</stp>
        <stp>VOLUME_TOTAL_PUT</stp>
        <stp>05/06/2015</stp>
        <stp>05/06/2015</stp>
        <stp>[Bbg_Market_Data_CL.xlsm]data!R461C16</stp>
        <tr r="P461" s="1"/>
      </tp>
      <tp t="s">
        <v>#N/A Requesting Data...</v>
        <stp/>
        <stp>##V3_BDHV12</stp>
        <stp>CL2 Comdty</stp>
        <stp>VOLUME_TOTAL_PUT</stp>
        <stp>30/03/2016</stp>
        <stp>30/03/2016</stp>
        <stp>[Bbg_Market_Data_CL.xlsm]data!R259C16</stp>
        <tr r="P259" s="1"/>
      </tp>
      <tp t="s">
        <v>#N/A Requesting Data...</v>
        <stp/>
        <stp>##V3_BDHV12</stp>
        <stp>CL2 Comdty</stp>
        <stp>VOLUME_TOTAL_PUT</stp>
        <stp>02/11/2015</stp>
        <stp>02/11/2015</stp>
        <stp>[Bbg_Market_Data_CL.xlsm]data!R358C16</stp>
        <tr r="P358" s="1"/>
      </tp>
      <tp t="s">
        <v>#N/A Requesting Data...</v>
        <stp/>
        <stp>##V3_BDHV12</stp>
        <stp>CL2 Comdty</stp>
        <stp>VOLUME_TOTAL_PUT</stp>
        <stp>15/07/2015</stp>
        <stp>15/07/2015</stp>
        <stp>[Bbg_Market_Data_CL.xlsm]data!R434C16</stp>
        <tr r="P434" s="1"/>
      </tp>
      <tp t="s">
        <v>#N/A Requesting Data...</v>
        <stp/>
        <stp>##V3_BDHV12</stp>
        <stp>CL1 Comdty</stp>
        <stp>VOLUME_TOTAL_PUT</stp>
        <stp>15/07/2015</stp>
        <stp>15/07/2015</stp>
        <stp>[Bbg_Market_Data_CL.xlsm]data!R434C16</stp>
        <tr r="P434" s="1"/>
      </tp>
      <tp t="s">
        <v>#N/A Requesting Data...</v>
        <stp/>
        <stp>##V3_BDHV12</stp>
        <stp>CL1 Comdty</stp>
        <stp>PX_LOW</stp>
        <stp>04/04/2017</stp>
        <stp>04/04/2017</stp>
        <stp>[Bbg_Market_Data_CL.xlsm]data!R6C7</stp>
        <tr r="G6" s="1"/>
      </tp>
      <tp>
        <v>51.23</v>
        <stp/>
        <stp>##V3_BDHV12</stp>
        <stp>CL2 Comdty</stp>
        <stp>PX_LOW</stp>
        <stp>06/04/2017</stp>
        <stp>06/04/2017</stp>
        <stp>[Bbg_Market_Data_CL.xlsm]data!R4C7</stp>
        <tr r="G4" s="1"/>
      </tp>
      <tp t="s">
        <v>#N/A Requesting Data...</v>
        <stp/>
        <stp>##V3_BDHV12</stp>
        <stp>CL1 Comdty</stp>
        <stp>PX_LOW</stp>
        <stp>06/04/2017</stp>
        <stp>06/04/2017</stp>
        <stp>[Bbg_Market_Data_CL.xlsm]data!R4C7</stp>
        <tr r="G4" s="1"/>
      </tp>
      <tp>
        <v>50.35</v>
        <stp/>
        <stp>##V3_BDHV12</stp>
        <stp>CL2 Comdty</stp>
        <stp>PX_LOW</stp>
        <stp>04/04/2017</stp>
        <stp>04/04/2017</stp>
        <stp>[Bbg_Market_Data_CL.xlsm]data!R6C7</stp>
        <tr r="G6" s="1"/>
      </tp>
      <tp t="s">
        <v>#N/A Requesting Data...</v>
        <stp/>
        <stp>##V3_BDHV12</stp>
        <stp>CL1 Comdty</stp>
        <stp>PX_LOW</stp>
        <stp>10/04/2017</stp>
        <stp>10/04/2017</stp>
        <stp>[Bbg_Market_Data_CL.xlsm]data!R2C7</stp>
        <tr r="G2" s="1"/>
      </tp>
      <tp>
        <v>52.67</v>
        <stp/>
        <stp>##V3_BDHV12</stp>
        <stp>CL2 Comdty</stp>
        <stp>PX_LOW</stp>
        <stp>10/04/2017</stp>
        <stp>10/04/2017</stp>
        <stp>[Bbg_Market_Data_CL.xlsm]data!R2C7</stp>
        <tr r="G2" s="1"/>
      </tp>
      <tp t="s">
        <v>#N/A Requesting Data...</v>
        <stp/>
        <stp>##V3_BDHV12</stp>
        <stp>CL1 Comdty</stp>
        <stp>VOLUME_TOTAL_PUT</stp>
        <stp>28/08/2015</stp>
        <stp>28/08/2015</stp>
        <stp>[Bbg_Market_Data_CL.xlsm]data!R402C16</stp>
        <tr r="P402" s="1"/>
      </tp>
      <tp t="s">
        <v>#N/A Requesting Data...</v>
        <stp/>
        <stp>##V3_BDHV12</stp>
        <stp>CL2 Comdty</stp>
        <stp>VOLUME_TOTAL_PUT</stp>
        <stp>28/08/2015</stp>
        <stp>28/08/2015</stp>
        <stp>[Bbg_Market_Data_CL.xlsm]data!R402C16</stp>
        <tr r="P402" s="1"/>
      </tp>
      <tp t="s">
        <v>#N/A Requesting Data...</v>
        <stp/>
        <stp>##V3_BDHV12</stp>
        <stp>CL1 Comdty</stp>
        <stp>VOLUME_TOTAL_PUT</stp>
        <stp>08/09/2016</stp>
        <stp>08/09/2016</stp>
        <stp>[Bbg_Market_Data_CL.xlsm]data!R147C16</stp>
        <tr r="P147" s="1"/>
      </tp>
      <tp t="s">
        <v>#N/A Requesting Data...</v>
        <stp/>
        <stp>##V3_BDHV12</stp>
        <stp>CL2 Comdty</stp>
        <stp>VOLUME_TOTAL_PUT</stp>
        <stp>18/08/2016</stp>
        <stp>18/08/2016</stp>
        <stp>[Bbg_Market_Data_CL.xlsm]data!R161C16</stp>
        <tr r="P161" s="1"/>
      </tp>
      <tp t="s">
        <v>#N/A Requesting Data...</v>
        <stp/>
        <stp>##V3_BDHV12</stp>
        <stp>CL1 Comdty</stp>
        <stp>VOLUME_TOTAL_PUT</stp>
        <stp>18/08/2016</stp>
        <stp>18/08/2016</stp>
        <stp>[Bbg_Market_Data_CL.xlsm]data!R161C16</stp>
        <tr r="P161" s="1"/>
      </tp>
      <tp t="s">
        <v>#N/A Requesting Data...</v>
        <stp/>
        <stp>##V3_BDHV12</stp>
        <stp>CL2 Comdty</stp>
        <stp>VOLUME_TOTAL_PUT</stp>
        <stp>08/09/2016</stp>
        <stp>08/09/2016</stp>
        <stp>[Bbg_Market_Data_CL.xlsm]data!R147C16</stp>
        <tr r="P147" s="1"/>
      </tp>
      <tp t="s">
        <v>#N/A Requesting Data...</v>
        <stp/>
        <stp>##V3_BDHV12</stp>
        <stp>CL1 Comdty</stp>
        <stp>VOLUME_TOTAL_PUT</stp>
        <stp>29/09/2015</stp>
        <stp>29/09/2015</stp>
        <stp>[Bbg_Market_Data_CL.xlsm]data!R381C16</stp>
        <tr r="P381" s="1"/>
      </tp>
      <tp t="s">
        <v>#N/A Requesting Data...</v>
        <stp/>
        <stp>##V3_BDHV12</stp>
        <stp>CL2 Comdty</stp>
        <stp>VOLUME_TOTAL_PUT</stp>
        <stp>29/09/2015</stp>
        <stp>29/09/2015</stp>
        <stp>[Bbg_Market_Data_CL.xlsm]data!R381C16</stp>
        <tr r="P381" s="1"/>
      </tp>
      <tp t="s">
        <v>#N/A Requesting Data...</v>
        <stp/>
        <stp>##V3_BDHV12</stp>
        <stp>CL1 Comdty</stp>
        <stp>VOLUME_TOTAL_PUT</stp>
        <stp>19/09/2016</stp>
        <stp>19/09/2016</stp>
        <stp>[Bbg_Market_Data_CL.xlsm]data!R140C16</stp>
        <tr r="P140" s="1"/>
      </tp>
      <tp t="s">
        <v>#N/A Requesting Data...</v>
        <stp/>
        <stp>##V3_BDHV12</stp>
        <stp>CL2 Comdty</stp>
        <stp>VOLUME_TOTAL_PUT</stp>
        <stp>09/08/2016</stp>
        <stp>09/08/2016</stp>
        <stp>[Bbg_Market_Data_CL.xlsm]data!R168C16</stp>
        <tr r="P168" s="1"/>
      </tp>
      <tp t="s">
        <v>#N/A Requesting Data...</v>
        <stp/>
        <stp>##V3_BDHV12</stp>
        <stp>CL1 Comdty</stp>
        <stp>VOLUME_TOTAL_PUT</stp>
        <stp>09/08/2016</stp>
        <stp>09/08/2016</stp>
        <stp>[Bbg_Market_Data_CL.xlsm]data!R168C16</stp>
        <tr r="P168" s="1"/>
      </tp>
      <tp t="s">
        <v>#N/A Requesting Data...</v>
        <stp/>
        <stp>##V3_BDHV12</stp>
        <stp>CL2 Comdty</stp>
        <stp>VOLUME_TOTAL_PUT</stp>
        <stp>19/09/2016</stp>
        <stp>19/09/2016</stp>
        <stp>[Bbg_Market_Data_CL.xlsm]data!R140C16</stp>
        <tr r="P140" s="1"/>
      </tp>
      <tp t="s">
        <v>#N/A Requesting Data...</v>
        <stp/>
        <stp>##V3_BDHV12</stp>
        <stp>CL2 Comdty</stp>
        <stp>VOLUME_TOTAL_PUT</stp>
        <stp>27/04/2016</stp>
        <stp>27/04/2016</stp>
        <stp>[Bbg_Market_Data_CL.xlsm]data!R239C16</stp>
        <tr r="P239" s="1"/>
      </tp>
      <tp t="s">
        <v>#N/A Requesting Data...</v>
        <stp/>
        <stp>##V3_BDHV12</stp>
        <stp>CL1 Comdty</stp>
        <stp>VOLUME_TOTAL_PUT</stp>
        <stp>07/06/2016</stp>
        <stp>07/06/2016</stp>
        <stp>[Bbg_Market_Data_CL.xlsm]data!R211C16</stp>
        <tr r="P211" s="1"/>
      </tp>
      <tp t="s">
        <v>#N/A Requesting Data...</v>
        <stp/>
        <stp>##V3_BDHV12</stp>
        <stp>CL2 Comdty</stp>
        <stp>VOLUME_TOTAL_PUT</stp>
        <stp>07/06/2016</stp>
        <stp>07/06/2016</stp>
        <stp>[Bbg_Market_Data_CL.xlsm]data!R211C16</stp>
        <tr r="P211" s="1"/>
      </tp>
      <tp t="s">
        <v>#N/A Requesting Data...</v>
        <stp/>
        <stp>##V3_BDHV12</stp>
        <stp>CL1 Comdty</stp>
        <stp>VOLUME_TOTAL_PUT</stp>
        <stp>27/04/2016</stp>
        <stp>27/04/2016</stp>
        <stp>[Bbg_Market_Data_CL.xlsm]data!R239C16</stp>
        <tr r="P239" s="1"/>
      </tp>
      <tp t="s">
        <v>#N/A Requesting Data...</v>
        <stp/>
        <stp>##V3_BDHV12</stp>
        <stp>CL1 Comdty</stp>
        <stp>VOLUME_TOTAL_PUT</stp>
        <stp>16/06/2016</stp>
        <stp>16/06/2016</stp>
        <stp>[Bbg_Market_Data_CL.xlsm]data!R204C16</stp>
        <tr r="P204" s="1"/>
      </tp>
      <tp t="s">
        <v>#N/A Requesting Data...</v>
        <stp/>
        <stp>##V3_BDHV12</stp>
        <stp>CL1 Comdty</stp>
        <stp>VOLUME_TOTAL_PUT</stp>
        <stp>26/05/2016</stp>
        <stp>26/05/2016</stp>
        <stp>[Bbg_Market_Data_CL.xlsm]data!R218C16</stp>
        <tr r="P218" s="1"/>
      </tp>
      <tp t="s">
        <v>#N/A Requesting Data...</v>
        <stp/>
        <stp>##V3_BDHV12</stp>
        <stp>CL2 Comdty</stp>
        <stp>VOLUME_TOTAL_PUT</stp>
        <stp>26/05/2016</stp>
        <stp>26/05/2016</stp>
        <stp>[Bbg_Market_Data_CL.xlsm]data!R218C16</stp>
        <tr r="P218" s="1"/>
      </tp>
      <tp t="s">
        <v>#N/A Requesting Data...</v>
        <stp/>
        <stp>##V3_BDHV12</stp>
        <stp>CL2 Comdty</stp>
        <stp>VOLUME_TOTAL_PUT</stp>
        <stp>16/06/2016</stp>
        <stp>16/06/2016</stp>
        <stp>[Bbg_Market_Data_CL.xlsm]data!R204C16</stp>
        <tr r="P204" s="1"/>
      </tp>
      <tp t="s">
        <v>#N/A Requesting Data...</v>
        <stp/>
        <stp>##V3_BDHV12</stp>
        <stp>CL1 Comdty</stp>
        <stp>VOLUME_TOTAL_PUT</stp>
        <stp>05/04/2016</stp>
        <stp>05/04/2016</stp>
        <stp>[Bbg_Market_Data_CL.xlsm]data!R255C16</stp>
        <tr r="P255" s="1"/>
      </tp>
      <tp t="s">
        <v>#N/A Requesting Data...</v>
        <stp/>
        <stp>##V3_BDHV12</stp>
        <stp>CL2 Comdty</stp>
        <stp>VOLUME_TOTAL_PUT</stp>
        <stp>05/04/2016</stp>
        <stp>05/04/2016</stp>
        <stp>[Bbg_Market_Data_CL.xlsm]data!R255C16</stp>
        <tr r="P255" s="1"/>
      </tp>
      <tp t="s">
        <v>#N/A Requesting Data...</v>
        <stp/>
        <stp>##V3_BDHV12</stp>
        <stp>CL1 Comdty</stp>
        <stp>VOLUME_TOTAL_PUT</stp>
        <stp>06/07/2016</stp>
        <stp>06/07/2016</stp>
        <stp>[Bbg_Market_Data_CL.xlsm]data!R191C16</stp>
        <tr r="P191" s="1"/>
      </tp>
      <tp t="s">
        <v>#N/A Requesting Data...</v>
        <stp/>
        <stp>##V3_BDHV12</stp>
        <stp>CL2 Comdty</stp>
        <stp>VOLUME_TOTAL_PUT</stp>
        <stp>06/07/2016</stp>
        <stp>06/07/2016</stp>
        <stp>[Bbg_Market_Data_CL.xlsm]data!R191C16</stp>
        <tr r="P191" s="1"/>
      </tp>
      <tp t="s">
        <v>#N/A Requesting Data...</v>
        <stp/>
        <stp>##V3_BDHV12</stp>
        <stp>CL1 Comdty</stp>
        <stp>VOLUME_TOTAL_PUT</stp>
        <stp>14/04/2016</stp>
        <stp>14/04/2016</stp>
        <stp>[Bbg_Market_Data_CL.xlsm]data!R248C16</stp>
        <tr r="P248" s="1"/>
      </tp>
      <tp t="s">
        <v>#N/A Requesting Data...</v>
        <stp/>
        <stp>##V3_BDHV12</stp>
        <stp>CL2 Comdty</stp>
        <stp>VOLUME_TOTAL_PUT</stp>
        <stp>14/04/2016</stp>
        <stp>14/04/2016</stp>
        <stp>[Bbg_Market_Data_CL.xlsm]data!R248C16</stp>
        <tr r="P248" s="1"/>
      </tp>
      <tp t="s">
        <v>#N/A Requesting Data...</v>
        <stp/>
        <stp>##V3_BDHV12</stp>
        <stp>CL2 Comdty</stp>
        <stp>VOLUME_TOTAL_PUT</stp>
        <stp>04/05/2016</stp>
        <stp>04/05/2016</stp>
        <stp>[Bbg_Market_Data_CL.xlsm]data!R234C16</stp>
        <tr r="P234" s="1"/>
      </tp>
      <tp t="s">
        <v>#N/A Requesting Data...</v>
        <stp/>
        <stp>##V3_BDHV12</stp>
        <stp>CL1 Comdty</stp>
        <stp>VOLUME_TOTAL_PUT</stp>
        <stp>04/05/2016</stp>
        <stp>04/05/2016</stp>
        <stp>[Bbg_Market_Data_CL.xlsm]data!R234C16</stp>
        <tr r="P234" s="1"/>
      </tp>
      <tp t="s">
        <v>#N/A Requesting Data...</v>
        <stp/>
        <stp>##V3_BDHV12</stp>
        <stp>CL1 Comdty</stp>
        <stp>VOLUME_TOTAL_PUT</stp>
        <stp>26/06/2015</stp>
        <stp>26/06/2015</stp>
        <stp>[Bbg_Market_Data_CL.xlsm]data!R446C16</stp>
        <tr r="P446" s="1"/>
      </tp>
      <tp t="s">
        <v>#N/A Requesting Data...</v>
        <stp/>
        <stp>##V3_BDHV12</stp>
        <stp>CL2 Comdty</stp>
        <stp>VOLUME_TOTAL_PUT</stp>
        <stp>26/06/2015</stp>
        <stp>26/06/2015</stp>
        <stp>[Bbg_Market_Data_CL.xlsm]data!R446C16</stp>
        <tr r="P446" s="1"/>
      </tp>
      <tp t="s">
        <v>#N/A Requesting Data...</v>
        <stp/>
        <stp>##V3_BDHV12</stp>
        <stp>CL1 Comdty</stp>
        <stp>VOLUME_TOTAL_PUT</stp>
        <stp>22/01/2016</stp>
        <stp>22/01/2016</stp>
        <stp>[Bbg_Market_Data_CL.xlsm]data!R304C16</stp>
        <tr r="P304" s="1"/>
      </tp>
      <tp t="s">
        <v>#N/A Requesting Data...</v>
        <stp/>
        <stp>##V3_BDHV12</stp>
        <stp>CL2 Comdty</stp>
        <stp>VOLUME_TOTAL_PUT</stp>
        <stp>11/12/2015</stp>
        <stp>11/12/2015</stp>
        <stp>[Bbg_Market_Data_CL.xlsm]data!R331C16</stp>
        <tr r="P331" s="1"/>
      </tp>
      <tp t="s">
        <v>#N/A Requesting Data...</v>
        <stp/>
        <stp>##V3_BDHV12</stp>
        <stp>CL1 Comdty</stp>
        <stp>VOLUME_TOTAL_PUT</stp>
        <stp>11/12/2015</stp>
        <stp>11/12/2015</stp>
        <stp>[Bbg_Market_Data_CL.xlsm]data!R331C16</stp>
        <tr r="P331" s="1"/>
      </tp>
      <tp t="s">
        <v>#N/A Requesting Data...</v>
        <stp/>
        <stp>##V3_BDHV12</stp>
        <stp>CL2 Comdty</stp>
        <stp>VOLUME_TOTAL_PUT</stp>
        <stp>22/01/2016</stp>
        <stp>22/01/2016</stp>
        <stp>[Bbg_Market_Data_CL.xlsm]data!R304C16</stp>
        <tr r="P304" s="1"/>
      </tp>
      <tp t="s">
        <v>#N/A Requesting Data...</v>
        <stp/>
        <stp>##V3_BDHV12</stp>
        <stp>CL1 Comdty</stp>
        <stp>VOLUME_TOTAL_PUT</stp>
        <stp>03/02/2016</stp>
        <stp>03/02/2016</stp>
        <stp>[Bbg_Market_Data_CL.xlsm]data!R296C16</stp>
        <tr r="P296" s="1"/>
      </tp>
      <tp t="s">
        <v>#N/A Requesting Data...</v>
        <stp/>
        <stp>##V3_BDHV12</stp>
        <stp>CL2 Comdty</stp>
        <stp>VOLUME_TOTAL_PUT</stp>
        <stp>03/02/2016</stp>
        <stp>03/02/2016</stp>
        <stp>[Bbg_Market_Data_CL.xlsm]data!R296C16</stp>
        <tr r="P296" s="1"/>
      </tp>
      <tp t="s">
        <v>#N/A Requesting Data...</v>
        <stp/>
        <stp>##V3_BDHV12</stp>
        <stp>CL2 Comdty</stp>
        <stp>VOLUME_TOTAL_PUT</stp>
        <stp>20/10/2015</stp>
        <stp>20/10/2015</stp>
        <stp>[Bbg_Market_Data_CL.xlsm]data!R367C16</stp>
        <tr r="P367" s="1"/>
      </tp>
      <tp t="s">
        <v>#N/A Requesting Data...</v>
        <stp/>
        <stp>##V3_BDHV12</stp>
        <stp>CL2 Comdty</stp>
        <stp>VOLUME_TOTAL_PUT</stp>
        <stp>02/03/2016</stp>
        <stp>02/03/2016</stp>
        <stp>[Bbg_Market_Data_CL.xlsm]data!R278C16</stp>
        <tr r="P278" s="1"/>
      </tp>
      <tp t="s">
        <v>#N/A Requesting Data...</v>
        <stp/>
        <stp>##V3_BDHV12</stp>
        <stp>CL1 Comdty</stp>
        <stp>VOLUME_TOTAL_PUT</stp>
        <stp>30/11/2015</stp>
        <stp>30/11/2015</stp>
        <stp>[Bbg_Market_Data_CL.xlsm]data!R340C16</stp>
        <tr r="P340" s="1"/>
      </tp>
      <tp t="s">
        <v>#N/A Requesting Data...</v>
        <stp/>
        <stp>##V3_BDHV12</stp>
        <stp>CL2 Comdty</stp>
        <stp>VOLUME_TOTAL_PUT</stp>
        <stp>30/11/2015</stp>
        <stp>30/11/2015</stp>
        <stp>[Bbg_Market_Data_CL.xlsm]data!R340C16</stp>
        <tr r="P340" s="1"/>
      </tp>
      <tp t="s">
        <v>#N/A Requesting Data...</v>
        <stp/>
        <stp>##V3_BDHV12</stp>
        <stp>CL1 Comdty</stp>
        <stp>VOLUME_TOTAL_PUT</stp>
        <stp>20/10/2015</stp>
        <stp>20/10/2015</stp>
        <stp>[Bbg_Market_Data_CL.xlsm]data!R367C16</stp>
        <tr r="P367" s="1"/>
      </tp>
      <tp t="s">
        <v>#N/A Requesting Data...</v>
        <stp/>
        <stp>##V3_BDHV12</stp>
        <stp>CL1 Comdty</stp>
        <stp>VOLUME_TOTAL_PUT</stp>
        <stp>02/03/2016</stp>
        <stp>02/03/2016</stp>
        <stp>[Bbg_Market_Data_CL.xlsm]data!R278C16</stp>
        <tr r="P278" s="1"/>
      </tp>
      <tp t="s">
        <v>#N/A Requesting Data...</v>
        <stp/>
        <stp>##V3_BDHV12</stp>
        <stp>CL2 Comdty</stp>
        <stp>VOLUME_TOTAL_PUT</stp>
        <stp>27/07/2015</stp>
        <stp>27/07/2015</stp>
        <stp>[Bbg_Market_Data_CL.xlsm]data!R426C16</stp>
        <tr r="P426" s="1"/>
      </tp>
      <tp t="s">
        <v>#N/A Requesting Data...</v>
        <stp/>
        <stp>##V3_BDHV12</stp>
        <stp>CL1 Comdty</stp>
        <stp>VOLUME_TOTAL_PUT</stp>
        <stp>27/07/2015</stp>
        <stp>27/07/2015</stp>
        <stp>[Bbg_Market_Data_CL.xlsm]data!R426C16</stp>
        <tr r="P426" s="1"/>
      </tp>
      <tp t="s">
        <v>#N/A Requesting Data...</v>
        <stp/>
        <stp>##V3_BDHV12</stp>
        <stp>CL1 Comdty</stp>
        <stp>VOLUME_TOTAL_PUT</stp>
        <stp>07/05/2015</stp>
        <stp>07/05/2015</stp>
        <stp>[Bbg_Market_Data_CL.xlsm]data!R481C16</stp>
        <tr r="P481" s="1"/>
      </tp>
      <tp t="s">
        <v>#N/A Requesting Data...</v>
        <stp/>
        <stp>##V3_BDHV12</stp>
        <stp>CL1 Comdty</stp>
        <stp>VOLUME_TOTAL_PUT</stp>
        <stp>12/02/2016</stp>
        <stp>12/02/2016</stp>
        <stp>[Bbg_Market_Data_CL.xlsm]data!R289C16</stp>
        <tr r="P289" s="1"/>
      </tp>
      <tp t="s">
        <v>#N/A Requesting Data...</v>
        <stp/>
        <stp>##V3_BDHV12</stp>
        <stp>CL1 Comdty</stp>
        <stp>VOLUME_TOTAL_PUT</stp>
        <stp>17/04/2015</stp>
        <stp>17/04/2015</stp>
        <stp>[Bbg_Market_Data_CL.xlsm]data!R495C16</stp>
        <tr r="P495" s="1"/>
      </tp>
      <tp t="s">
        <v>#N/A Requesting Data...</v>
        <stp/>
        <stp>##V3_BDHV12</stp>
        <stp>CL2 Comdty</stp>
        <stp>VOLUME_TOTAL_PUT</stp>
        <stp>17/04/2015</stp>
        <stp>17/04/2015</stp>
        <stp>[Bbg_Market_Data_CL.xlsm]data!R495C16</stp>
        <tr r="P495" s="1"/>
      </tp>
      <tp t="s">
        <v>#N/A Requesting Data...</v>
        <stp/>
        <stp>##V3_BDHV12</stp>
        <stp>CL2 Comdty</stp>
        <stp>VOLUME_TOTAL_PUT</stp>
        <stp>07/05/2015</stp>
        <stp>07/05/2015</stp>
        <stp>[Bbg_Market_Data_CL.xlsm]data!R481C16</stp>
        <tr r="P481" s="1"/>
      </tp>
      <tp t="s">
        <v>#N/A Requesting Data...</v>
        <stp/>
        <stp>##V3_BDHV12</stp>
        <stp>CL2 Comdty</stp>
        <stp>VOLUME_TOTAL_PUT</stp>
        <stp>12/02/2016</stp>
        <stp>12/02/2016</stp>
        <stp>[Bbg_Market_Data_CL.xlsm]data!R289C16</stp>
        <tr r="P289" s="1"/>
      </tp>
      <tp t="s">
        <v>#N/A Requesting Data...</v>
        <stp/>
        <stp>##V3_BDHV12</stp>
        <stp>CL1 Comdty</stp>
        <stp>VOLUME_TOTAL_PUT</stp>
        <stp>03/11/2015</stp>
        <stp>03/11/2015</stp>
        <stp>[Bbg_Market_Data_CL.xlsm]data!R357C16</stp>
        <tr r="P357" s="1"/>
      </tp>
      <tp t="s">
        <v>#N/A Requesting Data...</v>
        <stp/>
        <stp>##V3_BDHV12</stp>
        <stp>CL2 Comdty</stp>
        <stp>VOLUME_TOTAL_PUT</stp>
        <stp>04/06/2015</stp>
        <stp>04/06/2015</stp>
        <stp>[Bbg_Market_Data_CL.xlsm]data!R462C16</stp>
        <tr r="P462" s="1"/>
      </tp>
      <tp t="s">
        <v>#N/A Requesting Data...</v>
        <stp/>
        <stp>##V3_BDHV12</stp>
        <stp>CL2 Comdty</stp>
        <stp>VOLUME_TOTAL_PUT</stp>
        <stp>13/10/2015</stp>
        <stp>13/10/2015</stp>
        <stp>[Bbg_Market_Data_CL.xlsm]data!R372C16</stp>
        <tr r="P372" s="1"/>
      </tp>
      <tp t="s">
        <v>#N/A Requesting Data...</v>
        <stp/>
        <stp>##V3_BDHV12</stp>
        <stp>CL1 Comdty</stp>
        <stp>VOLUME_TOTAL_PUT</stp>
        <stp>31/03/2016</stp>
        <stp>31/03/2016</stp>
        <stp>[Bbg_Market_Data_CL.xlsm]data!R258C16</stp>
        <tr r="P258" s="1"/>
      </tp>
      <tp t="s">
        <v>#N/A Requesting Data...</v>
        <stp/>
        <stp>##V3_BDHV12</stp>
        <stp>CL1 Comdty</stp>
        <stp>VOLUME_TOTAL_PUT</stp>
        <stp>04/06/2015</stp>
        <stp>04/06/2015</stp>
        <stp>[Bbg_Market_Data_CL.xlsm]data!R462C16</stp>
        <tr r="P462" s="1"/>
      </tp>
      <tp t="s">
        <v>#N/A Requesting Data...</v>
        <stp/>
        <stp>##V3_BDHV12</stp>
        <stp>CL1 Comdty</stp>
        <stp>VOLUME_TOTAL_PUT</stp>
        <stp>13/10/2015</stp>
        <stp>13/10/2015</stp>
        <stp>[Bbg_Market_Data_CL.xlsm]data!R372C16</stp>
        <tr r="P372" s="1"/>
      </tp>
      <tp t="s">
        <v>#N/A Requesting Data...</v>
        <stp/>
        <stp>##V3_BDHV12</stp>
        <stp>CL2 Comdty</stp>
        <stp>VOLUME_TOTAL_PUT</stp>
        <stp>31/03/2016</stp>
        <stp>31/03/2016</stp>
        <stp>[Bbg_Market_Data_CL.xlsm]data!R258C16</stp>
        <tr r="P258" s="1"/>
      </tp>
      <tp t="s">
        <v>#N/A Requesting Data...</v>
        <stp/>
        <stp>##V3_BDHV12</stp>
        <stp>CL2 Comdty</stp>
        <stp>VOLUME_TOTAL_PUT</stp>
        <stp>03/11/2015</stp>
        <stp>03/11/2015</stp>
        <stp>[Bbg_Market_Data_CL.xlsm]data!R357C16</stp>
        <tr r="P357" s="1"/>
      </tp>
      <tp t="s">
        <v>#N/A Requesting Data...</v>
        <stp/>
        <stp>##V3_BDHV12</stp>
        <stp>CL2 Comdty</stp>
        <stp>VOLUME_TOTAL_PUT</stp>
        <stp>14/07/2015</stp>
        <stp>14/07/2015</stp>
        <stp>[Bbg_Market_Data_CL.xlsm]data!R435C16</stp>
        <tr r="P435" s="1"/>
      </tp>
      <tp t="s">
        <v>#N/A Requesting Data...</v>
        <stp/>
        <stp>##V3_BDHV12</stp>
        <stp>CL1 Comdty</stp>
        <stp>VOLUME_TOTAL_PUT</stp>
        <stp>14/07/2015</stp>
        <stp>14/07/2015</stp>
        <stp>[Bbg_Market_Data_CL.xlsm]data!R435C16</stp>
        <tr r="P435" s="1"/>
      </tp>
      <tp t="s">
        <v>#N/A Requesting Data...</v>
        <stp/>
        <stp>##V3_BDHV12</stp>
        <stp>CL1 Comdty</stp>
        <stp>VOLUME_TOTAL_PUT</stp>
        <stp>24/04/2015</stp>
        <stp>24/04/2015</stp>
        <stp>[Bbg_Market_Data_CL.xlsm]data!R490C16</stp>
        <tr r="P490" s="1"/>
      </tp>
      <tp t="s">
        <v>#N/A Requesting Data...</v>
        <stp/>
        <stp>##V3_BDHV12</stp>
        <stp>CL2 Comdty</stp>
        <stp>VOLUME_TOTAL_PUT</stp>
        <stp>24/04/2015</stp>
        <stp>24/04/2015</stp>
        <stp>[Bbg_Market_Data_CL.xlsm]data!R490C16</stp>
        <tr r="P490" s="1"/>
      </tp>
      <tp t="s">
        <v>#N/A Requesting Data...</v>
        <stp/>
        <stp>##V3_BDHV12</stp>
        <stp>CL1 Comdty</stp>
        <stp>VOLUME_TOTAL_PUT</stp>
        <stp>12/11/2015</stp>
        <stp>12/11/2015</stp>
        <stp>[Bbg_Market_Data_CL.xlsm]data!R351C16</stp>
        <tr r="P351" s="1"/>
      </tp>
      <tp t="s">
        <v>#N/A Requesting Data...</v>
        <stp/>
        <stp>##V3_BDHV12</stp>
        <stp>CL1 Comdty</stp>
        <stp>VOLUME_TOTAL_PUT</stp>
        <stp>15/06/2015</stp>
        <stp>15/06/2015</stp>
        <stp>[Bbg_Market_Data_CL.xlsm]data!R455C16</stp>
        <tr r="P455" s="1"/>
      </tp>
      <tp t="s">
        <v>#N/A Requesting Data...</v>
        <stp/>
        <stp>##V3_BDHV12</stp>
        <stp>CL2 Comdty</stp>
        <stp>VOLUME_TOTAL_PUT</stp>
        <stp>02/10/2015</stp>
        <stp>02/10/2015</stp>
        <stp>[Bbg_Market_Data_CL.xlsm]data!R378C16</stp>
        <tr r="P378" s="1"/>
      </tp>
      <tp t="s">
        <v>#N/A Requesting Data...</v>
        <stp/>
        <stp>##V3_BDHV12</stp>
        <stp>CL2 Comdty</stp>
        <stp>VOLUME_TOTAL_PUT</stp>
        <stp>15/06/2015</stp>
        <stp>15/06/2015</stp>
        <stp>[Bbg_Market_Data_CL.xlsm]data!R455C16</stp>
        <tr r="P455" s="1"/>
      </tp>
      <tp t="s">
        <v>#N/A Requesting Data...</v>
        <stp/>
        <stp>##V3_BDHV12</stp>
        <stp>CL1 Comdty</stp>
        <stp>VOLUME_TOTAL_PUT</stp>
        <stp>02/10/2015</stp>
        <stp>02/10/2015</stp>
        <stp>[Bbg_Market_Data_CL.xlsm]data!R378C16</stp>
        <tr r="P378" s="1"/>
      </tp>
      <tp t="s">
        <v>#N/A Requesting Data...</v>
        <stp/>
        <stp>##V3_BDHV12</stp>
        <stp>CL2 Comdty</stp>
        <stp>VOLUME_TOTAL_PUT</stp>
        <stp>12/11/2015</stp>
        <stp>12/11/2015</stp>
        <stp>[Bbg_Market_Data_CL.xlsm]data!R351C16</stp>
        <tr r="P351" s="1"/>
      </tp>
      <tp t="s">
        <v>#N/A Requesting Data...</v>
        <stp/>
        <stp>##V3_BDHV12</stp>
        <stp>CL2 Comdty</stp>
        <stp>VOLUME_TOTAL_PUT</stp>
        <stp>22/12/2015</stp>
        <stp>22/12/2015</stp>
        <stp>[Bbg_Market_Data_CL.xlsm]data!R324C16</stp>
        <tr r="P324" s="1"/>
      </tp>
      <tp t="s">
        <v>#N/A Requesting Data...</v>
        <stp/>
        <stp>##V3_BDHV12</stp>
        <stp>CL1 Comdty</stp>
        <stp>VOLUME_TOTAL_PUT</stp>
        <stp>11/01/2016</stp>
        <stp>11/01/2016</stp>
        <stp>[Bbg_Market_Data_CL.xlsm]data!R312C16</stp>
        <tr r="P312" s="1"/>
      </tp>
      <tp t="s">
        <v>#N/A Requesting Data...</v>
        <stp/>
        <stp>##V3_BDHV12</stp>
        <stp>CL2 Comdty</stp>
        <stp>VOLUME_TOTAL_PUT</stp>
        <stp>11/01/2016</stp>
        <stp>11/01/2016</stp>
        <stp>[Bbg_Market_Data_CL.xlsm]data!R312C16</stp>
        <tr r="P312" s="1"/>
      </tp>
      <tp t="s">
        <v>#N/A Requesting Data...</v>
        <stp/>
        <stp>##V3_BDHV12</stp>
        <stp>CL1 Comdty</stp>
        <stp>VOLUME_TOTAL_PUT</stp>
        <stp>22/12/2015</stp>
        <stp>22/12/2015</stp>
        <stp>[Bbg_Market_Data_CL.xlsm]data!R324C16</stp>
        <tr r="P324" s="1"/>
      </tp>
      <tp t="s">
        <v>#N/A Requesting Data...</v>
        <stp/>
        <stp>##V3_BDHV12</stp>
        <stp>CL1 Comdty</stp>
        <stp>30DAY_IMPVOL_105.0%MNY_DF</stp>
        <stp>31/03/2017</stp>
        <stp>31/03/2017</stp>
        <stp>[Bbg_Market_Data_CL.xlsm]data!R7C19</stp>
        <tr r="S7" s="1"/>
      </tp>
      <tp t="s">
        <v>#N/A Requesting Data...</v>
        <stp/>
        <stp>##V3_BDHV12</stp>
        <stp>CL1 Comdty</stp>
        <stp>30DAY_IMPVOL_105.0%MNY_DF</stp>
        <stp>30/03/2017</stp>
        <stp>30/03/2017</stp>
        <stp>[Bbg_Market_Data_CL.xlsm]data!R8C19</stp>
        <tr r="S8" s="1"/>
      </tp>
      <tp t="s">
        <v>#N/A Requesting Data...</v>
        <stp/>
        <stp>##V3_BDHV12</stp>
        <stp>CL1 Comdty</stp>
        <stp>30DAY_IMPVOL_105.0%MNY_DF</stp>
        <stp>29/03/2017</stp>
        <stp>29/03/2017</stp>
        <stp>[Bbg_Market_Data_CL.xlsm]data!R9C19</stp>
        <tr r="S9" s="1"/>
      </tp>
      <tp t="s">
        <v>#N/A Requesting Data...</v>
        <stp/>
        <stp>##V3_BDHV12</stp>
        <stp>CL1 Comdty</stp>
        <stp>30DAY_IMPVOL_100.0%MNY_DF</stp>
        <stp>29/03/2017</stp>
        <stp>29/03/2017</stp>
        <stp>[Bbg_Market_Data_CL.xlsm]data!R9C20</stp>
        <tr r="T9" s="1"/>
      </tp>
      <tp t="s">
        <v>#N/A Requesting Data...</v>
        <stp/>
        <stp>##V3_BDHV12</stp>
        <stp>CL1 Comdty</stp>
        <stp>30DAY_IMPVOL_110.0%MNY_DF</stp>
        <stp>29/03/2017</stp>
        <stp>29/03/2017</stp>
        <stp>[Bbg_Market_Data_CL.xlsm]data!R9C22</stp>
        <tr r="V9" s="1"/>
      </tp>
      <tp t="s">
        <v>#N/A Requesting Data...</v>
        <stp/>
        <stp>##V3_BDHV12</stp>
        <stp>CL1 Comdty</stp>
        <stp>30DAY_IMPVOL_100.0%MNY_DF</stp>
        <stp>30/03/2017</stp>
        <stp>30/03/2017</stp>
        <stp>[Bbg_Market_Data_CL.xlsm]data!R8C20</stp>
        <tr r="T8" s="1"/>
      </tp>
      <tp t="s">
        <v>#N/A Requesting Data...</v>
        <stp/>
        <stp>##V3_BDHV12</stp>
        <stp>CL1 Comdty</stp>
        <stp>30DAY_IMPVOL_100.0%MNY_DF</stp>
        <stp>31/03/2017</stp>
        <stp>31/03/2017</stp>
        <stp>[Bbg_Market_Data_CL.xlsm]data!R7C20</stp>
        <tr r="T7" s="1"/>
      </tp>
      <tp t="s">
        <v>#N/A Requesting Data...</v>
        <stp/>
        <stp>##V3_BDHV12</stp>
        <stp>CL1 Comdty</stp>
        <stp>30DAY_IMPVOL_110.0%MNY_DF</stp>
        <stp>31/03/2017</stp>
        <stp>31/03/2017</stp>
        <stp>[Bbg_Market_Data_CL.xlsm]data!R7C22</stp>
        <tr r="V7" s="1"/>
      </tp>
      <tp t="s">
        <v>#N/A Requesting Data...</v>
        <stp/>
        <stp>##V3_BDHV12</stp>
        <stp>CL1 Comdty</stp>
        <stp>30DAY_IMPVOL_110.0%MNY_DF</stp>
        <stp>30/03/2017</stp>
        <stp>30/03/2017</stp>
        <stp>[Bbg_Market_Data_CL.xlsm]data!R8C22</stp>
        <tr r="V8" s="1"/>
      </tp>
      <tp t="s">
        <v>#N/A Requesting Data...</v>
        <stp/>
        <stp>##V3_BDHV12</stp>
        <stp>CL1 Comdty</stp>
        <stp>30DAY_IMPVOL_105.0%MNY_DF</stp>
        <stp>05/04/2017</stp>
        <stp>05/04/2017</stp>
        <stp>[Bbg_Market_Data_CL.xlsm]data!R4C19</stp>
        <tr r="S4" s="1"/>
      </tp>
      <tp t="s">
        <v>#N/A Requesting Data...</v>
        <stp/>
        <stp>##V3_BDHV12</stp>
        <stp>CL1 Comdty</stp>
        <stp>30DAY_IMPVOL_105.0%MNY_DF</stp>
        <stp>04/04/2017</stp>
        <stp>04/04/2017</stp>
        <stp>[Bbg_Market_Data_CL.xlsm]data!R5C19</stp>
        <tr r="S5" s="1"/>
      </tp>
      <tp t="s">
        <v>#N/A Requesting Data...</v>
        <stp/>
        <stp>##V3_BDHV12</stp>
        <stp>CL1 Comdty</stp>
        <stp>30DAY_IMPVOL_105.0%MNY_DF</stp>
        <stp>07/04/2017</stp>
        <stp>07/04/2017</stp>
        <stp>[Bbg_Market_Data_CL.xlsm]data!R2C19</stp>
        <tr r="S2" s="1"/>
      </tp>
      <tp t="s">
        <v>#N/A Requesting Data...</v>
        <stp/>
        <stp>##V3_BDHV12</stp>
        <stp>CL1 Comdty</stp>
        <stp>30DAY_IMPVOL_105.0%MNY_DF</stp>
        <stp>06/04/2017</stp>
        <stp>06/04/2017</stp>
        <stp>[Bbg_Market_Data_CL.xlsm]data!R3C19</stp>
        <tr r="S3" s="1"/>
      </tp>
      <tp t="s">
        <v>#N/A Requesting Data...</v>
        <stp/>
        <stp>##V3_BDHV12</stp>
        <stp>CL1 Comdty</stp>
        <stp>30DAY_IMPVOL_105.0%MNY_DF</stp>
        <stp>03/04/2017</stp>
        <stp>03/04/2017</stp>
        <stp>[Bbg_Market_Data_CL.xlsm]data!R6C19</stp>
        <tr r="S6" s="1"/>
      </tp>
      <tp t="s">
        <v>#N/A Requesting Data...</v>
        <stp/>
        <stp>##V3_BDHV12</stp>
        <stp>CL1 Comdty</stp>
        <stp>30DAY_IMPVOL_110.0%MNY_DF</stp>
        <stp>07/04/2017</stp>
        <stp>07/04/2017</stp>
        <stp>[Bbg_Market_Data_CL.xlsm]data!R2C22</stp>
        <tr r="V2" s="1"/>
      </tp>
      <tp t="s">
        <v>#N/A Requesting Data...</v>
        <stp/>
        <stp>##V3_BDHV12</stp>
        <stp>CL1 Comdty</stp>
        <stp>30DAY_IMPVOL_100.0%MNY_DF</stp>
        <stp>04/04/2017</stp>
        <stp>04/04/2017</stp>
        <stp>[Bbg_Market_Data_CL.xlsm]data!R5C20</stp>
        <tr r="T5" s="1"/>
      </tp>
      <tp t="s">
        <v>#N/A Requesting Data...</v>
        <stp/>
        <stp>##V3_BDHV12</stp>
        <stp>CL1 Comdty</stp>
        <stp>30DAY_IMPVOL_110.0%MNY_DF</stp>
        <stp>06/04/2017</stp>
        <stp>06/04/2017</stp>
        <stp>[Bbg_Market_Data_CL.xlsm]data!R3C22</stp>
        <tr r="V3" s="1"/>
      </tp>
      <tp t="s">
        <v>#N/A Requesting Data...</v>
        <stp/>
        <stp>##V3_BDHV12</stp>
        <stp>CL1 Comdty</stp>
        <stp>30DAY_IMPVOL_100.0%MNY_DF</stp>
        <stp>05/04/2017</stp>
        <stp>05/04/2017</stp>
        <stp>[Bbg_Market_Data_CL.xlsm]data!R4C20</stp>
        <tr r="T4" s="1"/>
      </tp>
      <tp t="s">
        <v>#N/A Requesting Data...</v>
        <stp/>
        <stp>##V3_BDHV12</stp>
        <stp>CL1 Comdty</stp>
        <stp>30DAY_IMPVOL_100.0%MNY_DF</stp>
        <stp>06/04/2017</stp>
        <stp>06/04/2017</stp>
        <stp>[Bbg_Market_Data_CL.xlsm]data!R3C20</stp>
        <tr r="T3" s="1"/>
      </tp>
      <tp t="s">
        <v>#N/A Requesting Data...</v>
        <stp/>
        <stp>##V3_BDHV12</stp>
        <stp>CL1 Comdty</stp>
        <stp>30DAY_IMPVOL_110.0%MNY_DF</stp>
        <stp>05/04/2017</stp>
        <stp>05/04/2017</stp>
        <stp>[Bbg_Market_Data_CL.xlsm]data!R4C22</stp>
        <tr r="V4" s="1"/>
      </tp>
      <tp t="s">
        <v>#N/A Requesting Data...</v>
        <stp/>
        <stp>##V3_BDHV12</stp>
        <stp>CL1 Comdty</stp>
        <stp>30DAY_IMPVOL_100.0%MNY_DF</stp>
        <stp>07/04/2017</stp>
        <stp>07/04/2017</stp>
        <stp>[Bbg_Market_Data_CL.xlsm]data!R2C20</stp>
        <tr r="T2" s="1"/>
      </tp>
      <tp t="s">
        <v>#N/A Requesting Data...</v>
        <stp/>
        <stp>##V3_BDHV12</stp>
        <stp>CL1 Comdty</stp>
        <stp>30DAY_IMPVOL_110.0%MNY_DF</stp>
        <stp>04/04/2017</stp>
        <stp>04/04/2017</stp>
        <stp>[Bbg_Market_Data_CL.xlsm]data!R5C22</stp>
        <tr r="V5" s="1"/>
      </tp>
      <tp t="s">
        <v>#N/A Requesting Data...</v>
        <stp/>
        <stp>##V3_BDHV12</stp>
        <stp>CL1 Comdty</stp>
        <stp>30DAY_IMPVOL_110.0%MNY_DF</stp>
        <stp>03/04/2017</stp>
        <stp>03/04/2017</stp>
        <stp>[Bbg_Market_Data_CL.xlsm]data!R6C22</stp>
        <tr r="V6" s="1"/>
      </tp>
      <tp t="s">
        <v>#N/A Requesting Data...</v>
        <stp/>
        <stp>##V3_BDHV12</stp>
        <stp>CL1 Comdty</stp>
        <stp>30DAY_IMPVOL_100.0%MNY_DF</stp>
        <stp>03/04/2017</stp>
        <stp>03/04/2017</stp>
        <stp>[Bbg_Market_Data_CL.xlsm]data!R6C20</stp>
        <tr r="T6" s="1"/>
      </tp>
      <tp t="s">
        <v>#N/A Requesting Data...</v>
        <stp/>
        <stp>##V3_BDHV12</stp>
        <stp>CL1 Comdty</stp>
        <stp>VOLUME_TOTAL_PUT</stp>
        <stp>18/08/2015</stp>
        <stp>18/08/2015</stp>
        <stp>[Bbg_Market_Data_CL.xlsm]data!R410C16</stp>
        <tr r="P410" s="1"/>
      </tp>
      <tp t="s">
        <v>#N/A Requesting Data...</v>
        <stp/>
        <stp>##V3_BDHV12</stp>
        <stp>CL2 Comdty</stp>
        <stp>VOLUME_TOTAL_PUT</stp>
        <stp>18/08/2015</stp>
        <stp>18/08/2015</stp>
        <stp>[Bbg_Market_Data_CL.xlsm]data!R410C16</stp>
        <tr r="P410" s="1"/>
      </tp>
      <tp t="s">
        <v>#N/A Requesting Data...</v>
        <stp/>
        <stp>##V3_BDHV12</stp>
        <stp>CL2 Comdty</stp>
        <stp>VOLUME_TOTAL_PUT</stp>
        <stp>29/09/2016</stp>
        <stp>29/09/2016</stp>
        <stp>[Bbg_Market_Data_CL.xlsm]data!R132C16</stp>
        <tr r="P132" s="1"/>
      </tp>
      <tp t="s">
        <v>#N/A Requesting Data...</v>
        <stp/>
        <stp>##V3_BDHV12</stp>
        <stp>CL1 Comdty</stp>
        <stp>VOLUME_TOTAL_PUT</stp>
        <stp>29/09/2016</stp>
        <stp>29/09/2016</stp>
        <stp>[Bbg_Market_Data_CL.xlsm]data!R132C16</stp>
        <tr r="P132" s="1"/>
      </tp>
      <tp t="s">
        <v>#N/A Requesting Data...</v>
        <stp/>
        <stp>##V3_BDHV12</stp>
        <stp>CL1 Comdty</stp>
        <stp>VOLUME_TOTAL_PUT</stp>
        <stp>08/09/2015</stp>
        <stp>08/09/2015</stp>
        <stp>[Bbg_Market_Data_CL.xlsm]data!R396C16</stp>
        <tr r="P396" s="1"/>
      </tp>
      <tp t="s">
        <v>#N/A Requesting Data...</v>
        <stp/>
        <stp>##V3_BDHV12</stp>
        <stp>CL2 Comdty</stp>
        <stp>VOLUME_TOTAL_PUT</stp>
        <stp>08/09/2015</stp>
        <stp>08/09/2015</stp>
        <stp>[Bbg_Market_Data_CL.xlsm]data!R396C16</stp>
        <tr r="P396" s="1"/>
      </tp>
      <tp t="s">
        <v>#N/A Requesting Data...</v>
        <stp/>
        <stp>##V3_BDHV12</stp>
        <stp>CL1 Comdty</stp>
        <stp>VOLUME_TOTAL_PUT</stp>
        <stp>14/07/2016</stp>
        <stp>14/07/2016</stp>
        <stp>[Bbg_Market_Data_CL.xlsm]data!R185C16</stp>
        <tr r="P185" s="1"/>
      </tp>
      <tp t="s">
        <v>#N/A Requesting Data...</v>
        <stp/>
        <stp>##V3_BDHV12</stp>
        <stp>CL2 Comdty</stp>
        <stp>VOLUME_TOTAL_PUT</stp>
        <stp>14/07/2016</stp>
        <stp>14/07/2016</stp>
        <stp>[Bbg_Market_Data_CL.xlsm]data!R185C16</stp>
        <tr r="P185" s="1"/>
      </tp>
      <tp t="s">
        <v>#N/A Requesting Data...</v>
        <stp/>
        <stp>##V3_BDHV12</stp>
        <stp>CL1 Comdty</stp>
        <stp>VOLUME_TOTAL_PUT</stp>
        <stp>06/04/2016</stp>
        <stp>06/04/2016</stp>
        <stp>[Bbg_Market_Data_CL.xlsm]data!R254C16</stp>
        <tr r="P254" s="1"/>
      </tp>
      <tp t="s">
        <v>#N/A Requesting Data...</v>
        <stp/>
        <stp>##V3_BDHV12</stp>
        <stp>CL2 Comdty</stp>
        <stp>VOLUME_TOTAL_PUT</stp>
        <stp>06/04/2016</stp>
        <stp>06/04/2016</stp>
        <stp>[Bbg_Market_Data_CL.xlsm]data!R254C16</stp>
        <tr r="P254" s="1"/>
      </tp>
      <tp t="s">
        <v>#N/A Requesting Data...</v>
        <stp/>
        <stp>##V3_BDHV12</stp>
        <stp>CL2 Comdty</stp>
        <stp>VOLUME_TOTAL_PUT</stp>
        <stp>16/05/2016</stp>
        <stp>16/05/2016</stp>
        <stp>[Bbg_Market_Data_CL.xlsm]data!R226C16</stp>
        <tr r="P226" s="1"/>
      </tp>
      <tp t="s">
        <v>#N/A Requesting Data...</v>
        <stp/>
        <stp>##V3_BDHV12</stp>
        <stp>CL1 Comdty</stp>
        <stp>VOLUME_TOTAL_PUT</stp>
        <stp>16/05/2016</stp>
        <stp>16/05/2016</stp>
        <stp>[Bbg_Market_Data_CL.xlsm]data!R226C16</stp>
        <tr r="P226" s="1"/>
      </tp>
      <tp t="s">
        <v>#N/A Requesting Data...</v>
        <stp/>
        <stp>##V3_BDHV12</stp>
        <stp>CL1 Comdty</stp>
        <stp>VOLUME_TOTAL_PUT</stp>
        <stp>05/07/2016</stp>
        <stp>05/07/2016</stp>
        <stp>[Bbg_Market_Data_CL.xlsm]data!R192C16</stp>
        <tr r="P192" s="1"/>
      </tp>
      <tp t="s">
        <v>#N/A Requesting Data...</v>
        <stp/>
        <stp>##V3_BDHV12</stp>
        <stp>CL2 Comdty</stp>
        <stp>VOLUME_TOTAL_PUT</stp>
        <stp>05/07/2016</stp>
        <stp>05/07/2016</stp>
        <stp>[Bbg_Market_Data_CL.xlsm]data!R192C16</stp>
        <tr r="P192" s="1"/>
      </tp>
      <tp t="s">
        <v>#N/A Requesting Data...</v>
        <stp/>
        <stp>##V3_BDHV12</stp>
        <stp>CL1 Comdty</stp>
        <stp>VOLUME_TOTAL_PUT</stp>
        <stp>15/06/2016</stp>
        <stp>15/06/2016</stp>
        <stp>[Bbg_Market_Data_CL.xlsm]data!R205C16</stp>
        <tr r="P205" s="1"/>
      </tp>
      <tp t="s">
        <v>#N/A Requesting Data...</v>
        <stp/>
        <stp>##V3_BDHV12</stp>
        <stp>CL1 Comdty</stp>
        <stp>VOLUME_TOTAL_PUT</stp>
        <stp>25/05/2016</stp>
        <stp>25/05/2016</stp>
        <stp>[Bbg_Market_Data_CL.xlsm]data!R219C16</stp>
        <tr r="P219" s="1"/>
      </tp>
      <tp t="s">
        <v>#N/A Requesting Data...</v>
        <stp/>
        <stp>##V3_BDHV12</stp>
        <stp>CL2 Comdty</stp>
        <stp>VOLUME_TOTAL_PUT</stp>
        <stp>25/05/2016</stp>
        <stp>25/05/2016</stp>
        <stp>[Bbg_Market_Data_CL.xlsm]data!R219C16</stp>
        <tr r="P219" s="1"/>
      </tp>
      <tp t="s">
        <v>#N/A Requesting Data...</v>
        <stp/>
        <stp>##V3_BDHV12</stp>
        <stp>CL2 Comdty</stp>
        <stp>VOLUME_TOTAL_PUT</stp>
        <stp>15/06/2016</stp>
        <stp>15/06/2016</stp>
        <stp>[Bbg_Market_Data_CL.xlsm]data!R205C16</stp>
        <tr r="P205" s="1"/>
      </tp>
      <tp t="s">
        <v>#N/A Requesting Data...</v>
        <stp/>
        <stp>##V3_BDHV12</stp>
        <stp>CL2 Comdty</stp>
        <stp>VOLUME_TOTAL_PUT</stp>
        <stp>27/07/2016</stp>
        <stp>27/07/2016</stp>
        <stp>[Bbg_Market_Data_CL.xlsm]data!R176C16</stp>
        <tr r="P176" s="1"/>
      </tp>
      <tp t="s">
        <v>#N/A Requesting Data...</v>
        <stp/>
        <stp>##V3_BDHV12</stp>
        <stp>CL1 Comdty</stp>
        <stp>VOLUME_TOTAL_PUT</stp>
        <stp>27/07/2016</stp>
        <stp>27/07/2016</stp>
        <stp>[Bbg_Market_Data_CL.xlsm]data!R176C16</stp>
        <tr r="P176" s="1"/>
      </tp>
      <tp t="s">
        <v>#N/A Requesting Data...</v>
        <stp/>
        <stp>##V3_BDHV12</stp>
        <stp>CL1 Comdty</stp>
        <stp>VOLUME_TOTAL_PUT</stp>
        <stp>06/07/2015</stp>
        <stp>06/07/2015</stp>
        <stp>[Bbg_Market_Data_CL.xlsm]data!R441C16</stp>
        <tr r="P441" s="1"/>
      </tp>
      <tp t="s">
        <v>#N/A Requesting Data...</v>
        <stp/>
        <stp>##V3_BDHV12</stp>
        <stp>CL1 Comdty</stp>
        <stp>VOLUME_TOTAL_PUT</stp>
        <stp>16/06/2015</stp>
        <stp>16/06/2015</stp>
        <stp>[Bbg_Market_Data_CL.xlsm]data!R454C16</stp>
        <tr r="P454" s="1"/>
      </tp>
      <tp t="s">
        <v>#N/A Requesting Data...</v>
        <stp/>
        <stp>##V3_BDHV12</stp>
        <stp>CL2 Comdty</stp>
        <stp>VOLUME_TOTAL_PUT</stp>
        <stp>23/03/2016</stp>
        <stp>23/03/2016</stp>
        <stp>[Bbg_Market_Data_CL.xlsm]data!R263C16</stp>
        <tr r="P263" s="1"/>
      </tp>
      <tp t="s">
        <v>#N/A Requesting Data...</v>
        <stp/>
        <stp>##V3_BDHV12</stp>
        <stp>CL2 Comdty</stp>
        <stp>VOLUME_TOTAL_PUT</stp>
        <stp>26/05/2015</stp>
        <stp>26/05/2015</stp>
        <stp>[Bbg_Market_Data_CL.xlsm]data!R469C16</stp>
        <tr r="P469" s="1"/>
      </tp>
      <tp t="s">
        <v>#N/A Requesting Data...</v>
        <stp/>
        <stp>##V3_BDHV12</stp>
        <stp>CL2 Comdty</stp>
        <stp>VOLUME_TOTAL_PUT</stp>
        <stp>01/10/2015</stp>
        <stp>01/10/2015</stp>
        <stp>[Bbg_Market_Data_CL.xlsm]data!R379C16</stp>
        <tr r="P379" s="1"/>
      </tp>
      <tp t="s">
        <v>#N/A Requesting Data...</v>
        <stp/>
        <stp>##V3_BDHV12</stp>
        <stp>CL2 Comdty</stp>
        <stp>VOLUME_TOTAL_PUT</stp>
        <stp>16/06/2015</stp>
        <stp>16/06/2015</stp>
        <stp>[Bbg_Market_Data_CL.xlsm]data!R454C16</stp>
        <tr r="P454" s="1"/>
      </tp>
      <tp t="s">
        <v>#N/A Requesting Data...</v>
        <stp/>
        <stp>##V3_BDHV12</stp>
        <stp>CL1 Comdty</stp>
        <stp>VOLUME_TOTAL_PUT</stp>
        <stp>23/03/2016</stp>
        <stp>23/03/2016</stp>
        <stp>[Bbg_Market_Data_CL.xlsm]data!R263C16</stp>
        <tr r="P263" s="1"/>
      </tp>
      <tp t="s">
        <v>#N/A Requesting Data...</v>
        <stp/>
        <stp>##V3_BDHV12</stp>
        <stp>CL1 Comdty</stp>
        <stp>VOLUME_TOTAL_PUT</stp>
        <stp>26/05/2015</stp>
        <stp>26/05/2015</stp>
        <stp>[Bbg_Market_Data_CL.xlsm]data!R469C16</stp>
        <tr r="P469" s="1"/>
      </tp>
      <tp t="s">
        <v>#N/A Requesting Data...</v>
        <stp/>
        <stp>##V3_BDHV12</stp>
        <stp>CL1 Comdty</stp>
        <stp>VOLUME_TOTAL_PUT</stp>
        <stp>01/10/2015</stp>
        <stp>01/10/2015</stp>
        <stp>[Bbg_Market_Data_CL.xlsm]data!R379C16</stp>
        <tr r="P379" s="1"/>
      </tp>
      <tp t="s">
        <v>#N/A Requesting Data...</v>
        <stp/>
        <stp>##V3_BDHV12</stp>
        <stp>CL2 Comdty</stp>
        <stp>VOLUME_TOTAL_PUT</stp>
        <stp>06/07/2015</stp>
        <stp>06/07/2015</stp>
        <stp>[Bbg_Market_Data_CL.xlsm]data!R441C16</stp>
        <tr r="P441" s="1"/>
      </tp>
      <tp t="s">
        <v>#N/A Requesting Data...</v>
        <stp/>
        <stp>##V3_BDHV12</stp>
        <stp>CL2 Comdty</stp>
        <stp>VOLUME_TOTAL_PUT</stp>
        <stp>21/12/2015</stp>
        <stp>21/12/2015</stp>
        <stp>[Bbg_Market_Data_CL.xlsm]data!R325C16</stp>
        <tr r="P325" s="1"/>
      </tp>
      <tp t="s">
        <v>#N/A Requesting Data...</v>
        <stp/>
        <stp>##V3_BDHV12</stp>
        <stp>CL1 Comdty</stp>
        <stp>VOLUME_TOTAL_PUT</stp>
        <stp>20/10/2016</stp>
        <stp>20/10/2016</stp>
        <stp>[Bbg_Market_Data_CL.xlsm]data!R118C16</stp>
        <tr r="P118" s="1"/>
      </tp>
      <tp t="s">
        <v>#N/A Requesting Data...</v>
        <stp/>
        <stp>##V3_BDHV12</stp>
        <stp>CL1 Comdty</stp>
        <stp>VOLUME_TOTAL_PUT</stp>
        <stp>12/01/2016</stp>
        <stp>12/01/2016</stp>
        <stp>[Bbg_Market_Data_CL.xlsm]data!R311C16</stp>
        <tr r="P311" s="1"/>
      </tp>
      <tp t="s">
        <v>#N/A Requesting Data...</v>
        <stp/>
        <stp>##V3_BDHV12</stp>
        <stp>CL2 Comdty</stp>
        <stp>VOLUME_TOTAL_PUT</stp>
        <stp>12/01/2016</stp>
        <stp>12/01/2016</stp>
        <stp>[Bbg_Market_Data_CL.xlsm]data!R311C16</stp>
        <tr r="P311" s="1"/>
      </tp>
      <tp t="s">
        <v>#N/A Requesting Data...</v>
        <stp/>
        <stp>##V3_BDHV12</stp>
        <stp>CL1 Comdty</stp>
        <stp>VOLUME_TOTAL_PUT</stp>
        <stp>21/12/2015</stp>
        <stp>21/12/2015</stp>
        <stp>[Bbg_Market_Data_CL.xlsm]data!R325C16</stp>
        <tr r="P325" s="1"/>
      </tp>
      <tp t="s">
        <v>#N/A Requesting Data...</v>
        <stp/>
        <stp>##V3_BDHV12</stp>
        <stp>CL2 Comdty</stp>
        <stp>VOLUME_TOTAL_PUT</stp>
        <stp>20/10/2016</stp>
        <stp>20/10/2016</stp>
        <stp>[Bbg_Market_Data_CL.xlsm]data!R118C16</stp>
        <tr r="P118" s="1"/>
      </tp>
      <tp t="s">
        <v>#N/A Requesting Data...</v>
        <stp/>
        <stp>##V3_BDHV12</stp>
        <stp>CL2 Comdty</stp>
        <stp>VOLUME_TOTAL_PUT</stp>
        <stp>17/07/2015</stp>
        <stp>17/07/2015</stp>
        <stp>[Bbg_Market_Data_CL.xlsm]data!R432C16</stp>
        <tr r="P432" s="1"/>
      </tp>
      <tp t="s">
        <v>#N/A Requesting Data...</v>
        <stp/>
        <stp>##V3_BDHV12</stp>
        <stp>CL1 Comdty</stp>
        <stp>VOLUME_TOTAL_PUT</stp>
        <stp>31/10/2016</stp>
        <stp>31/10/2016</stp>
        <stp>[Bbg_Market_Data_CL.xlsm]data!R111C16</stp>
        <tr r="P111" s="1"/>
      </tp>
      <tp t="s">
        <v>#N/A Requesting Data...</v>
        <stp/>
        <stp>##V3_BDHV12</stp>
        <stp>CL1 Comdty</stp>
        <stp>VOLUME_TOTAL_PUT</stp>
        <stp>30/12/2015</stp>
        <stp>30/12/2015</stp>
        <stp>[Bbg_Market_Data_CL.xlsm]data!R319C16</stp>
        <tr r="P319" s="1"/>
      </tp>
      <tp t="s">
        <v>#N/A Requesting Data...</v>
        <stp/>
        <stp>##V3_BDHV12</stp>
        <stp>CL1 Comdty</stp>
        <stp>VOLUME_TOTAL_PUT</stp>
        <stp>17/07/2015</stp>
        <stp>17/07/2015</stp>
        <stp>[Bbg_Market_Data_CL.xlsm]data!R432C16</stp>
        <tr r="P432" s="1"/>
      </tp>
      <tp t="s">
        <v>#N/A Requesting Data...</v>
        <stp/>
        <stp>##V3_BDHV12</stp>
        <stp>CL2 Comdty</stp>
        <stp>VOLUME_TOTAL_PUT</stp>
        <stp>31/10/2016</stp>
        <stp>31/10/2016</stp>
        <stp>[Bbg_Market_Data_CL.xlsm]data!R111C16</stp>
        <tr r="P111" s="1"/>
      </tp>
      <tp t="s">
        <v>#N/A Requesting Data...</v>
        <stp/>
        <stp>##V3_BDHV12</stp>
        <stp>CL2 Comdty</stp>
        <stp>VOLUME_TOTAL_PUT</stp>
        <stp>30/12/2015</stp>
        <stp>30/12/2015</stp>
        <stp>[Bbg_Market_Data_CL.xlsm]data!R319C16</stp>
        <tr r="P319" s="1"/>
      </tp>
      <tp t="s">
        <v>#N/A Requesting Data...</v>
        <stp/>
        <stp>##V3_BDHV12</stp>
        <stp>CL1 Comdty</stp>
        <stp>VOLUME_TOTAL_PUT</stp>
        <stp>22/02/2016</stp>
        <stp>22/02/2016</stp>
        <stp>[Bbg_Market_Data_CL.xlsm]data!R285C16</stp>
        <tr r="P285" s="1"/>
      </tp>
      <tp t="s">
        <v>#N/A Requesting Data...</v>
        <stp/>
        <stp>##V3_BDHV12</stp>
        <stp>CL1 Comdty</stp>
        <stp>VOLUME_TOTAL_PUT</stp>
        <stp>27/04/2015</stp>
        <stp>27/04/2015</stp>
        <stp>[Bbg_Market_Data_CL.xlsm]data!R489C16</stp>
        <tr r="P489" s="1"/>
      </tp>
      <tp t="s">
        <v>#N/A Requesting Data...</v>
        <stp/>
        <stp>##V3_BDHV12</stp>
        <stp>CL2 Comdty</stp>
        <stp>VOLUME_TOTAL_PUT</stp>
        <stp>22/02/2016</stp>
        <stp>22/02/2016</stp>
        <stp>[Bbg_Market_Data_CL.xlsm]data!R285C16</stp>
        <tr r="P285" s="1"/>
      </tp>
      <tp t="s">
        <v>#N/A Requesting Data...</v>
        <stp/>
        <stp>##V3_BDHV12</stp>
        <stp>CL2 Comdty</stp>
        <stp>VOLUME_TOTAL_PUT</stp>
        <stp>27/04/2015</stp>
        <stp>27/04/2015</stp>
        <stp>[Bbg_Market_Data_CL.xlsm]data!R489C16</stp>
        <tr r="P489" s="1"/>
      </tp>
      <tp t="s">
        <v>#N/A Requesting Data...</v>
        <stp/>
        <stp>##V3_BDHV12</stp>
        <stp>CL2 Comdty</stp>
        <stp>VOLUME_TOTAL_PUT</stp>
        <stp>23/10/2015</stp>
        <stp>23/10/2015</stp>
        <stp>[Bbg_Market_Data_CL.xlsm]data!R364C16</stp>
        <tr r="P364" s="1"/>
      </tp>
      <tp t="s">
        <v>#N/A Requesting Data...</v>
        <stp/>
        <stp>##V3_BDHV12</stp>
        <stp>CL2 Comdty</stp>
        <stp>VOLUME_TOTAL_PUT</stp>
        <stp>01/03/2016</stp>
        <stp>01/03/2016</stp>
        <stp>[Bbg_Market_Data_CL.xlsm]data!R279C16</stp>
        <tr r="P279" s="1"/>
      </tp>
      <tp t="s">
        <v>#N/A Requesting Data...</v>
        <stp/>
        <stp>##V3_BDHV12</stp>
        <stp>CL1 Comdty</stp>
        <stp>VOLUME_TOTAL_PUT</stp>
        <stp>23/10/2015</stp>
        <stp>23/10/2015</stp>
        <stp>[Bbg_Market_Data_CL.xlsm]data!R364C16</stp>
        <tr r="P364" s="1"/>
      </tp>
      <tp t="s">
        <v>#N/A Requesting Data...</v>
        <stp/>
        <stp>##V3_BDHV12</stp>
        <stp>CL1 Comdty</stp>
        <stp>VOLUME_TOTAL_PUT</stp>
        <stp>01/03/2016</stp>
        <stp>01/03/2016</stp>
        <stp>[Bbg_Market_Data_CL.xlsm]data!R279C16</stp>
        <tr r="P279" s="1"/>
      </tp>
      <tp t="s">
        <v>#N/A Requesting Data...</v>
        <stp/>
        <stp>##V3_BDHV12</stp>
        <stp>CL2 Comdty</stp>
        <stp>VOLUME_TOTAL_PUT</stp>
        <stp>03/12/2015</stp>
        <stp>03/12/2015</stp>
        <stp>[Bbg_Market_Data_CL.xlsm]data!R337C16</stp>
        <tr r="P337" s="1"/>
      </tp>
      <tp t="s">
        <v>#N/A Requesting Data...</v>
        <stp/>
        <stp>##V3_BDHV12</stp>
        <stp>CL2 Comdty</stp>
        <stp>VOLUME_TOTAL_PUT</stp>
        <stp>24/07/2015</stp>
        <stp>24/07/2015</stp>
        <stp>[Bbg_Market_Data_CL.xlsm]data!R427C16</stp>
        <tr r="P427" s="1"/>
      </tp>
      <tp t="s">
        <v>#N/A Requesting Data...</v>
        <stp/>
        <stp>##V3_BDHV12</stp>
        <stp>CL1 Comdty</stp>
        <stp>VOLUME_TOTAL_PUT</stp>
        <stp>03/12/2015</stp>
        <stp>03/12/2015</stp>
        <stp>[Bbg_Market_Data_CL.xlsm]data!R337C16</stp>
        <tr r="P337" s="1"/>
      </tp>
      <tp t="s">
        <v>#N/A Requesting Data...</v>
        <stp/>
        <stp>##V3_BDHV12</stp>
        <stp>CL1 Comdty</stp>
        <stp>VOLUME_TOTAL_PUT</stp>
        <stp>24/07/2015</stp>
        <stp>24/07/2015</stp>
        <stp>[Bbg_Market_Data_CL.xlsm]data!R427C16</stp>
        <tr r="P427" s="1"/>
      </tp>
      <tp t="s">
        <v>#N/A Requesting Data...</v>
        <stp/>
        <stp>##V3_BDHV12</stp>
        <stp>CL1 Comdty</stp>
        <stp>VOLUME_TOTAL_PUT</stp>
        <stp>04/05/2015</stp>
        <stp>04/05/2015</stp>
        <stp>[Bbg_Market_Data_CL.xlsm]data!R484C16</stp>
        <tr r="P484" s="1"/>
      </tp>
      <tp t="s">
        <v>#N/A Requesting Data...</v>
        <stp/>
        <stp>##V3_BDHV12</stp>
        <stp>CL1 Comdty</stp>
        <stp>VOLUME_TOTAL_PUT</stp>
        <stp>11/02/2016</stp>
        <stp>11/02/2016</stp>
        <stp>[Bbg_Market_Data_CL.xlsm]data!R290C16</stp>
        <tr r="P290" s="1"/>
      </tp>
      <tp t="s">
        <v>#N/A Requesting Data...</v>
        <stp/>
        <stp>##V3_BDHV12</stp>
        <stp>CL1 Comdty</stp>
        <stp>VOLUME_TOTAL_PUT</stp>
        <stp>14/04/2015</stp>
        <stp>14/04/2015</stp>
        <stp>[Bbg_Market_Data_CL.xlsm]data!R498C16</stp>
        <tr r="P498" s="1"/>
      </tp>
      <tp t="s">
        <v>#N/A Requesting Data...</v>
        <stp/>
        <stp>##V3_BDHV12</stp>
        <stp>CL2 Comdty</stp>
        <stp>VOLUME_TOTAL_PUT</stp>
        <stp>11/02/2016</stp>
        <stp>11/02/2016</stp>
        <stp>[Bbg_Market_Data_CL.xlsm]data!R290C16</stp>
        <tr r="P290" s="1"/>
      </tp>
      <tp t="s">
        <v>#N/A Requesting Data...</v>
        <stp/>
        <stp>##V3_BDHV12</stp>
        <stp>CL2 Comdty</stp>
        <stp>VOLUME_TOTAL_PUT</stp>
        <stp>14/04/2015</stp>
        <stp>14/04/2015</stp>
        <stp>[Bbg_Market_Data_CL.xlsm]data!R498C16</stp>
        <tr r="P498" s="1"/>
      </tp>
      <tp t="s">
        <v>#N/A Requesting Data...</v>
        <stp/>
        <stp>##V3_BDHV12</stp>
        <stp>CL2 Comdty</stp>
        <stp>VOLUME_TOTAL_PUT</stp>
        <stp>04/05/2015</stp>
        <stp>04/05/2015</stp>
        <stp>[Bbg_Market_Data_CL.xlsm]data!R484C16</stp>
        <tr r="P484" s="1"/>
      </tp>
      <tp t="s">
        <v>#N/A Requesting Data...</v>
        <stp/>
        <stp>##V3_BDHV12</stp>
        <stp>CL1 Comdty</stp>
        <stp>VOLUME_TOTAL_PUT</stp>
        <stp>25/06/2015</stp>
        <stp>25/06/2015</stp>
        <stp>[Bbg_Market_Data_CL.xlsm]data!R447C16</stp>
        <tr r="P447" s="1"/>
      </tp>
      <tp t="s">
        <v>#N/A Requesting Data...</v>
        <stp/>
        <stp>##V3_BDHV12</stp>
        <stp>CL2 Comdty</stp>
        <stp>VOLUME_TOTAL_PUT</stp>
        <stp>15/05/2015</stp>
        <stp>15/05/2015</stp>
        <stp>[Bbg_Market_Data_CL.xlsm]data!R475C16</stp>
        <tr r="P475" s="1"/>
      </tp>
      <tp t="s">
        <v>#N/A Requesting Data...</v>
        <stp/>
        <stp>##V3_BDHV12</stp>
        <stp>CL2 Comdty</stp>
        <stp>VOLUME_TOTAL_PUT</stp>
        <stp>10/03/2016</stp>
        <stp>10/03/2016</stp>
        <stp>[Bbg_Market_Data_CL.xlsm]data!R272C16</stp>
        <tr r="P272" s="1"/>
      </tp>
      <tp t="s">
        <v>#N/A Requesting Data...</v>
        <stp/>
        <stp>##V3_BDHV12</stp>
        <stp>CL2 Comdty</stp>
        <stp>VOLUME_TOTAL_PUT</stp>
        <stp>25/06/2015</stp>
        <stp>25/06/2015</stp>
        <stp>[Bbg_Market_Data_CL.xlsm]data!R447C16</stp>
        <tr r="P447" s="1"/>
      </tp>
      <tp t="s">
        <v>#N/A Requesting Data...</v>
        <stp/>
        <stp>##V3_BDHV12</stp>
        <stp>CL1 Comdty</stp>
        <stp>VOLUME_TOTAL_PUT</stp>
        <stp>15/05/2015</stp>
        <stp>15/05/2015</stp>
        <stp>[Bbg_Market_Data_CL.xlsm]data!R475C16</stp>
        <tr r="P475" s="1"/>
      </tp>
      <tp t="s">
        <v>#N/A Requesting Data...</v>
        <stp/>
        <stp>##V3_BDHV12</stp>
        <stp>CL1 Comdty</stp>
        <stp>VOLUME_TOTAL_PUT</stp>
        <stp>10/03/2016</stp>
        <stp>10/03/2016</stp>
        <stp>[Bbg_Market_Data_CL.xlsm]data!R272C16</stp>
        <tr r="P272" s="1"/>
      </tp>
      <tp t="s">
        <v>#N/A Requesting Data...</v>
        <stp/>
        <stp>##V3_BDHV12</stp>
        <stp>CL1 Comdty</stp>
        <stp>VOLUME_TOTAL_PUT</stp>
        <stp>21/01/2016</stp>
        <stp>21/01/2016</stp>
        <stp>[Bbg_Market_Data_CL.xlsm]data!R305C16</stp>
        <tr r="P305" s="1"/>
      </tp>
      <tp t="s">
        <v>#N/A Requesting Data...</v>
        <stp/>
        <stp>##V3_BDHV12</stp>
        <stp>CL2 Comdty</stp>
        <stp>VOLUME_TOTAL_PUT</stp>
        <stp>13/10/2016</stp>
        <stp>13/10/2016</stp>
        <stp>[Bbg_Market_Data_CL.xlsm]data!R123C16</stp>
        <tr r="P123" s="1"/>
      </tp>
      <tp t="s">
        <v>#N/A Requesting Data...</v>
        <stp/>
        <stp>##V3_BDHV12</stp>
        <stp>CL1 Comdty</stp>
        <stp>VOLUME_TOTAL_PUT</stp>
        <stp>03/11/2016</stp>
        <stp>03/11/2016</stp>
        <stp>[Bbg_Market_Data_CL.xlsm]data!R108C16</stp>
        <tr r="P108" s="1"/>
      </tp>
      <tp t="s">
        <v>#N/A Requesting Data...</v>
        <stp/>
        <stp>##V3_BDHV12</stp>
        <stp>CL2 Comdty</stp>
        <stp>VOLUME_TOTAL_PUT</stp>
        <stp>03/11/2016</stp>
        <stp>03/11/2016</stp>
        <stp>[Bbg_Market_Data_CL.xlsm]data!R108C16</stp>
        <tr r="P108" s="1"/>
      </tp>
      <tp t="s">
        <v>#N/A Requesting Data...</v>
        <stp/>
        <stp>##V3_BDHV12</stp>
        <stp>CL2 Comdty</stp>
        <stp>VOLUME_TOTAL_PUT</stp>
        <stp>21/01/2016</stp>
        <stp>21/01/2016</stp>
        <stp>[Bbg_Market_Data_CL.xlsm]data!R305C16</stp>
        <tr r="P305" s="1"/>
      </tp>
      <tp t="s">
        <v>#N/A Requesting Data...</v>
        <stp/>
        <stp>##V3_BDHV12</stp>
        <stp>CL1 Comdty</stp>
        <stp>VOLUME_TOTAL_PUT</stp>
        <stp>13/10/2016</stp>
        <stp>13/10/2016</stp>
        <stp>[Bbg_Market_Data_CL.xlsm]data!R123C16</stp>
        <tr r="P123" s="1"/>
      </tp>
      <tp>
        <v>50.74</v>
        <stp/>
        <stp>##V3_BDHV12</stp>
        <stp>CL1 Comdty</stp>
        <stp>PX_LOW</stp>
        <stp>05/04/2017</stp>
        <stp>05/04/2017</stp>
        <stp>[Bbg_Market_Data_CL.xlsm]data!R5C7</stp>
        <tr r="G5" s="1"/>
        <tr r="G5" s="1"/>
      </tp>
      <tp t="s">
        <v>#N/A Requesting Data...</v>
        <stp/>
        <stp>##V3_BDHV12</stp>
        <stp>CL1 Comdty</stp>
        <stp>VOLUME_TOTAL_PUT</stp>
        <stp>19/08/2015</stp>
        <stp>19/08/2015</stp>
        <stp>[Bbg_Market_Data_CL.xlsm]data!R409C16</stp>
        <tr r="P409" s="1"/>
      </tp>
      <tp t="s">
        <v>#N/A Requesting Data...</v>
        <stp/>
        <stp>##V3_BDHV12</stp>
        <stp>CL2 Comdty</stp>
        <stp>VOLUME_TOTAL_PUT</stp>
        <stp>19/08/2015</stp>
        <stp>19/08/2015</stp>
        <stp>[Bbg_Market_Data_CL.xlsm]data!R409C16</stp>
        <tr r="P409" s="1"/>
      </tp>
      <tp t="s">
        <v>#N/A Requesting Data...</v>
        <stp/>
        <stp>##V3_BDHV12</stp>
        <stp>CL2 Comdty</stp>
        <stp>VOLUME_TOTAL_PUT</stp>
        <stp>28/09/2016</stp>
        <stp>28/09/2016</stp>
        <stp>[Bbg_Market_Data_CL.xlsm]data!R133C16</stp>
        <tr r="P133" s="1"/>
      </tp>
      <tp t="s">
        <v>#N/A Requesting Data...</v>
        <stp/>
        <stp>##V3_BDHV12</stp>
        <stp>CL1 Comdty</stp>
        <stp>VOLUME_TOTAL_PUT</stp>
        <stp>28/09/2016</stp>
        <stp>28/09/2016</stp>
        <stp>[Bbg_Market_Data_CL.xlsm]data!R133C16</stp>
        <tr r="P133" s="1"/>
      </tp>
      <tp t="s">
        <v>#N/A Requesting Data...</v>
        <stp/>
        <stp>##V3_BDHV12</stp>
        <stp>CL1 Comdty</stp>
        <stp>VOLUME_TOTAL_PUT</stp>
        <stp>09/09/2015</stp>
        <stp>09/09/2015</stp>
        <stp>[Bbg_Market_Data_CL.xlsm]data!R395C16</stp>
        <tr r="P395" s="1"/>
      </tp>
      <tp t="s">
        <v>#N/A Requesting Data...</v>
        <stp/>
        <stp>##V3_BDHV12</stp>
        <stp>CL2 Comdty</stp>
        <stp>VOLUME_TOTAL_PUT</stp>
        <stp>09/09/2015</stp>
        <stp>09/09/2015</stp>
        <stp>[Bbg_Market_Data_CL.xlsm]data!R395C16</stp>
        <tr r="P395" s="1"/>
      </tp>
      <tp t="s">
        <v>#N/A Requesting Data...</v>
        <stp/>
        <stp>##V3_BDHV12</stp>
        <stp>CL1 Comdty</stp>
        <stp>VOLUME_TOTAL_PUT</stp>
        <stp>29/08/2016</stp>
        <stp>29/08/2016</stp>
        <stp>[Bbg_Market_Data_CL.xlsm]data!R154C16</stp>
        <tr r="P154" s="1"/>
      </tp>
      <tp t="s">
        <v>#N/A Requesting Data...</v>
        <stp/>
        <stp>##V3_BDHV12</stp>
        <stp>CL2 Comdty</stp>
        <stp>VOLUME_TOTAL_PUT</stp>
        <stp>29/08/2016</stp>
        <stp>29/08/2016</stp>
        <stp>[Bbg_Market_Data_CL.xlsm]data!R154C16</stp>
        <tr r="P154" s="1"/>
      </tp>
      <tp t="s">
        <v>#N/A Requesting Data...</v>
        <stp/>
        <stp>##V3_BDHV12</stp>
        <stp>CL1 Comdty</stp>
        <stp>VOLUME_TOTAL_PUT</stp>
        <stp>18/09/2015</stp>
        <stp>18/09/2015</stp>
        <stp>[Bbg_Market_Data_CL.xlsm]data!R388C16</stp>
        <tr r="P388" s="1"/>
      </tp>
      <tp t="s">
        <v>#N/A Requesting Data...</v>
        <stp/>
        <stp>##V3_BDHV12</stp>
        <stp>CL2 Comdty</stp>
        <stp>VOLUME_TOTAL_PUT</stp>
        <stp>18/09/2015</stp>
        <stp>18/09/2015</stp>
        <stp>[Bbg_Market_Data_CL.xlsm]data!R388C16</stp>
        <tr r="P388" s="1"/>
      </tp>
      <tp t="s">
        <v>#N/A Requesting Data...</v>
        <stp/>
        <stp>##V3_BDHV12</stp>
        <stp>CL1 Comdty</stp>
        <stp>VOLUME_TOTAL_PUT</stp>
        <stp>07/04/2016</stp>
        <stp>07/04/2016</stp>
        <stp>[Bbg_Market_Data_CL.xlsm]data!R253C16</stp>
        <tr r="P253" s="1"/>
      </tp>
      <tp t="s">
        <v>#N/A Requesting Data...</v>
        <stp/>
        <stp>##V3_BDHV12</stp>
        <stp>CL2 Comdty</stp>
        <stp>VOLUME_TOTAL_PUT</stp>
        <stp>07/04/2016</stp>
        <stp>07/04/2016</stp>
        <stp>[Bbg_Market_Data_CL.xlsm]data!R253C16</stp>
        <tr r="P253" s="1"/>
      </tp>
      <tp t="s">
        <v>#N/A Requesting Data...</v>
        <stp/>
        <stp>##V3_BDHV12</stp>
        <stp>CL2 Comdty</stp>
        <stp>VOLUME_TOTAL_PUT</stp>
        <stp>17/05/2016</stp>
        <stp>17/05/2016</stp>
        <stp>[Bbg_Market_Data_CL.xlsm]data!R225C16</stp>
        <tr r="P225" s="1"/>
      </tp>
      <tp t="s">
        <v>#N/A Requesting Data...</v>
        <stp/>
        <stp>##V3_BDHV12</stp>
        <stp>CL1 Comdty</stp>
        <stp>VOLUME_TOTAL_PUT</stp>
        <stp>17/05/2016</stp>
        <stp>17/05/2016</stp>
        <stp>[Bbg_Market_Data_CL.xlsm]data!R225C16</stp>
        <tr r="P225" s="1"/>
      </tp>
      <tp t="s">
        <v>#N/A Requesting Data...</v>
        <stp/>
        <stp>##V3_BDHV12</stp>
        <stp>CL2 Comdty</stp>
        <stp>VOLUME_TOTAL_PUT</stp>
        <stp>06/05/2016</stp>
        <stp>06/05/2016</stp>
        <stp>[Bbg_Market_Data_CL.xlsm]data!R232C16</stp>
        <tr r="P232" s="1"/>
      </tp>
      <tp t="s">
        <v>#N/A Requesting Data...</v>
        <stp/>
        <stp>##V3_BDHV12</stp>
        <stp>CL1 Comdty</stp>
        <stp>VOLUME_TOTAL_PUT</stp>
        <stp>06/05/2016</stp>
        <stp>06/05/2016</stp>
        <stp>[Bbg_Market_Data_CL.xlsm]data!R232C16</stp>
        <tr r="P232" s="1"/>
      </tp>
      <tp t="s">
        <v>#N/A Requesting Data...</v>
        <stp/>
        <stp>##V3_BDHV12</stp>
        <stp>CL1 Comdty</stp>
        <stp>VOLUME_TOTAL_PUT</stp>
        <stp>15/07/2016</stp>
        <stp>15/07/2016</stp>
        <stp>[Bbg_Market_Data_CL.xlsm]data!R184C16</stp>
        <tr r="P184" s="1"/>
      </tp>
      <tp t="s">
        <v>#N/A Requesting Data...</v>
        <stp/>
        <stp>##V3_BDHV12</stp>
        <stp>CL2 Comdty</stp>
        <stp>VOLUME_TOTAL_PUT</stp>
        <stp>15/07/2016</stp>
        <stp>15/07/2016</stp>
        <stp>[Bbg_Market_Data_CL.xlsm]data!R184C16</stp>
        <tr r="P184" s="1"/>
      </tp>
      <tp t="s">
        <v>#N/A Requesting Data...</v>
        <stp/>
        <stp>##V3_BDHV12</stp>
        <stp>CL1 Comdty</stp>
        <stp>VOLUME_TOTAL_PUT</stp>
        <stp>25/04/2016</stp>
        <stp>25/04/2016</stp>
        <stp>[Bbg_Market_Data_CL.xlsm]data!R241C16</stp>
        <tr r="P241" s="1"/>
      </tp>
      <tp t="s">
        <v>#N/A Requesting Data...</v>
        <stp/>
        <stp>##V3_BDHV12</stp>
        <stp>CL2 Comdty</stp>
        <stp>VOLUME_TOTAL_PUT</stp>
        <stp>26/07/2016</stp>
        <stp>26/07/2016</stp>
        <stp>[Bbg_Market_Data_CL.xlsm]data!R177C16</stp>
        <tr r="P177" s="1"/>
      </tp>
      <tp t="s">
        <v>#N/A Requesting Data...</v>
        <stp/>
        <stp>##V3_BDHV12</stp>
        <stp>CL2 Comdty</stp>
        <stp>VOLUME_TOTAL_PUT</stp>
        <stp>25/04/2016</stp>
        <stp>25/04/2016</stp>
        <stp>[Bbg_Market_Data_CL.xlsm]data!R241C16</stp>
        <tr r="P241" s="1"/>
      </tp>
      <tp t="s">
        <v>#N/A Requesting Data...</v>
        <stp/>
        <stp>##V3_BDHV12</stp>
        <stp>CL1 Comdty</stp>
        <stp>VOLUME_TOTAL_PUT</stp>
        <stp>26/07/2016</stp>
        <stp>26/07/2016</stp>
        <stp>[Bbg_Market_Data_CL.xlsm]data!R177C16</stp>
        <tr r="P177" s="1"/>
      </tp>
      <tp t="s">
        <v>#N/A Requesting Data...</v>
        <stp/>
        <stp>##V3_BDHV12</stp>
        <stp>CL1 Comdty</stp>
        <stp>VOLUME_TOTAL_PUT</stp>
        <stp>14/06/2016</stp>
        <stp>14/06/2016</stp>
        <stp>[Bbg_Market_Data_CL.xlsm]data!R206C16</stp>
        <tr r="P206" s="1"/>
      </tp>
      <tp t="s">
        <v>#N/A Requesting Data...</v>
        <stp/>
        <stp>##V3_BDHV12</stp>
        <stp>CL2 Comdty</stp>
        <stp>VOLUME_TOTAL_PUT</stp>
        <stp>24/05/2016</stp>
        <stp>24/05/2016</stp>
        <stp>[Bbg_Market_Data_CL.xlsm]data!R220C16</stp>
        <tr r="P220" s="1"/>
      </tp>
      <tp t="s">
        <v>#N/A Requesting Data...</v>
        <stp/>
        <stp>##V3_BDHV12</stp>
        <stp>CL1 Comdty</stp>
        <stp>VOLUME_TOTAL_PUT</stp>
        <stp>24/05/2016</stp>
        <stp>24/05/2016</stp>
        <stp>[Bbg_Market_Data_CL.xlsm]data!R220C16</stp>
        <tr r="P220" s="1"/>
      </tp>
      <tp t="s">
        <v>#N/A Requesting Data...</v>
        <stp/>
        <stp>##V3_BDHV12</stp>
        <stp>CL2 Comdty</stp>
        <stp>VOLUME_TOTAL_PUT</stp>
        <stp>14/06/2016</stp>
        <stp>14/06/2016</stp>
        <stp>[Bbg_Market_Data_CL.xlsm]data!R206C16</stp>
        <tr r="P206" s="1"/>
      </tp>
      <tp t="s">
        <v>#N/A Requesting Data...</v>
        <stp/>
        <stp>##V3_BDHV12</stp>
        <stp>CL1 Comdty</stp>
        <stp>VOLUME_TOTAL_PUT</stp>
        <stp>27/06/2016</stp>
        <stp>27/06/2016</stp>
        <stp>[Bbg_Market_Data_CL.xlsm]data!R197C16</stp>
        <tr r="P197" s="1"/>
      </tp>
      <tp t="s">
        <v>#N/A Requesting Data...</v>
        <stp/>
        <stp>##V3_BDHV12</stp>
        <stp>CL2 Comdty</stp>
        <stp>VOLUME_TOTAL_PUT</stp>
        <stp>27/06/2016</stp>
        <stp>27/06/2016</stp>
        <stp>[Bbg_Market_Data_CL.xlsm]data!R197C16</stp>
        <tr r="P197" s="1"/>
      </tp>
      <tp t="s">
        <v>#N/A Requesting Data...</v>
        <stp/>
        <stp>##V3_BDHV12</stp>
        <stp>CL2 Comdty</stp>
        <stp>VOLUME_TOTAL_PUT</stp>
        <stp>16/07/2015</stp>
        <stp>16/07/2015</stp>
        <stp>[Bbg_Market_Data_CL.xlsm]data!R433C16</stp>
        <tr r="P433" s="1"/>
      </tp>
      <tp t="s">
        <v>#N/A Requesting Data...</v>
        <stp/>
        <stp>##V3_BDHV12</stp>
        <stp>CL1 Comdty</stp>
        <stp>VOLUME_TOTAL_PUT</stp>
        <stp>31/12/2015</stp>
        <stp>31/12/2015</stp>
        <stp>[Bbg_Market_Data_CL.xlsm]data!R318C16</stp>
        <tr r="P318" s="1"/>
      </tp>
      <tp t="s">
        <v>#N/A Requesting Data...</v>
        <stp/>
        <stp>##V3_BDHV12</stp>
        <stp>CL1 Comdty</stp>
        <stp>VOLUME_TOTAL_PUT</stp>
        <stp>16/07/2015</stp>
        <stp>16/07/2015</stp>
        <stp>[Bbg_Market_Data_CL.xlsm]data!R433C16</stp>
        <tr r="P433" s="1"/>
      </tp>
      <tp t="s">
        <v>#N/A Requesting Data...</v>
        <stp/>
        <stp>##V3_BDHV12</stp>
        <stp>CL2 Comdty</stp>
        <stp>VOLUME_TOTAL_PUT</stp>
        <stp>31/12/2015</stp>
        <stp>31/12/2015</stp>
        <stp>[Bbg_Market_Data_CL.xlsm]data!R318C16</stp>
        <tr r="P318" s="1"/>
      </tp>
      <tp t="s">
        <v>#N/A Requesting Data...</v>
        <stp/>
        <stp>##V3_BDHV12</stp>
        <stp>CL1 Comdty</stp>
        <stp>VOLUME_TOTAL_PUT</stp>
        <stp>23/02/2016</stp>
        <stp>23/02/2016</stp>
        <stp>[Bbg_Market_Data_CL.xlsm]data!R284C16</stp>
        <tr r="P284" s="1"/>
      </tp>
      <tp t="s">
        <v>#N/A Requesting Data...</v>
        <stp/>
        <stp>##V3_BDHV12</stp>
        <stp>CL2 Comdty</stp>
        <stp>VOLUME_TOTAL_PUT</stp>
        <stp>23/02/2016</stp>
        <stp>23/02/2016</stp>
        <stp>[Bbg_Market_Data_CL.xlsm]data!R284C16</stp>
        <tr r="P284" s="1"/>
      </tp>
      <tp t="s">
        <v>#N/A Requesting Data...</v>
        <stp/>
        <stp>##V3_BDHV12</stp>
        <stp>CL1 Comdty</stp>
        <stp>VOLUME_TOTAL_PUT</stp>
        <stp>07/07/2015</stp>
        <stp>07/07/2015</stp>
        <stp>[Bbg_Market_Data_CL.xlsm]data!R440C16</stp>
        <tr r="P440" s="1"/>
      </tp>
      <tp t="s">
        <v>#N/A Requesting Data...</v>
        <stp/>
        <stp>##V3_BDHV12</stp>
        <stp>CL1 Comdty</stp>
        <stp>VOLUME_TOTAL_PUT</stp>
        <stp>10/11/2015</stp>
        <stp>10/11/2015</stp>
        <stp>[Bbg_Market_Data_CL.xlsm]data!R352C16</stp>
        <tr r="P352" s="1"/>
      </tp>
      <tp t="s">
        <v>#N/A Requesting Data...</v>
        <stp/>
        <stp>##V3_BDHV12</stp>
        <stp>CL2 Comdty</stp>
        <stp>VOLUME_TOTAL_PUT</stp>
        <stp>22/03/2016</stp>
        <stp>22/03/2016</stp>
        <stp>[Bbg_Market_Data_CL.xlsm]data!R264C16</stp>
        <tr r="P264" s="1"/>
      </tp>
      <tp t="s">
        <v>#N/A Requesting Data...</v>
        <stp/>
        <stp>##V3_BDHV12</stp>
        <stp>CL1 Comdty</stp>
        <stp>VOLUME_TOTAL_PUT</stp>
        <stp>17/06/2015</stp>
        <stp>17/06/2015</stp>
        <stp>[Bbg_Market_Data_CL.xlsm]data!R453C16</stp>
        <tr r="P453" s="1"/>
      </tp>
      <tp t="s">
        <v>#N/A Requesting Data...</v>
        <stp/>
        <stp>##V3_BDHV12</stp>
        <stp>CL2 Comdty</stp>
        <stp>VOLUME_TOTAL_PUT</stp>
        <stp>27/05/2015</stp>
        <stp>27/05/2015</stp>
        <stp>[Bbg_Market_Data_CL.xlsm]data!R468C16</stp>
        <tr r="P468" s="1"/>
      </tp>
      <tp t="s">
        <v>#N/A Requesting Data...</v>
        <stp/>
        <stp>##V3_BDHV12</stp>
        <stp>CL1 Comdty</stp>
        <stp>VOLUME_TOTAL_PUT</stp>
        <stp>22/03/2016</stp>
        <stp>22/03/2016</stp>
        <stp>[Bbg_Market_Data_CL.xlsm]data!R264C16</stp>
        <tr r="P264" s="1"/>
      </tp>
      <tp t="s">
        <v>#N/A Requesting Data...</v>
        <stp/>
        <stp>##V3_BDHV12</stp>
        <stp>CL2 Comdty</stp>
        <stp>VOLUME_TOTAL_PUT</stp>
        <stp>17/06/2015</stp>
        <stp>17/06/2015</stp>
        <stp>[Bbg_Market_Data_CL.xlsm]data!R453C16</stp>
        <tr r="P453" s="1"/>
      </tp>
      <tp t="s">
        <v>#N/A Requesting Data...</v>
        <stp/>
        <stp>##V3_BDHV12</stp>
        <stp>CL1 Comdty</stp>
        <stp>VOLUME_TOTAL_PUT</stp>
        <stp>27/05/2015</stp>
        <stp>27/05/2015</stp>
        <stp>[Bbg_Market_Data_CL.xlsm]data!R468C16</stp>
        <tr r="P468" s="1"/>
      </tp>
      <tp t="s">
        <v>#N/A Requesting Data...</v>
        <stp/>
        <stp>##V3_BDHV12</stp>
        <stp>CL2 Comdty</stp>
        <stp>VOLUME_TOTAL_PUT</stp>
        <stp>07/07/2015</stp>
        <stp>07/07/2015</stp>
        <stp>[Bbg_Market_Data_CL.xlsm]data!R440C16</stp>
        <tr r="P440" s="1"/>
      </tp>
      <tp t="s">
        <v>#N/A Requesting Data...</v>
        <stp/>
        <stp>##V3_BDHV12</stp>
        <stp>CL2 Comdty</stp>
        <stp>VOLUME_TOTAL_PUT</stp>
        <stp>10/11/2015</stp>
        <stp>10/11/2015</stp>
        <stp>[Bbg_Market_Data_CL.xlsm]data!R352C16</stp>
        <tr r="P352" s="1"/>
      </tp>
      <tp t="s">
        <v>#N/A Requesting Data...</v>
        <stp/>
        <stp>##V3_BDHV12</stp>
        <stp>CL1 Comdty</stp>
        <stp>VOLUME_TOTAL_PUT</stp>
        <stp>21/10/2016</stp>
        <stp>21/10/2016</stp>
        <stp>[Bbg_Market_Data_CL.xlsm]data!R117C16</stp>
        <tr r="P117" s="1"/>
      </tp>
      <tp t="s">
        <v>#N/A Requesting Data...</v>
        <stp/>
        <stp>##V3_BDHV12</stp>
        <stp>CL1 Comdty</stp>
        <stp>VOLUME_TOTAL_PUT</stp>
        <stp>13/01/2016</stp>
        <stp>13/01/2016</stp>
        <stp>[Bbg_Market_Data_CL.xlsm]data!R310C16</stp>
        <tr r="P310" s="1"/>
      </tp>
      <tp t="s">
        <v>#N/A Requesting Data...</v>
        <stp/>
        <stp>##V3_BDHV12</stp>
        <stp>CL2 Comdty</stp>
        <stp>VOLUME_TOTAL_PUT</stp>
        <stp>13/01/2016</stp>
        <stp>13/01/2016</stp>
        <stp>[Bbg_Market_Data_CL.xlsm]data!R310C16</stp>
        <tr r="P310" s="1"/>
      </tp>
      <tp t="s">
        <v>#N/A Requesting Data...</v>
        <stp/>
        <stp>##V3_BDHV12</stp>
        <stp>CL2 Comdty</stp>
        <stp>VOLUME_TOTAL_PUT</stp>
        <stp>21/10/2016</stp>
        <stp>21/10/2016</stp>
        <stp>[Bbg_Market_Data_CL.xlsm]data!R117C16</stp>
        <tr r="P117" s="1"/>
      </tp>
      <tp t="s">
        <v>#N/A Requesting Data...</v>
        <stp/>
        <stp>##V3_BDHV12</stp>
        <stp>CL2 Comdty</stp>
        <stp>VOLUME_TOTAL_PUT</stp>
        <stp>11/03/2016</stp>
        <stp>11/03/2016</stp>
        <stp>[Bbg_Market_Data_CL.xlsm]data!R271C16</stp>
        <tr r="P271" s="1"/>
      </tp>
      <tp t="s">
        <v>#N/A Requesting Data...</v>
        <stp/>
        <stp>##V3_BDHV12</stp>
        <stp>CL2 Comdty</stp>
        <stp>VOLUME_TOTAL_PUT</stp>
        <stp>14/05/2015</stp>
        <stp>14/05/2015</stp>
        <stp>[Bbg_Market_Data_CL.xlsm]data!R476C16</stp>
        <tr r="P476" s="1"/>
      </tp>
      <tp t="s">
        <v>#N/A Requesting Data...</v>
        <stp/>
        <stp>##V3_BDHV12</stp>
        <stp>CL1 Comdty</stp>
        <stp>VOLUME_TOTAL_PUT</stp>
        <stp>24/06/2015</stp>
        <stp>24/06/2015</stp>
        <stp>[Bbg_Market_Data_CL.xlsm]data!R448C16</stp>
        <tr r="P448" s="1"/>
      </tp>
      <tp t="s">
        <v>#N/A Requesting Data...</v>
        <stp/>
        <stp>##V3_BDHV12</stp>
        <stp>CL1 Comdty</stp>
        <stp>VOLUME_TOTAL_PUT</stp>
        <stp>23/11/2015</stp>
        <stp>23/11/2015</stp>
        <stp>[Bbg_Market_Data_CL.xlsm]data!R344C16</stp>
        <tr r="P344" s="1"/>
      </tp>
      <tp t="s">
        <v>#N/A Requesting Data...</v>
        <stp/>
        <stp>##V3_BDHV12</stp>
        <stp>CL2 Comdty</stp>
        <stp>VOLUME_TOTAL_PUT</stp>
        <stp>23/11/2015</stp>
        <stp>23/11/2015</stp>
        <stp>[Bbg_Market_Data_CL.xlsm]data!R344C16</stp>
        <tr r="P344" s="1"/>
      </tp>
      <tp t="s">
        <v>#N/A Requesting Data...</v>
        <stp/>
        <stp>##V3_BDHV12</stp>
        <stp>CL1 Comdty</stp>
        <stp>VOLUME_TOTAL_PUT</stp>
        <stp>11/03/2016</stp>
        <stp>11/03/2016</stp>
        <stp>[Bbg_Market_Data_CL.xlsm]data!R271C16</stp>
        <tr r="P271" s="1"/>
      </tp>
      <tp t="s">
        <v>#N/A Requesting Data...</v>
        <stp/>
        <stp>##V3_BDHV12</stp>
        <stp>CL1 Comdty</stp>
        <stp>VOLUME_TOTAL_PUT</stp>
        <stp>14/05/2015</stp>
        <stp>14/05/2015</stp>
        <stp>[Bbg_Market_Data_CL.xlsm]data!R476C16</stp>
        <tr r="P476" s="1"/>
      </tp>
      <tp t="s">
        <v>#N/A Requesting Data...</v>
        <stp/>
        <stp>##V3_BDHV12</stp>
        <stp>CL2 Comdty</stp>
        <stp>VOLUME_TOTAL_PUT</stp>
        <stp>24/06/2015</stp>
        <stp>24/06/2015</stp>
        <stp>[Bbg_Market_Data_CL.xlsm]data!R448C16</stp>
        <tr r="P448" s="1"/>
      </tp>
      <tp t="s">
        <v>#N/A Requesting Data...</v>
        <stp/>
        <stp>##V3_BDHV12</stp>
        <stp>CL1 Comdty</stp>
        <stp>VOLUME_TOTAL_PUT</stp>
        <stp>20/01/2016</stp>
        <stp>20/01/2016</stp>
        <stp>[Bbg_Market_Data_CL.xlsm]data!R306C16</stp>
        <tr r="P306" s="1"/>
      </tp>
      <tp t="s">
        <v>#N/A Requesting Data...</v>
        <stp/>
        <stp>##V3_BDHV12</stp>
        <stp>CL2 Comdty</stp>
        <stp>VOLUME_TOTAL_PUT</stp>
        <stp>12/10/2016</stp>
        <stp>12/10/2016</stp>
        <stp>[Bbg_Market_Data_CL.xlsm]data!R124C16</stp>
        <tr r="P124" s="1"/>
      </tp>
      <tp t="s">
        <v>#N/A Requesting Data...</v>
        <stp/>
        <stp>##V3_BDHV12</stp>
        <stp>CL1 Comdty</stp>
        <stp>VOLUME_TOTAL_PUT</stp>
        <stp>02/11/2016</stp>
        <stp>02/11/2016</stp>
        <stp>[Bbg_Market_Data_CL.xlsm]data!R109C16</stp>
        <tr r="P109" s="1"/>
      </tp>
      <tp t="s">
        <v>#N/A Requesting Data...</v>
        <stp/>
        <stp>##V3_BDHV12</stp>
        <stp>CL2 Comdty</stp>
        <stp>VOLUME_TOTAL_PUT</stp>
        <stp>02/11/2016</stp>
        <stp>02/11/2016</stp>
        <stp>[Bbg_Market_Data_CL.xlsm]data!R109C16</stp>
        <tr r="P109" s="1"/>
      </tp>
      <tp t="s">
        <v>#N/A Requesting Data...</v>
        <stp/>
        <stp>##V3_BDHV12</stp>
        <stp>CL2 Comdty</stp>
        <stp>VOLUME_TOTAL_PUT</stp>
        <stp>20/01/2016</stp>
        <stp>20/01/2016</stp>
        <stp>[Bbg_Market_Data_CL.xlsm]data!R306C16</stp>
        <tr r="P306" s="1"/>
      </tp>
      <tp t="s">
        <v>#N/A Requesting Data...</v>
        <stp/>
        <stp>##V3_BDHV12</stp>
        <stp>CL1 Comdty</stp>
        <stp>VOLUME_TOTAL_PUT</stp>
        <stp>12/10/2016</stp>
        <stp>12/10/2016</stp>
        <stp>[Bbg_Market_Data_CL.xlsm]data!R124C16</stp>
        <tr r="P124" s="1"/>
      </tp>
      <tp t="s">
        <v>#N/A Requesting Data...</v>
        <stp/>
        <stp>##V3_BDHV12</stp>
        <stp>CL1 Comdty</stp>
        <stp>VOLUME_TOTAL_PUT</stp>
        <stp>01/02/2016</stp>
        <stp>01/02/2016</stp>
        <stp>[Bbg_Market_Data_CL.xlsm]data!R298C16</stp>
        <tr r="P298" s="1"/>
      </tp>
      <tp t="s">
        <v>#N/A Requesting Data...</v>
        <stp/>
        <stp>##V3_BDHV12</stp>
        <stp>CL2 Comdty</stp>
        <stp>VOLUME_TOTAL_PUT</stp>
        <stp>01/02/2016</stp>
        <stp>01/02/2016</stp>
        <stp>[Bbg_Market_Data_CL.xlsm]data!R298C16</stp>
        <tr r="P298" s="1"/>
      </tp>
      <tp t="s">
        <v>#N/A Requesting Data...</v>
        <stp/>
        <stp>##V3_BDHV12</stp>
        <stp>CL2 Comdty</stp>
        <stp>VOLUME_TOTAL_PUT</stp>
        <stp>22/10/2015</stp>
        <stp>22/10/2015</stp>
        <stp>[Bbg_Market_Data_CL.xlsm]data!R365C16</stp>
        <tr r="P365" s="1"/>
      </tp>
      <tp t="s">
        <v>#N/A Requesting Data...</v>
        <stp/>
        <stp>##V3_BDHV12</stp>
        <stp>CL1 Comdty</stp>
        <stp>VOLUME_TOTAL_PUT</stp>
        <stp>22/10/2015</stp>
        <stp>22/10/2015</stp>
        <stp>[Bbg_Market_Data_CL.xlsm]data!R365C16</stp>
        <tr r="P365" s="1"/>
      </tp>
      <tp t="s">
        <v>#N/A Requesting Data...</v>
        <stp/>
        <stp>##V3_BDHV12</stp>
        <stp>CL2 Comdty</stp>
        <stp>VOLUME_TOTAL_PUT</stp>
        <stp>03/10/2016</stp>
        <stp>03/10/2016</stp>
        <stp>[Bbg_Market_Data_CL.xlsm]data!R130C16</stp>
        <tr r="P130" s="1"/>
      </tp>
      <tp t="s">
        <v>#N/A Requesting Data...</v>
        <stp/>
        <stp>##V3_BDHV12</stp>
        <stp>CL2 Comdty</stp>
        <stp>VOLUME_TOTAL_PUT</stp>
        <stp>02/12/2015</stp>
        <stp>02/12/2015</stp>
        <stp>[Bbg_Market_Data_CL.xlsm]data!R338C16</stp>
        <tr r="P338" s="1"/>
      </tp>
      <tp t="s">
        <v>#N/A Requesting Data...</v>
        <stp/>
        <stp>##V3_BDHV12</stp>
        <stp>CL1 Comdty</stp>
        <stp>VOLUME_TOTAL_PUT</stp>
        <stp>03/10/2016</stp>
        <stp>03/10/2016</stp>
        <stp>[Bbg_Market_Data_CL.xlsm]data!R130C16</stp>
        <tr r="P130" s="1"/>
      </tp>
      <tp t="s">
        <v>#N/A Requesting Data...</v>
        <stp/>
        <stp>##V3_BDHV12</stp>
        <stp>CL1 Comdty</stp>
        <stp>VOLUME_TOTAL_PUT</stp>
        <stp>02/12/2015</stp>
        <stp>02/12/2015</stp>
        <stp>[Bbg_Market_Data_CL.xlsm]data!R338C16</stp>
        <tr r="P338" s="1"/>
      </tp>
      <tp t="s">
        <v>#N/A Requesting Data...</v>
        <stp/>
        <stp>##V3_BDHV12</stp>
        <stp>CL1 Comdty</stp>
        <stp>VOLUME_TOTAL_PUT</stp>
        <stp>05/05/2015</stp>
        <stp>05/05/2015</stp>
        <stp>[Bbg_Market_Data_CL.xlsm]data!R483C16</stp>
        <tr r="P483" s="1"/>
      </tp>
      <tp t="s">
        <v>#N/A Requesting Data...</v>
        <stp/>
        <stp>##V3_BDHV12</stp>
        <stp>CL1 Comdty</stp>
        <stp>VOLUME_TOTAL_PUT</stp>
        <stp>10/02/2016</stp>
        <stp>10/02/2016</stp>
        <stp>[Bbg_Market_Data_CL.xlsm]data!R291C16</stp>
        <tr r="P291" s="1"/>
      </tp>
      <tp t="s">
        <v>#N/A Requesting Data...</v>
        <stp/>
        <stp>##V3_BDHV12</stp>
        <stp>CL1 Comdty</stp>
        <stp>VOLUME_TOTAL_PUT</stp>
        <stp>15/04/2015</stp>
        <stp>15/04/2015</stp>
        <stp>[Bbg_Market_Data_CL.xlsm]data!R497C16</stp>
        <tr r="P497" s="1"/>
      </tp>
      <tp t="s">
        <v>#N/A Requesting Data...</v>
        <stp/>
        <stp>##V3_BDHV12</stp>
        <stp>CL2 Comdty</stp>
        <stp>VOLUME_TOTAL_PUT</stp>
        <stp>10/02/2016</stp>
        <stp>10/02/2016</stp>
        <stp>[Bbg_Market_Data_CL.xlsm]data!R291C16</stp>
        <tr r="P291" s="1"/>
      </tp>
      <tp t="s">
        <v>#N/A Requesting Data...</v>
        <stp/>
        <stp>##V3_BDHV12</stp>
        <stp>CL2 Comdty</stp>
        <stp>VOLUME_TOTAL_PUT</stp>
        <stp>15/04/2015</stp>
        <stp>15/04/2015</stp>
        <stp>[Bbg_Market_Data_CL.xlsm]data!R497C16</stp>
        <tr r="P497" s="1"/>
      </tp>
      <tp t="s">
        <v>#N/A Requesting Data...</v>
        <stp/>
        <stp>##V3_BDHV12</stp>
        <stp>CL2 Comdty</stp>
        <stp>VOLUME_TOTAL_PUT</stp>
        <stp>05/05/2015</stp>
        <stp>05/05/2015</stp>
        <stp>[Bbg_Market_Data_CL.xlsm]data!R483C16</stp>
        <tr r="P483" s="1"/>
      </tp>
      <tp>
        <v>1.7</v>
        <stp/>
        <stp>##V3_BDHV12</stp>
        <stp>SPGSCLP Index</stp>
        <stp>CHG_PCT_1D</stp>
        <stp>30/03/2017</stp>
        <stp>30/03/2017</stp>
        <stp>[Bbg_Market_Data_CL.xlsm]data!R9C3</stp>
        <tr r="C9" s="1"/>
      </tp>
      <tp>
        <v>0.5</v>
        <stp/>
        <stp>##V3_BDHV12</stp>
        <stp>SPGSCLP Index</stp>
        <stp>CHG_PCT_1D</stp>
        <stp>31/03/2017</stp>
        <stp>31/03/2017</stp>
        <stp>[Bbg_Market_Data_CL.xlsm]data!R8C3</stp>
        <tr r="C8" s="1"/>
      </tp>
      <tp t="s">
        <v>#N/A Requesting Data...</v>
        <stp/>
        <stp>##V3_BDHV12</stp>
        <stp>CL2 Comdty</stp>
        <stp>VOLUME_TOTAL_PUT</stp>
        <stp>07/03/2016</stp>
        <stp>07/03/2016</stp>
        <stp>[Bbg_Market_Data_CL.xlsm]data!R275C16</stp>
        <tr r="P275" s="1"/>
      </tp>
      <tp t="s">
        <v>#N/A Requesting Data...</v>
        <stp/>
        <stp>##V3_BDHV12</stp>
        <stp>CL1 Comdty</stp>
        <stp>VOLUME_TOTAL_PUT</stp>
        <stp>07/03/2016</stp>
        <stp>07/03/2016</stp>
        <stp>[Bbg_Market_Data_CL.xlsm]data!R275C16</stp>
        <tr r="P275" s="1"/>
      </tp>
      <tp t="s">
        <v>#N/A Requesting Data...</v>
        <stp/>
        <stp>##V3_BDHV12</stp>
        <stp>CL2 Comdty</stp>
        <stp>VOLUME_TOTAL_PUT</stp>
        <stp>04/10/2016</stp>
        <stp>04/10/2016</stp>
        <stp>[Bbg_Market_Data_CL.xlsm]data!R129C16</stp>
        <tr r="P129" s="1"/>
      </tp>
      <tp t="s">
        <v>#N/A Requesting Data...</v>
        <stp/>
        <stp>##V3_BDHV12</stp>
        <stp>CL1 Comdty</stp>
        <stp>VOLUME_TOTAL_PUT</stp>
        <stp>14/11/2016</stp>
        <stp>14/11/2016</stp>
        <stp>[Bbg_Market_Data_CL.xlsm]data!R102C16</stp>
        <tr r="P102" s="1"/>
      </tp>
      <tp t="s">
        <v>#N/A Requesting Data...</v>
        <stp/>
        <stp>##V3_BDHV12</stp>
        <stp>CL2 Comdty</stp>
        <stp>VOLUME_TOTAL_PUT</stp>
        <stp>22/07/2015</stp>
        <stp>22/07/2015</stp>
        <stp>[Bbg_Market_Data_CL.xlsm]data!R429C16</stp>
        <tr r="P429" s="1"/>
      </tp>
      <tp t="s">
        <v>#N/A Requesting Data...</v>
        <stp/>
        <stp>##V3_BDHV12</stp>
        <stp>CL2 Comdty</stp>
        <stp>VOLUME_TOTAL_PUT</stp>
        <stp>14/11/2016</stp>
        <stp>14/11/2016</stp>
        <stp>[Bbg_Market_Data_CL.xlsm]data!R102C16</stp>
        <tr r="P102" s="1"/>
      </tp>
      <tp t="s">
        <v>#N/A Requesting Data...</v>
        <stp/>
        <stp>##V3_BDHV12</stp>
        <stp>CL1 Comdty</stp>
        <stp>VOLUME_TOTAL_PUT</stp>
        <stp>22/07/2015</stp>
        <stp>22/07/2015</stp>
        <stp>[Bbg_Market_Data_CL.xlsm]data!R429C16</stp>
        <tr r="P429" s="1"/>
      </tp>
      <tp t="s">
        <v>#N/A Requesting Data...</v>
        <stp/>
        <stp>##V3_BDHV12</stp>
        <stp>CL1 Comdty</stp>
        <stp>VOLUME_TOTAL_PUT</stp>
        <stp>04/10/2016</stp>
        <stp>04/10/2016</stp>
        <stp>[Bbg_Market_Data_CL.xlsm]data!R129C16</stp>
        <tr r="P129" s="1"/>
      </tp>
      <tp t="s">
        <v>#N/A Requesting Data...</v>
        <stp/>
        <stp>##V3_BDHV12</stp>
        <stp>CL1 Comdty</stp>
        <stp>VOLUME_TOTAL_PUT</stp>
        <stp>17/02/2016</stp>
        <stp>17/02/2016</stp>
        <stp>[Bbg_Market_Data_CL.xlsm]data!R288C16</stp>
        <tr r="P288" s="1"/>
      </tp>
      <tp t="s">
        <v>#N/A Requesting Data...</v>
        <stp/>
        <stp>##V3_BDHV12</stp>
        <stp>CL2 Comdty</stp>
        <stp>VOLUME_TOTAL_PUT</stp>
        <stp>17/02/2016</stp>
        <stp>17/02/2016</stp>
        <stp>[Bbg_Market_Data_CL.xlsm]data!R288C16</stp>
        <tr r="P288" s="1"/>
      </tp>
      <tp t="s">
        <v>#N/A Requesting Data...</v>
        <stp/>
        <stp>##V3_BDHV12</stp>
        <stp>CL2 Comdty</stp>
        <stp>VOLUME_TOTAL_PUT</stp>
        <stp>13/05/2015</stp>
        <stp>13/05/2015</stp>
        <stp>[Bbg_Market_Data_CL.xlsm]data!R477C16</stp>
        <tr r="P477" s="1"/>
      </tp>
      <tp t="s">
        <v>#N/A Requesting Data...</v>
        <stp/>
        <stp>##V3_BDHV12</stp>
        <stp>CL1 Comdty</stp>
        <stp>VOLUME_TOTAL_PUT</stp>
        <stp>23/06/2015</stp>
        <stp>23/06/2015</stp>
        <stp>[Bbg_Market_Data_CL.xlsm]data!R449C16</stp>
        <tr r="P449" s="1"/>
      </tp>
      <tp t="s">
        <v>#N/A Requesting Data...</v>
        <stp/>
        <stp>##V3_BDHV12</stp>
        <stp>CL1 Comdty</stp>
        <stp>VOLUME_TOTAL_PUT</stp>
        <stp>24/11/2015</stp>
        <stp>24/11/2015</stp>
        <stp>[Bbg_Market_Data_CL.xlsm]data!R343C16</stp>
        <tr r="P343" s="1"/>
      </tp>
      <tp t="s">
        <v>#N/A Requesting Data...</v>
        <stp/>
        <stp>##V3_BDHV12</stp>
        <stp>CL2 Comdty</stp>
        <stp>VOLUME_TOTAL_PUT</stp>
        <stp>16/03/2016</stp>
        <stp>16/03/2016</stp>
        <stp>[Bbg_Market_Data_CL.xlsm]data!R268C16</stp>
        <tr r="P268" s="1"/>
      </tp>
      <tp t="s">
        <v>#N/A Requesting Data...</v>
        <stp/>
        <stp>##V3_BDHV12</stp>
        <stp>CL2 Comdty</stp>
        <stp>VOLUME_TOTAL_PUT</stp>
        <stp>24/11/2015</stp>
        <stp>24/11/2015</stp>
        <stp>[Bbg_Market_Data_CL.xlsm]data!R343C16</stp>
        <tr r="P343" s="1"/>
      </tp>
      <tp t="s">
        <v>#N/A Requesting Data...</v>
        <stp/>
        <stp>##V3_BDHV12</stp>
        <stp>CL1 Comdty</stp>
        <stp>VOLUME_TOTAL_PUT</stp>
        <stp>16/03/2016</stp>
        <stp>16/03/2016</stp>
        <stp>[Bbg_Market_Data_CL.xlsm]data!R268C16</stp>
        <tr r="P268" s="1"/>
      </tp>
      <tp t="s">
        <v>#N/A Requesting Data...</v>
        <stp/>
        <stp>##V3_BDHV12</stp>
        <stp>CL1 Comdty</stp>
        <stp>VOLUME_TOTAL_PUT</stp>
        <stp>13/05/2015</stp>
        <stp>13/05/2015</stp>
        <stp>[Bbg_Market_Data_CL.xlsm]data!R477C16</stp>
        <tr r="P477" s="1"/>
      </tp>
      <tp t="s">
        <v>#N/A Requesting Data...</v>
        <stp/>
        <stp>##V3_BDHV12</stp>
        <stp>CL2 Comdty</stp>
        <stp>VOLUME_TOTAL_PUT</stp>
        <stp>23/06/2015</stp>
        <stp>23/06/2015</stp>
        <stp>[Bbg_Market_Data_CL.xlsm]data!R449C16</stp>
        <tr r="P449" s="1"/>
      </tp>
      <tp t="s">
        <v>#N/A Requesting Data...</v>
        <stp/>
        <stp>##V3_BDHV12</stp>
        <stp>CL1 Comdty</stp>
        <stp>VOLUME_TOTAL_PUT</stp>
        <stp>27/01/2016</stp>
        <stp>27/01/2016</stp>
        <stp>[Bbg_Market_Data_CL.xlsm]data!R301C16</stp>
        <tr r="P301" s="1"/>
      </tp>
      <tp t="s">
        <v>#N/A Requesting Data...</v>
        <stp/>
        <stp>##V3_BDHV12</stp>
        <stp>CL2 Comdty</stp>
        <stp>VOLUME_TOTAL_PUT</stp>
        <stp>14/12/2015</stp>
        <stp>14/12/2015</stp>
        <stp>[Bbg_Market_Data_CL.xlsm]data!R330C16</stp>
        <tr r="P330" s="1"/>
      </tp>
      <tp t="s">
        <v>#N/A Requesting Data...</v>
        <stp/>
        <stp>##V3_BDHV12</stp>
        <stp>CL1 Comdty</stp>
        <stp>VOLUME_TOTAL_PUT</stp>
        <stp>14/12/2015</stp>
        <stp>14/12/2015</stp>
        <stp>[Bbg_Market_Data_CL.xlsm]data!R330C16</stp>
        <tr r="P330" s="1"/>
      </tp>
      <tp t="s">
        <v>#N/A Requesting Data...</v>
        <stp/>
        <stp>##V3_BDHV12</stp>
        <stp>CL2 Comdty</stp>
        <stp>VOLUME_TOTAL_PUT</stp>
        <stp>27/01/2016</stp>
        <stp>27/01/2016</stp>
        <stp>[Bbg_Market_Data_CL.xlsm]data!R301C16</stp>
        <tr r="P301" s="1"/>
      </tp>
      <tp t="s">
        <v>#N/A Requesting Data...</v>
        <stp/>
        <stp>##V3_BDHV12</stp>
        <stp>CL2 Comdty</stp>
        <stp>VOLUME_TOTAL_PUT</stp>
        <stp>20/05/2015</stp>
        <stp>20/05/2015</stp>
        <stp>[Bbg_Market_Data_CL.xlsm]data!R472C16</stp>
        <tr r="P472" s="1"/>
      </tp>
      <tp t="s">
        <v>#N/A Requesting Data...</v>
        <stp/>
        <stp>##V3_BDHV12</stp>
        <stp>CL2 Comdty</stp>
        <stp>VOLUME_TOTAL_PUT</stp>
        <stp>07/10/2015</stp>
        <stp>07/10/2015</stp>
        <stp>[Bbg_Market_Data_CL.xlsm]data!R375C16</stp>
        <tr r="P375" s="1"/>
      </tp>
      <tp t="s">
        <v>#N/A Requesting Data...</v>
        <stp/>
        <stp>##V3_BDHV12</stp>
        <stp>CL1 Comdty</stp>
        <stp>VOLUME_TOTAL_PUT</stp>
        <stp>10/06/2015</stp>
        <stp>10/06/2015</stp>
        <stp>[Bbg_Market_Data_CL.xlsm]data!R458C16</stp>
        <tr r="P458" s="1"/>
      </tp>
      <tp t="s">
        <v>#N/A Requesting Data...</v>
        <stp/>
        <stp>##V3_BDHV12</stp>
        <stp>CL1 Comdty</stp>
        <stp>VOLUME_TOTAL_PUT</stp>
        <stp>17/11/2015</stp>
        <stp>17/11/2015</stp>
        <stp>[Bbg_Market_Data_CL.xlsm]data!R348C16</stp>
        <tr r="P348" s="1"/>
      </tp>
      <tp t="s">
        <v>#N/A Requesting Data...</v>
        <stp/>
        <stp>##V3_BDHV12</stp>
        <stp>CL1 Comdty</stp>
        <stp>VOLUME_TOTAL_PUT</stp>
        <stp>07/10/2015</stp>
        <stp>07/10/2015</stp>
        <stp>[Bbg_Market_Data_CL.xlsm]data!R375C16</stp>
        <tr r="P375" s="1"/>
      </tp>
      <tp t="s">
        <v>#N/A Requesting Data...</v>
        <stp/>
        <stp>##V3_BDHV12</stp>
        <stp>CL2 Comdty</stp>
        <stp>VOLUME_TOTAL_PUT</stp>
        <stp>10/06/2015</stp>
        <stp>10/06/2015</stp>
        <stp>[Bbg_Market_Data_CL.xlsm]data!R458C16</stp>
        <tr r="P458" s="1"/>
      </tp>
      <tp t="s">
        <v>#N/A Requesting Data...</v>
        <stp/>
        <stp>##V3_BDHV12</stp>
        <stp>CL2 Comdty</stp>
        <stp>VOLUME_TOTAL_PUT</stp>
        <stp>17/11/2015</stp>
        <stp>17/11/2015</stp>
        <stp>[Bbg_Market_Data_CL.xlsm]data!R348C16</stp>
        <tr r="P348" s="1"/>
      </tp>
      <tp t="s">
        <v>#N/A Requesting Data...</v>
        <stp/>
        <stp>##V3_BDHV12</stp>
        <stp>CL1 Comdty</stp>
        <stp>VOLUME_TOTAL_PUT</stp>
        <stp>20/05/2015</stp>
        <stp>20/05/2015</stp>
        <stp>[Bbg_Market_Data_CL.xlsm]data!R472C16</stp>
        <tr r="P472" s="1"/>
      </tp>
      <tp t="s">
        <v>#N/A Requesting Data...</v>
        <stp/>
        <stp>##V3_BDHV12</stp>
        <stp>CL1 Comdty</stp>
        <stp>VOLUME_TOTAL_PUT</stp>
        <stp>26/10/2016</stp>
        <stp>26/10/2016</stp>
        <stp>[Bbg_Market_Data_CL.xlsm]data!R114C16</stp>
        <tr r="P114" s="1"/>
      </tp>
      <tp t="s">
        <v>#N/A Requesting Data...</v>
        <stp/>
        <stp>##V3_BDHV12</stp>
        <stp>CL1 Comdty</stp>
        <stp>VOLUME_TOTAL_PUT</stp>
        <stp>14/01/2016</stp>
        <stp>14/01/2016</stp>
        <stp>[Bbg_Market_Data_CL.xlsm]data!R309C16</stp>
        <tr r="P309" s="1"/>
      </tp>
      <tp t="s">
        <v>#N/A Requesting Data...</v>
        <stp/>
        <stp>##V3_BDHV12</stp>
        <stp>CL2 Comdty</stp>
        <stp>VOLUME_TOTAL_PUT</stp>
        <stp>26/10/2016</stp>
        <stp>26/10/2016</stp>
        <stp>[Bbg_Market_Data_CL.xlsm]data!R114C16</stp>
        <tr r="P114" s="1"/>
      </tp>
      <tp t="s">
        <v>#N/A Requesting Data...</v>
        <stp/>
        <stp>##V3_BDHV12</stp>
        <stp>CL2 Comdty</stp>
        <stp>VOLUME_TOTAL_PUT</stp>
        <stp>14/01/2016</stp>
        <stp>14/01/2016</stp>
        <stp>[Bbg_Market_Data_CL.xlsm]data!R309C16</stp>
        <tr r="P309" s="1"/>
      </tp>
      <tp t="s">
        <v>#N/A Requesting Data...</v>
        <stp/>
        <stp>##V3_BDHV12</stp>
        <stp>CL1 Comdty</stp>
        <stp>VOLUME_TOTAL_PUT</stp>
        <stp>30/04/2015</stp>
        <stp>30/04/2015</stp>
        <stp>[Bbg_Market_Data_CL.xlsm]data!R486C16</stp>
        <tr r="P486" s="1"/>
      </tp>
      <tp t="s">
        <v>#N/A Requesting Data...</v>
        <stp/>
        <stp>##V3_BDHV12</stp>
        <stp>CL2 Comdty</stp>
        <stp>VOLUME_TOTAL_PUT</stp>
        <stp>30/04/2015</stp>
        <stp>30/04/2015</stp>
        <stp>[Bbg_Market_Data_CL.xlsm]data!R486C16</stp>
        <tr r="P486" s="1"/>
      </tp>
      <tp t="s">
        <v>#N/A Requesting Data...</v>
        <stp/>
        <stp>##V3_BDHV12</stp>
        <stp>CL1 Comdty</stp>
        <stp>VOLUME_TOTAL_PUT</stp>
        <stp>06/11/2015</stp>
        <stp>06/11/2015</stp>
        <stp>[Bbg_Market_Data_CL.xlsm]data!R354C16</stp>
        <tr r="P354" s="1"/>
      </tp>
      <tp t="s">
        <v>#N/A Requesting Data...</v>
        <stp/>
        <stp>##V3_BDHV12</stp>
        <stp>CL2 Comdty</stp>
        <stp>VOLUME_TOTAL_PUT</stp>
        <stp>16/10/2015</stp>
        <stp>16/10/2015</stp>
        <stp>[Bbg_Market_Data_CL.xlsm]data!R369C16</stp>
        <tr r="P369" s="1"/>
      </tp>
      <tp t="s">
        <v>#N/A Requesting Data...</v>
        <stp/>
        <stp>##V3_BDHV12</stp>
        <stp>CL2 Comdty</stp>
        <stp>VOLUME_TOTAL_PUT</stp>
        <stp>01/06/2015</stp>
        <stp>01/06/2015</stp>
        <stp>[Bbg_Market_Data_CL.xlsm]data!R465C16</stp>
        <tr r="P465" s="1"/>
      </tp>
      <tp t="s">
        <v>#N/A Requesting Data...</v>
        <stp/>
        <stp>##V3_BDHV12</stp>
        <stp>CL1 Comdty</stp>
        <stp>VOLUME_TOTAL_PUT</stp>
        <stp>01/06/2015</stp>
        <stp>01/06/2015</stp>
        <stp>[Bbg_Market_Data_CL.xlsm]data!R465C16</stp>
        <tr r="P465" s="1"/>
      </tp>
      <tp t="s">
        <v>#N/A Requesting Data...</v>
        <stp/>
        <stp>##V3_BDHV12</stp>
        <stp>CL2 Comdty</stp>
        <stp>VOLUME_TOTAL_PUT</stp>
        <stp>06/11/2015</stp>
        <stp>06/11/2015</stp>
        <stp>[Bbg_Market_Data_CL.xlsm]data!R354C16</stp>
        <tr r="P354" s="1"/>
      </tp>
      <tp t="s">
        <v>#N/A Requesting Data...</v>
        <stp/>
        <stp>##V3_BDHV12</stp>
        <stp>CL1 Comdty</stp>
        <stp>VOLUME_TOTAL_PUT</stp>
        <stp>16/10/2015</stp>
        <stp>16/10/2015</stp>
        <stp>[Bbg_Market_Data_CL.xlsm]data!R369C16</stp>
        <tr r="P369" s="1"/>
      </tp>
      <tp t="s">
        <v>#N/A Requesting Data...</v>
        <stp/>
        <stp>##V3_BDHV12</stp>
        <stp>CL1 Comdty</stp>
        <stp>VOLUME_TOTAL_PUT</stp>
        <stp>05/01/2016</stp>
        <stp>05/01/2016</stp>
        <stp>[Bbg_Market_Data_CL.xlsm]data!R316C16</stp>
        <tr r="P316" s="1"/>
      </tp>
      <tp t="s">
        <v>#N/A Requesting Data...</v>
        <stp/>
        <stp>##V3_BDHV12</stp>
        <stp>CL2 Comdty</stp>
        <stp>VOLUME_TOTAL_PUT</stp>
        <stp>05/01/2016</stp>
        <stp>05/01/2016</stp>
        <stp>[Bbg_Market_Data_CL.xlsm]data!R316C16</stp>
        <tr r="P316" s="1"/>
      </tp>
      <tp t="s">
        <v>#N/A Requesting Data...</v>
        <stp/>
        <stp>##V3_BDHV12</stp>
        <stp>CL1 Comdty</stp>
        <stp>VOLUME_TOTAL_PUT</stp>
        <stp>24/02/2016</stp>
        <stp>24/02/2016</stp>
        <stp>[Bbg_Market_Data_CL.xlsm]data!R283C16</stp>
        <tr r="P283" s="1"/>
      </tp>
      <tp t="s">
        <v>#N/A Requesting Data...</v>
        <stp/>
        <stp>##V3_BDHV12</stp>
        <stp>CL1 Comdty</stp>
        <stp>VOLUME_TOTAL_PUT</stp>
        <stp>21/04/2015</stp>
        <stp>21/04/2015</stp>
        <stp>[Bbg_Market_Data_CL.xlsm]data!R493C16</stp>
        <tr r="P493" s="1"/>
      </tp>
      <tp t="s">
        <v>#N/A Requesting Data...</v>
        <stp/>
        <stp>##V3_BDHV12</stp>
        <stp>CL2 Comdty</stp>
        <stp>VOLUME_TOTAL_PUT</stp>
        <stp>21/04/2015</stp>
        <stp>21/04/2015</stp>
        <stp>[Bbg_Market_Data_CL.xlsm]data!R493C16</stp>
        <tr r="P493" s="1"/>
      </tp>
      <tp t="s">
        <v>#N/A Requesting Data...</v>
        <stp/>
        <stp>##V3_BDHV12</stp>
        <stp>CL2 Comdty</stp>
        <stp>VOLUME_TOTAL_PUT</stp>
        <stp>24/02/2016</stp>
        <stp>24/02/2016</stp>
        <stp>[Bbg_Market_Data_CL.xlsm]data!R283C16</stp>
        <tr r="P283" s="1"/>
      </tp>
      <tp t="s">
        <v>#N/A Requesting Data...</v>
        <stp/>
        <stp>##V3_BDHV12</stp>
        <stp>CL1 Comdty</stp>
        <stp>VOLUME_TOTAL_PUT</stp>
        <stp>13/06/2016</stp>
        <stp>13/06/2016</stp>
        <stp>[Bbg_Market_Data_CL.xlsm]data!R207C16</stp>
        <tr r="P207" s="1"/>
      </tp>
      <tp t="s">
        <v>#N/A Requesting Data...</v>
        <stp/>
        <stp>##V3_BDHV12</stp>
        <stp>CL2 Comdty</stp>
        <stp>VOLUME_TOTAL_PUT</stp>
        <stp>23/05/2016</stp>
        <stp>23/05/2016</stp>
        <stp>[Bbg_Market_Data_CL.xlsm]data!R221C16</stp>
        <tr r="P221" s="1"/>
      </tp>
      <tp t="s">
        <v>#N/A Requesting Data...</v>
        <stp/>
        <stp>##V3_BDHV12</stp>
        <stp>CL1 Comdty</stp>
        <stp>VOLUME_TOTAL_PUT</stp>
        <stp>23/05/2016</stp>
        <stp>23/05/2016</stp>
        <stp>[Bbg_Market_Data_CL.xlsm]data!R221C16</stp>
        <tr r="P221" s="1"/>
      </tp>
      <tp t="s">
        <v>#N/A Requesting Data...</v>
        <stp/>
        <stp>##V3_BDHV12</stp>
        <stp>CL2 Comdty</stp>
        <stp>VOLUME_TOTAL_PUT</stp>
        <stp>13/06/2016</stp>
        <stp>13/06/2016</stp>
        <stp>[Bbg_Market_Data_CL.xlsm]data!R207C16</stp>
        <tr r="P207" s="1"/>
      </tp>
      <tp t="s">
        <v>#N/A Requesting Data...</v>
        <stp/>
        <stp>##V3_BDHV12</stp>
        <stp>CL1 Comdty</stp>
        <stp>VOLUME_TOTAL_PUT</stp>
        <stp>22/04/2016</stp>
        <stp>22/04/2016</stp>
        <stp>[Bbg_Market_Data_CL.xlsm]data!R242C16</stp>
        <tr r="P242" s="1"/>
      </tp>
      <tp t="s">
        <v>#N/A Requesting Data...</v>
        <stp/>
        <stp>##V3_BDHV12</stp>
        <stp>CL2 Comdty</stp>
        <stp>VOLUME_TOTAL_PUT</stp>
        <stp>22/04/2016</stp>
        <stp>22/04/2016</stp>
        <stp>[Bbg_Market_Data_CL.xlsm]data!R242C16</stp>
        <tr r="P242" s="1"/>
      </tp>
      <tp t="s">
        <v>#N/A Requesting Data...</v>
        <stp/>
        <stp>##V3_BDHV12</stp>
        <stp>CL1 Comdty</stp>
        <stp>VOLUME_TOTAL_PUT</stp>
        <stp>02/06/2016</stp>
        <stp>02/06/2016</stp>
        <stp>[Bbg_Market_Data_CL.xlsm]data!R214C16</stp>
        <tr r="P214" s="1"/>
      </tp>
      <tp t="s">
        <v>#N/A Requesting Data...</v>
        <stp/>
        <stp>##V3_BDHV12</stp>
        <stp>CL2 Comdty</stp>
        <stp>VOLUME_TOTAL_PUT</stp>
        <stp>02/06/2016</stp>
        <stp>02/06/2016</stp>
        <stp>[Bbg_Market_Data_CL.xlsm]data!R214C16</stp>
        <tr r="P214" s="1"/>
      </tp>
      <tp t="s">
        <v>#N/A Requesting Data...</v>
        <stp/>
        <stp>##V3_BDHV12</stp>
        <stp>CL1 Comdty</stp>
        <stp>VOLUME_TOTAL_PUT</stp>
        <stp>21/07/2016</stp>
        <stp>21/07/2016</stp>
        <stp>[Bbg_Market_Data_CL.xlsm]data!R180C16</stp>
        <tr r="P180" s="1"/>
      </tp>
      <tp t="s">
        <v>#N/A Requesting Data...</v>
        <stp/>
        <stp>##V3_BDHV12</stp>
        <stp>CL2 Comdty</stp>
        <stp>VOLUME_TOTAL_PUT</stp>
        <stp>21/07/2016</stp>
        <stp>21/07/2016</stp>
        <stp>[Bbg_Market_Data_CL.xlsm]data!R180C16</stp>
        <tr r="P180" s="1"/>
      </tp>
      <tp t="s">
        <v>#N/A Requesting Data...</v>
        <stp/>
        <stp>##V3_BDHV12</stp>
        <stp>CL1 Comdty</stp>
        <stp>VOLUME_TOTAL_PUT</stp>
        <stp>11/04/2016</stp>
        <stp>11/04/2016</stp>
        <stp>[Bbg_Market_Data_CL.xlsm]data!R251C16</stp>
        <tr r="P251" s="1"/>
      </tp>
      <tp t="s">
        <v>#N/A Requesting Data...</v>
        <stp/>
        <stp>##V3_BDHV12</stp>
        <stp>CL2 Comdty</stp>
        <stp>VOLUME_TOTAL_PUT</stp>
        <stp>11/04/2016</stp>
        <stp>11/04/2016</stp>
        <stp>[Bbg_Market_Data_CL.xlsm]data!R251C16</stp>
        <tr r="P251" s="1"/>
      </tp>
      <tp t="s">
        <v>#N/A Requesting Data...</v>
        <stp/>
        <stp>##V3_BDHV12</stp>
        <stp>CL1 Comdty</stp>
        <stp>VOLUME_TOTAL_PUT</stp>
        <stp>12/07/2016</stp>
        <stp>12/07/2016</stp>
        <stp>[Bbg_Market_Data_CL.xlsm]data!R187C16</stp>
        <tr r="P187" s="1"/>
      </tp>
      <tp t="s">
        <v>#N/A Requesting Data...</v>
        <stp/>
        <stp>##V3_BDHV12</stp>
        <stp>CL2 Comdty</stp>
        <stp>VOLUME_TOTAL_PUT</stp>
        <stp>12/07/2016</stp>
        <stp>12/07/2016</stp>
        <stp>[Bbg_Market_Data_CL.xlsm]data!R187C16</stp>
        <tr r="P187" s="1"/>
      </tp>
      <tp t="s">
        <v>#N/A Requesting Data...</v>
        <stp/>
        <stp>##V3_BDHV12</stp>
        <stp>CL1 Comdty</stp>
        <stp>VOLUME_TOTAL_PUT</stp>
        <stp>20/06/2016</stp>
        <stp>20/06/2016</stp>
        <stp>[Bbg_Market_Data_CL.xlsm]data!R202C16</stp>
        <tr r="P202" s="1"/>
      </tp>
      <tp t="s">
        <v>#N/A Requesting Data...</v>
        <stp/>
        <stp>##V3_BDHV12</stp>
        <stp>CL2 Comdty</stp>
        <stp>VOLUME_TOTAL_PUT</stp>
        <stp>10/05/2016</stp>
        <stp>10/05/2016</stp>
        <stp>[Bbg_Market_Data_CL.xlsm]data!R230C16</stp>
        <tr r="P230" s="1"/>
      </tp>
      <tp t="s">
        <v>#N/A Requesting Data...</v>
        <stp/>
        <stp>##V3_BDHV12</stp>
        <stp>CL2 Comdty</stp>
        <stp>VOLUME_TOTAL_PUT</stp>
        <stp>20/06/2016</stp>
        <stp>20/06/2016</stp>
        <stp>[Bbg_Market_Data_CL.xlsm]data!R202C16</stp>
        <tr r="P202" s="1"/>
      </tp>
      <tp t="s">
        <v>#N/A Requesting Data...</v>
        <stp/>
        <stp>##V3_BDHV12</stp>
        <stp>CL1 Comdty</stp>
        <stp>VOLUME_TOTAL_PUT</stp>
        <stp>10/05/2016</stp>
        <stp>10/05/2016</stp>
        <stp>[Bbg_Market_Data_CL.xlsm]data!R230C16</stp>
        <tr r="P230" s="1"/>
      </tp>
      <tp t="s">
        <v>#N/A Requesting Data...</v>
        <stp/>
        <stp>##V3_BDHV12</stp>
        <stp>CL2 Comdty</stp>
        <stp>VOLUME_TOTAL_PUT</stp>
        <stp>12/05/2015</stp>
        <stp>12/05/2015</stp>
        <stp>[Bbg_Market_Data_CL.xlsm]data!R478C16</stp>
        <tr r="P478" s="1"/>
      </tp>
      <tp t="s">
        <v>#N/A Requesting Data...</v>
        <stp/>
        <stp>##V3_BDHV12</stp>
        <stp>CL2 Comdty</stp>
        <stp>VOLUME_TOTAL_PUT</stp>
        <stp>17/03/2016</stp>
        <stp>17/03/2016</stp>
        <stp>[Bbg_Market_Data_CL.xlsm]data!R267C16</stp>
        <tr r="P267" s="1"/>
      </tp>
      <tp t="s">
        <v>#N/A Requesting Data...</v>
        <stp/>
        <stp>##V3_BDHV12</stp>
        <stp>CL1 Comdty</stp>
        <stp>VOLUME_TOTAL_PUT</stp>
        <stp>22/06/2015</stp>
        <stp>22/06/2015</stp>
        <stp>[Bbg_Market_Data_CL.xlsm]data!R450C16</stp>
        <tr r="P450" s="1"/>
      </tp>
      <tp t="s">
        <v>#N/A Requesting Data...</v>
        <stp/>
        <stp>##V3_BDHV12</stp>
        <stp>CL1 Comdty</stp>
        <stp>VOLUME_TOTAL_PUT</stp>
        <stp>25/11/2015</stp>
        <stp>25/11/2015</stp>
        <stp>[Bbg_Market_Data_CL.xlsm]data!R342C16</stp>
        <tr r="P342" s="1"/>
      </tp>
      <tp t="s">
        <v>#N/A Requesting Data...</v>
        <stp/>
        <stp>##V3_BDHV12</stp>
        <stp>CL1 Comdty</stp>
        <stp>VOLUME_TOTAL_PUT</stp>
        <stp>17/03/2016</stp>
        <stp>17/03/2016</stp>
        <stp>[Bbg_Market_Data_CL.xlsm]data!R267C16</stp>
        <tr r="P267" s="1"/>
      </tp>
      <tp t="s">
        <v>#N/A Requesting Data...</v>
        <stp/>
        <stp>##V3_BDHV12</stp>
        <stp>CL2 Comdty</stp>
        <stp>VOLUME_TOTAL_PUT</stp>
        <stp>22/06/2015</stp>
        <stp>22/06/2015</stp>
        <stp>[Bbg_Market_Data_CL.xlsm]data!R450C16</stp>
        <tr r="P450" s="1"/>
      </tp>
      <tp t="s">
        <v>#N/A Requesting Data...</v>
        <stp/>
        <stp>##V3_BDHV12</stp>
        <stp>CL2 Comdty</stp>
        <stp>VOLUME_TOTAL_PUT</stp>
        <stp>25/11/2015</stp>
        <stp>25/11/2015</stp>
        <stp>[Bbg_Market_Data_CL.xlsm]data!R342C16</stp>
        <tr r="P342" s="1"/>
      </tp>
      <tp t="s">
        <v>#N/A Requesting Data...</v>
        <stp/>
        <stp>##V3_BDHV12</stp>
        <stp>CL1 Comdty</stp>
        <stp>VOLUME_TOTAL_PUT</stp>
        <stp>12/05/2015</stp>
        <stp>12/05/2015</stp>
        <stp>[Bbg_Market_Data_CL.xlsm]data!R478C16</stp>
        <tr r="P478" s="1"/>
      </tp>
      <tp t="s">
        <v>#N/A Requesting Data...</v>
        <stp/>
        <stp>##V3_BDHV12</stp>
        <stp>CL2 Comdty</stp>
        <stp>VOLUME_TOTAL_PUT</stp>
        <stp>14/10/2016</stp>
        <stp>14/10/2016</stp>
        <stp>[Bbg_Market_Data_CL.xlsm]data!R122C16</stp>
        <tr r="P122" s="1"/>
      </tp>
      <tp t="s">
        <v>#N/A Requesting Data...</v>
        <stp/>
        <stp>##V3_BDHV12</stp>
        <stp>CL1 Comdty</stp>
        <stp>VOLUME_TOTAL_PUT</stp>
        <stp>26/01/2016</stp>
        <stp>26/01/2016</stp>
        <stp>[Bbg_Market_Data_CL.xlsm]data!R302C16</stp>
        <tr r="P302" s="1"/>
      </tp>
      <tp t="s">
        <v>#N/A Requesting Data...</v>
        <stp/>
        <stp>##V3_BDHV12</stp>
        <stp>CL2 Comdty</stp>
        <stp>VOLUME_TOTAL_PUT</stp>
        <stp>15/12/2015</stp>
        <stp>15/12/2015</stp>
        <stp>[Bbg_Market_Data_CL.xlsm]data!R329C16</stp>
        <tr r="P329" s="1"/>
      </tp>
      <tp t="s">
        <v>#N/A Requesting Data...</v>
        <stp/>
        <stp>##V3_BDHV12</stp>
        <stp>CL1 Comdty</stp>
        <stp>VOLUME_TOTAL_PUT</stp>
        <stp>04/11/2016</stp>
        <stp>04/11/2016</stp>
        <stp>[Bbg_Market_Data_CL.xlsm]data!R107C16</stp>
        <tr r="P107" s="1"/>
      </tp>
      <tp t="s">
        <v>#N/A Requesting Data...</v>
        <stp/>
        <stp>##V3_BDHV12</stp>
        <stp>CL2 Comdty</stp>
        <stp>VOLUME_TOTAL_PUT</stp>
        <stp>04/11/2016</stp>
        <stp>04/11/2016</stp>
        <stp>[Bbg_Market_Data_CL.xlsm]data!R107C16</stp>
        <tr r="P107" s="1"/>
      </tp>
      <tp t="s">
        <v>#N/A Requesting Data...</v>
        <stp/>
        <stp>##V3_BDHV12</stp>
        <stp>CL1 Comdty</stp>
        <stp>VOLUME_TOTAL_PUT</stp>
        <stp>14/10/2016</stp>
        <stp>14/10/2016</stp>
        <stp>[Bbg_Market_Data_CL.xlsm]data!R122C16</stp>
        <tr r="P122" s="1"/>
      </tp>
      <tp t="s">
        <v>#N/A Requesting Data...</v>
        <stp/>
        <stp>##V3_BDHV12</stp>
        <stp>CL2 Comdty</stp>
        <stp>VOLUME_TOTAL_PUT</stp>
        <stp>26/01/2016</stp>
        <stp>26/01/2016</stp>
        <stp>[Bbg_Market_Data_CL.xlsm]data!R302C16</stp>
        <tr r="P302" s="1"/>
      </tp>
      <tp t="s">
        <v>#N/A Requesting Data...</v>
        <stp/>
        <stp>##V3_BDHV12</stp>
        <stp>CL1 Comdty</stp>
        <stp>VOLUME_TOTAL_PUT</stp>
        <stp>15/12/2015</stp>
        <stp>15/12/2015</stp>
        <stp>[Bbg_Market_Data_CL.xlsm]data!R329C16</stp>
        <tr r="P329" s="1"/>
      </tp>
      <tp t="s">
        <v>#N/A Requesting Data...</v>
        <stp/>
        <stp>##V3_BDHV12</stp>
        <stp>CL2 Comdty</stp>
        <stp>VOLUME_TOTAL_PUT</stp>
        <stp>05/10/2016</stp>
        <stp>05/10/2016</stp>
        <stp>[Bbg_Market_Data_CL.xlsm]data!R128C16</stp>
        <tr r="P128" s="1"/>
      </tp>
      <tp t="s">
        <v>#N/A Requesting Data...</v>
        <stp/>
        <stp>##V3_BDHV12</stp>
        <stp>CL2 Comdty</stp>
        <stp>VOLUME_TOTAL_PUT</stp>
        <stp>04/12/2015</stp>
        <stp>04/12/2015</stp>
        <stp>[Bbg_Market_Data_CL.xlsm]data!R336C16</stp>
        <tr r="P336" s="1"/>
      </tp>
      <tp t="s">
        <v>#N/A Requesting Data...</v>
        <stp/>
        <stp>##V3_BDHV12</stp>
        <stp>CL1 Comdty</stp>
        <stp>VOLUME_TOTAL_PUT</stp>
        <stp>15/11/2016</stp>
        <stp>15/11/2016</stp>
        <stp>[Bbg_Market_Data_CL.xlsm]data!R101C16</stp>
        <tr r="P101" s="1"/>
      </tp>
      <tp t="s">
        <v>#N/A Requesting Data...</v>
        <stp/>
        <stp>##V3_BDHV12</stp>
        <stp>CL2 Comdty</stp>
        <stp>VOLUME_TOTAL_PUT</stp>
        <stp>23/07/2015</stp>
        <stp>23/07/2015</stp>
        <stp>[Bbg_Market_Data_CL.xlsm]data!R428C16</stp>
        <tr r="P428" s="1"/>
      </tp>
      <tp t="s">
        <v>#N/A Requesting Data...</v>
        <stp/>
        <stp>##V3_BDHV12</stp>
        <stp>CL1 Comdty</stp>
        <stp>VOLUME_TOTAL_PUT</stp>
        <stp>04/12/2015</stp>
        <stp>04/12/2015</stp>
        <stp>[Bbg_Market_Data_CL.xlsm]data!R336C16</stp>
        <tr r="P336" s="1"/>
      </tp>
      <tp t="s">
        <v>#N/A Requesting Data...</v>
        <stp/>
        <stp>##V3_BDHV12</stp>
        <stp>CL2 Comdty</stp>
        <stp>VOLUME_TOTAL_PUT</stp>
        <stp>15/11/2016</stp>
        <stp>15/11/2016</stp>
        <stp>[Bbg_Market_Data_CL.xlsm]data!R101C16</stp>
        <tr r="P101" s="1"/>
      </tp>
      <tp t="s">
        <v>#N/A Requesting Data...</v>
        <stp/>
        <stp>##V3_BDHV12</stp>
        <stp>CL1 Comdty</stp>
        <stp>VOLUME_TOTAL_PUT</stp>
        <stp>23/07/2015</stp>
        <stp>23/07/2015</stp>
        <stp>[Bbg_Market_Data_CL.xlsm]data!R428C16</stp>
        <tr r="P428" s="1"/>
      </tp>
      <tp t="s">
        <v>#N/A Requesting Data...</v>
        <stp/>
        <stp>##V3_BDHV12</stp>
        <stp>CL1 Comdty</stp>
        <stp>VOLUME_TOTAL_PUT</stp>
        <stp>05/10/2016</stp>
        <stp>05/10/2016</stp>
        <stp>[Bbg_Market_Data_CL.xlsm]data!R128C16</stp>
        <tr r="P128" s="1"/>
      </tp>
      <tp t="s">
        <v>#N/A Requesting Data...</v>
        <stp/>
        <stp>##V3_BDHV12</stp>
        <stp>CL1 Comdty</stp>
        <stp>VOLUME_TOTAL_PUT</stp>
        <stp>13/04/2015</stp>
        <stp>13/04/2015</stp>
        <stp>[Bbg_Market_Data_CL.xlsm]data!R499C16</stp>
        <tr r="P499" s="1"/>
      </tp>
      <tp t="s">
        <v>#N/A Requesting Data...</v>
        <stp/>
        <stp>##V3_BDHV12</stp>
        <stp>CL2 Comdty</stp>
        <stp>VOLUME_TOTAL_PUT</stp>
        <stp>13/04/2015</stp>
        <stp>13/04/2015</stp>
        <stp>[Bbg_Market_Data_CL.xlsm]data!R499C16</stp>
        <tr r="P499" s="1"/>
      </tp>
      <tp t="s">
        <v>#N/A Requesting Data...</v>
        <stp/>
        <stp>##V3_BDHV12</stp>
        <stp>CL2 Comdty</stp>
        <stp>VOLUME_TOTAL_PUT</stp>
        <stp>10/07/2015</stp>
        <stp>10/07/2015</stp>
        <stp>[Bbg_Market_Data_CL.xlsm]data!R437C16</stp>
        <tr r="P437" s="1"/>
      </tp>
      <tp t="s">
        <v>#N/A Requesting Data...</v>
        <stp/>
        <stp>##V3_BDHV12</stp>
        <stp>CL1 Comdty</stp>
        <stp>VOLUME_TOTAL_PUT</stp>
        <stp>04/01/2016</stp>
        <stp>04/01/2016</stp>
        <stp>[Bbg_Market_Data_CL.xlsm]data!R317C16</stp>
        <tr r="P317" s="1"/>
      </tp>
      <tp t="s">
        <v>#N/A Requesting Data...</v>
        <stp/>
        <stp>##V3_BDHV12</stp>
        <stp>CL2 Comdty</stp>
        <stp>VOLUME_TOTAL_PUT</stp>
        <stp>04/01/2016</stp>
        <stp>04/01/2016</stp>
        <stp>[Bbg_Market_Data_CL.xlsm]data!R317C16</stp>
        <tr r="P317" s="1"/>
      </tp>
      <tp t="s">
        <v>#N/A Requesting Data...</v>
        <stp/>
        <stp>##V3_BDHV12</stp>
        <stp>CL1 Comdty</stp>
        <stp>VOLUME_TOTAL_PUT</stp>
        <stp>10/07/2015</stp>
        <stp>10/07/2015</stp>
        <stp>[Bbg_Market_Data_CL.xlsm]data!R437C16</stp>
        <tr r="P437" s="1"/>
      </tp>
      <tp t="s">
        <v>#N/A Requesting Data...</v>
        <stp/>
        <stp>##V3_BDHV12</stp>
        <stp>CL1 Comdty</stp>
        <stp>VOLUME_TOTAL_PUT</stp>
        <stp>25/02/2016</stp>
        <stp>25/02/2016</stp>
        <stp>[Bbg_Market_Data_CL.xlsm]data!R282C16</stp>
        <tr r="P282" s="1"/>
      </tp>
      <tp t="s">
        <v>#N/A Requesting Data...</v>
        <stp/>
        <stp>##V3_BDHV12</stp>
        <stp>CL1 Comdty</stp>
        <stp>VOLUME_TOTAL_PUT</stp>
        <stp>20/04/2015</stp>
        <stp>20/04/2015</stp>
        <stp>[Bbg_Market_Data_CL.xlsm]data!R494C16</stp>
        <tr r="P494" s="1"/>
      </tp>
      <tp t="s">
        <v>#N/A Requesting Data...</v>
        <stp/>
        <stp>##V3_BDHV12</stp>
        <stp>CL2 Comdty</stp>
        <stp>VOLUME_TOTAL_PUT</stp>
        <stp>20/04/2015</stp>
        <stp>20/04/2015</stp>
        <stp>[Bbg_Market_Data_CL.xlsm]data!R494C16</stp>
        <tr r="P494" s="1"/>
      </tp>
      <tp t="s">
        <v>#N/A Requesting Data...</v>
        <stp/>
        <stp>##V3_BDHV12</stp>
        <stp>CL2 Comdty</stp>
        <stp>VOLUME_TOTAL_PUT</stp>
        <stp>25/02/2016</stp>
        <stp>25/02/2016</stp>
        <stp>[Bbg_Market_Data_CL.xlsm]data!R282C16</stp>
        <tr r="P282" s="1"/>
      </tp>
      <tp t="s">
        <v>#N/A Requesting Data...</v>
        <stp/>
        <stp>##V3_BDHV12</stp>
        <stp>CL2 Comdty</stp>
        <stp>VOLUME_TOTAL_PUT</stp>
        <stp>21/05/2015</stp>
        <stp>21/05/2015</stp>
        <stp>[Bbg_Market_Data_CL.xlsm]data!R471C16</stp>
        <tr r="P471" s="1"/>
      </tp>
      <tp t="s">
        <v>#N/A Requesting Data...</v>
        <stp/>
        <stp>##V3_BDHV12</stp>
        <stp>CL1 Comdty</stp>
        <stp>VOLUME_TOTAL_PUT</stp>
        <stp>01/07/2015</stp>
        <stp>01/07/2015</stp>
        <stp>[Bbg_Market_Data_CL.xlsm]data!R443C16</stp>
        <tr r="P443" s="1"/>
      </tp>
      <tp t="s">
        <v>#N/A Requesting Data...</v>
        <stp/>
        <stp>##V3_BDHV12</stp>
        <stp>CL2 Comdty</stp>
        <stp>VOLUME_TOTAL_PUT</stp>
        <stp>06/10/2015</stp>
        <stp>06/10/2015</stp>
        <stp>[Bbg_Market_Data_CL.xlsm]data!R376C16</stp>
        <tr r="P376" s="1"/>
      </tp>
      <tp t="s">
        <v>#N/A Requesting Data...</v>
        <stp/>
        <stp>##V3_BDHV12</stp>
        <stp>CL2 Comdty</stp>
        <stp>VOLUME_TOTAL_PUT</stp>
        <stp>24/03/2016</stp>
        <stp>24/03/2016</stp>
        <stp>[Bbg_Market_Data_CL.xlsm]data!R262C16</stp>
        <tr r="P262" s="1"/>
      </tp>
      <tp t="s">
        <v>#N/A Requesting Data...</v>
        <stp/>
        <stp>##V3_BDHV12</stp>
        <stp>CL1 Comdty</stp>
        <stp>VOLUME_TOTAL_PUT</stp>
        <stp>11/06/2015</stp>
        <stp>11/06/2015</stp>
        <stp>[Bbg_Market_Data_CL.xlsm]data!R457C16</stp>
        <tr r="P457" s="1"/>
      </tp>
      <tp t="s">
        <v>#N/A Requesting Data...</v>
        <stp/>
        <stp>##V3_BDHV12</stp>
        <stp>CL1 Comdty</stp>
        <stp>VOLUME_TOTAL_PUT</stp>
        <stp>16/11/2015</stp>
        <stp>16/11/2015</stp>
        <stp>[Bbg_Market_Data_CL.xlsm]data!R349C16</stp>
        <tr r="P349" s="1"/>
      </tp>
      <tp t="s">
        <v>#N/A Requesting Data...</v>
        <stp/>
        <stp>##V3_BDHV12</stp>
        <stp>CL1 Comdty</stp>
        <stp>VOLUME_TOTAL_PUT</stp>
        <stp>06/10/2015</stp>
        <stp>06/10/2015</stp>
        <stp>[Bbg_Market_Data_CL.xlsm]data!R376C16</stp>
        <tr r="P376" s="1"/>
      </tp>
      <tp t="s">
        <v>#N/A Requesting Data...</v>
        <stp/>
        <stp>##V3_BDHV12</stp>
        <stp>CL1 Comdty</stp>
        <stp>VOLUME_TOTAL_PUT</stp>
        <stp>24/03/2016</stp>
        <stp>24/03/2016</stp>
        <stp>[Bbg_Market_Data_CL.xlsm]data!R262C16</stp>
        <tr r="P262" s="1"/>
      </tp>
      <tp t="s">
        <v>#N/A Requesting Data...</v>
        <stp/>
        <stp>##V3_BDHV12</stp>
        <stp>CL2 Comdty</stp>
        <stp>VOLUME_TOTAL_PUT</stp>
        <stp>11/06/2015</stp>
        <stp>11/06/2015</stp>
        <stp>[Bbg_Market_Data_CL.xlsm]data!R457C16</stp>
        <tr r="P457" s="1"/>
      </tp>
      <tp t="s">
        <v>#N/A Requesting Data...</v>
        <stp/>
        <stp>##V3_BDHV12</stp>
        <stp>CL2 Comdty</stp>
        <stp>VOLUME_TOTAL_PUT</stp>
        <stp>16/11/2015</stp>
        <stp>16/11/2015</stp>
        <stp>[Bbg_Market_Data_CL.xlsm]data!R349C16</stp>
        <tr r="P349" s="1"/>
      </tp>
      <tp t="s">
        <v>#N/A Requesting Data...</v>
        <stp/>
        <stp>##V3_BDHV12</stp>
        <stp>CL1 Comdty</stp>
        <stp>VOLUME_TOTAL_PUT</stp>
        <stp>21/05/2015</stp>
        <stp>21/05/2015</stp>
        <stp>[Bbg_Market_Data_CL.xlsm]data!R471C16</stp>
        <tr r="P471" s="1"/>
      </tp>
      <tp t="s">
        <v>#N/A Requesting Data...</v>
        <stp/>
        <stp>##V3_BDHV12</stp>
        <stp>CL2 Comdty</stp>
        <stp>VOLUME_TOTAL_PUT</stp>
        <stp>01/07/2015</stp>
        <stp>01/07/2015</stp>
        <stp>[Bbg_Market_Data_CL.xlsm]data!R443C16</stp>
        <tr r="P443" s="1"/>
      </tp>
      <tp t="s">
        <v>#N/A Requesting Data...</v>
        <stp/>
        <stp>##V3_BDHV12</stp>
        <stp>CL1 Comdty</stp>
        <stp>VOLUME_TOTAL_PUT</stp>
        <stp>27/10/2016</stp>
        <stp>27/10/2016</stp>
        <stp>[Bbg_Market_Data_CL.xlsm]data!R113C16</stp>
        <tr r="P113" s="1"/>
      </tp>
      <tp t="s">
        <v>#N/A Requesting Data...</v>
        <stp/>
        <stp>##V3_BDHV12</stp>
        <stp>CL1 Comdty</stp>
        <stp>VOLUME_TOTAL_PUT</stp>
        <stp>15/01/2016</stp>
        <stp>15/01/2016</stp>
        <stp>[Bbg_Market_Data_CL.xlsm]data!R308C16</stp>
        <tr r="P308" s="1"/>
      </tp>
      <tp t="s">
        <v>#N/A Requesting Data...</v>
        <stp/>
        <stp>##V3_BDHV12</stp>
        <stp>CL2 Comdty</stp>
        <stp>VOLUME_TOTAL_PUT</stp>
        <stp>27/10/2016</stp>
        <stp>27/10/2016</stp>
        <stp>[Bbg_Market_Data_CL.xlsm]data!R113C16</stp>
        <tr r="P113" s="1"/>
      </tp>
      <tp t="s">
        <v>#N/A Requesting Data...</v>
        <stp/>
        <stp>##V3_BDHV12</stp>
        <stp>CL2 Comdty</stp>
        <stp>VOLUME_TOTAL_PUT</stp>
        <stp>15/01/2016</stp>
        <stp>15/01/2016</stp>
        <stp>[Bbg_Market_Data_CL.xlsm]data!R308C16</stp>
        <tr r="P308" s="1"/>
      </tp>
      <tp t="s">
        <v>#N/A Requesting Data...</v>
        <stp/>
        <stp>##V3_BDHV12</stp>
        <stp>CL1 Comdty</stp>
        <stp>VOLUME_TOTAL_PUT</stp>
        <stp>03/06/2016</stp>
        <stp>03/06/2016</stp>
        <stp>[Bbg_Market_Data_CL.xlsm]data!R213C16</stp>
        <tr r="P213" s="1"/>
      </tp>
      <tp t="s">
        <v>#N/A Requesting Data...</v>
        <stp/>
        <stp>##V3_BDHV12</stp>
        <stp>CL2 Comdty</stp>
        <stp>VOLUME_TOTAL_PUT</stp>
        <stp>03/06/2016</stp>
        <stp>03/06/2016</stp>
        <stp>[Bbg_Market_Data_CL.xlsm]data!R213C16</stp>
        <tr r="P213" s="1"/>
      </tp>
      <tp t="s">
        <v>#N/A Requesting Data...</v>
        <stp/>
        <stp>##V3_BDHV12</stp>
        <stp>CL1 Comdty</stp>
        <stp>VOLUME_TOTAL_PUT</stp>
        <stp>20/07/2016</stp>
        <stp>20/07/2016</stp>
        <stp>[Bbg_Market_Data_CL.xlsm]data!R181C16</stp>
        <tr r="P181" s="1"/>
      </tp>
      <tp t="s">
        <v>#N/A Requesting Data...</v>
        <stp/>
        <stp>##V3_BDHV12</stp>
        <stp>CL1 Comdty</stp>
        <stp>VOLUME_TOTAL_PUT</stp>
        <stp>30/06/2016</stp>
        <stp>30/06/2016</stp>
        <stp>[Bbg_Market_Data_CL.xlsm]data!R194C16</stp>
        <tr r="P194" s="1"/>
      </tp>
      <tp t="s">
        <v>#N/A Requesting Data...</v>
        <stp/>
        <stp>##V3_BDHV12</stp>
        <stp>CL2 Comdty</stp>
        <stp>VOLUME_TOTAL_PUT</stp>
        <stp>30/06/2016</stp>
        <stp>30/06/2016</stp>
        <stp>[Bbg_Market_Data_CL.xlsm]data!R194C16</stp>
        <tr r="P194" s="1"/>
      </tp>
      <tp t="s">
        <v>#N/A Requesting Data...</v>
        <stp/>
        <stp>##V3_BDHV12</stp>
        <stp>CL2 Comdty</stp>
        <stp>VOLUME_TOTAL_PUT</stp>
        <stp>20/07/2016</stp>
        <stp>20/07/2016</stp>
        <stp>[Bbg_Market_Data_CL.xlsm]data!R181C16</stp>
        <tr r="P181" s="1"/>
      </tp>
      <tp t="s">
        <v>#N/A Requesting Data...</v>
        <stp/>
        <stp>##V3_BDHV12</stp>
        <stp>CL1 Comdty</stp>
        <stp>VOLUME_TOTAL_PUT</stp>
        <stp>01/04/2016</stp>
        <stp>01/04/2016</stp>
        <stp>[Bbg_Market_Data_CL.xlsm]data!R257C16</stp>
        <tr r="P257" s="1"/>
      </tp>
      <tp t="s">
        <v>#N/A Requesting Data...</v>
        <stp/>
        <stp>##V3_BDHV12</stp>
        <stp>CL2 Comdty</stp>
        <stp>VOLUME_TOTAL_PUT</stp>
        <stp>01/04/2016</stp>
        <stp>01/04/2016</stp>
        <stp>[Bbg_Market_Data_CL.xlsm]data!R257C16</stp>
        <tr r="P257" s="1"/>
      </tp>
      <tp t="s">
        <v>#N/A Requesting Data...</v>
        <stp/>
        <stp>##V3_BDHV12</stp>
        <stp>CL1 Comdty</stp>
        <stp>VOLUME_TOTAL_PUT</stp>
        <stp>21/06/2016</stp>
        <stp>21/06/2016</stp>
        <stp>[Bbg_Market_Data_CL.xlsm]data!R201C16</stp>
        <tr r="P201" s="1"/>
      </tp>
      <tp t="s">
        <v>#N/A Requesting Data...</v>
        <stp/>
        <stp>##V3_BDHV12</stp>
        <stp>CL2 Comdty</stp>
        <stp>VOLUME_TOTAL_PUT</stp>
        <stp>11/05/2016</stp>
        <stp>11/05/2016</stp>
        <stp>[Bbg_Market_Data_CL.xlsm]data!R229C16</stp>
        <tr r="P229" s="1"/>
      </tp>
      <tp t="s">
        <v>#N/A Requesting Data...</v>
        <stp/>
        <stp>##V3_BDHV12</stp>
        <stp>CL1 Comdty</stp>
        <stp>VOLUME_TOTAL_PUT</stp>
        <stp>11/05/2016</stp>
        <stp>11/05/2016</stp>
        <stp>[Bbg_Market_Data_CL.xlsm]data!R229C16</stp>
        <tr r="P229" s="1"/>
      </tp>
      <tp t="s">
        <v>#N/A Requesting Data...</v>
        <stp/>
        <stp>##V3_BDHV12</stp>
        <stp>CL2 Comdty</stp>
        <stp>VOLUME_TOTAL_PUT</stp>
        <stp>21/06/2016</stp>
        <stp>21/06/2016</stp>
        <stp>[Bbg_Market_Data_CL.xlsm]data!R201C16</stp>
        <tr r="P201" s="1"/>
      </tp>
      <tp t="s">
        <v>#N/A Requesting Data...</v>
        <stp/>
        <stp>##V3_BDHV12</stp>
        <stp>CL1 Comdty</stp>
        <stp>VOLUME_TOTAL_PUT</stp>
        <stp>13/07/2016</stp>
        <stp>13/07/2016</stp>
        <stp>[Bbg_Market_Data_CL.xlsm]data!R186C16</stp>
        <tr r="P186" s="1"/>
      </tp>
      <tp t="s">
        <v>#N/A Requesting Data...</v>
        <stp/>
        <stp>##V3_BDHV12</stp>
        <stp>CL2 Comdty</stp>
        <stp>VOLUME_TOTAL_PUT</stp>
        <stp>13/07/2016</stp>
        <stp>13/07/2016</stp>
        <stp>[Bbg_Market_Data_CL.xlsm]data!R186C16</stp>
        <tr r="P186" s="1"/>
      </tp>
      <tp t="s">
        <v>#N/A Requesting Data...</v>
        <stp/>
        <stp>##V3_BDHV12</stp>
        <stp>CL2 Comdty</stp>
        <stp>VOLUME_TOTAL_CALL</stp>
        <stp>03/04/2017</stp>
        <stp>03/04/2017</stp>
        <stp>[Bbg_Market_Data_CL.xlsm]data!R7C15</stp>
        <tr r="O7" s="1"/>
      </tp>
      <tp t="s">
        <v>#N/A Requesting Data...</v>
        <stp/>
        <stp>##V3_BDHV12</stp>
        <stp>CL1 Comdty</stp>
        <stp>VOLUME_TOTAL_CALL</stp>
        <stp>03/04/2017</stp>
        <stp>03/04/2017</stp>
        <stp>[Bbg_Market_Data_CL.xlsm]data!R7C15</stp>
        <tr r="O7" s="1"/>
      </tp>
      <tp t="s">
        <v>#N/A Requesting Data...</v>
        <stp/>
        <stp>##V3_BDHV12</stp>
        <stp>CL1 Comdty</stp>
        <stp>VOLUME_TOTAL_CALL</stp>
        <stp>06/04/2017</stp>
        <stp>06/04/2017</stp>
        <stp>[Bbg_Market_Data_CL.xlsm]data!R4C15</stp>
        <tr r="O4" s="1"/>
      </tp>
      <tp t="s">
        <v>#N/A Requesting Data...</v>
        <stp/>
        <stp>##V3_BDHV12</stp>
        <stp>CL2 Comdty</stp>
        <stp>VOLUME_TOTAL_CALL</stp>
        <stp>06/04/2017</stp>
        <stp>06/04/2017</stp>
        <stp>[Bbg_Market_Data_CL.xlsm]data!R4C15</stp>
        <tr r="O4" s="1"/>
      </tp>
      <tp t="s">
        <v>#N/A Requesting Data...</v>
        <stp/>
        <stp>##V3_BDHV12</stp>
        <stp>CL2 Comdty</stp>
        <stp>VOLUME_TOTAL_CALL</stp>
        <stp>07/04/2017</stp>
        <stp>07/04/2017</stp>
        <stp>[Bbg_Market_Data_CL.xlsm]data!R3C15</stp>
        <tr r="O3" s="1"/>
      </tp>
      <tp t="s">
        <v>#N/A Requesting Data...</v>
        <stp/>
        <stp>##V3_BDHV12</stp>
        <stp>CL1 Comdty</stp>
        <stp>VOLUME_TOTAL_CALL</stp>
        <stp>07/04/2017</stp>
        <stp>07/04/2017</stp>
        <stp>[Bbg_Market_Data_CL.xlsm]data!R3C15</stp>
        <tr r="O3" s="1"/>
      </tp>
      <tp t="s">
        <v>#N/A Requesting Data...</v>
        <stp/>
        <stp>##V3_BDHV12</stp>
        <stp>CL1 Comdty</stp>
        <stp>VOLUME_TOTAL_CALL</stp>
        <stp>04/04/2017</stp>
        <stp>04/04/2017</stp>
        <stp>[Bbg_Market_Data_CL.xlsm]data!R6C15</stp>
        <tr r="O6" s="1"/>
      </tp>
      <tp t="s">
        <v>#N/A Requesting Data...</v>
        <stp/>
        <stp>##V3_BDHV12</stp>
        <stp>CL2 Comdty</stp>
        <stp>VOLUME_TOTAL_CALL</stp>
        <stp>04/04/2017</stp>
        <stp>04/04/2017</stp>
        <stp>[Bbg_Market_Data_CL.xlsm]data!R6C15</stp>
        <tr r="O6" s="1"/>
      </tp>
      <tp t="s">
        <v>#N/A Requesting Data...</v>
        <stp/>
        <stp>##V3_BDHV12</stp>
        <stp>CL2 Comdty</stp>
        <stp>VOLUME_TOTAL_CALL</stp>
        <stp>05/04/2017</stp>
        <stp>05/04/2017</stp>
        <stp>[Bbg_Market_Data_CL.xlsm]data!R5C15</stp>
        <tr r="O5" s="1"/>
      </tp>
      <tp t="s">
        <v>#N/A Requesting Data...</v>
        <stp/>
        <stp>##V3_BDHV12</stp>
        <stp>CL1 Comdty</stp>
        <stp>VOLUME_TOTAL_CALL</stp>
        <stp>05/04/2017</stp>
        <stp>05/04/2017</stp>
        <stp>[Bbg_Market_Data_CL.xlsm]data!R5C15</stp>
        <tr r="O5" s="1"/>
      </tp>
      <tp t="s">
        <v>#N/A Requesting Data...</v>
        <stp/>
        <stp>##V3_BDHV12</stp>
        <stp>CL1 Comdty</stp>
        <stp>VOLUME_TOTAL_CALL</stp>
        <stp>10/04/2017</stp>
        <stp>10/04/2017</stp>
        <stp>[Bbg_Market_Data_CL.xlsm]data!R2C15</stp>
        <tr r="O2" s="1"/>
      </tp>
      <tp t="s">
        <v>#N/A Requesting Data...</v>
        <stp/>
        <stp>##V3_BDHV12</stp>
        <stp>CL2 Comdty</stp>
        <stp>VOLUME_TOTAL_CALL</stp>
        <stp>10/04/2017</stp>
        <stp>10/04/2017</stp>
        <stp>[Bbg_Market_Data_CL.xlsm]data!R2C15</stp>
        <tr r="O2" s="1"/>
      </tp>
      <tp t="s">
        <v>#N/A Requesting Data...</v>
        <stp/>
        <stp>##V3_BDHV12</stp>
        <stp>CL2 Comdty</stp>
        <stp>VOLUME_TOTAL_CALL</stp>
        <stp>30/03/2017</stp>
        <stp>30/03/2017</stp>
        <stp>[Bbg_Market_Data_CL.xlsm]data!R9C15</stp>
        <tr r="O9" s="1"/>
      </tp>
      <tp t="s">
        <v>#N/A Requesting Data...</v>
        <stp/>
        <stp>##V3_BDHV12</stp>
        <stp>CL1 Comdty</stp>
        <stp>VOLUME_TOTAL_CALL</stp>
        <stp>30/03/2017</stp>
        <stp>30/03/2017</stp>
        <stp>[Bbg_Market_Data_CL.xlsm]data!R9C15</stp>
        <tr r="O9" s="1"/>
      </tp>
      <tp t="s">
        <v>#N/A Requesting Data...</v>
        <stp/>
        <stp>##V3_BDHV12</stp>
        <stp>CL2 Comdty</stp>
        <stp>VOLUME_TOTAL_CALL</stp>
        <stp>31/03/2017</stp>
        <stp>31/03/2017</stp>
        <stp>[Bbg_Market_Data_CL.xlsm]data!R8C15</stp>
        <tr r="O8" s="1"/>
      </tp>
      <tp t="s">
        <v>#N/A Requesting Data...</v>
        <stp/>
        <stp>##V3_BDHV12</stp>
        <stp>CL1 Comdty</stp>
        <stp>VOLUME_TOTAL_CALL</stp>
        <stp>31/03/2017</stp>
        <stp>31/03/2017</stp>
        <stp>[Bbg_Market_Data_CL.xlsm]data!R8C15</stp>
        <tr r="O8" s="1"/>
      </tp>
      <tp t="s">
        <v>#N/A Requesting Data...</v>
        <stp/>
        <stp>##V3_BDHV12</stp>
        <stp>CL2 Comdty</stp>
        <stp>VOLUME_TOTAL_PUT</stp>
        <stp>22/05/2015</stp>
        <stp>22/05/2015</stp>
        <stp>[Bbg_Market_Data_CL.xlsm]data!R470C16</stp>
        <tr r="P470" s="1"/>
      </tp>
      <tp t="s">
        <v>#N/A Requesting Data...</v>
        <stp/>
        <stp>##V3_BDHV12</stp>
        <stp>CL1 Comdty</stp>
        <stp>VOLUME_TOTAL_PUT</stp>
        <stp>02/07/2015</stp>
        <stp>02/07/2015</stp>
        <stp>[Bbg_Market_Data_CL.xlsm]data!R442C16</stp>
        <tr r="P442" s="1"/>
      </tp>
      <tp t="s">
        <v>#N/A Requesting Data...</v>
        <stp/>
        <stp>##V3_BDHV12</stp>
        <stp>CL2 Comdty</stp>
        <stp>VOLUME_TOTAL_PUT</stp>
        <stp>05/10/2015</stp>
        <stp>05/10/2015</stp>
        <stp>[Bbg_Market_Data_CL.xlsm]data!R377C16</stp>
        <tr r="P377" s="1"/>
      </tp>
      <tp t="s">
        <v>#N/A Requesting Data...</v>
        <stp/>
        <stp>##V3_BDHV12</stp>
        <stp>CL1 Comdty</stp>
        <stp>VOLUME_TOTAL_PUT</stp>
        <stp>12/06/2015</stp>
        <stp>12/06/2015</stp>
        <stp>[Bbg_Market_Data_CL.xlsm]data!R456C16</stp>
        <tr r="P456" s="1"/>
      </tp>
      <tp t="s">
        <v>#N/A Requesting Data...</v>
        <stp/>
        <stp>##V3_BDHV12</stp>
        <stp>CL1 Comdty</stp>
        <stp>VOLUME_TOTAL_PUT</stp>
        <stp>05/10/2015</stp>
        <stp>05/10/2015</stp>
        <stp>[Bbg_Market_Data_CL.xlsm]data!R377C16</stp>
        <tr r="P377" s="1"/>
      </tp>
      <tp t="s">
        <v>#N/A Requesting Data...</v>
        <stp/>
        <stp>##V3_BDHV12</stp>
        <stp>CL2 Comdty</stp>
        <stp>VOLUME_TOTAL_PUT</stp>
        <stp>12/06/2015</stp>
        <stp>12/06/2015</stp>
        <stp>[Bbg_Market_Data_CL.xlsm]data!R456C16</stp>
        <tr r="P456" s="1"/>
      </tp>
      <tp t="s">
        <v>#N/A Requesting Data...</v>
        <stp/>
        <stp>##V3_BDHV12</stp>
        <stp>CL1 Comdty</stp>
        <stp>VOLUME_TOTAL_PUT</stp>
        <stp>22/05/2015</stp>
        <stp>22/05/2015</stp>
        <stp>[Bbg_Market_Data_CL.xlsm]data!R470C16</stp>
        <tr r="P470" s="1"/>
      </tp>
      <tp t="s">
        <v>#N/A Requesting Data...</v>
        <stp/>
        <stp>##V3_BDHV12</stp>
        <stp>CL2 Comdty</stp>
        <stp>VOLUME_TOTAL_PUT</stp>
        <stp>02/07/2015</stp>
        <stp>02/07/2015</stp>
        <stp>[Bbg_Market_Data_CL.xlsm]data!R442C16</stp>
        <tr r="P442" s="1"/>
      </tp>
      <tp t="s">
        <v>#N/A Requesting Data...</v>
        <stp/>
        <stp>##V3_BDHV12</stp>
        <stp>CL1 Comdty</stp>
        <stp>VOLUME_TOTAL_PUT</stp>
        <stp>24/10/2016</stp>
        <stp>24/10/2016</stp>
        <stp>[Bbg_Market_Data_CL.xlsm]data!R116C16</stp>
        <tr r="P116" s="1"/>
      </tp>
      <tp t="s">
        <v>#N/A Requesting Data...</v>
        <stp/>
        <stp>##V3_BDHV12</stp>
        <stp>CL2 Comdty</stp>
        <stp>VOLUME_TOTAL_PUT</stp>
        <stp>24/10/2016</stp>
        <stp>24/10/2016</stp>
        <stp>[Bbg_Market_Data_CL.xlsm]data!R116C16</stp>
        <tr r="P116" s="1"/>
      </tp>
      <tp t="s">
        <v>#N/A Requesting Data...</v>
        <stp/>
        <stp>##V3_BDHV12</stp>
        <stp>CL1 Comdty</stp>
        <stp>VOLUME_TOTAL_PUT</stp>
        <stp>04/11/2015</stp>
        <stp>04/11/2015</stp>
        <stp>[Bbg_Market_Data_CL.xlsm]data!R356C16</stp>
        <tr r="P356" s="1"/>
      </tp>
      <tp t="s">
        <v>#N/A Requesting Data...</v>
        <stp/>
        <stp>##V3_BDHV12</stp>
        <stp>CL2 Comdty</stp>
        <stp>VOLUME_TOTAL_PUT</stp>
        <stp>03/06/2015</stp>
        <stp>03/06/2015</stp>
        <stp>[Bbg_Market_Data_CL.xlsm]data!R463C16</stp>
        <tr r="P463" s="1"/>
      </tp>
      <tp t="s">
        <v>#N/A Requesting Data...</v>
        <stp/>
        <stp>##V3_BDHV12</stp>
        <stp>CL2 Comdty</stp>
        <stp>VOLUME_TOTAL_PUT</stp>
        <stp>14/10/2015</stp>
        <stp>14/10/2015</stp>
        <stp>[Bbg_Market_Data_CL.xlsm]data!R371C16</stp>
        <tr r="P371" s="1"/>
      </tp>
      <tp t="s">
        <v>#N/A Requesting Data...</v>
        <stp/>
        <stp>##V3_BDHV12</stp>
        <stp>CL1 Comdty</stp>
        <stp>VOLUME_TOTAL_PUT</stp>
        <stp>03/06/2015</stp>
        <stp>03/06/2015</stp>
        <stp>[Bbg_Market_Data_CL.xlsm]data!R463C16</stp>
        <tr r="P463" s="1"/>
      </tp>
      <tp t="s">
        <v>#N/A Requesting Data...</v>
        <stp/>
        <stp>##V3_BDHV12</stp>
        <stp>CL1 Comdty</stp>
        <stp>VOLUME_TOTAL_PUT</stp>
        <stp>14/10/2015</stp>
        <stp>14/10/2015</stp>
        <stp>[Bbg_Market_Data_CL.xlsm]data!R371C16</stp>
        <tr r="P371" s="1"/>
      </tp>
      <tp t="s">
        <v>#N/A Requesting Data...</v>
        <stp/>
        <stp>##V3_BDHV12</stp>
        <stp>CL2 Comdty</stp>
        <stp>VOLUME_TOTAL_PUT</stp>
        <stp>04/11/2015</stp>
        <stp>04/11/2015</stp>
        <stp>[Bbg_Market_Data_CL.xlsm]data!R356C16</stp>
        <tr r="P356" s="1"/>
      </tp>
      <tp t="s">
        <v>#N/A Requesting Data...</v>
        <stp/>
        <stp>##V3_BDHV12</stp>
        <stp>CL2 Comdty</stp>
        <stp>VOLUME_TOTAL_PUT</stp>
        <stp>13/07/2015</stp>
        <stp>13/07/2015</stp>
        <stp>[Bbg_Market_Data_CL.xlsm]data!R436C16</stp>
        <tr r="P436" s="1"/>
      </tp>
      <tp t="s">
        <v>#N/A Requesting Data...</v>
        <stp/>
        <stp>##V3_BDHV12</stp>
        <stp>CL1 Comdty</stp>
        <stp>VOLUME_TOTAL_PUT</stp>
        <stp>07/01/2016</stp>
        <stp>07/01/2016</stp>
        <stp>[Bbg_Market_Data_CL.xlsm]data!R314C16</stp>
        <tr r="P314" s="1"/>
      </tp>
      <tp t="s">
        <v>#N/A Requesting Data...</v>
        <stp/>
        <stp>##V3_BDHV12</stp>
        <stp>CL2 Comdty</stp>
        <stp>VOLUME_TOTAL_PUT</stp>
        <stp>07/01/2016</stp>
        <stp>07/01/2016</stp>
        <stp>[Bbg_Market_Data_CL.xlsm]data!R314C16</stp>
        <tr r="P314" s="1"/>
      </tp>
      <tp t="s">
        <v>#N/A Requesting Data...</v>
        <stp/>
        <stp>##V3_BDHV12</stp>
        <stp>CL1 Comdty</stp>
        <stp>VOLUME_TOTAL_PUT</stp>
        <stp>13/07/2015</stp>
        <stp>13/07/2015</stp>
        <stp>[Bbg_Market_Data_CL.xlsm]data!R436C16</stp>
        <tr r="P436" s="1"/>
      </tp>
      <tp t="s">
        <v>#N/A Requesting Data...</v>
        <stp/>
        <stp>##V3_BDHV12</stp>
        <stp>CL1 Comdty</stp>
        <stp>VOLUME_TOTAL_PUT</stp>
        <stp>26/02/2016</stp>
        <stp>26/02/2016</stp>
        <stp>[Bbg_Market_Data_CL.xlsm]data!R281C16</stp>
        <tr r="P281" s="1"/>
      </tp>
      <tp t="s">
        <v>#N/A Requesting Data...</v>
        <stp/>
        <stp>##V3_BDHV12</stp>
        <stp>CL1 Comdty</stp>
        <stp>VOLUME_TOTAL_PUT</stp>
        <stp>23/04/2015</stp>
        <stp>23/04/2015</stp>
        <stp>[Bbg_Market_Data_CL.xlsm]data!R491C16</stp>
        <tr r="P491" s="1"/>
      </tp>
      <tp t="s">
        <v>#N/A Requesting Data...</v>
        <stp/>
        <stp>##V3_BDHV12</stp>
        <stp>CL2 Comdty</stp>
        <stp>VOLUME_TOTAL_PUT</stp>
        <stp>23/04/2015</stp>
        <stp>23/04/2015</stp>
        <stp>[Bbg_Market_Data_CL.xlsm]data!R491C16</stp>
        <tr r="P491" s="1"/>
      </tp>
      <tp t="s">
        <v>#N/A Requesting Data...</v>
        <stp/>
        <stp>##V3_BDHV12</stp>
        <stp>CL2 Comdty</stp>
        <stp>VOLUME_TOTAL_PUT</stp>
        <stp>26/02/2016</stp>
        <stp>26/02/2016</stp>
        <stp>[Bbg_Market_Data_CL.xlsm]data!R281C16</stp>
        <tr r="P281" s="1"/>
      </tp>
      <tp t="s">
        <v>#N/A Requesting Data...</v>
        <stp/>
        <stp>##V3_BDHV12</stp>
        <stp>CL1 Comdty</stp>
        <stp>VOLUME_TOTAL_PUT</stp>
        <stp>30/06/2015</stp>
        <stp>30/06/2015</stp>
        <stp>[Bbg_Market_Data_CL.xlsm]data!R444C16</stp>
        <tr r="P444" s="1"/>
      </tp>
      <tp t="s">
        <v>#N/A Requesting Data...</v>
        <stp/>
        <stp>##V3_BDHV12</stp>
        <stp>CL2 Comdty</stp>
        <stp>VOLUME_TOTAL_PUT</stp>
        <stp>27/10/2015</stp>
        <stp>27/10/2015</stp>
        <stp>[Bbg_Market_Data_CL.xlsm]data!R362C16</stp>
        <tr r="P362" s="1"/>
      </tp>
      <tp t="s">
        <v>#N/A Requesting Data...</v>
        <stp/>
        <stp>##V3_BDHV12</stp>
        <stp>CL1 Comdty</stp>
        <stp>VOLUME_TOTAL_PUT</stp>
        <stp>27/10/2015</stp>
        <stp>27/10/2015</stp>
        <stp>[Bbg_Market_Data_CL.xlsm]data!R362C16</stp>
        <tr r="P362" s="1"/>
      </tp>
      <tp t="s">
        <v>#N/A Requesting Data...</v>
        <stp/>
        <stp>##V3_BDHV12</stp>
        <stp>CL2 Comdty</stp>
        <stp>VOLUME_TOTAL_PUT</stp>
        <stp>30/06/2015</stp>
        <stp>30/06/2015</stp>
        <stp>[Bbg_Market_Data_CL.xlsm]data!R444C16</stp>
        <tr r="P444" s="1"/>
      </tp>
      <tp t="s">
        <v>#N/A Requesting Data...</v>
        <stp/>
        <stp>##V3_BDHV12</stp>
        <stp>CL2 Comdty</stp>
        <stp>VOLUME_TOTAL_PUT</stp>
        <stp>06/10/2016</stp>
        <stp>06/10/2016</stp>
        <stp>[Bbg_Market_Data_CL.xlsm]data!R127C16</stp>
        <tr r="P127" s="1"/>
      </tp>
      <tp t="s">
        <v>#N/A Requesting Data...</v>
        <stp/>
        <stp>##V3_BDHV12</stp>
        <stp>CL2 Comdty</stp>
        <stp>VOLUME_TOTAL_PUT</stp>
        <stp>20/07/2015</stp>
        <stp>20/07/2015</stp>
        <stp>[Bbg_Market_Data_CL.xlsm]data!R431C16</stp>
        <tr r="P431" s="1"/>
      </tp>
      <tp t="s">
        <v>#N/A Requesting Data...</v>
        <stp/>
        <stp>##V3_BDHV12</stp>
        <stp>CL2 Comdty</stp>
        <stp>VOLUME_TOTAL_PUT</stp>
        <stp>07/12/2015</stp>
        <stp>07/12/2015</stp>
        <stp>[Bbg_Market_Data_CL.xlsm]data!R335C16</stp>
        <tr r="P335" s="1"/>
      </tp>
      <tp t="s">
        <v>#N/A Requesting Data...</v>
        <stp/>
        <stp>##V3_BDHV12</stp>
        <stp>CL1 Comdty</stp>
        <stp>VOLUME_TOTAL_PUT</stp>
        <stp>16/11/2016</stp>
        <stp>16/11/2016</stp>
        <stp>[Bbg_Market_Data_CL.xlsm]data!R100C16</stp>
        <tr r="P100" s="1"/>
      </tp>
      <tp t="s">
        <v>#N/A Requesting Data...</v>
        <stp/>
        <stp>##V3_BDHV12</stp>
        <stp>CL1 Comdty</stp>
        <stp>VOLUME_TOTAL_PUT</stp>
        <stp>07/12/2015</stp>
        <stp>07/12/2015</stp>
        <stp>[Bbg_Market_Data_CL.xlsm]data!R335C16</stp>
        <tr r="P335" s="1"/>
      </tp>
      <tp t="s">
        <v>#N/A Requesting Data...</v>
        <stp/>
        <stp>##V3_BDHV12</stp>
        <stp>CL2 Comdty</stp>
        <stp>VOLUME_TOTAL_PUT</stp>
        <stp>16/11/2016</stp>
        <stp>16/11/2016</stp>
        <stp>[Bbg_Market_Data_CL.xlsm]data!R100C16</stp>
        <tr r="P100" s="1"/>
      </tp>
      <tp t="s">
        <v>#N/A Requesting Data...</v>
        <stp/>
        <stp>##V3_BDHV12</stp>
        <stp>CL1 Comdty</stp>
        <stp>VOLUME_TOTAL_PUT</stp>
        <stp>06/10/2016</stp>
        <stp>06/10/2016</stp>
        <stp>[Bbg_Market_Data_CL.xlsm]data!R127C16</stp>
        <tr r="P127" s="1"/>
      </tp>
      <tp t="s">
        <v>#N/A Requesting Data...</v>
        <stp/>
        <stp>##V3_BDHV12</stp>
        <stp>CL1 Comdty</stp>
        <stp>VOLUME_TOTAL_PUT</stp>
        <stp>20/07/2015</stp>
        <stp>20/07/2015</stp>
        <stp>[Bbg_Market_Data_CL.xlsm]data!R431C16</stp>
        <tr r="P431" s="1"/>
      </tp>
      <tp t="s">
        <v>#N/A Requesting Data...</v>
        <stp/>
        <stp>##V3_BDHV12</stp>
        <stp>CL2 Comdty</stp>
        <stp>VOLUME_TOTAL_PUT</stp>
        <stp>14/03/2016</stp>
        <stp>14/03/2016</stp>
        <stp>[Bbg_Market_Data_CL.xlsm]data!R270C16</stp>
        <tr r="P270" s="1"/>
      </tp>
      <tp t="s">
        <v>#N/A Requesting Data...</v>
        <stp/>
        <stp>##V3_BDHV12</stp>
        <stp>CL2 Comdty</stp>
        <stp>VOLUME_TOTAL_PUT</stp>
        <stp>11/05/2015</stp>
        <stp>11/05/2015</stp>
        <stp>[Bbg_Market_Data_CL.xlsm]data!R479C16</stp>
        <tr r="P479" s="1"/>
      </tp>
      <tp t="s">
        <v>#N/A Requesting Data...</v>
        <stp/>
        <stp>##V3_BDHV12</stp>
        <stp>CL1 Comdty</stp>
        <stp>VOLUME_TOTAL_PUT</stp>
        <stp>14/03/2016</stp>
        <stp>14/03/2016</stp>
        <stp>[Bbg_Market_Data_CL.xlsm]data!R270C16</stp>
        <tr r="P270" s="1"/>
      </tp>
      <tp t="s">
        <v>#N/A Requesting Data...</v>
        <stp/>
        <stp>##V3_BDHV12</stp>
        <stp>CL1 Comdty</stp>
        <stp>VOLUME_TOTAL_PUT</stp>
        <stp>11/05/2015</stp>
        <stp>11/05/2015</stp>
        <stp>[Bbg_Market_Data_CL.xlsm]data!R479C16</stp>
        <tr r="P479" s="1"/>
      </tp>
      <tp t="s">
        <v>#N/A Requesting Data...</v>
        <stp/>
        <stp>##V3_BDHV12</stp>
        <stp>CL1 Comdty</stp>
        <stp>VOLUME_TOTAL_PUT</stp>
        <stp>10/04/2015</stp>
        <stp>10/04/2015</stp>
        <stp>[Bbg_Market_Data_CL.xlsm]data!R500C16</stp>
        <tr r="P500" s="1"/>
      </tp>
      <tp t="s">
        <v>#N/A Requesting Data...</v>
        <stp/>
        <stp>##V3_BDHV12</stp>
        <stp>CL2 Comdty</stp>
        <stp>VOLUME_TOTAL_PUT</stp>
        <stp>17/10/2016</stp>
        <stp>17/10/2016</stp>
        <stp>[Bbg_Market_Data_CL.xlsm]data!R121C16</stp>
        <tr r="P121" s="1"/>
      </tp>
      <tp t="s">
        <v>#N/A Requesting Data...</v>
        <stp/>
        <stp>##V3_BDHV12</stp>
        <stp>CL1 Comdty</stp>
        <stp>VOLUME_TOTAL_PUT</stp>
        <stp>25/01/2016</stp>
        <stp>25/01/2016</stp>
        <stp>[Bbg_Market_Data_CL.xlsm]data!R303C16</stp>
        <tr r="P303" s="1"/>
      </tp>
      <tp t="s">
        <v>#N/A Requesting Data...</v>
        <stp/>
        <stp>##V3_BDHV12</stp>
        <stp>CL2 Comdty</stp>
        <stp>VOLUME_TOTAL_PUT</stp>
        <stp>16/12/2015</stp>
        <stp>16/12/2015</stp>
        <stp>[Bbg_Market_Data_CL.xlsm]data!R328C16</stp>
        <tr r="P328" s="1"/>
      </tp>
      <tp t="s">
        <v>#N/A Requesting Data...</v>
        <stp/>
        <stp>##V3_BDHV12</stp>
        <stp>CL1 Comdty</stp>
        <stp>VOLUME_TOTAL_PUT</stp>
        <stp>07/11/2016</stp>
        <stp>07/11/2016</stp>
        <stp>[Bbg_Market_Data_CL.xlsm]data!R106C16</stp>
        <tr r="P106" s="1"/>
      </tp>
      <tp t="s">
        <v>#N/A Requesting Data...</v>
        <stp/>
        <stp>##V3_BDHV12</stp>
        <stp>CL2 Comdty</stp>
        <stp>VOLUME_TOTAL_PUT</stp>
        <stp>31/07/2015</stp>
        <stp>31/07/2015</stp>
        <stp>[Bbg_Market_Data_CL.xlsm]data!R422C16</stp>
        <tr r="P422" s="1"/>
      </tp>
      <tp t="s">
        <v>#N/A Requesting Data...</v>
        <stp/>
        <stp>##V3_BDHV12</stp>
        <stp>CL1 Comdty</stp>
        <stp>VOLUME_TOTAL_PUT</stp>
        <stp>31/07/2015</stp>
        <stp>31/07/2015</stp>
        <stp>[Bbg_Market_Data_CL.xlsm]data!R422C16</stp>
        <tr r="P422" s="1"/>
      </tp>
      <tp t="s">
        <v>#N/A Requesting Data...</v>
        <stp/>
        <stp>##V3_BDHV12</stp>
        <stp>CL2 Comdty</stp>
        <stp>VOLUME_TOTAL_PUT</stp>
        <stp>07/11/2016</stp>
        <stp>07/11/2016</stp>
        <stp>[Bbg_Market_Data_CL.xlsm]data!R106C16</stp>
        <tr r="P106" s="1"/>
      </tp>
      <tp t="s">
        <v>#N/A Requesting Data...</v>
        <stp/>
        <stp>##V3_BDHV12</stp>
        <stp>CL2 Comdty</stp>
        <stp>VOLUME_TOTAL_PUT</stp>
        <stp>10/04/2015</stp>
        <stp>10/04/2015</stp>
        <stp>[Bbg_Market_Data_CL.xlsm]data!R500C16</stp>
        <tr r="P500" s="1"/>
      </tp>
      <tp t="s">
        <v>#N/A Requesting Data...</v>
        <stp/>
        <stp>##V3_BDHV12</stp>
        <stp>CL1 Comdty</stp>
        <stp>VOLUME_TOTAL_PUT</stp>
        <stp>17/10/2016</stp>
        <stp>17/10/2016</stp>
        <stp>[Bbg_Market_Data_CL.xlsm]data!R121C16</stp>
        <tr r="P121" s="1"/>
      </tp>
      <tp t="s">
        <v>#N/A Requesting Data...</v>
        <stp/>
        <stp>##V3_BDHV12</stp>
        <stp>CL2 Comdty</stp>
        <stp>VOLUME_TOTAL_PUT</stp>
        <stp>25/01/2016</stp>
        <stp>25/01/2016</stp>
        <stp>[Bbg_Market_Data_CL.xlsm]data!R303C16</stp>
        <tr r="P303" s="1"/>
      </tp>
      <tp t="s">
        <v>#N/A Requesting Data...</v>
        <stp/>
        <stp>##V3_BDHV12</stp>
        <stp>CL1 Comdty</stp>
        <stp>VOLUME_TOTAL_PUT</stp>
        <stp>16/12/2015</stp>
        <stp>16/12/2015</stp>
        <stp>[Bbg_Market_Data_CL.xlsm]data!R328C16</stp>
        <tr r="P328" s="1"/>
      </tp>
      <tp t="s">
        <v>#N/A Requesting Data...</v>
        <stp/>
        <stp>##V3_BDHV12</stp>
        <stp>CL1 Comdty</stp>
        <stp>VOLUME_TOTAL_PUT</stp>
        <stp>04/02/2016</stp>
        <stp>04/02/2016</stp>
        <stp>[Bbg_Market_Data_CL.xlsm]data!R295C16</stp>
        <tr r="P295" s="1"/>
      </tp>
      <tp t="s">
        <v>#N/A Requesting Data...</v>
        <stp/>
        <stp>##V3_BDHV12</stp>
        <stp>CL2 Comdty</stp>
        <stp>VOLUME_TOTAL_PUT</stp>
        <stp>04/02/2016</stp>
        <stp>04/02/2016</stp>
        <stp>[Bbg_Market_Data_CL.xlsm]data!R295C16</stp>
        <tr r="P295" s="1"/>
      </tp>
      <tp t="s">
        <v>#N/A Requesting Data...</v>
        <stp/>
        <stp>##V3_BDHV12</stp>
        <stp>CL1 Comdty</stp>
        <stp>VOLUME_TOTAL_PUT</stp>
        <stp>13/04/2016</stp>
        <stp>13/04/2016</stp>
        <stp>[Bbg_Market_Data_CL.xlsm]data!R249C16</stp>
        <tr r="P249" s="1"/>
      </tp>
      <tp t="s">
        <v>#N/A Requesting Data...</v>
        <stp/>
        <stp>##V3_BDHV12</stp>
        <stp>CL2 Comdty</stp>
        <stp>VOLUME_TOTAL_PUT</stp>
        <stp>13/04/2016</stp>
        <stp>13/04/2016</stp>
        <stp>[Bbg_Market_Data_CL.xlsm]data!R249C16</stp>
        <tr r="P249" s="1"/>
      </tp>
      <tp t="s">
        <v>#N/A Requesting Data...</v>
        <stp/>
        <stp>##V3_BDHV12</stp>
        <stp>CL2 Comdty</stp>
        <stp>VOLUME_TOTAL_PUT</stp>
        <stp>03/05/2016</stp>
        <stp>03/05/2016</stp>
        <stp>[Bbg_Market_Data_CL.xlsm]data!R235C16</stp>
        <tr r="P235" s="1"/>
      </tp>
      <tp t="s">
        <v>#N/A Requesting Data...</v>
        <stp/>
        <stp>##V3_BDHV12</stp>
        <stp>CL1 Comdty</stp>
        <stp>VOLUME_TOTAL_PUT</stp>
        <stp>03/05/2016</stp>
        <stp>03/05/2016</stp>
        <stp>[Bbg_Market_Data_CL.xlsm]data!R235C16</stp>
        <tr r="P235" s="1"/>
      </tp>
      <tp t="s">
        <v>#N/A Requesting Data...</v>
        <stp/>
        <stp>##V3_BDHV12</stp>
        <stp>CL1 Comdty</stp>
        <stp>VOLUME_TOTAL_PUT</stp>
        <stp>22/06/2016</stp>
        <stp>22/06/2016</stp>
        <stp>[Bbg_Market_Data_CL.xlsm]data!R200C16</stp>
        <tr r="P200" s="1"/>
      </tp>
      <tp t="s">
        <v>#N/A Requesting Data...</v>
        <stp/>
        <stp>##V3_BDHV12</stp>
        <stp>CL2 Comdty</stp>
        <stp>VOLUME_TOTAL_PUT</stp>
        <stp>12/05/2016</stp>
        <stp>12/05/2016</stp>
        <stp>[Bbg_Market_Data_CL.xlsm]data!R228C16</stp>
        <tr r="P228" s="1"/>
      </tp>
      <tp t="s">
        <v>#N/A Requesting Data...</v>
        <stp/>
        <stp>##V3_BDHV12</stp>
        <stp>CL1 Comdty</stp>
        <stp>VOLUME_TOTAL_PUT</stp>
        <stp>12/05/2016</stp>
        <stp>12/05/2016</stp>
        <stp>[Bbg_Market_Data_CL.xlsm]data!R228C16</stp>
        <tr r="P228" s="1"/>
      </tp>
      <tp t="s">
        <v>#N/A Requesting Data...</v>
        <stp/>
        <stp>##V3_BDHV12</stp>
        <stp>CL2 Comdty</stp>
        <stp>VOLUME_TOTAL_PUT</stp>
        <stp>22/06/2016</stp>
        <stp>22/06/2016</stp>
        <stp>[Bbg_Market_Data_CL.xlsm]data!R200C16</stp>
        <tr r="P200" s="1"/>
      </tp>
      <tp t="s">
        <v>#N/A Requesting Data...</v>
        <stp/>
        <stp>##V3_BDHV12</stp>
        <stp>CL1 Comdty</stp>
        <stp>VOLUME_TOTAL_PUT</stp>
        <stp>01/07/2016</stp>
        <stp>01/07/2016</stp>
        <stp>[Bbg_Market_Data_CL.xlsm]data!R193C16</stp>
        <tr r="P193" s="1"/>
      </tp>
      <tp t="s">
        <v>#N/A Requesting Data...</v>
        <stp/>
        <stp>##V3_BDHV12</stp>
        <stp>CL2 Comdty</stp>
        <stp>VOLUME_TOTAL_PUT</stp>
        <stp>01/07/2016</stp>
        <stp>01/07/2016</stp>
        <stp>[Bbg_Market_Data_CL.xlsm]data!R193C16</stp>
        <tr r="P193" s="1"/>
      </tp>
      <tp t="s">
        <v>#N/A Requesting Data...</v>
        <stp/>
        <stp>##V3_BDHV12</stp>
        <stp>CL1 Comdty</stp>
        <stp>VOLUME_TOTAL_PUT</stp>
        <stp>20/04/2016</stp>
        <stp>20/04/2016</stp>
        <stp>[Bbg_Market_Data_CL.xlsm]data!R244C16</stp>
        <tr r="P244" s="1"/>
      </tp>
      <tp t="s">
        <v>#N/A Requesting Data...</v>
        <stp/>
        <stp>##V3_BDHV12</stp>
        <stp>CL2 Comdty</stp>
        <stp>VOLUME_TOTAL_PUT</stp>
        <stp>20/04/2016</stp>
        <stp>20/04/2016</stp>
        <stp>[Bbg_Market_Data_CL.xlsm]data!R244C16</stp>
        <tr r="P244" s="1"/>
      </tp>
      <tp>
        <v>51.49</v>
        <stp/>
        <stp>##V3_BDHV12</stp>
        <stp>CL1 Comdty</stp>
        <stp>PX_LOW</stp>
        <stp>07/04/2017</stp>
        <stp>07/04/2017</stp>
        <stp>[Bbg_Market_Data_CL.xlsm]data!R3C7</stp>
        <tr r="G3" s="1"/>
        <tr r="G3" s="1"/>
      </tp>
      <tp>
        <v>50.12</v>
        <stp/>
        <stp>##V3_BDHV12</stp>
        <stp>CL1 Comdty</stp>
        <stp>PX_LOW</stp>
        <stp>03/04/2017</stp>
        <stp>03/04/2017</stp>
        <stp>[Bbg_Market_Data_CL.xlsm]data!R7C7</stp>
        <tr r="G7" s="1"/>
        <tr r="G7" s="1"/>
      </tp>
      <tp t="s">
        <v>#N/A Requesting Data...</v>
        <stp/>
        <stp>##V3_BDHV12</stp>
        <stp>CL1 Comdty</stp>
        <stp>VOLUME_TOTAL_PUT</stp>
        <stp>05/11/2015</stp>
        <stp>05/11/2015</stp>
        <stp>[Bbg_Market_Data_CL.xlsm]data!R355C16</stp>
        <tr r="P355" s="1"/>
      </tp>
      <tp t="s">
        <v>#N/A Requesting Data...</v>
        <stp/>
        <stp>##V3_BDHV12</stp>
        <stp>CL2 Comdty</stp>
        <stp>VOLUME_TOTAL_PUT</stp>
        <stp>02/06/2015</stp>
        <stp>02/06/2015</stp>
        <stp>[Bbg_Market_Data_CL.xlsm]data!R464C16</stp>
        <tr r="P464" s="1"/>
      </tp>
      <tp t="s">
        <v>#N/A Requesting Data...</v>
        <stp/>
        <stp>##V3_BDHV12</stp>
        <stp>CL2 Comdty</stp>
        <stp>VOLUME_TOTAL_PUT</stp>
        <stp>15/10/2015</stp>
        <stp>15/10/2015</stp>
        <stp>[Bbg_Market_Data_CL.xlsm]data!R370C16</stp>
        <tr r="P370" s="1"/>
      </tp>
      <tp t="s">
        <v>#N/A Requesting Data...</v>
        <stp/>
        <stp>##V3_BDHV12</stp>
        <stp>CL1 Comdty</stp>
        <stp>VOLUME_TOTAL_PUT</stp>
        <stp>02/06/2015</stp>
        <stp>02/06/2015</stp>
        <stp>[Bbg_Market_Data_CL.xlsm]data!R464C16</stp>
        <tr r="P464" s="1"/>
      </tp>
      <tp t="s">
        <v>#N/A Requesting Data...</v>
        <stp/>
        <stp>##V3_BDHV12</stp>
        <stp>CL1 Comdty</stp>
        <stp>VOLUME_TOTAL_PUT</stp>
        <stp>15/10/2015</stp>
        <stp>15/10/2015</stp>
        <stp>[Bbg_Market_Data_CL.xlsm]data!R370C16</stp>
        <tr r="P370" s="1"/>
      </tp>
      <tp t="s">
        <v>#N/A Requesting Data...</v>
        <stp/>
        <stp>##V3_BDHV12</stp>
        <stp>CL2 Comdty</stp>
        <stp>VOLUME_TOTAL_PUT</stp>
        <stp>05/11/2015</stp>
        <stp>05/11/2015</stp>
        <stp>[Bbg_Market_Data_CL.xlsm]data!R355C16</stp>
        <tr r="P355" s="1"/>
      </tp>
      <tp t="s">
        <v>#N/A Requesting Data...</v>
        <stp/>
        <stp>##V3_BDHV12</stp>
        <stp>CL1 Comdty</stp>
        <stp>VOLUME_TOTAL_PUT</stp>
        <stp>06/01/2016</stp>
        <stp>06/01/2016</stp>
        <stp>[Bbg_Market_Data_CL.xlsm]data!R315C16</stp>
        <tr r="P315" s="1"/>
      </tp>
      <tp t="s">
        <v>#N/A Requesting Data...</v>
        <stp/>
        <stp>##V3_BDHV12</stp>
        <stp>CL2 Comdty</stp>
        <stp>VOLUME_TOTAL_PUT</stp>
        <stp>06/01/2016</stp>
        <stp>06/01/2016</stp>
        <stp>[Bbg_Market_Data_CL.xlsm]data!R315C16</stp>
        <tr r="P315" s="1"/>
      </tp>
      <tp t="s">
        <v>#N/A Requesting Data...</v>
        <stp/>
        <stp>##V3_BDHV12</stp>
        <stp>CL1 Comdty</stp>
        <stp>VOLUME_TOTAL_PUT</stp>
        <stp>22/04/2015</stp>
        <stp>22/04/2015</stp>
        <stp>[Bbg_Market_Data_CL.xlsm]data!R492C16</stp>
        <tr r="P492" s="1"/>
      </tp>
      <tp t="s">
        <v>#N/A Requesting Data...</v>
        <stp/>
        <stp>##V3_BDHV12</stp>
        <stp>CL2 Comdty</stp>
        <stp>VOLUME_TOTAL_PUT</stp>
        <stp>22/04/2015</stp>
        <stp>22/04/2015</stp>
        <stp>[Bbg_Market_Data_CL.xlsm]data!R492C16</stp>
        <tr r="P492" s="1"/>
      </tp>
      <tp t="s">
        <v>#N/A Requesting Data...</v>
        <stp/>
        <stp>##V3_BDHV12</stp>
        <stp>CL1 Comdty</stp>
        <stp>VOLUME_TOTAL_PUT</stp>
        <stp>25/10/2016</stp>
        <stp>25/10/2016</stp>
        <stp>[Bbg_Market_Data_CL.xlsm]data!R115C16</stp>
        <tr r="P115" s="1"/>
      </tp>
      <tp t="s">
        <v>#N/A Requesting Data...</v>
        <stp/>
        <stp>##V3_BDHV12</stp>
        <stp>CL2 Comdty</stp>
        <stp>VOLUME_TOTAL_PUT</stp>
        <stp>24/12/2015</stp>
        <stp>24/12/2015</stp>
        <stp>[Bbg_Market_Data_CL.xlsm]data!R322C16</stp>
        <tr r="P322" s="1"/>
      </tp>
      <tp t="s">
        <v>#N/A Requesting Data...</v>
        <stp/>
        <stp>##V3_BDHV12</stp>
        <stp>CL2 Comdty</stp>
        <stp>VOLUME_TOTAL_PUT</stp>
        <stp>25/10/2016</stp>
        <stp>25/10/2016</stp>
        <stp>[Bbg_Market_Data_CL.xlsm]data!R115C16</stp>
        <tr r="P115" s="1"/>
      </tp>
      <tp t="s">
        <v>#N/A Requesting Data...</v>
        <stp/>
        <stp>##V3_BDHV12</stp>
        <stp>CL1 Comdty</stp>
        <stp>VOLUME_TOTAL_PUT</stp>
        <stp>24/12/2015</stp>
        <stp>24/12/2015</stp>
        <stp>[Bbg_Market_Data_CL.xlsm]data!R322C16</stp>
        <tr r="P322" s="1"/>
      </tp>
      <tp t="s">
        <v>#N/A Requesting Data...</v>
        <stp/>
        <stp>##V3_BDHV12</stp>
        <stp>CL1 Comdty</stp>
        <stp>VOLUME_TOTAL_PUT</stp>
        <stp>27/11/2015</stp>
        <stp>27/11/2015</stp>
        <stp>[Bbg_Market_Data_CL.xlsm]data!R341C16</stp>
        <tr r="P341" s="1"/>
      </tp>
      <tp t="s">
        <v>#N/A Requesting Data...</v>
        <stp/>
        <stp>##V3_BDHV12</stp>
        <stp>CL2 Comdty</stp>
        <stp>VOLUME_TOTAL_PUT</stp>
        <stp>15/03/2016</stp>
        <stp>15/03/2016</stp>
        <stp>[Bbg_Market_Data_CL.xlsm]data!R269C16</stp>
        <tr r="P269" s="1"/>
      </tp>
      <tp t="s">
        <v>#N/A Requesting Data...</v>
        <stp/>
        <stp>##V3_BDHV12</stp>
        <stp>CL2 Comdty</stp>
        <stp>VOLUME_TOTAL_PUT</stp>
        <stp>27/11/2015</stp>
        <stp>27/11/2015</stp>
        <stp>[Bbg_Market_Data_CL.xlsm]data!R341C16</stp>
        <tr r="P341" s="1"/>
      </tp>
      <tp t="s">
        <v>#N/A Requesting Data...</v>
        <stp/>
        <stp>##V3_BDHV12</stp>
        <stp>CL1 Comdty</stp>
        <stp>VOLUME_TOTAL_PUT</stp>
        <stp>15/03/2016</stp>
        <stp>15/03/2016</stp>
        <stp>[Bbg_Market_Data_CL.xlsm]data!R269C16</stp>
        <tr r="P269" s="1"/>
      </tp>
      <tp t="s">
        <v>#N/A Requesting Data...</v>
        <stp/>
        <stp>##V3_BDHV12</stp>
        <stp>CL2 Comdty</stp>
        <stp>VOLUME_TOTAL_PUT</stp>
        <stp>17/12/2015</stp>
        <stp>17/12/2015</stp>
        <stp>[Bbg_Market_Data_CL.xlsm]data!R327C16</stp>
        <tr r="P327" s="1"/>
      </tp>
      <tp t="s">
        <v>#N/A Requesting Data...</v>
        <stp/>
        <stp>##V3_BDHV12</stp>
        <stp>CL2 Comdty</stp>
        <stp>VOLUME_TOTAL_PUT</stp>
        <stp>30/07/2015</stp>
        <stp>30/07/2015</stp>
        <stp>[Bbg_Market_Data_CL.xlsm]data!R423C16</stp>
        <tr r="P423" s="1"/>
      </tp>
      <tp t="s">
        <v>#N/A Requesting Data...</v>
        <stp/>
        <stp>##V3_BDHV12</stp>
        <stp>CL1 Comdty</stp>
        <stp>VOLUME_TOTAL_PUT</stp>
        <stp>30/07/2015</stp>
        <stp>30/07/2015</stp>
        <stp>[Bbg_Market_Data_CL.xlsm]data!R423C16</stp>
        <tr r="P423" s="1"/>
      </tp>
      <tp t="s">
        <v>#N/A Requesting Data...</v>
        <stp/>
        <stp>##V3_BDHV12</stp>
        <stp>CL1 Comdty</stp>
        <stp>VOLUME_TOTAL_PUT</stp>
        <stp>17/12/2015</stp>
        <stp>17/12/2015</stp>
        <stp>[Bbg_Market_Data_CL.xlsm]data!R327C16</stp>
        <tr r="P327" s="1"/>
      </tp>
      <tp t="s">
        <v>#N/A Requesting Data...</v>
        <stp/>
        <stp>##V3_BDHV12</stp>
        <stp>CL1 Comdty</stp>
        <stp>VOLUME_TOTAL_PUT</stp>
        <stp>05/02/2016</stp>
        <stp>05/02/2016</stp>
        <stp>[Bbg_Market_Data_CL.xlsm]data!R294C16</stp>
        <tr r="P294" s="1"/>
      </tp>
      <tp t="s">
        <v>#N/A Requesting Data...</v>
        <stp/>
        <stp>##V3_BDHV12</stp>
        <stp>CL2 Comdty</stp>
        <stp>VOLUME_TOTAL_PUT</stp>
        <stp>05/02/2016</stp>
        <stp>05/02/2016</stp>
        <stp>[Bbg_Market_Data_CL.xlsm]data!R294C16</stp>
        <tr r="P294" s="1"/>
      </tp>
      <tp t="s">
        <v>#N/A Requesting Data...</v>
        <stp/>
        <stp>##V3_BDHV12</stp>
        <stp>CL2 Comdty</stp>
        <stp>VOLUME_TOTAL_PUT</stp>
        <stp>04/03/2016</stp>
        <stp>04/03/2016</stp>
        <stp>[Bbg_Market_Data_CL.xlsm]data!R276C16</stp>
        <tr r="P276" s="1"/>
      </tp>
      <tp t="s">
        <v>#N/A Requesting Data...</v>
        <stp/>
        <stp>##V3_BDHV12</stp>
        <stp>CL2 Comdty</stp>
        <stp>VOLUME_TOTAL_PUT</stp>
        <stp>26/10/2015</stp>
        <stp>26/10/2015</stp>
        <stp>[Bbg_Market_Data_CL.xlsm]data!R363C16</stp>
        <tr r="P363" s="1"/>
      </tp>
      <tp t="s">
        <v>#N/A Requesting Data...</v>
        <stp/>
        <stp>##V3_BDHV12</stp>
        <stp>CL1 Comdty</stp>
        <stp>VOLUME_TOTAL_PUT</stp>
        <stp>04/03/2016</stp>
        <stp>04/03/2016</stp>
        <stp>[Bbg_Market_Data_CL.xlsm]data!R276C16</stp>
        <tr r="P276" s="1"/>
      </tp>
      <tp t="s">
        <v>#N/A Requesting Data...</v>
        <stp/>
        <stp>##V3_BDHV12</stp>
        <stp>CL1 Comdty</stp>
        <stp>VOLUME_TOTAL_PUT</stp>
        <stp>26/10/2015</stp>
        <stp>26/10/2015</stp>
        <stp>[Bbg_Market_Data_CL.xlsm]data!R363C16</stp>
        <tr r="P363" s="1"/>
      </tp>
      <tp t="s">
        <v>#N/A Requesting Data...</v>
        <stp/>
        <stp>##V3_BDHV12</stp>
        <stp>CL2 Comdty</stp>
        <stp>VOLUME_TOTAL_PUT</stp>
        <stp>07/10/2016</stp>
        <stp>07/10/2016</stp>
        <stp>[Bbg_Market_Data_CL.xlsm]data!R126C16</stp>
        <tr r="P126" s="1"/>
      </tp>
      <tp t="s">
        <v>#N/A Requesting Data...</v>
        <stp/>
        <stp>##V3_BDHV12</stp>
        <stp>CL2 Comdty</stp>
        <stp>VOLUME_TOTAL_PUT</stp>
        <stp>21/07/2015</stp>
        <stp>21/07/2015</stp>
        <stp>[Bbg_Market_Data_CL.xlsm]data!R430C16</stp>
        <tr r="P430" s="1"/>
      </tp>
      <tp t="s">
        <v>#N/A Requesting Data...</v>
        <stp/>
        <stp>##V3_BDHV12</stp>
        <stp>CL1 Comdty</stp>
        <stp>VOLUME_TOTAL_PUT</stp>
        <stp>07/10/2016</stp>
        <stp>07/10/2016</stp>
        <stp>[Bbg_Market_Data_CL.xlsm]data!R126C16</stp>
        <tr r="P126" s="1"/>
      </tp>
      <tp t="s">
        <v>#N/A Requesting Data...</v>
        <stp/>
        <stp>##V3_BDHV12</stp>
        <stp>CL1 Comdty</stp>
        <stp>VOLUME_TOTAL_PUT</stp>
        <stp>21/07/2015</stp>
        <stp>21/07/2015</stp>
        <stp>[Bbg_Market_Data_CL.xlsm]data!R430C16</stp>
        <tr r="P430" s="1"/>
      </tp>
      <tp t="s">
        <v>#N/A Requesting Data...</v>
        <stp/>
        <stp>##V3_BDHV12</stp>
        <stp>CL1 Comdty</stp>
        <stp>VOLUME_TOTAL_PUT</stp>
        <stp>01/05/2015</stp>
        <stp>01/05/2015</stp>
        <stp>[Bbg_Market_Data_CL.xlsm]data!R485C16</stp>
        <tr r="P485" s="1"/>
      </tp>
      <tp t="s">
        <v>#N/A Requesting Data...</v>
        <stp/>
        <stp>##V3_BDHV12</stp>
        <stp>CL2 Comdty</stp>
        <stp>VOLUME_TOTAL_PUT</stp>
        <stp>01/05/2015</stp>
        <stp>01/05/2015</stp>
        <stp>[Bbg_Market_Data_CL.xlsm]data!R485C16</stp>
        <tr r="P485" s="1"/>
      </tp>
      <tp t="s">
        <v>#N/A Requesting Data...</v>
        <stp/>
        <stp>##V3_BDHV12</stp>
        <stp>CL2 Comdty</stp>
        <stp>VOLUME_TOTAL_PUT</stp>
        <stp>13/05/2016</stp>
        <stp>13/05/2016</stp>
        <stp>[Bbg_Market_Data_CL.xlsm]data!R227C16</stp>
        <tr r="P227" s="1"/>
      </tp>
      <tp t="s">
        <v>#N/A Requesting Data...</v>
        <stp/>
        <stp>##V3_BDHV12</stp>
        <stp>CL1 Comdty</stp>
        <stp>VOLUME_TOTAL_PUT</stp>
        <stp>13/05/2016</stp>
        <stp>13/05/2016</stp>
        <stp>[Bbg_Market_Data_CL.xlsm]data!R227C16</stp>
        <tr r="P227" s="1"/>
      </tp>
      <tp t="s">
        <v>#N/A Requesting Data...</v>
        <stp/>
        <stp>##V3_BDHV12</stp>
        <stp>CL1 Comdty</stp>
        <stp>VOLUME_TOTAL_PUT</stp>
        <stp>12/04/2016</stp>
        <stp>12/04/2016</stp>
        <stp>[Bbg_Market_Data_CL.xlsm]data!R250C16</stp>
        <tr r="P250" s="1"/>
      </tp>
      <tp t="s">
        <v>#N/A Requesting Data...</v>
        <stp/>
        <stp>##V3_BDHV12</stp>
        <stp>CL2 Comdty</stp>
        <stp>VOLUME_TOTAL_PUT</stp>
        <stp>12/04/2016</stp>
        <stp>12/04/2016</stp>
        <stp>[Bbg_Market_Data_CL.xlsm]data!R250C16</stp>
        <tr r="P250" s="1"/>
      </tp>
      <tp t="s">
        <v>#N/A Requesting Data...</v>
        <stp/>
        <stp>##V3_BDHV12</stp>
        <stp>CL2 Comdty</stp>
        <stp>VOLUME_TOTAL_PUT</stp>
        <stp>02/05/2016</stp>
        <stp>02/05/2016</stp>
        <stp>[Bbg_Market_Data_CL.xlsm]data!R236C16</stp>
        <tr r="P236" s="1"/>
      </tp>
      <tp t="s">
        <v>#N/A Requesting Data...</v>
        <stp/>
        <stp>##V3_BDHV12</stp>
        <stp>CL1 Comdty</stp>
        <stp>VOLUME_TOTAL_PUT</stp>
        <stp>02/05/2016</stp>
        <stp>02/05/2016</stp>
        <stp>[Bbg_Market_Data_CL.xlsm]data!R236C16</stp>
        <tr r="P236" s="1"/>
      </tp>
      <tp t="s">
        <v>#N/A Requesting Data...</v>
        <stp/>
        <stp>##V3_BDHV12</stp>
        <stp>CL1 Comdty</stp>
        <stp>VOLUME_TOTAL_PUT</stp>
        <stp>11/07/2016</stp>
        <stp>11/07/2016</stp>
        <stp>[Bbg_Market_Data_CL.xlsm]data!R188C16</stp>
        <tr r="P188" s="1"/>
      </tp>
      <tp t="s">
        <v>#N/A Requesting Data...</v>
        <stp/>
        <stp>##V3_BDHV12</stp>
        <stp>CL2 Comdty</stp>
        <stp>VOLUME_TOTAL_PUT</stp>
        <stp>11/07/2016</stp>
        <stp>11/07/2016</stp>
        <stp>[Bbg_Market_Data_CL.xlsm]data!R188C16</stp>
        <tr r="P188" s="1"/>
      </tp>
      <tp t="s">
        <v>#N/A Requesting Data...</v>
        <stp/>
        <stp>##V3_BDHV12</stp>
        <stp>CL1 Comdty</stp>
        <stp>VOLUME_TOTAL_PUT</stp>
        <stp>21/04/2016</stp>
        <stp>21/04/2016</stp>
        <stp>[Bbg_Market_Data_CL.xlsm]data!R243C16</stp>
        <tr r="P243" s="1"/>
      </tp>
      <tp t="s">
        <v>#N/A Requesting Data...</v>
        <stp/>
        <stp>##V3_BDHV12</stp>
        <stp>CL2 Comdty</stp>
        <stp>VOLUME_TOTAL_PUT</stp>
        <stp>22/07/2016</stp>
        <stp>22/07/2016</stp>
        <stp>[Bbg_Market_Data_CL.xlsm]data!R179C16</stp>
        <tr r="P179" s="1"/>
      </tp>
      <tp t="s">
        <v>#N/A Requesting Data...</v>
        <stp/>
        <stp>##V3_BDHV12</stp>
        <stp>CL2 Comdty</stp>
        <stp>VOLUME_TOTAL_PUT</stp>
        <stp>21/04/2016</stp>
        <stp>21/04/2016</stp>
        <stp>[Bbg_Market_Data_CL.xlsm]data!R243C16</stp>
        <tr r="P243" s="1"/>
      </tp>
      <tp t="s">
        <v>#N/A Requesting Data...</v>
        <stp/>
        <stp>##V3_BDHV12</stp>
        <stp>CL1 Comdty</stp>
        <stp>VOLUME_TOTAL_PUT</stp>
        <stp>22/07/2016</stp>
        <stp>22/07/2016</stp>
        <stp>[Bbg_Market_Data_CL.xlsm]data!R179C16</stp>
        <tr r="P179" s="1"/>
      </tp>
      <tp t="s">
        <v>#N/A Requesting Data...</v>
        <stp/>
        <stp>##V3_BDHV12</stp>
        <stp>CL1 Comdty</stp>
        <stp>VOLUME_TOTAL_PUT</stp>
        <stp>01/06/2016</stp>
        <stp>01/06/2016</stp>
        <stp>[Bbg_Market_Data_CL.xlsm]data!R215C16</stp>
        <tr r="P215" s="1"/>
      </tp>
      <tp t="s">
        <v>#N/A Requesting Data...</v>
        <stp/>
        <stp>##V3_BDHV12</stp>
        <stp>CL1 Comdty</stp>
        <stp>VOLUME_TOTAL_PUT</stp>
        <stp>31/05/2016</stp>
        <stp>31/05/2016</stp>
        <stp>[Bbg_Market_Data_CL.xlsm]data!R216C16</stp>
        <tr r="P216" s="1"/>
      </tp>
      <tp t="s">
        <v>#N/A Requesting Data...</v>
        <stp/>
        <stp>##V3_BDHV12</stp>
        <stp>CL2 Comdty</stp>
        <stp>VOLUME_TOTAL_PUT</stp>
        <stp>01/06/2016</stp>
        <stp>01/06/2016</stp>
        <stp>[Bbg_Market_Data_CL.xlsm]data!R215C16</stp>
        <tr r="P215" s="1"/>
      </tp>
      <tp t="s">
        <v>#N/A Requesting Data...</v>
        <stp/>
        <stp>##V3_BDHV12</stp>
        <stp>CL2 Comdty</stp>
        <stp>VOLUME_TOTAL_PUT</stp>
        <stp>31/05/2016</stp>
        <stp>31/05/2016</stp>
        <stp>[Bbg_Market_Data_CL.xlsm]data!R216C16</stp>
        <tr r="P216" s="1"/>
      </tp>
      <tp t="s">
        <v>#N/A Requesting Data...</v>
        <stp/>
        <stp>##V3_BDHV12</stp>
        <stp>CL1 Comdty</stp>
        <stp>VOLUME_TOTAL_PUT</stp>
        <stp>10/06/2016</stp>
        <stp>10/06/2016</stp>
        <stp>[Bbg_Market_Data_CL.xlsm]data!R208C16</stp>
        <tr r="P208" s="1"/>
      </tp>
      <tp t="s">
        <v>#N/A Requesting Data...</v>
        <stp/>
        <stp>##V3_BDHV12</stp>
        <stp>CL2 Comdty</stp>
        <stp>VOLUME_TOTAL_PUT</stp>
        <stp>20/05/2016</stp>
        <stp>20/05/2016</stp>
        <stp>[Bbg_Market_Data_CL.xlsm]data!R222C16</stp>
        <tr r="P222" s="1"/>
      </tp>
      <tp t="s">
        <v>#N/A Requesting Data...</v>
        <stp/>
        <stp>##V3_BDHV12</stp>
        <stp>CL1 Comdty</stp>
        <stp>VOLUME_TOTAL_PUT</stp>
        <stp>20/05/2016</stp>
        <stp>20/05/2016</stp>
        <stp>[Bbg_Market_Data_CL.xlsm]data!R222C16</stp>
        <tr r="P222" s="1"/>
      </tp>
      <tp t="s">
        <v>#N/A Requesting Data...</v>
        <stp/>
        <stp>##V3_BDHV12</stp>
        <stp>CL2 Comdty</stp>
        <stp>VOLUME_TOTAL_PUT</stp>
        <stp>10/06/2016</stp>
        <stp>10/06/2016</stp>
        <stp>[Bbg_Market_Data_CL.xlsm]data!R208C16</stp>
        <tr r="P208" s="1"/>
      </tp>
      <tp t="s">
        <v>#N/A Requesting Data...</v>
        <stp/>
        <stp>##V3_BDHV12</stp>
        <stp>CL1 Comdty</stp>
        <stp>VOLUME_TOTAL_PUT</stp>
        <stp>23/06/2016</stp>
        <stp>23/06/2016</stp>
        <stp>[Bbg_Market_Data_CL.xlsm]data!R199C16</stp>
        <tr r="P199" s="1"/>
      </tp>
      <tp t="s">
        <v>#N/A Requesting Data...</v>
        <stp/>
        <stp>##V3_BDHV12</stp>
        <stp>CL2 Comdty</stp>
        <stp>VOLUME_TOTAL_PUT</stp>
        <stp>23/06/2016</stp>
        <stp>23/06/2016</stp>
        <stp>[Bbg_Market_Data_CL.xlsm]data!R199C16</stp>
        <tr r="P199" s="1"/>
      </tp>
      <tp>
        <v>5.5600000000000005</v>
        <stp/>
        <stp>##V3_BDHV12</stp>
        <stp>SPGSCLP Index</stp>
        <stp>CHG_PCT_5D</stp>
        <stp>30/03/2017</stp>
        <stp>30/03/2017</stp>
        <stp>[Bbg_Market_Data_CL.xlsm]data!R9C4</stp>
        <tr r="D9" s="1"/>
      </tp>
      <tp>
        <v>5.48</v>
        <stp/>
        <stp>##V3_BDHV12</stp>
        <stp>SPGSCLP Index</stp>
        <stp>CHG_PCT_5D</stp>
        <stp>31/03/2017</stp>
        <stp>31/03/2017</stp>
        <stp>[Bbg_Market_Data_CL.xlsm]data!R8C4</stp>
        <tr r="D8" s="1"/>
      </tp>
      <tp t="s">
        <v>#N/A Requesting Data...</v>
        <stp/>
        <stp>##V3_BDHV12</stp>
        <stp>CL2 Comdty</stp>
        <stp>VOLUME_TOTAL_PUT</stp>
        <stp>29/10/2015</stp>
        <stp>29/10/2015</stp>
        <stp>[Bbg_Market_Data_CL.xlsm]data!R360C16</stp>
        <tr r="P360" s="1"/>
      </tp>
      <tp t="s">
        <v>#N/A Requesting Data...</v>
        <stp/>
        <stp>##V3_BDHV12</stp>
        <stp>CL1 Comdty</stp>
        <stp>VOLUME_TOTAL_PUT</stp>
        <stp>29/10/2015</stp>
        <stp>29/10/2015</stp>
        <stp>[Bbg_Market_Data_CL.xlsm]data!R360C16</stp>
        <tr r="P360" s="1"/>
      </tp>
      <tp t="s">
        <v>#N/A Requesting Data...</v>
        <stp/>
        <stp>##V3_BDHV12</stp>
        <stp>CL2 Comdty</stp>
        <stp>VOLUME_TOTAL_PUT</stp>
        <stp>09/12/2015</stp>
        <stp>09/12/2015</stp>
        <stp>[Bbg_Market_Data_CL.xlsm]data!R333C16</stp>
        <tr r="P333" s="1"/>
      </tp>
      <tp t="s">
        <v>#N/A Requesting Data...</v>
        <stp/>
        <stp>##V3_BDHV12</stp>
        <stp>CL1 Comdty</stp>
        <stp>VOLUME_TOTAL_PUT</stp>
        <stp>09/12/2015</stp>
        <stp>09/12/2015</stp>
        <stp>[Bbg_Market_Data_CL.xlsm]data!R333C16</stp>
        <tr r="P333" s="1"/>
      </tp>
      <tp t="s">
        <v>#N/A Requesting Data...</v>
        <stp/>
        <stp>##V3_BDHV12</stp>
        <stp>CL2 Comdty</stp>
        <stp>VOLUME_TOTAL_PUT</stp>
        <stp>18/12/2015</stp>
        <stp>18/12/2015</stp>
        <stp>[Bbg_Market_Data_CL.xlsm]data!R326C16</stp>
        <tr r="P326" s="1"/>
      </tp>
      <tp t="s">
        <v>#N/A Requesting Data...</v>
        <stp/>
        <stp>##V3_BDHV12</stp>
        <stp>CL1 Comdty</stp>
        <stp>VOLUME_TOTAL_PUT</stp>
        <stp>19/10/2016</stp>
        <stp>19/10/2016</stp>
        <stp>[Bbg_Market_Data_CL.xlsm]data!R119C16</stp>
        <tr r="P119" s="1"/>
      </tp>
      <tp t="s">
        <v>#N/A Requesting Data...</v>
        <stp/>
        <stp>##V3_BDHV12</stp>
        <stp>CL1 Comdty</stp>
        <stp>VOLUME_TOTAL_PUT</stp>
        <stp>09/11/2016</stp>
        <stp>09/11/2016</stp>
        <stp>[Bbg_Market_Data_CL.xlsm]data!R104C16</stp>
        <tr r="P104" s="1"/>
      </tp>
      <tp t="s">
        <v>#N/A Requesting Data...</v>
        <stp/>
        <stp>##V3_BDHV12</stp>
        <stp>CL2 Comdty</stp>
        <stp>VOLUME_TOTAL_PUT</stp>
        <stp>09/11/2016</stp>
        <stp>09/11/2016</stp>
        <stp>[Bbg_Market_Data_CL.xlsm]data!R104C16</stp>
        <tr r="P104" s="1"/>
      </tp>
      <tp t="s">
        <v>#N/A Requesting Data...</v>
        <stp/>
        <stp>##V3_BDHV12</stp>
        <stp>CL1 Comdty</stp>
        <stp>VOLUME_TOTAL_PUT</stp>
        <stp>18/12/2015</stp>
        <stp>18/12/2015</stp>
        <stp>[Bbg_Market_Data_CL.xlsm]data!R326C16</stp>
        <tr r="P326" s="1"/>
      </tp>
      <tp t="s">
        <v>#N/A Requesting Data...</v>
        <stp/>
        <stp>##V3_BDHV12</stp>
        <stp>CL2 Comdty</stp>
        <stp>VOLUME_TOTAL_PUT</stp>
        <stp>19/10/2016</stp>
        <stp>19/10/2016</stp>
        <stp>[Bbg_Market_Data_CL.xlsm]data!R119C16</stp>
        <tr r="P119" s="1"/>
      </tp>
      <tp t="s">
        <v>#N/A Requesting Data...</v>
        <stp/>
        <stp>##V3_BDHV12</stp>
        <stp>CL2 Comdty</stp>
        <stp>VOLUME_TOTAL_PUT</stp>
        <stp>29/03/2016</stp>
        <stp>29/03/2016</stp>
        <stp>[Bbg_Market_Data_CL.xlsm]data!R260C16</stp>
        <tr r="P260" s="1"/>
      </tp>
      <tp t="s">
        <v>#N/A Requesting Data...</v>
        <stp/>
        <stp>##V3_BDHV12</stp>
        <stp>CL1 Comdty</stp>
        <stp>VOLUME_TOTAL_PUT</stp>
        <stp>29/03/2016</stp>
        <stp>29/03/2016</stp>
        <stp>[Bbg_Market_Data_CL.xlsm]data!R260C16</stp>
        <tr r="P260" s="1"/>
      </tp>
      <tp t="s">
        <v>#N/A Requesting Data...</v>
        <stp/>
        <stp>##V3_BDHV12</stp>
        <stp>CL1 Comdty</stp>
        <stp>VOLUME_TOTAL_PUT</stp>
        <stp>12/08/2015</stp>
        <stp>12/08/2015</stp>
        <stp>[Bbg_Market_Data_CL.xlsm]data!R414C16</stp>
        <tr r="P414" s="1"/>
      </tp>
      <tp t="s">
        <v>#N/A Requesting Data...</v>
        <stp/>
        <stp>##V3_BDHV12</stp>
        <stp>CL2 Comdty</stp>
        <stp>VOLUME_TOTAL_PUT</stp>
        <stp>12/08/2015</stp>
        <stp>12/08/2015</stp>
        <stp>[Bbg_Market_Data_CL.xlsm]data!R414C16</stp>
        <tr r="P414" s="1"/>
      </tp>
      <tp t="s">
        <v>#N/A Requesting Data...</v>
        <stp/>
        <stp>##V3_BDHV12</stp>
        <stp>CL2 Comdty</stp>
        <stp>VOLUME_TOTAL_PUT</stp>
        <stp>03/08/2015</stp>
        <stp>03/08/2015</stp>
        <stp>[Bbg_Market_Data_CL.xlsm]data!R421C16</stp>
        <tr r="P421" s="1"/>
      </tp>
      <tp t="s">
        <v>#N/A Requesting Data...</v>
        <stp/>
        <stp>##V3_BDHV12</stp>
        <stp>CL1 Comdty</stp>
        <stp>VOLUME_TOTAL_PUT</stp>
        <stp>03/08/2015</stp>
        <stp>03/08/2015</stp>
        <stp>[Bbg_Market_Data_CL.xlsm]data!R421C16</stp>
        <tr r="P421" s="1"/>
      </tp>
      <tp t="s">
        <v>#N/A Requesting Data...</v>
        <stp/>
        <stp>##V3_BDHV12</stp>
        <stp>CL1 Comdty</stp>
        <stp>VOLUME_TOTAL_PUT</stp>
        <stp>21/08/2015</stp>
        <stp>21/08/2015</stp>
        <stp>[Bbg_Market_Data_CL.xlsm]data!R407C16</stp>
        <tr r="P407" s="1"/>
      </tp>
      <tp t="s">
        <v>#N/A Requesting Data...</v>
        <stp/>
        <stp>##V3_BDHV12</stp>
        <stp>CL2 Comdty</stp>
        <stp>VOLUME_TOTAL_PUT</stp>
        <stp>21/08/2015</stp>
        <stp>21/08/2015</stp>
        <stp>[Bbg_Market_Data_CL.xlsm]data!R407C16</stp>
        <tr r="P407" s="1"/>
      </tp>
      <tp t="s">
        <v>#N/A Requesting Data...</v>
        <stp/>
        <stp>##V3_BDHV12</stp>
        <stp>CL2 Comdty</stp>
        <stp>VOLUME_TOTAL_PUT</stp>
        <stp>11/08/2016</stp>
        <stp>11/08/2016</stp>
        <stp>[Bbg_Market_Data_CL.xlsm]data!R166C16</stp>
        <tr r="P166" s="1"/>
      </tp>
      <tp t="s">
        <v>#N/A Requesting Data...</v>
        <stp/>
        <stp>##V3_BDHV12</stp>
        <stp>CL1 Comdty</stp>
        <stp>VOLUME_TOTAL_PUT</stp>
        <stp>01/09/2016</stp>
        <stp>01/09/2016</stp>
        <stp>[Bbg_Market_Data_CL.xlsm]data!R151C16</stp>
        <tr r="P151" s="1"/>
      </tp>
      <tp t="s">
        <v>#N/A Requesting Data...</v>
        <stp/>
        <stp>##V3_BDHV12</stp>
        <stp>CL1 Comdty</stp>
        <stp>VOLUME_TOTAL_PUT</stp>
        <stp>11/08/2016</stp>
        <stp>11/08/2016</stp>
        <stp>[Bbg_Market_Data_CL.xlsm]data!R166C16</stp>
        <tr r="P166" s="1"/>
      </tp>
      <tp t="s">
        <v>#N/A Requesting Data...</v>
        <stp/>
        <stp>##V3_BDHV12</stp>
        <stp>CL2 Comdty</stp>
        <stp>VOLUME_TOTAL_PUT</stp>
        <stp>01/09/2016</stp>
        <stp>01/09/2016</stp>
        <stp>[Bbg_Market_Data_CL.xlsm]data!R151C16</stp>
        <tr r="P151" s="1"/>
      </tp>
      <tp t="s">
        <v>#N/A Requesting Data...</v>
        <stp/>
        <stp>##V3_BDHV12</stp>
        <stp>CL1 Comdty</stp>
        <stp>VOLUME_TOTAL_PUT</stp>
        <stp>22/08/2016</stp>
        <stp>22/08/2016</stp>
        <stp>[Bbg_Market_Data_CL.xlsm]data!R159C16</stp>
        <tr r="P159" s="1"/>
      </tp>
      <tp t="s">
        <v>#N/A Requesting Data...</v>
        <stp/>
        <stp>##V3_BDHV12</stp>
        <stp>CL2 Comdty</stp>
        <stp>VOLUME_TOTAL_PUT</stp>
        <stp>22/08/2016</stp>
        <stp>22/08/2016</stp>
        <stp>[Bbg_Market_Data_CL.xlsm]data!R159C16</stp>
        <tr r="P159" s="1"/>
      </tp>
      <tp t="s">
        <v>#N/A Requesting Data...</v>
        <stp/>
        <stp>##V3_BDHV12</stp>
        <stp>CL2 Comdty</stp>
        <stp>VOLUME_TOTAL_PUT</stp>
        <stp>23/09/2016</stp>
        <stp>23/09/2016</stp>
        <stp>[Bbg_Market_Data_CL.xlsm]data!R136C16</stp>
        <tr r="P136" s="1"/>
      </tp>
      <tp t="s">
        <v>#N/A Requesting Data...</v>
        <stp/>
        <stp>##V3_BDHV12</stp>
        <stp>CL1 Comdty</stp>
        <stp>VOLUME_TOTAL_PUT</stp>
        <stp>23/09/2016</stp>
        <stp>23/09/2016</stp>
        <stp>[Bbg_Market_Data_CL.xlsm]data!R136C16</stp>
        <tr r="P136" s="1"/>
      </tp>
      <tp t="s">
        <v>#N/A Requesting Data...</v>
        <stp/>
        <stp>##V3_BDHV12</stp>
        <stp>CL1 Comdty</stp>
        <stp>VOLUME_TOTAL_PUT</stp>
        <stp>02/09/2015</stp>
        <stp>02/09/2015</stp>
        <stp>[Bbg_Market_Data_CL.xlsm]data!R399C16</stp>
        <tr r="P399" s="1"/>
      </tp>
      <tp t="s">
        <v>#N/A Requesting Data...</v>
        <stp/>
        <stp>##V3_BDHV12</stp>
        <stp>CL2 Comdty</stp>
        <stp>VOLUME_TOTAL_PUT</stp>
        <stp>02/09/2015</stp>
        <stp>02/09/2015</stp>
        <stp>[Bbg_Market_Data_CL.xlsm]data!R399C16</stp>
        <tr r="P399" s="1"/>
      </tp>
      <tp>
        <v>1.6099999999999999</v>
        <stp/>
        <stp>##V3_BDHV12</stp>
        <stp>SPGSCLP Index</stp>
        <stp>CHG_PCT_1D</stp>
        <stp>10/04/2017</stp>
        <stp>10/04/2017</stp>
        <stp>[Bbg_Market_Data_CL.xlsm]data!R2C3</stp>
        <tr r="C2" s="1"/>
      </tp>
      <tp>
        <v>1.08</v>
        <stp/>
        <stp>##V3_BDHV12</stp>
        <stp>SPGSCLP Index</stp>
        <stp>CHG_PCT_1D</stp>
        <stp>06/04/2017</stp>
        <stp>06/04/2017</stp>
        <stp>[Bbg_Market_Data_CL.xlsm]data!R4C3</stp>
        <tr r="C4" s="1"/>
      </tp>
      <tp>
        <v>1.5699999999999998</v>
        <stp/>
        <stp>##V3_BDHV12</stp>
        <stp>SPGSCLP Index</stp>
        <stp>CHG_PCT_1D</stp>
        <stp>04/04/2017</stp>
        <stp>04/04/2017</stp>
        <stp>[Bbg_Market_Data_CL.xlsm]data!R6C3</stp>
        <tr r="C6" s="1"/>
      </tp>
      <tp t="s">
        <v>#N/A Requesting Data...</v>
        <stp/>
        <stp>##V3_BDHV12</stp>
        <stp>CL2 Comdty</stp>
        <stp>VOLUME_TOTAL_PUT</stp>
        <stp>18/10/2016</stp>
        <stp>18/10/2016</stp>
        <stp>[Bbg_Market_Data_CL.xlsm]data!R120C16</stp>
        <tr r="P120" s="1"/>
      </tp>
      <tp t="s">
        <v>#N/A Requesting Data...</v>
        <stp/>
        <stp>##V3_BDHV12</stp>
        <stp>CL1 Comdty</stp>
        <stp>VOLUME_TOTAL_PUT</stp>
        <stp>08/11/2016</stp>
        <stp>08/11/2016</stp>
        <stp>[Bbg_Market_Data_CL.xlsm]data!R105C16</stp>
        <tr r="P105" s="1"/>
      </tp>
      <tp t="s">
        <v>#N/A Requesting Data...</v>
        <stp/>
        <stp>##V3_BDHV12</stp>
        <stp>CL2 Comdty</stp>
        <stp>VOLUME_TOTAL_PUT</stp>
        <stp>08/11/2016</stp>
        <stp>08/11/2016</stp>
        <stp>[Bbg_Market_Data_CL.xlsm]data!R105C16</stp>
        <tr r="P105" s="1"/>
      </tp>
      <tp t="s">
        <v>#N/A Requesting Data...</v>
        <stp/>
        <stp>##V3_BDHV12</stp>
        <stp>CL1 Comdty</stp>
        <stp>VOLUME_TOTAL_PUT</stp>
        <stp>18/10/2016</stp>
        <stp>18/10/2016</stp>
        <stp>[Bbg_Market_Data_CL.xlsm]data!R120C16</stp>
        <tr r="P120" s="1"/>
      </tp>
      <tp t="s">
        <v>#N/A Requesting Data...</v>
        <stp/>
        <stp>##V3_BDHV12</stp>
        <stp>CL2 Comdty</stp>
        <stp>VOLUME_TOTAL_PUT</stp>
        <stp>28/10/2015</stp>
        <stp>28/10/2015</stp>
        <stp>[Bbg_Market_Data_CL.xlsm]data!R361C16</stp>
        <tr r="P361" s="1"/>
      </tp>
      <tp t="s">
        <v>#N/A Requesting Data...</v>
        <stp/>
        <stp>##V3_BDHV12</stp>
        <stp>CL1 Comdty</stp>
        <stp>VOLUME_TOTAL_PUT</stp>
        <stp>28/10/2015</stp>
        <stp>28/10/2015</stp>
        <stp>[Bbg_Market_Data_CL.xlsm]data!R361C16</stp>
        <tr r="P361" s="1"/>
      </tp>
      <tp t="s">
        <v>#N/A Requesting Data...</v>
        <stp/>
        <stp>##V3_BDHV12</stp>
        <stp>CL2 Comdty</stp>
        <stp>VOLUME_TOTAL_PUT</stp>
        <stp>08/12/2015</stp>
        <stp>08/12/2015</stp>
        <stp>[Bbg_Market_Data_CL.xlsm]data!R334C16</stp>
        <tr r="P334" s="1"/>
      </tp>
      <tp t="s">
        <v>#N/A Requesting Data...</v>
        <stp/>
        <stp>##V3_BDHV12</stp>
        <stp>CL1 Comdty</stp>
        <stp>VOLUME_TOTAL_PUT</stp>
        <stp>08/12/2015</stp>
        <stp>08/12/2015</stp>
        <stp>[Bbg_Market_Data_CL.xlsm]data!R334C16</stp>
        <tr r="P334" s="1"/>
      </tp>
      <tp t="s">
        <v>#N/A Requesting Data...</v>
        <stp/>
        <stp>##V3_BDHV12</stp>
        <stp>CL1 Comdty</stp>
        <stp>VOLUME_TOTAL_PUT</stp>
        <stp>08/01/2016</stp>
        <stp>08/01/2016</stp>
        <stp>[Bbg_Market_Data_CL.xlsm]data!R313C16</stp>
        <tr r="P313" s="1"/>
      </tp>
      <tp t="s">
        <v>#N/A Requesting Data...</v>
        <stp/>
        <stp>##V3_BDHV12</stp>
        <stp>CL2 Comdty</stp>
        <stp>VOLUME_TOTAL_PUT</stp>
        <stp>08/01/2016</stp>
        <stp>08/01/2016</stp>
        <stp>[Bbg_Market_Data_CL.xlsm]data!R313C16</stp>
        <tr r="P313" s="1"/>
      </tp>
      <tp t="s">
        <v>#N/A Requesting Data...</v>
        <stp/>
        <stp>##V3_BDHV12</stp>
        <stp>CL1 Comdty</stp>
        <stp>VOLUME_TOTAL_PUT</stp>
        <stp>29/02/2016</stp>
        <stp>29/02/2016</stp>
        <stp>[Bbg_Market_Data_CL.xlsm]data!R280C16</stp>
        <tr r="P280" s="1"/>
      </tp>
      <tp t="s">
        <v>#N/A Requesting Data...</v>
        <stp/>
        <stp>##V3_BDHV12</stp>
        <stp>CL2 Comdty</stp>
        <stp>VOLUME_TOTAL_PUT</stp>
        <stp>29/02/2016</stp>
        <stp>29/02/2016</stp>
        <stp>[Bbg_Market_Data_CL.xlsm]data!R280C16</stp>
        <tr r="P280" s="1"/>
      </tp>
      <tp t="s">
        <v>#N/A Requesting Data...</v>
        <stp/>
        <stp>##V3_BDHV12</stp>
        <stp>CL2 Comdty</stp>
        <stp>VOLUME_TOTAL_PUT</stp>
        <stp>28/03/2016</stp>
        <stp>28/03/2016</stp>
        <stp>[Bbg_Market_Data_CL.xlsm]data!R261C16</stp>
        <tr r="P261" s="1"/>
      </tp>
      <tp t="s">
        <v>#N/A Requesting Data...</v>
        <stp/>
        <stp>##V3_BDHV12</stp>
        <stp>CL1 Comdty</stp>
        <stp>VOLUME_TOTAL_PUT</stp>
        <stp>28/03/2016</stp>
        <stp>28/03/2016</stp>
        <stp>[Bbg_Market_Data_CL.xlsm]data!R261C16</stp>
        <tr r="P261" s="1"/>
      </tp>
      <tp t="s">
        <v>#N/A Requesting Data...</v>
        <stp/>
        <stp>##V3_BDHV12</stp>
        <stp>CL1 Comdty</stp>
        <stp>VOLUME_TOTAL_PUT</stp>
        <stp>19/01/2016</stp>
        <stp>19/01/2016</stp>
        <stp>[Bbg_Market_Data_CL.xlsm]data!R307C16</stp>
        <tr r="P307" s="1"/>
      </tp>
      <tp t="s">
        <v>#N/A Requesting Data...</v>
        <stp/>
        <stp>##V3_BDHV12</stp>
        <stp>CL2 Comdty</stp>
        <stp>VOLUME_TOTAL_PUT</stp>
        <stp>19/01/2016</stp>
        <stp>19/01/2016</stp>
        <stp>[Bbg_Market_Data_CL.xlsm]data!R307C16</stp>
        <tr r="P307" s="1"/>
      </tp>
      <tp t="s">
        <v>#N/A Requesting Data...</v>
        <stp/>
        <stp>##V3_BDHV12</stp>
        <stp>CL1 Comdty</stp>
        <stp>VOLUME_TOTAL_PUT</stp>
        <stp>13/08/2015</stp>
        <stp>13/08/2015</stp>
        <stp>[Bbg_Market_Data_CL.xlsm]data!R413C16</stp>
        <tr r="P413" s="1"/>
      </tp>
      <tp t="s">
        <v>#N/A Requesting Data...</v>
        <stp/>
        <stp>##V3_BDHV12</stp>
        <stp>CL2 Comdty</stp>
        <stp>VOLUME_TOTAL_PUT</stp>
        <stp>13/08/2015</stp>
        <stp>13/08/2015</stp>
        <stp>[Bbg_Market_Data_CL.xlsm]data!R413C16</stp>
        <tr r="P413" s="1"/>
      </tp>
      <tp t="s">
        <v>#N/A Requesting Data...</v>
        <stp/>
        <stp>##V3_BDHV12</stp>
        <stp>CL1 Comdty</stp>
        <stp>VOLUME_TOTAL_PUT</stp>
        <stp>20/08/2015</stp>
        <stp>20/08/2015</stp>
        <stp>[Bbg_Market_Data_CL.xlsm]data!R408C16</stp>
        <tr r="P408" s="1"/>
      </tp>
      <tp t="s">
        <v>#N/A Requesting Data...</v>
        <stp/>
        <stp>##V3_BDHV12</stp>
        <stp>CL2 Comdty</stp>
        <stp>VOLUME_TOTAL_PUT</stp>
        <stp>20/08/2015</stp>
        <stp>20/08/2015</stp>
        <stp>[Bbg_Market_Data_CL.xlsm]data!R408C16</stp>
        <tr r="P408" s="1"/>
      </tp>
      <tp t="s">
        <v>#N/A Requesting Data...</v>
        <stp/>
        <stp>##V3_BDHV12</stp>
        <stp>CL1 Comdty</stp>
        <stp>VOLUME_TOTAL_PUT</stp>
        <stp>31/08/2015</stp>
        <stp>31/08/2015</stp>
        <stp>[Bbg_Market_Data_CL.xlsm]data!R401C16</stp>
        <tr r="P401" s="1"/>
      </tp>
      <tp t="s">
        <v>#N/A Requesting Data...</v>
        <stp/>
        <stp>##V3_BDHV12</stp>
        <stp>CL2 Comdty</stp>
        <stp>VOLUME_TOTAL_PUT</stp>
        <stp>31/08/2015</stp>
        <stp>31/08/2015</stp>
        <stp>[Bbg_Market_Data_CL.xlsm]data!R401C16</stp>
        <tr r="P401" s="1"/>
      </tp>
      <tp t="s">
        <v>#N/A Requesting Data...</v>
        <stp/>
        <stp>##V3_BDHV12</stp>
        <stp>CL2 Comdty</stp>
        <stp>VOLUME_TOTAL_PUT</stp>
        <stp>10/08/2016</stp>
        <stp>10/08/2016</stp>
        <stp>[Bbg_Market_Data_CL.xlsm]data!R167C16</stp>
        <tr r="P167" s="1"/>
      </tp>
      <tp t="s">
        <v>#N/A Requesting Data...</v>
        <stp/>
        <stp>##V3_BDHV12</stp>
        <stp>CL1 Comdty</stp>
        <stp>VOLUME_TOTAL_PUT</stp>
        <stp>10/08/2016</stp>
        <stp>10/08/2016</stp>
        <stp>[Bbg_Market_Data_CL.xlsm]data!R167C16</stp>
        <tr r="P167" s="1"/>
      </tp>
      <tp t="s">
        <v>#N/A Requesting Data...</v>
        <stp/>
        <stp>##V3_BDHV12</stp>
        <stp>CL1 Comdty</stp>
        <stp>VOLUME_TOTAL_PUT</stp>
        <stp>21/09/2015</stp>
        <stp>21/09/2015</stp>
        <stp>[Bbg_Market_Data_CL.xlsm]data!R387C16</stp>
        <tr r="P387" s="1"/>
      </tp>
      <tp t="s">
        <v>#N/A Requesting Data...</v>
        <stp/>
        <stp>##V3_BDHV12</stp>
        <stp>CL2 Comdty</stp>
        <stp>VOLUME_TOTAL_PUT</stp>
        <stp>21/09/2015</stp>
        <stp>21/09/2015</stp>
        <stp>[Bbg_Market_Data_CL.xlsm]data!R387C16</stp>
        <tr r="P387" s="1"/>
      </tp>
      <tp t="s">
        <v>#N/A Requesting Data...</v>
        <stp/>
        <stp>##V3_BDHV12</stp>
        <stp>CL2 Comdty</stp>
        <stp>VOLUME_TOTAL_PUT</stp>
        <stp>01/08/2016</stp>
        <stp>01/08/2016</stp>
        <stp>[Bbg_Market_Data_CL.xlsm]data!R173C16</stp>
        <tr r="P173" s="1"/>
      </tp>
      <tp t="s">
        <v>#N/A Requesting Data...</v>
        <stp/>
        <stp>##V3_BDHV12</stp>
        <stp>CL1 Comdty</stp>
        <stp>VOLUME_TOTAL_PUT</stp>
        <stp>01/08/2016</stp>
        <stp>01/08/2016</stp>
        <stp>[Bbg_Market_Data_CL.xlsm]data!R173C16</stp>
        <tr r="P173" s="1"/>
      </tp>
      <tp t="s">
        <v>#N/A Requesting Data...</v>
        <stp/>
        <stp>##V3_BDHV12</stp>
        <stp>CL1 Comdty</stp>
        <stp>VOLUME_TOTAL_PUT</stp>
        <stp>30/09/2015</stp>
        <stp>30/09/2015</stp>
        <stp>[Bbg_Market_Data_CL.xlsm]data!R380C16</stp>
        <tr r="P380" s="1"/>
      </tp>
      <tp t="s">
        <v>#N/A Requesting Data...</v>
        <stp/>
        <stp>##V3_BDHV12</stp>
        <stp>CL2 Comdty</stp>
        <stp>VOLUME_TOTAL_PUT</stp>
        <stp>30/09/2015</stp>
        <stp>30/09/2015</stp>
        <stp>[Bbg_Market_Data_CL.xlsm]data!R380C16</stp>
        <tr r="P380" s="1"/>
      </tp>
      <tp t="s">
        <v>#N/A Requesting Data...</v>
        <stp/>
        <stp>##V3_BDHV12</stp>
        <stp>CL2 Comdty</stp>
        <stp>VOLUME_TOTAL_PUT</stp>
        <stp>22/09/2016</stp>
        <stp>22/09/2016</stp>
        <stp>[Bbg_Market_Data_CL.xlsm]data!R137C16</stp>
        <tr r="P137" s="1"/>
      </tp>
      <tp t="s">
        <v>#N/A Requesting Data...</v>
        <stp/>
        <stp>##V3_BDHV12</stp>
        <stp>CL1 Comdty</stp>
        <stp>VOLUME_TOTAL_PUT</stp>
        <stp>22/09/2016</stp>
        <stp>22/09/2016</stp>
        <stp>[Bbg_Market_Data_CL.xlsm]data!R137C16</stp>
        <tr r="P137" s="1"/>
      </tp>
      <tp t="s">
        <v>#N/A Requesting Data...</v>
        <stp/>
        <stp>##V3_BDHV12</stp>
        <stp>CL1 Comdty</stp>
        <stp>VOLUME_TOTAL_PUT</stp>
        <stp>03/09/2015</stp>
        <stp>03/09/2015</stp>
        <stp>[Bbg_Market_Data_CL.xlsm]data!R398C16</stp>
        <tr r="P398" s="1"/>
      </tp>
      <tp t="s">
        <v>#N/A Requesting Data...</v>
        <stp/>
        <stp>##V3_BDHV12</stp>
        <stp>CL2 Comdty</stp>
        <stp>VOLUME_TOTAL_PUT</stp>
        <stp>03/09/2015</stp>
        <stp>03/09/2015</stp>
        <stp>[Bbg_Market_Data_CL.xlsm]data!R398C16</stp>
        <tr r="P398" s="1"/>
      </tp>
      <tp t="s">
        <v>#N/A Requesting Data...</v>
        <stp/>
        <stp>##V3_BDHV12</stp>
        <stp>CL1 Comdty</stp>
        <stp>VOLUME_TOTAL_PUT</stp>
        <stp>23/08/2016</stp>
        <stp>23/08/2016</stp>
        <stp>[Bbg_Market_Data_CL.xlsm]data!R158C16</stp>
        <tr r="P158" s="1"/>
      </tp>
      <tp t="s">
        <v>#N/A Requesting Data...</v>
        <stp/>
        <stp>##V3_BDHV12</stp>
        <stp>CL2 Comdty</stp>
        <stp>VOLUME_TOTAL_PUT</stp>
        <stp>23/08/2016</stp>
        <stp>23/08/2016</stp>
        <stp>[Bbg_Market_Data_CL.xlsm]data!R158C16</stp>
        <tr r="P158" s="1"/>
      </tp>
      <tp t="s">
        <v>#N/A Requesting Data...</v>
        <stp/>
        <stp>##V3_BDHV12</stp>
        <stp>CL1 Comdty</stp>
        <stp>VOLUME_TOTAL_PUT</stp>
        <stp>19/11/2015</stp>
        <stp>19/11/2015</stp>
        <stp>[Bbg_Market_Data_CL.xlsm]data!R346C16</stp>
        <tr r="P346" s="1"/>
      </tp>
      <tp t="s">
        <v>#N/A Requesting Data...</v>
        <stp/>
        <stp>##V3_BDHV12</stp>
        <stp>CL2 Comdty</stp>
        <stp>VOLUME_TOTAL_PUT</stp>
        <stp>09/10/2015</stp>
        <stp>09/10/2015</stp>
        <stp>[Bbg_Market_Data_CL.xlsm]data!R373C16</stp>
        <tr r="P373" s="1"/>
      </tp>
      <tp t="s">
        <v>#N/A Requesting Data...</v>
        <stp/>
        <stp>##V3_BDHV12</stp>
        <stp>CL2 Comdty</stp>
        <stp>VOLUME_TOTAL_PUT</stp>
        <stp>19/11/2015</stp>
        <stp>19/11/2015</stp>
        <stp>[Bbg_Market_Data_CL.xlsm]data!R346C16</stp>
        <tr r="P346" s="1"/>
      </tp>
      <tp t="s">
        <v>#N/A Requesting Data...</v>
        <stp/>
        <stp>##V3_BDHV12</stp>
        <stp>CL1 Comdty</stp>
        <stp>VOLUME_TOTAL_PUT</stp>
        <stp>09/10/2015</stp>
        <stp>09/10/2015</stp>
        <stp>[Bbg_Market_Data_CL.xlsm]data!R373C16</stp>
        <tr r="P373" s="1"/>
      </tp>
      <tp t="s">
        <v>#N/A Requesting Data...</v>
        <stp/>
        <stp>##V3_BDHV12</stp>
        <stp>CL1 Comdty</stp>
        <stp>VOLUME_TOTAL_PUT</stp>
        <stp>28/10/2016</stp>
        <stp>28/10/2016</stp>
        <stp>[Bbg_Market_Data_CL.xlsm]data!R112C16</stp>
        <tr r="P112" s="1"/>
      </tp>
      <tp t="s">
        <v>#N/A Requesting Data...</v>
        <stp/>
        <stp>##V3_BDHV12</stp>
        <stp>CL2 Comdty</stp>
        <stp>VOLUME_TOTAL_PUT</stp>
        <stp>29/12/2015</stp>
        <stp>29/12/2015</stp>
        <stp>[Bbg_Market_Data_CL.xlsm]data!R320C16</stp>
        <tr r="P320" s="1"/>
      </tp>
      <tp t="s">
        <v>#N/A Requesting Data...</v>
        <stp/>
        <stp>##V3_BDHV12</stp>
        <stp>CL1 Comdty</stp>
        <stp>VOLUME_TOTAL_PUT</stp>
        <stp>29/12/2015</stp>
        <stp>29/12/2015</stp>
        <stp>[Bbg_Market_Data_CL.xlsm]data!R320C16</stp>
        <tr r="P320" s="1"/>
      </tp>
      <tp t="s">
        <v>#N/A Requesting Data...</v>
        <stp/>
        <stp>##V3_BDHV12</stp>
        <stp>CL2 Comdty</stp>
        <stp>VOLUME_TOTAL_PUT</stp>
        <stp>28/10/2016</stp>
        <stp>28/10/2016</stp>
        <stp>[Bbg_Market_Data_CL.xlsm]data!R112C16</stp>
        <tr r="P112" s="1"/>
      </tp>
      <tp t="s">
        <v>#N/A Requesting Data...</v>
        <stp/>
        <stp>##V3_BDHV12</stp>
        <stp>CL2 Comdty</stp>
        <stp>VOLUME_TOTAL_PUT</stp>
        <stp>09/03/2016</stp>
        <stp>09/03/2016</stp>
        <stp>[Bbg_Market_Data_CL.xlsm]data!R273C16</stp>
        <tr r="P273" s="1"/>
      </tp>
      <tp t="s">
        <v>#N/A Requesting Data...</v>
        <stp/>
        <stp>##V3_BDHV12</stp>
        <stp>CL1 Comdty</stp>
        <stp>VOLUME_TOTAL_PUT</stp>
        <stp>09/03/2016</stp>
        <stp>09/03/2016</stp>
        <stp>[Bbg_Market_Data_CL.xlsm]data!R273C16</stp>
        <tr r="P273" s="1"/>
      </tp>
      <tp t="s">
        <v>#N/A Requesting Data...</v>
        <stp/>
        <stp>##V3_BDHV12</stp>
        <stp>CL1 Comdty</stp>
        <stp>VOLUME_TOTAL_PUT</stp>
        <stp>19/02/2016</stp>
        <stp>19/02/2016</stp>
        <stp>[Bbg_Market_Data_CL.xlsm]data!R286C16</stp>
        <tr r="P286" s="1"/>
      </tp>
      <tp t="s">
        <v>#N/A Requesting Data...</v>
        <stp/>
        <stp>##V3_BDHV12</stp>
        <stp>CL1 Comdty</stp>
        <stp>VOLUME_TOTAL_PUT</stp>
        <stp>29/01/2016</stp>
        <stp>29/01/2016</stp>
        <stp>[Bbg_Market_Data_CL.xlsm]data!R299C16</stp>
        <tr r="P299" s="1"/>
      </tp>
      <tp t="s">
        <v>#N/A Requesting Data...</v>
        <stp/>
        <stp>##V3_BDHV12</stp>
        <stp>CL2 Comdty</stp>
        <stp>VOLUME_TOTAL_PUT</stp>
        <stp>29/01/2016</stp>
        <stp>29/01/2016</stp>
        <stp>[Bbg_Market_Data_CL.xlsm]data!R299C16</stp>
        <tr r="P299" s="1"/>
      </tp>
      <tp t="s">
        <v>#N/A Requesting Data...</v>
        <stp/>
        <stp>##V3_BDHV12</stp>
        <stp>CL2 Comdty</stp>
        <stp>VOLUME_TOTAL_PUT</stp>
        <stp>19/02/2016</stp>
        <stp>19/02/2016</stp>
        <stp>[Bbg_Market_Data_CL.xlsm]data!R286C16</stp>
        <tr r="P286" s="1"/>
      </tp>
      <tp t="s">
        <v>#N/A Requesting Data...</v>
        <stp/>
        <stp>##V3_BDHV12</stp>
        <stp>CL2 Comdty</stp>
        <stp>VOLUME_TOTAL_PUT</stp>
        <stp>18/03/2016</stp>
        <stp>18/03/2016</stp>
        <stp>[Bbg_Market_Data_CL.xlsm]data!R266C16</stp>
        <tr r="P266" s="1"/>
      </tp>
      <tp t="s">
        <v>#N/A Requesting Data...</v>
        <stp/>
        <stp>##V3_BDHV12</stp>
        <stp>CL1 Comdty</stp>
        <stp>VOLUME_TOTAL_PUT</stp>
        <stp>18/03/2016</stp>
        <stp>18/03/2016</stp>
        <stp>[Bbg_Market_Data_CL.xlsm]data!R266C16</stp>
        <tr r="P266" s="1"/>
      </tp>
      <tp t="s">
        <v>#N/A Requesting Data...</v>
        <stp/>
        <stp>##V3_BDHV12</stp>
        <stp>CL1 Comdty</stp>
        <stp>VOLUME_TOTAL_PUT</stp>
        <stp>08/02/2016</stp>
        <stp>08/02/2016</stp>
        <stp>[Bbg_Market_Data_CL.xlsm]data!R293C16</stp>
        <tr r="P293" s="1"/>
      </tp>
      <tp t="s">
        <v>#N/A Requesting Data...</v>
        <stp/>
        <stp>##V3_BDHV12</stp>
        <stp>CL2 Comdty</stp>
        <stp>VOLUME_TOTAL_PUT</stp>
        <stp>08/02/2016</stp>
        <stp>08/02/2016</stp>
        <stp>[Bbg_Market_Data_CL.xlsm]data!R293C16</stp>
        <tr r="P293" s="1"/>
      </tp>
      <tp t="s">
        <v>#N/A Requesting Data...</v>
        <stp/>
        <stp>##V3_BDHV12</stp>
        <stp>CL1 Comdty</stp>
        <stp>VOLUME_TOTAL_PUT</stp>
        <stp>10/08/2015</stp>
        <stp>10/08/2015</stp>
        <stp>[Bbg_Market_Data_CL.xlsm]data!R416C16</stp>
        <tr r="P416" s="1"/>
      </tp>
      <tp t="s">
        <v>#N/A Requesting Data...</v>
        <stp/>
        <stp>##V3_BDHV12</stp>
        <stp>CL2 Comdty</stp>
        <stp>VOLUME_TOTAL_PUT</stp>
        <stp>10/08/2015</stp>
        <stp>10/08/2015</stp>
        <stp>[Bbg_Market_Data_CL.xlsm]data!R416C16</stp>
        <tr r="P416" s="1"/>
      </tp>
      <tp t="s">
        <v>#N/A Requesting Data...</v>
        <stp/>
        <stp>##V3_BDHV12</stp>
        <stp>CL2 Comdty</stp>
        <stp>VOLUME_TOTAL_PUT</stp>
        <stp>30/09/2016</stp>
        <stp>30/09/2016</stp>
        <stp>[Bbg_Market_Data_CL.xlsm]data!R131C16</stp>
        <tr r="P131" s="1"/>
      </tp>
      <tp t="s">
        <v>#N/A Requesting Data...</v>
        <stp/>
        <stp>##V3_BDHV12</stp>
        <stp>CL1 Comdty</stp>
        <stp>VOLUME_TOTAL_PUT</stp>
        <stp>30/09/2016</stp>
        <stp>30/09/2016</stp>
        <stp>[Bbg_Market_Data_CL.xlsm]data!R131C16</stp>
        <tr r="P131" s="1"/>
      </tp>
      <tp t="s">
        <v>#N/A Requesting Data...</v>
        <stp/>
        <stp>##V3_BDHV12</stp>
        <stp>CL1 Comdty</stp>
        <stp>VOLUME_TOTAL_PUT</stp>
        <stp>11/09/2015</stp>
        <stp>11/09/2015</stp>
        <stp>[Bbg_Market_Data_CL.xlsm]data!R393C16</stp>
        <tr r="P393" s="1"/>
      </tp>
      <tp t="s">
        <v>#N/A Requesting Data...</v>
        <stp/>
        <stp>##V3_BDHV12</stp>
        <stp>CL2 Comdty</stp>
        <stp>VOLUME_TOTAL_PUT</stp>
        <stp>11/09/2015</stp>
        <stp>11/09/2015</stp>
        <stp>[Bbg_Market_Data_CL.xlsm]data!R393C16</stp>
        <tr r="P393" s="1"/>
      </tp>
      <tp t="s">
        <v>#N/A Requesting Data...</v>
        <stp/>
        <stp>##V3_BDHV12</stp>
        <stp>CL1 Comdty</stp>
        <stp>VOLUME_TOTAL_PUT</stp>
        <stp>31/08/2016</stp>
        <stp>31/08/2016</stp>
        <stp>[Bbg_Market_Data_CL.xlsm]data!R152C16</stp>
        <tr r="P152" s="1"/>
      </tp>
      <tp t="s">
        <v>#N/A Requesting Data...</v>
        <stp/>
        <stp>##V3_BDHV12</stp>
        <stp>CL2 Comdty</stp>
        <stp>VOLUME_TOTAL_PUT</stp>
        <stp>31/08/2016</stp>
        <stp>31/08/2016</stp>
        <stp>[Bbg_Market_Data_CL.xlsm]data!R152C16</stp>
        <tr r="P152" s="1"/>
      </tp>
      <tp t="s">
        <v>#N/A Requesting Data...</v>
        <stp/>
        <stp>##V3_BDHV12</stp>
        <stp>CL2 Comdty</stp>
        <stp>VOLUME_TOTAL_PUT</stp>
        <stp>21/09/2016</stp>
        <stp>21/09/2016</stp>
        <stp>[Bbg_Market_Data_CL.xlsm]data!R138C16</stp>
        <tr r="P138" s="1"/>
      </tp>
      <tp t="s">
        <v>#N/A Requesting Data...</v>
        <stp/>
        <stp>##V3_BDHV12</stp>
        <stp>CL1 Comdty</stp>
        <stp>VOLUME_TOTAL_PUT</stp>
        <stp>21/09/2016</stp>
        <stp>21/09/2016</stp>
        <stp>[Bbg_Market_Data_CL.xlsm]data!R138C16</stp>
        <tr r="P138" s="1"/>
      </tp>
      <tp t="s">
        <v>#N/A Requesting Data...</v>
        <stp/>
        <stp>##V3_BDHV12</stp>
        <stp>CL1 Comdty</stp>
        <stp>VOLUME_TOTAL_PUT</stp>
        <stp>12/09/2016</stp>
        <stp>12/09/2016</stp>
        <stp>[Bbg_Market_Data_CL.xlsm]data!R145C16</stp>
        <tr r="P145" s="1"/>
      </tp>
      <tp t="s">
        <v>#N/A Requesting Data...</v>
        <stp/>
        <stp>##V3_BDHV12</stp>
        <stp>CL2 Comdty</stp>
        <stp>VOLUME_TOTAL_PUT</stp>
        <stp>02/08/2016</stp>
        <stp>02/08/2016</stp>
        <stp>[Bbg_Market_Data_CL.xlsm]data!R172C16</stp>
        <tr r="P172" s="1"/>
      </tp>
      <tp t="s">
        <v>#N/A Requesting Data...</v>
        <stp/>
        <stp>##V3_BDHV12</stp>
        <stp>CL2 Comdty</stp>
        <stp>VOLUME_TOTAL_PUT</stp>
        <stp>12/09/2016</stp>
        <stp>12/09/2016</stp>
        <stp>[Bbg_Market_Data_CL.xlsm]data!R145C16</stp>
        <tr r="P145" s="1"/>
      </tp>
      <tp t="s">
        <v>#N/A Requesting Data...</v>
        <stp/>
        <stp>##V3_BDHV12</stp>
        <stp>CL1 Comdty</stp>
        <stp>VOLUME_TOTAL_PUT</stp>
        <stp>02/08/2016</stp>
        <stp>02/08/2016</stp>
        <stp>[Bbg_Market_Data_CL.xlsm]data!R172C16</stp>
        <tr r="P172" s="1"/>
      </tp>
      <tp t="s">
        <v>#N/A Requesting Data...</v>
        <stp/>
        <stp>##V3_BDHV12</stp>
        <stp>CL1 Comdty</stp>
        <stp>VOLUME_TOTAL_PUT</stp>
        <stp>22/09/2015</stp>
        <stp>22/09/2015</stp>
        <stp>[Bbg_Market_Data_CL.xlsm]data!R386C16</stp>
        <tr r="P386" s="1"/>
      </tp>
      <tp t="s">
        <v>#N/A Requesting Data...</v>
        <stp/>
        <stp>##V3_BDHV12</stp>
        <stp>CL2 Comdty</stp>
        <stp>VOLUME_TOTAL_PUT</stp>
        <stp>22/09/2015</stp>
        <stp>22/09/2015</stp>
        <stp>[Bbg_Market_Data_CL.xlsm]data!R386C16</stp>
        <tr r="P386" s="1"/>
      </tp>
      <tp>
        <v>0.24</v>
        <stp/>
        <stp>##V3_BDHV12</stp>
        <stp>SPGSCLP Index</stp>
        <stp>CHG_PCT_1D</stp>
        <stp>05/04/2017</stp>
        <stp>05/04/2017</stp>
        <stp>[Bbg_Market_Data_CL.xlsm]data!R5C3</stp>
        <tr r="C5" s="1"/>
      </tp>
      <tp>
        <v>3.24</v>
        <stp/>
        <stp>##V3_BDHV12</stp>
        <stp>SPGSCLP Index</stp>
        <stp>CHG_PCT_5D</stp>
        <stp>07/04/2017</stp>
        <stp>07/04/2017</stp>
        <stp>[Bbg_Market_Data_CL.xlsm]data!R3C4</stp>
        <tr r="D3" s="1"/>
      </tp>
      <tp>
        <v>5.26</v>
        <stp/>
        <stp>##V3_BDHV12</stp>
        <stp>SPGSCLP Index</stp>
        <stp>CHG_PCT_5D</stp>
        <stp>03/04/2017</stp>
        <stp>03/04/2017</stp>
        <stp>[Bbg_Market_Data_CL.xlsm]data!R7C4</stp>
        <tr r="D7" s="1"/>
      </tp>
      <tp t="s">
        <v>#N/A Requesting Data...</v>
        <stp/>
        <stp>##V3_BDHV12</stp>
        <stp>CL1 Comdty</stp>
        <stp>VOLUME_TOTAL_PUT</stp>
        <stp>09/11/2015</stp>
        <stp>09/11/2015</stp>
        <stp>[Bbg_Market_Data_CL.xlsm]data!R353C16</stp>
        <tr r="P353" s="1"/>
      </tp>
      <tp t="s">
        <v>#N/A Requesting Data...</v>
        <stp/>
        <stp>##V3_BDHV12</stp>
        <stp>CL2 Comdty</stp>
        <stp>VOLUME_TOTAL_PUT</stp>
        <stp>19/10/2015</stp>
        <stp>19/10/2015</stp>
        <stp>[Bbg_Market_Data_CL.xlsm]data!R368C16</stp>
        <tr r="P368" s="1"/>
      </tp>
      <tp t="s">
        <v>#N/A Requesting Data...</v>
        <stp/>
        <stp>##V3_BDHV12</stp>
        <stp>CL2 Comdty</stp>
        <stp>VOLUME_TOTAL_PUT</stp>
        <stp>09/11/2015</stp>
        <stp>09/11/2015</stp>
        <stp>[Bbg_Market_Data_CL.xlsm]data!R353C16</stp>
        <tr r="P353" s="1"/>
      </tp>
      <tp t="s">
        <v>#N/A Requesting Data...</v>
        <stp/>
        <stp>##V3_BDHV12</stp>
        <stp>CL1 Comdty</stp>
        <stp>VOLUME_TOTAL_PUT</stp>
        <stp>19/10/2015</stp>
        <stp>19/10/2015</stp>
        <stp>[Bbg_Market_Data_CL.xlsm]data!R368C16</stp>
        <tr r="P368" s="1"/>
      </tp>
      <tp t="s">
        <v>#N/A Requesting Data...</v>
        <stp/>
        <stp>##V3_BDHV12</stp>
        <stp>CL1 Comdty</stp>
        <stp>VOLUME_TOTAL_PUT</stp>
        <stp>18/11/2015</stp>
        <stp>18/11/2015</stp>
        <stp>[Bbg_Market_Data_CL.xlsm]data!R347C16</stp>
        <tr r="P347" s="1"/>
      </tp>
      <tp t="s">
        <v>#N/A Requesting Data...</v>
        <stp/>
        <stp>##V3_BDHV12</stp>
        <stp>CL2 Comdty</stp>
        <stp>VOLUME_TOTAL_PUT</stp>
        <stp>08/10/2015</stp>
        <stp>08/10/2015</stp>
        <stp>[Bbg_Market_Data_CL.xlsm]data!R374C16</stp>
        <tr r="P374" s="1"/>
      </tp>
      <tp t="s">
        <v>#N/A Requesting Data...</v>
        <stp/>
        <stp>##V3_BDHV12</stp>
        <stp>CL2 Comdty</stp>
        <stp>VOLUME_TOTAL_PUT</stp>
        <stp>18/11/2015</stp>
        <stp>18/11/2015</stp>
        <stp>[Bbg_Market_Data_CL.xlsm]data!R347C16</stp>
        <tr r="P347" s="1"/>
      </tp>
      <tp t="s">
        <v>#N/A Requesting Data...</v>
        <stp/>
        <stp>##V3_BDHV12</stp>
        <stp>CL1 Comdty</stp>
        <stp>VOLUME_TOTAL_PUT</stp>
        <stp>08/10/2015</stp>
        <stp>08/10/2015</stp>
        <stp>[Bbg_Market_Data_CL.xlsm]data!R374C16</stp>
        <tr r="P374" s="1"/>
      </tp>
      <tp t="s">
        <v>#N/A Requesting Data...</v>
        <stp/>
        <stp>##V3_BDHV12</stp>
        <stp>CL2 Comdty</stp>
        <stp>VOLUME_TOTAL_PUT</stp>
        <stp>28/12/2015</stp>
        <stp>28/12/2015</stp>
        <stp>[Bbg_Market_Data_CL.xlsm]data!R321C16</stp>
        <tr r="P321" s="1"/>
      </tp>
      <tp t="s">
        <v>#N/A Requesting Data...</v>
        <stp/>
        <stp>##V3_BDHV12</stp>
        <stp>CL1 Comdty</stp>
        <stp>VOLUME_TOTAL_PUT</stp>
        <stp>28/12/2015</stp>
        <stp>28/12/2015</stp>
        <stp>[Bbg_Market_Data_CL.xlsm]data!R321C16</stp>
        <tr r="P321" s="1"/>
      </tp>
      <tp t="s">
        <v>#N/A Requesting Data...</v>
        <stp/>
        <stp>##V3_BDHV12</stp>
        <stp>CL1 Comdty</stp>
        <stp>VOLUME_TOTAL_PUT</stp>
        <stp>28/01/2016</stp>
        <stp>28/01/2016</stp>
        <stp>[Bbg_Market_Data_CL.xlsm]data!R300C16</stp>
        <tr r="P300" s="1"/>
      </tp>
      <tp t="s">
        <v>#N/A Requesting Data...</v>
        <stp/>
        <stp>##V3_BDHV12</stp>
        <stp>CL2 Comdty</stp>
        <stp>VOLUME_TOTAL_PUT</stp>
        <stp>28/01/2016</stp>
        <stp>28/01/2016</stp>
        <stp>[Bbg_Market_Data_CL.xlsm]data!R300C16</stp>
        <tr r="P300" s="1"/>
      </tp>
      <tp t="s">
        <v>#N/A Requesting Data...</v>
        <stp/>
        <stp>##V3_BDHV12</stp>
        <stp>CL1 Comdty</stp>
        <stp>VOLUME_TOTAL_PUT</stp>
        <stp>09/02/2016</stp>
        <stp>09/02/2016</stp>
        <stp>[Bbg_Market_Data_CL.xlsm]data!R292C16</stp>
        <tr r="P292" s="1"/>
      </tp>
      <tp t="s">
        <v>#N/A Requesting Data...</v>
        <stp/>
        <stp>##V3_BDHV12</stp>
        <stp>CL2 Comdty</stp>
        <stp>VOLUME_TOTAL_PUT</stp>
        <stp>09/02/2016</stp>
        <stp>09/02/2016</stp>
        <stp>[Bbg_Market_Data_CL.xlsm]data!R292C16</stp>
        <tr r="P292" s="1"/>
      </tp>
      <tp t="s">
        <v>#N/A Requesting Data...</v>
        <stp/>
        <stp>##V3_BDHV12</stp>
        <stp>CL2 Comdty</stp>
        <stp>VOLUME_TOTAL_PUT</stp>
        <stp>08/03/2016</stp>
        <stp>08/03/2016</stp>
        <stp>[Bbg_Market_Data_CL.xlsm]data!R274C16</stp>
        <tr r="P274" s="1"/>
      </tp>
      <tp t="s">
        <v>#N/A Requesting Data...</v>
        <stp/>
        <stp>##V3_BDHV12</stp>
        <stp>CL1 Comdty</stp>
        <stp>VOLUME_TOTAL_PUT</stp>
        <stp>08/03/2016</stp>
        <stp>08/03/2016</stp>
        <stp>[Bbg_Market_Data_CL.xlsm]data!R274C16</stp>
        <tr r="P274" s="1"/>
      </tp>
      <tp t="s">
        <v>#N/A Requesting Data...</v>
        <stp/>
        <stp>##V3_BDHV12</stp>
        <stp>CL1 Comdty</stp>
        <stp>VOLUME_TOTAL_PUT</stp>
        <stp>18/02/2016</stp>
        <stp>18/02/2016</stp>
        <stp>[Bbg_Market_Data_CL.xlsm]data!R287C16</stp>
        <tr r="P287" s="1"/>
      </tp>
      <tp t="s">
        <v>#N/A Requesting Data...</v>
        <stp/>
        <stp>##V3_BDHV12</stp>
        <stp>CL2 Comdty</stp>
        <stp>VOLUME_TOTAL_PUT</stp>
        <stp>18/02/2016</stp>
        <stp>18/02/2016</stp>
        <stp>[Bbg_Market_Data_CL.xlsm]data!R287C16</stp>
        <tr r="P287" s="1"/>
      </tp>
      <tp t="s">
        <v>#N/A Requesting Data...</v>
        <stp/>
        <stp>##V3_BDHV12</stp>
        <stp>CL1 Comdty</stp>
        <stp>VOLUME_TOTAL_PUT</stp>
        <stp>01/09/2015</stp>
        <stp>01/09/2015</stp>
        <stp>[Bbg_Market_Data_CL.xlsm]data!R400C16</stp>
        <tr r="P400" s="1"/>
      </tp>
      <tp t="s">
        <v>#N/A Requesting Data...</v>
        <stp/>
        <stp>##V3_BDHV12</stp>
        <stp>CL1 Comdty</stp>
        <stp>VOLUME_TOTAL_PUT</stp>
        <stp>11/08/2015</stp>
        <stp>11/08/2015</stp>
        <stp>[Bbg_Market_Data_CL.xlsm]data!R415C16</stp>
        <tr r="P415" s="1"/>
      </tp>
      <tp t="s">
        <v>#N/A Requesting Data...</v>
        <stp/>
        <stp>##V3_BDHV12</stp>
        <stp>CL2 Comdty</stp>
        <stp>VOLUME_TOTAL_PUT</stp>
        <stp>11/08/2015</stp>
        <stp>11/08/2015</stp>
        <stp>[Bbg_Market_Data_CL.xlsm]data!R415C16</stp>
        <tr r="P415" s="1"/>
      </tp>
      <tp t="s">
        <v>#N/A Requesting Data...</v>
        <stp/>
        <stp>##V3_BDHV12</stp>
        <stp>CL2 Comdty</stp>
        <stp>VOLUME_TOTAL_PUT</stp>
        <stp>01/09/2015</stp>
        <stp>01/09/2015</stp>
        <stp>[Bbg_Market_Data_CL.xlsm]data!R400C16</stp>
        <tr r="P400" s="1"/>
      </tp>
      <tp t="s">
        <v>#N/A Requesting Data...</v>
        <stp/>
        <stp>##V3_BDHV12</stp>
        <stp>CL1 Comdty</stp>
        <stp>VOLUME_TOTAL_PUT</stp>
        <stp>30/08/2016</stp>
        <stp>30/08/2016</stp>
        <stp>[Bbg_Market_Data_CL.xlsm]data!R153C16</stp>
        <tr r="P153" s="1"/>
      </tp>
      <tp t="s">
        <v>#N/A Requesting Data...</v>
        <stp/>
        <stp>##V3_BDHV12</stp>
        <stp>CL2 Comdty</stp>
        <stp>VOLUME_TOTAL_PUT</stp>
        <stp>30/08/2016</stp>
        <stp>30/08/2016</stp>
        <stp>[Bbg_Market_Data_CL.xlsm]data!R153C16</stp>
        <tr r="P153" s="1"/>
      </tp>
      <tp t="s">
        <v>#N/A Requesting Data...</v>
        <stp/>
        <stp>##V3_BDHV12</stp>
        <stp>CL2 Comdty</stp>
        <stp>VOLUME_TOTAL_PUT</stp>
        <stp>20/09/2016</stp>
        <stp>20/09/2016</stp>
        <stp>[Bbg_Market_Data_CL.xlsm]data!R139C16</stp>
        <tr r="P139" s="1"/>
      </tp>
      <tp t="s">
        <v>#N/A Requesting Data...</v>
        <stp/>
        <stp>##V3_BDHV12</stp>
        <stp>CL1 Comdty</stp>
        <stp>VOLUME_TOTAL_PUT</stp>
        <stp>20/09/2016</stp>
        <stp>20/09/2016</stp>
        <stp>[Bbg_Market_Data_CL.xlsm]data!R139C16</stp>
        <tr r="P139" s="1"/>
      </tp>
      <tp t="s">
        <v>#N/A Requesting Data...</v>
        <stp/>
        <stp>##V3_BDHV12</stp>
        <stp>CL1 Comdty</stp>
        <stp>VOLUME_TOTAL_PUT</stp>
        <stp>10/09/2015</stp>
        <stp>10/09/2015</stp>
        <stp>[Bbg_Market_Data_CL.xlsm]data!R394C16</stp>
        <tr r="P394" s="1"/>
      </tp>
      <tp t="s">
        <v>#N/A Requesting Data...</v>
        <stp/>
        <stp>##V3_BDHV12</stp>
        <stp>CL2 Comdty</stp>
        <stp>VOLUME_TOTAL_PUT</stp>
        <stp>10/09/2015</stp>
        <stp>10/09/2015</stp>
        <stp>[Bbg_Market_Data_CL.xlsm]data!R394C16</stp>
        <tr r="P394" s="1"/>
      </tp>
      <tp t="s">
        <v>#N/A Requesting Data...</v>
        <stp/>
        <stp>##V3_BDHV12</stp>
        <stp>CL2 Comdty</stp>
        <stp>VOLUME_TOTAL_PUT</stp>
        <stp>12/08/2016</stp>
        <stp>12/08/2016</stp>
        <stp>[Bbg_Market_Data_CL.xlsm]data!R165C16</stp>
        <tr r="P165" s="1"/>
      </tp>
      <tp t="s">
        <v>#N/A Requesting Data...</v>
        <stp/>
        <stp>##V3_BDHV12</stp>
        <stp>CL1 Comdty</stp>
        <stp>VOLUME_TOTAL_PUT</stp>
        <stp>02/09/2016</stp>
        <stp>02/09/2016</stp>
        <stp>[Bbg_Market_Data_CL.xlsm]data!R150C16</stp>
        <tr r="P150" s="1"/>
      </tp>
      <tp t="s">
        <v>#N/A Requesting Data...</v>
        <stp/>
        <stp>##V3_BDHV12</stp>
        <stp>CL1 Comdty</stp>
        <stp>VOLUME_TOTAL_PUT</stp>
        <stp>12/08/2016</stp>
        <stp>12/08/2016</stp>
        <stp>[Bbg_Market_Data_CL.xlsm]data!R165C16</stp>
        <tr r="P165" s="1"/>
      </tp>
      <tp t="s">
        <v>#N/A Requesting Data...</v>
        <stp/>
        <stp>##V3_BDHV12</stp>
        <stp>CL2 Comdty</stp>
        <stp>VOLUME_TOTAL_PUT</stp>
        <stp>02/09/2016</stp>
        <stp>02/09/2016</stp>
        <stp>[Bbg_Market_Data_CL.xlsm]data!R150C16</stp>
        <tr r="P150" s="1"/>
      </tp>
      <tp t="s">
        <v>#N/A Requesting Data...</v>
        <stp/>
        <stp>##V3_BDHV12</stp>
        <stp>CL1 Comdty</stp>
        <stp>VOLUME_TOTAL_PUT</stp>
        <stp>23/09/2015</stp>
        <stp>23/09/2015</stp>
        <stp>[Bbg_Market_Data_CL.xlsm]data!R385C16</stp>
        <tr r="P385" s="1"/>
      </tp>
      <tp t="s">
        <v>#N/A Requesting Data...</v>
        <stp/>
        <stp>##V3_BDHV12</stp>
        <stp>CL2 Comdty</stp>
        <stp>VOLUME_TOTAL_PUT</stp>
        <stp>23/09/2015</stp>
        <stp>23/09/2015</stp>
        <stp>[Bbg_Market_Data_CL.xlsm]data!R385C16</stp>
        <tr r="P385" s="1"/>
      </tp>
      <tp t="s">
        <v>#N/A Requesting Data...</v>
        <stp/>
        <stp>##V3_BDHV12</stp>
        <stp>CL1 Comdty</stp>
        <stp>VOLUME_TOTAL_PUT</stp>
        <stp>13/09/2016</stp>
        <stp>13/09/2016</stp>
        <stp>[Bbg_Market_Data_CL.xlsm]data!R144C16</stp>
        <tr r="P144" s="1"/>
      </tp>
      <tp t="s">
        <v>#N/A Requesting Data...</v>
        <stp/>
        <stp>##V3_BDHV12</stp>
        <stp>CL2 Comdty</stp>
        <stp>VOLUME_TOTAL_PUT</stp>
        <stp>03/08/2016</stp>
        <stp>03/08/2016</stp>
        <stp>[Bbg_Market_Data_CL.xlsm]data!R171C16</stp>
        <tr r="P171" s="1"/>
      </tp>
      <tp t="s">
        <v>#N/A Requesting Data...</v>
        <stp/>
        <stp>##V3_BDHV12</stp>
        <stp>CL2 Comdty</stp>
        <stp>VOLUME_TOTAL_PUT</stp>
        <stp>13/09/2016</stp>
        <stp>13/09/2016</stp>
        <stp>[Bbg_Market_Data_CL.xlsm]data!R144C16</stp>
        <tr r="P144" s="1"/>
      </tp>
      <tp t="s">
        <v>#N/A Requesting Data...</v>
        <stp/>
        <stp>##V3_BDHV12</stp>
        <stp>CL1 Comdty</stp>
        <stp>VOLUME_TOTAL_PUT</stp>
        <stp>03/08/2016</stp>
        <stp>03/08/2016</stp>
        <stp>[Bbg_Market_Data_CL.xlsm]data!R171C16</stp>
        <tr r="P171" s="1"/>
      </tp>
      <tp>
        <v>49.27</v>
        <stp/>
        <stp>##V3_BDHV12</stp>
        <stp>CL1 Comdty</stp>
        <stp>PX_LOW</stp>
        <stp>30/03/2017</stp>
        <stp>30/03/2017</stp>
        <stp>[Bbg_Market_Data_CL.xlsm]data!R9C7</stp>
        <tr r="G9" s="1"/>
        <tr r="G9" s="1"/>
      </tp>
      <tp>
        <v>49.9</v>
        <stp/>
        <stp>##V3_BDHV12</stp>
        <stp>CL1 Comdty</stp>
        <stp>PX_LOW</stp>
        <stp>31/03/2017</stp>
        <stp>31/03/2017</stp>
        <stp>[Bbg_Market_Data_CL.xlsm]data!R8C7</stp>
        <tr r="G8" s="1"/>
        <tr r="G8" s="1"/>
      </tp>
      <tp t="s">
        <v>#N/A Requesting Data...</v>
        <stp/>
        <stp>##V3_BDHV12</stp>
        <stp>CL1 Comdty</stp>
        <stp>VOLUME_TOTAL_PUT</stp>
        <stp>18/06/2015</stp>
        <stp>18/06/2015</stp>
        <stp>[Bbg_Market_Data_CL.xlsm]data!R452C16</stp>
        <tr r="P452" s="1"/>
      </tp>
      <tp t="s">
        <v>#N/A Requesting Data...</v>
        <stp/>
        <stp>##V3_BDHV12</stp>
        <stp>CL2 Comdty</stp>
        <stp>VOLUME_TOTAL_PUT</stp>
        <stp>28/05/2015</stp>
        <stp>28/05/2015</stp>
        <stp>[Bbg_Market_Data_CL.xlsm]data!R467C16</stp>
        <tr r="P467" s="1"/>
      </tp>
      <tp t="s">
        <v>#N/A Requesting Data...</v>
        <stp/>
        <stp>##V3_BDHV12</stp>
        <stp>CL2 Comdty</stp>
        <stp>VOLUME_TOTAL_PUT</stp>
        <stp>18/06/2015</stp>
        <stp>18/06/2015</stp>
        <stp>[Bbg_Market_Data_CL.xlsm]data!R452C16</stp>
        <tr r="P452" s="1"/>
      </tp>
      <tp t="s">
        <v>#N/A Requesting Data...</v>
        <stp/>
        <stp>##V3_BDHV12</stp>
        <stp>CL1 Comdty</stp>
        <stp>VOLUME_TOTAL_PUT</stp>
        <stp>28/05/2015</stp>
        <stp>28/05/2015</stp>
        <stp>[Bbg_Market_Data_CL.xlsm]data!R467C16</stp>
        <tr r="P467" s="1"/>
      </tp>
      <tp t="s">
        <v>#N/A Requesting Data...</v>
        <stp/>
        <stp>##V3_BDHV12</stp>
        <stp>CL2 Comdty</stp>
        <stp>VOLUME_TOTAL_PUT</stp>
        <stp>08/07/2015</stp>
        <stp>08/07/2015</stp>
        <stp>[Bbg_Market_Data_CL.xlsm]data!R439C16</stp>
        <tr r="P439" s="1"/>
      </tp>
      <tp t="s">
        <v>#N/A Requesting Data...</v>
        <stp/>
        <stp>##V3_BDHV12</stp>
        <stp>CL1 Comdty</stp>
        <stp>VOLUME_TOTAL_PUT</stp>
        <stp>08/07/2015</stp>
        <stp>08/07/2015</stp>
        <stp>[Bbg_Market_Data_CL.xlsm]data!R439C16</stp>
        <tr r="P439" s="1"/>
      </tp>
      <tp t="s">
        <v>#N/A Requesting Data...</v>
        <stp/>
        <stp>##V3_BDHV12</stp>
        <stp>CL1 Comdty</stp>
        <stp>VOLUME_TOTAL_PUT</stp>
        <stp>09/06/2015</stp>
        <stp>09/06/2015</stp>
        <stp>[Bbg_Market_Data_CL.xlsm]data!R459C16</stp>
        <tr r="P459" s="1"/>
      </tp>
      <tp t="s">
        <v>#N/A Requesting Data...</v>
        <stp/>
        <stp>##V3_BDHV12</stp>
        <stp>CL2 Comdty</stp>
        <stp>VOLUME_TOTAL_PUT</stp>
        <stp>09/06/2015</stp>
        <stp>09/06/2015</stp>
        <stp>[Bbg_Market_Data_CL.xlsm]data!R459C16</stp>
        <tr r="P459" s="1"/>
      </tp>
      <tp t="s">
        <v>#N/A Requesting Data...</v>
        <stp/>
        <stp>##V3_BDHV12</stp>
        <stp>CL1 Comdty</stp>
        <stp>VOLUME_TOTAL_PUT</stp>
        <stp>29/04/2015</stp>
        <stp>29/04/2015</stp>
        <stp>[Bbg_Market_Data_CL.xlsm]data!R487C16</stp>
        <tr r="P487" s="1"/>
      </tp>
      <tp t="s">
        <v>#N/A Requesting Data...</v>
        <stp/>
        <stp>##V3_BDHV12</stp>
        <stp>CL2 Comdty</stp>
        <stp>VOLUME_TOTAL_PUT</stp>
        <stp>29/04/2015</stp>
        <stp>29/04/2015</stp>
        <stp>[Bbg_Market_Data_CL.xlsm]data!R487C16</stp>
        <tr r="P487" s="1"/>
      </tp>
      <tp t="s">
        <v>#N/A Requesting Data...</v>
        <stp/>
        <stp>##V3_BDHV12</stp>
        <stp>CL1 Comdty</stp>
        <stp>VOLUME_TOTAL_PUT</stp>
        <stp>28/06/2016</stp>
        <stp>28/06/2016</stp>
        <stp>[Bbg_Market_Data_CL.xlsm]data!R196C16</stp>
        <tr r="P196" s="1"/>
      </tp>
      <tp t="s">
        <v>#N/A Requesting Data...</v>
        <stp/>
        <stp>##V3_BDHV12</stp>
        <stp>CL2 Comdty</stp>
        <stp>VOLUME_TOTAL_PUT</stp>
        <stp>28/06/2016</stp>
        <stp>28/06/2016</stp>
        <stp>[Bbg_Market_Data_CL.xlsm]data!R196C16</stp>
        <tr r="P196" s="1"/>
      </tp>
      <tp t="s">
        <v>#N/A Requesting Data...</v>
        <stp/>
        <stp>##V3_BDHV12</stp>
        <stp>CL2 Comdty</stp>
        <stp>VOLUME_TOTAL_PUT</stp>
        <stp>29/07/2016</stp>
        <stp>29/07/2016</stp>
        <stp>[Bbg_Market_Data_CL.xlsm]data!R174C16</stp>
        <tr r="P174" s="1"/>
      </tp>
      <tp t="s">
        <v>#N/A Requesting Data...</v>
        <stp/>
        <stp>##V3_BDHV12</stp>
        <stp>CL1 Comdty</stp>
        <stp>VOLUME_TOTAL_PUT</stp>
        <stp>29/07/2016</stp>
        <stp>29/07/2016</stp>
        <stp>[Bbg_Market_Data_CL.xlsm]data!R174C16</stp>
        <tr r="P174" s="1"/>
      </tp>
      <tp t="s">
        <v>#N/A Requesting Data...</v>
        <stp/>
        <stp>##V3_BDHV12</stp>
        <stp>CL1 Comdty</stp>
        <stp>VOLUME_TOTAL_PUT</stp>
        <stp>19/04/2016</stp>
        <stp>19/04/2016</stp>
        <stp>[Bbg_Market_Data_CL.xlsm]data!R245C16</stp>
        <tr r="P245" s="1"/>
      </tp>
      <tp t="s">
        <v>#N/A Requesting Data...</v>
        <stp/>
        <stp>##V3_BDHV12</stp>
        <stp>CL2 Comdty</stp>
        <stp>VOLUME_TOTAL_PUT</stp>
        <stp>19/04/2016</stp>
        <stp>19/04/2016</stp>
        <stp>[Bbg_Market_Data_CL.xlsm]data!R245C16</stp>
        <tr r="P245" s="1"/>
      </tp>
      <tp t="s">
        <v>#N/A Requesting Data...</v>
        <stp/>
        <stp>##V3_BDHV12</stp>
        <stp>CL2 Comdty</stp>
        <stp>VOLUME_TOTAL_PUT</stp>
        <stp>09/05/2016</stp>
        <stp>09/05/2016</stp>
        <stp>[Bbg_Market_Data_CL.xlsm]data!R231C16</stp>
        <tr r="P231" s="1"/>
      </tp>
      <tp t="s">
        <v>#N/A Requesting Data...</v>
        <stp/>
        <stp>##V3_BDHV12</stp>
        <stp>CL1 Comdty</stp>
        <stp>VOLUME_TOTAL_PUT</stp>
        <stp>09/05/2016</stp>
        <stp>09/05/2016</stp>
        <stp>[Bbg_Market_Data_CL.xlsm]data!R231C16</stp>
        <tr r="P231" s="1"/>
      </tp>
      <tp t="s">
        <v>#N/A Requesting Data...</v>
        <stp/>
        <stp>##V3_BDHV12</stp>
        <stp>CL1 Comdty</stp>
        <stp>VOLUME_TOTAL_PUT</stp>
        <stp>08/04/2016</stp>
        <stp>08/04/2016</stp>
        <stp>[Bbg_Market_Data_CL.xlsm]data!R252C16</stp>
        <tr r="P252" s="1"/>
      </tp>
      <tp t="s">
        <v>#N/A Requesting Data...</v>
        <stp/>
        <stp>##V3_BDHV12</stp>
        <stp>CL2 Comdty</stp>
        <stp>VOLUME_TOTAL_PUT</stp>
        <stp>08/04/2016</stp>
        <stp>08/04/2016</stp>
        <stp>[Bbg_Market_Data_CL.xlsm]data!R252C16</stp>
        <tr r="P252" s="1"/>
      </tp>
      <tp t="s">
        <v>#N/A Requesting Data...</v>
        <stp/>
        <stp>##V3_BDHV12</stp>
        <stp>CL2 Comdty</stp>
        <stp>VOLUME_TOTAL_PUT</stp>
        <stp>18/05/2016</stp>
        <stp>18/05/2016</stp>
        <stp>[Bbg_Market_Data_CL.xlsm]data!R224C16</stp>
        <tr r="P224" s="1"/>
      </tp>
      <tp t="s">
        <v>#N/A Requesting Data...</v>
        <stp/>
        <stp>##V3_BDHV12</stp>
        <stp>CL1 Comdty</stp>
        <stp>VOLUME_TOTAL_PUT</stp>
        <stp>18/05/2016</stp>
        <stp>18/05/2016</stp>
        <stp>[Bbg_Market_Data_CL.xlsm]data!R224C16</stp>
        <tr r="P224" s="1"/>
      </tp>
      <tp t="s">
        <v>#N/A Requesting Data...</v>
        <stp/>
        <stp>##V3_BDHV12</stp>
        <stp>CL1 Comdty</stp>
        <stp>VOLUME_TOTAL_PUT</stp>
        <stp>14/09/2016</stp>
        <stp>14/09/2016</stp>
        <stp>[Bbg_Market_Data_CL.xlsm]data!R143C16</stp>
        <tr r="P143" s="1"/>
      </tp>
      <tp t="s">
        <v>#N/A Requesting Data...</v>
        <stp/>
        <stp>##V3_BDHV12</stp>
        <stp>CL2 Comdty</stp>
        <stp>VOLUME_TOTAL_PUT</stp>
        <stp>04/08/2016</stp>
        <stp>04/08/2016</stp>
        <stp>[Bbg_Market_Data_CL.xlsm]data!R170C16</stp>
        <tr r="P170" s="1"/>
      </tp>
      <tp t="s">
        <v>#N/A Requesting Data...</v>
        <stp/>
        <stp>##V3_BDHV12</stp>
        <stp>CL2 Comdty</stp>
        <stp>VOLUME_TOTAL_PUT</stp>
        <stp>14/09/2016</stp>
        <stp>14/09/2016</stp>
        <stp>[Bbg_Market_Data_CL.xlsm]data!R143C16</stp>
        <tr r="P143" s="1"/>
      </tp>
      <tp t="s">
        <v>#N/A Requesting Data...</v>
        <stp/>
        <stp>##V3_BDHV12</stp>
        <stp>CL1 Comdty</stp>
        <stp>VOLUME_TOTAL_PUT</stp>
        <stp>04/08/2016</stp>
        <stp>04/08/2016</stp>
        <stp>[Bbg_Market_Data_CL.xlsm]data!R170C16</stp>
        <tr r="P170" s="1"/>
      </tp>
      <tp t="s">
        <v>#N/A Requesting Data...</v>
        <stp/>
        <stp>##V3_BDHV12</stp>
        <stp>CL2 Comdty</stp>
        <stp>VOLUME_TOTAL_PUT</stp>
        <stp>15/08/2016</stp>
        <stp>15/08/2016</stp>
        <stp>[Bbg_Market_Data_CL.xlsm]data!R164C16</stp>
        <tr r="P164" s="1"/>
      </tp>
      <tp t="s">
        <v>#N/A Requesting Data...</v>
        <stp/>
        <stp>##V3_BDHV12</stp>
        <stp>CL1 Comdty</stp>
        <stp>VOLUME_TOTAL_PUT</stp>
        <stp>15/08/2016</stp>
        <stp>15/08/2016</stp>
        <stp>[Bbg_Market_Data_CL.xlsm]data!R164C16</stp>
        <tr r="P164" s="1"/>
      </tp>
      <tp t="s">
        <v>#N/A Requesting Data...</v>
        <stp/>
        <stp>##V3_BDHV12</stp>
        <stp>CL1 Comdty</stp>
        <stp>VOLUME_TOTAL_PUT</stp>
        <stp>24/09/2015</stp>
        <stp>24/09/2015</stp>
        <stp>[Bbg_Market_Data_CL.xlsm]data!R384C16</stp>
        <tr r="P384" s="1"/>
      </tp>
      <tp t="s">
        <v>#N/A Requesting Data...</v>
        <stp/>
        <stp>##V3_BDHV12</stp>
        <stp>CL2 Comdty</stp>
        <stp>VOLUME_TOTAL_PUT</stp>
        <stp>24/09/2015</stp>
        <stp>24/09/2015</stp>
        <stp>[Bbg_Market_Data_CL.xlsm]data!R384C16</stp>
        <tr r="P384" s="1"/>
      </tp>
      <tp t="s">
        <v>#N/A Requesting Data...</v>
        <stp/>
        <stp>##V3_BDHV12</stp>
        <stp>CL1 Comdty</stp>
        <stp>VOLUME_TOTAL_PUT</stp>
        <stp>26/08/2016</stp>
        <stp>26/08/2016</stp>
        <stp>[Bbg_Market_Data_CL.xlsm]data!R155C16</stp>
        <tr r="P155" s="1"/>
      </tp>
      <tp t="s">
        <v>#N/A Requesting Data...</v>
        <stp/>
        <stp>##V3_BDHV12</stp>
        <stp>CL2 Comdty</stp>
        <stp>VOLUME_TOTAL_PUT</stp>
        <stp>26/08/2016</stp>
        <stp>26/08/2016</stp>
        <stp>[Bbg_Market_Data_CL.xlsm]data!R155C16</stp>
        <tr r="P155" s="1"/>
      </tp>
      <tp t="s">
        <v>#N/A Requesting Data...</v>
        <stp/>
        <stp>##V3_BDHV12</stp>
        <stp>CL1 Comdty</stp>
        <stp>VOLUME_TOTAL_PUT</stp>
        <stp>17/09/2015</stp>
        <stp>17/09/2015</stp>
        <stp>[Bbg_Market_Data_CL.xlsm]data!R389C16</stp>
        <tr r="P389" s="1"/>
      </tp>
      <tp t="s">
        <v>#N/A Requesting Data...</v>
        <stp/>
        <stp>##V3_BDHV12</stp>
        <stp>CL2 Comdty</stp>
        <stp>VOLUME_TOTAL_PUT</stp>
        <stp>17/09/2015</stp>
        <stp>17/09/2015</stp>
        <stp>[Bbg_Market_Data_CL.xlsm]data!R389C16</stp>
        <tr r="P389" s="1"/>
      </tp>
      <tp t="s">
        <v>#N/A Requesting Data...</v>
        <stp/>
        <stp>##V3_BDHV12</stp>
        <stp>CL2 Comdty</stp>
        <stp>VOLUME_TOTAL_PUT</stp>
        <stp>27/09/2016</stp>
        <stp>27/09/2016</stp>
        <stp>[Bbg_Market_Data_CL.xlsm]data!R134C16</stp>
        <tr r="P134" s="1"/>
      </tp>
      <tp t="s">
        <v>#N/A Requesting Data...</v>
        <stp/>
        <stp>##V3_BDHV12</stp>
        <stp>CL1 Comdty</stp>
        <stp>VOLUME_TOTAL_PUT</stp>
        <stp>27/09/2016</stp>
        <stp>27/09/2016</stp>
        <stp>[Bbg_Market_Data_CL.xlsm]data!R134C16</stp>
        <tr r="P134" s="1"/>
      </tp>
      <tp t="s">
        <v>#N/A Requesting Data...</v>
        <stp/>
        <stp>##V3_BDHV12</stp>
        <stp>CL1 Comdty</stp>
        <stp>VOLUME_TOTAL_PUT</stp>
        <stp>07/08/2015</stp>
        <stp>07/08/2015</stp>
        <stp>[Bbg_Market_Data_CL.xlsm]data!R417C16</stp>
        <tr r="P417" s="1"/>
      </tp>
      <tp t="s">
        <v>#N/A Requesting Data...</v>
        <stp/>
        <stp>##V3_BDHV12</stp>
        <stp>CL2 Comdty</stp>
        <stp>VOLUME_TOTAL_PUT</stp>
        <stp>07/08/2015</stp>
        <stp>07/08/2015</stp>
        <stp>[Bbg_Market_Data_CL.xlsm]data!R417C16</stp>
        <tr r="P417" s="1"/>
      </tp>
      <tp t="s">
        <v>#N/A Requesting Data...</v>
        <stp/>
        <stp>##V3_BDHV12</stp>
        <stp>CL1 Comdty</stp>
        <stp>VOLUME_TOTAL_PUT</stp>
        <stp>25/08/2015</stp>
        <stp>25/08/2015</stp>
        <stp>[Bbg_Market_Data_CL.xlsm]data!R405C16</stp>
        <tr r="P405" s="1"/>
      </tp>
      <tp t="s">
        <v>#N/A Requesting Data...</v>
        <stp/>
        <stp>##V3_BDHV12</stp>
        <stp>CL2 Comdty</stp>
        <stp>VOLUME_TOTAL_PUT</stp>
        <stp>25/08/2015</stp>
        <stp>25/08/2015</stp>
        <stp>[Bbg_Market_Data_CL.xlsm]data!R405C16</stp>
        <tr r="P405" s="1"/>
      </tp>
      <tp>
        <v>2.68</v>
        <stp/>
        <stp>##V3_BDHV12</stp>
        <stp>SPGSCLP Index</stp>
        <stp>CHG_PCT_5D</stp>
        <stp>06/04/2017</stp>
        <stp>06/04/2017</stp>
        <stp>[Bbg_Market_Data_CL.xlsm]data!R4C4</stp>
        <tr r="D4" s="1"/>
      </tp>
      <tp>
        <v>5.5</v>
        <stp/>
        <stp>##V3_BDHV12</stp>
        <stp>SPGSCLP Index</stp>
        <stp>CHG_PCT_5D</stp>
        <stp>04/04/2017</stp>
        <stp>04/04/2017</stp>
        <stp>[Bbg_Market_Data_CL.xlsm]data!R6C4</stp>
        <tr r="D6" s="1"/>
      </tp>
      <tp>
        <v>5.65</v>
        <stp/>
        <stp>##V3_BDHV12</stp>
        <stp>SPGSCLP Index</stp>
        <stp>CHG_PCT_5D</stp>
        <stp>10/04/2017</stp>
        <stp>10/04/2017</stp>
        <stp>[Bbg_Market_Data_CL.xlsm]data!R2C4</stp>
        <tr r="D2" s="1"/>
      </tp>
      <tp t="s">
        <v>#N/A Requesting Data...</v>
        <stp/>
        <stp>##V3_BDHV12</stp>
        <stp>CL2 Comdty</stp>
        <stp>VOLUME_TOTAL_PUT</stp>
        <stp>08/06/2015</stp>
        <stp>08/06/2015</stp>
        <stp>[Bbg_Market_Data_CL.xlsm]data!R460C16</stp>
        <tr r="P460" s="1"/>
      </tp>
      <tp t="s">
        <v>#N/A Requesting Data...</v>
        <stp/>
        <stp>##V3_BDHV12</stp>
        <stp>CL1 Comdty</stp>
        <stp>VOLUME_TOTAL_PUT</stp>
        <stp>08/06/2015</stp>
        <stp>08/06/2015</stp>
        <stp>[Bbg_Market_Data_CL.xlsm]data!R460C16</stp>
        <tr r="P460" s="1"/>
      </tp>
      <tp t="s">
        <v>#N/A Requesting Data...</v>
        <stp/>
        <stp>##V3_BDHV12</stp>
        <stp>CL1 Comdty</stp>
        <stp>VOLUME_TOTAL_PUT</stp>
        <stp>28/04/2015</stp>
        <stp>28/04/2015</stp>
        <stp>[Bbg_Market_Data_CL.xlsm]data!R488C16</stp>
        <tr r="P488" s="1"/>
      </tp>
      <tp t="s">
        <v>#N/A Requesting Data...</v>
        <stp/>
        <stp>##V3_BDHV12</stp>
        <stp>CL2 Comdty</stp>
        <stp>VOLUME_TOTAL_PUT</stp>
        <stp>28/04/2015</stp>
        <stp>28/04/2015</stp>
        <stp>[Bbg_Market_Data_CL.xlsm]data!R488C16</stp>
        <tr r="P488" s="1"/>
      </tp>
      <tp t="s">
        <v>#N/A Requesting Data...</v>
        <stp/>
        <stp>##V3_BDHV12</stp>
        <stp>CL1 Comdty</stp>
        <stp>VOLUME_TOTAL_PUT</stp>
        <stp>19/06/2015</stp>
        <stp>19/06/2015</stp>
        <stp>[Bbg_Market_Data_CL.xlsm]data!R451C16</stp>
        <tr r="P451" s="1"/>
      </tp>
      <tp t="s">
        <v>#N/A Requesting Data...</v>
        <stp/>
        <stp>##V3_BDHV12</stp>
        <stp>CL2 Comdty</stp>
        <stp>VOLUME_TOTAL_PUT</stp>
        <stp>29/05/2015</stp>
        <stp>29/05/2015</stp>
        <stp>[Bbg_Market_Data_CL.xlsm]data!R466C16</stp>
        <tr r="P466" s="1"/>
      </tp>
      <tp t="s">
        <v>#N/A Requesting Data...</v>
        <stp/>
        <stp>##V3_BDHV12</stp>
        <stp>CL2 Comdty</stp>
        <stp>VOLUME_TOTAL_PUT</stp>
        <stp>19/06/2015</stp>
        <stp>19/06/2015</stp>
        <stp>[Bbg_Market_Data_CL.xlsm]data!R451C16</stp>
        <tr r="P451" s="1"/>
      </tp>
      <tp t="s">
        <v>#N/A Requesting Data...</v>
        <stp/>
        <stp>##V3_BDHV12</stp>
        <stp>CL1 Comdty</stp>
        <stp>VOLUME_TOTAL_PUT</stp>
        <stp>29/05/2015</stp>
        <stp>29/05/2015</stp>
        <stp>[Bbg_Market_Data_CL.xlsm]data!R466C16</stp>
        <tr r="P466" s="1"/>
      </tp>
      <tp t="s">
        <v>#N/A Requesting Data...</v>
        <stp/>
        <stp>##V3_BDHV12</stp>
        <stp>CL2 Comdty</stp>
        <stp>VOLUME_TOTAL_PUT</stp>
        <stp>09/07/2015</stp>
        <stp>09/07/2015</stp>
        <stp>[Bbg_Market_Data_CL.xlsm]data!R438C16</stp>
        <tr r="P438" s="1"/>
      </tp>
      <tp t="s">
        <v>#N/A Requesting Data...</v>
        <stp/>
        <stp>##V3_BDHV12</stp>
        <stp>CL1 Comdty</stp>
        <stp>VOLUME_TOTAL_PUT</stp>
        <stp>09/07/2015</stp>
        <stp>09/07/2015</stp>
        <stp>[Bbg_Market_Data_CL.xlsm]data!R438C16</stp>
        <tr r="P438" s="1"/>
      </tp>
      <tp t="s">
        <v>#N/A Requesting Data...</v>
        <stp/>
        <stp>##V3_BDHV12</stp>
        <stp>CL2 Comdty</stp>
        <stp>VOLUME_TOTAL_PUT</stp>
        <stp>28/07/2016</stp>
        <stp>28/07/2016</stp>
        <stp>[Bbg_Market_Data_CL.xlsm]data!R175C16</stp>
        <tr r="P175" s="1"/>
      </tp>
      <tp t="s">
        <v>#N/A Requesting Data...</v>
        <stp/>
        <stp>##V3_BDHV12</stp>
        <stp>CL1 Comdty</stp>
        <stp>VOLUME_TOTAL_PUT</stp>
        <stp>28/07/2016</stp>
        <stp>28/07/2016</stp>
        <stp>[Bbg_Market_Data_CL.xlsm]data!R175C16</stp>
        <tr r="P175" s="1"/>
      </tp>
      <tp t="s">
        <v>#N/A Requesting Data...</v>
        <stp/>
        <stp>##V3_BDHV12</stp>
        <stp>CL1 Comdty</stp>
        <stp>VOLUME_TOTAL_PUT</stp>
        <stp>29/06/2016</stp>
        <stp>29/06/2016</stp>
        <stp>[Bbg_Market_Data_CL.xlsm]data!R195C16</stp>
        <tr r="P195" s="1"/>
      </tp>
      <tp t="s">
        <v>#N/A Requesting Data...</v>
        <stp/>
        <stp>##V3_BDHV12</stp>
        <stp>CL2 Comdty</stp>
        <stp>VOLUME_TOTAL_PUT</stp>
        <stp>29/06/2016</stp>
        <stp>29/06/2016</stp>
        <stp>[Bbg_Market_Data_CL.xlsm]data!R195C16</stp>
        <tr r="P195" s="1"/>
      </tp>
      <tp t="s">
        <v>#N/A Requesting Data...</v>
        <stp/>
        <stp>##V3_BDHV12</stp>
        <stp>CL2 Comdty</stp>
        <stp>VOLUME_TOTAL_PUT</stp>
        <stp>19/05/2016</stp>
        <stp>19/05/2016</stp>
        <stp>[Bbg_Market_Data_CL.xlsm]data!R223C16</stp>
        <tr r="P223" s="1"/>
      </tp>
      <tp t="s">
        <v>#N/A Requesting Data...</v>
        <stp/>
        <stp>##V3_BDHV12</stp>
        <stp>CL1 Comdty</stp>
        <stp>VOLUME_TOTAL_PUT</stp>
        <stp>19/05/2016</stp>
        <stp>19/05/2016</stp>
        <stp>[Bbg_Market_Data_CL.xlsm]data!R223C16</stp>
        <tr r="P223" s="1"/>
      </tp>
      <tp t="s">
        <v>#N/A Requesting Data...</v>
        <stp/>
        <stp>##V3_BDHV12</stp>
        <stp>CL1 Comdty</stp>
        <stp>VOLUME_TOTAL_PUT</stp>
        <stp>18/04/2016</stp>
        <stp>18/04/2016</stp>
        <stp>[Bbg_Market_Data_CL.xlsm]data!R246C16</stp>
        <tr r="P246" s="1"/>
      </tp>
      <tp t="s">
        <v>#N/A Requesting Data...</v>
        <stp/>
        <stp>##V3_BDHV12</stp>
        <stp>CL2 Comdty</stp>
        <stp>VOLUME_TOTAL_PUT</stp>
        <stp>18/04/2016</stp>
        <stp>18/04/2016</stp>
        <stp>[Bbg_Market_Data_CL.xlsm]data!R246C16</stp>
        <tr r="P246" s="1"/>
      </tp>
      <tp t="s">
        <v>#N/A Requesting Data...</v>
        <stp/>
        <stp>##V3_BDHV12</stp>
        <stp>CL1 Comdty</stp>
        <stp>VOLUME_TOTAL_PUT</stp>
        <stp>25/09/2015</stp>
        <stp>25/09/2015</stp>
        <stp>[Bbg_Market_Data_CL.xlsm]data!R383C16</stp>
        <tr r="P383" s="1"/>
      </tp>
      <tp t="s">
        <v>#N/A Requesting Data...</v>
        <stp/>
        <stp>##V3_BDHV12</stp>
        <stp>CL2 Comdty</stp>
        <stp>VOLUME_TOTAL_PUT</stp>
        <stp>25/09/2015</stp>
        <stp>25/09/2015</stp>
        <stp>[Bbg_Market_Data_CL.xlsm]data!R383C16</stp>
        <tr r="P383" s="1"/>
      </tp>
      <tp t="s">
        <v>#N/A Requesting Data...</v>
        <stp/>
        <stp>##V3_BDHV12</stp>
        <stp>CL1 Comdty</stp>
        <stp>VOLUME_TOTAL_PUT</stp>
        <stp>15/09/2016</stp>
        <stp>15/09/2016</stp>
        <stp>[Bbg_Market_Data_CL.xlsm]data!R142C16</stp>
        <tr r="P142" s="1"/>
      </tp>
      <tp t="s">
        <v>#N/A Requesting Data...</v>
        <stp/>
        <stp>##V3_BDHV12</stp>
        <stp>CL2 Comdty</stp>
        <stp>VOLUME_TOTAL_PUT</stp>
        <stp>05/08/2016</stp>
        <stp>05/08/2016</stp>
        <stp>[Bbg_Market_Data_CL.xlsm]data!R169C16</stp>
        <tr r="P169" s="1"/>
      </tp>
      <tp t="s">
        <v>#N/A Requesting Data...</v>
        <stp/>
        <stp>##V3_BDHV12</stp>
        <stp>CL1 Comdty</stp>
        <stp>VOLUME_TOTAL_PUT</stp>
        <stp>05/08/2016</stp>
        <stp>05/08/2016</stp>
        <stp>[Bbg_Market_Data_CL.xlsm]data!R169C16</stp>
        <tr r="P169" s="1"/>
      </tp>
      <tp t="s">
        <v>#N/A Requesting Data...</v>
        <stp/>
        <stp>##V3_BDHV12</stp>
        <stp>CL2 Comdty</stp>
        <stp>VOLUME_TOTAL_PUT</stp>
        <stp>15/09/2016</stp>
        <stp>15/09/2016</stp>
        <stp>[Bbg_Market_Data_CL.xlsm]data!R142C16</stp>
        <tr r="P142" s="1"/>
      </tp>
      <tp t="s">
        <v>#N/A Requesting Data...</v>
        <stp/>
        <stp>##V3_BDHV12</stp>
        <stp>CL2 Comdty</stp>
        <stp>VOLUME_TOTAL_PUT</stp>
        <stp>26/09/2016</stp>
        <stp>26/09/2016</stp>
        <stp>[Bbg_Market_Data_CL.xlsm]data!R135C16</stp>
        <tr r="P135" s="1"/>
      </tp>
      <tp t="s">
        <v>#N/A Requesting Data...</v>
        <stp/>
        <stp>##V3_BDHV12</stp>
        <stp>CL1 Comdty</stp>
        <stp>VOLUME_TOTAL_PUT</stp>
        <stp>26/09/2016</stp>
        <stp>26/09/2016</stp>
        <stp>[Bbg_Market_Data_CL.xlsm]data!R135C16</stp>
        <tr r="P135" s="1"/>
      </tp>
      <tp t="s">
        <v>#N/A Requesting Data...</v>
        <stp/>
        <stp>##V3_BDHV12</stp>
        <stp>CL1 Comdty</stp>
        <stp>VOLUME_TOTAL_PUT</stp>
        <stp>16/09/2015</stp>
        <stp>16/09/2015</stp>
        <stp>[Bbg_Market_Data_CL.xlsm]data!R390C16</stp>
        <tr r="P390" s="1"/>
      </tp>
      <tp t="s">
        <v>#N/A Requesting Data...</v>
        <stp/>
        <stp>##V3_BDHV12</stp>
        <stp>CL2 Comdty</stp>
        <stp>VOLUME_TOTAL_PUT</stp>
        <stp>16/09/2015</stp>
        <stp>16/09/2015</stp>
        <stp>[Bbg_Market_Data_CL.xlsm]data!R390C16</stp>
        <tr r="P390" s="1"/>
      </tp>
      <tp t="s">
        <v>#N/A Requesting Data...</v>
        <stp/>
        <stp>##V3_BDHV12</stp>
        <stp>CL1 Comdty</stp>
        <stp>VOLUME_TOTAL_PUT</stp>
        <stp>06/08/2015</stp>
        <stp>06/08/2015</stp>
        <stp>[Bbg_Market_Data_CL.xlsm]data!R418C16</stp>
        <tr r="P418" s="1"/>
      </tp>
      <tp t="s">
        <v>#N/A Requesting Data...</v>
        <stp/>
        <stp>##V3_BDHV12</stp>
        <stp>CL2 Comdty</stp>
        <stp>VOLUME_TOTAL_PUT</stp>
        <stp>06/08/2015</stp>
        <stp>06/08/2015</stp>
        <stp>[Bbg_Market_Data_CL.xlsm]data!R418C16</stp>
        <tr r="P418" s="1"/>
      </tp>
      <tp t="s">
        <v>#N/A Requesting Data...</v>
        <stp/>
        <stp>##V3_BDHV12</stp>
        <stp>CL1 Comdty</stp>
        <stp>VOLUME_TOTAL_PUT</stp>
        <stp>17/08/2015</stp>
        <stp>17/08/2015</stp>
        <stp>[Bbg_Market_Data_CL.xlsm]data!R411C16</stp>
        <tr r="P411" s="1"/>
      </tp>
      <tp t="s">
        <v>#N/A Requesting Data...</v>
        <stp/>
        <stp>##V3_BDHV12</stp>
        <stp>CL2 Comdty</stp>
        <stp>VOLUME_TOTAL_PUT</stp>
        <stp>17/08/2015</stp>
        <stp>17/08/2015</stp>
        <stp>[Bbg_Market_Data_CL.xlsm]data!R411C16</stp>
        <tr r="P411" s="1"/>
      </tp>
      <tp t="s">
        <v>#N/A Requesting Data...</v>
        <stp/>
        <stp>##V3_BDHV12</stp>
        <stp>CL1 Comdty</stp>
        <stp>VOLUME_TOTAL_PUT</stp>
        <stp>24/08/2015</stp>
        <stp>24/08/2015</stp>
        <stp>[Bbg_Market_Data_CL.xlsm]data!R406C16</stp>
        <tr r="P406" s="1"/>
      </tp>
      <tp t="s">
        <v>#N/A Requesting Data...</v>
        <stp/>
        <stp>##V3_BDHV12</stp>
        <stp>CL2 Comdty</stp>
        <stp>VOLUME_TOTAL_PUT</stp>
        <stp>24/08/2015</stp>
        <stp>24/08/2015</stp>
        <stp>[Bbg_Market_Data_CL.xlsm]data!R406C16</stp>
        <tr r="P406" s="1"/>
      </tp>
      <tp t="s">
        <v>#N/A Requesting Data...</v>
        <stp/>
        <stp>##V3_BDHV12</stp>
        <stp>CL2 Comdty</stp>
        <stp>VOLUME_TOTAL_PUT</stp>
        <stp>28/07/2015</stp>
        <stp>28/07/2015</stp>
        <stp>[Bbg_Market_Data_CL.xlsm]data!R425C16</stp>
        <tr r="P425" s="1"/>
      </tp>
      <tp t="s">
        <v>#N/A Requesting Data...</v>
        <stp/>
        <stp>##V3_BDHV12</stp>
        <stp>CL1 Comdty</stp>
        <stp>VOLUME_TOTAL_PUT</stp>
        <stp>28/07/2015</stp>
        <stp>28/07/2015</stp>
        <stp>[Bbg_Market_Data_CL.xlsm]data!R425C16</stp>
        <tr r="P425" s="1"/>
      </tp>
      <tp t="s">
        <v>#N/A Requesting Data...</v>
        <stp/>
        <stp>##V3_BDHV12</stp>
        <stp>CL1 Comdty</stp>
        <stp>VOLUME_TOTAL_PUT</stp>
        <stp>08/05/2015</stp>
        <stp>08/05/2015</stp>
        <stp>[Bbg_Market_Data_CL.xlsm]data!R480C16</stp>
        <tr r="P480" s="1"/>
      </tp>
      <tp t="s">
        <v>#N/A Requesting Data...</v>
        <stp/>
        <stp>##V3_BDHV12</stp>
        <stp>CL2 Comdty</stp>
        <stp>VOLUME_TOTAL_PUT</stp>
        <stp>08/05/2015</stp>
        <stp>08/05/2015</stp>
        <stp>[Bbg_Market_Data_CL.xlsm]data!R480C16</stp>
        <tr r="P480" s="1"/>
      </tp>
      <tp t="s">
        <v>#N/A Requesting Data...</v>
        <stp/>
        <stp>##V3_BDHV12</stp>
        <stp>CL2 Comdty</stp>
        <stp>VOLUME_TOTAL_PUT</stp>
        <stp>19/05/2015</stp>
        <stp>19/05/2015</stp>
        <stp>[Bbg_Market_Data_CL.xlsm]data!R473C16</stp>
        <tr r="P473" s="1"/>
      </tp>
      <tp t="s">
        <v>#N/A Requesting Data...</v>
        <stp/>
        <stp>##V3_BDHV12</stp>
        <stp>CL1 Comdty</stp>
        <stp>VOLUME_TOTAL_PUT</stp>
        <stp>29/06/2015</stp>
        <stp>29/06/2015</stp>
        <stp>[Bbg_Market_Data_CL.xlsm]data!R445C16</stp>
        <tr r="P445" s="1"/>
      </tp>
      <tp t="s">
        <v>#N/A Requesting Data...</v>
        <stp/>
        <stp>##V3_BDHV12</stp>
        <stp>CL1 Comdty</stp>
        <stp>VOLUME_TOTAL_PUT</stp>
        <stp>19/05/2015</stp>
        <stp>19/05/2015</stp>
        <stp>[Bbg_Market_Data_CL.xlsm]data!R473C16</stp>
        <tr r="P473" s="1"/>
      </tp>
      <tp t="s">
        <v>#N/A Requesting Data...</v>
        <stp/>
        <stp>##V3_BDHV12</stp>
        <stp>CL2 Comdty</stp>
        <stp>VOLUME_TOTAL_PUT</stp>
        <stp>29/06/2015</stp>
        <stp>29/06/2015</stp>
        <stp>[Bbg_Market_Data_CL.xlsm]data!R445C16</stp>
        <tr r="P445" s="1"/>
      </tp>
      <tp t="s">
        <v>#N/A Requesting Data...</v>
        <stp/>
        <stp>##V3_BDHV12</stp>
        <stp>CL1 Comdty</stp>
        <stp>VOLUME_TOTAL_PUT</stp>
        <stp>18/07/2016</stp>
        <stp>18/07/2016</stp>
        <stp>[Bbg_Market_Data_CL.xlsm]data!R183C16</stp>
        <tr r="P183" s="1"/>
      </tp>
      <tp t="s">
        <v>#N/A Requesting Data...</v>
        <stp/>
        <stp>##V3_BDHV12</stp>
        <stp>CL2 Comdty</stp>
        <stp>VOLUME_TOTAL_PUT</stp>
        <stp>18/07/2016</stp>
        <stp>18/07/2016</stp>
        <stp>[Bbg_Market_Data_CL.xlsm]data!R183C16</stp>
        <tr r="P183" s="1"/>
      </tp>
      <tp t="s">
        <v>#N/A Requesting Data...</v>
        <stp/>
        <stp>##V3_BDHV12</stp>
        <stp>CL2 Comdty</stp>
        <stp>VOLUME_TOTAL_PUT</stp>
        <stp>28/04/2016</stp>
        <stp>28/04/2016</stp>
        <stp>[Bbg_Market_Data_CL.xlsm]data!R238C16</stp>
        <tr r="P238" s="1"/>
      </tp>
      <tp t="s">
        <v>#N/A Requesting Data...</v>
        <stp/>
        <stp>##V3_BDHV12</stp>
        <stp>CL1 Comdty</stp>
        <stp>VOLUME_TOTAL_PUT</stp>
        <stp>08/06/2016</stp>
        <stp>08/06/2016</stp>
        <stp>[Bbg_Market_Data_CL.xlsm]data!R210C16</stp>
        <tr r="P210" s="1"/>
      </tp>
      <tp t="s">
        <v>#N/A Requesting Data...</v>
        <stp/>
        <stp>##V3_BDHV12</stp>
        <stp>CL2 Comdty</stp>
        <stp>VOLUME_TOTAL_PUT</stp>
        <stp>08/06/2016</stp>
        <stp>08/06/2016</stp>
        <stp>[Bbg_Market_Data_CL.xlsm]data!R210C16</stp>
        <tr r="P210" s="1"/>
      </tp>
      <tp t="s">
        <v>#N/A Requesting Data...</v>
        <stp/>
        <stp>##V3_BDHV12</stp>
        <stp>CL1 Comdty</stp>
        <stp>VOLUME_TOTAL_PUT</stp>
        <stp>28/04/2016</stp>
        <stp>28/04/2016</stp>
        <stp>[Bbg_Market_Data_CL.xlsm]data!R238C16</stp>
        <tr r="P238" s="1"/>
      </tp>
      <tp t="s">
        <v>#N/A Requesting Data...</v>
        <stp/>
        <stp>##V3_BDHV12</stp>
        <stp>CL1 Comdty</stp>
        <stp>VOLUME_TOTAL_PUT</stp>
        <stp>24/08/2016</stp>
        <stp>24/08/2016</stp>
        <stp>[Bbg_Market_Data_CL.xlsm]data!R157C16</stp>
        <tr r="P157" s="1"/>
      </tp>
      <tp t="s">
        <v>#N/A Requesting Data...</v>
        <stp/>
        <stp>##V3_BDHV12</stp>
        <stp>CL2 Comdty</stp>
        <stp>VOLUME_TOTAL_PUT</stp>
        <stp>24/08/2016</stp>
        <stp>24/08/2016</stp>
        <stp>[Bbg_Market_Data_CL.xlsm]data!R157C16</stp>
        <tr r="P157" s="1"/>
      </tp>
      <tp t="s">
        <v>#N/A Requesting Data...</v>
        <stp/>
        <stp>##V3_BDHV12</stp>
        <stp>CL1 Comdty</stp>
        <stp>VOLUME_TOTAL_PUT</stp>
        <stp>15/09/2015</stp>
        <stp>15/09/2015</stp>
        <stp>[Bbg_Market_Data_CL.xlsm]data!R391C16</stp>
        <tr r="P391" s="1"/>
      </tp>
      <tp t="s">
        <v>#N/A Requesting Data...</v>
        <stp/>
        <stp>##V3_BDHV12</stp>
        <stp>CL2 Comdty</stp>
        <stp>VOLUME_TOTAL_PUT</stp>
        <stp>15/09/2015</stp>
        <stp>15/09/2015</stp>
        <stp>[Bbg_Market_Data_CL.xlsm]data!R391C16</stp>
        <tr r="P391" s="1"/>
      </tp>
      <tp t="s">
        <v>#N/A Requesting Data...</v>
        <stp/>
        <stp>##V3_BDHV12</stp>
        <stp>CL1 Comdty</stp>
        <stp>VOLUME_TOTAL_PUT</stp>
        <stp>04/09/2015</stp>
        <stp>04/09/2015</stp>
        <stp>[Bbg_Market_Data_CL.xlsm]data!R397C16</stp>
        <tr r="P397" s="1"/>
      </tp>
      <tp t="s">
        <v>#N/A Requesting Data...</v>
        <stp/>
        <stp>##V3_BDHV12</stp>
        <stp>CL2 Comdty</stp>
        <stp>VOLUME_TOTAL_PUT</stp>
        <stp>04/09/2015</stp>
        <stp>04/09/2015</stp>
        <stp>[Bbg_Market_Data_CL.xlsm]data!R397C16</stp>
        <tr r="P397" s="1"/>
      </tp>
      <tp t="s">
        <v>#N/A Requesting Data...</v>
        <stp/>
        <stp>##V3_BDHV12</stp>
        <stp>CL1 Comdty</stp>
        <stp>VOLUME_TOTAL_PUT</stp>
        <stp>16/09/2016</stp>
        <stp>16/09/2016</stp>
        <stp>[Bbg_Market_Data_CL.xlsm]data!R141C16</stp>
        <tr r="P141" s="1"/>
      </tp>
      <tp t="s">
        <v>#N/A Requesting Data...</v>
        <stp/>
        <stp>##V3_BDHV12</stp>
        <stp>CL2 Comdty</stp>
        <stp>VOLUME_TOTAL_PUT</stp>
        <stp>16/09/2016</stp>
        <stp>16/09/2016</stp>
        <stp>[Bbg_Market_Data_CL.xlsm]data!R141C16</stp>
        <tr r="P141" s="1"/>
      </tp>
      <tp t="s">
        <v>#N/A Requesting Data...</v>
        <stp/>
        <stp>##V3_BDHV12</stp>
        <stp>CL1 Comdty</stp>
        <stp>VOLUME_TOTAL_PUT</stp>
        <stp>07/09/2016</stp>
        <stp>07/09/2016</stp>
        <stp>[Bbg_Market_Data_CL.xlsm]data!R148C16</stp>
        <tr r="P148" s="1"/>
      </tp>
      <tp t="s">
        <v>#N/A Requesting Data...</v>
        <stp/>
        <stp>##V3_BDHV12</stp>
        <stp>CL2 Comdty</stp>
        <stp>VOLUME_TOTAL_PUT</stp>
        <stp>17/08/2016</stp>
        <stp>17/08/2016</stp>
        <stp>[Bbg_Market_Data_CL.xlsm]data!R162C16</stp>
        <tr r="P162" s="1"/>
      </tp>
      <tp t="s">
        <v>#N/A Requesting Data...</v>
        <stp/>
        <stp>##V3_BDHV12</stp>
        <stp>CL1 Comdty</stp>
        <stp>VOLUME_TOTAL_PUT</stp>
        <stp>17/08/2016</stp>
        <stp>17/08/2016</stp>
        <stp>[Bbg_Market_Data_CL.xlsm]data!R162C16</stp>
        <tr r="P162" s="1"/>
      </tp>
      <tp t="s">
        <v>#N/A Requesting Data...</v>
        <stp/>
        <stp>##V3_BDHV12</stp>
        <stp>CL2 Comdty</stp>
        <stp>VOLUME_TOTAL_PUT</stp>
        <stp>07/09/2016</stp>
        <stp>07/09/2016</stp>
        <stp>[Bbg_Market_Data_CL.xlsm]data!R148C16</stp>
        <tr r="P148" s="1"/>
      </tp>
      <tp t="s">
        <v>#N/A Requesting Data...</v>
        <stp/>
        <stp>##V3_BDHV12</stp>
        <stp>CL1 Comdty</stp>
        <stp>VOLUME_TOTAL_PUT</stp>
        <stp>27/08/2015</stp>
        <stp>27/08/2015</stp>
        <stp>[Bbg_Market_Data_CL.xlsm]data!R403C16</stp>
        <tr r="P403" s="1"/>
      </tp>
      <tp t="s">
        <v>#N/A Requesting Data...</v>
        <stp/>
        <stp>##V3_BDHV12</stp>
        <stp>CL2 Comdty</stp>
        <stp>VOLUME_TOTAL_PUT</stp>
        <stp>27/08/2015</stp>
        <stp>27/08/2015</stp>
        <stp>[Bbg_Market_Data_CL.xlsm]data!R403C16</stp>
        <tr r="P403" s="1"/>
      </tp>
      <tp t="s">
        <v>#N/A Requesting Data...</v>
        <stp/>
        <stp>##V3_BDHV12</stp>
        <stp>CL1 Comdty</stp>
        <stp>VOLUME_TOTAL_PUT</stp>
        <stp>14/08/2015</stp>
        <stp>14/08/2015</stp>
        <stp>[Bbg_Market_Data_CL.xlsm]data!R412C16</stp>
        <tr r="P412" s="1"/>
      </tp>
      <tp t="s">
        <v>#N/A Requesting Data...</v>
        <stp/>
        <stp>##V3_BDHV12</stp>
        <stp>CL2 Comdty</stp>
        <stp>VOLUME_TOTAL_PUT</stp>
        <stp>14/08/2015</stp>
        <stp>14/08/2015</stp>
        <stp>[Bbg_Market_Data_CL.xlsm]data!R412C16</stp>
        <tr r="P412" s="1"/>
      </tp>
      <tp t="s">
        <v>#N/A Requesting Data...</v>
        <stp/>
        <stp>##V3_BDHV12</stp>
        <stp>CL1 Comdty</stp>
        <stp>VOLUME_TOTAL_PUT</stp>
        <stp>05/08/2015</stp>
        <stp>05/08/2015</stp>
        <stp>[Bbg_Market_Data_CL.xlsm]data!R419C16</stp>
        <tr r="P419" s="1"/>
      </tp>
      <tp t="s">
        <v>#N/A Requesting Data...</v>
        <stp/>
        <stp>##V3_BDHV12</stp>
        <stp>CL2 Comdty</stp>
        <stp>VOLUME_TOTAL_PUT</stp>
        <stp>05/08/2015</stp>
        <stp>05/08/2015</stp>
        <stp>[Bbg_Market_Data_CL.xlsm]data!R419C16</stp>
        <tr r="P419" s="1"/>
      </tp>
      <tp>
        <v>1.04</v>
        <stp/>
        <stp>##V3_BDHV12</stp>
        <stp>SPGSCLP Index</stp>
        <stp>CHG_PCT_1D</stp>
        <stp>07/04/2017</stp>
        <stp>07/04/2017</stp>
        <stp>[Bbg_Market_Data_CL.xlsm]data!R3C3</stp>
        <tr r="C3" s="1"/>
      </tp>
      <tp>
        <v>-0.71</v>
        <stp/>
        <stp>##V3_BDHV12</stp>
        <stp>SPGSCLP Index</stp>
        <stp>CHG_PCT_1D</stp>
        <stp>03/04/2017</stp>
        <stp>03/04/2017</stp>
        <stp>[Bbg_Market_Data_CL.xlsm]data!R7C3</stp>
        <tr r="C7" s="1"/>
      </tp>
      <tp>
        <v>3.31</v>
        <stp/>
        <stp>##V3_BDHV12</stp>
        <stp>SPGSCLP Index</stp>
        <stp>CHG_PCT_5D</stp>
        <stp>05/04/2017</stp>
        <stp>05/04/2017</stp>
        <stp>[Bbg_Market_Data_CL.xlsm]data!R5C4</stp>
        <tr r="D5" s="1"/>
      </tp>
      <tp t="s">
        <v>#N/A Requesting Data...</v>
        <stp/>
        <stp>##V3_BDHV12</stp>
        <stp>CL2 Comdty</stp>
        <stp>VOLUME_TOTAL_PUT</stp>
        <stp>18/05/2015</stp>
        <stp>18/05/2015</stp>
        <stp>[Bbg_Market_Data_CL.xlsm]data!R474C16</stp>
        <tr r="P474" s="1"/>
      </tp>
      <tp t="s">
        <v>#N/A Requesting Data...</v>
        <stp/>
        <stp>##V3_BDHV12</stp>
        <stp>CL1 Comdty</stp>
        <stp>VOLUME_TOTAL_PUT</stp>
        <stp>18/05/2015</stp>
        <stp>18/05/2015</stp>
        <stp>[Bbg_Market_Data_CL.xlsm]data!R474C16</stp>
        <tr r="P474" s="1"/>
      </tp>
      <tp t="s">
        <v>#N/A Requesting Data...</v>
        <stp/>
        <stp>##V3_BDHV12</stp>
        <stp>CL2 Comdty</stp>
        <stp>VOLUME_TOTAL_PUT</stp>
        <stp>29/07/2015</stp>
        <stp>29/07/2015</stp>
        <stp>[Bbg_Market_Data_CL.xlsm]data!R424C16</stp>
        <tr r="P424" s="1"/>
      </tp>
      <tp t="s">
        <v>#N/A Requesting Data...</v>
        <stp/>
        <stp>##V3_BDHV12</stp>
        <stp>CL1 Comdty</stp>
        <stp>VOLUME_TOTAL_PUT</stp>
        <stp>29/07/2015</stp>
        <stp>29/07/2015</stp>
        <stp>[Bbg_Market_Data_CL.xlsm]data!R424C16</stp>
        <tr r="P424" s="1"/>
      </tp>
      <tp t="s">
        <v>#N/A Requesting Data...</v>
        <stp/>
        <stp>##V3_BDHV12</stp>
        <stp>CL1 Comdty</stp>
        <stp>VOLUME_TOTAL_PUT</stp>
        <stp>08/07/2016</stp>
        <stp>08/07/2016</stp>
        <stp>[Bbg_Market_Data_CL.xlsm]data!R189C16</stp>
        <tr r="P189" s="1"/>
      </tp>
      <tp t="s">
        <v>#N/A Requesting Data...</v>
        <stp/>
        <stp>##V3_BDHV12</stp>
        <stp>CL2 Comdty</stp>
        <stp>VOLUME_TOTAL_PUT</stp>
        <stp>08/07/2016</stp>
        <stp>08/07/2016</stp>
        <stp>[Bbg_Market_Data_CL.xlsm]data!R189C16</stp>
        <tr r="P189" s="1"/>
      </tp>
      <tp t="s">
        <v>#N/A Requesting Data...</v>
        <stp/>
        <stp>##V3_BDHV12</stp>
        <stp>CL1 Comdty</stp>
        <stp>VOLUME_TOTAL_PUT</stp>
        <stp>19/07/2016</stp>
        <stp>19/07/2016</stp>
        <stp>[Bbg_Market_Data_CL.xlsm]data!R182C16</stp>
        <tr r="P182" s="1"/>
      </tp>
      <tp t="s">
        <v>#N/A Requesting Data...</v>
        <stp/>
        <stp>##V3_BDHV12</stp>
        <stp>CL2 Comdty</stp>
        <stp>VOLUME_TOTAL_PUT</stp>
        <stp>19/07/2016</stp>
        <stp>19/07/2016</stp>
        <stp>[Bbg_Market_Data_CL.xlsm]data!R182C16</stp>
        <tr r="P182" s="1"/>
      </tp>
      <tp t="s">
        <v>#N/A Requesting Data...</v>
        <stp/>
        <stp>##V3_BDHV12</stp>
        <stp>CL2 Comdty</stp>
        <stp>VOLUME_TOTAL_PUT</stp>
        <stp>29/04/2016</stp>
        <stp>29/04/2016</stp>
        <stp>[Bbg_Market_Data_CL.xlsm]data!R237C16</stp>
        <tr r="P237" s="1"/>
      </tp>
      <tp t="s">
        <v>#N/A Requesting Data...</v>
        <stp/>
        <stp>##V3_BDHV12</stp>
        <stp>CL1 Comdty</stp>
        <stp>VOLUME_TOTAL_PUT</stp>
        <stp>09/06/2016</stp>
        <stp>09/06/2016</stp>
        <stp>[Bbg_Market_Data_CL.xlsm]data!R209C16</stp>
        <tr r="P209" s="1"/>
      </tp>
      <tp t="s">
        <v>#N/A Requesting Data...</v>
        <stp/>
        <stp>##V3_BDHV12</stp>
        <stp>CL1 Comdty</stp>
        <stp>VOLUME_TOTAL_PUT</stp>
        <stp>29/04/2016</stp>
        <stp>29/04/2016</stp>
        <stp>[Bbg_Market_Data_CL.xlsm]data!R237C16</stp>
        <tr r="P237" s="1"/>
      </tp>
      <tp t="s">
        <v>#N/A Requesting Data...</v>
        <stp/>
        <stp>##V3_BDHV12</stp>
        <stp>CL2 Comdty</stp>
        <stp>VOLUME_TOTAL_PUT</stp>
        <stp>09/06/2016</stp>
        <stp>09/06/2016</stp>
        <stp>[Bbg_Market_Data_CL.xlsm]data!R209C16</stp>
        <tr r="P209" s="1"/>
      </tp>
      <tp t="s">
        <v>#N/A Requesting Data...</v>
        <stp/>
        <stp>##V3_BDHV12</stp>
        <stp>CL1 Comdty</stp>
        <stp>VOLUME_TOTAL_PUT</stp>
        <stp>25/08/2016</stp>
        <stp>25/08/2016</stp>
        <stp>[Bbg_Market_Data_CL.xlsm]data!R156C16</stp>
        <tr r="P156" s="1"/>
      </tp>
      <tp t="s">
        <v>#N/A Requesting Data...</v>
        <stp/>
        <stp>##V3_BDHV12</stp>
        <stp>CL2 Comdty</stp>
        <stp>VOLUME_TOTAL_PUT</stp>
        <stp>25/08/2016</stp>
        <stp>25/08/2016</stp>
        <stp>[Bbg_Market_Data_CL.xlsm]data!R156C16</stp>
        <tr r="P156" s="1"/>
      </tp>
      <tp t="s">
        <v>#N/A Requesting Data...</v>
        <stp/>
        <stp>##V3_BDHV12</stp>
        <stp>CL1 Comdty</stp>
        <stp>VOLUME_TOTAL_PUT</stp>
        <stp>14/09/2015</stp>
        <stp>14/09/2015</stp>
        <stp>[Bbg_Market_Data_CL.xlsm]data!R392C16</stp>
        <tr r="P392" s="1"/>
      </tp>
      <tp t="s">
        <v>#N/A Requesting Data...</v>
        <stp/>
        <stp>##V3_BDHV12</stp>
        <stp>CL2 Comdty</stp>
        <stp>VOLUME_TOTAL_PUT</stp>
        <stp>14/09/2015</stp>
        <stp>14/09/2015</stp>
        <stp>[Bbg_Market_Data_CL.xlsm]data!R392C16</stp>
        <tr r="P392" s="1"/>
      </tp>
      <tp t="s">
        <v>#N/A Requesting Data...</v>
        <stp/>
        <stp>##V3_BDHV12</stp>
        <stp>CL1 Comdty</stp>
        <stp>VOLUME_TOTAL_PUT</stp>
        <stp>06/09/2016</stp>
        <stp>06/09/2016</stp>
        <stp>[Bbg_Market_Data_CL.xlsm]data!R149C16</stp>
        <tr r="P149" s="1"/>
      </tp>
      <tp t="s">
        <v>#N/A Requesting Data...</v>
        <stp/>
        <stp>##V3_BDHV12</stp>
        <stp>CL2 Comdty</stp>
        <stp>VOLUME_TOTAL_PUT</stp>
        <stp>16/08/2016</stp>
        <stp>16/08/2016</stp>
        <stp>[Bbg_Market_Data_CL.xlsm]data!R163C16</stp>
        <tr r="P163" s="1"/>
      </tp>
      <tp t="s">
        <v>#N/A Requesting Data...</v>
        <stp/>
        <stp>##V3_BDHV12</stp>
        <stp>CL1 Comdty</stp>
        <stp>VOLUME_TOTAL_PUT</stp>
        <stp>16/08/2016</stp>
        <stp>16/08/2016</stp>
        <stp>[Bbg_Market_Data_CL.xlsm]data!R163C16</stp>
        <tr r="P163" s="1"/>
      </tp>
      <tp t="s">
        <v>#N/A Requesting Data...</v>
        <stp/>
        <stp>##V3_BDHV12</stp>
        <stp>CL2 Comdty</stp>
        <stp>VOLUME_TOTAL_PUT</stp>
        <stp>06/09/2016</stp>
        <stp>06/09/2016</stp>
        <stp>[Bbg_Market_Data_CL.xlsm]data!R149C16</stp>
        <tr r="P149" s="1"/>
      </tp>
      <tp t="s">
        <v>#N/A Requesting Data...</v>
        <stp/>
        <stp>##V3_BDHV12</stp>
        <stp>CL1 Comdty</stp>
        <stp>VOLUME_TOTAL_PUT</stp>
        <stp>26/08/2015</stp>
        <stp>26/08/2015</stp>
        <stp>[Bbg_Market_Data_CL.xlsm]data!R404C16</stp>
        <tr r="P404" s="1"/>
      </tp>
      <tp t="s">
        <v>#N/A Requesting Data...</v>
        <stp/>
        <stp>##V3_BDHV12</stp>
        <stp>CL2 Comdty</stp>
        <stp>VOLUME_TOTAL_PUT</stp>
        <stp>26/08/2015</stp>
        <stp>26/08/2015</stp>
        <stp>[Bbg_Market_Data_CL.xlsm]data!R404C16</stp>
        <tr r="P404" s="1"/>
      </tp>
      <tp t="s">
        <v>#N/A Requesting Data...</v>
        <stp/>
        <stp>##V3_BDHV12</stp>
        <stp>CL2 Comdty</stp>
        <stp>VOLUME_TOTAL_PUT</stp>
        <stp>04/08/2015</stp>
        <stp>04/08/2015</stp>
        <stp>[Bbg_Market_Data_CL.xlsm]data!R420C16</stp>
        <tr r="P420" s="1"/>
      </tp>
      <tp t="s">
        <v>#N/A Requesting Data...</v>
        <stp/>
        <stp>##V3_BDHV12</stp>
        <stp>CL1 Comdty</stp>
        <stp>VOLUME_TOTAL_PUT</stp>
        <stp>04/08/2015</stp>
        <stp>04/08/2015</stp>
        <stp>[Bbg_Market_Data_CL.xlsm]data!R420C16</stp>
        <tr r="P420" s="1"/>
      </tp>
      <tp t="s">
        <v>#N/A Requesting Data...</v>
        <stp/>
        <stp>##V3_BDHV12</stp>
        <stp>CL2 Comdty</stp>
        <stp>RSI_14D</stp>
        <stp>04/04/2017</stp>
        <stp>04/04/2017</stp>
        <stp>[Bbg_Market_Data_CL.xlsm]data!R6C13</stp>
        <tr r="M6" s="1"/>
      </tp>
      <tp t="s">
        <v>#N/A Requesting Data...</v>
        <stp/>
        <stp>##V3_BDHV12</stp>
        <stp>CL2 Comdty</stp>
        <stp>RSI_14D</stp>
        <stp>05/04/2017</stp>
        <stp>05/04/2017</stp>
        <stp>[Bbg_Market_Data_CL.xlsm]data!R5C13</stp>
        <tr r="M5" s="1"/>
      </tp>
      <tp t="s">
        <v>#N/A Requesting Data...</v>
        <stp/>
        <stp>##V3_BDHV12</stp>
        <stp>CL2 Comdty</stp>
        <stp>RSI_14D</stp>
        <stp>06/04/2017</stp>
        <stp>06/04/2017</stp>
        <stp>[Bbg_Market_Data_CL.xlsm]data!R4C13</stp>
        <tr r="M4" s="1"/>
      </tp>
      <tp t="s">
        <v>#N/A Requesting Data...</v>
        <stp/>
        <stp>##V3_BDHV12</stp>
        <stp>CL2 Comdty</stp>
        <stp>RSI_30D</stp>
        <stp>03/04/2017</stp>
        <stp>03/04/2017</stp>
        <stp>[Bbg_Market_Data_CL.xlsm]data!R7C14</stp>
        <tr r="N7" s="1"/>
      </tp>
      <tp t="s">
        <v>#N/A Requesting Data...</v>
        <stp/>
        <stp>##V3_BDHV12</stp>
        <stp>CL2 Comdty</stp>
        <stp>RSI_14D</stp>
        <stp>07/04/2017</stp>
        <stp>07/04/2017</stp>
        <stp>[Bbg_Market_Data_CL.xlsm]data!R3C13</stp>
        <tr r="M3" s="1"/>
      </tp>
      <tp t="s">
        <v>#N/A Requesting Data...</v>
        <stp/>
        <stp>##V3_BDHV12</stp>
        <stp>CL2 Comdty</stp>
        <stp>RSI_30D</stp>
        <stp>05/04/2017</stp>
        <stp>05/04/2017</stp>
        <stp>[Bbg_Market_Data_CL.xlsm]data!R5C14</stp>
        <tr r="N5" s="1"/>
      </tp>
      <tp t="s">
        <v>#N/A Requesting Data...</v>
        <stp/>
        <stp>##V3_BDHV12</stp>
        <stp>CL2 Comdty</stp>
        <stp>RSI_30D</stp>
        <stp>04/04/2017</stp>
        <stp>04/04/2017</stp>
        <stp>[Bbg_Market_Data_CL.xlsm]data!R6C14</stp>
        <tr r="N6" s="1"/>
      </tp>
      <tp t="s">
        <v>#N/A Requesting Data...</v>
        <stp/>
        <stp>##V3_BDHV12</stp>
        <stp>CL2 Comdty</stp>
        <stp>RSI_30D</stp>
        <stp>07/04/2017</stp>
        <stp>07/04/2017</stp>
        <stp>[Bbg_Market_Data_CL.xlsm]data!R3C14</stp>
        <tr r="N3" s="1"/>
      </tp>
      <tp t="s">
        <v>#N/A Requesting Data...</v>
        <stp/>
        <stp>##V3_BDHV12</stp>
        <stp>CL2 Comdty</stp>
        <stp>RSI_30D</stp>
        <stp>06/04/2017</stp>
        <stp>06/04/2017</stp>
        <stp>[Bbg_Market_Data_CL.xlsm]data!R4C14</stp>
        <tr r="N4" s="1"/>
      </tp>
      <tp t="s">
        <v>#N/A Requesting Data...</v>
        <stp/>
        <stp>##V3_BDHV12</stp>
        <stp>CL2 Comdty</stp>
        <stp>RSI_14D</stp>
        <stp>03/04/2017</stp>
        <stp>03/04/2017</stp>
        <stp>[Bbg_Market_Data_CL.xlsm]data!R7C13</stp>
        <tr r="M7" s="1"/>
      </tp>
      <tp t="s">
        <v>#N/A Requesting Data...</v>
        <stp/>
        <stp>##V3_BDHV12</stp>
        <stp>CL2 Comdty</stp>
        <stp>RSI_30D</stp>
        <stp>10/04/2017</stp>
        <stp>10/04/2017</stp>
        <stp>[Bbg_Market_Data_CL.xlsm]data!R2C14</stp>
        <tr r="N2" s="1"/>
      </tp>
      <tp t="s">
        <v>#N/A Requesting Data...</v>
        <stp/>
        <stp>##V3_BDHV12</stp>
        <stp>CL2 Comdty</stp>
        <stp>RSI_14D</stp>
        <stp>10/04/2017</stp>
        <stp>10/04/2017</stp>
        <stp>[Bbg_Market_Data_CL.xlsm]data!R2C13</stp>
        <tr r="M2" s="1"/>
      </tp>
      <tp t="s">
        <v>#N/A Requesting Data...</v>
        <stp/>
        <stp>##V3_BDHV12</stp>
        <stp>CL1 Comdty</stp>
        <stp>RSI_30D</stp>
        <stp>10/04/2017</stp>
        <stp>10/04/2017</stp>
        <stp>[Bbg_Market_Data_CL.xlsm]data!R2C14</stp>
        <tr r="N2" s="1"/>
      </tp>
      <tp t="s">
        <v>#N/A Requesting Data...</v>
        <stp/>
        <stp>##V3_BDHV12</stp>
        <stp>CL1 Comdty</stp>
        <stp>RSI_14D</stp>
        <stp>10/04/2017</stp>
        <stp>10/04/2017</stp>
        <stp>[Bbg_Market_Data_CL.xlsm]data!R2C13</stp>
        <tr r="M2" s="1"/>
      </tp>
      <tp t="s">
        <v>#N/A Requesting Data...</v>
        <stp/>
        <stp>##V3_BDHV12</stp>
        <stp>CL1 Comdty</stp>
        <stp>RSI_14D</stp>
        <stp>04/04/2017</stp>
        <stp>04/04/2017</stp>
        <stp>[Bbg_Market_Data_CL.xlsm]data!R6C13</stp>
        <tr r="M6" s="1"/>
      </tp>
      <tp t="s">
        <v>#N/A Requesting Data...</v>
        <stp/>
        <stp>##V3_BDHV12</stp>
        <stp>CL1 Comdty</stp>
        <stp>RSI_14D</stp>
        <stp>05/04/2017</stp>
        <stp>05/04/2017</stp>
        <stp>[Bbg_Market_Data_CL.xlsm]data!R5C13</stp>
        <tr r="M5" s="1"/>
      </tp>
      <tp t="s">
        <v>#N/A Requesting Data...</v>
        <stp/>
        <stp>##V3_BDHV12</stp>
        <stp>CL1 Comdty</stp>
        <stp>RSI_14D</stp>
        <stp>06/04/2017</stp>
        <stp>06/04/2017</stp>
        <stp>[Bbg_Market_Data_CL.xlsm]data!R4C13</stp>
        <tr r="M4" s="1"/>
      </tp>
      <tp t="s">
        <v>#N/A Requesting Data...</v>
        <stp/>
        <stp>##V3_BDHV12</stp>
        <stp>CL1 Comdty</stp>
        <stp>RSI_30D</stp>
        <stp>03/04/2017</stp>
        <stp>03/04/2017</stp>
        <stp>[Bbg_Market_Data_CL.xlsm]data!R7C14</stp>
        <tr r="N7" s="1"/>
      </tp>
      <tp t="s">
        <v>#N/A Requesting Data...</v>
        <stp/>
        <stp>##V3_BDHV12</stp>
        <stp>CL1 Comdty</stp>
        <stp>RSI_14D</stp>
        <stp>07/04/2017</stp>
        <stp>07/04/2017</stp>
        <stp>[Bbg_Market_Data_CL.xlsm]data!R3C13</stp>
        <tr r="M3" s="1"/>
      </tp>
      <tp t="s">
        <v>#N/A Requesting Data...</v>
        <stp/>
        <stp>##V3_BDHV12</stp>
        <stp>CL1 Comdty</stp>
        <stp>RSI_30D</stp>
        <stp>05/04/2017</stp>
        <stp>05/04/2017</stp>
        <stp>[Bbg_Market_Data_CL.xlsm]data!R5C14</stp>
        <tr r="N5" s="1"/>
      </tp>
      <tp t="s">
        <v>#N/A Requesting Data...</v>
        <stp/>
        <stp>##V3_BDHV12</stp>
        <stp>CL1 Comdty</stp>
        <stp>RSI_30D</stp>
        <stp>04/04/2017</stp>
        <stp>04/04/2017</stp>
        <stp>[Bbg_Market_Data_CL.xlsm]data!R6C14</stp>
        <tr r="N6" s="1"/>
      </tp>
      <tp t="s">
        <v>#N/A Requesting Data...</v>
        <stp/>
        <stp>##V3_BDHV12</stp>
        <stp>CL1 Comdty</stp>
        <stp>RSI_30D</stp>
        <stp>07/04/2017</stp>
        <stp>07/04/2017</stp>
        <stp>[Bbg_Market_Data_CL.xlsm]data!R3C14</stp>
        <tr r="N3" s="1"/>
      </tp>
      <tp t="s">
        <v>#N/A Requesting Data...</v>
        <stp/>
        <stp>##V3_BDHV12</stp>
        <stp>CL1 Comdty</stp>
        <stp>RSI_30D</stp>
        <stp>06/04/2017</stp>
        <stp>06/04/2017</stp>
        <stp>[Bbg_Market_Data_CL.xlsm]data!R4C14</stp>
        <tr r="N4" s="1"/>
      </tp>
      <tp t="s">
        <v>#N/A Requesting Data...</v>
        <stp/>
        <stp>##V3_BDHV12</stp>
        <stp>CL1 Comdty</stp>
        <stp>RSI_14D</stp>
        <stp>03/04/2017</stp>
        <stp>03/04/2017</stp>
        <stp>[Bbg_Market_Data_CL.xlsm]data!R7C13</stp>
        <tr r="M7" s="1"/>
      </tp>
      <tp t="s">
        <v>#N/A Requesting Data...</v>
        <stp/>
        <stp>##V3_BDHV12</stp>
        <stp>CL2 Comdty</stp>
        <stp>RSI_14D</stp>
        <stp>30/03/2017</stp>
        <stp>30/03/2017</stp>
        <stp>[Bbg_Market_Data_CL.xlsm]data!R9C13</stp>
        <tr r="M9" s="1"/>
      </tp>
      <tp t="s">
        <v>#N/A Requesting Data...</v>
        <stp/>
        <stp>##V3_BDHV12</stp>
        <stp>CL2 Comdty</stp>
        <stp>RSI_14D</stp>
        <stp>31/03/2017</stp>
        <stp>31/03/2017</stp>
        <stp>[Bbg_Market_Data_CL.xlsm]data!R8C13</stp>
        <tr r="M8" s="1"/>
      </tp>
      <tp t="s">
        <v>#N/A Requesting Data...</v>
        <stp/>
        <stp>##V3_BDHV12</stp>
        <stp>CL2 Comdty</stp>
        <stp>RSI_30D</stp>
        <stp>31/03/2017</stp>
        <stp>31/03/2017</stp>
        <stp>[Bbg_Market_Data_CL.xlsm]data!R8C14</stp>
        <tr r="N8" s="1"/>
      </tp>
      <tp t="s">
        <v>#N/A Requesting Data...</v>
        <stp/>
        <stp>##V3_BDHV12</stp>
        <stp>CL2 Comdty</stp>
        <stp>RSI_30D</stp>
        <stp>30/03/2017</stp>
        <stp>30/03/2017</stp>
        <stp>[Bbg_Market_Data_CL.xlsm]data!R9C14</stp>
        <tr r="N9" s="1"/>
      </tp>
      <tp t="s">
        <v>#N/A Requesting Data...</v>
        <stp/>
        <stp>##V3_BDHV12</stp>
        <stp>CL1 Comdty</stp>
        <stp>RSI_14D</stp>
        <stp>30/03/2017</stp>
        <stp>30/03/2017</stp>
        <stp>[Bbg_Market_Data_CL.xlsm]data!R9C13</stp>
        <tr r="M9" s="1"/>
      </tp>
      <tp t="s">
        <v>#N/A Requesting Data...</v>
        <stp/>
        <stp>##V3_BDHV12</stp>
        <stp>CL1 Comdty</stp>
        <stp>RSI_14D</stp>
        <stp>31/03/2017</stp>
        <stp>31/03/2017</stp>
        <stp>[Bbg_Market_Data_CL.xlsm]data!R8C13</stp>
        <tr r="M8" s="1"/>
      </tp>
      <tp t="s">
        <v>#N/A Requesting Data...</v>
        <stp/>
        <stp>##V3_BDHV12</stp>
        <stp>CL1 Comdty</stp>
        <stp>RSI_30D</stp>
        <stp>31/03/2017</stp>
        <stp>31/03/2017</stp>
        <stp>[Bbg_Market_Data_CL.xlsm]data!R8C14</stp>
        <tr r="N8" s="1"/>
      </tp>
      <tp t="s">
        <v>#N/A Requesting Data...</v>
        <stp/>
        <stp>##V3_BDHV12</stp>
        <stp>CL1 Comdty</stp>
        <stp>RSI_30D</stp>
        <stp>30/03/2017</stp>
        <stp>30/03/2017</stp>
        <stp>[Bbg_Market_Data_CL.xlsm]data!R9C14</stp>
        <tr r="N9" s="1"/>
      </tp>
      <tp>
        <v>48.87</v>
        <stp/>
        <stp>##V3_BDHV12</stp>
        <stp>CL1 Comdty</stp>
        <stp>PX_HIGH</stp>
        <stp>01/09/2015</stp>
        <stp>01/09/2015</stp>
        <stp>[Bbg_Market_Data_CL.xlsm]data!R400C6</stp>
        <tr r="F400" s="1"/>
        <tr r="F400" s="1"/>
      </tp>
      <tp>
        <v>44.67</v>
        <stp/>
        <stp>##V3_BDHV12</stp>
        <stp>CL1 Comdty</stp>
        <stp>PX_HIGH</stp>
        <stp>02/09/2016</stp>
        <stp>02/09/2016</stp>
        <stp>[Bbg_Market_Data_CL.xlsm]data!R150C6</stp>
        <tr r="F150" s="1"/>
        <tr r="F150" s="1"/>
      </tp>
      <tp>
        <v>41.2</v>
        <stp/>
        <stp>##V3_BDHV12</stp>
        <stp>CL1 Comdty</stp>
        <stp>PX_HIGH</stp>
        <stp>03/08/2016</stp>
        <stp>03/08/2016</stp>
        <stp>[Bbg_Market_Data_CL.xlsm]data!R171C6</stp>
        <tr r="F171" s="1"/>
        <tr r="F171" s="1"/>
      </tp>
      <tp t="s">
        <v>#N/A Requesting Data...</v>
        <stp/>
        <stp>##V3_BDHV12</stp>
        <stp>CL2 Comdty</stp>
        <stp>PX_LAST</stp>
        <stp>29/08/2016</stp>
        <stp>29/08/2016</stp>
        <stp>[Bbg_Market_Data_CL.xlsm]data!R154C9</stp>
        <tr r="I154" s="1"/>
      </tp>
      <tp>
        <v>46.41</v>
        <stp/>
        <stp>##V3_BDHV12</stp>
        <stp>CL1 Comdty</stp>
        <stp>PX_HIGH</stp>
        <stp>31/08/2016</stp>
        <stp>31/08/2016</stp>
        <stp>[Bbg_Market_Data_CL.xlsm]data!R152C6</stp>
        <tr r="F152" s="1"/>
        <tr r="F152" s="1"/>
      </tp>
      <tp t="s">
        <v>#N/A Requesting Data...</v>
        <stp/>
        <stp>##V3_BDHV12</stp>
        <stp>CL2 Comdty</stp>
        <stp>PX_LAST</stp>
        <stp>25/05/2016</stp>
        <stp>25/05/2016</stp>
        <stp>[Bbg_Market_Data_CL.xlsm]data!R219C9</stp>
        <tr r="I219" s="1"/>
      </tp>
      <tp t="s">
        <v>#N/A Requesting Data...</v>
        <stp/>
        <stp>##V3_BDHV12</stp>
        <stp>CL2 Comdty</stp>
        <stp>PX_LAST</stp>
        <stp>26/05/2015</stp>
        <stp>26/05/2015</stp>
        <stp>[Bbg_Market_Data_CL.xlsm]data!R469C9</stp>
        <tr r="I469" s="1"/>
      </tp>
      <tp t="s">
        <v>#N/A Requesting Data...</v>
        <stp/>
        <stp>##V3_BDHV12</stp>
        <stp>CL1 Comdty</stp>
        <stp>PX_LAST</stp>
        <stp>14/04/2015</stp>
        <stp>14/04/2015</stp>
        <stp>[Bbg_Market_Data_CL.xlsm]data!R498C9</stp>
        <tr r="I498" s="1"/>
      </tp>
      <tp t="s">
        <v>#N/A Requesting Data...</v>
        <stp/>
        <stp>##V3_BDHV12</stp>
        <stp>CL1 Comdty</stp>
        <stp>PX_LAST</stp>
        <stp>14/04/2016</stp>
        <stp>14/04/2016</stp>
        <stp>[Bbg_Market_Data_CL.xlsm]data!R248C9</stp>
        <tr r="I248" s="1"/>
      </tp>
      <tp t="s">
        <v>#N/A Requesting Data...</v>
        <stp/>
        <stp>##V3_BDHV12</stp>
        <stp>CL2 Comdty</stp>
        <stp>PX_LAST</stp>
        <stp>08/09/2016</stp>
        <stp>08/09/2016</stp>
        <stp>[Bbg_Market_Data_CL.xlsm]data!R147C9</stp>
        <tr r="I147" s="1"/>
      </tp>
      <tp>
        <v>51.93</v>
        <stp/>
        <stp>##V3_BDHV12</stp>
        <stp>CL1 Comdty</stp>
        <stp>PX_HIGH</stp>
        <stp>19/10/2016</stp>
        <stp>19/10/2016</stp>
        <stp>[Bbg_Market_Data_CL.xlsm]data!R119C6</stp>
        <tr r="F119" s="1"/>
        <tr r="F119" s="1"/>
      </tp>
      <tp>
        <v>46.94</v>
        <stp/>
        <stp>##V3_BDHV12</stp>
        <stp>CL1 Comdty</stp>
        <stp>PX_HIGH</stp>
        <stp>03/08/2015</stp>
        <stp>03/08/2015</stp>
        <stp>[Bbg_Market_Data_CL.xlsm]data!R421C6</stp>
        <tr r="F421" s="1"/>
        <tr r="F421" s="1"/>
      </tp>
      <tp t="s">
        <v>#N/A Requesting Data...</v>
        <stp/>
        <stp>##V3_BDHV12</stp>
        <stp>CL1 Comdty</stp>
        <stp>PX_LAST</stp>
        <stp>25/07/2016</stp>
        <stp>25/07/2016</stp>
        <stp>[Bbg_Market_Data_CL.xlsm]data!R178C9</stp>
        <tr r="I178" s="1"/>
      </tp>
      <tp t="s">
        <v>#N/A Requesting Data...</v>
        <stp/>
        <stp>##V3_BDHV12</stp>
        <stp>CL2 Comdty</stp>
        <stp>PX_LAST</stp>
        <stp>11/07/2016</stp>
        <stp>11/07/2016</stp>
        <stp>[Bbg_Market_Data_CL.xlsm]data!R188C9</stp>
        <tr r="I188" s="1"/>
      </tp>
      <tp t="s">
        <v>#N/A Requesting Data...</v>
        <stp/>
        <stp>##V3_BDHV12</stp>
        <stp>CL1 Comdty</stp>
        <stp>PX_LAST</stp>
        <stp>23/06/2016</stp>
        <stp>23/06/2016</stp>
        <stp>[Bbg_Market_Data_CL.xlsm]data!R199C9</stp>
        <tr r="I199" s="1"/>
      </tp>
      <tp>
        <v>43.75</v>
        <stp/>
        <stp>##V3_BDHV12</stp>
        <stp>CL1 Comdty</stp>
        <stp>PX_HIGH</stp>
        <stp>16/09/2016</stp>
        <stp>16/09/2016</stp>
        <stp>[Bbg_Market_Data_CL.xlsm]data!R141C6</stp>
        <tr r="F141" s="1"/>
        <tr r="F141" s="1"/>
      </tp>
      <tp>
        <v>45.25</v>
        <stp/>
        <stp>##V3_BDHV12</stp>
        <stp>CL1 Comdty</stp>
        <stp>PX_HIGH</stp>
        <stp>15/09/2015</stp>
        <stp>15/09/2015</stp>
        <stp>[Bbg_Market_Data_CL.xlsm]data!R391C6</stp>
        <tr r="F391" s="1"/>
        <tr r="F391" s="1"/>
      </tp>
      <tp>
        <v>42.86</v>
        <stp/>
        <stp>##V3_BDHV12</stp>
        <stp>CL1 Comdty</stp>
        <stp>PX_HIGH</stp>
        <stp>27/08/2015</stp>
        <stp>27/08/2015</stp>
        <stp>[Bbg_Market_Data_CL.xlsm]data!R403C6</stp>
        <tr r="F403" s="1"/>
        <tr r="F403" s="1"/>
      </tp>
      <tp t="s">
        <v>#N/A Requesting Data...</v>
        <stp/>
        <stp>##V3_BDHV12</stp>
        <stp>CL1 Comdty</stp>
        <stp>PX_LAST</stp>
        <stp>11/05/2015</stp>
        <stp>11/05/2015</stp>
        <stp>[Bbg_Market_Data_CL.xlsm]data!R479C9</stp>
        <tr r="I479" s="1"/>
      </tp>
      <tp t="s">
        <v>#N/A Requesting Data...</v>
        <stp/>
        <stp>##V3_BDHV12</stp>
        <stp>CL1 Comdty</stp>
        <stp>PX_LAST</stp>
        <stp>23/07/2015</stp>
        <stp>23/07/2015</stp>
        <stp>[Bbg_Market_Data_CL.xlsm]data!R428C9</stp>
        <tr r="I428" s="1"/>
      </tp>
      <tp t="s">
        <v>#N/A Requesting Data...</v>
        <stp/>
        <stp>##V3_BDHV12</stp>
        <stp>CL1 Comdty</stp>
        <stp>PX_LAST</stp>
        <stp>11/05/2016</stp>
        <stp>11/05/2016</stp>
        <stp>[Bbg_Market_Data_CL.xlsm]data!R229C9</stp>
        <tr r="I229" s="1"/>
      </tp>
      <tp t="s">
        <v>#N/A Requesting Data...</v>
        <stp/>
        <stp>##V3_BDHV12</stp>
        <stp>CL1 Comdty</stp>
        <stp>PX_LAST</stp>
        <stp>23/06/2015</stp>
        <stp>23/06/2015</stp>
        <stp>[Bbg_Market_Data_CL.xlsm]data!R449C9</stp>
        <tr r="I449" s="1"/>
      </tp>
      <tp>
        <v>46.47</v>
        <stp/>
        <stp>##V3_BDHV12</stp>
        <stp>CL1 Comdty</stp>
        <stp>PX_HIGH</stp>
        <stp>02/11/2016</stp>
        <stp>02/11/2016</stp>
        <stp>[Bbg_Market_Data_CL.xlsm]data!R109C6</stp>
        <tr r="F109" s="1"/>
        <tr r="F109" s="1"/>
      </tp>
      <tp t="s">
        <v>#N/A Requesting Data...</v>
        <stp/>
        <stp>##V3_BDHV12</stp>
        <stp>CL2 Comdty</stp>
        <stp>PX_LAST</stp>
        <stp>23/09/2015</stp>
        <stp>23/09/2015</stp>
        <stp>[Bbg_Market_Data_CL.xlsm]data!R385C9</stp>
        <tr r="I385" s="1"/>
      </tp>
      <tp>
        <v>42.9</v>
        <stp/>
        <stp>##V3_BDHV12</stp>
        <stp>CL1 Comdty</stp>
        <stp>PX_HIGH</stp>
        <stp>18/08/2015</stp>
        <stp>18/08/2015</stp>
        <stp>[Bbg_Market_Data_CL.xlsm]data!R410C6</stp>
        <tr r="F410" s="1"/>
        <tr r="F410" s="1"/>
      </tp>
      <tp>
        <v>48.32</v>
        <stp/>
        <stp>##V3_BDHV12</stp>
        <stp>CL1 Comdty</stp>
        <stp>PX_HIGH</stp>
        <stp>29/09/2016</stp>
        <stp>29/09/2016</stp>
        <stp>[Bbg_Market_Data_CL.xlsm]data!R132C6</stp>
        <tr r="F132" s="1"/>
        <tr r="F132" s="1"/>
      </tp>
      <tp>
        <v>37.4</v>
        <stp/>
        <stp>##V3_BDHV12</stp>
        <stp>CL1 Comdty</stp>
        <stp>PX_HIGH</stp>
        <stp>30/12/2015</stp>
        <stp>30/12/2015</stp>
        <stp>[Bbg_Market_Data_CL.xlsm]data!R319C6</stp>
        <tr r="F319" s="1"/>
        <tr r="F319" s="1"/>
      </tp>
      <tp t="s">
        <v>#N/A Requesting Data...</v>
        <stp/>
        <stp>##V3_BDHV12</stp>
        <stp>CL1 Comdty</stp>
        <stp>PX_LAST</stp>
        <stp>22/09/2015</stp>
        <stp>22/09/2015</stp>
        <stp>[Bbg_Market_Data_CL.xlsm]data!R386C9</stp>
        <tr r="I386" s="1"/>
      </tp>
      <tp t="s">
        <v>#N/A Requesting Data...</v>
        <stp/>
        <stp>##V3_BDHV12</stp>
        <stp>CL1 Comdty</stp>
        <stp>PX_LAST</stp>
        <stp>12/09/2016</stp>
        <stp>12/09/2016</stp>
        <stp>[Bbg_Market_Data_CL.xlsm]data!R145C9</stp>
        <tr r="I145" s="1"/>
      </tp>
      <tp>
        <v>45.81</v>
        <stp/>
        <stp>##V3_BDHV12</stp>
        <stp>CL1 Comdty</stp>
        <stp>PX_HIGH</stp>
        <stp>02/10/2015</stp>
        <stp>02/10/2015</stp>
        <stp>[Bbg_Market_Data_CL.xlsm]data!R378C6</stp>
        <tr r="F378" s="1"/>
        <tr r="F378" s="1"/>
      </tp>
      <tp t="s">
        <v>#N/A Requesting Data...</v>
        <stp/>
        <stp>##V3_BDHV12</stp>
        <stp>CL2 Comdty</stp>
        <stp>PX_LAST</stp>
        <stp>10/08/2016</stp>
        <stp>10/08/2016</stp>
        <stp>[Bbg_Market_Data_CL.xlsm]data!R167C9</stp>
        <tr r="I167" s="1"/>
      </tp>
      <tp>
        <v>48.75</v>
        <stp/>
        <stp>##V3_BDHV12</stp>
        <stp>CL1 Comdty</stp>
        <stp>PX_HIGH</stp>
        <stp>19/08/2016</stp>
        <stp>19/08/2016</stp>
        <stp>[Bbg_Market_Data_CL.xlsm]data!R160C6</stp>
        <tr r="F160" s="1"/>
        <tr r="F160" s="1"/>
      </tp>
      <tp>
        <v>45.5</v>
        <stp/>
        <stp>##V3_BDHV12</stp>
        <stp>CL1 Comdty</stp>
        <stp>PX_HIGH</stp>
        <stp>28/09/2015</stp>
        <stp>28/09/2015</stp>
        <stp>[Bbg_Market_Data_CL.xlsm]data!R382C6</stp>
        <tr r="F382" s="1"/>
        <tr r="F382" s="1"/>
      </tp>
      <tp>
        <v>39.85</v>
        <stp/>
        <stp>##V3_BDHV12</stp>
        <stp>CL1 Comdty</stp>
        <stp>PX_HIGH</stp>
        <stp>30/03/2016</stp>
        <stp>30/03/2016</stp>
        <stp>[Bbg_Market_Data_CL.xlsm]data!R259C6</stp>
        <tr r="F259" s="1"/>
        <tr r="F259" s="1"/>
      </tp>
      <tp t="s">
        <v>#N/A Requesting Data...</v>
        <stp/>
        <stp>##V3_BDHV12</stp>
        <stp>CL1 Comdty</stp>
        <stp>PX_LAST</stp>
        <stp>12/08/2015</stp>
        <stp>12/08/2015</stp>
        <stp>[Bbg_Market_Data_CL.xlsm]data!R414C9</stp>
        <tr r="I414" s="1"/>
      </tp>
      <tp t="s">
        <v>#N/A Requesting Data...</v>
        <stp/>
        <stp>##V3_BDHV12</stp>
        <stp>CL1 Comdty</stp>
        <stp>PX_LAST</stp>
        <stp>21/08/2015</stp>
        <stp>21/08/2015</stp>
        <stp>[Bbg_Market_Data_CL.xlsm]data!R407C9</stp>
        <tr r="I407" s="1"/>
      </tp>
      <tp t="s">
        <v>#N/A Requesting Data...</v>
        <stp/>
        <stp>##V3_BDHV12</stp>
        <stp>CL1 Comdty</stp>
        <stp>PX_LAST</stp>
        <stp>23/09/2016</stp>
        <stp>23/09/2016</stp>
        <stp>[Bbg_Market_Data_CL.xlsm]data!R136C9</stp>
        <tr r="I136" s="1"/>
      </tp>
      <tp t="s">
        <v>#N/A Requesting Data...</v>
        <stp/>
        <stp>##V3_BDHV12</stp>
        <stp>CL2 Comdty</stp>
        <stp>PX_LAST</stp>
        <stp>26/08/2015</stp>
        <stp>26/08/2015</stp>
        <stp>[Bbg_Market_Data_CL.xlsm]data!R404C9</stp>
        <tr r="I404" s="1"/>
      </tp>
      <tp t="s">
        <v>#N/A Requesting Data...</v>
        <stp/>
        <stp>##V3_BDHV12</stp>
        <stp>CL2 Comdty</stp>
        <stp>PX_LAST</stp>
        <stp>08/07/2016</stp>
        <stp>08/07/2016</stp>
        <stp>[Bbg_Market_Data_CL.xlsm]data!R189C9</stp>
        <tr r="I189" s="1"/>
      </tp>
      <tp t="s">
        <v>#N/A Requesting Data...</v>
        <stp/>
        <stp>##V3_BDHV12</stp>
        <stp>CL2 Comdty</stp>
        <stp>PX_LAST</stp>
        <stp>04/09/2015</stp>
        <stp>04/09/2015</stp>
        <stp>[Bbg_Market_Data_CL.xlsm]data!R397C9</stp>
        <tr r="I397" s="1"/>
      </tp>
      <tp t="s">
        <v>#N/A Requesting Data...</v>
        <stp/>
        <stp>##V3_BDHV12</stp>
        <stp>CL1 Comdty</stp>
        <stp>PX_LAST</stp>
        <stp>24/08/2016</stp>
        <stp>24/08/2016</stp>
        <stp>[Bbg_Market_Data_CL.xlsm]data!R157C9</stp>
        <tr r="I157" s="1"/>
      </tp>
      <tp t="s">
        <v>#N/A Requesting Data...</v>
        <stp/>
        <stp>##V3_BDHV12</stp>
        <stp>CL2 Comdty</stp>
        <stp>PX_LAST</stp>
        <stp>28/04/2016</stp>
        <stp>28/04/2016</stp>
        <stp>[Bbg_Market_Data_CL.xlsm]data!R238C9</stp>
        <tr r="I238" s="1"/>
      </tp>
      <tp>
        <v>49.97</v>
        <stp/>
        <stp>##V3_BDHV12</stp>
        <stp>CL1 Comdty</stp>
        <stp>PX_HIGH</stp>
        <stp>05/10/2016</stp>
        <stp>05/10/2016</stp>
        <stp>[Bbg_Market_Data_CL.xlsm]data!R128C6</stp>
        <tr r="F128" s="1"/>
        <tr r="F128" s="1"/>
      </tp>
      <tp t="s">
        <v>#N/A Requesting Data...</v>
        <stp/>
        <stp>##V3_BDHV12</stp>
        <stp>CL2 Comdty</stp>
        <stp>PX_LAST</stp>
        <stp>26/09/2016</stp>
        <stp>26/09/2016</stp>
        <stp>[Bbg_Market_Data_CL.xlsm]data!R135C9</stp>
        <tr r="I135" s="1"/>
      </tp>
      <tp t="s">
        <v>#N/A Requesting Data...</v>
        <stp/>
        <stp>##V3_BDHV12</stp>
        <stp>CL2 Comdty</stp>
        <stp>PX_LAST</stp>
        <stp>28/04/2015</stp>
        <stp>28/04/2015</stp>
        <stp>[Bbg_Market_Data_CL.xlsm]data!R488C9</stp>
        <tr r="I488" s="1"/>
      </tp>
      <tp>
        <v>42.03</v>
        <stp/>
        <stp>##V3_BDHV12</stp>
        <stp>CL1 Comdty</stp>
        <stp>PX_HIGH</stp>
        <stp>17/11/2015</stp>
        <stp>17/11/2015</stp>
        <stp>[Bbg_Market_Data_CL.xlsm]data!R348C6</stp>
        <tr r="F348" s="1"/>
        <tr r="F348" s="1"/>
      </tp>
      <tp>
        <v>31.77</v>
        <stp/>
        <stp>##V3_BDHV12</stp>
        <stp>CL1 Comdty</stp>
        <stp>PX_HIGH</stp>
        <stp>14/01/2016</stp>
        <stp>14/01/2016</stp>
        <stp>[Bbg_Market_Data_CL.xlsm]data!R309C6</stp>
        <tr r="F309" s="1"/>
        <tr r="F309" s="1"/>
      </tp>
      <tp>
        <v>47.5</v>
        <stp/>
        <stp>##V3_BDHV12</stp>
        <stp>CL1 Comdty</stp>
        <stp>PX_HIGH</stp>
        <stp>16/10/2015</stp>
        <stp>16/10/2015</stp>
        <stp>[Bbg_Market_Data_CL.xlsm]data!R369C6</stp>
        <tr r="F369" s="1"/>
        <tr r="F369" s="1"/>
      </tp>
      <tp t="s">
        <v>#N/A Requesting Data...</v>
        <stp/>
        <stp>##V3_BDHV12</stp>
        <stp>CL1 Comdty</stp>
        <stp>PX_LAST</stp>
        <stp>15/08/2016</stp>
        <stp>15/08/2016</stp>
        <stp>[Bbg_Market_Data_CL.xlsm]data!R164C9</stp>
        <tr r="I164" s="1"/>
      </tp>
      <tp t="s">
        <v>#N/A Requesting Data...</v>
        <stp/>
        <stp>##V3_BDHV12</stp>
        <stp>CL2 Comdty</stp>
        <stp>PX_LAST</stp>
        <stp>08/07/2015</stp>
        <stp>08/07/2015</stp>
        <stp>[Bbg_Market_Data_CL.xlsm]data!R439C9</stp>
        <tr r="I439" s="1"/>
      </tp>
      <tp>
        <v>49.09</v>
        <stp/>
        <stp>##V3_BDHV12</stp>
        <stp>CL1 Comdty</stp>
        <stp>PX_OPEN</stp>
        <stp>25/05/2016</stp>
        <stp>25/05/2016</stp>
        <stp>[Bbg_Market_Data_CL.xlsm]data!R219C5</stp>
        <tr r="E219" s="1"/>
        <tr r="E219" s="1"/>
      </tp>
      <tp>
        <v>60.05</v>
        <stp/>
        <stp>##V3_BDHV12</stp>
        <stp>CL1 Comdty</stp>
        <stp>PX_OPEN</stp>
        <stp>26/05/2015</stp>
        <stp>26/05/2015</stp>
        <stp>[Bbg_Market_Data_CL.xlsm]data!R469C5</stp>
        <tr r="E469" s="1"/>
        <tr r="E469" s="1"/>
      </tp>
      <tp>
        <v>47.22</v>
        <stp/>
        <stp>##V3_BDHV12</stp>
        <stp>CL1 Comdty</stp>
        <stp>PX_OPEN</stp>
        <stp>29/08/2016</stp>
        <stp>29/08/2016</stp>
        <stp>[Bbg_Market_Data_CL.xlsm]data!R154C5</stp>
        <tr r="E154" s="1"/>
        <tr r="E154" s="1"/>
      </tp>
      <tp>
        <v>46.12</v>
        <stp/>
        <stp>##V3_BDHV12</stp>
        <stp>CL1 Comdty</stp>
        <stp>PX_OPEN</stp>
        <stp>08/09/2016</stp>
        <stp>08/09/2016</stp>
        <stp>[Bbg_Market_Data_CL.xlsm]data!R147C5</stp>
        <tr r="E147" s="1"/>
        <tr r="E147" s="1"/>
      </tp>
      <tp>
        <v>45.07</v>
        <stp/>
        <stp>##V3_BDHV12</stp>
        <stp>CL1 Comdty</stp>
        <stp>PX_OPEN</stp>
        <stp>11/07/2016</stp>
        <stp>11/07/2016</stp>
        <stp>[Bbg_Market_Data_CL.xlsm]data!R188C5</stp>
        <tr r="E188" s="1"/>
        <tr r="E188" s="1"/>
      </tp>
      <tp>
        <v>46.54</v>
        <stp/>
        <stp>##V3_BDHV12</stp>
        <stp>CL1 Comdty</stp>
        <stp>PX_OPEN</stp>
        <stp>23/09/2015</stp>
        <stp>23/09/2015</stp>
        <stp>[Bbg_Market_Data_CL.xlsm]data!R385C5</stp>
        <tr r="E385" s="1"/>
        <tr r="E385" s="1"/>
      </tp>
      <tp>
        <v>42.74</v>
        <stp/>
        <stp>##V3_BDHV12</stp>
        <stp>CL1 Comdty</stp>
        <stp>PX_OPEN</stp>
        <stp>10/08/2016</stp>
        <stp>10/08/2016</stp>
        <stp>[Bbg_Market_Data_CL.xlsm]data!R167C5</stp>
        <tr r="E167" s="1"/>
        <tr r="E167" s="1"/>
      </tp>
      <tp>
        <v>45.3</v>
        <stp/>
        <stp>##V3_BDHV12</stp>
        <stp>CL1 Comdty</stp>
        <stp>PX_OPEN</stp>
        <stp>28/04/2016</stp>
        <stp>28/04/2016</stp>
        <stp>[Bbg_Market_Data_CL.xlsm]data!R238C5</stp>
        <tr r="E238" s="1"/>
        <tr r="E238" s="1"/>
      </tp>
      <tp>
        <v>46.68</v>
        <stp/>
        <stp>##V3_BDHV12</stp>
        <stp>CL1 Comdty</stp>
        <stp>PX_OPEN</stp>
        <stp>04/09/2015</stp>
        <stp>04/09/2015</stp>
        <stp>[Bbg_Market_Data_CL.xlsm]data!R397C5</stp>
        <tr r="E397" s="1"/>
        <tr r="E397" s="1"/>
      </tp>
      <tp>
        <v>45.19</v>
        <stp/>
        <stp>##V3_BDHV12</stp>
        <stp>CL1 Comdty</stp>
        <stp>PX_OPEN</stp>
        <stp>08/07/2016</stp>
        <stp>08/07/2016</stp>
        <stp>[Bbg_Market_Data_CL.xlsm]data!R189C5</stp>
        <tr r="E189" s="1"/>
        <tr r="E189" s="1"/>
      </tp>
      <tp>
        <v>39.69</v>
        <stp/>
        <stp>##V3_BDHV12</stp>
        <stp>CL1 Comdty</stp>
        <stp>PX_OPEN</stp>
        <stp>26/08/2015</stp>
        <stp>26/08/2015</stp>
        <stp>[Bbg_Market_Data_CL.xlsm]data!R404C5</stp>
        <tr r="E404" s="1"/>
        <tr r="E404" s="1"/>
      </tp>
      <tp>
        <v>52.91</v>
        <stp/>
        <stp>##V3_BDHV12</stp>
        <stp>CL1 Comdty</stp>
        <stp>PX_OPEN</stp>
        <stp>08/07/2015</stp>
        <stp>08/07/2015</stp>
        <stp>[Bbg_Market_Data_CL.xlsm]data!R439C5</stp>
        <tr r="E439" s="1"/>
        <tr r="E439" s="1"/>
      </tp>
      <tp>
        <v>56.65</v>
        <stp/>
        <stp>##V3_BDHV12</stp>
        <stp>CL1 Comdty</stp>
        <stp>PX_OPEN</stp>
        <stp>28/04/2015</stp>
        <stp>28/04/2015</stp>
        <stp>[Bbg_Market_Data_CL.xlsm]data!R488C5</stp>
        <tr r="E488" s="1"/>
        <tr r="E488" s="1"/>
      </tp>
      <tp>
        <v>44.62</v>
        <stp/>
        <stp>##V3_BDHV12</stp>
        <stp>CL1 Comdty</stp>
        <stp>PX_OPEN</stp>
        <stp>26/09/2016</stp>
        <stp>26/09/2016</stp>
        <stp>[Bbg_Market_Data_CL.xlsm]data!R135C5</stp>
        <tr r="E135" s="1"/>
        <tr r="E135" s="1"/>
      </tp>
      <tp t="s">
        <v>#N/A Requesting Data...</v>
        <stp/>
        <stp>##V3_BDHV12</stp>
        <stp>CL2 Comdty</stp>
        <stp>RSI_14D</stp>
        <stp>03/02/2016</stp>
        <stp>03/02/2016</stp>
        <stp>[Bbg_Market_Data_CL.xlsm]data!R296C13</stp>
        <tr r="M296" s="1"/>
      </tp>
      <tp t="s">
        <v>#N/A Requesting Data...</v>
        <stp/>
        <stp>##V3_BDHV12</stp>
        <stp>CL1 Comdty</stp>
        <stp>RSI_14D</stp>
        <stp>03/02/2016</stp>
        <stp>03/02/2016</stp>
        <stp>[Bbg_Market_Data_CL.xlsm]data!R296C13</stp>
        <tr r="M296" s="1"/>
      </tp>
      <tp t="s">
        <v>#N/A Requesting Data...</v>
        <stp/>
        <stp>##V3_BDHV12</stp>
        <stp>CL2 Comdty</stp>
        <stp>RSI_30D</stp>
        <stp>17/05/2016</stp>
        <stp>17/05/2016</stp>
        <stp>[Bbg_Market_Data_CL.xlsm]data!R225C14</stp>
        <tr r="N225" s="1"/>
      </tp>
      <tp t="s">
        <v>#N/A Requesting Data...</v>
        <stp/>
        <stp>##V3_BDHV12</stp>
        <stp>CL1 Comdty</stp>
        <stp>RSI_30D</stp>
        <stp>17/05/2016</stp>
        <stp>17/05/2016</stp>
        <stp>[Bbg_Market_Data_CL.xlsm]data!R225C14</stp>
        <tr r="N225" s="1"/>
      </tp>
      <tp t="s">
        <v>#N/A Requesting Data...</v>
        <stp/>
        <stp>##V3_BDHV12</stp>
        <stp>CL1 Comdty</stp>
        <stp>RSI_14D</stp>
        <stp>26/06/2015</stp>
        <stp>26/06/2015</stp>
        <stp>[Bbg_Market_Data_CL.xlsm]data!R446C13</stp>
        <tr r="M446" s="1"/>
      </tp>
      <tp t="s">
        <v>#N/A Requesting Data...</v>
        <stp/>
        <stp>##V3_BDHV12</stp>
        <stp>CL2 Comdty</stp>
        <stp>RSI_14D</stp>
        <stp>26/06/2015</stp>
        <stp>26/06/2015</stp>
        <stp>[Bbg_Market_Data_CL.xlsm]data!R446C13</stp>
        <tr r="M446" s="1"/>
      </tp>
      <tp t="s">
        <v>#N/A Requesting Data...</v>
        <stp/>
        <stp>##V3_BDHV12</stp>
        <stp>CL1 Comdty</stp>
        <stp>RSI_30D</stp>
        <stp>07/04/2016</stp>
        <stp>07/04/2016</stp>
        <stp>[Bbg_Market_Data_CL.xlsm]data!R253C14</stp>
        <tr r="N253" s="1"/>
      </tp>
      <tp t="s">
        <v>#N/A Requesting Data...</v>
        <stp/>
        <stp>##V3_BDHV12</stp>
        <stp>CL2 Comdty</stp>
        <stp>RSI_30D</stp>
        <stp>07/04/2016</stp>
        <stp>07/04/2016</stp>
        <stp>[Bbg_Market_Data_CL.xlsm]data!R253C14</stp>
        <tr r="N253" s="1"/>
      </tp>
      <tp t="s">
        <v>#N/A Requesting Data...</v>
        <stp/>
        <stp>##V3_BDHV12</stp>
        <stp>CL1 Comdty</stp>
        <stp>RSI_14D</stp>
        <stp>11/12/2015</stp>
        <stp>11/12/2015</stp>
        <stp>[Bbg_Market_Data_CL.xlsm]data!R331C13</stp>
        <tr r="M331" s="1"/>
      </tp>
      <tp t="s">
        <v>#N/A Requesting Data...</v>
        <stp/>
        <stp>##V3_BDHV12</stp>
        <stp>CL2 Comdty</stp>
        <stp>RSI_14D</stp>
        <stp>11/12/2015</stp>
        <stp>11/12/2015</stp>
        <stp>[Bbg_Market_Data_CL.xlsm]data!R331C13</stp>
        <tr r="M331" s="1"/>
      </tp>
      <tp t="s">
        <v>#N/A Requesting Data...</v>
        <stp/>
        <stp>##V3_BDHV12</stp>
        <stp>CL1 Comdty</stp>
        <stp>RSI_14D</stp>
        <stp>22/01/2016</stp>
        <stp>22/01/2016</stp>
        <stp>[Bbg_Market_Data_CL.xlsm]data!R304C13</stp>
        <tr r="M304" s="1"/>
      </tp>
      <tp t="s">
        <v>#N/A Requesting Data...</v>
        <stp/>
        <stp>##V3_BDHV12</stp>
        <stp>CL2 Comdty</stp>
        <stp>RSI_14D</stp>
        <stp>22/01/2016</stp>
        <stp>22/01/2016</stp>
        <stp>[Bbg_Market_Data_CL.xlsm]data!R304C13</stp>
        <tr r="M304" s="1"/>
      </tp>
      <tp t="s">
        <v>#N/A Requesting Data...</v>
        <stp/>
        <stp>##V3_BDHV12</stp>
        <stp>CL1 Comdty</stp>
        <stp>RSI_30D</stp>
        <stp>15/07/2016</stp>
        <stp>15/07/2016</stp>
        <stp>[Bbg_Market_Data_CL.xlsm]data!R184C14</stp>
        <tr r="N184" s="1"/>
      </tp>
      <tp t="s">
        <v>#N/A Requesting Data...</v>
        <stp/>
        <stp>##V3_BDHV12</stp>
        <stp>CL2 Comdty</stp>
        <stp>RSI_30D</stp>
        <stp>15/07/2016</stp>
        <stp>15/07/2016</stp>
        <stp>[Bbg_Market_Data_CL.xlsm]data!R184C14</stp>
        <tr r="N184" s="1"/>
      </tp>
      <tp t="s">
        <v>#N/A Requesting Data...</v>
        <stp/>
        <stp>##V3_BDHV12</stp>
        <stp>CL2 Comdty</stp>
        <stp>RSI_14D</stp>
        <stp>17/04/2015</stp>
        <stp>17/04/2015</stp>
        <stp>[Bbg_Market_Data_CL.xlsm]data!R495C13</stp>
        <tr r="M495" s="1"/>
      </tp>
      <tp t="s">
        <v>#N/A Requesting Data...</v>
        <stp/>
        <stp>##V3_BDHV12</stp>
        <stp>CL1 Comdty</stp>
        <stp>RSI_14D</stp>
        <stp>17/04/2015</stp>
        <stp>17/04/2015</stp>
        <stp>[Bbg_Market_Data_CL.xlsm]data!R495C13</stp>
        <tr r="M495" s="1"/>
      </tp>
      <tp t="s">
        <v>#N/A Requesting Data...</v>
        <stp/>
        <stp>##V3_BDHV12</stp>
        <stp>CL1 Comdty</stp>
        <stp>RSI_14D</stp>
        <stp>12/02/2016</stp>
        <stp>12/02/2016</stp>
        <stp>[Bbg_Market_Data_CL.xlsm]data!R289C13</stp>
        <tr r="M289" s="1"/>
      </tp>
      <tp t="s">
        <v>#N/A Requesting Data...</v>
        <stp/>
        <stp>##V3_BDHV12</stp>
        <stp>CL2 Comdty</stp>
        <stp>RSI_14D</stp>
        <stp>12/02/2016</stp>
        <stp>12/02/2016</stp>
        <stp>[Bbg_Market_Data_CL.xlsm]data!R289C13</stp>
        <tr r="M289" s="1"/>
      </tp>
      <tp t="s">
        <v>#N/A Requesting Data...</v>
        <stp/>
        <stp>##V3_BDHV12</stp>
        <stp>CL2 Comdty</stp>
        <stp>RSI_14D</stp>
        <stp>07/05/2015</stp>
        <stp>07/05/2015</stp>
        <stp>[Bbg_Market_Data_CL.xlsm]data!R481C13</stp>
        <tr r="M481" s="1"/>
      </tp>
      <tp t="s">
        <v>#N/A Requesting Data...</v>
        <stp/>
        <stp>##V3_BDHV12</stp>
        <stp>CL1 Comdty</stp>
        <stp>RSI_14D</stp>
        <stp>07/05/2015</stp>
        <stp>07/05/2015</stp>
        <stp>[Bbg_Market_Data_CL.xlsm]data!R481C13</stp>
        <tr r="M481" s="1"/>
      </tp>
      <tp t="s">
        <v>#N/A Requesting Data...</v>
        <stp/>
        <stp>##V3_BDHV12</stp>
        <stp>CL1 Comdty</stp>
        <stp>RSI_14D</stp>
        <stp>02/03/2016</stp>
        <stp>02/03/2016</stp>
        <stp>[Bbg_Market_Data_CL.xlsm]data!R278C13</stp>
        <tr r="M278" s="1"/>
      </tp>
      <tp t="s">
        <v>#N/A Requesting Data...</v>
        <stp/>
        <stp>##V3_BDHV12</stp>
        <stp>CL2 Comdty</stp>
        <stp>RSI_14D</stp>
        <stp>02/03/2016</stp>
        <stp>02/03/2016</stp>
        <stp>[Bbg_Market_Data_CL.xlsm]data!R278C13</stp>
        <tr r="M278" s="1"/>
      </tp>
      <tp t="s">
        <v>#N/A Requesting Data...</v>
        <stp/>
        <stp>##V3_BDHV12</stp>
        <stp>CL2 Comdty</stp>
        <stp>RSI_14D</stp>
        <stp>20/10/2015</stp>
        <stp>20/10/2015</stp>
        <stp>[Bbg_Market_Data_CL.xlsm]data!R367C13</stp>
        <tr r="M367" s="1"/>
      </tp>
      <tp t="s">
        <v>#N/A Requesting Data...</v>
        <stp/>
        <stp>##V3_BDHV12</stp>
        <stp>CL1 Comdty</stp>
        <stp>RSI_14D</stp>
        <stp>20/10/2015</stp>
        <stp>20/10/2015</stp>
        <stp>[Bbg_Market_Data_CL.xlsm]data!R367C13</stp>
        <tr r="M367" s="1"/>
      </tp>
      <tp t="s">
        <v>#N/A Requesting Data...</v>
        <stp/>
        <stp>##V3_BDHV12</stp>
        <stp>CL1 Comdty</stp>
        <stp>RSI_14D</stp>
        <stp>30/11/2015</stp>
        <stp>30/11/2015</stp>
        <stp>[Bbg_Market_Data_CL.xlsm]data!R340C13</stp>
        <tr r="M340" s="1"/>
      </tp>
      <tp t="s">
        <v>#N/A Requesting Data...</v>
        <stp/>
        <stp>##V3_BDHV12</stp>
        <stp>CL2 Comdty</stp>
        <stp>RSI_14D</stp>
        <stp>30/11/2015</stp>
        <stp>30/11/2015</stp>
        <stp>[Bbg_Market_Data_CL.xlsm]data!R340C13</stp>
        <tr r="M340" s="1"/>
      </tp>
      <tp t="s">
        <v>#N/A Requesting Data...</v>
        <stp/>
        <stp>##V3_BDHV12</stp>
        <stp>CL1 Comdty</stp>
        <stp>RSI_30D</stp>
        <stp>06/05/2016</stp>
        <stp>06/05/2016</stp>
        <stp>[Bbg_Market_Data_CL.xlsm]data!R232C14</stp>
        <tr r="N232" s="1"/>
      </tp>
      <tp t="s">
        <v>#N/A Requesting Data...</v>
        <stp/>
        <stp>##V3_BDHV12</stp>
        <stp>CL2 Comdty</stp>
        <stp>RSI_30D</stp>
        <stp>06/05/2016</stp>
        <stp>06/05/2016</stp>
        <stp>[Bbg_Market_Data_CL.xlsm]data!R232C14</stp>
        <tr r="N232" s="1"/>
      </tp>
      <tp t="s">
        <v>#N/A Requesting Data...</v>
        <stp/>
        <stp>##V3_BDHV12</stp>
        <stp>CL1 Comdty</stp>
        <stp>RSI_14D</stp>
        <stp>27/07/2015</stp>
        <stp>27/07/2015</stp>
        <stp>[Bbg_Market_Data_CL.xlsm]data!R426C13</stp>
        <tr r="M426" s="1"/>
      </tp>
      <tp t="s">
        <v>#N/A Requesting Data...</v>
        <stp/>
        <stp>##V3_BDHV12</stp>
        <stp>CL2 Comdty</stp>
        <stp>RSI_14D</stp>
        <stp>27/07/2015</stp>
        <stp>27/07/2015</stp>
        <stp>[Bbg_Market_Data_CL.xlsm]data!R426C13</stp>
        <tr r="M426" s="1"/>
      </tp>
      <tp t="s">
        <v>#N/A Requesting Data...</v>
        <stp/>
        <stp>##V3_BDHV12</stp>
        <stp>CL1 Comdty</stp>
        <stp>RSI_14D</stp>
        <stp>24/04/2015</stp>
        <stp>24/04/2015</stp>
        <stp>[Bbg_Market_Data_CL.xlsm]data!R490C13</stp>
        <tr r="M490" s="1"/>
      </tp>
      <tp t="s">
        <v>#N/A Requesting Data...</v>
        <stp/>
        <stp>##V3_BDHV12</stp>
        <stp>CL2 Comdty</stp>
        <stp>RSI_14D</stp>
        <stp>24/04/2015</stp>
        <stp>24/04/2015</stp>
        <stp>[Bbg_Market_Data_CL.xlsm]data!R490C13</stp>
        <tr r="M490" s="1"/>
      </tp>
      <tp t="s">
        <v>#N/A Requesting Data...</v>
        <stp/>
        <stp>##V3_BDHV12</stp>
        <stp>CL2 Comdty</stp>
        <stp>RSI_14D</stp>
        <stp>04/06/2015</stp>
        <stp>04/06/2015</stp>
        <stp>[Bbg_Market_Data_CL.xlsm]data!R462C13</stp>
        <tr r="M462" s="1"/>
      </tp>
      <tp t="s">
        <v>#N/A Requesting Data...</v>
        <stp/>
        <stp>##V3_BDHV12</stp>
        <stp>CL1 Comdty</stp>
        <stp>RSI_14D</stp>
        <stp>04/06/2015</stp>
        <stp>04/06/2015</stp>
        <stp>[Bbg_Market_Data_CL.xlsm]data!R462C13</stp>
        <tr r="M462" s="1"/>
      </tp>
      <tp t="s">
        <v>#N/A Requesting Data...</v>
        <stp/>
        <stp>##V3_BDHV12</stp>
        <stp>CL1 Comdty</stp>
        <stp>RSI_14D</stp>
        <stp>13/10/2015</stp>
        <stp>13/10/2015</stp>
        <stp>[Bbg_Market_Data_CL.xlsm]data!R372C13</stp>
        <tr r="M372" s="1"/>
      </tp>
      <tp t="s">
        <v>#N/A Requesting Data...</v>
        <stp/>
        <stp>##V3_BDHV12</stp>
        <stp>CL2 Comdty</stp>
        <stp>RSI_14D</stp>
        <stp>13/10/2015</stp>
        <stp>13/10/2015</stp>
        <stp>[Bbg_Market_Data_CL.xlsm]data!R372C13</stp>
        <tr r="M372" s="1"/>
      </tp>
      <tp t="s">
        <v>#N/A Requesting Data...</v>
        <stp/>
        <stp>##V3_BDHV12</stp>
        <stp>CL2 Comdty</stp>
        <stp>RSI_14D</stp>
        <stp>31/03/2016</stp>
        <stp>31/03/2016</stp>
        <stp>[Bbg_Market_Data_CL.xlsm]data!R258C13</stp>
        <tr r="M258" s="1"/>
      </tp>
      <tp t="s">
        <v>#N/A Requesting Data...</v>
        <stp/>
        <stp>##V3_BDHV12</stp>
        <stp>CL1 Comdty</stp>
        <stp>RSI_14D</stp>
        <stp>31/03/2016</stp>
        <stp>31/03/2016</stp>
        <stp>[Bbg_Market_Data_CL.xlsm]data!R258C13</stp>
        <tr r="M258" s="1"/>
      </tp>
      <tp t="s">
        <v>#N/A Requesting Data...</v>
        <stp/>
        <stp>##V3_BDHV12</stp>
        <stp>CL1 Comdty</stp>
        <stp>RSI_14D</stp>
        <stp>03/11/2015</stp>
        <stp>03/11/2015</stp>
        <stp>[Bbg_Market_Data_CL.xlsm]data!R357C13</stp>
        <tr r="M357" s="1"/>
      </tp>
      <tp t="s">
        <v>#N/A Requesting Data...</v>
        <stp/>
        <stp>##V3_BDHV12</stp>
        <stp>CL2 Comdty</stp>
        <stp>RSI_14D</stp>
        <stp>03/11/2015</stp>
        <stp>03/11/2015</stp>
        <stp>[Bbg_Market_Data_CL.xlsm]data!R357C13</stp>
        <tr r="M357" s="1"/>
      </tp>
      <tp t="s">
        <v>#N/A Requesting Data...</v>
        <stp/>
        <stp>##V3_BDHV12</stp>
        <stp>CL1 Comdty</stp>
        <stp>RSI_30D</stp>
        <stp>25/04/2016</stp>
        <stp>25/04/2016</stp>
        <stp>[Bbg_Market_Data_CL.xlsm]data!R241C14</stp>
        <tr r="N241" s="1"/>
      </tp>
      <tp t="s">
        <v>#N/A Requesting Data...</v>
        <stp/>
        <stp>##V3_BDHV12</stp>
        <stp>CL2 Comdty</stp>
        <stp>RSI_30D</stp>
        <stp>25/04/2016</stp>
        <stp>25/04/2016</stp>
        <stp>[Bbg_Market_Data_CL.xlsm]data!R241C14</stp>
        <tr r="N241" s="1"/>
      </tp>
      <tp t="s">
        <v>#N/A Requesting Data...</v>
        <stp/>
        <stp>##V3_BDHV12</stp>
        <stp>CL1 Comdty</stp>
        <stp>RSI_14D</stp>
        <stp>14/07/2015</stp>
        <stp>14/07/2015</stp>
        <stp>[Bbg_Market_Data_CL.xlsm]data!R435C13</stp>
        <tr r="M435" s="1"/>
      </tp>
      <tp t="s">
        <v>#N/A Requesting Data...</v>
        <stp/>
        <stp>##V3_BDHV12</stp>
        <stp>CL2 Comdty</stp>
        <stp>RSI_14D</stp>
        <stp>14/07/2015</stp>
        <stp>14/07/2015</stp>
        <stp>[Bbg_Market_Data_CL.xlsm]data!R435C13</stp>
        <tr r="M435" s="1"/>
      </tp>
      <tp t="s">
        <v>#N/A Requesting Data...</v>
        <stp/>
        <stp>##V3_BDHV12</stp>
        <stp>CL1 Comdty</stp>
        <stp>RSI_30D</stp>
        <stp>26/07/2016</stp>
        <stp>26/07/2016</stp>
        <stp>[Bbg_Market_Data_CL.xlsm]data!R177C14</stp>
        <tr r="N177" s="1"/>
      </tp>
      <tp t="s">
        <v>#N/A Requesting Data...</v>
        <stp/>
        <stp>##V3_BDHV12</stp>
        <stp>CL2 Comdty</stp>
        <stp>RSI_30D</stp>
        <stp>26/07/2016</stp>
        <stp>26/07/2016</stp>
        <stp>[Bbg_Market_Data_CL.xlsm]data!R177C14</stp>
        <tr r="N177" s="1"/>
      </tp>
      <tp t="s">
        <v>#N/A Requesting Data...</v>
        <stp/>
        <stp>##V3_BDHV12</stp>
        <stp>CL1 Comdty</stp>
        <stp>RSI_30D</stp>
        <stp>27/06/2016</stp>
        <stp>27/06/2016</stp>
        <stp>[Bbg_Market_Data_CL.xlsm]data!R197C14</stp>
        <tr r="N197" s="1"/>
      </tp>
      <tp t="s">
        <v>#N/A Requesting Data...</v>
        <stp/>
        <stp>##V3_BDHV12</stp>
        <stp>CL2 Comdty</stp>
        <stp>RSI_30D</stp>
        <stp>27/06/2016</stp>
        <stp>27/06/2016</stp>
        <stp>[Bbg_Market_Data_CL.xlsm]data!R197C14</stp>
        <tr r="N197" s="1"/>
      </tp>
      <tp t="s">
        <v>#N/A Requesting Data...</v>
        <stp/>
        <stp>##V3_BDHV12</stp>
        <stp>CL2 Comdty</stp>
        <stp>RSI_30D</stp>
        <stp>14/06/2016</stp>
        <stp>14/06/2016</stp>
        <stp>[Bbg_Market_Data_CL.xlsm]data!R206C14</stp>
        <tr r="N206" s="1"/>
      </tp>
      <tp t="s">
        <v>#N/A Requesting Data...</v>
        <stp/>
        <stp>##V3_BDHV12</stp>
        <stp>CL1 Comdty</stp>
        <stp>RSI_30D</stp>
        <stp>14/06/2016</stp>
        <stp>14/06/2016</stp>
        <stp>[Bbg_Market_Data_CL.xlsm]data!R206C14</stp>
        <tr r="N206" s="1"/>
      </tp>
      <tp t="s">
        <v>#N/A Requesting Data...</v>
        <stp/>
        <stp>##V3_BDHV12</stp>
        <stp>CL2 Comdty</stp>
        <stp>RSI_14D</stp>
        <stp>02/10/2015</stp>
        <stp>02/10/2015</stp>
        <stp>[Bbg_Market_Data_CL.xlsm]data!R378C13</stp>
        <tr r="M378" s="1"/>
      </tp>
      <tp t="s">
        <v>#N/A Requesting Data...</v>
        <stp/>
        <stp>##V3_BDHV12</stp>
        <stp>CL1 Comdty</stp>
        <stp>RSI_14D</stp>
        <stp>02/10/2015</stp>
        <stp>02/10/2015</stp>
        <stp>[Bbg_Market_Data_CL.xlsm]data!R378C13</stp>
        <tr r="M378" s="1"/>
      </tp>
      <tp t="s">
        <v>#N/A Requesting Data...</v>
        <stp/>
        <stp>##V3_BDHV12</stp>
        <stp>CL1 Comdty</stp>
        <stp>RSI_30D</stp>
        <stp>24/05/2016</stp>
        <stp>24/05/2016</stp>
        <stp>[Bbg_Market_Data_CL.xlsm]data!R220C14</stp>
        <tr r="N220" s="1"/>
      </tp>
      <tp t="s">
        <v>#N/A Requesting Data...</v>
        <stp/>
        <stp>##V3_BDHV12</stp>
        <stp>CL2 Comdty</stp>
        <stp>RSI_30D</stp>
        <stp>24/05/2016</stp>
        <stp>24/05/2016</stp>
        <stp>[Bbg_Market_Data_CL.xlsm]data!R220C14</stp>
        <tr r="N220" s="1"/>
      </tp>
      <tp t="s">
        <v>#N/A Requesting Data...</v>
        <stp/>
        <stp>##V3_BDHV12</stp>
        <stp>CL1 Comdty</stp>
        <stp>RSI_14D</stp>
        <stp>15/06/2015</stp>
        <stp>15/06/2015</stp>
        <stp>[Bbg_Market_Data_CL.xlsm]data!R455C13</stp>
        <tr r="M455" s="1"/>
      </tp>
      <tp t="s">
        <v>#N/A Requesting Data...</v>
        <stp/>
        <stp>##V3_BDHV12</stp>
        <stp>CL2 Comdty</stp>
        <stp>RSI_14D</stp>
        <stp>15/06/2015</stp>
        <stp>15/06/2015</stp>
        <stp>[Bbg_Market_Data_CL.xlsm]data!R455C13</stp>
        <tr r="M455" s="1"/>
      </tp>
      <tp t="s">
        <v>#N/A Requesting Data...</v>
        <stp/>
        <stp>##V3_BDHV12</stp>
        <stp>CL2 Comdty</stp>
        <stp>RSI_14D</stp>
        <stp>12/11/2015</stp>
        <stp>12/11/2015</stp>
        <stp>[Bbg_Market_Data_CL.xlsm]data!R351C13</stp>
        <tr r="M351" s="1"/>
      </tp>
      <tp t="s">
        <v>#N/A Requesting Data...</v>
        <stp/>
        <stp>##V3_BDHV12</stp>
        <stp>CL1 Comdty</stp>
        <stp>RSI_14D</stp>
        <stp>12/11/2015</stp>
        <stp>12/11/2015</stp>
        <stp>[Bbg_Market_Data_CL.xlsm]data!R351C13</stp>
        <tr r="M351" s="1"/>
      </tp>
      <tp t="s">
        <v>#N/A Requesting Data...</v>
        <stp/>
        <stp>##V3_BDHV12</stp>
        <stp>CL2 Comdty</stp>
        <stp>RSI_14D</stp>
        <stp>22/12/2015</stp>
        <stp>22/12/2015</stp>
        <stp>[Bbg_Market_Data_CL.xlsm]data!R324C13</stp>
        <tr r="M324" s="1"/>
      </tp>
      <tp t="s">
        <v>#N/A Requesting Data...</v>
        <stp/>
        <stp>##V3_BDHV12</stp>
        <stp>CL1 Comdty</stp>
        <stp>RSI_14D</stp>
        <stp>22/12/2015</stp>
        <stp>22/12/2015</stp>
        <stp>[Bbg_Market_Data_CL.xlsm]data!R324C13</stp>
        <tr r="M324" s="1"/>
      </tp>
      <tp t="s">
        <v>#N/A Requesting Data...</v>
        <stp/>
        <stp>##V3_BDHV12</stp>
        <stp>CL1 Comdty</stp>
        <stp>RSI_14D</stp>
        <stp>11/01/2016</stp>
        <stp>11/01/2016</stp>
        <stp>[Bbg_Market_Data_CL.xlsm]data!R312C13</stp>
        <tr r="M312" s="1"/>
      </tp>
      <tp t="s">
        <v>#N/A Requesting Data...</v>
        <stp/>
        <stp>##V3_BDHV12</stp>
        <stp>CL2 Comdty</stp>
        <stp>RSI_14D</stp>
        <stp>11/01/2016</stp>
        <stp>11/01/2016</stp>
        <stp>[Bbg_Market_Data_CL.xlsm]data!R312C13</stp>
        <tr r="M312" s="1"/>
      </tp>
      <tp t="s">
        <v>#N/A Requesting Data...</v>
        <stp/>
        <stp>##V3_BDHV12</stp>
        <stp>CL2 Comdty</stp>
        <stp>RSI_30D</stp>
        <stp>23/02/2016</stp>
        <stp>23/02/2016</stp>
        <stp>[Bbg_Market_Data_CL.xlsm]data!R284C14</stp>
        <tr r="N284" s="1"/>
      </tp>
      <tp t="s">
        <v>#N/A Requesting Data...</v>
        <stp/>
        <stp>##V3_BDHV12</stp>
        <stp>CL1 Comdty</stp>
        <stp>RSI_30D</stp>
        <stp>23/02/2016</stp>
        <stp>23/02/2016</stp>
        <stp>[Bbg_Market_Data_CL.xlsm]data!R284C14</stp>
        <tr r="N284" s="1"/>
      </tp>
      <tp t="s">
        <v>#N/A Requesting Data...</v>
        <stp/>
        <stp>##V3_BDHV12</stp>
        <stp>CL2 Comdty</stp>
        <stp>RSI_30D</stp>
        <stp>31/12/2015</stp>
        <stp>31/12/2015</stp>
        <stp>[Bbg_Market_Data_CL.xlsm]data!R318C14</stp>
        <tr r="N318" s="1"/>
      </tp>
      <tp t="s">
        <v>#N/A Requesting Data...</v>
        <stp/>
        <stp>##V3_BDHV12</stp>
        <stp>CL1 Comdty</stp>
        <stp>RSI_30D</stp>
        <stp>31/12/2015</stp>
        <stp>31/12/2015</stp>
        <stp>[Bbg_Market_Data_CL.xlsm]data!R318C14</stp>
        <tr r="N318" s="1"/>
      </tp>
      <tp t="s">
        <v>#N/A Requesting Data...</v>
        <stp/>
        <stp>##V3_BDHV12</stp>
        <stp>CL2 Comdty</stp>
        <stp>RSI_30D</stp>
        <stp>16/07/2015</stp>
        <stp>16/07/2015</stp>
        <stp>[Bbg_Market_Data_CL.xlsm]data!R433C14</stp>
        <tr r="N433" s="1"/>
      </tp>
      <tp t="s">
        <v>#N/A Requesting Data...</v>
        <stp/>
        <stp>##V3_BDHV12</stp>
        <stp>CL1 Comdty</stp>
        <stp>RSI_30D</stp>
        <stp>16/07/2015</stp>
        <stp>16/07/2015</stp>
        <stp>[Bbg_Market_Data_CL.xlsm]data!R433C14</stp>
        <tr r="N433" s="1"/>
      </tp>
      <tp t="s">
        <v>#N/A Requesting Data...</v>
        <stp/>
        <stp>##V3_BDHV12</stp>
        <stp>CL1 Comdty</stp>
        <stp>RSI_14D</stp>
        <stp>27/04/2016</stp>
        <stp>27/04/2016</stp>
        <stp>[Bbg_Market_Data_CL.xlsm]data!R239C13</stp>
        <tr r="M239" s="1"/>
      </tp>
      <tp t="s">
        <v>#N/A Requesting Data...</v>
        <stp/>
        <stp>##V3_BDHV12</stp>
        <stp>CL2 Comdty</stp>
        <stp>RSI_14D</stp>
        <stp>27/04/2016</stp>
        <stp>27/04/2016</stp>
        <stp>[Bbg_Market_Data_CL.xlsm]data!R239C13</stp>
        <tr r="M239" s="1"/>
      </tp>
      <tp t="s">
        <v>#N/A Requesting Data...</v>
        <stp/>
        <stp>##V3_BDHV12</stp>
        <stp>CL1 Comdty</stp>
        <stp>RSI_14D</stp>
        <stp>07/06/2016</stp>
        <stp>07/06/2016</stp>
        <stp>[Bbg_Market_Data_CL.xlsm]data!R211C13</stp>
        <tr r="M211" s="1"/>
      </tp>
      <tp t="s">
        <v>#N/A Requesting Data...</v>
        <stp/>
        <stp>##V3_BDHV12</stp>
        <stp>CL2 Comdty</stp>
        <stp>RSI_14D</stp>
        <stp>07/06/2016</stp>
        <stp>07/06/2016</stp>
        <stp>[Bbg_Market_Data_CL.xlsm]data!R211C13</stp>
        <tr r="M211" s="1"/>
      </tp>
      <tp t="s">
        <v>#N/A Requesting Data...</v>
        <stp/>
        <stp>##V3_BDHV12</stp>
        <stp>CL2 Comdty</stp>
        <stp>RSI_30D</stp>
        <stp>21/10/2016</stp>
        <stp>21/10/2016</stp>
        <stp>[Bbg_Market_Data_CL.xlsm]data!R117C14</stp>
        <tr r="N117" s="1"/>
      </tp>
      <tp t="s">
        <v>#N/A Requesting Data...</v>
        <stp/>
        <stp>##V3_BDHV12</stp>
        <stp>CL1 Comdty</stp>
        <stp>RSI_30D</stp>
        <stp>21/10/2016</stp>
        <stp>21/10/2016</stp>
        <stp>[Bbg_Market_Data_CL.xlsm]data!R117C14</stp>
        <tr r="N117" s="1"/>
      </tp>
      <tp t="s">
        <v>#N/A Requesting Data...</v>
        <stp/>
        <stp>##V3_BDHV12</stp>
        <stp>CL2 Comdty</stp>
        <stp>RSI_30D</stp>
        <stp>13/01/2016</stp>
        <stp>13/01/2016</stp>
        <stp>[Bbg_Market_Data_CL.xlsm]data!R310C14</stp>
        <tr r="N310" s="1"/>
      </tp>
      <tp t="s">
        <v>#N/A Requesting Data...</v>
        <stp/>
        <stp>##V3_BDHV12</stp>
        <stp>CL1 Comdty</stp>
        <stp>RSI_30D</stp>
        <stp>13/01/2016</stp>
        <stp>13/01/2016</stp>
        <stp>[Bbg_Market_Data_CL.xlsm]data!R310C14</stp>
        <tr r="N310" s="1"/>
      </tp>
      <tp t="s">
        <v>#N/A Requesting Data...</v>
        <stp/>
        <stp>##V3_BDHV12</stp>
        <stp>CL1 Comdty</stp>
        <stp>RSI_30D</stp>
        <stp>07/07/2015</stp>
        <stp>07/07/2015</stp>
        <stp>[Bbg_Market_Data_CL.xlsm]data!R440C14</stp>
        <tr r="N440" s="1"/>
      </tp>
      <tp t="s">
        <v>#N/A Requesting Data...</v>
        <stp/>
        <stp>##V3_BDHV12</stp>
        <stp>CL2 Comdty</stp>
        <stp>RSI_30D</stp>
        <stp>07/07/2015</stp>
        <stp>07/07/2015</stp>
        <stp>[Bbg_Market_Data_CL.xlsm]data!R440C14</stp>
        <tr r="N440" s="1"/>
      </tp>
      <tp t="s">
        <v>#N/A Requesting Data...</v>
        <stp/>
        <stp>##V3_BDHV12</stp>
        <stp>CL1 Comdty</stp>
        <stp>RSI_30D</stp>
        <stp>10/11/2015</stp>
        <stp>10/11/2015</stp>
        <stp>[Bbg_Market_Data_CL.xlsm]data!R352C14</stp>
        <tr r="N352" s="1"/>
      </tp>
      <tp t="s">
        <v>#N/A Requesting Data...</v>
        <stp/>
        <stp>##V3_BDHV12</stp>
        <stp>CL2 Comdty</stp>
        <stp>RSI_30D</stp>
        <stp>10/11/2015</stp>
        <stp>10/11/2015</stp>
        <stp>[Bbg_Market_Data_CL.xlsm]data!R352C14</stp>
        <tr r="N352" s="1"/>
      </tp>
      <tp t="s">
        <v>#N/A Requesting Data...</v>
        <stp/>
        <stp>##V3_BDHV12</stp>
        <stp>CL2 Comdty</stp>
        <stp>RSI_30D</stp>
        <stp>17/06/2015</stp>
        <stp>17/06/2015</stp>
        <stp>[Bbg_Market_Data_CL.xlsm]data!R453C14</stp>
        <tr r="N453" s="1"/>
      </tp>
      <tp t="s">
        <v>#N/A Requesting Data...</v>
        <stp/>
        <stp>##V3_BDHV12</stp>
        <stp>CL1 Comdty</stp>
        <stp>RSI_30D</stp>
        <stp>17/06/2015</stp>
        <stp>17/06/2015</stp>
        <stp>[Bbg_Market_Data_CL.xlsm]data!R453C14</stp>
        <tr r="N453" s="1"/>
      </tp>
      <tp t="s">
        <v>#N/A Requesting Data...</v>
        <stp/>
        <stp>##V3_BDHV12</stp>
        <stp>CL1 Comdty</stp>
        <stp>RSI_14D</stp>
        <stp>26/05/2016</stp>
        <stp>26/05/2016</stp>
        <stp>[Bbg_Market_Data_CL.xlsm]data!R218C13</stp>
        <tr r="M218" s="1"/>
      </tp>
      <tp t="s">
        <v>#N/A Requesting Data...</v>
        <stp/>
        <stp>##V3_BDHV12</stp>
        <stp>CL1 Comdty</stp>
        <stp>RSI_30D</stp>
        <stp>27/05/2015</stp>
        <stp>27/05/2015</stp>
        <stp>[Bbg_Market_Data_CL.xlsm]data!R468C14</stp>
        <tr r="N468" s="1"/>
      </tp>
      <tp t="s">
        <v>#N/A Requesting Data...</v>
        <stp/>
        <stp>##V3_BDHV12</stp>
        <stp>CL2 Comdty</stp>
        <stp>RSI_14D</stp>
        <stp>26/05/2016</stp>
        <stp>26/05/2016</stp>
        <stp>[Bbg_Market_Data_CL.xlsm]data!R218C13</stp>
        <tr r="M218" s="1"/>
      </tp>
      <tp t="s">
        <v>#N/A Requesting Data...</v>
        <stp/>
        <stp>##V3_BDHV12</stp>
        <stp>CL2 Comdty</stp>
        <stp>RSI_30D</stp>
        <stp>27/05/2015</stp>
        <stp>27/05/2015</stp>
        <stp>[Bbg_Market_Data_CL.xlsm]data!R468C14</stp>
        <tr r="N468" s="1"/>
      </tp>
      <tp t="s">
        <v>#N/A Requesting Data...</v>
        <stp/>
        <stp>##V3_BDHV12</stp>
        <stp>CL2 Comdty</stp>
        <stp>RSI_30D</stp>
        <stp>22/03/2016</stp>
        <stp>22/03/2016</stp>
        <stp>[Bbg_Market_Data_CL.xlsm]data!R264C14</stp>
        <tr r="N264" s="1"/>
      </tp>
      <tp t="s">
        <v>#N/A Requesting Data...</v>
        <stp/>
        <stp>##V3_BDHV12</stp>
        <stp>CL1 Comdty</stp>
        <stp>RSI_30D</stp>
        <stp>22/03/2016</stp>
        <stp>22/03/2016</stp>
        <stp>[Bbg_Market_Data_CL.xlsm]data!R264C14</stp>
        <tr r="N264" s="1"/>
      </tp>
      <tp t="s">
        <v>#N/A Requesting Data...</v>
        <stp/>
        <stp>##V3_BDHV12</stp>
        <stp>CL1 Comdty</stp>
        <stp>RSI_14D</stp>
        <stp>16/06/2016</stp>
        <stp>16/06/2016</stp>
        <stp>[Bbg_Market_Data_CL.xlsm]data!R204C13</stp>
        <tr r="M204" s="1"/>
      </tp>
      <tp t="s">
        <v>#N/A Requesting Data...</v>
        <stp/>
        <stp>##V3_BDHV12</stp>
        <stp>CL2 Comdty</stp>
        <stp>RSI_14D</stp>
        <stp>16/06/2016</stp>
        <stp>16/06/2016</stp>
        <stp>[Bbg_Market_Data_CL.xlsm]data!R204C13</stp>
        <tr r="M204" s="1"/>
      </tp>
      <tp t="s">
        <v>#N/A Requesting Data...</v>
        <stp/>
        <stp>##V3_BDHV12</stp>
        <stp>CL1 Comdty</stp>
        <stp>RSI_30D</stp>
        <stp>01/02/2016</stp>
        <stp>01/02/2016</stp>
        <stp>[Bbg_Market_Data_CL.xlsm]data!R298C14</stp>
        <tr r="N298" s="1"/>
      </tp>
      <tp t="s">
        <v>#N/A Requesting Data...</v>
        <stp/>
        <stp>##V3_BDHV12</stp>
        <stp>CL2 Comdty</stp>
        <stp>RSI_30D</stp>
        <stp>01/02/2016</stp>
        <stp>01/02/2016</stp>
        <stp>[Bbg_Market_Data_CL.xlsm]data!R298C14</stp>
        <tr r="N298" s="1"/>
      </tp>
      <tp t="s">
        <v>#N/A Requesting Data...</v>
        <stp/>
        <stp>##V3_BDHV12</stp>
        <stp>CL1 Comdty</stp>
        <stp>RSI_14D</stp>
        <stp>06/07/2016</stp>
        <stp>06/07/2016</stp>
        <stp>[Bbg_Market_Data_CL.xlsm]data!R191C13</stp>
        <tr r="M191" s="1"/>
      </tp>
      <tp t="s">
        <v>#N/A Requesting Data...</v>
        <stp/>
        <stp>##V3_BDHV12</stp>
        <stp>CL2 Comdty</stp>
        <stp>RSI_14D</stp>
        <stp>06/07/2016</stp>
        <stp>06/07/2016</stp>
        <stp>[Bbg_Market_Data_CL.xlsm]data!R191C13</stp>
        <tr r="M191" s="1"/>
      </tp>
      <tp t="s">
        <v>#N/A Requesting Data...</v>
        <stp/>
        <stp>##V3_BDHV12</stp>
        <stp>CL2 Comdty</stp>
        <stp>RSI_30D</stp>
        <stp>20/01/2016</stp>
        <stp>20/01/2016</stp>
        <stp>[Bbg_Market_Data_CL.xlsm]data!R306C14</stp>
        <tr r="N306" s="1"/>
      </tp>
      <tp t="s">
        <v>#N/A Requesting Data...</v>
        <stp/>
        <stp>##V3_BDHV12</stp>
        <stp>CL1 Comdty</stp>
        <stp>RSI_30D</stp>
        <stp>20/01/2016</stp>
        <stp>20/01/2016</stp>
        <stp>[Bbg_Market_Data_CL.xlsm]data!R306C14</stp>
        <tr r="N306" s="1"/>
      </tp>
      <tp t="s">
        <v>#N/A Requesting Data...</v>
        <stp/>
        <stp>##V3_BDHV12</stp>
        <stp>CL2 Comdty</stp>
        <stp>RSI_30D</stp>
        <stp>02/11/2016</stp>
        <stp>02/11/2016</stp>
        <stp>[Bbg_Market_Data_CL.xlsm]data!R109C14</stp>
        <tr r="N109" s="1"/>
      </tp>
      <tp t="s">
        <v>#N/A Requesting Data...</v>
        <stp/>
        <stp>##V3_BDHV12</stp>
        <stp>CL1 Comdty</stp>
        <stp>RSI_30D</stp>
        <stp>02/11/2016</stp>
        <stp>02/11/2016</stp>
        <stp>[Bbg_Market_Data_CL.xlsm]data!R109C14</stp>
        <tr r="N109" s="1"/>
      </tp>
      <tp t="s">
        <v>#N/A Requesting Data...</v>
        <stp/>
        <stp>##V3_BDHV12</stp>
        <stp>CL2 Comdty</stp>
        <stp>RSI_14D</stp>
        <stp>05/04/2016</stp>
        <stp>05/04/2016</stp>
        <stp>[Bbg_Market_Data_CL.xlsm]data!R255C13</stp>
        <tr r="M255" s="1"/>
      </tp>
      <tp t="s">
        <v>#N/A Requesting Data...</v>
        <stp/>
        <stp>##V3_BDHV12</stp>
        <stp>CL1 Comdty</stp>
        <stp>RSI_14D</stp>
        <stp>05/04/2016</stp>
        <stp>05/04/2016</stp>
        <stp>[Bbg_Market_Data_CL.xlsm]data!R255C13</stp>
        <tr r="M255" s="1"/>
      </tp>
      <tp t="s">
        <v>#N/A Requesting Data...</v>
        <stp/>
        <stp>##V3_BDHV12</stp>
        <stp>CL2 Comdty</stp>
        <stp>RSI_30D</stp>
        <stp>12/10/2016</stp>
        <stp>12/10/2016</stp>
        <stp>[Bbg_Market_Data_CL.xlsm]data!R124C14</stp>
        <tr r="N124" s="1"/>
      </tp>
      <tp t="s">
        <v>#N/A Requesting Data...</v>
        <stp/>
        <stp>##V3_BDHV12</stp>
        <stp>CL1 Comdty</stp>
        <stp>RSI_30D</stp>
        <stp>12/10/2016</stp>
        <stp>12/10/2016</stp>
        <stp>[Bbg_Market_Data_CL.xlsm]data!R124C14</stp>
        <tr r="N124" s="1"/>
      </tp>
      <tp t="s">
        <v>#N/A Requesting Data...</v>
        <stp/>
        <stp>##V3_BDHV12</stp>
        <stp>CL2 Comdty</stp>
        <stp>RSI_30D</stp>
        <stp>24/06/2015</stp>
        <stp>24/06/2015</stp>
        <stp>[Bbg_Market_Data_CL.xlsm]data!R448C14</stp>
        <tr r="N448" s="1"/>
      </tp>
      <tp t="s">
        <v>#N/A Requesting Data...</v>
        <stp/>
        <stp>##V3_BDHV12</stp>
        <stp>CL1 Comdty</stp>
        <stp>RSI_30D</stp>
        <stp>24/06/2015</stp>
        <stp>24/06/2015</stp>
        <stp>[Bbg_Market_Data_CL.xlsm]data!R448C14</stp>
        <tr r="N448" s="1"/>
      </tp>
      <tp t="s">
        <v>#N/A Requesting Data...</v>
        <stp/>
        <stp>##V3_BDHV12</stp>
        <stp>CL1 Comdty</stp>
        <stp>RSI_30D</stp>
        <stp>23/11/2015</stp>
        <stp>23/11/2015</stp>
        <stp>[Bbg_Market_Data_CL.xlsm]data!R344C14</stp>
        <tr r="N344" s="1"/>
      </tp>
      <tp t="s">
        <v>#N/A Requesting Data...</v>
        <stp/>
        <stp>##V3_BDHV12</stp>
        <stp>CL2 Comdty</stp>
        <stp>RSI_30D</stp>
        <stp>23/11/2015</stp>
        <stp>23/11/2015</stp>
        <stp>[Bbg_Market_Data_CL.xlsm]data!R344C14</stp>
        <tr r="N344" s="1"/>
      </tp>
      <tp t="s">
        <v>#N/A Requesting Data...</v>
        <stp/>
        <stp>##V3_BDHV12</stp>
        <stp>CL1 Comdty</stp>
        <stp>RSI_30D</stp>
        <stp>14/05/2015</stp>
        <stp>14/05/2015</stp>
        <stp>[Bbg_Market_Data_CL.xlsm]data!R476C14</stp>
        <tr r="N476" s="1"/>
      </tp>
      <tp t="s">
        <v>#N/A Requesting Data...</v>
        <stp/>
        <stp>##V3_BDHV12</stp>
        <stp>CL1 Comdty</stp>
        <stp>RSI_30D</stp>
        <stp>11/03/2016</stp>
        <stp>11/03/2016</stp>
        <stp>[Bbg_Market_Data_CL.xlsm]data!R271C14</stp>
        <tr r="N271" s="1"/>
      </tp>
      <tp t="s">
        <v>#N/A Requesting Data...</v>
        <stp/>
        <stp>##V3_BDHV12</stp>
        <stp>CL2 Comdty</stp>
        <stp>RSI_30D</stp>
        <stp>11/03/2016</stp>
        <stp>11/03/2016</stp>
        <stp>[Bbg_Market_Data_CL.xlsm]data!R271C14</stp>
        <tr r="N271" s="1"/>
      </tp>
      <tp t="s">
        <v>#N/A Requesting Data...</v>
        <stp/>
        <stp>##V3_BDHV12</stp>
        <stp>CL2 Comdty</stp>
        <stp>RSI_30D</stp>
        <stp>14/05/2015</stp>
        <stp>14/05/2015</stp>
        <stp>[Bbg_Market_Data_CL.xlsm]data!R476C14</stp>
        <tr r="N476" s="1"/>
      </tp>
      <tp t="s">
        <v>#N/A Requesting Data...</v>
        <stp/>
        <stp>##V3_BDHV12</stp>
        <stp>CL1 Comdty</stp>
        <stp>RSI_30D</stp>
        <stp>05/05/2015</stp>
        <stp>05/05/2015</stp>
        <stp>[Bbg_Market_Data_CL.xlsm]data!R483C14</stp>
        <tr r="N483" s="1"/>
      </tp>
      <tp t="s">
        <v>#N/A Requesting Data...</v>
        <stp/>
        <stp>##V3_BDHV12</stp>
        <stp>CL2 Comdty</stp>
        <stp>RSI_30D</stp>
        <stp>05/05/2015</stp>
        <stp>05/05/2015</stp>
        <stp>[Bbg_Market_Data_CL.xlsm]data!R483C14</stp>
        <tr r="N483" s="1"/>
      </tp>
      <tp t="s">
        <v>#N/A Requesting Data...</v>
        <stp/>
        <stp>##V3_BDHV12</stp>
        <stp>CL1 Comdty</stp>
        <stp>RSI_30D</stp>
        <stp>10/02/2016</stp>
        <stp>10/02/2016</stp>
        <stp>[Bbg_Market_Data_CL.xlsm]data!R291C14</stp>
        <tr r="N291" s="1"/>
      </tp>
      <tp t="s">
        <v>#N/A Requesting Data...</v>
        <stp/>
        <stp>##V3_BDHV12</stp>
        <stp>CL1 Comdty</stp>
        <stp>RSI_30D</stp>
        <stp>15/04/2015</stp>
        <stp>15/04/2015</stp>
        <stp>[Bbg_Market_Data_CL.xlsm]data!R497C14</stp>
        <tr r="N497" s="1"/>
      </tp>
      <tp t="s">
        <v>#N/A Requesting Data...</v>
        <stp/>
        <stp>##V3_BDHV12</stp>
        <stp>CL2 Comdty</stp>
        <stp>RSI_30D</stp>
        <stp>10/02/2016</stp>
        <stp>10/02/2016</stp>
        <stp>[Bbg_Market_Data_CL.xlsm]data!R291C14</stp>
        <tr r="N291" s="1"/>
      </tp>
      <tp t="s">
        <v>#N/A Requesting Data...</v>
        <stp/>
        <stp>##V3_BDHV12</stp>
        <stp>CL2 Comdty</stp>
        <stp>RSI_30D</stp>
        <stp>15/04/2015</stp>
        <stp>15/04/2015</stp>
        <stp>[Bbg_Market_Data_CL.xlsm]data!R497C14</stp>
        <tr r="N497" s="1"/>
      </tp>
      <tp t="s">
        <v>#N/A Requesting Data...</v>
        <stp/>
        <stp>##V3_BDHV12</stp>
        <stp>CL1 Comdty</stp>
        <stp>RSI_30D</stp>
        <stp>02/12/2015</stp>
        <stp>02/12/2015</stp>
        <stp>[Bbg_Market_Data_CL.xlsm]data!R338C14</stp>
        <tr r="N338" s="1"/>
      </tp>
      <tp t="s">
        <v>#N/A Requesting Data...</v>
        <stp/>
        <stp>##V3_BDHV12</stp>
        <stp>CL2 Comdty</stp>
        <stp>RSI_30D</stp>
        <stp>02/12/2015</stp>
        <stp>02/12/2015</stp>
        <stp>[Bbg_Market_Data_CL.xlsm]data!R338C14</stp>
        <tr r="N338" s="1"/>
      </tp>
      <tp t="s">
        <v>#N/A Requesting Data...</v>
        <stp/>
        <stp>##V3_BDHV12</stp>
        <stp>CL2 Comdty</stp>
        <stp>RSI_30D</stp>
        <stp>03/10/2016</stp>
        <stp>03/10/2016</stp>
        <stp>[Bbg_Market_Data_CL.xlsm]data!R130C14</stp>
        <tr r="N130" s="1"/>
      </tp>
      <tp t="s">
        <v>#N/A Requesting Data...</v>
        <stp/>
        <stp>##V3_BDHV12</stp>
        <stp>CL1 Comdty</stp>
        <stp>RSI_30D</stp>
        <stp>03/10/2016</stp>
        <stp>03/10/2016</stp>
        <stp>[Bbg_Market_Data_CL.xlsm]data!R130C14</stp>
        <tr r="N130" s="1"/>
      </tp>
      <tp t="s">
        <v>#N/A Requesting Data...</v>
        <stp/>
        <stp>##V3_BDHV12</stp>
        <stp>CL2 Comdty</stp>
        <stp>RSI_14D</stp>
        <stp>14/04/2016</stp>
        <stp>14/04/2016</stp>
        <stp>[Bbg_Market_Data_CL.xlsm]data!R248C13</stp>
        <tr r="M248" s="1"/>
      </tp>
      <tp t="s">
        <v>#N/A Requesting Data...</v>
        <stp/>
        <stp>##V3_BDHV12</stp>
        <stp>CL1 Comdty</stp>
        <stp>RSI_14D</stp>
        <stp>14/04/2016</stp>
        <stp>14/04/2016</stp>
        <stp>[Bbg_Market_Data_CL.xlsm]data!R248C13</stp>
        <tr r="M248" s="1"/>
      </tp>
      <tp t="s">
        <v>#N/A Requesting Data...</v>
        <stp/>
        <stp>##V3_BDHV12</stp>
        <stp>CL2 Comdty</stp>
        <stp>RSI_14D</stp>
        <stp>04/05/2016</stp>
        <stp>04/05/2016</stp>
        <stp>[Bbg_Market_Data_CL.xlsm]data!R234C13</stp>
        <tr r="M234" s="1"/>
      </tp>
      <tp t="s">
        <v>#N/A Requesting Data...</v>
        <stp/>
        <stp>##V3_BDHV12</stp>
        <stp>CL1 Comdty</stp>
        <stp>RSI_14D</stp>
        <stp>04/05/2016</stp>
        <stp>04/05/2016</stp>
        <stp>[Bbg_Market_Data_CL.xlsm]data!R234C13</stp>
        <tr r="M234" s="1"/>
      </tp>
      <tp t="s">
        <v>#N/A Requesting Data...</v>
        <stp/>
        <stp>##V3_BDHV12</stp>
        <stp>CL1 Comdty</stp>
        <stp>RSI_30D</stp>
        <stp>22/10/2015</stp>
        <stp>22/10/2015</stp>
        <stp>[Bbg_Market_Data_CL.xlsm]data!R365C14</stp>
        <tr r="N365" s="1"/>
      </tp>
      <tp t="s">
        <v>#N/A Requesting Data...</v>
        <stp/>
        <stp>##V3_BDHV12</stp>
        <stp>CL2 Comdty</stp>
        <stp>RSI_30D</stp>
        <stp>22/10/2015</stp>
        <stp>22/10/2015</stp>
        <stp>[Bbg_Market_Data_CL.xlsm]data!R365C14</stp>
        <tr r="N365" s="1"/>
      </tp>
      <tp t="s">
        <v>#N/A Requesting Data...</v>
        <stp/>
        <stp>##V3_BDHV12</stp>
        <stp>CL1 Comdty</stp>
        <stp>RSI_14D</stp>
        <stp>29/09/2015</stp>
        <stp>29/09/2015</stp>
        <stp>[Bbg_Market_Data_CL.xlsm]data!R381C13</stp>
        <tr r="M381" s="1"/>
      </tp>
      <tp t="s">
        <v>#N/A Requesting Data...</v>
        <stp/>
        <stp>##V3_BDHV12</stp>
        <stp>CL2 Comdty</stp>
        <stp>RSI_14D</stp>
        <stp>29/09/2015</stp>
        <stp>29/09/2015</stp>
        <stp>[Bbg_Market_Data_CL.xlsm]data!R381C13</stp>
        <tr r="M381" s="1"/>
      </tp>
      <tp t="s">
        <v>#N/A Requesting Data...</v>
        <stp/>
        <stp>##V3_BDHV12</stp>
        <stp>CL2 Comdty</stp>
        <stp>RSI_14D</stp>
        <stp>18/08/2016</stp>
        <stp>18/08/2016</stp>
        <stp>[Bbg_Market_Data_CL.xlsm]data!R161C13</stp>
        <tr r="M161" s="1"/>
      </tp>
      <tp t="s">
        <v>#N/A Requesting Data...</v>
        <stp/>
        <stp>##V3_BDHV12</stp>
        <stp>CL1 Comdty</stp>
        <stp>RSI_14D</stp>
        <stp>18/08/2016</stp>
        <stp>18/08/2016</stp>
        <stp>[Bbg_Market_Data_CL.xlsm]data!R161C13</stp>
        <tr r="M161" s="1"/>
      </tp>
      <tp t="s">
        <v>#N/A Requesting Data...</v>
        <stp/>
        <stp>##V3_BDHV12</stp>
        <stp>CL1 Comdty</stp>
        <stp>RSI_14D</stp>
        <stp>08/09/2016</stp>
        <stp>08/09/2016</stp>
        <stp>[Bbg_Market_Data_CL.xlsm]data!R147C13</stp>
        <tr r="M147" s="1"/>
      </tp>
      <tp t="s">
        <v>#N/A Requesting Data...</v>
        <stp/>
        <stp>##V3_BDHV12</stp>
        <stp>CL2 Comdty</stp>
        <stp>RSI_14D</stp>
        <stp>08/09/2016</stp>
        <stp>08/09/2016</stp>
        <stp>[Bbg_Market_Data_CL.xlsm]data!R147C13</stp>
        <tr r="M147" s="1"/>
      </tp>
      <tp t="s">
        <v>#N/A Requesting Data...</v>
        <stp/>
        <stp>##V3_BDHV12</stp>
        <stp>CL2 Comdty</stp>
        <stp>RSI_14D</stp>
        <stp>09/08/2016</stp>
        <stp>09/08/2016</stp>
        <stp>[Bbg_Market_Data_CL.xlsm]data!R168C13</stp>
        <tr r="M168" s="1"/>
      </tp>
      <tp t="s">
        <v>#N/A Requesting Data...</v>
        <stp/>
        <stp>##V3_BDHV12</stp>
        <stp>CL1 Comdty</stp>
        <stp>RSI_14D</stp>
        <stp>09/08/2016</stp>
        <stp>09/08/2016</stp>
        <stp>[Bbg_Market_Data_CL.xlsm]data!R168C13</stp>
        <tr r="M168" s="1"/>
      </tp>
      <tp t="s">
        <v>#N/A Requesting Data...</v>
        <stp/>
        <stp>##V3_BDHV12</stp>
        <stp>CL2 Comdty</stp>
        <stp>RSI_14D</stp>
        <stp>19/09/2016</stp>
        <stp>19/09/2016</stp>
        <stp>[Bbg_Market_Data_CL.xlsm]data!R140C13</stp>
        <tr r="M140" s="1"/>
      </tp>
      <tp t="s">
        <v>#N/A Requesting Data...</v>
        <stp/>
        <stp>##V3_BDHV12</stp>
        <stp>CL1 Comdty</stp>
        <stp>RSI_14D</stp>
        <stp>19/09/2016</stp>
        <stp>19/09/2016</stp>
        <stp>[Bbg_Market_Data_CL.xlsm]data!R140C13</stp>
        <tr r="M140" s="1"/>
      </tp>
      <tp t="s">
        <v>#N/A Requesting Data...</v>
        <stp/>
        <stp>##V3_BDHV12</stp>
        <stp>CL2 Comdty</stp>
        <stp>RSI_30D</stp>
        <stp>19/08/2015</stp>
        <stp>19/08/2015</stp>
        <stp>[Bbg_Market_Data_CL.xlsm]data!R409C14</stp>
        <tr r="N409" s="1"/>
      </tp>
      <tp t="s">
        <v>#N/A Requesting Data...</v>
        <stp/>
        <stp>##V3_BDHV12</stp>
        <stp>CL1 Comdty</stp>
        <stp>RSI_30D</stp>
        <stp>19/08/2015</stp>
        <stp>19/08/2015</stp>
        <stp>[Bbg_Market_Data_CL.xlsm]data!R409C14</stp>
        <tr r="N409" s="1"/>
      </tp>
      <tp t="s">
        <v>#N/A Requesting Data...</v>
        <stp/>
        <stp>##V3_BDHV12</stp>
        <stp>CL2 Comdty</stp>
        <stp>RSI_30D</stp>
        <stp>09/09/2015</stp>
        <stp>09/09/2015</stp>
        <stp>[Bbg_Market_Data_CL.xlsm]data!R395C14</stp>
        <tr r="N395" s="1"/>
      </tp>
      <tp t="s">
        <v>#N/A Requesting Data...</v>
        <stp/>
        <stp>##V3_BDHV12</stp>
        <stp>CL1 Comdty</stp>
        <stp>RSI_30D</stp>
        <stp>09/09/2015</stp>
        <stp>09/09/2015</stp>
        <stp>[Bbg_Market_Data_CL.xlsm]data!R395C14</stp>
        <tr r="N395" s="1"/>
      </tp>
      <tp t="s">
        <v>#N/A Requesting Data...</v>
        <stp/>
        <stp>##V3_BDHV12</stp>
        <stp>CL2 Comdty</stp>
        <stp>RSI_30D</stp>
        <stp>28/09/2016</stp>
        <stp>28/09/2016</stp>
        <stp>[Bbg_Market_Data_CL.xlsm]data!R133C14</stp>
        <tr r="N133" s="1"/>
      </tp>
      <tp t="s">
        <v>#N/A Requesting Data...</v>
        <stp/>
        <stp>##V3_BDHV12</stp>
        <stp>CL1 Comdty</stp>
        <stp>RSI_30D</stp>
        <stp>28/09/2016</stp>
        <stp>28/09/2016</stp>
        <stp>[Bbg_Market_Data_CL.xlsm]data!R133C14</stp>
        <tr r="N133" s="1"/>
      </tp>
      <tp t="s">
        <v>#N/A Requesting Data...</v>
        <stp/>
        <stp>##V3_BDHV12</stp>
        <stp>CL2 Comdty</stp>
        <stp>RSI_30D</stp>
        <stp>18/09/2015</stp>
        <stp>18/09/2015</stp>
        <stp>[Bbg_Market_Data_CL.xlsm]data!R388C14</stp>
        <tr r="N388" s="1"/>
      </tp>
      <tp t="s">
        <v>#N/A Requesting Data...</v>
        <stp/>
        <stp>##V3_BDHV12</stp>
        <stp>CL1 Comdty</stp>
        <stp>RSI_30D</stp>
        <stp>18/09/2015</stp>
        <stp>18/09/2015</stp>
        <stp>[Bbg_Market_Data_CL.xlsm]data!R388C14</stp>
        <tr r="N388" s="1"/>
      </tp>
      <tp t="s">
        <v>#N/A Requesting Data...</v>
        <stp/>
        <stp>##V3_BDHV12</stp>
        <stp>CL1 Comdty</stp>
        <stp>RSI_30D</stp>
        <stp>29/08/2016</stp>
        <stp>29/08/2016</stp>
        <stp>[Bbg_Market_Data_CL.xlsm]data!R154C14</stp>
        <tr r="N154" s="1"/>
      </tp>
      <tp t="s">
        <v>#N/A Requesting Data...</v>
        <stp/>
        <stp>##V3_BDHV12</stp>
        <stp>CL2 Comdty</stp>
        <stp>RSI_30D</stp>
        <stp>29/08/2016</stp>
        <stp>29/08/2016</stp>
        <stp>[Bbg_Market_Data_CL.xlsm]data!R154C14</stp>
        <tr r="N154" s="1"/>
      </tp>
      <tp t="s">
        <v>#N/A Requesting Data...</v>
        <stp/>
        <stp>##V3_BDHV12</stp>
        <stp>CL2 Comdty</stp>
        <stp>RSI_14D</stp>
        <stp>28/08/2015</stp>
        <stp>28/08/2015</stp>
        <stp>[Bbg_Market_Data_CL.xlsm]data!R402C13</stp>
        <tr r="M402" s="1"/>
      </tp>
      <tp t="s">
        <v>#N/A Requesting Data...</v>
        <stp/>
        <stp>##V3_BDHV12</stp>
        <stp>CL1 Comdty</stp>
        <stp>RSI_14D</stp>
        <stp>28/08/2015</stp>
        <stp>28/08/2015</stp>
        <stp>[Bbg_Market_Data_CL.xlsm]data!R402C13</stp>
        <tr r="M402" s="1"/>
      </tp>
      <tp>
        <v>47.49</v>
        <stp/>
        <stp>##V3_BDHV12</stp>
        <stp>CL1 Comdty</stp>
        <stp>PX_HIGH</stp>
        <stp>19/10/2015</stp>
        <stp>19/10/2015</stp>
        <stp>[Bbg_Market_Data_CL.xlsm]data!R368C6</stp>
        <tr r="F368" s="1"/>
        <tr r="F368" s="1"/>
      </tp>
      <tp>
        <v>47.49</v>
        <stp/>
        <stp>##V3_BDHV12</stp>
        <stp>CL1 Comdty</stp>
        <stp>PX_HIGH</stp>
        <stp>30/08/2016</stp>
        <stp>30/08/2016</stp>
        <stp>[Bbg_Market_Data_CL.xlsm]data!R153C6</stp>
        <tr r="F153" s="1"/>
        <tr r="F153" s="1"/>
      </tp>
      <tp t="s">
        <v>#N/A Requesting Data...</v>
        <stp/>
        <stp>##V3_BDHV12</stp>
        <stp>CL2 Comdty</stp>
        <stp>PX_LAST</stp>
        <stp>27/05/2015</stp>
        <stp>27/05/2015</stp>
        <stp>[Bbg_Market_Data_CL.xlsm]data!R468C9</stp>
        <tr r="I468" s="1"/>
      </tp>
      <tp t="s">
        <v>#N/A Requesting Data...</v>
        <stp/>
        <stp>##V3_BDHV12</stp>
        <stp>CL1 Comdty</stp>
        <stp>PX_LAST</stp>
        <stp>24/06/2015</stp>
        <stp>24/06/2015</stp>
        <stp>[Bbg_Market_Data_CL.xlsm]data!R448C9</stp>
        <tr r="I448" s="1"/>
      </tp>
      <tp t="s">
        <v>#N/A Requesting Data...</v>
        <stp/>
        <stp>##V3_BDHV12</stp>
        <stp>CL1 Comdty</stp>
        <stp>PX_LAST</stp>
        <stp>09/09/2015</stp>
        <stp>09/09/2015</stp>
        <stp>[Bbg_Market_Data_CL.xlsm]data!R395C9</stp>
        <tr r="I395" s="1"/>
      </tp>
      <tp t="s">
        <v>#N/A Requesting Data...</v>
        <stp/>
        <stp>##V3_BDHV12</stp>
        <stp>CL2 Comdty</stp>
        <stp>PX_LAST</stp>
        <stp>27/04/2015</stp>
        <stp>27/04/2015</stp>
        <stp>[Bbg_Market_Data_CL.xlsm]data!R489C9</stp>
        <tr r="I489" s="1"/>
      </tp>
      <tp t="s">
        <v>#N/A Requesting Data...</v>
        <stp/>
        <stp>##V3_BDHV12</stp>
        <stp>CL2 Comdty</stp>
        <stp>PX_LAST</stp>
        <stp>08/09/2015</stp>
        <stp>08/09/2015</stp>
        <stp>[Bbg_Market_Data_CL.xlsm]data!R396C9</stp>
        <tr r="I396" s="1"/>
      </tp>
      <tp t="s">
        <v>#N/A Requesting Data...</v>
        <stp/>
        <stp>##V3_BDHV12</stp>
        <stp>CL2 Comdty</stp>
        <stp>PX_LAST</stp>
        <stp>26/05/2016</stp>
        <stp>26/05/2016</stp>
        <stp>[Bbg_Market_Data_CL.xlsm]data!R218C9</stp>
        <tr r="I218" s="1"/>
      </tp>
      <tp t="s">
        <v>#N/A Requesting Data...</v>
        <stp/>
        <stp>##V3_BDHV12</stp>
        <stp>CL2 Comdty</stp>
        <stp>PX_LAST</stp>
        <stp>27/04/2016</stp>
        <stp>27/04/2016</stp>
        <stp>[Bbg_Market_Data_CL.xlsm]data!R239C9</stp>
        <tr r="I239" s="1"/>
      </tp>
      <tp>
        <v>45.08</v>
        <stp/>
        <stp>##V3_BDHV12</stp>
        <stp>CL1 Comdty</stp>
        <stp>PX_HIGH</stp>
        <stp>01/09/2016</stp>
        <stp>01/09/2016</stp>
        <stp>[Bbg_Market_Data_CL.xlsm]data!R151C6</stp>
        <tr r="F151" s="1"/>
        <tr r="F151" s="1"/>
      </tp>
      <tp t="s">
        <v>#N/A Requesting Data...</v>
        <stp/>
        <stp>##V3_BDHV12</stp>
        <stp>CL1 Comdty</stp>
        <stp>PX_LAST</stp>
        <stp>24/06/2016</stp>
        <stp>24/06/2016</stp>
        <stp>[Bbg_Market_Data_CL.xlsm]data!R198C9</stp>
        <tr r="I198" s="1"/>
      </tp>
      <tp t="s">
        <v>#N/A Requesting Data...</v>
        <stp/>
        <stp>##V3_BDHV12</stp>
        <stp>CL2 Comdty</stp>
        <stp>PX_LAST</stp>
        <stp>09/09/2016</stp>
        <stp>09/09/2016</stp>
        <stp>[Bbg_Market_Data_CL.xlsm]data!R146C9</stp>
        <tr r="I146" s="1"/>
      </tp>
      <tp>
        <v>46.23</v>
        <stp/>
        <stp>##V3_BDHV12</stp>
        <stp>CL1 Comdty</stp>
        <stp>PX_HIGH</stp>
        <stp>04/08/2015</stp>
        <stp>04/08/2015</stp>
        <stp>[Bbg_Market_Data_CL.xlsm]data!R420C6</stp>
        <tr r="F420" s="1"/>
        <tr r="F420" s="1"/>
      </tp>
      <tp t="s">
        <v>#N/A Requesting Data...</v>
        <stp/>
        <stp>##V3_BDHV12</stp>
        <stp>CL2 Comdty</stp>
        <stp>PX_LAST</stp>
        <stp>10/06/2016</stp>
        <stp>10/06/2016</stp>
        <stp>[Bbg_Market_Data_CL.xlsm]data!R208C9</stp>
        <tr r="I208" s="1"/>
      </tp>
      <tp t="s">
        <v>#N/A Requesting Data...</v>
        <stp/>
        <stp>##V3_BDHV12</stp>
        <stp>CL1 Comdty</stp>
        <stp>PX_LAST</stp>
        <stp>22/07/2016</stp>
        <stp>22/07/2016</stp>
        <stp>[Bbg_Market_Data_CL.xlsm]data!R179C9</stp>
        <tr r="I179" s="1"/>
      </tp>
      <tp t="s">
        <v>#N/A Requesting Data...</v>
        <stp/>
        <stp>##V3_BDHV12</stp>
        <stp>CL1 Comdty</stp>
        <stp>PX_LAST</stp>
        <stp>12/05/2016</stp>
        <stp>12/05/2016</stp>
        <stp>[Bbg_Market_Data_CL.xlsm]data!R228C9</stp>
        <tr r="I228" s="1"/>
      </tp>
      <tp t="s">
        <v>#N/A Requesting Data...</v>
        <stp/>
        <stp>##V3_BDHV12</stp>
        <stp>CL1 Comdty</stp>
        <stp>PX_LAST</stp>
        <stp>13/04/2016</stp>
        <stp>13/04/2016</stp>
        <stp>[Bbg_Market_Data_CL.xlsm]data!R249C9</stp>
        <tr r="I249" s="1"/>
      </tp>
      <tp>
        <v>47.35</v>
        <stp/>
        <stp>##V3_BDHV12</stp>
        <stp>CL1 Comdty</stp>
        <stp>PX_HIGH</stp>
        <stp>16/09/2015</stp>
        <stp>16/09/2015</stp>
        <stp>[Bbg_Market_Data_CL.xlsm]data!R390C6</stp>
        <tr r="F390" s="1"/>
        <tr r="F390" s="1"/>
      </tp>
      <tp>
        <v>46.38</v>
        <stp/>
        <stp>##V3_BDHV12</stp>
        <stp>CL1 Comdty</stp>
        <stp>PX_HIGH</stp>
        <stp>25/09/2015</stp>
        <stp>25/09/2015</stp>
        <stp>[Bbg_Market_Data_CL.xlsm]data!R383C6</stp>
        <tr r="F383" s="1"/>
        <tr r="F383" s="1"/>
      </tp>
      <tp>
        <v>42.69</v>
        <stp/>
        <stp>##V3_BDHV12</stp>
        <stp>CL1 Comdty</stp>
        <stp>PX_HIGH</stp>
        <stp>17/08/2015</stp>
        <stp>17/08/2015</stp>
        <stp>[Bbg_Market_Data_CL.xlsm]data!R411C6</stp>
        <tr r="F411" s="1"/>
        <tr r="F411" s="1"/>
      </tp>
      <tp t="s">
        <v>#N/A Requesting Data...</v>
        <stp/>
        <stp>##V3_BDHV12</stp>
        <stp>CL1 Comdty</stp>
        <stp>PX_LAST</stp>
        <stp>13/04/2015</stp>
        <stp>13/04/2015</stp>
        <stp>[Bbg_Market_Data_CL.xlsm]data!R499C9</stp>
        <tr r="I499" s="1"/>
      </tp>
      <tp t="s">
        <v>#N/A Requesting Data...</v>
        <stp/>
        <stp>##V3_BDHV12</stp>
        <stp>CL1 Comdty</stp>
        <stp>PX_LAST</stp>
        <stp>12/05/2015</stp>
        <stp>12/05/2015</stp>
        <stp>[Bbg_Market_Data_CL.xlsm]data!R478C9</stp>
        <tr r="I478" s="1"/>
      </tp>
      <tp>
        <v>42.08</v>
        <stp/>
        <stp>##V3_BDHV12</stp>
        <stp>CL1 Comdty</stp>
        <stp>PX_HIGH</stp>
        <stp>04/08/2016</stp>
        <stp>04/08/2016</stp>
        <stp>[Bbg_Market_Data_CL.xlsm]data!R170C6</stp>
        <tr r="F170" s="1"/>
        <tr r="F170" s="1"/>
      </tp>
      <tp t="s">
        <v>#N/A Requesting Data...</v>
        <stp/>
        <stp>##V3_BDHV12</stp>
        <stp>CL1 Comdty</stp>
        <stp>PX_LAST</stp>
        <stp>22/07/2015</stp>
        <stp>22/07/2015</stp>
        <stp>[Bbg_Market_Data_CL.xlsm]data!R429C9</stp>
        <tr r="I429" s="1"/>
      </tp>
      <tp t="s">
        <v>#N/A Requesting Data...</v>
        <stp/>
        <stp>##V3_BDHV12</stp>
        <stp>CL2 Comdty</stp>
        <stp>PX_LAST</stp>
        <stp>10/06/2015</stp>
        <stp>10/06/2015</stp>
        <stp>[Bbg_Market_Data_CL.xlsm]data!R458C9</stp>
        <tr r="I458" s="1"/>
      </tp>
      <tp>
        <v>47.45</v>
        <stp/>
        <stp>##V3_BDHV12</stp>
        <stp>CL1 Comdty</stp>
        <stp>PX_HIGH</stp>
        <stp>28/09/2016</stp>
        <stp>28/09/2016</stp>
        <stp>[Bbg_Market_Data_CL.xlsm]data!R133C6</stp>
        <tr r="F133" s="1"/>
        <tr r="F133" s="1"/>
      </tp>
      <tp>
        <v>37.79</v>
        <stp/>
        <stp>##V3_BDHV12</stp>
        <stp>CL1 Comdty</stp>
        <stp>PX_HIGH</stp>
        <stp>31/12/2015</stp>
        <stp>31/12/2015</stp>
        <stp>[Bbg_Market_Data_CL.xlsm]data!R318C6</stp>
        <tr r="F318" s="1"/>
        <tr r="F318" s="1"/>
      </tp>
      <tp t="s">
        <v>#N/A Requesting Data...</v>
        <stp/>
        <stp>##V3_BDHV12</stp>
        <stp>CL1 Comdty</stp>
        <stp>PX_LAST</stp>
        <stp>11/08/2015</stp>
        <stp>11/08/2015</stp>
        <stp>[Bbg_Market_Data_CL.xlsm]data!R415C9</stp>
        <tr r="I415" s="1"/>
      </tp>
      <tp t="s">
        <v>#N/A Requesting Data...</v>
        <stp/>
        <stp>##V3_BDHV12</stp>
        <stp>CL1 Comdty</stp>
        <stp>PX_LAST</stp>
        <stp>10/09/2015</stp>
        <stp>10/09/2015</stp>
        <stp>[Bbg_Market_Data_CL.xlsm]data!R394C9</stp>
        <tr r="I394" s="1"/>
      </tp>
      <tp t="s">
        <v>#N/A Requesting Data...</v>
        <stp/>
        <stp>##V3_BDHV12</stp>
        <stp>CL1 Comdty</stp>
        <stp>PX_LAST</stp>
        <stp>13/09/2016</stp>
        <stp>13/09/2016</stp>
        <stp>[Bbg_Market_Data_CL.xlsm]data!R144C9</stp>
        <tr r="I144" s="1"/>
      </tp>
      <tp t="s">
        <v>#N/A Requesting Data...</v>
        <stp/>
        <stp>##V3_BDHV12</stp>
        <stp>CL1 Comdty</stp>
        <stp>PX_LAST</stp>
        <stp>12/08/2016</stp>
        <stp>12/08/2016</stp>
        <stp>[Bbg_Market_Data_CL.xlsm]data!R165C9</stp>
        <tr r="I165" s="1"/>
      </tp>
      <tp>
        <v>45.9</v>
        <stp/>
        <stp>##V3_BDHV12</stp>
        <stp>CL1 Comdty</stp>
        <stp>PX_HIGH</stp>
        <stp>03/11/2016</stp>
        <stp>03/11/2016</stp>
        <stp>[Bbg_Market_Data_CL.xlsm]data!R108C6</stp>
        <tr r="F108" s="1"/>
        <tr r="F108" s="1"/>
      </tp>
      <tp>
        <v>47.1</v>
        <stp/>
        <stp>##V3_BDHV12</stp>
        <stp>CL1 Comdty</stp>
        <stp>PX_HIGH</stp>
        <stp>01/10/2015</stp>
        <stp>01/10/2015</stp>
        <stp>[Bbg_Market_Data_CL.xlsm]data!R379C6</stp>
        <tr r="F379" s="1"/>
        <tr r="F379" s="1"/>
      </tp>
      <tp t="s">
        <v>#N/A Requesting Data...</v>
        <stp/>
        <stp>##V3_BDHV12</stp>
        <stp>CL2 Comdty</stp>
        <stp>PX_LAST</stp>
        <stp>10/08/2015</stp>
        <stp>10/08/2015</stp>
        <stp>[Bbg_Market_Data_CL.xlsm]data!R416C9</stp>
        <tr r="I416" s="1"/>
      </tp>
      <tp>
        <v>45.9</v>
        <stp/>
        <stp>##V3_BDHV12</stp>
        <stp>CL1 Comdty</stp>
        <stp>PX_HIGH</stp>
        <stp>28/08/2015</stp>
        <stp>28/08/2015</stp>
        <stp>[Bbg_Market_Data_CL.xlsm]data!R402C6</stp>
        <tr r="F402" s="1"/>
        <tr r="F402" s="1"/>
      </tp>
      <tp>
        <v>48.38</v>
        <stp/>
        <stp>##V3_BDHV12</stp>
        <stp>CL1 Comdty</stp>
        <stp>PX_HIGH</stp>
        <stp>18/08/2016</stp>
        <stp>18/08/2016</stp>
        <stp>[Bbg_Market_Data_CL.xlsm]data!R161C6</stp>
        <tr r="F161" s="1"/>
        <tr r="F161" s="1"/>
      </tp>
      <tp>
        <v>44.15</v>
        <stp/>
        <stp>##V3_BDHV12</stp>
        <stp>CL1 Comdty</stp>
        <stp>PX_HIGH</stp>
        <stp>19/09/2016</stp>
        <stp>19/09/2016</stp>
        <stp>[Bbg_Market_Data_CL.xlsm]data!R140C6</stp>
        <tr r="F140" s="1"/>
        <tr r="F140" s="1"/>
      </tp>
      <tp>
        <v>39.04</v>
        <stp/>
        <stp>##V3_BDHV12</stp>
        <stp>CL1 Comdty</stp>
        <stp>PX_HIGH</stp>
        <stp>31/03/2016</stp>
        <stp>31/03/2016</stp>
        <stp>[Bbg_Market_Data_CL.xlsm]data!R258C6</stp>
        <tr r="F258" s="1"/>
        <tr r="F258" s="1"/>
      </tp>
      <tp t="s">
        <v>#N/A Requesting Data...</v>
        <stp/>
        <stp>##V3_BDHV12</stp>
        <stp>CL1 Comdty</stp>
        <stp>PX_LAST</stp>
        <stp>21/09/2015</stp>
        <stp>21/09/2015</stp>
        <stp>[Bbg_Market_Data_CL.xlsm]data!R387C9</stp>
        <tr r="I387" s="1"/>
      </tp>
      <tp t="s">
        <v>#N/A Requesting Data...</v>
        <stp/>
        <stp>##V3_BDHV12</stp>
        <stp>CL1 Comdty</stp>
        <stp>PX_LAST</stp>
        <stp>22/09/2016</stp>
        <stp>22/09/2016</stp>
        <stp>[Bbg_Market_Data_CL.xlsm]data!R137C9</stp>
        <tr r="I137" s="1"/>
      </tp>
      <tp>
        <v>46.73</v>
        <stp/>
        <stp>##V3_BDHV12</stp>
        <stp>CL1 Comdty</stp>
        <stp>PX_HIGH</stp>
        <stp>02/11/2015</stp>
        <stp>02/11/2015</stp>
        <stp>[Bbg_Market_Data_CL.xlsm]data!R358C6</stp>
        <tr r="F358" s="1"/>
        <tr r="F358" s="1"/>
      </tp>
      <tp t="s">
        <v>#N/A Requesting Data...</v>
        <stp/>
        <stp>##V3_BDHV12</stp>
        <stp>CL2 Comdty</stp>
        <stp>PX_LAST</stp>
        <stp>11/08/2016</stp>
        <stp>11/08/2016</stp>
        <stp>[Bbg_Market_Data_CL.xlsm]data!R166C9</stp>
        <tr r="I166" s="1"/>
      </tp>
      <tp t="s">
        <v>#N/A Requesting Data...</v>
        <stp/>
        <stp>##V3_BDHV12</stp>
        <stp>CL1 Comdty</stp>
        <stp>PX_LAST</stp>
        <stp>25/08/2016</stp>
        <stp>25/08/2016</stp>
        <stp>[Bbg_Market_Data_CL.xlsm]data!R156C9</stp>
        <tr r="I156" s="1"/>
      </tp>
      <tp t="s">
        <v>#N/A Requesting Data...</v>
        <stp/>
        <stp>##V3_BDHV12</stp>
        <stp>CL2 Comdty</stp>
        <stp>PX_LAST</stp>
        <stp>09/06/2016</stp>
        <stp>09/06/2016</stp>
        <stp>[Bbg_Market_Data_CL.xlsm]data!R209C9</stp>
        <tr r="I209" s="1"/>
      </tp>
      <tp>
        <v>42.25</v>
        <stp/>
        <stp>##V3_BDHV12</stp>
        <stp>CL1 Comdty</stp>
        <stp>PX_HIGH</stp>
        <stp>16/11/2015</stp>
        <stp>16/11/2015</stp>
        <stp>[Bbg_Market_Data_CL.xlsm]data!R349C6</stp>
        <tr r="F349" s="1"/>
        <tr r="F349" s="1"/>
      </tp>
      <tp>
        <v>31.18</v>
        <stp/>
        <stp>##V3_BDHV12</stp>
        <stp>CL1 Comdty</stp>
        <stp>PX_HIGH</stp>
        <stp>15/01/2016</stp>
        <stp>15/01/2016</stp>
        <stp>[Bbg_Market_Data_CL.xlsm]data!R308C6</stp>
        <tr r="F308" s="1"/>
        <tr r="F308" s="1"/>
      </tp>
      <tp t="s">
        <v>#N/A Requesting Data...</v>
        <stp/>
        <stp>##V3_BDHV12</stp>
        <stp>CL1 Comdty</stp>
        <stp>PX_LAST</stp>
        <stp>24/08/2015</stp>
        <stp>24/08/2015</stp>
        <stp>[Bbg_Market_Data_CL.xlsm]data!R406C9</stp>
        <tr r="I406" s="1"/>
      </tp>
      <tp t="s">
        <v>#N/A Requesting Data...</v>
        <stp/>
        <stp>##V3_BDHV12</stp>
        <stp>CL2 Comdty</stp>
        <stp>PX_LAST</stp>
        <stp>09/07/2015</stp>
        <stp>09/07/2015</stp>
        <stp>[Bbg_Market_Data_CL.xlsm]data!R438C9</stp>
        <tr r="I438" s="1"/>
      </tp>
      <tp>
        <v>49.26</v>
        <stp/>
        <stp>##V3_BDHV12</stp>
        <stp>CL1 Comdty</stp>
        <stp>PX_HIGH</stp>
        <stp>04/10/2016</stp>
        <stp>04/10/2016</stp>
        <stp>[Bbg_Market_Data_CL.xlsm]data!R129C6</stp>
        <tr r="F129" s="1"/>
        <tr r="F129" s="1"/>
      </tp>
      <tp t="s">
        <v>#N/A Requesting Data...</v>
        <stp/>
        <stp>##V3_BDHV12</stp>
        <stp>CL2 Comdty</stp>
        <stp>PX_LAST</stp>
        <stp>24/09/2015</stp>
        <stp>24/09/2015</stp>
        <stp>[Bbg_Market_Data_CL.xlsm]data!R384C9</stp>
        <tr r="I384" s="1"/>
      </tp>
      <tp t="s">
        <v>#N/A Requesting Data...</v>
        <stp/>
        <stp>##V3_BDHV12</stp>
        <stp>CL2 Comdty</stp>
        <stp>PX_LAST</stp>
        <stp>27/09/2016</stp>
        <stp>27/09/2016</stp>
        <stp>[Bbg_Market_Data_CL.xlsm]data!R134C9</stp>
        <tr r="I134" s="1"/>
      </tp>
      <tp t="s">
        <v>#N/A Requesting Data...</v>
        <stp/>
        <stp>##V3_BDHV12</stp>
        <stp>CL2 Comdty</stp>
        <stp>PX_LAST</stp>
        <stp>26/08/2016</stp>
        <stp>26/08/2016</stp>
        <stp>[Bbg_Market_Data_CL.xlsm]data!R155C9</stp>
        <tr r="I155" s="1"/>
      </tp>
      <tp t="s">
        <v>#N/A Requesting Data...</v>
        <stp/>
        <stp>##V3_BDHV12</stp>
        <stp>CL2 Comdty</stp>
        <stp>PX_LAST</stp>
        <stp>07/08/2015</stp>
        <stp>07/08/2015</stp>
        <stp>[Bbg_Market_Data_CL.xlsm]data!R417C9</stp>
        <tr r="I417" s="1"/>
      </tp>
      <tp t="s">
        <v>#N/A Requesting Data...</v>
        <stp/>
        <stp>##V3_BDHV12</stp>
        <stp>CL2 Comdty</stp>
        <stp>PX_LAST</stp>
        <stp>25/08/2015</stp>
        <stp>25/08/2015</stp>
        <stp>[Bbg_Market_Data_CL.xlsm]data!R405C9</stp>
        <tr r="I405" s="1"/>
      </tp>
      <tp t="s">
        <v>#N/A Requesting Data...</v>
        <stp/>
        <stp>##V3_BDHV12</stp>
        <stp>CL2 Comdty</stp>
        <stp>PX_LAST</stp>
        <stp>09/06/2015</stp>
        <stp>09/06/2015</stp>
        <stp>[Bbg_Market_Data_CL.xlsm]data!R459C9</stp>
        <tr r="I459" s="1"/>
      </tp>
      <tp>
        <v>45.82</v>
        <stp/>
        <stp>##V3_BDHV12</stp>
        <stp>CL1 Comdty</stp>
        <stp>PX_OPEN</stp>
        <stp>08/09/2015</stp>
        <stp>08/09/2015</stp>
        <stp>[Bbg_Market_Data_CL.xlsm]data!R396C5</stp>
        <tr r="E396" s="1"/>
        <tr r="E396" s="1"/>
      </tp>
      <tp>
        <v>57.3</v>
        <stp/>
        <stp>##V3_BDHV12</stp>
        <stp>CL1 Comdty</stp>
        <stp>PX_OPEN</stp>
        <stp>27/04/2015</stp>
        <stp>27/04/2015</stp>
        <stp>[Bbg_Market_Data_CL.xlsm]data!R489C5</stp>
        <tr r="E489" s="1"/>
        <tr r="E489" s="1"/>
      </tp>
      <tp>
        <v>58.32</v>
        <stp/>
        <stp>##V3_BDHV12</stp>
        <stp>CL1 Comdty</stp>
        <stp>PX_OPEN</stp>
        <stp>27/05/2015</stp>
        <stp>27/05/2015</stp>
        <stp>[Bbg_Market_Data_CL.xlsm]data!R468C5</stp>
        <tr r="E468" s="1"/>
        <tr r="E468" s="1"/>
      </tp>
      <tp>
        <v>47.36</v>
        <stp/>
        <stp>##V3_BDHV12</stp>
        <stp>CL1 Comdty</stp>
        <stp>PX_OPEN</stp>
        <stp>09/09/2016</stp>
        <stp>09/09/2016</stp>
        <stp>[Bbg_Market_Data_CL.xlsm]data!R146C5</stp>
        <tr r="E146" s="1"/>
        <tr r="E146" s="1"/>
      </tp>
      <tp>
        <v>49.7</v>
        <stp/>
        <stp>##V3_BDHV12</stp>
        <stp>CL1 Comdty</stp>
        <stp>PX_OPEN</stp>
        <stp>26/05/2016</stp>
        <stp>26/05/2016</stp>
        <stp>[Bbg_Market_Data_CL.xlsm]data!R218C5</stp>
        <tr r="E218" s="1"/>
        <tr r="E218" s="1"/>
      </tp>
      <tp>
        <v>44.64</v>
        <stp/>
        <stp>##V3_BDHV12</stp>
        <stp>CL1 Comdty</stp>
        <stp>PX_OPEN</stp>
        <stp>27/04/2016</stp>
        <stp>27/04/2016</stp>
        <stp>[Bbg_Market_Data_CL.xlsm]data!R239C5</stp>
        <tr r="E239" s="1"/>
        <tr r="E239" s="1"/>
      </tp>
      <tp>
        <v>50.47</v>
        <stp/>
        <stp>##V3_BDHV12</stp>
        <stp>CL1 Comdty</stp>
        <stp>PX_OPEN</stp>
        <stp>10/06/2016</stp>
        <stp>10/06/2016</stp>
        <stp>[Bbg_Market_Data_CL.xlsm]data!R208C5</stp>
        <tr r="E208" s="1"/>
        <tr r="E208" s="1"/>
      </tp>
      <tp>
        <v>60.58</v>
        <stp/>
        <stp>##V3_BDHV12</stp>
        <stp>CL1 Comdty</stp>
        <stp>PX_OPEN</stp>
        <stp>10/06/2015</stp>
        <stp>10/06/2015</stp>
        <stp>[Bbg_Market_Data_CL.xlsm]data!R458C5</stp>
        <tr r="E458" s="1"/>
        <tr r="E458" s="1"/>
      </tp>
      <tp>
        <v>43.58</v>
        <stp/>
        <stp>##V3_BDHV12</stp>
        <stp>CL1 Comdty</stp>
        <stp>PX_OPEN</stp>
        <stp>10/08/2015</stp>
        <stp>10/08/2015</stp>
        <stp>[Bbg_Market_Data_CL.xlsm]data!R416C5</stp>
        <tr r="E416" s="1"/>
        <tr r="E416" s="1"/>
      </tp>
      <tp>
        <v>41.48</v>
        <stp/>
        <stp>##V3_BDHV12</stp>
        <stp>CL1 Comdty</stp>
        <stp>PX_OPEN</stp>
        <stp>11/08/2016</stp>
        <stp>11/08/2016</stp>
        <stp>[Bbg_Market_Data_CL.xlsm]data!R166C5</stp>
        <tr r="E166" s="1"/>
        <tr r="E166" s="1"/>
      </tp>
      <tp>
        <v>51.45</v>
        <stp/>
        <stp>##V3_BDHV12</stp>
        <stp>CL1 Comdty</stp>
        <stp>PX_OPEN</stp>
        <stp>09/06/2016</stp>
        <stp>09/06/2016</stp>
        <stp>[Bbg_Market_Data_CL.xlsm]data!R209C5</stp>
        <tr r="E209" s="1"/>
        <tr r="E209" s="1"/>
      </tp>
      <tp>
        <v>58.31</v>
        <stp/>
        <stp>##V3_BDHV12</stp>
        <stp>CL1 Comdty</stp>
        <stp>PX_OPEN</stp>
        <stp>09/06/2015</stp>
        <stp>09/06/2015</stp>
        <stp>[Bbg_Market_Data_CL.xlsm]data!R459C5</stp>
        <tr r="E459" s="1"/>
        <tr r="E459" s="1"/>
      </tp>
      <tp>
        <v>45.62</v>
        <stp/>
        <stp>##V3_BDHV12</stp>
        <stp>CL1 Comdty</stp>
        <stp>PX_OPEN</stp>
        <stp>27/09/2016</stp>
        <stp>27/09/2016</stp>
        <stp>[Bbg_Market_Data_CL.xlsm]data!R134C5</stp>
        <tr r="E134" s="1"/>
        <tr r="E134" s="1"/>
      </tp>
      <tp>
        <v>47.37</v>
        <stp/>
        <stp>##V3_BDHV12</stp>
        <stp>CL1 Comdty</stp>
        <stp>PX_OPEN</stp>
        <stp>26/08/2016</stp>
        <stp>26/08/2016</stp>
        <stp>[Bbg_Market_Data_CL.xlsm]data!R155C5</stp>
        <tr r="E155" s="1"/>
        <tr r="E155" s="1"/>
      </tp>
      <tp>
        <v>44.62</v>
        <stp/>
        <stp>##V3_BDHV12</stp>
        <stp>CL1 Comdty</stp>
        <stp>PX_OPEN</stp>
        <stp>24/09/2015</stp>
        <stp>24/09/2015</stp>
        <stp>[Bbg_Market_Data_CL.xlsm]data!R384C5</stp>
        <tr r="E384" s="1"/>
        <tr r="E384" s="1"/>
      </tp>
      <tp>
        <v>38.18</v>
        <stp/>
        <stp>##V3_BDHV12</stp>
        <stp>CL1 Comdty</stp>
        <stp>PX_OPEN</stp>
        <stp>25/08/2015</stp>
        <stp>25/08/2015</stp>
        <stp>[Bbg_Market_Data_CL.xlsm]data!R405C5</stp>
        <tr r="E405" s="1"/>
        <tr r="E405" s="1"/>
      </tp>
      <tp>
        <v>44.82</v>
        <stp/>
        <stp>##V3_BDHV12</stp>
        <stp>CL1 Comdty</stp>
        <stp>PX_OPEN</stp>
        <stp>07/08/2015</stp>
        <stp>07/08/2015</stp>
        <stp>[Bbg_Market_Data_CL.xlsm]data!R417C5</stp>
        <tr r="E417" s="1"/>
        <tr r="E417" s="1"/>
      </tp>
      <tp>
        <v>51.83</v>
        <stp/>
        <stp>##V3_BDHV12</stp>
        <stp>CL1 Comdty</stp>
        <stp>PX_OPEN</stp>
        <stp>09/07/2015</stp>
        <stp>09/07/2015</stp>
        <stp>[Bbg_Market_Data_CL.xlsm]data!R438C5</stp>
        <tr r="E438" s="1"/>
        <tr r="E438" s="1"/>
      </tp>
      <tp t="s">
        <v>#N/A Requesting Data...</v>
        <stp/>
        <stp>##V3_BDHV12</stp>
        <stp>CL1 Comdty</stp>
        <stp>RSI_30D</stp>
        <stp>14/07/2016</stp>
        <stp>14/07/2016</stp>
        <stp>[Bbg_Market_Data_CL.xlsm]data!R185C14</stp>
        <tr r="N185" s="1"/>
      </tp>
      <tp t="s">
        <v>#N/A Requesting Data...</v>
        <stp/>
        <stp>##V3_BDHV12</stp>
        <stp>CL2 Comdty</stp>
        <stp>RSI_30D</stp>
        <stp>14/07/2016</stp>
        <stp>14/07/2016</stp>
        <stp>[Bbg_Market_Data_CL.xlsm]data!R185C14</stp>
        <tr r="N185" s="1"/>
      </tp>
      <tp t="s">
        <v>#N/A Requesting Data...</v>
        <stp/>
        <stp>##V3_BDHV12</stp>
        <stp>CL1 Comdty</stp>
        <stp>RSI_14D</stp>
        <stp>16/04/2015</stp>
        <stp>16/04/2015</stp>
        <stp>[Bbg_Market_Data_CL.xlsm]data!R496C13</stp>
        <tr r="M496" s="1"/>
      </tp>
      <tp t="s">
        <v>#N/A Requesting Data...</v>
        <stp/>
        <stp>##V3_BDHV12</stp>
        <stp>CL2 Comdty</stp>
        <stp>RSI_14D</stp>
        <stp>16/04/2015</stp>
        <stp>16/04/2015</stp>
        <stp>[Bbg_Market_Data_CL.xlsm]data!R496C13</stp>
        <tr r="M496" s="1"/>
      </tp>
      <tp t="s">
        <v>#N/A Requesting Data...</v>
        <stp/>
        <stp>##V3_BDHV12</stp>
        <stp>CL1 Comdty</stp>
        <stp>RSI_14D</stp>
        <stp>06/05/2015</stp>
        <stp>06/05/2015</stp>
        <stp>[Bbg_Market_Data_CL.xlsm]data!R482C13</stp>
        <tr r="M482" s="1"/>
      </tp>
      <tp t="s">
        <v>#N/A Requesting Data...</v>
        <stp/>
        <stp>##V3_BDHV12</stp>
        <stp>CL2 Comdty</stp>
        <stp>RSI_14D</stp>
        <stp>06/05/2015</stp>
        <stp>06/05/2015</stp>
        <stp>[Bbg_Market_Data_CL.xlsm]data!R482C13</stp>
        <tr r="M482" s="1"/>
      </tp>
      <tp t="s">
        <v>#N/A Requesting Data...</v>
        <stp/>
        <stp>##V3_BDHV12</stp>
        <stp>CL2 Comdty</stp>
        <stp>RSI_14D</stp>
        <stp>21/10/2015</stp>
        <stp>21/10/2015</stp>
        <stp>[Bbg_Market_Data_CL.xlsm]data!R366C13</stp>
        <tr r="M366" s="1"/>
      </tp>
      <tp t="s">
        <v>#N/A Requesting Data...</v>
        <stp/>
        <stp>##V3_BDHV12</stp>
        <stp>CL2 Comdty</stp>
        <stp>RSI_14D</stp>
        <stp>03/03/2016</stp>
        <stp>03/03/2016</stp>
        <stp>[Bbg_Market_Data_CL.xlsm]data!R277C13</stp>
        <tr r="M277" s="1"/>
      </tp>
      <tp t="s">
        <v>#N/A Requesting Data...</v>
        <stp/>
        <stp>##V3_BDHV12</stp>
        <stp>CL1 Comdty</stp>
        <stp>RSI_14D</stp>
        <stp>03/03/2016</stp>
        <stp>03/03/2016</stp>
        <stp>[Bbg_Market_Data_CL.xlsm]data!R277C13</stp>
        <tr r="M277" s="1"/>
      </tp>
      <tp t="s">
        <v>#N/A Requesting Data...</v>
        <stp/>
        <stp>##V3_BDHV12</stp>
        <stp>CL1 Comdty</stp>
        <stp>RSI_14D</stp>
        <stp>21/10/2015</stp>
        <stp>21/10/2015</stp>
        <stp>[Bbg_Market_Data_CL.xlsm]data!R366C13</stp>
        <tr r="M366" s="1"/>
      </tp>
      <tp t="s">
        <v>#N/A Requesting Data...</v>
        <stp/>
        <stp>##V3_BDHV12</stp>
        <stp>CL1 Comdty</stp>
        <stp>RSI_14D</stp>
        <stp>01/12/2015</stp>
        <stp>01/12/2015</stp>
        <stp>[Bbg_Market_Data_CL.xlsm]data!R339C13</stp>
        <tr r="M339" s="1"/>
      </tp>
      <tp t="s">
        <v>#N/A Requesting Data...</v>
        <stp/>
        <stp>##V3_BDHV12</stp>
        <stp>CL2 Comdty</stp>
        <stp>RSI_14D</stp>
        <stp>01/12/2015</stp>
        <stp>01/12/2015</stp>
        <stp>[Bbg_Market_Data_CL.xlsm]data!R339C13</stp>
        <tr r="M339" s="1"/>
      </tp>
      <tp t="s">
        <v>#N/A Requesting Data...</v>
        <stp/>
        <stp>##V3_BDHV12</stp>
        <stp>CL1 Comdty</stp>
        <stp>RSI_14D</stp>
        <stp>10/11/2016</stp>
        <stp>10/11/2016</stp>
        <stp>[Bbg_Market_Data_CL.xlsm]data!R103C13</stp>
        <tr r="M103" s="1"/>
      </tp>
      <tp t="s">
        <v>#N/A Requesting Data...</v>
        <stp/>
        <stp>##V3_BDHV12</stp>
        <stp>CL2 Comdty</stp>
        <stp>RSI_14D</stp>
        <stp>10/11/2016</stp>
        <stp>10/11/2016</stp>
        <stp>[Bbg_Market_Data_CL.xlsm]data!R103C13</stp>
        <tr r="M103" s="1"/>
      </tp>
      <tp t="s">
        <v>#N/A Requesting Data...</v>
        <stp/>
        <stp>##V3_BDHV12</stp>
        <stp>CL2 Comdty</stp>
        <stp>RSI_30D</stp>
        <stp>05/07/2016</stp>
        <stp>05/07/2016</stp>
        <stp>[Bbg_Market_Data_CL.xlsm]data!R192C14</stp>
        <tr r="N192" s="1"/>
      </tp>
      <tp t="s">
        <v>#N/A Requesting Data...</v>
        <stp/>
        <stp>##V3_BDHV12</stp>
        <stp>CL1 Comdty</stp>
        <stp>RSI_30D</stp>
        <stp>05/07/2016</stp>
        <stp>05/07/2016</stp>
        <stp>[Bbg_Market_Data_CL.xlsm]data!R192C14</stp>
        <tr r="N192" s="1"/>
      </tp>
      <tp t="s">
        <v>#N/A Requesting Data...</v>
        <stp/>
        <stp>##V3_BDHV12</stp>
        <stp>CL2 Comdty</stp>
        <stp>RSI_14D</stp>
        <stp>02/02/2016</stp>
        <stp>02/02/2016</stp>
        <stp>[Bbg_Market_Data_CL.xlsm]data!R297C13</stp>
        <tr r="M297" s="1"/>
      </tp>
      <tp t="s">
        <v>#N/A Requesting Data...</v>
        <stp/>
        <stp>##V3_BDHV12</stp>
        <stp>CL1 Comdty</stp>
        <stp>RSI_14D</stp>
        <stp>02/02/2016</stp>
        <stp>02/02/2016</stp>
        <stp>[Bbg_Market_Data_CL.xlsm]data!R297C13</stp>
        <tr r="M297" s="1"/>
      </tp>
      <tp t="s">
        <v>#N/A Requesting Data...</v>
        <stp/>
        <stp>##V3_BDHV12</stp>
        <stp>CL1 Comdty</stp>
        <stp>RSI_14D</stp>
        <stp>20/11/2015</stp>
        <stp>20/11/2015</stp>
        <stp>[Bbg_Market_Data_CL.xlsm]data!R345C13</stp>
        <tr r="M345" s="1"/>
      </tp>
      <tp t="s">
        <v>#N/A Requesting Data...</v>
        <stp/>
        <stp>##V3_BDHV12</stp>
        <stp>CL2 Comdty</stp>
        <stp>RSI_14D</stp>
        <stp>20/11/2015</stp>
        <stp>20/11/2015</stp>
        <stp>[Bbg_Market_Data_CL.xlsm]data!R345C13</stp>
        <tr r="M345" s="1"/>
      </tp>
      <tp t="s">
        <v>#N/A Requesting Data...</v>
        <stp/>
        <stp>##V3_BDHV12</stp>
        <stp>CL1 Comdty</stp>
        <stp>RSI_30D</stp>
        <stp>16/05/2016</stp>
        <stp>16/05/2016</stp>
        <stp>[Bbg_Market_Data_CL.xlsm]data!R226C14</stp>
        <tr r="N226" s="1"/>
      </tp>
      <tp t="s">
        <v>#N/A Requesting Data...</v>
        <stp/>
        <stp>##V3_BDHV12</stp>
        <stp>CL2 Comdty</stp>
        <stp>RSI_30D</stp>
        <stp>16/05/2016</stp>
        <stp>16/05/2016</stp>
        <stp>[Bbg_Market_Data_CL.xlsm]data!R226C14</stp>
        <tr r="N226" s="1"/>
      </tp>
      <tp t="s">
        <v>#N/A Requesting Data...</v>
        <stp/>
        <stp>##V3_BDHV12</stp>
        <stp>CL1 Comdty</stp>
        <stp>RSI_14D</stp>
        <stp>30/10/2015</stp>
        <stp>30/10/2015</stp>
        <stp>[Bbg_Market_Data_CL.xlsm]data!R359C13</stp>
        <tr r="M359" s="1"/>
      </tp>
      <tp t="s">
        <v>#N/A Requesting Data...</v>
        <stp/>
        <stp>##V3_BDHV12</stp>
        <stp>CL2 Comdty</stp>
        <stp>RSI_14D</stp>
        <stp>30/10/2015</stp>
        <stp>30/10/2015</stp>
        <stp>[Bbg_Market_Data_CL.xlsm]data!R359C13</stp>
        <tr r="M359" s="1"/>
      </tp>
      <tp t="s">
        <v>#N/A Requesting Data...</v>
        <stp/>
        <stp>##V3_BDHV12</stp>
        <stp>CL2 Comdty</stp>
        <stp>RSI_14D</stp>
        <stp>11/10/2016</stp>
        <stp>11/10/2016</stp>
        <stp>[Bbg_Market_Data_CL.xlsm]data!R125C13</stp>
        <tr r="M125" s="1"/>
      </tp>
      <tp t="s">
        <v>#N/A Requesting Data...</v>
        <stp/>
        <stp>##V3_BDHV12</stp>
        <stp>CL1 Comdty</stp>
        <stp>RSI_14D</stp>
        <stp>11/10/2016</stp>
        <stp>11/10/2016</stp>
        <stp>[Bbg_Market_Data_CL.xlsm]data!R125C13</stp>
        <tr r="M125" s="1"/>
      </tp>
      <tp t="s">
        <v>#N/A Requesting Data...</v>
        <stp/>
        <stp>##V3_BDHV12</stp>
        <stp>CL2 Comdty</stp>
        <stp>RSI_14D</stp>
        <stp>10/12/2015</stp>
        <stp>10/12/2015</stp>
        <stp>[Bbg_Market_Data_CL.xlsm]data!R332C13</stp>
        <tr r="M332" s="1"/>
      </tp>
      <tp t="s">
        <v>#N/A Requesting Data...</v>
        <stp/>
        <stp>##V3_BDHV12</stp>
        <stp>CL2 Comdty</stp>
        <stp>RSI_30D</stp>
        <stp>06/04/2016</stp>
        <stp>06/04/2016</stp>
        <stp>[Bbg_Market_Data_CL.xlsm]data!R254C14</stp>
        <tr r="N254" s="1"/>
      </tp>
      <tp t="s">
        <v>#N/A Requesting Data...</v>
        <stp/>
        <stp>##V3_BDHV12</stp>
        <stp>CL1 Comdty</stp>
        <stp>RSI_14D</stp>
        <stp>10/12/2015</stp>
        <stp>10/12/2015</stp>
        <stp>[Bbg_Market_Data_CL.xlsm]data!R332C13</stp>
        <tr r="M332" s="1"/>
      </tp>
      <tp t="s">
        <v>#N/A Requesting Data...</v>
        <stp/>
        <stp>##V3_BDHV12</stp>
        <stp>CL1 Comdty</stp>
        <stp>RSI_30D</stp>
        <stp>06/04/2016</stp>
        <stp>06/04/2016</stp>
        <stp>[Bbg_Market_Data_CL.xlsm]data!R254C14</stp>
        <tr r="N254" s="1"/>
      </tp>
      <tp t="s">
        <v>#N/A Requesting Data...</v>
        <stp/>
        <stp>##V3_BDHV12</stp>
        <stp>CL2 Comdty</stp>
        <stp>RSI_14D</stp>
        <stp>01/11/2016</stp>
        <stp>01/11/2016</stp>
        <stp>[Bbg_Market_Data_CL.xlsm]data!R110C13</stp>
        <tr r="M110" s="1"/>
      </tp>
      <tp t="s">
        <v>#N/A Requesting Data...</v>
        <stp/>
        <stp>##V3_BDHV12</stp>
        <stp>CL1 Comdty</stp>
        <stp>RSI_14D</stp>
        <stp>01/11/2016</stp>
        <stp>01/11/2016</stp>
        <stp>[Bbg_Market_Data_CL.xlsm]data!R110C13</stp>
        <tr r="M110" s="1"/>
      </tp>
      <tp t="s">
        <v>#N/A Requesting Data...</v>
        <stp/>
        <stp>##V3_BDHV12</stp>
        <stp>CL1 Comdty</stp>
        <stp>RSI_30D</stp>
        <stp>15/06/2016</stp>
        <stp>15/06/2016</stp>
        <stp>[Bbg_Market_Data_CL.xlsm]data!R205C14</stp>
        <tr r="N205" s="1"/>
      </tp>
      <tp t="s">
        <v>#N/A Requesting Data...</v>
        <stp/>
        <stp>##V3_BDHV12</stp>
        <stp>CL2 Comdty</stp>
        <stp>RSI_30D</stp>
        <stp>15/06/2016</stp>
        <stp>15/06/2016</stp>
        <stp>[Bbg_Market_Data_CL.xlsm]data!R205C14</stp>
        <tr r="N205" s="1"/>
      </tp>
      <tp t="s">
        <v>#N/A Requesting Data...</v>
        <stp/>
        <stp>##V3_BDHV12</stp>
        <stp>CL1 Comdty</stp>
        <stp>RSI_30D</stp>
        <stp>25/05/2016</stp>
        <stp>25/05/2016</stp>
        <stp>[Bbg_Market_Data_CL.xlsm]data!R219C14</stp>
        <tr r="N219" s="1"/>
      </tp>
      <tp t="s">
        <v>#N/A Requesting Data...</v>
        <stp/>
        <stp>##V3_BDHV12</stp>
        <stp>CL2 Comdty</stp>
        <stp>RSI_30D</stp>
        <stp>25/05/2016</stp>
        <stp>25/05/2016</stp>
        <stp>[Bbg_Market_Data_CL.xlsm]data!R219C14</stp>
        <tr r="N219" s="1"/>
      </tp>
      <tp t="s">
        <v>#N/A Requesting Data...</v>
        <stp/>
        <stp>##V3_BDHV12</stp>
        <stp>CL2 Comdty</stp>
        <stp>RSI_14D</stp>
        <stp>21/03/2016</stp>
        <stp>21/03/2016</stp>
        <stp>[Bbg_Market_Data_CL.xlsm]data!R265C13</stp>
        <tr r="M265" s="1"/>
      </tp>
      <tp t="s">
        <v>#N/A Requesting Data...</v>
        <stp/>
        <stp>##V3_BDHV12</stp>
        <stp>CL1 Comdty</stp>
        <stp>RSI_14D</stp>
        <stp>21/03/2016</stp>
        <stp>21/03/2016</stp>
        <stp>[Bbg_Market_Data_CL.xlsm]data!R265C13</stp>
        <tr r="M265" s="1"/>
      </tp>
      <tp t="s">
        <v>#N/A Requesting Data...</v>
        <stp/>
        <stp>##V3_BDHV12</stp>
        <stp>CL2 Comdty</stp>
        <stp>RSI_14D</stp>
        <stp>13/11/2015</stp>
        <stp>13/11/2015</stp>
        <stp>[Bbg_Market_Data_CL.xlsm]data!R350C13</stp>
        <tr r="M350" s="1"/>
      </tp>
      <tp t="s">
        <v>#N/A Requesting Data...</v>
        <stp/>
        <stp>##V3_BDHV12</stp>
        <stp>CL1 Comdty</stp>
        <stp>RSI_14D</stp>
        <stp>13/11/2015</stp>
        <stp>13/11/2015</stp>
        <stp>[Bbg_Market_Data_CL.xlsm]data!R350C13</stp>
        <tr r="M350" s="1"/>
      </tp>
      <tp t="s">
        <v>#N/A Requesting Data...</v>
        <stp/>
        <stp>##V3_BDHV12</stp>
        <stp>CL1 Comdty</stp>
        <stp>RSI_14D</stp>
        <stp>23/12/2015</stp>
        <stp>23/12/2015</stp>
        <stp>[Bbg_Market_Data_CL.xlsm]data!R323C13</stp>
        <tr r="M323" s="1"/>
      </tp>
      <tp t="s">
        <v>#N/A Requesting Data...</v>
        <stp/>
        <stp>##V3_BDHV12</stp>
        <stp>CL2 Comdty</stp>
        <stp>RSI_14D</stp>
        <stp>23/12/2015</stp>
        <stp>23/12/2015</stp>
        <stp>[Bbg_Market_Data_CL.xlsm]data!R323C13</stp>
        <tr r="M323" s="1"/>
      </tp>
      <tp t="s">
        <v>#N/A Requesting Data...</v>
        <stp/>
        <stp>##V3_BDHV12</stp>
        <stp>CL1 Comdty</stp>
        <stp>RSI_14D</stp>
        <stp>05/06/2015</stp>
        <stp>05/06/2015</stp>
        <stp>[Bbg_Market_Data_CL.xlsm]data!R461C13</stp>
        <tr r="M461" s="1"/>
      </tp>
      <tp t="s">
        <v>#N/A Requesting Data...</v>
        <stp/>
        <stp>##V3_BDHV12</stp>
        <stp>CL2 Comdty</stp>
        <stp>RSI_14D</stp>
        <stp>05/06/2015</stp>
        <stp>05/06/2015</stp>
        <stp>[Bbg_Market_Data_CL.xlsm]data!R461C13</stp>
        <tr r="M461" s="1"/>
      </tp>
      <tp t="s">
        <v>#N/A Requesting Data...</v>
        <stp/>
        <stp>##V3_BDHV12</stp>
        <stp>CL2 Comdty</stp>
        <stp>RSI_14D</stp>
        <stp>30/03/2016</stp>
        <stp>30/03/2016</stp>
        <stp>[Bbg_Market_Data_CL.xlsm]data!R259C13</stp>
        <tr r="M259" s="1"/>
      </tp>
      <tp t="s">
        <v>#N/A Requesting Data...</v>
        <stp/>
        <stp>##V3_BDHV12</stp>
        <stp>CL1 Comdty</stp>
        <stp>RSI_14D</stp>
        <stp>30/03/2016</stp>
        <stp>30/03/2016</stp>
        <stp>[Bbg_Market_Data_CL.xlsm]data!R259C13</stp>
        <tr r="M259" s="1"/>
      </tp>
      <tp t="s">
        <v>#N/A Requesting Data...</v>
        <stp/>
        <stp>##V3_BDHV12</stp>
        <stp>CL2 Comdty</stp>
        <stp>RSI_14D</stp>
        <stp>02/11/2015</stp>
        <stp>02/11/2015</stp>
        <stp>[Bbg_Market_Data_CL.xlsm]data!R358C13</stp>
        <tr r="M358" s="1"/>
      </tp>
      <tp t="s">
        <v>#N/A Requesting Data...</v>
        <stp/>
        <stp>##V3_BDHV12</stp>
        <stp>CL1 Comdty</stp>
        <stp>RSI_14D</stp>
        <stp>02/11/2015</stp>
        <stp>02/11/2015</stp>
        <stp>[Bbg_Market_Data_CL.xlsm]data!R358C13</stp>
        <tr r="M358" s="1"/>
      </tp>
      <tp t="s">
        <v>#N/A Requesting Data...</v>
        <stp/>
        <stp>##V3_BDHV12</stp>
        <stp>CL1 Comdty</stp>
        <stp>RSI_14D</stp>
        <stp>15/07/2015</stp>
        <stp>15/07/2015</stp>
        <stp>[Bbg_Market_Data_CL.xlsm]data!R434C13</stp>
        <tr r="M434" s="1"/>
      </tp>
      <tp t="s">
        <v>#N/A Requesting Data...</v>
        <stp/>
        <stp>##V3_BDHV12</stp>
        <stp>CL2 Comdty</stp>
        <stp>RSI_14D</stp>
        <stp>15/07/2015</stp>
        <stp>15/07/2015</stp>
        <stp>[Bbg_Market_Data_CL.xlsm]data!R434C13</stp>
        <tr r="M434" s="1"/>
      </tp>
      <tp t="s">
        <v>#N/A Requesting Data...</v>
        <stp/>
        <stp>##V3_BDHV12</stp>
        <stp>CL1 Comdty</stp>
        <stp>RSI_30D</stp>
        <stp>27/07/2016</stp>
        <stp>27/07/2016</stp>
        <stp>[Bbg_Market_Data_CL.xlsm]data!R176C14</stp>
        <tr r="N176" s="1"/>
      </tp>
      <tp t="s">
        <v>#N/A Requesting Data...</v>
        <stp/>
        <stp>##V3_BDHV12</stp>
        <stp>CL2 Comdty</stp>
        <stp>RSI_30D</stp>
        <stp>27/07/2016</stp>
        <stp>27/07/2016</stp>
        <stp>[Bbg_Market_Data_CL.xlsm]data!R176C14</stp>
        <tr r="N176" s="1"/>
      </tp>
      <tp t="s">
        <v>#N/A Requesting Data...</v>
        <stp/>
        <stp>##V3_BDHV12</stp>
        <stp>CL2 Comdty</stp>
        <stp>RSI_14D</stp>
        <stp>24/06/2016</stp>
        <stp>24/06/2016</stp>
        <stp>[Bbg_Market_Data_CL.xlsm]data!R198C13</stp>
        <tr r="M198" s="1"/>
      </tp>
      <tp t="s">
        <v>#N/A Requesting Data...</v>
        <stp/>
        <stp>##V3_BDHV12</stp>
        <stp>CL1 Comdty</stp>
        <stp>RSI_14D</stp>
        <stp>24/06/2016</stp>
        <stp>24/06/2016</stp>
        <stp>[Bbg_Market_Data_CL.xlsm]data!R198C13</stp>
        <tr r="M198" s="1"/>
      </tp>
      <tp t="s">
        <v>#N/A Requesting Data...</v>
        <stp/>
        <stp>##V3_BDHV12</stp>
        <stp>CL1 Comdty</stp>
        <stp>RSI_30D</stp>
        <stp>20/10/2016</stp>
        <stp>20/10/2016</stp>
        <stp>[Bbg_Market_Data_CL.xlsm]data!R118C14</stp>
        <tr r="N118" s="1"/>
      </tp>
      <tp t="s">
        <v>#N/A Requesting Data...</v>
        <stp/>
        <stp>##V3_BDHV12</stp>
        <stp>CL2 Comdty</stp>
        <stp>RSI_30D</stp>
        <stp>20/10/2016</stp>
        <stp>20/10/2016</stp>
        <stp>[Bbg_Market_Data_CL.xlsm]data!R118C14</stp>
        <tr r="N118" s="1"/>
      </tp>
      <tp t="s">
        <v>#N/A Requesting Data...</v>
        <stp/>
        <stp>##V3_BDHV12</stp>
        <stp>CL2 Comdty</stp>
        <stp>RSI_30D</stp>
        <stp>12/01/2016</stp>
        <stp>12/01/2016</stp>
        <stp>[Bbg_Market_Data_CL.xlsm]data!R311C14</stp>
        <tr r="N311" s="1"/>
      </tp>
      <tp t="s">
        <v>#N/A Requesting Data...</v>
        <stp/>
        <stp>##V3_BDHV12</stp>
        <stp>CL1 Comdty</stp>
        <stp>RSI_30D</stp>
        <stp>12/01/2016</stp>
        <stp>12/01/2016</stp>
        <stp>[Bbg_Market_Data_CL.xlsm]data!R311C14</stp>
        <tr r="N311" s="1"/>
      </tp>
      <tp t="s">
        <v>#N/A Requesting Data...</v>
        <stp/>
        <stp>##V3_BDHV12</stp>
        <stp>CL2 Comdty</stp>
        <stp>RSI_30D</stp>
        <stp>21/12/2015</stp>
        <stp>21/12/2015</stp>
        <stp>[Bbg_Market_Data_CL.xlsm]data!R325C14</stp>
        <tr r="N325" s="1"/>
      </tp>
      <tp t="s">
        <v>#N/A Requesting Data...</v>
        <stp/>
        <stp>##V3_BDHV12</stp>
        <stp>CL1 Comdty</stp>
        <stp>RSI_30D</stp>
        <stp>21/12/2015</stp>
        <stp>21/12/2015</stp>
        <stp>[Bbg_Market_Data_CL.xlsm]data!R325C14</stp>
        <tr r="N325" s="1"/>
      </tp>
      <tp t="s">
        <v>#N/A Requesting Data...</v>
        <stp/>
        <stp>##V3_BDHV12</stp>
        <stp>CL1 Comdty</stp>
        <stp>RSI_30D</stp>
        <stp>06/07/2015</stp>
        <stp>06/07/2015</stp>
        <stp>[Bbg_Market_Data_CL.xlsm]data!R441C14</stp>
        <tr r="N441" s="1"/>
      </tp>
      <tp t="s">
        <v>#N/A Requesting Data...</v>
        <stp/>
        <stp>##V3_BDHV12</stp>
        <stp>CL2 Comdty</stp>
        <stp>RSI_30D</stp>
        <stp>06/07/2015</stp>
        <stp>06/07/2015</stp>
        <stp>[Bbg_Market_Data_CL.xlsm]data!R441C14</stp>
        <tr r="N441" s="1"/>
      </tp>
      <tp t="s">
        <v>#N/A Requesting Data...</v>
        <stp/>
        <stp>##V3_BDHV12</stp>
        <stp>CL1 Comdty</stp>
        <stp>RSI_30D</stp>
        <stp>16/06/2015</stp>
        <stp>16/06/2015</stp>
        <stp>[Bbg_Market_Data_CL.xlsm]data!R454C14</stp>
        <tr r="N454" s="1"/>
      </tp>
      <tp t="s">
        <v>#N/A Requesting Data...</v>
        <stp/>
        <stp>##V3_BDHV12</stp>
        <stp>CL2 Comdty</stp>
        <stp>RSI_30D</stp>
        <stp>16/06/2015</stp>
        <stp>16/06/2015</stp>
        <stp>[Bbg_Market_Data_CL.xlsm]data!R454C14</stp>
        <tr r="N454" s="1"/>
      </tp>
      <tp t="s">
        <v>#N/A Requesting Data...</v>
        <stp/>
        <stp>##V3_BDHV12</stp>
        <stp>CL1 Comdty</stp>
        <stp>RSI_30D</stp>
        <stp>26/05/2015</stp>
        <stp>26/05/2015</stp>
        <stp>[Bbg_Market_Data_CL.xlsm]data!R469C14</stp>
        <tr r="N469" s="1"/>
      </tp>
      <tp t="s">
        <v>#N/A Requesting Data...</v>
        <stp/>
        <stp>##V3_BDHV12</stp>
        <stp>CL2 Comdty</stp>
        <stp>RSI_30D</stp>
        <stp>26/05/2015</stp>
        <stp>26/05/2015</stp>
        <stp>[Bbg_Market_Data_CL.xlsm]data!R469C14</stp>
        <tr r="N469" s="1"/>
      </tp>
      <tp t="s">
        <v>#N/A Requesting Data...</v>
        <stp/>
        <stp>##V3_BDHV12</stp>
        <stp>CL2 Comdty</stp>
        <stp>RSI_30D</stp>
        <stp>01/10/2015</stp>
        <stp>01/10/2015</stp>
        <stp>[Bbg_Market_Data_CL.xlsm]data!R379C14</stp>
        <tr r="N379" s="1"/>
      </tp>
      <tp t="s">
        <v>#N/A Requesting Data...</v>
        <stp/>
        <stp>##V3_BDHV12</stp>
        <stp>CL1 Comdty</stp>
        <stp>RSI_30D</stp>
        <stp>01/10/2015</stp>
        <stp>01/10/2015</stp>
        <stp>[Bbg_Market_Data_CL.xlsm]data!R379C14</stp>
        <tr r="N379" s="1"/>
      </tp>
      <tp t="s">
        <v>#N/A Requesting Data...</v>
        <stp/>
        <stp>##V3_BDHV12</stp>
        <stp>CL1 Comdty</stp>
        <stp>RSI_30D</stp>
        <stp>23/03/2016</stp>
        <stp>23/03/2016</stp>
        <stp>[Bbg_Market_Data_CL.xlsm]data!R263C14</stp>
        <tr r="N263" s="1"/>
      </tp>
      <tp t="s">
        <v>#N/A Requesting Data...</v>
        <stp/>
        <stp>##V3_BDHV12</stp>
        <stp>CL2 Comdty</stp>
        <stp>RSI_14D</stp>
        <stp>27/05/2016</stp>
        <stp>27/05/2016</stp>
        <stp>[Bbg_Market_Data_CL.xlsm]data!R217C13</stp>
        <tr r="M217" s="1"/>
      </tp>
      <tp t="s">
        <v>#N/A Requesting Data...</v>
        <stp/>
        <stp>##V3_BDHV12</stp>
        <stp>CL1 Comdty</stp>
        <stp>RSI_14D</stp>
        <stp>27/05/2016</stp>
        <stp>27/05/2016</stp>
        <stp>[Bbg_Market_Data_CL.xlsm]data!R217C13</stp>
        <tr r="M217" s="1"/>
      </tp>
      <tp t="s">
        <v>#N/A Requesting Data...</v>
        <stp/>
        <stp>##V3_BDHV12</stp>
        <stp>CL2 Comdty</stp>
        <stp>RSI_30D</stp>
        <stp>23/03/2016</stp>
        <stp>23/03/2016</stp>
        <stp>[Bbg_Market_Data_CL.xlsm]data!R263C14</stp>
        <tr r="N263" s="1"/>
      </tp>
      <tp t="s">
        <v>#N/A Requesting Data...</v>
        <stp/>
        <stp>##V3_BDHV12</stp>
        <stp>CL2 Comdty</stp>
        <stp>RSI_14D</stp>
        <stp>17/06/2016</stp>
        <stp>17/06/2016</stp>
        <stp>[Bbg_Market_Data_CL.xlsm]data!R203C13</stp>
        <tr r="M203" s="1"/>
      </tp>
      <tp t="s">
        <v>#N/A Requesting Data...</v>
        <stp/>
        <stp>##V3_BDHV12</stp>
        <stp>CL1 Comdty</stp>
        <stp>RSI_14D</stp>
        <stp>17/06/2016</stp>
        <stp>17/06/2016</stp>
        <stp>[Bbg_Market_Data_CL.xlsm]data!R203C13</stp>
        <tr r="M203" s="1"/>
      </tp>
      <tp t="s">
        <v>#N/A Requesting Data...</v>
        <stp/>
        <stp>##V3_BDHV12</stp>
        <stp>CL1 Comdty</stp>
        <stp>RSI_30D</stp>
        <stp>27/04/2015</stp>
        <stp>27/04/2015</stp>
        <stp>[Bbg_Market_Data_CL.xlsm]data!R489C14</stp>
        <tr r="N489" s="1"/>
      </tp>
      <tp t="s">
        <v>#N/A Requesting Data...</v>
        <stp/>
        <stp>##V3_BDHV12</stp>
        <stp>CL2 Comdty</stp>
        <stp>RSI_30D</stp>
        <stp>27/04/2015</stp>
        <stp>27/04/2015</stp>
        <stp>[Bbg_Market_Data_CL.xlsm]data!R489C14</stp>
        <tr r="N489" s="1"/>
      </tp>
      <tp t="s">
        <v>#N/A Requesting Data...</v>
        <stp/>
        <stp>##V3_BDHV12</stp>
        <stp>CL2 Comdty</stp>
        <stp>RSI_30D</stp>
        <stp>22/02/2016</stp>
        <stp>22/02/2016</stp>
        <stp>[Bbg_Market_Data_CL.xlsm]data!R285C14</stp>
        <tr r="N285" s="1"/>
      </tp>
      <tp t="s">
        <v>#N/A Requesting Data...</v>
        <stp/>
        <stp>##V3_BDHV12</stp>
        <stp>CL1 Comdty</stp>
        <stp>RSI_30D</stp>
        <stp>22/02/2016</stp>
        <stp>22/02/2016</stp>
        <stp>[Bbg_Market_Data_CL.xlsm]data!R285C14</stp>
        <tr r="N285" s="1"/>
      </tp>
      <tp t="s">
        <v>#N/A Requesting Data...</v>
        <stp/>
        <stp>##V3_BDHV12</stp>
        <stp>CL2 Comdty</stp>
        <stp>RSI_14D</stp>
        <stp>25/07/2016</stp>
        <stp>25/07/2016</stp>
        <stp>[Bbg_Market_Data_CL.xlsm]data!R178C13</stp>
        <tr r="M178" s="1"/>
      </tp>
      <tp t="s">
        <v>#N/A Requesting Data...</v>
        <stp/>
        <stp>##V3_BDHV12</stp>
        <stp>CL1 Comdty</stp>
        <stp>RSI_14D</stp>
        <stp>25/07/2016</stp>
        <stp>25/07/2016</stp>
        <stp>[Bbg_Market_Data_CL.xlsm]data!R178C13</stp>
        <tr r="M178" s="1"/>
      </tp>
      <tp t="s">
        <v>#N/A Requesting Data...</v>
        <stp/>
        <stp>##V3_BDHV12</stp>
        <stp>CL2 Comdty</stp>
        <stp>RSI_30D</stp>
        <stp>30/12/2015</stp>
        <stp>30/12/2015</stp>
        <stp>[Bbg_Market_Data_CL.xlsm]data!R319C14</stp>
        <tr r="N319" s="1"/>
      </tp>
      <tp t="s">
        <v>#N/A Requesting Data...</v>
        <stp/>
        <stp>##V3_BDHV12</stp>
        <stp>CL1 Comdty</stp>
        <stp>RSI_30D</stp>
        <stp>30/12/2015</stp>
        <stp>30/12/2015</stp>
        <stp>[Bbg_Market_Data_CL.xlsm]data!R319C14</stp>
        <tr r="N319" s="1"/>
      </tp>
      <tp t="s">
        <v>#N/A Requesting Data...</v>
        <stp/>
        <stp>##V3_BDHV12</stp>
        <stp>CL1 Comdty</stp>
        <stp>RSI_30D</stp>
        <stp>31/10/2016</stp>
        <stp>31/10/2016</stp>
        <stp>[Bbg_Market_Data_CL.xlsm]data!R111C14</stp>
        <tr r="N111" s="1"/>
      </tp>
      <tp t="s">
        <v>#N/A Requesting Data...</v>
        <stp/>
        <stp>##V3_BDHV12</stp>
        <stp>CL2 Comdty</stp>
        <stp>RSI_30D</stp>
        <stp>31/10/2016</stp>
        <stp>31/10/2016</stp>
        <stp>[Bbg_Market_Data_CL.xlsm]data!R111C14</stp>
        <tr r="N111" s="1"/>
      </tp>
      <tp t="s">
        <v>#N/A Requesting Data...</v>
        <stp/>
        <stp>##V3_BDHV12</stp>
        <stp>CL1 Comdty</stp>
        <stp>RSI_14D</stp>
        <stp>26/04/2016</stp>
        <stp>26/04/2016</stp>
        <stp>[Bbg_Market_Data_CL.xlsm]data!R240C13</stp>
        <tr r="M240" s="1"/>
      </tp>
      <tp t="s">
        <v>#N/A Requesting Data...</v>
        <stp/>
        <stp>##V3_BDHV12</stp>
        <stp>CL2 Comdty</stp>
        <stp>RSI_30D</stp>
        <stp>17/07/2015</stp>
        <stp>17/07/2015</stp>
        <stp>[Bbg_Market_Data_CL.xlsm]data!R432C14</stp>
        <tr r="N432" s="1"/>
      </tp>
      <tp t="s">
        <v>#N/A Requesting Data...</v>
        <stp/>
        <stp>##V3_BDHV12</stp>
        <stp>CL1 Comdty</stp>
        <stp>RSI_30D</stp>
        <stp>17/07/2015</stp>
        <stp>17/07/2015</stp>
        <stp>[Bbg_Market_Data_CL.xlsm]data!R432C14</stp>
        <tr r="N432" s="1"/>
      </tp>
      <tp t="s">
        <v>#N/A Requesting Data...</v>
        <stp/>
        <stp>##V3_BDHV12</stp>
        <stp>CL2 Comdty</stp>
        <stp>RSI_14D</stp>
        <stp>26/04/2016</stp>
        <stp>26/04/2016</stp>
        <stp>[Bbg_Market_Data_CL.xlsm]data!R240C13</stp>
        <tr r="M240" s="1"/>
      </tp>
      <tp t="s">
        <v>#N/A Requesting Data...</v>
        <stp/>
        <stp>##V3_BDHV12</stp>
        <stp>CL2 Comdty</stp>
        <stp>RSI_14D</stp>
        <stp>06/06/2016</stp>
        <stp>06/06/2016</stp>
        <stp>[Bbg_Market_Data_CL.xlsm]data!R212C13</stp>
        <tr r="M212" s="1"/>
      </tp>
      <tp t="s">
        <v>#N/A Requesting Data...</v>
        <stp/>
        <stp>##V3_BDHV12</stp>
        <stp>CL1 Comdty</stp>
        <stp>RSI_14D</stp>
        <stp>06/06/2016</stp>
        <stp>06/06/2016</stp>
        <stp>[Bbg_Market_Data_CL.xlsm]data!R212C13</stp>
        <tr r="M212" s="1"/>
      </tp>
      <tp t="s">
        <v>#N/A Requesting Data...</v>
        <stp/>
        <stp>##V3_BDHV12</stp>
        <stp>CL2 Comdty</stp>
        <stp>RSI_30D</stp>
        <stp>04/05/2015</stp>
        <stp>04/05/2015</stp>
        <stp>[Bbg_Market_Data_CL.xlsm]data!R484C14</stp>
        <tr r="N484" s="1"/>
      </tp>
      <tp t="s">
        <v>#N/A Requesting Data...</v>
        <stp/>
        <stp>##V3_BDHV12</stp>
        <stp>CL1 Comdty</stp>
        <stp>RSI_30D</stp>
        <stp>04/05/2015</stp>
        <stp>04/05/2015</stp>
        <stp>[Bbg_Market_Data_CL.xlsm]data!R484C14</stp>
        <tr r="N484" s="1"/>
      </tp>
      <tp t="s">
        <v>#N/A Requesting Data...</v>
        <stp/>
        <stp>##V3_BDHV12</stp>
        <stp>CL2 Comdty</stp>
        <stp>RSI_30D</stp>
        <stp>14/04/2015</stp>
        <stp>14/04/2015</stp>
        <stp>[Bbg_Market_Data_CL.xlsm]data!R498C14</stp>
        <tr r="N498" s="1"/>
      </tp>
      <tp t="s">
        <v>#N/A Requesting Data...</v>
        <stp/>
        <stp>##V3_BDHV12</stp>
        <stp>CL1 Comdty</stp>
        <stp>RSI_30D</stp>
        <stp>14/04/2015</stp>
        <stp>14/04/2015</stp>
        <stp>[Bbg_Market_Data_CL.xlsm]data!R498C14</stp>
        <tr r="N498" s="1"/>
      </tp>
      <tp t="s">
        <v>#N/A Requesting Data...</v>
        <stp/>
        <stp>##V3_BDHV12</stp>
        <stp>CL1 Comdty</stp>
        <stp>RSI_30D</stp>
        <stp>11/02/2016</stp>
        <stp>11/02/2016</stp>
        <stp>[Bbg_Market_Data_CL.xlsm]data!R290C14</stp>
        <tr r="N290" s="1"/>
      </tp>
      <tp t="s">
        <v>#N/A Requesting Data...</v>
        <stp/>
        <stp>##V3_BDHV12</stp>
        <stp>CL2 Comdty</stp>
        <stp>RSI_30D</stp>
        <stp>11/02/2016</stp>
        <stp>11/02/2016</stp>
        <stp>[Bbg_Market_Data_CL.xlsm]data!R290C14</stp>
        <tr r="N290" s="1"/>
      </tp>
      <tp t="s">
        <v>#N/A Requesting Data...</v>
        <stp/>
        <stp>##V3_BDHV12</stp>
        <stp>CL2 Comdty</stp>
        <stp>RSI_30D</stp>
        <stp>03/12/2015</stp>
        <stp>03/12/2015</stp>
        <stp>[Bbg_Market_Data_CL.xlsm]data!R337C14</stp>
        <tr r="N337" s="1"/>
      </tp>
      <tp t="s">
        <v>#N/A Requesting Data...</v>
        <stp/>
        <stp>##V3_BDHV12</stp>
        <stp>CL1 Comdty</stp>
        <stp>RSI_30D</stp>
        <stp>03/12/2015</stp>
        <stp>03/12/2015</stp>
        <stp>[Bbg_Market_Data_CL.xlsm]data!R337C14</stp>
        <tr r="N337" s="1"/>
      </tp>
      <tp t="s">
        <v>#N/A Requesting Data...</v>
        <stp/>
        <stp>##V3_BDHV12</stp>
        <stp>CL1 Comdty</stp>
        <stp>RSI_30D</stp>
        <stp>24/07/2015</stp>
        <stp>24/07/2015</stp>
        <stp>[Bbg_Market_Data_CL.xlsm]data!R427C14</stp>
        <tr r="N427" s="1"/>
      </tp>
      <tp t="s">
        <v>#N/A Requesting Data...</v>
        <stp/>
        <stp>##V3_BDHV12</stp>
        <stp>CL2 Comdty</stp>
        <stp>RSI_30D</stp>
        <stp>24/07/2015</stp>
        <stp>24/07/2015</stp>
        <stp>[Bbg_Market_Data_CL.xlsm]data!R427C14</stp>
        <tr r="N427" s="1"/>
      </tp>
      <tp t="s">
        <v>#N/A Requesting Data...</v>
        <stp/>
        <stp>##V3_BDHV12</stp>
        <stp>CL1 Comdty</stp>
        <stp>RSI_14D</stp>
        <stp>15/04/2016</stp>
        <stp>15/04/2016</stp>
        <stp>[Bbg_Market_Data_CL.xlsm]data!R247C13</stp>
        <tr r="M247" s="1"/>
      </tp>
      <tp t="s">
        <v>#N/A Requesting Data...</v>
        <stp/>
        <stp>##V3_BDHV12</stp>
        <stp>CL2 Comdty</stp>
        <stp>RSI_14D</stp>
        <stp>15/04/2016</stp>
        <stp>15/04/2016</stp>
        <stp>[Bbg_Market_Data_CL.xlsm]data!R247C13</stp>
        <tr r="M247" s="1"/>
      </tp>
      <tp t="s">
        <v>#N/A Requesting Data...</v>
        <stp/>
        <stp>##V3_BDHV12</stp>
        <stp>CL1 Comdty</stp>
        <stp>RSI_14D</stp>
        <stp>05/05/2016</stp>
        <stp>05/05/2016</stp>
        <stp>[Bbg_Market_Data_CL.xlsm]data!R233C13</stp>
        <tr r="M233" s="1"/>
      </tp>
      <tp t="s">
        <v>#N/A Requesting Data...</v>
        <stp/>
        <stp>##V3_BDHV12</stp>
        <stp>CL2 Comdty</stp>
        <stp>RSI_14D</stp>
        <stp>05/05/2016</stp>
        <stp>05/05/2016</stp>
        <stp>[Bbg_Market_Data_CL.xlsm]data!R233C13</stp>
        <tr r="M233" s="1"/>
      </tp>
      <tp t="s">
        <v>#N/A Requesting Data...</v>
        <stp/>
        <stp>##V3_BDHV12</stp>
        <stp>CL1 Comdty</stp>
        <stp>RSI_30D</stp>
        <stp>01/03/2016</stp>
        <stp>01/03/2016</stp>
        <stp>[Bbg_Market_Data_CL.xlsm]data!R279C14</stp>
        <tr r="N279" s="1"/>
      </tp>
      <tp t="s">
        <v>#N/A Requesting Data...</v>
        <stp/>
        <stp>##V3_BDHV12</stp>
        <stp>CL2 Comdty</stp>
        <stp>RSI_30D</stp>
        <stp>01/03/2016</stp>
        <stp>01/03/2016</stp>
        <stp>[Bbg_Market_Data_CL.xlsm]data!R279C14</stp>
        <tr r="N279" s="1"/>
      </tp>
      <tp t="s">
        <v>#N/A Requesting Data...</v>
        <stp/>
        <stp>##V3_BDHV12</stp>
        <stp>CL1 Comdty</stp>
        <stp>RSI_30D</stp>
        <stp>23/10/2015</stp>
        <stp>23/10/2015</stp>
        <stp>[Bbg_Market_Data_CL.xlsm]data!R364C14</stp>
        <tr r="N364" s="1"/>
      </tp>
      <tp t="s">
        <v>#N/A Requesting Data...</v>
        <stp/>
        <stp>##V3_BDHV12</stp>
        <stp>CL2 Comdty</stp>
        <stp>RSI_30D</stp>
        <stp>23/10/2015</stp>
        <stp>23/10/2015</stp>
        <stp>[Bbg_Market_Data_CL.xlsm]data!R364C14</stp>
        <tr r="N364" s="1"/>
      </tp>
      <tp t="s">
        <v>#N/A Requesting Data...</v>
        <stp/>
        <stp>##V3_BDHV12</stp>
        <stp>CL1 Comdty</stp>
        <stp>RSI_14D</stp>
        <stp>07/07/2016</stp>
        <stp>07/07/2016</stp>
        <stp>[Bbg_Market_Data_CL.xlsm]data!R190C13</stp>
        <tr r="M190" s="1"/>
      </tp>
      <tp t="s">
        <v>#N/A Requesting Data...</v>
        <stp/>
        <stp>##V3_BDHV12</stp>
        <stp>CL2 Comdty</stp>
        <stp>RSI_14D</stp>
        <stp>07/07/2016</stp>
        <stp>07/07/2016</stp>
        <stp>[Bbg_Market_Data_CL.xlsm]data!R190C13</stp>
        <tr r="M190" s="1"/>
      </tp>
      <tp t="s">
        <v>#N/A Requesting Data...</v>
        <stp/>
        <stp>##V3_BDHV12</stp>
        <stp>CL1 Comdty</stp>
        <stp>RSI_30D</stp>
        <stp>21/01/2016</stp>
        <stp>21/01/2016</stp>
        <stp>[Bbg_Market_Data_CL.xlsm]data!R305C14</stp>
        <tr r="N305" s="1"/>
      </tp>
      <tp t="s">
        <v>#N/A Requesting Data...</v>
        <stp/>
        <stp>##V3_BDHV12</stp>
        <stp>CL2 Comdty</stp>
        <stp>RSI_30D</stp>
        <stp>21/01/2016</stp>
        <stp>21/01/2016</stp>
        <stp>[Bbg_Market_Data_CL.xlsm]data!R305C14</stp>
        <tr r="N305" s="1"/>
      </tp>
      <tp t="s">
        <v>#N/A Requesting Data...</v>
        <stp/>
        <stp>##V3_BDHV12</stp>
        <stp>CL2 Comdty</stp>
        <stp>RSI_30D</stp>
        <stp>03/11/2016</stp>
        <stp>03/11/2016</stp>
        <stp>[Bbg_Market_Data_CL.xlsm]data!R108C14</stp>
        <tr r="N108" s="1"/>
      </tp>
      <tp t="s">
        <v>#N/A Requesting Data...</v>
        <stp/>
        <stp>##V3_BDHV12</stp>
        <stp>CL1 Comdty</stp>
        <stp>RSI_30D</stp>
        <stp>03/11/2016</stp>
        <stp>03/11/2016</stp>
        <stp>[Bbg_Market_Data_CL.xlsm]data!R108C14</stp>
        <tr r="N108" s="1"/>
      </tp>
      <tp t="s">
        <v>#N/A Requesting Data...</v>
        <stp/>
        <stp>##V3_BDHV12</stp>
        <stp>CL1 Comdty</stp>
        <stp>RSI_14D</stp>
        <stp>04/04/2016</stp>
        <stp>04/04/2016</stp>
        <stp>[Bbg_Market_Data_CL.xlsm]data!R256C13</stp>
        <tr r="M256" s="1"/>
      </tp>
      <tp t="s">
        <v>#N/A Requesting Data...</v>
        <stp/>
        <stp>##V3_BDHV12</stp>
        <stp>CL2 Comdty</stp>
        <stp>RSI_14D</stp>
        <stp>04/04/2016</stp>
        <stp>04/04/2016</stp>
        <stp>[Bbg_Market_Data_CL.xlsm]data!R256C13</stp>
        <tr r="M256" s="1"/>
      </tp>
      <tp t="s">
        <v>#N/A Requesting Data...</v>
        <stp/>
        <stp>##V3_BDHV12</stp>
        <stp>CL1 Comdty</stp>
        <stp>RSI_30D</stp>
        <stp>13/10/2016</stp>
        <stp>13/10/2016</stp>
        <stp>[Bbg_Market_Data_CL.xlsm]data!R123C14</stp>
        <tr r="N123" s="1"/>
      </tp>
      <tp t="s">
        <v>#N/A Requesting Data...</v>
        <stp/>
        <stp>##V3_BDHV12</stp>
        <stp>CL2 Comdty</stp>
        <stp>RSI_30D</stp>
        <stp>13/10/2016</stp>
        <stp>13/10/2016</stp>
        <stp>[Bbg_Market_Data_CL.xlsm]data!R123C14</stp>
        <tr r="N123" s="1"/>
      </tp>
      <tp t="s">
        <v>#N/A Requesting Data...</v>
        <stp/>
        <stp>##V3_BDHV12</stp>
        <stp>CL1 Comdty</stp>
        <stp>RSI_30D</stp>
        <stp>25/06/2015</stp>
        <stp>25/06/2015</stp>
        <stp>[Bbg_Market_Data_CL.xlsm]data!R447C14</stp>
        <tr r="N447" s="1"/>
      </tp>
      <tp t="s">
        <v>#N/A Requesting Data...</v>
        <stp/>
        <stp>##V3_BDHV12</stp>
        <stp>CL2 Comdty</stp>
        <stp>RSI_30D</stp>
        <stp>25/06/2015</stp>
        <stp>25/06/2015</stp>
        <stp>[Bbg_Market_Data_CL.xlsm]data!R447C14</stp>
        <tr r="N447" s="1"/>
      </tp>
      <tp t="s">
        <v>#N/A Requesting Data...</v>
        <stp/>
        <stp>##V3_BDHV12</stp>
        <stp>CL2 Comdty</stp>
        <stp>RSI_30D</stp>
        <stp>15/05/2015</stp>
        <stp>15/05/2015</stp>
        <stp>[Bbg_Market_Data_CL.xlsm]data!R475C14</stp>
        <tr r="N475" s="1"/>
      </tp>
      <tp t="s">
        <v>#N/A Requesting Data...</v>
        <stp/>
        <stp>##V3_BDHV12</stp>
        <stp>CL2 Comdty</stp>
        <stp>RSI_30D</stp>
        <stp>10/03/2016</stp>
        <stp>10/03/2016</stp>
        <stp>[Bbg_Market_Data_CL.xlsm]data!R272C14</stp>
        <tr r="N272" s="1"/>
      </tp>
      <tp t="s">
        <v>#N/A Requesting Data...</v>
        <stp/>
        <stp>##V3_BDHV12</stp>
        <stp>CL1 Comdty</stp>
        <stp>RSI_30D</stp>
        <stp>10/03/2016</stp>
        <stp>10/03/2016</stp>
        <stp>[Bbg_Market_Data_CL.xlsm]data!R272C14</stp>
        <tr r="N272" s="1"/>
      </tp>
      <tp t="s">
        <v>#N/A Requesting Data...</v>
        <stp/>
        <stp>##V3_BDHV12</stp>
        <stp>CL1 Comdty</stp>
        <stp>RSI_30D</stp>
        <stp>15/05/2015</stp>
        <stp>15/05/2015</stp>
        <stp>[Bbg_Market_Data_CL.xlsm]data!R475C14</stp>
        <tr r="N475" s="1"/>
      </tp>
      <tp t="s">
        <v>#N/A Requesting Data...</v>
        <stp/>
        <stp>##V3_BDHV12</stp>
        <stp>CL2 Comdty</stp>
        <stp>RSI_14D</stp>
        <stp>28/09/2015</stp>
        <stp>28/09/2015</stp>
        <stp>[Bbg_Market_Data_CL.xlsm]data!R382C13</stp>
        <tr r="M382" s="1"/>
      </tp>
      <tp t="s">
        <v>#N/A Requesting Data...</v>
        <stp/>
        <stp>##V3_BDHV12</stp>
        <stp>CL1 Comdty</stp>
        <stp>RSI_14D</stp>
        <stp>28/09/2015</stp>
        <stp>28/09/2015</stp>
        <stp>[Bbg_Market_Data_CL.xlsm]data!R382C13</stp>
        <tr r="M382" s="1"/>
      </tp>
      <tp t="s">
        <v>#N/A Requesting Data...</v>
        <stp/>
        <stp>##V3_BDHV12</stp>
        <stp>CL2 Comdty</stp>
        <stp>RSI_14D</stp>
        <stp>19/08/2016</stp>
        <stp>19/08/2016</stp>
        <stp>[Bbg_Market_Data_CL.xlsm]data!R160C13</stp>
        <tr r="M160" s="1"/>
      </tp>
      <tp t="s">
        <v>#N/A Requesting Data...</v>
        <stp/>
        <stp>##V3_BDHV12</stp>
        <stp>CL1 Comdty</stp>
        <stp>RSI_14D</stp>
        <stp>19/08/2016</stp>
        <stp>19/08/2016</stp>
        <stp>[Bbg_Market_Data_CL.xlsm]data!R160C13</stp>
        <tr r="M160" s="1"/>
      </tp>
      <tp t="s">
        <v>#N/A Requesting Data...</v>
        <stp/>
        <stp>##V3_BDHV12</stp>
        <stp>CL1 Comdty</stp>
        <stp>RSI_14D</stp>
        <stp>09/09/2016</stp>
        <stp>09/09/2016</stp>
        <stp>[Bbg_Market_Data_CL.xlsm]data!R146C13</stp>
        <tr r="M146" s="1"/>
      </tp>
      <tp t="s">
        <v>#N/A Requesting Data...</v>
        <stp/>
        <stp>##V3_BDHV12</stp>
        <stp>CL2 Comdty</stp>
        <stp>RSI_14D</stp>
        <stp>09/09/2016</stp>
        <stp>09/09/2016</stp>
        <stp>[Bbg_Market_Data_CL.xlsm]data!R146C13</stp>
        <tr r="M146" s="1"/>
      </tp>
      <tp t="s">
        <v>#N/A Requesting Data...</v>
        <stp/>
        <stp>##V3_BDHV12</stp>
        <stp>CL2 Comdty</stp>
        <stp>RSI_30D</stp>
        <stp>18/08/2015</stp>
        <stp>18/08/2015</stp>
        <stp>[Bbg_Market_Data_CL.xlsm]data!R410C14</stp>
        <tr r="N410" s="1"/>
      </tp>
      <tp t="s">
        <v>#N/A Requesting Data...</v>
        <stp/>
        <stp>##V3_BDHV12</stp>
        <stp>CL1 Comdty</stp>
        <stp>RSI_30D</stp>
        <stp>18/08/2015</stp>
        <stp>18/08/2015</stp>
        <stp>[Bbg_Market_Data_CL.xlsm]data!R410C14</stp>
        <tr r="N410" s="1"/>
      </tp>
      <tp t="s">
        <v>#N/A Requesting Data...</v>
        <stp/>
        <stp>##V3_BDHV12</stp>
        <stp>CL1 Comdty</stp>
        <stp>RSI_30D</stp>
        <stp>08/09/2015</stp>
        <stp>08/09/2015</stp>
        <stp>[Bbg_Market_Data_CL.xlsm]data!R396C14</stp>
        <tr r="N396" s="1"/>
      </tp>
      <tp t="s">
        <v>#N/A Requesting Data...</v>
        <stp/>
        <stp>##V3_BDHV12</stp>
        <stp>CL2 Comdty</stp>
        <stp>RSI_30D</stp>
        <stp>08/09/2015</stp>
        <stp>08/09/2015</stp>
        <stp>[Bbg_Market_Data_CL.xlsm]data!R396C14</stp>
        <tr r="N396" s="1"/>
      </tp>
      <tp t="s">
        <v>#N/A Requesting Data...</v>
        <stp/>
        <stp>##V3_BDHV12</stp>
        <stp>CL2 Comdty</stp>
        <stp>RSI_30D</stp>
        <stp>29/09/2016</stp>
        <stp>29/09/2016</stp>
        <stp>[Bbg_Market_Data_CL.xlsm]data!R132C14</stp>
        <tr r="N132" s="1"/>
      </tp>
      <tp t="s">
        <v>#N/A Requesting Data...</v>
        <stp/>
        <stp>##V3_BDHV12</stp>
        <stp>CL1 Comdty</stp>
        <stp>RSI_30D</stp>
        <stp>29/09/2016</stp>
        <stp>29/09/2016</stp>
        <stp>[Bbg_Market_Data_CL.xlsm]data!R132C14</stp>
        <tr r="N132" s="1"/>
      </tp>
      <tp>
        <v>796437</v>
        <stp/>
        <stp>##V3_BDHV12</stp>
        <stp>CL1 Comdty</stp>
        <stp>PX_VOLUME</stp>
        <stp>07/04/2017</stp>
        <stp>07/04/2017</stp>
        <stp>[Bbg_Market_Data_CL.xlsm]data!R3C8</stp>
        <tr r="H3" s="1"/>
        <tr r="H3" s="1"/>
      </tp>
      <tp>
        <v>440724</v>
        <stp/>
        <stp>##V3_BDHV12</stp>
        <stp>CL1 Comdty</stp>
        <stp>PX_VOLUME</stp>
        <stp>03/04/2017</stp>
        <stp>03/04/2017</stp>
        <stp>[Bbg_Market_Data_CL.xlsm]data!R7C8</stp>
        <tr r="H7" s="1"/>
        <tr r="H7" s="1"/>
      </tp>
      <tp t="s">
        <v>#N/A Requesting Data...</v>
        <stp/>
        <stp>##V3_BDHV12</stp>
        <stp>CL1 Comdty</stp>
        <stp>PX_LAST</stp>
        <stp>27/05/2015</stp>
        <stp>27/05/2015</stp>
        <stp>[Bbg_Market_Data_CL.xlsm]data!R468C9</stp>
        <tr r="I468" s="1"/>
      </tp>
      <tp t="s">
        <v>#N/A Requesting Data...</v>
        <stp/>
        <stp>##V3_BDHV12</stp>
        <stp>CL2 Comdty</stp>
        <stp>PX_LAST</stp>
        <stp>24/06/2015</stp>
        <stp>24/06/2015</stp>
        <stp>[Bbg_Market_Data_CL.xlsm]data!R448C9</stp>
        <tr r="I448" s="1"/>
      </tp>
      <tp t="s">
        <v>#N/A Requesting Data...</v>
        <stp/>
        <stp>##V3_BDHV12</stp>
        <stp>CL2 Comdty</stp>
        <stp>PX_LAST</stp>
        <stp>09/09/2015</stp>
        <stp>09/09/2015</stp>
        <stp>[Bbg_Market_Data_CL.xlsm]data!R395C9</stp>
        <tr r="I395" s="1"/>
      </tp>
      <tp>
        <v>48.3</v>
        <stp/>
        <stp>##V3_BDHV12</stp>
        <stp>CL1 Comdty</stp>
        <stp>PX_HIGH</stp>
        <stp>30/09/2016</stp>
        <stp>30/09/2016</stp>
        <stp>[Bbg_Market_Data_CL.xlsm]data!R131C6</stp>
        <tr r="F131" s="1"/>
        <tr r="F131" s="1"/>
      </tp>
      <tp>
        <v>45.88</v>
        <stp/>
        <stp>##V3_BDHV12</stp>
        <stp>CL1 Comdty</stp>
        <stp>PX_HIGH</stp>
        <stp>11/09/2015</stp>
        <stp>11/09/2015</stp>
        <stp>[Bbg_Market_Data_CL.xlsm]data!R393C6</stp>
        <tr r="F393" s="1"/>
        <tr r="F393" s="1"/>
      </tp>
      <tp t="s">
        <v>#N/A Requesting Data...</v>
        <stp/>
        <stp>##V3_BDHV12</stp>
        <stp>CL1 Comdty</stp>
        <stp>PX_LAST</stp>
        <stp>27/04/2015</stp>
        <stp>27/04/2015</stp>
        <stp>[Bbg_Market_Data_CL.xlsm]data!R489C9</stp>
        <tr r="I489" s="1"/>
      </tp>
      <tp t="s">
        <v>#N/A Requesting Data...</v>
        <stp/>
        <stp>##V3_BDHV12</stp>
        <stp>CL1 Comdty</stp>
        <stp>PX_LAST</stp>
        <stp>08/09/2015</stp>
        <stp>08/09/2015</stp>
        <stp>[Bbg_Market_Data_CL.xlsm]data!R396C9</stp>
        <tr r="I396" s="1"/>
      </tp>
      <tp>
        <v>41.88</v>
        <stp/>
        <stp>##V3_BDHV12</stp>
        <stp>CL1 Comdty</stp>
        <stp>PX_HIGH</stp>
        <stp>01/08/2016</stp>
        <stp>01/08/2016</stp>
        <stp>[Bbg_Market_Data_CL.xlsm]data!R173C6</stp>
        <tr r="F173" s="1"/>
        <tr r="F173" s="1"/>
      </tp>
      <tp t="s">
        <v>#N/A Requesting Data...</v>
        <stp/>
        <stp>##V3_BDHV12</stp>
        <stp>CL1 Comdty</stp>
        <stp>PX_LAST</stp>
        <stp>26/05/2016</stp>
        <stp>26/05/2016</stp>
        <stp>[Bbg_Market_Data_CL.xlsm]data!R218C9</stp>
        <tr r="I218" s="1"/>
      </tp>
      <tp t="s">
        <v>#N/A Requesting Data...</v>
        <stp/>
        <stp>##V3_BDHV12</stp>
        <stp>CL1 Comdty</stp>
        <stp>PX_LAST</stp>
        <stp>27/04/2016</stp>
        <stp>27/04/2016</stp>
        <stp>[Bbg_Market_Data_CL.xlsm]data!R239C9</stp>
        <tr r="I239" s="1"/>
      </tp>
      <tp t="s">
        <v>#N/A Requesting Data...</v>
        <stp/>
        <stp>##V3_BDHV12</stp>
        <stp>CL2 Comdty</stp>
        <stp>PX_LAST</stp>
        <stp>24/06/2016</stp>
        <stp>24/06/2016</stp>
        <stp>[Bbg_Market_Data_CL.xlsm]data!R198C9</stp>
        <tr r="I198" s="1"/>
      </tp>
      <tp t="s">
        <v>#N/A Requesting Data...</v>
        <stp/>
        <stp>##V3_BDHV12</stp>
        <stp>CL1 Comdty</stp>
        <stp>PX_LAST</stp>
        <stp>09/09/2016</stp>
        <stp>09/09/2016</stp>
        <stp>[Bbg_Market_Data_CL.xlsm]data!R146C9</stp>
        <tr r="I146" s="1"/>
      </tp>
      <tp t="s">
        <v>#N/A Requesting Data...</v>
        <stp/>
        <stp>##V3_BDHV12</stp>
        <stp>CL1 Comdty</stp>
        <stp>PX_LAST</stp>
        <stp>10/06/2016</stp>
        <stp>10/06/2016</stp>
        <stp>[Bbg_Market_Data_CL.xlsm]data!R208C9</stp>
        <tr r="I208" s="1"/>
      </tp>
      <tp t="s">
        <v>#N/A Requesting Data...</v>
        <stp/>
        <stp>##V3_BDHV12</stp>
        <stp>CL2 Comdty</stp>
        <stp>PX_LAST</stp>
        <stp>22/07/2016</stp>
        <stp>22/07/2016</stp>
        <stp>[Bbg_Market_Data_CL.xlsm]data!R179C9</stp>
        <tr r="I179" s="1"/>
      </tp>
      <tp>
        <v>46.95</v>
        <stp/>
        <stp>##V3_BDHV12</stp>
        <stp>CL1 Comdty</stp>
        <stp>PX_HIGH</stp>
        <stp>17/08/2016</stp>
        <stp>17/08/2016</stp>
        <stp>[Bbg_Market_Data_CL.xlsm]data!R162C6</stp>
        <tr r="F162" s="1"/>
        <tr r="F162" s="1"/>
      </tp>
      <tp>
        <v>42.96</v>
        <stp/>
        <stp>##V3_BDHV12</stp>
        <stp>CL1 Comdty</stp>
        <stp>PX_HIGH</stp>
        <stp>14/08/2015</stp>
        <stp>14/08/2015</stp>
        <stp>[Bbg_Market_Data_CL.xlsm]data!R412C6</stp>
        <tr r="F412" s="1"/>
        <tr r="F412" s="1"/>
      </tp>
      <tp t="s">
        <v>#N/A Requesting Data...</v>
        <stp/>
        <stp>##V3_BDHV12</stp>
        <stp>CL2 Comdty</stp>
        <stp>PX_LAST</stp>
        <stp>12/05/2016</stp>
        <stp>12/05/2016</stp>
        <stp>[Bbg_Market_Data_CL.xlsm]data!R228C9</stp>
        <tr r="I228" s="1"/>
      </tp>
      <tp t="s">
        <v>#N/A Requesting Data...</v>
        <stp/>
        <stp>##V3_BDHV12</stp>
        <stp>CL2 Comdty</stp>
        <stp>PX_LAST</stp>
        <stp>13/04/2016</stp>
        <stp>13/04/2016</stp>
        <stp>[Bbg_Market_Data_CL.xlsm]data!R249C9</stp>
        <tr r="I249" s="1"/>
      </tp>
      <tp t="s">
        <v>#N/A Requesting Data...</v>
        <stp/>
        <stp>##V3_BDHV12</stp>
        <stp>CL2 Comdty</stp>
        <stp>PX_LAST</stp>
        <stp>13/04/2015</stp>
        <stp>13/04/2015</stp>
        <stp>[Bbg_Market_Data_CL.xlsm]data!R499C9</stp>
        <tr r="I499" s="1"/>
      </tp>
      <tp t="s">
        <v>#N/A Requesting Data...</v>
        <stp/>
        <stp>##V3_BDHV12</stp>
        <stp>CL2 Comdty</stp>
        <stp>PX_LAST</stp>
        <stp>12/05/2015</stp>
        <stp>12/05/2015</stp>
        <stp>[Bbg_Market_Data_CL.xlsm]data!R478C9</stp>
        <tr r="I478" s="1"/>
      </tp>
      <tp>
        <v>45.33</v>
        <stp/>
        <stp>##V3_BDHV12</stp>
        <stp>CL1 Comdty</stp>
        <stp>PX_HIGH</stp>
        <stp>14/09/2016</stp>
        <stp>14/09/2016</stp>
        <stp>[Bbg_Market_Data_CL.xlsm]data!R143C6</stp>
        <tr r="F143" s="1"/>
        <tr r="F143" s="1"/>
      </tp>
      <tp t="s">
        <v>#N/A Requesting Data...</v>
        <stp/>
        <stp>##V3_BDHV12</stp>
        <stp>CL2 Comdty</stp>
        <stp>PX_LAST</stp>
        <stp>22/07/2015</stp>
        <stp>22/07/2015</stp>
        <stp>[Bbg_Market_Data_CL.xlsm]data!R429C9</stp>
        <tr r="I429" s="1"/>
      </tp>
      <tp t="s">
        <v>#N/A Requesting Data...</v>
        <stp/>
        <stp>##V3_BDHV12</stp>
        <stp>CL1 Comdty</stp>
        <stp>PX_LAST</stp>
        <stp>10/06/2015</stp>
        <stp>10/06/2015</stp>
        <stp>[Bbg_Market_Data_CL.xlsm]data!R458C9</stp>
        <tr r="I458" s="1"/>
      </tp>
      <tp>
        <v>41.97</v>
        <stp/>
        <stp>##V3_BDHV12</stp>
        <stp>CL1 Comdty</stp>
        <stp>PX_HIGH</stp>
        <stp>02/12/2015</stp>
        <stp>02/12/2015</stp>
        <stp>[Bbg_Market_Data_CL.xlsm]data!R338C6</stp>
        <tr r="F338" s="1"/>
        <tr r="F338" s="1"/>
      </tp>
      <tp t="s">
        <v>#N/A Requesting Data...</v>
        <stp/>
        <stp>##V3_BDHV12</stp>
        <stp>CL2 Comdty</stp>
        <stp>PX_LAST</stp>
        <stp>11/08/2015</stp>
        <stp>11/08/2015</stp>
        <stp>[Bbg_Market_Data_CL.xlsm]data!R415C9</stp>
        <tr r="I415" s="1"/>
      </tp>
      <tp t="s">
        <v>#N/A Requesting Data...</v>
        <stp/>
        <stp>##V3_BDHV12</stp>
        <stp>CL2 Comdty</stp>
        <stp>PX_LAST</stp>
        <stp>10/09/2015</stp>
        <stp>10/09/2015</stp>
        <stp>[Bbg_Market_Data_CL.xlsm]data!R394C9</stp>
        <tr r="I394" s="1"/>
      </tp>
      <tp t="s">
        <v>#N/A Requesting Data...</v>
        <stp/>
        <stp>##V3_BDHV12</stp>
        <stp>CL2 Comdty</stp>
        <stp>PX_LAST</stp>
        <stp>13/09/2016</stp>
        <stp>13/09/2016</stp>
        <stp>[Bbg_Market_Data_CL.xlsm]data!R144C9</stp>
        <tr r="I144" s="1"/>
      </tp>
      <tp t="s">
        <v>#N/A Requesting Data...</v>
        <stp/>
        <stp>##V3_BDHV12</stp>
        <stp>CL2 Comdty</stp>
        <stp>PX_LAST</stp>
        <stp>12/08/2016</stp>
        <stp>12/08/2016</stp>
        <stp>[Bbg_Market_Data_CL.xlsm]data!R165C9</stp>
        <tr r="I165" s="1"/>
      </tp>
      <tp>
        <v>51.58</v>
        <stp/>
        <stp>##V3_BDHV12</stp>
        <stp>CL1 Comdty</stp>
        <stp>PX_HIGH</stp>
        <stp>20/10/2016</stp>
        <stp>20/10/2016</stp>
        <stp>[Bbg_Market_Data_CL.xlsm]data!R118C6</stp>
        <tr r="F118" s="1"/>
        <tr r="F118" s="1"/>
      </tp>
      <tp t="s">
        <v>#N/A Requesting Data...</v>
        <stp/>
        <stp>##V3_BDHV12</stp>
        <stp>CL1 Comdty</stp>
        <stp>PX_LAST</stp>
        <stp>10/08/2015</stp>
        <stp>10/08/2015</stp>
        <stp>[Bbg_Market_Data_CL.xlsm]data!R416C9</stp>
        <tr r="I416" s="1"/>
      </tp>
      <tp>
        <v>35.17</v>
        <stp/>
        <stp>##V3_BDHV12</stp>
        <stp>CL1 Comdty</stp>
        <stp>PX_HIGH</stp>
        <stp>02/03/2016</stp>
        <stp>02/03/2016</stp>
        <stp>[Bbg_Market_Data_CL.xlsm]data!R278C6</stp>
        <tr r="F278" s="1"/>
        <tr r="F278" s="1"/>
      </tp>
      <tp t="s">
        <v>#N/A Requesting Data...</v>
        <stp/>
        <stp>##V3_BDHV12</stp>
        <stp>CL2 Comdty</stp>
        <stp>PX_LAST</stp>
        <stp>21/09/2015</stp>
        <stp>21/09/2015</stp>
        <stp>[Bbg_Market_Data_CL.xlsm]data!R387C9</stp>
        <tr r="I387" s="1"/>
      </tp>
      <tp t="s">
        <v>#N/A Requesting Data...</v>
        <stp/>
        <stp>##V3_BDHV12</stp>
        <stp>CL2 Comdty</stp>
        <stp>PX_LAST</stp>
        <stp>22/09/2016</stp>
        <stp>22/09/2016</stp>
        <stp>[Bbg_Market_Data_CL.xlsm]data!R137C9</stp>
        <tr r="I137" s="1"/>
      </tp>
      <tp>
        <v>47.03</v>
        <stp/>
        <stp>##V3_BDHV12</stp>
        <stp>CL1 Comdty</stp>
        <stp>PX_HIGH</stp>
        <stp>30/10/2015</stp>
        <stp>30/10/2015</stp>
        <stp>[Bbg_Market_Data_CL.xlsm]data!R359C6</stp>
        <tr r="F359" s="1"/>
        <tr r="F359" s="1"/>
      </tp>
      <tp t="s">
        <v>#N/A Requesting Data...</v>
        <stp/>
        <stp>##V3_BDHV12</stp>
        <stp>CL1 Comdty</stp>
        <stp>PX_LAST</stp>
        <stp>11/08/2016</stp>
        <stp>11/08/2016</stp>
        <stp>[Bbg_Market_Data_CL.xlsm]data!R166C9</stp>
        <tr r="I166" s="1"/>
      </tp>
      <tp>
        <v>37.4</v>
        <stp/>
        <stp>##V3_BDHV12</stp>
        <stp>CL1 Comdty</stp>
        <stp>PX_HIGH</stp>
        <stp>15/03/2016</stp>
        <stp>15/03/2016</stp>
        <stp>[Bbg_Market_Data_CL.xlsm]data!R269C6</stp>
        <tr r="F269" s="1"/>
        <tr r="F269" s="1"/>
      </tp>
      <tp t="s">
        <v>#N/A Requesting Data...</v>
        <stp/>
        <stp>##V3_BDHV12</stp>
        <stp>CL2 Comdty</stp>
        <stp>PX_LAST</stp>
        <stp>25/08/2016</stp>
        <stp>25/08/2016</stp>
        <stp>[Bbg_Market_Data_CL.xlsm]data!R156C9</stp>
        <tr r="I156" s="1"/>
      </tp>
      <tp t="s">
        <v>#N/A Requesting Data...</v>
        <stp/>
        <stp>##V3_BDHV12</stp>
        <stp>CL1 Comdty</stp>
        <stp>PX_LAST</stp>
        <stp>09/06/2016</stp>
        <stp>09/06/2016</stp>
        <stp>[Bbg_Market_Data_CL.xlsm]data!R209C9</stp>
        <tr r="I209" s="1"/>
      </tp>
      <tp>
        <v>37.880000000000003</v>
        <stp/>
        <stp>##V3_BDHV12</stp>
        <stp>CL1 Comdty</stp>
        <stp>PX_HIGH</stp>
        <stp>15/12/2015</stp>
        <stp>15/12/2015</stp>
        <stp>[Bbg_Market_Data_CL.xlsm]data!R329C6</stp>
        <tr r="F329" s="1"/>
        <tr r="F329" s="1"/>
      </tp>
      <tp t="s">
        <v>#N/A Requesting Data...</v>
        <stp/>
        <stp>##V3_BDHV12</stp>
        <stp>CL2 Comdty</stp>
        <stp>PX_LAST</stp>
        <stp>24/08/2015</stp>
        <stp>24/08/2015</stp>
        <stp>[Bbg_Market_Data_CL.xlsm]data!R406C9</stp>
        <tr r="I406" s="1"/>
      </tp>
      <tp t="s">
        <v>#N/A Requesting Data...</v>
        <stp/>
        <stp>##V3_BDHV12</stp>
        <stp>CL1 Comdty</stp>
        <stp>PX_LAST</stp>
        <stp>09/07/2015</stp>
        <stp>09/07/2015</stp>
        <stp>[Bbg_Market_Data_CL.xlsm]data!R438C9</stp>
        <tr r="I438" s="1"/>
      </tp>
      <tp>
        <v>31.49</v>
        <stp/>
        <stp>##V3_BDHV12</stp>
        <stp>CL1 Comdty</stp>
        <stp>PX_HIGH</stp>
        <stp>17/02/2016</stp>
        <stp>17/02/2016</stp>
        <stp>[Bbg_Market_Data_CL.xlsm]data!R288C6</stp>
        <tr r="F288" s="1"/>
        <tr r="F288" s="1"/>
      </tp>
      <tp t="s">
        <v>#N/A Requesting Data...</v>
        <stp/>
        <stp>##V3_BDHV12</stp>
        <stp>CL1 Comdty</stp>
        <stp>PX_LAST</stp>
        <stp>24/09/2015</stp>
        <stp>24/09/2015</stp>
        <stp>[Bbg_Market_Data_CL.xlsm]data!R384C9</stp>
        <tr r="I384" s="1"/>
      </tp>
      <tp t="s">
        <v>#N/A Requesting Data...</v>
        <stp/>
        <stp>##V3_BDHV12</stp>
        <stp>CL1 Comdty</stp>
        <stp>PX_LAST</stp>
        <stp>27/09/2016</stp>
        <stp>27/09/2016</stp>
        <stp>[Bbg_Market_Data_CL.xlsm]data!R134C9</stp>
        <tr r="I134" s="1"/>
      </tp>
      <tp t="s">
        <v>#N/A Requesting Data...</v>
        <stp/>
        <stp>##V3_BDHV12</stp>
        <stp>CL1 Comdty</stp>
        <stp>PX_LAST</stp>
        <stp>26/08/2016</stp>
        <stp>26/08/2016</stp>
        <stp>[Bbg_Market_Data_CL.xlsm]data!R155C9</stp>
        <tr r="I155" s="1"/>
      </tp>
      <tp t="s">
        <v>#N/A Requesting Data...</v>
        <stp/>
        <stp>##V3_BDHV12</stp>
        <stp>CL1 Comdty</stp>
        <stp>PX_LAST</stp>
        <stp>07/08/2015</stp>
        <stp>07/08/2015</stp>
        <stp>[Bbg_Market_Data_CL.xlsm]data!R417C9</stp>
        <tr r="I417" s="1"/>
      </tp>
      <tp t="s">
        <v>#N/A Requesting Data...</v>
        <stp/>
        <stp>##V3_BDHV12</stp>
        <stp>CL1 Comdty</stp>
        <stp>PX_LAST</stp>
        <stp>25/08/2015</stp>
        <stp>25/08/2015</stp>
        <stp>[Bbg_Market_Data_CL.xlsm]data!R405C9</stp>
        <tr r="I405" s="1"/>
      </tp>
      <tp t="s">
        <v>#N/A Requesting Data...</v>
        <stp/>
        <stp>##V3_BDHV12</stp>
        <stp>CL1 Comdty</stp>
        <stp>PX_LAST</stp>
        <stp>09/06/2015</stp>
        <stp>09/06/2015</stp>
        <stp>[Bbg_Market_Data_CL.xlsm]data!R459C9</stp>
        <tr r="I459" s="1"/>
      </tp>
      <tp>
        <v>45.79</v>
        <stp/>
        <stp>##V3_BDHV12</stp>
        <stp>CL1 Comdty</stp>
        <stp>PX_OPEN</stp>
        <stp>09/09/2015</stp>
        <stp>09/09/2015</stp>
        <stp>[Bbg_Market_Data_CL.xlsm]data!R395C5</stp>
        <tr r="E395" s="1"/>
        <tr r="E395" s="1"/>
      </tp>
      <tp>
        <v>61.14</v>
        <stp/>
        <stp>##V3_BDHV12</stp>
        <stp>CL1 Comdty</stp>
        <stp>PX_OPEN</stp>
        <stp>24/06/2015</stp>
        <stp>24/06/2015</stp>
        <stp>[Bbg_Market_Data_CL.xlsm]data!R448C5</stp>
        <tr r="E448" s="1"/>
        <tr r="E448" s="1"/>
      </tp>
      <tp>
        <v>50.3</v>
        <stp/>
        <stp>##V3_BDHV12</stp>
        <stp>CL1 Comdty</stp>
        <stp>PX_OPEN</stp>
        <stp>24/06/2016</stp>
        <stp>24/06/2016</stp>
        <stp>[Bbg_Market_Data_CL.xlsm]data!R198C5</stp>
        <tr r="E198" s="1"/>
        <tr r="E198" s="1"/>
      </tp>
      <tp>
        <v>46</v>
        <stp/>
        <stp>##V3_BDHV12</stp>
        <stp>CL1 Comdty</stp>
        <stp>PX_OPEN</stp>
        <stp>12/05/2016</stp>
        <stp>12/05/2016</stp>
        <stp>[Bbg_Market_Data_CL.xlsm]data!R228C5</stp>
        <tr r="E228" s="1"/>
        <tr r="E228" s="1"/>
      </tp>
      <tp>
        <v>41.63</v>
        <stp/>
        <stp>##V3_BDHV12</stp>
        <stp>CL1 Comdty</stp>
        <stp>PX_OPEN</stp>
        <stp>13/04/2016</stp>
        <stp>13/04/2016</stp>
        <stp>[Bbg_Market_Data_CL.xlsm]data!R249C5</stp>
        <tr r="E249" s="1"/>
        <tr r="E249" s="1"/>
      </tp>
      <tp>
        <v>44.6</v>
        <stp/>
        <stp>##V3_BDHV12</stp>
        <stp>CL1 Comdty</stp>
        <stp>PX_OPEN</stp>
        <stp>22/07/2016</stp>
        <stp>22/07/2016</stp>
        <stp>[Bbg_Market_Data_CL.xlsm]data!R179C5</stp>
        <tr r="E179" s="1"/>
        <tr r="E179" s="1"/>
      </tp>
      <tp>
        <v>50.71</v>
        <stp/>
        <stp>##V3_BDHV12</stp>
        <stp>CL1 Comdty</stp>
        <stp>PX_OPEN</stp>
        <stp>22/07/2015</stp>
        <stp>22/07/2015</stp>
        <stp>[Bbg_Market_Data_CL.xlsm]data!R429C5</stp>
        <tr r="E429" s="1"/>
        <tr r="E429" s="1"/>
      </tp>
      <tp>
        <v>51.81</v>
        <stp/>
        <stp>##V3_BDHV12</stp>
        <stp>CL1 Comdty</stp>
        <stp>PX_OPEN</stp>
        <stp>13/04/2015</stp>
        <stp>13/04/2015</stp>
        <stp>[Bbg_Market_Data_CL.xlsm]data!R499C5</stp>
        <tr r="E499" s="1"/>
        <tr r="E499" s="1"/>
      </tp>
      <tp>
        <v>59.27</v>
        <stp/>
        <stp>##V3_BDHV12</stp>
        <stp>CL1 Comdty</stp>
        <stp>PX_OPEN</stp>
        <stp>12/05/2015</stp>
        <stp>12/05/2015</stp>
        <stp>[Bbg_Market_Data_CL.xlsm]data!R478C5</stp>
        <tr r="E478" s="1"/>
        <tr r="E478" s="1"/>
      </tp>
      <tp>
        <v>44.81</v>
        <stp/>
        <stp>##V3_BDHV12</stp>
        <stp>CL1 Comdty</stp>
        <stp>PX_OPEN</stp>
        <stp>11/08/2015</stp>
        <stp>11/08/2015</stp>
        <stp>[Bbg_Market_Data_CL.xlsm]data!R415C5</stp>
        <tr r="E415" s="1"/>
        <tr r="E415" s="1"/>
      </tp>
      <tp>
        <v>46.06</v>
        <stp/>
        <stp>##V3_BDHV12</stp>
        <stp>CL1 Comdty</stp>
        <stp>PX_OPEN</stp>
        <stp>13/09/2016</stp>
        <stp>13/09/2016</stp>
        <stp>[Bbg_Market_Data_CL.xlsm]data!R144C5</stp>
        <tr r="E144" s="1"/>
        <tr r="E144" s="1"/>
      </tp>
      <tp>
        <v>43.46</v>
        <stp/>
        <stp>##V3_BDHV12</stp>
        <stp>CL1 Comdty</stp>
        <stp>PX_OPEN</stp>
        <stp>12/08/2016</stp>
        <stp>12/08/2016</stp>
        <stp>[Bbg_Market_Data_CL.xlsm]data!R165C5</stp>
        <tr r="E165" s="1"/>
        <tr r="E165" s="1"/>
      </tp>
      <tp>
        <v>44.16</v>
        <stp/>
        <stp>##V3_BDHV12</stp>
        <stp>CL1 Comdty</stp>
        <stp>PX_OPEN</stp>
        <stp>10/09/2015</stp>
        <stp>10/09/2015</stp>
        <stp>[Bbg_Market_Data_CL.xlsm]data!R394C5</stp>
        <tr r="E394" s="1"/>
        <tr r="E394" s="1"/>
      </tp>
      <tp>
        <v>45.62</v>
        <stp/>
        <stp>##V3_BDHV12</stp>
        <stp>CL1 Comdty</stp>
        <stp>PX_OPEN</stp>
        <stp>22/09/2016</stp>
        <stp>22/09/2016</stp>
        <stp>[Bbg_Market_Data_CL.xlsm]data!R137C5</stp>
        <tr r="E137" s="1"/>
        <tr r="E137" s="1"/>
      </tp>
      <tp>
        <v>44.97</v>
        <stp/>
        <stp>##V3_BDHV12</stp>
        <stp>CL1 Comdty</stp>
        <stp>PX_OPEN</stp>
        <stp>21/09/2015</stp>
        <stp>21/09/2015</stp>
        <stp>[Bbg_Market_Data_CL.xlsm]data!R387C5</stp>
        <tr r="E387" s="1"/>
        <tr r="E387" s="1"/>
      </tp>
      <tp>
        <v>46.8</v>
        <stp/>
        <stp>##V3_BDHV12</stp>
        <stp>CL1 Comdty</stp>
        <stp>PX_OPEN</stp>
        <stp>25/08/2016</stp>
        <stp>25/08/2016</stp>
        <stp>[Bbg_Market_Data_CL.xlsm]data!R156C5</stp>
        <tr r="E156" s="1"/>
        <tr r="E156" s="1"/>
      </tp>
      <tp>
        <v>40.299999999999997</v>
        <stp/>
        <stp>##V3_BDHV12</stp>
        <stp>CL1 Comdty</stp>
        <stp>PX_OPEN</stp>
        <stp>24/08/2015</stp>
        <stp>24/08/2015</stp>
        <stp>[Bbg_Market_Data_CL.xlsm]data!R406C5</stp>
        <tr r="E406" s="1"/>
        <tr r="E406" s="1"/>
      </tp>
      <tp t="s">
        <v>#N/A Requesting Data...</v>
        <stp/>
        <stp>##V3_BDHV12</stp>
        <stp>CL2 Comdty</stp>
        <stp>RSI_14D</stp>
        <stp>23/02/2016</stp>
        <stp>23/02/2016</stp>
        <stp>[Bbg_Market_Data_CL.xlsm]data!R284C13</stp>
        <tr r="M284" s="1"/>
      </tp>
      <tp t="s">
        <v>#N/A Requesting Data...</v>
        <stp/>
        <stp>##V3_BDHV12</stp>
        <stp>CL1 Comdty</stp>
        <stp>RSI_14D</stp>
        <stp>23/02/2016</stp>
        <stp>23/02/2016</stp>
        <stp>[Bbg_Market_Data_CL.xlsm]data!R284C13</stp>
        <tr r="M284" s="1"/>
      </tp>
      <tp t="s">
        <v>#N/A Requesting Data...</v>
        <stp/>
        <stp>##V3_BDHV12</stp>
        <stp>CL1 Comdty</stp>
        <stp>RSI_30D</stp>
        <stp>07/06/2016</stp>
        <stp>07/06/2016</stp>
        <stp>[Bbg_Market_Data_CL.xlsm]data!R211C14</stp>
        <tr r="N211" s="1"/>
      </tp>
      <tp t="s">
        <v>#N/A Requesting Data...</v>
        <stp/>
        <stp>##V3_BDHV12</stp>
        <stp>CL2 Comdty</stp>
        <stp>RSI_30D</stp>
        <stp>07/06/2016</stp>
        <stp>07/06/2016</stp>
        <stp>[Bbg_Market_Data_CL.xlsm]data!R211C14</stp>
        <tr r="N211" s="1"/>
      </tp>
      <tp t="s">
        <v>#N/A Requesting Data...</v>
        <stp/>
        <stp>##V3_BDHV12</stp>
        <stp>CL1 Comdty</stp>
        <stp>RSI_30D</stp>
        <stp>27/04/2016</stp>
        <stp>27/04/2016</stp>
        <stp>[Bbg_Market_Data_CL.xlsm]data!R239C14</stp>
        <tr r="N239" s="1"/>
      </tp>
      <tp t="s">
        <v>#N/A Requesting Data...</v>
        <stp/>
        <stp>##V3_BDHV12</stp>
        <stp>CL2 Comdty</stp>
        <stp>RSI_30D</stp>
        <stp>27/04/2016</stp>
        <stp>27/04/2016</stp>
        <stp>[Bbg_Market_Data_CL.xlsm]data!R239C14</stp>
        <tr r="N239" s="1"/>
      </tp>
      <tp t="s">
        <v>#N/A Requesting Data...</v>
        <stp/>
        <stp>##V3_BDHV12</stp>
        <stp>CL2 Comdty</stp>
        <stp>RSI_14D</stp>
        <stp>16/07/2015</stp>
        <stp>16/07/2015</stp>
        <stp>[Bbg_Market_Data_CL.xlsm]data!R433C13</stp>
        <tr r="M433" s="1"/>
      </tp>
      <tp t="s">
        <v>#N/A Requesting Data...</v>
        <stp/>
        <stp>##V3_BDHV12</stp>
        <stp>CL1 Comdty</stp>
        <stp>RSI_14D</stp>
        <stp>16/07/2015</stp>
        <stp>16/07/2015</stp>
        <stp>[Bbg_Market_Data_CL.xlsm]data!R433C13</stp>
        <tr r="M433" s="1"/>
      </tp>
      <tp t="s">
        <v>#N/A Requesting Data...</v>
        <stp/>
        <stp>##V3_BDHV12</stp>
        <stp>CL2 Comdty</stp>
        <stp>RSI_14D</stp>
        <stp>31/12/2015</stp>
        <stp>31/12/2015</stp>
        <stp>[Bbg_Market_Data_CL.xlsm]data!R318C13</stp>
        <tr r="M318" s="1"/>
      </tp>
      <tp t="s">
        <v>#N/A Requesting Data...</v>
        <stp/>
        <stp>##V3_BDHV12</stp>
        <stp>CL1 Comdty</stp>
        <stp>RSI_14D</stp>
        <stp>31/12/2015</stp>
        <stp>31/12/2015</stp>
        <stp>[Bbg_Market_Data_CL.xlsm]data!R318C13</stp>
        <tr r="M318" s="1"/>
      </tp>
      <tp t="s">
        <v>#N/A Requesting Data...</v>
        <stp/>
        <stp>##V3_BDHV12</stp>
        <stp>CL1 Comdty</stp>
        <stp>RSI_30D</stp>
        <stp>16/06/2016</stp>
        <stp>16/06/2016</stp>
        <stp>[Bbg_Market_Data_CL.xlsm]data!R204C14</stp>
        <tr r="N204" s="1"/>
      </tp>
      <tp t="s">
        <v>#N/A Requesting Data...</v>
        <stp/>
        <stp>##V3_BDHV12</stp>
        <stp>CL2 Comdty</stp>
        <stp>RSI_30D</stp>
        <stp>16/06/2016</stp>
        <stp>16/06/2016</stp>
        <stp>[Bbg_Market_Data_CL.xlsm]data!R204C14</stp>
        <tr r="N204" s="1"/>
      </tp>
      <tp t="s">
        <v>#N/A Requesting Data...</v>
        <stp/>
        <stp>##V3_BDHV12</stp>
        <stp>CL1 Comdty</stp>
        <stp>RSI_14D</stp>
        <stp>27/05/2015</stp>
        <stp>27/05/2015</stp>
        <stp>[Bbg_Market_Data_CL.xlsm]data!R468C13</stp>
        <tr r="M468" s="1"/>
      </tp>
      <tp t="s">
        <v>#N/A Requesting Data...</v>
        <stp/>
        <stp>##V3_BDHV12</stp>
        <stp>CL1 Comdty</stp>
        <stp>RSI_30D</stp>
        <stp>26/05/2016</stp>
        <stp>26/05/2016</stp>
        <stp>[Bbg_Market_Data_CL.xlsm]data!R218C14</stp>
        <tr r="N218" s="1"/>
      </tp>
      <tp t="s">
        <v>#N/A Requesting Data...</v>
        <stp/>
        <stp>##V3_BDHV12</stp>
        <stp>CL2 Comdty</stp>
        <stp>RSI_14D</stp>
        <stp>27/05/2015</stp>
        <stp>27/05/2015</stp>
        <stp>[Bbg_Market_Data_CL.xlsm]data!R468C13</stp>
        <tr r="M468" s="1"/>
      </tp>
      <tp t="s">
        <v>#N/A Requesting Data...</v>
        <stp/>
        <stp>##V3_BDHV12</stp>
        <stp>CL2 Comdty</stp>
        <stp>RSI_30D</stp>
        <stp>26/05/2016</stp>
        <stp>26/05/2016</stp>
        <stp>[Bbg_Market_Data_CL.xlsm]data!R218C14</stp>
        <tr r="N218" s="1"/>
      </tp>
      <tp t="s">
        <v>#N/A Requesting Data...</v>
        <stp/>
        <stp>##V3_BDHV12</stp>
        <stp>CL2 Comdty</stp>
        <stp>RSI_14D</stp>
        <stp>22/03/2016</stp>
        <stp>22/03/2016</stp>
        <stp>[Bbg_Market_Data_CL.xlsm]data!R264C13</stp>
        <tr r="M264" s="1"/>
      </tp>
      <tp t="s">
        <v>#N/A Requesting Data...</v>
        <stp/>
        <stp>##V3_BDHV12</stp>
        <stp>CL1 Comdty</stp>
        <stp>RSI_14D</stp>
        <stp>22/03/2016</stp>
        <stp>22/03/2016</stp>
        <stp>[Bbg_Market_Data_CL.xlsm]data!R264C13</stp>
        <tr r="M264" s="1"/>
      </tp>
      <tp t="s">
        <v>#N/A Requesting Data...</v>
        <stp/>
        <stp>##V3_BDHV12</stp>
        <stp>CL2 Comdty</stp>
        <stp>RSI_14D</stp>
        <stp>17/06/2015</stp>
        <stp>17/06/2015</stp>
        <stp>[Bbg_Market_Data_CL.xlsm]data!R453C13</stp>
        <tr r="M453" s="1"/>
      </tp>
      <tp t="s">
        <v>#N/A Requesting Data...</v>
        <stp/>
        <stp>##V3_BDHV12</stp>
        <stp>CL1 Comdty</stp>
        <stp>RSI_14D</stp>
        <stp>17/06/2015</stp>
        <stp>17/06/2015</stp>
        <stp>[Bbg_Market_Data_CL.xlsm]data!R453C13</stp>
        <tr r="M453" s="1"/>
      </tp>
      <tp t="s">
        <v>#N/A Requesting Data...</v>
        <stp/>
        <stp>##V3_BDHV12</stp>
        <stp>CL1 Comdty</stp>
        <stp>RSI_14D</stp>
        <stp>07/07/2015</stp>
        <stp>07/07/2015</stp>
        <stp>[Bbg_Market_Data_CL.xlsm]data!R440C13</stp>
        <tr r="M440" s="1"/>
      </tp>
      <tp t="s">
        <v>#N/A Requesting Data...</v>
        <stp/>
        <stp>##V3_BDHV12</stp>
        <stp>CL2 Comdty</stp>
        <stp>RSI_14D</stp>
        <stp>07/07/2015</stp>
        <stp>07/07/2015</stp>
        <stp>[Bbg_Market_Data_CL.xlsm]data!R440C13</stp>
        <tr r="M440" s="1"/>
      </tp>
      <tp t="s">
        <v>#N/A Requesting Data...</v>
        <stp/>
        <stp>##V3_BDHV12</stp>
        <stp>CL1 Comdty</stp>
        <stp>RSI_14D</stp>
        <stp>10/11/2015</stp>
        <stp>10/11/2015</stp>
        <stp>[Bbg_Market_Data_CL.xlsm]data!R352C13</stp>
        <tr r="M352" s="1"/>
      </tp>
      <tp t="s">
        <v>#N/A Requesting Data...</v>
        <stp/>
        <stp>##V3_BDHV12</stp>
        <stp>CL2 Comdty</stp>
        <stp>RSI_14D</stp>
        <stp>10/11/2015</stp>
        <stp>10/11/2015</stp>
        <stp>[Bbg_Market_Data_CL.xlsm]data!R352C13</stp>
        <tr r="M352" s="1"/>
      </tp>
      <tp t="s">
        <v>#N/A Requesting Data...</v>
        <stp/>
        <stp>##V3_BDHV12</stp>
        <stp>CL2 Comdty</stp>
        <stp>RSI_14D</stp>
        <stp>13/01/2016</stp>
        <stp>13/01/2016</stp>
        <stp>[Bbg_Market_Data_CL.xlsm]data!R310C13</stp>
        <tr r="M310" s="1"/>
      </tp>
      <tp t="s">
        <v>#N/A Requesting Data...</v>
        <stp/>
        <stp>##V3_BDHV12</stp>
        <stp>CL1 Comdty</stp>
        <stp>RSI_14D</stp>
        <stp>13/01/2016</stp>
        <stp>13/01/2016</stp>
        <stp>[Bbg_Market_Data_CL.xlsm]data!R310C13</stp>
        <tr r="M310" s="1"/>
      </tp>
      <tp t="s">
        <v>#N/A Requesting Data...</v>
        <stp/>
        <stp>##V3_BDHV12</stp>
        <stp>CL2 Comdty</stp>
        <stp>RSI_14D</stp>
        <stp>21/10/2016</stp>
        <stp>21/10/2016</stp>
        <stp>[Bbg_Market_Data_CL.xlsm]data!R117C13</stp>
        <tr r="M117" s="1"/>
      </tp>
      <tp t="s">
        <v>#N/A Requesting Data...</v>
        <stp/>
        <stp>##V3_BDHV12</stp>
        <stp>CL1 Comdty</stp>
        <stp>RSI_14D</stp>
        <stp>21/10/2016</stp>
        <stp>21/10/2016</stp>
        <stp>[Bbg_Market_Data_CL.xlsm]data!R117C13</stp>
        <tr r="M117" s="1"/>
      </tp>
      <tp t="s">
        <v>#N/A Requesting Data...</v>
        <stp/>
        <stp>##V3_BDHV12</stp>
        <stp>CL1 Comdty</stp>
        <stp>RSI_30D</stp>
        <stp>06/07/2016</stp>
        <stp>06/07/2016</stp>
        <stp>[Bbg_Market_Data_CL.xlsm]data!R191C14</stp>
        <tr r="N191" s="1"/>
      </tp>
      <tp t="s">
        <v>#N/A Requesting Data...</v>
        <stp/>
        <stp>##V3_BDHV12</stp>
        <stp>CL2 Comdty</stp>
        <stp>RSI_30D</stp>
        <stp>06/07/2016</stp>
        <stp>06/07/2016</stp>
        <stp>[Bbg_Market_Data_CL.xlsm]data!R191C14</stp>
        <tr r="N191" s="1"/>
      </tp>
      <tp t="s">
        <v>#N/A Requesting Data...</v>
        <stp/>
        <stp>##V3_BDHV12</stp>
        <stp>CL1 Comdty</stp>
        <stp>RSI_14D</stp>
        <stp>01/02/2016</stp>
        <stp>01/02/2016</stp>
        <stp>[Bbg_Market_Data_CL.xlsm]data!R298C13</stp>
        <tr r="M298" s="1"/>
      </tp>
      <tp t="s">
        <v>#N/A Requesting Data...</v>
        <stp/>
        <stp>##V3_BDHV12</stp>
        <stp>CL2 Comdty</stp>
        <stp>RSI_14D</stp>
        <stp>01/02/2016</stp>
        <stp>01/02/2016</stp>
        <stp>[Bbg_Market_Data_CL.xlsm]data!R298C13</stp>
        <tr r="M298" s="1"/>
      </tp>
      <tp t="s">
        <v>#N/A Requesting Data...</v>
        <stp/>
        <stp>##V3_BDHV12</stp>
        <stp>CL1 Comdty</stp>
        <stp>RSI_14D</stp>
        <stp>14/05/2015</stp>
        <stp>14/05/2015</stp>
        <stp>[Bbg_Market_Data_CL.xlsm]data!R476C13</stp>
        <tr r="M476" s="1"/>
      </tp>
      <tp t="s">
        <v>#N/A Requesting Data...</v>
        <stp/>
        <stp>##V3_BDHV12</stp>
        <stp>CL1 Comdty</stp>
        <stp>RSI_14D</stp>
        <stp>11/03/2016</stp>
        <stp>11/03/2016</stp>
        <stp>[Bbg_Market_Data_CL.xlsm]data!R271C13</stp>
        <tr r="M271" s="1"/>
      </tp>
      <tp t="s">
        <v>#N/A Requesting Data...</v>
        <stp/>
        <stp>##V3_BDHV12</stp>
        <stp>CL2 Comdty</stp>
        <stp>RSI_14D</stp>
        <stp>11/03/2016</stp>
        <stp>11/03/2016</stp>
        <stp>[Bbg_Market_Data_CL.xlsm]data!R271C13</stp>
        <tr r="M271" s="1"/>
      </tp>
      <tp t="s">
        <v>#N/A Requesting Data...</v>
        <stp/>
        <stp>##V3_BDHV12</stp>
        <stp>CL2 Comdty</stp>
        <stp>RSI_14D</stp>
        <stp>14/05/2015</stp>
        <stp>14/05/2015</stp>
        <stp>[Bbg_Market_Data_CL.xlsm]data!R476C13</stp>
        <tr r="M476" s="1"/>
      </tp>
      <tp t="s">
        <v>#N/A Requesting Data...</v>
        <stp/>
        <stp>##V3_BDHV12</stp>
        <stp>CL1 Comdty</stp>
        <stp>RSI_14D</stp>
        <stp>23/11/2015</stp>
        <stp>23/11/2015</stp>
        <stp>[Bbg_Market_Data_CL.xlsm]data!R344C13</stp>
        <tr r="M344" s="1"/>
      </tp>
      <tp t="s">
        <v>#N/A Requesting Data...</v>
        <stp/>
        <stp>##V3_BDHV12</stp>
        <stp>CL2 Comdty</stp>
        <stp>RSI_14D</stp>
        <stp>23/11/2015</stp>
        <stp>23/11/2015</stp>
        <stp>[Bbg_Market_Data_CL.xlsm]data!R344C13</stp>
        <tr r="M344" s="1"/>
      </tp>
      <tp t="s">
        <v>#N/A Requesting Data...</v>
        <stp/>
        <stp>##V3_BDHV12</stp>
        <stp>CL2 Comdty</stp>
        <stp>RSI_14D</stp>
        <stp>24/06/2015</stp>
        <stp>24/06/2015</stp>
        <stp>[Bbg_Market_Data_CL.xlsm]data!R448C13</stp>
        <tr r="M448" s="1"/>
      </tp>
      <tp t="s">
        <v>#N/A Requesting Data...</v>
        <stp/>
        <stp>##V3_BDHV12</stp>
        <stp>CL1 Comdty</stp>
        <stp>RSI_14D</stp>
        <stp>24/06/2015</stp>
        <stp>24/06/2015</stp>
        <stp>[Bbg_Market_Data_CL.xlsm]data!R448C13</stp>
        <tr r="M448" s="1"/>
      </tp>
      <tp t="s">
        <v>#N/A Requesting Data...</v>
        <stp/>
        <stp>##V3_BDHV12</stp>
        <stp>CL2 Comdty</stp>
        <stp>RSI_14D</stp>
        <stp>12/10/2016</stp>
        <stp>12/10/2016</stp>
        <stp>[Bbg_Market_Data_CL.xlsm]data!R124C13</stp>
        <tr r="M124" s="1"/>
      </tp>
      <tp t="s">
        <v>#N/A Requesting Data...</v>
        <stp/>
        <stp>##V3_BDHV12</stp>
        <stp>CL1 Comdty</stp>
        <stp>RSI_14D</stp>
        <stp>12/10/2016</stp>
        <stp>12/10/2016</stp>
        <stp>[Bbg_Market_Data_CL.xlsm]data!R124C13</stp>
        <tr r="M124" s="1"/>
      </tp>
      <tp t="s">
        <v>#N/A Requesting Data...</v>
        <stp/>
        <stp>##V3_BDHV12</stp>
        <stp>CL2 Comdty</stp>
        <stp>RSI_30D</stp>
        <stp>05/04/2016</stp>
        <stp>05/04/2016</stp>
        <stp>[Bbg_Market_Data_CL.xlsm]data!R255C14</stp>
        <tr r="N255" s="1"/>
      </tp>
      <tp t="s">
        <v>#N/A Requesting Data...</v>
        <stp/>
        <stp>##V3_BDHV12</stp>
        <stp>CL1 Comdty</stp>
        <stp>RSI_30D</stp>
        <stp>05/04/2016</stp>
        <stp>05/04/2016</stp>
        <stp>[Bbg_Market_Data_CL.xlsm]data!R255C14</stp>
        <tr r="N255" s="1"/>
      </tp>
      <tp t="s">
        <v>#N/A Requesting Data...</v>
        <stp/>
        <stp>##V3_BDHV12</stp>
        <stp>CL2 Comdty</stp>
        <stp>RSI_14D</stp>
        <stp>02/11/2016</stp>
        <stp>02/11/2016</stp>
        <stp>[Bbg_Market_Data_CL.xlsm]data!R109C13</stp>
        <tr r="M109" s="1"/>
      </tp>
      <tp t="s">
        <v>#N/A Requesting Data...</v>
        <stp/>
        <stp>##V3_BDHV12</stp>
        <stp>CL1 Comdty</stp>
        <stp>RSI_14D</stp>
        <stp>02/11/2016</stp>
        <stp>02/11/2016</stp>
        <stp>[Bbg_Market_Data_CL.xlsm]data!R109C13</stp>
        <tr r="M109" s="1"/>
      </tp>
      <tp t="s">
        <v>#N/A Requesting Data...</v>
        <stp/>
        <stp>##V3_BDHV12</stp>
        <stp>CL2 Comdty</stp>
        <stp>RSI_14D</stp>
        <stp>20/01/2016</stp>
        <stp>20/01/2016</stp>
        <stp>[Bbg_Market_Data_CL.xlsm]data!R306C13</stp>
        <tr r="M306" s="1"/>
      </tp>
      <tp t="s">
        <v>#N/A Requesting Data...</v>
        <stp/>
        <stp>##V3_BDHV12</stp>
        <stp>CL1 Comdty</stp>
        <stp>RSI_14D</stp>
        <stp>20/01/2016</stp>
        <stp>20/01/2016</stp>
        <stp>[Bbg_Market_Data_CL.xlsm]data!R306C13</stp>
        <tr r="M306" s="1"/>
      </tp>
      <tp t="s">
        <v>#N/A Requesting Data...</v>
        <stp/>
        <stp>##V3_BDHV12</stp>
        <stp>CL1 Comdty</stp>
        <stp>RSI_14D</stp>
        <stp>10/02/2016</stp>
        <stp>10/02/2016</stp>
        <stp>[Bbg_Market_Data_CL.xlsm]data!R291C13</stp>
        <tr r="M291" s="1"/>
      </tp>
      <tp t="s">
        <v>#N/A Requesting Data...</v>
        <stp/>
        <stp>##V3_BDHV12</stp>
        <stp>CL1 Comdty</stp>
        <stp>RSI_14D</stp>
        <stp>15/04/2015</stp>
        <stp>15/04/2015</stp>
        <stp>[Bbg_Market_Data_CL.xlsm]data!R497C13</stp>
        <tr r="M497" s="1"/>
      </tp>
      <tp t="s">
        <v>#N/A Requesting Data...</v>
        <stp/>
        <stp>##V3_BDHV12</stp>
        <stp>CL2 Comdty</stp>
        <stp>RSI_14D</stp>
        <stp>10/02/2016</stp>
        <stp>10/02/2016</stp>
        <stp>[Bbg_Market_Data_CL.xlsm]data!R291C13</stp>
        <tr r="M291" s="1"/>
      </tp>
      <tp t="s">
        <v>#N/A Requesting Data...</v>
        <stp/>
        <stp>##V3_BDHV12</stp>
        <stp>CL2 Comdty</stp>
        <stp>RSI_14D</stp>
        <stp>15/04/2015</stp>
        <stp>15/04/2015</stp>
        <stp>[Bbg_Market_Data_CL.xlsm]data!R497C13</stp>
        <tr r="M497" s="1"/>
      </tp>
      <tp t="s">
        <v>#N/A Requesting Data...</v>
        <stp/>
        <stp>##V3_BDHV12</stp>
        <stp>CL1 Comdty</stp>
        <stp>RSI_14D</stp>
        <stp>05/05/2015</stp>
        <stp>05/05/2015</stp>
        <stp>[Bbg_Market_Data_CL.xlsm]data!R483C13</stp>
        <tr r="M483" s="1"/>
      </tp>
      <tp t="s">
        <v>#N/A Requesting Data...</v>
        <stp/>
        <stp>##V3_BDHV12</stp>
        <stp>CL2 Comdty</stp>
        <stp>RSI_14D</stp>
        <stp>05/05/2015</stp>
        <stp>05/05/2015</stp>
        <stp>[Bbg_Market_Data_CL.xlsm]data!R483C13</stp>
        <tr r="M483" s="1"/>
      </tp>
      <tp t="s">
        <v>#N/A Requesting Data...</v>
        <stp/>
        <stp>##V3_BDHV12</stp>
        <stp>CL1 Comdty</stp>
        <stp>RSI_14D</stp>
        <stp>22/10/2015</stp>
        <stp>22/10/2015</stp>
        <stp>[Bbg_Market_Data_CL.xlsm]data!R365C13</stp>
        <tr r="M365" s="1"/>
      </tp>
      <tp t="s">
        <v>#N/A Requesting Data...</v>
        <stp/>
        <stp>##V3_BDHV12</stp>
        <stp>CL2 Comdty</stp>
        <stp>RSI_14D</stp>
        <stp>22/10/2015</stp>
        <stp>22/10/2015</stp>
        <stp>[Bbg_Market_Data_CL.xlsm]data!R365C13</stp>
        <tr r="M365" s="1"/>
      </tp>
      <tp t="s">
        <v>#N/A Requesting Data...</v>
        <stp/>
        <stp>##V3_BDHV12</stp>
        <stp>CL2 Comdty</stp>
        <stp>RSI_30D</stp>
        <stp>04/05/2016</stp>
        <stp>04/05/2016</stp>
        <stp>[Bbg_Market_Data_CL.xlsm]data!R234C14</stp>
        <tr r="N234" s="1"/>
      </tp>
      <tp t="s">
        <v>#N/A Requesting Data...</v>
        <stp/>
        <stp>##V3_BDHV12</stp>
        <stp>CL1 Comdty</stp>
        <stp>RSI_30D</stp>
        <stp>04/05/2016</stp>
        <stp>04/05/2016</stp>
        <stp>[Bbg_Market_Data_CL.xlsm]data!R234C14</stp>
        <tr r="N234" s="1"/>
      </tp>
      <tp t="s">
        <v>#N/A Requesting Data...</v>
        <stp/>
        <stp>##V3_BDHV12</stp>
        <stp>CL2 Comdty</stp>
        <stp>RSI_30D</stp>
        <stp>14/04/2016</stp>
        <stp>14/04/2016</stp>
        <stp>[Bbg_Market_Data_CL.xlsm]data!R248C14</stp>
        <tr r="N248" s="1"/>
      </tp>
      <tp t="s">
        <v>#N/A Requesting Data...</v>
        <stp/>
        <stp>##V3_BDHV12</stp>
        <stp>CL1 Comdty</stp>
        <stp>RSI_30D</stp>
        <stp>14/04/2016</stp>
        <stp>14/04/2016</stp>
        <stp>[Bbg_Market_Data_CL.xlsm]data!R248C14</stp>
        <tr r="N248" s="1"/>
      </tp>
      <tp t="s">
        <v>#N/A Requesting Data...</v>
        <stp/>
        <stp>##V3_BDHV12</stp>
        <stp>CL1 Comdty</stp>
        <stp>RSI_14D</stp>
        <stp>02/12/2015</stp>
        <stp>02/12/2015</stp>
        <stp>[Bbg_Market_Data_CL.xlsm]data!R338C13</stp>
        <tr r="M338" s="1"/>
      </tp>
      <tp t="s">
        <v>#N/A Requesting Data...</v>
        <stp/>
        <stp>##V3_BDHV12</stp>
        <stp>CL2 Comdty</stp>
        <stp>RSI_14D</stp>
        <stp>02/12/2015</stp>
        <stp>02/12/2015</stp>
        <stp>[Bbg_Market_Data_CL.xlsm]data!R338C13</stp>
        <tr r="M338" s="1"/>
      </tp>
      <tp t="s">
        <v>#N/A Requesting Data...</v>
        <stp/>
        <stp>##V3_BDHV12</stp>
        <stp>CL2 Comdty</stp>
        <stp>RSI_14D</stp>
        <stp>03/10/2016</stp>
        <stp>03/10/2016</stp>
        <stp>[Bbg_Market_Data_CL.xlsm]data!R130C13</stp>
        <tr r="M130" s="1"/>
      </tp>
      <tp t="s">
        <v>#N/A Requesting Data...</v>
        <stp/>
        <stp>##V3_BDHV12</stp>
        <stp>CL1 Comdty</stp>
        <stp>RSI_14D</stp>
        <stp>03/10/2016</stp>
        <stp>03/10/2016</stp>
        <stp>[Bbg_Market_Data_CL.xlsm]data!R130C13</stp>
        <tr r="M130" s="1"/>
      </tp>
      <tp t="s">
        <v>#N/A Requesting Data...</v>
        <stp/>
        <stp>##V3_BDHV12</stp>
        <stp>CL2 Comdty</stp>
        <stp>RSI_30D</stp>
        <stp>03/02/2016</stp>
        <stp>03/02/2016</stp>
        <stp>[Bbg_Market_Data_CL.xlsm]data!R296C14</stp>
        <tr r="N296" s="1"/>
      </tp>
      <tp t="s">
        <v>#N/A Requesting Data...</v>
        <stp/>
        <stp>##V3_BDHV12</stp>
        <stp>CL1 Comdty</stp>
        <stp>RSI_30D</stp>
        <stp>03/02/2016</stp>
        <stp>03/02/2016</stp>
        <stp>[Bbg_Market_Data_CL.xlsm]data!R296C14</stp>
        <tr r="N296" s="1"/>
      </tp>
      <tp t="s">
        <v>#N/A Requesting Data...</v>
        <stp/>
        <stp>##V3_BDHV12</stp>
        <stp>CL1 Comdty</stp>
        <stp>RSI_30D</stp>
        <stp>22/01/2016</stp>
        <stp>22/01/2016</stp>
        <stp>[Bbg_Market_Data_CL.xlsm]data!R304C14</stp>
        <tr r="N304" s="1"/>
      </tp>
      <tp t="s">
        <v>#N/A Requesting Data...</v>
        <stp/>
        <stp>##V3_BDHV12</stp>
        <stp>CL2 Comdty</stp>
        <stp>RSI_30D</stp>
        <stp>22/01/2016</stp>
        <stp>22/01/2016</stp>
        <stp>[Bbg_Market_Data_CL.xlsm]data!R304C14</stp>
        <tr r="N304" s="1"/>
      </tp>
      <tp t="s">
        <v>#N/A Requesting Data...</v>
        <stp/>
        <stp>##V3_BDHV12</stp>
        <stp>CL1 Comdty</stp>
        <stp>RSI_14D</stp>
        <stp>07/04/2016</stp>
        <stp>07/04/2016</stp>
        <stp>[Bbg_Market_Data_CL.xlsm]data!R253C13</stp>
        <tr r="M253" s="1"/>
      </tp>
      <tp t="s">
        <v>#N/A Requesting Data...</v>
        <stp/>
        <stp>##V3_BDHV12</stp>
        <stp>CL2 Comdty</stp>
        <stp>RSI_14D</stp>
        <stp>07/04/2016</stp>
        <stp>07/04/2016</stp>
        <stp>[Bbg_Market_Data_CL.xlsm]data!R253C13</stp>
        <tr r="M253" s="1"/>
      </tp>
      <tp t="s">
        <v>#N/A Requesting Data...</v>
        <stp/>
        <stp>##V3_BDHV12</stp>
        <stp>CL1 Comdty</stp>
        <stp>RSI_30D</stp>
        <stp>11/12/2015</stp>
        <stp>11/12/2015</stp>
        <stp>[Bbg_Market_Data_CL.xlsm]data!R331C14</stp>
        <tr r="N331" s="1"/>
      </tp>
      <tp t="s">
        <v>#N/A Requesting Data...</v>
        <stp/>
        <stp>##V3_BDHV12</stp>
        <stp>CL2 Comdty</stp>
        <stp>RSI_30D</stp>
        <stp>11/12/2015</stp>
        <stp>11/12/2015</stp>
        <stp>[Bbg_Market_Data_CL.xlsm]data!R331C14</stp>
        <tr r="N331" s="1"/>
      </tp>
      <tp t="s">
        <v>#N/A Requesting Data...</v>
        <stp/>
        <stp>##V3_BDHV12</stp>
        <stp>CL1 Comdty</stp>
        <stp>RSI_30D</stp>
        <stp>26/06/2015</stp>
        <stp>26/06/2015</stp>
        <stp>[Bbg_Market_Data_CL.xlsm]data!R446C14</stp>
        <tr r="N446" s="1"/>
      </tp>
      <tp t="s">
        <v>#N/A Requesting Data...</v>
        <stp/>
        <stp>##V3_BDHV12</stp>
        <stp>CL2 Comdty</stp>
        <stp>RSI_30D</stp>
        <stp>26/06/2015</stp>
        <stp>26/06/2015</stp>
        <stp>[Bbg_Market_Data_CL.xlsm]data!R446C14</stp>
        <tr r="N446" s="1"/>
      </tp>
      <tp t="s">
        <v>#N/A Requesting Data...</v>
        <stp/>
        <stp>##V3_BDHV12</stp>
        <stp>CL2 Comdty</stp>
        <stp>RSI_14D</stp>
        <stp>17/05/2016</stp>
        <stp>17/05/2016</stp>
        <stp>[Bbg_Market_Data_CL.xlsm]data!R225C13</stp>
        <tr r="M225" s="1"/>
      </tp>
      <tp t="s">
        <v>#N/A Requesting Data...</v>
        <stp/>
        <stp>##V3_BDHV12</stp>
        <stp>CL1 Comdty</stp>
        <stp>RSI_14D</stp>
        <stp>17/05/2016</stp>
        <stp>17/05/2016</stp>
        <stp>[Bbg_Market_Data_CL.xlsm]data!R225C13</stp>
        <tr r="M225" s="1"/>
      </tp>
      <tp t="s">
        <v>#N/A Requesting Data...</v>
        <stp/>
        <stp>##V3_BDHV12</stp>
        <stp>CL1 Comdty</stp>
        <stp>RSI_30D</stp>
        <stp>12/02/2016</stp>
        <stp>12/02/2016</stp>
        <stp>[Bbg_Market_Data_CL.xlsm]data!R289C14</stp>
        <tr r="N289" s="1"/>
      </tp>
      <tp t="s">
        <v>#N/A Requesting Data...</v>
        <stp/>
        <stp>##V3_BDHV12</stp>
        <stp>CL2 Comdty</stp>
        <stp>RSI_30D</stp>
        <stp>12/02/2016</stp>
        <stp>12/02/2016</stp>
        <stp>[Bbg_Market_Data_CL.xlsm]data!R289C14</stp>
        <tr r="N289" s="1"/>
      </tp>
      <tp t="s">
        <v>#N/A Requesting Data...</v>
        <stp/>
        <stp>##V3_BDHV12</stp>
        <stp>CL2 Comdty</stp>
        <stp>RSI_30D</stp>
        <stp>07/05/2015</stp>
        <stp>07/05/2015</stp>
        <stp>[Bbg_Market_Data_CL.xlsm]data!R481C14</stp>
        <tr r="N481" s="1"/>
      </tp>
      <tp t="s">
        <v>#N/A Requesting Data...</v>
        <stp/>
        <stp>##V3_BDHV12</stp>
        <stp>CL1 Comdty</stp>
        <stp>RSI_30D</stp>
        <stp>07/05/2015</stp>
        <stp>07/05/2015</stp>
        <stp>[Bbg_Market_Data_CL.xlsm]data!R481C14</stp>
        <tr r="N481" s="1"/>
      </tp>
      <tp t="s">
        <v>#N/A Requesting Data...</v>
        <stp/>
        <stp>##V3_BDHV12</stp>
        <stp>CL2 Comdty</stp>
        <stp>RSI_30D</stp>
        <stp>17/04/2015</stp>
        <stp>17/04/2015</stp>
        <stp>[Bbg_Market_Data_CL.xlsm]data!R495C14</stp>
        <tr r="N495" s="1"/>
      </tp>
      <tp t="s">
        <v>#N/A Requesting Data...</v>
        <stp/>
        <stp>##V3_BDHV12</stp>
        <stp>CL1 Comdty</stp>
        <stp>RSI_30D</stp>
        <stp>17/04/2015</stp>
        <stp>17/04/2015</stp>
        <stp>[Bbg_Market_Data_CL.xlsm]data!R495C14</stp>
        <tr r="N495" s="1"/>
      </tp>
      <tp t="s">
        <v>#N/A Requesting Data...</v>
        <stp/>
        <stp>##V3_BDHV12</stp>
        <stp>CL1 Comdty</stp>
        <stp>RSI_14D</stp>
        <stp>15/07/2016</stp>
        <stp>15/07/2016</stp>
        <stp>[Bbg_Market_Data_CL.xlsm]data!R184C13</stp>
        <tr r="M184" s="1"/>
      </tp>
      <tp t="s">
        <v>#N/A Requesting Data...</v>
        <stp/>
        <stp>##V3_BDHV12</stp>
        <stp>CL2 Comdty</stp>
        <stp>RSI_14D</stp>
        <stp>15/07/2016</stp>
        <stp>15/07/2016</stp>
        <stp>[Bbg_Market_Data_CL.xlsm]data!R184C13</stp>
        <tr r="M184" s="1"/>
      </tp>
      <tp t="s">
        <v>#N/A Requesting Data...</v>
        <stp/>
        <stp>##V3_BDHV12</stp>
        <stp>CL1 Comdty</stp>
        <stp>RSI_30D</stp>
        <stp>27/07/2015</stp>
        <stp>27/07/2015</stp>
        <stp>[Bbg_Market_Data_CL.xlsm]data!R426C14</stp>
        <tr r="N426" s="1"/>
      </tp>
      <tp t="s">
        <v>#N/A Requesting Data...</v>
        <stp/>
        <stp>##V3_BDHV12</stp>
        <stp>CL2 Comdty</stp>
        <stp>RSI_30D</stp>
        <stp>27/07/2015</stp>
        <stp>27/07/2015</stp>
        <stp>[Bbg_Market_Data_CL.xlsm]data!R426C14</stp>
        <tr r="N426" s="1"/>
      </tp>
      <tp t="s">
        <v>#N/A Requesting Data...</v>
        <stp/>
        <stp>##V3_BDHV12</stp>
        <stp>CL1 Comdty</stp>
        <stp>RSI_14D</stp>
        <stp>06/05/2016</stp>
        <stp>06/05/2016</stp>
        <stp>[Bbg_Market_Data_CL.xlsm]data!R232C13</stp>
        <tr r="M232" s="1"/>
      </tp>
      <tp t="s">
        <v>#N/A Requesting Data...</v>
        <stp/>
        <stp>##V3_BDHV12</stp>
        <stp>CL2 Comdty</stp>
        <stp>RSI_14D</stp>
        <stp>06/05/2016</stp>
        <stp>06/05/2016</stp>
        <stp>[Bbg_Market_Data_CL.xlsm]data!R232C13</stp>
        <tr r="M232" s="1"/>
      </tp>
      <tp t="s">
        <v>#N/A Requesting Data...</v>
        <stp/>
        <stp>##V3_BDHV12</stp>
        <stp>CL1 Comdty</stp>
        <stp>RSI_30D</stp>
        <stp>30/11/2015</stp>
        <stp>30/11/2015</stp>
        <stp>[Bbg_Market_Data_CL.xlsm]data!R340C14</stp>
        <tr r="N340" s="1"/>
      </tp>
      <tp t="s">
        <v>#N/A Requesting Data...</v>
        <stp/>
        <stp>##V3_BDHV12</stp>
        <stp>CL2 Comdty</stp>
        <stp>RSI_30D</stp>
        <stp>30/11/2015</stp>
        <stp>30/11/2015</stp>
        <stp>[Bbg_Market_Data_CL.xlsm]data!R340C14</stp>
        <tr r="N340" s="1"/>
      </tp>
      <tp t="s">
        <v>#N/A Requesting Data...</v>
        <stp/>
        <stp>##V3_BDHV12</stp>
        <stp>CL1 Comdty</stp>
        <stp>RSI_30D</stp>
        <stp>02/03/2016</stp>
        <stp>02/03/2016</stp>
        <stp>[Bbg_Market_Data_CL.xlsm]data!R278C14</stp>
        <tr r="N278" s="1"/>
      </tp>
      <tp t="s">
        <v>#N/A Requesting Data...</v>
        <stp/>
        <stp>##V3_BDHV12</stp>
        <stp>CL2 Comdty</stp>
        <stp>RSI_30D</stp>
        <stp>02/03/2016</stp>
        <stp>02/03/2016</stp>
        <stp>[Bbg_Market_Data_CL.xlsm]data!R278C14</stp>
        <tr r="N278" s="1"/>
      </tp>
      <tp t="s">
        <v>#N/A Requesting Data...</v>
        <stp/>
        <stp>##V3_BDHV12</stp>
        <stp>CL2 Comdty</stp>
        <stp>RSI_30D</stp>
        <stp>20/10/2015</stp>
        <stp>20/10/2015</stp>
        <stp>[Bbg_Market_Data_CL.xlsm]data!R367C14</stp>
        <tr r="N367" s="1"/>
      </tp>
      <tp t="s">
        <v>#N/A Requesting Data...</v>
        <stp/>
        <stp>##V3_BDHV12</stp>
        <stp>CL1 Comdty</stp>
        <stp>RSI_30D</stp>
        <stp>20/10/2015</stp>
        <stp>20/10/2015</stp>
        <stp>[Bbg_Market_Data_CL.xlsm]data!R367C14</stp>
        <tr r="N367" s="1"/>
      </tp>
      <tp t="s">
        <v>#N/A Requesting Data...</v>
        <stp/>
        <stp>##V3_BDHV12</stp>
        <stp>CL1 Comdty</stp>
        <stp>RSI_30D</stp>
        <stp>24/04/2015</stp>
        <stp>24/04/2015</stp>
        <stp>[Bbg_Market_Data_CL.xlsm]data!R490C14</stp>
        <tr r="N490" s="1"/>
      </tp>
      <tp t="s">
        <v>#N/A Requesting Data...</v>
        <stp/>
        <stp>##V3_BDHV12</stp>
        <stp>CL2 Comdty</stp>
        <stp>RSI_30D</stp>
        <stp>24/04/2015</stp>
        <stp>24/04/2015</stp>
        <stp>[Bbg_Market_Data_CL.xlsm]data!R490C14</stp>
        <tr r="N490" s="1"/>
      </tp>
      <tp t="s">
        <v>#N/A Requesting Data...</v>
        <stp/>
        <stp>##V3_BDHV12</stp>
        <stp>CL1 Comdty</stp>
        <stp>RSI_14D</stp>
        <stp>26/07/2016</stp>
        <stp>26/07/2016</stp>
        <stp>[Bbg_Market_Data_CL.xlsm]data!R177C13</stp>
        <tr r="M177" s="1"/>
      </tp>
      <tp t="s">
        <v>#N/A Requesting Data...</v>
        <stp/>
        <stp>##V3_BDHV12</stp>
        <stp>CL2 Comdty</stp>
        <stp>RSI_14D</stp>
        <stp>26/07/2016</stp>
        <stp>26/07/2016</stp>
        <stp>[Bbg_Market_Data_CL.xlsm]data!R177C13</stp>
        <tr r="M177" s="1"/>
      </tp>
      <tp t="s">
        <v>#N/A Requesting Data...</v>
        <stp/>
        <stp>##V3_BDHV12</stp>
        <stp>CL1 Comdty</stp>
        <stp>RSI_14D</stp>
        <stp>25/04/2016</stp>
        <stp>25/04/2016</stp>
        <stp>[Bbg_Market_Data_CL.xlsm]data!R241C13</stp>
        <tr r="M241" s="1"/>
      </tp>
      <tp t="s">
        <v>#N/A Requesting Data...</v>
        <stp/>
        <stp>##V3_BDHV12</stp>
        <stp>CL2 Comdty</stp>
        <stp>RSI_14D</stp>
        <stp>25/04/2016</stp>
        <stp>25/04/2016</stp>
        <stp>[Bbg_Market_Data_CL.xlsm]data!R241C13</stp>
        <tr r="M241" s="1"/>
      </tp>
      <tp t="s">
        <v>#N/A Requesting Data...</v>
        <stp/>
        <stp>##V3_BDHV12</stp>
        <stp>CL1 Comdty</stp>
        <stp>RSI_30D</stp>
        <stp>14/07/2015</stp>
        <stp>14/07/2015</stp>
        <stp>[Bbg_Market_Data_CL.xlsm]data!R435C14</stp>
        <tr r="N435" s="1"/>
      </tp>
      <tp t="s">
        <v>#N/A Requesting Data...</v>
        <stp/>
        <stp>##V3_BDHV12</stp>
        <stp>CL2 Comdty</stp>
        <stp>RSI_30D</stp>
        <stp>14/07/2015</stp>
        <stp>14/07/2015</stp>
        <stp>[Bbg_Market_Data_CL.xlsm]data!R435C14</stp>
        <tr r="N435" s="1"/>
      </tp>
      <tp t="s">
        <v>#N/A Requesting Data...</v>
        <stp/>
        <stp>##V3_BDHV12</stp>
        <stp>CL1 Comdty</stp>
        <stp>RSI_30D</stp>
        <stp>03/11/2015</stp>
        <stp>03/11/2015</stp>
        <stp>[Bbg_Market_Data_CL.xlsm]data!R357C14</stp>
        <tr r="N357" s="1"/>
      </tp>
      <tp t="s">
        <v>#N/A Requesting Data...</v>
        <stp/>
        <stp>##V3_BDHV12</stp>
        <stp>CL2 Comdty</stp>
        <stp>RSI_30D</stp>
        <stp>03/11/2015</stp>
        <stp>03/11/2015</stp>
        <stp>[Bbg_Market_Data_CL.xlsm]data!R357C14</stp>
        <tr r="N357" s="1"/>
      </tp>
      <tp t="s">
        <v>#N/A Requesting Data...</v>
        <stp/>
        <stp>##V3_BDHV12</stp>
        <stp>CL2 Comdty</stp>
        <stp>RSI_30D</stp>
        <stp>31/03/2016</stp>
        <stp>31/03/2016</stp>
        <stp>[Bbg_Market_Data_CL.xlsm]data!R258C14</stp>
        <tr r="N258" s="1"/>
      </tp>
      <tp t="s">
        <v>#N/A Requesting Data...</v>
        <stp/>
        <stp>##V3_BDHV12</stp>
        <stp>CL1 Comdty</stp>
        <stp>RSI_30D</stp>
        <stp>31/03/2016</stp>
        <stp>31/03/2016</stp>
        <stp>[Bbg_Market_Data_CL.xlsm]data!R258C14</stp>
        <tr r="N258" s="1"/>
      </tp>
      <tp t="s">
        <v>#N/A Requesting Data...</v>
        <stp/>
        <stp>##V3_BDHV12</stp>
        <stp>CL2 Comdty</stp>
        <stp>RSI_30D</stp>
        <stp>04/06/2015</stp>
        <stp>04/06/2015</stp>
        <stp>[Bbg_Market_Data_CL.xlsm]data!R462C14</stp>
        <tr r="N462" s="1"/>
      </tp>
      <tp t="s">
        <v>#N/A Requesting Data...</v>
        <stp/>
        <stp>##V3_BDHV12</stp>
        <stp>CL1 Comdty</stp>
        <stp>RSI_30D</stp>
        <stp>04/06/2015</stp>
        <stp>04/06/2015</stp>
        <stp>[Bbg_Market_Data_CL.xlsm]data!R462C14</stp>
        <tr r="N462" s="1"/>
      </tp>
      <tp t="s">
        <v>#N/A Requesting Data...</v>
        <stp/>
        <stp>##V3_BDHV12</stp>
        <stp>CL1 Comdty</stp>
        <stp>RSI_30D</stp>
        <stp>13/10/2015</stp>
        <stp>13/10/2015</stp>
        <stp>[Bbg_Market_Data_CL.xlsm]data!R372C14</stp>
        <tr r="N372" s="1"/>
      </tp>
      <tp t="s">
        <v>#N/A Requesting Data...</v>
        <stp/>
        <stp>##V3_BDHV12</stp>
        <stp>CL2 Comdty</stp>
        <stp>RSI_30D</stp>
        <stp>13/10/2015</stp>
        <stp>13/10/2015</stp>
        <stp>[Bbg_Market_Data_CL.xlsm]data!R372C14</stp>
        <tr r="N372" s="1"/>
      </tp>
      <tp t="s">
        <v>#N/A Requesting Data...</v>
        <stp/>
        <stp>##V3_BDHV12</stp>
        <stp>CL1 Comdty</stp>
        <stp>RSI_14D</stp>
        <stp>27/06/2016</stp>
        <stp>27/06/2016</stp>
        <stp>[Bbg_Market_Data_CL.xlsm]data!R197C13</stp>
        <tr r="M197" s="1"/>
      </tp>
      <tp t="s">
        <v>#N/A Requesting Data...</v>
        <stp/>
        <stp>##V3_BDHV12</stp>
        <stp>CL2 Comdty</stp>
        <stp>RSI_14D</stp>
        <stp>27/06/2016</stp>
        <stp>27/06/2016</stp>
        <stp>[Bbg_Market_Data_CL.xlsm]data!R197C13</stp>
        <tr r="M197" s="1"/>
      </tp>
      <tp t="s">
        <v>#N/A Requesting Data...</v>
        <stp/>
        <stp>##V3_BDHV12</stp>
        <stp>CL1 Comdty</stp>
        <stp>RSI_30D</stp>
        <stp>11/01/2016</stp>
        <stp>11/01/2016</stp>
        <stp>[Bbg_Market_Data_CL.xlsm]data!R312C14</stp>
        <tr r="N312" s="1"/>
      </tp>
      <tp t="s">
        <v>#N/A Requesting Data...</v>
        <stp/>
        <stp>##V3_BDHV12</stp>
        <stp>CL2 Comdty</stp>
        <stp>RSI_30D</stp>
        <stp>11/01/2016</stp>
        <stp>11/01/2016</stp>
        <stp>[Bbg_Market_Data_CL.xlsm]data!R312C14</stp>
        <tr r="N312" s="1"/>
      </tp>
      <tp t="s">
        <v>#N/A Requesting Data...</v>
        <stp/>
        <stp>##V3_BDHV12</stp>
        <stp>CL2 Comdty</stp>
        <stp>RSI_30D</stp>
        <stp>22/12/2015</stp>
        <stp>22/12/2015</stp>
        <stp>[Bbg_Market_Data_CL.xlsm]data!R324C14</stp>
        <tr r="N324" s="1"/>
      </tp>
      <tp t="s">
        <v>#N/A Requesting Data...</v>
        <stp/>
        <stp>##V3_BDHV12</stp>
        <stp>CL1 Comdty</stp>
        <stp>RSI_30D</stp>
        <stp>22/12/2015</stp>
        <stp>22/12/2015</stp>
        <stp>[Bbg_Market_Data_CL.xlsm]data!R324C14</stp>
        <tr r="N324" s="1"/>
      </tp>
      <tp t="s">
        <v>#N/A Requesting Data...</v>
        <stp/>
        <stp>##V3_BDHV12</stp>
        <stp>CL2 Comdty</stp>
        <stp>RSI_30D</stp>
        <stp>12/11/2015</stp>
        <stp>12/11/2015</stp>
        <stp>[Bbg_Market_Data_CL.xlsm]data!R351C14</stp>
        <tr r="N351" s="1"/>
      </tp>
      <tp t="s">
        <v>#N/A Requesting Data...</v>
        <stp/>
        <stp>##V3_BDHV12</stp>
        <stp>CL1 Comdty</stp>
        <stp>RSI_30D</stp>
        <stp>12/11/2015</stp>
        <stp>12/11/2015</stp>
        <stp>[Bbg_Market_Data_CL.xlsm]data!R351C14</stp>
        <tr r="N351" s="1"/>
      </tp>
      <tp t="s">
        <v>#N/A Requesting Data...</v>
        <stp/>
        <stp>##V3_BDHV12</stp>
        <stp>CL1 Comdty</stp>
        <stp>RSI_14D</stp>
        <stp>24/05/2016</stp>
        <stp>24/05/2016</stp>
        <stp>[Bbg_Market_Data_CL.xlsm]data!R220C13</stp>
        <tr r="M220" s="1"/>
      </tp>
      <tp t="s">
        <v>#N/A Requesting Data...</v>
        <stp/>
        <stp>##V3_BDHV12</stp>
        <stp>CL2 Comdty</stp>
        <stp>RSI_14D</stp>
        <stp>24/05/2016</stp>
        <stp>24/05/2016</stp>
        <stp>[Bbg_Market_Data_CL.xlsm]data!R220C13</stp>
        <tr r="M220" s="1"/>
      </tp>
      <tp t="s">
        <v>#N/A Requesting Data...</v>
        <stp/>
        <stp>##V3_BDHV12</stp>
        <stp>CL1 Comdty</stp>
        <stp>RSI_30D</stp>
        <stp>15/06/2015</stp>
        <stp>15/06/2015</stp>
        <stp>[Bbg_Market_Data_CL.xlsm]data!R455C14</stp>
        <tr r="N455" s="1"/>
      </tp>
      <tp t="s">
        <v>#N/A Requesting Data...</v>
        <stp/>
        <stp>##V3_BDHV12</stp>
        <stp>CL2 Comdty</stp>
        <stp>RSI_30D</stp>
        <stp>15/06/2015</stp>
        <stp>15/06/2015</stp>
        <stp>[Bbg_Market_Data_CL.xlsm]data!R455C14</stp>
        <tr r="N455" s="1"/>
      </tp>
      <tp t="s">
        <v>#N/A Requesting Data...</v>
        <stp/>
        <stp>##V3_BDHV12</stp>
        <stp>CL2 Comdty</stp>
        <stp>RSI_30D</stp>
        <stp>02/10/2015</stp>
        <stp>02/10/2015</stp>
        <stp>[Bbg_Market_Data_CL.xlsm]data!R378C14</stp>
        <tr r="N378" s="1"/>
      </tp>
      <tp t="s">
        <v>#N/A Requesting Data...</v>
        <stp/>
        <stp>##V3_BDHV12</stp>
        <stp>CL1 Comdty</stp>
        <stp>RSI_30D</stp>
        <stp>02/10/2015</stp>
        <stp>02/10/2015</stp>
        <stp>[Bbg_Market_Data_CL.xlsm]data!R378C14</stp>
        <tr r="N378" s="1"/>
      </tp>
      <tp t="s">
        <v>#N/A Requesting Data...</v>
        <stp/>
        <stp>##V3_BDHV12</stp>
        <stp>CL2 Comdty</stp>
        <stp>RSI_14D</stp>
        <stp>14/06/2016</stp>
        <stp>14/06/2016</stp>
        <stp>[Bbg_Market_Data_CL.xlsm]data!R206C13</stp>
        <tr r="M206" s="1"/>
      </tp>
      <tp t="s">
        <v>#N/A Requesting Data...</v>
        <stp/>
        <stp>##V3_BDHV12</stp>
        <stp>CL1 Comdty</stp>
        <stp>RSI_14D</stp>
        <stp>14/06/2016</stp>
        <stp>14/06/2016</stp>
        <stp>[Bbg_Market_Data_CL.xlsm]data!R206C13</stp>
        <tr r="M206" s="1"/>
      </tp>
      <tp t="s">
        <v>#N/A Requesting Data...</v>
        <stp/>
        <stp>##V3_BDHV12</stp>
        <stp>CL2 Comdty</stp>
        <stp>RSI_14D</stp>
        <stp>09/09/2015</stp>
        <stp>09/09/2015</stp>
        <stp>[Bbg_Market_Data_CL.xlsm]data!R395C13</stp>
        <tr r="M395" s="1"/>
      </tp>
      <tp t="s">
        <v>#N/A Requesting Data...</v>
        <stp/>
        <stp>##V3_BDHV12</stp>
        <stp>CL1 Comdty</stp>
        <stp>RSI_14D</stp>
        <stp>09/09/2015</stp>
        <stp>09/09/2015</stp>
        <stp>[Bbg_Market_Data_CL.xlsm]data!R395C13</stp>
        <tr r="M395" s="1"/>
      </tp>
      <tp t="s">
        <v>#N/A Requesting Data...</v>
        <stp/>
        <stp>##V3_BDHV12</stp>
        <stp>CL2 Comdty</stp>
        <stp>RSI_14D</stp>
        <stp>28/09/2016</stp>
        <stp>28/09/2016</stp>
        <stp>[Bbg_Market_Data_CL.xlsm]data!R133C13</stp>
        <tr r="M133" s="1"/>
      </tp>
      <tp t="s">
        <v>#N/A Requesting Data...</v>
        <stp/>
        <stp>##V3_BDHV12</stp>
        <stp>CL1 Comdty</stp>
        <stp>RSI_14D</stp>
        <stp>28/09/2016</stp>
        <stp>28/09/2016</stp>
        <stp>[Bbg_Market_Data_CL.xlsm]data!R133C13</stp>
        <tr r="M133" s="1"/>
      </tp>
      <tp t="s">
        <v>#N/A Requesting Data...</v>
        <stp/>
        <stp>##V3_BDHV12</stp>
        <stp>CL2 Comdty</stp>
        <stp>RSI_14D</stp>
        <stp>18/09/2015</stp>
        <stp>18/09/2015</stp>
        <stp>[Bbg_Market_Data_CL.xlsm]data!R388C13</stp>
        <tr r="M388" s="1"/>
      </tp>
      <tp t="s">
        <v>#N/A Requesting Data...</v>
        <stp/>
        <stp>##V3_BDHV12</stp>
        <stp>CL1 Comdty</stp>
        <stp>RSI_14D</stp>
        <stp>18/09/2015</stp>
        <stp>18/09/2015</stp>
        <stp>[Bbg_Market_Data_CL.xlsm]data!R388C13</stp>
        <tr r="M388" s="1"/>
      </tp>
      <tp t="s">
        <v>#N/A Requesting Data...</v>
        <stp/>
        <stp>##V3_BDHV12</stp>
        <stp>CL1 Comdty</stp>
        <stp>RSI_14D</stp>
        <stp>29/08/2016</stp>
        <stp>29/08/2016</stp>
        <stp>[Bbg_Market_Data_CL.xlsm]data!R154C13</stp>
        <tr r="M154" s="1"/>
      </tp>
      <tp t="s">
        <v>#N/A Requesting Data...</v>
        <stp/>
        <stp>##V3_BDHV12</stp>
        <stp>CL2 Comdty</stp>
        <stp>RSI_14D</stp>
        <stp>29/08/2016</stp>
        <stp>29/08/2016</stp>
        <stp>[Bbg_Market_Data_CL.xlsm]data!R154C13</stp>
        <tr r="M154" s="1"/>
      </tp>
      <tp t="s">
        <v>#N/A Requesting Data...</v>
        <stp/>
        <stp>##V3_BDHV12</stp>
        <stp>CL2 Comdty</stp>
        <stp>RSI_30D</stp>
        <stp>28/08/2015</stp>
        <stp>28/08/2015</stp>
        <stp>[Bbg_Market_Data_CL.xlsm]data!R402C14</stp>
        <tr r="N402" s="1"/>
      </tp>
      <tp t="s">
        <v>#N/A Requesting Data...</v>
        <stp/>
        <stp>##V3_BDHV12</stp>
        <stp>CL1 Comdty</stp>
        <stp>RSI_30D</stp>
        <stp>28/08/2015</stp>
        <stp>28/08/2015</stp>
        <stp>[Bbg_Market_Data_CL.xlsm]data!R402C14</stp>
        <tr r="N402" s="1"/>
      </tp>
      <tp t="s">
        <v>#N/A Requesting Data...</v>
        <stp/>
        <stp>##V3_BDHV12</stp>
        <stp>CL1 Comdty</stp>
        <stp>RSI_30D</stp>
        <stp>29/09/2015</stp>
        <stp>29/09/2015</stp>
        <stp>[Bbg_Market_Data_CL.xlsm]data!R381C14</stp>
        <tr r="N381" s="1"/>
      </tp>
      <tp t="s">
        <v>#N/A Requesting Data...</v>
        <stp/>
        <stp>##V3_BDHV12</stp>
        <stp>CL2 Comdty</stp>
        <stp>RSI_30D</stp>
        <stp>29/09/2015</stp>
        <stp>29/09/2015</stp>
        <stp>[Bbg_Market_Data_CL.xlsm]data!R381C14</stp>
        <tr r="N381" s="1"/>
      </tp>
      <tp t="s">
        <v>#N/A Requesting Data...</v>
        <stp/>
        <stp>##V3_BDHV12</stp>
        <stp>CL1 Comdty</stp>
        <stp>RSI_30D</stp>
        <stp>08/09/2016</stp>
        <stp>08/09/2016</stp>
        <stp>[Bbg_Market_Data_CL.xlsm]data!R147C14</stp>
        <tr r="N147" s="1"/>
      </tp>
      <tp t="s">
        <v>#N/A Requesting Data...</v>
        <stp/>
        <stp>##V3_BDHV12</stp>
        <stp>CL2 Comdty</stp>
        <stp>RSI_30D</stp>
        <stp>08/09/2016</stp>
        <stp>08/09/2016</stp>
        <stp>[Bbg_Market_Data_CL.xlsm]data!R147C14</stp>
        <tr r="N147" s="1"/>
      </tp>
      <tp t="s">
        <v>#N/A Requesting Data...</v>
        <stp/>
        <stp>##V3_BDHV12</stp>
        <stp>CL2 Comdty</stp>
        <stp>RSI_30D</stp>
        <stp>18/08/2016</stp>
        <stp>18/08/2016</stp>
        <stp>[Bbg_Market_Data_CL.xlsm]data!R161C14</stp>
        <tr r="N161" s="1"/>
      </tp>
      <tp t="s">
        <v>#N/A Requesting Data...</v>
        <stp/>
        <stp>##V3_BDHV12</stp>
        <stp>CL1 Comdty</stp>
        <stp>RSI_30D</stp>
        <stp>18/08/2016</stp>
        <stp>18/08/2016</stp>
        <stp>[Bbg_Market_Data_CL.xlsm]data!R161C14</stp>
        <tr r="N161" s="1"/>
      </tp>
      <tp t="s">
        <v>#N/A Requesting Data...</v>
        <stp/>
        <stp>##V3_BDHV12</stp>
        <stp>CL2 Comdty</stp>
        <stp>RSI_30D</stp>
        <stp>19/09/2016</stp>
        <stp>19/09/2016</stp>
        <stp>[Bbg_Market_Data_CL.xlsm]data!R140C14</stp>
        <tr r="N140" s="1"/>
      </tp>
      <tp t="s">
        <v>#N/A Requesting Data...</v>
        <stp/>
        <stp>##V3_BDHV12</stp>
        <stp>CL1 Comdty</stp>
        <stp>RSI_30D</stp>
        <stp>19/09/2016</stp>
        <stp>19/09/2016</stp>
        <stp>[Bbg_Market_Data_CL.xlsm]data!R140C14</stp>
        <tr r="N140" s="1"/>
      </tp>
      <tp t="s">
        <v>#N/A Requesting Data...</v>
        <stp/>
        <stp>##V3_BDHV12</stp>
        <stp>CL2 Comdty</stp>
        <stp>RSI_30D</stp>
        <stp>09/08/2016</stp>
        <stp>09/08/2016</stp>
        <stp>[Bbg_Market_Data_CL.xlsm]data!R168C14</stp>
        <tr r="N168" s="1"/>
      </tp>
      <tp t="s">
        <v>#N/A Requesting Data...</v>
        <stp/>
        <stp>##V3_BDHV12</stp>
        <stp>CL1 Comdty</stp>
        <stp>RSI_30D</stp>
        <stp>09/08/2016</stp>
        <stp>09/08/2016</stp>
        <stp>[Bbg_Market_Data_CL.xlsm]data!R168C14</stp>
        <tr r="N168" s="1"/>
      </tp>
      <tp t="s">
        <v>#N/A Requesting Data...</v>
        <stp/>
        <stp>##V3_BDHV12</stp>
        <stp>CL2 Comdty</stp>
        <stp>RSI_14D</stp>
        <stp>19/08/2015</stp>
        <stp>19/08/2015</stp>
        <stp>[Bbg_Market_Data_CL.xlsm]data!R409C13</stp>
        <tr r="M409" s="1"/>
      </tp>
      <tp t="s">
        <v>#N/A Requesting Data...</v>
        <stp/>
        <stp>##V3_BDHV12</stp>
        <stp>CL1 Comdty</stp>
        <stp>RSI_14D</stp>
        <stp>19/08/2015</stp>
        <stp>19/08/2015</stp>
        <stp>[Bbg_Market_Data_CL.xlsm]data!R409C13</stp>
        <tr r="M409" s="1"/>
      </tp>
      <tp t="s">
        <v>#N/A Requesting Data...</v>
        <stp/>
        <stp>##V3_BDHV12</stp>
        <stp>CL1 Comdty</stp>
        <stp>PX_LAST</stp>
        <stp>29/08/2016</stp>
        <stp>29/08/2016</stp>
        <stp>[Bbg_Market_Data_CL.xlsm]data!R154C9</stp>
        <tr r="I154" s="1"/>
      </tp>
      <tp>
        <v>34.4</v>
        <stp/>
        <stp>##V3_BDHV12</stp>
        <stp>CL1 Comdty</stp>
        <stp>PX_HIGH</stp>
        <stp>29/01/2016</stp>
        <stp>29/01/2016</stp>
        <stp>[Bbg_Market_Data_CL.xlsm]data!R299C6</stp>
        <tr r="F299" s="1"/>
        <tr r="F299" s="1"/>
      </tp>
      <tp>
        <v>40.909999999999997</v>
        <stp/>
        <stp>##V3_BDHV12</stp>
        <stp>CL1 Comdty</stp>
        <stp>PX_HIGH</stp>
        <stp>02/08/2016</stp>
        <stp>02/08/2016</stp>
        <stp>[Bbg_Market_Data_CL.xlsm]data!R172C6</stp>
        <tr r="F172" s="1"/>
        <tr r="F172" s="1"/>
      </tp>
      <tp t="s">
        <v>#N/A Requesting Data...</v>
        <stp/>
        <stp>##V3_BDHV12</stp>
        <stp>CL1 Comdty</stp>
        <stp>PX_LAST</stp>
        <stp>25/05/2016</stp>
        <stp>25/05/2016</stp>
        <stp>[Bbg_Market_Data_CL.xlsm]data!R219C9</stp>
        <tr r="I219" s="1"/>
      </tp>
      <tp t="s">
        <v>#N/A Requesting Data...</v>
        <stp/>
        <stp>##V3_BDHV12</stp>
        <stp>CL1 Comdty</stp>
        <stp>PX_LAST</stp>
        <stp>26/05/2015</stp>
        <stp>26/05/2015</stp>
        <stp>[Bbg_Market_Data_CL.xlsm]data!R469C9</stp>
        <tr r="I469" s="1"/>
      </tp>
      <tp t="s">
        <v>#N/A Requesting Data...</v>
        <stp/>
        <stp>##V3_BDHV12</stp>
        <stp>CL2 Comdty</stp>
        <stp>PX_LAST</stp>
        <stp>14/04/2015</stp>
        <stp>14/04/2015</stp>
        <stp>[Bbg_Market_Data_CL.xlsm]data!R498C9</stp>
        <tr r="I498" s="1"/>
      </tp>
      <tp>
        <v>49.33</v>
        <stp/>
        <stp>##V3_BDHV12</stp>
        <stp>CL1 Comdty</stp>
        <stp>PX_HIGH</stp>
        <stp>31/08/2015</stp>
        <stp>31/08/2015</stp>
        <stp>[Bbg_Market_Data_CL.xlsm]data!R401C6</stp>
        <tr r="F401" s="1"/>
        <tr r="F401" s="1"/>
      </tp>
      <tp>
        <v>43.72</v>
        <stp/>
        <stp>##V3_BDHV12</stp>
        <stp>CL1 Comdty</stp>
        <stp>PX_HIGH</stp>
        <stp>13/08/2015</stp>
        <stp>13/08/2015</stp>
        <stp>[Bbg_Market_Data_CL.xlsm]data!R413C6</stp>
        <tr r="F413" s="1"/>
        <tr r="F413" s="1"/>
      </tp>
      <tp>
        <v>45.85</v>
        <stp/>
        <stp>##V3_BDHV12</stp>
        <stp>CL1 Comdty</stp>
        <stp>PX_HIGH</stp>
        <stp>30/09/2015</stp>
        <stp>30/09/2015</stp>
        <stp>[Bbg_Market_Data_CL.xlsm]data!R380C6</stp>
        <tr r="F380" s="1"/>
        <tr r="F380" s="1"/>
      </tp>
      <tp t="s">
        <v>#N/A Requesting Data...</v>
        <stp/>
        <stp>##V3_BDHV12</stp>
        <stp>CL2 Comdty</stp>
        <stp>PX_LAST</stp>
        <stp>14/04/2016</stp>
        <stp>14/04/2016</stp>
        <stp>[Bbg_Market_Data_CL.xlsm]data!R248C9</stp>
        <tr r="I248" s="1"/>
      </tp>
      <tp t="s">
        <v>#N/A Requesting Data...</v>
        <stp/>
        <stp>##V3_BDHV12</stp>
        <stp>CL1 Comdty</stp>
        <stp>PX_LAST</stp>
        <stp>08/09/2016</stp>
        <stp>08/09/2016</stp>
        <stp>[Bbg_Market_Data_CL.xlsm]data!R147C9</stp>
        <tr r="I147" s="1"/>
      </tp>
      <tp t="s">
        <v>#N/A Requesting Data...</v>
        <stp/>
        <stp>##V3_BDHV12</stp>
        <stp>CL2 Comdty</stp>
        <stp>PX_LAST</stp>
        <stp>25/07/2016</stp>
        <stp>25/07/2016</stp>
        <stp>[Bbg_Market_Data_CL.xlsm]data!R178C9</stp>
        <tr r="I178" s="1"/>
      </tp>
      <tp>
        <v>46.73</v>
        <stp/>
        <stp>##V3_BDHV12</stp>
        <stp>CL1 Comdty</stp>
        <stp>PX_HIGH</stp>
        <stp>16/08/2016</stp>
        <stp>16/08/2016</stp>
        <stp>[Bbg_Market_Data_CL.xlsm]data!R163C6</stp>
        <tr r="F163" s="1"/>
        <tr r="F163" s="1"/>
      </tp>
      <tp>
        <v>44.97</v>
        <stp/>
        <stp>##V3_BDHV12</stp>
        <stp>CL1 Comdty</stp>
        <stp>PX_HIGH</stp>
        <stp>14/09/2015</stp>
        <stp>14/09/2015</stp>
        <stp>[Bbg_Market_Data_CL.xlsm]data!R392C6</stp>
        <tr r="F392" s="1"/>
        <tr r="F392" s="1"/>
      </tp>
      <tp t="s">
        <v>#N/A Requesting Data...</v>
        <stp/>
        <stp>##V3_BDHV12</stp>
        <stp>CL1 Comdty</stp>
        <stp>PX_LAST</stp>
        <stp>11/07/2016</stp>
        <stp>11/07/2016</stp>
        <stp>[Bbg_Market_Data_CL.xlsm]data!R188C9</stp>
        <tr r="I188" s="1"/>
      </tp>
      <tp t="s">
        <v>#N/A Requesting Data...</v>
        <stp/>
        <stp>##V3_BDHV12</stp>
        <stp>CL2 Comdty</stp>
        <stp>PX_LAST</stp>
        <stp>23/06/2016</stp>
        <stp>23/06/2016</stp>
        <stp>[Bbg_Market_Data_CL.xlsm]data!R199C9</stp>
        <tr r="I199" s="1"/>
      </tp>
      <tp t="s">
        <v>#N/A Requesting Data...</v>
        <stp/>
        <stp>##V3_BDHV12</stp>
        <stp>CL2 Comdty</stp>
        <stp>PX_LAST</stp>
        <stp>11/05/2015</stp>
        <stp>11/05/2015</stp>
        <stp>[Bbg_Market_Data_CL.xlsm]data!R479C9</stp>
        <tr r="I479" s="1"/>
      </tp>
      <tp>
        <v>44.34</v>
        <stp/>
        <stp>##V3_BDHV12</stp>
        <stp>CL1 Comdty</stp>
        <stp>PX_HIGH</stp>
        <stp>15/09/2016</stp>
        <stp>15/09/2016</stp>
        <stp>[Bbg_Market_Data_CL.xlsm]data!R142C6</stp>
        <tr r="F142" s="1"/>
        <tr r="F142" s="1"/>
      </tp>
      <tp t="s">
        <v>#N/A Requesting Data...</v>
        <stp/>
        <stp>##V3_BDHV12</stp>
        <stp>CL2 Comdty</stp>
        <stp>PX_LAST</stp>
        <stp>23/07/2015</stp>
        <stp>23/07/2015</stp>
        <stp>[Bbg_Market_Data_CL.xlsm]data!R428C9</stp>
        <tr r="I428" s="1"/>
      </tp>
      <tp t="s">
        <v>#N/A Requesting Data...</v>
        <stp/>
        <stp>##V3_BDHV12</stp>
        <stp>CL2 Comdty</stp>
        <stp>PX_LAST</stp>
        <stp>11/05/2016</stp>
        <stp>11/05/2016</stp>
        <stp>[Bbg_Market_Data_CL.xlsm]data!R229C9</stp>
        <tr r="I229" s="1"/>
      </tp>
      <tp t="s">
        <v>#N/A Requesting Data...</v>
        <stp/>
        <stp>##V3_BDHV12</stp>
        <stp>CL2 Comdty</stp>
        <stp>PX_LAST</stp>
        <stp>23/06/2015</stp>
        <stp>23/06/2015</stp>
        <stp>[Bbg_Market_Data_CL.xlsm]data!R449C9</stp>
        <tr r="I449" s="1"/>
      </tp>
      <tp>
        <v>34.18</v>
        <stp/>
        <stp>##V3_BDHV12</stp>
        <stp>CL1 Comdty</stp>
        <stp>PX_HIGH</stp>
        <stp>01/02/2016</stp>
        <stp>01/02/2016</stp>
        <stp>[Bbg_Market_Data_CL.xlsm]data!R298C6</stp>
        <tr r="F298" s="1"/>
        <tr r="F298" s="1"/>
      </tp>
      <tp t="s">
        <v>#N/A Requesting Data...</v>
        <stp/>
        <stp>##V3_BDHV12</stp>
        <stp>CL1 Comdty</stp>
        <stp>PX_LAST</stp>
        <stp>23/09/2015</stp>
        <stp>23/09/2015</stp>
        <stp>[Bbg_Market_Data_CL.xlsm]data!R385C9</stp>
        <tr r="I385" s="1"/>
      </tp>
      <tp>
        <v>34.76</v>
        <stp/>
        <stp>##V3_BDHV12</stp>
        <stp>CL1 Comdty</stp>
        <stp>PX_HIGH</stp>
        <stp>01/03/2016</stp>
        <stp>01/03/2016</stp>
        <stp>[Bbg_Market_Data_CL.xlsm]data!R279C6</stp>
        <tr r="F279" s="1"/>
        <tr r="F279" s="1"/>
      </tp>
      <tp t="s">
        <v>#N/A Requesting Data...</v>
        <stp/>
        <stp>##V3_BDHV12</stp>
        <stp>CL2 Comdty</stp>
        <stp>PX_LAST</stp>
        <stp>22/09/2015</stp>
        <stp>22/09/2015</stp>
        <stp>[Bbg_Market_Data_CL.xlsm]data!R386C9</stp>
        <tr r="I386" s="1"/>
      </tp>
      <tp t="s">
        <v>#N/A Requesting Data...</v>
        <stp/>
        <stp>##V3_BDHV12</stp>
        <stp>CL2 Comdty</stp>
        <stp>PX_LAST</stp>
        <stp>12/09/2016</stp>
        <stp>12/09/2016</stp>
        <stp>[Bbg_Market_Data_CL.xlsm]data!R145C9</stp>
        <tr r="I145" s="1"/>
      </tp>
      <tp>
        <v>45.7</v>
        <stp/>
        <stp>##V3_BDHV12</stp>
        <stp>CL1 Comdty</stp>
        <stp>PX_HIGH</stp>
        <stp>29/09/2015</stp>
        <stp>29/09/2015</stp>
        <stp>[Bbg_Market_Data_CL.xlsm]data!R381C6</stp>
        <tr r="F381" s="1"/>
        <tr r="F381" s="1"/>
      </tp>
      <tp>
        <v>29.66</v>
        <stp/>
        <stp>##V3_BDHV12</stp>
        <stp>CL1 Comdty</stp>
        <stp>PX_HIGH</stp>
        <stp>12/02/2016</stp>
        <stp>12/02/2016</stp>
        <stp>[Bbg_Market_Data_CL.xlsm]data!R289C6</stp>
        <tr r="F289" s="1"/>
        <tr r="F289" s="1"/>
      </tp>
      <tp t="s">
        <v>#N/A Requesting Data...</v>
        <stp/>
        <stp>##V3_BDHV12</stp>
        <stp>CL1 Comdty</stp>
        <stp>PX_LAST</stp>
        <stp>10/08/2016</stp>
        <stp>10/08/2016</stp>
        <stp>[Bbg_Market_Data_CL.xlsm]data!R167C9</stp>
        <tr r="I167" s="1"/>
      </tp>
      <tp>
        <v>42.23</v>
        <stp/>
        <stp>##V3_BDHV12</stp>
        <stp>CL1 Comdty</stp>
        <stp>PX_HIGH</stp>
        <stp>01/12/2015</stp>
        <stp>01/12/2015</stp>
        <stp>[Bbg_Market_Data_CL.xlsm]data!R339C6</stp>
        <tr r="F339" s="1"/>
        <tr r="F339" s="1"/>
      </tp>
      <tp t="s">
        <v>#N/A Requesting Data...</v>
        <stp/>
        <stp>##V3_BDHV12</stp>
        <stp>CL2 Comdty</stp>
        <stp>PX_LAST</stp>
        <stp>12/08/2015</stp>
        <stp>12/08/2015</stp>
        <stp>[Bbg_Market_Data_CL.xlsm]data!R414C9</stp>
        <tr r="I414" s="1"/>
      </tp>
      <tp t="s">
        <v>#N/A Requesting Data...</v>
        <stp/>
        <stp>##V3_BDHV12</stp>
        <stp>CL2 Comdty</stp>
        <stp>PX_LAST</stp>
        <stp>21/08/2015</stp>
        <stp>21/08/2015</stp>
        <stp>[Bbg_Market_Data_CL.xlsm]data!R407C9</stp>
        <tr r="I407" s="1"/>
      </tp>
      <tp t="s">
        <v>#N/A Requesting Data...</v>
        <stp/>
        <stp>##V3_BDHV12</stp>
        <stp>CL2 Comdty</stp>
        <stp>PX_LAST</stp>
        <stp>23/09/2016</stp>
        <stp>23/09/2016</stp>
        <stp>[Bbg_Market_Data_CL.xlsm]data!R136C9</stp>
        <tr r="I136" s="1"/>
      </tp>
      <tp t="s">
        <v>#N/A Requesting Data...</v>
        <stp/>
        <stp>##V3_BDHV12</stp>
        <stp>CL1 Comdty</stp>
        <stp>PX_LAST</stp>
        <stp>26/08/2015</stp>
        <stp>26/08/2015</stp>
        <stp>[Bbg_Market_Data_CL.xlsm]data!R404C9</stp>
        <tr r="I404" s="1"/>
      </tp>
      <tp t="s">
        <v>#N/A Requesting Data...</v>
        <stp/>
        <stp>##V3_BDHV12</stp>
        <stp>CL1 Comdty</stp>
        <stp>PX_LAST</stp>
        <stp>08/07/2016</stp>
        <stp>08/07/2016</stp>
        <stp>[Bbg_Market_Data_CL.xlsm]data!R189C9</stp>
        <tr r="I189" s="1"/>
      </tp>
      <tp>
        <v>37.35</v>
        <stp/>
        <stp>##V3_BDHV12</stp>
        <stp>CL1 Comdty</stp>
        <stp>PX_HIGH</stp>
        <stp>16/12/2015</stp>
        <stp>16/12/2015</stp>
        <stp>[Bbg_Market_Data_CL.xlsm]data!R328C6</stp>
        <tr r="F328" s="1"/>
        <tr r="F328" s="1"/>
      </tp>
      <tp t="s">
        <v>#N/A Requesting Data...</v>
        <stp/>
        <stp>##V3_BDHV12</stp>
        <stp>CL1 Comdty</stp>
        <stp>PX_LAST</stp>
        <stp>04/09/2015</stp>
        <stp>04/09/2015</stp>
        <stp>[Bbg_Market_Data_CL.xlsm]data!R397C9</stp>
        <tr r="I397" s="1"/>
      </tp>
      <tp t="s">
        <v>#N/A Requesting Data...</v>
        <stp/>
        <stp>##V3_BDHV12</stp>
        <stp>CL2 Comdty</stp>
        <stp>PX_LAST</stp>
        <stp>24/08/2016</stp>
        <stp>24/08/2016</stp>
        <stp>[Bbg_Market_Data_CL.xlsm]data!R157C9</stp>
        <tr r="I157" s="1"/>
      </tp>
      <tp t="s">
        <v>#N/A Requesting Data...</v>
        <stp/>
        <stp>##V3_BDHV12</stp>
        <stp>CL1 Comdty</stp>
        <stp>PX_LAST</stp>
        <stp>28/04/2016</stp>
        <stp>28/04/2016</stp>
        <stp>[Bbg_Market_Data_CL.xlsm]data!R238C9</stp>
        <tr r="I238" s="1"/>
      </tp>
      <tp t="s">
        <v>#N/A Requesting Data...</v>
        <stp/>
        <stp>##V3_BDHV12</stp>
        <stp>CL1 Comdty</stp>
        <stp>PX_LAST</stp>
        <stp>26/09/2016</stp>
        <stp>26/09/2016</stp>
        <stp>[Bbg_Market_Data_CL.xlsm]data!R135C9</stp>
        <tr r="I135" s="1"/>
      </tp>
      <tp t="s">
        <v>#N/A Requesting Data...</v>
        <stp/>
        <stp>##V3_BDHV12</stp>
        <stp>CL1 Comdty</stp>
        <stp>PX_LAST</stp>
        <stp>28/04/2015</stp>
        <stp>28/04/2015</stp>
        <stp>[Bbg_Market_Data_CL.xlsm]data!R488C9</stp>
        <tr r="I488" s="1"/>
      </tp>
      <tp>
        <v>38.630000000000003</v>
        <stp/>
        <stp>##V3_BDHV12</stp>
        <stp>CL1 Comdty</stp>
        <stp>PX_HIGH</stp>
        <stp>16/03/2016</stp>
        <stp>16/03/2016</stp>
        <stp>[Bbg_Market_Data_CL.xlsm]data!R268C6</stp>
        <tr r="F268" s="1"/>
        <tr r="F268" s="1"/>
      </tp>
      <tp t="s">
        <v>#N/A Requesting Data...</v>
        <stp/>
        <stp>##V3_BDHV12</stp>
        <stp>CL2 Comdty</stp>
        <stp>PX_LAST</stp>
        <stp>15/08/2016</stp>
        <stp>15/08/2016</stp>
        <stp>[Bbg_Market_Data_CL.xlsm]data!R164C9</stp>
        <tr r="I164" s="1"/>
      </tp>
      <tp t="s">
        <v>#N/A Requesting Data...</v>
        <stp/>
        <stp>##V3_BDHV12</stp>
        <stp>CL1 Comdty</stp>
        <stp>PX_LAST</stp>
        <stp>08/07/2015</stp>
        <stp>08/07/2015</stp>
        <stp>[Bbg_Market_Data_CL.xlsm]data!R439C9</stp>
        <tr r="I439" s="1"/>
      </tp>
      <tp>
        <v>52.05</v>
        <stp/>
        <stp>##V3_BDHV12</stp>
        <stp>CL1 Comdty</stp>
        <stp>PX_OPEN</stp>
        <stp>14/04/2015</stp>
        <stp>14/04/2015</stp>
        <stp>[Bbg_Market_Data_CL.xlsm]data!R498C5</stp>
        <tr r="E498" s="1"/>
        <tr r="E498" s="1"/>
      </tp>
      <tp>
        <v>44.2</v>
        <stp/>
        <stp>##V3_BDHV12</stp>
        <stp>CL1 Comdty</stp>
        <stp>PX_OPEN</stp>
        <stp>25/07/2016</stp>
        <stp>25/07/2016</stp>
        <stp>[Bbg_Market_Data_CL.xlsm]data!R178C5</stp>
        <tr r="E178" s="1"/>
        <tr r="E178" s="1"/>
      </tp>
      <tp>
        <v>41.54</v>
        <stp/>
        <stp>##V3_BDHV12</stp>
        <stp>CL1 Comdty</stp>
        <stp>PX_OPEN</stp>
        <stp>14/04/2016</stp>
        <stp>14/04/2016</stp>
        <stp>[Bbg_Market_Data_CL.xlsm]data!R248C5</stp>
        <tr r="E248" s="1"/>
        <tr r="E248" s="1"/>
      </tp>
      <tp>
        <v>59.43</v>
        <stp/>
        <stp>##V3_BDHV12</stp>
        <stp>CL1 Comdty</stp>
        <stp>PX_OPEN</stp>
        <stp>11/05/2015</stp>
        <stp>11/05/2015</stp>
        <stp>[Bbg_Market_Data_CL.xlsm]data!R479C5</stp>
        <tr r="E479" s="1"/>
        <tr r="E479" s="1"/>
      </tp>
      <tp>
        <v>49.08</v>
        <stp/>
        <stp>##V3_BDHV12</stp>
        <stp>CL1 Comdty</stp>
        <stp>PX_OPEN</stp>
        <stp>23/06/2016</stp>
        <stp>23/06/2016</stp>
        <stp>[Bbg_Market_Data_CL.xlsm]data!R199C5</stp>
        <tr r="E199" s="1"/>
        <tr r="E199" s="1"/>
      </tp>
      <tp>
        <v>60.21</v>
        <stp/>
        <stp>##V3_BDHV12</stp>
        <stp>CL1 Comdty</stp>
        <stp>PX_OPEN</stp>
        <stp>23/06/2015</stp>
        <stp>23/06/2015</stp>
        <stp>[Bbg_Market_Data_CL.xlsm]data!R449C5</stp>
        <tr r="E449" s="1"/>
        <tr r="E449" s="1"/>
      </tp>
      <tp>
        <v>49.23</v>
        <stp/>
        <stp>##V3_BDHV12</stp>
        <stp>CL1 Comdty</stp>
        <stp>PX_OPEN</stp>
        <stp>23/07/2015</stp>
        <stp>23/07/2015</stp>
        <stp>[Bbg_Market_Data_CL.xlsm]data!R428C5</stp>
        <tr r="E428" s="1"/>
        <tr r="E428" s="1"/>
      </tp>
      <tp>
        <v>44.6</v>
        <stp/>
        <stp>##V3_BDHV12</stp>
        <stp>CL1 Comdty</stp>
        <stp>PX_OPEN</stp>
        <stp>11/05/2016</stp>
        <stp>11/05/2016</stp>
        <stp>[Bbg_Market_Data_CL.xlsm]data!R229C5</stp>
        <tr r="E229" s="1"/>
        <tr r="E229" s="1"/>
      </tp>
      <tp>
        <v>46.45</v>
        <stp/>
        <stp>##V3_BDHV12</stp>
        <stp>CL1 Comdty</stp>
        <stp>PX_OPEN</stp>
        <stp>22/09/2015</stp>
        <stp>22/09/2015</stp>
        <stp>[Bbg_Market_Data_CL.xlsm]data!R386C5</stp>
        <tr r="E386" s="1"/>
        <tr r="E386" s="1"/>
      </tp>
      <tp>
        <v>45.57</v>
        <stp/>
        <stp>##V3_BDHV12</stp>
        <stp>CL1 Comdty</stp>
        <stp>PX_OPEN</stp>
        <stp>12/09/2016</stp>
        <stp>12/09/2016</stp>
        <stp>[Bbg_Market_Data_CL.xlsm]data!R145C5</stp>
        <tr r="E145" s="1"/>
        <tr r="E145" s="1"/>
      </tp>
      <tp>
        <v>41.03</v>
        <stp/>
        <stp>##V3_BDHV12</stp>
        <stp>CL1 Comdty</stp>
        <stp>PX_OPEN</stp>
        <stp>21/08/2015</stp>
        <stp>21/08/2015</stp>
        <stp>[Bbg_Market_Data_CL.xlsm]data!R407C5</stp>
        <tr r="E407" s="1"/>
        <tr r="E407" s="1"/>
      </tp>
      <tp>
        <v>43.27</v>
        <stp/>
        <stp>##V3_BDHV12</stp>
        <stp>CL1 Comdty</stp>
        <stp>PX_OPEN</stp>
        <stp>12/08/2015</stp>
        <stp>12/08/2015</stp>
        <stp>[Bbg_Market_Data_CL.xlsm]data!R414C5</stp>
        <tr r="E414" s="1"/>
        <tr r="E414" s="1"/>
      </tp>
      <tp>
        <v>46.07</v>
        <stp/>
        <stp>##V3_BDHV12</stp>
        <stp>CL1 Comdty</stp>
        <stp>PX_OPEN</stp>
        <stp>23/09/2016</stp>
        <stp>23/09/2016</stp>
        <stp>[Bbg_Market_Data_CL.xlsm]data!R136C5</stp>
        <tr r="E136" s="1"/>
        <tr r="E136" s="1"/>
      </tp>
      <tp>
        <v>47.59</v>
        <stp/>
        <stp>##V3_BDHV12</stp>
        <stp>CL1 Comdty</stp>
        <stp>PX_OPEN</stp>
        <stp>24/08/2016</stp>
        <stp>24/08/2016</stp>
        <stp>[Bbg_Market_Data_CL.xlsm]data!R157C5</stp>
        <tr r="E157" s="1"/>
        <tr r="E157" s="1"/>
      </tp>
      <tp>
        <v>44.74</v>
        <stp/>
        <stp>##V3_BDHV12</stp>
        <stp>CL1 Comdty</stp>
        <stp>PX_OPEN</stp>
        <stp>15/08/2016</stp>
        <stp>15/08/2016</stp>
        <stp>[Bbg_Market_Data_CL.xlsm]data!R164C5</stp>
        <tr r="E164" s="1"/>
        <tr r="E164" s="1"/>
      </tp>
      <tp t="s">
        <v>#N/A Requesting Data...</v>
        <stp/>
        <stp>##V3_BDHV12</stp>
        <stp>CL2 Comdty</stp>
        <stp>RSI_30D</stp>
        <stp>24/06/2016</stp>
        <stp>24/06/2016</stp>
        <stp>[Bbg_Market_Data_CL.xlsm]data!R198C14</stp>
        <tr r="N198" s="1"/>
      </tp>
      <tp t="s">
        <v>#N/A Requesting Data...</v>
        <stp/>
        <stp>##V3_BDHV12</stp>
        <stp>CL1 Comdty</stp>
        <stp>RSI_30D</stp>
        <stp>24/06/2016</stp>
        <stp>24/06/2016</stp>
        <stp>[Bbg_Market_Data_CL.xlsm]data!R198C14</stp>
        <tr r="N198" s="1"/>
      </tp>
      <tp t="s">
        <v>#N/A Requesting Data...</v>
        <stp/>
        <stp>##V3_BDHV12</stp>
        <stp>CL2 Comdty</stp>
        <stp>RSI_30D</stp>
        <stp>17/06/2016</stp>
        <stp>17/06/2016</stp>
        <stp>[Bbg_Market_Data_CL.xlsm]data!R203C14</stp>
        <tr r="N203" s="1"/>
      </tp>
      <tp t="s">
        <v>#N/A Requesting Data...</v>
        <stp/>
        <stp>##V3_BDHV12</stp>
        <stp>CL1 Comdty</stp>
        <stp>RSI_30D</stp>
        <stp>17/06/2016</stp>
        <stp>17/06/2016</stp>
        <stp>[Bbg_Market_Data_CL.xlsm]data!R203C14</stp>
        <tr r="N203" s="1"/>
      </tp>
      <tp t="s">
        <v>#N/A Requesting Data...</v>
        <stp/>
        <stp>##V3_BDHV12</stp>
        <stp>CL1 Comdty</stp>
        <stp>RSI_14D</stp>
        <stp>26/05/2015</stp>
        <stp>26/05/2015</stp>
        <stp>[Bbg_Market_Data_CL.xlsm]data!R469C13</stp>
        <tr r="M469" s="1"/>
      </tp>
      <tp t="s">
        <v>#N/A Requesting Data...</v>
        <stp/>
        <stp>##V3_BDHV12</stp>
        <stp>CL2 Comdty</stp>
        <stp>RSI_14D</stp>
        <stp>26/05/2015</stp>
        <stp>26/05/2015</stp>
        <stp>[Bbg_Market_Data_CL.xlsm]data!R469C13</stp>
        <tr r="M469" s="1"/>
      </tp>
      <tp t="s">
        <v>#N/A Requesting Data...</v>
        <stp/>
        <stp>##V3_BDHV12</stp>
        <stp>CL2 Comdty</stp>
        <stp>RSI_14D</stp>
        <stp>01/10/2015</stp>
        <stp>01/10/2015</stp>
        <stp>[Bbg_Market_Data_CL.xlsm]data!R379C13</stp>
        <tr r="M379" s="1"/>
      </tp>
      <tp t="s">
        <v>#N/A Requesting Data...</v>
        <stp/>
        <stp>##V3_BDHV12</stp>
        <stp>CL1 Comdty</stp>
        <stp>RSI_14D</stp>
        <stp>01/10/2015</stp>
        <stp>01/10/2015</stp>
        <stp>[Bbg_Market_Data_CL.xlsm]data!R379C13</stp>
        <tr r="M379" s="1"/>
      </tp>
      <tp t="s">
        <v>#N/A Requesting Data...</v>
        <stp/>
        <stp>##V3_BDHV12</stp>
        <stp>CL1 Comdty</stp>
        <stp>RSI_14D</stp>
        <stp>23/03/2016</stp>
        <stp>23/03/2016</stp>
        <stp>[Bbg_Market_Data_CL.xlsm]data!R263C13</stp>
        <tr r="M263" s="1"/>
      </tp>
      <tp t="s">
        <v>#N/A Requesting Data...</v>
        <stp/>
        <stp>##V3_BDHV12</stp>
        <stp>CL2 Comdty</stp>
        <stp>RSI_30D</stp>
        <stp>27/05/2016</stp>
        <stp>27/05/2016</stp>
        <stp>[Bbg_Market_Data_CL.xlsm]data!R217C14</stp>
        <tr r="N217" s="1"/>
      </tp>
      <tp t="s">
        <v>#N/A Requesting Data...</v>
        <stp/>
        <stp>##V3_BDHV12</stp>
        <stp>CL1 Comdty</stp>
        <stp>RSI_30D</stp>
        <stp>27/05/2016</stp>
        <stp>27/05/2016</stp>
        <stp>[Bbg_Market_Data_CL.xlsm]data!R217C14</stp>
        <tr r="N217" s="1"/>
      </tp>
      <tp t="s">
        <v>#N/A Requesting Data...</v>
        <stp/>
        <stp>##V3_BDHV12</stp>
        <stp>CL2 Comdty</stp>
        <stp>RSI_14D</stp>
        <stp>23/03/2016</stp>
        <stp>23/03/2016</stp>
        <stp>[Bbg_Market_Data_CL.xlsm]data!R263C13</stp>
        <tr r="M263" s="1"/>
      </tp>
      <tp t="s">
        <v>#N/A Requesting Data...</v>
        <stp/>
        <stp>##V3_BDHV12</stp>
        <stp>CL1 Comdty</stp>
        <stp>RSI_14D</stp>
        <stp>16/06/2015</stp>
        <stp>16/06/2015</stp>
        <stp>[Bbg_Market_Data_CL.xlsm]data!R454C13</stp>
        <tr r="M454" s="1"/>
      </tp>
      <tp t="s">
        <v>#N/A Requesting Data...</v>
        <stp/>
        <stp>##V3_BDHV12</stp>
        <stp>CL2 Comdty</stp>
        <stp>RSI_14D</stp>
        <stp>16/06/2015</stp>
        <stp>16/06/2015</stp>
        <stp>[Bbg_Market_Data_CL.xlsm]data!R454C13</stp>
        <tr r="M454" s="1"/>
      </tp>
      <tp t="s">
        <v>#N/A Requesting Data...</v>
        <stp/>
        <stp>##V3_BDHV12</stp>
        <stp>CL1 Comdty</stp>
        <stp>RSI_14D</stp>
        <stp>06/07/2015</stp>
        <stp>06/07/2015</stp>
        <stp>[Bbg_Market_Data_CL.xlsm]data!R441C13</stp>
        <tr r="M441" s="1"/>
      </tp>
      <tp t="s">
        <v>#N/A Requesting Data...</v>
        <stp/>
        <stp>##V3_BDHV12</stp>
        <stp>CL2 Comdty</stp>
        <stp>RSI_14D</stp>
        <stp>06/07/2015</stp>
        <stp>06/07/2015</stp>
        <stp>[Bbg_Market_Data_CL.xlsm]data!R441C13</stp>
        <tr r="M441" s="1"/>
      </tp>
      <tp t="s">
        <v>#N/A Requesting Data...</v>
        <stp/>
        <stp>##V3_BDHV12</stp>
        <stp>CL2 Comdty</stp>
        <stp>RSI_14D</stp>
        <stp>21/12/2015</stp>
        <stp>21/12/2015</stp>
        <stp>[Bbg_Market_Data_CL.xlsm]data!R325C13</stp>
        <tr r="M325" s="1"/>
      </tp>
      <tp t="s">
        <v>#N/A Requesting Data...</v>
        <stp/>
        <stp>##V3_BDHV12</stp>
        <stp>CL1 Comdty</stp>
        <stp>RSI_14D</stp>
        <stp>21/12/2015</stp>
        <stp>21/12/2015</stp>
        <stp>[Bbg_Market_Data_CL.xlsm]data!R325C13</stp>
        <tr r="M325" s="1"/>
      </tp>
      <tp t="s">
        <v>#N/A Requesting Data...</v>
        <stp/>
        <stp>##V3_BDHV12</stp>
        <stp>CL2 Comdty</stp>
        <stp>RSI_14D</stp>
        <stp>12/01/2016</stp>
        <stp>12/01/2016</stp>
        <stp>[Bbg_Market_Data_CL.xlsm]data!R311C13</stp>
        <tr r="M311" s="1"/>
      </tp>
      <tp t="s">
        <v>#N/A Requesting Data...</v>
        <stp/>
        <stp>##V3_BDHV12</stp>
        <stp>CL1 Comdty</stp>
        <stp>RSI_14D</stp>
        <stp>12/01/2016</stp>
        <stp>12/01/2016</stp>
        <stp>[Bbg_Market_Data_CL.xlsm]data!R311C13</stp>
        <tr r="M311" s="1"/>
      </tp>
      <tp t="s">
        <v>#N/A Requesting Data...</v>
        <stp/>
        <stp>##V3_BDHV12</stp>
        <stp>CL1 Comdty</stp>
        <stp>RSI_14D</stp>
        <stp>20/10/2016</stp>
        <stp>20/10/2016</stp>
        <stp>[Bbg_Market_Data_CL.xlsm]data!R118C13</stp>
        <tr r="M118" s="1"/>
      </tp>
      <tp t="s">
        <v>#N/A Requesting Data...</v>
        <stp/>
        <stp>##V3_BDHV12</stp>
        <stp>CL2 Comdty</stp>
        <stp>RSI_14D</stp>
        <stp>20/10/2016</stp>
        <stp>20/10/2016</stp>
        <stp>[Bbg_Market_Data_CL.xlsm]data!R118C13</stp>
        <tr r="M118" s="1"/>
      </tp>
      <tp t="s">
        <v>#N/A Requesting Data...</v>
        <stp/>
        <stp>##V3_BDHV12</stp>
        <stp>CL1 Comdty</stp>
        <stp>RSI_14D</stp>
        <stp>27/04/2015</stp>
        <stp>27/04/2015</stp>
        <stp>[Bbg_Market_Data_CL.xlsm]data!R489C13</stp>
        <tr r="M489" s="1"/>
      </tp>
      <tp t="s">
        <v>#N/A Requesting Data...</v>
        <stp/>
        <stp>##V3_BDHV12</stp>
        <stp>CL2 Comdty</stp>
        <stp>RSI_14D</stp>
        <stp>27/04/2015</stp>
        <stp>27/04/2015</stp>
        <stp>[Bbg_Market_Data_CL.xlsm]data!R489C13</stp>
        <tr r="M489" s="1"/>
      </tp>
      <tp t="s">
        <v>#N/A Requesting Data...</v>
        <stp/>
        <stp>##V3_BDHV12</stp>
        <stp>CL2 Comdty</stp>
        <stp>RSI_14D</stp>
        <stp>22/02/2016</stp>
        <stp>22/02/2016</stp>
        <stp>[Bbg_Market_Data_CL.xlsm]data!R285C13</stp>
        <tr r="M285" s="1"/>
      </tp>
      <tp t="s">
        <v>#N/A Requesting Data...</v>
        <stp/>
        <stp>##V3_BDHV12</stp>
        <stp>CL1 Comdty</stp>
        <stp>RSI_14D</stp>
        <stp>22/02/2016</stp>
        <stp>22/02/2016</stp>
        <stp>[Bbg_Market_Data_CL.xlsm]data!R285C13</stp>
        <tr r="M285" s="1"/>
      </tp>
      <tp t="s">
        <v>#N/A Requesting Data...</v>
        <stp/>
        <stp>##V3_BDHV12</stp>
        <stp>CL2 Comdty</stp>
        <stp>RSI_30D</stp>
        <stp>06/06/2016</stp>
        <stp>06/06/2016</stp>
        <stp>[Bbg_Market_Data_CL.xlsm]data!R212C14</stp>
        <tr r="N212" s="1"/>
      </tp>
      <tp t="s">
        <v>#N/A Requesting Data...</v>
        <stp/>
        <stp>##V3_BDHV12</stp>
        <stp>CL1 Comdty</stp>
        <stp>RSI_30D</stp>
        <stp>06/06/2016</stp>
        <stp>06/06/2016</stp>
        <stp>[Bbg_Market_Data_CL.xlsm]data!R212C14</stp>
        <tr r="N212" s="1"/>
      </tp>
      <tp t="s">
        <v>#N/A Requesting Data...</v>
        <stp/>
        <stp>##V3_BDHV12</stp>
        <stp>CL1 Comdty</stp>
        <stp>RSI_30D</stp>
        <stp>26/04/2016</stp>
        <stp>26/04/2016</stp>
        <stp>[Bbg_Market_Data_CL.xlsm]data!R240C14</stp>
        <tr r="N240" s="1"/>
      </tp>
      <tp t="s">
        <v>#N/A Requesting Data...</v>
        <stp/>
        <stp>##V3_BDHV12</stp>
        <stp>CL2 Comdty</stp>
        <stp>RSI_14D</stp>
        <stp>17/07/2015</stp>
        <stp>17/07/2015</stp>
        <stp>[Bbg_Market_Data_CL.xlsm]data!R432C13</stp>
        <tr r="M432" s="1"/>
      </tp>
      <tp t="s">
        <v>#N/A Requesting Data...</v>
        <stp/>
        <stp>##V3_BDHV12</stp>
        <stp>CL1 Comdty</stp>
        <stp>RSI_14D</stp>
        <stp>17/07/2015</stp>
        <stp>17/07/2015</stp>
        <stp>[Bbg_Market_Data_CL.xlsm]data!R432C13</stp>
        <tr r="M432" s="1"/>
      </tp>
      <tp t="s">
        <v>#N/A Requesting Data...</v>
        <stp/>
        <stp>##V3_BDHV12</stp>
        <stp>CL2 Comdty</stp>
        <stp>RSI_30D</stp>
        <stp>26/04/2016</stp>
        <stp>26/04/2016</stp>
        <stp>[Bbg_Market_Data_CL.xlsm]data!R240C14</stp>
        <tr r="N240" s="1"/>
      </tp>
      <tp t="s">
        <v>#N/A Requesting Data...</v>
        <stp/>
        <stp>##V3_BDHV12</stp>
        <stp>CL2 Comdty</stp>
        <stp>RSI_30D</stp>
        <stp>25/07/2016</stp>
        <stp>25/07/2016</stp>
        <stp>[Bbg_Market_Data_CL.xlsm]data!R178C14</stp>
        <tr r="N178" s="1"/>
      </tp>
      <tp t="s">
        <v>#N/A Requesting Data...</v>
        <stp/>
        <stp>##V3_BDHV12</stp>
        <stp>CL1 Comdty</stp>
        <stp>RSI_30D</stp>
        <stp>25/07/2016</stp>
        <stp>25/07/2016</stp>
        <stp>[Bbg_Market_Data_CL.xlsm]data!R178C14</stp>
        <tr r="N178" s="1"/>
      </tp>
      <tp t="s">
        <v>#N/A Requesting Data...</v>
        <stp/>
        <stp>##V3_BDHV12</stp>
        <stp>CL2 Comdty</stp>
        <stp>RSI_14D</stp>
        <stp>30/12/2015</stp>
        <stp>30/12/2015</stp>
        <stp>[Bbg_Market_Data_CL.xlsm]data!R319C13</stp>
        <tr r="M319" s="1"/>
      </tp>
      <tp t="s">
        <v>#N/A Requesting Data...</v>
        <stp/>
        <stp>##V3_BDHV12</stp>
        <stp>CL1 Comdty</stp>
        <stp>RSI_14D</stp>
        <stp>30/12/2015</stp>
        <stp>30/12/2015</stp>
        <stp>[Bbg_Market_Data_CL.xlsm]data!R319C13</stp>
        <tr r="M319" s="1"/>
      </tp>
      <tp t="s">
        <v>#N/A Requesting Data...</v>
        <stp/>
        <stp>##V3_BDHV12</stp>
        <stp>CL1 Comdty</stp>
        <stp>RSI_14D</stp>
        <stp>31/10/2016</stp>
        <stp>31/10/2016</stp>
        <stp>[Bbg_Market_Data_CL.xlsm]data!R111C13</stp>
        <tr r="M111" s="1"/>
      </tp>
      <tp t="s">
        <v>#N/A Requesting Data...</v>
        <stp/>
        <stp>##V3_BDHV12</stp>
        <stp>CL2 Comdty</stp>
        <stp>RSI_14D</stp>
        <stp>31/10/2016</stp>
        <stp>31/10/2016</stp>
        <stp>[Bbg_Market_Data_CL.xlsm]data!R111C13</stp>
        <tr r="M111" s="1"/>
      </tp>
      <tp t="s">
        <v>#N/A Requesting Data...</v>
        <stp/>
        <stp>##V3_BDHV12</stp>
        <stp>CL2 Comdty</stp>
        <stp>RSI_14D</stp>
        <stp>14/04/2015</stp>
        <stp>14/04/2015</stp>
        <stp>[Bbg_Market_Data_CL.xlsm]data!R498C13</stp>
        <tr r="M498" s="1"/>
      </tp>
      <tp t="s">
        <v>#N/A Requesting Data...</v>
        <stp/>
        <stp>##V3_BDHV12</stp>
        <stp>CL1 Comdty</stp>
        <stp>RSI_14D</stp>
        <stp>14/04/2015</stp>
        <stp>14/04/2015</stp>
        <stp>[Bbg_Market_Data_CL.xlsm]data!R498C13</stp>
        <tr r="M498" s="1"/>
      </tp>
      <tp t="s">
        <v>#N/A Requesting Data...</v>
        <stp/>
        <stp>##V3_BDHV12</stp>
        <stp>CL1 Comdty</stp>
        <stp>RSI_14D</stp>
        <stp>11/02/2016</stp>
        <stp>11/02/2016</stp>
        <stp>[Bbg_Market_Data_CL.xlsm]data!R290C13</stp>
        <tr r="M290" s="1"/>
      </tp>
      <tp t="s">
        <v>#N/A Requesting Data...</v>
        <stp/>
        <stp>##V3_BDHV12</stp>
        <stp>CL2 Comdty</stp>
        <stp>RSI_14D</stp>
        <stp>11/02/2016</stp>
        <stp>11/02/2016</stp>
        <stp>[Bbg_Market_Data_CL.xlsm]data!R290C13</stp>
        <tr r="M290" s="1"/>
      </tp>
      <tp t="s">
        <v>#N/A Requesting Data...</v>
        <stp/>
        <stp>##V3_BDHV12</stp>
        <stp>CL2 Comdty</stp>
        <stp>RSI_14D</stp>
        <stp>04/05/2015</stp>
        <stp>04/05/2015</stp>
        <stp>[Bbg_Market_Data_CL.xlsm]data!R484C13</stp>
        <tr r="M484" s="1"/>
      </tp>
      <tp t="s">
        <v>#N/A Requesting Data...</v>
        <stp/>
        <stp>##V3_BDHV12</stp>
        <stp>CL1 Comdty</stp>
        <stp>RSI_14D</stp>
        <stp>04/05/2015</stp>
        <stp>04/05/2015</stp>
        <stp>[Bbg_Market_Data_CL.xlsm]data!R484C13</stp>
        <tr r="M484" s="1"/>
      </tp>
      <tp t="s">
        <v>#N/A Requesting Data...</v>
        <stp/>
        <stp>##V3_BDHV12</stp>
        <stp>CL1 Comdty</stp>
        <stp>RSI_14D</stp>
        <stp>01/03/2016</stp>
        <stp>01/03/2016</stp>
        <stp>[Bbg_Market_Data_CL.xlsm]data!R279C13</stp>
        <tr r="M279" s="1"/>
      </tp>
      <tp t="s">
        <v>#N/A Requesting Data...</v>
        <stp/>
        <stp>##V3_BDHV12</stp>
        <stp>CL2 Comdty</stp>
        <stp>RSI_14D</stp>
        <stp>01/03/2016</stp>
        <stp>01/03/2016</stp>
        <stp>[Bbg_Market_Data_CL.xlsm]data!R279C13</stp>
        <tr r="M279" s="1"/>
      </tp>
      <tp t="s">
        <v>#N/A Requesting Data...</v>
        <stp/>
        <stp>##V3_BDHV12</stp>
        <stp>CL1 Comdty</stp>
        <stp>RSI_14D</stp>
        <stp>23/10/2015</stp>
        <stp>23/10/2015</stp>
        <stp>[Bbg_Market_Data_CL.xlsm]data!R364C13</stp>
        <tr r="M364" s="1"/>
      </tp>
      <tp t="s">
        <v>#N/A Requesting Data...</v>
        <stp/>
        <stp>##V3_BDHV12</stp>
        <stp>CL2 Comdty</stp>
        <stp>RSI_14D</stp>
        <stp>23/10/2015</stp>
        <stp>23/10/2015</stp>
        <stp>[Bbg_Market_Data_CL.xlsm]data!R364C13</stp>
        <tr r="M364" s="1"/>
      </tp>
      <tp t="s">
        <v>#N/A Requesting Data...</v>
        <stp/>
        <stp>##V3_BDHV12</stp>
        <stp>CL1 Comdty</stp>
        <stp>RSI_30D</stp>
        <stp>05/05/2016</stp>
        <stp>05/05/2016</stp>
        <stp>[Bbg_Market_Data_CL.xlsm]data!R233C14</stp>
        <tr r="N233" s="1"/>
      </tp>
      <tp t="s">
        <v>#N/A Requesting Data...</v>
        <stp/>
        <stp>##V3_BDHV12</stp>
        <stp>CL2 Comdty</stp>
        <stp>RSI_30D</stp>
        <stp>05/05/2016</stp>
        <stp>05/05/2016</stp>
        <stp>[Bbg_Market_Data_CL.xlsm]data!R233C14</stp>
        <tr r="N233" s="1"/>
      </tp>
      <tp t="s">
        <v>#N/A Requesting Data...</v>
        <stp/>
        <stp>##V3_BDHV12</stp>
        <stp>CL1 Comdty</stp>
        <stp>RSI_30D</stp>
        <stp>15/04/2016</stp>
        <stp>15/04/2016</stp>
        <stp>[Bbg_Market_Data_CL.xlsm]data!R247C14</stp>
        <tr r="N247" s="1"/>
      </tp>
      <tp t="s">
        <v>#N/A Requesting Data...</v>
        <stp/>
        <stp>##V3_BDHV12</stp>
        <stp>CL2 Comdty</stp>
        <stp>RSI_30D</stp>
        <stp>15/04/2016</stp>
        <stp>15/04/2016</stp>
        <stp>[Bbg_Market_Data_CL.xlsm]data!R247C14</stp>
        <tr r="N247" s="1"/>
      </tp>
      <tp t="s">
        <v>#N/A Requesting Data...</v>
        <stp/>
        <stp>##V3_BDHV12</stp>
        <stp>CL2 Comdty</stp>
        <stp>RSI_14D</stp>
        <stp>03/12/2015</stp>
        <stp>03/12/2015</stp>
        <stp>[Bbg_Market_Data_CL.xlsm]data!R337C13</stp>
        <tr r="M337" s="1"/>
      </tp>
      <tp t="s">
        <v>#N/A Requesting Data...</v>
        <stp/>
        <stp>##V3_BDHV12</stp>
        <stp>CL1 Comdty</stp>
        <stp>RSI_14D</stp>
        <stp>03/12/2015</stp>
        <stp>03/12/2015</stp>
        <stp>[Bbg_Market_Data_CL.xlsm]data!R337C13</stp>
        <tr r="M337" s="1"/>
      </tp>
      <tp t="s">
        <v>#N/A Requesting Data...</v>
        <stp/>
        <stp>##V3_BDHV12</stp>
        <stp>CL1 Comdty</stp>
        <stp>RSI_14D</stp>
        <stp>24/07/2015</stp>
        <stp>24/07/2015</stp>
        <stp>[Bbg_Market_Data_CL.xlsm]data!R427C13</stp>
        <tr r="M427" s="1"/>
      </tp>
      <tp t="s">
        <v>#N/A Requesting Data...</v>
        <stp/>
        <stp>##V3_BDHV12</stp>
        <stp>CL2 Comdty</stp>
        <stp>RSI_14D</stp>
        <stp>24/07/2015</stp>
        <stp>24/07/2015</stp>
        <stp>[Bbg_Market_Data_CL.xlsm]data!R427C13</stp>
        <tr r="M427" s="1"/>
      </tp>
      <tp t="s">
        <v>#N/A Requesting Data...</v>
        <stp/>
        <stp>##V3_BDHV12</stp>
        <stp>CL1 Comdty</stp>
        <stp>RSI_30D</stp>
        <stp>07/07/2016</stp>
        <stp>07/07/2016</stp>
        <stp>[Bbg_Market_Data_CL.xlsm]data!R190C14</stp>
        <tr r="N190" s="1"/>
      </tp>
      <tp t="s">
        <v>#N/A Requesting Data...</v>
        <stp/>
        <stp>##V3_BDHV12</stp>
        <stp>CL2 Comdty</stp>
        <stp>RSI_30D</stp>
        <stp>07/07/2016</stp>
        <stp>07/07/2016</stp>
        <stp>[Bbg_Market_Data_CL.xlsm]data!R190C14</stp>
        <tr r="N190" s="1"/>
      </tp>
      <tp t="s">
        <v>#N/A Requesting Data...</v>
        <stp/>
        <stp>##V3_BDHV12</stp>
        <stp>CL2 Comdty</stp>
        <stp>RSI_14D</stp>
        <stp>15/05/2015</stp>
        <stp>15/05/2015</stp>
        <stp>[Bbg_Market_Data_CL.xlsm]data!R475C13</stp>
        <tr r="M475" s="1"/>
      </tp>
      <tp t="s">
        <v>#N/A Requesting Data...</v>
        <stp/>
        <stp>##V3_BDHV12</stp>
        <stp>CL2 Comdty</stp>
        <stp>RSI_14D</stp>
        <stp>10/03/2016</stp>
        <stp>10/03/2016</stp>
        <stp>[Bbg_Market_Data_CL.xlsm]data!R272C13</stp>
        <tr r="M272" s="1"/>
      </tp>
      <tp t="s">
        <v>#N/A Requesting Data...</v>
        <stp/>
        <stp>##V3_BDHV12</stp>
        <stp>CL1 Comdty</stp>
        <stp>RSI_14D</stp>
        <stp>10/03/2016</stp>
        <stp>10/03/2016</stp>
        <stp>[Bbg_Market_Data_CL.xlsm]data!R272C13</stp>
        <tr r="M272" s="1"/>
      </tp>
      <tp t="s">
        <v>#N/A Requesting Data...</v>
        <stp/>
        <stp>##V3_BDHV12</stp>
        <stp>CL1 Comdty</stp>
        <stp>RSI_14D</stp>
        <stp>15/05/2015</stp>
        <stp>15/05/2015</stp>
        <stp>[Bbg_Market_Data_CL.xlsm]data!R475C13</stp>
        <tr r="M475" s="1"/>
      </tp>
      <tp t="s">
        <v>#N/A Requesting Data...</v>
        <stp/>
        <stp>##V3_BDHV12</stp>
        <stp>CL1 Comdty</stp>
        <stp>RSI_14D</stp>
        <stp>25/06/2015</stp>
        <stp>25/06/2015</stp>
        <stp>[Bbg_Market_Data_CL.xlsm]data!R447C13</stp>
        <tr r="M447" s="1"/>
      </tp>
      <tp t="s">
        <v>#N/A Requesting Data...</v>
        <stp/>
        <stp>##V3_BDHV12</stp>
        <stp>CL2 Comdty</stp>
        <stp>RSI_14D</stp>
        <stp>25/06/2015</stp>
        <stp>25/06/2015</stp>
        <stp>[Bbg_Market_Data_CL.xlsm]data!R447C13</stp>
        <tr r="M447" s="1"/>
      </tp>
      <tp t="s">
        <v>#N/A Requesting Data...</v>
        <stp/>
        <stp>##V3_BDHV12</stp>
        <stp>CL1 Comdty</stp>
        <stp>RSI_14D</stp>
        <stp>13/10/2016</stp>
        <stp>13/10/2016</stp>
        <stp>[Bbg_Market_Data_CL.xlsm]data!R123C13</stp>
        <tr r="M123" s="1"/>
      </tp>
      <tp t="s">
        <v>#N/A Requesting Data...</v>
        <stp/>
        <stp>##V3_BDHV12</stp>
        <stp>CL2 Comdty</stp>
        <stp>RSI_14D</stp>
        <stp>13/10/2016</stp>
        <stp>13/10/2016</stp>
        <stp>[Bbg_Market_Data_CL.xlsm]data!R123C13</stp>
        <tr r="M123" s="1"/>
      </tp>
      <tp t="s">
        <v>#N/A Requesting Data...</v>
        <stp/>
        <stp>##V3_BDHV12</stp>
        <stp>CL1 Comdty</stp>
        <stp>RSI_30D</stp>
        <stp>04/04/2016</stp>
        <stp>04/04/2016</stp>
        <stp>[Bbg_Market_Data_CL.xlsm]data!R256C14</stp>
        <tr r="N256" s="1"/>
      </tp>
      <tp t="s">
        <v>#N/A Requesting Data...</v>
        <stp/>
        <stp>##V3_BDHV12</stp>
        <stp>CL2 Comdty</stp>
        <stp>RSI_30D</stp>
        <stp>04/04/2016</stp>
        <stp>04/04/2016</stp>
        <stp>[Bbg_Market_Data_CL.xlsm]data!R256C14</stp>
        <tr r="N256" s="1"/>
      </tp>
      <tp t="s">
        <v>#N/A Requesting Data...</v>
        <stp/>
        <stp>##V3_BDHV12</stp>
        <stp>CL2 Comdty</stp>
        <stp>RSI_14D</stp>
        <stp>03/11/2016</stp>
        <stp>03/11/2016</stp>
        <stp>[Bbg_Market_Data_CL.xlsm]data!R108C13</stp>
        <tr r="M108" s="1"/>
      </tp>
      <tp t="s">
        <v>#N/A Requesting Data...</v>
        <stp/>
        <stp>##V3_BDHV12</stp>
        <stp>CL1 Comdty</stp>
        <stp>RSI_14D</stp>
        <stp>03/11/2016</stp>
        <stp>03/11/2016</stp>
        <stp>[Bbg_Market_Data_CL.xlsm]data!R108C13</stp>
        <tr r="M108" s="1"/>
      </tp>
      <tp t="s">
        <v>#N/A Requesting Data...</v>
        <stp/>
        <stp>##V3_BDHV12</stp>
        <stp>CL1 Comdty</stp>
        <stp>RSI_14D</stp>
        <stp>21/01/2016</stp>
        <stp>21/01/2016</stp>
        <stp>[Bbg_Market_Data_CL.xlsm]data!R305C13</stp>
        <tr r="M305" s="1"/>
      </tp>
      <tp t="s">
        <v>#N/A Requesting Data...</v>
        <stp/>
        <stp>##V3_BDHV12</stp>
        <stp>CL2 Comdty</stp>
        <stp>RSI_14D</stp>
        <stp>21/01/2016</stp>
        <stp>21/01/2016</stp>
        <stp>[Bbg_Market_Data_CL.xlsm]data!R305C13</stp>
        <tr r="M305" s="1"/>
      </tp>
      <tp t="s">
        <v>#N/A Requesting Data...</v>
        <stp/>
        <stp>##V3_BDHV12</stp>
        <stp>CL1 Comdty</stp>
        <stp>RSI_30D</stp>
        <stp>06/05/2015</stp>
        <stp>06/05/2015</stp>
        <stp>[Bbg_Market_Data_CL.xlsm]data!R482C14</stp>
        <tr r="N482" s="1"/>
      </tp>
      <tp t="s">
        <v>#N/A Requesting Data...</v>
        <stp/>
        <stp>##V3_BDHV12</stp>
        <stp>CL2 Comdty</stp>
        <stp>RSI_30D</stp>
        <stp>06/05/2015</stp>
        <stp>06/05/2015</stp>
        <stp>[Bbg_Market_Data_CL.xlsm]data!R482C14</stp>
        <tr r="N482" s="1"/>
      </tp>
      <tp t="s">
        <v>#N/A Requesting Data...</v>
        <stp/>
        <stp>##V3_BDHV12</stp>
        <stp>CL1 Comdty</stp>
        <stp>RSI_30D</stp>
        <stp>16/04/2015</stp>
        <stp>16/04/2015</stp>
        <stp>[Bbg_Market_Data_CL.xlsm]data!R496C14</stp>
        <tr r="N496" s="1"/>
      </tp>
      <tp t="s">
        <v>#N/A Requesting Data...</v>
        <stp/>
        <stp>##V3_BDHV12</stp>
        <stp>CL2 Comdty</stp>
        <stp>RSI_30D</stp>
        <stp>16/04/2015</stp>
        <stp>16/04/2015</stp>
        <stp>[Bbg_Market_Data_CL.xlsm]data!R496C14</stp>
        <tr r="N496" s="1"/>
      </tp>
      <tp t="s">
        <v>#N/A Requesting Data...</v>
        <stp/>
        <stp>##V3_BDHV12</stp>
        <stp>CL1 Comdty</stp>
        <stp>RSI_14D</stp>
        <stp>14/07/2016</stp>
        <stp>14/07/2016</stp>
        <stp>[Bbg_Market_Data_CL.xlsm]data!R185C13</stp>
        <tr r="M185" s="1"/>
      </tp>
      <tp t="s">
        <v>#N/A Requesting Data...</v>
        <stp/>
        <stp>##V3_BDHV12</stp>
        <stp>CL2 Comdty</stp>
        <stp>RSI_14D</stp>
        <stp>14/07/2016</stp>
        <stp>14/07/2016</stp>
        <stp>[Bbg_Market_Data_CL.xlsm]data!R185C13</stp>
        <tr r="M185" s="1"/>
      </tp>
      <tp t="s">
        <v>#N/A Requesting Data...</v>
        <stp/>
        <stp>##V3_BDHV12</stp>
        <stp>CL1 Comdty</stp>
        <stp>RSI_30D</stp>
        <stp>10/11/2016</stp>
        <stp>10/11/2016</stp>
        <stp>[Bbg_Market_Data_CL.xlsm]data!R103C14</stp>
        <tr r="N103" s="1"/>
      </tp>
      <tp t="s">
        <v>#N/A Requesting Data...</v>
        <stp/>
        <stp>##V3_BDHV12</stp>
        <stp>CL2 Comdty</stp>
        <stp>RSI_30D</stp>
        <stp>10/11/2016</stp>
        <stp>10/11/2016</stp>
        <stp>[Bbg_Market_Data_CL.xlsm]data!R103C14</stp>
        <tr r="N103" s="1"/>
      </tp>
      <tp t="s">
        <v>#N/A Requesting Data...</v>
        <stp/>
        <stp>##V3_BDHV12</stp>
        <stp>CL1 Comdty</stp>
        <stp>RSI_30D</stp>
        <stp>01/12/2015</stp>
        <stp>01/12/2015</stp>
        <stp>[Bbg_Market_Data_CL.xlsm]data!R339C14</stp>
        <tr r="N339" s="1"/>
      </tp>
      <tp t="s">
        <v>#N/A Requesting Data...</v>
        <stp/>
        <stp>##V3_BDHV12</stp>
        <stp>CL2 Comdty</stp>
        <stp>RSI_30D</stp>
        <stp>01/12/2015</stp>
        <stp>01/12/2015</stp>
        <stp>[Bbg_Market_Data_CL.xlsm]data!R339C14</stp>
        <tr r="N339" s="1"/>
      </tp>
      <tp t="s">
        <v>#N/A Requesting Data...</v>
        <stp/>
        <stp>##V3_BDHV12</stp>
        <stp>CL2 Comdty</stp>
        <stp>RSI_30D</stp>
        <stp>21/10/2015</stp>
        <stp>21/10/2015</stp>
        <stp>[Bbg_Market_Data_CL.xlsm]data!R366C14</stp>
        <tr r="N366" s="1"/>
      </tp>
      <tp t="s">
        <v>#N/A Requesting Data...</v>
        <stp/>
        <stp>##V3_BDHV12</stp>
        <stp>CL2 Comdty</stp>
        <stp>RSI_30D</stp>
        <stp>03/03/2016</stp>
        <stp>03/03/2016</stp>
        <stp>[Bbg_Market_Data_CL.xlsm]data!R277C14</stp>
        <tr r="N277" s="1"/>
      </tp>
      <tp t="s">
        <v>#N/A Requesting Data...</v>
        <stp/>
        <stp>##V3_BDHV12</stp>
        <stp>CL1 Comdty</stp>
        <stp>RSI_30D</stp>
        <stp>03/03/2016</stp>
        <stp>03/03/2016</stp>
        <stp>[Bbg_Market_Data_CL.xlsm]data!R277C14</stp>
        <tr r="N277" s="1"/>
      </tp>
      <tp t="s">
        <v>#N/A Requesting Data...</v>
        <stp/>
        <stp>##V3_BDHV12</stp>
        <stp>CL1 Comdty</stp>
        <stp>RSI_30D</stp>
        <stp>21/10/2015</stp>
        <stp>21/10/2015</stp>
        <stp>[Bbg_Market_Data_CL.xlsm]data!R366C14</stp>
        <tr r="N366" s="1"/>
      </tp>
      <tp t="s">
        <v>#N/A Requesting Data...</v>
        <stp/>
        <stp>##V3_BDHV12</stp>
        <stp>CL2 Comdty</stp>
        <stp>RSI_30D</stp>
        <stp>02/02/2016</stp>
        <stp>02/02/2016</stp>
        <stp>[Bbg_Market_Data_CL.xlsm]data!R297C14</stp>
        <tr r="N297" s="1"/>
      </tp>
      <tp t="s">
        <v>#N/A Requesting Data...</v>
        <stp/>
        <stp>##V3_BDHV12</stp>
        <stp>CL1 Comdty</stp>
        <stp>RSI_30D</stp>
        <stp>02/02/2016</stp>
        <stp>02/02/2016</stp>
        <stp>[Bbg_Market_Data_CL.xlsm]data!R297C14</stp>
        <tr r="N297" s="1"/>
      </tp>
      <tp t="s">
        <v>#N/A Requesting Data...</v>
        <stp/>
        <stp>##V3_BDHV12</stp>
        <stp>CL2 Comdty</stp>
        <stp>RSI_14D</stp>
        <stp>05/07/2016</stp>
        <stp>05/07/2016</stp>
        <stp>[Bbg_Market_Data_CL.xlsm]data!R192C13</stp>
        <tr r="M192" s="1"/>
      </tp>
      <tp t="s">
        <v>#N/A Requesting Data...</v>
        <stp/>
        <stp>##V3_BDHV12</stp>
        <stp>CL1 Comdty</stp>
        <stp>RSI_14D</stp>
        <stp>05/07/2016</stp>
        <stp>05/07/2016</stp>
        <stp>[Bbg_Market_Data_CL.xlsm]data!R192C13</stp>
        <tr r="M192" s="1"/>
      </tp>
      <tp t="s">
        <v>#N/A Requesting Data...</v>
        <stp/>
        <stp>##V3_BDHV12</stp>
        <stp>CL2 Comdty</stp>
        <stp>RSI_30D</stp>
        <stp>01/11/2016</stp>
        <stp>01/11/2016</stp>
        <stp>[Bbg_Market_Data_CL.xlsm]data!R110C14</stp>
        <tr r="N110" s="1"/>
      </tp>
      <tp t="s">
        <v>#N/A Requesting Data...</v>
        <stp/>
        <stp>##V3_BDHV12</stp>
        <stp>CL1 Comdty</stp>
        <stp>RSI_30D</stp>
        <stp>01/11/2016</stp>
        <stp>01/11/2016</stp>
        <stp>[Bbg_Market_Data_CL.xlsm]data!R110C14</stp>
        <tr r="N110" s="1"/>
      </tp>
      <tp t="s">
        <v>#N/A Requesting Data...</v>
        <stp/>
        <stp>##V3_BDHV12</stp>
        <stp>CL2 Comdty</stp>
        <stp>RSI_14D</stp>
        <stp>06/04/2016</stp>
        <stp>06/04/2016</stp>
        <stp>[Bbg_Market_Data_CL.xlsm]data!R254C13</stp>
        <tr r="M254" s="1"/>
      </tp>
      <tp t="s">
        <v>#N/A Requesting Data...</v>
        <stp/>
        <stp>##V3_BDHV12</stp>
        <stp>CL2 Comdty</stp>
        <stp>RSI_30D</stp>
        <stp>10/12/2015</stp>
        <stp>10/12/2015</stp>
        <stp>[Bbg_Market_Data_CL.xlsm]data!R332C14</stp>
        <tr r="N332" s="1"/>
      </tp>
      <tp t="s">
        <v>#N/A Requesting Data...</v>
        <stp/>
        <stp>##V3_BDHV12</stp>
        <stp>CL1 Comdty</stp>
        <stp>RSI_14D</stp>
        <stp>06/04/2016</stp>
        <stp>06/04/2016</stp>
        <stp>[Bbg_Market_Data_CL.xlsm]data!R254C13</stp>
        <tr r="M254" s="1"/>
      </tp>
      <tp t="s">
        <v>#N/A Requesting Data...</v>
        <stp/>
        <stp>##V3_BDHV12</stp>
        <stp>CL1 Comdty</stp>
        <stp>RSI_30D</stp>
        <stp>10/12/2015</stp>
        <stp>10/12/2015</stp>
        <stp>[Bbg_Market_Data_CL.xlsm]data!R332C14</stp>
        <tr r="N332" s="1"/>
      </tp>
      <tp t="s">
        <v>#N/A Requesting Data...</v>
        <stp/>
        <stp>##V3_BDHV12</stp>
        <stp>CL2 Comdty</stp>
        <stp>RSI_30D</stp>
        <stp>11/10/2016</stp>
        <stp>11/10/2016</stp>
        <stp>[Bbg_Market_Data_CL.xlsm]data!R125C14</stp>
        <tr r="N125" s="1"/>
      </tp>
      <tp t="s">
        <v>#N/A Requesting Data...</v>
        <stp/>
        <stp>##V3_BDHV12</stp>
        <stp>CL1 Comdty</stp>
        <stp>RSI_30D</stp>
        <stp>11/10/2016</stp>
        <stp>11/10/2016</stp>
        <stp>[Bbg_Market_Data_CL.xlsm]data!R125C14</stp>
        <tr r="N125" s="1"/>
      </tp>
      <tp t="s">
        <v>#N/A Requesting Data...</v>
        <stp/>
        <stp>##V3_BDHV12</stp>
        <stp>CL1 Comdty</stp>
        <stp>RSI_30D</stp>
        <stp>30/10/2015</stp>
        <stp>30/10/2015</stp>
        <stp>[Bbg_Market_Data_CL.xlsm]data!R359C14</stp>
        <tr r="N359" s="1"/>
      </tp>
      <tp t="s">
        <v>#N/A Requesting Data...</v>
        <stp/>
        <stp>##V3_BDHV12</stp>
        <stp>CL2 Comdty</stp>
        <stp>RSI_30D</stp>
        <stp>30/10/2015</stp>
        <stp>30/10/2015</stp>
        <stp>[Bbg_Market_Data_CL.xlsm]data!R359C14</stp>
        <tr r="N359" s="1"/>
      </tp>
      <tp t="s">
        <v>#N/A Requesting Data...</v>
        <stp/>
        <stp>##V3_BDHV12</stp>
        <stp>CL1 Comdty</stp>
        <stp>RSI_30D</stp>
        <stp>20/11/2015</stp>
        <stp>20/11/2015</stp>
        <stp>[Bbg_Market_Data_CL.xlsm]data!R345C14</stp>
        <tr r="N345" s="1"/>
      </tp>
      <tp t="s">
        <v>#N/A Requesting Data...</v>
        <stp/>
        <stp>##V3_BDHV12</stp>
        <stp>CL2 Comdty</stp>
        <stp>RSI_30D</stp>
        <stp>20/11/2015</stp>
        <stp>20/11/2015</stp>
        <stp>[Bbg_Market_Data_CL.xlsm]data!R345C14</stp>
        <tr r="N345" s="1"/>
      </tp>
      <tp t="s">
        <v>#N/A Requesting Data...</v>
        <stp/>
        <stp>##V3_BDHV12</stp>
        <stp>CL1 Comdty</stp>
        <stp>RSI_14D</stp>
        <stp>16/05/2016</stp>
        <stp>16/05/2016</stp>
        <stp>[Bbg_Market_Data_CL.xlsm]data!R226C13</stp>
        <tr r="M226" s="1"/>
      </tp>
      <tp t="s">
        <v>#N/A Requesting Data...</v>
        <stp/>
        <stp>##V3_BDHV12</stp>
        <stp>CL2 Comdty</stp>
        <stp>RSI_14D</stp>
        <stp>16/05/2016</stp>
        <stp>16/05/2016</stp>
        <stp>[Bbg_Market_Data_CL.xlsm]data!R226C13</stp>
        <tr r="M226" s="1"/>
      </tp>
      <tp t="s">
        <v>#N/A Requesting Data...</v>
        <stp/>
        <stp>##V3_BDHV12</stp>
        <stp>CL1 Comdty</stp>
        <stp>RSI_30D</stp>
        <stp>23/12/2015</stp>
        <stp>23/12/2015</stp>
        <stp>[Bbg_Market_Data_CL.xlsm]data!R323C14</stp>
        <tr r="N323" s="1"/>
      </tp>
      <tp t="s">
        <v>#N/A Requesting Data...</v>
        <stp/>
        <stp>##V3_BDHV12</stp>
        <stp>CL2 Comdty</stp>
        <stp>RSI_30D</stp>
        <stp>23/12/2015</stp>
        <stp>23/12/2015</stp>
        <stp>[Bbg_Market_Data_CL.xlsm]data!R323C14</stp>
        <tr r="N323" s="1"/>
      </tp>
      <tp t="s">
        <v>#N/A Requesting Data...</v>
        <stp/>
        <stp>##V3_BDHV12</stp>
        <stp>CL2 Comdty</stp>
        <stp>RSI_30D</stp>
        <stp>13/11/2015</stp>
        <stp>13/11/2015</stp>
        <stp>[Bbg_Market_Data_CL.xlsm]data!R350C14</stp>
        <tr r="N350" s="1"/>
      </tp>
      <tp t="s">
        <v>#N/A Requesting Data...</v>
        <stp/>
        <stp>##V3_BDHV12</stp>
        <stp>CL1 Comdty</stp>
        <stp>RSI_30D</stp>
        <stp>13/11/2015</stp>
        <stp>13/11/2015</stp>
        <stp>[Bbg_Market_Data_CL.xlsm]data!R350C14</stp>
        <tr r="N350" s="1"/>
      </tp>
      <tp t="s">
        <v>#N/A Requesting Data...</v>
        <stp/>
        <stp>##V3_BDHV12</stp>
        <stp>CL1 Comdty</stp>
        <stp>RSI_14D</stp>
        <stp>25/05/2016</stp>
        <stp>25/05/2016</stp>
        <stp>[Bbg_Market_Data_CL.xlsm]data!R219C13</stp>
        <tr r="M219" s="1"/>
      </tp>
      <tp t="s">
        <v>#N/A Requesting Data...</v>
        <stp/>
        <stp>##V3_BDHV12</stp>
        <stp>CL2 Comdty</stp>
        <stp>RSI_14D</stp>
        <stp>25/05/2016</stp>
        <stp>25/05/2016</stp>
        <stp>[Bbg_Market_Data_CL.xlsm]data!R219C13</stp>
        <tr r="M219" s="1"/>
      </tp>
      <tp t="s">
        <v>#N/A Requesting Data...</v>
        <stp/>
        <stp>##V3_BDHV12</stp>
        <stp>CL2 Comdty</stp>
        <stp>RSI_30D</stp>
        <stp>21/03/2016</stp>
        <stp>21/03/2016</stp>
        <stp>[Bbg_Market_Data_CL.xlsm]data!R265C14</stp>
        <tr r="N265" s="1"/>
      </tp>
      <tp t="s">
        <v>#N/A Requesting Data...</v>
        <stp/>
        <stp>##V3_BDHV12</stp>
        <stp>CL1 Comdty</stp>
        <stp>RSI_30D</stp>
        <stp>21/03/2016</stp>
        <stp>21/03/2016</stp>
        <stp>[Bbg_Market_Data_CL.xlsm]data!R265C14</stp>
        <tr r="N265" s="1"/>
      </tp>
      <tp t="s">
        <v>#N/A Requesting Data...</v>
        <stp/>
        <stp>##V3_BDHV12</stp>
        <stp>CL1 Comdty</stp>
        <stp>RSI_14D</stp>
        <stp>15/06/2016</stp>
        <stp>15/06/2016</stp>
        <stp>[Bbg_Market_Data_CL.xlsm]data!R205C13</stp>
        <tr r="M205" s="1"/>
      </tp>
      <tp t="s">
        <v>#N/A Requesting Data...</v>
        <stp/>
        <stp>##V3_BDHV12</stp>
        <stp>CL2 Comdty</stp>
        <stp>RSI_14D</stp>
        <stp>15/06/2016</stp>
        <stp>15/06/2016</stp>
        <stp>[Bbg_Market_Data_CL.xlsm]data!R205C13</stp>
        <tr r="M205" s="1"/>
      </tp>
      <tp t="s">
        <v>#N/A Requesting Data...</v>
        <stp/>
        <stp>##V3_BDHV12</stp>
        <stp>CL1 Comdty</stp>
        <stp>RSI_14D</stp>
        <stp>27/07/2016</stp>
        <stp>27/07/2016</stp>
        <stp>[Bbg_Market_Data_CL.xlsm]data!R176C13</stp>
        <tr r="M176" s="1"/>
      </tp>
      <tp t="s">
        <v>#N/A Requesting Data...</v>
        <stp/>
        <stp>##V3_BDHV12</stp>
        <stp>CL2 Comdty</stp>
        <stp>RSI_14D</stp>
        <stp>27/07/2016</stp>
        <stp>27/07/2016</stp>
        <stp>[Bbg_Market_Data_CL.xlsm]data!R176C13</stp>
        <tr r="M176" s="1"/>
      </tp>
      <tp t="s">
        <v>#N/A Requesting Data...</v>
        <stp/>
        <stp>##V3_BDHV12</stp>
        <stp>CL1 Comdty</stp>
        <stp>RSI_30D</stp>
        <stp>15/07/2015</stp>
        <stp>15/07/2015</stp>
        <stp>[Bbg_Market_Data_CL.xlsm]data!R434C14</stp>
        <tr r="N434" s="1"/>
      </tp>
      <tp t="s">
        <v>#N/A Requesting Data...</v>
        <stp/>
        <stp>##V3_BDHV12</stp>
        <stp>CL2 Comdty</stp>
        <stp>RSI_30D</stp>
        <stp>15/07/2015</stp>
        <stp>15/07/2015</stp>
        <stp>[Bbg_Market_Data_CL.xlsm]data!R434C14</stp>
        <tr r="N434" s="1"/>
      </tp>
      <tp t="s">
        <v>#N/A Requesting Data...</v>
        <stp/>
        <stp>##V3_BDHV12</stp>
        <stp>CL2 Comdty</stp>
        <stp>RSI_30D</stp>
        <stp>02/11/2015</stp>
        <stp>02/11/2015</stp>
        <stp>[Bbg_Market_Data_CL.xlsm]data!R358C14</stp>
        <tr r="N358" s="1"/>
      </tp>
      <tp t="s">
        <v>#N/A Requesting Data...</v>
        <stp/>
        <stp>##V3_BDHV12</stp>
        <stp>CL1 Comdty</stp>
        <stp>RSI_30D</stp>
        <stp>02/11/2015</stp>
        <stp>02/11/2015</stp>
        <stp>[Bbg_Market_Data_CL.xlsm]data!R358C14</stp>
        <tr r="N358" s="1"/>
      </tp>
      <tp t="s">
        <v>#N/A Requesting Data...</v>
        <stp/>
        <stp>##V3_BDHV12</stp>
        <stp>CL2 Comdty</stp>
        <stp>RSI_30D</stp>
        <stp>30/03/2016</stp>
        <stp>30/03/2016</stp>
        <stp>[Bbg_Market_Data_CL.xlsm]data!R259C14</stp>
        <tr r="N259" s="1"/>
      </tp>
      <tp t="s">
        <v>#N/A Requesting Data...</v>
        <stp/>
        <stp>##V3_BDHV12</stp>
        <stp>CL1 Comdty</stp>
        <stp>RSI_30D</stp>
        <stp>30/03/2016</stp>
        <stp>30/03/2016</stp>
        <stp>[Bbg_Market_Data_CL.xlsm]data!R259C14</stp>
        <tr r="N259" s="1"/>
      </tp>
      <tp t="s">
        <v>#N/A Requesting Data...</v>
        <stp/>
        <stp>##V3_BDHV12</stp>
        <stp>CL1 Comdty</stp>
        <stp>RSI_30D</stp>
        <stp>05/06/2015</stp>
        <stp>05/06/2015</stp>
        <stp>[Bbg_Market_Data_CL.xlsm]data!R461C14</stp>
        <tr r="N461" s="1"/>
      </tp>
      <tp t="s">
        <v>#N/A Requesting Data...</v>
        <stp/>
        <stp>##V3_BDHV12</stp>
        <stp>CL2 Comdty</stp>
        <stp>RSI_30D</stp>
        <stp>05/06/2015</stp>
        <stp>05/06/2015</stp>
        <stp>[Bbg_Market_Data_CL.xlsm]data!R461C14</stp>
        <tr r="N461" s="1"/>
      </tp>
      <tp t="s">
        <v>#N/A Requesting Data...</v>
        <stp/>
        <stp>##V3_BDHV12</stp>
        <stp>CL1 Comdty</stp>
        <stp>RSI_14D</stp>
        <stp>08/09/2015</stp>
        <stp>08/09/2015</stp>
        <stp>[Bbg_Market_Data_CL.xlsm]data!R396C13</stp>
        <tr r="M396" s="1"/>
      </tp>
      <tp t="s">
        <v>#N/A Requesting Data...</v>
        <stp/>
        <stp>##V3_BDHV12</stp>
        <stp>CL2 Comdty</stp>
        <stp>RSI_14D</stp>
        <stp>08/09/2015</stp>
        <stp>08/09/2015</stp>
        <stp>[Bbg_Market_Data_CL.xlsm]data!R396C13</stp>
        <tr r="M396" s="1"/>
      </tp>
      <tp t="s">
        <v>#N/A Requesting Data...</v>
        <stp/>
        <stp>##V3_BDHV12</stp>
        <stp>CL2 Comdty</stp>
        <stp>RSI_14D</stp>
        <stp>29/09/2016</stp>
        <stp>29/09/2016</stp>
        <stp>[Bbg_Market_Data_CL.xlsm]data!R132C13</stp>
        <tr r="M132" s="1"/>
      </tp>
      <tp t="s">
        <v>#N/A Requesting Data...</v>
        <stp/>
        <stp>##V3_BDHV12</stp>
        <stp>CL1 Comdty</stp>
        <stp>RSI_14D</stp>
        <stp>29/09/2016</stp>
        <stp>29/09/2016</stp>
        <stp>[Bbg_Market_Data_CL.xlsm]data!R132C13</stp>
        <tr r="M132" s="1"/>
      </tp>
      <tp t="s">
        <v>#N/A Requesting Data...</v>
        <stp/>
        <stp>##V3_BDHV12</stp>
        <stp>CL2 Comdty</stp>
        <stp>RSI_30D</stp>
        <stp>28/09/2015</stp>
        <stp>28/09/2015</stp>
        <stp>[Bbg_Market_Data_CL.xlsm]data!R382C14</stp>
        <tr r="N382" s="1"/>
      </tp>
      <tp t="s">
        <v>#N/A Requesting Data...</v>
        <stp/>
        <stp>##V3_BDHV12</stp>
        <stp>CL1 Comdty</stp>
        <stp>RSI_30D</stp>
        <stp>28/09/2015</stp>
        <stp>28/09/2015</stp>
        <stp>[Bbg_Market_Data_CL.xlsm]data!R382C14</stp>
        <tr r="N382" s="1"/>
      </tp>
      <tp t="s">
        <v>#N/A Requesting Data...</v>
        <stp/>
        <stp>##V3_BDHV12</stp>
        <stp>CL1 Comdty</stp>
        <stp>RSI_30D</stp>
        <stp>09/09/2016</stp>
        <stp>09/09/2016</stp>
        <stp>[Bbg_Market_Data_CL.xlsm]data!R146C14</stp>
        <tr r="N146" s="1"/>
      </tp>
      <tp t="s">
        <v>#N/A Requesting Data...</v>
        <stp/>
        <stp>##V3_BDHV12</stp>
        <stp>CL2 Comdty</stp>
        <stp>RSI_30D</stp>
        <stp>09/09/2016</stp>
        <stp>09/09/2016</stp>
        <stp>[Bbg_Market_Data_CL.xlsm]data!R146C14</stp>
        <tr r="N146" s="1"/>
      </tp>
      <tp t="s">
        <v>#N/A Requesting Data...</v>
        <stp/>
        <stp>##V3_BDHV12</stp>
        <stp>CL2 Comdty</stp>
        <stp>RSI_30D</stp>
        <stp>19/08/2016</stp>
        <stp>19/08/2016</stp>
        <stp>[Bbg_Market_Data_CL.xlsm]data!R160C14</stp>
        <tr r="N160" s="1"/>
      </tp>
      <tp t="s">
        <v>#N/A Requesting Data...</v>
        <stp/>
        <stp>##V3_BDHV12</stp>
        <stp>CL1 Comdty</stp>
        <stp>RSI_30D</stp>
        <stp>19/08/2016</stp>
        <stp>19/08/2016</stp>
        <stp>[Bbg_Market_Data_CL.xlsm]data!R160C14</stp>
        <tr r="N160" s="1"/>
      </tp>
      <tp t="s">
        <v>#N/A Requesting Data...</v>
        <stp/>
        <stp>##V3_BDHV12</stp>
        <stp>CL2 Comdty</stp>
        <stp>RSI_14D</stp>
        <stp>18/08/2015</stp>
        <stp>18/08/2015</stp>
        <stp>[Bbg_Market_Data_CL.xlsm]data!R410C13</stp>
        <tr r="M410" s="1"/>
      </tp>
      <tp t="s">
        <v>#N/A Requesting Data...</v>
        <stp/>
        <stp>##V3_BDHV12</stp>
        <stp>CL1 Comdty</stp>
        <stp>RSI_14D</stp>
        <stp>18/08/2015</stp>
        <stp>18/08/2015</stp>
        <stp>[Bbg_Market_Data_CL.xlsm]data!R410C13</stp>
        <tr r="M410" s="1"/>
      </tp>
      <tp t="s">
        <v>#N/A Requesting Data...</v>
        <stp/>
        <stp>##V3_BDHV12</stp>
        <stp>CL2 Comdty</stp>
        <stp>PX_LAST</stp>
        <stp>01/02/2016</stp>
        <stp>01/02/2016</stp>
        <stp>[Bbg_Market_Data_CL.xlsm]data!R298C9</stp>
        <tr r="I298" s="1"/>
      </tp>
      <tp t="s">
        <v>#N/A Requesting Data...</v>
        <stp/>
        <stp>##V3_BDHV12</stp>
        <stp>CL1 Comdty</stp>
        <stp>PX_LAST</stp>
        <stp>02/11/2016</stp>
        <stp>02/11/2016</stp>
        <stp>[Bbg_Market_Data_CL.xlsm]data!R109C9</stp>
        <tr r="I109" s="1"/>
      </tp>
      <tp>
        <v>46.51</v>
        <stp/>
        <stp>##V3_BDHV12</stp>
        <stp>CL1 Comdty</stp>
        <stp>PX_HIGH</stp>
        <stp>12/09/2016</stp>
        <stp>12/09/2016</stp>
        <stp>[Bbg_Market_Data_CL.xlsm]data!R145C6</stp>
        <tr r="F145" s="1"/>
        <tr r="F145" s="1"/>
      </tp>
      <tp>
        <v>46.48</v>
        <stp/>
        <stp>##V3_BDHV12</stp>
        <stp>CL1 Comdty</stp>
        <stp>PX_HIGH</stp>
        <stp>22/09/2015</stp>
        <stp>22/09/2015</stp>
        <stp>[Bbg_Market_Data_CL.xlsm]data!R386C6</stp>
        <tr r="F386" s="1"/>
        <tr r="F386" s="1"/>
      </tp>
      <tp t="s">
        <v>#N/A Requesting Data...</v>
        <stp/>
        <stp>##V3_BDHV12</stp>
        <stp>CL1 Comdty</stp>
        <stp>PX_LAST</stp>
        <stp>30/12/2015</stp>
        <stp>30/12/2015</stp>
        <stp>[Bbg_Market_Data_CL.xlsm]data!R319C9</stp>
        <tr r="I319" s="1"/>
      </tp>
      <tp t="s">
        <v>#N/A Requesting Data...</v>
        <stp/>
        <stp>##V3_BDHV12</stp>
        <stp>CL2 Comdty</stp>
        <stp>PX_LAST</stp>
        <stp>01/03/2016</stp>
        <stp>01/03/2016</stp>
        <stp>[Bbg_Market_Data_CL.xlsm]data!R279C9</stp>
        <tr r="I279" s="1"/>
      </tp>
      <tp t="s">
        <v>#N/A Requesting Data...</v>
        <stp/>
        <stp>##V3_BDHV12</stp>
        <stp>CL1 Comdty</stp>
        <stp>PX_LAST</stp>
        <stp>18/08/2015</stp>
        <stp>18/08/2015</stp>
        <stp>[Bbg_Market_Data_CL.xlsm]data!R410C9</stp>
        <tr r="I410" s="1"/>
      </tp>
      <tp t="s">
        <v>#N/A Requesting Data...</v>
        <stp/>
        <stp>##V3_BDHV12</stp>
        <stp>CL1 Comdty</stp>
        <stp>PX_LAST</stp>
        <stp>29/09/2016</stp>
        <stp>29/09/2016</stp>
        <stp>[Bbg_Market_Data_CL.xlsm]data!R132C9</stp>
        <tr r="I132" s="1"/>
      </tp>
      <tp t="s">
        <v>#N/A Requesting Data...</v>
        <stp/>
        <stp>##V3_BDHV12</stp>
        <stp>CL2 Comdty</stp>
        <stp>PX_LAST</stp>
        <stp>12/02/2016</stp>
        <stp>12/02/2016</stp>
        <stp>[Bbg_Market_Data_CL.xlsm]data!R289C9</stp>
        <tr r="I289" s="1"/>
      </tp>
      <tp t="s">
        <v>#N/A Requesting Data...</v>
        <stp/>
        <stp>##V3_BDHV12</stp>
        <stp>CL1 Comdty</stp>
        <stp>PX_LAST</stp>
        <stp>02/10/2015</stp>
        <stp>02/10/2015</stp>
        <stp>[Bbg_Market_Data_CL.xlsm]data!R378C9</stp>
        <tr r="I378" s="1"/>
      </tp>
      <tp t="s">
        <v>#N/A Requesting Data...</v>
        <stp/>
        <stp>##V3_BDHV12</stp>
        <stp>CL2 Comdty</stp>
        <stp>PX_LAST</stp>
        <stp>29/09/2015</stp>
        <stp>29/09/2015</stp>
        <stp>[Bbg_Market_Data_CL.xlsm]data!R381C9</stp>
        <tr r="I381" s="1"/>
      </tp>
      <tp>
        <v>41.4</v>
        <stp/>
        <stp>##V3_BDHV12</stp>
        <stp>CL1 Comdty</stp>
        <stp>PX_HIGH</stp>
        <stp>21/08/2015</stp>
        <stp>21/08/2015</stp>
        <stp>[Bbg_Market_Data_CL.xlsm]data!R407C6</stp>
        <tr r="F407" s="1"/>
        <tr r="F407" s="1"/>
      </tp>
      <tp>
        <v>43.87</v>
        <stp/>
        <stp>##V3_BDHV12</stp>
        <stp>CL1 Comdty</stp>
        <stp>PX_HIGH</stp>
        <stp>12/08/2015</stp>
        <stp>12/08/2015</stp>
        <stp>[Bbg_Market_Data_CL.xlsm]data!R414C6</stp>
        <tr r="F414" s="1"/>
        <tr r="F414" s="1"/>
      </tp>
      <tp>
        <v>46.55</v>
        <stp/>
        <stp>##V3_BDHV12</stp>
        <stp>CL1 Comdty</stp>
        <stp>PX_HIGH</stp>
        <stp>23/09/2016</stp>
        <stp>23/09/2016</stp>
        <stp>[Bbg_Market_Data_CL.xlsm]data!R136C6</stp>
        <tr r="F136" s="1"/>
        <tr r="F136" s="1"/>
      </tp>
      <tp t="s">
        <v>#N/A Requesting Data...</v>
        <stp/>
        <stp>##V3_BDHV12</stp>
        <stp>CL2 Comdty</stp>
        <stp>PX_LAST</stp>
        <stp>01/12/2015</stp>
        <stp>01/12/2015</stp>
        <stp>[Bbg_Market_Data_CL.xlsm]data!R339C9</stp>
        <tr r="I339" s="1"/>
      </tp>
      <tp t="s">
        <v>#N/A Requesting Data...</v>
        <stp/>
        <stp>##V3_BDHV12</stp>
        <stp>CL1 Comdty</stp>
        <stp>PX_LAST</stp>
        <stp>30/03/2016</stp>
        <stp>30/03/2016</stp>
        <stp>[Bbg_Market_Data_CL.xlsm]data!R259C9</stp>
        <tr r="I259" s="1"/>
      </tp>
      <tp t="s">
        <v>#N/A Requesting Data...</v>
        <stp/>
        <stp>##V3_BDHV12</stp>
        <stp>CL1 Comdty</stp>
        <stp>PX_LAST</stp>
        <stp>28/09/2015</stp>
        <stp>28/09/2015</stp>
        <stp>[Bbg_Market_Data_CL.xlsm]data!R382C9</stp>
        <tr r="I382" s="1"/>
      </tp>
      <tp t="s">
        <v>#N/A Requesting Data...</v>
        <stp/>
        <stp>##V3_BDHV12</stp>
        <stp>CL1 Comdty</stp>
        <stp>PX_LAST</stp>
        <stp>19/08/2016</stp>
        <stp>19/08/2016</stp>
        <stp>[Bbg_Market_Data_CL.xlsm]data!R160C9</stp>
        <tr r="I160" s="1"/>
      </tp>
      <tp>
        <v>47.74</v>
        <stp/>
        <stp>##V3_BDHV12</stp>
        <stp>CL1 Comdty</stp>
        <stp>PX_HIGH</stp>
        <stp>24/08/2016</stp>
        <stp>24/08/2016</stp>
        <stp>[Bbg_Market_Data_CL.xlsm]data!R157C6</stp>
        <tr r="F157" s="1"/>
        <tr r="F157" s="1"/>
      </tp>
      <tp t="s">
        <v>#N/A Requesting Data...</v>
        <stp/>
        <stp>##V3_BDHV12</stp>
        <stp>CL2 Comdty</stp>
        <stp>PX_LAST</stp>
        <stp>16/12/2015</stp>
        <stp>16/12/2015</stp>
        <stp>[Bbg_Market_Data_CL.xlsm]data!R328C9</stp>
        <tr r="I328" s="1"/>
      </tp>
      <tp t="s">
        <v>#N/A Requesting Data...</v>
        <stp/>
        <stp>##V3_BDHV12</stp>
        <stp>CL1 Comdty</stp>
        <stp>PX_LAST</stp>
        <stp>05/10/2016</stp>
        <stp>05/10/2016</stp>
        <stp>[Bbg_Market_Data_CL.xlsm]data!R128C9</stp>
        <tr r="I128" s="1"/>
      </tp>
      <tp>
        <v>45.93</v>
        <stp/>
        <stp>##V3_BDHV12</stp>
        <stp>CL1 Comdty</stp>
        <stp>PX_HIGH</stp>
        <stp>15/08/2016</stp>
        <stp>15/08/2016</stp>
        <stp>[Bbg_Market_Data_CL.xlsm]data!R164C6</stp>
        <tr r="F164" s="1"/>
        <tr r="F164" s="1"/>
      </tp>
      <tp t="s">
        <v>#N/A Requesting Data...</v>
        <stp/>
        <stp>##V3_BDHV12</stp>
        <stp>CL2 Comdty</stp>
        <stp>PX_LAST</stp>
        <stp>16/03/2016</stp>
        <stp>16/03/2016</stp>
        <stp>[Bbg_Market_Data_CL.xlsm]data!R268C9</stp>
        <tr r="I268" s="1"/>
      </tp>
      <tp t="s">
        <v>#N/A Requesting Data...</v>
        <stp/>
        <stp>##V3_BDHV12</stp>
        <stp>CL1 Comdty</stp>
        <stp>PX_LAST</stp>
        <stp>16/10/2015</stp>
        <stp>16/10/2015</stp>
        <stp>[Bbg_Market_Data_CL.xlsm]data!R369C9</stp>
        <tr r="I369" s="1"/>
      </tp>
      <tp t="s">
        <v>#N/A Requesting Data...</v>
        <stp/>
        <stp>##V3_BDHV12</stp>
        <stp>CL1 Comdty</stp>
        <stp>PX_LAST</stp>
        <stp>14/01/2016</stp>
        <stp>14/01/2016</stp>
        <stp>[Bbg_Market_Data_CL.xlsm]data!R309C9</stp>
        <tr r="I309" s="1"/>
      </tp>
      <tp t="s">
        <v>#N/A Requesting Data...</v>
        <stp/>
        <stp>##V3_BDHV12</stp>
        <stp>CL1 Comdty</stp>
        <stp>PX_LAST</stp>
        <stp>17/11/2015</stp>
        <stp>17/11/2015</stp>
        <stp>[Bbg_Market_Data_CL.xlsm]data!R348C9</stp>
        <tr r="I348" s="1"/>
      </tp>
      <tp t="s">
        <v>#N/A Requesting Data...</v>
        <stp/>
        <stp>##V3_BDHV12</stp>
        <stp>CL1 Comdty</stp>
        <stp>PX_LAST</stp>
        <stp>01/09/2015</stp>
        <stp>01/09/2015</stp>
        <stp>[Bbg_Market_Data_CL.xlsm]data!R400C9</stp>
        <tr r="I400" s="1"/>
      </tp>
      <tp t="s">
        <v>#N/A Requesting Data...</v>
        <stp/>
        <stp>##V3_BDHV12</stp>
        <stp>CL1 Comdty</stp>
        <stp>PX_LAST</stp>
        <stp>03/08/2016</stp>
        <stp>03/08/2016</stp>
        <stp>[Bbg_Market_Data_CL.xlsm]data!R171C9</stp>
        <tr r="I171" s="1"/>
      </tp>
      <tp t="s">
        <v>#N/A Requesting Data...</v>
        <stp/>
        <stp>##V3_BDHV12</stp>
        <stp>CL1 Comdty</stp>
        <stp>PX_LAST</stp>
        <stp>02/09/2016</stp>
        <stp>02/09/2016</stp>
        <stp>[Bbg_Market_Data_CL.xlsm]data!R150C9</stp>
        <tr r="I150" s="1"/>
      </tp>
      <tp>
        <v>53.79</v>
        <stp/>
        <stp>##V3_BDHV12</stp>
        <stp>CL1 Comdty</stp>
        <stp>PX_HIGH</stp>
        <stp>14/04/2015</stp>
        <stp>14/04/2015</stp>
        <stp>[Bbg_Market_Data_CL.xlsm]data!R498C6</stp>
        <tr r="F498" s="1"/>
        <tr r="F498" s="1"/>
      </tp>
      <tp t="s">
        <v>#N/A Requesting Data...</v>
        <stp/>
        <stp>##V3_BDHV12</stp>
        <stp>CL1 Comdty</stp>
        <stp>PX_LAST</stp>
        <stp>31/08/2016</stp>
        <stp>31/08/2016</stp>
        <stp>[Bbg_Market_Data_CL.xlsm]data!R152C9</stp>
        <tr r="I152" s="1"/>
      </tp>
      <tp t="s">
        <v>#N/A Requesting Data...</v>
        <stp/>
        <stp>##V3_BDHV12</stp>
        <stp>CL2 Comdty</stp>
        <stp>PX_LAST</stp>
        <stp>02/08/2016</stp>
        <stp>02/08/2016</stp>
        <stp>[Bbg_Market_Data_CL.xlsm]data!R172C9</stp>
        <tr r="I172" s="1"/>
      </tp>
      <tp t="s">
        <v>#N/A Requesting Data...</v>
        <stp/>
        <stp>##V3_BDHV12</stp>
        <stp>CL2 Comdty</stp>
        <stp>PX_LAST</stp>
        <stp>29/01/2016</stp>
        <stp>29/01/2016</stp>
        <stp>[Bbg_Market_Data_CL.xlsm]data!R299C9</stp>
        <tr r="I299" s="1"/>
      </tp>
      <tp>
        <v>42.16</v>
        <stp/>
        <stp>##V3_BDHV12</stp>
        <stp>CL1 Comdty</stp>
        <stp>PX_HIGH</stp>
        <stp>14/04/2016</stp>
        <stp>14/04/2016</stp>
        <stp>[Bbg_Market_Data_CL.xlsm]data!R248C6</stp>
        <tr r="F248" s="1"/>
        <tr r="F248" s="1"/>
      </tp>
      <tp t="s">
        <v>#N/A Requesting Data...</v>
        <stp/>
        <stp>##V3_BDHV12</stp>
        <stp>CL2 Comdty</stp>
        <stp>PX_LAST</stp>
        <stp>13/08/2015</stp>
        <stp>13/08/2015</stp>
        <stp>[Bbg_Market_Data_CL.xlsm]data!R413C9</stp>
        <tr r="I413" s="1"/>
      </tp>
      <tp t="s">
        <v>#N/A Requesting Data...</v>
        <stp/>
        <stp>##V3_BDHV12</stp>
        <stp>CL2 Comdty</stp>
        <stp>PX_LAST</stp>
        <stp>31/08/2015</stp>
        <stp>31/08/2015</stp>
        <stp>[Bbg_Market_Data_CL.xlsm]data!R401C9</stp>
        <tr r="I401" s="1"/>
      </tp>
      <tp t="s">
        <v>#N/A Requesting Data...</v>
        <stp/>
        <stp>##V3_BDHV12</stp>
        <stp>CL2 Comdty</stp>
        <stp>PX_LAST</stp>
        <stp>30/09/2015</stp>
        <stp>30/09/2015</stp>
        <stp>[Bbg_Market_Data_CL.xlsm]data!R380C9</stp>
        <tr r="I380" s="1"/>
      </tp>
      <tp>
        <v>44.37</v>
        <stp/>
        <stp>##V3_BDHV12</stp>
        <stp>CL1 Comdty</stp>
        <stp>PX_HIGH</stp>
        <stp>25/07/2016</stp>
        <stp>25/07/2016</stp>
        <stp>[Bbg_Market_Data_CL.xlsm]data!R178C6</stp>
        <tr r="F178" s="1"/>
        <tr r="F178" s="1"/>
      </tp>
      <tp t="s">
        <v>#N/A Requesting Data...</v>
        <stp/>
        <stp>##V3_BDHV12</stp>
        <stp>CL1 Comdty</stp>
        <stp>PX_LAST</stp>
        <stp>03/08/2015</stp>
        <stp>03/08/2015</stp>
        <stp>[Bbg_Market_Data_CL.xlsm]data!R421C9</stp>
        <tr r="I421" s="1"/>
      </tp>
      <tp t="s">
        <v>#N/A Requesting Data...</v>
        <stp/>
        <stp>##V3_BDHV12</stp>
        <stp>CL1 Comdty</stp>
        <stp>PX_LAST</stp>
        <stp>19/10/2016</stp>
        <stp>19/10/2016</stp>
        <stp>[Bbg_Market_Data_CL.xlsm]data!R119C9</stp>
        <tr r="I119" s="1"/>
      </tp>
      <tp>
        <v>50.23</v>
        <stp/>
        <stp>##V3_BDHV12</stp>
        <stp>CL1 Comdty</stp>
        <stp>PX_HIGH</stp>
        <stp>23/06/2016</stp>
        <stp>23/06/2016</stp>
        <stp>[Bbg_Market_Data_CL.xlsm]data!R199C6</stp>
        <tr r="F199" s="1"/>
        <tr r="F199" s="1"/>
      </tp>
      <tp t="s">
        <v>#N/A Requesting Data...</v>
        <stp/>
        <stp>##V3_BDHV12</stp>
        <stp>CL2 Comdty</stp>
        <stp>PX_LAST</stp>
        <stp>14/09/2015</stp>
        <stp>14/09/2015</stp>
        <stp>[Bbg_Market_Data_CL.xlsm]data!R392C9</stp>
        <tr r="I392" s="1"/>
      </tp>
      <tp t="s">
        <v>#N/A Requesting Data...</v>
        <stp/>
        <stp>##V3_BDHV12</stp>
        <stp>CL2 Comdty</stp>
        <stp>PX_LAST</stp>
        <stp>16/08/2016</stp>
        <stp>16/08/2016</stp>
        <stp>[Bbg_Market_Data_CL.xlsm]data!R163C9</stp>
        <tr r="I163" s="1"/>
      </tp>
      <tp>
        <v>59.85</v>
        <stp/>
        <stp>##V3_BDHV12</stp>
        <stp>CL1 Comdty</stp>
        <stp>PX_HIGH</stp>
        <stp>11/05/2015</stp>
        <stp>11/05/2015</stp>
        <stp>[Bbg_Market_Data_CL.xlsm]data!R479C6</stp>
        <tr r="F479" s="1"/>
        <tr r="F479" s="1"/>
      </tp>
      <tp t="s">
        <v>#N/A Requesting Data...</v>
        <stp/>
        <stp>##V3_BDHV12</stp>
        <stp>CL1 Comdty</stp>
        <stp>PX_LAST</stp>
        <stp>15/09/2015</stp>
        <stp>15/09/2015</stp>
        <stp>[Bbg_Market_Data_CL.xlsm]data!R391C9</stp>
        <tr r="I391" s="1"/>
      </tp>
      <tp t="s">
        <v>#N/A Requesting Data...</v>
        <stp/>
        <stp>##V3_BDHV12</stp>
        <stp>CL1 Comdty</stp>
        <stp>PX_LAST</stp>
        <stp>16/09/2016</stp>
        <stp>16/09/2016</stp>
        <stp>[Bbg_Market_Data_CL.xlsm]data!R141C9</stp>
        <tr r="I141" s="1"/>
      </tp>
      <tp t="s">
        <v>#N/A Requesting Data...</v>
        <stp/>
        <stp>##V3_BDHV12</stp>
        <stp>CL1 Comdty</stp>
        <stp>PX_LAST</stp>
        <stp>27/08/2015</stp>
        <stp>27/08/2015</stp>
        <stp>[Bbg_Market_Data_CL.xlsm]data!R403C9</stp>
        <tr r="I403" s="1"/>
      </tp>
      <tp>
        <v>49.63</v>
        <stp/>
        <stp>##V3_BDHV12</stp>
        <stp>CL1 Comdty</stp>
        <stp>PX_HIGH</stp>
        <stp>23/07/2015</stp>
        <stp>23/07/2015</stp>
        <stp>[Bbg_Market_Data_CL.xlsm]data!R428C6</stp>
        <tr r="F428" s="1"/>
        <tr r="F428" s="1"/>
      </tp>
      <tp>
        <v>46.36</v>
        <stp/>
        <stp>##V3_BDHV12</stp>
        <stp>CL1 Comdty</stp>
        <stp>PX_HIGH</stp>
        <stp>11/05/2016</stp>
        <stp>11/05/2016</stp>
        <stp>[Bbg_Market_Data_CL.xlsm]data!R229C6</stp>
        <tr r="F229" s="1"/>
        <tr r="F229" s="1"/>
      </tp>
      <tp t="s">
        <v>#N/A Requesting Data...</v>
        <stp/>
        <stp>##V3_BDHV12</stp>
        <stp>CL2 Comdty</stp>
        <stp>PX_LAST</stp>
        <stp>15/09/2016</stp>
        <stp>15/09/2016</stp>
        <stp>[Bbg_Market_Data_CL.xlsm]data!R142C9</stp>
        <tr r="I142" s="1"/>
      </tp>
      <tp>
        <v>61.49</v>
        <stp/>
        <stp>##V3_BDHV12</stp>
        <stp>CL1 Comdty</stp>
        <stp>PX_HIGH</stp>
        <stp>23/06/2015</stp>
        <stp>23/06/2015</stp>
        <stp>[Bbg_Market_Data_CL.xlsm]data!R449C6</stp>
        <tr r="F449" s="1"/>
        <tr r="F449" s="1"/>
      </tp>
      <tp>
        <v>33.9</v>
        <stp/>
        <stp>##V3_BDHV12</stp>
        <stp>CL1 Comdty</stp>
        <stp>PX_OPEN</stp>
        <stp>01/03/2016</stp>
        <stp>01/03/2016</stp>
        <stp>[Bbg_Market_Data_CL.xlsm]data!R279C5</stp>
        <tr r="E279" s="1"/>
        <tr r="E279" s="1"/>
      </tp>
      <tp>
        <v>33.83</v>
        <stp/>
        <stp>##V3_BDHV12</stp>
        <stp>CL1 Comdty</stp>
        <stp>PX_OPEN</stp>
        <stp>01/02/2016</stp>
        <stp>01/02/2016</stp>
        <stp>[Bbg_Market_Data_CL.xlsm]data!R298C5</stp>
        <tr r="E298" s="1"/>
        <tr r="E298" s="1"/>
      </tp>
      <tp>
        <v>41.73</v>
        <stp/>
        <stp>##V3_BDHV12</stp>
        <stp>CL1 Comdty</stp>
        <stp>PX_OPEN</stp>
        <stp>01/12/2015</stp>
        <stp>01/12/2015</stp>
        <stp>[Bbg_Market_Data_CL.xlsm]data!R339C5</stp>
        <tr r="E339" s="1"/>
        <tr r="E339" s="1"/>
      </tp>
      <tp>
        <v>44.5</v>
        <stp/>
        <stp>##V3_BDHV12</stp>
        <stp>CL1 Comdty</stp>
        <stp>PX_OPEN</stp>
        <stp>29/09/2015</stp>
        <stp>29/09/2015</stp>
        <stp>[Bbg_Market_Data_CL.xlsm]data!R381C5</stp>
        <tr r="E381" s="1"/>
        <tr r="E381" s="1"/>
      </tp>
      <tp>
        <v>27.3</v>
        <stp/>
        <stp>##V3_BDHV12</stp>
        <stp>CL1 Comdty</stp>
        <stp>PX_OPEN</stp>
        <stp>12/02/2016</stp>
        <stp>12/02/2016</stp>
        <stp>[Bbg_Market_Data_CL.xlsm]data!R289C5</stp>
        <tr r="E289" s="1"/>
        <tr r="E289" s="1"/>
      </tp>
      <tp>
        <v>36.79</v>
        <stp/>
        <stp>##V3_BDHV12</stp>
        <stp>CL1 Comdty</stp>
        <stp>PX_OPEN</stp>
        <stp>16/12/2015</stp>
        <stp>16/12/2015</stp>
        <stp>[Bbg_Market_Data_CL.xlsm]data!R328C5</stp>
        <tr r="E328" s="1"/>
        <tr r="E328" s="1"/>
      </tp>
      <tp>
        <v>36.74</v>
        <stp/>
        <stp>##V3_BDHV12</stp>
        <stp>CL1 Comdty</stp>
        <stp>PX_OPEN</stp>
        <stp>16/03/2016</stp>
        <stp>16/03/2016</stp>
        <stp>[Bbg_Market_Data_CL.xlsm]data!R268C5</stp>
        <tr r="E268" s="1"/>
        <tr r="E268" s="1"/>
      </tp>
      <tp>
        <v>33.700000000000003</v>
        <stp/>
        <stp>##V3_BDHV12</stp>
        <stp>CL1 Comdty</stp>
        <stp>PX_OPEN</stp>
        <stp>29/01/2016</stp>
        <stp>29/01/2016</stp>
        <stp>[Bbg_Market_Data_CL.xlsm]data!R299C5</stp>
        <tr r="E299" s="1"/>
        <tr r="E299" s="1"/>
      </tp>
      <tp>
        <v>40.08</v>
        <stp/>
        <stp>##V3_BDHV12</stp>
        <stp>CL1 Comdty</stp>
        <stp>PX_OPEN</stp>
        <stp>02/08/2016</stp>
        <stp>02/08/2016</stp>
        <stp>[Bbg_Market_Data_CL.xlsm]data!R172C5</stp>
        <tr r="E172" s="1"/>
        <tr r="E172" s="1"/>
      </tp>
      <tp>
        <v>45</v>
        <stp/>
        <stp>##V3_BDHV12</stp>
        <stp>CL1 Comdty</stp>
        <stp>PX_OPEN</stp>
        <stp>31/08/2015</stp>
        <stp>31/08/2015</stp>
        <stp>[Bbg_Market_Data_CL.xlsm]data!R401C5</stp>
        <tr r="E401" s="1"/>
        <tr r="E401" s="1"/>
      </tp>
      <tp>
        <v>43.34</v>
        <stp/>
        <stp>##V3_BDHV12</stp>
        <stp>CL1 Comdty</stp>
        <stp>PX_OPEN</stp>
        <stp>13/08/2015</stp>
        <stp>13/08/2015</stp>
        <stp>[Bbg_Market_Data_CL.xlsm]data!R413C5</stp>
        <tr r="E413" s="1"/>
        <tr r="E413" s="1"/>
      </tp>
      <tp>
        <v>44.92</v>
        <stp/>
        <stp>##V3_BDHV12</stp>
        <stp>CL1 Comdty</stp>
        <stp>PX_OPEN</stp>
        <stp>30/09/2015</stp>
        <stp>30/09/2015</stp>
        <stp>[Bbg_Market_Data_CL.xlsm]data!R380C5</stp>
        <tr r="E380" s="1"/>
        <tr r="E380" s="1"/>
      </tp>
      <tp>
        <v>45.59</v>
        <stp/>
        <stp>##V3_BDHV12</stp>
        <stp>CL1 Comdty</stp>
        <stp>PX_OPEN</stp>
        <stp>16/08/2016</stp>
        <stp>16/08/2016</stp>
        <stp>[Bbg_Market_Data_CL.xlsm]data!R163C5</stp>
        <tr r="E163" s="1"/>
        <tr r="E163" s="1"/>
      </tp>
      <tp>
        <v>44.78</v>
        <stp/>
        <stp>##V3_BDHV12</stp>
        <stp>CL1 Comdty</stp>
        <stp>PX_OPEN</stp>
        <stp>14/09/2015</stp>
        <stp>14/09/2015</stp>
        <stp>[Bbg_Market_Data_CL.xlsm]data!R392C5</stp>
        <tr r="E392" s="1"/>
        <tr r="E392" s="1"/>
      </tp>
      <tp>
        <v>43.7</v>
        <stp/>
        <stp>##V3_BDHV12</stp>
        <stp>CL1 Comdty</stp>
        <stp>PX_OPEN</stp>
        <stp>15/09/2016</stp>
        <stp>15/09/2016</stp>
        <stp>[Bbg_Market_Data_CL.xlsm]data!R142C5</stp>
        <tr r="E142" s="1"/>
        <tr r="E142" s="1"/>
      </tp>
      <tp t="s">
        <v>#N/A Requesting Data...</v>
        <stp/>
        <stp>##V3_BDHV12</stp>
        <stp>CL2 Comdty</stp>
        <stp>RSI_30D</stp>
        <stp>22/04/2015</stp>
        <stp>22/04/2015</stp>
        <stp>[Bbg_Market_Data_CL.xlsm]data!R492C14</stp>
        <tr r="N492" s="1"/>
      </tp>
      <tp t="s">
        <v>#N/A Requesting Data...</v>
        <stp/>
        <stp>##V3_BDHV12</stp>
        <stp>CL1 Comdty</stp>
        <stp>RSI_30D</stp>
        <stp>22/04/2015</stp>
        <stp>22/04/2015</stp>
        <stp>[Bbg_Market_Data_CL.xlsm]data!R492C14</stp>
        <tr r="N492" s="1"/>
      </tp>
      <tp t="s">
        <v>#N/A Requesting Data...</v>
        <stp/>
        <stp>##V3_BDHV12</stp>
        <stp>CL2 Comdty</stp>
        <stp>RSI_14D</stp>
        <stp>30/06/2016</stp>
        <stp>30/06/2016</stp>
        <stp>[Bbg_Market_Data_CL.xlsm]data!R194C13</stp>
        <tr r="M194" s="1"/>
      </tp>
      <tp t="s">
        <v>#N/A Requesting Data...</v>
        <stp/>
        <stp>##V3_BDHV12</stp>
        <stp>CL1 Comdty</stp>
        <stp>RSI_14D</stp>
        <stp>30/06/2016</stp>
        <stp>30/06/2016</stp>
        <stp>[Bbg_Market_Data_CL.xlsm]data!R194C13</stp>
        <tr r="M194" s="1"/>
      </tp>
      <tp t="s">
        <v>#N/A Requesting Data...</v>
        <stp/>
        <stp>##V3_BDHV12</stp>
        <stp>CL2 Comdty</stp>
        <stp>RSI_14D</stp>
        <stp>20/07/2016</stp>
        <stp>20/07/2016</stp>
        <stp>[Bbg_Market_Data_CL.xlsm]data!R181C13</stp>
        <tr r="M181" s="1"/>
      </tp>
      <tp t="s">
        <v>#N/A Requesting Data...</v>
        <stp/>
        <stp>##V3_BDHV12</stp>
        <stp>CL1 Comdty</stp>
        <stp>RSI_14D</stp>
        <stp>20/07/2016</stp>
        <stp>20/07/2016</stp>
        <stp>[Bbg_Market_Data_CL.xlsm]data!R181C13</stp>
        <tr r="M181" s="1"/>
      </tp>
      <tp t="s">
        <v>#N/A Requesting Data...</v>
        <stp/>
        <stp>##V3_BDHV12</stp>
        <stp>CL2 Comdty</stp>
        <stp>RSI_30D</stp>
        <stp>06/01/2016</stp>
        <stp>06/01/2016</stp>
        <stp>[Bbg_Market_Data_CL.xlsm]data!R315C14</stp>
        <tr r="N315" s="1"/>
      </tp>
      <tp t="s">
        <v>#N/A Requesting Data...</v>
        <stp/>
        <stp>##V3_BDHV12</stp>
        <stp>CL1 Comdty</stp>
        <stp>RSI_30D</stp>
        <stp>06/01/2016</stp>
        <stp>06/01/2016</stp>
        <stp>[Bbg_Market_Data_CL.xlsm]data!R315C14</stp>
        <tr r="N315" s="1"/>
      </tp>
      <tp t="s">
        <v>#N/A Requesting Data...</v>
        <stp/>
        <stp>##V3_BDHV12</stp>
        <stp>CL2 Comdty</stp>
        <stp>RSI_30D</stp>
        <stp>05/11/2015</stp>
        <stp>05/11/2015</stp>
        <stp>[Bbg_Market_Data_CL.xlsm]data!R355C14</stp>
        <tr r="N355" s="1"/>
      </tp>
      <tp t="s">
        <v>#N/A Requesting Data...</v>
        <stp/>
        <stp>##V3_BDHV12</stp>
        <stp>CL1 Comdty</stp>
        <stp>RSI_30D</stp>
        <stp>05/11/2015</stp>
        <stp>05/11/2015</stp>
        <stp>[Bbg_Market_Data_CL.xlsm]data!R355C14</stp>
        <tr r="N355" s="1"/>
      </tp>
      <tp t="s">
        <v>#N/A Requesting Data...</v>
        <stp/>
        <stp>##V3_BDHV12</stp>
        <stp>CL2 Comdty</stp>
        <stp>RSI_14D</stp>
        <stp>03/06/2016</stp>
        <stp>03/06/2016</stp>
        <stp>[Bbg_Market_Data_CL.xlsm]data!R213C13</stp>
        <tr r="M213" s="1"/>
      </tp>
      <tp t="s">
        <v>#N/A Requesting Data...</v>
        <stp/>
        <stp>##V3_BDHV12</stp>
        <stp>CL1 Comdty</stp>
        <stp>RSI_14D</stp>
        <stp>03/06/2016</stp>
        <stp>03/06/2016</stp>
        <stp>[Bbg_Market_Data_CL.xlsm]data!R213C13</stp>
        <tr r="M213" s="1"/>
      </tp>
      <tp t="s">
        <v>#N/A Requesting Data...</v>
        <stp/>
        <stp>##V3_BDHV12</stp>
        <stp>CL1 Comdty</stp>
        <stp>RSI_30D</stp>
        <stp>02/06/2015</stp>
        <stp>02/06/2015</stp>
        <stp>[Bbg_Market_Data_CL.xlsm]data!R464C14</stp>
        <tr r="N464" s="1"/>
      </tp>
      <tp t="s">
        <v>#N/A Requesting Data...</v>
        <stp/>
        <stp>##V3_BDHV12</stp>
        <stp>CL2 Comdty</stp>
        <stp>RSI_30D</stp>
        <stp>15/10/2015</stp>
        <stp>15/10/2015</stp>
        <stp>[Bbg_Market_Data_CL.xlsm]data!R370C14</stp>
        <tr r="N370" s="1"/>
      </tp>
      <tp t="s">
        <v>#N/A Requesting Data...</v>
        <stp/>
        <stp>##V3_BDHV12</stp>
        <stp>CL1 Comdty</stp>
        <stp>RSI_30D</stp>
        <stp>15/10/2015</stp>
        <stp>15/10/2015</stp>
        <stp>[Bbg_Market_Data_CL.xlsm]data!R370C14</stp>
        <tr r="N370" s="1"/>
      </tp>
      <tp t="s">
        <v>#N/A Requesting Data...</v>
        <stp/>
        <stp>##V3_BDHV12</stp>
        <stp>CL2 Comdty</stp>
        <stp>RSI_30D</stp>
        <stp>02/06/2015</stp>
        <stp>02/06/2015</stp>
        <stp>[Bbg_Market_Data_CL.xlsm]data!R464C14</stp>
        <tr r="N464" s="1"/>
      </tp>
      <tp t="s">
        <v>#N/A Requesting Data...</v>
        <stp/>
        <stp>##V3_BDHV12</stp>
        <stp>CL1 Comdty</stp>
        <stp>RSI_30D</stp>
        <stp>25/10/2016</stp>
        <stp>25/10/2016</stp>
        <stp>[Bbg_Market_Data_CL.xlsm]data!R115C14</stp>
        <tr r="N115" s="1"/>
      </tp>
      <tp t="s">
        <v>#N/A Requesting Data...</v>
        <stp/>
        <stp>##V3_BDHV12</stp>
        <stp>CL2 Comdty</stp>
        <stp>RSI_30D</stp>
        <stp>25/10/2016</stp>
        <stp>25/10/2016</stp>
        <stp>[Bbg_Market_Data_CL.xlsm]data!R115C14</stp>
        <tr r="N115" s="1"/>
      </tp>
      <tp t="s">
        <v>#N/A Requesting Data...</v>
        <stp/>
        <stp>##V3_BDHV12</stp>
        <stp>CL1 Comdty</stp>
        <stp>RSI_30D</stp>
        <stp>24/12/2015</stp>
        <stp>24/12/2015</stp>
        <stp>[Bbg_Market_Data_CL.xlsm]data!R322C14</stp>
        <tr r="N322" s="1"/>
      </tp>
      <tp t="s">
        <v>#N/A Requesting Data...</v>
        <stp/>
        <stp>##V3_BDHV12</stp>
        <stp>CL2 Comdty</stp>
        <stp>RSI_30D</stp>
        <stp>24/12/2015</stp>
        <stp>24/12/2015</stp>
        <stp>[Bbg_Market_Data_CL.xlsm]data!R322C14</stp>
        <tr r="N322" s="1"/>
      </tp>
      <tp t="s">
        <v>#N/A Requesting Data...</v>
        <stp/>
        <stp>##V3_BDHV12</stp>
        <stp>CL1 Comdty</stp>
        <stp>RSI_30D</stp>
        <stp>05/02/2016</stp>
        <stp>05/02/2016</stp>
        <stp>[Bbg_Market_Data_CL.xlsm]data!R294C14</stp>
        <tr r="N294" s="1"/>
      </tp>
      <tp t="s">
        <v>#N/A Requesting Data...</v>
        <stp/>
        <stp>##V3_BDHV12</stp>
        <stp>CL2 Comdty</stp>
        <stp>RSI_30D</stp>
        <stp>05/02/2016</stp>
        <stp>05/02/2016</stp>
        <stp>[Bbg_Market_Data_CL.xlsm]data!R294C14</stp>
        <tr r="N294" s="1"/>
      </tp>
      <tp t="s">
        <v>#N/A Requesting Data...</v>
        <stp/>
        <stp>##V3_BDHV12</stp>
        <stp>CL1 Comdty</stp>
        <stp>RSI_30D</stp>
        <stp>30/07/2015</stp>
        <stp>30/07/2015</stp>
        <stp>[Bbg_Market_Data_CL.xlsm]data!R423C14</stp>
        <tr r="N423" s="1"/>
      </tp>
      <tp t="s">
        <v>#N/A Requesting Data...</v>
        <stp/>
        <stp>##V3_BDHV12</stp>
        <stp>CL2 Comdty</stp>
        <stp>RSI_30D</stp>
        <stp>30/07/2015</stp>
        <stp>30/07/2015</stp>
        <stp>[Bbg_Market_Data_CL.xlsm]data!R423C14</stp>
        <tr r="N423" s="1"/>
      </tp>
      <tp t="s">
        <v>#N/A Requesting Data...</v>
        <stp/>
        <stp>##V3_BDHV12</stp>
        <stp>CL1 Comdty</stp>
        <stp>RSI_14D</stp>
        <stp>01/04/2016</stp>
        <stp>01/04/2016</stp>
        <stp>[Bbg_Market_Data_CL.xlsm]data!R257C13</stp>
        <tr r="M257" s="1"/>
      </tp>
      <tp t="s">
        <v>#N/A Requesting Data...</v>
        <stp/>
        <stp>##V3_BDHV12</stp>
        <stp>CL2 Comdty</stp>
        <stp>RSI_14D</stp>
        <stp>01/04/2016</stp>
        <stp>01/04/2016</stp>
        <stp>[Bbg_Market_Data_CL.xlsm]data!R257C13</stp>
        <tr r="M257" s="1"/>
      </tp>
      <tp t="s">
        <v>#N/A Requesting Data...</v>
        <stp/>
        <stp>##V3_BDHV12</stp>
        <stp>CL2 Comdty</stp>
        <stp>RSI_30D</stp>
        <stp>17/12/2015</stp>
        <stp>17/12/2015</stp>
        <stp>[Bbg_Market_Data_CL.xlsm]data!R327C14</stp>
        <tr r="N327" s="1"/>
      </tp>
      <tp t="s">
        <v>#N/A Requesting Data...</v>
        <stp/>
        <stp>##V3_BDHV12</stp>
        <stp>CL1 Comdty</stp>
        <stp>RSI_30D</stp>
        <stp>17/12/2015</stp>
        <stp>17/12/2015</stp>
        <stp>[Bbg_Market_Data_CL.xlsm]data!R327C14</stp>
        <tr r="N327" s="1"/>
      </tp>
      <tp t="s">
        <v>#N/A Requesting Data...</v>
        <stp/>
        <stp>##V3_BDHV12</stp>
        <stp>CL2 Comdty</stp>
        <stp>RSI_14D</stp>
        <stp>11/05/2016</stp>
        <stp>11/05/2016</stp>
        <stp>[Bbg_Market_Data_CL.xlsm]data!R229C13</stp>
        <tr r="M229" s="1"/>
      </tp>
      <tp t="s">
        <v>#N/A Requesting Data...</v>
        <stp/>
        <stp>##V3_BDHV12</stp>
        <stp>CL1 Comdty</stp>
        <stp>RSI_14D</stp>
        <stp>11/05/2016</stp>
        <stp>11/05/2016</stp>
        <stp>[Bbg_Market_Data_CL.xlsm]data!R229C13</stp>
        <tr r="M229" s="1"/>
      </tp>
      <tp t="s">
        <v>#N/A Requesting Data...</v>
        <stp/>
        <stp>##V3_BDHV12</stp>
        <stp>CL1 Comdty</stp>
        <stp>RSI_30D</stp>
        <stp>27/11/2015</stp>
        <stp>27/11/2015</stp>
        <stp>[Bbg_Market_Data_CL.xlsm]data!R341C14</stp>
        <tr r="N341" s="1"/>
      </tp>
      <tp t="s">
        <v>#N/A Requesting Data...</v>
        <stp/>
        <stp>##V3_BDHV12</stp>
        <stp>CL2 Comdty</stp>
        <stp>RSI_30D</stp>
        <stp>27/11/2015</stp>
        <stp>27/11/2015</stp>
        <stp>[Bbg_Market_Data_CL.xlsm]data!R341C14</stp>
        <tr r="N341" s="1"/>
      </tp>
      <tp t="s">
        <v>#N/A Requesting Data...</v>
        <stp/>
        <stp>##V3_BDHV12</stp>
        <stp>CL1 Comdty</stp>
        <stp>RSI_30D</stp>
        <stp>15/03/2016</stp>
        <stp>15/03/2016</stp>
        <stp>[Bbg_Market_Data_CL.xlsm]data!R269C14</stp>
        <tr r="N269" s="1"/>
      </tp>
      <tp t="s">
        <v>#N/A Requesting Data...</v>
        <stp/>
        <stp>##V3_BDHV12</stp>
        <stp>CL2 Comdty</stp>
        <stp>RSI_30D</stp>
        <stp>15/03/2016</stp>
        <stp>15/03/2016</stp>
        <stp>[Bbg_Market_Data_CL.xlsm]data!R269C14</stp>
        <tr r="N269" s="1"/>
      </tp>
      <tp t="s">
        <v>#N/A Requesting Data...</v>
        <stp/>
        <stp>##V3_BDHV12</stp>
        <stp>CL2 Comdty</stp>
        <stp>RSI_14D</stp>
        <stp>21/06/2016</stp>
        <stp>21/06/2016</stp>
        <stp>[Bbg_Market_Data_CL.xlsm]data!R201C13</stp>
        <tr r="M201" s="1"/>
      </tp>
      <tp t="s">
        <v>#N/A Requesting Data...</v>
        <stp/>
        <stp>##V3_BDHV12</stp>
        <stp>CL1 Comdty</stp>
        <stp>RSI_14D</stp>
        <stp>21/06/2016</stp>
        <stp>21/06/2016</stp>
        <stp>[Bbg_Market_Data_CL.xlsm]data!R201C13</stp>
        <tr r="M201" s="1"/>
      </tp>
      <tp t="s">
        <v>#N/A Requesting Data...</v>
        <stp/>
        <stp>##V3_BDHV12</stp>
        <stp>CL2 Comdty</stp>
        <stp>RSI_30D</stp>
        <stp>01/05/2015</stp>
        <stp>01/05/2015</stp>
        <stp>[Bbg_Market_Data_CL.xlsm]data!R485C14</stp>
        <tr r="N485" s="1"/>
      </tp>
      <tp t="s">
        <v>#N/A Requesting Data...</v>
        <stp/>
        <stp>##V3_BDHV12</stp>
        <stp>CL1 Comdty</stp>
        <stp>RSI_30D</stp>
        <stp>01/05/2015</stp>
        <stp>01/05/2015</stp>
        <stp>[Bbg_Market_Data_CL.xlsm]data!R485C14</stp>
        <tr r="N485" s="1"/>
      </tp>
      <tp t="s">
        <v>#N/A Requesting Data...</v>
        <stp/>
        <stp>##V3_BDHV12</stp>
        <stp>CL2 Comdty</stp>
        <stp>RSI_14D</stp>
        <stp>13/07/2016</stp>
        <stp>13/07/2016</stp>
        <stp>[Bbg_Market_Data_CL.xlsm]data!R186C13</stp>
        <tr r="M186" s="1"/>
      </tp>
      <tp t="s">
        <v>#N/A Requesting Data...</v>
        <stp/>
        <stp>##V3_BDHV12</stp>
        <stp>CL1 Comdty</stp>
        <stp>RSI_14D</stp>
        <stp>13/07/2016</stp>
        <stp>13/07/2016</stp>
        <stp>[Bbg_Market_Data_CL.xlsm]data!R186C13</stp>
        <tr r="M186" s="1"/>
      </tp>
      <tp t="s">
        <v>#N/A Requesting Data...</v>
        <stp/>
        <stp>##V3_BDHV12</stp>
        <stp>CL2 Comdty</stp>
        <stp>RSI_30D</stp>
        <stp>21/07/2015</stp>
        <stp>21/07/2015</stp>
        <stp>[Bbg_Market_Data_CL.xlsm]data!R430C14</stp>
        <tr r="N430" s="1"/>
      </tp>
      <tp t="s">
        <v>#N/A Requesting Data...</v>
        <stp/>
        <stp>##V3_BDHV12</stp>
        <stp>CL1 Comdty</stp>
        <stp>RSI_30D</stp>
        <stp>07/10/2016</stp>
        <stp>07/10/2016</stp>
        <stp>[Bbg_Market_Data_CL.xlsm]data!R126C14</stp>
        <tr r="N126" s="1"/>
      </tp>
      <tp t="s">
        <v>#N/A Requesting Data...</v>
        <stp/>
        <stp>##V3_BDHV12</stp>
        <stp>CL2 Comdty</stp>
        <stp>RSI_30D</stp>
        <stp>07/10/2016</stp>
        <stp>07/10/2016</stp>
        <stp>[Bbg_Market_Data_CL.xlsm]data!R126C14</stp>
        <tr r="N126" s="1"/>
      </tp>
      <tp t="s">
        <v>#N/A Requesting Data...</v>
        <stp/>
        <stp>##V3_BDHV12</stp>
        <stp>CL1 Comdty</stp>
        <stp>RSI_30D</stp>
        <stp>21/07/2015</stp>
        <stp>21/07/2015</stp>
        <stp>[Bbg_Market_Data_CL.xlsm]data!R430C14</stp>
        <tr r="N430" s="1"/>
      </tp>
      <tp t="s">
        <v>#N/A Requesting Data...</v>
        <stp/>
        <stp>##V3_BDHV12</stp>
        <stp>CL2 Comdty</stp>
        <stp>RSI_30D</stp>
        <stp>04/03/2016</stp>
        <stp>04/03/2016</stp>
        <stp>[Bbg_Market_Data_CL.xlsm]data!R276C14</stp>
        <tr r="N276" s="1"/>
      </tp>
      <tp t="s">
        <v>#N/A Requesting Data...</v>
        <stp/>
        <stp>##V3_BDHV12</stp>
        <stp>CL1 Comdty</stp>
        <stp>RSI_30D</stp>
        <stp>04/03/2016</stp>
        <stp>04/03/2016</stp>
        <stp>[Bbg_Market_Data_CL.xlsm]data!R276C14</stp>
        <tr r="N276" s="1"/>
      </tp>
      <tp t="s">
        <v>#N/A Requesting Data...</v>
        <stp/>
        <stp>##V3_BDHV12</stp>
        <stp>CL2 Comdty</stp>
        <stp>RSI_30D</stp>
        <stp>26/10/2015</stp>
        <stp>26/10/2015</stp>
        <stp>[Bbg_Market_Data_CL.xlsm]data!R363C14</stp>
        <tr r="N363" s="1"/>
      </tp>
      <tp t="s">
        <v>#N/A Requesting Data...</v>
        <stp/>
        <stp>##V3_BDHV12</stp>
        <stp>CL1 Comdty</stp>
        <stp>RSI_30D</stp>
        <stp>26/10/2015</stp>
        <stp>26/10/2015</stp>
        <stp>[Bbg_Market_Data_CL.xlsm]data!R363C14</stp>
        <tr r="N363" s="1"/>
      </tp>
      <tp t="s">
        <v>#N/A Requesting Data...</v>
        <stp/>
        <stp>##V3_BDHV12</stp>
        <stp>CL2 Comdty</stp>
        <stp>RSI_14D</stp>
        <stp>12/05/2015</stp>
        <stp>12/05/2015</stp>
        <stp>[Bbg_Market_Data_CL.xlsm]data!R478C13</stp>
        <tr r="M478" s="1"/>
      </tp>
      <tp t="s">
        <v>#N/A Requesting Data...</v>
        <stp/>
        <stp>##V3_BDHV12</stp>
        <stp>CL1 Comdty</stp>
        <stp>RSI_14D</stp>
        <stp>12/05/2015</stp>
        <stp>12/05/2015</stp>
        <stp>[Bbg_Market_Data_CL.xlsm]data!R478C13</stp>
        <tr r="M478" s="1"/>
      </tp>
      <tp t="s">
        <v>#N/A Requesting Data...</v>
        <stp/>
        <stp>##V3_BDHV12</stp>
        <stp>CL2 Comdty</stp>
        <stp>RSI_14D</stp>
        <stp>17/03/2016</stp>
        <stp>17/03/2016</stp>
        <stp>[Bbg_Market_Data_CL.xlsm]data!R267C13</stp>
        <tr r="M267" s="1"/>
      </tp>
      <tp t="s">
        <v>#N/A Requesting Data...</v>
        <stp/>
        <stp>##V3_BDHV12</stp>
        <stp>CL1 Comdty</stp>
        <stp>RSI_14D</stp>
        <stp>17/03/2016</stp>
        <stp>17/03/2016</stp>
        <stp>[Bbg_Market_Data_CL.xlsm]data!R267C13</stp>
        <tr r="M267" s="1"/>
      </tp>
      <tp t="s">
        <v>#N/A Requesting Data...</v>
        <stp/>
        <stp>##V3_BDHV12</stp>
        <stp>CL2 Comdty</stp>
        <stp>RSI_14D</stp>
        <stp>22/06/2015</stp>
        <stp>22/06/2015</stp>
        <stp>[Bbg_Market_Data_CL.xlsm]data!R450C13</stp>
        <tr r="M450" s="1"/>
      </tp>
      <tp t="s">
        <v>#N/A Requesting Data...</v>
        <stp/>
        <stp>##V3_BDHV12</stp>
        <stp>CL1 Comdty</stp>
        <stp>RSI_14D</stp>
        <stp>22/06/2015</stp>
        <stp>22/06/2015</stp>
        <stp>[Bbg_Market_Data_CL.xlsm]data!R450C13</stp>
        <tr r="M450" s="1"/>
      </tp>
      <tp t="s">
        <v>#N/A Requesting Data...</v>
        <stp/>
        <stp>##V3_BDHV12</stp>
        <stp>CL1 Comdty</stp>
        <stp>RSI_30D</stp>
        <stp>13/05/2016</stp>
        <stp>13/05/2016</stp>
        <stp>[Bbg_Market_Data_CL.xlsm]data!R227C14</stp>
        <tr r="N227" s="1"/>
      </tp>
      <tp t="s">
        <v>#N/A Requesting Data...</v>
        <stp/>
        <stp>##V3_BDHV12</stp>
        <stp>CL2 Comdty</stp>
        <stp>RSI_14D</stp>
        <stp>25/11/2015</stp>
        <stp>25/11/2015</stp>
        <stp>[Bbg_Market_Data_CL.xlsm]data!R342C13</stp>
        <tr r="M342" s="1"/>
      </tp>
      <tp t="s">
        <v>#N/A Requesting Data...</v>
        <stp/>
        <stp>##V3_BDHV12</stp>
        <stp>CL1 Comdty</stp>
        <stp>RSI_14D</stp>
        <stp>25/11/2015</stp>
        <stp>25/11/2015</stp>
        <stp>[Bbg_Market_Data_CL.xlsm]data!R342C13</stp>
        <tr r="M342" s="1"/>
      </tp>
      <tp t="s">
        <v>#N/A Requesting Data...</v>
        <stp/>
        <stp>##V3_BDHV12</stp>
        <stp>CL2 Comdty</stp>
        <stp>RSI_30D</stp>
        <stp>13/05/2016</stp>
        <stp>13/05/2016</stp>
        <stp>[Bbg_Market_Data_CL.xlsm]data!R227C14</stp>
        <tr r="N227" s="1"/>
      </tp>
      <tp t="s">
        <v>#N/A Requesting Data...</v>
        <stp/>
        <stp>##V3_BDHV12</stp>
        <stp>CL1 Comdty</stp>
        <stp>RSI_14D</stp>
        <stp>15/12/2015</stp>
        <stp>15/12/2015</stp>
        <stp>[Bbg_Market_Data_CL.xlsm]data!R329C13</stp>
        <tr r="M329" s="1"/>
      </tp>
      <tp t="s">
        <v>#N/A Requesting Data...</v>
        <stp/>
        <stp>##V3_BDHV12</stp>
        <stp>CL2 Comdty</stp>
        <stp>RSI_14D</stp>
        <stp>15/12/2015</stp>
        <stp>15/12/2015</stp>
        <stp>[Bbg_Market_Data_CL.xlsm]data!R329C13</stp>
        <tr r="M329" s="1"/>
      </tp>
      <tp t="s">
        <v>#N/A Requesting Data...</v>
        <stp/>
        <stp>##V3_BDHV12</stp>
        <stp>CL1 Comdty</stp>
        <stp>RSI_14D</stp>
        <stp>14/10/2016</stp>
        <stp>14/10/2016</stp>
        <stp>[Bbg_Market_Data_CL.xlsm]data!R122C13</stp>
        <tr r="M122" s="1"/>
      </tp>
      <tp t="s">
        <v>#N/A Requesting Data...</v>
        <stp/>
        <stp>##V3_BDHV12</stp>
        <stp>CL2 Comdty</stp>
        <stp>RSI_14D</stp>
        <stp>14/10/2016</stp>
        <stp>14/10/2016</stp>
        <stp>[Bbg_Market_Data_CL.xlsm]data!R122C13</stp>
        <tr r="M122" s="1"/>
      </tp>
      <tp t="s">
        <v>#N/A Requesting Data...</v>
        <stp/>
        <stp>##V3_BDHV12</stp>
        <stp>CL1 Comdty</stp>
        <stp>RSI_14D</stp>
        <stp>04/11/2016</stp>
        <stp>04/11/2016</stp>
        <stp>[Bbg_Market_Data_CL.xlsm]data!R107C13</stp>
        <tr r="M107" s="1"/>
      </tp>
      <tp t="s">
        <v>#N/A Requesting Data...</v>
        <stp/>
        <stp>##V3_BDHV12</stp>
        <stp>CL2 Comdty</stp>
        <stp>RSI_14D</stp>
        <stp>04/11/2016</stp>
        <stp>04/11/2016</stp>
        <stp>[Bbg_Market_Data_CL.xlsm]data!R107C13</stp>
        <tr r="M107" s="1"/>
      </tp>
      <tp t="s">
        <v>#N/A Requesting Data...</v>
        <stp/>
        <stp>##V3_BDHV12</stp>
        <stp>CL2 Comdty</stp>
        <stp>RSI_14D</stp>
        <stp>26/01/2016</stp>
        <stp>26/01/2016</stp>
        <stp>[Bbg_Market_Data_CL.xlsm]data!R302C13</stp>
        <tr r="M302" s="1"/>
      </tp>
      <tp t="s">
        <v>#N/A Requesting Data...</v>
        <stp/>
        <stp>##V3_BDHV12</stp>
        <stp>CL1 Comdty</stp>
        <stp>RSI_14D</stp>
        <stp>26/01/2016</stp>
        <stp>26/01/2016</stp>
        <stp>[Bbg_Market_Data_CL.xlsm]data!R302C13</stp>
        <tr r="M302" s="1"/>
      </tp>
      <tp t="s">
        <v>#N/A Requesting Data...</v>
        <stp/>
        <stp>##V3_BDHV12</stp>
        <stp>CL1 Comdty</stp>
        <stp>RSI_30D</stp>
        <stp>11/07/2016</stp>
        <stp>11/07/2016</stp>
        <stp>[Bbg_Market_Data_CL.xlsm]data!R188C14</stp>
        <tr r="N188" s="1"/>
      </tp>
      <tp t="s">
        <v>#N/A Requesting Data...</v>
        <stp/>
        <stp>##V3_BDHV12</stp>
        <stp>CL2 Comdty</stp>
        <stp>RSI_30D</stp>
        <stp>11/07/2016</stp>
        <stp>11/07/2016</stp>
        <stp>[Bbg_Market_Data_CL.xlsm]data!R188C14</stp>
        <tr r="N188" s="1"/>
      </tp>
      <tp t="s">
        <v>#N/A Requesting Data...</v>
        <stp/>
        <stp>##V3_BDHV12</stp>
        <stp>CL2 Comdty</stp>
        <stp>RSI_14D</stp>
        <stp>13/04/2015</stp>
        <stp>13/04/2015</stp>
        <stp>[Bbg_Market_Data_CL.xlsm]data!R499C13</stp>
        <tr r="M499" s="1"/>
      </tp>
      <tp t="s">
        <v>#N/A Requesting Data...</v>
        <stp/>
        <stp>##V3_BDHV12</stp>
        <stp>CL1 Comdty</stp>
        <stp>RSI_14D</stp>
        <stp>13/04/2015</stp>
        <stp>13/04/2015</stp>
        <stp>[Bbg_Market_Data_CL.xlsm]data!R499C13</stp>
        <tr r="M499" s="1"/>
      </tp>
      <tp t="s">
        <v>#N/A Requesting Data...</v>
        <stp/>
        <stp>##V3_BDHV12</stp>
        <stp>CL1 Comdty</stp>
        <stp>RSI_30D</stp>
        <stp>02/05/2016</stp>
        <stp>02/05/2016</stp>
        <stp>[Bbg_Market_Data_CL.xlsm]data!R236C14</stp>
        <tr r="N236" s="1"/>
      </tp>
      <tp t="s">
        <v>#N/A Requesting Data...</v>
        <stp/>
        <stp>##V3_BDHV12</stp>
        <stp>CL2 Comdty</stp>
        <stp>RSI_30D</stp>
        <stp>02/05/2016</stp>
        <stp>02/05/2016</stp>
        <stp>[Bbg_Market_Data_CL.xlsm]data!R236C14</stp>
        <tr r="N236" s="1"/>
      </tp>
      <tp t="s">
        <v>#N/A Requesting Data...</v>
        <stp/>
        <stp>##V3_BDHV12</stp>
        <stp>CL2 Comdty</stp>
        <stp>RSI_14D</stp>
        <stp>05/10/2016</stp>
        <stp>05/10/2016</stp>
        <stp>[Bbg_Market_Data_CL.xlsm]data!R128C13</stp>
        <tr r="M128" s="1"/>
      </tp>
      <tp t="s">
        <v>#N/A Requesting Data...</v>
        <stp/>
        <stp>##V3_BDHV12</stp>
        <stp>CL1 Comdty</stp>
        <stp>RSI_14D</stp>
        <stp>05/10/2016</stp>
        <stp>05/10/2016</stp>
        <stp>[Bbg_Market_Data_CL.xlsm]data!R128C13</stp>
        <tr r="M128" s="1"/>
      </tp>
      <tp t="s">
        <v>#N/A Requesting Data...</v>
        <stp/>
        <stp>##V3_BDHV12</stp>
        <stp>CL2 Comdty</stp>
        <stp>RSI_14D</stp>
        <stp>23/07/2015</stp>
        <stp>23/07/2015</stp>
        <stp>[Bbg_Market_Data_CL.xlsm]data!R428C13</stp>
        <tr r="M428" s="1"/>
      </tp>
      <tp t="s">
        <v>#N/A Requesting Data...</v>
        <stp/>
        <stp>##V3_BDHV12</stp>
        <stp>CL1 Comdty</stp>
        <stp>RSI_14D</stp>
        <stp>23/07/2015</stp>
        <stp>23/07/2015</stp>
        <stp>[Bbg_Market_Data_CL.xlsm]data!R428C13</stp>
        <tr r="M428" s="1"/>
      </tp>
      <tp t="s">
        <v>#N/A Requesting Data...</v>
        <stp/>
        <stp>##V3_BDHV12</stp>
        <stp>CL2 Comdty</stp>
        <stp>RSI_14D</stp>
        <stp>04/12/2015</stp>
        <stp>04/12/2015</stp>
        <stp>[Bbg_Market_Data_CL.xlsm]data!R336C13</stp>
        <tr r="M336" s="1"/>
      </tp>
      <tp t="s">
        <v>#N/A Requesting Data...</v>
        <stp/>
        <stp>##V3_BDHV12</stp>
        <stp>CL2 Comdty</stp>
        <stp>RSI_30D</stp>
        <stp>12/04/2016</stp>
        <stp>12/04/2016</stp>
        <stp>[Bbg_Market_Data_CL.xlsm]data!R250C14</stp>
        <tr r="N250" s="1"/>
      </tp>
      <tp t="s">
        <v>#N/A Requesting Data...</v>
        <stp/>
        <stp>##V3_BDHV12</stp>
        <stp>CL1 Comdty</stp>
        <stp>RSI_14D</stp>
        <stp>04/12/2015</stp>
        <stp>04/12/2015</stp>
        <stp>[Bbg_Market_Data_CL.xlsm]data!R336C13</stp>
        <tr r="M336" s="1"/>
      </tp>
      <tp t="s">
        <v>#N/A Requesting Data...</v>
        <stp/>
        <stp>##V3_BDHV12</stp>
        <stp>CL1 Comdty</stp>
        <stp>RSI_30D</stp>
        <stp>12/04/2016</stp>
        <stp>12/04/2016</stp>
        <stp>[Bbg_Market_Data_CL.xlsm]data!R250C14</stp>
        <tr r="N250" s="1"/>
      </tp>
      <tp t="s">
        <v>#N/A Requesting Data...</v>
        <stp/>
        <stp>##V3_BDHV12</stp>
        <stp>CL2 Comdty</stp>
        <stp>RSI_14D</stp>
        <stp>15/11/2016</stp>
        <stp>15/11/2016</stp>
        <stp>[Bbg_Market_Data_CL.xlsm]data!R101C13</stp>
        <tr r="M101" s="1"/>
      </tp>
      <tp t="s">
        <v>#N/A Requesting Data...</v>
        <stp/>
        <stp>##V3_BDHV12</stp>
        <stp>CL1 Comdty</stp>
        <stp>RSI_14D</stp>
        <stp>15/11/2016</stp>
        <stp>15/11/2016</stp>
        <stp>[Bbg_Market_Data_CL.xlsm]data!R101C13</stp>
        <tr r="M101" s="1"/>
      </tp>
      <tp t="s">
        <v>#N/A Requesting Data...</v>
        <stp/>
        <stp>##V3_BDHV12</stp>
        <stp>CL1 Comdty</stp>
        <stp>RSI_14D</stp>
        <stp>20/04/2015</stp>
        <stp>20/04/2015</stp>
        <stp>[Bbg_Market_Data_CL.xlsm]data!R494C13</stp>
        <tr r="M494" s="1"/>
      </tp>
      <tp t="s">
        <v>#N/A Requesting Data...</v>
        <stp/>
        <stp>##V3_BDHV12</stp>
        <stp>CL2 Comdty</stp>
        <stp>RSI_14D</stp>
        <stp>20/04/2015</stp>
        <stp>20/04/2015</stp>
        <stp>[Bbg_Market_Data_CL.xlsm]data!R494C13</stp>
        <tr r="M494" s="1"/>
      </tp>
      <tp t="s">
        <v>#N/A Requesting Data...</v>
        <stp/>
        <stp>##V3_BDHV12</stp>
        <stp>CL1 Comdty</stp>
        <stp>RSI_14D</stp>
        <stp>25/02/2016</stp>
        <stp>25/02/2016</stp>
        <stp>[Bbg_Market_Data_CL.xlsm]data!R282C13</stp>
        <tr r="M282" s="1"/>
      </tp>
      <tp t="s">
        <v>#N/A Requesting Data...</v>
        <stp/>
        <stp>##V3_BDHV12</stp>
        <stp>CL2 Comdty</stp>
        <stp>RSI_14D</stp>
        <stp>25/02/2016</stp>
        <stp>25/02/2016</stp>
        <stp>[Bbg_Market_Data_CL.xlsm]data!R282C13</stp>
        <tr r="M282" s="1"/>
      </tp>
      <tp t="s">
        <v>#N/A Requesting Data...</v>
        <stp/>
        <stp>##V3_BDHV12</stp>
        <stp>CL1 Comdty</stp>
        <stp>RSI_30D</stp>
        <stp>01/06/2016</stp>
        <stp>01/06/2016</stp>
        <stp>[Bbg_Market_Data_CL.xlsm]data!R215C14</stp>
        <tr r="N215" s="1"/>
      </tp>
      <tp t="s">
        <v>#N/A Requesting Data...</v>
        <stp/>
        <stp>##V3_BDHV12</stp>
        <stp>CL2 Comdty</stp>
        <stp>RSI_30D</stp>
        <stp>31/05/2016</stp>
        <stp>31/05/2016</stp>
        <stp>[Bbg_Market_Data_CL.xlsm]data!R216C14</stp>
        <tr r="N216" s="1"/>
      </tp>
      <tp t="s">
        <v>#N/A Requesting Data...</v>
        <stp/>
        <stp>##V3_BDHV12</stp>
        <stp>CL1 Comdty</stp>
        <stp>RSI_30D</stp>
        <stp>31/05/2016</stp>
        <stp>31/05/2016</stp>
        <stp>[Bbg_Market_Data_CL.xlsm]data!R216C14</stp>
        <tr r="N216" s="1"/>
      </tp>
      <tp t="s">
        <v>#N/A Requesting Data...</v>
        <stp/>
        <stp>##V3_BDHV12</stp>
        <stp>CL2 Comdty</stp>
        <stp>RSI_30D</stp>
        <stp>01/06/2016</stp>
        <stp>01/06/2016</stp>
        <stp>[Bbg_Market_Data_CL.xlsm]data!R215C14</stp>
        <tr r="N215" s="1"/>
      </tp>
      <tp t="s">
        <v>#N/A Requesting Data...</v>
        <stp/>
        <stp>##V3_BDHV12</stp>
        <stp>CL2 Comdty</stp>
        <stp>RSI_30D</stp>
        <stp>21/04/2016</stp>
        <stp>21/04/2016</stp>
        <stp>[Bbg_Market_Data_CL.xlsm]data!R243C14</stp>
        <tr r="N243" s="1"/>
      </tp>
      <tp t="s">
        <v>#N/A Requesting Data...</v>
        <stp/>
        <stp>##V3_BDHV12</stp>
        <stp>CL1 Comdty</stp>
        <stp>RSI_30D</stp>
        <stp>21/04/2016</stp>
        <stp>21/04/2016</stp>
        <stp>[Bbg_Market_Data_CL.xlsm]data!R243C14</stp>
        <tr r="N243" s="1"/>
      </tp>
      <tp t="s">
        <v>#N/A Requesting Data...</v>
        <stp/>
        <stp>##V3_BDHV12</stp>
        <stp>CL2 Comdty</stp>
        <stp>RSI_14D</stp>
        <stp>10/07/2015</stp>
        <stp>10/07/2015</stp>
        <stp>[Bbg_Market_Data_CL.xlsm]data!R437C13</stp>
        <tr r="M437" s="1"/>
      </tp>
      <tp t="s">
        <v>#N/A Requesting Data...</v>
        <stp/>
        <stp>##V3_BDHV12</stp>
        <stp>CL1 Comdty</stp>
        <stp>RSI_14D</stp>
        <stp>10/07/2015</stp>
        <stp>10/07/2015</stp>
        <stp>[Bbg_Market_Data_CL.xlsm]data!R437C13</stp>
        <tr r="M437" s="1"/>
      </tp>
      <tp t="s">
        <v>#N/A Requesting Data...</v>
        <stp/>
        <stp>##V3_BDHV12</stp>
        <stp>CL1 Comdty</stp>
        <stp>RSI_14D</stp>
        <stp>04/01/2016</stp>
        <stp>04/01/2016</stp>
        <stp>[Bbg_Market_Data_CL.xlsm]data!R317C13</stp>
        <tr r="M317" s="1"/>
      </tp>
      <tp t="s">
        <v>#N/A Requesting Data...</v>
        <stp/>
        <stp>##V3_BDHV12</stp>
        <stp>CL2 Comdty</stp>
        <stp>RSI_14D</stp>
        <stp>04/01/2016</stp>
        <stp>04/01/2016</stp>
        <stp>[Bbg_Market_Data_CL.xlsm]data!R317C13</stp>
        <tr r="M317" s="1"/>
      </tp>
      <tp t="s">
        <v>#N/A Requesting Data...</v>
        <stp/>
        <stp>##V3_BDHV12</stp>
        <stp>CL2 Comdty</stp>
        <stp>RSI_30D</stp>
        <stp>22/07/2016</stp>
        <stp>22/07/2016</stp>
        <stp>[Bbg_Market_Data_CL.xlsm]data!R179C14</stp>
        <tr r="N179" s="1"/>
      </tp>
      <tp t="s">
        <v>#N/A Requesting Data...</v>
        <stp/>
        <stp>##V3_BDHV12</stp>
        <stp>CL1 Comdty</stp>
        <stp>RSI_30D</stp>
        <stp>22/07/2016</stp>
        <stp>22/07/2016</stp>
        <stp>[Bbg_Market_Data_CL.xlsm]data!R179C14</stp>
        <tr r="N179" s="1"/>
      </tp>
      <tp t="s">
        <v>#N/A Requesting Data...</v>
        <stp/>
        <stp>##V3_BDHV12</stp>
        <stp>CL2 Comdty</stp>
        <stp>RSI_30D</stp>
        <stp>23/06/2016</stp>
        <stp>23/06/2016</stp>
        <stp>[Bbg_Market_Data_CL.xlsm]data!R199C14</stp>
        <tr r="N199" s="1"/>
      </tp>
      <tp t="s">
        <v>#N/A Requesting Data...</v>
        <stp/>
        <stp>##V3_BDHV12</stp>
        <stp>CL1 Comdty</stp>
        <stp>RSI_30D</stp>
        <stp>23/06/2016</stp>
        <stp>23/06/2016</stp>
        <stp>[Bbg_Market_Data_CL.xlsm]data!R199C14</stp>
        <tr r="N199" s="1"/>
      </tp>
      <tp t="s">
        <v>#N/A Requesting Data...</v>
        <stp/>
        <stp>##V3_BDHV12</stp>
        <stp>CL1 Comdty</stp>
        <stp>RSI_30D</stp>
        <stp>10/06/2016</stp>
        <stp>10/06/2016</stp>
        <stp>[Bbg_Market_Data_CL.xlsm]data!R208C14</stp>
        <tr r="N208" s="1"/>
      </tp>
      <tp t="s">
        <v>#N/A Requesting Data...</v>
        <stp/>
        <stp>##V3_BDHV12</stp>
        <stp>CL2 Comdty</stp>
        <stp>RSI_30D</stp>
        <stp>10/06/2016</stp>
        <stp>10/06/2016</stp>
        <stp>[Bbg_Market_Data_CL.xlsm]data!R208C14</stp>
        <tr r="N208" s="1"/>
      </tp>
      <tp t="s">
        <v>#N/A Requesting Data...</v>
        <stp/>
        <stp>##V3_BDHV12</stp>
        <stp>CL1 Comdty</stp>
        <stp>RSI_14D</stp>
        <stp>21/05/2015</stp>
        <stp>21/05/2015</stp>
        <stp>[Bbg_Market_Data_CL.xlsm]data!R471C13</stp>
        <tr r="M471" s="1"/>
      </tp>
      <tp t="s">
        <v>#N/A Requesting Data...</v>
        <stp/>
        <stp>##V3_BDHV12</stp>
        <stp>CL2 Comdty</stp>
        <stp>RSI_14D</stp>
        <stp>21/05/2015</stp>
        <stp>21/05/2015</stp>
        <stp>[Bbg_Market_Data_CL.xlsm]data!R471C13</stp>
        <tr r="M471" s="1"/>
      </tp>
      <tp t="s">
        <v>#N/A Requesting Data...</v>
        <stp/>
        <stp>##V3_BDHV12</stp>
        <stp>CL1 Comdty</stp>
        <stp>RSI_14D</stp>
        <stp>06/10/2015</stp>
        <stp>06/10/2015</stp>
        <stp>[Bbg_Market_Data_CL.xlsm]data!R376C13</stp>
        <tr r="M376" s="1"/>
      </tp>
      <tp t="s">
        <v>#N/A Requesting Data...</v>
        <stp/>
        <stp>##V3_BDHV12</stp>
        <stp>CL2 Comdty</stp>
        <stp>RSI_14D</stp>
        <stp>06/10/2015</stp>
        <stp>06/10/2015</stp>
        <stp>[Bbg_Market_Data_CL.xlsm]data!R376C13</stp>
        <tr r="M376" s="1"/>
      </tp>
      <tp t="s">
        <v>#N/A Requesting Data...</v>
        <stp/>
        <stp>##V3_BDHV12</stp>
        <stp>CL1 Comdty</stp>
        <stp>RSI_14D</stp>
        <stp>24/03/2016</stp>
        <stp>24/03/2016</stp>
        <stp>[Bbg_Market_Data_CL.xlsm]data!R262C13</stp>
        <tr r="M262" s="1"/>
      </tp>
      <tp t="s">
        <v>#N/A Requesting Data...</v>
        <stp/>
        <stp>##V3_BDHV12</stp>
        <stp>CL2 Comdty</stp>
        <stp>RSI_14D</stp>
        <stp>24/03/2016</stp>
        <stp>24/03/2016</stp>
        <stp>[Bbg_Market_Data_CL.xlsm]data!R262C13</stp>
        <tr r="M262" s="1"/>
      </tp>
      <tp t="s">
        <v>#N/A Requesting Data...</v>
        <stp/>
        <stp>##V3_BDHV12</stp>
        <stp>CL2 Comdty</stp>
        <stp>RSI_14D</stp>
        <stp>16/11/2015</stp>
        <stp>16/11/2015</stp>
        <stp>[Bbg_Market_Data_CL.xlsm]data!R349C13</stp>
        <tr r="M349" s="1"/>
      </tp>
      <tp t="s">
        <v>#N/A Requesting Data...</v>
        <stp/>
        <stp>##V3_BDHV12</stp>
        <stp>CL1 Comdty</stp>
        <stp>RSI_14D</stp>
        <stp>16/11/2015</stp>
        <stp>16/11/2015</stp>
        <stp>[Bbg_Market_Data_CL.xlsm]data!R349C13</stp>
        <tr r="M349" s="1"/>
      </tp>
      <tp t="s">
        <v>#N/A Requesting Data...</v>
        <stp/>
        <stp>##V3_BDHV12</stp>
        <stp>CL2 Comdty</stp>
        <stp>RSI_30D</stp>
        <stp>20/05/2016</stp>
        <stp>20/05/2016</stp>
        <stp>[Bbg_Market_Data_CL.xlsm]data!R222C14</stp>
        <tr r="N222" s="1"/>
      </tp>
      <tp t="s">
        <v>#N/A Requesting Data...</v>
        <stp/>
        <stp>##V3_BDHV12</stp>
        <stp>CL1 Comdty</stp>
        <stp>RSI_30D</stp>
        <stp>20/05/2016</stp>
        <stp>20/05/2016</stp>
        <stp>[Bbg_Market_Data_CL.xlsm]data!R222C14</stp>
        <tr r="N222" s="1"/>
      </tp>
      <tp t="s">
        <v>#N/A Requesting Data...</v>
        <stp/>
        <stp>##V3_BDHV12</stp>
        <stp>CL2 Comdty</stp>
        <stp>RSI_14D</stp>
        <stp>11/06/2015</stp>
        <stp>11/06/2015</stp>
        <stp>[Bbg_Market_Data_CL.xlsm]data!R457C13</stp>
        <tr r="M457" s="1"/>
      </tp>
      <tp t="s">
        <v>#N/A Requesting Data...</v>
        <stp/>
        <stp>##V3_BDHV12</stp>
        <stp>CL1 Comdty</stp>
        <stp>RSI_14D</stp>
        <stp>11/06/2015</stp>
        <stp>11/06/2015</stp>
        <stp>[Bbg_Market_Data_CL.xlsm]data!R457C13</stp>
        <tr r="M457" s="1"/>
      </tp>
      <tp t="s">
        <v>#N/A Requesting Data...</v>
        <stp/>
        <stp>##V3_BDHV12</stp>
        <stp>CL2 Comdty</stp>
        <stp>RSI_14D</stp>
        <stp>01/07/2015</stp>
        <stp>01/07/2015</stp>
        <stp>[Bbg_Market_Data_CL.xlsm]data!R443C13</stp>
        <tr r="M443" s="1"/>
      </tp>
      <tp t="s">
        <v>#N/A Requesting Data...</v>
        <stp/>
        <stp>##V3_BDHV12</stp>
        <stp>CL1 Comdty</stp>
        <stp>RSI_14D</stp>
        <stp>01/07/2015</stp>
        <stp>01/07/2015</stp>
        <stp>[Bbg_Market_Data_CL.xlsm]data!R443C13</stp>
        <tr r="M443" s="1"/>
      </tp>
      <tp t="s">
        <v>#N/A Requesting Data...</v>
        <stp/>
        <stp>##V3_BDHV12</stp>
        <stp>CL2 Comdty</stp>
        <stp>RSI_14D</stp>
        <stp>15/01/2016</stp>
        <stp>15/01/2016</stp>
        <stp>[Bbg_Market_Data_CL.xlsm]data!R308C13</stp>
        <tr r="M308" s="1"/>
      </tp>
      <tp t="s">
        <v>#N/A Requesting Data...</v>
        <stp/>
        <stp>##V3_BDHV12</stp>
        <stp>CL1 Comdty</stp>
        <stp>RSI_14D</stp>
        <stp>15/01/2016</stp>
        <stp>15/01/2016</stp>
        <stp>[Bbg_Market_Data_CL.xlsm]data!R308C13</stp>
        <tr r="M308" s="1"/>
      </tp>
      <tp t="s">
        <v>#N/A Requesting Data...</v>
        <stp/>
        <stp>##V3_BDHV12</stp>
        <stp>CL2 Comdty</stp>
        <stp>RSI_14D</stp>
        <stp>27/10/2016</stp>
        <stp>27/10/2016</stp>
        <stp>[Bbg_Market_Data_CL.xlsm]data!R113C13</stp>
        <tr r="M113" s="1"/>
      </tp>
      <tp t="s">
        <v>#N/A Requesting Data...</v>
        <stp/>
        <stp>##V3_BDHV12</stp>
        <stp>CL1 Comdty</stp>
        <stp>RSI_14D</stp>
        <stp>27/10/2016</stp>
        <stp>27/10/2016</stp>
        <stp>[Bbg_Market_Data_CL.xlsm]data!R113C13</stp>
        <tr r="M113" s="1"/>
      </tp>
      <tp>
        <v>45.34</v>
        <stp/>
        <stp>##V3_BDHV12</stp>
        <stp>CL1 Comdty</stp>
        <stp>PX_HIGH</stp>
        <stp>11/08/2015</stp>
        <stp>11/08/2015</stp>
        <stp>[Bbg_Market_Data_CL.xlsm]data!R415C6</stp>
        <tr r="F415" s="1"/>
        <tr r="F415" s="1"/>
      </tp>
      <tp>
        <v>44.78</v>
        <stp/>
        <stp>##V3_BDHV12</stp>
        <stp>CL1 Comdty</stp>
        <stp>PX_HIGH</stp>
        <stp>12/08/2016</stp>
        <stp>12/08/2016</stp>
        <stp>[Bbg_Market_Data_CL.xlsm]data!R165C6</stp>
        <tr r="F165" s="1"/>
        <tr r="F165" s="1"/>
      </tp>
      <tp>
        <v>46.13</v>
        <stp/>
        <stp>##V3_BDHV12</stp>
        <stp>CL1 Comdty</stp>
        <stp>PX_HIGH</stp>
        <stp>13/09/2016</stp>
        <stp>13/09/2016</stp>
        <stp>[Bbg_Market_Data_CL.xlsm]data!R144C6</stp>
        <tr r="F144" s="1"/>
        <tr r="F144" s="1"/>
      </tp>
      <tp>
        <v>46.04</v>
        <stp/>
        <stp>##V3_BDHV12</stp>
        <stp>CL1 Comdty</stp>
        <stp>PX_HIGH</stp>
        <stp>10/09/2015</stp>
        <stp>10/09/2015</stp>
        <stp>[Bbg_Market_Data_CL.xlsm]data!R394C6</stp>
        <tr r="F394" s="1"/>
        <tr r="F394" s="1"/>
      </tp>
      <tp t="s">
        <v>#N/A Requesting Data...</v>
        <stp/>
        <stp>##V3_BDHV12</stp>
        <stp>CL1 Comdty</stp>
        <stp>PX_LAST</stp>
        <stp>31/12/2015</stp>
        <stp>31/12/2015</stp>
        <stp>[Bbg_Market_Data_CL.xlsm]data!R318C9</stp>
        <tr r="I318" s="1"/>
      </tp>
      <tp t="s">
        <v>#N/A Requesting Data...</v>
        <stp/>
        <stp>##V3_BDHV12</stp>
        <stp>CL2 Comdty</stp>
        <stp>PX_LAST</stp>
        <stp>02/12/2015</stp>
        <stp>02/12/2015</stp>
        <stp>[Bbg_Market_Data_CL.xlsm]data!R338C9</stp>
        <tr r="I338" s="1"/>
      </tp>
      <tp t="s">
        <v>#N/A Requesting Data...</v>
        <stp/>
        <stp>##V3_BDHV12</stp>
        <stp>CL1 Comdty</stp>
        <stp>PX_LAST</stp>
        <stp>28/09/2016</stp>
        <stp>28/09/2016</stp>
        <stp>[Bbg_Market_Data_CL.xlsm]data!R133C9</stp>
        <tr r="I133" s="1"/>
      </tp>
      <tp t="s">
        <v>#N/A Requesting Data...</v>
        <stp/>
        <stp>##V3_BDHV12</stp>
        <stp>CL2 Comdty</stp>
        <stp>PX_LAST</stp>
        <stp>20/10/2016</stp>
        <stp>20/10/2016</stp>
        <stp>[Bbg_Market_Data_CL.xlsm]data!R118C9</stp>
        <tr r="I118" s="1"/>
      </tp>
      <tp t="s">
        <v>#N/A Requesting Data...</v>
        <stp/>
        <stp>##V3_BDHV12</stp>
        <stp>CL1 Comdty</stp>
        <stp>PX_LAST</stp>
        <stp>01/10/2015</stp>
        <stp>01/10/2015</stp>
        <stp>[Bbg_Market_Data_CL.xlsm]data!R379C9</stp>
        <tr r="I379" s="1"/>
      </tp>
      <tp t="s">
        <v>#N/A Requesting Data...</v>
        <stp/>
        <stp>##V3_BDHV12</stp>
        <stp>CL1 Comdty</stp>
        <stp>PX_LAST</stp>
        <stp>03/11/2016</stp>
        <stp>03/11/2016</stp>
        <stp>[Bbg_Market_Data_CL.xlsm]data!R108C9</stp>
        <tr r="I108" s="1"/>
      </tp>
      <tp>
        <v>46.52</v>
        <stp/>
        <stp>##V3_BDHV12</stp>
        <stp>CL1 Comdty</stp>
        <stp>PX_HIGH</stp>
        <stp>22/09/2016</stp>
        <stp>22/09/2016</stp>
        <stp>[Bbg_Market_Data_CL.xlsm]data!R137C6</stp>
        <tr r="F137" s="1"/>
        <tr r="F137" s="1"/>
      </tp>
      <tp>
        <v>46.74</v>
        <stp/>
        <stp>##V3_BDHV12</stp>
        <stp>CL1 Comdty</stp>
        <stp>PX_HIGH</stp>
        <stp>21/09/2015</stp>
        <stp>21/09/2015</stp>
        <stp>[Bbg_Market_Data_CL.xlsm]data!R387C6</stp>
        <tr r="F387" s="1"/>
        <tr r="F387" s="1"/>
      </tp>
      <tp t="s">
        <v>#N/A Requesting Data...</v>
        <stp/>
        <stp>##V3_BDHV12</stp>
        <stp>CL2 Comdty</stp>
        <stp>PX_LAST</stp>
        <stp>02/03/2016</stp>
        <stp>02/03/2016</stp>
        <stp>[Bbg_Market_Data_CL.xlsm]data!R278C9</stp>
        <tr r="I278" s="1"/>
      </tp>
      <tp t="s">
        <v>#N/A Requesting Data...</v>
        <stp/>
        <stp>##V3_BDHV12</stp>
        <stp>CL1 Comdty</stp>
        <stp>PX_LAST</stp>
        <stp>31/03/2016</stp>
        <stp>31/03/2016</stp>
        <stp>[Bbg_Market_Data_CL.xlsm]data!R258C9</stp>
        <tr r="I258" s="1"/>
      </tp>
      <tp t="s">
        <v>#N/A Requesting Data...</v>
        <stp/>
        <stp>##V3_BDHV12</stp>
        <stp>CL1 Comdty</stp>
        <stp>PX_LAST</stp>
        <stp>28/08/2015</stp>
        <stp>28/08/2015</stp>
        <stp>[Bbg_Market_Data_CL.xlsm]data!R402C9</stp>
        <tr r="I402" s="1"/>
      </tp>
      <tp t="s">
        <v>#N/A Requesting Data...</v>
        <stp/>
        <stp>##V3_BDHV12</stp>
        <stp>CL1 Comdty</stp>
        <stp>PX_LAST</stp>
        <stp>19/09/2016</stp>
        <stp>19/09/2016</stp>
        <stp>[Bbg_Market_Data_CL.xlsm]data!R140C9</stp>
        <tr r="I140" s="1"/>
      </tp>
      <tp t="s">
        <v>#N/A Requesting Data...</v>
        <stp/>
        <stp>##V3_BDHV12</stp>
        <stp>CL1 Comdty</stp>
        <stp>PX_LAST</stp>
        <stp>18/08/2016</stp>
        <stp>18/08/2016</stp>
        <stp>[Bbg_Market_Data_CL.xlsm]data!R161C9</stp>
        <tr r="I161" s="1"/>
      </tp>
      <tp t="s">
        <v>#N/A Requesting Data...</v>
        <stp/>
        <stp>##V3_BDHV12</stp>
        <stp>CL2 Comdty</stp>
        <stp>PX_LAST</stp>
        <stp>30/10/2015</stp>
        <stp>30/10/2015</stp>
        <stp>[Bbg_Market_Data_CL.xlsm]data!R359C9</stp>
        <tr r="I359" s="1"/>
      </tp>
      <tp t="s">
        <v>#N/A Requesting Data...</v>
        <stp/>
        <stp>##V3_BDHV12</stp>
        <stp>CL1 Comdty</stp>
        <stp>PX_LAST</stp>
        <stp>02/11/2015</stp>
        <stp>02/11/2015</stp>
        <stp>[Bbg_Market_Data_CL.xlsm]data!R358C9</stp>
        <tr r="I358" s="1"/>
      </tp>
      <tp>
        <v>47.46</v>
        <stp/>
        <stp>##V3_BDHV12</stp>
        <stp>CL1 Comdty</stp>
        <stp>PX_HIGH</stp>
        <stp>25/08/2016</stp>
        <stp>25/08/2016</stp>
        <stp>[Bbg_Market_Data_CL.xlsm]data!R156C6</stp>
        <tr r="F156" s="1"/>
        <tr r="F156" s="1"/>
      </tp>
      <tp t="s">
        <v>#N/A Requesting Data...</v>
        <stp/>
        <stp>##V3_BDHV12</stp>
        <stp>CL2 Comdty</stp>
        <stp>PX_LAST</stp>
        <stp>15/03/2016</stp>
        <stp>15/03/2016</stp>
        <stp>[Bbg_Market_Data_CL.xlsm]data!R269C9</stp>
        <tr r="I269" s="1"/>
      </tp>
      <tp>
        <v>40.47</v>
        <stp/>
        <stp>##V3_BDHV12</stp>
        <stp>CL1 Comdty</stp>
        <stp>PX_HIGH</stp>
        <stp>24/08/2015</stp>
        <stp>24/08/2015</stp>
        <stp>[Bbg_Market_Data_CL.xlsm]data!R406C6</stp>
        <tr r="F406" s="1"/>
        <tr r="F406" s="1"/>
      </tp>
      <tp t="s">
        <v>#N/A Requesting Data...</v>
        <stp/>
        <stp>##V3_BDHV12</stp>
        <stp>CL2 Comdty</stp>
        <stp>PX_LAST</stp>
        <stp>15/12/2015</stp>
        <stp>15/12/2015</stp>
        <stp>[Bbg_Market_Data_CL.xlsm]data!R329C9</stp>
        <tr r="I329" s="1"/>
      </tp>
      <tp t="s">
        <v>#N/A Requesting Data...</v>
        <stp/>
        <stp>##V3_BDHV12</stp>
        <stp>CL1 Comdty</stp>
        <stp>PX_LAST</stp>
        <stp>15/01/2016</stp>
        <stp>15/01/2016</stp>
        <stp>[Bbg_Market_Data_CL.xlsm]data!R308C9</stp>
        <tr r="I308" s="1"/>
      </tp>
      <tp t="s">
        <v>#N/A Requesting Data...</v>
        <stp/>
        <stp>##V3_BDHV12</stp>
        <stp>CL1 Comdty</stp>
        <stp>PX_LAST</stp>
        <stp>16/11/2015</stp>
        <stp>16/11/2015</stp>
        <stp>[Bbg_Market_Data_CL.xlsm]data!R349C9</stp>
        <tr r="I349" s="1"/>
      </tp>
      <tp t="s">
        <v>#N/A Requesting Data...</v>
        <stp/>
        <stp>##V3_BDHV12</stp>
        <stp>CL2 Comdty</stp>
        <stp>PX_LAST</stp>
        <stp>17/02/2016</stp>
        <stp>17/02/2016</stp>
        <stp>[Bbg_Market_Data_CL.xlsm]data!R288C9</stp>
        <tr r="I288" s="1"/>
      </tp>
      <tp t="s">
        <v>#N/A Requesting Data...</v>
        <stp/>
        <stp>##V3_BDHV12</stp>
        <stp>CL1 Comdty</stp>
        <stp>PX_LAST</stp>
        <stp>04/10/2016</stp>
        <stp>04/10/2016</stp>
        <stp>[Bbg_Market_Data_CL.xlsm]data!R129C9</stp>
        <tr r="I129" s="1"/>
      </tp>
      <tp>
        <v>46.26</v>
        <stp/>
        <stp>##V3_BDHV12</stp>
        <stp>CL1 Comdty</stp>
        <stp>PX_HIGH</stp>
        <stp>09/09/2015</stp>
        <stp>09/09/2015</stp>
        <stp>[Bbg_Market_Data_CL.xlsm]data!R395C6</stp>
        <tr r="F395" s="1"/>
        <tr r="F395" s="1"/>
      </tp>
      <tp>
        <v>61.57</v>
        <stp/>
        <stp>##V3_BDHV12</stp>
        <stp>CL1 Comdty</stp>
        <stp>PX_HIGH</stp>
        <stp>24/06/2015</stp>
        <stp>24/06/2015</stp>
        <stp>[Bbg_Market_Data_CL.xlsm]data!R448C6</stp>
        <tr r="F448" s="1"/>
        <tr r="F448" s="1"/>
      </tp>
      <tp t="s">
        <v>#N/A Requesting Data...</v>
        <stp/>
        <stp>##V3_BDHV12</stp>
        <stp>CL1 Comdty</stp>
        <stp>PX_LAST</stp>
        <stp>30/08/2016</stp>
        <stp>30/08/2016</stp>
        <stp>[Bbg_Market_Data_CL.xlsm]data!R153C9</stp>
        <tr r="I153" s="1"/>
      </tp>
      <tp t="s">
        <v>#N/A Requesting Data...</v>
        <stp/>
        <stp>##V3_BDHV12</stp>
        <stp>CL1 Comdty</stp>
        <stp>PX_LAST</stp>
        <stp>19/10/2015</stp>
        <stp>19/10/2015</stp>
        <stp>[Bbg_Market_Data_CL.xlsm]data!R368C9</stp>
        <tr r="I368" s="1"/>
      </tp>
      <tp t="s">
        <v>#N/A Requesting Data...</v>
        <stp/>
        <stp>##V3_BDHV12</stp>
        <stp>CL2 Comdty</stp>
        <stp>PX_LAST</stp>
        <stp>11/09/2015</stp>
        <stp>11/09/2015</stp>
        <stp>[Bbg_Market_Data_CL.xlsm]data!R393C9</stp>
        <tr r="I393" s="1"/>
      </tp>
      <tp t="s">
        <v>#N/A Requesting Data...</v>
        <stp/>
        <stp>##V3_BDHV12</stp>
        <stp>CL2 Comdty</stp>
        <stp>PX_LAST</stp>
        <stp>30/09/2016</stp>
        <stp>30/09/2016</stp>
        <stp>[Bbg_Market_Data_CL.xlsm]data!R131C9</stp>
        <tr r="I131" s="1"/>
      </tp>
      <tp t="s">
        <v>#N/A Requesting Data...</v>
        <stp/>
        <stp>##V3_BDHV12</stp>
        <stp>CL2 Comdty</stp>
        <stp>PX_LAST</stp>
        <stp>01/08/2016</stp>
        <stp>01/08/2016</stp>
        <stp>[Bbg_Market_Data_CL.xlsm]data!R173C9</stp>
        <tr r="I173" s="1"/>
      </tp>
      <tp>
        <v>50.45</v>
        <stp/>
        <stp>##V3_BDHV12</stp>
        <stp>CL1 Comdty</stp>
        <stp>PX_HIGH</stp>
        <stp>24/06/2016</stp>
        <stp>24/06/2016</stp>
        <stp>[Bbg_Market_Data_CL.xlsm]data!R198C6</stp>
        <tr r="F198" s="1"/>
        <tr r="F198" s="1"/>
      </tp>
      <tp t="s">
        <v>#N/A Requesting Data...</v>
        <stp/>
        <stp>##V3_BDHV12</stp>
        <stp>CL1 Comdty</stp>
        <stp>PX_LAST</stp>
        <stp>01/09/2016</stp>
        <stp>01/09/2016</stp>
        <stp>[Bbg_Market_Data_CL.xlsm]data!R151C9</stp>
        <tr r="I151" s="1"/>
      </tp>
      <tp>
        <v>44.97</v>
        <stp/>
        <stp>##V3_BDHV12</stp>
        <stp>CL1 Comdty</stp>
        <stp>PX_HIGH</stp>
        <stp>22/07/2016</stp>
        <stp>22/07/2016</stp>
        <stp>[Bbg_Market_Data_CL.xlsm]data!R179C6</stp>
        <tr r="F179" s="1"/>
        <tr r="F179" s="1"/>
      </tp>
      <tp t="s">
        <v>#N/A Requesting Data...</v>
        <stp/>
        <stp>##V3_BDHV12</stp>
        <stp>CL1 Comdty</stp>
        <stp>PX_LAST</stp>
        <stp>04/08/2015</stp>
        <stp>04/08/2015</stp>
        <stp>[Bbg_Market_Data_CL.xlsm]data!R420C9</stp>
        <tr r="I420" s="1"/>
      </tp>
      <tp>
        <v>42.42</v>
        <stp/>
        <stp>##V3_BDHV12</stp>
        <stp>CL1 Comdty</stp>
        <stp>PX_HIGH</stp>
        <stp>13/04/2016</stp>
        <stp>13/04/2016</stp>
        <stp>[Bbg_Market_Data_CL.xlsm]data!R249C6</stp>
        <tr r="F249" s="1"/>
        <tr r="F249" s="1"/>
      </tp>
      <tp>
        <v>47.02</v>
        <stp/>
        <stp>##V3_BDHV12</stp>
        <stp>CL1 Comdty</stp>
        <stp>PX_HIGH</stp>
        <stp>12/05/2016</stp>
        <stp>12/05/2016</stp>
        <stp>[Bbg_Market_Data_CL.xlsm]data!R228C6</stp>
        <tr r="F228" s="1"/>
        <tr r="F228" s="1"/>
      </tp>
      <tp t="s">
        <v>#N/A Requesting Data...</v>
        <stp/>
        <stp>##V3_BDHV12</stp>
        <stp>CL2 Comdty</stp>
        <stp>PX_LAST</stp>
        <stp>17/08/2016</stp>
        <stp>17/08/2016</stp>
        <stp>[Bbg_Market_Data_CL.xlsm]data!R162C9</stp>
        <tr r="I162" s="1"/>
      </tp>
      <tp t="s">
        <v>#N/A Requesting Data...</v>
        <stp/>
        <stp>##V3_BDHV12</stp>
        <stp>CL2 Comdty</stp>
        <stp>PX_LAST</stp>
        <stp>14/08/2015</stp>
        <stp>14/08/2015</stp>
        <stp>[Bbg_Market_Data_CL.xlsm]data!R412C9</stp>
        <tr r="I412" s="1"/>
      </tp>
      <tp>
        <v>61.36</v>
        <stp/>
        <stp>##V3_BDHV12</stp>
        <stp>CL1 Comdty</stp>
        <stp>PX_HIGH</stp>
        <stp>12/05/2015</stp>
        <stp>12/05/2015</stp>
        <stp>[Bbg_Market_Data_CL.xlsm]data!R478C6</stp>
        <tr r="F478" s="1"/>
        <tr r="F478" s="1"/>
      </tp>
      <tp>
        <v>53.1</v>
        <stp/>
        <stp>##V3_BDHV12</stp>
        <stp>CL1 Comdty</stp>
        <stp>PX_HIGH</stp>
        <stp>13/04/2015</stp>
        <stp>13/04/2015</stp>
        <stp>[Bbg_Market_Data_CL.xlsm]data!R499C6</stp>
        <tr r="F499" s="1"/>
        <tr r="F499" s="1"/>
      </tp>
      <tp t="s">
        <v>#N/A Requesting Data...</v>
        <stp/>
        <stp>##V3_BDHV12</stp>
        <stp>CL1 Comdty</stp>
        <stp>PX_LAST</stp>
        <stp>25/09/2015</stp>
        <stp>25/09/2015</stp>
        <stp>[Bbg_Market_Data_CL.xlsm]data!R383C9</stp>
        <tr r="I383" s="1"/>
      </tp>
      <tp t="s">
        <v>#N/A Requesting Data...</v>
        <stp/>
        <stp>##V3_BDHV12</stp>
        <stp>CL1 Comdty</stp>
        <stp>PX_LAST</stp>
        <stp>16/09/2015</stp>
        <stp>16/09/2015</stp>
        <stp>[Bbg_Market_Data_CL.xlsm]data!R390C9</stp>
        <tr r="I390" s="1"/>
      </tp>
      <tp t="s">
        <v>#N/A Requesting Data...</v>
        <stp/>
        <stp>##V3_BDHV12</stp>
        <stp>CL1 Comdty</stp>
        <stp>PX_LAST</stp>
        <stp>17/08/2015</stp>
        <stp>17/08/2015</stp>
        <stp>[Bbg_Market_Data_CL.xlsm]data!R411C9</stp>
        <tr r="I411" s="1"/>
      </tp>
      <tp>
        <v>50.71</v>
        <stp/>
        <stp>##V3_BDHV12</stp>
        <stp>CL1 Comdty</stp>
        <stp>PX_HIGH</stp>
        <stp>22/07/2015</stp>
        <stp>22/07/2015</stp>
        <stp>[Bbg_Market_Data_CL.xlsm]data!R429C6</stp>
        <tr r="F429" s="1"/>
        <tr r="F429" s="1"/>
      </tp>
      <tp t="s">
        <v>#N/A Requesting Data...</v>
        <stp/>
        <stp>##V3_BDHV12</stp>
        <stp>CL1 Comdty</stp>
        <stp>PX_LAST</stp>
        <stp>04/08/2016</stp>
        <stp>04/08/2016</stp>
        <stp>[Bbg_Market_Data_CL.xlsm]data!R170C9</stp>
        <tr r="I170" s="1"/>
      </tp>
      <tp t="s">
        <v>#N/A Requesting Data...</v>
        <stp/>
        <stp>##V3_BDHV12</stp>
        <stp>CL2 Comdty</stp>
        <stp>PX_LAST</stp>
        <stp>14/09/2016</stp>
        <stp>14/09/2016</stp>
        <stp>[Bbg_Market_Data_CL.xlsm]data!R143C9</stp>
        <tr r="I143" s="1"/>
      </tp>
      <tp>
        <v>51.4</v>
        <stp/>
        <stp>##V3_BDHV12</stp>
        <stp>CL1 Comdty</stp>
        <stp>PX_OPEN</stp>
        <stp>20/10/2016</stp>
        <stp>20/10/2016</stp>
        <stp>[Bbg_Market_Data_CL.xlsm]data!R118C5</stp>
        <tr r="E118" s="1"/>
        <tr r="E118" s="1"/>
      </tp>
      <tp>
        <v>41.69</v>
        <stp/>
        <stp>##V3_BDHV12</stp>
        <stp>CL1 Comdty</stp>
        <stp>PX_OPEN</stp>
        <stp>02/12/2015</stp>
        <stp>02/12/2015</stp>
        <stp>[Bbg_Market_Data_CL.xlsm]data!R338C5</stp>
        <tr r="E338" s="1"/>
        <tr r="E338" s="1"/>
      </tp>
      <tp>
        <v>45.74</v>
        <stp/>
        <stp>##V3_BDHV12</stp>
        <stp>CL1 Comdty</stp>
        <stp>PX_OPEN</stp>
        <stp>30/10/2015</stp>
        <stp>30/10/2015</stp>
        <stp>[Bbg_Market_Data_CL.xlsm]data!R359C5</stp>
        <tr r="E359" s="1"/>
        <tr r="E359" s="1"/>
      </tp>
      <tp>
        <v>33.89</v>
        <stp/>
        <stp>##V3_BDHV12</stp>
        <stp>CL1 Comdty</stp>
        <stp>PX_OPEN</stp>
        <stp>02/03/2016</stp>
        <stp>02/03/2016</stp>
        <stp>[Bbg_Market_Data_CL.xlsm]data!R278C5</stp>
        <tr r="E278" s="1"/>
        <tr r="E278" s="1"/>
      </tp>
      <tp>
        <v>37.369999999999997</v>
        <stp/>
        <stp>##V3_BDHV12</stp>
        <stp>CL1 Comdty</stp>
        <stp>PX_OPEN</stp>
        <stp>15/03/2016</stp>
        <stp>15/03/2016</stp>
        <stp>[Bbg_Market_Data_CL.xlsm]data!R269C5</stp>
        <tr r="E269" s="1"/>
        <tr r="E269" s="1"/>
      </tp>
      <tp>
        <v>29.14</v>
        <stp/>
        <stp>##V3_BDHV12</stp>
        <stp>CL1 Comdty</stp>
        <stp>PX_OPEN</stp>
        <stp>17/02/2016</stp>
        <stp>17/02/2016</stp>
        <stp>[Bbg_Market_Data_CL.xlsm]data!R288C5</stp>
        <tr r="E288" s="1"/>
        <tr r="E288" s="1"/>
      </tp>
      <tp>
        <v>36.32</v>
        <stp/>
        <stp>##V3_BDHV12</stp>
        <stp>CL1 Comdty</stp>
        <stp>PX_OPEN</stp>
        <stp>15/12/2015</stp>
        <stp>15/12/2015</stp>
        <stp>[Bbg_Market_Data_CL.xlsm]data!R329C5</stp>
        <tr r="E329" s="1"/>
        <tr r="E329" s="1"/>
      </tp>
      <tp>
        <v>47.76</v>
        <stp/>
        <stp>##V3_BDHV12</stp>
        <stp>CL1 Comdty</stp>
        <stp>PX_OPEN</stp>
        <stp>30/09/2016</stp>
        <stp>30/09/2016</stp>
        <stp>[Bbg_Market_Data_CL.xlsm]data!R131C5</stp>
        <tr r="E131" s="1"/>
        <tr r="E131" s="1"/>
      </tp>
      <tp>
        <v>45.71</v>
        <stp/>
        <stp>##V3_BDHV12</stp>
        <stp>CL1 Comdty</stp>
        <stp>PX_OPEN</stp>
        <stp>11/09/2015</stp>
        <stp>11/09/2015</stp>
        <stp>[Bbg_Market_Data_CL.xlsm]data!R393C5</stp>
        <tr r="E393" s="1"/>
        <tr r="E393" s="1"/>
      </tp>
      <tp>
        <v>41.35</v>
        <stp/>
        <stp>##V3_BDHV12</stp>
        <stp>CL1 Comdty</stp>
        <stp>PX_OPEN</stp>
        <stp>01/08/2016</stp>
        <stp>01/08/2016</stp>
        <stp>[Bbg_Market_Data_CL.xlsm]data!R173C5</stp>
        <tr r="E173" s="1"/>
        <tr r="E173" s="1"/>
      </tp>
      <tp>
        <v>46.37</v>
        <stp/>
        <stp>##V3_BDHV12</stp>
        <stp>CL1 Comdty</stp>
        <stp>PX_OPEN</stp>
        <stp>17/08/2016</stp>
        <stp>17/08/2016</stp>
        <stp>[Bbg_Market_Data_CL.xlsm]data!R162C5</stp>
        <tr r="E162" s="1"/>
        <tr r="E162" s="1"/>
      </tp>
      <tp>
        <v>42.23</v>
        <stp/>
        <stp>##V3_BDHV12</stp>
        <stp>CL1 Comdty</stp>
        <stp>PX_OPEN</stp>
        <stp>14/08/2015</stp>
        <stp>14/08/2015</stp>
        <stp>[Bbg_Market_Data_CL.xlsm]data!R412C5</stp>
        <tr r="E412" s="1"/>
        <tr r="E412" s="1"/>
      </tp>
      <tp>
        <v>45</v>
        <stp/>
        <stp>##V3_BDHV12</stp>
        <stp>CL1 Comdty</stp>
        <stp>PX_OPEN</stp>
        <stp>14/09/2016</stp>
        <stp>14/09/2016</stp>
        <stp>[Bbg_Market_Data_CL.xlsm]data!R143C5</stp>
        <tr r="E143" s="1"/>
        <tr r="E143" s="1"/>
      </tp>
      <tp t="s">
        <v>#N/A Requesting Data...</v>
        <stp/>
        <stp>##V3_BDHV12</stp>
        <stp>CL2 Comdty</stp>
        <stp>RSI_30D</stp>
        <stp>24/10/2016</stp>
        <stp>24/10/2016</stp>
        <stp>[Bbg_Market_Data_CL.xlsm]data!R116C14</stp>
        <tr r="N116" s="1"/>
      </tp>
      <tp t="s">
        <v>#N/A Requesting Data...</v>
        <stp/>
        <stp>##V3_BDHV12</stp>
        <stp>CL1 Comdty</stp>
        <stp>RSI_30D</stp>
        <stp>24/10/2016</stp>
        <stp>24/10/2016</stp>
        <stp>[Bbg_Market_Data_CL.xlsm]data!R116C14</stp>
        <tr r="N116" s="1"/>
      </tp>
      <tp t="s">
        <v>#N/A Requesting Data...</v>
        <stp/>
        <stp>##V3_BDHV12</stp>
        <stp>CL2 Comdty</stp>
        <stp>RSI_30D</stp>
        <stp>02/07/2015</stp>
        <stp>02/07/2015</stp>
        <stp>[Bbg_Market_Data_CL.xlsm]data!R442C14</stp>
        <tr r="N442" s="1"/>
      </tp>
      <tp t="s">
        <v>#N/A Requesting Data...</v>
        <stp/>
        <stp>##V3_BDHV12</stp>
        <stp>CL1 Comdty</stp>
        <stp>RSI_30D</stp>
        <stp>02/07/2015</stp>
        <stp>02/07/2015</stp>
        <stp>[Bbg_Market_Data_CL.xlsm]data!R442C14</stp>
        <tr r="N442" s="1"/>
      </tp>
      <tp t="s">
        <v>#N/A Requesting Data...</v>
        <stp/>
        <stp>##V3_BDHV12</stp>
        <stp>CL1 Comdty</stp>
        <stp>RSI_14D</stp>
        <stp>23/05/2016</stp>
        <stp>23/05/2016</stp>
        <stp>[Bbg_Market_Data_CL.xlsm]data!R221C13</stp>
        <tr r="M221" s="1"/>
      </tp>
      <tp t="s">
        <v>#N/A Requesting Data...</v>
        <stp/>
        <stp>##V3_BDHV12</stp>
        <stp>CL2 Comdty</stp>
        <stp>RSI_14D</stp>
        <stp>23/05/2016</stp>
        <stp>23/05/2016</stp>
        <stp>[Bbg_Market_Data_CL.xlsm]data!R221C13</stp>
        <tr r="M221" s="1"/>
      </tp>
      <tp t="s">
        <v>#N/A Requesting Data...</v>
        <stp/>
        <stp>##V3_BDHV12</stp>
        <stp>CL2 Comdty</stp>
        <stp>RSI_30D</stp>
        <stp>12/06/2015</stp>
        <stp>12/06/2015</stp>
        <stp>[Bbg_Market_Data_CL.xlsm]data!R456C14</stp>
        <tr r="N456" s="1"/>
      </tp>
      <tp t="s">
        <v>#N/A Requesting Data...</v>
        <stp/>
        <stp>##V3_BDHV12</stp>
        <stp>CL1 Comdty</stp>
        <stp>RSI_30D</stp>
        <stp>12/06/2015</stp>
        <stp>12/06/2015</stp>
        <stp>[Bbg_Market_Data_CL.xlsm]data!R456C14</stp>
        <tr r="N456" s="1"/>
      </tp>
      <tp t="s">
        <v>#N/A Requesting Data...</v>
        <stp/>
        <stp>##V3_BDHV12</stp>
        <stp>CL1 Comdty</stp>
        <stp>RSI_30D</stp>
        <stp>05/10/2015</stp>
        <stp>05/10/2015</stp>
        <stp>[Bbg_Market_Data_CL.xlsm]data!R377C14</stp>
        <tr r="N377" s="1"/>
      </tp>
      <tp t="s">
        <v>#N/A Requesting Data...</v>
        <stp/>
        <stp>##V3_BDHV12</stp>
        <stp>CL2 Comdty</stp>
        <stp>RSI_30D</stp>
        <stp>05/10/2015</stp>
        <stp>05/10/2015</stp>
        <stp>[Bbg_Market_Data_CL.xlsm]data!R377C14</stp>
        <tr r="N377" s="1"/>
      </tp>
      <tp t="s">
        <v>#N/A Requesting Data...</v>
        <stp/>
        <stp>##V3_BDHV12</stp>
        <stp>CL1 Comdty</stp>
        <stp>RSI_30D</stp>
        <stp>22/05/2015</stp>
        <stp>22/05/2015</stp>
        <stp>[Bbg_Market_Data_CL.xlsm]data!R470C14</stp>
        <tr r="N470" s="1"/>
      </tp>
      <tp t="s">
        <v>#N/A Requesting Data...</v>
        <stp/>
        <stp>##V3_BDHV12</stp>
        <stp>CL2 Comdty</stp>
        <stp>RSI_30D</stp>
        <stp>22/05/2015</stp>
        <stp>22/05/2015</stp>
        <stp>[Bbg_Market_Data_CL.xlsm]data!R470C14</stp>
        <tr r="N470" s="1"/>
      </tp>
      <tp t="s">
        <v>#N/A Requesting Data...</v>
        <stp/>
        <stp>##V3_BDHV12</stp>
        <stp>CL2 Comdty</stp>
        <stp>RSI_14D</stp>
        <stp>13/06/2016</stp>
        <stp>13/06/2016</stp>
        <stp>[Bbg_Market_Data_CL.xlsm]data!R207C13</stp>
        <tr r="M207" s="1"/>
      </tp>
      <tp t="s">
        <v>#N/A Requesting Data...</v>
        <stp/>
        <stp>##V3_BDHV12</stp>
        <stp>CL1 Comdty</stp>
        <stp>RSI_14D</stp>
        <stp>13/06/2016</stp>
        <stp>13/06/2016</stp>
        <stp>[Bbg_Market_Data_CL.xlsm]data!R207C13</stp>
        <tr r="M207" s="1"/>
      </tp>
      <tp t="s">
        <v>#N/A Requesting Data...</v>
        <stp/>
        <stp>##V3_BDHV12</stp>
        <stp>CL2 Comdty</stp>
        <stp>RSI_30D</stp>
        <stp>26/02/2016</stp>
        <stp>26/02/2016</stp>
        <stp>[Bbg_Market_Data_CL.xlsm]data!R281C14</stp>
        <tr r="N281" s="1"/>
      </tp>
      <tp t="s">
        <v>#N/A Requesting Data...</v>
        <stp/>
        <stp>##V3_BDHV12</stp>
        <stp>CL1 Comdty</stp>
        <stp>RSI_30D</stp>
        <stp>26/02/2016</stp>
        <stp>26/02/2016</stp>
        <stp>[Bbg_Market_Data_CL.xlsm]data!R281C14</stp>
        <tr r="N281" s="1"/>
      </tp>
      <tp t="s">
        <v>#N/A Requesting Data...</v>
        <stp/>
        <stp>##V3_BDHV12</stp>
        <stp>CL1 Comdty</stp>
        <stp>RSI_30D</stp>
        <stp>23/04/2015</stp>
        <stp>23/04/2015</stp>
        <stp>[Bbg_Market_Data_CL.xlsm]data!R491C14</stp>
        <tr r="N491" s="1"/>
      </tp>
      <tp t="s">
        <v>#N/A Requesting Data...</v>
        <stp/>
        <stp>##V3_BDHV12</stp>
        <stp>CL2 Comdty</stp>
        <stp>RSI_30D</stp>
        <stp>23/04/2015</stp>
        <stp>23/04/2015</stp>
        <stp>[Bbg_Market_Data_CL.xlsm]data!R491C14</stp>
        <tr r="N491" s="1"/>
      </tp>
      <tp t="s">
        <v>#N/A Requesting Data...</v>
        <stp/>
        <stp>##V3_BDHV12</stp>
        <stp>CL2 Comdty</stp>
        <stp>RSI_14D</stp>
        <stp>21/07/2016</stp>
        <stp>21/07/2016</stp>
        <stp>[Bbg_Market_Data_CL.xlsm]data!R180C13</stp>
        <tr r="M180" s="1"/>
      </tp>
      <tp t="s">
        <v>#N/A Requesting Data...</v>
        <stp/>
        <stp>##V3_BDHV12</stp>
        <stp>CL1 Comdty</stp>
        <stp>RSI_14D</stp>
        <stp>21/07/2016</stp>
        <stp>21/07/2016</stp>
        <stp>[Bbg_Market_Data_CL.xlsm]data!R180C13</stp>
        <tr r="M180" s="1"/>
      </tp>
      <tp t="s">
        <v>#N/A Requesting Data...</v>
        <stp/>
        <stp>##V3_BDHV12</stp>
        <stp>CL2 Comdty</stp>
        <stp>RSI_30D</stp>
        <stp>07/01/2016</stp>
        <stp>07/01/2016</stp>
        <stp>[Bbg_Market_Data_CL.xlsm]data!R314C14</stp>
        <tr r="N314" s="1"/>
      </tp>
      <tp t="s">
        <v>#N/A Requesting Data...</v>
        <stp/>
        <stp>##V3_BDHV12</stp>
        <stp>CL1 Comdty</stp>
        <stp>RSI_30D</stp>
        <stp>07/01/2016</stp>
        <stp>07/01/2016</stp>
        <stp>[Bbg_Market_Data_CL.xlsm]data!R314C14</stp>
        <tr r="N314" s="1"/>
      </tp>
      <tp t="s">
        <v>#N/A Requesting Data...</v>
        <stp/>
        <stp>##V3_BDHV12</stp>
        <stp>CL2 Comdty</stp>
        <stp>RSI_14D</stp>
        <stp>22/04/2016</stp>
        <stp>22/04/2016</stp>
        <stp>[Bbg_Market_Data_CL.xlsm]data!R242C13</stp>
        <tr r="M242" s="1"/>
      </tp>
      <tp t="s">
        <v>#N/A Requesting Data...</v>
        <stp/>
        <stp>##V3_BDHV12</stp>
        <stp>CL1 Comdty</stp>
        <stp>RSI_14D</stp>
        <stp>22/04/2016</stp>
        <stp>22/04/2016</stp>
        <stp>[Bbg_Market_Data_CL.xlsm]data!R242C13</stp>
        <tr r="M242" s="1"/>
      </tp>
      <tp t="s">
        <v>#N/A Requesting Data...</v>
        <stp/>
        <stp>##V3_BDHV12</stp>
        <stp>CL2 Comdty</stp>
        <stp>RSI_30D</stp>
        <stp>13/07/2015</stp>
        <stp>13/07/2015</stp>
        <stp>[Bbg_Market_Data_CL.xlsm]data!R436C14</stp>
        <tr r="N436" s="1"/>
      </tp>
      <tp t="s">
        <v>#N/A Requesting Data...</v>
        <stp/>
        <stp>##V3_BDHV12</stp>
        <stp>CL1 Comdty</stp>
        <stp>RSI_30D</stp>
        <stp>13/07/2015</stp>
        <stp>13/07/2015</stp>
        <stp>[Bbg_Market_Data_CL.xlsm]data!R436C14</stp>
        <tr r="N436" s="1"/>
      </tp>
      <tp t="s">
        <v>#N/A Requesting Data...</v>
        <stp/>
        <stp>##V3_BDHV12</stp>
        <stp>CL1 Comdty</stp>
        <stp>RSI_30D</stp>
        <stp>04/11/2015</stp>
        <stp>04/11/2015</stp>
        <stp>[Bbg_Market_Data_CL.xlsm]data!R356C14</stp>
        <tr r="N356" s="1"/>
      </tp>
      <tp t="s">
        <v>#N/A Requesting Data...</v>
        <stp/>
        <stp>##V3_BDHV12</stp>
        <stp>CL2 Comdty</stp>
        <stp>RSI_30D</stp>
        <stp>04/11/2015</stp>
        <stp>04/11/2015</stp>
        <stp>[Bbg_Market_Data_CL.xlsm]data!R356C14</stp>
        <tr r="N356" s="1"/>
      </tp>
      <tp t="s">
        <v>#N/A Requesting Data...</v>
        <stp/>
        <stp>##V3_BDHV12</stp>
        <stp>CL2 Comdty</stp>
        <stp>RSI_30D</stp>
        <stp>03/06/2015</stp>
        <stp>03/06/2015</stp>
        <stp>[Bbg_Market_Data_CL.xlsm]data!R463C14</stp>
        <tr r="N463" s="1"/>
      </tp>
      <tp t="s">
        <v>#N/A Requesting Data...</v>
        <stp/>
        <stp>##V3_BDHV12</stp>
        <stp>CL1 Comdty</stp>
        <stp>RSI_30D</stp>
        <stp>03/06/2015</stp>
        <stp>03/06/2015</stp>
        <stp>[Bbg_Market_Data_CL.xlsm]data!R463C14</stp>
        <tr r="N463" s="1"/>
      </tp>
      <tp t="s">
        <v>#N/A Requesting Data...</v>
        <stp/>
        <stp>##V3_BDHV12</stp>
        <stp>CL1 Comdty</stp>
        <stp>RSI_14D</stp>
        <stp>02/06/2016</stp>
        <stp>02/06/2016</stp>
        <stp>[Bbg_Market_Data_CL.xlsm]data!R214C13</stp>
        <tr r="M214" s="1"/>
      </tp>
      <tp t="s">
        <v>#N/A Requesting Data...</v>
        <stp/>
        <stp>##V3_BDHV12</stp>
        <stp>CL2 Comdty</stp>
        <stp>RSI_30D</stp>
        <stp>14/10/2015</stp>
        <stp>14/10/2015</stp>
        <stp>[Bbg_Market_Data_CL.xlsm]data!R371C14</stp>
        <tr r="N371" s="1"/>
      </tp>
      <tp t="s">
        <v>#N/A Requesting Data...</v>
        <stp/>
        <stp>##V3_BDHV12</stp>
        <stp>CL1 Comdty</stp>
        <stp>RSI_30D</stp>
        <stp>14/10/2015</stp>
        <stp>14/10/2015</stp>
        <stp>[Bbg_Market_Data_CL.xlsm]data!R371C14</stp>
        <tr r="N371" s="1"/>
      </tp>
      <tp t="s">
        <v>#N/A Requesting Data...</v>
        <stp/>
        <stp>##V3_BDHV12</stp>
        <stp>CL2 Comdty</stp>
        <stp>RSI_14D</stp>
        <stp>02/06/2016</stp>
        <stp>02/06/2016</stp>
        <stp>[Bbg_Market_Data_CL.xlsm]data!R214C13</stp>
        <tr r="M214" s="1"/>
      </tp>
      <tp t="s">
        <v>#N/A Requesting Data...</v>
        <stp/>
        <stp>##V3_BDHV12</stp>
        <stp>CL2 Comdty</stp>
        <stp>RSI_14D</stp>
        <stp>12/07/2016</stp>
        <stp>12/07/2016</stp>
        <stp>[Bbg_Market_Data_CL.xlsm]data!R187C13</stp>
        <tr r="M187" s="1"/>
      </tp>
      <tp t="s">
        <v>#N/A Requesting Data...</v>
        <stp/>
        <stp>##V3_BDHV12</stp>
        <stp>CL1 Comdty</stp>
        <stp>RSI_14D</stp>
        <stp>12/07/2016</stp>
        <stp>12/07/2016</stp>
        <stp>[Bbg_Market_Data_CL.xlsm]data!R187C13</stp>
        <tr r="M187" s="1"/>
      </tp>
      <tp t="s">
        <v>#N/A Requesting Data...</v>
        <stp/>
        <stp>##V3_BDHV12</stp>
        <stp>CL2 Comdty</stp>
        <stp>RSI_30D</stp>
        <stp>16/11/2016</stp>
        <stp>16/11/2016</stp>
        <stp>[Bbg_Market_Data_CL.xlsm]data!R100C14</stp>
        <tr r="N100" s="1"/>
      </tp>
      <tp t="s">
        <v>#N/A Requesting Data...</v>
        <stp/>
        <stp>##V3_BDHV12</stp>
        <stp>CL1 Comdty</stp>
        <stp>RSI_30D</stp>
        <stp>16/11/2016</stp>
        <stp>16/11/2016</stp>
        <stp>[Bbg_Market_Data_CL.xlsm]data!R100C14</stp>
        <tr r="N100" s="1"/>
      </tp>
      <tp t="s">
        <v>#N/A Requesting Data...</v>
        <stp/>
        <stp>##V3_BDHV12</stp>
        <stp>CL1 Comdty</stp>
        <stp>RSI_30D</stp>
        <stp>07/12/2015</stp>
        <stp>07/12/2015</stp>
        <stp>[Bbg_Market_Data_CL.xlsm]data!R335C14</stp>
        <tr r="N335" s="1"/>
      </tp>
      <tp t="s">
        <v>#N/A Requesting Data...</v>
        <stp/>
        <stp>##V3_BDHV12</stp>
        <stp>CL2 Comdty</stp>
        <stp>RSI_14D</stp>
        <stp>11/04/2016</stp>
        <stp>11/04/2016</stp>
        <stp>[Bbg_Market_Data_CL.xlsm]data!R251C13</stp>
        <tr r="M251" s="1"/>
      </tp>
      <tp t="s">
        <v>#N/A Requesting Data...</v>
        <stp/>
        <stp>##V3_BDHV12</stp>
        <stp>CL1 Comdty</stp>
        <stp>RSI_14D</stp>
        <stp>11/04/2016</stp>
        <stp>11/04/2016</stp>
        <stp>[Bbg_Market_Data_CL.xlsm]data!R251C13</stp>
        <tr r="M251" s="1"/>
      </tp>
      <tp t="s">
        <v>#N/A Requesting Data...</v>
        <stp/>
        <stp>##V3_BDHV12</stp>
        <stp>CL2 Comdty</stp>
        <stp>RSI_30D</stp>
        <stp>07/12/2015</stp>
        <stp>07/12/2015</stp>
        <stp>[Bbg_Market_Data_CL.xlsm]data!R335C14</stp>
        <tr r="N335" s="1"/>
      </tp>
      <tp t="s">
        <v>#N/A Requesting Data...</v>
        <stp/>
        <stp>##V3_BDHV12</stp>
        <stp>CL1 Comdty</stp>
        <stp>RSI_30D</stp>
        <stp>06/10/2016</stp>
        <stp>06/10/2016</stp>
        <stp>[Bbg_Market_Data_CL.xlsm]data!R127C14</stp>
        <tr r="N127" s="1"/>
      </tp>
      <tp t="s">
        <v>#N/A Requesting Data...</v>
        <stp/>
        <stp>##V3_BDHV12</stp>
        <stp>CL2 Comdty</stp>
        <stp>RSI_30D</stp>
        <stp>20/07/2015</stp>
        <stp>20/07/2015</stp>
        <stp>[Bbg_Market_Data_CL.xlsm]data!R431C14</stp>
        <tr r="N431" s="1"/>
      </tp>
      <tp t="s">
        <v>#N/A Requesting Data...</v>
        <stp/>
        <stp>##V3_BDHV12</stp>
        <stp>CL1 Comdty</stp>
        <stp>RSI_30D</stp>
        <stp>20/07/2015</stp>
        <stp>20/07/2015</stp>
        <stp>[Bbg_Market_Data_CL.xlsm]data!R431C14</stp>
        <tr r="N431" s="1"/>
      </tp>
      <tp t="s">
        <v>#N/A Requesting Data...</v>
        <stp/>
        <stp>##V3_BDHV12</stp>
        <stp>CL2 Comdty</stp>
        <stp>RSI_30D</stp>
        <stp>06/10/2016</stp>
        <stp>06/10/2016</stp>
        <stp>[Bbg_Market_Data_CL.xlsm]data!R127C14</stp>
        <tr r="N127" s="1"/>
      </tp>
      <tp t="s">
        <v>#N/A Requesting Data...</v>
        <stp/>
        <stp>##V3_BDHV12</stp>
        <stp>CL2 Comdty</stp>
        <stp>RSI_30D</stp>
        <stp>30/06/2015</stp>
        <stp>30/06/2015</stp>
        <stp>[Bbg_Market_Data_CL.xlsm]data!R444C14</stp>
        <tr r="N444" s="1"/>
      </tp>
      <tp t="s">
        <v>#N/A Requesting Data...</v>
        <stp/>
        <stp>##V3_BDHV12</stp>
        <stp>CL1 Comdty</stp>
        <stp>RSI_30D</stp>
        <stp>30/06/2015</stp>
        <stp>30/06/2015</stp>
        <stp>[Bbg_Market_Data_CL.xlsm]data!R444C14</stp>
        <tr r="N444" s="1"/>
      </tp>
      <tp t="s">
        <v>#N/A Requesting Data...</v>
        <stp/>
        <stp>##V3_BDHV12</stp>
        <stp>CL2 Comdty</stp>
        <stp>RSI_30D</stp>
        <stp>27/10/2015</stp>
        <stp>27/10/2015</stp>
        <stp>[Bbg_Market_Data_CL.xlsm]data!R362C14</stp>
        <tr r="N362" s="1"/>
      </tp>
      <tp t="s">
        <v>#N/A Requesting Data...</v>
        <stp/>
        <stp>##V3_BDHV12</stp>
        <stp>CL1 Comdty</stp>
        <stp>RSI_30D</stp>
        <stp>27/10/2015</stp>
        <stp>27/10/2015</stp>
        <stp>[Bbg_Market_Data_CL.xlsm]data!R362C14</stp>
        <tr r="N362" s="1"/>
      </tp>
      <tp t="s">
        <v>#N/A Requesting Data...</v>
        <stp/>
        <stp>##V3_BDHV12</stp>
        <stp>CL1 Comdty</stp>
        <stp>RSI_30D</stp>
        <stp>04/02/2016</stp>
        <stp>04/02/2016</stp>
        <stp>[Bbg_Market_Data_CL.xlsm]data!R295C14</stp>
        <tr r="N295" s="1"/>
      </tp>
      <tp t="s">
        <v>#N/A Requesting Data...</v>
        <stp/>
        <stp>##V3_BDHV12</stp>
        <stp>CL2 Comdty</stp>
        <stp>RSI_30D</stp>
        <stp>04/02/2016</stp>
        <stp>04/02/2016</stp>
        <stp>[Bbg_Market_Data_CL.xlsm]data!R295C14</stp>
        <tr r="N295" s="1"/>
      </tp>
      <tp t="s">
        <v>#N/A Requesting Data...</v>
        <stp/>
        <stp>##V3_BDHV12</stp>
        <stp>CL2 Comdty</stp>
        <stp>RSI_30D</stp>
        <stp>10/04/2015</stp>
        <stp>10/04/2015</stp>
        <stp>[Bbg_Market_Data_CL.xlsm]data!R500C14</stp>
        <tr r="N500" s="1"/>
      </tp>
      <tp t="s">
        <v>#N/A Requesting Data...</v>
        <stp/>
        <stp>##V3_BDHV12</stp>
        <stp>CL1 Comdty</stp>
        <stp>RSI_30D</stp>
        <stp>10/04/2015</stp>
        <stp>10/04/2015</stp>
        <stp>[Bbg_Market_Data_CL.xlsm]data!R500C14</stp>
        <tr r="N500" s="1"/>
      </tp>
      <tp t="s">
        <v>#N/A Requesting Data...</v>
        <stp/>
        <stp>##V3_BDHV12</stp>
        <stp>CL2 Comdty</stp>
        <stp>RSI_30D</stp>
        <stp>25/01/2016</stp>
        <stp>25/01/2016</stp>
        <stp>[Bbg_Market_Data_CL.xlsm]data!R303C14</stp>
        <tr r="N303" s="1"/>
      </tp>
      <tp t="s">
        <v>#N/A Requesting Data...</v>
        <stp/>
        <stp>##V3_BDHV12</stp>
        <stp>CL1 Comdty</stp>
        <stp>RSI_30D</stp>
        <stp>25/01/2016</stp>
        <stp>25/01/2016</stp>
        <stp>[Bbg_Market_Data_CL.xlsm]data!R303C14</stp>
        <tr r="N303" s="1"/>
      </tp>
      <tp t="s">
        <v>#N/A Requesting Data...</v>
        <stp/>
        <stp>##V3_BDHV12</stp>
        <stp>CL1 Comdty</stp>
        <stp>RSI_30D</stp>
        <stp>07/11/2016</stp>
        <stp>07/11/2016</stp>
        <stp>[Bbg_Market_Data_CL.xlsm]data!R106C14</stp>
        <tr r="N106" s="1"/>
      </tp>
      <tp t="s">
        <v>#N/A Requesting Data...</v>
        <stp/>
        <stp>##V3_BDHV12</stp>
        <stp>CL2 Comdty</stp>
        <stp>RSI_30D</stp>
        <stp>07/11/2016</stp>
        <stp>07/11/2016</stp>
        <stp>[Bbg_Market_Data_CL.xlsm]data!R106C14</stp>
        <tr r="N106" s="1"/>
      </tp>
      <tp t="s">
        <v>#N/A Requesting Data...</v>
        <stp/>
        <stp>##V3_BDHV12</stp>
        <stp>CL1 Comdty</stp>
        <stp>RSI_30D</stp>
        <stp>31/07/2015</stp>
        <stp>31/07/2015</stp>
        <stp>[Bbg_Market_Data_CL.xlsm]data!R422C14</stp>
        <tr r="N422" s="1"/>
      </tp>
      <tp t="s">
        <v>#N/A Requesting Data...</v>
        <stp/>
        <stp>##V3_BDHV12</stp>
        <stp>CL2 Comdty</stp>
        <stp>RSI_30D</stp>
        <stp>31/07/2015</stp>
        <stp>31/07/2015</stp>
        <stp>[Bbg_Market_Data_CL.xlsm]data!R422C14</stp>
        <tr r="N422" s="1"/>
      </tp>
      <tp t="s">
        <v>#N/A Requesting Data...</v>
        <stp/>
        <stp>##V3_BDHV12</stp>
        <stp>CL1 Comdty</stp>
        <stp>RSI_30D</stp>
        <stp>16/12/2015</stp>
        <stp>16/12/2015</stp>
        <stp>[Bbg_Market_Data_CL.xlsm]data!R328C14</stp>
        <tr r="N328" s="1"/>
      </tp>
      <tp t="s">
        <v>#N/A Requesting Data...</v>
        <stp/>
        <stp>##V3_BDHV12</stp>
        <stp>CL2 Comdty</stp>
        <stp>RSI_30D</stp>
        <stp>16/12/2015</stp>
        <stp>16/12/2015</stp>
        <stp>[Bbg_Market_Data_CL.xlsm]data!R328C14</stp>
        <tr r="N328" s="1"/>
      </tp>
      <tp t="s">
        <v>#N/A Requesting Data...</v>
        <stp/>
        <stp>##V3_BDHV12</stp>
        <stp>CL2 Comdty</stp>
        <stp>RSI_30D</stp>
        <stp>17/10/2016</stp>
        <stp>17/10/2016</stp>
        <stp>[Bbg_Market_Data_CL.xlsm]data!R121C14</stp>
        <tr r="N121" s="1"/>
      </tp>
      <tp t="s">
        <v>#N/A Requesting Data...</v>
        <stp/>
        <stp>##V3_BDHV12</stp>
        <stp>CL1 Comdty</stp>
        <stp>RSI_30D</stp>
        <stp>17/10/2016</stp>
        <stp>17/10/2016</stp>
        <stp>[Bbg_Market_Data_CL.xlsm]data!R121C14</stp>
        <tr r="N121" s="1"/>
      </tp>
      <tp t="s">
        <v>#N/A Requesting Data...</v>
        <stp/>
        <stp>##V3_BDHV12</stp>
        <stp>CL2 Comdty</stp>
        <stp>RSI_14D</stp>
        <stp>10/05/2016</stp>
        <stp>10/05/2016</stp>
        <stp>[Bbg_Market_Data_CL.xlsm]data!R230C13</stp>
        <tr r="M230" s="1"/>
      </tp>
      <tp t="s">
        <v>#N/A Requesting Data...</v>
        <stp/>
        <stp>##V3_BDHV12</stp>
        <stp>CL1 Comdty</stp>
        <stp>RSI_14D</stp>
        <stp>10/05/2016</stp>
        <stp>10/05/2016</stp>
        <stp>[Bbg_Market_Data_CL.xlsm]data!R230C13</stp>
        <tr r="M230" s="1"/>
      </tp>
      <tp t="s">
        <v>#N/A Requesting Data...</v>
        <stp/>
        <stp>##V3_BDHV12</stp>
        <stp>CL2 Comdty</stp>
        <stp>RSI_30D</stp>
        <stp>11/05/2015</stp>
        <stp>11/05/2015</stp>
        <stp>[Bbg_Market_Data_CL.xlsm]data!R479C14</stp>
        <tr r="N479" s="1"/>
      </tp>
      <tp t="s">
        <v>#N/A Requesting Data...</v>
        <stp/>
        <stp>##V3_BDHV12</stp>
        <stp>CL1 Comdty</stp>
        <stp>RSI_30D</stp>
        <stp>11/05/2015</stp>
        <stp>11/05/2015</stp>
        <stp>[Bbg_Market_Data_CL.xlsm]data!R479C14</stp>
        <tr r="N479" s="1"/>
      </tp>
      <tp t="s">
        <v>#N/A Requesting Data...</v>
        <stp/>
        <stp>##V3_BDHV12</stp>
        <stp>CL1 Comdty</stp>
        <stp>RSI_14D</stp>
        <stp>20/06/2016</stp>
        <stp>20/06/2016</stp>
        <stp>[Bbg_Market_Data_CL.xlsm]data!R202C13</stp>
        <tr r="M202" s="1"/>
      </tp>
      <tp t="s">
        <v>#N/A Requesting Data...</v>
        <stp/>
        <stp>##V3_BDHV12</stp>
        <stp>CL2 Comdty</stp>
        <stp>RSI_14D</stp>
        <stp>20/06/2016</stp>
        <stp>20/06/2016</stp>
        <stp>[Bbg_Market_Data_CL.xlsm]data!R202C13</stp>
        <tr r="M202" s="1"/>
      </tp>
      <tp t="s">
        <v>#N/A Requesting Data...</v>
        <stp/>
        <stp>##V3_BDHV12</stp>
        <stp>CL1 Comdty</stp>
        <stp>RSI_30D</stp>
        <stp>14/03/2016</stp>
        <stp>14/03/2016</stp>
        <stp>[Bbg_Market_Data_CL.xlsm]data!R270C14</stp>
        <tr r="N270" s="1"/>
      </tp>
      <tp t="s">
        <v>#N/A Requesting Data...</v>
        <stp/>
        <stp>##V3_BDHV12</stp>
        <stp>CL2 Comdty</stp>
        <stp>RSI_30D</stp>
        <stp>14/03/2016</stp>
        <stp>14/03/2016</stp>
        <stp>[Bbg_Market_Data_CL.xlsm]data!R270C14</stp>
        <tr r="N270" s="1"/>
      </tp>
      <tp t="s">
        <v>#N/A Requesting Data...</v>
        <stp/>
        <stp>##V3_BDHV12</stp>
        <stp>CL1 Comdty</stp>
        <stp>RSI_14D</stp>
        <stp>17/02/2016</stp>
        <stp>17/02/2016</stp>
        <stp>[Bbg_Market_Data_CL.xlsm]data!R288C13</stp>
        <tr r="M288" s="1"/>
      </tp>
      <tp t="s">
        <v>#N/A Requesting Data...</v>
        <stp/>
        <stp>##V3_BDHV12</stp>
        <stp>CL2 Comdty</stp>
        <stp>RSI_14D</stp>
        <stp>17/02/2016</stp>
        <stp>17/02/2016</stp>
        <stp>[Bbg_Market_Data_CL.xlsm]data!R288C13</stp>
        <tr r="M288" s="1"/>
      </tp>
      <tp t="s">
        <v>#N/A Requesting Data...</v>
        <stp/>
        <stp>##V3_BDHV12</stp>
        <stp>CL1 Comdty</stp>
        <stp>RSI_14D</stp>
        <stp>07/03/2016</stp>
        <stp>07/03/2016</stp>
        <stp>[Bbg_Market_Data_CL.xlsm]data!R275C13</stp>
        <tr r="M275" s="1"/>
      </tp>
      <tp t="s">
        <v>#N/A Requesting Data...</v>
        <stp/>
        <stp>##V3_BDHV12</stp>
        <stp>CL2 Comdty</stp>
        <stp>RSI_14D</stp>
        <stp>07/03/2016</stp>
        <stp>07/03/2016</stp>
        <stp>[Bbg_Market_Data_CL.xlsm]data!R275C13</stp>
        <tr r="M275" s="1"/>
      </tp>
      <tp t="s">
        <v>#N/A Requesting Data...</v>
        <stp/>
        <stp>##V3_BDHV12</stp>
        <stp>CL2 Comdty</stp>
        <stp>RSI_30D</stp>
        <stp>03/05/2016</stp>
        <stp>03/05/2016</stp>
        <stp>[Bbg_Market_Data_CL.xlsm]data!R235C14</stp>
        <tr r="N235" s="1"/>
      </tp>
      <tp t="s">
        <v>#N/A Requesting Data...</v>
        <stp/>
        <stp>##V3_BDHV12</stp>
        <stp>CL1 Comdty</stp>
        <stp>RSI_30D</stp>
        <stp>03/05/2016</stp>
        <stp>03/05/2016</stp>
        <stp>[Bbg_Market_Data_CL.xlsm]data!R235C14</stp>
        <tr r="N235" s="1"/>
      </tp>
      <tp t="s">
        <v>#N/A Requesting Data...</v>
        <stp/>
        <stp>##V3_BDHV12</stp>
        <stp>CL2 Comdty</stp>
        <stp>RSI_30D</stp>
        <stp>13/04/2016</stp>
        <stp>13/04/2016</stp>
        <stp>[Bbg_Market_Data_CL.xlsm]data!R249C14</stp>
        <tr r="N249" s="1"/>
      </tp>
      <tp t="s">
        <v>#N/A Requesting Data...</v>
        <stp/>
        <stp>##V3_BDHV12</stp>
        <stp>CL1 Comdty</stp>
        <stp>RSI_30D</stp>
        <stp>13/04/2016</stp>
        <stp>13/04/2016</stp>
        <stp>[Bbg_Market_Data_CL.xlsm]data!R249C14</stp>
        <tr r="N249" s="1"/>
      </tp>
      <tp t="s">
        <v>#N/A Requesting Data...</v>
        <stp/>
        <stp>##V3_BDHV12</stp>
        <stp>CL2 Comdty</stp>
        <stp>RSI_14D</stp>
        <stp>04/10/2016</stp>
        <stp>04/10/2016</stp>
        <stp>[Bbg_Market_Data_CL.xlsm]data!R129C13</stp>
        <tr r="M129" s="1"/>
      </tp>
      <tp t="s">
        <v>#N/A Requesting Data...</v>
        <stp/>
        <stp>##V3_BDHV12</stp>
        <stp>CL1 Comdty</stp>
        <stp>RSI_14D</stp>
        <stp>04/10/2016</stp>
        <stp>04/10/2016</stp>
        <stp>[Bbg_Market_Data_CL.xlsm]data!R129C13</stp>
        <tr r="M129" s="1"/>
      </tp>
      <tp t="s">
        <v>#N/A Requesting Data...</v>
        <stp/>
        <stp>##V3_BDHV12</stp>
        <stp>CL2 Comdty</stp>
        <stp>RSI_14D</stp>
        <stp>22/07/2015</stp>
        <stp>22/07/2015</stp>
        <stp>[Bbg_Market_Data_CL.xlsm]data!R429C13</stp>
        <tr r="M429" s="1"/>
      </tp>
      <tp t="s">
        <v>#N/A Requesting Data...</v>
        <stp/>
        <stp>##V3_BDHV12</stp>
        <stp>CL1 Comdty</stp>
        <stp>RSI_14D</stp>
        <stp>22/07/2015</stp>
        <stp>22/07/2015</stp>
        <stp>[Bbg_Market_Data_CL.xlsm]data!R429C13</stp>
        <tr r="M429" s="1"/>
      </tp>
      <tp t="s">
        <v>#N/A Requesting Data...</v>
        <stp/>
        <stp>##V3_BDHV12</stp>
        <stp>CL1 Comdty</stp>
        <stp>RSI_14D</stp>
        <stp>14/11/2016</stp>
        <stp>14/11/2016</stp>
        <stp>[Bbg_Market_Data_CL.xlsm]data!R102C13</stp>
        <tr r="M102" s="1"/>
      </tp>
      <tp t="s">
        <v>#N/A Requesting Data...</v>
        <stp/>
        <stp>##V3_BDHV12</stp>
        <stp>CL2 Comdty</stp>
        <stp>RSI_14D</stp>
        <stp>14/11/2016</stp>
        <stp>14/11/2016</stp>
        <stp>[Bbg_Market_Data_CL.xlsm]data!R102C13</stp>
        <tr r="M102" s="1"/>
      </tp>
      <tp t="s">
        <v>#N/A Requesting Data...</v>
        <stp/>
        <stp>##V3_BDHV12</stp>
        <stp>CL2 Comdty</stp>
        <stp>RSI_30D</stp>
        <stp>01/07/2016</stp>
        <stp>01/07/2016</stp>
        <stp>[Bbg_Market_Data_CL.xlsm]data!R193C14</stp>
        <tr r="N193" s="1"/>
      </tp>
      <tp t="s">
        <v>#N/A Requesting Data...</v>
        <stp/>
        <stp>##V3_BDHV12</stp>
        <stp>CL1 Comdty</stp>
        <stp>RSI_30D</stp>
        <stp>01/07/2016</stp>
        <stp>01/07/2016</stp>
        <stp>[Bbg_Market_Data_CL.xlsm]data!R193C14</stp>
        <tr r="N193" s="1"/>
      </tp>
      <tp t="s">
        <v>#N/A Requesting Data...</v>
        <stp/>
        <stp>##V3_BDHV12</stp>
        <stp>CL2 Comdty</stp>
        <stp>RSI_30D</stp>
        <stp>22/06/2016</stp>
        <stp>22/06/2016</stp>
        <stp>[Bbg_Market_Data_CL.xlsm]data!R200C14</stp>
        <tr r="N200" s="1"/>
      </tp>
      <tp t="s">
        <v>#N/A Requesting Data...</v>
        <stp/>
        <stp>##V3_BDHV12</stp>
        <stp>CL1 Comdty</stp>
        <stp>RSI_30D</stp>
        <stp>22/06/2016</stp>
        <stp>22/06/2016</stp>
        <stp>[Bbg_Market_Data_CL.xlsm]data!R200C14</stp>
        <tr r="N200" s="1"/>
      </tp>
      <tp t="s">
        <v>#N/A Requesting Data...</v>
        <stp/>
        <stp>##V3_BDHV12</stp>
        <stp>CL1 Comdty</stp>
        <stp>RSI_14D</stp>
        <stp>13/05/2015</stp>
        <stp>13/05/2015</stp>
        <stp>[Bbg_Market_Data_CL.xlsm]data!R477C13</stp>
        <tr r="M477" s="1"/>
      </tp>
      <tp t="s">
        <v>#N/A Requesting Data...</v>
        <stp/>
        <stp>##V3_BDHV12</stp>
        <stp>CL2 Comdty</stp>
        <stp>RSI_14D</stp>
        <stp>13/05/2015</stp>
        <stp>13/05/2015</stp>
        <stp>[Bbg_Market_Data_CL.xlsm]data!R477C13</stp>
        <tr r="M477" s="1"/>
      </tp>
      <tp t="s">
        <v>#N/A Requesting Data...</v>
        <stp/>
        <stp>##V3_BDHV12</stp>
        <stp>CL1 Comdty</stp>
        <stp>RSI_14D</stp>
        <stp>16/03/2016</stp>
        <stp>16/03/2016</stp>
        <stp>[Bbg_Market_Data_CL.xlsm]data!R268C13</stp>
        <tr r="M268" s="1"/>
      </tp>
      <tp t="s">
        <v>#N/A Requesting Data...</v>
        <stp/>
        <stp>##V3_BDHV12</stp>
        <stp>CL2 Comdty</stp>
        <stp>RSI_14D</stp>
        <stp>16/03/2016</stp>
        <stp>16/03/2016</stp>
        <stp>[Bbg_Market_Data_CL.xlsm]data!R268C13</stp>
        <tr r="M268" s="1"/>
      </tp>
      <tp t="s">
        <v>#N/A Requesting Data...</v>
        <stp/>
        <stp>##V3_BDHV12</stp>
        <stp>CL2 Comdty</stp>
        <stp>RSI_30D</stp>
        <stp>12/05/2016</stp>
        <stp>12/05/2016</stp>
        <stp>[Bbg_Market_Data_CL.xlsm]data!R228C14</stp>
        <tr r="N228" s="1"/>
      </tp>
      <tp t="s">
        <v>#N/A Requesting Data...</v>
        <stp/>
        <stp>##V3_BDHV12</stp>
        <stp>CL1 Comdty</stp>
        <stp>RSI_30D</stp>
        <stp>12/05/2016</stp>
        <stp>12/05/2016</stp>
        <stp>[Bbg_Market_Data_CL.xlsm]data!R228C14</stp>
        <tr r="N228" s="1"/>
      </tp>
      <tp t="s">
        <v>#N/A Requesting Data...</v>
        <stp/>
        <stp>##V3_BDHV12</stp>
        <stp>CL2 Comdty</stp>
        <stp>RSI_14D</stp>
        <stp>24/11/2015</stp>
        <stp>24/11/2015</stp>
        <stp>[Bbg_Market_Data_CL.xlsm]data!R343C13</stp>
        <tr r="M343" s="1"/>
      </tp>
      <tp t="s">
        <v>#N/A Requesting Data...</v>
        <stp/>
        <stp>##V3_BDHV12</stp>
        <stp>CL1 Comdty</stp>
        <stp>RSI_14D</stp>
        <stp>24/11/2015</stp>
        <stp>24/11/2015</stp>
        <stp>[Bbg_Market_Data_CL.xlsm]data!R343C13</stp>
        <tr r="M343" s="1"/>
      </tp>
      <tp t="s">
        <v>#N/A Requesting Data...</v>
        <stp/>
        <stp>##V3_BDHV12</stp>
        <stp>CL2 Comdty</stp>
        <stp>RSI_14D</stp>
        <stp>23/06/2015</stp>
        <stp>23/06/2015</stp>
        <stp>[Bbg_Market_Data_CL.xlsm]data!R449C13</stp>
        <tr r="M449" s="1"/>
      </tp>
      <tp t="s">
        <v>#N/A Requesting Data...</v>
        <stp/>
        <stp>##V3_BDHV12</stp>
        <stp>CL1 Comdty</stp>
        <stp>RSI_14D</stp>
        <stp>23/06/2015</stp>
        <stp>23/06/2015</stp>
        <stp>[Bbg_Market_Data_CL.xlsm]data!R449C13</stp>
        <tr r="M449" s="1"/>
      </tp>
      <tp t="s">
        <v>#N/A Requesting Data...</v>
        <stp/>
        <stp>##V3_BDHV12</stp>
        <stp>CL1 Comdty</stp>
        <stp>RSI_14D</stp>
        <stp>14/12/2015</stp>
        <stp>14/12/2015</stp>
        <stp>[Bbg_Market_Data_CL.xlsm]data!R330C13</stp>
        <tr r="M330" s="1"/>
      </tp>
      <tp t="s">
        <v>#N/A Requesting Data...</v>
        <stp/>
        <stp>##V3_BDHV12</stp>
        <stp>CL2 Comdty</stp>
        <stp>RSI_14D</stp>
        <stp>14/12/2015</stp>
        <stp>14/12/2015</stp>
        <stp>[Bbg_Market_Data_CL.xlsm]data!R330C13</stp>
        <tr r="M330" s="1"/>
      </tp>
      <tp t="s">
        <v>#N/A Requesting Data...</v>
        <stp/>
        <stp>##V3_BDHV12</stp>
        <stp>CL1 Comdty</stp>
        <stp>RSI_14D</stp>
        <stp>27/01/2016</stp>
        <stp>27/01/2016</stp>
        <stp>[Bbg_Market_Data_CL.xlsm]data!R301C13</stp>
        <tr r="M301" s="1"/>
      </tp>
      <tp t="s">
        <v>#N/A Requesting Data...</v>
        <stp/>
        <stp>##V3_BDHV12</stp>
        <stp>CL2 Comdty</stp>
        <stp>RSI_14D</stp>
        <stp>27/01/2016</stp>
        <stp>27/01/2016</stp>
        <stp>[Bbg_Market_Data_CL.xlsm]data!R301C13</stp>
        <tr r="M301" s="1"/>
      </tp>
      <tp t="s">
        <v>#N/A Requesting Data...</v>
        <stp/>
        <stp>##V3_BDHV12</stp>
        <stp>CL2 Comdty</stp>
        <stp>RSI_14D</stp>
        <stp>30/04/2015</stp>
        <stp>30/04/2015</stp>
        <stp>[Bbg_Market_Data_CL.xlsm]data!R486C13</stp>
        <tr r="M486" s="1"/>
      </tp>
      <tp t="s">
        <v>#N/A Requesting Data...</v>
        <stp/>
        <stp>##V3_BDHV12</stp>
        <stp>CL1 Comdty</stp>
        <stp>RSI_14D</stp>
        <stp>30/04/2015</stp>
        <stp>30/04/2015</stp>
        <stp>[Bbg_Market_Data_CL.xlsm]data!R486C13</stp>
        <tr r="M486" s="1"/>
      </tp>
      <tp t="s">
        <v>#N/A Requesting Data...</v>
        <stp/>
        <stp>##V3_BDHV12</stp>
        <stp>CL2 Comdty</stp>
        <stp>RSI_14D</stp>
        <stp>20/05/2015</stp>
        <stp>20/05/2015</stp>
        <stp>[Bbg_Market_Data_CL.xlsm]data!R472C13</stp>
        <tr r="M472" s="1"/>
      </tp>
      <tp t="s">
        <v>#N/A Requesting Data...</v>
        <stp/>
        <stp>##V3_BDHV12</stp>
        <stp>CL1 Comdty</stp>
        <stp>RSI_14D</stp>
        <stp>20/05/2015</stp>
        <stp>20/05/2015</stp>
        <stp>[Bbg_Market_Data_CL.xlsm]data!R472C13</stp>
        <tr r="M472" s="1"/>
      </tp>
      <tp t="s">
        <v>#N/A Requesting Data...</v>
        <stp/>
        <stp>##V3_BDHV12</stp>
        <stp>CL2 Comdty</stp>
        <stp>RSI_14D</stp>
        <stp>07/10/2015</stp>
        <stp>07/10/2015</stp>
        <stp>[Bbg_Market_Data_CL.xlsm]data!R375C13</stp>
        <tr r="M375" s="1"/>
      </tp>
      <tp t="s">
        <v>#N/A Requesting Data...</v>
        <stp/>
        <stp>##V3_BDHV12</stp>
        <stp>CL1 Comdty</stp>
        <stp>RSI_14D</stp>
        <stp>07/10/2015</stp>
        <stp>07/10/2015</stp>
        <stp>[Bbg_Market_Data_CL.xlsm]data!R375C13</stp>
        <tr r="M375" s="1"/>
      </tp>
      <tp t="s">
        <v>#N/A Requesting Data...</v>
        <stp/>
        <stp>##V3_BDHV12</stp>
        <stp>CL1 Comdty</stp>
        <stp>RSI_14D</stp>
        <stp>10/06/2015</stp>
        <stp>10/06/2015</stp>
        <stp>[Bbg_Market_Data_CL.xlsm]data!R458C13</stp>
        <tr r="M458" s="1"/>
      </tp>
      <tp t="s">
        <v>#N/A Requesting Data...</v>
        <stp/>
        <stp>##V3_BDHV12</stp>
        <stp>CL2 Comdty</stp>
        <stp>RSI_14D</stp>
        <stp>10/06/2015</stp>
        <stp>10/06/2015</stp>
        <stp>[Bbg_Market_Data_CL.xlsm]data!R458C13</stp>
        <tr r="M458" s="1"/>
      </tp>
      <tp t="s">
        <v>#N/A Requesting Data...</v>
        <stp/>
        <stp>##V3_BDHV12</stp>
        <stp>CL2 Comdty</stp>
        <stp>RSI_14D</stp>
        <stp>17/11/2015</stp>
        <stp>17/11/2015</stp>
        <stp>[Bbg_Market_Data_CL.xlsm]data!R348C13</stp>
        <tr r="M348" s="1"/>
      </tp>
      <tp t="s">
        <v>#N/A Requesting Data...</v>
        <stp/>
        <stp>##V3_BDHV12</stp>
        <stp>CL1 Comdty</stp>
        <stp>RSI_14D</stp>
        <stp>17/11/2015</stp>
        <stp>17/11/2015</stp>
        <stp>[Bbg_Market_Data_CL.xlsm]data!R348C13</stp>
        <tr r="M348" s="1"/>
      </tp>
      <tp t="s">
        <v>#N/A Requesting Data...</v>
        <stp/>
        <stp>##V3_BDHV12</stp>
        <stp>CL2 Comdty</stp>
        <stp>RSI_14D</stp>
        <stp>14/01/2016</stp>
        <stp>14/01/2016</stp>
        <stp>[Bbg_Market_Data_CL.xlsm]data!R309C13</stp>
        <tr r="M309" s="1"/>
      </tp>
      <tp t="s">
        <v>#N/A Requesting Data...</v>
        <stp/>
        <stp>##V3_BDHV12</stp>
        <stp>CL1 Comdty</stp>
        <stp>RSI_14D</stp>
        <stp>14/01/2016</stp>
        <stp>14/01/2016</stp>
        <stp>[Bbg_Market_Data_CL.xlsm]data!R309C13</stp>
        <tr r="M309" s="1"/>
      </tp>
      <tp t="s">
        <v>#N/A Requesting Data...</v>
        <stp/>
        <stp>##V3_BDHV12</stp>
        <stp>CL1 Comdty</stp>
        <stp>RSI_14D</stp>
        <stp>26/10/2016</stp>
        <stp>26/10/2016</stp>
        <stp>[Bbg_Market_Data_CL.xlsm]data!R114C13</stp>
        <tr r="M114" s="1"/>
      </tp>
      <tp t="s">
        <v>#N/A Requesting Data...</v>
        <stp/>
        <stp>##V3_BDHV12</stp>
        <stp>CL2 Comdty</stp>
        <stp>RSI_14D</stp>
        <stp>26/10/2016</stp>
        <stp>26/10/2016</stp>
        <stp>[Bbg_Market_Data_CL.xlsm]data!R114C13</stp>
        <tr r="M114" s="1"/>
      </tp>
      <tp t="s">
        <v>#N/A Requesting Data...</v>
        <stp/>
        <stp>##V3_BDHV12</stp>
        <stp>CL2 Comdty</stp>
        <stp>RSI_14D</stp>
        <stp>21/04/2015</stp>
        <stp>21/04/2015</stp>
        <stp>[Bbg_Market_Data_CL.xlsm]data!R493C13</stp>
        <tr r="M493" s="1"/>
      </tp>
      <tp t="s">
        <v>#N/A Requesting Data...</v>
        <stp/>
        <stp>##V3_BDHV12</stp>
        <stp>CL1 Comdty</stp>
        <stp>RSI_14D</stp>
        <stp>21/04/2015</stp>
        <stp>21/04/2015</stp>
        <stp>[Bbg_Market_Data_CL.xlsm]data!R493C13</stp>
        <tr r="M493" s="1"/>
      </tp>
      <tp t="s">
        <v>#N/A Requesting Data...</v>
        <stp/>
        <stp>##V3_BDHV12</stp>
        <stp>CL1 Comdty</stp>
        <stp>RSI_14D</stp>
        <stp>24/02/2016</stp>
        <stp>24/02/2016</stp>
        <stp>[Bbg_Market_Data_CL.xlsm]data!R283C13</stp>
        <tr r="M283" s="1"/>
      </tp>
      <tp t="s">
        <v>#N/A Requesting Data...</v>
        <stp/>
        <stp>##V3_BDHV12</stp>
        <stp>CL2 Comdty</stp>
        <stp>RSI_14D</stp>
        <stp>24/02/2016</stp>
        <stp>24/02/2016</stp>
        <stp>[Bbg_Market_Data_CL.xlsm]data!R283C13</stp>
        <tr r="M283" s="1"/>
      </tp>
      <tp t="s">
        <v>#N/A Requesting Data...</v>
        <stp/>
        <stp>##V3_BDHV12</stp>
        <stp>CL2 Comdty</stp>
        <stp>RSI_14D</stp>
        <stp>16/10/2015</stp>
        <stp>16/10/2015</stp>
        <stp>[Bbg_Market_Data_CL.xlsm]data!R369C13</stp>
        <tr r="M369" s="1"/>
      </tp>
      <tp t="s">
        <v>#N/A Requesting Data...</v>
        <stp/>
        <stp>##V3_BDHV12</stp>
        <stp>CL1 Comdty</stp>
        <stp>RSI_14D</stp>
        <stp>16/10/2015</stp>
        <stp>16/10/2015</stp>
        <stp>[Bbg_Market_Data_CL.xlsm]data!R369C13</stp>
        <tr r="M369" s="1"/>
      </tp>
      <tp t="s">
        <v>#N/A Requesting Data...</v>
        <stp/>
        <stp>##V3_BDHV12</stp>
        <stp>CL1 Comdty</stp>
        <stp>RSI_14D</stp>
        <stp>01/06/2015</stp>
        <stp>01/06/2015</stp>
        <stp>[Bbg_Market_Data_CL.xlsm]data!R465C13</stp>
        <tr r="M465" s="1"/>
      </tp>
      <tp t="s">
        <v>#N/A Requesting Data...</v>
        <stp/>
        <stp>##V3_BDHV12</stp>
        <stp>CL2 Comdty</stp>
        <stp>RSI_14D</stp>
        <stp>01/06/2015</stp>
        <stp>01/06/2015</stp>
        <stp>[Bbg_Market_Data_CL.xlsm]data!R465C13</stp>
        <tr r="M465" s="1"/>
      </tp>
      <tp t="s">
        <v>#N/A Requesting Data...</v>
        <stp/>
        <stp>##V3_BDHV12</stp>
        <stp>CL2 Comdty</stp>
        <stp>RSI_14D</stp>
        <stp>06/11/2015</stp>
        <stp>06/11/2015</stp>
        <stp>[Bbg_Market_Data_CL.xlsm]data!R354C13</stp>
        <tr r="M354" s="1"/>
      </tp>
      <tp t="s">
        <v>#N/A Requesting Data...</v>
        <stp/>
        <stp>##V3_BDHV12</stp>
        <stp>CL1 Comdty</stp>
        <stp>RSI_14D</stp>
        <stp>06/11/2015</stp>
        <stp>06/11/2015</stp>
        <stp>[Bbg_Market_Data_CL.xlsm]data!R354C13</stp>
        <tr r="M354" s="1"/>
      </tp>
      <tp t="s">
        <v>#N/A Requesting Data...</v>
        <stp/>
        <stp>##V3_BDHV12</stp>
        <stp>CL1 Comdty</stp>
        <stp>RSI_30D</stp>
        <stp>20/04/2016</stp>
        <stp>20/04/2016</stp>
        <stp>[Bbg_Market_Data_CL.xlsm]data!R244C14</stp>
        <tr r="N244" s="1"/>
      </tp>
      <tp t="s">
        <v>#N/A Requesting Data...</v>
        <stp/>
        <stp>##V3_BDHV12</stp>
        <stp>CL2 Comdty</stp>
        <stp>RSI_30D</stp>
        <stp>20/04/2016</stp>
        <stp>20/04/2016</stp>
        <stp>[Bbg_Market_Data_CL.xlsm]data!R244C14</stp>
        <tr r="N244" s="1"/>
      </tp>
      <tp t="s">
        <v>#N/A Requesting Data...</v>
        <stp/>
        <stp>##V3_BDHV12</stp>
        <stp>CL1 Comdty</stp>
        <stp>RSI_14D</stp>
        <stp>05/01/2016</stp>
        <stp>05/01/2016</stp>
        <stp>[Bbg_Market_Data_CL.xlsm]data!R316C13</stp>
        <tr r="M316" s="1"/>
      </tp>
      <tp t="s">
        <v>#N/A Requesting Data...</v>
        <stp/>
        <stp>##V3_BDHV12</stp>
        <stp>CL2 Comdty</stp>
        <stp>RSI_14D</stp>
        <stp>05/01/2016</stp>
        <stp>05/01/2016</stp>
        <stp>[Bbg_Market_Data_CL.xlsm]data!R316C13</stp>
        <tr r="M316" s="1"/>
      </tp>
      <tp>
        <v>651398</v>
        <stp/>
        <stp>##V3_BDHV12</stp>
        <stp>CL1 Comdty</stp>
        <stp>PX_VOLUME</stp>
        <stp>05/04/2017</stp>
        <stp>05/04/2017</stp>
        <stp>[Bbg_Market_Data_CL.xlsm]data!R5C8</stp>
        <tr r="H5" s="1"/>
        <tr r="H5" s="1"/>
      </tp>
      <tp t="s">
        <v>#N/A Requesting Data...</v>
        <stp/>
        <stp>##V3_BDHV12</stp>
        <stp>CL2 Comdty</stp>
        <stp>PX_LAST</stp>
        <stp>31/12/2015</stp>
        <stp>31/12/2015</stp>
        <stp>[Bbg_Market_Data_CL.xlsm]data!R318C9</stp>
        <tr r="I318" s="1"/>
      </tp>
      <tp t="s">
        <v>#N/A Requesting Data...</v>
        <stp/>
        <stp>##V3_BDHV12</stp>
        <stp>CL1 Comdty</stp>
        <stp>PX_LAST</stp>
        <stp>02/12/2015</stp>
        <stp>02/12/2015</stp>
        <stp>[Bbg_Market_Data_CL.xlsm]data!R338C9</stp>
        <tr r="I338" s="1"/>
      </tp>
      <tp t="s">
        <v>#N/A Requesting Data...</v>
        <stp/>
        <stp>##V3_BDHV12</stp>
        <stp>CL2 Comdty</stp>
        <stp>PX_LAST</stp>
        <stp>28/09/2016</stp>
        <stp>28/09/2016</stp>
        <stp>[Bbg_Market_Data_CL.xlsm]data!R133C9</stp>
        <tr r="I133" s="1"/>
      </tp>
      <tp>
        <v>45.01</v>
        <stp/>
        <stp>##V3_BDHV12</stp>
        <stp>CL1 Comdty</stp>
        <stp>PX_HIGH</stp>
        <stp>10/08/2015</stp>
        <stp>10/08/2015</stp>
        <stp>[Bbg_Market_Data_CL.xlsm]data!R416C6</stp>
        <tr r="F416" s="1"/>
        <tr r="F416" s="1"/>
      </tp>
      <tp t="s">
        <v>#N/A Requesting Data...</v>
        <stp/>
        <stp>##V3_BDHV12</stp>
        <stp>CL1 Comdty</stp>
        <stp>PX_LAST</stp>
        <stp>20/10/2016</stp>
        <stp>20/10/2016</stp>
        <stp>[Bbg_Market_Data_CL.xlsm]data!R118C9</stp>
        <tr r="I118" s="1"/>
      </tp>
      <tp t="s">
        <v>#N/A Requesting Data...</v>
        <stp/>
        <stp>##V3_BDHV12</stp>
        <stp>CL2 Comdty</stp>
        <stp>PX_LAST</stp>
        <stp>01/10/2015</stp>
        <stp>01/10/2015</stp>
        <stp>[Bbg_Market_Data_CL.xlsm]data!R379C9</stp>
        <tr r="I379" s="1"/>
      </tp>
      <tp t="s">
        <v>#N/A Requesting Data...</v>
        <stp/>
        <stp>##V3_BDHV12</stp>
        <stp>CL2 Comdty</stp>
        <stp>PX_LAST</stp>
        <stp>03/11/2016</stp>
        <stp>03/11/2016</stp>
        <stp>[Bbg_Market_Data_CL.xlsm]data!R108C9</stp>
        <tr r="I108" s="1"/>
      </tp>
      <tp t="s">
        <v>#N/A Requesting Data...</v>
        <stp/>
        <stp>##V3_BDHV12</stp>
        <stp>CL1 Comdty</stp>
        <stp>PX_LAST</stp>
        <stp>02/03/2016</stp>
        <stp>02/03/2016</stp>
        <stp>[Bbg_Market_Data_CL.xlsm]data!R278C9</stp>
        <tr r="I278" s="1"/>
      </tp>
      <tp t="s">
        <v>#N/A Requesting Data...</v>
        <stp/>
        <stp>##V3_BDHV12</stp>
        <stp>CL2 Comdty</stp>
        <stp>PX_LAST</stp>
        <stp>31/03/2016</stp>
        <stp>31/03/2016</stp>
        <stp>[Bbg_Market_Data_CL.xlsm]data!R258C9</stp>
        <tr r="I258" s="1"/>
      </tp>
      <tp t="s">
        <v>#N/A Requesting Data...</v>
        <stp/>
        <stp>##V3_BDHV12</stp>
        <stp>CL2 Comdty</stp>
        <stp>PX_LAST</stp>
        <stp>28/08/2015</stp>
        <stp>28/08/2015</stp>
        <stp>[Bbg_Market_Data_CL.xlsm]data!R402C9</stp>
        <tr r="I402" s="1"/>
      </tp>
      <tp t="s">
        <v>#N/A Requesting Data...</v>
        <stp/>
        <stp>##V3_BDHV12</stp>
        <stp>CL2 Comdty</stp>
        <stp>PX_LAST</stp>
        <stp>19/09/2016</stp>
        <stp>19/09/2016</stp>
        <stp>[Bbg_Market_Data_CL.xlsm]data!R140C9</stp>
        <tr r="I140" s="1"/>
      </tp>
      <tp t="s">
        <v>#N/A Requesting Data...</v>
        <stp/>
        <stp>##V3_BDHV12</stp>
        <stp>CL2 Comdty</stp>
        <stp>PX_LAST</stp>
        <stp>18/08/2016</stp>
        <stp>18/08/2016</stp>
        <stp>[Bbg_Market_Data_CL.xlsm]data!R161C9</stp>
        <tr r="I161" s="1"/>
      </tp>
      <tp>
        <v>43.86</v>
        <stp/>
        <stp>##V3_BDHV12</stp>
        <stp>CL1 Comdty</stp>
        <stp>PX_HIGH</stp>
        <stp>11/08/2016</stp>
        <stp>11/08/2016</stp>
        <stp>[Bbg_Market_Data_CL.xlsm]data!R166C6</stp>
        <tr r="F166" s="1"/>
        <tr r="F166" s="1"/>
      </tp>
      <tp t="s">
        <v>#N/A Requesting Data...</v>
        <stp/>
        <stp>##V3_BDHV12</stp>
        <stp>CL1 Comdty</stp>
        <stp>PX_LAST</stp>
        <stp>30/10/2015</stp>
        <stp>30/10/2015</stp>
        <stp>[Bbg_Market_Data_CL.xlsm]data!R359C9</stp>
        <tr r="I359" s="1"/>
      </tp>
      <tp t="s">
        <v>#N/A Requesting Data...</v>
        <stp/>
        <stp>##V3_BDHV12</stp>
        <stp>CL2 Comdty</stp>
        <stp>PX_LAST</stp>
        <stp>02/11/2015</stp>
        <stp>02/11/2015</stp>
        <stp>[Bbg_Market_Data_CL.xlsm]data!R358C9</stp>
        <tr r="I358" s="1"/>
      </tp>
      <tp>
        <v>51.67</v>
        <stp/>
        <stp>##V3_BDHV12</stp>
        <stp>CL1 Comdty</stp>
        <stp>PX_HIGH</stp>
        <stp>09/06/2016</stp>
        <stp>09/06/2016</stp>
        <stp>[Bbg_Market_Data_CL.xlsm]data!R209C6</stp>
        <tr r="F209" s="1"/>
        <tr r="F209" s="1"/>
      </tp>
      <tp t="s">
        <v>#N/A Requesting Data...</v>
        <stp/>
        <stp>##V3_BDHV12</stp>
        <stp>CL1 Comdty</stp>
        <stp>PX_LAST</stp>
        <stp>15/03/2016</stp>
        <stp>15/03/2016</stp>
        <stp>[Bbg_Market_Data_CL.xlsm]data!R269C9</stp>
        <tr r="I269" s="1"/>
      </tp>
      <tp>
        <v>53.54</v>
        <stp/>
        <stp>##V3_BDHV12</stp>
        <stp>CL1 Comdty</stp>
        <stp>PX_HIGH</stp>
        <stp>09/07/2015</stp>
        <stp>09/07/2015</stp>
        <stp>[Bbg_Market_Data_CL.xlsm]data!R438C6</stp>
        <tr r="F438" s="1"/>
        <tr r="F438" s="1"/>
      </tp>
      <tp t="s">
        <v>#N/A Requesting Data...</v>
        <stp/>
        <stp>##V3_BDHV12</stp>
        <stp>CL1 Comdty</stp>
        <stp>PX_LAST</stp>
        <stp>15/12/2015</stp>
        <stp>15/12/2015</stp>
        <stp>[Bbg_Market_Data_CL.xlsm]data!R329C9</stp>
        <tr r="I329" s="1"/>
      </tp>
      <tp t="s">
        <v>#N/A Requesting Data...</v>
        <stp/>
        <stp>##V3_BDHV12</stp>
        <stp>CL2 Comdty</stp>
        <stp>PX_LAST</stp>
        <stp>15/01/2016</stp>
        <stp>15/01/2016</stp>
        <stp>[Bbg_Market_Data_CL.xlsm]data!R308C9</stp>
        <tr r="I308" s="1"/>
      </tp>
      <tp t="s">
        <v>#N/A Requesting Data...</v>
        <stp/>
        <stp>##V3_BDHV12</stp>
        <stp>CL2 Comdty</stp>
        <stp>PX_LAST</stp>
        <stp>16/11/2015</stp>
        <stp>16/11/2015</stp>
        <stp>[Bbg_Market_Data_CL.xlsm]data!R349C9</stp>
        <tr r="I349" s="1"/>
      </tp>
      <tp>
        <v>60.68</v>
        <stp/>
        <stp>##V3_BDHV12</stp>
        <stp>CL1 Comdty</stp>
        <stp>PX_HIGH</stp>
        <stp>09/06/2015</stp>
        <stp>09/06/2015</stp>
        <stp>[Bbg_Market_Data_CL.xlsm]data!R459C6</stp>
        <tr r="F459" s="1"/>
        <tr r="F459" s="1"/>
      </tp>
      <tp>
        <v>48.46</v>
        <stp/>
        <stp>##V3_BDHV12</stp>
        <stp>CL1 Comdty</stp>
        <stp>PX_HIGH</stp>
        <stp>26/08/2016</stp>
        <stp>26/08/2016</stp>
        <stp>[Bbg_Market_Data_CL.xlsm]data!R155C6</stp>
        <tr r="F155" s="1"/>
        <tr r="F155" s="1"/>
      </tp>
      <tp>
        <v>45.96</v>
        <stp/>
        <stp>##V3_BDHV12</stp>
        <stp>CL1 Comdty</stp>
        <stp>PX_HIGH</stp>
        <stp>27/09/2016</stp>
        <stp>27/09/2016</stp>
        <stp>[Bbg_Market_Data_CL.xlsm]data!R134C6</stp>
        <tr r="F134" s="1"/>
        <tr r="F134" s="1"/>
      </tp>
      <tp>
        <v>45.18</v>
        <stp/>
        <stp>##V3_BDHV12</stp>
        <stp>CL1 Comdty</stp>
        <stp>PX_HIGH</stp>
        <stp>24/09/2015</stp>
        <stp>24/09/2015</stp>
        <stp>[Bbg_Market_Data_CL.xlsm]data!R384C6</stp>
        <tr r="F384" s="1"/>
        <tr r="F384" s="1"/>
      </tp>
      <tp>
        <v>39.89</v>
        <stp/>
        <stp>##V3_BDHV12</stp>
        <stp>CL1 Comdty</stp>
        <stp>PX_HIGH</stp>
        <stp>25/08/2015</stp>
        <stp>25/08/2015</stp>
        <stp>[Bbg_Market_Data_CL.xlsm]data!R405C6</stp>
        <tr r="F405" s="1"/>
        <tr r="F405" s="1"/>
      </tp>
      <tp>
        <v>45.16</v>
        <stp/>
        <stp>##V3_BDHV12</stp>
        <stp>CL1 Comdty</stp>
        <stp>PX_HIGH</stp>
        <stp>07/08/2015</stp>
        <stp>07/08/2015</stp>
        <stp>[Bbg_Market_Data_CL.xlsm]data!R417C6</stp>
        <tr r="F417" s="1"/>
        <tr r="F417" s="1"/>
      </tp>
      <tp t="s">
        <v>#N/A Requesting Data...</v>
        <stp/>
        <stp>##V3_BDHV12</stp>
        <stp>CL1 Comdty</stp>
        <stp>PX_LAST</stp>
        <stp>17/02/2016</stp>
        <stp>17/02/2016</stp>
        <stp>[Bbg_Market_Data_CL.xlsm]data!R288C9</stp>
        <tr r="I288" s="1"/>
      </tp>
      <tp t="s">
        <v>#N/A Requesting Data...</v>
        <stp/>
        <stp>##V3_BDHV12</stp>
        <stp>CL2 Comdty</stp>
        <stp>PX_LAST</stp>
        <stp>04/10/2016</stp>
        <stp>04/10/2016</stp>
        <stp>[Bbg_Market_Data_CL.xlsm]data!R129C9</stp>
        <tr r="I129" s="1"/>
      </tp>
      <tp>
        <v>58.95</v>
        <stp/>
        <stp>##V3_BDHV12</stp>
        <stp>CL1 Comdty</stp>
        <stp>PX_HIGH</stp>
        <stp>27/05/2015</stp>
        <stp>27/05/2015</stp>
        <stp>[Bbg_Market_Data_CL.xlsm]data!R468C6</stp>
        <tr r="F468" s="1"/>
        <tr r="F468" s="1"/>
      </tp>
      <tp t="s">
        <v>#N/A Requesting Data...</v>
        <stp/>
        <stp>##V3_BDHV12</stp>
        <stp>CL2 Comdty</stp>
        <stp>PX_LAST</stp>
        <stp>30/08/2016</stp>
        <stp>30/08/2016</stp>
        <stp>[Bbg_Market_Data_CL.xlsm]data!R153C9</stp>
        <tr r="I153" s="1"/>
      </tp>
      <tp t="s">
        <v>#N/A Requesting Data...</v>
        <stp/>
        <stp>##V3_BDHV12</stp>
        <stp>CL2 Comdty</stp>
        <stp>PX_LAST</stp>
        <stp>19/10/2015</stp>
        <stp>19/10/2015</stp>
        <stp>[Bbg_Market_Data_CL.xlsm]data!R368C9</stp>
        <tr r="I368" s="1"/>
      </tp>
      <tp>
        <v>46.41</v>
        <stp/>
        <stp>##V3_BDHV12</stp>
        <stp>CL1 Comdty</stp>
        <stp>PX_HIGH</stp>
        <stp>08/09/2015</stp>
        <stp>08/09/2015</stp>
        <stp>[Bbg_Market_Data_CL.xlsm]data!R396C6</stp>
        <tr r="F396" s="1"/>
        <tr r="F396" s="1"/>
      </tp>
      <tp>
        <v>57.89</v>
        <stp/>
        <stp>##V3_BDHV12</stp>
        <stp>CL1 Comdty</stp>
        <stp>PX_HIGH</stp>
        <stp>27/04/2015</stp>
        <stp>27/04/2015</stp>
        <stp>[Bbg_Market_Data_CL.xlsm]data!R489C6</stp>
        <tr r="F489" s="1"/>
        <tr r="F489" s="1"/>
      </tp>
      <tp t="s">
        <v>#N/A Requesting Data...</v>
        <stp/>
        <stp>##V3_BDHV12</stp>
        <stp>CL1 Comdty</stp>
        <stp>PX_LAST</stp>
        <stp>11/09/2015</stp>
        <stp>11/09/2015</stp>
        <stp>[Bbg_Market_Data_CL.xlsm]data!R393C9</stp>
        <tr r="I393" s="1"/>
      </tp>
      <tp t="s">
        <v>#N/A Requesting Data...</v>
        <stp/>
        <stp>##V3_BDHV12</stp>
        <stp>CL1 Comdty</stp>
        <stp>PX_LAST</stp>
        <stp>30/09/2016</stp>
        <stp>30/09/2016</stp>
        <stp>[Bbg_Market_Data_CL.xlsm]data!R131C9</stp>
        <tr r="I131" s="1"/>
      </tp>
      <tp>
        <v>45.62</v>
        <stp/>
        <stp>##V3_BDHV12</stp>
        <stp>CL1 Comdty</stp>
        <stp>PX_HIGH</stp>
        <stp>27/04/2016</stp>
        <stp>27/04/2016</stp>
        <stp>[Bbg_Market_Data_CL.xlsm]data!R239C6</stp>
        <tr r="F239" s="1"/>
        <tr r="F239" s="1"/>
      </tp>
      <tp>
        <v>50.21</v>
        <stp/>
        <stp>##V3_BDHV12</stp>
        <stp>CL1 Comdty</stp>
        <stp>PX_HIGH</stp>
        <stp>26/05/2016</stp>
        <stp>26/05/2016</stp>
        <stp>[Bbg_Market_Data_CL.xlsm]data!R218C6</stp>
        <tr r="F218" s="1"/>
        <tr r="F218" s="1"/>
      </tp>
      <tp t="s">
        <v>#N/A Requesting Data...</v>
        <stp/>
        <stp>##V3_BDHV12</stp>
        <stp>CL1 Comdty</stp>
        <stp>PX_LAST</stp>
        <stp>01/08/2016</stp>
        <stp>01/08/2016</stp>
        <stp>[Bbg_Market_Data_CL.xlsm]data!R173C9</stp>
        <tr r="I173" s="1"/>
      </tp>
      <tp>
        <v>47.36</v>
        <stp/>
        <stp>##V3_BDHV12</stp>
        <stp>CL1 Comdty</stp>
        <stp>PX_HIGH</stp>
        <stp>09/09/2016</stp>
        <stp>09/09/2016</stp>
        <stp>[Bbg_Market_Data_CL.xlsm]data!R146C6</stp>
        <tr r="F146" s="1"/>
        <tr r="F146" s="1"/>
      </tp>
      <tp t="s">
        <v>#N/A Requesting Data...</v>
        <stp/>
        <stp>##V3_BDHV12</stp>
        <stp>CL2 Comdty</stp>
        <stp>PX_LAST</stp>
        <stp>01/09/2016</stp>
        <stp>01/09/2016</stp>
        <stp>[Bbg_Market_Data_CL.xlsm]data!R151C9</stp>
        <tr r="I151" s="1"/>
      </tp>
      <tp>
        <v>50.73</v>
        <stp/>
        <stp>##V3_BDHV12</stp>
        <stp>CL1 Comdty</stp>
        <stp>PX_HIGH</stp>
        <stp>10/06/2016</stp>
        <stp>10/06/2016</stp>
        <stp>[Bbg_Market_Data_CL.xlsm]data!R208C6</stp>
        <tr r="F208" s="1"/>
        <tr r="F208" s="1"/>
      </tp>
      <tp t="s">
        <v>#N/A Requesting Data...</v>
        <stp/>
        <stp>##V3_BDHV12</stp>
        <stp>CL2 Comdty</stp>
        <stp>PX_LAST</stp>
        <stp>04/08/2015</stp>
        <stp>04/08/2015</stp>
        <stp>[Bbg_Market_Data_CL.xlsm]data!R420C9</stp>
        <tr r="I420" s="1"/>
      </tp>
      <tp t="s">
        <v>#N/A Requesting Data...</v>
        <stp/>
        <stp>##V3_BDHV12</stp>
        <stp>CL1 Comdty</stp>
        <stp>PX_LAST</stp>
        <stp>17/08/2016</stp>
        <stp>17/08/2016</stp>
        <stp>[Bbg_Market_Data_CL.xlsm]data!R162C9</stp>
        <tr r="I162" s="1"/>
      </tp>
      <tp t="s">
        <v>#N/A Requesting Data...</v>
        <stp/>
        <stp>##V3_BDHV12</stp>
        <stp>CL1 Comdty</stp>
        <stp>PX_LAST</stp>
        <stp>14/08/2015</stp>
        <stp>14/08/2015</stp>
        <stp>[Bbg_Market_Data_CL.xlsm]data!R412C9</stp>
        <tr r="I412" s="1"/>
      </tp>
      <tp t="s">
        <v>#N/A Requesting Data...</v>
        <stp/>
        <stp>##V3_BDHV12</stp>
        <stp>CL2 Comdty</stp>
        <stp>PX_LAST</stp>
        <stp>25/09/2015</stp>
        <stp>25/09/2015</stp>
        <stp>[Bbg_Market_Data_CL.xlsm]data!R383C9</stp>
        <tr r="I383" s="1"/>
      </tp>
      <tp t="s">
        <v>#N/A Requesting Data...</v>
        <stp/>
        <stp>##V3_BDHV12</stp>
        <stp>CL2 Comdty</stp>
        <stp>PX_LAST</stp>
        <stp>16/09/2015</stp>
        <stp>16/09/2015</stp>
        <stp>[Bbg_Market_Data_CL.xlsm]data!R390C9</stp>
        <tr r="I390" s="1"/>
      </tp>
      <tp t="s">
        <v>#N/A Requesting Data...</v>
        <stp/>
        <stp>##V3_BDHV12</stp>
        <stp>CL2 Comdty</stp>
        <stp>PX_LAST</stp>
        <stp>17/08/2015</stp>
        <stp>17/08/2015</stp>
        <stp>[Bbg_Market_Data_CL.xlsm]data!R411C9</stp>
        <tr r="I411" s="1"/>
      </tp>
      <tp>
        <v>61.82</v>
        <stp/>
        <stp>##V3_BDHV12</stp>
        <stp>CL1 Comdty</stp>
        <stp>PX_HIGH</stp>
        <stp>10/06/2015</stp>
        <stp>10/06/2015</stp>
        <stp>[Bbg_Market_Data_CL.xlsm]data!R458C6</stp>
        <tr r="F458" s="1"/>
        <tr r="F458" s="1"/>
      </tp>
      <tp t="s">
        <v>#N/A Requesting Data...</v>
        <stp/>
        <stp>##V3_BDHV12</stp>
        <stp>CL2 Comdty</stp>
        <stp>PX_LAST</stp>
        <stp>04/08/2016</stp>
        <stp>04/08/2016</stp>
        <stp>[Bbg_Market_Data_CL.xlsm]data!R170C9</stp>
        <tr r="I170" s="1"/>
      </tp>
      <tp t="s">
        <v>#N/A Requesting Data...</v>
        <stp/>
        <stp>##V3_BDHV12</stp>
        <stp>CL1 Comdty</stp>
        <stp>PX_LAST</stp>
        <stp>14/09/2016</stp>
        <stp>14/09/2016</stp>
        <stp>[Bbg_Market_Data_CL.xlsm]data!R143C9</stp>
        <tr r="I143" s="1"/>
      </tp>
      <tp>
        <v>45.48</v>
        <stp/>
        <stp>##V3_BDHV12</stp>
        <stp>CL1 Comdty</stp>
        <stp>PX_OPEN</stp>
        <stp>03/11/2016</stp>
        <stp>03/11/2016</stp>
        <stp>[Bbg_Market_Data_CL.xlsm]data!R108C5</stp>
        <tr r="E108" s="1"/>
        <tr r="E108" s="1"/>
      </tp>
      <tp>
        <v>45.38</v>
        <stp/>
        <stp>##V3_BDHV12</stp>
        <stp>CL1 Comdty</stp>
        <stp>PX_OPEN</stp>
        <stp>01/10/2015</stp>
        <stp>01/10/2015</stp>
        <stp>[Bbg_Market_Data_CL.xlsm]data!R379C5</stp>
        <tr r="E379" s="1"/>
        <tr r="E379" s="1"/>
      </tp>
      <tp>
        <v>44.96</v>
        <stp/>
        <stp>##V3_BDHV12</stp>
        <stp>CL1 Comdty</stp>
        <stp>PX_OPEN</stp>
        <stp>28/09/2016</stp>
        <stp>28/09/2016</stp>
        <stp>[Bbg_Market_Data_CL.xlsm]data!R133C5</stp>
        <tr r="E133" s="1"/>
        <tr r="E133" s="1"/>
      </tp>
      <tp>
        <v>36.81</v>
        <stp/>
        <stp>##V3_BDHV12</stp>
        <stp>CL1 Comdty</stp>
        <stp>PX_OPEN</stp>
        <stp>31/12/2015</stp>
        <stp>31/12/2015</stp>
        <stp>[Bbg_Market_Data_CL.xlsm]data!R318C5</stp>
        <tr r="E318" s="1"/>
        <tr r="E318" s="1"/>
      </tp>
      <tp>
        <v>46.43</v>
        <stp/>
        <stp>##V3_BDHV12</stp>
        <stp>CL1 Comdty</stp>
        <stp>PX_OPEN</stp>
        <stp>02/11/2015</stp>
        <stp>02/11/2015</stp>
        <stp>[Bbg_Market_Data_CL.xlsm]data!R358C5</stp>
        <tr r="E358" s="1"/>
        <tr r="E358" s="1"/>
      </tp>
      <tp>
        <v>42.68</v>
        <stp/>
        <stp>##V3_BDHV12</stp>
        <stp>CL1 Comdty</stp>
        <stp>PX_OPEN</stp>
        <stp>28/08/2015</stp>
        <stp>28/08/2015</stp>
        <stp>[Bbg_Market_Data_CL.xlsm]data!R402C5</stp>
        <tr r="E402" s="1"/>
        <tr r="E402" s="1"/>
      </tp>
      <tp>
        <v>43.18</v>
        <stp/>
        <stp>##V3_BDHV12</stp>
        <stp>CL1 Comdty</stp>
        <stp>PX_OPEN</stp>
        <stp>19/09/2016</stp>
        <stp>19/09/2016</stp>
        <stp>[Bbg_Market_Data_CL.xlsm]data!R140C5</stp>
        <tr r="E140" s="1"/>
        <tr r="E140" s="1"/>
      </tp>
      <tp>
        <v>46.9</v>
        <stp/>
        <stp>##V3_BDHV12</stp>
        <stp>CL1 Comdty</stp>
        <stp>PX_OPEN</stp>
        <stp>18/08/2016</stp>
        <stp>18/08/2016</stp>
        <stp>[Bbg_Market_Data_CL.xlsm]data!R161C5</stp>
        <tr r="E161" s="1"/>
        <tr r="E161" s="1"/>
      </tp>
      <tp>
        <v>38.299999999999997</v>
        <stp/>
        <stp>##V3_BDHV12</stp>
        <stp>CL1 Comdty</stp>
        <stp>PX_OPEN</stp>
        <stp>31/03/2016</stp>
        <stp>31/03/2016</stp>
        <stp>[Bbg_Market_Data_CL.xlsm]data!R258C5</stp>
        <tr r="E258" s="1"/>
        <tr r="E258" s="1"/>
      </tp>
      <tp>
        <v>48.65</v>
        <stp/>
        <stp>##V3_BDHV12</stp>
        <stp>CL1 Comdty</stp>
        <stp>PX_OPEN</stp>
        <stp>04/10/2016</stp>
        <stp>04/10/2016</stp>
        <stp>[Bbg_Market_Data_CL.xlsm]data!R129C5</stp>
        <tr r="E129" s="1"/>
        <tr r="E129" s="1"/>
      </tp>
      <tp>
        <v>31.18</v>
        <stp/>
        <stp>##V3_BDHV12</stp>
        <stp>CL1 Comdty</stp>
        <stp>PX_OPEN</stp>
        <stp>15/01/2016</stp>
        <stp>15/01/2016</stp>
        <stp>[Bbg_Market_Data_CL.xlsm]data!R308C5</stp>
        <tr r="E308" s="1"/>
        <tr r="E308" s="1"/>
      </tp>
      <tp>
        <v>40.92</v>
        <stp/>
        <stp>##V3_BDHV12</stp>
        <stp>CL1 Comdty</stp>
        <stp>PX_OPEN</stp>
        <stp>16/11/2015</stp>
        <stp>16/11/2015</stp>
        <stp>[Bbg_Market_Data_CL.xlsm]data!R349C5</stp>
        <tr r="E349" s="1"/>
        <tr r="E349" s="1"/>
      </tp>
      <tp>
        <v>47.27</v>
        <stp/>
        <stp>##V3_BDHV12</stp>
        <stp>CL1 Comdty</stp>
        <stp>PX_OPEN</stp>
        <stp>19/10/2015</stp>
        <stp>19/10/2015</stp>
        <stp>[Bbg_Market_Data_CL.xlsm]data!R368C5</stp>
        <tr r="E368" s="1"/>
        <tr r="E368" s="1"/>
      </tp>
      <tp>
        <v>46.98</v>
        <stp/>
        <stp>##V3_BDHV12</stp>
        <stp>CL1 Comdty</stp>
        <stp>PX_OPEN</stp>
        <stp>30/08/2016</stp>
        <stp>30/08/2016</stp>
        <stp>[Bbg_Market_Data_CL.xlsm]data!R153C5</stp>
        <tr r="E153" s="1"/>
        <tr r="E153" s="1"/>
      </tp>
      <tp>
        <v>44.85</v>
        <stp/>
        <stp>##V3_BDHV12</stp>
        <stp>CL1 Comdty</stp>
        <stp>PX_OPEN</stp>
        <stp>01/09/2016</stp>
        <stp>01/09/2016</stp>
        <stp>[Bbg_Market_Data_CL.xlsm]data!R151C5</stp>
        <tr r="E151" s="1"/>
        <tr r="E151" s="1"/>
      </tp>
      <tp>
        <v>45.35</v>
        <stp/>
        <stp>##V3_BDHV12</stp>
        <stp>CL1 Comdty</stp>
        <stp>PX_OPEN</stp>
        <stp>04/08/2015</stp>
        <stp>04/08/2015</stp>
        <stp>[Bbg_Market_Data_CL.xlsm]data!R420C5</stp>
        <tr r="E420" s="1"/>
        <tr r="E420" s="1"/>
      </tp>
      <tp>
        <v>41.16</v>
        <stp/>
        <stp>##V3_BDHV12</stp>
        <stp>CL1 Comdty</stp>
        <stp>PX_OPEN</stp>
        <stp>04/08/2016</stp>
        <stp>04/08/2016</stp>
        <stp>[Bbg_Market_Data_CL.xlsm]data!R170C5</stp>
        <tr r="E170" s="1"/>
        <tr r="E170" s="1"/>
      </tp>
      <tp>
        <v>45.16</v>
        <stp/>
        <stp>##V3_BDHV12</stp>
        <stp>CL1 Comdty</stp>
        <stp>PX_OPEN</stp>
        <stp>16/09/2015</stp>
        <stp>16/09/2015</stp>
        <stp>[Bbg_Market_Data_CL.xlsm]data!R390C5</stp>
        <tr r="E390" s="1"/>
        <tr r="E390" s="1"/>
      </tp>
      <tp>
        <v>45.05</v>
        <stp/>
        <stp>##V3_BDHV12</stp>
        <stp>CL1 Comdty</stp>
        <stp>PX_OPEN</stp>
        <stp>25/09/2015</stp>
        <stp>25/09/2015</stp>
        <stp>[Bbg_Market_Data_CL.xlsm]data!R383C5</stp>
        <tr r="E383" s="1"/>
        <tr r="E383" s="1"/>
      </tp>
      <tp>
        <v>42.18</v>
        <stp/>
        <stp>##V3_BDHV12</stp>
        <stp>CL1 Comdty</stp>
        <stp>PX_OPEN</stp>
        <stp>17/08/2015</stp>
        <stp>17/08/2015</stp>
        <stp>[Bbg_Market_Data_CL.xlsm]data!R411C5</stp>
        <tr r="E411" s="1"/>
        <tr r="E411" s="1"/>
      </tp>
      <tp t="s">
        <v>#N/A Requesting Data...</v>
        <stp/>
        <stp>##V3_BDHV12</stp>
        <stp>CL2 Comdty</stp>
        <stp>RSI_30D</stp>
        <stp>26/01/2016</stp>
        <stp>26/01/2016</stp>
        <stp>[Bbg_Market_Data_CL.xlsm]data!R302C14</stp>
        <tr r="N302" s="1"/>
      </tp>
      <tp t="s">
        <v>#N/A Requesting Data...</v>
        <stp/>
        <stp>##V3_BDHV12</stp>
        <stp>CL1 Comdty</stp>
        <stp>RSI_30D</stp>
        <stp>26/01/2016</stp>
        <stp>26/01/2016</stp>
        <stp>[Bbg_Market_Data_CL.xlsm]data!R302C14</stp>
        <tr r="N302" s="1"/>
      </tp>
      <tp t="s">
        <v>#N/A Requesting Data...</v>
        <stp/>
        <stp>##V3_BDHV12</stp>
        <stp>CL1 Comdty</stp>
        <stp>RSI_30D</stp>
        <stp>04/11/2016</stp>
        <stp>04/11/2016</stp>
        <stp>[Bbg_Market_Data_CL.xlsm]data!R107C14</stp>
        <tr r="N107" s="1"/>
      </tp>
      <tp t="s">
        <v>#N/A Requesting Data...</v>
        <stp/>
        <stp>##V3_BDHV12</stp>
        <stp>CL2 Comdty</stp>
        <stp>RSI_30D</stp>
        <stp>04/11/2016</stp>
        <stp>04/11/2016</stp>
        <stp>[Bbg_Market_Data_CL.xlsm]data!R107C14</stp>
        <tr r="N107" s="1"/>
      </tp>
      <tp t="s">
        <v>#N/A Requesting Data...</v>
        <stp/>
        <stp>##V3_BDHV12</stp>
        <stp>CL1 Comdty</stp>
        <stp>RSI_30D</stp>
        <stp>15/12/2015</stp>
        <stp>15/12/2015</stp>
        <stp>[Bbg_Market_Data_CL.xlsm]data!R329C14</stp>
        <tr r="N329" s="1"/>
      </tp>
      <tp t="s">
        <v>#N/A Requesting Data...</v>
        <stp/>
        <stp>##V3_BDHV12</stp>
        <stp>CL2 Comdty</stp>
        <stp>RSI_30D</stp>
        <stp>15/12/2015</stp>
        <stp>15/12/2015</stp>
        <stp>[Bbg_Market_Data_CL.xlsm]data!R329C14</stp>
        <tr r="N329" s="1"/>
      </tp>
      <tp t="s">
        <v>#N/A Requesting Data...</v>
        <stp/>
        <stp>##V3_BDHV12</stp>
        <stp>CL1 Comdty</stp>
        <stp>RSI_30D</stp>
        <stp>14/10/2016</stp>
        <stp>14/10/2016</stp>
        <stp>[Bbg_Market_Data_CL.xlsm]data!R122C14</stp>
        <tr r="N122" s="1"/>
      </tp>
      <tp t="s">
        <v>#N/A Requesting Data...</v>
        <stp/>
        <stp>##V3_BDHV12</stp>
        <stp>CL2 Comdty</stp>
        <stp>RSI_30D</stp>
        <stp>14/10/2016</stp>
        <stp>14/10/2016</stp>
        <stp>[Bbg_Market_Data_CL.xlsm]data!R122C14</stp>
        <tr r="N122" s="1"/>
      </tp>
      <tp t="s">
        <v>#N/A Requesting Data...</v>
        <stp/>
        <stp>##V3_BDHV12</stp>
        <stp>CL2 Comdty</stp>
        <stp>RSI_30D</stp>
        <stp>22/06/2015</stp>
        <stp>22/06/2015</stp>
        <stp>[Bbg_Market_Data_CL.xlsm]data!R450C14</stp>
        <tr r="N450" s="1"/>
      </tp>
      <tp t="s">
        <v>#N/A Requesting Data...</v>
        <stp/>
        <stp>##V3_BDHV12</stp>
        <stp>CL1 Comdty</stp>
        <stp>RSI_30D</stp>
        <stp>22/06/2015</stp>
        <stp>22/06/2015</stp>
        <stp>[Bbg_Market_Data_CL.xlsm]data!R450C14</stp>
        <tr r="N450" s="1"/>
      </tp>
      <tp t="s">
        <v>#N/A Requesting Data...</v>
        <stp/>
        <stp>##V3_BDHV12</stp>
        <stp>CL1 Comdty</stp>
        <stp>RSI_14D</stp>
        <stp>13/05/2016</stp>
        <stp>13/05/2016</stp>
        <stp>[Bbg_Market_Data_CL.xlsm]data!R227C13</stp>
        <tr r="M227" s="1"/>
      </tp>
      <tp t="s">
        <v>#N/A Requesting Data...</v>
        <stp/>
        <stp>##V3_BDHV12</stp>
        <stp>CL2 Comdty</stp>
        <stp>RSI_30D</stp>
        <stp>25/11/2015</stp>
        <stp>25/11/2015</stp>
        <stp>[Bbg_Market_Data_CL.xlsm]data!R342C14</stp>
        <tr r="N342" s="1"/>
      </tp>
      <tp t="s">
        <v>#N/A Requesting Data...</v>
        <stp/>
        <stp>##V3_BDHV12</stp>
        <stp>CL1 Comdty</stp>
        <stp>RSI_30D</stp>
        <stp>25/11/2015</stp>
        <stp>25/11/2015</stp>
        <stp>[Bbg_Market_Data_CL.xlsm]data!R342C14</stp>
        <tr r="N342" s="1"/>
      </tp>
      <tp t="s">
        <v>#N/A Requesting Data...</v>
        <stp/>
        <stp>##V3_BDHV12</stp>
        <stp>CL2 Comdty</stp>
        <stp>RSI_14D</stp>
        <stp>13/05/2016</stp>
        <stp>13/05/2016</stp>
        <stp>[Bbg_Market_Data_CL.xlsm]data!R227C13</stp>
        <tr r="M227" s="1"/>
      </tp>
      <tp t="s">
        <v>#N/A Requesting Data...</v>
        <stp/>
        <stp>##V3_BDHV12</stp>
        <stp>CL2 Comdty</stp>
        <stp>RSI_30D</stp>
        <stp>17/03/2016</stp>
        <stp>17/03/2016</stp>
        <stp>[Bbg_Market_Data_CL.xlsm]data!R267C14</stp>
        <tr r="N267" s="1"/>
      </tp>
      <tp t="s">
        <v>#N/A Requesting Data...</v>
        <stp/>
        <stp>##V3_BDHV12</stp>
        <stp>CL1 Comdty</stp>
        <stp>RSI_30D</stp>
        <stp>17/03/2016</stp>
        <stp>17/03/2016</stp>
        <stp>[Bbg_Market_Data_CL.xlsm]data!R267C14</stp>
        <tr r="N267" s="1"/>
      </tp>
      <tp t="s">
        <v>#N/A Requesting Data...</v>
        <stp/>
        <stp>##V3_BDHV12</stp>
        <stp>CL2 Comdty</stp>
        <stp>RSI_30D</stp>
        <stp>12/05/2015</stp>
        <stp>12/05/2015</stp>
        <stp>[Bbg_Market_Data_CL.xlsm]data!R478C14</stp>
        <tr r="N478" s="1"/>
      </tp>
      <tp t="s">
        <v>#N/A Requesting Data...</v>
        <stp/>
        <stp>##V3_BDHV12</stp>
        <stp>CL1 Comdty</stp>
        <stp>RSI_30D</stp>
        <stp>12/05/2015</stp>
        <stp>12/05/2015</stp>
        <stp>[Bbg_Market_Data_CL.xlsm]data!R478C14</stp>
        <tr r="N478" s="1"/>
      </tp>
      <tp t="s">
        <v>#N/A Requesting Data...</v>
        <stp/>
        <stp>##V3_BDHV12</stp>
        <stp>CL2 Comdty</stp>
        <stp>RSI_30D</stp>
        <stp>13/04/2015</stp>
        <stp>13/04/2015</stp>
        <stp>[Bbg_Market_Data_CL.xlsm]data!R499C14</stp>
        <tr r="N499" s="1"/>
      </tp>
      <tp t="s">
        <v>#N/A Requesting Data...</v>
        <stp/>
        <stp>##V3_BDHV12</stp>
        <stp>CL1 Comdty</stp>
        <stp>RSI_30D</stp>
        <stp>13/04/2015</stp>
        <stp>13/04/2015</stp>
        <stp>[Bbg_Market_Data_CL.xlsm]data!R499C14</stp>
        <tr r="N499" s="1"/>
      </tp>
      <tp t="s">
        <v>#N/A Requesting Data...</v>
        <stp/>
        <stp>##V3_BDHV12</stp>
        <stp>CL1 Comdty</stp>
        <stp>RSI_14D</stp>
        <stp>11/07/2016</stp>
        <stp>11/07/2016</stp>
        <stp>[Bbg_Market_Data_CL.xlsm]data!R188C13</stp>
        <tr r="M188" s="1"/>
      </tp>
      <tp t="s">
        <v>#N/A Requesting Data...</v>
        <stp/>
        <stp>##V3_BDHV12</stp>
        <stp>CL2 Comdty</stp>
        <stp>RSI_14D</stp>
        <stp>11/07/2016</stp>
        <stp>11/07/2016</stp>
        <stp>[Bbg_Market_Data_CL.xlsm]data!R188C13</stp>
        <tr r="M188" s="1"/>
      </tp>
      <tp t="s">
        <v>#N/A Requesting Data...</v>
        <stp/>
        <stp>##V3_BDHV12</stp>
        <stp>CL2 Comdty</stp>
        <stp>RSI_30D</stp>
        <stp>15/11/2016</stp>
        <stp>15/11/2016</stp>
        <stp>[Bbg_Market_Data_CL.xlsm]data!R101C14</stp>
        <tr r="N101" s="1"/>
      </tp>
      <tp t="s">
        <v>#N/A Requesting Data...</v>
        <stp/>
        <stp>##V3_BDHV12</stp>
        <stp>CL1 Comdty</stp>
        <stp>RSI_30D</stp>
        <stp>15/11/2016</stp>
        <stp>15/11/2016</stp>
        <stp>[Bbg_Market_Data_CL.xlsm]data!R101C14</stp>
        <tr r="N101" s="1"/>
      </tp>
      <tp t="s">
        <v>#N/A Requesting Data...</v>
        <stp/>
        <stp>##V3_BDHV12</stp>
        <stp>CL2 Comdty</stp>
        <stp>RSI_30D</stp>
        <stp>23/07/2015</stp>
        <stp>23/07/2015</stp>
        <stp>[Bbg_Market_Data_CL.xlsm]data!R428C14</stp>
        <tr r="N428" s="1"/>
      </tp>
      <tp t="s">
        <v>#N/A Requesting Data...</v>
        <stp/>
        <stp>##V3_BDHV12</stp>
        <stp>CL1 Comdty</stp>
        <stp>RSI_30D</stp>
        <stp>23/07/2015</stp>
        <stp>23/07/2015</stp>
        <stp>[Bbg_Market_Data_CL.xlsm]data!R428C14</stp>
        <tr r="N428" s="1"/>
      </tp>
      <tp t="s">
        <v>#N/A Requesting Data...</v>
        <stp/>
        <stp>##V3_BDHV12</stp>
        <stp>CL2 Comdty</stp>
        <stp>RSI_14D</stp>
        <stp>12/04/2016</stp>
        <stp>12/04/2016</stp>
        <stp>[Bbg_Market_Data_CL.xlsm]data!R250C13</stp>
        <tr r="M250" s="1"/>
      </tp>
      <tp t="s">
        <v>#N/A Requesting Data...</v>
        <stp/>
        <stp>##V3_BDHV12</stp>
        <stp>CL2 Comdty</stp>
        <stp>RSI_30D</stp>
        <stp>04/12/2015</stp>
        <stp>04/12/2015</stp>
        <stp>[Bbg_Market_Data_CL.xlsm]data!R336C14</stp>
        <tr r="N336" s="1"/>
      </tp>
      <tp t="s">
        <v>#N/A Requesting Data...</v>
        <stp/>
        <stp>##V3_BDHV12</stp>
        <stp>CL1 Comdty</stp>
        <stp>RSI_14D</stp>
        <stp>12/04/2016</stp>
        <stp>12/04/2016</stp>
        <stp>[Bbg_Market_Data_CL.xlsm]data!R250C13</stp>
        <tr r="M250" s="1"/>
      </tp>
      <tp t="s">
        <v>#N/A Requesting Data...</v>
        <stp/>
        <stp>##V3_BDHV12</stp>
        <stp>CL1 Comdty</stp>
        <stp>RSI_30D</stp>
        <stp>04/12/2015</stp>
        <stp>04/12/2015</stp>
        <stp>[Bbg_Market_Data_CL.xlsm]data!R336C14</stp>
        <tr r="N336" s="1"/>
      </tp>
      <tp t="s">
        <v>#N/A Requesting Data...</v>
        <stp/>
        <stp>##V3_BDHV12</stp>
        <stp>CL2 Comdty</stp>
        <stp>RSI_30D</stp>
        <stp>05/10/2016</stp>
        <stp>05/10/2016</stp>
        <stp>[Bbg_Market_Data_CL.xlsm]data!R128C14</stp>
        <tr r="N128" s="1"/>
      </tp>
      <tp t="s">
        <v>#N/A Requesting Data...</v>
        <stp/>
        <stp>##V3_BDHV12</stp>
        <stp>CL1 Comdty</stp>
        <stp>RSI_30D</stp>
        <stp>05/10/2016</stp>
        <stp>05/10/2016</stp>
        <stp>[Bbg_Market_Data_CL.xlsm]data!R128C14</stp>
        <tr r="N128" s="1"/>
      </tp>
      <tp t="s">
        <v>#N/A Requesting Data...</v>
        <stp/>
        <stp>##V3_BDHV12</stp>
        <stp>CL1 Comdty</stp>
        <stp>RSI_14D</stp>
        <stp>02/05/2016</stp>
        <stp>02/05/2016</stp>
        <stp>[Bbg_Market_Data_CL.xlsm]data!R236C13</stp>
        <tr r="M236" s="1"/>
      </tp>
      <tp t="s">
        <v>#N/A Requesting Data...</v>
        <stp/>
        <stp>##V3_BDHV12</stp>
        <stp>CL2 Comdty</stp>
        <stp>RSI_14D</stp>
        <stp>02/05/2016</stp>
        <stp>02/05/2016</stp>
        <stp>[Bbg_Market_Data_CL.xlsm]data!R236C13</stp>
        <tr r="M236" s="1"/>
      </tp>
      <tp t="s">
        <v>#N/A Requesting Data...</v>
        <stp/>
        <stp>##V3_BDHV12</stp>
        <stp>CL1 Comdty</stp>
        <stp>RSI_30D</stp>
        <stp>25/02/2016</stp>
        <stp>25/02/2016</stp>
        <stp>[Bbg_Market_Data_CL.xlsm]data!R282C14</stp>
        <tr r="N282" s="1"/>
      </tp>
      <tp t="s">
        <v>#N/A Requesting Data...</v>
        <stp/>
        <stp>##V3_BDHV12</stp>
        <stp>CL2 Comdty</stp>
        <stp>RSI_30D</stp>
        <stp>25/02/2016</stp>
        <stp>25/02/2016</stp>
        <stp>[Bbg_Market_Data_CL.xlsm]data!R282C14</stp>
        <tr r="N282" s="1"/>
      </tp>
      <tp t="s">
        <v>#N/A Requesting Data...</v>
        <stp/>
        <stp>##V3_BDHV12</stp>
        <stp>CL1 Comdty</stp>
        <stp>RSI_30D</stp>
        <stp>20/04/2015</stp>
        <stp>20/04/2015</stp>
        <stp>[Bbg_Market_Data_CL.xlsm]data!R494C14</stp>
        <tr r="N494" s="1"/>
      </tp>
      <tp t="s">
        <v>#N/A Requesting Data...</v>
        <stp/>
        <stp>##V3_BDHV12</stp>
        <stp>CL2 Comdty</stp>
        <stp>RSI_30D</stp>
        <stp>20/04/2015</stp>
        <stp>20/04/2015</stp>
        <stp>[Bbg_Market_Data_CL.xlsm]data!R494C14</stp>
        <tr r="N494" s="1"/>
      </tp>
      <tp t="s">
        <v>#N/A Requesting Data...</v>
        <stp/>
        <stp>##V3_BDHV12</stp>
        <stp>CL2 Comdty</stp>
        <stp>RSI_14D</stp>
        <stp>22/07/2016</stp>
        <stp>22/07/2016</stp>
        <stp>[Bbg_Market_Data_CL.xlsm]data!R179C13</stp>
        <tr r="M179" s="1"/>
      </tp>
      <tp t="s">
        <v>#N/A Requesting Data...</v>
        <stp/>
        <stp>##V3_BDHV12</stp>
        <stp>CL1 Comdty</stp>
        <stp>RSI_14D</stp>
        <stp>22/07/2016</stp>
        <stp>22/07/2016</stp>
        <stp>[Bbg_Market_Data_CL.xlsm]data!R179C13</stp>
        <tr r="M179" s="1"/>
      </tp>
      <tp t="s">
        <v>#N/A Requesting Data...</v>
        <stp/>
        <stp>##V3_BDHV12</stp>
        <stp>CL1 Comdty</stp>
        <stp>RSI_30D</stp>
        <stp>04/01/2016</stp>
        <stp>04/01/2016</stp>
        <stp>[Bbg_Market_Data_CL.xlsm]data!R317C14</stp>
        <tr r="N317" s="1"/>
      </tp>
      <tp t="s">
        <v>#N/A Requesting Data...</v>
        <stp/>
        <stp>##V3_BDHV12</stp>
        <stp>CL2 Comdty</stp>
        <stp>RSI_30D</stp>
        <stp>04/01/2016</stp>
        <stp>04/01/2016</stp>
        <stp>[Bbg_Market_Data_CL.xlsm]data!R317C14</stp>
        <tr r="N317" s="1"/>
      </tp>
      <tp t="s">
        <v>#N/A Requesting Data...</v>
        <stp/>
        <stp>##V3_BDHV12</stp>
        <stp>CL2 Comdty</stp>
        <stp>RSI_14D</stp>
        <stp>21/04/2016</stp>
        <stp>21/04/2016</stp>
        <stp>[Bbg_Market_Data_CL.xlsm]data!R243C13</stp>
        <tr r="M243" s="1"/>
      </tp>
      <tp t="s">
        <v>#N/A Requesting Data...</v>
        <stp/>
        <stp>##V3_BDHV12</stp>
        <stp>CL1 Comdty</stp>
        <stp>RSI_14D</stp>
        <stp>21/04/2016</stp>
        <stp>21/04/2016</stp>
        <stp>[Bbg_Market_Data_CL.xlsm]data!R243C13</stp>
        <tr r="M243" s="1"/>
      </tp>
      <tp t="s">
        <v>#N/A Requesting Data...</v>
        <stp/>
        <stp>##V3_BDHV12</stp>
        <stp>CL2 Comdty</stp>
        <stp>RSI_30D</stp>
        <stp>10/07/2015</stp>
        <stp>10/07/2015</stp>
        <stp>[Bbg_Market_Data_CL.xlsm]data!R437C14</stp>
        <tr r="N437" s="1"/>
      </tp>
      <tp t="s">
        <v>#N/A Requesting Data...</v>
        <stp/>
        <stp>##V3_BDHV12</stp>
        <stp>CL1 Comdty</stp>
        <stp>RSI_30D</stp>
        <stp>10/07/2015</stp>
        <stp>10/07/2015</stp>
        <stp>[Bbg_Market_Data_CL.xlsm]data!R437C14</stp>
        <tr r="N437" s="1"/>
      </tp>
      <tp t="s">
        <v>#N/A Requesting Data...</v>
        <stp/>
        <stp>##V3_BDHV12</stp>
        <stp>CL1 Comdty</stp>
        <stp>RSI_14D</stp>
        <stp>01/06/2016</stp>
        <stp>01/06/2016</stp>
        <stp>[Bbg_Market_Data_CL.xlsm]data!R215C13</stp>
        <tr r="M215" s="1"/>
      </tp>
      <tp t="s">
        <v>#N/A Requesting Data...</v>
        <stp/>
        <stp>##V3_BDHV12</stp>
        <stp>CL2 Comdty</stp>
        <stp>RSI_14D</stp>
        <stp>31/05/2016</stp>
        <stp>31/05/2016</stp>
        <stp>[Bbg_Market_Data_CL.xlsm]data!R216C13</stp>
        <tr r="M216" s="1"/>
      </tp>
      <tp t="s">
        <v>#N/A Requesting Data...</v>
        <stp/>
        <stp>##V3_BDHV12</stp>
        <stp>CL1 Comdty</stp>
        <stp>RSI_14D</stp>
        <stp>31/05/2016</stp>
        <stp>31/05/2016</stp>
        <stp>[Bbg_Market_Data_CL.xlsm]data!R216C13</stp>
        <tr r="M216" s="1"/>
      </tp>
      <tp t="s">
        <v>#N/A Requesting Data...</v>
        <stp/>
        <stp>##V3_BDHV12</stp>
        <stp>CL2 Comdty</stp>
        <stp>RSI_14D</stp>
        <stp>01/06/2016</stp>
        <stp>01/06/2016</stp>
        <stp>[Bbg_Market_Data_CL.xlsm]data!R215C13</stp>
        <tr r="M215" s="1"/>
      </tp>
      <tp t="s">
        <v>#N/A Requesting Data...</v>
        <stp/>
        <stp>##V3_BDHV12</stp>
        <stp>CL2 Comdty</stp>
        <stp>RSI_14D</stp>
        <stp>23/06/2016</stp>
        <stp>23/06/2016</stp>
        <stp>[Bbg_Market_Data_CL.xlsm]data!R199C13</stp>
        <tr r="M199" s="1"/>
      </tp>
      <tp t="s">
        <v>#N/A Requesting Data...</v>
        <stp/>
        <stp>##V3_BDHV12</stp>
        <stp>CL1 Comdty</stp>
        <stp>RSI_14D</stp>
        <stp>23/06/2016</stp>
        <stp>23/06/2016</stp>
        <stp>[Bbg_Market_Data_CL.xlsm]data!R199C13</stp>
        <tr r="M199" s="1"/>
      </tp>
      <tp t="s">
        <v>#N/A Requesting Data...</v>
        <stp/>
        <stp>##V3_BDHV12</stp>
        <stp>CL2 Comdty</stp>
        <stp>RSI_30D</stp>
        <stp>15/01/2016</stp>
        <stp>15/01/2016</stp>
        <stp>[Bbg_Market_Data_CL.xlsm]data!R308C14</stp>
        <tr r="N308" s="1"/>
      </tp>
      <tp t="s">
        <v>#N/A Requesting Data...</v>
        <stp/>
        <stp>##V3_BDHV12</stp>
        <stp>CL1 Comdty</stp>
        <stp>RSI_30D</stp>
        <stp>15/01/2016</stp>
        <stp>15/01/2016</stp>
        <stp>[Bbg_Market_Data_CL.xlsm]data!R308C14</stp>
        <tr r="N308" s="1"/>
      </tp>
      <tp t="s">
        <v>#N/A Requesting Data...</v>
        <stp/>
        <stp>##V3_BDHV12</stp>
        <stp>CL2 Comdty</stp>
        <stp>RSI_30D</stp>
        <stp>27/10/2016</stp>
        <stp>27/10/2016</stp>
        <stp>[Bbg_Market_Data_CL.xlsm]data!R113C14</stp>
        <tr r="N113" s="1"/>
      </tp>
      <tp t="s">
        <v>#N/A Requesting Data...</v>
        <stp/>
        <stp>##V3_BDHV12</stp>
        <stp>CL1 Comdty</stp>
        <stp>RSI_30D</stp>
        <stp>27/10/2016</stp>
        <stp>27/10/2016</stp>
        <stp>[Bbg_Market_Data_CL.xlsm]data!R113C14</stp>
        <tr r="N113" s="1"/>
      </tp>
      <tp t="s">
        <v>#N/A Requesting Data...</v>
        <stp/>
        <stp>##V3_BDHV12</stp>
        <stp>CL2 Comdty</stp>
        <stp>RSI_30D</stp>
        <stp>01/07/2015</stp>
        <stp>01/07/2015</stp>
        <stp>[Bbg_Market_Data_CL.xlsm]data!R443C14</stp>
        <tr r="N443" s="1"/>
      </tp>
      <tp t="s">
        <v>#N/A Requesting Data...</v>
        <stp/>
        <stp>##V3_BDHV12</stp>
        <stp>CL1 Comdty</stp>
        <stp>RSI_30D</stp>
        <stp>01/07/2015</stp>
        <stp>01/07/2015</stp>
        <stp>[Bbg_Market_Data_CL.xlsm]data!R443C14</stp>
        <tr r="N443" s="1"/>
      </tp>
      <tp t="s">
        <v>#N/A Requesting Data...</v>
        <stp/>
        <stp>##V3_BDHV12</stp>
        <stp>CL2 Comdty</stp>
        <stp>RSI_30D</stp>
        <stp>16/11/2015</stp>
        <stp>16/11/2015</stp>
        <stp>[Bbg_Market_Data_CL.xlsm]data!R349C14</stp>
        <tr r="N349" s="1"/>
      </tp>
      <tp t="s">
        <v>#N/A Requesting Data...</v>
        <stp/>
        <stp>##V3_BDHV12</stp>
        <stp>CL1 Comdty</stp>
        <stp>RSI_30D</stp>
        <stp>16/11/2015</stp>
        <stp>16/11/2015</stp>
        <stp>[Bbg_Market_Data_CL.xlsm]data!R349C14</stp>
        <tr r="N349" s="1"/>
      </tp>
      <tp t="s">
        <v>#N/A Requesting Data...</v>
        <stp/>
        <stp>##V3_BDHV12</stp>
        <stp>CL2 Comdty</stp>
        <stp>RSI_14D</stp>
        <stp>20/05/2016</stp>
        <stp>20/05/2016</stp>
        <stp>[Bbg_Market_Data_CL.xlsm]data!R222C13</stp>
        <tr r="M222" s="1"/>
      </tp>
      <tp t="s">
        <v>#N/A Requesting Data...</v>
        <stp/>
        <stp>##V3_BDHV12</stp>
        <stp>CL1 Comdty</stp>
        <stp>RSI_14D</stp>
        <stp>20/05/2016</stp>
        <stp>20/05/2016</stp>
        <stp>[Bbg_Market_Data_CL.xlsm]data!R222C13</stp>
        <tr r="M222" s="1"/>
      </tp>
      <tp t="s">
        <v>#N/A Requesting Data...</v>
        <stp/>
        <stp>##V3_BDHV12</stp>
        <stp>CL2 Comdty</stp>
        <stp>RSI_30D</stp>
        <stp>11/06/2015</stp>
        <stp>11/06/2015</stp>
        <stp>[Bbg_Market_Data_CL.xlsm]data!R457C14</stp>
        <tr r="N457" s="1"/>
      </tp>
      <tp t="s">
        <v>#N/A Requesting Data...</v>
        <stp/>
        <stp>##V3_BDHV12</stp>
        <stp>CL1 Comdty</stp>
        <stp>RSI_30D</stp>
        <stp>11/06/2015</stp>
        <stp>11/06/2015</stp>
        <stp>[Bbg_Market_Data_CL.xlsm]data!R457C14</stp>
        <tr r="N457" s="1"/>
      </tp>
      <tp t="s">
        <v>#N/A Requesting Data...</v>
        <stp/>
        <stp>##V3_BDHV12</stp>
        <stp>CL1 Comdty</stp>
        <stp>RSI_30D</stp>
        <stp>06/10/2015</stp>
        <stp>06/10/2015</stp>
        <stp>[Bbg_Market_Data_CL.xlsm]data!R376C14</stp>
        <tr r="N376" s="1"/>
      </tp>
      <tp t="s">
        <v>#N/A Requesting Data...</v>
        <stp/>
        <stp>##V3_BDHV12</stp>
        <stp>CL2 Comdty</stp>
        <stp>RSI_30D</stp>
        <stp>06/10/2015</stp>
        <stp>06/10/2015</stp>
        <stp>[Bbg_Market_Data_CL.xlsm]data!R376C14</stp>
        <tr r="N376" s="1"/>
      </tp>
      <tp t="s">
        <v>#N/A Requesting Data...</v>
        <stp/>
        <stp>##V3_BDHV12</stp>
        <stp>CL1 Comdty</stp>
        <stp>RSI_30D</stp>
        <stp>24/03/2016</stp>
        <stp>24/03/2016</stp>
        <stp>[Bbg_Market_Data_CL.xlsm]data!R262C14</stp>
        <tr r="N262" s="1"/>
      </tp>
      <tp t="s">
        <v>#N/A Requesting Data...</v>
        <stp/>
        <stp>##V3_BDHV12</stp>
        <stp>CL2 Comdty</stp>
        <stp>RSI_30D</stp>
        <stp>24/03/2016</stp>
        <stp>24/03/2016</stp>
        <stp>[Bbg_Market_Data_CL.xlsm]data!R262C14</stp>
        <tr r="N262" s="1"/>
      </tp>
      <tp t="s">
        <v>#N/A Requesting Data...</v>
        <stp/>
        <stp>##V3_BDHV12</stp>
        <stp>CL1 Comdty</stp>
        <stp>RSI_14D</stp>
        <stp>10/06/2016</stp>
        <stp>10/06/2016</stp>
        <stp>[Bbg_Market_Data_CL.xlsm]data!R208C13</stp>
        <tr r="M208" s="1"/>
      </tp>
      <tp t="s">
        <v>#N/A Requesting Data...</v>
        <stp/>
        <stp>##V3_BDHV12</stp>
        <stp>CL2 Comdty</stp>
        <stp>RSI_14D</stp>
        <stp>10/06/2016</stp>
        <stp>10/06/2016</stp>
        <stp>[Bbg_Market_Data_CL.xlsm]data!R208C13</stp>
        <tr r="M208" s="1"/>
      </tp>
      <tp t="s">
        <v>#N/A Requesting Data...</v>
        <stp/>
        <stp>##V3_BDHV12</stp>
        <stp>CL1 Comdty</stp>
        <stp>RSI_30D</stp>
        <stp>21/05/2015</stp>
        <stp>21/05/2015</stp>
        <stp>[Bbg_Market_Data_CL.xlsm]data!R471C14</stp>
        <tr r="N471" s="1"/>
      </tp>
      <tp t="s">
        <v>#N/A Requesting Data...</v>
        <stp/>
        <stp>##V3_BDHV12</stp>
        <stp>CL2 Comdty</stp>
        <stp>RSI_30D</stp>
        <stp>21/05/2015</stp>
        <stp>21/05/2015</stp>
        <stp>[Bbg_Market_Data_CL.xlsm]data!R471C14</stp>
        <tr r="N471" s="1"/>
      </tp>
      <tp t="s">
        <v>#N/A Requesting Data...</v>
        <stp/>
        <stp>##V3_BDHV12</stp>
        <stp>CL2 Comdty</stp>
        <stp>RSI_30D</stp>
        <stp>20/07/2016</stp>
        <stp>20/07/2016</stp>
        <stp>[Bbg_Market_Data_CL.xlsm]data!R181C14</stp>
        <tr r="N181" s="1"/>
      </tp>
      <tp t="s">
        <v>#N/A Requesting Data...</v>
        <stp/>
        <stp>##V3_BDHV12</stp>
        <stp>CL1 Comdty</stp>
        <stp>RSI_30D</stp>
        <stp>20/07/2016</stp>
        <stp>20/07/2016</stp>
        <stp>[Bbg_Market_Data_CL.xlsm]data!R181C14</stp>
        <tr r="N181" s="1"/>
      </tp>
      <tp t="s">
        <v>#N/A Requesting Data...</v>
        <stp/>
        <stp>##V3_BDHV12</stp>
        <stp>CL2 Comdty</stp>
        <stp>RSI_30D</stp>
        <stp>30/06/2016</stp>
        <stp>30/06/2016</stp>
        <stp>[Bbg_Market_Data_CL.xlsm]data!R194C14</stp>
        <tr r="N194" s="1"/>
      </tp>
      <tp t="s">
        <v>#N/A Requesting Data...</v>
        <stp/>
        <stp>##V3_BDHV12</stp>
        <stp>CL1 Comdty</stp>
        <stp>RSI_30D</stp>
        <stp>30/06/2016</stp>
        <stp>30/06/2016</stp>
        <stp>[Bbg_Market_Data_CL.xlsm]data!R194C14</stp>
        <tr r="N194" s="1"/>
      </tp>
      <tp t="s">
        <v>#N/A Requesting Data...</v>
        <stp/>
        <stp>##V3_BDHV12</stp>
        <stp>CL2 Comdty</stp>
        <stp>RSI_14D</stp>
        <stp>22/04/2015</stp>
        <stp>22/04/2015</stp>
        <stp>[Bbg_Market_Data_CL.xlsm]data!R492C13</stp>
        <tr r="M492" s="1"/>
      </tp>
      <tp t="s">
        <v>#N/A Requesting Data...</v>
        <stp/>
        <stp>##V3_BDHV12</stp>
        <stp>CL1 Comdty</stp>
        <stp>RSI_14D</stp>
        <stp>22/04/2015</stp>
        <stp>22/04/2015</stp>
        <stp>[Bbg_Market_Data_CL.xlsm]data!R492C13</stp>
        <tr r="M492" s="1"/>
      </tp>
      <tp t="s">
        <v>#N/A Requesting Data...</v>
        <stp/>
        <stp>##V3_BDHV12</stp>
        <stp>CL2 Comdty</stp>
        <stp>RSI_30D</stp>
        <stp>03/06/2016</stp>
        <stp>03/06/2016</stp>
        <stp>[Bbg_Market_Data_CL.xlsm]data!R213C14</stp>
        <tr r="N213" s="1"/>
      </tp>
      <tp t="s">
        <v>#N/A Requesting Data...</v>
        <stp/>
        <stp>##V3_BDHV12</stp>
        <stp>CL1 Comdty</stp>
        <stp>RSI_30D</stp>
        <stp>03/06/2016</stp>
        <stp>03/06/2016</stp>
        <stp>[Bbg_Market_Data_CL.xlsm]data!R213C14</stp>
        <tr r="N213" s="1"/>
      </tp>
      <tp t="s">
        <v>#N/A Requesting Data...</v>
        <stp/>
        <stp>##V3_BDHV12</stp>
        <stp>CL1 Comdty</stp>
        <stp>RSI_14D</stp>
        <stp>02/06/2015</stp>
        <stp>02/06/2015</stp>
        <stp>[Bbg_Market_Data_CL.xlsm]data!R464C13</stp>
        <tr r="M464" s="1"/>
      </tp>
      <tp t="s">
        <v>#N/A Requesting Data...</v>
        <stp/>
        <stp>##V3_BDHV12</stp>
        <stp>CL2 Comdty</stp>
        <stp>RSI_14D</stp>
        <stp>15/10/2015</stp>
        <stp>15/10/2015</stp>
        <stp>[Bbg_Market_Data_CL.xlsm]data!R370C13</stp>
        <tr r="M370" s="1"/>
      </tp>
      <tp t="s">
        <v>#N/A Requesting Data...</v>
        <stp/>
        <stp>##V3_BDHV12</stp>
        <stp>CL1 Comdty</stp>
        <stp>RSI_14D</stp>
        <stp>15/10/2015</stp>
        <stp>15/10/2015</stp>
        <stp>[Bbg_Market_Data_CL.xlsm]data!R370C13</stp>
        <tr r="M370" s="1"/>
      </tp>
      <tp t="s">
        <v>#N/A Requesting Data...</v>
        <stp/>
        <stp>##V3_BDHV12</stp>
        <stp>CL2 Comdty</stp>
        <stp>RSI_14D</stp>
        <stp>02/06/2015</stp>
        <stp>02/06/2015</stp>
        <stp>[Bbg_Market_Data_CL.xlsm]data!R464C13</stp>
        <tr r="M464" s="1"/>
      </tp>
      <tp t="s">
        <v>#N/A Requesting Data...</v>
        <stp/>
        <stp>##V3_BDHV12</stp>
        <stp>CL2 Comdty</stp>
        <stp>RSI_14D</stp>
        <stp>05/11/2015</stp>
        <stp>05/11/2015</stp>
        <stp>[Bbg_Market_Data_CL.xlsm]data!R355C13</stp>
        <tr r="M355" s="1"/>
      </tp>
      <tp t="s">
        <v>#N/A Requesting Data...</v>
        <stp/>
        <stp>##V3_BDHV12</stp>
        <stp>CL1 Comdty</stp>
        <stp>RSI_14D</stp>
        <stp>05/11/2015</stp>
        <stp>05/11/2015</stp>
        <stp>[Bbg_Market_Data_CL.xlsm]data!R355C13</stp>
        <tr r="M355" s="1"/>
      </tp>
      <tp t="s">
        <v>#N/A Requesting Data...</v>
        <stp/>
        <stp>##V3_BDHV12</stp>
        <stp>CL2 Comdty</stp>
        <stp>RSI_14D</stp>
        <stp>06/01/2016</stp>
        <stp>06/01/2016</stp>
        <stp>[Bbg_Market_Data_CL.xlsm]data!R315C13</stp>
        <tr r="M315" s="1"/>
      </tp>
      <tp t="s">
        <v>#N/A Requesting Data...</v>
        <stp/>
        <stp>##V3_BDHV12</stp>
        <stp>CL1 Comdty</stp>
        <stp>RSI_14D</stp>
        <stp>06/01/2016</stp>
        <stp>06/01/2016</stp>
        <stp>[Bbg_Market_Data_CL.xlsm]data!R315C13</stp>
        <tr r="M315" s="1"/>
      </tp>
      <tp t="s">
        <v>#N/A Requesting Data...</v>
        <stp/>
        <stp>##V3_BDHV12</stp>
        <stp>CL1 Comdty</stp>
        <stp>RSI_14D</stp>
        <stp>24/12/2015</stp>
        <stp>24/12/2015</stp>
        <stp>[Bbg_Market_Data_CL.xlsm]data!R322C13</stp>
        <tr r="M322" s="1"/>
      </tp>
      <tp t="s">
        <v>#N/A Requesting Data...</v>
        <stp/>
        <stp>##V3_BDHV12</stp>
        <stp>CL2 Comdty</stp>
        <stp>RSI_14D</stp>
        <stp>24/12/2015</stp>
        <stp>24/12/2015</stp>
        <stp>[Bbg_Market_Data_CL.xlsm]data!R322C13</stp>
        <tr r="M322" s="1"/>
      </tp>
      <tp t="s">
        <v>#N/A Requesting Data...</v>
        <stp/>
        <stp>##V3_BDHV12</stp>
        <stp>CL1 Comdty</stp>
        <stp>RSI_14D</stp>
        <stp>25/10/2016</stp>
        <stp>25/10/2016</stp>
        <stp>[Bbg_Market_Data_CL.xlsm]data!R115C13</stp>
        <tr r="M115" s="1"/>
      </tp>
      <tp t="s">
        <v>#N/A Requesting Data...</v>
        <stp/>
        <stp>##V3_BDHV12</stp>
        <stp>CL2 Comdty</stp>
        <stp>RSI_14D</stp>
        <stp>25/10/2016</stp>
        <stp>25/10/2016</stp>
        <stp>[Bbg_Market_Data_CL.xlsm]data!R115C13</stp>
        <tr r="M115" s="1"/>
      </tp>
      <tp t="s">
        <v>#N/A Requesting Data...</v>
        <stp/>
        <stp>##V3_BDHV12</stp>
        <stp>CL1 Comdty</stp>
        <stp>RSI_14D</stp>
        <stp>05/02/2016</stp>
        <stp>05/02/2016</stp>
        <stp>[Bbg_Market_Data_CL.xlsm]data!R294C13</stp>
        <tr r="M294" s="1"/>
      </tp>
      <tp t="s">
        <v>#N/A Requesting Data...</v>
        <stp/>
        <stp>##V3_BDHV12</stp>
        <stp>CL2 Comdty</stp>
        <stp>RSI_14D</stp>
        <stp>05/02/2016</stp>
        <stp>05/02/2016</stp>
        <stp>[Bbg_Market_Data_CL.xlsm]data!R294C13</stp>
        <tr r="M294" s="1"/>
      </tp>
      <tp t="s">
        <v>#N/A Requesting Data...</v>
        <stp/>
        <stp>##V3_BDHV12</stp>
        <stp>CL2 Comdty</stp>
        <stp>RSI_30D</stp>
        <stp>21/06/2016</stp>
        <stp>21/06/2016</stp>
        <stp>[Bbg_Market_Data_CL.xlsm]data!R201C14</stp>
        <tr r="N201" s="1"/>
      </tp>
      <tp t="s">
        <v>#N/A Requesting Data...</v>
        <stp/>
        <stp>##V3_BDHV12</stp>
        <stp>CL1 Comdty</stp>
        <stp>RSI_30D</stp>
        <stp>21/06/2016</stp>
        <stp>21/06/2016</stp>
        <stp>[Bbg_Market_Data_CL.xlsm]data!R201C14</stp>
        <tr r="N201" s="1"/>
      </tp>
      <tp t="s">
        <v>#N/A Requesting Data...</v>
        <stp/>
        <stp>##V3_BDHV12</stp>
        <stp>CL1 Comdty</stp>
        <stp>RSI_14D</stp>
        <stp>15/03/2016</stp>
        <stp>15/03/2016</stp>
        <stp>[Bbg_Market_Data_CL.xlsm]data!R269C13</stp>
        <tr r="M269" s="1"/>
      </tp>
      <tp t="s">
        <v>#N/A Requesting Data...</v>
        <stp/>
        <stp>##V3_BDHV12</stp>
        <stp>CL2 Comdty</stp>
        <stp>RSI_14D</stp>
        <stp>15/03/2016</stp>
        <stp>15/03/2016</stp>
        <stp>[Bbg_Market_Data_CL.xlsm]data!R269C13</stp>
        <tr r="M269" s="1"/>
      </tp>
      <tp t="s">
        <v>#N/A Requesting Data...</v>
        <stp/>
        <stp>##V3_BDHV12</stp>
        <stp>CL2 Comdty</stp>
        <stp>RSI_30D</stp>
        <stp>11/05/2016</stp>
        <stp>11/05/2016</stp>
        <stp>[Bbg_Market_Data_CL.xlsm]data!R229C14</stp>
        <tr r="N229" s="1"/>
      </tp>
      <tp t="s">
        <v>#N/A Requesting Data...</v>
        <stp/>
        <stp>##V3_BDHV12</stp>
        <stp>CL1 Comdty</stp>
        <stp>RSI_30D</stp>
        <stp>11/05/2016</stp>
        <stp>11/05/2016</stp>
        <stp>[Bbg_Market_Data_CL.xlsm]data!R229C14</stp>
        <tr r="N229" s="1"/>
      </tp>
      <tp t="s">
        <v>#N/A Requesting Data...</v>
        <stp/>
        <stp>##V3_BDHV12</stp>
        <stp>CL1 Comdty</stp>
        <stp>RSI_14D</stp>
        <stp>27/11/2015</stp>
        <stp>27/11/2015</stp>
        <stp>[Bbg_Market_Data_CL.xlsm]data!R341C13</stp>
        <tr r="M341" s="1"/>
      </tp>
      <tp t="s">
        <v>#N/A Requesting Data...</v>
        <stp/>
        <stp>##V3_BDHV12</stp>
        <stp>CL2 Comdty</stp>
        <stp>RSI_14D</stp>
        <stp>27/11/2015</stp>
        <stp>27/11/2015</stp>
        <stp>[Bbg_Market_Data_CL.xlsm]data!R341C13</stp>
        <tr r="M341" s="1"/>
      </tp>
      <tp t="s">
        <v>#N/A Requesting Data...</v>
        <stp/>
        <stp>##V3_BDHV12</stp>
        <stp>CL2 Comdty</stp>
        <stp>RSI_14D</stp>
        <stp>17/12/2015</stp>
        <stp>17/12/2015</stp>
        <stp>[Bbg_Market_Data_CL.xlsm]data!R327C13</stp>
        <tr r="M327" s="1"/>
      </tp>
      <tp t="s">
        <v>#N/A Requesting Data...</v>
        <stp/>
        <stp>##V3_BDHV12</stp>
        <stp>CL1 Comdty</stp>
        <stp>RSI_14D</stp>
        <stp>17/12/2015</stp>
        <stp>17/12/2015</stp>
        <stp>[Bbg_Market_Data_CL.xlsm]data!R327C13</stp>
        <tr r="M327" s="1"/>
      </tp>
      <tp t="s">
        <v>#N/A Requesting Data...</v>
        <stp/>
        <stp>##V3_BDHV12</stp>
        <stp>CL1 Comdty</stp>
        <stp>RSI_14D</stp>
        <stp>30/07/2015</stp>
        <stp>30/07/2015</stp>
        <stp>[Bbg_Market_Data_CL.xlsm]data!R423C13</stp>
        <tr r="M423" s="1"/>
      </tp>
      <tp t="s">
        <v>#N/A Requesting Data...</v>
        <stp/>
        <stp>##V3_BDHV12</stp>
        <stp>CL2 Comdty</stp>
        <stp>RSI_14D</stp>
        <stp>30/07/2015</stp>
        <stp>30/07/2015</stp>
        <stp>[Bbg_Market_Data_CL.xlsm]data!R423C13</stp>
        <tr r="M423" s="1"/>
      </tp>
      <tp t="s">
        <v>#N/A Requesting Data...</v>
        <stp/>
        <stp>##V3_BDHV12</stp>
        <stp>CL1 Comdty</stp>
        <stp>RSI_30D</stp>
        <stp>01/04/2016</stp>
        <stp>01/04/2016</stp>
        <stp>[Bbg_Market_Data_CL.xlsm]data!R257C14</stp>
        <tr r="N257" s="1"/>
      </tp>
      <tp t="s">
        <v>#N/A Requesting Data...</v>
        <stp/>
        <stp>##V3_BDHV12</stp>
        <stp>CL2 Comdty</stp>
        <stp>RSI_30D</stp>
        <stp>01/04/2016</stp>
        <stp>01/04/2016</stp>
        <stp>[Bbg_Market_Data_CL.xlsm]data!R257C14</stp>
        <tr r="N257" s="1"/>
      </tp>
      <tp t="s">
        <v>#N/A Requesting Data...</v>
        <stp/>
        <stp>##V3_BDHV12</stp>
        <stp>CL2 Comdty</stp>
        <stp>RSI_30D</stp>
        <stp>13/07/2016</stp>
        <stp>13/07/2016</stp>
        <stp>[Bbg_Market_Data_CL.xlsm]data!R186C14</stp>
        <tr r="N186" s="1"/>
      </tp>
      <tp t="s">
        <v>#N/A Requesting Data...</v>
        <stp/>
        <stp>##V3_BDHV12</stp>
        <stp>CL1 Comdty</stp>
        <stp>RSI_30D</stp>
        <stp>13/07/2016</stp>
        <stp>13/07/2016</stp>
        <stp>[Bbg_Market_Data_CL.xlsm]data!R186C14</stp>
        <tr r="N186" s="1"/>
      </tp>
      <tp t="s">
        <v>#N/A Requesting Data...</v>
        <stp/>
        <stp>##V3_BDHV12</stp>
        <stp>CL2 Comdty</stp>
        <stp>RSI_14D</stp>
        <stp>01/05/2015</stp>
        <stp>01/05/2015</stp>
        <stp>[Bbg_Market_Data_CL.xlsm]data!R485C13</stp>
        <tr r="M485" s="1"/>
      </tp>
      <tp t="s">
        <v>#N/A Requesting Data...</v>
        <stp/>
        <stp>##V3_BDHV12</stp>
        <stp>CL1 Comdty</stp>
        <stp>RSI_14D</stp>
        <stp>01/05/2015</stp>
        <stp>01/05/2015</stp>
        <stp>[Bbg_Market_Data_CL.xlsm]data!R485C13</stp>
        <tr r="M485" s="1"/>
      </tp>
      <tp t="s">
        <v>#N/A Requesting Data...</v>
        <stp/>
        <stp>##V3_BDHV12</stp>
        <stp>CL2 Comdty</stp>
        <stp>RSI_14D</stp>
        <stp>04/03/2016</stp>
        <stp>04/03/2016</stp>
        <stp>[Bbg_Market_Data_CL.xlsm]data!R276C13</stp>
        <tr r="M276" s="1"/>
      </tp>
      <tp t="s">
        <v>#N/A Requesting Data...</v>
        <stp/>
        <stp>##V3_BDHV12</stp>
        <stp>CL1 Comdty</stp>
        <stp>RSI_14D</stp>
        <stp>04/03/2016</stp>
        <stp>04/03/2016</stp>
        <stp>[Bbg_Market_Data_CL.xlsm]data!R276C13</stp>
        <tr r="M276" s="1"/>
      </tp>
      <tp t="s">
        <v>#N/A Requesting Data...</v>
        <stp/>
        <stp>##V3_BDHV12</stp>
        <stp>CL2 Comdty</stp>
        <stp>RSI_14D</stp>
        <stp>26/10/2015</stp>
        <stp>26/10/2015</stp>
        <stp>[Bbg_Market_Data_CL.xlsm]data!R363C13</stp>
        <tr r="M363" s="1"/>
      </tp>
      <tp t="s">
        <v>#N/A Requesting Data...</v>
        <stp/>
        <stp>##V3_BDHV12</stp>
        <stp>CL1 Comdty</stp>
        <stp>RSI_14D</stp>
        <stp>26/10/2015</stp>
        <stp>26/10/2015</stp>
        <stp>[Bbg_Market_Data_CL.xlsm]data!R363C13</stp>
        <tr r="M363" s="1"/>
      </tp>
      <tp t="s">
        <v>#N/A Requesting Data...</v>
        <stp/>
        <stp>##V3_BDHV12</stp>
        <stp>CL2 Comdty</stp>
        <stp>RSI_14D</stp>
        <stp>21/07/2015</stp>
        <stp>21/07/2015</stp>
        <stp>[Bbg_Market_Data_CL.xlsm]data!R430C13</stp>
        <tr r="M430" s="1"/>
      </tp>
      <tp t="s">
        <v>#N/A Requesting Data...</v>
        <stp/>
        <stp>##V3_BDHV12</stp>
        <stp>CL1 Comdty</stp>
        <stp>RSI_14D</stp>
        <stp>07/10/2016</stp>
        <stp>07/10/2016</stp>
        <stp>[Bbg_Market_Data_CL.xlsm]data!R126C13</stp>
        <tr r="M126" s="1"/>
      </tp>
      <tp t="s">
        <v>#N/A Requesting Data...</v>
        <stp/>
        <stp>##V3_BDHV12</stp>
        <stp>CL2 Comdty</stp>
        <stp>RSI_14D</stp>
        <stp>07/10/2016</stp>
        <stp>07/10/2016</stp>
        <stp>[Bbg_Market_Data_CL.xlsm]data!R126C13</stp>
        <tr r="M126" s="1"/>
      </tp>
      <tp t="s">
        <v>#N/A Requesting Data...</v>
        <stp/>
        <stp>##V3_BDHV12</stp>
        <stp>CL1 Comdty</stp>
        <stp>RSI_14D</stp>
        <stp>21/07/2015</stp>
        <stp>21/07/2015</stp>
        <stp>[Bbg_Market_Data_CL.xlsm]data!R430C13</stp>
        <tr r="M430" s="1"/>
      </tp>
      <tp>
        <v>47.15</v>
        <stp/>
        <stp>##V3_BDHV12</stp>
        <stp>CL1 Comdty</stp>
        <stp>PX_HIGH</stp>
        <stp>23/09/2015</stp>
        <stp>23/09/2015</stp>
        <stp>[Bbg_Market_Data_CL.xlsm]data!R385C6</stp>
        <tr r="F385" s="1"/>
        <tr r="F385" s="1"/>
      </tp>
      <tp t="s">
        <v>#N/A Requesting Data...</v>
        <stp/>
        <stp>##V3_BDHV12</stp>
        <stp>CL1 Comdty</stp>
        <stp>PX_LAST</stp>
        <stp>01/02/2016</stp>
        <stp>01/02/2016</stp>
        <stp>[Bbg_Market_Data_CL.xlsm]data!R298C9</stp>
        <tr r="I298" s="1"/>
      </tp>
      <tp t="s">
        <v>#N/A Requesting Data...</v>
        <stp/>
        <stp>##V3_BDHV12</stp>
        <stp>CL2 Comdty</stp>
        <stp>PX_LAST</stp>
        <stp>02/11/2016</stp>
        <stp>02/11/2016</stp>
        <stp>[Bbg_Market_Data_CL.xlsm]data!R109C9</stp>
        <tr r="I109" s="1"/>
      </tp>
      <tp t="s">
        <v>#N/A Requesting Data...</v>
        <stp/>
        <stp>##V3_BDHV12</stp>
        <stp>CL2 Comdty</stp>
        <stp>PX_LAST</stp>
        <stp>30/12/2015</stp>
        <stp>30/12/2015</stp>
        <stp>[Bbg_Market_Data_CL.xlsm]data!R319C9</stp>
        <tr r="I319" s="1"/>
      </tp>
      <tp t="s">
        <v>#N/A Requesting Data...</v>
        <stp/>
        <stp>##V3_BDHV12</stp>
        <stp>CL1 Comdty</stp>
        <stp>PX_LAST</stp>
        <stp>01/03/2016</stp>
        <stp>01/03/2016</stp>
        <stp>[Bbg_Market_Data_CL.xlsm]data!R279C9</stp>
        <tr r="I279" s="1"/>
      </tp>
      <tp t="s">
        <v>#N/A Requesting Data...</v>
        <stp/>
        <stp>##V3_BDHV12</stp>
        <stp>CL2 Comdty</stp>
        <stp>PX_LAST</stp>
        <stp>18/08/2015</stp>
        <stp>18/08/2015</stp>
        <stp>[Bbg_Market_Data_CL.xlsm]data!R410C9</stp>
        <tr r="I410" s="1"/>
      </tp>
      <tp t="s">
        <v>#N/A Requesting Data...</v>
        <stp/>
        <stp>##V3_BDHV12</stp>
        <stp>CL2 Comdty</stp>
        <stp>PX_LAST</stp>
        <stp>29/09/2016</stp>
        <stp>29/09/2016</stp>
        <stp>[Bbg_Market_Data_CL.xlsm]data!R132C9</stp>
        <tr r="I132" s="1"/>
      </tp>
      <tp>
        <v>43.39</v>
        <stp/>
        <stp>##V3_BDHV12</stp>
        <stp>CL1 Comdty</stp>
        <stp>PX_HIGH</stp>
        <stp>10/08/2016</stp>
        <stp>10/08/2016</stp>
        <stp>[Bbg_Market_Data_CL.xlsm]data!R167C6</stp>
        <tr r="F167" s="1"/>
        <tr r="F167" s="1"/>
      </tp>
      <tp t="s">
        <v>#N/A Requesting Data...</v>
        <stp/>
        <stp>##V3_BDHV12</stp>
        <stp>CL1 Comdty</stp>
        <stp>PX_LAST</stp>
        <stp>12/02/2016</stp>
        <stp>12/02/2016</stp>
        <stp>[Bbg_Market_Data_CL.xlsm]data!R289C9</stp>
        <tr r="I289" s="1"/>
      </tp>
      <tp t="s">
        <v>#N/A Requesting Data...</v>
        <stp/>
        <stp>##V3_BDHV12</stp>
        <stp>CL2 Comdty</stp>
        <stp>PX_LAST</stp>
        <stp>02/10/2015</stp>
        <stp>02/10/2015</stp>
        <stp>[Bbg_Market_Data_CL.xlsm]data!R378C9</stp>
        <tr r="I378" s="1"/>
      </tp>
      <tp t="s">
        <v>#N/A Requesting Data...</v>
        <stp/>
        <stp>##V3_BDHV12</stp>
        <stp>CL1 Comdty</stp>
        <stp>PX_LAST</stp>
        <stp>29/09/2015</stp>
        <stp>29/09/2015</stp>
        <stp>[Bbg_Market_Data_CL.xlsm]data!R381C9</stp>
        <tr r="I381" s="1"/>
      </tp>
      <tp t="s">
        <v>#N/A Requesting Data...</v>
        <stp/>
        <stp>##V3_BDHV12</stp>
        <stp>CL1 Comdty</stp>
        <stp>PX_LAST</stp>
        <stp>01/12/2015</stp>
        <stp>01/12/2015</stp>
        <stp>[Bbg_Market_Data_CL.xlsm]data!R339C9</stp>
        <tr r="I339" s="1"/>
      </tp>
      <tp t="s">
        <v>#N/A Requesting Data...</v>
        <stp/>
        <stp>##V3_BDHV12</stp>
        <stp>CL2 Comdty</stp>
        <stp>PX_LAST</stp>
        <stp>30/03/2016</stp>
        <stp>30/03/2016</stp>
        <stp>[Bbg_Market_Data_CL.xlsm]data!R259C9</stp>
        <tr r="I259" s="1"/>
      </tp>
      <tp t="s">
        <v>#N/A Requesting Data...</v>
        <stp/>
        <stp>##V3_BDHV12</stp>
        <stp>CL2 Comdty</stp>
        <stp>PX_LAST</stp>
        <stp>28/09/2015</stp>
        <stp>28/09/2015</stp>
        <stp>[Bbg_Market_Data_CL.xlsm]data!R382C9</stp>
        <tr r="I382" s="1"/>
      </tp>
      <tp t="s">
        <v>#N/A Requesting Data...</v>
        <stp/>
        <stp>##V3_BDHV12</stp>
        <stp>CL2 Comdty</stp>
        <stp>PX_LAST</stp>
        <stp>19/08/2016</stp>
        <stp>19/08/2016</stp>
        <stp>[Bbg_Market_Data_CL.xlsm]data!R160C9</stp>
        <tr r="I160" s="1"/>
      </tp>
      <tp>
        <v>45.97</v>
        <stp/>
        <stp>##V3_BDHV12</stp>
        <stp>CL1 Comdty</stp>
        <stp>PX_HIGH</stp>
        <stp>08/07/2016</stp>
        <stp>08/07/2016</stp>
        <stp>[Bbg_Market_Data_CL.xlsm]data!R189C6</stp>
        <tr r="F189" s="1"/>
        <tr r="F189" s="1"/>
      </tp>
      <tp>
        <v>39.86</v>
        <stp/>
        <stp>##V3_BDHV12</stp>
        <stp>CL1 Comdty</stp>
        <stp>PX_HIGH</stp>
        <stp>26/08/2015</stp>
        <stp>26/08/2015</stp>
        <stp>[Bbg_Market_Data_CL.xlsm]data!R404C6</stp>
        <tr r="F404" s="1"/>
        <tr r="F404" s="1"/>
      </tp>
      <tp>
        <v>46.14</v>
        <stp/>
        <stp>##V3_BDHV12</stp>
        <stp>CL1 Comdty</stp>
        <stp>PX_HIGH</stp>
        <stp>28/04/2016</stp>
        <stp>28/04/2016</stp>
        <stp>[Bbg_Market_Data_CL.xlsm]data!R238C6</stp>
        <tr r="F238" s="1"/>
        <tr r="F238" s="1"/>
      </tp>
      <tp>
        <v>47.23</v>
        <stp/>
        <stp>##V3_BDHV12</stp>
        <stp>CL1 Comdty</stp>
        <stp>PX_HIGH</stp>
        <stp>04/09/2015</stp>
        <stp>04/09/2015</stp>
        <stp>[Bbg_Market_Data_CL.xlsm]data!R397C6</stp>
        <tr r="F397" s="1"/>
        <tr r="F397" s="1"/>
      </tp>
      <tp t="s">
        <v>#N/A Requesting Data...</v>
        <stp/>
        <stp>##V3_BDHV12</stp>
        <stp>CL1 Comdty</stp>
        <stp>PX_LAST</stp>
        <stp>16/12/2015</stp>
        <stp>16/12/2015</stp>
        <stp>[Bbg_Market_Data_CL.xlsm]data!R328C9</stp>
        <tr r="I328" s="1"/>
      </tp>
      <tp>
        <v>57.83</v>
        <stp/>
        <stp>##V3_BDHV12</stp>
        <stp>CL1 Comdty</stp>
        <stp>PX_HIGH</stp>
        <stp>28/04/2015</stp>
        <stp>28/04/2015</stp>
        <stp>[Bbg_Market_Data_CL.xlsm]data!R488C6</stp>
        <tr r="F488" s="1"/>
        <tr r="F488" s="1"/>
      </tp>
      <tp>
        <v>46.2</v>
        <stp/>
        <stp>##V3_BDHV12</stp>
        <stp>CL1 Comdty</stp>
        <stp>PX_HIGH</stp>
        <stp>26/09/2016</stp>
        <stp>26/09/2016</stp>
        <stp>[Bbg_Market_Data_CL.xlsm]data!R135C6</stp>
        <tr r="F135" s="1"/>
        <tr r="F135" s="1"/>
      </tp>
      <tp t="s">
        <v>#N/A Requesting Data...</v>
        <stp/>
        <stp>##V3_BDHV12</stp>
        <stp>CL2 Comdty</stp>
        <stp>PX_LAST</stp>
        <stp>05/10/2016</stp>
        <stp>05/10/2016</stp>
        <stp>[Bbg_Market_Data_CL.xlsm]data!R128C9</stp>
        <tr r="I128" s="1"/>
      </tp>
      <tp>
        <v>52.96</v>
        <stp/>
        <stp>##V3_BDHV12</stp>
        <stp>CL1 Comdty</stp>
        <stp>PX_HIGH</stp>
        <stp>08/07/2015</stp>
        <stp>08/07/2015</stp>
        <stp>[Bbg_Market_Data_CL.xlsm]data!R439C6</stp>
        <tr r="F439" s="1"/>
        <tr r="F439" s="1"/>
      </tp>
      <tp t="s">
        <v>#N/A Requesting Data...</v>
        <stp/>
        <stp>##V3_BDHV12</stp>
        <stp>CL1 Comdty</stp>
        <stp>PX_LAST</stp>
        <stp>16/03/2016</stp>
        <stp>16/03/2016</stp>
        <stp>[Bbg_Market_Data_CL.xlsm]data!R268C9</stp>
        <tr r="I268" s="1"/>
      </tp>
      <tp t="s">
        <v>#N/A Requesting Data...</v>
        <stp/>
        <stp>##V3_BDHV12</stp>
        <stp>CL2 Comdty</stp>
        <stp>PX_LAST</stp>
        <stp>16/10/2015</stp>
        <stp>16/10/2015</stp>
        <stp>[Bbg_Market_Data_CL.xlsm]data!R369C9</stp>
        <tr r="I369" s="1"/>
      </tp>
      <tp t="s">
        <v>#N/A Requesting Data...</v>
        <stp/>
        <stp>##V3_BDHV12</stp>
        <stp>CL2 Comdty</stp>
        <stp>PX_LAST</stp>
        <stp>14/01/2016</stp>
        <stp>14/01/2016</stp>
        <stp>[Bbg_Market_Data_CL.xlsm]data!R309C9</stp>
        <tr r="I309" s="1"/>
      </tp>
      <tp t="s">
        <v>#N/A Requesting Data...</v>
        <stp/>
        <stp>##V3_BDHV12</stp>
        <stp>CL2 Comdty</stp>
        <stp>PX_LAST</stp>
        <stp>17/11/2015</stp>
        <stp>17/11/2015</stp>
        <stp>[Bbg_Market_Data_CL.xlsm]data!R348C9</stp>
        <tr r="I348" s="1"/>
      </tp>
      <tp>
        <v>47.28</v>
        <stp/>
        <stp>##V3_BDHV12</stp>
        <stp>CL1 Comdty</stp>
        <stp>PX_HIGH</stp>
        <stp>29/08/2016</stp>
        <stp>29/08/2016</stp>
        <stp>[Bbg_Market_Data_CL.xlsm]data!R154C6</stp>
        <tr r="F154" s="1"/>
        <tr r="F154" s="1"/>
      </tp>
      <tp t="s">
        <v>#N/A Requesting Data...</v>
        <stp/>
        <stp>##V3_BDHV12</stp>
        <stp>CL2 Comdty</stp>
        <stp>PX_LAST</stp>
        <stp>01/09/2015</stp>
        <stp>01/09/2015</stp>
        <stp>[Bbg_Market_Data_CL.xlsm]data!R400C9</stp>
        <tr r="I400" s="1"/>
      </tp>
      <tp t="s">
        <v>#N/A Requesting Data...</v>
        <stp/>
        <stp>##V3_BDHV12</stp>
        <stp>CL2 Comdty</stp>
        <stp>PX_LAST</stp>
        <stp>03/08/2016</stp>
        <stp>03/08/2016</stp>
        <stp>[Bbg_Market_Data_CL.xlsm]data!R171C9</stp>
        <tr r="I171" s="1"/>
      </tp>
      <tp t="s">
        <v>#N/A Requesting Data...</v>
        <stp/>
        <stp>##V3_BDHV12</stp>
        <stp>CL2 Comdty</stp>
        <stp>PX_LAST</stp>
        <stp>02/09/2016</stp>
        <stp>02/09/2016</stp>
        <stp>[Bbg_Market_Data_CL.xlsm]data!R150C9</stp>
        <tr r="I150" s="1"/>
      </tp>
      <tp>
        <v>49.75</v>
        <stp/>
        <stp>##V3_BDHV12</stp>
        <stp>CL1 Comdty</stp>
        <stp>PX_HIGH</stp>
        <stp>25/05/2016</stp>
        <stp>25/05/2016</stp>
        <stp>[Bbg_Market_Data_CL.xlsm]data!R219C6</stp>
        <tr r="F219" s="1"/>
        <tr r="F219" s="1"/>
      </tp>
      <tp>
        <v>60.25</v>
        <stp/>
        <stp>##V3_BDHV12</stp>
        <stp>CL1 Comdty</stp>
        <stp>PX_HIGH</stp>
        <stp>26/05/2015</stp>
        <stp>26/05/2015</stp>
        <stp>[Bbg_Market_Data_CL.xlsm]data!R469C6</stp>
        <tr r="F469" s="1"/>
        <tr r="F469" s="1"/>
      </tp>
      <tp t="s">
        <v>#N/A Requesting Data...</v>
        <stp/>
        <stp>##V3_BDHV12</stp>
        <stp>CL2 Comdty</stp>
        <stp>PX_LAST</stp>
        <stp>31/08/2016</stp>
        <stp>31/08/2016</stp>
        <stp>[Bbg_Market_Data_CL.xlsm]data!R152C9</stp>
        <tr r="I152" s="1"/>
      </tp>
      <tp t="s">
        <v>#N/A Requesting Data...</v>
        <stp/>
        <stp>##V3_BDHV12</stp>
        <stp>CL1 Comdty</stp>
        <stp>PX_LAST</stp>
        <stp>02/08/2016</stp>
        <stp>02/08/2016</stp>
        <stp>[Bbg_Market_Data_CL.xlsm]data!R172C9</stp>
        <tr r="I172" s="1"/>
      </tp>
      <tp t="s">
        <v>#N/A Requesting Data...</v>
        <stp/>
        <stp>##V3_BDHV12</stp>
        <stp>CL1 Comdty</stp>
        <stp>PX_LAST</stp>
        <stp>29/01/2016</stp>
        <stp>29/01/2016</stp>
        <stp>[Bbg_Market_Data_CL.xlsm]data!R299C9</stp>
        <tr r="I299" s="1"/>
      </tp>
      <tp>
        <v>47.75</v>
        <stp/>
        <stp>##V3_BDHV12</stp>
        <stp>CL1 Comdty</stp>
        <stp>PX_HIGH</stp>
        <stp>08/09/2016</stp>
        <stp>08/09/2016</stp>
        <stp>[Bbg_Market_Data_CL.xlsm]data!R147C6</stp>
        <tr r="F147" s="1"/>
        <tr r="F147" s="1"/>
      </tp>
      <tp t="s">
        <v>#N/A Requesting Data...</v>
        <stp/>
        <stp>##V3_BDHV12</stp>
        <stp>CL1 Comdty</stp>
        <stp>PX_LAST</stp>
        <stp>13/08/2015</stp>
        <stp>13/08/2015</stp>
        <stp>[Bbg_Market_Data_CL.xlsm]data!R413C9</stp>
        <tr r="I413" s="1"/>
      </tp>
      <tp t="s">
        <v>#N/A Requesting Data...</v>
        <stp/>
        <stp>##V3_BDHV12</stp>
        <stp>CL1 Comdty</stp>
        <stp>PX_LAST</stp>
        <stp>31/08/2015</stp>
        <stp>31/08/2015</stp>
        <stp>[Bbg_Market_Data_CL.xlsm]data!R401C9</stp>
        <tr r="I401" s="1"/>
      </tp>
      <tp t="s">
        <v>#N/A Requesting Data...</v>
        <stp/>
        <stp>##V3_BDHV12</stp>
        <stp>CL1 Comdty</stp>
        <stp>PX_LAST</stp>
        <stp>30/09/2015</stp>
        <stp>30/09/2015</stp>
        <stp>[Bbg_Market_Data_CL.xlsm]data!R380C9</stp>
        <tr r="I380" s="1"/>
      </tp>
      <tp t="s">
        <v>#N/A Requesting Data...</v>
        <stp/>
        <stp>##V3_BDHV12</stp>
        <stp>CL2 Comdty</stp>
        <stp>PX_LAST</stp>
        <stp>03/08/2015</stp>
        <stp>03/08/2015</stp>
        <stp>[Bbg_Market_Data_CL.xlsm]data!R421C9</stp>
        <tr r="I421" s="1"/>
      </tp>
      <tp t="s">
        <v>#N/A Requesting Data...</v>
        <stp/>
        <stp>##V3_BDHV12</stp>
        <stp>CL2 Comdty</stp>
        <stp>PX_LAST</stp>
        <stp>19/10/2016</stp>
        <stp>19/10/2016</stp>
        <stp>[Bbg_Market_Data_CL.xlsm]data!R119C9</stp>
        <tr r="I119" s="1"/>
      </tp>
      <tp>
        <v>45.77</v>
        <stp/>
        <stp>##V3_BDHV12</stp>
        <stp>CL1 Comdty</stp>
        <stp>PX_HIGH</stp>
        <stp>11/07/2016</stp>
        <stp>11/07/2016</stp>
        <stp>[Bbg_Market_Data_CL.xlsm]data!R188C6</stp>
        <tr r="F188" s="1"/>
        <tr r="F188" s="1"/>
      </tp>
      <tp t="s">
        <v>#N/A Requesting Data...</v>
        <stp/>
        <stp>##V3_BDHV12</stp>
        <stp>CL1 Comdty</stp>
        <stp>PX_LAST</stp>
        <stp>14/09/2015</stp>
        <stp>14/09/2015</stp>
        <stp>[Bbg_Market_Data_CL.xlsm]data!R392C9</stp>
        <tr r="I392" s="1"/>
      </tp>
      <tp t="s">
        <v>#N/A Requesting Data...</v>
        <stp/>
        <stp>##V3_BDHV12</stp>
        <stp>CL1 Comdty</stp>
        <stp>PX_LAST</stp>
        <stp>16/08/2016</stp>
        <stp>16/08/2016</stp>
        <stp>[Bbg_Market_Data_CL.xlsm]data!R163C9</stp>
        <tr r="I163" s="1"/>
      </tp>
      <tp t="s">
        <v>#N/A Requesting Data...</v>
        <stp/>
        <stp>##V3_BDHV12</stp>
        <stp>CL2 Comdty</stp>
        <stp>PX_LAST</stp>
        <stp>15/09/2015</stp>
        <stp>15/09/2015</stp>
        <stp>[Bbg_Market_Data_CL.xlsm]data!R391C9</stp>
        <tr r="I391" s="1"/>
      </tp>
      <tp t="s">
        <v>#N/A Requesting Data...</v>
        <stp/>
        <stp>##V3_BDHV12</stp>
        <stp>CL2 Comdty</stp>
        <stp>PX_LAST</stp>
        <stp>16/09/2016</stp>
        <stp>16/09/2016</stp>
        <stp>[Bbg_Market_Data_CL.xlsm]data!R141C9</stp>
        <tr r="I141" s="1"/>
      </tp>
      <tp t="s">
        <v>#N/A Requesting Data...</v>
        <stp/>
        <stp>##V3_BDHV12</stp>
        <stp>CL2 Comdty</stp>
        <stp>PX_LAST</stp>
        <stp>27/08/2015</stp>
        <stp>27/08/2015</stp>
        <stp>[Bbg_Market_Data_CL.xlsm]data!R403C9</stp>
        <tr r="I403" s="1"/>
      </tp>
      <tp t="s">
        <v>#N/A Requesting Data...</v>
        <stp/>
        <stp>##V3_BDHV12</stp>
        <stp>CL1 Comdty</stp>
        <stp>PX_LAST</stp>
        <stp>15/09/2016</stp>
        <stp>15/09/2016</stp>
        <stp>[Bbg_Market_Data_CL.xlsm]data!R142C9</stp>
        <tr r="I142" s="1"/>
      </tp>
      <tp>
        <v>41.88</v>
        <stp/>
        <stp>##V3_BDHV12</stp>
        <stp>CL1 Comdty</stp>
        <stp>PX_OPEN</stp>
        <stp>18/08/2015</stp>
        <stp>18/08/2015</stp>
        <stp>[Bbg_Market_Data_CL.xlsm]data!R410C5</stp>
        <tr r="E410" s="1"/>
        <tr r="E410" s="1"/>
      </tp>
      <tp>
        <v>47.2</v>
        <stp/>
        <stp>##V3_BDHV12</stp>
        <stp>CL1 Comdty</stp>
        <stp>PX_OPEN</stp>
        <stp>29/09/2016</stp>
        <stp>29/09/2016</stp>
        <stp>[Bbg_Market_Data_CL.xlsm]data!R132C5</stp>
        <tr r="E132" s="1"/>
        <tr r="E132" s="1"/>
      </tp>
      <tp>
        <v>37.36</v>
        <stp/>
        <stp>##V3_BDHV12</stp>
        <stp>CL1 Comdty</stp>
        <stp>PX_OPEN</stp>
        <stp>30/12/2015</stp>
        <stp>30/12/2015</stp>
        <stp>[Bbg_Market_Data_CL.xlsm]data!R319C5</stp>
        <tr r="E319" s="1"/>
        <tr r="E319" s="1"/>
      </tp>
      <tp>
        <v>46.32</v>
        <stp/>
        <stp>##V3_BDHV12</stp>
        <stp>CL1 Comdty</stp>
        <stp>PX_OPEN</stp>
        <stp>02/11/2016</stp>
        <stp>02/11/2016</stp>
        <stp>[Bbg_Market_Data_CL.xlsm]data!R109C5</stp>
        <tr r="E109" s="1"/>
        <tr r="E109" s="1"/>
      </tp>
      <tp>
        <v>48.33</v>
        <stp/>
        <stp>##V3_BDHV12</stp>
        <stp>CL1 Comdty</stp>
        <stp>PX_OPEN</stp>
        <stp>19/08/2016</stp>
        <stp>19/08/2016</stp>
        <stp>[Bbg_Market_Data_CL.xlsm]data!R160C5</stp>
        <tr r="E160" s="1"/>
        <tr r="E160" s="1"/>
      </tp>
      <tp>
        <v>45.38</v>
        <stp/>
        <stp>##V3_BDHV12</stp>
        <stp>CL1 Comdty</stp>
        <stp>PX_OPEN</stp>
        <stp>28/09/2015</stp>
        <stp>28/09/2015</stp>
        <stp>[Bbg_Market_Data_CL.xlsm]data!R382C5</stp>
        <tr r="E382" s="1"/>
        <tr r="E382" s="1"/>
      </tp>
      <tp>
        <v>38.520000000000003</v>
        <stp/>
        <stp>##V3_BDHV12</stp>
        <stp>CL1 Comdty</stp>
        <stp>PX_OPEN</stp>
        <stp>30/03/2016</stp>
        <stp>30/03/2016</stp>
        <stp>[Bbg_Market_Data_CL.xlsm]data!R259C5</stp>
        <tr r="E259" s="1"/>
        <tr r="E259" s="1"/>
      </tp>
      <tp>
        <v>45.07</v>
        <stp/>
        <stp>##V3_BDHV12</stp>
        <stp>CL1 Comdty</stp>
        <stp>PX_OPEN</stp>
        <stp>02/10/2015</stp>
        <stp>02/10/2015</stp>
        <stp>[Bbg_Market_Data_CL.xlsm]data!R378C5</stp>
        <tr r="E378" s="1"/>
        <tr r="E378" s="1"/>
      </tp>
      <tp>
        <v>46.87</v>
        <stp/>
        <stp>##V3_BDHV12</stp>
        <stp>CL1 Comdty</stp>
        <stp>PX_OPEN</stp>
        <stp>16/10/2015</stp>
        <stp>16/10/2015</stp>
        <stp>[Bbg_Market_Data_CL.xlsm]data!R369C5</stp>
        <tr r="E369" s="1"/>
        <tr r="E369" s="1"/>
      </tp>
      <tp>
        <v>30.6</v>
        <stp/>
        <stp>##V3_BDHV12</stp>
        <stp>CL1 Comdty</stp>
        <stp>PX_OPEN</stp>
        <stp>14/01/2016</stp>
        <stp>14/01/2016</stp>
        <stp>[Bbg_Market_Data_CL.xlsm]data!R309C5</stp>
        <tr r="E309" s="1"/>
        <tr r="E309" s="1"/>
      </tp>
      <tp>
        <v>41.96</v>
        <stp/>
        <stp>##V3_BDHV12</stp>
        <stp>CL1 Comdty</stp>
        <stp>PX_OPEN</stp>
        <stp>17/11/2015</stp>
        <stp>17/11/2015</stp>
        <stp>[Bbg_Market_Data_CL.xlsm]data!R348C5</stp>
        <tr r="E348" s="1"/>
        <tr r="E348" s="1"/>
      </tp>
      <tp>
        <v>49.26</v>
        <stp/>
        <stp>##V3_BDHV12</stp>
        <stp>CL1 Comdty</stp>
        <stp>PX_OPEN</stp>
        <stp>05/10/2016</stp>
        <stp>05/10/2016</stp>
        <stp>[Bbg_Market_Data_CL.xlsm]data!R128C5</stp>
        <tr r="E128" s="1"/>
        <tr r="E128" s="1"/>
      </tp>
      <tp>
        <v>46.24</v>
        <stp/>
        <stp>##V3_BDHV12</stp>
        <stp>CL1 Comdty</stp>
        <stp>PX_OPEN</stp>
        <stp>31/08/2016</stp>
        <stp>31/08/2016</stp>
        <stp>[Bbg_Market_Data_CL.xlsm]data!R152C5</stp>
        <tr r="E152" s="1"/>
        <tr r="E152" s="1"/>
      </tp>
      <tp>
        <v>48.1</v>
        <stp/>
        <stp>##V3_BDHV12</stp>
        <stp>CL1 Comdty</stp>
        <stp>PX_OPEN</stp>
        <stp>01/09/2015</stp>
        <stp>01/09/2015</stp>
        <stp>[Bbg_Market_Data_CL.xlsm]data!R400C5</stp>
        <tr r="E400" s="1"/>
        <tr r="E400" s="1"/>
      </tp>
      <tp>
        <v>39.700000000000003</v>
        <stp/>
        <stp>##V3_BDHV12</stp>
        <stp>CL1 Comdty</stp>
        <stp>PX_OPEN</stp>
        <stp>03/08/2016</stp>
        <stp>03/08/2016</stp>
        <stp>[Bbg_Market_Data_CL.xlsm]data!R171C5</stp>
        <tr r="E171" s="1"/>
        <tr r="E171" s="1"/>
      </tp>
      <tp>
        <v>43.55</v>
        <stp/>
        <stp>##V3_BDHV12</stp>
        <stp>CL1 Comdty</stp>
        <stp>PX_OPEN</stp>
        <stp>02/09/2016</stp>
        <stp>02/09/2016</stp>
        <stp>[Bbg_Market_Data_CL.xlsm]data!R150C5</stp>
        <tr r="E150" s="1"/>
        <tr r="E150" s="1"/>
      </tp>
      <tp>
        <v>50.77</v>
        <stp/>
        <stp>##V3_BDHV12</stp>
        <stp>CL1 Comdty</stp>
        <stp>PX_OPEN</stp>
        <stp>19/10/2016</stp>
        <stp>19/10/2016</stp>
        <stp>[Bbg_Market_Data_CL.xlsm]data!R119C5</stp>
        <tr r="E119" s="1"/>
        <tr r="E119" s="1"/>
      </tp>
      <tp>
        <v>46.86</v>
        <stp/>
        <stp>##V3_BDHV12</stp>
        <stp>CL1 Comdty</stp>
        <stp>PX_OPEN</stp>
        <stp>03/08/2015</stp>
        <stp>03/08/2015</stp>
        <stp>[Bbg_Market_Data_CL.xlsm]data!R421C5</stp>
        <tr r="E421" s="1"/>
        <tr r="E421" s="1"/>
      </tp>
      <tp>
        <v>43.71</v>
        <stp/>
        <stp>##V3_BDHV12</stp>
        <stp>CL1 Comdty</stp>
        <stp>PX_OPEN</stp>
        <stp>16/09/2016</stp>
        <stp>16/09/2016</stp>
        <stp>[Bbg_Market_Data_CL.xlsm]data!R141C5</stp>
        <tr r="E141" s="1"/>
        <tr r="E141" s="1"/>
      </tp>
      <tp>
        <v>44.11</v>
        <stp/>
        <stp>##V3_BDHV12</stp>
        <stp>CL1 Comdty</stp>
        <stp>PX_OPEN</stp>
        <stp>15/09/2015</stp>
        <stp>15/09/2015</stp>
        <stp>[Bbg_Market_Data_CL.xlsm]data!R391C5</stp>
        <tr r="E391" s="1"/>
        <tr r="E391" s="1"/>
      </tp>
      <tp>
        <v>38.96</v>
        <stp/>
        <stp>##V3_BDHV12</stp>
        <stp>CL1 Comdty</stp>
        <stp>PX_OPEN</stp>
        <stp>27/08/2015</stp>
        <stp>27/08/2015</stp>
        <stp>[Bbg_Market_Data_CL.xlsm]data!R403C5</stp>
        <tr r="E403" s="1"/>
        <tr r="E403" s="1"/>
      </tp>
      <tp t="s">
        <v>#N/A Requesting Data...</v>
        <stp/>
        <stp>##V3_BDHV12</stp>
        <stp>CL1 Comdty</stp>
        <stp>RSI_30D</stp>
        <stp>17/02/2016</stp>
        <stp>17/02/2016</stp>
        <stp>[Bbg_Market_Data_CL.xlsm]data!R288C14</stp>
        <tr r="N288" s="1"/>
      </tp>
      <tp t="s">
        <v>#N/A Requesting Data...</v>
        <stp/>
        <stp>##V3_BDHV12</stp>
        <stp>CL2 Comdty</stp>
        <stp>RSI_30D</stp>
        <stp>17/02/2016</stp>
        <stp>17/02/2016</stp>
        <stp>[Bbg_Market_Data_CL.xlsm]data!R288C14</stp>
        <tr r="N288" s="1"/>
      </tp>
      <tp t="s">
        <v>#N/A Requesting Data...</v>
        <stp/>
        <stp>##V3_BDHV12</stp>
        <stp>CL1 Comdty</stp>
        <stp>RSI_30D</stp>
        <stp>14/11/2016</stp>
        <stp>14/11/2016</stp>
        <stp>[Bbg_Market_Data_CL.xlsm]data!R102C14</stp>
        <tr r="N102" s="1"/>
      </tp>
      <tp t="s">
        <v>#N/A Requesting Data...</v>
        <stp/>
        <stp>##V3_BDHV12</stp>
        <stp>CL2 Comdty</stp>
        <stp>RSI_30D</stp>
        <stp>14/11/2016</stp>
        <stp>14/11/2016</stp>
        <stp>[Bbg_Market_Data_CL.xlsm]data!R102C14</stp>
        <tr r="N102" s="1"/>
      </tp>
      <tp t="s">
        <v>#N/A Requesting Data...</v>
        <stp/>
        <stp>##V3_BDHV12</stp>
        <stp>CL2 Comdty</stp>
        <stp>RSI_30D</stp>
        <stp>22/07/2015</stp>
        <stp>22/07/2015</stp>
        <stp>[Bbg_Market_Data_CL.xlsm]data!R429C14</stp>
        <tr r="N429" s="1"/>
      </tp>
      <tp t="s">
        <v>#N/A Requesting Data...</v>
        <stp/>
        <stp>##V3_BDHV12</stp>
        <stp>CL1 Comdty</stp>
        <stp>RSI_30D</stp>
        <stp>22/07/2015</stp>
        <stp>22/07/2015</stp>
        <stp>[Bbg_Market_Data_CL.xlsm]data!R429C14</stp>
        <tr r="N429" s="1"/>
      </tp>
      <tp t="s">
        <v>#N/A Requesting Data...</v>
        <stp/>
        <stp>##V3_BDHV12</stp>
        <stp>CL2 Comdty</stp>
        <stp>RSI_14D</stp>
        <stp>13/04/2016</stp>
        <stp>13/04/2016</stp>
        <stp>[Bbg_Market_Data_CL.xlsm]data!R249C13</stp>
        <tr r="M249" s="1"/>
      </tp>
      <tp t="s">
        <v>#N/A Requesting Data...</v>
        <stp/>
        <stp>##V3_BDHV12</stp>
        <stp>CL1 Comdty</stp>
        <stp>RSI_14D</stp>
        <stp>13/04/2016</stp>
        <stp>13/04/2016</stp>
        <stp>[Bbg_Market_Data_CL.xlsm]data!R249C13</stp>
        <tr r="M249" s="1"/>
      </tp>
      <tp t="s">
        <v>#N/A Requesting Data...</v>
        <stp/>
        <stp>##V3_BDHV12</stp>
        <stp>CL2 Comdty</stp>
        <stp>RSI_30D</stp>
        <stp>04/10/2016</stp>
        <stp>04/10/2016</stp>
        <stp>[Bbg_Market_Data_CL.xlsm]data!R129C14</stp>
        <tr r="N129" s="1"/>
      </tp>
      <tp t="s">
        <v>#N/A Requesting Data...</v>
        <stp/>
        <stp>##V3_BDHV12</stp>
        <stp>CL1 Comdty</stp>
        <stp>RSI_30D</stp>
        <stp>04/10/2016</stp>
        <stp>04/10/2016</stp>
        <stp>[Bbg_Market_Data_CL.xlsm]data!R129C14</stp>
        <tr r="N129" s="1"/>
      </tp>
      <tp t="s">
        <v>#N/A Requesting Data...</v>
        <stp/>
        <stp>##V3_BDHV12</stp>
        <stp>CL2 Comdty</stp>
        <stp>RSI_14D</stp>
        <stp>03/05/2016</stp>
        <stp>03/05/2016</stp>
        <stp>[Bbg_Market_Data_CL.xlsm]data!R235C13</stp>
        <tr r="M235" s="1"/>
      </tp>
      <tp t="s">
        <v>#N/A Requesting Data...</v>
        <stp/>
        <stp>##V3_BDHV12</stp>
        <stp>CL1 Comdty</stp>
        <stp>RSI_14D</stp>
        <stp>03/05/2016</stp>
        <stp>03/05/2016</stp>
        <stp>[Bbg_Market_Data_CL.xlsm]data!R235C13</stp>
        <tr r="M235" s="1"/>
      </tp>
      <tp t="s">
        <v>#N/A Requesting Data...</v>
        <stp/>
        <stp>##V3_BDHV12</stp>
        <stp>CL1 Comdty</stp>
        <stp>RSI_30D</stp>
        <stp>07/03/2016</stp>
        <stp>07/03/2016</stp>
        <stp>[Bbg_Market_Data_CL.xlsm]data!R275C14</stp>
        <tr r="N275" s="1"/>
      </tp>
      <tp t="s">
        <v>#N/A Requesting Data...</v>
        <stp/>
        <stp>##V3_BDHV12</stp>
        <stp>CL2 Comdty</stp>
        <stp>RSI_30D</stp>
        <stp>07/03/2016</stp>
        <stp>07/03/2016</stp>
        <stp>[Bbg_Market_Data_CL.xlsm]data!R275C14</stp>
        <tr r="N275" s="1"/>
      </tp>
      <tp t="s">
        <v>#N/A Requesting Data...</v>
        <stp/>
        <stp>##V3_BDHV12</stp>
        <stp>CL2 Comdty</stp>
        <stp>RSI_14D</stp>
        <stp>01/07/2016</stp>
        <stp>01/07/2016</stp>
        <stp>[Bbg_Market_Data_CL.xlsm]data!R193C13</stp>
        <tr r="M193" s="1"/>
      </tp>
      <tp t="s">
        <v>#N/A Requesting Data...</v>
        <stp/>
        <stp>##V3_BDHV12</stp>
        <stp>CL1 Comdty</stp>
        <stp>RSI_14D</stp>
        <stp>01/07/2016</stp>
        <stp>01/07/2016</stp>
        <stp>[Bbg_Market_Data_CL.xlsm]data!R193C13</stp>
        <tr r="M193" s="1"/>
      </tp>
      <tp t="s">
        <v>#N/A Requesting Data...</v>
        <stp/>
        <stp>##V3_BDHV12</stp>
        <stp>CL1 Comdty</stp>
        <stp>RSI_30D</stp>
        <stp>27/01/2016</stp>
        <stp>27/01/2016</stp>
        <stp>[Bbg_Market_Data_CL.xlsm]data!R301C14</stp>
        <tr r="N301" s="1"/>
      </tp>
      <tp t="s">
        <v>#N/A Requesting Data...</v>
        <stp/>
        <stp>##V3_BDHV12</stp>
        <stp>CL2 Comdty</stp>
        <stp>RSI_30D</stp>
        <stp>27/01/2016</stp>
        <stp>27/01/2016</stp>
        <stp>[Bbg_Market_Data_CL.xlsm]data!R301C14</stp>
        <tr r="N301" s="1"/>
      </tp>
      <tp t="s">
        <v>#N/A Requesting Data...</v>
        <stp/>
        <stp>##V3_BDHV12</stp>
        <stp>CL1 Comdty</stp>
        <stp>RSI_30D</stp>
        <stp>14/12/2015</stp>
        <stp>14/12/2015</stp>
        <stp>[Bbg_Market_Data_CL.xlsm]data!R330C14</stp>
        <tr r="N330" s="1"/>
      </tp>
      <tp t="s">
        <v>#N/A Requesting Data...</v>
        <stp/>
        <stp>##V3_BDHV12</stp>
        <stp>CL2 Comdty</stp>
        <stp>RSI_30D</stp>
        <stp>14/12/2015</stp>
        <stp>14/12/2015</stp>
        <stp>[Bbg_Market_Data_CL.xlsm]data!R330C14</stp>
        <tr r="N330" s="1"/>
      </tp>
      <tp t="s">
        <v>#N/A Requesting Data...</v>
        <stp/>
        <stp>##V3_BDHV12</stp>
        <stp>CL2 Comdty</stp>
        <stp>RSI_30D</stp>
        <stp>23/06/2015</stp>
        <stp>23/06/2015</stp>
        <stp>[Bbg_Market_Data_CL.xlsm]data!R449C14</stp>
        <tr r="N449" s="1"/>
      </tp>
      <tp t="s">
        <v>#N/A Requesting Data...</v>
        <stp/>
        <stp>##V3_BDHV12</stp>
        <stp>CL1 Comdty</stp>
        <stp>RSI_30D</stp>
        <stp>23/06/2015</stp>
        <stp>23/06/2015</stp>
        <stp>[Bbg_Market_Data_CL.xlsm]data!R449C14</stp>
        <tr r="N449" s="1"/>
      </tp>
      <tp t="s">
        <v>#N/A Requesting Data...</v>
        <stp/>
        <stp>##V3_BDHV12</stp>
        <stp>CL2 Comdty</stp>
        <stp>RSI_14D</stp>
        <stp>12/05/2016</stp>
        <stp>12/05/2016</stp>
        <stp>[Bbg_Market_Data_CL.xlsm]data!R228C13</stp>
        <tr r="M228" s="1"/>
      </tp>
      <tp t="s">
        <v>#N/A Requesting Data...</v>
        <stp/>
        <stp>##V3_BDHV12</stp>
        <stp>CL1 Comdty</stp>
        <stp>RSI_14D</stp>
        <stp>12/05/2016</stp>
        <stp>12/05/2016</stp>
        <stp>[Bbg_Market_Data_CL.xlsm]data!R228C13</stp>
        <tr r="M228" s="1"/>
      </tp>
      <tp t="s">
        <v>#N/A Requesting Data...</v>
        <stp/>
        <stp>##V3_BDHV12</stp>
        <stp>CL2 Comdty</stp>
        <stp>RSI_30D</stp>
        <stp>24/11/2015</stp>
        <stp>24/11/2015</stp>
        <stp>[Bbg_Market_Data_CL.xlsm]data!R343C14</stp>
        <tr r="N343" s="1"/>
      </tp>
      <tp t="s">
        <v>#N/A Requesting Data...</v>
        <stp/>
        <stp>##V3_BDHV12</stp>
        <stp>CL1 Comdty</stp>
        <stp>RSI_30D</stp>
        <stp>24/11/2015</stp>
        <stp>24/11/2015</stp>
        <stp>[Bbg_Market_Data_CL.xlsm]data!R343C14</stp>
        <tr r="N343" s="1"/>
      </tp>
      <tp t="s">
        <v>#N/A Requesting Data...</v>
        <stp/>
        <stp>##V3_BDHV12</stp>
        <stp>CL1 Comdty</stp>
        <stp>RSI_30D</stp>
        <stp>16/03/2016</stp>
        <stp>16/03/2016</stp>
        <stp>[Bbg_Market_Data_CL.xlsm]data!R268C14</stp>
        <tr r="N268" s="1"/>
      </tp>
      <tp t="s">
        <v>#N/A Requesting Data...</v>
        <stp/>
        <stp>##V3_BDHV12</stp>
        <stp>CL2 Comdty</stp>
        <stp>RSI_30D</stp>
        <stp>16/03/2016</stp>
        <stp>16/03/2016</stp>
        <stp>[Bbg_Market_Data_CL.xlsm]data!R268C14</stp>
        <tr r="N268" s="1"/>
      </tp>
      <tp t="s">
        <v>#N/A Requesting Data...</v>
        <stp/>
        <stp>##V3_BDHV12</stp>
        <stp>CL2 Comdty</stp>
        <stp>RSI_14D</stp>
        <stp>22/06/2016</stp>
        <stp>22/06/2016</stp>
        <stp>[Bbg_Market_Data_CL.xlsm]data!R200C13</stp>
        <tr r="M200" s="1"/>
      </tp>
      <tp t="s">
        <v>#N/A Requesting Data...</v>
        <stp/>
        <stp>##V3_BDHV12</stp>
        <stp>CL1 Comdty</stp>
        <stp>RSI_14D</stp>
        <stp>22/06/2016</stp>
        <stp>22/06/2016</stp>
        <stp>[Bbg_Market_Data_CL.xlsm]data!R200C13</stp>
        <tr r="M200" s="1"/>
      </tp>
      <tp t="s">
        <v>#N/A Requesting Data...</v>
        <stp/>
        <stp>##V3_BDHV12</stp>
        <stp>CL1 Comdty</stp>
        <stp>RSI_30D</stp>
        <stp>13/05/2015</stp>
        <stp>13/05/2015</stp>
        <stp>[Bbg_Market_Data_CL.xlsm]data!R477C14</stp>
        <tr r="N477" s="1"/>
      </tp>
      <tp t="s">
        <v>#N/A Requesting Data...</v>
        <stp/>
        <stp>##V3_BDHV12</stp>
        <stp>CL2 Comdty</stp>
        <stp>RSI_30D</stp>
        <stp>13/05/2015</stp>
        <stp>13/05/2015</stp>
        <stp>[Bbg_Market_Data_CL.xlsm]data!R477C14</stp>
        <tr r="N477" s="1"/>
      </tp>
      <tp t="s">
        <v>#N/A Requesting Data...</v>
        <stp/>
        <stp>##V3_BDHV12</stp>
        <stp>CL2 Comdty</stp>
        <stp>RSI_30D</stp>
        <stp>30/04/2015</stp>
        <stp>30/04/2015</stp>
        <stp>[Bbg_Market_Data_CL.xlsm]data!R486C14</stp>
        <tr r="N486" s="1"/>
      </tp>
      <tp t="s">
        <v>#N/A Requesting Data...</v>
        <stp/>
        <stp>##V3_BDHV12</stp>
        <stp>CL1 Comdty</stp>
        <stp>RSI_30D</stp>
        <stp>30/04/2015</stp>
        <stp>30/04/2015</stp>
        <stp>[Bbg_Market_Data_CL.xlsm]data!R486C14</stp>
        <tr r="N486" s="1"/>
      </tp>
      <tp t="s">
        <v>#N/A Requesting Data...</v>
        <stp/>
        <stp>##V3_BDHV12</stp>
        <stp>CL2 Comdty</stp>
        <stp>RSI_30D</stp>
        <stp>14/01/2016</stp>
        <stp>14/01/2016</stp>
        <stp>[Bbg_Market_Data_CL.xlsm]data!R309C14</stp>
        <tr r="N309" s="1"/>
      </tp>
      <tp t="s">
        <v>#N/A Requesting Data...</v>
        <stp/>
        <stp>##V3_BDHV12</stp>
        <stp>CL1 Comdty</stp>
        <stp>RSI_30D</stp>
        <stp>14/01/2016</stp>
        <stp>14/01/2016</stp>
        <stp>[Bbg_Market_Data_CL.xlsm]data!R309C14</stp>
        <tr r="N309" s="1"/>
      </tp>
      <tp t="s">
        <v>#N/A Requesting Data...</v>
        <stp/>
        <stp>##V3_BDHV12</stp>
        <stp>CL1 Comdty</stp>
        <stp>RSI_30D</stp>
        <stp>26/10/2016</stp>
        <stp>26/10/2016</stp>
        <stp>[Bbg_Market_Data_CL.xlsm]data!R114C14</stp>
        <tr r="N114" s="1"/>
      </tp>
      <tp t="s">
        <v>#N/A Requesting Data...</v>
        <stp/>
        <stp>##V3_BDHV12</stp>
        <stp>CL2 Comdty</stp>
        <stp>RSI_30D</stp>
        <stp>26/10/2016</stp>
        <stp>26/10/2016</stp>
        <stp>[Bbg_Market_Data_CL.xlsm]data!R114C14</stp>
        <tr r="N114" s="1"/>
      </tp>
      <tp t="s">
        <v>#N/A Requesting Data...</v>
        <stp/>
        <stp>##V3_BDHV12</stp>
        <stp>CL1 Comdty</stp>
        <stp>RSI_30D</stp>
        <stp>10/06/2015</stp>
        <stp>10/06/2015</stp>
        <stp>[Bbg_Market_Data_CL.xlsm]data!R458C14</stp>
        <tr r="N458" s="1"/>
      </tp>
      <tp t="s">
        <v>#N/A Requesting Data...</v>
        <stp/>
        <stp>##V3_BDHV12</stp>
        <stp>CL2 Comdty</stp>
        <stp>RSI_30D</stp>
        <stp>10/06/2015</stp>
        <stp>10/06/2015</stp>
        <stp>[Bbg_Market_Data_CL.xlsm]data!R458C14</stp>
        <tr r="N458" s="1"/>
      </tp>
      <tp t="s">
        <v>#N/A Requesting Data...</v>
        <stp/>
        <stp>##V3_BDHV12</stp>
        <stp>CL2 Comdty</stp>
        <stp>RSI_30D</stp>
        <stp>17/11/2015</stp>
        <stp>17/11/2015</stp>
        <stp>[Bbg_Market_Data_CL.xlsm]data!R348C14</stp>
        <tr r="N348" s="1"/>
      </tp>
      <tp t="s">
        <v>#N/A Requesting Data...</v>
        <stp/>
        <stp>##V3_BDHV12</stp>
        <stp>CL1 Comdty</stp>
        <stp>RSI_30D</stp>
        <stp>17/11/2015</stp>
        <stp>17/11/2015</stp>
        <stp>[Bbg_Market_Data_CL.xlsm]data!R348C14</stp>
        <tr r="N348" s="1"/>
      </tp>
      <tp t="s">
        <v>#N/A Requesting Data...</v>
        <stp/>
        <stp>##V3_BDHV12</stp>
        <stp>CL2 Comdty</stp>
        <stp>RSI_30D</stp>
        <stp>07/10/2015</stp>
        <stp>07/10/2015</stp>
        <stp>[Bbg_Market_Data_CL.xlsm]data!R375C14</stp>
        <tr r="N375" s="1"/>
      </tp>
      <tp t="s">
        <v>#N/A Requesting Data...</v>
        <stp/>
        <stp>##V3_BDHV12</stp>
        <stp>CL1 Comdty</stp>
        <stp>RSI_30D</stp>
        <stp>07/10/2015</stp>
        <stp>07/10/2015</stp>
        <stp>[Bbg_Market_Data_CL.xlsm]data!R375C14</stp>
        <tr r="N375" s="1"/>
      </tp>
      <tp t="s">
        <v>#N/A Requesting Data...</v>
        <stp/>
        <stp>##V3_BDHV12</stp>
        <stp>CL2 Comdty</stp>
        <stp>RSI_30D</stp>
        <stp>20/05/2015</stp>
        <stp>20/05/2015</stp>
        <stp>[Bbg_Market_Data_CL.xlsm]data!R472C14</stp>
        <tr r="N472" s="1"/>
      </tp>
      <tp t="s">
        <v>#N/A Requesting Data...</v>
        <stp/>
        <stp>##V3_BDHV12</stp>
        <stp>CL1 Comdty</stp>
        <stp>RSI_30D</stp>
        <stp>20/05/2015</stp>
        <stp>20/05/2015</stp>
        <stp>[Bbg_Market_Data_CL.xlsm]data!R472C14</stp>
        <tr r="N472" s="1"/>
      </tp>
      <tp t="s">
        <v>#N/A Requesting Data...</v>
        <stp/>
        <stp>##V3_BDHV12</stp>
        <stp>CL1 Comdty</stp>
        <stp>RSI_30D</stp>
        <stp>24/02/2016</stp>
        <stp>24/02/2016</stp>
        <stp>[Bbg_Market_Data_CL.xlsm]data!R283C14</stp>
        <tr r="N283" s="1"/>
      </tp>
      <tp t="s">
        <v>#N/A Requesting Data...</v>
        <stp/>
        <stp>##V3_BDHV12</stp>
        <stp>CL2 Comdty</stp>
        <stp>RSI_30D</stp>
        <stp>24/02/2016</stp>
        <stp>24/02/2016</stp>
        <stp>[Bbg_Market_Data_CL.xlsm]data!R283C14</stp>
        <tr r="N283" s="1"/>
      </tp>
      <tp t="s">
        <v>#N/A Requesting Data...</v>
        <stp/>
        <stp>##V3_BDHV12</stp>
        <stp>CL2 Comdty</stp>
        <stp>RSI_30D</stp>
        <stp>21/04/2015</stp>
        <stp>21/04/2015</stp>
        <stp>[Bbg_Market_Data_CL.xlsm]data!R493C14</stp>
        <tr r="N493" s="1"/>
      </tp>
      <tp t="s">
        <v>#N/A Requesting Data...</v>
        <stp/>
        <stp>##V3_BDHV12</stp>
        <stp>CL1 Comdty</stp>
        <stp>RSI_30D</stp>
        <stp>21/04/2015</stp>
        <stp>21/04/2015</stp>
        <stp>[Bbg_Market_Data_CL.xlsm]data!R493C14</stp>
        <tr r="N493" s="1"/>
      </tp>
      <tp t="s">
        <v>#N/A Requesting Data...</v>
        <stp/>
        <stp>##V3_BDHV12</stp>
        <stp>CL1 Comdty</stp>
        <stp>RSI_30D</stp>
        <stp>05/01/2016</stp>
        <stp>05/01/2016</stp>
        <stp>[Bbg_Market_Data_CL.xlsm]data!R316C14</stp>
        <tr r="N316" s="1"/>
      </tp>
      <tp t="s">
        <v>#N/A Requesting Data...</v>
        <stp/>
        <stp>##V3_BDHV12</stp>
        <stp>CL2 Comdty</stp>
        <stp>RSI_30D</stp>
        <stp>05/01/2016</stp>
        <stp>05/01/2016</stp>
        <stp>[Bbg_Market_Data_CL.xlsm]data!R316C14</stp>
        <tr r="N316" s="1"/>
      </tp>
      <tp t="s">
        <v>#N/A Requesting Data...</v>
        <stp/>
        <stp>##V3_BDHV12</stp>
        <stp>CL1 Comdty</stp>
        <stp>RSI_14D</stp>
        <stp>20/04/2016</stp>
        <stp>20/04/2016</stp>
        <stp>[Bbg_Market_Data_CL.xlsm]data!R244C13</stp>
        <tr r="M244" s="1"/>
      </tp>
      <tp t="s">
        <v>#N/A Requesting Data...</v>
        <stp/>
        <stp>##V3_BDHV12</stp>
        <stp>CL2 Comdty</stp>
        <stp>RSI_14D</stp>
        <stp>20/04/2016</stp>
        <stp>20/04/2016</stp>
        <stp>[Bbg_Market_Data_CL.xlsm]data!R244C13</stp>
        <tr r="M244" s="1"/>
      </tp>
      <tp t="s">
        <v>#N/A Requesting Data...</v>
        <stp/>
        <stp>##V3_BDHV12</stp>
        <stp>CL2 Comdty</stp>
        <stp>RSI_30D</stp>
        <stp>06/11/2015</stp>
        <stp>06/11/2015</stp>
        <stp>[Bbg_Market_Data_CL.xlsm]data!R354C14</stp>
        <tr r="N354" s="1"/>
      </tp>
      <tp t="s">
        <v>#N/A Requesting Data...</v>
        <stp/>
        <stp>##V3_BDHV12</stp>
        <stp>CL1 Comdty</stp>
        <stp>RSI_30D</stp>
        <stp>06/11/2015</stp>
        <stp>06/11/2015</stp>
        <stp>[Bbg_Market_Data_CL.xlsm]data!R354C14</stp>
        <tr r="N354" s="1"/>
      </tp>
      <tp t="s">
        <v>#N/A Requesting Data...</v>
        <stp/>
        <stp>##V3_BDHV12</stp>
        <stp>CL1 Comdty</stp>
        <stp>RSI_30D</stp>
        <stp>01/06/2015</stp>
        <stp>01/06/2015</stp>
        <stp>[Bbg_Market_Data_CL.xlsm]data!R465C14</stp>
        <tr r="N465" s="1"/>
      </tp>
      <tp t="s">
        <v>#N/A Requesting Data...</v>
        <stp/>
        <stp>##V3_BDHV12</stp>
        <stp>CL2 Comdty</stp>
        <stp>RSI_30D</stp>
        <stp>01/06/2015</stp>
        <stp>01/06/2015</stp>
        <stp>[Bbg_Market_Data_CL.xlsm]data!R465C14</stp>
        <tr r="N465" s="1"/>
      </tp>
      <tp t="s">
        <v>#N/A Requesting Data...</v>
        <stp/>
        <stp>##V3_BDHV12</stp>
        <stp>CL2 Comdty</stp>
        <stp>RSI_30D</stp>
        <stp>16/10/2015</stp>
        <stp>16/10/2015</stp>
        <stp>[Bbg_Market_Data_CL.xlsm]data!R369C14</stp>
        <tr r="N369" s="1"/>
      </tp>
      <tp t="s">
        <v>#N/A Requesting Data...</v>
        <stp/>
        <stp>##V3_BDHV12</stp>
        <stp>CL1 Comdty</stp>
        <stp>RSI_30D</stp>
        <stp>16/10/2015</stp>
        <stp>16/10/2015</stp>
        <stp>[Bbg_Market_Data_CL.xlsm]data!R369C14</stp>
        <tr r="N369" s="1"/>
      </tp>
      <tp t="s">
        <v>#N/A Requesting Data...</v>
        <stp/>
        <stp>##V3_BDHV12</stp>
        <stp>CL1 Comdty</stp>
        <stp>RSI_14D</stp>
        <stp>22/05/2015</stp>
        <stp>22/05/2015</stp>
        <stp>[Bbg_Market_Data_CL.xlsm]data!R470C13</stp>
        <tr r="M470" s="1"/>
      </tp>
      <tp t="s">
        <v>#N/A Requesting Data...</v>
        <stp/>
        <stp>##V3_BDHV12</stp>
        <stp>CL2 Comdty</stp>
        <stp>RSI_14D</stp>
        <stp>22/05/2015</stp>
        <stp>22/05/2015</stp>
        <stp>[Bbg_Market_Data_CL.xlsm]data!R470C13</stp>
        <tr r="M470" s="1"/>
      </tp>
      <tp t="s">
        <v>#N/A Requesting Data...</v>
        <stp/>
        <stp>##V3_BDHV12</stp>
        <stp>CL2 Comdty</stp>
        <stp>RSI_30D</stp>
        <stp>13/06/2016</stp>
        <stp>13/06/2016</stp>
        <stp>[Bbg_Market_Data_CL.xlsm]data!R207C14</stp>
        <tr r="N207" s="1"/>
      </tp>
      <tp t="s">
        <v>#N/A Requesting Data...</v>
        <stp/>
        <stp>##V3_BDHV12</stp>
        <stp>CL1 Comdty</stp>
        <stp>RSI_30D</stp>
        <stp>13/06/2016</stp>
        <stp>13/06/2016</stp>
        <stp>[Bbg_Market_Data_CL.xlsm]data!R207C14</stp>
        <tr r="N207" s="1"/>
      </tp>
      <tp t="s">
        <v>#N/A Requesting Data...</v>
        <stp/>
        <stp>##V3_BDHV12</stp>
        <stp>CL1 Comdty</stp>
        <stp>RSI_14D</stp>
        <stp>05/10/2015</stp>
        <stp>05/10/2015</stp>
        <stp>[Bbg_Market_Data_CL.xlsm]data!R377C13</stp>
        <tr r="M377" s="1"/>
      </tp>
      <tp t="s">
        <v>#N/A Requesting Data...</v>
        <stp/>
        <stp>##V3_BDHV12</stp>
        <stp>CL2 Comdty</stp>
        <stp>RSI_14D</stp>
        <stp>05/10/2015</stp>
        <stp>05/10/2015</stp>
        <stp>[Bbg_Market_Data_CL.xlsm]data!R377C13</stp>
        <tr r="M377" s="1"/>
      </tp>
      <tp t="s">
        <v>#N/A Requesting Data...</v>
        <stp/>
        <stp>##V3_BDHV12</stp>
        <stp>CL1 Comdty</stp>
        <stp>RSI_30D</stp>
        <stp>23/05/2016</stp>
        <stp>23/05/2016</stp>
        <stp>[Bbg_Market_Data_CL.xlsm]data!R221C14</stp>
        <tr r="N221" s="1"/>
      </tp>
      <tp t="s">
        <v>#N/A Requesting Data...</v>
        <stp/>
        <stp>##V3_BDHV12</stp>
        <stp>CL2 Comdty</stp>
        <stp>RSI_30D</stp>
        <stp>23/05/2016</stp>
        <stp>23/05/2016</stp>
        <stp>[Bbg_Market_Data_CL.xlsm]data!R221C14</stp>
        <tr r="N221" s="1"/>
      </tp>
      <tp t="s">
        <v>#N/A Requesting Data...</v>
        <stp/>
        <stp>##V3_BDHV12</stp>
        <stp>CL2 Comdty</stp>
        <stp>RSI_14D</stp>
        <stp>12/06/2015</stp>
        <stp>12/06/2015</stp>
        <stp>[Bbg_Market_Data_CL.xlsm]data!R456C13</stp>
        <tr r="M456" s="1"/>
      </tp>
      <tp t="s">
        <v>#N/A Requesting Data...</v>
        <stp/>
        <stp>##V3_BDHV12</stp>
        <stp>CL1 Comdty</stp>
        <stp>RSI_14D</stp>
        <stp>12/06/2015</stp>
        <stp>12/06/2015</stp>
        <stp>[Bbg_Market_Data_CL.xlsm]data!R456C13</stp>
        <tr r="M456" s="1"/>
      </tp>
      <tp t="s">
        <v>#N/A Requesting Data...</v>
        <stp/>
        <stp>##V3_BDHV12</stp>
        <stp>CL2 Comdty</stp>
        <stp>RSI_14D</stp>
        <stp>02/07/2015</stp>
        <stp>02/07/2015</stp>
        <stp>[Bbg_Market_Data_CL.xlsm]data!R442C13</stp>
        <tr r="M442" s="1"/>
      </tp>
      <tp t="s">
        <v>#N/A Requesting Data...</v>
        <stp/>
        <stp>##V3_BDHV12</stp>
        <stp>CL1 Comdty</stp>
        <stp>RSI_14D</stp>
        <stp>02/07/2015</stp>
        <stp>02/07/2015</stp>
        <stp>[Bbg_Market_Data_CL.xlsm]data!R442C13</stp>
        <tr r="M442" s="1"/>
      </tp>
      <tp t="s">
        <v>#N/A Requesting Data...</v>
        <stp/>
        <stp>##V3_BDHV12</stp>
        <stp>CL2 Comdty</stp>
        <stp>RSI_14D</stp>
        <stp>24/10/2016</stp>
        <stp>24/10/2016</stp>
        <stp>[Bbg_Market_Data_CL.xlsm]data!R116C13</stp>
        <tr r="M116" s="1"/>
      </tp>
      <tp t="s">
        <v>#N/A Requesting Data...</v>
        <stp/>
        <stp>##V3_BDHV12</stp>
        <stp>CL1 Comdty</stp>
        <stp>RSI_14D</stp>
        <stp>24/10/2016</stp>
        <stp>24/10/2016</stp>
        <stp>[Bbg_Market_Data_CL.xlsm]data!R116C13</stp>
        <tr r="M116" s="1"/>
      </tp>
      <tp t="s">
        <v>#N/A Requesting Data...</v>
        <stp/>
        <stp>##V3_BDHV12</stp>
        <stp>CL2 Comdty</stp>
        <stp>RSI_30D</stp>
        <stp>21/07/2016</stp>
        <stp>21/07/2016</stp>
        <stp>[Bbg_Market_Data_CL.xlsm]data!R180C14</stp>
        <tr r="N180" s="1"/>
      </tp>
      <tp t="s">
        <v>#N/A Requesting Data...</v>
        <stp/>
        <stp>##V3_BDHV12</stp>
        <stp>CL1 Comdty</stp>
        <stp>RSI_30D</stp>
        <stp>21/07/2016</stp>
        <stp>21/07/2016</stp>
        <stp>[Bbg_Market_Data_CL.xlsm]data!R180C14</stp>
        <tr r="N180" s="1"/>
      </tp>
      <tp t="s">
        <v>#N/A Requesting Data...</v>
        <stp/>
        <stp>##V3_BDHV12</stp>
        <stp>CL1 Comdty</stp>
        <stp>RSI_14D</stp>
        <stp>23/04/2015</stp>
        <stp>23/04/2015</stp>
        <stp>[Bbg_Market_Data_CL.xlsm]data!R491C13</stp>
        <tr r="M491" s="1"/>
      </tp>
      <tp t="s">
        <v>#N/A Requesting Data...</v>
        <stp/>
        <stp>##V3_BDHV12</stp>
        <stp>CL2 Comdty</stp>
        <stp>RSI_14D</stp>
        <stp>23/04/2015</stp>
        <stp>23/04/2015</stp>
        <stp>[Bbg_Market_Data_CL.xlsm]data!R491C13</stp>
        <tr r="M491" s="1"/>
      </tp>
      <tp t="s">
        <v>#N/A Requesting Data...</v>
        <stp/>
        <stp>##V3_BDHV12</stp>
        <stp>CL2 Comdty</stp>
        <stp>RSI_14D</stp>
        <stp>26/02/2016</stp>
        <stp>26/02/2016</stp>
        <stp>[Bbg_Market_Data_CL.xlsm]data!R281C13</stp>
        <tr r="M281" s="1"/>
      </tp>
      <tp t="s">
        <v>#N/A Requesting Data...</v>
        <stp/>
        <stp>##V3_BDHV12</stp>
        <stp>CL1 Comdty</stp>
        <stp>RSI_14D</stp>
        <stp>26/02/2016</stp>
        <stp>26/02/2016</stp>
        <stp>[Bbg_Market_Data_CL.xlsm]data!R281C13</stp>
        <tr r="M281" s="1"/>
      </tp>
      <tp t="s">
        <v>#N/A Requesting Data...</v>
        <stp/>
        <stp>##V3_BDHV12</stp>
        <stp>CL2 Comdty</stp>
        <stp>RSI_14D</stp>
        <stp>03/06/2015</stp>
        <stp>03/06/2015</stp>
        <stp>[Bbg_Market_Data_CL.xlsm]data!R463C13</stp>
        <tr r="M463" s="1"/>
      </tp>
      <tp t="s">
        <v>#N/A Requesting Data...</v>
        <stp/>
        <stp>##V3_BDHV12</stp>
        <stp>CL1 Comdty</stp>
        <stp>RSI_14D</stp>
        <stp>03/06/2015</stp>
        <stp>03/06/2015</stp>
        <stp>[Bbg_Market_Data_CL.xlsm]data!R463C13</stp>
        <tr r="M463" s="1"/>
      </tp>
      <tp t="s">
        <v>#N/A Requesting Data...</v>
        <stp/>
        <stp>##V3_BDHV12</stp>
        <stp>CL1 Comdty</stp>
        <stp>RSI_30D</stp>
        <stp>02/06/2016</stp>
        <stp>02/06/2016</stp>
        <stp>[Bbg_Market_Data_CL.xlsm]data!R214C14</stp>
        <tr r="N214" s="1"/>
      </tp>
      <tp t="s">
        <v>#N/A Requesting Data...</v>
        <stp/>
        <stp>##V3_BDHV12</stp>
        <stp>CL2 Comdty</stp>
        <stp>RSI_14D</stp>
        <stp>14/10/2015</stp>
        <stp>14/10/2015</stp>
        <stp>[Bbg_Market_Data_CL.xlsm]data!R371C13</stp>
        <tr r="M371" s="1"/>
      </tp>
      <tp t="s">
        <v>#N/A Requesting Data...</v>
        <stp/>
        <stp>##V3_BDHV12</stp>
        <stp>CL1 Comdty</stp>
        <stp>RSI_14D</stp>
        <stp>14/10/2015</stp>
        <stp>14/10/2015</stp>
        <stp>[Bbg_Market_Data_CL.xlsm]data!R371C13</stp>
        <tr r="M371" s="1"/>
      </tp>
      <tp t="s">
        <v>#N/A Requesting Data...</v>
        <stp/>
        <stp>##V3_BDHV12</stp>
        <stp>CL2 Comdty</stp>
        <stp>RSI_30D</stp>
        <stp>02/06/2016</stp>
        <stp>02/06/2016</stp>
        <stp>[Bbg_Market_Data_CL.xlsm]data!R214C14</stp>
        <tr r="N214" s="1"/>
      </tp>
      <tp t="s">
        <v>#N/A Requesting Data...</v>
        <stp/>
        <stp>##V3_BDHV12</stp>
        <stp>CL1 Comdty</stp>
        <stp>RSI_14D</stp>
        <stp>04/11/2015</stp>
        <stp>04/11/2015</stp>
        <stp>[Bbg_Market_Data_CL.xlsm]data!R356C13</stp>
        <tr r="M356" s="1"/>
      </tp>
      <tp t="s">
        <v>#N/A Requesting Data...</v>
        <stp/>
        <stp>##V3_BDHV12</stp>
        <stp>CL2 Comdty</stp>
        <stp>RSI_14D</stp>
        <stp>04/11/2015</stp>
        <stp>04/11/2015</stp>
        <stp>[Bbg_Market_Data_CL.xlsm]data!R356C13</stp>
        <tr r="M356" s="1"/>
      </tp>
      <tp t="s">
        <v>#N/A Requesting Data...</v>
        <stp/>
        <stp>##V3_BDHV12</stp>
        <stp>CL2 Comdty</stp>
        <stp>RSI_30D</stp>
        <stp>22/04/2016</stp>
        <stp>22/04/2016</stp>
        <stp>[Bbg_Market_Data_CL.xlsm]data!R242C14</stp>
        <tr r="N242" s="1"/>
      </tp>
      <tp t="s">
        <v>#N/A Requesting Data...</v>
        <stp/>
        <stp>##V3_BDHV12</stp>
        <stp>CL1 Comdty</stp>
        <stp>RSI_30D</stp>
        <stp>22/04/2016</stp>
        <stp>22/04/2016</stp>
        <stp>[Bbg_Market_Data_CL.xlsm]data!R242C14</stp>
        <tr r="N242" s="1"/>
      </tp>
      <tp t="s">
        <v>#N/A Requesting Data...</v>
        <stp/>
        <stp>##V3_BDHV12</stp>
        <stp>CL2 Comdty</stp>
        <stp>RSI_14D</stp>
        <stp>13/07/2015</stp>
        <stp>13/07/2015</stp>
        <stp>[Bbg_Market_Data_CL.xlsm]data!R436C13</stp>
        <tr r="M436" s="1"/>
      </tp>
      <tp t="s">
        <v>#N/A Requesting Data...</v>
        <stp/>
        <stp>##V3_BDHV12</stp>
        <stp>CL1 Comdty</stp>
        <stp>RSI_14D</stp>
        <stp>13/07/2015</stp>
        <stp>13/07/2015</stp>
        <stp>[Bbg_Market_Data_CL.xlsm]data!R436C13</stp>
        <tr r="M436" s="1"/>
      </tp>
      <tp t="s">
        <v>#N/A Requesting Data...</v>
        <stp/>
        <stp>##V3_BDHV12</stp>
        <stp>CL2 Comdty</stp>
        <stp>RSI_14D</stp>
        <stp>07/01/2016</stp>
        <stp>07/01/2016</stp>
        <stp>[Bbg_Market_Data_CL.xlsm]data!R314C13</stp>
        <tr r="M314" s="1"/>
      </tp>
      <tp t="s">
        <v>#N/A Requesting Data...</v>
        <stp/>
        <stp>##V3_BDHV12</stp>
        <stp>CL1 Comdty</stp>
        <stp>RSI_14D</stp>
        <stp>07/01/2016</stp>
        <stp>07/01/2016</stp>
        <stp>[Bbg_Market_Data_CL.xlsm]data!R314C13</stp>
        <tr r="M314" s="1"/>
      </tp>
      <tp t="s">
        <v>#N/A Requesting Data...</v>
        <stp/>
        <stp>##V3_BDHV12</stp>
        <stp>CL2 Comdty</stp>
        <stp>RSI_30D</stp>
        <stp>12/07/2016</stp>
        <stp>12/07/2016</stp>
        <stp>[Bbg_Market_Data_CL.xlsm]data!R187C14</stp>
        <tr r="N187" s="1"/>
      </tp>
      <tp t="s">
        <v>#N/A Requesting Data...</v>
        <stp/>
        <stp>##V3_BDHV12</stp>
        <stp>CL1 Comdty</stp>
        <stp>RSI_30D</stp>
        <stp>12/07/2016</stp>
        <stp>12/07/2016</stp>
        <stp>[Bbg_Market_Data_CL.xlsm]data!R187C14</stp>
        <tr r="N187" s="1"/>
      </tp>
      <tp t="s">
        <v>#N/A Requesting Data...</v>
        <stp/>
        <stp>##V3_BDHV12</stp>
        <stp>CL2 Comdty</stp>
        <stp>RSI_14D</stp>
        <stp>27/10/2015</stp>
        <stp>27/10/2015</stp>
        <stp>[Bbg_Market_Data_CL.xlsm]data!R362C13</stp>
        <tr r="M362" s="1"/>
      </tp>
      <tp t="s">
        <v>#N/A Requesting Data...</v>
        <stp/>
        <stp>##V3_BDHV12</stp>
        <stp>CL1 Comdty</stp>
        <stp>RSI_14D</stp>
        <stp>27/10/2015</stp>
        <stp>27/10/2015</stp>
        <stp>[Bbg_Market_Data_CL.xlsm]data!R362C13</stp>
        <tr r="M362" s="1"/>
      </tp>
      <tp t="s">
        <v>#N/A Requesting Data...</v>
        <stp/>
        <stp>##V3_BDHV12</stp>
        <stp>CL2 Comdty</stp>
        <stp>RSI_14D</stp>
        <stp>30/06/2015</stp>
        <stp>30/06/2015</stp>
        <stp>[Bbg_Market_Data_CL.xlsm]data!R444C13</stp>
        <tr r="M444" s="1"/>
      </tp>
      <tp t="s">
        <v>#N/A Requesting Data...</v>
        <stp/>
        <stp>##V3_BDHV12</stp>
        <stp>CL1 Comdty</stp>
        <stp>RSI_14D</stp>
        <stp>30/06/2015</stp>
        <stp>30/06/2015</stp>
        <stp>[Bbg_Market_Data_CL.xlsm]data!R444C13</stp>
        <tr r="M444" s="1"/>
      </tp>
      <tp t="s">
        <v>#N/A Requesting Data...</v>
        <stp/>
        <stp>##V3_BDHV12</stp>
        <stp>CL1 Comdty</stp>
        <stp>RSI_14D</stp>
        <stp>06/10/2016</stp>
        <stp>06/10/2016</stp>
        <stp>[Bbg_Market_Data_CL.xlsm]data!R127C13</stp>
        <tr r="M127" s="1"/>
      </tp>
      <tp t="s">
        <v>#N/A Requesting Data...</v>
        <stp/>
        <stp>##V3_BDHV12</stp>
        <stp>CL2 Comdty</stp>
        <stp>RSI_14D</stp>
        <stp>20/07/2015</stp>
        <stp>20/07/2015</stp>
        <stp>[Bbg_Market_Data_CL.xlsm]data!R431C13</stp>
        <tr r="M431" s="1"/>
      </tp>
      <tp t="s">
        <v>#N/A Requesting Data...</v>
        <stp/>
        <stp>##V3_BDHV12</stp>
        <stp>CL1 Comdty</stp>
        <stp>RSI_14D</stp>
        <stp>20/07/2015</stp>
        <stp>20/07/2015</stp>
        <stp>[Bbg_Market_Data_CL.xlsm]data!R431C13</stp>
        <tr r="M431" s="1"/>
      </tp>
      <tp t="s">
        <v>#N/A Requesting Data...</v>
        <stp/>
        <stp>##V3_BDHV12</stp>
        <stp>CL2 Comdty</stp>
        <stp>RSI_14D</stp>
        <stp>06/10/2016</stp>
        <stp>06/10/2016</stp>
        <stp>[Bbg_Market_Data_CL.xlsm]data!R127C13</stp>
        <tr r="M127" s="1"/>
      </tp>
      <tp t="s">
        <v>#N/A Requesting Data...</v>
        <stp/>
        <stp>##V3_BDHV12</stp>
        <stp>CL1 Comdty</stp>
        <stp>RSI_14D</stp>
        <stp>07/12/2015</stp>
        <stp>07/12/2015</stp>
        <stp>[Bbg_Market_Data_CL.xlsm]data!R335C13</stp>
        <tr r="M335" s="1"/>
      </tp>
      <tp t="s">
        <v>#N/A Requesting Data...</v>
        <stp/>
        <stp>##V3_BDHV12</stp>
        <stp>CL2 Comdty</stp>
        <stp>RSI_30D</stp>
        <stp>11/04/2016</stp>
        <stp>11/04/2016</stp>
        <stp>[Bbg_Market_Data_CL.xlsm]data!R251C14</stp>
        <tr r="N251" s="1"/>
      </tp>
      <tp t="s">
        <v>#N/A Requesting Data...</v>
        <stp/>
        <stp>##V3_BDHV12</stp>
        <stp>CL1 Comdty</stp>
        <stp>RSI_30D</stp>
        <stp>11/04/2016</stp>
        <stp>11/04/2016</stp>
        <stp>[Bbg_Market_Data_CL.xlsm]data!R251C14</stp>
        <tr r="N251" s="1"/>
      </tp>
      <tp t="s">
        <v>#N/A Requesting Data...</v>
        <stp/>
        <stp>##V3_BDHV12</stp>
        <stp>CL2 Comdty</stp>
        <stp>RSI_14D</stp>
        <stp>07/12/2015</stp>
        <stp>07/12/2015</stp>
        <stp>[Bbg_Market_Data_CL.xlsm]data!R335C13</stp>
        <tr r="M335" s="1"/>
      </tp>
      <tp t="s">
        <v>#N/A Requesting Data...</v>
        <stp/>
        <stp>##V3_BDHV12</stp>
        <stp>CL2 Comdty</stp>
        <stp>RSI_14D</stp>
        <stp>16/11/2016</stp>
        <stp>16/11/2016</stp>
        <stp>[Bbg_Market_Data_CL.xlsm]data!R100C13</stp>
        <tr r="M100" s="1"/>
      </tp>
      <tp t="s">
        <v>#N/A Requesting Data...</v>
        <stp/>
        <stp>##V3_BDHV12</stp>
        <stp>CL1 Comdty</stp>
        <stp>RSI_14D</stp>
        <stp>16/11/2016</stp>
        <stp>16/11/2016</stp>
        <stp>[Bbg_Market_Data_CL.xlsm]data!R100C13</stp>
        <tr r="M100" s="1"/>
      </tp>
      <tp t="s">
        <v>#N/A Requesting Data...</v>
        <stp/>
        <stp>##V3_BDHV12</stp>
        <stp>CL1 Comdty</stp>
        <stp>RSI_14D</stp>
        <stp>04/02/2016</stp>
        <stp>04/02/2016</stp>
        <stp>[Bbg_Market_Data_CL.xlsm]data!R295C13</stp>
        <tr r="M295" s="1"/>
      </tp>
      <tp t="s">
        <v>#N/A Requesting Data...</v>
        <stp/>
        <stp>##V3_BDHV12</stp>
        <stp>CL2 Comdty</stp>
        <stp>RSI_14D</stp>
        <stp>04/02/2016</stp>
        <stp>04/02/2016</stp>
        <stp>[Bbg_Market_Data_CL.xlsm]data!R295C13</stp>
        <tr r="M295" s="1"/>
      </tp>
      <tp t="s">
        <v>#N/A Requesting Data...</v>
        <stp/>
        <stp>##V3_BDHV12</stp>
        <stp>CL2 Comdty</stp>
        <stp>RSI_14D</stp>
        <stp>11/05/2015</stp>
        <stp>11/05/2015</stp>
        <stp>[Bbg_Market_Data_CL.xlsm]data!R479C13</stp>
        <tr r="M479" s="1"/>
      </tp>
      <tp t="s">
        <v>#N/A Requesting Data...</v>
        <stp/>
        <stp>##V3_BDHV12</stp>
        <stp>CL1 Comdty</stp>
        <stp>RSI_14D</stp>
        <stp>11/05/2015</stp>
        <stp>11/05/2015</stp>
        <stp>[Bbg_Market_Data_CL.xlsm]data!R479C13</stp>
        <tr r="M479" s="1"/>
      </tp>
      <tp t="s">
        <v>#N/A Requesting Data...</v>
        <stp/>
        <stp>##V3_BDHV12</stp>
        <stp>CL1 Comdty</stp>
        <stp>RSI_30D</stp>
        <stp>20/06/2016</stp>
        <stp>20/06/2016</stp>
        <stp>[Bbg_Market_Data_CL.xlsm]data!R202C14</stp>
        <tr r="N202" s="1"/>
      </tp>
      <tp t="s">
        <v>#N/A Requesting Data...</v>
        <stp/>
        <stp>##V3_BDHV12</stp>
        <stp>CL2 Comdty</stp>
        <stp>RSI_30D</stp>
        <stp>20/06/2016</stp>
        <stp>20/06/2016</stp>
        <stp>[Bbg_Market_Data_CL.xlsm]data!R202C14</stp>
        <tr r="N202" s="1"/>
      </tp>
      <tp t="s">
        <v>#N/A Requesting Data...</v>
        <stp/>
        <stp>##V3_BDHV12</stp>
        <stp>CL1 Comdty</stp>
        <stp>RSI_14D</stp>
        <stp>14/03/2016</stp>
        <stp>14/03/2016</stp>
        <stp>[Bbg_Market_Data_CL.xlsm]data!R270C13</stp>
        <tr r="M270" s="1"/>
      </tp>
      <tp t="s">
        <v>#N/A Requesting Data...</v>
        <stp/>
        <stp>##V3_BDHV12</stp>
        <stp>CL2 Comdty</stp>
        <stp>RSI_14D</stp>
        <stp>14/03/2016</stp>
        <stp>14/03/2016</stp>
        <stp>[Bbg_Market_Data_CL.xlsm]data!R270C13</stp>
        <tr r="M270" s="1"/>
      </tp>
      <tp t="s">
        <v>#N/A Requesting Data...</v>
        <stp/>
        <stp>##V3_BDHV12</stp>
        <stp>CL2 Comdty</stp>
        <stp>RSI_30D</stp>
        <stp>10/05/2016</stp>
        <stp>10/05/2016</stp>
        <stp>[Bbg_Market_Data_CL.xlsm]data!R230C14</stp>
        <tr r="N230" s="1"/>
      </tp>
      <tp t="s">
        <v>#N/A Requesting Data...</v>
        <stp/>
        <stp>##V3_BDHV12</stp>
        <stp>CL1 Comdty</stp>
        <stp>RSI_30D</stp>
        <stp>10/05/2016</stp>
        <stp>10/05/2016</stp>
        <stp>[Bbg_Market_Data_CL.xlsm]data!R230C14</stp>
        <tr r="N230" s="1"/>
      </tp>
      <tp t="s">
        <v>#N/A Requesting Data...</v>
        <stp/>
        <stp>##V3_BDHV12</stp>
        <stp>CL1 Comdty</stp>
        <stp>RSI_14D</stp>
        <stp>16/12/2015</stp>
        <stp>16/12/2015</stp>
        <stp>[Bbg_Market_Data_CL.xlsm]data!R328C13</stp>
        <tr r="M328" s="1"/>
      </tp>
      <tp t="s">
        <v>#N/A Requesting Data...</v>
        <stp/>
        <stp>##V3_BDHV12</stp>
        <stp>CL2 Comdty</stp>
        <stp>RSI_14D</stp>
        <stp>16/12/2015</stp>
        <stp>16/12/2015</stp>
        <stp>[Bbg_Market_Data_CL.xlsm]data!R328C13</stp>
        <tr r="M328" s="1"/>
      </tp>
      <tp t="s">
        <v>#N/A Requesting Data...</v>
        <stp/>
        <stp>##V3_BDHV12</stp>
        <stp>CL2 Comdty</stp>
        <stp>RSI_14D</stp>
        <stp>17/10/2016</stp>
        <stp>17/10/2016</stp>
        <stp>[Bbg_Market_Data_CL.xlsm]data!R121C13</stp>
        <tr r="M121" s="1"/>
      </tp>
      <tp t="s">
        <v>#N/A Requesting Data...</v>
        <stp/>
        <stp>##V3_BDHV12</stp>
        <stp>CL1 Comdty</stp>
        <stp>RSI_14D</stp>
        <stp>17/10/2016</stp>
        <stp>17/10/2016</stp>
        <stp>[Bbg_Market_Data_CL.xlsm]data!R121C13</stp>
        <tr r="M121" s="1"/>
      </tp>
      <tp t="s">
        <v>#N/A Requesting Data...</v>
        <stp/>
        <stp>##V3_BDHV12</stp>
        <stp>CL1 Comdty</stp>
        <stp>RSI_14D</stp>
        <stp>31/07/2015</stp>
        <stp>31/07/2015</stp>
        <stp>[Bbg_Market_Data_CL.xlsm]data!R422C13</stp>
        <tr r="M422" s="1"/>
      </tp>
      <tp t="s">
        <v>#N/A Requesting Data...</v>
        <stp/>
        <stp>##V3_BDHV12</stp>
        <stp>CL2 Comdty</stp>
        <stp>RSI_14D</stp>
        <stp>31/07/2015</stp>
        <stp>31/07/2015</stp>
        <stp>[Bbg_Market_Data_CL.xlsm]data!R422C13</stp>
        <tr r="M422" s="1"/>
      </tp>
      <tp t="s">
        <v>#N/A Requesting Data...</v>
        <stp/>
        <stp>##V3_BDHV12</stp>
        <stp>CL1 Comdty</stp>
        <stp>RSI_14D</stp>
        <stp>07/11/2016</stp>
        <stp>07/11/2016</stp>
        <stp>[Bbg_Market_Data_CL.xlsm]data!R106C13</stp>
        <tr r="M106" s="1"/>
      </tp>
      <tp t="s">
        <v>#N/A Requesting Data...</v>
        <stp/>
        <stp>##V3_BDHV12</stp>
        <stp>CL2 Comdty</stp>
        <stp>RSI_14D</stp>
        <stp>07/11/2016</stp>
        <stp>07/11/2016</stp>
        <stp>[Bbg_Market_Data_CL.xlsm]data!R106C13</stp>
        <tr r="M106" s="1"/>
      </tp>
      <tp t="s">
        <v>#N/A Requesting Data...</v>
        <stp/>
        <stp>##V3_BDHV12</stp>
        <stp>CL2 Comdty</stp>
        <stp>RSI_14D</stp>
        <stp>10/04/2015</stp>
        <stp>10/04/2015</stp>
        <stp>[Bbg_Market_Data_CL.xlsm]data!R500C13</stp>
        <tr r="M500" s="1"/>
      </tp>
      <tp t="s">
        <v>#N/A Requesting Data...</v>
        <stp/>
        <stp>##V3_BDHV12</stp>
        <stp>CL1 Comdty</stp>
        <stp>RSI_14D</stp>
        <stp>10/04/2015</stp>
        <stp>10/04/2015</stp>
        <stp>[Bbg_Market_Data_CL.xlsm]data!R500C13</stp>
        <tr r="M500" s="1"/>
      </tp>
      <tp t="s">
        <v>#N/A Requesting Data...</v>
        <stp/>
        <stp>##V3_BDHV12</stp>
        <stp>CL2 Comdty</stp>
        <stp>RSI_14D</stp>
        <stp>25/01/2016</stp>
        <stp>25/01/2016</stp>
        <stp>[Bbg_Market_Data_CL.xlsm]data!R303C13</stp>
        <tr r="M303" s="1"/>
      </tp>
      <tp t="s">
        <v>#N/A Requesting Data...</v>
        <stp/>
        <stp>##V3_BDHV12</stp>
        <stp>CL1 Comdty</stp>
        <stp>RSI_14D</stp>
        <stp>25/01/2016</stp>
        <stp>25/01/2016</stp>
        <stp>[Bbg_Market_Data_CL.xlsm]data!R303C13</stp>
        <tr r="M303" s="1"/>
      </tp>
      <tp>
        <v>473019</v>
        <stp/>
        <stp>##V3_BDHV12</stp>
        <stp>CL1 Comdty</stp>
        <stp>PX_VOLUME</stp>
        <stp>06/04/2017</stp>
        <stp>06/04/2017</stp>
        <stp>[Bbg_Market_Data_CL.xlsm]data!R4C8</stp>
        <tr r="H4" s="1"/>
        <tr r="H4" s="1"/>
      </tp>
      <tp>
        <v>532054</v>
        <stp/>
        <stp>##V3_BDHV12</stp>
        <stp>CL1 Comdty</stp>
        <stp>PX_VOLUME</stp>
        <stp>04/04/2017</stp>
        <stp>04/04/2017</stp>
        <stp>[Bbg_Market_Data_CL.xlsm]data!R6C8</stp>
        <tr r="H6" s="1"/>
        <tr r="H6" s="1"/>
      </tp>
      <tp>
        <v>565439</v>
        <stp/>
        <stp>##V3_BDHV12</stp>
        <stp>CL1 Comdty</stp>
        <stp>PX_VOLUME</stp>
        <stp>10/04/2017</stp>
        <stp>10/04/2017</stp>
        <stp>[Bbg_Market_Data_CL.xlsm]data!R2C8</stp>
        <tr r="H2" s="1"/>
        <tr r="H2" s="1"/>
      </tp>
      <tp t="s">
        <v>#N/A Requesting Data...</v>
        <stp/>
        <stp>##V3_BDHV12</stp>
        <stp>CL1 Comdty</stp>
        <stp>PX_LAST</stp>
        <stp>22/03/2016</stp>
        <stp>22/03/2016</stp>
        <stp>[Bbg_Market_Data_CL.xlsm]data!R264C9</stp>
        <tr r="I264" s="1"/>
      </tp>
      <tp t="s">
        <v>#N/A Requesting Data...</v>
        <stp/>
        <stp>##V3_BDHV12</stp>
        <stp>CL1 Comdty</stp>
        <stp>PX_LAST</stp>
        <stp>16/07/2015</stp>
        <stp>16/07/2015</stp>
        <stp>[Bbg_Market_Data_CL.xlsm]data!R433C9</stp>
        <tr r="I433" s="1"/>
      </tp>
      <tp t="s">
        <v>#N/A Requesting Data...</v>
        <stp/>
        <stp>##V3_BDHV12</stp>
        <stp>CL2 Comdty</stp>
        <stp>PX_LAST</stp>
        <stp>05/05/2015</stp>
        <stp>05/05/2015</stp>
        <stp>[Bbg_Market_Data_CL.xlsm]data!R483C9</stp>
        <tr r="I483" s="1"/>
      </tp>
      <tp t="s">
        <v>#N/A Requesting Data...</v>
        <stp/>
        <stp>##V3_BDHV12</stp>
        <stp>CL2 Comdty</stp>
        <stp>PX_LAST</stp>
        <stp>22/10/2015</stp>
        <stp>22/10/2015</stp>
        <stp>[Bbg_Market_Data_CL.xlsm]data!R365C9</stp>
        <tr r="I365" s="1"/>
      </tp>
      <tp t="s">
        <v>#N/A Requesting Data...</v>
        <stp/>
        <stp>##V3_BDHV12</stp>
        <stp>CL1 Comdty</stp>
        <stp>PX_LAST</stp>
        <stp>20/01/2016</stp>
        <stp>20/01/2016</stp>
        <stp>[Bbg_Market_Data_CL.xlsm]data!R306C9</stp>
        <tr r="I306" s="1"/>
      </tp>
      <tp t="s">
        <v>#N/A Requesting Data...</v>
        <stp/>
        <stp>##V3_BDHV12</stp>
        <stp>CL2 Comdty</stp>
        <stp>PX_LAST</stp>
        <stp>23/11/2015</stp>
        <stp>23/11/2015</stp>
        <stp>[Bbg_Market_Data_CL.xlsm]data!R344C9</stp>
        <tr r="I344" s="1"/>
      </tp>
      <tp>
        <v>31.38</v>
        <stp/>
        <stp>##V3_BDHV12</stp>
        <stp>CL1 Comdty</stp>
        <stp>PX_HIGH</stp>
        <stp>08/02/2016</stp>
        <stp>08/02/2016</stp>
        <stp>[Bbg_Market_Data_CL.xlsm]data!R293C6</stp>
        <tr r="F293" s="1"/>
        <tr r="F293" s="1"/>
      </tp>
      <tp>
        <v>37.94</v>
        <stp/>
        <stp>##V3_BDHV12</stp>
        <stp>CL1 Comdty</stp>
        <stp>PX_HIGH</stp>
        <stp>29/12/2015</stp>
        <stp>29/12/2015</stp>
        <stp>[Bbg_Market_Data_CL.xlsm]data!R320C6</stp>
        <tr r="F320" s="1"/>
        <tr r="F320" s="1"/>
      </tp>
      <tp>
        <v>49.81</v>
        <stp/>
        <stp>##V3_BDHV12</stp>
        <stp>CL1 Comdty</stp>
        <stp>PX_HIGH</stp>
        <stp>28/10/2016</stp>
        <stp>28/10/2016</stp>
        <stp>[Bbg_Market_Data_CL.xlsm]data!R112C6</stp>
        <tr r="F112" s="1"/>
        <tr r="F112" s="1"/>
      </tp>
      <tp t="s">
        <v>#N/A Requesting Data...</v>
        <stp/>
        <stp>##V3_BDHV12</stp>
        <stp>CL1 Comdty</stp>
        <stp>PX_LAST</stp>
        <stp>05/07/2016</stp>
        <stp>05/07/2016</stp>
        <stp>[Bbg_Market_Data_CL.xlsm]data!R192C9</stp>
        <tr r="I192" s="1"/>
      </tp>
      <tp t="s">
        <v>#N/A Requesting Data...</v>
        <stp/>
        <stp>##V3_BDHV12</stp>
        <stp>CL1 Comdty</stp>
        <stp>PX_LAST</stp>
        <stp>22/02/2016</stp>
        <stp>22/02/2016</stp>
        <stp>[Bbg_Market_Data_CL.xlsm]data!R285C9</stp>
        <tr r="I285" s="1"/>
      </tp>
      <tp t="s">
        <v>#N/A Requesting Data...</v>
        <stp/>
        <stp>##V3_BDHV12</stp>
        <stp>CL2 Comdty</stp>
        <stp>PX_LAST</stp>
        <stp>06/07/2015</stp>
        <stp>06/07/2015</stp>
        <stp>[Bbg_Market_Data_CL.xlsm]data!R441C9</stp>
        <tr r="I441" s="1"/>
      </tp>
      <tp t="s">
        <v>#N/A Requesting Data...</v>
        <stp/>
        <stp>##V3_BDHV12</stp>
        <stp>CL2 Comdty</stp>
        <stp>PX_LAST</stp>
        <stp>21/01/2016</stp>
        <stp>21/01/2016</stp>
        <stp>[Bbg_Market_Data_CL.xlsm]data!R305C9</stp>
        <tr r="I305" s="1"/>
      </tp>
      <tp>
        <v>48.42</v>
        <stp/>
        <stp>##V3_BDHV12</stp>
        <stp>CL1 Comdty</stp>
        <stp>PX_HIGH</stp>
        <stp>03/09/2015</stp>
        <stp>03/09/2015</stp>
        <stp>[Bbg_Market_Data_CL.xlsm]data!R398C6</stp>
        <tr r="F398" s="1"/>
        <tr r="F398" s="1"/>
      </tp>
      <tp t="s">
        <v>#N/A Requesting Data...</v>
        <stp/>
        <stp>##V3_BDHV12</stp>
        <stp>CL2 Comdty</stp>
        <stp>PX_LAST</stp>
        <stp>06/07/2016</stp>
        <stp>06/07/2016</stp>
        <stp>[Bbg_Market_Data_CL.xlsm]data!R191C9</stp>
        <tr r="I191" s="1"/>
      </tp>
      <tp t="s">
        <v>#N/A Requesting Data...</v>
        <stp/>
        <stp>##V3_BDHV12</stp>
        <stp>CL1 Comdty</stp>
        <stp>PX_LAST</stp>
        <stp>22/12/2015</stp>
        <stp>22/12/2015</stp>
        <stp>[Bbg_Market_Data_CL.xlsm]data!R324C9</stp>
        <tr r="I324" s="1"/>
      </tp>
      <tp t="s">
        <v>#N/A Requesting Data...</v>
        <stp/>
        <stp>##V3_BDHV12</stp>
        <stp>CL2 Comdty</stp>
        <stp>PX_LAST</stp>
        <stp>24/04/2015</stp>
        <stp>24/04/2015</stp>
        <stp>[Bbg_Market_Data_CL.xlsm]data!R490C9</stp>
        <tr r="I490" s="1"/>
      </tp>
      <tp>
        <v>39.479999999999997</v>
        <stp/>
        <stp>##V3_BDHV12</stp>
        <stp>CL1 Comdty</stp>
        <stp>PX_HIGH</stp>
        <stp>29/03/2016</stp>
        <stp>29/03/2016</stp>
        <stp>[Bbg_Market_Data_CL.xlsm]data!R260C6</stp>
        <tr r="F260" s="1"/>
        <tr r="F260" s="1"/>
      </tp>
      <tp t="s">
        <v>#N/A Requesting Data...</v>
        <stp/>
        <stp>##V3_BDHV12</stp>
        <stp>CL2 Comdty</stp>
        <stp>PX_LAST</stp>
        <stp>26/04/2016</stp>
        <stp>26/04/2016</stp>
        <stp>[Bbg_Market_Data_CL.xlsm]data!R240C9</stp>
        <tr r="I240" s="1"/>
      </tp>
      <tp t="s">
        <v>#N/A Requesting Data...</v>
        <stp/>
        <stp>##V3_BDHV12</stp>
        <stp>CL2 Comdty</stp>
        <stp>PX_LAST</stp>
        <stp>05/05/2016</stp>
        <stp>05/05/2016</stp>
        <stp>[Bbg_Market_Data_CL.xlsm]data!R233C9</stp>
        <tr r="I233" s="1"/>
      </tp>
      <tp t="s">
        <v>#N/A Requesting Data...</v>
        <stp/>
        <stp>##V3_BDHV12</stp>
        <stp>CL1 Comdty</stp>
        <stp>PX_LAST</stp>
        <stp>02/02/2016</stp>
        <stp>02/02/2016</stp>
        <stp>[Bbg_Market_Data_CL.xlsm]data!R297C9</stp>
        <tr r="I297" s="1"/>
      </tp>
      <tp t="s">
        <v>#N/A Requesting Data...</v>
        <stp/>
        <stp>##V3_BDHV12</stp>
        <stp>CL1 Comdty</stp>
        <stp>PX_LAST</stp>
        <stp>11/10/2016</stp>
        <stp>11/10/2016</stp>
        <stp>[Bbg_Market_Data_CL.xlsm]data!R125C9</stp>
        <tr r="I125" s="1"/>
      </tp>
      <tp t="s">
        <v>#N/A Requesting Data...</v>
        <stp/>
        <stp>##V3_BDHV12</stp>
        <stp>CL1 Comdty</stp>
        <stp>PX_LAST</stp>
        <stp>21/10/2015</stp>
        <stp>21/10/2015</stp>
        <stp>[Bbg_Market_Data_CL.xlsm]data!R366C9</stp>
        <tr r="I366" s="1"/>
      </tp>
      <tp>
        <v>49.52</v>
        <stp/>
        <stp>##V3_BDHV12</stp>
        <stp>CL1 Comdty</stp>
        <stp>PX_HIGH</stp>
        <stp>29/07/2015</stp>
        <stp>29/07/2015</stp>
        <stp>[Bbg_Market_Data_CL.xlsm]data!R424C6</stp>
        <tr r="F424" s="1"/>
        <tr r="F424" s="1"/>
      </tp>
      <tp>
        <v>46.78</v>
        <stp/>
        <stp>##V3_BDHV12</stp>
        <stp>CL1 Comdty</stp>
        <stp>PX_HIGH</stp>
        <stp>29/04/2016</stp>
        <stp>29/04/2016</stp>
        <stp>[Bbg_Market_Data_CL.xlsm]data!R237C6</stp>
        <tr r="F237" s="1"/>
        <tr r="F237" s="1"/>
      </tp>
      <tp t="s">
        <v>#N/A Requesting Data...</v>
        <stp/>
        <stp>##V3_BDHV12</stp>
        <stp>CL2 Comdty</stp>
        <stp>PX_LAST</stp>
        <stp>25/10/2016</stp>
        <stp>25/10/2016</stp>
        <stp>[Bbg_Market_Data_CL.xlsm]data!R115C9</stp>
        <tr r="I115" s="1"/>
      </tp>
      <tp t="s">
        <v>#N/A Requesting Data...</v>
        <stp/>
        <stp>##V3_BDHV12</stp>
        <stp>CL1 Comdty</stp>
        <stp>PX_LAST</stp>
        <stp>05/11/2015</stp>
        <stp>05/11/2015</stp>
        <stp>[Bbg_Market_Data_CL.xlsm]data!R355C9</stp>
        <tr r="I355" s="1"/>
      </tp>
      <tp t="s">
        <v>#N/A Requesting Data...</v>
        <stp/>
        <stp>##V3_BDHV12</stp>
        <stp>CL1 Comdty</stp>
        <stp>PX_LAST</stp>
        <stp>21/07/2015</stp>
        <stp>21/07/2015</stp>
        <stp>[Bbg_Market_Data_CL.xlsm]data!R430C9</stp>
        <tr r="I430" s="1"/>
      </tp>
      <tp t="s">
        <v>#N/A Requesting Data...</v>
        <stp/>
        <stp>##V3_BDHV12</stp>
        <stp>CL1 Comdty</stp>
        <stp>PX_LAST</stp>
        <stp>04/03/2016</stp>
        <stp>04/03/2016</stp>
        <stp>[Bbg_Market_Data_CL.xlsm]data!R276C9</stp>
        <tr r="I276" s="1"/>
      </tp>
      <tp t="s">
        <v>#N/A Requesting Data...</v>
        <stp/>
        <stp>##V3_BDHV12</stp>
        <stp>CL2 Comdty</stp>
        <stp>PX_LAST</stp>
        <stp>05/02/2016</stp>
        <stp>05/02/2016</stp>
        <stp>[Bbg_Market_Data_CL.xlsm]data!R294C9</stp>
        <tr r="I294" s="1"/>
      </tp>
      <tp t="s">
        <v>#N/A Requesting Data...</v>
        <stp/>
        <stp>##V3_BDHV12</stp>
        <stp>CL1 Comdty</stp>
        <stp>PX_LAST</stp>
        <stp>17/12/2015</stp>
        <stp>17/12/2015</stp>
        <stp>[Bbg_Market_Data_CL.xlsm]data!R327C9</stp>
        <tr r="I327" s="1"/>
      </tp>
      <tp t="s">
        <v>#N/A Requesting Data...</v>
        <stp/>
        <stp>##V3_BDHV12</stp>
        <stp>CL1 Comdty</stp>
        <stp>PX_LAST</stp>
        <stp>12/04/2016</stp>
        <stp>12/04/2016</stp>
        <stp>[Bbg_Market_Data_CL.xlsm]data!R250C9</stp>
        <tr r="I250" s="1"/>
      </tp>
      <tp t="s">
        <v>#N/A Requesting Data...</v>
        <stp/>
        <stp>##V3_BDHV12</stp>
        <stp>CL1 Comdty</stp>
        <stp>PX_LAST</stp>
        <stp>20/05/2016</stp>
        <stp>20/05/2016</stp>
        <stp>[Bbg_Market_Data_CL.xlsm]data!R222C9</stp>
        <tr r="I222" s="1"/>
      </tp>
      <tp t="s">
        <v>#N/A Requesting Data...</v>
        <stp/>
        <stp>##V3_BDHV12</stp>
        <stp>CL1 Comdty</stp>
        <stp>PX_LAST</stp>
        <stp>21/04/2016</stp>
        <stp>21/04/2016</stp>
        <stp>[Bbg_Market_Data_CL.xlsm]data!R243C9</stp>
        <tr r="I243" s="1"/>
      </tp>
      <tp>
        <v>59.27</v>
        <stp/>
        <stp>##V3_BDHV12</stp>
        <stp>CL1 Comdty</stp>
        <stp>PX_HIGH</stp>
        <stp>29/06/2015</stp>
        <stp>29/06/2015</stp>
        <stp>[Bbg_Market_Data_CL.xlsm]data!R445C6</stp>
        <tr r="F445" s="1"/>
        <tr r="F445" s="1"/>
      </tp>
      <tp>
        <v>46.17</v>
        <stp/>
        <stp>##V3_BDHV12</stp>
        <stp>CL1 Comdty</stp>
        <stp>PX_HIGH</stp>
        <stp>07/09/2016</stp>
        <stp>07/09/2016</stp>
        <stp>[Bbg_Market_Data_CL.xlsm]data!R148C6</stp>
        <tr r="F148" s="1"/>
        <tr r="F148" s="1"/>
      </tp>
      <tp>
        <v>46.7</v>
        <stp/>
        <stp>##V3_BDHV12</stp>
        <stp>CL1 Comdty</stp>
        <stp>PX_HIGH</stp>
        <stp>05/08/2015</stp>
        <stp>05/08/2015</stp>
        <stp>[Bbg_Market_Data_CL.xlsm]data!R419C6</stp>
        <tr r="F419" s="1"/>
        <tr r="F419" s="1"/>
      </tp>
      <tp t="s">
        <v>#N/A Requesting Data...</v>
        <stp/>
        <stp>##V3_BDHV12</stp>
        <stp>CL1 Comdty</stp>
        <stp>PX_LAST</stp>
        <stp>07/01/2016</stp>
        <stp>07/01/2016</stp>
        <stp>[Bbg_Market_Data_CL.xlsm]data!R314C9</stp>
        <tr r="I314" s="1"/>
      </tp>
      <tp t="s">
        <v>#N/A Requesting Data...</v>
        <stp/>
        <stp>##V3_BDHV12</stp>
        <stp>CL1 Comdty</stp>
        <stp>PX_LAST</stp>
        <stp>03/06/2015</stp>
        <stp>03/06/2015</stp>
        <stp>[Bbg_Market_Data_CL.xlsm]data!R463C9</stp>
        <tr r="I463" s="1"/>
      </tp>
      <tp t="s">
        <v>#N/A Requesting Data...</v>
        <stp/>
        <stp>##V3_BDHV12</stp>
        <stp>CL2 Comdty</stp>
        <stp>PX_LAST</stp>
        <stp>04/11/2015</stp>
        <stp>04/11/2015</stp>
        <stp>[Bbg_Market_Data_CL.xlsm]data!R356C9</stp>
        <tr r="I356" s="1"/>
      </tp>
      <tp t="s">
        <v>#N/A Requesting Data...</v>
        <stp/>
        <stp>##V3_BDHV12</stp>
        <stp>CL1 Comdty</stp>
        <stp>PX_LAST</stp>
        <stp>24/10/2016</stp>
        <stp>24/10/2016</stp>
        <stp>[Bbg_Market_Data_CL.xlsm]data!R116C9</stp>
        <tr r="I116" s="1"/>
      </tp>
      <tp t="s">
        <v>#N/A Requesting Data...</v>
        <stp/>
        <stp>##V3_BDHV12</stp>
        <stp>CL2 Comdty</stp>
        <stp>PX_LAST</stp>
        <stp>05/10/2015</stp>
        <stp>05/10/2015</stp>
        <stp>[Bbg_Market_Data_CL.xlsm]data!R377C9</stp>
        <tr r="I377" s="1"/>
      </tp>
      <tp t="s">
        <v>#N/A Requesting Data...</v>
        <stp/>
        <stp>##V3_BDHV12</stp>
        <stp>CL1 Comdty</stp>
        <stp>PX_LAST</stp>
        <stp>02/07/2015</stp>
        <stp>02/07/2015</stp>
        <stp>[Bbg_Market_Data_CL.xlsm]data!R442C9</stp>
        <tr r="I442" s="1"/>
      </tp>
      <tp t="s">
        <v>#N/A Requesting Data...</v>
        <stp/>
        <stp>##V3_BDHV12</stp>
        <stp>CL2 Comdty</stp>
        <stp>PX_LAST</stp>
        <stp>31/07/2015</stp>
        <stp>31/07/2015</stp>
        <stp>[Bbg_Market_Data_CL.xlsm]data!R422C9</stp>
        <tr r="I422" s="1"/>
      </tp>
      <tp t="s">
        <v>#N/A Requesting Data...</v>
        <stp/>
        <stp>##V3_BDHV12</stp>
        <stp>CL1 Comdty</stp>
        <stp>PX_LAST</stp>
        <stp>10/04/2015</stp>
        <stp>10/04/2015</stp>
        <stp>[Bbg_Market_Data_CL.xlsm]data!R500C9</stp>
        <tr r="I500" s="1"/>
      </tp>
      <tp t="s">
        <v>#N/A Requesting Data...</v>
        <stp/>
        <stp>##V3_BDHV12</stp>
        <stp>CL2 Comdty</stp>
        <stp>PX_LAST</stp>
        <stp>07/11/2016</stp>
        <stp>07/11/2016</stp>
        <stp>[Bbg_Market_Data_CL.xlsm]data!R106C9</stp>
        <tr r="I106" s="1"/>
      </tp>
      <tp t="s">
        <v>#N/A Requesting Data...</v>
        <stp/>
        <stp>##V3_BDHV12</stp>
        <stp>CL2 Comdty</stp>
        <stp>PX_LAST</stp>
        <stp>07/12/2015</stp>
        <stp>07/12/2015</stp>
        <stp>[Bbg_Market_Data_CL.xlsm]data!R335C9</stp>
        <tr r="I335" s="1"/>
      </tp>
      <tp t="s">
        <v>#N/A Requesting Data...</v>
        <stp/>
        <stp>##V3_BDHV12</stp>
        <stp>CL2 Comdty</stp>
        <stp>PX_LAST</stp>
        <stp>06/10/2016</stp>
        <stp>06/10/2016</stp>
        <stp>[Bbg_Market_Data_CL.xlsm]data!R127C9</stp>
        <tr r="I127" s="1"/>
      </tp>
      <tp>
        <v>60.7</v>
        <stp/>
        <stp>##V3_BDHV12</stp>
        <stp>CL1 Comdty</stp>
        <stp>PX_HIGH</stp>
        <stp>29/05/2015</stp>
        <stp>29/05/2015</stp>
        <stp>[Bbg_Market_Data_CL.xlsm]data!R466C6</stp>
        <tr r="F466" s="1"/>
        <tr r="F466" s="1"/>
      </tp>
      <tp>
        <v>50</v>
        <stp/>
        <stp>##V3_BDHV12</stp>
        <stp>CL1 Comdty</stp>
        <stp>PX_HIGH</stp>
        <stp>29/06/2016</stp>
        <stp>29/06/2016</stp>
        <stp>[Bbg_Market_Data_CL.xlsm]data!R195C6</stp>
        <tr r="F195" s="1"/>
        <tr r="F195" s="1"/>
      </tp>
      <tp>
        <v>42.1</v>
        <stp/>
        <stp>##V3_BDHV12</stp>
        <stp>CL1 Comdty</stp>
        <stp>PX_HIGH</stp>
        <stp>05/08/2016</stp>
        <stp>05/08/2016</stp>
        <stp>[Bbg_Market_Data_CL.xlsm]data!R169C6</stp>
        <tr r="F169" s="1"/>
        <tr r="F169" s="1"/>
      </tp>
      <tp t="s">
        <v>#N/A Requesting Data...</v>
        <stp/>
        <stp>##V3_BDHV12</stp>
        <stp>CL1 Comdty</stp>
        <stp>PX_LAST</stp>
        <stp>04/12/2015</stp>
        <stp>04/12/2015</stp>
        <stp>[Bbg_Market_Data_CL.xlsm]data!R336C9</stp>
        <tr r="I336" s="1"/>
      </tp>
      <tp t="s">
        <v>#N/A Requesting Data...</v>
        <stp/>
        <stp>##V3_BDHV12</stp>
        <stp>CL1 Comdty</stp>
        <stp>PX_LAST</stp>
        <stp>17/03/2016</stp>
        <stp>17/03/2016</stp>
        <stp>[Bbg_Market_Data_CL.xlsm]data!R267C9</stp>
        <tr r="I267" s="1"/>
      </tp>
      <tp t="s">
        <v>#N/A Requesting Data...</v>
        <stp/>
        <stp>##V3_BDHV12</stp>
        <stp>CL2 Comdty</stp>
        <stp>PX_LAST</stp>
        <stp>21/05/2015</stp>
        <stp>21/05/2015</stp>
        <stp>[Bbg_Market_Data_CL.xlsm]data!R471C9</stp>
        <tr r="I471" s="1"/>
      </tp>
      <tp t="s">
        <v>#N/A Requesting Data...</v>
        <stp/>
        <stp>##V3_BDHV12</stp>
        <stp>CL2 Comdty</stp>
        <stp>PX_LAST</stp>
        <stp>04/01/2016</stp>
        <stp>04/01/2016</stp>
        <stp>[Bbg_Market_Data_CL.xlsm]data!R317C9</stp>
        <tr r="I317" s="1"/>
      </tp>
      <tp t="s">
        <v>#N/A Requesting Data...</v>
        <stp/>
        <stp>##V3_BDHV12</stp>
        <stp>CL1 Comdty</stp>
        <stp>PX_LAST</stp>
        <stp>03/06/2016</stp>
        <stp>03/06/2016</stp>
        <stp>[Bbg_Market_Data_CL.xlsm]data!R213C9</stp>
        <tr r="I213" s="1"/>
      </tp>
      <tp t="s">
        <v>#N/A Requesting Data...</v>
        <stp/>
        <stp>##V3_BDHV12</stp>
        <stp>CL1 Comdty</stp>
        <stp>PX_LAST</stp>
        <stp>21/06/2016</stp>
        <stp>21/06/2016</stp>
        <stp>[Bbg_Market_Data_CL.xlsm]data!R201C9</stp>
        <tr r="I201" s="1"/>
      </tp>
      <tp>
        <v>59.33</v>
        <stp/>
        <stp>##V3_BDHV12</stp>
        <stp>CL1 Comdty</stp>
        <stp>PX_HIGH</stp>
        <stp>29/04/2015</stp>
        <stp>29/04/2015</stp>
        <stp>[Bbg_Market_Data_CL.xlsm]data!R487C6</stp>
        <tr r="F487" s="1"/>
        <tr r="F487" s="1"/>
      </tp>
      <tp>
        <v>41.67</v>
        <stp/>
        <stp>##V3_BDHV12</stp>
        <stp>CL1 Comdty</stp>
        <stp>PX_HIGH</stp>
        <stp>29/07/2016</stp>
        <stp>29/07/2016</stp>
        <stp>[Bbg_Market_Data_CL.xlsm]data!R174C6</stp>
        <tr r="F174" s="1"/>
        <tr r="F174" s="1"/>
      </tp>
      <tp>
        <v>47.71</v>
        <stp/>
        <stp>##V3_BDHV12</stp>
        <stp>CL1 Comdty</stp>
        <stp>PX_HIGH</stp>
        <stp>17/09/2015</stp>
        <stp>17/09/2015</stp>
        <stp>[Bbg_Market_Data_CL.xlsm]data!R389C6</stp>
        <tr r="F389" s="1"/>
        <tr r="F389" s="1"/>
      </tp>
      <tp t="s">
        <v>#N/A Requesting Data...</v>
        <stp/>
        <stp>##V3_BDHV12</stp>
        <stp>CL2 Comdty</stp>
        <stp>PX_LAST</stp>
        <stp>07/03/2016</stp>
        <stp>07/03/2016</stp>
        <stp>[Bbg_Market_Data_CL.xlsm]data!R275C9</stp>
        <tr r="I275" s="1"/>
      </tp>
      <tp t="s">
        <v>#N/A Requesting Data...</v>
        <stp/>
        <stp>##V3_BDHV12</stp>
        <stp>CL1 Comdty</stp>
        <stp>PX_LAST</stp>
        <stp>21/04/2015</stp>
        <stp>21/04/2015</stp>
        <stp>[Bbg_Market_Data_CL.xlsm]data!R493C9</stp>
        <tr r="I493" s="1"/>
      </tp>
      <tp t="s">
        <v>#N/A Requesting Data...</v>
        <stp/>
        <stp>##V3_BDHV12</stp>
        <stp>CL1 Comdty</stp>
        <stp>PX_LAST</stp>
        <stp>20/05/2015</stp>
        <stp>20/05/2015</stp>
        <stp>[Bbg_Market_Data_CL.xlsm]data!R472C9</stp>
        <tr r="I472" s="1"/>
      </tp>
      <tp t="s">
        <v>#N/A Requesting Data...</v>
        <stp/>
        <stp>##V3_BDHV12</stp>
        <stp>CL1 Comdty</stp>
        <stp>PX_LAST</stp>
        <stp>21/07/2016</stp>
        <stp>21/07/2016</stp>
        <stp>[Bbg_Market_Data_CL.xlsm]data!R180C9</stp>
        <tr r="I180" s="1"/>
      </tp>
      <tp t="s">
        <v>#N/A Requesting Data...</v>
        <stp/>
        <stp>##V3_BDHV12</stp>
        <stp>CL2 Comdty</stp>
        <stp>PX_LAST</stp>
        <stp>23/05/2016</stp>
        <stp>23/05/2016</stp>
        <stp>[Bbg_Market_Data_CL.xlsm]data!R221C9</stp>
        <tr r="I221" s="1"/>
      </tp>
      <tp t="s">
        <v>#N/A Requesting Data...</v>
        <stp/>
        <stp>##V3_BDHV12</stp>
        <stp>CL2 Comdty</stp>
        <stp>PX_LAST</stp>
        <stp>20/06/2016</stp>
        <stp>20/06/2016</stp>
        <stp>[Bbg_Market_Data_CL.xlsm]data!R202C9</stp>
        <tr r="I202" s="1"/>
      </tp>
      <tp>
        <v>48.69</v>
        <stp/>
        <stp>##V3_BDHV12</stp>
        <stp>CL1 Comdty</stp>
        <stp>PX_HIGH</stp>
        <stp>14/06/2016</stp>
        <stp>14/06/2016</stp>
        <stp>[Bbg_Market_Data_CL.xlsm]data!R206C6</stp>
        <tr r="F206" s="1"/>
        <tr r="F206" s="1"/>
      </tp>
      <tp>
        <v>48.76</v>
        <stp/>
        <stp>##V3_BDHV12</stp>
        <stp>CL1 Comdty</stp>
        <stp>PX_HIGH</stp>
        <stp>17/05/2016</stp>
        <stp>17/05/2016</stp>
        <stp>[Bbg_Market_Data_CL.xlsm]data!R225C6</stp>
        <tr r="F225" s="1"/>
        <tr r="F225" s="1"/>
      </tp>
      <tp>
        <v>49.02</v>
        <stp/>
        <stp>##V3_BDHV12</stp>
        <stp>CL1 Comdty</stp>
        <stp>PX_HIGH</stp>
        <stp>03/10/2016</stp>
        <stp>03/10/2016</stp>
        <stp>[Bbg_Market_Data_CL.xlsm]data!R130C6</stp>
        <tr r="F130" s="1"/>
        <tr r="F130" s="1"/>
      </tp>
      <tp t="s">
        <v>#N/A Requesting Data...</v>
        <stp/>
        <stp>##V3_BDHV12</stp>
        <stp>CL1 Comdty</stp>
        <stp>PX_LAST</stp>
        <stp>08/10/2015</stp>
        <stp>08/10/2015</stp>
        <stp>[Bbg_Market_Data_CL.xlsm]data!R374C9</stp>
        <tr r="I374" s="1"/>
      </tp>
      <tp t="s">
        <v>#N/A Requesting Data...</v>
        <stp/>
        <stp>##V3_BDHV12</stp>
        <stp>CL2 Comdty</stp>
        <stp>PX_LAST</stp>
        <stp>18/11/2015</stp>
        <stp>18/11/2015</stp>
        <stp>[Bbg_Market_Data_CL.xlsm]data!R347C9</stp>
        <tr r="I347" s="1"/>
      </tp>
      <tp>
        <v>59.73</v>
        <stp/>
        <stp>##V3_BDHV12</stp>
        <stp>CL1 Comdty</stp>
        <stp>PX_HIGH</stp>
        <stp>04/05/2015</stp>
        <stp>04/05/2015</stp>
        <stp>[Bbg_Market_Data_CL.xlsm]data!R484C6</stp>
        <tr r="F484" s="1"/>
        <tr r="F484" s="1"/>
      </tp>
      <tp>
        <v>59.97</v>
        <stp/>
        <stp>##V3_BDHV12</stp>
        <stp>CL1 Comdty</stp>
        <stp>PX_HIGH</stp>
        <stp>15/05/2015</stp>
        <stp>15/05/2015</stp>
        <stp>[Bbg_Market_Data_CL.xlsm]data!R475C6</stp>
        <tr r="F475" s="1"/>
        <tr r="F475" s="1"/>
      </tp>
      <tp>
        <v>32.21</v>
        <stp/>
        <stp>##V3_BDHV12</stp>
        <stp>CL1 Comdty</stp>
        <stp>PX_HIGH</stp>
        <stp>12/01/2016</stp>
        <stp>12/01/2016</stp>
        <stp>[Bbg_Market_Data_CL.xlsm]data!R311C6</stp>
        <tr r="F311" s="1"/>
        <tr r="F311" s="1"/>
      </tp>
      <tp t="s">
        <v>#N/A Requesting Data...</v>
        <stp/>
        <stp>##V3_BDHV12</stp>
        <stp>CL1 Comdty</stp>
        <stp>PX_LAST</stp>
        <stp>19/02/2016</stp>
        <stp>19/02/2016</stp>
        <stp>[Bbg_Market_Data_CL.xlsm]data!R286C9</stp>
        <tr r="I286" s="1"/>
      </tp>
      <tp>
        <v>36.58</v>
        <stp/>
        <stp>##V3_BDHV12</stp>
        <stp>CL1 Comdty</stp>
        <stp>PX_HIGH</stp>
        <stp>05/04/2016</stp>
        <stp>05/04/2016</stp>
        <stp>[Bbg_Market_Data_CL.xlsm]data!R255C6</stp>
        <tr r="F255" s="1"/>
        <tr r="F255" s="1"/>
      </tp>
      <tp>
        <v>44.88</v>
        <stp/>
        <stp>##V3_BDHV12</stp>
        <stp>CL1 Comdty</stp>
        <stp>PX_HIGH</stp>
        <stp>04/05/2016</stp>
        <stp>04/05/2016</stp>
        <stp>[Bbg_Market_Data_CL.xlsm]data!R234C6</stp>
        <tr r="F234" s="1"/>
        <tr r="F234" s="1"/>
      </tp>
      <tp t="s">
        <v>#N/A Requesting Data...</v>
        <stp/>
        <stp>##V3_BDHV12</stp>
        <stp>CL1 Comdty</stp>
        <stp>PX_LAST</stp>
        <stp>08/11/2016</stp>
        <stp>08/11/2016</stp>
        <stp>[Bbg_Market_Data_CL.xlsm]data!R105C9</stp>
        <tr r="I105" s="1"/>
      </tp>
      <tp>
        <v>42.21</v>
        <stp/>
        <stp>##V3_BDHV12</stp>
        <stp>CL1 Comdty</stp>
        <stp>PX_HIGH</stp>
        <stp>13/11/2015</stp>
        <stp>13/11/2015</stp>
        <stp>[Bbg_Market_Data_CL.xlsm]data!R350C6</stp>
        <tr r="F350" s="1"/>
        <tr r="F350" s="1"/>
      </tp>
      <tp>
        <v>43.91</v>
        <stp/>
        <stp>##V3_BDHV12</stp>
        <stp>CL1 Comdty</stp>
        <stp>PX_HIGH</stp>
        <stp>27/10/2015</stp>
        <stp>27/10/2015</stp>
        <stp>[Bbg_Market_Data_CL.xlsm]data!R362C6</stp>
        <tr r="F362" s="1"/>
        <tr r="F362" s="1"/>
      </tp>
      <tp>
        <v>59.69</v>
        <stp/>
        <stp>##V3_BDHV12</stp>
        <stp>CL1 Comdty</stp>
        <stp>PX_HIGH</stp>
        <stp>30/06/2015</stp>
        <stp>30/06/2015</stp>
        <stp>[Bbg_Market_Data_CL.xlsm]data!R444C6</stp>
        <tr r="F444" s="1"/>
        <tr r="F444" s="1"/>
      </tp>
      <tp>
        <v>46.41</v>
        <stp/>
        <stp>##V3_BDHV12</stp>
        <stp>CL1 Comdty</stp>
        <stp>PX_HIGH</stp>
        <stp>16/11/2016</stp>
        <stp>16/11/2016</stp>
        <stp>[Bbg_Market_Data_CL.xlsm]data!R100C6</stp>
        <tr r="F100" s="1"/>
        <tr r="F100" s="1"/>
      </tp>
      <tp>
        <v>50.58</v>
        <stp/>
        <stp>##V3_BDHV12</stp>
        <stp>CL1 Comdty</stp>
        <stp>PX_HIGH</stp>
        <stp>17/10/2016</stp>
        <stp>17/10/2016</stp>
        <stp>[Bbg_Market_Data_CL.xlsm]data!R121C6</stp>
        <tr r="F121" s="1"/>
        <tr r="F121" s="1"/>
      </tp>
      <tp>
        <v>60.63</v>
        <stp/>
        <stp>##V3_BDHV12</stp>
        <stp>CL1 Comdty</stp>
        <stp>PX_HIGH</stp>
        <stp>12/06/2015</stp>
        <stp>12/06/2015</stp>
        <stp>[Bbg_Market_Data_CL.xlsm]data!R456C6</stp>
        <tr r="F456" s="1"/>
        <tr r="F456" s="1"/>
      </tp>
      <tp>
        <v>46.96</v>
        <stp/>
        <stp>##V3_BDHV12</stp>
        <stp>CL1 Comdty</stp>
        <stp>PX_HIGH</stp>
        <stp>14/10/2015</stp>
        <stp>14/10/2015</stp>
        <stp>[Bbg_Market_Data_CL.xlsm]data!R371C6</stp>
        <tr r="F371" s="1"/>
        <tr r="F371" s="1"/>
      </tp>
      <tp>
        <v>34.69</v>
        <stp/>
        <stp>##V3_BDHV12</stp>
        <stp>CL1 Comdty</stp>
        <stp>PX_HIGH</stp>
        <stp>26/02/2016</stp>
        <stp>26/02/2016</stp>
        <stp>[Bbg_Market_Data_CL.xlsm]data!R281C6</stp>
        <tr r="F281" s="1"/>
        <tr r="F281" s="1"/>
      </tp>
      <tp t="s">
        <v>#N/A Requesting Data...</v>
        <stp/>
        <stp>##V3_BDHV12</stp>
        <stp>CL1 Comdty</stp>
        <stp>PX_LAST</stp>
        <stp>08/05/2015</stp>
        <stp>08/05/2015</stp>
        <stp>[Bbg_Market_Data_CL.xlsm]data!R480C9</stp>
        <tr r="I480" s="1"/>
      </tp>
      <tp t="s">
        <v>#N/A Requesting Data...</v>
        <stp/>
        <stp>##V3_BDHV12</stp>
        <stp>CL1 Comdty</stp>
        <stp>PX_LAST</stp>
        <stp>18/07/2016</stp>
        <stp>18/07/2016</stp>
        <stp>[Bbg_Market_Data_CL.xlsm]data!R183C9</stp>
        <tr r="I183" s="1"/>
      </tp>
      <tp t="s">
        <v>#N/A Requesting Data...</v>
        <stp/>
        <stp>##V3_BDHV12</stp>
        <stp>CL2 Comdty</stp>
        <stp>PX_LAST</stp>
        <stp>08/06/2016</stp>
        <stp>08/06/2016</stp>
        <stp>[Bbg_Market_Data_CL.xlsm]data!R210C9</stp>
        <tr r="I210" s="1"/>
      </tp>
      <tp>
        <v>53.89</v>
        <stp/>
        <stp>##V3_BDHV12</stp>
        <stp>CL1 Comdty</stp>
        <stp>PX_HIGH</stp>
        <stp>10/07/2015</stp>
        <stp>10/07/2015</stp>
        <stp>[Bbg_Market_Data_CL.xlsm]data!R437C6</stp>
        <tr r="F437" s="1"/>
        <tr r="F437" s="1"/>
      </tp>
      <tp>
        <v>32.409999999999997</v>
        <stp/>
        <stp>##V3_BDHV12</stp>
        <stp>CL1 Comdty</stp>
        <stp>PX_HIGH</stp>
        <stp>26/01/2016</stp>
        <stp>26/01/2016</stp>
        <stp>[Bbg_Market_Data_CL.xlsm]data!R302C6</stp>
        <tr r="F302" s="1"/>
        <tr r="F302" s="1"/>
      </tp>
      <tp>
        <v>49.62</v>
        <stp/>
        <stp>##V3_BDHV12</stp>
        <stp>CL1 Comdty</stp>
        <stp>PX_HIGH</stp>
        <stp>30/06/2016</stp>
        <stp>30/06/2016</stp>
        <stp>[Bbg_Market_Data_CL.xlsm]data!R194C6</stp>
        <tr r="F194" s="1"/>
        <tr r="F194" s="1"/>
      </tp>
      <tp t="s">
        <v>#N/A Requesting Data...</v>
        <stp/>
        <stp>##V3_BDHV12</stp>
        <stp>CL2 Comdty</stp>
        <stp>PX_LAST</stp>
        <stp>19/06/2015</stp>
        <stp>19/06/2015</stp>
        <stp>[Bbg_Market_Data_CL.xlsm]data!R451C9</stp>
        <tr r="I451" s="1"/>
      </tp>
      <tp t="s">
        <v>#N/A Requesting Data...</v>
        <stp/>
        <stp>##V3_BDHV12</stp>
        <stp>CL2 Comdty</stp>
        <stp>PX_LAST</stp>
        <stp>08/06/2015</stp>
        <stp>08/06/2015</stp>
        <stp>[Bbg_Market_Data_CL.xlsm]data!R460C9</stp>
        <tr r="I460" s="1"/>
      </tp>
      <tp>
        <v>59.85</v>
        <stp/>
        <stp>##V3_BDHV12</stp>
        <stp>CL1 Comdty</stp>
        <stp>PX_HIGH</stp>
        <stp>30/04/2015</stp>
        <stp>30/04/2015</stp>
        <stp>[Bbg_Market_Data_CL.xlsm]data!R486C6</stp>
        <tr r="F486" s="1"/>
        <tr r="F486" s="1"/>
      </tp>
      <tp>
        <v>43.46</v>
        <stp/>
        <stp>##V3_BDHV12</stp>
        <stp>CL1 Comdty</stp>
        <stp>PX_HIGH</stp>
        <stp>24/11/2015</stp>
        <stp>24/11/2015</stp>
        <stp>[Bbg_Market_Data_CL.xlsm]data!R343C6</stp>
        <tr r="F343" s="1"/>
        <tr r="F343" s="1"/>
      </tp>
      <tp>
        <v>46.93</v>
        <stp/>
        <stp>##V3_BDHV12</stp>
        <stp>CL1 Comdty</stp>
        <stp>PX_HIGH</stp>
        <stp>12/07/2016</stp>
        <stp>12/07/2016</stp>
        <stp>[Bbg_Market_Data_CL.xlsm]data!R187C6</stp>
        <tr r="F187" s="1"/>
        <tr r="F187" s="1"/>
      </tp>
      <tp t="s">
        <v>#N/A Requesting Data...</v>
        <stp/>
        <stp>##V3_BDHV12</stp>
        <stp>CL1 Comdty</stp>
        <stp>PX_LAST</stp>
        <stp>18/06/2015</stp>
        <stp>18/06/2015</stp>
        <stp>[Bbg_Market_Data_CL.xlsm]data!R452C9</stp>
        <tr r="I452" s="1"/>
      </tp>
      <tp t="s">
        <v>#N/A Requesting Data...</v>
        <stp/>
        <stp>##V3_BDHV12</stp>
        <stp>CL2 Comdty</stp>
        <stp>PX_LAST</stp>
        <stp>08/04/2016</stp>
        <stp>08/04/2016</stp>
        <stp>[Bbg_Market_Data_CL.xlsm]data!R252C9</stp>
        <tr r="I252" s="1"/>
      </tp>
      <tp>
        <v>28.35</v>
        <stp/>
        <stp>##V3_BDHV12</stp>
        <stp>CL1 Comdty</stp>
        <stp>PX_OPEN</stp>
        <stp>21/01/2016</stp>
        <stp>21/01/2016</stp>
        <stp>[Bbg_Market_Data_CL.xlsm]data!R305C5</stp>
        <tr r="E305" s="1"/>
        <tr r="E305" s="1"/>
      </tp>
      <tp>
        <v>56.42</v>
        <stp/>
        <stp>##V3_BDHV12</stp>
        <stp>CL1 Comdty</stp>
        <stp>PX_OPEN</stp>
        <stp>06/07/2015</stp>
        <stp>06/07/2015</stp>
        <stp>[Bbg_Market_Data_CL.xlsm]data!R441C5</stp>
        <tr r="E441" s="1"/>
        <tr r="E441" s="1"/>
      </tp>
      <tp>
        <v>45.27</v>
        <stp/>
        <stp>##V3_BDHV12</stp>
        <stp>CL1 Comdty</stp>
        <stp>PX_OPEN</stp>
        <stp>22/10/2015</stp>
        <stp>22/10/2015</stp>
        <stp>[Bbg_Market_Data_CL.xlsm]data!R365C5</stp>
        <tr r="E365" s="1"/>
        <tr r="E365" s="1"/>
      </tp>
      <tp>
        <v>58.95</v>
        <stp/>
        <stp>##V3_BDHV12</stp>
        <stp>CL1 Comdty</stp>
        <stp>PX_OPEN</stp>
        <stp>05/05/2015</stp>
        <stp>05/05/2015</stp>
        <stp>[Bbg_Market_Data_CL.xlsm]data!R483C5</stp>
        <tr r="E483" s="1"/>
        <tr r="E483" s="1"/>
      </tp>
      <tp>
        <v>41.49</v>
        <stp/>
        <stp>##V3_BDHV12</stp>
        <stp>CL1 Comdty</stp>
        <stp>PX_OPEN</stp>
        <stp>23/11/2015</stp>
        <stp>23/11/2015</stp>
        <stp>[Bbg_Market_Data_CL.xlsm]data!R344C5</stp>
        <tr r="E344" s="1"/>
        <tr r="E344" s="1"/>
      </tp>
      <tp>
        <v>44.04</v>
        <stp/>
        <stp>##V3_BDHV12</stp>
        <stp>CL1 Comdty</stp>
        <stp>PX_OPEN</stp>
        <stp>05/05/2016</stp>
        <stp>05/05/2016</stp>
        <stp>[Bbg_Market_Data_CL.xlsm]data!R233C5</stp>
        <tr r="E233" s="1"/>
        <tr r="E233" s="1"/>
      </tp>
      <tp>
        <v>42.96</v>
        <stp/>
        <stp>##V3_BDHV12</stp>
        <stp>CL1 Comdty</stp>
        <stp>PX_OPEN</stp>
        <stp>26/04/2016</stp>
        <stp>26/04/2016</stp>
        <stp>[Bbg_Market_Data_CL.xlsm]data!R240C5</stp>
        <tr r="E240" s="1"/>
        <tr r="E240" s="1"/>
      </tp>
      <tp>
        <v>46.83</v>
        <stp/>
        <stp>##V3_BDHV12</stp>
        <stp>CL1 Comdty</stp>
        <stp>PX_OPEN</stp>
        <stp>06/07/2016</stp>
        <stp>06/07/2016</stp>
        <stp>[Bbg_Market_Data_CL.xlsm]data!R191C5</stp>
        <tr r="E191" s="1"/>
        <tr r="E191" s="1"/>
      </tp>
      <tp>
        <v>57.53</v>
        <stp/>
        <stp>##V3_BDHV12</stp>
        <stp>CL1 Comdty</stp>
        <stp>PX_OPEN</stp>
        <stp>24/04/2015</stp>
        <stp>24/04/2015</stp>
        <stp>[Bbg_Market_Data_CL.xlsm]data!R490C5</stp>
        <tr r="E490" s="1"/>
        <tr r="E490" s="1"/>
      </tp>
      <tp>
        <v>44.45</v>
        <stp/>
        <stp>##V3_BDHV12</stp>
        <stp>CL1 Comdty</stp>
        <stp>PX_OPEN</stp>
        <stp>07/11/2016</stp>
        <stp>07/11/2016</stp>
        <stp>[Bbg_Market_Data_CL.xlsm]data!R106C5</stp>
        <tr r="E106" s="1"/>
        <tr r="E106" s="1"/>
      </tp>
      <tp>
        <v>48.47</v>
        <stp/>
        <stp>##V3_BDHV12</stp>
        <stp>CL1 Comdty</stp>
        <stp>PX_OPEN</stp>
        <stp>31/07/2015</stp>
        <stp>31/07/2015</stp>
        <stp>[Bbg_Market_Data_CL.xlsm]data!R422C5</stp>
        <tr r="E422" s="1"/>
        <tr r="E422" s="1"/>
      </tp>
      <tp>
        <v>40.1</v>
        <stp/>
        <stp>##V3_BDHV12</stp>
        <stp>CL1 Comdty</stp>
        <stp>PX_OPEN</stp>
        <stp>07/12/2015</stp>
        <stp>07/12/2015</stp>
        <stp>[Bbg_Market_Data_CL.xlsm]data!R335C5</stp>
        <tr r="E335" s="1"/>
        <tr r="E335" s="1"/>
      </tp>
      <tp>
        <v>49.65</v>
        <stp/>
        <stp>##V3_BDHV12</stp>
        <stp>CL1 Comdty</stp>
        <stp>PX_OPEN</stp>
        <stp>06/10/2016</stp>
        <stp>06/10/2016</stp>
        <stp>[Bbg_Market_Data_CL.xlsm]data!R127C5</stp>
        <tr r="E127" s="1"/>
        <tr r="E127" s="1"/>
      </tp>
      <tp>
        <v>47.74</v>
        <stp/>
        <stp>##V3_BDHV12</stp>
        <stp>CL1 Comdty</stp>
        <stp>PX_OPEN</stp>
        <stp>04/11/2015</stp>
        <stp>04/11/2015</stp>
        <stp>[Bbg_Market_Data_CL.xlsm]data!R356C5</stp>
        <tr r="E356" s="1"/>
        <tr r="E356" s="1"/>
      </tp>
      <tp>
        <v>45.65</v>
        <stp/>
        <stp>##V3_BDHV12</stp>
        <stp>CL1 Comdty</stp>
        <stp>PX_OPEN</stp>
        <stp>05/10/2015</stp>
        <stp>05/10/2015</stp>
        <stp>[Bbg_Market_Data_CL.xlsm]data!R377C5</stp>
        <tr r="E377" s="1"/>
        <tr r="E377" s="1"/>
      </tp>
      <tp>
        <v>31.64</v>
        <stp/>
        <stp>##V3_BDHV12</stp>
        <stp>CL1 Comdty</stp>
        <stp>PX_OPEN</stp>
        <stp>05/02/2016</stp>
        <stp>05/02/2016</stp>
        <stp>[Bbg_Market_Data_CL.xlsm]data!R294C5</stp>
        <tr r="E294" s="1"/>
        <tr r="E294" s="1"/>
      </tp>
      <tp>
        <v>50.49</v>
        <stp/>
        <stp>##V3_BDHV12</stp>
        <stp>CL1 Comdty</stp>
        <stp>PX_OPEN</stp>
        <stp>25/10/2016</stp>
        <stp>25/10/2016</stp>
        <stp>[Bbg_Market_Data_CL.xlsm]data!R115C5</stp>
        <tr r="E115" s="1"/>
        <tr r="E115" s="1"/>
      </tp>
      <tp>
        <v>36.200000000000003</v>
        <stp/>
        <stp>##V3_BDHV12</stp>
        <stp>CL1 Comdty</stp>
        <stp>PX_OPEN</stp>
        <stp>07/03/2016</stp>
        <stp>07/03/2016</stp>
        <stp>[Bbg_Market_Data_CL.xlsm]data!R275C5</stp>
        <tr r="E275" s="1"/>
        <tr r="E275" s="1"/>
      </tp>
      <tp>
        <v>48.29</v>
        <stp/>
        <stp>##V3_BDHV12</stp>
        <stp>CL1 Comdty</stp>
        <stp>PX_OPEN</stp>
        <stp>20/06/2016</stp>
        <stp>20/06/2016</stp>
        <stp>[Bbg_Market_Data_CL.xlsm]data!R202C5</stp>
        <tr r="E202" s="1"/>
        <tr r="E202" s="1"/>
      </tp>
      <tp>
        <v>48.46</v>
        <stp/>
        <stp>##V3_BDHV12</stp>
        <stp>CL1 Comdty</stp>
        <stp>PX_OPEN</stp>
        <stp>23/05/2016</stp>
        <stp>23/05/2016</stp>
        <stp>[Bbg_Market_Data_CL.xlsm]data!R221C5</stp>
        <tr r="E221" s="1"/>
        <tr r="E221" s="1"/>
      </tp>
      <tp>
        <v>58.81</v>
        <stp/>
        <stp>##V3_BDHV12</stp>
        <stp>CL1 Comdty</stp>
        <stp>PX_OPEN</stp>
        <stp>21/05/2015</stp>
        <stp>21/05/2015</stp>
        <stp>[Bbg_Market_Data_CL.xlsm]data!R471C5</stp>
        <tr r="E471" s="1"/>
        <tr r="E471" s="1"/>
      </tp>
      <tp>
        <v>37.6</v>
        <stp/>
        <stp>##V3_BDHV12</stp>
        <stp>CL1 Comdty</stp>
        <stp>PX_OPEN</stp>
        <stp>04/01/2016</stp>
        <stp>04/01/2016</stp>
        <stp>[Bbg_Market_Data_CL.xlsm]data!R317C5</stp>
        <tr r="E317" s="1"/>
        <tr r="E317" s="1"/>
      </tp>
      <tp>
        <v>41.11</v>
        <stp/>
        <stp>##V3_BDHV12</stp>
        <stp>CL1 Comdty</stp>
        <stp>PX_OPEN</stp>
        <stp>18/11/2015</stp>
        <stp>18/11/2015</stp>
        <stp>[Bbg_Market_Data_CL.xlsm]data!R347C5</stp>
        <tr r="E347" s="1"/>
        <tr r="E347" s="1"/>
      </tp>
      <tp>
        <v>50.41</v>
        <stp/>
        <stp>##V3_BDHV12</stp>
        <stp>CL1 Comdty</stp>
        <stp>PX_OPEN</stp>
        <stp>08/06/2016</stp>
        <stp>08/06/2016</stp>
        <stp>[Bbg_Market_Data_CL.xlsm]data!R210C5</stp>
        <tr r="E210" s="1"/>
        <tr r="E210" s="1"/>
      </tp>
      <tp>
        <v>37.520000000000003</v>
        <stp/>
        <stp>##V3_BDHV12</stp>
        <stp>CL1 Comdty</stp>
        <stp>PX_OPEN</stp>
        <stp>08/04/2016</stp>
        <stp>08/04/2016</stp>
        <stp>[Bbg_Market_Data_CL.xlsm]data!R252C5</stp>
        <tr r="E252" s="1"/>
        <tr r="E252" s="1"/>
      </tp>
      <tp>
        <v>60.5</v>
        <stp/>
        <stp>##V3_BDHV12</stp>
        <stp>CL1 Comdty</stp>
        <stp>PX_OPEN</stp>
        <stp>19/06/2015</stp>
        <stp>19/06/2015</stp>
        <stp>[Bbg_Market_Data_CL.xlsm]data!R451C5</stp>
        <tr r="E451" s="1"/>
        <tr r="E451" s="1"/>
      </tp>
      <tp>
        <v>58.96</v>
        <stp/>
        <stp>##V3_BDHV12</stp>
        <stp>CL1 Comdty</stp>
        <stp>PX_OPEN</stp>
        <stp>08/06/2015</stp>
        <stp>08/06/2015</stp>
        <stp>[Bbg_Market_Data_CL.xlsm]data!R460C5</stp>
        <tr r="E460" s="1"/>
        <tr r="E460" s="1"/>
      </tp>
      <tp t="s">
        <v>#N/A Requesting Data...</v>
        <stp/>
        <stp>##V3_BDHV12</stp>
        <stp>CL2 Comdty</stp>
        <stp>RSI_14D</stp>
        <stp>21/09/2015</stp>
        <stp>21/09/2015</stp>
        <stp>[Bbg_Market_Data_CL.xlsm]data!R387C13</stp>
        <tr r="M387" s="1"/>
      </tp>
      <tp t="s">
        <v>#N/A Requesting Data...</v>
        <stp/>
        <stp>##V3_BDHV12</stp>
        <stp>CL1 Comdty</stp>
        <stp>RSI_14D</stp>
        <stp>21/09/2015</stp>
        <stp>21/09/2015</stp>
        <stp>[Bbg_Market_Data_CL.xlsm]data!R387C13</stp>
        <tr r="M387" s="1"/>
      </tp>
      <tp t="s">
        <v>#N/A Requesting Data...</v>
        <stp/>
        <stp>##V3_BDHV12</stp>
        <stp>CL1 Comdty</stp>
        <stp>RSI_14D</stp>
        <stp>10/08/2016</stp>
        <stp>10/08/2016</stp>
        <stp>[Bbg_Market_Data_CL.xlsm]data!R167C13</stp>
        <tr r="M167" s="1"/>
      </tp>
      <tp t="s">
        <v>#N/A Requesting Data...</v>
        <stp/>
        <stp>##V3_BDHV12</stp>
        <stp>CL2 Comdty</stp>
        <stp>RSI_14D</stp>
        <stp>10/08/2016</stp>
        <stp>10/08/2016</stp>
        <stp>[Bbg_Market_Data_CL.xlsm]data!R167C13</stp>
        <tr r="M167" s="1"/>
      </tp>
      <tp t="s">
        <v>#N/A Requesting Data...</v>
        <stp/>
        <stp>##V3_BDHV12</stp>
        <stp>CL1 Comdty</stp>
        <stp>RSI_14D</stp>
        <stp>30/09/2015</stp>
        <stp>30/09/2015</stp>
        <stp>[Bbg_Market_Data_CL.xlsm]data!R380C13</stp>
        <tr r="M380" s="1"/>
      </tp>
      <tp t="s">
        <v>#N/A Requesting Data...</v>
        <stp/>
        <stp>##V3_BDHV12</stp>
        <stp>CL2 Comdty</stp>
        <stp>RSI_14D</stp>
        <stp>30/09/2015</stp>
        <stp>30/09/2015</stp>
        <stp>[Bbg_Market_Data_CL.xlsm]data!R380C13</stp>
        <tr r="M380" s="1"/>
      </tp>
      <tp t="s">
        <v>#N/A Requesting Data...</v>
        <stp/>
        <stp>##V3_BDHV12</stp>
        <stp>CL1 Comdty</stp>
        <stp>RSI_14D</stp>
        <stp>01/08/2016</stp>
        <stp>01/08/2016</stp>
        <stp>[Bbg_Market_Data_CL.xlsm]data!R173C13</stp>
        <tr r="M173" s="1"/>
      </tp>
      <tp t="s">
        <v>#N/A Requesting Data...</v>
        <stp/>
        <stp>##V3_BDHV12</stp>
        <stp>CL2 Comdty</stp>
        <stp>RSI_14D</stp>
        <stp>01/08/2016</stp>
        <stp>01/08/2016</stp>
        <stp>[Bbg_Market_Data_CL.xlsm]data!R173C13</stp>
        <tr r="M173" s="1"/>
      </tp>
      <tp t="s">
        <v>#N/A Requesting Data...</v>
        <stp/>
        <stp>##V3_BDHV12</stp>
        <stp>CL2 Comdty</stp>
        <stp>RSI_14D</stp>
        <stp>03/09/2015</stp>
        <stp>03/09/2015</stp>
        <stp>[Bbg_Market_Data_CL.xlsm]data!R398C13</stp>
        <tr r="M398" s="1"/>
      </tp>
      <tp t="s">
        <v>#N/A Requesting Data...</v>
        <stp/>
        <stp>##V3_BDHV12</stp>
        <stp>CL1 Comdty</stp>
        <stp>RSI_14D</stp>
        <stp>03/09/2015</stp>
        <stp>03/09/2015</stp>
        <stp>[Bbg_Market_Data_CL.xlsm]data!R398C13</stp>
        <tr r="M398" s="1"/>
      </tp>
      <tp t="s">
        <v>#N/A Requesting Data...</v>
        <stp/>
        <stp>##V3_BDHV12</stp>
        <stp>CL2 Comdty</stp>
        <stp>RSI_14D</stp>
        <stp>22/09/2016</stp>
        <stp>22/09/2016</stp>
        <stp>[Bbg_Market_Data_CL.xlsm]data!R137C13</stp>
        <tr r="M137" s="1"/>
      </tp>
      <tp t="s">
        <v>#N/A Requesting Data...</v>
        <stp/>
        <stp>##V3_BDHV12</stp>
        <stp>CL1 Comdty</stp>
        <stp>RSI_14D</stp>
        <stp>22/09/2016</stp>
        <stp>22/09/2016</stp>
        <stp>[Bbg_Market_Data_CL.xlsm]data!R137C13</stp>
        <tr r="M137" s="1"/>
      </tp>
      <tp t="s">
        <v>#N/A Requesting Data...</v>
        <stp/>
        <stp>##V3_BDHV12</stp>
        <stp>CL2 Comdty</stp>
        <stp>RSI_30D</stp>
        <stp>01/09/2015</stp>
        <stp>01/09/2015</stp>
        <stp>[Bbg_Market_Data_CL.xlsm]data!R400C14</stp>
        <tr r="N400" s="1"/>
      </tp>
      <tp t="s">
        <v>#N/A Requesting Data...</v>
        <stp/>
        <stp>##V3_BDHV12</stp>
        <stp>CL1 Comdty</stp>
        <stp>RSI_30D</stp>
        <stp>01/09/2015</stp>
        <stp>01/09/2015</stp>
        <stp>[Bbg_Market_Data_CL.xlsm]data!R400C14</stp>
        <tr r="N400" s="1"/>
      </tp>
      <tp t="s">
        <v>#N/A Requesting Data...</v>
        <stp/>
        <stp>##V3_BDHV12</stp>
        <stp>CL2 Comdty</stp>
        <stp>RSI_30D</stp>
        <stp>11/08/2015</stp>
        <stp>11/08/2015</stp>
        <stp>[Bbg_Market_Data_CL.xlsm]data!R415C14</stp>
        <tr r="N415" s="1"/>
      </tp>
      <tp t="s">
        <v>#N/A Requesting Data...</v>
        <stp/>
        <stp>##V3_BDHV12</stp>
        <stp>CL1 Comdty</stp>
        <stp>RSI_30D</stp>
        <stp>11/08/2015</stp>
        <stp>11/08/2015</stp>
        <stp>[Bbg_Market_Data_CL.xlsm]data!R415C14</stp>
        <tr r="N415" s="1"/>
      </tp>
      <tp t="s">
        <v>#N/A Requesting Data...</v>
        <stp/>
        <stp>##V3_BDHV12</stp>
        <stp>CL1 Comdty</stp>
        <stp>RSI_14D</stp>
        <stp>23/08/2016</stp>
        <stp>23/08/2016</stp>
        <stp>[Bbg_Market_Data_CL.xlsm]data!R158C13</stp>
        <tr r="M158" s="1"/>
      </tp>
      <tp t="s">
        <v>#N/A Requesting Data...</v>
        <stp/>
        <stp>##V3_BDHV12</stp>
        <stp>CL2 Comdty</stp>
        <stp>RSI_14D</stp>
        <stp>23/08/2016</stp>
        <stp>23/08/2016</stp>
        <stp>[Bbg_Market_Data_CL.xlsm]data!R158C13</stp>
        <tr r="M158" s="1"/>
      </tp>
      <tp t="s">
        <v>#N/A Requesting Data...</v>
        <stp/>
        <stp>##V3_BDHV12</stp>
        <stp>CL1 Comdty</stp>
        <stp>RSI_30D</stp>
        <stp>20/09/2016</stp>
        <stp>20/09/2016</stp>
        <stp>[Bbg_Market_Data_CL.xlsm]data!R139C14</stp>
        <tr r="N139" s="1"/>
      </tp>
      <tp t="s">
        <v>#N/A Requesting Data...</v>
        <stp/>
        <stp>##V3_BDHV12</stp>
        <stp>CL2 Comdty</stp>
        <stp>RSI_30D</stp>
        <stp>20/09/2016</stp>
        <stp>20/09/2016</stp>
        <stp>[Bbg_Market_Data_CL.xlsm]data!R139C14</stp>
        <tr r="N139" s="1"/>
      </tp>
      <tp t="s">
        <v>#N/A Requesting Data...</v>
        <stp/>
        <stp>##V3_BDHV12</stp>
        <stp>CL2 Comdty</stp>
        <stp>RSI_30D</stp>
        <stp>30/08/2016</stp>
        <stp>30/08/2016</stp>
        <stp>[Bbg_Market_Data_CL.xlsm]data!R153C14</stp>
        <tr r="N153" s="1"/>
      </tp>
      <tp t="s">
        <v>#N/A Requesting Data...</v>
        <stp/>
        <stp>##V3_BDHV12</stp>
        <stp>CL1 Comdty</stp>
        <stp>RSI_30D</stp>
        <stp>30/08/2016</stp>
        <stp>30/08/2016</stp>
        <stp>[Bbg_Market_Data_CL.xlsm]data!R153C14</stp>
        <tr r="N153" s="1"/>
      </tp>
      <tp t="s">
        <v>#N/A Requesting Data...</v>
        <stp/>
        <stp>##V3_BDHV12</stp>
        <stp>CL2 Comdty</stp>
        <stp>RSI_30D</stp>
        <stp>10/09/2015</stp>
        <stp>10/09/2015</stp>
        <stp>[Bbg_Market_Data_CL.xlsm]data!R394C14</stp>
        <tr r="N394" s="1"/>
      </tp>
      <tp t="s">
        <v>#N/A Requesting Data...</v>
        <stp/>
        <stp>##V3_BDHV12</stp>
        <stp>CL1 Comdty</stp>
        <stp>RSI_30D</stp>
        <stp>10/09/2015</stp>
        <stp>10/09/2015</stp>
        <stp>[Bbg_Market_Data_CL.xlsm]data!R394C14</stp>
        <tr r="N394" s="1"/>
      </tp>
      <tp t="s">
        <v>#N/A Requesting Data...</v>
        <stp/>
        <stp>##V3_BDHV12</stp>
        <stp>CL1 Comdty</stp>
        <stp>RSI_14D</stp>
        <stp>13/08/2015</stp>
        <stp>13/08/2015</stp>
        <stp>[Bbg_Market_Data_CL.xlsm]data!R413C13</stp>
        <tr r="M413" s="1"/>
      </tp>
      <tp t="s">
        <v>#N/A Requesting Data...</v>
        <stp/>
        <stp>##V3_BDHV12</stp>
        <stp>CL2 Comdty</stp>
        <stp>RSI_14D</stp>
        <stp>13/08/2015</stp>
        <stp>13/08/2015</stp>
        <stp>[Bbg_Market_Data_CL.xlsm]data!R413C13</stp>
        <tr r="M413" s="1"/>
      </tp>
      <tp t="s">
        <v>#N/A Requesting Data...</v>
        <stp/>
        <stp>##V3_BDHV12</stp>
        <stp>CL1 Comdty</stp>
        <stp>RSI_30D</stp>
        <stp>23/09/2015</stp>
        <stp>23/09/2015</stp>
        <stp>[Bbg_Market_Data_CL.xlsm]data!R385C14</stp>
        <tr r="N385" s="1"/>
      </tp>
      <tp t="s">
        <v>#N/A Requesting Data...</v>
        <stp/>
        <stp>##V3_BDHV12</stp>
        <stp>CL2 Comdty</stp>
        <stp>RSI_30D</stp>
        <stp>23/09/2015</stp>
        <stp>23/09/2015</stp>
        <stp>[Bbg_Market_Data_CL.xlsm]data!R385C14</stp>
        <tr r="N385" s="1"/>
      </tp>
      <tp t="s">
        <v>#N/A Requesting Data...</v>
        <stp/>
        <stp>##V3_BDHV12</stp>
        <stp>CL2 Comdty</stp>
        <stp>RSI_30D</stp>
        <stp>02/09/2016</stp>
        <stp>02/09/2016</stp>
        <stp>[Bbg_Market_Data_CL.xlsm]data!R150C14</stp>
        <tr r="N150" s="1"/>
      </tp>
      <tp t="s">
        <v>#N/A Requesting Data...</v>
        <stp/>
        <stp>##V3_BDHV12</stp>
        <stp>CL1 Comdty</stp>
        <stp>RSI_30D</stp>
        <stp>02/09/2016</stp>
        <stp>02/09/2016</stp>
        <stp>[Bbg_Market_Data_CL.xlsm]data!R150C14</stp>
        <tr r="N150" s="1"/>
      </tp>
      <tp t="s">
        <v>#N/A Requesting Data...</v>
        <stp/>
        <stp>##V3_BDHV12</stp>
        <stp>CL2 Comdty</stp>
        <stp>RSI_30D</stp>
        <stp>12/08/2016</stp>
        <stp>12/08/2016</stp>
        <stp>[Bbg_Market_Data_CL.xlsm]data!R165C14</stp>
        <tr r="N165" s="1"/>
      </tp>
      <tp t="s">
        <v>#N/A Requesting Data...</v>
        <stp/>
        <stp>##V3_BDHV12</stp>
        <stp>CL1 Comdty</stp>
        <stp>RSI_30D</stp>
        <stp>12/08/2016</stp>
        <stp>12/08/2016</stp>
        <stp>[Bbg_Market_Data_CL.xlsm]data!R165C14</stp>
        <tr r="N165" s="1"/>
      </tp>
      <tp t="s">
        <v>#N/A Requesting Data...</v>
        <stp/>
        <stp>##V3_BDHV12</stp>
        <stp>CL1 Comdty</stp>
        <stp>RSI_14D</stp>
        <stp>20/08/2015</stp>
        <stp>20/08/2015</stp>
        <stp>[Bbg_Market_Data_CL.xlsm]data!R408C13</stp>
        <tr r="M408" s="1"/>
      </tp>
      <tp t="s">
        <v>#N/A Requesting Data...</v>
        <stp/>
        <stp>##V3_BDHV12</stp>
        <stp>CL2 Comdty</stp>
        <stp>RSI_14D</stp>
        <stp>20/08/2015</stp>
        <stp>20/08/2015</stp>
        <stp>[Bbg_Market_Data_CL.xlsm]data!R408C13</stp>
        <tr r="M408" s="1"/>
      </tp>
      <tp t="s">
        <v>#N/A Requesting Data...</v>
        <stp/>
        <stp>##V3_BDHV12</stp>
        <stp>CL2 Comdty</stp>
        <stp>RSI_30D</stp>
        <stp>13/09/2016</stp>
        <stp>13/09/2016</stp>
        <stp>[Bbg_Market_Data_CL.xlsm]data!R144C14</stp>
        <tr r="N144" s="1"/>
      </tp>
      <tp t="s">
        <v>#N/A Requesting Data...</v>
        <stp/>
        <stp>##V3_BDHV12</stp>
        <stp>CL1 Comdty</stp>
        <stp>RSI_30D</stp>
        <stp>13/09/2016</stp>
        <stp>13/09/2016</stp>
        <stp>[Bbg_Market_Data_CL.xlsm]data!R144C14</stp>
        <tr r="N144" s="1"/>
      </tp>
      <tp t="s">
        <v>#N/A Requesting Data...</v>
        <stp/>
        <stp>##V3_BDHV12</stp>
        <stp>CL1 Comdty</stp>
        <stp>RSI_14D</stp>
        <stp>31/08/2015</stp>
        <stp>31/08/2015</stp>
        <stp>[Bbg_Market_Data_CL.xlsm]data!R401C13</stp>
        <tr r="M401" s="1"/>
      </tp>
      <tp t="s">
        <v>#N/A Requesting Data...</v>
        <stp/>
        <stp>##V3_BDHV12</stp>
        <stp>CL2 Comdty</stp>
        <stp>RSI_30D</stp>
        <stp>03/08/2016</stp>
        <stp>03/08/2016</stp>
        <stp>[Bbg_Market_Data_CL.xlsm]data!R171C14</stp>
        <tr r="N171" s="1"/>
      </tp>
      <tp t="s">
        <v>#N/A Requesting Data...</v>
        <stp/>
        <stp>##V3_BDHV12</stp>
        <stp>CL1 Comdty</stp>
        <stp>RSI_30D</stp>
        <stp>03/08/2016</stp>
        <stp>03/08/2016</stp>
        <stp>[Bbg_Market_Data_CL.xlsm]data!R171C14</stp>
        <tr r="N171" s="1"/>
      </tp>
      <tp t="s">
        <v>#N/A Requesting Data...</v>
        <stp/>
        <stp>##V3_BDHV12</stp>
        <stp>CL2 Comdty</stp>
        <stp>RSI_14D</stp>
        <stp>31/08/2015</stp>
        <stp>31/08/2015</stp>
        <stp>[Bbg_Market_Data_CL.xlsm]data!R401C13</stp>
        <tr r="M401" s="1"/>
      </tp>
      <tp t="s">
        <v>#N/A Requesting Data...</v>
        <stp/>
        <stp>##V3_BDHV12</stp>
        <stp>CL2 Comdty</stp>
        <stp>RSI_14D</stp>
        <stp>18/10/2016</stp>
        <stp>18/10/2016</stp>
        <stp>[Bbg_Market_Data_CL.xlsm]data!R120C13</stp>
        <tr r="M120" s="1"/>
      </tp>
      <tp t="s">
        <v>#N/A Requesting Data...</v>
        <stp/>
        <stp>##V3_BDHV12</stp>
        <stp>CL1 Comdty</stp>
        <stp>RSI_14D</stp>
        <stp>18/10/2016</stp>
        <stp>18/10/2016</stp>
        <stp>[Bbg_Market_Data_CL.xlsm]data!R120C13</stp>
        <tr r="M120" s="1"/>
      </tp>
      <tp t="s">
        <v>#N/A Requesting Data...</v>
        <stp/>
        <stp>##V3_BDHV12</stp>
        <stp>CL2 Comdty</stp>
        <stp>RSI_14D</stp>
        <stp>08/11/2016</stp>
        <stp>08/11/2016</stp>
        <stp>[Bbg_Market_Data_CL.xlsm]data!R105C13</stp>
        <tr r="M105" s="1"/>
      </tp>
      <tp t="s">
        <v>#N/A Requesting Data...</v>
        <stp/>
        <stp>##V3_BDHV12</stp>
        <stp>CL1 Comdty</stp>
        <stp>RSI_14D</stp>
        <stp>08/11/2016</stp>
        <stp>08/11/2016</stp>
        <stp>[Bbg_Market_Data_CL.xlsm]data!R105C13</stp>
        <tr r="M105" s="1"/>
      </tp>
      <tp t="s">
        <v>#N/A Requesting Data...</v>
        <stp/>
        <stp>##V3_BDHV12</stp>
        <stp>CL1 Comdty</stp>
        <stp>RSI_14D</stp>
        <stp>28/10/2015</stp>
        <stp>28/10/2015</stp>
        <stp>[Bbg_Market_Data_CL.xlsm]data!R361C13</stp>
        <tr r="M361" s="1"/>
      </tp>
      <tp t="s">
        <v>#N/A Requesting Data...</v>
        <stp/>
        <stp>##V3_BDHV12</stp>
        <stp>CL2 Comdty</stp>
        <stp>RSI_14D</stp>
        <stp>28/10/2015</stp>
        <stp>28/10/2015</stp>
        <stp>[Bbg_Market_Data_CL.xlsm]data!R361C13</stp>
        <tr r="M361" s="1"/>
      </tp>
      <tp t="s">
        <v>#N/A Requesting Data...</v>
        <stp/>
        <stp>##V3_BDHV12</stp>
        <stp>CL1 Comdty</stp>
        <stp>RSI_14D</stp>
        <stp>08/12/2015</stp>
        <stp>08/12/2015</stp>
        <stp>[Bbg_Market_Data_CL.xlsm]data!R334C13</stp>
        <tr r="M334" s="1"/>
      </tp>
      <tp t="s">
        <v>#N/A Requesting Data...</v>
        <stp/>
        <stp>##V3_BDHV12</stp>
        <stp>CL2 Comdty</stp>
        <stp>RSI_14D</stp>
        <stp>08/12/2015</stp>
        <stp>08/12/2015</stp>
        <stp>[Bbg_Market_Data_CL.xlsm]data!R334C13</stp>
        <tr r="M334" s="1"/>
      </tp>
      <tp t="s">
        <v>#N/A Requesting Data...</v>
        <stp/>
        <stp>##V3_BDHV12</stp>
        <stp>CL2 Comdty</stp>
        <stp>RSI_14D</stp>
        <stp>29/02/2016</stp>
        <stp>29/02/2016</stp>
        <stp>[Bbg_Market_Data_CL.xlsm]data!R280C13</stp>
        <tr r="M280" s="1"/>
      </tp>
      <tp t="s">
        <v>#N/A Requesting Data...</v>
        <stp/>
        <stp>##V3_BDHV12</stp>
        <stp>CL1 Comdty</stp>
        <stp>RSI_14D</stp>
        <stp>29/02/2016</stp>
        <stp>29/02/2016</stp>
        <stp>[Bbg_Market_Data_CL.xlsm]data!R280C13</stp>
        <tr r="M280" s="1"/>
      </tp>
      <tp t="s">
        <v>#N/A Requesting Data...</v>
        <stp/>
        <stp>##V3_BDHV12</stp>
        <stp>CL1 Comdty</stp>
        <stp>RSI_14D</stp>
        <stp>08/01/2016</stp>
        <stp>08/01/2016</stp>
        <stp>[Bbg_Market_Data_CL.xlsm]data!R313C13</stp>
        <tr r="M313" s="1"/>
      </tp>
      <tp t="s">
        <v>#N/A Requesting Data...</v>
        <stp/>
        <stp>##V3_BDHV12</stp>
        <stp>CL2 Comdty</stp>
        <stp>RSI_14D</stp>
        <stp>08/01/2016</stp>
        <stp>08/01/2016</stp>
        <stp>[Bbg_Market_Data_CL.xlsm]data!R313C13</stp>
        <tr r="M313" s="1"/>
      </tp>
      <tp t="s">
        <v>#N/A Requesting Data...</v>
        <stp/>
        <stp>##V3_BDHV12</stp>
        <stp>CL2 Comdty</stp>
        <stp>RSI_14D</stp>
        <stp>28/03/2016</stp>
        <stp>28/03/2016</stp>
        <stp>[Bbg_Market_Data_CL.xlsm]data!R261C13</stp>
        <tr r="M261" s="1"/>
      </tp>
      <tp t="s">
        <v>#N/A Requesting Data...</v>
        <stp/>
        <stp>##V3_BDHV12</stp>
        <stp>CL1 Comdty</stp>
        <stp>RSI_14D</stp>
        <stp>28/03/2016</stp>
        <stp>28/03/2016</stp>
        <stp>[Bbg_Market_Data_CL.xlsm]data!R261C13</stp>
        <tr r="M261" s="1"/>
      </tp>
      <tp t="s">
        <v>#N/A Requesting Data...</v>
        <stp/>
        <stp>##V3_BDHV12</stp>
        <stp>CL1 Comdty</stp>
        <stp>RSI_14D</stp>
        <stp>19/01/2016</stp>
        <stp>19/01/2016</stp>
        <stp>[Bbg_Market_Data_CL.xlsm]data!R307C13</stp>
        <tr r="M307" s="1"/>
      </tp>
      <tp t="s">
        <v>#N/A Requesting Data...</v>
        <stp/>
        <stp>##V3_BDHV12</stp>
        <stp>CL2 Comdty</stp>
        <stp>RSI_14D</stp>
        <stp>19/01/2016</stp>
        <stp>19/01/2016</stp>
        <stp>[Bbg_Market_Data_CL.xlsm]data!R307C13</stp>
        <tr r="M307" s="1"/>
      </tp>
      <tp t="s">
        <v>#N/A Requesting Data...</v>
        <stp/>
        <stp>##V3_BDHV12</stp>
        <stp>CL1 Comdty</stp>
        <stp>RSI_30D</stp>
        <stp>09/11/2015</stp>
        <stp>09/11/2015</stp>
        <stp>[Bbg_Market_Data_CL.xlsm]data!R353C14</stp>
        <tr r="N353" s="1"/>
      </tp>
      <tp t="s">
        <v>#N/A Requesting Data...</v>
        <stp/>
        <stp>##V3_BDHV12</stp>
        <stp>CL2 Comdty</stp>
        <stp>RSI_30D</stp>
        <stp>09/11/2015</stp>
        <stp>09/11/2015</stp>
        <stp>[Bbg_Market_Data_CL.xlsm]data!R353C14</stp>
        <tr r="N353" s="1"/>
      </tp>
      <tp t="s">
        <v>#N/A Requesting Data...</v>
        <stp/>
        <stp>##V3_BDHV12</stp>
        <stp>CL2 Comdty</stp>
        <stp>RSI_30D</stp>
        <stp>19/10/2015</stp>
        <stp>19/10/2015</stp>
        <stp>[Bbg_Market_Data_CL.xlsm]data!R368C14</stp>
        <tr r="N368" s="1"/>
      </tp>
      <tp t="s">
        <v>#N/A Requesting Data...</v>
        <stp/>
        <stp>##V3_BDHV12</stp>
        <stp>CL1 Comdty</stp>
        <stp>RSI_30D</stp>
        <stp>19/10/2015</stp>
        <stp>19/10/2015</stp>
        <stp>[Bbg_Market_Data_CL.xlsm]data!R368C14</stp>
        <tr r="N368" s="1"/>
      </tp>
      <tp t="s">
        <v>#N/A Requesting Data...</v>
        <stp/>
        <stp>##V3_BDHV12</stp>
        <stp>CL2 Comdty</stp>
        <stp>RSI_30D</stp>
        <stp>28/12/2015</stp>
        <stp>28/12/2015</stp>
        <stp>[Bbg_Market_Data_CL.xlsm]data!R321C14</stp>
        <tr r="N321" s="1"/>
      </tp>
      <tp t="s">
        <v>#N/A Requesting Data...</v>
        <stp/>
        <stp>##V3_BDHV12</stp>
        <stp>CL1 Comdty</stp>
        <stp>RSI_30D</stp>
        <stp>28/12/2015</stp>
        <stp>28/12/2015</stp>
        <stp>[Bbg_Market_Data_CL.xlsm]data!R321C14</stp>
        <tr r="N321" s="1"/>
      </tp>
      <tp t="s">
        <v>#N/A Requesting Data...</v>
        <stp/>
        <stp>##V3_BDHV12</stp>
        <stp>CL1 Comdty</stp>
        <stp>RSI_30D</stp>
        <stp>18/11/2015</stp>
        <stp>18/11/2015</stp>
        <stp>[Bbg_Market_Data_CL.xlsm]data!R347C14</stp>
        <tr r="N347" s="1"/>
      </tp>
      <tp t="s">
        <v>#N/A Requesting Data...</v>
        <stp/>
        <stp>##V3_BDHV12</stp>
        <stp>CL2 Comdty</stp>
        <stp>RSI_30D</stp>
        <stp>18/11/2015</stp>
        <stp>18/11/2015</stp>
        <stp>[Bbg_Market_Data_CL.xlsm]data!R347C14</stp>
        <tr r="N347" s="1"/>
      </tp>
      <tp t="s">
        <v>#N/A Requesting Data...</v>
        <stp/>
        <stp>##V3_BDHV12</stp>
        <stp>CL2 Comdty</stp>
        <stp>RSI_30D</stp>
        <stp>08/10/2015</stp>
        <stp>08/10/2015</stp>
        <stp>[Bbg_Market_Data_CL.xlsm]data!R374C14</stp>
        <tr r="N374" s="1"/>
      </tp>
      <tp t="s">
        <v>#N/A Requesting Data...</v>
        <stp/>
        <stp>##V3_BDHV12</stp>
        <stp>CL1 Comdty</stp>
        <stp>RSI_30D</stp>
        <stp>08/10/2015</stp>
        <stp>08/10/2015</stp>
        <stp>[Bbg_Market_Data_CL.xlsm]data!R374C14</stp>
        <tr r="N374" s="1"/>
      </tp>
      <tp t="s">
        <v>#N/A Requesting Data...</v>
        <stp/>
        <stp>##V3_BDHV12</stp>
        <stp>CL2 Comdty</stp>
        <stp>RSI_30D</stp>
        <stp>09/02/2016</stp>
        <stp>09/02/2016</stp>
        <stp>[Bbg_Market_Data_CL.xlsm]data!R292C14</stp>
        <tr r="N292" s="1"/>
      </tp>
      <tp t="s">
        <v>#N/A Requesting Data...</v>
        <stp/>
        <stp>##V3_BDHV12</stp>
        <stp>CL1 Comdty</stp>
        <stp>RSI_30D</stp>
        <stp>09/02/2016</stp>
        <stp>09/02/2016</stp>
        <stp>[Bbg_Market_Data_CL.xlsm]data!R292C14</stp>
        <tr r="N292" s="1"/>
      </tp>
      <tp t="s">
        <v>#N/A Requesting Data...</v>
        <stp/>
        <stp>##V3_BDHV12</stp>
        <stp>CL1 Comdty</stp>
        <stp>RSI_30D</stp>
        <stp>28/01/2016</stp>
        <stp>28/01/2016</stp>
        <stp>[Bbg_Market_Data_CL.xlsm]data!R300C14</stp>
        <tr r="N300" s="1"/>
      </tp>
      <tp t="s">
        <v>#N/A Requesting Data...</v>
        <stp/>
        <stp>##V3_BDHV12</stp>
        <stp>CL2 Comdty</stp>
        <stp>RSI_30D</stp>
        <stp>28/01/2016</stp>
        <stp>28/01/2016</stp>
        <stp>[Bbg_Market_Data_CL.xlsm]data!R300C14</stp>
        <tr r="N300" s="1"/>
      </tp>
      <tp t="s">
        <v>#N/A Requesting Data...</v>
        <stp/>
        <stp>##V3_BDHV12</stp>
        <stp>CL2 Comdty</stp>
        <stp>RSI_30D</stp>
        <stp>18/02/2016</stp>
        <stp>18/02/2016</stp>
        <stp>[Bbg_Market_Data_CL.xlsm]data!R287C14</stp>
        <tr r="N287" s="1"/>
      </tp>
      <tp t="s">
        <v>#N/A Requesting Data...</v>
        <stp/>
        <stp>##V3_BDHV12</stp>
        <stp>CL1 Comdty</stp>
        <stp>RSI_30D</stp>
        <stp>18/02/2016</stp>
        <stp>18/02/2016</stp>
        <stp>[Bbg_Market_Data_CL.xlsm]data!R287C14</stp>
        <tr r="N287" s="1"/>
      </tp>
      <tp t="s">
        <v>#N/A Requesting Data...</v>
        <stp/>
        <stp>##V3_BDHV12</stp>
        <stp>CL1 Comdty</stp>
        <stp>RSI_30D</stp>
        <stp>08/03/2016</stp>
        <stp>08/03/2016</stp>
        <stp>[Bbg_Market_Data_CL.xlsm]data!R274C14</stp>
        <tr r="N274" s="1"/>
      </tp>
      <tp t="s">
        <v>#N/A Requesting Data...</v>
        <stp/>
        <stp>##V3_BDHV12</stp>
        <stp>CL2 Comdty</stp>
        <stp>RSI_30D</stp>
        <stp>08/03/2016</stp>
        <stp>08/03/2016</stp>
        <stp>[Bbg_Market_Data_CL.xlsm]data!R274C14</stp>
        <tr r="N274" s="1"/>
      </tp>
      <tp>
        <v>30.61</v>
        <stp/>
        <stp>##V3_BDHV12</stp>
        <stp>CL1 Comdty</stp>
        <stp>PX_HIGH</stp>
        <stp>09/02/2016</stp>
        <stp>09/02/2016</stp>
        <stp>[Bbg_Market_Data_CL.xlsm]data!R292C6</stp>
        <tr r="F292" s="1"/>
        <tr r="F292" s="1"/>
      </tp>
      <tp>
        <v>38.090000000000003</v>
        <stp/>
        <stp>##V3_BDHV12</stp>
        <stp>CL1 Comdty</stp>
        <stp>PX_HIGH</stp>
        <stp>28/12/2015</stp>
        <stp>28/12/2015</stp>
        <stp>[Bbg_Market_Data_CL.xlsm]data!R321C6</stp>
        <tr r="F321" s="1"/>
        <tr r="F321" s="1"/>
      </tp>
      <tp t="s">
        <v>#N/A Requesting Data...</v>
        <stp/>
        <stp>##V3_BDHV12</stp>
        <stp>CL2 Comdty</stp>
        <stp>PX_LAST</stp>
        <stp>06/05/2016</stp>
        <stp>06/05/2016</stp>
        <stp>[Bbg_Market_Data_CL.xlsm]data!R232C9</stp>
        <tr r="I232" s="1"/>
      </tp>
      <tp t="s">
        <v>#N/A Requesting Data...</v>
        <stp/>
        <stp>##V3_BDHV12</stp>
        <stp>CL2 Comdty</stp>
        <stp>PX_LAST</stp>
        <stp>07/04/2016</stp>
        <stp>07/04/2016</stp>
        <stp>[Bbg_Market_Data_CL.xlsm]data!R253C9</stp>
        <tr r="I253" s="1"/>
      </tp>
      <tp t="s">
        <v>#N/A Requesting Data...</v>
        <stp/>
        <stp>##V3_BDHV12</stp>
        <stp>CL2 Comdty</stp>
        <stp>PX_LAST</stp>
        <stp>24/05/2016</stp>
        <stp>24/05/2016</stp>
        <stp>[Bbg_Market_Data_CL.xlsm]data!R220C9</stp>
        <tr r="I220" s="1"/>
      </tp>
      <tp t="s">
        <v>#N/A Requesting Data...</v>
        <stp/>
        <stp>##V3_BDHV12</stp>
        <stp>CL2 Comdty</stp>
        <stp>PX_LAST</stp>
        <stp>25/04/2016</stp>
        <stp>25/04/2016</stp>
        <stp>[Bbg_Market_Data_CL.xlsm]data!R241C9</stp>
        <tr r="I241" s="1"/>
      </tp>
      <tp t="s">
        <v>#N/A Requesting Data...</v>
        <stp/>
        <stp>##V3_BDHV12</stp>
        <stp>CL1 Comdty</stp>
        <stp>PX_LAST</stp>
        <stp>21/10/2016</stp>
        <stp>21/10/2016</stp>
        <stp>[Bbg_Market_Data_CL.xlsm]data!R117C9</stp>
        <tr r="I117" s="1"/>
      </tp>
      <tp t="s">
        <v>#N/A Requesting Data...</v>
        <stp/>
        <stp>##V3_BDHV12</stp>
        <stp>CL2 Comdty</stp>
        <stp>PX_LAST</stp>
        <stp>07/07/2015</stp>
        <stp>07/07/2015</stp>
        <stp>[Bbg_Market_Data_CL.xlsm]data!R440C9</stp>
        <tr r="I440" s="1"/>
      </tp>
      <tp t="s">
        <v>#N/A Requesting Data...</v>
        <stp/>
        <stp>##V3_BDHV12</stp>
        <stp>CL1 Comdty</stp>
        <stp>PX_LAST</stp>
        <stp>17/06/2015</stp>
        <stp>17/06/2015</stp>
        <stp>[Bbg_Market_Data_CL.xlsm]data!R453C9</stp>
        <tr r="I453" s="1"/>
      </tp>
      <tp t="s">
        <v>#N/A Requesting Data...</v>
        <stp/>
        <stp>##V3_BDHV12</stp>
        <stp>CL1 Comdty</stp>
        <stp>PX_LAST</stp>
        <stp>23/02/2016</stp>
        <stp>23/02/2016</stp>
        <stp>[Bbg_Market_Data_CL.xlsm]data!R284C9</stp>
        <tr r="I284" s="1"/>
      </tp>
      <tp t="s">
        <v>#N/A Requesting Data...</v>
        <stp/>
        <stp>##V3_BDHV12</stp>
        <stp>CL1 Comdty</stp>
        <stp>PX_LAST</stp>
        <stp>12/10/2016</stp>
        <stp>12/10/2016</stp>
        <stp>[Bbg_Market_Data_CL.xlsm]data!R124C9</stp>
        <tr r="I124" s="1"/>
      </tp>
      <tp>
        <v>38.51</v>
        <stp/>
        <stp>##V3_BDHV12</stp>
        <stp>CL1 Comdty</stp>
        <stp>PX_HIGH</stp>
        <stp>09/03/2016</stp>
        <stp>09/03/2016</stp>
        <stp>[Bbg_Market_Data_CL.xlsm]data!R273C6</stp>
        <tr r="F273" s="1"/>
        <tr r="F273" s="1"/>
      </tp>
      <tp t="s">
        <v>#N/A Requesting Data...</v>
        <stp/>
        <stp>##V3_BDHV12</stp>
        <stp>CL1 Comdty</stp>
        <stp>PX_LAST</stp>
        <stp>17/07/2015</stp>
        <stp>17/07/2015</stp>
        <stp>[Bbg_Market_Data_CL.xlsm]data!R432C9</stp>
        <tr r="I432" s="1"/>
      </tp>
      <tp t="s">
        <v>#N/A Requesting Data...</v>
        <stp/>
        <stp>##V3_BDHV12</stp>
        <stp>CL1 Comdty</stp>
        <stp>PX_LAST</stp>
        <stp>21/12/2015</stp>
        <stp>21/12/2015</stp>
        <stp>[Bbg_Market_Data_CL.xlsm]data!R325C9</stp>
        <tr r="I325" s="1"/>
      </tp>
      <tp t="s">
        <v>#N/A Requesting Data...</v>
        <stp/>
        <stp>##V3_BDHV12</stp>
        <stp>CL1 Comdty</stp>
        <stp>PX_LAST</stp>
        <stp>03/12/2015</stp>
        <stp>03/12/2015</stp>
        <stp>[Bbg_Market_Data_CL.xlsm]data!R337C9</stp>
        <tr r="I337" s="1"/>
      </tp>
      <tp t="s">
        <v>#N/A Requesting Data...</v>
        <stp/>
        <stp>##V3_BDHV12</stp>
        <stp>CL2 Comdty</stp>
        <stp>PX_LAST</stp>
        <stp>23/10/2015</stp>
        <stp>23/10/2015</stp>
        <stp>[Bbg_Market_Data_CL.xlsm]data!R364C9</stp>
        <tr r="I364" s="1"/>
      </tp>
      <tp>
        <v>33.979999999999997</v>
        <stp/>
        <stp>##V3_BDHV12</stp>
        <stp>CL1 Comdty</stp>
        <stp>PX_HIGH</stp>
        <stp>29/02/2016</stp>
        <stp>29/02/2016</stp>
        <stp>[Bbg_Market_Data_CL.xlsm]data!R280C6</stp>
        <tr r="F280" s="1"/>
        <tr r="F280" s="1"/>
      </tp>
      <tp>
        <v>40.14</v>
        <stp/>
        <stp>##V3_BDHV12</stp>
        <stp>CL1 Comdty</stp>
        <stp>PX_HIGH</stp>
        <stp>28/03/2016</stp>
        <stp>28/03/2016</stp>
        <stp>[Bbg_Market_Data_CL.xlsm]data!R261C6</stp>
        <tr r="F261" s="1"/>
        <tr r="F261" s="1"/>
      </tp>
      <tp>
        <v>50.78</v>
        <stp/>
        <stp>##V3_BDHV12</stp>
        <stp>CL1 Comdty</stp>
        <stp>PX_HIGH</stp>
        <stp>18/10/2016</stp>
        <stp>18/10/2016</stp>
        <stp>[Bbg_Market_Data_CL.xlsm]data!R120C6</stp>
        <tr r="F120" s="1"/>
        <tr r="F120" s="1"/>
      </tp>
      <tp t="s">
        <v>#N/A Requesting Data...</v>
        <stp/>
        <stp>##V3_BDHV12</stp>
        <stp>CL2 Comdty</stp>
        <stp>PX_LAST</stp>
        <stp>07/06/2016</stp>
        <stp>07/06/2016</stp>
        <stp>[Bbg_Market_Data_CL.xlsm]data!R211C9</stp>
        <tr r="I211" s="1"/>
      </tp>
      <tp t="s">
        <v>#N/A Requesting Data...</v>
        <stp/>
        <stp>##V3_BDHV12</stp>
        <stp>CL1 Comdty</stp>
        <stp>PX_LAST</stp>
        <stp>07/05/2015</stp>
        <stp>07/05/2015</stp>
        <stp>[Bbg_Market_Data_CL.xlsm]data!R481C9</stp>
        <tr r="I481" s="1"/>
      </tp>
      <tp t="s">
        <v>#N/A Requesting Data...</v>
        <stp/>
        <stp>##V3_BDHV12</stp>
        <stp>CL1 Comdty</stp>
        <stp>PX_LAST</stp>
        <stp>20/10/2015</stp>
        <stp>20/10/2015</stp>
        <stp>[Bbg_Market_Data_CL.xlsm]data!R367C9</stp>
        <tr r="I367" s="1"/>
      </tp>
      <tp t="s">
        <v>#N/A Requesting Data...</v>
        <stp/>
        <stp>##V3_BDHV12</stp>
        <stp>CL1 Comdty</stp>
        <stp>PX_LAST</stp>
        <stp>03/02/2016</stp>
        <stp>03/02/2016</stp>
        <stp>[Bbg_Market_Data_CL.xlsm]data!R296C9</stp>
        <tr r="I296" s="1"/>
      </tp>
      <tp t="s">
        <v>#N/A Requesting Data...</v>
        <stp/>
        <stp>##V3_BDHV12</stp>
        <stp>CL2 Comdty</stp>
        <stp>PX_LAST</stp>
        <stp>22/01/2016</stp>
        <stp>22/01/2016</stp>
        <stp>[Bbg_Market_Data_CL.xlsm]data!R304C9</stp>
        <tr r="I304" s="1"/>
      </tp>
      <tp t="s">
        <v>#N/A Requesting Data...</v>
        <stp/>
        <stp>##V3_BDHV12</stp>
        <stp>CL1 Comdty</stp>
        <stp>PX_LAST</stp>
        <stp>04/06/2015</stp>
        <stp>04/06/2015</stp>
        <stp>[Bbg_Market_Data_CL.xlsm]data!R462C9</stp>
        <tr r="I462" s="1"/>
      </tp>
      <tp t="s">
        <v>#N/A Requesting Data...</v>
        <stp/>
        <stp>##V3_BDHV12</stp>
        <stp>CL2 Comdty</stp>
        <stp>PX_LAST</stp>
        <stp>03/11/2015</stp>
        <stp>03/11/2015</stp>
        <stp>[Bbg_Market_Data_CL.xlsm]data!R357C9</stp>
        <tr r="I357" s="1"/>
      </tp>
      <tp>
        <v>38.99</v>
        <stp/>
        <stp>##V3_BDHV12</stp>
        <stp>CL1 Comdty</stp>
        <stp>PX_HIGH</stp>
        <stp>09/12/2015</stp>
        <stp>09/12/2015</stp>
        <stp>[Bbg_Market_Data_CL.xlsm]data!R333C6</stp>
        <tr r="F333" s="1"/>
        <tr r="F333" s="1"/>
      </tp>
      <tp>
        <v>46.77</v>
        <stp/>
        <stp>##V3_BDHV12</stp>
        <stp>CL1 Comdty</stp>
        <stp>PX_HIGH</stp>
        <stp>02/09/2015</stp>
        <stp>02/09/2015</stp>
        <stp>[Bbg_Market_Data_CL.xlsm]data!R399C6</stp>
        <tr r="F399" s="1"/>
        <tr r="F399" s="1"/>
      </tp>
      <tp t="s">
        <v>#N/A Requesting Data...</v>
        <stp/>
        <stp>##V3_BDHV12</stp>
        <stp>CL1 Comdty</stp>
        <stp>PX_LAST</stp>
        <stp>06/06/2016</stp>
        <stp>06/06/2016</stp>
        <stp>[Bbg_Market_Data_CL.xlsm]data!R212C9</stp>
        <tr r="I212" s="1"/>
      </tp>
      <tp t="s">
        <v>#N/A Requesting Data...</v>
        <stp/>
        <stp>##V3_BDHV12</stp>
        <stp>CL1 Comdty</stp>
        <stp>PX_LAST</stp>
        <stp>17/06/2016</stp>
        <stp>17/06/2016</stp>
        <stp>[Bbg_Market_Data_CL.xlsm]data!R203C9</stp>
        <tr r="I203" s="1"/>
      </tp>
      <tp t="s">
        <v>#N/A Requesting Data...</v>
        <stp/>
        <stp>##V3_BDHV12</stp>
        <stp>CL2 Comdty</stp>
        <stp>PX_LAST</stp>
        <stp>07/07/2016</stp>
        <stp>07/07/2016</stp>
        <stp>[Bbg_Market_Data_CL.xlsm]data!R190C9</stp>
        <tr r="I190" s="1"/>
      </tp>
      <tp t="s">
        <v>#N/A Requesting Data...</v>
        <stp/>
        <stp>##V3_BDHV12</stp>
        <stp>CL2 Comdty</stp>
        <stp>PX_LAST</stp>
        <stp>20/11/2015</stp>
        <stp>20/11/2015</stp>
        <stp>[Bbg_Market_Data_CL.xlsm]data!R345C9</stp>
        <tr r="I345" s="1"/>
      </tp>
      <tp t="s">
        <v>#N/A Requesting Data...</v>
        <stp/>
        <stp>##V3_BDHV12</stp>
        <stp>CL2 Comdty</stp>
        <stp>PX_LAST</stp>
        <stp>06/05/2015</stp>
        <stp>06/05/2015</stp>
        <stp>[Bbg_Market_Data_CL.xlsm]data!R482C9</stp>
        <tr r="I482" s="1"/>
      </tp>
      <tp t="s">
        <v>#N/A Requesting Data...</v>
        <stp/>
        <stp>##V3_BDHV12</stp>
        <stp>CL1 Comdty</stp>
        <stp>PX_LAST</stp>
        <stp>03/03/2016</stp>
        <stp>03/03/2016</stp>
        <stp>[Bbg_Market_Data_CL.xlsm]data!R277C9</stp>
        <tr r="I277" s="1"/>
      </tp>
      <tp t="s">
        <v>#N/A Requesting Data...</v>
        <stp/>
        <stp>##V3_BDHV12</stp>
        <stp>CL2 Comdty</stp>
        <stp>PX_LAST</stp>
        <stp>05/06/2015</stp>
        <stp>05/06/2015</stp>
        <stp>[Bbg_Market_Data_CL.xlsm]data!R461C9</stp>
        <tr r="I461" s="1"/>
      </tp>
      <tp t="s">
        <v>#N/A Requesting Data...</v>
        <stp/>
        <stp>##V3_BDHV12</stp>
        <stp>CL1 Comdty</stp>
        <stp>PX_LAST</stp>
        <stp>21/03/2016</stp>
        <stp>21/03/2016</stp>
        <stp>[Bbg_Market_Data_CL.xlsm]data!R265C9</stp>
        <tr r="I265" s="1"/>
      </tp>
      <tp>
        <v>60.88</v>
        <stp/>
        <stp>##V3_BDHV12</stp>
        <stp>CL1 Comdty</stp>
        <stp>PX_HIGH</stp>
        <stp>18/05/2015</stp>
        <stp>18/05/2015</stp>
        <stp>[Bbg_Market_Data_CL.xlsm]data!R474C6</stp>
        <tr r="F474" s="1"/>
        <tr r="F474" s="1"/>
      </tp>
      <tp>
        <v>46.53</v>
        <stp/>
        <stp>##V3_BDHV12</stp>
        <stp>CL1 Comdty</stp>
        <stp>PX_HIGH</stp>
        <stp>06/09/2016</stp>
        <stp>06/09/2016</stp>
        <stp>[Bbg_Market_Data_CL.xlsm]data!R149C6</stp>
        <tr r="F149" s="1"/>
        <tr r="F149" s="1"/>
      </tp>
      <tp t="s">
        <v>#N/A Requesting Data...</v>
        <stp/>
        <stp>##V3_BDHV12</stp>
        <stp>CL1 Comdty</stp>
        <stp>PX_LAST</stp>
        <stp>22/04/2015</stp>
        <stp>22/04/2015</stp>
        <stp>[Bbg_Market_Data_CL.xlsm]data!R492C9</stp>
        <tr r="I492" s="1"/>
      </tp>
      <tp t="s">
        <v>#N/A Requesting Data...</v>
        <stp/>
        <stp>##V3_BDHV12</stp>
        <stp>CL1 Comdty</stp>
        <stp>PX_LAST</stp>
        <stp>06/01/2016</stp>
        <stp>06/01/2016</stp>
        <stp>[Bbg_Market_Data_CL.xlsm]data!R315C9</stp>
        <tr r="I315" s="1"/>
      </tp>
      <tp t="s">
        <v>#N/A Requesting Data...</v>
        <stp/>
        <stp>##V3_BDHV12</stp>
        <stp>CL2 Comdty</stp>
        <stp>PX_LAST</stp>
        <stp>07/10/2016</stp>
        <stp>07/10/2016</stp>
        <stp>[Bbg_Market_Data_CL.xlsm]data!R126C9</stp>
        <tr r="I126" s="1"/>
      </tp>
      <tp t="s">
        <v>#N/A Requesting Data...</v>
        <stp/>
        <stp>##V3_BDHV12</stp>
        <stp>CL2 Comdty</stp>
        <stp>PX_LAST</stp>
        <stp>30/07/2015</stp>
        <stp>30/07/2015</stp>
        <stp>[Bbg_Market_Data_CL.xlsm]data!R423C9</stp>
        <tr r="I423" s="1"/>
      </tp>
      <tp>
        <v>48.44</v>
        <stp/>
        <stp>##V3_BDHV12</stp>
        <stp>CL1 Comdty</stp>
        <stp>PX_HIGH</stp>
        <stp>28/07/2015</stp>
        <stp>28/07/2015</stp>
        <stp>[Bbg_Market_Data_CL.xlsm]data!R425C6</stp>
        <tr r="F425" s="1"/>
        <tr r="F425" s="1"/>
      </tp>
      <tp t="s">
        <v>#N/A Requesting Data...</v>
        <stp/>
        <stp>##V3_BDHV12</stp>
        <stp>CL2 Comdty</stp>
        <stp>PX_LAST</stp>
        <stp>23/04/2015</stp>
        <stp>23/04/2015</stp>
        <stp>[Bbg_Market_Data_CL.xlsm]data!R491C9</stp>
        <tr r="I491" s="1"/>
      </tp>
      <tp t="s">
        <v>#N/A Requesting Data...</v>
        <stp/>
        <stp>##V3_BDHV12</stp>
        <stp>CL2 Comdty</stp>
        <stp>PX_LAST</stp>
        <stp>22/05/2015</stp>
        <stp>22/05/2015</stp>
        <stp>[Bbg_Market_Data_CL.xlsm]data!R470C9</stp>
        <tr r="I470" s="1"/>
      </tp>
      <tp t="s">
        <v>#N/A Requesting Data...</v>
        <stp/>
        <stp>##V3_BDHV12</stp>
        <stp>CL2 Comdty</stp>
        <stp>PX_LAST</stp>
        <stp>04/02/2016</stp>
        <stp>04/02/2016</stp>
        <stp>[Bbg_Market_Data_CL.xlsm]data!R295C9</stp>
        <tr r="I295" s="1"/>
      </tp>
      <tp t="s">
        <v>#N/A Requesting Data...</v>
        <stp/>
        <stp>##V3_BDHV12</stp>
        <stp>CL1 Comdty</stp>
        <stp>PX_LAST</stp>
        <stp>20/07/2015</stp>
        <stp>20/07/2015</stp>
        <stp>[Bbg_Market_Data_CL.xlsm]data!R431C9</stp>
        <tr r="I431" s="1"/>
      </tp>
      <tp t="s">
        <v>#N/A Requesting Data...</v>
        <stp/>
        <stp>##V3_BDHV12</stp>
        <stp>CL1 Comdty</stp>
        <stp>PX_LAST</stp>
        <stp>01/07/2016</stp>
        <stp>01/07/2016</stp>
        <stp>[Bbg_Market_Data_CL.xlsm]data!R193C9</stp>
        <tr r="I193" s="1"/>
      </tp>
      <tp t="s">
        <v>#N/A Requesting Data...</v>
        <stp/>
        <stp>##V3_BDHV12</stp>
        <stp>CL1 Comdty</stp>
        <stp>PX_LAST</stp>
        <stp>22/06/2016</stp>
        <stp>22/06/2016</stp>
        <stp>[Bbg_Market_Data_CL.xlsm]data!R200C9</stp>
        <tr r="I200" s="1"/>
      </tp>
      <tp>
        <v>42.22</v>
        <stp/>
        <stp>##V3_BDHV12</stp>
        <stp>CL1 Comdty</stp>
        <stp>PX_HIGH</stp>
        <stp>28/07/2016</stp>
        <stp>28/07/2016</stp>
        <stp>[Bbg_Market_Data_CL.xlsm]data!R175C6</stp>
        <tr r="F175" s="1"/>
        <tr r="F175" s="1"/>
      </tp>
      <tp>
        <v>45.27</v>
        <stp/>
        <stp>##V3_BDHV12</stp>
        <stp>CL1 Comdty</stp>
        <stp>PX_HIGH</stp>
        <stp>06/08/2015</stp>
        <stp>06/08/2015</stp>
        <stp>[Bbg_Market_Data_CL.xlsm]data!R418C6</stp>
        <tr r="F418" s="1"/>
        <tr r="F418" s="1"/>
      </tp>
      <tp t="s">
        <v>#N/A Requesting Data...</v>
        <stp/>
        <stp>##V3_BDHV12</stp>
        <stp>CL2 Comdty</stp>
        <stp>PX_LAST</stp>
        <stp>04/11/2016</stp>
        <stp>04/11/2016</stp>
        <stp>[Bbg_Market_Data_CL.xlsm]data!R107C9</stp>
        <tr r="I107" s="1"/>
      </tp>
      <tp t="s">
        <v>#N/A Requesting Data...</v>
        <stp/>
        <stp>##V3_BDHV12</stp>
        <stp>CL1 Comdty</stp>
        <stp>PX_LAST</stp>
        <stp>22/06/2015</stp>
        <stp>22/06/2015</stp>
        <stp>[Bbg_Market_Data_CL.xlsm]data!R450C9</stp>
        <tr r="I450" s="1"/>
      </tp>
      <tp t="s">
        <v>#N/A Requesting Data...</v>
        <stp/>
        <stp>##V3_BDHV12</stp>
        <stp>CL2 Comdty</stp>
        <stp>PX_LAST</stp>
        <stp>06/10/2015</stp>
        <stp>06/10/2015</stp>
        <stp>[Bbg_Market_Data_CL.xlsm]data!R376C9</stp>
        <tr r="I376" s="1"/>
      </tp>
      <tp t="s">
        <v>#N/A Requesting Data...</v>
        <stp/>
        <stp>##V3_BDHV12</stp>
        <stp>CL1 Comdty</stp>
        <stp>PX_LAST</stp>
        <stp>01/07/2015</stp>
        <stp>01/07/2015</stp>
        <stp>[Bbg_Market_Data_CL.xlsm]data!R443C9</stp>
        <tr r="I443" s="1"/>
      </tp>
      <tp t="s">
        <v>#N/A Requesting Data...</v>
        <stp/>
        <stp>##V3_BDHV12</stp>
        <stp>CL1 Comdty</stp>
        <stp>PX_LAST</stp>
        <stp>20/07/2016</stp>
        <stp>20/07/2016</stp>
        <stp>[Bbg_Market_Data_CL.xlsm]data!R181C9</stp>
        <tr r="I181" s="1"/>
      </tp>
      <tp>
        <v>58.07</v>
        <stp/>
        <stp>##V3_BDHV12</stp>
        <stp>CL1 Comdty</stp>
        <stp>PX_HIGH</stp>
        <stp>28/05/2015</stp>
        <stp>28/05/2015</stp>
        <stp>[Bbg_Market_Data_CL.xlsm]data!R467C6</stp>
        <tr r="F467" s="1"/>
        <tr r="F467" s="1"/>
      </tp>
      <tp>
        <v>41.53</v>
        <stp/>
        <stp>##V3_BDHV12</stp>
        <stp>CL1 Comdty</stp>
        <stp>PX_HIGH</stp>
        <stp>19/04/2016</stp>
        <stp>19/04/2016</stp>
        <stp>[Bbg_Market_Data_CL.xlsm]data!R245C6</stp>
        <tr r="F245" s="1"/>
        <tr r="F245" s="1"/>
      </tp>
      <tp>
        <v>48.95</v>
        <stp/>
        <stp>##V3_BDHV12</stp>
        <stp>CL1 Comdty</stp>
        <stp>PX_HIGH</stp>
        <stp>18/05/2016</stp>
        <stp>18/05/2016</stp>
        <stp>[Bbg_Market_Data_CL.xlsm]data!R224C6</stp>
        <tr r="F224" s="1"/>
        <tr r="F224" s="1"/>
      </tp>
      <tp t="s">
        <v>#N/A Requesting Data...</v>
        <stp/>
        <stp>##V3_BDHV12</stp>
        <stp>CL2 Comdty</stp>
        <stp>PX_LAST</stp>
        <stp>05/01/2016</stp>
        <stp>05/01/2016</stp>
        <stp>[Bbg_Market_Data_CL.xlsm]data!R316C9</stp>
        <tr r="I316" s="1"/>
      </tp>
      <tp t="s">
        <v>#N/A Requesting Data...</v>
        <stp/>
        <stp>##V3_BDHV12</stp>
        <stp>CL1 Comdty</stp>
        <stp>PX_LAST</stp>
        <stp>06/11/2015</stp>
        <stp>06/11/2015</stp>
        <stp>[Bbg_Market_Data_CL.xlsm]data!R354C9</stp>
        <tr r="I354" s="1"/>
      </tp>
      <tp t="s">
        <v>#N/A Requesting Data...</v>
        <stp/>
        <stp>##V3_BDHV12</stp>
        <stp>CL2 Comdty</stp>
        <stp>PX_LAST</stp>
        <stp>26/10/2016</stp>
        <stp>26/10/2016</stp>
        <stp>[Bbg_Market_Data_CL.xlsm]data!R114C9</stp>
        <tr r="I114" s="1"/>
      </tp>
      <tp t="s">
        <v>#N/A Requesting Data...</v>
        <stp/>
        <stp>##V3_BDHV12</stp>
        <stp>CL1 Comdty</stp>
        <stp>PX_LAST</stp>
        <stp>07/10/2015</stp>
        <stp>07/10/2015</stp>
        <stp>[Bbg_Market_Data_CL.xlsm]data!R375C9</stp>
        <tr r="I375" s="1"/>
      </tp>
      <tp t="s">
        <v>#N/A Requesting Data...</v>
        <stp/>
        <stp>##V3_BDHV12</stp>
        <stp>CL1 Comdty</stp>
        <stp>PX_LAST</stp>
        <stp>22/04/2016</stp>
        <stp>22/04/2016</stp>
        <stp>[Bbg_Market_Data_CL.xlsm]data!R242C9</stp>
        <tr r="I242" s="1"/>
      </tp>
      <tp t="s">
        <v>#N/A Requesting Data...</v>
        <stp/>
        <stp>##V3_BDHV12</stp>
        <stp>CL1 Comdty</stp>
        <stp>PX_LAST</stp>
        <stp>10/05/2016</stp>
        <stp>10/05/2016</stp>
        <stp>[Bbg_Market_Data_CL.xlsm]data!R230C9</stp>
        <tr r="I230" s="1"/>
      </tp>
      <tp t="s">
        <v>#N/A Requesting Data...</v>
        <stp/>
        <stp>##V3_BDHV12</stp>
        <stp>CL1 Comdty</stp>
        <stp>PX_LAST</stp>
        <stp>11/04/2016</stp>
        <stp>11/04/2016</stp>
        <stp>[Bbg_Market_Data_CL.xlsm]data!R251C9</stp>
        <tr r="I251" s="1"/>
      </tp>
      <tp>
        <v>42.68</v>
        <stp/>
        <stp>##V3_BDHV12</stp>
        <stp>CL1 Comdty</stp>
        <stp>PX_HIGH</stp>
        <stp>19/08/2015</stp>
        <stp>19/08/2015</stp>
        <stp>[Bbg_Market_Data_CL.xlsm]data!R409C6</stp>
        <tr r="F409" s="1"/>
        <tr r="F409" s="1"/>
      </tp>
      <tp>
        <v>47.03</v>
        <stp/>
        <stp>##V3_BDHV12</stp>
        <stp>CL1 Comdty</stp>
        <stp>PX_HIGH</stp>
        <stp>18/09/2015</stp>
        <stp>18/09/2015</stp>
        <stp>[Bbg_Market_Data_CL.xlsm]data!R388C6</stp>
        <tr r="F388" s="1"/>
        <tr r="F388" s="1"/>
      </tp>
      <tp>
        <v>31.71</v>
        <stp/>
        <stp>##V3_BDHV12</stp>
        <stp>CL1 Comdty</stp>
        <stp>PX_HIGH</stp>
        <stp>13/01/2016</stp>
        <stp>13/01/2016</stp>
        <stp>[Bbg_Market_Data_CL.xlsm]data!R310C6</stp>
        <tr r="F310" s="1"/>
        <tr r="F310" s="1"/>
      </tp>
      <tp t="s">
        <v>#N/A Requesting Data...</v>
        <stp/>
        <stp>##V3_BDHV12</stp>
        <stp>CL1 Comdty</stp>
        <stp>PX_LAST</stp>
        <stp>18/02/2016</stp>
        <stp>18/02/2016</stp>
        <stp>[Bbg_Market_Data_CL.xlsm]data!R287C9</stp>
        <tr r="I287" s="1"/>
      </tp>
      <tp t="s">
        <v>#N/A Requesting Data...</v>
        <stp/>
        <stp>##V3_BDHV12</stp>
        <stp>CL2 Comdty</stp>
        <stp>PX_LAST</stp>
        <stp>08/03/2016</stp>
        <stp>08/03/2016</stp>
        <stp>[Bbg_Market_Data_CL.xlsm]data!R274C9</stp>
        <tr r="I274" s="1"/>
      </tp>
      <tp>
        <v>37.9</v>
        <stp/>
        <stp>##V3_BDHV12</stp>
        <stp>CL1 Comdty</stp>
        <stp>PX_HIGH</stp>
        <stp>06/04/2016</stp>
        <stp>06/04/2016</stp>
        <stp>[Bbg_Market_Data_CL.xlsm]data!R254C6</stp>
        <tr r="F254" s="1"/>
        <tr r="F254" s="1"/>
      </tp>
      <tp>
        <v>38.479999999999997</v>
        <stp/>
        <stp>##V3_BDHV12</stp>
        <stp>CL1 Comdty</stp>
        <stp>PX_HIGH</stp>
        <stp>10/03/2016</stp>
        <stp>10/03/2016</stp>
        <stp>[Bbg_Market_Data_CL.xlsm]data!R272C6</stp>
        <tr r="F272" s="1"/>
        <tr r="F272" s="1"/>
      </tp>
      <tp t="s">
        <v>#N/A Requesting Data...</v>
        <stp/>
        <stp>##V3_BDHV12</stp>
        <stp>CL2 Comdty</stp>
        <stp>PX_LAST</stp>
        <stp>19/11/2015</stp>
        <stp>19/11/2015</stp>
        <stp>[Bbg_Market_Data_CL.xlsm]data!R346C9</stp>
        <tr r="I346" s="1"/>
      </tp>
      <tp t="s">
        <v>#N/A Requesting Data...</v>
        <stp/>
        <stp>##V3_BDHV12</stp>
        <stp>CL1 Comdty</stp>
        <stp>PX_LAST</stp>
        <stp>18/03/2016</stp>
        <stp>18/03/2016</stp>
        <stp>[Bbg_Market_Data_CL.xlsm]data!R266C9</stp>
        <tr r="I266" s="1"/>
      </tp>
      <tp>
        <v>43.52</v>
        <stp/>
        <stp>##V3_BDHV12</stp>
        <stp>CL1 Comdty</stp>
        <stp>PX_HIGH</stp>
        <stp>09/08/2016</stp>
        <stp>09/08/2016</stp>
        <stp>[Bbg_Market_Data_CL.xlsm]data!R168C6</stp>
        <tr r="F168" s="1"/>
        <tr r="F168" s="1"/>
      </tp>
      <tp>
        <v>43.33</v>
        <stp/>
        <stp>##V3_BDHV12</stp>
        <stp>CL1 Comdty</stp>
        <stp>PX_HIGH</stp>
        <stp>12/11/2015</stp>
        <stp>12/11/2015</stp>
        <stp>[Bbg_Market_Data_CL.xlsm]data!R351C6</stp>
        <tr r="F351" s="1"/>
        <tr r="F351" s="1"/>
      </tp>
      <tp>
        <v>56.88</v>
        <stp/>
        <stp>##V3_BDHV12</stp>
        <stp>CL1 Comdty</stp>
        <stp>PX_HIGH</stp>
        <stp>17/04/2015</stp>
        <stp>17/04/2015</stp>
        <stp>[Bbg_Market_Data_CL.xlsm]data!R495C6</stp>
        <tr r="F495" s="1"/>
        <tr r="F495" s="1"/>
      </tp>
      <tp t="s">
        <v>#N/A Requesting Data...</v>
        <stp/>
        <stp>##V3_BDHV12</stp>
        <stp>CL2 Comdty</stp>
        <stp>PX_LAST</stp>
        <stp>08/12/2015</stp>
        <stp>08/12/2015</stp>
        <stp>[Bbg_Market_Data_CL.xlsm]data!R334C9</stp>
        <tr r="I334" s="1"/>
      </tp>
      <tp t="s">
        <v>#N/A Requesting Data...</v>
        <stp/>
        <stp>##V3_BDHV12</stp>
        <stp>CL2 Comdty</stp>
        <stp>PX_LAST</stp>
        <stp>19/01/2016</stp>
        <stp>19/01/2016</stp>
        <stp>[Bbg_Market_Data_CL.xlsm]data!R307C9</stp>
        <tr r="I307" s="1"/>
      </tp>
      <tp>
        <v>49.6</v>
        <stp/>
        <stp>##V3_BDHV12</stp>
        <stp>CL1 Comdty</stp>
        <stp>PX_HIGH</stp>
        <stp>27/05/2016</stp>
        <stp>27/05/2016</stp>
        <stp>[Bbg_Market_Data_CL.xlsm]data!R217C6</stp>
        <tr r="F217" s="1"/>
        <tr r="F217" s="1"/>
      </tp>
      <tp>
        <v>37.54</v>
        <stp/>
        <stp>##V3_BDHV12</stp>
        <stp>CL1 Comdty</stp>
        <stp>PX_HIGH</stp>
        <stp>10/12/2015</stp>
        <stp>10/12/2015</stp>
        <stp>[Bbg_Market_Data_CL.xlsm]data!R332C6</stp>
        <tr r="F332" s="1"/>
        <tr r="F332" s="1"/>
      </tp>
      <tp>
        <v>47.35</v>
        <stp/>
        <stp>##V3_BDHV12</stp>
        <stp>CL1 Comdty</stp>
        <stp>PX_HIGH</stp>
        <stp>01/11/2016</stp>
        <stp>01/11/2016</stp>
        <stp>[Bbg_Market_Data_CL.xlsm]data!R110C6</stp>
        <tr r="F110" s="1"/>
        <tr r="F110" s="1"/>
      </tp>
      <tp t="s">
        <v>#N/A Requesting Data...</v>
        <stp/>
        <stp>##V3_BDHV12</stp>
        <stp>CL1 Comdty</stp>
        <stp>PX_LAST</stp>
        <stp>18/12/2015</stp>
        <stp>18/12/2015</stp>
        <stp>[Bbg_Market_Data_CL.xlsm]data!R326C9</stp>
        <tr r="I326" s="1"/>
      </tp>
      <tp t="s">
        <v>#N/A Requesting Data...</v>
        <stp/>
        <stp>##V3_BDHV12</stp>
        <stp>CL1 Comdty</stp>
        <stp>PX_LAST</stp>
        <stp>09/11/2016</stp>
        <stp>09/11/2016</stp>
        <stp>[Bbg_Market_Data_CL.xlsm]data!R104C9</stp>
        <tr r="I104" s="1"/>
      </tp>
      <tp>
        <v>44.94</v>
        <stp/>
        <stp>##V3_BDHV12</stp>
        <stp>CL1 Comdty</stp>
        <stp>PX_HIGH</stp>
        <stp>26/10/2015</stp>
        <stp>26/10/2015</stp>
        <stp>[Bbg_Market_Data_CL.xlsm]data!R363C6</stp>
        <tr r="F363" s="1"/>
        <tr r="F363" s="1"/>
      </tp>
      <tp>
        <v>59.9</v>
        <stp/>
        <stp>##V3_BDHV12</stp>
        <stp>CL1 Comdty</stp>
        <stp>PX_HIGH</stp>
        <stp>01/05/2015</stp>
        <stp>01/05/2015</stp>
        <stp>[Bbg_Market_Data_CL.xlsm]data!R485C6</stp>
        <tr r="F485" s="1"/>
        <tr r="F485" s="1"/>
      </tp>
      <tp>
        <v>47.02</v>
        <stp/>
        <stp>##V3_BDHV12</stp>
        <stp>CL1 Comdty</stp>
        <stp>PX_HIGH</stp>
        <stp>15/10/2015</stp>
        <stp>15/10/2015</stp>
        <stp>[Bbg_Market_Data_CL.xlsm]data!R370C6</stp>
        <tr r="F370" s="1"/>
        <tr r="F370" s="1"/>
      </tp>
      <tp>
        <v>50.1</v>
        <stp/>
        <stp>##V3_BDHV12</stp>
        <stp>CL1 Comdty</stp>
        <stp>PX_HIGH</stp>
        <stp>31/05/2016</stp>
        <stp>31/05/2016</stp>
        <stp>[Bbg_Market_Data_CL.xlsm]data!R216C6</stp>
        <tr r="F216" s="1"/>
        <tr r="F216" s="1"/>
      </tp>
      <tp t="s">
        <v>#N/A Requesting Data...</v>
        <stp/>
        <stp>##V3_BDHV12</stp>
        <stp>CL1 Comdty</stp>
        <stp>PX_LAST</stp>
        <stp>19/07/2016</stp>
        <stp>19/07/2016</stp>
        <stp>[Bbg_Market_Data_CL.xlsm]data!R182C9</stp>
        <tr r="I182" s="1"/>
      </tp>
      <tp>
        <v>32.74</v>
        <stp/>
        <stp>##V3_BDHV12</stp>
        <stp>CL1 Comdty</stp>
        <stp>PX_HIGH</stp>
        <stp>25/01/2016</stp>
        <stp>25/01/2016</stp>
        <stp>[Bbg_Market_Data_CL.xlsm]data!R303C6</stp>
        <tr r="F303" s="1"/>
        <tr r="F303" s="1"/>
      </tp>
      <tp>
        <v>53.17</v>
        <stp/>
        <stp>##V3_BDHV12</stp>
        <stp>CL1 Comdty</stp>
        <stp>PX_HIGH</stp>
        <stp>13/07/2015</stp>
        <stp>13/07/2015</stp>
        <stp>[Bbg_Market_Data_CL.xlsm]data!R436C6</stp>
        <tr r="F436" s="1"/>
        <tr r="F436" s="1"/>
      </tp>
      <tp>
        <v>45.35</v>
        <stp/>
        <stp>##V3_BDHV12</stp>
        <stp>CL1 Comdty</stp>
        <stp>PX_HIGH</stp>
        <stp>03/05/2016</stp>
        <stp>03/05/2016</stp>
        <stp>[Bbg_Market_Data_CL.xlsm]data!R235C6</stp>
        <tr r="F235" s="1"/>
        <tr r="F235" s="1"/>
      </tp>
      <tp t="s">
        <v>#N/A Requesting Data...</v>
        <stp/>
        <stp>##V3_BDHV12</stp>
        <stp>CL2 Comdty</stp>
        <stp>PX_LAST</stp>
        <stp>19/05/2015</stp>
        <stp>19/05/2015</stp>
        <stp>[Bbg_Market_Data_CL.xlsm]data!R473C9</stp>
        <tr r="I473" s="1"/>
      </tp>
      <tp>
        <v>61.53</v>
        <stp/>
        <stp>##V3_BDHV12</stp>
        <stp>CL1 Comdty</stp>
        <stp>PX_HIGH</stp>
        <stp>11/06/2015</stp>
        <stp>11/06/2015</stp>
        <stp>[Bbg_Market_Data_CL.xlsm]data!R457C6</stp>
        <tr r="F457" s="1"/>
        <tr r="F457" s="1"/>
      </tp>
      <tp>
        <v>50.06</v>
        <stp/>
        <stp>##V3_BDHV12</stp>
        <stp>CL1 Comdty</stp>
        <stp>PX_HIGH</stp>
        <stp>27/10/2016</stp>
        <stp>27/10/2016</stp>
        <stp>[Bbg_Market_Data_CL.xlsm]data!R113C6</stp>
        <tr r="F113" s="1"/>
        <tr r="F113" s="1"/>
      </tp>
      <tp>
        <v>43.25</v>
        <stp/>
        <stp>##V3_BDHV12</stp>
        <stp>CL1 Comdty</stp>
        <stp>PX_HIGH</stp>
        <stp>25/11/2015</stp>
        <stp>25/11/2015</stp>
        <stp>[Bbg_Market_Data_CL.xlsm]data!R342C6</stp>
        <tr r="F342" s="1"/>
        <tr r="F342" s="1"/>
      </tp>
      <tp>
        <v>46.09</v>
        <stp/>
        <stp>##V3_BDHV12</stp>
        <stp>CL1 Comdty</stp>
        <stp>PX_HIGH</stp>
        <stp>15/11/2016</stp>
        <stp>15/11/2016</stp>
        <stp>[Bbg_Market_Data_CL.xlsm]data!R101C6</stp>
        <tr r="F101" s="1"/>
        <tr r="F101" s="1"/>
      </tp>
      <tp>
        <v>46.71</v>
        <stp/>
        <stp>##V3_BDHV12</stp>
        <stp>CL1 Comdty</stp>
        <stp>PX_HIGH</stp>
        <stp>13/07/2016</stp>
        <stp>13/07/2016</stp>
        <stp>[Bbg_Market_Data_CL.xlsm]data!R186C6</stp>
        <tr r="F186" s="1"/>
        <tr r="F186" s="1"/>
      </tp>
      <tp t="s">
        <v>#N/A Requesting Data...</v>
        <stp/>
        <stp>##V3_BDHV12</stp>
        <stp>CL2 Comdty</stp>
        <stp>PX_LAST</stp>
        <stp>19/05/2016</stp>
        <stp>19/05/2016</stp>
        <stp>[Bbg_Market_Data_CL.xlsm]data!R223C9</stp>
        <tr r="I223" s="1"/>
      </tp>
      <tp>
        <v>49.28</v>
        <stp/>
        <stp>##V3_BDHV12</stp>
        <stp>CL1 Comdty</stp>
        <stp>PX_HIGH</stp>
        <stp>13/06/2016</stp>
        <stp>13/06/2016</stp>
        <stp>[Bbg_Market_Data_CL.xlsm]data!R207C6</stp>
        <tr r="F207" s="1"/>
        <tr r="F207" s="1"/>
      </tp>
      <tp t="s">
        <v>#N/A Requesting Data...</v>
        <stp/>
        <stp>##V3_BDHV12</stp>
        <stp>CL1 Comdty</stp>
        <stp>PX_LAST</stp>
        <stp>09/05/2016</stp>
        <stp>09/05/2016</stp>
        <stp>[Bbg_Market_Data_CL.xlsm]data!R231C9</stp>
        <tr r="I231" s="1"/>
      </tp>
      <tp>
        <v>45.44</v>
        <stp/>
        <stp>##V3_BDHV12</stp>
        <stp>CL1 Comdty</stp>
        <stp>PX_OPEN</stp>
        <stp>23/10/2015</stp>
        <stp>23/10/2015</stp>
        <stp>[Bbg_Market_Data_CL.xlsm]data!R364C5</stp>
        <tr r="E364" s="1"/>
        <tr r="E364" s="1"/>
      </tp>
      <tp>
        <v>48.08</v>
        <stp/>
        <stp>##V3_BDHV12</stp>
        <stp>CL1 Comdty</stp>
        <stp>PX_OPEN</stp>
        <stp>24/05/2016</stp>
        <stp>24/05/2016</stp>
        <stp>[Bbg_Market_Data_CL.xlsm]data!R220C5</stp>
        <tr r="E220" s="1"/>
        <tr r="E220" s="1"/>
      </tp>
      <tp>
        <v>43.75</v>
        <stp/>
        <stp>##V3_BDHV12</stp>
        <stp>CL1 Comdty</stp>
        <stp>PX_OPEN</stp>
        <stp>25/04/2016</stp>
        <stp>25/04/2016</stp>
        <stp>[Bbg_Market_Data_CL.xlsm]data!R241C5</stp>
        <tr r="E241" s="1"/>
        <tr r="E241" s="1"/>
      </tp>
      <tp>
        <v>44.52</v>
        <stp/>
        <stp>##V3_BDHV12</stp>
        <stp>CL1 Comdty</stp>
        <stp>PX_OPEN</stp>
        <stp>06/05/2016</stp>
        <stp>06/05/2016</stp>
        <stp>[Bbg_Market_Data_CL.xlsm]data!R232C5</stp>
        <tr r="E232" s="1"/>
        <tr r="E232" s="1"/>
      </tp>
      <tp>
        <v>37.76</v>
        <stp/>
        <stp>##V3_BDHV12</stp>
        <stp>CL1 Comdty</stp>
        <stp>PX_OPEN</stp>
        <stp>07/04/2016</stp>
        <stp>07/04/2016</stp>
        <stp>[Bbg_Market_Data_CL.xlsm]data!R253C5</stp>
        <tr r="E253" s="1"/>
        <tr r="E253" s="1"/>
      </tp>
      <tp>
        <v>52.75</v>
        <stp/>
        <stp>##V3_BDHV12</stp>
        <stp>CL1 Comdty</stp>
        <stp>PX_OPEN</stp>
        <stp>07/07/2015</stp>
        <stp>07/07/2015</stp>
        <stp>[Bbg_Market_Data_CL.xlsm]data!R440C5</stp>
        <tr r="E440" s="1"/>
        <tr r="E440" s="1"/>
      </tp>
      <tp>
        <v>47.88</v>
        <stp/>
        <stp>##V3_BDHV12</stp>
        <stp>CL1 Comdty</stp>
        <stp>PX_OPEN</stp>
        <stp>07/07/2016</stp>
        <stp>07/07/2016</stp>
        <stp>[Bbg_Market_Data_CL.xlsm]data!R190C5</stp>
        <tr r="E190" s="1"/>
        <tr r="E190" s="1"/>
      </tp>
      <tp>
        <v>57.99</v>
        <stp/>
        <stp>##V3_BDHV12</stp>
        <stp>CL1 Comdty</stp>
        <stp>PX_OPEN</stp>
        <stp>05/06/2015</stp>
        <stp>05/06/2015</stp>
        <stp>[Bbg_Market_Data_CL.xlsm]data!R461C5</stp>
        <tr r="E461" s="1"/>
        <tr r="E461" s="1"/>
      </tp>
      <tp>
        <v>40.54</v>
        <stp/>
        <stp>##V3_BDHV12</stp>
        <stp>CL1 Comdty</stp>
        <stp>PX_OPEN</stp>
        <stp>20/11/2015</stp>
        <stp>20/11/2015</stp>
        <stp>[Bbg_Market_Data_CL.xlsm]data!R345C5</stp>
        <tr r="E345" s="1"/>
        <tr r="E345" s="1"/>
      </tp>
      <tp>
        <v>60.72</v>
        <stp/>
        <stp>##V3_BDHV12</stp>
        <stp>CL1 Comdty</stp>
        <stp>PX_OPEN</stp>
        <stp>06/05/2015</stp>
        <stp>06/05/2015</stp>
        <stp>[Bbg_Market_Data_CL.xlsm]data!R482C5</stp>
        <tr r="E482" s="1"/>
        <tr r="E482" s="1"/>
      </tp>
      <tp>
        <v>49.71</v>
        <stp/>
        <stp>##V3_BDHV12</stp>
        <stp>CL1 Comdty</stp>
        <stp>PX_OPEN</stp>
        <stp>07/06/2016</stp>
        <stp>07/06/2016</stp>
        <stp>[Bbg_Market_Data_CL.xlsm]data!R211C5</stp>
        <tr r="E211" s="1"/>
        <tr r="E211" s="1"/>
      </tp>
      <tp>
        <v>46.11</v>
        <stp/>
        <stp>##V3_BDHV12</stp>
        <stp>CL1 Comdty</stp>
        <stp>PX_OPEN</stp>
        <stp>03/11/2015</stp>
        <stp>03/11/2015</stp>
        <stp>[Bbg_Market_Data_CL.xlsm]data!R357C5</stp>
        <tr r="E357" s="1"/>
        <tr r="E357" s="1"/>
      </tp>
      <tp>
        <v>29.84</v>
        <stp/>
        <stp>##V3_BDHV12</stp>
        <stp>CL1 Comdty</stp>
        <stp>PX_OPEN</stp>
        <stp>22/01/2016</stp>
        <stp>22/01/2016</stp>
        <stp>[Bbg_Market_Data_CL.xlsm]data!R304C5</stp>
        <tr r="E304" s="1"/>
        <tr r="E304" s="1"/>
      </tp>
      <tp>
        <v>32.71</v>
        <stp/>
        <stp>##V3_BDHV12</stp>
        <stp>CL1 Comdty</stp>
        <stp>PX_OPEN</stp>
        <stp>04/02/2016</stp>
        <stp>04/02/2016</stp>
        <stp>[Bbg_Market_Data_CL.xlsm]data!R295C5</stp>
        <tr r="E295" s="1"/>
        <tr r="E295" s="1"/>
      </tp>
      <tp>
        <v>56.28</v>
        <stp/>
        <stp>##V3_BDHV12</stp>
        <stp>CL1 Comdty</stp>
        <stp>PX_OPEN</stp>
        <stp>23/04/2015</stp>
        <stp>23/04/2015</stp>
        <stp>[Bbg_Market_Data_CL.xlsm]data!R491C5</stp>
        <tr r="E491" s="1"/>
        <tr r="E491" s="1"/>
      </tp>
      <tp>
        <v>60.66</v>
        <stp/>
        <stp>##V3_BDHV12</stp>
        <stp>CL1 Comdty</stp>
        <stp>PX_OPEN</stp>
        <stp>22/05/2015</stp>
        <stp>22/05/2015</stp>
        <stp>[Bbg_Market_Data_CL.xlsm]data!R470C5</stp>
        <tr r="E470" s="1"/>
        <tr r="E470" s="1"/>
      </tp>
      <tp>
        <v>50.59</v>
        <stp/>
        <stp>##V3_BDHV12</stp>
        <stp>CL1 Comdty</stp>
        <stp>PX_OPEN</stp>
        <stp>07/10/2016</stp>
        <stp>07/10/2016</stp>
        <stp>[Bbg_Market_Data_CL.xlsm]data!R126C5</stp>
        <tr r="E126" s="1"/>
        <tr r="E126" s="1"/>
      </tp>
      <tp>
        <v>48.83</v>
        <stp/>
        <stp>##V3_BDHV12</stp>
        <stp>CL1 Comdty</stp>
        <stp>PX_OPEN</stp>
        <stp>30/07/2015</stp>
        <stp>30/07/2015</stp>
        <stp>[Bbg_Market_Data_CL.xlsm]data!R423C5</stp>
        <tr r="E423" s="1"/>
        <tr r="E423" s="1"/>
      </tp>
      <tp>
        <v>36.9</v>
        <stp/>
        <stp>##V3_BDHV12</stp>
        <stp>CL1 Comdty</stp>
        <stp>PX_OPEN</stp>
        <stp>05/01/2016</stp>
        <stp>05/01/2016</stp>
        <stp>[Bbg_Market_Data_CL.xlsm]data!R316C5</stp>
        <tr r="E316" s="1"/>
        <tr r="E316" s="1"/>
      </tp>
      <tp>
        <v>49.31</v>
        <stp/>
        <stp>##V3_BDHV12</stp>
        <stp>CL1 Comdty</stp>
        <stp>PX_OPEN</stp>
        <stp>26/10/2016</stp>
        <stp>26/10/2016</stp>
        <stp>[Bbg_Market_Data_CL.xlsm]data!R114C5</stp>
        <tr r="E114" s="1"/>
        <tr r="E114" s="1"/>
      </tp>
      <tp>
        <v>46.2</v>
        <stp/>
        <stp>##V3_BDHV12</stp>
        <stp>CL1 Comdty</stp>
        <stp>PX_OPEN</stp>
        <stp>06/10/2015</stp>
        <stp>06/10/2015</stp>
        <stp>[Bbg_Market_Data_CL.xlsm]data!R376C5</stp>
        <tr r="E376" s="1"/>
        <tr r="E376" s="1"/>
      </tp>
      <tp>
        <v>44.63</v>
        <stp/>
        <stp>##V3_BDHV12</stp>
        <stp>CL1 Comdty</stp>
        <stp>PX_OPEN</stp>
        <stp>04/11/2016</stp>
        <stp>04/11/2016</stp>
        <stp>[Bbg_Market_Data_CL.xlsm]data!R107C5</stp>
        <tr r="E107" s="1"/>
        <tr r="E107" s="1"/>
      </tp>
      <tp>
        <v>40.72</v>
        <stp/>
        <stp>##V3_BDHV12</stp>
        <stp>CL1 Comdty</stp>
        <stp>PX_OPEN</stp>
        <stp>19/11/2015</stp>
        <stp>19/11/2015</stp>
        <stp>[Bbg_Market_Data_CL.xlsm]data!R346C5</stp>
        <tr r="E346" s="1"/>
        <tr r="E346" s="1"/>
      </tp>
      <tp>
        <v>37.94</v>
        <stp/>
        <stp>##V3_BDHV12</stp>
        <stp>CL1 Comdty</stp>
        <stp>PX_OPEN</stp>
        <stp>08/03/2016</stp>
        <stp>08/03/2016</stp>
        <stp>[Bbg_Market_Data_CL.xlsm]data!R274C5</stp>
        <tr r="E274" s="1"/>
        <tr r="E274" s="1"/>
      </tp>
      <tp>
        <v>29.2</v>
        <stp/>
        <stp>##V3_BDHV12</stp>
        <stp>CL1 Comdty</stp>
        <stp>PX_OPEN</stp>
        <stp>19/01/2016</stp>
        <stp>19/01/2016</stp>
        <stp>[Bbg_Market_Data_CL.xlsm]data!R307C5</stp>
        <tr r="E307" s="1"/>
        <tr r="E307" s="1"/>
      </tp>
      <tp>
        <v>37.68</v>
        <stp/>
        <stp>##V3_BDHV12</stp>
        <stp>CL1 Comdty</stp>
        <stp>PX_OPEN</stp>
        <stp>08/12/2015</stp>
        <stp>08/12/2015</stp>
        <stp>[Bbg_Market_Data_CL.xlsm]data!R334C5</stp>
        <tr r="E334" s="1"/>
        <tr r="E334" s="1"/>
      </tp>
      <tp>
        <v>59.54</v>
        <stp/>
        <stp>##V3_BDHV12</stp>
        <stp>CL1 Comdty</stp>
        <stp>PX_OPEN</stp>
        <stp>19/05/2015</stp>
        <stp>19/05/2015</stp>
        <stp>[Bbg_Market_Data_CL.xlsm]data!R473C5</stp>
        <tr r="E473" s="1"/>
        <tr r="E473" s="1"/>
      </tp>
      <tp>
        <v>47.87</v>
        <stp/>
        <stp>##V3_BDHV12</stp>
        <stp>CL1 Comdty</stp>
        <stp>PX_OPEN</stp>
        <stp>19/05/2016</stp>
        <stp>19/05/2016</stp>
        <stp>[Bbg_Market_Data_CL.xlsm]data!R223C5</stp>
        <tr r="E223" s="1"/>
        <tr r="E223" s="1"/>
      </tp>
      <tp t="s">
        <v>#N/A Requesting Data...</v>
        <stp/>
        <stp>##V3_BDHV12</stp>
        <stp>CL1 Comdty</stp>
        <stp>RSI_14D</stp>
        <stp>11/08/2016</stp>
        <stp>11/08/2016</stp>
        <stp>[Bbg_Market_Data_CL.xlsm]data!R166C13</stp>
        <tr r="M166" s="1"/>
      </tp>
      <tp t="s">
        <v>#N/A Requesting Data...</v>
        <stp/>
        <stp>##V3_BDHV12</stp>
        <stp>CL2 Comdty</stp>
        <stp>RSI_14D</stp>
        <stp>11/08/2016</stp>
        <stp>11/08/2016</stp>
        <stp>[Bbg_Market_Data_CL.xlsm]data!R166C13</stp>
        <tr r="M166" s="1"/>
      </tp>
      <tp t="s">
        <v>#N/A Requesting Data...</v>
        <stp/>
        <stp>##V3_BDHV12</stp>
        <stp>CL2 Comdty</stp>
        <stp>RSI_14D</stp>
        <stp>01/09/2016</stp>
        <stp>01/09/2016</stp>
        <stp>[Bbg_Market_Data_CL.xlsm]data!R151C13</stp>
        <tr r="M151" s="1"/>
      </tp>
      <tp t="s">
        <v>#N/A Requesting Data...</v>
        <stp/>
        <stp>##V3_BDHV12</stp>
        <stp>CL1 Comdty</stp>
        <stp>RSI_14D</stp>
        <stp>01/09/2016</stp>
        <stp>01/09/2016</stp>
        <stp>[Bbg_Market_Data_CL.xlsm]data!R151C13</stp>
        <tr r="M151" s="1"/>
      </tp>
      <tp t="s">
        <v>#N/A Requesting Data...</v>
        <stp/>
        <stp>##V3_BDHV12</stp>
        <stp>CL1 Comdty</stp>
        <stp>RSI_30D</stp>
        <stp>10/08/2015</stp>
        <stp>10/08/2015</stp>
        <stp>[Bbg_Market_Data_CL.xlsm]data!R416C14</stp>
        <tr r="N416" s="1"/>
      </tp>
      <tp t="s">
        <v>#N/A Requesting Data...</v>
        <stp/>
        <stp>##V3_BDHV12</stp>
        <stp>CL2 Comdty</stp>
        <stp>RSI_30D</stp>
        <stp>10/08/2015</stp>
        <stp>10/08/2015</stp>
        <stp>[Bbg_Market_Data_CL.xlsm]data!R416C14</stp>
        <tr r="N416" s="1"/>
      </tp>
      <tp t="s">
        <v>#N/A Requesting Data...</v>
        <stp/>
        <stp>##V3_BDHV12</stp>
        <stp>CL1 Comdty</stp>
        <stp>RSI_14D</stp>
        <stp>22/08/2016</stp>
        <stp>22/08/2016</stp>
        <stp>[Bbg_Market_Data_CL.xlsm]data!R159C13</stp>
        <tr r="M159" s="1"/>
      </tp>
      <tp t="s">
        <v>#N/A Requesting Data...</v>
        <stp/>
        <stp>##V3_BDHV12</stp>
        <stp>CL2 Comdty</stp>
        <stp>RSI_14D</stp>
        <stp>22/08/2016</stp>
        <stp>22/08/2016</stp>
        <stp>[Bbg_Market_Data_CL.xlsm]data!R159C13</stp>
        <tr r="M159" s="1"/>
      </tp>
      <tp t="s">
        <v>#N/A Requesting Data...</v>
        <stp/>
        <stp>##V3_BDHV12</stp>
        <stp>CL2 Comdty</stp>
        <stp>RSI_14D</stp>
        <stp>02/09/2015</stp>
        <stp>02/09/2015</stp>
        <stp>[Bbg_Market_Data_CL.xlsm]data!R399C13</stp>
        <tr r="M399" s="1"/>
      </tp>
      <tp t="s">
        <v>#N/A Requesting Data...</v>
        <stp/>
        <stp>##V3_BDHV12</stp>
        <stp>CL1 Comdty</stp>
        <stp>RSI_14D</stp>
        <stp>02/09/2015</stp>
        <stp>02/09/2015</stp>
        <stp>[Bbg_Market_Data_CL.xlsm]data!R399C13</stp>
        <tr r="M399" s="1"/>
      </tp>
      <tp t="s">
        <v>#N/A Requesting Data...</v>
        <stp/>
        <stp>##V3_BDHV12</stp>
        <stp>CL2 Comdty</stp>
        <stp>RSI_14D</stp>
        <stp>23/09/2016</stp>
        <stp>23/09/2016</stp>
        <stp>[Bbg_Market_Data_CL.xlsm]data!R136C13</stp>
        <tr r="M136" s="1"/>
      </tp>
      <tp t="s">
        <v>#N/A Requesting Data...</v>
        <stp/>
        <stp>##V3_BDHV12</stp>
        <stp>CL1 Comdty</stp>
        <stp>RSI_14D</stp>
        <stp>23/09/2016</stp>
        <stp>23/09/2016</stp>
        <stp>[Bbg_Market_Data_CL.xlsm]data!R136C13</stp>
        <tr r="M136" s="1"/>
      </tp>
      <tp t="s">
        <v>#N/A Requesting Data...</v>
        <stp/>
        <stp>##V3_BDHV12</stp>
        <stp>CL1 Comdty</stp>
        <stp>RSI_30D</stp>
        <stp>11/09/2015</stp>
        <stp>11/09/2015</stp>
        <stp>[Bbg_Market_Data_CL.xlsm]data!R393C14</stp>
        <tr r="N393" s="1"/>
      </tp>
      <tp t="s">
        <v>#N/A Requesting Data...</v>
        <stp/>
        <stp>##V3_BDHV12</stp>
        <stp>CL2 Comdty</stp>
        <stp>RSI_30D</stp>
        <stp>11/09/2015</stp>
        <stp>11/09/2015</stp>
        <stp>[Bbg_Market_Data_CL.xlsm]data!R393C14</stp>
        <tr r="N393" s="1"/>
      </tp>
      <tp t="s">
        <v>#N/A Requesting Data...</v>
        <stp/>
        <stp>##V3_BDHV12</stp>
        <stp>CL1 Comdty</stp>
        <stp>RSI_30D</stp>
        <stp>30/09/2016</stp>
        <stp>30/09/2016</stp>
        <stp>[Bbg_Market_Data_CL.xlsm]data!R131C14</stp>
        <tr r="N131" s="1"/>
      </tp>
      <tp t="s">
        <v>#N/A Requesting Data...</v>
        <stp/>
        <stp>##V3_BDHV12</stp>
        <stp>CL2 Comdty</stp>
        <stp>RSI_30D</stp>
        <stp>30/09/2016</stp>
        <stp>30/09/2016</stp>
        <stp>[Bbg_Market_Data_CL.xlsm]data!R131C14</stp>
        <tr r="N131" s="1"/>
      </tp>
      <tp t="s">
        <v>#N/A Requesting Data...</v>
        <stp/>
        <stp>##V3_BDHV12</stp>
        <stp>CL2 Comdty</stp>
        <stp>RSI_14D</stp>
        <stp>12/08/2015</stp>
        <stp>12/08/2015</stp>
        <stp>[Bbg_Market_Data_CL.xlsm]data!R414C13</stp>
        <tr r="M414" s="1"/>
      </tp>
      <tp t="s">
        <v>#N/A Requesting Data...</v>
        <stp/>
        <stp>##V3_BDHV12</stp>
        <stp>CL1 Comdty</stp>
        <stp>RSI_14D</stp>
        <stp>12/08/2015</stp>
        <stp>12/08/2015</stp>
        <stp>[Bbg_Market_Data_CL.xlsm]data!R414C13</stp>
        <tr r="M414" s="1"/>
      </tp>
      <tp t="s">
        <v>#N/A Requesting Data...</v>
        <stp/>
        <stp>##V3_BDHV12</stp>
        <stp>CL1 Comdty</stp>
        <stp>RSI_30D</stp>
        <stp>21/09/2016</stp>
        <stp>21/09/2016</stp>
        <stp>[Bbg_Market_Data_CL.xlsm]data!R138C14</stp>
        <tr r="N138" s="1"/>
      </tp>
      <tp t="s">
        <v>#N/A Requesting Data...</v>
        <stp/>
        <stp>##V3_BDHV12</stp>
        <stp>CL2 Comdty</stp>
        <stp>RSI_30D</stp>
        <stp>21/09/2016</stp>
        <stp>21/09/2016</stp>
        <stp>[Bbg_Market_Data_CL.xlsm]data!R138C14</stp>
        <tr r="N138" s="1"/>
      </tp>
      <tp t="s">
        <v>#N/A Requesting Data...</v>
        <stp/>
        <stp>##V3_BDHV12</stp>
        <stp>CL2 Comdty</stp>
        <stp>RSI_14D</stp>
        <stp>03/08/2015</stp>
        <stp>03/08/2015</stp>
        <stp>[Bbg_Market_Data_CL.xlsm]data!R421C13</stp>
        <tr r="M421" s="1"/>
      </tp>
      <tp t="s">
        <v>#N/A Requesting Data...</v>
        <stp/>
        <stp>##V3_BDHV12</stp>
        <stp>CL2 Comdty</stp>
        <stp>RSI_30D</stp>
        <stp>31/08/2016</stp>
        <stp>31/08/2016</stp>
        <stp>[Bbg_Market_Data_CL.xlsm]data!R152C14</stp>
        <tr r="N152" s="1"/>
      </tp>
      <tp t="s">
        <v>#N/A Requesting Data...</v>
        <stp/>
        <stp>##V3_BDHV12</stp>
        <stp>CL1 Comdty</stp>
        <stp>RSI_14D</stp>
        <stp>03/08/2015</stp>
        <stp>03/08/2015</stp>
        <stp>[Bbg_Market_Data_CL.xlsm]data!R421C13</stp>
        <tr r="M421" s="1"/>
      </tp>
      <tp t="s">
        <v>#N/A Requesting Data...</v>
        <stp/>
        <stp>##V3_BDHV12</stp>
        <stp>CL1 Comdty</stp>
        <stp>RSI_30D</stp>
        <stp>31/08/2016</stp>
        <stp>31/08/2016</stp>
        <stp>[Bbg_Market_Data_CL.xlsm]data!R152C14</stp>
        <tr r="N152" s="1"/>
      </tp>
      <tp t="s">
        <v>#N/A Requesting Data...</v>
        <stp/>
        <stp>##V3_BDHV12</stp>
        <stp>CL2 Comdty</stp>
        <stp>RSI_30D</stp>
        <stp>12/09/2016</stp>
        <stp>12/09/2016</stp>
        <stp>[Bbg_Market_Data_CL.xlsm]data!R145C14</stp>
        <tr r="N145" s="1"/>
      </tp>
      <tp t="s">
        <v>#N/A Requesting Data...</v>
        <stp/>
        <stp>##V3_BDHV12</stp>
        <stp>CL1 Comdty</stp>
        <stp>RSI_30D</stp>
        <stp>12/09/2016</stp>
        <stp>12/09/2016</stp>
        <stp>[Bbg_Market_Data_CL.xlsm]data!R145C14</stp>
        <tr r="N145" s="1"/>
      </tp>
      <tp t="s">
        <v>#N/A Requesting Data...</v>
        <stp/>
        <stp>##V3_BDHV12</stp>
        <stp>CL1 Comdty</stp>
        <stp>RSI_30D</stp>
        <stp>02/08/2016</stp>
        <stp>02/08/2016</stp>
        <stp>[Bbg_Market_Data_CL.xlsm]data!R172C14</stp>
        <tr r="N172" s="1"/>
      </tp>
      <tp t="s">
        <v>#N/A Requesting Data...</v>
        <stp/>
        <stp>##V3_BDHV12</stp>
        <stp>CL2 Comdty</stp>
        <stp>RSI_30D</stp>
        <stp>02/08/2016</stp>
        <stp>02/08/2016</stp>
        <stp>[Bbg_Market_Data_CL.xlsm]data!R172C14</stp>
        <tr r="N172" s="1"/>
      </tp>
      <tp t="s">
        <v>#N/A Requesting Data...</v>
        <stp/>
        <stp>##V3_BDHV12</stp>
        <stp>CL2 Comdty</stp>
        <stp>RSI_30D</stp>
        <stp>22/09/2015</stp>
        <stp>22/09/2015</stp>
        <stp>[Bbg_Market_Data_CL.xlsm]data!R386C14</stp>
        <tr r="N386" s="1"/>
      </tp>
      <tp t="s">
        <v>#N/A Requesting Data...</v>
        <stp/>
        <stp>##V3_BDHV12</stp>
        <stp>CL1 Comdty</stp>
        <stp>RSI_30D</stp>
        <stp>22/09/2015</stp>
        <stp>22/09/2015</stp>
        <stp>[Bbg_Market_Data_CL.xlsm]data!R386C14</stp>
        <tr r="N386" s="1"/>
      </tp>
      <tp t="s">
        <v>#N/A Requesting Data...</v>
        <stp/>
        <stp>##V3_BDHV12</stp>
        <stp>CL2 Comdty</stp>
        <stp>RSI_14D</stp>
        <stp>21/08/2015</stp>
        <stp>21/08/2015</stp>
        <stp>[Bbg_Market_Data_CL.xlsm]data!R407C13</stp>
        <tr r="M407" s="1"/>
      </tp>
      <tp t="s">
        <v>#N/A Requesting Data...</v>
        <stp/>
        <stp>##V3_BDHV12</stp>
        <stp>CL1 Comdty</stp>
        <stp>RSI_14D</stp>
        <stp>21/08/2015</stp>
        <stp>21/08/2015</stp>
        <stp>[Bbg_Market_Data_CL.xlsm]data!R407C13</stp>
        <tr r="M407" s="1"/>
      </tp>
      <tp t="s">
        <v>#N/A Requesting Data...</v>
        <stp/>
        <stp>##V3_BDHV12</stp>
        <stp>CL1 Comdty</stp>
        <stp>RSI_14D</stp>
        <stp>29/10/2015</stp>
        <stp>29/10/2015</stp>
        <stp>[Bbg_Market_Data_CL.xlsm]data!R360C13</stp>
        <tr r="M360" s="1"/>
      </tp>
      <tp t="s">
        <v>#N/A Requesting Data...</v>
        <stp/>
        <stp>##V3_BDHV12</stp>
        <stp>CL2 Comdty</stp>
        <stp>RSI_14D</stp>
        <stp>29/10/2015</stp>
        <stp>29/10/2015</stp>
        <stp>[Bbg_Market_Data_CL.xlsm]data!R360C13</stp>
        <tr r="M360" s="1"/>
      </tp>
      <tp t="s">
        <v>#N/A Requesting Data...</v>
        <stp/>
        <stp>##V3_BDHV12</stp>
        <stp>CL2 Comdty</stp>
        <stp>RSI_14D</stp>
        <stp>09/12/2015</stp>
        <stp>09/12/2015</stp>
        <stp>[Bbg_Market_Data_CL.xlsm]data!R333C13</stp>
        <tr r="M333" s="1"/>
      </tp>
      <tp t="s">
        <v>#N/A Requesting Data...</v>
        <stp/>
        <stp>##V3_BDHV12</stp>
        <stp>CL1 Comdty</stp>
        <stp>RSI_14D</stp>
        <stp>09/12/2015</stp>
        <stp>09/12/2015</stp>
        <stp>[Bbg_Market_Data_CL.xlsm]data!R333C13</stp>
        <tr r="M333" s="1"/>
      </tp>
      <tp t="s">
        <v>#N/A Requesting Data...</v>
        <stp/>
        <stp>##V3_BDHV12</stp>
        <stp>CL2 Comdty</stp>
        <stp>RSI_14D</stp>
        <stp>18/12/2015</stp>
        <stp>18/12/2015</stp>
        <stp>[Bbg_Market_Data_CL.xlsm]data!R326C13</stp>
        <tr r="M326" s="1"/>
      </tp>
      <tp t="s">
        <v>#N/A Requesting Data...</v>
        <stp/>
        <stp>##V3_BDHV12</stp>
        <stp>CL1 Comdty</stp>
        <stp>RSI_14D</stp>
        <stp>18/12/2015</stp>
        <stp>18/12/2015</stp>
        <stp>[Bbg_Market_Data_CL.xlsm]data!R326C13</stp>
        <tr r="M326" s="1"/>
      </tp>
      <tp t="s">
        <v>#N/A Requesting Data...</v>
        <stp/>
        <stp>##V3_BDHV12</stp>
        <stp>CL2 Comdty</stp>
        <stp>RSI_14D</stp>
        <stp>09/11/2016</stp>
        <stp>09/11/2016</stp>
        <stp>[Bbg_Market_Data_CL.xlsm]data!R104C13</stp>
        <tr r="M104" s="1"/>
      </tp>
      <tp t="s">
        <v>#N/A Requesting Data...</v>
        <stp/>
        <stp>##V3_BDHV12</stp>
        <stp>CL1 Comdty</stp>
        <stp>RSI_14D</stp>
        <stp>09/11/2016</stp>
        <stp>09/11/2016</stp>
        <stp>[Bbg_Market_Data_CL.xlsm]data!R104C13</stp>
        <tr r="M104" s="1"/>
      </tp>
      <tp t="s">
        <v>#N/A Requesting Data...</v>
        <stp/>
        <stp>##V3_BDHV12</stp>
        <stp>CL2 Comdty</stp>
        <stp>RSI_14D</stp>
        <stp>19/10/2016</stp>
        <stp>19/10/2016</stp>
        <stp>[Bbg_Market_Data_CL.xlsm]data!R119C13</stp>
        <tr r="M119" s="1"/>
      </tp>
      <tp t="s">
        <v>#N/A Requesting Data...</v>
        <stp/>
        <stp>##V3_BDHV12</stp>
        <stp>CL1 Comdty</stp>
        <stp>RSI_14D</stp>
        <stp>19/10/2016</stp>
        <stp>19/10/2016</stp>
        <stp>[Bbg_Market_Data_CL.xlsm]data!R119C13</stp>
        <tr r="M119" s="1"/>
      </tp>
      <tp t="s">
        <v>#N/A Requesting Data...</v>
        <stp/>
        <stp>##V3_BDHV12</stp>
        <stp>CL2 Comdty</stp>
        <stp>RSI_14D</stp>
        <stp>29/03/2016</stp>
        <stp>29/03/2016</stp>
        <stp>[Bbg_Market_Data_CL.xlsm]data!R260C13</stp>
        <tr r="M260" s="1"/>
      </tp>
      <tp t="s">
        <v>#N/A Requesting Data...</v>
        <stp/>
        <stp>##V3_BDHV12</stp>
        <stp>CL1 Comdty</stp>
        <stp>RSI_14D</stp>
        <stp>29/03/2016</stp>
        <stp>29/03/2016</stp>
        <stp>[Bbg_Market_Data_CL.xlsm]data!R260C13</stp>
        <tr r="M260" s="1"/>
      </tp>
      <tp t="s">
        <v>#N/A Requesting Data...</v>
        <stp/>
        <stp>##V3_BDHV12</stp>
        <stp>CL2 Comdty</stp>
        <stp>RSI_30D</stp>
        <stp>28/10/2016</stp>
        <stp>28/10/2016</stp>
        <stp>[Bbg_Market_Data_CL.xlsm]data!R112C14</stp>
        <tr r="N112" s="1"/>
      </tp>
      <tp t="s">
        <v>#N/A Requesting Data...</v>
        <stp/>
        <stp>##V3_BDHV12</stp>
        <stp>CL1 Comdty</stp>
        <stp>RSI_30D</stp>
        <stp>28/10/2016</stp>
        <stp>28/10/2016</stp>
        <stp>[Bbg_Market_Data_CL.xlsm]data!R112C14</stp>
        <tr r="N112" s="1"/>
      </tp>
      <tp t="s">
        <v>#N/A Requesting Data...</v>
        <stp/>
        <stp>##V3_BDHV12</stp>
        <stp>CL2 Comdty</stp>
        <stp>RSI_30D</stp>
        <stp>29/12/2015</stp>
        <stp>29/12/2015</stp>
        <stp>[Bbg_Market_Data_CL.xlsm]data!R320C14</stp>
        <tr r="N320" s="1"/>
      </tp>
      <tp t="s">
        <v>#N/A Requesting Data...</v>
        <stp/>
        <stp>##V3_BDHV12</stp>
        <stp>CL1 Comdty</stp>
        <stp>RSI_30D</stp>
        <stp>29/12/2015</stp>
        <stp>29/12/2015</stp>
        <stp>[Bbg_Market_Data_CL.xlsm]data!R320C14</stp>
        <tr r="N320" s="1"/>
      </tp>
      <tp t="s">
        <v>#N/A Requesting Data...</v>
        <stp/>
        <stp>##V3_BDHV12</stp>
        <stp>CL1 Comdty</stp>
        <stp>RSI_30D</stp>
        <stp>19/11/2015</stp>
        <stp>19/11/2015</stp>
        <stp>[Bbg_Market_Data_CL.xlsm]data!R346C14</stp>
        <tr r="N346" s="1"/>
      </tp>
      <tp t="s">
        <v>#N/A Requesting Data...</v>
        <stp/>
        <stp>##V3_BDHV12</stp>
        <stp>CL2 Comdty</stp>
        <stp>RSI_30D</stp>
        <stp>19/11/2015</stp>
        <stp>19/11/2015</stp>
        <stp>[Bbg_Market_Data_CL.xlsm]data!R346C14</stp>
        <tr r="N346" s="1"/>
      </tp>
      <tp t="s">
        <v>#N/A Requesting Data...</v>
        <stp/>
        <stp>##V3_BDHV12</stp>
        <stp>CL1 Comdty</stp>
        <stp>RSI_30D</stp>
        <stp>09/10/2015</stp>
        <stp>09/10/2015</stp>
        <stp>[Bbg_Market_Data_CL.xlsm]data!R373C14</stp>
        <tr r="N373" s="1"/>
      </tp>
      <tp t="s">
        <v>#N/A Requesting Data...</v>
        <stp/>
        <stp>##V3_BDHV12</stp>
        <stp>CL2 Comdty</stp>
        <stp>RSI_30D</stp>
        <stp>09/10/2015</stp>
        <stp>09/10/2015</stp>
        <stp>[Bbg_Market_Data_CL.xlsm]data!R373C14</stp>
        <tr r="N373" s="1"/>
      </tp>
      <tp t="s">
        <v>#N/A Requesting Data...</v>
        <stp/>
        <stp>##V3_BDHV12</stp>
        <stp>CL2 Comdty</stp>
        <stp>RSI_30D</stp>
        <stp>19/02/2016</stp>
        <stp>19/02/2016</stp>
        <stp>[Bbg_Market_Data_CL.xlsm]data!R286C14</stp>
        <tr r="N286" s="1"/>
      </tp>
      <tp t="s">
        <v>#N/A Requesting Data...</v>
        <stp/>
        <stp>##V3_BDHV12</stp>
        <stp>CL1 Comdty</stp>
        <stp>RSI_30D</stp>
        <stp>19/02/2016</stp>
        <stp>19/02/2016</stp>
        <stp>[Bbg_Market_Data_CL.xlsm]data!R286C14</stp>
        <tr r="N286" s="1"/>
      </tp>
      <tp t="s">
        <v>#N/A Requesting Data...</v>
        <stp/>
        <stp>##V3_BDHV12</stp>
        <stp>CL1 Comdty</stp>
        <stp>RSI_30D</stp>
        <stp>29/01/2016</stp>
        <stp>29/01/2016</stp>
        <stp>[Bbg_Market_Data_CL.xlsm]data!R299C14</stp>
        <tr r="N299" s="1"/>
      </tp>
      <tp t="s">
        <v>#N/A Requesting Data...</v>
        <stp/>
        <stp>##V3_BDHV12</stp>
        <stp>CL2 Comdty</stp>
        <stp>RSI_30D</stp>
        <stp>29/01/2016</stp>
        <stp>29/01/2016</stp>
        <stp>[Bbg_Market_Data_CL.xlsm]data!R299C14</stp>
        <tr r="N299" s="1"/>
      </tp>
      <tp t="s">
        <v>#N/A Requesting Data...</v>
        <stp/>
        <stp>##V3_BDHV12</stp>
        <stp>CL2 Comdty</stp>
        <stp>RSI_30D</stp>
        <stp>09/03/2016</stp>
        <stp>09/03/2016</stp>
        <stp>[Bbg_Market_Data_CL.xlsm]data!R273C14</stp>
        <tr r="N273" s="1"/>
      </tp>
      <tp t="s">
        <v>#N/A Requesting Data...</v>
        <stp/>
        <stp>##V3_BDHV12</stp>
        <stp>CL1 Comdty</stp>
        <stp>RSI_30D</stp>
        <stp>09/03/2016</stp>
        <stp>09/03/2016</stp>
        <stp>[Bbg_Market_Data_CL.xlsm]data!R273C14</stp>
        <tr r="N273" s="1"/>
      </tp>
      <tp t="s">
        <v>#N/A Requesting Data...</v>
        <stp/>
        <stp>##V3_BDHV12</stp>
        <stp>CL2 Comdty</stp>
        <stp>RSI_30D</stp>
        <stp>08/02/2016</stp>
        <stp>08/02/2016</stp>
        <stp>[Bbg_Market_Data_CL.xlsm]data!R293C14</stp>
        <tr r="N293" s="1"/>
      </tp>
      <tp t="s">
        <v>#N/A Requesting Data...</v>
        <stp/>
        <stp>##V3_BDHV12</stp>
        <stp>CL1 Comdty</stp>
        <stp>RSI_30D</stp>
        <stp>08/02/2016</stp>
        <stp>08/02/2016</stp>
        <stp>[Bbg_Market_Data_CL.xlsm]data!R293C14</stp>
        <tr r="N293" s="1"/>
      </tp>
      <tp t="s">
        <v>#N/A Requesting Data...</v>
        <stp/>
        <stp>##V3_BDHV12</stp>
        <stp>CL2 Comdty</stp>
        <stp>RSI_30D</stp>
        <stp>18/03/2016</stp>
        <stp>18/03/2016</stp>
        <stp>[Bbg_Market_Data_CL.xlsm]data!R266C14</stp>
        <tr r="N266" s="1"/>
      </tp>
      <tp t="s">
        <v>#N/A Requesting Data...</v>
        <stp/>
        <stp>##V3_BDHV12</stp>
        <stp>CL1 Comdty</stp>
        <stp>RSI_30D</stp>
        <stp>18/03/2016</stp>
        <stp>18/03/2016</stp>
        <stp>[Bbg_Market_Data_CL.xlsm]data!R266C14</stp>
        <tr r="N266" s="1"/>
      </tp>
      <tp>
        <v>34.82</v>
        <stp/>
        <stp>##V3_BDHV12</stp>
        <stp>CL1 Comdty</stp>
        <stp>PX_HIGH</stp>
        <stp>28/01/2016</stp>
        <stp>28/01/2016</stp>
        <stp>[Bbg_Market_Data_CL.xlsm]data!R300C6</stp>
        <tr r="F300" s="1"/>
        <tr r="F300" s="1"/>
      </tp>
      <tp>
        <v>45.12</v>
        <stp/>
        <stp>##V3_BDHV12</stp>
        <stp>CL1 Comdty</stp>
        <stp>PX_HIGH</stp>
        <stp>09/11/2015</stp>
        <stp>09/11/2015</stp>
        <stp>[Bbg_Market_Data_CL.xlsm]data!R353C6</stp>
        <tr r="F353" s="1"/>
        <tr r="F353" s="1"/>
      </tp>
      <tp t="s">
        <v>#N/A Requesting Data...</v>
        <stp/>
        <stp>##V3_BDHV12</stp>
        <stp>CL1 Comdty</stp>
        <stp>PX_LAST</stp>
        <stp>06/05/2016</stp>
        <stp>06/05/2016</stp>
        <stp>[Bbg_Market_Data_CL.xlsm]data!R232C9</stp>
        <tr r="I232" s="1"/>
      </tp>
      <tp t="s">
        <v>#N/A Requesting Data...</v>
        <stp/>
        <stp>##V3_BDHV12</stp>
        <stp>CL1 Comdty</stp>
        <stp>PX_LAST</stp>
        <stp>07/04/2016</stp>
        <stp>07/04/2016</stp>
        <stp>[Bbg_Market_Data_CL.xlsm]data!R253C9</stp>
        <tr r="I253" s="1"/>
      </tp>
      <tp t="s">
        <v>#N/A Requesting Data...</v>
        <stp/>
        <stp>##V3_BDHV12</stp>
        <stp>CL1 Comdty</stp>
        <stp>PX_LAST</stp>
        <stp>24/05/2016</stp>
        <stp>24/05/2016</stp>
        <stp>[Bbg_Market_Data_CL.xlsm]data!R220C9</stp>
        <tr r="I220" s="1"/>
      </tp>
      <tp t="s">
        <v>#N/A Requesting Data...</v>
        <stp/>
        <stp>##V3_BDHV12</stp>
        <stp>CL1 Comdty</stp>
        <stp>PX_LAST</stp>
        <stp>25/04/2016</stp>
        <stp>25/04/2016</stp>
        <stp>[Bbg_Market_Data_CL.xlsm]data!R241C9</stp>
        <tr r="I241" s="1"/>
      </tp>
      <tp t="s">
        <v>#N/A Requesting Data...</v>
        <stp/>
        <stp>##V3_BDHV12</stp>
        <stp>CL2 Comdty</stp>
        <stp>PX_LAST</stp>
        <stp>21/10/2016</stp>
        <stp>21/10/2016</stp>
        <stp>[Bbg_Market_Data_CL.xlsm]data!R117C9</stp>
        <tr r="I117" s="1"/>
      </tp>
      <tp t="s">
        <v>#N/A Requesting Data...</v>
        <stp/>
        <stp>##V3_BDHV12</stp>
        <stp>CL1 Comdty</stp>
        <stp>PX_LAST</stp>
        <stp>07/07/2015</stp>
        <stp>07/07/2015</stp>
        <stp>[Bbg_Market_Data_CL.xlsm]data!R440C9</stp>
        <tr r="I440" s="1"/>
      </tp>
      <tp t="s">
        <v>#N/A Requesting Data...</v>
        <stp/>
        <stp>##V3_BDHV12</stp>
        <stp>CL2 Comdty</stp>
        <stp>PX_LAST</stp>
        <stp>17/06/2015</stp>
        <stp>17/06/2015</stp>
        <stp>[Bbg_Market_Data_CL.xlsm]data!R453C9</stp>
        <tr r="I453" s="1"/>
      </tp>
      <tp t="s">
        <v>#N/A Requesting Data...</v>
        <stp/>
        <stp>##V3_BDHV12</stp>
        <stp>CL2 Comdty</stp>
        <stp>PX_LAST</stp>
        <stp>23/02/2016</stp>
        <stp>23/02/2016</stp>
        <stp>[Bbg_Market_Data_CL.xlsm]data!R284C9</stp>
        <tr r="I284" s="1"/>
      </tp>
      <tp t="s">
        <v>#N/A Requesting Data...</v>
        <stp/>
        <stp>##V3_BDHV12</stp>
        <stp>CL2 Comdty</stp>
        <stp>PX_LAST</stp>
        <stp>12/10/2016</stp>
        <stp>12/10/2016</stp>
        <stp>[Bbg_Market_Data_CL.xlsm]data!R124C9</stp>
        <tr r="I124" s="1"/>
      </tp>
      <tp>
        <v>45.65</v>
        <stp/>
        <stp>##V3_BDHV12</stp>
        <stp>CL1 Comdty</stp>
        <stp>PX_HIGH</stp>
        <stp>21/09/2016</stp>
        <stp>21/09/2016</stp>
        <stp>[Bbg_Market_Data_CL.xlsm]data!R138C6</stp>
        <tr r="F138" s="1"/>
        <tr r="F138" s="1"/>
      </tp>
      <tp t="s">
        <v>#N/A Requesting Data...</v>
        <stp/>
        <stp>##V3_BDHV12</stp>
        <stp>CL2 Comdty</stp>
        <stp>PX_LAST</stp>
        <stp>17/07/2015</stp>
        <stp>17/07/2015</stp>
        <stp>[Bbg_Market_Data_CL.xlsm]data!R432C9</stp>
        <tr r="I432" s="1"/>
      </tp>
      <tp t="s">
        <v>#N/A Requesting Data...</v>
        <stp/>
        <stp>##V3_BDHV12</stp>
        <stp>CL2 Comdty</stp>
        <stp>PX_LAST</stp>
        <stp>21/12/2015</stp>
        <stp>21/12/2015</stp>
        <stp>[Bbg_Market_Data_CL.xlsm]data!R325C9</stp>
        <tr r="I325" s="1"/>
      </tp>
      <tp t="s">
        <v>#N/A Requesting Data...</v>
        <stp/>
        <stp>##V3_BDHV12</stp>
        <stp>CL2 Comdty</stp>
        <stp>PX_LAST</stp>
        <stp>03/12/2015</stp>
        <stp>03/12/2015</stp>
        <stp>[Bbg_Market_Data_CL.xlsm]data!R337C9</stp>
        <tr r="I337" s="1"/>
      </tp>
      <tp t="s">
        <v>#N/A Requesting Data...</v>
        <stp/>
        <stp>##V3_BDHV12</stp>
        <stp>CL1 Comdty</stp>
        <stp>PX_LAST</stp>
        <stp>23/10/2015</stp>
        <stp>23/10/2015</stp>
        <stp>[Bbg_Market_Data_CL.xlsm]data!R364C9</stp>
        <tr r="I364" s="1"/>
      </tp>
      <tp t="s">
        <v>#N/A Requesting Data...</v>
        <stp/>
        <stp>##V3_BDHV12</stp>
        <stp>CL1 Comdty</stp>
        <stp>PX_LAST</stp>
        <stp>07/06/2016</stp>
        <stp>07/06/2016</stp>
        <stp>[Bbg_Market_Data_CL.xlsm]data!R211C9</stp>
        <tr r="I211" s="1"/>
      </tp>
      <tp t="s">
        <v>#N/A Requesting Data...</v>
        <stp/>
        <stp>##V3_BDHV12</stp>
        <stp>CL2 Comdty</stp>
        <stp>PX_LAST</stp>
        <stp>07/05/2015</stp>
        <stp>07/05/2015</stp>
        <stp>[Bbg_Market_Data_CL.xlsm]data!R481C9</stp>
        <tr r="I481" s="1"/>
      </tp>
      <tp t="s">
        <v>#N/A Requesting Data...</v>
        <stp/>
        <stp>##V3_BDHV12</stp>
        <stp>CL2 Comdty</stp>
        <stp>PX_LAST</stp>
        <stp>20/10/2015</stp>
        <stp>20/10/2015</stp>
        <stp>[Bbg_Market_Data_CL.xlsm]data!R367C9</stp>
        <tr r="I367" s="1"/>
      </tp>
      <tp t="s">
        <v>#N/A Requesting Data...</v>
        <stp/>
        <stp>##V3_BDHV12</stp>
        <stp>CL2 Comdty</stp>
        <stp>PX_LAST</stp>
        <stp>03/02/2016</stp>
        <stp>03/02/2016</stp>
        <stp>[Bbg_Market_Data_CL.xlsm]data!R296C9</stp>
        <tr r="I296" s="1"/>
      </tp>
      <tp t="s">
        <v>#N/A Requesting Data...</v>
        <stp/>
        <stp>##V3_BDHV12</stp>
        <stp>CL1 Comdty</stp>
        <stp>PX_LAST</stp>
        <stp>22/01/2016</stp>
        <stp>22/01/2016</stp>
        <stp>[Bbg_Market_Data_CL.xlsm]data!R304C9</stp>
        <tr r="I304" s="1"/>
      </tp>
      <tp t="s">
        <v>#N/A Requesting Data...</v>
        <stp/>
        <stp>##V3_BDHV12</stp>
        <stp>CL2 Comdty</stp>
        <stp>PX_LAST</stp>
        <stp>04/06/2015</stp>
        <stp>04/06/2015</stp>
        <stp>[Bbg_Market_Data_CL.xlsm]data!R462C9</stp>
        <tr r="I462" s="1"/>
      </tp>
      <tp t="s">
        <v>#N/A Requesting Data...</v>
        <stp/>
        <stp>##V3_BDHV12</stp>
        <stp>CL1 Comdty</stp>
        <stp>PX_LAST</stp>
        <stp>03/11/2015</stp>
        <stp>03/11/2015</stp>
        <stp>[Bbg_Market_Data_CL.xlsm]data!R357C9</stp>
        <tr r="I357" s="1"/>
      </tp>
      <tp>
        <v>46.79</v>
        <stp/>
        <stp>##V3_BDHV12</stp>
        <stp>CL1 Comdty</stp>
        <stp>PX_HIGH</stp>
        <stp>29/10/2015</stp>
        <stp>29/10/2015</stp>
        <stp>[Bbg_Market_Data_CL.xlsm]data!R360C6</stp>
        <tr r="F360" s="1"/>
        <tr r="F360" s="1"/>
      </tp>
      <tp>
        <v>48.4</v>
        <stp/>
        <stp>##V3_BDHV12</stp>
        <stp>CL1 Comdty</stp>
        <stp>PX_HIGH</stp>
        <stp>22/08/2016</stp>
        <stp>22/08/2016</stp>
        <stp>[Bbg_Market_Data_CL.xlsm]data!R159C6</stp>
        <tr r="F159" s="1"/>
        <tr r="F159" s="1"/>
      </tp>
      <tp t="s">
        <v>#N/A Requesting Data...</v>
        <stp/>
        <stp>##V3_BDHV12</stp>
        <stp>CL2 Comdty</stp>
        <stp>PX_LAST</stp>
        <stp>06/06/2016</stp>
        <stp>06/06/2016</stp>
        <stp>[Bbg_Market_Data_CL.xlsm]data!R212C9</stp>
        <tr r="I212" s="1"/>
      </tp>
      <tp t="s">
        <v>#N/A Requesting Data...</v>
        <stp/>
        <stp>##V3_BDHV12</stp>
        <stp>CL2 Comdty</stp>
        <stp>PX_LAST</stp>
        <stp>17/06/2016</stp>
        <stp>17/06/2016</stp>
        <stp>[Bbg_Market_Data_CL.xlsm]data!R203C9</stp>
        <tr r="I203" s="1"/>
      </tp>
      <tp t="s">
        <v>#N/A Requesting Data...</v>
        <stp/>
        <stp>##V3_BDHV12</stp>
        <stp>CL1 Comdty</stp>
        <stp>PX_LAST</stp>
        <stp>07/07/2016</stp>
        <stp>07/07/2016</stp>
        <stp>[Bbg_Market_Data_CL.xlsm]data!R190C9</stp>
        <tr r="I190" s="1"/>
      </tp>
      <tp t="s">
        <v>#N/A Requesting Data...</v>
        <stp/>
        <stp>##V3_BDHV12</stp>
        <stp>CL1 Comdty</stp>
        <stp>PX_LAST</stp>
        <stp>20/11/2015</stp>
        <stp>20/11/2015</stp>
        <stp>[Bbg_Market_Data_CL.xlsm]data!R345C9</stp>
        <tr r="I345" s="1"/>
      </tp>
      <tp t="s">
        <v>#N/A Requesting Data...</v>
        <stp/>
        <stp>##V3_BDHV12</stp>
        <stp>CL1 Comdty</stp>
        <stp>PX_LAST</stp>
        <stp>06/05/2015</stp>
        <stp>06/05/2015</stp>
        <stp>[Bbg_Market_Data_CL.xlsm]data!R482C9</stp>
        <tr r="I482" s="1"/>
      </tp>
      <tp t="s">
        <v>#N/A Requesting Data...</v>
        <stp/>
        <stp>##V3_BDHV12</stp>
        <stp>CL2 Comdty</stp>
        <stp>PX_LAST</stp>
        <stp>03/03/2016</stp>
        <stp>03/03/2016</stp>
        <stp>[Bbg_Market_Data_CL.xlsm]data!R277C9</stp>
        <tr r="I277" s="1"/>
      </tp>
      <tp t="s">
        <v>#N/A Requesting Data...</v>
        <stp/>
        <stp>##V3_BDHV12</stp>
        <stp>CL1 Comdty</stp>
        <stp>PX_LAST</stp>
        <stp>05/06/2015</stp>
        <stp>05/06/2015</stp>
        <stp>[Bbg_Market_Data_CL.xlsm]data!R461C9</stp>
        <tr r="I461" s="1"/>
      </tp>
      <tp t="s">
        <v>#N/A Requesting Data...</v>
        <stp/>
        <stp>##V3_BDHV12</stp>
        <stp>CL2 Comdty</stp>
        <stp>PX_LAST</stp>
        <stp>21/03/2016</stp>
        <stp>21/03/2016</stp>
        <stp>[Bbg_Market_Data_CL.xlsm]data!R265C9</stp>
        <tr r="I265" s="1"/>
      </tp>
      <tp t="s">
        <v>#N/A Requesting Data...</v>
        <stp/>
        <stp>##V3_BDHV12</stp>
        <stp>CL2 Comdty</stp>
        <stp>PX_LAST</stp>
        <stp>22/04/2015</stp>
        <stp>22/04/2015</stp>
        <stp>[Bbg_Market_Data_CL.xlsm]data!R492C9</stp>
        <tr r="I492" s="1"/>
      </tp>
      <tp t="s">
        <v>#N/A Requesting Data...</v>
        <stp/>
        <stp>##V3_BDHV12</stp>
        <stp>CL2 Comdty</stp>
        <stp>PX_LAST</stp>
        <stp>06/01/2016</stp>
        <stp>06/01/2016</stp>
        <stp>[Bbg_Market_Data_CL.xlsm]data!R315C9</stp>
        <tr r="I315" s="1"/>
      </tp>
      <tp t="s">
        <v>#N/A Requesting Data...</v>
        <stp/>
        <stp>##V3_BDHV12</stp>
        <stp>CL1 Comdty</stp>
        <stp>PX_LAST</stp>
        <stp>07/10/2016</stp>
        <stp>07/10/2016</stp>
        <stp>[Bbg_Market_Data_CL.xlsm]data!R126C9</stp>
        <tr r="I126" s="1"/>
      </tp>
      <tp t="s">
        <v>#N/A Requesting Data...</v>
        <stp/>
        <stp>##V3_BDHV12</stp>
        <stp>CL1 Comdty</stp>
        <stp>PX_LAST</stp>
        <stp>30/07/2015</stp>
        <stp>30/07/2015</stp>
        <stp>[Bbg_Market_Data_CL.xlsm]data!R423C9</stp>
        <tr r="I423" s="1"/>
      </tp>
      <tp t="s">
        <v>#N/A Requesting Data...</v>
        <stp/>
        <stp>##V3_BDHV12</stp>
        <stp>CL1 Comdty</stp>
        <stp>PX_LAST</stp>
        <stp>23/04/2015</stp>
        <stp>23/04/2015</stp>
        <stp>[Bbg_Market_Data_CL.xlsm]data!R491C9</stp>
        <tr r="I491" s="1"/>
      </tp>
      <tp t="s">
        <v>#N/A Requesting Data...</v>
        <stp/>
        <stp>##V3_BDHV12</stp>
        <stp>CL1 Comdty</stp>
        <stp>PX_LAST</stp>
        <stp>22/05/2015</stp>
        <stp>22/05/2015</stp>
        <stp>[Bbg_Market_Data_CL.xlsm]data!R470C9</stp>
        <tr r="I470" s="1"/>
      </tp>
      <tp t="s">
        <v>#N/A Requesting Data...</v>
        <stp/>
        <stp>##V3_BDHV12</stp>
        <stp>CL1 Comdty</stp>
        <stp>PX_LAST</stp>
        <stp>04/02/2016</stp>
        <stp>04/02/2016</stp>
        <stp>[Bbg_Market_Data_CL.xlsm]data!R295C9</stp>
        <tr r="I295" s="1"/>
      </tp>
      <tp t="s">
        <v>#N/A Requesting Data...</v>
        <stp/>
        <stp>##V3_BDHV12</stp>
        <stp>CL2 Comdty</stp>
        <stp>PX_LAST</stp>
        <stp>20/07/2015</stp>
        <stp>20/07/2015</stp>
        <stp>[Bbg_Market_Data_CL.xlsm]data!R431C9</stp>
        <tr r="I431" s="1"/>
      </tp>
      <tp t="s">
        <v>#N/A Requesting Data...</v>
        <stp/>
        <stp>##V3_BDHV12</stp>
        <stp>CL2 Comdty</stp>
        <stp>PX_LAST</stp>
        <stp>01/07/2016</stp>
        <stp>01/07/2016</stp>
        <stp>[Bbg_Market_Data_CL.xlsm]data!R193C9</stp>
        <tr r="I193" s="1"/>
      </tp>
      <tp t="s">
        <v>#N/A Requesting Data...</v>
        <stp/>
        <stp>##V3_BDHV12</stp>
        <stp>CL2 Comdty</stp>
        <stp>PX_LAST</stp>
        <stp>22/06/2016</stp>
        <stp>22/06/2016</stp>
        <stp>[Bbg_Market_Data_CL.xlsm]data!R200C9</stp>
        <tr r="I200" s="1"/>
      </tp>
      <tp>
        <v>40.24</v>
        <stp/>
        <stp>##V3_BDHV12</stp>
        <stp>CL1 Comdty</stp>
        <stp>PX_HIGH</stp>
        <stp>18/04/2016</stp>
        <stp>18/04/2016</stp>
        <stp>[Bbg_Market_Data_CL.xlsm]data!R246C6</stp>
        <tr r="F246" s="1"/>
        <tr r="F246" s="1"/>
      </tp>
      <tp t="s">
        <v>#N/A Requesting Data...</v>
        <stp/>
        <stp>##V3_BDHV12</stp>
        <stp>CL1 Comdty</stp>
        <stp>PX_LAST</stp>
        <stp>04/11/2016</stp>
        <stp>04/11/2016</stp>
        <stp>[Bbg_Market_Data_CL.xlsm]data!R107C9</stp>
        <tr r="I107" s="1"/>
      </tp>
      <tp t="s">
        <v>#N/A Requesting Data...</v>
        <stp/>
        <stp>##V3_BDHV12</stp>
        <stp>CL2 Comdty</stp>
        <stp>PX_LAST</stp>
        <stp>22/06/2015</stp>
        <stp>22/06/2015</stp>
        <stp>[Bbg_Market_Data_CL.xlsm]data!R450C9</stp>
        <tr r="I450" s="1"/>
      </tp>
      <tp t="s">
        <v>#N/A Requesting Data...</v>
        <stp/>
        <stp>##V3_BDHV12</stp>
        <stp>CL1 Comdty</stp>
        <stp>PX_LAST</stp>
        <stp>06/10/2015</stp>
        <stp>06/10/2015</stp>
        <stp>[Bbg_Market_Data_CL.xlsm]data!R376C9</stp>
        <tr r="I376" s="1"/>
      </tp>
      <tp t="s">
        <v>#N/A Requesting Data...</v>
        <stp/>
        <stp>##V3_BDHV12</stp>
        <stp>CL2 Comdty</stp>
        <stp>PX_LAST</stp>
        <stp>01/07/2015</stp>
        <stp>01/07/2015</stp>
        <stp>[Bbg_Market_Data_CL.xlsm]data!R443C9</stp>
        <tr r="I443" s="1"/>
      </tp>
      <tp t="s">
        <v>#N/A Requesting Data...</v>
        <stp/>
        <stp>##V3_BDHV12</stp>
        <stp>CL2 Comdty</stp>
        <stp>PX_LAST</stp>
        <stp>20/07/2016</stp>
        <stp>20/07/2016</stp>
        <stp>[Bbg_Market_Data_CL.xlsm]data!R181C9</stp>
        <tr r="I181" s="1"/>
      </tp>
      <tp t="s">
        <v>#N/A Requesting Data...</v>
        <stp/>
        <stp>##V3_BDHV12</stp>
        <stp>CL1 Comdty</stp>
        <stp>PX_LAST</stp>
        <stp>05/01/2016</stp>
        <stp>05/01/2016</stp>
        <stp>[Bbg_Market_Data_CL.xlsm]data!R316C9</stp>
        <tr r="I316" s="1"/>
      </tp>
      <tp t="s">
        <v>#N/A Requesting Data...</v>
        <stp/>
        <stp>##V3_BDHV12</stp>
        <stp>CL2 Comdty</stp>
        <stp>PX_LAST</stp>
        <stp>06/11/2015</stp>
        <stp>06/11/2015</stp>
        <stp>[Bbg_Market_Data_CL.xlsm]data!R354C9</stp>
        <tr r="I354" s="1"/>
      </tp>
      <tp t="s">
        <v>#N/A Requesting Data...</v>
        <stp/>
        <stp>##V3_BDHV12</stp>
        <stp>CL1 Comdty</stp>
        <stp>PX_LAST</stp>
        <stp>26/10/2016</stp>
        <stp>26/10/2016</stp>
        <stp>[Bbg_Market_Data_CL.xlsm]data!R114C9</stp>
        <tr r="I114" s="1"/>
      </tp>
      <tp t="s">
        <v>#N/A Requesting Data...</v>
        <stp/>
        <stp>##V3_BDHV12</stp>
        <stp>CL2 Comdty</stp>
        <stp>PX_LAST</stp>
        <stp>07/10/2015</stp>
        <stp>07/10/2015</stp>
        <stp>[Bbg_Market_Data_CL.xlsm]data!R375C9</stp>
        <tr r="I375" s="1"/>
      </tp>
      <tp t="s">
        <v>#N/A Requesting Data...</v>
        <stp/>
        <stp>##V3_BDHV12</stp>
        <stp>CL2 Comdty</stp>
        <stp>PX_LAST</stp>
        <stp>22/04/2016</stp>
        <stp>22/04/2016</stp>
        <stp>[Bbg_Market_Data_CL.xlsm]data!R242C9</stp>
        <tr r="I242" s="1"/>
      </tp>
      <tp t="s">
        <v>#N/A Requesting Data...</v>
        <stp/>
        <stp>##V3_BDHV12</stp>
        <stp>CL2 Comdty</stp>
        <stp>PX_LAST</stp>
        <stp>10/05/2016</stp>
        <stp>10/05/2016</stp>
        <stp>[Bbg_Market_Data_CL.xlsm]data!R230C9</stp>
        <tr r="I230" s="1"/>
      </tp>
      <tp t="s">
        <v>#N/A Requesting Data...</v>
        <stp/>
        <stp>##V3_BDHV12</stp>
        <stp>CL2 Comdty</stp>
        <stp>PX_LAST</stp>
        <stp>11/04/2016</stp>
        <stp>11/04/2016</stp>
        <stp>[Bbg_Market_Data_CL.xlsm]data!R251C9</stp>
        <tr r="I251" s="1"/>
      </tp>
      <tp>
        <v>47.96</v>
        <stp/>
        <stp>##V3_BDHV12</stp>
        <stp>CL1 Comdty</stp>
        <stp>PX_HIGH</stp>
        <stp>27/06/2016</stp>
        <stp>27/06/2016</stp>
        <stp>[Bbg_Market_Data_CL.xlsm]data!R197C6</stp>
        <tr r="F197" s="1"/>
        <tr r="F197" s="1"/>
      </tp>
      <tp>
        <v>39.020000000000003</v>
        <stp/>
        <stp>##V3_BDHV12</stp>
        <stp>CL1 Comdty</stp>
        <stp>PX_HIGH</stp>
        <stp>11/03/2016</stp>
        <stp>11/03/2016</stp>
        <stp>[Bbg_Market_Data_CL.xlsm]data!R271C6</stp>
        <tr r="F271" s="1"/>
        <tr r="F271" s="1"/>
      </tp>
      <tp>
        <v>44.76</v>
        <stp/>
        <stp>##V3_BDHV12</stp>
        <stp>CL1 Comdty</stp>
        <stp>PX_HIGH</stp>
        <stp>10/11/2015</stp>
        <stp>10/11/2015</stp>
        <stp>[Bbg_Market_Data_CL.xlsm]data!R352C6</stp>
        <tr r="F352" s="1"/>
        <tr r="F352" s="1"/>
      </tp>
      <tp t="s">
        <v>#N/A Requesting Data...</v>
        <stp/>
        <stp>##V3_BDHV12</stp>
        <stp>CL2 Comdty</stp>
        <stp>PX_LAST</stp>
        <stp>18/02/2016</stp>
        <stp>18/02/2016</stp>
        <stp>[Bbg_Market_Data_CL.xlsm]data!R287C9</stp>
        <tr r="I287" s="1"/>
      </tp>
      <tp t="s">
        <v>#N/A Requesting Data...</v>
        <stp/>
        <stp>##V3_BDHV12</stp>
        <stp>CL1 Comdty</stp>
        <stp>PX_LAST</stp>
        <stp>08/03/2016</stp>
        <stp>08/03/2016</stp>
        <stp>[Bbg_Market_Data_CL.xlsm]data!R274C9</stp>
        <tr r="I274" s="1"/>
      </tp>
      <tp>
        <v>43.2</v>
        <stp/>
        <stp>##V3_BDHV12</stp>
        <stp>CL1 Comdty</stp>
        <stp>PX_HIGH</stp>
        <stp>27/07/2016</stp>
        <stp>27/07/2016</stp>
        <stp>[Bbg_Market_Data_CL.xlsm]data!R176C6</stp>
        <tr r="F176" s="1"/>
        <tr r="F176" s="1"/>
      </tp>
      <tp>
        <v>45.8</v>
        <stp/>
        <stp>##V3_BDHV12</stp>
        <stp>CL1 Comdty</stp>
        <stp>PX_HIGH</stp>
        <stp>14/07/2016</stp>
        <stp>14/07/2016</stp>
        <stp>[Bbg_Market_Data_CL.xlsm]data!R185C6</stp>
        <tr r="F185" s="1"/>
        <tr r="F185" s="1"/>
      </tp>
      <tp>
        <v>27.48</v>
        <stp/>
        <stp>##V3_BDHV12</stp>
        <stp>CL1 Comdty</stp>
        <stp>PX_HIGH</stp>
        <stp>11/02/2016</stp>
        <stp>11/02/2016</stp>
        <stp>[Bbg_Market_Data_CL.xlsm]data!R290C6</stp>
        <tr r="F290" s="1"/>
        <tr r="F290" s="1"/>
      </tp>
      <tp>
        <v>60.46</v>
        <stp/>
        <stp>##V3_BDHV12</stp>
        <stp>CL1 Comdty</stp>
        <stp>PX_HIGH</stp>
        <stp>25/06/2015</stp>
        <stp>25/06/2015</stp>
        <stp>[Bbg_Market_Data_CL.xlsm]data!R447C6</stp>
        <tr r="F447" s="1"/>
        <tr r="F447" s="1"/>
      </tp>
      <tp>
        <v>50.59</v>
        <stp/>
        <stp>##V3_BDHV12</stp>
        <stp>CL1 Comdty</stp>
        <stp>PX_HIGH</stp>
        <stp>13/10/2016</stp>
        <stp>13/10/2016</stp>
        <stp>[Bbg_Market_Data_CL.xlsm]data!R123C6</stp>
        <tr r="F123" s="1"/>
        <tr r="F123" s="1"/>
      </tp>
      <tp>
        <v>60.37</v>
        <stp/>
        <stp>##V3_BDHV12</stp>
        <stp>CL1 Comdty</stp>
        <stp>PX_HIGH</stp>
        <stp>16/06/2015</stp>
        <stp>16/06/2015</stp>
        <stp>[Bbg_Market_Data_CL.xlsm]data!R454C6</stp>
        <tr r="F454" s="1"/>
        <tr r="F454" s="1"/>
      </tp>
      <tp>
        <v>48.74</v>
        <stp/>
        <stp>##V3_BDHV12</stp>
        <stp>CL1 Comdty</stp>
        <stp>PX_HIGH</stp>
        <stp>31/10/2016</stp>
        <stp>31/10/2016</stp>
        <stp>[Bbg_Market_Data_CL.xlsm]data!R111C6</stp>
        <tr r="F111" s="1"/>
        <tr r="F111" s="1"/>
      </tp>
      <tp t="s">
        <v>#N/A Requesting Data...</v>
        <stp/>
        <stp>##V3_BDHV12</stp>
        <stp>CL1 Comdty</stp>
        <stp>PX_LAST</stp>
        <stp>19/11/2015</stp>
        <stp>19/11/2015</stp>
        <stp>[Bbg_Market_Data_CL.xlsm]data!R346C9</stp>
        <tr r="I346" s="1"/>
      </tp>
      <tp t="s">
        <v>#N/A Requesting Data...</v>
        <stp/>
        <stp>##V3_BDHV12</stp>
        <stp>CL2 Comdty</stp>
        <stp>PX_LAST</stp>
        <stp>18/03/2016</stp>
        <stp>18/03/2016</stp>
        <stp>[Bbg_Market_Data_CL.xlsm]data!R266C9</stp>
        <tr r="I266" s="1"/>
      </tp>
      <tp>
        <v>47.75</v>
        <stp/>
        <stp>##V3_BDHV12</stp>
        <stp>CL1 Comdty</stp>
        <stp>PX_HIGH</stp>
        <stp>16/06/2016</stp>
        <stp>16/06/2016</stp>
        <stp>[Bbg_Market_Data_CL.xlsm]data!R204C6</stp>
        <tr r="F204" s="1"/>
        <tr r="F204" s="1"/>
      </tp>
      <tp>
        <v>53.43</v>
        <stp/>
        <stp>##V3_BDHV12</stp>
        <stp>CL1 Comdty</stp>
        <stp>PX_HIGH</stp>
        <stp>14/07/2015</stp>
        <stp>14/07/2015</stp>
        <stp>[Bbg_Market_Data_CL.xlsm]data!R435C6</stp>
        <tr r="F435" s="1"/>
        <tr r="F435" s="1"/>
      </tp>
      <tp>
        <v>36.840000000000003</v>
        <stp/>
        <stp>##V3_BDHV12</stp>
        <stp>CL1 Comdty</stp>
        <stp>PX_HIGH</stp>
        <stp>11/12/2015</stp>
        <stp>11/12/2015</stp>
        <stp>[Bbg_Market_Data_CL.xlsm]data!R331C6</stp>
        <tr r="F331" s="1"/>
        <tr r="F331" s="1"/>
      </tp>
      <tp>
        <v>42.61</v>
        <stp/>
        <stp>##V3_BDHV12</stp>
        <stp>CL1 Comdty</stp>
        <stp>PX_HIGH</stp>
        <stp>30/11/2015</stp>
        <stp>30/11/2015</stp>
        <stp>[Bbg_Market_Data_CL.xlsm]data!R340C6</stp>
        <tr r="F340" s="1"/>
        <tr r="F340" s="1"/>
      </tp>
      <tp>
        <v>48.2</v>
        <stp/>
        <stp>##V3_BDHV12</stp>
        <stp>CL1 Comdty</stp>
        <stp>PX_HIGH</stp>
        <stp>27/07/2015</stp>
        <stp>27/07/2015</stp>
        <stp>[Bbg_Market_Data_CL.xlsm]data!R426C6</stp>
        <tr r="F426" s="1"/>
        <tr r="F426" s="1"/>
      </tp>
      <tp t="s">
        <v>#N/A Requesting Data...</v>
        <stp/>
        <stp>##V3_BDHV12</stp>
        <stp>CL1 Comdty</stp>
        <stp>PX_LAST</stp>
        <stp>08/12/2015</stp>
        <stp>08/12/2015</stp>
        <stp>[Bbg_Market_Data_CL.xlsm]data!R334C9</stp>
        <tr r="I334" s="1"/>
      </tp>
      <tp t="s">
        <v>#N/A Requesting Data...</v>
        <stp/>
        <stp>##V3_BDHV12</stp>
        <stp>CL1 Comdty</stp>
        <stp>PX_LAST</stp>
        <stp>19/01/2016</stp>
        <stp>19/01/2016</stp>
        <stp>[Bbg_Market_Data_CL.xlsm]data!R307C9</stp>
        <tr r="I307" s="1"/>
      </tp>
      <tp>
        <v>57.42</v>
        <stp/>
        <stp>##V3_BDHV12</stp>
        <stp>CL1 Comdty</stp>
        <stp>PX_HIGH</stp>
        <stp>16/04/2015</stp>
        <stp>16/04/2015</stp>
        <stp>[Bbg_Market_Data_CL.xlsm]data!R496C6</stp>
        <tr r="F496" s="1"/>
        <tr r="F496" s="1"/>
      </tp>
      <tp t="s">
        <v>#N/A Requesting Data...</v>
        <stp/>
        <stp>##V3_BDHV12</stp>
        <stp>CL2 Comdty</stp>
        <stp>PX_LAST</stp>
        <stp>18/12/2015</stp>
        <stp>18/12/2015</stp>
        <stp>[Bbg_Market_Data_CL.xlsm]data!R326C9</stp>
        <tr r="I326" s="1"/>
      </tp>
      <tp t="s">
        <v>#N/A Requesting Data...</v>
        <stp/>
        <stp>##V3_BDHV12</stp>
        <stp>CL2 Comdty</stp>
        <stp>PX_LAST</stp>
        <stp>09/11/2016</stp>
        <stp>09/11/2016</stp>
        <stp>[Bbg_Market_Data_CL.xlsm]data!R104C9</stp>
        <tr r="I104" s="1"/>
      </tp>
      <tp>
        <v>43.3</v>
        <stp/>
        <stp>##V3_BDHV12</stp>
        <stp>CL1 Comdty</stp>
        <stp>PX_HIGH</stp>
        <stp>27/11/2015</stp>
        <stp>27/11/2015</stp>
        <stp>[Bbg_Market_Data_CL.xlsm]data!R341C6</stp>
        <tr r="F341" s="1"/>
        <tr r="F341" s="1"/>
      </tp>
      <tp>
        <v>38.28</v>
        <stp/>
        <stp>##V3_BDHV12</stp>
        <stp>CL1 Comdty</stp>
        <stp>PX_HIGH</stp>
        <stp>24/12/2015</stp>
        <stp>24/12/2015</stp>
        <stp>[Bbg_Market_Data_CL.xlsm]data!R322C6</stp>
        <tr r="F322" s="1"/>
        <tr r="F322" s="1"/>
      </tp>
      <tp>
        <v>49.25</v>
        <stp/>
        <stp>##V3_BDHV12</stp>
        <stp>CL1 Comdty</stp>
        <stp>PX_HIGH</stp>
        <stp>01/06/2016</stp>
        <stp>01/06/2016</stp>
        <stp>[Bbg_Market_Data_CL.xlsm]data!R215C6</stp>
        <tr r="F215" s="1"/>
        <tr r="F215" s="1"/>
      </tp>
      <tp>
        <v>46.49</v>
        <stp/>
        <stp>##V3_BDHV12</stp>
        <stp>CL1 Comdty</stp>
        <stp>PX_HIGH</stp>
        <stp>13/05/2016</stp>
        <stp>13/05/2016</stp>
        <stp>[Bbg_Market_Data_CL.xlsm]data!R227C6</stp>
        <tr r="F227" s="1"/>
        <tr r="F227" s="1"/>
      </tp>
      <tp>
        <v>46.15</v>
        <stp/>
        <stp>##V3_BDHV12</stp>
        <stp>CL1 Comdty</stp>
        <stp>PX_HIGH</stp>
        <stp>02/05/2016</stp>
        <stp>02/05/2016</stp>
        <stp>[Bbg_Market_Data_CL.xlsm]data!R236C6</stp>
        <tr r="F236" s="1"/>
        <tr r="F236" s="1"/>
      </tp>
      <tp t="s">
        <v>#N/A Requesting Data...</v>
        <stp/>
        <stp>##V3_BDHV12</stp>
        <stp>CL2 Comdty</stp>
        <stp>PX_LAST</stp>
        <stp>19/07/2016</stp>
        <stp>19/07/2016</stp>
        <stp>[Bbg_Market_Data_CL.xlsm]data!R182C9</stp>
        <tr r="I182" s="1"/>
      </tp>
      <tp t="s">
        <v>#N/A Requesting Data...</v>
        <stp/>
        <stp>##V3_BDHV12</stp>
        <stp>CL1 Comdty</stp>
        <stp>PX_LAST</stp>
        <stp>19/05/2015</stp>
        <stp>19/05/2015</stp>
        <stp>[Bbg_Market_Data_CL.xlsm]data!R473C9</stp>
        <tr r="I473" s="1"/>
      </tp>
      <tp>
        <v>39.770000000000003</v>
        <stp/>
        <stp>##V3_BDHV12</stp>
        <stp>CL1 Comdty</stp>
        <stp>PX_HIGH</stp>
        <stp>24/03/2016</stp>
        <stp>24/03/2016</stp>
        <stp>[Bbg_Market_Data_CL.xlsm]data!R262C6</stp>
        <tr r="F262" s="1"/>
        <tr r="F262" s="1"/>
      </tp>
      <tp>
        <v>38.56</v>
        <stp/>
        <stp>##V3_BDHV12</stp>
        <stp>CL1 Comdty</stp>
        <stp>PX_HIGH</stp>
        <stp>01/04/2016</stp>
        <stp>01/04/2016</stp>
        <stp>[Bbg_Market_Data_CL.xlsm]data!R257C6</stp>
        <tr r="F257" s="1"/>
        <tr r="F257" s="1"/>
      </tp>
      <tp t="s">
        <v>#N/A Requesting Data...</v>
        <stp/>
        <stp>##V3_BDHV12</stp>
        <stp>CL1 Comdty</stp>
        <stp>PX_LAST</stp>
        <stp>19/05/2016</stp>
        <stp>19/05/2016</stp>
        <stp>[Bbg_Market_Data_CL.xlsm]data!R223C9</stp>
        <tr r="I223" s="1"/>
      </tp>
      <tp>
        <v>60.64</v>
        <stp/>
        <stp>##V3_BDHV12</stp>
        <stp>CL1 Comdty</stp>
        <stp>PX_HIGH</stp>
        <stp>01/06/2015</stp>
        <stp>01/06/2015</stp>
        <stp>[Bbg_Market_Data_CL.xlsm]data!R465C6</stp>
        <tr r="F465" s="1"/>
        <tr r="F465" s="1"/>
      </tp>
      <tp>
        <v>32.4</v>
        <stp/>
        <stp>##V3_BDHV12</stp>
        <stp>CL1 Comdty</stp>
        <stp>PX_HIGH</stp>
        <stp>24/02/2016</stp>
        <stp>24/02/2016</stp>
        <stp>[Bbg_Market_Data_CL.xlsm]data!R283C6</stp>
        <tr r="F283" s="1"/>
        <tr r="F283" s="1"/>
      </tp>
      <tp>
        <v>43.81</v>
        <stp/>
        <stp>##V3_BDHV12</stp>
        <stp>CL1 Comdty</stp>
        <stp>PX_HIGH</stp>
        <stp>14/11/2016</stp>
        <stp>14/11/2016</stp>
        <stp>[Bbg_Market_Data_CL.xlsm]data!R102C6</stp>
        <tr r="F102" s="1"/>
        <tr r="F102" s="1"/>
      </tp>
      <tp>
        <v>61.85</v>
        <stp/>
        <stp>##V3_BDHV12</stp>
        <stp>CL1 Comdty</stp>
        <stp>PX_HIGH</stp>
        <stp>13/05/2015</stp>
        <stp>13/05/2015</stp>
        <stp>[Bbg_Market_Data_CL.xlsm]data!R477C6</stp>
        <tr r="F477" s="1"/>
        <tr r="F477" s="1"/>
      </tp>
      <tp t="s">
        <v>#N/A Requesting Data...</v>
        <stp/>
        <stp>##V3_BDHV12</stp>
        <stp>CL2 Comdty</stp>
        <stp>PX_LAST</stp>
        <stp>09/05/2016</stp>
        <stp>09/05/2016</stp>
        <stp>[Bbg_Market_Data_CL.xlsm]data!R231C9</stp>
        <tr r="I231" s="1"/>
      </tp>
      <tp>
        <v>40.15</v>
        <stp/>
        <stp>##V3_BDHV12</stp>
        <stp>CL1 Comdty</stp>
        <stp>PX_OPEN</stp>
        <stp>03/12/2015</stp>
        <stp>03/12/2015</stp>
        <stp>[Bbg_Market_Data_CL.xlsm]data!R337C5</stp>
        <tr r="E337" s="1"/>
        <tr r="E337" s="1"/>
      </tp>
      <tp>
        <v>50.91</v>
        <stp/>
        <stp>##V3_BDHV12</stp>
        <stp>CL1 Comdty</stp>
        <stp>PX_OPEN</stp>
        <stp>17/07/2015</stp>
        <stp>17/07/2015</stp>
        <stp>[Bbg_Market_Data_CL.xlsm]data!R432C5</stp>
        <tr r="E432" s="1"/>
        <tr r="E432" s="1"/>
      </tp>
      <tp>
        <v>34.58</v>
        <stp/>
        <stp>##V3_BDHV12</stp>
        <stp>CL1 Comdty</stp>
        <stp>PX_OPEN</stp>
        <stp>21/12/2015</stp>
        <stp>21/12/2015</stp>
        <stp>[Bbg_Market_Data_CL.xlsm]data!R325C5</stp>
        <tr r="E325" s="1"/>
        <tr r="E325" s="1"/>
      </tp>
      <tp>
        <v>50.84</v>
        <stp/>
        <stp>##V3_BDHV12</stp>
        <stp>CL1 Comdty</stp>
        <stp>PX_OPEN</stp>
        <stp>12/10/2016</stp>
        <stp>12/10/2016</stp>
        <stp>[Bbg_Market_Data_CL.xlsm]data!R124C5</stp>
        <tr r="E124" s="1"/>
        <tr r="E124" s="1"/>
      </tp>
      <tp>
        <v>50.66</v>
        <stp/>
        <stp>##V3_BDHV12</stp>
        <stp>CL1 Comdty</stp>
        <stp>PX_OPEN</stp>
        <stp>21/10/2016</stp>
        <stp>21/10/2016</stp>
        <stp>[Bbg_Market_Data_CL.xlsm]data!R117C5</stp>
        <tr r="E117" s="1"/>
        <tr r="E117" s="1"/>
      </tp>
      <tp>
        <v>60.03</v>
        <stp/>
        <stp>##V3_BDHV12</stp>
        <stp>CL1 Comdty</stp>
        <stp>PX_OPEN</stp>
        <stp>17/06/2015</stp>
        <stp>17/06/2015</stp>
        <stp>[Bbg_Market_Data_CL.xlsm]data!R453C5</stp>
        <tr r="E453" s="1"/>
        <tr r="E453" s="1"/>
      </tp>
      <tp>
        <v>33.340000000000003</v>
        <stp/>
        <stp>##V3_BDHV12</stp>
        <stp>CL1 Comdty</stp>
        <stp>PX_OPEN</stp>
        <stp>23/02/2016</stp>
        <stp>23/02/2016</stp>
        <stp>[Bbg_Market_Data_CL.xlsm]data!R284C5</stp>
        <tr r="E284" s="1"/>
        <tr r="E284" s="1"/>
      </tp>
      <tp>
        <v>48.88</v>
        <stp/>
        <stp>##V3_BDHV12</stp>
        <stp>CL1 Comdty</stp>
        <stp>PX_OPEN</stp>
        <stp>06/06/2016</stp>
        <stp>06/06/2016</stp>
        <stp>[Bbg_Market_Data_CL.xlsm]data!R212C5</stp>
        <tr r="E212" s="1"/>
        <tr r="E212" s="1"/>
      </tp>
      <tp>
        <v>45.99</v>
        <stp/>
        <stp>##V3_BDHV12</stp>
        <stp>CL1 Comdty</stp>
        <stp>PX_OPEN</stp>
        <stp>17/06/2016</stp>
        <stp>17/06/2016</stp>
        <stp>[Bbg_Market_Data_CL.xlsm]data!R203C5</stp>
        <tr r="E203" s="1"/>
        <tr r="E203" s="1"/>
      </tp>
      <tp>
        <v>39.06</v>
        <stp/>
        <stp>##V3_BDHV12</stp>
        <stp>CL1 Comdty</stp>
        <stp>PX_OPEN</stp>
        <stp>21/03/2016</stp>
        <stp>21/03/2016</stp>
        <stp>[Bbg_Market_Data_CL.xlsm]data!R265C5</stp>
        <tr r="E265" s="1"/>
        <tr r="E265" s="1"/>
      </tp>
      <tp>
        <v>34.729999999999997</v>
        <stp/>
        <stp>##V3_BDHV12</stp>
        <stp>CL1 Comdty</stp>
        <stp>PX_OPEN</stp>
        <stp>03/03/2016</stp>
        <stp>03/03/2016</stp>
        <stp>[Bbg_Market_Data_CL.xlsm]data!R277C5</stp>
        <tr r="E277" s="1"/>
        <tr r="E277" s="1"/>
      </tp>
      <tp>
        <v>59.57</v>
        <stp/>
        <stp>##V3_BDHV12</stp>
        <stp>CL1 Comdty</stp>
        <stp>PX_OPEN</stp>
        <stp>04/06/2015</stp>
        <stp>04/06/2015</stp>
        <stp>[Bbg_Market_Data_CL.xlsm]data!R462C5</stp>
        <tr r="E462" s="1"/>
        <tr r="E462" s="1"/>
      </tp>
      <tp>
        <v>46.25</v>
        <stp/>
        <stp>##V3_BDHV12</stp>
        <stp>CL1 Comdty</stp>
        <stp>PX_OPEN</stp>
        <stp>20/10/2015</stp>
        <stp>20/10/2015</stp>
        <stp>[Bbg_Market_Data_CL.xlsm]data!R367C5</stp>
        <tr r="E367" s="1"/>
        <tr r="E367" s="1"/>
      </tp>
      <tp>
        <v>60.69</v>
        <stp/>
        <stp>##V3_BDHV12</stp>
        <stp>CL1 Comdty</stp>
        <stp>PX_OPEN</stp>
        <stp>07/05/2015</stp>
        <stp>07/05/2015</stp>
        <stp>[Bbg_Market_Data_CL.xlsm]data!R481C5</stp>
        <tr r="E481" s="1"/>
        <tr r="E481" s="1"/>
      </tp>
      <tp>
        <v>29.75</v>
        <stp/>
        <stp>##V3_BDHV12</stp>
        <stp>CL1 Comdty</stp>
        <stp>PX_OPEN</stp>
        <stp>03/02/2016</stp>
        <stp>03/02/2016</stp>
        <stp>[Bbg_Market_Data_CL.xlsm]data!R296C5</stp>
        <tr r="E296" s="1"/>
        <tr r="E296" s="1"/>
      </tp>
      <tp>
        <v>50.76</v>
        <stp/>
        <stp>##V3_BDHV12</stp>
        <stp>CL1 Comdty</stp>
        <stp>PX_OPEN</stp>
        <stp>20/07/2015</stp>
        <stp>20/07/2015</stp>
        <stp>[Bbg_Market_Data_CL.xlsm]data!R431C5</stp>
        <tr r="E431" s="1"/>
        <tr r="E431" s="1"/>
      </tp>
      <tp>
        <v>50.22</v>
        <stp/>
        <stp>##V3_BDHV12</stp>
        <stp>CL1 Comdty</stp>
        <stp>PX_OPEN</stp>
        <stp>22/06/2016</stp>
        <stp>22/06/2016</stp>
        <stp>[Bbg_Market_Data_CL.xlsm]data!R200C5</stp>
        <tr r="E200" s="1"/>
        <tr r="E200" s="1"/>
      </tp>
      <tp>
        <v>48.38</v>
        <stp/>
        <stp>##V3_BDHV12</stp>
        <stp>CL1 Comdty</stp>
        <stp>PX_OPEN</stp>
        <stp>01/07/2016</stp>
        <stp>01/07/2016</stp>
        <stp>[Bbg_Market_Data_CL.xlsm]data!R193C5</stp>
        <tr r="E193" s="1"/>
        <tr r="E193" s="1"/>
      </tp>
      <tp>
        <v>36.18</v>
        <stp/>
        <stp>##V3_BDHV12</stp>
        <stp>CL1 Comdty</stp>
        <stp>PX_OPEN</stp>
        <stp>06/01/2016</stp>
        <stp>06/01/2016</stp>
        <stp>[Bbg_Market_Data_CL.xlsm]data!R315C5</stp>
        <tr r="E315" s="1"/>
        <tr r="E315" s="1"/>
      </tp>
      <tp>
        <v>56.34</v>
        <stp/>
        <stp>##V3_BDHV12</stp>
        <stp>CL1 Comdty</stp>
        <stp>PX_OPEN</stp>
        <stp>22/04/2015</stp>
        <stp>22/04/2015</stp>
        <stp>[Bbg_Market_Data_CL.xlsm]data!R492C5</stp>
        <tr r="E492" s="1"/>
        <tr r="E492" s="1"/>
      </tp>
      <tp>
        <v>45.41</v>
        <stp/>
        <stp>##V3_BDHV12</stp>
        <stp>CL1 Comdty</stp>
        <stp>PX_OPEN</stp>
        <stp>06/11/2015</stp>
        <stp>06/11/2015</stp>
        <stp>[Bbg_Market_Data_CL.xlsm]data!R354C5</stp>
        <tr r="E354" s="1"/>
        <tr r="E354" s="1"/>
      </tp>
      <tp>
        <v>49</v>
        <stp/>
        <stp>##V3_BDHV12</stp>
        <stp>CL1 Comdty</stp>
        <stp>PX_OPEN</stp>
        <stp>07/10/2015</stp>
        <stp>07/10/2015</stp>
        <stp>[Bbg_Market_Data_CL.xlsm]data!R375C5</stp>
        <tr r="E375" s="1"/>
        <tr r="E375" s="1"/>
      </tp>
      <tp>
        <v>43.25</v>
        <stp/>
        <stp>##V3_BDHV12</stp>
        <stp>CL1 Comdty</stp>
        <stp>PX_OPEN</stp>
        <stp>10/05/2016</stp>
        <stp>10/05/2016</stp>
        <stp>[Bbg_Market_Data_CL.xlsm]data!R230C5</stp>
        <tr r="E230" s="1"/>
        <tr r="E230" s="1"/>
      </tp>
      <tp>
        <v>39.72</v>
        <stp/>
        <stp>##V3_BDHV12</stp>
        <stp>CL1 Comdty</stp>
        <stp>PX_OPEN</stp>
        <stp>11/04/2016</stp>
        <stp>11/04/2016</stp>
        <stp>[Bbg_Market_Data_CL.xlsm]data!R251C5</stp>
        <tr r="E251" s="1"/>
        <tr r="E251" s="1"/>
      </tp>
      <tp>
        <v>43.42</v>
        <stp/>
        <stp>##V3_BDHV12</stp>
        <stp>CL1 Comdty</stp>
        <stp>PX_OPEN</stp>
        <stp>22/04/2016</stp>
        <stp>22/04/2016</stp>
        <stp>[Bbg_Market_Data_CL.xlsm]data!R242C5</stp>
        <tr r="E242" s="1"/>
        <tr r="E242" s="1"/>
      </tp>
      <tp>
        <v>58.98</v>
        <stp/>
        <stp>##V3_BDHV12</stp>
        <stp>CL1 Comdty</stp>
        <stp>PX_OPEN</stp>
        <stp>01/07/2015</stp>
        <stp>01/07/2015</stp>
        <stp>[Bbg_Market_Data_CL.xlsm]data!R443C5</stp>
        <tr r="E443" s="1"/>
        <tr r="E443" s="1"/>
      </tp>
      <tp>
        <v>59.44</v>
        <stp/>
        <stp>##V3_BDHV12</stp>
        <stp>CL1 Comdty</stp>
        <stp>PX_OPEN</stp>
        <stp>22/06/2015</stp>
        <stp>22/06/2015</stp>
        <stp>[Bbg_Market_Data_CL.xlsm]data!R450C5</stp>
        <tr r="E450" s="1"/>
        <tr r="E450" s="1"/>
      </tp>
      <tp>
        <v>44.59</v>
        <stp/>
        <stp>##V3_BDHV12</stp>
        <stp>CL1 Comdty</stp>
        <stp>PX_OPEN</stp>
        <stp>20/07/2016</stp>
        <stp>20/07/2016</stp>
        <stp>[Bbg_Market_Data_CL.xlsm]data!R181C5</stp>
        <tr r="E181" s="1"/>
        <tr r="E181" s="1"/>
      </tp>
      <tp>
        <v>40.25</v>
        <stp/>
        <stp>##V3_BDHV12</stp>
        <stp>CL1 Comdty</stp>
        <stp>PX_OPEN</stp>
        <stp>18/03/2016</stp>
        <stp>18/03/2016</stp>
        <stp>[Bbg_Market_Data_CL.xlsm]data!R266C5</stp>
        <tr r="E266" s="1"/>
        <tr r="E266" s="1"/>
      </tp>
      <tp>
        <v>31.35</v>
        <stp/>
        <stp>##V3_BDHV12</stp>
        <stp>CL1 Comdty</stp>
        <stp>PX_OPEN</stp>
        <stp>18/02/2016</stp>
        <stp>18/02/2016</stp>
        <stp>[Bbg_Market_Data_CL.xlsm]data!R287C5</stp>
        <tr r="E287" s="1"/>
        <tr r="E287" s="1"/>
      </tp>
      <tp>
        <v>44.82</v>
        <stp/>
        <stp>##V3_BDHV12</stp>
        <stp>CL1 Comdty</stp>
        <stp>PX_OPEN</stp>
        <stp>09/11/2016</stp>
        <stp>09/11/2016</stp>
        <stp>[Bbg_Market_Data_CL.xlsm]data!R104C5</stp>
        <tr r="E104" s="1"/>
        <tr r="E104" s="1"/>
      </tp>
      <tp>
        <v>34.869999999999997</v>
        <stp/>
        <stp>##V3_BDHV12</stp>
        <stp>CL1 Comdty</stp>
        <stp>PX_OPEN</stp>
        <stp>18/12/2015</stp>
        <stp>18/12/2015</stp>
        <stp>[Bbg_Market_Data_CL.xlsm]data!R326C5</stp>
        <tr r="E326" s="1"/>
        <tr r="E326" s="1"/>
      </tp>
      <tp>
        <v>45.23</v>
        <stp/>
        <stp>##V3_BDHV12</stp>
        <stp>CL1 Comdty</stp>
        <stp>PX_OPEN</stp>
        <stp>19/07/2016</stp>
        <stp>19/07/2016</stp>
        <stp>[Bbg_Market_Data_CL.xlsm]data!R182C5</stp>
        <tr r="E182" s="1"/>
        <tr r="E182" s="1"/>
      </tp>
      <tp>
        <v>45</v>
        <stp/>
        <stp>##V3_BDHV12</stp>
        <stp>CL1 Comdty</stp>
        <stp>PX_OPEN</stp>
        <stp>09/05/2016</stp>
        <stp>09/05/2016</stp>
        <stp>[Bbg_Market_Data_CL.xlsm]data!R231C5</stp>
        <tr r="E231" s="1"/>
        <tr r="E231" s="1"/>
      </tp>
      <tp t="s">
        <v>#N/A Requesting Data...</v>
        <stp/>
        <stp>##V3_BDHV12</stp>
        <stp>CL2 Comdty</stp>
        <stp>RSI_14D</stp>
        <stp>30/08/2016</stp>
        <stp>30/08/2016</stp>
        <stp>[Bbg_Market_Data_CL.xlsm]data!R153C13</stp>
        <tr r="M153" s="1"/>
      </tp>
      <tp t="s">
        <v>#N/A Requesting Data...</v>
        <stp/>
        <stp>##V3_BDHV12</stp>
        <stp>CL1 Comdty</stp>
        <stp>RSI_14D</stp>
        <stp>30/08/2016</stp>
        <stp>30/08/2016</stp>
        <stp>[Bbg_Market_Data_CL.xlsm]data!R153C13</stp>
        <tr r="M153" s="1"/>
      </tp>
      <tp t="s">
        <v>#N/A Requesting Data...</v>
        <stp/>
        <stp>##V3_BDHV12</stp>
        <stp>CL1 Comdty</stp>
        <stp>RSI_14D</stp>
        <stp>20/09/2016</stp>
        <stp>20/09/2016</stp>
        <stp>[Bbg_Market_Data_CL.xlsm]data!R139C13</stp>
        <tr r="M139" s="1"/>
      </tp>
      <tp t="s">
        <v>#N/A Requesting Data...</v>
        <stp/>
        <stp>##V3_BDHV12</stp>
        <stp>CL2 Comdty</stp>
        <stp>RSI_14D</stp>
        <stp>20/09/2016</stp>
        <stp>20/09/2016</stp>
        <stp>[Bbg_Market_Data_CL.xlsm]data!R139C13</stp>
        <tr r="M139" s="1"/>
      </tp>
      <tp t="s">
        <v>#N/A Requesting Data...</v>
        <stp/>
        <stp>##V3_BDHV12</stp>
        <stp>CL2 Comdty</stp>
        <stp>RSI_14D</stp>
        <stp>10/09/2015</stp>
        <stp>10/09/2015</stp>
        <stp>[Bbg_Market_Data_CL.xlsm]data!R394C13</stp>
        <tr r="M394" s="1"/>
      </tp>
      <tp t="s">
        <v>#N/A Requesting Data...</v>
        <stp/>
        <stp>##V3_BDHV12</stp>
        <stp>CL1 Comdty</stp>
        <stp>RSI_14D</stp>
        <stp>10/09/2015</stp>
        <stp>10/09/2015</stp>
        <stp>[Bbg_Market_Data_CL.xlsm]data!R394C13</stp>
        <tr r="M394" s="1"/>
      </tp>
      <tp t="s">
        <v>#N/A Requesting Data...</v>
        <stp/>
        <stp>##V3_BDHV12</stp>
        <stp>CL1 Comdty</stp>
        <stp>RSI_30D</stp>
        <stp>13/08/2015</stp>
        <stp>13/08/2015</stp>
        <stp>[Bbg_Market_Data_CL.xlsm]data!R413C14</stp>
        <tr r="N413" s="1"/>
      </tp>
      <tp t="s">
        <v>#N/A Requesting Data...</v>
        <stp/>
        <stp>##V3_BDHV12</stp>
        <stp>CL2 Comdty</stp>
        <stp>RSI_30D</stp>
        <stp>13/08/2015</stp>
        <stp>13/08/2015</stp>
        <stp>[Bbg_Market_Data_CL.xlsm]data!R413C14</stp>
        <tr r="N413" s="1"/>
      </tp>
      <tp t="s">
        <v>#N/A Requesting Data...</v>
        <stp/>
        <stp>##V3_BDHV12</stp>
        <stp>CL1 Comdty</stp>
        <stp>RSI_14D</stp>
        <stp>23/09/2015</stp>
        <stp>23/09/2015</stp>
        <stp>[Bbg_Market_Data_CL.xlsm]data!R385C13</stp>
        <tr r="M385" s="1"/>
      </tp>
      <tp t="s">
        <v>#N/A Requesting Data...</v>
        <stp/>
        <stp>##V3_BDHV12</stp>
        <stp>CL2 Comdty</stp>
        <stp>RSI_14D</stp>
        <stp>23/09/2015</stp>
        <stp>23/09/2015</stp>
        <stp>[Bbg_Market_Data_CL.xlsm]data!R385C13</stp>
        <tr r="M385" s="1"/>
      </tp>
      <tp t="s">
        <v>#N/A Requesting Data...</v>
        <stp/>
        <stp>##V3_BDHV12</stp>
        <stp>CL1 Comdty</stp>
        <stp>RSI_30D</stp>
        <stp>20/08/2015</stp>
        <stp>20/08/2015</stp>
        <stp>[Bbg_Market_Data_CL.xlsm]data!R408C14</stp>
        <tr r="N408" s="1"/>
      </tp>
      <tp t="s">
        <v>#N/A Requesting Data...</v>
        <stp/>
        <stp>##V3_BDHV12</stp>
        <stp>CL2 Comdty</stp>
        <stp>RSI_30D</stp>
        <stp>20/08/2015</stp>
        <stp>20/08/2015</stp>
        <stp>[Bbg_Market_Data_CL.xlsm]data!R408C14</stp>
        <tr r="N408" s="1"/>
      </tp>
      <tp t="s">
        <v>#N/A Requesting Data...</v>
        <stp/>
        <stp>##V3_BDHV12</stp>
        <stp>CL2 Comdty</stp>
        <stp>RSI_14D</stp>
        <stp>12/08/2016</stp>
        <stp>12/08/2016</stp>
        <stp>[Bbg_Market_Data_CL.xlsm]data!R165C13</stp>
        <tr r="M165" s="1"/>
      </tp>
      <tp t="s">
        <v>#N/A Requesting Data...</v>
        <stp/>
        <stp>##V3_BDHV12</stp>
        <stp>CL1 Comdty</stp>
        <stp>RSI_14D</stp>
        <stp>12/08/2016</stp>
        <stp>12/08/2016</stp>
        <stp>[Bbg_Market_Data_CL.xlsm]data!R165C13</stp>
        <tr r="M165" s="1"/>
      </tp>
      <tp t="s">
        <v>#N/A Requesting Data...</v>
        <stp/>
        <stp>##V3_BDHV12</stp>
        <stp>CL2 Comdty</stp>
        <stp>RSI_14D</stp>
        <stp>02/09/2016</stp>
        <stp>02/09/2016</stp>
        <stp>[Bbg_Market_Data_CL.xlsm]data!R150C13</stp>
        <tr r="M150" s="1"/>
      </tp>
      <tp t="s">
        <v>#N/A Requesting Data...</v>
        <stp/>
        <stp>##V3_BDHV12</stp>
        <stp>CL1 Comdty</stp>
        <stp>RSI_14D</stp>
        <stp>02/09/2016</stp>
        <stp>02/09/2016</stp>
        <stp>[Bbg_Market_Data_CL.xlsm]data!R150C13</stp>
        <tr r="M150" s="1"/>
      </tp>
      <tp t="s">
        <v>#N/A Requesting Data...</v>
        <stp/>
        <stp>##V3_BDHV12</stp>
        <stp>CL1 Comdty</stp>
        <stp>RSI_30D</stp>
        <stp>31/08/2015</stp>
        <stp>31/08/2015</stp>
        <stp>[Bbg_Market_Data_CL.xlsm]data!R401C14</stp>
        <tr r="N401" s="1"/>
      </tp>
      <tp t="s">
        <v>#N/A Requesting Data...</v>
        <stp/>
        <stp>##V3_BDHV12</stp>
        <stp>CL2 Comdty</stp>
        <stp>RSI_14D</stp>
        <stp>03/08/2016</stp>
        <stp>03/08/2016</stp>
        <stp>[Bbg_Market_Data_CL.xlsm]data!R171C13</stp>
        <tr r="M171" s="1"/>
      </tp>
      <tp t="s">
        <v>#N/A Requesting Data...</v>
        <stp/>
        <stp>##V3_BDHV12</stp>
        <stp>CL1 Comdty</stp>
        <stp>RSI_14D</stp>
        <stp>03/08/2016</stp>
        <stp>03/08/2016</stp>
        <stp>[Bbg_Market_Data_CL.xlsm]data!R171C13</stp>
        <tr r="M171" s="1"/>
      </tp>
      <tp t="s">
        <v>#N/A Requesting Data...</v>
        <stp/>
        <stp>##V3_BDHV12</stp>
        <stp>CL2 Comdty</stp>
        <stp>RSI_30D</stp>
        <stp>31/08/2015</stp>
        <stp>31/08/2015</stp>
        <stp>[Bbg_Market_Data_CL.xlsm]data!R401C14</stp>
        <tr r="N401" s="1"/>
      </tp>
      <tp t="s">
        <v>#N/A Requesting Data...</v>
        <stp/>
        <stp>##V3_BDHV12</stp>
        <stp>CL2 Comdty</stp>
        <stp>RSI_14D</stp>
        <stp>13/09/2016</stp>
        <stp>13/09/2016</stp>
        <stp>[Bbg_Market_Data_CL.xlsm]data!R144C13</stp>
        <tr r="M144" s="1"/>
      </tp>
      <tp t="s">
        <v>#N/A Requesting Data...</v>
        <stp/>
        <stp>##V3_BDHV12</stp>
        <stp>CL1 Comdty</stp>
        <stp>RSI_14D</stp>
        <stp>13/09/2016</stp>
        <stp>13/09/2016</stp>
        <stp>[Bbg_Market_Data_CL.xlsm]data!R144C13</stp>
        <tr r="M144" s="1"/>
      </tp>
      <tp t="s">
        <v>#N/A Requesting Data...</v>
        <stp/>
        <stp>##V3_BDHV12</stp>
        <stp>CL2 Comdty</stp>
        <stp>RSI_30D</stp>
        <stp>21/09/2015</stp>
        <stp>21/09/2015</stp>
        <stp>[Bbg_Market_Data_CL.xlsm]data!R387C14</stp>
        <tr r="N387" s="1"/>
      </tp>
      <tp t="s">
        <v>#N/A Requesting Data...</v>
        <stp/>
        <stp>##V3_BDHV12</stp>
        <stp>CL1 Comdty</stp>
        <stp>RSI_30D</stp>
        <stp>21/09/2015</stp>
        <stp>21/09/2015</stp>
        <stp>[Bbg_Market_Data_CL.xlsm]data!R387C14</stp>
        <tr r="N387" s="1"/>
      </tp>
      <tp t="s">
        <v>#N/A Requesting Data...</v>
        <stp/>
        <stp>##V3_BDHV12</stp>
        <stp>CL1 Comdty</stp>
        <stp>RSI_30D</stp>
        <stp>10/08/2016</stp>
        <stp>10/08/2016</stp>
        <stp>[Bbg_Market_Data_CL.xlsm]data!R167C14</stp>
        <tr r="N167" s="1"/>
      </tp>
      <tp t="s">
        <v>#N/A Requesting Data...</v>
        <stp/>
        <stp>##V3_BDHV12</stp>
        <stp>CL2 Comdty</stp>
        <stp>RSI_30D</stp>
        <stp>10/08/2016</stp>
        <stp>10/08/2016</stp>
        <stp>[Bbg_Market_Data_CL.xlsm]data!R167C14</stp>
        <tr r="N167" s="1"/>
      </tp>
      <tp t="s">
        <v>#N/A Requesting Data...</v>
        <stp/>
        <stp>##V3_BDHV12</stp>
        <stp>CL1 Comdty</stp>
        <stp>RSI_30D</stp>
        <stp>30/09/2015</stp>
        <stp>30/09/2015</stp>
        <stp>[Bbg_Market_Data_CL.xlsm]data!R380C14</stp>
        <tr r="N380" s="1"/>
      </tp>
      <tp t="s">
        <v>#N/A Requesting Data...</v>
        <stp/>
        <stp>##V3_BDHV12</stp>
        <stp>CL2 Comdty</stp>
        <stp>RSI_30D</stp>
        <stp>30/09/2015</stp>
        <stp>30/09/2015</stp>
        <stp>[Bbg_Market_Data_CL.xlsm]data!R380C14</stp>
        <tr r="N380" s="1"/>
      </tp>
      <tp t="s">
        <v>#N/A Requesting Data...</v>
        <stp/>
        <stp>##V3_BDHV12</stp>
        <stp>CL1 Comdty</stp>
        <stp>RSI_30D</stp>
        <stp>01/08/2016</stp>
        <stp>01/08/2016</stp>
        <stp>[Bbg_Market_Data_CL.xlsm]data!R173C14</stp>
        <tr r="N173" s="1"/>
      </tp>
      <tp t="s">
        <v>#N/A Requesting Data...</v>
        <stp/>
        <stp>##V3_BDHV12</stp>
        <stp>CL2 Comdty</stp>
        <stp>RSI_30D</stp>
        <stp>01/08/2016</stp>
        <stp>01/08/2016</stp>
        <stp>[Bbg_Market_Data_CL.xlsm]data!R173C14</stp>
        <tr r="N173" s="1"/>
      </tp>
      <tp t="s">
        <v>#N/A Requesting Data...</v>
        <stp/>
        <stp>##V3_BDHV12</stp>
        <stp>CL2 Comdty</stp>
        <stp>RSI_30D</stp>
        <stp>03/09/2015</stp>
        <stp>03/09/2015</stp>
        <stp>[Bbg_Market_Data_CL.xlsm]data!R398C14</stp>
        <tr r="N398" s="1"/>
      </tp>
      <tp t="s">
        <v>#N/A Requesting Data...</v>
        <stp/>
        <stp>##V3_BDHV12</stp>
        <stp>CL1 Comdty</stp>
        <stp>RSI_30D</stp>
        <stp>03/09/2015</stp>
        <stp>03/09/2015</stp>
        <stp>[Bbg_Market_Data_CL.xlsm]data!R398C14</stp>
        <tr r="N398" s="1"/>
      </tp>
      <tp t="s">
        <v>#N/A Requesting Data...</v>
        <stp/>
        <stp>##V3_BDHV12</stp>
        <stp>CL2 Comdty</stp>
        <stp>RSI_30D</stp>
        <stp>22/09/2016</stp>
        <stp>22/09/2016</stp>
        <stp>[Bbg_Market_Data_CL.xlsm]data!R137C14</stp>
        <tr r="N137" s="1"/>
      </tp>
      <tp t="s">
        <v>#N/A Requesting Data...</v>
        <stp/>
        <stp>##V3_BDHV12</stp>
        <stp>CL1 Comdty</stp>
        <stp>RSI_30D</stp>
        <stp>22/09/2016</stp>
        <stp>22/09/2016</stp>
        <stp>[Bbg_Market_Data_CL.xlsm]data!R137C14</stp>
        <tr r="N137" s="1"/>
      </tp>
      <tp t="s">
        <v>#N/A Requesting Data...</v>
        <stp/>
        <stp>##V3_BDHV12</stp>
        <stp>CL1 Comdty</stp>
        <stp>RSI_30D</stp>
        <stp>23/08/2016</stp>
        <stp>23/08/2016</stp>
        <stp>[Bbg_Market_Data_CL.xlsm]data!R158C14</stp>
        <tr r="N158" s="1"/>
      </tp>
      <tp t="s">
        <v>#N/A Requesting Data...</v>
        <stp/>
        <stp>##V3_BDHV12</stp>
        <stp>CL2 Comdty</stp>
        <stp>RSI_30D</stp>
        <stp>23/08/2016</stp>
        <stp>23/08/2016</stp>
        <stp>[Bbg_Market_Data_CL.xlsm]data!R158C14</stp>
        <tr r="N158" s="1"/>
      </tp>
      <tp t="s">
        <v>#N/A Requesting Data...</v>
        <stp/>
        <stp>##V3_BDHV12</stp>
        <stp>CL2 Comdty</stp>
        <stp>RSI_14D</stp>
        <stp>11/08/2015</stp>
        <stp>11/08/2015</stp>
        <stp>[Bbg_Market_Data_CL.xlsm]data!R415C13</stp>
        <tr r="M415" s="1"/>
      </tp>
      <tp t="s">
        <v>#N/A Requesting Data...</v>
        <stp/>
        <stp>##V3_BDHV12</stp>
        <stp>CL1 Comdty</stp>
        <stp>RSI_14D</stp>
        <stp>11/08/2015</stp>
        <stp>11/08/2015</stp>
        <stp>[Bbg_Market_Data_CL.xlsm]data!R415C13</stp>
        <tr r="M415" s="1"/>
      </tp>
      <tp t="s">
        <v>#N/A Requesting Data...</v>
        <stp/>
        <stp>##V3_BDHV12</stp>
        <stp>CL2 Comdty</stp>
        <stp>RSI_14D</stp>
        <stp>01/09/2015</stp>
        <stp>01/09/2015</stp>
        <stp>[Bbg_Market_Data_CL.xlsm]data!R400C13</stp>
        <tr r="M400" s="1"/>
      </tp>
      <tp t="s">
        <v>#N/A Requesting Data...</v>
        <stp/>
        <stp>##V3_BDHV12</stp>
        <stp>CL1 Comdty</stp>
        <stp>RSI_14D</stp>
        <stp>01/09/2015</stp>
        <stp>01/09/2015</stp>
        <stp>[Bbg_Market_Data_CL.xlsm]data!R400C13</stp>
        <tr r="M400" s="1"/>
      </tp>
      <tp t="s">
        <v>#N/A Requesting Data...</v>
        <stp/>
        <stp>##V3_BDHV12</stp>
        <stp>CL2 Comdty</stp>
        <stp>RSI_14D</stp>
        <stp>19/10/2015</stp>
        <stp>19/10/2015</stp>
        <stp>[Bbg_Market_Data_CL.xlsm]data!R368C13</stp>
        <tr r="M368" s="1"/>
      </tp>
      <tp t="s">
        <v>#N/A Requesting Data...</v>
        <stp/>
        <stp>##V3_BDHV12</stp>
        <stp>CL1 Comdty</stp>
        <stp>RSI_14D</stp>
        <stp>19/10/2015</stp>
        <stp>19/10/2015</stp>
        <stp>[Bbg_Market_Data_CL.xlsm]data!R368C13</stp>
        <tr r="M368" s="1"/>
      </tp>
      <tp t="s">
        <v>#N/A Requesting Data...</v>
        <stp/>
        <stp>##V3_BDHV12</stp>
        <stp>CL1 Comdty</stp>
        <stp>RSI_14D</stp>
        <stp>09/11/2015</stp>
        <stp>09/11/2015</stp>
        <stp>[Bbg_Market_Data_CL.xlsm]data!R353C13</stp>
        <tr r="M353" s="1"/>
      </tp>
      <tp t="s">
        <v>#N/A Requesting Data...</v>
        <stp/>
        <stp>##V3_BDHV12</stp>
        <stp>CL2 Comdty</stp>
        <stp>RSI_14D</stp>
        <stp>09/11/2015</stp>
        <stp>09/11/2015</stp>
        <stp>[Bbg_Market_Data_CL.xlsm]data!R353C13</stp>
        <tr r="M353" s="1"/>
      </tp>
      <tp t="s">
        <v>#N/A Requesting Data...</v>
        <stp/>
        <stp>##V3_BDHV12</stp>
        <stp>CL2 Comdty</stp>
        <stp>RSI_14D</stp>
        <stp>08/10/2015</stp>
        <stp>08/10/2015</stp>
        <stp>[Bbg_Market_Data_CL.xlsm]data!R374C13</stp>
        <tr r="M374" s="1"/>
      </tp>
      <tp t="s">
        <v>#N/A Requesting Data...</v>
        <stp/>
        <stp>##V3_BDHV12</stp>
        <stp>CL1 Comdty</stp>
        <stp>RSI_14D</stp>
        <stp>08/10/2015</stp>
        <stp>08/10/2015</stp>
        <stp>[Bbg_Market_Data_CL.xlsm]data!R374C13</stp>
        <tr r="M374" s="1"/>
      </tp>
      <tp t="s">
        <v>#N/A Requesting Data...</v>
        <stp/>
        <stp>##V3_BDHV12</stp>
        <stp>CL1 Comdty</stp>
        <stp>RSI_14D</stp>
        <stp>18/11/2015</stp>
        <stp>18/11/2015</stp>
        <stp>[Bbg_Market_Data_CL.xlsm]data!R347C13</stp>
        <tr r="M347" s="1"/>
      </tp>
      <tp t="s">
        <v>#N/A Requesting Data...</v>
        <stp/>
        <stp>##V3_BDHV12</stp>
        <stp>CL2 Comdty</stp>
        <stp>RSI_14D</stp>
        <stp>18/11/2015</stp>
        <stp>18/11/2015</stp>
        <stp>[Bbg_Market_Data_CL.xlsm]data!R347C13</stp>
        <tr r="M347" s="1"/>
      </tp>
      <tp t="s">
        <v>#N/A Requesting Data...</v>
        <stp/>
        <stp>##V3_BDHV12</stp>
        <stp>CL2 Comdty</stp>
        <stp>RSI_14D</stp>
        <stp>28/12/2015</stp>
        <stp>28/12/2015</stp>
        <stp>[Bbg_Market_Data_CL.xlsm]data!R321C13</stp>
        <tr r="M321" s="1"/>
      </tp>
      <tp t="s">
        <v>#N/A Requesting Data...</v>
        <stp/>
        <stp>##V3_BDHV12</stp>
        <stp>CL1 Comdty</stp>
        <stp>RSI_14D</stp>
        <stp>28/12/2015</stp>
        <stp>28/12/2015</stp>
        <stp>[Bbg_Market_Data_CL.xlsm]data!R321C13</stp>
        <tr r="M321" s="1"/>
      </tp>
      <tp t="s">
        <v>#N/A Requesting Data...</v>
        <stp/>
        <stp>##V3_BDHV12</stp>
        <stp>CL2 Comdty</stp>
        <stp>RSI_14D</stp>
        <stp>09/02/2016</stp>
        <stp>09/02/2016</stp>
        <stp>[Bbg_Market_Data_CL.xlsm]data!R292C13</stp>
        <tr r="M292" s="1"/>
      </tp>
      <tp t="s">
        <v>#N/A Requesting Data...</v>
        <stp/>
        <stp>##V3_BDHV12</stp>
        <stp>CL1 Comdty</stp>
        <stp>RSI_14D</stp>
        <stp>09/02/2016</stp>
        <stp>09/02/2016</stp>
        <stp>[Bbg_Market_Data_CL.xlsm]data!R292C13</stp>
        <tr r="M292" s="1"/>
      </tp>
      <tp t="s">
        <v>#N/A Requesting Data...</v>
        <stp/>
        <stp>##V3_BDHV12</stp>
        <stp>CL1 Comdty</stp>
        <stp>RSI_14D</stp>
        <stp>28/01/2016</stp>
        <stp>28/01/2016</stp>
        <stp>[Bbg_Market_Data_CL.xlsm]data!R300C13</stp>
        <tr r="M300" s="1"/>
      </tp>
      <tp t="s">
        <v>#N/A Requesting Data...</v>
        <stp/>
        <stp>##V3_BDHV12</stp>
        <stp>CL2 Comdty</stp>
        <stp>RSI_14D</stp>
        <stp>28/01/2016</stp>
        <stp>28/01/2016</stp>
        <stp>[Bbg_Market_Data_CL.xlsm]data!R300C13</stp>
        <tr r="M300" s="1"/>
      </tp>
      <tp t="s">
        <v>#N/A Requesting Data...</v>
        <stp/>
        <stp>##V3_BDHV12</stp>
        <stp>CL2 Comdty</stp>
        <stp>RSI_14D</stp>
        <stp>18/02/2016</stp>
        <stp>18/02/2016</stp>
        <stp>[Bbg_Market_Data_CL.xlsm]data!R287C13</stp>
        <tr r="M287" s="1"/>
      </tp>
      <tp t="s">
        <v>#N/A Requesting Data...</v>
        <stp/>
        <stp>##V3_BDHV12</stp>
        <stp>CL1 Comdty</stp>
        <stp>RSI_14D</stp>
        <stp>18/02/2016</stp>
        <stp>18/02/2016</stp>
        <stp>[Bbg_Market_Data_CL.xlsm]data!R287C13</stp>
        <tr r="M287" s="1"/>
      </tp>
      <tp t="s">
        <v>#N/A Requesting Data...</v>
        <stp/>
        <stp>##V3_BDHV12</stp>
        <stp>CL1 Comdty</stp>
        <stp>RSI_14D</stp>
        <stp>08/03/2016</stp>
        <stp>08/03/2016</stp>
        <stp>[Bbg_Market_Data_CL.xlsm]data!R274C13</stp>
        <tr r="M274" s="1"/>
      </tp>
      <tp t="s">
        <v>#N/A Requesting Data...</v>
        <stp/>
        <stp>##V3_BDHV12</stp>
        <stp>CL2 Comdty</stp>
        <stp>RSI_14D</stp>
        <stp>08/03/2016</stp>
        <stp>08/03/2016</stp>
        <stp>[Bbg_Market_Data_CL.xlsm]data!R274C13</stp>
        <tr r="M274" s="1"/>
      </tp>
      <tp t="s">
        <v>#N/A Requesting Data...</v>
        <stp/>
        <stp>##V3_BDHV12</stp>
        <stp>CL2 Comdty</stp>
        <stp>RSI_30D</stp>
        <stp>08/11/2016</stp>
        <stp>08/11/2016</stp>
        <stp>[Bbg_Market_Data_CL.xlsm]data!R105C14</stp>
        <tr r="N105" s="1"/>
      </tp>
      <tp t="s">
        <v>#N/A Requesting Data...</v>
        <stp/>
        <stp>##V3_BDHV12</stp>
        <stp>CL1 Comdty</stp>
        <stp>RSI_30D</stp>
        <stp>08/11/2016</stp>
        <stp>08/11/2016</stp>
        <stp>[Bbg_Market_Data_CL.xlsm]data!R105C14</stp>
        <tr r="N105" s="1"/>
      </tp>
      <tp t="s">
        <v>#N/A Requesting Data...</v>
        <stp/>
        <stp>##V3_BDHV12</stp>
        <stp>CL2 Comdty</stp>
        <stp>RSI_30D</stp>
        <stp>18/10/2016</stp>
        <stp>18/10/2016</stp>
        <stp>[Bbg_Market_Data_CL.xlsm]data!R120C14</stp>
        <tr r="N120" s="1"/>
      </tp>
      <tp t="s">
        <v>#N/A Requesting Data...</v>
        <stp/>
        <stp>##V3_BDHV12</stp>
        <stp>CL1 Comdty</stp>
        <stp>RSI_30D</stp>
        <stp>18/10/2016</stp>
        <stp>18/10/2016</stp>
        <stp>[Bbg_Market_Data_CL.xlsm]data!R120C14</stp>
        <tr r="N120" s="1"/>
      </tp>
      <tp t="s">
        <v>#N/A Requesting Data...</v>
        <stp/>
        <stp>##V3_BDHV12</stp>
        <stp>CL1 Comdty</stp>
        <stp>RSI_30D</stp>
        <stp>08/12/2015</stp>
        <stp>08/12/2015</stp>
        <stp>[Bbg_Market_Data_CL.xlsm]data!R334C14</stp>
        <tr r="N334" s="1"/>
      </tp>
      <tp t="s">
        <v>#N/A Requesting Data...</v>
        <stp/>
        <stp>##V3_BDHV12</stp>
        <stp>CL2 Comdty</stp>
        <stp>RSI_30D</stp>
        <stp>08/12/2015</stp>
        <stp>08/12/2015</stp>
        <stp>[Bbg_Market_Data_CL.xlsm]data!R334C14</stp>
        <tr r="N334" s="1"/>
      </tp>
      <tp t="s">
        <v>#N/A Requesting Data...</v>
        <stp/>
        <stp>##V3_BDHV12</stp>
        <stp>CL1 Comdty</stp>
        <stp>RSI_30D</stp>
        <stp>28/10/2015</stp>
        <stp>28/10/2015</stp>
        <stp>[Bbg_Market_Data_CL.xlsm]data!R361C14</stp>
        <tr r="N361" s="1"/>
      </tp>
      <tp t="s">
        <v>#N/A Requesting Data...</v>
        <stp/>
        <stp>##V3_BDHV12</stp>
        <stp>CL2 Comdty</stp>
        <stp>RSI_30D</stp>
        <stp>28/10/2015</stp>
        <stp>28/10/2015</stp>
        <stp>[Bbg_Market_Data_CL.xlsm]data!R361C14</stp>
        <tr r="N361" s="1"/>
      </tp>
      <tp t="s">
        <v>#N/A Requesting Data...</v>
        <stp/>
        <stp>##V3_BDHV12</stp>
        <stp>CL2 Comdty</stp>
        <stp>RSI_30D</stp>
        <stp>29/02/2016</stp>
        <stp>29/02/2016</stp>
        <stp>[Bbg_Market_Data_CL.xlsm]data!R280C14</stp>
        <tr r="N280" s="1"/>
      </tp>
      <tp t="s">
        <v>#N/A Requesting Data...</v>
        <stp/>
        <stp>##V3_BDHV12</stp>
        <stp>CL1 Comdty</stp>
        <stp>RSI_30D</stp>
        <stp>29/02/2016</stp>
        <stp>29/02/2016</stp>
        <stp>[Bbg_Market_Data_CL.xlsm]data!R280C14</stp>
        <tr r="N280" s="1"/>
      </tp>
      <tp t="s">
        <v>#N/A Requesting Data...</v>
        <stp/>
        <stp>##V3_BDHV12</stp>
        <stp>CL1 Comdty</stp>
        <stp>RSI_30D</stp>
        <stp>08/01/2016</stp>
        <stp>08/01/2016</stp>
        <stp>[Bbg_Market_Data_CL.xlsm]data!R313C14</stp>
        <tr r="N313" s="1"/>
      </tp>
      <tp t="s">
        <v>#N/A Requesting Data...</v>
        <stp/>
        <stp>##V3_BDHV12</stp>
        <stp>CL2 Comdty</stp>
        <stp>RSI_30D</stp>
        <stp>08/01/2016</stp>
        <stp>08/01/2016</stp>
        <stp>[Bbg_Market_Data_CL.xlsm]data!R313C14</stp>
        <tr r="N313" s="1"/>
      </tp>
      <tp t="s">
        <v>#N/A Requesting Data...</v>
        <stp/>
        <stp>##V3_BDHV12</stp>
        <stp>CL1 Comdty</stp>
        <stp>RSI_30D</stp>
        <stp>19/01/2016</stp>
        <stp>19/01/2016</stp>
        <stp>[Bbg_Market_Data_CL.xlsm]data!R307C14</stp>
        <tr r="N307" s="1"/>
      </tp>
      <tp t="s">
        <v>#N/A Requesting Data...</v>
        <stp/>
        <stp>##V3_BDHV12</stp>
        <stp>CL2 Comdty</stp>
        <stp>RSI_30D</stp>
        <stp>19/01/2016</stp>
        <stp>19/01/2016</stp>
        <stp>[Bbg_Market_Data_CL.xlsm]data!R307C14</stp>
        <tr r="N307" s="1"/>
      </tp>
      <tp t="s">
        <v>#N/A Requesting Data...</v>
        <stp/>
        <stp>##V3_BDHV12</stp>
        <stp>CL2 Comdty</stp>
        <stp>RSI_30D</stp>
        <stp>28/03/2016</stp>
        <stp>28/03/2016</stp>
        <stp>[Bbg_Market_Data_CL.xlsm]data!R261C14</stp>
        <tr r="N261" s="1"/>
      </tp>
      <tp t="s">
        <v>#N/A Requesting Data...</v>
        <stp/>
        <stp>##V3_BDHV12</stp>
        <stp>CL1 Comdty</stp>
        <stp>RSI_30D</stp>
        <stp>28/03/2016</stp>
        <stp>28/03/2016</stp>
        <stp>[Bbg_Market_Data_CL.xlsm]data!R261C14</stp>
        <tr r="N261" s="1"/>
      </tp>
      <tp>
        <v>44.05</v>
        <stp/>
        <stp>##V3_BDHV12</stp>
        <stp>CL1 Comdty</stp>
        <stp>PX_HIGH</stp>
        <stp>20/09/2016</stp>
        <stp>20/09/2016</stp>
        <stp>[Bbg_Market_Data_CL.xlsm]data!R139C6</stp>
        <tr r="F139" s="1"/>
        <tr r="F139" s="1"/>
      </tp>
      <tp t="s">
        <v>#N/A Requesting Data...</v>
        <stp/>
        <stp>##V3_BDHV12</stp>
        <stp>CL2 Comdty</stp>
        <stp>PX_LAST</stp>
        <stp>22/03/2016</stp>
        <stp>22/03/2016</stp>
        <stp>[Bbg_Market_Data_CL.xlsm]data!R264C9</stp>
        <tr r="I264" s="1"/>
      </tp>
      <tp t="s">
        <v>#N/A Requesting Data...</v>
        <stp/>
        <stp>##V3_BDHV12</stp>
        <stp>CL2 Comdty</stp>
        <stp>PX_LAST</stp>
        <stp>16/07/2015</stp>
        <stp>16/07/2015</stp>
        <stp>[Bbg_Market_Data_CL.xlsm]data!R433C9</stp>
        <tr r="I433" s="1"/>
      </tp>
      <tp t="s">
        <v>#N/A Requesting Data...</v>
        <stp/>
        <stp>##V3_BDHV12</stp>
        <stp>CL1 Comdty</stp>
        <stp>PX_LAST</stp>
        <stp>05/05/2015</stp>
        <stp>05/05/2015</stp>
        <stp>[Bbg_Market_Data_CL.xlsm]data!R483C9</stp>
        <tr r="I483" s="1"/>
      </tp>
      <tp t="s">
        <v>#N/A Requesting Data...</v>
        <stp/>
        <stp>##V3_BDHV12</stp>
        <stp>CL1 Comdty</stp>
        <stp>PX_LAST</stp>
        <stp>22/10/2015</stp>
        <stp>22/10/2015</stp>
        <stp>[Bbg_Market_Data_CL.xlsm]data!R365C9</stp>
        <tr r="I365" s="1"/>
      </tp>
      <tp t="s">
        <v>#N/A Requesting Data...</v>
        <stp/>
        <stp>##V3_BDHV12</stp>
        <stp>CL2 Comdty</stp>
        <stp>PX_LAST</stp>
        <stp>20/01/2016</stp>
        <stp>20/01/2016</stp>
        <stp>[Bbg_Market_Data_CL.xlsm]data!R306C9</stp>
        <tr r="I306" s="1"/>
      </tp>
      <tp t="s">
        <v>#N/A Requesting Data...</v>
        <stp/>
        <stp>##V3_BDHV12</stp>
        <stp>CL1 Comdty</stp>
        <stp>PX_LAST</stp>
        <stp>23/11/2015</stp>
        <stp>23/11/2015</stp>
        <stp>[Bbg_Market_Data_CL.xlsm]data!R344C9</stp>
        <tr r="I344" s="1"/>
      </tp>
      <tp>
        <v>50.92</v>
        <stp/>
        <stp>##V3_BDHV12</stp>
        <stp>CL1 Comdty</stp>
        <stp>PX_HIGH</stp>
        <stp>09/10/2015</stp>
        <stp>09/10/2015</stp>
        <stp>[Bbg_Market_Data_CL.xlsm]data!R373C6</stp>
        <tr r="F373" s="1"/>
        <tr r="F373" s="1"/>
      </tp>
      <tp t="s">
        <v>#N/A Requesting Data...</v>
        <stp/>
        <stp>##V3_BDHV12</stp>
        <stp>CL2 Comdty</stp>
        <stp>PX_LAST</stp>
        <stp>05/07/2016</stp>
        <stp>05/07/2016</stp>
        <stp>[Bbg_Market_Data_CL.xlsm]data!R192C9</stp>
        <tr r="I192" s="1"/>
      </tp>
      <tp t="s">
        <v>#N/A Requesting Data...</v>
        <stp/>
        <stp>##V3_BDHV12</stp>
        <stp>CL2 Comdty</stp>
        <stp>PX_LAST</stp>
        <stp>22/02/2016</stp>
        <stp>22/02/2016</stp>
        <stp>[Bbg_Market_Data_CL.xlsm]data!R285C9</stp>
        <tr r="I285" s="1"/>
      </tp>
      <tp t="s">
        <v>#N/A Requesting Data...</v>
        <stp/>
        <stp>##V3_BDHV12</stp>
        <stp>CL1 Comdty</stp>
        <stp>PX_LAST</stp>
        <stp>06/07/2015</stp>
        <stp>06/07/2015</stp>
        <stp>[Bbg_Market_Data_CL.xlsm]data!R441C9</stp>
        <tr r="I441" s="1"/>
      </tp>
      <tp t="s">
        <v>#N/A Requesting Data...</v>
        <stp/>
        <stp>##V3_BDHV12</stp>
        <stp>CL1 Comdty</stp>
        <stp>PX_LAST</stp>
        <stp>21/01/2016</stp>
        <stp>21/01/2016</stp>
        <stp>[Bbg_Market_Data_CL.xlsm]data!R305C9</stp>
        <tr r="I305" s="1"/>
      </tp>
      <tp>
        <v>34.340000000000003</v>
        <stp/>
        <stp>##V3_BDHV12</stp>
        <stp>CL1 Comdty</stp>
        <stp>PX_HIGH</stp>
        <stp>08/01/2016</stp>
        <stp>08/01/2016</stp>
        <stp>[Bbg_Market_Data_CL.xlsm]data!R313C6</stp>
        <tr r="F313" s="1"/>
        <tr r="F313" s="1"/>
      </tp>
      <tp>
        <v>46.22</v>
        <stp/>
        <stp>##V3_BDHV12</stp>
        <stp>CL1 Comdty</stp>
        <stp>PX_HIGH</stp>
        <stp>28/10/2015</stp>
        <stp>28/10/2015</stp>
        <stp>[Bbg_Market_Data_CL.xlsm]data!R361C6</stp>
        <tr r="F361" s="1"/>
        <tr r="F361" s="1"/>
      </tp>
      <tp>
        <v>41.48</v>
        <stp/>
        <stp>##V3_BDHV12</stp>
        <stp>CL1 Comdty</stp>
        <stp>PX_HIGH</stp>
        <stp>20/08/2015</stp>
        <stp>20/08/2015</stp>
        <stp>[Bbg_Market_Data_CL.xlsm]data!R408C6</stp>
        <tr r="F408" s="1"/>
        <tr r="F408" s="1"/>
      </tp>
      <tp>
        <v>48.32</v>
        <stp/>
        <stp>##V3_BDHV12</stp>
        <stp>CL1 Comdty</stp>
        <stp>PX_HIGH</stp>
        <stp>23/08/2016</stp>
        <stp>23/08/2016</stp>
        <stp>[Bbg_Market_Data_CL.xlsm]data!R158C6</stp>
        <tr r="F158" s="1"/>
        <tr r="F158" s="1"/>
      </tp>
      <tp t="s">
        <v>#N/A Requesting Data...</v>
        <stp/>
        <stp>##V3_BDHV12</stp>
        <stp>CL1 Comdty</stp>
        <stp>PX_LAST</stp>
        <stp>06/07/2016</stp>
        <stp>06/07/2016</stp>
        <stp>[Bbg_Market_Data_CL.xlsm]data!R191C9</stp>
        <tr r="I191" s="1"/>
      </tp>
      <tp t="s">
        <v>#N/A Requesting Data...</v>
        <stp/>
        <stp>##V3_BDHV12</stp>
        <stp>CL2 Comdty</stp>
        <stp>PX_LAST</stp>
        <stp>22/12/2015</stp>
        <stp>22/12/2015</stp>
        <stp>[Bbg_Market_Data_CL.xlsm]data!R324C9</stp>
        <tr r="I324" s="1"/>
      </tp>
      <tp t="s">
        <v>#N/A Requesting Data...</v>
        <stp/>
        <stp>##V3_BDHV12</stp>
        <stp>CL1 Comdty</stp>
        <stp>PX_LAST</stp>
        <stp>24/04/2015</stp>
        <stp>24/04/2015</stp>
        <stp>[Bbg_Market_Data_CL.xlsm]data!R490C9</stp>
        <tr r="I490" s="1"/>
      </tp>
      <tp t="s">
        <v>#N/A Requesting Data...</v>
        <stp/>
        <stp>##V3_BDHV12</stp>
        <stp>CL1 Comdty</stp>
        <stp>PX_LAST</stp>
        <stp>26/04/2016</stp>
        <stp>26/04/2016</stp>
        <stp>[Bbg_Market_Data_CL.xlsm]data!R240C9</stp>
        <tr r="I240" s="1"/>
      </tp>
      <tp t="s">
        <v>#N/A Requesting Data...</v>
        <stp/>
        <stp>##V3_BDHV12</stp>
        <stp>CL1 Comdty</stp>
        <stp>PX_LAST</stp>
        <stp>05/05/2016</stp>
        <stp>05/05/2016</stp>
        <stp>[Bbg_Market_Data_CL.xlsm]data!R233C9</stp>
        <tr r="I233" s="1"/>
      </tp>
      <tp t="s">
        <v>#N/A Requesting Data...</v>
        <stp/>
        <stp>##V3_BDHV12</stp>
        <stp>CL2 Comdty</stp>
        <stp>PX_LAST</stp>
        <stp>02/02/2016</stp>
        <stp>02/02/2016</stp>
        <stp>[Bbg_Market_Data_CL.xlsm]data!R297C9</stp>
        <tr r="I297" s="1"/>
      </tp>
      <tp t="s">
        <v>#N/A Requesting Data...</v>
        <stp/>
        <stp>##V3_BDHV12</stp>
        <stp>CL2 Comdty</stp>
        <stp>PX_LAST</stp>
        <stp>11/10/2016</stp>
        <stp>11/10/2016</stp>
        <stp>[Bbg_Market_Data_CL.xlsm]data!R125C9</stp>
        <tr r="I125" s="1"/>
      </tp>
      <tp t="s">
        <v>#N/A Requesting Data...</v>
        <stp/>
        <stp>##V3_BDHV12</stp>
        <stp>CL2 Comdty</stp>
        <stp>PX_LAST</stp>
        <stp>21/10/2015</stp>
        <stp>21/10/2015</stp>
        <stp>[Bbg_Market_Data_CL.xlsm]data!R366C9</stp>
        <tr r="I366" s="1"/>
      </tp>
      <tp t="s">
        <v>#N/A Requesting Data...</v>
        <stp/>
        <stp>##V3_BDHV12</stp>
        <stp>CL1 Comdty</stp>
        <stp>PX_LAST</stp>
        <stp>25/10/2016</stp>
        <stp>25/10/2016</stp>
        <stp>[Bbg_Market_Data_CL.xlsm]data!R115C9</stp>
        <tr r="I115" s="1"/>
      </tp>
      <tp t="s">
        <v>#N/A Requesting Data...</v>
        <stp/>
        <stp>##V3_BDHV12</stp>
        <stp>CL2 Comdty</stp>
        <stp>PX_LAST</stp>
        <stp>05/11/2015</stp>
        <stp>05/11/2015</stp>
        <stp>[Bbg_Market_Data_CL.xlsm]data!R355C9</stp>
        <tr r="I355" s="1"/>
      </tp>
      <tp t="s">
        <v>#N/A Requesting Data...</v>
        <stp/>
        <stp>##V3_BDHV12</stp>
        <stp>CL2 Comdty</stp>
        <stp>PX_LAST</stp>
        <stp>21/07/2015</stp>
        <stp>21/07/2015</stp>
        <stp>[Bbg_Market_Data_CL.xlsm]data!R430C9</stp>
        <tr r="I430" s="1"/>
      </tp>
      <tp t="s">
        <v>#N/A Requesting Data...</v>
        <stp/>
        <stp>##V3_BDHV12</stp>
        <stp>CL2 Comdty</stp>
        <stp>PX_LAST</stp>
        <stp>04/03/2016</stp>
        <stp>04/03/2016</stp>
        <stp>[Bbg_Market_Data_CL.xlsm]data!R276C9</stp>
        <tr r="I276" s="1"/>
      </tp>
      <tp t="s">
        <v>#N/A Requesting Data...</v>
        <stp/>
        <stp>##V3_BDHV12</stp>
        <stp>CL1 Comdty</stp>
        <stp>PX_LAST</stp>
        <stp>05/02/2016</stp>
        <stp>05/02/2016</stp>
        <stp>[Bbg_Market_Data_CL.xlsm]data!R294C9</stp>
        <tr r="I294" s="1"/>
      </tp>
      <tp t="s">
        <v>#N/A Requesting Data...</v>
        <stp/>
        <stp>##V3_BDHV12</stp>
        <stp>CL2 Comdty</stp>
        <stp>PX_LAST</stp>
        <stp>17/12/2015</stp>
        <stp>17/12/2015</stp>
        <stp>[Bbg_Market_Data_CL.xlsm]data!R327C9</stp>
        <tr r="I327" s="1"/>
      </tp>
      <tp t="s">
        <v>#N/A Requesting Data...</v>
        <stp/>
        <stp>##V3_BDHV12</stp>
        <stp>CL2 Comdty</stp>
        <stp>PX_LAST</stp>
        <stp>12/04/2016</stp>
        <stp>12/04/2016</stp>
        <stp>[Bbg_Market_Data_CL.xlsm]data!R250C9</stp>
        <tr r="I250" s="1"/>
      </tp>
      <tp t="s">
        <v>#N/A Requesting Data...</v>
        <stp/>
        <stp>##V3_BDHV12</stp>
        <stp>CL2 Comdty</stp>
        <stp>PX_LAST</stp>
        <stp>20/05/2016</stp>
        <stp>20/05/2016</stp>
        <stp>[Bbg_Market_Data_CL.xlsm]data!R222C9</stp>
        <tr r="I222" s="1"/>
      </tp>
      <tp t="s">
        <v>#N/A Requesting Data...</v>
        <stp/>
        <stp>##V3_BDHV12</stp>
        <stp>CL2 Comdty</stp>
        <stp>PX_LAST</stp>
        <stp>21/04/2016</stp>
        <stp>21/04/2016</stp>
        <stp>[Bbg_Market_Data_CL.xlsm]data!R243C9</stp>
        <tr r="I243" s="1"/>
      </tp>
      <tp t="s">
        <v>#N/A Requesting Data...</v>
        <stp/>
        <stp>##V3_BDHV12</stp>
        <stp>CL2 Comdty</stp>
        <stp>PX_LAST</stp>
        <stp>07/01/2016</stp>
        <stp>07/01/2016</stp>
        <stp>[Bbg_Market_Data_CL.xlsm]data!R314C9</stp>
        <tr r="I314" s="1"/>
      </tp>
      <tp t="s">
        <v>#N/A Requesting Data...</v>
        <stp/>
        <stp>##V3_BDHV12</stp>
        <stp>CL2 Comdty</stp>
        <stp>PX_LAST</stp>
        <stp>03/06/2015</stp>
        <stp>03/06/2015</stp>
        <stp>[Bbg_Market_Data_CL.xlsm]data!R463C9</stp>
        <tr r="I463" s="1"/>
      </tp>
      <tp t="s">
        <v>#N/A Requesting Data...</v>
        <stp/>
        <stp>##V3_BDHV12</stp>
        <stp>CL1 Comdty</stp>
        <stp>PX_LAST</stp>
        <stp>04/11/2015</stp>
        <stp>04/11/2015</stp>
        <stp>[Bbg_Market_Data_CL.xlsm]data!R356C9</stp>
        <tr r="I356" s="1"/>
      </tp>
      <tp t="s">
        <v>#N/A Requesting Data...</v>
        <stp/>
        <stp>##V3_BDHV12</stp>
        <stp>CL2 Comdty</stp>
        <stp>PX_LAST</stp>
        <stp>24/10/2016</stp>
        <stp>24/10/2016</stp>
        <stp>[Bbg_Market_Data_CL.xlsm]data!R116C9</stp>
        <tr r="I116" s="1"/>
      </tp>
      <tp t="s">
        <v>#N/A Requesting Data...</v>
        <stp/>
        <stp>##V3_BDHV12</stp>
        <stp>CL1 Comdty</stp>
        <stp>PX_LAST</stp>
        <stp>05/10/2015</stp>
        <stp>05/10/2015</stp>
        <stp>[Bbg_Market_Data_CL.xlsm]data!R377C9</stp>
        <tr r="I377" s="1"/>
      </tp>
      <tp t="s">
        <v>#N/A Requesting Data...</v>
        <stp/>
        <stp>##V3_BDHV12</stp>
        <stp>CL2 Comdty</stp>
        <stp>PX_LAST</stp>
        <stp>02/07/2015</stp>
        <stp>02/07/2015</stp>
        <stp>[Bbg_Market_Data_CL.xlsm]data!R442C9</stp>
        <tr r="I442" s="1"/>
      </tp>
      <tp t="s">
        <v>#N/A Requesting Data...</v>
        <stp/>
        <stp>##V3_BDHV12</stp>
        <stp>CL1 Comdty</stp>
        <stp>PX_LAST</stp>
        <stp>31/07/2015</stp>
        <stp>31/07/2015</stp>
        <stp>[Bbg_Market_Data_CL.xlsm]data!R422C9</stp>
        <tr r="I422" s="1"/>
      </tp>
      <tp t="s">
        <v>#N/A Requesting Data...</v>
        <stp/>
        <stp>##V3_BDHV12</stp>
        <stp>CL2 Comdty</stp>
        <stp>PX_LAST</stp>
        <stp>10/04/2015</stp>
        <stp>10/04/2015</stp>
        <stp>[Bbg_Market_Data_CL.xlsm]data!R500C9</stp>
        <tr r="I500" s="1"/>
      </tp>
      <tp t="s">
        <v>#N/A Requesting Data...</v>
        <stp/>
        <stp>##V3_BDHV12</stp>
        <stp>CL1 Comdty</stp>
        <stp>PX_LAST</stp>
        <stp>07/11/2016</stp>
        <stp>07/11/2016</stp>
        <stp>[Bbg_Market_Data_CL.xlsm]data!R106C9</stp>
        <tr r="I106" s="1"/>
      </tp>
      <tp t="s">
        <v>#N/A Requesting Data...</v>
        <stp/>
        <stp>##V3_BDHV12</stp>
        <stp>CL1 Comdty</stp>
        <stp>PX_LAST</stp>
        <stp>07/12/2015</stp>
        <stp>07/12/2015</stp>
        <stp>[Bbg_Market_Data_CL.xlsm]data!R335C9</stp>
        <tr r="I335" s="1"/>
      </tp>
      <tp t="s">
        <v>#N/A Requesting Data...</v>
        <stp/>
        <stp>##V3_BDHV12</stp>
        <stp>CL1 Comdty</stp>
        <stp>PX_LAST</stp>
        <stp>06/10/2016</stp>
        <stp>06/10/2016</stp>
        <stp>[Bbg_Market_Data_CL.xlsm]data!R127C9</stp>
        <tr r="I127" s="1"/>
      </tp>
      <tp t="s">
        <v>#N/A Requesting Data...</v>
        <stp/>
        <stp>##V3_BDHV12</stp>
        <stp>CL2 Comdty</stp>
        <stp>PX_LAST</stp>
        <stp>04/12/2015</stp>
        <stp>04/12/2015</stp>
        <stp>[Bbg_Market_Data_CL.xlsm]data!R336C9</stp>
        <tr r="I336" s="1"/>
      </tp>
      <tp t="s">
        <v>#N/A Requesting Data...</v>
        <stp/>
        <stp>##V3_BDHV12</stp>
        <stp>CL2 Comdty</stp>
        <stp>PX_LAST</stp>
        <stp>17/03/2016</stp>
        <stp>17/03/2016</stp>
        <stp>[Bbg_Market_Data_CL.xlsm]data!R267C9</stp>
        <tr r="I267" s="1"/>
      </tp>
      <tp t="s">
        <v>#N/A Requesting Data...</v>
        <stp/>
        <stp>##V3_BDHV12</stp>
        <stp>CL1 Comdty</stp>
        <stp>PX_LAST</stp>
        <stp>21/05/2015</stp>
        <stp>21/05/2015</stp>
        <stp>[Bbg_Market_Data_CL.xlsm]data!R471C9</stp>
        <tr r="I471" s="1"/>
      </tp>
      <tp t="s">
        <v>#N/A Requesting Data...</v>
        <stp/>
        <stp>##V3_BDHV12</stp>
        <stp>CL1 Comdty</stp>
        <stp>PX_LAST</stp>
        <stp>04/01/2016</stp>
        <stp>04/01/2016</stp>
        <stp>[Bbg_Market_Data_CL.xlsm]data!R317C9</stp>
        <tr r="I317" s="1"/>
      </tp>
      <tp t="s">
        <v>#N/A Requesting Data...</v>
        <stp/>
        <stp>##V3_BDHV12</stp>
        <stp>CL2 Comdty</stp>
        <stp>PX_LAST</stp>
        <stp>03/06/2016</stp>
        <stp>03/06/2016</stp>
        <stp>[Bbg_Market_Data_CL.xlsm]data!R213C9</stp>
        <tr r="I213" s="1"/>
      </tp>
      <tp t="s">
        <v>#N/A Requesting Data...</v>
        <stp/>
        <stp>##V3_BDHV12</stp>
        <stp>CL2 Comdty</stp>
        <stp>PX_LAST</stp>
        <stp>21/06/2016</stp>
        <stp>21/06/2016</stp>
        <stp>[Bbg_Market_Data_CL.xlsm]data!R201C9</stp>
        <tr r="I201" s="1"/>
      </tp>
      <tp>
        <v>48.18</v>
        <stp/>
        <stp>##V3_BDHV12</stp>
        <stp>CL1 Comdty</stp>
        <stp>PX_HIGH</stp>
        <stp>28/06/2016</stp>
        <stp>28/06/2016</stp>
        <stp>[Bbg_Market_Data_CL.xlsm]data!R196C6</stp>
        <tr r="F196" s="1"/>
        <tr r="F196" s="1"/>
      </tp>
      <tp t="s">
        <v>#N/A Requesting Data...</v>
        <stp/>
        <stp>##V3_BDHV12</stp>
        <stp>CL1 Comdty</stp>
        <stp>PX_LAST</stp>
        <stp>07/03/2016</stp>
        <stp>07/03/2016</stp>
        <stp>[Bbg_Market_Data_CL.xlsm]data!R275C9</stp>
        <tr r="I275" s="1"/>
      </tp>
      <tp t="s">
        <v>#N/A Requesting Data...</v>
        <stp/>
        <stp>##V3_BDHV12</stp>
        <stp>CL2 Comdty</stp>
        <stp>PX_LAST</stp>
        <stp>21/04/2015</stp>
        <stp>21/04/2015</stp>
        <stp>[Bbg_Market_Data_CL.xlsm]data!R493C9</stp>
        <tr r="I493" s="1"/>
      </tp>
      <tp t="s">
        <v>#N/A Requesting Data...</v>
        <stp/>
        <stp>##V3_BDHV12</stp>
        <stp>CL2 Comdty</stp>
        <stp>PX_LAST</stp>
        <stp>20/05/2015</stp>
        <stp>20/05/2015</stp>
        <stp>[Bbg_Market_Data_CL.xlsm]data!R472C9</stp>
        <tr r="I472" s="1"/>
      </tp>
      <tp t="s">
        <v>#N/A Requesting Data...</v>
        <stp/>
        <stp>##V3_BDHV12</stp>
        <stp>CL2 Comdty</stp>
        <stp>PX_LAST</stp>
        <stp>21/07/2016</stp>
        <stp>21/07/2016</stp>
        <stp>[Bbg_Market_Data_CL.xlsm]data!R180C9</stp>
        <tr r="I180" s="1"/>
      </tp>
      <tp t="s">
        <v>#N/A Requesting Data...</v>
        <stp/>
        <stp>##V3_BDHV12</stp>
        <stp>CL1 Comdty</stp>
        <stp>PX_LAST</stp>
        <stp>23/05/2016</stp>
        <stp>23/05/2016</stp>
        <stp>[Bbg_Market_Data_CL.xlsm]data!R221C9</stp>
        <tr r="I221" s="1"/>
      </tp>
      <tp t="s">
        <v>#N/A Requesting Data...</v>
        <stp/>
        <stp>##V3_BDHV12</stp>
        <stp>CL1 Comdty</stp>
        <stp>PX_LAST</stp>
        <stp>20/06/2016</stp>
        <stp>20/06/2016</stp>
        <stp>[Bbg_Market_Data_CL.xlsm]data!R202C9</stp>
        <tr r="I202" s="1"/>
      </tp>
      <tp>
        <v>43.39</v>
        <stp/>
        <stp>##V3_BDHV12</stp>
        <stp>CL1 Comdty</stp>
        <stp>PX_HIGH</stp>
        <stp>26/07/2016</stp>
        <stp>26/07/2016</stp>
        <stp>[Bbg_Market_Data_CL.xlsm]data!R177C6</stp>
        <tr r="F177" s="1"/>
        <tr r="F177" s="1"/>
      </tp>
      <tp>
        <v>46.33</v>
        <stp/>
        <stp>##V3_BDHV12</stp>
        <stp>CL1 Comdty</stp>
        <stp>PX_HIGH</stp>
        <stp>15/07/2016</stp>
        <stp>15/07/2016</stp>
        <stp>[Bbg_Market_Data_CL.xlsm]data!R184C6</stp>
        <tr r="F184" s="1"/>
        <tr r="F184" s="1"/>
      </tp>
      <tp>
        <v>60.84</v>
        <stp/>
        <stp>##V3_BDHV12</stp>
        <stp>CL1 Comdty</stp>
        <stp>PX_HIGH</stp>
        <stp>14/05/2015</stp>
        <stp>14/05/2015</stp>
        <stp>[Bbg_Market_Data_CL.xlsm]data!R476C6</stp>
        <tr r="F476" s="1"/>
        <tr r="F476" s="1"/>
      </tp>
      <tp>
        <v>29.22</v>
        <stp/>
        <stp>##V3_BDHV12</stp>
        <stp>CL1 Comdty</stp>
        <stp>PX_HIGH</stp>
        <stp>10/02/2016</stp>
        <stp>10/02/2016</stp>
        <stp>[Bbg_Market_Data_CL.xlsm]data!R291C6</stp>
        <tr r="F291" s="1"/>
        <tr r="F291" s="1"/>
      </tp>
      <tp>
        <v>56.69</v>
        <stp/>
        <stp>##V3_BDHV12</stp>
        <stp>CL1 Comdty</stp>
        <stp>PX_HIGH</stp>
        <stp>15/04/2015</stp>
        <stp>15/04/2015</stp>
        <stp>[Bbg_Market_Data_CL.xlsm]data!R497C6</stp>
        <tr r="F497" s="1"/>
        <tr r="F497" s="1"/>
      </tp>
      <tp t="s">
        <v>#N/A Requesting Data...</v>
        <stp/>
        <stp>##V3_BDHV12</stp>
        <stp>CL2 Comdty</stp>
        <stp>PX_LAST</stp>
        <stp>08/10/2015</stp>
        <stp>08/10/2015</stp>
        <stp>[Bbg_Market_Data_CL.xlsm]data!R374C9</stp>
        <tr r="I374" s="1"/>
      </tp>
      <tp t="s">
        <v>#N/A Requesting Data...</v>
        <stp/>
        <stp>##V3_BDHV12</stp>
        <stp>CL1 Comdty</stp>
        <stp>PX_LAST</stp>
        <stp>18/11/2015</stp>
        <stp>18/11/2015</stp>
        <stp>[Bbg_Market_Data_CL.xlsm]data!R347C9</stp>
        <tr r="I347" s="1"/>
      </tp>
      <tp>
        <v>48.72</v>
        <stp/>
        <stp>##V3_BDHV12</stp>
        <stp>CL1 Comdty</stp>
        <stp>PX_HIGH</stp>
        <stp>15/06/2016</stp>
        <stp>15/06/2016</stp>
        <stp>[Bbg_Market_Data_CL.xlsm]data!R205C6</stp>
        <tr r="F205" s="1"/>
        <tr r="F205" s="1"/>
      </tp>
      <tp>
        <v>47.98</v>
        <stp/>
        <stp>##V3_BDHV12</stp>
        <stp>CL1 Comdty</stp>
        <stp>PX_HIGH</stp>
        <stp>16/05/2016</stp>
        <stp>16/05/2016</stp>
        <stp>[Bbg_Market_Data_CL.xlsm]data!R226C6</stp>
        <tr r="F226" s="1"/>
        <tr r="F226" s="1"/>
      </tp>
      <tp>
        <v>49.03</v>
        <stp/>
        <stp>##V3_BDHV12</stp>
        <stp>CL1 Comdty</stp>
        <stp>PX_HIGH</stp>
        <stp>24/07/2015</stp>
        <stp>24/07/2015</stp>
        <stp>[Bbg_Market_Data_CL.xlsm]data!R427C6</stp>
        <tr r="F427" s="1"/>
        <tr r="F427" s="1"/>
      </tp>
      <tp>
        <v>41.34</v>
        <stp/>
        <stp>##V3_BDHV12</stp>
        <stp>CL1 Comdty</stp>
        <stp>PX_HIGH</stp>
        <stp>23/03/2016</stp>
        <stp>23/03/2016</stp>
        <stp>[Bbg_Market_Data_CL.xlsm]data!R263C6</stp>
        <tr r="F263" s="1"/>
        <tr r="F263" s="1"/>
      </tp>
      <tp t="s">
        <v>#N/A Requesting Data...</v>
        <stp/>
        <stp>##V3_BDHV12</stp>
        <stp>CL2 Comdty</stp>
        <stp>PX_LAST</stp>
        <stp>19/02/2016</stp>
        <stp>19/02/2016</stp>
        <stp>[Bbg_Market_Data_CL.xlsm]data!R286C9</stp>
        <tr r="I286" s="1"/>
      </tp>
      <tp>
        <v>48.43</v>
        <stp/>
        <stp>##V3_BDHV12</stp>
        <stp>CL1 Comdty</stp>
        <stp>PX_HIGH</stp>
        <stp>13/10/2015</stp>
        <stp>13/10/2015</stp>
        <stp>[Bbg_Market_Data_CL.xlsm]data!R372C6</stp>
        <tr r="F372" s="1"/>
        <tr r="F372" s="1"/>
      </tp>
      <tp>
        <v>59.98</v>
        <stp/>
        <stp>##V3_BDHV12</stp>
        <stp>CL1 Comdty</stp>
        <stp>PX_HIGH</stp>
        <stp>15/06/2015</stp>
        <stp>15/06/2015</stp>
        <stp>[Bbg_Market_Data_CL.xlsm]data!R455C6</stp>
        <tr r="F455" s="1"/>
        <tr r="F455" s="1"/>
      </tp>
      <tp>
        <v>33.200000000000003</v>
        <stp/>
        <stp>##V3_BDHV12</stp>
        <stp>CL1 Comdty</stp>
        <stp>PX_HIGH</stp>
        <stp>11/01/2016</stp>
        <stp>11/01/2016</stp>
        <stp>[Bbg_Market_Data_CL.xlsm]data!R312C6</stp>
        <tr r="F312" s="1"/>
        <tr r="F312" s="1"/>
      </tp>
      <tp>
        <v>59.96</v>
        <stp/>
        <stp>##V3_BDHV12</stp>
        <stp>CL1 Comdty</stp>
        <stp>PX_HIGH</stp>
        <stp>26/06/2015</stp>
        <stp>26/06/2015</stp>
        <stp>[Bbg_Market_Data_CL.xlsm]data!R446C6</stp>
        <tr r="F446" s="1"/>
        <tr r="F446" s="1"/>
      </tp>
      <tp t="s">
        <v>#N/A Requesting Data...</v>
        <stp/>
        <stp>##V3_BDHV12</stp>
        <stp>CL2 Comdty</stp>
        <stp>PX_LAST</stp>
        <stp>08/11/2016</stp>
        <stp>08/11/2016</stp>
        <stp>[Bbg_Market_Data_CL.xlsm]data!R105C9</stp>
        <tr r="I105" s="1"/>
      </tp>
      <tp>
        <v>41.73</v>
        <stp/>
        <stp>##V3_BDHV12</stp>
        <stp>CL1 Comdty</stp>
        <stp>PX_HIGH</stp>
        <stp>15/04/2016</stp>
        <stp>15/04/2016</stp>
        <stp>[Bbg_Market_Data_CL.xlsm]data!R247C6</stp>
        <tr r="F247" s="1"/>
        <tr r="F247" s="1"/>
      </tp>
      <tp>
        <v>37.21</v>
        <stp/>
        <stp>##V3_BDHV12</stp>
        <stp>CL1 Comdty</stp>
        <stp>PX_HIGH</stp>
        <stp>04/04/2016</stp>
        <stp>04/04/2016</stp>
        <stp>[Bbg_Market_Data_CL.xlsm]data!R256C6</stp>
        <tr r="F256" s="1"/>
        <tr r="F256" s="1"/>
      </tp>
      <tp>
        <v>37.950000000000003</v>
        <stp/>
        <stp>##V3_BDHV12</stp>
        <stp>CL1 Comdty</stp>
        <stp>PX_HIGH</stp>
        <stp>23/12/2015</stp>
        <stp>23/12/2015</stp>
        <stp>[Bbg_Market_Data_CL.xlsm]data!R323C6</stp>
        <tr r="F323" s="1"/>
        <tr r="F323" s="1"/>
      </tp>
      <tp>
        <v>53.5</v>
        <stp/>
        <stp>##V3_BDHV12</stp>
        <stp>CL1 Comdty</stp>
        <stp>PX_HIGH</stp>
        <stp>15/07/2015</stp>
        <stp>15/07/2015</stp>
        <stp>[Bbg_Market_Data_CL.xlsm]data!R434C6</stp>
        <tr r="F434" s="1"/>
        <tr r="F434" s="1"/>
      </tp>
      <tp>
        <v>45.64</v>
        <stp/>
        <stp>##V3_BDHV12</stp>
        <stp>CL1 Comdty</stp>
        <stp>PX_HIGH</stp>
        <stp>10/11/2016</stp>
        <stp>10/11/2016</stp>
        <stp>[Bbg_Market_Data_CL.xlsm]data!R103C6</stp>
        <tr r="F103" s="1"/>
        <tr r="F103" s="1"/>
      </tp>
      <tp>
        <v>61.58</v>
        <stp/>
        <stp>##V3_BDHV12</stp>
        <stp>CL1 Comdty</stp>
        <stp>PX_HIGH</stp>
        <stp>02/06/2015</stp>
        <stp>02/06/2015</stp>
        <stp>[Bbg_Market_Data_CL.xlsm]data!R464C6</stp>
        <tr r="F464" s="1"/>
        <tr r="F464" s="1"/>
      </tp>
      <tp>
        <v>38.770000000000003</v>
        <stp/>
        <stp>##V3_BDHV12</stp>
        <stp>CL1 Comdty</stp>
        <stp>PX_HIGH</stp>
        <stp>14/03/2016</stp>
        <stp>14/03/2016</stp>
        <stp>[Bbg_Market_Data_CL.xlsm]data!R270C6</stp>
        <tr r="F270" s="1"/>
        <tr r="F270" s="1"/>
      </tp>
      <tp>
        <v>42.91</v>
        <stp/>
        <stp>##V3_BDHV12</stp>
        <stp>CL1 Comdty</stp>
        <stp>PX_HIGH</stp>
        <stp>20/04/2016</stp>
        <stp>20/04/2016</stp>
        <stp>[Bbg_Market_Data_CL.xlsm]data!R244C6</stp>
        <tr r="F244" s="1"/>
        <tr r="F244" s="1"/>
      </tp>
      <tp t="s">
        <v>#N/A Requesting Data...</v>
        <stp/>
        <stp>##V3_BDHV12</stp>
        <stp>CL2 Comdty</stp>
        <stp>PX_LAST</stp>
        <stp>08/05/2015</stp>
        <stp>08/05/2015</stp>
        <stp>[Bbg_Market_Data_CL.xlsm]data!R480C9</stp>
        <tr r="I480" s="1"/>
      </tp>
      <tp t="s">
        <v>#N/A Requesting Data...</v>
        <stp/>
        <stp>##V3_BDHV12</stp>
        <stp>CL2 Comdty</stp>
        <stp>PX_LAST</stp>
        <stp>18/07/2016</stp>
        <stp>18/07/2016</stp>
        <stp>[Bbg_Market_Data_CL.xlsm]data!R183C9</stp>
        <tr r="I183" s="1"/>
      </tp>
      <tp t="s">
        <v>#N/A Requesting Data...</v>
        <stp/>
        <stp>##V3_BDHV12</stp>
        <stp>CL1 Comdty</stp>
        <stp>PX_LAST</stp>
        <stp>08/06/2016</stp>
        <stp>08/06/2016</stp>
        <stp>[Bbg_Market_Data_CL.xlsm]data!R210C9</stp>
        <tr r="I210" s="1"/>
      </tp>
      <tp>
        <v>33.49</v>
        <stp/>
        <stp>##V3_BDHV12</stp>
        <stp>CL1 Comdty</stp>
        <stp>PX_HIGH</stp>
        <stp>25/02/2016</stp>
        <stp>25/02/2016</stp>
        <stp>[Bbg_Market_Data_CL.xlsm]data!R282C6</stp>
        <tr r="F282" s="1"/>
        <tr r="F282" s="1"/>
      </tp>
      <tp>
        <v>57.17</v>
        <stp/>
        <stp>##V3_BDHV12</stp>
        <stp>CL1 Comdty</stp>
        <stp>PX_HIGH</stp>
        <stp>20/04/2015</stp>
        <stp>20/04/2015</stp>
        <stp>[Bbg_Market_Data_CL.xlsm]data!R494C6</stp>
        <tr r="F494" s="1"/>
        <tr r="F494" s="1"/>
      </tp>
      <tp>
        <v>51.14</v>
        <stp/>
        <stp>##V3_BDHV12</stp>
        <stp>CL1 Comdty</stp>
        <stp>PX_HIGH</stp>
        <stp>14/10/2016</stp>
        <stp>14/10/2016</stp>
        <stp>[Bbg_Market_Data_CL.xlsm]data!R122C6</stp>
        <tr r="F122" s="1"/>
        <tr r="F122" s="1"/>
      </tp>
      <tp t="s">
        <v>#N/A Requesting Data...</v>
        <stp/>
        <stp>##V3_BDHV12</stp>
        <stp>CL1 Comdty</stp>
        <stp>PX_LAST</stp>
        <stp>19/06/2015</stp>
        <stp>19/06/2015</stp>
        <stp>[Bbg_Market_Data_CL.xlsm]data!R451C9</stp>
        <tr r="I451" s="1"/>
      </tp>
      <tp t="s">
        <v>#N/A Requesting Data...</v>
        <stp/>
        <stp>##V3_BDHV12</stp>
        <stp>CL1 Comdty</stp>
        <stp>PX_LAST</stp>
        <stp>08/06/2015</stp>
        <stp>08/06/2015</stp>
        <stp>[Bbg_Market_Data_CL.xlsm]data!R460C9</stp>
        <tr r="I460" s="1"/>
      </tp>
      <tp>
        <v>36.700000000000003</v>
        <stp/>
        <stp>##V3_BDHV12</stp>
        <stp>CL1 Comdty</stp>
        <stp>PX_HIGH</stp>
        <stp>14/12/2015</stp>
        <stp>14/12/2015</stp>
        <stp>[Bbg_Market_Data_CL.xlsm]data!R330C6</stp>
        <tr r="F330" s="1"/>
        <tr r="F330" s="1"/>
      </tp>
      <tp>
        <v>32.840000000000003</v>
        <stp/>
        <stp>##V3_BDHV12</stp>
        <stp>CL1 Comdty</stp>
        <stp>PX_HIGH</stp>
        <stp>27/01/2016</stp>
        <stp>27/01/2016</stp>
        <stp>[Bbg_Market_Data_CL.xlsm]data!R301C6</stp>
        <tr r="F301" s="1"/>
        <tr r="F301" s="1"/>
      </tp>
      <tp>
        <v>49.47</v>
        <stp/>
        <stp>##V3_BDHV12</stp>
        <stp>CL1 Comdty</stp>
        <stp>PX_HIGH</stp>
        <stp>02/06/2016</stp>
        <stp>02/06/2016</stp>
        <stp>[Bbg_Market_Data_CL.xlsm]data!R214C6</stp>
        <tr r="F214" s="1"/>
        <tr r="F214" s="1"/>
      </tp>
      <tp t="s">
        <v>#N/A Requesting Data...</v>
        <stp/>
        <stp>##V3_BDHV12</stp>
        <stp>CL2 Comdty</stp>
        <stp>PX_LAST</stp>
        <stp>18/06/2015</stp>
        <stp>18/06/2015</stp>
        <stp>[Bbg_Market_Data_CL.xlsm]data!R452C9</stp>
        <tr r="I452" s="1"/>
      </tp>
      <tp t="s">
        <v>#N/A Requesting Data...</v>
        <stp/>
        <stp>##V3_BDHV12</stp>
        <stp>CL1 Comdty</stp>
        <stp>PX_LAST</stp>
        <stp>08/04/2016</stp>
        <stp>08/04/2016</stp>
        <stp>[Bbg_Market_Data_CL.xlsm]data!R252C9</stp>
        <tr r="I252" s="1"/>
      </tp>
      <tp>
        <v>49.11</v>
        <stp/>
        <stp>##V3_BDHV12</stp>
        <stp>CL1 Comdty</stp>
        <stp>PX_OPEN</stp>
        <stp>05/07/2016</stp>
        <stp>05/07/2016</stp>
        <stp>[Bbg_Market_Data_CL.xlsm]data!R192C5</stp>
        <tr r="E192" s="1"/>
        <tr r="E192" s="1"/>
      </tp>
      <tp>
        <v>29.72</v>
        <stp/>
        <stp>##V3_BDHV12</stp>
        <stp>CL1 Comdty</stp>
        <stp>PX_OPEN</stp>
        <stp>22/02/2016</stp>
        <stp>22/02/2016</stp>
        <stp>[Bbg_Market_Data_CL.xlsm]data!R285C5</stp>
        <tr r="E285" s="1"/>
        <tr r="E285" s="1"/>
      </tp>
      <tp>
        <v>28.33</v>
        <stp/>
        <stp>##V3_BDHV12</stp>
        <stp>CL1 Comdty</stp>
        <stp>PX_OPEN</stp>
        <stp>20/01/2016</stp>
        <stp>20/01/2016</stp>
        <stp>[Bbg_Market_Data_CL.xlsm]data!R306C5</stp>
        <tr r="E306" s="1"/>
        <tr r="E306" s="1"/>
      </tp>
      <tp>
        <v>41.59</v>
        <stp/>
        <stp>##V3_BDHV12</stp>
        <stp>CL1 Comdty</stp>
        <stp>PX_OPEN</stp>
        <stp>22/03/2016</stp>
        <stp>22/03/2016</stp>
        <stp>[Bbg_Market_Data_CL.xlsm]data!R264C5</stp>
        <tr r="E264" s="1"/>
        <tr r="E264" s="1"/>
      </tp>
      <tp>
        <v>51.62</v>
        <stp/>
        <stp>##V3_BDHV12</stp>
        <stp>CL1 Comdty</stp>
        <stp>PX_OPEN</stp>
        <stp>16/07/2015</stp>
        <stp>16/07/2015</stp>
        <stp>[Bbg_Market_Data_CL.xlsm]data!R433C5</stp>
        <tr r="E433" s="1"/>
        <tr r="E433" s="1"/>
      </tp>
      <tp>
        <v>51.1</v>
        <stp/>
        <stp>##V3_BDHV12</stp>
        <stp>CL1 Comdty</stp>
        <stp>PX_OPEN</stp>
        <stp>11/10/2016</stp>
        <stp>11/10/2016</stp>
        <stp>[Bbg_Market_Data_CL.xlsm]data!R125C5</stp>
        <tr r="E125" s="1"/>
        <tr r="E125" s="1"/>
      </tp>
      <tp>
        <v>31.37</v>
        <stp/>
        <stp>##V3_BDHV12</stp>
        <stp>CL1 Comdty</stp>
        <stp>PX_OPEN</stp>
        <stp>02/02/2016</stp>
        <stp>02/02/2016</stp>
        <stp>[Bbg_Market_Data_CL.xlsm]data!R297C5</stp>
        <tr r="E297" s="1"/>
        <tr r="E297" s="1"/>
      </tp>
      <tp>
        <v>45.88</v>
        <stp/>
        <stp>##V3_BDHV12</stp>
        <stp>CL1 Comdty</stp>
        <stp>PX_OPEN</stp>
        <stp>21/10/2015</stp>
        <stp>21/10/2015</stp>
        <stp>[Bbg_Market_Data_CL.xlsm]data!R366C5</stp>
        <tr r="E366" s="1"/>
        <tr r="E366" s="1"/>
      </tp>
      <tp>
        <v>35.799999999999997</v>
        <stp/>
        <stp>##V3_BDHV12</stp>
        <stp>CL1 Comdty</stp>
        <stp>PX_OPEN</stp>
        <stp>22/12/2015</stp>
        <stp>22/12/2015</stp>
        <stp>[Bbg_Market_Data_CL.xlsm]data!R324C5</stp>
        <tr r="E324" s="1"/>
        <tr r="E324" s="1"/>
      </tp>
      <tp>
        <v>50.73</v>
        <stp/>
        <stp>##V3_BDHV12</stp>
        <stp>CL1 Comdty</stp>
        <stp>PX_OPEN</stp>
        <stp>10/04/2015</stp>
        <stp>10/04/2015</stp>
        <stp>[Bbg_Market_Data_CL.xlsm]data!R500C5</stp>
        <tr r="E500" s="1"/>
        <tr r="E500" s="1"/>
      </tp>
      <tp>
        <v>34.090000000000003</v>
        <stp/>
        <stp>##V3_BDHV12</stp>
        <stp>CL1 Comdty</stp>
        <stp>PX_OPEN</stp>
        <stp>07/01/2016</stp>
        <stp>07/01/2016</stp>
        <stp>[Bbg_Market_Data_CL.xlsm]data!R314C5</stp>
        <tr r="E314" s="1"/>
        <tr r="E314" s="1"/>
      </tp>
      <tp>
        <v>61.02</v>
        <stp/>
        <stp>##V3_BDHV12</stp>
        <stp>CL1 Comdty</stp>
        <stp>PX_OPEN</stp>
        <stp>03/06/2015</stp>
        <stp>03/06/2015</stp>
        <stp>[Bbg_Market_Data_CL.xlsm]data!R463C5</stp>
        <tr r="E463" s="1"/>
        <tr r="E463" s="1"/>
      </tp>
      <tp>
        <v>50.85</v>
        <stp/>
        <stp>##V3_BDHV12</stp>
        <stp>CL1 Comdty</stp>
        <stp>PX_OPEN</stp>
        <stp>24/10/2016</stp>
        <stp>24/10/2016</stp>
        <stp>[Bbg_Market_Data_CL.xlsm]data!R116C5</stp>
        <tr r="E116" s="1"/>
        <tr r="E116" s="1"/>
      </tp>
      <tp>
        <v>56.87</v>
        <stp/>
        <stp>##V3_BDHV12</stp>
        <stp>CL1 Comdty</stp>
        <stp>PX_OPEN</stp>
        <stp>02/07/2015</stp>
        <stp>02/07/2015</stp>
        <stp>[Bbg_Market_Data_CL.xlsm]data!R442C5</stp>
        <tr r="E442" s="1"/>
        <tr r="E442" s="1"/>
      </tp>
      <tp>
        <v>49.95</v>
        <stp/>
        <stp>##V3_BDHV12</stp>
        <stp>CL1 Comdty</stp>
        <stp>PX_OPEN</stp>
        <stp>21/07/2015</stp>
        <stp>21/07/2015</stp>
        <stp>[Bbg_Market_Data_CL.xlsm]data!R430C5</stp>
        <tr r="E430" s="1"/>
        <tr r="E430" s="1"/>
      </tp>
      <tp>
        <v>34.659999999999997</v>
        <stp/>
        <stp>##V3_BDHV12</stp>
        <stp>CL1 Comdty</stp>
        <stp>PX_OPEN</stp>
        <stp>04/03/2016</stp>
        <stp>04/03/2016</stp>
        <stp>[Bbg_Market_Data_CL.xlsm]data!R276C5</stp>
        <tr r="E276" s="1"/>
        <tr r="E276" s="1"/>
      </tp>
      <tp>
        <v>35.799999999999997</v>
        <stp/>
        <stp>##V3_BDHV12</stp>
        <stp>CL1 Comdty</stp>
        <stp>PX_OPEN</stp>
        <stp>17/12/2015</stp>
        <stp>17/12/2015</stp>
        <stp>[Bbg_Market_Data_CL.xlsm]data!R327C5</stp>
        <tr r="E327" s="1"/>
        <tr r="E327" s="1"/>
      </tp>
      <tp>
        <v>46.57</v>
        <stp/>
        <stp>##V3_BDHV12</stp>
        <stp>CL1 Comdty</stp>
        <stp>PX_OPEN</stp>
        <stp>05/11/2015</stp>
        <stp>05/11/2015</stp>
        <stp>[Bbg_Market_Data_CL.xlsm]data!R355C5</stp>
        <tr r="E355" s="1"/>
        <tr r="E355" s="1"/>
      </tp>
      <tp>
        <v>48.2</v>
        <stp/>
        <stp>##V3_BDHV12</stp>
        <stp>CL1 Comdty</stp>
        <stp>PX_OPEN</stp>
        <stp>20/05/2016</stp>
        <stp>20/05/2016</stp>
        <stp>[Bbg_Market_Data_CL.xlsm]data!R222C5</stp>
        <tr r="E222" s="1"/>
        <tr r="E222" s="1"/>
      </tp>
      <tp>
        <v>43.97</v>
        <stp/>
        <stp>##V3_BDHV12</stp>
        <stp>CL1 Comdty</stp>
        <stp>PX_OPEN</stp>
        <stp>21/04/2016</stp>
        <stp>21/04/2016</stp>
        <stp>[Bbg_Market_Data_CL.xlsm]data!R243C5</stp>
        <tr r="E243" s="1"/>
        <tr r="E243" s="1"/>
      </tp>
      <tp>
        <v>40.35</v>
        <stp/>
        <stp>##V3_BDHV12</stp>
        <stp>CL1 Comdty</stp>
        <stp>PX_OPEN</stp>
        <stp>12/04/2016</stp>
        <stp>12/04/2016</stp>
        <stp>[Bbg_Market_Data_CL.xlsm]data!R250C5</stp>
        <tr r="E250" s="1"/>
        <tr r="E250" s="1"/>
      </tp>
      <tp>
        <v>56.41</v>
        <stp/>
        <stp>##V3_BDHV12</stp>
        <stp>CL1 Comdty</stp>
        <stp>PX_OPEN</stp>
        <stp>21/04/2015</stp>
        <stp>21/04/2015</stp>
        <stp>[Bbg_Market_Data_CL.xlsm]data!R493C5</stp>
        <tr r="E493" s="1"/>
        <tr r="E493" s="1"/>
      </tp>
      <tp>
        <v>58.32</v>
        <stp/>
        <stp>##V3_BDHV12</stp>
        <stp>CL1 Comdty</stp>
        <stp>PX_OPEN</stp>
        <stp>20/05/2015</stp>
        <stp>20/05/2015</stp>
        <stp>[Bbg_Market_Data_CL.xlsm]data!R472C5</stp>
        <tr r="E472" s="1"/>
        <tr r="E472" s="1"/>
      </tp>
      <tp>
        <v>45.65</v>
        <stp/>
        <stp>##V3_BDHV12</stp>
        <stp>CL1 Comdty</stp>
        <stp>PX_OPEN</stp>
        <stp>21/07/2016</stp>
        <stp>21/07/2016</stp>
        <stp>[Bbg_Market_Data_CL.xlsm]data!R180C5</stp>
        <tr r="E180" s="1"/>
        <tr r="E180" s="1"/>
      </tp>
      <tp>
        <v>41.31</v>
        <stp/>
        <stp>##V3_BDHV12</stp>
        <stp>CL1 Comdty</stp>
        <stp>PX_OPEN</stp>
        <stp>04/12/2015</stp>
        <stp>04/12/2015</stp>
        <stp>[Bbg_Market_Data_CL.xlsm]data!R336C5</stp>
        <tr r="E336" s="1"/>
        <tr r="E336" s="1"/>
      </tp>
      <tp>
        <v>38.590000000000003</v>
        <stp/>
        <stp>##V3_BDHV12</stp>
        <stp>CL1 Comdty</stp>
        <stp>PX_OPEN</stp>
        <stp>17/03/2016</stp>
        <stp>17/03/2016</stp>
        <stp>[Bbg_Market_Data_CL.xlsm]data!R267C5</stp>
        <tr r="E267" s="1"/>
        <tr r="E267" s="1"/>
      </tp>
      <tp>
        <v>49.14</v>
        <stp/>
        <stp>##V3_BDHV12</stp>
        <stp>CL1 Comdty</stp>
        <stp>PX_OPEN</stp>
        <stp>21/06/2016</stp>
        <stp>21/06/2016</stp>
        <stp>[Bbg_Market_Data_CL.xlsm]data!R201C5</stp>
        <tr r="E201" s="1"/>
        <tr r="E201" s="1"/>
      </tp>
      <tp>
        <v>49.04</v>
        <stp/>
        <stp>##V3_BDHV12</stp>
        <stp>CL1 Comdty</stp>
        <stp>PX_OPEN</stp>
        <stp>03/06/2016</stp>
        <stp>03/06/2016</stp>
        <stp>[Bbg_Market_Data_CL.xlsm]data!R213C5</stp>
        <tr r="E213" s="1"/>
        <tr r="E213" s="1"/>
      </tp>
      <tp>
        <v>30.6</v>
        <stp/>
        <stp>##V3_BDHV12</stp>
        <stp>CL1 Comdty</stp>
        <stp>PX_OPEN</stp>
        <stp>19/02/2016</stp>
        <stp>19/02/2016</stp>
        <stp>[Bbg_Market_Data_CL.xlsm]data!R286C5</stp>
        <tr r="E286" s="1"/>
        <tr r="E286" s="1"/>
      </tp>
      <tp>
        <v>48.11</v>
        <stp/>
        <stp>##V3_BDHV12</stp>
        <stp>CL1 Comdty</stp>
        <stp>PX_OPEN</stp>
        <stp>08/10/2015</stp>
        <stp>08/10/2015</stp>
        <stp>[Bbg_Market_Data_CL.xlsm]data!R374C5</stp>
        <tr r="E374" s="1"/>
        <tr r="E374" s="1"/>
      </tp>
      <tp>
        <v>44.97</v>
        <stp/>
        <stp>##V3_BDHV12</stp>
        <stp>CL1 Comdty</stp>
        <stp>PX_OPEN</stp>
        <stp>08/11/2016</stp>
        <stp>08/11/2016</stp>
        <stp>[Bbg_Market_Data_CL.xlsm]data!R105C5</stp>
        <tr r="E105" s="1"/>
        <tr r="E105" s="1"/>
      </tp>
      <tp>
        <v>59.02</v>
        <stp/>
        <stp>##V3_BDHV12</stp>
        <stp>CL1 Comdty</stp>
        <stp>PX_OPEN</stp>
        <stp>08/05/2015</stp>
        <stp>08/05/2015</stp>
        <stp>[Bbg_Market_Data_CL.xlsm]data!R480C5</stp>
        <tr r="E480" s="1"/>
        <tr r="E480" s="1"/>
      </tp>
      <tp>
        <v>46.12</v>
        <stp/>
        <stp>##V3_BDHV12</stp>
        <stp>CL1 Comdty</stp>
        <stp>PX_OPEN</stp>
        <stp>18/07/2016</stp>
        <stp>18/07/2016</stp>
        <stp>[Bbg_Market_Data_CL.xlsm]data!R183C5</stp>
        <tr r="E183" s="1"/>
        <tr r="E183" s="1"/>
      </tp>
      <tp>
        <v>59.78</v>
        <stp/>
        <stp>##V3_BDHV12</stp>
        <stp>CL1 Comdty</stp>
        <stp>PX_OPEN</stp>
        <stp>18/06/2015</stp>
        <stp>18/06/2015</stp>
        <stp>[Bbg_Market_Data_CL.xlsm]data!R452C5</stp>
        <tr r="E452" s="1"/>
        <tr r="E452" s="1"/>
      </tp>
      <tp t="s">
        <v>#N/A Requesting Data...</v>
        <stp/>
        <stp>##V3_BDHV12</stp>
        <stp>CL1 Comdty</stp>
        <stp>RSI_14D</stp>
        <stp>11/09/2015</stp>
        <stp>11/09/2015</stp>
        <stp>[Bbg_Market_Data_CL.xlsm]data!R393C13</stp>
        <tr r="M393" s="1"/>
      </tp>
      <tp t="s">
        <v>#N/A Requesting Data...</v>
        <stp/>
        <stp>##V3_BDHV12</stp>
        <stp>CL2 Comdty</stp>
        <stp>RSI_14D</stp>
        <stp>11/09/2015</stp>
        <stp>11/09/2015</stp>
        <stp>[Bbg_Market_Data_CL.xlsm]data!R393C13</stp>
        <tr r="M393" s="1"/>
      </tp>
      <tp t="s">
        <v>#N/A Requesting Data...</v>
        <stp/>
        <stp>##V3_BDHV12</stp>
        <stp>CL2 Comdty</stp>
        <stp>RSI_30D</stp>
        <stp>12/08/2015</stp>
        <stp>12/08/2015</stp>
        <stp>[Bbg_Market_Data_CL.xlsm]data!R414C14</stp>
        <tr r="N414" s="1"/>
      </tp>
      <tp t="s">
        <v>#N/A Requesting Data...</v>
        <stp/>
        <stp>##V3_BDHV12</stp>
        <stp>CL1 Comdty</stp>
        <stp>RSI_30D</stp>
        <stp>12/08/2015</stp>
        <stp>12/08/2015</stp>
        <stp>[Bbg_Market_Data_CL.xlsm]data!R414C14</stp>
        <tr r="N414" s="1"/>
      </tp>
      <tp t="s">
        <v>#N/A Requesting Data...</v>
        <stp/>
        <stp>##V3_BDHV12</stp>
        <stp>CL1 Comdty</stp>
        <stp>RSI_14D</stp>
        <stp>30/09/2016</stp>
        <stp>30/09/2016</stp>
        <stp>[Bbg_Market_Data_CL.xlsm]data!R131C13</stp>
        <tr r="M131" s="1"/>
      </tp>
      <tp t="s">
        <v>#N/A Requesting Data...</v>
        <stp/>
        <stp>##V3_BDHV12</stp>
        <stp>CL2 Comdty</stp>
        <stp>RSI_14D</stp>
        <stp>30/09/2016</stp>
        <stp>30/09/2016</stp>
        <stp>[Bbg_Market_Data_CL.xlsm]data!R131C13</stp>
        <tr r="M131" s="1"/>
      </tp>
      <tp t="s">
        <v>#N/A Requesting Data...</v>
        <stp/>
        <stp>##V3_BDHV12</stp>
        <stp>CL2 Comdty</stp>
        <stp>RSI_14D</stp>
        <stp>31/08/2016</stp>
        <stp>31/08/2016</stp>
        <stp>[Bbg_Market_Data_CL.xlsm]data!R152C13</stp>
        <tr r="M152" s="1"/>
      </tp>
      <tp t="s">
        <v>#N/A Requesting Data...</v>
        <stp/>
        <stp>##V3_BDHV12</stp>
        <stp>CL2 Comdty</stp>
        <stp>RSI_30D</stp>
        <stp>03/08/2015</stp>
        <stp>03/08/2015</stp>
        <stp>[Bbg_Market_Data_CL.xlsm]data!R421C14</stp>
        <tr r="N421" s="1"/>
      </tp>
      <tp t="s">
        <v>#N/A Requesting Data...</v>
        <stp/>
        <stp>##V3_BDHV12</stp>
        <stp>CL1 Comdty</stp>
        <stp>RSI_14D</stp>
        <stp>31/08/2016</stp>
        <stp>31/08/2016</stp>
        <stp>[Bbg_Market_Data_CL.xlsm]data!R152C13</stp>
        <tr r="M152" s="1"/>
      </tp>
      <tp t="s">
        <v>#N/A Requesting Data...</v>
        <stp/>
        <stp>##V3_BDHV12</stp>
        <stp>CL1 Comdty</stp>
        <stp>RSI_30D</stp>
        <stp>03/08/2015</stp>
        <stp>03/08/2015</stp>
        <stp>[Bbg_Market_Data_CL.xlsm]data!R421C14</stp>
        <tr r="N421" s="1"/>
      </tp>
      <tp t="s">
        <v>#N/A Requesting Data...</v>
        <stp/>
        <stp>##V3_BDHV12</stp>
        <stp>CL1 Comdty</stp>
        <stp>RSI_14D</stp>
        <stp>21/09/2016</stp>
        <stp>21/09/2016</stp>
        <stp>[Bbg_Market_Data_CL.xlsm]data!R138C13</stp>
        <tr r="M138" s="1"/>
      </tp>
      <tp t="s">
        <v>#N/A Requesting Data...</v>
        <stp/>
        <stp>##V3_BDHV12</stp>
        <stp>CL2 Comdty</stp>
        <stp>RSI_14D</stp>
        <stp>21/09/2016</stp>
        <stp>21/09/2016</stp>
        <stp>[Bbg_Market_Data_CL.xlsm]data!R138C13</stp>
        <tr r="M138" s="1"/>
      </tp>
      <tp t="s">
        <v>#N/A Requesting Data...</v>
        <stp/>
        <stp>##V3_BDHV12</stp>
        <stp>CL1 Comdty</stp>
        <stp>RSI_14D</stp>
        <stp>02/08/2016</stp>
        <stp>02/08/2016</stp>
        <stp>[Bbg_Market_Data_CL.xlsm]data!R172C13</stp>
        <tr r="M172" s="1"/>
      </tp>
      <tp t="s">
        <v>#N/A Requesting Data...</v>
        <stp/>
        <stp>##V3_BDHV12</stp>
        <stp>CL2 Comdty</stp>
        <stp>RSI_14D</stp>
        <stp>02/08/2016</stp>
        <stp>02/08/2016</stp>
        <stp>[Bbg_Market_Data_CL.xlsm]data!R172C13</stp>
        <tr r="M172" s="1"/>
      </tp>
      <tp t="s">
        <v>#N/A Requesting Data...</v>
        <stp/>
        <stp>##V3_BDHV12</stp>
        <stp>CL2 Comdty</stp>
        <stp>RSI_14D</stp>
        <stp>12/09/2016</stp>
        <stp>12/09/2016</stp>
        <stp>[Bbg_Market_Data_CL.xlsm]data!R145C13</stp>
        <tr r="M145" s="1"/>
      </tp>
      <tp t="s">
        <v>#N/A Requesting Data...</v>
        <stp/>
        <stp>##V3_BDHV12</stp>
        <stp>CL1 Comdty</stp>
        <stp>RSI_14D</stp>
        <stp>12/09/2016</stp>
        <stp>12/09/2016</stp>
        <stp>[Bbg_Market_Data_CL.xlsm]data!R145C13</stp>
        <tr r="M145" s="1"/>
      </tp>
      <tp t="s">
        <v>#N/A Requesting Data...</v>
        <stp/>
        <stp>##V3_BDHV12</stp>
        <stp>CL2 Comdty</stp>
        <stp>RSI_14D</stp>
        <stp>22/09/2015</stp>
        <stp>22/09/2015</stp>
        <stp>[Bbg_Market_Data_CL.xlsm]data!R386C13</stp>
        <tr r="M386" s="1"/>
      </tp>
      <tp t="s">
        <v>#N/A Requesting Data...</v>
        <stp/>
        <stp>##V3_BDHV12</stp>
        <stp>CL1 Comdty</stp>
        <stp>RSI_14D</stp>
        <stp>22/09/2015</stp>
        <stp>22/09/2015</stp>
        <stp>[Bbg_Market_Data_CL.xlsm]data!R386C13</stp>
        <tr r="M386" s="1"/>
      </tp>
      <tp t="s">
        <v>#N/A Requesting Data...</v>
        <stp/>
        <stp>##V3_BDHV12</stp>
        <stp>CL2 Comdty</stp>
        <stp>RSI_30D</stp>
        <stp>21/08/2015</stp>
        <stp>21/08/2015</stp>
        <stp>[Bbg_Market_Data_CL.xlsm]data!R407C14</stp>
        <tr r="N407" s="1"/>
      </tp>
      <tp t="s">
        <v>#N/A Requesting Data...</v>
        <stp/>
        <stp>##V3_BDHV12</stp>
        <stp>CL1 Comdty</stp>
        <stp>RSI_30D</stp>
        <stp>21/08/2015</stp>
        <stp>21/08/2015</stp>
        <stp>[Bbg_Market_Data_CL.xlsm]data!R407C14</stp>
        <tr r="N407" s="1"/>
      </tp>
      <tp t="s">
        <v>#N/A Requesting Data...</v>
        <stp/>
        <stp>##V3_BDHV12</stp>
        <stp>CL2 Comdty</stp>
        <stp>RSI_30D</stp>
        <stp>01/09/2016</stp>
        <stp>01/09/2016</stp>
        <stp>[Bbg_Market_Data_CL.xlsm]data!R151C14</stp>
        <tr r="N151" s="1"/>
      </tp>
      <tp t="s">
        <v>#N/A Requesting Data...</v>
        <stp/>
        <stp>##V3_BDHV12</stp>
        <stp>CL1 Comdty</stp>
        <stp>RSI_30D</stp>
        <stp>01/09/2016</stp>
        <stp>01/09/2016</stp>
        <stp>[Bbg_Market_Data_CL.xlsm]data!R151C14</stp>
        <tr r="N151" s="1"/>
      </tp>
      <tp t="s">
        <v>#N/A Requesting Data...</v>
        <stp/>
        <stp>##V3_BDHV12</stp>
        <stp>CL1 Comdty</stp>
        <stp>RSI_30D</stp>
        <stp>11/08/2016</stp>
        <stp>11/08/2016</stp>
        <stp>[Bbg_Market_Data_CL.xlsm]data!R166C14</stp>
        <tr r="N166" s="1"/>
      </tp>
      <tp t="s">
        <v>#N/A Requesting Data...</v>
        <stp/>
        <stp>##V3_BDHV12</stp>
        <stp>CL2 Comdty</stp>
        <stp>RSI_30D</stp>
        <stp>11/08/2016</stp>
        <stp>11/08/2016</stp>
        <stp>[Bbg_Market_Data_CL.xlsm]data!R166C14</stp>
        <tr r="N166" s="1"/>
      </tp>
      <tp t="s">
        <v>#N/A Requesting Data...</v>
        <stp/>
        <stp>##V3_BDHV12</stp>
        <stp>CL1 Comdty</stp>
        <stp>RSI_30D</stp>
        <stp>22/08/2016</stp>
        <stp>22/08/2016</stp>
        <stp>[Bbg_Market_Data_CL.xlsm]data!R159C14</stp>
        <tr r="N159" s="1"/>
      </tp>
      <tp t="s">
        <v>#N/A Requesting Data...</v>
        <stp/>
        <stp>##V3_BDHV12</stp>
        <stp>CL2 Comdty</stp>
        <stp>RSI_30D</stp>
        <stp>22/08/2016</stp>
        <stp>22/08/2016</stp>
        <stp>[Bbg_Market_Data_CL.xlsm]data!R159C14</stp>
        <tr r="N159" s="1"/>
      </tp>
      <tp t="s">
        <v>#N/A Requesting Data...</v>
        <stp/>
        <stp>##V3_BDHV12</stp>
        <stp>CL1 Comdty</stp>
        <stp>RSI_14D</stp>
        <stp>10/08/2015</stp>
        <stp>10/08/2015</stp>
        <stp>[Bbg_Market_Data_CL.xlsm]data!R416C13</stp>
        <tr r="M416" s="1"/>
      </tp>
      <tp t="s">
        <v>#N/A Requesting Data...</v>
        <stp/>
        <stp>##V3_BDHV12</stp>
        <stp>CL2 Comdty</stp>
        <stp>RSI_14D</stp>
        <stp>10/08/2015</stp>
        <stp>10/08/2015</stp>
        <stp>[Bbg_Market_Data_CL.xlsm]data!R416C13</stp>
        <tr r="M416" s="1"/>
      </tp>
      <tp t="s">
        <v>#N/A Requesting Data...</v>
        <stp/>
        <stp>##V3_BDHV12</stp>
        <stp>CL2 Comdty</stp>
        <stp>RSI_30D</stp>
        <stp>02/09/2015</stp>
        <stp>02/09/2015</stp>
        <stp>[Bbg_Market_Data_CL.xlsm]data!R399C14</stp>
        <tr r="N399" s="1"/>
      </tp>
      <tp t="s">
        <v>#N/A Requesting Data...</v>
        <stp/>
        <stp>##V3_BDHV12</stp>
        <stp>CL1 Comdty</stp>
        <stp>RSI_30D</stp>
        <stp>02/09/2015</stp>
        <stp>02/09/2015</stp>
        <stp>[Bbg_Market_Data_CL.xlsm]data!R399C14</stp>
        <tr r="N399" s="1"/>
      </tp>
      <tp t="s">
        <v>#N/A Requesting Data...</v>
        <stp/>
        <stp>##V3_BDHV12</stp>
        <stp>CL2 Comdty</stp>
        <stp>RSI_30D</stp>
        <stp>23/09/2016</stp>
        <stp>23/09/2016</stp>
        <stp>[Bbg_Market_Data_CL.xlsm]data!R136C14</stp>
        <tr r="N136" s="1"/>
      </tp>
      <tp t="s">
        <v>#N/A Requesting Data...</v>
        <stp/>
        <stp>##V3_BDHV12</stp>
        <stp>CL1 Comdty</stp>
        <stp>RSI_30D</stp>
        <stp>23/09/2016</stp>
        <stp>23/09/2016</stp>
        <stp>[Bbg_Market_Data_CL.xlsm]data!R136C14</stp>
        <tr r="N136" s="1"/>
      </tp>
      <tp t="s">
        <v>#N/A Requesting Data...</v>
        <stp/>
        <stp>##V3_BDHV12</stp>
        <stp>CL1 Comdty</stp>
        <stp>RSI_14D</stp>
        <stp>09/10/2015</stp>
        <stp>09/10/2015</stp>
        <stp>[Bbg_Market_Data_CL.xlsm]data!R373C13</stp>
        <tr r="M373" s="1"/>
      </tp>
      <tp t="s">
        <v>#N/A Requesting Data...</v>
        <stp/>
        <stp>##V3_BDHV12</stp>
        <stp>CL2 Comdty</stp>
        <stp>RSI_14D</stp>
        <stp>09/10/2015</stp>
        <stp>09/10/2015</stp>
        <stp>[Bbg_Market_Data_CL.xlsm]data!R373C13</stp>
        <tr r="M373" s="1"/>
      </tp>
      <tp t="s">
        <v>#N/A Requesting Data...</v>
        <stp/>
        <stp>##V3_BDHV12</stp>
        <stp>CL1 Comdty</stp>
        <stp>RSI_14D</stp>
        <stp>19/11/2015</stp>
        <stp>19/11/2015</stp>
        <stp>[Bbg_Market_Data_CL.xlsm]data!R346C13</stp>
        <tr r="M346" s="1"/>
      </tp>
      <tp t="s">
        <v>#N/A Requesting Data...</v>
        <stp/>
        <stp>##V3_BDHV12</stp>
        <stp>CL2 Comdty</stp>
        <stp>RSI_14D</stp>
        <stp>19/11/2015</stp>
        <stp>19/11/2015</stp>
        <stp>[Bbg_Market_Data_CL.xlsm]data!R346C13</stp>
        <tr r="M346" s="1"/>
      </tp>
      <tp t="s">
        <v>#N/A Requesting Data...</v>
        <stp/>
        <stp>##V3_BDHV12</stp>
        <stp>CL2 Comdty</stp>
        <stp>RSI_14D</stp>
        <stp>29/12/2015</stp>
        <stp>29/12/2015</stp>
        <stp>[Bbg_Market_Data_CL.xlsm]data!R320C13</stp>
        <tr r="M320" s="1"/>
      </tp>
      <tp t="s">
        <v>#N/A Requesting Data...</v>
        <stp/>
        <stp>##V3_BDHV12</stp>
        <stp>CL1 Comdty</stp>
        <stp>RSI_14D</stp>
        <stp>29/12/2015</stp>
        <stp>29/12/2015</stp>
        <stp>[Bbg_Market_Data_CL.xlsm]data!R320C13</stp>
        <tr r="M320" s="1"/>
      </tp>
      <tp t="s">
        <v>#N/A Requesting Data...</v>
        <stp/>
        <stp>##V3_BDHV12</stp>
        <stp>CL2 Comdty</stp>
        <stp>RSI_14D</stp>
        <stp>28/10/2016</stp>
        <stp>28/10/2016</stp>
        <stp>[Bbg_Market_Data_CL.xlsm]data!R112C13</stp>
        <tr r="M112" s="1"/>
      </tp>
      <tp t="s">
        <v>#N/A Requesting Data...</v>
        <stp/>
        <stp>##V3_BDHV12</stp>
        <stp>CL1 Comdty</stp>
        <stp>RSI_14D</stp>
        <stp>28/10/2016</stp>
        <stp>28/10/2016</stp>
        <stp>[Bbg_Market_Data_CL.xlsm]data!R112C13</stp>
        <tr r="M112" s="1"/>
      </tp>
      <tp t="s">
        <v>#N/A Requesting Data...</v>
        <stp/>
        <stp>##V3_BDHV12</stp>
        <stp>CL1 Comdty</stp>
        <stp>RSI_14D</stp>
        <stp>29/01/2016</stp>
        <stp>29/01/2016</stp>
        <stp>[Bbg_Market_Data_CL.xlsm]data!R299C13</stp>
        <tr r="M299" s="1"/>
      </tp>
      <tp t="s">
        <v>#N/A Requesting Data...</v>
        <stp/>
        <stp>##V3_BDHV12</stp>
        <stp>CL2 Comdty</stp>
        <stp>RSI_14D</stp>
        <stp>29/01/2016</stp>
        <stp>29/01/2016</stp>
        <stp>[Bbg_Market_Data_CL.xlsm]data!R299C13</stp>
        <tr r="M299" s="1"/>
      </tp>
      <tp t="s">
        <v>#N/A Requesting Data...</v>
        <stp/>
        <stp>##V3_BDHV12</stp>
        <stp>CL2 Comdty</stp>
        <stp>RSI_14D</stp>
        <stp>19/02/2016</stp>
        <stp>19/02/2016</stp>
        <stp>[Bbg_Market_Data_CL.xlsm]data!R286C13</stp>
        <tr r="M286" s="1"/>
      </tp>
      <tp t="s">
        <v>#N/A Requesting Data...</v>
        <stp/>
        <stp>##V3_BDHV12</stp>
        <stp>CL1 Comdty</stp>
        <stp>RSI_14D</stp>
        <stp>19/02/2016</stp>
        <stp>19/02/2016</stp>
        <stp>[Bbg_Market_Data_CL.xlsm]data!R286C13</stp>
        <tr r="M286" s="1"/>
      </tp>
      <tp t="s">
        <v>#N/A Requesting Data...</v>
        <stp/>
        <stp>##V3_BDHV12</stp>
        <stp>CL2 Comdty</stp>
        <stp>RSI_14D</stp>
        <stp>09/03/2016</stp>
        <stp>09/03/2016</stp>
        <stp>[Bbg_Market_Data_CL.xlsm]data!R273C13</stp>
        <tr r="M273" s="1"/>
      </tp>
      <tp t="s">
        <v>#N/A Requesting Data...</v>
        <stp/>
        <stp>##V3_BDHV12</stp>
        <stp>CL1 Comdty</stp>
        <stp>RSI_14D</stp>
        <stp>09/03/2016</stp>
        <stp>09/03/2016</stp>
        <stp>[Bbg_Market_Data_CL.xlsm]data!R273C13</stp>
        <tr r="M273" s="1"/>
      </tp>
      <tp t="s">
        <v>#N/A Requesting Data...</v>
        <stp/>
        <stp>##V3_BDHV12</stp>
        <stp>CL2 Comdty</stp>
        <stp>RSI_14D</stp>
        <stp>08/02/2016</stp>
        <stp>08/02/2016</stp>
        <stp>[Bbg_Market_Data_CL.xlsm]data!R293C13</stp>
        <tr r="M293" s="1"/>
      </tp>
      <tp t="s">
        <v>#N/A Requesting Data...</v>
        <stp/>
        <stp>##V3_BDHV12</stp>
        <stp>CL1 Comdty</stp>
        <stp>RSI_14D</stp>
        <stp>08/02/2016</stp>
        <stp>08/02/2016</stp>
        <stp>[Bbg_Market_Data_CL.xlsm]data!R293C13</stp>
        <tr r="M293" s="1"/>
      </tp>
      <tp t="s">
        <v>#N/A Requesting Data...</v>
        <stp/>
        <stp>##V3_BDHV12</stp>
        <stp>CL2 Comdty</stp>
        <stp>RSI_14D</stp>
        <stp>18/03/2016</stp>
        <stp>18/03/2016</stp>
        <stp>[Bbg_Market_Data_CL.xlsm]data!R266C13</stp>
        <tr r="M266" s="1"/>
      </tp>
      <tp t="s">
        <v>#N/A Requesting Data...</v>
        <stp/>
        <stp>##V3_BDHV12</stp>
        <stp>CL1 Comdty</stp>
        <stp>RSI_14D</stp>
        <stp>18/03/2016</stp>
        <stp>18/03/2016</stp>
        <stp>[Bbg_Market_Data_CL.xlsm]data!R266C13</stp>
        <tr r="M266" s="1"/>
      </tp>
      <tp t="s">
        <v>#N/A Requesting Data...</v>
        <stp/>
        <stp>##V3_BDHV12</stp>
        <stp>CL2 Comdty</stp>
        <stp>RSI_30D</stp>
        <stp>09/12/2015</stp>
        <stp>09/12/2015</stp>
        <stp>[Bbg_Market_Data_CL.xlsm]data!R333C14</stp>
        <tr r="N333" s="1"/>
      </tp>
      <tp t="s">
        <v>#N/A Requesting Data...</v>
        <stp/>
        <stp>##V3_BDHV12</stp>
        <stp>CL1 Comdty</stp>
        <stp>RSI_30D</stp>
        <stp>09/12/2015</stp>
        <stp>09/12/2015</stp>
        <stp>[Bbg_Market_Data_CL.xlsm]data!R333C14</stp>
        <tr r="N333" s="1"/>
      </tp>
      <tp t="s">
        <v>#N/A Requesting Data...</v>
        <stp/>
        <stp>##V3_BDHV12</stp>
        <stp>CL1 Comdty</stp>
        <stp>RSI_30D</stp>
        <stp>29/10/2015</stp>
        <stp>29/10/2015</stp>
        <stp>[Bbg_Market_Data_CL.xlsm]data!R360C14</stp>
        <tr r="N360" s="1"/>
      </tp>
      <tp t="s">
        <v>#N/A Requesting Data...</v>
        <stp/>
        <stp>##V3_BDHV12</stp>
        <stp>CL2 Comdty</stp>
        <stp>RSI_30D</stp>
        <stp>29/10/2015</stp>
        <stp>29/10/2015</stp>
        <stp>[Bbg_Market_Data_CL.xlsm]data!R360C14</stp>
        <tr r="N360" s="1"/>
      </tp>
      <tp t="s">
        <v>#N/A Requesting Data...</v>
        <stp/>
        <stp>##V3_BDHV12</stp>
        <stp>CL2 Comdty</stp>
        <stp>RSI_30D</stp>
        <stp>19/10/2016</stp>
        <stp>19/10/2016</stp>
        <stp>[Bbg_Market_Data_CL.xlsm]data!R119C14</stp>
        <tr r="N119" s="1"/>
      </tp>
      <tp t="s">
        <v>#N/A Requesting Data...</v>
        <stp/>
        <stp>##V3_BDHV12</stp>
        <stp>CL1 Comdty</stp>
        <stp>RSI_30D</stp>
        <stp>19/10/2016</stp>
        <stp>19/10/2016</stp>
        <stp>[Bbg_Market_Data_CL.xlsm]data!R119C14</stp>
        <tr r="N119" s="1"/>
      </tp>
      <tp t="s">
        <v>#N/A Requesting Data...</v>
        <stp/>
        <stp>##V3_BDHV12</stp>
        <stp>CL2 Comdty</stp>
        <stp>RSI_30D</stp>
        <stp>09/11/2016</stp>
        <stp>09/11/2016</stp>
        <stp>[Bbg_Market_Data_CL.xlsm]data!R104C14</stp>
        <tr r="N104" s="1"/>
      </tp>
      <tp t="s">
        <v>#N/A Requesting Data...</v>
        <stp/>
        <stp>##V3_BDHV12</stp>
        <stp>CL1 Comdty</stp>
        <stp>RSI_30D</stp>
        <stp>09/11/2016</stp>
        <stp>09/11/2016</stp>
        <stp>[Bbg_Market_Data_CL.xlsm]data!R104C14</stp>
        <tr r="N104" s="1"/>
      </tp>
      <tp t="s">
        <v>#N/A Requesting Data...</v>
        <stp/>
        <stp>##V3_BDHV12</stp>
        <stp>CL2 Comdty</stp>
        <stp>RSI_30D</stp>
        <stp>18/12/2015</stp>
        <stp>18/12/2015</stp>
        <stp>[Bbg_Market_Data_CL.xlsm]data!R326C14</stp>
        <tr r="N326" s="1"/>
      </tp>
      <tp t="s">
        <v>#N/A Requesting Data...</v>
        <stp/>
        <stp>##V3_BDHV12</stp>
        <stp>CL1 Comdty</stp>
        <stp>RSI_30D</stp>
        <stp>18/12/2015</stp>
        <stp>18/12/2015</stp>
        <stp>[Bbg_Market_Data_CL.xlsm]data!R326C14</stp>
        <tr r="N326" s="1"/>
      </tp>
      <tp t="s">
        <v>#N/A Requesting Data...</v>
        <stp/>
        <stp>##V3_BDHV12</stp>
        <stp>CL2 Comdty</stp>
        <stp>RSI_30D</stp>
        <stp>29/03/2016</stp>
        <stp>29/03/2016</stp>
        <stp>[Bbg_Market_Data_CL.xlsm]data!R260C14</stp>
        <tr r="N260" s="1"/>
      </tp>
      <tp t="s">
        <v>#N/A Requesting Data...</v>
        <stp/>
        <stp>##V3_BDHV12</stp>
        <stp>CL1 Comdty</stp>
        <stp>RSI_30D</stp>
        <stp>29/03/2016</stp>
        <stp>29/03/2016</stp>
        <stp>[Bbg_Market_Data_CL.xlsm]data!R260C14</stp>
        <tr r="N260" s="1"/>
      </tp>
      <tp>
        <v>50.07</v>
        <stp/>
        <stp>##V3_BDHV12</stp>
        <stp>CL1 Comdty</stp>
        <stp>PX_HIGH</stp>
        <stp>08/10/2015</stp>
        <stp>08/10/2015</stp>
        <stp>[Bbg_Market_Data_CL.xlsm]data!R374C6</stp>
        <tr r="F374" s="1"/>
        <tr r="F374" s="1"/>
      </tp>
      <tp t="s">
        <v>#N/A Requesting Data...</v>
        <stp/>
        <stp>##V3_BDHV12</stp>
        <stp>CL2 Comdty</stp>
        <stp>PX_LAST</stp>
        <stp>15/07/2016</stp>
        <stp>15/07/2016</stp>
        <stp>[Bbg_Market_Data_CL.xlsm]data!R184C9</stp>
        <tr r="I184" s="1"/>
      </tp>
      <tp t="s">
        <v>#N/A Requesting Data...</v>
        <stp/>
        <stp>##V3_BDHV12</stp>
        <stp>CL1 Comdty</stp>
        <stp>PX_LAST</stp>
        <stp>17/05/2016</stp>
        <stp>17/05/2016</stp>
        <stp>[Bbg_Market_Data_CL.xlsm]data!R225C9</stp>
        <tr r="I225" s="1"/>
      </tp>
      <tp t="s">
        <v>#N/A Requesting Data...</v>
        <stp/>
        <stp>##V3_BDHV12</stp>
        <stp>CL1 Comdty</stp>
        <stp>PX_LAST</stp>
        <stp>14/06/2016</stp>
        <stp>14/06/2016</stp>
        <stp>[Bbg_Market_Data_CL.xlsm]data!R206C9</stp>
        <tr r="I206" s="1"/>
      </tp>
      <tp t="s">
        <v>#N/A Requesting Data...</v>
        <stp/>
        <stp>##V3_BDHV12</stp>
        <stp>CL2 Comdty</stp>
        <stp>PX_LAST</stp>
        <stp>26/07/2016</stp>
        <stp>26/07/2016</stp>
        <stp>[Bbg_Market_Data_CL.xlsm]data!R177C9</stp>
        <tr r="I177" s="1"/>
      </tp>
      <tp t="s">
        <v>#N/A Requesting Data...</v>
        <stp/>
        <stp>##V3_BDHV12</stp>
        <stp>CL2 Comdty</stp>
        <stp>PX_LAST</stp>
        <stp>10/02/2016</stp>
        <stp>10/02/2016</stp>
        <stp>[Bbg_Market_Data_CL.xlsm]data!R291C9</stp>
        <tr r="I291" s="1"/>
      </tp>
      <tp t="s">
        <v>#N/A Requesting Data...</v>
        <stp/>
        <stp>##V3_BDHV12</stp>
        <stp>CL2 Comdty</stp>
        <stp>PX_LAST</stp>
        <stp>15/04/2015</stp>
        <stp>15/04/2015</stp>
        <stp>[Bbg_Market_Data_CL.xlsm]data!R497C9</stp>
        <tr r="I497" s="1"/>
      </tp>
      <tp t="s">
        <v>#N/A Requesting Data...</v>
        <stp/>
        <stp>##V3_BDHV12</stp>
        <stp>CL1 Comdty</stp>
        <stp>PX_LAST</stp>
        <stp>03/10/2016</stp>
        <stp>03/10/2016</stp>
        <stp>[Bbg_Market_Data_CL.xlsm]data!R130C9</stp>
        <tr r="I130" s="1"/>
      </tp>
      <tp t="s">
        <v>#N/A Requesting Data...</v>
        <stp/>
        <stp>##V3_BDHV12</stp>
        <stp>CL2 Comdty</stp>
        <stp>PX_LAST</stp>
        <stp>14/05/2015</stp>
        <stp>14/05/2015</stp>
        <stp>[Bbg_Market_Data_CL.xlsm]data!R476C9</stp>
        <tr r="I476" s="1"/>
      </tp>
      <tp>
        <v>30.73</v>
        <stp/>
        <stp>##V3_BDHV12</stp>
        <stp>CL1 Comdty</stp>
        <stp>PX_HIGH</stp>
        <stp>19/02/2016</stp>
        <stp>19/02/2016</stp>
        <stp>[Bbg_Market_Data_CL.xlsm]data!R286C6</stp>
        <tr r="F286" s="1"/>
        <tr r="F286" s="1"/>
      </tp>
      <tp t="s">
        <v>#N/A Requesting Data...</v>
        <stp/>
        <stp>##V3_BDHV12</stp>
        <stp>CL2 Comdty</stp>
        <stp>PX_LAST</stp>
        <stp>16/05/2016</stp>
        <stp>16/05/2016</stp>
        <stp>[Bbg_Market_Data_CL.xlsm]data!R226C9</stp>
        <tr r="I226" s="1"/>
      </tp>
      <tp t="s">
        <v>#N/A Requesting Data...</v>
        <stp/>
        <stp>##V3_BDHV12</stp>
        <stp>CL2 Comdty</stp>
        <stp>PX_LAST</stp>
        <stp>15/06/2016</stp>
        <stp>15/06/2016</stp>
        <stp>[Bbg_Market_Data_CL.xlsm]data!R205C9</stp>
        <tr r="I205" s="1"/>
      </tp>
      <tp t="s">
        <v>#N/A Requesting Data...</v>
        <stp/>
        <stp>##V3_BDHV12</stp>
        <stp>CL1 Comdty</stp>
        <stp>PX_LAST</stp>
        <stp>12/01/2016</stp>
        <stp>12/01/2016</stp>
        <stp>[Bbg_Market_Data_CL.xlsm]data!R311C9</stp>
        <tr r="I311" s="1"/>
      </tp>
      <tp t="s">
        <v>#N/A Requesting Data...</v>
        <stp/>
        <stp>##V3_BDHV12</stp>
        <stp>CL2 Comdty</stp>
        <stp>PX_LAST</stp>
        <stp>23/03/2016</stp>
        <stp>23/03/2016</stp>
        <stp>[Bbg_Market_Data_CL.xlsm]data!R263C9</stp>
        <tr r="I263" s="1"/>
      </tp>
      <tp t="s">
        <v>#N/A Requesting Data...</v>
        <stp/>
        <stp>##V3_BDHV12</stp>
        <stp>CL1 Comdty</stp>
        <stp>PX_LAST</stp>
        <stp>15/05/2015</stp>
        <stp>15/05/2015</stp>
        <stp>[Bbg_Market_Data_CL.xlsm]data!R475C9</stp>
        <tr r="I475" s="1"/>
      </tp>
      <tp t="s">
        <v>#N/A Requesting Data...</v>
        <stp/>
        <stp>##V3_BDHV12</stp>
        <stp>CL1 Comdty</stp>
        <stp>PX_LAST</stp>
        <stp>04/05/2015</stp>
        <stp>04/05/2015</stp>
        <stp>[Bbg_Market_Data_CL.xlsm]data!R484C9</stp>
        <tr r="I484" s="1"/>
      </tp>
      <tp t="s">
        <v>#N/A Requesting Data...</v>
        <stp/>
        <stp>##V3_BDHV12</stp>
        <stp>CL2 Comdty</stp>
        <stp>PX_LAST</stp>
        <stp>24/07/2015</stp>
        <stp>24/07/2015</stp>
        <stp>[Bbg_Market_Data_CL.xlsm]data!R427C9</stp>
        <tr r="I427" s="1"/>
      </tp>
      <tp>
        <v>45.39</v>
        <stp/>
        <stp>##V3_BDHV12</stp>
        <stp>CL1 Comdty</stp>
        <stp>PX_HIGH</stp>
        <stp>08/11/2016</stp>
        <stp>08/11/2016</stp>
        <stp>[Bbg_Market_Data_CL.xlsm]data!R105C6</stp>
        <tr r="F105" s="1"/>
        <tr r="F105" s="1"/>
      </tp>
      <tp t="s">
        <v>#N/A Requesting Data...</v>
        <stp/>
        <stp>##V3_BDHV12</stp>
        <stp>CL1 Comdty</stp>
        <stp>PX_LAST</stp>
        <stp>04/05/2016</stp>
        <stp>04/05/2016</stp>
        <stp>[Bbg_Market_Data_CL.xlsm]data!R234C9</stp>
        <tr r="I234" s="1"/>
      </tp>
      <tp t="s">
        <v>#N/A Requesting Data...</v>
        <stp/>
        <stp>##V3_BDHV12</stp>
        <stp>CL1 Comdty</stp>
        <stp>PX_LAST</stp>
        <stp>05/04/2016</stp>
        <stp>05/04/2016</stp>
        <stp>[Bbg_Market_Data_CL.xlsm]data!R255C9</stp>
        <tr r="I255" s="1"/>
      </tp>
      <tp t="s">
        <v>#N/A Requesting Data...</v>
        <stp/>
        <stp>##V3_BDHV12</stp>
        <stp>CL2 Comdty</stp>
        <stp>PX_LAST</stp>
        <stp>26/06/2015</stp>
        <stp>26/06/2015</stp>
        <stp>[Bbg_Market_Data_CL.xlsm]data!R446C9</stp>
        <tr r="I446" s="1"/>
      </tp>
      <tp t="s">
        <v>#N/A Requesting Data...</v>
        <stp/>
        <stp>##V3_BDHV12</stp>
        <stp>CL2 Comdty</stp>
        <stp>PX_LAST</stp>
        <stp>11/01/2016</stp>
        <stp>11/01/2016</stp>
        <stp>[Bbg_Market_Data_CL.xlsm]data!R312C9</stp>
        <tr r="I312" s="1"/>
      </tp>
      <tp t="s">
        <v>#N/A Requesting Data...</v>
        <stp/>
        <stp>##V3_BDHV12</stp>
        <stp>CL2 Comdty</stp>
        <stp>PX_LAST</stp>
        <stp>15/06/2015</stp>
        <stp>15/06/2015</stp>
        <stp>[Bbg_Market_Data_CL.xlsm]data!R455C9</stp>
        <tr r="I455" s="1"/>
      </tp>
      <tp t="s">
        <v>#N/A Requesting Data...</v>
        <stp/>
        <stp>##V3_BDHV12</stp>
        <stp>CL2 Comdty</stp>
        <stp>PX_LAST</stp>
        <stp>13/10/2015</stp>
        <stp>13/10/2015</stp>
        <stp>[Bbg_Market_Data_CL.xlsm]data!R372C9</stp>
        <tr r="I372" s="1"/>
      </tp>
      <tp t="s">
        <v>#N/A Requesting Data...</v>
        <stp/>
        <stp>##V3_BDHV12</stp>
        <stp>CL2 Comdty</stp>
        <stp>PX_LAST</stp>
        <stp>04/04/2016</stp>
        <stp>04/04/2016</stp>
        <stp>[Bbg_Market_Data_CL.xlsm]data!R256C9</stp>
        <tr r="I256" s="1"/>
      </tp>
      <tp t="s">
        <v>#N/A Requesting Data...</v>
        <stp/>
        <stp>##V3_BDHV12</stp>
        <stp>CL2 Comdty</stp>
        <stp>PX_LAST</stp>
        <stp>15/04/2016</stp>
        <stp>15/04/2016</stp>
        <stp>[Bbg_Market_Data_CL.xlsm]data!R247C9</stp>
        <tr r="I247" s="1"/>
      </tp>
      <tp t="s">
        <v>#N/A Requesting Data...</v>
        <stp/>
        <stp>##V3_BDHV12</stp>
        <stp>CL2 Comdty</stp>
        <stp>PX_LAST</stp>
        <stp>10/11/2016</stp>
        <stp>10/11/2016</stp>
        <stp>[Bbg_Market_Data_CL.xlsm]data!R103C9</stp>
        <tr r="I103" s="1"/>
      </tp>
      <tp t="s">
        <v>#N/A Requesting Data...</v>
        <stp/>
        <stp>##V3_BDHV12</stp>
        <stp>CL2 Comdty</stp>
        <stp>PX_LAST</stp>
        <stp>15/07/2015</stp>
        <stp>15/07/2015</stp>
        <stp>[Bbg_Market_Data_CL.xlsm]data!R434C9</stp>
        <tr r="I434" s="1"/>
      </tp>
      <tp t="s">
        <v>#N/A Requesting Data...</v>
        <stp/>
        <stp>##V3_BDHV12</stp>
        <stp>CL2 Comdty</stp>
        <stp>PX_LAST</stp>
        <stp>23/12/2015</stp>
        <stp>23/12/2015</stp>
        <stp>[Bbg_Market_Data_CL.xlsm]data!R323C9</stp>
        <tr r="I323" s="1"/>
      </tp>
      <tp t="s">
        <v>#N/A Requesting Data...</v>
        <stp/>
        <stp>##V3_BDHV12</stp>
        <stp>CL1 Comdty</stp>
        <stp>PX_LAST</stp>
        <stp>13/11/2015</stp>
        <stp>13/11/2015</stp>
        <stp>[Bbg_Market_Data_CL.xlsm]data!R350C9</stp>
        <tr r="I350" s="1"/>
      </tp>
      <tp t="s">
        <v>#N/A Requesting Data...</v>
        <stp/>
        <stp>##V3_BDHV12</stp>
        <stp>CL2 Comdty</stp>
        <stp>PX_LAST</stp>
        <stp>02/06/2015</stp>
        <stp>02/06/2015</stp>
        <stp>[Bbg_Market_Data_CL.xlsm]data!R464C9</stp>
        <tr r="I464" s="1"/>
      </tp>
      <tp>
        <v>59.9</v>
        <stp/>
        <stp>##V3_BDHV12</stp>
        <stp>CL1 Comdty</stp>
        <stp>PX_HIGH</stp>
        <stp>08/05/2015</stp>
        <stp>08/05/2015</stp>
        <stp>[Bbg_Market_Data_CL.xlsm]data!R480C6</stp>
        <tr r="F480" s="1"/>
        <tr r="F480" s="1"/>
      </tp>
      <tp>
        <v>46.14</v>
        <stp/>
        <stp>##V3_BDHV12</stp>
        <stp>CL1 Comdty</stp>
        <stp>PX_HIGH</stp>
        <stp>18/07/2016</stp>
        <stp>18/07/2016</stp>
        <stp>[Bbg_Market_Data_CL.xlsm]data!R183C6</stp>
        <tr r="F183" s="1"/>
        <tr r="F183" s="1"/>
      </tp>
      <tp t="s">
        <v>#N/A Requesting Data...</v>
        <stp/>
        <stp>##V3_BDHV12</stp>
        <stp>CL1 Comdty</stp>
        <stp>PX_LAST</stp>
        <stp>26/02/2016</stp>
        <stp>26/02/2016</stp>
        <stp>[Bbg_Market_Data_CL.xlsm]data!R281C9</stp>
        <tr r="I281" s="1"/>
      </tp>
      <tp t="s">
        <v>#N/A Requesting Data...</v>
        <stp/>
        <stp>##V3_BDHV12</stp>
        <stp>CL1 Comdty</stp>
        <stp>PX_LAST</stp>
        <stp>14/10/2015</stp>
        <stp>14/10/2015</stp>
        <stp>[Bbg_Market_Data_CL.xlsm]data!R371C9</stp>
        <tr r="I371" s="1"/>
      </tp>
      <tp t="s">
        <v>#N/A Requesting Data...</v>
        <stp/>
        <stp>##V3_BDHV12</stp>
        <stp>CL1 Comdty</stp>
        <stp>PX_LAST</stp>
        <stp>12/06/2015</stp>
        <stp>12/06/2015</stp>
        <stp>[Bbg_Market_Data_CL.xlsm]data!R456C9</stp>
        <tr r="I456" s="1"/>
      </tp>
      <tp t="s">
        <v>#N/A Requesting Data...</v>
        <stp/>
        <stp>##V3_BDHV12</stp>
        <stp>CL1 Comdty</stp>
        <stp>PX_LAST</stp>
        <stp>17/10/2016</stp>
        <stp>17/10/2016</stp>
        <stp>[Bbg_Market_Data_CL.xlsm]data!R121C9</stp>
        <tr r="I121" s="1"/>
      </tp>
      <tp t="s">
        <v>#N/A Requesting Data...</v>
        <stp/>
        <stp>##V3_BDHV12</stp>
        <stp>CL2 Comdty</stp>
        <stp>PX_LAST</stp>
        <stp>14/03/2016</stp>
        <stp>14/03/2016</stp>
        <stp>[Bbg_Market_Data_CL.xlsm]data!R270C9</stp>
        <tr r="I270" s="1"/>
      </tp>
      <tp t="s">
        <v>#N/A Requesting Data...</v>
        <stp/>
        <stp>##V3_BDHV12</stp>
        <stp>CL1 Comdty</stp>
        <stp>PX_LAST</stp>
        <stp>16/11/2016</stp>
        <stp>16/11/2016</stp>
        <stp>[Bbg_Market_Data_CL.xlsm]data!R100C9</stp>
        <tr r="I100" s="1"/>
      </tp>
      <tp t="s">
        <v>#N/A Requesting Data...</v>
        <stp/>
        <stp>##V3_BDHV12</stp>
        <stp>CL1 Comdty</stp>
        <stp>PX_LAST</stp>
        <stp>27/10/2015</stp>
        <stp>27/10/2015</stp>
        <stp>[Bbg_Market_Data_CL.xlsm]data!R362C9</stp>
        <tr r="I362" s="1"/>
      </tp>
      <tp t="s">
        <v>#N/A Requesting Data...</v>
        <stp/>
        <stp>##V3_BDHV12</stp>
        <stp>CL1 Comdty</stp>
        <stp>PX_LAST</stp>
        <stp>30/06/2015</stp>
        <stp>30/06/2015</stp>
        <stp>[Bbg_Market_Data_CL.xlsm]data!R444C9</stp>
        <tr r="I444" s="1"/>
      </tp>
      <tp t="s">
        <v>#N/A Requesting Data...</v>
        <stp/>
        <stp>##V3_BDHV12</stp>
        <stp>CL2 Comdty</stp>
        <stp>PX_LAST</stp>
        <stp>20/04/2016</stp>
        <stp>20/04/2016</stp>
        <stp>[Bbg_Market_Data_CL.xlsm]data!R244C9</stp>
        <tr r="I244" s="1"/>
      </tp>
      <tp t="s">
        <v>#N/A Requesting Data...</v>
        <stp/>
        <stp>##V3_BDHV12</stp>
        <stp>CL2 Comdty</stp>
        <stp>PX_LAST</stp>
        <stp>14/10/2016</stp>
        <stp>14/10/2016</stp>
        <stp>[Bbg_Market_Data_CL.xlsm]data!R122C9</stp>
        <tr r="I122" s="1"/>
      </tp>
      <tp t="s">
        <v>#N/A Requesting Data...</v>
        <stp/>
        <stp>##V3_BDHV12</stp>
        <stp>CL1 Comdty</stp>
        <stp>PX_LAST</stp>
        <stp>26/01/2016</stp>
        <stp>26/01/2016</stp>
        <stp>[Bbg_Market_Data_CL.xlsm]data!R302C9</stp>
        <tr r="I302" s="1"/>
      </tp>
      <tp t="s">
        <v>#N/A Requesting Data...</v>
        <stp/>
        <stp>##V3_BDHV12</stp>
        <stp>CL2 Comdty</stp>
        <stp>PX_LAST</stp>
        <stp>25/02/2016</stp>
        <stp>25/02/2016</stp>
        <stp>[Bbg_Market_Data_CL.xlsm]data!R282C9</stp>
        <tr r="I282" s="1"/>
      </tp>
      <tp t="s">
        <v>#N/A Requesting Data...</v>
        <stp/>
        <stp>##V3_BDHV12</stp>
        <stp>CL2 Comdty</stp>
        <stp>PX_LAST</stp>
        <stp>20/04/2015</stp>
        <stp>20/04/2015</stp>
        <stp>[Bbg_Market_Data_CL.xlsm]data!R494C9</stp>
        <tr r="I494" s="1"/>
      </tp>
      <tp t="s">
        <v>#N/A Requesting Data...</v>
        <stp/>
        <stp>##V3_BDHV12</stp>
        <stp>CL1 Comdty</stp>
        <stp>PX_LAST</stp>
        <stp>10/07/2015</stp>
        <stp>10/07/2015</stp>
        <stp>[Bbg_Market_Data_CL.xlsm]data!R437C9</stp>
        <tr r="I437" s="1"/>
      </tp>
      <tp t="s">
        <v>#N/A Requesting Data...</v>
        <stp/>
        <stp>##V3_BDHV12</stp>
        <stp>CL1 Comdty</stp>
        <stp>PX_LAST</stp>
        <stp>30/06/2016</stp>
        <stp>30/06/2016</stp>
        <stp>[Bbg_Market_Data_CL.xlsm]data!R194C9</stp>
        <tr r="I194" s="1"/>
      </tp>
      <tp>
        <v>60.89</v>
        <stp/>
        <stp>##V3_BDHV12</stp>
        <stp>CL1 Comdty</stp>
        <stp>PX_HIGH</stp>
        <stp>18/06/2015</stp>
        <stp>18/06/2015</stp>
        <stp>[Bbg_Market_Data_CL.xlsm]data!R452C6</stp>
        <tr r="F452" s="1"/>
        <tr r="F452" s="1"/>
      </tp>
      <tp t="s">
        <v>#N/A Requesting Data...</v>
        <stp/>
        <stp>##V3_BDHV12</stp>
        <stp>CL2 Comdty</stp>
        <stp>PX_LAST</stp>
        <stp>14/12/2015</stp>
        <stp>14/12/2015</stp>
        <stp>[Bbg_Market_Data_CL.xlsm]data!R330C9</stp>
        <tr r="I330" s="1"/>
      </tp>
      <tp t="s">
        <v>#N/A Requesting Data...</v>
        <stp/>
        <stp>##V3_BDHV12</stp>
        <stp>CL2 Comdty</stp>
        <stp>PX_LAST</stp>
        <stp>27/01/2016</stp>
        <stp>27/01/2016</stp>
        <stp>[Bbg_Market_Data_CL.xlsm]data!R301C9</stp>
        <tr r="I301" s="1"/>
      </tp>
      <tp t="s">
        <v>#N/A Requesting Data...</v>
        <stp/>
        <stp>##V3_BDHV12</stp>
        <stp>CL1 Comdty</stp>
        <stp>PX_LAST</stp>
        <stp>24/11/2015</stp>
        <stp>24/11/2015</stp>
        <stp>[Bbg_Market_Data_CL.xlsm]data!R343C9</stp>
        <tr r="I343" s="1"/>
      </tp>
      <tp t="s">
        <v>#N/A Requesting Data...</v>
        <stp/>
        <stp>##V3_BDHV12</stp>
        <stp>CL1 Comdty</stp>
        <stp>PX_LAST</stp>
        <stp>30/04/2015</stp>
        <stp>30/04/2015</stp>
        <stp>[Bbg_Market_Data_CL.xlsm]data!R486C9</stp>
        <tr r="I486" s="1"/>
      </tp>
      <tp t="s">
        <v>#N/A Requesting Data...</v>
        <stp/>
        <stp>##V3_BDHV12</stp>
        <stp>CL2 Comdty</stp>
        <stp>PX_LAST</stp>
        <stp>02/06/2016</stp>
        <stp>02/06/2016</stp>
        <stp>[Bbg_Market_Data_CL.xlsm]data!R214C9</stp>
        <tr r="I214" s="1"/>
      </tp>
      <tp t="s">
        <v>#N/A Requesting Data...</v>
        <stp/>
        <stp>##V3_BDHV12</stp>
        <stp>CL1 Comdty</stp>
        <stp>PX_LAST</stp>
        <stp>12/07/2016</stp>
        <stp>12/07/2016</stp>
        <stp>[Bbg_Market_Data_CL.xlsm]data!R187C9</stp>
        <tr r="I187" s="1"/>
      </tp>
      <tp>
        <v>28.58</v>
        <stp/>
        <stp>##V3_BDHV12</stp>
        <stp>CL1 Comdty</stp>
        <stp>PX_HIGH</stp>
        <stp>20/01/2016</stp>
        <stp>20/01/2016</stp>
        <stp>[Bbg_Market_Data_CL.xlsm]data!R306C6</stp>
        <tr r="F306" s="1"/>
        <tr r="F306" s="1"/>
      </tp>
      <tp>
        <v>52.17</v>
        <stp/>
        <stp>##V3_BDHV12</stp>
        <stp>CL1 Comdty</stp>
        <stp>PX_HIGH</stp>
        <stp>16/07/2015</stp>
        <stp>16/07/2015</stp>
        <stp>[Bbg_Market_Data_CL.xlsm]data!R433C6</stp>
        <tr r="F433" s="1"/>
        <tr r="F433" s="1"/>
      </tp>
      <tp>
        <v>41.9</v>
        <stp/>
        <stp>##V3_BDHV12</stp>
        <stp>CL1 Comdty</stp>
        <stp>PX_HIGH</stp>
        <stp>22/03/2016</stp>
        <stp>22/03/2016</stp>
        <stp>[Bbg_Market_Data_CL.xlsm]data!R264C6</stp>
        <tr r="F264" s="1"/>
        <tr r="F264" s="1"/>
      </tp>
      <tp t="s">
        <v>#N/A Requesting Data...</v>
        <stp/>
        <stp>##V3_BDHV12</stp>
        <stp>CL2 Comdty</stp>
        <stp>PX_LAST</stp>
        <stp>20/09/2016</stp>
        <stp>20/09/2016</stp>
        <stp>[Bbg_Market_Data_CL.xlsm]data!R139C9</stp>
        <tr r="I139" s="1"/>
      </tp>
      <tp>
        <v>49.35</v>
        <stp/>
        <stp>##V3_BDHV12</stp>
        <stp>CL1 Comdty</stp>
        <stp>PX_HIGH</stp>
        <stp>05/07/2016</stp>
        <stp>05/07/2016</stp>
        <stp>[Bbg_Market_Data_CL.xlsm]data!R192C6</stp>
        <tr r="F192" s="1"/>
        <tr r="F192" s="1"/>
      </tp>
      <tp>
        <v>32.049999999999997</v>
        <stp/>
        <stp>##V3_BDHV12</stp>
        <stp>CL1 Comdty</stp>
        <stp>PX_HIGH</stp>
        <stp>22/02/2016</stp>
        <stp>22/02/2016</stp>
        <stp>[Bbg_Market_Data_CL.xlsm]data!R285C6</stp>
        <tr r="F285" s="1"/>
        <tr r="F285" s="1"/>
      </tp>
      <tp t="s">
        <v>#N/A Requesting Data...</v>
        <stp/>
        <stp>##V3_BDHV12</stp>
        <stp>CL1 Comdty</stp>
        <stp>PX_LAST</stp>
        <stp>29/12/2015</stp>
        <stp>29/12/2015</stp>
        <stp>[Bbg_Market_Data_CL.xlsm]data!R320C9</stp>
        <tr r="I320" s="1"/>
      </tp>
      <tp t="s">
        <v>#N/A Requesting Data...</v>
        <stp/>
        <stp>##V3_BDHV12</stp>
        <stp>CL1 Comdty</stp>
        <stp>PX_LAST</stp>
        <stp>28/10/2016</stp>
        <stp>28/10/2016</stp>
        <stp>[Bbg_Market_Data_CL.xlsm]data!R112C9</stp>
        <tr r="I112" s="1"/>
      </tp>
      <tp t="s">
        <v>#N/A Requesting Data...</v>
        <stp/>
        <stp>##V3_BDHV12</stp>
        <stp>CL2 Comdty</stp>
        <stp>PX_LAST</stp>
        <stp>09/10/2015</stp>
        <stp>09/10/2015</stp>
        <stp>[Bbg_Market_Data_CL.xlsm]data!R373C9</stp>
        <tr r="I373" s="1"/>
      </tp>
      <tp t="s">
        <v>#N/A Requesting Data...</v>
        <stp/>
        <stp>##V3_BDHV12</stp>
        <stp>CL1 Comdty</stp>
        <stp>PX_LAST</stp>
        <stp>08/02/2016</stp>
        <stp>08/02/2016</stp>
        <stp>[Bbg_Market_Data_CL.xlsm]data!R293C9</stp>
        <tr r="I293" s="1"/>
      </tp>
      <tp>
        <v>36.54</v>
        <stp/>
        <stp>##V3_BDHV12</stp>
        <stp>CL1 Comdty</stp>
        <stp>PX_HIGH</stp>
        <stp>22/12/2015</stp>
        <stp>22/12/2015</stp>
        <stp>[Bbg_Market_Data_CL.xlsm]data!R324C6</stp>
        <tr r="F324" s="1"/>
        <tr r="F324" s="1"/>
      </tp>
      <tp t="s">
        <v>#N/A Requesting Data...</v>
        <stp/>
        <stp>##V3_BDHV12</stp>
        <stp>CL2 Comdty</stp>
        <stp>PX_LAST</stp>
        <stp>20/08/2015</stp>
        <stp>20/08/2015</stp>
        <stp>[Bbg_Market_Data_CL.xlsm]data!R408C9</stp>
        <tr r="I408" s="1"/>
      </tp>
      <tp t="s">
        <v>#N/A Requesting Data...</v>
        <stp/>
        <stp>##V3_BDHV12</stp>
        <stp>CL2 Comdty</stp>
        <stp>PX_LAST</stp>
        <stp>23/08/2016</stp>
        <stp>23/08/2016</stp>
        <stp>[Bbg_Market_Data_CL.xlsm]data!R158C9</stp>
        <tr r="I158" s="1"/>
      </tp>
      <tp t="s">
        <v>#N/A Requesting Data...</v>
        <stp/>
        <stp>##V3_BDHV12</stp>
        <stp>CL1 Comdty</stp>
        <stp>PX_LAST</stp>
        <stp>03/09/2015</stp>
        <stp>03/09/2015</stp>
        <stp>[Bbg_Market_Data_CL.xlsm]data!R398C9</stp>
        <tr r="I398" s="1"/>
      </tp>
      <tp t="s">
        <v>#N/A Requesting Data...</v>
        <stp/>
        <stp>##V3_BDHV12</stp>
        <stp>CL2 Comdty</stp>
        <stp>PX_LAST</stp>
        <stp>28/10/2015</stp>
        <stp>28/10/2015</stp>
        <stp>[Bbg_Market_Data_CL.xlsm]data!R361C9</stp>
        <tr r="I361" s="1"/>
      </tp>
      <tp t="s">
        <v>#N/A Requesting Data...</v>
        <stp/>
        <stp>##V3_BDHV12</stp>
        <stp>CL2 Comdty</stp>
        <stp>PX_LAST</stp>
        <stp>08/01/2016</stp>
        <stp>08/01/2016</stp>
        <stp>[Bbg_Market_Data_CL.xlsm]data!R313C9</stp>
        <tr r="I313" s="1"/>
      </tp>
      <tp>
        <v>46.08</v>
        <stp/>
        <stp>##V3_BDHV12</stp>
        <stp>CL1 Comdty</stp>
        <stp>PX_HIGH</stp>
        <stp>21/10/2015</stp>
        <stp>21/10/2015</stp>
        <stp>[Bbg_Market_Data_CL.xlsm]data!R366C6</stp>
        <tr r="F366" s="1"/>
        <tr r="F366" s="1"/>
      </tp>
      <tp>
        <v>51.54</v>
        <stp/>
        <stp>##V3_BDHV12</stp>
        <stp>CL1 Comdty</stp>
        <stp>PX_HIGH</stp>
        <stp>11/10/2016</stp>
        <stp>11/10/2016</stp>
        <stp>[Bbg_Market_Data_CL.xlsm]data!R125C6</stp>
        <tr r="F125" s="1"/>
        <tr r="F125" s="1"/>
      </tp>
      <tp>
        <v>31.53</v>
        <stp/>
        <stp>##V3_BDHV12</stp>
        <stp>CL1 Comdty</stp>
        <stp>PX_HIGH</stp>
        <stp>02/02/2016</stp>
        <stp>02/02/2016</stp>
        <stp>[Bbg_Market_Data_CL.xlsm]data!R297C6</stp>
        <tr r="F297" s="1"/>
        <tr r="F297" s="1"/>
      </tp>
      <tp t="s">
        <v>#N/A Requesting Data...</v>
        <stp/>
        <stp>##V3_BDHV12</stp>
        <stp>CL1 Comdty</stp>
        <stp>PX_LAST</stp>
        <stp>29/03/2016</stp>
        <stp>29/03/2016</stp>
        <stp>[Bbg_Market_Data_CL.xlsm]data!R260C9</stp>
        <tr r="I260" s="1"/>
      </tp>
      <tp>
        <v>35.840000000000003</v>
        <stp/>
        <stp>##V3_BDHV12</stp>
        <stp>CL1 Comdty</stp>
        <stp>PX_HIGH</stp>
        <stp>17/12/2015</stp>
        <stp>17/12/2015</stp>
        <stp>[Bbg_Market_Data_CL.xlsm]data!R327C6</stp>
        <tr r="F327" s="1"/>
        <tr r="F327" s="1"/>
      </tp>
      <tp>
        <v>36.340000000000003</v>
        <stp/>
        <stp>##V3_BDHV12</stp>
        <stp>CL1 Comdty</stp>
        <stp>PX_HIGH</stp>
        <stp>04/03/2016</stp>
        <stp>04/03/2016</stp>
        <stp>[Bbg_Market_Data_CL.xlsm]data!R276C6</stp>
        <tr r="F276" s="1"/>
        <tr r="F276" s="1"/>
      </tp>
      <tp>
        <v>51.02</v>
        <stp/>
        <stp>##V3_BDHV12</stp>
        <stp>CL1 Comdty</stp>
        <stp>PX_HIGH</stp>
        <stp>21/07/2015</stp>
        <stp>21/07/2015</stp>
        <stp>[Bbg_Market_Data_CL.xlsm]data!R430C6</stp>
        <tr r="F430" s="1"/>
        <tr r="F430" s="1"/>
      </tp>
      <tp>
        <v>46.65</v>
        <stp/>
        <stp>##V3_BDHV12</stp>
        <stp>CL1 Comdty</stp>
        <stp>PX_HIGH</stp>
        <stp>05/11/2015</stp>
        <stp>05/11/2015</stp>
        <stp>[Bbg_Market_Data_CL.xlsm]data!R355C6</stp>
        <tr r="F355" s="1"/>
        <tr r="F355" s="1"/>
      </tp>
      <tp>
        <v>44.49</v>
        <stp/>
        <stp>##V3_BDHV12</stp>
        <stp>CL1 Comdty</stp>
        <stp>PX_HIGH</stp>
        <stp>21/04/2016</stp>
        <stp>21/04/2016</stp>
        <stp>[Bbg_Market_Data_CL.xlsm]data!R243C6</stp>
        <tr r="F243" s="1"/>
        <tr r="F243" s="1"/>
      </tp>
      <tp>
        <v>48.79</v>
        <stp/>
        <stp>##V3_BDHV12</stp>
        <stp>CL1 Comdty</stp>
        <stp>PX_HIGH</stp>
        <stp>20/05/2016</stp>
        <stp>20/05/2016</stp>
        <stp>[Bbg_Market_Data_CL.xlsm]data!R222C6</stp>
        <tr r="F222" s="1"/>
        <tr r="F222" s="1"/>
      </tp>
      <tp>
        <v>42.25</v>
        <stp/>
        <stp>##V3_BDHV12</stp>
        <stp>CL1 Comdty</stp>
        <stp>PX_HIGH</stp>
        <stp>12/04/2016</stp>
        <stp>12/04/2016</stp>
        <stp>[Bbg_Market_Data_CL.xlsm]data!R250C6</stp>
        <tr r="F250" s="1"/>
        <tr r="F250" s="1"/>
      </tp>
      <tp t="s">
        <v>#N/A Requesting Data...</v>
        <stp/>
        <stp>##V3_BDHV12</stp>
        <stp>CL1 Comdty</stp>
        <stp>PX_LAST</stp>
        <stp>29/07/2015</stp>
        <stp>29/07/2015</stp>
        <stp>[Bbg_Market_Data_CL.xlsm]data!R424C9</stp>
        <tr r="I424" s="1"/>
      </tp>
      <tp t="s">
        <v>#N/A Requesting Data...</v>
        <stp/>
        <stp>##V3_BDHV12</stp>
        <stp>CL1 Comdty</stp>
        <stp>PX_LAST</stp>
        <stp>29/04/2016</stp>
        <stp>29/04/2016</stp>
        <stp>[Bbg_Market_Data_CL.xlsm]data!R237C9</stp>
        <tr r="I237" s="1"/>
      </tp>
      <tp>
        <v>51.93</v>
        <stp/>
        <stp>##V3_BDHV12</stp>
        <stp>CL1 Comdty</stp>
        <stp>PX_HIGH</stp>
        <stp>10/04/2015</stp>
        <stp>10/04/2015</stp>
        <stp>[Bbg_Market_Data_CL.xlsm]data!R500C6</stp>
        <tr r="F500" s="1"/>
        <tr r="F500" s="1"/>
      </tp>
      <tp>
        <v>57.95</v>
        <stp/>
        <stp>##V3_BDHV12</stp>
        <stp>CL1 Comdty</stp>
        <stp>PX_HIGH</stp>
        <stp>02/07/2015</stp>
        <stp>02/07/2015</stp>
        <stp>[Bbg_Market_Data_CL.xlsm]data!R442C6</stp>
        <tr r="F442" s="1"/>
        <tr r="F442" s="1"/>
      </tp>
      <tp>
        <v>50.98</v>
        <stp/>
        <stp>##V3_BDHV12</stp>
        <stp>CL1 Comdty</stp>
        <stp>PX_HIGH</stp>
        <stp>24/10/2016</stp>
        <stp>24/10/2016</stp>
        <stp>[Bbg_Market_Data_CL.xlsm]data!R116C6</stp>
        <tr r="F116" s="1"/>
        <tr r="F116" s="1"/>
      </tp>
      <tp>
        <v>61.43</v>
        <stp/>
        <stp>##V3_BDHV12</stp>
        <stp>CL1 Comdty</stp>
        <stp>PX_HIGH</stp>
        <stp>03/06/2015</stp>
        <stp>03/06/2015</stp>
        <stp>[Bbg_Market_Data_CL.xlsm]data!R463C6</stp>
        <tr r="F463" s="1"/>
        <tr r="F463" s="1"/>
      </tp>
      <tp>
        <v>34.26</v>
        <stp/>
        <stp>##V3_BDHV12</stp>
        <stp>CL1 Comdty</stp>
        <stp>PX_HIGH</stp>
        <stp>07/01/2016</stp>
        <stp>07/01/2016</stp>
        <stp>[Bbg_Market_Data_CL.xlsm]data!R314C6</stp>
        <tr r="F314" s="1"/>
        <tr r="F314" s="1"/>
      </tp>
      <tp t="s">
        <v>#N/A Requesting Data...</v>
        <stp/>
        <stp>##V3_BDHV12</stp>
        <stp>CL1 Comdty</stp>
        <stp>PX_LAST</stp>
        <stp>07/09/2016</stp>
        <stp>07/09/2016</stp>
        <stp>[Bbg_Market_Data_CL.xlsm]data!R148C9</stp>
        <tr r="I148" s="1"/>
      </tp>
      <tp t="s">
        <v>#N/A Requesting Data...</v>
        <stp/>
        <stp>##V3_BDHV12</stp>
        <stp>CL1 Comdty</stp>
        <stp>PX_LAST</stp>
        <stp>05/08/2015</stp>
        <stp>05/08/2015</stp>
        <stp>[Bbg_Market_Data_CL.xlsm]data!R419C9</stp>
        <tr r="I419" s="1"/>
      </tp>
      <tp t="s">
        <v>#N/A Requesting Data...</v>
        <stp/>
        <stp>##V3_BDHV12</stp>
        <stp>CL1 Comdty</stp>
        <stp>PX_LAST</stp>
        <stp>29/06/2015</stp>
        <stp>29/06/2015</stp>
        <stp>[Bbg_Market_Data_CL.xlsm]data!R445C9</stp>
        <tr r="I445" s="1"/>
      </tp>
      <tp>
        <v>40.36</v>
        <stp/>
        <stp>##V3_BDHV12</stp>
        <stp>CL1 Comdty</stp>
        <stp>PX_HIGH</stp>
        <stp>17/03/2016</stp>
        <stp>17/03/2016</stp>
        <stp>[Bbg_Market_Data_CL.xlsm]data!R267C6</stp>
        <tr r="F267" s="1"/>
        <tr r="F267" s="1"/>
      </tp>
      <tp>
        <v>42</v>
        <stp/>
        <stp>##V3_BDHV12</stp>
        <stp>CL1 Comdty</stp>
        <stp>PX_HIGH</stp>
        <stp>04/12/2015</stp>
        <stp>04/12/2015</stp>
        <stp>[Bbg_Market_Data_CL.xlsm]data!R336C6</stp>
        <tr r="F336" s="1"/>
        <tr r="F336" s="1"/>
      </tp>
      <tp>
        <v>49.32</v>
        <stp/>
        <stp>##V3_BDHV12</stp>
        <stp>CL1 Comdty</stp>
        <stp>PX_HIGH</stp>
        <stp>21/06/2016</stp>
        <stp>21/06/2016</stp>
        <stp>[Bbg_Market_Data_CL.xlsm]data!R201C6</stp>
        <tr r="F201" s="1"/>
        <tr r="F201" s="1"/>
      </tp>
      <tp>
        <v>49.41</v>
        <stp/>
        <stp>##V3_BDHV12</stp>
        <stp>CL1 Comdty</stp>
        <stp>PX_HIGH</stp>
        <stp>03/06/2016</stp>
        <stp>03/06/2016</stp>
        <stp>[Bbg_Market_Data_CL.xlsm]data!R213C6</stp>
        <tr r="F213" s="1"/>
        <tr r="F213" s="1"/>
      </tp>
      <tp t="s">
        <v>#N/A Requesting Data...</v>
        <stp/>
        <stp>##V3_BDHV12</stp>
        <stp>CL1 Comdty</stp>
        <stp>PX_LAST</stp>
        <stp>05/08/2016</stp>
        <stp>05/08/2016</stp>
        <stp>[Bbg_Market_Data_CL.xlsm]data!R169C9</stp>
        <tr r="I169" s="1"/>
      </tp>
      <tp t="s">
        <v>#N/A Requesting Data...</v>
        <stp/>
        <stp>##V3_BDHV12</stp>
        <stp>CL1 Comdty</stp>
        <stp>PX_LAST</stp>
        <stp>29/05/2015</stp>
        <stp>29/05/2015</stp>
        <stp>[Bbg_Market_Data_CL.xlsm]data!R466C9</stp>
        <tr r="I466" s="1"/>
      </tp>
      <tp t="s">
        <v>#N/A Requesting Data...</v>
        <stp/>
        <stp>##V3_BDHV12</stp>
        <stp>CL1 Comdty</stp>
        <stp>PX_LAST</stp>
        <stp>29/06/2016</stp>
        <stp>29/06/2016</stp>
        <stp>[Bbg_Market_Data_CL.xlsm]data!R195C9</stp>
        <tr r="I195" s="1"/>
      </tp>
      <tp>
        <v>59.04</v>
        <stp/>
        <stp>##V3_BDHV12</stp>
        <stp>CL1 Comdty</stp>
        <stp>PX_HIGH</stp>
        <stp>20/05/2015</stp>
        <stp>20/05/2015</stp>
        <stp>[Bbg_Market_Data_CL.xlsm]data!R472C6</stp>
        <tr r="F472" s="1"/>
        <tr r="F472" s="1"/>
      </tp>
      <tp>
        <v>56.91</v>
        <stp/>
        <stp>##V3_BDHV12</stp>
        <stp>CL1 Comdty</stp>
        <stp>PX_HIGH</stp>
        <stp>21/04/2015</stp>
        <stp>21/04/2015</stp>
        <stp>[Bbg_Market_Data_CL.xlsm]data!R493C6</stp>
        <tr r="F493" s="1"/>
        <tr r="F493" s="1"/>
      </tp>
      <tp>
        <v>46.09</v>
        <stp/>
        <stp>##V3_BDHV12</stp>
        <stp>CL1 Comdty</stp>
        <stp>PX_HIGH</stp>
        <stp>21/07/2016</stp>
        <stp>21/07/2016</stp>
        <stp>[Bbg_Market_Data_CL.xlsm]data!R180C6</stp>
        <tr r="F180" s="1"/>
        <tr r="F180" s="1"/>
      </tp>
      <tp t="s">
        <v>#N/A Requesting Data...</v>
        <stp/>
        <stp>##V3_BDHV12</stp>
        <stp>CL1 Comdty</stp>
        <stp>PX_LAST</stp>
        <stp>17/09/2015</stp>
        <stp>17/09/2015</stp>
        <stp>[Bbg_Market_Data_CL.xlsm]data!R389C9</stp>
        <tr r="I389" s="1"/>
      </tp>
      <tp t="s">
        <v>#N/A Requesting Data...</v>
        <stp/>
        <stp>##V3_BDHV12</stp>
        <stp>CL1 Comdty</stp>
        <stp>PX_LAST</stp>
        <stp>29/04/2015</stp>
        <stp>29/04/2015</stp>
        <stp>[Bbg_Market_Data_CL.xlsm]data!R487C9</stp>
        <tr r="I487" s="1"/>
      </tp>
      <tp t="s">
        <v>#N/A Requesting Data...</v>
        <stp/>
        <stp>##V3_BDHV12</stp>
        <stp>CL1 Comdty</stp>
        <stp>PX_LAST</stp>
        <stp>29/07/2016</stp>
        <stp>29/07/2016</stp>
        <stp>[Bbg_Market_Data_CL.xlsm]data!R174C9</stp>
        <tr r="I174" s="1"/>
      </tp>
      <tp t="s">
        <v>#N/A Requesting Data...</v>
        <stp/>
        <stp>##V3_BDHV12</stp>
        <stp>CL2 Comdty</stp>
        <stp>PX_LAST</stp>
        <stp>28/06/2016</stp>
        <stp>28/06/2016</stp>
        <stp>[Bbg_Market_Data_CL.xlsm]data!R196C9</stp>
        <tr r="I196" s="1"/>
      </tp>
      <tp>
        <v>47.9</v>
        <stp/>
        <stp>##V3_BDHV12</stp>
        <stp>CL1 Comdty</stp>
        <stp>PX_OPEN</stp>
        <stp>15/06/2016</stp>
        <stp>15/06/2016</stp>
        <stp>[Bbg_Market_Data_CL.xlsm]data!R205C5</stp>
        <tr r="E205" s="1"/>
        <tr r="E205" s="1"/>
      </tp>
      <tp>
        <v>46.28</v>
        <stp/>
        <stp>##V3_BDHV12</stp>
        <stp>CL1 Comdty</stp>
        <stp>PX_OPEN</stp>
        <stp>16/05/2016</stp>
        <stp>16/05/2016</stp>
        <stp>[Bbg_Market_Data_CL.xlsm]data!R226C5</stp>
        <tr r="E226" s="1"/>
        <tr r="E226" s="1"/>
      </tp>
      <tp>
        <v>48.79</v>
        <stp/>
        <stp>##V3_BDHV12</stp>
        <stp>CL1 Comdty</stp>
        <stp>PX_OPEN</stp>
        <stp>24/07/2015</stp>
        <stp>24/07/2015</stp>
        <stp>[Bbg_Market_Data_CL.xlsm]data!R427C5</stp>
        <tr r="E427" s="1"/>
        <tr r="E427" s="1"/>
      </tp>
      <tp>
        <v>41.19</v>
        <stp/>
        <stp>##V3_BDHV12</stp>
        <stp>CL1 Comdty</stp>
        <stp>PX_OPEN</stp>
        <stp>23/03/2016</stp>
        <stp>23/03/2016</stp>
        <stp>[Bbg_Market_Data_CL.xlsm]data!R263C5</stp>
        <tr r="E263" s="1"/>
        <tr r="E263" s="1"/>
      </tp>
      <tp>
        <v>43.07</v>
        <stp/>
        <stp>##V3_BDHV12</stp>
        <stp>CL1 Comdty</stp>
        <stp>PX_OPEN</stp>
        <stp>26/07/2016</stp>
        <stp>26/07/2016</stp>
        <stp>[Bbg_Market_Data_CL.xlsm]data!R177C5</stp>
        <tr r="E177" s="1"/>
        <tr r="E177" s="1"/>
      </tp>
      <tp>
        <v>45.52</v>
        <stp/>
        <stp>##V3_BDHV12</stp>
        <stp>CL1 Comdty</stp>
        <stp>PX_OPEN</stp>
        <stp>15/07/2016</stp>
        <stp>15/07/2016</stp>
        <stp>[Bbg_Market_Data_CL.xlsm]data!R184C5</stp>
        <tr r="E184" s="1"/>
        <tr r="E184" s="1"/>
      </tp>
      <tp>
        <v>28.36</v>
        <stp/>
        <stp>##V3_BDHV12</stp>
        <stp>CL1 Comdty</stp>
        <stp>PX_OPEN</stp>
        <stp>10/02/2016</stp>
        <stp>10/02/2016</stp>
        <stp>[Bbg_Market_Data_CL.xlsm]data!R291C5</stp>
        <tr r="E291" s="1"/>
        <tr r="E291" s="1"/>
      </tp>
      <tp>
        <v>53.55</v>
        <stp/>
        <stp>##V3_BDHV12</stp>
        <stp>CL1 Comdty</stp>
        <stp>PX_OPEN</stp>
        <stp>15/04/2015</stp>
        <stp>15/04/2015</stp>
        <stp>[Bbg_Market_Data_CL.xlsm]data!R497C5</stp>
        <tr r="E497" s="1"/>
        <tr r="E497" s="1"/>
      </tp>
      <tp>
        <v>60.1</v>
        <stp/>
        <stp>##V3_BDHV12</stp>
        <stp>CL1 Comdty</stp>
        <stp>PX_OPEN</stp>
        <stp>14/05/2015</stp>
        <stp>14/05/2015</stp>
        <stp>[Bbg_Market_Data_CL.xlsm]data!R476C5</stp>
        <tr r="E476" s="1"/>
        <tr r="E476" s="1"/>
      </tp>
      <tp>
        <v>36.61</v>
        <stp/>
        <stp>##V3_BDHV12</stp>
        <stp>CL1 Comdty</stp>
        <stp>PX_OPEN</stp>
        <stp>04/04/2016</stp>
        <stp>04/04/2016</stp>
        <stp>[Bbg_Market_Data_CL.xlsm]data!R256C5</stp>
        <tr r="E256" s="1"/>
        <tr r="E256" s="1"/>
      </tp>
      <tp>
        <v>41.43</v>
        <stp/>
        <stp>##V3_BDHV12</stp>
        <stp>CL1 Comdty</stp>
        <stp>PX_OPEN</stp>
        <stp>15/04/2016</stp>
        <stp>15/04/2016</stp>
        <stp>[Bbg_Market_Data_CL.xlsm]data!R247C5</stp>
        <tr r="E247" s="1"/>
        <tr r="E247" s="1"/>
      </tp>
      <tp>
        <v>53.4</v>
        <stp/>
        <stp>##V3_BDHV12</stp>
        <stp>CL1 Comdty</stp>
        <stp>PX_OPEN</stp>
        <stp>15/07/2015</stp>
        <stp>15/07/2015</stp>
        <stp>[Bbg_Market_Data_CL.xlsm]data!R434C5</stp>
        <tr r="E434" s="1"/>
        <tr r="E434" s="1"/>
      </tp>
      <tp>
        <v>36.47</v>
        <stp/>
        <stp>##V3_BDHV12</stp>
        <stp>CL1 Comdty</stp>
        <stp>PX_OPEN</stp>
        <stp>23/12/2015</stp>
        <stp>23/12/2015</stp>
        <stp>[Bbg_Market_Data_CL.xlsm]data!R323C5</stp>
        <tr r="E323" s="1"/>
        <tr r="E323" s="1"/>
      </tp>
      <tp>
        <v>45.31</v>
        <stp/>
        <stp>##V3_BDHV12</stp>
        <stp>CL1 Comdty</stp>
        <stp>PX_OPEN</stp>
        <stp>10/11/2016</stp>
        <stp>10/11/2016</stp>
        <stp>[Bbg_Market_Data_CL.xlsm]data!R103C5</stp>
        <tr r="E103" s="1"/>
        <tr r="E103" s="1"/>
      </tp>
      <tp>
        <v>32.94</v>
        <stp/>
        <stp>##V3_BDHV12</stp>
        <stp>CL1 Comdty</stp>
        <stp>PX_OPEN</stp>
        <stp>11/01/2016</stp>
        <stp>11/01/2016</stp>
        <stp>[Bbg_Market_Data_CL.xlsm]data!R312C5</stp>
        <tr r="E312" s="1"/>
        <tr r="E312" s="1"/>
      </tp>
      <tp>
        <v>59.9</v>
        <stp/>
        <stp>##V3_BDHV12</stp>
        <stp>CL1 Comdty</stp>
        <stp>PX_OPEN</stp>
        <stp>15/06/2015</stp>
        <stp>15/06/2015</stp>
        <stp>[Bbg_Market_Data_CL.xlsm]data!R455C5</stp>
        <tr r="E455" s="1"/>
        <tr r="E455" s="1"/>
      </tp>
      <tp>
        <v>47.46</v>
        <stp/>
        <stp>##V3_BDHV12</stp>
        <stp>CL1 Comdty</stp>
        <stp>PX_OPEN</stp>
        <stp>13/10/2015</stp>
        <stp>13/10/2015</stp>
        <stp>[Bbg_Market_Data_CL.xlsm]data!R372C5</stp>
        <tr r="E372" s="1"/>
        <tr r="E372" s="1"/>
      </tp>
      <tp>
        <v>59.66</v>
        <stp/>
        <stp>##V3_BDHV12</stp>
        <stp>CL1 Comdty</stp>
        <stp>PX_OPEN</stp>
        <stp>26/06/2015</stp>
        <stp>26/06/2015</stp>
        <stp>[Bbg_Market_Data_CL.xlsm]data!R446C5</stp>
        <tr r="E446" s="1"/>
        <tr r="E446" s="1"/>
      </tp>
      <tp>
        <v>38.17</v>
        <stp/>
        <stp>##V3_BDHV12</stp>
        <stp>CL1 Comdty</stp>
        <stp>PX_OPEN</stp>
        <stp>14/03/2016</stp>
        <stp>14/03/2016</stp>
        <stp>[Bbg_Market_Data_CL.xlsm]data!R270C5</stp>
        <tr r="E270" s="1"/>
        <tr r="E270" s="1"/>
      </tp>
      <tp>
        <v>40.799999999999997</v>
        <stp/>
        <stp>##V3_BDHV12</stp>
        <stp>CL1 Comdty</stp>
        <stp>PX_OPEN</stp>
        <stp>20/04/2016</stp>
        <stp>20/04/2016</stp>
        <stp>[Bbg_Market_Data_CL.xlsm]data!R244C5</stp>
        <tr r="E244" s="1"/>
        <tr r="E244" s="1"/>
      </tp>
      <tp>
        <v>60.18</v>
        <stp/>
        <stp>##V3_BDHV12</stp>
        <stp>CL1 Comdty</stp>
        <stp>PX_OPEN</stp>
        <stp>02/06/2015</stp>
        <stp>02/06/2015</stp>
        <stp>[Bbg_Market_Data_CL.xlsm]data!R464C5</stp>
        <tr r="E464" s="1"/>
        <tr r="E464" s="1"/>
      </tp>
      <tp>
        <v>30.55</v>
        <stp/>
        <stp>##V3_BDHV12</stp>
        <stp>CL1 Comdty</stp>
        <stp>PX_OPEN</stp>
        <stp>27/01/2016</stp>
        <stp>27/01/2016</stp>
        <stp>[Bbg_Market_Data_CL.xlsm]data!R301C5</stp>
        <tr r="E301" s="1"/>
        <tr r="E301" s="1"/>
      </tp>
      <tp>
        <v>35.4</v>
        <stp/>
        <stp>##V3_BDHV12</stp>
        <stp>CL1 Comdty</stp>
        <stp>PX_OPEN</stp>
        <stp>14/12/2015</stp>
        <stp>14/12/2015</stp>
        <stp>[Bbg_Market_Data_CL.xlsm]data!R330C5</stp>
        <tr r="E330" s="1"/>
        <tr r="E330" s="1"/>
      </tp>
      <tp>
        <v>48.9</v>
        <stp/>
        <stp>##V3_BDHV12</stp>
        <stp>CL1 Comdty</stp>
        <stp>PX_OPEN</stp>
        <stp>02/06/2016</stp>
        <stp>02/06/2016</stp>
        <stp>[Bbg_Market_Data_CL.xlsm]data!R214C5</stp>
        <tr r="E214" s="1"/>
        <tr r="E214" s="1"/>
      </tp>
      <tp>
        <v>32.19</v>
        <stp/>
        <stp>##V3_BDHV12</stp>
        <stp>CL1 Comdty</stp>
        <stp>PX_OPEN</stp>
        <stp>25/02/2016</stp>
        <stp>25/02/2016</stp>
        <stp>[Bbg_Market_Data_CL.xlsm]data!R282C5</stp>
        <tr r="E282" s="1"/>
        <tr r="E282" s="1"/>
      </tp>
      <tp>
        <v>56.16</v>
        <stp/>
        <stp>##V3_BDHV12</stp>
        <stp>CL1 Comdty</stp>
        <stp>PX_OPEN</stp>
        <stp>20/04/2015</stp>
        <stp>20/04/2015</stp>
        <stp>[Bbg_Market_Data_CL.xlsm]data!R494C5</stp>
        <tr r="E494" s="1"/>
        <tr r="E494" s="1"/>
      </tp>
      <tp>
        <v>50.58</v>
        <stp/>
        <stp>##V3_BDHV12</stp>
        <stp>CL1 Comdty</stp>
        <stp>PX_OPEN</stp>
        <stp>14/10/2016</stp>
        <stp>14/10/2016</stp>
        <stp>[Bbg_Market_Data_CL.xlsm]data!R122C5</stp>
        <tr r="E122" s="1"/>
        <tr r="E122" s="1"/>
      </tp>
      <tp>
        <v>49.69</v>
        <stp/>
        <stp>##V3_BDHV12</stp>
        <stp>CL1 Comdty</stp>
        <stp>PX_OPEN</stp>
        <stp>09/10/2015</stp>
        <stp>09/10/2015</stp>
        <stp>[Bbg_Market_Data_CL.xlsm]data!R373C5</stp>
        <tr r="E373" s="1"/>
        <tr r="E373" s="1"/>
      </tp>
      <tp>
        <v>43.13</v>
        <stp/>
        <stp>##V3_BDHV12</stp>
        <stp>CL1 Comdty</stp>
        <stp>PX_OPEN</stp>
        <stp>20/09/2016</stp>
        <stp>20/09/2016</stp>
        <stp>[Bbg_Market_Data_CL.xlsm]data!R139C5</stp>
        <tr r="E139" s="1"/>
        <tr r="E139" s="1"/>
      </tp>
      <tp>
        <v>33.299999999999997</v>
        <stp/>
        <stp>##V3_BDHV12</stp>
        <stp>CL1 Comdty</stp>
        <stp>PX_OPEN</stp>
        <stp>08/01/2016</stp>
        <stp>08/01/2016</stp>
        <stp>[Bbg_Market_Data_CL.xlsm]data!R313C5</stp>
        <tr r="E313" s="1"/>
        <tr r="E313" s="1"/>
      </tp>
      <tp>
        <v>43.44</v>
        <stp/>
        <stp>##V3_BDHV12</stp>
        <stp>CL1 Comdty</stp>
        <stp>PX_OPEN</stp>
        <stp>28/10/2015</stp>
        <stp>28/10/2015</stp>
        <stp>[Bbg_Market_Data_CL.xlsm]data!R361C5</stp>
        <tr r="E361" s="1"/>
        <tr r="E361" s="1"/>
      </tp>
      <tp>
        <v>40.58</v>
        <stp/>
        <stp>##V3_BDHV12</stp>
        <stp>CL1 Comdty</stp>
        <stp>PX_OPEN</stp>
        <stp>20/08/2015</stp>
        <stp>20/08/2015</stp>
        <stp>[Bbg_Market_Data_CL.xlsm]data!R408C5</stp>
        <tr r="E408" s="1"/>
        <tr r="E408" s="1"/>
      </tp>
      <tp>
        <v>47.39</v>
        <stp/>
        <stp>##V3_BDHV12</stp>
        <stp>CL1 Comdty</stp>
        <stp>PX_OPEN</stp>
        <stp>23/08/2016</stp>
        <stp>23/08/2016</stp>
        <stp>[Bbg_Market_Data_CL.xlsm]data!R158C5</stp>
        <tr r="E158" s="1"/>
        <tr r="E158" s="1"/>
      </tp>
      <tp>
        <v>46.59</v>
        <stp/>
        <stp>##V3_BDHV12</stp>
        <stp>CL1 Comdty</stp>
        <stp>PX_OPEN</stp>
        <stp>28/06/2016</stp>
        <stp>28/06/2016</stp>
        <stp>[Bbg_Market_Data_CL.xlsm]data!R196C5</stp>
        <tr r="E196" s="1"/>
        <tr r="E196" s="1"/>
      </tp>
      <tp t="s">
        <v>#N/A Requesting Data...</v>
        <stp/>
        <stp>##V3_BDHV12</stp>
        <stp>CL2 Comdty</stp>
        <stp>RSI_14D</stp>
        <stp>06/08/2015</stp>
        <stp>06/08/2015</stp>
        <stp>[Bbg_Market_Data_CL.xlsm]data!R418C13</stp>
        <tr r="M418" s="1"/>
      </tp>
      <tp t="s">
        <v>#N/A Requesting Data...</v>
        <stp/>
        <stp>##V3_BDHV12</stp>
        <stp>CL1 Comdty</stp>
        <stp>RSI_14D</stp>
        <stp>06/08/2015</stp>
        <stp>06/08/2015</stp>
        <stp>[Bbg_Market_Data_CL.xlsm]data!R418C13</stp>
        <tr r="M418" s="1"/>
      </tp>
      <tp t="s">
        <v>#N/A Requesting Data...</v>
        <stp/>
        <stp>##V3_BDHV12</stp>
        <stp>CL1 Comdty</stp>
        <stp>RSI_30D</stp>
        <stp>14/09/2015</stp>
        <stp>14/09/2015</stp>
        <stp>[Bbg_Market_Data_CL.xlsm]data!R392C14</stp>
        <tr r="N392" s="1"/>
      </tp>
      <tp t="s">
        <v>#N/A Requesting Data...</v>
        <stp/>
        <stp>##V3_BDHV12</stp>
        <stp>CL2 Comdty</stp>
        <stp>RSI_30D</stp>
        <stp>14/09/2015</stp>
        <stp>14/09/2015</stp>
        <stp>[Bbg_Market_Data_CL.xlsm]data!R392C14</stp>
        <tr r="N392" s="1"/>
      </tp>
      <tp t="s">
        <v>#N/A Requesting Data...</v>
        <stp/>
        <stp>##V3_BDHV12</stp>
        <stp>CL2 Comdty</stp>
        <stp>RSI_30D</stp>
        <stp>25/08/2016</stp>
        <stp>25/08/2016</stp>
        <stp>[Bbg_Market_Data_CL.xlsm]data!R156C14</stp>
        <tr r="N156" s="1"/>
      </tp>
      <tp t="s">
        <v>#N/A Requesting Data...</v>
        <stp/>
        <stp>##V3_BDHV12</stp>
        <stp>CL1 Comdty</stp>
        <stp>RSI_30D</stp>
        <stp>25/08/2016</stp>
        <stp>25/08/2016</stp>
        <stp>[Bbg_Market_Data_CL.xlsm]data!R156C14</stp>
        <tr r="N156" s="1"/>
      </tp>
      <tp t="s">
        <v>#N/A Requesting Data...</v>
        <stp/>
        <stp>##V3_BDHV12</stp>
        <stp>CL2 Comdty</stp>
        <stp>RSI_14D</stp>
        <stp>17/08/2015</stp>
        <stp>17/08/2015</stp>
        <stp>[Bbg_Market_Data_CL.xlsm]data!R411C13</stp>
        <tr r="M411" s="1"/>
      </tp>
      <tp t="s">
        <v>#N/A Requesting Data...</v>
        <stp/>
        <stp>##V3_BDHV12</stp>
        <stp>CL1 Comdty</stp>
        <stp>RSI_14D</stp>
        <stp>17/08/2015</stp>
        <stp>17/08/2015</stp>
        <stp>[Bbg_Market_Data_CL.xlsm]data!R411C13</stp>
        <tr r="M411" s="1"/>
      </tp>
      <tp t="s">
        <v>#N/A Requesting Data...</v>
        <stp/>
        <stp>##V3_BDHV12</stp>
        <stp>CL2 Comdty</stp>
        <stp>RSI_30D</stp>
        <stp>06/09/2016</stp>
        <stp>06/09/2016</stp>
        <stp>[Bbg_Market_Data_CL.xlsm]data!R149C14</stp>
        <tr r="N149" s="1"/>
      </tp>
      <tp t="s">
        <v>#N/A Requesting Data...</v>
        <stp/>
        <stp>##V3_BDHV12</stp>
        <stp>CL1 Comdty</stp>
        <stp>RSI_30D</stp>
        <stp>06/09/2016</stp>
        <stp>06/09/2016</stp>
        <stp>[Bbg_Market_Data_CL.xlsm]data!R149C14</stp>
        <tr r="N149" s="1"/>
      </tp>
      <tp t="s">
        <v>#N/A Requesting Data...</v>
        <stp/>
        <stp>##V3_BDHV12</stp>
        <stp>CL1 Comdty</stp>
        <stp>RSI_30D</stp>
        <stp>16/08/2016</stp>
        <stp>16/08/2016</stp>
        <stp>[Bbg_Market_Data_CL.xlsm]data!R163C14</stp>
        <tr r="N163" s="1"/>
      </tp>
      <tp t="s">
        <v>#N/A Requesting Data...</v>
        <stp/>
        <stp>##V3_BDHV12</stp>
        <stp>CL2 Comdty</stp>
        <stp>RSI_30D</stp>
        <stp>16/08/2016</stp>
        <stp>16/08/2016</stp>
        <stp>[Bbg_Market_Data_CL.xlsm]data!R163C14</stp>
        <tr r="N163" s="1"/>
      </tp>
      <tp t="s">
        <v>#N/A Requesting Data...</v>
        <stp/>
        <stp>##V3_BDHV12</stp>
        <stp>CL2 Comdty</stp>
        <stp>RSI_14D</stp>
        <stp>24/08/2015</stp>
        <stp>24/08/2015</stp>
        <stp>[Bbg_Market_Data_CL.xlsm]data!R406C13</stp>
        <tr r="M406" s="1"/>
      </tp>
      <tp t="s">
        <v>#N/A Requesting Data...</v>
        <stp/>
        <stp>##V3_BDHV12</stp>
        <stp>CL1 Comdty</stp>
        <stp>RSI_14D</stp>
        <stp>24/08/2015</stp>
        <stp>24/08/2015</stp>
        <stp>[Bbg_Market_Data_CL.xlsm]data!R406C13</stp>
        <tr r="M406" s="1"/>
      </tp>
      <tp t="s">
        <v>#N/A Requesting Data...</v>
        <stp/>
        <stp>##V3_BDHV12</stp>
        <stp>CL2 Comdty</stp>
        <stp>RSI_14D</stp>
        <stp>25/09/2015</stp>
        <stp>25/09/2015</stp>
        <stp>[Bbg_Market_Data_CL.xlsm]data!R383C13</stp>
        <tr r="M383" s="1"/>
      </tp>
      <tp t="s">
        <v>#N/A Requesting Data...</v>
        <stp/>
        <stp>##V3_BDHV12</stp>
        <stp>CL1 Comdty</stp>
        <stp>RSI_14D</stp>
        <stp>25/09/2015</stp>
        <stp>25/09/2015</stp>
        <stp>[Bbg_Market_Data_CL.xlsm]data!R383C13</stp>
        <tr r="M383" s="1"/>
      </tp>
      <tp t="s">
        <v>#N/A Requesting Data...</v>
        <stp/>
        <stp>##V3_BDHV12</stp>
        <stp>CL1 Comdty</stp>
        <stp>RSI_30D</stp>
        <stp>26/08/2015</stp>
        <stp>26/08/2015</stp>
        <stp>[Bbg_Market_Data_CL.xlsm]data!R404C14</stp>
        <tr r="N404" s="1"/>
      </tp>
      <tp t="s">
        <v>#N/A Requesting Data...</v>
        <stp/>
        <stp>##V3_BDHV12</stp>
        <stp>CL2 Comdty</stp>
        <stp>RSI_30D</stp>
        <stp>26/08/2015</stp>
        <stp>26/08/2015</stp>
        <stp>[Bbg_Market_Data_CL.xlsm]data!R404C14</stp>
        <tr r="N404" s="1"/>
      </tp>
      <tp t="s">
        <v>#N/A Requesting Data...</v>
        <stp/>
        <stp>##V3_BDHV12</stp>
        <stp>CL2 Comdty</stp>
        <stp>RSI_14D</stp>
        <stp>05/08/2016</stp>
        <stp>05/08/2016</stp>
        <stp>[Bbg_Market_Data_CL.xlsm]data!R169C13</stp>
        <tr r="M169" s="1"/>
      </tp>
      <tp t="s">
        <v>#N/A Requesting Data...</v>
        <stp/>
        <stp>##V3_BDHV12</stp>
        <stp>CL1 Comdty</stp>
        <stp>RSI_14D</stp>
        <stp>05/08/2016</stp>
        <stp>05/08/2016</stp>
        <stp>[Bbg_Market_Data_CL.xlsm]data!R169C13</stp>
        <tr r="M169" s="1"/>
      </tp>
      <tp t="s">
        <v>#N/A Requesting Data...</v>
        <stp/>
        <stp>##V3_BDHV12</stp>
        <stp>CL1 Comdty</stp>
        <stp>RSI_14D</stp>
        <stp>15/09/2016</stp>
        <stp>15/09/2016</stp>
        <stp>[Bbg_Market_Data_CL.xlsm]data!R142C13</stp>
        <tr r="M142" s="1"/>
      </tp>
      <tp t="s">
        <v>#N/A Requesting Data...</v>
        <stp/>
        <stp>##V3_BDHV12</stp>
        <stp>CL2 Comdty</stp>
        <stp>RSI_14D</stp>
        <stp>15/09/2016</stp>
        <stp>15/09/2016</stp>
        <stp>[Bbg_Market_Data_CL.xlsm]data!R142C13</stp>
        <tr r="M142" s="1"/>
      </tp>
      <tp t="s">
        <v>#N/A Requesting Data...</v>
        <stp/>
        <stp>##V3_BDHV12</stp>
        <stp>CL2 Comdty</stp>
        <stp>RSI_30D</stp>
        <stp>04/08/2015</stp>
        <stp>04/08/2015</stp>
        <stp>[Bbg_Market_Data_CL.xlsm]data!R420C14</stp>
        <tr r="N420" s="1"/>
      </tp>
      <tp t="s">
        <v>#N/A Requesting Data...</v>
        <stp/>
        <stp>##V3_BDHV12</stp>
        <stp>CL1 Comdty</stp>
        <stp>RSI_30D</stp>
        <stp>04/08/2015</stp>
        <stp>04/08/2015</stp>
        <stp>[Bbg_Market_Data_CL.xlsm]data!R420C14</stp>
        <tr r="N420" s="1"/>
      </tp>
      <tp t="s">
        <v>#N/A Requesting Data...</v>
        <stp/>
        <stp>##V3_BDHV12</stp>
        <stp>CL1 Comdty</stp>
        <stp>RSI_14D</stp>
        <stp>26/09/2016</stp>
        <stp>26/09/2016</stp>
        <stp>[Bbg_Market_Data_CL.xlsm]data!R135C13</stp>
        <tr r="M135" s="1"/>
      </tp>
      <tp t="s">
        <v>#N/A Requesting Data...</v>
        <stp/>
        <stp>##V3_BDHV12</stp>
        <stp>CL2 Comdty</stp>
        <stp>RSI_14D</stp>
        <stp>26/09/2016</stp>
        <stp>26/09/2016</stp>
        <stp>[Bbg_Market_Data_CL.xlsm]data!R135C13</stp>
        <tr r="M135" s="1"/>
      </tp>
      <tp t="s">
        <v>#N/A Requesting Data...</v>
        <stp/>
        <stp>##V3_BDHV12</stp>
        <stp>CL2 Comdty</stp>
        <stp>RSI_14D</stp>
        <stp>16/09/2015</stp>
        <stp>16/09/2015</stp>
        <stp>[Bbg_Market_Data_CL.xlsm]data!R390C13</stp>
        <tr r="M390" s="1"/>
      </tp>
      <tp t="s">
        <v>#N/A Requesting Data...</v>
        <stp/>
        <stp>##V3_BDHV12</stp>
        <stp>CL1 Comdty</stp>
        <stp>RSI_14D</stp>
        <stp>16/09/2015</stp>
        <stp>16/09/2015</stp>
        <stp>[Bbg_Market_Data_CL.xlsm]data!R390C13</stp>
        <tr r="M390" s="1"/>
      </tp>
      <tp t="s">
        <v>#N/A Requesting Data...</v>
        <stp/>
        <stp>##V3_BDHV12</stp>
        <stp>CL2 Comdty</stp>
        <stp>RSI_14D</stp>
        <stp>28/07/2016</stp>
        <stp>28/07/2016</stp>
        <stp>[Bbg_Market_Data_CL.xlsm]data!R175C13</stp>
        <tr r="M175" s="1"/>
      </tp>
      <tp t="s">
        <v>#N/A Requesting Data...</v>
        <stp/>
        <stp>##V3_BDHV12</stp>
        <stp>CL1 Comdty</stp>
        <stp>RSI_14D</stp>
        <stp>28/07/2016</stp>
        <stp>28/07/2016</stp>
        <stp>[Bbg_Market_Data_CL.xlsm]data!R175C13</stp>
        <tr r="M175" s="1"/>
      </tp>
      <tp t="s">
        <v>#N/A Requesting Data...</v>
        <stp/>
        <stp>##V3_BDHV12</stp>
        <stp>CL2 Comdty</stp>
        <stp>RSI_14D</stp>
        <stp>29/06/2016</stp>
        <stp>29/06/2016</stp>
        <stp>[Bbg_Market_Data_CL.xlsm]data!R195C13</stp>
        <tr r="M195" s="1"/>
      </tp>
      <tp t="s">
        <v>#N/A Requesting Data...</v>
        <stp/>
        <stp>##V3_BDHV12</stp>
        <stp>CL1 Comdty</stp>
        <stp>RSI_14D</stp>
        <stp>29/06/2016</stp>
        <stp>29/06/2016</stp>
        <stp>[Bbg_Market_Data_CL.xlsm]data!R195C13</stp>
        <tr r="M195" s="1"/>
      </tp>
      <tp t="s">
        <v>#N/A Requesting Data...</v>
        <stp/>
        <stp>##V3_BDHV12</stp>
        <stp>CL1 Comdty</stp>
        <stp>RSI_14D</stp>
        <stp>19/05/2016</stp>
        <stp>19/05/2016</stp>
        <stp>[Bbg_Market_Data_CL.xlsm]data!R223C13</stp>
        <tr r="M223" s="1"/>
      </tp>
      <tp t="s">
        <v>#N/A Requesting Data...</v>
        <stp/>
        <stp>##V3_BDHV12</stp>
        <stp>CL2 Comdty</stp>
        <stp>RSI_14D</stp>
        <stp>19/05/2016</stp>
        <stp>19/05/2016</stp>
        <stp>[Bbg_Market_Data_CL.xlsm]data!R223C13</stp>
        <tr r="M223" s="1"/>
      </tp>
      <tp t="s">
        <v>#N/A Requesting Data...</v>
        <stp/>
        <stp>##V3_BDHV12</stp>
        <stp>CL2 Comdty</stp>
        <stp>RSI_30D</stp>
        <stp>18/05/2015</stp>
        <stp>18/05/2015</stp>
        <stp>[Bbg_Market_Data_CL.xlsm]data!R474C14</stp>
        <tr r="N474" s="1"/>
      </tp>
      <tp t="s">
        <v>#N/A Requesting Data...</v>
        <stp/>
        <stp>##V3_BDHV12</stp>
        <stp>CL1 Comdty</stp>
        <stp>RSI_30D</stp>
        <stp>18/05/2015</stp>
        <stp>18/05/2015</stp>
        <stp>[Bbg_Market_Data_CL.xlsm]data!R474C14</stp>
        <tr r="N474" s="1"/>
      </tp>
      <tp t="s">
        <v>#N/A Requesting Data...</v>
        <stp/>
        <stp>##V3_BDHV12</stp>
        <stp>CL2 Comdty</stp>
        <stp>RSI_30D</stp>
        <stp>29/07/2015</stp>
        <stp>29/07/2015</stp>
        <stp>[Bbg_Market_Data_CL.xlsm]data!R424C14</stp>
        <tr r="N424" s="1"/>
      </tp>
      <tp t="s">
        <v>#N/A Requesting Data...</v>
        <stp/>
        <stp>##V3_BDHV12</stp>
        <stp>CL1 Comdty</stp>
        <stp>RSI_30D</stp>
        <stp>29/07/2015</stp>
        <stp>29/07/2015</stp>
        <stp>[Bbg_Market_Data_CL.xlsm]data!R424C14</stp>
        <tr r="N424" s="1"/>
      </tp>
      <tp t="s">
        <v>#N/A Requesting Data...</v>
        <stp/>
        <stp>##V3_BDHV12</stp>
        <stp>CL1 Comdty</stp>
        <stp>RSI_14D</stp>
        <stp>18/04/2016</stp>
        <stp>18/04/2016</stp>
        <stp>[Bbg_Market_Data_CL.xlsm]data!R246C13</stp>
        <tr r="M246" s="1"/>
      </tp>
      <tp t="s">
        <v>#N/A Requesting Data...</v>
        <stp/>
        <stp>##V3_BDHV12</stp>
        <stp>CL2 Comdty</stp>
        <stp>RSI_14D</stp>
        <stp>18/04/2016</stp>
        <stp>18/04/2016</stp>
        <stp>[Bbg_Market_Data_CL.xlsm]data!R246C13</stp>
        <tr r="M246" s="1"/>
      </tp>
      <tp t="s">
        <v>#N/A Requesting Data...</v>
        <stp/>
        <stp>##V3_BDHV12</stp>
        <stp>CL1 Comdty</stp>
        <stp>RSI_30D</stp>
        <stp>08/07/2016</stp>
        <stp>08/07/2016</stp>
        <stp>[Bbg_Market_Data_CL.xlsm]data!R189C14</stp>
        <tr r="N189" s="1"/>
      </tp>
      <tp t="s">
        <v>#N/A Requesting Data...</v>
        <stp/>
        <stp>##V3_BDHV12</stp>
        <stp>CL2 Comdty</stp>
        <stp>RSI_30D</stp>
        <stp>08/07/2016</stp>
        <stp>08/07/2016</stp>
        <stp>[Bbg_Market_Data_CL.xlsm]data!R189C14</stp>
        <tr r="N189" s="1"/>
      </tp>
      <tp t="s">
        <v>#N/A Requesting Data...</v>
        <stp/>
        <stp>##V3_BDHV12</stp>
        <stp>CL2 Comdty</stp>
        <stp>RSI_30D</stp>
        <stp>19/07/2016</stp>
        <stp>19/07/2016</stp>
        <stp>[Bbg_Market_Data_CL.xlsm]data!R182C14</stp>
        <tr r="N182" s="1"/>
      </tp>
      <tp t="s">
        <v>#N/A Requesting Data...</v>
        <stp/>
        <stp>##V3_BDHV12</stp>
        <stp>CL1 Comdty</stp>
        <stp>RSI_30D</stp>
        <stp>19/07/2016</stp>
        <stp>19/07/2016</stp>
        <stp>[Bbg_Market_Data_CL.xlsm]data!R182C14</stp>
        <tr r="N182" s="1"/>
      </tp>
      <tp t="s">
        <v>#N/A Requesting Data...</v>
        <stp/>
        <stp>##V3_BDHV12</stp>
        <stp>CL1 Comdty</stp>
        <stp>RSI_14D</stp>
        <stp>28/04/2015</stp>
        <stp>28/04/2015</stp>
        <stp>[Bbg_Market_Data_CL.xlsm]data!R488C13</stp>
        <tr r="M488" s="1"/>
      </tp>
      <tp t="s">
        <v>#N/A Requesting Data...</v>
        <stp/>
        <stp>##V3_BDHV12</stp>
        <stp>CL2 Comdty</stp>
        <stp>RSI_14D</stp>
        <stp>28/04/2015</stp>
        <stp>28/04/2015</stp>
        <stp>[Bbg_Market_Data_CL.xlsm]data!R488C13</stp>
        <tr r="M488" s="1"/>
      </tp>
      <tp t="s">
        <v>#N/A Requesting Data...</v>
        <stp/>
        <stp>##V3_BDHV12</stp>
        <stp>CL1 Comdty</stp>
        <stp>RSI_30D</stp>
        <stp>09/06/2016</stp>
        <stp>09/06/2016</stp>
        <stp>[Bbg_Market_Data_CL.xlsm]data!R209C14</stp>
        <tr r="N209" s="1"/>
      </tp>
      <tp t="s">
        <v>#N/A Requesting Data...</v>
        <stp/>
        <stp>##V3_BDHV12</stp>
        <stp>CL2 Comdty</stp>
        <stp>RSI_30D</stp>
        <stp>09/06/2016</stp>
        <stp>09/06/2016</stp>
        <stp>[Bbg_Market_Data_CL.xlsm]data!R209C14</stp>
        <tr r="N209" s="1"/>
      </tp>
      <tp t="s">
        <v>#N/A Requesting Data...</v>
        <stp/>
        <stp>##V3_BDHV12</stp>
        <stp>CL1 Comdty</stp>
        <stp>RSI_14D</stp>
        <stp>08/06/2015</stp>
        <stp>08/06/2015</stp>
        <stp>[Bbg_Market_Data_CL.xlsm]data!R460C13</stp>
        <tr r="M460" s="1"/>
      </tp>
      <tp t="s">
        <v>#N/A Requesting Data...</v>
        <stp/>
        <stp>##V3_BDHV12</stp>
        <stp>CL2 Comdty</stp>
        <stp>RSI_14D</stp>
        <stp>08/06/2015</stp>
        <stp>08/06/2015</stp>
        <stp>[Bbg_Market_Data_CL.xlsm]data!R460C13</stp>
        <tr r="M460" s="1"/>
      </tp>
      <tp t="s">
        <v>#N/A Requesting Data...</v>
        <stp/>
        <stp>##V3_BDHV12</stp>
        <stp>CL2 Comdty</stp>
        <stp>RSI_30D</stp>
        <stp>29/04/2016</stp>
        <stp>29/04/2016</stp>
        <stp>[Bbg_Market_Data_CL.xlsm]data!R237C14</stp>
        <tr r="N237" s="1"/>
      </tp>
      <tp t="s">
        <v>#N/A Requesting Data...</v>
        <stp/>
        <stp>##V3_BDHV12</stp>
        <stp>CL1 Comdty</stp>
        <stp>RSI_30D</stp>
        <stp>29/04/2016</stp>
        <stp>29/04/2016</stp>
        <stp>[Bbg_Market_Data_CL.xlsm]data!R237C14</stp>
        <tr r="N237" s="1"/>
      </tp>
      <tp t="s">
        <v>#N/A Requesting Data...</v>
        <stp/>
        <stp>##V3_BDHV12</stp>
        <stp>CL2 Comdty</stp>
        <stp>RSI_14D</stp>
        <stp>29/05/2015</stp>
        <stp>29/05/2015</stp>
        <stp>[Bbg_Market_Data_CL.xlsm]data!R466C13</stp>
        <tr r="M466" s="1"/>
      </tp>
      <tp t="s">
        <v>#N/A Requesting Data...</v>
        <stp/>
        <stp>##V3_BDHV12</stp>
        <stp>CL1 Comdty</stp>
        <stp>RSI_14D</stp>
        <stp>29/05/2015</stp>
        <stp>29/05/2015</stp>
        <stp>[Bbg_Market_Data_CL.xlsm]data!R466C13</stp>
        <tr r="M466" s="1"/>
      </tp>
      <tp t="s">
        <v>#N/A Requesting Data...</v>
        <stp/>
        <stp>##V3_BDHV12</stp>
        <stp>CL1 Comdty</stp>
        <stp>RSI_14D</stp>
        <stp>19/06/2015</stp>
        <stp>19/06/2015</stp>
        <stp>[Bbg_Market_Data_CL.xlsm]data!R451C13</stp>
        <tr r="M451" s="1"/>
      </tp>
      <tp t="s">
        <v>#N/A Requesting Data...</v>
        <stp/>
        <stp>##V3_BDHV12</stp>
        <stp>CL2 Comdty</stp>
        <stp>RSI_14D</stp>
        <stp>19/06/2015</stp>
        <stp>19/06/2015</stp>
        <stp>[Bbg_Market_Data_CL.xlsm]data!R451C13</stp>
        <tr r="M451" s="1"/>
      </tp>
      <tp t="s">
        <v>#N/A Requesting Data...</v>
        <stp/>
        <stp>##V3_BDHV12</stp>
        <stp>CL1 Comdty</stp>
        <stp>RSI_14D</stp>
        <stp>09/07/2015</stp>
        <stp>09/07/2015</stp>
        <stp>[Bbg_Market_Data_CL.xlsm]data!R438C13</stp>
        <tr r="M438" s="1"/>
      </tp>
      <tp t="s">
        <v>#N/A Requesting Data...</v>
        <stp/>
        <stp>##V3_BDHV12</stp>
        <stp>CL2 Comdty</stp>
        <stp>RSI_14D</stp>
        <stp>09/07/2015</stp>
        <stp>09/07/2015</stp>
        <stp>[Bbg_Market_Data_CL.xlsm]data!R438C13</stp>
        <tr r="M438" s="1"/>
      </tp>
      <tp>
        <v>580668</v>
        <stp/>
        <stp>##V3_BDHV12</stp>
        <stp>CL1 Comdty</stp>
        <stp>PX_VOLUME</stp>
        <stp>30/03/2017</stp>
        <stp>30/03/2017</stp>
        <stp>[Bbg_Market_Data_CL.xlsm]data!R9C8</stp>
        <tr r="H9" s="1"/>
        <tr r="H9" s="1"/>
      </tp>
      <tp>
        <v>527607</v>
        <stp/>
        <stp>##V3_BDHV12</stp>
        <stp>CL1 Comdty</stp>
        <stp>PX_VOLUME</stp>
        <stp>31/03/2017</stp>
        <stp>31/03/2017</stp>
        <stp>[Bbg_Market_Data_CL.xlsm]data!R8C8</stp>
        <tr r="H8" s="1"/>
        <tr r="H8" s="1"/>
      </tp>
      <tp>
        <v>31.98</v>
        <stp/>
        <stp>##V3_BDHV12</stp>
        <stp>CL1 Comdty</stp>
        <stp>PX_HIGH</stp>
        <stp>18/02/2016</stp>
        <stp>18/02/2016</stp>
        <stp>[Bbg_Market_Data_CL.xlsm]data!R287C6</stp>
        <tr r="F287" s="1"/>
        <tr r="F287" s="1"/>
      </tp>
      <tp t="s">
        <v>#N/A Requesting Data...</v>
        <stp/>
        <stp>##V3_BDHV12</stp>
        <stp>CL2 Comdty</stp>
        <stp>PX_LAST</stp>
        <stp>27/06/2016</stp>
        <stp>27/06/2016</stp>
        <stp>[Bbg_Market_Data_CL.xlsm]data!R197C9</stp>
        <tr r="I197" s="1"/>
      </tp>
      <tp t="s">
        <v>#N/A Requesting Data...</v>
        <stp/>
        <stp>##V3_BDHV12</stp>
        <stp>CL1 Comdty</stp>
        <stp>PX_LAST</stp>
        <stp>13/01/2016</stp>
        <stp>13/01/2016</stp>
        <stp>[Bbg_Market_Data_CL.xlsm]data!R310C9</stp>
        <tr r="I310" s="1"/>
      </tp>
      <tp t="s">
        <v>#N/A Requesting Data...</v>
        <stp/>
        <stp>##V3_BDHV12</stp>
        <stp>CL2 Comdty</stp>
        <stp>PX_LAST</stp>
        <stp>10/11/2015</stp>
        <stp>10/11/2015</stp>
        <stp>[Bbg_Market_Data_CL.xlsm]data!R352C9</stp>
        <tr r="I352" s="1"/>
      </tp>
      <tp t="s">
        <v>#N/A Requesting Data...</v>
        <stp/>
        <stp>##V3_BDHV12</stp>
        <stp>CL2 Comdty</stp>
        <stp>PX_LAST</stp>
        <stp>11/03/2016</stp>
        <stp>11/03/2016</stp>
        <stp>[Bbg_Market_Data_CL.xlsm]data!R271C9</stp>
        <tr r="I271" s="1"/>
      </tp>
      <tp t="s">
        <v>#N/A Requesting Data...</v>
        <stp/>
        <stp>##V3_BDHV12</stp>
        <stp>CL1 Comdty</stp>
        <stp>PX_LAST</stp>
        <stp>19/08/2015</stp>
        <stp>19/08/2015</stp>
        <stp>[Bbg_Market_Data_CL.xlsm]data!R409C9</stp>
        <tr r="I409" s="1"/>
      </tp>
      <tp t="s">
        <v>#N/A Requesting Data...</v>
        <stp/>
        <stp>##V3_BDHV12</stp>
        <stp>CL1 Comdty</stp>
        <stp>PX_LAST</stp>
        <stp>18/09/2015</stp>
        <stp>18/09/2015</stp>
        <stp>[Bbg_Market_Data_CL.xlsm]data!R388C9</stp>
        <tr r="I388" s="1"/>
      </tp>
      <tp>
        <v>41.2</v>
        <stp/>
        <stp>##V3_BDHV12</stp>
        <stp>CL1 Comdty</stp>
        <stp>PX_HIGH</stp>
        <stp>18/03/2016</stp>
        <stp>18/03/2016</stp>
        <stp>[Bbg_Market_Data_CL.xlsm]data!R266C6</stp>
        <tr r="F266" s="1"/>
        <tr r="F266" s="1"/>
      </tp>
      <tp t="s">
        <v>#N/A Requesting Data...</v>
        <stp/>
        <stp>##V3_BDHV12</stp>
        <stp>CL1 Comdty</stp>
        <stp>PX_LAST</stp>
        <stp>06/04/2016</stp>
        <stp>06/04/2016</stp>
        <stp>[Bbg_Market_Data_CL.xlsm]data!R254C9</stp>
        <tr r="I254" s="1"/>
      </tp>
      <tp t="s">
        <v>#N/A Requesting Data...</v>
        <stp/>
        <stp>##V3_BDHV12</stp>
        <stp>CL2 Comdty</stp>
        <stp>PX_LAST</stp>
        <stp>14/07/2016</stp>
        <stp>14/07/2016</stp>
        <stp>[Bbg_Market_Data_CL.xlsm]data!R185C9</stp>
        <tr r="I185" s="1"/>
      </tp>
      <tp t="s">
        <v>#N/A Requesting Data...</v>
        <stp/>
        <stp>##V3_BDHV12</stp>
        <stp>CL2 Comdty</stp>
        <stp>PX_LAST</stp>
        <stp>27/07/2016</stp>
        <stp>27/07/2016</stp>
        <stp>[Bbg_Market_Data_CL.xlsm]data!R176C9</stp>
        <tr r="I176" s="1"/>
      </tp>
      <tp t="s">
        <v>#N/A Requesting Data...</v>
        <stp/>
        <stp>##V3_BDHV12</stp>
        <stp>CL2 Comdty</stp>
        <stp>PX_LAST</stp>
        <stp>31/10/2016</stp>
        <stp>31/10/2016</stp>
        <stp>[Bbg_Market_Data_CL.xlsm]data!R111C9</stp>
        <tr r="I111" s="1"/>
      </tp>
      <tp t="s">
        <v>#N/A Requesting Data...</v>
        <stp/>
        <stp>##V3_BDHV12</stp>
        <stp>CL2 Comdty</stp>
        <stp>PX_LAST</stp>
        <stp>16/06/2015</stp>
        <stp>16/06/2015</stp>
        <stp>[Bbg_Market_Data_CL.xlsm]data!R454C9</stp>
        <tr r="I454" s="1"/>
      </tp>
      <tp t="s">
        <v>#N/A Requesting Data...</v>
        <stp/>
        <stp>##V3_BDHV12</stp>
        <stp>CL2 Comdty</stp>
        <stp>PX_LAST</stp>
        <stp>13/10/2016</stp>
        <stp>13/10/2016</stp>
        <stp>[Bbg_Market_Data_CL.xlsm]data!R123C9</stp>
        <tr r="I123" s="1"/>
      </tp>
      <tp t="s">
        <v>#N/A Requesting Data...</v>
        <stp/>
        <stp>##V3_BDHV12</stp>
        <stp>CL1 Comdty</stp>
        <stp>PX_LAST</stp>
        <stp>10/03/2016</stp>
        <stp>10/03/2016</stp>
        <stp>[Bbg_Market_Data_CL.xlsm]data!R272C9</stp>
        <tr r="I272" s="1"/>
      </tp>
      <tp t="s">
        <v>#N/A Requesting Data...</v>
        <stp/>
        <stp>##V3_BDHV12</stp>
        <stp>CL2 Comdty</stp>
        <stp>PX_LAST</stp>
        <stp>25/06/2015</stp>
        <stp>25/06/2015</stp>
        <stp>[Bbg_Market_Data_CL.xlsm]data!R447C9</stp>
        <tr r="I447" s="1"/>
      </tp>
      <tp t="s">
        <v>#N/A Requesting Data...</v>
        <stp/>
        <stp>##V3_BDHV12</stp>
        <stp>CL2 Comdty</stp>
        <stp>PX_LAST</stp>
        <stp>11/02/2016</stp>
        <stp>11/02/2016</stp>
        <stp>[Bbg_Market_Data_CL.xlsm]data!R290C9</stp>
        <tr r="I290" s="1"/>
      </tp>
      <tp t="s">
        <v>#N/A Requesting Data...</v>
        <stp/>
        <stp>##V3_BDHV12</stp>
        <stp>CL2 Comdty</stp>
        <stp>PX_LAST</stp>
        <stp>16/06/2016</stp>
        <stp>16/06/2016</stp>
        <stp>[Bbg_Market_Data_CL.xlsm]data!R204C9</stp>
        <tr r="I204" s="1"/>
      </tp>
      <tp t="s">
        <v>#N/A Requesting Data...</v>
        <stp/>
        <stp>##V3_BDHV12</stp>
        <stp>CL1 Comdty</stp>
        <stp>PX_LAST</stp>
        <stp>17/04/2015</stp>
        <stp>17/04/2015</stp>
        <stp>[Bbg_Market_Data_CL.xlsm]data!R495C9</stp>
        <tr r="I495" s="1"/>
      </tp>
      <tp t="s">
        <v>#N/A Requesting Data...</v>
        <stp/>
        <stp>##V3_BDHV12</stp>
        <stp>CL2 Comdty</stp>
        <stp>PX_LAST</stp>
        <stp>27/07/2015</stp>
        <stp>27/07/2015</stp>
        <stp>[Bbg_Market_Data_CL.xlsm]data!R426C9</stp>
        <tr r="I426" s="1"/>
      </tp>
      <tp t="s">
        <v>#N/A Requesting Data...</v>
        <stp/>
        <stp>##V3_BDHV12</stp>
        <stp>CL2 Comdty</stp>
        <stp>PX_LAST</stp>
        <stp>30/11/2015</stp>
        <stp>30/11/2015</stp>
        <stp>[Bbg_Market_Data_CL.xlsm]data!R340C9</stp>
        <tr r="I340" s="1"/>
      </tp>
      <tp t="s">
        <v>#N/A Requesting Data...</v>
        <stp/>
        <stp>##V3_BDHV12</stp>
        <stp>CL2 Comdty</stp>
        <stp>PX_LAST</stp>
        <stp>11/12/2015</stp>
        <stp>11/12/2015</stp>
        <stp>[Bbg_Market_Data_CL.xlsm]data!R331C9</stp>
        <tr r="I331" s="1"/>
      </tp>
      <tp t="s">
        <v>#N/A Requesting Data...</v>
        <stp/>
        <stp>##V3_BDHV12</stp>
        <stp>CL1 Comdty</stp>
        <stp>PX_LAST</stp>
        <stp>12/11/2015</stp>
        <stp>12/11/2015</stp>
        <stp>[Bbg_Market_Data_CL.xlsm]data!R351C9</stp>
        <tr r="I351" s="1"/>
      </tp>
      <tp t="s">
        <v>#N/A Requesting Data...</v>
        <stp/>
        <stp>##V3_BDHV12</stp>
        <stp>CL2 Comdty</stp>
        <stp>PX_LAST</stp>
        <stp>14/07/2015</stp>
        <stp>14/07/2015</stp>
        <stp>[Bbg_Market_Data_CL.xlsm]data!R435C9</stp>
        <tr r="I435" s="1"/>
      </tp>
      <tp t="s">
        <v>#N/A Requesting Data...</v>
        <stp/>
        <stp>##V3_BDHV12</stp>
        <stp>CL1 Comdty</stp>
        <stp>PX_LAST</stp>
        <stp>09/08/2016</stp>
        <stp>09/08/2016</stp>
        <stp>[Bbg_Market_Data_CL.xlsm]data!R168C9</stp>
        <tr r="I168" s="1"/>
      </tp>
      <tp>
        <v>35.57</v>
        <stp/>
        <stp>##V3_BDHV12</stp>
        <stp>CL1 Comdty</stp>
        <stp>PX_HIGH</stp>
        <stp>18/12/2015</stp>
        <stp>18/12/2015</stp>
        <stp>[Bbg_Market_Data_CL.xlsm]data!R326C6</stp>
        <tr r="F326" s="1"/>
        <tr r="F326" s="1"/>
      </tp>
      <tp>
        <v>45.95</v>
        <stp/>
        <stp>##V3_BDHV12</stp>
        <stp>CL1 Comdty</stp>
        <stp>PX_HIGH</stp>
        <stp>09/11/2016</stp>
        <stp>09/11/2016</stp>
        <stp>[Bbg_Market_Data_CL.xlsm]data!R104C6</stp>
        <tr r="F104" s="1"/>
        <tr r="F104" s="1"/>
      </tp>
      <tp t="s">
        <v>#N/A Requesting Data...</v>
        <stp/>
        <stp>##V3_BDHV12</stp>
        <stp>CL1 Comdty</stp>
        <stp>PX_LAST</stp>
        <stp>27/05/2016</stp>
        <stp>27/05/2016</stp>
        <stp>[Bbg_Market_Data_CL.xlsm]data!R217C9</stp>
        <tr r="I217" s="1"/>
      </tp>
      <tp t="s">
        <v>#N/A Requesting Data...</v>
        <stp/>
        <stp>##V3_BDHV12</stp>
        <stp>CL1 Comdty</stp>
        <stp>PX_LAST</stp>
        <stp>10/12/2015</stp>
        <stp>10/12/2015</stp>
        <stp>[Bbg_Market_Data_CL.xlsm]data!R332C9</stp>
        <tr r="I332" s="1"/>
      </tp>
      <tp t="s">
        <v>#N/A Requesting Data...</v>
        <stp/>
        <stp>##V3_BDHV12</stp>
        <stp>CL1 Comdty</stp>
        <stp>PX_LAST</stp>
        <stp>01/11/2016</stp>
        <stp>01/11/2016</stp>
        <stp>[Bbg_Market_Data_CL.xlsm]data!R110C9</stp>
        <tr r="I110" s="1"/>
      </tp>
      <tp t="s">
        <v>#N/A Requesting Data...</v>
        <stp/>
        <stp>##V3_BDHV12</stp>
        <stp>CL2 Comdty</stp>
        <stp>PX_LAST</stp>
        <stp>16/04/2015</stp>
        <stp>16/04/2015</stp>
        <stp>[Bbg_Market_Data_CL.xlsm]data!R496C9</stp>
        <tr r="I496" s="1"/>
      </tp>
      <tp>
        <v>45.67</v>
        <stp/>
        <stp>##V3_BDHV12</stp>
        <stp>CL1 Comdty</stp>
        <stp>PX_HIGH</stp>
        <stp>19/07/2016</stp>
        <stp>19/07/2016</stp>
        <stp>[Bbg_Market_Data_CL.xlsm]data!R182C6</stp>
        <tr r="F182" s="1"/>
        <tr r="F182" s="1"/>
      </tp>
      <tp t="s">
        <v>#N/A Requesting Data...</v>
        <stp/>
        <stp>##V3_BDHV12</stp>
        <stp>CL2 Comdty</stp>
        <stp>PX_LAST</stp>
        <stp>24/12/2015</stp>
        <stp>24/12/2015</stp>
        <stp>[Bbg_Market_Data_CL.xlsm]data!R322C9</stp>
        <tr r="I322" s="1"/>
      </tp>
      <tp t="s">
        <v>#N/A Requesting Data...</v>
        <stp/>
        <stp>##V3_BDHV12</stp>
        <stp>CL1 Comdty</stp>
        <stp>PX_LAST</stp>
        <stp>15/10/2015</stp>
        <stp>15/10/2015</stp>
        <stp>[Bbg_Market_Data_CL.xlsm]data!R370C9</stp>
        <tr r="I370" s="1"/>
      </tp>
      <tp t="s">
        <v>#N/A Requesting Data...</v>
        <stp/>
        <stp>##V3_BDHV12</stp>
        <stp>CL1 Comdty</stp>
        <stp>PX_LAST</stp>
        <stp>01/05/2015</stp>
        <stp>01/05/2015</stp>
        <stp>[Bbg_Market_Data_CL.xlsm]data!R485C9</stp>
        <tr r="I485" s="1"/>
      </tp>
      <tp t="s">
        <v>#N/A Requesting Data...</v>
        <stp/>
        <stp>##V3_BDHV12</stp>
        <stp>CL1 Comdty</stp>
        <stp>PX_LAST</stp>
        <stp>26/10/2015</stp>
        <stp>26/10/2015</stp>
        <stp>[Bbg_Market_Data_CL.xlsm]data!R363C9</stp>
        <tr r="I363" s="1"/>
      </tp>
      <tp t="s">
        <v>#N/A Requesting Data...</v>
        <stp/>
        <stp>##V3_BDHV12</stp>
        <stp>CL2 Comdty</stp>
        <stp>PX_LAST</stp>
        <stp>27/11/2015</stp>
        <stp>27/11/2015</stp>
        <stp>[Bbg_Market_Data_CL.xlsm]data!R341C9</stp>
        <tr r="I341" s="1"/>
      </tp>
      <tp t="s">
        <v>#N/A Requesting Data...</v>
        <stp/>
        <stp>##V3_BDHV12</stp>
        <stp>CL2 Comdty</stp>
        <stp>PX_LAST</stp>
        <stp>02/05/2016</stp>
        <stp>02/05/2016</stp>
        <stp>[Bbg_Market_Data_CL.xlsm]data!R236C9</stp>
        <tr r="I236" s="1"/>
      </tp>
      <tp t="s">
        <v>#N/A Requesting Data...</v>
        <stp/>
        <stp>##V3_BDHV12</stp>
        <stp>CL2 Comdty</stp>
        <stp>PX_LAST</stp>
        <stp>13/05/2016</stp>
        <stp>13/05/2016</stp>
        <stp>[Bbg_Market_Data_CL.xlsm]data!R227C9</stp>
        <tr r="I227" s="1"/>
      </tp>
      <tp t="s">
        <v>#N/A Requesting Data...</v>
        <stp/>
        <stp>##V3_BDHV12</stp>
        <stp>CL1 Comdty</stp>
        <stp>PX_LAST</stp>
        <stp>31/05/2016</stp>
        <stp>31/05/2016</stp>
        <stp>[Bbg_Market_Data_CL.xlsm]data!R216C9</stp>
        <tr r="I216" s="1"/>
      </tp>
      <tp t="s">
        <v>#N/A Requesting Data...</v>
        <stp/>
        <stp>##V3_BDHV12</stp>
        <stp>CL2 Comdty</stp>
        <stp>PX_LAST</stp>
        <stp>01/06/2016</stp>
        <stp>01/06/2016</stp>
        <stp>[Bbg_Market_Data_CL.xlsm]data!R215C9</stp>
        <tr r="I215" s="1"/>
      </tp>
      <tp t="s">
        <v>#N/A Requesting Data...</v>
        <stp/>
        <stp>##V3_BDHV12</stp>
        <stp>CL1 Comdty</stp>
        <stp>PX_LAST</stp>
        <stp>13/07/2015</stp>
        <stp>13/07/2015</stp>
        <stp>[Bbg_Market_Data_CL.xlsm]data!R436C9</stp>
        <tr r="I436" s="1"/>
      </tp>
      <tp t="s">
        <v>#N/A Requesting Data...</v>
        <stp/>
        <stp>##V3_BDHV12</stp>
        <stp>CL1 Comdty</stp>
        <stp>PX_LAST</stp>
        <stp>25/01/2016</stp>
        <stp>25/01/2016</stp>
        <stp>[Bbg_Market_Data_CL.xlsm]data!R303C9</stp>
        <tr r="I303" s="1"/>
      </tp>
      <tp t="s">
        <v>#N/A Requesting Data...</v>
        <stp/>
        <stp>##V3_BDHV12</stp>
        <stp>CL1 Comdty</stp>
        <stp>PX_LAST</stp>
        <stp>03/05/2016</stp>
        <stp>03/05/2016</stp>
        <stp>[Bbg_Market_Data_CL.xlsm]data!R235C9</stp>
        <tr r="I235" s="1"/>
      </tp>
      <tp t="s">
        <v>#N/A Requesting Data...</v>
        <stp/>
        <stp>##V3_BDHV12</stp>
        <stp>CL1 Comdty</stp>
        <stp>PX_LAST</stp>
        <stp>15/11/2016</stp>
        <stp>15/11/2016</stp>
        <stp>[Bbg_Market_Data_CL.xlsm]data!R101C9</stp>
        <tr r="I101" s="1"/>
      </tp>
      <tp t="s">
        <v>#N/A Requesting Data...</v>
        <stp/>
        <stp>##V3_BDHV12</stp>
        <stp>CL1 Comdty</stp>
        <stp>PX_LAST</stp>
        <stp>25/11/2015</stp>
        <stp>25/11/2015</stp>
        <stp>[Bbg_Market_Data_CL.xlsm]data!R342C9</stp>
        <tr r="I342" s="1"/>
      </tp>
      <tp t="s">
        <v>#N/A Requesting Data...</v>
        <stp/>
        <stp>##V3_BDHV12</stp>
        <stp>CL1 Comdty</stp>
        <stp>PX_LAST</stp>
        <stp>27/10/2016</stp>
        <stp>27/10/2016</stp>
        <stp>[Bbg_Market_Data_CL.xlsm]data!R113C9</stp>
        <tr r="I113" s="1"/>
      </tp>
      <tp t="s">
        <v>#N/A Requesting Data...</v>
        <stp/>
        <stp>##V3_BDHV12</stp>
        <stp>CL2 Comdty</stp>
        <stp>PX_LAST</stp>
        <stp>24/03/2016</stp>
        <stp>24/03/2016</stp>
        <stp>[Bbg_Market_Data_CL.xlsm]data!R262C9</stp>
        <tr r="I262" s="1"/>
      </tp>
      <tp t="s">
        <v>#N/A Requesting Data...</v>
        <stp/>
        <stp>##V3_BDHV12</stp>
        <stp>CL1 Comdty</stp>
        <stp>PX_LAST</stp>
        <stp>11/06/2015</stp>
        <stp>11/06/2015</stp>
        <stp>[Bbg_Market_Data_CL.xlsm]data!R457C9</stp>
        <tr r="I457" s="1"/>
      </tp>
      <tp t="s">
        <v>#N/A Requesting Data...</v>
        <stp/>
        <stp>##V3_BDHV12</stp>
        <stp>CL1 Comdty</stp>
        <stp>PX_LAST</stp>
        <stp>13/07/2016</stp>
        <stp>13/07/2016</stp>
        <stp>[Bbg_Market_Data_CL.xlsm]data!R186C9</stp>
        <tr r="I186" s="1"/>
      </tp>
      <tp t="s">
        <v>#N/A Requesting Data...</v>
        <stp/>
        <stp>##V3_BDHV12</stp>
        <stp>CL2 Comdty</stp>
        <stp>PX_LAST</stp>
        <stp>01/04/2016</stp>
        <stp>01/04/2016</stp>
        <stp>[Bbg_Market_Data_CL.xlsm]data!R257C9</stp>
        <tr r="I257" s="1"/>
      </tp>
      <tp>
        <v>45.94</v>
        <stp/>
        <stp>##V3_BDHV12</stp>
        <stp>CL1 Comdty</stp>
        <stp>PX_HIGH</stp>
        <stp>09/05/2016</stp>
        <stp>09/05/2016</stp>
        <stp>[Bbg_Market_Data_CL.xlsm]data!R231C6</stp>
        <tr r="F231" s="1"/>
        <tr r="F231" s="1"/>
      </tp>
      <tp t="s">
        <v>#N/A Requesting Data...</v>
        <stp/>
        <stp>##V3_BDHV12</stp>
        <stp>CL2 Comdty</stp>
        <stp>PX_LAST</stp>
        <stp>13/05/2015</stp>
        <stp>13/05/2015</stp>
        <stp>[Bbg_Market_Data_CL.xlsm]data!R477C9</stp>
        <tr r="I477" s="1"/>
      </tp>
      <tp t="s">
        <v>#N/A Requesting Data...</v>
        <stp/>
        <stp>##V3_BDHV12</stp>
        <stp>CL2 Comdty</stp>
        <stp>PX_LAST</stp>
        <stp>14/11/2016</stp>
        <stp>14/11/2016</stp>
        <stp>[Bbg_Market_Data_CL.xlsm]data!R102C9</stp>
        <tr r="I102" s="1"/>
      </tp>
      <tp t="s">
        <v>#N/A Requesting Data...</v>
        <stp/>
        <stp>##V3_BDHV12</stp>
        <stp>CL2 Comdty</stp>
        <stp>PX_LAST</stp>
        <stp>24/02/2016</stp>
        <stp>24/02/2016</stp>
        <stp>[Bbg_Market_Data_CL.xlsm]data!R283C9</stp>
        <tr r="I283" s="1"/>
      </tp>
      <tp t="s">
        <v>#N/A Requesting Data...</v>
        <stp/>
        <stp>##V3_BDHV12</stp>
        <stp>CL2 Comdty</stp>
        <stp>PX_LAST</stp>
        <stp>01/06/2015</stp>
        <stp>01/06/2015</stp>
        <stp>[Bbg_Market_Data_CL.xlsm]data!R465C9</stp>
        <tr r="I465" s="1"/>
      </tp>
      <tp t="s">
        <v>#N/A Requesting Data...</v>
        <stp/>
        <stp>##V3_BDHV12</stp>
        <stp>CL1 Comdty</stp>
        <stp>PX_LAST</stp>
        <stp>13/06/2016</stp>
        <stp>13/06/2016</stp>
        <stp>[Bbg_Market_Data_CL.xlsm]data!R207C9</stp>
        <tr r="I207" s="1"/>
      </tp>
      <tp>
        <v>51.17</v>
        <stp/>
        <stp>##V3_BDHV12</stp>
        <stp>CL1 Comdty</stp>
        <stp>PX_HIGH</stp>
        <stp>12/10/2016</stp>
        <stp>12/10/2016</stp>
        <stp>[Bbg_Market_Data_CL.xlsm]data!R124C6</stp>
        <tr r="F124" s="1"/>
        <tr r="F124" s="1"/>
      </tp>
      <tp>
        <v>33.53</v>
        <stp/>
        <stp>##V3_BDHV12</stp>
        <stp>CL1 Comdty</stp>
        <stp>PX_HIGH</stp>
        <stp>23/02/2016</stp>
        <stp>23/02/2016</stp>
        <stp>[Bbg_Market_Data_CL.xlsm]data!R284C6</stp>
        <tr r="F284" s="1"/>
        <tr r="F284" s="1"/>
      </tp>
      <tp>
        <v>61.38</v>
        <stp/>
        <stp>##V3_BDHV12</stp>
        <stp>CL1 Comdty</stp>
        <stp>PX_HIGH</stp>
        <stp>17/06/2015</stp>
        <stp>17/06/2015</stp>
        <stp>[Bbg_Market_Data_CL.xlsm]data!R453C6</stp>
        <tr r="F453" s="1"/>
        <tr r="F453" s="1"/>
      </tp>
      <tp>
        <v>51.02</v>
        <stp/>
        <stp>##V3_BDHV12</stp>
        <stp>CL1 Comdty</stp>
        <stp>PX_HIGH</stp>
        <stp>21/10/2016</stp>
        <stp>21/10/2016</stp>
        <stp>[Bbg_Market_Data_CL.xlsm]data!R117C6</stp>
        <tr r="F117" s="1"/>
        <tr r="F117" s="1"/>
      </tp>
      <tp t="s">
        <v>#N/A Requesting Data...</v>
        <stp/>
        <stp>##V3_BDHV12</stp>
        <stp>CL1 Comdty</stp>
        <stp>PX_LAST</stp>
        <stp>28/12/2015</stp>
        <stp>28/12/2015</stp>
        <stp>[Bbg_Market_Data_CL.xlsm]data!R321C9</stp>
        <tr r="I321" s="1"/>
      </tp>
      <tp t="s">
        <v>#N/A Requesting Data...</v>
        <stp/>
        <stp>##V3_BDHV12</stp>
        <stp>CL2 Comdty</stp>
        <stp>PX_LAST</stp>
        <stp>09/11/2015</stp>
        <stp>09/11/2015</stp>
        <stp>[Bbg_Market_Data_CL.xlsm]data!R353C9</stp>
        <tr r="I353" s="1"/>
      </tp>
      <tp t="s">
        <v>#N/A Requesting Data...</v>
        <stp/>
        <stp>##V3_BDHV12</stp>
        <stp>CL1 Comdty</stp>
        <stp>PX_LAST</stp>
        <stp>09/02/2016</stp>
        <stp>09/02/2016</stp>
        <stp>[Bbg_Market_Data_CL.xlsm]data!R292C9</stp>
        <tr r="I292" s="1"/>
      </tp>
      <tp t="s">
        <v>#N/A Requesting Data...</v>
        <stp/>
        <stp>##V3_BDHV12</stp>
        <stp>CL2 Comdty</stp>
        <stp>PX_LAST</stp>
        <stp>28/01/2016</stp>
        <stp>28/01/2016</stp>
        <stp>[Bbg_Market_Data_CL.xlsm]data!R300C9</stp>
        <tr r="I300" s="1"/>
      </tp>
      <tp>
        <v>41.78</v>
        <stp/>
        <stp>##V3_BDHV12</stp>
        <stp>CL1 Comdty</stp>
        <stp>PX_HIGH</stp>
        <stp>03/12/2015</stp>
        <stp>03/12/2015</stp>
        <stp>[Bbg_Market_Data_CL.xlsm]data!R337C6</stp>
        <tr r="F337" s="1"/>
        <tr r="F337" s="1"/>
      </tp>
      <tp>
        <v>34.86</v>
        <stp/>
        <stp>##V3_BDHV12</stp>
        <stp>CL1 Comdty</stp>
        <stp>PX_HIGH</stp>
        <stp>21/12/2015</stp>
        <stp>21/12/2015</stp>
        <stp>[Bbg_Market_Data_CL.xlsm]data!R325C6</stp>
        <tr r="F325" s="1"/>
        <tr r="F325" s="1"/>
      </tp>
      <tp>
        <v>51.23</v>
        <stp/>
        <stp>##V3_BDHV12</stp>
        <stp>CL1 Comdty</stp>
        <stp>PX_HIGH</stp>
        <stp>17/07/2015</stp>
        <stp>17/07/2015</stp>
        <stp>[Bbg_Market_Data_CL.xlsm]data!R432C6</stp>
        <tr r="F432" s="1"/>
        <tr r="F432" s="1"/>
      </tp>
      <tp t="s">
        <v>#N/A Requesting Data...</v>
        <stp/>
        <stp>##V3_BDHV12</stp>
        <stp>CL2 Comdty</stp>
        <stp>PX_LAST</stp>
        <stp>21/09/2016</stp>
        <stp>21/09/2016</stp>
        <stp>[Bbg_Market_Data_CL.xlsm]data!R138C9</stp>
        <tr r="I138" s="1"/>
      </tp>
      <tp t="s">
        <v>#N/A Requesting Data...</v>
        <stp/>
        <stp>##V3_BDHV12</stp>
        <stp>CL1 Comdty</stp>
        <stp>PX_LAST</stp>
        <stp>09/03/2016</stp>
        <stp>09/03/2016</stp>
        <stp>[Bbg_Market_Data_CL.xlsm]data!R273C9</stp>
        <tr r="I273" s="1"/>
      </tp>
      <tp>
        <v>59.94</v>
        <stp/>
        <stp>##V3_BDHV12</stp>
        <stp>CL1 Comdty</stp>
        <stp>PX_HIGH</stp>
        <stp>04/06/2015</stp>
        <stp>04/06/2015</stp>
        <stp>[Bbg_Market_Data_CL.xlsm]data!R462C6</stp>
        <tr r="F462" s="1"/>
        <tr r="F462" s="1"/>
      </tp>
      <tp>
        <v>32.75</v>
        <stp/>
        <stp>##V3_BDHV12</stp>
        <stp>CL1 Comdty</stp>
        <stp>PX_HIGH</stp>
        <stp>03/02/2016</stp>
        <stp>03/02/2016</stp>
        <stp>[Bbg_Market_Data_CL.xlsm]data!R296C6</stp>
        <tr r="F296" s="1"/>
        <tr r="F296" s="1"/>
      </tp>
      <tp>
        <v>46.52</v>
        <stp/>
        <stp>##V3_BDHV12</stp>
        <stp>CL1 Comdty</stp>
        <stp>PX_HIGH</stp>
        <stp>20/10/2015</stp>
        <stp>20/10/2015</stp>
        <stp>[Bbg_Market_Data_CL.xlsm]data!R367C6</stp>
        <tr r="F367" s="1"/>
        <tr r="F367" s="1"/>
      </tp>
      <tp>
        <v>61.31</v>
        <stp/>
        <stp>##V3_BDHV12</stp>
        <stp>CL1 Comdty</stp>
        <stp>PX_HIGH</stp>
        <stp>07/05/2015</stp>
        <stp>07/05/2015</stp>
        <stp>[Bbg_Market_Data_CL.xlsm]data!R481C6</stp>
        <tr r="F481" s="1"/>
        <tr r="F481" s="1"/>
      </tp>
      <tp t="s">
        <v>#N/A Requesting Data...</v>
        <stp/>
        <stp>##V3_BDHV12</stp>
        <stp>CL1 Comdty</stp>
        <stp>PX_LAST</stp>
        <stp>18/10/2016</stp>
        <stp>18/10/2016</stp>
        <stp>[Bbg_Market_Data_CL.xlsm]data!R120C9</stp>
        <tr r="I120" s="1"/>
      </tp>
      <tp t="s">
        <v>#N/A Requesting Data...</v>
        <stp/>
        <stp>##V3_BDHV12</stp>
        <stp>CL1 Comdty</stp>
        <stp>PX_LAST</stp>
        <stp>28/03/2016</stp>
        <stp>28/03/2016</stp>
        <stp>[Bbg_Market_Data_CL.xlsm]data!R261C9</stp>
        <tr r="I261" s="1"/>
      </tp>
      <tp t="s">
        <v>#N/A Requesting Data...</v>
        <stp/>
        <stp>##V3_BDHV12</stp>
        <stp>CL1 Comdty</stp>
        <stp>PX_LAST</stp>
        <stp>29/02/2016</stp>
        <stp>29/02/2016</stp>
        <stp>[Bbg_Market_Data_CL.xlsm]data!R280C9</stp>
        <tr r="I280" s="1"/>
      </tp>
      <tp>
        <v>48.29</v>
        <stp/>
        <stp>##V3_BDHV12</stp>
        <stp>CL1 Comdty</stp>
        <stp>PX_HIGH</stp>
        <stp>17/06/2016</stp>
        <stp>17/06/2016</stp>
        <stp>[Bbg_Market_Data_CL.xlsm]data!R203C6</stp>
        <tr r="F203" s="1"/>
        <tr r="F203" s="1"/>
      </tp>
      <tp>
        <v>49.9</v>
        <stp/>
        <stp>##V3_BDHV12</stp>
        <stp>CL1 Comdty</stp>
        <stp>PX_HIGH</stp>
        <stp>06/06/2016</stp>
        <stp>06/06/2016</stp>
        <stp>[Bbg_Market_Data_CL.xlsm]data!R212C6</stp>
        <tr r="F212" s="1"/>
        <tr r="F212" s="1"/>
      </tp>
      <tp>
        <v>40.299999999999997</v>
        <stp/>
        <stp>##V3_BDHV12</stp>
        <stp>CL1 Comdty</stp>
        <stp>PX_HIGH</stp>
        <stp>21/03/2016</stp>
        <stp>21/03/2016</stp>
        <stp>[Bbg_Market_Data_CL.xlsm]data!R265C6</stp>
        <tr r="F265" s="1"/>
        <tr r="F265" s="1"/>
      </tp>
      <tp>
        <v>35.32</v>
        <stp/>
        <stp>##V3_BDHV12</stp>
        <stp>CL1 Comdty</stp>
        <stp>PX_HIGH</stp>
        <stp>03/03/2016</stp>
        <stp>03/03/2016</stp>
        <stp>[Bbg_Market_Data_CL.xlsm]data!R277C6</stp>
        <tr r="F277" s="1"/>
        <tr r="F277" s="1"/>
      </tp>
      <tp t="s">
        <v>#N/A Requesting Data...</v>
        <stp/>
        <stp>##V3_BDHV12</stp>
        <stp>CL1 Comdty</stp>
        <stp>PX_LAST</stp>
        <stp>02/09/2015</stp>
        <stp>02/09/2015</stp>
        <stp>[Bbg_Market_Data_CL.xlsm]data!R399C9</stp>
        <tr r="I399" s="1"/>
      </tp>
      <tp t="s">
        <v>#N/A Requesting Data...</v>
        <stp/>
        <stp>##V3_BDHV12</stp>
        <stp>CL2 Comdty</stp>
        <stp>PX_LAST</stp>
        <stp>22/08/2016</stp>
        <stp>22/08/2016</stp>
        <stp>[Bbg_Market_Data_CL.xlsm]data!R159C9</stp>
        <tr r="I159" s="1"/>
      </tp>
      <tp t="s">
        <v>#N/A Requesting Data...</v>
        <stp/>
        <stp>##V3_BDHV12</stp>
        <stp>CL1 Comdty</stp>
        <stp>PX_LAST</stp>
        <stp>09/12/2015</stp>
        <stp>09/12/2015</stp>
        <stp>[Bbg_Market_Data_CL.xlsm]data!R333C9</stp>
        <tr r="I333" s="1"/>
      </tp>
      <tp t="s">
        <v>#N/A Requesting Data...</v>
        <stp/>
        <stp>##V3_BDHV12</stp>
        <stp>CL2 Comdty</stp>
        <stp>PX_LAST</stp>
        <stp>29/10/2015</stp>
        <stp>29/10/2015</stp>
        <stp>[Bbg_Market_Data_CL.xlsm]data!R360C9</stp>
        <tr r="I360" s="1"/>
      </tp>
      <tp>
        <v>36.39</v>
        <stp/>
        <stp>##V3_BDHV12</stp>
        <stp>CL1 Comdty</stp>
        <stp>PX_HIGH</stp>
        <stp>06/01/2016</stp>
        <stp>06/01/2016</stp>
        <stp>[Bbg_Market_Data_CL.xlsm]data!R315C6</stp>
        <tr r="F315" s="1"/>
        <tr r="F315" s="1"/>
      </tp>
      <tp>
        <v>57.19</v>
        <stp/>
        <stp>##V3_BDHV12</stp>
        <stp>CL1 Comdty</stp>
        <stp>PX_HIGH</stp>
        <stp>22/04/2015</stp>
        <stp>22/04/2015</stp>
        <stp>[Bbg_Market_Data_CL.xlsm]data!R492C6</stp>
        <tr r="F492" s="1"/>
        <tr r="F492" s="1"/>
      </tp>
      <tp t="s">
        <v>#N/A Requesting Data...</v>
        <stp/>
        <stp>##V3_BDHV12</stp>
        <stp>CL1 Comdty</stp>
        <stp>PX_LAST</stp>
        <stp>06/09/2016</stp>
        <stp>06/09/2016</stp>
        <stp>[Bbg_Market_Data_CL.xlsm]data!R149C9</stp>
        <tr r="I149" s="1"/>
      </tp>
      <tp t="s">
        <v>#N/A Requesting Data...</v>
        <stp/>
        <stp>##V3_BDHV12</stp>
        <stp>CL1 Comdty</stp>
        <stp>PX_LAST</stp>
        <stp>18/05/2015</stp>
        <stp>18/05/2015</stp>
        <stp>[Bbg_Market_Data_CL.xlsm]data!R474C9</stp>
        <tr r="I474" s="1"/>
      </tp>
      <tp>
        <v>51.26</v>
        <stp/>
        <stp>##V3_BDHV12</stp>
        <stp>CL1 Comdty</stp>
        <stp>PX_HIGH</stp>
        <stp>20/07/2015</stp>
        <stp>20/07/2015</stp>
        <stp>[Bbg_Market_Data_CL.xlsm]data!R431C6</stp>
        <tr r="F431" s="1"/>
        <tr r="F431" s="1"/>
      </tp>
      <tp>
        <v>50.54</v>
        <stp/>
        <stp>##V3_BDHV12</stp>
        <stp>CL1 Comdty</stp>
        <stp>PX_HIGH</stp>
        <stp>22/06/2016</stp>
        <stp>22/06/2016</stp>
        <stp>[Bbg_Market_Data_CL.xlsm]data!R200C6</stp>
        <tr r="F200" s="1"/>
        <tr r="F200" s="1"/>
      </tp>
      <tp>
        <v>49.3</v>
        <stp/>
        <stp>##V3_BDHV12</stp>
        <stp>CL1 Comdty</stp>
        <stp>PX_HIGH</stp>
        <stp>01/07/2016</stp>
        <stp>01/07/2016</stp>
        <stp>[Bbg_Market_Data_CL.xlsm]data!R193C6</stp>
        <tr r="F193" s="1"/>
        <tr r="F193" s="1"/>
      </tp>
      <tp t="s">
        <v>#N/A Requesting Data...</v>
        <stp/>
        <stp>##V3_BDHV12</stp>
        <stp>CL1 Comdty</stp>
        <stp>PX_LAST</stp>
        <stp>28/07/2015</stp>
        <stp>28/07/2015</stp>
        <stp>[Bbg_Market_Data_CL.xlsm]data!R425C9</stp>
        <tr r="I425" s="1"/>
      </tp>
      <tp>
        <v>58.98</v>
        <stp/>
        <stp>##V3_BDHV12</stp>
        <stp>CL1 Comdty</stp>
        <stp>PX_HIGH</stp>
        <stp>01/07/2015</stp>
        <stp>01/07/2015</stp>
        <stp>[Bbg_Market_Data_CL.xlsm]data!R443C6</stp>
        <tr r="F443" s="1"/>
        <tr r="F443" s="1"/>
      </tp>
      <tp>
        <v>60.3</v>
        <stp/>
        <stp>##V3_BDHV12</stp>
        <stp>CL1 Comdty</stp>
        <stp>PX_HIGH</stp>
        <stp>22/06/2015</stp>
        <stp>22/06/2015</stp>
        <stp>[Bbg_Market_Data_CL.xlsm]data!R450C6</stp>
        <tr r="F450" s="1"/>
        <tr r="F450" s="1"/>
      </tp>
      <tp>
        <v>45.25</v>
        <stp/>
        <stp>##V3_BDHV12</stp>
        <stp>CL1 Comdty</stp>
        <stp>PX_HIGH</stp>
        <stp>20/07/2016</stp>
        <stp>20/07/2016</stp>
        <stp>[Bbg_Market_Data_CL.xlsm]data!R181C6</stp>
        <tr r="F181" s="1"/>
        <tr r="F181" s="1"/>
      </tp>
      <tp t="s">
        <v>#N/A Requesting Data...</v>
        <stp/>
        <stp>##V3_BDHV12</stp>
        <stp>CL1 Comdty</stp>
        <stp>PX_LAST</stp>
        <stp>06/08/2015</stp>
        <stp>06/08/2015</stp>
        <stp>[Bbg_Market_Data_CL.xlsm]data!R418C9</stp>
        <tr r="I418" s="1"/>
      </tp>
      <tp t="s">
        <v>#N/A Requesting Data...</v>
        <stp/>
        <stp>##V3_BDHV12</stp>
        <stp>CL1 Comdty</stp>
        <stp>PX_LAST</stp>
        <stp>28/07/2016</stp>
        <stp>28/07/2016</stp>
        <stp>[Bbg_Market_Data_CL.xlsm]data!R175C9</stp>
        <tr r="I175" s="1"/>
      </tp>
      <tp t="s">
        <v>#N/A Requesting Data...</v>
        <stp/>
        <stp>##V3_BDHV12</stp>
        <stp>CL2 Comdty</stp>
        <stp>PX_LAST</stp>
        <stp>18/04/2016</stp>
        <stp>18/04/2016</stp>
        <stp>[Bbg_Market_Data_CL.xlsm]data!R246C9</stp>
        <tr r="I246" s="1"/>
      </tp>
      <tp>
        <v>49.71</v>
        <stp/>
        <stp>##V3_BDHV12</stp>
        <stp>CL1 Comdty</stp>
        <stp>PX_HIGH</stp>
        <stp>07/10/2015</stp>
        <stp>07/10/2015</stp>
        <stp>[Bbg_Market_Data_CL.xlsm]data!R375C6</stp>
        <tr r="F375" s="1"/>
        <tr r="F375" s="1"/>
      </tp>
      <tp>
        <v>45.64</v>
        <stp/>
        <stp>##V3_BDHV12</stp>
        <stp>CL1 Comdty</stp>
        <stp>PX_HIGH</stp>
        <stp>06/11/2015</stp>
        <stp>06/11/2015</stp>
        <stp>[Bbg_Market_Data_CL.xlsm]data!R354C6</stp>
        <tr r="F354" s="1"/>
        <tr r="F354" s="1"/>
      </tp>
      <tp>
        <v>40.75</v>
        <stp/>
        <stp>##V3_BDHV12</stp>
        <stp>CL1 Comdty</stp>
        <stp>PX_HIGH</stp>
        <stp>11/04/2016</stp>
        <stp>11/04/2016</stp>
        <stp>[Bbg_Market_Data_CL.xlsm]data!R251C6</stp>
        <tr r="F251" s="1"/>
        <tr r="F251" s="1"/>
      </tp>
      <tp>
        <v>44.79</v>
        <stp/>
        <stp>##V3_BDHV12</stp>
        <stp>CL1 Comdty</stp>
        <stp>PX_HIGH</stp>
        <stp>10/05/2016</stp>
        <stp>10/05/2016</stp>
        <stp>[Bbg_Market_Data_CL.xlsm]data!R230C6</stp>
        <tr r="F230" s="1"/>
        <tr r="F230" s="1"/>
      </tp>
      <tp>
        <v>44.45</v>
        <stp/>
        <stp>##V3_BDHV12</stp>
        <stp>CL1 Comdty</stp>
        <stp>PX_HIGH</stp>
        <stp>22/04/2016</stp>
        <stp>22/04/2016</stp>
        <stp>[Bbg_Market_Data_CL.xlsm]data!R242C6</stp>
        <tr r="F242" s="1"/>
        <tr r="F242" s="1"/>
      </tp>
      <tp t="s">
        <v>#N/A Requesting Data...</v>
        <stp/>
        <stp>##V3_BDHV12</stp>
        <stp>CL1 Comdty</stp>
        <stp>PX_LAST</stp>
        <stp>28/05/2015</stp>
        <stp>28/05/2015</stp>
        <stp>[Bbg_Market_Data_CL.xlsm]data!R467C9</stp>
        <tr r="I467" s="1"/>
      </tp>
      <tp t="s">
        <v>#N/A Requesting Data...</v>
        <stp/>
        <stp>##V3_BDHV12</stp>
        <stp>CL1 Comdty</stp>
        <stp>PX_LAST</stp>
        <stp>18/05/2016</stp>
        <stp>18/05/2016</stp>
        <stp>[Bbg_Market_Data_CL.xlsm]data!R224C9</stp>
        <tr r="I224" s="1"/>
      </tp>
      <tp t="s">
        <v>#N/A Requesting Data...</v>
        <stp/>
        <stp>##V3_BDHV12</stp>
        <stp>CL1 Comdty</stp>
        <stp>PX_LAST</stp>
        <stp>19/04/2016</stp>
        <stp>19/04/2016</stp>
        <stp>[Bbg_Market_Data_CL.xlsm]data!R245C9</stp>
        <tr r="I245" s="1"/>
      </tp>
      <tp>
        <v>42.66</v>
        <stp/>
        <stp>##V3_BDHV12</stp>
        <stp>CL1 Comdty</stp>
        <stp>PX_OPEN</stp>
        <stp>27/07/2016</stp>
        <stp>27/07/2016</stp>
        <stp>[Bbg_Market_Data_CL.xlsm]data!R176C5</stp>
        <tr r="E176" s="1"/>
        <tr r="E176" s="1"/>
      </tp>
      <tp>
        <v>45.14</v>
        <stp/>
        <stp>##V3_BDHV12</stp>
        <stp>CL1 Comdty</stp>
        <stp>PX_OPEN</stp>
        <stp>14/07/2016</stp>
        <stp>14/07/2016</stp>
        <stp>[Bbg_Market_Data_CL.xlsm]data!R185C5</stp>
        <tr r="E185" s="1"/>
        <tr r="E185" s="1"/>
      </tp>
      <tp>
        <v>50</v>
        <stp/>
        <stp>##V3_BDHV12</stp>
        <stp>CL1 Comdty</stp>
        <stp>PX_OPEN</stp>
        <stp>13/10/2016</stp>
        <stp>13/10/2016</stp>
        <stp>[Bbg_Market_Data_CL.xlsm]data!R123C5</stp>
        <tr r="E123" s="1"/>
        <tr r="E123" s="1"/>
      </tp>
      <tp>
        <v>60.22</v>
        <stp/>
        <stp>##V3_BDHV12</stp>
        <stp>CL1 Comdty</stp>
        <stp>PX_OPEN</stp>
        <stp>25/06/2015</stp>
        <stp>25/06/2015</stp>
        <stp>[Bbg_Market_Data_CL.xlsm]data!R447C5</stp>
        <tr r="E447" s="1"/>
        <tr r="E447" s="1"/>
      </tp>
      <tp>
        <v>27.34</v>
        <stp/>
        <stp>##V3_BDHV12</stp>
        <stp>CL1 Comdty</stp>
        <stp>PX_OPEN</stp>
        <stp>11/02/2016</stp>
        <stp>11/02/2016</stp>
        <stp>[Bbg_Market_Data_CL.xlsm]data!R290C5</stp>
        <tr r="E290" s="1"/>
        <tr r="E290" s="1"/>
      </tp>
      <tp>
        <v>48.25</v>
        <stp/>
        <stp>##V3_BDHV12</stp>
        <stp>CL1 Comdty</stp>
        <stp>PX_OPEN</stp>
        <stp>31/10/2016</stp>
        <stp>31/10/2016</stp>
        <stp>[Bbg_Market_Data_CL.xlsm]data!R111C5</stp>
        <tr r="E111" s="1"/>
        <tr r="E111" s="1"/>
      </tp>
      <tp>
        <v>59.6</v>
        <stp/>
        <stp>##V3_BDHV12</stp>
        <stp>CL1 Comdty</stp>
        <stp>PX_OPEN</stp>
        <stp>16/06/2015</stp>
        <stp>16/06/2015</stp>
        <stp>[Bbg_Market_Data_CL.xlsm]data!R454C5</stp>
        <tr r="E454" s="1"/>
        <tr r="E454" s="1"/>
      </tp>
      <tp>
        <v>47.81</v>
        <stp/>
        <stp>##V3_BDHV12</stp>
        <stp>CL1 Comdty</stp>
        <stp>PX_OPEN</stp>
        <stp>27/06/2016</stp>
        <stp>27/06/2016</stp>
        <stp>[Bbg_Market_Data_CL.xlsm]data!R197C5</stp>
        <tr r="E197" s="1"/>
        <tr r="E197" s="1"/>
      </tp>
      <tp>
        <v>37.99</v>
        <stp/>
        <stp>##V3_BDHV12</stp>
        <stp>CL1 Comdty</stp>
        <stp>PX_OPEN</stp>
        <stp>11/03/2016</stp>
        <stp>11/03/2016</stp>
        <stp>[Bbg_Market_Data_CL.xlsm]data!R271C5</stp>
        <tr r="E271" s="1"/>
        <tr r="E271" s="1"/>
      </tp>
      <tp>
        <v>44.1</v>
        <stp/>
        <stp>##V3_BDHV12</stp>
        <stp>CL1 Comdty</stp>
        <stp>PX_OPEN</stp>
        <stp>10/11/2015</stp>
        <stp>10/11/2015</stp>
        <stp>[Bbg_Market_Data_CL.xlsm]data!R352C5</stp>
        <tr r="E352" s="1"/>
        <tr r="E352" s="1"/>
      </tp>
      <tp>
        <v>55.92</v>
        <stp/>
        <stp>##V3_BDHV12</stp>
        <stp>CL1 Comdty</stp>
        <stp>PX_OPEN</stp>
        <stp>16/04/2015</stp>
        <stp>16/04/2015</stp>
        <stp>[Bbg_Market_Data_CL.xlsm]data!R496C5</stp>
        <tr r="E496" s="1"/>
        <tr r="E496" s="1"/>
      </tp>
      <tp>
        <v>47.45</v>
        <stp/>
        <stp>##V3_BDHV12</stp>
        <stp>CL1 Comdty</stp>
        <stp>PX_OPEN</stp>
        <stp>16/06/2016</stp>
        <stp>16/06/2016</stp>
        <stp>[Bbg_Market_Data_CL.xlsm]data!R204C5</stp>
        <tr r="E204" s="1"/>
        <tr r="E204" s="1"/>
      </tp>
      <tp>
        <v>52</v>
        <stp/>
        <stp>##V3_BDHV12</stp>
        <stp>CL1 Comdty</stp>
        <stp>PX_OPEN</stp>
        <stp>14/07/2015</stp>
        <stp>14/07/2015</stp>
        <stp>[Bbg_Market_Data_CL.xlsm]data!R435C5</stp>
        <tr r="E435" s="1"/>
        <tr r="E435" s="1"/>
      </tp>
      <tp>
        <v>48</v>
        <stp/>
        <stp>##V3_BDHV12</stp>
        <stp>CL1 Comdty</stp>
        <stp>PX_OPEN</stp>
        <stp>27/07/2015</stp>
        <stp>27/07/2015</stp>
        <stp>[Bbg_Market_Data_CL.xlsm]data!R426C5</stp>
        <tr r="E426" s="1"/>
        <tr r="E426" s="1"/>
      </tp>
      <tp>
        <v>41.77</v>
        <stp/>
        <stp>##V3_BDHV12</stp>
        <stp>CL1 Comdty</stp>
        <stp>PX_OPEN</stp>
        <stp>30/11/2015</stp>
        <stp>30/11/2015</stp>
        <stp>[Bbg_Market_Data_CL.xlsm]data!R340C5</stp>
        <tr r="E340" s="1"/>
        <tr r="E340" s="1"/>
      </tp>
      <tp>
        <v>36.630000000000003</v>
        <stp/>
        <stp>##V3_BDHV12</stp>
        <stp>CL1 Comdty</stp>
        <stp>PX_OPEN</stp>
        <stp>11/12/2015</stp>
        <stp>11/12/2015</stp>
        <stp>[Bbg_Market_Data_CL.xlsm]data!R331C5</stp>
        <tr r="E331" s="1"/>
        <tr r="E331" s="1"/>
      </tp>
      <tp>
        <v>43.25</v>
        <stp/>
        <stp>##V3_BDHV12</stp>
        <stp>CL1 Comdty</stp>
        <stp>PX_OPEN</stp>
        <stp>27/11/2015</stp>
        <stp>27/11/2015</stp>
        <stp>[Bbg_Market_Data_CL.xlsm]data!R341C5</stp>
        <tr r="E341" s="1"/>
        <tr r="E341" s="1"/>
      </tp>
      <tp>
        <v>37.86</v>
        <stp/>
        <stp>##V3_BDHV12</stp>
        <stp>CL1 Comdty</stp>
        <stp>PX_OPEN</stp>
        <stp>24/12/2015</stp>
        <stp>24/12/2015</stp>
        <stp>[Bbg_Market_Data_CL.xlsm]data!R322C5</stp>
        <tr r="E322" s="1"/>
        <tr r="E322" s="1"/>
      </tp>
      <tp>
        <v>48.82</v>
        <stp/>
        <stp>##V3_BDHV12</stp>
        <stp>CL1 Comdty</stp>
        <stp>PX_OPEN</stp>
        <stp>01/06/2016</stp>
        <stp>01/06/2016</stp>
        <stp>[Bbg_Market_Data_CL.xlsm]data!R215C5</stp>
        <tr r="E215" s="1"/>
        <tr r="E215" s="1"/>
      </tp>
      <tp>
        <v>45.9</v>
        <stp/>
        <stp>##V3_BDHV12</stp>
        <stp>CL1 Comdty</stp>
        <stp>PX_OPEN</stp>
        <stp>02/05/2016</stp>
        <stp>02/05/2016</stp>
        <stp>[Bbg_Market_Data_CL.xlsm]data!R236C5</stp>
        <tr r="E236" s="1"/>
        <tr r="E236" s="1"/>
      </tp>
      <tp>
        <v>46.41</v>
        <stp/>
        <stp>##V3_BDHV12</stp>
        <stp>CL1 Comdty</stp>
        <stp>PX_OPEN</stp>
        <stp>13/05/2016</stp>
        <stp>13/05/2016</stp>
        <stp>[Bbg_Market_Data_CL.xlsm]data!R227C5</stp>
        <tr r="E227" s="1"/>
        <tr r="E227" s="1"/>
      </tp>
      <tp>
        <v>60.29</v>
        <stp/>
        <stp>##V3_BDHV12</stp>
        <stp>CL1 Comdty</stp>
        <stp>PX_OPEN</stp>
        <stp>01/06/2015</stp>
        <stp>01/06/2015</stp>
        <stp>[Bbg_Market_Data_CL.xlsm]data!R465C5</stp>
        <tr r="E465" s="1"/>
        <tr r="E465" s="1"/>
      </tp>
      <tp>
        <v>31.28</v>
        <stp/>
        <stp>##V3_BDHV12</stp>
        <stp>CL1 Comdty</stp>
        <stp>PX_OPEN</stp>
        <stp>24/02/2016</stp>
        <stp>24/02/2016</stp>
        <stp>[Bbg_Market_Data_CL.xlsm]data!R283C5</stp>
        <tr r="E283" s="1"/>
        <tr r="E283" s="1"/>
      </tp>
      <tp>
        <v>61.23</v>
        <stp/>
        <stp>##V3_BDHV12</stp>
        <stp>CL1 Comdty</stp>
        <stp>PX_OPEN</stp>
        <stp>13/05/2015</stp>
        <stp>13/05/2015</stp>
        <stp>[Bbg_Market_Data_CL.xlsm]data!R477C5</stp>
        <tr r="E477" s="1"/>
        <tr r="E477" s="1"/>
      </tp>
      <tp>
        <v>43.2</v>
        <stp/>
        <stp>##V3_BDHV12</stp>
        <stp>CL1 Comdty</stp>
        <stp>PX_OPEN</stp>
        <stp>14/11/2016</stp>
        <stp>14/11/2016</stp>
        <stp>[Bbg_Market_Data_CL.xlsm]data!R102C5</stp>
        <tr r="E102" s="1"/>
        <tr r="E102" s="1"/>
      </tp>
      <tp>
        <v>39.729999999999997</v>
        <stp/>
        <stp>##V3_BDHV12</stp>
        <stp>CL1 Comdty</stp>
        <stp>PX_OPEN</stp>
        <stp>24/03/2016</stp>
        <stp>24/03/2016</stp>
        <stp>[Bbg_Market_Data_CL.xlsm]data!R262C5</stp>
        <tr r="E262" s="1"/>
        <tr r="E262" s="1"/>
      </tp>
      <tp>
        <v>38.14</v>
        <stp/>
        <stp>##V3_BDHV12</stp>
        <stp>CL1 Comdty</stp>
        <stp>PX_OPEN</stp>
        <stp>01/04/2016</stp>
        <stp>01/04/2016</stp>
        <stp>[Bbg_Market_Data_CL.xlsm]data!R257C5</stp>
        <tr r="E257" s="1"/>
        <tr r="E257" s="1"/>
      </tp>
      <tp>
        <v>44.5</v>
        <stp/>
        <stp>##V3_BDHV12</stp>
        <stp>CL1 Comdty</stp>
        <stp>PX_OPEN</stp>
        <stp>21/09/2016</stp>
        <stp>21/09/2016</stp>
        <stp>[Bbg_Market_Data_CL.xlsm]data!R138C5</stp>
        <tr r="E138" s="1"/>
        <tr r="E138" s="1"/>
      </tp>
      <tp>
        <v>32.19</v>
        <stp/>
        <stp>##V3_BDHV12</stp>
        <stp>CL1 Comdty</stp>
        <stp>PX_OPEN</stp>
        <stp>28/01/2016</stp>
        <stp>28/01/2016</stp>
        <stp>[Bbg_Market_Data_CL.xlsm]data!R300C5</stp>
        <tr r="E300" s="1"/>
        <tr r="E300" s="1"/>
      </tp>
      <tp>
        <v>44.52</v>
        <stp/>
        <stp>##V3_BDHV12</stp>
        <stp>CL1 Comdty</stp>
        <stp>PX_OPEN</stp>
        <stp>09/11/2015</stp>
        <stp>09/11/2015</stp>
        <stp>[Bbg_Market_Data_CL.xlsm]data!R353C5</stp>
        <tr r="E353" s="1"/>
        <tr r="E353" s="1"/>
      </tp>
      <tp>
        <v>46.06</v>
        <stp/>
        <stp>##V3_BDHV12</stp>
        <stp>CL1 Comdty</stp>
        <stp>PX_OPEN</stp>
        <stp>29/10/2015</stp>
        <stp>29/10/2015</stp>
        <stp>[Bbg_Market_Data_CL.xlsm]data!R360C5</stp>
        <tr r="E360" s="1"/>
        <tr r="E360" s="1"/>
      </tp>
      <tp>
        <v>48.4</v>
        <stp/>
        <stp>##V3_BDHV12</stp>
        <stp>CL1 Comdty</stp>
        <stp>PX_OPEN</stp>
        <stp>22/08/2016</stp>
        <stp>22/08/2016</stp>
        <stp>[Bbg_Market_Data_CL.xlsm]data!R159C5</stp>
        <tr r="E159" s="1"/>
        <tr r="E159" s="1"/>
      </tp>
      <tp>
        <v>38.75</v>
        <stp/>
        <stp>##V3_BDHV12</stp>
        <stp>CL1 Comdty</stp>
        <stp>PX_OPEN</stp>
        <stp>18/04/2016</stp>
        <stp>18/04/2016</stp>
        <stp>[Bbg_Market_Data_CL.xlsm]data!R246C5</stp>
        <tr r="E246" s="1"/>
        <tr r="E246" s="1"/>
      </tp>
      <tp t="s">
        <v>#N/A Requesting Data...</v>
        <stp/>
        <stp>##V3_BDHV12</stp>
        <stp>CL2 Comdty</stp>
        <stp>RSI_30D</stp>
        <stp>15/09/2015</stp>
        <stp>15/09/2015</stp>
        <stp>[Bbg_Market_Data_CL.xlsm]data!R391C14</stp>
        <tr r="N391" s="1"/>
      </tp>
      <tp t="s">
        <v>#N/A Requesting Data...</v>
        <stp/>
        <stp>##V3_BDHV12</stp>
        <stp>CL1 Comdty</stp>
        <stp>RSI_30D</stp>
        <stp>15/09/2015</stp>
        <stp>15/09/2015</stp>
        <stp>[Bbg_Market_Data_CL.xlsm]data!R391C14</stp>
        <tr r="N391" s="1"/>
      </tp>
      <tp t="s">
        <v>#N/A Requesting Data...</v>
        <stp/>
        <stp>##V3_BDHV12</stp>
        <stp>CL2 Comdty</stp>
        <stp>RSI_30D</stp>
        <stp>24/08/2016</stp>
        <stp>24/08/2016</stp>
        <stp>[Bbg_Market_Data_CL.xlsm]data!R157C14</stp>
        <tr r="N157" s="1"/>
      </tp>
      <tp t="s">
        <v>#N/A Requesting Data...</v>
        <stp/>
        <stp>##V3_BDHV12</stp>
        <stp>CL1 Comdty</stp>
        <stp>RSI_30D</stp>
        <stp>24/08/2016</stp>
        <stp>24/08/2016</stp>
        <stp>[Bbg_Market_Data_CL.xlsm]data!R157C14</stp>
        <tr r="N157" s="1"/>
      </tp>
      <tp t="s">
        <v>#N/A Requesting Data...</v>
        <stp/>
        <stp>##V3_BDHV12</stp>
        <stp>CL1 Comdty</stp>
        <stp>RSI_30D</stp>
        <stp>04/09/2015</stp>
        <stp>04/09/2015</stp>
        <stp>[Bbg_Market_Data_CL.xlsm]data!R397C14</stp>
        <tr r="N397" s="1"/>
      </tp>
      <tp t="s">
        <v>#N/A Requesting Data...</v>
        <stp/>
        <stp>##V3_BDHV12</stp>
        <stp>CL2 Comdty</stp>
        <stp>RSI_30D</stp>
        <stp>04/09/2015</stp>
        <stp>04/09/2015</stp>
        <stp>[Bbg_Market_Data_CL.xlsm]data!R397C14</stp>
        <tr r="N397" s="1"/>
      </tp>
      <tp t="s">
        <v>#N/A Requesting Data...</v>
        <stp/>
        <stp>##V3_BDHV12</stp>
        <stp>CL1 Comdty</stp>
        <stp>RSI_14D</stp>
        <stp>07/08/2015</stp>
        <stp>07/08/2015</stp>
        <stp>[Bbg_Market_Data_CL.xlsm]data!R417C13</stp>
        <tr r="M417" s="1"/>
      </tp>
      <tp t="s">
        <v>#N/A Requesting Data...</v>
        <stp/>
        <stp>##V3_BDHV12</stp>
        <stp>CL2 Comdty</stp>
        <stp>RSI_14D</stp>
        <stp>07/08/2015</stp>
        <stp>07/08/2015</stp>
        <stp>[Bbg_Market_Data_CL.xlsm]data!R417C13</stp>
        <tr r="M417" s="1"/>
      </tp>
      <tp t="s">
        <v>#N/A Requesting Data...</v>
        <stp/>
        <stp>##V3_BDHV12</stp>
        <stp>CL2 Comdty</stp>
        <stp>RSI_30D</stp>
        <stp>16/09/2016</stp>
        <stp>16/09/2016</stp>
        <stp>[Bbg_Market_Data_CL.xlsm]data!R141C14</stp>
        <tr r="N141" s="1"/>
      </tp>
      <tp t="s">
        <v>#N/A Requesting Data...</v>
        <stp/>
        <stp>##V3_BDHV12</stp>
        <stp>CL1 Comdty</stp>
        <stp>RSI_30D</stp>
        <stp>16/09/2016</stp>
        <stp>16/09/2016</stp>
        <stp>[Bbg_Market_Data_CL.xlsm]data!R141C14</stp>
        <tr r="N141" s="1"/>
      </tp>
      <tp t="s">
        <v>#N/A Requesting Data...</v>
        <stp/>
        <stp>##V3_BDHV12</stp>
        <stp>CL2 Comdty</stp>
        <stp>RSI_30D</stp>
        <stp>07/09/2016</stp>
        <stp>07/09/2016</stp>
        <stp>[Bbg_Market_Data_CL.xlsm]data!R148C14</stp>
        <tr r="N148" s="1"/>
      </tp>
      <tp t="s">
        <v>#N/A Requesting Data...</v>
        <stp/>
        <stp>##V3_BDHV12</stp>
        <stp>CL1 Comdty</stp>
        <stp>RSI_30D</stp>
        <stp>07/09/2016</stp>
        <stp>07/09/2016</stp>
        <stp>[Bbg_Market_Data_CL.xlsm]data!R148C14</stp>
        <tr r="N148" s="1"/>
      </tp>
      <tp t="s">
        <v>#N/A Requesting Data...</v>
        <stp/>
        <stp>##V3_BDHV12</stp>
        <stp>CL1 Comdty</stp>
        <stp>RSI_30D</stp>
        <stp>17/08/2016</stp>
        <stp>17/08/2016</stp>
        <stp>[Bbg_Market_Data_CL.xlsm]data!R162C14</stp>
        <tr r="N162" s="1"/>
      </tp>
      <tp t="s">
        <v>#N/A Requesting Data...</v>
        <stp/>
        <stp>##V3_BDHV12</stp>
        <stp>CL2 Comdty</stp>
        <stp>RSI_30D</stp>
        <stp>17/08/2016</stp>
        <stp>17/08/2016</stp>
        <stp>[Bbg_Market_Data_CL.xlsm]data!R162C14</stp>
        <tr r="N162" s="1"/>
      </tp>
      <tp t="s">
        <v>#N/A Requesting Data...</v>
        <stp/>
        <stp>##V3_BDHV12</stp>
        <stp>CL1 Comdty</stp>
        <stp>RSI_14D</stp>
        <stp>25/08/2015</stp>
        <stp>25/08/2015</stp>
        <stp>[Bbg_Market_Data_CL.xlsm]data!R405C13</stp>
        <tr r="M405" s="1"/>
      </tp>
      <tp t="s">
        <v>#N/A Requesting Data...</v>
        <stp/>
        <stp>##V3_BDHV12</stp>
        <stp>CL2 Comdty</stp>
        <stp>RSI_14D</stp>
        <stp>25/08/2015</stp>
        <stp>25/08/2015</stp>
        <stp>[Bbg_Market_Data_CL.xlsm]data!R405C13</stp>
        <tr r="M405" s="1"/>
      </tp>
      <tp t="s">
        <v>#N/A Requesting Data...</v>
        <stp/>
        <stp>##V3_BDHV12</stp>
        <stp>CL2 Comdty</stp>
        <stp>RSI_14D</stp>
        <stp>04/08/2016</stp>
        <stp>04/08/2016</stp>
        <stp>[Bbg_Market_Data_CL.xlsm]data!R170C13</stp>
        <tr r="M170" s="1"/>
      </tp>
      <tp t="s">
        <v>#N/A Requesting Data...</v>
        <stp/>
        <stp>##V3_BDHV12</stp>
        <stp>CL1 Comdty</stp>
        <stp>RSI_14D</stp>
        <stp>04/08/2016</stp>
        <stp>04/08/2016</stp>
        <stp>[Bbg_Market_Data_CL.xlsm]data!R170C13</stp>
        <tr r="M170" s="1"/>
      </tp>
      <tp t="s">
        <v>#N/A Requesting Data...</v>
        <stp/>
        <stp>##V3_BDHV12</stp>
        <stp>CL1 Comdty</stp>
        <stp>RSI_14D</stp>
        <stp>14/09/2016</stp>
        <stp>14/09/2016</stp>
        <stp>[Bbg_Market_Data_CL.xlsm]data!R143C13</stp>
        <tr r="M143" s="1"/>
      </tp>
      <tp t="s">
        <v>#N/A Requesting Data...</v>
        <stp/>
        <stp>##V3_BDHV12</stp>
        <stp>CL2 Comdty</stp>
        <stp>RSI_14D</stp>
        <stp>14/09/2016</stp>
        <stp>14/09/2016</stp>
        <stp>[Bbg_Market_Data_CL.xlsm]data!R143C13</stp>
        <tr r="M143" s="1"/>
      </tp>
      <tp t="s">
        <v>#N/A Requesting Data...</v>
        <stp/>
        <stp>##V3_BDHV12</stp>
        <stp>CL1 Comdty</stp>
        <stp>RSI_14D</stp>
        <stp>24/09/2015</stp>
        <stp>24/09/2015</stp>
        <stp>[Bbg_Market_Data_CL.xlsm]data!R384C13</stp>
        <tr r="M384" s="1"/>
      </tp>
      <tp t="s">
        <v>#N/A Requesting Data...</v>
        <stp/>
        <stp>##V3_BDHV12</stp>
        <stp>CL2 Comdty</stp>
        <stp>RSI_14D</stp>
        <stp>24/09/2015</stp>
        <stp>24/09/2015</stp>
        <stp>[Bbg_Market_Data_CL.xlsm]data!R384C13</stp>
        <tr r="M384" s="1"/>
      </tp>
      <tp t="s">
        <v>#N/A Requesting Data...</v>
        <stp/>
        <stp>##V3_BDHV12</stp>
        <stp>CL2 Comdty</stp>
        <stp>RSI_30D</stp>
        <stp>27/08/2015</stp>
        <stp>27/08/2015</stp>
        <stp>[Bbg_Market_Data_CL.xlsm]data!R403C14</stp>
        <tr r="N403" s="1"/>
      </tp>
      <tp t="s">
        <v>#N/A Requesting Data...</v>
        <stp/>
        <stp>##V3_BDHV12</stp>
        <stp>CL1 Comdty</stp>
        <stp>RSI_30D</stp>
        <stp>27/08/2015</stp>
        <stp>27/08/2015</stp>
        <stp>[Bbg_Market_Data_CL.xlsm]data!R403C14</stp>
        <tr r="N403" s="1"/>
      </tp>
      <tp t="s">
        <v>#N/A Requesting Data...</v>
        <stp/>
        <stp>##V3_BDHV12</stp>
        <stp>CL2 Comdty</stp>
        <stp>RSI_14D</stp>
        <stp>15/08/2016</stp>
        <stp>15/08/2016</stp>
        <stp>[Bbg_Market_Data_CL.xlsm]data!R164C13</stp>
        <tr r="M164" s="1"/>
      </tp>
      <tp t="s">
        <v>#N/A Requesting Data...</v>
        <stp/>
        <stp>##V3_BDHV12</stp>
        <stp>CL1 Comdty</stp>
        <stp>RSI_14D</stp>
        <stp>15/08/2016</stp>
        <stp>15/08/2016</stp>
        <stp>[Bbg_Market_Data_CL.xlsm]data!R164C13</stp>
        <tr r="M164" s="1"/>
      </tp>
      <tp t="s">
        <v>#N/A Requesting Data...</v>
        <stp/>
        <stp>##V3_BDHV12</stp>
        <stp>CL2 Comdty</stp>
        <stp>RSI_14D</stp>
        <stp>17/09/2015</stp>
        <stp>17/09/2015</stp>
        <stp>[Bbg_Market_Data_CL.xlsm]data!R389C13</stp>
        <tr r="M389" s="1"/>
      </tp>
      <tp t="s">
        <v>#N/A Requesting Data...</v>
        <stp/>
        <stp>##V3_BDHV12</stp>
        <stp>CL1 Comdty</stp>
        <stp>RSI_14D</stp>
        <stp>17/09/2015</stp>
        <stp>17/09/2015</stp>
        <stp>[Bbg_Market_Data_CL.xlsm]data!R389C13</stp>
        <tr r="M389" s="1"/>
      </tp>
      <tp t="s">
        <v>#N/A Requesting Data...</v>
        <stp/>
        <stp>##V3_BDHV12</stp>
        <stp>CL1 Comdty</stp>
        <stp>RSI_30D</stp>
        <stp>14/08/2015</stp>
        <stp>14/08/2015</stp>
        <stp>[Bbg_Market_Data_CL.xlsm]data!R412C14</stp>
        <tr r="N412" s="1"/>
      </tp>
      <tp t="s">
        <v>#N/A Requesting Data...</v>
        <stp/>
        <stp>##V3_BDHV12</stp>
        <stp>CL2 Comdty</stp>
        <stp>RSI_30D</stp>
        <stp>14/08/2015</stp>
        <stp>14/08/2015</stp>
        <stp>[Bbg_Market_Data_CL.xlsm]data!R412C14</stp>
        <tr r="N412" s="1"/>
      </tp>
      <tp t="s">
        <v>#N/A Requesting Data...</v>
        <stp/>
        <stp>##V3_BDHV12</stp>
        <stp>CL1 Comdty</stp>
        <stp>RSI_14D</stp>
        <stp>26/08/2016</stp>
        <stp>26/08/2016</stp>
        <stp>[Bbg_Market_Data_CL.xlsm]data!R155C13</stp>
        <tr r="M155" s="1"/>
      </tp>
      <tp t="s">
        <v>#N/A Requesting Data...</v>
        <stp/>
        <stp>##V3_BDHV12</stp>
        <stp>CL2 Comdty</stp>
        <stp>RSI_14D</stp>
        <stp>26/08/2016</stp>
        <stp>26/08/2016</stp>
        <stp>[Bbg_Market_Data_CL.xlsm]data!R155C13</stp>
        <tr r="M155" s="1"/>
      </tp>
      <tp t="s">
        <v>#N/A Requesting Data...</v>
        <stp/>
        <stp>##V3_BDHV12</stp>
        <stp>CL2 Comdty</stp>
        <stp>RSI_30D</stp>
        <stp>05/08/2015</stp>
        <stp>05/08/2015</stp>
        <stp>[Bbg_Market_Data_CL.xlsm]data!R419C14</stp>
        <tr r="N419" s="1"/>
      </tp>
      <tp t="s">
        <v>#N/A Requesting Data...</v>
        <stp/>
        <stp>##V3_BDHV12</stp>
        <stp>CL1 Comdty</stp>
        <stp>RSI_30D</stp>
        <stp>05/08/2015</stp>
        <stp>05/08/2015</stp>
        <stp>[Bbg_Market_Data_CL.xlsm]data!R419C14</stp>
        <tr r="N419" s="1"/>
      </tp>
      <tp t="s">
        <v>#N/A Requesting Data...</v>
        <stp/>
        <stp>##V3_BDHV12</stp>
        <stp>CL1 Comdty</stp>
        <stp>RSI_14D</stp>
        <stp>27/09/2016</stp>
        <stp>27/09/2016</stp>
        <stp>[Bbg_Market_Data_CL.xlsm]data!R134C13</stp>
        <tr r="M134" s="1"/>
      </tp>
      <tp t="s">
        <v>#N/A Requesting Data...</v>
        <stp/>
        <stp>##V3_BDHV12</stp>
        <stp>CL2 Comdty</stp>
        <stp>RSI_14D</stp>
        <stp>27/09/2016</stp>
        <stp>27/09/2016</stp>
        <stp>[Bbg_Market_Data_CL.xlsm]data!R134C13</stp>
        <tr r="M134" s="1"/>
      </tp>
      <tp t="s">
        <v>#N/A Requesting Data...</v>
        <stp/>
        <stp>##V3_BDHV12</stp>
        <stp>CL1 Comdty</stp>
        <stp>RSI_14D</stp>
        <stp>28/06/2016</stp>
        <stp>28/06/2016</stp>
        <stp>[Bbg_Market_Data_CL.xlsm]data!R196C13</stp>
        <tr r="M196" s="1"/>
      </tp>
      <tp t="s">
        <v>#N/A Requesting Data...</v>
        <stp/>
        <stp>##V3_BDHV12</stp>
        <stp>CL2 Comdty</stp>
        <stp>RSI_14D</stp>
        <stp>28/06/2016</stp>
        <stp>28/06/2016</stp>
        <stp>[Bbg_Market_Data_CL.xlsm]data!R196C13</stp>
        <tr r="M196" s="1"/>
      </tp>
      <tp t="s">
        <v>#N/A Requesting Data...</v>
        <stp/>
        <stp>##V3_BDHV12</stp>
        <stp>CL2 Comdty</stp>
        <stp>RSI_14D</stp>
        <stp>29/07/2016</stp>
        <stp>29/07/2016</stp>
        <stp>[Bbg_Market_Data_CL.xlsm]data!R174C13</stp>
        <tr r="M174" s="1"/>
      </tp>
      <tp t="s">
        <v>#N/A Requesting Data...</v>
        <stp/>
        <stp>##V3_BDHV12</stp>
        <stp>CL1 Comdty</stp>
        <stp>RSI_14D</stp>
        <stp>29/07/2016</stp>
        <stp>29/07/2016</stp>
        <stp>[Bbg_Market_Data_CL.xlsm]data!R174C13</stp>
        <tr r="M174" s="1"/>
      </tp>
      <tp t="s">
        <v>#N/A Requesting Data...</v>
        <stp/>
        <stp>##V3_BDHV12</stp>
        <stp>CL2 Comdty</stp>
        <stp>RSI_30D</stp>
        <stp>08/05/2015</stp>
        <stp>08/05/2015</stp>
        <stp>[Bbg_Market_Data_CL.xlsm]data!R480C14</stp>
        <tr r="N480" s="1"/>
      </tp>
      <tp t="s">
        <v>#N/A Requesting Data...</v>
        <stp/>
        <stp>##V3_BDHV12</stp>
        <stp>CL1 Comdty</stp>
        <stp>RSI_30D</stp>
        <stp>08/05/2015</stp>
        <stp>08/05/2015</stp>
        <stp>[Bbg_Market_Data_CL.xlsm]data!R480C14</stp>
        <tr r="N480" s="1"/>
      </tp>
      <tp t="s">
        <v>#N/A Requesting Data...</v>
        <stp/>
        <stp>##V3_BDHV12</stp>
        <stp>CL2 Comdty</stp>
        <stp>RSI_30D</stp>
        <stp>28/07/2015</stp>
        <stp>28/07/2015</stp>
        <stp>[Bbg_Market_Data_CL.xlsm]data!R425C14</stp>
        <tr r="N425" s="1"/>
      </tp>
      <tp t="s">
        <v>#N/A Requesting Data...</v>
        <stp/>
        <stp>##V3_BDHV12</stp>
        <stp>CL1 Comdty</stp>
        <stp>RSI_30D</stp>
        <stp>28/07/2015</stp>
        <stp>28/07/2015</stp>
        <stp>[Bbg_Market_Data_CL.xlsm]data!R425C14</stp>
        <tr r="N425" s="1"/>
      </tp>
      <tp t="s">
        <v>#N/A Requesting Data...</v>
        <stp/>
        <stp>##V3_BDHV12</stp>
        <stp>CL2 Comdty</stp>
        <stp>RSI_14D</stp>
        <stp>19/04/2016</stp>
        <stp>19/04/2016</stp>
        <stp>[Bbg_Market_Data_CL.xlsm]data!R245C13</stp>
        <tr r="M245" s="1"/>
      </tp>
      <tp t="s">
        <v>#N/A Requesting Data...</v>
        <stp/>
        <stp>##V3_BDHV12</stp>
        <stp>CL1 Comdty</stp>
        <stp>RSI_14D</stp>
        <stp>19/04/2016</stp>
        <stp>19/04/2016</stp>
        <stp>[Bbg_Market_Data_CL.xlsm]data!R245C13</stp>
        <tr r="M245" s="1"/>
      </tp>
      <tp t="s">
        <v>#N/A Requesting Data...</v>
        <stp/>
        <stp>##V3_BDHV12</stp>
        <stp>CL2 Comdty</stp>
        <stp>RSI_14D</stp>
        <stp>09/05/2016</stp>
        <stp>09/05/2016</stp>
        <stp>[Bbg_Market_Data_CL.xlsm]data!R231C13</stp>
        <tr r="M231" s="1"/>
      </tp>
      <tp t="s">
        <v>#N/A Requesting Data...</v>
        <stp/>
        <stp>##V3_BDHV12</stp>
        <stp>CL1 Comdty</stp>
        <stp>RSI_14D</stp>
        <stp>09/05/2016</stp>
        <stp>09/05/2016</stp>
        <stp>[Bbg_Market_Data_CL.xlsm]data!R231C13</stp>
        <tr r="M231" s="1"/>
      </tp>
      <tp t="s">
        <v>#N/A Requesting Data...</v>
        <stp/>
        <stp>##V3_BDHV12</stp>
        <stp>CL1 Comdty</stp>
        <stp>RSI_14D</stp>
        <stp>08/04/2016</stp>
        <stp>08/04/2016</stp>
        <stp>[Bbg_Market_Data_CL.xlsm]data!R252C13</stp>
        <tr r="M252" s="1"/>
      </tp>
      <tp t="s">
        <v>#N/A Requesting Data...</v>
        <stp/>
        <stp>##V3_BDHV12</stp>
        <stp>CL2 Comdty</stp>
        <stp>RSI_14D</stp>
        <stp>08/04/2016</stp>
        <stp>08/04/2016</stp>
        <stp>[Bbg_Market_Data_CL.xlsm]data!R252C13</stp>
        <tr r="M252" s="1"/>
      </tp>
      <tp t="s">
        <v>#N/A Requesting Data...</v>
        <stp/>
        <stp>##V3_BDHV12</stp>
        <stp>CL2 Comdty</stp>
        <stp>RSI_30D</stp>
        <stp>29/06/2015</stp>
        <stp>29/06/2015</stp>
        <stp>[Bbg_Market_Data_CL.xlsm]data!R445C14</stp>
        <tr r="N445" s="1"/>
      </tp>
      <tp t="s">
        <v>#N/A Requesting Data...</v>
        <stp/>
        <stp>##V3_BDHV12</stp>
        <stp>CL1 Comdty</stp>
        <stp>RSI_30D</stp>
        <stp>29/06/2015</stp>
        <stp>29/06/2015</stp>
        <stp>[Bbg_Market_Data_CL.xlsm]data!R445C14</stp>
        <tr r="N445" s="1"/>
      </tp>
      <tp t="s">
        <v>#N/A Requesting Data...</v>
        <stp/>
        <stp>##V3_BDHV12</stp>
        <stp>CL2 Comdty</stp>
        <stp>RSI_14D</stp>
        <stp>18/05/2016</stp>
        <stp>18/05/2016</stp>
        <stp>[Bbg_Market_Data_CL.xlsm]data!R224C13</stp>
        <tr r="M224" s="1"/>
      </tp>
      <tp t="s">
        <v>#N/A Requesting Data...</v>
        <stp/>
        <stp>##V3_BDHV12</stp>
        <stp>CL1 Comdty</stp>
        <stp>RSI_14D</stp>
        <stp>18/05/2016</stp>
        <stp>18/05/2016</stp>
        <stp>[Bbg_Market_Data_CL.xlsm]data!R224C13</stp>
        <tr r="M224" s="1"/>
      </tp>
      <tp t="s">
        <v>#N/A Requesting Data...</v>
        <stp/>
        <stp>##V3_BDHV12</stp>
        <stp>CL1 Comdty</stp>
        <stp>RSI_30D</stp>
        <stp>19/05/2015</stp>
        <stp>19/05/2015</stp>
        <stp>[Bbg_Market_Data_CL.xlsm]data!R473C14</stp>
        <tr r="N473" s="1"/>
      </tp>
      <tp t="s">
        <v>#N/A Requesting Data...</v>
        <stp/>
        <stp>##V3_BDHV12</stp>
        <stp>CL2 Comdty</stp>
        <stp>RSI_30D</stp>
        <stp>19/05/2015</stp>
        <stp>19/05/2015</stp>
        <stp>[Bbg_Market_Data_CL.xlsm]data!R473C14</stp>
        <tr r="N473" s="1"/>
      </tp>
      <tp t="s">
        <v>#N/A Requesting Data...</v>
        <stp/>
        <stp>##V3_BDHV12</stp>
        <stp>CL2 Comdty</stp>
        <stp>RSI_30D</stp>
        <stp>18/07/2016</stp>
        <stp>18/07/2016</stp>
        <stp>[Bbg_Market_Data_CL.xlsm]data!R183C14</stp>
        <tr r="N183" s="1"/>
      </tp>
      <tp t="s">
        <v>#N/A Requesting Data...</v>
        <stp/>
        <stp>##V3_BDHV12</stp>
        <stp>CL1 Comdty</stp>
        <stp>RSI_30D</stp>
        <stp>18/07/2016</stp>
        <stp>18/07/2016</stp>
        <stp>[Bbg_Market_Data_CL.xlsm]data!R183C14</stp>
        <tr r="N183" s="1"/>
      </tp>
      <tp t="s">
        <v>#N/A Requesting Data...</v>
        <stp/>
        <stp>##V3_BDHV12</stp>
        <stp>CL2 Comdty</stp>
        <stp>RSI_14D</stp>
        <stp>28/05/2015</stp>
        <stp>28/05/2015</stp>
        <stp>[Bbg_Market_Data_CL.xlsm]data!R467C13</stp>
        <tr r="M467" s="1"/>
      </tp>
      <tp t="s">
        <v>#N/A Requesting Data...</v>
        <stp/>
        <stp>##V3_BDHV12</stp>
        <stp>CL1 Comdty</stp>
        <stp>RSI_14D</stp>
        <stp>28/05/2015</stp>
        <stp>28/05/2015</stp>
        <stp>[Bbg_Market_Data_CL.xlsm]data!R467C13</stp>
        <tr r="M467" s="1"/>
      </tp>
      <tp t="s">
        <v>#N/A Requesting Data...</v>
        <stp/>
        <stp>##V3_BDHV12</stp>
        <stp>CL2 Comdty</stp>
        <stp>RSI_14D</stp>
        <stp>18/06/2015</stp>
        <stp>18/06/2015</stp>
        <stp>[Bbg_Market_Data_CL.xlsm]data!R452C13</stp>
        <tr r="M452" s="1"/>
      </tp>
      <tp t="s">
        <v>#N/A Requesting Data...</v>
        <stp/>
        <stp>##V3_BDHV12</stp>
        <stp>CL1 Comdty</stp>
        <stp>RSI_14D</stp>
        <stp>18/06/2015</stp>
        <stp>18/06/2015</stp>
        <stp>[Bbg_Market_Data_CL.xlsm]data!R452C13</stp>
        <tr r="M452" s="1"/>
      </tp>
      <tp t="s">
        <v>#N/A Requesting Data...</v>
        <stp/>
        <stp>##V3_BDHV12</stp>
        <stp>CL1 Comdty</stp>
        <stp>RSI_14D</stp>
        <stp>08/07/2015</stp>
        <stp>08/07/2015</stp>
        <stp>[Bbg_Market_Data_CL.xlsm]data!R439C13</stp>
        <tr r="M439" s="1"/>
      </tp>
      <tp t="s">
        <v>#N/A Requesting Data...</v>
        <stp/>
        <stp>##V3_BDHV12</stp>
        <stp>CL2 Comdty</stp>
        <stp>RSI_14D</stp>
        <stp>08/07/2015</stp>
        <stp>08/07/2015</stp>
        <stp>[Bbg_Market_Data_CL.xlsm]data!R439C13</stp>
        <tr r="M439" s="1"/>
      </tp>
      <tp t="s">
        <v>#N/A Requesting Data...</v>
        <stp/>
        <stp>##V3_BDHV12</stp>
        <stp>CL2 Comdty</stp>
        <stp>RSI_14D</stp>
        <stp>29/04/2015</stp>
        <stp>29/04/2015</stp>
        <stp>[Bbg_Market_Data_CL.xlsm]data!R487C13</stp>
        <tr r="M487" s="1"/>
      </tp>
      <tp t="s">
        <v>#N/A Requesting Data...</v>
        <stp/>
        <stp>##V3_BDHV12</stp>
        <stp>CL1 Comdty</stp>
        <stp>RSI_14D</stp>
        <stp>29/04/2015</stp>
        <stp>29/04/2015</stp>
        <stp>[Bbg_Market_Data_CL.xlsm]data!R487C13</stp>
        <tr r="M487" s="1"/>
      </tp>
      <tp t="s">
        <v>#N/A Requesting Data...</v>
        <stp/>
        <stp>##V3_BDHV12</stp>
        <stp>CL1 Comdty</stp>
        <stp>RSI_30D</stp>
        <stp>08/06/2016</stp>
        <stp>08/06/2016</stp>
        <stp>[Bbg_Market_Data_CL.xlsm]data!R210C14</stp>
        <tr r="N210" s="1"/>
      </tp>
      <tp t="s">
        <v>#N/A Requesting Data...</v>
        <stp/>
        <stp>##V3_BDHV12</stp>
        <stp>CL2 Comdty</stp>
        <stp>RSI_30D</stp>
        <stp>08/06/2016</stp>
        <stp>08/06/2016</stp>
        <stp>[Bbg_Market_Data_CL.xlsm]data!R210C14</stp>
        <tr r="N210" s="1"/>
      </tp>
      <tp t="s">
        <v>#N/A Requesting Data...</v>
        <stp/>
        <stp>##V3_BDHV12</stp>
        <stp>CL1 Comdty</stp>
        <stp>RSI_14D</stp>
        <stp>09/06/2015</stp>
        <stp>09/06/2015</stp>
        <stp>[Bbg_Market_Data_CL.xlsm]data!R459C13</stp>
        <tr r="M459" s="1"/>
      </tp>
      <tp t="s">
        <v>#N/A Requesting Data...</v>
        <stp/>
        <stp>##V3_BDHV12</stp>
        <stp>CL2 Comdty</stp>
        <stp>RSI_14D</stp>
        <stp>09/06/2015</stp>
        <stp>09/06/2015</stp>
        <stp>[Bbg_Market_Data_CL.xlsm]data!R459C13</stp>
        <tr r="M459" s="1"/>
      </tp>
      <tp t="s">
        <v>#N/A Requesting Data...</v>
        <stp/>
        <stp>##V3_BDHV12</stp>
        <stp>CL1 Comdty</stp>
        <stp>RSI_30D</stp>
        <stp>28/04/2016</stp>
        <stp>28/04/2016</stp>
        <stp>[Bbg_Market_Data_CL.xlsm]data!R238C14</stp>
        <tr r="N238" s="1"/>
      </tp>
      <tp t="s">
        <v>#N/A Requesting Data...</v>
        <stp/>
        <stp>##V3_BDHV12</stp>
        <stp>CL2 Comdty</stp>
        <stp>RSI_30D</stp>
        <stp>28/04/2016</stp>
        <stp>28/04/2016</stp>
        <stp>[Bbg_Market_Data_CL.xlsm]data!R238C14</stp>
        <tr r="N238" s="1"/>
      </tp>
      <tp>
        <v>38.39</v>
        <stp/>
        <stp>##V3_BDHV12</stp>
        <stp>CL1 Comdty</stp>
        <stp>PX_HIGH</stp>
        <stp>08/03/2016</stp>
        <stp>08/03/2016</stp>
        <stp>[Bbg_Market_Data_CL.xlsm]data!R274C6</stp>
        <tr r="F274" s="1"/>
        <tr r="F274" s="1"/>
      </tp>
      <tp t="s">
        <v>#N/A Requesting Data...</v>
        <stp/>
        <stp>##V3_BDHV12</stp>
        <stp>CL1 Comdty</stp>
        <stp>PX_LAST</stp>
        <stp>27/06/2016</stp>
        <stp>27/06/2016</stp>
        <stp>[Bbg_Market_Data_CL.xlsm]data!R197C9</stp>
        <tr r="I197" s="1"/>
      </tp>
      <tp t="s">
        <v>#N/A Requesting Data...</v>
        <stp/>
        <stp>##V3_BDHV12</stp>
        <stp>CL2 Comdty</stp>
        <stp>PX_LAST</stp>
        <stp>13/01/2016</stp>
        <stp>13/01/2016</stp>
        <stp>[Bbg_Market_Data_CL.xlsm]data!R310C9</stp>
        <tr r="I310" s="1"/>
      </tp>
      <tp t="s">
        <v>#N/A Requesting Data...</v>
        <stp/>
        <stp>##V3_BDHV12</stp>
        <stp>CL1 Comdty</stp>
        <stp>PX_LAST</stp>
        <stp>10/11/2015</stp>
        <stp>10/11/2015</stp>
        <stp>[Bbg_Market_Data_CL.xlsm]data!R352C9</stp>
        <tr r="I352" s="1"/>
      </tp>
      <tp t="s">
        <v>#N/A Requesting Data...</v>
        <stp/>
        <stp>##V3_BDHV12</stp>
        <stp>CL1 Comdty</stp>
        <stp>PX_LAST</stp>
        <stp>11/03/2016</stp>
        <stp>11/03/2016</stp>
        <stp>[Bbg_Market_Data_CL.xlsm]data!R271C9</stp>
        <tr r="I271" s="1"/>
      </tp>
      <tp t="s">
        <v>#N/A Requesting Data...</v>
        <stp/>
        <stp>##V3_BDHV12</stp>
        <stp>CL2 Comdty</stp>
        <stp>PX_LAST</stp>
        <stp>19/08/2015</stp>
        <stp>19/08/2015</stp>
        <stp>[Bbg_Market_Data_CL.xlsm]data!R409C9</stp>
        <tr r="I409" s="1"/>
      </tp>
      <tp t="s">
        <v>#N/A Requesting Data...</v>
        <stp/>
        <stp>##V3_BDHV12</stp>
        <stp>CL2 Comdty</stp>
        <stp>PX_LAST</stp>
        <stp>18/09/2015</stp>
        <stp>18/09/2015</stp>
        <stp>[Bbg_Market_Data_CL.xlsm]data!R388C9</stp>
        <tr r="I388" s="1"/>
      </tp>
      <tp>
        <v>41.05</v>
        <stp/>
        <stp>##V3_BDHV12</stp>
        <stp>CL1 Comdty</stp>
        <stp>PX_HIGH</stp>
        <stp>19/11/2015</stp>
        <stp>19/11/2015</stp>
        <stp>[Bbg_Market_Data_CL.xlsm]data!R346C6</stp>
        <tr r="F346" s="1"/>
        <tr r="F346" s="1"/>
      </tp>
      <tp t="s">
        <v>#N/A Requesting Data...</v>
        <stp/>
        <stp>##V3_BDHV12</stp>
        <stp>CL2 Comdty</stp>
        <stp>PX_LAST</stp>
        <stp>06/04/2016</stp>
        <stp>06/04/2016</stp>
        <stp>[Bbg_Market_Data_CL.xlsm]data!R254C9</stp>
        <tr r="I254" s="1"/>
      </tp>
      <tp t="s">
        <v>#N/A Requesting Data...</v>
        <stp/>
        <stp>##V3_BDHV12</stp>
        <stp>CL1 Comdty</stp>
        <stp>PX_LAST</stp>
        <stp>14/07/2016</stp>
        <stp>14/07/2016</stp>
        <stp>[Bbg_Market_Data_CL.xlsm]data!R185C9</stp>
        <tr r="I185" s="1"/>
      </tp>
      <tp t="s">
        <v>#N/A Requesting Data...</v>
        <stp/>
        <stp>##V3_BDHV12</stp>
        <stp>CL1 Comdty</stp>
        <stp>PX_LAST</stp>
        <stp>27/07/2016</stp>
        <stp>27/07/2016</stp>
        <stp>[Bbg_Market_Data_CL.xlsm]data!R176C9</stp>
        <tr r="I176" s="1"/>
      </tp>
      <tp t="s">
        <v>#N/A Requesting Data...</v>
        <stp/>
        <stp>##V3_BDHV12</stp>
        <stp>CL1 Comdty</stp>
        <stp>PX_LAST</stp>
        <stp>31/10/2016</stp>
        <stp>31/10/2016</stp>
        <stp>[Bbg_Market_Data_CL.xlsm]data!R111C9</stp>
        <tr r="I111" s="1"/>
      </tp>
      <tp t="s">
        <v>#N/A Requesting Data...</v>
        <stp/>
        <stp>##V3_BDHV12</stp>
        <stp>CL1 Comdty</stp>
        <stp>PX_LAST</stp>
        <stp>16/06/2015</stp>
        <stp>16/06/2015</stp>
        <stp>[Bbg_Market_Data_CL.xlsm]data!R454C9</stp>
        <tr r="I454" s="1"/>
      </tp>
      <tp t="s">
        <v>#N/A Requesting Data...</v>
        <stp/>
        <stp>##V3_BDHV12</stp>
        <stp>CL1 Comdty</stp>
        <stp>PX_LAST</stp>
        <stp>13/10/2016</stp>
        <stp>13/10/2016</stp>
        <stp>[Bbg_Market_Data_CL.xlsm]data!R123C9</stp>
        <tr r="I123" s="1"/>
      </tp>
      <tp t="s">
        <v>#N/A Requesting Data...</v>
        <stp/>
        <stp>##V3_BDHV12</stp>
        <stp>CL2 Comdty</stp>
        <stp>PX_LAST</stp>
        <stp>10/03/2016</stp>
        <stp>10/03/2016</stp>
        <stp>[Bbg_Market_Data_CL.xlsm]data!R272C9</stp>
        <tr r="I272" s="1"/>
      </tp>
      <tp t="s">
        <v>#N/A Requesting Data...</v>
        <stp/>
        <stp>##V3_BDHV12</stp>
        <stp>CL1 Comdty</stp>
        <stp>PX_LAST</stp>
        <stp>25/06/2015</stp>
        <stp>25/06/2015</stp>
        <stp>[Bbg_Market_Data_CL.xlsm]data!R447C9</stp>
        <tr r="I447" s="1"/>
      </tp>
      <tp t="s">
        <v>#N/A Requesting Data...</v>
        <stp/>
        <stp>##V3_BDHV12</stp>
        <stp>CL1 Comdty</stp>
        <stp>PX_LAST</stp>
        <stp>11/02/2016</stp>
        <stp>11/02/2016</stp>
        <stp>[Bbg_Market_Data_CL.xlsm]data!R290C9</stp>
        <tr r="I290" s="1"/>
      </tp>
      <tp>
        <v>30.21</v>
        <stp/>
        <stp>##V3_BDHV12</stp>
        <stp>CL1 Comdty</stp>
        <stp>PX_HIGH</stp>
        <stp>19/01/2016</stp>
        <stp>19/01/2016</stp>
        <stp>[Bbg_Market_Data_CL.xlsm]data!R307C6</stp>
        <tr r="F307" s="1"/>
        <tr r="F307" s="1"/>
      </tp>
      <tp>
        <v>38.58</v>
        <stp/>
        <stp>##V3_BDHV12</stp>
        <stp>CL1 Comdty</stp>
        <stp>PX_HIGH</stp>
        <stp>08/12/2015</stp>
        <stp>08/12/2015</stp>
        <stp>[Bbg_Market_Data_CL.xlsm]data!R334C6</stp>
        <tr r="F334" s="1"/>
        <tr r="F334" s="1"/>
      </tp>
      <tp t="s">
        <v>#N/A Requesting Data...</v>
        <stp/>
        <stp>##V3_BDHV12</stp>
        <stp>CL1 Comdty</stp>
        <stp>PX_LAST</stp>
        <stp>16/06/2016</stp>
        <stp>16/06/2016</stp>
        <stp>[Bbg_Market_Data_CL.xlsm]data!R204C9</stp>
        <tr r="I204" s="1"/>
      </tp>
      <tp t="s">
        <v>#N/A Requesting Data...</v>
        <stp/>
        <stp>##V3_BDHV12</stp>
        <stp>CL2 Comdty</stp>
        <stp>PX_LAST</stp>
        <stp>17/04/2015</stp>
        <stp>17/04/2015</stp>
        <stp>[Bbg_Market_Data_CL.xlsm]data!R495C9</stp>
        <tr r="I495" s="1"/>
      </tp>
      <tp t="s">
        <v>#N/A Requesting Data...</v>
        <stp/>
        <stp>##V3_BDHV12</stp>
        <stp>CL1 Comdty</stp>
        <stp>PX_LAST</stp>
        <stp>27/07/2015</stp>
        <stp>27/07/2015</stp>
        <stp>[Bbg_Market_Data_CL.xlsm]data!R426C9</stp>
        <tr r="I426" s="1"/>
      </tp>
      <tp t="s">
        <v>#N/A Requesting Data...</v>
        <stp/>
        <stp>##V3_BDHV12</stp>
        <stp>CL1 Comdty</stp>
        <stp>PX_LAST</stp>
        <stp>30/11/2015</stp>
        <stp>30/11/2015</stp>
        <stp>[Bbg_Market_Data_CL.xlsm]data!R340C9</stp>
        <tr r="I340" s="1"/>
      </tp>
      <tp t="s">
        <v>#N/A Requesting Data...</v>
        <stp/>
        <stp>##V3_BDHV12</stp>
        <stp>CL1 Comdty</stp>
        <stp>PX_LAST</stp>
        <stp>11/12/2015</stp>
        <stp>11/12/2015</stp>
        <stp>[Bbg_Market_Data_CL.xlsm]data!R331C9</stp>
        <tr r="I331" s="1"/>
      </tp>
      <tp t="s">
        <v>#N/A Requesting Data...</v>
        <stp/>
        <stp>##V3_BDHV12</stp>
        <stp>CL2 Comdty</stp>
        <stp>PX_LAST</stp>
        <stp>12/11/2015</stp>
        <stp>12/11/2015</stp>
        <stp>[Bbg_Market_Data_CL.xlsm]data!R351C9</stp>
        <tr r="I351" s="1"/>
      </tp>
      <tp t="s">
        <v>#N/A Requesting Data...</v>
        <stp/>
        <stp>##V3_BDHV12</stp>
        <stp>CL1 Comdty</stp>
        <stp>PX_LAST</stp>
        <stp>14/07/2015</stp>
        <stp>14/07/2015</stp>
        <stp>[Bbg_Market_Data_CL.xlsm]data!R435C9</stp>
        <tr r="I435" s="1"/>
      </tp>
      <tp t="s">
        <v>#N/A Requesting Data...</v>
        <stp/>
        <stp>##V3_BDHV12</stp>
        <stp>CL2 Comdty</stp>
        <stp>PX_LAST</stp>
        <stp>09/08/2016</stp>
        <stp>09/08/2016</stp>
        <stp>[Bbg_Market_Data_CL.xlsm]data!R168C9</stp>
        <tr r="I168" s="1"/>
      </tp>
      <tp t="s">
        <v>#N/A Requesting Data...</v>
        <stp/>
        <stp>##V3_BDHV12</stp>
        <stp>CL2 Comdty</stp>
        <stp>PX_LAST</stp>
        <stp>27/05/2016</stp>
        <stp>27/05/2016</stp>
        <stp>[Bbg_Market_Data_CL.xlsm]data!R217C9</stp>
        <tr r="I217" s="1"/>
      </tp>
      <tp t="s">
        <v>#N/A Requesting Data...</v>
        <stp/>
        <stp>##V3_BDHV12</stp>
        <stp>CL2 Comdty</stp>
        <stp>PX_LAST</stp>
        <stp>10/12/2015</stp>
        <stp>10/12/2015</stp>
        <stp>[Bbg_Market_Data_CL.xlsm]data!R332C9</stp>
        <tr r="I332" s="1"/>
      </tp>
      <tp t="s">
        <v>#N/A Requesting Data...</v>
        <stp/>
        <stp>##V3_BDHV12</stp>
        <stp>CL2 Comdty</stp>
        <stp>PX_LAST</stp>
        <stp>01/11/2016</stp>
        <stp>01/11/2016</stp>
        <stp>[Bbg_Market_Data_CL.xlsm]data!R110C9</stp>
        <tr r="I110" s="1"/>
      </tp>
      <tp t="s">
        <v>#N/A Requesting Data...</v>
        <stp/>
        <stp>##V3_BDHV12</stp>
        <stp>CL1 Comdty</stp>
        <stp>PX_LAST</stp>
        <stp>16/04/2015</stp>
        <stp>16/04/2015</stp>
        <stp>[Bbg_Market_Data_CL.xlsm]data!R496C9</stp>
        <tr r="I496" s="1"/>
      </tp>
      <tp t="s">
        <v>#N/A Requesting Data...</v>
        <stp/>
        <stp>##V3_BDHV12</stp>
        <stp>CL1 Comdty</stp>
        <stp>PX_LAST</stp>
        <stp>24/12/2015</stp>
        <stp>24/12/2015</stp>
        <stp>[Bbg_Market_Data_CL.xlsm]data!R322C9</stp>
        <tr r="I322" s="1"/>
      </tp>
      <tp t="s">
        <v>#N/A Requesting Data...</v>
        <stp/>
        <stp>##V3_BDHV12</stp>
        <stp>CL2 Comdty</stp>
        <stp>PX_LAST</stp>
        <stp>15/10/2015</stp>
        <stp>15/10/2015</stp>
        <stp>[Bbg_Market_Data_CL.xlsm]data!R370C9</stp>
        <tr r="I370" s="1"/>
      </tp>
      <tp t="s">
        <v>#N/A Requesting Data...</v>
        <stp/>
        <stp>##V3_BDHV12</stp>
        <stp>CL2 Comdty</stp>
        <stp>PX_LAST</stp>
        <stp>01/05/2015</stp>
        <stp>01/05/2015</stp>
        <stp>[Bbg_Market_Data_CL.xlsm]data!R485C9</stp>
        <tr r="I485" s="1"/>
      </tp>
      <tp t="s">
        <v>#N/A Requesting Data...</v>
        <stp/>
        <stp>##V3_BDHV12</stp>
        <stp>CL2 Comdty</stp>
        <stp>PX_LAST</stp>
        <stp>26/10/2015</stp>
        <stp>26/10/2015</stp>
        <stp>[Bbg_Market_Data_CL.xlsm]data!R363C9</stp>
        <tr r="I363" s="1"/>
      </tp>
      <tp t="s">
        <v>#N/A Requesting Data...</v>
        <stp/>
        <stp>##V3_BDHV12</stp>
        <stp>CL1 Comdty</stp>
        <stp>PX_LAST</stp>
        <stp>27/11/2015</stp>
        <stp>27/11/2015</stp>
        <stp>[Bbg_Market_Data_CL.xlsm]data!R341C9</stp>
        <tr r="I341" s="1"/>
      </tp>
      <tp t="s">
        <v>#N/A Requesting Data...</v>
        <stp/>
        <stp>##V3_BDHV12</stp>
        <stp>CL1 Comdty</stp>
        <stp>PX_LAST</stp>
        <stp>02/05/2016</stp>
        <stp>02/05/2016</stp>
        <stp>[Bbg_Market_Data_CL.xlsm]data!R236C9</stp>
        <tr r="I236" s="1"/>
      </tp>
      <tp t="s">
        <v>#N/A Requesting Data...</v>
        <stp/>
        <stp>##V3_BDHV12</stp>
        <stp>CL1 Comdty</stp>
        <stp>PX_LAST</stp>
        <stp>13/05/2016</stp>
        <stp>13/05/2016</stp>
        <stp>[Bbg_Market_Data_CL.xlsm]data!R227C9</stp>
        <tr r="I227" s="1"/>
      </tp>
      <tp t="s">
        <v>#N/A Requesting Data...</v>
        <stp/>
        <stp>##V3_BDHV12</stp>
        <stp>CL1 Comdty</stp>
        <stp>PX_LAST</stp>
        <stp>01/06/2016</stp>
        <stp>01/06/2016</stp>
        <stp>[Bbg_Market_Data_CL.xlsm]data!R215C9</stp>
        <tr r="I215" s="1"/>
      </tp>
      <tp t="s">
        <v>#N/A Requesting Data...</v>
        <stp/>
        <stp>##V3_BDHV12</stp>
        <stp>CL2 Comdty</stp>
        <stp>PX_LAST</stp>
        <stp>31/05/2016</stp>
        <stp>31/05/2016</stp>
        <stp>[Bbg_Market_Data_CL.xlsm]data!R216C9</stp>
        <tr r="I216" s="1"/>
      </tp>
      <tp>
        <v>59.63</v>
        <stp/>
        <stp>##V3_BDHV12</stp>
        <stp>CL1 Comdty</stp>
        <stp>PX_HIGH</stp>
        <stp>19/05/2015</stp>
        <stp>19/05/2015</stp>
        <stp>[Bbg_Market_Data_CL.xlsm]data!R473C6</stp>
        <tr r="F473" s="1"/>
        <tr r="F473" s="1"/>
      </tp>
      <tp t="s">
        <v>#N/A Requesting Data...</v>
        <stp/>
        <stp>##V3_BDHV12</stp>
        <stp>CL2 Comdty</stp>
        <stp>PX_LAST</stp>
        <stp>13/07/2015</stp>
        <stp>13/07/2015</stp>
        <stp>[Bbg_Market_Data_CL.xlsm]data!R436C9</stp>
        <tr r="I436" s="1"/>
      </tp>
      <tp t="s">
        <v>#N/A Requesting Data...</v>
        <stp/>
        <stp>##V3_BDHV12</stp>
        <stp>CL2 Comdty</stp>
        <stp>PX_LAST</stp>
        <stp>25/01/2016</stp>
        <stp>25/01/2016</stp>
        <stp>[Bbg_Market_Data_CL.xlsm]data!R303C9</stp>
        <tr r="I303" s="1"/>
      </tp>
      <tp t="s">
        <v>#N/A Requesting Data...</v>
        <stp/>
        <stp>##V3_BDHV12</stp>
        <stp>CL2 Comdty</stp>
        <stp>PX_LAST</stp>
        <stp>03/05/2016</stp>
        <stp>03/05/2016</stp>
        <stp>[Bbg_Market_Data_CL.xlsm]data!R235C9</stp>
        <tr r="I235" s="1"/>
      </tp>
      <tp>
        <v>48.28</v>
        <stp/>
        <stp>##V3_BDHV12</stp>
        <stp>CL1 Comdty</stp>
        <stp>PX_HIGH</stp>
        <stp>19/05/2016</stp>
        <stp>19/05/2016</stp>
        <stp>[Bbg_Market_Data_CL.xlsm]data!R223C6</stp>
        <tr r="F223" s="1"/>
        <tr r="F223" s="1"/>
      </tp>
      <tp t="s">
        <v>#N/A Requesting Data...</v>
        <stp/>
        <stp>##V3_BDHV12</stp>
        <stp>CL2 Comdty</stp>
        <stp>PX_LAST</stp>
        <stp>15/11/2016</stp>
        <stp>15/11/2016</stp>
        <stp>[Bbg_Market_Data_CL.xlsm]data!R101C9</stp>
        <tr r="I101" s="1"/>
      </tp>
      <tp t="s">
        <v>#N/A Requesting Data...</v>
        <stp/>
        <stp>##V3_BDHV12</stp>
        <stp>CL2 Comdty</stp>
        <stp>PX_LAST</stp>
        <stp>25/11/2015</stp>
        <stp>25/11/2015</stp>
        <stp>[Bbg_Market_Data_CL.xlsm]data!R342C9</stp>
        <tr r="I342" s="1"/>
      </tp>
      <tp t="s">
        <v>#N/A Requesting Data...</v>
        <stp/>
        <stp>##V3_BDHV12</stp>
        <stp>CL2 Comdty</stp>
        <stp>PX_LAST</stp>
        <stp>27/10/2016</stp>
        <stp>27/10/2016</stp>
        <stp>[Bbg_Market_Data_CL.xlsm]data!R113C9</stp>
        <tr r="I113" s="1"/>
      </tp>
      <tp t="s">
        <v>#N/A Requesting Data...</v>
        <stp/>
        <stp>##V3_BDHV12</stp>
        <stp>CL1 Comdty</stp>
        <stp>PX_LAST</stp>
        <stp>24/03/2016</stp>
        <stp>24/03/2016</stp>
        <stp>[Bbg_Market_Data_CL.xlsm]data!R262C9</stp>
        <tr r="I262" s="1"/>
      </tp>
      <tp t="s">
        <v>#N/A Requesting Data...</v>
        <stp/>
        <stp>##V3_BDHV12</stp>
        <stp>CL2 Comdty</stp>
        <stp>PX_LAST</stp>
        <stp>11/06/2015</stp>
        <stp>11/06/2015</stp>
        <stp>[Bbg_Market_Data_CL.xlsm]data!R457C9</stp>
        <tr r="I457" s="1"/>
      </tp>
      <tp t="s">
        <v>#N/A Requesting Data...</v>
        <stp/>
        <stp>##V3_BDHV12</stp>
        <stp>CL2 Comdty</stp>
        <stp>PX_LAST</stp>
        <stp>13/07/2016</stp>
        <stp>13/07/2016</stp>
        <stp>[Bbg_Market_Data_CL.xlsm]data!R186C9</stp>
        <tr r="I186" s="1"/>
      </tp>
      <tp t="s">
        <v>#N/A Requesting Data...</v>
        <stp/>
        <stp>##V3_BDHV12</stp>
        <stp>CL1 Comdty</stp>
        <stp>PX_LAST</stp>
        <stp>01/04/2016</stp>
        <stp>01/04/2016</stp>
        <stp>[Bbg_Market_Data_CL.xlsm]data!R257C9</stp>
        <tr r="I257" s="1"/>
      </tp>
      <tp t="s">
        <v>#N/A Requesting Data...</v>
        <stp/>
        <stp>##V3_BDHV12</stp>
        <stp>CL1 Comdty</stp>
        <stp>PX_LAST</stp>
        <stp>13/05/2015</stp>
        <stp>13/05/2015</stp>
        <stp>[Bbg_Market_Data_CL.xlsm]data!R477C9</stp>
        <tr r="I477" s="1"/>
      </tp>
      <tp t="s">
        <v>#N/A Requesting Data...</v>
        <stp/>
        <stp>##V3_BDHV12</stp>
        <stp>CL1 Comdty</stp>
        <stp>PX_LAST</stp>
        <stp>14/11/2016</stp>
        <stp>14/11/2016</stp>
        <stp>[Bbg_Market_Data_CL.xlsm]data!R102C9</stp>
        <tr r="I102" s="1"/>
      </tp>
      <tp t="s">
        <v>#N/A Requesting Data...</v>
        <stp/>
        <stp>##V3_BDHV12</stp>
        <stp>CL1 Comdty</stp>
        <stp>PX_LAST</stp>
        <stp>24/02/2016</stp>
        <stp>24/02/2016</stp>
        <stp>[Bbg_Market_Data_CL.xlsm]data!R283C9</stp>
        <tr r="I283" s="1"/>
      </tp>
      <tp t="s">
        <v>#N/A Requesting Data...</v>
        <stp/>
        <stp>##V3_BDHV12</stp>
        <stp>CL1 Comdty</stp>
        <stp>PX_LAST</stp>
        <stp>01/06/2015</stp>
        <stp>01/06/2015</stp>
        <stp>[Bbg_Market_Data_CL.xlsm]data!R465C9</stp>
        <tr r="I465" s="1"/>
      </tp>
      <tp t="s">
        <v>#N/A Requesting Data...</v>
        <stp/>
        <stp>##V3_BDHV12</stp>
        <stp>CL2 Comdty</stp>
        <stp>PX_LAST</stp>
        <stp>13/06/2016</stp>
        <stp>13/06/2016</stp>
        <stp>[Bbg_Market_Data_CL.xlsm]data!R207C9</stp>
        <tr r="I207" s="1"/>
      </tp>
      <tp>
        <v>44.04</v>
        <stp/>
        <stp>##V3_BDHV12</stp>
        <stp>CL1 Comdty</stp>
        <stp>PX_HIGH</stp>
        <stp>25/04/2016</stp>
        <stp>25/04/2016</stp>
        <stp>[Bbg_Market_Data_CL.xlsm]data!R241C6</stp>
        <tr r="F241" s="1"/>
        <tr r="F241" s="1"/>
      </tp>
      <tp>
        <v>49.27</v>
        <stp/>
        <stp>##V3_BDHV12</stp>
        <stp>CL1 Comdty</stp>
        <stp>PX_HIGH</stp>
        <stp>24/05/2016</stp>
        <stp>24/05/2016</stp>
        <stp>[Bbg_Market_Data_CL.xlsm]data!R220C6</stp>
        <tr r="F220" s="1"/>
        <tr r="F220" s="1"/>
      </tp>
      <tp>
        <v>38.299999999999997</v>
        <stp/>
        <stp>##V3_BDHV12</stp>
        <stp>CL1 Comdty</stp>
        <stp>PX_HIGH</stp>
        <stp>07/04/2016</stp>
        <stp>07/04/2016</stp>
        <stp>[Bbg_Market_Data_CL.xlsm]data!R253C6</stp>
        <tr r="F253" s="1"/>
        <tr r="F253" s="1"/>
      </tp>
      <tp>
        <v>45.34</v>
        <stp/>
        <stp>##V3_BDHV12</stp>
        <stp>CL1 Comdty</stp>
        <stp>PX_HIGH</stp>
        <stp>06/05/2016</stp>
        <stp>06/05/2016</stp>
        <stp>[Bbg_Market_Data_CL.xlsm]data!R232C6</stp>
        <tr r="F232" s="1"/>
        <tr r="F232" s="1"/>
      </tp>
      <tp>
        <v>53.43</v>
        <stp/>
        <stp>##V3_BDHV12</stp>
        <stp>CL1 Comdty</stp>
        <stp>PX_HIGH</stp>
        <stp>07/07/2015</stp>
        <stp>07/07/2015</stp>
        <stp>[Bbg_Market_Data_CL.xlsm]data!R440C6</stp>
        <tr r="F440" s="1"/>
        <tr r="F440" s="1"/>
      </tp>
      <tp t="s">
        <v>#N/A Requesting Data...</v>
        <stp/>
        <stp>##V3_BDHV12</stp>
        <stp>CL2 Comdty</stp>
        <stp>PX_LAST</stp>
        <stp>28/12/2015</stp>
        <stp>28/12/2015</stp>
        <stp>[Bbg_Market_Data_CL.xlsm]data!R321C9</stp>
        <tr r="I321" s="1"/>
      </tp>
      <tp t="s">
        <v>#N/A Requesting Data...</v>
        <stp/>
        <stp>##V3_BDHV12</stp>
        <stp>CL1 Comdty</stp>
        <stp>PX_LAST</stp>
        <stp>09/11/2015</stp>
        <stp>09/11/2015</stp>
        <stp>[Bbg_Market_Data_CL.xlsm]data!R353C9</stp>
        <tr r="I353" s="1"/>
      </tp>
      <tp t="s">
        <v>#N/A Requesting Data...</v>
        <stp/>
        <stp>##V3_BDHV12</stp>
        <stp>CL2 Comdty</stp>
        <stp>PX_LAST</stp>
        <stp>09/02/2016</stp>
        <stp>09/02/2016</stp>
        <stp>[Bbg_Market_Data_CL.xlsm]data!R292C9</stp>
        <tr r="I292" s="1"/>
      </tp>
      <tp t="s">
        <v>#N/A Requesting Data...</v>
        <stp/>
        <stp>##V3_BDHV12</stp>
        <stp>CL1 Comdty</stp>
        <stp>PX_LAST</stp>
        <stp>28/01/2016</stp>
        <stp>28/01/2016</stp>
        <stp>[Bbg_Market_Data_CL.xlsm]data!R300C9</stp>
        <tr r="I300" s="1"/>
      </tp>
      <tp>
        <v>45.75</v>
        <stp/>
        <stp>##V3_BDHV12</stp>
        <stp>CL1 Comdty</stp>
        <stp>PX_HIGH</stp>
        <stp>23/10/2015</stp>
        <stp>23/10/2015</stp>
        <stp>[Bbg_Market_Data_CL.xlsm]data!R364C6</stp>
        <tr r="F364" s="1"/>
        <tr r="F364" s="1"/>
      </tp>
      <tp t="s">
        <v>#N/A Requesting Data...</v>
        <stp/>
        <stp>##V3_BDHV12</stp>
        <stp>CL1 Comdty</stp>
        <stp>PX_LAST</stp>
        <stp>21/09/2016</stp>
        <stp>21/09/2016</stp>
        <stp>[Bbg_Market_Data_CL.xlsm]data!R138C9</stp>
        <tr r="I138" s="1"/>
      </tp>
      <tp t="s">
        <v>#N/A Requesting Data...</v>
        <stp/>
        <stp>##V3_BDHV12</stp>
        <stp>CL2 Comdty</stp>
        <stp>PX_LAST</stp>
        <stp>09/03/2016</stp>
        <stp>09/03/2016</stp>
        <stp>[Bbg_Market_Data_CL.xlsm]data!R273C9</stp>
        <tr r="I273" s="1"/>
      </tp>
      <tp>
        <v>50.53</v>
        <stp/>
        <stp>##V3_BDHV12</stp>
        <stp>CL1 Comdty</stp>
        <stp>PX_HIGH</stp>
        <stp>07/06/2016</stp>
        <stp>07/06/2016</stp>
        <stp>[Bbg_Market_Data_CL.xlsm]data!R211C6</stp>
        <tr r="F211" s="1"/>
        <tr r="F211" s="1"/>
      </tp>
      <tp>
        <v>48.36</v>
        <stp/>
        <stp>##V3_BDHV12</stp>
        <stp>CL1 Comdty</stp>
        <stp>PX_HIGH</stp>
        <stp>03/11/2015</stp>
        <stp>03/11/2015</stp>
        <stp>[Bbg_Market_Data_CL.xlsm]data!R357C6</stp>
        <tr r="F357" s="1"/>
        <tr r="F357" s="1"/>
      </tp>
      <tp>
        <v>32.35</v>
        <stp/>
        <stp>##V3_BDHV12</stp>
        <stp>CL1 Comdty</stp>
        <stp>PX_HIGH</stp>
        <stp>22/01/2016</stp>
        <stp>22/01/2016</stp>
        <stp>[Bbg_Market_Data_CL.xlsm]data!R304C6</stp>
        <tr r="F304" s="1"/>
        <tr r="F304" s="1"/>
      </tp>
      <tp t="s">
        <v>#N/A Requesting Data...</v>
        <stp/>
        <stp>##V3_BDHV12</stp>
        <stp>CL2 Comdty</stp>
        <stp>PX_LAST</stp>
        <stp>18/10/2016</stp>
        <stp>18/10/2016</stp>
        <stp>[Bbg_Market_Data_CL.xlsm]data!R120C9</stp>
        <tr r="I120" s="1"/>
      </tp>
      <tp t="s">
        <v>#N/A Requesting Data...</v>
        <stp/>
        <stp>##V3_BDHV12</stp>
        <stp>CL2 Comdty</stp>
        <stp>PX_LAST</stp>
        <stp>28/03/2016</stp>
        <stp>28/03/2016</stp>
        <stp>[Bbg_Market_Data_CL.xlsm]data!R261C9</stp>
        <tr r="I261" s="1"/>
      </tp>
      <tp t="s">
        <v>#N/A Requesting Data...</v>
        <stp/>
        <stp>##V3_BDHV12</stp>
        <stp>CL2 Comdty</stp>
        <stp>PX_LAST</stp>
        <stp>29/02/2016</stp>
        <stp>29/02/2016</stp>
        <stp>[Bbg_Market_Data_CL.xlsm]data!R280C9</stp>
        <tr r="I280" s="1"/>
      </tp>
      <tp>
        <v>48.25</v>
        <stp/>
        <stp>##V3_BDHV12</stp>
        <stp>CL1 Comdty</stp>
        <stp>PX_HIGH</stp>
        <stp>07/07/2016</stp>
        <stp>07/07/2016</stp>
        <stp>[Bbg_Market_Data_CL.xlsm]data!R190C6</stp>
        <tr r="F190" s="1"/>
        <tr r="F190" s="1"/>
      </tp>
      <tp>
        <v>59.23</v>
        <stp/>
        <stp>##V3_BDHV12</stp>
        <stp>CL1 Comdty</stp>
        <stp>PX_HIGH</stp>
        <stp>05/06/2015</stp>
        <stp>05/06/2015</stp>
        <stp>[Bbg_Market_Data_CL.xlsm]data!R461C6</stp>
        <tr r="F461" s="1"/>
        <tr r="F461" s="1"/>
      </tp>
      <tp>
        <v>62.58</v>
        <stp/>
        <stp>##V3_BDHV12</stp>
        <stp>CL1 Comdty</stp>
        <stp>PX_HIGH</stp>
        <stp>06/05/2015</stp>
        <stp>06/05/2015</stp>
        <stp>[Bbg_Market_Data_CL.xlsm]data!R482C6</stp>
        <tr r="F482" s="1"/>
        <tr r="F482" s="1"/>
      </tp>
      <tp>
        <v>40.99</v>
        <stp/>
        <stp>##V3_BDHV12</stp>
        <stp>CL1 Comdty</stp>
        <stp>PX_HIGH</stp>
        <stp>20/11/2015</stp>
        <stp>20/11/2015</stp>
        <stp>[Bbg_Market_Data_CL.xlsm]data!R345C6</stp>
        <tr r="F345" s="1"/>
        <tr r="F345" s="1"/>
      </tp>
      <tp t="s">
        <v>#N/A Requesting Data...</v>
        <stp/>
        <stp>##V3_BDHV12</stp>
        <stp>CL2 Comdty</stp>
        <stp>PX_LAST</stp>
        <stp>02/09/2015</stp>
        <stp>02/09/2015</stp>
        <stp>[Bbg_Market_Data_CL.xlsm]data!R399C9</stp>
        <tr r="I399" s="1"/>
      </tp>
      <tp t="s">
        <v>#N/A Requesting Data...</v>
        <stp/>
        <stp>##V3_BDHV12</stp>
        <stp>CL1 Comdty</stp>
        <stp>PX_LAST</stp>
        <stp>22/08/2016</stp>
        <stp>22/08/2016</stp>
        <stp>[Bbg_Market_Data_CL.xlsm]data!R159C9</stp>
        <tr r="I159" s="1"/>
      </tp>
      <tp t="s">
        <v>#N/A Requesting Data...</v>
        <stp/>
        <stp>##V3_BDHV12</stp>
        <stp>CL2 Comdty</stp>
        <stp>PX_LAST</stp>
        <stp>09/12/2015</stp>
        <stp>09/12/2015</stp>
        <stp>[Bbg_Market_Data_CL.xlsm]data!R333C9</stp>
        <tr r="I333" s="1"/>
      </tp>
      <tp t="s">
        <v>#N/A Requesting Data...</v>
        <stp/>
        <stp>##V3_BDHV12</stp>
        <stp>CL1 Comdty</stp>
        <stp>PX_LAST</stp>
        <stp>29/10/2015</stp>
        <stp>29/10/2015</stp>
        <stp>[Bbg_Market_Data_CL.xlsm]data!R360C9</stp>
        <tr r="I360" s="1"/>
      </tp>
      <tp>
        <v>49.36</v>
        <stp/>
        <stp>##V3_BDHV12</stp>
        <stp>CL1 Comdty</stp>
        <stp>PX_HIGH</stp>
        <stp>30/07/2015</stp>
        <stp>30/07/2015</stp>
        <stp>[Bbg_Market_Data_CL.xlsm]data!R423C6</stp>
        <tr r="F423" s="1"/>
        <tr r="F423" s="1"/>
      </tp>
      <tp>
        <v>50.74</v>
        <stp/>
        <stp>##V3_BDHV12</stp>
        <stp>CL1 Comdty</stp>
        <stp>PX_HIGH</stp>
        <stp>07/10/2016</stp>
        <stp>07/10/2016</stp>
        <stp>[Bbg_Market_Data_CL.xlsm]data!R126C6</stp>
        <tr r="F126" s="1"/>
        <tr r="F126" s="1"/>
      </tp>
      <tp t="s">
        <v>#N/A Requesting Data...</v>
        <stp/>
        <stp>##V3_BDHV12</stp>
        <stp>CL2 Comdty</stp>
        <stp>PX_LAST</stp>
        <stp>06/09/2016</stp>
        <stp>06/09/2016</stp>
        <stp>[Bbg_Market_Data_CL.xlsm]data!R149C9</stp>
        <tr r="I149" s="1"/>
      </tp>
      <tp t="s">
        <v>#N/A Requesting Data...</v>
        <stp/>
        <stp>##V3_BDHV12</stp>
        <stp>CL2 Comdty</stp>
        <stp>PX_LAST</stp>
        <stp>18/05/2015</stp>
        <stp>18/05/2015</stp>
        <stp>[Bbg_Market_Data_CL.xlsm]data!R474C9</stp>
        <tr r="I474" s="1"/>
      </tp>
      <tp>
        <v>33.6</v>
        <stp/>
        <stp>##V3_BDHV12</stp>
        <stp>CL1 Comdty</stp>
        <stp>PX_HIGH</stp>
        <stp>04/02/2016</stp>
        <stp>04/02/2016</stp>
        <stp>[Bbg_Market_Data_CL.xlsm]data!R295C6</stp>
        <tr r="F295" s="1"/>
        <tr r="F295" s="1"/>
      </tp>
      <tp>
        <v>60.8</v>
        <stp/>
        <stp>##V3_BDHV12</stp>
        <stp>CL1 Comdty</stp>
        <stp>PX_HIGH</stp>
        <stp>22/05/2015</stp>
        <stp>22/05/2015</stp>
        <stp>[Bbg_Market_Data_CL.xlsm]data!R470C6</stp>
        <tr r="F470" s="1"/>
        <tr r="F470" s="1"/>
      </tp>
      <tp>
        <v>58.41</v>
        <stp/>
        <stp>##V3_BDHV12</stp>
        <stp>CL1 Comdty</stp>
        <stp>PX_HIGH</stp>
        <stp>23/04/2015</stp>
        <stp>23/04/2015</stp>
        <stp>[Bbg_Market_Data_CL.xlsm]data!R491C6</stp>
        <tr r="F491" s="1"/>
        <tr r="F491" s="1"/>
      </tp>
      <tp t="s">
        <v>#N/A Requesting Data...</v>
        <stp/>
        <stp>##V3_BDHV12</stp>
        <stp>CL2 Comdty</stp>
        <stp>PX_LAST</stp>
        <stp>28/07/2015</stp>
        <stp>28/07/2015</stp>
        <stp>[Bbg_Market_Data_CL.xlsm]data!R425C9</stp>
        <tr r="I425" s="1"/>
      </tp>
      <tp>
        <v>49.08</v>
        <stp/>
        <stp>##V3_BDHV12</stp>
        <stp>CL1 Comdty</stp>
        <stp>PX_HIGH</stp>
        <stp>06/10/2015</stp>
        <stp>06/10/2015</stp>
        <stp>[Bbg_Market_Data_CL.xlsm]data!R376C6</stp>
        <tr r="F376" s="1"/>
        <tr r="F376" s="1"/>
      </tp>
      <tp>
        <v>44.87</v>
        <stp/>
        <stp>##V3_BDHV12</stp>
        <stp>CL1 Comdty</stp>
        <stp>PX_HIGH</stp>
        <stp>04/11/2016</stp>
        <stp>04/11/2016</stp>
        <stp>[Bbg_Market_Data_CL.xlsm]data!R107C6</stp>
        <tr r="F107" s="1"/>
        <tr r="F107" s="1"/>
      </tp>
      <tp t="s">
        <v>#N/A Requesting Data...</v>
        <stp/>
        <stp>##V3_BDHV12</stp>
        <stp>CL2 Comdty</stp>
        <stp>PX_LAST</stp>
        <stp>06/08/2015</stp>
        <stp>06/08/2015</stp>
        <stp>[Bbg_Market_Data_CL.xlsm]data!R418C9</stp>
        <tr r="I418" s="1"/>
      </tp>
      <tp t="s">
        <v>#N/A Requesting Data...</v>
        <stp/>
        <stp>##V3_BDHV12</stp>
        <stp>CL2 Comdty</stp>
        <stp>PX_LAST</stp>
        <stp>28/07/2016</stp>
        <stp>28/07/2016</stp>
        <stp>[Bbg_Market_Data_CL.xlsm]data!R175C9</stp>
        <tr r="I175" s="1"/>
      </tp>
      <tp t="s">
        <v>#N/A Requesting Data...</v>
        <stp/>
        <stp>##V3_BDHV12</stp>
        <stp>CL1 Comdty</stp>
        <stp>PX_LAST</stp>
        <stp>18/04/2016</stp>
        <stp>18/04/2016</stp>
        <stp>[Bbg_Market_Data_CL.xlsm]data!R246C9</stp>
        <tr r="I246" s="1"/>
      </tp>
      <tp>
        <v>50.1</v>
        <stp/>
        <stp>##V3_BDHV12</stp>
        <stp>CL1 Comdty</stp>
        <stp>PX_HIGH</stp>
        <stp>26/10/2016</stp>
        <stp>26/10/2016</stp>
        <stp>[Bbg_Market_Data_CL.xlsm]data!R114C6</stp>
        <tr r="F114" s="1"/>
        <tr r="F114" s="1"/>
      </tp>
      <tp>
        <v>37.1</v>
        <stp/>
        <stp>##V3_BDHV12</stp>
        <stp>CL1 Comdty</stp>
        <stp>PX_HIGH</stp>
        <stp>05/01/2016</stp>
        <stp>05/01/2016</stp>
        <stp>[Bbg_Market_Data_CL.xlsm]data!R316C6</stp>
        <tr r="F316" s="1"/>
        <tr r="F316" s="1"/>
      </tp>
      <tp t="s">
        <v>#N/A Requesting Data...</v>
        <stp/>
        <stp>##V3_BDHV12</stp>
        <stp>CL2 Comdty</stp>
        <stp>PX_LAST</stp>
        <stp>28/05/2015</stp>
        <stp>28/05/2015</stp>
        <stp>[Bbg_Market_Data_CL.xlsm]data!R467C9</stp>
        <tr r="I467" s="1"/>
      </tp>
      <tp t="s">
        <v>#N/A Requesting Data...</v>
        <stp/>
        <stp>##V3_BDHV12</stp>
        <stp>CL2 Comdty</stp>
        <stp>PX_LAST</stp>
        <stp>18/05/2016</stp>
        <stp>18/05/2016</stp>
        <stp>[Bbg_Market_Data_CL.xlsm]data!R224C9</stp>
        <tr r="I224" s="1"/>
      </tp>
      <tp t="s">
        <v>#N/A Requesting Data...</v>
        <stp/>
        <stp>##V3_BDHV12</stp>
        <stp>CL2 Comdty</stp>
        <stp>PX_LAST</stp>
        <stp>19/04/2016</stp>
        <stp>19/04/2016</stp>
        <stp>[Bbg_Market_Data_CL.xlsm]data!R245C9</stp>
        <tr r="I245" s="1"/>
      </tp>
      <tp>
        <v>36.520000000000003</v>
        <stp/>
        <stp>##V3_BDHV12</stp>
        <stp>CL1 Comdty</stp>
        <stp>PX_OPEN</stp>
        <stp>06/04/2016</stp>
        <stp>06/04/2016</stp>
        <stp>[Bbg_Market_Data_CL.xlsm]data!R254C5</stp>
        <tr r="E254" s="1"/>
        <tr r="E254" s="1"/>
      </tp>
      <tp>
        <v>38.17</v>
        <stp/>
        <stp>##V3_BDHV12</stp>
        <stp>CL1 Comdty</stp>
        <stp>PX_OPEN</stp>
        <stp>10/03/2016</stp>
        <stp>10/03/2016</stp>
        <stp>[Bbg_Market_Data_CL.xlsm]data!R272C5</stp>
        <tr r="E272" s="1"/>
        <tr r="E272" s="1"/>
      </tp>
      <tp>
        <v>42.41</v>
        <stp/>
        <stp>##V3_BDHV12</stp>
        <stp>CL1 Comdty</stp>
        <stp>PX_OPEN</stp>
        <stp>19/08/2015</stp>
        <stp>19/08/2015</stp>
        <stp>[Bbg_Market_Data_CL.xlsm]data!R409C5</stp>
        <tr r="E409" s="1"/>
        <tr r="E409" s="1"/>
      </tp>
      <tp>
        <v>46.89</v>
        <stp/>
        <stp>##V3_BDHV12</stp>
        <stp>CL1 Comdty</stp>
        <stp>PX_OPEN</stp>
        <stp>18/09/2015</stp>
        <stp>18/09/2015</stp>
        <stp>[Bbg_Market_Data_CL.xlsm]data!R388C5</stp>
        <tr r="E388" s="1"/>
        <tr r="E388" s="1"/>
      </tp>
      <tp>
        <v>30.54</v>
        <stp/>
        <stp>##V3_BDHV12</stp>
        <stp>CL1 Comdty</stp>
        <stp>PX_OPEN</stp>
        <stp>13/01/2016</stp>
        <stp>13/01/2016</stp>
        <stp>[Bbg_Market_Data_CL.xlsm]data!R310C5</stp>
        <tr r="E310" s="1"/>
        <tr r="E310" s="1"/>
      </tp>
      <tp>
        <v>49.31</v>
        <stp/>
        <stp>##V3_BDHV12</stp>
        <stp>CL1 Comdty</stp>
        <stp>PX_OPEN</stp>
        <stp>27/05/2016</stp>
        <stp>27/05/2016</stp>
        <stp>[Bbg_Market_Data_CL.xlsm]data!R217C5</stp>
        <tr r="E217" s="1"/>
        <tr r="E217" s="1"/>
      </tp>
      <tp>
        <v>46.77</v>
        <stp/>
        <stp>##V3_BDHV12</stp>
        <stp>CL1 Comdty</stp>
        <stp>PX_OPEN</stp>
        <stp>01/11/2016</stp>
        <stp>01/11/2016</stp>
        <stp>[Bbg_Market_Data_CL.xlsm]data!R110C5</stp>
        <tr r="E110" s="1"/>
        <tr r="E110" s="1"/>
      </tp>
      <tp>
        <v>37.270000000000003</v>
        <stp/>
        <stp>##V3_BDHV12</stp>
        <stp>CL1 Comdty</stp>
        <stp>PX_OPEN</stp>
        <stp>10/12/2015</stp>
        <stp>10/12/2015</stp>
        <stp>[Bbg_Market_Data_CL.xlsm]data!R332C5</stp>
        <tr r="E332" s="1"/>
        <tr r="E332" s="1"/>
      </tp>
      <tp>
        <v>42.83</v>
        <stp/>
        <stp>##V3_BDHV12</stp>
        <stp>CL1 Comdty</stp>
        <stp>PX_OPEN</stp>
        <stp>09/08/2016</stp>
        <stp>09/08/2016</stp>
        <stp>[Bbg_Market_Data_CL.xlsm]data!R168C5</stp>
        <tr r="E168" s="1"/>
        <tr r="E168" s="1"/>
      </tp>
      <tp>
        <v>43.05</v>
        <stp/>
        <stp>##V3_BDHV12</stp>
        <stp>CL1 Comdty</stp>
        <stp>PX_OPEN</stp>
        <stp>12/11/2015</stp>
        <stp>12/11/2015</stp>
        <stp>[Bbg_Market_Data_CL.xlsm]data!R351C5</stp>
        <tr r="E351" s="1"/>
        <tr r="E351" s="1"/>
      </tp>
      <tp>
        <v>56.56</v>
        <stp/>
        <stp>##V3_BDHV12</stp>
        <stp>CL1 Comdty</stp>
        <stp>PX_OPEN</stp>
        <stp>17/04/2015</stp>
        <stp>17/04/2015</stp>
        <stp>[Bbg_Market_Data_CL.xlsm]data!R495C5</stp>
        <tr r="E495" s="1"/>
        <tr r="E495" s="1"/>
      </tp>
      <tp>
        <v>32.049999999999997</v>
        <stp/>
        <stp>##V3_BDHV12</stp>
        <stp>CL1 Comdty</stp>
        <stp>PX_OPEN</stp>
        <stp>25/01/2016</stp>
        <stp>25/01/2016</stp>
        <stp>[Bbg_Market_Data_CL.xlsm]data!R303C5</stp>
        <tr r="E303" s="1"/>
        <tr r="E303" s="1"/>
      </tp>
      <tp>
        <v>52.15</v>
        <stp/>
        <stp>##V3_BDHV12</stp>
        <stp>CL1 Comdty</stp>
        <stp>PX_OPEN</stp>
        <stp>13/07/2015</stp>
        <stp>13/07/2015</stp>
        <stp>[Bbg_Market_Data_CL.xlsm]data!R436C5</stp>
        <tr r="E436" s="1"/>
        <tr r="E436" s="1"/>
      </tp>
      <tp>
        <v>44.92</v>
        <stp/>
        <stp>##V3_BDHV12</stp>
        <stp>CL1 Comdty</stp>
        <stp>PX_OPEN</stp>
        <stp>03/05/2016</stp>
        <stp>03/05/2016</stp>
        <stp>[Bbg_Market_Data_CL.xlsm]data!R235C5</stp>
        <tr r="E235" s="1"/>
        <tr r="E235" s="1"/>
      </tp>
      <tp>
        <v>44.74</v>
        <stp/>
        <stp>##V3_BDHV12</stp>
        <stp>CL1 Comdty</stp>
        <stp>PX_OPEN</stp>
        <stp>26/10/2015</stp>
        <stp>26/10/2015</stp>
        <stp>[Bbg_Market_Data_CL.xlsm]data!R363C5</stp>
        <tr r="E363" s="1"/>
        <tr r="E363" s="1"/>
      </tp>
      <tp>
        <v>59.79</v>
        <stp/>
        <stp>##V3_BDHV12</stp>
        <stp>CL1 Comdty</stp>
        <stp>PX_OPEN</stp>
        <stp>01/05/2015</stp>
        <stp>01/05/2015</stp>
        <stp>[Bbg_Market_Data_CL.xlsm]data!R485C5</stp>
        <tr r="E485" s="1"/>
        <tr r="E485" s="1"/>
      </tp>
      <tp>
        <v>46.28</v>
        <stp/>
        <stp>##V3_BDHV12</stp>
        <stp>CL1 Comdty</stp>
        <stp>PX_OPEN</stp>
        <stp>15/10/2015</stp>
        <stp>15/10/2015</stp>
        <stp>[Bbg_Market_Data_CL.xlsm]data!R370C5</stp>
        <tr r="E370" s="1"/>
        <tr r="E370" s="1"/>
      </tp>
      <tp>
        <v>49.54</v>
        <stp/>
        <stp>##V3_BDHV12</stp>
        <stp>CL1 Comdty</stp>
        <stp>PX_OPEN</stp>
        <stp>31/05/2016</stp>
        <stp>31/05/2016</stp>
        <stp>[Bbg_Market_Data_CL.xlsm]data!R216C5</stp>
        <tr r="E216" s="1"/>
        <tr r="E216" s="1"/>
      </tp>
      <tp>
        <v>48.85</v>
        <stp/>
        <stp>##V3_BDHV12</stp>
        <stp>CL1 Comdty</stp>
        <stp>PX_OPEN</stp>
        <stp>13/06/2016</stp>
        <stp>13/06/2016</stp>
        <stp>[Bbg_Market_Data_CL.xlsm]data!R207C5</stp>
        <tr r="E207" s="1"/>
        <tr r="E207" s="1"/>
      </tp>
      <tp>
        <v>49.22</v>
        <stp/>
        <stp>##V3_BDHV12</stp>
        <stp>CL1 Comdty</stp>
        <stp>PX_OPEN</stp>
        <stp>27/10/2016</stp>
        <stp>27/10/2016</stp>
        <stp>[Bbg_Market_Data_CL.xlsm]data!R113C5</stp>
        <tr r="E113" s="1"/>
        <tr r="E113" s="1"/>
      </tp>
      <tp>
        <v>61.14</v>
        <stp/>
        <stp>##V3_BDHV12</stp>
        <stp>CL1 Comdty</stp>
        <stp>PX_OPEN</stp>
        <stp>11/06/2015</stp>
        <stp>11/06/2015</stp>
        <stp>[Bbg_Market_Data_CL.xlsm]data!R457C5</stp>
        <tr r="E457" s="1"/>
        <tr r="E457" s="1"/>
      </tp>
      <tp>
        <v>43.76</v>
        <stp/>
        <stp>##V3_BDHV12</stp>
        <stp>CL1 Comdty</stp>
        <stp>PX_OPEN</stp>
        <stp>15/11/2016</stp>
        <stp>15/11/2016</stp>
        <stp>[Bbg_Market_Data_CL.xlsm]data!R101C5</stp>
        <tr r="E101" s="1"/>
        <tr r="E101" s="1"/>
      </tp>
      <tp>
        <v>42.69</v>
        <stp/>
        <stp>##V3_BDHV12</stp>
        <stp>CL1 Comdty</stp>
        <stp>PX_OPEN</stp>
        <stp>25/11/2015</stp>
        <stp>25/11/2015</stp>
        <stp>[Bbg_Market_Data_CL.xlsm]data!R342C5</stp>
        <tr r="E342" s="1"/>
        <tr r="E342" s="1"/>
      </tp>
      <tp>
        <v>46.58</v>
        <stp/>
        <stp>##V3_BDHV12</stp>
        <stp>CL1 Comdty</stp>
        <stp>PX_OPEN</stp>
        <stp>13/07/2016</stp>
        <stp>13/07/2016</stp>
        <stp>[Bbg_Market_Data_CL.xlsm]data!R186C5</stp>
        <tr r="E186" s="1"/>
        <tr r="E186" s="1"/>
      </tp>
      <tp>
        <v>36.36</v>
        <stp/>
        <stp>##V3_BDHV12</stp>
        <stp>CL1 Comdty</stp>
        <stp>PX_OPEN</stp>
        <stp>09/03/2016</stp>
        <stp>09/03/2016</stp>
        <stp>[Bbg_Market_Data_CL.xlsm]data!R273C5</stp>
        <tr r="E273" s="1"/>
        <tr r="E273" s="1"/>
      </tp>
      <tp>
        <v>30.17</v>
        <stp/>
        <stp>##V3_BDHV12</stp>
        <stp>CL1 Comdty</stp>
        <stp>PX_OPEN</stp>
        <stp>09/02/2016</stp>
        <stp>09/02/2016</stp>
        <stp>[Bbg_Market_Data_CL.xlsm]data!R292C5</stp>
        <tr r="E292" s="1"/>
        <tr r="E292" s="1"/>
      </tp>
      <tp>
        <v>38</v>
        <stp/>
        <stp>##V3_BDHV12</stp>
        <stp>CL1 Comdty</stp>
        <stp>PX_OPEN</stp>
        <stp>28/12/2015</stp>
        <stp>28/12/2015</stp>
        <stp>[Bbg_Market_Data_CL.xlsm]data!R321C5</stp>
        <tr r="E321" s="1"/>
        <tr r="E321" s="1"/>
      </tp>
      <tp>
        <v>37.86</v>
        <stp/>
        <stp>##V3_BDHV12</stp>
        <stp>CL1 Comdty</stp>
        <stp>PX_OPEN</stp>
        <stp>09/12/2015</stp>
        <stp>09/12/2015</stp>
        <stp>[Bbg_Market_Data_CL.xlsm]data!R333C5</stp>
        <tr r="E333" s="1"/>
        <tr r="E333" s="1"/>
      </tp>
      <tp>
        <v>44.26</v>
        <stp/>
        <stp>##V3_BDHV12</stp>
        <stp>CL1 Comdty</stp>
        <stp>PX_OPEN</stp>
        <stp>02/09/2015</stp>
        <stp>02/09/2015</stp>
        <stp>[Bbg_Market_Data_CL.xlsm]data!R399C5</stp>
        <tr r="E399" s="1"/>
        <tr r="E399" s="1"/>
      </tp>
      <tp>
        <v>39.549999999999997</v>
        <stp/>
        <stp>##V3_BDHV12</stp>
        <stp>CL1 Comdty</stp>
        <stp>PX_OPEN</stp>
        <stp>28/03/2016</stp>
        <stp>28/03/2016</stp>
        <stp>[Bbg_Market_Data_CL.xlsm]data!R261C5</stp>
        <tr r="E261" s="1"/>
        <tr r="E261" s="1"/>
      </tp>
      <tp>
        <v>32.72</v>
        <stp/>
        <stp>##V3_BDHV12</stp>
        <stp>CL1 Comdty</stp>
        <stp>PX_OPEN</stp>
        <stp>29/02/2016</stp>
        <stp>29/02/2016</stp>
        <stp>[Bbg_Market_Data_CL.xlsm]data!R280C5</stp>
        <tr r="E280" s="1"/>
        <tr r="E280" s="1"/>
      </tp>
      <tp>
        <v>50.04</v>
        <stp/>
        <stp>##V3_BDHV12</stp>
        <stp>CL1 Comdty</stp>
        <stp>PX_OPEN</stp>
        <stp>18/10/2016</stp>
        <stp>18/10/2016</stp>
        <stp>[Bbg_Market_Data_CL.xlsm]data!R120C5</stp>
        <tr r="E120" s="1"/>
        <tr r="E120" s="1"/>
      </tp>
      <tp>
        <v>47.02</v>
        <stp/>
        <stp>##V3_BDHV12</stp>
        <stp>CL1 Comdty</stp>
        <stp>PX_OPEN</stp>
        <stp>28/07/2015</stp>
        <stp>28/07/2015</stp>
        <stp>[Bbg_Market_Data_CL.xlsm]data!R425C5</stp>
        <tr r="E425" s="1"/>
        <tr r="E425" s="1"/>
      </tp>
      <tp>
        <v>59.85</v>
        <stp/>
        <stp>##V3_BDHV12</stp>
        <stp>CL1 Comdty</stp>
        <stp>PX_OPEN</stp>
        <stp>18/05/2015</stp>
        <stp>18/05/2015</stp>
        <stp>[Bbg_Market_Data_CL.xlsm]data!R474C5</stp>
        <tr r="E474" s="1"/>
        <tr r="E474" s="1"/>
      </tp>
      <tp>
        <v>44.15</v>
        <stp/>
        <stp>##V3_BDHV12</stp>
        <stp>CL1 Comdty</stp>
        <stp>PX_OPEN</stp>
        <stp>06/09/2016</stp>
        <stp>06/09/2016</stp>
        <stp>[Bbg_Market_Data_CL.xlsm]data!R149C5</stp>
        <tr r="E149" s="1"/>
        <tr r="E149" s="1"/>
      </tp>
      <tp>
        <v>57.63</v>
        <stp/>
        <stp>##V3_BDHV12</stp>
        <stp>CL1 Comdty</stp>
        <stp>PX_OPEN</stp>
        <stp>28/05/2015</stp>
        <stp>28/05/2015</stp>
        <stp>[Bbg_Market_Data_CL.xlsm]data!R467C5</stp>
        <tr r="E467" s="1"/>
        <tr r="E467" s="1"/>
      </tp>
      <tp>
        <v>48.53</v>
        <stp/>
        <stp>##V3_BDHV12</stp>
        <stp>CL1 Comdty</stp>
        <stp>PX_OPEN</stp>
        <stp>18/05/2016</stp>
        <stp>18/05/2016</stp>
        <stp>[Bbg_Market_Data_CL.xlsm]data!R224C5</stp>
        <tr r="E224" s="1"/>
        <tr r="E224" s="1"/>
      </tp>
      <tp>
        <v>40.04</v>
        <stp/>
        <stp>##V3_BDHV12</stp>
        <stp>CL1 Comdty</stp>
        <stp>PX_OPEN</stp>
        <stp>19/04/2016</stp>
        <stp>19/04/2016</stp>
        <stp>[Bbg_Market_Data_CL.xlsm]data!R245C5</stp>
        <tr r="E245" s="1"/>
        <tr r="E245" s="1"/>
      </tp>
      <tp>
        <v>41.93</v>
        <stp/>
        <stp>##V3_BDHV12</stp>
        <stp>CL1 Comdty</stp>
        <stp>PX_OPEN</stp>
        <stp>28/07/2016</stp>
        <stp>28/07/2016</stp>
        <stp>[Bbg_Market_Data_CL.xlsm]data!R175C5</stp>
        <tr r="E175" s="1"/>
        <tr r="E175" s="1"/>
      </tp>
      <tp>
        <v>45.16</v>
        <stp/>
        <stp>##V3_BDHV12</stp>
        <stp>CL1 Comdty</stp>
        <stp>PX_OPEN</stp>
        <stp>06/08/2015</stp>
        <stp>06/08/2015</stp>
        <stp>[Bbg_Market_Data_CL.xlsm]data!R418C5</stp>
        <tr r="E418" s="1"/>
        <tr r="E418" s="1"/>
      </tp>
      <tp t="s">
        <v>#N/A Requesting Data...</v>
        <stp/>
        <stp>##V3_BDHV12</stp>
        <stp>CL2 Comdty</stp>
        <stp>RSI_30D</stp>
        <stp>25/09/2015</stp>
        <stp>25/09/2015</stp>
        <stp>[Bbg_Market_Data_CL.xlsm]data!R383C14</stp>
        <tr r="N383" s="1"/>
      </tp>
      <tp t="s">
        <v>#N/A Requesting Data...</v>
        <stp/>
        <stp>##V3_BDHV12</stp>
        <stp>CL1 Comdty</stp>
        <stp>RSI_30D</stp>
        <stp>25/09/2015</stp>
        <stp>25/09/2015</stp>
        <stp>[Bbg_Market_Data_CL.xlsm]data!R383C14</stp>
        <tr r="N383" s="1"/>
      </tp>
      <tp t="s">
        <v>#N/A Requesting Data...</v>
        <stp/>
        <stp>##V3_BDHV12</stp>
        <stp>CL1 Comdty</stp>
        <stp>RSI_14D</stp>
        <stp>26/08/2015</stp>
        <stp>26/08/2015</stp>
        <stp>[Bbg_Market_Data_CL.xlsm]data!R404C13</stp>
        <tr r="M404" s="1"/>
      </tp>
      <tp t="s">
        <v>#N/A Requesting Data...</v>
        <stp/>
        <stp>##V3_BDHV12</stp>
        <stp>CL2 Comdty</stp>
        <stp>RSI_14D</stp>
        <stp>26/08/2015</stp>
        <stp>26/08/2015</stp>
        <stp>[Bbg_Market_Data_CL.xlsm]data!R404C13</stp>
        <tr r="M404" s="1"/>
      </tp>
      <tp t="s">
        <v>#N/A Requesting Data...</v>
        <stp/>
        <stp>##V3_BDHV12</stp>
        <stp>CL1 Comdty</stp>
        <stp>RSI_30D</stp>
        <stp>15/09/2016</stp>
        <stp>15/09/2016</stp>
        <stp>[Bbg_Market_Data_CL.xlsm]data!R142C14</stp>
        <tr r="N142" s="1"/>
      </tp>
      <tp t="s">
        <v>#N/A Requesting Data...</v>
        <stp/>
        <stp>##V3_BDHV12</stp>
        <stp>CL2 Comdty</stp>
        <stp>RSI_30D</stp>
        <stp>15/09/2016</stp>
        <stp>15/09/2016</stp>
        <stp>[Bbg_Market_Data_CL.xlsm]data!R142C14</stp>
        <tr r="N142" s="1"/>
      </tp>
      <tp t="s">
        <v>#N/A Requesting Data...</v>
        <stp/>
        <stp>##V3_BDHV12</stp>
        <stp>CL2 Comdty</stp>
        <stp>RSI_30D</stp>
        <stp>05/08/2016</stp>
        <stp>05/08/2016</stp>
        <stp>[Bbg_Market_Data_CL.xlsm]data!R169C14</stp>
        <tr r="N169" s="1"/>
      </tp>
      <tp t="s">
        <v>#N/A Requesting Data...</v>
        <stp/>
        <stp>##V3_BDHV12</stp>
        <stp>CL1 Comdty</stp>
        <stp>RSI_30D</stp>
        <stp>05/08/2016</stp>
        <stp>05/08/2016</stp>
        <stp>[Bbg_Market_Data_CL.xlsm]data!R169C14</stp>
        <tr r="N169" s="1"/>
      </tp>
      <tp t="s">
        <v>#N/A Requesting Data...</v>
        <stp/>
        <stp>##V3_BDHV12</stp>
        <stp>CL1 Comdty</stp>
        <stp>RSI_30D</stp>
        <stp>26/09/2016</stp>
        <stp>26/09/2016</stp>
        <stp>[Bbg_Market_Data_CL.xlsm]data!R135C14</stp>
        <tr r="N135" s="1"/>
      </tp>
      <tp t="s">
        <v>#N/A Requesting Data...</v>
        <stp/>
        <stp>##V3_BDHV12</stp>
        <stp>CL2 Comdty</stp>
        <stp>RSI_30D</stp>
        <stp>26/09/2016</stp>
        <stp>26/09/2016</stp>
        <stp>[Bbg_Market_Data_CL.xlsm]data!R135C14</stp>
        <tr r="N135" s="1"/>
      </tp>
      <tp t="s">
        <v>#N/A Requesting Data...</v>
        <stp/>
        <stp>##V3_BDHV12</stp>
        <stp>CL2 Comdty</stp>
        <stp>RSI_14D</stp>
        <stp>04/08/2015</stp>
        <stp>04/08/2015</stp>
        <stp>[Bbg_Market_Data_CL.xlsm]data!R420C13</stp>
        <tr r="M420" s="1"/>
      </tp>
      <tp t="s">
        <v>#N/A Requesting Data...</v>
        <stp/>
        <stp>##V3_BDHV12</stp>
        <stp>CL1 Comdty</stp>
        <stp>RSI_14D</stp>
        <stp>04/08/2015</stp>
        <stp>04/08/2015</stp>
        <stp>[Bbg_Market_Data_CL.xlsm]data!R420C13</stp>
        <tr r="M420" s="1"/>
      </tp>
      <tp t="s">
        <v>#N/A Requesting Data...</v>
        <stp/>
        <stp>##V3_BDHV12</stp>
        <stp>CL2 Comdty</stp>
        <stp>RSI_30D</stp>
        <stp>16/09/2015</stp>
        <stp>16/09/2015</stp>
        <stp>[Bbg_Market_Data_CL.xlsm]data!R390C14</stp>
        <tr r="N390" s="1"/>
      </tp>
      <tp t="s">
        <v>#N/A Requesting Data...</v>
        <stp/>
        <stp>##V3_BDHV12</stp>
        <stp>CL1 Comdty</stp>
        <stp>RSI_30D</stp>
        <stp>16/09/2015</stp>
        <stp>16/09/2015</stp>
        <stp>[Bbg_Market_Data_CL.xlsm]data!R390C14</stp>
        <tr r="N390" s="1"/>
      </tp>
      <tp t="s">
        <v>#N/A Requesting Data...</v>
        <stp/>
        <stp>##V3_BDHV12</stp>
        <stp>CL2 Comdty</stp>
        <stp>RSI_30D</stp>
        <stp>06/08/2015</stp>
        <stp>06/08/2015</stp>
        <stp>[Bbg_Market_Data_CL.xlsm]data!R418C14</stp>
        <tr r="N418" s="1"/>
      </tp>
      <tp t="s">
        <v>#N/A Requesting Data...</v>
        <stp/>
        <stp>##V3_BDHV12</stp>
        <stp>CL1 Comdty</stp>
        <stp>RSI_30D</stp>
        <stp>06/08/2015</stp>
        <stp>06/08/2015</stp>
        <stp>[Bbg_Market_Data_CL.xlsm]data!R418C14</stp>
        <tr r="N418" s="1"/>
      </tp>
      <tp t="s">
        <v>#N/A Requesting Data...</v>
        <stp/>
        <stp>##V3_BDHV12</stp>
        <stp>CL1 Comdty</stp>
        <stp>RSI_14D</stp>
        <stp>14/09/2015</stp>
        <stp>14/09/2015</stp>
        <stp>[Bbg_Market_Data_CL.xlsm]data!R392C13</stp>
        <tr r="M392" s="1"/>
      </tp>
      <tp t="s">
        <v>#N/A Requesting Data...</v>
        <stp/>
        <stp>##V3_BDHV12</stp>
        <stp>CL2 Comdty</stp>
        <stp>RSI_14D</stp>
        <stp>14/09/2015</stp>
        <stp>14/09/2015</stp>
        <stp>[Bbg_Market_Data_CL.xlsm]data!R392C13</stp>
        <tr r="M392" s="1"/>
      </tp>
      <tp t="s">
        <v>#N/A Requesting Data...</v>
        <stp/>
        <stp>##V3_BDHV12</stp>
        <stp>CL2 Comdty</stp>
        <stp>RSI_30D</stp>
        <stp>17/08/2015</stp>
        <stp>17/08/2015</stp>
        <stp>[Bbg_Market_Data_CL.xlsm]data!R411C14</stp>
        <tr r="N411" s="1"/>
      </tp>
      <tp t="s">
        <v>#N/A Requesting Data...</v>
        <stp/>
        <stp>##V3_BDHV12</stp>
        <stp>CL1 Comdty</stp>
        <stp>RSI_30D</stp>
        <stp>17/08/2015</stp>
        <stp>17/08/2015</stp>
        <stp>[Bbg_Market_Data_CL.xlsm]data!R411C14</stp>
        <tr r="N411" s="1"/>
      </tp>
      <tp t="s">
        <v>#N/A Requesting Data...</v>
        <stp/>
        <stp>##V3_BDHV12</stp>
        <stp>CL2 Comdty</stp>
        <stp>RSI_14D</stp>
        <stp>25/08/2016</stp>
        <stp>25/08/2016</stp>
        <stp>[Bbg_Market_Data_CL.xlsm]data!R156C13</stp>
        <tr r="M156" s="1"/>
      </tp>
      <tp t="s">
        <v>#N/A Requesting Data...</v>
        <stp/>
        <stp>##V3_BDHV12</stp>
        <stp>CL1 Comdty</stp>
        <stp>RSI_14D</stp>
        <stp>25/08/2016</stp>
        <stp>25/08/2016</stp>
        <stp>[Bbg_Market_Data_CL.xlsm]data!R156C13</stp>
        <tr r="M156" s="1"/>
      </tp>
      <tp t="s">
        <v>#N/A Requesting Data...</v>
        <stp/>
        <stp>##V3_BDHV12</stp>
        <stp>CL2 Comdty</stp>
        <stp>RSI_30D</stp>
        <stp>24/08/2015</stp>
        <stp>24/08/2015</stp>
        <stp>[Bbg_Market_Data_CL.xlsm]data!R406C14</stp>
        <tr r="N406" s="1"/>
      </tp>
      <tp t="s">
        <v>#N/A Requesting Data...</v>
        <stp/>
        <stp>##V3_BDHV12</stp>
        <stp>CL1 Comdty</stp>
        <stp>RSI_30D</stp>
        <stp>24/08/2015</stp>
        <stp>24/08/2015</stp>
        <stp>[Bbg_Market_Data_CL.xlsm]data!R406C14</stp>
        <tr r="N406" s="1"/>
      </tp>
      <tp t="s">
        <v>#N/A Requesting Data...</v>
        <stp/>
        <stp>##V3_BDHV12</stp>
        <stp>CL1 Comdty</stp>
        <stp>RSI_14D</stp>
        <stp>16/08/2016</stp>
        <stp>16/08/2016</stp>
        <stp>[Bbg_Market_Data_CL.xlsm]data!R163C13</stp>
        <tr r="M163" s="1"/>
      </tp>
      <tp t="s">
        <v>#N/A Requesting Data...</v>
        <stp/>
        <stp>##V3_BDHV12</stp>
        <stp>CL2 Comdty</stp>
        <stp>RSI_14D</stp>
        <stp>16/08/2016</stp>
        <stp>16/08/2016</stp>
        <stp>[Bbg_Market_Data_CL.xlsm]data!R163C13</stp>
        <tr r="M163" s="1"/>
      </tp>
      <tp t="s">
        <v>#N/A Requesting Data...</v>
        <stp/>
        <stp>##V3_BDHV12</stp>
        <stp>CL2 Comdty</stp>
        <stp>RSI_14D</stp>
        <stp>06/09/2016</stp>
        <stp>06/09/2016</stp>
        <stp>[Bbg_Market_Data_CL.xlsm]data!R149C13</stp>
        <tr r="M149" s="1"/>
      </tp>
      <tp t="s">
        <v>#N/A Requesting Data...</v>
        <stp/>
        <stp>##V3_BDHV12</stp>
        <stp>CL1 Comdty</stp>
        <stp>RSI_14D</stp>
        <stp>06/09/2016</stp>
        <stp>06/09/2016</stp>
        <stp>[Bbg_Market_Data_CL.xlsm]data!R149C13</stp>
        <tr r="M149" s="1"/>
      </tp>
      <tp t="s">
        <v>#N/A Requesting Data...</v>
        <stp/>
        <stp>##V3_BDHV12</stp>
        <stp>CL1 Comdty</stp>
        <stp>RSI_14D</stp>
        <stp>08/07/2016</stp>
        <stp>08/07/2016</stp>
        <stp>[Bbg_Market_Data_CL.xlsm]data!R189C13</stp>
        <tr r="M189" s="1"/>
      </tp>
      <tp t="s">
        <v>#N/A Requesting Data...</v>
        <stp/>
        <stp>##V3_BDHV12</stp>
        <stp>CL2 Comdty</stp>
        <stp>RSI_14D</stp>
        <stp>08/07/2016</stp>
        <stp>08/07/2016</stp>
        <stp>[Bbg_Market_Data_CL.xlsm]data!R189C13</stp>
        <tr r="M189" s="1"/>
      </tp>
      <tp t="s">
        <v>#N/A Requesting Data...</v>
        <stp/>
        <stp>##V3_BDHV12</stp>
        <stp>CL2 Comdty</stp>
        <stp>RSI_14D</stp>
        <stp>19/07/2016</stp>
        <stp>19/07/2016</stp>
        <stp>[Bbg_Market_Data_CL.xlsm]data!R182C13</stp>
        <tr r="M182" s="1"/>
      </tp>
      <tp t="s">
        <v>#N/A Requesting Data...</v>
        <stp/>
        <stp>##V3_BDHV12</stp>
        <stp>CL1 Comdty</stp>
        <stp>RSI_14D</stp>
        <stp>19/07/2016</stp>
        <stp>19/07/2016</stp>
        <stp>[Bbg_Market_Data_CL.xlsm]data!R182C13</stp>
        <tr r="M182" s="1"/>
      </tp>
      <tp t="s">
        <v>#N/A Requesting Data...</v>
        <stp/>
        <stp>##V3_BDHV12</stp>
        <stp>CL1 Comdty</stp>
        <stp>RSI_30D</stp>
        <stp>28/04/2015</stp>
        <stp>28/04/2015</stp>
        <stp>[Bbg_Market_Data_CL.xlsm]data!R488C14</stp>
        <tr r="N488" s="1"/>
      </tp>
      <tp t="s">
        <v>#N/A Requesting Data...</v>
        <stp/>
        <stp>##V3_BDHV12</stp>
        <stp>CL2 Comdty</stp>
        <stp>RSI_30D</stp>
        <stp>28/04/2015</stp>
        <stp>28/04/2015</stp>
        <stp>[Bbg_Market_Data_CL.xlsm]data!R488C14</stp>
        <tr r="N488" s="1"/>
      </tp>
      <tp t="s">
        <v>#N/A Requesting Data...</v>
        <stp/>
        <stp>##V3_BDHV12</stp>
        <stp>CL2 Comdty</stp>
        <stp>RSI_14D</stp>
        <stp>29/04/2016</stp>
        <stp>29/04/2016</stp>
        <stp>[Bbg_Market_Data_CL.xlsm]data!R237C13</stp>
        <tr r="M237" s="1"/>
      </tp>
      <tp t="s">
        <v>#N/A Requesting Data...</v>
        <stp/>
        <stp>##V3_BDHV12</stp>
        <stp>CL1 Comdty</stp>
        <stp>RSI_14D</stp>
        <stp>29/04/2016</stp>
        <stp>29/04/2016</stp>
        <stp>[Bbg_Market_Data_CL.xlsm]data!R237C13</stp>
        <tr r="M237" s="1"/>
      </tp>
      <tp t="s">
        <v>#N/A Requesting Data...</v>
        <stp/>
        <stp>##V3_BDHV12</stp>
        <stp>CL1 Comdty</stp>
        <stp>RSI_30D</stp>
        <stp>08/06/2015</stp>
        <stp>08/06/2015</stp>
        <stp>[Bbg_Market_Data_CL.xlsm]data!R460C14</stp>
        <tr r="N460" s="1"/>
      </tp>
      <tp t="s">
        <v>#N/A Requesting Data...</v>
        <stp/>
        <stp>##V3_BDHV12</stp>
        <stp>CL2 Comdty</stp>
        <stp>RSI_30D</stp>
        <stp>08/06/2015</stp>
        <stp>08/06/2015</stp>
        <stp>[Bbg_Market_Data_CL.xlsm]data!R460C14</stp>
        <tr r="N460" s="1"/>
      </tp>
      <tp t="s">
        <v>#N/A Requesting Data...</v>
        <stp/>
        <stp>##V3_BDHV12</stp>
        <stp>CL1 Comdty</stp>
        <stp>RSI_14D</stp>
        <stp>09/06/2016</stp>
        <stp>09/06/2016</stp>
        <stp>[Bbg_Market_Data_CL.xlsm]data!R209C13</stp>
        <tr r="M209" s="1"/>
      </tp>
      <tp t="s">
        <v>#N/A Requesting Data...</v>
        <stp/>
        <stp>##V3_BDHV12</stp>
        <stp>CL2 Comdty</stp>
        <stp>RSI_14D</stp>
        <stp>09/06/2016</stp>
        <stp>09/06/2016</stp>
        <stp>[Bbg_Market_Data_CL.xlsm]data!R209C13</stp>
        <tr r="M209" s="1"/>
      </tp>
      <tp t="s">
        <v>#N/A Requesting Data...</v>
        <stp/>
        <stp>##V3_BDHV12</stp>
        <stp>CL1 Comdty</stp>
        <stp>RSI_30D</stp>
        <stp>09/07/2015</stp>
        <stp>09/07/2015</stp>
        <stp>[Bbg_Market_Data_CL.xlsm]data!R438C14</stp>
        <tr r="N438" s="1"/>
      </tp>
      <tp t="s">
        <v>#N/A Requesting Data...</v>
        <stp/>
        <stp>##V3_BDHV12</stp>
        <stp>CL2 Comdty</stp>
        <stp>RSI_30D</stp>
        <stp>09/07/2015</stp>
        <stp>09/07/2015</stp>
        <stp>[Bbg_Market_Data_CL.xlsm]data!R438C14</stp>
        <tr r="N438" s="1"/>
      </tp>
      <tp t="s">
        <v>#N/A Requesting Data...</v>
        <stp/>
        <stp>##V3_BDHV12</stp>
        <stp>CL1 Comdty</stp>
        <stp>RSI_30D</stp>
        <stp>19/06/2015</stp>
        <stp>19/06/2015</stp>
        <stp>[Bbg_Market_Data_CL.xlsm]data!R451C14</stp>
        <tr r="N451" s="1"/>
      </tp>
      <tp t="s">
        <v>#N/A Requesting Data...</v>
        <stp/>
        <stp>##V3_BDHV12</stp>
        <stp>CL2 Comdty</stp>
        <stp>RSI_30D</stp>
        <stp>19/06/2015</stp>
        <stp>19/06/2015</stp>
        <stp>[Bbg_Market_Data_CL.xlsm]data!R451C14</stp>
        <tr r="N451" s="1"/>
      </tp>
      <tp t="s">
        <v>#N/A Requesting Data...</v>
        <stp/>
        <stp>##V3_BDHV12</stp>
        <stp>CL2 Comdty</stp>
        <stp>RSI_30D</stp>
        <stp>29/05/2015</stp>
        <stp>29/05/2015</stp>
        <stp>[Bbg_Market_Data_CL.xlsm]data!R466C14</stp>
        <tr r="N466" s="1"/>
      </tp>
      <tp t="s">
        <v>#N/A Requesting Data...</v>
        <stp/>
        <stp>##V3_BDHV12</stp>
        <stp>CL1 Comdty</stp>
        <stp>RSI_30D</stp>
        <stp>29/05/2015</stp>
        <stp>29/05/2015</stp>
        <stp>[Bbg_Market_Data_CL.xlsm]data!R466C14</stp>
        <tr r="N466" s="1"/>
      </tp>
      <tp t="s">
        <v>#N/A Requesting Data...</v>
        <stp/>
        <stp>##V3_BDHV12</stp>
        <stp>CL2 Comdty</stp>
        <stp>RSI_30D</stp>
        <stp>28/07/2016</stp>
        <stp>28/07/2016</stp>
        <stp>[Bbg_Market_Data_CL.xlsm]data!R175C14</stp>
        <tr r="N175" s="1"/>
      </tp>
      <tp t="s">
        <v>#N/A Requesting Data...</v>
        <stp/>
        <stp>##V3_BDHV12</stp>
        <stp>CL1 Comdty</stp>
        <stp>RSI_30D</stp>
        <stp>28/07/2016</stp>
        <stp>28/07/2016</stp>
        <stp>[Bbg_Market_Data_CL.xlsm]data!R175C14</stp>
        <tr r="N175" s="1"/>
      </tp>
      <tp t="s">
        <v>#N/A Requesting Data...</v>
        <stp/>
        <stp>##V3_BDHV12</stp>
        <stp>CL2 Comdty</stp>
        <stp>RSI_30D</stp>
        <stp>29/06/2016</stp>
        <stp>29/06/2016</stp>
        <stp>[Bbg_Market_Data_CL.xlsm]data!R195C14</stp>
        <tr r="N195" s="1"/>
      </tp>
      <tp t="s">
        <v>#N/A Requesting Data...</v>
        <stp/>
        <stp>##V3_BDHV12</stp>
        <stp>CL1 Comdty</stp>
        <stp>RSI_30D</stp>
        <stp>29/06/2016</stp>
        <stp>29/06/2016</stp>
        <stp>[Bbg_Market_Data_CL.xlsm]data!R195C14</stp>
        <tr r="N195" s="1"/>
      </tp>
      <tp t="s">
        <v>#N/A Requesting Data...</v>
        <stp/>
        <stp>##V3_BDHV12</stp>
        <stp>CL2 Comdty</stp>
        <stp>RSI_14D</stp>
        <stp>18/05/2015</stp>
        <stp>18/05/2015</stp>
        <stp>[Bbg_Market_Data_CL.xlsm]data!R474C13</stp>
        <tr r="M474" s="1"/>
      </tp>
      <tp t="s">
        <v>#N/A Requesting Data...</v>
        <stp/>
        <stp>##V3_BDHV12</stp>
        <stp>CL1 Comdty</stp>
        <stp>RSI_14D</stp>
        <stp>18/05/2015</stp>
        <stp>18/05/2015</stp>
        <stp>[Bbg_Market_Data_CL.xlsm]data!R474C13</stp>
        <tr r="M474" s="1"/>
      </tp>
      <tp t="s">
        <v>#N/A Requesting Data...</v>
        <stp/>
        <stp>##V3_BDHV12</stp>
        <stp>CL1 Comdty</stp>
        <stp>RSI_30D</stp>
        <stp>19/05/2016</stp>
        <stp>19/05/2016</stp>
        <stp>[Bbg_Market_Data_CL.xlsm]data!R223C14</stp>
        <tr r="N223" s="1"/>
      </tp>
      <tp t="s">
        <v>#N/A Requesting Data...</v>
        <stp/>
        <stp>##V3_BDHV12</stp>
        <stp>CL2 Comdty</stp>
        <stp>RSI_30D</stp>
        <stp>19/05/2016</stp>
        <stp>19/05/2016</stp>
        <stp>[Bbg_Market_Data_CL.xlsm]data!R223C14</stp>
        <tr r="N223" s="1"/>
      </tp>
      <tp t="s">
        <v>#N/A Requesting Data...</v>
        <stp/>
        <stp>##V3_BDHV12</stp>
        <stp>CL1 Comdty</stp>
        <stp>RSI_30D</stp>
        <stp>18/04/2016</stp>
        <stp>18/04/2016</stp>
        <stp>[Bbg_Market_Data_CL.xlsm]data!R246C14</stp>
        <tr r="N246" s="1"/>
      </tp>
      <tp t="s">
        <v>#N/A Requesting Data...</v>
        <stp/>
        <stp>##V3_BDHV12</stp>
        <stp>CL2 Comdty</stp>
        <stp>RSI_30D</stp>
        <stp>18/04/2016</stp>
        <stp>18/04/2016</stp>
        <stp>[Bbg_Market_Data_CL.xlsm]data!R246C14</stp>
        <tr r="N246" s="1"/>
      </tp>
      <tp t="s">
        <v>#N/A Requesting Data...</v>
        <stp/>
        <stp>##V3_BDHV12</stp>
        <stp>CL2 Comdty</stp>
        <stp>RSI_14D</stp>
        <stp>29/07/2015</stp>
        <stp>29/07/2015</stp>
        <stp>[Bbg_Market_Data_CL.xlsm]data!R424C13</stp>
        <tr r="M424" s="1"/>
      </tp>
      <tp t="s">
        <v>#N/A Requesting Data...</v>
        <stp/>
        <stp>##V3_BDHV12</stp>
        <stp>CL1 Comdty</stp>
        <stp>RSI_14D</stp>
        <stp>29/07/2015</stp>
        <stp>29/07/2015</stp>
        <stp>[Bbg_Market_Data_CL.xlsm]data!R424C13</stp>
        <tr r="M424" s="1"/>
      </tp>
      <tp>
        <v>41.55</v>
        <stp/>
        <stp>##V3_BDHV12</stp>
        <stp>CL1 Comdty</stp>
        <stp>PX_HIGH</stp>
        <stp>18/11/2015</stp>
        <stp>18/11/2015</stp>
        <stp>[Bbg_Market_Data_CL.xlsm]data!R347C6</stp>
        <tr r="F347" s="1"/>
        <tr r="F347" s="1"/>
      </tp>
      <tp t="s">
        <v>#N/A Requesting Data...</v>
        <stp/>
        <stp>##V3_BDHV12</stp>
        <stp>CL1 Comdty</stp>
        <stp>PX_LAST</stp>
        <stp>15/07/2016</stp>
        <stp>15/07/2016</stp>
        <stp>[Bbg_Market_Data_CL.xlsm]data!R184C9</stp>
        <tr r="I184" s="1"/>
      </tp>
      <tp t="s">
        <v>#N/A Requesting Data...</v>
        <stp/>
        <stp>##V3_BDHV12</stp>
        <stp>CL2 Comdty</stp>
        <stp>PX_LAST</stp>
        <stp>17/05/2016</stp>
        <stp>17/05/2016</stp>
        <stp>[Bbg_Market_Data_CL.xlsm]data!R225C9</stp>
        <tr r="I225" s="1"/>
      </tp>
      <tp t="s">
        <v>#N/A Requesting Data...</v>
        <stp/>
        <stp>##V3_BDHV12</stp>
        <stp>CL2 Comdty</stp>
        <stp>PX_LAST</stp>
        <stp>14/06/2016</stp>
        <stp>14/06/2016</stp>
        <stp>[Bbg_Market_Data_CL.xlsm]data!R206C9</stp>
        <tr r="I206" s="1"/>
      </tp>
      <tp t="s">
        <v>#N/A Requesting Data...</v>
        <stp/>
        <stp>##V3_BDHV12</stp>
        <stp>CL1 Comdty</stp>
        <stp>PX_LAST</stp>
        <stp>26/07/2016</stp>
        <stp>26/07/2016</stp>
        <stp>[Bbg_Market_Data_CL.xlsm]data!R177C9</stp>
        <tr r="I177" s="1"/>
      </tp>
      <tp t="s">
        <v>#N/A Requesting Data...</v>
        <stp/>
        <stp>##V3_BDHV12</stp>
        <stp>CL1 Comdty</stp>
        <stp>PX_LAST</stp>
        <stp>10/02/2016</stp>
        <stp>10/02/2016</stp>
        <stp>[Bbg_Market_Data_CL.xlsm]data!R291C9</stp>
        <tr r="I291" s="1"/>
      </tp>
      <tp t="s">
        <v>#N/A Requesting Data...</v>
        <stp/>
        <stp>##V3_BDHV12</stp>
        <stp>CL1 Comdty</stp>
        <stp>PX_LAST</stp>
        <stp>15/04/2015</stp>
        <stp>15/04/2015</stp>
        <stp>[Bbg_Market_Data_CL.xlsm]data!R497C9</stp>
        <tr r="I497" s="1"/>
      </tp>
      <tp t="s">
        <v>#N/A Requesting Data...</v>
        <stp/>
        <stp>##V3_BDHV12</stp>
        <stp>CL2 Comdty</stp>
        <stp>PX_LAST</stp>
        <stp>03/10/2016</stp>
        <stp>03/10/2016</stp>
        <stp>[Bbg_Market_Data_CL.xlsm]data!R130C9</stp>
        <tr r="I130" s="1"/>
      </tp>
      <tp t="s">
        <v>#N/A Requesting Data...</v>
        <stp/>
        <stp>##V3_BDHV12</stp>
        <stp>CL1 Comdty</stp>
        <stp>PX_LAST</stp>
        <stp>14/05/2015</stp>
        <stp>14/05/2015</stp>
        <stp>[Bbg_Market_Data_CL.xlsm]data!R476C9</stp>
        <tr r="I476" s="1"/>
      </tp>
      <tp t="s">
        <v>#N/A Requesting Data...</v>
        <stp/>
        <stp>##V3_BDHV12</stp>
        <stp>CL1 Comdty</stp>
        <stp>PX_LAST</stp>
        <stp>16/05/2016</stp>
        <stp>16/05/2016</stp>
        <stp>[Bbg_Market_Data_CL.xlsm]data!R226C9</stp>
        <tr r="I226" s="1"/>
      </tp>
      <tp t="s">
        <v>#N/A Requesting Data...</v>
        <stp/>
        <stp>##V3_BDHV12</stp>
        <stp>CL1 Comdty</stp>
        <stp>PX_LAST</stp>
        <stp>15/06/2016</stp>
        <stp>15/06/2016</stp>
        <stp>[Bbg_Market_Data_CL.xlsm]data!R205C9</stp>
        <tr r="I205" s="1"/>
      </tp>
      <tp t="s">
        <v>#N/A Requesting Data...</v>
        <stp/>
        <stp>##V3_BDHV12</stp>
        <stp>CL2 Comdty</stp>
        <stp>PX_LAST</stp>
        <stp>12/01/2016</stp>
        <stp>12/01/2016</stp>
        <stp>[Bbg_Market_Data_CL.xlsm]data!R311C9</stp>
        <tr r="I311" s="1"/>
      </tp>
      <tp t="s">
        <v>#N/A Requesting Data...</v>
        <stp/>
        <stp>##V3_BDHV12</stp>
        <stp>CL1 Comdty</stp>
        <stp>PX_LAST</stp>
        <stp>23/03/2016</stp>
        <stp>23/03/2016</stp>
        <stp>[Bbg_Market_Data_CL.xlsm]data!R263C9</stp>
        <tr r="I263" s="1"/>
      </tp>
      <tp t="s">
        <v>#N/A Requesting Data...</v>
        <stp/>
        <stp>##V3_BDHV12</stp>
        <stp>CL2 Comdty</stp>
        <stp>PX_LAST</stp>
        <stp>15/05/2015</stp>
        <stp>15/05/2015</stp>
        <stp>[Bbg_Market_Data_CL.xlsm]data!R475C9</stp>
        <tr r="I475" s="1"/>
      </tp>
      <tp t="s">
        <v>#N/A Requesting Data...</v>
        <stp/>
        <stp>##V3_BDHV12</stp>
        <stp>CL2 Comdty</stp>
        <stp>PX_LAST</stp>
        <stp>04/05/2015</stp>
        <stp>04/05/2015</stp>
        <stp>[Bbg_Market_Data_CL.xlsm]data!R484C9</stp>
        <tr r="I484" s="1"/>
      </tp>
      <tp t="s">
        <v>#N/A Requesting Data...</v>
        <stp/>
        <stp>##V3_BDHV12</stp>
        <stp>CL1 Comdty</stp>
        <stp>PX_LAST</stp>
        <stp>24/07/2015</stp>
        <stp>24/07/2015</stp>
        <stp>[Bbg_Market_Data_CL.xlsm]data!R427C9</stp>
        <tr r="I427" s="1"/>
      </tp>
      <tp t="s">
        <v>#N/A Requesting Data...</v>
        <stp/>
        <stp>##V3_BDHV12</stp>
        <stp>CL2 Comdty</stp>
        <stp>PX_LAST</stp>
        <stp>04/05/2016</stp>
        <stp>04/05/2016</stp>
        <stp>[Bbg_Market_Data_CL.xlsm]data!R234C9</stp>
        <tr r="I234" s="1"/>
      </tp>
      <tp t="s">
        <v>#N/A Requesting Data...</v>
        <stp/>
        <stp>##V3_BDHV12</stp>
        <stp>CL2 Comdty</stp>
        <stp>PX_LAST</stp>
        <stp>05/04/2016</stp>
        <stp>05/04/2016</stp>
        <stp>[Bbg_Market_Data_CL.xlsm]data!R255C9</stp>
        <tr r="I255" s="1"/>
      </tp>
      <tp t="s">
        <v>#N/A Requesting Data...</v>
        <stp/>
        <stp>##V3_BDHV12</stp>
        <stp>CL1 Comdty</stp>
        <stp>PX_LAST</stp>
        <stp>26/06/2015</stp>
        <stp>26/06/2015</stp>
        <stp>[Bbg_Market_Data_CL.xlsm]data!R446C9</stp>
        <tr r="I446" s="1"/>
      </tp>
      <tp t="s">
        <v>#N/A Requesting Data...</v>
        <stp/>
        <stp>##V3_BDHV12</stp>
        <stp>CL1 Comdty</stp>
        <stp>PX_LAST</stp>
        <stp>11/01/2016</stp>
        <stp>11/01/2016</stp>
        <stp>[Bbg_Market_Data_CL.xlsm]data!R312C9</stp>
        <tr r="I312" s="1"/>
      </tp>
      <tp t="s">
        <v>#N/A Requesting Data...</v>
        <stp/>
        <stp>##V3_BDHV12</stp>
        <stp>CL1 Comdty</stp>
        <stp>PX_LAST</stp>
        <stp>15/06/2015</stp>
        <stp>15/06/2015</stp>
        <stp>[Bbg_Market_Data_CL.xlsm]data!R455C9</stp>
        <tr r="I455" s="1"/>
      </tp>
      <tp t="s">
        <v>#N/A Requesting Data...</v>
        <stp/>
        <stp>##V3_BDHV12</stp>
        <stp>CL1 Comdty</stp>
        <stp>PX_LAST</stp>
        <stp>13/10/2015</stp>
        <stp>13/10/2015</stp>
        <stp>[Bbg_Market_Data_CL.xlsm]data!R372C9</stp>
        <tr r="I372" s="1"/>
      </tp>
      <tp t="s">
        <v>#N/A Requesting Data...</v>
        <stp/>
        <stp>##V3_BDHV12</stp>
        <stp>CL1 Comdty</stp>
        <stp>PX_LAST</stp>
        <stp>04/04/2016</stp>
        <stp>04/04/2016</stp>
        <stp>[Bbg_Market_Data_CL.xlsm]data!R256C9</stp>
        <tr r="I256" s="1"/>
      </tp>
      <tp t="s">
        <v>#N/A Requesting Data...</v>
        <stp/>
        <stp>##V3_BDHV12</stp>
        <stp>CL1 Comdty</stp>
        <stp>PX_LAST</stp>
        <stp>15/04/2016</stp>
        <stp>15/04/2016</stp>
        <stp>[Bbg_Market_Data_CL.xlsm]data!R247C9</stp>
        <tr r="I247" s="1"/>
      </tp>
      <tp t="s">
        <v>#N/A Requesting Data...</v>
        <stp/>
        <stp>##V3_BDHV12</stp>
        <stp>CL1 Comdty</stp>
        <stp>PX_LAST</stp>
        <stp>10/11/2016</stp>
        <stp>10/11/2016</stp>
        <stp>[Bbg_Market_Data_CL.xlsm]data!R103C9</stp>
        <tr r="I103" s="1"/>
      </tp>
      <tp t="s">
        <v>#N/A Requesting Data...</v>
        <stp/>
        <stp>##V3_BDHV12</stp>
        <stp>CL1 Comdty</stp>
        <stp>PX_LAST</stp>
        <stp>15/07/2015</stp>
        <stp>15/07/2015</stp>
        <stp>[Bbg_Market_Data_CL.xlsm]data!R434C9</stp>
        <tr r="I434" s="1"/>
      </tp>
      <tp t="s">
        <v>#N/A Requesting Data...</v>
        <stp/>
        <stp>##V3_BDHV12</stp>
        <stp>CL1 Comdty</stp>
        <stp>PX_LAST</stp>
        <stp>23/12/2015</stp>
        <stp>23/12/2015</stp>
        <stp>[Bbg_Market_Data_CL.xlsm]data!R323C9</stp>
        <tr r="I323" s="1"/>
      </tp>
      <tp t="s">
        <v>#N/A Requesting Data...</v>
        <stp/>
        <stp>##V3_BDHV12</stp>
        <stp>CL2 Comdty</stp>
        <stp>PX_LAST</stp>
        <stp>13/11/2015</stp>
        <stp>13/11/2015</stp>
        <stp>[Bbg_Market_Data_CL.xlsm]data!R350C9</stp>
        <tr r="I350" s="1"/>
      </tp>
      <tp t="s">
        <v>#N/A Requesting Data...</v>
        <stp/>
        <stp>##V3_BDHV12</stp>
        <stp>CL1 Comdty</stp>
        <stp>PX_LAST</stp>
        <stp>02/06/2015</stp>
        <stp>02/06/2015</stp>
        <stp>[Bbg_Market_Data_CL.xlsm]data!R464C9</stp>
        <tr r="I464" s="1"/>
      </tp>
      <tp>
        <v>51.62</v>
        <stp/>
        <stp>##V3_BDHV12</stp>
        <stp>CL1 Comdty</stp>
        <stp>PX_HIGH</stp>
        <stp>08/06/2016</stp>
        <stp>08/06/2016</stp>
        <stp>[Bbg_Market_Data_CL.xlsm]data!R210C6</stp>
        <tr r="F210" s="1"/>
        <tr r="F210" s="1"/>
      </tp>
      <tp t="s">
        <v>#N/A Requesting Data...</v>
        <stp/>
        <stp>##V3_BDHV12</stp>
        <stp>CL2 Comdty</stp>
        <stp>PX_LAST</stp>
        <stp>26/02/2016</stp>
        <stp>26/02/2016</stp>
        <stp>[Bbg_Market_Data_CL.xlsm]data!R281C9</stp>
        <tr r="I281" s="1"/>
      </tp>
      <tp t="s">
        <v>#N/A Requesting Data...</v>
        <stp/>
        <stp>##V3_BDHV12</stp>
        <stp>CL2 Comdty</stp>
        <stp>PX_LAST</stp>
        <stp>14/10/2015</stp>
        <stp>14/10/2015</stp>
        <stp>[Bbg_Market_Data_CL.xlsm]data!R371C9</stp>
        <tr r="I371" s="1"/>
      </tp>
      <tp t="s">
        <v>#N/A Requesting Data...</v>
        <stp/>
        <stp>##V3_BDHV12</stp>
        <stp>CL2 Comdty</stp>
        <stp>PX_LAST</stp>
        <stp>12/06/2015</stp>
        <stp>12/06/2015</stp>
        <stp>[Bbg_Market_Data_CL.xlsm]data!R456C9</stp>
        <tr r="I456" s="1"/>
      </tp>
      <tp t="s">
        <v>#N/A Requesting Data...</v>
        <stp/>
        <stp>##V3_BDHV12</stp>
        <stp>CL2 Comdty</stp>
        <stp>PX_LAST</stp>
        <stp>17/10/2016</stp>
        <stp>17/10/2016</stp>
        <stp>[Bbg_Market_Data_CL.xlsm]data!R121C9</stp>
        <tr r="I121" s="1"/>
      </tp>
      <tp t="s">
        <v>#N/A Requesting Data...</v>
        <stp/>
        <stp>##V3_BDHV12</stp>
        <stp>CL1 Comdty</stp>
        <stp>PX_LAST</stp>
        <stp>14/03/2016</stp>
        <stp>14/03/2016</stp>
        <stp>[Bbg_Market_Data_CL.xlsm]data!R270C9</stp>
        <tr r="I270" s="1"/>
      </tp>
      <tp t="s">
        <v>#N/A Requesting Data...</v>
        <stp/>
        <stp>##V3_BDHV12</stp>
        <stp>CL2 Comdty</stp>
        <stp>PX_LAST</stp>
        <stp>16/11/2016</stp>
        <stp>16/11/2016</stp>
        <stp>[Bbg_Market_Data_CL.xlsm]data!R100C9</stp>
        <tr r="I100" s="1"/>
      </tp>
      <tp t="s">
        <v>#N/A Requesting Data...</v>
        <stp/>
        <stp>##V3_BDHV12</stp>
        <stp>CL2 Comdty</stp>
        <stp>PX_LAST</stp>
        <stp>27/10/2015</stp>
        <stp>27/10/2015</stp>
        <stp>[Bbg_Market_Data_CL.xlsm]data!R362C9</stp>
        <tr r="I362" s="1"/>
      </tp>
      <tp t="s">
        <v>#N/A Requesting Data...</v>
        <stp/>
        <stp>##V3_BDHV12</stp>
        <stp>CL2 Comdty</stp>
        <stp>PX_LAST</stp>
        <stp>30/06/2015</stp>
        <stp>30/06/2015</stp>
        <stp>[Bbg_Market_Data_CL.xlsm]data!R444C9</stp>
        <tr r="I444" s="1"/>
      </tp>
      <tp t="s">
        <v>#N/A Requesting Data...</v>
        <stp/>
        <stp>##V3_BDHV12</stp>
        <stp>CL1 Comdty</stp>
        <stp>PX_LAST</stp>
        <stp>20/04/2016</stp>
        <stp>20/04/2016</stp>
        <stp>[Bbg_Market_Data_CL.xlsm]data!R244C9</stp>
        <tr r="I244" s="1"/>
      </tp>
      <tp>
        <v>59.13</v>
        <stp/>
        <stp>##V3_BDHV12</stp>
        <stp>CL1 Comdty</stp>
        <stp>PX_HIGH</stp>
        <stp>08/06/2015</stp>
        <stp>08/06/2015</stp>
        <stp>[Bbg_Market_Data_CL.xlsm]data!R460C6</stp>
        <tr r="F460" s="1"/>
        <tr r="F460" s="1"/>
      </tp>
      <tp>
        <v>60.56</v>
        <stp/>
        <stp>##V3_BDHV12</stp>
        <stp>CL1 Comdty</stp>
        <stp>PX_HIGH</stp>
        <stp>19/06/2015</stp>
        <stp>19/06/2015</stp>
        <stp>[Bbg_Market_Data_CL.xlsm]data!R451C6</stp>
        <tr r="F451" s="1"/>
        <tr r="F451" s="1"/>
      </tp>
      <tp t="s">
        <v>#N/A Requesting Data...</v>
        <stp/>
        <stp>##V3_BDHV12</stp>
        <stp>CL1 Comdty</stp>
        <stp>PX_LAST</stp>
        <stp>14/10/2016</stp>
        <stp>14/10/2016</stp>
        <stp>[Bbg_Market_Data_CL.xlsm]data!R122C9</stp>
        <tr r="I122" s="1"/>
      </tp>
      <tp t="s">
        <v>#N/A Requesting Data...</v>
        <stp/>
        <stp>##V3_BDHV12</stp>
        <stp>CL2 Comdty</stp>
        <stp>PX_LAST</stp>
        <stp>26/01/2016</stp>
        <stp>26/01/2016</stp>
        <stp>[Bbg_Market_Data_CL.xlsm]data!R302C9</stp>
        <tr r="I302" s="1"/>
      </tp>
      <tp t="s">
        <v>#N/A Requesting Data...</v>
        <stp/>
        <stp>##V3_BDHV12</stp>
        <stp>CL1 Comdty</stp>
        <stp>PX_LAST</stp>
        <stp>25/02/2016</stp>
        <stp>25/02/2016</stp>
        <stp>[Bbg_Market_Data_CL.xlsm]data!R282C9</stp>
        <tr r="I282" s="1"/>
      </tp>
      <tp t="s">
        <v>#N/A Requesting Data...</v>
        <stp/>
        <stp>##V3_BDHV12</stp>
        <stp>CL1 Comdty</stp>
        <stp>PX_LAST</stp>
        <stp>20/04/2015</stp>
        <stp>20/04/2015</stp>
        <stp>[Bbg_Market_Data_CL.xlsm]data!R494C9</stp>
        <tr r="I494" s="1"/>
      </tp>
      <tp t="s">
        <v>#N/A Requesting Data...</v>
        <stp/>
        <stp>##V3_BDHV12</stp>
        <stp>CL2 Comdty</stp>
        <stp>PX_LAST</stp>
        <stp>10/07/2015</stp>
        <stp>10/07/2015</stp>
        <stp>[Bbg_Market_Data_CL.xlsm]data!R437C9</stp>
        <tr r="I437" s="1"/>
      </tp>
      <tp t="s">
        <v>#N/A Requesting Data...</v>
        <stp/>
        <stp>##V3_BDHV12</stp>
        <stp>CL2 Comdty</stp>
        <stp>PX_LAST</stp>
        <stp>30/06/2016</stp>
        <stp>30/06/2016</stp>
        <stp>[Bbg_Market_Data_CL.xlsm]data!R194C9</stp>
        <tr r="I194" s="1"/>
      </tp>
      <tp>
        <v>39.840000000000003</v>
        <stp/>
        <stp>##V3_BDHV12</stp>
        <stp>CL1 Comdty</stp>
        <stp>PX_HIGH</stp>
        <stp>08/04/2016</stp>
        <stp>08/04/2016</stp>
        <stp>[Bbg_Market_Data_CL.xlsm]data!R252C6</stp>
        <tr r="F252" s="1"/>
        <tr r="F252" s="1"/>
      </tp>
      <tp t="s">
        <v>#N/A Requesting Data...</v>
        <stp/>
        <stp>##V3_BDHV12</stp>
        <stp>CL1 Comdty</stp>
        <stp>PX_LAST</stp>
        <stp>14/12/2015</stp>
        <stp>14/12/2015</stp>
        <stp>[Bbg_Market_Data_CL.xlsm]data!R330C9</stp>
        <tr r="I330" s="1"/>
      </tp>
      <tp t="s">
        <v>#N/A Requesting Data...</v>
        <stp/>
        <stp>##V3_BDHV12</stp>
        <stp>CL1 Comdty</stp>
        <stp>PX_LAST</stp>
        <stp>27/01/2016</stp>
        <stp>27/01/2016</stp>
        <stp>[Bbg_Market_Data_CL.xlsm]data!R301C9</stp>
        <tr r="I301" s="1"/>
      </tp>
      <tp t="s">
        <v>#N/A Requesting Data...</v>
        <stp/>
        <stp>##V3_BDHV12</stp>
        <stp>CL2 Comdty</stp>
        <stp>PX_LAST</stp>
        <stp>24/11/2015</stp>
        <stp>24/11/2015</stp>
        <stp>[Bbg_Market_Data_CL.xlsm]data!R343C9</stp>
        <tr r="I343" s="1"/>
      </tp>
      <tp t="s">
        <v>#N/A Requesting Data...</v>
        <stp/>
        <stp>##V3_BDHV12</stp>
        <stp>CL2 Comdty</stp>
        <stp>PX_LAST</stp>
        <stp>30/04/2015</stp>
        <stp>30/04/2015</stp>
        <stp>[Bbg_Market_Data_CL.xlsm]data!R486C9</stp>
        <tr r="I486" s="1"/>
      </tp>
      <tp t="s">
        <v>#N/A Requesting Data...</v>
        <stp/>
        <stp>##V3_BDHV12</stp>
        <stp>CL1 Comdty</stp>
        <stp>PX_LAST</stp>
        <stp>02/06/2016</stp>
        <stp>02/06/2016</stp>
        <stp>[Bbg_Market_Data_CL.xlsm]data!R214C9</stp>
        <tr r="I214" s="1"/>
      </tp>
      <tp t="s">
        <v>#N/A Requesting Data...</v>
        <stp/>
        <stp>##V3_BDHV12</stp>
        <stp>CL2 Comdty</stp>
        <stp>PX_LAST</stp>
        <stp>12/07/2016</stp>
        <stp>12/07/2016</stp>
        <stp>[Bbg_Market_Data_CL.xlsm]data!R187C9</stp>
        <tr r="I187" s="1"/>
      </tp>
      <tp>
        <v>42.75</v>
        <stp/>
        <stp>##V3_BDHV12</stp>
        <stp>CL1 Comdty</stp>
        <stp>PX_HIGH</stp>
        <stp>23/11/2015</stp>
        <stp>23/11/2015</stp>
        <stp>[Bbg_Market_Data_CL.xlsm]data!R344C6</stp>
        <tr r="F344" s="1"/>
        <tr r="F344" s="1"/>
      </tp>
      <tp>
        <v>46.1</v>
        <stp/>
        <stp>##V3_BDHV12</stp>
        <stp>CL1 Comdty</stp>
        <stp>PX_HIGH</stp>
        <stp>22/10/2015</stp>
        <stp>22/10/2015</stp>
        <stp>[Bbg_Market_Data_CL.xlsm]data!R365C6</stp>
        <tr r="F365" s="1"/>
        <tr r="F365" s="1"/>
      </tp>
      <tp>
        <v>61.1</v>
        <stp/>
        <stp>##V3_BDHV12</stp>
        <stp>CL1 Comdty</stp>
        <stp>PX_HIGH</stp>
        <stp>05/05/2015</stp>
        <stp>05/05/2015</stp>
        <stp>[Bbg_Market_Data_CL.xlsm]data!R483C6</stp>
        <tr r="F483" s="1"/>
        <tr r="F483" s="1"/>
      </tp>
      <tp t="s">
        <v>#N/A Requesting Data...</v>
        <stp/>
        <stp>##V3_BDHV12</stp>
        <stp>CL1 Comdty</stp>
        <stp>PX_LAST</stp>
        <stp>20/09/2016</stp>
        <stp>20/09/2016</stp>
        <stp>[Bbg_Market_Data_CL.xlsm]data!R139C9</stp>
        <tr r="I139" s="1"/>
      </tp>
      <tp>
        <v>30.25</v>
        <stp/>
        <stp>##V3_BDHV12</stp>
        <stp>CL1 Comdty</stp>
        <stp>PX_HIGH</stp>
        <stp>21/01/2016</stp>
        <stp>21/01/2016</stp>
        <stp>[Bbg_Market_Data_CL.xlsm]data!R305C6</stp>
        <tr r="F305" s="1"/>
        <tr r="F305" s="1"/>
      </tp>
      <tp>
        <v>55.34</v>
        <stp/>
        <stp>##V3_BDHV12</stp>
        <stp>CL1 Comdty</stp>
        <stp>PX_HIGH</stp>
        <stp>06/07/2015</stp>
        <stp>06/07/2015</stp>
        <stp>[Bbg_Market_Data_CL.xlsm]data!R441C6</stp>
        <tr r="F441" s="1"/>
        <tr r="F441" s="1"/>
      </tp>
      <tp t="s">
        <v>#N/A Requesting Data...</v>
        <stp/>
        <stp>##V3_BDHV12</stp>
        <stp>CL2 Comdty</stp>
        <stp>PX_LAST</stp>
        <stp>29/12/2015</stp>
        <stp>29/12/2015</stp>
        <stp>[Bbg_Market_Data_CL.xlsm]data!R320C9</stp>
        <tr r="I320" s="1"/>
      </tp>
      <tp t="s">
        <v>#N/A Requesting Data...</v>
        <stp/>
        <stp>##V3_BDHV12</stp>
        <stp>CL2 Comdty</stp>
        <stp>PX_LAST</stp>
        <stp>28/10/2016</stp>
        <stp>28/10/2016</stp>
        <stp>[Bbg_Market_Data_CL.xlsm]data!R112C9</stp>
        <tr r="I112" s="1"/>
      </tp>
      <tp t="s">
        <v>#N/A Requesting Data...</v>
        <stp/>
        <stp>##V3_BDHV12</stp>
        <stp>CL1 Comdty</stp>
        <stp>PX_LAST</stp>
        <stp>09/10/2015</stp>
        <stp>09/10/2015</stp>
        <stp>[Bbg_Market_Data_CL.xlsm]data!R373C9</stp>
        <tr r="I373" s="1"/>
      </tp>
      <tp t="s">
        <v>#N/A Requesting Data...</v>
        <stp/>
        <stp>##V3_BDHV12</stp>
        <stp>CL2 Comdty</stp>
        <stp>PX_LAST</stp>
        <stp>08/02/2016</stp>
        <stp>08/02/2016</stp>
        <stp>[Bbg_Market_Data_CL.xlsm]data!R293C9</stp>
        <tr r="I293" s="1"/>
      </tp>
      <tp>
        <v>47.95</v>
        <stp/>
        <stp>##V3_BDHV12</stp>
        <stp>CL1 Comdty</stp>
        <stp>PX_HIGH</stp>
        <stp>06/07/2016</stp>
        <stp>06/07/2016</stp>
        <stp>[Bbg_Market_Data_CL.xlsm]data!R191C6</stp>
        <tr r="F191" s="1"/>
        <tr r="F191" s="1"/>
      </tp>
      <tp>
        <v>57.95</v>
        <stp/>
        <stp>##V3_BDHV12</stp>
        <stp>CL1 Comdty</stp>
        <stp>PX_HIGH</stp>
        <stp>24/04/2015</stp>
        <stp>24/04/2015</stp>
        <stp>[Bbg_Market_Data_CL.xlsm]data!R490C6</stp>
        <tr r="F490" s="1"/>
        <tr r="F490" s="1"/>
      </tp>
      <tp t="s">
        <v>#N/A Requesting Data...</v>
        <stp/>
        <stp>##V3_BDHV12</stp>
        <stp>CL1 Comdty</stp>
        <stp>PX_LAST</stp>
        <stp>20/08/2015</stp>
        <stp>20/08/2015</stp>
        <stp>[Bbg_Market_Data_CL.xlsm]data!R408C9</stp>
        <tr r="I408" s="1"/>
      </tp>
      <tp t="s">
        <v>#N/A Requesting Data...</v>
        <stp/>
        <stp>##V3_BDHV12</stp>
        <stp>CL1 Comdty</stp>
        <stp>PX_LAST</stp>
        <stp>23/08/2016</stp>
        <stp>23/08/2016</stp>
        <stp>[Bbg_Market_Data_CL.xlsm]data!R158C9</stp>
        <tr r="I158" s="1"/>
      </tp>
      <tp t="s">
        <v>#N/A Requesting Data...</v>
        <stp/>
        <stp>##V3_BDHV12</stp>
        <stp>CL2 Comdty</stp>
        <stp>PX_LAST</stp>
        <stp>03/09/2015</stp>
        <stp>03/09/2015</stp>
        <stp>[Bbg_Market_Data_CL.xlsm]data!R398C9</stp>
        <tr r="I398" s="1"/>
      </tp>
      <tp t="s">
        <v>#N/A Requesting Data...</v>
        <stp/>
        <stp>##V3_BDHV12</stp>
        <stp>CL1 Comdty</stp>
        <stp>PX_LAST</stp>
        <stp>28/10/2015</stp>
        <stp>28/10/2015</stp>
        <stp>[Bbg_Market_Data_CL.xlsm]data!R361C9</stp>
        <tr r="I361" s="1"/>
      </tp>
      <tp t="s">
        <v>#N/A Requesting Data...</v>
        <stp/>
        <stp>##V3_BDHV12</stp>
        <stp>CL1 Comdty</stp>
        <stp>PX_LAST</stp>
        <stp>08/01/2016</stp>
        <stp>08/01/2016</stp>
        <stp>[Bbg_Market_Data_CL.xlsm]data!R313C9</stp>
        <tr r="I313" s="1"/>
      </tp>
      <tp>
        <v>46.07</v>
        <stp/>
        <stp>##V3_BDHV12</stp>
        <stp>CL1 Comdty</stp>
        <stp>PX_HIGH</stp>
        <stp>05/05/2016</stp>
        <stp>05/05/2016</stp>
        <stp>[Bbg_Market_Data_CL.xlsm]data!R233C6</stp>
        <tr r="F233" s="1"/>
        <tr r="F233" s="1"/>
      </tp>
      <tp>
        <v>44.83</v>
        <stp/>
        <stp>##V3_BDHV12</stp>
        <stp>CL1 Comdty</stp>
        <stp>PX_HIGH</stp>
        <stp>26/04/2016</stp>
        <stp>26/04/2016</stp>
        <stp>[Bbg_Market_Data_CL.xlsm]data!R240C6</stp>
        <tr r="F240" s="1"/>
        <tr r="F240" s="1"/>
      </tp>
      <tp t="s">
        <v>#N/A Requesting Data...</v>
        <stp/>
        <stp>##V3_BDHV12</stp>
        <stp>CL2 Comdty</stp>
        <stp>PX_LAST</stp>
        <stp>29/03/2016</stp>
        <stp>29/03/2016</stp>
        <stp>[Bbg_Market_Data_CL.xlsm]data!R260C9</stp>
        <tr r="I260" s="1"/>
      </tp>
      <tp>
        <v>32.450000000000003</v>
        <stp/>
        <stp>##V3_BDHV12</stp>
        <stp>CL1 Comdty</stp>
        <stp>PX_HIGH</stp>
        <stp>05/02/2016</stp>
        <stp>05/02/2016</stp>
        <stp>[Bbg_Market_Data_CL.xlsm]data!R294C6</stp>
        <tr r="F294" s="1"/>
        <tr r="F294" s="1"/>
      </tp>
      <tp>
        <v>50.93</v>
        <stp/>
        <stp>##V3_BDHV12</stp>
        <stp>CL1 Comdty</stp>
        <stp>PX_HIGH</stp>
        <stp>25/10/2016</stp>
        <stp>25/10/2016</stp>
        <stp>[Bbg_Market_Data_CL.xlsm]data!R115C6</stp>
        <tr r="F115" s="1"/>
        <tr r="F115" s="1"/>
      </tp>
      <tp t="s">
        <v>#N/A Requesting Data...</v>
        <stp/>
        <stp>##V3_BDHV12</stp>
        <stp>CL2 Comdty</stp>
        <stp>PX_LAST</stp>
        <stp>29/07/2015</stp>
        <stp>29/07/2015</stp>
        <stp>[Bbg_Market_Data_CL.xlsm]data!R424C9</stp>
        <tr r="I424" s="1"/>
      </tp>
      <tp t="s">
        <v>#N/A Requesting Data...</v>
        <stp/>
        <stp>##V3_BDHV12</stp>
        <stp>CL2 Comdty</stp>
        <stp>PX_LAST</stp>
        <stp>29/04/2016</stp>
        <stp>29/04/2016</stp>
        <stp>[Bbg_Market_Data_CL.xlsm]data!R237C9</stp>
        <tr r="I237" s="1"/>
      </tp>
      <tp>
        <v>40.15</v>
        <stp/>
        <stp>##V3_BDHV12</stp>
        <stp>CL1 Comdty</stp>
        <stp>PX_HIGH</stp>
        <stp>07/12/2015</stp>
        <stp>07/12/2015</stp>
        <stp>[Bbg_Market_Data_CL.xlsm]data!R335C6</stp>
        <tr r="F335" s="1"/>
        <tr r="F335" s="1"/>
      </tp>
      <tp>
        <v>50.63</v>
        <stp/>
        <stp>##V3_BDHV12</stp>
        <stp>CL1 Comdty</stp>
        <stp>PX_HIGH</stp>
        <stp>06/10/2016</stp>
        <stp>06/10/2016</stp>
        <stp>[Bbg_Market_Data_CL.xlsm]data!R127C6</stp>
        <tr r="F127" s="1"/>
        <tr r="F127" s="1"/>
      </tp>
      <tp>
        <v>48.62</v>
        <stp/>
        <stp>##V3_BDHV12</stp>
        <stp>CL1 Comdty</stp>
        <stp>PX_HIGH</stp>
        <stp>31/07/2015</stp>
        <stp>31/07/2015</stp>
        <stp>[Bbg_Market_Data_CL.xlsm]data!R422C6</stp>
        <tr r="F422" s="1"/>
        <tr r="F422" s="1"/>
      </tp>
      <tp>
        <v>45.01</v>
        <stp/>
        <stp>##V3_BDHV12</stp>
        <stp>CL1 Comdty</stp>
        <stp>PX_HIGH</stp>
        <stp>07/11/2016</stp>
        <stp>07/11/2016</stp>
        <stp>[Bbg_Market_Data_CL.xlsm]data!R106C6</stp>
        <tr r="F106" s="1"/>
        <tr r="F106" s="1"/>
      </tp>
      <tp>
        <v>46.94</v>
        <stp/>
        <stp>##V3_BDHV12</stp>
        <stp>CL1 Comdty</stp>
        <stp>PX_HIGH</stp>
        <stp>05/10/2015</stp>
        <stp>05/10/2015</stp>
        <stp>[Bbg_Market_Data_CL.xlsm]data!R377C6</stp>
        <tr r="F377" s="1"/>
        <tr r="F377" s="1"/>
      </tp>
      <tp>
        <v>48.28</v>
        <stp/>
        <stp>##V3_BDHV12</stp>
        <stp>CL1 Comdty</stp>
        <stp>PX_HIGH</stp>
        <stp>04/11/2015</stp>
        <stp>04/11/2015</stp>
        <stp>[Bbg_Market_Data_CL.xlsm]data!R356C6</stp>
        <tr r="F356" s="1"/>
        <tr r="F356" s="1"/>
      </tp>
      <tp t="s">
        <v>#N/A Requesting Data...</v>
        <stp/>
        <stp>##V3_BDHV12</stp>
        <stp>CL2 Comdty</stp>
        <stp>PX_LAST</stp>
        <stp>07/09/2016</stp>
        <stp>07/09/2016</stp>
        <stp>[Bbg_Market_Data_CL.xlsm]data!R148C9</stp>
        <tr r="I148" s="1"/>
      </tp>
      <tp t="s">
        <v>#N/A Requesting Data...</v>
        <stp/>
        <stp>##V3_BDHV12</stp>
        <stp>CL2 Comdty</stp>
        <stp>PX_LAST</stp>
        <stp>05/08/2015</stp>
        <stp>05/08/2015</stp>
        <stp>[Bbg_Market_Data_CL.xlsm]data!R419C9</stp>
        <tr r="I419" s="1"/>
      </tp>
      <tp t="s">
        <v>#N/A Requesting Data...</v>
        <stp/>
        <stp>##V3_BDHV12</stp>
        <stp>CL2 Comdty</stp>
        <stp>PX_LAST</stp>
        <stp>29/06/2015</stp>
        <stp>29/06/2015</stp>
        <stp>[Bbg_Market_Data_CL.xlsm]data!R445C9</stp>
        <tr r="I445" s="1"/>
      </tp>
      <tp>
        <v>38.39</v>
        <stp/>
        <stp>##V3_BDHV12</stp>
        <stp>CL1 Comdty</stp>
        <stp>PX_HIGH</stp>
        <stp>04/01/2016</stp>
        <stp>04/01/2016</stp>
        <stp>[Bbg_Market_Data_CL.xlsm]data!R317C6</stp>
        <tr r="F317" s="1"/>
        <tr r="F317" s="1"/>
      </tp>
      <tp>
        <v>60.94</v>
        <stp/>
        <stp>##V3_BDHV12</stp>
        <stp>CL1 Comdty</stp>
        <stp>PX_HIGH</stp>
        <stp>21/05/2015</stp>
        <stp>21/05/2015</stp>
        <stp>[Bbg_Market_Data_CL.xlsm]data!R471C6</stp>
        <tr r="F471" s="1"/>
        <tr r="F471" s="1"/>
      </tp>
      <tp t="s">
        <v>#N/A Requesting Data...</v>
        <stp/>
        <stp>##V3_BDHV12</stp>
        <stp>CL2 Comdty</stp>
        <stp>PX_LAST</stp>
        <stp>05/08/2016</stp>
        <stp>05/08/2016</stp>
        <stp>[Bbg_Market_Data_CL.xlsm]data!R169C9</stp>
        <tr r="I169" s="1"/>
      </tp>
      <tp t="s">
        <v>#N/A Requesting Data...</v>
        <stp/>
        <stp>##V3_BDHV12</stp>
        <stp>CL2 Comdty</stp>
        <stp>PX_LAST</stp>
        <stp>29/05/2015</stp>
        <stp>29/05/2015</stp>
        <stp>[Bbg_Market_Data_CL.xlsm]data!R466C9</stp>
        <tr r="I466" s="1"/>
      </tp>
      <tp t="s">
        <v>#N/A Requesting Data...</v>
        <stp/>
        <stp>##V3_BDHV12</stp>
        <stp>CL2 Comdty</stp>
        <stp>PX_LAST</stp>
        <stp>29/06/2016</stp>
        <stp>29/06/2016</stp>
        <stp>[Bbg_Market_Data_CL.xlsm]data!R195C9</stp>
        <tr r="I195" s="1"/>
      </tp>
      <tp>
        <v>38.11</v>
        <stp/>
        <stp>##V3_BDHV12</stp>
        <stp>CL1 Comdty</stp>
        <stp>PX_HIGH</stp>
        <stp>07/03/2016</stp>
        <stp>07/03/2016</stp>
        <stp>[Bbg_Market_Data_CL.xlsm]data!R275C6</stp>
        <tr r="F275" s="1"/>
        <tr r="F275" s="1"/>
      </tp>
      <tp>
        <v>49.42</v>
        <stp/>
        <stp>##V3_BDHV12</stp>
        <stp>CL1 Comdty</stp>
        <stp>PX_HIGH</stp>
        <stp>20/06/2016</stp>
        <stp>20/06/2016</stp>
        <stp>[Bbg_Market_Data_CL.xlsm]data!R202C6</stp>
        <tr r="F202" s="1"/>
        <tr r="F202" s="1"/>
      </tp>
      <tp>
        <v>48.5</v>
        <stp/>
        <stp>##V3_BDHV12</stp>
        <stp>CL1 Comdty</stp>
        <stp>PX_HIGH</stp>
        <stp>23/05/2016</stp>
        <stp>23/05/2016</stp>
        <stp>[Bbg_Market_Data_CL.xlsm]data!R221C6</stp>
        <tr r="F221" s="1"/>
        <tr r="F221" s="1"/>
      </tp>
      <tp t="s">
        <v>#N/A Requesting Data...</v>
        <stp/>
        <stp>##V3_BDHV12</stp>
        <stp>CL2 Comdty</stp>
        <stp>PX_LAST</stp>
        <stp>17/09/2015</stp>
        <stp>17/09/2015</stp>
        <stp>[Bbg_Market_Data_CL.xlsm]data!R389C9</stp>
        <tr r="I389" s="1"/>
      </tp>
      <tp t="s">
        <v>#N/A Requesting Data...</v>
        <stp/>
        <stp>##V3_BDHV12</stp>
        <stp>CL2 Comdty</stp>
        <stp>PX_LAST</stp>
        <stp>29/04/2015</stp>
        <stp>29/04/2015</stp>
        <stp>[Bbg_Market_Data_CL.xlsm]data!R487C9</stp>
        <tr r="I487" s="1"/>
      </tp>
      <tp t="s">
        <v>#N/A Requesting Data...</v>
        <stp/>
        <stp>##V3_BDHV12</stp>
        <stp>CL2 Comdty</stp>
        <stp>PX_LAST</stp>
        <stp>29/07/2016</stp>
        <stp>29/07/2016</stp>
        <stp>[Bbg_Market_Data_CL.xlsm]data!R174C9</stp>
        <tr r="I174" s="1"/>
      </tp>
      <tp t="s">
        <v>#N/A Requesting Data...</v>
        <stp/>
        <stp>##V3_BDHV12</stp>
        <stp>CL1 Comdty</stp>
        <stp>PX_LAST</stp>
        <stp>28/06/2016</stp>
        <stp>28/06/2016</stp>
        <stp>[Bbg_Market_Data_CL.xlsm]data!R196C9</stp>
        <tr r="I196" s="1"/>
      </tp>
      <tp>
        <v>59.67</v>
        <stp/>
        <stp>##V3_BDHV12</stp>
        <stp>CL1 Comdty</stp>
        <stp>PX_OPEN</stp>
        <stp>15/05/2015</stp>
        <stp>15/05/2015</stp>
        <stp>[Bbg_Market_Data_CL.xlsm]data!R475C5</stp>
        <tr r="E475" s="1"/>
        <tr r="E475" s="1"/>
      </tp>
      <tp>
        <v>59.3</v>
        <stp/>
        <stp>##V3_BDHV12</stp>
        <stp>CL1 Comdty</stp>
        <stp>PX_OPEN</stp>
        <stp>04/05/2015</stp>
        <stp>04/05/2015</stp>
        <stp>[Bbg_Market_Data_CL.xlsm]data!R484C5</stp>
        <tr r="E484" s="1"/>
        <tr r="E484" s="1"/>
      </tp>
      <tp>
        <v>31.11</v>
        <stp/>
        <stp>##V3_BDHV12</stp>
        <stp>CL1 Comdty</stp>
        <stp>PX_OPEN</stp>
        <stp>12/01/2016</stp>
        <stp>12/01/2016</stp>
        <stp>[Bbg_Market_Data_CL.xlsm]data!R311C5</stp>
        <tr r="E311" s="1"/>
        <tr r="E311" s="1"/>
      </tp>
      <tp>
        <v>48.52</v>
        <stp/>
        <stp>##V3_BDHV12</stp>
        <stp>CL1 Comdty</stp>
        <stp>PX_OPEN</stp>
        <stp>14/06/2016</stp>
        <stp>14/06/2016</stp>
        <stp>[Bbg_Market_Data_CL.xlsm]data!R206C5</stp>
        <tr r="E206" s="1"/>
        <tr r="E206" s="1"/>
      </tp>
      <tp>
        <v>47.9</v>
        <stp/>
        <stp>##V3_BDHV12</stp>
        <stp>CL1 Comdty</stp>
        <stp>PX_OPEN</stp>
        <stp>17/05/2016</stp>
        <stp>17/05/2016</stp>
        <stp>[Bbg_Market_Data_CL.xlsm]data!R225C5</stp>
        <tr r="E225" s="1"/>
        <tr r="E225" s="1"/>
      </tp>
      <tp>
        <v>48.04</v>
        <stp/>
        <stp>##V3_BDHV12</stp>
        <stp>CL1 Comdty</stp>
        <stp>PX_OPEN</stp>
        <stp>03/10/2016</stp>
        <stp>03/10/2016</stp>
        <stp>[Bbg_Market_Data_CL.xlsm]data!R130C5</stp>
        <tr r="E130" s="1"/>
        <tr r="E130" s="1"/>
      </tp>
      <tp>
        <v>41.61</v>
        <stp/>
        <stp>##V3_BDHV12</stp>
        <stp>CL1 Comdty</stp>
        <stp>PX_OPEN</stp>
        <stp>13/11/2015</stp>
        <stp>13/11/2015</stp>
        <stp>[Bbg_Market_Data_CL.xlsm]data!R350C5</stp>
        <tr r="E350" s="1"/>
        <tr r="E350" s="1"/>
      </tp>
      <tp>
        <v>43.85</v>
        <stp/>
        <stp>##V3_BDHV12</stp>
        <stp>CL1 Comdty</stp>
        <stp>PX_OPEN</stp>
        <stp>04/05/2016</stp>
        <stp>04/05/2016</stp>
        <stp>[Bbg_Market_Data_CL.xlsm]data!R234C5</stp>
        <tr r="E234" s="1"/>
        <tr r="E234" s="1"/>
      </tp>
      <tp>
        <v>35.5</v>
        <stp/>
        <stp>##V3_BDHV12</stp>
        <stp>CL1 Comdty</stp>
        <stp>PX_OPEN</stp>
        <stp>05/04/2016</stp>
        <stp>05/04/2016</stp>
        <stp>[Bbg_Market_Data_CL.xlsm]data!R255C5</stp>
        <tr r="E255" s="1"/>
        <tr r="E255" s="1"/>
      </tp>
      <tp>
        <v>50.23</v>
        <stp/>
        <stp>##V3_BDHV12</stp>
        <stp>CL1 Comdty</stp>
        <stp>PX_OPEN</stp>
        <stp>17/10/2016</stp>
        <stp>17/10/2016</stp>
        <stp>[Bbg_Market_Data_CL.xlsm]data!R121C5</stp>
        <tr r="E121" s="1"/>
        <tr r="E121" s="1"/>
      </tp>
      <tp>
        <v>45.77</v>
        <stp/>
        <stp>##V3_BDHV12</stp>
        <stp>CL1 Comdty</stp>
        <stp>PX_OPEN</stp>
        <stp>16/11/2016</stp>
        <stp>16/11/2016</stp>
        <stp>[Bbg_Market_Data_CL.xlsm]data!R100C5</stp>
        <tr r="E100" s="1"/>
        <tr r="E100" s="1"/>
      </tp>
      <tp>
        <v>58.27</v>
        <stp/>
        <stp>##V3_BDHV12</stp>
        <stp>CL1 Comdty</stp>
        <stp>PX_OPEN</stp>
        <stp>30/06/2015</stp>
        <stp>30/06/2015</stp>
        <stp>[Bbg_Market_Data_CL.xlsm]data!R444C5</stp>
        <tr r="E444" s="1"/>
        <tr r="E444" s="1"/>
      </tp>
      <tp>
        <v>43.78</v>
        <stp/>
        <stp>##V3_BDHV12</stp>
        <stp>CL1 Comdty</stp>
        <stp>PX_OPEN</stp>
        <stp>27/10/2015</stp>
        <stp>27/10/2015</stp>
        <stp>[Bbg_Market_Data_CL.xlsm]data!R362C5</stp>
        <tr r="E362" s="1"/>
        <tr r="E362" s="1"/>
      </tp>
      <tp>
        <v>46.69</v>
        <stp/>
        <stp>##V3_BDHV12</stp>
        <stp>CL1 Comdty</stp>
        <stp>PX_OPEN</stp>
        <stp>14/10/2015</stp>
        <stp>14/10/2015</stp>
        <stp>[Bbg_Market_Data_CL.xlsm]data!R371C5</stp>
        <tr r="E371" s="1"/>
        <tr r="E371" s="1"/>
      </tp>
      <tp>
        <v>33.04</v>
        <stp/>
        <stp>##V3_BDHV12</stp>
        <stp>CL1 Comdty</stp>
        <stp>PX_OPEN</stp>
        <stp>26/02/2016</stp>
        <stp>26/02/2016</stp>
        <stp>[Bbg_Market_Data_CL.xlsm]data!R281C5</stp>
        <tr r="E281" s="1"/>
        <tr r="E281" s="1"/>
      </tp>
      <tp>
        <v>60.55</v>
        <stp/>
        <stp>##V3_BDHV12</stp>
        <stp>CL1 Comdty</stp>
        <stp>PX_OPEN</stp>
        <stp>12/06/2015</stp>
        <stp>12/06/2015</stp>
        <stp>[Bbg_Market_Data_CL.xlsm]data!R456C5</stp>
        <tr r="E456" s="1"/>
        <tr r="E456" s="1"/>
      </tp>
      <tp>
        <v>58.55</v>
        <stp/>
        <stp>##V3_BDHV12</stp>
        <stp>CL1 Comdty</stp>
        <stp>PX_OPEN</stp>
        <stp>30/04/2015</stp>
        <stp>30/04/2015</stp>
        <stp>[Bbg_Market_Data_CL.xlsm]data!R486C5</stp>
        <tr r="E486" s="1"/>
        <tr r="E486" s="1"/>
      </tp>
      <tp>
        <v>42.04</v>
        <stp/>
        <stp>##V3_BDHV12</stp>
        <stp>CL1 Comdty</stp>
        <stp>PX_OPEN</stp>
        <stp>24/11/2015</stp>
        <stp>24/11/2015</stp>
        <stp>[Bbg_Market_Data_CL.xlsm]data!R343C5</stp>
        <tr r="E343" s="1"/>
        <tr r="E343" s="1"/>
      </tp>
      <tp>
        <v>44.58</v>
        <stp/>
        <stp>##V3_BDHV12</stp>
        <stp>CL1 Comdty</stp>
        <stp>PX_OPEN</stp>
        <stp>12/07/2016</stp>
        <stp>12/07/2016</stp>
        <stp>[Bbg_Market_Data_CL.xlsm]data!R187C5</stp>
        <tr r="E187" s="1"/>
        <tr r="E187" s="1"/>
      </tp>
      <tp>
        <v>52.48</v>
        <stp/>
        <stp>##V3_BDHV12</stp>
        <stp>CL1 Comdty</stp>
        <stp>PX_OPEN</stp>
        <stp>10/07/2015</stp>
        <stp>10/07/2015</stp>
        <stp>[Bbg_Market_Data_CL.xlsm]data!R437C5</stp>
        <tr r="E437" s="1"/>
        <tr r="E437" s="1"/>
      </tp>
      <tp>
        <v>29.81</v>
        <stp/>
        <stp>##V3_BDHV12</stp>
        <stp>CL1 Comdty</stp>
        <stp>PX_OPEN</stp>
        <stp>26/01/2016</stp>
        <stp>26/01/2016</stp>
        <stp>[Bbg_Market_Data_CL.xlsm]data!R302C5</stp>
        <tr r="E302" s="1"/>
        <tr r="E302" s="1"/>
      </tp>
      <tp>
        <v>49.55</v>
        <stp/>
        <stp>##V3_BDHV12</stp>
        <stp>CL1 Comdty</stp>
        <stp>PX_OPEN</stp>
        <stp>30/06/2016</stp>
        <stp>30/06/2016</stp>
        <stp>[Bbg_Market_Data_CL.xlsm]data!R194C5</stp>
        <tr r="E194" s="1"/>
        <tr r="E194" s="1"/>
      </tp>
      <tp>
        <v>30.97</v>
        <stp/>
        <stp>##V3_BDHV12</stp>
        <stp>CL1 Comdty</stp>
        <stp>PX_OPEN</stp>
        <stp>08/02/2016</stp>
        <stp>08/02/2016</stp>
        <stp>[Bbg_Market_Data_CL.xlsm]data!R293C5</stp>
        <tr r="E293" s="1"/>
        <tr r="E293" s="1"/>
      </tp>
      <tp>
        <v>49.61</v>
        <stp/>
        <stp>##V3_BDHV12</stp>
        <stp>CL1 Comdty</stp>
        <stp>PX_OPEN</stp>
        <stp>28/10/2016</stp>
        <stp>28/10/2016</stp>
        <stp>[Bbg_Market_Data_CL.xlsm]data!R112C5</stp>
        <tr r="E112" s="1"/>
        <tr r="E112" s="1"/>
      </tp>
      <tp>
        <v>36.700000000000003</v>
        <stp/>
        <stp>##V3_BDHV12</stp>
        <stp>CL1 Comdty</stp>
        <stp>PX_OPEN</stp>
        <stp>29/12/2015</stp>
        <stp>29/12/2015</stp>
        <stp>[Bbg_Market_Data_CL.xlsm]data!R320C5</stp>
        <tr r="E320" s="1"/>
        <tr r="E320" s="1"/>
      </tp>
      <tp>
        <v>39.32</v>
        <stp/>
        <stp>##V3_BDHV12</stp>
        <stp>CL1 Comdty</stp>
        <stp>PX_OPEN</stp>
        <stp>29/03/2016</stp>
        <stp>29/03/2016</stp>
        <stp>[Bbg_Market_Data_CL.xlsm]data!R260C5</stp>
        <tr r="E260" s="1"/>
        <tr r="E260" s="1"/>
      </tp>
      <tp>
        <v>46.11</v>
        <stp/>
        <stp>##V3_BDHV12</stp>
        <stp>CL1 Comdty</stp>
        <stp>PX_OPEN</stp>
        <stp>03/09/2015</stp>
        <stp>03/09/2015</stp>
        <stp>[Bbg_Market_Data_CL.xlsm]data!R398C5</stp>
        <tr r="E398" s="1"/>
        <tr r="E398" s="1"/>
      </tp>
      <tp>
        <v>58.84</v>
        <stp/>
        <stp>##V3_BDHV12</stp>
        <stp>CL1 Comdty</stp>
        <stp>PX_OPEN</stp>
        <stp>29/06/2015</stp>
        <stp>29/06/2015</stp>
        <stp>[Bbg_Market_Data_CL.xlsm]data!R445C5</stp>
        <tr r="E445" s="1"/>
        <tr r="E445" s="1"/>
      </tp>
      <tp>
        <v>44.85</v>
        <stp/>
        <stp>##V3_BDHV12</stp>
        <stp>CL1 Comdty</stp>
        <stp>PX_OPEN</stp>
        <stp>07/09/2016</stp>
        <stp>07/09/2016</stp>
        <stp>[Bbg_Market_Data_CL.xlsm]data!R148C5</stp>
        <tr r="E148" s="1"/>
        <tr r="E148" s="1"/>
      </tp>
      <tp>
        <v>45.96</v>
        <stp/>
        <stp>##V3_BDHV12</stp>
        <stp>CL1 Comdty</stp>
        <stp>PX_OPEN</stp>
        <stp>05/08/2015</stp>
        <stp>05/08/2015</stp>
        <stp>[Bbg_Market_Data_CL.xlsm]data!R419C5</stp>
        <tr r="E419" s="1"/>
        <tr r="E419" s="1"/>
      </tp>
      <tp>
        <v>47.81</v>
        <stp/>
        <stp>##V3_BDHV12</stp>
        <stp>CL1 Comdty</stp>
        <stp>PX_OPEN</stp>
        <stp>29/07/2015</stp>
        <stp>29/07/2015</stp>
        <stp>[Bbg_Market_Data_CL.xlsm]data!R424C5</stp>
        <tr r="E424" s="1"/>
        <tr r="E424" s="1"/>
      </tp>
      <tp>
        <v>45.9</v>
        <stp/>
        <stp>##V3_BDHV12</stp>
        <stp>CL1 Comdty</stp>
        <stp>PX_OPEN</stp>
        <stp>29/04/2016</stp>
        <stp>29/04/2016</stp>
        <stp>[Bbg_Market_Data_CL.xlsm]data!R237C5</stp>
        <tr r="E237" s="1"/>
        <tr r="E237" s="1"/>
      </tp>
      <tp>
        <v>56.93</v>
        <stp/>
        <stp>##V3_BDHV12</stp>
        <stp>CL1 Comdty</stp>
        <stp>PX_OPEN</stp>
        <stp>29/04/2015</stp>
        <stp>29/04/2015</stp>
        <stp>[Bbg_Market_Data_CL.xlsm]data!R487C5</stp>
        <tr r="E487" s="1"/>
        <tr r="E487" s="1"/>
      </tp>
      <tp>
        <v>41.12</v>
        <stp/>
        <stp>##V3_BDHV12</stp>
        <stp>CL1 Comdty</stp>
        <stp>PX_OPEN</stp>
        <stp>29/07/2016</stp>
        <stp>29/07/2016</stp>
        <stp>[Bbg_Market_Data_CL.xlsm]data!R174C5</stp>
        <tr r="E174" s="1"/>
        <tr r="E174" s="1"/>
      </tp>
      <tp>
        <v>47.13</v>
        <stp/>
        <stp>##V3_BDHV12</stp>
        <stp>CL1 Comdty</stp>
        <stp>PX_OPEN</stp>
        <stp>17/09/2015</stp>
        <stp>17/09/2015</stp>
        <stp>[Bbg_Market_Data_CL.xlsm]data!R389C5</stp>
        <tr r="E389" s="1"/>
        <tr r="E389" s="1"/>
      </tp>
      <tp>
        <v>57.97</v>
        <stp/>
        <stp>##V3_BDHV12</stp>
        <stp>CL1 Comdty</stp>
        <stp>PX_OPEN</stp>
        <stp>29/05/2015</stp>
        <stp>29/05/2015</stp>
        <stp>[Bbg_Market_Data_CL.xlsm]data!R466C5</stp>
        <tr r="E466" s="1"/>
        <tr r="E466" s="1"/>
      </tp>
      <tp>
        <v>48.06</v>
        <stp/>
        <stp>##V3_BDHV12</stp>
        <stp>CL1 Comdty</stp>
        <stp>PX_OPEN</stp>
        <stp>29/06/2016</stp>
        <stp>29/06/2016</stp>
        <stp>[Bbg_Market_Data_CL.xlsm]data!R195C5</stp>
        <tr r="E195" s="1"/>
        <tr r="E195" s="1"/>
      </tp>
      <tp>
        <v>41.84</v>
        <stp/>
        <stp>##V3_BDHV12</stp>
        <stp>CL1 Comdty</stp>
        <stp>PX_OPEN</stp>
        <stp>05/08/2016</stp>
        <stp>05/08/2016</stp>
        <stp>[Bbg_Market_Data_CL.xlsm]data!R169C5</stp>
        <tr r="E169" s="1"/>
        <tr r="E169" s="1"/>
      </tp>
      <tp t="s">
        <v>#N/A Requesting Data...</v>
        <stp/>
        <stp>##V3_BDHV12</stp>
        <stp>CL1 Comdty</stp>
        <stp>RSI_30D</stp>
        <stp>14/09/2016</stp>
        <stp>14/09/2016</stp>
        <stp>[Bbg_Market_Data_CL.xlsm]data!R143C14</stp>
        <tr r="N143" s="1"/>
      </tp>
      <tp t="s">
        <v>#N/A Requesting Data...</v>
        <stp/>
        <stp>##V3_BDHV12</stp>
        <stp>CL2 Comdty</stp>
        <stp>RSI_30D</stp>
        <stp>14/09/2016</stp>
        <stp>14/09/2016</stp>
        <stp>[Bbg_Market_Data_CL.xlsm]data!R143C14</stp>
        <tr r="N143" s="1"/>
      </tp>
      <tp t="s">
        <v>#N/A Requesting Data...</v>
        <stp/>
        <stp>##V3_BDHV12</stp>
        <stp>CL2 Comdty</stp>
        <stp>RSI_30D</stp>
        <stp>04/08/2016</stp>
        <stp>04/08/2016</stp>
        <stp>[Bbg_Market_Data_CL.xlsm]data!R170C14</stp>
        <tr r="N170" s="1"/>
      </tp>
      <tp t="s">
        <v>#N/A Requesting Data...</v>
        <stp/>
        <stp>##V3_BDHV12</stp>
        <stp>CL1 Comdty</stp>
        <stp>RSI_30D</stp>
        <stp>04/08/2016</stp>
        <stp>04/08/2016</stp>
        <stp>[Bbg_Market_Data_CL.xlsm]data!R170C14</stp>
        <tr r="N170" s="1"/>
      </tp>
      <tp t="s">
        <v>#N/A Requesting Data...</v>
        <stp/>
        <stp>##V3_BDHV12</stp>
        <stp>CL1 Comdty</stp>
        <stp>RSI_30D</stp>
        <stp>24/09/2015</stp>
        <stp>24/09/2015</stp>
        <stp>[Bbg_Market_Data_CL.xlsm]data!R384C14</stp>
        <tr r="N384" s="1"/>
      </tp>
      <tp t="s">
        <v>#N/A Requesting Data...</v>
        <stp/>
        <stp>##V3_BDHV12</stp>
        <stp>CL2 Comdty</stp>
        <stp>RSI_30D</stp>
        <stp>24/09/2015</stp>
        <stp>24/09/2015</stp>
        <stp>[Bbg_Market_Data_CL.xlsm]data!R384C14</stp>
        <tr r="N384" s="1"/>
      </tp>
      <tp t="s">
        <v>#N/A Requesting Data...</v>
        <stp/>
        <stp>##V3_BDHV12</stp>
        <stp>CL2 Comdty</stp>
        <stp>RSI_30D</stp>
        <stp>15/08/2016</stp>
        <stp>15/08/2016</stp>
        <stp>[Bbg_Market_Data_CL.xlsm]data!R164C14</stp>
        <tr r="N164" s="1"/>
      </tp>
      <tp t="s">
        <v>#N/A Requesting Data...</v>
        <stp/>
        <stp>##V3_BDHV12</stp>
        <stp>CL1 Comdty</stp>
        <stp>RSI_30D</stp>
        <stp>15/08/2016</stp>
        <stp>15/08/2016</stp>
        <stp>[Bbg_Market_Data_CL.xlsm]data!R164C14</stp>
        <tr r="N164" s="1"/>
      </tp>
      <tp t="s">
        <v>#N/A Requesting Data...</v>
        <stp/>
        <stp>##V3_BDHV12</stp>
        <stp>CL2 Comdty</stp>
        <stp>RSI_14D</stp>
        <stp>27/08/2015</stp>
        <stp>27/08/2015</stp>
        <stp>[Bbg_Market_Data_CL.xlsm]data!R403C13</stp>
        <tr r="M403" s="1"/>
      </tp>
      <tp t="s">
        <v>#N/A Requesting Data...</v>
        <stp/>
        <stp>##V3_BDHV12</stp>
        <stp>CL1 Comdty</stp>
        <stp>RSI_14D</stp>
        <stp>27/08/2015</stp>
        <stp>27/08/2015</stp>
        <stp>[Bbg_Market_Data_CL.xlsm]data!R403C13</stp>
        <tr r="M403" s="1"/>
      </tp>
      <tp t="s">
        <v>#N/A Requesting Data...</v>
        <stp/>
        <stp>##V3_BDHV12</stp>
        <stp>CL2 Comdty</stp>
        <stp>RSI_30D</stp>
        <stp>17/09/2015</stp>
        <stp>17/09/2015</stp>
        <stp>[Bbg_Market_Data_CL.xlsm]data!R389C14</stp>
        <tr r="N389" s="1"/>
      </tp>
      <tp t="s">
        <v>#N/A Requesting Data...</v>
        <stp/>
        <stp>##V3_BDHV12</stp>
        <stp>CL1 Comdty</stp>
        <stp>RSI_30D</stp>
        <stp>17/09/2015</stp>
        <stp>17/09/2015</stp>
        <stp>[Bbg_Market_Data_CL.xlsm]data!R389C14</stp>
        <tr r="N389" s="1"/>
      </tp>
      <tp t="s">
        <v>#N/A Requesting Data...</v>
        <stp/>
        <stp>##V3_BDHV12</stp>
        <stp>CL1 Comdty</stp>
        <stp>RSI_30D</stp>
        <stp>26/08/2016</stp>
        <stp>26/08/2016</stp>
        <stp>[Bbg_Market_Data_CL.xlsm]data!R155C14</stp>
        <tr r="N155" s="1"/>
      </tp>
      <tp t="s">
        <v>#N/A Requesting Data...</v>
        <stp/>
        <stp>##V3_BDHV12</stp>
        <stp>CL2 Comdty</stp>
        <stp>RSI_30D</stp>
        <stp>26/08/2016</stp>
        <stp>26/08/2016</stp>
        <stp>[Bbg_Market_Data_CL.xlsm]data!R155C14</stp>
        <tr r="N155" s="1"/>
      </tp>
      <tp t="s">
        <v>#N/A Requesting Data...</v>
        <stp/>
        <stp>##V3_BDHV12</stp>
        <stp>CL1 Comdty</stp>
        <stp>RSI_14D</stp>
        <stp>14/08/2015</stp>
        <stp>14/08/2015</stp>
        <stp>[Bbg_Market_Data_CL.xlsm]data!R412C13</stp>
        <tr r="M412" s="1"/>
      </tp>
      <tp t="s">
        <v>#N/A Requesting Data...</v>
        <stp/>
        <stp>##V3_BDHV12</stp>
        <stp>CL2 Comdty</stp>
        <stp>RSI_14D</stp>
        <stp>14/08/2015</stp>
        <stp>14/08/2015</stp>
        <stp>[Bbg_Market_Data_CL.xlsm]data!R412C13</stp>
        <tr r="M412" s="1"/>
      </tp>
      <tp t="s">
        <v>#N/A Requesting Data...</v>
        <stp/>
        <stp>##V3_BDHV12</stp>
        <stp>CL1 Comdty</stp>
        <stp>RSI_30D</stp>
        <stp>27/09/2016</stp>
        <stp>27/09/2016</stp>
        <stp>[Bbg_Market_Data_CL.xlsm]data!R134C14</stp>
        <tr r="N134" s="1"/>
      </tp>
      <tp t="s">
        <v>#N/A Requesting Data...</v>
        <stp/>
        <stp>##V3_BDHV12</stp>
        <stp>CL2 Comdty</stp>
        <stp>RSI_30D</stp>
        <stp>27/09/2016</stp>
        <stp>27/09/2016</stp>
        <stp>[Bbg_Market_Data_CL.xlsm]data!R134C14</stp>
        <tr r="N134" s="1"/>
      </tp>
      <tp t="s">
        <v>#N/A Requesting Data...</v>
        <stp/>
        <stp>##V3_BDHV12</stp>
        <stp>CL2 Comdty</stp>
        <stp>RSI_14D</stp>
        <stp>05/08/2015</stp>
        <stp>05/08/2015</stp>
        <stp>[Bbg_Market_Data_CL.xlsm]data!R419C13</stp>
        <tr r="M419" s="1"/>
      </tp>
      <tp t="s">
        <v>#N/A Requesting Data...</v>
        <stp/>
        <stp>##V3_BDHV12</stp>
        <stp>CL1 Comdty</stp>
        <stp>RSI_14D</stp>
        <stp>05/08/2015</stp>
        <stp>05/08/2015</stp>
        <stp>[Bbg_Market_Data_CL.xlsm]data!R419C13</stp>
        <tr r="M419" s="1"/>
      </tp>
      <tp t="s">
        <v>#N/A Requesting Data...</v>
        <stp/>
        <stp>##V3_BDHV12</stp>
        <stp>CL2 Comdty</stp>
        <stp>RSI_14D</stp>
        <stp>15/09/2015</stp>
        <stp>15/09/2015</stp>
        <stp>[Bbg_Market_Data_CL.xlsm]data!R391C13</stp>
        <tr r="M391" s="1"/>
      </tp>
      <tp t="s">
        <v>#N/A Requesting Data...</v>
        <stp/>
        <stp>##V3_BDHV12</stp>
        <stp>CL1 Comdty</stp>
        <stp>RSI_14D</stp>
        <stp>15/09/2015</stp>
        <stp>15/09/2015</stp>
        <stp>[Bbg_Market_Data_CL.xlsm]data!R391C13</stp>
        <tr r="M391" s="1"/>
      </tp>
      <tp t="s">
        <v>#N/A Requesting Data...</v>
        <stp/>
        <stp>##V3_BDHV12</stp>
        <stp>CL2 Comdty</stp>
        <stp>RSI_14D</stp>
        <stp>24/08/2016</stp>
        <stp>24/08/2016</stp>
        <stp>[Bbg_Market_Data_CL.xlsm]data!R157C13</stp>
        <tr r="M157" s="1"/>
      </tp>
      <tp t="s">
        <v>#N/A Requesting Data...</v>
        <stp/>
        <stp>##V3_BDHV12</stp>
        <stp>CL1 Comdty</stp>
        <stp>RSI_14D</stp>
        <stp>24/08/2016</stp>
        <stp>24/08/2016</stp>
        <stp>[Bbg_Market_Data_CL.xlsm]data!R157C13</stp>
        <tr r="M157" s="1"/>
      </tp>
      <tp t="s">
        <v>#N/A Requesting Data...</v>
        <stp/>
        <stp>##V3_BDHV12</stp>
        <stp>CL1 Comdty</stp>
        <stp>RSI_14D</stp>
        <stp>04/09/2015</stp>
        <stp>04/09/2015</stp>
        <stp>[Bbg_Market_Data_CL.xlsm]data!R397C13</stp>
        <tr r="M397" s="1"/>
      </tp>
      <tp t="s">
        <v>#N/A Requesting Data...</v>
        <stp/>
        <stp>##V3_BDHV12</stp>
        <stp>CL2 Comdty</stp>
        <stp>RSI_14D</stp>
        <stp>04/09/2015</stp>
        <stp>04/09/2015</stp>
        <stp>[Bbg_Market_Data_CL.xlsm]data!R397C13</stp>
        <tr r="M397" s="1"/>
      </tp>
      <tp t="s">
        <v>#N/A Requesting Data...</v>
        <stp/>
        <stp>##V3_BDHV12</stp>
        <stp>CL1 Comdty</stp>
        <stp>RSI_30D</stp>
        <stp>07/08/2015</stp>
        <stp>07/08/2015</stp>
        <stp>[Bbg_Market_Data_CL.xlsm]data!R417C14</stp>
        <tr r="N417" s="1"/>
      </tp>
      <tp t="s">
        <v>#N/A Requesting Data...</v>
        <stp/>
        <stp>##V3_BDHV12</stp>
        <stp>CL2 Comdty</stp>
        <stp>RSI_30D</stp>
        <stp>07/08/2015</stp>
        <stp>07/08/2015</stp>
        <stp>[Bbg_Market_Data_CL.xlsm]data!R417C14</stp>
        <tr r="N417" s="1"/>
      </tp>
      <tp t="s">
        <v>#N/A Requesting Data...</v>
        <stp/>
        <stp>##V3_BDHV12</stp>
        <stp>CL2 Comdty</stp>
        <stp>RSI_14D</stp>
        <stp>16/09/2016</stp>
        <stp>16/09/2016</stp>
        <stp>[Bbg_Market_Data_CL.xlsm]data!R141C13</stp>
        <tr r="M141" s="1"/>
      </tp>
      <tp t="s">
        <v>#N/A Requesting Data...</v>
        <stp/>
        <stp>##V3_BDHV12</stp>
        <stp>CL1 Comdty</stp>
        <stp>RSI_14D</stp>
        <stp>16/09/2016</stp>
        <stp>16/09/2016</stp>
        <stp>[Bbg_Market_Data_CL.xlsm]data!R141C13</stp>
        <tr r="M141" s="1"/>
      </tp>
      <tp t="s">
        <v>#N/A Requesting Data...</v>
        <stp/>
        <stp>##V3_BDHV12</stp>
        <stp>CL1 Comdty</stp>
        <stp>RSI_30D</stp>
        <stp>25/08/2015</stp>
        <stp>25/08/2015</stp>
        <stp>[Bbg_Market_Data_CL.xlsm]data!R405C14</stp>
        <tr r="N405" s="1"/>
      </tp>
      <tp t="s">
        <v>#N/A Requesting Data...</v>
        <stp/>
        <stp>##V3_BDHV12</stp>
        <stp>CL2 Comdty</stp>
        <stp>RSI_30D</stp>
        <stp>25/08/2015</stp>
        <stp>25/08/2015</stp>
        <stp>[Bbg_Market_Data_CL.xlsm]data!R405C14</stp>
        <tr r="N405" s="1"/>
      </tp>
      <tp t="s">
        <v>#N/A Requesting Data...</v>
        <stp/>
        <stp>##V3_BDHV12</stp>
        <stp>CL1 Comdty</stp>
        <stp>RSI_14D</stp>
        <stp>17/08/2016</stp>
        <stp>17/08/2016</stp>
        <stp>[Bbg_Market_Data_CL.xlsm]data!R162C13</stp>
        <tr r="M162" s="1"/>
      </tp>
      <tp t="s">
        <v>#N/A Requesting Data...</v>
        <stp/>
        <stp>##V3_BDHV12</stp>
        <stp>CL2 Comdty</stp>
        <stp>RSI_14D</stp>
        <stp>17/08/2016</stp>
        <stp>17/08/2016</stp>
        <stp>[Bbg_Market_Data_CL.xlsm]data!R162C13</stp>
        <tr r="M162" s="1"/>
      </tp>
      <tp t="s">
        <v>#N/A Requesting Data...</v>
        <stp/>
        <stp>##V3_BDHV12</stp>
        <stp>CL2 Comdty</stp>
        <stp>RSI_14D</stp>
        <stp>07/09/2016</stp>
        <stp>07/09/2016</stp>
        <stp>[Bbg_Market_Data_CL.xlsm]data!R148C13</stp>
        <tr r="M148" s="1"/>
      </tp>
      <tp t="s">
        <v>#N/A Requesting Data...</v>
        <stp/>
        <stp>##V3_BDHV12</stp>
        <stp>CL1 Comdty</stp>
        <stp>RSI_14D</stp>
        <stp>07/09/2016</stp>
        <stp>07/09/2016</stp>
        <stp>[Bbg_Market_Data_CL.xlsm]data!R148C13</stp>
        <tr r="M148" s="1"/>
      </tp>
      <tp t="s">
        <v>#N/A Requesting Data...</v>
        <stp/>
        <stp>##V3_BDHV12</stp>
        <stp>CL2 Comdty</stp>
        <stp>RSI_14D</stp>
        <stp>18/07/2016</stp>
        <stp>18/07/2016</stp>
        <stp>[Bbg_Market_Data_CL.xlsm]data!R183C13</stp>
        <tr r="M183" s="1"/>
      </tp>
      <tp t="s">
        <v>#N/A Requesting Data...</v>
        <stp/>
        <stp>##V3_BDHV12</stp>
        <stp>CL1 Comdty</stp>
        <stp>RSI_14D</stp>
        <stp>18/07/2016</stp>
        <stp>18/07/2016</stp>
        <stp>[Bbg_Market_Data_CL.xlsm]data!R183C13</stp>
        <tr r="M183" s="1"/>
      </tp>
      <tp t="s">
        <v>#N/A Requesting Data...</v>
        <stp/>
        <stp>##V3_BDHV12</stp>
        <stp>CL1 Comdty</stp>
        <stp>RSI_30D</stp>
        <stp>08/07/2015</stp>
        <stp>08/07/2015</stp>
        <stp>[Bbg_Market_Data_CL.xlsm]data!R439C14</stp>
        <tr r="N439" s="1"/>
      </tp>
      <tp t="s">
        <v>#N/A Requesting Data...</v>
        <stp/>
        <stp>##V3_BDHV12</stp>
        <stp>CL2 Comdty</stp>
        <stp>RSI_30D</stp>
        <stp>08/07/2015</stp>
        <stp>08/07/2015</stp>
        <stp>[Bbg_Market_Data_CL.xlsm]data!R439C14</stp>
        <tr r="N439" s="1"/>
      </tp>
      <tp t="s">
        <v>#N/A Requesting Data...</v>
        <stp/>
        <stp>##V3_BDHV12</stp>
        <stp>CL2 Comdty</stp>
        <stp>RSI_30D</stp>
        <stp>18/06/2015</stp>
        <stp>18/06/2015</stp>
        <stp>[Bbg_Market_Data_CL.xlsm]data!R452C14</stp>
        <tr r="N452" s="1"/>
      </tp>
      <tp t="s">
        <v>#N/A Requesting Data...</v>
        <stp/>
        <stp>##V3_BDHV12</stp>
        <stp>CL1 Comdty</stp>
        <stp>RSI_30D</stp>
        <stp>18/06/2015</stp>
        <stp>18/06/2015</stp>
        <stp>[Bbg_Market_Data_CL.xlsm]data!R452C14</stp>
        <tr r="N452" s="1"/>
      </tp>
      <tp t="s">
        <v>#N/A Requesting Data...</v>
        <stp/>
        <stp>##V3_BDHV12</stp>
        <stp>CL2 Comdty</stp>
        <stp>RSI_30D</stp>
        <stp>28/05/2015</stp>
        <stp>28/05/2015</stp>
        <stp>[Bbg_Market_Data_CL.xlsm]data!R467C14</stp>
        <tr r="N467" s="1"/>
      </tp>
      <tp t="s">
        <v>#N/A Requesting Data...</v>
        <stp/>
        <stp>##V3_BDHV12</stp>
        <stp>CL1 Comdty</stp>
        <stp>RSI_30D</stp>
        <stp>28/05/2015</stp>
        <stp>28/05/2015</stp>
        <stp>[Bbg_Market_Data_CL.xlsm]data!R467C14</stp>
        <tr r="N467" s="1"/>
      </tp>
      <tp t="s">
        <v>#N/A Requesting Data...</v>
        <stp/>
        <stp>##V3_BDHV12</stp>
        <stp>CL2 Comdty</stp>
        <stp>RSI_30D</stp>
        <stp>29/04/2015</stp>
        <stp>29/04/2015</stp>
        <stp>[Bbg_Market_Data_CL.xlsm]data!R487C14</stp>
        <tr r="N487" s="1"/>
      </tp>
      <tp t="s">
        <v>#N/A Requesting Data...</v>
        <stp/>
        <stp>##V3_BDHV12</stp>
        <stp>CL1 Comdty</stp>
        <stp>RSI_30D</stp>
        <stp>29/04/2015</stp>
        <stp>29/04/2015</stp>
        <stp>[Bbg_Market_Data_CL.xlsm]data!R487C14</stp>
        <tr r="N487" s="1"/>
      </tp>
      <tp t="s">
        <v>#N/A Requesting Data...</v>
        <stp/>
        <stp>##V3_BDHV12</stp>
        <stp>CL1 Comdty</stp>
        <stp>RSI_14D</stp>
        <stp>28/04/2016</stp>
        <stp>28/04/2016</stp>
        <stp>[Bbg_Market_Data_CL.xlsm]data!R238C13</stp>
        <tr r="M238" s="1"/>
      </tp>
      <tp t="s">
        <v>#N/A Requesting Data...</v>
        <stp/>
        <stp>##V3_BDHV12</stp>
        <stp>CL2 Comdty</stp>
        <stp>RSI_14D</stp>
        <stp>28/04/2016</stp>
        <stp>28/04/2016</stp>
        <stp>[Bbg_Market_Data_CL.xlsm]data!R238C13</stp>
        <tr r="M238" s="1"/>
      </tp>
      <tp t="s">
        <v>#N/A Requesting Data...</v>
        <stp/>
        <stp>##V3_BDHV12</stp>
        <stp>CL1 Comdty</stp>
        <stp>RSI_30D</stp>
        <stp>09/06/2015</stp>
        <stp>09/06/2015</stp>
        <stp>[Bbg_Market_Data_CL.xlsm]data!R459C14</stp>
        <tr r="N459" s="1"/>
      </tp>
      <tp t="s">
        <v>#N/A Requesting Data...</v>
        <stp/>
        <stp>##V3_BDHV12</stp>
        <stp>CL2 Comdty</stp>
        <stp>RSI_30D</stp>
        <stp>09/06/2015</stp>
        <stp>09/06/2015</stp>
        <stp>[Bbg_Market_Data_CL.xlsm]data!R459C14</stp>
        <tr r="N459" s="1"/>
      </tp>
      <tp t="s">
        <v>#N/A Requesting Data...</v>
        <stp/>
        <stp>##V3_BDHV12</stp>
        <stp>CL1 Comdty</stp>
        <stp>RSI_14D</stp>
        <stp>08/06/2016</stp>
        <stp>08/06/2016</stp>
        <stp>[Bbg_Market_Data_CL.xlsm]data!R210C13</stp>
        <tr r="M210" s="1"/>
      </tp>
      <tp t="s">
        <v>#N/A Requesting Data...</v>
        <stp/>
        <stp>##V3_BDHV12</stp>
        <stp>CL2 Comdty</stp>
        <stp>RSI_14D</stp>
        <stp>08/06/2016</stp>
        <stp>08/06/2016</stp>
        <stp>[Bbg_Market_Data_CL.xlsm]data!R210C13</stp>
        <tr r="M210" s="1"/>
      </tp>
      <tp t="s">
        <v>#N/A Requesting Data...</v>
        <stp/>
        <stp>##V3_BDHV12</stp>
        <stp>CL1 Comdty</stp>
        <stp>RSI_30D</stp>
        <stp>28/06/2016</stp>
        <stp>28/06/2016</stp>
        <stp>[Bbg_Market_Data_CL.xlsm]data!R196C14</stp>
        <tr r="N196" s="1"/>
      </tp>
      <tp t="s">
        <v>#N/A Requesting Data...</v>
        <stp/>
        <stp>##V3_BDHV12</stp>
        <stp>CL2 Comdty</stp>
        <stp>RSI_30D</stp>
        <stp>28/06/2016</stp>
        <stp>28/06/2016</stp>
        <stp>[Bbg_Market_Data_CL.xlsm]data!R196C14</stp>
        <tr r="N196" s="1"/>
      </tp>
      <tp t="s">
        <v>#N/A Requesting Data...</v>
        <stp/>
        <stp>##V3_BDHV12</stp>
        <stp>CL2 Comdty</stp>
        <stp>RSI_30D</stp>
        <stp>29/07/2016</stp>
        <stp>29/07/2016</stp>
        <stp>[Bbg_Market_Data_CL.xlsm]data!R174C14</stp>
        <tr r="N174" s="1"/>
      </tp>
      <tp t="s">
        <v>#N/A Requesting Data...</v>
        <stp/>
        <stp>##V3_BDHV12</stp>
        <stp>CL1 Comdty</stp>
        <stp>RSI_30D</stp>
        <stp>29/07/2016</stp>
        <stp>29/07/2016</stp>
        <stp>[Bbg_Market_Data_CL.xlsm]data!R174C14</stp>
        <tr r="N174" s="1"/>
      </tp>
      <tp t="s">
        <v>#N/A Requesting Data...</v>
        <stp/>
        <stp>##V3_BDHV12</stp>
        <stp>CL2 Comdty</stp>
        <stp>RSI_14D</stp>
        <stp>08/05/2015</stp>
        <stp>08/05/2015</stp>
        <stp>[Bbg_Market_Data_CL.xlsm]data!R480C13</stp>
        <tr r="M480" s="1"/>
      </tp>
      <tp t="s">
        <v>#N/A Requesting Data...</v>
        <stp/>
        <stp>##V3_BDHV12</stp>
        <stp>CL1 Comdty</stp>
        <stp>RSI_14D</stp>
        <stp>08/05/2015</stp>
        <stp>08/05/2015</stp>
        <stp>[Bbg_Market_Data_CL.xlsm]data!R480C13</stp>
        <tr r="M480" s="1"/>
      </tp>
      <tp t="s">
        <v>#N/A Requesting Data...</v>
        <stp/>
        <stp>##V3_BDHV12</stp>
        <stp>CL2 Comdty</stp>
        <stp>RSI_30D</stp>
        <stp>09/05/2016</stp>
        <stp>09/05/2016</stp>
        <stp>[Bbg_Market_Data_CL.xlsm]data!R231C14</stp>
        <tr r="N231" s="1"/>
      </tp>
      <tp t="s">
        <v>#N/A Requesting Data...</v>
        <stp/>
        <stp>##V3_BDHV12</stp>
        <stp>CL1 Comdty</stp>
        <stp>RSI_30D</stp>
        <stp>09/05/2016</stp>
        <stp>09/05/2016</stp>
        <stp>[Bbg_Market_Data_CL.xlsm]data!R231C14</stp>
        <tr r="N231" s="1"/>
      </tp>
      <tp t="s">
        <v>#N/A Requesting Data...</v>
        <stp/>
        <stp>##V3_BDHV12</stp>
        <stp>CL2 Comdty</stp>
        <stp>RSI_30D</stp>
        <stp>19/04/2016</stp>
        <stp>19/04/2016</stp>
        <stp>[Bbg_Market_Data_CL.xlsm]data!R245C14</stp>
        <tr r="N245" s="1"/>
      </tp>
      <tp t="s">
        <v>#N/A Requesting Data...</v>
        <stp/>
        <stp>##V3_BDHV12</stp>
        <stp>CL1 Comdty</stp>
        <stp>RSI_30D</stp>
        <stp>19/04/2016</stp>
        <stp>19/04/2016</stp>
        <stp>[Bbg_Market_Data_CL.xlsm]data!R245C14</stp>
        <tr r="N245" s="1"/>
      </tp>
      <tp t="s">
        <v>#N/A Requesting Data...</v>
        <stp/>
        <stp>##V3_BDHV12</stp>
        <stp>CL2 Comdty</stp>
        <stp>RSI_14D</stp>
        <stp>28/07/2015</stp>
        <stp>28/07/2015</stp>
        <stp>[Bbg_Market_Data_CL.xlsm]data!R425C13</stp>
        <tr r="M425" s="1"/>
      </tp>
      <tp t="s">
        <v>#N/A Requesting Data...</v>
        <stp/>
        <stp>##V3_BDHV12</stp>
        <stp>CL1 Comdty</stp>
        <stp>RSI_14D</stp>
        <stp>28/07/2015</stp>
        <stp>28/07/2015</stp>
        <stp>[Bbg_Market_Data_CL.xlsm]data!R425C13</stp>
        <tr r="M425" s="1"/>
      </tp>
      <tp t="s">
        <v>#N/A Requesting Data...</v>
        <stp/>
        <stp>##V3_BDHV12</stp>
        <stp>CL1 Comdty</stp>
        <stp>RSI_14D</stp>
        <stp>19/05/2015</stp>
        <stp>19/05/2015</stp>
        <stp>[Bbg_Market_Data_CL.xlsm]data!R473C13</stp>
        <tr r="M473" s="1"/>
      </tp>
      <tp t="s">
        <v>#N/A Requesting Data...</v>
        <stp/>
        <stp>##V3_BDHV12</stp>
        <stp>CL2 Comdty</stp>
        <stp>RSI_14D</stp>
        <stp>19/05/2015</stp>
        <stp>19/05/2015</stp>
        <stp>[Bbg_Market_Data_CL.xlsm]data!R473C13</stp>
        <tr r="M473" s="1"/>
      </tp>
      <tp t="s">
        <v>#N/A Requesting Data...</v>
        <stp/>
        <stp>##V3_BDHV12</stp>
        <stp>CL2 Comdty</stp>
        <stp>RSI_30D</stp>
        <stp>18/05/2016</stp>
        <stp>18/05/2016</stp>
        <stp>[Bbg_Market_Data_CL.xlsm]data!R224C14</stp>
        <tr r="N224" s="1"/>
      </tp>
      <tp t="s">
        <v>#N/A Requesting Data...</v>
        <stp/>
        <stp>##V3_BDHV12</stp>
        <stp>CL1 Comdty</stp>
        <stp>RSI_30D</stp>
        <stp>18/05/2016</stp>
        <stp>18/05/2016</stp>
        <stp>[Bbg_Market_Data_CL.xlsm]data!R224C14</stp>
        <tr r="N224" s="1"/>
      </tp>
      <tp t="s">
        <v>#N/A Requesting Data...</v>
        <stp/>
        <stp>##V3_BDHV12</stp>
        <stp>CL2 Comdty</stp>
        <stp>RSI_14D</stp>
        <stp>29/06/2015</stp>
        <stp>29/06/2015</stp>
        <stp>[Bbg_Market_Data_CL.xlsm]data!R445C13</stp>
        <tr r="M445" s="1"/>
      </tp>
      <tp t="s">
        <v>#N/A Requesting Data...</v>
        <stp/>
        <stp>##V3_BDHV12</stp>
        <stp>CL1 Comdty</stp>
        <stp>RSI_14D</stp>
        <stp>29/06/2015</stp>
        <stp>29/06/2015</stp>
        <stp>[Bbg_Market_Data_CL.xlsm]data!R445C13</stp>
        <tr r="M445" s="1"/>
      </tp>
      <tp t="s">
        <v>#N/A Requesting Data...</v>
        <stp/>
        <stp>##V3_BDHV12</stp>
        <stp>CL1 Comdty</stp>
        <stp>RSI_30D</stp>
        <stp>08/04/2016</stp>
        <stp>08/04/2016</stp>
        <stp>[Bbg_Market_Data_CL.xlsm]data!R252C14</stp>
        <tr r="N252" s="1"/>
      </tp>
      <tp t="s">
        <v>#N/A Requesting Data...</v>
        <stp/>
        <stp>##V3_BDHV12</stp>
        <stp>CL2 Comdty</stp>
        <stp>RSI_30D</stp>
        <stp>08/04/2016</stp>
        <stp>08/04/2016</stp>
        <stp>[Bbg_Market_Data_CL.xlsm]data!R252C14</stp>
        <tr r="N25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</xdr:row>
          <xdr:rowOff>133350</xdr:rowOff>
        </xdr:from>
        <xdr:to>
          <xdr:col>12</xdr:col>
          <xdr:colOff>190500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00"/>
  <sheetViews>
    <sheetView tabSelected="1" workbookViewId="0"/>
  </sheetViews>
  <sheetFormatPr defaultRowHeight="11.25" x14ac:dyDescent="0.2"/>
  <cols>
    <col min="1" max="2" width="9.140625" style="2"/>
    <col min="3" max="4" width="10.42578125" style="2" bestFit="1" customWidth="1"/>
    <col min="5" max="5" width="7.5703125" style="2" bestFit="1" customWidth="1"/>
    <col min="6" max="7" width="7.140625" style="2" bestFit="1" customWidth="1"/>
    <col min="8" max="8" width="9.85546875" style="2" bestFit="1" customWidth="1"/>
    <col min="9" max="9" width="7.5703125" style="2" bestFit="1" customWidth="1"/>
    <col min="10" max="10" width="11.42578125" style="2" bestFit="1" customWidth="1"/>
    <col min="11" max="11" width="12.28515625" style="2" bestFit="1" customWidth="1"/>
    <col min="12" max="12" width="7.42578125" style="2" bestFit="1" customWidth="1"/>
    <col min="13" max="14" width="6.85546875" style="2" bestFit="1" customWidth="1"/>
    <col min="15" max="15" width="17.85546875" style="2" bestFit="1" customWidth="1"/>
    <col min="16" max="16" width="16.5703125" style="2" bestFit="1" customWidth="1"/>
    <col min="17" max="18" width="13.28515625" style="2" bestFit="1" customWidth="1"/>
    <col min="19" max="20" width="24.85546875" style="2" bestFit="1" customWidth="1"/>
    <col min="21" max="21" width="24" style="2" bestFit="1" customWidth="1"/>
    <col min="22" max="22" width="24.85546875" style="2" bestFit="1" customWidth="1"/>
    <col min="23" max="23" width="24" style="2" bestFit="1" customWidth="1"/>
    <col min="24" max="16384" width="9.140625" style="2"/>
  </cols>
  <sheetData>
    <row r="1" spans="1:23" x14ac:dyDescent="0.2">
      <c r="A1" s="3" t="s">
        <v>0</v>
      </c>
      <c r="B1" s="3" t="s">
        <v>1</v>
      </c>
      <c r="C1" s="13" t="s">
        <v>8</v>
      </c>
      <c r="D1" s="13" t="s">
        <v>9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14</v>
      </c>
      <c r="J1" s="3" t="s">
        <v>6</v>
      </c>
      <c r="K1" s="3" t="s">
        <v>7</v>
      </c>
      <c r="L1" s="8" t="s">
        <v>10</v>
      </c>
      <c r="M1" s="8" t="s">
        <v>11</v>
      </c>
      <c r="N1" s="8" t="s">
        <v>58</v>
      </c>
      <c r="O1" s="3" t="s">
        <v>12</v>
      </c>
      <c r="P1" s="3" t="s">
        <v>13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</row>
    <row r="2" spans="1:23" x14ac:dyDescent="0.2">
      <c r="A2" s="9">
        <f>config!I9</f>
        <v>42835</v>
      </c>
      <c r="B2" s="2">
        <f>IF(A2="","",IF(SIGN(C2)=1,1,0))</f>
        <v>1</v>
      </c>
      <c r="C2" s="8">
        <f>IF(A2="","",_xll.BDH(config!$H$4,C$1,$A2,$A2))</f>
        <v>1.6099999999999999</v>
      </c>
      <c r="D2" s="8">
        <f>IF($A2="","",_xll.BDH(config!$H$4,D$1,$A2,$A2))</f>
        <v>5.65</v>
      </c>
      <c r="E2" s="2">
        <f>IF($A2="","",IF(ISNUMBER(FIND("IMPVOL",E$1)),_xll.BDH(config!$G$4,E$1,WORKDAY($A2,-1,config_Holiday_Calendar_US),WORKDAY($A2,-1,config_Holiday_Calendar_US)),IF(ISNUMBER(_xll.BDH(config!$G$4,E$1,$A2,$A2)),_xll.BDH(config!$G$4,E$1,$A2,$A2),_xll.BDH(config!$G$5,E$1,$A2,$A2))))</f>
        <v>52.68</v>
      </c>
      <c r="F2" s="8">
        <f>IF($A2="","",IF(ISNUMBER(FIND("IMPVOL",F$1)),_xll.BDH(config!$G$4,F$1,WORKDAY($A2,-1,config_Holiday_Calendar_US),WORKDAY($A2,-1,config_Holiday_Calendar_US)),IF(ISNUMBER(_xll.BDH(config!$G$4,F$1,$A2,$A2)),_xll.BDH(config!$G$4,F$1,$A2,$A2),_xll.BDH(config!$G$5,F$1,$A2,$A2))))</f>
        <v>53.57</v>
      </c>
      <c r="G2" s="8">
        <f>IF($A2="","",IF(ISNUMBER(FIND("IMPVOL",G$1)),_xll.BDH(config!$G$4,G$1,WORKDAY($A2,-1,config_Holiday_Calendar_US),WORKDAY($A2,-1,config_Holiday_Calendar_US)),IF(ISNUMBER(_xll.BDH(config!$G$4,G$1,$A2,$A2)),_xll.BDH(config!$G$4,G$1,$A2,$A2),_xll.BDH(config!$G$5,G$1,$A2,$A2))))</f>
        <v>52.67</v>
      </c>
      <c r="H2" s="8">
        <f>IF($A2="","",IF(ISNUMBER(FIND("IMPVOL",H$1)),_xll.BDH(config!$G$4,H$1,WORKDAY($A2,-1,config_Holiday_Calendar_US),WORKDAY($A2,-1,config_Holiday_Calendar_US)),IF(ISNUMBER(_xll.BDH(config!$G$4,H$1,$A2,$A2)),_xll.BDH(config!$G$4,H$1,$A2,$A2),_xll.BDH(config!$G$5,H$1,$A2,$A2))))</f>
        <v>565439</v>
      </c>
      <c r="I2" s="8" t="str">
        <f>IF($A2="","",IF(ISNUMBER(FIND("IMPVOL",I$1)),_xll.BDH(config!$G$4,I$1,WORKDAY($A2,-1,config_Holiday_Calendar_US),WORKDAY($A2,-1,config_Holiday_Calendar_US)),IF(ISNUMBER(_xll.BDH(config!$G$4,I$1,$A2,$A2)),_xll.BDH(config!$G$4,I$1,$A2,$A2),_xll.BDH(config!$G$5,I$1,$A2,$A2))))</f>
        <v>#N/A Requesting Data...</v>
      </c>
      <c r="J2" s="8" t="str">
        <f>IF($A2="","",IF(ISNUMBER(FIND("IMPVOL",J$1)),_xll.BDH(config!$G$4,J$1,WORKDAY($A2,-1,config_Holiday_Calendar_US),WORKDAY($A2,-1,config_Holiday_Calendar_US)),IF(ISNUMBER(_xll.BDH(config!$G$4,J$1,$A2,$A2)),_xll.BDH(config!$G$4,J$1,$A2,$A2),_xll.BDH(config!$G$5,J$1,$A2,$A2))))</f>
        <v>#N/A Requesting Data...</v>
      </c>
      <c r="K2" s="8" t="str">
        <f>IF($A2="","",IF(ISNUMBER(FIND("IMPVOL",K$1)),_xll.BDH(config!$G$4,K$1,WORKDAY($A2,-1,config_Holiday_Calendar_US),WORKDAY($A2,-1,config_Holiday_Calendar_US)),IF(ISNUMBER(_xll.BDH(config!$G$4,K$1,$A2,$A2)),_xll.BDH(config!$G$4,K$1,$A2,$A2),_xll.BDH(config!$G$5,K$1,$A2,$A2))))</f>
        <v>#N/A Requesting Data...</v>
      </c>
      <c r="L2" s="8" t="str">
        <f>IF($A2="","",IF(ISNUMBER(FIND("IMPVOL",L$1)),_xll.BDH(config!$G$4,L$1,WORKDAY($A2,-1,config_Holiday_Calendar_US),WORKDAY($A2,-1,config_Holiday_Calendar_US)),IF(ISNUMBER(_xll.BDH(config!$G$4,L$1,$A2,$A2)),_xll.BDH(config!$G$4,L$1,$A2,$A2),_xll.BDH(config!$G$5,L$1,$A2,$A2))))</f>
        <v>#N/A Requesting Data...</v>
      </c>
      <c r="M2" s="8" t="str">
        <f>IF($A2="","",IF(ISNUMBER(FIND("IMPVOL",M$1)),_xll.BDH(config!$G$4,M$1,WORKDAY($A2,-1,config_Holiday_Calendar_US),WORKDAY($A2,-1,config_Holiday_Calendar_US)),IF(ISNUMBER(_xll.BDH(config!$G$4,M$1,$A2,$A2)),_xll.BDH(config!$G$4,M$1,$A2,$A2),_xll.BDH(config!$G$5,M$1,$A2,$A2))))</f>
        <v>#N/A Requesting Data...</v>
      </c>
      <c r="N2" s="8" t="str">
        <f>IF($A2="","",IF(ISNUMBER(FIND("IMPVOL",N$1)),_xll.BDH(config!$G$4,N$1,WORKDAY($A2,-1,config_Holiday_Calendar_US),WORKDAY($A2,-1,config_Holiday_Calendar_US)),IF(ISNUMBER(_xll.BDH(config!$G$4,N$1,$A2,$A2)),_xll.BDH(config!$G$4,N$1,$A2,$A2),_xll.BDH(config!$G$5,N$1,$A2,$A2))))</f>
        <v>#N/A Requesting Data...</v>
      </c>
      <c r="O2" s="8" t="str">
        <f>IF($A2="","",IF(ISNUMBER(FIND("IMPVOL",O$1)),_xll.BDH(config!$G$4,O$1,WORKDAY($A2,-1,config_Holiday_Calendar_US),WORKDAY($A2,-1,config_Holiday_Calendar_US)),IF(ISNUMBER(_xll.BDH(config!$G$4,O$1,$A2,$A2)),_xll.BDH(config!$G$4,O$1,$A2,$A2),_xll.BDH(config!$G$5,O$1,$A2,$A2))))</f>
        <v>#N/A Requesting Data...</v>
      </c>
      <c r="P2" s="8" t="str">
        <f>IF($A2="","",IF(ISNUMBER(FIND("IMPVOL",P$1)),_xll.BDH(config!$G$4,P$1,WORKDAY($A2,-1,config_Holiday_Calendar_US),WORKDAY($A2,-1,config_Holiday_Calendar_US)),IF(ISNUMBER(_xll.BDH(config!$G$4,P$1,$A2,$A2)),_xll.BDH(config!$G$4,P$1,$A2,$A2),_xll.BDH(config!$G$5,P$1,$A2,$A2))))</f>
        <v>#N/A Requesting Data...</v>
      </c>
      <c r="Q2" s="8">
        <f>IF($A2="","",IF(ISNUMBER(FIND("IMPVOL",Q$1)),_xll.BDH(config!$G$4,Q$1,WORKDAY($A2,-1,config_Holiday_Calendar_US),WORKDAY($A2,-1,config_Holiday_Calendar_US)),IF(ISNUMBER(_xll.BDH(config!$G$4,Q$1,$A2,$A2)),_xll.BDH(config!$G$4,Q$1,$A2,$A2),_xll.BDH(config!$G$5,Q$1,$A2,$A2))))</f>
        <v>14.24</v>
      </c>
      <c r="R2" s="8">
        <f>IF($A2="","",IF(ISNUMBER(FIND("IMPVOL",R$1)),_xll.BDH(config!$G$4,R$1,WORKDAY($A2,-1,config_Holiday_Calendar_US),WORKDAY($A2,-1,config_Holiday_Calendar_US)),IF(ISNUMBER(_xll.BDH(config!$G$4,R$1,$A2,$A2)),_xll.BDH(config!$G$4,R$1,$A2,$A2),_xll.BDH(config!$G$5,R$1,$A2,$A2))))</f>
        <v>25.32</v>
      </c>
      <c r="S2" s="8" t="str">
        <f>IF($A2="","",IF(ISNUMBER(FIND("IMPVOL",S$1)),_xll.BDH(config!$G$4,S$1,WORKDAY($A2,-1,config_Holiday_Calendar_US),WORKDAY($A2,-1,config_Holiday_Calendar_US)),IF(ISNUMBER(_xll.BDH(config!$G$4,S$1,$A2,$A2)),_xll.BDH(config!$G$4,S$1,$A2,$A2),_xll.BDH(config!$G$5,S$1,$A2,$A2))))</f>
        <v>#N/A Requesting Data...</v>
      </c>
      <c r="T2" s="8" t="str">
        <f>IF($A2="","",IF(ISNUMBER(FIND("IMPVOL",T$1)),_xll.BDH(config!$G$4,T$1,WORKDAY($A2,-1,config_Holiday_Calendar_US),WORKDAY($A2,-1,config_Holiday_Calendar_US)),IF(ISNUMBER(_xll.BDH(config!$G$4,T$1,$A2,$A2)),_xll.BDH(config!$G$4,T$1,$A2,$A2),_xll.BDH(config!$G$5,T$1,$A2,$A2))))</f>
        <v>#N/A Requesting Data...</v>
      </c>
      <c r="U2" s="8" t="str">
        <f>IF($A2="","",IF(ISNUMBER(FIND("IMPVOL",U$1)),_xll.BDH(config!$G$4,U$1,WORKDAY($A2,-1,config_Holiday_Calendar_US),WORKDAY($A2,-1,config_Holiday_Calendar_US)),IF(ISNUMBER(_xll.BDH(config!$G$4,U$1,$A2,$A2)),_xll.BDH(config!$G$4,U$1,$A2,$A2),_xll.BDH(config!$G$5,U$1,$A2,$A2))))</f>
        <v>#N/A Requesting Data...</v>
      </c>
      <c r="V2" s="8" t="str">
        <f>IF($A2="","",IF(ISNUMBER(FIND("IMPVOL",V$1)),_xll.BDH(config!$G$4,V$1,WORKDAY($A2,-1,config_Holiday_Calendar_US),WORKDAY($A2,-1,config_Holiday_Calendar_US)),IF(ISNUMBER(_xll.BDH(config!$G$4,V$1,$A2,$A2)),_xll.BDH(config!$G$4,V$1,$A2,$A2),_xll.BDH(config!$G$5,V$1,$A2,$A2))))</f>
        <v>#N/A Requesting Data...</v>
      </c>
      <c r="W2" s="8" t="str">
        <f>IF($A2="","",IF(ISNUMBER(FIND("IMPVOL",W$1)),_xll.BDH(config!$G$4,W$1,WORKDAY($A2,-1,config_Holiday_Calendar_US),WORKDAY($A2,-1,config_Holiday_Calendar_US)),IF(ISNUMBER(_xll.BDH(config!$G$4,W$1,$A2,$A2)),_xll.BDH(config!$G$4,W$1,$A2,$A2),_xll.BDH(config!$G$5,W$1,$A2,$A2))))</f>
        <v>#N/A Requesting Data...</v>
      </c>
    </row>
    <row r="3" spans="1:23" x14ac:dyDescent="0.2">
      <c r="A3" s="9">
        <f>IF(A2="","",IF(WORKDAY(A2,-1,config_Holiday_Calendar_US)&lt;config!$I$10,"",WORKDAY(A2,-1,config_Holiday_Calendar_US)))</f>
        <v>42832</v>
      </c>
      <c r="B3" s="8">
        <f t="shared" ref="B3:B66" si="0">IF(A3="","",IF(SIGN(C3)=1,1,0))</f>
        <v>1</v>
      </c>
      <c r="C3" s="8">
        <f>IF(A3="","",_xll.BDH(config!$H$4,C$1,$A3,$A3))</f>
        <v>1.04</v>
      </c>
      <c r="D3" s="8">
        <f>IF($A3="","",_xll.BDH(config!$H$4,D$1,$A3,$A3))</f>
        <v>3.24</v>
      </c>
      <c r="E3" s="8">
        <f>IF($A3="","",IF(ISNUMBER(FIND("IMPVOL",E$1)),_xll.BDH(config!$G$4,E$1,WORKDAY($A3,-1,config_Holiday_Calendar_US),WORKDAY($A3,-1,config_Holiday_Calendar_US)),IF(ISNUMBER(_xll.BDH(config!$G$4,E$1,$A3,$A3)),_xll.BDH(config!$G$4,E$1,$A3,$A3),_xll.BDH(config!$G$5,E$1,$A3,$A3))))</f>
        <v>52.13</v>
      </c>
      <c r="F3" s="8">
        <f>IF($A3="","",IF(ISNUMBER(FIND("IMPVOL",F$1)),_xll.BDH(config!$G$4,F$1,WORKDAY($A3,-1,config_Holiday_Calendar_US),WORKDAY($A3,-1,config_Holiday_Calendar_US)),IF(ISNUMBER(_xll.BDH(config!$G$4,F$1,$A3,$A3)),_xll.BDH(config!$G$4,F$1,$A3,$A3),_xll.BDH(config!$G$5,F$1,$A3,$A3))))</f>
        <v>53.35</v>
      </c>
      <c r="G3" s="8">
        <f>IF($A3="","",IF(ISNUMBER(FIND("IMPVOL",G$1)),_xll.BDH(config!$G$4,G$1,WORKDAY($A3,-1,config_Holiday_Calendar_US),WORKDAY($A3,-1,config_Holiday_Calendar_US)),IF(ISNUMBER(_xll.BDH(config!$G$4,G$1,$A3,$A3)),_xll.BDH(config!$G$4,G$1,$A3,$A3),_xll.BDH(config!$G$5,G$1,$A3,$A3))))</f>
        <v>51.49</v>
      </c>
      <c r="H3" s="8">
        <f>IF($A3="","",IF(ISNUMBER(FIND("IMPVOL",H$1)),_xll.BDH(config!$G$4,H$1,WORKDAY($A3,-1,config_Holiday_Calendar_US),WORKDAY($A3,-1,config_Holiday_Calendar_US)),IF(ISNUMBER(_xll.BDH(config!$G$4,H$1,$A3,$A3)),_xll.BDH(config!$G$4,H$1,$A3,$A3),_xll.BDH(config!$G$5,H$1,$A3,$A3))))</f>
        <v>796437</v>
      </c>
      <c r="I3" s="8" t="str">
        <f>IF($A3="","",IF(ISNUMBER(FIND("IMPVOL",I$1)),_xll.BDH(config!$G$4,I$1,WORKDAY($A3,-1,config_Holiday_Calendar_US),WORKDAY($A3,-1,config_Holiday_Calendar_US)),IF(ISNUMBER(_xll.BDH(config!$G$4,I$1,$A3,$A3)),_xll.BDH(config!$G$4,I$1,$A3,$A3),_xll.BDH(config!$G$5,I$1,$A3,$A3))))</f>
        <v>#N/A Requesting Data...</v>
      </c>
      <c r="J3" s="8" t="str">
        <f>IF($A3="","",IF(ISNUMBER(FIND("IMPVOL",J$1)),_xll.BDH(config!$G$4,J$1,WORKDAY($A3,-1,config_Holiday_Calendar_US),WORKDAY($A3,-1,config_Holiday_Calendar_US)),IF(ISNUMBER(_xll.BDH(config!$G$4,J$1,$A3,$A3)),_xll.BDH(config!$G$4,J$1,$A3,$A3),_xll.BDH(config!$G$5,J$1,$A3,$A3))))</f>
        <v>#N/A Requesting Data...</v>
      </c>
      <c r="K3" s="8" t="str">
        <f>IF($A3="","",IF(ISNUMBER(FIND("IMPVOL",K$1)),_xll.BDH(config!$G$4,K$1,WORKDAY($A3,-1,config_Holiday_Calendar_US),WORKDAY($A3,-1,config_Holiday_Calendar_US)),IF(ISNUMBER(_xll.BDH(config!$G$4,K$1,$A3,$A3)),_xll.BDH(config!$G$4,K$1,$A3,$A3),_xll.BDH(config!$G$5,K$1,$A3,$A3))))</f>
        <v>#N/A Requesting Data...</v>
      </c>
      <c r="L3" s="8" t="str">
        <f>IF($A3="","",IF(ISNUMBER(FIND("IMPVOL",L$1)),_xll.BDH(config!$G$4,L$1,WORKDAY($A3,-1,config_Holiday_Calendar_US),WORKDAY($A3,-1,config_Holiday_Calendar_US)),IF(ISNUMBER(_xll.BDH(config!$G$4,L$1,$A3,$A3)),_xll.BDH(config!$G$4,L$1,$A3,$A3),_xll.BDH(config!$G$5,L$1,$A3,$A3))))</f>
        <v>#N/A Requesting Data...</v>
      </c>
      <c r="M3" s="8" t="str">
        <f>IF($A3="","",IF(ISNUMBER(FIND("IMPVOL",M$1)),_xll.BDH(config!$G$4,M$1,WORKDAY($A3,-1,config_Holiday_Calendar_US),WORKDAY($A3,-1,config_Holiday_Calendar_US)),IF(ISNUMBER(_xll.BDH(config!$G$4,M$1,$A3,$A3)),_xll.BDH(config!$G$4,M$1,$A3,$A3),_xll.BDH(config!$G$5,M$1,$A3,$A3))))</f>
        <v>#N/A Requesting Data...</v>
      </c>
      <c r="N3" s="8" t="str">
        <f>IF($A3="","",IF(ISNUMBER(FIND("IMPVOL",N$1)),_xll.BDH(config!$G$4,N$1,WORKDAY($A3,-1,config_Holiday_Calendar_US),WORKDAY($A3,-1,config_Holiday_Calendar_US)),IF(ISNUMBER(_xll.BDH(config!$G$4,N$1,$A3,$A3)),_xll.BDH(config!$G$4,N$1,$A3,$A3),_xll.BDH(config!$G$5,N$1,$A3,$A3))))</f>
        <v>#N/A Requesting Data...</v>
      </c>
      <c r="O3" s="8" t="str">
        <f>IF($A3="","",IF(ISNUMBER(FIND("IMPVOL",O$1)),_xll.BDH(config!$G$4,O$1,WORKDAY($A3,-1,config_Holiday_Calendar_US),WORKDAY($A3,-1,config_Holiday_Calendar_US)),IF(ISNUMBER(_xll.BDH(config!$G$4,O$1,$A3,$A3)),_xll.BDH(config!$G$4,O$1,$A3,$A3),_xll.BDH(config!$G$5,O$1,$A3,$A3))))</f>
        <v>#N/A Requesting Data...</v>
      </c>
      <c r="P3" s="8" t="str">
        <f>IF($A3="","",IF(ISNUMBER(FIND("IMPVOL",P$1)),_xll.BDH(config!$G$4,P$1,WORKDAY($A3,-1,config_Holiday_Calendar_US),WORKDAY($A3,-1,config_Holiday_Calendar_US)),IF(ISNUMBER(_xll.BDH(config!$G$4,P$1,$A3,$A3)),_xll.BDH(config!$G$4,P$1,$A3,$A3),_xll.BDH(config!$G$5,P$1,$A3,$A3))))</f>
        <v>#N/A Requesting Data...</v>
      </c>
      <c r="Q3" s="8">
        <f>IF($A3="","",IF(ISNUMBER(FIND("IMPVOL",Q$1)),_xll.BDH(config!$G$4,Q$1,WORKDAY($A3,-1,config_Holiday_Calendar_US),WORKDAY($A3,-1,config_Holiday_Calendar_US)),IF(ISNUMBER(_xll.BDH(config!$G$4,Q$1,$A3,$A3)),_xll.BDH(config!$G$4,Q$1,$A3,$A3),_xll.BDH(config!$G$5,Q$1,$A3,$A3))))</f>
        <v>13.89</v>
      </c>
      <c r="R3" s="8">
        <f>IF($A3="","",IF(ISNUMBER(FIND("IMPVOL",R$1)),_xll.BDH(config!$G$4,R$1,WORKDAY($A3,-1,config_Holiday_Calendar_US),WORKDAY($A3,-1,config_Holiday_Calendar_US)),IF(ISNUMBER(_xll.BDH(config!$G$4,R$1,$A3,$A3)),_xll.BDH(config!$G$4,R$1,$A3,$A3),_xll.BDH(config!$G$5,R$1,$A3,$A3))))</f>
        <v>24.81</v>
      </c>
      <c r="S3" s="8" t="str">
        <f>IF($A3="","",IF(ISNUMBER(FIND("IMPVOL",S$1)),_xll.BDH(config!$G$4,S$1,WORKDAY($A3,-1,config_Holiday_Calendar_US),WORKDAY($A3,-1,config_Holiday_Calendar_US)),IF(ISNUMBER(_xll.BDH(config!$G$4,S$1,$A3,$A3)),_xll.BDH(config!$G$4,S$1,$A3,$A3),_xll.BDH(config!$G$5,S$1,$A3,$A3))))</f>
        <v>#N/A Requesting Data...</v>
      </c>
      <c r="T3" s="8" t="str">
        <f>IF($A3="","",IF(ISNUMBER(FIND("IMPVOL",T$1)),_xll.BDH(config!$G$4,T$1,WORKDAY($A3,-1,config_Holiday_Calendar_US),WORKDAY($A3,-1,config_Holiday_Calendar_US)),IF(ISNUMBER(_xll.BDH(config!$G$4,T$1,$A3,$A3)),_xll.BDH(config!$G$4,T$1,$A3,$A3),_xll.BDH(config!$G$5,T$1,$A3,$A3))))</f>
        <v>#N/A Requesting Data...</v>
      </c>
      <c r="U3" s="8" t="str">
        <f>IF($A3="","",IF(ISNUMBER(FIND("IMPVOL",U$1)),_xll.BDH(config!$G$4,U$1,WORKDAY($A3,-1,config_Holiday_Calendar_US),WORKDAY($A3,-1,config_Holiday_Calendar_US)),IF(ISNUMBER(_xll.BDH(config!$G$4,U$1,$A3,$A3)),_xll.BDH(config!$G$4,U$1,$A3,$A3),_xll.BDH(config!$G$5,U$1,$A3,$A3))))</f>
        <v>#N/A Requesting Data...</v>
      </c>
      <c r="V3" s="8" t="str">
        <f>IF($A3="","",IF(ISNUMBER(FIND("IMPVOL",V$1)),_xll.BDH(config!$G$4,V$1,WORKDAY($A3,-1,config_Holiday_Calendar_US),WORKDAY($A3,-1,config_Holiday_Calendar_US)),IF(ISNUMBER(_xll.BDH(config!$G$4,V$1,$A3,$A3)),_xll.BDH(config!$G$4,V$1,$A3,$A3),_xll.BDH(config!$G$5,V$1,$A3,$A3))))</f>
        <v>#N/A Requesting Data...</v>
      </c>
      <c r="W3" s="8" t="str">
        <f>IF($A3="","",IF(ISNUMBER(FIND("IMPVOL",W$1)),_xll.BDH(config!$G$4,W$1,WORKDAY($A3,-1,config_Holiday_Calendar_US),WORKDAY($A3,-1,config_Holiday_Calendar_US)),IF(ISNUMBER(_xll.BDH(config!$G$4,W$1,$A3,$A3)),_xll.BDH(config!$G$4,W$1,$A3,$A3),_xll.BDH(config!$G$5,W$1,$A3,$A3))))</f>
        <v>#N/A Requesting Data...</v>
      </c>
    </row>
    <row r="4" spans="1:23" x14ac:dyDescent="0.2">
      <c r="A4" s="9">
        <f>IF(A3="","",IF(WORKDAY(A3,-1,config_Holiday_Calendar_US)&lt;config!$I$10,"",WORKDAY(A3,-1,config_Holiday_Calendar_US)))</f>
        <v>42831</v>
      </c>
      <c r="B4" s="8">
        <f t="shared" si="0"/>
        <v>1</v>
      </c>
      <c r="C4" s="8">
        <f>IF(A4="","",_xll.BDH(config!$H$4,C$1,$A4,$A4))</f>
        <v>1.08</v>
      </c>
      <c r="D4" s="8">
        <f>IF($A4="","",_xll.BDH(config!$H$4,D$1,$A4,$A4))</f>
        <v>2.68</v>
      </c>
      <c r="E4" s="8">
        <f>IF($A4="","",IF(ISNUMBER(FIND("IMPVOL",E$1)),_xll.BDH(config!$G$4,E$1,WORKDAY($A4,-1,config_Holiday_Calendar_US),WORKDAY($A4,-1,config_Holiday_Calendar_US)),IF(ISNUMBER(_xll.BDH(config!$G$4,E$1,$A4,$A4)),_xll.BDH(config!$G$4,E$1,$A4,$A4),_xll.BDH(config!$G$5,E$1,$A4,$A4))))</f>
        <v>51.3</v>
      </c>
      <c r="F4" s="8">
        <f>IF($A4="","",IF(ISNUMBER(FIND("IMPVOL",F$1)),_xll.BDH(config!$G$4,F$1,WORKDAY($A4,-1,config_Holiday_Calendar_US),WORKDAY($A4,-1,config_Holiday_Calendar_US)),IF(ISNUMBER(_xll.BDH(config!$G$4,F$1,$A4,$A4)),_xll.BDH(config!$G$4,F$1,$A4,$A4),_xll.BDH(config!$G$5,F$1,$A4,$A4))))</f>
        <v>52.25</v>
      </c>
      <c r="G4" s="8">
        <f>IF($A4="","",IF(ISNUMBER(FIND("IMPVOL",G$1)),_xll.BDH(config!$G$4,G$1,WORKDAY($A4,-1,config_Holiday_Calendar_US),WORKDAY($A4,-1,config_Holiday_Calendar_US)),IF(ISNUMBER(_xll.BDH(config!$G$4,G$1,$A4,$A4)),_xll.BDH(config!$G$4,G$1,$A4,$A4),_xll.BDH(config!$G$5,G$1,$A4,$A4))))</f>
        <v>51.23</v>
      </c>
      <c r="H4" s="8">
        <f>IF($A4="","",IF(ISNUMBER(FIND("IMPVOL",H$1)),_xll.BDH(config!$G$4,H$1,WORKDAY($A4,-1,config_Holiday_Calendar_US),WORKDAY($A4,-1,config_Holiday_Calendar_US)),IF(ISNUMBER(_xll.BDH(config!$G$4,H$1,$A4,$A4)),_xll.BDH(config!$G$4,H$1,$A4,$A4),_xll.BDH(config!$G$5,H$1,$A4,$A4))))</f>
        <v>473019</v>
      </c>
      <c r="I4" s="8" t="str">
        <f>IF($A4="","",IF(ISNUMBER(FIND("IMPVOL",I$1)),_xll.BDH(config!$G$4,I$1,WORKDAY($A4,-1,config_Holiday_Calendar_US),WORKDAY($A4,-1,config_Holiday_Calendar_US)),IF(ISNUMBER(_xll.BDH(config!$G$4,I$1,$A4,$A4)),_xll.BDH(config!$G$4,I$1,$A4,$A4),_xll.BDH(config!$G$5,I$1,$A4,$A4))))</f>
        <v>#N/A Requesting Data...</v>
      </c>
      <c r="J4" s="8" t="str">
        <f>IF($A4="","",IF(ISNUMBER(FIND("IMPVOL",J$1)),_xll.BDH(config!$G$4,J$1,WORKDAY($A4,-1,config_Holiday_Calendar_US),WORKDAY($A4,-1,config_Holiday_Calendar_US)),IF(ISNUMBER(_xll.BDH(config!$G$4,J$1,$A4,$A4)),_xll.BDH(config!$G$4,J$1,$A4,$A4),_xll.BDH(config!$G$5,J$1,$A4,$A4))))</f>
        <v>#N/A Requesting Data...</v>
      </c>
      <c r="K4" s="8" t="str">
        <f>IF($A4="","",IF(ISNUMBER(FIND("IMPVOL",K$1)),_xll.BDH(config!$G$4,K$1,WORKDAY($A4,-1,config_Holiday_Calendar_US),WORKDAY($A4,-1,config_Holiday_Calendar_US)),IF(ISNUMBER(_xll.BDH(config!$G$4,K$1,$A4,$A4)),_xll.BDH(config!$G$4,K$1,$A4,$A4),_xll.BDH(config!$G$5,K$1,$A4,$A4))))</f>
        <v>#N/A Requesting Data...</v>
      </c>
      <c r="L4" s="8" t="str">
        <f>IF($A4="","",IF(ISNUMBER(FIND("IMPVOL",L$1)),_xll.BDH(config!$G$4,L$1,WORKDAY($A4,-1,config_Holiday_Calendar_US),WORKDAY($A4,-1,config_Holiday_Calendar_US)),IF(ISNUMBER(_xll.BDH(config!$G$4,L$1,$A4,$A4)),_xll.BDH(config!$G$4,L$1,$A4,$A4),_xll.BDH(config!$G$5,L$1,$A4,$A4))))</f>
        <v>#N/A Requesting Data...</v>
      </c>
      <c r="M4" s="8" t="str">
        <f>IF($A4="","",IF(ISNUMBER(FIND("IMPVOL",M$1)),_xll.BDH(config!$G$4,M$1,WORKDAY($A4,-1,config_Holiday_Calendar_US),WORKDAY($A4,-1,config_Holiday_Calendar_US)),IF(ISNUMBER(_xll.BDH(config!$G$4,M$1,$A4,$A4)),_xll.BDH(config!$G$4,M$1,$A4,$A4),_xll.BDH(config!$G$5,M$1,$A4,$A4))))</f>
        <v>#N/A Requesting Data...</v>
      </c>
      <c r="N4" s="8" t="str">
        <f>IF($A4="","",IF(ISNUMBER(FIND("IMPVOL",N$1)),_xll.BDH(config!$G$4,N$1,WORKDAY($A4,-1,config_Holiday_Calendar_US),WORKDAY($A4,-1,config_Holiday_Calendar_US)),IF(ISNUMBER(_xll.BDH(config!$G$4,N$1,$A4,$A4)),_xll.BDH(config!$G$4,N$1,$A4,$A4),_xll.BDH(config!$G$5,N$1,$A4,$A4))))</f>
        <v>#N/A Requesting Data...</v>
      </c>
      <c r="O4" s="8" t="str">
        <f>IF($A4="","",IF(ISNUMBER(FIND("IMPVOL",O$1)),_xll.BDH(config!$G$4,O$1,WORKDAY($A4,-1,config_Holiday_Calendar_US),WORKDAY($A4,-1,config_Holiday_Calendar_US)),IF(ISNUMBER(_xll.BDH(config!$G$4,O$1,$A4,$A4)),_xll.BDH(config!$G$4,O$1,$A4,$A4),_xll.BDH(config!$G$5,O$1,$A4,$A4))))</f>
        <v>#N/A Requesting Data...</v>
      </c>
      <c r="P4" s="8" t="str">
        <f>IF($A4="","",IF(ISNUMBER(FIND("IMPVOL",P$1)),_xll.BDH(config!$G$4,P$1,WORKDAY($A4,-1,config_Holiday_Calendar_US),WORKDAY($A4,-1,config_Holiday_Calendar_US)),IF(ISNUMBER(_xll.BDH(config!$G$4,P$1,$A4,$A4)),_xll.BDH(config!$G$4,P$1,$A4,$A4),_xll.BDH(config!$G$5,P$1,$A4,$A4))))</f>
        <v>#N/A Requesting Data...</v>
      </c>
      <c r="Q4" s="8">
        <f>IF($A4="","",IF(ISNUMBER(FIND("IMPVOL",Q$1)),_xll.BDH(config!$G$4,Q$1,WORKDAY($A4,-1,config_Holiday_Calendar_US),WORKDAY($A4,-1,config_Holiday_Calendar_US)),IF(ISNUMBER(_xll.BDH(config!$G$4,Q$1,$A4,$A4)),_xll.BDH(config!$G$4,Q$1,$A4,$A4),_xll.BDH(config!$G$5,Q$1,$A4,$A4))))</f>
        <v>15.77</v>
      </c>
      <c r="R4" s="8">
        <f>IF($A4="","",IF(ISNUMBER(FIND("IMPVOL",R$1)),_xll.BDH(config!$G$4,R$1,WORKDAY($A4,-1,config_Holiday_Calendar_US),WORKDAY($A4,-1,config_Holiday_Calendar_US)),IF(ISNUMBER(_xll.BDH(config!$G$4,R$1,$A4,$A4)),_xll.BDH(config!$G$4,R$1,$A4,$A4),_xll.BDH(config!$G$5,R$1,$A4,$A4))))</f>
        <v>24.6</v>
      </c>
      <c r="S4" s="8" t="str">
        <f>IF($A4="","",IF(ISNUMBER(FIND("IMPVOL",S$1)),_xll.BDH(config!$G$4,S$1,WORKDAY($A4,-1,config_Holiday_Calendar_US),WORKDAY($A4,-1,config_Holiday_Calendar_US)),IF(ISNUMBER(_xll.BDH(config!$G$4,S$1,$A4,$A4)),_xll.BDH(config!$G$4,S$1,$A4,$A4),_xll.BDH(config!$G$5,S$1,$A4,$A4))))</f>
        <v>#N/A Requesting Data...</v>
      </c>
      <c r="T4" s="8" t="str">
        <f>IF($A4="","",IF(ISNUMBER(FIND("IMPVOL",T$1)),_xll.BDH(config!$G$4,T$1,WORKDAY($A4,-1,config_Holiday_Calendar_US),WORKDAY($A4,-1,config_Holiday_Calendar_US)),IF(ISNUMBER(_xll.BDH(config!$G$4,T$1,$A4,$A4)),_xll.BDH(config!$G$4,T$1,$A4,$A4),_xll.BDH(config!$G$5,T$1,$A4,$A4))))</f>
        <v>#N/A Requesting Data...</v>
      </c>
      <c r="U4" s="8" t="str">
        <f>IF($A4="","",IF(ISNUMBER(FIND("IMPVOL",U$1)),_xll.BDH(config!$G$4,U$1,WORKDAY($A4,-1,config_Holiday_Calendar_US),WORKDAY($A4,-1,config_Holiday_Calendar_US)),IF(ISNUMBER(_xll.BDH(config!$G$4,U$1,$A4,$A4)),_xll.BDH(config!$G$4,U$1,$A4,$A4),_xll.BDH(config!$G$5,U$1,$A4,$A4))))</f>
        <v>#N/A Requesting Data...</v>
      </c>
      <c r="V4" s="8" t="str">
        <f>IF($A4="","",IF(ISNUMBER(FIND("IMPVOL",V$1)),_xll.BDH(config!$G$4,V$1,WORKDAY($A4,-1,config_Holiday_Calendar_US),WORKDAY($A4,-1,config_Holiday_Calendar_US)),IF(ISNUMBER(_xll.BDH(config!$G$4,V$1,$A4,$A4)),_xll.BDH(config!$G$4,V$1,$A4,$A4),_xll.BDH(config!$G$5,V$1,$A4,$A4))))</f>
        <v>#N/A Requesting Data...</v>
      </c>
      <c r="W4" s="8" t="str">
        <f>IF($A4="","",IF(ISNUMBER(FIND("IMPVOL",W$1)),_xll.BDH(config!$G$4,W$1,WORKDAY($A4,-1,config_Holiday_Calendar_US),WORKDAY($A4,-1,config_Holiday_Calendar_US)),IF(ISNUMBER(_xll.BDH(config!$G$4,W$1,$A4,$A4)),_xll.BDH(config!$G$4,W$1,$A4,$A4),_xll.BDH(config!$G$5,W$1,$A4,$A4))))</f>
        <v>#N/A Requesting Data...</v>
      </c>
    </row>
    <row r="5" spans="1:23" x14ac:dyDescent="0.2">
      <c r="A5" s="9">
        <f>IF(A4="","",IF(WORKDAY(A4,-1,config_Holiday_Calendar_US)&lt;config!$I$10,"",WORKDAY(A4,-1,config_Holiday_Calendar_US)))</f>
        <v>42830</v>
      </c>
      <c r="B5" s="8">
        <f t="shared" si="0"/>
        <v>1</v>
      </c>
      <c r="C5" s="8">
        <f>IF(A5="","",_xll.BDH(config!$H$4,C$1,$A5,$A5))</f>
        <v>0.24</v>
      </c>
      <c r="D5" s="8">
        <f>IF($A5="","",_xll.BDH(config!$H$4,D$1,$A5,$A5))</f>
        <v>3.31</v>
      </c>
      <c r="E5" s="8">
        <f>IF($A5="","",IF(ISNUMBER(FIND("IMPVOL",E$1)),_xll.BDH(config!$G$4,E$1,WORKDAY($A5,-1,config_Holiday_Calendar_US),WORKDAY($A5,-1,config_Holiday_Calendar_US)),IF(ISNUMBER(_xll.BDH(config!$G$4,E$1,$A5,$A5)),_xll.BDH(config!$G$4,E$1,$A5,$A5),_xll.BDH(config!$G$5,E$1,$A5,$A5))))</f>
        <v>51.63</v>
      </c>
      <c r="F5" s="8">
        <f>IF($A5="","",IF(ISNUMBER(FIND("IMPVOL",F$1)),_xll.BDH(config!$G$4,F$1,WORKDAY($A5,-1,config_Holiday_Calendar_US),WORKDAY($A5,-1,config_Holiday_Calendar_US)),IF(ISNUMBER(_xll.BDH(config!$G$4,F$1,$A5,$A5)),_xll.BDH(config!$G$4,F$1,$A5,$A5),_xll.BDH(config!$G$5,F$1,$A5,$A5))))</f>
        <v>52.33</v>
      </c>
      <c r="G5" s="8">
        <f>IF($A5="","",IF(ISNUMBER(FIND("IMPVOL",G$1)),_xll.BDH(config!$G$4,G$1,WORKDAY($A5,-1,config_Holiday_Calendar_US),WORKDAY($A5,-1,config_Holiday_Calendar_US)),IF(ISNUMBER(_xll.BDH(config!$G$4,G$1,$A5,$A5)),_xll.BDH(config!$G$4,G$1,$A5,$A5),_xll.BDH(config!$G$5,G$1,$A5,$A5))))</f>
        <v>50.74</v>
      </c>
      <c r="H5" s="8">
        <f>IF($A5="","",IF(ISNUMBER(FIND("IMPVOL",H$1)),_xll.BDH(config!$G$4,H$1,WORKDAY($A5,-1,config_Holiday_Calendar_US),WORKDAY($A5,-1,config_Holiday_Calendar_US)),IF(ISNUMBER(_xll.BDH(config!$G$4,H$1,$A5,$A5)),_xll.BDH(config!$G$4,H$1,$A5,$A5),_xll.BDH(config!$G$5,H$1,$A5,$A5))))</f>
        <v>651398</v>
      </c>
      <c r="I5" s="8" t="str">
        <f>IF($A5="","",IF(ISNUMBER(FIND("IMPVOL",I$1)),_xll.BDH(config!$G$4,I$1,WORKDAY($A5,-1,config_Holiday_Calendar_US),WORKDAY($A5,-1,config_Holiday_Calendar_US)),IF(ISNUMBER(_xll.BDH(config!$G$4,I$1,$A5,$A5)),_xll.BDH(config!$G$4,I$1,$A5,$A5),_xll.BDH(config!$G$5,I$1,$A5,$A5))))</f>
        <v>#N/A Requesting Data...</v>
      </c>
      <c r="J5" s="8" t="str">
        <f>IF($A5="","",IF(ISNUMBER(FIND("IMPVOL",J$1)),_xll.BDH(config!$G$4,J$1,WORKDAY($A5,-1,config_Holiday_Calendar_US),WORKDAY($A5,-1,config_Holiday_Calendar_US)),IF(ISNUMBER(_xll.BDH(config!$G$4,J$1,$A5,$A5)),_xll.BDH(config!$G$4,J$1,$A5,$A5),_xll.BDH(config!$G$5,J$1,$A5,$A5))))</f>
        <v>#N/A Requesting Data...</v>
      </c>
      <c r="K5" s="8" t="str">
        <f>IF($A5="","",IF(ISNUMBER(FIND("IMPVOL",K$1)),_xll.BDH(config!$G$4,K$1,WORKDAY($A5,-1,config_Holiday_Calendar_US),WORKDAY($A5,-1,config_Holiday_Calendar_US)),IF(ISNUMBER(_xll.BDH(config!$G$4,K$1,$A5,$A5)),_xll.BDH(config!$G$4,K$1,$A5,$A5),_xll.BDH(config!$G$5,K$1,$A5,$A5))))</f>
        <v>#N/A Requesting Data...</v>
      </c>
      <c r="L5" s="8" t="str">
        <f>IF($A5="","",IF(ISNUMBER(FIND("IMPVOL",L$1)),_xll.BDH(config!$G$4,L$1,WORKDAY($A5,-1,config_Holiday_Calendar_US),WORKDAY($A5,-1,config_Holiday_Calendar_US)),IF(ISNUMBER(_xll.BDH(config!$G$4,L$1,$A5,$A5)),_xll.BDH(config!$G$4,L$1,$A5,$A5),_xll.BDH(config!$G$5,L$1,$A5,$A5))))</f>
        <v>#N/A Requesting Data...</v>
      </c>
      <c r="M5" s="8" t="str">
        <f>IF($A5="","",IF(ISNUMBER(FIND("IMPVOL",M$1)),_xll.BDH(config!$G$4,M$1,WORKDAY($A5,-1,config_Holiday_Calendar_US),WORKDAY($A5,-1,config_Holiday_Calendar_US)),IF(ISNUMBER(_xll.BDH(config!$G$4,M$1,$A5,$A5)),_xll.BDH(config!$G$4,M$1,$A5,$A5),_xll.BDH(config!$G$5,M$1,$A5,$A5))))</f>
        <v>#N/A Requesting Data...</v>
      </c>
      <c r="N5" s="8" t="str">
        <f>IF($A5="","",IF(ISNUMBER(FIND("IMPVOL",N$1)),_xll.BDH(config!$G$4,N$1,WORKDAY($A5,-1,config_Holiday_Calendar_US),WORKDAY($A5,-1,config_Holiday_Calendar_US)),IF(ISNUMBER(_xll.BDH(config!$G$4,N$1,$A5,$A5)),_xll.BDH(config!$G$4,N$1,$A5,$A5),_xll.BDH(config!$G$5,N$1,$A5,$A5))))</f>
        <v>#N/A Requesting Data...</v>
      </c>
      <c r="O5" s="8" t="str">
        <f>IF($A5="","",IF(ISNUMBER(FIND("IMPVOL",O$1)),_xll.BDH(config!$G$4,O$1,WORKDAY($A5,-1,config_Holiday_Calendar_US),WORKDAY($A5,-1,config_Holiday_Calendar_US)),IF(ISNUMBER(_xll.BDH(config!$G$4,O$1,$A5,$A5)),_xll.BDH(config!$G$4,O$1,$A5,$A5),_xll.BDH(config!$G$5,O$1,$A5,$A5))))</f>
        <v>#N/A Requesting Data...</v>
      </c>
      <c r="P5" s="8" t="str">
        <f>IF($A5="","",IF(ISNUMBER(FIND("IMPVOL",P$1)),_xll.BDH(config!$G$4,P$1,WORKDAY($A5,-1,config_Holiday_Calendar_US),WORKDAY($A5,-1,config_Holiday_Calendar_US)),IF(ISNUMBER(_xll.BDH(config!$G$4,P$1,$A5,$A5)),_xll.BDH(config!$G$4,P$1,$A5,$A5),_xll.BDH(config!$G$5,P$1,$A5,$A5))))</f>
        <v>#N/A Requesting Data...</v>
      </c>
      <c r="Q5" s="8">
        <f>IF($A5="","",IF(ISNUMBER(FIND("IMPVOL",Q$1)),_xll.BDH(config!$G$4,Q$1,WORKDAY($A5,-1,config_Holiday_Calendar_US),WORKDAY($A5,-1,config_Holiday_Calendar_US)),IF(ISNUMBER(_xll.BDH(config!$G$4,Q$1,$A5,$A5)),_xll.BDH(config!$G$4,Q$1,$A5,$A5),_xll.BDH(config!$G$5,Q$1,$A5,$A5))))</f>
        <v>15.77</v>
      </c>
      <c r="R5" s="8">
        <f>IF($A5="","",IF(ISNUMBER(FIND("IMPVOL",R$1)),_xll.BDH(config!$G$4,R$1,WORKDAY($A5,-1,config_Holiday_Calendar_US),WORKDAY($A5,-1,config_Holiday_Calendar_US)),IF(ISNUMBER(_xll.BDH(config!$G$4,R$1,$A5,$A5)),_xll.BDH(config!$G$4,R$1,$A5,$A5),_xll.BDH(config!$G$5,R$1,$A5,$A5))))</f>
        <v>24.4</v>
      </c>
      <c r="S5" s="8" t="str">
        <f>IF($A5="","",IF(ISNUMBER(FIND("IMPVOL",S$1)),_xll.BDH(config!$G$4,S$1,WORKDAY($A5,-1,config_Holiday_Calendar_US),WORKDAY($A5,-1,config_Holiday_Calendar_US)),IF(ISNUMBER(_xll.BDH(config!$G$4,S$1,$A5,$A5)),_xll.BDH(config!$G$4,S$1,$A5,$A5),_xll.BDH(config!$G$5,S$1,$A5,$A5))))</f>
        <v>#N/A Requesting Data...</v>
      </c>
      <c r="T5" s="8" t="str">
        <f>IF($A5="","",IF(ISNUMBER(FIND("IMPVOL",T$1)),_xll.BDH(config!$G$4,T$1,WORKDAY($A5,-1,config_Holiday_Calendar_US),WORKDAY($A5,-1,config_Holiday_Calendar_US)),IF(ISNUMBER(_xll.BDH(config!$G$4,T$1,$A5,$A5)),_xll.BDH(config!$G$4,T$1,$A5,$A5),_xll.BDH(config!$G$5,T$1,$A5,$A5))))</f>
        <v>#N/A Requesting Data...</v>
      </c>
      <c r="U5" s="8" t="str">
        <f>IF($A5="","",IF(ISNUMBER(FIND("IMPVOL",U$1)),_xll.BDH(config!$G$4,U$1,WORKDAY($A5,-1,config_Holiday_Calendar_US),WORKDAY($A5,-1,config_Holiday_Calendar_US)),IF(ISNUMBER(_xll.BDH(config!$G$4,U$1,$A5,$A5)),_xll.BDH(config!$G$4,U$1,$A5,$A5),_xll.BDH(config!$G$5,U$1,$A5,$A5))))</f>
        <v>#N/A Requesting Data...</v>
      </c>
      <c r="V5" s="8" t="str">
        <f>IF($A5="","",IF(ISNUMBER(FIND("IMPVOL",V$1)),_xll.BDH(config!$G$4,V$1,WORKDAY($A5,-1,config_Holiday_Calendar_US),WORKDAY($A5,-1,config_Holiday_Calendar_US)),IF(ISNUMBER(_xll.BDH(config!$G$4,V$1,$A5,$A5)),_xll.BDH(config!$G$4,V$1,$A5,$A5),_xll.BDH(config!$G$5,V$1,$A5,$A5))))</f>
        <v>#N/A Requesting Data...</v>
      </c>
      <c r="W5" s="8" t="str">
        <f>IF($A5="","",IF(ISNUMBER(FIND("IMPVOL",W$1)),_xll.BDH(config!$G$4,W$1,WORKDAY($A5,-1,config_Holiday_Calendar_US),WORKDAY($A5,-1,config_Holiday_Calendar_US)),IF(ISNUMBER(_xll.BDH(config!$G$4,W$1,$A5,$A5)),_xll.BDH(config!$G$4,W$1,$A5,$A5),_xll.BDH(config!$G$5,W$1,$A5,$A5))))</f>
        <v>#N/A Requesting Data...</v>
      </c>
    </row>
    <row r="6" spans="1:23" x14ac:dyDescent="0.2">
      <c r="A6" s="9">
        <f>IF(A5="","",IF(WORKDAY(A5,-1,config_Holiday_Calendar_US)&lt;config!$I$10,"",WORKDAY(A5,-1,config_Holiday_Calendar_US)))</f>
        <v>42829</v>
      </c>
      <c r="B6" s="8">
        <f t="shared" si="0"/>
        <v>1</v>
      </c>
      <c r="C6" s="8">
        <f>IF(A6="","",_xll.BDH(config!$H$4,C$1,$A6,$A6))</f>
        <v>1.5699999999999998</v>
      </c>
      <c r="D6" s="8">
        <f>IF($A6="","",_xll.BDH(config!$H$4,D$1,$A6,$A6))</f>
        <v>5.5</v>
      </c>
      <c r="E6" s="8">
        <f>IF($A6="","",IF(ISNUMBER(FIND("IMPVOL",E$1)),_xll.BDH(config!$G$4,E$1,WORKDAY($A6,-1,config_Holiday_Calendar_US),WORKDAY($A6,-1,config_Holiday_Calendar_US)),IF(ISNUMBER(_xll.BDH(config!$G$4,E$1,$A6,$A6)),_xll.BDH(config!$G$4,E$1,$A6,$A6),_xll.BDH(config!$G$5,E$1,$A6,$A6))))</f>
        <v>50.68</v>
      </c>
      <c r="F6" s="8">
        <f>IF($A6="","",IF(ISNUMBER(FIND("IMPVOL",F$1)),_xll.BDH(config!$G$4,F$1,WORKDAY($A6,-1,config_Holiday_Calendar_US),WORKDAY($A6,-1,config_Holiday_Calendar_US)),IF(ISNUMBER(_xll.BDH(config!$G$4,F$1,$A6,$A6)),_xll.BDH(config!$G$4,F$1,$A6,$A6),_xll.BDH(config!$G$5,F$1,$A6,$A6))))</f>
        <v>51.74</v>
      </c>
      <c r="G6" s="8">
        <f>IF($A6="","",IF(ISNUMBER(FIND("IMPVOL",G$1)),_xll.BDH(config!$G$4,G$1,WORKDAY($A6,-1,config_Holiday_Calendar_US),WORKDAY($A6,-1,config_Holiday_Calendar_US)),IF(ISNUMBER(_xll.BDH(config!$G$4,G$1,$A6,$A6)),_xll.BDH(config!$G$4,G$1,$A6,$A6),_xll.BDH(config!$G$5,G$1,$A6,$A6))))</f>
        <v>50.35</v>
      </c>
      <c r="H6" s="8">
        <f>IF($A6="","",IF(ISNUMBER(FIND("IMPVOL",H$1)),_xll.BDH(config!$G$4,H$1,WORKDAY($A6,-1,config_Holiday_Calendar_US),WORKDAY($A6,-1,config_Holiday_Calendar_US)),IF(ISNUMBER(_xll.BDH(config!$G$4,H$1,$A6,$A6)),_xll.BDH(config!$G$4,H$1,$A6,$A6),_xll.BDH(config!$G$5,H$1,$A6,$A6))))</f>
        <v>532054</v>
      </c>
      <c r="I6" s="8" t="str">
        <f>IF($A6="","",IF(ISNUMBER(FIND("IMPVOL",I$1)),_xll.BDH(config!$G$4,I$1,WORKDAY($A6,-1,config_Holiday_Calendar_US),WORKDAY($A6,-1,config_Holiday_Calendar_US)),IF(ISNUMBER(_xll.BDH(config!$G$4,I$1,$A6,$A6)),_xll.BDH(config!$G$4,I$1,$A6,$A6),_xll.BDH(config!$G$5,I$1,$A6,$A6))))</f>
        <v>#N/A Requesting Data...</v>
      </c>
      <c r="J6" s="8" t="str">
        <f>IF($A6="","",IF(ISNUMBER(FIND("IMPVOL",J$1)),_xll.BDH(config!$G$4,J$1,WORKDAY($A6,-1,config_Holiday_Calendar_US),WORKDAY($A6,-1,config_Holiday_Calendar_US)),IF(ISNUMBER(_xll.BDH(config!$G$4,J$1,$A6,$A6)),_xll.BDH(config!$G$4,J$1,$A6,$A6),_xll.BDH(config!$G$5,J$1,$A6,$A6))))</f>
        <v>#N/A Requesting Data...</v>
      </c>
      <c r="K6" s="8" t="str">
        <f>IF($A6="","",IF(ISNUMBER(FIND("IMPVOL",K$1)),_xll.BDH(config!$G$4,K$1,WORKDAY($A6,-1,config_Holiday_Calendar_US),WORKDAY($A6,-1,config_Holiday_Calendar_US)),IF(ISNUMBER(_xll.BDH(config!$G$4,K$1,$A6,$A6)),_xll.BDH(config!$G$4,K$1,$A6,$A6),_xll.BDH(config!$G$5,K$1,$A6,$A6))))</f>
        <v>#N/A Requesting Data...</v>
      </c>
      <c r="L6" s="8" t="str">
        <f>IF($A6="","",IF(ISNUMBER(FIND("IMPVOL",L$1)),_xll.BDH(config!$G$4,L$1,WORKDAY($A6,-1,config_Holiday_Calendar_US),WORKDAY($A6,-1,config_Holiday_Calendar_US)),IF(ISNUMBER(_xll.BDH(config!$G$4,L$1,$A6,$A6)),_xll.BDH(config!$G$4,L$1,$A6,$A6),_xll.BDH(config!$G$5,L$1,$A6,$A6))))</f>
        <v>#N/A Requesting Data...</v>
      </c>
      <c r="M6" s="8" t="str">
        <f>IF($A6="","",IF(ISNUMBER(FIND("IMPVOL",M$1)),_xll.BDH(config!$G$4,M$1,WORKDAY($A6,-1,config_Holiday_Calendar_US),WORKDAY($A6,-1,config_Holiday_Calendar_US)),IF(ISNUMBER(_xll.BDH(config!$G$4,M$1,$A6,$A6)),_xll.BDH(config!$G$4,M$1,$A6,$A6),_xll.BDH(config!$G$5,M$1,$A6,$A6))))</f>
        <v>#N/A Requesting Data...</v>
      </c>
      <c r="N6" s="8" t="str">
        <f>IF($A6="","",IF(ISNUMBER(FIND("IMPVOL",N$1)),_xll.BDH(config!$G$4,N$1,WORKDAY($A6,-1,config_Holiday_Calendar_US),WORKDAY($A6,-1,config_Holiday_Calendar_US)),IF(ISNUMBER(_xll.BDH(config!$G$4,N$1,$A6,$A6)),_xll.BDH(config!$G$4,N$1,$A6,$A6),_xll.BDH(config!$G$5,N$1,$A6,$A6))))</f>
        <v>#N/A Requesting Data...</v>
      </c>
      <c r="O6" s="8" t="str">
        <f>IF($A6="","",IF(ISNUMBER(FIND("IMPVOL",O$1)),_xll.BDH(config!$G$4,O$1,WORKDAY($A6,-1,config_Holiday_Calendar_US),WORKDAY($A6,-1,config_Holiday_Calendar_US)),IF(ISNUMBER(_xll.BDH(config!$G$4,O$1,$A6,$A6)),_xll.BDH(config!$G$4,O$1,$A6,$A6),_xll.BDH(config!$G$5,O$1,$A6,$A6))))</f>
        <v>#N/A Requesting Data...</v>
      </c>
      <c r="P6" s="8" t="str">
        <f>IF($A6="","",IF(ISNUMBER(FIND("IMPVOL",P$1)),_xll.BDH(config!$G$4,P$1,WORKDAY($A6,-1,config_Holiday_Calendar_US),WORKDAY($A6,-1,config_Holiday_Calendar_US)),IF(ISNUMBER(_xll.BDH(config!$G$4,P$1,$A6,$A6)),_xll.BDH(config!$G$4,P$1,$A6,$A6),_xll.BDH(config!$G$5,P$1,$A6,$A6))))</f>
        <v>#N/A Requesting Data...</v>
      </c>
      <c r="Q6" s="8">
        <f>IF($A6="","",IF(ISNUMBER(FIND("IMPVOL",Q$1)),_xll.BDH(config!$G$4,Q$1,WORKDAY($A6,-1,config_Holiday_Calendar_US),WORKDAY($A6,-1,config_Holiday_Calendar_US)),IF(ISNUMBER(_xll.BDH(config!$G$4,Q$1,$A6,$A6)),_xll.BDH(config!$G$4,Q$1,$A6,$A6),_xll.BDH(config!$G$5,Q$1,$A6,$A6))))</f>
        <v>17.32</v>
      </c>
      <c r="R6" s="8">
        <f>IF($A6="","",IF(ISNUMBER(FIND("IMPVOL",R$1)),_xll.BDH(config!$G$4,R$1,WORKDAY($A6,-1,config_Holiday_Calendar_US),WORKDAY($A6,-1,config_Holiday_Calendar_US)),IF(ISNUMBER(_xll.BDH(config!$G$4,R$1,$A6,$A6)),_xll.BDH(config!$G$4,R$1,$A6,$A6),_xll.BDH(config!$G$5,R$1,$A6,$A6))))</f>
        <v>24.93</v>
      </c>
      <c r="S6" s="8" t="str">
        <f>IF($A6="","",IF(ISNUMBER(FIND("IMPVOL",S$1)),_xll.BDH(config!$G$4,S$1,WORKDAY($A6,-1,config_Holiday_Calendar_US),WORKDAY($A6,-1,config_Holiday_Calendar_US)),IF(ISNUMBER(_xll.BDH(config!$G$4,S$1,$A6,$A6)),_xll.BDH(config!$G$4,S$1,$A6,$A6),_xll.BDH(config!$G$5,S$1,$A6,$A6))))</f>
        <v>#N/A Requesting Data...</v>
      </c>
      <c r="T6" s="8" t="str">
        <f>IF($A6="","",IF(ISNUMBER(FIND("IMPVOL",T$1)),_xll.BDH(config!$G$4,T$1,WORKDAY($A6,-1,config_Holiday_Calendar_US),WORKDAY($A6,-1,config_Holiday_Calendar_US)),IF(ISNUMBER(_xll.BDH(config!$G$4,T$1,$A6,$A6)),_xll.BDH(config!$G$4,T$1,$A6,$A6),_xll.BDH(config!$G$5,T$1,$A6,$A6))))</f>
        <v>#N/A Requesting Data...</v>
      </c>
      <c r="U6" s="8" t="str">
        <f>IF($A6="","",IF(ISNUMBER(FIND("IMPVOL",U$1)),_xll.BDH(config!$G$4,U$1,WORKDAY($A6,-1,config_Holiday_Calendar_US),WORKDAY($A6,-1,config_Holiday_Calendar_US)),IF(ISNUMBER(_xll.BDH(config!$G$4,U$1,$A6,$A6)),_xll.BDH(config!$G$4,U$1,$A6,$A6),_xll.BDH(config!$G$5,U$1,$A6,$A6))))</f>
        <v>#N/A Requesting Data...</v>
      </c>
      <c r="V6" s="8" t="str">
        <f>IF($A6="","",IF(ISNUMBER(FIND("IMPVOL",V$1)),_xll.BDH(config!$G$4,V$1,WORKDAY($A6,-1,config_Holiday_Calendar_US),WORKDAY($A6,-1,config_Holiday_Calendar_US)),IF(ISNUMBER(_xll.BDH(config!$G$4,V$1,$A6,$A6)),_xll.BDH(config!$G$4,V$1,$A6,$A6),_xll.BDH(config!$G$5,V$1,$A6,$A6))))</f>
        <v>#N/A Requesting Data...</v>
      </c>
      <c r="W6" s="8" t="str">
        <f>IF($A6="","",IF(ISNUMBER(FIND("IMPVOL",W$1)),_xll.BDH(config!$G$4,W$1,WORKDAY($A6,-1,config_Holiday_Calendar_US),WORKDAY($A6,-1,config_Holiday_Calendar_US)),IF(ISNUMBER(_xll.BDH(config!$G$4,W$1,$A6,$A6)),_xll.BDH(config!$G$4,W$1,$A6,$A6),_xll.BDH(config!$G$5,W$1,$A6,$A6))))</f>
        <v>#N/A Requesting Data...</v>
      </c>
    </row>
    <row r="7" spans="1:23" x14ac:dyDescent="0.2">
      <c r="A7" s="9">
        <f>IF(A6="","",IF(WORKDAY(A6,-1,config_Holiday_Calendar_US)&lt;config!$I$10,"",WORKDAY(A6,-1,config_Holiday_Calendar_US)))</f>
        <v>42828</v>
      </c>
      <c r="B7" s="8">
        <f t="shared" si="0"/>
        <v>0</v>
      </c>
      <c r="C7" s="8">
        <f>IF(A7="","",_xll.BDH(config!$H$4,C$1,$A7,$A7))</f>
        <v>-0.71</v>
      </c>
      <c r="D7" s="8">
        <f>IF($A7="","",_xll.BDH(config!$H$4,D$1,$A7,$A7))</f>
        <v>5.26</v>
      </c>
      <c r="E7" s="8">
        <f>IF($A7="","",IF(ISNUMBER(FIND("IMPVOL",E$1)),_xll.BDH(config!$G$4,E$1,WORKDAY($A7,-1,config_Holiday_Calendar_US),WORKDAY($A7,-1,config_Holiday_Calendar_US)),IF(ISNUMBER(_xll.BDH(config!$G$4,E$1,$A7,$A7)),_xll.BDH(config!$G$4,E$1,$A7,$A7),_xll.BDH(config!$G$5,E$1,$A7,$A7))))</f>
        <v>51.15</v>
      </c>
      <c r="F7" s="8">
        <f>IF($A7="","",IF(ISNUMBER(FIND("IMPVOL",F$1)),_xll.BDH(config!$G$4,F$1,WORKDAY($A7,-1,config_Holiday_Calendar_US),WORKDAY($A7,-1,config_Holiday_Calendar_US)),IF(ISNUMBER(_xll.BDH(config!$G$4,F$1,$A7,$A7)),_xll.BDH(config!$G$4,F$1,$A7,$A7),_xll.BDH(config!$G$5,F$1,$A7,$A7))))</f>
        <v>51.29</v>
      </c>
      <c r="G7" s="8">
        <f>IF($A7="","",IF(ISNUMBER(FIND("IMPVOL",G$1)),_xll.BDH(config!$G$4,G$1,WORKDAY($A7,-1,config_Holiday_Calendar_US),WORKDAY($A7,-1,config_Holiday_Calendar_US)),IF(ISNUMBER(_xll.BDH(config!$G$4,G$1,$A7,$A7)),_xll.BDH(config!$G$4,G$1,$A7,$A7),_xll.BDH(config!$G$5,G$1,$A7,$A7))))</f>
        <v>50.12</v>
      </c>
      <c r="H7" s="8">
        <f>IF($A7="","",IF(ISNUMBER(FIND("IMPVOL",H$1)),_xll.BDH(config!$G$4,H$1,WORKDAY($A7,-1,config_Holiday_Calendar_US),WORKDAY($A7,-1,config_Holiday_Calendar_US)),IF(ISNUMBER(_xll.BDH(config!$G$4,H$1,$A7,$A7)),_xll.BDH(config!$G$4,H$1,$A7,$A7),_xll.BDH(config!$G$5,H$1,$A7,$A7))))</f>
        <v>440724</v>
      </c>
      <c r="I7" s="8" t="str">
        <f>IF($A7="","",IF(ISNUMBER(FIND("IMPVOL",I$1)),_xll.BDH(config!$G$4,I$1,WORKDAY($A7,-1,config_Holiday_Calendar_US),WORKDAY($A7,-1,config_Holiday_Calendar_US)),IF(ISNUMBER(_xll.BDH(config!$G$4,I$1,$A7,$A7)),_xll.BDH(config!$G$4,I$1,$A7,$A7),_xll.BDH(config!$G$5,I$1,$A7,$A7))))</f>
        <v>#N/A Requesting Data...</v>
      </c>
      <c r="J7" s="8" t="str">
        <f>IF($A7="","",IF(ISNUMBER(FIND("IMPVOL",J$1)),_xll.BDH(config!$G$4,J$1,WORKDAY($A7,-1,config_Holiday_Calendar_US),WORKDAY($A7,-1,config_Holiday_Calendar_US)),IF(ISNUMBER(_xll.BDH(config!$G$4,J$1,$A7,$A7)),_xll.BDH(config!$G$4,J$1,$A7,$A7),_xll.BDH(config!$G$5,J$1,$A7,$A7))))</f>
        <v>#N/A Requesting Data...</v>
      </c>
      <c r="K7" s="8" t="str">
        <f>IF($A7="","",IF(ISNUMBER(FIND("IMPVOL",K$1)),_xll.BDH(config!$G$4,K$1,WORKDAY($A7,-1,config_Holiday_Calendar_US),WORKDAY($A7,-1,config_Holiday_Calendar_US)),IF(ISNUMBER(_xll.BDH(config!$G$4,K$1,$A7,$A7)),_xll.BDH(config!$G$4,K$1,$A7,$A7),_xll.BDH(config!$G$5,K$1,$A7,$A7))))</f>
        <v>#N/A Requesting Data...</v>
      </c>
      <c r="L7" s="8" t="str">
        <f>IF($A7="","",IF(ISNUMBER(FIND("IMPVOL",L$1)),_xll.BDH(config!$G$4,L$1,WORKDAY($A7,-1,config_Holiday_Calendar_US),WORKDAY($A7,-1,config_Holiday_Calendar_US)),IF(ISNUMBER(_xll.BDH(config!$G$4,L$1,$A7,$A7)),_xll.BDH(config!$G$4,L$1,$A7,$A7),_xll.BDH(config!$G$5,L$1,$A7,$A7))))</f>
        <v>#N/A Requesting Data...</v>
      </c>
      <c r="M7" s="8" t="str">
        <f>IF($A7="","",IF(ISNUMBER(FIND("IMPVOL",M$1)),_xll.BDH(config!$G$4,M$1,WORKDAY($A7,-1,config_Holiday_Calendar_US),WORKDAY($A7,-1,config_Holiday_Calendar_US)),IF(ISNUMBER(_xll.BDH(config!$G$4,M$1,$A7,$A7)),_xll.BDH(config!$G$4,M$1,$A7,$A7),_xll.BDH(config!$G$5,M$1,$A7,$A7))))</f>
        <v>#N/A Requesting Data...</v>
      </c>
      <c r="N7" s="8" t="str">
        <f>IF($A7="","",IF(ISNUMBER(FIND("IMPVOL",N$1)),_xll.BDH(config!$G$4,N$1,WORKDAY($A7,-1,config_Holiday_Calendar_US),WORKDAY($A7,-1,config_Holiday_Calendar_US)),IF(ISNUMBER(_xll.BDH(config!$G$4,N$1,$A7,$A7)),_xll.BDH(config!$G$4,N$1,$A7,$A7),_xll.BDH(config!$G$5,N$1,$A7,$A7))))</f>
        <v>#N/A Requesting Data...</v>
      </c>
      <c r="O7" s="8" t="str">
        <f>IF($A7="","",IF(ISNUMBER(FIND("IMPVOL",O$1)),_xll.BDH(config!$G$4,O$1,WORKDAY($A7,-1,config_Holiday_Calendar_US),WORKDAY($A7,-1,config_Holiday_Calendar_US)),IF(ISNUMBER(_xll.BDH(config!$G$4,O$1,$A7,$A7)),_xll.BDH(config!$G$4,O$1,$A7,$A7),_xll.BDH(config!$G$5,O$1,$A7,$A7))))</f>
        <v>#N/A Requesting Data...</v>
      </c>
      <c r="P7" s="8" t="str">
        <f>IF($A7="","",IF(ISNUMBER(FIND("IMPVOL",P$1)),_xll.BDH(config!$G$4,P$1,WORKDAY($A7,-1,config_Holiday_Calendar_US),WORKDAY($A7,-1,config_Holiday_Calendar_US)),IF(ISNUMBER(_xll.BDH(config!$G$4,P$1,$A7,$A7)),_xll.BDH(config!$G$4,P$1,$A7,$A7),_xll.BDH(config!$G$5,P$1,$A7,$A7))))</f>
        <v>#N/A Requesting Data...</v>
      </c>
      <c r="Q7" s="8">
        <f>IF($A7="","",IF(ISNUMBER(FIND("IMPVOL",Q$1)),_xll.BDH(config!$G$4,Q$1,WORKDAY($A7,-1,config_Holiday_Calendar_US),WORKDAY($A7,-1,config_Holiday_Calendar_US)),IF(ISNUMBER(_xll.BDH(config!$G$4,Q$1,$A7,$A7)),_xll.BDH(config!$G$4,Q$1,$A7,$A7),_xll.BDH(config!$G$5,Q$1,$A7,$A7))))</f>
        <v>16.43</v>
      </c>
      <c r="R7" s="8">
        <f>IF($A7="","",IF(ISNUMBER(FIND("IMPVOL",R$1)),_xll.BDH(config!$G$4,R$1,WORKDAY($A7,-1,config_Holiday_Calendar_US),WORKDAY($A7,-1,config_Holiday_Calendar_US)),IF(ISNUMBER(_xll.BDH(config!$G$4,R$1,$A7,$A7)),_xll.BDH(config!$G$4,R$1,$A7,$A7),_xll.BDH(config!$G$5,R$1,$A7,$A7))))</f>
        <v>24.4</v>
      </c>
      <c r="S7" s="8" t="str">
        <f>IF($A7="","",IF(ISNUMBER(FIND("IMPVOL",S$1)),_xll.BDH(config!$G$4,S$1,WORKDAY($A7,-1,config_Holiday_Calendar_US),WORKDAY($A7,-1,config_Holiday_Calendar_US)),IF(ISNUMBER(_xll.BDH(config!$G$4,S$1,$A7,$A7)),_xll.BDH(config!$G$4,S$1,$A7,$A7),_xll.BDH(config!$G$5,S$1,$A7,$A7))))</f>
        <v>#N/A Requesting Data...</v>
      </c>
      <c r="T7" s="8" t="str">
        <f>IF($A7="","",IF(ISNUMBER(FIND("IMPVOL",T$1)),_xll.BDH(config!$G$4,T$1,WORKDAY($A7,-1,config_Holiday_Calendar_US),WORKDAY($A7,-1,config_Holiday_Calendar_US)),IF(ISNUMBER(_xll.BDH(config!$G$4,T$1,$A7,$A7)),_xll.BDH(config!$G$4,T$1,$A7,$A7),_xll.BDH(config!$G$5,T$1,$A7,$A7))))</f>
        <v>#N/A Requesting Data...</v>
      </c>
      <c r="U7" s="8" t="str">
        <f>IF($A7="","",IF(ISNUMBER(FIND("IMPVOL",U$1)),_xll.BDH(config!$G$4,U$1,WORKDAY($A7,-1,config_Holiday_Calendar_US),WORKDAY($A7,-1,config_Holiday_Calendar_US)),IF(ISNUMBER(_xll.BDH(config!$G$4,U$1,$A7,$A7)),_xll.BDH(config!$G$4,U$1,$A7,$A7),_xll.BDH(config!$G$5,U$1,$A7,$A7))))</f>
        <v>#N/A Requesting Data...</v>
      </c>
      <c r="V7" s="8" t="str">
        <f>IF($A7="","",IF(ISNUMBER(FIND("IMPVOL",V$1)),_xll.BDH(config!$G$4,V$1,WORKDAY($A7,-1,config_Holiday_Calendar_US),WORKDAY($A7,-1,config_Holiday_Calendar_US)),IF(ISNUMBER(_xll.BDH(config!$G$4,V$1,$A7,$A7)),_xll.BDH(config!$G$4,V$1,$A7,$A7),_xll.BDH(config!$G$5,V$1,$A7,$A7))))</f>
        <v>#N/A Requesting Data...</v>
      </c>
      <c r="W7" s="8" t="str">
        <f>IF($A7="","",IF(ISNUMBER(FIND("IMPVOL",W$1)),_xll.BDH(config!$G$4,W$1,WORKDAY($A7,-1,config_Holiday_Calendar_US),WORKDAY($A7,-1,config_Holiday_Calendar_US)),IF(ISNUMBER(_xll.BDH(config!$G$4,W$1,$A7,$A7)),_xll.BDH(config!$G$4,W$1,$A7,$A7),_xll.BDH(config!$G$5,W$1,$A7,$A7))))</f>
        <v>#N/A Requesting Data...</v>
      </c>
    </row>
    <row r="8" spans="1:23" x14ac:dyDescent="0.2">
      <c r="A8" s="9">
        <f>IF(A7="","",IF(WORKDAY(A7,-1,config_Holiday_Calendar_US)&lt;config!$I$10,"",WORKDAY(A7,-1,config_Holiday_Calendar_US)))</f>
        <v>42825</v>
      </c>
      <c r="B8" s="8">
        <f t="shared" si="0"/>
        <v>1</v>
      </c>
      <c r="C8" s="8">
        <f>IF(A8="","",_xll.BDH(config!$H$4,C$1,$A8,$A8))</f>
        <v>0.5</v>
      </c>
      <c r="D8" s="8">
        <f>IF($A8="","",_xll.BDH(config!$H$4,D$1,$A8,$A8))</f>
        <v>5.48</v>
      </c>
      <c r="E8" s="8">
        <f>IF($A8="","",IF(ISNUMBER(FIND("IMPVOL",E$1)),_xll.BDH(config!$G$4,E$1,WORKDAY($A8,-1,config_Holiday_Calendar_US),WORKDAY($A8,-1,config_Holiday_Calendar_US)),IF(ISNUMBER(_xll.BDH(config!$G$4,E$1,$A8,$A8)),_xll.BDH(config!$G$4,E$1,$A8,$A8),_xll.BDH(config!$G$5,E$1,$A8,$A8))))</f>
        <v>50.72</v>
      </c>
      <c r="F8" s="8">
        <f>IF($A8="","",IF(ISNUMBER(FIND("IMPVOL",F$1)),_xll.BDH(config!$G$4,F$1,WORKDAY($A8,-1,config_Holiday_Calendar_US),WORKDAY($A8,-1,config_Holiday_Calendar_US)),IF(ISNUMBER(_xll.BDH(config!$G$4,F$1,$A8,$A8)),_xll.BDH(config!$G$4,F$1,$A8,$A8),_xll.BDH(config!$G$5,F$1,$A8,$A8))))</f>
        <v>51.29</v>
      </c>
      <c r="G8" s="8">
        <f>IF($A8="","",IF(ISNUMBER(FIND("IMPVOL",G$1)),_xll.BDH(config!$G$4,G$1,WORKDAY($A8,-1,config_Holiday_Calendar_US),WORKDAY($A8,-1,config_Holiday_Calendar_US)),IF(ISNUMBER(_xll.BDH(config!$G$4,G$1,$A8,$A8)),_xll.BDH(config!$G$4,G$1,$A8,$A8),_xll.BDH(config!$G$5,G$1,$A8,$A8))))</f>
        <v>49.9</v>
      </c>
      <c r="H8" s="8">
        <f>IF($A8="","",IF(ISNUMBER(FIND("IMPVOL",H$1)),_xll.BDH(config!$G$4,H$1,WORKDAY($A8,-1,config_Holiday_Calendar_US),WORKDAY($A8,-1,config_Holiday_Calendar_US)),IF(ISNUMBER(_xll.BDH(config!$G$4,H$1,$A8,$A8)),_xll.BDH(config!$G$4,H$1,$A8,$A8),_xll.BDH(config!$G$5,H$1,$A8,$A8))))</f>
        <v>527607</v>
      </c>
      <c r="I8" s="8" t="str">
        <f>IF($A8="","",IF(ISNUMBER(FIND("IMPVOL",I$1)),_xll.BDH(config!$G$4,I$1,WORKDAY($A8,-1,config_Holiday_Calendar_US),WORKDAY($A8,-1,config_Holiday_Calendar_US)),IF(ISNUMBER(_xll.BDH(config!$G$4,I$1,$A8,$A8)),_xll.BDH(config!$G$4,I$1,$A8,$A8),_xll.BDH(config!$G$5,I$1,$A8,$A8))))</f>
        <v>#N/A Requesting Data...</v>
      </c>
      <c r="J8" s="8" t="str">
        <f>IF($A8="","",IF(ISNUMBER(FIND("IMPVOL",J$1)),_xll.BDH(config!$G$4,J$1,WORKDAY($A8,-1,config_Holiday_Calendar_US),WORKDAY($A8,-1,config_Holiday_Calendar_US)),IF(ISNUMBER(_xll.BDH(config!$G$4,J$1,$A8,$A8)),_xll.BDH(config!$G$4,J$1,$A8,$A8),_xll.BDH(config!$G$5,J$1,$A8,$A8))))</f>
        <v>#N/A Requesting Data...</v>
      </c>
      <c r="K8" s="8" t="str">
        <f>IF($A8="","",IF(ISNUMBER(FIND("IMPVOL",K$1)),_xll.BDH(config!$G$4,K$1,WORKDAY($A8,-1,config_Holiday_Calendar_US),WORKDAY($A8,-1,config_Holiday_Calendar_US)),IF(ISNUMBER(_xll.BDH(config!$G$4,K$1,$A8,$A8)),_xll.BDH(config!$G$4,K$1,$A8,$A8),_xll.BDH(config!$G$5,K$1,$A8,$A8))))</f>
        <v>#N/A Requesting Data...</v>
      </c>
      <c r="L8" s="8" t="str">
        <f>IF($A8="","",IF(ISNUMBER(FIND("IMPVOL",L$1)),_xll.BDH(config!$G$4,L$1,WORKDAY($A8,-1,config_Holiday_Calendar_US),WORKDAY($A8,-1,config_Holiday_Calendar_US)),IF(ISNUMBER(_xll.BDH(config!$G$4,L$1,$A8,$A8)),_xll.BDH(config!$G$4,L$1,$A8,$A8),_xll.BDH(config!$G$5,L$1,$A8,$A8))))</f>
        <v>#N/A Requesting Data...</v>
      </c>
      <c r="M8" s="8" t="str">
        <f>IF($A8="","",IF(ISNUMBER(FIND("IMPVOL",M$1)),_xll.BDH(config!$G$4,M$1,WORKDAY($A8,-1,config_Holiday_Calendar_US),WORKDAY($A8,-1,config_Holiday_Calendar_US)),IF(ISNUMBER(_xll.BDH(config!$G$4,M$1,$A8,$A8)),_xll.BDH(config!$G$4,M$1,$A8,$A8),_xll.BDH(config!$G$5,M$1,$A8,$A8))))</f>
        <v>#N/A Requesting Data...</v>
      </c>
      <c r="N8" s="8" t="str">
        <f>IF($A8="","",IF(ISNUMBER(FIND("IMPVOL",N$1)),_xll.BDH(config!$G$4,N$1,WORKDAY($A8,-1,config_Holiday_Calendar_US),WORKDAY($A8,-1,config_Holiday_Calendar_US)),IF(ISNUMBER(_xll.BDH(config!$G$4,N$1,$A8,$A8)),_xll.BDH(config!$G$4,N$1,$A8,$A8),_xll.BDH(config!$G$5,N$1,$A8,$A8))))</f>
        <v>#N/A Requesting Data...</v>
      </c>
      <c r="O8" s="8" t="str">
        <f>IF($A8="","",IF(ISNUMBER(FIND("IMPVOL",O$1)),_xll.BDH(config!$G$4,O$1,WORKDAY($A8,-1,config_Holiday_Calendar_US),WORKDAY($A8,-1,config_Holiday_Calendar_US)),IF(ISNUMBER(_xll.BDH(config!$G$4,O$1,$A8,$A8)),_xll.BDH(config!$G$4,O$1,$A8,$A8),_xll.BDH(config!$G$5,O$1,$A8,$A8))))</f>
        <v>#N/A Requesting Data...</v>
      </c>
      <c r="P8" s="8" t="str">
        <f>IF($A8="","",IF(ISNUMBER(FIND("IMPVOL",P$1)),_xll.BDH(config!$G$4,P$1,WORKDAY($A8,-1,config_Holiday_Calendar_US),WORKDAY($A8,-1,config_Holiday_Calendar_US)),IF(ISNUMBER(_xll.BDH(config!$G$4,P$1,$A8,$A8)),_xll.BDH(config!$G$4,P$1,$A8,$A8),_xll.BDH(config!$G$5,P$1,$A8,$A8))))</f>
        <v>#N/A Requesting Data...</v>
      </c>
      <c r="Q8" s="8">
        <f>IF($A8="","",IF(ISNUMBER(FIND("IMPVOL",Q$1)),_xll.BDH(config!$G$4,Q$1,WORKDAY($A8,-1,config_Holiday_Calendar_US),WORKDAY($A8,-1,config_Holiday_Calendar_US)),IF(ISNUMBER(_xll.BDH(config!$G$4,Q$1,$A8,$A8)),_xll.BDH(config!$G$4,Q$1,$A8,$A8),_xll.BDH(config!$G$5,Q$1,$A8,$A8))))</f>
        <v>18.39</v>
      </c>
      <c r="R8" s="8">
        <f>IF($A8="","",IF(ISNUMBER(FIND("IMPVOL",R$1)),_xll.BDH(config!$G$4,R$1,WORKDAY($A8,-1,config_Holiday_Calendar_US),WORKDAY($A8,-1,config_Holiday_Calendar_US)),IF(ISNUMBER(_xll.BDH(config!$G$4,R$1,$A8,$A8)),_xll.BDH(config!$G$4,R$1,$A8,$A8),_xll.BDH(config!$G$5,R$1,$A8,$A8))))</f>
        <v>24.63</v>
      </c>
      <c r="S8" s="8" t="str">
        <f>IF($A8="","",IF(ISNUMBER(FIND("IMPVOL",S$1)),_xll.BDH(config!$G$4,S$1,WORKDAY($A8,-1,config_Holiday_Calendar_US),WORKDAY($A8,-1,config_Holiday_Calendar_US)),IF(ISNUMBER(_xll.BDH(config!$G$4,S$1,$A8,$A8)),_xll.BDH(config!$G$4,S$1,$A8,$A8),_xll.BDH(config!$G$5,S$1,$A8,$A8))))</f>
        <v>#N/A Requesting Data...</v>
      </c>
      <c r="T8" s="8" t="str">
        <f>IF($A8="","",IF(ISNUMBER(FIND("IMPVOL",T$1)),_xll.BDH(config!$G$4,T$1,WORKDAY($A8,-1,config_Holiday_Calendar_US),WORKDAY($A8,-1,config_Holiday_Calendar_US)),IF(ISNUMBER(_xll.BDH(config!$G$4,T$1,$A8,$A8)),_xll.BDH(config!$G$4,T$1,$A8,$A8),_xll.BDH(config!$G$5,T$1,$A8,$A8))))</f>
        <v>#N/A Requesting Data...</v>
      </c>
      <c r="U8" s="8" t="str">
        <f>IF($A8="","",IF(ISNUMBER(FIND("IMPVOL",U$1)),_xll.BDH(config!$G$4,U$1,WORKDAY($A8,-1,config_Holiday_Calendar_US),WORKDAY($A8,-1,config_Holiday_Calendar_US)),IF(ISNUMBER(_xll.BDH(config!$G$4,U$1,$A8,$A8)),_xll.BDH(config!$G$4,U$1,$A8,$A8),_xll.BDH(config!$G$5,U$1,$A8,$A8))))</f>
        <v>#N/A Requesting Data...</v>
      </c>
      <c r="V8" s="8" t="str">
        <f>IF($A8="","",IF(ISNUMBER(FIND("IMPVOL",V$1)),_xll.BDH(config!$G$4,V$1,WORKDAY($A8,-1,config_Holiday_Calendar_US),WORKDAY($A8,-1,config_Holiday_Calendar_US)),IF(ISNUMBER(_xll.BDH(config!$G$4,V$1,$A8,$A8)),_xll.BDH(config!$G$4,V$1,$A8,$A8),_xll.BDH(config!$G$5,V$1,$A8,$A8))))</f>
        <v>#N/A Requesting Data...</v>
      </c>
      <c r="W8" s="8" t="str">
        <f>IF($A8="","",IF(ISNUMBER(FIND("IMPVOL",W$1)),_xll.BDH(config!$G$4,W$1,WORKDAY($A8,-1,config_Holiday_Calendar_US),WORKDAY($A8,-1,config_Holiday_Calendar_US)),IF(ISNUMBER(_xll.BDH(config!$G$4,W$1,$A8,$A8)),_xll.BDH(config!$G$4,W$1,$A8,$A8),_xll.BDH(config!$G$5,W$1,$A8,$A8))))</f>
        <v>#N/A Requesting Data...</v>
      </c>
    </row>
    <row r="9" spans="1:23" x14ac:dyDescent="0.2">
      <c r="A9" s="9">
        <f>IF(A8="","",IF(WORKDAY(A8,-1,config_Holiday_Calendar_US)&lt;config!$I$10,"",WORKDAY(A8,-1,config_Holiday_Calendar_US)))</f>
        <v>42824</v>
      </c>
      <c r="B9" s="8">
        <f t="shared" si="0"/>
        <v>1</v>
      </c>
      <c r="C9" s="8">
        <f>IF(A9="","",_xll.BDH(config!$H$4,C$1,$A9,$A9))</f>
        <v>1.7</v>
      </c>
      <c r="D9" s="8">
        <f>IF($A9="","",_xll.BDH(config!$H$4,D$1,$A9,$A9))</f>
        <v>5.5600000000000005</v>
      </c>
      <c r="E9" s="8">
        <f>IF($A9="","",IF(ISNUMBER(FIND("IMPVOL",E$1)),_xll.BDH(config!$G$4,E$1,WORKDAY($A9,-1,config_Holiday_Calendar_US),WORKDAY($A9,-1,config_Holiday_Calendar_US)),IF(ISNUMBER(_xll.BDH(config!$G$4,E$1,$A9,$A9)),_xll.BDH(config!$G$4,E$1,$A9,$A9),_xll.BDH(config!$G$5,E$1,$A9,$A9))))</f>
        <v>50.05</v>
      </c>
      <c r="F9" s="8">
        <f>IF($A9="","",IF(ISNUMBER(FIND("IMPVOL",F$1)),_xll.BDH(config!$G$4,F$1,WORKDAY($A9,-1,config_Holiday_Calendar_US),WORKDAY($A9,-1,config_Holiday_Calendar_US)),IF(ISNUMBER(_xll.BDH(config!$G$4,F$1,$A9,$A9)),_xll.BDH(config!$G$4,F$1,$A9,$A9),_xll.BDH(config!$G$5,F$1,$A9,$A9))))</f>
        <v>50.89</v>
      </c>
      <c r="G9" s="8">
        <f>IF($A9="","",IF(ISNUMBER(FIND("IMPVOL",G$1)),_xll.BDH(config!$G$4,G$1,WORKDAY($A9,-1,config_Holiday_Calendar_US),WORKDAY($A9,-1,config_Holiday_Calendar_US)),IF(ISNUMBER(_xll.BDH(config!$G$4,G$1,$A9,$A9)),_xll.BDH(config!$G$4,G$1,$A9,$A9),_xll.BDH(config!$G$5,G$1,$A9,$A9))))</f>
        <v>49.27</v>
      </c>
      <c r="H9" s="8">
        <f>IF($A9="","",IF(ISNUMBER(FIND("IMPVOL",H$1)),_xll.BDH(config!$G$4,H$1,WORKDAY($A9,-1,config_Holiday_Calendar_US),WORKDAY($A9,-1,config_Holiday_Calendar_US)),IF(ISNUMBER(_xll.BDH(config!$G$4,H$1,$A9,$A9)),_xll.BDH(config!$G$4,H$1,$A9,$A9),_xll.BDH(config!$G$5,H$1,$A9,$A9))))</f>
        <v>580668</v>
      </c>
      <c r="I9" s="8" t="str">
        <f>IF($A9="","",IF(ISNUMBER(FIND("IMPVOL",I$1)),_xll.BDH(config!$G$4,I$1,WORKDAY($A9,-1,config_Holiday_Calendar_US),WORKDAY($A9,-1,config_Holiday_Calendar_US)),IF(ISNUMBER(_xll.BDH(config!$G$4,I$1,$A9,$A9)),_xll.BDH(config!$G$4,I$1,$A9,$A9),_xll.BDH(config!$G$5,I$1,$A9,$A9))))</f>
        <v>#N/A Requesting Data...</v>
      </c>
      <c r="J9" s="8" t="str">
        <f>IF($A9="","",IF(ISNUMBER(FIND("IMPVOL",J$1)),_xll.BDH(config!$G$4,J$1,WORKDAY($A9,-1,config_Holiday_Calendar_US),WORKDAY($A9,-1,config_Holiday_Calendar_US)),IF(ISNUMBER(_xll.BDH(config!$G$4,J$1,$A9,$A9)),_xll.BDH(config!$G$4,J$1,$A9,$A9),_xll.BDH(config!$G$5,J$1,$A9,$A9))))</f>
        <v>#N/A Requesting Data...</v>
      </c>
      <c r="K9" s="8" t="str">
        <f>IF($A9="","",IF(ISNUMBER(FIND("IMPVOL",K$1)),_xll.BDH(config!$G$4,K$1,WORKDAY($A9,-1,config_Holiday_Calendar_US),WORKDAY($A9,-1,config_Holiday_Calendar_US)),IF(ISNUMBER(_xll.BDH(config!$G$4,K$1,$A9,$A9)),_xll.BDH(config!$G$4,K$1,$A9,$A9),_xll.BDH(config!$G$5,K$1,$A9,$A9))))</f>
        <v>#N/A Requesting Data...</v>
      </c>
      <c r="L9" s="8" t="str">
        <f>IF($A9="","",IF(ISNUMBER(FIND("IMPVOL",L$1)),_xll.BDH(config!$G$4,L$1,WORKDAY($A9,-1,config_Holiday_Calendar_US),WORKDAY($A9,-1,config_Holiday_Calendar_US)),IF(ISNUMBER(_xll.BDH(config!$G$4,L$1,$A9,$A9)),_xll.BDH(config!$G$4,L$1,$A9,$A9),_xll.BDH(config!$G$5,L$1,$A9,$A9))))</f>
        <v>#N/A Requesting Data...</v>
      </c>
      <c r="M9" s="8" t="str">
        <f>IF($A9="","",IF(ISNUMBER(FIND("IMPVOL",M$1)),_xll.BDH(config!$G$4,M$1,WORKDAY($A9,-1,config_Holiday_Calendar_US),WORKDAY($A9,-1,config_Holiday_Calendar_US)),IF(ISNUMBER(_xll.BDH(config!$G$4,M$1,$A9,$A9)),_xll.BDH(config!$G$4,M$1,$A9,$A9),_xll.BDH(config!$G$5,M$1,$A9,$A9))))</f>
        <v>#N/A Requesting Data...</v>
      </c>
      <c r="N9" s="8" t="str">
        <f>IF($A9="","",IF(ISNUMBER(FIND("IMPVOL",N$1)),_xll.BDH(config!$G$4,N$1,WORKDAY($A9,-1,config_Holiday_Calendar_US),WORKDAY($A9,-1,config_Holiday_Calendar_US)),IF(ISNUMBER(_xll.BDH(config!$G$4,N$1,$A9,$A9)),_xll.BDH(config!$G$4,N$1,$A9,$A9),_xll.BDH(config!$G$5,N$1,$A9,$A9))))</f>
        <v>#N/A Requesting Data...</v>
      </c>
      <c r="O9" s="8" t="str">
        <f>IF($A9="","",IF(ISNUMBER(FIND("IMPVOL",O$1)),_xll.BDH(config!$G$4,O$1,WORKDAY($A9,-1,config_Holiday_Calendar_US),WORKDAY($A9,-1,config_Holiday_Calendar_US)),IF(ISNUMBER(_xll.BDH(config!$G$4,O$1,$A9,$A9)),_xll.BDH(config!$G$4,O$1,$A9,$A9),_xll.BDH(config!$G$5,O$1,$A9,$A9))))</f>
        <v>#N/A Requesting Data...</v>
      </c>
      <c r="P9" s="8" t="str">
        <f>IF($A9="","",IF(ISNUMBER(FIND("IMPVOL",P$1)),_xll.BDH(config!$G$4,P$1,WORKDAY($A9,-1,config_Holiday_Calendar_US),WORKDAY($A9,-1,config_Holiday_Calendar_US)),IF(ISNUMBER(_xll.BDH(config!$G$4,P$1,$A9,$A9)),_xll.BDH(config!$G$4,P$1,$A9,$A9),_xll.BDH(config!$G$5,P$1,$A9,$A9))))</f>
        <v>#N/A Requesting Data...</v>
      </c>
      <c r="Q9" s="8">
        <f>IF($A9="","",IF(ISNUMBER(FIND("IMPVOL",Q$1)),_xll.BDH(config!$G$4,Q$1,WORKDAY($A9,-1,config_Holiday_Calendar_US),WORKDAY($A9,-1,config_Holiday_Calendar_US)),IF(ISNUMBER(_xll.BDH(config!$G$4,Q$1,$A9,$A9)),_xll.BDH(config!$G$4,Q$1,$A9,$A9),_xll.BDH(config!$G$5,Q$1,$A9,$A9))))</f>
        <v>19.63</v>
      </c>
      <c r="R9" s="8">
        <f>IF($A9="","",IF(ISNUMBER(FIND("IMPVOL",R$1)),_xll.BDH(config!$G$4,R$1,WORKDAY($A9,-1,config_Holiday_Calendar_US),WORKDAY($A9,-1,config_Holiday_Calendar_US)),IF(ISNUMBER(_xll.BDH(config!$G$4,R$1,$A9,$A9)),_xll.BDH(config!$G$4,R$1,$A9,$A9),_xll.BDH(config!$G$5,R$1,$A9,$A9))))</f>
        <v>24.54</v>
      </c>
      <c r="S9" s="8" t="str">
        <f>IF($A9="","",IF(ISNUMBER(FIND("IMPVOL",S$1)),_xll.BDH(config!$G$4,S$1,WORKDAY($A9,-1,config_Holiday_Calendar_US),WORKDAY($A9,-1,config_Holiday_Calendar_US)),IF(ISNUMBER(_xll.BDH(config!$G$4,S$1,$A9,$A9)),_xll.BDH(config!$G$4,S$1,$A9,$A9),_xll.BDH(config!$G$5,S$1,$A9,$A9))))</f>
        <v>#N/A Requesting Data...</v>
      </c>
      <c r="T9" s="8" t="str">
        <f>IF($A9="","",IF(ISNUMBER(FIND("IMPVOL",T$1)),_xll.BDH(config!$G$4,T$1,WORKDAY($A9,-1,config_Holiday_Calendar_US),WORKDAY($A9,-1,config_Holiday_Calendar_US)),IF(ISNUMBER(_xll.BDH(config!$G$4,T$1,$A9,$A9)),_xll.BDH(config!$G$4,T$1,$A9,$A9),_xll.BDH(config!$G$5,T$1,$A9,$A9))))</f>
        <v>#N/A Requesting Data...</v>
      </c>
      <c r="U9" s="8" t="str">
        <f>IF($A9="","",IF(ISNUMBER(FIND("IMPVOL",U$1)),_xll.BDH(config!$G$4,U$1,WORKDAY($A9,-1,config_Holiday_Calendar_US),WORKDAY($A9,-1,config_Holiday_Calendar_US)),IF(ISNUMBER(_xll.BDH(config!$G$4,U$1,$A9,$A9)),_xll.BDH(config!$G$4,U$1,$A9,$A9),_xll.BDH(config!$G$5,U$1,$A9,$A9))))</f>
        <v>#N/A Requesting Data...</v>
      </c>
      <c r="V9" s="8" t="str">
        <f>IF($A9="","",IF(ISNUMBER(FIND("IMPVOL",V$1)),_xll.BDH(config!$G$4,V$1,WORKDAY($A9,-1,config_Holiday_Calendar_US),WORKDAY($A9,-1,config_Holiday_Calendar_US)),IF(ISNUMBER(_xll.BDH(config!$G$4,V$1,$A9,$A9)),_xll.BDH(config!$G$4,V$1,$A9,$A9),_xll.BDH(config!$G$5,V$1,$A9,$A9))))</f>
        <v>#N/A Requesting Data...</v>
      </c>
      <c r="W9" s="8" t="str">
        <f>IF($A9="","",IF(ISNUMBER(FIND("IMPVOL",W$1)),_xll.BDH(config!$G$4,W$1,WORKDAY($A9,-1,config_Holiday_Calendar_US),WORKDAY($A9,-1,config_Holiday_Calendar_US)),IF(ISNUMBER(_xll.BDH(config!$G$4,W$1,$A9,$A9)),_xll.BDH(config!$G$4,W$1,$A9,$A9),_xll.BDH(config!$G$5,W$1,$A9,$A9))))</f>
        <v>#N/A Requesting Data...</v>
      </c>
    </row>
    <row r="10" spans="1:23" x14ac:dyDescent="0.2">
      <c r="A10" s="9">
        <f>IF(A9="","",IF(WORKDAY(A9,-1,config_Holiday_Calendar_US)&lt;config!$I$10,"",WORKDAY(A9,-1,config_Holiday_Calendar_US)))</f>
        <v>42823</v>
      </c>
      <c r="B10" s="8" t="e">
        <f t="shared" si="0"/>
        <v>#VALUE!</v>
      </c>
      <c r="C10" s="8" t="str">
        <f>IF(A10="","",_xll.BDH(config!$H$4,C$1,$A10,$A10))</f>
        <v>#N/A Requesting Data...</v>
      </c>
      <c r="D10" s="8" t="str">
        <f>IF($A10="","",_xll.BDH(config!$H$4,D$1,$A10,$A10))</f>
        <v>#N/A Requesting Data...</v>
      </c>
      <c r="E10" s="8">
        <f>IF($A10="","",IF(ISNUMBER(FIND("IMPVOL",E$1)),_xll.BDH(config!$G$4,E$1,WORKDAY($A10,-1,config_Holiday_Calendar_US),WORKDAY($A10,-1,config_Holiday_Calendar_US)),IF(ISNUMBER(_xll.BDH(config!$G$4,E$1,$A10,$A10)),_xll.BDH(config!$G$4,E$1,$A10,$A10),_xll.BDH(config!$G$5,E$1,$A10,$A10))))</f>
        <v>48.99</v>
      </c>
      <c r="F10" s="8">
        <f>IF($A10="","",IF(ISNUMBER(FIND("IMPVOL",F$1)),_xll.BDH(config!$G$4,F$1,WORKDAY($A10,-1,config_Holiday_Calendar_US),WORKDAY($A10,-1,config_Holiday_Calendar_US)),IF(ISNUMBER(_xll.BDH(config!$G$4,F$1,$A10,$A10)),_xll.BDH(config!$G$4,F$1,$A10,$A10),_xll.BDH(config!$G$5,F$1,$A10,$A10))))</f>
        <v>50.1</v>
      </c>
      <c r="G10" s="8">
        <f>IF($A10="","",IF(ISNUMBER(FIND("IMPVOL",G$1)),_xll.BDH(config!$G$4,G$1,WORKDAY($A10,-1,config_Holiday_Calendar_US),WORKDAY($A10,-1,config_Holiday_Calendar_US)),IF(ISNUMBER(_xll.BDH(config!$G$4,G$1,$A10,$A10)),_xll.BDH(config!$G$4,G$1,$A10,$A10),_xll.BDH(config!$G$5,G$1,$A10,$A10))))</f>
        <v>48.91</v>
      </c>
      <c r="H10" s="8">
        <f>IF($A10="","",IF(ISNUMBER(FIND("IMPVOL",H$1)),_xll.BDH(config!$G$4,H$1,WORKDAY($A10,-1,config_Holiday_Calendar_US),WORKDAY($A10,-1,config_Holiday_Calendar_US)),IF(ISNUMBER(_xll.BDH(config!$G$4,H$1,$A10,$A10)),_xll.BDH(config!$G$4,H$1,$A10,$A10),_xll.BDH(config!$G$5,H$1,$A10,$A10))))</f>
        <v>168108</v>
      </c>
      <c r="I10" s="8" t="str">
        <f>IF($A10="","",IF(ISNUMBER(FIND("IMPVOL",I$1)),_xll.BDH(config!$G$4,I$1,WORKDAY($A10,-1,config_Holiday_Calendar_US),WORKDAY($A10,-1,config_Holiday_Calendar_US)),IF(ISNUMBER(_xll.BDH(config!$G$4,I$1,$A10,$A10)),_xll.BDH(config!$G$4,I$1,$A10,$A10),_xll.BDH(config!$G$5,I$1,$A10,$A10))))</f>
        <v>#N/A Requesting Data...</v>
      </c>
      <c r="J10" s="8" t="str">
        <f>IF($A10="","",IF(ISNUMBER(FIND("IMPVOL",J$1)),_xll.BDH(config!$G$4,J$1,WORKDAY($A10,-1,config_Holiday_Calendar_US),WORKDAY($A10,-1,config_Holiday_Calendar_US)),IF(ISNUMBER(_xll.BDH(config!$G$4,J$1,$A10,$A10)),_xll.BDH(config!$G$4,J$1,$A10,$A10),_xll.BDH(config!$G$5,J$1,$A10,$A10))))</f>
        <v>#N/A Requesting Data...</v>
      </c>
      <c r="K10" s="8" t="str">
        <f>IF($A10="","",IF(ISNUMBER(FIND("IMPVOL",K$1)),_xll.BDH(config!$G$4,K$1,WORKDAY($A10,-1,config_Holiday_Calendar_US),WORKDAY($A10,-1,config_Holiday_Calendar_US)),IF(ISNUMBER(_xll.BDH(config!$G$4,K$1,$A10,$A10)),_xll.BDH(config!$G$4,K$1,$A10,$A10),_xll.BDH(config!$G$5,K$1,$A10,$A10))))</f>
        <v>#N/A Requesting Data...</v>
      </c>
      <c r="L10" s="8" t="str">
        <f>IF($A10="","",IF(ISNUMBER(FIND("IMPVOL",L$1)),_xll.BDH(config!$G$4,L$1,WORKDAY($A10,-1,config_Holiday_Calendar_US),WORKDAY($A10,-1,config_Holiday_Calendar_US)),IF(ISNUMBER(_xll.BDH(config!$G$4,L$1,$A10,$A10)),_xll.BDH(config!$G$4,L$1,$A10,$A10),_xll.BDH(config!$G$5,L$1,$A10,$A10))))</f>
        <v>#N/A Requesting Data...</v>
      </c>
      <c r="M10" s="8" t="str">
        <f>IF($A10="","",IF(ISNUMBER(FIND("IMPVOL",M$1)),_xll.BDH(config!$G$4,M$1,WORKDAY($A10,-1,config_Holiday_Calendar_US),WORKDAY($A10,-1,config_Holiday_Calendar_US)),IF(ISNUMBER(_xll.BDH(config!$G$4,M$1,$A10,$A10)),_xll.BDH(config!$G$4,M$1,$A10,$A10),_xll.BDH(config!$G$5,M$1,$A10,$A10))))</f>
        <v>#N/A Requesting Data...</v>
      </c>
      <c r="N10" s="8" t="str">
        <f>IF($A10="","",IF(ISNUMBER(FIND("IMPVOL",N$1)),_xll.BDH(config!$G$4,N$1,WORKDAY($A10,-1,config_Holiday_Calendar_US),WORKDAY($A10,-1,config_Holiday_Calendar_US)),IF(ISNUMBER(_xll.BDH(config!$G$4,N$1,$A10,$A10)),_xll.BDH(config!$G$4,N$1,$A10,$A10),_xll.BDH(config!$G$5,N$1,$A10,$A10))))</f>
        <v>#N/A Requesting Data...</v>
      </c>
      <c r="O10" s="8" t="str">
        <f>IF($A10="","",IF(ISNUMBER(FIND("IMPVOL",O$1)),_xll.BDH(config!$G$4,O$1,WORKDAY($A10,-1,config_Holiday_Calendar_US),WORKDAY($A10,-1,config_Holiday_Calendar_US)),IF(ISNUMBER(_xll.BDH(config!$G$4,O$1,$A10,$A10)),_xll.BDH(config!$G$4,O$1,$A10,$A10),_xll.BDH(config!$G$5,O$1,$A10,$A10))))</f>
        <v>#N/A Requesting Data...</v>
      </c>
      <c r="P10" s="8" t="str">
        <f>IF($A10="","",IF(ISNUMBER(FIND("IMPVOL",P$1)),_xll.BDH(config!$G$4,P$1,WORKDAY($A10,-1,config_Holiday_Calendar_US),WORKDAY($A10,-1,config_Holiday_Calendar_US)),IF(ISNUMBER(_xll.BDH(config!$G$4,P$1,$A10,$A10)),_xll.BDH(config!$G$4,P$1,$A10,$A10),_xll.BDH(config!$G$5,P$1,$A10,$A10))))</f>
        <v>#N/A Requesting Data...</v>
      </c>
      <c r="Q10" s="8">
        <f>IF($A10="","",IF(ISNUMBER(FIND("IMPVOL",Q$1)),_xll.BDH(config!$G$4,Q$1,WORKDAY($A10,-1,config_Holiday_Calendar_US),WORKDAY($A10,-1,config_Holiday_Calendar_US)),IF(ISNUMBER(_xll.BDH(config!$G$4,Q$1,$A10,$A10)),_xll.BDH(config!$G$4,Q$1,$A10,$A10),_xll.BDH(config!$G$5,Q$1,$A10,$A10))))</f>
        <v>18.190000000000001</v>
      </c>
      <c r="R10" s="8">
        <f>IF($A10="","",IF(ISNUMBER(FIND("IMPVOL",R$1)),_xll.BDH(config!$G$4,R$1,WORKDAY($A10,-1,config_Holiday_Calendar_US),WORKDAY($A10,-1,config_Holiday_Calendar_US)),IF(ISNUMBER(_xll.BDH(config!$G$4,R$1,$A10,$A10)),_xll.BDH(config!$G$4,R$1,$A10,$A10),_xll.BDH(config!$G$5,R$1,$A10,$A10))))</f>
        <v>23.99</v>
      </c>
      <c r="S10" s="8" t="str">
        <f>IF($A10="","",IF(ISNUMBER(FIND("IMPVOL",S$1)),_xll.BDH(config!$G$4,S$1,WORKDAY($A10,-1,config_Holiday_Calendar_US),WORKDAY($A10,-1,config_Holiday_Calendar_US)),IF(ISNUMBER(_xll.BDH(config!$G$4,S$1,$A10,$A10)),_xll.BDH(config!$G$4,S$1,$A10,$A10),_xll.BDH(config!$G$5,S$1,$A10,$A10))))</f>
        <v>#N/A Requesting Data...</v>
      </c>
      <c r="T10" s="8" t="str">
        <f>IF($A10="","",IF(ISNUMBER(FIND("IMPVOL",T$1)),_xll.BDH(config!$G$4,T$1,WORKDAY($A10,-1,config_Holiday_Calendar_US),WORKDAY($A10,-1,config_Holiday_Calendar_US)),IF(ISNUMBER(_xll.BDH(config!$G$4,T$1,$A10,$A10)),_xll.BDH(config!$G$4,T$1,$A10,$A10),_xll.BDH(config!$G$5,T$1,$A10,$A10))))</f>
        <v>#N/A Requesting Data...</v>
      </c>
      <c r="U10" s="8" t="str">
        <f>IF($A10="","",IF(ISNUMBER(FIND("IMPVOL",U$1)),_xll.BDH(config!$G$4,U$1,WORKDAY($A10,-1,config_Holiday_Calendar_US),WORKDAY($A10,-1,config_Holiday_Calendar_US)),IF(ISNUMBER(_xll.BDH(config!$G$4,U$1,$A10,$A10)),_xll.BDH(config!$G$4,U$1,$A10,$A10),_xll.BDH(config!$G$5,U$1,$A10,$A10))))</f>
        <v>#N/A Requesting Data...</v>
      </c>
      <c r="V10" s="8" t="str">
        <f>IF($A10="","",IF(ISNUMBER(FIND("IMPVOL",V$1)),_xll.BDH(config!$G$4,V$1,WORKDAY($A10,-1,config_Holiday_Calendar_US),WORKDAY($A10,-1,config_Holiday_Calendar_US)),IF(ISNUMBER(_xll.BDH(config!$G$4,V$1,$A10,$A10)),_xll.BDH(config!$G$4,V$1,$A10,$A10),_xll.BDH(config!$G$5,V$1,$A10,$A10))))</f>
        <v>#N/A Requesting Data...</v>
      </c>
      <c r="W10" s="8" t="str">
        <f>IF($A10="","",IF(ISNUMBER(FIND("IMPVOL",W$1)),_xll.BDH(config!$G$4,W$1,WORKDAY($A10,-1,config_Holiday_Calendar_US),WORKDAY($A10,-1,config_Holiday_Calendar_US)),IF(ISNUMBER(_xll.BDH(config!$G$4,W$1,$A10,$A10)),_xll.BDH(config!$G$4,W$1,$A10,$A10),_xll.BDH(config!$G$5,W$1,$A10,$A10))))</f>
        <v>#N/A Requesting Data...</v>
      </c>
    </row>
    <row r="11" spans="1:23" x14ac:dyDescent="0.2">
      <c r="A11" s="9">
        <f>IF(A10="","",IF(WORKDAY(A10,-1,config_Holiday_Calendar_US)&lt;config!$I$10,"",WORKDAY(A10,-1,config_Holiday_Calendar_US)))</f>
        <v>42822</v>
      </c>
      <c r="B11" s="8" t="e">
        <f t="shared" si="0"/>
        <v>#VALUE!</v>
      </c>
      <c r="C11" s="8" t="str">
        <f>IF(A11="","",_xll.BDH(config!$H$4,C$1,$A11,$A11))</f>
        <v>#N/A Requesting Data...</v>
      </c>
      <c r="D11" s="8" t="str">
        <f>IF($A11="","",_xll.BDH(config!$H$4,D$1,$A11,$A11))</f>
        <v>#N/A Requesting Data...</v>
      </c>
      <c r="E11" s="8">
        <f>IF($A11="","",IF(ISNUMBER(FIND("IMPVOL",E$1)),_xll.BDH(config!$G$4,E$1,WORKDAY($A11,-1,config_Holiday_Calendar_US),WORKDAY($A11,-1,config_Holiday_Calendar_US)),IF(ISNUMBER(_xll.BDH(config!$G$4,E$1,$A11,$A11)),_xll.BDH(config!$G$4,E$1,$A11,$A11),_xll.BDH(config!$G$5,E$1,$A11,$A11))))</f>
        <v>48.4</v>
      </c>
      <c r="F11" s="8">
        <f>IF($A11="","",IF(ISNUMBER(FIND("IMPVOL",F$1)),_xll.BDH(config!$G$4,F$1,WORKDAY($A11,-1,config_Holiday_Calendar_US),WORKDAY($A11,-1,config_Holiday_Calendar_US)),IF(ISNUMBER(_xll.BDH(config!$G$4,F$1,$A11,$A11)),_xll.BDH(config!$G$4,F$1,$A11,$A11),_xll.BDH(config!$G$5,F$1,$A11,$A11))))</f>
        <v>49.29</v>
      </c>
      <c r="G11" s="8">
        <f>IF($A11="","",IF(ISNUMBER(FIND("IMPVOL",G$1)),_xll.BDH(config!$G$4,G$1,WORKDAY($A11,-1,config_Holiday_Calendar_US),WORKDAY($A11,-1,config_Holiday_Calendar_US)),IF(ISNUMBER(_xll.BDH(config!$G$4,G$1,$A11,$A11)),_xll.BDH(config!$G$4,G$1,$A11,$A11),_xll.BDH(config!$G$5,G$1,$A11,$A11))))</f>
        <v>48.35</v>
      </c>
      <c r="H11" s="8">
        <f>IF($A11="","",IF(ISNUMBER(FIND("IMPVOL",H$1)),_xll.BDH(config!$G$4,H$1,WORKDAY($A11,-1,config_Holiday_Calendar_US),WORKDAY($A11,-1,config_Holiday_Calendar_US)),IF(ISNUMBER(_xll.BDH(config!$G$4,H$1,$A11,$A11)),_xll.BDH(config!$G$4,H$1,$A11,$A11),_xll.BDH(config!$G$5,H$1,$A11,$A11))))</f>
        <v>147134</v>
      </c>
      <c r="I11" s="8" t="str">
        <f>IF($A11="","",IF(ISNUMBER(FIND("IMPVOL",I$1)),_xll.BDH(config!$G$4,I$1,WORKDAY($A11,-1,config_Holiday_Calendar_US),WORKDAY($A11,-1,config_Holiday_Calendar_US)),IF(ISNUMBER(_xll.BDH(config!$G$4,I$1,$A11,$A11)),_xll.BDH(config!$G$4,I$1,$A11,$A11),_xll.BDH(config!$G$5,I$1,$A11,$A11))))</f>
        <v>#N/A Requesting Data...</v>
      </c>
      <c r="J11" s="8" t="str">
        <f>IF($A11="","",IF(ISNUMBER(FIND("IMPVOL",J$1)),_xll.BDH(config!$G$4,J$1,WORKDAY($A11,-1,config_Holiday_Calendar_US),WORKDAY($A11,-1,config_Holiday_Calendar_US)),IF(ISNUMBER(_xll.BDH(config!$G$4,J$1,$A11,$A11)),_xll.BDH(config!$G$4,J$1,$A11,$A11),_xll.BDH(config!$G$5,J$1,$A11,$A11))))</f>
        <v>#N/A Requesting Data...</v>
      </c>
      <c r="K11" s="8" t="str">
        <f>IF($A11="","",IF(ISNUMBER(FIND("IMPVOL",K$1)),_xll.BDH(config!$G$4,K$1,WORKDAY($A11,-1,config_Holiday_Calendar_US),WORKDAY($A11,-1,config_Holiday_Calendar_US)),IF(ISNUMBER(_xll.BDH(config!$G$4,K$1,$A11,$A11)),_xll.BDH(config!$G$4,K$1,$A11,$A11),_xll.BDH(config!$G$5,K$1,$A11,$A11))))</f>
        <v>#N/A Requesting Data...</v>
      </c>
      <c r="L11" s="8" t="str">
        <f>IF($A11="","",IF(ISNUMBER(FIND("IMPVOL",L$1)),_xll.BDH(config!$G$4,L$1,WORKDAY($A11,-1,config_Holiday_Calendar_US),WORKDAY($A11,-1,config_Holiday_Calendar_US)),IF(ISNUMBER(_xll.BDH(config!$G$4,L$1,$A11,$A11)),_xll.BDH(config!$G$4,L$1,$A11,$A11),_xll.BDH(config!$G$5,L$1,$A11,$A11))))</f>
        <v>#N/A Requesting Data...</v>
      </c>
      <c r="M11" s="8" t="str">
        <f>IF($A11="","",IF(ISNUMBER(FIND("IMPVOL",M$1)),_xll.BDH(config!$G$4,M$1,WORKDAY($A11,-1,config_Holiday_Calendar_US),WORKDAY($A11,-1,config_Holiday_Calendar_US)),IF(ISNUMBER(_xll.BDH(config!$G$4,M$1,$A11,$A11)),_xll.BDH(config!$G$4,M$1,$A11,$A11),_xll.BDH(config!$G$5,M$1,$A11,$A11))))</f>
        <v>#N/A Requesting Data...</v>
      </c>
      <c r="N11" s="8" t="str">
        <f>IF($A11="","",IF(ISNUMBER(FIND("IMPVOL",N$1)),_xll.BDH(config!$G$4,N$1,WORKDAY($A11,-1,config_Holiday_Calendar_US),WORKDAY($A11,-1,config_Holiday_Calendar_US)),IF(ISNUMBER(_xll.BDH(config!$G$4,N$1,$A11,$A11)),_xll.BDH(config!$G$4,N$1,$A11,$A11),_xll.BDH(config!$G$5,N$1,$A11,$A11))))</f>
        <v>#N/A Requesting Data...</v>
      </c>
      <c r="O11" s="8" t="str">
        <f>IF($A11="","",IF(ISNUMBER(FIND("IMPVOL",O$1)),_xll.BDH(config!$G$4,O$1,WORKDAY($A11,-1,config_Holiday_Calendar_US),WORKDAY($A11,-1,config_Holiday_Calendar_US)),IF(ISNUMBER(_xll.BDH(config!$G$4,O$1,$A11,$A11)),_xll.BDH(config!$G$4,O$1,$A11,$A11),_xll.BDH(config!$G$5,O$1,$A11,$A11))))</f>
        <v>#N/A Requesting Data...</v>
      </c>
      <c r="P11" s="8" t="str">
        <f>IF($A11="","",IF(ISNUMBER(FIND("IMPVOL",P$1)),_xll.BDH(config!$G$4,P$1,WORKDAY($A11,-1,config_Holiday_Calendar_US),WORKDAY($A11,-1,config_Holiday_Calendar_US)),IF(ISNUMBER(_xll.BDH(config!$G$4,P$1,$A11,$A11)),_xll.BDH(config!$G$4,P$1,$A11,$A11),_xll.BDH(config!$G$5,P$1,$A11,$A11))))</f>
        <v>#N/A Requesting Data...</v>
      </c>
      <c r="Q11" s="8">
        <f>IF($A11="","",IF(ISNUMBER(FIND("IMPVOL",Q$1)),_xll.BDH(config!$G$4,Q$1,WORKDAY($A11,-1,config_Holiday_Calendar_US),WORKDAY($A11,-1,config_Holiday_Calendar_US)),IF(ISNUMBER(_xll.BDH(config!$G$4,Q$1,$A11,$A11)),_xll.BDH(config!$G$4,Q$1,$A11,$A11),_xll.BDH(config!$G$5,Q$1,$A11,$A11))))</f>
        <v>13.33</v>
      </c>
      <c r="R11" s="8">
        <f>IF($A11="","",IF(ISNUMBER(FIND("IMPVOL",R$1)),_xll.BDH(config!$G$4,R$1,WORKDAY($A11,-1,config_Holiday_Calendar_US),WORKDAY($A11,-1,config_Holiday_Calendar_US)),IF(ISNUMBER(_xll.BDH(config!$G$4,R$1,$A11,$A11)),_xll.BDH(config!$G$4,R$1,$A11,$A11),_xll.BDH(config!$G$5,R$1,$A11,$A11))))</f>
        <v>22.74</v>
      </c>
      <c r="S11" s="8" t="str">
        <f>IF($A11="","",IF(ISNUMBER(FIND("IMPVOL",S$1)),_xll.BDH(config!$G$4,S$1,WORKDAY($A11,-1,config_Holiday_Calendar_US),WORKDAY($A11,-1,config_Holiday_Calendar_US)),IF(ISNUMBER(_xll.BDH(config!$G$4,S$1,$A11,$A11)),_xll.BDH(config!$G$4,S$1,$A11,$A11),_xll.BDH(config!$G$5,S$1,$A11,$A11))))</f>
        <v>#N/A Requesting Data...</v>
      </c>
      <c r="T11" s="8" t="str">
        <f>IF($A11="","",IF(ISNUMBER(FIND("IMPVOL",T$1)),_xll.BDH(config!$G$4,T$1,WORKDAY($A11,-1,config_Holiday_Calendar_US),WORKDAY($A11,-1,config_Holiday_Calendar_US)),IF(ISNUMBER(_xll.BDH(config!$G$4,T$1,$A11,$A11)),_xll.BDH(config!$G$4,T$1,$A11,$A11),_xll.BDH(config!$G$5,T$1,$A11,$A11))))</f>
        <v>#N/A Requesting Data...</v>
      </c>
      <c r="U11" s="8" t="str">
        <f>IF($A11="","",IF(ISNUMBER(FIND("IMPVOL",U$1)),_xll.BDH(config!$G$4,U$1,WORKDAY($A11,-1,config_Holiday_Calendar_US),WORKDAY($A11,-1,config_Holiday_Calendar_US)),IF(ISNUMBER(_xll.BDH(config!$G$4,U$1,$A11,$A11)),_xll.BDH(config!$G$4,U$1,$A11,$A11),_xll.BDH(config!$G$5,U$1,$A11,$A11))))</f>
        <v>#N/A Requesting Data...</v>
      </c>
      <c r="V11" s="8" t="str">
        <f>IF($A11="","",IF(ISNUMBER(FIND("IMPVOL",V$1)),_xll.BDH(config!$G$4,V$1,WORKDAY($A11,-1,config_Holiday_Calendar_US),WORKDAY($A11,-1,config_Holiday_Calendar_US)),IF(ISNUMBER(_xll.BDH(config!$G$4,V$1,$A11,$A11)),_xll.BDH(config!$G$4,V$1,$A11,$A11),_xll.BDH(config!$G$5,V$1,$A11,$A11))))</f>
        <v>#N/A Requesting Data...</v>
      </c>
      <c r="W11" s="8" t="str">
        <f>IF($A11="","",IF(ISNUMBER(FIND("IMPVOL",W$1)),_xll.BDH(config!$G$4,W$1,WORKDAY($A11,-1,config_Holiday_Calendar_US),WORKDAY($A11,-1,config_Holiday_Calendar_US)),IF(ISNUMBER(_xll.BDH(config!$G$4,W$1,$A11,$A11)),_xll.BDH(config!$G$4,W$1,$A11,$A11),_xll.BDH(config!$G$5,W$1,$A11,$A11))))</f>
        <v>#N/A Requesting Data...</v>
      </c>
    </row>
    <row r="12" spans="1:23" x14ac:dyDescent="0.2">
      <c r="A12" s="9">
        <f>IF(A11="","",IF(WORKDAY(A11,-1,config_Holiday_Calendar_US)&lt;config!$I$10,"",WORKDAY(A11,-1,config_Holiday_Calendar_US)))</f>
        <v>42821</v>
      </c>
      <c r="B12" s="8" t="e">
        <f t="shared" si="0"/>
        <v>#VALUE!</v>
      </c>
      <c r="C12" s="8" t="str">
        <f>IF(A12="","",_xll.BDH(config!$H$4,C$1,$A12,$A12))</f>
        <v>#N/A Requesting Data...</v>
      </c>
      <c r="D12" s="8" t="str">
        <f>IF($A12="","",_xll.BDH(config!$H$4,D$1,$A12,$A12))</f>
        <v>#N/A Requesting Data...</v>
      </c>
      <c r="E12" s="8">
        <f>IF($A12="","",IF(ISNUMBER(FIND("IMPVOL",E$1)),_xll.BDH(config!$G$4,E$1,WORKDAY($A12,-1,config_Holiday_Calendar_US),WORKDAY($A12,-1,config_Holiday_Calendar_US)),IF(ISNUMBER(_xll.BDH(config!$G$4,E$1,$A12,$A12)),_xll.BDH(config!$G$4,E$1,$A12,$A12),_xll.BDH(config!$G$5,E$1,$A12,$A12))))</f>
        <v>48.69</v>
      </c>
      <c r="F12" s="8">
        <f>IF($A12="","",IF(ISNUMBER(FIND("IMPVOL",F$1)),_xll.BDH(config!$G$4,F$1,WORKDAY($A12,-1,config_Holiday_Calendar_US),WORKDAY($A12,-1,config_Holiday_Calendar_US)),IF(ISNUMBER(_xll.BDH(config!$G$4,F$1,$A12,$A12)),_xll.BDH(config!$G$4,F$1,$A12,$A12),_xll.BDH(config!$G$5,F$1,$A12,$A12))))</f>
        <v>48.81</v>
      </c>
      <c r="G12" s="8">
        <f>IF($A12="","",IF(ISNUMBER(FIND("IMPVOL",G$1)),_xll.BDH(config!$G$4,G$1,WORKDAY($A12,-1,config_Holiday_Calendar_US),WORKDAY($A12,-1,config_Holiday_Calendar_US)),IF(ISNUMBER(_xll.BDH(config!$G$4,G$1,$A12,$A12)),_xll.BDH(config!$G$4,G$1,$A12,$A12),_xll.BDH(config!$G$5,G$1,$A12,$A12))))</f>
        <v>47.63</v>
      </c>
      <c r="H12" s="8">
        <f>IF($A12="","",IF(ISNUMBER(FIND("IMPVOL",H$1)),_xll.BDH(config!$G$4,H$1,WORKDAY($A12,-1,config_Holiday_Calendar_US),WORKDAY($A12,-1,config_Holiday_Calendar_US)),IF(ISNUMBER(_xll.BDH(config!$G$4,H$1,$A12,$A12)),_xll.BDH(config!$G$4,H$1,$A12,$A12),_xll.BDH(config!$G$5,H$1,$A12,$A12))))</f>
        <v>104492</v>
      </c>
      <c r="I12" s="8" t="str">
        <f>IF($A12="","",IF(ISNUMBER(FIND("IMPVOL",I$1)),_xll.BDH(config!$G$4,I$1,WORKDAY($A12,-1,config_Holiday_Calendar_US),WORKDAY($A12,-1,config_Holiday_Calendar_US)),IF(ISNUMBER(_xll.BDH(config!$G$4,I$1,$A12,$A12)),_xll.BDH(config!$G$4,I$1,$A12,$A12),_xll.BDH(config!$G$5,I$1,$A12,$A12))))</f>
        <v>#N/A Requesting Data...</v>
      </c>
      <c r="J12" s="8" t="str">
        <f>IF($A12="","",IF(ISNUMBER(FIND("IMPVOL",J$1)),_xll.BDH(config!$G$4,J$1,WORKDAY($A12,-1,config_Holiday_Calendar_US),WORKDAY($A12,-1,config_Holiday_Calendar_US)),IF(ISNUMBER(_xll.BDH(config!$G$4,J$1,$A12,$A12)),_xll.BDH(config!$G$4,J$1,$A12,$A12),_xll.BDH(config!$G$5,J$1,$A12,$A12))))</f>
        <v>#N/A Requesting Data...</v>
      </c>
      <c r="K12" s="8" t="str">
        <f>IF($A12="","",IF(ISNUMBER(FIND("IMPVOL",K$1)),_xll.BDH(config!$G$4,K$1,WORKDAY($A12,-1,config_Holiday_Calendar_US),WORKDAY($A12,-1,config_Holiday_Calendar_US)),IF(ISNUMBER(_xll.BDH(config!$G$4,K$1,$A12,$A12)),_xll.BDH(config!$G$4,K$1,$A12,$A12),_xll.BDH(config!$G$5,K$1,$A12,$A12))))</f>
        <v>#N/A Requesting Data...</v>
      </c>
      <c r="L12" s="8" t="str">
        <f>IF($A12="","",IF(ISNUMBER(FIND("IMPVOL",L$1)),_xll.BDH(config!$G$4,L$1,WORKDAY($A12,-1,config_Holiday_Calendar_US),WORKDAY($A12,-1,config_Holiday_Calendar_US)),IF(ISNUMBER(_xll.BDH(config!$G$4,L$1,$A12,$A12)),_xll.BDH(config!$G$4,L$1,$A12,$A12),_xll.BDH(config!$G$5,L$1,$A12,$A12))))</f>
        <v>#N/A Requesting Data...</v>
      </c>
      <c r="M12" s="8" t="str">
        <f>IF($A12="","",IF(ISNUMBER(FIND("IMPVOL",M$1)),_xll.BDH(config!$G$4,M$1,WORKDAY($A12,-1,config_Holiday_Calendar_US),WORKDAY($A12,-1,config_Holiday_Calendar_US)),IF(ISNUMBER(_xll.BDH(config!$G$4,M$1,$A12,$A12)),_xll.BDH(config!$G$4,M$1,$A12,$A12),_xll.BDH(config!$G$5,M$1,$A12,$A12))))</f>
        <v>#N/A Requesting Data...</v>
      </c>
      <c r="N12" s="8" t="str">
        <f>IF($A12="","",IF(ISNUMBER(FIND("IMPVOL",N$1)),_xll.BDH(config!$G$4,N$1,WORKDAY($A12,-1,config_Holiday_Calendar_US),WORKDAY($A12,-1,config_Holiday_Calendar_US)),IF(ISNUMBER(_xll.BDH(config!$G$4,N$1,$A12,$A12)),_xll.BDH(config!$G$4,N$1,$A12,$A12),_xll.BDH(config!$G$5,N$1,$A12,$A12))))</f>
        <v>#N/A Requesting Data...</v>
      </c>
      <c r="O12" s="8" t="str">
        <f>IF($A12="","",IF(ISNUMBER(FIND("IMPVOL",O$1)),_xll.BDH(config!$G$4,O$1,WORKDAY($A12,-1,config_Holiday_Calendar_US),WORKDAY($A12,-1,config_Holiday_Calendar_US)),IF(ISNUMBER(_xll.BDH(config!$G$4,O$1,$A12,$A12)),_xll.BDH(config!$G$4,O$1,$A12,$A12),_xll.BDH(config!$G$5,O$1,$A12,$A12))))</f>
        <v>#N/A Requesting Data...</v>
      </c>
      <c r="P12" s="8" t="str">
        <f>IF($A12="","",IF(ISNUMBER(FIND("IMPVOL",P$1)),_xll.BDH(config!$G$4,P$1,WORKDAY($A12,-1,config_Holiday_Calendar_US),WORKDAY($A12,-1,config_Holiday_Calendar_US)),IF(ISNUMBER(_xll.BDH(config!$G$4,P$1,$A12,$A12)),_xll.BDH(config!$G$4,P$1,$A12,$A12),_xll.BDH(config!$G$5,P$1,$A12,$A12))))</f>
        <v>#N/A Requesting Data...</v>
      </c>
      <c r="Q12" s="8">
        <f>IF($A12="","",IF(ISNUMBER(FIND("IMPVOL",Q$1)),_xll.BDH(config!$G$4,Q$1,WORKDAY($A12,-1,config_Holiday_Calendar_US),WORKDAY($A12,-1,config_Holiday_Calendar_US)),IF(ISNUMBER(_xll.BDH(config!$G$4,Q$1,$A12,$A12)),_xll.BDH(config!$G$4,Q$1,$A12,$A12),_xll.BDH(config!$G$5,Q$1,$A12,$A12))))</f>
        <v>16.62</v>
      </c>
      <c r="R12" s="8">
        <f>IF($A12="","",IF(ISNUMBER(FIND("IMPVOL",R$1)),_xll.BDH(config!$G$4,R$1,WORKDAY($A12,-1,config_Holiday_Calendar_US),WORKDAY($A12,-1,config_Holiday_Calendar_US)),IF(ISNUMBER(_xll.BDH(config!$G$4,R$1,$A12,$A12)),_xll.BDH(config!$G$4,R$1,$A12,$A12),_xll.BDH(config!$G$5,R$1,$A12,$A12))))</f>
        <v>22.38</v>
      </c>
      <c r="S12" s="8" t="str">
        <f>IF($A12="","",IF(ISNUMBER(FIND("IMPVOL",S$1)),_xll.BDH(config!$G$4,S$1,WORKDAY($A12,-1,config_Holiday_Calendar_US),WORKDAY($A12,-1,config_Holiday_Calendar_US)),IF(ISNUMBER(_xll.BDH(config!$G$4,S$1,$A12,$A12)),_xll.BDH(config!$G$4,S$1,$A12,$A12),_xll.BDH(config!$G$5,S$1,$A12,$A12))))</f>
        <v>#N/A Requesting Data...</v>
      </c>
      <c r="T12" s="8" t="str">
        <f>IF($A12="","",IF(ISNUMBER(FIND("IMPVOL",T$1)),_xll.BDH(config!$G$4,T$1,WORKDAY($A12,-1,config_Holiday_Calendar_US),WORKDAY($A12,-1,config_Holiday_Calendar_US)),IF(ISNUMBER(_xll.BDH(config!$G$4,T$1,$A12,$A12)),_xll.BDH(config!$G$4,T$1,$A12,$A12),_xll.BDH(config!$G$5,T$1,$A12,$A12))))</f>
        <v>#N/A Requesting Data...</v>
      </c>
      <c r="U12" s="8" t="str">
        <f>IF($A12="","",IF(ISNUMBER(FIND("IMPVOL",U$1)),_xll.BDH(config!$G$4,U$1,WORKDAY($A12,-1,config_Holiday_Calendar_US),WORKDAY($A12,-1,config_Holiday_Calendar_US)),IF(ISNUMBER(_xll.BDH(config!$G$4,U$1,$A12,$A12)),_xll.BDH(config!$G$4,U$1,$A12,$A12),_xll.BDH(config!$G$5,U$1,$A12,$A12))))</f>
        <v>#N/A Requesting Data...</v>
      </c>
      <c r="V12" s="8" t="str">
        <f>IF($A12="","",IF(ISNUMBER(FIND("IMPVOL",V$1)),_xll.BDH(config!$G$4,V$1,WORKDAY($A12,-1,config_Holiday_Calendar_US),WORKDAY($A12,-1,config_Holiday_Calendar_US)),IF(ISNUMBER(_xll.BDH(config!$G$4,V$1,$A12,$A12)),_xll.BDH(config!$G$4,V$1,$A12,$A12),_xll.BDH(config!$G$5,V$1,$A12,$A12))))</f>
        <v>#N/A Requesting Data...</v>
      </c>
      <c r="W12" s="8" t="str">
        <f>IF($A12="","",IF(ISNUMBER(FIND("IMPVOL",W$1)),_xll.BDH(config!$G$4,W$1,WORKDAY($A12,-1,config_Holiday_Calendar_US),WORKDAY($A12,-1,config_Holiday_Calendar_US)),IF(ISNUMBER(_xll.BDH(config!$G$4,W$1,$A12,$A12)),_xll.BDH(config!$G$4,W$1,$A12,$A12),_xll.BDH(config!$G$5,W$1,$A12,$A12))))</f>
        <v>#N/A Requesting Data...</v>
      </c>
    </row>
    <row r="13" spans="1:23" x14ac:dyDescent="0.2">
      <c r="A13" s="9">
        <f>IF(A12="","",IF(WORKDAY(A12,-1,config_Holiday_Calendar_US)&lt;config!$I$10,"",WORKDAY(A12,-1,config_Holiday_Calendar_US)))</f>
        <v>42818</v>
      </c>
      <c r="B13" s="8" t="e">
        <f t="shared" si="0"/>
        <v>#VALUE!</v>
      </c>
      <c r="C13" s="8" t="str">
        <f>IF(A13="","",_xll.BDH(config!$H$4,C$1,$A13,$A13))</f>
        <v>#N/A Requesting Data...</v>
      </c>
      <c r="D13" s="8" t="str">
        <f>IF($A13="","",_xll.BDH(config!$H$4,D$1,$A13,$A13))</f>
        <v>#N/A Requesting Data...</v>
      </c>
      <c r="E13" s="8">
        <f>IF($A13="","",IF(ISNUMBER(FIND("IMPVOL",E$1)),_xll.BDH(config!$G$4,E$1,WORKDAY($A13,-1,config_Holiday_Calendar_US),WORKDAY($A13,-1,config_Holiday_Calendar_US)),IF(ISNUMBER(_xll.BDH(config!$G$4,E$1,$A13,$A13)),_xll.BDH(config!$G$4,E$1,$A13,$A13),_xll.BDH(config!$G$5,E$1,$A13,$A13))))</f>
        <v>48.21</v>
      </c>
      <c r="F13" s="8">
        <f>IF($A13="","",IF(ISNUMBER(FIND("IMPVOL",F$1)),_xll.BDH(config!$G$4,F$1,WORKDAY($A13,-1,config_Holiday_Calendar_US),WORKDAY($A13,-1,config_Holiday_Calendar_US)),IF(ISNUMBER(_xll.BDH(config!$G$4,F$1,$A13,$A13)),_xll.BDH(config!$G$4,F$1,$A13,$A13),_xll.BDH(config!$G$5,F$1,$A13,$A13))))</f>
        <v>48.74</v>
      </c>
      <c r="G13" s="8">
        <f>IF($A13="","",IF(ISNUMBER(FIND("IMPVOL",G$1)),_xll.BDH(config!$G$4,G$1,WORKDAY($A13,-1,config_Holiday_Calendar_US),WORKDAY($A13,-1,config_Holiday_Calendar_US)),IF(ISNUMBER(_xll.BDH(config!$G$4,G$1,$A13,$A13)),_xll.BDH(config!$G$4,G$1,$A13,$A13),_xll.BDH(config!$G$5,G$1,$A13,$A13))))</f>
        <v>48.09</v>
      </c>
      <c r="H13" s="8">
        <f>IF($A13="","",IF(ISNUMBER(FIND("IMPVOL",H$1)),_xll.BDH(config!$G$4,H$1,WORKDAY($A13,-1,config_Holiday_Calendar_US),WORKDAY($A13,-1,config_Holiday_Calendar_US)),IF(ISNUMBER(_xll.BDH(config!$G$4,H$1,$A13,$A13)),_xll.BDH(config!$G$4,H$1,$A13,$A13),_xll.BDH(config!$G$5,H$1,$A13,$A13))))</f>
        <v>128442</v>
      </c>
      <c r="I13" s="8" t="str">
        <f>IF($A13="","",IF(ISNUMBER(FIND("IMPVOL",I$1)),_xll.BDH(config!$G$4,I$1,WORKDAY($A13,-1,config_Holiday_Calendar_US),WORKDAY($A13,-1,config_Holiday_Calendar_US)),IF(ISNUMBER(_xll.BDH(config!$G$4,I$1,$A13,$A13)),_xll.BDH(config!$G$4,I$1,$A13,$A13),_xll.BDH(config!$G$5,I$1,$A13,$A13))))</f>
        <v>#N/A Requesting Data...</v>
      </c>
      <c r="J13" s="8" t="str">
        <f>IF($A13="","",IF(ISNUMBER(FIND("IMPVOL",J$1)),_xll.BDH(config!$G$4,J$1,WORKDAY($A13,-1,config_Holiday_Calendar_US),WORKDAY($A13,-1,config_Holiday_Calendar_US)),IF(ISNUMBER(_xll.BDH(config!$G$4,J$1,$A13,$A13)),_xll.BDH(config!$G$4,J$1,$A13,$A13),_xll.BDH(config!$G$5,J$1,$A13,$A13))))</f>
        <v>#N/A Requesting Data...</v>
      </c>
      <c r="K13" s="8" t="str">
        <f>IF($A13="","",IF(ISNUMBER(FIND("IMPVOL",K$1)),_xll.BDH(config!$G$4,K$1,WORKDAY($A13,-1,config_Holiday_Calendar_US),WORKDAY($A13,-1,config_Holiday_Calendar_US)),IF(ISNUMBER(_xll.BDH(config!$G$4,K$1,$A13,$A13)),_xll.BDH(config!$G$4,K$1,$A13,$A13),_xll.BDH(config!$G$5,K$1,$A13,$A13))))</f>
        <v>#N/A Requesting Data...</v>
      </c>
      <c r="L13" s="8" t="str">
        <f>IF($A13="","",IF(ISNUMBER(FIND("IMPVOL",L$1)),_xll.BDH(config!$G$4,L$1,WORKDAY($A13,-1,config_Holiday_Calendar_US),WORKDAY($A13,-1,config_Holiday_Calendar_US)),IF(ISNUMBER(_xll.BDH(config!$G$4,L$1,$A13,$A13)),_xll.BDH(config!$G$4,L$1,$A13,$A13),_xll.BDH(config!$G$5,L$1,$A13,$A13))))</f>
        <v>#N/A Requesting Data...</v>
      </c>
      <c r="M13" s="8" t="str">
        <f>IF($A13="","",IF(ISNUMBER(FIND("IMPVOL",M$1)),_xll.BDH(config!$G$4,M$1,WORKDAY($A13,-1,config_Holiday_Calendar_US),WORKDAY($A13,-1,config_Holiday_Calendar_US)),IF(ISNUMBER(_xll.BDH(config!$G$4,M$1,$A13,$A13)),_xll.BDH(config!$G$4,M$1,$A13,$A13),_xll.BDH(config!$G$5,M$1,$A13,$A13))))</f>
        <v>#N/A Requesting Data...</v>
      </c>
      <c r="N13" s="8" t="str">
        <f>IF($A13="","",IF(ISNUMBER(FIND("IMPVOL",N$1)),_xll.BDH(config!$G$4,N$1,WORKDAY($A13,-1,config_Holiday_Calendar_US),WORKDAY($A13,-1,config_Holiday_Calendar_US)),IF(ISNUMBER(_xll.BDH(config!$G$4,N$1,$A13,$A13)),_xll.BDH(config!$G$4,N$1,$A13,$A13),_xll.BDH(config!$G$5,N$1,$A13,$A13))))</f>
        <v>#N/A Requesting Data...</v>
      </c>
      <c r="O13" s="8" t="str">
        <f>IF($A13="","",IF(ISNUMBER(FIND("IMPVOL",O$1)),_xll.BDH(config!$G$4,O$1,WORKDAY($A13,-1,config_Holiday_Calendar_US),WORKDAY($A13,-1,config_Holiday_Calendar_US)),IF(ISNUMBER(_xll.BDH(config!$G$4,O$1,$A13,$A13)),_xll.BDH(config!$G$4,O$1,$A13,$A13),_xll.BDH(config!$G$5,O$1,$A13,$A13))))</f>
        <v>#N/A Requesting Data...</v>
      </c>
      <c r="P13" s="8" t="str">
        <f>IF($A13="","",IF(ISNUMBER(FIND("IMPVOL",P$1)),_xll.BDH(config!$G$4,P$1,WORKDAY($A13,-1,config_Holiday_Calendar_US),WORKDAY($A13,-1,config_Holiday_Calendar_US)),IF(ISNUMBER(_xll.BDH(config!$G$4,P$1,$A13,$A13)),_xll.BDH(config!$G$4,P$1,$A13,$A13),_xll.BDH(config!$G$5,P$1,$A13,$A13))))</f>
        <v>#N/A Requesting Data...</v>
      </c>
      <c r="Q13" s="8">
        <f>IF($A13="","",IF(ISNUMBER(FIND("IMPVOL",Q$1)),_xll.BDH(config!$G$4,Q$1,WORKDAY($A13,-1,config_Holiday_Calendar_US),WORKDAY($A13,-1,config_Holiday_Calendar_US)),IF(ISNUMBER(_xll.BDH(config!$G$4,Q$1,$A13,$A13)),_xll.BDH(config!$G$4,Q$1,$A13,$A13),_xll.BDH(config!$G$5,Q$1,$A13,$A13))))</f>
        <v>17.75</v>
      </c>
      <c r="R13" s="8">
        <f>IF($A13="","",IF(ISNUMBER(FIND("IMPVOL",R$1)),_xll.BDH(config!$G$4,R$1,WORKDAY($A13,-1,config_Holiday_Calendar_US),WORKDAY($A13,-1,config_Holiday_Calendar_US)),IF(ISNUMBER(_xll.BDH(config!$G$4,R$1,$A13,$A13)),_xll.BDH(config!$G$4,R$1,$A13,$A13),_xll.BDH(config!$G$5,R$1,$A13,$A13))))</f>
        <v>22.73</v>
      </c>
      <c r="S13" s="8" t="str">
        <f>IF($A13="","",IF(ISNUMBER(FIND("IMPVOL",S$1)),_xll.BDH(config!$G$4,S$1,WORKDAY($A13,-1,config_Holiday_Calendar_US),WORKDAY($A13,-1,config_Holiday_Calendar_US)),IF(ISNUMBER(_xll.BDH(config!$G$4,S$1,$A13,$A13)),_xll.BDH(config!$G$4,S$1,$A13,$A13),_xll.BDH(config!$G$5,S$1,$A13,$A13))))</f>
        <v>#N/A Requesting Data...</v>
      </c>
      <c r="T13" s="8" t="str">
        <f>IF($A13="","",IF(ISNUMBER(FIND("IMPVOL",T$1)),_xll.BDH(config!$G$4,T$1,WORKDAY($A13,-1,config_Holiday_Calendar_US),WORKDAY($A13,-1,config_Holiday_Calendar_US)),IF(ISNUMBER(_xll.BDH(config!$G$4,T$1,$A13,$A13)),_xll.BDH(config!$G$4,T$1,$A13,$A13),_xll.BDH(config!$G$5,T$1,$A13,$A13))))</f>
        <v>#N/A Requesting Data...</v>
      </c>
      <c r="U13" s="8" t="str">
        <f>IF($A13="","",IF(ISNUMBER(FIND("IMPVOL",U$1)),_xll.BDH(config!$G$4,U$1,WORKDAY($A13,-1,config_Holiday_Calendar_US),WORKDAY($A13,-1,config_Holiday_Calendar_US)),IF(ISNUMBER(_xll.BDH(config!$G$4,U$1,$A13,$A13)),_xll.BDH(config!$G$4,U$1,$A13,$A13),_xll.BDH(config!$G$5,U$1,$A13,$A13))))</f>
        <v>#N/A Requesting Data...</v>
      </c>
      <c r="V13" s="8" t="str">
        <f>IF($A13="","",IF(ISNUMBER(FIND("IMPVOL",V$1)),_xll.BDH(config!$G$4,V$1,WORKDAY($A13,-1,config_Holiday_Calendar_US),WORKDAY($A13,-1,config_Holiday_Calendar_US)),IF(ISNUMBER(_xll.BDH(config!$G$4,V$1,$A13,$A13)),_xll.BDH(config!$G$4,V$1,$A13,$A13),_xll.BDH(config!$G$5,V$1,$A13,$A13))))</f>
        <v>#N/A Requesting Data...</v>
      </c>
      <c r="W13" s="8" t="str">
        <f>IF($A13="","",IF(ISNUMBER(FIND("IMPVOL",W$1)),_xll.BDH(config!$G$4,W$1,WORKDAY($A13,-1,config_Holiday_Calendar_US),WORKDAY($A13,-1,config_Holiday_Calendar_US)),IF(ISNUMBER(_xll.BDH(config!$G$4,W$1,$A13,$A13)),_xll.BDH(config!$G$4,W$1,$A13,$A13),_xll.BDH(config!$G$5,W$1,$A13,$A13))))</f>
        <v>#N/A Requesting Data...</v>
      </c>
    </row>
    <row r="14" spans="1:23" x14ac:dyDescent="0.2">
      <c r="A14" s="9">
        <f>IF(A13="","",IF(WORKDAY(A13,-1,config_Holiday_Calendar_US)&lt;config!$I$10,"",WORKDAY(A13,-1,config_Holiday_Calendar_US)))</f>
        <v>42817</v>
      </c>
      <c r="B14" s="8" t="e">
        <f t="shared" si="0"/>
        <v>#VALUE!</v>
      </c>
      <c r="C14" s="8" t="str">
        <f>IF(A14="","",_xll.BDH(config!$H$4,C$1,$A14,$A14))</f>
        <v>#N/A Requesting Data...</v>
      </c>
      <c r="D14" s="8" t="str">
        <f>IF($A14="","",_xll.BDH(config!$H$4,D$1,$A14,$A14))</f>
        <v>#N/A Requesting Data...</v>
      </c>
      <c r="E14" s="8">
        <f>IF($A14="","",IF(ISNUMBER(FIND("IMPVOL",E$1)),_xll.BDH(config!$G$4,E$1,WORKDAY($A14,-1,config_Holiday_Calendar_US),WORKDAY($A14,-1,config_Holiday_Calendar_US)),IF(ISNUMBER(_xll.BDH(config!$G$4,E$1,$A14,$A14)),_xll.BDH(config!$G$4,E$1,$A14,$A14),_xll.BDH(config!$G$5,E$1,$A14,$A14))))</f>
        <v>48.65</v>
      </c>
      <c r="F14" s="8">
        <f>IF($A14="","",IF(ISNUMBER(FIND("IMPVOL",F$1)),_xll.BDH(config!$G$4,F$1,WORKDAY($A14,-1,config_Holiday_Calendar_US),WORKDAY($A14,-1,config_Holiday_Calendar_US)),IF(ISNUMBER(_xll.BDH(config!$G$4,F$1,$A14,$A14)),_xll.BDH(config!$G$4,F$1,$A14,$A14),_xll.BDH(config!$G$5,F$1,$A14,$A14))))</f>
        <v>49</v>
      </c>
      <c r="G14" s="8">
        <f>IF($A14="","",IF(ISNUMBER(FIND("IMPVOL",G$1)),_xll.BDH(config!$G$4,G$1,WORKDAY($A14,-1,config_Holiday_Calendar_US),WORKDAY($A14,-1,config_Holiday_Calendar_US)),IF(ISNUMBER(_xll.BDH(config!$G$4,G$1,$A14,$A14)),_xll.BDH(config!$G$4,G$1,$A14,$A14),_xll.BDH(config!$G$5,G$1,$A14,$A14))))</f>
        <v>48.16</v>
      </c>
      <c r="H14" s="8">
        <f>IF($A14="","",IF(ISNUMBER(FIND("IMPVOL",H$1)),_xll.BDH(config!$G$4,H$1,WORKDAY($A14,-1,config_Holiday_Calendar_US),WORKDAY($A14,-1,config_Holiday_Calendar_US)),IF(ISNUMBER(_xll.BDH(config!$G$4,H$1,$A14,$A14)),_xll.BDH(config!$G$4,H$1,$A14,$A14),_xll.BDH(config!$G$5,H$1,$A14,$A14))))</f>
        <v>129872</v>
      </c>
      <c r="I14" s="8" t="str">
        <f>IF($A14="","",IF(ISNUMBER(FIND("IMPVOL",I$1)),_xll.BDH(config!$G$4,I$1,WORKDAY($A14,-1,config_Holiday_Calendar_US),WORKDAY($A14,-1,config_Holiday_Calendar_US)),IF(ISNUMBER(_xll.BDH(config!$G$4,I$1,$A14,$A14)),_xll.BDH(config!$G$4,I$1,$A14,$A14),_xll.BDH(config!$G$5,I$1,$A14,$A14))))</f>
        <v>#N/A Requesting Data...</v>
      </c>
      <c r="J14" s="8" t="str">
        <f>IF($A14="","",IF(ISNUMBER(FIND("IMPVOL",J$1)),_xll.BDH(config!$G$4,J$1,WORKDAY($A14,-1,config_Holiday_Calendar_US),WORKDAY($A14,-1,config_Holiday_Calendar_US)),IF(ISNUMBER(_xll.BDH(config!$G$4,J$1,$A14,$A14)),_xll.BDH(config!$G$4,J$1,$A14,$A14),_xll.BDH(config!$G$5,J$1,$A14,$A14))))</f>
        <v>#N/A Requesting Data...</v>
      </c>
      <c r="K14" s="8" t="str">
        <f>IF($A14="","",IF(ISNUMBER(FIND("IMPVOL",K$1)),_xll.BDH(config!$G$4,K$1,WORKDAY($A14,-1,config_Holiday_Calendar_US),WORKDAY($A14,-1,config_Holiday_Calendar_US)),IF(ISNUMBER(_xll.BDH(config!$G$4,K$1,$A14,$A14)),_xll.BDH(config!$G$4,K$1,$A14,$A14),_xll.BDH(config!$G$5,K$1,$A14,$A14))))</f>
        <v>#N/A Requesting Data...</v>
      </c>
      <c r="L14" s="8" t="str">
        <f>IF($A14="","",IF(ISNUMBER(FIND("IMPVOL",L$1)),_xll.BDH(config!$G$4,L$1,WORKDAY($A14,-1,config_Holiday_Calendar_US),WORKDAY($A14,-1,config_Holiday_Calendar_US)),IF(ISNUMBER(_xll.BDH(config!$G$4,L$1,$A14,$A14)),_xll.BDH(config!$G$4,L$1,$A14,$A14),_xll.BDH(config!$G$5,L$1,$A14,$A14))))</f>
        <v>#N/A Requesting Data...</v>
      </c>
      <c r="M14" s="8" t="str">
        <f>IF($A14="","",IF(ISNUMBER(FIND("IMPVOL",M$1)),_xll.BDH(config!$G$4,M$1,WORKDAY($A14,-1,config_Holiday_Calendar_US),WORKDAY($A14,-1,config_Holiday_Calendar_US)),IF(ISNUMBER(_xll.BDH(config!$G$4,M$1,$A14,$A14)),_xll.BDH(config!$G$4,M$1,$A14,$A14),_xll.BDH(config!$G$5,M$1,$A14,$A14))))</f>
        <v>#N/A Requesting Data...</v>
      </c>
      <c r="N14" s="8" t="str">
        <f>IF($A14="","",IF(ISNUMBER(FIND("IMPVOL",N$1)),_xll.BDH(config!$G$4,N$1,WORKDAY($A14,-1,config_Holiday_Calendar_US),WORKDAY($A14,-1,config_Holiday_Calendar_US)),IF(ISNUMBER(_xll.BDH(config!$G$4,N$1,$A14,$A14)),_xll.BDH(config!$G$4,N$1,$A14,$A14),_xll.BDH(config!$G$5,N$1,$A14,$A14))))</f>
        <v>#N/A Requesting Data...</v>
      </c>
      <c r="O14" s="8" t="str">
        <f>IF($A14="","",IF(ISNUMBER(FIND("IMPVOL",O$1)),_xll.BDH(config!$G$4,O$1,WORKDAY($A14,-1,config_Holiday_Calendar_US),WORKDAY($A14,-1,config_Holiday_Calendar_US)),IF(ISNUMBER(_xll.BDH(config!$G$4,O$1,$A14,$A14)),_xll.BDH(config!$G$4,O$1,$A14,$A14),_xll.BDH(config!$G$5,O$1,$A14,$A14))))</f>
        <v>#N/A Requesting Data...</v>
      </c>
      <c r="P14" s="8" t="str">
        <f>IF($A14="","",IF(ISNUMBER(FIND("IMPVOL",P$1)),_xll.BDH(config!$G$4,P$1,WORKDAY($A14,-1,config_Holiday_Calendar_US),WORKDAY($A14,-1,config_Holiday_Calendar_US)),IF(ISNUMBER(_xll.BDH(config!$G$4,P$1,$A14,$A14)),_xll.BDH(config!$G$4,P$1,$A14,$A14),_xll.BDH(config!$G$5,P$1,$A14,$A14))))</f>
        <v>#N/A Requesting Data...</v>
      </c>
      <c r="Q14" s="8">
        <f>IF($A14="","",IF(ISNUMBER(FIND("IMPVOL",Q$1)),_xll.BDH(config!$G$4,Q$1,WORKDAY($A14,-1,config_Holiday_Calendar_US),WORKDAY($A14,-1,config_Holiday_Calendar_US)),IF(ISNUMBER(_xll.BDH(config!$G$4,Q$1,$A14,$A14)),_xll.BDH(config!$G$4,Q$1,$A14,$A14),_xll.BDH(config!$G$5,Q$1,$A14,$A14))))</f>
        <v>17.350000000000001</v>
      </c>
      <c r="R14" s="8">
        <f>IF($A14="","",IF(ISNUMBER(FIND("IMPVOL",R$1)),_xll.BDH(config!$G$4,R$1,WORKDAY($A14,-1,config_Holiday_Calendar_US),WORKDAY($A14,-1,config_Holiday_Calendar_US)),IF(ISNUMBER(_xll.BDH(config!$G$4,R$1,$A14,$A14)),_xll.BDH(config!$G$4,R$1,$A14,$A14),_xll.BDH(config!$G$5,R$1,$A14,$A14))))</f>
        <v>23.37</v>
      </c>
      <c r="S14" s="8" t="str">
        <f>IF($A14="","",IF(ISNUMBER(FIND("IMPVOL",S$1)),_xll.BDH(config!$G$4,S$1,WORKDAY($A14,-1,config_Holiday_Calendar_US),WORKDAY($A14,-1,config_Holiday_Calendar_US)),IF(ISNUMBER(_xll.BDH(config!$G$4,S$1,$A14,$A14)),_xll.BDH(config!$G$4,S$1,$A14,$A14),_xll.BDH(config!$G$5,S$1,$A14,$A14))))</f>
        <v>#N/A Requesting Data...</v>
      </c>
      <c r="T14" s="8" t="str">
        <f>IF($A14="","",IF(ISNUMBER(FIND("IMPVOL",T$1)),_xll.BDH(config!$G$4,T$1,WORKDAY($A14,-1,config_Holiday_Calendar_US),WORKDAY($A14,-1,config_Holiday_Calendar_US)),IF(ISNUMBER(_xll.BDH(config!$G$4,T$1,$A14,$A14)),_xll.BDH(config!$G$4,T$1,$A14,$A14),_xll.BDH(config!$G$5,T$1,$A14,$A14))))</f>
        <v>#N/A Requesting Data...</v>
      </c>
      <c r="U14" s="8" t="str">
        <f>IF($A14="","",IF(ISNUMBER(FIND("IMPVOL",U$1)),_xll.BDH(config!$G$4,U$1,WORKDAY($A14,-1,config_Holiday_Calendar_US),WORKDAY($A14,-1,config_Holiday_Calendar_US)),IF(ISNUMBER(_xll.BDH(config!$G$4,U$1,$A14,$A14)),_xll.BDH(config!$G$4,U$1,$A14,$A14),_xll.BDH(config!$G$5,U$1,$A14,$A14))))</f>
        <v>#N/A Requesting Data...</v>
      </c>
      <c r="V14" s="8" t="str">
        <f>IF($A14="","",IF(ISNUMBER(FIND("IMPVOL",V$1)),_xll.BDH(config!$G$4,V$1,WORKDAY($A14,-1,config_Holiday_Calendar_US),WORKDAY($A14,-1,config_Holiday_Calendar_US)),IF(ISNUMBER(_xll.BDH(config!$G$4,V$1,$A14,$A14)),_xll.BDH(config!$G$4,V$1,$A14,$A14),_xll.BDH(config!$G$5,V$1,$A14,$A14))))</f>
        <v>#N/A Requesting Data...</v>
      </c>
      <c r="W14" s="8" t="str">
        <f>IF($A14="","",IF(ISNUMBER(FIND("IMPVOL",W$1)),_xll.BDH(config!$G$4,W$1,WORKDAY($A14,-1,config_Holiday_Calendar_US),WORKDAY($A14,-1,config_Holiday_Calendar_US)),IF(ISNUMBER(_xll.BDH(config!$G$4,W$1,$A14,$A14)),_xll.BDH(config!$G$4,W$1,$A14,$A14),_xll.BDH(config!$G$5,W$1,$A14,$A14))))</f>
        <v>#N/A Requesting Data...</v>
      </c>
    </row>
    <row r="15" spans="1:23" x14ac:dyDescent="0.2">
      <c r="A15" s="9">
        <f>IF(A14="","",IF(WORKDAY(A14,-1,config_Holiday_Calendar_US)&lt;config!$I$10,"",WORKDAY(A14,-1,config_Holiday_Calendar_US)))</f>
        <v>42816</v>
      </c>
      <c r="B15" s="8" t="e">
        <f t="shared" si="0"/>
        <v>#VALUE!</v>
      </c>
      <c r="C15" s="8" t="str">
        <f>IF(A15="","",_xll.BDH(config!$H$4,C$1,$A15,$A15))</f>
        <v>#N/A Requesting Data...</v>
      </c>
      <c r="D15" s="8" t="str">
        <f>IF($A15="","",_xll.BDH(config!$H$4,D$1,$A15,$A15))</f>
        <v>#N/A Requesting Data...</v>
      </c>
      <c r="E15" s="8">
        <f>IF($A15="","",IF(ISNUMBER(FIND("IMPVOL",E$1)),_xll.BDH(config!$G$4,E$1,WORKDAY($A15,-1,config_Holiday_Calendar_US),WORKDAY($A15,-1,config_Holiday_Calendar_US)),IF(ISNUMBER(_xll.BDH(config!$G$4,E$1,$A15,$A15)),_xll.BDH(config!$G$4,E$1,$A15,$A15),_xll.BDH(config!$G$5,E$1,$A15,$A15))))</f>
        <v>48.66</v>
      </c>
      <c r="F15" s="8">
        <f>IF($A15="","",IF(ISNUMBER(FIND("IMPVOL",F$1)),_xll.BDH(config!$G$4,F$1,WORKDAY($A15,-1,config_Holiday_Calendar_US),WORKDAY($A15,-1,config_Holiday_Calendar_US)),IF(ISNUMBER(_xll.BDH(config!$G$4,F$1,$A15,$A15)),_xll.BDH(config!$G$4,F$1,$A15,$A15),_xll.BDH(config!$G$5,F$1,$A15,$A15))))</f>
        <v>48.84</v>
      </c>
      <c r="G15" s="8">
        <f>IF($A15="","",IF(ISNUMBER(FIND("IMPVOL",G$1)),_xll.BDH(config!$G$4,G$1,WORKDAY($A15,-1,config_Holiday_Calendar_US),WORKDAY($A15,-1,config_Holiday_Calendar_US)),IF(ISNUMBER(_xll.BDH(config!$G$4,G$1,$A15,$A15)),_xll.BDH(config!$G$4,G$1,$A15,$A15),_xll.BDH(config!$G$5,G$1,$A15,$A15))))</f>
        <v>47.58</v>
      </c>
      <c r="H15" s="8">
        <f>IF($A15="","",IF(ISNUMBER(FIND("IMPVOL",H$1)),_xll.BDH(config!$G$4,H$1,WORKDAY($A15,-1,config_Holiday_Calendar_US),WORKDAY($A15,-1,config_Holiday_Calendar_US)),IF(ISNUMBER(_xll.BDH(config!$G$4,H$1,$A15,$A15)),_xll.BDH(config!$G$4,H$1,$A15,$A15),_xll.BDH(config!$G$5,H$1,$A15,$A15))))</f>
        <v>190979</v>
      </c>
      <c r="I15" s="8" t="str">
        <f>IF($A15="","",IF(ISNUMBER(FIND("IMPVOL",I$1)),_xll.BDH(config!$G$4,I$1,WORKDAY($A15,-1,config_Holiday_Calendar_US),WORKDAY($A15,-1,config_Holiday_Calendar_US)),IF(ISNUMBER(_xll.BDH(config!$G$4,I$1,$A15,$A15)),_xll.BDH(config!$G$4,I$1,$A15,$A15),_xll.BDH(config!$G$5,I$1,$A15,$A15))))</f>
        <v>#N/A Requesting Data...</v>
      </c>
      <c r="J15" s="8" t="str">
        <f>IF($A15="","",IF(ISNUMBER(FIND("IMPVOL",J$1)),_xll.BDH(config!$G$4,J$1,WORKDAY($A15,-1,config_Holiday_Calendar_US),WORKDAY($A15,-1,config_Holiday_Calendar_US)),IF(ISNUMBER(_xll.BDH(config!$G$4,J$1,$A15,$A15)),_xll.BDH(config!$G$4,J$1,$A15,$A15),_xll.BDH(config!$G$5,J$1,$A15,$A15))))</f>
        <v>#N/A Requesting Data...</v>
      </c>
      <c r="K15" s="8" t="str">
        <f>IF($A15="","",IF(ISNUMBER(FIND("IMPVOL",K$1)),_xll.BDH(config!$G$4,K$1,WORKDAY($A15,-1,config_Holiday_Calendar_US),WORKDAY($A15,-1,config_Holiday_Calendar_US)),IF(ISNUMBER(_xll.BDH(config!$G$4,K$1,$A15,$A15)),_xll.BDH(config!$G$4,K$1,$A15,$A15),_xll.BDH(config!$G$5,K$1,$A15,$A15))))</f>
        <v>#N/A Requesting Data...</v>
      </c>
      <c r="L15" s="8" t="str">
        <f>IF($A15="","",IF(ISNUMBER(FIND("IMPVOL",L$1)),_xll.BDH(config!$G$4,L$1,WORKDAY($A15,-1,config_Holiday_Calendar_US),WORKDAY($A15,-1,config_Holiday_Calendar_US)),IF(ISNUMBER(_xll.BDH(config!$G$4,L$1,$A15,$A15)),_xll.BDH(config!$G$4,L$1,$A15,$A15),_xll.BDH(config!$G$5,L$1,$A15,$A15))))</f>
        <v>#N/A Requesting Data...</v>
      </c>
      <c r="M15" s="8" t="str">
        <f>IF($A15="","",IF(ISNUMBER(FIND("IMPVOL",M$1)),_xll.BDH(config!$G$4,M$1,WORKDAY($A15,-1,config_Holiday_Calendar_US),WORKDAY($A15,-1,config_Holiday_Calendar_US)),IF(ISNUMBER(_xll.BDH(config!$G$4,M$1,$A15,$A15)),_xll.BDH(config!$G$4,M$1,$A15,$A15),_xll.BDH(config!$G$5,M$1,$A15,$A15))))</f>
        <v>#N/A Requesting Data...</v>
      </c>
      <c r="N15" s="8" t="str">
        <f>IF($A15="","",IF(ISNUMBER(FIND("IMPVOL",N$1)),_xll.BDH(config!$G$4,N$1,WORKDAY($A15,-1,config_Holiday_Calendar_US),WORKDAY($A15,-1,config_Holiday_Calendar_US)),IF(ISNUMBER(_xll.BDH(config!$G$4,N$1,$A15,$A15)),_xll.BDH(config!$G$4,N$1,$A15,$A15),_xll.BDH(config!$G$5,N$1,$A15,$A15))))</f>
        <v>#N/A Requesting Data...</v>
      </c>
      <c r="O15" s="8" t="str">
        <f>IF($A15="","",IF(ISNUMBER(FIND("IMPVOL",O$1)),_xll.BDH(config!$G$4,O$1,WORKDAY($A15,-1,config_Holiday_Calendar_US),WORKDAY($A15,-1,config_Holiday_Calendar_US)),IF(ISNUMBER(_xll.BDH(config!$G$4,O$1,$A15,$A15)),_xll.BDH(config!$G$4,O$1,$A15,$A15),_xll.BDH(config!$G$5,O$1,$A15,$A15))))</f>
        <v>#N/A Requesting Data...</v>
      </c>
      <c r="P15" s="8" t="str">
        <f>IF($A15="","",IF(ISNUMBER(FIND("IMPVOL",P$1)),_xll.BDH(config!$G$4,P$1,WORKDAY($A15,-1,config_Holiday_Calendar_US),WORKDAY($A15,-1,config_Holiday_Calendar_US)),IF(ISNUMBER(_xll.BDH(config!$G$4,P$1,$A15,$A15)),_xll.BDH(config!$G$4,P$1,$A15,$A15),_xll.BDH(config!$G$5,P$1,$A15,$A15))))</f>
        <v>#N/A Requesting Data...</v>
      </c>
      <c r="Q15" s="8">
        <f>IF($A15="","",IF(ISNUMBER(FIND("IMPVOL",Q$1)),_xll.BDH(config!$G$4,Q$1,WORKDAY($A15,-1,config_Holiday_Calendar_US),WORKDAY($A15,-1,config_Holiday_Calendar_US)),IF(ISNUMBER(_xll.BDH(config!$G$4,Q$1,$A15,$A15)),_xll.BDH(config!$G$4,Q$1,$A15,$A15),_xll.BDH(config!$G$5,Q$1,$A15,$A15))))</f>
        <v>18.920000000000002</v>
      </c>
      <c r="R15" s="8">
        <f>IF($A15="","",IF(ISNUMBER(FIND("IMPVOL",R$1)),_xll.BDH(config!$G$4,R$1,WORKDAY($A15,-1,config_Holiday_Calendar_US),WORKDAY($A15,-1,config_Holiday_Calendar_US)),IF(ISNUMBER(_xll.BDH(config!$G$4,R$1,$A15,$A15)),_xll.BDH(config!$G$4,R$1,$A15,$A15),_xll.BDH(config!$G$5,R$1,$A15,$A15))))</f>
        <v>23.71</v>
      </c>
      <c r="S15" s="8" t="str">
        <f>IF($A15="","",IF(ISNUMBER(FIND("IMPVOL",S$1)),_xll.BDH(config!$G$4,S$1,WORKDAY($A15,-1,config_Holiday_Calendar_US),WORKDAY($A15,-1,config_Holiday_Calendar_US)),IF(ISNUMBER(_xll.BDH(config!$G$4,S$1,$A15,$A15)),_xll.BDH(config!$G$4,S$1,$A15,$A15),_xll.BDH(config!$G$5,S$1,$A15,$A15))))</f>
        <v>#N/A Requesting Data...</v>
      </c>
      <c r="T15" s="8" t="str">
        <f>IF($A15="","",IF(ISNUMBER(FIND("IMPVOL",T$1)),_xll.BDH(config!$G$4,T$1,WORKDAY($A15,-1,config_Holiday_Calendar_US),WORKDAY($A15,-1,config_Holiday_Calendar_US)),IF(ISNUMBER(_xll.BDH(config!$G$4,T$1,$A15,$A15)),_xll.BDH(config!$G$4,T$1,$A15,$A15),_xll.BDH(config!$G$5,T$1,$A15,$A15))))</f>
        <v>#N/A Requesting Data...</v>
      </c>
      <c r="U15" s="8" t="str">
        <f>IF($A15="","",IF(ISNUMBER(FIND("IMPVOL",U$1)),_xll.BDH(config!$G$4,U$1,WORKDAY($A15,-1,config_Holiday_Calendar_US),WORKDAY($A15,-1,config_Holiday_Calendar_US)),IF(ISNUMBER(_xll.BDH(config!$G$4,U$1,$A15,$A15)),_xll.BDH(config!$G$4,U$1,$A15,$A15),_xll.BDH(config!$G$5,U$1,$A15,$A15))))</f>
        <v>#N/A Requesting Data...</v>
      </c>
      <c r="V15" s="8" t="str">
        <f>IF($A15="","",IF(ISNUMBER(FIND("IMPVOL",V$1)),_xll.BDH(config!$G$4,V$1,WORKDAY($A15,-1,config_Holiday_Calendar_US),WORKDAY($A15,-1,config_Holiday_Calendar_US)),IF(ISNUMBER(_xll.BDH(config!$G$4,V$1,$A15,$A15)),_xll.BDH(config!$G$4,V$1,$A15,$A15),_xll.BDH(config!$G$5,V$1,$A15,$A15))))</f>
        <v>#N/A Requesting Data...</v>
      </c>
      <c r="W15" s="8" t="str">
        <f>IF($A15="","",IF(ISNUMBER(FIND("IMPVOL",W$1)),_xll.BDH(config!$G$4,W$1,WORKDAY($A15,-1,config_Holiday_Calendar_US),WORKDAY($A15,-1,config_Holiday_Calendar_US)),IF(ISNUMBER(_xll.BDH(config!$G$4,W$1,$A15,$A15)),_xll.BDH(config!$G$4,W$1,$A15,$A15),_xll.BDH(config!$G$5,W$1,$A15,$A15))))</f>
        <v>#N/A Requesting Data...</v>
      </c>
    </row>
    <row r="16" spans="1:23" x14ac:dyDescent="0.2">
      <c r="A16" s="9">
        <f>IF(A15="","",IF(WORKDAY(A15,-1,config_Holiday_Calendar_US)&lt;config!$I$10,"",WORKDAY(A15,-1,config_Holiday_Calendar_US)))</f>
        <v>42815</v>
      </c>
      <c r="B16" s="8" t="e">
        <f t="shared" si="0"/>
        <v>#VALUE!</v>
      </c>
      <c r="C16" s="8" t="str">
        <f>IF(A16="","",_xll.BDH(config!$H$4,C$1,$A16,$A16))</f>
        <v>#N/A Requesting Data...</v>
      </c>
      <c r="D16" s="8" t="str">
        <f>IF($A16="","",_xll.BDH(config!$H$4,D$1,$A16,$A16))</f>
        <v>#N/A Requesting Data...</v>
      </c>
      <c r="E16" s="8">
        <f>IF($A16="","",IF(ISNUMBER(FIND("IMPVOL",E$1)),_xll.BDH(config!$G$4,E$1,WORKDAY($A16,-1,config_Holiday_Calendar_US),WORKDAY($A16,-1,config_Holiday_Calendar_US)),IF(ISNUMBER(_xll.BDH(config!$G$4,E$1,$A16,$A16)),_xll.BDH(config!$G$4,E$1,$A16,$A16),_xll.BDH(config!$G$5,E$1,$A16,$A16))))</f>
        <v>48.91</v>
      </c>
      <c r="F16" s="8">
        <f>IF($A16="","",IF(ISNUMBER(FIND("IMPVOL",F$1)),_xll.BDH(config!$G$4,F$1,WORKDAY($A16,-1,config_Holiday_Calendar_US),WORKDAY($A16,-1,config_Holiday_Calendar_US)),IF(ISNUMBER(_xll.BDH(config!$G$4,F$1,$A16,$A16)),_xll.BDH(config!$G$4,F$1,$A16,$A16),_xll.BDH(config!$G$5,F$1,$A16,$A16))))</f>
        <v>49.48</v>
      </c>
      <c r="G16" s="8">
        <f>IF($A16="","",IF(ISNUMBER(FIND("IMPVOL",G$1)),_xll.BDH(config!$G$4,G$1,WORKDAY($A16,-1,config_Holiday_Calendar_US),WORKDAY($A16,-1,config_Holiday_Calendar_US)),IF(ISNUMBER(_xll.BDH(config!$G$4,G$1,$A16,$A16)),_xll.BDH(config!$G$4,G$1,$A16,$A16),_xll.BDH(config!$G$5,G$1,$A16,$A16))))</f>
        <v>47.99</v>
      </c>
      <c r="H16" s="8">
        <f>IF($A16="","",IF(ISNUMBER(FIND("IMPVOL",H$1)),_xll.BDH(config!$G$4,H$1,WORKDAY($A16,-1,config_Holiday_Calendar_US),WORKDAY($A16,-1,config_Holiday_Calendar_US)),IF(ISNUMBER(_xll.BDH(config!$G$4,H$1,$A16,$A16)),_xll.BDH(config!$G$4,H$1,$A16,$A16),_xll.BDH(config!$G$5,H$1,$A16,$A16))))</f>
        <v>628119</v>
      </c>
      <c r="I16" s="8" t="str">
        <f>IF($A16="","",IF(ISNUMBER(FIND("IMPVOL",I$1)),_xll.BDH(config!$G$4,I$1,WORKDAY($A16,-1,config_Holiday_Calendar_US),WORKDAY($A16,-1,config_Holiday_Calendar_US)),IF(ISNUMBER(_xll.BDH(config!$G$4,I$1,$A16,$A16)),_xll.BDH(config!$G$4,I$1,$A16,$A16),_xll.BDH(config!$G$5,I$1,$A16,$A16))))</f>
        <v>#N/A Requesting Data...</v>
      </c>
      <c r="J16" s="8" t="str">
        <f>IF($A16="","",IF(ISNUMBER(FIND("IMPVOL",J$1)),_xll.BDH(config!$G$4,J$1,WORKDAY($A16,-1,config_Holiday_Calendar_US),WORKDAY($A16,-1,config_Holiday_Calendar_US)),IF(ISNUMBER(_xll.BDH(config!$G$4,J$1,$A16,$A16)),_xll.BDH(config!$G$4,J$1,$A16,$A16),_xll.BDH(config!$G$5,J$1,$A16,$A16))))</f>
        <v>#N/A Requesting Data...</v>
      </c>
      <c r="K16" s="8" t="str">
        <f>IF($A16="","",IF(ISNUMBER(FIND("IMPVOL",K$1)),_xll.BDH(config!$G$4,K$1,WORKDAY($A16,-1,config_Holiday_Calendar_US),WORKDAY($A16,-1,config_Holiday_Calendar_US)),IF(ISNUMBER(_xll.BDH(config!$G$4,K$1,$A16,$A16)),_xll.BDH(config!$G$4,K$1,$A16,$A16),_xll.BDH(config!$G$5,K$1,$A16,$A16))))</f>
        <v>#N/A Requesting Data...</v>
      </c>
      <c r="L16" s="8" t="str">
        <f>IF($A16="","",IF(ISNUMBER(FIND("IMPVOL",L$1)),_xll.BDH(config!$G$4,L$1,WORKDAY($A16,-1,config_Holiday_Calendar_US),WORKDAY($A16,-1,config_Holiday_Calendar_US)),IF(ISNUMBER(_xll.BDH(config!$G$4,L$1,$A16,$A16)),_xll.BDH(config!$G$4,L$1,$A16,$A16),_xll.BDH(config!$G$5,L$1,$A16,$A16))))</f>
        <v>#N/A Requesting Data...</v>
      </c>
      <c r="M16" s="8" t="str">
        <f>IF($A16="","",IF(ISNUMBER(FIND("IMPVOL",M$1)),_xll.BDH(config!$G$4,M$1,WORKDAY($A16,-1,config_Holiday_Calendar_US),WORKDAY($A16,-1,config_Holiday_Calendar_US)),IF(ISNUMBER(_xll.BDH(config!$G$4,M$1,$A16,$A16)),_xll.BDH(config!$G$4,M$1,$A16,$A16),_xll.BDH(config!$G$5,M$1,$A16,$A16))))</f>
        <v>#N/A Requesting Data...</v>
      </c>
      <c r="N16" s="8" t="str">
        <f>IF($A16="","",IF(ISNUMBER(FIND("IMPVOL",N$1)),_xll.BDH(config!$G$4,N$1,WORKDAY($A16,-1,config_Holiday_Calendar_US),WORKDAY($A16,-1,config_Holiday_Calendar_US)),IF(ISNUMBER(_xll.BDH(config!$G$4,N$1,$A16,$A16)),_xll.BDH(config!$G$4,N$1,$A16,$A16),_xll.BDH(config!$G$5,N$1,$A16,$A16))))</f>
        <v>#N/A Requesting Data...</v>
      </c>
      <c r="O16" s="8" t="str">
        <f>IF($A16="","",IF(ISNUMBER(FIND("IMPVOL",O$1)),_xll.BDH(config!$G$4,O$1,WORKDAY($A16,-1,config_Holiday_Calendar_US),WORKDAY($A16,-1,config_Holiday_Calendar_US)),IF(ISNUMBER(_xll.BDH(config!$G$4,O$1,$A16,$A16)),_xll.BDH(config!$G$4,O$1,$A16,$A16),_xll.BDH(config!$G$5,O$1,$A16,$A16))))</f>
        <v>#N/A Requesting Data...</v>
      </c>
      <c r="P16" s="8" t="str">
        <f>IF($A16="","",IF(ISNUMBER(FIND("IMPVOL",P$1)),_xll.BDH(config!$G$4,P$1,WORKDAY($A16,-1,config_Holiday_Calendar_US),WORKDAY($A16,-1,config_Holiday_Calendar_US)),IF(ISNUMBER(_xll.BDH(config!$G$4,P$1,$A16,$A16)),_xll.BDH(config!$G$4,P$1,$A16,$A16),_xll.BDH(config!$G$5,P$1,$A16,$A16))))</f>
        <v>#N/A Requesting Data...</v>
      </c>
      <c r="Q16" s="8">
        <f>IF($A16="","",IF(ISNUMBER(FIND("IMPVOL",Q$1)),_xll.BDH(config!$G$4,Q$1,WORKDAY($A16,-1,config_Holiday_Calendar_US),WORKDAY($A16,-1,config_Holiday_Calendar_US)),IF(ISNUMBER(_xll.BDH(config!$G$4,Q$1,$A16,$A16)),_xll.BDH(config!$G$4,Q$1,$A16,$A16),_xll.BDH(config!$G$5,Q$1,$A16,$A16))))</f>
        <v>19.87</v>
      </c>
      <c r="R16" s="8">
        <f>IF($A16="","",IF(ISNUMBER(FIND("IMPVOL",R$1)),_xll.BDH(config!$G$4,R$1,WORKDAY($A16,-1,config_Holiday_Calendar_US),WORKDAY($A16,-1,config_Holiday_Calendar_US)),IF(ISNUMBER(_xll.BDH(config!$G$4,R$1,$A16,$A16)),_xll.BDH(config!$G$4,R$1,$A16,$A16),_xll.BDH(config!$G$5,R$1,$A16,$A16))))</f>
        <v>23.57</v>
      </c>
      <c r="S16" s="8" t="str">
        <f>IF($A16="","",IF(ISNUMBER(FIND("IMPVOL",S$1)),_xll.BDH(config!$G$4,S$1,WORKDAY($A16,-1,config_Holiday_Calendar_US),WORKDAY($A16,-1,config_Holiday_Calendar_US)),IF(ISNUMBER(_xll.BDH(config!$G$4,S$1,$A16,$A16)),_xll.BDH(config!$G$4,S$1,$A16,$A16),_xll.BDH(config!$G$5,S$1,$A16,$A16))))</f>
        <v>#N/A Requesting Data...</v>
      </c>
      <c r="T16" s="8" t="str">
        <f>IF($A16="","",IF(ISNUMBER(FIND("IMPVOL",T$1)),_xll.BDH(config!$G$4,T$1,WORKDAY($A16,-1,config_Holiday_Calendar_US),WORKDAY($A16,-1,config_Holiday_Calendar_US)),IF(ISNUMBER(_xll.BDH(config!$G$4,T$1,$A16,$A16)),_xll.BDH(config!$G$4,T$1,$A16,$A16),_xll.BDH(config!$G$5,T$1,$A16,$A16))))</f>
        <v>#N/A Requesting Data...</v>
      </c>
      <c r="U16" s="8" t="str">
        <f>IF($A16="","",IF(ISNUMBER(FIND("IMPVOL",U$1)),_xll.BDH(config!$G$4,U$1,WORKDAY($A16,-1,config_Holiday_Calendar_US),WORKDAY($A16,-1,config_Holiday_Calendar_US)),IF(ISNUMBER(_xll.BDH(config!$G$4,U$1,$A16,$A16)),_xll.BDH(config!$G$4,U$1,$A16,$A16),_xll.BDH(config!$G$5,U$1,$A16,$A16))))</f>
        <v>#N/A Requesting Data...</v>
      </c>
      <c r="V16" s="8" t="str">
        <f>IF($A16="","",IF(ISNUMBER(FIND("IMPVOL",V$1)),_xll.BDH(config!$G$4,V$1,WORKDAY($A16,-1,config_Holiday_Calendar_US),WORKDAY($A16,-1,config_Holiday_Calendar_US)),IF(ISNUMBER(_xll.BDH(config!$G$4,V$1,$A16,$A16)),_xll.BDH(config!$G$4,V$1,$A16,$A16),_xll.BDH(config!$G$5,V$1,$A16,$A16))))</f>
        <v>#N/A Requesting Data...</v>
      </c>
      <c r="W16" s="8" t="str">
        <f>IF($A16="","",IF(ISNUMBER(FIND("IMPVOL",W$1)),_xll.BDH(config!$G$4,W$1,WORKDAY($A16,-1,config_Holiday_Calendar_US),WORKDAY($A16,-1,config_Holiday_Calendar_US)),IF(ISNUMBER(_xll.BDH(config!$G$4,W$1,$A16,$A16)),_xll.BDH(config!$G$4,W$1,$A16,$A16),_xll.BDH(config!$G$5,W$1,$A16,$A16))))</f>
        <v>#N/A Requesting Data...</v>
      </c>
    </row>
    <row r="17" spans="1:23" x14ac:dyDescent="0.2">
      <c r="A17" s="9">
        <f>IF(A16="","",IF(WORKDAY(A16,-1,config_Holiday_Calendar_US)&lt;config!$I$10,"",WORKDAY(A16,-1,config_Holiday_Calendar_US)))</f>
        <v>42814</v>
      </c>
      <c r="B17" s="8" t="e">
        <f t="shared" si="0"/>
        <v>#VALUE!</v>
      </c>
      <c r="C17" s="8" t="str">
        <f>IF(A17="","",_xll.BDH(config!$H$4,C$1,$A17,$A17))</f>
        <v>#N/A Requesting Data...</v>
      </c>
      <c r="D17" s="8" t="str">
        <f>IF($A17="","",_xll.BDH(config!$H$4,D$1,$A17,$A17))</f>
        <v>#N/A Requesting Data...</v>
      </c>
      <c r="E17" s="8">
        <f>IF($A17="","",IF(ISNUMBER(FIND("IMPVOL",E$1)),_xll.BDH(config!$G$4,E$1,WORKDAY($A17,-1,config_Holiday_Calendar_US),WORKDAY($A17,-1,config_Holiday_Calendar_US)),IF(ISNUMBER(_xll.BDH(config!$G$4,E$1,$A17,$A17)),_xll.BDH(config!$G$4,E$1,$A17,$A17),_xll.BDH(config!$G$5,E$1,$A17,$A17))))</f>
        <v>49.25</v>
      </c>
      <c r="F17" s="8">
        <f>IF($A17="","",IF(ISNUMBER(FIND("IMPVOL",F$1)),_xll.BDH(config!$G$4,F$1,WORKDAY($A17,-1,config_Holiday_Calendar_US),WORKDAY($A17,-1,config_Holiday_Calendar_US)),IF(ISNUMBER(_xll.BDH(config!$G$4,F$1,$A17,$A17)),_xll.BDH(config!$G$4,F$1,$A17,$A17),_xll.BDH(config!$G$5,F$1,$A17,$A17))))</f>
        <v>49.36</v>
      </c>
      <c r="G17" s="8">
        <f>IF($A17="","",IF(ISNUMBER(FIND("IMPVOL",G$1)),_xll.BDH(config!$G$4,G$1,WORKDAY($A17,-1,config_Holiday_Calendar_US),WORKDAY($A17,-1,config_Holiday_Calendar_US)),IF(ISNUMBER(_xll.BDH(config!$G$4,G$1,$A17,$A17)),_xll.BDH(config!$G$4,G$1,$A17,$A17),_xll.BDH(config!$G$5,G$1,$A17,$A17))))</f>
        <v>48.46</v>
      </c>
      <c r="H17" s="8">
        <f>IF($A17="","",IF(ISNUMBER(FIND("IMPVOL",H$1)),_xll.BDH(config!$G$4,H$1,WORKDAY($A17,-1,config_Holiday_Calendar_US),WORKDAY($A17,-1,config_Holiday_Calendar_US)),IF(ISNUMBER(_xll.BDH(config!$G$4,H$1,$A17,$A17)),_xll.BDH(config!$G$4,H$1,$A17,$A17),_xll.BDH(config!$G$5,H$1,$A17,$A17))))</f>
        <v>593698</v>
      </c>
      <c r="I17" s="8" t="str">
        <f>IF($A17="","",IF(ISNUMBER(FIND("IMPVOL",I$1)),_xll.BDH(config!$G$4,I$1,WORKDAY($A17,-1,config_Holiday_Calendar_US),WORKDAY($A17,-1,config_Holiday_Calendar_US)),IF(ISNUMBER(_xll.BDH(config!$G$4,I$1,$A17,$A17)),_xll.BDH(config!$G$4,I$1,$A17,$A17),_xll.BDH(config!$G$5,I$1,$A17,$A17))))</f>
        <v>#N/A Requesting Data...</v>
      </c>
      <c r="J17" s="8" t="str">
        <f>IF($A17="","",IF(ISNUMBER(FIND("IMPVOL",J$1)),_xll.BDH(config!$G$4,J$1,WORKDAY($A17,-1,config_Holiday_Calendar_US),WORKDAY($A17,-1,config_Holiday_Calendar_US)),IF(ISNUMBER(_xll.BDH(config!$G$4,J$1,$A17,$A17)),_xll.BDH(config!$G$4,J$1,$A17,$A17),_xll.BDH(config!$G$5,J$1,$A17,$A17))))</f>
        <v>#N/A Requesting Data...</v>
      </c>
      <c r="K17" s="8" t="str">
        <f>IF($A17="","",IF(ISNUMBER(FIND("IMPVOL",K$1)),_xll.BDH(config!$G$4,K$1,WORKDAY($A17,-1,config_Holiday_Calendar_US),WORKDAY($A17,-1,config_Holiday_Calendar_US)),IF(ISNUMBER(_xll.BDH(config!$G$4,K$1,$A17,$A17)),_xll.BDH(config!$G$4,K$1,$A17,$A17),_xll.BDH(config!$G$5,K$1,$A17,$A17))))</f>
        <v>#N/A Requesting Data...</v>
      </c>
      <c r="L17" s="8" t="str">
        <f>IF($A17="","",IF(ISNUMBER(FIND("IMPVOL",L$1)),_xll.BDH(config!$G$4,L$1,WORKDAY($A17,-1,config_Holiday_Calendar_US),WORKDAY($A17,-1,config_Holiday_Calendar_US)),IF(ISNUMBER(_xll.BDH(config!$G$4,L$1,$A17,$A17)),_xll.BDH(config!$G$4,L$1,$A17,$A17),_xll.BDH(config!$G$5,L$1,$A17,$A17))))</f>
        <v>#N/A Requesting Data...</v>
      </c>
      <c r="M17" s="8" t="str">
        <f>IF($A17="","",IF(ISNUMBER(FIND("IMPVOL",M$1)),_xll.BDH(config!$G$4,M$1,WORKDAY($A17,-1,config_Holiday_Calendar_US),WORKDAY($A17,-1,config_Holiday_Calendar_US)),IF(ISNUMBER(_xll.BDH(config!$G$4,M$1,$A17,$A17)),_xll.BDH(config!$G$4,M$1,$A17,$A17),_xll.BDH(config!$G$5,M$1,$A17,$A17))))</f>
        <v>#N/A Requesting Data...</v>
      </c>
      <c r="N17" s="8" t="str">
        <f>IF($A17="","",IF(ISNUMBER(FIND("IMPVOL",N$1)),_xll.BDH(config!$G$4,N$1,WORKDAY($A17,-1,config_Holiday_Calendar_US),WORKDAY($A17,-1,config_Holiday_Calendar_US)),IF(ISNUMBER(_xll.BDH(config!$G$4,N$1,$A17,$A17)),_xll.BDH(config!$G$4,N$1,$A17,$A17),_xll.BDH(config!$G$5,N$1,$A17,$A17))))</f>
        <v>#N/A Requesting Data...</v>
      </c>
      <c r="O17" s="8" t="str">
        <f>IF($A17="","",IF(ISNUMBER(FIND("IMPVOL",O$1)),_xll.BDH(config!$G$4,O$1,WORKDAY($A17,-1,config_Holiday_Calendar_US),WORKDAY($A17,-1,config_Holiday_Calendar_US)),IF(ISNUMBER(_xll.BDH(config!$G$4,O$1,$A17,$A17)),_xll.BDH(config!$G$4,O$1,$A17,$A17),_xll.BDH(config!$G$5,O$1,$A17,$A17))))</f>
        <v>#N/A Requesting Data...</v>
      </c>
      <c r="P17" s="8" t="str">
        <f>IF($A17="","",IF(ISNUMBER(FIND("IMPVOL",P$1)),_xll.BDH(config!$G$4,P$1,WORKDAY($A17,-1,config_Holiday_Calendar_US),WORKDAY($A17,-1,config_Holiday_Calendar_US)),IF(ISNUMBER(_xll.BDH(config!$G$4,P$1,$A17,$A17)),_xll.BDH(config!$G$4,P$1,$A17,$A17),_xll.BDH(config!$G$5,P$1,$A17,$A17))))</f>
        <v>#N/A Requesting Data...</v>
      </c>
      <c r="Q17" s="8">
        <f>IF($A17="","",IF(ISNUMBER(FIND("IMPVOL",Q$1)),_xll.BDH(config!$G$4,Q$1,WORKDAY($A17,-1,config_Holiday_Calendar_US),WORKDAY($A17,-1,config_Holiday_Calendar_US)),IF(ISNUMBER(_xll.BDH(config!$G$4,Q$1,$A17,$A17)),_xll.BDH(config!$G$4,Q$1,$A17,$A17),_xll.BDH(config!$G$5,Q$1,$A17,$A17))))</f>
        <v>32.630000000000003</v>
      </c>
      <c r="R17" s="8">
        <f>IF($A17="","",IF(ISNUMBER(FIND("IMPVOL",R$1)),_xll.BDH(config!$G$4,R$1,WORKDAY($A17,-1,config_Holiday_Calendar_US),WORKDAY($A17,-1,config_Holiday_Calendar_US)),IF(ISNUMBER(_xll.BDH(config!$G$4,R$1,$A17,$A17)),_xll.BDH(config!$G$4,R$1,$A17,$A17),_xll.BDH(config!$G$5,R$1,$A17,$A17))))</f>
        <v>23.67</v>
      </c>
      <c r="S17" s="8" t="str">
        <f>IF($A17="","",IF(ISNUMBER(FIND("IMPVOL",S$1)),_xll.BDH(config!$G$4,S$1,WORKDAY($A17,-1,config_Holiday_Calendar_US),WORKDAY($A17,-1,config_Holiday_Calendar_US)),IF(ISNUMBER(_xll.BDH(config!$G$4,S$1,$A17,$A17)),_xll.BDH(config!$G$4,S$1,$A17,$A17),_xll.BDH(config!$G$5,S$1,$A17,$A17))))</f>
        <v>#N/A Requesting Data...</v>
      </c>
      <c r="T17" s="8" t="str">
        <f>IF($A17="","",IF(ISNUMBER(FIND("IMPVOL",T$1)),_xll.BDH(config!$G$4,T$1,WORKDAY($A17,-1,config_Holiday_Calendar_US),WORKDAY($A17,-1,config_Holiday_Calendar_US)),IF(ISNUMBER(_xll.BDH(config!$G$4,T$1,$A17,$A17)),_xll.BDH(config!$G$4,T$1,$A17,$A17),_xll.BDH(config!$G$5,T$1,$A17,$A17))))</f>
        <v>#N/A Requesting Data...</v>
      </c>
      <c r="U17" s="8" t="str">
        <f>IF($A17="","",IF(ISNUMBER(FIND("IMPVOL",U$1)),_xll.BDH(config!$G$4,U$1,WORKDAY($A17,-1,config_Holiday_Calendar_US),WORKDAY($A17,-1,config_Holiday_Calendar_US)),IF(ISNUMBER(_xll.BDH(config!$G$4,U$1,$A17,$A17)),_xll.BDH(config!$G$4,U$1,$A17,$A17),_xll.BDH(config!$G$5,U$1,$A17,$A17))))</f>
        <v>#N/A Requesting Data...</v>
      </c>
      <c r="V17" s="8" t="str">
        <f>IF($A17="","",IF(ISNUMBER(FIND("IMPVOL",V$1)),_xll.BDH(config!$G$4,V$1,WORKDAY($A17,-1,config_Holiday_Calendar_US),WORKDAY($A17,-1,config_Holiday_Calendar_US)),IF(ISNUMBER(_xll.BDH(config!$G$4,V$1,$A17,$A17)),_xll.BDH(config!$G$4,V$1,$A17,$A17),_xll.BDH(config!$G$5,V$1,$A17,$A17))))</f>
        <v>#N/A Requesting Data...</v>
      </c>
      <c r="W17" s="8" t="str">
        <f>IF($A17="","",IF(ISNUMBER(FIND("IMPVOL",W$1)),_xll.BDH(config!$G$4,W$1,WORKDAY($A17,-1,config_Holiday_Calendar_US),WORKDAY($A17,-1,config_Holiday_Calendar_US)),IF(ISNUMBER(_xll.BDH(config!$G$4,W$1,$A17,$A17)),_xll.BDH(config!$G$4,W$1,$A17,$A17),_xll.BDH(config!$G$5,W$1,$A17,$A17))))</f>
        <v>#N/A Requesting Data...</v>
      </c>
    </row>
    <row r="18" spans="1:23" x14ac:dyDescent="0.2">
      <c r="A18" s="9">
        <f>IF(A17="","",IF(WORKDAY(A17,-1,config_Holiday_Calendar_US)&lt;config!$I$10,"",WORKDAY(A17,-1,config_Holiday_Calendar_US)))</f>
        <v>42811</v>
      </c>
      <c r="B18" s="8" t="e">
        <f t="shared" si="0"/>
        <v>#VALUE!</v>
      </c>
      <c r="C18" s="8" t="str">
        <f>IF(A18="","",_xll.BDH(config!$H$4,C$1,$A18,$A18))</f>
        <v>#N/A Requesting Data...</v>
      </c>
      <c r="D18" s="8" t="str">
        <f>IF($A18="","",_xll.BDH(config!$H$4,D$1,$A18,$A18))</f>
        <v>#N/A Requesting Data...</v>
      </c>
      <c r="E18" s="8">
        <f>IF($A18="","",IF(ISNUMBER(FIND("IMPVOL",E$1)),_xll.BDH(config!$G$4,E$1,WORKDAY($A18,-1,config_Holiday_Calendar_US),WORKDAY($A18,-1,config_Holiday_Calendar_US)),IF(ISNUMBER(_xll.BDH(config!$G$4,E$1,$A18,$A18)),_xll.BDH(config!$G$4,E$1,$A18,$A18),_xll.BDH(config!$G$5,E$1,$A18,$A18))))</f>
        <v>49.29</v>
      </c>
      <c r="F18" s="8">
        <f>IF($A18="","",IF(ISNUMBER(FIND("IMPVOL",F$1)),_xll.BDH(config!$G$4,F$1,WORKDAY($A18,-1,config_Holiday_Calendar_US),WORKDAY($A18,-1,config_Holiday_Calendar_US)),IF(ISNUMBER(_xll.BDH(config!$G$4,F$1,$A18,$A18)),_xll.BDH(config!$G$4,F$1,$A18,$A18),_xll.BDH(config!$G$5,F$1,$A18,$A18))))</f>
        <v>49.71</v>
      </c>
      <c r="G18" s="8">
        <f>IF($A18="","",IF(ISNUMBER(FIND("IMPVOL",G$1)),_xll.BDH(config!$G$4,G$1,WORKDAY($A18,-1,config_Holiday_Calendar_US),WORKDAY($A18,-1,config_Holiday_Calendar_US)),IF(ISNUMBER(_xll.BDH(config!$G$4,G$1,$A18,$A18)),_xll.BDH(config!$G$4,G$1,$A18,$A18),_xll.BDH(config!$G$5,G$1,$A18,$A18))))</f>
        <v>49.1</v>
      </c>
      <c r="H18" s="8">
        <f>IF($A18="","",IF(ISNUMBER(FIND("IMPVOL",H$1)),_xll.BDH(config!$G$4,H$1,WORKDAY($A18,-1,config_Holiday_Calendar_US),WORKDAY($A18,-1,config_Holiday_Calendar_US)),IF(ISNUMBER(_xll.BDH(config!$G$4,H$1,$A18,$A18)),_xll.BDH(config!$G$4,H$1,$A18,$A18),_xll.BDH(config!$G$5,H$1,$A18,$A18))))</f>
        <v>345780</v>
      </c>
      <c r="I18" s="8" t="str">
        <f>IF($A18="","",IF(ISNUMBER(FIND("IMPVOL",I$1)),_xll.BDH(config!$G$4,I$1,WORKDAY($A18,-1,config_Holiday_Calendar_US),WORKDAY($A18,-1,config_Holiday_Calendar_US)),IF(ISNUMBER(_xll.BDH(config!$G$4,I$1,$A18,$A18)),_xll.BDH(config!$G$4,I$1,$A18,$A18),_xll.BDH(config!$G$5,I$1,$A18,$A18))))</f>
        <v>#N/A Requesting Data...</v>
      </c>
      <c r="J18" s="8" t="str">
        <f>IF($A18="","",IF(ISNUMBER(FIND("IMPVOL",J$1)),_xll.BDH(config!$G$4,J$1,WORKDAY($A18,-1,config_Holiday_Calendar_US),WORKDAY($A18,-1,config_Holiday_Calendar_US)),IF(ISNUMBER(_xll.BDH(config!$G$4,J$1,$A18,$A18)),_xll.BDH(config!$G$4,J$1,$A18,$A18),_xll.BDH(config!$G$5,J$1,$A18,$A18))))</f>
        <v>#N/A Requesting Data...</v>
      </c>
      <c r="K18" s="8" t="str">
        <f>IF($A18="","",IF(ISNUMBER(FIND("IMPVOL",K$1)),_xll.BDH(config!$G$4,K$1,WORKDAY($A18,-1,config_Holiday_Calendar_US),WORKDAY($A18,-1,config_Holiday_Calendar_US)),IF(ISNUMBER(_xll.BDH(config!$G$4,K$1,$A18,$A18)),_xll.BDH(config!$G$4,K$1,$A18,$A18),_xll.BDH(config!$G$5,K$1,$A18,$A18))))</f>
        <v>#N/A Requesting Data...</v>
      </c>
      <c r="L18" s="8" t="str">
        <f>IF($A18="","",IF(ISNUMBER(FIND("IMPVOL",L$1)),_xll.BDH(config!$G$4,L$1,WORKDAY($A18,-1,config_Holiday_Calendar_US),WORKDAY($A18,-1,config_Holiday_Calendar_US)),IF(ISNUMBER(_xll.BDH(config!$G$4,L$1,$A18,$A18)),_xll.BDH(config!$G$4,L$1,$A18,$A18),_xll.BDH(config!$G$5,L$1,$A18,$A18))))</f>
        <v>#N/A Requesting Data...</v>
      </c>
      <c r="M18" s="8" t="str">
        <f>IF($A18="","",IF(ISNUMBER(FIND("IMPVOL",M$1)),_xll.BDH(config!$G$4,M$1,WORKDAY($A18,-1,config_Holiday_Calendar_US),WORKDAY($A18,-1,config_Holiday_Calendar_US)),IF(ISNUMBER(_xll.BDH(config!$G$4,M$1,$A18,$A18)),_xll.BDH(config!$G$4,M$1,$A18,$A18),_xll.BDH(config!$G$5,M$1,$A18,$A18))))</f>
        <v>#N/A Requesting Data...</v>
      </c>
      <c r="N18" s="8" t="str">
        <f>IF($A18="","",IF(ISNUMBER(FIND("IMPVOL",N$1)),_xll.BDH(config!$G$4,N$1,WORKDAY($A18,-1,config_Holiday_Calendar_US),WORKDAY($A18,-1,config_Holiday_Calendar_US)),IF(ISNUMBER(_xll.BDH(config!$G$4,N$1,$A18,$A18)),_xll.BDH(config!$G$4,N$1,$A18,$A18),_xll.BDH(config!$G$5,N$1,$A18,$A18))))</f>
        <v>#N/A Requesting Data...</v>
      </c>
      <c r="O18" s="8" t="str">
        <f>IF($A18="","",IF(ISNUMBER(FIND("IMPVOL",O$1)),_xll.BDH(config!$G$4,O$1,WORKDAY($A18,-1,config_Holiday_Calendar_US),WORKDAY($A18,-1,config_Holiday_Calendar_US)),IF(ISNUMBER(_xll.BDH(config!$G$4,O$1,$A18,$A18)),_xll.BDH(config!$G$4,O$1,$A18,$A18),_xll.BDH(config!$G$5,O$1,$A18,$A18))))</f>
        <v>#N/A Requesting Data...</v>
      </c>
      <c r="P18" s="8" t="str">
        <f>IF($A18="","",IF(ISNUMBER(FIND("IMPVOL",P$1)),_xll.BDH(config!$G$4,P$1,WORKDAY($A18,-1,config_Holiday_Calendar_US),WORKDAY($A18,-1,config_Holiday_Calendar_US)),IF(ISNUMBER(_xll.BDH(config!$G$4,P$1,$A18,$A18)),_xll.BDH(config!$G$4,P$1,$A18,$A18),_xll.BDH(config!$G$5,P$1,$A18,$A18))))</f>
        <v>#N/A Requesting Data...</v>
      </c>
      <c r="Q18" s="8">
        <f>IF($A18="","",IF(ISNUMBER(FIND("IMPVOL",Q$1)),_xll.BDH(config!$G$4,Q$1,WORKDAY($A18,-1,config_Holiday_Calendar_US),WORKDAY($A18,-1,config_Holiday_Calendar_US)),IF(ISNUMBER(_xll.BDH(config!$G$4,Q$1,$A18,$A18)),_xll.BDH(config!$G$4,Q$1,$A18,$A18),_xll.BDH(config!$G$5,Q$1,$A18,$A18))))</f>
        <v>32.979999999999997</v>
      </c>
      <c r="R18" s="8">
        <f>IF($A18="","",IF(ISNUMBER(FIND("IMPVOL",R$1)),_xll.BDH(config!$G$4,R$1,WORKDAY($A18,-1,config_Holiday_Calendar_US),WORKDAY($A18,-1,config_Holiday_Calendar_US)),IF(ISNUMBER(_xll.BDH(config!$G$4,R$1,$A18,$A18)),_xll.BDH(config!$G$4,R$1,$A18,$A18),_xll.BDH(config!$G$5,R$1,$A18,$A18))))</f>
        <v>23.92</v>
      </c>
      <c r="S18" s="8" t="str">
        <f>IF($A18="","",IF(ISNUMBER(FIND("IMPVOL",S$1)),_xll.BDH(config!$G$4,S$1,WORKDAY($A18,-1,config_Holiday_Calendar_US),WORKDAY($A18,-1,config_Holiday_Calendar_US)),IF(ISNUMBER(_xll.BDH(config!$G$4,S$1,$A18,$A18)),_xll.BDH(config!$G$4,S$1,$A18,$A18),_xll.BDH(config!$G$5,S$1,$A18,$A18))))</f>
        <v>#N/A Requesting Data...</v>
      </c>
      <c r="T18" s="8" t="str">
        <f>IF($A18="","",IF(ISNUMBER(FIND("IMPVOL",T$1)),_xll.BDH(config!$G$4,T$1,WORKDAY($A18,-1,config_Holiday_Calendar_US),WORKDAY($A18,-1,config_Holiday_Calendar_US)),IF(ISNUMBER(_xll.BDH(config!$G$4,T$1,$A18,$A18)),_xll.BDH(config!$G$4,T$1,$A18,$A18),_xll.BDH(config!$G$5,T$1,$A18,$A18))))</f>
        <v>#N/A Requesting Data...</v>
      </c>
      <c r="U18" s="8" t="str">
        <f>IF($A18="","",IF(ISNUMBER(FIND("IMPVOL",U$1)),_xll.BDH(config!$G$4,U$1,WORKDAY($A18,-1,config_Holiday_Calendar_US),WORKDAY($A18,-1,config_Holiday_Calendar_US)),IF(ISNUMBER(_xll.BDH(config!$G$4,U$1,$A18,$A18)),_xll.BDH(config!$G$4,U$1,$A18,$A18),_xll.BDH(config!$G$5,U$1,$A18,$A18))))</f>
        <v>#N/A Requesting Data...</v>
      </c>
      <c r="V18" s="8" t="str">
        <f>IF($A18="","",IF(ISNUMBER(FIND("IMPVOL",V$1)),_xll.BDH(config!$G$4,V$1,WORKDAY($A18,-1,config_Holiday_Calendar_US),WORKDAY($A18,-1,config_Holiday_Calendar_US)),IF(ISNUMBER(_xll.BDH(config!$G$4,V$1,$A18,$A18)),_xll.BDH(config!$G$4,V$1,$A18,$A18),_xll.BDH(config!$G$5,V$1,$A18,$A18))))</f>
        <v>#N/A Requesting Data...</v>
      </c>
      <c r="W18" s="8" t="str">
        <f>IF($A18="","",IF(ISNUMBER(FIND("IMPVOL",W$1)),_xll.BDH(config!$G$4,W$1,WORKDAY($A18,-1,config_Holiday_Calendar_US),WORKDAY($A18,-1,config_Holiday_Calendar_US)),IF(ISNUMBER(_xll.BDH(config!$G$4,W$1,$A18,$A18)),_xll.BDH(config!$G$4,W$1,$A18,$A18),_xll.BDH(config!$G$5,W$1,$A18,$A18))))</f>
        <v>#N/A Requesting Data...</v>
      </c>
    </row>
    <row r="19" spans="1:23" x14ac:dyDescent="0.2">
      <c r="A19" s="9">
        <f>IF(A18="","",IF(WORKDAY(A18,-1,config_Holiday_Calendar_US)&lt;config!$I$10,"",WORKDAY(A18,-1,config_Holiday_Calendar_US)))</f>
        <v>42810</v>
      </c>
      <c r="B19" s="8" t="e">
        <f t="shared" si="0"/>
        <v>#VALUE!</v>
      </c>
      <c r="C19" s="8" t="str">
        <f>IF(A19="","",_xll.BDH(config!$H$4,C$1,$A19,$A19))</f>
        <v>#N/A Requesting Data...</v>
      </c>
      <c r="D19" s="8" t="str">
        <f>IF($A19="","",_xll.BDH(config!$H$4,D$1,$A19,$A19))</f>
        <v>#N/A Requesting Data...</v>
      </c>
      <c r="E19" s="8">
        <f>IF($A19="","",IF(ISNUMBER(FIND("IMPVOL",E$1)),_xll.BDH(config!$G$4,E$1,WORKDAY($A19,-1,config_Holiday_Calendar_US),WORKDAY($A19,-1,config_Holiday_Calendar_US)),IF(ISNUMBER(_xll.BDH(config!$G$4,E$1,$A19,$A19)),_xll.BDH(config!$G$4,E$1,$A19,$A19),_xll.BDH(config!$G$5,E$1,$A19,$A19))))</f>
        <v>49.6</v>
      </c>
      <c r="F19" s="8">
        <f>IF($A19="","",IF(ISNUMBER(FIND("IMPVOL",F$1)),_xll.BDH(config!$G$4,F$1,WORKDAY($A19,-1,config_Holiday_Calendar_US),WORKDAY($A19,-1,config_Holiday_Calendar_US)),IF(ISNUMBER(_xll.BDH(config!$G$4,F$1,$A19,$A19)),_xll.BDH(config!$G$4,F$1,$A19,$A19),_xll.BDH(config!$G$5,F$1,$A19,$A19))))</f>
        <v>50.14</v>
      </c>
      <c r="G19" s="8">
        <f>IF($A19="","",IF(ISNUMBER(FIND("IMPVOL",G$1)),_xll.BDH(config!$G$4,G$1,WORKDAY($A19,-1,config_Holiday_Calendar_US),WORKDAY($A19,-1,config_Holiday_Calendar_US)),IF(ISNUMBER(_xll.BDH(config!$G$4,G$1,$A19,$A19)),_xll.BDH(config!$G$4,G$1,$A19,$A19),_xll.BDH(config!$G$5,G$1,$A19,$A19))))</f>
        <v>49.01</v>
      </c>
      <c r="H19" s="8">
        <f>IF($A19="","",IF(ISNUMBER(FIND("IMPVOL",H$1)),_xll.BDH(config!$G$4,H$1,WORKDAY($A19,-1,config_Holiday_Calendar_US),WORKDAY($A19,-1,config_Holiday_Calendar_US)),IF(ISNUMBER(_xll.BDH(config!$G$4,H$1,$A19,$A19)),_xll.BDH(config!$G$4,H$1,$A19,$A19),_xll.BDH(config!$G$5,H$1,$A19,$A19))))</f>
        <v>376317</v>
      </c>
      <c r="I19" s="8" t="str">
        <f>IF($A19="","",IF(ISNUMBER(FIND("IMPVOL",I$1)),_xll.BDH(config!$G$4,I$1,WORKDAY($A19,-1,config_Holiday_Calendar_US),WORKDAY($A19,-1,config_Holiday_Calendar_US)),IF(ISNUMBER(_xll.BDH(config!$G$4,I$1,$A19,$A19)),_xll.BDH(config!$G$4,I$1,$A19,$A19),_xll.BDH(config!$G$5,I$1,$A19,$A19))))</f>
        <v>#N/A Requesting Data...</v>
      </c>
      <c r="J19" s="8" t="str">
        <f>IF($A19="","",IF(ISNUMBER(FIND("IMPVOL",J$1)),_xll.BDH(config!$G$4,J$1,WORKDAY($A19,-1,config_Holiday_Calendar_US),WORKDAY($A19,-1,config_Holiday_Calendar_US)),IF(ISNUMBER(_xll.BDH(config!$G$4,J$1,$A19,$A19)),_xll.BDH(config!$G$4,J$1,$A19,$A19),_xll.BDH(config!$G$5,J$1,$A19,$A19))))</f>
        <v>#N/A Requesting Data...</v>
      </c>
      <c r="K19" s="8" t="str">
        <f>IF($A19="","",IF(ISNUMBER(FIND("IMPVOL",K$1)),_xll.BDH(config!$G$4,K$1,WORKDAY($A19,-1,config_Holiday_Calendar_US),WORKDAY($A19,-1,config_Holiday_Calendar_US)),IF(ISNUMBER(_xll.BDH(config!$G$4,K$1,$A19,$A19)),_xll.BDH(config!$G$4,K$1,$A19,$A19),_xll.BDH(config!$G$5,K$1,$A19,$A19))))</f>
        <v>#N/A Requesting Data...</v>
      </c>
      <c r="L19" s="8" t="str">
        <f>IF($A19="","",IF(ISNUMBER(FIND("IMPVOL",L$1)),_xll.BDH(config!$G$4,L$1,WORKDAY($A19,-1,config_Holiday_Calendar_US),WORKDAY($A19,-1,config_Holiday_Calendar_US)),IF(ISNUMBER(_xll.BDH(config!$G$4,L$1,$A19,$A19)),_xll.BDH(config!$G$4,L$1,$A19,$A19),_xll.BDH(config!$G$5,L$1,$A19,$A19))))</f>
        <v>#N/A Requesting Data...</v>
      </c>
      <c r="M19" s="8" t="str">
        <f>IF($A19="","",IF(ISNUMBER(FIND("IMPVOL",M$1)),_xll.BDH(config!$G$4,M$1,WORKDAY($A19,-1,config_Holiday_Calendar_US),WORKDAY($A19,-1,config_Holiday_Calendar_US)),IF(ISNUMBER(_xll.BDH(config!$G$4,M$1,$A19,$A19)),_xll.BDH(config!$G$4,M$1,$A19,$A19),_xll.BDH(config!$G$5,M$1,$A19,$A19))))</f>
        <v>#N/A Requesting Data...</v>
      </c>
      <c r="N19" s="8" t="str">
        <f>IF($A19="","",IF(ISNUMBER(FIND("IMPVOL",N$1)),_xll.BDH(config!$G$4,N$1,WORKDAY($A19,-1,config_Holiday_Calendar_US),WORKDAY($A19,-1,config_Holiday_Calendar_US)),IF(ISNUMBER(_xll.BDH(config!$G$4,N$1,$A19,$A19)),_xll.BDH(config!$G$4,N$1,$A19,$A19),_xll.BDH(config!$G$5,N$1,$A19,$A19))))</f>
        <v>#N/A Requesting Data...</v>
      </c>
      <c r="O19" s="8" t="str">
        <f>IF($A19="","",IF(ISNUMBER(FIND("IMPVOL",O$1)),_xll.BDH(config!$G$4,O$1,WORKDAY($A19,-1,config_Holiday_Calendar_US),WORKDAY($A19,-1,config_Holiday_Calendar_US)),IF(ISNUMBER(_xll.BDH(config!$G$4,O$1,$A19,$A19)),_xll.BDH(config!$G$4,O$1,$A19,$A19),_xll.BDH(config!$G$5,O$1,$A19,$A19))))</f>
        <v>#N/A Requesting Data...</v>
      </c>
      <c r="P19" s="8" t="str">
        <f>IF($A19="","",IF(ISNUMBER(FIND("IMPVOL",P$1)),_xll.BDH(config!$G$4,P$1,WORKDAY($A19,-1,config_Holiday_Calendar_US),WORKDAY($A19,-1,config_Holiday_Calendar_US)),IF(ISNUMBER(_xll.BDH(config!$G$4,P$1,$A19,$A19)),_xll.BDH(config!$G$4,P$1,$A19,$A19),_xll.BDH(config!$G$5,P$1,$A19,$A19))))</f>
        <v>#N/A Requesting Data...</v>
      </c>
      <c r="Q19" s="8">
        <f>IF($A19="","",IF(ISNUMBER(FIND("IMPVOL",Q$1)),_xll.BDH(config!$G$4,Q$1,WORKDAY($A19,-1,config_Holiday_Calendar_US),WORKDAY($A19,-1,config_Holiday_Calendar_US)),IF(ISNUMBER(_xll.BDH(config!$G$4,Q$1,$A19,$A19)),_xll.BDH(config!$G$4,Q$1,$A19,$A19),_xll.BDH(config!$G$5,Q$1,$A19,$A19))))</f>
        <v>32.72</v>
      </c>
      <c r="R19" s="8">
        <f>IF($A19="","",IF(ISNUMBER(FIND("IMPVOL",R$1)),_xll.BDH(config!$G$4,R$1,WORKDAY($A19,-1,config_Holiday_Calendar_US),WORKDAY($A19,-1,config_Holiday_Calendar_US)),IF(ISNUMBER(_xll.BDH(config!$G$4,R$1,$A19,$A19)),_xll.BDH(config!$G$4,R$1,$A19,$A19),_xll.BDH(config!$G$5,R$1,$A19,$A19))))</f>
        <v>24.03</v>
      </c>
      <c r="S19" s="8" t="str">
        <f>IF($A19="","",IF(ISNUMBER(FIND("IMPVOL",S$1)),_xll.BDH(config!$G$4,S$1,WORKDAY($A19,-1,config_Holiday_Calendar_US),WORKDAY($A19,-1,config_Holiday_Calendar_US)),IF(ISNUMBER(_xll.BDH(config!$G$4,S$1,$A19,$A19)),_xll.BDH(config!$G$4,S$1,$A19,$A19),_xll.BDH(config!$G$5,S$1,$A19,$A19))))</f>
        <v>#N/A Requesting Data...</v>
      </c>
      <c r="T19" s="8" t="str">
        <f>IF($A19="","",IF(ISNUMBER(FIND("IMPVOL",T$1)),_xll.BDH(config!$G$4,T$1,WORKDAY($A19,-1,config_Holiday_Calendar_US),WORKDAY($A19,-1,config_Holiday_Calendar_US)),IF(ISNUMBER(_xll.BDH(config!$G$4,T$1,$A19,$A19)),_xll.BDH(config!$G$4,T$1,$A19,$A19),_xll.BDH(config!$G$5,T$1,$A19,$A19))))</f>
        <v>#N/A Requesting Data...</v>
      </c>
      <c r="U19" s="8" t="str">
        <f>IF($A19="","",IF(ISNUMBER(FIND("IMPVOL",U$1)),_xll.BDH(config!$G$4,U$1,WORKDAY($A19,-1,config_Holiday_Calendar_US),WORKDAY($A19,-1,config_Holiday_Calendar_US)),IF(ISNUMBER(_xll.BDH(config!$G$4,U$1,$A19,$A19)),_xll.BDH(config!$G$4,U$1,$A19,$A19),_xll.BDH(config!$G$5,U$1,$A19,$A19))))</f>
        <v>#N/A Requesting Data...</v>
      </c>
      <c r="V19" s="8" t="str">
        <f>IF($A19="","",IF(ISNUMBER(FIND("IMPVOL",V$1)),_xll.BDH(config!$G$4,V$1,WORKDAY($A19,-1,config_Holiday_Calendar_US),WORKDAY($A19,-1,config_Holiday_Calendar_US)),IF(ISNUMBER(_xll.BDH(config!$G$4,V$1,$A19,$A19)),_xll.BDH(config!$G$4,V$1,$A19,$A19),_xll.BDH(config!$G$5,V$1,$A19,$A19))))</f>
        <v>#N/A Requesting Data...</v>
      </c>
      <c r="W19" s="8" t="str">
        <f>IF($A19="","",IF(ISNUMBER(FIND("IMPVOL",W$1)),_xll.BDH(config!$G$4,W$1,WORKDAY($A19,-1,config_Holiday_Calendar_US),WORKDAY($A19,-1,config_Holiday_Calendar_US)),IF(ISNUMBER(_xll.BDH(config!$G$4,W$1,$A19,$A19)),_xll.BDH(config!$G$4,W$1,$A19,$A19),_xll.BDH(config!$G$5,W$1,$A19,$A19))))</f>
        <v>#N/A Requesting Data...</v>
      </c>
    </row>
    <row r="20" spans="1:23" x14ac:dyDescent="0.2">
      <c r="A20" s="9">
        <f>IF(A19="","",IF(WORKDAY(A19,-1,config_Holiday_Calendar_US)&lt;config!$I$10,"",WORKDAY(A19,-1,config_Holiday_Calendar_US)))</f>
        <v>42809</v>
      </c>
      <c r="B20" s="8" t="e">
        <f t="shared" si="0"/>
        <v>#VALUE!</v>
      </c>
      <c r="C20" s="8" t="str">
        <f>IF(A20="","",_xll.BDH(config!$H$4,C$1,$A20,$A20))</f>
        <v>#N/A Requesting Data...</v>
      </c>
      <c r="D20" s="8" t="str">
        <f>IF($A20="","",_xll.BDH(config!$H$4,D$1,$A20,$A20))</f>
        <v>#N/A Requesting Data...</v>
      </c>
      <c r="E20" s="8">
        <f>IF($A20="","",IF(ISNUMBER(FIND("IMPVOL",E$1)),_xll.BDH(config!$G$4,E$1,WORKDAY($A20,-1,config_Holiday_Calendar_US),WORKDAY($A20,-1,config_Holiday_Calendar_US)),IF(ISNUMBER(_xll.BDH(config!$G$4,E$1,$A20,$A20)),_xll.BDH(config!$G$4,E$1,$A20,$A20),_xll.BDH(config!$G$5,E$1,$A20,$A20))))</f>
        <v>49.22</v>
      </c>
      <c r="F20" s="8">
        <f>IF($A20="","",IF(ISNUMBER(FIND("IMPVOL",F$1)),_xll.BDH(config!$G$4,F$1,WORKDAY($A20,-1,config_Holiday_Calendar_US),WORKDAY($A20,-1,config_Holiday_Calendar_US)),IF(ISNUMBER(_xll.BDH(config!$G$4,F$1,$A20,$A20)),_xll.BDH(config!$G$4,F$1,$A20,$A20),_xll.BDH(config!$G$5,F$1,$A20,$A20))))</f>
        <v>49.58</v>
      </c>
      <c r="G20" s="8">
        <f>IF($A20="","",IF(ISNUMBER(FIND("IMPVOL",G$1)),_xll.BDH(config!$G$4,G$1,WORKDAY($A20,-1,config_Holiday_Calendar_US),WORKDAY($A20,-1,config_Holiday_Calendar_US)),IF(ISNUMBER(_xll.BDH(config!$G$4,G$1,$A20,$A20)),_xll.BDH(config!$G$4,G$1,$A20,$A20),_xll.BDH(config!$G$5,G$1,$A20,$A20))))</f>
        <v>48.78</v>
      </c>
      <c r="H20" s="8">
        <f>IF($A20="","",IF(ISNUMBER(FIND("IMPVOL",H$1)),_xll.BDH(config!$G$4,H$1,WORKDAY($A20,-1,config_Holiday_Calendar_US),WORKDAY($A20,-1,config_Holiday_Calendar_US)),IF(ISNUMBER(_xll.BDH(config!$G$4,H$1,$A20,$A20)),_xll.BDH(config!$G$4,H$1,$A20,$A20),_xll.BDH(config!$G$5,H$1,$A20,$A20))))</f>
        <v>388673</v>
      </c>
      <c r="I20" s="8" t="str">
        <f>IF($A20="","",IF(ISNUMBER(FIND("IMPVOL",I$1)),_xll.BDH(config!$G$4,I$1,WORKDAY($A20,-1,config_Holiday_Calendar_US),WORKDAY($A20,-1,config_Holiday_Calendar_US)),IF(ISNUMBER(_xll.BDH(config!$G$4,I$1,$A20,$A20)),_xll.BDH(config!$G$4,I$1,$A20,$A20),_xll.BDH(config!$G$5,I$1,$A20,$A20))))</f>
        <v>#N/A Requesting Data...</v>
      </c>
      <c r="J20" s="8" t="str">
        <f>IF($A20="","",IF(ISNUMBER(FIND("IMPVOL",J$1)),_xll.BDH(config!$G$4,J$1,WORKDAY($A20,-1,config_Holiday_Calendar_US),WORKDAY($A20,-1,config_Holiday_Calendar_US)),IF(ISNUMBER(_xll.BDH(config!$G$4,J$1,$A20,$A20)),_xll.BDH(config!$G$4,J$1,$A20,$A20),_xll.BDH(config!$G$5,J$1,$A20,$A20))))</f>
        <v>#N/A Requesting Data...</v>
      </c>
      <c r="K20" s="8" t="str">
        <f>IF($A20="","",IF(ISNUMBER(FIND("IMPVOL",K$1)),_xll.BDH(config!$G$4,K$1,WORKDAY($A20,-1,config_Holiday_Calendar_US),WORKDAY($A20,-1,config_Holiday_Calendar_US)),IF(ISNUMBER(_xll.BDH(config!$G$4,K$1,$A20,$A20)),_xll.BDH(config!$G$4,K$1,$A20,$A20),_xll.BDH(config!$G$5,K$1,$A20,$A20))))</f>
        <v>#N/A Requesting Data...</v>
      </c>
      <c r="L20" s="8" t="str">
        <f>IF($A20="","",IF(ISNUMBER(FIND("IMPVOL",L$1)),_xll.BDH(config!$G$4,L$1,WORKDAY($A20,-1,config_Holiday_Calendar_US),WORKDAY($A20,-1,config_Holiday_Calendar_US)),IF(ISNUMBER(_xll.BDH(config!$G$4,L$1,$A20,$A20)),_xll.BDH(config!$G$4,L$1,$A20,$A20),_xll.BDH(config!$G$5,L$1,$A20,$A20))))</f>
        <v>#N/A Requesting Data...</v>
      </c>
      <c r="M20" s="8" t="str">
        <f>IF($A20="","",IF(ISNUMBER(FIND("IMPVOL",M$1)),_xll.BDH(config!$G$4,M$1,WORKDAY($A20,-1,config_Holiday_Calendar_US),WORKDAY($A20,-1,config_Holiday_Calendar_US)),IF(ISNUMBER(_xll.BDH(config!$G$4,M$1,$A20,$A20)),_xll.BDH(config!$G$4,M$1,$A20,$A20),_xll.BDH(config!$G$5,M$1,$A20,$A20))))</f>
        <v>#N/A Requesting Data...</v>
      </c>
      <c r="N20" s="8" t="str">
        <f>IF($A20="","",IF(ISNUMBER(FIND("IMPVOL",N$1)),_xll.BDH(config!$G$4,N$1,WORKDAY($A20,-1,config_Holiday_Calendar_US),WORKDAY($A20,-1,config_Holiday_Calendar_US)),IF(ISNUMBER(_xll.BDH(config!$G$4,N$1,$A20,$A20)),_xll.BDH(config!$G$4,N$1,$A20,$A20),_xll.BDH(config!$G$5,N$1,$A20,$A20))))</f>
        <v>#N/A Requesting Data...</v>
      </c>
      <c r="O20" s="8" t="str">
        <f>IF($A20="","",IF(ISNUMBER(FIND("IMPVOL",O$1)),_xll.BDH(config!$G$4,O$1,WORKDAY($A20,-1,config_Holiday_Calendar_US),WORKDAY($A20,-1,config_Holiday_Calendar_US)),IF(ISNUMBER(_xll.BDH(config!$G$4,O$1,$A20,$A20)),_xll.BDH(config!$G$4,O$1,$A20,$A20),_xll.BDH(config!$G$5,O$1,$A20,$A20))))</f>
        <v>#N/A Requesting Data...</v>
      </c>
      <c r="P20" s="8" t="str">
        <f>IF($A20="","",IF(ISNUMBER(FIND("IMPVOL",P$1)),_xll.BDH(config!$G$4,P$1,WORKDAY($A20,-1,config_Holiday_Calendar_US),WORKDAY($A20,-1,config_Holiday_Calendar_US)),IF(ISNUMBER(_xll.BDH(config!$G$4,P$1,$A20,$A20)),_xll.BDH(config!$G$4,P$1,$A20,$A20),_xll.BDH(config!$G$5,P$1,$A20,$A20))))</f>
        <v>#N/A Requesting Data...</v>
      </c>
      <c r="Q20" s="8">
        <f>IF($A20="","",IF(ISNUMBER(FIND("IMPVOL",Q$1)),_xll.BDH(config!$G$4,Q$1,WORKDAY($A20,-1,config_Holiday_Calendar_US),WORKDAY($A20,-1,config_Holiday_Calendar_US)),IF(ISNUMBER(_xll.BDH(config!$G$4,Q$1,$A20,$A20)),_xll.BDH(config!$G$4,Q$1,$A20,$A20),_xll.BDH(config!$G$5,Q$1,$A20,$A20))))</f>
        <v>34.909999999999997</v>
      </c>
      <c r="R20" s="8">
        <f>IF($A20="","",IF(ISNUMBER(FIND("IMPVOL",R$1)),_xll.BDH(config!$G$4,R$1,WORKDAY($A20,-1,config_Holiday_Calendar_US),WORKDAY($A20,-1,config_Holiday_Calendar_US)),IF(ISNUMBER(_xll.BDH(config!$G$4,R$1,$A20,$A20)),_xll.BDH(config!$G$4,R$1,$A20,$A20),_xll.BDH(config!$G$5,R$1,$A20,$A20))))</f>
        <v>24.04</v>
      </c>
      <c r="S20" s="8" t="str">
        <f>IF($A20="","",IF(ISNUMBER(FIND("IMPVOL",S$1)),_xll.BDH(config!$G$4,S$1,WORKDAY($A20,-1,config_Holiday_Calendar_US),WORKDAY($A20,-1,config_Holiday_Calendar_US)),IF(ISNUMBER(_xll.BDH(config!$G$4,S$1,$A20,$A20)),_xll.BDH(config!$G$4,S$1,$A20,$A20),_xll.BDH(config!$G$5,S$1,$A20,$A20))))</f>
        <v>#N/A Requesting Data...</v>
      </c>
      <c r="T20" s="8" t="str">
        <f>IF($A20="","",IF(ISNUMBER(FIND("IMPVOL",T$1)),_xll.BDH(config!$G$4,T$1,WORKDAY($A20,-1,config_Holiday_Calendar_US),WORKDAY($A20,-1,config_Holiday_Calendar_US)),IF(ISNUMBER(_xll.BDH(config!$G$4,T$1,$A20,$A20)),_xll.BDH(config!$G$4,T$1,$A20,$A20),_xll.BDH(config!$G$5,T$1,$A20,$A20))))</f>
        <v>#N/A Requesting Data...</v>
      </c>
      <c r="U20" s="8" t="str">
        <f>IF($A20="","",IF(ISNUMBER(FIND("IMPVOL",U$1)),_xll.BDH(config!$G$4,U$1,WORKDAY($A20,-1,config_Holiday_Calendar_US),WORKDAY($A20,-1,config_Holiday_Calendar_US)),IF(ISNUMBER(_xll.BDH(config!$G$4,U$1,$A20,$A20)),_xll.BDH(config!$G$4,U$1,$A20,$A20),_xll.BDH(config!$G$5,U$1,$A20,$A20))))</f>
        <v>#N/A Requesting Data...</v>
      </c>
      <c r="V20" s="8" t="str">
        <f>IF($A20="","",IF(ISNUMBER(FIND("IMPVOL",V$1)),_xll.BDH(config!$G$4,V$1,WORKDAY($A20,-1,config_Holiday_Calendar_US),WORKDAY($A20,-1,config_Holiday_Calendar_US)),IF(ISNUMBER(_xll.BDH(config!$G$4,V$1,$A20,$A20)),_xll.BDH(config!$G$4,V$1,$A20,$A20),_xll.BDH(config!$G$5,V$1,$A20,$A20))))</f>
        <v>#N/A Requesting Data...</v>
      </c>
      <c r="W20" s="8" t="str">
        <f>IF($A20="","",IF(ISNUMBER(FIND("IMPVOL",W$1)),_xll.BDH(config!$G$4,W$1,WORKDAY($A20,-1,config_Holiday_Calendar_US),WORKDAY($A20,-1,config_Holiday_Calendar_US)),IF(ISNUMBER(_xll.BDH(config!$G$4,W$1,$A20,$A20)),_xll.BDH(config!$G$4,W$1,$A20,$A20),_xll.BDH(config!$G$5,W$1,$A20,$A20))))</f>
        <v>#N/A Requesting Data...</v>
      </c>
    </row>
    <row r="21" spans="1:23" x14ac:dyDescent="0.2">
      <c r="A21" s="9">
        <f>IF(A20="","",IF(WORKDAY(A20,-1,config_Holiday_Calendar_US)&lt;config!$I$10,"",WORKDAY(A20,-1,config_Holiday_Calendar_US)))</f>
        <v>42808</v>
      </c>
      <c r="B21" s="8" t="e">
        <f t="shared" si="0"/>
        <v>#VALUE!</v>
      </c>
      <c r="C21" s="8" t="str">
        <f>IF(A21="","",_xll.BDH(config!$H$4,C$1,$A21,$A21))</f>
        <v>#N/A Requesting Data...</v>
      </c>
      <c r="D21" s="8" t="str">
        <f>IF($A21="","",_xll.BDH(config!$H$4,D$1,$A21,$A21))</f>
        <v>#N/A Requesting Data...</v>
      </c>
      <c r="E21" s="8">
        <f>IF($A21="","",IF(ISNUMBER(FIND("IMPVOL",E$1)),_xll.BDH(config!$G$4,E$1,WORKDAY($A21,-1,config_Holiday_Calendar_US),WORKDAY($A21,-1,config_Holiday_Calendar_US)),IF(ISNUMBER(_xll.BDH(config!$G$4,E$1,$A21,$A21)),_xll.BDH(config!$G$4,E$1,$A21,$A21),_xll.BDH(config!$G$5,E$1,$A21,$A21))))</f>
        <v>49</v>
      </c>
      <c r="F21" s="8">
        <f>IF($A21="","",IF(ISNUMBER(FIND("IMPVOL",F$1)),_xll.BDH(config!$G$4,F$1,WORKDAY($A21,-1,config_Holiday_Calendar_US),WORKDAY($A21,-1,config_Holiday_Calendar_US)),IF(ISNUMBER(_xll.BDH(config!$G$4,F$1,$A21,$A21)),_xll.BDH(config!$G$4,F$1,$A21,$A21),_xll.BDH(config!$G$5,F$1,$A21,$A21))))</f>
        <v>49.36</v>
      </c>
      <c r="G21" s="8">
        <f>IF($A21="","",IF(ISNUMBER(FIND("IMPVOL",G$1)),_xll.BDH(config!$G$4,G$1,WORKDAY($A21,-1,config_Holiday_Calendar_US),WORKDAY($A21,-1,config_Holiday_Calendar_US)),IF(ISNUMBER(_xll.BDH(config!$G$4,G$1,$A21,$A21)),_xll.BDH(config!$G$4,G$1,$A21,$A21),_xll.BDH(config!$G$5,G$1,$A21,$A21))))</f>
        <v>47.71</v>
      </c>
      <c r="H21" s="8">
        <f>IF($A21="","",IF(ISNUMBER(FIND("IMPVOL",H$1)),_xll.BDH(config!$G$4,H$1,WORKDAY($A21,-1,config_Holiday_Calendar_US),WORKDAY($A21,-1,config_Holiday_Calendar_US)),IF(ISNUMBER(_xll.BDH(config!$G$4,H$1,$A21,$A21)),_xll.BDH(config!$G$4,H$1,$A21,$A21),_xll.BDH(config!$G$5,H$1,$A21,$A21))))</f>
        <v>393761</v>
      </c>
      <c r="I21" s="8" t="str">
        <f>IF($A21="","",IF(ISNUMBER(FIND("IMPVOL",I$1)),_xll.BDH(config!$G$4,I$1,WORKDAY($A21,-1,config_Holiday_Calendar_US),WORKDAY($A21,-1,config_Holiday_Calendar_US)),IF(ISNUMBER(_xll.BDH(config!$G$4,I$1,$A21,$A21)),_xll.BDH(config!$G$4,I$1,$A21,$A21),_xll.BDH(config!$G$5,I$1,$A21,$A21))))</f>
        <v>#N/A Requesting Data...</v>
      </c>
      <c r="J21" s="8" t="str">
        <f>IF($A21="","",IF(ISNUMBER(FIND("IMPVOL",J$1)),_xll.BDH(config!$G$4,J$1,WORKDAY($A21,-1,config_Holiday_Calendar_US),WORKDAY($A21,-1,config_Holiday_Calendar_US)),IF(ISNUMBER(_xll.BDH(config!$G$4,J$1,$A21,$A21)),_xll.BDH(config!$G$4,J$1,$A21,$A21),_xll.BDH(config!$G$5,J$1,$A21,$A21))))</f>
        <v>#N/A Requesting Data...</v>
      </c>
      <c r="K21" s="8" t="str">
        <f>IF($A21="","",IF(ISNUMBER(FIND("IMPVOL",K$1)),_xll.BDH(config!$G$4,K$1,WORKDAY($A21,-1,config_Holiday_Calendar_US),WORKDAY($A21,-1,config_Holiday_Calendar_US)),IF(ISNUMBER(_xll.BDH(config!$G$4,K$1,$A21,$A21)),_xll.BDH(config!$G$4,K$1,$A21,$A21),_xll.BDH(config!$G$5,K$1,$A21,$A21))))</f>
        <v>#N/A Requesting Data...</v>
      </c>
      <c r="L21" s="8" t="str">
        <f>IF($A21="","",IF(ISNUMBER(FIND("IMPVOL",L$1)),_xll.BDH(config!$G$4,L$1,WORKDAY($A21,-1,config_Holiday_Calendar_US),WORKDAY($A21,-1,config_Holiday_Calendar_US)),IF(ISNUMBER(_xll.BDH(config!$G$4,L$1,$A21,$A21)),_xll.BDH(config!$G$4,L$1,$A21,$A21),_xll.BDH(config!$G$5,L$1,$A21,$A21))))</f>
        <v>#N/A Requesting Data...</v>
      </c>
      <c r="M21" s="8" t="str">
        <f>IF($A21="","",IF(ISNUMBER(FIND("IMPVOL",M$1)),_xll.BDH(config!$G$4,M$1,WORKDAY($A21,-1,config_Holiday_Calendar_US),WORKDAY($A21,-1,config_Holiday_Calendar_US)),IF(ISNUMBER(_xll.BDH(config!$G$4,M$1,$A21,$A21)),_xll.BDH(config!$G$4,M$1,$A21,$A21),_xll.BDH(config!$G$5,M$1,$A21,$A21))))</f>
        <v>#N/A Requesting Data...</v>
      </c>
      <c r="N21" s="8" t="str">
        <f>IF($A21="","",IF(ISNUMBER(FIND("IMPVOL",N$1)),_xll.BDH(config!$G$4,N$1,WORKDAY($A21,-1,config_Holiday_Calendar_US),WORKDAY($A21,-1,config_Holiday_Calendar_US)),IF(ISNUMBER(_xll.BDH(config!$G$4,N$1,$A21,$A21)),_xll.BDH(config!$G$4,N$1,$A21,$A21),_xll.BDH(config!$G$5,N$1,$A21,$A21))))</f>
        <v>#N/A Requesting Data...</v>
      </c>
      <c r="O21" s="8" t="str">
        <f>IF($A21="","",IF(ISNUMBER(FIND("IMPVOL",O$1)),_xll.BDH(config!$G$4,O$1,WORKDAY($A21,-1,config_Holiday_Calendar_US),WORKDAY($A21,-1,config_Holiday_Calendar_US)),IF(ISNUMBER(_xll.BDH(config!$G$4,O$1,$A21,$A21)),_xll.BDH(config!$G$4,O$1,$A21,$A21),_xll.BDH(config!$G$5,O$1,$A21,$A21))))</f>
        <v>#N/A Requesting Data...</v>
      </c>
      <c r="P21" s="8" t="str">
        <f>IF($A21="","",IF(ISNUMBER(FIND("IMPVOL",P$1)),_xll.BDH(config!$G$4,P$1,WORKDAY($A21,-1,config_Holiday_Calendar_US),WORKDAY($A21,-1,config_Holiday_Calendar_US)),IF(ISNUMBER(_xll.BDH(config!$G$4,P$1,$A21,$A21)),_xll.BDH(config!$G$4,P$1,$A21,$A21),_xll.BDH(config!$G$5,P$1,$A21,$A21))))</f>
        <v>#N/A Requesting Data...</v>
      </c>
      <c r="Q21" s="8">
        <f>IF($A21="","",IF(ISNUMBER(FIND("IMPVOL",Q$1)),_xll.BDH(config!$G$4,Q$1,WORKDAY($A21,-1,config_Holiday_Calendar_US),WORKDAY($A21,-1,config_Holiday_Calendar_US)),IF(ISNUMBER(_xll.BDH(config!$G$4,Q$1,$A21,$A21)),_xll.BDH(config!$G$4,Q$1,$A21,$A21),_xll.BDH(config!$G$5,Q$1,$A21,$A21))))</f>
        <v>30.72</v>
      </c>
      <c r="R21" s="8">
        <f>IF($A21="","",IF(ISNUMBER(FIND("IMPVOL",R$1)),_xll.BDH(config!$G$4,R$1,WORKDAY($A21,-1,config_Holiday_Calendar_US),WORKDAY($A21,-1,config_Holiday_Calendar_US)),IF(ISNUMBER(_xll.BDH(config!$G$4,R$1,$A21,$A21)),_xll.BDH(config!$G$4,R$1,$A21,$A21),_xll.BDH(config!$G$5,R$1,$A21,$A21))))</f>
        <v>23.92</v>
      </c>
      <c r="S21" s="8" t="str">
        <f>IF($A21="","",IF(ISNUMBER(FIND("IMPVOL",S$1)),_xll.BDH(config!$G$4,S$1,WORKDAY($A21,-1,config_Holiday_Calendar_US),WORKDAY($A21,-1,config_Holiday_Calendar_US)),IF(ISNUMBER(_xll.BDH(config!$G$4,S$1,$A21,$A21)),_xll.BDH(config!$G$4,S$1,$A21,$A21),_xll.BDH(config!$G$5,S$1,$A21,$A21))))</f>
        <v>#N/A Requesting Data...</v>
      </c>
      <c r="T21" s="8" t="str">
        <f>IF($A21="","",IF(ISNUMBER(FIND("IMPVOL",T$1)),_xll.BDH(config!$G$4,T$1,WORKDAY($A21,-1,config_Holiday_Calendar_US),WORKDAY($A21,-1,config_Holiday_Calendar_US)),IF(ISNUMBER(_xll.BDH(config!$G$4,T$1,$A21,$A21)),_xll.BDH(config!$G$4,T$1,$A21,$A21),_xll.BDH(config!$G$5,T$1,$A21,$A21))))</f>
        <v>#N/A Requesting Data...</v>
      </c>
      <c r="U21" s="8" t="str">
        <f>IF($A21="","",IF(ISNUMBER(FIND("IMPVOL",U$1)),_xll.BDH(config!$G$4,U$1,WORKDAY($A21,-1,config_Holiday_Calendar_US),WORKDAY($A21,-1,config_Holiday_Calendar_US)),IF(ISNUMBER(_xll.BDH(config!$G$4,U$1,$A21,$A21)),_xll.BDH(config!$G$4,U$1,$A21,$A21),_xll.BDH(config!$G$5,U$1,$A21,$A21))))</f>
        <v>#N/A Requesting Data...</v>
      </c>
      <c r="V21" s="8" t="str">
        <f>IF($A21="","",IF(ISNUMBER(FIND("IMPVOL",V$1)),_xll.BDH(config!$G$4,V$1,WORKDAY($A21,-1,config_Holiday_Calendar_US),WORKDAY($A21,-1,config_Holiday_Calendar_US)),IF(ISNUMBER(_xll.BDH(config!$G$4,V$1,$A21,$A21)),_xll.BDH(config!$G$4,V$1,$A21,$A21),_xll.BDH(config!$G$5,V$1,$A21,$A21))))</f>
        <v>#N/A Requesting Data...</v>
      </c>
      <c r="W21" s="8" t="str">
        <f>IF($A21="","",IF(ISNUMBER(FIND("IMPVOL",W$1)),_xll.BDH(config!$G$4,W$1,WORKDAY($A21,-1,config_Holiday_Calendar_US),WORKDAY($A21,-1,config_Holiday_Calendar_US)),IF(ISNUMBER(_xll.BDH(config!$G$4,W$1,$A21,$A21)),_xll.BDH(config!$G$4,W$1,$A21,$A21),_xll.BDH(config!$G$5,W$1,$A21,$A21))))</f>
        <v>#N/A Requesting Data...</v>
      </c>
    </row>
    <row r="22" spans="1:23" x14ac:dyDescent="0.2">
      <c r="A22" s="9">
        <f>IF(A21="","",IF(WORKDAY(A21,-1,config_Holiday_Calendar_US)&lt;config!$I$10,"",WORKDAY(A21,-1,config_Holiday_Calendar_US)))</f>
        <v>42807</v>
      </c>
      <c r="B22" s="8" t="e">
        <f t="shared" si="0"/>
        <v>#VALUE!</v>
      </c>
      <c r="C22" s="8" t="str">
        <f>IF(A22="","",_xll.BDH(config!$H$4,C$1,$A22,$A22))</f>
        <v>#N/A Requesting Data...</v>
      </c>
      <c r="D22" s="8" t="str">
        <f>IF($A22="","",_xll.BDH(config!$H$4,D$1,$A22,$A22))</f>
        <v>#N/A Requesting Data...</v>
      </c>
      <c r="E22" s="8">
        <f>IF($A22="","",IF(ISNUMBER(FIND("IMPVOL",E$1)),_xll.BDH(config!$G$4,E$1,WORKDAY($A22,-1,config_Holiday_Calendar_US),WORKDAY($A22,-1,config_Holiday_Calendar_US)),IF(ISNUMBER(_xll.BDH(config!$G$4,E$1,$A22,$A22)),_xll.BDH(config!$G$4,E$1,$A22,$A22),_xll.BDH(config!$G$5,E$1,$A22,$A22))))</f>
        <v>49</v>
      </c>
      <c r="F22" s="8">
        <f>IF($A22="","",IF(ISNUMBER(FIND("IMPVOL",F$1)),_xll.BDH(config!$G$4,F$1,WORKDAY($A22,-1,config_Holiday_Calendar_US),WORKDAY($A22,-1,config_Holiday_Calendar_US)),IF(ISNUMBER(_xll.BDH(config!$G$4,F$1,$A22,$A22)),_xll.BDH(config!$G$4,F$1,$A22,$A22),_xll.BDH(config!$G$5,F$1,$A22,$A22))))</f>
        <v>49.25</v>
      </c>
      <c r="G22" s="8">
        <f>IF($A22="","",IF(ISNUMBER(FIND("IMPVOL",G$1)),_xll.BDH(config!$G$4,G$1,WORKDAY($A22,-1,config_Holiday_Calendar_US),WORKDAY($A22,-1,config_Holiday_Calendar_US)),IF(ISNUMBER(_xll.BDH(config!$G$4,G$1,$A22,$A22)),_xll.BDH(config!$G$4,G$1,$A22,$A22),_xll.BDH(config!$G$5,G$1,$A22,$A22))))</f>
        <v>48.45</v>
      </c>
      <c r="H22" s="8">
        <f>IF($A22="","",IF(ISNUMBER(FIND("IMPVOL",H$1)),_xll.BDH(config!$G$4,H$1,WORKDAY($A22,-1,config_Holiday_Calendar_US),WORKDAY($A22,-1,config_Holiday_Calendar_US)),IF(ISNUMBER(_xll.BDH(config!$G$4,H$1,$A22,$A22)),_xll.BDH(config!$G$4,H$1,$A22,$A22),_xll.BDH(config!$G$5,H$1,$A22,$A22))))</f>
        <v>254113</v>
      </c>
      <c r="I22" s="8" t="str">
        <f>IF($A22="","",IF(ISNUMBER(FIND("IMPVOL",I$1)),_xll.BDH(config!$G$4,I$1,WORKDAY($A22,-1,config_Holiday_Calendar_US),WORKDAY($A22,-1,config_Holiday_Calendar_US)),IF(ISNUMBER(_xll.BDH(config!$G$4,I$1,$A22,$A22)),_xll.BDH(config!$G$4,I$1,$A22,$A22),_xll.BDH(config!$G$5,I$1,$A22,$A22))))</f>
        <v>#N/A Requesting Data...</v>
      </c>
      <c r="J22" s="8" t="str">
        <f>IF($A22="","",IF(ISNUMBER(FIND("IMPVOL",J$1)),_xll.BDH(config!$G$4,J$1,WORKDAY($A22,-1,config_Holiday_Calendar_US),WORKDAY($A22,-1,config_Holiday_Calendar_US)),IF(ISNUMBER(_xll.BDH(config!$G$4,J$1,$A22,$A22)),_xll.BDH(config!$G$4,J$1,$A22,$A22),_xll.BDH(config!$G$5,J$1,$A22,$A22))))</f>
        <v>#N/A Requesting Data...</v>
      </c>
      <c r="K22" s="8" t="str">
        <f>IF($A22="","",IF(ISNUMBER(FIND("IMPVOL",K$1)),_xll.BDH(config!$G$4,K$1,WORKDAY($A22,-1,config_Holiday_Calendar_US),WORKDAY($A22,-1,config_Holiday_Calendar_US)),IF(ISNUMBER(_xll.BDH(config!$G$4,K$1,$A22,$A22)),_xll.BDH(config!$G$4,K$1,$A22,$A22),_xll.BDH(config!$G$5,K$1,$A22,$A22))))</f>
        <v>#N/A Requesting Data...</v>
      </c>
      <c r="L22" s="8" t="str">
        <f>IF($A22="","",IF(ISNUMBER(FIND("IMPVOL",L$1)),_xll.BDH(config!$G$4,L$1,WORKDAY($A22,-1,config_Holiday_Calendar_US),WORKDAY($A22,-1,config_Holiday_Calendar_US)),IF(ISNUMBER(_xll.BDH(config!$G$4,L$1,$A22,$A22)),_xll.BDH(config!$G$4,L$1,$A22,$A22),_xll.BDH(config!$G$5,L$1,$A22,$A22))))</f>
        <v>#N/A Requesting Data...</v>
      </c>
      <c r="M22" s="8" t="str">
        <f>IF($A22="","",IF(ISNUMBER(FIND("IMPVOL",M$1)),_xll.BDH(config!$G$4,M$1,WORKDAY($A22,-1,config_Holiday_Calendar_US),WORKDAY($A22,-1,config_Holiday_Calendar_US)),IF(ISNUMBER(_xll.BDH(config!$G$4,M$1,$A22,$A22)),_xll.BDH(config!$G$4,M$1,$A22,$A22),_xll.BDH(config!$G$5,M$1,$A22,$A22))))</f>
        <v>#N/A Requesting Data...</v>
      </c>
      <c r="N22" s="8" t="str">
        <f>IF($A22="","",IF(ISNUMBER(FIND("IMPVOL",N$1)),_xll.BDH(config!$G$4,N$1,WORKDAY($A22,-1,config_Holiday_Calendar_US),WORKDAY($A22,-1,config_Holiday_Calendar_US)),IF(ISNUMBER(_xll.BDH(config!$G$4,N$1,$A22,$A22)),_xll.BDH(config!$G$4,N$1,$A22,$A22),_xll.BDH(config!$G$5,N$1,$A22,$A22))))</f>
        <v>#N/A Requesting Data...</v>
      </c>
      <c r="O22" s="8" t="str">
        <f>IF($A22="","",IF(ISNUMBER(FIND("IMPVOL",O$1)),_xll.BDH(config!$G$4,O$1,WORKDAY($A22,-1,config_Holiday_Calendar_US),WORKDAY($A22,-1,config_Holiday_Calendar_US)),IF(ISNUMBER(_xll.BDH(config!$G$4,O$1,$A22,$A22)),_xll.BDH(config!$G$4,O$1,$A22,$A22),_xll.BDH(config!$G$5,O$1,$A22,$A22))))</f>
        <v>#N/A Requesting Data...</v>
      </c>
      <c r="P22" s="8" t="str">
        <f>IF($A22="","",IF(ISNUMBER(FIND("IMPVOL",P$1)),_xll.BDH(config!$G$4,P$1,WORKDAY($A22,-1,config_Holiday_Calendar_US),WORKDAY($A22,-1,config_Holiday_Calendar_US)),IF(ISNUMBER(_xll.BDH(config!$G$4,P$1,$A22,$A22)),_xll.BDH(config!$G$4,P$1,$A22,$A22),_xll.BDH(config!$G$5,P$1,$A22,$A22))))</f>
        <v>#N/A Requesting Data...</v>
      </c>
      <c r="Q22" s="8">
        <f>IF($A22="","",IF(ISNUMBER(FIND("IMPVOL",Q$1)),_xll.BDH(config!$G$4,Q$1,WORKDAY($A22,-1,config_Holiday_Calendar_US),WORKDAY($A22,-1,config_Holiday_Calendar_US)),IF(ISNUMBER(_xll.BDH(config!$G$4,Q$1,$A22,$A22)),_xll.BDH(config!$G$4,Q$1,$A22,$A22),_xll.BDH(config!$G$5,Q$1,$A22,$A22))))</f>
        <v>31.2</v>
      </c>
      <c r="R22" s="8">
        <f>IF($A22="","",IF(ISNUMBER(FIND("IMPVOL",R$1)),_xll.BDH(config!$G$4,R$1,WORKDAY($A22,-1,config_Holiday_Calendar_US),WORKDAY($A22,-1,config_Holiday_Calendar_US)),IF(ISNUMBER(_xll.BDH(config!$G$4,R$1,$A22,$A22)),_xll.BDH(config!$G$4,R$1,$A22,$A22),_xll.BDH(config!$G$5,R$1,$A22,$A22))))</f>
        <v>23.85</v>
      </c>
      <c r="S22" s="8" t="str">
        <f>IF($A22="","",IF(ISNUMBER(FIND("IMPVOL",S$1)),_xll.BDH(config!$G$4,S$1,WORKDAY($A22,-1,config_Holiday_Calendar_US),WORKDAY($A22,-1,config_Holiday_Calendar_US)),IF(ISNUMBER(_xll.BDH(config!$G$4,S$1,$A22,$A22)),_xll.BDH(config!$G$4,S$1,$A22,$A22),_xll.BDH(config!$G$5,S$1,$A22,$A22))))</f>
        <v>#N/A Requesting Data...</v>
      </c>
      <c r="T22" s="8" t="str">
        <f>IF($A22="","",IF(ISNUMBER(FIND("IMPVOL",T$1)),_xll.BDH(config!$G$4,T$1,WORKDAY($A22,-1,config_Holiday_Calendar_US),WORKDAY($A22,-1,config_Holiday_Calendar_US)),IF(ISNUMBER(_xll.BDH(config!$G$4,T$1,$A22,$A22)),_xll.BDH(config!$G$4,T$1,$A22,$A22),_xll.BDH(config!$G$5,T$1,$A22,$A22))))</f>
        <v>#N/A Requesting Data...</v>
      </c>
      <c r="U22" s="8" t="str">
        <f>IF($A22="","",IF(ISNUMBER(FIND("IMPVOL",U$1)),_xll.BDH(config!$G$4,U$1,WORKDAY($A22,-1,config_Holiday_Calendar_US),WORKDAY($A22,-1,config_Holiday_Calendar_US)),IF(ISNUMBER(_xll.BDH(config!$G$4,U$1,$A22,$A22)),_xll.BDH(config!$G$4,U$1,$A22,$A22),_xll.BDH(config!$G$5,U$1,$A22,$A22))))</f>
        <v>#N/A Requesting Data...</v>
      </c>
      <c r="V22" s="8" t="str">
        <f>IF($A22="","",IF(ISNUMBER(FIND("IMPVOL",V$1)),_xll.BDH(config!$G$4,V$1,WORKDAY($A22,-1,config_Holiday_Calendar_US),WORKDAY($A22,-1,config_Holiday_Calendar_US)),IF(ISNUMBER(_xll.BDH(config!$G$4,V$1,$A22,$A22)),_xll.BDH(config!$G$4,V$1,$A22,$A22),_xll.BDH(config!$G$5,V$1,$A22,$A22))))</f>
        <v>#N/A Requesting Data...</v>
      </c>
      <c r="W22" s="8" t="str">
        <f>IF($A22="","",IF(ISNUMBER(FIND("IMPVOL",W$1)),_xll.BDH(config!$G$4,W$1,WORKDAY($A22,-1,config_Holiday_Calendar_US),WORKDAY($A22,-1,config_Holiday_Calendar_US)),IF(ISNUMBER(_xll.BDH(config!$G$4,W$1,$A22,$A22)),_xll.BDH(config!$G$4,W$1,$A22,$A22),_xll.BDH(config!$G$5,W$1,$A22,$A22))))</f>
        <v>#N/A Requesting Data...</v>
      </c>
    </row>
    <row r="23" spans="1:23" x14ac:dyDescent="0.2">
      <c r="A23" s="9">
        <f>IF(A22="","",IF(WORKDAY(A22,-1,config_Holiday_Calendar_US)&lt;config!$I$10,"",WORKDAY(A22,-1,config_Holiday_Calendar_US)))</f>
        <v>42804</v>
      </c>
      <c r="B23" s="8" t="e">
        <f t="shared" si="0"/>
        <v>#VALUE!</v>
      </c>
      <c r="C23" s="8" t="str">
        <f>IF(A23="","",_xll.BDH(config!$H$4,C$1,$A23,$A23))</f>
        <v>#N/A Requesting Data...</v>
      </c>
      <c r="D23" s="8" t="str">
        <f>IF($A23="","",_xll.BDH(config!$H$4,D$1,$A23,$A23))</f>
        <v>#N/A Requesting Data...</v>
      </c>
      <c r="E23" s="8">
        <f>IF($A23="","",IF(ISNUMBER(FIND("IMPVOL",E$1)),_xll.BDH(config!$G$4,E$1,WORKDAY($A23,-1,config_Holiday_Calendar_US),WORKDAY($A23,-1,config_Holiday_Calendar_US)),IF(ISNUMBER(_xll.BDH(config!$G$4,E$1,$A23,$A23)),_xll.BDH(config!$G$4,E$1,$A23,$A23),_xll.BDH(config!$G$5,E$1,$A23,$A23))))</f>
        <v>50.15</v>
      </c>
      <c r="F23" s="8">
        <f>IF($A23="","",IF(ISNUMBER(FIND("IMPVOL",F$1)),_xll.BDH(config!$G$4,F$1,WORKDAY($A23,-1,config_Holiday_Calendar_US),WORKDAY($A23,-1,config_Holiday_Calendar_US)),IF(ISNUMBER(_xll.BDH(config!$G$4,F$1,$A23,$A23)),_xll.BDH(config!$G$4,F$1,$A23,$A23),_xll.BDH(config!$G$5,F$1,$A23,$A23))))</f>
        <v>50.64</v>
      </c>
      <c r="G23" s="8">
        <f>IF($A23="","",IF(ISNUMBER(FIND("IMPVOL",G$1)),_xll.BDH(config!$G$4,G$1,WORKDAY($A23,-1,config_Holiday_Calendar_US),WORKDAY($A23,-1,config_Holiday_Calendar_US)),IF(ISNUMBER(_xll.BDH(config!$G$4,G$1,$A23,$A23)),_xll.BDH(config!$G$4,G$1,$A23,$A23),_xll.BDH(config!$G$5,G$1,$A23,$A23))))</f>
        <v>48.85</v>
      </c>
      <c r="H23" s="8">
        <f>IF($A23="","",IF(ISNUMBER(FIND("IMPVOL",H$1)),_xll.BDH(config!$G$4,H$1,WORKDAY($A23,-1,config_Holiday_Calendar_US),WORKDAY($A23,-1,config_Holiday_Calendar_US)),IF(ISNUMBER(_xll.BDH(config!$G$4,H$1,$A23,$A23)),_xll.BDH(config!$G$4,H$1,$A23,$A23),_xll.BDH(config!$G$5,H$1,$A23,$A23))))</f>
        <v>273046</v>
      </c>
      <c r="I23" s="8" t="str">
        <f>IF($A23="","",IF(ISNUMBER(FIND("IMPVOL",I$1)),_xll.BDH(config!$G$4,I$1,WORKDAY($A23,-1,config_Holiday_Calendar_US),WORKDAY($A23,-1,config_Holiday_Calendar_US)),IF(ISNUMBER(_xll.BDH(config!$G$4,I$1,$A23,$A23)),_xll.BDH(config!$G$4,I$1,$A23,$A23),_xll.BDH(config!$G$5,I$1,$A23,$A23))))</f>
        <v>#N/A Requesting Data...</v>
      </c>
      <c r="J23" s="8" t="str">
        <f>IF($A23="","",IF(ISNUMBER(FIND("IMPVOL",J$1)),_xll.BDH(config!$G$4,J$1,WORKDAY($A23,-1,config_Holiday_Calendar_US),WORKDAY($A23,-1,config_Holiday_Calendar_US)),IF(ISNUMBER(_xll.BDH(config!$G$4,J$1,$A23,$A23)),_xll.BDH(config!$G$4,J$1,$A23,$A23),_xll.BDH(config!$G$5,J$1,$A23,$A23))))</f>
        <v>#N/A Requesting Data...</v>
      </c>
      <c r="K23" s="8" t="str">
        <f>IF($A23="","",IF(ISNUMBER(FIND("IMPVOL",K$1)),_xll.BDH(config!$G$4,K$1,WORKDAY($A23,-1,config_Holiday_Calendar_US),WORKDAY($A23,-1,config_Holiday_Calendar_US)),IF(ISNUMBER(_xll.BDH(config!$G$4,K$1,$A23,$A23)),_xll.BDH(config!$G$4,K$1,$A23,$A23),_xll.BDH(config!$G$5,K$1,$A23,$A23))))</f>
        <v>#N/A Requesting Data...</v>
      </c>
      <c r="L23" s="8" t="str">
        <f>IF($A23="","",IF(ISNUMBER(FIND("IMPVOL",L$1)),_xll.BDH(config!$G$4,L$1,WORKDAY($A23,-1,config_Holiday_Calendar_US),WORKDAY($A23,-1,config_Holiday_Calendar_US)),IF(ISNUMBER(_xll.BDH(config!$G$4,L$1,$A23,$A23)),_xll.BDH(config!$G$4,L$1,$A23,$A23),_xll.BDH(config!$G$5,L$1,$A23,$A23))))</f>
        <v>#N/A Requesting Data...</v>
      </c>
      <c r="M23" s="8" t="str">
        <f>IF($A23="","",IF(ISNUMBER(FIND("IMPVOL",M$1)),_xll.BDH(config!$G$4,M$1,WORKDAY($A23,-1,config_Holiday_Calendar_US),WORKDAY($A23,-1,config_Holiday_Calendar_US)),IF(ISNUMBER(_xll.BDH(config!$G$4,M$1,$A23,$A23)),_xll.BDH(config!$G$4,M$1,$A23,$A23),_xll.BDH(config!$G$5,M$1,$A23,$A23))))</f>
        <v>#N/A Requesting Data...</v>
      </c>
      <c r="N23" s="8" t="str">
        <f>IF($A23="","",IF(ISNUMBER(FIND("IMPVOL",N$1)),_xll.BDH(config!$G$4,N$1,WORKDAY($A23,-1,config_Holiday_Calendar_US),WORKDAY($A23,-1,config_Holiday_Calendar_US)),IF(ISNUMBER(_xll.BDH(config!$G$4,N$1,$A23,$A23)),_xll.BDH(config!$G$4,N$1,$A23,$A23),_xll.BDH(config!$G$5,N$1,$A23,$A23))))</f>
        <v>#N/A Requesting Data...</v>
      </c>
      <c r="O23" s="8" t="str">
        <f>IF($A23="","",IF(ISNUMBER(FIND("IMPVOL",O$1)),_xll.BDH(config!$G$4,O$1,WORKDAY($A23,-1,config_Holiday_Calendar_US),WORKDAY($A23,-1,config_Holiday_Calendar_US)),IF(ISNUMBER(_xll.BDH(config!$G$4,O$1,$A23,$A23)),_xll.BDH(config!$G$4,O$1,$A23,$A23),_xll.BDH(config!$G$5,O$1,$A23,$A23))))</f>
        <v>#N/A Requesting Data...</v>
      </c>
      <c r="P23" s="8" t="str">
        <f>IF($A23="","",IF(ISNUMBER(FIND("IMPVOL",P$1)),_xll.BDH(config!$G$4,P$1,WORKDAY($A23,-1,config_Holiday_Calendar_US),WORKDAY($A23,-1,config_Holiday_Calendar_US)),IF(ISNUMBER(_xll.BDH(config!$G$4,P$1,$A23,$A23)),_xll.BDH(config!$G$4,P$1,$A23,$A23),_xll.BDH(config!$G$5,P$1,$A23,$A23))))</f>
        <v>#N/A Requesting Data...</v>
      </c>
      <c r="Q23" s="8">
        <f>IF($A23="","",IF(ISNUMBER(FIND("IMPVOL",Q$1)),_xll.BDH(config!$G$4,Q$1,WORKDAY($A23,-1,config_Holiday_Calendar_US),WORKDAY($A23,-1,config_Holiday_Calendar_US)),IF(ISNUMBER(_xll.BDH(config!$G$4,Q$1,$A23,$A23)),_xll.BDH(config!$G$4,Q$1,$A23,$A23),_xll.BDH(config!$G$5,Q$1,$A23,$A23))))</f>
        <v>31.43</v>
      </c>
      <c r="R23" s="8">
        <f>IF($A23="","",IF(ISNUMBER(FIND("IMPVOL",R$1)),_xll.BDH(config!$G$4,R$1,WORKDAY($A23,-1,config_Holiday_Calendar_US),WORKDAY($A23,-1,config_Holiday_Calendar_US)),IF(ISNUMBER(_xll.BDH(config!$G$4,R$1,$A23,$A23)),_xll.BDH(config!$G$4,R$1,$A23,$A23),_xll.BDH(config!$G$5,R$1,$A23,$A23))))</f>
        <v>23.93</v>
      </c>
      <c r="S23" s="8" t="str">
        <f>IF($A23="","",IF(ISNUMBER(FIND("IMPVOL",S$1)),_xll.BDH(config!$G$4,S$1,WORKDAY($A23,-1,config_Holiday_Calendar_US),WORKDAY($A23,-1,config_Holiday_Calendar_US)),IF(ISNUMBER(_xll.BDH(config!$G$4,S$1,$A23,$A23)),_xll.BDH(config!$G$4,S$1,$A23,$A23),_xll.BDH(config!$G$5,S$1,$A23,$A23))))</f>
        <v>#N/A Requesting Data...</v>
      </c>
      <c r="T23" s="8" t="str">
        <f>IF($A23="","",IF(ISNUMBER(FIND("IMPVOL",T$1)),_xll.BDH(config!$G$4,T$1,WORKDAY($A23,-1,config_Holiday_Calendar_US),WORKDAY($A23,-1,config_Holiday_Calendar_US)),IF(ISNUMBER(_xll.BDH(config!$G$4,T$1,$A23,$A23)),_xll.BDH(config!$G$4,T$1,$A23,$A23),_xll.BDH(config!$G$5,T$1,$A23,$A23))))</f>
        <v>#N/A Requesting Data...</v>
      </c>
      <c r="U23" s="8" t="str">
        <f>IF($A23="","",IF(ISNUMBER(FIND("IMPVOL",U$1)),_xll.BDH(config!$G$4,U$1,WORKDAY($A23,-1,config_Holiday_Calendar_US),WORKDAY($A23,-1,config_Holiday_Calendar_US)),IF(ISNUMBER(_xll.BDH(config!$G$4,U$1,$A23,$A23)),_xll.BDH(config!$G$4,U$1,$A23,$A23),_xll.BDH(config!$G$5,U$1,$A23,$A23))))</f>
        <v>#N/A Requesting Data...</v>
      </c>
      <c r="V23" s="8" t="str">
        <f>IF($A23="","",IF(ISNUMBER(FIND("IMPVOL",V$1)),_xll.BDH(config!$G$4,V$1,WORKDAY($A23,-1,config_Holiday_Calendar_US),WORKDAY($A23,-1,config_Holiday_Calendar_US)),IF(ISNUMBER(_xll.BDH(config!$G$4,V$1,$A23,$A23)),_xll.BDH(config!$G$4,V$1,$A23,$A23),_xll.BDH(config!$G$5,V$1,$A23,$A23))))</f>
        <v>#N/A Requesting Data...</v>
      </c>
      <c r="W23" s="8" t="str">
        <f>IF($A23="","",IF(ISNUMBER(FIND("IMPVOL",W$1)),_xll.BDH(config!$G$4,W$1,WORKDAY($A23,-1,config_Holiday_Calendar_US),WORKDAY($A23,-1,config_Holiday_Calendar_US)),IF(ISNUMBER(_xll.BDH(config!$G$4,W$1,$A23,$A23)),_xll.BDH(config!$G$4,W$1,$A23,$A23),_xll.BDH(config!$G$5,W$1,$A23,$A23))))</f>
        <v>#N/A Requesting Data...</v>
      </c>
    </row>
    <row r="24" spans="1:23" x14ac:dyDescent="0.2">
      <c r="A24" s="9">
        <f>IF(A23="","",IF(WORKDAY(A23,-1,config_Holiday_Calendar_US)&lt;config!$I$10,"",WORKDAY(A23,-1,config_Holiday_Calendar_US)))</f>
        <v>42803</v>
      </c>
      <c r="B24" s="8" t="e">
        <f t="shared" si="0"/>
        <v>#VALUE!</v>
      </c>
      <c r="C24" s="8" t="str">
        <f>IF(A24="","",_xll.BDH(config!$H$4,C$1,$A24,$A24))</f>
        <v>#N/A Requesting Data...</v>
      </c>
      <c r="D24" s="8" t="str">
        <f>IF($A24="","",_xll.BDH(config!$H$4,D$1,$A24,$A24))</f>
        <v>#N/A Requesting Data...</v>
      </c>
      <c r="E24" s="8">
        <f>IF($A24="","",IF(ISNUMBER(FIND("IMPVOL",E$1)),_xll.BDH(config!$G$4,E$1,WORKDAY($A24,-1,config_Holiday_Calendar_US),WORKDAY($A24,-1,config_Holiday_Calendar_US)),IF(ISNUMBER(_xll.BDH(config!$G$4,E$1,$A24,$A24)),_xll.BDH(config!$G$4,E$1,$A24,$A24),_xll.BDH(config!$G$5,E$1,$A24,$A24))))</f>
        <v>50.76</v>
      </c>
      <c r="F24" s="8">
        <f>IF($A24="","",IF(ISNUMBER(FIND("IMPVOL",F$1)),_xll.BDH(config!$G$4,F$1,WORKDAY($A24,-1,config_Holiday_Calendar_US),WORKDAY($A24,-1,config_Holiday_Calendar_US)),IF(ISNUMBER(_xll.BDH(config!$G$4,F$1,$A24,$A24)),_xll.BDH(config!$G$4,F$1,$A24,$A24),_xll.BDH(config!$G$5,F$1,$A24,$A24))))</f>
        <v>51.4</v>
      </c>
      <c r="G24" s="8">
        <f>IF($A24="","",IF(ISNUMBER(FIND("IMPVOL",G$1)),_xll.BDH(config!$G$4,G$1,WORKDAY($A24,-1,config_Holiday_Calendar_US),WORKDAY($A24,-1,config_Holiday_Calendar_US)),IF(ISNUMBER(_xll.BDH(config!$G$4,G$1,$A24,$A24)),_xll.BDH(config!$G$4,G$1,$A24,$A24),_xll.BDH(config!$G$5,G$1,$A24,$A24))))</f>
        <v>49.14</v>
      </c>
      <c r="H24" s="8">
        <f>IF($A24="","",IF(ISNUMBER(FIND("IMPVOL",H$1)),_xll.BDH(config!$G$4,H$1,WORKDAY($A24,-1,config_Holiday_Calendar_US),WORKDAY($A24,-1,config_Holiday_Calendar_US)),IF(ISNUMBER(_xll.BDH(config!$G$4,H$1,$A24,$A24)),_xll.BDH(config!$G$4,H$1,$A24,$A24),_xll.BDH(config!$G$5,H$1,$A24,$A24))))</f>
        <v>377326</v>
      </c>
      <c r="I24" s="8" t="str">
        <f>IF($A24="","",IF(ISNUMBER(FIND("IMPVOL",I$1)),_xll.BDH(config!$G$4,I$1,WORKDAY($A24,-1,config_Holiday_Calendar_US),WORKDAY($A24,-1,config_Holiday_Calendar_US)),IF(ISNUMBER(_xll.BDH(config!$G$4,I$1,$A24,$A24)),_xll.BDH(config!$G$4,I$1,$A24,$A24),_xll.BDH(config!$G$5,I$1,$A24,$A24))))</f>
        <v>#N/A Requesting Data...</v>
      </c>
      <c r="J24" s="8" t="str">
        <f>IF($A24="","",IF(ISNUMBER(FIND("IMPVOL",J$1)),_xll.BDH(config!$G$4,J$1,WORKDAY($A24,-1,config_Holiday_Calendar_US),WORKDAY($A24,-1,config_Holiday_Calendar_US)),IF(ISNUMBER(_xll.BDH(config!$G$4,J$1,$A24,$A24)),_xll.BDH(config!$G$4,J$1,$A24,$A24),_xll.BDH(config!$G$5,J$1,$A24,$A24))))</f>
        <v>#N/A Requesting Data...</v>
      </c>
      <c r="K24" s="8" t="str">
        <f>IF($A24="","",IF(ISNUMBER(FIND("IMPVOL",K$1)),_xll.BDH(config!$G$4,K$1,WORKDAY($A24,-1,config_Holiday_Calendar_US),WORKDAY($A24,-1,config_Holiday_Calendar_US)),IF(ISNUMBER(_xll.BDH(config!$G$4,K$1,$A24,$A24)),_xll.BDH(config!$G$4,K$1,$A24,$A24),_xll.BDH(config!$G$5,K$1,$A24,$A24))))</f>
        <v>#N/A Requesting Data...</v>
      </c>
      <c r="L24" s="8" t="str">
        <f>IF($A24="","",IF(ISNUMBER(FIND("IMPVOL",L$1)),_xll.BDH(config!$G$4,L$1,WORKDAY($A24,-1,config_Holiday_Calendar_US),WORKDAY($A24,-1,config_Holiday_Calendar_US)),IF(ISNUMBER(_xll.BDH(config!$G$4,L$1,$A24,$A24)),_xll.BDH(config!$G$4,L$1,$A24,$A24),_xll.BDH(config!$G$5,L$1,$A24,$A24))))</f>
        <v>#N/A Requesting Data...</v>
      </c>
      <c r="M24" s="8" t="str">
        <f>IF($A24="","",IF(ISNUMBER(FIND("IMPVOL",M$1)),_xll.BDH(config!$G$4,M$1,WORKDAY($A24,-1,config_Holiday_Calendar_US),WORKDAY($A24,-1,config_Holiday_Calendar_US)),IF(ISNUMBER(_xll.BDH(config!$G$4,M$1,$A24,$A24)),_xll.BDH(config!$G$4,M$1,$A24,$A24),_xll.BDH(config!$G$5,M$1,$A24,$A24))))</f>
        <v>#N/A Requesting Data...</v>
      </c>
      <c r="N24" s="8" t="str">
        <f>IF($A24="","",IF(ISNUMBER(FIND("IMPVOL",N$1)),_xll.BDH(config!$G$4,N$1,WORKDAY($A24,-1,config_Holiday_Calendar_US),WORKDAY($A24,-1,config_Holiday_Calendar_US)),IF(ISNUMBER(_xll.BDH(config!$G$4,N$1,$A24,$A24)),_xll.BDH(config!$G$4,N$1,$A24,$A24),_xll.BDH(config!$G$5,N$1,$A24,$A24))))</f>
        <v>#N/A Requesting Data...</v>
      </c>
      <c r="O24" s="8" t="str">
        <f>IF($A24="","",IF(ISNUMBER(FIND("IMPVOL",O$1)),_xll.BDH(config!$G$4,O$1,WORKDAY($A24,-1,config_Holiday_Calendar_US),WORKDAY($A24,-1,config_Holiday_Calendar_US)),IF(ISNUMBER(_xll.BDH(config!$G$4,O$1,$A24,$A24)),_xll.BDH(config!$G$4,O$1,$A24,$A24),_xll.BDH(config!$G$5,O$1,$A24,$A24))))</f>
        <v>#N/A Requesting Data...</v>
      </c>
      <c r="P24" s="8" t="str">
        <f>IF($A24="","",IF(ISNUMBER(FIND("IMPVOL",P$1)),_xll.BDH(config!$G$4,P$1,WORKDAY($A24,-1,config_Holiday_Calendar_US),WORKDAY($A24,-1,config_Holiday_Calendar_US)),IF(ISNUMBER(_xll.BDH(config!$G$4,P$1,$A24,$A24)),_xll.BDH(config!$G$4,P$1,$A24,$A24),_xll.BDH(config!$G$5,P$1,$A24,$A24))))</f>
        <v>#N/A Requesting Data...</v>
      </c>
      <c r="Q24" s="8">
        <f>IF($A24="","",IF(ISNUMBER(FIND("IMPVOL",Q$1)),_xll.BDH(config!$G$4,Q$1,WORKDAY($A24,-1,config_Holiday_Calendar_US),WORKDAY($A24,-1,config_Holiday_Calendar_US)),IF(ISNUMBER(_xll.BDH(config!$G$4,Q$1,$A24,$A24)),_xll.BDH(config!$G$4,Q$1,$A24,$A24),_xll.BDH(config!$G$5,Q$1,$A24,$A24))))</f>
        <v>32.06</v>
      </c>
      <c r="R24" s="8">
        <f>IF($A24="","",IF(ISNUMBER(FIND("IMPVOL",R$1)),_xll.BDH(config!$G$4,R$1,WORKDAY($A24,-1,config_Holiday_Calendar_US),WORKDAY($A24,-1,config_Holiday_Calendar_US)),IF(ISNUMBER(_xll.BDH(config!$G$4,R$1,$A24,$A24)),_xll.BDH(config!$G$4,R$1,$A24,$A24),_xll.BDH(config!$G$5,R$1,$A24,$A24))))</f>
        <v>23.74</v>
      </c>
      <c r="S24" s="8" t="str">
        <f>IF($A24="","",IF(ISNUMBER(FIND("IMPVOL",S$1)),_xll.BDH(config!$G$4,S$1,WORKDAY($A24,-1,config_Holiday_Calendar_US),WORKDAY($A24,-1,config_Holiday_Calendar_US)),IF(ISNUMBER(_xll.BDH(config!$G$4,S$1,$A24,$A24)),_xll.BDH(config!$G$4,S$1,$A24,$A24),_xll.BDH(config!$G$5,S$1,$A24,$A24))))</f>
        <v>#N/A Requesting Data...</v>
      </c>
      <c r="T24" s="8" t="str">
        <f>IF($A24="","",IF(ISNUMBER(FIND("IMPVOL",T$1)),_xll.BDH(config!$G$4,T$1,WORKDAY($A24,-1,config_Holiday_Calendar_US),WORKDAY($A24,-1,config_Holiday_Calendar_US)),IF(ISNUMBER(_xll.BDH(config!$G$4,T$1,$A24,$A24)),_xll.BDH(config!$G$4,T$1,$A24,$A24),_xll.BDH(config!$G$5,T$1,$A24,$A24))))</f>
        <v>#N/A Requesting Data...</v>
      </c>
      <c r="U24" s="8" t="str">
        <f>IF($A24="","",IF(ISNUMBER(FIND("IMPVOL",U$1)),_xll.BDH(config!$G$4,U$1,WORKDAY($A24,-1,config_Holiday_Calendar_US),WORKDAY($A24,-1,config_Holiday_Calendar_US)),IF(ISNUMBER(_xll.BDH(config!$G$4,U$1,$A24,$A24)),_xll.BDH(config!$G$4,U$1,$A24,$A24),_xll.BDH(config!$G$5,U$1,$A24,$A24))))</f>
        <v>#N/A Requesting Data...</v>
      </c>
      <c r="V24" s="8" t="str">
        <f>IF($A24="","",IF(ISNUMBER(FIND("IMPVOL",V$1)),_xll.BDH(config!$G$4,V$1,WORKDAY($A24,-1,config_Holiday_Calendar_US),WORKDAY($A24,-1,config_Holiday_Calendar_US)),IF(ISNUMBER(_xll.BDH(config!$G$4,V$1,$A24,$A24)),_xll.BDH(config!$G$4,V$1,$A24,$A24),_xll.BDH(config!$G$5,V$1,$A24,$A24))))</f>
        <v>#N/A Requesting Data...</v>
      </c>
      <c r="W24" s="8" t="str">
        <f>IF($A24="","",IF(ISNUMBER(FIND("IMPVOL",W$1)),_xll.BDH(config!$G$4,W$1,WORKDAY($A24,-1,config_Holiday_Calendar_US),WORKDAY($A24,-1,config_Holiday_Calendar_US)),IF(ISNUMBER(_xll.BDH(config!$G$4,W$1,$A24,$A24)),_xll.BDH(config!$G$4,W$1,$A24,$A24),_xll.BDH(config!$G$5,W$1,$A24,$A24))))</f>
        <v>#N/A Requesting Data...</v>
      </c>
    </row>
    <row r="25" spans="1:23" x14ac:dyDescent="0.2">
      <c r="A25" s="9">
        <f>IF(A24="","",IF(WORKDAY(A24,-1,config_Holiday_Calendar_US)&lt;config!$I$10,"",WORKDAY(A24,-1,config_Holiday_Calendar_US)))</f>
        <v>42802</v>
      </c>
      <c r="B25" s="8" t="e">
        <f t="shared" si="0"/>
        <v>#VALUE!</v>
      </c>
      <c r="C25" s="8" t="str">
        <f>IF(A25="","",_xll.BDH(config!$H$4,C$1,$A25,$A25))</f>
        <v>#N/A Requesting Data...</v>
      </c>
      <c r="D25" s="8" t="str">
        <f>IF($A25="","",_xll.BDH(config!$H$4,D$1,$A25,$A25))</f>
        <v>#N/A Requesting Data...</v>
      </c>
      <c r="E25" s="8">
        <f>IF($A25="","",IF(ISNUMBER(FIND("IMPVOL",E$1)),_xll.BDH(config!$G$4,E$1,WORKDAY($A25,-1,config_Holiday_Calendar_US),WORKDAY($A25,-1,config_Holiday_Calendar_US)),IF(ISNUMBER(_xll.BDH(config!$G$4,E$1,$A25,$A25)),_xll.BDH(config!$G$4,E$1,$A25,$A25),_xll.BDH(config!$G$5,E$1,$A25,$A25))))</f>
        <v>53.3</v>
      </c>
      <c r="F25" s="8">
        <f>IF($A25="","",IF(ISNUMBER(FIND("IMPVOL",F$1)),_xll.BDH(config!$G$4,F$1,WORKDAY($A25,-1,config_Holiday_Calendar_US),WORKDAY($A25,-1,config_Holiday_Calendar_US)),IF(ISNUMBER(_xll.BDH(config!$G$4,F$1,$A25,$A25)),_xll.BDH(config!$G$4,F$1,$A25,$A25),_xll.BDH(config!$G$5,F$1,$A25,$A25))))</f>
        <v>53.43</v>
      </c>
      <c r="G25" s="8">
        <f>IF($A25="","",IF(ISNUMBER(FIND("IMPVOL",G$1)),_xll.BDH(config!$G$4,G$1,WORKDAY($A25,-1,config_Holiday_Calendar_US),WORKDAY($A25,-1,config_Holiday_Calendar_US)),IF(ISNUMBER(_xll.BDH(config!$G$4,G$1,$A25,$A25)),_xll.BDH(config!$G$4,G$1,$A25,$A25),_xll.BDH(config!$G$5,G$1,$A25,$A25))))</f>
        <v>50.61</v>
      </c>
      <c r="H25" s="8">
        <f>IF($A25="","",IF(ISNUMBER(FIND("IMPVOL",H$1)),_xll.BDH(config!$G$4,H$1,WORKDAY($A25,-1,config_Holiday_Calendar_US),WORKDAY($A25,-1,config_Holiday_Calendar_US)),IF(ISNUMBER(_xll.BDH(config!$G$4,H$1,$A25,$A25)),_xll.BDH(config!$G$4,H$1,$A25,$A25),_xll.BDH(config!$G$5,H$1,$A25,$A25))))</f>
        <v>322580</v>
      </c>
      <c r="I25" s="8" t="str">
        <f>IF($A25="","",IF(ISNUMBER(FIND("IMPVOL",I$1)),_xll.BDH(config!$G$4,I$1,WORKDAY($A25,-1,config_Holiday_Calendar_US),WORKDAY($A25,-1,config_Holiday_Calendar_US)),IF(ISNUMBER(_xll.BDH(config!$G$4,I$1,$A25,$A25)),_xll.BDH(config!$G$4,I$1,$A25,$A25),_xll.BDH(config!$G$5,I$1,$A25,$A25))))</f>
        <v>#N/A Requesting Data...</v>
      </c>
      <c r="J25" s="8" t="str">
        <f>IF($A25="","",IF(ISNUMBER(FIND("IMPVOL",J$1)),_xll.BDH(config!$G$4,J$1,WORKDAY($A25,-1,config_Holiday_Calendar_US),WORKDAY($A25,-1,config_Holiday_Calendar_US)),IF(ISNUMBER(_xll.BDH(config!$G$4,J$1,$A25,$A25)),_xll.BDH(config!$G$4,J$1,$A25,$A25),_xll.BDH(config!$G$5,J$1,$A25,$A25))))</f>
        <v>#N/A Requesting Data...</v>
      </c>
      <c r="K25" s="8" t="str">
        <f>IF($A25="","",IF(ISNUMBER(FIND("IMPVOL",K$1)),_xll.BDH(config!$G$4,K$1,WORKDAY($A25,-1,config_Holiday_Calendar_US),WORKDAY($A25,-1,config_Holiday_Calendar_US)),IF(ISNUMBER(_xll.BDH(config!$G$4,K$1,$A25,$A25)),_xll.BDH(config!$G$4,K$1,$A25,$A25),_xll.BDH(config!$G$5,K$1,$A25,$A25))))</f>
        <v>#N/A Requesting Data...</v>
      </c>
      <c r="L25" s="8" t="str">
        <f>IF($A25="","",IF(ISNUMBER(FIND("IMPVOL",L$1)),_xll.BDH(config!$G$4,L$1,WORKDAY($A25,-1,config_Holiday_Calendar_US),WORKDAY($A25,-1,config_Holiday_Calendar_US)),IF(ISNUMBER(_xll.BDH(config!$G$4,L$1,$A25,$A25)),_xll.BDH(config!$G$4,L$1,$A25,$A25),_xll.BDH(config!$G$5,L$1,$A25,$A25))))</f>
        <v>#N/A Requesting Data...</v>
      </c>
      <c r="M25" s="8" t="str">
        <f>IF($A25="","",IF(ISNUMBER(FIND("IMPVOL",M$1)),_xll.BDH(config!$G$4,M$1,WORKDAY($A25,-1,config_Holiday_Calendar_US),WORKDAY($A25,-1,config_Holiday_Calendar_US)),IF(ISNUMBER(_xll.BDH(config!$G$4,M$1,$A25,$A25)),_xll.BDH(config!$G$4,M$1,$A25,$A25),_xll.BDH(config!$G$5,M$1,$A25,$A25))))</f>
        <v>#N/A Requesting Data...</v>
      </c>
      <c r="N25" s="8" t="str">
        <f>IF($A25="","",IF(ISNUMBER(FIND("IMPVOL",N$1)),_xll.BDH(config!$G$4,N$1,WORKDAY($A25,-1,config_Holiday_Calendar_US),WORKDAY($A25,-1,config_Holiday_Calendar_US)),IF(ISNUMBER(_xll.BDH(config!$G$4,N$1,$A25,$A25)),_xll.BDH(config!$G$4,N$1,$A25,$A25),_xll.BDH(config!$G$5,N$1,$A25,$A25))))</f>
        <v>#N/A Requesting Data...</v>
      </c>
      <c r="O25" s="8" t="str">
        <f>IF($A25="","",IF(ISNUMBER(FIND("IMPVOL",O$1)),_xll.BDH(config!$G$4,O$1,WORKDAY($A25,-1,config_Holiday_Calendar_US),WORKDAY($A25,-1,config_Holiday_Calendar_US)),IF(ISNUMBER(_xll.BDH(config!$G$4,O$1,$A25,$A25)),_xll.BDH(config!$G$4,O$1,$A25,$A25),_xll.BDH(config!$G$5,O$1,$A25,$A25))))</f>
        <v>#N/A Requesting Data...</v>
      </c>
      <c r="P25" s="8" t="str">
        <f>IF($A25="","",IF(ISNUMBER(FIND("IMPVOL",P$1)),_xll.BDH(config!$G$4,P$1,WORKDAY($A25,-1,config_Holiday_Calendar_US),WORKDAY($A25,-1,config_Holiday_Calendar_US)),IF(ISNUMBER(_xll.BDH(config!$G$4,P$1,$A25,$A25)),_xll.BDH(config!$G$4,P$1,$A25,$A25),_xll.BDH(config!$G$5,P$1,$A25,$A25))))</f>
        <v>#N/A Requesting Data...</v>
      </c>
      <c r="Q25" s="8">
        <f>IF($A25="","",IF(ISNUMBER(FIND("IMPVOL",Q$1)),_xll.BDH(config!$G$4,Q$1,WORKDAY($A25,-1,config_Holiday_Calendar_US),WORKDAY($A25,-1,config_Holiday_Calendar_US)),IF(ISNUMBER(_xll.BDH(config!$G$4,Q$1,$A25,$A25)),_xll.BDH(config!$G$4,Q$1,$A25,$A25),_xll.BDH(config!$G$5,Q$1,$A25,$A25))))</f>
        <v>31.45</v>
      </c>
      <c r="R25" s="8">
        <f>IF($A25="","",IF(ISNUMBER(FIND("IMPVOL",R$1)),_xll.BDH(config!$G$4,R$1,WORKDAY($A25,-1,config_Holiday_Calendar_US),WORKDAY($A25,-1,config_Holiday_Calendar_US)),IF(ISNUMBER(_xll.BDH(config!$G$4,R$1,$A25,$A25)),_xll.BDH(config!$G$4,R$1,$A25,$A25),_xll.BDH(config!$G$5,R$1,$A25,$A25))))</f>
        <v>23.98</v>
      </c>
      <c r="S25" s="8" t="str">
        <f>IF($A25="","",IF(ISNUMBER(FIND("IMPVOL",S$1)),_xll.BDH(config!$G$4,S$1,WORKDAY($A25,-1,config_Holiday_Calendar_US),WORKDAY($A25,-1,config_Holiday_Calendar_US)),IF(ISNUMBER(_xll.BDH(config!$G$4,S$1,$A25,$A25)),_xll.BDH(config!$G$4,S$1,$A25,$A25),_xll.BDH(config!$G$5,S$1,$A25,$A25))))</f>
        <v>#N/A Requesting Data...</v>
      </c>
      <c r="T25" s="8" t="str">
        <f>IF($A25="","",IF(ISNUMBER(FIND("IMPVOL",T$1)),_xll.BDH(config!$G$4,T$1,WORKDAY($A25,-1,config_Holiday_Calendar_US),WORKDAY($A25,-1,config_Holiday_Calendar_US)),IF(ISNUMBER(_xll.BDH(config!$G$4,T$1,$A25,$A25)),_xll.BDH(config!$G$4,T$1,$A25,$A25),_xll.BDH(config!$G$5,T$1,$A25,$A25))))</f>
        <v>#N/A Requesting Data...</v>
      </c>
      <c r="U25" s="8" t="str">
        <f>IF($A25="","",IF(ISNUMBER(FIND("IMPVOL",U$1)),_xll.BDH(config!$G$4,U$1,WORKDAY($A25,-1,config_Holiday_Calendar_US),WORKDAY($A25,-1,config_Holiday_Calendar_US)),IF(ISNUMBER(_xll.BDH(config!$G$4,U$1,$A25,$A25)),_xll.BDH(config!$G$4,U$1,$A25,$A25),_xll.BDH(config!$G$5,U$1,$A25,$A25))))</f>
        <v>#N/A Requesting Data...</v>
      </c>
      <c r="V25" s="8" t="str">
        <f>IF($A25="","",IF(ISNUMBER(FIND("IMPVOL",V$1)),_xll.BDH(config!$G$4,V$1,WORKDAY($A25,-1,config_Holiday_Calendar_US),WORKDAY($A25,-1,config_Holiday_Calendar_US)),IF(ISNUMBER(_xll.BDH(config!$G$4,V$1,$A25,$A25)),_xll.BDH(config!$G$4,V$1,$A25,$A25),_xll.BDH(config!$G$5,V$1,$A25,$A25))))</f>
        <v>#N/A Requesting Data...</v>
      </c>
      <c r="W25" s="8" t="str">
        <f>IF($A25="","",IF(ISNUMBER(FIND("IMPVOL",W$1)),_xll.BDH(config!$G$4,W$1,WORKDAY($A25,-1,config_Holiday_Calendar_US),WORKDAY($A25,-1,config_Holiday_Calendar_US)),IF(ISNUMBER(_xll.BDH(config!$G$4,W$1,$A25,$A25)),_xll.BDH(config!$G$4,W$1,$A25,$A25),_xll.BDH(config!$G$5,W$1,$A25,$A25))))</f>
        <v>#N/A Requesting Data...</v>
      </c>
    </row>
    <row r="26" spans="1:23" x14ac:dyDescent="0.2">
      <c r="A26" s="9">
        <f>IF(A25="","",IF(WORKDAY(A25,-1,config_Holiday_Calendar_US)&lt;config!$I$10,"",WORKDAY(A25,-1,config_Holiday_Calendar_US)))</f>
        <v>42801</v>
      </c>
      <c r="B26" s="8" t="e">
        <f t="shared" si="0"/>
        <v>#VALUE!</v>
      </c>
      <c r="C26" s="8" t="str">
        <f>IF(A26="","",_xll.BDH(config!$H$4,C$1,$A26,$A26))</f>
        <v>#N/A Requesting Data...</v>
      </c>
      <c r="D26" s="8" t="str">
        <f>IF($A26="","",_xll.BDH(config!$H$4,D$1,$A26,$A26))</f>
        <v>#N/A Requesting Data...</v>
      </c>
      <c r="E26" s="8">
        <f>IF($A26="","",IF(ISNUMBER(FIND("IMPVOL",E$1)),_xll.BDH(config!$G$4,E$1,WORKDAY($A26,-1,config_Holiday_Calendar_US),WORKDAY($A26,-1,config_Holiday_Calendar_US)),IF(ISNUMBER(_xll.BDH(config!$G$4,E$1,$A26,$A26)),_xll.BDH(config!$G$4,E$1,$A26,$A26),_xll.BDH(config!$G$5,E$1,$A26,$A26))))</f>
        <v>53.66</v>
      </c>
      <c r="F26" s="8">
        <f>IF($A26="","",IF(ISNUMBER(FIND("IMPVOL",F$1)),_xll.BDH(config!$G$4,F$1,WORKDAY($A26,-1,config_Holiday_Calendar_US),WORKDAY($A26,-1,config_Holiday_Calendar_US)),IF(ISNUMBER(_xll.BDH(config!$G$4,F$1,$A26,$A26)),_xll.BDH(config!$G$4,F$1,$A26,$A26),_xll.BDH(config!$G$5,F$1,$A26,$A26))))</f>
        <v>54.29</v>
      </c>
      <c r="G26" s="8">
        <f>IF($A26="","",IF(ISNUMBER(FIND("IMPVOL",G$1)),_xll.BDH(config!$G$4,G$1,WORKDAY($A26,-1,config_Holiday_Calendar_US),WORKDAY($A26,-1,config_Holiday_Calendar_US)),IF(ISNUMBER(_xll.BDH(config!$G$4,G$1,$A26,$A26)),_xll.BDH(config!$G$4,G$1,$A26,$A26),_xll.BDH(config!$G$5,G$1,$A26,$A26))))</f>
        <v>53.23</v>
      </c>
      <c r="H26" s="8">
        <f>IF($A26="","",IF(ISNUMBER(FIND("IMPVOL",H$1)),_xll.BDH(config!$G$4,H$1,WORKDAY($A26,-1,config_Holiday_Calendar_US),WORKDAY($A26,-1,config_Holiday_Calendar_US)),IF(ISNUMBER(_xll.BDH(config!$G$4,H$1,$A26,$A26)),_xll.BDH(config!$G$4,H$1,$A26,$A26),_xll.BDH(config!$G$5,H$1,$A26,$A26))))</f>
        <v>193186</v>
      </c>
      <c r="I26" s="8" t="str">
        <f>IF($A26="","",IF(ISNUMBER(FIND("IMPVOL",I$1)),_xll.BDH(config!$G$4,I$1,WORKDAY($A26,-1,config_Holiday_Calendar_US),WORKDAY($A26,-1,config_Holiday_Calendar_US)),IF(ISNUMBER(_xll.BDH(config!$G$4,I$1,$A26,$A26)),_xll.BDH(config!$G$4,I$1,$A26,$A26),_xll.BDH(config!$G$5,I$1,$A26,$A26))))</f>
        <v>#N/A Requesting Data...</v>
      </c>
      <c r="J26" s="8" t="str">
        <f>IF($A26="","",IF(ISNUMBER(FIND("IMPVOL",J$1)),_xll.BDH(config!$G$4,J$1,WORKDAY($A26,-1,config_Holiday_Calendar_US),WORKDAY($A26,-1,config_Holiday_Calendar_US)),IF(ISNUMBER(_xll.BDH(config!$G$4,J$1,$A26,$A26)),_xll.BDH(config!$G$4,J$1,$A26,$A26),_xll.BDH(config!$G$5,J$1,$A26,$A26))))</f>
        <v>#N/A Requesting Data...</v>
      </c>
      <c r="K26" s="8" t="str">
        <f>IF($A26="","",IF(ISNUMBER(FIND("IMPVOL",K$1)),_xll.BDH(config!$G$4,K$1,WORKDAY($A26,-1,config_Holiday_Calendar_US),WORKDAY($A26,-1,config_Holiday_Calendar_US)),IF(ISNUMBER(_xll.BDH(config!$G$4,K$1,$A26,$A26)),_xll.BDH(config!$G$4,K$1,$A26,$A26),_xll.BDH(config!$G$5,K$1,$A26,$A26))))</f>
        <v>#N/A Requesting Data...</v>
      </c>
      <c r="L26" s="8" t="str">
        <f>IF($A26="","",IF(ISNUMBER(FIND("IMPVOL",L$1)),_xll.BDH(config!$G$4,L$1,WORKDAY($A26,-1,config_Holiday_Calendar_US),WORKDAY($A26,-1,config_Holiday_Calendar_US)),IF(ISNUMBER(_xll.BDH(config!$G$4,L$1,$A26,$A26)),_xll.BDH(config!$G$4,L$1,$A26,$A26),_xll.BDH(config!$G$5,L$1,$A26,$A26))))</f>
        <v>#N/A Requesting Data...</v>
      </c>
      <c r="M26" s="8" t="str">
        <f>IF($A26="","",IF(ISNUMBER(FIND("IMPVOL",M$1)),_xll.BDH(config!$G$4,M$1,WORKDAY($A26,-1,config_Holiday_Calendar_US),WORKDAY($A26,-1,config_Holiday_Calendar_US)),IF(ISNUMBER(_xll.BDH(config!$G$4,M$1,$A26,$A26)),_xll.BDH(config!$G$4,M$1,$A26,$A26),_xll.BDH(config!$G$5,M$1,$A26,$A26))))</f>
        <v>#N/A Requesting Data...</v>
      </c>
      <c r="N26" s="8" t="str">
        <f>IF($A26="","",IF(ISNUMBER(FIND("IMPVOL",N$1)),_xll.BDH(config!$G$4,N$1,WORKDAY($A26,-1,config_Holiday_Calendar_US),WORKDAY($A26,-1,config_Holiday_Calendar_US)),IF(ISNUMBER(_xll.BDH(config!$G$4,N$1,$A26,$A26)),_xll.BDH(config!$G$4,N$1,$A26,$A26),_xll.BDH(config!$G$5,N$1,$A26,$A26))))</f>
        <v>#N/A Requesting Data...</v>
      </c>
      <c r="O26" s="8" t="str">
        <f>IF($A26="","",IF(ISNUMBER(FIND("IMPVOL",O$1)),_xll.BDH(config!$G$4,O$1,WORKDAY($A26,-1,config_Holiday_Calendar_US),WORKDAY($A26,-1,config_Holiday_Calendar_US)),IF(ISNUMBER(_xll.BDH(config!$G$4,O$1,$A26,$A26)),_xll.BDH(config!$G$4,O$1,$A26,$A26),_xll.BDH(config!$G$5,O$1,$A26,$A26))))</f>
        <v>#N/A Requesting Data...</v>
      </c>
      <c r="P26" s="8" t="str">
        <f>IF($A26="","",IF(ISNUMBER(FIND("IMPVOL",P$1)),_xll.BDH(config!$G$4,P$1,WORKDAY($A26,-1,config_Holiday_Calendar_US),WORKDAY($A26,-1,config_Holiday_Calendar_US)),IF(ISNUMBER(_xll.BDH(config!$G$4,P$1,$A26,$A26)),_xll.BDH(config!$G$4,P$1,$A26,$A26),_xll.BDH(config!$G$5,P$1,$A26,$A26))))</f>
        <v>#N/A Requesting Data...</v>
      </c>
      <c r="Q26" s="8">
        <f>IF($A26="","",IF(ISNUMBER(FIND("IMPVOL",Q$1)),_xll.BDH(config!$G$4,Q$1,WORKDAY($A26,-1,config_Holiday_Calendar_US),WORKDAY($A26,-1,config_Holiday_Calendar_US)),IF(ISNUMBER(_xll.BDH(config!$G$4,Q$1,$A26,$A26)),_xll.BDH(config!$G$4,Q$1,$A26,$A26),_xll.BDH(config!$G$5,Q$1,$A26,$A26))))</f>
        <v>17.98</v>
      </c>
      <c r="R26" s="8">
        <f>IF($A26="","",IF(ISNUMBER(FIND("IMPVOL",R$1)),_xll.BDH(config!$G$4,R$1,WORKDAY($A26,-1,config_Holiday_Calendar_US),WORKDAY($A26,-1,config_Holiday_Calendar_US)),IF(ISNUMBER(_xll.BDH(config!$G$4,R$1,$A26,$A26)),_xll.BDH(config!$G$4,R$1,$A26,$A26),_xll.BDH(config!$G$5,R$1,$A26,$A26))))</f>
        <v>17.91</v>
      </c>
      <c r="S26" s="8" t="str">
        <f>IF($A26="","",IF(ISNUMBER(FIND("IMPVOL",S$1)),_xll.BDH(config!$G$4,S$1,WORKDAY($A26,-1,config_Holiday_Calendar_US),WORKDAY($A26,-1,config_Holiday_Calendar_US)),IF(ISNUMBER(_xll.BDH(config!$G$4,S$1,$A26,$A26)),_xll.BDH(config!$G$4,S$1,$A26,$A26),_xll.BDH(config!$G$5,S$1,$A26,$A26))))</f>
        <v>#N/A Requesting Data...</v>
      </c>
      <c r="T26" s="8" t="str">
        <f>IF($A26="","",IF(ISNUMBER(FIND("IMPVOL",T$1)),_xll.BDH(config!$G$4,T$1,WORKDAY($A26,-1,config_Holiday_Calendar_US),WORKDAY($A26,-1,config_Holiday_Calendar_US)),IF(ISNUMBER(_xll.BDH(config!$G$4,T$1,$A26,$A26)),_xll.BDH(config!$G$4,T$1,$A26,$A26),_xll.BDH(config!$G$5,T$1,$A26,$A26))))</f>
        <v>#N/A Requesting Data...</v>
      </c>
      <c r="U26" s="8" t="str">
        <f>IF($A26="","",IF(ISNUMBER(FIND("IMPVOL",U$1)),_xll.BDH(config!$G$4,U$1,WORKDAY($A26,-1,config_Holiday_Calendar_US),WORKDAY($A26,-1,config_Holiday_Calendar_US)),IF(ISNUMBER(_xll.BDH(config!$G$4,U$1,$A26,$A26)),_xll.BDH(config!$G$4,U$1,$A26,$A26),_xll.BDH(config!$G$5,U$1,$A26,$A26))))</f>
        <v>#N/A Requesting Data...</v>
      </c>
      <c r="V26" s="8" t="str">
        <f>IF($A26="","",IF(ISNUMBER(FIND("IMPVOL",V$1)),_xll.BDH(config!$G$4,V$1,WORKDAY($A26,-1,config_Holiday_Calendar_US),WORKDAY($A26,-1,config_Holiday_Calendar_US)),IF(ISNUMBER(_xll.BDH(config!$G$4,V$1,$A26,$A26)),_xll.BDH(config!$G$4,V$1,$A26,$A26),_xll.BDH(config!$G$5,V$1,$A26,$A26))))</f>
        <v>#N/A Requesting Data...</v>
      </c>
      <c r="W26" s="8" t="str">
        <f>IF($A26="","",IF(ISNUMBER(FIND("IMPVOL",W$1)),_xll.BDH(config!$G$4,W$1,WORKDAY($A26,-1,config_Holiday_Calendar_US),WORKDAY($A26,-1,config_Holiday_Calendar_US)),IF(ISNUMBER(_xll.BDH(config!$G$4,W$1,$A26,$A26)),_xll.BDH(config!$G$4,W$1,$A26,$A26),_xll.BDH(config!$G$5,W$1,$A26,$A26))))</f>
        <v>#N/A Requesting Data...</v>
      </c>
    </row>
    <row r="27" spans="1:23" x14ac:dyDescent="0.2">
      <c r="A27" s="9">
        <f>IF(A26="","",IF(WORKDAY(A26,-1,config_Holiday_Calendar_US)&lt;config!$I$10,"",WORKDAY(A26,-1,config_Holiday_Calendar_US)))</f>
        <v>42800</v>
      </c>
      <c r="B27" s="8" t="e">
        <f t="shared" si="0"/>
        <v>#VALUE!</v>
      </c>
      <c r="C27" s="8" t="str">
        <f>IF(A27="","",_xll.BDH(config!$H$4,C$1,$A27,$A27))</f>
        <v>#N/A Requesting Data...</v>
      </c>
      <c r="D27" s="8" t="str">
        <f>IF($A27="","",_xll.BDH(config!$H$4,D$1,$A27,$A27))</f>
        <v>#N/A Requesting Data...</v>
      </c>
      <c r="E27" s="8">
        <f>IF($A27="","",IF(ISNUMBER(FIND("IMPVOL",E$1)),_xll.BDH(config!$G$4,E$1,WORKDAY($A27,-1,config_Holiday_Calendar_US),WORKDAY($A27,-1,config_Holiday_Calendar_US)),IF(ISNUMBER(_xll.BDH(config!$G$4,E$1,$A27,$A27)),_xll.BDH(config!$G$4,E$1,$A27,$A27),_xll.BDH(config!$G$5,E$1,$A27,$A27))))</f>
        <v>53.65</v>
      </c>
      <c r="F27" s="8">
        <f>IF($A27="","",IF(ISNUMBER(FIND("IMPVOL",F$1)),_xll.BDH(config!$G$4,F$1,WORKDAY($A27,-1,config_Holiday_Calendar_US),WORKDAY($A27,-1,config_Holiday_Calendar_US)),IF(ISNUMBER(_xll.BDH(config!$G$4,F$1,$A27,$A27)),_xll.BDH(config!$G$4,F$1,$A27,$A27),_xll.BDH(config!$G$5,F$1,$A27,$A27))))</f>
        <v>54.03</v>
      </c>
      <c r="G27" s="8">
        <f>IF($A27="","",IF(ISNUMBER(FIND("IMPVOL",G$1)),_xll.BDH(config!$G$4,G$1,WORKDAY($A27,-1,config_Holiday_Calendar_US),WORKDAY($A27,-1,config_Holiday_Calendar_US)),IF(ISNUMBER(_xll.BDH(config!$G$4,G$1,$A27,$A27)),_xll.BDH(config!$G$4,G$1,$A27,$A27),_xll.BDH(config!$G$5,G$1,$A27,$A27))))</f>
        <v>53.21</v>
      </c>
      <c r="H27" s="8">
        <f>IF($A27="","",IF(ISNUMBER(FIND("IMPVOL",H$1)),_xll.BDH(config!$G$4,H$1,WORKDAY($A27,-1,config_Holiday_Calendar_US),WORKDAY($A27,-1,config_Holiday_Calendar_US)),IF(ISNUMBER(_xll.BDH(config!$G$4,H$1,$A27,$A27)),_xll.BDH(config!$G$4,H$1,$A27,$A27),_xll.BDH(config!$G$5,H$1,$A27,$A27))))</f>
        <v>187845</v>
      </c>
      <c r="I27" s="8" t="str">
        <f>IF($A27="","",IF(ISNUMBER(FIND("IMPVOL",I$1)),_xll.BDH(config!$G$4,I$1,WORKDAY($A27,-1,config_Holiday_Calendar_US),WORKDAY($A27,-1,config_Holiday_Calendar_US)),IF(ISNUMBER(_xll.BDH(config!$G$4,I$1,$A27,$A27)),_xll.BDH(config!$G$4,I$1,$A27,$A27),_xll.BDH(config!$G$5,I$1,$A27,$A27))))</f>
        <v>#N/A Requesting Data...</v>
      </c>
      <c r="J27" s="8" t="str">
        <f>IF($A27="","",IF(ISNUMBER(FIND("IMPVOL",J$1)),_xll.BDH(config!$G$4,J$1,WORKDAY($A27,-1,config_Holiday_Calendar_US),WORKDAY($A27,-1,config_Holiday_Calendar_US)),IF(ISNUMBER(_xll.BDH(config!$G$4,J$1,$A27,$A27)),_xll.BDH(config!$G$4,J$1,$A27,$A27),_xll.BDH(config!$G$5,J$1,$A27,$A27))))</f>
        <v>#N/A Requesting Data...</v>
      </c>
      <c r="K27" s="8" t="str">
        <f>IF($A27="","",IF(ISNUMBER(FIND("IMPVOL",K$1)),_xll.BDH(config!$G$4,K$1,WORKDAY($A27,-1,config_Holiday_Calendar_US),WORKDAY($A27,-1,config_Holiday_Calendar_US)),IF(ISNUMBER(_xll.BDH(config!$G$4,K$1,$A27,$A27)),_xll.BDH(config!$G$4,K$1,$A27,$A27),_xll.BDH(config!$G$5,K$1,$A27,$A27))))</f>
        <v>#N/A Requesting Data...</v>
      </c>
      <c r="L27" s="8" t="str">
        <f>IF($A27="","",IF(ISNUMBER(FIND("IMPVOL",L$1)),_xll.BDH(config!$G$4,L$1,WORKDAY($A27,-1,config_Holiday_Calendar_US),WORKDAY($A27,-1,config_Holiday_Calendar_US)),IF(ISNUMBER(_xll.BDH(config!$G$4,L$1,$A27,$A27)),_xll.BDH(config!$G$4,L$1,$A27,$A27),_xll.BDH(config!$G$5,L$1,$A27,$A27))))</f>
        <v>#N/A Requesting Data...</v>
      </c>
      <c r="M27" s="8" t="str">
        <f>IF($A27="","",IF(ISNUMBER(FIND("IMPVOL",M$1)),_xll.BDH(config!$G$4,M$1,WORKDAY($A27,-1,config_Holiday_Calendar_US),WORKDAY($A27,-1,config_Holiday_Calendar_US)),IF(ISNUMBER(_xll.BDH(config!$G$4,M$1,$A27,$A27)),_xll.BDH(config!$G$4,M$1,$A27,$A27),_xll.BDH(config!$G$5,M$1,$A27,$A27))))</f>
        <v>#N/A Requesting Data...</v>
      </c>
      <c r="N27" s="8" t="str">
        <f>IF($A27="","",IF(ISNUMBER(FIND("IMPVOL",N$1)),_xll.BDH(config!$G$4,N$1,WORKDAY($A27,-1,config_Holiday_Calendar_US),WORKDAY($A27,-1,config_Holiday_Calendar_US)),IF(ISNUMBER(_xll.BDH(config!$G$4,N$1,$A27,$A27)),_xll.BDH(config!$G$4,N$1,$A27,$A27),_xll.BDH(config!$G$5,N$1,$A27,$A27))))</f>
        <v>#N/A Requesting Data...</v>
      </c>
      <c r="O27" s="8" t="str">
        <f>IF($A27="","",IF(ISNUMBER(FIND("IMPVOL",O$1)),_xll.BDH(config!$G$4,O$1,WORKDAY($A27,-1,config_Holiday_Calendar_US),WORKDAY($A27,-1,config_Holiday_Calendar_US)),IF(ISNUMBER(_xll.BDH(config!$G$4,O$1,$A27,$A27)),_xll.BDH(config!$G$4,O$1,$A27,$A27),_xll.BDH(config!$G$5,O$1,$A27,$A27))))</f>
        <v>#N/A Requesting Data...</v>
      </c>
      <c r="P27" s="8" t="str">
        <f>IF($A27="","",IF(ISNUMBER(FIND("IMPVOL",P$1)),_xll.BDH(config!$G$4,P$1,WORKDAY($A27,-1,config_Holiday_Calendar_US),WORKDAY($A27,-1,config_Holiday_Calendar_US)),IF(ISNUMBER(_xll.BDH(config!$G$4,P$1,$A27,$A27)),_xll.BDH(config!$G$4,P$1,$A27,$A27),_xll.BDH(config!$G$5,P$1,$A27,$A27))))</f>
        <v>#N/A Requesting Data...</v>
      </c>
      <c r="Q27" s="8">
        <f>IF($A27="","",IF(ISNUMBER(FIND("IMPVOL",Q$1)),_xll.BDH(config!$G$4,Q$1,WORKDAY($A27,-1,config_Holiday_Calendar_US),WORKDAY($A27,-1,config_Holiday_Calendar_US)),IF(ISNUMBER(_xll.BDH(config!$G$4,Q$1,$A27,$A27)),_xll.BDH(config!$G$4,Q$1,$A27,$A27),_xll.BDH(config!$G$5,Q$1,$A27,$A27))))</f>
        <v>18.350000000000001</v>
      </c>
      <c r="R27" s="8">
        <f>IF($A27="","",IF(ISNUMBER(FIND("IMPVOL",R$1)),_xll.BDH(config!$G$4,R$1,WORKDAY($A27,-1,config_Holiday_Calendar_US),WORKDAY($A27,-1,config_Holiday_Calendar_US)),IF(ISNUMBER(_xll.BDH(config!$G$4,R$1,$A27,$A27)),_xll.BDH(config!$G$4,R$1,$A27,$A27),_xll.BDH(config!$G$5,R$1,$A27,$A27))))</f>
        <v>18.02</v>
      </c>
      <c r="S27" s="8" t="str">
        <f>IF($A27="","",IF(ISNUMBER(FIND("IMPVOL",S$1)),_xll.BDH(config!$G$4,S$1,WORKDAY($A27,-1,config_Holiday_Calendar_US),WORKDAY($A27,-1,config_Holiday_Calendar_US)),IF(ISNUMBER(_xll.BDH(config!$G$4,S$1,$A27,$A27)),_xll.BDH(config!$G$4,S$1,$A27,$A27),_xll.BDH(config!$G$5,S$1,$A27,$A27))))</f>
        <v>#N/A Requesting Data...</v>
      </c>
      <c r="T27" s="8" t="str">
        <f>IF($A27="","",IF(ISNUMBER(FIND("IMPVOL",T$1)),_xll.BDH(config!$G$4,T$1,WORKDAY($A27,-1,config_Holiday_Calendar_US),WORKDAY($A27,-1,config_Holiday_Calendar_US)),IF(ISNUMBER(_xll.BDH(config!$G$4,T$1,$A27,$A27)),_xll.BDH(config!$G$4,T$1,$A27,$A27),_xll.BDH(config!$G$5,T$1,$A27,$A27))))</f>
        <v>#N/A Requesting Data...</v>
      </c>
      <c r="U27" s="8" t="str">
        <f>IF($A27="","",IF(ISNUMBER(FIND("IMPVOL",U$1)),_xll.BDH(config!$G$4,U$1,WORKDAY($A27,-1,config_Holiday_Calendar_US),WORKDAY($A27,-1,config_Holiday_Calendar_US)),IF(ISNUMBER(_xll.BDH(config!$G$4,U$1,$A27,$A27)),_xll.BDH(config!$G$4,U$1,$A27,$A27),_xll.BDH(config!$G$5,U$1,$A27,$A27))))</f>
        <v>#N/A Requesting Data...</v>
      </c>
      <c r="V27" s="8" t="str">
        <f>IF($A27="","",IF(ISNUMBER(FIND("IMPVOL",V$1)),_xll.BDH(config!$G$4,V$1,WORKDAY($A27,-1,config_Holiday_Calendar_US),WORKDAY($A27,-1,config_Holiday_Calendar_US)),IF(ISNUMBER(_xll.BDH(config!$G$4,V$1,$A27,$A27)),_xll.BDH(config!$G$4,V$1,$A27,$A27),_xll.BDH(config!$G$5,V$1,$A27,$A27))))</f>
        <v>#N/A Requesting Data...</v>
      </c>
      <c r="W27" s="8" t="str">
        <f>IF($A27="","",IF(ISNUMBER(FIND("IMPVOL",W$1)),_xll.BDH(config!$G$4,W$1,WORKDAY($A27,-1,config_Holiday_Calendar_US),WORKDAY($A27,-1,config_Holiday_Calendar_US)),IF(ISNUMBER(_xll.BDH(config!$G$4,W$1,$A27,$A27)),_xll.BDH(config!$G$4,W$1,$A27,$A27),_xll.BDH(config!$G$5,W$1,$A27,$A27))))</f>
        <v>#N/A Requesting Data...</v>
      </c>
    </row>
    <row r="28" spans="1:23" x14ac:dyDescent="0.2">
      <c r="A28" s="9">
        <f>IF(A27="","",IF(WORKDAY(A27,-1,config_Holiday_Calendar_US)&lt;config!$I$10,"",WORKDAY(A27,-1,config_Holiday_Calendar_US)))</f>
        <v>42797</v>
      </c>
      <c r="B28" s="8" t="e">
        <f t="shared" si="0"/>
        <v>#VALUE!</v>
      </c>
      <c r="C28" s="8" t="str">
        <f>IF(A28="","",_xll.BDH(config!$H$4,C$1,$A28,$A28))</f>
        <v>#N/A Requesting Data...</v>
      </c>
      <c r="D28" s="8" t="str">
        <f>IF($A28="","",_xll.BDH(config!$H$4,D$1,$A28,$A28))</f>
        <v>#N/A Requesting Data...</v>
      </c>
      <c r="E28" s="8">
        <f>IF($A28="","",IF(ISNUMBER(FIND("IMPVOL",E$1)),_xll.BDH(config!$G$4,E$1,WORKDAY($A28,-1,config_Holiday_Calendar_US),WORKDAY($A28,-1,config_Holiday_Calendar_US)),IF(ISNUMBER(_xll.BDH(config!$G$4,E$1,$A28,$A28)),_xll.BDH(config!$G$4,E$1,$A28,$A28),_xll.BDH(config!$G$5,E$1,$A28,$A28))))</f>
        <v>53.02</v>
      </c>
      <c r="F28" s="8">
        <f>IF($A28="","",IF(ISNUMBER(FIND("IMPVOL",F$1)),_xll.BDH(config!$G$4,F$1,WORKDAY($A28,-1,config_Holiday_Calendar_US),WORKDAY($A28,-1,config_Holiday_Calendar_US)),IF(ISNUMBER(_xll.BDH(config!$G$4,F$1,$A28,$A28)),_xll.BDH(config!$G$4,F$1,$A28,$A28),_xll.BDH(config!$G$5,F$1,$A28,$A28))))</f>
        <v>53.84</v>
      </c>
      <c r="G28" s="8">
        <f>IF($A28="","",IF(ISNUMBER(FIND("IMPVOL",G$1)),_xll.BDH(config!$G$4,G$1,WORKDAY($A28,-1,config_Holiday_Calendar_US),WORKDAY($A28,-1,config_Holiday_Calendar_US)),IF(ISNUMBER(_xll.BDH(config!$G$4,G$1,$A28,$A28)),_xll.BDH(config!$G$4,G$1,$A28,$A28),_xll.BDH(config!$G$5,G$1,$A28,$A28))))</f>
        <v>53</v>
      </c>
      <c r="H28" s="8">
        <f>IF($A28="","",IF(ISNUMBER(FIND("IMPVOL",H$1)),_xll.BDH(config!$G$4,H$1,WORKDAY($A28,-1,config_Holiday_Calendar_US),WORKDAY($A28,-1,config_Holiday_Calendar_US)),IF(ISNUMBER(_xll.BDH(config!$G$4,H$1,$A28,$A28)),_xll.BDH(config!$G$4,H$1,$A28,$A28),_xll.BDH(config!$G$5,H$1,$A28,$A28))))</f>
        <v>105653</v>
      </c>
      <c r="I28" s="8" t="str">
        <f>IF($A28="","",IF(ISNUMBER(FIND("IMPVOL",I$1)),_xll.BDH(config!$G$4,I$1,WORKDAY($A28,-1,config_Holiday_Calendar_US),WORKDAY($A28,-1,config_Holiday_Calendar_US)),IF(ISNUMBER(_xll.BDH(config!$G$4,I$1,$A28,$A28)),_xll.BDH(config!$G$4,I$1,$A28,$A28),_xll.BDH(config!$G$5,I$1,$A28,$A28))))</f>
        <v>#N/A Requesting Data...</v>
      </c>
      <c r="J28" s="8" t="str">
        <f>IF($A28="","",IF(ISNUMBER(FIND("IMPVOL",J$1)),_xll.BDH(config!$G$4,J$1,WORKDAY($A28,-1,config_Holiday_Calendar_US),WORKDAY($A28,-1,config_Holiday_Calendar_US)),IF(ISNUMBER(_xll.BDH(config!$G$4,J$1,$A28,$A28)),_xll.BDH(config!$G$4,J$1,$A28,$A28),_xll.BDH(config!$G$5,J$1,$A28,$A28))))</f>
        <v>#N/A Requesting Data...</v>
      </c>
      <c r="K28" s="8" t="str">
        <f>IF($A28="","",IF(ISNUMBER(FIND("IMPVOL",K$1)),_xll.BDH(config!$G$4,K$1,WORKDAY($A28,-1,config_Holiday_Calendar_US),WORKDAY($A28,-1,config_Holiday_Calendar_US)),IF(ISNUMBER(_xll.BDH(config!$G$4,K$1,$A28,$A28)),_xll.BDH(config!$G$4,K$1,$A28,$A28),_xll.BDH(config!$G$5,K$1,$A28,$A28))))</f>
        <v>#N/A Requesting Data...</v>
      </c>
      <c r="L28" s="8" t="str">
        <f>IF($A28="","",IF(ISNUMBER(FIND("IMPVOL",L$1)),_xll.BDH(config!$G$4,L$1,WORKDAY($A28,-1,config_Holiday_Calendar_US),WORKDAY($A28,-1,config_Holiday_Calendar_US)),IF(ISNUMBER(_xll.BDH(config!$G$4,L$1,$A28,$A28)),_xll.BDH(config!$G$4,L$1,$A28,$A28),_xll.BDH(config!$G$5,L$1,$A28,$A28))))</f>
        <v>#N/A Requesting Data...</v>
      </c>
      <c r="M28" s="8" t="str">
        <f>IF($A28="","",IF(ISNUMBER(FIND("IMPVOL",M$1)),_xll.BDH(config!$G$4,M$1,WORKDAY($A28,-1,config_Holiday_Calendar_US),WORKDAY($A28,-1,config_Holiday_Calendar_US)),IF(ISNUMBER(_xll.BDH(config!$G$4,M$1,$A28,$A28)),_xll.BDH(config!$G$4,M$1,$A28,$A28),_xll.BDH(config!$G$5,M$1,$A28,$A28))))</f>
        <v>#N/A Requesting Data...</v>
      </c>
      <c r="N28" s="8" t="str">
        <f>IF($A28="","",IF(ISNUMBER(FIND("IMPVOL",N$1)),_xll.BDH(config!$G$4,N$1,WORKDAY($A28,-1,config_Holiday_Calendar_US),WORKDAY($A28,-1,config_Holiday_Calendar_US)),IF(ISNUMBER(_xll.BDH(config!$G$4,N$1,$A28,$A28)),_xll.BDH(config!$G$4,N$1,$A28,$A28),_xll.BDH(config!$G$5,N$1,$A28,$A28))))</f>
        <v>#N/A Requesting Data...</v>
      </c>
      <c r="O28" s="8" t="str">
        <f>IF($A28="","",IF(ISNUMBER(FIND("IMPVOL",O$1)),_xll.BDH(config!$G$4,O$1,WORKDAY($A28,-1,config_Holiday_Calendar_US),WORKDAY($A28,-1,config_Holiday_Calendar_US)),IF(ISNUMBER(_xll.BDH(config!$G$4,O$1,$A28,$A28)),_xll.BDH(config!$G$4,O$1,$A28,$A28),_xll.BDH(config!$G$5,O$1,$A28,$A28))))</f>
        <v>#N/A Requesting Data...</v>
      </c>
      <c r="P28" s="8" t="str">
        <f>IF($A28="","",IF(ISNUMBER(FIND("IMPVOL",P$1)),_xll.BDH(config!$G$4,P$1,WORKDAY($A28,-1,config_Holiday_Calendar_US),WORKDAY($A28,-1,config_Holiday_Calendar_US)),IF(ISNUMBER(_xll.BDH(config!$G$4,P$1,$A28,$A28)),_xll.BDH(config!$G$4,P$1,$A28,$A28),_xll.BDH(config!$G$5,P$1,$A28,$A28))))</f>
        <v>#N/A Requesting Data...</v>
      </c>
      <c r="Q28" s="8">
        <f>IF($A28="","",IF(ISNUMBER(FIND("IMPVOL",Q$1)),_xll.BDH(config!$G$4,Q$1,WORKDAY($A28,-1,config_Holiday_Calendar_US),WORKDAY($A28,-1,config_Holiday_Calendar_US)),IF(ISNUMBER(_xll.BDH(config!$G$4,Q$1,$A28,$A28)),_xll.BDH(config!$G$4,Q$1,$A28,$A28),_xll.BDH(config!$G$5,Q$1,$A28,$A28))))</f>
        <v>19.350000000000001</v>
      </c>
      <c r="R28" s="8">
        <f>IF($A28="","",IF(ISNUMBER(FIND("IMPVOL",R$1)),_xll.BDH(config!$G$4,R$1,WORKDAY($A28,-1,config_Holiday_Calendar_US),WORKDAY($A28,-1,config_Holiday_Calendar_US)),IF(ISNUMBER(_xll.BDH(config!$G$4,R$1,$A28,$A28)),_xll.BDH(config!$G$4,R$1,$A28,$A28),_xll.BDH(config!$G$5,R$1,$A28,$A28))))</f>
        <v>18.079999999999998</v>
      </c>
      <c r="S28" s="8" t="str">
        <f>IF($A28="","",IF(ISNUMBER(FIND("IMPVOL",S$1)),_xll.BDH(config!$G$4,S$1,WORKDAY($A28,-1,config_Holiday_Calendar_US),WORKDAY($A28,-1,config_Holiday_Calendar_US)),IF(ISNUMBER(_xll.BDH(config!$G$4,S$1,$A28,$A28)),_xll.BDH(config!$G$4,S$1,$A28,$A28),_xll.BDH(config!$G$5,S$1,$A28,$A28))))</f>
        <v>#N/A Requesting Data...</v>
      </c>
      <c r="T28" s="8" t="str">
        <f>IF($A28="","",IF(ISNUMBER(FIND("IMPVOL",T$1)),_xll.BDH(config!$G$4,T$1,WORKDAY($A28,-1,config_Holiday_Calendar_US),WORKDAY($A28,-1,config_Holiday_Calendar_US)),IF(ISNUMBER(_xll.BDH(config!$G$4,T$1,$A28,$A28)),_xll.BDH(config!$G$4,T$1,$A28,$A28),_xll.BDH(config!$G$5,T$1,$A28,$A28))))</f>
        <v>#N/A Requesting Data...</v>
      </c>
      <c r="U28" s="8" t="str">
        <f>IF($A28="","",IF(ISNUMBER(FIND("IMPVOL",U$1)),_xll.BDH(config!$G$4,U$1,WORKDAY($A28,-1,config_Holiday_Calendar_US),WORKDAY($A28,-1,config_Holiday_Calendar_US)),IF(ISNUMBER(_xll.BDH(config!$G$4,U$1,$A28,$A28)),_xll.BDH(config!$G$4,U$1,$A28,$A28),_xll.BDH(config!$G$5,U$1,$A28,$A28))))</f>
        <v>#N/A Requesting Data...</v>
      </c>
      <c r="V28" s="8" t="str">
        <f>IF($A28="","",IF(ISNUMBER(FIND("IMPVOL",V$1)),_xll.BDH(config!$G$4,V$1,WORKDAY($A28,-1,config_Holiday_Calendar_US),WORKDAY($A28,-1,config_Holiday_Calendar_US)),IF(ISNUMBER(_xll.BDH(config!$G$4,V$1,$A28,$A28)),_xll.BDH(config!$G$4,V$1,$A28,$A28),_xll.BDH(config!$G$5,V$1,$A28,$A28))))</f>
        <v>#N/A Requesting Data...</v>
      </c>
      <c r="W28" s="8" t="str">
        <f>IF($A28="","",IF(ISNUMBER(FIND("IMPVOL",W$1)),_xll.BDH(config!$G$4,W$1,WORKDAY($A28,-1,config_Holiday_Calendar_US),WORKDAY($A28,-1,config_Holiday_Calendar_US)),IF(ISNUMBER(_xll.BDH(config!$G$4,W$1,$A28,$A28)),_xll.BDH(config!$G$4,W$1,$A28,$A28),_xll.BDH(config!$G$5,W$1,$A28,$A28))))</f>
        <v>#N/A Requesting Data...</v>
      </c>
    </row>
    <row r="29" spans="1:23" x14ac:dyDescent="0.2">
      <c r="A29" s="9">
        <f>IF(A28="","",IF(WORKDAY(A28,-1,config_Holiday_Calendar_US)&lt;config!$I$10,"",WORKDAY(A28,-1,config_Holiday_Calendar_US)))</f>
        <v>42796</v>
      </c>
      <c r="B29" s="8" t="e">
        <f t="shared" si="0"/>
        <v>#VALUE!</v>
      </c>
      <c r="C29" s="8" t="str">
        <f>IF(A29="","",_xll.BDH(config!$H$4,C$1,$A29,$A29))</f>
        <v>#N/A Requesting Data...</v>
      </c>
      <c r="D29" s="8" t="str">
        <f>IF($A29="","",_xll.BDH(config!$H$4,D$1,$A29,$A29))</f>
        <v>#N/A Requesting Data...</v>
      </c>
      <c r="E29" s="8">
        <f>IF($A29="","",IF(ISNUMBER(FIND("IMPVOL",E$1)),_xll.BDH(config!$G$4,E$1,WORKDAY($A29,-1,config_Holiday_Calendar_US),WORKDAY($A29,-1,config_Holiday_Calendar_US)),IF(ISNUMBER(_xll.BDH(config!$G$4,E$1,$A29,$A29)),_xll.BDH(config!$G$4,E$1,$A29,$A29),_xll.BDH(config!$G$5,E$1,$A29,$A29))))</f>
        <v>54.16</v>
      </c>
      <c r="F29" s="8">
        <f>IF($A29="","",IF(ISNUMBER(FIND("IMPVOL",F$1)),_xll.BDH(config!$G$4,F$1,WORKDAY($A29,-1,config_Holiday_Calendar_US),WORKDAY($A29,-1,config_Holiday_Calendar_US)),IF(ISNUMBER(_xll.BDH(config!$G$4,F$1,$A29,$A29)),_xll.BDH(config!$G$4,F$1,$A29,$A29),_xll.BDH(config!$G$5,F$1,$A29,$A29))))</f>
        <v>54.26</v>
      </c>
      <c r="G29" s="8">
        <f>IF($A29="","",IF(ISNUMBER(FIND("IMPVOL",G$1)),_xll.BDH(config!$G$4,G$1,WORKDAY($A29,-1,config_Holiday_Calendar_US),WORKDAY($A29,-1,config_Holiday_Calendar_US)),IF(ISNUMBER(_xll.BDH(config!$G$4,G$1,$A29,$A29)),_xll.BDH(config!$G$4,G$1,$A29,$A29),_xll.BDH(config!$G$5,G$1,$A29,$A29))))</f>
        <v>53</v>
      </c>
      <c r="H29" s="8">
        <f>IF($A29="","",IF(ISNUMBER(FIND("IMPVOL",H$1)),_xll.BDH(config!$G$4,H$1,WORKDAY($A29,-1,config_Holiday_Calendar_US),WORKDAY($A29,-1,config_Holiday_Calendar_US)),IF(ISNUMBER(_xll.BDH(config!$G$4,H$1,$A29,$A29)),_xll.BDH(config!$G$4,H$1,$A29,$A29),_xll.BDH(config!$G$5,H$1,$A29,$A29))))</f>
        <v>176399</v>
      </c>
      <c r="I29" s="8" t="str">
        <f>IF($A29="","",IF(ISNUMBER(FIND("IMPVOL",I$1)),_xll.BDH(config!$G$4,I$1,WORKDAY($A29,-1,config_Holiday_Calendar_US),WORKDAY($A29,-1,config_Holiday_Calendar_US)),IF(ISNUMBER(_xll.BDH(config!$G$4,I$1,$A29,$A29)),_xll.BDH(config!$G$4,I$1,$A29,$A29),_xll.BDH(config!$G$5,I$1,$A29,$A29))))</f>
        <v>#N/A Requesting Data...</v>
      </c>
      <c r="J29" s="8" t="str">
        <f>IF($A29="","",IF(ISNUMBER(FIND("IMPVOL",J$1)),_xll.BDH(config!$G$4,J$1,WORKDAY($A29,-1,config_Holiday_Calendar_US),WORKDAY($A29,-1,config_Holiday_Calendar_US)),IF(ISNUMBER(_xll.BDH(config!$G$4,J$1,$A29,$A29)),_xll.BDH(config!$G$4,J$1,$A29,$A29),_xll.BDH(config!$G$5,J$1,$A29,$A29))))</f>
        <v>#N/A Requesting Data...</v>
      </c>
      <c r="K29" s="8" t="str">
        <f>IF($A29="","",IF(ISNUMBER(FIND("IMPVOL",K$1)),_xll.BDH(config!$G$4,K$1,WORKDAY($A29,-1,config_Holiday_Calendar_US),WORKDAY($A29,-1,config_Holiday_Calendar_US)),IF(ISNUMBER(_xll.BDH(config!$G$4,K$1,$A29,$A29)),_xll.BDH(config!$G$4,K$1,$A29,$A29),_xll.BDH(config!$G$5,K$1,$A29,$A29))))</f>
        <v>#N/A Requesting Data...</v>
      </c>
      <c r="L29" s="8" t="str">
        <f>IF($A29="","",IF(ISNUMBER(FIND("IMPVOL",L$1)),_xll.BDH(config!$G$4,L$1,WORKDAY($A29,-1,config_Holiday_Calendar_US),WORKDAY($A29,-1,config_Holiday_Calendar_US)),IF(ISNUMBER(_xll.BDH(config!$G$4,L$1,$A29,$A29)),_xll.BDH(config!$G$4,L$1,$A29,$A29),_xll.BDH(config!$G$5,L$1,$A29,$A29))))</f>
        <v>#N/A Requesting Data...</v>
      </c>
      <c r="M29" s="8" t="str">
        <f>IF($A29="","",IF(ISNUMBER(FIND("IMPVOL",M$1)),_xll.BDH(config!$G$4,M$1,WORKDAY($A29,-1,config_Holiday_Calendar_US),WORKDAY($A29,-1,config_Holiday_Calendar_US)),IF(ISNUMBER(_xll.BDH(config!$G$4,M$1,$A29,$A29)),_xll.BDH(config!$G$4,M$1,$A29,$A29),_xll.BDH(config!$G$5,M$1,$A29,$A29))))</f>
        <v>#N/A Requesting Data...</v>
      </c>
      <c r="N29" s="8" t="str">
        <f>IF($A29="","",IF(ISNUMBER(FIND("IMPVOL",N$1)),_xll.BDH(config!$G$4,N$1,WORKDAY($A29,-1,config_Holiday_Calendar_US),WORKDAY($A29,-1,config_Holiday_Calendar_US)),IF(ISNUMBER(_xll.BDH(config!$G$4,N$1,$A29,$A29)),_xll.BDH(config!$G$4,N$1,$A29,$A29),_xll.BDH(config!$G$5,N$1,$A29,$A29))))</f>
        <v>#N/A Requesting Data...</v>
      </c>
      <c r="O29" s="8" t="str">
        <f>IF($A29="","",IF(ISNUMBER(FIND("IMPVOL",O$1)),_xll.BDH(config!$G$4,O$1,WORKDAY($A29,-1,config_Holiday_Calendar_US),WORKDAY($A29,-1,config_Holiday_Calendar_US)),IF(ISNUMBER(_xll.BDH(config!$G$4,O$1,$A29,$A29)),_xll.BDH(config!$G$4,O$1,$A29,$A29),_xll.BDH(config!$G$5,O$1,$A29,$A29))))</f>
        <v>#N/A Requesting Data...</v>
      </c>
      <c r="P29" s="8" t="str">
        <f>IF($A29="","",IF(ISNUMBER(FIND("IMPVOL",P$1)),_xll.BDH(config!$G$4,P$1,WORKDAY($A29,-1,config_Holiday_Calendar_US),WORKDAY($A29,-1,config_Holiday_Calendar_US)),IF(ISNUMBER(_xll.BDH(config!$G$4,P$1,$A29,$A29)),_xll.BDH(config!$G$4,P$1,$A29,$A29),_xll.BDH(config!$G$5,P$1,$A29,$A29))))</f>
        <v>#N/A Requesting Data...</v>
      </c>
      <c r="Q29" s="8">
        <f>IF($A29="","",IF(ISNUMBER(FIND("IMPVOL",Q$1)),_xll.BDH(config!$G$4,Q$1,WORKDAY($A29,-1,config_Holiday_Calendar_US),WORKDAY($A29,-1,config_Holiday_Calendar_US)),IF(ISNUMBER(_xll.BDH(config!$G$4,Q$1,$A29,$A29)),_xll.BDH(config!$G$4,Q$1,$A29,$A29),_xll.BDH(config!$G$5,Q$1,$A29,$A29))))</f>
        <v>17.649999999999999</v>
      </c>
      <c r="R29" s="8">
        <f>IF($A29="","",IF(ISNUMBER(FIND("IMPVOL",R$1)),_xll.BDH(config!$G$4,R$1,WORKDAY($A29,-1,config_Holiday_Calendar_US),WORKDAY($A29,-1,config_Holiday_Calendar_US)),IF(ISNUMBER(_xll.BDH(config!$G$4,R$1,$A29,$A29)),_xll.BDH(config!$G$4,R$1,$A29,$A29),_xll.BDH(config!$G$5,R$1,$A29,$A29))))</f>
        <v>18.72</v>
      </c>
      <c r="S29" s="8" t="str">
        <f>IF($A29="","",IF(ISNUMBER(FIND("IMPVOL",S$1)),_xll.BDH(config!$G$4,S$1,WORKDAY($A29,-1,config_Holiday_Calendar_US),WORKDAY($A29,-1,config_Holiday_Calendar_US)),IF(ISNUMBER(_xll.BDH(config!$G$4,S$1,$A29,$A29)),_xll.BDH(config!$G$4,S$1,$A29,$A29),_xll.BDH(config!$G$5,S$1,$A29,$A29))))</f>
        <v>#N/A Requesting Data...</v>
      </c>
      <c r="T29" s="8" t="str">
        <f>IF($A29="","",IF(ISNUMBER(FIND("IMPVOL",T$1)),_xll.BDH(config!$G$4,T$1,WORKDAY($A29,-1,config_Holiday_Calendar_US),WORKDAY($A29,-1,config_Holiday_Calendar_US)),IF(ISNUMBER(_xll.BDH(config!$G$4,T$1,$A29,$A29)),_xll.BDH(config!$G$4,T$1,$A29,$A29),_xll.BDH(config!$G$5,T$1,$A29,$A29))))</f>
        <v>#N/A Requesting Data...</v>
      </c>
      <c r="U29" s="8" t="str">
        <f>IF($A29="","",IF(ISNUMBER(FIND("IMPVOL",U$1)),_xll.BDH(config!$G$4,U$1,WORKDAY($A29,-1,config_Holiday_Calendar_US),WORKDAY($A29,-1,config_Holiday_Calendar_US)),IF(ISNUMBER(_xll.BDH(config!$G$4,U$1,$A29,$A29)),_xll.BDH(config!$G$4,U$1,$A29,$A29),_xll.BDH(config!$G$5,U$1,$A29,$A29))))</f>
        <v>#N/A Requesting Data...</v>
      </c>
      <c r="V29" s="8" t="str">
        <f>IF($A29="","",IF(ISNUMBER(FIND("IMPVOL",V$1)),_xll.BDH(config!$G$4,V$1,WORKDAY($A29,-1,config_Holiday_Calendar_US),WORKDAY($A29,-1,config_Holiday_Calendar_US)),IF(ISNUMBER(_xll.BDH(config!$G$4,V$1,$A29,$A29)),_xll.BDH(config!$G$4,V$1,$A29,$A29),_xll.BDH(config!$G$5,V$1,$A29,$A29))))</f>
        <v>#N/A Requesting Data...</v>
      </c>
      <c r="W29" s="8" t="str">
        <f>IF($A29="","",IF(ISNUMBER(FIND("IMPVOL",W$1)),_xll.BDH(config!$G$4,W$1,WORKDAY($A29,-1,config_Holiday_Calendar_US),WORKDAY($A29,-1,config_Holiday_Calendar_US)),IF(ISNUMBER(_xll.BDH(config!$G$4,W$1,$A29,$A29)),_xll.BDH(config!$G$4,W$1,$A29,$A29),_xll.BDH(config!$G$5,W$1,$A29,$A29))))</f>
        <v>#N/A Requesting Data...</v>
      </c>
    </row>
    <row r="30" spans="1:23" x14ac:dyDescent="0.2">
      <c r="A30" s="9">
        <f>IF(A29="","",IF(WORKDAY(A29,-1,config_Holiday_Calendar_US)&lt;config!$I$10,"",WORKDAY(A29,-1,config_Holiday_Calendar_US)))</f>
        <v>42795</v>
      </c>
      <c r="B30" s="8" t="e">
        <f t="shared" si="0"/>
        <v>#VALUE!</v>
      </c>
      <c r="C30" s="8" t="str">
        <f>IF(A30="","",_xll.BDH(config!$H$4,C$1,$A30,$A30))</f>
        <v>#N/A Requesting Data...</v>
      </c>
      <c r="D30" s="8" t="str">
        <f>IF($A30="","",_xll.BDH(config!$H$4,D$1,$A30,$A30))</f>
        <v>#N/A Requesting Data...</v>
      </c>
      <c r="E30" s="8">
        <f>IF($A30="","",IF(ISNUMBER(FIND("IMPVOL",E$1)),_xll.BDH(config!$G$4,E$1,WORKDAY($A30,-1,config_Holiday_Calendar_US),WORKDAY($A30,-1,config_Holiday_Calendar_US)),IF(ISNUMBER(_xll.BDH(config!$G$4,E$1,$A30,$A30)),_xll.BDH(config!$G$4,E$1,$A30,$A30),_xll.BDH(config!$G$5,E$1,$A30,$A30))))</f>
        <v>54.41</v>
      </c>
      <c r="F30" s="8">
        <f>IF($A30="","",IF(ISNUMBER(FIND("IMPVOL",F$1)),_xll.BDH(config!$G$4,F$1,WORKDAY($A30,-1,config_Holiday_Calendar_US),WORKDAY($A30,-1,config_Holiday_Calendar_US)),IF(ISNUMBER(_xll.BDH(config!$G$4,F$1,$A30,$A30)),_xll.BDH(config!$G$4,F$1,$A30,$A30),_xll.BDH(config!$G$5,F$1,$A30,$A30))))</f>
        <v>54.85</v>
      </c>
      <c r="G30" s="8">
        <f>IF($A30="","",IF(ISNUMBER(FIND("IMPVOL",G$1)),_xll.BDH(config!$G$4,G$1,WORKDAY($A30,-1,config_Holiday_Calendar_US),WORKDAY($A30,-1,config_Holiday_Calendar_US)),IF(ISNUMBER(_xll.BDH(config!$G$4,G$1,$A30,$A30)),_xll.BDH(config!$G$4,G$1,$A30,$A30),_xll.BDH(config!$G$5,G$1,$A30,$A30))))</f>
        <v>54.1</v>
      </c>
      <c r="H30" s="8">
        <f>IF($A30="","",IF(ISNUMBER(FIND("IMPVOL",H$1)),_xll.BDH(config!$G$4,H$1,WORKDAY($A30,-1,config_Holiday_Calendar_US),WORKDAY($A30,-1,config_Holiday_Calendar_US)),IF(ISNUMBER(_xll.BDH(config!$G$4,H$1,$A30,$A30)),_xll.BDH(config!$G$4,H$1,$A30,$A30),_xll.BDH(config!$G$5,H$1,$A30,$A30))))</f>
        <v>125116</v>
      </c>
      <c r="I30" s="8" t="str">
        <f>IF($A30="","",IF(ISNUMBER(FIND("IMPVOL",I$1)),_xll.BDH(config!$G$4,I$1,WORKDAY($A30,-1,config_Holiday_Calendar_US),WORKDAY($A30,-1,config_Holiday_Calendar_US)),IF(ISNUMBER(_xll.BDH(config!$G$4,I$1,$A30,$A30)),_xll.BDH(config!$G$4,I$1,$A30,$A30),_xll.BDH(config!$G$5,I$1,$A30,$A30))))</f>
        <v>#N/A Requesting Data...</v>
      </c>
      <c r="J30" s="8" t="str">
        <f>IF($A30="","",IF(ISNUMBER(FIND("IMPVOL",J$1)),_xll.BDH(config!$G$4,J$1,WORKDAY($A30,-1,config_Holiday_Calendar_US),WORKDAY($A30,-1,config_Holiday_Calendar_US)),IF(ISNUMBER(_xll.BDH(config!$G$4,J$1,$A30,$A30)),_xll.BDH(config!$G$4,J$1,$A30,$A30),_xll.BDH(config!$G$5,J$1,$A30,$A30))))</f>
        <v>#N/A Requesting Data...</v>
      </c>
      <c r="K30" s="8" t="str">
        <f>IF($A30="","",IF(ISNUMBER(FIND("IMPVOL",K$1)),_xll.BDH(config!$G$4,K$1,WORKDAY($A30,-1,config_Holiday_Calendar_US),WORKDAY($A30,-1,config_Holiday_Calendar_US)),IF(ISNUMBER(_xll.BDH(config!$G$4,K$1,$A30,$A30)),_xll.BDH(config!$G$4,K$1,$A30,$A30),_xll.BDH(config!$G$5,K$1,$A30,$A30))))</f>
        <v>#N/A Requesting Data...</v>
      </c>
      <c r="L30" s="8" t="str">
        <f>IF($A30="","",IF(ISNUMBER(FIND("IMPVOL",L$1)),_xll.BDH(config!$G$4,L$1,WORKDAY($A30,-1,config_Holiday_Calendar_US),WORKDAY($A30,-1,config_Holiday_Calendar_US)),IF(ISNUMBER(_xll.BDH(config!$G$4,L$1,$A30,$A30)),_xll.BDH(config!$G$4,L$1,$A30,$A30),_xll.BDH(config!$G$5,L$1,$A30,$A30))))</f>
        <v>#N/A Requesting Data...</v>
      </c>
      <c r="M30" s="8" t="str">
        <f>IF($A30="","",IF(ISNUMBER(FIND("IMPVOL",M$1)),_xll.BDH(config!$G$4,M$1,WORKDAY($A30,-1,config_Holiday_Calendar_US),WORKDAY($A30,-1,config_Holiday_Calendar_US)),IF(ISNUMBER(_xll.BDH(config!$G$4,M$1,$A30,$A30)),_xll.BDH(config!$G$4,M$1,$A30,$A30),_xll.BDH(config!$G$5,M$1,$A30,$A30))))</f>
        <v>#N/A Requesting Data...</v>
      </c>
      <c r="N30" s="8" t="str">
        <f>IF($A30="","",IF(ISNUMBER(FIND("IMPVOL",N$1)),_xll.BDH(config!$G$4,N$1,WORKDAY($A30,-1,config_Holiday_Calendar_US),WORKDAY($A30,-1,config_Holiday_Calendar_US)),IF(ISNUMBER(_xll.BDH(config!$G$4,N$1,$A30,$A30)),_xll.BDH(config!$G$4,N$1,$A30,$A30),_xll.BDH(config!$G$5,N$1,$A30,$A30))))</f>
        <v>#N/A Requesting Data...</v>
      </c>
      <c r="O30" s="8" t="str">
        <f>IF($A30="","",IF(ISNUMBER(FIND("IMPVOL",O$1)),_xll.BDH(config!$G$4,O$1,WORKDAY($A30,-1,config_Holiday_Calendar_US),WORKDAY($A30,-1,config_Holiday_Calendar_US)),IF(ISNUMBER(_xll.BDH(config!$G$4,O$1,$A30,$A30)),_xll.BDH(config!$G$4,O$1,$A30,$A30),_xll.BDH(config!$G$5,O$1,$A30,$A30))))</f>
        <v>#N/A Requesting Data...</v>
      </c>
      <c r="P30" s="8" t="str">
        <f>IF($A30="","",IF(ISNUMBER(FIND("IMPVOL",P$1)),_xll.BDH(config!$G$4,P$1,WORKDAY($A30,-1,config_Holiday_Calendar_US),WORKDAY($A30,-1,config_Holiday_Calendar_US)),IF(ISNUMBER(_xll.BDH(config!$G$4,P$1,$A30,$A30)),_xll.BDH(config!$G$4,P$1,$A30,$A30),_xll.BDH(config!$G$5,P$1,$A30,$A30))))</f>
        <v>#N/A Requesting Data...</v>
      </c>
      <c r="Q30" s="8">
        <f>IF($A30="","",IF(ISNUMBER(FIND("IMPVOL",Q$1)),_xll.BDH(config!$G$4,Q$1,WORKDAY($A30,-1,config_Holiday_Calendar_US),WORKDAY($A30,-1,config_Holiday_Calendar_US)),IF(ISNUMBER(_xll.BDH(config!$G$4,Q$1,$A30,$A30)),_xll.BDH(config!$G$4,Q$1,$A30,$A30),_xll.BDH(config!$G$5,Q$1,$A30,$A30))))</f>
        <v>12.2</v>
      </c>
      <c r="R30" s="8">
        <f>IF($A30="","",IF(ISNUMBER(FIND("IMPVOL",R$1)),_xll.BDH(config!$G$4,R$1,WORKDAY($A30,-1,config_Holiday_Calendar_US),WORKDAY($A30,-1,config_Holiday_Calendar_US)),IF(ISNUMBER(_xll.BDH(config!$G$4,R$1,$A30,$A30)),_xll.BDH(config!$G$4,R$1,$A30,$A30),_xll.BDH(config!$G$5,R$1,$A30,$A30))))</f>
        <v>17.309999999999999</v>
      </c>
      <c r="S30" s="8" t="str">
        <f>IF($A30="","",IF(ISNUMBER(FIND("IMPVOL",S$1)),_xll.BDH(config!$G$4,S$1,WORKDAY($A30,-1,config_Holiday_Calendar_US),WORKDAY($A30,-1,config_Holiday_Calendar_US)),IF(ISNUMBER(_xll.BDH(config!$G$4,S$1,$A30,$A30)),_xll.BDH(config!$G$4,S$1,$A30,$A30),_xll.BDH(config!$G$5,S$1,$A30,$A30))))</f>
        <v>#N/A Requesting Data...</v>
      </c>
      <c r="T30" s="8" t="str">
        <f>IF($A30="","",IF(ISNUMBER(FIND("IMPVOL",T$1)),_xll.BDH(config!$G$4,T$1,WORKDAY($A30,-1,config_Holiday_Calendar_US),WORKDAY($A30,-1,config_Holiday_Calendar_US)),IF(ISNUMBER(_xll.BDH(config!$G$4,T$1,$A30,$A30)),_xll.BDH(config!$G$4,T$1,$A30,$A30),_xll.BDH(config!$G$5,T$1,$A30,$A30))))</f>
        <v>#N/A Requesting Data...</v>
      </c>
      <c r="U30" s="8" t="str">
        <f>IF($A30="","",IF(ISNUMBER(FIND("IMPVOL",U$1)),_xll.BDH(config!$G$4,U$1,WORKDAY($A30,-1,config_Holiday_Calendar_US),WORKDAY($A30,-1,config_Holiday_Calendar_US)),IF(ISNUMBER(_xll.BDH(config!$G$4,U$1,$A30,$A30)),_xll.BDH(config!$G$4,U$1,$A30,$A30),_xll.BDH(config!$G$5,U$1,$A30,$A30))))</f>
        <v>#N/A Requesting Data...</v>
      </c>
      <c r="V30" s="8" t="str">
        <f>IF($A30="","",IF(ISNUMBER(FIND("IMPVOL",V$1)),_xll.BDH(config!$G$4,V$1,WORKDAY($A30,-1,config_Holiday_Calendar_US),WORKDAY($A30,-1,config_Holiday_Calendar_US)),IF(ISNUMBER(_xll.BDH(config!$G$4,V$1,$A30,$A30)),_xll.BDH(config!$G$4,V$1,$A30,$A30),_xll.BDH(config!$G$5,V$1,$A30,$A30))))</f>
        <v>#N/A Requesting Data...</v>
      </c>
      <c r="W30" s="8" t="str">
        <f>IF($A30="","",IF(ISNUMBER(FIND("IMPVOL",W$1)),_xll.BDH(config!$G$4,W$1,WORKDAY($A30,-1,config_Holiday_Calendar_US),WORKDAY($A30,-1,config_Holiday_Calendar_US)),IF(ISNUMBER(_xll.BDH(config!$G$4,W$1,$A30,$A30)),_xll.BDH(config!$G$4,W$1,$A30,$A30),_xll.BDH(config!$G$5,W$1,$A30,$A30))))</f>
        <v>#N/A Requesting Data...</v>
      </c>
    </row>
    <row r="31" spans="1:23" x14ac:dyDescent="0.2">
      <c r="A31" s="9">
        <f>IF(A30="","",IF(WORKDAY(A30,-1,config_Holiday_Calendar_US)&lt;config!$I$10,"",WORKDAY(A30,-1,config_Holiday_Calendar_US)))</f>
        <v>42794</v>
      </c>
      <c r="B31" s="8" t="e">
        <f t="shared" si="0"/>
        <v>#VALUE!</v>
      </c>
      <c r="C31" s="8" t="str">
        <f>IF(A31="","",_xll.BDH(config!$H$4,C$1,$A31,$A31))</f>
        <v>#N/A Requesting Data...</v>
      </c>
      <c r="D31" s="8" t="str">
        <f>IF($A31="","",_xll.BDH(config!$H$4,D$1,$A31,$A31))</f>
        <v>#N/A Requesting Data...</v>
      </c>
      <c r="E31" s="8">
        <f>IF($A31="","",IF(ISNUMBER(FIND("IMPVOL",E$1)),_xll.BDH(config!$G$4,E$1,WORKDAY($A31,-1,config_Holiday_Calendar_US),WORKDAY($A31,-1,config_Holiday_Calendar_US)),IF(ISNUMBER(_xll.BDH(config!$G$4,E$1,$A31,$A31)),_xll.BDH(config!$G$4,E$1,$A31,$A31),_xll.BDH(config!$G$5,E$1,$A31,$A31))))</f>
        <v>54.4</v>
      </c>
      <c r="F31" s="8">
        <f>IF($A31="","",IF(ISNUMBER(FIND("IMPVOL",F$1)),_xll.BDH(config!$G$4,F$1,WORKDAY($A31,-1,config_Holiday_Calendar_US),WORKDAY($A31,-1,config_Holiday_Calendar_US)),IF(ISNUMBER(_xll.BDH(config!$G$4,F$1,$A31,$A31)),_xll.BDH(config!$G$4,F$1,$A31,$A31),_xll.BDH(config!$G$5,F$1,$A31,$A31))))</f>
        <v>54.61</v>
      </c>
      <c r="G31" s="8">
        <f>IF($A31="","",IF(ISNUMBER(FIND("IMPVOL",G$1)),_xll.BDH(config!$G$4,G$1,WORKDAY($A31,-1,config_Holiday_Calendar_US),WORKDAY($A31,-1,config_Holiday_Calendar_US)),IF(ISNUMBER(_xll.BDH(config!$G$4,G$1,$A31,$A31)),_xll.BDH(config!$G$4,G$1,$A31,$A31),_xll.BDH(config!$G$5,G$1,$A31,$A31))))</f>
        <v>53.62</v>
      </c>
      <c r="H31" s="8">
        <f>IF($A31="","",IF(ISNUMBER(FIND("IMPVOL",H$1)),_xll.BDH(config!$G$4,H$1,WORKDAY($A31,-1,config_Holiday_Calendar_US),WORKDAY($A31,-1,config_Holiday_Calendar_US)),IF(ISNUMBER(_xll.BDH(config!$G$4,H$1,$A31,$A31)),_xll.BDH(config!$G$4,H$1,$A31,$A31),_xll.BDH(config!$G$5,H$1,$A31,$A31))))</f>
        <v>193975</v>
      </c>
      <c r="I31" s="8" t="str">
        <f>IF($A31="","",IF(ISNUMBER(FIND("IMPVOL",I$1)),_xll.BDH(config!$G$4,I$1,WORKDAY($A31,-1,config_Holiday_Calendar_US),WORKDAY($A31,-1,config_Holiday_Calendar_US)),IF(ISNUMBER(_xll.BDH(config!$G$4,I$1,$A31,$A31)),_xll.BDH(config!$G$4,I$1,$A31,$A31),_xll.BDH(config!$G$5,I$1,$A31,$A31))))</f>
        <v>#N/A Requesting Data...</v>
      </c>
      <c r="J31" s="8" t="str">
        <f>IF($A31="","",IF(ISNUMBER(FIND("IMPVOL",J$1)),_xll.BDH(config!$G$4,J$1,WORKDAY($A31,-1,config_Holiday_Calendar_US),WORKDAY($A31,-1,config_Holiday_Calendar_US)),IF(ISNUMBER(_xll.BDH(config!$G$4,J$1,$A31,$A31)),_xll.BDH(config!$G$4,J$1,$A31,$A31),_xll.BDH(config!$G$5,J$1,$A31,$A31))))</f>
        <v>#N/A Requesting Data...</v>
      </c>
      <c r="K31" s="8" t="str">
        <f>IF($A31="","",IF(ISNUMBER(FIND("IMPVOL",K$1)),_xll.BDH(config!$G$4,K$1,WORKDAY($A31,-1,config_Holiday_Calendar_US),WORKDAY($A31,-1,config_Holiday_Calendar_US)),IF(ISNUMBER(_xll.BDH(config!$G$4,K$1,$A31,$A31)),_xll.BDH(config!$G$4,K$1,$A31,$A31),_xll.BDH(config!$G$5,K$1,$A31,$A31))))</f>
        <v>#N/A Requesting Data...</v>
      </c>
      <c r="L31" s="8" t="str">
        <f>IF($A31="","",IF(ISNUMBER(FIND("IMPVOL",L$1)),_xll.BDH(config!$G$4,L$1,WORKDAY($A31,-1,config_Holiday_Calendar_US),WORKDAY($A31,-1,config_Holiday_Calendar_US)),IF(ISNUMBER(_xll.BDH(config!$G$4,L$1,$A31,$A31)),_xll.BDH(config!$G$4,L$1,$A31,$A31),_xll.BDH(config!$G$5,L$1,$A31,$A31))))</f>
        <v>#N/A Requesting Data...</v>
      </c>
      <c r="M31" s="8" t="str">
        <f>IF($A31="","",IF(ISNUMBER(FIND("IMPVOL",M$1)),_xll.BDH(config!$G$4,M$1,WORKDAY($A31,-1,config_Holiday_Calendar_US),WORKDAY($A31,-1,config_Holiday_Calendar_US)),IF(ISNUMBER(_xll.BDH(config!$G$4,M$1,$A31,$A31)),_xll.BDH(config!$G$4,M$1,$A31,$A31),_xll.BDH(config!$G$5,M$1,$A31,$A31))))</f>
        <v>#N/A Requesting Data...</v>
      </c>
      <c r="N31" s="8" t="str">
        <f>IF($A31="","",IF(ISNUMBER(FIND("IMPVOL",N$1)),_xll.BDH(config!$G$4,N$1,WORKDAY($A31,-1,config_Holiday_Calendar_US),WORKDAY($A31,-1,config_Holiday_Calendar_US)),IF(ISNUMBER(_xll.BDH(config!$G$4,N$1,$A31,$A31)),_xll.BDH(config!$G$4,N$1,$A31,$A31),_xll.BDH(config!$G$5,N$1,$A31,$A31))))</f>
        <v>#N/A Requesting Data...</v>
      </c>
      <c r="O31" s="8" t="str">
        <f>IF($A31="","",IF(ISNUMBER(FIND("IMPVOL",O$1)),_xll.BDH(config!$G$4,O$1,WORKDAY($A31,-1,config_Holiday_Calendar_US),WORKDAY($A31,-1,config_Holiday_Calendar_US)),IF(ISNUMBER(_xll.BDH(config!$G$4,O$1,$A31,$A31)),_xll.BDH(config!$G$4,O$1,$A31,$A31),_xll.BDH(config!$G$5,O$1,$A31,$A31))))</f>
        <v>#N/A Requesting Data...</v>
      </c>
      <c r="P31" s="8" t="str">
        <f>IF($A31="","",IF(ISNUMBER(FIND("IMPVOL",P$1)),_xll.BDH(config!$G$4,P$1,WORKDAY($A31,-1,config_Holiday_Calendar_US),WORKDAY($A31,-1,config_Holiday_Calendar_US)),IF(ISNUMBER(_xll.BDH(config!$G$4,P$1,$A31,$A31)),_xll.BDH(config!$G$4,P$1,$A31,$A31),_xll.BDH(config!$G$5,P$1,$A31,$A31))))</f>
        <v>#N/A Requesting Data...</v>
      </c>
      <c r="Q31" s="8">
        <f>IF($A31="","",IF(ISNUMBER(FIND("IMPVOL",Q$1)),_xll.BDH(config!$G$4,Q$1,WORKDAY($A31,-1,config_Holiday_Calendar_US),WORKDAY($A31,-1,config_Holiday_Calendar_US)),IF(ISNUMBER(_xll.BDH(config!$G$4,Q$1,$A31,$A31)),_xll.BDH(config!$G$4,Q$1,$A31,$A31),_xll.BDH(config!$G$5,Q$1,$A31,$A31))))</f>
        <v>12.13</v>
      </c>
      <c r="R31" s="8">
        <f>IF($A31="","",IF(ISNUMBER(FIND("IMPVOL",R$1)),_xll.BDH(config!$G$4,R$1,WORKDAY($A31,-1,config_Holiday_Calendar_US),WORKDAY($A31,-1,config_Holiday_Calendar_US)),IF(ISNUMBER(_xll.BDH(config!$G$4,R$1,$A31,$A31)),_xll.BDH(config!$G$4,R$1,$A31,$A31),_xll.BDH(config!$G$5,R$1,$A31,$A31))))</f>
        <v>19.149999999999999</v>
      </c>
      <c r="S31" s="8" t="str">
        <f>IF($A31="","",IF(ISNUMBER(FIND("IMPVOL",S$1)),_xll.BDH(config!$G$4,S$1,WORKDAY($A31,-1,config_Holiday_Calendar_US),WORKDAY($A31,-1,config_Holiday_Calendar_US)),IF(ISNUMBER(_xll.BDH(config!$G$4,S$1,$A31,$A31)),_xll.BDH(config!$G$4,S$1,$A31,$A31),_xll.BDH(config!$G$5,S$1,$A31,$A31))))</f>
        <v>#N/A Requesting Data...</v>
      </c>
      <c r="T31" s="8" t="str">
        <f>IF($A31="","",IF(ISNUMBER(FIND("IMPVOL",T$1)),_xll.BDH(config!$G$4,T$1,WORKDAY($A31,-1,config_Holiday_Calendar_US),WORKDAY($A31,-1,config_Holiday_Calendar_US)),IF(ISNUMBER(_xll.BDH(config!$G$4,T$1,$A31,$A31)),_xll.BDH(config!$G$4,T$1,$A31,$A31),_xll.BDH(config!$G$5,T$1,$A31,$A31))))</f>
        <v>#N/A Requesting Data...</v>
      </c>
      <c r="U31" s="8" t="str">
        <f>IF($A31="","",IF(ISNUMBER(FIND("IMPVOL",U$1)),_xll.BDH(config!$G$4,U$1,WORKDAY($A31,-1,config_Holiday_Calendar_US),WORKDAY($A31,-1,config_Holiday_Calendar_US)),IF(ISNUMBER(_xll.BDH(config!$G$4,U$1,$A31,$A31)),_xll.BDH(config!$G$4,U$1,$A31,$A31),_xll.BDH(config!$G$5,U$1,$A31,$A31))))</f>
        <v>#N/A Requesting Data...</v>
      </c>
      <c r="V31" s="8" t="str">
        <f>IF($A31="","",IF(ISNUMBER(FIND("IMPVOL",V$1)),_xll.BDH(config!$G$4,V$1,WORKDAY($A31,-1,config_Holiday_Calendar_US),WORKDAY($A31,-1,config_Holiday_Calendar_US)),IF(ISNUMBER(_xll.BDH(config!$G$4,V$1,$A31,$A31)),_xll.BDH(config!$G$4,V$1,$A31,$A31),_xll.BDH(config!$G$5,V$1,$A31,$A31))))</f>
        <v>#N/A Requesting Data...</v>
      </c>
      <c r="W31" s="8" t="str">
        <f>IF($A31="","",IF(ISNUMBER(FIND("IMPVOL",W$1)),_xll.BDH(config!$G$4,W$1,WORKDAY($A31,-1,config_Holiday_Calendar_US),WORKDAY($A31,-1,config_Holiday_Calendar_US)),IF(ISNUMBER(_xll.BDH(config!$G$4,W$1,$A31,$A31)),_xll.BDH(config!$G$4,W$1,$A31,$A31),_xll.BDH(config!$G$5,W$1,$A31,$A31))))</f>
        <v>#N/A Requesting Data...</v>
      </c>
    </row>
    <row r="32" spans="1:23" x14ac:dyDescent="0.2">
      <c r="A32" s="9">
        <f>IF(A31="","",IF(WORKDAY(A31,-1,config_Holiday_Calendar_US)&lt;config!$I$10,"",WORKDAY(A31,-1,config_Holiday_Calendar_US)))</f>
        <v>42793</v>
      </c>
      <c r="B32" s="8" t="e">
        <f t="shared" si="0"/>
        <v>#VALUE!</v>
      </c>
      <c r="C32" s="8" t="str">
        <f>IF(A32="","",_xll.BDH(config!$H$4,C$1,$A32,$A32))</f>
        <v>#N/A Requesting Data...</v>
      </c>
      <c r="D32" s="8" t="str">
        <f>IF($A32="","",_xll.BDH(config!$H$4,D$1,$A32,$A32))</f>
        <v>#N/A Requesting Data...</v>
      </c>
      <c r="E32" s="8">
        <f>IF($A32="","",IF(ISNUMBER(FIND("IMPVOL",E$1)),_xll.BDH(config!$G$4,E$1,WORKDAY($A32,-1,config_Holiday_Calendar_US),WORKDAY($A32,-1,config_Holiday_Calendar_US)),IF(ISNUMBER(_xll.BDH(config!$G$4,E$1,$A32,$A32)),_xll.BDH(config!$G$4,E$1,$A32,$A32),_xll.BDH(config!$G$5,E$1,$A32,$A32))))</f>
        <v>54.34</v>
      </c>
      <c r="F32" s="8">
        <f>IF($A32="","",IF(ISNUMBER(FIND("IMPVOL",F$1)),_xll.BDH(config!$G$4,F$1,WORKDAY($A32,-1,config_Holiday_Calendar_US),WORKDAY($A32,-1,config_Holiday_Calendar_US)),IF(ISNUMBER(_xll.BDH(config!$G$4,F$1,$A32,$A32)),_xll.BDH(config!$G$4,F$1,$A32,$A32),_xll.BDH(config!$G$5,F$1,$A32,$A32))))</f>
        <v>54.93</v>
      </c>
      <c r="G32" s="8">
        <f>IF($A32="","",IF(ISNUMBER(FIND("IMPVOL",G$1)),_xll.BDH(config!$G$4,G$1,WORKDAY($A32,-1,config_Holiday_Calendar_US),WORKDAY($A32,-1,config_Holiday_Calendar_US)),IF(ISNUMBER(_xll.BDH(config!$G$4,G$1,$A32,$A32)),_xll.BDH(config!$G$4,G$1,$A32,$A32),_xll.BDH(config!$G$5,G$1,$A32,$A32))))</f>
        <v>54.28</v>
      </c>
      <c r="H32" s="8">
        <f>IF($A32="","",IF(ISNUMBER(FIND("IMPVOL",H$1)),_xll.BDH(config!$G$4,H$1,WORKDAY($A32,-1,config_Holiday_Calendar_US),WORKDAY($A32,-1,config_Holiday_Calendar_US)),IF(ISNUMBER(_xll.BDH(config!$G$4,H$1,$A32,$A32)),_xll.BDH(config!$G$4,H$1,$A32,$A32),_xll.BDH(config!$G$5,H$1,$A32,$A32))))</f>
        <v>129483</v>
      </c>
      <c r="I32" s="8" t="str">
        <f>IF($A32="","",IF(ISNUMBER(FIND("IMPVOL",I$1)),_xll.BDH(config!$G$4,I$1,WORKDAY($A32,-1,config_Holiday_Calendar_US),WORKDAY($A32,-1,config_Holiday_Calendar_US)),IF(ISNUMBER(_xll.BDH(config!$G$4,I$1,$A32,$A32)),_xll.BDH(config!$G$4,I$1,$A32,$A32),_xll.BDH(config!$G$5,I$1,$A32,$A32))))</f>
        <v>#N/A Requesting Data...</v>
      </c>
      <c r="J32" s="8" t="str">
        <f>IF($A32="","",IF(ISNUMBER(FIND("IMPVOL",J$1)),_xll.BDH(config!$G$4,J$1,WORKDAY($A32,-1,config_Holiday_Calendar_US),WORKDAY($A32,-1,config_Holiday_Calendar_US)),IF(ISNUMBER(_xll.BDH(config!$G$4,J$1,$A32,$A32)),_xll.BDH(config!$G$4,J$1,$A32,$A32),_xll.BDH(config!$G$5,J$1,$A32,$A32))))</f>
        <v>#N/A Requesting Data...</v>
      </c>
      <c r="K32" s="8" t="str">
        <f>IF($A32="","",IF(ISNUMBER(FIND("IMPVOL",K$1)),_xll.BDH(config!$G$4,K$1,WORKDAY($A32,-1,config_Holiday_Calendar_US),WORKDAY($A32,-1,config_Holiday_Calendar_US)),IF(ISNUMBER(_xll.BDH(config!$G$4,K$1,$A32,$A32)),_xll.BDH(config!$G$4,K$1,$A32,$A32),_xll.BDH(config!$G$5,K$1,$A32,$A32))))</f>
        <v>#N/A Requesting Data...</v>
      </c>
      <c r="L32" s="8" t="str">
        <f>IF($A32="","",IF(ISNUMBER(FIND("IMPVOL",L$1)),_xll.BDH(config!$G$4,L$1,WORKDAY($A32,-1,config_Holiday_Calendar_US),WORKDAY($A32,-1,config_Holiday_Calendar_US)),IF(ISNUMBER(_xll.BDH(config!$G$4,L$1,$A32,$A32)),_xll.BDH(config!$G$4,L$1,$A32,$A32),_xll.BDH(config!$G$5,L$1,$A32,$A32))))</f>
        <v>#N/A Requesting Data...</v>
      </c>
      <c r="M32" s="8" t="str">
        <f>IF($A32="","",IF(ISNUMBER(FIND("IMPVOL",M$1)),_xll.BDH(config!$G$4,M$1,WORKDAY($A32,-1,config_Holiday_Calendar_US),WORKDAY($A32,-1,config_Holiday_Calendar_US)),IF(ISNUMBER(_xll.BDH(config!$G$4,M$1,$A32,$A32)),_xll.BDH(config!$G$4,M$1,$A32,$A32),_xll.BDH(config!$G$5,M$1,$A32,$A32))))</f>
        <v>#N/A Requesting Data...</v>
      </c>
      <c r="N32" s="8" t="str">
        <f>IF($A32="","",IF(ISNUMBER(FIND("IMPVOL",N$1)),_xll.BDH(config!$G$4,N$1,WORKDAY($A32,-1,config_Holiday_Calendar_US),WORKDAY($A32,-1,config_Holiday_Calendar_US)),IF(ISNUMBER(_xll.BDH(config!$G$4,N$1,$A32,$A32)),_xll.BDH(config!$G$4,N$1,$A32,$A32),_xll.BDH(config!$G$5,N$1,$A32,$A32))))</f>
        <v>#N/A Requesting Data...</v>
      </c>
      <c r="O32" s="8" t="str">
        <f>IF($A32="","",IF(ISNUMBER(FIND("IMPVOL",O$1)),_xll.BDH(config!$G$4,O$1,WORKDAY($A32,-1,config_Holiday_Calendar_US),WORKDAY($A32,-1,config_Holiday_Calendar_US)),IF(ISNUMBER(_xll.BDH(config!$G$4,O$1,$A32,$A32)),_xll.BDH(config!$G$4,O$1,$A32,$A32),_xll.BDH(config!$G$5,O$1,$A32,$A32))))</f>
        <v>#N/A Requesting Data...</v>
      </c>
      <c r="P32" s="8" t="str">
        <f>IF($A32="","",IF(ISNUMBER(FIND("IMPVOL",P$1)),_xll.BDH(config!$G$4,P$1,WORKDAY($A32,-1,config_Holiday_Calendar_US),WORKDAY($A32,-1,config_Holiday_Calendar_US)),IF(ISNUMBER(_xll.BDH(config!$G$4,P$1,$A32,$A32)),_xll.BDH(config!$G$4,P$1,$A32,$A32),_xll.BDH(config!$G$5,P$1,$A32,$A32))))</f>
        <v>#N/A Requesting Data...</v>
      </c>
      <c r="Q32" s="8">
        <f>IF($A32="","",IF(ISNUMBER(FIND("IMPVOL",Q$1)),_xll.BDH(config!$G$4,Q$1,WORKDAY($A32,-1,config_Holiday_Calendar_US),WORKDAY($A32,-1,config_Holiday_Calendar_US)),IF(ISNUMBER(_xll.BDH(config!$G$4,Q$1,$A32,$A32)),_xll.BDH(config!$G$4,Q$1,$A32,$A32),_xll.BDH(config!$G$5,Q$1,$A32,$A32))))</f>
        <v>12.25</v>
      </c>
      <c r="R32" s="8">
        <f>IF($A32="","",IF(ISNUMBER(FIND("IMPVOL",R$1)),_xll.BDH(config!$G$4,R$1,WORKDAY($A32,-1,config_Holiday_Calendar_US),WORKDAY($A32,-1,config_Holiday_Calendar_US)),IF(ISNUMBER(_xll.BDH(config!$G$4,R$1,$A32,$A32)),_xll.BDH(config!$G$4,R$1,$A32,$A32),_xll.BDH(config!$G$5,R$1,$A32,$A32))))</f>
        <v>19.16</v>
      </c>
      <c r="S32" s="8" t="str">
        <f>IF($A32="","",IF(ISNUMBER(FIND("IMPVOL",S$1)),_xll.BDH(config!$G$4,S$1,WORKDAY($A32,-1,config_Holiday_Calendar_US),WORKDAY($A32,-1,config_Holiday_Calendar_US)),IF(ISNUMBER(_xll.BDH(config!$G$4,S$1,$A32,$A32)),_xll.BDH(config!$G$4,S$1,$A32,$A32),_xll.BDH(config!$G$5,S$1,$A32,$A32))))</f>
        <v>#N/A Requesting Data...</v>
      </c>
      <c r="T32" s="8" t="str">
        <f>IF($A32="","",IF(ISNUMBER(FIND("IMPVOL",T$1)),_xll.BDH(config!$G$4,T$1,WORKDAY($A32,-1,config_Holiday_Calendar_US),WORKDAY($A32,-1,config_Holiday_Calendar_US)),IF(ISNUMBER(_xll.BDH(config!$G$4,T$1,$A32,$A32)),_xll.BDH(config!$G$4,T$1,$A32,$A32),_xll.BDH(config!$G$5,T$1,$A32,$A32))))</f>
        <v>#N/A Requesting Data...</v>
      </c>
      <c r="U32" s="8" t="str">
        <f>IF($A32="","",IF(ISNUMBER(FIND("IMPVOL",U$1)),_xll.BDH(config!$G$4,U$1,WORKDAY($A32,-1,config_Holiday_Calendar_US),WORKDAY($A32,-1,config_Holiday_Calendar_US)),IF(ISNUMBER(_xll.BDH(config!$G$4,U$1,$A32,$A32)),_xll.BDH(config!$G$4,U$1,$A32,$A32),_xll.BDH(config!$G$5,U$1,$A32,$A32))))</f>
        <v>#N/A Requesting Data...</v>
      </c>
      <c r="V32" s="8" t="str">
        <f>IF($A32="","",IF(ISNUMBER(FIND("IMPVOL",V$1)),_xll.BDH(config!$G$4,V$1,WORKDAY($A32,-1,config_Holiday_Calendar_US),WORKDAY($A32,-1,config_Holiday_Calendar_US)),IF(ISNUMBER(_xll.BDH(config!$G$4,V$1,$A32,$A32)),_xll.BDH(config!$G$4,V$1,$A32,$A32),_xll.BDH(config!$G$5,V$1,$A32,$A32))))</f>
        <v>#N/A Requesting Data...</v>
      </c>
      <c r="W32" s="8" t="str">
        <f>IF($A32="","",IF(ISNUMBER(FIND("IMPVOL",W$1)),_xll.BDH(config!$G$4,W$1,WORKDAY($A32,-1,config_Holiday_Calendar_US),WORKDAY($A32,-1,config_Holiday_Calendar_US)),IF(ISNUMBER(_xll.BDH(config!$G$4,W$1,$A32,$A32)),_xll.BDH(config!$G$4,W$1,$A32,$A32),_xll.BDH(config!$G$5,W$1,$A32,$A32))))</f>
        <v>#N/A Requesting Data...</v>
      </c>
    </row>
    <row r="33" spans="1:23" x14ac:dyDescent="0.2">
      <c r="A33" s="9">
        <f>IF(A32="","",IF(WORKDAY(A32,-1,config_Holiday_Calendar_US)&lt;config!$I$10,"",WORKDAY(A32,-1,config_Holiday_Calendar_US)))</f>
        <v>42790</v>
      </c>
      <c r="B33" s="8" t="e">
        <f t="shared" si="0"/>
        <v>#VALUE!</v>
      </c>
      <c r="C33" s="8" t="str">
        <f>IF(A33="","",_xll.BDH(config!$H$4,C$1,$A33,$A33))</f>
        <v>#N/A Requesting Data...</v>
      </c>
      <c r="D33" s="8" t="str">
        <f>IF($A33="","",_xll.BDH(config!$H$4,D$1,$A33,$A33))</f>
        <v>#N/A Requesting Data...</v>
      </c>
      <c r="E33" s="8">
        <f>IF($A33="","",IF(ISNUMBER(FIND("IMPVOL",E$1)),_xll.BDH(config!$G$4,E$1,WORKDAY($A33,-1,config_Holiday_Calendar_US),WORKDAY($A33,-1,config_Holiday_Calendar_US)),IF(ISNUMBER(_xll.BDH(config!$G$4,E$1,$A33,$A33)),_xll.BDH(config!$G$4,E$1,$A33,$A33),_xll.BDH(config!$G$5,E$1,$A33,$A33))))</f>
        <v>54.62</v>
      </c>
      <c r="F33" s="8">
        <f>IF($A33="","",IF(ISNUMBER(FIND("IMPVOL",F$1)),_xll.BDH(config!$G$4,F$1,WORKDAY($A33,-1,config_Holiday_Calendar_US),WORKDAY($A33,-1,config_Holiday_Calendar_US)),IF(ISNUMBER(_xll.BDH(config!$G$4,F$1,$A33,$A33)),_xll.BDH(config!$G$4,F$1,$A33,$A33),_xll.BDH(config!$G$5,F$1,$A33,$A33))))</f>
        <v>54.81</v>
      </c>
      <c r="G33" s="8">
        <f>IF($A33="","",IF(ISNUMBER(FIND("IMPVOL",G$1)),_xll.BDH(config!$G$4,G$1,WORKDAY($A33,-1,config_Holiday_Calendar_US),WORKDAY($A33,-1,config_Holiday_Calendar_US)),IF(ISNUMBER(_xll.BDH(config!$G$4,G$1,$A33,$A33)),_xll.BDH(config!$G$4,G$1,$A33,$A33),_xll.BDH(config!$G$5,G$1,$A33,$A33))))</f>
        <v>54.09</v>
      </c>
      <c r="H33" s="8">
        <f>IF($A33="","",IF(ISNUMBER(FIND("IMPVOL",H$1)),_xll.BDH(config!$G$4,H$1,WORKDAY($A33,-1,config_Holiday_Calendar_US),WORKDAY($A33,-1,config_Holiday_Calendar_US)),IF(ISNUMBER(_xll.BDH(config!$G$4,H$1,$A33,$A33)),_xll.BDH(config!$G$4,H$1,$A33,$A33),_xll.BDH(config!$G$5,H$1,$A33,$A33))))</f>
        <v>84501</v>
      </c>
      <c r="I33" s="8" t="str">
        <f>IF($A33="","",IF(ISNUMBER(FIND("IMPVOL",I$1)),_xll.BDH(config!$G$4,I$1,WORKDAY($A33,-1,config_Holiday_Calendar_US),WORKDAY($A33,-1,config_Holiday_Calendar_US)),IF(ISNUMBER(_xll.BDH(config!$G$4,I$1,$A33,$A33)),_xll.BDH(config!$G$4,I$1,$A33,$A33),_xll.BDH(config!$G$5,I$1,$A33,$A33))))</f>
        <v>#N/A Requesting Data...</v>
      </c>
      <c r="J33" s="8" t="str">
        <f>IF($A33="","",IF(ISNUMBER(FIND("IMPVOL",J$1)),_xll.BDH(config!$G$4,J$1,WORKDAY($A33,-1,config_Holiday_Calendar_US),WORKDAY($A33,-1,config_Holiday_Calendar_US)),IF(ISNUMBER(_xll.BDH(config!$G$4,J$1,$A33,$A33)),_xll.BDH(config!$G$4,J$1,$A33,$A33),_xll.BDH(config!$G$5,J$1,$A33,$A33))))</f>
        <v>#N/A Requesting Data...</v>
      </c>
      <c r="K33" s="8" t="str">
        <f>IF($A33="","",IF(ISNUMBER(FIND("IMPVOL",K$1)),_xll.BDH(config!$G$4,K$1,WORKDAY($A33,-1,config_Holiday_Calendar_US),WORKDAY($A33,-1,config_Holiday_Calendar_US)),IF(ISNUMBER(_xll.BDH(config!$G$4,K$1,$A33,$A33)),_xll.BDH(config!$G$4,K$1,$A33,$A33),_xll.BDH(config!$G$5,K$1,$A33,$A33))))</f>
        <v>#N/A Requesting Data...</v>
      </c>
      <c r="L33" s="8" t="str">
        <f>IF($A33="","",IF(ISNUMBER(FIND("IMPVOL",L$1)),_xll.BDH(config!$G$4,L$1,WORKDAY($A33,-1,config_Holiday_Calendar_US),WORKDAY($A33,-1,config_Holiday_Calendar_US)),IF(ISNUMBER(_xll.BDH(config!$G$4,L$1,$A33,$A33)),_xll.BDH(config!$G$4,L$1,$A33,$A33),_xll.BDH(config!$G$5,L$1,$A33,$A33))))</f>
        <v>#N/A Requesting Data...</v>
      </c>
      <c r="M33" s="8" t="str">
        <f>IF($A33="","",IF(ISNUMBER(FIND("IMPVOL",M$1)),_xll.BDH(config!$G$4,M$1,WORKDAY($A33,-1,config_Holiday_Calendar_US),WORKDAY($A33,-1,config_Holiday_Calendar_US)),IF(ISNUMBER(_xll.BDH(config!$G$4,M$1,$A33,$A33)),_xll.BDH(config!$G$4,M$1,$A33,$A33),_xll.BDH(config!$G$5,M$1,$A33,$A33))))</f>
        <v>#N/A Requesting Data...</v>
      </c>
      <c r="N33" s="8" t="str">
        <f>IF($A33="","",IF(ISNUMBER(FIND("IMPVOL",N$1)),_xll.BDH(config!$G$4,N$1,WORKDAY($A33,-1,config_Holiday_Calendar_US),WORKDAY($A33,-1,config_Holiday_Calendar_US)),IF(ISNUMBER(_xll.BDH(config!$G$4,N$1,$A33,$A33)),_xll.BDH(config!$G$4,N$1,$A33,$A33),_xll.BDH(config!$G$5,N$1,$A33,$A33))))</f>
        <v>#N/A Requesting Data...</v>
      </c>
      <c r="O33" s="8" t="str">
        <f>IF($A33="","",IF(ISNUMBER(FIND("IMPVOL",O$1)),_xll.BDH(config!$G$4,O$1,WORKDAY($A33,-1,config_Holiday_Calendar_US),WORKDAY($A33,-1,config_Holiday_Calendar_US)),IF(ISNUMBER(_xll.BDH(config!$G$4,O$1,$A33,$A33)),_xll.BDH(config!$G$4,O$1,$A33,$A33),_xll.BDH(config!$G$5,O$1,$A33,$A33))))</f>
        <v>#N/A Requesting Data...</v>
      </c>
      <c r="P33" s="8" t="str">
        <f>IF($A33="","",IF(ISNUMBER(FIND("IMPVOL",P$1)),_xll.BDH(config!$G$4,P$1,WORKDAY($A33,-1,config_Holiday_Calendar_US),WORKDAY($A33,-1,config_Holiday_Calendar_US)),IF(ISNUMBER(_xll.BDH(config!$G$4,P$1,$A33,$A33)),_xll.BDH(config!$G$4,P$1,$A33,$A33),_xll.BDH(config!$G$5,P$1,$A33,$A33))))</f>
        <v>#N/A Requesting Data...</v>
      </c>
      <c r="Q33" s="8">
        <f>IF($A33="","",IF(ISNUMBER(FIND("IMPVOL",Q$1)),_xll.BDH(config!$G$4,Q$1,WORKDAY($A33,-1,config_Holiday_Calendar_US),WORKDAY($A33,-1,config_Holiday_Calendar_US)),IF(ISNUMBER(_xll.BDH(config!$G$4,Q$1,$A33,$A33)),_xll.BDH(config!$G$4,Q$1,$A33,$A33),_xll.BDH(config!$G$5,Q$1,$A33,$A33))))</f>
        <v>15.87</v>
      </c>
      <c r="R33" s="8">
        <f>IF($A33="","",IF(ISNUMBER(FIND("IMPVOL",R$1)),_xll.BDH(config!$G$4,R$1,WORKDAY($A33,-1,config_Holiday_Calendar_US),WORKDAY($A33,-1,config_Holiday_Calendar_US)),IF(ISNUMBER(_xll.BDH(config!$G$4,R$1,$A33,$A33)),_xll.BDH(config!$G$4,R$1,$A33,$A33),_xll.BDH(config!$G$5,R$1,$A33,$A33))))</f>
        <v>19.59</v>
      </c>
      <c r="S33" s="8" t="str">
        <f>IF($A33="","",IF(ISNUMBER(FIND("IMPVOL",S$1)),_xll.BDH(config!$G$4,S$1,WORKDAY($A33,-1,config_Holiday_Calendar_US),WORKDAY($A33,-1,config_Holiday_Calendar_US)),IF(ISNUMBER(_xll.BDH(config!$G$4,S$1,$A33,$A33)),_xll.BDH(config!$G$4,S$1,$A33,$A33),_xll.BDH(config!$G$5,S$1,$A33,$A33))))</f>
        <v>#N/A Requesting Data...</v>
      </c>
      <c r="T33" s="8" t="str">
        <f>IF($A33="","",IF(ISNUMBER(FIND("IMPVOL",T$1)),_xll.BDH(config!$G$4,T$1,WORKDAY($A33,-1,config_Holiday_Calendar_US),WORKDAY($A33,-1,config_Holiday_Calendar_US)),IF(ISNUMBER(_xll.BDH(config!$G$4,T$1,$A33,$A33)),_xll.BDH(config!$G$4,T$1,$A33,$A33),_xll.BDH(config!$G$5,T$1,$A33,$A33))))</f>
        <v>#N/A Requesting Data...</v>
      </c>
      <c r="U33" s="8" t="str">
        <f>IF($A33="","",IF(ISNUMBER(FIND("IMPVOL",U$1)),_xll.BDH(config!$G$4,U$1,WORKDAY($A33,-1,config_Holiday_Calendar_US),WORKDAY($A33,-1,config_Holiday_Calendar_US)),IF(ISNUMBER(_xll.BDH(config!$G$4,U$1,$A33,$A33)),_xll.BDH(config!$G$4,U$1,$A33,$A33),_xll.BDH(config!$G$5,U$1,$A33,$A33))))</f>
        <v>#N/A Requesting Data...</v>
      </c>
      <c r="V33" s="8" t="str">
        <f>IF($A33="","",IF(ISNUMBER(FIND("IMPVOL",V$1)),_xll.BDH(config!$G$4,V$1,WORKDAY($A33,-1,config_Holiday_Calendar_US),WORKDAY($A33,-1,config_Holiday_Calendar_US)),IF(ISNUMBER(_xll.BDH(config!$G$4,V$1,$A33,$A33)),_xll.BDH(config!$G$4,V$1,$A33,$A33),_xll.BDH(config!$G$5,V$1,$A33,$A33))))</f>
        <v>#N/A Requesting Data...</v>
      </c>
      <c r="W33" s="8" t="str">
        <f>IF($A33="","",IF(ISNUMBER(FIND("IMPVOL",W$1)),_xll.BDH(config!$G$4,W$1,WORKDAY($A33,-1,config_Holiday_Calendar_US),WORKDAY($A33,-1,config_Holiday_Calendar_US)),IF(ISNUMBER(_xll.BDH(config!$G$4,W$1,$A33,$A33)),_xll.BDH(config!$G$4,W$1,$A33,$A33),_xll.BDH(config!$G$5,W$1,$A33,$A33))))</f>
        <v>#N/A Requesting Data...</v>
      </c>
    </row>
    <row r="34" spans="1:23" x14ac:dyDescent="0.2">
      <c r="A34" s="9">
        <f>IF(A33="","",IF(WORKDAY(A33,-1,config_Holiday_Calendar_US)&lt;config!$I$10,"",WORKDAY(A33,-1,config_Holiday_Calendar_US)))</f>
        <v>42789</v>
      </c>
      <c r="B34" s="8" t="e">
        <f t="shared" si="0"/>
        <v>#VALUE!</v>
      </c>
      <c r="C34" s="8" t="str">
        <f>IF(A34="","",_xll.BDH(config!$H$4,C$1,$A34,$A34))</f>
        <v>#N/A Requesting Data...</v>
      </c>
      <c r="D34" s="8" t="str">
        <f>IF($A34="","",_xll.BDH(config!$H$4,D$1,$A34,$A34))</f>
        <v>#N/A Requesting Data...</v>
      </c>
      <c r="E34" s="8">
        <f>IF($A34="","",IF(ISNUMBER(FIND("IMPVOL",E$1)),_xll.BDH(config!$G$4,E$1,WORKDAY($A34,-1,config_Holiday_Calendar_US),WORKDAY($A34,-1,config_Holiday_Calendar_US)),IF(ISNUMBER(_xll.BDH(config!$G$4,E$1,$A34,$A34)),_xll.BDH(config!$G$4,E$1,$A34,$A34),_xll.BDH(config!$G$5,E$1,$A34,$A34))))</f>
        <v>54.2</v>
      </c>
      <c r="F34" s="8">
        <f>IF($A34="","",IF(ISNUMBER(FIND("IMPVOL",F$1)),_xll.BDH(config!$G$4,F$1,WORKDAY($A34,-1,config_Holiday_Calendar_US),WORKDAY($A34,-1,config_Holiday_Calendar_US)),IF(ISNUMBER(_xll.BDH(config!$G$4,F$1,$A34,$A34)),_xll.BDH(config!$G$4,F$1,$A34,$A34),_xll.BDH(config!$G$5,F$1,$A34,$A34))))</f>
        <v>55.25</v>
      </c>
      <c r="G34" s="8">
        <f>IF($A34="","",IF(ISNUMBER(FIND("IMPVOL",G$1)),_xll.BDH(config!$G$4,G$1,WORKDAY($A34,-1,config_Holiday_Calendar_US),WORKDAY($A34,-1,config_Holiday_Calendar_US)),IF(ISNUMBER(_xll.BDH(config!$G$4,G$1,$A34,$A34)),_xll.BDH(config!$G$4,G$1,$A34,$A34),_xll.BDH(config!$G$5,G$1,$A34,$A34))))</f>
        <v>54.2</v>
      </c>
      <c r="H34" s="8">
        <f>IF($A34="","",IF(ISNUMBER(FIND("IMPVOL",H$1)),_xll.BDH(config!$G$4,H$1,WORKDAY($A34,-1,config_Holiday_Calendar_US),WORKDAY($A34,-1,config_Holiday_Calendar_US)),IF(ISNUMBER(_xll.BDH(config!$G$4,H$1,$A34,$A34)),_xll.BDH(config!$G$4,H$1,$A34,$A34),_xll.BDH(config!$G$5,H$1,$A34,$A34))))</f>
        <v>112374</v>
      </c>
      <c r="I34" s="8" t="str">
        <f>IF($A34="","",IF(ISNUMBER(FIND("IMPVOL",I$1)),_xll.BDH(config!$G$4,I$1,WORKDAY($A34,-1,config_Holiday_Calendar_US),WORKDAY($A34,-1,config_Holiday_Calendar_US)),IF(ISNUMBER(_xll.BDH(config!$G$4,I$1,$A34,$A34)),_xll.BDH(config!$G$4,I$1,$A34,$A34),_xll.BDH(config!$G$5,I$1,$A34,$A34))))</f>
        <v>#N/A Requesting Data...</v>
      </c>
      <c r="J34" s="8" t="str">
        <f>IF($A34="","",IF(ISNUMBER(FIND("IMPVOL",J$1)),_xll.BDH(config!$G$4,J$1,WORKDAY($A34,-1,config_Holiday_Calendar_US),WORKDAY($A34,-1,config_Holiday_Calendar_US)),IF(ISNUMBER(_xll.BDH(config!$G$4,J$1,$A34,$A34)),_xll.BDH(config!$G$4,J$1,$A34,$A34),_xll.BDH(config!$G$5,J$1,$A34,$A34))))</f>
        <v>#N/A Requesting Data...</v>
      </c>
      <c r="K34" s="8" t="str">
        <f>IF($A34="","",IF(ISNUMBER(FIND("IMPVOL",K$1)),_xll.BDH(config!$G$4,K$1,WORKDAY($A34,-1,config_Holiday_Calendar_US),WORKDAY($A34,-1,config_Holiday_Calendar_US)),IF(ISNUMBER(_xll.BDH(config!$G$4,K$1,$A34,$A34)),_xll.BDH(config!$G$4,K$1,$A34,$A34),_xll.BDH(config!$G$5,K$1,$A34,$A34))))</f>
        <v>#N/A Requesting Data...</v>
      </c>
      <c r="L34" s="8" t="str">
        <f>IF($A34="","",IF(ISNUMBER(FIND("IMPVOL",L$1)),_xll.BDH(config!$G$4,L$1,WORKDAY($A34,-1,config_Holiday_Calendar_US),WORKDAY($A34,-1,config_Holiday_Calendar_US)),IF(ISNUMBER(_xll.BDH(config!$G$4,L$1,$A34,$A34)),_xll.BDH(config!$G$4,L$1,$A34,$A34),_xll.BDH(config!$G$5,L$1,$A34,$A34))))</f>
        <v>#N/A Requesting Data...</v>
      </c>
      <c r="M34" s="8" t="str">
        <f>IF($A34="","",IF(ISNUMBER(FIND("IMPVOL",M$1)),_xll.BDH(config!$G$4,M$1,WORKDAY($A34,-1,config_Holiday_Calendar_US),WORKDAY($A34,-1,config_Holiday_Calendar_US)),IF(ISNUMBER(_xll.BDH(config!$G$4,M$1,$A34,$A34)),_xll.BDH(config!$G$4,M$1,$A34,$A34),_xll.BDH(config!$G$5,M$1,$A34,$A34))))</f>
        <v>#N/A Requesting Data...</v>
      </c>
      <c r="N34" s="8" t="str">
        <f>IF($A34="","",IF(ISNUMBER(FIND("IMPVOL",N$1)),_xll.BDH(config!$G$4,N$1,WORKDAY($A34,-1,config_Holiday_Calendar_US),WORKDAY($A34,-1,config_Holiday_Calendar_US)),IF(ISNUMBER(_xll.BDH(config!$G$4,N$1,$A34,$A34)),_xll.BDH(config!$G$4,N$1,$A34,$A34),_xll.BDH(config!$G$5,N$1,$A34,$A34))))</f>
        <v>#N/A Requesting Data...</v>
      </c>
      <c r="O34" s="8" t="str">
        <f>IF($A34="","",IF(ISNUMBER(FIND("IMPVOL",O$1)),_xll.BDH(config!$G$4,O$1,WORKDAY($A34,-1,config_Holiday_Calendar_US),WORKDAY($A34,-1,config_Holiday_Calendar_US)),IF(ISNUMBER(_xll.BDH(config!$G$4,O$1,$A34,$A34)),_xll.BDH(config!$G$4,O$1,$A34,$A34),_xll.BDH(config!$G$5,O$1,$A34,$A34))))</f>
        <v>#N/A Requesting Data...</v>
      </c>
      <c r="P34" s="8" t="str">
        <f>IF($A34="","",IF(ISNUMBER(FIND("IMPVOL",P$1)),_xll.BDH(config!$G$4,P$1,WORKDAY($A34,-1,config_Holiday_Calendar_US),WORKDAY($A34,-1,config_Holiday_Calendar_US)),IF(ISNUMBER(_xll.BDH(config!$G$4,P$1,$A34,$A34)),_xll.BDH(config!$G$4,P$1,$A34,$A34),_xll.BDH(config!$G$5,P$1,$A34,$A34))))</f>
        <v>#N/A Requesting Data...</v>
      </c>
      <c r="Q34" s="8">
        <f>IF($A34="","",IF(ISNUMBER(FIND("IMPVOL",Q$1)),_xll.BDH(config!$G$4,Q$1,WORKDAY($A34,-1,config_Holiday_Calendar_US),WORKDAY($A34,-1,config_Holiday_Calendar_US)),IF(ISNUMBER(_xll.BDH(config!$G$4,Q$1,$A34,$A34)),_xll.BDH(config!$G$4,Q$1,$A34,$A34),_xll.BDH(config!$G$5,Q$1,$A34,$A34))))</f>
        <v>17.16</v>
      </c>
      <c r="R34" s="8">
        <f>IF($A34="","",IF(ISNUMBER(FIND("IMPVOL",R$1)),_xll.BDH(config!$G$4,R$1,WORKDAY($A34,-1,config_Holiday_Calendar_US),WORKDAY($A34,-1,config_Holiday_Calendar_US)),IF(ISNUMBER(_xll.BDH(config!$G$4,R$1,$A34,$A34)),_xll.BDH(config!$G$4,R$1,$A34,$A34),_xll.BDH(config!$G$5,R$1,$A34,$A34))))</f>
        <v>19.86</v>
      </c>
      <c r="S34" s="8" t="str">
        <f>IF($A34="","",IF(ISNUMBER(FIND("IMPVOL",S$1)),_xll.BDH(config!$G$4,S$1,WORKDAY($A34,-1,config_Holiday_Calendar_US),WORKDAY($A34,-1,config_Holiday_Calendar_US)),IF(ISNUMBER(_xll.BDH(config!$G$4,S$1,$A34,$A34)),_xll.BDH(config!$G$4,S$1,$A34,$A34),_xll.BDH(config!$G$5,S$1,$A34,$A34))))</f>
        <v>#N/A Requesting Data...</v>
      </c>
      <c r="T34" s="8" t="str">
        <f>IF($A34="","",IF(ISNUMBER(FIND("IMPVOL",T$1)),_xll.BDH(config!$G$4,T$1,WORKDAY($A34,-1,config_Holiday_Calendar_US),WORKDAY($A34,-1,config_Holiday_Calendar_US)),IF(ISNUMBER(_xll.BDH(config!$G$4,T$1,$A34,$A34)),_xll.BDH(config!$G$4,T$1,$A34,$A34),_xll.BDH(config!$G$5,T$1,$A34,$A34))))</f>
        <v>#N/A Requesting Data...</v>
      </c>
      <c r="U34" s="8" t="str">
        <f>IF($A34="","",IF(ISNUMBER(FIND("IMPVOL",U$1)),_xll.BDH(config!$G$4,U$1,WORKDAY($A34,-1,config_Holiday_Calendar_US),WORKDAY($A34,-1,config_Holiday_Calendar_US)),IF(ISNUMBER(_xll.BDH(config!$G$4,U$1,$A34,$A34)),_xll.BDH(config!$G$4,U$1,$A34,$A34),_xll.BDH(config!$G$5,U$1,$A34,$A34))))</f>
        <v>#N/A Requesting Data...</v>
      </c>
      <c r="V34" s="8" t="str">
        <f>IF($A34="","",IF(ISNUMBER(FIND("IMPVOL",V$1)),_xll.BDH(config!$G$4,V$1,WORKDAY($A34,-1,config_Holiday_Calendar_US),WORKDAY($A34,-1,config_Holiday_Calendar_US)),IF(ISNUMBER(_xll.BDH(config!$G$4,V$1,$A34,$A34)),_xll.BDH(config!$G$4,V$1,$A34,$A34),_xll.BDH(config!$G$5,V$1,$A34,$A34))))</f>
        <v>#N/A Requesting Data...</v>
      </c>
      <c r="W34" s="8" t="str">
        <f>IF($A34="","",IF(ISNUMBER(FIND("IMPVOL",W$1)),_xll.BDH(config!$G$4,W$1,WORKDAY($A34,-1,config_Holiday_Calendar_US),WORKDAY($A34,-1,config_Holiday_Calendar_US)),IF(ISNUMBER(_xll.BDH(config!$G$4,W$1,$A34,$A34)),_xll.BDH(config!$G$4,W$1,$A34,$A34),_xll.BDH(config!$G$5,W$1,$A34,$A34))))</f>
        <v>#N/A Requesting Data...</v>
      </c>
    </row>
    <row r="35" spans="1:23" x14ac:dyDescent="0.2">
      <c r="A35" s="9">
        <f>IF(A34="","",IF(WORKDAY(A34,-1,config_Holiday_Calendar_US)&lt;config!$I$10,"",WORKDAY(A34,-1,config_Holiday_Calendar_US)))</f>
        <v>42788</v>
      </c>
      <c r="B35" s="8" t="e">
        <f t="shared" si="0"/>
        <v>#VALUE!</v>
      </c>
      <c r="C35" s="8" t="str">
        <f>IF(A35="","",_xll.BDH(config!$H$4,C$1,$A35,$A35))</f>
        <v>#N/A Requesting Data...</v>
      </c>
      <c r="D35" s="8" t="str">
        <f>IF($A35="","",_xll.BDH(config!$H$4,D$1,$A35,$A35))</f>
        <v>#N/A Requesting Data...</v>
      </c>
      <c r="E35" s="8">
        <f>IF($A35="","",IF(ISNUMBER(FIND("IMPVOL",E$1)),_xll.BDH(config!$G$4,E$1,WORKDAY($A35,-1,config_Holiday_Calendar_US),WORKDAY($A35,-1,config_Holiday_Calendar_US)),IF(ISNUMBER(_xll.BDH(config!$G$4,E$1,$A35,$A35)),_xll.BDH(config!$G$4,E$1,$A35,$A35),_xll.BDH(config!$G$5,E$1,$A35,$A35))))</f>
        <v>54.5</v>
      </c>
      <c r="F35" s="8">
        <f>IF($A35="","",IF(ISNUMBER(FIND("IMPVOL",F$1)),_xll.BDH(config!$G$4,F$1,WORKDAY($A35,-1,config_Holiday_Calendar_US),WORKDAY($A35,-1,config_Holiday_Calendar_US)),IF(ISNUMBER(_xll.BDH(config!$G$4,F$1,$A35,$A35)),_xll.BDH(config!$G$4,F$1,$A35,$A35),_xll.BDH(config!$G$5,F$1,$A35,$A35))))</f>
        <v>54.87</v>
      </c>
      <c r="G35" s="8">
        <f>IF($A35="","",IF(ISNUMBER(FIND("IMPVOL",G$1)),_xll.BDH(config!$G$4,G$1,WORKDAY($A35,-1,config_Holiday_Calendar_US),WORKDAY($A35,-1,config_Holiday_Calendar_US)),IF(ISNUMBER(_xll.BDH(config!$G$4,G$1,$A35,$A35)),_xll.BDH(config!$G$4,G$1,$A35,$A35),_xll.BDH(config!$G$5,G$1,$A35,$A35))))</f>
        <v>53.67</v>
      </c>
      <c r="H35" s="8">
        <f>IF($A35="","",IF(ISNUMBER(FIND("IMPVOL",H$1)),_xll.BDH(config!$G$4,H$1,WORKDAY($A35,-1,config_Holiday_Calendar_US),WORKDAY($A35,-1,config_Holiday_Calendar_US)),IF(ISNUMBER(_xll.BDH(config!$G$4,H$1,$A35,$A35)),_xll.BDH(config!$G$4,H$1,$A35,$A35),_xll.BDH(config!$G$5,H$1,$A35,$A35))))</f>
        <v>127659</v>
      </c>
      <c r="I35" s="8" t="str">
        <f>IF($A35="","",IF(ISNUMBER(FIND("IMPVOL",I$1)),_xll.BDH(config!$G$4,I$1,WORKDAY($A35,-1,config_Holiday_Calendar_US),WORKDAY($A35,-1,config_Holiday_Calendar_US)),IF(ISNUMBER(_xll.BDH(config!$G$4,I$1,$A35,$A35)),_xll.BDH(config!$G$4,I$1,$A35,$A35),_xll.BDH(config!$G$5,I$1,$A35,$A35))))</f>
        <v>#N/A Requesting Data...</v>
      </c>
      <c r="J35" s="8" t="str">
        <f>IF($A35="","",IF(ISNUMBER(FIND("IMPVOL",J$1)),_xll.BDH(config!$G$4,J$1,WORKDAY($A35,-1,config_Holiday_Calendar_US),WORKDAY($A35,-1,config_Holiday_Calendar_US)),IF(ISNUMBER(_xll.BDH(config!$G$4,J$1,$A35,$A35)),_xll.BDH(config!$G$4,J$1,$A35,$A35),_xll.BDH(config!$G$5,J$1,$A35,$A35))))</f>
        <v>#N/A Requesting Data...</v>
      </c>
      <c r="K35" s="8" t="str">
        <f>IF($A35="","",IF(ISNUMBER(FIND("IMPVOL",K$1)),_xll.BDH(config!$G$4,K$1,WORKDAY($A35,-1,config_Holiday_Calendar_US),WORKDAY($A35,-1,config_Holiday_Calendar_US)),IF(ISNUMBER(_xll.BDH(config!$G$4,K$1,$A35,$A35)),_xll.BDH(config!$G$4,K$1,$A35,$A35),_xll.BDH(config!$G$5,K$1,$A35,$A35))))</f>
        <v>#N/A Requesting Data...</v>
      </c>
      <c r="L35" s="8" t="str">
        <f>IF($A35="","",IF(ISNUMBER(FIND("IMPVOL",L$1)),_xll.BDH(config!$G$4,L$1,WORKDAY($A35,-1,config_Holiday_Calendar_US),WORKDAY($A35,-1,config_Holiday_Calendar_US)),IF(ISNUMBER(_xll.BDH(config!$G$4,L$1,$A35,$A35)),_xll.BDH(config!$G$4,L$1,$A35,$A35),_xll.BDH(config!$G$5,L$1,$A35,$A35))))</f>
        <v>#N/A Requesting Data...</v>
      </c>
      <c r="M35" s="8" t="str">
        <f>IF($A35="","",IF(ISNUMBER(FIND("IMPVOL",M$1)),_xll.BDH(config!$G$4,M$1,WORKDAY($A35,-1,config_Holiday_Calendar_US),WORKDAY($A35,-1,config_Holiday_Calendar_US)),IF(ISNUMBER(_xll.BDH(config!$G$4,M$1,$A35,$A35)),_xll.BDH(config!$G$4,M$1,$A35,$A35),_xll.BDH(config!$G$5,M$1,$A35,$A35))))</f>
        <v>#N/A Requesting Data...</v>
      </c>
      <c r="N35" s="8" t="str">
        <f>IF($A35="","",IF(ISNUMBER(FIND("IMPVOL",N$1)),_xll.BDH(config!$G$4,N$1,WORKDAY($A35,-1,config_Holiday_Calendar_US),WORKDAY($A35,-1,config_Holiday_Calendar_US)),IF(ISNUMBER(_xll.BDH(config!$G$4,N$1,$A35,$A35)),_xll.BDH(config!$G$4,N$1,$A35,$A35),_xll.BDH(config!$G$5,N$1,$A35,$A35))))</f>
        <v>#N/A Requesting Data...</v>
      </c>
      <c r="O35" s="8" t="str">
        <f>IF($A35="","",IF(ISNUMBER(FIND("IMPVOL",O$1)),_xll.BDH(config!$G$4,O$1,WORKDAY($A35,-1,config_Holiday_Calendar_US),WORKDAY($A35,-1,config_Holiday_Calendar_US)),IF(ISNUMBER(_xll.BDH(config!$G$4,O$1,$A35,$A35)),_xll.BDH(config!$G$4,O$1,$A35,$A35),_xll.BDH(config!$G$5,O$1,$A35,$A35))))</f>
        <v>#N/A Requesting Data...</v>
      </c>
      <c r="P35" s="8" t="str">
        <f>IF($A35="","",IF(ISNUMBER(FIND("IMPVOL",P$1)),_xll.BDH(config!$G$4,P$1,WORKDAY($A35,-1,config_Holiday_Calendar_US),WORKDAY($A35,-1,config_Holiday_Calendar_US)),IF(ISNUMBER(_xll.BDH(config!$G$4,P$1,$A35,$A35)),_xll.BDH(config!$G$4,P$1,$A35,$A35),_xll.BDH(config!$G$5,P$1,$A35,$A35))))</f>
        <v>#N/A Requesting Data...</v>
      </c>
      <c r="Q35" s="8">
        <f>IF($A35="","",IF(ISNUMBER(FIND("IMPVOL",Q$1)),_xll.BDH(config!$G$4,Q$1,WORKDAY($A35,-1,config_Holiday_Calendar_US),WORKDAY($A35,-1,config_Holiday_Calendar_US)),IF(ISNUMBER(_xll.BDH(config!$G$4,Q$1,$A35,$A35)),_xll.BDH(config!$G$4,Q$1,$A35,$A35),_xll.BDH(config!$G$5,Q$1,$A35,$A35))))</f>
        <v>16.16</v>
      </c>
      <c r="R35" s="8">
        <f>IF($A35="","",IF(ISNUMBER(FIND("IMPVOL",R$1)),_xll.BDH(config!$G$4,R$1,WORKDAY($A35,-1,config_Holiday_Calendar_US),WORKDAY($A35,-1,config_Holiday_Calendar_US)),IF(ISNUMBER(_xll.BDH(config!$G$4,R$1,$A35,$A35)),_xll.BDH(config!$G$4,R$1,$A35,$A35),_xll.BDH(config!$G$5,R$1,$A35,$A35))))</f>
        <v>20.81</v>
      </c>
      <c r="S35" s="8" t="str">
        <f>IF($A35="","",IF(ISNUMBER(FIND("IMPVOL",S$1)),_xll.BDH(config!$G$4,S$1,WORKDAY($A35,-1,config_Holiday_Calendar_US),WORKDAY($A35,-1,config_Holiday_Calendar_US)),IF(ISNUMBER(_xll.BDH(config!$G$4,S$1,$A35,$A35)),_xll.BDH(config!$G$4,S$1,$A35,$A35),_xll.BDH(config!$G$5,S$1,$A35,$A35))))</f>
        <v>#N/A Requesting Data...</v>
      </c>
      <c r="T35" s="8" t="str">
        <f>IF($A35="","",IF(ISNUMBER(FIND("IMPVOL",T$1)),_xll.BDH(config!$G$4,T$1,WORKDAY($A35,-1,config_Holiday_Calendar_US),WORKDAY($A35,-1,config_Holiday_Calendar_US)),IF(ISNUMBER(_xll.BDH(config!$G$4,T$1,$A35,$A35)),_xll.BDH(config!$G$4,T$1,$A35,$A35),_xll.BDH(config!$G$5,T$1,$A35,$A35))))</f>
        <v>#N/A Requesting Data...</v>
      </c>
      <c r="U35" s="8" t="str">
        <f>IF($A35="","",IF(ISNUMBER(FIND("IMPVOL",U$1)),_xll.BDH(config!$G$4,U$1,WORKDAY($A35,-1,config_Holiday_Calendar_US),WORKDAY($A35,-1,config_Holiday_Calendar_US)),IF(ISNUMBER(_xll.BDH(config!$G$4,U$1,$A35,$A35)),_xll.BDH(config!$G$4,U$1,$A35,$A35),_xll.BDH(config!$G$5,U$1,$A35,$A35))))</f>
        <v>#N/A Requesting Data...</v>
      </c>
      <c r="V35" s="8" t="str">
        <f>IF($A35="","",IF(ISNUMBER(FIND("IMPVOL",V$1)),_xll.BDH(config!$G$4,V$1,WORKDAY($A35,-1,config_Holiday_Calendar_US),WORKDAY($A35,-1,config_Holiday_Calendar_US)),IF(ISNUMBER(_xll.BDH(config!$G$4,V$1,$A35,$A35)),_xll.BDH(config!$G$4,V$1,$A35,$A35),_xll.BDH(config!$G$5,V$1,$A35,$A35))))</f>
        <v>#N/A Requesting Data...</v>
      </c>
      <c r="W35" s="8" t="str">
        <f>IF($A35="","",IF(ISNUMBER(FIND("IMPVOL",W$1)),_xll.BDH(config!$G$4,W$1,WORKDAY($A35,-1,config_Holiday_Calendar_US),WORKDAY($A35,-1,config_Holiday_Calendar_US)),IF(ISNUMBER(_xll.BDH(config!$G$4,W$1,$A35,$A35)),_xll.BDH(config!$G$4,W$1,$A35,$A35),_xll.BDH(config!$G$5,W$1,$A35,$A35))))</f>
        <v>#N/A Requesting Data...</v>
      </c>
    </row>
    <row r="36" spans="1:23" x14ac:dyDescent="0.2">
      <c r="A36" s="9">
        <f>IF(A35="","",IF(WORKDAY(A35,-1,config_Holiday_Calendar_US)&lt;config!$I$10,"",WORKDAY(A35,-1,config_Holiday_Calendar_US)))</f>
        <v>42787</v>
      </c>
      <c r="B36" s="8" t="e">
        <f t="shared" si="0"/>
        <v>#VALUE!</v>
      </c>
      <c r="C36" s="8" t="str">
        <f>IF(A36="","",_xll.BDH(config!$H$4,C$1,$A36,$A36))</f>
        <v>#N/A Requesting Data...</v>
      </c>
      <c r="D36" s="8" t="str">
        <f>IF($A36="","",_xll.BDH(config!$H$4,D$1,$A36,$A36))</f>
        <v>#N/A Requesting Data...</v>
      </c>
      <c r="E36" s="8">
        <f>IF($A36="","",IF(ISNUMBER(FIND("IMPVOL",E$1)),_xll.BDH(config!$G$4,E$1,WORKDAY($A36,-1,config_Holiday_Calendar_US),WORKDAY($A36,-1,config_Holiday_Calendar_US)),IF(ISNUMBER(_xll.BDH(config!$G$4,E$1,$A36,$A36)),_xll.BDH(config!$G$4,E$1,$A36,$A36),_xll.BDH(config!$G$5,E$1,$A36,$A36))))</f>
        <v>53.9</v>
      </c>
      <c r="F36" s="8">
        <f>IF($A36="","",IF(ISNUMBER(FIND("IMPVOL",F$1)),_xll.BDH(config!$G$4,F$1,WORKDAY($A36,-1,config_Holiday_Calendar_US),WORKDAY($A36,-1,config_Holiday_Calendar_US)),IF(ISNUMBER(_xll.BDH(config!$G$4,F$1,$A36,$A36)),_xll.BDH(config!$G$4,F$1,$A36,$A36),_xll.BDH(config!$G$5,F$1,$A36,$A36))))</f>
        <v>55.03</v>
      </c>
      <c r="G36" s="8">
        <f>IF($A36="","",IF(ISNUMBER(FIND("IMPVOL",G$1)),_xll.BDH(config!$G$4,G$1,WORKDAY($A36,-1,config_Holiday_Calendar_US),WORKDAY($A36,-1,config_Holiday_Calendar_US)),IF(ISNUMBER(_xll.BDH(config!$G$4,G$1,$A36,$A36)),_xll.BDH(config!$G$4,G$1,$A36,$A36),_xll.BDH(config!$G$5,G$1,$A36,$A36))))</f>
        <v>53.72</v>
      </c>
      <c r="H36" s="8">
        <f>IF($A36="","",IF(ISNUMBER(FIND("IMPVOL",H$1)),_xll.BDH(config!$G$4,H$1,WORKDAY($A36,-1,config_Holiday_Calendar_US),WORKDAY($A36,-1,config_Holiday_Calendar_US)),IF(ISNUMBER(_xll.BDH(config!$G$4,H$1,$A36,$A36)),_xll.BDH(config!$G$4,H$1,$A36,$A36),_xll.BDH(config!$G$5,H$1,$A36,$A36))))</f>
        <v>665310</v>
      </c>
      <c r="I36" s="8" t="str">
        <f>IF($A36="","",IF(ISNUMBER(FIND("IMPVOL",I$1)),_xll.BDH(config!$G$4,I$1,WORKDAY($A36,-1,config_Holiday_Calendar_US),WORKDAY($A36,-1,config_Holiday_Calendar_US)),IF(ISNUMBER(_xll.BDH(config!$G$4,I$1,$A36,$A36)),_xll.BDH(config!$G$4,I$1,$A36,$A36),_xll.BDH(config!$G$5,I$1,$A36,$A36))))</f>
        <v>#N/A Requesting Data...</v>
      </c>
      <c r="J36" s="8" t="str">
        <f>IF($A36="","",IF(ISNUMBER(FIND("IMPVOL",J$1)),_xll.BDH(config!$G$4,J$1,WORKDAY($A36,-1,config_Holiday_Calendar_US),WORKDAY($A36,-1,config_Holiday_Calendar_US)),IF(ISNUMBER(_xll.BDH(config!$G$4,J$1,$A36,$A36)),_xll.BDH(config!$G$4,J$1,$A36,$A36),_xll.BDH(config!$G$5,J$1,$A36,$A36))))</f>
        <v>#N/A Requesting Data...</v>
      </c>
      <c r="K36" s="8" t="str">
        <f>IF($A36="","",IF(ISNUMBER(FIND("IMPVOL",K$1)),_xll.BDH(config!$G$4,K$1,WORKDAY($A36,-1,config_Holiday_Calendar_US),WORKDAY($A36,-1,config_Holiday_Calendar_US)),IF(ISNUMBER(_xll.BDH(config!$G$4,K$1,$A36,$A36)),_xll.BDH(config!$G$4,K$1,$A36,$A36),_xll.BDH(config!$G$5,K$1,$A36,$A36))))</f>
        <v>#N/A Requesting Data...</v>
      </c>
      <c r="L36" s="8" t="str">
        <f>IF($A36="","",IF(ISNUMBER(FIND("IMPVOL",L$1)),_xll.BDH(config!$G$4,L$1,WORKDAY($A36,-1,config_Holiday_Calendar_US),WORKDAY($A36,-1,config_Holiday_Calendar_US)),IF(ISNUMBER(_xll.BDH(config!$G$4,L$1,$A36,$A36)),_xll.BDH(config!$G$4,L$1,$A36,$A36),_xll.BDH(config!$G$5,L$1,$A36,$A36))))</f>
        <v>#N/A Requesting Data...</v>
      </c>
      <c r="M36" s="8" t="str">
        <f>IF($A36="","",IF(ISNUMBER(FIND("IMPVOL",M$1)),_xll.BDH(config!$G$4,M$1,WORKDAY($A36,-1,config_Holiday_Calendar_US),WORKDAY($A36,-1,config_Holiday_Calendar_US)),IF(ISNUMBER(_xll.BDH(config!$G$4,M$1,$A36,$A36)),_xll.BDH(config!$G$4,M$1,$A36,$A36),_xll.BDH(config!$G$5,M$1,$A36,$A36))))</f>
        <v>#N/A Requesting Data...</v>
      </c>
      <c r="N36" s="8" t="str">
        <f>IF($A36="","",IF(ISNUMBER(FIND("IMPVOL",N$1)),_xll.BDH(config!$G$4,N$1,WORKDAY($A36,-1,config_Holiday_Calendar_US),WORKDAY($A36,-1,config_Holiday_Calendar_US)),IF(ISNUMBER(_xll.BDH(config!$G$4,N$1,$A36,$A36)),_xll.BDH(config!$G$4,N$1,$A36,$A36),_xll.BDH(config!$G$5,N$1,$A36,$A36))))</f>
        <v>#N/A Requesting Data...</v>
      </c>
      <c r="O36" s="8" t="str">
        <f>IF($A36="","",IF(ISNUMBER(FIND("IMPVOL",O$1)),_xll.BDH(config!$G$4,O$1,WORKDAY($A36,-1,config_Holiday_Calendar_US),WORKDAY($A36,-1,config_Holiday_Calendar_US)),IF(ISNUMBER(_xll.BDH(config!$G$4,O$1,$A36,$A36)),_xll.BDH(config!$G$4,O$1,$A36,$A36),_xll.BDH(config!$G$5,O$1,$A36,$A36))))</f>
        <v>#N/A Requesting Data...</v>
      </c>
      <c r="P36" s="8" t="str">
        <f>IF($A36="","",IF(ISNUMBER(FIND("IMPVOL",P$1)),_xll.BDH(config!$G$4,P$1,WORKDAY($A36,-1,config_Holiday_Calendar_US),WORKDAY($A36,-1,config_Holiday_Calendar_US)),IF(ISNUMBER(_xll.BDH(config!$G$4,P$1,$A36,$A36)),_xll.BDH(config!$G$4,P$1,$A36,$A36),_xll.BDH(config!$G$5,P$1,$A36,$A36))))</f>
        <v>#N/A Requesting Data...</v>
      </c>
      <c r="Q36" s="8">
        <f>IF($A36="","",IF(ISNUMBER(FIND("IMPVOL",Q$1)),_xll.BDH(config!$G$4,Q$1,WORKDAY($A36,-1,config_Holiday_Calendar_US),WORKDAY($A36,-1,config_Holiday_Calendar_US)),IF(ISNUMBER(_xll.BDH(config!$G$4,Q$1,$A36,$A36)),_xll.BDH(config!$G$4,Q$1,$A36,$A36),_xll.BDH(config!$G$5,Q$1,$A36,$A36))))</f>
        <v>15.11</v>
      </c>
      <c r="R36" s="8">
        <f>IF($A36="","",IF(ISNUMBER(FIND("IMPVOL",R$1)),_xll.BDH(config!$G$4,R$1,WORKDAY($A36,-1,config_Holiday_Calendar_US),WORKDAY($A36,-1,config_Holiday_Calendar_US)),IF(ISNUMBER(_xll.BDH(config!$G$4,R$1,$A36,$A36)),_xll.BDH(config!$G$4,R$1,$A36,$A36),_xll.BDH(config!$G$5,R$1,$A36,$A36))))</f>
        <v>21.86</v>
      </c>
      <c r="S36" s="8" t="str">
        <f>IF($A36="","",IF(ISNUMBER(FIND("IMPVOL",S$1)),_xll.BDH(config!$G$4,S$1,WORKDAY($A36,-1,config_Holiday_Calendar_US),WORKDAY($A36,-1,config_Holiday_Calendar_US)),IF(ISNUMBER(_xll.BDH(config!$G$4,S$1,$A36,$A36)),_xll.BDH(config!$G$4,S$1,$A36,$A36),_xll.BDH(config!$G$5,S$1,$A36,$A36))))</f>
        <v>#N/A Requesting Data...</v>
      </c>
      <c r="T36" s="8" t="str">
        <f>IF($A36="","",IF(ISNUMBER(FIND("IMPVOL",T$1)),_xll.BDH(config!$G$4,T$1,WORKDAY($A36,-1,config_Holiday_Calendar_US),WORKDAY($A36,-1,config_Holiday_Calendar_US)),IF(ISNUMBER(_xll.BDH(config!$G$4,T$1,$A36,$A36)),_xll.BDH(config!$G$4,T$1,$A36,$A36),_xll.BDH(config!$G$5,T$1,$A36,$A36))))</f>
        <v>#N/A Requesting Data...</v>
      </c>
      <c r="U36" s="8" t="str">
        <f>IF($A36="","",IF(ISNUMBER(FIND("IMPVOL",U$1)),_xll.BDH(config!$G$4,U$1,WORKDAY($A36,-1,config_Holiday_Calendar_US),WORKDAY($A36,-1,config_Holiday_Calendar_US)),IF(ISNUMBER(_xll.BDH(config!$G$4,U$1,$A36,$A36)),_xll.BDH(config!$G$4,U$1,$A36,$A36),_xll.BDH(config!$G$5,U$1,$A36,$A36))))</f>
        <v>#N/A Requesting Data...</v>
      </c>
      <c r="V36" s="8" t="str">
        <f>IF($A36="","",IF(ISNUMBER(FIND("IMPVOL",V$1)),_xll.BDH(config!$G$4,V$1,WORKDAY($A36,-1,config_Holiday_Calendar_US),WORKDAY($A36,-1,config_Holiday_Calendar_US)),IF(ISNUMBER(_xll.BDH(config!$G$4,V$1,$A36,$A36)),_xll.BDH(config!$G$4,V$1,$A36,$A36),_xll.BDH(config!$G$5,V$1,$A36,$A36))))</f>
        <v>#N/A Requesting Data...</v>
      </c>
      <c r="W36" s="8" t="str">
        <f>IF($A36="","",IF(ISNUMBER(FIND("IMPVOL",W$1)),_xll.BDH(config!$G$4,W$1,WORKDAY($A36,-1,config_Holiday_Calendar_US),WORKDAY($A36,-1,config_Holiday_Calendar_US)),IF(ISNUMBER(_xll.BDH(config!$G$4,W$1,$A36,$A36)),_xll.BDH(config!$G$4,W$1,$A36,$A36),_xll.BDH(config!$G$5,W$1,$A36,$A36))))</f>
        <v>#N/A Requesting Data...</v>
      </c>
    </row>
    <row r="37" spans="1:23" x14ac:dyDescent="0.2">
      <c r="A37" s="9">
        <f>IF(A36="","",IF(WORKDAY(A36,-1,config_Holiday_Calendar_US)&lt;config!$I$10,"",WORKDAY(A36,-1,config_Holiday_Calendar_US)))</f>
        <v>42783</v>
      </c>
      <c r="B37" s="8" t="e">
        <f t="shared" si="0"/>
        <v>#VALUE!</v>
      </c>
      <c r="C37" s="8" t="str">
        <f>IF(A37="","",_xll.BDH(config!$H$4,C$1,$A37,$A37))</f>
        <v>#N/A Requesting Data...</v>
      </c>
      <c r="D37" s="8" t="str">
        <f>IF($A37="","",_xll.BDH(config!$H$4,D$1,$A37,$A37))</f>
        <v>#N/A Requesting Data...</v>
      </c>
      <c r="E37" s="8">
        <f>IF($A37="","",IF(ISNUMBER(FIND("IMPVOL",E$1)),_xll.BDH(config!$G$4,E$1,WORKDAY($A37,-1,config_Holiday_Calendar_US),WORKDAY($A37,-1,config_Holiday_Calendar_US)),IF(ISNUMBER(_xll.BDH(config!$G$4,E$1,$A37,$A37)),_xll.BDH(config!$G$4,E$1,$A37,$A37),_xll.BDH(config!$G$5,E$1,$A37,$A37))))</f>
        <v>53.87</v>
      </c>
      <c r="F37" s="8">
        <f>IF($A37="","",IF(ISNUMBER(FIND("IMPVOL",F$1)),_xll.BDH(config!$G$4,F$1,WORKDAY($A37,-1,config_Holiday_Calendar_US),WORKDAY($A37,-1,config_Holiday_Calendar_US)),IF(ISNUMBER(_xll.BDH(config!$G$4,F$1,$A37,$A37)),_xll.BDH(config!$G$4,F$1,$A37,$A37),_xll.BDH(config!$G$5,F$1,$A37,$A37))))</f>
        <v>53.91</v>
      </c>
      <c r="G37" s="8">
        <f>IF($A37="","",IF(ISNUMBER(FIND("IMPVOL",G$1)),_xll.BDH(config!$G$4,G$1,WORKDAY($A37,-1,config_Holiday_Calendar_US),WORKDAY($A37,-1,config_Holiday_Calendar_US)),IF(ISNUMBER(_xll.BDH(config!$G$4,G$1,$A37,$A37)),_xll.BDH(config!$G$4,G$1,$A37,$A37),_xll.BDH(config!$G$5,G$1,$A37,$A37))))</f>
        <v>53.29</v>
      </c>
      <c r="H37" s="8">
        <f>IF($A37="","",IF(ISNUMBER(FIND("IMPVOL",H$1)),_xll.BDH(config!$G$4,H$1,WORKDAY($A37,-1,config_Holiday_Calendar_US),WORKDAY($A37,-1,config_Holiday_Calendar_US)),IF(ISNUMBER(_xll.BDH(config!$G$4,H$1,$A37,$A37)),_xll.BDH(config!$G$4,H$1,$A37,$A37),_xll.BDH(config!$G$5,H$1,$A37,$A37))))</f>
        <v>411983</v>
      </c>
      <c r="I37" s="8" t="str">
        <f>IF($A37="","",IF(ISNUMBER(FIND("IMPVOL",I$1)),_xll.BDH(config!$G$4,I$1,WORKDAY($A37,-1,config_Holiday_Calendar_US),WORKDAY($A37,-1,config_Holiday_Calendar_US)),IF(ISNUMBER(_xll.BDH(config!$G$4,I$1,$A37,$A37)),_xll.BDH(config!$G$4,I$1,$A37,$A37),_xll.BDH(config!$G$5,I$1,$A37,$A37))))</f>
        <v>#N/A Requesting Data...</v>
      </c>
      <c r="J37" s="8" t="str">
        <f>IF($A37="","",IF(ISNUMBER(FIND("IMPVOL",J$1)),_xll.BDH(config!$G$4,J$1,WORKDAY($A37,-1,config_Holiday_Calendar_US),WORKDAY($A37,-1,config_Holiday_Calendar_US)),IF(ISNUMBER(_xll.BDH(config!$G$4,J$1,$A37,$A37)),_xll.BDH(config!$G$4,J$1,$A37,$A37),_xll.BDH(config!$G$5,J$1,$A37,$A37))))</f>
        <v>#N/A Requesting Data...</v>
      </c>
      <c r="K37" s="8" t="str">
        <f>IF($A37="","",IF(ISNUMBER(FIND("IMPVOL",K$1)),_xll.BDH(config!$G$4,K$1,WORKDAY($A37,-1,config_Holiday_Calendar_US),WORKDAY($A37,-1,config_Holiday_Calendar_US)),IF(ISNUMBER(_xll.BDH(config!$G$4,K$1,$A37,$A37)),_xll.BDH(config!$G$4,K$1,$A37,$A37),_xll.BDH(config!$G$5,K$1,$A37,$A37))))</f>
        <v>#N/A Requesting Data...</v>
      </c>
      <c r="L37" s="8" t="str">
        <f>IF($A37="","",IF(ISNUMBER(FIND("IMPVOL",L$1)),_xll.BDH(config!$G$4,L$1,WORKDAY($A37,-1,config_Holiday_Calendar_US),WORKDAY($A37,-1,config_Holiday_Calendar_US)),IF(ISNUMBER(_xll.BDH(config!$G$4,L$1,$A37,$A37)),_xll.BDH(config!$G$4,L$1,$A37,$A37),_xll.BDH(config!$G$5,L$1,$A37,$A37))))</f>
        <v>#N/A Requesting Data...</v>
      </c>
      <c r="M37" s="8" t="str">
        <f>IF($A37="","",IF(ISNUMBER(FIND("IMPVOL",M$1)),_xll.BDH(config!$G$4,M$1,WORKDAY($A37,-1,config_Holiday_Calendar_US),WORKDAY($A37,-1,config_Holiday_Calendar_US)),IF(ISNUMBER(_xll.BDH(config!$G$4,M$1,$A37,$A37)),_xll.BDH(config!$G$4,M$1,$A37,$A37),_xll.BDH(config!$G$5,M$1,$A37,$A37))))</f>
        <v>#N/A Requesting Data...</v>
      </c>
      <c r="N37" s="8" t="str">
        <f>IF($A37="","",IF(ISNUMBER(FIND("IMPVOL",N$1)),_xll.BDH(config!$G$4,N$1,WORKDAY($A37,-1,config_Holiday_Calendar_US),WORKDAY($A37,-1,config_Holiday_Calendar_US)),IF(ISNUMBER(_xll.BDH(config!$G$4,N$1,$A37,$A37)),_xll.BDH(config!$G$4,N$1,$A37,$A37),_xll.BDH(config!$G$5,N$1,$A37,$A37))))</f>
        <v>#N/A Requesting Data...</v>
      </c>
      <c r="O37" s="8" t="str">
        <f>IF($A37="","",IF(ISNUMBER(FIND("IMPVOL",O$1)),_xll.BDH(config!$G$4,O$1,WORKDAY($A37,-1,config_Holiday_Calendar_US),WORKDAY($A37,-1,config_Holiday_Calendar_US)),IF(ISNUMBER(_xll.BDH(config!$G$4,O$1,$A37,$A37)),_xll.BDH(config!$G$4,O$1,$A37,$A37),_xll.BDH(config!$G$5,O$1,$A37,$A37))))</f>
        <v>#N/A Requesting Data...</v>
      </c>
      <c r="P37" s="8" t="str">
        <f>IF($A37="","",IF(ISNUMBER(FIND("IMPVOL",P$1)),_xll.BDH(config!$G$4,P$1,WORKDAY($A37,-1,config_Holiday_Calendar_US),WORKDAY($A37,-1,config_Holiday_Calendar_US)),IF(ISNUMBER(_xll.BDH(config!$G$4,P$1,$A37,$A37)),_xll.BDH(config!$G$4,P$1,$A37,$A37),_xll.BDH(config!$G$5,P$1,$A37,$A37))))</f>
        <v>#N/A Requesting Data...</v>
      </c>
      <c r="Q37" s="8">
        <f>IF($A37="","",IF(ISNUMBER(FIND("IMPVOL",Q$1)),_xll.BDH(config!$G$4,Q$1,WORKDAY($A37,-1,config_Holiday_Calendar_US),WORKDAY($A37,-1,config_Holiday_Calendar_US)),IF(ISNUMBER(_xll.BDH(config!$G$4,Q$1,$A37,$A37)),_xll.BDH(config!$G$4,Q$1,$A37,$A37),_xll.BDH(config!$G$5,Q$1,$A37,$A37))))</f>
        <v>17.54</v>
      </c>
      <c r="R37" s="8">
        <f>IF($A37="","",IF(ISNUMBER(FIND("IMPVOL",R$1)),_xll.BDH(config!$G$4,R$1,WORKDAY($A37,-1,config_Holiday_Calendar_US),WORKDAY($A37,-1,config_Holiday_Calendar_US)),IF(ISNUMBER(_xll.BDH(config!$G$4,R$1,$A37,$A37)),_xll.BDH(config!$G$4,R$1,$A37,$A37),_xll.BDH(config!$G$5,R$1,$A37,$A37))))</f>
        <v>24.44</v>
      </c>
      <c r="S37" s="8" t="str">
        <f>IF($A37="","",IF(ISNUMBER(FIND("IMPVOL",S$1)),_xll.BDH(config!$G$4,S$1,WORKDAY($A37,-1,config_Holiday_Calendar_US),WORKDAY($A37,-1,config_Holiday_Calendar_US)),IF(ISNUMBER(_xll.BDH(config!$G$4,S$1,$A37,$A37)),_xll.BDH(config!$G$4,S$1,$A37,$A37),_xll.BDH(config!$G$5,S$1,$A37,$A37))))</f>
        <v>#N/A Requesting Data...</v>
      </c>
      <c r="T37" s="8" t="str">
        <f>IF($A37="","",IF(ISNUMBER(FIND("IMPVOL",T$1)),_xll.BDH(config!$G$4,T$1,WORKDAY($A37,-1,config_Holiday_Calendar_US),WORKDAY($A37,-1,config_Holiday_Calendar_US)),IF(ISNUMBER(_xll.BDH(config!$G$4,T$1,$A37,$A37)),_xll.BDH(config!$G$4,T$1,$A37,$A37),_xll.BDH(config!$G$5,T$1,$A37,$A37))))</f>
        <v>#N/A Requesting Data...</v>
      </c>
      <c r="U37" s="8" t="str">
        <f>IF($A37="","",IF(ISNUMBER(FIND("IMPVOL",U$1)),_xll.BDH(config!$G$4,U$1,WORKDAY($A37,-1,config_Holiday_Calendar_US),WORKDAY($A37,-1,config_Holiday_Calendar_US)),IF(ISNUMBER(_xll.BDH(config!$G$4,U$1,$A37,$A37)),_xll.BDH(config!$G$4,U$1,$A37,$A37),_xll.BDH(config!$G$5,U$1,$A37,$A37))))</f>
        <v>#N/A Requesting Data...</v>
      </c>
      <c r="V37" s="8" t="str">
        <f>IF($A37="","",IF(ISNUMBER(FIND("IMPVOL",V$1)),_xll.BDH(config!$G$4,V$1,WORKDAY($A37,-1,config_Holiday_Calendar_US),WORKDAY($A37,-1,config_Holiday_Calendar_US)),IF(ISNUMBER(_xll.BDH(config!$G$4,V$1,$A37,$A37)),_xll.BDH(config!$G$4,V$1,$A37,$A37),_xll.BDH(config!$G$5,V$1,$A37,$A37))))</f>
        <v>#N/A Requesting Data...</v>
      </c>
      <c r="W37" s="8" t="str">
        <f>IF($A37="","",IF(ISNUMBER(FIND("IMPVOL",W$1)),_xll.BDH(config!$G$4,W$1,WORKDAY($A37,-1,config_Holiday_Calendar_US),WORKDAY($A37,-1,config_Holiday_Calendar_US)),IF(ISNUMBER(_xll.BDH(config!$G$4,W$1,$A37,$A37)),_xll.BDH(config!$G$4,W$1,$A37,$A37),_xll.BDH(config!$G$5,W$1,$A37,$A37))))</f>
        <v>#N/A Requesting Data...</v>
      </c>
    </row>
    <row r="38" spans="1:23" x14ac:dyDescent="0.2">
      <c r="A38" s="9">
        <f>IF(A37="","",IF(WORKDAY(A37,-1,config_Holiday_Calendar_US)&lt;config!$I$10,"",WORKDAY(A37,-1,config_Holiday_Calendar_US)))</f>
        <v>42782</v>
      </c>
      <c r="B38" s="8" t="e">
        <f t="shared" si="0"/>
        <v>#VALUE!</v>
      </c>
      <c r="C38" s="8" t="str">
        <f>IF(A38="","",_xll.BDH(config!$H$4,C$1,$A38,$A38))</f>
        <v>#N/A Requesting Data...</v>
      </c>
      <c r="D38" s="8" t="str">
        <f>IF($A38="","",_xll.BDH(config!$H$4,D$1,$A38,$A38))</f>
        <v>#N/A Requesting Data...</v>
      </c>
      <c r="E38" s="8">
        <f>IF($A38="","",IF(ISNUMBER(FIND("IMPVOL",E$1)),_xll.BDH(config!$G$4,E$1,WORKDAY($A38,-1,config_Holiday_Calendar_US),WORKDAY($A38,-1,config_Holiday_Calendar_US)),IF(ISNUMBER(_xll.BDH(config!$G$4,E$1,$A38,$A38)),_xll.BDH(config!$G$4,E$1,$A38,$A38),_xll.BDH(config!$G$5,E$1,$A38,$A38))))</f>
        <v>53.54</v>
      </c>
      <c r="F38" s="8">
        <f>IF($A38="","",IF(ISNUMBER(FIND("IMPVOL",F$1)),_xll.BDH(config!$G$4,F$1,WORKDAY($A38,-1,config_Holiday_Calendar_US),WORKDAY($A38,-1,config_Holiday_Calendar_US)),IF(ISNUMBER(_xll.BDH(config!$G$4,F$1,$A38,$A38)),_xll.BDH(config!$G$4,F$1,$A38,$A38),_xll.BDH(config!$G$5,F$1,$A38,$A38))))</f>
        <v>54.06</v>
      </c>
      <c r="G38" s="8">
        <f>IF($A38="","",IF(ISNUMBER(FIND("IMPVOL",G$1)),_xll.BDH(config!$G$4,G$1,WORKDAY($A38,-1,config_Holiday_Calendar_US),WORKDAY($A38,-1,config_Holiday_Calendar_US)),IF(ISNUMBER(_xll.BDH(config!$G$4,G$1,$A38,$A38)),_xll.BDH(config!$G$4,G$1,$A38,$A38),_xll.BDH(config!$G$5,G$1,$A38,$A38))))</f>
        <v>53.12</v>
      </c>
      <c r="H38" s="8">
        <f>IF($A38="","",IF(ISNUMBER(FIND("IMPVOL",H$1)),_xll.BDH(config!$G$4,H$1,WORKDAY($A38,-1,config_Holiday_Calendar_US),WORKDAY($A38,-1,config_Holiday_Calendar_US)),IF(ISNUMBER(_xll.BDH(config!$G$4,H$1,$A38,$A38)),_xll.BDH(config!$G$4,H$1,$A38,$A38),_xll.BDH(config!$G$5,H$1,$A38,$A38))))</f>
        <v>453226</v>
      </c>
      <c r="I38" s="8" t="str">
        <f>IF($A38="","",IF(ISNUMBER(FIND("IMPVOL",I$1)),_xll.BDH(config!$G$4,I$1,WORKDAY($A38,-1,config_Holiday_Calendar_US),WORKDAY($A38,-1,config_Holiday_Calendar_US)),IF(ISNUMBER(_xll.BDH(config!$G$4,I$1,$A38,$A38)),_xll.BDH(config!$G$4,I$1,$A38,$A38),_xll.BDH(config!$G$5,I$1,$A38,$A38))))</f>
        <v>#N/A Requesting Data...</v>
      </c>
      <c r="J38" s="8" t="str">
        <f>IF($A38="","",IF(ISNUMBER(FIND("IMPVOL",J$1)),_xll.BDH(config!$G$4,J$1,WORKDAY($A38,-1,config_Holiday_Calendar_US),WORKDAY($A38,-1,config_Holiday_Calendar_US)),IF(ISNUMBER(_xll.BDH(config!$G$4,J$1,$A38,$A38)),_xll.BDH(config!$G$4,J$1,$A38,$A38),_xll.BDH(config!$G$5,J$1,$A38,$A38))))</f>
        <v>#N/A Requesting Data...</v>
      </c>
      <c r="K38" s="8" t="str">
        <f>IF($A38="","",IF(ISNUMBER(FIND("IMPVOL",K$1)),_xll.BDH(config!$G$4,K$1,WORKDAY($A38,-1,config_Holiday_Calendar_US),WORKDAY($A38,-1,config_Holiday_Calendar_US)),IF(ISNUMBER(_xll.BDH(config!$G$4,K$1,$A38,$A38)),_xll.BDH(config!$G$4,K$1,$A38,$A38),_xll.BDH(config!$G$5,K$1,$A38,$A38))))</f>
        <v>#N/A Requesting Data...</v>
      </c>
      <c r="L38" s="8" t="str">
        <f>IF($A38="","",IF(ISNUMBER(FIND("IMPVOL",L$1)),_xll.BDH(config!$G$4,L$1,WORKDAY($A38,-1,config_Holiday_Calendar_US),WORKDAY($A38,-1,config_Holiday_Calendar_US)),IF(ISNUMBER(_xll.BDH(config!$G$4,L$1,$A38,$A38)),_xll.BDH(config!$G$4,L$1,$A38,$A38),_xll.BDH(config!$G$5,L$1,$A38,$A38))))</f>
        <v>#N/A Requesting Data...</v>
      </c>
      <c r="M38" s="8" t="str">
        <f>IF($A38="","",IF(ISNUMBER(FIND("IMPVOL",M$1)),_xll.BDH(config!$G$4,M$1,WORKDAY($A38,-1,config_Holiday_Calendar_US),WORKDAY($A38,-1,config_Holiday_Calendar_US)),IF(ISNUMBER(_xll.BDH(config!$G$4,M$1,$A38,$A38)),_xll.BDH(config!$G$4,M$1,$A38,$A38),_xll.BDH(config!$G$5,M$1,$A38,$A38))))</f>
        <v>#N/A Requesting Data...</v>
      </c>
      <c r="N38" s="8" t="str">
        <f>IF($A38="","",IF(ISNUMBER(FIND("IMPVOL",N$1)),_xll.BDH(config!$G$4,N$1,WORKDAY($A38,-1,config_Holiday_Calendar_US),WORKDAY($A38,-1,config_Holiday_Calendar_US)),IF(ISNUMBER(_xll.BDH(config!$G$4,N$1,$A38,$A38)),_xll.BDH(config!$G$4,N$1,$A38,$A38),_xll.BDH(config!$G$5,N$1,$A38,$A38))))</f>
        <v>#N/A Requesting Data...</v>
      </c>
      <c r="O38" s="8" t="str">
        <f>IF($A38="","",IF(ISNUMBER(FIND("IMPVOL",O$1)),_xll.BDH(config!$G$4,O$1,WORKDAY($A38,-1,config_Holiday_Calendar_US),WORKDAY($A38,-1,config_Holiday_Calendar_US)),IF(ISNUMBER(_xll.BDH(config!$G$4,O$1,$A38,$A38)),_xll.BDH(config!$G$4,O$1,$A38,$A38),_xll.BDH(config!$G$5,O$1,$A38,$A38))))</f>
        <v>#N/A Requesting Data...</v>
      </c>
      <c r="P38" s="8" t="str">
        <f>IF($A38="","",IF(ISNUMBER(FIND("IMPVOL",P$1)),_xll.BDH(config!$G$4,P$1,WORKDAY($A38,-1,config_Holiday_Calendar_US),WORKDAY($A38,-1,config_Holiday_Calendar_US)),IF(ISNUMBER(_xll.BDH(config!$G$4,P$1,$A38,$A38)),_xll.BDH(config!$G$4,P$1,$A38,$A38),_xll.BDH(config!$G$5,P$1,$A38,$A38))))</f>
        <v>#N/A Requesting Data...</v>
      </c>
      <c r="Q38" s="8">
        <f>IF($A38="","",IF(ISNUMBER(FIND("IMPVOL",Q$1)),_xll.BDH(config!$G$4,Q$1,WORKDAY($A38,-1,config_Holiday_Calendar_US),WORKDAY($A38,-1,config_Holiday_Calendar_US)),IF(ISNUMBER(_xll.BDH(config!$G$4,Q$1,$A38,$A38)),_xll.BDH(config!$G$4,Q$1,$A38,$A38),_xll.BDH(config!$G$5,Q$1,$A38,$A38))))</f>
        <v>19.489999999999998</v>
      </c>
      <c r="R38" s="8">
        <f>IF($A38="","",IF(ISNUMBER(FIND("IMPVOL",R$1)),_xll.BDH(config!$G$4,R$1,WORKDAY($A38,-1,config_Holiday_Calendar_US),WORKDAY($A38,-1,config_Holiday_Calendar_US)),IF(ISNUMBER(_xll.BDH(config!$G$4,R$1,$A38,$A38)),_xll.BDH(config!$G$4,R$1,$A38,$A38),_xll.BDH(config!$G$5,R$1,$A38,$A38))))</f>
        <v>24.47</v>
      </c>
      <c r="S38" s="8" t="str">
        <f>IF($A38="","",IF(ISNUMBER(FIND("IMPVOL",S$1)),_xll.BDH(config!$G$4,S$1,WORKDAY($A38,-1,config_Holiday_Calendar_US),WORKDAY($A38,-1,config_Holiday_Calendar_US)),IF(ISNUMBER(_xll.BDH(config!$G$4,S$1,$A38,$A38)),_xll.BDH(config!$G$4,S$1,$A38,$A38),_xll.BDH(config!$G$5,S$1,$A38,$A38))))</f>
        <v>#N/A Requesting Data...</v>
      </c>
      <c r="T38" s="8" t="str">
        <f>IF($A38="","",IF(ISNUMBER(FIND("IMPVOL",T$1)),_xll.BDH(config!$G$4,T$1,WORKDAY($A38,-1,config_Holiday_Calendar_US),WORKDAY($A38,-1,config_Holiday_Calendar_US)),IF(ISNUMBER(_xll.BDH(config!$G$4,T$1,$A38,$A38)),_xll.BDH(config!$G$4,T$1,$A38,$A38),_xll.BDH(config!$G$5,T$1,$A38,$A38))))</f>
        <v>#N/A Requesting Data...</v>
      </c>
      <c r="U38" s="8" t="str">
        <f>IF($A38="","",IF(ISNUMBER(FIND("IMPVOL",U$1)),_xll.BDH(config!$G$4,U$1,WORKDAY($A38,-1,config_Holiday_Calendar_US),WORKDAY($A38,-1,config_Holiday_Calendar_US)),IF(ISNUMBER(_xll.BDH(config!$G$4,U$1,$A38,$A38)),_xll.BDH(config!$G$4,U$1,$A38,$A38),_xll.BDH(config!$G$5,U$1,$A38,$A38))))</f>
        <v>#N/A Requesting Data...</v>
      </c>
      <c r="V38" s="8" t="str">
        <f>IF($A38="","",IF(ISNUMBER(FIND("IMPVOL",V$1)),_xll.BDH(config!$G$4,V$1,WORKDAY($A38,-1,config_Holiday_Calendar_US),WORKDAY($A38,-1,config_Holiday_Calendar_US)),IF(ISNUMBER(_xll.BDH(config!$G$4,V$1,$A38,$A38)),_xll.BDH(config!$G$4,V$1,$A38,$A38),_xll.BDH(config!$G$5,V$1,$A38,$A38))))</f>
        <v>#N/A Requesting Data...</v>
      </c>
      <c r="W38" s="8" t="str">
        <f>IF($A38="","",IF(ISNUMBER(FIND("IMPVOL",W$1)),_xll.BDH(config!$G$4,W$1,WORKDAY($A38,-1,config_Holiday_Calendar_US),WORKDAY($A38,-1,config_Holiday_Calendar_US)),IF(ISNUMBER(_xll.BDH(config!$G$4,W$1,$A38,$A38)),_xll.BDH(config!$G$4,W$1,$A38,$A38),_xll.BDH(config!$G$5,W$1,$A38,$A38))))</f>
        <v>#N/A Requesting Data...</v>
      </c>
    </row>
    <row r="39" spans="1:23" x14ac:dyDescent="0.2">
      <c r="A39" s="9">
        <f>IF(A38="","",IF(WORKDAY(A38,-1,config_Holiday_Calendar_US)&lt;config!$I$10,"",WORKDAY(A38,-1,config_Holiday_Calendar_US)))</f>
        <v>42781</v>
      </c>
      <c r="B39" s="8" t="e">
        <f t="shared" si="0"/>
        <v>#VALUE!</v>
      </c>
      <c r="C39" s="8" t="str">
        <f>IF(A39="","",_xll.BDH(config!$H$4,C$1,$A39,$A39))</f>
        <v>#N/A Requesting Data...</v>
      </c>
      <c r="D39" s="8" t="str">
        <f>IF($A39="","",_xll.BDH(config!$H$4,D$1,$A39,$A39))</f>
        <v>#N/A Requesting Data...</v>
      </c>
      <c r="E39" s="8">
        <f>IF($A39="","",IF(ISNUMBER(FIND("IMPVOL",E$1)),_xll.BDH(config!$G$4,E$1,WORKDAY($A39,-1,config_Holiday_Calendar_US),WORKDAY($A39,-1,config_Holiday_Calendar_US)),IF(ISNUMBER(_xll.BDH(config!$G$4,E$1,$A39,$A39)),_xll.BDH(config!$G$4,E$1,$A39,$A39),_xll.BDH(config!$G$5,E$1,$A39,$A39))))</f>
        <v>53.5</v>
      </c>
      <c r="F39" s="8">
        <f>IF($A39="","",IF(ISNUMBER(FIND("IMPVOL",F$1)),_xll.BDH(config!$G$4,F$1,WORKDAY($A39,-1,config_Holiday_Calendar_US),WORKDAY($A39,-1,config_Holiday_Calendar_US)),IF(ISNUMBER(_xll.BDH(config!$G$4,F$1,$A39,$A39)),_xll.BDH(config!$G$4,F$1,$A39,$A39),_xll.BDH(config!$G$5,F$1,$A39,$A39))))</f>
        <v>54.01</v>
      </c>
      <c r="G39" s="8">
        <f>IF($A39="","",IF(ISNUMBER(FIND("IMPVOL",G$1)),_xll.BDH(config!$G$4,G$1,WORKDAY($A39,-1,config_Holiday_Calendar_US),WORKDAY($A39,-1,config_Holiday_Calendar_US)),IF(ISNUMBER(_xll.BDH(config!$G$4,G$1,$A39,$A39)),_xll.BDH(config!$G$4,G$1,$A39,$A39),_xll.BDH(config!$G$5,G$1,$A39,$A39))))</f>
        <v>53.23</v>
      </c>
      <c r="H39" s="8">
        <f>IF($A39="","",IF(ISNUMBER(FIND("IMPVOL",H$1)),_xll.BDH(config!$G$4,H$1,WORKDAY($A39,-1,config_Holiday_Calendar_US),WORKDAY($A39,-1,config_Holiday_Calendar_US)),IF(ISNUMBER(_xll.BDH(config!$G$4,H$1,$A39,$A39)),_xll.BDH(config!$G$4,H$1,$A39,$A39),_xll.BDH(config!$G$5,H$1,$A39,$A39))))</f>
        <v>258043</v>
      </c>
      <c r="I39" s="8" t="str">
        <f>IF($A39="","",IF(ISNUMBER(FIND("IMPVOL",I$1)),_xll.BDH(config!$G$4,I$1,WORKDAY($A39,-1,config_Holiday_Calendar_US),WORKDAY($A39,-1,config_Holiday_Calendar_US)),IF(ISNUMBER(_xll.BDH(config!$G$4,I$1,$A39,$A39)),_xll.BDH(config!$G$4,I$1,$A39,$A39),_xll.BDH(config!$G$5,I$1,$A39,$A39))))</f>
        <v>#N/A Requesting Data...</v>
      </c>
      <c r="J39" s="8" t="str">
        <f>IF($A39="","",IF(ISNUMBER(FIND("IMPVOL",J$1)),_xll.BDH(config!$G$4,J$1,WORKDAY($A39,-1,config_Holiday_Calendar_US),WORKDAY($A39,-1,config_Holiday_Calendar_US)),IF(ISNUMBER(_xll.BDH(config!$G$4,J$1,$A39,$A39)),_xll.BDH(config!$G$4,J$1,$A39,$A39),_xll.BDH(config!$G$5,J$1,$A39,$A39))))</f>
        <v>#N/A Requesting Data...</v>
      </c>
      <c r="K39" s="8" t="str">
        <f>IF($A39="","",IF(ISNUMBER(FIND("IMPVOL",K$1)),_xll.BDH(config!$G$4,K$1,WORKDAY($A39,-1,config_Holiday_Calendar_US),WORKDAY($A39,-1,config_Holiday_Calendar_US)),IF(ISNUMBER(_xll.BDH(config!$G$4,K$1,$A39,$A39)),_xll.BDH(config!$G$4,K$1,$A39,$A39),_xll.BDH(config!$G$5,K$1,$A39,$A39))))</f>
        <v>#N/A Requesting Data...</v>
      </c>
      <c r="L39" s="8" t="str">
        <f>IF($A39="","",IF(ISNUMBER(FIND("IMPVOL",L$1)),_xll.BDH(config!$G$4,L$1,WORKDAY($A39,-1,config_Holiday_Calendar_US),WORKDAY($A39,-1,config_Holiday_Calendar_US)),IF(ISNUMBER(_xll.BDH(config!$G$4,L$1,$A39,$A39)),_xll.BDH(config!$G$4,L$1,$A39,$A39),_xll.BDH(config!$G$5,L$1,$A39,$A39))))</f>
        <v>#N/A Requesting Data...</v>
      </c>
      <c r="M39" s="8" t="str">
        <f>IF($A39="","",IF(ISNUMBER(FIND("IMPVOL",M$1)),_xll.BDH(config!$G$4,M$1,WORKDAY($A39,-1,config_Holiday_Calendar_US),WORKDAY($A39,-1,config_Holiday_Calendar_US)),IF(ISNUMBER(_xll.BDH(config!$G$4,M$1,$A39,$A39)),_xll.BDH(config!$G$4,M$1,$A39,$A39),_xll.BDH(config!$G$5,M$1,$A39,$A39))))</f>
        <v>#N/A Requesting Data...</v>
      </c>
      <c r="N39" s="8" t="str">
        <f>IF($A39="","",IF(ISNUMBER(FIND("IMPVOL",N$1)),_xll.BDH(config!$G$4,N$1,WORKDAY($A39,-1,config_Holiday_Calendar_US),WORKDAY($A39,-1,config_Holiday_Calendar_US)),IF(ISNUMBER(_xll.BDH(config!$G$4,N$1,$A39,$A39)),_xll.BDH(config!$G$4,N$1,$A39,$A39),_xll.BDH(config!$G$5,N$1,$A39,$A39))))</f>
        <v>#N/A Requesting Data...</v>
      </c>
      <c r="O39" s="8" t="str">
        <f>IF($A39="","",IF(ISNUMBER(FIND("IMPVOL",O$1)),_xll.BDH(config!$G$4,O$1,WORKDAY($A39,-1,config_Holiday_Calendar_US),WORKDAY($A39,-1,config_Holiday_Calendar_US)),IF(ISNUMBER(_xll.BDH(config!$G$4,O$1,$A39,$A39)),_xll.BDH(config!$G$4,O$1,$A39,$A39),_xll.BDH(config!$G$5,O$1,$A39,$A39))))</f>
        <v>#N/A Requesting Data...</v>
      </c>
      <c r="P39" s="8" t="str">
        <f>IF($A39="","",IF(ISNUMBER(FIND("IMPVOL",P$1)),_xll.BDH(config!$G$4,P$1,WORKDAY($A39,-1,config_Holiday_Calendar_US),WORKDAY($A39,-1,config_Holiday_Calendar_US)),IF(ISNUMBER(_xll.BDH(config!$G$4,P$1,$A39,$A39)),_xll.BDH(config!$G$4,P$1,$A39,$A39),_xll.BDH(config!$G$5,P$1,$A39,$A39))))</f>
        <v>#N/A Requesting Data...</v>
      </c>
      <c r="Q39" s="8">
        <f>IF($A39="","",IF(ISNUMBER(FIND("IMPVOL",Q$1)),_xll.BDH(config!$G$4,Q$1,WORKDAY($A39,-1,config_Holiday_Calendar_US),WORKDAY($A39,-1,config_Holiday_Calendar_US)),IF(ISNUMBER(_xll.BDH(config!$G$4,Q$1,$A39,$A39)),_xll.BDH(config!$G$4,Q$1,$A39,$A39),_xll.BDH(config!$G$5,Q$1,$A39,$A39))))</f>
        <v>19.739999999999998</v>
      </c>
      <c r="R39" s="8">
        <f>IF($A39="","",IF(ISNUMBER(FIND("IMPVOL",R$1)),_xll.BDH(config!$G$4,R$1,WORKDAY($A39,-1,config_Holiday_Calendar_US),WORKDAY($A39,-1,config_Holiday_Calendar_US)),IF(ISNUMBER(_xll.BDH(config!$G$4,R$1,$A39,$A39)),_xll.BDH(config!$G$4,R$1,$A39,$A39),_xll.BDH(config!$G$5,R$1,$A39,$A39))))</f>
        <v>24.6</v>
      </c>
      <c r="S39" s="8" t="str">
        <f>IF($A39="","",IF(ISNUMBER(FIND("IMPVOL",S$1)),_xll.BDH(config!$G$4,S$1,WORKDAY($A39,-1,config_Holiday_Calendar_US),WORKDAY($A39,-1,config_Holiday_Calendar_US)),IF(ISNUMBER(_xll.BDH(config!$G$4,S$1,$A39,$A39)),_xll.BDH(config!$G$4,S$1,$A39,$A39),_xll.BDH(config!$G$5,S$1,$A39,$A39))))</f>
        <v>#N/A Requesting Data...</v>
      </c>
      <c r="T39" s="8" t="str">
        <f>IF($A39="","",IF(ISNUMBER(FIND("IMPVOL",T$1)),_xll.BDH(config!$G$4,T$1,WORKDAY($A39,-1,config_Holiday_Calendar_US),WORKDAY($A39,-1,config_Holiday_Calendar_US)),IF(ISNUMBER(_xll.BDH(config!$G$4,T$1,$A39,$A39)),_xll.BDH(config!$G$4,T$1,$A39,$A39),_xll.BDH(config!$G$5,T$1,$A39,$A39))))</f>
        <v>#N/A Requesting Data...</v>
      </c>
      <c r="U39" s="8" t="str">
        <f>IF($A39="","",IF(ISNUMBER(FIND("IMPVOL",U$1)),_xll.BDH(config!$G$4,U$1,WORKDAY($A39,-1,config_Holiday_Calendar_US),WORKDAY($A39,-1,config_Holiday_Calendar_US)),IF(ISNUMBER(_xll.BDH(config!$G$4,U$1,$A39,$A39)),_xll.BDH(config!$G$4,U$1,$A39,$A39),_xll.BDH(config!$G$5,U$1,$A39,$A39))))</f>
        <v>#N/A Requesting Data...</v>
      </c>
      <c r="V39" s="8" t="str">
        <f>IF($A39="","",IF(ISNUMBER(FIND("IMPVOL",V$1)),_xll.BDH(config!$G$4,V$1,WORKDAY($A39,-1,config_Holiday_Calendar_US),WORKDAY($A39,-1,config_Holiday_Calendar_US)),IF(ISNUMBER(_xll.BDH(config!$G$4,V$1,$A39,$A39)),_xll.BDH(config!$G$4,V$1,$A39,$A39),_xll.BDH(config!$G$5,V$1,$A39,$A39))))</f>
        <v>#N/A Requesting Data...</v>
      </c>
      <c r="W39" s="8" t="str">
        <f>IF($A39="","",IF(ISNUMBER(FIND("IMPVOL",W$1)),_xll.BDH(config!$G$4,W$1,WORKDAY($A39,-1,config_Holiday_Calendar_US),WORKDAY($A39,-1,config_Holiday_Calendar_US)),IF(ISNUMBER(_xll.BDH(config!$G$4,W$1,$A39,$A39)),_xll.BDH(config!$G$4,W$1,$A39,$A39),_xll.BDH(config!$G$5,W$1,$A39,$A39))))</f>
        <v>#N/A Requesting Data...</v>
      </c>
    </row>
    <row r="40" spans="1:23" x14ac:dyDescent="0.2">
      <c r="A40" s="9">
        <f>IF(A39="","",IF(WORKDAY(A39,-1,config_Holiday_Calendar_US)&lt;config!$I$10,"",WORKDAY(A39,-1,config_Holiday_Calendar_US)))</f>
        <v>42780</v>
      </c>
      <c r="B40" s="8" t="e">
        <f t="shared" si="0"/>
        <v>#VALUE!</v>
      </c>
      <c r="C40" s="8" t="str">
        <f>IF(A40="","",_xll.BDH(config!$H$4,C$1,$A40,$A40))</f>
        <v>#N/A Requesting Data...</v>
      </c>
      <c r="D40" s="8" t="str">
        <f>IF($A40="","",_xll.BDH(config!$H$4,D$1,$A40,$A40))</f>
        <v>#N/A Requesting Data...</v>
      </c>
      <c r="E40" s="8">
        <f>IF($A40="","",IF(ISNUMBER(FIND("IMPVOL",E$1)),_xll.BDH(config!$G$4,E$1,WORKDAY($A40,-1,config_Holiday_Calendar_US),WORKDAY($A40,-1,config_Holiday_Calendar_US)),IF(ISNUMBER(_xll.BDH(config!$G$4,E$1,$A40,$A40)),_xll.BDH(config!$G$4,E$1,$A40,$A40),_xll.BDH(config!$G$5,E$1,$A40,$A40))))</f>
        <v>53.42</v>
      </c>
      <c r="F40" s="8">
        <f>IF($A40="","",IF(ISNUMBER(FIND("IMPVOL",F$1)),_xll.BDH(config!$G$4,F$1,WORKDAY($A40,-1,config_Holiday_Calendar_US),WORKDAY($A40,-1,config_Holiday_Calendar_US)),IF(ISNUMBER(_xll.BDH(config!$G$4,F$1,$A40,$A40)),_xll.BDH(config!$G$4,F$1,$A40,$A40),_xll.BDH(config!$G$5,F$1,$A40,$A40))))</f>
        <v>54.19</v>
      </c>
      <c r="G40" s="8">
        <f>IF($A40="","",IF(ISNUMBER(FIND("IMPVOL",G$1)),_xll.BDH(config!$G$4,G$1,WORKDAY($A40,-1,config_Holiday_Calendar_US),WORKDAY($A40,-1,config_Holiday_Calendar_US)),IF(ISNUMBER(_xll.BDH(config!$G$4,G$1,$A40,$A40)),_xll.BDH(config!$G$4,G$1,$A40,$A40),_xll.BDH(config!$G$5,G$1,$A40,$A40))))</f>
        <v>53.36</v>
      </c>
      <c r="H40" s="8">
        <f>IF($A40="","",IF(ISNUMBER(FIND("IMPVOL",H$1)),_xll.BDH(config!$G$4,H$1,WORKDAY($A40,-1,config_Holiday_Calendar_US),WORKDAY($A40,-1,config_Holiday_Calendar_US)),IF(ISNUMBER(_xll.BDH(config!$G$4,H$1,$A40,$A40)),_xll.BDH(config!$G$4,H$1,$A40,$A40),_xll.BDH(config!$G$5,H$1,$A40,$A40))))</f>
        <v>253676</v>
      </c>
      <c r="I40" s="8" t="str">
        <f>IF($A40="","",IF(ISNUMBER(FIND("IMPVOL",I$1)),_xll.BDH(config!$G$4,I$1,WORKDAY($A40,-1,config_Holiday_Calendar_US),WORKDAY($A40,-1,config_Holiday_Calendar_US)),IF(ISNUMBER(_xll.BDH(config!$G$4,I$1,$A40,$A40)),_xll.BDH(config!$G$4,I$1,$A40,$A40),_xll.BDH(config!$G$5,I$1,$A40,$A40))))</f>
        <v>#N/A Requesting Data...</v>
      </c>
      <c r="J40" s="8" t="str">
        <f>IF($A40="","",IF(ISNUMBER(FIND("IMPVOL",J$1)),_xll.BDH(config!$G$4,J$1,WORKDAY($A40,-1,config_Holiday_Calendar_US),WORKDAY($A40,-1,config_Holiday_Calendar_US)),IF(ISNUMBER(_xll.BDH(config!$G$4,J$1,$A40,$A40)),_xll.BDH(config!$G$4,J$1,$A40,$A40),_xll.BDH(config!$G$5,J$1,$A40,$A40))))</f>
        <v>#N/A Requesting Data...</v>
      </c>
      <c r="K40" s="8" t="str">
        <f>IF($A40="","",IF(ISNUMBER(FIND("IMPVOL",K$1)),_xll.BDH(config!$G$4,K$1,WORKDAY($A40,-1,config_Holiday_Calendar_US),WORKDAY($A40,-1,config_Holiday_Calendar_US)),IF(ISNUMBER(_xll.BDH(config!$G$4,K$1,$A40,$A40)),_xll.BDH(config!$G$4,K$1,$A40,$A40),_xll.BDH(config!$G$5,K$1,$A40,$A40))))</f>
        <v>#N/A Requesting Data...</v>
      </c>
      <c r="L40" s="8" t="str">
        <f>IF($A40="","",IF(ISNUMBER(FIND("IMPVOL",L$1)),_xll.BDH(config!$G$4,L$1,WORKDAY($A40,-1,config_Holiday_Calendar_US),WORKDAY($A40,-1,config_Holiday_Calendar_US)),IF(ISNUMBER(_xll.BDH(config!$G$4,L$1,$A40,$A40)),_xll.BDH(config!$G$4,L$1,$A40,$A40),_xll.BDH(config!$G$5,L$1,$A40,$A40))))</f>
        <v>#N/A Requesting Data...</v>
      </c>
      <c r="M40" s="8" t="str">
        <f>IF($A40="","",IF(ISNUMBER(FIND("IMPVOL",M$1)),_xll.BDH(config!$G$4,M$1,WORKDAY($A40,-1,config_Holiday_Calendar_US),WORKDAY($A40,-1,config_Holiday_Calendar_US)),IF(ISNUMBER(_xll.BDH(config!$G$4,M$1,$A40,$A40)),_xll.BDH(config!$G$4,M$1,$A40,$A40),_xll.BDH(config!$G$5,M$1,$A40,$A40))))</f>
        <v>#N/A Requesting Data...</v>
      </c>
      <c r="N40" s="8" t="str">
        <f>IF($A40="","",IF(ISNUMBER(FIND("IMPVOL",N$1)),_xll.BDH(config!$G$4,N$1,WORKDAY($A40,-1,config_Holiday_Calendar_US),WORKDAY($A40,-1,config_Holiday_Calendar_US)),IF(ISNUMBER(_xll.BDH(config!$G$4,N$1,$A40,$A40)),_xll.BDH(config!$G$4,N$1,$A40,$A40),_xll.BDH(config!$G$5,N$1,$A40,$A40))))</f>
        <v>#N/A Requesting Data...</v>
      </c>
      <c r="O40" s="8" t="str">
        <f>IF($A40="","",IF(ISNUMBER(FIND("IMPVOL",O$1)),_xll.BDH(config!$G$4,O$1,WORKDAY($A40,-1,config_Holiday_Calendar_US),WORKDAY($A40,-1,config_Holiday_Calendar_US)),IF(ISNUMBER(_xll.BDH(config!$G$4,O$1,$A40,$A40)),_xll.BDH(config!$G$4,O$1,$A40,$A40),_xll.BDH(config!$G$5,O$1,$A40,$A40))))</f>
        <v>#N/A Requesting Data...</v>
      </c>
      <c r="P40" s="8" t="str">
        <f>IF($A40="","",IF(ISNUMBER(FIND("IMPVOL",P$1)),_xll.BDH(config!$G$4,P$1,WORKDAY($A40,-1,config_Holiday_Calendar_US),WORKDAY($A40,-1,config_Holiday_Calendar_US)),IF(ISNUMBER(_xll.BDH(config!$G$4,P$1,$A40,$A40)),_xll.BDH(config!$G$4,P$1,$A40,$A40),_xll.BDH(config!$G$5,P$1,$A40,$A40))))</f>
        <v>#N/A Requesting Data...</v>
      </c>
      <c r="Q40" s="8">
        <f>IF($A40="","",IF(ISNUMBER(FIND("IMPVOL",Q$1)),_xll.BDH(config!$G$4,Q$1,WORKDAY($A40,-1,config_Holiday_Calendar_US),WORKDAY($A40,-1,config_Holiday_Calendar_US)),IF(ISNUMBER(_xll.BDH(config!$G$4,Q$1,$A40,$A40)),_xll.BDH(config!$G$4,Q$1,$A40,$A40),_xll.BDH(config!$G$5,Q$1,$A40,$A40))))</f>
        <v>19.899999999999999</v>
      </c>
      <c r="R40" s="8">
        <f>IF($A40="","",IF(ISNUMBER(FIND("IMPVOL",R$1)),_xll.BDH(config!$G$4,R$1,WORKDAY($A40,-1,config_Holiday_Calendar_US),WORKDAY($A40,-1,config_Holiday_Calendar_US)),IF(ISNUMBER(_xll.BDH(config!$G$4,R$1,$A40,$A40)),_xll.BDH(config!$G$4,R$1,$A40,$A40),_xll.BDH(config!$G$5,R$1,$A40,$A40))))</f>
        <v>25.15</v>
      </c>
      <c r="S40" s="8" t="str">
        <f>IF($A40="","",IF(ISNUMBER(FIND("IMPVOL",S$1)),_xll.BDH(config!$G$4,S$1,WORKDAY($A40,-1,config_Holiday_Calendar_US),WORKDAY($A40,-1,config_Holiday_Calendar_US)),IF(ISNUMBER(_xll.BDH(config!$G$4,S$1,$A40,$A40)),_xll.BDH(config!$G$4,S$1,$A40,$A40),_xll.BDH(config!$G$5,S$1,$A40,$A40))))</f>
        <v>#N/A Requesting Data...</v>
      </c>
      <c r="T40" s="8" t="str">
        <f>IF($A40="","",IF(ISNUMBER(FIND("IMPVOL",T$1)),_xll.BDH(config!$G$4,T$1,WORKDAY($A40,-1,config_Holiday_Calendar_US),WORKDAY($A40,-1,config_Holiday_Calendar_US)),IF(ISNUMBER(_xll.BDH(config!$G$4,T$1,$A40,$A40)),_xll.BDH(config!$G$4,T$1,$A40,$A40),_xll.BDH(config!$G$5,T$1,$A40,$A40))))</f>
        <v>#N/A Requesting Data...</v>
      </c>
      <c r="U40" s="8" t="str">
        <f>IF($A40="","",IF(ISNUMBER(FIND("IMPVOL",U$1)),_xll.BDH(config!$G$4,U$1,WORKDAY($A40,-1,config_Holiday_Calendar_US),WORKDAY($A40,-1,config_Holiday_Calendar_US)),IF(ISNUMBER(_xll.BDH(config!$G$4,U$1,$A40,$A40)),_xll.BDH(config!$G$4,U$1,$A40,$A40),_xll.BDH(config!$G$5,U$1,$A40,$A40))))</f>
        <v>#N/A Requesting Data...</v>
      </c>
      <c r="V40" s="8" t="str">
        <f>IF($A40="","",IF(ISNUMBER(FIND("IMPVOL",V$1)),_xll.BDH(config!$G$4,V$1,WORKDAY($A40,-1,config_Holiday_Calendar_US),WORKDAY($A40,-1,config_Holiday_Calendar_US)),IF(ISNUMBER(_xll.BDH(config!$G$4,V$1,$A40,$A40)),_xll.BDH(config!$G$4,V$1,$A40,$A40),_xll.BDH(config!$G$5,V$1,$A40,$A40))))</f>
        <v>#N/A Requesting Data...</v>
      </c>
      <c r="W40" s="8" t="str">
        <f>IF($A40="","",IF(ISNUMBER(FIND("IMPVOL",W$1)),_xll.BDH(config!$G$4,W$1,WORKDAY($A40,-1,config_Holiday_Calendar_US),WORKDAY($A40,-1,config_Holiday_Calendar_US)),IF(ISNUMBER(_xll.BDH(config!$G$4,W$1,$A40,$A40)),_xll.BDH(config!$G$4,W$1,$A40,$A40),_xll.BDH(config!$G$5,W$1,$A40,$A40))))</f>
        <v>#N/A Requesting Data...</v>
      </c>
    </row>
    <row r="41" spans="1:23" x14ac:dyDescent="0.2">
      <c r="A41" s="9">
        <f>IF(A40="","",IF(WORKDAY(A40,-1,config_Holiday_Calendar_US)&lt;config!$I$10,"",WORKDAY(A40,-1,config_Holiday_Calendar_US)))</f>
        <v>42779</v>
      </c>
      <c r="B41" s="8" t="e">
        <f t="shared" si="0"/>
        <v>#VALUE!</v>
      </c>
      <c r="C41" s="8" t="str">
        <f>IF(A41="","",_xll.BDH(config!$H$4,C$1,$A41,$A41))</f>
        <v>#N/A Requesting Data...</v>
      </c>
      <c r="D41" s="8" t="str">
        <f>IF($A41="","",_xll.BDH(config!$H$4,D$1,$A41,$A41))</f>
        <v>#N/A Requesting Data...</v>
      </c>
      <c r="E41" s="8">
        <f>IF($A41="","",IF(ISNUMBER(FIND("IMPVOL",E$1)),_xll.BDH(config!$G$4,E$1,WORKDAY($A41,-1,config_Holiday_Calendar_US),WORKDAY($A41,-1,config_Holiday_Calendar_US)),IF(ISNUMBER(_xll.BDH(config!$G$4,E$1,$A41,$A41)),_xll.BDH(config!$G$4,E$1,$A41,$A41),_xll.BDH(config!$G$5,E$1,$A41,$A41))))</f>
        <v>54.32</v>
      </c>
      <c r="F41" s="8">
        <f>IF($A41="","",IF(ISNUMBER(FIND("IMPVOL",F$1)),_xll.BDH(config!$G$4,F$1,WORKDAY($A41,-1,config_Holiday_Calendar_US),WORKDAY($A41,-1,config_Holiday_Calendar_US)),IF(ISNUMBER(_xll.BDH(config!$G$4,F$1,$A41,$A41)),_xll.BDH(config!$G$4,F$1,$A41,$A41),_xll.BDH(config!$G$5,F$1,$A41,$A41))))</f>
        <v>54.42</v>
      </c>
      <c r="G41" s="8">
        <f>IF($A41="","",IF(ISNUMBER(FIND("IMPVOL",G$1)),_xll.BDH(config!$G$4,G$1,WORKDAY($A41,-1,config_Holiday_Calendar_US),WORKDAY($A41,-1,config_Holiday_Calendar_US)),IF(ISNUMBER(_xll.BDH(config!$G$4,G$1,$A41,$A41)),_xll.BDH(config!$G$4,G$1,$A41,$A41),_xll.BDH(config!$G$5,G$1,$A41,$A41))))</f>
        <v>53.26</v>
      </c>
      <c r="H41" s="8">
        <f>IF($A41="","",IF(ISNUMBER(FIND("IMPVOL",H$1)),_xll.BDH(config!$G$4,H$1,WORKDAY($A41,-1,config_Holiday_Calendar_US),WORKDAY($A41,-1,config_Holiday_Calendar_US)),IF(ISNUMBER(_xll.BDH(config!$G$4,H$1,$A41,$A41)),_xll.BDH(config!$G$4,H$1,$A41,$A41),_xll.BDH(config!$G$5,H$1,$A41,$A41))))</f>
        <v>266515</v>
      </c>
      <c r="I41" s="8" t="str">
        <f>IF($A41="","",IF(ISNUMBER(FIND("IMPVOL",I$1)),_xll.BDH(config!$G$4,I$1,WORKDAY($A41,-1,config_Holiday_Calendar_US),WORKDAY($A41,-1,config_Holiday_Calendar_US)),IF(ISNUMBER(_xll.BDH(config!$G$4,I$1,$A41,$A41)),_xll.BDH(config!$G$4,I$1,$A41,$A41),_xll.BDH(config!$G$5,I$1,$A41,$A41))))</f>
        <v>#N/A Requesting Data...</v>
      </c>
      <c r="J41" s="8" t="str">
        <f>IF($A41="","",IF(ISNUMBER(FIND("IMPVOL",J$1)),_xll.BDH(config!$G$4,J$1,WORKDAY($A41,-1,config_Holiday_Calendar_US),WORKDAY($A41,-1,config_Holiday_Calendar_US)),IF(ISNUMBER(_xll.BDH(config!$G$4,J$1,$A41,$A41)),_xll.BDH(config!$G$4,J$1,$A41,$A41),_xll.BDH(config!$G$5,J$1,$A41,$A41))))</f>
        <v>#N/A Requesting Data...</v>
      </c>
      <c r="K41" s="8" t="str">
        <f>IF($A41="","",IF(ISNUMBER(FIND("IMPVOL",K$1)),_xll.BDH(config!$G$4,K$1,WORKDAY($A41,-1,config_Holiday_Calendar_US),WORKDAY($A41,-1,config_Holiday_Calendar_US)),IF(ISNUMBER(_xll.BDH(config!$G$4,K$1,$A41,$A41)),_xll.BDH(config!$G$4,K$1,$A41,$A41),_xll.BDH(config!$G$5,K$1,$A41,$A41))))</f>
        <v>#N/A Requesting Data...</v>
      </c>
      <c r="L41" s="8" t="str">
        <f>IF($A41="","",IF(ISNUMBER(FIND("IMPVOL",L$1)),_xll.BDH(config!$G$4,L$1,WORKDAY($A41,-1,config_Holiday_Calendar_US),WORKDAY($A41,-1,config_Holiday_Calendar_US)),IF(ISNUMBER(_xll.BDH(config!$G$4,L$1,$A41,$A41)),_xll.BDH(config!$G$4,L$1,$A41,$A41),_xll.BDH(config!$G$5,L$1,$A41,$A41))))</f>
        <v>#N/A Requesting Data...</v>
      </c>
      <c r="M41" s="8" t="str">
        <f>IF($A41="","",IF(ISNUMBER(FIND("IMPVOL",M$1)),_xll.BDH(config!$G$4,M$1,WORKDAY($A41,-1,config_Holiday_Calendar_US),WORKDAY($A41,-1,config_Holiday_Calendar_US)),IF(ISNUMBER(_xll.BDH(config!$G$4,M$1,$A41,$A41)),_xll.BDH(config!$G$4,M$1,$A41,$A41),_xll.BDH(config!$G$5,M$1,$A41,$A41))))</f>
        <v>#N/A Requesting Data...</v>
      </c>
      <c r="N41" s="8" t="str">
        <f>IF($A41="","",IF(ISNUMBER(FIND("IMPVOL",N$1)),_xll.BDH(config!$G$4,N$1,WORKDAY($A41,-1,config_Holiday_Calendar_US),WORKDAY($A41,-1,config_Holiday_Calendar_US)),IF(ISNUMBER(_xll.BDH(config!$G$4,N$1,$A41,$A41)),_xll.BDH(config!$G$4,N$1,$A41,$A41),_xll.BDH(config!$G$5,N$1,$A41,$A41))))</f>
        <v>#N/A Requesting Data...</v>
      </c>
      <c r="O41" s="8" t="str">
        <f>IF($A41="","",IF(ISNUMBER(FIND("IMPVOL",O$1)),_xll.BDH(config!$G$4,O$1,WORKDAY($A41,-1,config_Holiday_Calendar_US),WORKDAY($A41,-1,config_Holiday_Calendar_US)),IF(ISNUMBER(_xll.BDH(config!$G$4,O$1,$A41,$A41)),_xll.BDH(config!$G$4,O$1,$A41,$A41),_xll.BDH(config!$G$5,O$1,$A41,$A41))))</f>
        <v>#N/A Requesting Data...</v>
      </c>
      <c r="P41" s="8" t="str">
        <f>IF($A41="","",IF(ISNUMBER(FIND("IMPVOL",P$1)),_xll.BDH(config!$G$4,P$1,WORKDAY($A41,-1,config_Holiday_Calendar_US),WORKDAY($A41,-1,config_Holiday_Calendar_US)),IF(ISNUMBER(_xll.BDH(config!$G$4,P$1,$A41,$A41)),_xll.BDH(config!$G$4,P$1,$A41,$A41),_xll.BDH(config!$G$5,P$1,$A41,$A41))))</f>
        <v>#N/A Requesting Data...</v>
      </c>
      <c r="Q41" s="8">
        <f>IF($A41="","",IF(ISNUMBER(FIND("IMPVOL",Q$1)),_xll.BDH(config!$G$4,Q$1,WORKDAY($A41,-1,config_Holiday_Calendar_US),WORKDAY($A41,-1,config_Holiday_Calendar_US)),IF(ISNUMBER(_xll.BDH(config!$G$4,Q$1,$A41,$A41)),_xll.BDH(config!$G$4,Q$1,$A41,$A41),_xll.BDH(config!$G$5,Q$1,$A41,$A41))))</f>
        <v>22.86</v>
      </c>
      <c r="R41" s="8">
        <f>IF($A41="","",IF(ISNUMBER(FIND("IMPVOL",R$1)),_xll.BDH(config!$G$4,R$1,WORKDAY($A41,-1,config_Holiday_Calendar_US),WORKDAY($A41,-1,config_Holiday_Calendar_US)),IF(ISNUMBER(_xll.BDH(config!$G$4,R$1,$A41,$A41)),_xll.BDH(config!$G$4,R$1,$A41,$A41),_xll.BDH(config!$G$5,R$1,$A41,$A41))))</f>
        <v>26.24</v>
      </c>
      <c r="S41" s="8" t="str">
        <f>IF($A41="","",IF(ISNUMBER(FIND("IMPVOL",S$1)),_xll.BDH(config!$G$4,S$1,WORKDAY($A41,-1,config_Holiday_Calendar_US),WORKDAY($A41,-1,config_Holiday_Calendar_US)),IF(ISNUMBER(_xll.BDH(config!$G$4,S$1,$A41,$A41)),_xll.BDH(config!$G$4,S$1,$A41,$A41),_xll.BDH(config!$G$5,S$1,$A41,$A41))))</f>
        <v>#N/A Requesting Data...</v>
      </c>
      <c r="T41" s="8" t="str">
        <f>IF($A41="","",IF(ISNUMBER(FIND("IMPVOL",T$1)),_xll.BDH(config!$G$4,T$1,WORKDAY($A41,-1,config_Holiday_Calendar_US),WORKDAY($A41,-1,config_Holiday_Calendar_US)),IF(ISNUMBER(_xll.BDH(config!$G$4,T$1,$A41,$A41)),_xll.BDH(config!$G$4,T$1,$A41,$A41),_xll.BDH(config!$G$5,T$1,$A41,$A41))))</f>
        <v>#N/A Requesting Data...</v>
      </c>
      <c r="U41" s="8" t="str">
        <f>IF($A41="","",IF(ISNUMBER(FIND("IMPVOL",U$1)),_xll.BDH(config!$G$4,U$1,WORKDAY($A41,-1,config_Holiday_Calendar_US),WORKDAY($A41,-1,config_Holiday_Calendar_US)),IF(ISNUMBER(_xll.BDH(config!$G$4,U$1,$A41,$A41)),_xll.BDH(config!$G$4,U$1,$A41,$A41),_xll.BDH(config!$G$5,U$1,$A41,$A41))))</f>
        <v>#N/A Requesting Data...</v>
      </c>
      <c r="V41" s="8" t="str">
        <f>IF($A41="","",IF(ISNUMBER(FIND("IMPVOL",V$1)),_xll.BDH(config!$G$4,V$1,WORKDAY($A41,-1,config_Holiday_Calendar_US),WORKDAY($A41,-1,config_Holiday_Calendar_US)),IF(ISNUMBER(_xll.BDH(config!$G$4,V$1,$A41,$A41)),_xll.BDH(config!$G$4,V$1,$A41,$A41),_xll.BDH(config!$G$5,V$1,$A41,$A41))))</f>
        <v>#N/A Requesting Data...</v>
      </c>
      <c r="W41" s="8" t="str">
        <f>IF($A41="","",IF(ISNUMBER(FIND("IMPVOL",W$1)),_xll.BDH(config!$G$4,W$1,WORKDAY($A41,-1,config_Holiday_Calendar_US),WORKDAY($A41,-1,config_Holiday_Calendar_US)),IF(ISNUMBER(_xll.BDH(config!$G$4,W$1,$A41,$A41)),_xll.BDH(config!$G$4,W$1,$A41,$A41),_xll.BDH(config!$G$5,W$1,$A41,$A41))))</f>
        <v>#N/A Requesting Data...</v>
      </c>
    </row>
    <row r="42" spans="1:23" x14ac:dyDescent="0.2">
      <c r="A42" s="9">
        <f>IF(A41="","",IF(WORKDAY(A41,-1,config_Holiday_Calendar_US)&lt;config!$I$10,"",WORKDAY(A41,-1,config_Holiday_Calendar_US)))</f>
        <v>42776</v>
      </c>
      <c r="B42" s="8" t="e">
        <f t="shared" si="0"/>
        <v>#VALUE!</v>
      </c>
      <c r="C42" s="8" t="str">
        <f>IF(A42="","",_xll.BDH(config!$H$4,C$1,$A42,$A42))</f>
        <v>#N/A Requesting Data...</v>
      </c>
      <c r="D42" s="8" t="str">
        <f>IF($A42="","",_xll.BDH(config!$H$4,D$1,$A42,$A42))</f>
        <v>#N/A Requesting Data...</v>
      </c>
      <c r="E42" s="8">
        <f>IF($A42="","",IF(ISNUMBER(FIND("IMPVOL",E$1)),_xll.BDH(config!$G$4,E$1,WORKDAY($A42,-1,config_Holiday_Calendar_US),WORKDAY($A42,-1,config_Holiday_Calendar_US)),IF(ISNUMBER(_xll.BDH(config!$G$4,E$1,$A42,$A42)),_xll.BDH(config!$G$4,E$1,$A42,$A42),_xll.BDH(config!$G$5,E$1,$A42,$A42))))</f>
        <v>53.55</v>
      </c>
      <c r="F42" s="8">
        <f>IF($A42="","",IF(ISNUMBER(FIND("IMPVOL",F$1)),_xll.BDH(config!$G$4,F$1,WORKDAY($A42,-1,config_Holiday_Calendar_US),WORKDAY($A42,-1,config_Holiday_Calendar_US)),IF(ISNUMBER(_xll.BDH(config!$G$4,F$1,$A42,$A42)),_xll.BDH(config!$G$4,F$1,$A42,$A42),_xll.BDH(config!$G$5,F$1,$A42,$A42))))</f>
        <v>54.55</v>
      </c>
      <c r="G42" s="8">
        <f>IF($A42="","",IF(ISNUMBER(FIND("IMPVOL",G$1)),_xll.BDH(config!$G$4,G$1,WORKDAY($A42,-1,config_Holiday_Calendar_US),WORKDAY($A42,-1,config_Holiday_Calendar_US)),IF(ISNUMBER(_xll.BDH(config!$G$4,G$1,$A42,$A42)),_xll.BDH(config!$G$4,G$1,$A42,$A42),_xll.BDH(config!$G$5,G$1,$A42,$A42))))</f>
        <v>53.37</v>
      </c>
      <c r="H42" s="8">
        <f>IF($A42="","",IF(ISNUMBER(FIND("IMPVOL",H$1)),_xll.BDH(config!$G$4,H$1,WORKDAY($A42,-1,config_Holiday_Calendar_US),WORKDAY($A42,-1,config_Holiday_Calendar_US)),IF(ISNUMBER(_xll.BDH(config!$G$4,H$1,$A42,$A42)),_xll.BDH(config!$G$4,H$1,$A42,$A42),_xll.BDH(config!$G$5,H$1,$A42,$A42))))</f>
        <v>292306</v>
      </c>
      <c r="I42" s="8" t="str">
        <f>IF($A42="","",IF(ISNUMBER(FIND("IMPVOL",I$1)),_xll.BDH(config!$G$4,I$1,WORKDAY($A42,-1,config_Holiday_Calendar_US),WORKDAY($A42,-1,config_Holiday_Calendar_US)),IF(ISNUMBER(_xll.BDH(config!$G$4,I$1,$A42,$A42)),_xll.BDH(config!$G$4,I$1,$A42,$A42),_xll.BDH(config!$G$5,I$1,$A42,$A42))))</f>
        <v>#N/A Requesting Data...</v>
      </c>
      <c r="J42" s="8" t="str">
        <f>IF($A42="","",IF(ISNUMBER(FIND("IMPVOL",J$1)),_xll.BDH(config!$G$4,J$1,WORKDAY($A42,-1,config_Holiday_Calendar_US),WORKDAY($A42,-1,config_Holiday_Calendar_US)),IF(ISNUMBER(_xll.BDH(config!$G$4,J$1,$A42,$A42)),_xll.BDH(config!$G$4,J$1,$A42,$A42),_xll.BDH(config!$G$5,J$1,$A42,$A42))))</f>
        <v>#N/A Requesting Data...</v>
      </c>
      <c r="K42" s="8" t="str">
        <f>IF($A42="","",IF(ISNUMBER(FIND("IMPVOL",K$1)),_xll.BDH(config!$G$4,K$1,WORKDAY($A42,-1,config_Holiday_Calendar_US),WORKDAY($A42,-1,config_Holiday_Calendar_US)),IF(ISNUMBER(_xll.BDH(config!$G$4,K$1,$A42,$A42)),_xll.BDH(config!$G$4,K$1,$A42,$A42),_xll.BDH(config!$G$5,K$1,$A42,$A42))))</f>
        <v>#N/A Requesting Data...</v>
      </c>
      <c r="L42" s="8" t="str">
        <f>IF($A42="","",IF(ISNUMBER(FIND("IMPVOL",L$1)),_xll.BDH(config!$G$4,L$1,WORKDAY($A42,-1,config_Holiday_Calendar_US),WORKDAY($A42,-1,config_Holiday_Calendar_US)),IF(ISNUMBER(_xll.BDH(config!$G$4,L$1,$A42,$A42)),_xll.BDH(config!$G$4,L$1,$A42,$A42),_xll.BDH(config!$G$5,L$1,$A42,$A42))))</f>
        <v>#N/A Requesting Data...</v>
      </c>
      <c r="M42" s="8" t="str">
        <f>IF($A42="","",IF(ISNUMBER(FIND("IMPVOL",M$1)),_xll.BDH(config!$G$4,M$1,WORKDAY($A42,-1,config_Holiday_Calendar_US),WORKDAY($A42,-1,config_Holiday_Calendar_US)),IF(ISNUMBER(_xll.BDH(config!$G$4,M$1,$A42,$A42)),_xll.BDH(config!$G$4,M$1,$A42,$A42),_xll.BDH(config!$G$5,M$1,$A42,$A42))))</f>
        <v>#N/A Requesting Data...</v>
      </c>
      <c r="N42" s="8" t="str">
        <f>IF($A42="","",IF(ISNUMBER(FIND("IMPVOL",N$1)),_xll.BDH(config!$G$4,N$1,WORKDAY($A42,-1,config_Holiday_Calendar_US),WORKDAY($A42,-1,config_Holiday_Calendar_US)),IF(ISNUMBER(_xll.BDH(config!$G$4,N$1,$A42,$A42)),_xll.BDH(config!$G$4,N$1,$A42,$A42),_xll.BDH(config!$G$5,N$1,$A42,$A42))))</f>
        <v>#N/A Requesting Data...</v>
      </c>
      <c r="O42" s="8" t="str">
        <f>IF($A42="","",IF(ISNUMBER(FIND("IMPVOL",O$1)),_xll.BDH(config!$G$4,O$1,WORKDAY($A42,-1,config_Holiday_Calendar_US),WORKDAY($A42,-1,config_Holiday_Calendar_US)),IF(ISNUMBER(_xll.BDH(config!$G$4,O$1,$A42,$A42)),_xll.BDH(config!$G$4,O$1,$A42,$A42),_xll.BDH(config!$G$5,O$1,$A42,$A42))))</f>
        <v>#N/A Requesting Data...</v>
      </c>
      <c r="P42" s="8" t="str">
        <f>IF($A42="","",IF(ISNUMBER(FIND("IMPVOL",P$1)),_xll.BDH(config!$G$4,P$1,WORKDAY($A42,-1,config_Holiday_Calendar_US),WORKDAY($A42,-1,config_Holiday_Calendar_US)),IF(ISNUMBER(_xll.BDH(config!$G$4,P$1,$A42,$A42)),_xll.BDH(config!$G$4,P$1,$A42,$A42),_xll.BDH(config!$G$5,P$1,$A42,$A42))))</f>
        <v>#N/A Requesting Data...</v>
      </c>
      <c r="Q42" s="8">
        <f>IF($A42="","",IF(ISNUMBER(FIND("IMPVOL",Q$1)),_xll.BDH(config!$G$4,Q$1,WORKDAY($A42,-1,config_Holiday_Calendar_US),WORKDAY($A42,-1,config_Holiday_Calendar_US)),IF(ISNUMBER(_xll.BDH(config!$G$4,Q$1,$A42,$A42)),_xll.BDH(config!$G$4,Q$1,$A42,$A42),_xll.BDH(config!$G$5,Q$1,$A42,$A42))))</f>
        <v>20.51</v>
      </c>
      <c r="R42" s="8">
        <f>IF($A42="","",IF(ISNUMBER(FIND("IMPVOL",R$1)),_xll.BDH(config!$G$4,R$1,WORKDAY($A42,-1,config_Holiday_Calendar_US),WORKDAY($A42,-1,config_Holiday_Calendar_US)),IF(ISNUMBER(_xll.BDH(config!$G$4,R$1,$A42,$A42)),_xll.BDH(config!$G$4,R$1,$A42,$A42),_xll.BDH(config!$G$5,R$1,$A42,$A42))))</f>
        <v>25.77</v>
      </c>
      <c r="S42" s="8" t="str">
        <f>IF($A42="","",IF(ISNUMBER(FIND("IMPVOL",S$1)),_xll.BDH(config!$G$4,S$1,WORKDAY($A42,-1,config_Holiday_Calendar_US),WORKDAY($A42,-1,config_Holiday_Calendar_US)),IF(ISNUMBER(_xll.BDH(config!$G$4,S$1,$A42,$A42)),_xll.BDH(config!$G$4,S$1,$A42,$A42),_xll.BDH(config!$G$5,S$1,$A42,$A42))))</f>
        <v>#N/A Requesting Data...</v>
      </c>
      <c r="T42" s="8" t="str">
        <f>IF($A42="","",IF(ISNUMBER(FIND("IMPVOL",T$1)),_xll.BDH(config!$G$4,T$1,WORKDAY($A42,-1,config_Holiday_Calendar_US),WORKDAY($A42,-1,config_Holiday_Calendar_US)),IF(ISNUMBER(_xll.BDH(config!$G$4,T$1,$A42,$A42)),_xll.BDH(config!$G$4,T$1,$A42,$A42),_xll.BDH(config!$G$5,T$1,$A42,$A42))))</f>
        <v>#N/A Requesting Data...</v>
      </c>
      <c r="U42" s="8" t="str">
        <f>IF($A42="","",IF(ISNUMBER(FIND("IMPVOL",U$1)),_xll.BDH(config!$G$4,U$1,WORKDAY($A42,-1,config_Holiday_Calendar_US),WORKDAY($A42,-1,config_Holiday_Calendar_US)),IF(ISNUMBER(_xll.BDH(config!$G$4,U$1,$A42,$A42)),_xll.BDH(config!$G$4,U$1,$A42,$A42),_xll.BDH(config!$G$5,U$1,$A42,$A42))))</f>
        <v>#N/A Requesting Data...</v>
      </c>
      <c r="V42" s="8" t="str">
        <f>IF($A42="","",IF(ISNUMBER(FIND("IMPVOL",V$1)),_xll.BDH(config!$G$4,V$1,WORKDAY($A42,-1,config_Holiday_Calendar_US),WORKDAY($A42,-1,config_Holiday_Calendar_US)),IF(ISNUMBER(_xll.BDH(config!$G$4,V$1,$A42,$A42)),_xll.BDH(config!$G$4,V$1,$A42,$A42),_xll.BDH(config!$G$5,V$1,$A42,$A42))))</f>
        <v>#N/A Requesting Data...</v>
      </c>
      <c r="W42" s="8" t="str">
        <f>IF($A42="","",IF(ISNUMBER(FIND("IMPVOL",W$1)),_xll.BDH(config!$G$4,W$1,WORKDAY($A42,-1,config_Holiday_Calendar_US),WORKDAY($A42,-1,config_Holiday_Calendar_US)),IF(ISNUMBER(_xll.BDH(config!$G$4,W$1,$A42,$A42)),_xll.BDH(config!$G$4,W$1,$A42,$A42),_xll.BDH(config!$G$5,W$1,$A42,$A42))))</f>
        <v>#N/A Requesting Data...</v>
      </c>
    </row>
    <row r="43" spans="1:23" x14ac:dyDescent="0.2">
      <c r="A43" s="9">
        <f>IF(A42="","",IF(WORKDAY(A42,-1,config_Holiday_Calendar_US)&lt;config!$I$10,"",WORKDAY(A42,-1,config_Holiday_Calendar_US)))</f>
        <v>42775</v>
      </c>
      <c r="B43" s="8" t="e">
        <f t="shared" si="0"/>
        <v>#VALUE!</v>
      </c>
      <c r="C43" s="8" t="str">
        <f>IF(A43="","",_xll.BDH(config!$H$4,C$1,$A43,$A43))</f>
        <v>#N/A Requesting Data...</v>
      </c>
      <c r="D43" s="8" t="str">
        <f>IF($A43="","",_xll.BDH(config!$H$4,D$1,$A43,$A43))</f>
        <v>#N/A Requesting Data...</v>
      </c>
      <c r="E43" s="8">
        <f>IF($A43="","",IF(ISNUMBER(FIND("IMPVOL",E$1)),_xll.BDH(config!$G$4,E$1,WORKDAY($A43,-1,config_Holiday_Calendar_US),WORKDAY($A43,-1,config_Holiday_Calendar_US)),IF(ISNUMBER(_xll.BDH(config!$G$4,E$1,$A43,$A43)),_xll.BDH(config!$G$4,E$1,$A43,$A43),_xll.BDH(config!$G$5,E$1,$A43,$A43))))</f>
        <v>52.98</v>
      </c>
      <c r="F43" s="8">
        <f>IF($A43="","",IF(ISNUMBER(FIND("IMPVOL",F$1)),_xll.BDH(config!$G$4,F$1,WORKDAY($A43,-1,config_Holiday_Calendar_US),WORKDAY($A43,-1,config_Holiday_Calendar_US)),IF(ISNUMBER(_xll.BDH(config!$G$4,F$1,$A43,$A43)),_xll.BDH(config!$G$4,F$1,$A43,$A43),_xll.BDH(config!$G$5,F$1,$A43,$A43))))</f>
        <v>53.7</v>
      </c>
      <c r="G43" s="8">
        <f>IF($A43="","",IF(ISNUMBER(FIND("IMPVOL",G$1)),_xll.BDH(config!$G$4,G$1,WORKDAY($A43,-1,config_Holiday_Calendar_US),WORKDAY($A43,-1,config_Holiday_Calendar_US)),IF(ISNUMBER(_xll.BDH(config!$G$4,G$1,$A43,$A43)),_xll.BDH(config!$G$4,G$1,$A43,$A43),_xll.BDH(config!$G$5,G$1,$A43,$A43))))</f>
        <v>52.95</v>
      </c>
      <c r="H43" s="8">
        <f>IF($A43="","",IF(ISNUMBER(FIND("IMPVOL",H$1)),_xll.BDH(config!$G$4,H$1,WORKDAY($A43,-1,config_Holiday_Calendar_US),WORKDAY($A43,-1,config_Holiday_Calendar_US)),IF(ISNUMBER(_xll.BDH(config!$G$4,H$1,$A43,$A43)),_xll.BDH(config!$G$4,H$1,$A43,$A43),_xll.BDH(config!$G$5,H$1,$A43,$A43))))</f>
        <v>323665</v>
      </c>
      <c r="I43" s="8" t="str">
        <f>IF($A43="","",IF(ISNUMBER(FIND("IMPVOL",I$1)),_xll.BDH(config!$G$4,I$1,WORKDAY($A43,-1,config_Holiday_Calendar_US),WORKDAY($A43,-1,config_Holiday_Calendar_US)),IF(ISNUMBER(_xll.BDH(config!$G$4,I$1,$A43,$A43)),_xll.BDH(config!$G$4,I$1,$A43,$A43),_xll.BDH(config!$G$5,I$1,$A43,$A43))))</f>
        <v>#N/A Requesting Data...</v>
      </c>
      <c r="J43" s="8" t="str">
        <f>IF($A43="","",IF(ISNUMBER(FIND("IMPVOL",J$1)),_xll.BDH(config!$G$4,J$1,WORKDAY($A43,-1,config_Holiday_Calendar_US),WORKDAY($A43,-1,config_Holiday_Calendar_US)),IF(ISNUMBER(_xll.BDH(config!$G$4,J$1,$A43,$A43)),_xll.BDH(config!$G$4,J$1,$A43,$A43),_xll.BDH(config!$G$5,J$1,$A43,$A43))))</f>
        <v>#N/A Requesting Data...</v>
      </c>
      <c r="K43" s="8" t="str">
        <f>IF($A43="","",IF(ISNUMBER(FIND("IMPVOL",K$1)),_xll.BDH(config!$G$4,K$1,WORKDAY($A43,-1,config_Holiday_Calendar_US),WORKDAY($A43,-1,config_Holiday_Calendar_US)),IF(ISNUMBER(_xll.BDH(config!$G$4,K$1,$A43,$A43)),_xll.BDH(config!$G$4,K$1,$A43,$A43),_xll.BDH(config!$G$5,K$1,$A43,$A43))))</f>
        <v>#N/A Requesting Data...</v>
      </c>
      <c r="L43" s="8" t="str">
        <f>IF($A43="","",IF(ISNUMBER(FIND("IMPVOL",L$1)),_xll.BDH(config!$G$4,L$1,WORKDAY($A43,-1,config_Holiday_Calendar_US),WORKDAY($A43,-1,config_Holiday_Calendar_US)),IF(ISNUMBER(_xll.BDH(config!$G$4,L$1,$A43,$A43)),_xll.BDH(config!$G$4,L$1,$A43,$A43),_xll.BDH(config!$G$5,L$1,$A43,$A43))))</f>
        <v>#N/A Requesting Data...</v>
      </c>
      <c r="M43" s="8" t="str">
        <f>IF($A43="","",IF(ISNUMBER(FIND("IMPVOL",M$1)),_xll.BDH(config!$G$4,M$1,WORKDAY($A43,-1,config_Holiday_Calendar_US),WORKDAY($A43,-1,config_Holiday_Calendar_US)),IF(ISNUMBER(_xll.BDH(config!$G$4,M$1,$A43,$A43)),_xll.BDH(config!$G$4,M$1,$A43,$A43),_xll.BDH(config!$G$5,M$1,$A43,$A43))))</f>
        <v>#N/A Requesting Data...</v>
      </c>
      <c r="N43" s="8" t="str">
        <f>IF($A43="","",IF(ISNUMBER(FIND("IMPVOL",N$1)),_xll.BDH(config!$G$4,N$1,WORKDAY($A43,-1,config_Holiday_Calendar_US),WORKDAY($A43,-1,config_Holiday_Calendar_US)),IF(ISNUMBER(_xll.BDH(config!$G$4,N$1,$A43,$A43)),_xll.BDH(config!$G$4,N$1,$A43,$A43),_xll.BDH(config!$G$5,N$1,$A43,$A43))))</f>
        <v>#N/A Requesting Data...</v>
      </c>
      <c r="O43" s="8" t="str">
        <f>IF($A43="","",IF(ISNUMBER(FIND("IMPVOL",O$1)),_xll.BDH(config!$G$4,O$1,WORKDAY($A43,-1,config_Holiday_Calendar_US),WORKDAY($A43,-1,config_Holiday_Calendar_US)),IF(ISNUMBER(_xll.BDH(config!$G$4,O$1,$A43,$A43)),_xll.BDH(config!$G$4,O$1,$A43,$A43),_xll.BDH(config!$G$5,O$1,$A43,$A43))))</f>
        <v>#N/A Requesting Data...</v>
      </c>
      <c r="P43" s="8" t="str">
        <f>IF($A43="","",IF(ISNUMBER(FIND("IMPVOL",P$1)),_xll.BDH(config!$G$4,P$1,WORKDAY($A43,-1,config_Holiday_Calendar_US),WORKDAY($A43,-1,config_Holiday_Calendar_US)),IF(ISNUMBER(_xll.BDH(config!$G$4,P$1,$A43,$A43)),_xll.BDH(config!$G$4,P$1,$A43,$A43),_xll.BDH(config!$G$5,P$1,$A43,$A43))))</f>
        <v>#N/A Requesting Data...</v>
      </c>
      <c r="Q43" s="8">
        <f>IF($A43="","",IF(ISNUMBER(FIND("IMPVOL",Q$1)),_xll.BDH(config!$G$4,Q$1,WORKDAY($A43,-1,config_Holiday_Calendar_US),WORKDAY($A43,-1,config_Holiday_Calendar_US)),IF(ISNUMBER(_xll.BDH(config!$G$4,Q$1,$A43,$A43)),_xll.BDH(config!$G$4,Q$1,$A43,$A43),_xll.BDH(config!$G$5,Q$1,$A43,$A43))))</f>
        <v>19.48</v>
      </c>
      <c r="R43" s="8">
        <f>IF($A43="","",IF(ISNUMBER(FIND("IMPVOL",R$1)),_xll.BDH(config!$G$4,R$1,WORKDAY($A43,-1,config_Holiday_Calendar_US),WORKDAY($A43,-1,config_Holiday_Calendar_US)),IF(ISNUMBER(_xll.BDH(config!$G$4,R$1,$A43,$A43)),_xll.BDH(config!$G$4,R$1,$A43,$A43),_xll.BDH(config!$G$5,R$1,$A43,$A43))))</f>
        <v>25.29</v>
      </c>
      <c r="S43" s="8" t="str">
        <f>IF($A43="","",IF(ISNUMBER(FIND("IMPVOL",S$1)),_xll.BDH(config!$G$4,S$1,WORKDAY($A43,-1,config_Holiday_Calendar_US),WORKDAY($A43,-1,config_Holiday_Calendar_US)),IF(ISNUMBER(_xll.BDH(config!$G$4,S$1,$A43,$A43)),_xll.BDH(config!$G$4,S$1,$A43,$A43),_xll.BDH(config!$G$5,S$1,$A43,$A43))))</f>
        <v>#N/A Requesting Data...</v>
      </c>
      <c r="T43" s="8" t="str">
        <f>IF($A43="","",IF(ISNUMBER(FIND("IMPVOL",T$1)),_xll.BDH(config!$G$4,T$1,WORKDAY($A43,-1,config_Holiday_Calendar_US),WORKDAY($A43,-1,config_Holiday_Calendar_US)),IF(ISNUMBER(_xll.BDH(config!$G$4,T$1,$A43,$A43)),_xll.BDH(config!$G$4,T$1,$A43,$A43),_xll.BDH(config!$G$5,T$1,$A43,$A43))))</f>
        <v>#N/A Requesting Data...</v>
      </c>
      <c r="U43" s="8" t="str">
        <f>IF($A43="","",IF(ISNUMBER(FIND("IMPVOL",U$1)),_xll.BDH(config!$G$4,U$1,WORKDAY($A43,-1,config_Holiday_Calendar_US),WORKDAY($A43,-1,config_Holiday_Calendar_US)),IF(ISNUMBER(_xll.BDH(config!$G$4,U$1,$A43,$A43)),_xll.BDH(config!$G$4,U$1,$A43,$A43),_xll.BDH(config!$G$5,U$1,$A43,$A43))))</f>
        <v>#N/A Requesting Data...</v>
      </c>
      <c r="V43" s="8" t="str">
        <f>IF($A43="","",IF(ISNUMBER(FIND("IMPVOL",V$1)),_xll.BDH(config!$G$4,V$1,WORKDAY($A43,-1,config_Holiday_Calendar_US),WORKDAY($A43,-1,config_Holiday_Calendar_US)),IF(ISNUMBER(_xll.BDH(config!$G$4,V$1,$A43,$A43)),_xll.BDH(config!$G$4,V$1,$A43,$A43),_xll.BDH(config!$G$5,V$1,$A43,$A43))))</f>
        <v>#N/A Requesting Data...</v>
      </c>
      <c r="W43" s="8" t="str">
        <f>IF($A43="","",IF(ISNUMBER(FIND("IMPVOL",W$1)),_xll.BDH(config!$G$4,W$1,WORKDAY($A43,-1,config_Holiday_Calendar_US),WORKDAY($A43,-1,config_Holiday_Calendar_US)),IF(ISNUMBER(_xll.BDH(config!$G$4,W$1,$A43,$A43)),_xll.BDH(config!$G$4,W$1,$A43,$A43),_xll.BDH(config!$G$5,W$1,$A43,$A43))))</f>
        <v>#N/A Requesting Data...</v>
      </c>
    </row>
    <row r="44" spans="1:23" x14ac:dyDescent="0.2">
      <c r="A44" s="9">
        <f>IF(A43="","",IF(WORKDAY(A43,-1,config_Holiday_Calendar_US)&lt;config!$I$10,"",WORKDAY(A43,-1,config_Holiday_Calendar_US)))</f>
        <v>42774</v>
      </c>
      <c r="B44" s="8" t="e">
        <f t="shared" si="0"/>
        <v>#VALUE!</v>
      </c>
      <c r="C44" s="8" t="str">
        <f>IF(A44="","",_xll.BDH(config!$H$4,C$1,$A44,$A44))</f>
        <v>#N/A Requesting Data...</v>
      </c>
      <c r="D44" s="8" t="str">
        <f>IF($A44="","",_xll.BDH(config!$H$4,D$1,$A44,$A44))</f>
        <v>#N/A Requesting Data...</v>
      </c>
      <c r="E44" s="8">
        <f>IF($A44="","",IF(ISNUMBER(FIND("IMPVOL",E$1)),_xll.BDH(config!$G$4,E$1,WORKDAY($A44,-1,config_Holiday_Calendar_US),WORKDAY($A44,-1,config_Holiday_Calendar_US)),IF(ISNUMBER(_xll.BDH(config!$G$4,E$1,$A44,$A44)),_xll.BDH(config!$G$4,E$1,$A44,$A44),_xll.BDH(config!$G$5,E$1,$A44,$A44))))</f>
        <v>52.35</v>
      </c>
      <c r="F44" s="8">
        <f>IF($A44="","",IF(ISNUMBER(FIND("IMPVOL",F$1)),_xll.BDH(config!$G$4,F$1,WORKDAY($A44,-1,config_Holiday_Calendar_US),WORKDAY($A44,-1,config_Holiday_Calendar_US)),IF(ISNUMBER(_xll.BDH(config!$G$4,F$1,$A44,$A44)),_xll.BDH(config!$G$4,F$1,$A44,$A44),_xll.BDH(config!$G$5,F$1,$A44,$A44))))</f>
        <v>53.24</v>
      </c>
      <c r="G44" s="8">
        <f>IF($A44="","",IF(ISNUMBER(FIND("IMPVOL",G$1)),_xll.BDH(config!$G$4,G$1,WORKDAY($A44,-1,config_Holiday_Calendar_US),WORKDAY($A44,-1,config_Holiday_Calendar_US)),IF(ISNUMBER(_xll.BDH(config!$G$4,G$1,$A44,$A44)),_xll.BDH(config!$G$4,G$1,$A44,$A44),_xll.BDH(config!$G$5,G$1,$A44,$A44))))</f>
        <v>51.86</v>
      </c>
      <c r="H44" s="8">
        <f>IF($A44="","",IF(ISNUMBER(FIND("IMPVOL",H$1)),_xll.BDH(config!$G$4,H$1,WORKDAY($A44,-1,config_Holiday_Calendar_US),WORKDAY($A44,-1,config_Holiday_Calendar_US)),IF(ISNUMBER(_xll.BDH(config!$G$4,H$1,$A44,$A44)),_xll.BDH(config!$G$4,H$1,$A44,$A44),_xll.BDH(config!$G$5,H$1,$A44,$A44))))</f>
        <v>340960</v>
      </c>
      <c r="I44" s="8" t="str">
        <f>IF($A44="","",IF(ISNUMBER(FIND("IMPVOL",I$1)),_xll.BDH(config!$G$4,I$1,WORKDAY($A44,-1,config_Holiday_Calendar_US),WORKDAY($A44,-1,config_Holiday_Calendar_US)),IF(ISNUMBER(_xll.BDH(config!$G$4,I$1,$A44,$A44)),_xll.BDH(config!$G$4,I$1,$A44,$A44),_xll.BDH(config!$G$5,I$1,$A44,$A44))))</f>
        <v>#N/A Requesting Data...</v>
      </c>
      <c r="J44" s="8" t="str">
        <f>IF($A44="","",IF(ISNUMBER(FIND("IMPVOL",J$1)),_xll.BDH(config!$G$4,J$1,WORKDAY($A44,-1,config_Holiday_Calendar_US),WORKDAY($A44,-1,config_Holiday_Calendar_US)),IF(ISNUMBER(_xll.BDH(config!$G$4,J$1,$A44,$A44)),_xll.BDH(config!$G$4,J$1,$A44,$A44),_xll.BDH(config!$G$5,J$1,$A44,$A44))))</f>
        <v>#N/A Requesting Data...</v>
      </c>
      <c r="K44" s="8" t="str">
        <f>IF($A44="","",IF(ISNUMBER(FIND("IMPVOL",K$1)),_xll.BDH(config!$G$4,K$1,WORKDAY($A44,-1,config_Holiday_Calendar_US),WORKDAY($A44,-1,config_Holiday_Calendar_US)),IF(ISNUMBER(_xll.BDH(config!$G$4,K$1,$A44,$A44)),_xll.BDH(config!$G$4,K$1,$A44,$A44),_xll.BDH(config!$G$5,K$1,$A44,$A44))))</f>
        <v>#N/A Requesting Data...</v>
      </c>
      <c r="L44" s="8" t="str">
        <f>IF($A44="","",IF(ISNUMBER(FIND("IMPVOL",L$1)),_xll.BDH(config!$G$4,L$1,WORKDAY($A44,-1,config_Holiday_Calendar_US),WORKDAY($A44,-1,config_Holiday_Calendar_US)),IF(ISNUMBER(_xll.BDH(config!$G$4,L$1,$A44,$A44)),_xll.BDH(config!$G$4,L$1,$A44,$A44),_xll.BDH(config!$G$5,L$1,$A44,$A44))))</f>
        <v>#N/A Requesting Data...</v>
      </c>
      <c r="M44" s="8" t="str">
        <f>IF($A44="","",IF(ISNUMBER(FIND("IMPVOL",M$1)),_xll.BDH(config!$G$4,M$1,WORKDAY($A44,-1,config_Holiday_Calendar_US),WORKDAY($A44,-1,config_Holiday_Calendar_US)),IF(ISNUMBER(_xll.BDH(config!$G$4,M$1,$A44,$A44)),_xll.BDH(config!$G$4,M$1,$A44,$A44),_xll.BDH(config!$G$5,M$1,$A44,$A44))))</f>
        <v>#N/A Requesting Data...</v>
      </c>
      <c r="N44" s="8" t="str">
        <f>IF($A44="","",IF(ISNUMBER(FIND("IMPVOL",N$1)),_xll.BDH(config!$G$4,N$1,WORKDAY($A44,-1,config_Holiday_Calendar_US),WORKDAY($A44,-1,config_Holiday_Calendar_US)),IF(ISNUMBER(_xll.BDH(config!$G$4,N$1,$A44,$A44)),_xll.BDH(config!$G$4,N$1,$A44,$A44),_xll.BDH(config!$G$5,N$1,$A44,$A44))))</f>
        <v>#N/A Requesting Data...</v>
      </c>
      <c r="O44" s="8" t="str">
        <f>IF($A44="","",IF(ISNUMBER(FIND("IMPVOL",O$1)),_xll.BDH(config!$G$4,O$1,WORKDAY($A44,-1,config_Holiday_Calendar_US),WORKDAY($A44,-1,config_Holiday_Calendar_US)),IF(ISNUMBER(_xll.BDH(config!$G$4,O$1,$A44,$A44)),_xll.BDH(config!$G$4,O$1,$A44,$A44),_xll.BDH(config!$G$5,O$1,$A44,$A44))))</f>
        <v>#N/A Requesting Data...</v>
      </c>
      <c r="P44" s="8" t="str">
        <f>IF($A44="","",IF(ISNUMBER(FIND("IMPVOL",P$1)),_xll.BDH(config!$G$4,P$1,WORKDAY($A44,-1,config_Holiday_Calendar_US),WORKDAY($A44,-1,config_Holiday_Calendar_US)),IF(ISNUMBER(_xll.BDH(config!$G$4,P$1,$A44,$A44)),_xll.BDH(config!$G$4,P$1,$A44,$A44),_xll.BDH(config!$G$5,P$1,$A44,$A44))))</f>
        <v>#N/A Requesting Data...</v>
      </c>
      <c r="Q44" s="8">
        <f>IF($A44="","",IF(ISNUMBER(FIND("IMPVOL",Q$1)),_xll.BDH(config!$G$4,Q$1,WORKDAY($A44,-1,config_Holiday_Calendar_US),WORKDAY($A44,-1,config_Holiday_Calendar_US)),IF(ISNUMBER(_xll.BDH(config!$G$4,Q$1,$A44,$A44)),_xll.BDH(config!$G$4,Q$1,$A44,$A44),_xll.BDH(config!$G$5,Q$1,$A44,$A44))))</f>
        <v>19.04</v>
      </c>
      <c r="R44" s="8">
        <f>IF($A44="","",IF(ISNUMBER(FIND("IMPVOL",R$1)),_xll.BDH(config!$G$4,R$1,WORKDAY($A44,-1,config_Holiday_Calendar_US),WORKDAY($A44,-1,config_Holiday_Calendar_US)),IF(ISNUMBER(_xll.BDH(config!$G$4,R$1,$A44,$A44)),_xll.BDH(config!$G$4,R$1,$A44,$A44),_xll.BDH(config!$G$5,R$1,$A44,$A44))))</f>
        <v>25.07</v>
      </c>
      <c r="S44" s="8" t="str">
        <f>IF($A44="","",IF(ISNUMBER(FIND("IMPVOL",S$1)),_xll.BDH(config!$G$4,S$1,WORKDAY($A44,-1,config_Holiday_Calendar_US),WORKDAY($A44,-1,config_Holiday_Calendar_US)),IF(ISNUMBER(_xll.BDH(config!$G$4,S$1,$A44,$A44)),_xll.BDH(config!$G$4,S$1,$A44,$A44),_xll.BDH(config!$G$5,S$1,$A44,$A44))))</f>
        <v>#N/A Requesting Data...</v>
      </c>
      <c r="T44" s="8" t="str">
        <f>IF($A44="","",IF(ISNUMBER(FIND("IMPVOL",T$1)),_xll.BDH(config!$G$4,T$1,WORKDAY($A44,-1,config_Holiday_Calendar_US),WORKDAY($A44,-1,config_Holiday_Calendar_US)),IF(ISNUMBER(_xll.BDH(config!$G$4,T$1,$A44,$A44)),_xll.BDH(config!$G$4,T$1,$A44,$A44),_xll.BDH(config!$G$5,T$1,$A44,$A44))))</f>
        <v>#N/A Requesting Data...</v>
      </c>
      <c r="U44" s="8" t="str">
        <f>IF($A44="","",IF(ISNUMBER(FIND("IMPVOL",U$1)),_xll.BDH(config!$G$4,U$1,WORKDAY($A44,-1,config_Holiday_Calendar_US),WORKDAY($A44,-1,config_Holiday_Calendar_US)),IF(ISNUMBER(_xll.BDH(config!$G$4,U$1,$A44,$A44)),_xll.BDH(config!$G$4,U$1,$A44,$A44),_xll.BDH(config!$G$5,U$1,$A44,$A44))))</f>
        <v>#N/A Requesting Data...</v>
      </c>
      <c r="V44" s="8" t="str">
        <f>IF($A44="","",IF(ISNUMBER(FIND("IMPVOL",V$1)),_xll.BDH(config!$G$4,V$1,WORKDAY($A44,-1,config_Holiday_Calendar_US),WORKDAY($A44,-1,config_Holiday_Calendar_US)),IF(ISNUMBER(_xll.BDH(config!$G$4,V$1,$A44,$A44)),_xll.BDH(config!$G$4,V$1,$A44,$A44),_xll.BDH(config!$G$5,V$1,$A44,$A44))))</f>
        <v>#N/A Requesting Data...</v>
      </c>
      <c r="W44" s="8" t="str">
        <f>IF($A44="","",IF(ISNUMBER(FIND("IMPVOL",W$1)),_xll.BDH(config!$G$4,W$1,WORKDAY($A44,-1,config_Holiday_Calendar_US),WORKDAY($A44,-1,config_Holiday_Calendar_US)),IF(ISNUMBER(_xll.BDH(config!$G$4,W$1,$A44,$A44)),_xll.BDH(config!$G$4,W$1,$A44,$A44),_xll.BDH(config!$G$5,W$1,$A44,$A44))))</f>
        <v>#N/A Requesting Data...</v>
      </c>
    </row>
    <row r="45" spans="1:23" x14ac:dyDescent="0.2">
      <c r="A45" s="9">
        <f>IF(A44="","",IF(WORKDAY(A44,-1,config_Holiday_Calendar_US)&lt;config!$I$10,"",WORKDAY(A44,-1,config_Holiday_Calendar_US)))</f>
        <v>42773</v>
      </c>
      <c r="B45" s="8" t="e">
        <f t="shared" si="0"/>
        <v>#VALUE!</v>
      </c>
      <c r="C45" s="8" t="str">
        <f>IF(A45="","",_xll.BDH(config!$H$4,C$1,$A45,$A45))</f>
        <v>#N/A Requesting Data...</v>
      </c>
      <c r="D45" s="8" t="str">
        <f>IF($A45="","",_xll.BDH(config!$H$4,D$1,$A45,$A45))</f>
        <v>#N/A Requesting Data...</v>
      </c>
      <c r="E45" s="8">
        <f>IF($A45="","",IF(ISNUMBER(FIND("IMPVOL",E$1)),_xll.BDH(config!$G$4,E$1,WORKDAY($A45,-1,config_Holiday_Calendar_US),WORKDAY($A45,-1,config_Holiday_Calendar_US)),IF(ISNUMBER(_xll.BDH(config!$G$4,E$1,$A45,$A45)),_xll.BDH(config!$G$4,E$1,$A45,$A45),_xll.BDH(config!$G$5,E$1,$A45,$A45))))</f>
        <v>53.71</v>
      </c>
      <c r="F45" s="8">
        <f>IF($A45="","",IF(ISNUMBER(FIND("IMPVOL",F$1)),_xll.BDH(config!$G$4,F$1,WORKDAY($A45,-1,config_Holiday_Calendar_US),WORKDAY($A45,-1,config_Holiday_Calendar_US)),IF(ISNUMBER(_xll.BDH(config!$G$4,F$1,$A45,$A45)),_xll.BDH(config!$G$4,F$1,$A45,$A45),_xll.BDH(config!$G$5,F$1,$A45,$A45))))</f>
        <v>53.85</v>
      </c>
      <c r="G45" s="8">
        <f>IF($A45="","",IF(ISNUMBER(FIND("IMPVOL",G$1)),_xll.BDH(config!$G$4,G$1,WORKDAY($A45,-1,config_Holiday_Calendar_US),WORKDAY($A45,-1,config_Holiday_Calendar_US)),IF(ISNUMBER(_xll.BDH(config!$G$4,G$1,$A45,$A45)),_xll.BDH(config!$G$4,G$1,$A45,$A45),_xll.BDH(config!$G$5,G$1,$A45,$A45))))</f>
        <v>52.26</v>
      </c>
      <c r="H45" s="8">
        <f>IF($A45="","",IF(ISNUMBER(FIND("IMPVOL",H$1)),_xll.BDH(config!$G$4,H$1,WORKDAY($A45,-1,config_Holiday_Calendar_US),WORKDAY($A45,-1,config_Holiday_Calendar_US)),IF(ISNUMBER(_xll.BDH(config!$G$4,H$1,$A45,$A45)),_xll.BDH(config!$G$4,H$1,$A45,$A45),_xll.BDH(config!$G$5,H$1,$A45,$A45))))</f>
        <v>240859</v>
      </c>
      <c r="I45" s="8" t="str">
        <f>IF($A45="","",IF(ISNUMBER(FIND("IMPVOL",I$1)),_xll.BDH(config!$G$4,I$1,WORKDAY($A45,-1,config_Holiday_Calendar_US),WORKDAY($A45,-1,config_Holiday_Calendar_US)),IF(ISNUMBER(_xll.BDH(config!$G$4,I$1,$A45,$A45)),_xll.BDH(config!$G$4,I$1,$A45,$A45),_xll.BDH(config!$G$5,I$1,$A45,$A45))))</f>
        <v>#N/A Requesting Data...</v>
      </c>
      <c r="J45" s="8" t="str">
        <f>IF($A45="","",IF(ISNUMBER(FIND("IMPVOL",J$1)),_xll.BDH(config!$G$4,J$1,WORKDAY($A45,-1,config_Holiday_Calendar_US),WORKDAY($A45,-1,config_Holiday_Calendar_US)),IF(ISNUMBER(_xll.BDH(config!$G$4,J$1,$A45,$A45)),_xll.BDH(config!$G$4,J$1,$A45,$A45),_xll.BDH(config!$G$5,J$1,$A45,$A45))))</f>
        <v>#N/A Requesting Data...</v>
      </c>
      <c r="K45" s="8" t="str">
        <f>IF($A45="","",IF(ISNUMBER(FIND("IMPVOL",K$1)),_xll.BDH(config!$G$4,K$1,WORKDAY($A45,-1,config_Holiday_Calendar_US),WORKDAY($A45,-1,config_Holiday_Calendar_US)),IF(ISNUMBER(_xll.BDH(config!$G$4,K$1,$A45,$A45)),_xll.BDH(config!$G$4,K$1,$A45,$A45),_xll.BDH(config!$G$5,K$1,$A45,$A45))))</f>
        <v>#N/A Requesting Data...</v>
      </c>
      <c r="L45" s="8" t="str">
        <f>IF($A45="","",IF(ISNUMBER(FIND("IMPVOL",L$1)),_xll.BDH(config!$G$4,L$1,WORKDAY($A45,-1,config_Holiday_Calendar_US),WORKDAY($A45,-1,config_Holiday_Calendar_US)),IF(ISNUMBER(_xll.BDH(config!$G$4,L$1,$A45,$A45)),_xll.BDH(config!$G$4,L$1,$A45,$A45),_xll.BDH(config!$G$5,L$1,$A45,$A45))))</f>
        <v>#N/A Requesting Data...</v>
      </c>
      <c r="M45" s="8" t="str">
        <f>IF($A45="","",IF(ISNUMBER(FIND("IMPVOL",M$1)),_xll.BDH(config!$G$4,M$1,WORKDAY($A45,-1,config_Holiday_Calendar_US),WORKDAY($A45,-1,config_Holiday_Calendar_US)),IF(ISNUMBER(_xll.BDH(config!$G$4,M$1,$A45,$A45)),_xll.BDH(config!$G$4,M$1,$A45,$A45),_xll.BDH(config!$G$5,M$1,$A45,$A45))))</f>
        <v>#N/A Requesting Data...</v>
      </c>
      <c r="N45" s="8" t="str">
        <f>IF($A45="","",IF(ISNUMBER(FIND("IMPVOL",N$1)),_xll.BDH(config!$G$4,N$1,WORKDAY($A45,-1,config_Holiday_Calendar_US),WORKDAY($A45,-1,config_Holiday_Calendar_US)),IF(ISNUMBER(_xll.BDH(config!$G$4,N$1,$A45,$A45)),_xll.BDH(config!$G$4,N$1,$A45,$A45),_xll.BDH(config!$G$5,N$1,$A45,$A45))))</f>
        <v>#N/A Requesting Data...</v>
      </c>
      <c r="O45" s="8" t="str">
        <f>IF($A45="","",IF(ISNUMBER(FIND("IMPVOL",O$1)),_xll.BDH(config!$G$4,O$1,WORKDAY($A45,-1,config_Holiday_Calendar_US),WORKDAY($A45,-1,config_Holiday_Calendar_US)),IF(ISNUMBER(_xll.BDH(config!$G$4,O$1,$A45,$A45)),_xll.BDH(config!$G$4,O$1,$A45,$A45),_xll.BDH(config!$G$5,O$1,$A45,$A45))))</f>
        <v>#N/A Requesting Data...</v>
      </c>
      <c r="P45" s="8" t="str">
        <f>IF($A45="","",IF(ISNUMBER(FIND("IMPVOL",P$1)),_xll.BDH(config!$G$4,P$1,WORKDAY($A45,-1,config_Holiday_Calendar_US),WORKDAY($A45,-1,config_Holiday_Calendar_US)),IF(ISNUMBER(_xll.BDH(config!$G$4,P$1,$A45,$A45)),_xll.BDH(config!$G$4,P$1,$A45,$A45),_xll.BDH(config!$G$5,P$1,$A45,$A45))))</f>
        <v>#N/A Requesting Data...</v>
      </c>
      <c r="Q45" s="8">
        <f>IF($A45="","",IF(ISNUMBER(FIND("IMPVOL",Q$1)),_xll.BDH(config!$G$4,Q$1,WORKDAY($A45,-1,config_Holiday_Calendar_US),WORKDAY($A45,-1,config_Holiday_Calendar_US)),IF(ISNUMBER(_xll.BDH(config!$G$4,Q$1,$A45,$A45)),_xll.BDH(config!$G$4,Q$1,$A45,$A45),_xll.BDH(config!$G$5,Q$1,$A45,$A45))))</f>
        <v>22.2</v>
      </c>
      <c r="R45" s="8">
        <f>IF($A45="","",IF(ISNUMBER(FIND("IMPVOL",R$1)),_xll.BDH(config!$G$4,R$1,WORKDAY($A45,-1,config_Holiday_Calendar_US),WORKDAY($A45,-1,config_Holiday_Calendar_US)),IF(ISNUMBER(_xll.BDH(config!$G$4,R$1,$A45,$A45)),_xll.BDH(config!$G$4,R$1,$A45,$A45),_xll.BDH(config!$G$5,R$1,$A45,$A45))))</f>
        <v>25.58</v>
      </c>
      <c r="S45" s="8" t="str">
        <f>IF($A45="","",IF(ISNUMBER(FIND("IMPVOL",S$1)),_xll.BDH(config!$G$4,S$1,WORKDAY($A45,-1,config_Holiday_Calendar_US),WORKDAY($A45,-1,config_Holiday_Calendar_US)),IF(ISNUMBER(_xll.BDH(config!$G$4,S$1,$A45,$A45)),_xll.BDH(config!$G$4,S$1,$A45,$A45),_xll.BDH(config!$G$5,S$1,$A45,$A45))))</f>
        <v>#N/A Requesting Data...</v>
      </c>
      <c r="T45" s="8" t="str">
        <f>IF($A45="","",IF(ISNUMBER(FIND("IMPVOL",T$1)),_xll.BDH(config!$G$4,T$1,WORKDAY($A45,-1,config_Holiday_Calendar_US),WORKDAY($A45,-1,config_Holiday_Calendar_US)),IF(ISNUMBER(_xll.BDH(config!$G$4,T$1,$A45,$A45)),_xll.BDH(config!$G$4,T$1,$A45,$A45),_xll.BDH(config!$G$5,T$1,$A45,$A45))))</f>
        <v>#N/A Requesting Data...</v>
      </c>
      <c r="U45" s="8" t="str">
        <f>IF($A45="","",IF(ISNUMBER(FIND("IMPVOL",U$1)),_xll.BDH(config!$G$4,U$1,WORKDAY($A45,-1,config_Holiday_Calendar_US),WORKDAY($A45,-1,config_Holiday_Calendar_US)),IF(ISNUMBER(_xll.BDH(config!$G$4,U$1,$A45,$A45)),_xll.BDH(config!$G$4,U$1,$A45,$A45),_xll.BDH(config!$G$5,U$1,$A45,$A45))))</f>
        <v>#N/A Requesting Data...</v>
      </c>
      <c r="V45" s="8" t="str">
        <f>IF($A45="","",IF(ISNUMBER(FIND("IMPVOL",V$1)),_xll.BDH(config!$G$4,V$1,WORKDAY($A45,-1,config_Holiday_Calendar_US),WORKDAY($A45,-1,config_Holiday_Calendar_US)),IF(ISNUMBER(_xll.BDH(config!$G$4,V$1,$A45,$A45)),_xll.BDH(config!$G$4,V$1,$A45,$A45),_xll.BDH(config!$G$5,V$1,$A45,$A45))))</f>
        <v>#N/A Requesting Data...</v>
      </c>
      <c r="W45" s="8" t="str">
        <f>IF($A45="","",IF(ISNUMBER(FIND("IMPVOL",W$1)),_xll.BDH(config!$G$4,W$1,WORKDAY($A45,-1,config_Holiday_Calendar_US),WORKDAY($A45,-1,config_Holiday_Calendar_US)),IF(ISNUMBER(_xll.BDH(config!$G$4,W$1,$A45,$A45)),_xll.BDH(config!$G$4,W$1,$A45,$A45),_xll.BDH(config!$G$5,W$1,$A45,$A45))))</f>
        <v>#N/A Requesting Data...</v>
      </c>
    </row>
    <row r="46" spans="1:23" x14ac:dyDescent="0.2">
      <c r="A46" s="9">
        <f>IF(A45="","",IF(WORKDAY(A45,-1,config_Holiday_Calendar_US)&lt;config!$I$10,"",WORKDAY(A45,-1,config_Holiday_Calendar_US)))</f>
        <v>42772</v>
      </c>
      <c r="B46" s="8" t="e">
        <f t="shared" si="0"/>
        <v>#VALUE!</v>
      </c>
      <c r="C46" s="8" t="str">
        <f>IF(A46="","",_xll.BDH(config!$H$4,C$1,$A46,$A46))</f>
        <v>#N/A Requesting Data...</v>
      </c>
      <c r="D46" s="8" t="str">
        <f>IF($A46="","",_xll.BDH(config!$H$4,D$1,$A46,$A46))</f>
        <v>#N/A Requesting Data...</v>
      </c>
      <c r="E46" s="8">
        <f>IF($A46="","",IF(ISNUMBER(FIND("IMPVOL",E$1)),_xll.BDH(config!$G$4,E$1,WORKDAY($A46,-1,config_Holiday_Calendar_US),WORKDAY($A46,-1,config_Holiday_Calendar_US)),IF(ISNUMBER(_xll.BDH(config!$G$4,E$1,$A46,$A46)),_xll.BDH(config!$G$4,E$1,$A46,$A46),_xll.BDH(config!$G$5,E$1,$A46,$A46))))</f>
        <v>54.48</v>
      </c>
      <c r="F46" s="8">
        <f>IF($A46="","",IF(ISNUMBER(FIND("IMPVOL",F$1)),_xll.BDH(config!$G$4,F$1,WORKDAY($A46,-1,config_Holiday_Calendar_US),WORKDAY($A46,-1,config_Holiday_Calendar_US)),IF(ISNUMBER(_xll.BDH(config!$G$4,F$1,$A46,$A46)),_xll.BDH(config!$G$4,F$1,$A46,$A46),_xll.BDH(config!$G$5,F$1,$A46,$A46))))</f>
        <v>54.77</v>
      </c>
      <c r="G46" s="8">
        <f>IF($A46="","",IF(ISNUMBER(FIND("IMPVOL",G$1)),_xll.BDH(config!$G$4,G$1,WORKDAY($A46,-1,config_Holiday_Calendar_US),WORKDAY($A46,-1,config_Holiday_Calendar_US)),IF(ISNUMBER(_xll.BDH(config!$G$4,G$1,$A46,$A46)),_xll.BDH(config!$G$4,G$1,$A46,$A46),_xll.BDH(config!$G$5,G$1,$A46,$A46))))</f>
        <v>53.54</v>
      </c>
      <c r="H46" s="8">
        <f>IF($A46="","",IF(ISNUMBER(FIND("IMPVOL",H$1)),_xll.BDH(config!$G$4,H$1,WORKDAY($A46,-1,config_Holiday_Calendar_US),WORKDAY($A46,-1,config_Holiday_Calendar_US)),IF(ISNUMBER(_xll.BDH(config!$G$4,H$1,$A46,$A46)),_xll.BDH(config!$G$4,H$1,$A46,$A46),_xll.BDH(config!$G$5,H$1,$A46,$A46))))</f>
        <v>111500</v>
      </c>
      <c r="I46" s="8" t="str">
        <f>IF($A46="","",IF(ISNUMBER(FIND("IMPVOL",I$1)),_xll.BDH(config!$G$4,I$1,WORKDAY($A46,-1,config_Holiday_Calendar_US),WORKDAY($A46,-1,config_Holiday_Calendar_US)),IF(ISNUMBER(_xll.BDH(config!$G$4,I$1,$A46,$A46)),_xll.BDH(config!$G$4,I$1,$A46,$A46),_xll.BDH(config!$G$5,I$1,$A46,$A46))))</f>
        <v>#N/A Requesting Data...</v>
      </c>
      <c r="J46" s="8" t="str">
        <f>IF($A46="","",IF(ISNUMBER(FIND("IMPVOL",J$1)),_xll.BDH(config!$G$4,J$1,WORKDAY($A46,-1,config_Holiday_Calendar_US),WORKDAY($A46,-1,config_Holiday_Calendar_US)),IF(ISNUMBER(_xll.BDH(config!$G$4,J$1,$A46,$A46)),_xll.BDH(config!$G$4,J$1,$A46,$A46),_xll.BDH(config!$G$5,J$1,$A46,$A46))))</f>
        <v>#N/A Requesting Data...</v>
      </c>
      <c r="K46" s="8" t="str">
        <f>IF($A46="","",IF(ISNUMBER(FIND("IMPVOL",K$1)),_xll.BDH(config!$G$4,K$1,WORKDAY($A46,-1,config_Holiday_Calendar_US),WORKDAY($A46,-1,config_Holiday_Calendar_US)),IF(ISNUMBER(_xll.BDH(config!$G$4,K$1,$A46,$A46)),_xll.BDH(config!$G$4,K$1,$A46,$A46),_xll.BDH(config!$G$5,K$1,$A46,$A46))))</f>
        <v>#N/A Requesting Data...</v>
      </c>
      <c r="L46" s="8" t="str">
        <f>IF($A46="","",IF(ISNUMBER(FIND("IMPVOL",L$1)),_xll.BDH(config!$G$4,L$1,WORKDAY($A46,-1,config_Holiday_Calendar_US),WORKDAY($A46,-1,config_Holiday_Calendar_US)),IF(ISNUMBER(_xll.BDH(config!$G$4,L$1,$A46,$A46)),_xll.BDH(config!$G$4,L$1,$A46,$A46),_xll.BDH(config!$G$5,L$1,$A46,$A46))))</f>
        <v>#N/A Requesting Data...</v>
      </c>
      <c r="M46" s="8" t="str">
        <f>IF($A46="","",IF(ISNUMBER(FIND("IMPVOL",M$1)),_xll.BDH(config!$G$4,M$1,WORKDAY($A46,-1,config_Holiday_Calendar_US),WORKDAY($A46,-1,config_Holiday_Calendar_US)),IF(ISNUMBER(_xll.BDH(config!$G$4,M$1,$A46,$A46)),_xll.BDH(config!$G$4,M$1,$A46,$A46),_xll.BDH(config!$G$5,M$1,$A46,$A46))))</f>
        <v>#N/A Requesting Data...</v>
      </c>
      <c r="N46" s="8" t="str">
        <f>IF($A46="","",IF(ISNUMBER(FIND("IMPVOL",N$1)),_xll.BDH(config!$G$4,N$1,WORKDAY($A46,-1,config_Holiday_Calendar_US),WORKDAY($A46,-1,config_Holiday_Calendar_US)),IF(ISNUMBER(_xll.BDH(config!$G$4,N$1,$A46,$A46)),_xll.BDH(config!$G$4,N$1,$A46,$A46),_xll.BDH(config!$G$5,N$1,$A46,$A46))))</f>
        <v>#N/A Requesting Data...</v>
      </c>
      <c r="O46" s="8" t="str">
        <f>IF($A46="","",IF(ISNUMBER(FIND("IMPVOL",O$1)),_xll.BDH(config!$G$4,O$1,WORKDAY($A46,-1,config_Holiday_Calendar_US),WORKDAY($A46,-1,config_Holiday_Calendar_US)),IF(ISNUMBER(_xll.BDH(config!$G$4,O$1,$A46,$A46)),_xll.BDH(config!$G$4,O$1,$A46,$A46),_xll.BDH(config!$G$5,O$1,$A46,$A46))))</f>
        <v>#N/A Requesting Data...</v>
      </c>
      <c r="P46" s="8" t="str">
        <f>IF($A46="","",IF(ISNUMBER(FIND("IMPVOL",P$1)),_xll.BDH(config!$G$4,P$1,WORKDAY($A46,-1,config_Holiday_Calendar_US),WORKDAY($A46,-1,config_Holiday_Calendar_US)),IF(ISNUMBER(_xll.BDH(config!$G$4,P$1,$A46,$A46)),_xll.BDH(config!$G$4,P$1,$A46,$A46),_xll.BDH(config!$G$5,P$1,$A46,$A46))))</f>
        <v>#N/A Requesting Data...</v>
      </c>
      <c r="Q46" s="8">
        <f>IF($A46="","",IF(ISNUMBER(FIND("IMPVOL",Q$1)),_xll.BDH(config!$G$4,Q$1,WORKDAY($A46,-1,config_Holiday_Calendar_US),WORKDAY($A46,-1,config_Holiday_Calendar_US)),IF(ISNUMBER(_xll.BDH(config!$G$4,Q$1,$A46,$A46)),_xll.BDH(config!$G$4,Q$1,$A46,$A46),_xll.BDH(config!$G$5,Q$1,$A46,$A46))))</f>
        <v>20.95</v>
      </c>
      <c r="R46" s="8">
        <f>IF($A46="","",IF(ISNUMBER(FIND("IMPVOL",R$1)),_xll.BDH(config!$G$4,R$1,WORKDAY($A46,-1,config_Holiday_Calendar_US),WORKDAY($A46,-1,config_Holiday_Calendar_US)),IF(ISNUMBER(_xll.BDH(config!$G$4,R$1,$A46,$A46)),_xll.BDH(config!$G$4,R$1,$A46,$A46),_xll.BDH(config!$G$5,R$1,$A46,$A46))))</f>
        <v>25.14</v>
      </c>
      <c r="S46" s="8" t="str">
        <f>IF($A46="","",IF(ISNUMBER(FIND("IMPVOL",S$1)),_xll.BDH(config!$G$4,S$1,WORKDAY($A46,-1,config_Holiday_Calendar_US),WORKDAY($A46,-1,config_Holiday_Calendar_US)),IF(ISNUMBER(_xll.BDH(config!$G$4,S$1,$A46,$A46)),_xll.BDH(config!$G$4,S$1,$A46,$A46),_xll.BDH(config!$G$5,S$1,$A46,$A46))))</f>
        <v>#N/A Requesting Data...</v>
      </c>
      <c r="T46" s="8" t="str">
        <f>IF($A46="","",IF(ISNUMBER(FIND("IMPVOL",T$1)),_xll.BDH(config!$G$4,T$1,WORKDAY($A46,-1,config_Holiday_Calendar_US),WORKDAY($A46,-1,config_Holiday_Calendar_US)),IF(ISNUMBER(_xll.BDH(config!$G$4,T$1,$A46,$A46)),_xll.BDH(config!$G$4,T$1,$A46,$A46),_xll.BDH(config!$G$5,T$1,$A46,$A46))))</f>
        <v>#N/A Requesting Data...</v>
      </c>
      <c r="U46" s="8" t="str">
        <f>IF($A46="","",IF(ISNUMBER(FIND("IMPVOL",U$1)),_xll.BDH(config!$G$4,U$1,WORKDAY($A46,-1,config_Holiday_Calendar_US),WORKDAY($A46,-1,config_Holiday_Calendar_US)),IF(ISNUMBER(_xll.BDH(config!$G$4,U$1,$A46,$A46)),_xll.BDH(config!$G$4,U$1,$A46,$A46),_xll.BDH(config!$G$5,U$1,$A46,$A46))))</f>
        <v>#N/A Requesting Data...</v>
      </c>
      <c r="V46" s="8" t="str">
        <f>IF($A46="","",IF(ISNUMBER(FIND("IMPVOL",V$1)),_xll.BDH(config!$G$4,V$1,WORKDAY($A46,-1,config_Holiday_Calendar_US),WORKDAY($A46,-1,config_Holiday_Calendar_US)),IF(ISNUMBER(_xll.BDH(config!$G$4,V$1,$A46,$A46)),_xll.BDH(config!$G$4,V$1,$A46,$A46),_xll.BDH(config!$G$5,V$1,$A46,$A46))))</f>
        <v>#N/A Requesting Data...</v>
      </c>
      <c r="W46" s="8" t="str">
        <f>IF($A46="","",IF(ISNUMBER(FIND("IMPVOL",W$1)),_xll.BDH(config!$G$4,W$1,WORKDAY($A46,-1,config_Holiday_Calendar_US),WORKDAY($A46,-1,config_Holiday_Calendar_US)),IF(ISNUMBER(_xll.BDH(config!$G$4,W$1,$A46,$A46)),_xll.BDH(config!$G$4,W$1,$A46,$A46),_xll.BDH(config!$G$5,W$1,$A46,$A46))))</f>
        <v>#N/A Requesting Data...</v>
      </c>
    </row>
    <row r="47" spans="1:23" x14ac:dyDescent="0.2">
      <c r="A47" s="9">
        <f>IF(A46="","",IF(WORKDAY(A46,-1,config_Holiday_Calendar_US)&lt;config!$I$10,"",WORKDAY(A46,-1,config_Holiday_Calendar_US)))</f>
        <v>42769</v>
      </c>
      <c r="B47" s="8" t="e">
        <f t="shared" si="0"/>
        <v>#VALUE!</v>
      </c>
      <c r="C47" s="8" t="str">
        <f>IF(A47="","",_xll.BDH(config!$H$4,C$1,$A47,$A47))</f>
        <v>#N/A Requesting Data...</v>
      </c>
      <c r="D47" s="8" t="str">
        <f>IF($A47="","",_xll.BDH(config!$H$4,D$1,$A47,$A47))</f>
        <v>#N/A Requesting Data...</v>
      </c>
      <c r="E47" s="8">
        <f>IF($A47="","",IF(ISNUMBER(FIND("IMPVOL",E$1)),_xll.BDH(config!$G$4,E$1,WORKDAY($A47,-1,config_Holiday_Calendar_US),WORKDAY($A47,-1,config_Holiday_Calendar_US)),IF(ISNUMBER(_xll.BDH(config!$G$4,E$1,$A47,$A47)),_xll.BDH(config!$G$4,E$1,$A47,$A47),_xll.BDH(config!$G$5,E$1,$A47,$A47))))</f>
        <v>54.34</v>
      </c>
      <c r="F47" s="8">
        <f>IF($A47="","",IF(ISNUMBER(FIND("IMPVOL",F$1)),_xll.BDH(config!$G$4,F$1,WORKDAY($A47,-1,config_Holiday_Calendar_US),WORKDAY($A47,-1,config_Holiday_Calendar_US)),IF(ISNUMBER(_xll.BDH(config!$G$4,F$1,$A47,$A47)),_xll.BDH(config!$G$4,F$1,$A47,$A47),_xll.BDH(config!$G$5,F$1,$A47,$A47))))</f>
        <v>54.84</v>
      </c>
      <c r="G47" s="8">
        <f>IF($A47="","",IF(ISNUMBER(FIND("IMPVOL",G$1)),_xll.BDH(config!$G$4,G$1,WORKDAY($A47,-1,config_Holiday_Calendar_US),WORKDAY($A47,-1,config_Holiday_Calendar_US)),IF(ISNUMBER(_xll.BDH(config!$G$4,G$1,$A47,$A47)),_xll.BDH(config!$G$4,G$1,$A47,$A47),_xll.BDH(config!$G$5,G$1,$A47,$A47))))</f>
        <v>54.03</v>
      </c>
      <c r="H47" s="8">
        <f>IF($A47="","",IF(ISNUMBER(FIND("IMPVOL",H$1)),_xll.BDH(config!$G$4,H$1,WORKDAY($A47,-1,config_Holiday_Calendar_US),WORKDAY($A47,-1,config_Holiday_Calendar_US)),IF(ISNUMBER(_xll.BDH(config!$G$4,H$1,$A47,$A47)),_xll.BDH(config!$G$4,H$1,$A47,$A47),_xll.BDH(config!$G$5,H$1,$A47,$A47))))</f>
        <v>113295</v>
      </c>
      <c r="I47" s="8" t="str">
        <f>IF($A47="","",IF(ISNUMBER(FIND("IMPVOL",I$1)),_xll.BDH(config!$G$4,I$1,WORKDAY($A47,-1,config_Holiday_Calendar_US),WORKDAY($A47,-1,config_Holiday_Calendar_US)),IF(ISNUMBER(_xll.BDH(config!$G$4,I$1,$A47,$A47)),_xll.BDH(config!$G$4,I$1,$A47,$A47),_xll.BDH(config!$G$5,I$1,$A47,$A47))))</f>
        <v>#N/A Requesting Data...</v>
      </c>
      <c r="J47" s="8" t="str">
        <f>IF($A47="","",IF(ISNUMBER(FIND("IMPVOL",J$1)),_xll.BDH(config!$G$4,J$1,WORKDAY($A47,-1,config_Holiday_Calendar_US),WORKDAY($A47,-1,config_Holiday_Calendar_US)),IF(ISNUMBER(_xll.BDH(config!$G$4,J$1,$A47,$A47)),_xll.BDH(config!$G$4,J$1,$A47,$A47),_xll.BDH(config!$G$5,J$1,$A47,$A47))))</f>
        <v>#N/A Requesting Data...</v>
      </c>
      <c r="K47" s="8" t="str">
        <f>IF($A47="","",IF(ISNUMBER(FIND("IMPVOL",K$1)),_xll.BDH(config!$G$4,K$1,WORKDAY($A47,-1,config_Holiday_Calendar_US),WORKDAY($A47,-1,config_Holiday_Calendar_US)),IF(ISNUMBER(_xll.BDH(config!$G$4,K$1,$A47,$A47)),_xll.BDH(config!$G$4,K$1,$A47,$A47),_xll.BDH(config!$G$5,K$1,$A47,$A47))))</f>
        <v>#N/A Requesting Data...</v>
      </c>
      <c r="L47" s="8" t="str">
        <f>IF($A47="","",IF(ISNUMBER(FIND("IMPVOL",L$1)),_xll.BDH(config!$G$4,L$1,WORKDAY($A47,-1,config_Holiday_Calendar_US),WORKDAY($A47,-1,config_Holiday_Calendar_US)),IF(ISNUMBER(_xll.BDH(config!$G$4,L$1,$A47,$A47)),_xll.BDH(config!$G$4,L$1,$A47,$A47),_xll.BDH(config!$G$5,L$1,$A47,$A47))))</f>
        <v>#N/A Requesting Data...</v>
      </c>
      <c r="M47" s="8" t="str">
        <f>IF($A47="","",IF(ISNUMBER(FIND("IMPVOL",M$1)),_xll.BDH(config!$G$4,M$1,WORKDAY($A47,-1,config_Holiday_Calendar_US),WORKDAY($A47,-1,config_Holiday_Calendar_US)),IF(ISNUMBER(_xll.BDH(config!$G$4,M$1,$A47,$A47)),_xll.BDH(config!$G$4,M$1,$A47,$A47),_xll.BDH(config!$G$5,M$1,$A47,$A47))))</f>
        <v>#N/A Requesting Data...</v>
      </c>
      <c r="N47" s="8" t="str">
        <f>IF($A47="","",IF(ISNUMBER(FIND("IMPVOL",N$1)),_xll.BDH(config!$G$4,N$1,WORKDAY($A47,-1,config_Holiday_Calendar_US),WORKDAY($A47,-1,config_Holiday_Calendar_US)),IF(ISNUMBER(_xll.BDH(config!$G$4,N$1,$A47,$A47)),_xll.BDH(config!$G$4,N$1,$A47,$A47),_xll.BDH(config!$G$5,N$1,$A47,$A47))))</f>
        <v>#N/A Requesting Data...</v>
      </c>
      <c r="O47" s="8" t="str">
        <f>IF($A47="","",IF(ISNUMBER(FIND("IMPVOL",O$1)),_xll.BDH(config!$G$4,O$1,WORKDAY($A47,-1,config_Holiday_Calendar_US),WORKDAY($A47,-1,config_Holiday_Calendar_US)),IF(ISNUMBER(_xll.BDH(config!$G$4,O$1,$A47,$A47)),_xll.BDH(config!$G$4,O$1,$A47,$A47),_xll.BDH(config!$G$5,O$1,$A47,$A47))))</f>
        <v>#N/A Requesting Data...</v>
      </c>
      <c r="P47" s="8" t="str">
        <f>IF($A47="","",IF(ISNUMBER(FIND("IMPVOL",P$1)),_xll.BDH(config!$G$4,P$1,WORKDAY($A47,-1,config_Holiday_Calendar_US),WORKDAY($A47,-1,config_Holiday_Calendar_US)),IF(ISNUMBER(_xll.BDH(config!$G$4,P$1,$A47,$A47)),_xll.BDH(config!$G$4,P$1,$A47,$A47),_xll.BDH(config!$G$5,P$1,$A47,$A47))))</f>
        <v>#N/A Requesting Data...</v>
      </c>
      <c r="Q47" s="8">
        <f>IF($A47="","",IF(ISNUMBER(FIND("IMPVOL",Q$1)),_xll.BDH(config!$G$4,Q$1,WORKDAY($A47,-1,config_Holiday_Calendar_US),WORKDAY($A47,-1,config_Holiday_Calendar_US)),IF(ISNUMBER(_xll.BDH(config!$G$4,Q$1,$A47,$A47)),_xll.BDH(config!$G$4,Q$1,$A47,$A47),_xll.BDH(config!$G$5,Q$1,$A47,$A47))))</f>
        <v>19.079999999999998</v>
      </c>
      <c r="R47" s="8">
        <f>IF($A47="","",IF(ISNUMBER(FIND("IMPVOL",R$1)),_xll.BDH(config!$G$4,R$1,WORKDAY($A47,-1,config_Holiday_Calendar_US),WORKDAY($A47,-1,config_Holiday_Calendar_US)),IF(ISNUMBER(_xll.BDH(config!$G$4,R$1,$A47,$A47)),_xll.BDH(config!$G$4,R$1,$A47,$A47),_xll.BDH(config!$G$5,R$1,$A47,$A47))))</f>
        <v>24.82</v>
      </c>
      <c r="S47" s="8" t="str">
        <f>IF($A47="","",IF(ISNUMBER(FIND("IMPVOL",S$1)),_xll.BDH(config!$G$4,S$1,WORKDAY($A47,-1,config_Holiday_Calendar_US),WORKDAY($A47,-1,config_Holiday_Calendar_US)),IF(ISNUMBER(_xll.BDH(config!$G$4,S$1,$A47,$A47)),_xll.BDH(config!$G$4,S$1,$A47,$A47),_xll.BDH(config!$G$5,S$1,$A47,$A47))))</f>
        <v>#N/A Requesting Data...</v>
      </c>
      <c r="T47" s="8" t="str">
        <f>IF($A47="","",IF(ISNUMBER(FIND("IMPVOL",T$1)),_xll.BDH(config!$G$4,T$1,WORKDAY($A47,-1,config_Holiday_Calendar_US),WORKDAY($A47,-1,config_Holiday_Calendar_US)),IF(ISNUMBER(_xll.BDH(config!$G$4,T$1,$A47,$A47)),_xll.BDH(config!$G$4,T$1,$A47,$A47),_xll.BDH(config!$G$5,T$1,$A47,$A47))))</f>
        <v>#N/A Requesting Data...</v>
      </c>
      <c r="U47" s="8" t="str">
        <f>IF($A47="","",IF(ISNUMBER(FIND("IMPVOL",U$1)),_xll.BDH(config!$G$4,U$1,WORKDAY($A47,-1,config_Holiday_Calendar_US),WORKDAY($A47,-1,config_Holiday_Calendar_US)),IF(ISNUMBER(_xll.BDH(config!$G$4,U$1,$A47,$A47)),_xll.BDH(config!$G$4,U$1,$A47,$A47),_xll.BDH(config!$G$5,U$1,$A47,$A47))))</f>
        <v>#N/A Requesting Data...</v>
      </c>
      <c r="V47" s="8" t="str">
        <f>IF($A47="","",IF(ISNUMBER(FIND("IMPVOL",V$1)),_xll.BDH(config!$G$4,V$1,WORKDAY($A47,-1,config_Holiday_Calendar_US),WORKDAY($A47,-1,config_Holiday_Calendar_US)),IF(ISNUMBER(_xll.BDH(config!$G$4,V$1,$A47,$A47)),_xll.BDH(config!$G$4,V$1,$A47,$A47),_xll.BDH(config!$G$5,V$1,$A47,$A47))))</f>
        <v>#N/A Requesting Data...</v>
      </c>
      <c r="W47" s="8" t="str">
        <f>IF($A47="","",IF(ISNUMBER(FIND("IMPVOL",W$1)),_xll.BDH(config!$G$4,W$1,WORKDAY($A47,-1,config_Holiday_Calendar_US),WORKDAY($A47,-1,config_Holiday_Calendar_US)),IF(ISNUMBER(_xll.BDH(config!$G$4,W$1,$A47,$A47)),_xll.BDH(config!$G$4,W$1,$A47,$A47),_xll.BDH(config!$G$5,W$1,$A47,$A47))))</f>
        <v>#N/A Requesting Data...</v>
      </c>
    </row>
    <row r="48" spans="1:23" x14ac:dyDescent="0.2">
      <c r="A48" s="9">
        <f>IF(A47="","",IF(WORKDAY(A47,-1,config_Holiday_Calendar_US)&lt;config!$I$10,"",WORKDAY(A47,-1,config_Holiday_Calendar_US)))</f>
        <v>42768</v>
      </c>
      <c r="B48" s="8" t="e">
        <f t="shared" si="0"/>
        <v>#VALUE!</v>
      </c>
      <c r="C48" s="8" t="str">
        <f>IF(A48="","",_xll.BDH(config!$H$4,C$1,$A48,$A48))</f>
        <v>#N/A Requesting Data...</v>
      </c>
      <c r="D48" s="8" t="str">
        <f>IF($A48="","",_xll.BDH(config!$H$4,D$1,$A48,$A48))</f>
        <v>#N/A Requesting Data...</v>
      </c>
      <c r="E48" s="8">
        <f>IF($A48="","",IF(ISNUMBER(FIND("IMPVOL",E$1)),_xll.BDH(config!$G$4,E$1,WORKDAY($A48,-1,config_Holiday_Calendar_US),WORKDAY($A48,-1,config_Holiday_Calendar_US)),IF(ISNUMBER(_xll.BDH(config!$G$4,E$1,$A48,$A48)),_xll.BDH(config!$G$4,E$1,$A48,$A48),_xll.BDH(config!$G$5,E$1,$A48,$A48))))</f>
        <v>54.16</v>
      </c>
      <c r="F48" s="8">
        <f>IF($A48="","",IF(ISNUMBER(FIND("IMPVOL",F$1)),_xll.BDH(config!$G$4,F$1,WORKDAY($A48,-1,config_Holiday_Calendar_US),WORKDAY($A48,-1,config_Holiday_Calendar_US)),IF(ISNUMBER(_xll.BDH(config!$G$4,F$1,$A48,$A48)),_xll.BDH(config!$G$4,F$1,$A48,$A48),_xll.BDH(config!$G$5,F$1,$A48,$A48))))</f>
        <v>54.96</v>
      </c>
      <c r="G48" s="8">
        <f>IF($A48="","",IF(ISNUMBER(FIND("IMPVOL",G$1)),_xll.BDH(config!$G$4,G$1,WORKDAY($A48,-1,config_Holiday_Calendar_US),WORKDAY($A48,-1,config_Holiday_Calendar_US)),IF(ISNUMBER(_xll.BDH(config!$G$4,G$1,$A48,$A48)),_xll.BDH(config!$G$4,G$1,$A48,$A48),_xll.BDH(config!$G$5,G$1,$A48,$A48))))</f>
        <v>53.97</v>
      </c>
      <c r="H48" s="8">
        <f>IF($A48="","",IF(ISNUMBER(FIND("IMPVOL",H$1)),_xll.BDH(config!$G$4,H$1,WORKDAY($A48,-1,config_Holiday_Calendar_US),WORKDAY($A48,-1,config_Holiday_Calendar_US)),IF(ISNUMBER(_xll.BDH(config!$G$4,H$1,$A48,$A48)),_xll.BDH(config!$G$4,H$1,$A48,$A48),_xll.BDH(config!$G$5,H$1,$A48,$A48))))</f>
        <v>121991</v>
      </c>
      <c r="I48" s="8" t="str">
        <f>IF($A48="","",IF(ISNUMBER(FIND("IMPVOL",I$1)),_xll.BDH(config!$G$4,I$1,WORKDAY($A48,-1,config_Holiday_Calendar_US),WORKDAY($A48,-1,config_Holiday_Calendar_US)),IF(ISNUMBER(_xll.BDH(config!$G$4,I$1,$A48,$A48)),_xll.BDH(config!$G$4,I$1,$A48,$A48),_xll.BDH(config!$G$5,I$1,$A48,$A48))))</f>
        <v>#N/A Requesting Data...</v>
      </c>
      <c r="J48" s="8" t="str">
        <f>IF($A48="","",IF(ISNUMBER(FIND("IMPVOL",J$1)),_xll.BDH(config!$G$4,J$1,WORKDAY($A48,-1,config_Holiday_Calendar_US),WORKDAY($A48,-1,config_Holiday_Calendar_US)),IF(ISNUMBER(_xll.BDH(config!$G$4,J$1,$A48,$A48)),_xll.BDH(config!$G$4,J$1,$A48,$A48),_xll.BDH(config!$G$5,J$1,$A48,$A48))))</f>
        <v>#N/A Requesting Data...</v>
      </c>
      <c r="K48" s="8" t="str">
        <f>IF($A48="","",IF(ISNUMBER(FIND("IMPVOL",K$1)),_xll.BDH(config!$G$4,K$1,WORKDAY($A48,-1,config_Holiday_Calendar_US),WORKDAY($A48,-1,config_Holiday_Calendar_US)),IF(ISNUMBER(_xll.BDH(config!$G$4,K$1,$A48,$A48)),_xll.BDH(config!$G$4,K$1,$A48,$A48),_xll.BDH(config!$G$5,K$1,$A48,$A48))))</f>
        <v>#N/A Requesting Data...</v>
      </c>
      <c r="L48" s="8" t="str">
        <f>IF($A48="","",IF(ISNUMBER(FIND("IMPVOL",L$1)),_xll.BDH(config!$G$4,L$1,WORKDAY($A48,-1,config_Holiday_Calendar_US),WORKDAY($A48,-1,config_Holiday_Calendar_US)),IF(ISNUMBER(_xll.BDH(config!$G$4,L$1,$A48,$A48)),_xll.BDH(config!$G$4,L$1,$A48,$A48),_xll.BDH(config!$G$5,L$1,$A48,$A48))))</f>
        <v>#N/A Requesting Data...</v>
      </c>
      <c r="M48" s="8" t="str">
        <f>IF($A48="","",IF(ISNUMBER(FIND("IMPVOL",M$1)),_xll.BDH(config!$G$4,M$1,WORKDAY($A48,-1,config_Holiday_Calendar_US),WORKDAY($A48,-1,config_Holiday_Calendar_US)),IF(ISNUMBER(_xll.BDH(config!$G$4,M$1,$A48,$A48)),_xll.BDH(config!$G$4,M$1,$A48,$A48),_xll.BDH(config!$G$5,M$1,$A48,$A48))))</f>
        <v>#N/A Requesting Data...</v>
      </c>
      <c r="N48" s="8" t="str">
        <f>IF($A48="","",IF(ISNUMBER(FIND("IMPVOL",N$1)),_xll.BDH(config!$G$4,N$1,WORKDAY($A48,-1,config_Holiday_Calendar_US),WORKDAY($A48,-1,config_Holiday_Calendar_US)),IF(ISNUMBER(_xll.BDH(config!$G$4,N$1,$A48,$A48)),_xll.BDH(config!$G$4,N$1,$A48,$A48),_xll.BDH(config!$G$5,N$1,$A48,$A48))))</f>
        <v>#N/A Requesting Data...</v>
      </c>
      <c r="O48" s="8" t="str">
        <f>IF($A48="","",IF(ISNUMBER(FIND("IMPVOL",O$1)),_xll.BDH(config!$G$4,O$1,WORKDAY($A48,-1,config_Holiday_Calendar_US),WORKDAY($A48,-1,config_Holiday_Calendar_US)),IF(ISNUMBER(_xll.BDH(config!$G$4,O$1,$A48,$A48)),_xll.BDH(config!$G$4,O$1,$A48,$A48),_xll.BDH(config!$G$5,O$1,$A48,$A48))))</f>
        <v>#N/A Requesting Data...</v>
      </c>
      <c r="P48" s="8" t="str">
        <f>IF($A48="","",IF(ISNUMBER(FIND("IMPVOL",P$1)),_xll.BDH(config!$G$4,P$1,WORKDAY($A48,-1,config_Holiday_Calendar_US),WORKDAY($A48,-1,config_Holiday_Calendar_US)),IF(ISNUMBER(_xll.BDH(config!$G$4,P$1,$A48,$A48)),_xll.BDH(config!$G$4,P$1,$A48,$A48),_xll.BDH(config!$G$5,P$1,$A48,$A48))))</f>
        <v>#N/A Requesting Data...</v>
      </c>
      <c r="Q48" s="8">
        <f>IF($A48="","",IF(ISNUMBER(FIND("IMPVOL",Q$1)),_xll.BDH(config!$G$4,Q$1,WORKDAY($A48,-1,config_Holiday_Calendar_US),WORKDAY($A48,-1,config_Holiday_Calendar_US)),IF(ISNUMBER(_xll.BDH(config!$G$4,Q$1,$A48,$A48)),_xll.BDH(config!$G$4,Q$1,$A48,$A48),_xll.BDH(config!$G$5,Q$1,$A48,$A48))))</f>
        <v>19.059999999999999</v>
      </c>
      <c r="R48" s="8">
        <f>IF($A48="","",IF(ISNUMBER(FIND("IMPVOL",R$1)),_xll.BDH(config!$G$4,R$1,WORKDAY($A48,-1,config_Holiday_Calendar_US),WORKDAY($A48,-1,config_Holiday_Calendar_US)),IF(ISNUMBER(_xll.BDH(config!$G$4,R$1,$A48,$A48)),_xll.BDH(config!$G$4,R$1,$A48,$A48),_xll.BDH(config!$G$5,R$1,$A48,$A48))))</f>
        <v>24.78</v>
      </c>
      <c r="S48" s="8" t="str">
        <f>IF($A48="","",IF(ISNUMBER(FIND("IMPVOL",S$1)),_xll.BDH(config!$G$4,S$1,WORKDAY($A48,-1,config_Holiday_Calendar_US),WORKDAY($A48,-1,config_Holiday_Calendar_US)),IF(ISNUMBER(_xll.BDH(config!$G$4,S$1,$A48,$A48)),_xll.BDH(config!$G$4,S$1,$A48,$A48),_xll.BDH(config!$G$5,S$1,$A48,$A48))))</f>
        <v>#N/A Requesting Data...</v>
      </c>
      <c r="T48" s="8" t="str">
        <f>IF($A48="","",IF(ISNUMBER(FIND("IMPVOL",T$1)),_xll.BDH(config!$G$4,T$1,WORKDAY($A48,-1,config_Holiday_Calendar_US),WORKDAY($A48,-1,config_Holiday_Calendar_US)),IF(ISNUMBER(_xll.BDH(config!$G$4,T$1,$A48,$A48)),_xll.BDH(config!$G$4,T$1,$A48,$A48),_xll.BDH(config!$G$5,T$1,$A48,$A48))))</f>
        <v>#N/A Requesting Data...</v>
      </c>
      <c r="U48" s="8" t="str">
        <f>IF($A48="","",IF(ISNUMBER(FIND("IMPVOL",U$1)),_xll.BDH(config!$G$4,U$1,WORKDAY($A48,-1,config_Holiday_Calendar_US),WORKDAY($A48,-1,config_Holiday_Calendar_US)),IF(ISNUMBER(_xll.BDH(config!$G$4,U$1,$A48,$A48)),_xll.BDH(config!$G$4,U$1,$A48,$A48),_xll.BDH(config!$G$5,U$1,$A48,$A48))))</f>
        <v>#N/A Requesting Data...</v>
      </c>
      <c r="V48" s="8" t="str">
        <f>IF($A48="","",IF(ISNUMBER(FIND("IMPVOL",V$1)),_xll.BDH(config!$G$4,V$1,WORKDAY($A48,-1,config_Holiday_Calendar_US),WORKDAY($A48,-1,config_Holiday_Calendar_US)),IF(ISNUMBER(_xll.BDH(config!$G$4,V$1,$A48,$A48)),_xll.BDH(config!$G$4,V$1,$A48,$A48),_xll.BDH(config!$G$5,V$1,$A48,$A48))))</f>
        <v>#N/A Requesting Data...</v>
      </c>
      <c r="W48" s="8" t="str">
        <f>IF($A48="","",IF(ISNUMBER(FIND("IMPVOL",W$1)),_xll.BDH(config!$G$4,W$1,WORKDAY($A48,-1,config_Holiday_Calendar_US),WORKDAY($A48,-1,config_Holiday_Calendar_US)),IF(ISNUMBER(_xll.BDH(config!$G$4,W$1,$A48,$A48)),_xll.BDH(config!$G$4,W$1,$A48,$A48),_xll.BDH(config!$G$5,W$1,$A48,$A48))))</f>
        <v>#N/A Requesting Data...</v>
      </c>
    </row>
    <row r="49" spans="1:23" x14ac:dyDescent="0.2">
      <c r="A49" s="9">
        <f>IF(A48="","",IF(WORKDAY(A48,-1,config_Holiday_Calendar_US)&lt;config!$I$10,"",WORKDAY(A48,-1,config_Holiday_Calendar_US)))</f>
        <v>42767</v>
      </c>
      <c r="B49" s="8" t="e">
        <f t="shared" si="0"/>
        <v>#VALUE!</v>
      </c>
      <c r="C49" s="8" t="str">
        <f>IF(A49="","",_xll.BDH(config!$H$4,C$1,$A49,$A49))</f>
        <v>#N/A Requesting Data...</v>
      </c>
      <c r="D49" s="8" t="str">
        <f>IF($A49="","",_xll.BDH(config!$H$4,D$1,$A49,$A49))</f>
        <v>#N/A Requesting Data...</v>
      </c>
      <c r="E49" s="8">
        <f>IF($A49="","",IF(ISNUMBER(FIND("IMPVOL",E$1)),_xll.BDH(config!$G$4,E$1,WORKDAY($A49,-1,config_Holiday_Calendar_US),WORKDAY($A49,-1,config_Holiday_Calendar_US)),IF(ISNUMBER(_xll.BDH(config!$G$4,E$1,$A49,$A49)),_xll.BDH(config!$G$4,E$1,$A49,$A49),_xll.BDH(config!$G$5,E$1,$A49,$A49))))</f>
        <v>53.42</v>
      </c>
      <c r="F49" s="8">
        <f>IF($A49="","",IF(ISNUMBER(FIND("IMPVOL",F$1)),_xll.BDH(config!$G$4,F$1,WORKDAY($A49,-1,config_Holiday_Calendar_US),WORKDAY($A49,-1,config_Holiday_Calendar_US)),IF(ISNUMBER(_xll.BDH(config!$G$4,F$1,$A49,$A49)),_xll.BDH(config!$G$4,F$1,$A49,$A49),_xll.BDH(config!$G$5,F$1,$A49,$A49))))</f>
        <v>54.52</v>
      </c>
      <c r="G49" s="8">
        <f>IF($A49="","",IF(ISNUMBER(FIND("IMPVOL",G$1)),_xll.BDH(config!$G$4,G$1,WORKDAY($A49,-1,config_Holiday_Calendar_US),WORKDAY($A49,-1,config_Holiday_Calendar_US)),IF(ISNUMBER(_xll.BDH(config!$G$4,G$1,$A49,$A49)),_xll.BDH(config!$G$4,G$1,$A49,$A49),_xll.BDH(config!$G$5,G$1,$A49,$A49))))</f>
        <v>53.27</v>
      </c>
      <c r="H49" s="8">
        <f>IF($A49="","",IF(ISNUMBER(FIND("IMPVOL",H$1)),_xll.BDH(config!$G$4,H$1,WORKDAY($A49,-1,config_Holiday_Calendar_US),WORKDAY($A49,-1,config_Holiday_Calendar_US)),IF(ISNUMBER(_xll.BDH(config!$G$4,H$1,$A49,$A49)),_xll.BDH(config!$G$4,H$1,$A49,$A49),_xll.BDH(config!$G$5,H$1,$A49,$A49))))</f>
        <v>162124</v>
      </c>
      <c r="I49" s="8" t="str">
        <f>IF($A49="","",IF(ISNUMBER(FIND("IMPVOL",I$1)),_xll.BDH(config!$G$4,I$1,WORKDAY($A49,-1,config_Holiday_Calendar_US),WORKDAY($A49,-1,config_Holiday_Calendar_US)),IF(ISNUMBER(_xll.BDH(config!$G$4,I$1,$A49,$A49)),_xll.BDH(config!$G$4,I$1,$A49,$A49),_xll.BDH(config!$G$5,I$1,$A49,$A49))))</f>
        <v>#N/A Requesting Data...</v>
      </c>
      <c r="J49" s="8" t="str">
        <f>IF($A49="","",IF(ISNUMBER(FIND("IMPVOL",J$1)),_xll.BDH(config!$G$4,J$1,WORKDAY($A49,-1,config_Holiday_Calendar_US),WORKDAY($A49,-1,config_Holiday_Calendar_US)),IF(ISNUMBER(_xll.BDH(config!$G$4,J$1,$A49,$A49)),_xll.BDH(config!$G$4,J$1,$A49,$A49),_xll.BDH(config!$G$5,J$1,$A49,$A49))))</f>
        <v>#N/A Requesting Data...</v>
      </c>
      <c r="K49" s="8" t="str">
        <f>IF($A49="","",IF(ISNUMBER(FIND("IMPVOL",K$1)),_xll.BDH(config!$G$4,K$1,WORKDAY($A49,-1,config_Holiday_Calendar_US),WORKDAY($A49,-1,config_Holiday_Calendar_US)),IF(ISNUMBER(_xll.BDH(config!$G$4,K$1,$A49,$A49)),_xll.BDH(config!$G$4,K$1,$A49,$A49),_xll.BDH(config!$G$5,K$1,$A49,$A49))))</f>
        <v>#N/A Requesting Data...</v>
      </c>
      <c r="L49" s="8" t="str">
        <f>IF($A49="","",IF(ISNUMBER(FIND("IMPVOL",L$1)),_xll.BDH(config!$G$4,L$1,WORKDAY($A49,-1,config_Holiday_Calendar_US),WORKDAY($A49,-1,config_Holiday_Calendar_US)),IF(ISNUMBER(_xll.BDH(config!$G$4,L$1,$A49,$A49)),_xll.BDH(config!$G$4,L$1,$A49,$A49),_xll.BDH(config!$G$5,L$1,$A49,$A49))))</f>
        <v>#N/A Requesting Data...</v>
      </c>
      <c r="M49" s="8" t="str">
        <f>IF($A49="","",IF(ISNUMBER(FIND("IMPVOL",M$1)),_xll.BDH(config!$G$4,M$1,WORKDAY($A49,-1,config_Holiday_Calendar_US),WORKDAY($A49,-1,config_Holiday_Calendar_US)),IF(ISNUMBER(_xll.BDH(config!$G$4,M$1,$A49,$A49)),_xll.BDH(config!$G$4,M$1,$A49,$A49),_xll.BDH(config!$G$5,M$1,$A49,$A49))))</f>
        <v>#N/A Requesting Data...</v>
      </c>
      <c r="N49" s="8" t="str">
        <f>IF($A49="","",IF(ISNUMBER(FIND("IMPVOL",N$1)),_xll.BDH(config!$G$4,N$1,WORKDAY($A49,-1,config_Holiday_Calendar_US),WORKDAY($A49,-1,config_Holiday_Calendar_US)),IF(ISNUMBER(_xll.BDH(config!$G$4,N$1,$A49,$A49)),_xll.BDH(config!$G$4,N$1,$A49,$A49),_xll.BDH(config!$G$5,N$1,$A49,$A49))))</f>
        <v>#N/A Requesting Data...</v>
      </c>
      <c r="O49" s="8" t="str">
        <f>IF($A49="","",IF(ISNUMBER(FIND("IMPVOL",O$1)),_xll.BDH(config!$G$4,O$1,WORKDAY($A49,-1,config_Holiday_Calendar_US),WORKDAY($A49,-1,config_Holiday_Calendar_US)),IF(ISNUMBER(_xll.BDH(config!$G$4,O$1,$A49,$A49)),_xll.BDH(config!$G$4,O$1,$A49,$A49),_xll.BDH(config!$G$5,O$1,$A49,$A49))))</f>
        <v>#N/A Requesting Data...</v>
      </c>
      <c r="P49" s="8" t="str">
        <f>IF($A49="","",IF(ISNUMBER(FIND("IMPVOL",P$1)),_xll.BDH(config!$G$4,P$1,WORKDAY($A49,-1,config_Holiday_Calendar_US),WORKDAY($A49,-1,config_Holiday_Calendar_US)),IF(ISNUMBER(_xll.BDH(config!$G$4,P$1,$A49,$A49)),_xll.BDH(config!$G$4,P$1,$A49,$A49),_xll.BDH(config!$G$5,P$1,$A49,$A49))))</f>
        <v>#N/A Requesting Data...</v>
      </c>
      <c r="Q49" s="8">
        <f>IF($A49="","",IF(ISNUMBER(FIND("IMPVOL",Q$1)),_xll.BDH(config!$G$4,Q$1,WORKDAY($A49,-1,config_Holiday_Calendar_US),WORKDAY($A49,-1,config_Holiday_Calendar_US)),IF(ISNUMBER(_xll.BDH(config!$G$4,Q$1,$A49,$A49)),_xll.BDH(config!$G$4,Q$1,$A49,$A49),_xll.BDH(config!$G$5,Q$1,$A49,$A49))))</f>
        <v>20.83</v>
      </c>
      <c r="R49" s="8">
        <f>IF($A49="","",IF(ISNUMBER(FIND("IMPVOL",R$1)),_xll.BDH(config!$G$4,R$1,WORKDAY($A49,-1,config_Holiday_Calendar_US),WORKDAY($A49,-1,config_Holiday_Calendar_US)),IF(ISNUMBER(_xll.BDH(config!$G$4,R$1,$A49,$A49)),_xll.BDH(config!$G$4,R$1,$A49,$A49),_xll.BDH(config!$G$5,R$1,$A49,$A49))))</f>
        <v>24.72</v>
      </c>
      <c r="S49" s="8" t="str">
        <f>IF($A49="","",IF(ISNUMBER(FIND("IMPVOL",S$1)),_xll.BDH(config!$G$4,S$1,WORKDAY($A49,-1,config_Holiday_Calendar_US),WORKDAY($A49,-1,config_Holiday_Calendar_US)),IF(ISNUMBER(_xll.BDH(config!$G$4,S$1,$A49,$A49)),_xll.BDH(config!$G$4,S$1,$A49,$A49),_xll.BDH(config!$G$5,S$1,$A49,$A49))))</f>
        <v>#N/A Requesting Data...</v>
      </c>
      <c r="T49" s="8" t="str">
        <f>IF($A49="","",IF(ISNUMBER(FIND("IMPVOL",T$1)),_xll.BDH(config!$G$4,T$1,WORKDAY($A49,-1,config_Holiday_Calendar_US),WORKDAY($A49,-1,config_Holiday_Calendar_US)),IF(ISNUMBER(_xll.BDH(config!$G$4,T$1,$A49,$A49)),_xll.BDH(config!$G$4,T$1,$A49,$A49),_xll.BDH(config!$G$5,T$1,$A49,$A49))))</f>
        <v>#N/A Requesting Data...</v>
      </c>
      <c r="U49" s="8" t="str">
        <f>IF($A49="","",IF(ISNUMBER(FIND("IMPVOL",U$1)),_xll.BDH(config!$G$4,U$1,WORKDAY($A49,-1,config_Holiday_Calendar_US),WORKDAY($A49,-1,config_Holiday_Calendar_US)),IF(ISNUMBER(_xll.BDH(config!$G$4,U$1,$A49,$A49)),_xll.BDH(config!$G$4,U$1,$A49,$A49),_xll.BDH(config!$G$5,U$1,$A49,$A49))))</f>
        <v>#N/A Requesting Data...</v>
      </c>
      <c r="V49" s="8" t="str">
        <f>IF($A49="","",IF(ISNUMBER(FIND("IMPVOL",V$1)),_xll.BDH(config!$G$4,V$1,WORKDAY($A49,-1,config_Holiday_Calendar_US),WORKDAY($A49,-1,config_Holiday_Calendar_US)),IF(ISNUMBER(_xll.BDH(config!$G$4,V$1,$A49,$A49)),_xll.BDH(config!$G$4,V$1,$A49,$A49),_xll.BDH(config!$G$5,V$1,$A49,$A49))))</f>
        <v>#N/A Requesting Data...</v>
      </c>
      <c r="W49" s="8" t="str">
        <f>IF($A49="","",IF(ISNUMBER(FIND("IMPVOL",W$1)),_xll.BDH(config!$G$4,W$1,WORKDAY($A49,-1,config_Holiday_Calendar_US),WORKDAY($A49,-1,config_Holiday_Calendar_US)),IF(ISNUMBER(_xll.BDH(config!$G$4,W$1,$A49,$A49)),_xll.BDH(config!$G$4,W$1,$A49,$A49),_xll.BDH(config!$G$5,W$1,$A49,$A49))))</f>
        <v>#N/A Requesting Data...</v>
      </c>
    </row>
    <row r="50" spans="1:23" x14ac:dyDescent="0.2">
      <c r="A50" s="9">
        <f>IF(A49="","",IF(WORKDAY(A49,-1,config_Holiday_Calendar_US)&lt;config!$I$10,"",WORKDAY(A49,-1,config_Holiday_Calendar_US)))</f>
        <v>42766</v>
      </c>
      <c r="B50" s="8" t="e">
        <f t="shared" si="0"/>
        <v>#VALUE!</v>
      </c>
      <c r="C50" s="8" t="str">
        <f>IF(A50="","",_xll.BDH(config!$H$4,C$1,$A50,$A50))</f>
        <v>#N/A Requesting Data...</v>
      </c>
      <c r="D50" s="8" t="str">
        <f>IF($A50="","",_xll.BDH(config!$H$4,D$1,$A50,$A50))</f>
        <v>#N/A Requesting Data...</v>
      </c>
      <c r="E50" s="8">
        <f>IF($A50="","",IF(ISNUMBER(FIND("IMPVOL",E$1)),_xll.BDH(config!$G$4,E$1,WORKDAY($A50,-1,config_Holiday_Calendar_US),WORKDAY($A50,-1,config_Holiday_Calendar_US)),IF(ISNUMBER(_xll.BDH(config!$G$4,E$1,$A50,$A50)),_xll.BDH(config!$G$4,E$1,$A50,$A50),_xll.BDH(config!$G$5,E$1,$A50,$A50))))</f>
        <v>53.23</v>
      </c>
      <c r="F50" s="8">
        <f>IF($A50="","",IF(ISNUMBER(FIND("IMPVOL",F$1)),_xll.BDH(config!$G$4,F$1,WORKDAY($A50,-1,config_Holiday_Calendar_US),WORKDAY($A50,-1,config_Holiday_Calendar_US)),IF(ISNUMBER(_xll.BDH(config!$G$4,F$1,$A50,$A50)),_xll.BDH(config!$G$4,F$1,$A50,$A50),_xll.BDH(config!$G$5,F$1,$A50,$A50))))</f>
        <v>54.2</v>
      </c>
      <c r="G50" s="8">
        <f>IF($A50="","",IF(ISNUMBER(FIND("IMPVOL",G$1)),_xll.BDH(config!$G$4,G$1,WORKDAY($A50,-1,config_Holiday_Calendar_US),WORKDAY($A50,-1,config_Holiday_Calendar_US)),IF(ISNUMBER(_xll.BDH(config!$G$4,G$1,$A50,$A50)),_xll.BDH(config!$G$4,G$1,$A50,$A50),_xll.BDH(config!$G$5,G$1,$A50,$A50))))</f>
        <v>52.9</v>
      </c>
      <c r="H50" s="8">
        <f>IF($A50="","",IF(ISNUMBER(FIND("IMPVOL",H$1)),_xll.BDH(config!$G$4,H$1,WORKDAY($A50,-1,config_Holiday_Calendar_US),WORKDAY($A50,-1,config_Holiday_Calendar_US)),IF(ISNUMBER(_xll.BDH(config!$G$4,H$1,$A50,$A50)),_xll.BDH(config!$G$4,H$1,$A50,$A50),_xll.BDH(config!$G$5,H$1,$A50,$A50))))</f>
        <v>227176</v>
      </c>
      <c r="I50" s="8" t="str">
        <f>IF($A50="","",IF(ISNUMBER(FIND("IMPVOL",I$1)),_xll.BDH(config!$G$4,I$1,WORKDAY($A50,-1,config_Holiday_Calendar_US),WORKDAY($A50,-1,config_Holiday_Calendar_US)),IF(ISNUMBER(_xll.BDH(config!$G$4,I$1,$A50,$A50)),_xll.BDH(config!$G$4,I$1,$A50,$A50),_xll.BDH(config!$G$5,I$1,$A50,$A50))))</f>
        <v>#N/A Requesting Data...</v>
      </c>
      <c r="J50" s="8" t="str">
        <f>IF($A50="","",IF(ISNUMBER(FIND("IMPVOL",J$1)),_xll.BDH(config!$G$4,J$1,WORKDAY($A50,-1,config_Holiday_Calendar_US),WORKDAY($A50,-1,config_Holiday_Calendar_US)),IF(ISNUMBER(_xll.BDH(config!$G$4,J$1,$A50,$A50)),_xll.BDH(config!$G$4,J$1,$A50,$A50),_xll.BDH(config!$G$5,J$1,$A50,$A50))))</f>
        <v>#N/A Requesting Data...</v>
      </c>
      <c r="K50" s="8" t="str">
        <f>IF($A50="","",IF(ISNUMBER(FIND("IMPVOL",K$1)),_xll.BDH(config!$G$4,K$1,WORKDAY($A50,-1,config_Holiday_Calendar_US),WORKDAY($A50,-1,config_Holiday_Calendar_US)),IF(ISNUMBER(_xll.BDH(config!$G$4,K$1,$A50,$A50)),_xll.BDH(config!$G$4,K$1,$A50,$A50),_xll.BDH(config!$G$5,K$1,$A50,$A50))))</f>
        <v>#N/A Requesting Data...</v>
      </c>
      <c r="L50" s="8" t="str">
        <f>IF($A50="","",IF(ISNUMBER(FIND("IMPVOL",L$1)),_xll.BDH(config!$G$4,L$1,WORKDAY($A50,-1,config_Holiday_Calendar_US),WORKDAY($A50,-1,config_Holiday_Calendar_US)),IF(ISNUMBER(_xll.BDH(config!$G$4,L$1,$A50,$A50)),_xll.BDH(config!$G$4,L$1,$A50,$A50),_xll.BDH(config!$G$5,L$1,$A50,$A50))))</f>
        <v>#N/A Requesting Data...</v>
      </c>
      <c r="M50" s="8" t="str">
        <f>IF($A50="","",IF(ISNUMBER(FIND("IMPVOL",M$1)),_xll.BDH(config!$G$4,M$1,WORKDAY($A50,-1,config_Holiday_Calendar_US),WORKDAY($A50,-1,config_Holiday_Calendar_US)),IF(ISNUMBER(_xll.BDH(config!$G$4,M$1,$A50,$A50)),_xll.BDH(config!$G$4,M$1,$A50,$A50),_xll.BDH(config!$G$5,M$1,$A50,$A50))))</f>
        <v>#N/A Requesting Data...</v>
      </c>
      <c r="N50" s="8" t="str">
        <f>IF($A50="","",IF(ISNUMBER(FIND("IMPVOL",N$1)),_xll.BDH(config!$G$4,N$1,WORKDAY($A50,-1,config_Holiday_Calendar_US),WORKDAY($A50,-1,config_Holiday_Calendar_US)),IF(ISNUMBER(_xll.BDH(config!$G$4,N$1,$A50,$A50)),_xll.BDH(config!$G$4,N$1,$A50,$A50),_xll.BDH(config!$G$5,N$1,$A50,$A50))))</f>
        <v>#N/A Requesting Data...</v>
      </c>
      <c r="O50" s="8" t="str">
        <f>IF($A50="","",IF(ISNUMBER(FIND("IMPVOL",O$1)),_xll.BDH(config!$G$4,O$1,WORKDAY($A50,-1,config_Holiday_Calendar_US),WORKDAY($A50,-1,config_Holiday_Calendar_US)),IF(ISNUMBER(_xll.BDH(config!$G$4,O$1,$A50,$A50)),_xll.BDH(config!$G$4,O$1,$A50,$A50),_xll.BDH(config!$G$5,O$1,$A50,$A50))))</f>
        <v>#N/A Requesting Data...</v>
      </c>
      <c r="P50" s="8" t="str">
        <f>IF($A50="","",IF(ISNUMBER(FIND("IMPVOL",P$1)),_xll.BDH(config!$G$4,P$1,WORKDAY($A50,-1,config_Holiday_Calendar_US),WORKDAY($A50,-1,config_Holiday_Calendar_US)),IF(ISNUMBER(_xll.BDH(config!$G$4,P$1,$A50,$A50)),_xll.BDH(config!$G$4,P$1,$A50,$A50),_xll.BDH(config!$G$5,P$1,$A50,$A50))))</f>
        <v>#N/A Requesting Data...</v>
      </c>
      <c r="Q50" s="8">
        <f>IF($A50="","",IF(ISNUMBER(FIND("IMPVOL",Q$1)),_xll.BDH(config!$G$4,Q$1,WORKDAY($A50,-1,config_Holiday_Calendar_US),WORKDAY($A50,-1,config_Holiday_Calendar_US)),IF(ISNUMBER(_xll.BDH(config!$G$4,Q$1,$A50,$A50)),_xll.BDH(config!$G$4,Q$1,$A50,$A50),_xll.BDH(config!$G$5,Q$1,$A50,$A50))))</f>
        <v>18.79</v>
      </c>
      <c r="R50" s="8">
        <f>IF($A50="","",IF(ISNUMBER(FIND("IMPVOL",R$1)),_xll.BDH(config!$G$4,R$1,WORKDAY($A50,-1,config_Holiday_Calendar_US),WORKDAY($A50,-1,config_Holiday_Calendar_US)),IF(ISNUMBER(_xll.BDH(config!$G$4,R$1,$A50,$A50)),_xll.BDH(config!$G$4,R$1,$A50,$A50),_xll.BDH(config!$G$5,R$1,$A50,$A50))))</f>
        <v>24.02</v>
      </c>
      <c r="S50" s="8" t="str">
        <f>IF($A50="","",IF(ISNUMBER(FIND("IMPVOL",S$1)),_xll.BDH(config!$G$4,S$1,WORKDAY($A50,-1,config_Holiday_Calendar_US),WORKDAY($A50,-1,config_Holiday_Calendar_US)),IF(ISNUMBER(_xll.BDH(config!$G$4,S$1,$A50,$A50)),_xll.BDH(config!$G$4,S$1,$A50,$A50),_xll.BDH(config!$G$5,S$1,$A50,$A50))))</f>
        <v>#N/A Requesting Data...</v>
      </c>
      <c r="T50" s="8" t="str">
        <f>IF($A50="","",IF(ISNUMBER(FIND("IMPVOL",T$1)),_xll.BDH(config!$G$4,T$1,WORKDAY($A50,-1,config_Holiday_Calendar_US),WORKDAY($A50,-1,config_Holiday_Calendar_US)),IF(ISNUMBER(_xll.BDH(config!$G$4,T$1,$A50,$A50)),_xll.BDH(config!$G$4,T$1,$A50,$A50),_xll.BDH(config!$G$5,T$1,$A50,$A50))))</f>
        <v>#N/A Requesting Data...</v>
      </c>
      <c r="U50" s="8" t="str">
        <f>IF($A50="","",IF(ISNUMBER(FIND("IMPVOL",U$1)),_xll.BDH(config!$G$4,U$1,WORKDAY($A50,-1,config_Holiday_Calendar_US),WORKDAY($A50,-1,config_Holiday_Calendar_US)),IF(ISNUMBER(_xll.BDH(config!$G$4,U$1,$A50,$A50)),_xll.BDH(config!$G$4,U$1,$A50,$A50),_xll.BDH(config!$G$5,U$1,$A50,$A50))))</f>
        <v>#N/A Requesting Data...</v>
      </c>
      <c r="V50" s="8" t="str">
        <f>IF($A50="","",IF(ISNUMBER(FIND("IMPVOL",V$1)),_xll.BDH(config!$G$4,V$1,WORKDAY($A50,-1,config_Holiday_Calendar_US),WORKDAY($A50,-1,config_Holiday_Calendar_US)),IF(ISNUMBER(_xll.BDH(config!$G$4,V$1,$A50,$A50)),_xll.BDH(config!$G$4,V$1,$A50,$A50),_xll.BDH(config!$G$5,V$1,$A50,$A50))))</f>
        <v>#N/A Requesting Data...</v>
      </c>
      <c r="W50" s="8" t="str">
        <f>IF($A50="","",IF(ISNUMBER(FIND("IMPVOL",W$1)),_xll.BDH(config!$G$4,W$1,WORKDAY($A50,-1,config_Holiday_Calendar_US),WORKDAY($A50,-1,config_Holiday_Calendar_US)),IF(ISNUMBER(_xll.BDH(config!$G$4,W$1,$A50,$A50)),_xll.BDH(config!$G$4,W$1,$A50,$A50),_xll.BDH(config!$G$5,W$1,$A50,$A50))))</f>
        <v>#N/A Requesting Data...</v>
      </c>
    </row>
    <row r="51" spans="1:23" x14ac:dyDescent="0.2">
      <c r="A51" s="9">
        <f>IF(A50="","",IF(WORKDAY(A50,-1,config_Holiday_Calendar_US)&lt;config!$I$10,"",WORKDAY(A50,-1,config_Holiday_Calendar_US)))</f>
        <v>42765</v>
      </c>
      <c r="B51" s="8" t="e">
        <f t="shared" si="0"/>
        <v>#VALUE!</v>
      </c>
      <c r="C51" s="8" t="str">
        <f>IF(A51="","",_xll.BDH(config!$H$4,C$1,$A51,$A51))</f>
        <v>#N/A Requesting Data...</v>
      </c>
      <c r="D51" s="8" t="str">
        <f>IF($A51="","",_xll.BDH(config!$H$4,D$1,$A51,$A51))</f>
        <v>#N/A Requesting Data...</v>
      </c>
      <c r="E51" s="8">
        <f>IF($A51="","",IF(ISNUMBER(FIND("IMPVOL",E$1)),_xll.BDH(config!$G$4,E$1,WORKDAY($A51,-1,config_Holiday_Calendar_US),WORKDAY($A51,-1,config_Holiday_Calendar_US)),IF(ISNUMBER(_xll.BDH(config!$G$4,E$1,$A51,$A51)),_xll.BDH(config!$G$4,E$1,$A51,$A51),_xll.BDH(config!$G$5,E$1,$A51,$A51))))</f>
        <v>53.68</v>
      </c>
      <c r="F51" s="8">
        <f>IF($A51="","",IF(ISNUMBER(FIND("IMPVOL",F$1)),_xll.BDH(config!$G$4,F$1,WORKDAY($A51,-1,config_Holiday_Calendar_US),WORKDAY($A51,-1,config_Holiday_Calendar_US)),IF(ISNUMBER(_xll.BDH(config!$G$4,F$1,$A51,$A51)),_xll.BDH(config!$G$4,F$1,$A51,$A51),_xll.BDH(config!$G$5,F$1,$A51,$A51))))</f>
        <v>53.99</v>
      </c>
      <c r="G51" s="8">
        <f>IF($A51="","",IF(ISNUMBER(FIND("IMPVOL",G$1)),_xll.BDH(config!$G$4,G$1,WORKDAY($A51,-1,config_Holiday_Calendar_US),WORKDAY($A51,-1,config_Holiday_Calendar_US)),IF(ISNUMBER(_xll.BDH(config!$G$4,G$1,$A51,$A51)),_xll.BDH(config!$G$4,G$1,$A51,$A51),_xll.BDH(config!$G$5,G$1,$A51,$A51))))</f>
        <v>53.01</v>
      </c>
      <c r="H51" s="8">
        <f>IF($A51="","",IF(ISNUMBER(FIND("IMPVOL",H$1)),_xll.BDH(config!$G$4,H$1,WORKDAY($A51,-1,config_Holiday_Calendar_US),WORKDAY($A51,-1,config_Holiday_Calendar_US)),IF(ISNUMBER(_xll.BDH(config!$G$4,H$1,$A51,$A51)),_xll.BDH(config!$G$4,H$1,$A51,$A51),_xll.BDH(config!$G$5,H$1,$A51,$A51))))</f>
        <v>147053</v>
      </c>
      <c r="I51" s="8" t="str">
        <f>IF($A51="","",IF(ISNUMBER(FIND("IMPVOL",I$1)),_xll.BDH(config!$G$4,I$1,WORKDAY($A51,-1,config_Holiday_Calendar_US),WORKDAY($A51,-1,config_Holiday_Calendar_US)),IF(ISNUMBER(_xll.BDH(config!$G$4,I$1,$A51,$A51)),_xll.BDH(config!$G$4,I$1,$A51,$A51),_xll.BDH(config!$G$5,I$1,$A51,$A51))))</f>
        <v>#N/A Requesting Data...</v>
      </c>
      <c r="J51" s="8" t="str">
        <f>IF($A51="","",IF(ISNUMBER(FIND("IMPVOL",J$1)),_xll.BDH(config!$G$4,J$1,WORKDAY($A51,-1,config_Holiday_Calendar_US),WORKDAY($A51,-1,config_Holiday_Calendar_US)),IF(ISNUMBER(_xll.BDH(config!$G$4,J$1,$A51,$A51)),_xll.BDH(config!$G$4,J$1,$A51,$A51),_xll.BDH(config!$G$5,J$1,$A51,$A51))))</f>
        <v>#N/A Requesting Data...</v>
      </c>
      <c r="K51" s="8" t="str">
        <f>IF($A51="","",IF(ISNUMBER(FIND("IMPVOL",K$1)),_xll.BDH(config!$G$4,K$1,WORKDAY($A51,-1,config_Holiday_Calendar_US),WORKDAY($A51,-1,config_Holiday_Calendar_US)),IF(ISNUMBER(_xll.BDH(config!$G$4,K$1,$A51,$A51)),_xll.BDH(config!$G$4,K$1,$A51,$A51),_xll.BDH(config!$G$5,K$1,$A51,$A51))))</f>
        <v>#N/A Requesting Data...</v>
      </c>
      <c r="L51" s="8" t="str">
        <f>IF($A51="","",IF(ISNUMBER(FIND("IMPVOL",L$1)),_xll.BDH(config!$G$4,L$1,WORKDAY($A51,-1,config_Holiday_Calendar_US),WORKDAY($A51,-1,config_Holiday_Calendar_US)),IF(ISNUMBER(_xll.BDH(config!$G$4,L$1,$A51,$A51)),_xll.BDH(config!$G$4,L$1,$A51,$A51),_xll.BDH(config!$G$5,L$1,$A51,$A51))))</f>
        <v>#N/A Requesting Data...</v>
      </c>
      <c r="M51" s="8" t="str">
        <f>IF($A51="","",IF(ISNUMBER(FIND("IMPVOL",M$1)),_xll.BDH(config!$G$4,M$1,WORKDAY($A51,-1,config_Holiday_Calendar_US),WORKDAY($A51,-1,config_Holiday_Calendar_US)),IF(ISNUMBER(_xll.BDH(config!$G$4,M$1,$A51,$A51)),_xll.BDH(config!$G$4,M$1,$A51,$A51),_xll.BDH(config!$G$5,M$1,$A51,$A51))))</f>
        <v>#N/A Requesting Data...</v>
      </c>
      <c r="N51" s="8" t="str">
        <f>IF($A51="","",IF(ISNUMBER(FIND("IMPVOL",N$1)),_xll.BDH(config!$G$4,N$1,WORKDAY($A51,-1,config_Holiday_Calendar_US),WORKDAY($A51,-1,config_Holiday_Calendar_US)),IF(ISNUMBER(_xll.BDH(config!$G$4,N$1,$A51,$A51)),_xll.BDH(config!$G$4,N$1,$A51,$A51),_xll.BDH(config!$G$5,N$1,$A51,$A51))))</f>
        <v>#N/A Requesting Data...</v>
      </c>
      <c r="O51" s="8" t="str">
        <f>IF($A51="","",IF(ISNUMBER(FIND("IMPVOL",O$1)),_xll.BDH(config!$G$4,O$1,WORKDAY($A51,-1,config_Holiday_Calendar_US),WORKDAY($A51,-1,config_Holiday_Calendar_US)),IF(ISNUMBER(_xll.BDH(config!$G$4,O$1,$A51,$A51)),_xll.BDH(config!$G$4,O$1,$A51,$A51),_xll.BDH(config!$G$5,O$1,$A51,$A51))))</f>
        <v>#N/A Requesting Data...</v>
      </c>
      <c r="P51" s="8" t="str">
        <f>IF($A51="","",IF(ISNUMBER(FIND("IMPVOL",P$1)),_xll.BDH(config!$G$4,P$1,WORKDAY($A51,-1,config_Holiday_Calendar_US),WORKDAY($A51,-1,config_Holiday_Calendar_US)),IF(ISNUMBER(_xll.BDH(config!$G$4,P$1,$A51,$A51)),_xll.BDH(config!$G$4,P$1,$A51,$A51),_xll.BDH(config!$G$5,P$1,$A51,$A51))))</f>
        <v>#N/A Requesting Data...</v>
      </c>
      <c r="Q51" s="8">
        <f>IF($A51="","",IF(ISNUMBER(FIND("IMPVOL",Q$1)),_xll.BDH(config!$G$4,Q$1,WORKDAY($A51,-1,config_Holiday_Calendar_US),WORKDAY($A51,-1,config_Holiday_Calendar_US)),IF(ISNUMBER(_xll.BDH(config!$G$4,Q$1,$A51,$A51)),_xll.BDH(config!$G$4,Q$1,$A51,$A51),_xll.BDH(config!$G$5,Q$1,$A51,$A51))))</f>
        <v>24.51</v>
      </c>
      <c r="R51" s="8">
        <f>IF($A51="","",IF(ISNUMBER(FIND("IMPVOL",R$1)),_xll.BDH(config!$G$4,R$1,WORKDAY($A51,-1,config_Holiday_Calendar_US),WORKDAY($A51,-1,config_Holiday_Calendar_US)),IF(ISNUMBER(_xll.BDH(config!$G$4,R$1,$A51,$A51)),_xll.BDH(config!$G$4,R$1,$A51,$A51),_xll.BDH(config!$G$5,R$1,$A51,$A51))))</f>
        <v>24.63</v>
      </c>
      <c r="S51" s="8" t="str">
        <f>IF($A51="","",IF(ISNUMBER(FIND("IMPVOL",S$1)),_xll.BDH(config!$G$4,S$1,WORKDAY($A51,-1,config_Holiday_Calendar_US),WORKDAY($A51,-1,config_Holiday_Calendar_US)),IF(ISNUMBER(_xll.BDH(config!$G$4,S$1,$A51,$A51)),_xll.BDH(config!$G$4,S$1,$A51,$A51),_xll.BDH(config!$G$5,S$1,$A51,$A51))))</f>
        <v>#N/A Requesting Data...</v>
      </c>
      <c r="T51" s="8" t="str">
        <f>IF($A51="","",IF(ISNUMBER(FIND("IMPVOL",T$1)),_xll.BDH(config!$G$4,T$1,WORKDAY($A51,-1,config_Holiday_Calendar_US),WORKDAY($A51,-1,config_Holiday_Calendar_US)),IF(ISNUMBER(_xll.BDH(config!$G$4,T$1,$A51,$A51)),_xll.BDH(config!$G$4,T$1,$A51,$A51),_xll.BDH(config!$G$5,T$1,$A51,$A51))))</f>
        <v>#N/A Requesting Data...</v>
      </c>
      <c r="U51" s="8" t="str">
        <f>IF($A51="","",IF(ISNUMBER(FIND("IMPVOL",U$1)),_xll.BDH(config!$G$4,U$1,WORKDAY($A51,-1,config_Holiday_Calendar_US),WORKDAY($A51,-1,config_Holiday_Calendar_US)),IF(ISNUMBER(_xll.BDH(config!$G$4,U$1,$A51,$A51)),_xll.BDH(config!$G$4,U$1,$A51,$A51),_xll.BDH(config!$G$5,U$1,$A51,$A51))))</f>
        <v>#N/A Requesting Data...</v>
      </c>
      <c r="V51" s="8" t="str">
        <f>IF($A51="","",IF(ISNUMBER(FIND("IMPVOL",V$1)),_xll.BDH(config!$G$4,V$1,WORKDAY($A51,-1,config_Holiday_Calendar_US),WORKDAY($A51,-1,config_Holiday_Calendar_US)),IF(ISNUMBER(_xll.BDH(config!$G$4,V$1,$A51,$A51)),_xll.BDH(config!$G$4,V$1,$A51,$A51),_xll.BDH(config!$G$5,V$1,$A51,$A51))))</f>
        <v>#N/A Requesting Data...</v>
      </c>
      <c r="W51" s="8" t="str">
        <f>IF($A51="","",IF(ISNUMBER(FIND("IMPVOL",W$1)),_xll.BDH(config!$G$4,W$1,WORKDAY($A51,-1,config_Holiday_Calendar_US),WORKDAY($A51,-1,config_Holiday_Calendar_US)),IF(ISNUMBER(_xll.BDH(config!$G$4,W$1,$A51,$A51)),_xll.BDH(config!$G$4,W$1,$A51,$A51),_xll.BDH(config!$G$5,W$1,$A51,$A51))))</f>
        <v>#N/A Requesting Data...</v>
      </c>
    </row>
    <row r="52" spans="1:23" x14ac:dyDescent="0.2">
      <c r="A52" s="9">
        <f>IF(A51="","",IF(WORKDAY(A51,-1,config_Holiday_Calendar_US)&lt;config!$I$10,"",WORKDAY(A51,-1,config_Holiday_Calendar_US)))</f>
        <v>42762</v>
      </c>
      <c r="B52" s="8" t="e">
        <f t="shared" si="0"/>
        <v>#VALUE!</v>
      </c>
      <c r="C52" s="8" t="str">
        <f>IF(A52="","",_xll.BDH(config!$H$4,C$1,$A52,$A52))</f>
        <v>#N/A Requesting Data...</v>
      </c>
      <c r="D52" s="8" t="str">
        <f>IF($A52="","",_xll.BDH(config!$H$4,D$1,$A52,$A52))</f>
        <v>#N/A Requesting Data...</v>
      </c>
      <c r="E52" s="8">
        <f>IF($A52="","",IF(ISNUMBER(FIND("IMPVOL",E$1)),_xll.BDH(config!$G$4,E$1,WORKDAY($A52,-1,config_Holiday_Calendar_US),WORKDAY($A52,-1,config_Holiday_Calendar_US)),IF(ISNUMBER(_xll.BDH(config!$G$4,E$1,$A52,$A52)),_xll.BDH(config!$G$4,E$1,$A52,$A52),_xll.BDH(config!$G$5,E$1,$A52,$A52))))</f>
        <v>54.38</v>
      </c>
      <c r="F52" s="8">
        <f>IF($A52="","",IF(ISNUMBER(FIND("IMPVOL",F$1)),_xll.BDH(config!$G$4,F$1,WORKDAY($A52,-1,config_Holiday_Calendar_US),WORKDAY($A52,-1,config_Holiday_Calendar_US)),IF(ISNUMBER(_xll.BDH(config!$G$4,F$1,$A52,$A52)),_xll.BDH(config!$G$4,F$1,$A52,$A52),_xll.BDH(config!$G$5,F$1,$A52,$A52))))</f>
        <v>54.68</v>
      </c>
      <c r="G52" s="8">
        <f>IF($A52="","",IF(ISNUMBER(FIND("IMPVOL",G$1)),_xll.BDH(config!$G$4,G$1,WORKDAY($A52,-1,config_Holiday_Calendar_US),WORKDAY($A52,-1,config_Holiday_Calendar_US)),IF(ISNUMBER(_xll.BDH(config!$G$4,G$1,$A52,$A52)),_xll.BDH(config!$G$4,G$1,$A52,$A52),_xll.BDH(config!$G$5,G$1,$A52,$A52))))</f>
        <v>53.18</v>
      </c>
      <c r="H52" s="8">
        <f>IF($A52="","",IF(ISNUMBER(FIND("IMPVOL",H$1)),_xll.BDH(config!$G$4,H$1,WORKDAY($A52,-1,config_Holiday_Calendar_US),WORKDAY($A52,-1,config_Holiday_Calendar_US)),IF(ISNUMBER(_xll.BDH(config!$G$4,H$1,$A52,$A52)),_xll.BDH(config!$G$4,H$1,$A52,$A52),_xll.BDH(config!$G$5,H$1,$A52,$A52))))</f>
        <v>101965</v>
      </c>
      <c r="I52" s="8" t="str">
        <f>IF($A52="","",IF(ISNUMBER(FIND("IMPVOL",I$1)),_xll.BDH(config!$G$4,I$1,WORKDAY($A52,-1,config_Holiday_Calendar_US),WORKDAY($A52,-1,config_Holiday_Calendar_US)),IF(ISNUMBER(_xll.BDH(config!$G$4,I$1,$A52,$A52)),_xll.BDH(config!$G$4,I$1,$A52,$A52),_xll.BDH(config!$G$5,I$1,$A52,$A52))))</f>
        <v>#N/A Requesting Data...</v>
      </c>
      <c r="J52" s="8" t="str">
        <f>IF($A52="","",IF(ISNUMBER(FIND("IMPVOL",J$1)),_xll.BDH(config!$G$4,J$1,WORKDAY($A52,-1,config_Holiday_Calendar_US),WORKDAY($A52,-1,config_Holiday_Calendar_US)),IF(ISNUMBER(_xll.BDH(config!$G$4,J$1,$A52,$A52)),_xll.BDH(config!$G$4,J$1,$A52,$A52),_xll.BDH(config!$G$5,J$1,$A52,$A52))))</f>
        <v>#N/A Requesting Data...</v>
      </c>
      <c r="K52" s="8" t="str">
        <f>IF($A52="","",IF(ISNUMBER(FIND("IMPVOL",K$1)),_xll.BDH(config!$G$4,K$1,WORKDAY($A52,-1,config_Holiday_Calendar_US),WORKDAY($A52,-1,config_Holiday_Calendar_US)),IF(ISNUMBER(_xll.BDH(config!$G$4,K$1,$A52,$A52)),_xll.BDH(config!$G$4,K$1,$A52,$A52),_xll.BDH(config!$G$5,K$1,$A52,$A52))))</f>
        <v>#N/A Requesting Data...</v>
      </c>
      <c r="L52" s="8" t="str">
        <f>IF($A52="","",IF(ISNUMBER(FIND("IMPVOL",L$1)),_xll.BDH(config!$G$4,L$1,WORKDAY($A52,-1,config_Holiday_Calendar_US),WORKDAY($A52,-1,config_Holiday_Calendar_US)),IF(ISNUMBER(_xll.BDH(config!$G$4,L$1,$A52,$A52)),_xll.BDH(config!$G$4,L$1,$A52,$A52),_xll.BDH(config!$G$5,L$1,$A52,$A52))))</f>
        <v>#N/A Requesting Data...</v>
      </c>
      <c r="M52" s="8" t="str">
        <f>IF($A52="","",IF(ISNUMBER(FIND("IMPVOL",M$1)),_xll.BDH(config!$G$4,M$1,WORKDAY($A52,-1,config_Holiday_Calendar_US),WORKDAY($A52,-1,config_Holiday_Calendar_US)),IF(ISNUMBER(_xll.BDH(config!$G$4,M$1,$A52,$A52)),_xll.BDH(config!$G$4,M$1,$A52,$A52),_xll.BDH(config!$G$5,M$1,$A52,$A52))))</f>
        <v>#N/A Requesting Data...</v>
      </c>
      <c r="N52" s="8" t="str">
        <f>IF($A52="","",IF(ISNUMBER(FIND("IMPVOL",N$1)),_xll.BDH(config!$G$4,N$1,WORKDAY($A52,-1,config_Holiday_Calendar_US),WORKDAY($A52,-1,config_Holiday_Calendar_US)),IF(ISNUMBER(_xll.BDH(config!$G$4,N$1,$A52,$A52)),_xll.BDH(config!$G$4,N$1,$A52,$A52),_xll.BDH(config!$G$5,N$1,$A52,$A52))))</f>
        <v>#N/A Requesting Data...</v>
      </c>
      <c r="O52" s="8" t="str">
        <f>IF($A52="","",IF(ISNUMBER(FIND("IMPVOL",O$1)),_xll.BDH(config!$G$4,O$1,WORKDAY($A52,-1,config_Holiday_Calendar_US),WORKDAY($A52,-1,config_Holiday_Calendar_US)),IF(ISNUMBER(_xll.BDH(config!$G$4,O$1,$A52,$A52)),_xll.BDH(config!$G$4,O$1,$A52,$A52),_xll.BDH(config!$G$5,O$1,$A52,$A52))))</f>
        <v>#N/A Requesting Data...</v>
      </c>
      <c r="P52" s="8" t="str">
        <f>IF($A52="","",IF(ISNUMBER(FIND("IMPVOL",P$1)),_xll.BDH(config!$G$4,P$1,WORKDAY($A52,-1,config_Holiday_Calendar_US),WORKDAY($A52,-1,config_Holiday_Calendar_US)),IF(ISNUMBER(_xll.BDH(config!$G$4,P$1,$A52,$A52)),_xll.BDH(config!$G$4,P$1,$A52,$A52),_xll.BDH(config!$G$5,P$1,$A52,$A52))))</f>
        <v>#N/A Requesting Data...</v>
      </c>
      <c r="Q52" s="8">
        <f>IF($A52="","",IF(ISNUMBER(FIND("IMPVOL",Q$1)),_xll.BDH(config!$G$4,Q$1,WORKDAY($A52,-1,config_Holiday_Calendar_US),WORKDAY($A52,-1,config_Holiday_Calendar_US)),IF(ISNUMBER(_xll.BDH(config!$G$4,Q$1,$A52,$A52)),_xll.BDH(config!$G$4,Q$1,$A52,$A52),_xll.BDH(config!$G$5,Q$1,$A52,$A52))))</f>
        <v>23.83</v>
      </c>
      <c r="R52" s="8">
        <f>IF($A52="","",IF(ISNUMBER(FIND("IMPVOL",R$1)),_xll.BDH(config!$G$4,R$1,WORKDAY($A52,-1,config_Holiday_Calendar_US),WORKDAY($A52,-1,config_Holiday_Calendar_US)),IF(ISNUMBER(_xll.BDH(config!$G$4,R$1,$A52,$A52)),_xll.BDH(config!$G$4,R$1,$A52,$A52),_xll.BDH(config!$G$5,R$1,$A52,$A52))))</f>
        <v>24.44</v>
      </c>
      <c r="S52" s="8" t="str">
        <f>IF($A52="","",IF(ISNUMBER(FIND("IMPVOL",S$1)),_xll.BDH(config!$G$4,S$1,WORKDAY($A52,-1,config_Holiday_Calendar_US),WORKDAY($A52,-1,config_Holiday_Calendar_US)),IF(ISNUMBER(_xll.BDH(config!$G$4,S$1,$A52,$A52)),_xll.BDH(config!$G$4,S$1,$A52,$A52),_xll.BDH(config!$G$5,S$1,$A52,$A52))))</f>
        <v>#N/A Requesting Data...</v>
      </c>
      <c r="T52" s="8" t="str">
        <f>IF($A52="","",IF(ISNUMBER(FIND("IMPVOL",T$1)),_xll.BDH(config!$G$4,T$1,WORKDAY($A52,-1,config_Holiday_Calendar_US),WORKDAY($A52,-1,config_Holiday_Calendar_US)),IF(ISNUMBER(_xll.BDH(config!$G$4,T$1,$A52,$A52)),_xll.BDH(config!$G$4,T$1,$A52,$A52),_xll.BDH(config!$G$5,T$1,$A52,$A52))))</f>
        <v>#N/A Requesting Data...</v>
      </c>
      <c r="U52" s="8" t="str">
        <f>IF($A52="","",IF(ISNUMBER(FIND("IMPVOL",U$1)),_xll.BDH(config!$G$4,U$1,WORKDAY($A52,-1,config_Holiday_Calendar_US),WORKDAY($A52,-1,config_Holiday_Calendar_US)),IF(ISNUMBER(_xll.BDH(config!$G$4,U$1,$A52,$A52)),_xll.BDH(config!$G$4,U$1,$A52,$A52),_xll.BDH(config!$G$5,U$1,$A52,$A52))))</f>
        <v>#N/A Requesting Data...</v>
      </c>
      <c r="V52" s="8" t="str">
        <f>IF($A52="","",IF(ISNUMBER(FIND("IMPVOL",V$1)),_xll.BDH(config!$G$4,V$1,WORKDAY($A52,-1,config_Holiday_Calendar_US),WORKDAY($A52,-1,config_Holiday_Calendar_US)),IF(ISNUMBER(_xll.BDH(config!$G$4,V$1,$A52,$A52)),_xll.BDH(config!$G$4,V$1,$A52,$A52),_xll.BDH(config!$G$5,V$1,$A52,$A52))))</f>
        <v>#N/A Requesting Data...</v>
      </c>
      <c r="W52" s="8" t="str">
        <f>IF($A52="","",IF(ISNUMBER(FIND("IMPVOL",W$1)),_xll.BDH(config!$G$4,W$1,WORKDAY($A52,-1,config_Holiday_Calendar_US),WORKDAY($A52,-1,config_Holiday_Calendar_US)),IF(ISNUMBER(_xll.BDH(config!$G$4,W$1,$A52,$A52)),_xll.BDH(config!$G$4,W$1,$A52,$A52),_xll.BDH(config!$G$5,W$1,$A52,$A52))))</f>
        <v>#N/A Requesting Data...</v>
      </c>
    </row>
    <row r="53" spans="1:23" x14ac:dyDescent="0.2">
      <c r="A53" s="9">
        <f>IF(A52="","",IF(WORKDAY(A52,-1,config_Holiday_Calendar_US)&lt;config!$I$10,"",WORKDAY(A52,-1,config_Holiday_Calendar_US)))</f>
        <v>42761</v>
      </c>
      <c r="B53" s="8" t="e">
        <f t="shared" si="0"/>
        <v>#VALUE!</v>
      </c>
      <c r="C53" s="8" t="str">
        <f>IF(A53="","",_xll.BDH(config!$H$4,C$1,$A53,$A53))</f>
        <v>#N/A Requesting Data...</v>
      </c>
      <c r="D53" s="8" t="str">
        <f>IF($A53="","",_xll.BDH(config!$H$4,D$1,$A53,$A53))</f>
        <v>#N/A Requesting Data...</v>
      </c>
      <c r="E53" s="8">
        <f>IF($A53="","",IF(ISNUMBER(FIND("IMPVOL",E$1)),_xll.BDH(config!$G$4,E$1,WORKDAY($A53,-1,config_Holiday_Calendar_US),WORKDAY($A53,-1,config_Holiday_Calendar_US)),IF(ISNUMBER(_xll.BDH(config!$G$4,E$1,$A53,$A53)),_xll.BDH(config!$G$4,E$1,$A53,$A53),_xll.BDH(config!$G$5,E$1,$A53,$A53))))</f>
        <v>53.6</v>
      </c>
      <c r="F53" s="8">
        <f>IF($A53="","",IF(ISNUMBER(FIND("IMPVOL",F$1)),_xll.BDH(config!$G$4,F$1,WORKDAY($A53,-1,config_Holiday_Calendar_US),WORKDAY($A53,-1,config_Holiday_Calendar_US)),IF(ISNUMBER(_xll.BDH(config!$G$4,F$1,$A53,$A53)),_xll.BDH(config!$G$4,F$1,$A53,$A53),_xll.BDH(config!$G$5,F$1,$A53,$A53))))</f>
        <v>54.65</v>
      </c>
      <c r="G53" s="8">
        <f>IF($A53="","",IF(ISNUMBER(FIND("IMPVOL",G$1)),_xll.BDH(config!$G$4,G$1,WORKDAY($A53,-1,config_Holiday_Calendar_US),WORKDAY($A53,-1,config_Holiday_Calendar_US)),IF(ISNUMBER(_xll.BDH(config!$G$4,G$1,$A53,$A53)),_xll.BDH(config!$G$4,G$1,$A53,$A53),_xll.BDH(config!$G$5,G$1,$A53,$A53))))</f>
        <v>53.4</v>
      </c>
      <c r="H53" s="8">
        <f>IF($A53="","",IF(ISNUMBER(FIND("IMPVOL",H$1)),_xll.BDH(config!$G$4,H$1,WORKDAY($A53,-1,config_Holiday_Calendar_US),WORKDAY($A53,-1,config_Holiday_Calendar_US)),IF(ISNUMBER(_xll.BDH(config!$G$4,H$1,$A53,$A53)),_xll.BDH(config!$G$4,H$1,$A53,$A53),_xll.BDH(config!$G$5,H$1,$A53,$A53))))</f>
        <v>141091</v>
      </c>
      <c r="I53" s="8" t="str">
        <f>IF($A53="","",IF(ISNUMBER(FIND("IMPVOL",I$1)),_xll.BDH(config!$G$4,I$1,WORKDAY($A53,-1,config_Holiday_Calendar_US),WORKDAY($A53,-1,config_Holiday_Calendar_US)),IF(ISNUMBER(_xll.BDH(config!$G$4,I$1,$A53,$A53)),_xll.BDH(config!$G$4,I$1,$A53,$A53),_xll.BDH(config!$G$5,I$1,$A53,$A53))))</f>
        <v>#N/A Requesting Data...</v>
      </c>
      <c r="J53" s="8" t="str">
        <f>IF($A53="","",IF(ISNUMBER(FIND("IMPVOL",J$1)),_xll.BDH(config!$G$4,J$1,WORKDAY($A53,-1,config_Holiday_Calendar_US),WORKDAY($A53,-1,config_Holiday_Calendar_US)),IF(ISNUMBER(_xll.BDH(config!$G$4,J$1,$A53,$A53)),_xll.BDH(config!$G$4,J$1,$A53,$A53),_xll.BDH(config!$G$5,J$1,$A53,$A53))))</f>
        <v>#N/A Requesting Data...</v>
      </c>
      <c r="K53" s="8" t="str">
        <f>IF($A53="","",IF(ISNUMBER(FIND("IMPVOL",K$1)),_xll.BDH(config!$G$4,K$1,WORKDAY($A53,-1,config_Holiday_Calendar_US),WORKDAY($A53,-1,config_Holiday_Calendar_US)),IF(ISNUMBER(_xll.BDH(config!$G$4,K$1,$A53,$A53)),_xll.BDH(config!$G$4,K$1,$A53,$A53),_xll.BDH(config!$G$5,K$1,$A53,$A53))))</f>
        <v>#N/A Requesting Data...</v>
      </c>
      <c r="L53" s="8" t="str">
        <f>IF($A53="","",IF(ISNUMBER(FIND("IMPVOL",L$1)),_xll.BDH(config!$G$4,L$1,WORKDAY($A53,-1,config_Holiday_Calendar_US),WORKDAY($A53,-1,config_Holiday_Calendar_US)),IF(ISNUMBER(_xll.BDH(config!$G$4,L$1,$A53,$A53)),_xll.BDH(config!$G$4,L$1,$A53,$A53),_xll.BDH(config!$G$5,L$1,$A53,$A53))))</f>
        <v>#N/A Requesting Data...</v>
      </c>
      <c r="M53" s="8" t="str">
        <f>IF($A53="","",IF(ISNUMBER(FIND("IMPVOL",M$1)),_xll.BDH(config!$G$4,M$1,WORKDAY($A53,-1,config_Holiday_Calendar_US),WORKDAY($A53,-1,config_Holiday_Calendar_US)),IF(ISNUMBER(_xll.BDH(config!$G$4,M$1,$A53,$A53)),_xll.BDH(config!$G$4,M$1,$A53,$A53),_xll.BDH(config!$G$5,M$1,$A53,$A53))))</f>
        <v>#N/A Requesting Data...</v>
      </c>
      <c r="N53" s="8" t="str">
        <f>IF($A53="","",IF(ISNUMBER(FIND("IMPVOL",N$1)),_xll.BDH(config!$G$4,N$1,WORKDAY($A53,-1,config_Holiday_Calendar_US),WORKDAY($A53,-1,config_Holiday_Calendar_US)),IF(ISNUMBER(_xll.BDH(config!$G$4,N$1,$A53,$A53)),_xll.BDH(config!$G$4,N$1,$A53,$A53),_xll.BDH(config!$G$5,N$1,$A53,$A53))))</f>
        <v>#N/A Requesting Data...</v>
      </c>
      <c r="O53" s="8" t="str">
        <f>IF($A53="","",IF(ISNUMBER(FIND("IMPVOL",O$1)),_xll.BDH(config!$G$4,O$1,WORKDAY($A53,-1,config_Holiday_Calendar_US),WORKDAY($A53,-1,config_Holiday_Calendar_US)),IF(ISNUMBER(_xll.BDH(config!$G$4,O$1,$A53,$A53)),_xll.BDH(config!$G$4,O$1,$A53,$A53),_xll.BDH(config!$G$5,O$1,$A53,$A53))))</f>
        <v>#N/A Requesting Data...</v>
      </c>
      <c r="P53" s="8" t="str">
        <f>IF($A53="","",IF(ISNUMBER(FIND("IMPVOL",P$1)),_xll.BDH(config!$G$4,P$1,WORKDAY($A53,-1,config_Holiday_Calendar_US),WORKDAY($A53,-1,config_Holiday_Calendar_US)),IF(ISNUMBER(_xll.BDH(config!$G$4,P$1,$A53,$A53)),_xll.BDH(config!$G$4,P$1,$A53,$A53),_xll.BDH(config!$G$5,P$1,$A53,$A53))))</f>
        <v>#N/A Requesting Data...</v>
      </c>
      <c r="Q53" s="8">
        <f>IF($A53="","",IF(ISNUMBER(FIND("IMPVOL",Q$1)),_xll.BDH(config!$G$4,Q$1,WORKDAY($A53,-1,config_Holiday_Calendar_US),WORKDAY($A53,-1,config_Holiday_Calendar_US)),IF(ISNUMBER(_xll.BDH(config!$G$4,Q$1,$A53,$A53)),_xll.BDH(config!$G$4,Q$1,$A53,$A53),_xll.BDH(config!$G$5,Q$1,$A53,$A53))))</f>
        <v>24.06</v>
      </c>
      <c r="R53" s="8">
        <f>IF($A53="","",IF(ISNUMBER(FIND("IMPVOL",R$1)),_xll.BDH(config!$G$4,R$1,WORKDAY($A53,-1,config_Holiday_Calendar_US),WORKDAY($A53,-1,config_Holiday_Calendar_US)),IF(ISNUMBER(_xll.BDH(config!$G$4,R$1,$A53,$A53)),_xll.BDH(config!$G$4,R$1,$A53,$A53),_xll.BDH(config!$G$5,R$1,$A53,$A53))))</f>
        <v>26.47</v>
      </c>
      <c r="S53" s="8" t="str">
        <f>IF($A53="","",IF(ISNUMBER(FIND("IMPVOL",S$1)),_xll.BDH(config!$G$4,S$1,WORKDAY($A53,-1,config_Holiday_Calendar_US),WORKDAY($A53,-1,config_Holiday_Calendar_US)),IF(ISNUMBER(_xll.BDH(config!$G$4,S$1,$A53,$A53)),_xll.BDH(config!$G$4,S$1,$A53,$A53),_xll.BDH(config!$G$5,S$1,$A53,$A53))))</f>
        <v>#N/A Requesting Data...</v>
      </c>
      <c r="T53" s="8" t="str">
        <f>IF($A53="","",IF(ISNUMBER(FIND("IMPVOL",T$1)),_xll.BDH(config!$G$4,T$1,WORKDAY($A53,-1,config_Holiday_Calendar_US),WORKDAY($A53,-1,config_Holiday_Calendar_US)),IF(ISNUMBER(_xll.BDH(config!$G$4,T$1,$A53,$A53)),_xll.BDH(config!$G$4,T$1,$A53,$A53),_xll.BDH(config!$G$5,T$1,$A53,$A53))))</f>
        <v>#N/A Requesting Data...</v>
      </c>
      <c r="U53" s="8" t="str">
        <f>IF($A53="","",IF(ISNUMBER(FIND("IMPVOL",U$1)),_xll.BDH(config!$G$4,U$1,WORKDAY($A53,-1,config_Holiday_Calendar_US),WORKDAY($A53,-1,config_Holiday_Calendar_US)),IF(ISNUMBER(_xll.BDH(config!$G$4,U$1,$A53,$A53)),_xll.BDH(config!$G$4,U$1,$A53,$A53),_xll.BDH(config!$G$5,U$1,$A53,$A53))))</f>
        <v>#N/A Requesting Data...</v>
      </c>
      <c r="V53" s="8" t="str">
        <f>IF($A53="","",IF(ISNUMBER(FIND("IMPVOL",V$1)),_xll.BDH(config!$G$4,V$1,WORKDAY($A53,-1,config_Holiday_Calendar_US),WORKDAY($A53,-1,config_Holiday_Calendar_US)),IF(ISNUMBER(_xll.BDH(config!$G$4,V$1,$A53,$A53)),_xll.BDH(config!$G$4,V$1,$A53,$A53),_xll.BDH(config!$G$5,V$1,$A53,$A53))))</f>
        <v>#N/A Requesting Data...</v>
      </c>
      <c r="W53" s="8" t="str">
        <f>IF($A53="","",IF(ISNUMBER(FIND("IMPVOL",W$1)),_xll.BDH(config!$G$4,W$1,WORKDAY($A53,-1,config_Holiday_Calendar_US),WORKDAY($A53,-1,config_Holiday_Calendar_US)),IF(ISNUMBER(_xll.BDH(config!$G$4,W$1,$A53,$A53)),_xll.BDH(config!$G$4,W$1,$A53,$A53),_xll.BDH(config!$G$5,W$1,$A53,$A53))))</f>
        <v>#N/A Requesting Data...</v>
      </c>
    </row>
    <row r="54" spans="1:23" x14ac:dyDescent="0.2">
      <c r="A54" s="9">
        <f>IF(A53="","",IF(WORKDAY(A53,-1,config_Holiday_Calendar_US)&lt;config!$I$10,"",WORKDAY(A53,-1,config_Holiday_Calendar_US)))</f>
        <v>42760</v>
      </c>
      <c r="B54" s="8" t="e">
        <f t="shared" si="0"/>
        <v>#VALUE!</v>
      </c>
      <c r="C54" s="8" t="str">
        <f>IF(A54="","",_xll.BDH(config!$H$4,C$1,$A54,$A54))</f>
        <v>#N/A Requesting Data...</v>
      </c>
      <c r="D54" s="8" t="str">
        <f>IF($A54="","",_xll.BDH(config!$H$4,D$1,$A54,$A54))</f>
        <v>#N/A Requesting Data...</v>
      </c>
      <c r="E54" s="8">
        <f>IF($A54="","",IF(ISNUMBER(FIND("IMPVOL",E$1)),_xll.BDH(config!$G$4,E$1,WORKDAY($A54,-1,config_Holiday_Calendar_US),WORKDAY($A54,-1,config_Holiday_Calendar_US)),IF(ISNUMBER(_xll.BDH(config!$G$4,E$1,$A54,$A54)),_xll.BDH(config!$G$4,E$1,$A54,$A54),_xll.BDH(config!$G$5,E$1,$A54,$A54))))</f>
        <v>53.65</v>
      </c>
      <c r="F54" s="8">
        <f>IF($A54="","",IF(ISNUMBER(FIND("IMPVOL",F$1)),_xll.BDH(config!$G$4,F$1,WORKDAY($A54,-1,config_Holiday_Calendar_US),WORKDAY($A54,-1,config_Holiday_Calendar_US)),IF(ISNUMBER(_xll.BDH(config!$G$4,F$1,$A54,$A54)),_xll.BDH(config!$G$4,F$1,$A54,$A54),_xll.BDH(config!$G$5,F$1,$A54,$A54))))</f>
        <v>54.1</v>
      </c>
      <c r="G54" s="8">
        <f>IF($A54="","",IF(ISNUMBER(FIND("IMPVOL",G$1)),_xll.BDH(config!$G$4,G$1,WORKDAY($A54,-1,config_Holiday_Calendar_US),WORKDAY($A54,-1,config_Holiday_Calendar_US)),IF(ISNUMBER(_xll.BDH(config!$G$4,G$1,$A54,$A54)),_xll.BDH(config!$G$4,G$1,$A54,$A54),_xll.BDH(config!$G$5,G$1,$A54,$A54))))</f>
        <v>53.23</v>
      </c>
      <c r="H54" s="8">
        <f>IF($A54="","",IF(ISNUMBER(FIND("IMPVOL",H$1)),_xll.BDH(config!$G$4,H$1,WORKDAY($A54,-1,config_Holiday_Calendar_US),WORKDAY($A54,-1,config_Holiday_Calendar_US)),IF(ISNUMBER(_xll.BDH(config!$G$4,H$1,$A54,$A54)),_xll.BDH(config!$G$4,H$1,$A54,$A54),_xll.BDH(config!$G$5,H$1,$A54,$A54))))</f>
        <v>164595</v>
      </c>
      <c r="I54" s="8" t="str">
        <f>IF($A54="","",IF(ISNUMBER(FIND("IMPVOL",I$1)),_xll.BDH(config!$G$4,I$1,WORKDAY($A54,-1,config_Holiday_Calendar_US),WORKDAY($A54,-1,config_Holiday_Calendar_US)),IF(ISNUMBER(_xll.BDH(config!$G$4,I$1,$A54,$A54)),_xll.BDH(config!$G$4,I$1,$A54,$A54),_xll.BDH(config!$G$5,I$1,$A54,$A54))))</f>
        <v>#N/A Requesting Data...</v>
      </c>
      <c r="J54" s="8" t="str">
        <f>IF($A54="","",IF(ISNUMBER(FIND("IMPVOL",J$1)),_xll.BDH(config!$G$4,J$1,WORKDAY($A54,-1,config_Holiday_Calendar_US),WORKDAY($A54,-1,config_Holiday_Calendar_US)),IF(ISNUMBER(_xll.BDH(config!$G$4,J$1,$A54,$A54)),_xll.BDH(config!$G$4,J$1,$A54,$A54),_xll.BDH(config!$G$5,J$1,$A54,$A54))))</f>
        <v>#N/A Requesting Data...</v>
      </c>
      <c r="K54" s="8" t="str">
        <f>IF($A54="","",IF(ISNUMBER(FIND("IMPVOL",K$1)),_xll.BDH(config!$G$4,K$1,WORKDAY($A54,-1,config_Holiday_Calendar_US),WORKDAY($A54,-1,config_Holiday_Calendar_US)),IF(ISNUMBER(_xll.BDH(config!$G$4,K$1,$A54,$A54)),_xll.BDH(config!$G$4,K$1,$A54,$A54),_xll.BDH(config!$G$5,K$1,$A54,$A54))))</f>
        <v>#N/A Requesting Data...</v>
      </c>
      <c r="L54" s="8" t="str">
        <f>IF($A54="","",IF(ISNUMBER(FIND("IMPVOL",L$1)),_xll.BDH(config!$G$4,L$1,WORKDAY($A54,-1,config_Holiday_Calendar_US),WORKDAY($A54,-1,config_Holiday_Calendar_US)),IF(ISNUMBER(_xll.BDH(config!$G$4,L$1,$A54,$A54)),_xll.BDH(config!$G$4,L$1,$A54,$A54),_xll.BDH(config!$G$5,L$1,$A54,$A54))))</f>
        <v>#N/A Requesting Data...</v>
      </c>
      <c r="M54" s="8" t="str">
        <f>IF($A54="","",IF(ISNUMBER(FIND("IMPVOL",M$1)),_xll.BDH(config!$G$4,M$1,WORKDAY($A54,-1,config_Holiday_Calendar_US),WORKDAY($A54,-1,config_Holiday_Calendar_US)),IF(ISNUMBER(_xll.BDH(config!$G$4,M$1,$A54,$A54)),_xll.BDH(config!$G$4,M$1,$A54,$A54),_xll.BDH(config!$G$5,M$1,$A54,$A54))))</f>
        <v>#N/A Requesting Data...</v>
      </c>
      <c r="N54" s="8" t="str">
        <f>IF($A54="","",IF(ISNUMBER(FIND("IMPVOL",N$1)),_xll.BDH(config!$G$4,N$1,WORKDAY($A54,-1,config_Holiday_Calendar_US),WORKDAY($A54,-1,config_Holiday_Calendar_US)),IF(ISNUMBER(_xll.BDH(config!$G$4,N$1,$A54,$A54)),_xll.BDH(config!$G$4,N$1,$A54,$A54),_xll.BDH(config!$G$5,N$1,$A54,$A54))))</f>
        <v>#N/A Requesting Data...</v>
      </c>
      <c r="O54" s="8" t="str">
        <f>IF($A54="","",IF(ISNUMBER(FIND("IMPVOL",O$1)),_xll.BDH(config!$G$4,O$1,WORKDAY($A54,-1,config_Holiday_Calendar_US),WORKDAY($A54,-1,config_Holiday_Calendar_US)),IF(ISNUMBER(_xll.BDH(config!$G$4,O$1,$A54,$A54)),_xll.BDH(config!$G$4,O$1,$A54,$A54),_xll.BDH(config!$G$5,O$1,$A54,$A54))))</f>
        <v>#N/A Requesting Data...</v>
      </c>
      <c r="P54" s="8" t="str">
        <f>IF($A54="","",IF(ISNUMBER(FIND("IMPVOL",P$1)),_xll.BDH(config!$G$4,P$1,WORKDAY($A54,-1,config_Holiday_Calendar_US),WORKDAY($A54,-1,config_Holiday_Calendar_US)),IF(ISNUMBER(_xll.BDH(config!$G$4,P$1,$A54,$A54)),_xll.BDH(config!$G$4,P$1,$A54,$A54),_xll.BDH(config!$G$5,P$1,$A54,$A54))))</f>
        <v>#N/A Requesting Data...</v>
      </c>
      <c r="Q54" s="8">
        <f>IF($A54="","",IF(ISNUMBER(FIND("IMPVOL",Q$1)),_xll.BDH(config!$G$4,Q$1,WORKDAY($A54,-1,config_Holiday_Calendar_US),WORKDAY($A54,-1,config_Holiday_Calendar_US)),IF(ISNUMBER(_xll.BDH(config!$G$4,Q$1,$A54,$A54)),_xll.BDH(config!$G$4,Q$1,$A54,$A54),_xll.BDH(config!$G$5,Q$1,$A54,$A54))))</f>
        <v>23.25</v>
      </c>
      <c r="R54" s="8">
        <f>IF($A54="","",IF(ISNUMBER(FIND("IMPVOL",R$1)),_xll.BDH(config!$G$4,R$1,WORKDAY($A54,-1,config_Holiday_Calendar_US),WORKDAY($A54,-1,config_Holiday_Calendar_US)),IF(ISNUMBER(_xll.BDH(config!$G$4,R$1,$A54,$A54)),_xll.BDH(config!$G$4,R$1,$A54,$A54),_xll.BDH(config!$G$5,R$1,$A54,$A54))))</f>
        <v>25.9</v>
      </c>
      <c r="S54" s="8" t="str">
        <f>IF($A54="","",IF(ISNUMBER(FIND("IMPVOL",S$1)),_xll.BDH(config!$G$4,S$1,WORKDAY($A54,-1,config_Holiday_Calendar_US),WORKDAY($A54,-1,config_Holiday_Calendar_US)),IF(ISNUMBER(_xll.BDH(config!$G$4,S$1,$A54,$A54)),_xll.BDH(config!$G$4,S$1,$A54,$A54),_xll.BDH(config!$G$5,S$1,$A54,$A54))))</f>
        <v>#N/A Requesting Data...</v>
      </c>
      <c r="T54" s="8" t="str">
        <f>IF($A54="","",IF(ISNUMBER(FIND("IMPVOL",T$1)),_xll.BDH(config!$G$4,T$1,WORKDAY($A54,-1,config_Holiday_Calendar_US),WORKDAY($A54,-1,config_Holiday_Calendar_US)),IF(ISNUMBER(_xll.BDH(config!$G$4,T$1,$A54,$A54)),_xll.BDH(config!$G$4,T$1,$A54,$A54),_xll.BDH(config!$G$5,T$1,$A54,$A54))))</f>
        <v>#N/A Requesting Data...</v>
      </c>
      <c r="U54" s="8" t="str">
        <f>IF($A54="","",IF(ISNUMBER(FIND("IMPVOL",U$1)),_xll.BDH(config!$G$4,U$1,WORKDAY($A54,-1,config_Holiday_Calendar_US),WORKDAY($A54,-1,config_Holiday_Calendar_US)),IF(ISNUMBER(_xll.BDH(config!$G$4,U$1,$A54,$A54)),_xll.BDH(config!$G$4,U$1,$A54,$A54),_xll.BDH(config!$G$5,U$1,$A54,$A54))))</f>
        <v>#N/A Requesting Data...</v>
      </c>
      <c r="V54" s="8" t="str">
        <f>IF($A54="","",IF(ISNUMBER(FIND("IMPVOL",V$1)),_xll.BDH(config!$G$4,V$1,WORKDAY($A54,-1,config_Holiday_Calendar_US),WORKDAY($A54,-1,config_Holiday_Calendar_US)),IF(ISNUMBER(_xll.BDH(config!$G$4,V$1,$A54,$A54)),_xll.BDH(config!$G$4,V$1,$A54,$A54),_xll.BDH(config!$G$5,V$1,$A54,$A54))))</f>
        <v>#N/A Requesting Data...</v>
      </c>
      <c r="W54" s="8" t="str">
        <f>IF($A54="","",IF(ISNUMBER(FIND("IMPVOL",W$1)),_xll.BDH(config!$G$4,W$1,WORKDAY($A54,-1,config_Holiday_Calendar_US),WORKDAY($A54,-1,config_Holiday_Calendar_US)),IF(ISNUMBER(_xll.BDH(config!$G$4,W$1,$A54,$A54)),_xll.BDH(config!$G$4,W$1,$A54,$A54),_xll.BDH(config!$G$5,W$1,$A54,$A54))))</f>
        <v>#N/A Requesting Data...</v>
      </c>
    </row>
    <row r="55" spans="1:23" x14ac:dyDescent="0.2">
      <c r="A55" s="9">
        <f>IF(A54="","",IF(WORKDAY(A54,-1,config_Holiday_Calendar_US)&lt;config!$I$10,"",WORKDAY(A54,-1,config_Holiday_Calendar_US)))</f>
        <v>42759</v>
      </c>
      <c r="B55" s="8" t="e">
        <f t="shared" si="0"/>
        <v>#VALUE!</v>
      </c>
      <c r="C55" s="8" t="str">
        <f>IF(A55="","",_xll.BDH(config!$H$4,C$1,$A55,$A55))</f>
        <v>#N/A Requesting Data...</v>
      </c>
      <c r="D55" s="8" t="str">
        <f>IF($A55="","",_xll.BDH(config!$H$4,D$1,$A55,$A55))</f>
        <v>#N/A Requesting Data...</v>
      </c>
      <c r="E55" s="8">
        <f>IF($A55="","",IF(ISNUMBER(FIND("IMPVOL",E$1)),_xll.BDH(config!$G$4,E$1,WORKDAY($A55,-1,config_Holiday_Calendar_US),WORKDAY($A55,-1,config_Holiday_Calendar_US)),IF(ISNUMBER(_xll.BDH(config!$G$4,E$1,$A55,$A55)),_xll.BDH(config!$G$4,E$1,$A55,$A55),_xll.BDH(config!$G$5,E$1,$A55,$A55))))</f>
        <v>53.66</v>
      </c>
      <c r="F55" s="8">
        <f>IF($A55="","",IF(ISNUMBER(FIND("IMPVOL",F$1)),_xll.BDH(config!$G$4,F$1,WORKDAY($A55,-1,config_Holiday_Calendar_US),WORKDAY($A55,-1,config_Holiday_Calendar_US)),IF(ISNUMBER(_xll.BDH(config!$G$4,F$1,$A55,$A55)),_xll.BDH(config!$G$4,F$1,$A55,$A55),_xll.BDH(config!$G$5,F$1,$A55,$A55))))</f>
        <v>54.23</v>
      </c>
      <c r="G55" s="8">
        <f>IF($A55="","",IF(ISNUMBER(FIND("IMPVOL",G$1)),_xll.BDH(config!$G$4,G$1,WORKDAY($A55,-1,config_Holiday_Calendar_US),WORKDAY($A55,-1,config_Holiday_Calendar_US)),IF(ISNUMBER(_xll.BDH(config!$G$4,G$1,$A55,$A55)),_xll.BDH(config!$G$4,G$1,$A55,$A55),_xll.BDH(config!$G$5,G$1,$A55,$A55))))</f>
        <v>53.41</v>
      </c>
      <c r="H55" s="8">
        <f>IF($A55="","",IF(ISNUMBER(FIND("IMPVOL",H$1)),_xll.BDH(config!$G$4,H$1,WORKDAY($A55,-1,config_Holiday_Calendar_US),WORKDAY($A55,-1,config_Holiday_Calendar_US)),IF(ISNUMBER(_xll.BDH(config!$G$4,H$1,$A55,$A55)),_xll.BDH(config!$G$4,H$1,$A55,$A55),_xll.BDH(config!$G$5,H$1,$A55,$A55))))</f>
        <v>140775</v>
      </c>
      <c r="I55" s="8" t="str">
        <f>IF($A55="","",IF(ISNUMBER(FIND("IMPVOL",I$1)),_xll.BDH(config!$G$4,I$1,WORKDAY($A55,-1,config_Holiday_Calendar_US),WORKDAY($A55,-1,config_Holiday_Calendar_US)),IF(ISNUMBER(_xll.BDH(config!$G$4,I$1,$A55,$A55)),_xll.BDH(config!$G$4,I$1,$A55,$A55),_xll.BDH(config!$G$5,I$1,$A55,$A55))))</f>
        <v>#N/A Requesting Data...</v>
      </c>
      <c r="J55" s="8" t="str">
        <f>IF($A55="","",IF(ISNUMBER(FIND("IMPVOL",J$1)),_xll.BDH(config!$G$4,J$1,WORKDAY($A55,-1,config_Holiday_Calendar_US),WORKDAY($A55,-1,config_Holiday_Calendar_US)),IF(ISNUMBER(_xll.BDH(config!$G$4,J$1,$A55,$A55)),_xll.BDH(config!$G$4,J$1,$A55,$A55),_xll.BDH(config!$G$5,J$1,$A55,$A55))))</f>
        <v>#N/A Requesting Data...</v>
      </c>
      <c r="K55" s="8" t="str">
        <f>IF($A55="","",IF(ISNUMBER(FIND("IMPVOL",K$1)),_xll.BDH(config!$G$4,K$1,WORKDAY($A55,-1,config_Holiday_Calendar_US),WORKDAY($A55,-1,config_Holiday_Calendar_US)),IF(ISNUMBER(_xll.BDH(config!$G$4,K$1,$A55,$A55)),_xll.BDH(config!$G$4,K$1,$A55,$A55),_xll.BDH(config!$G$5,K$1,$A55,$A55))))</f>
        <v>#N/A Requesting Data...</v>
      </c>
      <c r="L55" s="8" t="str">
        <f>IF($A55="","",IF(ISNUMBER(FIND("IMPVOL",L$1)),_xll.BDH(config!$G$4,L$1,WORKDAY($A55,-1,config_Holiday_Calendar_US),WORKDAY($A55,-1,config_Holiday_Calendar_US)),IF(ISNUMBER(_xll.BDH(config!$G$4,L$1,$A55,$A55)),_xll.BDH(config!$G$4,L$1,$A55,$A55),_xll.BDH(config!$G$5,L$1,$A55,$A55))))</f>
        <v>#N/A Requesting Data...</v>
      </c>
      <c r="M55" s="8" t="str">
        <f>IF($A55="","",IF(ISNUMBER(FIND("IMPVOL",M$1)),_xll.BDH(config!$G$4,M$1,WORKDAY($A55,-1,config_Holiday_Calendar_US),WORKDAY($A55,-1,config_Holiday_Calendar_US)),IF(ISNUMBER(_xll.BDH(config!$G$4,M$1,$A55,$A55)),_xll.BDH(config!$G$4,M$1,$A55,$A55),_xll.BDH(config!$G$5,M$1,$A55,$A55))))</f>
        <v>#N/A Requesting Data...</v>
      </c>
      <c r="N55" s="8" t="str">
        <f>IF($A55="","",IF(ISNUMBER(FIND("IMPVOL",N$1)),_xll.BDH(config!$G$4,N$1,WORKDAY($A55,-1,config_Holiday_Calendar_US),WORKDAY($A55,-1,config_Holiday_Calendar_US)),IF(ISNUMBER(_xll.BDH(config!$G$4,N$1,$A55,$A55)),_xll.BDH(config!$G$4,N$1,$A55,$A55),_xll.BDH(config!$G$5,N$1,$A55,$A55))))</f>
        <v>#N/A Requesting Data...</v>
      </c>
      <c r="O55" s="8" t="str">
        <f>IF($A55="","",IF(ISNUMBER(FIND("IMPVOL",O$1)),_xll.BDH(config!$G$4,O$1,WORKDAY($A55,-1,config_Holiday_Calendar_US),WORKDAY($A55,-1,config_Holiday_Calendar_US)),IF(ISNUMBER(_xll.BDH(config!$G$4,O$1,$A55,$A55)),_xll.BDH(config!$G$4,O$1,$A55,$A55),_xll.BDH(config!$G$5,O$1,$A55,$A55))))</f>
        <v>#N/A Requesting Data...</v>
      </c>
      <c r="P55" s="8" t="str">
        <f>IF($A55="","",IF(ISNUMBER(FIND("IMPVOL",P$1)),_xll.BDH(config!$G$4,P$1,WORKDAY($A55,-1,config_Holiday_Calendar_US),WORKDAY($A55,-1,config_Holiday_Calendar_US)),IF(ISNUMBER(_xll.BDH(config!$G$4,P$1,$A55,$A55)),_xll.BDH(config!$G$4,P$1,$A55,$A55),_xll.BDH(config!$G$5,P$1,$A55,$A55))))</f>
        <v>#N/A Requesting Data...</v>
      </c>
      <c r="Q55" s="8">
        <f>IF($A55="","",IF(ISNUMBER(FIND("IMPVOL",Q$1)),_xll.BDH(config!$G$4,Q$1,WORKDAY($A55,-1,config_Holiday_Calendar_US),WORKDAY($A55,-1,config_Holiday_Calendar_US)),IF(ISNUMBER(_xll.BDH(config!$G$4,Q$1,$A55,$A55)),_xll.BDH(config!$G$4,Q$1,$A55,$A55),_xll.BDH(config!$G$5,Q$1,$A55,$A55))))</f>
        <v>25.99</v>
      </c>
      <c r="R55" s="8">
        <f>IF($A55="","",IF(ISNUMBER(FIND("IMPVOL",R$1)),_xll.BDH(config!$G$4,R$1,WORKDAY($A55,-1,config_Holiday_Calendar_US),WORKDAY($A55,-1,config_Holiday_Calendar_US)),IF(ISNUMBER(_xll.BDH(config!$G$4,R$1,$A55,$A55)),_xll.BDH(config!$G$4,R$1,$A55,$A55),_xll.BDH(config!$G$5,R$1,$A55,$A55))))</f>
        <v>26.8</v>
      </c>
      <c r="S55" s="8" t="str">
        <f>IF($A55="","",IF(ISNUMBER(FIND("IMPVOL",S$1)),_xll.BDH(config!$G$4,S$1,WORKDAY($A55,-1,config_Holiday_Calendar_US),WORKDAY($A55,-1,config_Holiday_Calendar_US)),IF(ISNUMBER(_xll.BDH(config!$G$4,S$1,$A55,$A55)),_xll.BDH(config!$G$4,S$1,$A55,$A55),_xll.BDH(config!$G$5,S$1,$A55,$A55))))</f>
        <v>#N/A Requesting Data...</v>
      </c>
      <c r="T55" s="8" t="str">
        <f>IF($A55="","",IF(ISNUMBER(FIND("IMPVOL",T$1)),_xll.BDH(config!$G$4,T$1,WORKDAY($A55,-1,config_Holiday_Calendar_US),WORKDAY($A55,-1,config_Holiday_Calendar_US)),IF(ISNUMBER(_xll.BDH(config!$G$4,T$1,$A55,$A55)),_xll.BDH(config!$G$4,T$1,$A55,$A55),_xll.BDH(config!$G$5,T$1,$A55,$A55))))</f>
        <v>#N/A Requesting Data...</v>
      </c>
      <c r="U55" s="8" t="str">
        <f>IF($A55="","",IF(ISNUMBER(FIND("IMPVOL",U$1)),_xll.BDH(config!$G$4,U$1,WORKDAY($A55,-1,config_Holiday_Calendar_US),WORKDAY($A55,-1,config_Holiday_Calendar_US)),IF(ISNUMBER(_xll.BDH(config!$G$4,U$1,$A55,$A55)),_xll.BDH(config!$G$4,U$1,$A55,$A55),_xll.BDH(config!$G$5,U$1,$A55,$A55))))</f>
        <v>#N/A Requesting Data...</v>
      </c>
      <c r="V55" s="8" t="str">
        <f>IF($A55="","",IF(ISNUMBER(FIND("IMPVOL",V$1)),_xll.BDH(config!$G$4,V$1,WORKDAY($A55,-1,config_Holiday_Calendar_US),WORKDAY($A55,-1,config_Holiday_Calendar_US)),IF(ISNUMBER(_xll.BDH(config!$G$4,V$1,$A55,$A55)),_xll.BDH(config!$G$4,V$1,$A55,$A55),_xll.BDH(config!$G$5,V$1,$A55,$A55))))</f>
        <v>#N/A Requesting Data...</v>
      </c>
      <c r="W55" s="8" t="str">
        <f>IF($A55="","",IF(ISNUMBER(FIND("IMPVOL",W$1)),_xll.BDH(config!$G$4,W$1,WORKDAY($A55,-1,config_Holiday_Calendar_US),WORKDAY($A55,-1,config_Holiday_Calendar_US)),IF(ISNUMBER(_xll.BDH(config!$G$4,W$1,$A55,$A55)),_xll.BDH(config!$G$4,W$1,$A55,$A55),_xll.BDH(config!$G$5,W$1,$A55,$A55))))</f>
        <v>#N/A Requesting Data...</v>
      </c>
    </row>
    <row r="56" spans="1:23" x14ac:dyDescent="0.2">
      <c r="A56" s="9">
        <f>IF(A55="","",IF(WORKDAY(A55,-1,config_Holiday_Calendar_US)&lt;config!$I$10,"",WORKDAY(A55,-1,config_Holiday_Calendar_US)))</f>
        <v>42758</v>
      </c>
      <c r="B56" s="8" t="e">
        <f t="shared" si="0"/>
        <v>#VALUE!</v>
      </c>
      <c r="C56" s="8" t="str">
        <f>IF(A56="","",_xll.BDH(config!$H$4,C$1,$A56,$A56))</f>
        <v>#N/A Requesting Data...</v>
      </c>
      <c r="D56" s="8" t="str">
        <f>IF($A56="","",_xll.BDH(config!$H$4,D$1,$A56,$A56))</f>
        <v>#N/A Requesting Data...</v>
      </c>
      <c r="E56" s="8">
        <f>IF($A56="","",IF(ISNUMBER(FIND("IMPVOL",E$1)),_xll.BDH(config!$G$4,E$1,WORKDAY($A56,-1,config_Holiday_Calendar_US),WORKDAY($A56,-1,config_Holiday_Calendar_US)),IF(ISNUMBER(_xll.BDH(config!$G$4,E$1,$A56,$A56)),_xll.BDH(config!$G$4,E$1,$A56,$A56),_xll.BDH(config!$G$5,E$1,$A56,$A56))))</f>
        <v>53.99</v>
      </c>
      <c r="F56" s="8">
        <f>IF($A56="","",IF(ISNUMBER(FIND("IMPVOL",F$1)),_xll.BDH(config!$G$4,F$1,WORKDAY($A56,-1,config_Holiday_Calendar_US),WORKDAY($A56,-1,config_Holiday_Calendar_US)),IF(ISNUMBER(_xll.BDH(config!$G$4,F$1,$A56,$A56)),_xll.BDH(config!$G$4,F$1,$A56,$A56),_xll.BDH(config!$G$5,F$1,$A56,$A56))))</f>
        <v>54.17</v>
      </c>
      <c r="G56" s="8">
        <f>IF($A56="","",IF(ISNUMBER(FIND("IMPVOL",G$1)),_xll.BDH(config!$G$4,G$1,WORKDAY($A56,-1,config_Holiday_Calendar_US),WORKDAY($A56,-1,config_Holiday_Calendar_US)),IF(ISNUMBER(_xll.BDH(config!$G$4,G$1,$A56,$A56)),_xll.BDH(config!$G$4,G$1,$A56,$A56),_xll.BDH(config!$G$5,G$1,$A56,$A56))))</f>
        <v>52.98</v>
      </c>
      <c r="H56" s="8">
        <f>IF($A56="","",IF(ISNUMBER(FIND("IMPVOL",H$1)),_xll.BDH(config!$G$4,H$1,WORKDAY($A56,-1,config_Holiday_Calendar_US),WORKDAY($A56,-1,config_Holiday_Calendar_US)),IF(ISNUMBER(_xll.BDH(config!$G$4,H$1,$A56,$A56)),_xll.BDH(config!$G$4,H$1,$A56,$A56),_xll.BDH(config!$G$5,H$1,$A56,$A56))))</f>
        <v>99455</v>
      </c>
      <c r="I56" s="8" t="str">
        <f>IF($A56="","",IF(ISNUMBER(FIND("IMPVOL",I$1)),_xll.BDH(config!$G$4,I$1,WORKDAY($A56,-1,config_Holiday_Calendar_US),WORKDAY($A56,-1,config_Holiday_Calendar_US)),IF(ISNUMBER(_xll.BDH(config!$G$4,I$1,$A56,$A56)),_xll.BDH(config!$G$4,I$1,$A56,$A56),_xll.BDH(config!$G$5,I$1,$A56,$A56))))</f>
        <v>#N/A Requesting Data...</v>
      </c>
      <c r="J56" s="8" t="str">
        <f>IF($A56="","",IF(ISNUMBER(FIND("IMPVOL",J$1)),_xll.BDH(config!$G$4,J$1,WORKDAY($A56,-1,config_Holiday_Calendar_US),WORKDAY($A56,-1,config_Holiday_Calendar_US)),IF(ISNUMBER(_xll.BDH(config!$G$4,J$1,$A56,$A56)),_xll.BDH(config!$G$4,J$1,$A56,$A56),_xll.BDH(config!$G$5,J$1,$A56,$A56))))</f>
        <v>#N/A Requesting Data...</v>
      </c>
      <c r="K56" s="8" t="str">
        <f>IF($A56="","",IF(ISNUMBER(FIND("IMPVOL",K$1)),_xll.BDH(config!$G$4,K$1,WORKDAY($A56,-1,config_Holiday_Calendar_US),WORKDAY($A56,-1,config_Holiday_Calendar_US)),IF(ISNUMBER(_xll.BDH(config!$G$4,K$1,$A56,$A56)),_xll.BDH(config!$G$4,K$1,$A56,$A56),_xll.BDH(config!$G$5,K$1,$A56,$A56))))</f>
        <v>#N/A Requesting Data...</v>
      </c>
      <c r="L56" s="8" t="str">
        <f>IF($A56="","",IF(ISNUMBER(FIND("IMPVOL",L$1)),_xll.BDH(config!$G$4,L$1,WORKDAY($A56,-1,config_Holiday_Calendar_US),WORKDAY($A56,-1,config_Holiday_Calendar_US)),IF(ISNUMBER(_xll.BDH(config!$G$4,L$1,$A56,$A56)),_xll.BDH(config!$G$4,L$1,$A56,$A56),_xll.BDH(config!$G$5,L$1,$A56,$A56))))</f>
        <v>#N/A Requesting Data...</v>
      </c>
      <c r="M56" s="8" t="str">
        <f>IF($A56="","",IF(ISNUMBER(FIND("IMPVOL",M$1)),_xll.BDH(config!$G$4,M$1,WORKDAY($A56,-1,config_Holiday_Calendar_US),WORKDAY($A56,-1,config_Holiday_Calendar_US)),IF(ISNUMBER(_xll.BDH(config!$G$4,M$1,$A56,$A56)),_xll.BDH(config!$G$4,M$1,$A56,$A56),_xll.BDH(config!$G$5,M$1,$A56,$A56))))</f>
        <v>#N/A Requesting Data...</v>
      </c>
      <c r="N56" s="8" t="str">
        <f>IF($A56="","",IF(ISNUMBER(FIND("IMPVOL",N$1)),_xll.BDH(config!$G$4,N$1,WORKDAY($A56,-1,config_Holiday_Calendar_US),WORKDAY($A56,-1,config_Holiday_Calendar_US)),IF(ISNUMBER(_xll.BDH(config!$G$4,N$1,$A56,$A56)),_xll.BDH(config!$G$4,N$1,$A56,$A56),_xll.BDH(config!$G$5,N$1,$A56,$A56))))</f>
        <v>#N/A Requesting Data...</v>
      </c>
      <c r="O56" s="8" t="str">
        <f>IF($A56="","",IF(ISNUMBER(FIND("IMPVOL",O$1)),_xll.BDH(config!$G$4,O$1,WORKDAY($A56,-1,config_Holiday_Calendar_US),WORKDAY($A56,-1,config_Holiday_Calendar_US)),IF(ISNUMBER(_xll.BDH(config!$G$4,O$1,$A56,$A56)),_xll.BDH(config!$G$4,O$1,$A56,$A56),_xll.BDH(config!$G$5,O$1,$A56,$A56))))</f>
        <v>#N/A Requesting Data...</v>
      </c>
      <c r="P56" s="8" t="str">
        <f>IF($A56="","",IF(ISNUMBER(FIND("IMPVOL",P$1)),_xll.BDH(config!$G$4,P$1,WORKDAY($A56,-1,config_Holiday_Calendar_US),WORKDAY($A56,-1,config_Holiday_Calendar_US)),IF(ISNUMBER(_xll.BDH(config!$G$4,P$1,$A56,$A56)),_xll.BDH(config!$G$4,P$1,$A56,$A56),_xll.BDH(config!$G$5,P$1,$A56,$A56))))</f>
        <v>#N/A Requesting Data...</v>
      </c>
      <c r="Q56" s="8">
        <f>IF($A56="","",IF(ISNUMBER(FIND("IMPVOL",Q$1)),_xll.BDH(config!$G$4,Q$1,WORKDAY($A56,-1,config_Holiday_Calendar_US),WORKDAY($A56,-1,config_Holiday_Calendar_US)),IF(ISNUMBER(_xll.BDH(config!$G$4,Q$1,$A56,$A56)),_xll.BDH(config!$G$4,Q$1,$A56,$A56),_xll.BDH(config!$G$5,Q$1,$A56,$A56))))</f>
        <v>29.65</v>
      </c>
      <c r="R56" s="8">
        <f>IF($A56="","",IF(ISNUMBER(FIND("IMPVOL",R$1)),_xll.BDH(config!$G$4,R$1,WORKDAY($A56,-1,config_Holiday_Calendar_US),WORKDAY($A56,-1,config_Holiday_Calendar_US)),IF(ISNUMBER(_xll.BDH(config!$G$4,R$1,$A56,$A56)),_xll.BDH(config!$G$4,R$1,$A56,$A56),_xll.BDH(config!$G$5,R$1,$A56,$A56))))</f>
        <v>26.9</v>
      </c>
      <c r="S56" s="8" t="str">
        <f>IF($A56="","",IF(ISNUMBER(FIND("IMPVOL",S$1)),_xll.BDH(config!$G$4,S$1,WORKDAY($A56,-1,config_Holiday_Calendar_US),WORKDAY($A56,-1,config_Holiday_Calendar_US)),IF(ISNUMBER(_xll.BDH(config!$G$4,S$1,$A56,$A56)),_xll.BDH(config!$G$4,S$1,$A56,$A56),_xll.BDH(config!$G$5,S$1,$A56,$A56))))</f>
        <v>#N/A Requesting Data...</v>
      </c>
      <c r="T56" s="8" t="str">
        <f>IF($A56="","",IF(ISNUMBER(FIND("IMPVOL",T$1)),_xll.BDH(config!$G$4,T$1,WORKDAY($A56,-1,config_Holiday_Calendar_US),WORKDAY($A56,-1,config_Holiday_Calendar_US)),IF(ISNUMBER(_xll.BDH(config!$G$4,T$1,$A56,$A56)),_xll.BDH(config!$G$4,T$1,$A56,$A56),_xll.BDH(config!$G$5,T$1,$A56,$A56))))</f>
        <v>#N/A Requesting Data...</v>
      </c>
      <c r="U56" s="8" t="str">
        <f>IF($A56="","",IF(ISNUMBER(FIND("IMPVOL",U$1)),_xll.BDH(config!$G$4,U$1,WORKDAY($A56,-1,config_Holiday_Calendar_US),WORKDAY($A56,-1,config_Holiday_Calendar_US)),IF(ISNUMBER(_xll.BDH(config!$G$4,U$1,$A56,$A56)),_xll.BDH(config!$G$4,U$1,$A56,$A56),_xll.BDH(config!$G$5,U$1,$A56,$A56))))</f>
        <v>#N/A Requesting Data...</v>
      </c>
      <c r="V56" s="8" t="str">
        <f>IF($A56="","",IF(ISNUMBER(FIND("IMPVOL",V$1)),_xll.BDH(config!$G$4,V$1,WORKDAY($A56,-1,config_Holiday_Calendar_US),WORKDAY($A56,-1,config_Holiday_Calendar_US)),IF(ISNUMBER(_xll.BDH(config!$G$4,V$1,$A56,$A56)),_xll.BDH(config!$G$4,V$1,$A56,$A56),_xll.BDH(config!$G$5,V$1,$A56,$A56))))</f>
        <v>#N/A Requesting Data...</v>
      </c>
      <c r="W56" s="8" t="str">
        <f>IF($A56="","",IF(ISNUMBER(FIND("IMPVOL",W$1)),_xll.BDH(config!$G$4,W$1,WORKDAY($A56,-1,config_Holiday_Calendar_US),WORKDAY($A56,-1,config_Holiday_Calendar_US)),IF(ISNUMBER(_xll.BDH(config!$G$4,W$1,$A56,$A56)),_xll.BDH(config!$G$4,W$1,$A56,$A56),_xll.BDH(config!$G$5,W$1,$A56,$A56))))</f>
        <v>#N/A Requesting Data...</v>
      </c>
    </row>
    <row r="57" spans="1:23" x14ac:dyDescent="0.2">
      <c r="A57" s="9">
        <f>IF(A56="","",IF(WORKDAY(A56,-1,config_Holiday_Calendar_US)&lt;config!$I$10,"",WORKDAY(A56,-1,config_Holiday_Calendar_US)))</f>
        <v>42755</v>
      </c>
      <c r="B57" s="8" t="e">
        <f t="shared" si="0"/>
        <v>#VALUE!</v>
      </c>
      <c r="C57" s="8" t="str">
        <f>IF(A57="","",_xll.BDH(config!$H$4,C$1,$A57,$A57))</f>
        <v>#N/A Requesting Data...</v>
      </c>
      <c r="D57" s="8" t="str">
        <f>IF($A57="","",_xll.BDH(config!$H$4,D$1,$A57,$A57))</f>
        <v>#N/A Requesting Data...</v>
      </c>
      <c r="E57" s="8">
        <f>IF($A57="","",IF(ISNUMBER(FIND("IMPVOL",E$1)),_xll.BDH(config!$G$4,E$1,WORKDAY($A57,-1,config_Holiday_Calendar_US),WORKDAY($A57,-1,config_Holiday_Calendar_US)),IF(ISNUMBER(_xll.BDH(config!$G$4,E$1,$A57,$A57)),_xll.BDH(config!$G$4,E$1,$A57,$A57),_xll.BDH(config!$G$5,E$1,$A57,$A57))))</f>
        <v>52.2</v>
      </c>
      <c r="F57" s="8">
        <f>IF($A57="","",IF(ISNUMBER(FIND("IMPVOL",F$1)),_xll.BDH(config!$G$4,F$1,WORKDAY($A57,-1,config_Holiday_Calendar_US),WORKDAY($A57,-1,config_Holiday_Calendar_US)),IF(ISNUMBER(_xll.BDH(config!$G$4,F$1,$A57,$A57)),_xll.BDH(config!$G$4,F$1,$A57,$A57),_xll.BDH(config!$G$5,F$1,$A57,$A57))))</f>
        <v>53.67</v>
      </c>
      <c r="G57" s="8">
        <f>IF($A57="","",IF(ISNUMBER(FIND("IMPVOL",G$1)),_xll.BDH(config!$G$4,G$1,WORKDAY($A57,-1,config_Holiday_Calendar_US),WORKDAY($A57,-1,config_Holiday_Calendar_US)),IF(ISNUMBER(_xll.BDH(config!$G$4,G$1,$A57,$A57)),_xll.BDH(config!$G$4,G$1,$A57,$A57),_xll.BDH(config!$G$5,G$1,$A57,$A57))))</f>
        <v>52.13</v>
      </c>
      <c r="H57" s="8">
        <f>IF($A57="","",IF(ISNUMBER(FIND("IMPVOL",H$1)),_xll.BDH(config!$G$4,H$1,WORKDAY($A57,-1,config_Holiday_Calendar_US),WORKDAY($A57,-1,config_Holiday_Calendar_US)),IF(ISNUMBER(_xll.BDH(config!$G$4,H$1,$A57,$A57)),_xll.BDH(config!$G$4,H$1,$A57,$A57),_xll.BDH(config!$G$5,H$1,$A57,$A57))))</f>
        <v>567231</v>
      </c>
      <c r="I57" s="8" t="str">
        <f>IF($A57="","",IF(ISNUMBER(FIND("IMPVOL",I$1)),_xll.BDH(config!$G$4,I$1,WORKDAY($A57,-1,config_Holiday_Calendar_US),WORKDAY($A57,-1,config_Holiday_Calendar_US)),IF(ISNUMBER(_xll.BDH(config!$G$4,I$1,$A57,$A57)),_xll.BDH(config!$G$4,I$1,$A57,$A57),_xll.BDH(config!$G$5,I$1,$A57,$A57))))</f>
        <v>#N/A Requesting Data...</v>
      </c>
      <c r="J57" s="8" t="str">
        <f>IF($A57="","",IF(ISNUMBER(FIND("IMPVOL",J$1)),_xll.BDH(config!$G$4,J$1,WORKDAY($A57,-1,config_Holiday_Calendar_US),WORKDAY($A57,-1,config_Holiday_Calendar_US)),IF(ISNUMBER(_xll.BDH(config!$G$4,J$1,$A57,$A57)),_xll.BDH(config!$G$4,J$1,$A57,$A57),_xll.BDH(config!$G$5,J$1,$A57,$A57))))</f>
        <v>#N/A Requesting Data...</v>
      </c>
      <c r="K57" s="8" t="str">
        <f>IF($A57="","",IF(ISNUMBER(FIND("IMPVOL",K$1)),_xll.BDH(config!$G$4,K$1,WORKDAY($A57,-1,config_Holiday_Calendar_US),WORKDAY($A57,-1,config_Holiday_Calendar_US)),IF(ISNUMBER(_xll.BDH(config!$G$4,K$1,$A57,$A57)),_xll.BDH(config!$G$4,K$1,$A57,$A57),_xll.BDH(config!$G$5,K$1,$A57,$A57))))</f>
        <v>#N/A Requesting Data...</v>
      </c>
      <c r="L57" s="8" t="str">
        <f>IF($A57="","",IF(ISNUMBER(FIND("IMPVOL",L$1)),_xll.BDH(config!$G$4,L$1,WORKDAY($A57,-1,config_Holiday_Calendar_US),WORKDAY($A57,-1,config_Holiday_Calendar_US)),IF(ISNUMBER(_xll.BDH(config!$G$4,L$1,$A57,$A57)),_xll.BDH(config!$G$4,L$1,$A57,$A57),_xll.BDH(config!$G$5,L$1,$A57,$A57))))</f>
        <v>#N/A Requesting Data...</v>
      </c>
      <c r="M57" s="8" t="str">
        <f>IF($A57="","",IF(ISNUMBER(FIND("IMPVOL",M$1)),_xll.BDH(config!$G$4,M$1,WORKDAY($A57,-1,config_Holiday_Calendar_US),WORKDAY($A57,-1,config_Holiday_Calendar_US)),IF(ISNUMBER(_xll.BDH(config!$G$4,M$1,$A57,$A57)),_xll.BDH(config!$G$4,M$1,$A57,$A57),_xll.BDH(config!$G$5,M$1,$A57,$A57))))</f>
        <v>#N/A Requesting Data...</v>
      </c>
      <c r="N57" s="8" t="str">
        <f>IF($A57="","",IF(ISNUMBER(FIND("IMPVOL",N$1)),_xll.BDH(config!$G$4,N$1,WORKDAY($A57,-1,config_Holiday_Calendar_US),WORKDAY($A57,-1,config_Holiday_Calendar_US)),IF(ISNUMBER(_xll.BDH(config!$G$4,N$1,$A57,$A57)),_xll.BDH(config!$G$4,N$1,$A57,$A57),_xll.BDH(config!$G$5,N$1,$A57,$A57))))</f>
        <v>#N/A Requesting Data...</v>
      </c>
      <c r="O57" s="8" t="str">
        <f>IF($A57="","",IF(ISNUMBER(FIND("IMPVOL",O$1)),_xll.BDH(config!$G$4,O$1,WORKDAY($A57,-1,config_Holiday_Calendar_US),WORKDAY($A57,-1,config_Holiday_Calendar_US)),IF(ISNUMBER(_xll.BDH(config!$G$4,O$1,$A57,$A57)),_xll.BDH(config!$G$4,O$1,$A57,$A57),_xll.BDH(config!$G$5,O$1,$A57,$A57))))</f>
        <v>#N/A Requesting Data...</v>
      </c>
      <c r="P57" s="8" t="str">
        <f>IF($A57="","",IF(ISNUMBER(FIND("IMPVOL",P$1)),_xll.BDH(config!$G$4,P$1,WORKDAY($A57,-1,config_Holiday_Calendar_US),WORKDAY($A57,-1,config_Holiday_Calendar_US)),IF(ISNUMBER(_xll.BDH(config!$G$4,P$1,$A57,$A57)),_xll.BDH(config!$G$4,P$1,$A57,$A57),_xll.BDH(config!$G$5,P$1,$A57,$A57))))</f>
        <v>#N/A Requesting Data...</v>
      </c>
      <c r="Q57" s="8">
        <f>IF($A57="","",IF(ISNUMBER(FIND("IMPVOL",Q$1)),_xll.BDH(config!$G$4,Q$1,WORKDAY($A57,-1,config_Holiday_Calendar_US),WORKDAY($A57,-1,config_Holiday_Calendar_US)),IF(ISNUMBER(_xll.BDH(config!$G$4,Q$1,$A57,$A57)),_xll.BDH(config!$G$4,Q$1,$A57,$A57),_xll.BDH(config!$G$5,Q$1,$A57,$A57))))</f>
        <v>35.909999999999997</v>
      </c>
      <c r="R57" s="8">
        <f>IF($A57="","",IF(ISNUMBER(FIND("IMPVOL",R$1)),_xll.BDH(config!$G$4,R$1,WORKDAY($A57,-1,config_Holiday_Calendar_US),WORKDAY($A57,-1,config_Holiday_Calendar_US)),IF(ISNUMBER(_xll.BDH(config!$G$4,R$1,$A57,$A57)),_xll.BDH(config!$G$4,R$1,$A57,$A57),_xll.BDH(config!$G$5,R$1,$A57,$A57))))</f>
        <v>27.37</v>
      </c>
      <c r="S57" s="8" t="str">
        <f>IF($A57="","",IF(ISNUMBER(FIND("IMPVOL",S$1)),_xll.BDH(config!$G$4,S$1,WORKDAY($A57,-1,config_Holiday_Calendar_US),WORKDAY($A57,-1,config_Holiday_Calendar_US)),IF(ISNUMBER(_xll.BDH(config!$G$4,S$1,$A57,$A57)),_xll.BDH(config!$G$4,S$1,$A57,$A57),_xll.BDH(config!$G$5,S$1,$A57,$A57))))</f>
        <v>#N/A Requesting Data...</v>
      </c>
      <c r="T57" s="8" t="str">
        <f>IF($A57="","",IF(ISNUMBER(FIND("IMPVOL",T$1)),_xll.BDH(config!$G$4,T$1,WORKDAY($A57,-1,config_Holiday_Calendar_US),WORKDAY($A57,-1,config_Holiday_Calendar_US)),IF(ISNUMBER(_xll.BDH(config!$G$4,T$1,$A57,$A57)),_xll.BDH(config!$G$4,T$1,$A57,$A57),_xll.BDH(config!$G$5,T$1,$A57,$A57))))</f>
        <v>#N/A Requesting Data...</v>
      </c>
      <c r="U57" s="8" t="str">
        <f>IF($A57="","",IF(ISNUMBER(FIND("IMPVOL",U$1)),_xll.BDH(config!$G$4,U$1,WORKDAY($A57,-1,config_Holiday_Calendar_US),WORKDAY($A57,-1,config_Holiday_Calendar_US)),IF(ISNUMBER(_xll.BDH(config!$G$4,U$1,$A57,$A57)),_xll.BDH(config!$G$4,U$1,$A57,$A57),_xll.BDH(config!$G$5,U$1,$A57,$A57))))</f>
        <v>#N/A Requesting Data...</v>
      </c>
      <c r="V57" s="8" t="str">
        <f>IF($A57="","",IF(ISNUMBER(FIND("IMPVOL",V$1)),_xll.BDH(config!$G$4,V$1,WORKDAY($A57,-1,config_Holiday_Calendar_US),WORKDAY($A57,-1,config_Holiday_Calendar_US)),IF(ISNUMBER(_xll.BDH(config!$G$4,V$1,$A57,$A57)),_xll.BDH(config!$G$4,V$1,$A57,$A57),_xll.BDH(config!$G$5,V$1,$A57,$A57))))</f>
        <v>#N/A Requesting Data...</v>
      </c>
      <c r="W57" s="8" t="str">
        <f>IF($A57="","",IF(ISNUMBER(FIND("IMPVOL",W$1)),_xll.BDH(config!$G$4,W$1,WORKDAY($A57,-1,config_Holiday_Calendar_US),WORKDAY($A57,-1,config_Holiday_Calendar_US)),IF(ISNUMBER(_xll.BDH(config!$G$4,W$1,$A57,$A57)),_xll.BDH(config!$G$4,W$1,$A57,$A57),_xll.BDH(config!$G$5,W$1,$A57,$A57))))</f>
        <v>#N/A Requesting Data...</v>
      </c>
    </row>
    <row r="58" spans="1:23" x14ac:dyDescent="0.2">
      <c r="A58" s="9">
        <f>IF(A57="","",IF(WORKDAY(A57,-1,config_Holiday_Calendar_US)&lt;config!$I$10,"",WORKDAY(A57,-1,config_Holiday_Calendar_US)))</f>
        <v>42754</v>
      </c>
      <c r="B58" s="8" t="e">
        <f t="shared" si="0"/>
        <v>#VALUE!</v>
      </c>
      <c r="C58" s="8" t="str">
        <f>IF(A58="","",_xll.BDH(config!$H$4,C$1,$A58,$A58))</f>
        <v>#N/A Requesting Data...</v>
      </c>
      <c r="D58" s="8" t="str">
        <f>IF($A58="","",_xll.BDH(config!$H$4,D$1,$A58,$A58))</f>
        <v>#N/A Requesting Data...</v>
      </c>
      <c r="E58" s="8">
        <f>IF($A58="","",IF(ISNUMBER(FIND("IMPVOL",E$1)),_xll.BDH(config!$G$4,E$1,WORKDAY($A58,-1,config_Holiday_Calendar_US),WORKDAY($A58,-1,config_Holiday_Calendar_US)),IF(ISNUMBER(_xll.BDH(config!$G$4,E$1,$A58,$A58)),_xll.BDH(config!$G$4,E$1,$A58,$A58),_xll.BDH(config!$G$5,E$1,$A58,$A58))))</f>
        <v>52.19</v>
      </c>
      <c r="F58" s="8">
        <f>IF($A58="","",IF(ISNUMBER(FIND("IMPVOL",F$1)),_xll.BDH(config!$G$4,F$1,WORKDAY($A58,-1,config_Holiday_Calendar_US),WORKDAY($A58,-1,config_Holiday_Calendar_US)),IF(ISNUMBER(_xll.BDH(config!$G$4,F$1,$A58,$A58)),_xll.BDH(config!$G$4,F$1,$A58,$A58),_xll.BDH(config!$G$5,F$1,$A58,$A58))))</f>
        <v>52.67</v>
      </c>
      <c r="G58" s="8">
        <f>IF($A58="","",IF(ISNUMBER(FIND("IMPVOL",G$1)),_xll.BDH(config!$G$4,G$1,WORKDAY($A58,-1,config_Holiday_Calendar_US),WORKDAY($A58,-1,config_Holiday_Calendar_US)),IF(ISNUMBER(_xll.BDH(config!$G$4,G$1,$A58,$A58)),_xll.BDH(config!$G$4,G$1,$A58,$A58),_xll.BDH(config!$G$5,G$1,$A58,$A58))))</f>
        <v>51.81</v>
      </c>
      <c r="H58" s="8">
        <f>IF($A58="","",IF(ISNUMBER(FIND("IMPVOL",H$1)),_xll.BDH(config!$G$4,H$1,WORKDAY($A58,-1,config_Holiday_Calendar_US),WORKDAY($A58,-1,config_Holiday_Calendar_US)),IF(ISNUMBER(_xll.BDH(config!$G$4,H$1,$A58,$A58)),_xll.BDH(config!$G$4,H$1,$A58,$A58),_xll.BDH(config!$G$5,H$1,$A58,$A58))))</f>
        <v>577762</v>
      </c>
      <c r="I58" s="8" t="str">
        <f>IF($A58="","",IF(ISNUMBER(FIND("IMPVOL",I$1)),_xll.BDH(config!$G$4,I$1,WORKDAY($A58,-1,config_Holiday_Calendar_US),WORKDAY($A58,-1,config_Holiday_Calendar_US)),IF(ISNUMBER(_xll.BDH(config!$G$4,I$1,$A58,$A58)),_xll.BDH(config!$G$4,I$1,$A58,$A58),_xll.BDH(config!$G$5,I$1,$A58,$A58))))</f>
        <v>#N/A Requesting Data...</v>
      </c>
      <c r="J58" s="8" t="str">
        <f>IF($A58="","",IF(ISNUMBER(FIND("IMPVOL",J$1)),_xll.BDH(config!$G$4,J$1,WORKDAY($A58,-1,config_Holiday_Calendar_US),WORKDAY($A58,-1,config_Holiday_Calendar_US)),IF(ISNUMBER(_xll.BDH(config!$G$4,J$1,$A58,$A58)),_xll.BDH(config!$G$4,J$1,$A58,$A58),_xll.BDH(config!$G$5,J$1,$A58,$A58))))</f>
        <v>#N/A Requesting Data...</v>
      </c>
      <c r="K58" s="8" t="str">
        <f>IF($A58="","",IF(ISNUMBER(FIND("IMPVOL",K$1)),_xll.BDH(config!$G$4,K$1,WORKDAY($A58,-1,config_Holiday_Calendar_US),WORKDAY($A58,-1,config_Holiday_Calendar_US)),IF(ISNUMBER(_xll.BDH(config!$G$4,K$1,$A58,$A58)),_xll.BDH(config!$G$4,K$1,$A58,$A58),_xll.BDH(config!$G$5,K$1,$A58,$A58))))</f>
        <v>#N/A Requesting Data...</v>
      </c>
      <c r="L58" s="8" t="str">
        <f>IF($A58="","",IF(ISNUMBER(FIND("IMPVOL",L$1)),_xll.BDH(config!$G$4,L$1,WORKDAY($A58,-1,config_Holiday_Calendar_US),WORKDAY($A58,-1,config_Holiday_Calendar_US)),IF(ISNUMBER(_xll.BDH(config!$G$4,L$1,$A58,$A58)),_xll.BDH(config!$G$4,L$1,$A58,$A58),_xll.BDH(config!$G$5,L$1,$A58,$A58))))</f>
        <v>#N/A Requesting Data...</v>
      </c>
      <c r="M58" s="8" t="str">
        <f>IF($A58="","",IF(ISNUMBER(FIND("IMPVOL",M$1)),_xll.BDH(config!$G$4,M$1,WORKDAY($A58,-1,config_Holiday_Calendar_US),WORKDAY($A58,-1,config_Holiday_Calendar_US)),IF(ISNUMBER(_xll.BDH(config!$G$4,M$1,$A58,$A58)),_xll.BDH(config!$G$4,M$1,$A58,$A58),_xll.BDH(config!$G$5,M$1,$A58,$A58))))</f>
        <v>#N/A Requesting Data...</v>
      </c>
      <c r="N58" s="8" t="str">
        <f>IF($A58="","",IF(ISNUMBER(FIND("IMPVOL",N$1)),_xll.BDH(config!$G$4,N$1,WORKDAY($A58,-1,config_Holiday_Calendar_US),WORKDAY($A58,-1,config_Holiday_Calendar_US)),IF(ISNUMBER(_xll.BDH(config!$G$4,N$1,$A58,$A58)),_xll.BDH(config!$G$4,N$1,$A58,$A58),_xll.BDH(config!$G$5,N$1,$A58,$A58))))</f>
        <v>#N/A Requesting Data...</v>
      </c>
      <c r="O58" s="8" t="str">
        <f>IF($A58="","",IF(ISNUMBER(FIND("IMPVOL",O$1)),_xll.BDH(config!$G$4,O$1,WORKDAY($A58,-1,config_Holiday_Calendar_US),WORKDAY($A58,-1,config_Holiday_Calendar_US)),IF(ISNUMBER(_xll.BDH(config!$G$4,O$1,$A58,$A58)),_xll.BDH(config!$G$4,O$1,$A58,$A58),_xll.BDH(config!$G$5,O$1,$A58,$A58))))</f>
        <v>#N/A Requesting Data...</v>
      </c>
      <c r="P58" s="8" t="str">
        <f>IF($A58="","",IF(ISNUMBER(FIND("IMPVOL",P$1)),_xll.BDH(config!$G$4,P$1,WORKDAY($A58,-1,config_Holiday_Calendar_US),WORKDAY($A58,-1,config_Holiday_Calendar_US)),IF(ISNUMBER(_xll.BDH(config!$G$4,P$1,$A58,$A58)),_xll.BDH(config!$G$4,P$1,$A58,$A58),_xll.BDH(config!$G$5,P$1,$A58,$A58))))</f>
        <v>#N/A Requesting Data...</v>
      </c>
      <c r="Q58" s="8">
        <f>IF($A58="","",IF(ISNUMBER(FIND("IMPVOL",Q$1)),_xll.BDH(config!$G$4,Q$1,WORKDAY($A58,-1,config_Holiday_Calendar_US),WORKDAY($A58,-1,config_Holiday_Calendar_US)),IF(ISNUMBER(_xll.BDH(config!$G$4,Q$1,$A58,$A58)),_xll.BDH(config!$G$4,Q$1,$A58,$A58),_xll.BDH(config!$G$5,Q$1,$A58,$A58))))</f>
        <v>33.200000000000003</v>
      </c>
      <c r="R58" s="8">
        <f>IF($A58="","",IF(ISNUMBER(FIND("IMPVOL",R$1)),_xll.BDH(config!$G$4,R$1,WORKDAY($A58,-1,config_Holiday_Calendar_US),WORKDAY($A58,-1,config_Holiday_Calendar_US)),IF(ISNUMBER(_xll.BDH(config!$G$4,R$1,$A58,$A58)),_xll.BDH(config!$G$4,R$1,$A58,$A58),_xll.BDH(config!$G$5,R$1,$A58,$A58))))</f>
        <v>27.42</v>
      </c>
      <c r="S58" s="8" t="str">
        <f>IF($A58="","",IF(ISNUMBER(FIND("IMPVOL",S$1)),_xll.BDH(config!$G$4,S$1,WORKDAY($A58,-1,config_Holiday_Calendar_US),WORKDAY($A58,-1,config_Holiday_Calendar_US)),IF(ISNUMBER(_xll.BDH(config!$G$4,S$1,$A58,$A58)),_xll.BDH(config!$G$4,S$1,$A58,$A58),_xll.BDH(config!$G$5,S$1,$A58,$A58))))</f>
        <v>#N/A Requesting Data...</v>
      </c>
      <c r="T58" s="8" t="str">
        <f>IF($A58="","",IF(ISNUMBER(FIND("IMPVOL",T$1)),_xll.BDH(config!$G$4,T$1,WORKDAY($A58,-1,config_Holiday_Calendar_US),WORKDAY($A58,-1,config_Holiday_Calendar_US)),IF(ISNUMBER(_xll.BDH(config!$G$4,T$1,$A58,$A58)),_xll.BDH(config!$G$4,T$1,$A58,$A58),_xll.BDH(config!$G$5,T$1,$A58,$A58))))</f>
        <v>#N/A Requesting Data...</v>
      </c>
      <c r="U58" s="8" t="str">
        <f>IF($A58="","",IF(ISNUMBER(FIND("IMPVOL",U$1)),_xll.BDH(config!$G$4,U$1,WORKDAY($A58,-1,config_Holiday_Calendar_US),WORKDAY($A58,-1,config_Holiday_Calendar_US)),IF(ISNUMBER(_xll.BDH(config!$G$4,U$1,$A58,$A58)),_xll.BDH(config!$G$4,U$1,$A58,$A58),_xll.BDH(config!$G$5,U$1,$A58,$A58))))</f>
        <v>#N/A Requesting Data...</v>
      </c>
      <c r="V58" s="8" t="str">
        <f>IF($A58="","",IF(ISNUMBER(FIND("IMPVOL",V$1)),_xll.BDH(config!$G$4,V$1,WORKDAY($A58,-1,config_Holiday_Calendar_US),WORKDAY($A58,-1,config_Holiday_Calendar_US)),IF(ISNUMBER(_xll.BDH(config!$G$4,V$1,$A58,$A58)),_xll.BDH(config!$G$4,V$1,$A58,$A58),_xll.BDH(config!$G$5,V$1,$A58,$A58))))</f>
        <v>#N/A Requesting Data...</v>
      </c>
      <c r="W58" s="8" t="str">
        <f>IF($A58="","",IF(ISNUMBER(FIND("IMPVOL",W$1)),_xll.BDH(config!$G$4,W$1,WORKDAY($A58,-1,config_Holiday_Calendar_US),WORKDAY($A58,-1,config_Holiday_Calendar_US)),IF(ISNUMBER(_xll.BDH(config!$G$4,W$1,$A58,$A58)),_xll.BDH(config!$G$4,W$1,$A58,$A58),_xll.BDH(config!$G$5,W$1,$A58,$A58))))</f>
        <v>#N/A Requesting Data...</v>
      </c>
    </row>
    <row r="59" spans="1:23" x14ac:dyDescent="0.2">
      <c r="A59" s="9">
        <f>IF(A58="","",IF(WORKDAY(A58,-1,config_Holiday_Calendar_US)&lt;config!$I$10,"",WORKDAY(A58,-1,config_Holiday_Calendar_US)))</f>
        <v>42753</v>
      </c>
      <c r="B59" s="8" t="e">
        <f t="shared" si="0"/>
        <v>#VALUE!</v>
      </c>
      <c r="C59" s="8" t="str">
        <f>IF(A59="","",_xll.BDH(config!$H$4,C$1,$A59,$A59))</f>
        <v>#N/A Requesting Data...</v>
      </c>
      <c r="D59" s="8" t="str">
        <f>IF($A59="","",_xll.BDH(config!$H$4,D$1,$A59,$A59))</f>
        <v>#N/A Requesting Data...</v>
      </c>
      <c r="E59" s="8">
        <f>IF($A59="","",IF(ISNUMBER(FIND("IMPVOL",E$1)),_xll.BDH(config!$G$4,E$1,WORKDAY($A59,-1,config_Holiday_Calendar_US),WORKDAY($A59,-1,config_Holiday_Calendar_US)),IF(ISNUMBER(_xll.BDH(config!$G$4,E$1,$A59,$A59)),_xll.BDH(config!$G$4,E$1,$A59,$A59),_xll.BDH(config!$G$5,E$1,$A59,$A59))))</f>
        <v>53.33</v>
      </c>
      <c r="F59" s="8">
        <f>IF($A59="","",IF(ISNUMBER(FIND("IMPVOL",F$1)),_xll.BDH(config!$G$4,F$1,WORKDAY($A59,-1,config_Holiday_Calendar_US),WORKDAY($A59,-1,config_Holiday_Calendar_US)),IF(ISNUMBER(_xll.BDH(config!$G$4,F$1,$A59,$A59)),_xll.BDH(config!$G$4,F$1,$A59,$A59),_xll.BDH(config!$G$5,F$1,$A59,$A59))))</f>
        <v>53.61</v>
      </c>
      <c r="G59" s="8">
        <f>IF($A59="","",IF(ISNUMBER(FIND("IMPVOL",G$1)),_xll.BDH(config!$G$4,G$1,WORKDAY($A59,-1,config_Holiday_Calendar_US),WORKDAY($A59,-1,config_Holiday_Calendar_US)),IF(ISNUMBER(_xll.BDH(config!$G$4,G$1,$A59,$A59)),_xll.BDH(config!$G$4,G$1,$A59,$A59),_xll.BDH(config!$G$5,G$1,$A59,$A59))))</f>
        <v>51.72</v>
      </c>
      <c r="H59" s="8">
        <f>IF($A59="","",IF(ISNUMBER(FIND("IMPVOL",H$1)),_xll.BDH(config!$G$4,H$1,WORKDAY($A59,-1,config_Holiday_Calendar_US),WORKDAY($A59,-1,config_Holiday_Calendar_US)),IF(ISNUMBER(_xll.BDH(config!$G$4,H$1,$A59,$A59)),_xll.BDH(config!$G$4,H$1,$A59,$A59),_xll.BDH(config!$G$5,H$1,$A59,$A59))))</f>
        <v>559512</v>
      </c>
      <c r="I59" s="8" t="str">
        <f>IF($A59="","",IF(ISNUMBER(FIND("IMPVOL",I$1)),_xll.BDH(config!$G$4,I$1,WORKDAY($A59,-1,config_Holiday_Calendar_US),WORKDAY($A59,-1,config_Holiday_Calendar_US)),IF(ISNUMBER(_xll.BDH(config!$G$4,I$1,$A59,$A59)),_xll.BDH(config!$G$4,I$1,$A59,$A59),_xll.BDH(config!$G$5,I$1,$A59,$A59))))</f>
        <v>#N/A Requesting Data...</v>
      </c>
      <c r="J59" s="8" t="str">
        <f>IF($A59="","",IF(ISNUMBER(FIND("IMPVOL",J$1)),_xll.BDH(config!$G$4,J$1,WORKDAY($A59,-1,config_Holiday_Calendar_US),WORKDAY($A59,-1,config_Holiday_Calendar_US)),IF(ISNUMBER(_xll.BDH(config!$G$4,J$1,$A59,$A59)),_xll.BDH(config!$G$4,J$1,$A59,$A59),_xll.BDH(config!$G$5,J$1,$A59,$A59))))</f>
        <v>#N/A Requesting Data...</v>
      </c>
      <c r="K59" s="8" t="str">
        <f>IF($A59="","",IF(ISNUMBER(FIND("IMPVOL",K$1)),_xll.BDH(config!$G$4,K$1,WORKDAY($A59,-1,config_Holiday_Calendar_US),WORKDAY($A59,-1,config_Holiday_Calendar_US)),IF(ISNUMBER(_xll.BDH(config!$G$4,K$1,$A59,$A59)),_xll.BDH(config!$G$4,K$1,$A59,$A59),_xll.BDH(config!$G$5,K$1,$A59,$A59))))</f>
        <v>#N/A Requesting Data...</v>
      </c>
      <c r="L59" s="8" t="str">
        <f>IF($A59="","",IF(ISNUMBER(FIND("IMPVOL",L$1)),_xll.BDH(config!$G$4,L$1,WORKDAY($A59,-1,config_Holiday_Calendar_US),WORKDAY($A59,-1,config_Holiday_Calendar_US)),IF(ISNUMBER(_xll.BDH(config!$G$4,L$1,$A59,$A59)),_xll.BDH(config!$G$4,L$1,$A59,$A59),_xll.BDH(config!$G$5,L$1,$A59,$A59))))</f>
        <v>#N/A Requesting Data...</v>
      </c>
      <c r="M59" s="8" t="str">
        <f>IF($A59="","",IF(ISNUMBER(FIND("IMPVOL",M$1)),_xll.BDH(config!$G$4,M$1,WORKDAY($A59,-1,config_Holiday_Calendar_US),WORKDAY($A59,-1,config_Holiday_Calendar_US)),IF(ISNUMBER(_xll.BDH(config!$G$4,M$1,$A59,$A59)),_xll.BDH(config!$G$4,M$1,$A59,$A59),_xll.BDH(config!$G$5,M$1,$A59,$A59))))</f>
        <v>#N/A Requesting Data...</v>
      </c>
      <c r="N59" s="8" t="str">
        <f>IF($A59="","",IF(ISNUMBER(FIND("IMPVOL",N$1)),_xll.BDH(config!$G$4,N$1,WORKDAY($A59,-1,config_Holiday_Calendar_US),WORKDAY($A59,-1,config_Holiday_Calendar_US)),IF(ISNUMBER(_xll.BDH(config!$G$4,N$1,$A59,$A59)),_xll.BDH(config!$G$4,N$1,$A59,$A59),_xll.BDH(config!$G$5,N$1,$A59,$A59))))</f>
        <v>#N/A Requesting Data...</v>
      </c>
      <c r="O59" s="8" t="str">
        <f>IF($A59="","",IF(ISNUMBER(FIND("IMPVOL",O$1)),_xll.BDH(config!$G$4,O$1,WORKDAY($A59,-1,config_Holiday_Calendar_US),WORKDAY($A59,-1,config_Holiday_Calendar_US)),IF(ISNUMBER(_xll.BDH(config!$G$4,O$1,$A59,$A59)),_xll.BDH(config!$G$4,O$1,$A59,$A59),_xll.BDH(config!$G$5,O$1,$A59,$A59))))</f>
        <v>#N/A Requesting Data...</v>
      </c>
      <c r="P59" s="8" t="str">
        <f>IF($A59="","",IF(ISNUMBER(FIND("IMPVOL",P$1)),_xll.BDH(config!$G$4,P$1,WORKDAY($A59,-1,config_Holiday_Calendar_US),WORKDAY($A59,-1,config_Holiday_Calendar_US)),IF(ISNUMBER(_xll.BDH(config!$G$4,P$1,$A59,$A59)),_xll.BDH(config!$G$4,P$1,$A59,$A59),_xll.BDH(config!$G$5,P$1,$A59,$A59))))</f>
        <v>#N/A Requesting Data...</v>
      </c>
      <c r="Q59" s="8">
        <f>IF($A59="","",IF(ISNUMBER(FIND("IMPVOL",Q$1)),_xll.BDH(config!$G$4,Q$1,WORKDAY($A59,-1,config_Holiday_Calendar_US),WORKDAY($A59,-1,config_Holiday_Calendar_US)),IF(ISNUMBER(_xll.BDH(config!$G$4,Q$1,$A59,$A59)),_xll.BDH(config!$G$4,Q$1,$A59,$A59),_xll.BDH(config!$G$5,Q$1,$A59,$A59))))</f>
        <v>33.659999999999997</v>
      </c>
      <c r="R59" s="8">
        <f>IF($A59="","",IF(ISNUMBER(FIND("IMPVOL",R$1)),_xll.BDH(config!$G$4,R$1,WORKDAY($A59,-1,config_Holiday_Calendar_US),WORKDAY($A59,-1,config_Holiday_Calendar_US)),IF(ISNUMBER(_xll.BDH(config!$G$4,R$1,$A59,$A59)),_xll.BDH(config!$G$4,R$1,$A59,$A59),_xll.BDH(config!$G$5,R$1,$A59,$A59))))</f>
        <v>27.82</v>
      </c>
      <c r="S59" s="8" t="str">
        <f>IF($A59="","",IF(ISNUMBER(FIND("IMPVOL",S$1)),_xll.BDH(config!$G$4,S$1,WORKDAY($A59,-1,config_Holiday_Calendar_US),WORKDAY($A59,-1,config_Holiday_Calendar_US)),IF(ISNUMBER(_xll.BDH(config!$G$4,S$1,$A59,$A59)),_xll.BDH(config!$G$4,S$1,$A59,$A59),_xll.BDH(config!$G$5,S$1,$A59,$A59))))</f>
        <v>#N/A Requesting Data...</v>
      </c>
      <c r="T59" s="8" t="str">
        <f>IF($A59="","",IF(ISNUMBER(FIND("IMPVOL",T$1)),_xll.BDH(config!$G$4,T$1,WORKDAY($A59,-1,config_Holiday_Calendar_US),WORKDAY($A59,-1,config_Holiday_Calendar_US)),IF(ISNUMBER(_xll.BDH(config!$G$4,T$1,$A59,$A59)),_xll.BDH(config!$G$4,T$1,$A59,$A59),_xll.BDH(config!$G$5,T$1,$A59,$A59))))</f>
        <v>#N/A Requesting Data...</v>
      </c>
      <c r="U59" s="8" t="str">
        <f>IF($A59="","",IF(ISNUMBER(FIND("IMPVOL",U$1)),_xll.BDH(config!$G$4,U$1,WORKDAY($A59,-1,config_Holiday_Calendar_US),WORKDAY($A59,-1,config_Holiday_Calendar_US)),IF(ISNUMBER(_xll.BDH(config!$G$4,U$1,$A59,$A59)),_xll.BDH(config!$G$4,U$1,$A59,$A59),_xll.BDH(config!$G$5,U$1,$A59,$A59))))</f>
        <v>#N/A Requesting Data...</v>
      </c>
      <c r="V59" s="8" t="str">
        <f>IF($A59="","",IF(ISNUMBER(FIND("IMPVOL",V$1)),_xll.BDH(config!$G$4,V$1,WORKDAY($A59,-1,config_Holiday_Calendar_US),WORKDAY($A59,-1,config_Holiday_Calendar_US)),IF(ISNUMBER(_xll.BDH(config!$G$4,V$1,$A59,$A59)),_xll.BDH(config!$G$4,V$1,$A59,$A59),_xll.BDH(config!$G$5,V$1,$A59,$A59))))</f>
        <v>#N/A Requesting Data...</v>
      </c>
      <c r="W59" s="8" t="str">
        <f>IF($A59="","",IF(ISNUMBER(FIND("IMPVOL",W$1)),_xll.BDH(config!$G$4,W$1,WORKDAY($A59,-1,config_Holiday_Calendar_US),WORKDAY($A59,-1,config_Holiday_Calendar_US)),IF(ISNUMBER(_xll.BDH(config!$G$4,W$1,$A59,$A59)),_xll.BDH(config!$G$4,W$1,$A59,$A59),_xll.BDH(config!$G$5,W$1,$A59,$A59))))</f>
        <v>#N/A Requesting Data...</v>
      </c>
    </row>
    <row r="60" spans="1:23" x14ac:dyDescent="0.2">
      <c r="A60" s="9">
        <f>IF(A59="","",IF(WORKDAY(A59,-1,config_Holiday_Calendar_US)&lt;config!$I$10,"",WORKDAY(A59,-1,config_Holiday_Calendar_US)))</f>
        <v>42752</v>
      </c>
      <c r="B60" s="8" t="e">
        <f t="shared" si="0"/>
        <v>#VALUE!</v>
      </c>
      <c r="C60" s="8" t="str">
        <f>IF(A60="","",_xll.BDH(config!$H$4,C$1,$A60,$A60))</f>
        <v>#N/A Requesting Data...</v>
      </c>
      <c r="D60" s="8" t="str">
        <f>IF($A60="","",_xll.BDH(config!$H$4,D$1,$A60,$A60))</f>
        <v>#N/A Requesting Data...</v>
      </c>
      <c r="E60" s="8">
        <f>IF($A60="","",IF(ISNUMBER(FIND("IMPVOL",E$1)),_xll.BDH(config!$G$4,E$1,WORKDAY($A60,-1,config_Holiday_Calendar_US),WORKDAY($A60,-1,config_Holiday_Calendar_US)),IF(ISNUMBER(_xll.BDH(config!$G$4,E$1,$A60,$A60)),_xll.BDH(config!$G$4,E$1,$A60,$A60),_xll.BDH(config!$G$5,E$1,$A60,$A60))))</f>
        <v>53.31</v>
      </c>
      <c r="F60" s="8">
        <f>IF($A60="","",IF(ISNUMBER(FIND("IMPVOL",F$1)),_xll.BDH(config!$G$4,F$1,WORKDAY($A60,-1,config_Holiday_Calendar_US),WORKDAY($A60,-1,config_Holiday_Calendar_US)),IF(ISNUMBER(_xll.BDH(config!$G$4,F$1,$A60,$A60)),_xll.BDH(config!$G$4,F$1,$A60,$A60),_xll.BDH(config!$G$5,F$1,$A60,$A60))))</f>
        <v>54.32</v>
      </c>
      <c r="G60" s="8">
        <f>IF($A60="","",IF(ISNUMBER(FIND("IMPVOL",G$1)),_xll.BDH(config!$G$4,G$1,WORKDAY($A60,-1,config_Holiday_Calendar_US),WORKDAY($A60,-1,config_Holiday_Calendar_US)),IF(ISNUMBER(_xll.BDH(config!$G$4,G$1,$A60,$A60)),_xll.BDH(config!$G$4,G$1,$A60,$A60),_xll.BDH(config!$G$5,G$1,$A60,$A60))))</f>
        <v>52.9</v>
      </c>
      <c r="H60" s="8">
        <f>IF($A60="","",IF(ISNUMBER(FIND("IMPVOL",H$1)),_xll.BDH(config!$G$4,H$1,WORKDAY($A60,-1,config_Holiday_Calendar_US),WORKDAY($A60,-1,config_Holiday_Calendar_US)),IF(ISNUMBER(_xll.BDH(config!$G$4,H$1,$A60,$A60)),_xll.BDH(config!$G$4,H$1,$A60,$A60),_xll.BDH(config!$G$5,H$1,$A60,$A60))))</f>
        <v>424660</v>
      </c>
      <c r="I60" s="8" t="str">
        <f>IF($A60="","",IF(ISNUMBER(FIND("IMPVOL",I$1)),_xll.BDH(config!$G$4,I$1,WORKDAY($A60,-1,config_Holiday_Calendar_US),WORKDAY($A60,-1,config_Holiday_Calendar_US)),IF(ISNUMBER(_xll.BDH(config!$G$4,I$1,$A60,$A60)),_xll.BDH(config!$G$4,I$1,$A60,$A60),_xll.BDH(config!$G$5,I$1,$A60,$A60))))</f>
        <v>#N/A Requesting Data...</v>
      </c>
      <c r="J60" s="8" t="str">
        <f>IF($A60="","",IF(ISNUMBER(FIND("IMPVOL",J$1)),_xll.BDH(config!$G$4,J$1,WORKDAY($A60,-1,config_Holiday_Calendar_US),WORKDAY($A60,-1,config_Holiday_Calendar_US)),IF(ISNUMBER(_xll.BDH(config!$G$4,J$1,$A60,$A60)),_xll.BDH(config!$G$4,J$1,$A60,$A60),_xll.BDH(config!$G$5,J$1,$A60,$A60))))</f>
        <v>#N/A Requesting Data...</v>
      </c>
      <c r="K60" s="8" t="str">
        <f>IF($A60="","",IF(ISNUMBER(FIND("IMPVOL",K$1)),_xll.BDH(config!$G$4,K$1,WORKDAY($A60,-1,config_Holiday_Calendar_US),WORKDAY($A60,-1,config_Holiday_Calendar_US)),IF(ISNUMBER(_xll.BDH(config!$G$4,K$1,$A60,$A60)),_xll.BDH(config!$G$4,K$1,$A60,$A60),_xll.BDH(config!$G$5,K$1,$A60,$A60))))</f>
        <v>#N/A Requesting Data...</v>
      </c>
      <c r="L60" s="8" t="str">
        <f>IF($A60="","",IF(ISNUMBER(FIND("IMPVOL",L$1)),_xll.BDH(config!$G$4,L$1,WORKDAY($A60,-1,config_Holiday_Calendar_US),WORKDAY($A60,-1,config_Holiday_Calendar_US)),IF(ISNUMBER(_xll.BDH(config!$G$4,L$1,$A60,$A60)),_xll.BDH(config!$G$4,L$1,$A60,$A60),_xll.BDH(config!$G$5,L$1,$A60,$A60))))</f>
        <v>#N/A Requesting Data...</v>
      </c>
      <c r="M60" s="8" t="str">
        <f>IF($A60="","",IF(ISNUMBER(FIND("IMPVOL",M$1)),_xll.BDH(config!$G$4,M$1,WORKDAY($A60,-1,config_Holiday_Calendar_US),WORKDAY($A60,-1,config_Holiday_Calendar_US)),IF(ISNUMBER(_xll.BDH(config!$G$4,M$1,$A60,$A60)),_xll.BDH(config!$G$4,M$1,$A60,$A60),_xll.BDH(config!$G$5,M$1,$A60,$A60))))</f>
        <v>#N/A Requesting Data...</v>
      </c>
      <c r="N60" s="8" t="str">
        <f>IF($A60="","",IF(ISNUMBER(FIND("IMPVOL",N$1)),_xll.BDH(config!$G$4,N$1,WORKDAY($A60,-1,config_Holiday_Calendar_US),WORKDAY($A60,-1,config_Holiday_Calendar_US)),IF(ISNUMBER(_xll.BDH(config!$G$4,N$1,$A60,$A60)),_xll.BDH(config!$G$4,N$1,$A60,$A60),_xll.BDH(config!$G$5,N$1,$A60,$A60))))</f>
        <v>#N/A Requesting Data...</v>
      </c>
      <c r="O60" s="8" t="str">
        <f>IF($A60="","",IF(ISNUMBER(FIND("IMPVOL",O$1)),_xll.BDH(config!$G$4,O$1,WORKDAY($A60,-1,config_Holiday_Calendar_US),WORKDAY($A60,-1,config_Holiday_Calendar_US)),IF(ISNUMBER(_xll.BDH(config!$G$4,O$1,$A60,$A60)),_xll.BDH(config!$G$4,O$1,$A60,$A60),_xll.BDH(config!$G$5,O$1,$A60,$A60))))</f>
        <v>#N/A Requesting Data...</v>
      </c>
      <c r="P60" s="8" t="str">
        <f>IF($A60="","",IF(ISNUMBER(FIND("IMPVOL",P$1)),_xll.BDH(config!$G$4,P$1,WORKDAY($A60,-1,config_Holiday_Calendar_US),WORKDAY($A60,-1,config_Holiday_Calendar_US)),IF(ISNUMBER(_xll.BDH(config!$G$4,P$1,$A60,$A60)),_xll.BDH(config!$G$4,P$1,$A60,$A60),_xll.BDH(config!$G$5,P$1,$A60,$A60))))</f>
        <v>#N/A Requesting Data...</v>
      </c>
      <c r="Q60" s="8">
        <f>IF($A60="","",IF(ISNUMBER(FIND("IMPVOL",Q$1)),_xll.BDH(config!$G$4,Q$1,WORKDAY($A60,-1,config_Holiday_Calendar_US),WORKDAY($A60,-1,config_Holiday_Calendar_US)),IF(ISNUMBER(_xll.BDH(config!$G$4,Q$1,$A60,$A60)),_xll.BDH(config!$G$4,Q$1,$A60,$A60),_xll.BDH(config!$G$5,Q$1,$A60,$A60))))</f>
        <v>32.85</v>
      </c>
      <c r="R60" s="8">
        <f>IF($A60="","",IF(ISNUMBER(FIND("IMPVOL",R$1)),_xll.BDH(config!$G$4,R$1,WORKDAY($A60,-1,config_Holiday_Calendar_US),WORKDAY($A60,-1,config_Holiday_Calendar_US)),IF(ISNUMBER(_xll.BDH(config!$G$4,R$1,$A60,$A60)),_xll.BDH(config!$G$4,R$1,$A60,$A60),_xll.BDH(config!$G$5,R$1,$A60,$A60))))</f>
        <v>26.7</v>
      </c>
      <c r="S60" s="8" t="str">
        <f>IF($A60="","",IF(ISNUMBER(FIND("IMPVOL",S$1)),_xll.BDH(config!$G$4,S$1,WORKDAY($A60,-1,config_Holiday_Calendar_US),WORKDAY($A60,-1,config_Holiday_Calendar_US)),IF(ISNUMBER(_xll.BDH(config!$G$4,S$1,$A60,$A60)),_xll.BDH(config!$G$4,S$1,$A60,$A60),_xll.BDH(config!$G$5,S$1,$A60,$A60))))</f>
        <v>#N/A Requesting Data...</v>
      </c>
      <c r="T60" s="8" t="str">
        <f>IF($A60="","",IF(ISNUMBER(FIND("IMPVOL",T$1)),_xll.BDH(config!$G$4,T$1,WORKDAY($A60,-1,config_Holiday_Calendar_US),WORKDAY($A60,-1,config_Holiday_Calendar_US)),IF(ISNUMBER(_xll.BDH(config!$G$4,T$1,$A60,$A60)),_xll.BDH(config!$G$4,T$1,$A60,$A60),_xll.BDH(config!$G$5,T$1,$A60,$A60))))</f>
        <v>#N/A Requesting Data...</v>
      </c>
      <c r="U60" s="8" t="str">
        <f>IF($A60="","",IF(ISNUMBER(FIND("IMPVOL",U$1)),_xll.BDH(config!$G$4,U$1,WORKDAY($A60,-1,config_Holiday_Calendar_US),WORKDAY($A60,-1,config_Holiday_Calendar_US)),IF(ISNUMBER(_xll.BDH(config!$G$4,U$1,$A60,$A60)),_xll.BDH(config!$G$4,U$1,$A60,$A60),_xll.BDH(config!$G$5,U$1,$A60,$A60))))</f>
        <v>#N/A Requesting Data...</v>
      </c>
      <c r="V60" s="8" t="str">
        <f>IF($A60="","",IF(ISNUMBER(FIND("IMPVOL",V$1)),_xll.BDH(config!$G$4,V$1,WORKDAY($A60,-1,config_Holiday_Calendar_US),WORKDAY($A60,-1,config_Holiday_Calendar_US)),IF(ISNUMBER(_xll.BDH(config!$G$4,V$1,$A60,$A60)),_xll.BDH(config!$G$4,V$1,$A60,$A60),_xll.BDH(config!$G$5,V$1,$A60,$A60))))</f>
        <v>#N/A Requesting Data...</v>
      </c>
      <c r="W60" s="8" t="str">
        <f>IF($A60="","",IF(ISNUMBER(FIND("IMPVOL",W$1)),_xll.BDH(config!$G$4,W$1,WORKDAY($A60,-1,config_Holiday_Calendar_US),WORKDAY($A60,-1,config_Holiday_Calendar_US)),IF(ISNUMBER(_xll.BDH(config!$G$4,W$1,$A60,$A60)),_xll.BDH(config!$G$4,W$1,$A60,$A60),_xll.BDH(config!$G$5,W$1,$A60,$A60))))</f>
        <v>#N/A Requesting Data...</v>
      </c>
    </row>
    <row r="61" spans="1:23" x14ac:dyDescent="0.2">
      <c r="A61" s="9">
        <f>IF(A60="","",IF(WORKDAY(A60,-1,config_Holiday_Calendar_US)&lt;config!$I$10,"",WORKDAY(A60,-1,config_Holiday_Calendar_US)))</f>
        <v>42748</v>
      </c>
      <c r="B61" s="8" t="e">
        <f t="shared" si="0"/>
        <v>#VALUE!</v>
      </c>
      <c r="C61" s="8" t="str">
        <f>IF(A61="","",_xll.BDH(config!$H$4,C$1,$A61,$A61))</f>
        <v>#N/A Requesting Data...</v>
      </c>
      <c r="D61" s="8" t="str">
        <f>IF($A61="","",_xll.BDH(config!$H$4,D$1,$A61,$A61))</f>
        <v>#N/A Requesting Data...</v>
      </c>
      <c r="E61" s="8">
        <f>IF($A61="","",IF(ISNUMBER(FIND("IMPVOL",E$1)),_xll.BDH(config!$G$4,E$1,WORKDAY($A61,-1,config_Holiday_Calendar_US),WORKDAY($A61,-1,config_Holiday_Calendar_US)),IF(ISNUMBER(_xll.BDH(config!$G$4,E$1,$A61,$A61)),_xll.BDH(config!$G$4,E$1,$A61,$A61),_xll.BDH(config!$G$5,E$1,$A61,$A61))))</f>
        <v>53.87</v>
      </c>
      <c r="F61" s="8">
        <f>IF($A61="","",IF(ISNUMBER(FIND("IMPVOL",F$1)),_xll.BDH(config!$G$4,F$1,WORKDAY($A61,-1,config_Holiday_Calendar_US),WORKDAY($A61,-1,config_Holiday_Calendar_US)),IF(ISNUMBER(_xll.BDH(config!$G$4,F$1,$A61,$A61)),_xll.BDH(config!$G$4,F$1,$A61,$A61),_xll.BDH(config!$G$5,F$1,$A61,$A61))))</f>
        <v>54</v>
      </c>
      <c r="G61" s="8">
        <f>IF($A61="","",IF(ISNUMBER(FIND("IMPVOL",G$1)),_xll.BDH(config!$G$4,G$1,WORKDAY($A61,-1,config_Holiday_Calendar_US),WORKDAY($A61,-1,config_Holiday_Calendar_US)),IF(ISNUMBER(_xll.BDH(config!$G$4,G$1,$A61,$A61)),_xll.BDH(config!$G$4,G$1,$A61,$A61),_xll.BDH(config!$G$5,G$1,$A61,$A61))))</f>
        <v>53.08</v>
      </c>
      <c r="H61" s="8">
        <f>IF($A61="","",IF(ISNUMBER(FIND("IMPVOL",H$1)),_xll.BDH(config!$G$4,H$1,WORKDAY($A61,-1,config_Holiday_Calendar_US),WORKDAY($A61,-1,config_Holiday_Calendar_US)),IF(ISNUMBER(_xll.BDH(config!$G$4,H$1,$A61,$A61)),_xll.BDH(config!$G$4,H$1,$A61,$A61),_xll.BDH(config!$G$5,H$1,$A61,$A61))))</f>
        <v>253202</v>
      </c>
      <c r="I61" s="8" t="str">
        <f>IF($A61="","",IF(ISNUMBER(FIND("IMPVOL",I$1)),_xll.BDH(config!$G$4,I$1,WORKDAY($A61,-1,config_Holiday_Calendar_US),WORKDAY($A61,-1,config_Holiday_Calendar_US)),IF(ISNUMBER(_xll.BDH(config!$G$4,I$1,$A61,$A61)),_xll.BDH(config!$G$4,I$1,$A61,$A61),_xll.BDH(config!$G$5,I$1,$A61,$A61))))</f>
        <v>#N/A Requesting Data...</v>
      </c>
      <c r="J61" s="8" t="str">
        <f>IF($A61="","",IF(ISNUMBER(FIND("IMPVOL",J$1)),_xll.BDH(config!$G$4,J$1,WORKDAY($A61,-1,config_Holiday_Calendar_US),WORKDAY($A61,-1,config_Holiday_Calendar_US)),IF(ISNUMBER(_xll.BDH(config!$G$4,J$1,$A61,$A61)),_xll.BDH(config!$G$4,J$1,$A61,$A61),_xll.BDH(config!$G$5,J$1,$A61,$A61))))</f>
        <v>#N/A Requesting Data...</v>
      </c>
      <c r="K61" s="8" t="str">
        <f>IF($A61="","",IF(ISNUMBER(FIND("IMPVOL",K$1)),_xll.BDH(config!$G$4,K$1,WORKDAY($A61,-1,config_Holiday_Calendar_US),WORKDAY($A61,-1,config_Holiday_Calendar_US)),IF(ISNUMBER(_xll.BDH(config!$G$4,K$1,$A61,$A61)),_xll.BDH(config!$G$4,K$1,$A61,$A61),_xll.BDH(config!$G$5,K$1,$A61,$A61))))</f>
        <v>#N/A Requesting Data...</v>
      </c>
      <c r="L61" s="8" t="str">
        <f>IF($A61="","",IF(ISNUMBER(FIND("IMPVOL",L$1)),_xll.BDH(config!$G$4,L$1,WORKDAY($A61,-1,config_Holiday_Calendar_US),WORKDAY($A61,-1,config_Holiday_Calendar_US)),IF(ISNUMBER(_xll.BDH(config!$G$4,L$1,$A61,$A61)),_xll.BDH(config!$G$4,L$1,$A61,$A61),_xll.BDH(config!$G$5,L$1,$A61,$A61))))</f>
        <v>#N/A Requesting Data...</v>
      </c>
      <c r="M61" s="8" t="str">
        <f>IF($A61="","",IF(ISNUMBER(FIND("IMPVOL",M$1)),_xll.BDH(config!$G$4,M$1,WORKDAY($A61,-1,config_Holiday_Calendar_US),WORKDAY($A61,-1,config_Holiday_Calendar_US)),IF(ISNUMBER(_xll.BDH(config!$G$4,M$1,$A61,$A61)),_xll.BDH(config!$G$4,M$1,$A61,$A61),_xll.BDH(config!$G$5,M$1,$A61,$A61))))</f>
        <v>#N/A Requesting Data...</v>
      </c>
      <c r="N61" s="8" t="str">
        <f>IF($A61="","",IF(ISNUMBER(FIND("IMPVOL",N$1)),_xll.BDH(config!$G$4,N$1,WORKDAY($A61,-1,config_Holiday_Calendar_US),WORKDAY($A61,-1,config_Holiday_Calendar_US)),IF(ISNUMBER(_xll.BDH(config!$G$4,N$1,$A61,$A61)),_xll.BDH(config!$G$4,N$1,$A61,$A61),_xll.BDH(config!$G$5,N$1,$A61,$A61))))</f>
        <v>#N/A Requesting Data...</v>
      </c>
      <c r="O61" s="8" t="str">
        <f>IF($A61="","",IF(ISNUMBER(FIND("IMPVOL",O$1)),_xll.BDH(config!$G$4,O$1,WORKDAY($A61,-1,config_Holiday_Calendar_US),WORKDAY($A61,-1,config_Holiday_Calendar_US)),IF(ISNUMBER(_xll.BDH(config!$G$4,O$1,$A61,$A61)),_xll.BDH(config!$G$4,O$1,$A61,$A61),_xll.BDH(config!$G$5,O$1,$A61,$A61))))</f>
        <v>#N/A Requesting Data...</v>
      </c>
      <c r="P61" s="8" t="str">
        <f>IF($A61="","",IF(ISNUMBER(FIND("IMPVOL",P$1)),_xll.BDH(config!$G$4,P$1,WORKDAY($A61,-1,config_Holiday_Calendar_US),WORKDAY($A61,-1,config_Holiday_Calendar_US)),IF(ISNUMBER(_xll.BDH(config!$G$4,P$1,$A61,$A61)),_xll.BDH(config!$G$4,P$1,$A61,$A61),_xll.BDH(config!$G$5,P$1,$A61,$A61))))</f>
        <v>#N/A Requesting Data...</v>
      </c>
      <c r="Q61" s="8">
        <f>IF($A61="","",IF(ISNUMBER(FIND("IMPVOL",Q$1)),_xll.BDH(config!$G$4,Q$1,WORKDAY($A61,-1,config_Holiday_Calendar_US),WORKDAY($A61,-1,config_Holiday_Calendar_US)),IF(ISNUMBER(_xll.BDH(config!$G$4,Q$1,$A61,$A61)),_xll.BDH(config!$G$4,Q$1,$A61,$A61),_xll.BDH(config!$G$5,Q$1,$A61,$A61))))</f>
        <v>35.479999999999997</v>
      </c>
      <c r="R61" s="8">
        <f>IF($A61="","",IF(ISNUMBER(FIND("IMPVOL",R$1)),_xll.BDH(config!$G$4,R$1,WORKDAY($A61,-1,config_Holiday_Calendar_US),WORKDAY($A61,-1,config_Holiday_Calendar_US)),IF(ISNUMBER(_xll.BDH(config!$G$4,R$1,$A61,$A61)),_xll.BDH(config!$G$4,R$1,$A61,$A61),_xll.BDH(config!$G$5,R$1,$A61,$A61))))</f>
        <v>26.97</v>
      </c>
      <c r="S61" s="8" t="str">
        <f>IF($A61="","",IF(ISNUMBER(FIND("IMPVOL",S$1)),_xll.BDH(config!$G$4,S$1,WORKDAY($A61,-1,config_Holiday_Calendar_US),WORKDAY($A61,-1,config_Holiday_Calendar_US)),IF(ISNUMBER(_xll.BDH(config!$G$4,S$1,$A61,$A61)),_xll.BDH(config!$G$4,S$1,$A61,$A61),_xll.BDH(config!$G$5,S$1,$A61,$A61))))</f>
        <v>#N/A Requesting Data...</v>
      </c>
      <c r="T61" s="8" t="str">
        <f>IF($A61="","",IF(ISNUMBER(FIND("IMPVOL",T$1)),_xll.BDH(config!$G$4,T$1,WORKDAY($A61,-1,config_Holiday_Calendar_US),WORKDAY($A61,-1,config_Holiday_Calendar_US)),IF(ISNUMBER(_xll.BDH(config!$G$4,T$1,$A61,$A61)),_xll.BDH(config!$G$4,T$1,$A61,$A61),_xll.BDH(config!$G$5,T$1,$A61,$A61))))</f>
        <v>#N/A Requesting Data...</v>
      </c>
      <c r="U61" s="8" t="str">
        <f>IF($A61="","",IF(ISNUMBER(FIND("IMPVOL",U$1)),_xll.BDH(config!$G$4,U$1,WORKDAY($A61,-1,config_Holiday_Calendar_US),WORKDAY($A61,-1,config_Holiday_Calendar_US)),IF(ISNUMBER(_xll.BDH(config!$G$4,U$1,$A61,$A61)),_xll.BDH(config!$G$4,U$1,$A61,$A61),_xll.BDH(config!$G$5,U$1,$A61,$A61))))</f>
        <v>#N/A Requesting Data...</v>
      </c>
      <c r="V61" s="8" t="str">
        <f>IF($A61="","",IF(ISNUMBER(FIND("IMPVOL",V$1)),_xll.BDH(config!$G$4,V$1,WORKDAY($A61,-1,config_Holiday_Calendar_US),WORKDAY($A61,-1,config_Holiday_Calendar_US)),IF(ISNUMBER(_xll.BDH(config!$G$4,V$1,$A61,$A61)),_xll.BDH(config!$G$4,V$1,$A61,$A61),_xll.BDH(config!$G$5,V$1,$A61,$A61))))</f>
        <v>#N/A Requesting Data...</v>
      </c>
      <c r="W61" s="8" t="str">
        <f>IF($A61="","",IF(ISNUMBER(FIND("IMPVOL",W$1)),_xll.BDH(config!$G$4,W$1,WORKDAY($A61,-1,config_Holiday_Calendar_US),WORKDAY($A61,-1,config_Holiday_Calendar_US)),IF(ISNUMBER(_xll.BDH(config!$G$4,W$1,$A61,$A61)),_xll.BDH(config!$G$4,W$1,$A61,$A61),_xll.BDH(config!$G$5,W$1,$A61,$A61))))</f>
        <v>#N/A Requesting Data...</v>
      </c>
    </row>
    <row r="62" spans="1:23" x14ac:dyDescent="0.2">
      <c r="A62" s="9">
        <f>IF(A61="","",IF(WORKDAY(A61,-1,config_Holiday_Calendar_US)&lt;config!$I$10,"",WORKDAY(A61,-1,config_Holiday_Calendar_US)))</f>
        <v>42747</v>
      </c>
      <c r="B62" s="8" t="e">
        <f t="shared" si="0"/>
        <v>#VALUE!</v>
      </c>
      <c r="C62" s="8" t="str">
        <f>IF(A62="","",_xll.BDH(config!$H$4,C$1,$A62,$A62))</f>
        <v>#N/A Requesting Data...</v>
      </c>
      <c r="D62" s="8" t="str">
        <f>IF($A62="","",_xll.BDH(config!$H$4,D$1,$A62,$A62))</f>
        <v>#N/A Requesting Data...</v>
      </c>
      <c r="E62" s="8">
        <f>IF($A62="","",IF(ISNUMBER(FIND("IMPVOL",E$1)),_xll.BDH(config!$G$4,E$1,WORKDAY($A62,-1,config_Holiday_Calendar_US),WORKDAY($A62,-1,config_Holiday_Calendar_US)),IF(ISNUMBER(_xll.BDH(config!$G$4,E$1,$A62,$A62)),_xll.BDH(config!$G$4,E$1,$A62,$A62),_xll.BDH(config!$G$5,E$1,$A62,$A62))))</f>
        <v>53.12</v>
      </c>
      <c r="F62" s="8">
        <f>IF($A62="","",IF(ISNUMBER(FIND("IMPVOL",F$1)),_xll.BDH(config!$G$4,F$1,WORKDAY($A62,-1,config_Holiday_Calendar_US),WORKDAY($A62,-1,config_Holiday_Calendar_US)),IF(ISNUMBER(_xll.BDH(config!$G$4,F$1,$A62,$A62)),_xll.BDH(config!$G$4,F$1,$A62,$A62),_xll.BDH(config!$G$5,F$1,$A62,$A62))))</f>
        <v>54.29</v>
      </c>
      <c r="G62" s="8">
        <f>IF($A62="","",IF(ISNUMBER(FIND("IMPVOL",G$1)),_xll.BDH(config!$G$4,G$1,WORKDAY($A62,-1,config_Holiday_Calendar_US),WORKDAY($A62,-1,config_Holiday_Calendar_US)),IF(ISNUMBER(_xll.BDH(config!$G$4,G$1,$A62,$A62)),_xll.BDH(config!$G$4,G$1,$A62,$A62),_xll.BDH(config!$G$5,G$1,$A62,$A62))))</f>
        <v>52.94</v>
      </c>
      <c r="H62" s="8">
        <f>IF($A62="","",IF(ISNUMBER(FIND("IMPVOL",H$1)),_xll.BDH(config!$G$4,H$1,WORKDAY($A62,-1,config_Holiday_Calendar_US),WORKDAY($A62,-1,config_Holiday_Calendar_US)),IF(ISNUMBER(_xll.BDH(config!$G$4,H$1,$A62,$A62)),_xll.BDH(config!$G$4,H$1,$A62,$A62),_xll.BDH(config!$G$5,H$1,$A62,$A62))))</f>
        <v>376875</v>
      </c>
      <c r="I62" s="8" t="str">
        <f>IF($A62="","",IF(ISNUMBER(FIND("IMPVOL",I$1)),_xll.BDH(config!$G$4,I$1,WORKDAY($A62,-1,config_Holiday_Calendar_US),WORKDAY($A62,-1,config_Holiday_Calendar_US)),IF(ISNUMBER(_xll.BDH(config!$G$4,I$1,$A62,$A62)),_xll.BDH(config!$G$4,I$1,$A62,$A62),_xll.BDH(config!$G$5,I$1,$A62,$A62))))</f>
        <v>#N/A Requesting Data...</v>
      </c>
      <c r="J62" s="8" t="str">
        <f>IF($A62="","",IF(ISNUMBER(FIND("IMPVOL",J$1)),_xll.BDH(config!$G$4,J$1,WORKDAY($A62,-1,config_Holiday_Calendar_US),WORKDAY($A62,-1,config_Holiday_Calendar_US)),IF(ISNUMBER(_xll.BDH(config!$G$4,J$1,$A62,$A62)),_xll.BDH(config!$G$4,J$1,$A62,$A62),_xll.BDH(config!$G$5,J$1,$A62,$A62))))</f>
        <v>#N/A Requesting Data...</v>
      </c>
      <c r="K62" s="8" t="str">
        <f>IF($A62="","",IF(ISNUMBER(FIND("IMPVOL",K$1)),_xll.BDH(config!$G$4,K$1,WORKDAY($A62,-1,config_Holiday_Calendar_US),WORKDAY($A62,-1,config_Holiday_Calendar_US)),IF(ISNUMBER(_xll.BDH(config!$G$4,K$1,$A62,$A62)),_xll.BDH(config!$G$4,K$1,$A62,$A62),_xll.BDH(config!$G$5,K$1,$A62,$A62))))</f>
        <v>#N/A Requesting Data...</v>
      </c>
      <c r="L62" s="8" t="str">
        <f>IF($A62="","",IF(ISNUMBER(FIND("IMPVOL",L$1)),_xll.BDH(config!$G$4,L$1,WORKDAY($A62,-1,config_Holiday_Calendar_US),WORKDAY($A62,-1,config_Holiday_Calendar_US)),IF(ISNUMBER(_xll.BDH(config!$G$4,L$1,$A62,$A62)),_xll.BDH(config!$G$4,L$1,$A62,$A62),_xll.BDH(config!$G$5,L$1,$A62,$A62))))</f>
        <v>#N/A Requesting Data...</v>
      </c>
      <c r="M62" s="8" t="str">
        <f>IF($A62="","",IF(ISNUMBER(FIND("IMPVOL",M$1)),_xll.BDH(config!$G$4,M$1,WORKDAY($A62,-1,config_Holiday_Calendar_US),WORKDAY($A62,-1,config_Holiday_Calendar_US)),IF(ISNUMBER(_xll.BDH(config!$G$4,M$1,$A62,$A62)),_xll.BDH(config!$G$4,M$1,$A62,$A62),_xll.BDH(config!$G$5,M$1,$A62,$A62))))</f>
        <v>#N/A Requesting Data...</v>
      </c>
      <c r="N62" s="8" t="str">
        <f>IF($A62="","",IF(ISNUMBER(FIND("IMPVOL",N$1)),_xll.BDH(config!$G$4,N$1,WORKDAY($A62,-1,config_Holiday_Calendar_US),WORKDAY($A62,-1,config_Holiday_Calendar_US)),IF(ISNUMBER(_xll.BDH(config!$G$4,N$1,$A62,$A62)),_xll.BDH(config!$G$4,N$1,$A62,$A62),_xll.BDH(config!$G$5,N$1,$A62,$A62))))</f>
        <v>#N/A Requesting Data...</v>
      </c>
      <c r="O62" s="8" t="str">
        <f>IF($A62="","",IF(ISNUMBER(FIND("IMPVOL",O$1)),_xll.BDH(config!$G$4,O$1,WORKDAY($A62,-1,config_Holiday_Calendar_US),WORKDAY($A62,-1,config_Holiday_Calendar_US)),IF(ISNUMBER(_xll.BDH(config!$G$4,O$1,$A62,$A62)),_xll.BDH(config!$G$4,O$1,$A62,$A62),_xll.BDH(config!$G$5,O$1,$A62,$A62))))</f>
        <v>#N/A Requesting Data...</v>
      </c>
      <c r="P62" s="8" t="str">
        <f>IF($A62="","",IF(ISNUMBER(FIND("IMPVOL",P$1)),_xll.BDH(config!$G$4,P$1,WORKDAY($A62,-1,config_Holiday_Calendar_US),WORKDAY($A62,-1,config_Holiday_Calendar_US)),IF(ISNUMBER(_xll.BDH(config!$G$4,P$1,$A62,$A62)),_xll.BDH(config!$G$4,P$1,$A62,$A62),_xll.BDH(config!$G$5,P$1,$A62,$A62))))</f>
        <v>#N/A Requesting Data...</v>
      </c>
      <c r="Q62" s="8">
        <f>IF($A62="","",IF(ISNUMBER(FIND("IMPVOL",Q$1)),_xll.BDH(config!$G$4,Q$1,WORKDAY($A62,-1,config_Holiday_Calendar_US),WORKDAY($A62,-1,config_Holiday_Calendar_US)),IF(ISNUMBER(_xll.BDH(config!$G$4,Q$1,$A62,$A62)),_xll.BDH(config!$G$4,Q$1,$A62,$A62),_xll.BDH(config!$G$5,Q$1,$A62,$A62))))</f>
        <v>34.979999999999997</v>
      </c>
      <c r="R62" s="8">
        <f>IF($A62="","",IF(ISNUMBER(FIND("IMPVOL",R$1)),_xll.BDH(config!$G$4,R$1,WORKDAY($A62,-1,config_Holiday_Calendar_US),WORKDAY($A62,-1,config_Holiday_Calendar_US)),IF(ISNUMBER(_xll.BDH(config!$G$4,R$1,$A62,$A62)),_xll.BDH(config!$G$4,R$1,$A62,$A62),_xll.BDH(config!$G$5,R$1,$A62,$A62))))</f>
        <v>28.15</v>
      </c>
      <c r="S62" s="8" t="str">
        <f>IF($A62="","",IF(ISNUMBER(FIND("IMPVOL",S$1)),_xll.BDH(config!$G$4,S$1,WORKDAY($A62,-1,config_Holiday_Calendar_US),WORKDAY($A62,-1,config_Holiday_Calendar_US)),IF(ISNUMBER(_xll.BDH(config!$G$4,S$1,$A62,$A62)),_xll.BDH(config!$G$4,S$1,$A62,$A62),_xll.BDH(config!$G$5,S$1,$A62,$A62))))</f>
        <v>#N/A Requesting Data...</v>
      </c>
      <c r="T62" s="8" t="str">
        <f>IF($A62="","",IF(ISNUMBER(FIND("IMPVOL",T$1)),_xll.BDH(config!$G$4,T$1,WORKDAY($A62,-1,config_Holiday_Calendar_US),WORKDAY($A62,-1,config_Holiday_Calendar_US)),IF(ISNUMBER(_xll.BDH(config!$G$4,T$1,$A62,$A62)),_xll.BDH(config!$G$4,T$1,$A62,$A62),_xll.BDH(config!$G$5,T$1,$A62,$A62))))</f>
        <v>#N/A Requesting Data...</v>
      </c>
      <c r="U62" s="8" t="str">
        <f>IF($A62="","",IF(ISNUMBER(FIND("IMPVOL",U$1)),_xll.BDH(config!$G$4,U$1,WORKDAY($A62,-1,config_Holiday_Calendar_US),WORKDAY($A62,-1,config_Holiday_Calendar_US)),IF(ISNUMBER(_xll.BDH(config!$G$4,U$1,$A62,$A62)),_xll.BDH(config!$G$4,U$1,$A62,$A62),_xll.BDH(config!$G$5,U$1,$A62,$A62))))</f>
        <v>#N/A Requesting Data...</v>
      </c>
      <c r="V62" s="8" t="str">
        <f>IF($A62="","",IF(ISNUMBER(FIND("IMPVOL",V$1)),_xll.BDH(config!$G$4,V$1,WORKDAY($A62,-1,config_Holiday_Calendar_US),WORKDAY($A62,-1,config_Holiday_Calendar_US)),IF(ISNUMBER(_xll.BDH(config!$G$4,V$1,$A62,$A62)),_xll.BDH(config!$G$4,V$1,$A62,$A62),_xll.BDH(config!$G$5,V$1,$A62,$A62))))</f>
        <v>#N/A Requesting Data...</v>
      </c>
      <c r="W62" s="8" t="str">
        <f>IF($A62="","",IF(ISNUMBER(FIND("IMPVOL",W$1)),_xll.BDH(config!$G$4,W$1,WORKDAY($A62,-1,config_Holiday_Calendar_US),WORKDAY($A62,-1,config_Holiday_Calendar_US)),IF(ISNUMBER(_xll.BDH(config!$G$4,W$1,$A62,$A62)),_xll.BDH(config!$G$4,W$1,$A62,$A62),_xll.BDH(config!$G$5,W$1,$A62,$A62))))</f>
        <v>#N/A Requesting Data...</v>
      </c>
    </row>
    <row r="63" spans="1:23" x14ac:dyDescent="0.2">
      <c r="A63" s="9">
        <f>IF(A62="","",IF(WORKDAY(A62,-1,config_Holiday_Calendar_US)&lt;config!$I$10,"",WORKDAY(A62,-1,config_Holiday_Calendar_US)))</f>
        <v>42746</v>
      </c>
      <c r="B63" s="8" t="e">
        <f t="shared" si="0"/>
        <v>#VALUE!</v>
      </c>
      <c r="C63" s="8" t="str">
        <f>IF(A63="","",_xll.BDH(config!$H$4,C$1,$A63,$A63))</f>
        <v>#N/A Requesting Data...</v>
      </c>
      <c r="D63" s="8" t="str">
        <f>IF($A63="","",_xll.BDH(config!$H$4,D$1,$A63,$A63))</f>
        <v>#N/A Requesting Data...</v>
      </c>
      <c r="E63" s="8">
        <f>IF($A63="","",IF(ISNUMBER(FIND("IMPVOL",E$1)),_xll.BDH(config!$G$4,E$1,WORKDAY($A63,-1,config_Holiday_Calendar_US),WORKDAY($A63,-1,config_Holiday_Calendar_US)),IF(ISNUMBER(_xll.BDH(config!$G$4,E$1,$A63,$A63)),_xll.BDH(config!$G$4,E$1,$A63,$A63),_xll.BDH(config!$G$5,E$1,$A63,$A63))))</f>
        <v>51.75</v>
      </c>
      <c r="F63" s="8">
        <f>IF($A63="","",IF(ISNUMBER(FIND("IMPVOL",F$1)),_xll.BDH(config!$G$4,F$1,WORKDAY($A63,-1,config_Holiday_Calendar_US),WORKDAY($A63,-1,config_Holiday_Calendar_US)),IF(ISNUMBER(_xll.BDH(config!$G$4,F$1,$A63,$A63)),_xll.BDH(config!$G$4,F$1,$A63,$A63),_xll.BDH(config!$G$5,F$1,$A63,$A63))))</f>
        <v>53.6</v>
      </c>
      <c r="G63" s="8">
        <f>IF($A63="","",IF(ISNUMBER(FIND("IMPVOL",G$1)),_xll.BDH(config!$G$4,G$1,WORKDAY($A63,-1,config_Holiday_Calendar_US),WORKDAY($A63,-1,config_Holiday_Calendar_US)),IF(ISNUMBER(_xll.BDH(config!$G$4,G$1,$A63,$A63)),_xll.BDH(config!$G$4,G$1,$A63,$A63),_xll.BDH(config!$G$5,G$1,$A63,$A63))))</f>
        <v>51.63</v>
      </c>
      <c r="H63" s="8">
        <f>IF($A63="","",IF(ISNUMBER(FIND("IMPVOL",H$1)),_xll.BDH(config!$G$4,H$1,WORKDAY($A63,-1,config_Holiday_Calendar_US),WORKDAY($A63,-1,config_Holiday_Calendar_US)),IF(ISNUMBER(_xll.BDH(config!$G$4,H$1,$A63,$A63)),_xll.BDH(config!$G$4,H$1,$A63,$A63),_xll.BDH(config!$G$5,H$1,$A63,$A63))))</f>
        <v>368220</v>
      </c>
      <c r="I63" s="8" t="str">
        <f>IF($A63="","",IF(ISNUMBER(FIND("IMPVOL",I$1)),_xll.BDH(config!$G$4,I$1,WORKDAY($A63,-1,config_Holiday_Calendar_US),WORKDAY($A63,-1,config_Holiday_Calendar_US)),IF(ISNUMBER(_xll.BDH(config!$G$4,I$1,$A63,$A63)),_xll.BDH(config!$G$4,I$1,$A63,$A63),_xll.BDH(config!$G$5,I$1,$A63,$A63))))</f>
        <v>#N/A Requesting Data...</v>
      </c>
      <c r="J63" s="8" t="str">
        <f>IF($A63="","",IF(ISNUMBER(FIND("IMPVOL",J$1)),_xll.BDH(config!$G$4,J$1,WORKDAY($A63,-1,config_Holiday_Calendar_US),WORKDAY($A63,-1,config_Holiday_Calendar_US)),IF(ISNUMBER(_xll.BDH(config!$G$4,J$1,$A63,$A63)),_xll.BDH(config!$G$4,J$1,$A63,$A63),_xll.BDH(config!$G$5,J$1,$A63,$A63))))</f>
        <v>#N/A Requesting Data...</v>
      </c>
      <c r="K63" s="8" t="str">
        <f>IF($A63="","",IF(ISNUMBER(FIND("IMPVOL",K$1)),_xll.BDH(config!$G$4,K$1,WORKDAY($A63,-1,config_Holiday_Calendar_US),WORKDAY($A63,-1,config_Holiday_Calendar_US)),IF(ISNUMBER(_xll.BDH(config!$G$4,K$1,$A63,$A63)),_xll.BDH(config!$G$4,K$1,$A63,$A63),_xll.BDH(config!$G$5,K$1,$A63,$A63))))</f>
        <v>#N/A Requesting Data...</v>
      </c>
      <c r="L63" s="8" t="str">
        <f>IF($A63="","",IF(ISNUMBER(FIND("IMPVOL",L$1)),_xll.BDH(config!$G$4,L$1,WORKDAY($A63,-1,config_Holiday_Calendar_US),WORKDAY($A63,-1,config_Holiday_Calendar_US)),IF(ISNUMBER(_xll.BDH(config!$G$4,L$1,$A63,$A63)),_xll.BDH(config!$G$4,L$1,$A63,$A63),_xll.BDH(config!$G$5,L$1,$A63,$A63))))</f>
        <v>#N/A Requesting Data...</v>
      </c>
      <c r="M63" s="8" t="str">
        <f>IF($A63="","",IF(ISNUMBER(FIND("IMPVOL",M$1)),_xll.BDH(config!$G$4,M$1,WORKDAY($A63,-1,config_Holiday_Calendar_US),WORKDAY($A63,-1,config_Holiday_Calendar_US)),IF(ISNUMBER(_xll.BDH(config!$G$4,M$1,$A63,$A63)),_xll.BDH(config!$G$4,M$1,$A63,$A63),_xll.BDH(config!$G$5,M$1,$A63,$A63))))</f>
        <v>#N/A Requesting Data...</v>
      </c>
      <c r="N63" s="8" t="str">
        <f>IF($A63="","",IF(ISNUMBER(FIND("IMPVOL",N$1)),_xll.BDH(config!$G$4,N$1,WORKDAY($A63,-1,config_Holiday_Calendar_US),WORKDAY($A63,-1,config_Holiday_Calendar_US)),IF(ISNUMBER(_xll.BDH(config!$G$4,N$1,$A63,$A63)),_xll.BDH(config!$G$4,N$1,$A63,$A63),_xll.BDH(config!$G$5,N$1,$A63,$A63))))</f>
        <v>#N/A Requesting Data...</v>
      </c>
      <c r="O63" s="8" t="str">
        <f>IF($A63="","",IF(ISNUMBER(FIND("IMPVOL",O$1)),_xll.BDH(config!$G$4,O$1,WORKDAY($A63,-1,config_Holiday_Calendar_US),WORKDAY($A63,-1,config_Holiday_Calendar_US)),IF(ISNUMBER(_xll.BDH(config!$G$4,O$1,$A63,$A63)),_xll.BDH(config!$G$4,O$1,$A63,$A63),_xll.BDH(config!$G$5,O$1,$A63,$A63))))</f>
        <v>#N/A Requesting Data...</v>
      </c>
      <c r="P63" s="8" t="str">
        <f>IF($A63="","",IF(ISNUMBER(FIND("IMPVOL",P$1)),_xll.BDH(config!$G$4,P$1,WORKDAY($A63,-1,config_Holiday_Calendar_US),WORKDAY($A63,-1,config_Holiday_Calendar_US)),IF(ISNUMBER(_xll.BDH(config!$G$4,P$1,$A63,$A63)),_xll.BDH(config!$G$4,P$1,$A63,$A63),_xll.BDH(config!$G$5,P$1,$A63,$A63))))</f>
        <v>#N/A Requesting Data...</v>
      </c>
      <c r="Q63" s="8">
        <f>IF($A63="","",IF(ISNUMBER(FIND("IMPVOL",Q$1)),_xll.BDH(config!$G$4,Q$1,WORKDAY($A63,-1,config_Holiday_Calendar_US),WORKDAY($A63,-1,config_Holiday_Calendar_US)),IF(ISNUMBER(_xll.BDH(config!$G$4,Q$1,$A63,$A63)),_xll.BDH(config!$G$4,Q$1,$A63,$A63),_xll.BDH(config!$G$5,Q$1,$A63,$A63))))</f>
        <v>33.549999999999997</v>
      </c>
      <c r="R63" s="8">
        <f>IF($A63="","",IF(ISNUMBER(FIND("IMPVOL",R$1)),_xll.BDH(config!$G$4,R$1,WORKDAY($A63,-1,config_Holiday_Calendar_US),WORKDAY($A63,-1,config_Holiday_Calendar_US)),IF(ISNUMBER(_xll.BDH(config!$G$4,R$1,$A63,$A63)),_xll.BDH(config!$G$4,R$1,$A63,$A63),_xll.BDH(config!$G$5,R$1,$A63,$A63))))</f>
        <v>37.85</v>
      </c>
      <c r="S63" s="8" t="str">
        <f>IF($A63="","",IF(ISNUMBER(FIND("IMPVOL",S$1)),_xll.BDH(config!$G$4,S$1,WORKDAY($A63,-1,config_Holiday_Calendar_US),WORKDAY($A63,-1,config_Holiday_Calendar_US)),IF(ISNUMBER(_xll.BDH(config!$G$4,S$1,$A63,$A63)),_xll.BDH(config!$G$4,S$1,$A63,$A63),_xll.BDH(config!$G$5,S$1,$A63,$A63))))</f>
        <v>#N/A Requesting Data...</v>
      </c>
      <c r="T63" s="8" t="str">
        <f>IF($A63="","",IF(ISNUMBER(FIND("IMPVOL",T$1)),_xll.BDH(config!$G$4,T$1,WORKDAY($A63,-1,config_Holiday_Calendar_US),WORKDAY($A63,-1,config_Holiday_Calendar_US)),IF(ISNUMBER(_xll.BDH(config!$G$4,T$1,$A63,$A63)),_xll.BDH(config!$G$4,T$1,$A63,$A63),_xll.BDH(config!$G$5,T$1,$A63,$A63))))</f>
        <v>#N/A Requesting Data...</v>
      </c>
      <c r="U63" s="8" t="str">
        <f>IF($A63="","",IF(ISNUMBER(FIND("IMPVOL",U$1)),_xll.BDH(config!$G$4,U$1,WORKDAY($A63,-1,config_Holiday_Calendar_US),WORKDAY($A63,-1,config_Holiday_Calendar_US)),IF(ISNUMBER(_xll.BDH(config!$G$4,U$1,$A63,$A63)),_xll.BDH(config!$G$4,U$1,$A63,$A63),_xll.BDH(config!$G$5,U$1,$A63,$A63))))</f>
        <v>#N/A Requesting Data...</v>
      </c>
      <c r="V63" s="8" t="str">
        <f>IF($A63="","",IF(ISNUMBER(FIND("IMPVOL",V$1)),_xll.BDH(config!$G$4,V$1,WORKDAY($A63,-1,config_Holiday_Calendar_US),WORKDAY($A63,-1,config_Holiday_Calendar_US)),IF(ISNUMBER(_xll.BDH(config!$G$4,V$1,$A63,$A63)),_xll.BDH(config!$G$4,V$1,$A63,$A63),_xll.BDH(config!$G$5,V$1,$A63,$A63))))</f>
        <v>#N/A Requesting Data...</v>
      </c>
      <c r="W63" s="8" t="str">
        <f>IF($A63="","",IF(ISNUMBER(FIND("IMPVOL",W$1)),_xll.BDH(config!$G$4,W$1,WORKDAY($A63,-1,config_Holiday_Calendar_US),WORKDAY($A63,-1,config_Holiday_Calendar_US)),IF(ISNUMBER(_xll.BDH(config!$G$4,W$1,$A63,$A63)),_xll.BDH(config!$G$4,W$1,$A63,$A63),_xll.BDH(config!$G$5,W$1,$A63,$A63))))</f>
        <v>#N/A Requesting Data...</v>
      </c>
    </row>
    <row r="64" spans="1:23" x14ac:dyDescent="0.2">
      <c r="A64" s="9">
        <f>IF(A63="","",IF(WORKDAY(A63,-1,config_Holiday_Calendar_US)&lt;config!$I$10,"",WORKDAY(A63,-1,config_Holiday_Calendar_US)))</f>
        <v>42745</v>
      </c>
      <c r="B64" s="8" t="e">
        <f t="shared" si="0"/>
        <v>#VALUE!</v>
      </c>
      <c r="C64" s="8" t="str">
        <f>IF(A64="","",_xll.BDH(config!$H$4,C$1,$A64,$A64))</f>
        <v>#N/A Requesting Data...</v>
      </c>
      <c r="D64" s="8" t="str">
        <f>IF($A64="","",_xll.BDH(config!$H$4,D$1,$A64,$A64))</f>
        <v>#N/A Requesting Data...</v>
      </c>
      <c r="E64" s="8">
        <f>IF($A64="","",IF(ISNUMBER(FIND("IMPVOL",E$1)),_xll.BDH(config!$G$4,E$1,WORKDAY($A64,-1,config_Holiday_Calendar_US),WORKDAY($A64,-1,config_Holiday_Calendar_US)),IF(ISNUMBER(_xll.BDH(config!$G$4,E$1,$A64,$A64)),_xll.BDH(config!$G$4,E$1,$A64,$A64),_xll.BDH(config!$G$5,E$1,$A64,$A64))))</f>
        <v>52.72</v>
      </c>
      <c r="F64" s="8">
        <f>IF($A64="","",IF(ISNUMBER(FIND("IMPVOL",F$1)),_xll.BDH(config!$G$4,F$1,WORKDAY($A64,-1,config_Holiday_Calendar_US),WORKDAY($A64,-1,config_Holiday_Calendar_US)),IF(ISNUMBER(_xll.BDH(config!$G$4,F$1,$A64,$A64)),_xll.BDH(config!$G$4,F$1,$A64,$A64),_xll.BDH(config!$G$5,F$1,$A64,$A64))))</f>
        <v>53.25</v>
      </c>
      <c r="G64" s="8">
        <f>IF($A64="","",IF(ISNUMBER(FIND("IMPVOL",G$1)),_xll.BDH(config!$G$4,G$1,WORKDAY($A64,-1,config_Holiday_Calendar_US),WORKDAY($A64,-1,config_Holiday_Calendar_US)),IF(ISNUMBER(_xll.BDH(config!$G$4,G$1,$A64,$A64)),_xll.BDH(config!$G$4,G$1,$A64,$A64),_xll.BDH(config!$G$5,G$1,$A64,$A64))))</f>
        <v>51.59</v>
      </c>
      <c r="H64" s="8">
        <f>IF($A64="","",IF(ISNUMBER(FIND("IMPVOL",H$1)),_xll.BDH(config!$G$4,H$1,WORKDAY($A64,-1,config_Holiday_Calendar_US),WORKDAY($A64,-1,config_Holiday_Calendar_US)),IF(ISNUMBER(_xll.BDH(config!$G$4,H$1,$A64,$A64)),_xll.BDH(config!$G$4,H$1,$A64,$A64),_xll.BDH(config!$G$5,H$1,$A64,$A64))))</f>
        <v>277857</v>
      </c>
      <c r="I64" s="8" t="str">
        <f>IF($A64="","",IF(ISNUMBER(FIND("IMPVOL",I$1)),_xll.BDH(config!$G$4,I$1,WORKDAY($A64,-1,config_Holiday_Calendar_US),WORKDAY($A64,-1,config_Holiday_Calendar_US)),IF(ISNUMBER(_xll.BDH(config!$G$4,I$1,$A64,$A64)),_xll.BDH(config!$G$4,I$1,$A64,$A64),_xll.BDH(config!$G$5,I$1,$A64,$A64))))</f>
        <v>#N/A Requesting Data...</v>
      </c>
      <c r="J64" s="8" t="str">
        <f>IF($A64="","",IF(ISNUMBER(FIND("IMPVOL",J$1)),_xll.BDH(config!$G$4,J$1,WORKDAY($A64,-1,config_Holiday_Calendar_US),WORKDAY($A64,-1,config_Holiday_Calendar_US)),IF(ISNUMBER(_xll.BDH(config!$G$4,J$1,$A64,$A64)),_xll.BDH(config!$G$4,J$1,$A64,$A64),_xll.BDH(config!$G$5,J$1,$A64,$A64))))</f>
        <v>#N/A Requesting Data...</v>
      </c>
      <c r="K64" s="8" t="str">
        <f>IF($A64="","",IF(ISNUMBER(FIND("IMPVOL",K$1)),_xll.BDH(config!$G$4,K$1,WORKDAY($A64,-1,config_Holiday_Calendar_US),WORKDAY($A64,-1,config_Holiday_Calendar_US)),IF(ISNUMBER(_xll.BDH(config!$G$4,K$1,$A64,$A64)),_xll.BDH(config!$G$4,K$1,$A64,$A64),_xll.BDH(config!$G$5,K$1,$A64,$A64))))</f>
        <v>#N/A Requesting Data...</v>
      </c>
      <c r="L64" s="8" t="str">
        <f>IF($A64="","",IF(ISNUMBER(FIND("IMPVOL",L$1)),_xll.BDH(config!$G$4,L$1,WORKDAY($A64,-1,config_Holiday_Calendar_US),WORKDAY($A64,-1,config_Holiday_Calendar_US)),IF(ISNUMBER(_xll.BDH(config!$G$4,L$1,$A64,$A64)),_xll.BDH(config!$G$4,L$1,$A64,$A64),_xll.BDH(config!$G$5,L$1,$A64,$A64))))</f>
        <v>#N/A Requesting Data...</v>
      </c>
      <c r="M64" s="8" t="str">
        <f>IF($A64="","",IF(ISNUMBER(FIND("IMPVOL",M$1)),_xll.BDH(config!$G$4,M$1,WORKDAY($A64,-1,config_Holiday_Calendar_US),WORKDAY($A64,-1,config_Holiday_Calendar_US)),IF(ISNUMBER(_xll.BDH(config!$G$4,M$1,$A64,$A64)),_xll.BDH(config!$G$4,M$1,$A64,$A64),_xll.BDH(config!$G$5,M$1,$A64,$A64))))</f>
        <v>#N/A Requesting Data...</v>
      </c>
      <c r="N64" s="8" t="str">
        <f>IF($A64="","",IF(ISNUMBER(FIND("IMPVOL",N$1)),_xll.BDH(config!$G$4,N$1,WORKDAY($A64,-1,config_Holiday_Calendar_US),WORKDAY($A64,-1,config_Holiday_Calendar_US)),IF(ISNUMBER(_xll.BDH(config!$G$4,N$1,$A64,$A64)),_xll.BDH(config!$G$4,N$1,$A64,$A64),_xll.BDH(config!$G$5,N$1,$A64,$A64))))</f>
        <v>#N/A Requesting Data...</v>
      </c>
      <c r="O64" s="8" t="str">
        <f>IF($A64="","",IF(ISNUMBER(FIND("IMPVOL",O$1)),_xll.BDH(config!$G$4,O$1,WORKDAY($A64,-1,config_Holiday_Calendar_US),WORKDAY($A64,-1,config_Holiday_Calendar_US)),IF(ISNUMBER(_xll.BDH(config!$G$4,O$1,$A64,$A64)),_xll.BDH(config!$G$4,O$1,$A64,$A64),_xll.BDH(config!$G$5,O$1,$A64,$A64))))</f>
        <v>#N/A Requesting Data...</v>
      </c>
      <c r="P64" s="8" t="str">
        <f>IF($A64="","",IF(ISNUMBER(FIND("IMPVOL",P$1)),_xll.BDH(config!$G$4,P$1,WORKDAY($A64,-1,config_Holiday_Calendar_US),WORKDAY($A64,-1,config_Holiday_Calendar_US)),IF(ISNUMBER(_xll.BDH(config!$G$4,P$1,$A64,$A64)),_xll.BDH(config!$G$4,P$1,$A64,$A64),_xll.BDH(config!$G$5,P$1,$A64,$A64))))</f>
        <v>#N/A Requesting Data...</v>
      </c>
      <c r="Q64" s="8">
        <f>IF($A64="","",IF(ISNUMBER(FIND("IMPVOL",Q$1)),_xll.BDH(config!$G$4,Q$1,WORKDAY($A64,-1,config_Holiday_Calendar_US),WORKDAY($A64,-1,config_Holiday_Calendar_US)),IF(ISNUMBER(_xll.BDH(config!$G$4,Q$1,$A64,$A64)),_xll.BDH(config!$G$4,Q$1,$A64,$A64),_xll.BDH(config!$G$5,Q$1,$A64,$A64))))</f>
        <v>28.84</v>
      </c>
      <c r="R64" s="8">
        <f>IF($A64="","",IF(ISNUMBER(FIND("IMPVOL",R$1)),_xll.BDH(config!$G$4,R$1,WORKDAY($A64,-1,config_Holiday_Calendar_US),WORKDAY($A64,-1,config_Holiday_Calendar_US)),IF(ISNUMBER(_xll.BDH(config!$G$4,R$1,$A64,$A64)),_xll.BDH(config!$G$4,R$1,$A64,$A64),_xll.BDH(config!$G$5,R$1,$A64,$A64))))</f>
        <v>39.5</v>
      </c>
      <c r="S64" s="8" t="str">
        <f>IF($A64="","",IF(ISNUMBER(FIND("IMPVOL",S$1)),_xll.BDH(config!$G$4,S$1,WORKDAY($A64,-1,config_Holiday_Calendar_US),WORKDAY($A64,-1,config_Holiday_Calendar_US)),IF(ISNUMBER(_xll.BDH(config!$G$4,S$1,$A64,$A64)),_xll.BDH(config!$G$4,S$1,$A64,$A64),_xll.BDH(config!$G$5,S$1,$A64,$A64))))</f>
        <v>#N/A Requesting Data...</v>
      </c>
      <c r="T64" s="8" t="str">
        <f>IF($A64="","",IF(ISNUMBER(FIND("IMPVOL",T$1)),_xll.BDH(config!$G$4,T$1,WORKDAY($A64,-1,config_Holiday_Calendar_US),WORKDAY($A64,-1,config_Holiday_Calendar_US)),IF(ISNUMBER(_xll.BDH(config!$G$4,T$1,$A64,$A64)),_xll.BDH(config!$G$4,T$1,$A64,$A64),_xll.BDH(config!$G$5,T$1,$A64,$A64))))</f>
        <v>#N/A Requesting Data...</v>
      </c>
      <c r="U64" s="8" t="str">
        <f>IF($A64="","",IF(ISNUMBER(FIND("IMPVOL",U$1)),_xll.BDH(config!$G$4,U$1,WORKDAY($A64,-1,config_Holiday_Calendar_US),WORKDAY($A64,-1,config_Holiday_Calendar_US)),IF(ISNUMBER(_xll.BDH(config!$G$4,U$1,$A64,$A64)),_xll.BDH(config!$G$4,U$1,$A64,$A64),_xll.BDH(config!$G$5,U$1,$A64,$A64))))</f>
        <v>#N/A Requesting Data...</v>
      </c>
      <c r="V64" s="8" t="str">
        <f>IF($A64="","",IF(ISNUMBER(FIND("IMPVOL",V$1)),_xll.BDH(config!$G$4,V$1,WORKDAY($A64,-1,config_Holiday_Calendar_US),WORKDAY($A64,-1,config_Holiday_Calendar_US)),IF(ISNUMBER(_xll.BDH(config!$G$4,V$1,$A64,$A64)),_xll.BDH(config!$G$4,V$1,$A64,$A64),_xll.BDH(config!$G$5,V$1,$A64,$A64))))</f>
        <v>#N/A Requesting Data...</v>
      </c>
      <c r="W64" s="8" t="str">
        <f>IF($A64="","",IF(ISNUMBER(FIND("IMPVOL",W$1)),_xll.BDH(config!$G$4,W$1,WORKDAY($A64,-1,config_Holiday_Calendar_US),WORKDAY($A64,-1,config_Holiday_Calendar_US)),IF(ISNUMBER(_xll.BDH(config!$G$4,W$1,$A64,$A64)),_xll.BDH(config!$G$4,W$1,$A64,$A64),_xll.BDH(config!$G$5,W$1,$A64,$A64))))</f>
        <v>#N/A Requesting Data...</v>
      </c>
    </row>
    <row r="65" spans="1:23" x14ac:dyDescent="0.2">
      <c r="A65" s="9">
        <f>IF(A64="","",IF(WORKDAY(A64,-1,config_Holiday_Calendar_US)&lt;config!$I$10,"",WORKDAY(A64,-1,config_Holiday_Calendar_US)))</f>
        <v>42744</v>
      </c>
      <c r="B65" s="8" t="e">
        <f t="shared" si="0"/>
        <v>#VALUE!</v>
      </c>
      <c r="C65" s="8" t="str">
        <f>IF(A65="","",_xll.BDH(config!$H$4,C$1,$A65,$A65))</f>
        <v>#N/A Requesting Data...</v>
      </c>
      <c r="D65" s="8" t="str">
        <f>IF($A65="","",_xll.BDH(config!$H$4,D$1,$A65,$A65))</f>
        <v>#N/A Requesting Data...</v>
      </c>
      <c r="E65" s="8">
        <f>IF($A65="","",IF(ISNUMBER(FIND("IMPVOL",E$1)),_xll.BDH(config!$G$4,E$1,WORKDAY($A65,-1,config_Holiday_Calendar_US),WORKDAY($A65,-1,config_Holiday_Calendar_US)),IF(ISNUMBER(_xll.BDH(config!$G$4,E$1,$A65,$A65)),_xll.BDH(config!$G$4,E$1,$A65,$A65),_xll.BDH(config!$G$5,E$1,$A65,$A65))))</f>
        <v>54.6</v>
      </c>
      <c r="F65" s="8">
        <f>IF($A65="","",IF(ISNUMBER(FIND("IMPVOL",F$1)),_xll.BDH(config!$G$4,F$1,WORKDAY($A65,-1,config_Holiday_Calendar_US),WORKDAY($A65,-1,config_Holiday_Calendar_US)),IF(ISNUMBER(_xll.BDH(config!$G$4,F$1,$A65,$A65)),_xll.BDH(config!$G$4,F$1,$A65,$A65),_xll.BDH(config!$G$5,F$1,$A65,$A65))))</f>
        <v>54.73</v>
      </c>
      <c r="G65" s="8">
        <f>IF($A65="","",IF(ISNUMBER(FIND("IMPVOL",G$1)),_xll.BDH(config!$G$4,G$1,WORKDAY($A65,-1,config_Holiday_Calendar_US),WORKDAY($A65,-1,config_Holiday_Calendar_US)),IF(ISNUMBER(_xll.BDH(config!$G$4,G$1,$A65,$A65)),_xll.BDH(config!$G$4,G$1,$A65,$A65),_xll.BDH(config!$G$5,G$1,$A65,$A65))))</f>
        <v>52.67</v>
      </c>
      <c r="H65" s="8">
        <f>IF($A65="","",IF(ISNUMBER(FIND("IMPVOL",H$1)),_xll.BDH(config!$G$4,H$1,WORKDAY($A65,-1,config_Holiday_Calendar_US),WORKDAY($A65,-1,config_Holiday_Calendar_US)),IF(ISNUMBER(_xll.BDH(config!$G$4,H$1,$A65,$A65)),_xll.BDH(config!$G$4,H$1,$A65,$A65),_xll.BDH(config!$G$5,H$1,$A65,$A65))))</f>
        <v>255537</v>
      </c>
      <c r="I65" s="8" t="str">
        <f>IF($A65="","",IF(ISNUMBER(FIND("IMPVOL",I$1)),_xll.BDH(config!$G$4,I$1,WORKDAY($A65,-1,config_Holiday_Calendar_US),WORKDAY($A65,-1,config_Holiday_Calendar_US)),IF(ISNUMBER(_xll.BDH(config!$G$4,I$1,$A65,$A65)),_xll.BDH(config!$G$4,I$1,$A65,$A65),_xll.BDH(config!$G$5,I$1,$A65,$A65))))</f>
        <v>#N/A Requesting Data...</v>
      </c>
      <c r="J65" s="8" t="str">
        <f>IF($A65="","",IF(ISNUMBER(FIND("IMPVOL",J$1)),_xll.BDH(config!$G$4,J$1,WORKDAY($A65,-1,config_Holiday_Calendar_US),WORKDAY($A65,-1,config_Holiday_Calendar_US)),IF(ISNUMBER(_xll.BDH(config!$G$4,J$1,$A65,$A65)),_xll.BDH(config!$G$4,J$1,$A65,$A65),_xll.BDH(config!$G$5,J$1,$A65,$A65))))</f>
        <v>#N/A Requesting Data...</v>
      </c>
      <c r="K65" s="8" t="str">
        <f>IF($A65="","",IF(ISNUMBER(FIND("IMPVOL",K$1)),_xll.BDH(config!$G$4,K$1,WORKDAY($A65,-1,config_Holiday_Calendar_US),WORKDAY($A65,-1,config_Holiday_Calendar_US)),IF(ISNUMBER(_xll.BDH(config!$G$4,K$1,$A65,$A65)),_xll.BDH(config!$G$4,K$1,$A65,$A65),_xll.BDH(config!$G$5,K$1,$A65,$A65))))</f>
        <v>#N/A Requesting Data...</v>
      </c>
      <c r="L65" s="8" t="str">
        <f>IF($A65="","",IF(ISNUMBER(FIND("IMPVOL",L$1)),_xll.BDH(config!$G$4,L$1,WORKDAY($A65,-1,config_Holiday_Calendar_US),WORKDAY($A65,-1,config_Holiday_Calendar_US)),IF(ISNUMBER(_xll.BDH(config!$G$4,L$1,$A65,$A65)),_xll.BDH(config!$G$4,L$1,$A65,$A65),_xll.BDH(config!$G$5,L$1,$A65,$A65))))</f>
        <v>#N/A Requesting Data...</v>
      </c>
      <c r="M65" s="8" t="str">
        <f>IF($A65="","",IF(ISNUMBER(FIND("IMPVOL",M$1)),_xll.BDH(config!$G$4,M$1,WORKDAY($A65,-1,config_Holiday_Calendar_US),WORKDAY($A65,-1,config_Holiday_Calendar_US)),IF(ISNUMBER(_xll.BDH(config!$G$4,M$1,$A65,$A65)),_xll.BDH(config!$G$4,M$1,$A65,$A65),_xll.BDH(config!$G$5,M$1,$A65,$A65))))</f>
        <v>#N/A Requesting Data...</v>
      </c>
      <c r="N65" s="8" t="str">
        <f>IF($A65="","",IF(ISNUMBER(FIND("IMPVOL",N$1)),_xll.BDH(config!$G$4,N$1,WORKDAY($A65,-1,config_Holiday_Calendar_US),WORKDAY($A65,-1,config_Holiday_Calendar_US)),IF(ISNUMBER(_xll.BDH(config!$G$4,N$1,$A65,$A65)),_xll.BDH(config!$G$4,N$1,$A65,$A65),_xll.BDH(config!$G$5,N$1,$A65,$A65))))</f>
        <v>#N/A Requesting Data...</v>
      </c>
      <c r="O65" s="8" t="str">
        <f>IF($A65="","",IF(ISNUMBER(FIND("IMPVOL",O$1)),_xll.BDH(config!$G$4,O$1,WORKDAY($A65,-1,config_Holiday_Calendar_US),WORKDAY($A65,-1,config_Holiday_Calendar_US)),IF(ISNUMBER(_xll.BDH(config!$G$4,O$1,$A65,$A65)),_xll.BDH(config!$G$4,O$1,$A65,$A65),_xll.BDH(config!$G$5,O$1,$A65,$A65))))</f>
        <v>#N/A Requesting Data...</v>
      </c>
      <c r="P65" s="8" t="str">
        <f>IF($A65="","",IF(ISNUMBER(FIND("IMPVOL",P$1)),_xll.BDH(config!$G$4,P$1,WORKDAY($A65,-1,config_Holiday_Calendar_US),WORKDAY($A65,-1,config_Holiday_Calendar_US)),IF(ISNUMBER(_xll.BDH(config!$G$4,P$1,$A65,$A65)),_xll.BDH(config!$G$4,P$1,$A65,$A65),_xll.BDH(config!$G$5,P$1,$A65,$A65))))</f>
        <v>#N/A Requesting Data...</v>
      </c>
      <c r="Q65" s="8">
        <f>IF($A65="","",IF(ISNUMBER(FIND("IMPVOL",Q$1)),_xll.BDH(config!$G$4,Q$1,WORKDAY($A65,-1,config_Holiday_Calendar_US),WORKDAY($A65,-1,config_Holiday_Calendar_US)),IF(ISNUMBER(_xll.BDH(config!$G$4,Q$1,$A65,$A65)),_xll.BDH(config!$G$4,Q$1,$A65,$A65),_xll.BDH(config!$G$5,Q$1,$A65,$A65))))</f>
        <v>29.33</v>
      </c>
      <c r="R65" s="8">
        <f>IF($A65="","",IF(ISNUMBER(FIND("IMPVOL",R$1)),_xll.BDH(config!$G$4,R$1,WORKDAY($A65,-1,config_Holiday_Calendar_US),WORKDAY($A65,-1,config_Holiday_Calendar_US)),IF(ISNUMBER(_xll.BDH(config!$G$4,R$1,$A65,$A65)),_xll.BDH(config!$G$4,R$1,$A65,$A65),_xll.BDH(config!$G$5,R$1,$A65,$A65))))</f>
        <v>39.08</v>
      </c>
      <c r="S65" s="8" t="str">
        <f>IF($A65="","",IF(ISNUMBER(FIND("IMPVOL",S$1)),_xll.BDH(config!$G$4,S$1,WORKDAY($A65,-1,config_Holiday_Calendar_US),WORKDAY($A65,-1,config_Holiday_Calendar_US)),IF(ISNUMBER(_xll.BDH(config!$G$4,S$1,$A65,$A65)),_xll.BDH(config!$G$4,S$1,$A65,$A65),_xll.BDH(config!$G$5,S$1,$A65,$A65))))</f>
        <v>#N/A Requesting Data...</v>
      </c>
      <c r="T65" s="8" t="str">
        <f>IF($A65="","",IF(ISNUMBER(FIND("IMPVOL",T$1)),_xll.BDH(config!$G$4,T$1,WORKDAY($A65,-1,config_Holiday_Calendar_US),WORKDAY($A65,-1,config_Holiday_Calendar_US)),IF(ISNUMBER(_xll.BDH(config!$G$4,T$1,$A65,$A65)),_xll.BDH(config!$G$4,T$1,$A65,$A65),_xll.BDH(config!$G$5,T$1,$A65,$A65))))</f>
        <v>#N/A Requesting Data...</v>
      </c>
      <c r="U65" s="8" t="str">
        <f>IF($A65="","",IF(ISNUMBER(FIND("IMPVOL",U$1)),_xll.BDH(config!$G$4,U$1,WORKDAY($A65,-1,config_Holiday_Calendar_US),WORKDAY($A65,-1,config_Holiday_Calendar_US)),IF(ISNUMBER(_xll.BDH(config!$G$4,U$1,$A65,$A65)),_xll.BDH(config!$G$4,U$1,$A65,$A65),_xll.BDH(config!$G$5,U$1,$A65,$A65))))</f>
        <v>#N/A Requesting Data...</v>
      </c>
      <c r="V65" s="8" t="str">
        <f>IF($A65="","",IF(ISNUMBER(FIND("IMPVOL",V$1)),_xll.BDH(config!$G$4,V$1,WORKDAY($A65,-1,config_Holiday_Calendar_US),WORKDAY($A65,-1,config_Holiday_Calendar_US)),IF(ISNUMBER(_xll.BDH(config!$G$4,V$1,$A65,$A65)),_xll.BDH(config!$G$4,V$1,$A65,$A65),_xll.BDH(config!$G$5,V$1,$A65,$A65))))</f>
        <v>#N/A Requesting Data...</v>
      </c>
      <c r="W65" s="8" t="str">
        <f>IF($A65="","",IF(ISNUMBER(FIND("IMPVOL",W$1)),_xll.BDH(config!$G$4,W$1,WORKDAY($A65,-1,config_Holiday_Calendar_US),WORKDAY($A65,-1,config_Holiday_Calendar_US)),IF(ISNUMBER(_xll.BDH(config!$G$4,W$1,$A65,$A65)),_xll.BDH(config!$G$4,W$1,$A65,$A65),_xll.BDH(config!$G$5,W$1,$A65,$A65))))</f>
        <v>#N/A Requesting Data...</v>
      </c>
    </row>
    <row r="66" spans="1:23" x14ac:dyDescent="0.2">
      <c r="A66" s="9">
        <f>IF(A65="","",IF(WORKDAY(A65,-1,config_Holiday_Calendar_US)&lt;config!$I$10,"",WORKDAY(A65,-1,config_Holiday_Calendar_US)))</f>
        <v>42741</v>
      </c>
      <c r="B66" s="8" t="e">
        <f t="shared" si="0"/>
        <v>#VALUE!</v>
      </c>
      <c r="C66" s="8" t="str">
        <f>IF(A66="","",_xll.BDH(config!$H$4,C$1,$A66,$A66))</f>
        <v>#N/A Requesting Data...</v>
      </c>
      <c r="D66" s="8" t="str">
        <f>IF($A66="","",_xll.BDH(config!$H$4,D$1,$A66,$A66))</f>
        <v>#N/A Requesting Data...</v>
      </c>
      <c r="E66" s="8">
        <f>IF($A66="","",IF(ISNUMBER(FIND("IMPVOL",E$1)),_xll.BDH(config!$G$4,E$1,WORKDAY($A66,-1,config_Holiday_Calendar_US),WORKDAY($A66,-1,config_Holiday_Calendar_US)),IF(ISNUMBER(_xll.BDH(config!$G$4,E$1,$A66,$A66)),_xll.BDH(config!$G$4,E$1,$A66,$A66),_xll.BDH(config!$G$5,E$1,$A66,$A66))))</f>
        <v>54.62</v>
      </c>
      <c r="F66" s="8">
        <f>IF($A66="","",IF(ISNUMBER(FIND("IMPVOL",F$1)),_xll.BDH(config!$G$4,F$1,WORKDAY($A66,-1,config_Holiday_Calendar_US),WORKDAY($A66,-1,config_Holiday_Calendar_US)),IF(ISNUMBER(_xll.BDH(config!$G$4,F$1,$A66,$A66)),_xll.BDH(config!$G$4,F$1,$A66,$A66),_xll.BDH(config!$G$5,F$1,$A66,$A66))))</f>
        <v>55.2</v>
      </c>
      <c r="G66" s="8">
        <f>IF($A66="","",IF(ISNUMBER(FIND("IMPVOL",G$1)),_xll.BDH(config!$G$4,G$1,WORKDAY($A66,-1,config_Holiday_Calendar_US),WORKDAY($A66,-1,config_Holiday_Calendar_US)),IF(ISNUMBER(_xll.BDH(config!$G$4,G$1,$A66,$A66)),_xll.BDH(config!$G$4,G$1,$A66,$A66),_xll.BDH(config!$G$5,G$1,$A66,$A66))))</f>
        <v>54.2</v>
      </c>
      <c r="H66" s="8">
        <f>IF($A66="","",IF(ISNUMBER(FIND("IMPVOL",H$1)),_xll.BDH(config!$G$4,H$1,WORKDAY($A66,-1,config_Holiday_Calendar_US),WORKDAY($A66,-1,config_Holiday_Calendar_US)),IF(ISNUMBER(_xll.BDH(config!$G$4,H$1,$A66,$A66)),_xll.BDH(config!$G$4,H$1,$A66,$A66),_xll.BDH(config!$G$5,H$1,$A66,$A66))))</f>
        <v>193150</v>
      </c>
      <c r="I66" s="8" t="str">
        <f>IF($A66="","",IF(ISNUMBER(FIND("IMPVOL",I$1)),_xll.BDH(config!$G$4,I$1,WORKDAY($A66,-1,config_Holiday_Calendar_US),WORKDAY($A66,-1,config_Holiday_Calendar_US)),IF(ISNUMBER(_xll.BDH(config!$G$4,I$1,$A66,$A66)),_xll.BDH(config!$G$4,I$1,$A66,$A66),_xll.BDH(config!$G$5,I$1,$A66,$A66))))</f>
        <v>#N/A Requesting Data...</v>
      </c>
      <c r="J66" s="8" t="str">
        <f>IF($A66="","",IF(ISNUMBER(FIND("IMPVOL",J$1)),_xll.BDH(config!$G$4,J$1,WORKDAY($A66,-1,config_Holiday_Calendar_US),WORKDAY($A66,-1,config_Holiday_Calendar_US)),IF(ISNUMBER(_xll.BDH(config!$G$4,J$1,$A66,$A66)),_xll.BDH(config!$G$4,J$1,$A66,$A66),_xll.BDH(config!$G$5,J$1,$A66,$A66))))</f>
        <v>#N/A Requesting Data...</v>
      </c>
      <c r="K66" s="8" t="str">
        <f>IF($A66="","",IF(ISNUMBER(FIND("IMPVOL",K$1)),_xll.BDH(config!$G$4,K$1,WORKDAY($A66,-1,config_Holiday_Calendar_US),WORKDAY($A66,-1,config_Holiday_Calendar_US)),IF(ISNUMBER(_xll.BDH(config!$G$4,K$1,$A66,$A66)),_xll.BDH(config!$G$4,K$1,$A66,$A66),_xll.BDH(config!$G$5,K$1,$A66,$A66))))</f>
        <v>#N/A Requesting Data...</v>
      </c>
      <c r="L66" s="8" t="str">
        <f>IF($A66="","",IF(ISNUMBER(FIND("IMPVOL",L$1)),_xll.BDH(config!$G$4,L$1,WORKDAY($A66,-1,config_Holiday_Calendar_US),WORKDAY($A66,-1,config_Holiday_Calendar_US)),IF(ISNUMBER(_xll.BDH(config!$G$4,L$1,$A66,$A66)),_xll.BDH(config!$G$4,L$1,$A66,$A66),_xll.BDH(config!$G$5,L$1,$A66,$A66))))</f>
        <v>#N/A Requesting Data...</v>
      </c>
      <c r="M66" s="8" t="str">
        <f>IF($A66="","",IF(ISNUMBER(FIND("IMPVOL",M$1)),_xll.BDH(config!$G$4,M$1,WORKDAY($A66,-1,config_Holiday_Calendar_US),WORKDAY($A66,-1,config_Holiday_Calendar_US)),IF(ISNUMBER(_xll.BDH(config!$G$4,M$1,$A66,$A66)),_xll.BDH(config!$G$4,M$1,$A66,$A66),_xll.BDH(config!$G$5,M$1,$A66,$A66))))</f>
        <v>#N/A Requesting Data...</v>
      </c>
      <c r="N66" s="8" t="str">
        <f>IF($A66="","",IF(ISNUMBER(FIND("IMPVOL",N$1)),_xll.BDH(config!$G$4,N$1,WORKDAY($A66,-1,config_Holiday_Calendar_US),WORKDAY($A66,-1,config_Holiday_Calendar_US)),IF(ISNUMBER(_xll.BDH(config!$G$4,N$1,$A66,$A66)),_xll.BDH(config!$G$4,N$1,$A66,$A66),_xll.BDH(config!$G$5,N$1,$A66,$A66))))</f>
        <v>#N/A Requesting Data...</v>
      </c>
      <c r="O66" s="8" t="str">
        <f>IF($A66="","",IF(ISNUMBER(FIND("IMPVOL",O$1)),_xll.BDH(config!$G$4,O$1,WORKDAY($A66,-1,config_Holiday_Calendar_US),WORKDAY($A66,-1,config_Holiday_Calendar_US)),IF(ISNUMBER(_xll.BDH(config!$G$4,O$1,$A66,$A66)),_xll.BDH(config!$G$4,O$1,$A66,$A66),_xll.BDH(config!$G$5,O$1,$A66,$A66))))</f>
        <v>#N/A Requesting Data...</v>
      </c>
      <c r="P66" s="8" t="str">
        <f>IF($A66="","",IF(ISNUMBER(FIND("IMPVOL",P$1)),_xll.BDH(config!$G$4,P$1,WORKDAY($A66,-1,config_Holiday_Calendar_US),WORKDAY($A66,-1,config_Holiday_Calendar_US)),IF(ISNUMBER(_xll.BDH(config!$G$4,P$1,$A66,$A66)),_xll.BDH(config!$G$4,P$1,$A66,$A66),_xll.BDH(config!$G$5,P$1,$A66,$A66))))</f>
        <v>#N/A Requesting Data...</v>
      </c>
      <c r="Q66" s="8">
        <f>IF($A66="","",IF(ISNUMBER(FIND("IMPVOL",Q$1)),_xll.BDH(config!$G$4,Q$1,WORKDAY($A66,-1,config_Holiday_Calendar_US),WORKDAY($A66,-1,config_Holiday_Calendar_US)),IF(ISNUMBER(_xll.BDH(config!$G$4,Q$1,$A66,$A66)),_xll.BDH(config!$G$4,Q$1,$A66,$A66),_xll.BDH(config!$G$5,Q$1,$A66,$A66))))</f>
        <v>20.34</v>
      </c>
      <c r="R66" s="8">
        <f>IF($A66="","",IF(ISNUMBER(FIND("IMPVOL",R$1)),_xll.BDH(config!$G$4,R$1,WORKDAY($A66,-1,config_Holiday_Calendar_US),WORKDAY($A66,-1,config_Holiday_Calendar_US)),IF(ISNUMBER(_xll.BDH(config!$G$4,R$1,$A66,$A66)),_xll.BDH(config!$G$4,R$1,$A66,$A66),_xll.BDH(config!$G$5,R$1,$A66,$A66))))</f>
        <v>39.25</v>
      </c>
      <c r="S66" s="8" t="str">
        <f>IF($A66="","",IF(ISNUMBER(FIND("IMPVOL",S$1)),_xll.BDH(config!$G$4,S$1,WORKDAY($A66,-1,config_Holiday_Calendar_US),WORKDAY($A66,-1,config_Holiday_Calendar_US)),IF(ISNUMBER(_xll.BDH(config!$G$4,S$1,$A66,$A66)),_xll.BDH(config!$G$4,S$1,$A66,$A66),_xll.BDH(config!$G$5,S$1,$A66,$A66))))</f>
        <v>#N/A Requesting Data...</v>
      </c>
      <c r="T66" s="8" t="str">
        <f>IF($A66="","",IF(ISNUMBER(FIND("IMPVOL",T$1)),_xll.BDH(config!$G$4,T$1,WORKDAY($A66,-1,config_Holiday_Calendar_US),WORKDAY($A66,-1,config_Holiday_Calendar_US)),IF(ISNUMBER(_xll.BDH(config!$G$4,T$1,$A66,$A66)),_xll.BDH(config!$G$4,T$1,$A66,$A66),_xll.BDH(config!$G$5,T$1,$A66,$A66))))</f>
        <v>#N/A Requesting Data...</v>
      </c>
      <c r="U66" s="8" t="str">
        <f>IF($A66="","",IF(ISNUMBER(FIND("IMPVOL",U$1)),_xll.BDH(config!$G$4,U$1,WORKDAY($A66,-1,config_Holiday_Calendar_US),WORKDAY($A66,-1,config_Holiday_Calendar_US)),IF(ISNUMBER(_xll.BDH(config!$G$4,U$1,$A66,$A66)),_xll.BDH(config!$G$4,U$1,$A66,$A66),_xll.BDH(config!$G$5,U$1,$A66,$A66))))</f>
        <v>#N/A Requesting Data...</v>
      </c>
      <c r="V66" s="8" t="str">
        <f>IF($A66="","",IF(ISNUMBER(FIND("IMPVOL",V$1)),_xll.BDH(config!$G$4,V$1,WORKDAY($A66,-1,config_Holiday_Calendar_US),WORKDAY($A66,-1,config_Holiday_Calendar_US)),IF(ISNUMBER(_xll.BDH(config!$G$4,V$1,$A66,$A66)),_xll.BDH(config!$G$4,V$1,$A66,$A66),_xll.BDH(config!$G$5,V$1,$A66,$A66))))</f>
        <v>#N/A Requesting Data...</v>
      </c>
      <c r="W66" s="8" t="str">
        <f>IF($A66="","",IF(ISNUMBER(FIND("IMPVOL",W$1)),_xll.BDH(config!$G$4,W$1,WORKDAY($A66,-1,config_Holiday_Calendar_US),WORKDAY($A66,-1,config_Holiday_Calendar_US)),IF(ISNUMBER(_xll.BDH(config!$G$4,W$1,$A66,$A66)),_xll.BDH(config!$G$4,W$1,$A66,$A66),_xll.BDH(config!$G$5,W$1,$A66,$A66))))</f>
        <v>#N/A Requesting Data...</v>
      </c>
    </row>
    <row r="67" spans="1:23" x14ac:dyDescent="0.2">
      <c r="A67" s="9">
        <f>IF(A66="","",IF(WORKDAY(A66,-1,config_Holiday_Calendar_US)&lt;config!$I$10,"",WORKDAY(A66,-1,config_Holiday_Calendar_US)))</f>
        <v>42740</v>
      </c>
      <c r="B67" s="8" t="e">
        <f t="shared" ref="B67:B130" si="1">IF(A67="","",IF(SIGN(C67)=1,1,0))</f>
        <v>#VALUE!</v>
      </c>
      <c r="C67" s="8" t="str">
        <f>IF(A67="","",_xll.BDH(config!$H$4,C$1,$A67,$A67))</f>
        <v>#N/A Requesting Data...</v>
      </c>
      <c r="D67" s="8" t="str">
        <f>IF($A67="","",_xll.BDH(config!$H$4,D$1,$A67,$A67))</f>
        <v>#N/A Requesting Data...</v>
      </c>
      <c r="E67" s="8">
        <f>IF($A67="","",IF(ISNUMBER(FIND("IMPVOL",E$1)),_xll.BDH(config!$G$4,E$1,WORKDAY($A67,-1,config_Holiday_Calendar_US),WORKDAY($A67,-1,config_Holiday_Calendar_US)),IF(ISNUMBER(_xll.BDH(config!$G$4,E$1,$A67,$A67)),_xll.BDH(config!$G$4,E$1,$A67,$A67),_xll.BDH(config!$G$5,E$1,$A67,$A67))))</f>
        <v>54.31</v>
      </c>
      <c r="F67" s="8">
        <f>IF($A67="","",IF(ISNUMBER(FIND("IMPVOL",F$1)),_xll.BDH(config!$G$4,F$1,WORKDAY($A67,-1,config_Holiday_Calendar_US),WORKDAY($A67,-1,config_Holiday_Calendar_US)),IF(ISNUMBER(_xll.BDH(config!$G$4,F$1,$A67,$A67)),_xll.BDH(config!$G$4,F$1,$A67,$A67),_xll.BDH(config!$G$5,F$1,$A67,$A67))))</f>
        <v>55.06</v>
      </c>
      <c r="G67" s="8">
        <f>IF($A67="","",IF(ISNUMBER(FIND("IMPVOL",G$1)),_xll.BDH(config!$G$4,G$1,WORKDAY($A67,-1,config_Holiday_Calendar_US),WORKDAY($A67,-1,config_Holiday_Calendar_US)),IF(ISNUMBER(_xll.BDH(config!$G$4,G$1,$A67,$A67)),_xll.BDH(config!$G$4,G$1,$A67,$A67),_xll.BDH(config!$G$5,G$1,$A67,$A67))))</f>
        <v>53.73</v>
      </c>
      <c r="H67" s="8">
        <f>IF($A67="","",IF(ISNUMBER(FIND("IMPVOL",H$1)),_xll.BDH(config!$G$4,H$1,WORKDAY($A67,-1,config_Holiday_Calendar_US),WORKDAY($A67,-1,config_Holiday_Calendar_US)),IF(ISNUMBER(_xll.BDH(config!$G$4,H$1,$A67,$A67)),_xll.BDH(config!$G$4,H$1,$A67,$A67),_xll.BDH(config!$G$5,H$1,$A67,$A67))))</f>
        <v>150609</v>
      </c>
      <c r="I67" s="8" t="str">
        <f>IF($A67="","",IF(ISNUMBER(FIND("IMPVOL",I$1)),_xll.BDH(config!$G$4,I$1,WORKDAY($A67,-1,config_Holiday_Calendar_US),WORKDAY($A67,-1,config_Holiday_Calendar_US)),IF(ISNUMBER(_xll.BDH(config!$G$4,I$1,$A67,$A67)),_xll.BDH(config!$G$4,I$1,$A67,$A67),_xll.BDH(config!$G$5,I$1,$A67,$A67))))</f>
        <v>#N/A Requesting Data...</v>
      </c>
      <c r="J67" s="8" t="str">
        <f>IF($A67="","",IF(ISNUMBER(FIND("IMPVOL",J$1)),_xll.BDH(config!$G$4,J$1,WORKDAY($A67,-1,config_Holiday_Calendar_US),WORKDAY($A67,-1,config_Holiday_Calendar_US)),IF(ISNUMBER(_xll.BDH(config!$G$4,J$1,$A67,$A67)),_xll.BDH(config!$G$4,J$1,$A67,$A67),_xll.BDH(config!$G$5,J$1,$A67,$A67))))</f>
        <v>#N/A Requesting Data...</v>
      </c>
      <c r="K67" s="8" t="str">
        <f>IF($A67="","",IF(ISNUMBER(FIND("IMPVOL",K$1)),_xll.BDH(config!$G$4,K$1,WORKDAY($A67,-1,config_Holiday_Calendar_US),WORKDAY($A67,-1,config_Holiday_Calendar_US)),IF(ISNUMBER(_xll.BDH(config!$G$4,K$1,$A67,$A67)),_xll.BDH(config!$G$4,K$1,$A67,$A67),_xll.BDH(config!$G$5,K$1,$A67,$A67))))</f>
        <v>#N/A Requesting Data...</v>
      </c>
      <c r="L67" s="8" t="str">
        <f>IF($A67="","",IF(ISNUMBER(FIND("IMPVOL",L$1)),_xll.BDH(config!$G$4,L$1,WORKDAY($A67,-1,config_Holiday_Calendar_US),WORKDAY($A67,-1,config_Holiday_Calendar_US)),IF(ISNUMBER(_xll.BDH(config!$G$4,L$1,$A67,$A67)),_xll.BDH(config!$G$4,L$1,$A67,$A67),_xll.BDH(config!$G$5,L$1,$A67,$A67))))</f>
        <v>#N/A Requesting Data...</v>
      </c>
      <c r="M67" s="8" t="str">
        <f>IF($A67="","",IF(ISNUMBER(FIND("IMPVOL",M$1)),_xll.BDH(config!$G$4,M$1,WORKDAY($A67,-1,config_Holiday_Calendar_US),WORKDAY($A67,-1,config_Holiday_Calendar_US)),IF(ISNUMBER(_xll.BDH(config!$G$4,M$1,$A67,$A67)),_xll.BDH(config!$G$4,M$1,$A67,$A67),_xll.BDH(config!$G$5,M$1,$A67,$A67))))</f>
        <v>#N/A Requesting Data...</v>
      </c>
      <c r="N67" s="8" t="str">
        <f>IF($A67="","",IF(ISNUMBER(FIND("IMPVOL",N$1)),_xll.BDH(config!$G$4,N$1,WORKDAY($A67,-1,config_Holiday_Calendar_US),WORKDAY($A67,-1,config_Holiday_Calendar_US)),IF(ISNUMBER(_xll.BDH(config!$G$4,N$1,$A67,$A67)),_xll.BDH(config!$G$4,N$1,$A67,$A67),_xll.BDH(config!$G$5,N$1,$A67,$A67))))</f>
        <v>#N/A Requesting Data...</v>
      </c>
      <c r="O67" s="8" t="str">
        <f>IF($A67="","",IF(ISNUMBER(FIND("IMPVOL",O$1)),_xll.BDH(config!$G$4,O$1,WORKDAY($A67,-1,config_Holiday_Calendar_US),WORKDAY($A67,-1,config_Holiday_Calendar_US)),IF(ISNUMBER(_xll.BDH(config!$G$4,O$1,$A67,$A67)),_xll.BDH(config!$G$4,O$1,$A67,$A67),_xll.BDH(config!$G$5,O$1,$A67,$A67))))</f>
        <v>#N/A Requesting Data...</v>
      </c>
      <c r="P67" s="8" t="str">
        <f>IF($A67="","",IF(ISNUMBER(FIND("IMPVOL",P$1)),_xll.BDH(config!$G$4,P$1,WORKDAY($A67,-1,config_Holiday_Calendar_US),WORKDAY($A67,-1,config_Holiday_Calendar_US)),IF(ISNUMBER(_xll.BDH(config!$G$4,P$1,$A67,$A67)),_xll.BDH(config!$G$4,P$1,$A67,$A67),_xll.BDH(config!$G$5,P$1,$A67,$A67))))</f>
        <v>#N/A Requesting Data...</v>
      </c>
      <c r="Q67" s="8">
        <f>IF($A67="","",IF(ISNUMBER(FIND("IMPVOL",Q$1)),_xll.BDH(config!$G$4,Q$1,WORKDAY($A67,-1,config_Holiday_Calendar_US),WORKDAY($A67,-1,config_Holiday_Calendar_US)),IF(ISNUMBER(_xll.BDH(config!$G$4,Q$1,$A67,$A67)),_xll.BDH(config!$G$4,Q$1,$A67,$A67),_xll.BDH(config!$G$5,Q$1,$A67,$A67))))</f>
        <v>20.68</v>
      </c>
      <c r="R67" s="8">
        <f>IF($A67="","",IF(ISNUMBER(FIND("IMPVOL",R$1)),_xll.BDH(config!$G$4,R$1,WORKDAY($A67,-1,config_Holiday_Calendar_US),WORKDAY($A67,-1,config_Holiday_Calendar_US)),IF(ISNUMBER(_xll.BDH(config!$G$4,R$1,$A67,$A67)),_xll.BDH(config!$G$4,R$1,$A67,$A67),_xll.BDH(config!$G$5,R$1,$A67,$A67))))</f>
        <v>39.28</v>
      </c>
      <c r="S67" s="8" t="str">
        <f>IF($A67="","",IF(ISNUMBER(FIND("IMPVOL",S$1)),_xll.BDH(config!$G$4,S$1,WORKDAY($A67,-1,config_Holiday_Calendar_US),WORKDAY($A67,-1,config_Holiday_Calendar_US)),IF(ISNUMBER(_xll.BDH(config!$G$4,S$1,$A67,$A67)),_xll.BDH(config!$G$4,S$1,$A67,$A67),_xll.BDH(config!$G$5,S$1,$A67,$A67))))</f>
        <v>#N/A Requesting Data...</v>
      </c>
      <c r="T67" s="8" t="str">
        <f>IF($A67="","",IF(ISNUMBER(FIND("IMPVOL",T$1)),_xll.BDH(config!$G$4,T$1,WORKDAY($A67,-1,config_Holiday_Calendar_US),WORKDAY($A67,-1,config_Holiday_Calendar_US)),IF(ISNUMBER(_xll.BDH(config!$G$4,T$1,$A67,$A67)),_xll.BDH(config!$G$4,T$1,$A67,$A67),_xll.BDH(config!$G$5,T$1,$A67,$A67))))</f>
        <v>#N/A Requesting Data...</v>
      </c>
      <c r="U67" s="8" t="str">
        <f>IF($A67="","",IF(ISNUMBER(FIND("IMPVOL",U$1)),_xll.BDH(config!$G$4,U$1,WORKDAY($A67,-1,config_Holiday_Calendar_US),WORKDAY($A67,-1,config_Holiday_Calendar_US)),IF(ISNUMBER(_xll.BDH(config!$G$4,U$1,$A67,$A67)),_xll.BDH(config!$G$4,U$1,$A67,$A67),_xll.BDH(config!$G$5,U$1,$A67,$A67))))</f>
        <v>#N/A Requesting Data...</v>
      </c>
      <c r="V67" s="8" t="str">
        <f>IF($A67="","",IF(ISNUMBER(FIND("IMPVOL",V$1)),_xll.BDH(config!$G$4,V$1,WORKDAY($A67,-1,config_Holiday_Calendar_US),WORKDAY($A67,-1,config_Holiday_Calendar_US)),IF(ISNUMBER(_xll.BDH(config!$G$4,V$1,$A67,$A67)),_xll.BDH(config!$G$4,V$1,$A67,$A67),_xll.BDH(config!$G$5,V$1,$A67,$A67))))</f>
        <v>#N/A Requesting Data...</v>
      </c>
      <c r="W67" s="8" t="str">
        <f>IF($A67="","",IF(ISNUMBER(FIND("IMPVOL",W$1)),_xll.BDH(config!$G$4,W$1,WORKDAY($A67,-1,config_Holiday_Calendar_US),WORKDAY($A67,-1,config_Holiday_Calendar_US)),IF(ISNUMBER(_xll.BDH(config!$G$4,W$1,$A67,$A67)),_xll.BDH(config!$G$4,W$1,$A67,$A67),_xll.BDH(config!$G$5,W$1,$A67,$A67))))</f>
        <v>#N/A Requesting Data...</v>
      </c>
    </row>
    <row r="68" spans="1:23" x14ac:dyDescent="0.2">
      <c r="A68" s="9">
        <f>IF(A67="","",IF(WORKDAY(A67,-1,config_Holiday_Calendar_US)&lt;config!$I$10,"",WORKDAY(A67,-1,config_Holiday_Calendar_US)))</f>
        <v>42739</v>
      </c>
      <c r="B68" s="8" t="e">
        <f t="shared" si="1"/>
        <v>#VALUE!</v>
      </c>
      <c r="C68" s="8" t="str">
        <f>IF(A68="","",_xll.BDH(config!$H$4,C$1,$A68,$A68))</f>
        <v>#N/A Requesting Data...</v>
      </c>
      <c r="D68" s="8" t="str">
        <f>IF($A68="","",_xll.BDH(config!$H$4,D$1,$A68,$A68))</f>
        <v>#N/A Requesting Data...</v>
      </c>
      <c r="E68" s="8">
        <f>IF($A68="","",IF(ISNUMBER(FIND("IMPVOL",E$1)),_xll.BDH(config!$G$4,E$1,WORKDAY($A68,-1,config_Holiday_Calendar_US),WORKDAY($A68,-1,config_Holiday_Calendar_US)),IF(ISNUMBER(_xll.BDH(config!$G$4,E$1,$A68,$A68)),_xll.BDH(config!$G$4,E$1,$A68,$A68),_xll.BDH(config!$G$5,E$1,$A68,$A68))))</f>
        <v>53.48</v>
      </c>
      <c r="F68" s="8">
        <f>IF($A68="","",IF(ISNUMBER(FIND("IMPVOL",F$1)),_xll.BDH(config!$G$4,F$1,WORKDAY($A68,-1,config_Holiday_Calendar_US),WORKDAY($A68,-1,config_Holiday_Calendar_US)),IF(ISNUMBER(_xll.BDH(config!$G$4,F$1,$A68,$A68)),_xll.BDH(config!$G$4,F$1,$A68,$A68),_xll.BDH(config!$G$5,F$1,$A68,$A68))))</f>
        <v>54.38</v>
      </c>
      <c r="G68" s="8">
        <f>IF($A68="","",IF(ISNUMBER(FIND("IMPVOL",G$1)),_xll.BDH(config!$G$4,G$1,WORKDAY($A68,-1,config_Holiday_Calendar_US),WORKDAY($A68,-1,config_Holiday_Calendar_US)),IF(ISNUMBER(_xll.BDH(config!$G$4,G$1,$A68,$A68)),_xll.BDH(config!$G$4,G$1,$A68,$A68),_xll.BDH(config!$G$5,G$1,$A68,$A68))))</f>
        <v>53.13</v>
      </c>
      <c r="H68" s="8">
        <f>IF($A68="","",IF(ISNUMBER(FIND("IMPVOL",H$1)),_xll.BDH(config!$G$4,H$1,WORKDAY($A68,-1,config_Holiday_Calendar_US),WORKDAY($A68,-1,config_Holiday_Calendar_US)),IF(ISNUMBER(_xll.BDH(config!$G$4,H$1,$A68,$A68)),_xll.BDH(config!$G$4,H$1,$A68,$A68),_xll.BDH(config!$G$5,H$1,$A68,$A68))))</f>
        <v>157504</v>
      </c>
      <c r="I68" s="8" t="str">
        <f>IF($A68="","",IF(ISNUMBER(FIND("IMPVOL",I$1)),_xll.BDH(config!$G$4,I$1,WORKDAY($A68,-1,config_Holiday_Calendar_US),WORKDAY($A68,-1,config_Holiday_Calendar_US)),IF(ISNUMBER(_xll.BDH(config!$G$4,I$1,$A68,$A68)),_xll.BDH(config!$G$4,I$1,$A68,$A68),_xll.BDH(config!$G$5,I$1,$A68,$A68))))</f>
        <v>#N/A Requesting Data...</v>
      </c>
      <c r="J68" s="8" t="str">
        <f>IF($A68="","",IF(ISNUMBER(FIND("IMPVOL",J$1)),_xll.BDH(config!$G$4,J$1,WORKDAY($A68,-1,config_Holiday_Calendar_US),WORKDAY($A68,-1,config_Holiday_Calendar_US)),IF(ISNUMBER(_xll.BDH(config!$G$4,J$1,$A68,$A68)),_xll.BDH(config!$G$4,J$1,$A68,$A68),_xll.BDH(config!$G$5,J$1,$A68,$A68))))</f>
        <v>#N/A Requesting Data...</v>
      </c>
      <c r="K68" s="8" t="str">
        <f>IF($A68="","",IF(ISNUMBER(FIND("IMPVOL",K$1)),_xll.BDH(config!$G$4,K$1,WORKDAY($A68,-1,config_Holiday_Calendar_US),WORKDAY($A68,-1,config_Holiday_Calendar_US)),IF(ISNUMBER(_xll.BDH(config!$G$4,K$1,$A68,$A68)),_xll.BDH(config!$G$4,K$1,$A68,$A68),_xll.BDH(config!$G$5,K$1,$A68,$A68))))</f>
        <v>#N/A Requesting Data...</v>
      </c>
      <c r="L68" s="8" t="str">
        <f>IF($A68="","",IF(ISNUMBER(FIND("IMPVOL",L$1)),_xll.BDH(config!$G$4,L$1,WORKDAY($A68,-1,config_Holiday_Calendar_US),WORKDAY($A68,-1,config_Holiday_Calendar_US)),IF(ISNUMBER(_xll.BDH(config!$G$4,L$1,$A68,$A68)),_xll.BDH(config!$G$4,L$1,$A68,$A68),_xll.BDH(config!$G$5,L$1,$A68,$A68))))</f>
        <v>#N/A Requesting Data...</v>
      </c>
      <c r="M68" s="8" t="str">
        <f>IF($A68="","",IF(ISNUMBER(FIND("IMPVOL",M$1)),_xll.BDH(config!$G$4,M$1,WORKDAY($A68,-1,config_Holiday_Calendar_US),WORKDAY($A68,-1,config_Holiday_Calendar_US)),IF(ISNUMBER(_xll.BDH(config!$G$4,M$1,$A68,$A68)),_xll.BDH(config!$G$4,M$1,$A68,$A68),_xll.BDH(config!$G$5,M$1,$A68,$A68))))</f>
        <v>#N/A Requesting Data...</v>
      </c>
      <c r="N68" s="8" t="str">
        <f>IF($A68="","",IF(ISNUMBER(FIND("IMPVOL",N$1)),_xll.BDH(config!$G$4,N$1,WORKDAY($A68,-1,config_Holiday_Calendar_US),WORKDAY($A68,-1,config_Holiday_Calendar_US)),IF(ISNUMBER(_xll.BDH(config!$G$4,N$1,$A68,$A68)),_xll.BDH(config!$G$4,N$1,$A68,$A68),_xll.BDH(config!$G$5,N$1,$A68,$A68))))</f>
        <v>#N/A Requesting Data...</v>
      </c>
      <c r="O68" s="8" t="str">
        <f>IF($A68="","",IF(ISNUMBER(FIND("IMPVOL",O$1)),_xll.BDH(config!$G$4,O$1,WORKDAY($A68,-1,config_Holiday_Calendar_US),WORKDAY($A68,-1,config_Holiday_Calendar_US)),IF(ISNUMBER(_xll.BDH(config!$G$4,O$1,$A68,$A68)),_xll.BDH(config!$G$4,O$1,$A68,$A68),_xll.BDH(config!$G$5,O$1,$A68,$A68))))</f>
        <v>#N/A Requesting Data...</v>
      </c>
      <c r="P68" s="8" t="str">
        <f>IF($A68="","",IF(ISNUMBER(FIND("IMPVOL",P$1)),_xll.BDH(config!$G$4,P$1,WORKDAY($A68,-1,config_Holiday_Calendar_US),WORKDAY($A68,-1,config_Holiday_Calendar_US)),IF(ISNUMBER(_xll.BDH(config!$G$4,P$1,$A68,$A68)),_xll.BDH(config!$G$4,P$1,$A68,$A68),_xll.BDH(config!$G$5,P$1,$A68,$A68))))</f>
        <v>#N/A Requesting Data...</v>
      </c>
      <c r="Q68" s="8">
        <f>IF($A68="","",IF(ISNUMBER(FIND("IMPVOL",Q$1)),_xll.BDH(config!$G$4,Q$1,WORKDAY($A68,-1,config_Holiday_Calendar_US),WORKDAY($A68,-1,config_Holiday_Calendar_US)),IF(ISNUMBER(_xll.BDH(config!$G$4,Q$1,$A68,$A68)),_xll.BDH(config!$G$4,Q$1,$A68,$A68),_xll.BDH(config!$G$5,Q$1,$A68,$A68))))</f>
        <v>20.38</v>
      </c>
      <c r="R68" s="8">
        <f>IF($A68="","",IF(ISNUMBER(FIND("IMPVOL",R$1)),_xll.BDH(config!$G$4,R$1,WORKDAY($A68,-1,config_Holiday_Calendar_US),WORKDAY($A68,-1,config_Holiday_Calendar_US)),IF(ISNUMBER(_xll.BDH(config!$G$4,R$1,$A68,$A68)),_xll.BDH(config!$G$4,R$1,$A68,$A68),_xll.BDH(config!$G$5,R$1,$A68,$A68))))</f>
        <v>39.380000000000003</v>
      </c>
      <c r="S68" s="8" t="str">
        <f>IF($A68="","",IF(ISNUMBER(FIND("IMPVOL",S$1)),_xll.BDH(config!$G$4,S$1,WORKDAY($A68,-1,config_Holiday_Calendar_US),WORKDAY($A68,-1,config_Holiday_Calendar_US)),IF(ISNUMBER(_xll.BDH(config!$G$4,S$1,$A68,$A68)),_xll.BDH(config!$G$4,S$1,$A68,$A68),_xll.BDH(config!$G$5,S$1,$A68,$A68))))</f>
        <v>#N/A Requesting Data...</v>
      </c>
      <c r="T68" s="8" t="str">
        <f>IF($A68="","",IF(ISNUMBER(FIND("IMPVOL",T$1)),_xll.BDH(config!$G$4,T$1,WORKDAY($A68,-1,config_Holiday_Calendar_US),WORKDAY($A68,-1,config_Holiday_Calendar_US)),IF(ISNUMBER(_xll.BDH(config!$G$4,T$1,$A68,$A68)),_xll.BDH(config!$G$4,T$1,$A68,$A68),_xll.BDH(config!$G$5,T$1,$A68,$A68))))</f>
        <v>#N/A Requesting Data...</v>
      </c>
      <c r="U68" s="8" t="str">
        <f>IF($A68="","",IF(ISNUMBER(FIND("IMPVOL",U$1)),_xll.BDH(config!$G$4,U$1,WORKDAY($A68,-1,config_Holiday_Calendar_US),WORKDAY($A68,-1,config_Holiday_Calendar_US)),IF(ISNUMBER(_xll.BDH(config!$G$4,U$1,$A68,$A68)),_xll.BDH(config!$G$4,U$1,$A68,$A68),_xll.BDH(config!$G$5,U$1,$A68,$A68))))</f>
        <v>#N/A Requesting Data...</v>
      </c>
      <c r="V68" s="8" t="str">
        <f>IF($A68="","",IF(ISNUMBER(FIND("IMPVOL",V$1)),_xll.BDH(config!$G$4,V$1,WORKDAY($A68,-1,config_Holiday_Calendar_US),WORKDAY($A68,-1,config_Holiday_Calendar_US)),IF(ISNUMBER(_xll.BDH(config!$G$4,V$1,$A68,$A68)),_xll.BDH(config!$G$4,V$1,$A68,$A68),_xll.BDH(config!$G$5,V$1,$A68,$A68))))</f>
        <v>#N/A Requesting Data...</v>
      </c>
      <c r="W68" s="8" t="str">
        <f>IF($A68="","",IF(ISNUMBER(FIND("IMPVOL",W$1)),_xll.BDH(config!$G$4,W$1,WORKDAY($A68,-1,config_Holiday_Calendar_US),WORKDAY($A68,-1,config_Holiday_Calendar_US)),IF(ISNUMBER(_xll.BDH(config!$G$4,W$1,$A68,$A68)),_xll.BDH(config!$G$4,W$1,$A68,$A68),_xll.BDH(config!$G$5,W$1,$A68,$A68))))</f>
        <v>#N/A Requesting Data...</v>
      </c>
    </row>
    <row r="69" spans="1:23" x14ac:dyDescent="0.2">
      <c r="A69" s="9">
        <f>IF(A68="","",IF(WORKDAY(A68,-1,config_Holiday_Calendar_US)&lt;config!$I$10,"",WORKDAY(A68,-1,config_Holiday_Calendar_US)))</f>
        <v>42738</v>
      </c>
      <c r="B69" s="8" t="e">
        <f t="shared" si="1"/>
        <v>#VALUE!</v>
      </c>
      <c r="C69" s="8" t="str">
        <f>IF(A69="","",_xll.BDH(config!$H$4,C$1,$A69,$A69))</f>
        <v>#N/A Requesting Data...</v>
      </c>
      <c r="D69" s="8" t="str">
        <f>IF($A69="","",_xll.BDH(config!$H$4,D$1,$A69,$A69))</f>
        <v>#N/A Requesting Data...</v>
      </c>
      <c r="E69" s="8">
        <f>IF($A69="","",IF(ISNUMBER(FIND("IMPVOL",E$1)),_xll.BDH(config!$G$4,E$1,WORKDAY($A69,-1,config_Holiday_Calendar_US),WORKDAY($A69,-1,config_Holiday_Calendar_US)),IF(ISNUMBER(_xll.BDH(config!$G$4,E$1,$A69,$A69)),_xll.BDH(config!$G$4,E$1,$A69,$A69),_xll.BDH(config!$G$5,E$1,$A69,$A69))))</f>
        <v>55.05</v>
      </c>
      <c r="F69" s="8">
        <f>IF($A69="","",IF(ISNUMBER(FIND("IMPVOL",F$1)),_xll.BDH(config!$G$4,F$1,WORKDAY($A69,-1,config_Holiday_Calendar_US),WORKDAY($A69,-1,config_Holiday_Calendar_US)),IF(ISNUMBER(_xll.BDH(config!$G$4,F$1,$A69,$A69)),_xll.BDH(config!$G$4,F$1,$A69,$A69),_xll.BDH(config!$G$5,F$1,$A69,$A69))))</f>
        <v>56.18</v>
      </c>
      <c r="G69" s="8">
        <f>IF($A69="","",IF(ISNUMBER(FIND("IMPVOL",G$1)),_xll.BDH(config!$G$4,G$1,WORKDAY($A69,-1,config_Holiday_Calendar_US),WORKDAY($A69,-1,config_Holiday_Calendar_US)),IF(ISNUMBER(_xll.BDH(config!$G$4,G$1,$A69,$A69)),_xll.BDH(config!$G$4,G$1,$A69,$A69),_xll.BDH(config!$G$5,G$1,$A69,$A69))))</f>
        <v>53.08</v>
      </c>
      <c r="H69" s="8">
        <f>IF($A69="","",IF(ISNUMBER(FIND("IMPVOL",H$1)),_xll.BDH(config!$G$4,H$1,WORKDAY($A69,-1,config_Holiday_Calendar_US),WORKDAY($A69,-1,config_Holiday_Calendar_US)),IF(ISNUMBER(_xll.BDH(config!$G$4,H$1,$A69,$A69)),_xll.BDH(config!$G$4,H$1,$A69,$A69),_xll.BDH(config!$G$5,H$1,$A69,$A69))))</f>
        <v>239830</v>
      </c>
      <c r="I69" s="8" t="str">
        <f>IF($A69="","",IF(ISNUMBER(FIND("IMPVOL",I$1)),_xll.BDH(config!$G$4,I$1,WORKDAY($A69,-1,config_Holiday_Calendar_US),WORKDAY($A69,-1,config_Holiday_Calendar_US)),IF(ISNUMBER(_xll.BDH(config!$G$4,I$1,$A69,$A69)),_xll.BDH(config!$G$4,I$1,$A69,$A69),_xll.BDH(config!$G$5,I$1,$A69,$A69))))</f>
        <v>#N/A Requesting Data...</v>
      </c>
      <c r="J69" s="8" t="str">
        <f>IF($A69="","",IF(ISNUMBER(FIND("IMPVOL",J$1)),_xll.BDH(config!$G$4,J$1,WORKDAY($A69,-1,config_Holiday_Calendar_US),WORKDAY($A69,-1,config_Holiday_Calendar_US)),IF(ISNUMBER(_xll.BDH(config!$G$4,J$1,$A69,$A69)),_xll.BDH(config!$G$4,J$1,$A69,$A69),_xll.BDH(config!$G$5,J$1,$A69,$A69))))</f>
        <v>#N/A Requesting Data...</v>
      </c>
      <c r="K69" s="8" t="str">
        <f>IF($A69="","",IF(ISNUMBER(FIND("IMPVOL",K$1)),_xll.BDH(config!$G$4,K$1,WORKDAY($A69,-1,config_Holiday_Calendar_US),WORKDAY($A69,-1,config_Holiday_Calendar_US)),IF(ISNUMBER(_xll.BDH(config!$G$4,K$1,$A69,$A69)),_xll.BDH(config!$G$4,K$1,$A69,$A69),_xll.BDH(config!$G$5,K$1,$A69,$A69))))</f>
        <v>#N/A Requesting Data...</v>
      </c>
      <c r="L69" s="8" t="str">
        <f>IF($A69="","",IF(ISNUMBER(FIND("IMPVOL",L$1)),_xll.BDH(config!$G$4,L$1,WORKDAY($A69,-1,config_Holiday_Calendar_US),WORKDAY($A69,-1,config_Holiday_Calendar_US)),IF(ISNUMBER(_xll.BDH(config!$G$4,L$1,$A69,$A69)),_xll.BDH(config!$G$4,L$1,$A69,$A69),_xll.BDH(config!$G$5,L$1,$A69,$A69))))</f>
        <v>#N/A Requesting Data...</v>
      </c>
      <c r="M69" s="8" t="str">
        <f>IF($A69="","",IF(ISNUMBER(FIND("IMPVOL",M$1)),_xll.BDH(config!$G$4,M$1,WORKDAY($A69,-1,config_Holiday_Calendar_US),WORKDAY($A69,-1,config_Holiday_Calendar_US)),IF(ISNUMBER(_xll.BDH(config!$G$4,M$1,$A69,$A69)),_xll.BDH(config!$G$4,M$1,$A69,$A69),_xll.BDH(config!$G$5,M$1,$A69,$A69))))</f>
        <v>#N/A Requesting Data...</v>
      </c>
      <c r="N69" s="8" t="str">
        <f>IF($A69="","",IF(ISNUMBER(FIND("IMPVOL",N$1)),_xll.BDH(config!$G$4,N$1,WORKDAY($A69,-1,config_Holiday_Calendar_US),WORKDAY($A69,-1,config_Holiday_Calendar_US)),IF(ISNUMBER(_xll.BDH(config!$G$4,N$1,$A69,$A69)),_xll.BDH(config!$G$4,N$1,$A69,$A69),_xll.BDH(config!$G$5,N$1,$A69,$A69))))</f>
        <v>#N/A Requesting Data...</v>
      </c>
      <c r="O69" s="8" t="str">
        <f>IF($A69="","",IF(ISNUMBER(FIND("IMPVOL",O$1)),_xll.BDH(config!$G$4,O$1,WORKDAY($A69,-1,config_Holiday_Calendar_US),WORKDAY($A69,-1,config_Holiday_Calendar_US)),IF(ISNUMBER(_xll.BDH(config!$G$4,O$1,$A69,$A69)),_xll.BDH(config!$G$4,O$1,$A69,$A69),_xll.BDH(config!$G$5,O$1,$A69,$A69))))</f>
        <v>#N/A Requesting Data...</v>
      </c>
      <c r="P69" s="8" t="str">
        <f>IF($A69="","",IF(ISNUMBER(FIND("IMPVOL",P$1)),_xll.BDH(config!$G$4,P$1,WORKDAY($A69,-1,config_Holiday_Calendar_US),WORKDAY($A69,-1,config_Holiday_Calendar_US)),IF(ISNUMBER(_xll.BDH(config!$G$4,P$1,$A69,$A69)),_xll.BDH(config!$G$4,P$1,$A69,$A69),_xll.BDH(config!$G$5,P$1,$A69,$A69))))</f>
        <v>#N/A Requesting Data...</v>
      </c>
      <c r="Q69" s="8">
        <f>IF($A69="","",IF(ISNUMBER(FIND("IMPVOL",Q$1)),_xll.BDH(config!$G$4,Q$1,WORKDAY($A69,-1,config_Holiday_Calendar_US),WORKDAY($A69,-1,config_Holiday_Calendar_US)),IF(ISNUMBER(_xll.BDH(config!$G$4,Q$1,$A69,$A69)),_xll.BDH(config!$G$4,Q$1,$A69,$A69),_xll.BDH(config!$G$5,Q$1,$A69,$A69))))</f>
        <v>18.29</v>
      </c>
      <c r="R69" s="8">
        <f>IF($A69="","",IF(ISNUMBER(FIND("IMPVOL",R$1)),_xll.BDH(config!$G$4,R$1,WORKDAY($A69,-1,config_Holiday_Calendar_US),WORKDAY($A69,-1,config_Holiday_Calendar_US)),IF(ISNUMBER(_xll.BDH(config!$G$4,R$1,$A69,$A69)),_xll.BDH(config!$G$4,R$1,$A69,$A69),_xll.BDH(config!$G$5,R$1,$A69,$A69))))</f>
        <v>40.64</v>
      </c>
      <c r="S69" s="8" t="str">
        <f>IF($A69="","",IF(ISNUMBER(FIND("IMPVOL",S$1)),_xll.BDH(config!$G$4,S$1,WORKDAY($A69,-1,config_Holiday_Calendar_US),WORKDAY($A69,-1,config_Holiday_Calendar_US)),IF(ISNUMBER(_xll.BDH(config!$G$4,S$1,$A69,$A69)),_xll.BDH(config!$G$4,S$1,$A69,$A69),_xll.BDH(config!$G$5,S$1,$A69,$A69))))</f>
        <v>#N/A Requesting Data...</v>
      </c>
      <c r="T69" s="8" t="str">
        <f>IF($A69="","",IF(ISNUMBER(FIND("IMPVOL",T$1)),_xll.BDH(config!$G$4,T$1,WORKDAY($A69,-1,config_Holiday_Calendar_US),WORKDAY($A69,-1,config_Holiday_Calendar_US)),IF(ISNUMBER(_xll.BDH(config!$G$4,T$1,$A69,$A69)),_xll.BDH(config!$G$4,T$1,$A69,$A69),_xll.BDH(config!$G$5,T$1,$A69,$A69))))</f>
        <v>#N/A Requesting Data...</v>
      </c>
      <c r="U69" s="8" t="str">
        <f>IF($A69="","",IF(ISNUMBER(FIND("IMPVOL",U$1)),_xll.BDH(config!$G$4,U$1,WORKDAY($A69,-1,config_Holiday_Calendar_US),WORKDAY($A69,-1,config_Holiday_Calendar_US)),IF(ISNUMBER(_xll.BDH(config!$G$4,U$1,$A69,$A69)),_xll.BDH(config!$G$4,U$1,$A69,$A69),_xll.BDH(config!$G$5,U$1,$A69,$A69))))</f>
        <v>#N/A Requesting Data...</v>
      </c>
      <c r="V69" s="8" t="str">
        <f>IF($A69="","",IF(ISNUMBER(FIND("IMPVOL",V$1)),_xll.BDH(config!$G$4,V$1,WORKDAY($A69,-1,config_Holiday_Calendar_US),WORKDAY($A69,-1,config_Holiday_Calendar_US)),IF(ISNUMBER(_xll.BDH(config!$G$4,V$1,$A69,$A69)),_xll.BDH(config!$G$4,V$1,$A69,$A69),_xll.BDH(config!$G$5,V$1,$A69,$A69))))</f>
        <v>#N/A Requesting Data...</v>
      </c>
      <c r="W69" s="8" t="str">
        <f>IF($A69="","",IF(ISNUMBER(FIND("IMPVOL",W$1)),_xll.BDH(config!$G$4,W$1,WORKDAY($A69,-1,config_Holiday_Calendar_US),WORKDAY($A69,-1,config_Holiday_Calendar_US)),IF(ISNUMBER(_xll.BDH(config!$G$4,W$1,$A69,$A69)),_xll.BDH(config!$G$4,W$1,$A69,$A69),_xll.BDH(config!$G$5,W$1,$A69,$A69))))</f>
        <v>#N/A Requesting Data...</v>
      </c>
    </row>
    <row r="70" spans="1:23" x14ac:dyDescent="0.2">
      <c r="A70" s="9">
        <f>IF(A69="","",IF(WORKDAY(A69,-1,config_Holiday_Calendar_US)&lt;config!$I$10,"",WORKDAY(A69,-1,config_Holiday_Calendar_US)))</f>
        <v>42734</v>
      </c>
      <c r="B70" s="8" t="e">
        <f t="shared" si="1"/>
        <v>#VALUE!</v>
      </c>
      <c r="C70" s="8" t="str">
        <f>IF(A70="","",_xll.BDH(config!$H$4,C$1,$A70,$A70))</f>
        <v>#N/A Requesting Data...</v>
      </c>
      <c r="D70" s="8" t="str">
        <f>IF($A70="","",_xll.BDH(config!$H$4,D$1,$A70,$A70))</f>
        <v>#N/A Requesting Data...</v>
      </c>
      <c r="E70" s="8">
        <f>IF($A70="","",IF(ISNUMBER(FIND("IMPVOL",E$1)),_xll.BDH(config!$G$4,E$1,WORKDAY($A70,-1,config_Holiday_Calendar_US),WORKDAY($A70,-1,config_Holiday_Calendar_US)),IF(ISNUMBER(_xll.BDH(config!$G$4,E$1,$A70,$A70)),_xll.BDH(config!$G$4,E$1,$A70,$A70),_xll.BDH(config!$G$5,E$1,$A70,$A70))))</f>
        <v>54.81</v>
      </c>
      <c r="F70" s="8">
        <f>IF($A70="","",IF(ISNUMBER(FIND("IMPVOL",F$1)),_xll.BDH(config!$G$4,F$1,WORKDAY($A70,-1,config_Holiday_Calendar_US),WORKDAY($A70,-1,config_Holiday_Calendar_US)),IF(ISNUMBER(_xll.BDH(config!$G$4,F$1,$A70,$A70)),_xll.BDH(config!$G$4,F$1,$A70,$A70),_xll.BDH(config!$G$5,F$1,$A70,$A70))))</f>
        <v>55.02</v>
      </c>
      <c r="G70" s="8">
        <f>IF($A70="","",IF(ISNUMBER(FIND("IMPVOL",G$1)),_xll.BDH(config!$G$4,G$1,WORKDAY($A70,-1,config_Holiday_Calendar_US),WORKDAY($A70,-1,config_Holiday_Calendar_US)),IF(ISNUMBER(_xll.BDH(config!$G$4,G$1,$A70,$A70)),_xll.BDH(config!$G$4,G$1,$A70,$A70),_xll.BDH(config!$G$5,G$1,$A70,$A70))))</f>
        <v>54.37</v>
      </c>
      <c r="H70" s="8">
        <f>IF($A70="","",IF(ISNUMBER(FIND("IMPVOL",H$1)),_xll.BDH(config!$G$4,H$1,WORKDAY($A70,-1,config_Holiday_Calendar_US),WORKDAY($A70,-1,config_Holiday_Calendar_US)),IF(ISNUMBER(_xll.BDH(config!$G$4,H$1,$A70,$A70)),_xll.BDH(config!$G$4,H$1,$A70,$A70),_xll.BDH(config!$G$5,H$1,$A70,$A70))))</f>
        <v>76883</v>
      </c>
      <c r="I70" s="8" t="str">
        <f>IF($A70="","",IF(ISNUMBER(FIND("IMPVOL",I$1)),_xll.BDH(config!$G$4,I$1,WORKDAY($A70,-1,config_Holiday_Calendar_US),WORKDAY($A70,-1,config_Holiday_Calendar_US)),IF(ISNUMBER(_xll.BDH(config!$G$4,I$1,$A70,$A70)),_xll.BDH(config!$G$4,I$1,$A70,$A70),_xll.BDH(config!$G$5,I$1,$A70,$A70))))</f>
        <v>#N/A Requesting Data...</v>
      </c>
      <c r="J70" s="8" t="str">
        <f>IF($A70="","",IF(ISNUMBER(FIND("IMPVOL",J$1)),_xll.BDH(config!$G$4,J$1,WORKDAY($A70,-1,config_Holiday_Calendar_US),WORKDAY($A70,-1,config_Holiday_Calendar_US)),IF(ISNUMBER(_xll.BDH(config!$G$4,J$1,$A70,$A70)),_xll.BDH(config!$G$4,J$1,$A70,$A70),_xll.BDH(config!$G$5,J$1,$A70,$A70))))</f>
        <v>#N/A Requesting Data...</v>
      </c>
      <c r="K70" s="8" t="str">
        <f>IF($A70="","",IF(ISNUMBER(FIND("IMPVOL",K$1)),_xll.BDH(config!$G$4,K$1,WORKDAY($A70,-1,config_Holiday_Calendar_US),WORKDAY($A70,-1,config_Holiday_Calendar_US)),IF(ISNUMBER(_xll.BDH(config!$G$4,K$1,$A70,$A70)),_xll.BDH(config!$G$4,K$1,$A70,$A70),_xll.BDH(config!$G$5,K$1,$A70,$A70))))</f>
        <v>#N/A Requesting Data...</v>
      </c>
      <c r="L70" s="8" t="str">
        <f>IF($A70="","",IF(ISNUMBER(FIND("IMPVOL",L$1)),_xll.BDH(config!$G$4,L$1,WORKDAY($A70,-1,config_Holiday_Calendar_US),WORKDAY($A70,-1,config_Holiday_Calendar_US)),IF(ISNUMBER(_xll.BDH(config!$G$4,L$1,$A70,$A70)),_xll.BDH(config!$G$4,L$1,$A70,$A70),_xll.BDH(config!$G$5,L$1,$A70,$A70))))</f>
        <v>#N/A Requesting Data...</v>
      </c>
      <c r="M70" s="8" t="str">
        <f>IF($A70="","",IF(ISNUMBER(FIND("IMPVOL",M$1)),_xll.BDH(config!$G$4,M$1,WORKDAY($A70,-1,config_Holiday_Calendar_US),WORKDAY($A70,-1,config_Holiday_Calendar_US)),IF(ISNUMBER(_xll.BDH(config!$G$4,M$1,$A70,$A70)),_xll.BDH(config!$G$4,M$1,$A70,$A70),_xll.BDH(config!$G$5,M$1,$A70,$A70))))</f>
        <v>#N/A Requesting Data...</v>
      </c>
      <c r="N70" s="8" t="str">
        <f>IF($A70="","",IF(ISNUMBER(FIND("IMPVOL",N$1)),_xll.BDH(config!$G$4,N$1,WORKDAY($A70,-1,config_Holiday_Calendar_US),WORKDAY($A70,-1,config_Holiday_Calendar_US)),IF(ISNUMBER(_xll.BDH(config!$G$4,N$1,$A70,$A70)),_xll.BDH(config!$G$4,N$1,$A70,$A70),_xll.BDH(config!$G$5,N$1,$A70,$A70))))</f>
        <v>#N/A Requesting Data...</v>
      </c>
      <c r="O70" s="8" t="str">
        <f>IF($A70="","",IF(ISNUMBER(FIND("IMPVOL",O$1)),_xll.BDH(config!$G$4,O$1,WORKDAY($A70,-1,config_Holiday_Calendar_US),WORKDAY($A70,-1,config_Holiday_Calendar_US)),IF(ISNUMBER(_xll.BDH(config!$G$4,O$1,$A70,$A70)),_xll.BDH(config!$G$4,O$1,$A70,$A70),_xll.BDH(config!$G$5,O$1,$A70,$A70))))</f>
        <v>#N/A Requesting Data...</v>
      </c>
      <c r="P70" s="8" t="str">
        <f>IF($A70="","",IF(ISNUMBER(FIND("IMPVOL",P$1)),_xll.BDH(config!$G$4,P$1,WORKDAY($A70,-1,config_Holiday_Calendar_US),WORKDAY($A70,-1,config_Holiday_Calendar_US)),IF(ISNUMBER(_xll.BDH(config!$G$4,P$1,$A70,$A70)),_xll.BDH(config!$G$4,P$1,$A70,$A70),_xll.BDH(config!$G$5,P$1,$A70,$A70))))</f>
        <v>#N/A Requesting Data...</v>
      </c>
      <c r="Q70" s="8">
        <f>IF($A70="","",IF(ISNUMBER(FIND("IMPVOL",Q$1)),_xll.BDH(config!$G$4,Q$1,WORKDAY($A70,-1,config_Holiday_Calendar_US),WORKDAY($A70,-1,config_Holiday_Calendar_US)),IF(ISNUMBER(_xll.BDH(config!$G$4,Q$1,$A70,$A70)),_xll.BDH(config!$G$4,Q$1,$A70,$A70),_xll.BDH(config!$G$5,Q$1,$A70,$A70))))</f>
        <v>9.5299999999999994</v>
      </c>
      <c r="R70" s="8">
        <f>IF($A70="","",IF(ISNUMBER(FIND("IMPVOL",R$1)),_xll.BDH(config!$G$4,R$1,WORKDAY($A70,-1,config_Holiday_Calendar_US),WORKDAY($A70,-1,config_Holiday_Calendar_US)),IF(ISNUMBER(_xll.BDH(config!$G$4,R$1,$A70,$A70)),_xll.BDH(config!$G$4,R$1,$A70,$A70),_xll.BDH(config!$G$5,R$1,$A70,$A70))))</f>
        <v>39.549999999999997</v>
      </c>
      <c r="S70" s="8" t="str">
        <f>IF($A70="","",IF(ISNUMBER(FIND("IMPVOL",S$1)),_xll.BDH(config!$G$4,S$1,WORKDAY($A70,-1,config_Holiday_Calendar_US),WORKDAY($A70,-1,config_Holiday_Calendar_US)),IF(ISNUMBER(_xll.BDH(config!$G$4,S$1,$A70,$A70)),_xll.BDH(config!$G$4,S$1,$A70,$A70),_xll.BDH(config!$G$5,S$1,$A70,$A70))))</f>
        <v>#N/A Requesting Data...</v>
      </c>
      <c r="T70" s="8" t="str">
        <f>IF($A70="","",IF(ISNUMBER(FIND("IMPVOL",T$1)),_xll.BDH(config!$G$4,T$1,WORKDAY($A70,-1,config_Holiday_Calendar_US),WORKDAY($A70,-1,config_Holiday_Calendar_US)),IF(ISNUMBER(_xll.BDH(config!$G$4,T$1,$A70,$A70)),_xll.BDH(config!$G$4,T$1,$A70,$A70),_xll.BDH(config!$G$5,T$1,$A70,$A70))))</f>
        <v>#N/A Requesting Data...</v>
      </c>
      <c r="U70" s="8" t="str">
        <f>IF($A70="","",IF(ISNUMBER(FIND("IMPVOL",U$1)),_xll.BDH(config!$G$4,U$1,WORKDAY($A70,-1,config_Holiday_Calendar_US),WORKDAY($A70,-1,config_Holiday_Calendar_US)),IF(ISNUMBER(_xll.BDH(config!$G$4,U$1,$A70,$A70)),_xll.BDH(config!$G$4,U$1,$A70,$A70),_xll.BDH(config!$G$5,U$1,$A70,$A70))))</f>
        <v>#N/A Requesting Data...</v>
      </c>
      <c r="V70" s="8" t="str">
        <f>IF($A70="","",IF(ISNUMBER(FIND("IMPVOL",V$1)),_xll.BDH(config!$G$4,V$1,WORKDAY($A70,-1,config_Holiday_Calendar_US),WORKDAY($A70,-1,config_Holiday_Calendar_US)),IF(ISNUMBER(_xll.BDH(config!$G$4,V$1,$A70,$A70)),_xll.BDH(config!$G$4,V$1,$A70,$A70),_xll.BDH(config!$G$5,V$1,$A70,$A70))))</f>
        <v>#N/A Requesting Data...</v>
      </c>
      <c r="W70" s="8" t="str">
        <f>IF($A70="","",IF(ISNUMBER(FIND("IMPVOL",W$1)),_xll.BDH(config!$G$4,W$1,WORKDAY($A70,-1,config_Holiday_Calendar_US),WORKDAY($A70,-1,config_Holiday_Calendar_US)),IF(ISNUMBER(_xll.BDH(config!$G$4,W$1,$A70,$A70)),_xll.BDH(config!$G$4,W$1,$A70,$A70),_xll.BDH(config!$G$5,W$1,$A70,$A70))))</f>
        <v>#N/A Requesting Data...</v>
      </c>
    </row>
    <row r="71" spans="1:23" x14ac:dyDescent="0.2">
      <c r="A71" s="9">
        <f>IF(A70="","",IF(WORKDAY(A70,-1,config_Holiday_Calendar_US)&lt;config!$I$10,"",WORKDAY(A70,-1,config_Holiday_Calendar_US)))</f>
        <v>42733</v>
      </c>
      <c r="B71" s="8" t="e">
        <f t="shared" si="1"/>
        <v>#VALUE!</v>
      </c>
      <c r="C71" s="8" t="str">
        <f>IF(A71="","",_xll.BDH(config!$H$4,C$1,$A71,$A71))</f>
        <v>#N/A Requesting Data...</v>
      </c>
      <c r="D71" s="8" t="str">
        <f>IF($A71="","",_xll.BDH(config!$H$4,D$1,$A71,$A71))</f>
        <v>#N/A Requesting Data...</v>
      </c>
      <c r="E71" s="8">
        <f>IF($A71="","",IF(ISNUMBER(FIND("IMPVOL",E$1)),_xll.BDH(config!$G$4,E$1,WORKDAY($A71,-1,config_Holiday_Calendar_US),WORKDAY($A71,-1,config_Holiday_Calendar_US)),IF(ISNUMBER(_xll.BDH(config!$G$4,E$1,$A71,$A71)),_xll.BDH(config!$G$4,E$1,$A71,$A71),_xll.BDH(config!$G$5,E$1,$A71,$A71))))</f>
        <v>54.53</v>
      </c>
      <c r="F71" s="8">
        <f>IF($A71="","",IF(ISNUMBER(FIND("IMPVOL",F$1)),_xll.BDH(config!$G$4,F$1,WORKDAY($A71,-1,config_Holiday_Calendar_US),WORKDAY($A71,-1,config_Holiday_Calendar_US)),IF(ISNUMBER(_xll.BDH(config!$G$4,F$1,$A71,$A71)),_xll.BDH(config!$G$4,F$1,$A71,$A71),_xll.BDH(config!$G$5,F$1,$A71,$A71))))</f>
        <v>55.15</v>
      </c>
      <c r="G71" s="8">
        <f>IF($A71="","",IF(ISNUMBER(FIND("IMPVOL",G$1)),_xll.BDH(config!$G$4,G$1,WORKDAY($A71,-1,config_Holiday_Calendar_US),WORKDAY($A71,-1,config_Holiday_Calendar_US)),IF(ISNUMBER(_xll.BDH(config!$G$4,G$1,$A71,$A71)),_xll.BDH(config!$G$4,G$1,$A71,$A71),_xll.BDH(config!$G$5,G$1,$A71,$A71))))</f>
        <v>54.39</v>
      </c>
      <c r="H71" s="8">
        <f>IF($A71="","",IF(ISNUMBER(FIND("IMPVOL",H$1)),_xll.BDH(config!$G$4,H$1,WORKDAY($A71,-1,config_Holiday_Calendar_US),WORKDAY($A71,-1,config_Holiday_Calendar_US)),IF(ISNUMBER(_xll.BDH(config!$G$4,H$1,$A71,$A71)),_xll.BDH(config!$G$4,H$1,$A71,$A71),_xll.BDH(config!$G$5,H$1,$A71,$A71))))</f>
        <v>128316</v>
      </c>
      <c r="I71" s="8" t="str">
        <f>IF($A71="","",IF(ISNUMBER(FIND("IMPVOL",I$1)),_xll.BDH(config!$G$4,I$1,WORKDAY($A71,-1,config_Holiday_Calendar_US),WORKDAY($A71,-1,config_Holiday_Calendar_US)),IF(ISNUMBER(_xll.BDH(config!$G$4,I$1,$A71,$A71)),_xll.BDH(config!$G$4,I$1,$A71,$A71),_xll.BDH(config!$G$5,I$1,$A71,$A71))))</f>
        <v>#N/A Requesting Data...</v>
      </c>
      <c r="J71" s="8" t="str">
        <f>IF($A71="","",IF(ISNUMBER(FIND("IMPVOL",J$1)),_xll.BDH(config!$G$4,J$1,WORKDAY($A71,-1,config_Holiday_Calendar_US),WORKDAY($A71,-1,config_Holiday_Calendar_US)),IF(ISNUMBER(_xll.BDH(config!$G$4,J$1,$A71,$A71)),_xll.BDH(config!$G$4,J$1,$A71,$A71),_xll.BDH(config!$G$5,J$1,$A71,$A71))))</f>
        <v>#N/A Requesting Data...</v>
      </c>
      <c r="K71" s="8" t="str">
        <f>IF($A71="","",IF(ISNUMBER(FIND("IMPVOL",K$1)),_xll.BDH(config!$G$4,K$1,WORKDAY($A71,-1,config_Holiday_Calendar_US),WORKDAY($A71,-1,config_Holiday_Calendar_US)),IF(ISNUMBER(_xll.BDH(config!$G$4,K$1,$A71,$A71)),_xll.BDH(config!$G$4,K$1,$A71,$A71),_xll.BDH(config!$G$5,K$1,$A71,$A71))))</f>
        <v>#N/A Requesting Data...</v>
      </c>
      <c r="L71" s="8" t="str">
        <f>IF($A71="","",IF(ISNUMBER(FIND("IMPVOL",L$1)),_xll.BDH(config!$G$4,L$1,WORKDAY($A71,-1,config_Holiday_Calendar_US),WORKDAY($A71,-1,config_Holiday_Calendar_US)),IF(ISNUMBER(_xll.BDH(config!$G$4,L$1,$A71,$A71)),_xll.BDH(config!$G$4,L$1,$A71,$A71),_xll.BDH(config!$G$5,L$1,$A71,$A71))))</f>
        <v>#N/A Requesting Data...</v>
      </c>
      <c r="M71" s="8" t="str">
        <f>IF($A71="","",IF(ISNUMBER(FIND("IMPVOL",M$1)),_xll.BDH(config!$G$4,M$1,WORKDAY($A71,-1,config_Holiday_Calendar_US),WORKDAY($A71,-1,config_Holiday_Calendar_US)),IF(ISNUMBER(_xll.BDH(config!$G$4,M$1,$A71,$A71)),_xll.BDH(config!$G$4,M$1,$A71,$A71),_xll.BDH(config!$G$5,M$1,$A71,$A71))))</f>
        <v>#N/A Requesting Data...</v>
      </c>
      <c r="N71" s="8" t="str">
        <f>IF($A71="","",IF(ISNUMBER(FIND("IMPVOL",N$1)),_xll.BDH(config!$G$4,N$1,WORKDAY($A71,-1,config_Holiday_Calendar_US),WORKDAY($A71,-1,config_Holiday_Calendar_US)),IF(ISNUMBER(_xll.BDH(config!$G$4,N$1,$A71,$A71)),_xll.BDH(config!$G$4,N$1,$A71,$A71),_xll.BDH(config!$G$5,N$1,$A71,$A71))))</f>
        <v>#N/A Requesting Data...</v>
      </c>
      <c r="O71" s="8" t="str">
        <f>IF($A71="","",IF(ISNUMBER(FIND("IMPVOL",O$1)),_xll.BDH(config!$G$4,O$1,WORKDAY($A71,-1,config_Holiday_Calendar_US),WORKDAY($A71,-1,config_Holiday_Calendar_US)),IF(ISNUMBER(_xll.BDH(config!$G$4,O$1,$A71,$A71)),_xll.BDH(config!$G$4,O$1,$A71,$A71),_xll.BDH(config!$G$5,O$1,$A71,$A71))))</f>
        <v>#N/A Requesting Data...</v>
      </c>
      <c r="P71" s="8" t="str">
        <f>IF($A71="","",IF(ISNUMBER(FIND("IMPVOL",P$1)),_xll.BDH(config!$G$4,P$1,WORKDAY($A71,-1,config_Holiday_Calendar_US),WORKDAY($A71,-1,config_Holiday_Calendar_US)),IF(ISNUMBER(_xll.BDH(config!$G$4,P$1,$A71,$A71)),_xll.BDH(config!$G$4,P$1,$A71,$A71),_xll.BDH(config!$G$5,P$1,$A71,$A71))))</f>
        <v>#N/A Requesting Data...</v>
      </c>
      <c r="Q71" s="8">
        <f>IF($A71="","",IF(ISNUMBER(FIND("IMPVOL",Q$1)),_xll.BDH(config!$G$4,Q$1,WORKDAY($A71,-1,config_Holiday_Calendar_US),WORKDAY($A71,-1,config_Holiday_Calendar_US)),IF(ISNUMBER(_xll.BDH(config!$G$4,Q$1,$A71,$A71)),_xll.BDH(config!$G$4,Q$1,$A71,$A71),_xll.BDH(config!$G$5,Q$1,$A71,$A71))))</f>
        <v>12.01</v>
      </c>
      <c r="R71" s="8">
        <f>IF($A71="","",IF(ISNUMBER(FIND("IMPVOL",R$1)),_xll.BDH(config!$G$4,R$1,WORKDAY($A71,-1,config_Holiday_Calendar_US),WORKDAY($A71,-1,config_Holiday_Calendar_US)),IF(ISNUMBER(_xll.BDH(config!$G$4,R$1,$A71,$A71)),_xll.BDH(config!$G$4,R$1,$A71,$A71),_xll.BDH(config!$G$5,R$1,$A71,$A71))))</f>
        <v>39.58</v>
      </c>
      <c r="S71" s="8" t="str">
        <f>IF($A71="","",IF(ISNUMBER(FIND("IMPVOL",S$1)),_xll.BDH(config!$G$4,S$1,WORKDAY($A71,-1,config_Holiday_Calendar_US),WORKDAY($A71,-1,config_Holiday_Calendar_US)),IF(ISNUMBER(_xll.BDH(config!$G$4,S$1,$A71,$A71)),_xll.BDH(config!$G$4,S$1,$A71,$A71),_xll.BDH(config!$G$5,S$1,$A71,$A71))))</f>
        <v>#N/A Requesting Data...</v>
      </c>
      <c r="T71" s="8" t="str">
        <f>IF($A71="","",IF(ISNUMBER(FIND("IMPVOL",T$1)),_xll.BDH(config!$G$4,T$1,WORKDAY($A71,-1,config_Holiday_Calendar_US),WORKDAY($A71,-1,config_Holiday_Calendar_US)),IF(ISNUMBER(_xll.BDH(config!$G$4,T$1,$A71,$A71)),_xll.BDH(config!$G$4,T$1,$A71,$A71),_xll.BDH(config!$G$5,T$1,$A71,$A71))))</f>
        <v>#N/A Requesting Data...</v>
      </c>
      <c r="U71" s="8" t="str">
        <f>IF($A71="","",IF(ISNUMBER(FIND("IMPVOL",U$1)),_xll.BDH(config!$G$4,U$1,WORKDAY($A71,-1,config_Holiday_Calendar_US),WORKDAY($A71,-1,config_Holiday_Calendar_US)),IF(ISNUMBER(_xll.BDH(config!$G$4,U$1,$A71,$A71)),_xll.BDH(config!$G$4,U$1,$A71,$A71),_xll.BDH(config!$G$5,U$1,$A71,$A71))))</f>
        <v>#N/A Requesting Data...</v>
      </c>
      <c r="V71" s="8" t="str">
        <f>IF($A71="","",IF(ISNUMBER(FIND("IMPVOL",V$1)),_xll.BDH(config!$G$4,V$1,WORKDAY($A71,-1,config_Holiday_Calendar_US),WORKDAY($A71,-1,config_Holiday_Calendar_US)),IF(ISNUMBER(_xll.BDH(config!$G$4,V$1,$A71,$A71)),_xll.BDH(config!$G$4,V$1,$A71,$A71),_xll.BDH(config!$G$5,V$1,$A71,$A71))))</f>
        <v>#N/A Requesting Data...</v>
      </c>
      <c r="W71" s="8" t="str">
        <f>IF($A71="","",IF(ISNUMBER(FIND("IMPVOL",W$1)),_xll.BDH(config!$G$4,W$1,WORKDAY($A71,-1,config_Holiday_Calendar_US),WORKDAY($A71,-1,config_Holiday_Calendar_US)),IF(ISNUMBER(_xll.BDH(config!$G$4,W$1,$A71,$A71)),_xll.BDH(config!$G$4,W$1,$A71,$A71),_xll.BDH(config!$G$5,W$1,$A71,$A71))))</f>
        <v>#N/A Requesting Data...</v>
      </c>
    </row>
    <row r="72" spans="1:23" x14ac:dyDescent="0.2">
      <c r="A72" s="9">
        <f>IF(A71="","",IF(WORKDAY(A71,-1,config_Holiday_Calendar_US)&lt;config!$I$10,"",WORKDAY(A71,-1,config_Holiday_Calendar_US)))</f>
        <v>42732</v>
      </c>
      <c r="B72" s="8" t="e">
        <f t="shared" si="1"/>
        <v>#VALUE!</v>
      </c>
      <c r="C72" s="8" t="str">
        <f>IF(A72="","",_xll.BDH(config!$H$4,C$1,$A72,$A72))</f>
        <v>#N/A Requesting Data...</v>
      </c>
      <c r="D72" s="8" t="str">
        <f>IF($A72="","",_xll.BDH(config!$H$4,D$1,$A72,$A72))</f>
        <v>#N/A Requesting Data...</v>
      </c>
      <c r="E72" s="8">
        <f>IF($A72="","",IF(ISNUMBER(FIND("IMPVOL",E$1)),_xll.BDH(config!$G$4,E$1,WORKDAY($A72,-1,config_Holiday_Calendar_US),WORKDAY($A72,-1,config_Holiday_Calendar_US)),IF(ISNUMBER(_xll.BDH(config!$G$4,E$1,$A72,$A72)),_xll.BDH(config!$G$4,E$1,$A72,$A72),_xll.BDH(config!$G$5,E$1,$A72,$A72))))</f>
        <v>54.8</v>
      </c>
      <c r="F72" s="8">
        <f>IF($A72="","",IF(ISNUMBER(FIND("IMPVOL",F$1)),_xll.BDH(config!$G$4,F$1,WORKDAY($A72,-1,config_Holiday_Calendar_US),WORKDAY($A72,-1,config_Holiday_Calendar_US)),IF(ISNUMBER(_xll.BDH(config!$G$4,F$1,$A72,$A72)),_xll.BDH(config!$G$4,F$1,$A72,$A72),_xll.BDH(config!$G$5,F$1,$A72,$A72))))</f>
        <v>55.22</v>
      </c>
      <c r="G72" s="8">
        <f>IF($A72="","",IF(ISNUMBER(FIND("IMPVOL",G$1)),_xll.BDH(config!$G$4,G$1,WORKDAY($A72,-1,config_Holiday_Calendar_US),WORKDAY($A72,-1,config_Holiday_Calendar_US)),IF(ISNUMBER(_xll.BDH(config!$G$4,G$1,$A72,$A72)),_xll.BDH(config!$G$4,G$1,$A72,$A72),_xll.BDH(config!$G$5,G$1,$A72,$A72))))</f>
        <v>54.47</v>
      </c>
      <c r="H72" s="8">
        <f>IF($A72="","",IF(ISNUMBER(FIND("IMPVOL",H$1)),_xll.BDH(config!$G$4,H$1,WORKDAY($A72,-1,config_Holiday_Calendar_US),WORKDAY($A72,-1,config_Holiday_Calendar_US)),IF(ISNUMBER(_xll.BDH(config!$G$4,H$1,$A72,$A72)),_xll.BDH(config!$G$4,H$1,$A72,$A72),_xll.BDH(config!$G$5,H$1,$A72,$A72))))</f>
        <v>82747</v>
      </c>
      <c r="I72" s="8" t="str">
        <f>IF($A72="","",IF(ISNUMBER(FIND("IMPVOL",I$1)),_xll.BDH(config!$G$4,I$1,WORKDAY($A72,-1,config_Holiday_Calendar_US),WORKDAY($A72,-1,config_Holiday_Calendar_US)),IF(ISNUMBER(_xll.BDH(config!$G$4,I$1,$A72,$A72)),_xll.BDH(config!$G$4,I$1,$A72,$A72),_xll.BDH(config!$G$5,I$1,$A72,$A72))))</f>
        <v>#N/A Requesting Data...</v>
      </c>
      <c r="J72" s="8" t="str">
        <f>IF($A72="","",IF(ISNUMBER(FIND("IMPVOL",J$1)),_xll.BDH(config!$G$4,J$1,WORKDAY($A72,-1,config_Holiday_Calendar_US),WORKDAY($A72,-1,config_Holiday_Calendar_US)),IF(ISNUMBER(_xll.BDH(config!$G$4,J$1,$A72,$A72)),_xll.BDH(config!$G$4,J$1,$A72,$A72),_xll.BDH(config!$G$5,J$1,$A72,$A72))))</f>
        <v>#N/A Requesting Data...</v>
      </c>
      <c r="K72" s="8" t="str">
        <f>IF($A72="","",IF(ISNUMBER(FIND("IMPVOL",K$1)),_xll.BDH(config!$G$4,K$1,WORKDAY($A72,-1,config_Holiday_Calendar_US),WORKDAY($A72,-1,config_Holiday_Calendar_US)),IF(ISNUMBER(_xll.BDH(config!$G$4,K$1,$A72,$A72)),_xll.BDH(config!$G$4,K$1,$A72,$A72),_xll.BDH(config!$G$5,K$1,$A72,$A72))))</f>
        <v>#N/A Requesting Data...</v>
      </c>
      <c r="L72" s="8" t="str">
        <f>IF($A72="","",IF(ISNUMBER(FIND("IMPVOL",L$1)),_xll.BDH(config!$G$4,L$1,WORKDAY($A72,-1,config_Holiday_Calendar_US),WORKDAY($A72,-1,config_Holiday_Calendar_US)),IF(ISNUMBER(_xll.BDH(config!$G$4,L$1,$A72,$A72)),_xll.BDH(config!$G$4,L$1,$A72,$A72),_xll.BDH(config!$G$5,L$1,$A72,$A72))))</f>
        <v>#N/A Requesting Data...</v>
      </c>
      <c r="M72" s="8" t="str">
        <f>IF($A72="","",IF(ISNUMBER(FIND("IMPVOL",M$1)),_xll.BDH(config!$G$4,M$1,WORKDAY($A72,-1,config_Holiday_Calendar_US),WORKDAY($A72,-1,config_Holiday_Calendar_US)),IF(ISNUMBER(_xll.BDH(config!$G$4,M$1,$A72,$A72)),_xll.BDH(config!$G$4,M$1,$A72,$A72),_xll.BDH(config!$G$5,M$1,$A72,$A72))))</f>
        <v>#N/A Requesting Data...</v>
      </c>
      <c r="N72" s="8" t="str">
        <f>IF($A72="","",IF(ISNUMBER(FIND("IMPVOL",N$1)),_xll.BDH(config!$G$4,N$1,WORKDAY($A72,-1,config_Holiday_Calendar_US),WORKDAY($A72,-1,config_Holiday_Calendar_US)),IF(ISNUMBER(_xll.BDH(config!$G$4,N$1,$A72,$A72)),_xll.BDH(config!$G$4,N$1,$A72,$A72),_xll.BDH(config!$G$5,N$1,$A72,$A72))))</f>
        <v>#N/A Requesting Data...</v>
      </c>
      <c r="O72" s="8" t="str">
        <f>IF($A72="","",IF(ISNUMBER(FIND("IMPVOL",O$1)),_xll.BDH(config!$G$4,O$1,WORKDAY($A72,-1,config_Holiday_Calendar_US),WORKDAY($A72,-1,config_Holiday_Calendar_US)),IF(ISNUMBER(_xll.BDH(config!$G$4,O$1,$A72,$A72)),_xll.BDH(config!$G$4,O$1,$A72,$A72),_xll.BDH(config!$G$5,O$1,$A72,$A72))))</f>
        <v>#N/A Requesting Data...</v>
      </c>
      <c r="P72" s="8" t="str">
        <f>IF($A72="","",IF(ISNUMBER(FIND("IMPVOL",P$1)),_xll.BDH(config!$G$4,P$1,WORKDAY($A72,-1,config_Holiday_Calendar_US),WORKDAY($A72,-1,config_Holiday_Calendar_US)),IF(ISNUMBER(_xll.BDH(config!$G$4,P$1,$A72,$A72)),_xll.BDH(config!$G$4,P$1,$A72,$A72),_xll.BDH(config!$G$5,P$1,$A72,$A72))))</f>
        <v>#N/A Requesting Data...</v>
      </c>
      <c r="Q72" s="8">
        <f>IF($A72="","",IF(ISNUMBER(FIND("IMPVOL",Q$1)),_xll.BDH(config!$G$4,Q$1,WORKDAY($A72,-1,config_Holiday_Calendar_US),WORKDAY($A72,-1,config_Holiday_Calendar_US)),IF(ISNUMBER(_xll.BDH(config!$G$4,Q$1,$A72,$A72)),_xll.BDH(config!$G$4,Q$1,$A72,$A72),_xll.BDH(config!$G$5,Q$1,$A72,$A72))))</f>
        <v>11.54</v>
      </c>
      <c r="R72" s="8">
        <f>IF($A72="","",IF(ISNUMBER(FIND("IMPVOL",R$1)),_xll.BDH(config!$G$4,R$1,WORKDAY($A72,-1,config_Holiday_Calendar_US),WORKDAY($A72,-1,config_Holiday_Calendar_US)),IF(ISNUMBER(_xll.BDH(config!$G$4,R$1,$A72,$A72)),_xll.BDH(config!$G$4,R$1,$A72,$A72),_xll.BDH(config!$G$5,R$1,$A72,$A72))))</f>
        <v>39.630000000000003</v>
      </c>
      <c r="S72" s="8" t="str">
        <f>IF($A72="","",IF(ISNUMBER(FIND("IMPVOL",S$1)),_xll.BDH(config!$G$4,S$1,WORKDAY($A72,-1,config_Holiday_Calendar_US),WORKDAY($A72,-1,config_Holiday_Calendar_US)),IF(ISNUMBER(_xll.BDH(config!$G$4,S$1,$A72,$A72)),_xll.BDH(config!$G$4,S$1,$A72,$A72),_xll.BDH(config!$G$5,S$1,$A72,$A72))))</f>
        <v>#N/A Requesting Data...</v>
      </c>
      <c r="T72" s="8" t="str">
        <f>IF($A72="","",IF(ISNUMBER(FIND("IMPVOL",T$1)),_xll.BDH(config!$G$4,T$1,WORKDAY($A72,-1,config_Holiday_Calendar_US),WORKDAY($A72,-1,config_Holiday_Calendar_US)),IF(ISNUMBER(_xll.BDH(config!$G$4,T$1,$A72,$A72)),_xll.BDH(config!$G$4,T$1,$A72,$A72),_xll.BDH(config!$G$5,T$1,$A72,$A72))))</f>
        <v>#N/A Requesting Data...</v>
      </c>
      <c r="U72" s="8" t="str">
        <f>IF($A72="","",IF(ISNUMBER(FIND("IMPVOL",U$1)),_xll.BDH(config!$G$4,U$1,WORKDAY($A72,-1,config_Holiday_Calendar_US),WORKDAY($A72,-1,config_Holiday_Calendar_US)),IF(ISNUMBER(_xll.BDH(config!$G$4,U$1,$A72,$A72)),_xll.BDH(config!$G$4,U$1,$A72,$A72),_xll.BDH(config!$G$5,U$1,$A72,$A72))))</f>
        <v>#N/A Requesting Data...</v>
      </c>
      <c r="V72" s="8" t="str">
        <f>IF($A72="","",IF(ISNUMBER(FIND("IMPVOL",V$1)),_xll.BDH(config!$G$4,V$1,WORKDAY($A72,-1,config_Holiday_Calendar_US),WORKDAY($A72,-1,config_Holiday_Calendar_US)),IF(ISNUMBER(_xll.BDH(config!$G$4,V$1,$A72,$A72)),_xll.BDH(config!$G$4,V$1,$A72,$A72),_xll.BDH(config!$G$5,V$1,$A72,$A72))))</f>
        <v>#N/A Requesting Data...</v>
      </c>
      <c r="W72" s="8" t="str">
        <f>IF($A72="","",IF(ISNUMBER(FIND("IMPVOL",W$1)),_xll.BDH(config!$G$4,W$1,WORKDAY($A72,-1,config_Holiday_Calendar_US),WORKDAY($A72,-1,config_Holiday_Calendar_US)),IF(ISNUMBER(_xll.BDH(config!$G$4,W$1,$A72,$A72)),_xll.BDH(config!$G$4,W$1,$A72,$A72),_xll.BDH(config!$G$5,W$1,$A72,$A72))))</f>
        <v>#N/A Requesting Data...</v>
      </c>
    </row>
    <row r="73" spans="1:23" x14ac:dyDescent="0.2">
      <c r="A73" s="9">
        <f>IF(A72="","",IF(WORKDAY(A72,-1,config_Holiday_Calendar_US)&lt;config!$I$10,"",WORKDAY(A72,-1,config_Holiday_Calendar_US)))</f>
        <v>42731</v>
      </c>
      <c r="B73" s="8" t="e">
        <f t="shared" si="1"/>
        <v>#VALUE!</v>
      </c>
      <c r="C73" s="8" t="str">
        <f>IF(A73="","",_xll.BDH(config!$H$4,C$1,$A73,$A73))</f>
        <v>#N/A Requesting Data...</v>
      </c>
      <c r="D73" s="8" t="str">
        <f>IF($A73="","",_xll.BDH(config!$H$4,D$1,$A73,$A73))</f>
        <v>#N/A Requesting Data...</v>
      </c>
      <c r="E73" s="8">
        <f>IF($A73="","",IF(ISNUMBER(FIND("IMPVOL",E$1)),_xll.BDH(config!$G$4,E$1,WORKDAY($A73,-1,config_Holiday_Calendar_US),WORKDAY($A73,-1,config_Holiday_Calendar_US)),IF(ISNUMBER(_xll.BDH(config!$G$4,E$1,$A73,$A73)),_xll.BDH(config!$G$4,E$1,$A73,$A73),_xll.BDH(config!$G$5,E$1,$A73,$A73))))</f>
        <v>54.18</v>
      </c>
      <c r="F73" s="8">
        <f>IF($A73="","",IF(ISNUMBER(FIND("IMPVOL",F$1)),_xll.BDH(config!$G$4,F$1,WORKDAY($A73,-1,config_Holiday_Calendar_US),WORKDAY($A73,-1,config_Holiday_Calendar_US)),IF(ISNUMBER(_xll.BDH(config!$G$4,F$1,$A73,$A73)),_xll.BDH(config!$G$4,F$1,$A73,$A73),_xll.BDH(config!$G$5,F$1,$A73,$A73))))</f>
        <v>54.98</v>
      </c>
      <c r="G73" s="8">
        <f>IF($A73="","",IF(ISNUMBER(FIND("IMPVOL",G$1)),_xll.BDH(config!$G$4,G$1,WORKDAY($A73,-1,config_Holiday_Calendar_US),WORKDAY($A73,-1,config_Holiday_Calendar_US)),IF(ISNUMBER(_xll.BDH(config!$G$4,G$1,$A73,$A73)),_xll.BDH(config!$G$4,G$1,$A73,$A73),_xll.BDH(config!$G$5,G$1,$A73,$A73))))</f>
        <v>53.9</v>
      </c>
      <c r="H73" s="8">
        <f>IF($A73="","",IF(ISNUMBER(FIND("IMPVOL",H$1)),_xll.BDH(config!$G$4,H$1,WORKDAY($A73,-1,config_Holiday_Calendar_US),WORKDAY($A73,-1,config_Holiday_Calendar_US)),IF(ISNUMBER(_xll.BDH(config!$G$4,H$1,$A73,$A73)),_xll.BDH(config!$G$4,H$1,$A73,$A73),_xll.BDH(config!$G$5,H$1,$A73,$A73))))</f>
        <v>61836</v>
      </c>
      <c r="I73" s="8" t="str">
        <f>IF($A73="","",IF(ISNUMBER(FIND("IMPVOL",I$1)),_xll.BDH(config!$G$4,I$1,WORKDAY($A73,-1,config_Holiday_Calendar_US),WORKDAY($A73,-1,config_Holiday_Calendar_US)),IF(ISNUMBER(_xll.BDH(config!$G$4,I$1,$A73,$A73)),_xll.BDH(config!$G$4,I$1,$A73,$A73),_xll.BDH(config!$G$5,I$1,$A73,$A73))))</f>
        <v>#N/A Requesting Data...</v>
      </c>
      <c r="J73" s="8" t="str">
        <f>IF($A73="","",IF(ISNUMBER(FIND("IMPVOL",J$1)),_xll.BDH(config!$G$4,J$1,WORKDAY($A73,-1,config_Holiday_Calendar_US),WORKDAY($A73,-1,config_Holiday_Calendar_US)),IF(ISNUMBER(_xll.BDH(config!$G$4,J$1,$A73,$A73)),_xll.BDH(config!$G$4,J$1,$A73,$A73),_xll.BDH(config!$G$5,J$1,$A73,$A73))))</f>
        <v>#N/A Requesting Data...</v>
      </c>
      <c r="K73" s="8" t="str">
        <f>IF($A73="","",IF(ISNUMBER(FIND("IMPVOL",K$1)),_xll.BDH(config!$G$4,K$1,WORKDAY($A73,-1,config_Holiday_Calendar_US),WORKDAY($A73,-1,config_Holiday_Calendar_US)),IF(ISNUMBER(_xll.BDH(config!$G$4,K$1,$A73,$A73)),_xll.BDH(config!$G$4,K$1,$A73,$A73),_xll.BDH(config!$G$5,K$1,$A73,$A73))))</f>
        <v>#N/A Requesting Data...</v>
      </c>
      <c r="L73" s="8" t="str">
        <f>IF($A73="","",IF(ISNUMBER(FIND("IMPVOL",L$1)),_xll.BDH(config!$G$4,L$1,WORKDAY($A73,-1,config_Holiday_Calendar_US),WORKDAY($A73,-1,config_Holiday_Calendar_US)),IF(ISNUMBER(_xll.BDH(config!$G$4,L$1,$A73,$A73)),_xll.BDH(config!$G$4,L$1,$A73,$A73),_xll.BDH(config!$G$5,L$1,$A73,$A73))))</f>
        <v>#N/A Requesting Data...</v>
      </c>
      <c r="M73" s="8" t="str">
        <f>IF($A73="","",IF(ISNUMBER(FIND("IMPVOL",M$1)),_xll.BDH(config!$G$4,M$1,WORKDAY($A73,-1,config_Holiday_Calendar_US),WORKDAY($A73,-1,config_Holiday_Calendar_US)),IF(ISNUMBER(_xll.BDH(config!$G$4,M$1,$A73,$A73)),_xll.BDH(config!$G$4,M$1,$A73,$A73),_xll.BDH(config!$G$5,M$1,$A73,$A73))))</f>
        <v>#N/A Requesting Data...</v>
      </c>
      <c r="N73" s="8" t="str">
        <f>IF($A73="","",IF(ISNUMBER(FIND("IMPVOL",N$1)),_xll.BDH(config!$G$4,N$1,WORKDAY($A73,-1,config_Holiday_Calendar_US),WORKDAY($A73,-1,config_Holiday_Calendar_US)),IF(ISNUMBER(_xll.BDH(config!$G$4,N$1,$A73,$A73)),_xll.BDH(config!$G$4,N$1,$A73,$A73),_xll.BDH(config!$G$5,N$1,$A73,$A73))))</f>
        <v>#N/A Requesting Data...</v>
      </c>
      <c r="O73" s="8" t="str">
        <f>IF($A73="","",IF(ISNUMBER(FIND("IMPVOL",O$1)),_xll.BDH(config!$G$4,O$1,WORKDAY($A73,-1,config_Holiday_Calendar_US),WORKDAY($A73,-1,config_Holiday_Calendar_US)),IF(ISNUMBER(_xll.BDH(config!$G$4,O$1,$A73,$A73)),_xll.BDH(config!$G$4,O$1,$A73,$A73),_xll.BDH(config!$G$5,O$1,$A73,$A73))))</f>
        <v>#N/A Requesting Data...</v>
      </c>
      <c r="P73" s="8" t="str">
        <f>IF($A73="","",IF(ISNUMBER(FIND("IMPVOL",P$1)),_xll.BDH(config!$G$4,P$1,WORKDAY($A73,-1,config_Holiday_Calendar_US),WORKDAY($A73,-1,config_Holiday_Calendar_US)),IF(ISNUMBER(_xll.BDH(config!$G$4,P$1,$A73,$A73)),_xll.BDH(config!$G$4,P$1,$A73,$A73),_xll.BDH(config!$G$5,P$1,$A73,$A73))))</f>
        <v>#N/A Requesting Data...</v>
      </c>
      <c r="Q73" s="8">
        <f>IF($A73="","",IF(ISNUMBER(FIND("IMPVOL",Q$1)),_xll.BDH(config!$G$4,Q$1,WORKDAY($A73,-1,config_Holiday_Calendar_US),WORKDAY($A73,-1,config_Holiday_Calendar_US)),IF(ISNUMBER(_xll.BDH(config!$G$4,Q$1,$A73,$A73)),_xll.BDH(config!$G$4,Q$1,$A73,$A73),_xll.BDH(config!$G$5,Q$1,$A73,$A73))))</f>
        <v>24.91</v>
      </c>
      <c r="R73" s="8">
        <f>IF($A73="","",IF(ISNUMBER(FIND("IMPVOL",R$1)),_xll.BDH(config!$G$4,R$1,WORKDAY($A73,-1,config_Holiday_Calendar_US),WORKDAY($A73,-1,config_Holiday_Calendar_US)),IF(ISNUMBER(_xll.BDH(config!$G$4,R$1,$A73,$A73)),_xll.BDH(config!$G$4,R$1,$A73,$A73),_xll.BDH(config!$G$5,R$1,$A73,$A73))))</f>
        <v>42.18</v>
      </c>
      <c r="S73" s="8" t="str">
        <f>IF($A73="","",IF(ISNUMBER(FIND("IMPVOL",S$1)),_xll.BDH(config!$G$4,S$1,WORKDAY($A73,-1,config_Holiday_Calendar_US),WORKDAY($A73,-1,config_Holiday_Calendar_US)),IF(ISNUMBER(_xll.BDH(config!$G$4,S$1,$A73,$A73)),_xll.BDH(config!$G$4,S$1,$A73,$A73),_xll.BDH(config!$G$5,S$1,$A73,$A73))))</f>
        <v>#N/A Requesting Data...</v>
      </c>
      <c r="T73" s="8" t="str">
        <f>IF($A73="","",IF(ISNUMBER(FIND("IMPVOL",T$1)),_xll.BDH(config!$G$4,T$1,WORKDAY($A73,-1,config_Holiday_Calendar_US),WORKDAY($A73,-1,config_Holiday_Calendar_US)),IF(ISNUMBER(_xll.BDH(config!$G$4,T$1,$A73,$A73)),_xll.BDH(config!$G$4,T$1,$A73,$A73),_xll.BDH(config!$G$5,T$1,$A73,$A73))))</f>
        <v>#N/A Requesting Data...</v>
      </c>
      <c r="U73" s="8" t="str">
        <f>IF($A73="","",IF(ISNUMBER(FIND("IMPVOL",U$1)),_xll.BDH(config!$G$4,U$1,WORKDAY($A73,-1,config_Holiday_Calendar_US),WORKDAY($A73,-1,config_Holiday_Calendar_US)),IF(ISNUMBER(_xll.BDH(config!$G$4,U$1,$A73,$A73)),_xll.BDH(config!$G$4,U$1,$A73,$A73),_xll.BDH(config!$G$5,U$1,$A73,$A73))))</f>
        <v>#N/A Requesting Data...</v>
      </c>
      <c r="V73" s="8" t="str">
        <f>IF($A73="","",IF(ISNUMBER(FIND("IMPVOL",V$1)),_xll.BDH(config!$G$4,V$1,WORKDAY($A73,-1,config_Holiday_Calendar_US),WORKDAY($A73,-1,config_Holiday_Calendar_US)),IF(ISNUMBER(_xll.BDH(config!$G$4,V$1,$A73,$A73)),_xll.BDH(config!$G$4,V$1,$A73,$A73),_xll.BDH(config!$G$5,V$1,$A73,$A73))))</f>
        <v>#N/A Requesting Data...</v>
      </c>
      <c r="W73" s="8" t="str">
        <f>IF($A73="","",IF(ISNUMBER(FIND("IMPVOL",W$1)),_xll.BDH(config!$G$4,W$1,WORKDAY($A73,-1,config_Holiday_Calendar_US),WORKDAY($A73,-1,config_Holiday_Calendar_US)),IF(ISNUMBER(_xll.BDH(config!$G$4,W$1,$A73,$A73)),_xll.BDH(config!$G$4,W$1,$A73,$A73),_xll.BDH(config!$G$5,W$1,$A73,$A73))))</f>
        <v>#N/A Requesting Data...</v>
      </c>
    </row>
    <row r="74" spans="1:23" x14ac:dyDescent="0.2">
      <c r="A74" s="9">
        <f>IF(A73="","",IF(WORKDAY(A73,-1,config_Holiday_Calendar_US)&lt;config!$I$10,"",WORKDAY(A73,-1,config_Holiday_Calendar_US)))</f>
        <v>42727</v>
      </c>
      <c r="B74" s="8" t="e">
        <f t="shared" si="1"/>
        <v>#VALUE!</v>
      </c>
      <c r="C74" s="8" t="str">
        <f>IF(A74="","",_xll.BDH(config!$H$4,C$1,$A74,$A74))</f>
        <v>#N/A Requesting Data...</v>
      </c>
      <c r="D74" s="8" t="str">
        <f>IF($A74="","",_xll.BDH(config!$H$4,D$1,$A74,$A74))</f>
        <v>#N/A Requesting Data...</v>
      </c>
      <c r="E74" s="8">
        <f>IF($A74="","",IF(ISNUMBER(FIND("IMPVOL",E$1)),_xll.BDH(config!$G$4,E$1,WORKDAY($A74,-1,config_Holiday_Calendar_US),WORKDAY($A74,-1,config_Holiday_Calendar_US)),IF(ISNUMBER(_xll.BDH(config!$G$4,E$1,$A74,$A74)),_xll.BDH(config!$G$4,E$1,$A74,$A74),_xll.BDH(config!$G$5,E$1,$A74,$A74))))</f>
        <v>53.59</v>
      </c>
      <c r="F74" s="8">
        <f>IF($A74="","",IF(ISNUMBER(FIND("IMPVOL",F$1)),_xll.BDH(config!$G$4,F$1,WORKDAY($A74,-1,config_Holiday_Calendar_US),WORKDAY($A74,-1,config_Holiday_Calendar_US)),IF(ISNUMBER(_xll.BDH(config!$G$4,F$1,$A74,$A74)),_xll.BDH(config!$G$4,F$1,$A74,$A74),_xll.BDH(config!$G$5,F$1,$A74,$A74))))</f>
        <v>54.18</v>
      </c>
      <c r="G74" s="8">
        <f>IF($A74="","",IF(ISNUMBER(FIND("IMPVOL",G$1)),_xll.BDH(config!$G$4,G$1,WORKDAY($A74,-1,config_Holiday_Calendar_US),WORKDAY($A74,-1,config_Holiday_Calendar_US)),IF(ISNUMBER(_xll.BDH(config!$G$4,G$1,$A74,$A74)),_xll.BDH(config!$G$4,G$1,$A74,$A74),_xll.BDH(config!$G$5,G$1,$A74,$A74))))</f>
        <v>53.15</v>
      </c>
      <c r="H74" s="8">
        <f>IF($A74="","",IF(ISNUMBER(FIND("IMPVOL",H$1)),_xll.BDH(config!$G$4,H$1,WORKDAY($A74,-1,config_Holiday_Calendar_US),WORKDAY($A74,-1,config_Holiday_Calendar_US)),IF(ISNUMBER(_xll.BDH(config!$G$4,H$1,$A74,$A74)),_xll.BDH(config!$G$4,H$1,$A74,$A74),_xll.BDH(config!$G$5,H$1,$A74,$A74))))</f>
        <v>53010</v>
      </c>
      <c r="I74" s="8" t="str">
        <f>IF($A74="","",IF(ISNUMBER(FIND("IMPVOL",I$1)),_xll.BDH(config!$G$4,I$1,WORKDAY($A74,-1,config_Holiday_Calendar_US),WORKDAY($A74,-1,config_Holiday_Calendar_US)),IF(ISNUMBER(_xll.BDH(config!$G$4,I$1,$A74,$A74)),_xll.BDH(config!$G$4,I$1,$A74,$A74),_xll.BDH(config!$G$5,I$1,$A74,$A74))))</f>
        <v>#N/A Requesting Data...</v>
      </c>
      <c r="J74" s="8" t="str">
        <f>IF($A74="","",IF(ISNUMBER(FIND("IMPVOL",J$1)),_xll.BDH(config!$G$4,J$1,WORKDAY($A74,-1,config_Holiday_Calendar_US),WORKDAY($A74,-1,config_Holiday_Calendar_US)),IF(ISNUMBER(_xll.BDH(config!$G$4,J$1,$A74,$A74)),_xll.BDH(config!$G$4,J$1,$A74,$A74),_xll.BDH(config!$G$5,J$1,$A74,$A74))))</f>
        <v>#N/A Requesting Data...</v>
      </c>
      <c r="K74" s="8" t="str">
        <f>IF($A74="","",IF(ISNUMBER(FIND("IMPVOL",K$1)),_xll.BDH(config!$G$4,K$1,WORKDAY($A74,-1,config_Holiday_Calendar_US),WORKDAY($A74,-1,config_Holiday_Calendar_US)),IF(ISNUMBER(_xll.BDH(config!$G$4,K$1,$A74,$A74)),_xll.BDH(config!$G$4,K$1,$A74,$A74),_xll.BDH(config!$G$5,K$1,$A74,$A74))))</f>
        <v>#N/A Requesting Data...</v>
      </c>
      <c r="L74" s="8" t="str">
        <f>IF($A74="","",IF(ISNUMBER(FIND("IMPVOL",L$1)),_xll.BDH(config!$G$4,L$1,WORKDAY($A74,-1,config_Holiday_Calendar_US),WORKDAY($A74,-1,config_Holiday_Calendar_US)),IF(ISNUMBER(_xll.BDH(config!$G$4,L$1,$A74,$A74)),_xll.BDH(config!$G$4,L$1,$A74,$A74),_xll.BDH(config!$G$5,L$1,$A74,$A74))))</f>
        <v>#N/A Requesting Data...</v>
      </c>
      <c r="M74" s="8" t="str">
        <f>IF($A74="","",IF(ISNUMBER(FIND("IMPVOL",M$1)),_xll.BDH(config!$G$4,M$1,WORKDAY($A74,-1,config_Holiday_Calendar_US),WORKDAY($A74,-1,config_Holiday_Calendar_US)),IF(ISNUMBER(_xll.BDH(config!$G$4,M$1,$A74,$A74)),_xll.BDH(config!$G$4,M$1,$A74,$A74),_xll.BDH(config!$G$5,M$1,$A74,$A74))))</f>
        <v>#N/A Requesting Data...</v>
      </c>
      <c r="N74" s="8" t="str">
        <f>IF($A74="","",IF(ISNUMBER(FIND("IMPVOL",N$1)),_xll.BDH(config!$G$4,N$1,WORKDAY($A74,-1,config_Holiday_Calendar_US),WORKDAY($A74,-1,config_Holiday_Calendar_US)),IF(ISNUMBER(_xll.BDH(config!$G$4,N$1,$A74,$A74)),_xll.BDH(config!$G$4,N$1,$A74,$A74),_xll.BDH(config!$G$5,N$1,$A74,$A74))))</f>
        <v>#N/A Requesting Data...</v>
      </c>
      <c r="O74" s="8" t="str">
        <f>IF($A74="","",IF(ISNUMBER(FIND("IMPVOL",O$1)),_xll.BDH(config!$G$4,O$1,WORKDAY($A74,-1,config_Holiday_Calendar_US),WORKDAY($A74,-1,config_Holiday_Calendar_US)),IF(ISNUMBER(_xll.BDH(config!$G$4,O$1,$A74,$A74)),_xll.BDH(config!$G$4,O$1,$A74,$A74),_xll.BDH(config!$G$5,O$1,$A74,$A74))))</f>
        <v>#N/A Requesting Data...</v>
      </c>
      <c r="P74" s="8" t="str">
        <f>IF($A74="","",IF(ISNUMBER(FIND("IMPVOL",P$1)),_xll.BDH(config!$G$4,P$1,WORKDAY($A74,-1,config_Holiday_Calendar_US),WORKDAY($A74,-1,config_Holiday_Calendar_US)),IF(ISNUMBER(_xll.BDH(config!$G$4,P$1,$A74,$A74)),_xll.BDH(config!$G$4,P$1,$A74,$A74),_xll.BDH(config!$G$5,P$1,$A74,$A74))))</f>
        <v>#N/A Requesting Data...</v>
      </c>
      <c r="Q74" s="8">
        <f>IF($A74="","",IF(ISNUMBER(FIND("IMPVOL",Q$1)),_xll.BDH(config!$G$4,Q$1,WORKDAY($A74,-1,config_Holiday_Calendar_US),WORKDAY($A74,-1,config_Holiday_Calendar_US)),IF(ISNUMBER(_xll.BDH(config!$G$4,Q$1,$A74,$A74)),_xll.BDH(config!$G$4,Q$1,$A74,$A74),_xll.BDH(config!$G$5,Q$1,$A74,$A74))))</f>
        <v>23.45</v>
      </c>
      <c r="R74" s="8">
        <f>IF($A74="","",IF(ISNUMBER(FIND("IMPVOL",R$1)),_xll.BDH(config!$G$4,R$1,WORKDAY($A74,-1,config_Holiday_Calendar_US),WORKDAY($A74,-1,config_Holiday_Calendar_US)),IF(ISNUMBER(_xll.BDH(config!$G$4,R$1,$A74,$A74)),_xll.BDH(config!$G$4,R$1,$A74,$A74),_xll.BDH(config!$G$5,R$1,$A74,$A74))))</f>
        <v>42.25</v>
      </c>
      <c r="S74" s="8" t="str">
        <f>IF($A74="","",IF(ISNUMBER(FIND("IMPVOL",S$1)),_xll.BDH(config!$G$4,S$1,WORKDAY($A74,-1,config_Holiday_Calendar_US),WORKDAY($A74,-1,config_Holiday_Calendar_US)),IF(ISNUMBER(_xll.BDH(config!$G$4,S$1,$A74,$A74)),_xll.BDH(config!$G$4,S$1,$A74,$A74),_xll.BDH(config!$G$5,S$1,$A74,$A74))))</f>
        <v>#N/A Requesting Data...</v>
      </c>
      <c r="T74" s="8" t="str">
        <f>IF($A74="","",IF(ISNUMBER(FIND("IMPVOL",T$1)),_xll.BDH(config!$G$4,T$1,WORKDAY($A74,-1,config_Holiday_Calendar_US),WORKDAY($A74,-1,config_Holiday_Calendar_US)),IF(ISNUMBER(_xll.BDH(config!$G$4,T$1,$A74,$A74)),_xll.BDH(config!$G$4,T$1,$A74,$A74),_xll.BDH(config!$G$5,T$1,$A74,$A74))))</f>
        <v>#N/A Requesting Data...</v>
      </c>
      <c r="U74" s="8" t="str">
        <f>IF($A74="","",IF(ISNUMBER(FIND("IMPVOL",U$1)),_xll.BDH(config!$G$4,U$1,WORKDAY($A74,-1,config_Holiday_Calendar_US),WORKDAY($A74,-1,config_Holiday_Calendar_US)),IF(ISNUMBER(_xll.BDH(config!$G$4,U$1,$A74,$A74)),_xll.BDH(config!$G$4,U$1,$A74,$A74),_xll.BDH(config!$G$5,U$1,$A74,$A74))))</f>
        <v>#N/A Requesting Data...</v>
      </c>
      <c r="V74" s="8" t="str">
        <f>IF($A74="","",IF(ISNUMBER(FIND("IMPVOL",V$1)),_xll.BDH(config!$G$4,V$1,WORKDAY($A74,-1,config_Holiday_Calendar_US),WORKDAY($A74,-1,config_Holiday_Calendar_US)),IF(ISNUMBER(_xll.BDH(config!$G$4,V$1,$A74,$A74)),_xll.BDH(config!$G$4,V$1,$A74,$A74),_xll.BDH(config!$G$5,V$1,$A74,$A74))))</f>
        <v>#N/A Requesting Data...</v>
      </c>
      <c r="W74" s="8" t="str">
        <f>IF($A74="","",IF(ISNUMBER(FIND("IMPVOL",W$1)),_xll.BDH(config!$G$4,W$1,WORKDAY($A74,-1,config_Holiday_Calendar_US),WORKDAY($A74,-1,config_Holiday_Calendar_US)),IF(ISNUMBER(_xll.BDH(config!$G$4,W$1,$A74,$A74)),_xll.BDH(config!$G$4,W$1,$A74,$A74),_xll.BDH(config!$G$5,W$1,$A74,$A74))))</f>
        <v>#N/A Requesting Data...</v>
      </c>
    </row>
    <row r="75" spans="1:23" x14ac:dyDescent="0.2">
      <c r="A75" s="9">
        <f>IF(A74="","",IF(WORKDAY(A74,-1,config_Holiday_Calendar_US)&lt;config!$I$10,"",WORKDAY(A74,-1,config_Holiday_Calendar_US)))</f>
        <v>42726</v>
      </c>
      <c r="B75" s="8" t="e">
        <f t="shared" si="1"/>
        <v>#VALUE!</v>
      </c>
      <c r="C75" s="8" t="str">
        <f>IF(A75="","",_xll.BDH(config!$H$4,C$1,$A75,$A75))</f>
        <v>#N/A Requesting Data...</v>
      </c>
      <c r="D75" s="8" t="str">
        <f>IF($A75="","",_xll.BDH(config!$H$4,D$1,$A75,$A75))</f>
        <v>#N/A Requesting Data...</v>
      </c>
      <c r="E75" s="8">
        <f>IF($A75="","",IF(ISNUMBER(FIND("IMPVOL",E$1)),_xll.BDH(config!$G$4,E$1,WORKDAY($A75,-1,config_Holiday_Calendar_US),WORKDAY($A75,-1,config_Holiday_Calendar_US)),IF(ISNUMBER(_xll.BDH(config!$G$4,E$1,$A75,$A75)),_xll.BDH(config!$G$4,E$1,$A75,$A75),_xll.BDH(config!$G$5,E$1,$A75,$A75))))</f>
        <v>53.41</v>
      </c>
      <c r="F75" s="8">
        <f>IF($A75="","",IF(ISNUMBER(FIND("IMPVOL",F$1)),_xll.BDH(config!$G$4,F$1,WORKDAY($A75,-1,config_Holiday_Calendar_US),WORKDAY($A75,-1,config_Holiday_Calendar_US)),IF(ISNUMBER(_xll.BDH(config!$G$4,F$1,$A75,$A75)),_xll.BDH(config!$G$4,F$1,$A75,$A75),_xll.BDH(config!$G$5,F$1,$A75,$A75))))</f>
        <v>54.08</v>
      </c>
      <c r="G75" s="8">
        <f>IF($A75="","",IF(ISNUMBER(FIND("IMPVOL",G$1)),_xll.BDH(config!$G$4,G$1,WORKDAY($A75,-1,config_Holiday_Calendar_US),WORKDAY($A75,-1,config_Holiday_Calendar_US)),IF(ISNUMBER(_xll.BDH(config!$G$4,G$1,$A75,$A75)),_xll.BDH(config!$G$4,G$1,$A75,$A75),_xll.BDH(config!$G$5,G$1,$A75,$A75))))</f>
        <v>52.96</v>
      </c>
      <c r="H75" s="8">
        <f>IF($A75="","",IF(ISNUMBER(FIND("IMPVOL",H$1)),_xll.BDH(config!$G$4,H$1,WORKDAY($A75,-1,config_Holiday_Calendar_US),WORKDAY($A75,-1,config_Holiday_Calendar_US)),IF(ISNUMBER(_xll.BDH(config!$G$4,H$1,$A75,$A75)),_xll.BDH(config!$G$4,H$1,$A75,$A75),_xll.BDH(config!$G$5,H$1,$A75,$A75))))</f>
        <v>99061</v>
      </c>
      <c r="I75" s="8" t="str">
        <f>IF($A75="","",IF(ISNUMBER(FIND("IMPVOL",I$1)),_xll.BDH(config!$G$4,I$1,WORKDAY($A75,-1,config_Holiday_Calendar_US),WORKDAY($A75,-1,config_Holiday_Calendar_US)),IF(ISNUMBER(_xll.BDH(config!$G$4,I$1,$A75,$A75)),_xll.BDH(config!$G$4,I$1,$A75,$A75),_xll.BDH(config!$G$5,I$1,$A75,$A75))))</f>
        <v>#N/A Requesting Data...</v>
      </c>
      <c r="J75" s="8" t="str">
        <f>IF($A75="","",IF(ISNUMBER(FIND("IMPVOL",J$1)),_xll.BDH(config!$G$4,J$1,WORKDAY($A75,-1,config_Holiday_Calendar_US),WORKDAY($A75,-1,config_Holiday_Calendar_US)),IF(ISNUMBER(_xll.BDH(config!$G$4,J$1,$A75,$A75)),_xll.BDH(config!$G$4,J$1,$A75,$A75),_xll.BDH(config!$G$5,J$1,$A75,$A75))))</f>
        <v>#N/A Requesting Data...</v>
      </c>
      <c r="K75" s="8" t="str">
        <f>IF($A75="","",IF(ISNUMBER(FIND("IMPVOL",K$1)),_xll.BDH(config!$G$4,K$1,WORKDAY($A75,-1,config_Holiday_Calendar_US),WORKDAY($A75,-1,config_Holiday_Calendar_US)),IF(ISNUMBER(_xll.BDH(config!$G$4,K$1,$A75,$A75)),_xll.BDH(config!$G$4,K$1,$A75,$A75),_xll.BDH(config!$G$5,K$1,$A75,$A75))))</f>
        <v>#N/A Requesting Data...</v>
      </c>
      <c r="L75" s="8" t="str">
        <f>IF($A75="","",IF(ISNUMBER(FIND("IMPVOL",L$1)),_xll.BDH(config!$G$4,L$1,WORKDAY($A75,-1,config_Holiday_Calendar_US),WORKDAY($A75,-1,config_Holiday_Calendar_US)),IF(ISNUMBER(_xll.BDH(config!$G$4,L$1,$A75,$A75)),_xll.BDH(config!$G$4,L$1,$A75,$A75),_xll.BDH(config!$G$5,L$1,$A75,$A75))))</f>
        <v>#N/A Requesting Data...</v>
      </c>
      <c r="M75" s="8" t="str">
        <f>IF($A75="","",IF(ISNUMBER(FIND("IMPVOL",M$1)),_xll.BDH(config!$G$4,M$1,WORKDAY($A75,-1,config_Holiday_Calendar_US),WORKDAY($A75,-1,config_Holiday_Calendar_US)),IF(ISNUMBER(_xll.BDH(config!$G$4,M$1,$A75,$A75)),_xll.BDH(config!$G$4,M$1,$A75,$A75),_xll.BDH(config!$G$5,M$1,$A75,$A75))))</f>
        <v>#N/A Requesting Data...</v>
      </c>
      <c r="N75" s="8" t="str">
        <f>IF($A75="","",IF(ISNUMBER(FIND("IMPVOL",N$1)),_xll.BDH(config!$G$4,N$1,WORKDAY($A75,-1,config_Holiday_Calendar_US),WORKDAY($A75,-1,config_Holiday_Calendar_US)),IF(ISNUMBER(_xll.BDH(config!$G$4,N$1,$A75,$A75)),_xll.BDH(config!$G$4,N$1,$A75,$A75),_xll.BDH(config!$G$5,N$1,$A75,$A75))))</f>
        <v>#N/A Requesting Data...</v>
      </c>
      <c r="O75" s="8" t="str">
        <f>IF($A75="","",IF(ISNUMBER(FIND("IMPVOL",O$1)),_xll.BDH(config!$G$4,O$1,WORKDAY($A75,-1,config_Holiday_Calendar_US),WORKDAY($A75,-1,config_Holiday_Calendar_US)),IF(ISNUMBER(_xll.BDH(config!$G$4,O$1,$A75,$A75)),_xll.BDH(config!$G$4,O$1,$A75,$A75),_xll.BDH(config!$G$5,O$1,$A75,$A75))))</f>
        <v>#N/A Requesting Data...</v>
      </c>
      <c r="P75" s="8" t="str">
        <f>IF($A75="","",IF(ISNUMBER(FIND("IMPVOL",P$1)),_xll.BDH(config!$G$4,P$1,WORKDAY($A75,-1,config_Holiday_Calendar_US),WORKDAY($A75,-1,config_Holiday_Calendar_US)),IF(ISNUMBER(_xll.BDH(config!$G$4,P$1,$A75,$A75)),_xll.BDH(config!$G$4,P$1,$A75,$A75),_xll.BDH(config!$G$5,P$1,$A75,$A75))))</f>
        <v>#N/A Requesting Data...</v>
      </c>
      <c r="Q75" s="8">
        <f>IF($A75="","",IF(ISNUMBER(FIND("IMPVOL",Q$1)),_xll.BDH(config!$G$4,Q$1,WORKDAY($A75,-1,config_Holiday_Calendar_US),WORKDAY($A75,-1,config_Holiday_Calendar_US)),IF(ISNUMBER(_xll.BDH(config!$G$4,Q$1,$A75,$A75)),_xll.BDH(config!$G$4,Q$1,$A75,$A75),_xll.BDH(config!$G$5,Q$1,$A75,$A75))))</f>
        <v>26.87</v>
      </c>
      <c r="R75" s="8">
        <f>IF($A75="","",IF(ISNUMBER(FIND("IMPVOL",R$1)),_xll.BDH(config!$G$4,R$1,WORKDAY($A75,-1,config_Holiday_Calendar_US),WORKDAY($A75,-1,config_Holiday_Calendar_US)),IF(ISNUMBER(_xll.BDH(config!$G$4,R$1,$A75,$A75)),_xll.BDH(config!$G$4,R$1,$A75,$A75),_xll.BDH(config!$G$5,R$1,$A75,$A75))))</f>
        <v>43.44</v>
      </c>
      <c r="S75" s="8" t="str">
        <f>IF($A75="","",IF(ISNUMBER(FIND("IMPVOL",S$1)),_xll.BDH(config!$G$4,S$1,WORKDAY($A75,-1,config_Holiday_Calendar_US),WORKDAY($A75,-1,config_Holiday_Calendar_US)),IF(ISNUMBER(_xll.BDH(config!$G$4,S$1,$A75,$A75)),_xll.BDH(config!$G$4,S$1,$A75,$A75),_xll.BDH(config!$G$5,S$1,$A75,$A75))))</f>
        <v>#N/A Requesting Data...</v>
      </c>
      <c r="T75" s="8" t="str">
        <f>IF($A75="","",IF(ISNUMBER(FIND("IMPVOL",T$1)),_xll.BDH(config!$G$4,T$1,WORKDAY($A75,-1,config_Holiday_Calendar_US),WORKDAY($A75,-1,config_Holiday_Calendar_US)),IF(ISNUMBER(_xll.BDH(config!$G$4,T$1,$A75,$A75)),_xll.BDH(config!$G$4,T$1,$A75,$A75),_xll.BDH(config!$G$5,T$1,$A75,$A75))))</f>
        <v>#N/A Requesting Data...</v>
      </c>
      <c r="U75" s="8" t="str">
        <f>IF($A75="","",IF(ISNUMBER(FIND("IMPVOL",U$1)),_xll.BDH(config!$G$4,U$1,WORKDAY($A75,-1,config_Holiday_Calendar_US),WORKDAY($A75,-1,config_Holiday_Calendar_US)),IF(ISNUMBER(_xll.BDH(config!$G$4,U$1,$A75,$A75)),_xll.BDH(config!$G$4,U$1,$A75,$A75),_xll.BDH(config!$G$5,U$1,$A75,$A75))))</f>
        <v>#N/A Requesting Data...</v>
      </c>
      <c r="V75" s="8" t="str">
        <f>IF($A75="","",IF(ISNUMBER(FIND("IMPVOL",V$1)),_xll.BDH(config!$G$4,V$1,WORKDAY($A75,-1,config_Holiday_Calendar_US),WORKDAY($A75,-1,config_Holiday_Calendar_US)),IF(ISNUMBER(_xll.BDH(config!$G$4,V$1,$A75,$A75)),_xll.BDH(config!$G$4,V$1,$A75,$A75),_xll.BDH(config!$G$5,V$1,$A75,$A75))))</f>
        <v>#N/A Requesting Data...</v>
      </c>
      <c r="W75" s="8" t="str">
        <f>IF($A75="","",IF(ISNUMBER(FIND("IMPVOL",W$1)),_xll.BDH(config!$G$4,W$1,WORKDAY($A75,-1,config_Holiday_Calendar_US),WORKDAY($A75,-1,config_Holiday_Calendar_US)),IF(ISNUMBER(_xll.BDH(config!$G$4,W$1,$A75,$A75)),_xll.BDH(config!$G$4,W$1,$A75,$A75),_xll.BDH(config!$G$5,W$1,$A75,$A75))))</f>
        <v>#N/A Requesting Data...</v>
      </c>
    </row>
    <row r="76" spans="1:23" x14ac:dyDescent="0.2">
      <c r="A76" s="9">
        <f>IF(A75="","",IF(WORKDAY(A75,-1,config_Holiday_Calendar_US)&lt;config!$I$10,"",WORKDAY(A75,-1,config_Holiday_Calendar_US)))</f>
        <v>42725</v>
      </c>
      <c r="B76" s="8" t="e">
        <f t="shared" si="1"/>
        <v>#VALUE!</v>
      </c>
      <c r="C76" s="8" t="str">
        <f>IF(A76="","",_xll.BDH(config!$H$4,C$1,$A76,$A76))</f>
        <v>#N/A Requesting Data...</v>
      </c>
      <c r="D76" s="8" t="str">
        <f>IF($A76="","",_xll.BDH(config!$H$4,D$1,$A76,$A76))</f>
        <v>#N/A Requesting Data...</v>
      </c>
      <c r="E76" s="8">
        <f>IF($A76="","",IF(ISNUMBER(FIND("IMPVOL",E$1)),_xll.BDH(config!$G$4,E$1,WORKDAY($A76,-1,config_Holiday_Calendar_US),WORKDAY($A76,-1,config_Holiday_Calendar_US)),IF(ISNUMBER(_xll.BDH(config!$G$4,E$1,$A76,$A76)),_xll.BDH(config!$G$4,E$1,$A76,$A76),_xll.BDH(config!$G$5,E$1,$A76,$A76))))</f>
        <v>54.34</v>
      </c>
      <c r="F76" s="8">
        <f>IF($A76="","",IF(ISNUMBER(FIND("IMPVOL",F$1)),_xll.BDH(config!$G$4,F$1,WORKDAY($A76,-1,config_Holiday_Calendar_US),WORKDAY($A76,-1,config_Holiday_Calendar_US)),IF(ISNUMBER(_xll.BDH(config!$G$4,F$1,$A76,$A76)),_xll.BDH(config!$G$4,F$1,$A76,$A76),_xll.BDH(config!$G$5,F$1,$A76,$A76))))</f>
        <v>54.64</v>
      </c>
      <c r="G76" s="8">
        <f>IF($A76="","",IF(ISNUMBER(FIND("IMPVOL",G$1)),_xll.BDH(config!$G$4,G$1,WORKDAY($A76,-1,config_Holiday_Calendar_US),WORKDAY($A76,-1,config_Holiday_Calendar_US)),IF(ISNUMBER(_xll.BDH(config!$G$4,G$1,$A76,$A76)),_xll.BDH(config!$G$4,G$1,$A76,$A76),_xll.BDH(config!$G$5,G$1,$A76,$A76))))</f>
        <v>53.25</v>
      </c>
      <c r="H76" s="8">
        <f>IF($A76="","",IF(ISNUMBER(FIND("IMPVOL",H$1)),_xll.BDH(config!$G$4,H$1,WORKDAY($A76,-1,config_Holiday_Calendar_US),WORKDAY($A76,-1,config_Holiday_Calendar_US)),IF(ISNUMBER(_xll.BDH(config!$G$4,H$1,$A76,$A76)),_xll.BDH(config!$G$4,H$1,$A76,$A76),_xll.BDH(config!$G$5,H$1,$A76,$A76))))</f>
        <v>133736</v>
      </c>
      <c r="I76" s="8" t="str">
        <f>IF($A76="","",IF(ISNUMBER(FIND("IMPVOL",I$1)),_xll.BDH(config!$G$4,I$1,WORKDAY($A76,-1,config_Holiday_Calendar_US),WORKDAY($A76,-1,config_Holiday_Calendar_US)),IF(ISNUMBER(_xll.BDH(config!$G$4,I$1,$A76,$A76)),_xll.BDH(config!$G$4,I$1,$A76,$A76),_xll.BDH(config!$G$5,I$1,$A76,$A76))))</f>
        <v>#N/A Requesting Data...</v>
      </c>
      <c r="J76" s="8" t="str">
        <f>IF($A76="","",IF(ISNUMBER(FIND("IMPVOL",J$1)),_xll.BDH(config!$G$4,J$1,WORKDAY($A76,-1,config_Holiday_Calendar_US),WORKDAY($A76,-1,config_Holiday_Calendar_US)),IF(ISNUMBER(_xll.BDH(config!$G$4,J$1,$A76,$A76)),_xll.BDH(config!$G$4,J$1,$A76,$A76),_xll.BDH(config!$G$5,J$1,$A76,$A76))))</f>
        <v>#N/A Requesting Data...</v>
      </c>
      <c r="K76" s="8" t="str">
        <f>IF($A76="","",IF(ISNUMBER(FIND("IMPVOL",K$1)),_xll.BDH(config!$G$4,K$1,WORKDAY($A76,-1,config_Holiday_Calendar_US),WORKDAY($A76,-1,config_Holiday_Calendar_US)),IF(ISNUMBER(_xll.BDH(config!$G$4,K$1,$A76,$A76)),_xll.BDH(config!$G$4,K$1,$A76,$A76),_xll.BDH(config!$G$5,K$1,$A76,$A76))))</f>
        <v>#N/A Requesting Data...</v>
      </c>
      <c r="L76" s="8" t="str">
        <f>IF($A76="","",IF(ISNUMBER(FIND("IMPVOL",L$1)),_xll.BDH(config!$G$4,L$1,WORKDAY($A76,-1,config_Holiday_Calendar_US),WORKDAY($A76,-1,config_Holiday_Calendar_US)),IF(ISNUMBER(_xll.BDH(config!$G$4,L$1,$A76,$A76)),_xll.BDH(config!$G$4,L$1,$A76,$A76),_xll.BDH(config!$G$5,L$1,$A76,$A76))))</f>
        <v>#N/A Requesting Data...</v>
      </c>
      <c r="M76" s="8" t="str">
        <f>IF($A76="","",IF(ISNUMBER(FIND("IMPVOL",M$1)),_xll.BDH(config!$G$4,M$1,WORKDAY($A76,-1,config_Holiday_Calendar_US),WORKDAY($A76,-1,config_Holiday_Calendar_US)),IF(ISNUMBER(_xll.BDH(config!$G$4,M$1,$A76,$A76)),_xll.BDH(config!$G$4,M$1,$A76,$A76),_xll.BDH(config!$G$5,M$1,$A76,$A76))))</f>
        <v>#N/A Requesting Data...</v>
      </c>
      <c r="N76" s="8" t="str">
        <f>IF($A76="","",IF(ISNUMBER(FIND("IMPVOL",N$1)),_xll.BDH(config!$G$4,N$1,WORKDAY($A76,-1,config_Holiday_Calendar_US),WORKDAY($A76,-1,config_Holiday_Calendar_US)),IF(ISNUMBER(_xll.BDH(config!$G$4,N$1,$A76,$A76)),_xll.BDH(config!$G$4,N$1,$A76,$A76),_xll.BDH(config!$G$5,N$1,$A76,$A76))))</f>
        <v>#N/A Requesting Data...</v>
      </c>
      <c r="O76" s="8" t="str">
        <f>IF($A76="","",IF(ISNUMBER(FIND("IMPVOL",O$1)),_xll.BDH(config!$G$4,O$1,WORKDAY($A76,-1,config_Holiday_Calendar_US),WORKDAY($A76,-1,config_Holiday_Calendar_US)),IF(ISNUMBER(_xll.BDH(config!$G$4,O$1,$A76,$A76)),_xll.BDH(config!$G$4,O$1,$A76,$A76),_xll.BDH(config!$G$5,O$1,$A76,$A76))))</f>
        <v>#N/A Requesting Data...</v>
      </c>
      <c r="P76" s="8" t="str">
        <f>IF($A76="","",IF(ISNUMBER(FIND("IMPVOL",P$1)),_xll.BDH(config!$G$4,P$1,WORKDAY($A76,-1,config_Holiday_Calendar_US),WORKDAY($A76,-1,config_Holiday_Calendar_US)),IF(ISNUMBER(_xll.BDH(config!$G$4,P$1,$A76,$A76)),_xll.BDH(config!$G$4,P$1,$A76,$A76),_xll.BDH(config!$G$5,P$1,$A76,$A76))))</f>
        <v>#N/A Requesting Data...</v>
      </c>
      <c r="Q76" s="8">
        <f>IF($A76="","",IF(ISNUMBER(FIND("IMPVOL",Q$1)),_xll.BDH(config!$G$4,Q$1,WORKDAY($A76,-1,config_Holiday_Calendar_US),WORKDAY($A76,-1,config_Holiday_Calendar_US)),IF(ISNUMBER(_xll.BDH(config!$G$4,Q$1,$A76,$A76)),_xll.BDH(config!$G$4,Q$1,$A76,$A76),_xll.BDH(config!$G$5,Q$1,$A76,$A76))))</f>
        <v>27.01</v>
      </c>
      <c r="R76" s="8">
        <f>IF($A76="","",IF(ISNUMBER(FIND("IMPVOL",R$1)),_xll.BDH(config!$G$4,R$1,WORKDAY($A76,-1,config_Holiday_Calendar_US),WORKDAY($A76,-1,config_Holiday_Calendar_US)),IF(ISNUMBER(_xll.BDH(config!$G$4,R$1,$A76,$A76)),_xll.BDH(config!$G$4,R$1,$A76,$A76),_xll.BDH(config!$G$5,R$1,$A76,$A76))))</f>
        <v>43.78</v>
      </c>
      <c r="S76" s="8" t="str">
        <f>IF($A76="","",IF(ISNUMBER(FIND("IMPVOL",S$1)),_xll.BDH(config!$G$4,S$1,WORKDAY($A76,-1,config_Holiday_Calendar_US),WORKDAY($A76,-1,config_Holiday_Calendar_US)),IF(ISNUMBER(_xll.BDH(config!$G$4,S$1,$A76,$A76)),_xll.BDH(config!$G$4,S$1,$A76,$A76),_xll.BDH(config!$G$5,S$1,$A76,$A76))))</f>
        <v>#N/A Requesting Data...</v>
      </c>
      <c r="T76" s="8" t="str">
        <f>IF($A76="","",IF(ISNUMBER(FIND("IMPVOL",T$1)),_xll.BDH(config!$G$4,T$1,WORKDAY($A76,-1,config_Holiday_Calendar_US),WORKDAY($A76,-1,config_Holiday_Calendar_US)),IF(ISNUMBER(_xll.BDH(config!$G$4,T$1,$A76,$A76)),_xll.BDH(config!$G$4,T$1,$A76,$A76),_xll.BDH(config!$G$5,T$1,$A76,$A76))))</f>
        <v>#N/A Requesting Data...</v>
      </c>
      <c r="U76" s="8" t="str">
        <f>IF($A76="","",IF(ISNUMBER(FIND("IMPVOL",U$1)),_xll.BDH(config!$G$4,U$1,WORKDAY($A76,-1,config_Holiday_Calendar_US),WORKDAY($A76,-1,config_Holiday_Calendar_US)),IF(ISNUMBER(_xll.BDH(config!$G$4,U$1,$A76,$A76)),_xll.BDH(config!$G$4,U$1,$A76,$A76),_xll.BDH(config!$G$5,U$1,$A76,$A76))))</f>
        <v>#N/A Requesting Data...</v>
      </c>
      <c r="V76" s="8" t="str">
        <f>IF($A76="","",IF(ISNUMBER(FIND("IMPVOL",V$1)),_xll.BDH(config!$G$4,V$1,WORKDAY($A76,-1,config_Holiday_Calendar_US),WORKDAY($A76,-1,config_Holiday_Calendar_US)),IF(ISNUMBER(_xll.BDH(config!$G$4,V$1,$A76,$A76)),_xll.BDH(config!$G$4,V$1,$A76,$A76),_xll.BDH(config!$G$5,V$1,$A76,$A76))))</f>
        <v>#N/A Requesting Data...</v>
      </c>
      <c r="W76" s="8" t="str">
        <f>IF($A76="","",IF(ISNUMBER(FIND("IMPVOL",W$1)),_xll.BDH(config!$G$4,W$1,WORKDAY($A76,-1,config_Holiday_Calendar_US),WORKDAY($A76,-1,config_Holiday_Calendar_US)),IF(ISNUMBER(_xll.BDH(config!$G$4,W$1,$A76,$A76)),_xll.BDH(config!$G$4,W$1,$A76,$A76),_xll.BDH(config!$G$5,W$1,$A76,$A76))))</f>
        <v>#N/A Requesting Data...</v>
      </c>
    </row>
    <row r="77" spans="1:23" x14ac:dyDescent="0.2">
      <c r="A77" s="9">
        <f>IF(A76="","",IF(WORKDAY(A76,-1,config_Holiday_Calendar_US)&lt;config!$I$10,"",WORKDAY(A76,-1,config_Holiday_Calendar_US)))</f>
        <v>42724</v>
      </c>
      <c r="B77" s="8" t="e">
        <f t="shared" si="1"/>
        <v>#VALUE!</v>
      </c>
      <c r="C77" s="8" t="str">
        <f>IF(A77="","",_xll.BDH(config!$H$4,C$1,$A77,$A77))</f>
        <v>#N/A Requesting Data...</v>
      </c>
      <c r="D77" s="8" t="str">
        <f>IF($A77="","",_xll.BDH(config!$H$4,D$1,$A77,$A77))</f>
        <v>#N/A Requesting Data...</v>
      </c>
      <c r="E77" s="8">
        <f>IF($A77="","",IF(ISNUMBER(FIND("IMPVOL",E$1)),_xll.BDH(config!$G$4,E$1,WORKDAY($A77,-1,config_Holiday_Calendar_US),WORKDAY($A77,-1,config_Holiday_Calendar_US)),IF(ISNUMBER(_xll.BDH(config!$G$4,E$1,$A77,$A77)),_xll.BDH(config!$G$4,E$1,$A77,$A77),_xll.BDH(config!$G$5,E$1,$A77,$A77))))</f>
        <v>53.14</v>
      </c>
      <c r="F77" s="8">
        <f>IF($A77="","",IF(ISNUMBER(FIND("IMPVOL",F$1)),_xll.BDH(config!$G$4,F$1,WORKDAY($A77,-1,config_Holiday_Calendar_US),WORKDAY($A77,-1,config_Holiday_Calendar_US)),IF(ISNUMBER(_xll.BDH(config!$G$4,F$1,$A77,$A77)),_xll.BDH(config!$G$4,F$1,$A77,$A77),_xll.BDH(config!$G$5,F$1,$A77,$A77))))</f>
        <v>53.77</v>
      </c>
      <c r="G77" s="8">
        <f>IF($A77="","",IF(ISNUMBER(FIND("IMPVOL",G$1)),_xll.BDH(config!$G$4,G$1,WORKDAY($A77,-1,config_Holiday_Calendar_US),WORKDAY($A77,-1,config_Holiday_Calendar_US)),IF(ISNUMBER(_xll.BDH(config!$G$4,G$1,$A77,$A77)),_xll.BDH(config!$G$4,G$1,$A77,$A77),_xll.BDH(config!$G$5,G$1,$A77,$A77))))</f>
        <v>52.84</v>
      </c>
      <c r="H77" s="8">
        <f>IF($A77="","",IF(ISNUMBER(FIND("IMPVOL",H$1)),_xll.BDH(config!$G$4,H$1,WORKDAY($A77,-1,config_Holiday_Calendar_US),WORKDAY($A77,-1,config_Holiday_Calendar_US)),IF(ISNUMBER(_xll.BDH(config!$G$4,H$1,$A77,$A77)),_xll.BDH(config!$G$4,H$1,$A77,$A77),_xll.BDH(config!$G$5,H$1,$A77,$A77))))</f>
        <v>416592</v>
      </c>
      <c r="I77" s="8" t="str">
        <f>IF($A77="","",IF(ISNUMBER(FIND("IMPVOL",I$1)),_xll.BDH(config!$G$4,I$1,WORKDAY($A77,-1,config_Holiday_Calendar_US),WORKDAY($A77,-1,config_Holiday_Calendar_US)),IF(ISNUMBER(_xll.BDH(config!$G$4,I$1,$A77,$A77)),_xll.BDH(config!$G$4,I$1,$A77,$A77),_xll.BDH(config!$G$5,I$1,$A77,$A77))))</f>
        <v>#N/A Requesting Data...</v>
      </c>
      <c r="J77" s="8" t="str">
        <f>IF($A77="","",IF(ISNUMBER(FIND("IMPVOL",J$1)),_xll.BDH(config!$G$4,J$1,WORKDAY($A77,-1,config_Holiday_Calendar_US),WORKDAY($A77,-1,config_Holiday_Calendar_US)),IF(ISNUMBER(_xll.BDH(config!$G$4,J$1,$A77,$A77)),_xll.BDH(config!$G$4,J$1,$A77,$A77),_xll.BDH(config!$G$5,J$1,$A77,$A77))))</f>
        <v>#N/A Requesting Data...</v>
      </c>
      <c r="K77" s="8" t="str">
        <f>IF($A77="","",IF(ISNUMBER(FIND("IMPVOL",K$1)),_xll.BDH(config!$G$4,K$1,WORKDAY($A77,-1,config_Holiday_Calendar_US),WORKDAY($A77,-1,config_Holiday_Calendar_US)),IF(ISNUMBER(_xll.BDH(config!$G$4,K$1,$A77,$A77)),_xll.BDH(config!$G$4,K$1,$A77,$A77),_xll.BDH(config!$G$5,K$1,$A77,$A77))))</f>
        <v>#N/A Requesting Data...</v>
      </c>
      <c r="L77" s="8" t="str">
        <f>IF($A77="","",IF(ISNUMBER(FIND("IMPVOL",L$1)),_xll.BDH(config!$G$4,L$1,WORKDAY($A77,-1,config_Holiday_Calendar_US),WORKDAY($A77,-1,config_Holiday_Calendar_US)),IF(ISNUMBER(_xll.BDH(config!$G$4,L$1,$A77,$A77)),_xll.BDH(config!$G$4,L$1,$A77,$A77),_xll.BDH(config!$G$5,L$1,$A77,$A77))))</f>
        <v>#N/A Requesting Data...</v>
      </c>
      <c r="M77" s="8" t="str">
        <f>IF($A77="","",IF(ISNUMBER(FIND("IMPVOL",M$1)),_xll.BDH(config!$G$4,M$1,WORKDAY($A77,-1,config_Holiday_Calendar_US),WORKDAY($A77,-1,config_Holiday_Calendar_US)),IF(ISNUMBER(_xll.BDH(config!$G$4,M$1,$A77,$A77)),_xll.BDH(config!$G$4,M$1,$A77,$A77),_xll.BDH(config!$G$5,M$1,$A77,$A77))))</f>
        <v>#N/A Requesting Data...</v>
      </c>
      <c r="N77" s="8" t="str">
        <f>IF($A77="","",IF(ISNUMBER(FIND("IMPVOL",N$1)),_xll.BDH(config!$G$4,N$1,WORKDAY($A77,-1,config_Holiday_Calendar_US),WORKDAY($A77,-1,config_Holiday_Calendar_US)),IF(ISNUMBER(_xll.BDH(config!$G$4,N$1,$A77,$A77)),_xll.BDH(config!$G$4,N$1,$A77,$A77),_xll.BDH(config!$G$5,N$1,$A77,$A77))))</f>
        <v>#N/A Requesting Data...</v>
      </c>
      <c r="O77" s="8" t="str">
        <f>IF($A77="","",IF(ISNUMBER(FIND("IMPVOL",O$1)),_xll.BDH(config!$G$4,O$1,WORKDAY($A77,-1,config_Holiday_Calendar_US),WORKDAY($A77,-1,config_Holiday_Calendar_US)),IF(ISNUMBER(_xll.BDH(config!$G$4,O$1,$A77,$A77)),_xll.BDH(config!$G$4,O$1,$A77,$A77),_xll.BDH(config!$G$5,O$1,$A77,$A77))))</f>
        <v>#N/A Requesting Data...</v>
      </c>
      <c r="P77" s="8" t="str">
        <f>IF($A77="","",IF(ISNUMBER(FIND("IMPVOL",P$1)),_xll.BDH(config!$G$4,P$1,WORKDAY($A77,-1,config_Holiday_Calendar_US),WORKDAY($A77,-1,config_Holiday_Calendar_US)),IF(ISNUMBER(_xll.BDH(config!$G$4,P$1,$A77,$A77)),_xll.BDH(config!$G$4,P$1,$A77,$A77),_xll.BDH(config!$G$5,P$1,$A77,$A77))))</f>
        <v>#N/A Requesting Data...</v>
      </c>
      <c r="Q77" s="8">
        <f>IF($A77="","",IF(ISNUMBER(FIND("IMPVOL",Q$1)),_xll.BDH(config!$G$4,Q$1,WORKDAY($A77,-1,config_Holiday_Calendar_US),WORKDAY($A77,-1,config_Holiday_Calendar_US)),IF(ISNUMBER(_xll.BDH(config!$G$4,Q$1,$A77,$A77)),_xll.BDH(config!$G$4,Q$1,$A77,$A77),_xll.BDH(config!$G$5,Q$1,$A77,$A77))))</f>
        <v>28.16</v>
      </c>
      <c r="R77" s="8">
        <f>IF($A77="","",IF(ISNUMBER(FIND("IMPVOL",R$1)),_xll.BDH(config!$G$4,R$1,WORKDAY($A77,-1,config_Holiday_Calendar_US),WORKDAY($A77,-1,config_Holiday_Calendar_US)),IF(ISNUMBER(_xll.BDH(config!$G$4,R$1,$A77,$A77)),_xll.BDH(config!$G$4,R$1,$A77,$A77),_xll.BDH(config!$G$5,R$1,$A77,$A77))))</f>
        <v>43.77</v>
      </c>
      <c r="S77" s="8" t="str">
        <f>IF($A77="","",IF(ISNUMBER(FIND("IMPVOL",S$1)),_xll.BDH(config!$G$4,S$1,WORKDAY($A77,-1,config_Holiday_Calendar_US),WORKDAY($A77,-1,config_Holiday_Calendar_US)),IF(ISNUMBER(_xll.BDH(config!$G$4,S$1,$A77,$A77)),_xll.BDH(config!$G$4,S$1,$A77,$A77),_xll.BDH(config!$G$5,S$1,$A77,$A77))))</f>
        <v>#N/A Requesting Data...</v>
      </c>
      <c r="T77" s="8" t="str">
        <f>IF($A77="","",IF(ISNUMBER(FIND("IMPVOL",T$1)),_xll.BDH(config!$G$4,T$1,WORKDAY($A77,-1,config_Holiday_Calendar_US),WORKDAY($A77,-1,config_Holiday_Calendar_US)),IF(ISNUMBER(_xll.BDH(config!$G$4,T$1,$A77,$A77)),_xll.BDH(config!$G$4,T$1,$A77,$A77),_xll.BDH(config!$G$5,T$1,$A77,$A77))))</f>
        <v>#N/A Requesting Data...</v>
      </c>
      <c r="U77" s="8" t="str">
        <f>IF($A77="","",IF(ISNUMBER(FIND("IMPVOL",U$1)),_xll.BDH(config!$G$4,U$1,WORKDAY($A77,-1,config_Holiday_Calendar_US),WORKDAY($A77,-1,config_Holiday_Calendar_US)),IF(ISNUMBER(_xll.BDH(config!$G$4,U$1,$A77,$A77)),_xll.BDH(config!$G$4,U$1,$A77,$A77),_xll.BDH(config!$G$5,U$1,$A77,$A77))))</f>
        <v>#N/A Requesting Data...</v>
      </c>
      <c r="V77" s="8" t="str">
        <f>IF($A77="","",IF(ISNUMBER(FIND("IMPVOL",V$1)),_xll.BDH(config!$G$4,V$1,WORKDAY($A77,-1,config_Holiday_Calendar_US),WORKDAY($A77,-1,config_Holiday_Calendar_US)),IF(ISNUMBER(_xll.BDH(config!$G$4,V$1,$A77,$A77)),_xll.BDH(config!$G$4,V$1,$A77,$A77),_xll.BDH(config!$G$5,V$1,$A77,$A77))))</f>
        <v>#N/A Requesting Data...</v>
      </c>
      <c r="W77" s="8" t="str">
        <f>IF($A77="","",IF(ISNUMBER(FIND("IMPVOL",W$1)),_xll.BDH(config!$G$4,W$1,WORKDAY($A77,-1,config_Holiday_Calendar_US),WORKDAY($A77,-1,config_Holiday_Calendar_US)),IF(ISNUMBER(_xll.BDH(config!$G$4,W$1,$A77,$A77)),_xll.BDH(config!$G$4,W$1,$A77,$A77),_xll.BDH(config!$G$5,W$1,$A77,$A77))))</f>
        <v>#N/A Requesting Data...</v>
      </c>
    </row>
    <row r="78" spans="1:23" x14ac:dyDescent="0.2">
      <c r="A78" s="9">
        <f>IF(A77="","",IF(WORKDAY(A77,-1,config_Holiday_Calendar_US)&lt;config!$I$10,"",WORKDAY(A77,-1,config_Holiday_Calendar_US)))</f>
        <v>42723</v>
      </c>
      <c r="B78" s="8" t="e">
        <f t="shared" si="1"/>
        <v>#VALUE!</v>
      </c>
      <c r="C78" s="8" t="str">
        <f>IF(A78="","",_xll.BDH(config!$H$4,C$1,$A78,$A78))</f>
        <v>#N/A Requesting Data...</v>
      </c>
      <c r="D78" s="8" t="str">
        <f>IF($A78="","",_xll.BDH(config!$H$4,D$1,$A78,$A78))</f>
        <v>#N/A Requesting Data...</v>
      </c>
      <c r="E78" s="8">
        <f>IF($A78="","",IF(ISNUMBER(FIND("IMPVOL",E$1)),_xll.BDH(config!$G$4,E$1,WORKDAY($A78,-1,config_Holiday_Calendar_US),WORKDAY($A78,-1,config_Holiday_Calendar_US)),IF(ISNUMBER(_xll.BDH(config!$G$4,E$1,$A78,$A78)),_xll.BDH(config!$G$4,E$1,$A78,$A78),_xll.BDH(config!$G$5,E$1,$A78,$A78))))</f>
        <v>53.25</v>
      </c>
      <c r="F78" s="8">
        <f>IF($A78="","",IF(ISNUMBER(FIND("IMPVOL",F$1)),_xll.BDH(config!$G$4,F$1,WORKDAY($A78,-1,config_Holiday_Calendar_US),WORKDAY($A78,-1,config_Holiday_Calendar_US)),IF(ISNUMBER(_xll.BDH(config!$G$4,F$1,$A78,$A78)),_xll.BDH(config!$G$4,F$1,$A78,$A78),_xll.BDH(config!$G$5,F$1,$A78,$A78))))</f>
        <v>53.59</v>
      </c>
      <c r="G78" s="8">
        <f>IF($A78="","",IF(ISNUMBER(FIND("IMPVOL",G$1)),_xll.BDH(config!$G$4,G$1,WORKDAY($A78,-1,config_Holiday_Calendar_US),WORKDAY($A78,-1,config_Holiday_Calendar_US)),IF(ISNUMBER(_xll.BDH(config!$G$4,G$1,$A78,$A78)),_xll.BDH(config!$G$4,G$1,$A78,$A78),_xll.BDH(config!$G$5,G$1,$A78,$A78))))</f>
        <v>52.57</v>
      </c>
      <c r="H78" s="8">
        <f>IF($A78="","",IF(ISNUMBER(FIND("IMPVOL",H$1)),_xll.BDH(config!$G$4,H$1,WORKDAY($A78,-1,config_Holiday_Calendar_US),WORKDAY($A78,-1,config_Holiday_Calendar_US)),IF(ISNUMBER(_xll.BDH(config!$G$4,H$1,$A78,$A78)),_xll.BDH(config!$G$4,H$1,$A78,$A78),_xll.BDH(config!$G$5,H$1,$A78,$A78))))</f>
        <v>482552</v>
      </c>
      <c r="I78" s="8" t="str">
        <f>IF($A78="","",IF(ISNUMBER(FIND("IMPVOL",I$1)),_xll.BDH(config!$G$4,I$1,WORKDAY($A78,-1,config_Holiday_Calendar_US),WORKDAY($A78,-1,config_Holiday_Calendar_US)),IF(ISNUMBER(_xll.BDH(config!$G$4,I$1,$A78,$A78)),_xll.BDH(config!$G$4,I$1,$A78,$A78),_xll.BDH(config!$G$5,I$1,$A78,$A78))))</f>
        <v>#N/A Requesting Data...</v>
      </c>
      <c r="J78" s="8" t="str">
        <f>IF($A78="","",IF(ISNUMBER(FIND("IMPVOL",J$1)),_xll.BDH(config!$G$4,J$1,WORKDAY($A78,-1,config_Holiday_Calendar_US),WORKDAY($A78,-1,config_Holiday_Calendar_US)),IF(ISNUMBER(_xll.BDH(config!$G$4,J$1,$A78,$A78)),_xll.BDH(config!$G$4,J$1,$A78,$A78),_xll.BDH(config!$G$5,J$1,$A78,$A78))))</f>
        <v>#N/A Requesting Data...</v>
      </c>
      <c r="K78" s="8" t="str">
        <f>IF($A78="","",IF(ISNUMBER(FIND("IMPVOL",K$1)),_xll.BDH(config!$G$4,K$1,WORKDAY($A78,-1,config_Holiday_Calendar_US),WORKDAY($A78,-1,config_Holiday_Calendar_US)),IF(ISNUMBER(_xll.BDH(config!$G$4,K$1,$A78,$A78)),_xll.BDH(config!$G$4,K$1,$A78,$A78),_xll.BDH(config!$G$5,K$1,$A78,$A78))))</f>
        <v>#N/A Requesting Data...</v>
      </c>
      <c r="L78" s="8" t="str">
        <f>IF($A78="","",IF(ISNUMBER(FIND("IMPVOL",L$1)),_xll.BDH(config!$G$4,L$1,WORKDAY($A78,-1,config_Holiday_Calendar_US),WORKDAY($A78,-1,config_Holiday_Calendar_US)),IF(ISNUMBER(_xll.BDH(config!$G$4,L$1,$A78,$A78)),_xll.BDH(config!$G$4,L$1,$A78,$A78),_xll.BDH(config!$G$5,L$1,$A78,$A78))))</f>
        <v>#N/A Requesting Data...</v>
      </c>
      <c r="M78" s="8" t="str">
        <f>IF($A78="","",IF(ISNUMBER(FIND("IMPVOL",M$1)),_xll.BDH(config!$G$4,M$1,WORKDAY($A78,-1,config_Holiday_Calendar_US),WORKDAY($A78,-1,config_Holiday_Calendar_US)),IF(ISNUMBER(_xll.BDH(config!$G$4,M$1,$A78,$A78)),_xll.BDH(config!$G$4,M$1,$A78,$A78),_xll.BDH(config!$G$5,M$1,$A78,$A78))))</f>
        <v>#N/A Requesting Data...</v>
      </c>
      <c r="N78" s="8" t="str">
        <f>IF($A78="","",IF(ISNUMBER(FIND("IMPVOL",N$1)),_xll.BDH(config!$G$4,N$1,WORKDAY($A78,-1,config_Holiday_Calendar_US),WORKDAY($A78,-1,config_Holiday_Calendar_US)),IF(ISNUMBER(_xll.BDH(config!$G$4,N$1,$A78,$A78)),_xll.BDH(config!$G$4,N$1,$A78,$A78),_xll.BDH(config!$G$5,N$1,$A78,$A78))))</f>
        <v>#N/A Requesting Data...</v>
      </c>
      <c r="O78" s="8" t="str">
        <f>IF($A78="","",IF(ISNUMBER(FIND("IMPVOL",O$1)),_xll.BDH(config!$G$4,O$1,WORKDAY($A78,-1,config_Holiday_Calendar_US),WORKDAY($A78,-1,config_Holiday_Calendar_US)),IF(ISNUMBER(_xll.BDH(config!$G$4,O$1,$A78,$A78)),_xll.BDH(config!$G$4,O$1,$A78,$A78),_xll.BDH(config!$G$5,O$1,$A78,$A78))))</f>
        <v>#N/A Requesting Data...</v>
      </c>
      <c r="P78" s="8" t="str">
        <f>IF($A78="","",IF(ISNUMBER(FIND("IMPVOL",P$1)),_xll.BDH(config!$G$4,P$1,WORKDAY($A78,-1,config_Holiday_Calendar_US),WORKDAY($A78,-1,config_Holiday_Calendar_US)),IF(ISNUMBER(_xll.BDH(config!$G$4,P$1,$A78,$A78)),_xll.BDH(config!$G$4,P$1,$A78,$A78),_xll.BDH(config!$G$5,P$1,$A78,$A78))))</f>
        <v>#N/A Requesting Data...</v>
      </c>
      <c r="Q78" s="8">
        <f>IF($A78="","",IF(ISNUMBER(FIND("IMPVOL",Q$1)),_xll.BDH(config!$G$4,Q$1,WORKDAY($A78,-1,config_Holiday_Calendar_US),WORKDAY($A78,-1,config_Holiday_Calendar_US)),IF(ISNUMBER(_xll.BDH(config!$G$4,Q$1,$A78,$A78)),_xll.BDH(config!$G$4,Q$1,$A78,$A78),_xll.BDH(config!$G$5,Q$1,$A78,$A78))))</f>
        <v>31.23</v>
      </c>
      <c r="R78" s="8">
        <f>IF($A78="","",IF(ISNUMBER(FIND("IMPVOL",R$1)),_xll.BDH(config!$G$4,R$1,WORKDAY($A78,-1,config_Holiday_Calendar_US),WORKDAY($A78,-1,config_Holiday_Calendar_US)),IF(ISNUMBER(_xll.BDH(config!$G$4,R$1,$A78,$A78)),_xll.BDH(config!$G$4,R$1,$A78,$A78),_xll.BDH(config!$G$5,R$1,$A78,$A78))))</f>
        <v>43.77</v>
      </c>
      <c r="S78" s="8" t="str">
        <f>IF($A78="","",IF(ISNUMBER(FIND("IMPVOL",S$1)),_xll.BDH(config!$G$4,S$1,WORKDAY($A78,-1,config_Holiday_Calendar_US),WORKDAY($A78,-1,config_Holiday_Calendar_US)),IF(ISNUMBER(_xll.BDH(config!$G$4,S$1,$A78,$A78)),_xll.BDH(config!$G$4,S$1,$A78,$A78),_xll.BDH(config!$G$5,S$1,$A78,$A78))))</f>
        <v>#N/A Requesting Data...</v>
      </c>
      <c r="T78" s="8" t="str">
        <f>IF($A78="","",IF(ISNUMBER(FIND("IMPVOL",T$1)),_xll.BDH(config!$G$4,T$1,WORKDAY($A78,-1,config_Holiday_Calendar_US),WORKDAY($A78,-1,config_Holiday_Calendar_US)),IF(ISNUMBER(_xll.BDH(config!$G$4,T$1,$A78,$A78)),_xll.BDH(config!$G$4,T$1,$A78,$A78),_xll.BDH(config!$G$5,T$1,$A78,$A78))))</f>
        <v>#N/A Requesting Data...</v>
      </c>
      <c r="U78" s="8" t="str">
        <f>IF($A78="","",IF(ISNUMBER(FIND("IMPVOL",U$1)),_xll.BDH(config!$G$4,U$1,WORKDAY($A78,-1,config_Holiday_Calendar_US),WORKDAY($A78,-1,config_Holiday_Calendar_US)),IF(ISNUMBER(_xll.BDH(config!$G$4,U$1,$A78,$A78)),_xll.BDH(config!$G$4,U$1,$A78,$A78),_xll.BDH(config!$G$5,U$1,$A78,$A78))))</f>
        <v>#N/A Requesting Data...</v>
      </c>
      <c r="V78" s="8" t="str">
        <f>IF($A78="","",IF(ISNUMBER(FIND("IMPVOL",V$1)),_xll.BDH(config!$G$4,V$1,WORKDAY($A78,-1,config_Holiday_Calendar_US),WORKDAY($A78,-1,config_Holiday_Calendar_US)),IF(ISNUMBER(_xll.BDH(config!$G$4,V$1,$A78,$A78)),_xll.BDH(config!$G$4,V$1,$A78,$A78),_xll.BDH(config!$G$5,V$1,$A78,$A78))))</f>
        <v>#N/A Requesting Data...</v>
      </c>
      <c r="W78" s="8" t="str">
        <f>IF($A78="","",IF(ISNUMBER(FIND("IMPVOL",W$1)),_xll.BDH(config!$G$4,W$1,WORKDAY($A78,-1,config_Holiday_Calendar_US),WORKDAY($A78,-1,config_Holiday_Calendar_US)),IF(ISNUMBER(_xll.BDH(config!$G$4,W$1,$A78,$A78)),_xll.BDH(config!$G$4,W$1,$A78,$A78),_xll.BDH(config!$G$5,W$1,$A78,$A78))))</f>
        <v>#N/A Requesting Data...</v>
      </c>
    </row>
    <row r="79" spans="1:23" x14ac:dyDescent="0.2">
      <c r="A79" s="9">
        <f>IF(A78="","",IF(WORKDAY(A78,-1,config_Holiday_Calendar_US)&lt;config!$I$10,"",WORKDAY(A78,-1,config_Holiday_Calendar_US)))</f>
        <v>42720</v>
      </c>
      <c r="B79" s="8" t="e">
        <f t="shared" si="1"/>
        <v>#VALUE!</v>
      </c>
      <c r="C79" s="8" t="str">
        <f>IF(A79="","",_xll.BDH(config!$H$4,C$1,$A79,$A79))</f>
        <v>#N/A Requesting Data...</v>
      </c>
      <c r="D79" s="8" t="str">
        <f>IF($A79="","",_xll.BDH(config!$H$4,D$1,$A79,$A79))</f>
        <v>#N/A Requesting Data...</v>
      </c>
      <c r="E79" s="8">
        <f>IF($A79="","",IF(ISNUMBER(FIND("IMPVOL",E$1)),_xll.BDH(config!$G$4,E$1,WORKDAY($A79,-1,config_Holiday_Calendar_US),WORKDAY($A79,-1,config_Holiday_Calendar_US)),IF(ISNUMBER(_xll.BDH(config!$G$4,E$1,$A79,$A79)),_xll.BDH(config!$G$4,E$1,$A79,$A79),_xll.BDH(config!$G$5,E$1,$A79,$A79))))</f>
        <v>52.19</v>
      </c>
      <c r="F79" s="8">
        <f>IF($A79="","",IF(ISNUMBER(FIND("IMPVOL",F$1)),_xll.BDH(config!$G$4,F$1,WORKDAY($A79,-1,config_Holiday_Calendar_US),WORKDAY($A79,-1,config_Holiday_Calendar_US)),IF(ISNUMBER(_xll.BDH(config!$G$4,F$1,$A79,$A79)),_xll.BDH(config!$G$4,F$1,$A79,$A79),_xll.BDH(config!$G$5,F$1,$A79,$A79))))</f>
        <v>53.15</v>
      </c>
      <c r="G79" s="8">
        <f>IF($A79="","",IF(ISNUMBER(FIND("IMPVOL",G$1)),_xll.BDH(config!$G$4,G$1,WORKDAY($A79,-1,config_Holiday_Calendar_US),WORKDAY($A79,-1,config_Holiday_Calendar_US)),IF(ISNUMBER(_xll.BDH(config!$G$4,G$1,$A79,$A79)),_xll.BDH(config!$G$4,G$1,$A79,$A79),_xll.BDH(config!$G$5,G$1,$A79,$A79))))</f>
        <v>51.57</v>
      </c>
      <c r="H79" s="8">
        <f>IF($A79="","",IF(ISNUMBER(FIND("IMPVOL",H$1)),_xll.BDH(config!$G$4,H$1,WORKDAY($A79,-1,config_Holiday_Calendar_US),WORKDAY($A79,-1,config_Holiday_Calendar_US)),IF(ISNUMBER(_xll.BDH(config!$G$4,H$1,$A79,$A79)),_xll.BDH(config!$G$4,H$1,$A79,$A79),_xll.BDH(config!$G$5,H$1,$A79,$A79))))</f>
        <v>413536</v>
      </c>
      <c r="I79" s="8" t="str">
        <f>IF($A79="","",IF(ISNUMBER(FIND("IMPVOL",I$1)),_xll.BDH(config!$G$4,I$1,WORKDAY($A79,-1,config_Holiday_Calendar_US),WORKDAY($A79,-1,config_Holiday_Calendar_US)),IF(ISNUMBER(_xll.BDH(config!$G$4,I$1,$A79,$A79)),_xll.BDH(config!$G$4,I$1,$A79,$A79),_xll.BDH(config!$G$5,I$1,$A79,$A79))))</f>
        <v>#N/A Requesting Data...</v>
      </c>
      <c r="J79" s="8" t="str">
        <f>IF($A79="","",IF(ISNUMBER(FIND("IMPVOL",J$1)),_xll.BDH(config!$G$4,J$1,WORKDAY($A79,-1,config_Holiday_Calendar_US),WORKDAY($A79,-1,config_Holiday_Calendar_US)),IF(ISNUMBER(_xll.BDH(config!$G$4,J$1,$A79,$A79)),_xll.BDH(config!$G$4,J$1,$A79,$A79),_xll.BDH(config!$G$5,J$1,$A79,$A79))))</f>
        <v>#N/A Requesting Data...</v>
      </c>
      <c r="K79" s="8" t="str">
        <f>IF($A79="","",IF(ISNUMBER(FIND("IMPVOL",K$1)),_xll.BDH(config!$G$4,K$1,WORKDAY($A79,-1,config_Holiday_Calendar_US),WORKDAY($A79,-1,config_Holiday_Calendar_US)),IF(ISNUMBER(_xll.BDH(config!$G$4,K$1,$A79,$A79)),_xll.BDH(config!$G$4,K$1,$A79,$A79),_xll.BDH(config!$G$5,K$1,$A79,$A79))))</f>
        <v>#N/A Requesting Data...</v>
      </c>
      <c r="L79" s="8" t="str">
        <f>IF($A79="","",IF(ISNUMBER(FIND("IMPVOL",L$1)),_xll.BDH(config!$G$4,L$1,WORKDAY($A79,-1,config_Holiday_Calendar_US),WORKDAY($A79,-1,config_Holiday_Calendar_US)),IF(ISNUMBER(_xll.BDH(config!$G$4,L$1,$A79,$A79)),_xll.BDH(config!$G$4,L$1,$A79,$A79),_xll.BDH(config!$G$5,L$1,$A79,$A79))))</f>
        <v>#N/A Requesting Data...</v>
      </c>
      <c r="M79" s="8" t="str">
        <f>IF($A79="","",IF(ISNUMBER(FIND("IMPVOL",M$1)),_xll.BDH(config!$G$4,M$1,WORKDAY($A79,-1,config_Holiday_Calendar_US),WORKDAY($A79,-1,config_Holiday_Calendar_US)),IF(ISNUMBER(_xll.BDH(config!$G$4,M$1,$A79,$A79)),_xll.BDH(config!$G$4,M$1,$A79,$A79),_xll.BDH(config!$G$5,M$1,$A79,$A79))))</f>
        <v>#N/A Requesting Data...</v>
      </c>
      <c r="N79" s="8" t="str">
        <f>IF($A79="","",IF(ISNUMBER(FIND("IMPVOL",N$1)),_xll.BDH(config!$G$4,N$1,WORKDAY($A79,-1,config_Holiday_Calendar_US),WORKDAY($A79,-1,config_Holiday_Calendar_US)),IF(ISNUMBER(_xll.BDH(config!$G$4,N$1,$A79,$A79)),_xll.BDH(config!$G$4,N$1,$A79,$A79),_xll.BDH(config!$G$5,N$1,$A79,$A79))))</f>
        <v>#N/A Requesting Data...</v>
      </c>
      <c r="O79" s="8" t="str">
        <f>IF($A79="","",IF(ISNUMBER(FIND("IMPVOL",O$1)),_xll.BDH(config!$G$4,O$1,WORKDAY($A79,-1,config_Holiday_Calendar_US),WORKDAY($A79,-1,config_Holiday_Calendar_US)),IF(ISNUMBER(_xll.BDH(config!$G$4,O$1,$A79,$A79)),_xll.BDH(config!$G$4,O$1,$A79,$A79),_xll.BDH(config!$G$5,O$1,$A79,$A79))))</f>
        <v>#N/A Requesting Data...</v>
      </c>
      <c r="P79" s="8" t="str">
        <f>IF($A79="","",IF(ISNUMBER(FIND("IMPVOL",P$1)),_xll.BDH(config!$G$4,P$1,WORKDAY($A79,-1,config_Holiday_Calendar_US),WORKDAY($A79,-1,config_Holiday_Calendar_US)),IF(ISNUMBER(_xll.BDH(config!$G$4,P$1,$A79,$A79)),_xll.BDH(config!$G$4,P$1,$A79,$A79),_xll.BDH(config!$G$5,P$1,$A79,$A79))))</f>
        <v>#N/A Requesting Data...</v>
      </c>
      <c r="Q79" s="8">
        <f>IF($A79="","",IF(ISNUMBER(FIND("IMPVOL",Q$1)),_xll.BDH(config!$G$4,Q$1,WORKDAY($A79,-1,config_Holiday_Calendar_US),WORKDAY($A79,-1,config_Holiday_Calendar_US)),IF(ISNUMBER(_xll.BDH(config!$G$4,Q$1,$A79,$A79)),_xll.BDH(config!$G$4,Q$1,$A79,$A79),_xll.BDH(config!$G$5,Q$1,$A79,$A79))))</f>
        <v>32.81</v>
      </c>
      <c r="R79" s="8">
        <f>IF($A79="","",IF(ISNUMBER(FIND("IMPVOL",R$1)),_xll.BDH(config!$G$4,R$1,WORKDAY($A79,-1,config_Holiday_Calendar_US),WORKDAY($A79,-1,config_Holiday_Calendar_US)),IF(ISNUMBER(_xll.BDH(config!$G$4,R$1,$A79,$A79)),_xll.BDH(config!$G$4,R$1,$A79,$A79),_xll.BDH(config!$G$5,R$1,$A79,$A79))))</f>
        <v>43.93</v>
      </c>
      <c r="S79" s="8" t="str">
        <f>IF($A79="","",IF(ISNUMBER(FIND("IMPVOL",S$1)),_xll.BDH(config!$G$4,S$1,WORKDAY($A79,-1,config_Holiday_Calendar_US),WORKDAY($A79,-1,config_Holiday_Calendar_US)),IF(ISNUMBER(_xll.BDH(config!$G$4,S$1,$A79,$A79)),_xll.BDH(config!$G$4,S$1,$A79,$A79),_xll.BDH(config!$G$5,S$1,$A79,$A79))))</f>
        <v>#N/A Requesting Data...</v>
      </c>
      <c r="T79" s="8" t="str">
        <f>IF($A79="","",IF(ISNUMBER(FIND("IMPVOL",T$1)),_xll.BDH(config!$G$4,T$1,WORKDAY($A79,-1,config_Holiday_Calendar_US),WORKDAY($A79,-1,config_Holiday_Calendar_US)),IF(ISNUMBER(_xll.BDH(config!$G$4,T$1,$A79,$A79)),_xll.BDH(config!$G$4,T$1,$A79,$A79),_xll.BDH(config!$G$5,T$1,$A79,$A79))))</f>
        <v>#N/A Requesting Data...</v>
      </c>
      <c r="U79" s="8" t="str">
        <f>IF($A79="","",IF(ISNUMBER(FIND("IMPVOL",U$1)),_xll.BDH(config!$G$4,U$1,WORKDAY($A79,-1,config_Holiday_Calendar_US),WORKDAY($A79,-1,config_Holiday_Calendar_US)),IF(ISNUMBER(_xll.BDH(config!$G$4,U$1,$A79,$A79)),_xll.BDH(config!$G$4,U$1,$A79,$A79),_xll.BDH(config!$G$5,U$1,$A79,$A79))))</f>
        <v>#N/A Requesting Data...</v>
      </c>
      <c r="V79" s="8" t="str">
        <f>IF($A79="","",IF(ISNUMBER(FIND("IMPVOL",V$1)),_xll.BDH(config!$G$4,V$1,WORKDAY($A79,-1,config_Holiday_Calendar_US),WORKDAY($A79,-1,config_Holiday_Calendar_US)),IF(ISNUMBER(_xll.BDH(config!$G$4,V$1,$A79,$A79)),_xll.BDH(config!$G$4,V$1,$A79,$A79),_xll.BDH(config!$G$5,V$1,$A79,$A79))))</f>
        <v>#N/A Requesting Data...</v>
      </c>
      <c r="W79" s="8" t="str">
        <f>IF($A79="","",IF(ISNUMBER(FIND("IMPVOL",W$1)),_xll.BDH(config!$G$4,W$1,WORKDAY($A79,-1,config_Holiday_Calendar_US),WORKDAY($A79,-1,config_Holiday_Calendar_US)),IF(ISNUMBER(_xll.BDH(config!$G$4,W$1,$A79,$A79)),_xll.BDH(config!$G$4,W$1,$A79,$A79),_xll.BDH(config!$G$5,W$1,$A79,$A79))))</f>
        <v>#N/A Requesting Data...</v>
      </c>
    </row>
    <row r="80" spans="1:23" x14ac:dyDescent="0.2">
      <c r="A80" s="9">
        <f>IF(A79="","",IF(WORKDAY(A79,-1,config_Holiday_Calendar_US)&lt;config!$I$10,"",WORKDAY(A79,-1,config_Holiday_Calendar_US)))</f>
        <v>42719</v>
      </c>
      <c r="B80" s="8" t="e">
        <f t="shared" si="1"/>
        <v>#VALUE!</v>
      </c>
      <c r="C80" s="8" t="str">
        <f>IF(A80="","",_xll.BDH(config!$H$4,C$1,$A80,$A80))</f>
        <v>#N/A Requesting Data...</v>
      </c>
      <c r="D80" s="8" t="str">
        <f>IF($A80="","",_xll.BDH(config!$H$4,D$1,$A80,$A80))</f>
        <v>#N/A Requesting Data...</v>
      </c>
      <c r="E80" s="8">
        <f>IF($A80="","",IF(ISNUMBER(FIND("IMPVOL",E$1)),_xll.BDH(config!$G$4,E$1,WORKDAY($A80,-1,config_Holiday_Calendar_US),WORKDAY($A80,-1,config_Holiday_Calendar_US)),IF(ISNUMBER(_xll.BDH(config!$G$4,E$1,$A80,$A80)),_xll.BDH(config!$G$4,E$1,$A80,$A80),_xll.BDH(config!$G$5,E$1,$A80,$A80))))</f>
        <v>51.84</v>
      </c>
      <c r="F80" s="8">
        <f>IF($A80="","",IF(ISNUMBER(FIND("IMPVOL",F$1)),_xll.BDH(config!$G$4,F$1,WORKDAY($A80,-1,config_Holiday_Calendar_US),WORKDAY($A80,-1,config_Holiday_Calendar_US)),IF(ISNUMBER(_xll.BDH(config!$G$4,F$1,$A80,$A80)),_xll.BDH(config!$G$4,F$1,$A80,$A80),_xll.BDH(config!$G$5,F$1,$A80,$A80))))</f>
        <v>52.55</v>
      </c>
      <c r="G80" s="8">
        <f>IF($A80="","",IF(ISNUMBER(FIND("IMPVOL",G$1)),_xll.BDH(config!$G$4,G$1,WORKDAY($A80,-1,config_Holiday_Calendar_US),WORKDAY($A80,-1,config_Holiday_Calendar_US)),IF(ISNUMBER(_xll.BDH(config!$G$4,G$1,$A80,$A80)),_xll.BDH(config!$G$4,G$1,$A80,$A80),_xll.BDH(config!$G$5,G$1,$A80,$A80))))</f>
        <v>51.1</v>
      </c>
      <c r="H80" s="8">
        <f>IF($A80="","",IF(ISNUMBER(FIND("IMPVOL",H$1)),_xll.BDH(config!$G$4,H$1,WORKDAY($A80,-1,config_Holiday_Calendar_US),WORKDAY($A80,-1,config_Holiday_Calendar_US)),IF(ISNUMBER(_xll.BDH(config!$G$4,H$1,$A80,$A80)),_xll.BDH(config!$G$4,H$1,$A80,$A80),_xll.BDH(config!$G$5,H$1,$A80,$A80))))</f>
        <v>395078</v>
      </c>
      <c r="I80" s="8" t="str">
        <f>IF($A80="","",IF(ISNUMBER(FIND("IMPVOL",I$1)),_xll.BDH(config!$G$4,I$1,WORKDAY($A80,-1,config_Holiday_Calendar_US),WORKDAY($A80,-1,config_Holiday_Calendar_US)),IF(ISNUMBER(_xll.BDH(config!$G$4,I$1,$A80,$A80)),_xll.BDH(config!$G$4,I$1,$A80,$A80),_xll.BDH(config!$G$5,I$1,$A80,$A80))))</f>
        <v>#N/A Requesting Data...</v>
      </c>
      <c r="J80" s="8" t="str">
        <f>IF($A80="","",IF(ISNUMBER(FIND("IMPVOL",J$1)),_xll.BDH(config!$G$4,J$1,WORKDAY($A80,-1,config_Holiday_Calendar_US),WORKDAY($A80,-1,config_Holiday_Calendar_US)),IF(ISNUMBER(_xll.BDH(config!$G$4,J$1,$A80,$A80)),_xll.BDH(config!$G$4,J$1,$A80,$A80),_xll.BDH(config!$G$5,J$1,$A80,$A80))))</f>
        <v>#N/A Requesting Data...</v>
      </c>
      <c r="K80" s="8" t="str">
        <f>IF($A80="","",IF(ISNUMBER(FIND("IMPVOL",K$1)),_xll.BDH(config!$G$4,K$1,WORKDAY($A80,-1,config_Holiday_Calendar_US),WORKDAY($A80,-1,config_Holiday_Calendar_US)),IF(ISNUMBER(_xll.BDH(config!$G$4,K$1,$A80,$A80)),_xll.BDH(config!$G$4,K$1,$A80,$A80),_xll.BDH(config!$G$5,K$1,$A80,$A80))))</f>
        <v>#N/A Requesting Data...</v>
      </c>
      <c r="L80" s="8" t="str">
        <f>IF($A80="","",IF(ISNUMBER(FIND("IMPVOL",L$1)),_xll.BDH(config!$G$4,L$1,WORKDAY($A80,-1,config_Holiday_Calendar_US),WORKDAY($A80,-1,config_Holiday_Calendar_US)),IF(ISNUMBER(_xll.BDH(config!$G$4,L$1,$A80,$A80)),_xll.BDH(config!$G$4,L$1,$A80,$A80),_xll.BDH(config!$G$5,L$1,$A80,$A80))))</f>
        <v>#N/A Requesting Data...</v>
      </c>
      <c r="M80" s="8" t="str">
        <f>IF($A80="","",IF(ISNUMBER(FIND("IMPVOL",M$1)),_xll.BDH(config!$G$4,M$1,WORKDAY($A80,-1,config_Holiday_Calendar_US),WORKDAY($A80,-1,config_Holiday_Calendar_US)),IF(ISNUMBER(_xll.BDH(config!$G$4,M$1,$A80,$A80)),_xll.BDH(config!$G$4,M$1,$A80,$A80),_xll.BDH(config!$G$5,M$1,$A80,$A80))))</f>
        <v>#N/A Requesting Data...</v>
      </c>
      <c r="N80" s="8" t="str">
        <f>IF($A80="","",IF(ISNUMBER(FIND("IMPVOL",N$1)),_xll.BDH(config!$G$4,N$1,WORKDAY($A80,-1,config_Holiday_Calendar_US),WORKDAY($A80,-1,config_Holiday_Calendar_US)),IF(ISNUMBER(_xll.BDH(config!$G$4,N$1,$A80,$A80)),_xll.BDH(config!$G$4,N$1,$A80,$A80),_xll.BDH(config!$G$5,N$1,$A80,$A80))))</f>
        <v>#N/A Requesting Data...</v>
      </c>
      <c r="O80" s="8" t="str">
        <f>IF($A80="","",IF(ISNUMBER(FIND("IMPVOL",O$1)),_xll.BDH(config!$G$4,O$1,WORKDAY($A80,-1,config_Holiday_Calendar_US),WORKDAY($A80,-1,config_Holiday_Calendar_US)),IF(ISNUMBER(_xll.BDH(config!$G$4,O$1,$A80,$A80)),_xll.BDH(config!$G$4,O$1,$A80,$A80),_xll.BDH(config!$G$5,O$1,$A80,$A80))))</f>
        <v>#N/A Requesting Data...</v>
      </c>
      <c r="P80" s="8" t="str">
        <f>IF($A80="","",IF(ISNUMBER(FIND("IMPVOL",P$1)),_xll.BDH(config!$G$4,P$1,WORKDAY($A80,-1,config_Holiday_Calendar_US),WORKDAY($A80,-1,config_Holiday_Calendar_US)),IF(ISNUMBER(_xll.BDH(config!$G$4,P$1,$A80,$A80)),_xll.BDH(config!$G$4,P$1,$A80,$A80),_xll.BDH(config!$G$5,P$1,$A80,$A80))))</f>
        <v>#N/A Requesting Data...</v>
      </c>
      <c r="Q80" s="8">
        <f>IF($A80="","",IF(ISNUMBER(FIND("IMPVOL",Q$1)),_xll.BDH(config!$G$4,Q$1,WORKDAY($A80,-1,config_Holiday_Calendar_US),WORKDAY($A80,-1,config_Holiday_Calendar_US)),IF(ISNUMBER(_xll.BDH(config!$G$4,Q$1,$A80,$A80)),_xll.BDH(config!$G$4,Q$1,$A80,$A80),_xll.BDH(config!$G$5,Q$1,$A80,$A80))))</f>
        <v>31</v>
      </c>
      <c r="R80" s="8">
        <f>IF($A80="","",IF(ISNUMBER(FIND("IMPVOL",R$1)),_xll.BDH(config!$G$4,R$1,WORKDAY($A80,-1,config_Holiday_Calendar_US),WORKDAY($A80,-1,config_Holiday_Calendar_US)),IF(ISNUMBER(_xll.BDH(config!$G$4,R$1,$A80,$A80)),_xll.BDH(config!$G$4,R$1,$A80,$A80),_xll.BDH(config!$G$5,R$1,$A80,$A80))))</f>
        <v>44.11</v>
      </c>
      <c r="S80" s="8" t="str">
        <f>IF($A80="","",IF(ISNUMBER(FIND("IMPVOL",S$1)),_xll.BDH(config!$G$4,S$1,WORKDAY($A80,-1,config_Holiday_Calendar_US),WORKDAY($A80,-1,config_Holiday_Calendar_US)),IF(ISNUMBER(_xll.BDH(config!$G$4,S$1,$A80,$A80)),_xll.BDH(config!$G$4,S$1,$A80,$A80),_xll.BDH(config!$G$5,S$1,$A80,$A80))))</f>
        <v>#N/A Requesting Data...</v>
      </c>
      <c r="T80" s="8" t="str">
        <f>IF($A80="","",IF(ISNUMBER(FIND("IMPVOL",T$1)),_xll.BDH(config!$G$4,T$1,WORKDAY($A80,-1,config_Holiday_Calendar_US),WORKDAY($A80,-1,config_Holiday_Calendar_US)),IF(ISNUMBER(_xll.BDH(config!$G$4,T$1,$A80,$A80)),_xll.BDH(config!$G$4,T$1,$A80,$A80),_xll.BDH(config!$G$5,T$1,$A80,$A80))))</f>
        <v>#N/A Requesting Data...</v>
      </c>
      <c r="U80" s="8" t="str">
        <f>IF($A80="","",IF(ISNUMBER(FIND("IMPVOL",U$1)),_xll.BDH(config!$G$4,U$1,WORKDAY($A80,-1,config_Holiday_Calendar_US),WORKDAY($A80,-1,config_Holiday_Calendar_US)),IF(ISNUMBER(_xll.BDH(config!$G$4,U$1,$A80,$A80)),_xll.BDH(config!$G$4,U$1,$A80,$A80),_xll.BDH(config!$G$5,U$1,$A80,$A80))))</f>
        <v>#N/A Requesting Data...</v>
      </c>
      <c r="V80" s="8" t="str">
        <f>IF($A80="","",IF(ISNUMBER(FIND("IMPVOL",V$1)),_xll.BDH(config!$G$4,V$1,WORKDAY($A80,-1,config_Holiday_Calendar_US),WORKDAY($A80,-1,config_Holiday_Calendar_US)),IF(ISNUMBER(_xll.BDH(config!$G$4,V$1,$A80,$A80)),_xll.BDH(config!$G$4,V$1,$A80,$A80),_xll.BDH(config!$G$5,V$1,$A80,$A80))))</f>
        <v>#N/A Requesting Data...</v>
      </c>
      <c r="W80" s="8" t="str">
        <f>IF($A80="","",IF(ISNUMBER(FIND("IMPVOL",W$1)),_xll.BDH(config!$G$4,W$1,WORKDAY($A80,-1,config_Holiday_Calendar_US),WORKDAY($A80,-1,config_Holiday_Calendar_US)),IF(ISNUMBER(_xll.BDH(config!$G$4,W$1,$A80,$A80)),_xll.BDH(config!$G$4,W$1,$A80,$A80),_xll.BDH(config!$G$5,W$1,$A80,$A80))))</f>
        <v>#N/A Requesting Data...</v>
      </c>
    </row>
    <row r="81" spans="1:23" x14ac:dyDescent="0.2">
      <c r="A81" s="9">
        <f>IF(A80="","",IF(WORKDAY(A80,-1,config_Holiday_Calendar_US)&lt;config!$I$10,"",WORKDAY(A80,-1,config_Holiday_Calendar_US)))</f>
        <v>42718</v>
      </c>
      <c r="B81" s="8" t="e">
        <f t="shared" si="1"/>
        <v>#VALUE!</v>
      </c>
      <c r="C81" s="8" t="str">
        <f>IF(A81="","",_xll.BDH(config!$H$4,C$1,$A81,$A81))</f>
        <v>#N/A Requesting Data...</v>
      </c>
      <c r="D81" s="8" t="str">
        <f>IF($A81="","",_xll.BDH(config!$H$4,D$1,$A81,$A81))</f>
        <v>#N/A Requesting Data...</v>
      </c>
      <c r="E81" s="8">
        <f>IF($A81="","",IF(ISNUMBER(FIND("IMPVOL",E$1)),_xll.BDH(config!$G$4,E$1,WORKDAY($A81,-1,config_Holiday_Calendar_US),WORKDAY($A81,-1,config_Holiday_Calendar_US)),IF(ISNUMBER(_xll.BDH(config!$G$4,E$1,$A81,$A81)),_xll.BDH(config!$G$4,E$1,$A81,$A81),_xll.BDH(config!$G$5,E$1,$A81,$A81))))</f>
        <v>53.42</v>
      </c>
      <c r="F81" s="8">
        <f>IF($A81="","",IF(ISNUMBER(FIND("IMPVOL",F$1)),_xll.BDH(config!$G$4,F$1,WORKDAY($A81,-1,config_Holiday_Calendar_US),WORKDAY($A81,-1,config_Holiday_Calendar_US)),IF(ISNUMBER(_xll.BDH(config!$G$4,F$1,$A81,$A81)),_xll.BDH(config!$G$4,F$1,$A81,$A81),_xll.BDH(config!$G$5,F$1,$A81,$A81))))</f>
        <v>53.8</v>
      </c>
      <c r="G81" s="8">
        <f>IF($A81="","",IF(ISNUMBER(FIND("IMPVOL",G$1)),_xll.BDH(config!$G$4,G$1,WORKDAY($A81,-1,config_Holiday_Calendar_US),WORKDAY($A81,-1,config_Holiday_Calendar_US)),IF(ISNUMBER(_xll.BDH(config!$G$4,G$1,$A81,$A81)),_xll.BDH(config!$G$4,G$1,$A81,$A81),_xll.BDH(config!$G$5,G$1,$A81,$A81))))</f>
        <v>51.74</v>
      </c>
      <c r="H81" s="8">
        <f>IF($A81="","",IF(ISNUMBER(FIND("IMPVOL",H$1)),_xll.BDH(config!$G$4,H$1,WORKDAY($A81,-1,config_Holiday_Calendar_US),WORKDAY($A81,-1,config_Holiday_Calendar_US)),IF(ISNUMBER(_xll.BDH(config!$G$4,H$1,$A81,$A81)),_xll.BDH(config!$G$4,H$1,$A81,$A81),_xll.BDH(config!$G$5,H$1,$A81,$A81))))</f>
        <v>356887</v>
      </c>
      <c r="I81" s="8" t="str">
        <f>IF($A81="","",IF(ISNUMBER(FIND("IMPVOL",I$1)),_xll.BDH(config!$G$4,I$1,WORKDAY($A81,-1,config_Holiday_Calendar_US),WORKDAY($A81,-1,config_Holiday_Calendar_US)),IF(ISNUMBER(_xll.BDH(config!$G$4,I$1,$A81,$A81)),_xll.BDH(config!$G$4,I$1,$A81,$A81),_xll.BDH(config!$G$5,I$1,$A81,$A81))))</f>
        <v>#N/A Requesting Data...</v>
      </c>
      <c r="J81" s="8" t="str">
        <f>IF($A81="","",IF(ISNUMBER(FIND("IMPVOL",J$1)),_xll.BDH(config!$G$4,J$1,WORKDAY($A81,-1,config_Holiday_Calendar_US),WORKDAY($A81,-1,config_Holiday_Calendar_US)),IF(ISNUMBER(_xll.BDH(config!$G$4,J$1,$A81,$A81)),_xll.BDH(config!$G$4,J$1,$A81,$A81),_xll.BDH(config!$G$5,J$1,$A81,$A81))))</f>
        <v>#N/A Requesting Data...</v>
      </c>
      <c r="K81" s="8" t="str">
        <f>IF($A81="","",IF(ISNUMBER(FIND("IMPVOL",K$1)),_xll.BDH(config!$G$4,K$1,WORKDAY($A81,-1,config_Holiday_Calendar_US),WORKDAY($A81,-1,config_Holiday_Calendar_US)),IF(ISNUMBER(_xll.BDH(config!$G$4,K$1,$A81,$A81)),_xll.BDH(config!$G$4,K$1,$A81,$A81),_xll.BDH(config!$G$5,K$1,$A81,$A81))))</f>
        <v>#N/A Requesting Data...</v>
      </c>
      <c r="L81" s="8" t="str">
        <f>IF($A81="","",IF(ISNUMBER(FIND("IMPVOL",L$1)),_xll.BDH(config!$G$4,L$1,WORKDAY($A81,-1,config_Holiday_Calendar_US),WORKDAY($A81,-1,config_Holiday_Calendar_US)),IF(ISNUMBER(_xll.BDH(config!$G$4,L$1,$A81,$A81)),_xll.BDH(config!$G$4,L$1,$A81,$A81),_xll.BDH(config!$G$5,L$1,$A81,$A81))))</f>
        <v>#N/A Requesting Data...</v>
      </c>
      <c r="M81" s="8" t="str">
        <f>IF($A81="","",IF(ISNUMBER(FIND("IMPVOL",M$1)),_xll.BDH(config!$G$4,M$1,WORKDAY($A81,-1,config_Holiday_Calendar_US),WORKDAY($A81,-1,config_Holiday_Calendar_US)),IF(ISNUMBER(_xll.BDH(config!$G$4,M$1,$A81,$A81)),_xll.BDH(config!$G$4,M$1,$A81,$A81),_xll.BDH(config!$G$5,M$1,$A81,$A81))))</f>
        <v>#N/A Requesting Data...</v>
      </c>
      <c r="N81" s="8" t="str">
        <f>IF($A81="","",IF(ISNUMBER(FIND("IMPVOL",N$1)),_xll.BDH(config!$G$4,N$1,WORKDAY($A81,-1,config_Holiday_Calendar_US),WORKDAY($A81,-1,config_Holiday_Calendar_US)),IF(ISNUMBER(_xll.BDH(config!$G$4,N$1,$A81,$A81)),_xll.BDH(config!$G$4,N$1,$A81,$A81),_xll.BDH(config!$G$5,N$1,$A81,$A81))))</f>
        <v>#N/A Requesting Data...</v>
      </c>
      <c r="O81" s="8" t="str">
        <f>IF($A81="","",IF(ISNUMBER(FIND("IMPVOL",O$1)),_xll.BDH(config!$G$4,O$1,WORKDAY($A81,-1,config_Holiday_Calendar_US),WORKDAY($A81,-1,config_Holiday_Calendar_US)),IF(ISNUMBER(_xll.BDH(config!$G$4,O$1,$A81,$A81)),_xll.BDH(config!$G$4,O$1,$A81,$A81),_xll.BDH(config!$G$5,O$1,$A81,$A81))))</f>
        <v>#N/A Requesting Data...</v>
      </c>
      <c r="P81" s="8" t="str">
        <f>IF($A81="","",IF(ISNUMBER(FIND("IMPVOL",P$1)),_xll.BDH(config!$G$4,P$1,WORKDAY($A81,-1,config_Holiday_Calendar_US),WORKDAY($A81,-1,config_Holiday_Calendar_US)),IF(ISNUMBER(_xll.BDH(config!$G$4,P$1,$A81,$A81)),_xll.BDH(config!$G$4,P$1,$A81,$A81),_xll.BDH(config!$G$5,P$1,$A81,$A81))))</f>
        <v>#N/A Requesting Data...</v>
      </c>
      <c r="Q81" s="8">
        <f>IF($A81="","",IF(ISNUMBER(FIND("IMPVOL",Q$1)),_xll.BDH(config!$G$4,Q$1,WORKDAY($A81,-1,config_Holiday_Calendar_US),WORKDAY($A81,-1,config_Holiday_Calendar_US)),IF(ISNUMBER(_xll.BDH(config!$G$4,Q$1,$A81,$A81)),_xll.BDH(config!$G$4,Q$1,$A81,$A81),_xll.BDH(config!$G$5,Q$1,$A81,$A81))))</f>
        <v>31.97</v>
      </c>
      <c r="R81" s="8">
        <f>IF($A81="","",IF(ISNUMBER(FIND("IMPVOL",R$1)),_xll.BDH(config!$G$4,R$1,WORKDAY($A81,-1,config_Holiday_Calendar_US),WORKDAY($A81,-1,config_Holiday_Calendar_US)),IF(ISNUMBER(_xll.BDH(config!$G$4,R$1,$A81,$A81)),_xll.BDH(config!$G$4,R$1,$A81,$A81),_xll.BDH(config!$G$5,R$1,$A81,$A81))))</f>
        <v>44.46</v>
      </c>
      <c r="S81" s="8" t="str">
        <f>IF($A81="","",IF(ISNUMBER(FIND("IMPVOL",S$1)),_xll.BDH(config!$G$4,S$1,WORKDAY($A81,-1,config_Holiday_Calendar_US),WORKDAY($A81,-1,config_Holiday_Calendar_US)),IF(ISNUMBER(_xll.BDH(config!$G$4,S$1,$A81,$A81)),_xll.BDH(config!$G$4,S$1,$A81,$A81),_xll.BDH(config!$G$5,S$1,$A81,$A81))))</f>
        <v>#N/A Requesting Data...</v>
      </c>
      <c r="T81" s="8" t="str">
        <f>IF($A81="","",IF(ISNUMBER(FIND("IMPVOL",T$1)),_xll.BDH(config!$G$4,T$1,WORKDAY($A81,-1,config_Holiday_Calendar_US),WORKDAY($A81,-1,config_Holiday_Calendar_US)),IF(ISNUMBER(_xll.BDH(config!$G$4,T$1,$A81,$A81)),_xll.BDH(config!$G$4,T$1,$A81,$A81),_xll.BDH(config!$G$5,T$1,$A81,$A81))))</f>
        <v>#N/A Requesting Data...</v>
      </c>
      <c r="U81" s="8" t="str">
        <f>IF($A81="","",IF(ISNUMBER(FIND("IMPVOL",U$1)),_xll.BDH(config!$G$4,U$1,WORKDAY($A81,-1,config_Holiday_Calendar_US),WORKDAY($A81,-1,config_Holiday_Calendar_US)),IF(ISNUMBER(_xll.BDH(config!$G$4,U$1,$A81,$A81)),_xll.BDH(config!$G$4,U$1,$A81,$A81),_xll.BDH(config!$G$5,U$1,$A81,$A81))))</f>
        <v>#N/A Requesting Data...</v>
      </c>
      <c r="V81" s="8" t="str">
        <f>IF($A81="","",IF(ISNUMBER(FIND("IMPVOL",V$1)),_xll.BDH(config!$G$4,V$1,WORKDAY($A81,-1,config_Holiday_Calendar_US),WORKDAY($A81,-1,config_Holiday_Calendar_US)),IF(ISNUMBER(_xll.BDH(config!$G$4,V$1,$A81,$A81)),_xll.BDH(config!$G$4,V$1,$A81,$A81),_xll.BDH(config!$G$5,V$1,$A81,$A81))))</f>
        <v>#N/A Requesting Data...</v>
      </c>
      <c r="W81" s="8" t="str">
        <f>IF($A81="","",IF(ISNUMBER(FIND("IMPVOL",W$1)),_xll.BDH(config!$G$4,W$1,WORKDAY($A81,-1,config_Holiday_Calendar_US),WORKDAY($A81,-1,config_Holiday_Calendar_US)),IF(ISNUMBER(_xll.BDH(config!$G$4,W$1,$A81,$A81)),_xll.BDH(config!$G$4,W$1,$A81,$A81),_xll.BDH(config!$G$5,W$1,$A81,$A81))))</f>
        <v>#N/A Requesting Data...</v>
      </c>
    </row>
    <row r="82" spans="1:23" x14ac:dyDescent="0.2">
      <c r="A82" s="9">
        <f>IF(A81="","",IF(WORKDAY(A81,-1,config_Holiday_Calendar_US)&lt;config!$I$10,"",WORKDAY(A81,-1,config_Holiday_Calendar_US)))</f>
        <v>42717</v>
      </c>
      <c r="B82" s="8" t="e">
        <f t="shared" si="1"/>
        <v>#VALUE!</v>
      </c>
      <c r="C82" s="8" t="str">
        <f>IF(A82="","",_xll.BDH(config!$H$4,C$1,$A82,$A82))</f>
        <v>#N/A Requesting Data...</v>
      </c>
      <c r="D82" s="8" t="str">
        <f>IF($A82="","",_xll.BDH(config!$H$4,D$1,$A82,$A82))</f>
        <v>#N/A Requesting Data...</v>
      </c>
      <c r="E82" s="8">
        <f>IF($A82="","",IF(ISNUMBER(FIND("IMPVOL",E$1)),_xll.BDH(config!$G$4,E$1,WORKDAY($A82,-1,config_Holiday_Calendar_US),WORKDAY($A82,-1,config_Holiday_Calendar_US)),IF(ISNUMBER(_xll.BDH(config!$G$4,E$1,$A82,$A82)),_xll.BDH(config!$G$4,E$1,$A82,$A82),_xll.BDH(config!$G$5,E$1,$A82,$A82))))</f>
        <v>53.59</v>
      </c>
      <c r="F82" s="8">
        <f>IF($A82="","",IF(ISNUMBER(FIND("IMPVOL",F$1)),_xll.BDH(config!$G$4,F$1,WORKDAY($A82,-1,config_Holiday_Calendar_US),WORKDAY($A82,-1,config_Holiday_Calendar_US)),IF(ISNUMBER(_xll.BDH(config!$G$4,F$1,$A82,$A82)),_xll.BDH(config!$G$4,F$1,$A82,$A82),_xll.BDH(config!$G$5,F$1,$A82,$A82))))</f>
        <v>54.4</v>
      </c>
      <c r="G82" s="8">
        <f>IF($A82="","",IF(ISNUMBER(FIND("IMPVOL",G$1)),_xll.BDH(config!$G$4,G$1,WORKDAY($A82,-1,config_Holiday_Calendar_US),WORKDAY($A82,-1,config_Holiday_Calendar_US)),IF(ISNUMBER(_xll.BDH(config!$G$4,G$1,$A82,$A82)),_xll.BDH(config!$G$4,G$1,$A82,$A82),_xll.BDH(config!$G$5,G$1,$A82,$A82))))</f>
        <v>53.31</v>
      </c>
      <c r="H82" s="8">
        <f>IF($A82="","",IF(ISNUMBER(FIND("IMPVOL",H$1)),_xll.BDH(config!$G$4,H$1,WORKDAY($A82,-1,config_Holiday_Calendar_US),WORKDAY($A82,-1,config_Holiday_Calendar_US)),IF(ISNUMBER(_xll.BDH(config!$G$4,H$1,$A82,$A82)),_xll.BDH(config!$G$4,H$1,$A82,$A82),_xll.BDH(config!$G$5,H$1,$A82,$A82))))</f>
        <v>311649</v>
      </c>
      <c r="I82" s="8" t="str">
        <f>IF($A82="","",IF(ISNUMBER(FIND("IMPVOL",I$1)),_xll.BDH(config!$G$4,I$1,WORKDAY($A82,-1,config_Holiday_Calendar_US),WORKDAY($A82,-1,config_Holiday_Calendar_US)),IF(ISNUMBER(_xll.BDH(config!$G$4,I$1,$A82,$A82)),_xll.BDH(config!$G$4,I$1,$A82,$A82),_xll.BDH(config!$G$5,I$1,$A82,$A82))))</f>
        <v>#N/A Requesting Data...</v>
      </c>
      <c r="J82" s="8" t="str">
        <f>IF($A82="","",IF(ISNUMBER(FIND("IMPVOL",J$1)),_xll.BDH(config!$G$4,J$1,WORKDAY($A82,-1,config_Holiday_Calendar_US),WORKDAY($A82,-1,config_Holiday_Calendar_US)),IF(ISNUMBER(_xll.BDH(config!$G$4,J$1,$A82,$A82)),_xll.BDH(config!$G$4,J$1,$A82,$A82),_xll.BDH(config!$G$5,J$1,$A82,$A82))))</f>
        <v>#N/A Requesting Data...</v>
      </c>
      <c r="K82" s="8" t="str">
        <f>IF($A82="","",IF(ISNUMBER(FIND("IMPVOL",K$1)),_xll.BDH(config!$G$4,K$1,WORKDAY($A82,-1,config_Holiday_Calendar_US),WORKDAY($A82,-1,config_Holiday_Calendar_US)),IF(ISNUMBER(_xll.BDH(config!$G$4,K$1,$A82,$A82)),_xll.BDH(config!$G$4,K$1,$A82,$A82),_xll.BDH(config!$G$5,K$1,$A82,$A82))))</f>
        <v>#N/A Requesting Data...</v>
      </c>
      <c r="L82" s="8" t="str">
        <f>IF($A82="","",IF(ISNUMBER(FIND("IMPVOL",L$1)),_xll.BDH(config!$G$4,L$1,WORKDAY($A82,-1,config_Holiday_Calendar_US),WORKDAY($A82,-1,config_Holiday_Calendar_US)),IF(ISNUMBER(_xll.BDH(config!$G$4,L$1,$A82,$A82)),_xll.BDH(config!$G$4,L$1,$A82,$A82),_xll.BDH(config!$G$5,L$1,$A82,$A82))))</f>
        <v>#N/A Requesting Data...</v>
      </c>
      <c r="M82" s="8" t="str">
        <f>IF($A82="","",IF(ISNUMBER(FIND("IMPVOL",M$1)),_xll.BDH(config!$G$4,M$1,WORKDAY($A82,-1,config_Holiday_Calendar_US),WORKDAY($A82,-1,config_Holiday_Calendar_US)),IF(ISNUMBER(_xll.BDH(config!$G$4,M$1,$A82,$A82)),_xll.BDH(config!$G$4,M$1,$A82,$A82),_xll.BDH(config!$G$5,M$1,$A82,$A82))))</f>
        <v>#N/A Requesting Data...</v>
      </c>
      <c r="N82" s="8" t="str">
        <f>IF($A82="","",IF(ISNUMBER(FIND("IMPVOL",N$1)),_xll.BDH(config!$G$4,N$1,WORKDAY($A82,-1,config_Holiday_Calendar_US),WORKDAY($A82,-1,config_Holiday_Calendar_US)),IF(ISNUMBER(_xll.BDH(config!$G$4,N$1,$A82,$A82)),_xll.BDH(config!$G$4,N$1,$A82,$A82),_xll.BDH(config!$G$5,N$1,$A82,$A82))))</f>
        <v>#N/A Requesting Data...</v>
      </c>
      <c r="O82" s="8" t="str">
        <f>IF($A82="","",IF(ISNUMBER(FIND("IMPVOL",O$1)),_xll.BDH(config!$G$4,O$1,WORKDAY($A82,-1,config_Holiday_Calendar_US),WORKDAY($A82,-1,config_Holiday_Calendar_US)),IF(ISNUMBER(_xll.BDH(config!$G$4,O$1,$A82,$A82)),_xll.BDH(config!$G$4,O$1,$A82,$A82),_xll.BDH(config!$G$5,O$1,$A82,$A82))))</f>
        <v>#N/A Requesting Data...</v>
      </c>
      <c r="P82" s="8" t="str">
        <f>IF($A82="","",IF(ISNUMBER(FIND("IMPVOL",P$1)),_xll.BDH(config!$G$4,P$1,WORKDAY($A82,-1,config_Holiday_Calendar_US),WORKDAY($A82,-1,config_Holiday_Calendar_US)),IF(ISNUMBER(_xll.BDH(config!$G$4,P$1,$A82,$A82)),_xll.BDH(config!$G$4,P$1,$A82,$A82),_xll.BDH(config!$G$5,P$1,$A82,$A82))))</f>
        <v>#N/A Requesting Data...</v>
      </c>
      <c r="Q82" s="8">
        <f>IF($A82="","",IF(ISNUMBER(FIND("IMPVOL",Q$1)),_xll.BDH(config!$G$4,Q$1,WORKDAY($A82,-1,config_Holiday_Calendar_US),WORKDAY($A82,-1,config_Holiday_Calendar_US)),IF(ISNUMBER(_xll.BDH(config!$G$4,Q$1,$A82,$A82)),_xll.BDH(config!$G$4,Q$1,$A82,$A82),_xll.BDH(config!$G$5,Q$1,$A82,$A82))))</f>
        <v>27.93</v>
      </c>
      <c r="R82" s="8">
        <f>IF($A82="","",IF(ISNUMBER(FIND("IMPVOL",R$1)),_xll.BDH(config!$G$4,R$1,WORKDAY($A82,-1,config_Holiday_Calendar_US),WORKDAY($A82,-1,config_Holiday_Calendar_US)),IF(ISNUMBER(_xll.BDH(config!$G$4,R$1,$A82,$A82)),_xll.BDH(config!$G$4,R$1,$A82,$A82),_xll.BDH(config!$G$5,R$1,$A82,$A82))))</f>
        <v>43.94</v>
      </c>
      <c r="S82" s="8" t="str">
        <f>IF($A82="","",IF(ISNUMBER(FIND("IMPVOL",S$1)),_xll.BDH(config!$G$4,S$1,WORKDAY($A82,-1,config_Holiday_Calendar_US),WORKDAY($A82,-1,config_Holiday_Calendar_US)),IF(ISNUMBER(_xll.BDH(config!$G$4,S$1,$A82,$A82)),_xll.BDH(config!$G$4,S$1,$A82,$A82),_xll.BDH(config!$G$5,S$1,$A82,$A82))))</f>
        <v>#N/A Requesting Data...</v>
      </c>
      <c r="T82" s="8" t="str">
        <f>IF($A82="","",IF(ISNUMBER(FIND("IMPVOL",T$1)),_xll.BDH(config!$G$4,T$1,WORKDAY($A82,-1,config_Holiday_Calendar_US),WORKDAY($A82,-1,config_Holiday_Calendar_US)),IF(ISNUMBER(_xll.BDH(config!$G$4,T$1,$A82,$A82)),_xll.BDH(config!$G$4,T$1,$A82,$A82),_xll.BDH(config!$G$5,T$1,$A82,$A82))))</f>
        <v>#N/A Requesting Data...</v>
      </c>
      <c r="U82" s="8" t="str">
        <f>IF($A82="","",IF(ISNUMBER(FIND("IMPVOL",U$1)),_xll.BDH(config!$G$4,U$1,WORKDAY($A82,-1,config_Holiday_Calendar_US),WORKDAY($A82,-1,config_Holiday_Calendar_US)),IF(ISNUMBER(_xll.BDH(config!$G$4,U$1,$A82,$A82)),_xll.BDH(config!$G$4,U$1,$A82,$A82),_xll.BDH(config!$G$5,U$1,$A82,$A82))))</f>
        <v>#N/A Requesting Data...</v>
      </c>
      <c r="V82" s="8" t="str">
        <f>IF($A82="","",IF(ISNUMBER(FIND("IMPVOL",V$1)),_xll.BDH(config!$G$4,V$1,WORKDAY($A82,-1,config_Holiday_Calendar_US),WORKDAY($A82,-1,config_Holiday_Calendar_US)),IF(ISNUMBER(_xll.BDH(config!$G$4,V$1,$A82,$A82)),_xll.BDH(config!$G$4,V$1,$A82,$A82),_xll.BDH(config!$G$5,V$1,$A82,$A82))))</f>
        <v>#N/A Requesting Data...</v>
      </c>
      <c r="W82" s="8" t="str">
        <f>IF($A82="","",IF(ISNUMBER(FIND("IMPVOL",W$1)),_xll.BDH(config!$G$4,W$1,WORKDAY($A82,-1,config_Holiday_Calendar_US),WORKDAY($A82,-1,config_Holiday_Calendar_US)),IF(ISNUMBER(_xll.BDH(config!$G$4,W$1,$A82,$A82)),_xll.BDH(config!$G$4,W$1,$A82,$A82),_xll.BDH(config!$G$5,W$1,$A82,$A82))))</f>
        <v>#N/A Requesting Data...</v>
      </c>
    </row>
    <row r="83" spans="1:23" x14ac:dyDescent="0.2">
      <c r="A83" s="9">
        <f>IF(A82="","",IF(WORKDAY(A82,-1,config_Holiday_Calendar_US)&lt;config!$I$10,"",WORKDAY(A82,-1,config_Holiday_Calendar_US)))</f>
        <v>42716</v>
      </c>
      <c r="B83" s="8" t="e">
        <f t="shared" si="1"/>
        <v>#VALUE!</v>
      </c>
      <c r="C83" s="8" t="str">
        <f>IF(A83="","",_xll.BDH(config!$H$4,C$1,$A83,$A83))</f>
        <v>#N/A Requesting Data...</v>
      </c>
      <c r="D83" s="8" t="str">
        <f>IF($A83="","",_xll.BDH(config!$H$4,D$1,$A83,$A83))</f>
        <v>#N/A Requesting Data...</v>
      </c>
      <c r="E83" s="8">
        <f>IF($A83="","",IF(ISNUMBER(FIND("IMPVOL",E$1)),_xll.BDH(config!$G$4,E$1,WORKDAY($A83,-1,config_Holiday_Calendar_US),WORKDAY($A83,-1,config_Holiday_Calendar_US)),IF(ISNUMBER(_xll.BDH(config!$G$4,E$1,$A83,$A83)),_xll.BDH(config!$G$4,E$1,$A83,$A83),_xll.BDH(config!$G$5,E$1,$A83,$A83))))</f>
        <v>53.7</v>
      </c>
      <c r="F83" s="8">
        <f>IF($A83="","",IF(ISNUMBER(FIND("IMPVOL",F$1)),_xll.BDH(config!$G$4,F$1,WORKDAY($A83,-1,config_Holiday_Calendar_US),WORKDAY($A83,-1,config_Holiday_Calendar_US)),IF(ISNUMBER(_xll.BDH(config!$G$4,F$1,$A83,$A83)),_xll.BDH(config!$G$4,F$1,$A83,$A83),_xll.BDH(config!$G$5,F$1,$A83,$A83))))</f>
        <v>55.44</v>
      </c>
      <c r="G83" s="8">
        <f>IF($A83="","",IF(ISNUMBER(FIND("IMPVOL",G$1)),_xll.BDH(config!$G$4,G$1,WORKDAY($A83,-1,config_Holiday_Calendar_US),WORKDAY($A83,-1,config_Holiday_Calendar_US)),IF(ISNUMBER(_xll.BDH(config!$G$4,G$1,$A83,$A83)),_xll.BDH(config!$G$4,G$1,$A83,$A83),_xll.BDH(config!$G$5,G$1,$A83,$A83))))</f>
        <v>53.15</v>
      </c>
      <c r="H83" s="8">
        <f>IF($A83="","",IF(ISNUMBER(FIND("IMPVOL",H$1)),_xll.BDH(config!$G$4,H$1,WORKDAY($A83,-1,config_Holiday_Calendar_US),WORKDAY($A83,-1,config_Holiday_Calendar_US)),IF(ISNUMBER(_xll.BDH(config!$G$4,H$1,$A83,$A83)),_xll.BDH(config!$G$4,H$1,$A83,$A83),_xll.BDH(config!$G$5,H$1,$A83,$A83))))</f>
        <v>381103</v>
      </c>
      <c r="I83" s="8" t="str">
        <f>IF($A83="","",IF(ISNUMBER(FIND("IMPVOL",I$1)),_xll.BDH(config!$G$4,I$1,WORKDAY($A83,-1,config_Holiday_Calendar_US),WORKDAY($A83,-1,config_Holiday_Calendar_US)),IF(ISNUMBER(_xll.BDH(config!$G$4,I$1,$A83,$A83)),_xll.BDH(config!$G$4,I$1,$A83,$A83),_xll.BDH(config!$G$5,I$1,$A83,$A83))))</f>
        <v>#N/A Requesting Data...</v>
      </c>
      <c r="J83" s="8" t="str">
        <f>IF($A83="","",IF(ISNUMBER(FIND("IMPVOL",J$1)),_xll.BDH(config!$G$4,J$1,WORKDAY($A83,-1,config_Holiday_Calendar_US),WORKDAY($A83,-1,config_Holiday_Calendar_US)),IF(ISNUMBER(_xll.BDH(config!$G$4,J$1,$A83,$A83)),_xll.BDH(config!$G$4,J$1,$A83,$A83),_xll.BDH(config!$G$5,J$1,$A83,$A83))))</f>
        <v>#N/A Requesting Data...</v>
      </c>
      <c r="K83" s="8" t="str">
        <f>IF($A83="","",IF(ISNUMBER(FIND("IMPVOL",K$1)),_xll.BDH(config!$G$4,K$1,WORKDAY($A83,-1,config_Holiday_Calendar_US),WORKDAY($A83,-1,config_Holiday_Calendar_US)),IF(ISNUMBER(_xll.BDH(config!$G$4,K$1,$A83,$A83)),_xll.BDH(config!$G$4,K$1,$A83,$A83),_xll.BDH(config!$G$5,K$1,$A83,$A83))))</f>
        <v>#N/A Requesting Data...</v>
      </c>
      <c r="L83" s="8" t="str">
        <f>IF($A83="","",IF(ISNUMBER(FIND("IMPVOL",L$1)),_xll.BDH(config!$G$4,L$1,WORKDAY($A83,-1,config_Holiday_Calendar_US),WORKDAY($A83,-1,config_Holiday_Calendar_US)),IF(ISNUMBER(_xll.BDH(config!$G$4,L$1,$A83,$A83)),_xll.BDH(config!$G$4,L$1,$A83,$A83),_xll.BDH(config!$G$5,L$1,$A83,$A83))))</f>
        <v>#N/A Requesting Data...</v>
      </c>
      <c r="M83" s="8" t="str">
        <f>IF($A83="","",IF(ISNUMBER(FIND("IMPVOL",M$1)),_xll.BDH(config!$G$4,M$1,WORKDAY($A83,-1,config_Holiday_Calendar_US),WORKDAY($A83,-1,config_Holiday_Calendar_US)),IF(ISNUMBER(_xll.BDH(config!$G$4,M$1,$A83,$A83)),_xll.BDH(config!$G$4,M$1,$A83,$A83),_xll.BDH(config!$G$5,M$1,$A83,$A83))))</f>
        <v>#N/A Requesting Data...</v>
      </c>
      <c r="N83" s="8" t="str">
        <f>IF($A83="","",IF(ISNUMBER(FIND("IMPVOL",N$1)),_xll.BDH(config!$G$4,N$1,WORKDAY($A83,-1,config_Holiday_Calendar_US),WORKDAY($A83,-1,config_Holiday_Calendar_US)),IF(ISNUMBER(_xll.BDH(config!$G$4,N$1,$A83,$A83)),_xll.BDH(config!$G$4,N$1,$A83,$A83),_xll.BDH(config!$G$5,N$1,$A83,$A83))))</f>
        <v>#N/A Requesting Data...</v>
      </c>
      <c r="O83" s="8" t="str">
        <f>IF($A83="","",IF(ISNUMBER(FIND("IMPVOL",O$1)),_xll.BDH(config!$G$4,O$1,WORKDAY($A83,-1,config_Holiday_Calendar_US),WORKDAY($A83,-1,config_Holiday_Calendar_US)),IF(ISNUMBER(_xll.BDH(config!$G$4,O$1,$A83,$A83)),_xll.BDH(config!$G$4,O$1,$A83,$A83),_xll.BDH(config!$G$5,O$1,$A83,$A83))))</f>
        <v>#N/A Requesting Data...</v>
      </c>
      <c r="P83" s="8" t="str">
        <f>IF($A83="","",IF(ISNUMBER(FIND("IMPVOL",P$1)),_xll.BDH(config!$G$4,P$1,WORKDAY($A83,-1,config_Holiday_Calendar_US),WORKDAY($A83,-1,config_Holiday_Calendar_US)),IF(ISNUMBER(_xll.BDH(config!$G$4,P$1,$A83,$A83)),_xll.BDH(config!$G$4,P$1,$A83,$A83),_xll.BDH(config!$G$5,P$1,$A83,$A83))))</f>
        <v>#N/A Requesting Data...</v>
      </c>
      <c r="Q83" s="8">
        <f>IF($A83="","",IF(ISNUMBER(FIND("IMPVOL",Q$1)),_xll.BDH(config!$G$4,Q$1,WORKDAY($A83,-1,config_Holiday_Calendar_US),WORKDAY($A83,-1,config_Holiday_Calendar_US)),IF(ISNUMBER(_xll.BDH(config!$G$4,Q$1,$A83,$A83)),_xll.BDH(config!$G$4,Q$1,$A83,$A83),_xll.BDH(config!$G$5,Q$1,$A83,$A83))))</f>
        <v>50.82</v>
      </c>
      <c r="R83" s="8">
        <f>IF($A83="","",IF(ISNUMBER(FIND("IMPVOL",R$1)),_xll.BDH(config!$G$4,R$1,WORKDAY($A83,-1,config_Holiday_Calendar_US),WORKDAY($A83,-1,config_Holiday_Calendar_US)),IF(ISNUMBER(_xll.BDH(config!$G$4,R$1,$A83,$A83)),_xll.BDH(config!$G$4,R$1,$A83,$A83),_xll.BDH(config!$G$5,R$1,$A83,$A83))))</f>
        <v>44.03</v>
      </c>
      <c r="S83" s="8" t="str">
        <f>IF($A83="","",IF(ISNUMBER(FIND("IMPVOL",S$1)),_xll.BDH(config!$G$4,S$1,WORKDAY($A83,-1,config_Holiday_Calendar_US),WORKDAY($A83,-1,config_Holiday_Calendar_US)),IF(ISNUMBER(_xll.BDH(config!$G$4,S$1,$A83,$A83)),_xll.BDH(config!$G$4,S$1,$A83,$A83),_xll.BDH(config!$G$5,S$1,$A83,$A83))))</f>
        <v>#N/A Requesting Data...</v>
      </c>
      <c r="T83" s="8" t="str">
        <f>IF($A83="","",IF(ISNUMBER(FIND("IMPVOL",T$1)),_xll.BDH(config!$G$4,T$1,WORKDAY($A83,-1,config_Holiday_Calendar_US),WORKDAY($A83,-1,config_Holiday_Calendar_US)),IF(ISNUMBER(_xll.BDH(config!$G$4,T$1,$A83,$A83)),_xll.BDH(config!$G$4,T$1,$A83,$A83),_xll.BDH(config!$G$5,T$1,$A83,$A83))))</f>
        <v>#N/A Requesting Data...</v>
      </c>
      <c r="U83" s="8" t="str">
        <f>IF($A83="","",IF(ISNUMBER(FIND("IMPVOL",U$1)),_xll.BDH(config!$G$4,U$1,WORKDAY($A83,-1,config_Holiday_Calendar_US),WORKDAY($A83,-1,config_Holiday_Calendar_US)),IF(ISNUMBER(_xll.BDH(config!$G$4,U$1,$A83,$A83)),_xll.BDH(config!$G$4,U$1,$A83,$A83),_xll.BDH(config!$G$5,U$1,$A83,$A83))))</f>
        <v>#N/A Requesting Data...</v>
      </c>
      <c r="V83" s="8" t="str">
        <f>IF($A83="","",IF(ISNUMBER(FIND("IMPVOL",V$1)),_xll.BDH(config!$G$4,V$1,WORKDAY($A83,-1,config_Holiday_Calendar_US),WORKDAY($A83,-1,config_Holiday_Calendar_US)),IF(ISNUMBER(_xll.BDH(config!$G$4,V$1,$A83,$A83)),_xll.BDH(config!$G$4,V$1,$A83,$A83),_xll.BDH(config!$G$5,V$1,$A83,$A83))))</f>
        <v>#N/A Requesting Data...</v>
      </c>
      <c r="W83" s="8" t="str">
        <f>IF($A83="","",IF(ISNUMBER(FIND("IMPVOL",W$1)),_xll.BDH(config!$G$4,W$1,WORKDAY($A83,-1,config_Holiday_Calendar_US),WORKDAY($A83,-1,config_Holiday_Calendar_US)),IF(ISNUMBER(_xll.BDH(config!$G$4,W$1,$A83,$A83)),_xll.BDH(config!$G$4,W$1,$A83,$A83),_xll.BDH(config!$G$5,W$1,$A83,$A83))))</f>
        <v>#N/A Requesting Data...</v>
      </c>
    </row>
    <row r="84" spans="1:23" x14ac:dyDescent="0.2">
      <c r="A84" s="9">
        <f>IF(A83="","",IF(WORKDAY(A83,-1,config_Holiday_Calendar_US)&lt;config!$I$10,"",WORKDAY(A83,-1,config_Holiday_Calendar_US)))</f>
        <v>42713</v>
      </c>
      <c r="B84" s="8" t="e">
        <f t="shared" si="1"/>
        <v>#VALUE!</v>
      </c>
      <c r="C84" s="8" t="str">
        <f>IF(A84="","",_xll.BDH(config!$H$4,C$1,$A84,$A84))</f>
        <v>#N/A Requesting Data...</v>
      </c>
      <c r="D84" s="8" t="str">
        <f>IF($A84="","",_xll.BDH(config!$H$4,D$1,$A84,$A84))</f>
        <v>#N/A Requesting Data...</v>
      </c>
      <c r="E84" s="8">
        <f>IF($A84="","",IF(ISNUMBER(FIND("IMPVOL",E$1)),_xll.BDH(config!$G$4,E$1,WORKDAY($A84,-1,config_Holiday_Calendar_US),WORKDAY($A84,-1,config_Holiday_Calendar_US)),IF(ISNUMBER(_xll.BDH(config!$G$4,E$1,$A84,$A84)),_xll.BDH(config!$G$4,E$1,$A84,$A84),_xll.BDH(config!$G$5,E$1,$A84,$A84))))</f>
        <v>51.89</v>
      </c>
      <c r="F84" s="8">
        <f>IF($A84="","",IF(ISNUMBER(FIND("IMPVOL",F$1)),_xll.BDH(config!$G$4,F$1,WORKDAY($A84,-1,config_Holiday_Calendar_US),WORKDAY($A84,-1,config_Holiday_Calendar_US)),IF(ISNUMBER(_xll.BDH(config!$G$4,F$1,$A84,$A84)),_xll.BDH(config!$G$4,F$1,$A84,$A84),_xll.BDH(config!$G$5,F$1,$A84,$A84))))</f>
        <v>52.6</v>
      </c>
      <c r="G84" s="8">
        <f>IF($A84="","",IF(ISNUMBER(FIND("IMPVOL",G$1)),_xll.BDH(config!$G$4,G$1,WORKDAY($A84,-1,config_Holiday_Calendar_US),WORKDAY($A84,-1,config_Holiday_Calendar_US)),IF(ISNUMBER(_xll.BDH(config!$G$4,G$1,$A84,$A84)),_xll.BDH(config!$G$4,G$1,$A84,$A84),_xll.BDH(config!$G$5,G$1,$A84,$A84))))</f>
        <v>51.8</v>
      </c>
      <c r="H84" s="8">
        <f>IF($A84="","",IF(ISNUMBER(FIND("IMPVOL",H$1)),_xll.BDH(config!$G$4,H$1,WORKDAY($A84,-1,config_Holiday_Calendar_US),WORKDAY($A84,-1,config_Holiday_Calendar_US)),IF(ISNUMBER(_xll.BDH(config!$G$4,H$1,$A84,$A84)),_xll.BDH(config!$G$4,H$1,$A84,$A84),_xll.BDH(config!$G$5,H$1,$A84,$A84))))</f>
        <v>320171</v>
      </c>
      <c r="I84" s="8" t="str">
        <f>IF($A84="","",IF(ISNUMBER(FIND("IMPVOL",I$1)),_xll.BDH(config!$G$4,I$1,WORKDAY($A84,-1,config_Holiday_Calendar_US),WORKDAY($A84,-1,config_Holiday_Calendar_US)),IF(ISNUMBER(_xll.BDH(config!$G$4,I$1,$A84,$A84)),_xll.BDH(config!$G$4,I$1,$A84,$A84),_xll.BDH(config!$G$5,I$1,$A84,$A84))))</f>
        <v>#N/A Requesting Data...</v>
      </c>
      <c r="J84" s="8" t="str">
        <f>IF($A84="","",IF(ISNUMBER(FIND("IMPVOL",J$1)),_xll.BDH(config!$G$4,J$1,WORKDAY($A84,-1,config_Holiday_Calendar_US),WORKDAY($A84,-1,config_Holiday_Calendar_US)),IF(ISNUMBER(_xll.BDH(config!$G$4,J$1,$A84,$A84)),_xll.BDH(config!$G$4,J$1,$A84,$A84),_xll.BDH(config!$G$5,J$1,$A84,$A84))))</f>
        <v>#N/A Requesting Data...</v>
      </c>
      <c r="K84" s="8" t="str">
        <f>IF($A84="","",IF(ISNUMBER(FIND("IMPVOL",K$1)),_xll.BDH(config!$G$4,K$1,WORKDAY($A84,-1,config_Holiday_Calendar_US),WORKDAY($A84,-1,config_Holiday_Calendar_US)),IF(ISNUMBER(_xll.BDH(config!$G$4,K$1,$A84,$A84)),_xll.BDH(config!$G$4,K$1,$A84,$A84),_xll.BDH(config!$G$5,K$1,$A84,$A84))))</f>
        <v>#N/A Requesting Data...</v>
      </c>
      <c r="L84" s="8" t="str">
        <f>IF($A84="","",IF(ISNUMBER(FIND("IMPVOL",L$1)),_xll.BDH(config!$G$4,L$1,WORKDAY($A84,-1,config_Holiday_Calendar_US),WORKDAY($A84,-1,config_Holiday_Calendar_US)),IF(ISNUMBER(_xll.BDH(config!$G$4,L$1,$A84,$A84)),_xll.BDH(config!$G$4,L$1,$A84,$A84),_xll.BDH(config!$G$5,L$1,$A84,$A84))))</f>
        <v>#N/A Requesting Data...</v>
      </c>
      <c r="M84" s="8" t="str">
        <f>IF($A84="","",IF(ISNUMBER(FIND("IMPVOL",M$1)),_xll.BDH(config!$G$4,M$1,WORKDAY($A84,-1,config_Holiday_Calendar_US),WORKDAY($A84,-1,config_Holiday_Calendar_US)),IF(ISNUMBER(_xll.BDH(config!$G$4,M$1,$A84,$A84)),_xll.BDH(config!$G$4,M$1,$A84,$A84),_xll.BDH(config!$G$5,M$1,$A84,$A84))))</f>
        <v>#N/A Requesting Data...</v>
      </c>
      <c r="N84" s="8" t="str">
        <f>IF($A84="","",IF(ISNUMBER(FIND("IMPVOL",N$1)),_xll.BDH(config!$G$4,N$1,WORKDAY($A84,-1,config_Holiday_Calendar_US),WORKDAY($A84,-1,config_Holiday_Calendar_US)),IF(ISNUMBER(_xll.BDH(config!$G$4,N$1,$A84,$A84)),_xll.BDH(config!$G$4,N$1,$A84,$A84),_xll.BDH(config!$G$5,N$1,$A84,$A84))))</f>
        <v>#N/A Requesting Data...</v>
      </c>
      <c r="O84" s="8" t="str">
        <f>IF($A84="","",IF(ISNUMBER(FIND("IMPVOL",O$1)),_xll.BDH(config!$G$4,O$1,WORKDAY($A84,-1,config_Holiday_Calendar_US),WORKDAY($A84,-1,config_Holiday_Calendar_US)),IF(ISNUMBER(_xll.BDH(config!$G$4,O$1,$A84,$A84)),_xll.BDH(config!$G$4,O$1,$A84,$A84),_xll.BDH(config!$G$5,O$1,$A84,$A84))))</f>
        <v>#N/A Requesting Data...</v>
      </c>
      <c r="P84" s="8" t="str">
        <f>IF($A84="","",IF(ISNUMBER(FIND("IMPVOL",P$1)),_xll.BDH(config!$G$4,P$1,WORKDAY($A84,-1,config_Holiday_Calendar_US),WORKDAY($A84,-1,config_Holiday_Calendar_US)),IF(ISNUMBER(_xll.BDH(config!$G$4,P$1,$A84,$A84)),_xll.BDH(config!$G$4,P$1,$A84,$A84),_xll.BDH(config!$G$5,P$1,$A84,$A84))))</f>
        <v>#N/A Requesting Data...</v>
      </c>
      <c r="Q84" s="8">
        <f>IF($A84="","",IF(ISNUMBER(FIND("IMPVOL",Q$1)),_xll.BDH(config!$G$4,Q$1,WORKDAY($A84,-1,config_Holiday_Calendar_US),WORKDAY($A84,-1,config_Holiday_Calendar_US)),IF(ISNUMBER(_xll.BDH(config!$G$4,Q$1,$A84,$A84)),_xll.BDH(config!$G$4,Q$1,$A84,$A84),_xll.BDH(config!$G$5,Q$1,$A84,$A84))))</f>
        <v>58.76</v>
      </c>
      <c r="R84" s="8">
        <f>IF($A84="","",IF(ISNUMBER(FIND("IMPVOL",R$1)),_xll.BDH(config!$G$4,R$1,WORKDAY($A84,-1,config_Holiday_Calendar_US),WORKDAY($A84,-1,config_Holiday_Calendar_US)),IF(ISNUMBER(_xll.BDH(config!$G$4,R$1,$A84,$A84)),_xll.BDH(config!$G$4,R$1,$A84,$A84),_xll.BDH(config!$G$5,R$1,$A84,$A84))))</f>
        <v>45.37</v>
      </c>
      <c r="S84" s="8" t="str">
        <f>IF($A84="","",IF(ISNUMBER(FIND("IMPVOL",S$1)),_xll.BDH(config!$G$4,S$1,WORKDAY($A84,-1,config_Holiday_Calendar_US),WORKDAY($A84,-1,config_Holiday_Calendar_US)),IF(ISNUMBER(_xll.BDH(config!$G$4,S$1,$A84,$A84)),_xll.BDH(config!$G$4,S$1,$A84,$A84),_xll.BDH(config!$G$5,S$1,$A84,$A84))))</f>
        <v>#N/A Requesting Data...</v>
      </c>
      <c r="T84" s="8" t="str">
        <f>IF($A84="","",IF(ISNUMBER(FIND("IMPVOL",T$1)),_xll.BDH(config!$G$4,T$1,WORKDAY($A84,-1,config_Holiday_Calendar_US),WORKDAY($A84,-1,config_Holiday_Calendar_US)),IF(ISNUMBER(_xll.BDH(config!$G$4,T$1,$A84,$A84)),_xll.BDH(config!$G$4,T$1,$A84,$A84),_xll.BDH(config!$G$5,T$1,$A84,$A84))))</f>
        <v>#N/A Requesting Data...</v>
      </c>
      <c r="U84" s="8" t="str">
        <f>IF($A84="","",IF(ISNUMBER(FIND("IMPVOL",U$1)),_xll.BDH(config!$G$4,U$1,WORKDAY($A84,-1,config_Holiday_Calendar_US),WORKDAY($A84,-1,config_Holiday_Calendar_US)),IF(ISNUMBER(_xll.BDH(config!$G$4,U$1,$A84,$A84)),_xll.BDH(config!$G$4,U$1,$A84,$A84),_xll.BDH(config!$G$5,U$1,$A84,$A84))))</f>
        <v>#N/A Requesting Data...</v>
      </c>
      <c r="V84" s="8" t="str">
        <f>IF($A84="","",IF(ISNUMBER(FIND("IMPVOL",V$1)),_xll.BDH(config!$G$4,V$1,WORKDAY($A84,-1,config_Holiday_Calendar_US),WORKDAY($A84,-1,config_Holiday_Calendar_US)),IF(ISNUMBER(_xll.BDH(config!$G$4,V$1,$A84,$A84)),_xll.BDH(config!$G$4,V$1,$A84,$A84),_xll.BDH(config!$G$5,V$1,$A84,$A84))))</f>
        <v>#N/A Requesting Data...</v>
      </c>
      <c r="W84" s="8" t="str">
        <f>IF($A84="","",IF(ISNUMBER(FIND("IMPVOL",W$1)),_xll.BDH(config!$G$4,W$1,WORKDAY($A84,-1,config_Holiday_Calendar_US),WORKDAY($A84,-1,config_Holiday_Calendar_US)),IF(ISNUMBER(_xll.BDH(config!$G$4,W$1,$A84,$A84)),_xll.BDH(config!$G$4,W$1,$A84,$A84),_xll.BDH(config!$G$5,W$1,$A84,$A84))))</f>
        <v>#N/A Requesting Data...</v>
      </c>
    </row>
    <row r="85" spans="1:23" x14ac:dyDescent="0.2">
      <c r="A85" s="9">
        <f>IF(A84="","",IF(WORKDAY(A84,-1,config_Holiday_Calendar_US)&lt;config!$I$10,"",WORKDAY(A84,-1,config_Holiday_Calendar_US)))</f>
        <v>42712</v>
      </c>
      <c r="B85" s="8" t="e">
        <f t="shared" si="1"/>
        <v>#VALUE!</v>
      </c>
      <c r="C85" s="8" t="str">
        <f>IF(A85="","",_xll.BDH(config!$H$4,C$1,$A85,$A85))</f>
        <v>#N/A Requesting Data...</v>
      </c>
      <c r="D85" s="8" t="str">
        <f>IF($A85="","",_xll.BDH(config!$H$4,D$1,$A85,$A85))</f>
        <v>#N/A Requesting Data...</v>
      </c>
      <c r="E85" s="8">
        <f>IF($A85="","",IF(ISNUMBER(FIND("IMPVOL",E$1)),_xll.BDH(config!$G$4,E$1,WORKDAY($A85,-1,config_Holiday_Calendar_US),WORKDAY($A85,-1,config_Holiday_Calendar_US)),IF(ISNUMBER(_xll.BDH(config!$G$4,E$1,$A85,$A85)),_xll.BDH(config!$G$4,E$1,$A85,$A85),_xll.BDH(config!$G$5,E$1,$A85,$A85))))</f>
        <v>50.98</v>
      </c>
      <c r="F85" s="8">
        <f>IF($A85="","",IF(ISNUMBER(FIND("IMPVOL",F$1)),_xll.BDH(config!$G$4,F$1,WORKDAY($A85,-1,config_Holiday_Calendar_US),WORKDAY($A85,-1,config_Holiday_Calendar_US)),IF(ISNUMBER(_xll.BDH(config!$G$4,F$1,$A85,$A85)),_xll.BDH(config!$G$4,F$1,$A85,$A85),_xll.BDH(config!$G$5,F$1,$A85,$A85))))</f>
        <v>52</v>
      </c>
      <c r="G85" s="8">
        <f>IF($A85="","",IF(ISNUMBER(FIND("IMPVOL",G$1)),_xll.BDH(config!$G$4,G$1,WORKDAY($A85,-1,config_Holiday_Calendar_US),WORKDAY($A85,-1,config_Holiday_Calendar_US)),IF(ISNUMBER(_xll.BDH(config!$G$4,G$1,$A85,$A85)),_xll.BDH(config!$G$4,G$1,$A85,$A85),_xll.BDH(config!$G$5,G$1,$A85,$A85))))</f>
        <v>50.76</v>
      </c>
      <c r="H85" s="8">
        <f>IF($A85="","",IF(ISNUMBER(FIND("IMPVOL",H$1)),_xll.BDH(config!$G$4,H$1,WORKDAY($A85,-1,config_Holiday_Calendar_US),WORKDAY($A85,-1,config_Holiday_Calendar_US)),IF(ISNUMBER(_xll.BDH(config!$G$4,H$1,$A85,$A85)),_xll.BDH(config!$G$4,H$1,$A85,$A85),_xll.BDH(config!$G$5,H$1,$A85,$A85))))</f>
        <v>372416</v>
      </c>
      <c r="I85" s="8" t="str">
        <f>IF($A85="","",IF(ISNUMBER(FIND("IMPVOL",I$1)),_xll.BDH(config!$G$4,I$1,WORKDAY($A85,-1,config_Holiday_Calendar_US),WORKDAY($A85,-1,config_Holiday_Calendar_US)),IF(ISNUMBER(_xll.BDH(config!$G$4,I$1,$A85,$A85)),_xll.BDH(config!$G$4,I$1,$A85,$A85),_xll.BDH(config!$G$5,I$1,$A85,$A85))))</f>
        <v>#N/A Requesting Data...</v>
      </c>
      <c r="J85" s="8" t="str">
        <f>IF($A85="","",IF(ISNUMBER(FIND("IMPVOL",J$1)),_xll.BDH(config!$G$4,J$1,WORKDAY($A85,-1,config_Holiday_Calendar_US),WORKDAY($A85,-1,config_Holiday_Calendar_US)),IF(ISNUMBER(_xll.BDH(config!$G$4,J$1,$A85,$A85)),_xll.BDH(config!$G$4,J$1,$A85,$A85),_xll.BDH(config!$G$5,J$1,$A85,$A85))))</f>
        <v>#N/A Requesting Data...</v>
      </c>
      <c r="K85" s="8" t="str">
        <f>IF($A85="","",IF(ISNUMBER(FIND("IMPVOL",K$1)),_xll.BDH(config!$G$4,K$1,WORKDAY($A85,-1,config_Holiday_Calendar_US),WORKDAY($A85,-1,config_Holiday_Calendar_US)),IF(ISNUMBER(_xll.BDH(config!$G$4,K$1,$A85,$A85)),_xll.BDH(config!$G$4,K$1,$A85,$A85),_xll.BDH(config!$G$5,K$1,$A85,$A85))))</f>
        <v>#N/A Requesting Data...</v>
      </c>
      <c r="L85" s="8" t="str">
        <f>IF($A85="","",IF(ISNUMBER(FIND("IMPVOL",L$1)),_xll.BDH(config!$G$4,L$1,WORKDAY($A85,-1,config_Holiday_Calendar_US),WORKDAY($A85,-1,config_Holiday_Calendar_US)),IF(ISNUMBER(_xll.BDH(config!$G$4,L$1,$A85,$A85)),_xll.BDH(config!$G$4,L$1,$A85,$A85),_xll.BDH(config!$G$5,L$1,$A85,$A85))))</f>
        <v>#N/A Requesting Data...</v>
      </c>
      <c r="M85" s="8" t="str">
        <f>IF($A85="","",IF(ISNUMBER(FIND("IMPVOL",M$1)),_xll.BDH(config!$G$4,M$1,WORKDAY($A85,-1,config_Holiday_Calendar_US),WORKDAY($A85,-1,config_Holiday_Calendar_US)),IF(ISNUMBER(_xll.BDH(config!$G$4,M$1,$A85,$A85)),_xll.BDH(config!$G$4,M$1,$A85,$A85),_xll.BDH(config!$G$5,M$1,$A85,$A85))))</f>
        <v>#N/A Requesting Data...</v>
      </c>
      <c r="N85" s="8" t="str">
        <f>IF($A85="","",IF(ISNUMBER(FIND("IMPVOL",N$1)),_xll.BDH(config!$G$4,N$1,WORKDAY($A85,-1,config_Holiday_Calendar_US),WORKDAY($A85,-1,config_Holiday_Calendar_US)),IF(ISNUMBER(_xll.BDH(config!$G$4,N$1,$A85,$A85)),_xll.BDH(config!$G$4,N$1,$A85,$A85),_xll.BDH(config!$G$5,N$1,$A85,$A85))))</f>
        <v>#N/A Requesting Data...</v>
      </c>
      <c r="O85" s="8" t="str">
        <f>IF($A85="","",IF(ISNUMBER(FIND("IMPVOL",O$1)),_xll.BDH(config!$G$4,O$1,WORKDAY($A85,-1,config_Holiday_Calendar_US),WORKDAY($A85,-1,config_Holiday_Calendar_US)),IF(ISNUMBER(_xll.BDH(config!$G$4,O$1,$A85,$A85)),_xll.BDH(config!$G$4,O$1,$A85,$A85),_xll.BDH(config!$G$5,O$1,$A85,$A85))))</f>
        <v>#N/A Requesting Data...</v>
      </c>
      <c r="P85" s="8" t="str">
        <f>IF($A85="","",IF(ISNUMBER(FIND("IMPVOL",P$1)),_xll.BDH(config!$G$4,P$1,WORKDAY($A85,-1,config_Holiday_Calendar_US),WORKDAY($A85,-1,config_Holiday_Calendar_US)),IF(ISNUMBER(_xll.BDH(config!$G$4,P$1,$A85,$A85)),_xll.BDH(config!$G$4,P$1,$A85,$A85),_xll.BDH(config!$G$5,P$1,$A85,$A85))))</f>
        <v>#N/A Requesting Data...</v>
      </c>
      <c r="Q85" s="8">
        <f>IF($A85="","",IF(ISNUMBER(FIND("IMPVOL",Q$1)),_xll.BDH(config!$G$4,Q$1,WORKDAY($A85,-1,config_Holiday_Calendar_US),WORKDAY($A85,-1,config_Holiday_Calendar_US)),IF(ISNUMBER(_xll.BDH(config!$G$4,Q$1,$A85,$A85)),_xll.BDH(config!$G$4,Q$1,$A85,$A85),_xll.BDH(config!$G$5,Q$1,$A85,$A85))))</f>
        <v>59.06</v>
      </c>
      <c r="R85" s="8">
        <f>IF($A85="","",IF(ISNUMBER(FIND("IMPVOL",R$1)),_xll.BDH(config!$G$4,R$1,WORKDAY($A85,-1,config_Holiday_Calendar_US),WORKDAY($A85,-1,config_Holiday_Calendar_US)),IF(ISNUMBER(_xll.BDH(config!$G$4,R$1,$A85,$A85)),_xll.BDH(config!$G$4,R$1,$A85,$A85),_xll.BDH(config!$G$5,R$1,$A85,$A85))))</f>
        <v>45.77</v>
      </c>
      <c r="S85" s="8" t="str">
        <f>IF($A85="","",IF(ISNUMBER(FIND("IMPVOL",S$1)),_xll.BDH(config!$G$4,S$1,WORKDAY($A85,-1,config_Holiday_Calendar_US),WORKDAY($A85,-1,config_Holiday_Calendar_US)),IF(ISNUMBER(_xll.BDH(config!$G$4,S$1,$A85,$A85)),_xll.BDH(config!$G$4,S$1,$A85,$A85),_xll.BDH(config!$G$5,S$1,$A85,$A85))))</f>
        <v>#N/A Requesting Data...</v>
      </c>
      <c r="T85" s="8" t="str">
        <f>IF($A85="","",IF(ISNUMBER(FIND("IMPVOL",T$1)),_xll.BDH(config!$G$4,T$1,WORKDAY($A85,-1,config_Holiday_Calendar_US),WORKDAY($A85,-1,config_Holiday_Calendar_US)),IF(ISNUMBER(_xll.BDH(config!$G$4,T$1,$A85,$A85)),_xll.BDH(config!$G$4,T$1,$A85,$A85),_xll.BDH(config!$G$5,T$1,$A85,$A85))))</f>
        <v>#N/A Requesting Data...</v>
      </c>
      <c r="U85" s="8" t="str">
        <f>IF($A85="","",IF(ISNUMBER(FIND("IMPVOL",U$1)),_xll.BDH(config!$G$4,U$1,WORKDAY($A85,-1,config_Holiday_Calendar_US),WORKDAY($A85,-1,config_Holiday_Calendar_US)),IF(ISNUMBER(_xll.BDH(config!$G$4,U$1,$A85,$A85)),_xll.BDH(config!$G$4,U$1,$A85,$A85),_xll.BDH(config!$G$5,U$1,$A85,$A85))))</f>
        <v>#N/A Requesting Data...</v>
      </c>
      <c r="V85" s="8" t="str">
        <f>IF($A85="","",IF(ISNUMBER(FIND("IMPVOL",V$1)),_xll.BDH(config!$G$4,V$1,WORKDAY($A85,-1,config_Holiday_Calendar_US),WORKDAY($A85,-1,config_Holiday_Calendar_US)),IF(ISNUMBER(_xll.BDH(config!$G$4,V$1,$A85,$A85)),_xll.BDH(config!$G$4,V$1,$A85,$A85),_xll.BDH(config!$G$5,V$1,$A85,$A85))))</f>
        <v>#N/A Requesting Data...</v>
      </c>
      <c r="W85" s="8" t="str">
        <f>IF($A85="","",IF(ISNUMBER(FIND("IMPVOL",W$1)),_xll.BDH(config!$G$4,W$1,WORKDAY($A85,-1,config_Holiday_Calendar_US),WORKDAY($A85,-1,config_Holiday_Calendar_US)),IF(ISNUMBER(_xll.BDH(config!$G$4,W$1,$A85,$A85)),_xll.BDH(config!$G$4,W$1,$A85,$A85),_xll.BDH(config!$G$5,W$1,$A85,$A85))))</f>
        <v>#N/A Requesting Data...</v>
      </c>
    </row>
    <row r="86" spans="1:23" x14ac:dyDescent="0.2">
      <c r="A86" s="9">
        <f>IF(A85="","",IF(WORKDAY(A85,-1,config_Holiday_Calendar_US)&lt;config!$I$10,"",WORKDAY(A85,-1,config_Holiday_Calendar_US)))</f>
        <v>42711</v>
      </c>
      <c r="B86" s="8" t="e">
        <f t="shared" si="1"/>
        <v>#VALUE!</v>
      </c>
      <c r="C86" s="8" t="str">
        <f>IF(A86="","",_xll.BDH(config!$H$4,C$1,$A86,$A86))</f>
        <v>#N/A Requesting Data...</v>
      </c>
      <c r="D86" s="8" t="str">
        <f>IF($A86="","",_xll.BDH(config!$H$4,D$1,$A86,$A86))</f>
        <v>#N/A Requesting Data...</v>
      </c>
      <c r="E86" s="8">
        <f>IF($A86="","",IF(ISNUMBER(FIND("IMPVOL",E$1)),_xll.BDH(config!$G$4,E$1,WORKDAY($A86,-1,config_Holiday_Calendar_US),WORKDAY($A86,-1,config_Holiday_Calendar_US)),IF(ISNUMBER(_xll.BDH(config!$G$4,E$1,$A86,$A86)),_xll.BDH(config!$G$4,E$1,$A86,$A86),_xll.BDH(config!$G$5,E$1,$A86,$A86))))</f>
        <v>51.98</v>
      </c>
      <c r="F86" s="8">
        <f>IF($A86="","",IF(ISNUMBER(FIND("IMPVOL",F$1)),_xll.BDH(config!$G$4,F$1,WORKDAY($A86,-1,config_Holiday_Calendar_US),WORKDAY($A86,-1,config_Holiday_Calendar_US)),IF(ISNUMBER(_xll.BDH(config!$G$4,F$1,$A86,$A86)),_xll.BDH(config!$G$4,F$1,$A86,$A86),_xll.BDH(config!$G$5,F$1,$A86,$A86))))</f>
        <v>52.28</v>
      </c>
      <c r="G86" s="8">
        <f>IF($A86="","",IF(ISNUMBER(FIND("IMPVOL",G$1)),_xll.BDH(config!$G$4,G$1,WORKDAY($A86,-1,config_Holiday_Calendar_US),WORKDAY($A86,-1,config_Holiday_Calendar_US)),IF(ISNUMBER(_xll.BDH(config!$G$4,G$1,$A86,$A86)),_xll.BDH(config!$G$4,G$1,$A86,$A86),_xll.BDH(config!$G$5,G$1,$A86,$A86))))</f>
        <v>50.89</v>
      </c>
      <c r="H86" s="8">
        <f>IF($A86="","",IF(ISNUMBER(FIND("IMPVOL",H$1)),_xll.BDH(config!$G$4,H$1,WORKDAY($A86,-1,config_Holiday_Calendar_US),WORKDAY($A86,-1,config_Holiday_Calendar_US)),IF(ISNUMBER(_xll.BDH(config!$G$4,H$1,$A86,$A86)),_xll.BDH(config!$G$4,H$1,$A86,$A86),_xll.BDH(config!$G$5,H$1,$A86,$A86))))</f>
        <v>341680</v>
      </c>
      <c r="I86" s="8" t="str">
        <f>IF($A86="","",IF(ISNUMBER(FIND("IMPVOL",I$1)),_xll.BDH(config!$G$4,I$1,WORKDAY($A86,-1,config_Holiday_Calendar_US),WORKDAY($A86,-1,config_Holiday_Calendar_US)),IF(ISNUMBER(_xll.BDH(config!$G$4,I$1,$A86,$A86)),_xll.BDH(config!$G$4,I$1,$A86,$A86),_xll.BDH(config!$G$5,I$1,$A86,$A86))))</f>
        <v>#N/A Requesting Data...</v>
      </c>
      <c r="J86" s="8" t="str">
        <f>IF($A86="","",IF(ISNUMBER(FIND("IMPVOL",J$1)),_xll.BDH(config!$G$4,J$1,WORKDAY($A86,-1,config_Holiday_Calendar_US),WORKDAY($A86,-1,config_Holiday_Calendar_US)),IF(ISNUMBER(_xll.BDH(config!$G$4,J$1,$A86,$A86)),_xll.BDH(config!$G$4,J$1,$A86,$A86),_xll.BDH(config!$G$5,J$1,$A86,$A86))))</f>
        <v>#N/A Requesting Data...</v>
      </c>
      <c r="K86" s="8" t="str">
        <f>IF($A86="","",IF(ISNUMBER(FIND("IMPVOL",K$1)),_xll.BDH(config!$G$4,K$1,WORKDAY($A86,-1,config_Holiday_Calendar_US),WORKDAY($A86,-1,config_Holiday_Calendar_US)),IF(ISNUMBER(_xll.BDH(config!$G$4,K$1,$A86,$A86)),_xll.BDH(config!$G$4,K$1,$A86,$A86),_xll.BDH(config!$G$5,K$1,$A86,$A86))))</f>
        <v>#N/A Requesting Data...</v>
      </c>
      <c r="L86" s="8" t="str">
        <f>IF($A86="","",IF(ISNUMBER(FIND("IMPVOL",L$1)),_xll.BDH(config!$G$4,L$1,WORKDAY($A86,-1,config_Holiday_Calendar_US),WORKDAY($A86,-1,config_Holiday_Calendar_US)),IF(ISNUMBER(_xll.BDH(config!$G$4,L$1,$A86,$A86)),_xll.BDH(config!$G$4,L$1,$A86,$A86),_xll.BDH(config!$G$5,L$1,$A86,$A86))))</f>
        <v>#N/A Requesting Data...</v>
      </c>
      <c r="M86" s="8" t="str">
        <f>IF($A86="","",IF(ISNUMBER(FIND("IMPVOL",M$1)),_xll.BDH(config!$G$4,M$1,WORKDAY($A86,-1,config_Holiday_Calendar_US),WORKDAY($A86,-1,config_Holiday_Calendar_US)),IF(ISNUMBER(_xll.BDH(config!$G$4,M$1,$A86,$A86)),_xll.BDH(config!$G$4,M$1,$A86,$A86),_xll.BDH(config!$G$5,M$1,$A86,$A86))))</f>
        <v>#N/A Requesting Data...</v>
      </c>
      <c r="N86" s="8" t="str">
        <f>IF($A86="","",IF(ISNUMBER(FIND("IMPVOL",N$1)),_xll.BDH(config!$G$4,N$1,WORKDAY($A86,-1,config_Holiday_Calendar_US),WORKDAY($A86,-1,config_Holiday_Calendar_US)),IF(ISNUMBER(_xll.BDH(config!$G$4,N$1,$A86,$A86)),_xll.BDH(config!$G$4,N$1,$A86,$A86),_xll.BDH(config!$G$5,N$1,$A86,$A86))))</f>
        <v>#N/A Requesting Data...</v>
      </c>
      <c r="O86" s="8" t="str">
        <f>IF($A86="","",IF(ISNUMBER(FIND("IMPVOL",O$1)),_xll.BDH(config!$G$4,O$1,WORKDAY($A86,-1,config_Holiday_Calendar_US),WORKDAY($A86,-1,config_Holiday_Calendar_US)),IF(ISNUMBER(_xll.BDH(config!$G$4,O$1,$A86,$A86)),_xll.BDH(config!$G$4,O$1,$A86,$A86),_xll.BDH(config!$G$5,O$1,$A86,$A86))))</f>
        <v>#N/A Requesting Data...</v>
      </c>
      <c r="P86" s="8" t="str">
        <f>IF($A86="","",IF(ISNUMBER(FIND("IMPVOL",P$1)),_xll.BDH(config!$G$4,P$1,WORKDAY($A86,-1,config_Holiday_Calendar_US),WORKDAY($A86,-1,config_Holiday_Calendar_US)),IF(ISNUMBER(_xll.BDH(config!$G$4,P$1,$A86,$A86)),_xll.BDH(config!$G$4,P$1,$A86,$A86),_xll.BDH(config!$G$5,P$1,$A86,$A86))))</f>
        <v>#N/A Requesting Data...</v>
      </c>
      <c r="Q86" s="8">
        <f>IF($A86="","",IF(ISNUMBER(FIND("IMPVOL",Q$1)),_xll.BDH(config!$G$4,Q$1,WORKDAY($A86,-1,config_Holiday_Calendar_US),WORKDAY($A86,-1,config_Holiday_Calendar_US)),IF(ISNUMBER(_xll.BDH(config!$G$4,Q$1,$A86,$A86)),_xll.BDH(config!$G$4,Q$1,$A86,$A86),_xll.BDH(config!$G$5,Q$1,$A86,$A86))))</f>
        <v>64.489999999999995</v>
      </c>
      <c r="R86" s="8">
        <f>IF($A86="","",IF(ISNUMBER(FIND("IMPVOL",R$1)),_xll.BDH(config!$G$4,R$1,WORKDAY($A86,-1,config_Holiday_Calendar_US),WORKDAY($A86,-1,config_Holiday_Calendar_US)),IF(ISNUMBER(_xll.BDH(config!$G$4,R$1,$A86,$A86)),_xll.BDH(config!$G$4,R$1,$A86,$A86),_xll.BDH(config!$G$5,R$1,$A86,$A86))))</f>
        <v>45.55</v>
      </c>
      <c r="S86" s="8" t="str">
        <f>IF($A86="","",IF(ISNUMBER(FIND("IMPVOL",S$1)),_xll.BDH(config!$G$4,S$1,WORKDAY($A86,-1,config_Holiday_Calendar_US),WORKDAY($A86,-1,config_Holiday_Calendar_US)),IF(ISNUMBER(_xll.BDH(config!$G$4,S$1,$A86,$A86)),_xll.BDH(config!$G$4,S$1,$A86,$A86),_xll.BDH(config!$G$5,S$1,$A86,$A86))))</f>
        <v>#N/A Requesting Data...</v>
      </c>
      <c r="T86" s="8" t="str">
        <f>IF($A86="","",IF(ISNUMBER(FIND("IMPVOL",T$1)),_xll.BDH(config!$G$4,T$1,WORKDAY($A86,-1,config_Holiday_Calendar_US),WORKDAY($A86,-1,config_Holiday_Calendar_US)),IF(ISNUMBER(_xll.BDH(config!$G$4,T$1,$A86,$A86)),_xll.BDH(config!$G$4,T$1,$A86,$A86),_xll.BDH(config!$G$5,T$1,$A86,$A86))))</f>
        <v>#N/A Requesting Data...</v>
      </c>
      <c r="U86" s="8" t="str">
        <f>IF($A86="","",IF(ISNUMBER(FIND("IMPVOL",U$1)),_xll.BDH(config!$G$4,U$1,WORKDAY($A86,-1,config_Holiday_Calendar_US),WORKDAY($A86,-1,config_Holiday_Calendar_US)),IF(ISNUMBER(_xll.BDH(config!$G$4,U$1,$A86,$A86)),_xll.BDH(config!$G$4,U$1,$A86,$A86),_xll.BDH(config!$G$5,U$1,$A86,$A86))))</f>
        <v>#N/A Requesting Data...</v>
      </c>
      <c r="V86" s="8" t="str">
        <f>IF($A86="","",IF(ISNUMBER(FIND("IMPVOL",V$1)),_xll.BDH(config!$G$4,V$1,WORKDAY($A86,-1,config_Holiday_Calendar_US),WORKDAY($A86,-1,config_Holiday_Calendar_US)),IF(ISNUMBER(_xll.BDH(config!$G$4,V$1,$A86,$A86)),_xll.BDH(config!$G$4,V$1,$A86,$A86),_xll.BDH(config!$G$5,V$1,$A86,$A86))))</f>
        <v>#N/A Requesting Data...</v>
      </c>
      <c r="W86" s="8" t="str">
        <f>IF($A86="","",IF(ISNUMBER(FIND("IMPVOL",W$1)),_xll.BDH(config!$G$4,W$1,WORKDAY($A86,-1,config_Holiday_Calendar_US),WORKDAY($A86,-1,config_Holiday_Calendar_US)),IF(ISNUMBER(_xll.BDH(config!$G$4,W$1,$A86,$A86)),_xll.BDH(config!$G$4,W$1,$A86,$A86),_xll.BDH(config!$G$5,W$1,$A86,$A86))))</f>
        <v>#N/A Requesting Data...</v>
      </c>
    </row>
    <row r="87" spans="1:23" x14ac:dyDescent="0.2">
      <c r="A87" s="9">
        <f>IF(A86="","",IF(WORKDAY(A86,-1,config_Holiday_Calendar_US)&lt;config!$I$10,"",WORKDAY(A86,-1,config_Holiday_Calendar_US)))</f>
        <v>42710</v>
      </c>
      <c r="B87" s="8" t="e">
        <f t="shared" si="1"/>
        <v>#VALUE!</v>
      </c>
      <c r="C87" s="8" t="str">
        <f>IF(A87="","",_xll.BDH(config!$H$4,C$1,$A87,$A87))</f>
        <v>#N/A Requesting Data...</v>
      </c>
      <c r="D87" s="8" t="str">
        <f>IF($A87="","",_xll.BDH(config!$H$4,D$1,$A87,$A87))</f>
        <v>#N/A Requesting Data...</v>
      </c>
      <c r="E87" s="8">
        <f>IF($A87="","",IF(ISNUMBER(FIND("IMPVOL",E$1)),_xll.BDH(config!$G$4,E$1,WORKDAY($A87,-1,config_Holiday_Calendar_US),WORKDAY($A87,-1,config_Holiday_Calendar_US)),IF(ISNUMBER(_xll.BDH(config!$G$4,E$1,$A87,$A87)),_xll.BDH(config!$G$4,E$1,$A87,$A87),_xll.BDH(config!$G$5,E$1,$A87,$A87))))</f>
        <v>52</v>
      </c>
      <c r="F87" s="8">
        <f>IF($A87="","",IF(ISNUMBER(FIND("IMPVOL",F$1)),_xll.BDH(config!$G$4,F$1,WORKDAY($A87,-1,config_Holiday_Calendar_US),WORKDAY($A87,-1,config_Holiday_Calendar_US)),IF(ISNUMBER(_xll.BDH(config!$G$4,F$1,$A87,$A87)),_xll.BDH(config!$G$4,F$1,$A87,$A87),_xll.BDH(config!$G$5,F$1,$A87,$A87))))</f>
        <v>52.68</v>
      </c>
      <c r="G87" s="8">
        <f>IF($A87="","",IF(ISNUMBER(FIND("IMPVOL",G$1)),_xll.BDH(config!$G$4,G$1,WORKDAY($A87,-1,config_Holiday_Calendar_US),WORKDAY($A87,-1,config_Holiday_Calendar_US)),IF(ISNUMBER(_xll.BDH(config!$G$4,G$1,$A87,$A87)),_xll.BDH(config!$G$4,G$1,$A87,$A87),_xll.BDH(config!$G$5,G$1,$A87,$A87))))</f>
        <v>51.38</v>
      </c>
      <c r="H87" s="8">
        <f>IF($A87="","",IF(ISNUMBER(FIND("IMPVOL",H$1)),_xll.BDH(config!$G$4,H$1,WORKDAY($A87,-1,config_Holiday_Calendar_US),WORKDAY($A87,-1,config_Holiday_Calendar_US)),IF(ISNUMBER(_xll.BDH(config!$G$4,H$1,$A87,$A87)),_xll.BDH(config!$G$4,H$1,$A87,$A87),_xll.BDH(config!$G$5,H$1,$A87,$A87))))</f>
        <v>214298</v>
      </c>
      <c r="I87" s="8" t="str">
        <f>IF($A87="","",IF(ISNUMBER(FIND("IMPVOL",I$1)),_xll.BDH(config!$G$4,I$1,WORKDAY($A87,-1,config_Holiday_Calendar_US),WORKDAY($A87,-1,config_Holiday_Calendar_US)),IF(ISNUMBER(_xll.BDH(config!$G$4,I$1,$A87,$A87)),_xll.BDH(config!$G$4,I$1,$A87,$A87),_xll.BDH(config!$G$5,I$1,$A87,$A87))))</f>
        <v>#N/A Requesting Data...</v>
      </c>
      <c r="J87" s="8" t="str">
        <f>IF($A87="","",IF(ISNUMBER(FIND("IMPVOL",J$1)),_xll.BDH(config!$G$4,J$1,WORKDAY($A87,-1,config_Holiday_Calendar_US),WORKDAY($A87,-1,config_Holiday_Calendar_US)),IF(ISNUMBER(_xll.BDH(config!$G$4,J$1,$A87,$A87)),_xll.BDH(config!$G$4,J$1,$A87,$A87),_xll.BDH(config!$G$5,J$1,$A87,$A87))))</f>
        <v>#N/A Requesting Data...</v>
      </c>
      <c r="K87" s="8" t="str">
        <f>IF($A87="","",IF(ISNUMBER(FIND("IMPVOL",K$1)),_xll.BDH(config!$G$4,K$1,WORKDAY($A87,-1,config_Holiday_Calendar_US),WORKDAY($A87,-1,config_Holiday_Calendar_US)),IF(ISNUMBER(_xll.BDH(config!$G$4,K$1,$A87,$A87)),_xll.BDH(config!$G$4,K$1,$A87,$A87),_xll.BDH(config!$G$5,K$1,$A87,$A87))))</f>
        <v>#N/A Requesting Data...</v>
      </c>
      <c r="L87" s="8" t="str">
        <f>IF($A87="","",IF(ISNUMBER(FIND("IMPVOL",L$1)),_xll.BDH(config!$G$4,L$1,WORKDAY($A87,-1,config_Holiday_Calendar_US),WORKDAY($A87,-1,config_Holiday_Calendar_US)),IF(ISNUMBER(_xll.BDH(config!$G$4,L$1,$A87,$A87)),_xll.BDH(config!$G$4,L$1,$A87,$A87),_xll.BDH(config!$G$5,L$1,$A87,$A87))))</f>
        <v>#N/A Requesting Data...</v>
      </c>
      <c r="M87" s="8" t="str">
        <f>IF($A87="","",IF(ISNUMBER(FIND("IMPVOL",M$1)),_xll.BDH(config!$G$4,M$1,WORKDAY($A87,-1,config_Holiday_Calendar_US),WORKDAY($A87,-1,config_Holiday_Calendar_US)),IF(ISNUMBER(_xll.BDH(config!$G$4,M$1,$A87,$A87)),_xll.BDH(config!$G$4,M$1,$A87,$A87),_xll.BDH(config!$G$5,M$1,$A87,$A87))))</f>
        <v>#N/A Requesting Data...</v>
      </c>
      <c r="N87" s="8" t="str">
        <f>IF($A87="","",IF(ISNUMBER(FIND("IMPVOL",N$1)),_xll.BDH(config!$G$4,N$1,WORKDAY($A87,-1,config_Holiday_Calendar_US),WORKDAY($A87,-1,config_Holiday_Calendar_US)),IF(ISNUMBER(_xll.BDH(config!$G$4,N$1,$A87,$A87)),_xll.BDH(config!$G$4,N$1,$A87,$A87),_xll.BDH(config!$G$5,N$1,$A87,$A87))))</f>
        <v>#N/A Requesting Data...</v>
      </c>
      <c r="O87" s="8" t="str">
        <f>IF($A87="","",IF(ISNUMBER(FIND("IMPVOL",O$1)),_xll.BDH(config!$G$4,O$1,WORKDAY($A87,-1,config_Holiday_Calendar_US),WORKDAY($A87,-1,config_Holiday_Calendar_US)),IF(ISNUMBER(_xll.BDH(config!$G$4,O$1,$A87,$A87)),_xll.BDH(config!$G$4,O$1,$A87,$A87),_xll.BDH(config!$G$5,O$1,$A87,$A87))))</f>
        <v>#N/A Requesting Data...</v>
      </c>
      <c r="P87" s="8" t="str">
        <f>IF($A87="","",IF(ISNUMBER(FIND("IMPVOL",P$1)),_xll.BDH(config!$G$4,P$1,WORKDAY($A87,-1,config_Holiday_Calendar_US),WORKDAY($A87,-1,config_Holiday_Calendar_US)),IF(ISNUMBER(_xll.BDH(config!$G$4,P$1,$A87,$A87)),_xll.BDH(config!$G$4,P$1,$A87,$A87),_xll.BDH(config!$G$5,P$1,$A87,$A87))))</f>
        <v>#N/A Requesting Data...</v>
      </c>
      <c r="Q87" s="8">
        <f>IF($A87="","",IF(ISNUMBER(FIND("IMPVOL",Q$1)),_xll.BDH(config!$G$4,Q$1,WORKDAY($A87,-1,config_Holiday_Calendar_US),WORKDAY($A87,-1,config_Holiday_Calendar_US)),IF(ISNUMBER(_xll.BDH(config!$G$4,Q$1,$A87,$A87)),_xll.BDH(config!$G$4,Q$1,$A87,$A87),_xll.BDH(config!$G$5,Q$1,$A87,$A87))))</f>
        <v>62.94</v>
      </c>
      <c r="R87" s="8">
        <f>IF($A87="","",IF(ISNUMBER(FIND("IMPVOL",R$1)),_xll.BDH(config!$G$4,R$1,WORKDAY($A87,-1,config_Holiday_Calendar_US),WORKDAY($A87,-1,config_Holiday_Calendar_US)),IF(ISNUMBER(_xll.BDH(config!$G$4,R$1,$A87,$A87)),_xll.BDH(config!$G$4,R$1,$A87,$A87),_xll.BDH(config!$G$5,R$1,$A87,$A87))))</f>
        <v>45.37</v>
      </c>
      <c r="S87" s="8" t="str">
        <f>IF($A87="","",IF(ISNUMBER(FIND("IMPVOL",S$1)),_xll.BDH(config!$G$4,S$1,WORKDAY($A87,-1,config_Holiday_Calendar_US),WORKDAY($A87,-1,config_Holiday_Calendar_US)),IF(ISNUMBER(_xll.BDH(config!$G$4,S$1,$A87,$A87)),_xll.BDH(config!$G$4,S$1,$A87,$A87),_xll.BDH(config!$G$5,S$1,$A87,$A87))))</f>
        <v>#N/A Requesting Data...</v>
      </c>
      <c r="T87" s="8" t="str">
        <f>IF($A87="","",IF(ISNUMBER(FIND("IMPVOL",T$1)),_xll.BDH(config!$G$4,T$1,WORKDAY($A87,-1,config_Holiday_Calendar_US),WORKDAY($A87,-1,config_Holiday_Calendar_US)),IF(ISNUMBER(_xll.BDH(config!$G$4,T$1,$A87,$A87)),_xll.BDH(config!$G$4,T$1,$A87,$A87),_xll.BDH(config!$G$5,T$1,$A87,$A87))))</f>
        <v>#N/A Requesting Data...</v>
      </c>
      <c r="U87" s="8" t="str">
        <f>IF($A87="","",IF(ISNUMBER(FIND("IMPVOL",U$1)),_xll.BDH(config!$G$4,U$1,WORKDAY($A87,-1,config_Holiday_Calendar_US),WORKDAY($A87,-1,config_Holiday_Calendar_US)),IF(ISNUMBER(_xll.BDH(config!$G$4,U$1,$A87,$A87)),_xll.BDH(config!$G$4,U$1,$A87,$A87),_xll.BDH(config!$G$5,U$1,$A87,$A87))))</f>
        <v>#N/A Requesting Data...</v>
      </c>
      <c r="V87" s="8" t="str">
        <f>IF($A87="","",IF(ISNUMBER(FIND("IMPVOL",V$1)),_xll.BDH(config!$G$4,V$1,WORKDAY($A87,-1,config_Holiday_Calendar_US),WORKDAY($A87,-1,config_Holiday_Calendar_US)),IF(ISNUMBER(_xll.BDH(config!$G$4,V$1,$A87,$A87)),_xll.BDH(config!$G$4,V$1,$A87,$A87),_xll.BDH(config!$G$5,V$1,$A87,$A87))))</f>
        <v>#N/A Requesting Data...</v>
      </c>
      <c r="W87" s="8" t="str">
        <f>IF($A87="","",IF(ISNUMBER(FIND("IMPVOL",W$1)),_xll.BDH(config!$G$4,W$1,WORKDAY($A87,-1,config_Holiday_Calendar_US),WORKDAY($A87,-1,config_Holiday_Calendar_US)),IF(ISNUMBER(_xll.BDH(config!$G$4,W$1,$A87,$A87)),_xll.BDH(config!$G$4,W$1,$A87,$A87),_xll.BDH(config!$G$5,W$1,$A87,$A87))))</f>
        <v>#N/A Requesting Data...</v>
      </c>
    </row>
    <row r="88" spans="1:23" x14ac:dyDescent="0.2">
      <c r="A88" s="9">
        <f>IF(A87="","",IF(WORKDAY(A87,-1,config_Holiday_Calendar_US)&lt;config!$I$10,"",WORKDAY(A87,-1,config_Holiday_Calendar_US)))</f>
        <v>42709</v>
      </c>
      <c r="B88" s="8" t="e">
        <f t="shared" si="1"/>
        <v>#VALUE!</v>
      </c>
      <c r="C88" s="8" t="str">
        <f>IF(A88="","",_xll.BDH(config!$H$4,C$1,$A88,$A88))</f>
        <v>#N/A Requesting Data...</v>
      </c>
      <c r="D88" s="8" t="str">
        <f>IF($A88="","",_xll.BDH(config!$H$4,D$1,$A88,$A88))</f>
        <v>#N/A Requesting Data...</v>
      </c>
      <c r="E88" s="8">
        <f>IF($A88="","",IF(ISNUMBER(FIND("IMPVOL",E$1)),_xll.BDH(config!$G$4,E$1,WORKDAY($A88,-1,config_Holiday_Calendar_US),WORKDAY($A88,-1,config_Holiday_Calendar_US)),IF(ISNUMBER(_xll.BDH(config!$G$4,E$1,$A88,$A88)),_xll.BDH(config!$G$4,E$1,$A88,$A88),_xll.BDH(config!$G$5,E$1,$A88,$A88))))</f>
        <v>52.57</v>
      </c>
      <c r="F88" s="8">
        <f>IF($A88="","",IF(ISNUMBER(FIND("IMPVOL",F$1)),_xll.BDH(config!$G$4,F$1,WORKDAY($A88,-1,config_Holiday_Calendar_US),WORKDAY($A88,-1,config_Holiday_Calendar_US)),IF(ISNUMBER(_xll.BDH(config!$G$4,F$1,$A88,$A88)),_xll.BDH(config!$G$4,F$1,$A88,$A88),_xll.BDH(config!$G$5,F$1,$A88,$A88))))</f>
        <v>53.38</v>
      </c>
      <c r="G88" s="8">
        <f>IF($A88="","",IF(ISNUMBER(FIND("IMPVOL",G$1)),_xll.BDH(config!$G$4,G$1,WORKDAY($A88,-1,config_Holiday_Calendar_US),WORKDAY($A88,-1,config_Holiday_Calendar_US)),IF(ISNUMBER(_xll.BDH(config!$G$4,G$1,$A88,$A88)),_xll.BDH(config!$G$4,G$1,$A88,$A88),_xll.BDH(config!$G$5,G$1,$A88,$A88))))</f>
        <v>51.99</v>
      </c>
      <c r="H88" s="8">
        <f>IF($A88="","",IF(ISNUMBER(FIND("IMPVOL",H$1)),_xll.BDH(config!$G$4,H$1,WORKDAY($A88,-1,config_Holiday_Calendar_US),WORKDAY($A88,-1,config_Holiday_Calendar_US)),IF(ISNUMBER(_xll.BDH(config!$G$4,H$1,$A88,$A88)),_xll.BDH(config!$G$4,H$1,$A88,$A88),_xll.BDH(config!$G$5,H$1,$A88,$A88))))</f>
        <v>194120</v>
      </c>
      <c r="I88" s="8" t="str">
        <f>IF($A88="","",IF(ISNUMBER(FIND("IMPVOL",I$1)),_xll.BDH(config!$G$4,I$1,WORKDAY($A88,-1,config_Holiday_Calendar_US),WORKDAY($A88,-1,config_Holiday_Calendar_US)),IF(ISNUMBER(_xll.BDH(config!$G$4,I$1,$A88,$A88)),_xll.BDH(config!$G$4,I$1,$A88,$A88),_xll.BDH(config!$G$5,I$1,$A88,$A88))))</f>
        <v>#N/A Requesting Data...</v>
      </c>
      <c r="J88" s="8" t="str">
        <f>IF($A88="","",IF(ISNUMBER(FIND("IMPVOL",J$1)),_xll.BDH(config!$G$4,J$1,WORKDAY($A88,-1,config_Holiday_Calendar_US),WORKDAY($A88,-1,config_Holiday_Calendar_US)),IF(ISNUMBER(_xll.BDH(config!$G$4,J$1,$A88,$A88)),_xll.BDH(config!$G$4,J$1,$A88,$A88),_xll.BDH(config!$G$5,J$1,$A88,$A88))))</f>
        <v>#N/A Requesting Data...</v>
      </c>
      <c r="K88" s="8" t="str">
        <f>IF($A88="","",IF(ISNUMBER(FIND("IMPVOL",K$1)),_xll.BDH(config!$G$4,K$1,WORKDAY($A88,-1,config_Holiday_Calendar_US),WORKDAY($A88,-1,config_Holiday_Calendar_US)),IF(ISNUMBER(_xll.BDH(config!$G$4,K$1,$A88,$A88)),_xll.BDH(config!$G$4,K$1,$A88,$A88),_xll.BDH(config!$G$5,K$1,$A88,$A88))))</f>
        <v>#N/A Requesting Data...</v>
      </c>
      <c r="L88" s="8" t="str">
        <f>IF($A88="","",IF(ISNUMBER(FIND("IMPVOL",L$1)),_xll.BDH(config!$G$4,L$1,WORKDAY($A88,-1,config_Holiday_Calendar_US),WORKDAY($A88,-1,config_Holiday_Calendar_US)),IF(ISNUMBER(_xll.BDH(config!$G$4,L$1,$A88,$A88)),_xll.BDH(config!$G$4,L$1,$A88,$A88),_xll.BDH(config!$G$5,L$1,$A88,$A88))))</f>
        <v>#N/A Requesting Data...</v>
      </c>
      <c r="M88" s="8" t="str">
        <f>IF($A88="","",IF(ISNUMBER(FIND("IMPVOL",M$1)),_xll.BDH(config!$G$4,M$1,WORKDAY($A88,-1,config_Holiday_Calendar_US),WORKDAY($A88,-1,config_Holiday_Calendar_US)),IF(ISNUMBER(_xll.BDH(config!$G$4,M$1,$A88,$A88)),_xll.BDH(config!$G$4,M$1,$A88,$A88),_xll.BDH(config!$G$5,M$1,$A88,$A88))))</f>
        <v>#N/A Requesting Data...</v>
      </c>
      <c r="N88" s="8" t="str">
        <f>IF($A88="","",IF(ISNUMBER(FIND("IMPVOL",N$1)),_xll.BDH(config!$G$4,N$1,WORKDAY($A88,-1,config_Holiday_Calendar_US),WORKDAY($A88,-1,config_Holiday_Calendar_US)),IF(ISNUMBER(_xll.BDH(config!$G$4,N$1,$A88,$A88)),_xll.BDH(config!$G$4,N$1,$A88,$A88),_xll.BDH(config!$G$5,N$1,$A88,$A88))))</f>
        <v>#N/A Requesting Data...</v>
      </c>
      <c r="O88" s="8" t="str">
        <f>IF($A88="","",IF(ISNUMBER(FIND("IMPVOL",O$1)),_xll.BDH(config!$G$4,O$1,WORKDAY($A88,-1,config_Holiday_Calendar_US),WORKDAY($A88,-1,config_Holiday_Calendar_US)),IF(ISNUMBER(_xll.BDH(config!$G$4,O$1,$A88,$A88)),_xll.BDH(config!$G$4,O$1,$A88,$A88),_xll.BDH(config!$G$5,O$1,$A88,$A88))))</f>
        <v>#N/A Requesting Data...</v>
      </c>
      <c r="P88" s="8" t="str">
        <f>IF($A88="","",IF(ISNUMBER(FIND("IMPVOL",P$1)),_xll.BDH(config!$G$4,P$1,WORKDAY($A88,-1,config_Holiday_Calendar_US),WORKDAY($A88,-1,config_Holiday_Calendar_US)),IF(ISNUMBER(_xll.BDH(config!$G$4,P$1,$A88,$A88)),_xll.BDH(config!$G$4,P$1,$A88,$A88),_xll.BDH(config!$G$5,P$1,$A88,$A88))))</f>
        <v>#N/A Requesting Data...</v>
      </c>
      <c r="Q88" s="8">
        <f>IF($A88="","",IF(ISNUMBER(FIND("IMPVOL",Q$1)),_xll.BDH(config!$G$4,Q$1,WORKDAY($A88,-1,config_Holiday_Calendar_US),WORKDAY($A88,-1,config_Holiday_Calendar_US)),IF(ISNUMBER(_xll.BDH(config!$G$4,Q$1,$A88,$A88)),_xll.BDH(config!$G$4,Q$1,$A88,$A88),_xll.BDH(config!$G$5,Q$1,$A88,$A88))))</f>
        <v>61.42</v>
      </c>
      <c r="R88" s="8">
        <f>IF($A88="","",IF(ISNUMBER(FIND("IMPVOL",R$1)),_xll.BDH(config!$G$4,R$1,WORKDAY($A88,-1,config_Holiday_Calendar_US),WORKDAY($A88,-1,config_Holiday_Calendar_US)),IF(ISNUMBER(_xll.BDH(config!$G$4,R$1,$A88,$A88)),_xll.BDH(config!$G$4,R$1,$A88,$A88),_xll.BDH(config!$G$5,R$1,$A88,$A88))))</f>
        <v>45.21</v>
      </c>
      <c r="S88" s="8" t="str">
        <f>IF($A88="","",IF(ISNUMBER(FIND("IMPVOL",S$1)),_xll.BDH(config!$G$4,S$1,WORKDAY($A88,-1,config_Holiday_Calendar_US),WORKDAY($A88,-1,config_Holiday_Calendar_US)),IF(ISNUMBER(_xll.BDH(config!$G$4,S$1,$A88,$A88)),_xll.BDH(config!$G$4,S$1,$A88,$A88),_xll.BDH(config!$G$5,S$1,$A88,$A88))))</f>
        <v>#N/A Requesting Data...</v>
      </c>
      <c r="T88" s="8" t="str">
        <f>IF($A88="","",IF(ISNUMBER(FIND("IMPVOL",T$1)),_xll.BDH(config!$G$4,T$1,WORKDAY($A88,-1,config_Holiday_Calendar_US),WORKDAY($A88,-1,config_Holiday_Calendar_US)),IF(ISNUMBER(_xll.BDH(config!$G$4,T$1,$A88,$A88)),_xll.BDH(config!$G$4,T$1,$A88,$A88),_xll.BDH(config!$G$5,T$1,$A88,$A88))))</f>
        <v>#N/A Requesting Data...</v>
      </c>
      <c r="U88" s="8" t="str">
        <f>IF($A88="","",IF(ISNUMBER(FIND("IMPVOL",U$1)),_xll.BDH(config!$G$4,U$1,WORKDAY($A88,-1,config_Holiday_Calendar_US),WORKDAY($A88,-1,config_Holiday_Calendar_US)),IF(ISNUMBER(_xll.BDH(config!$G$4,U$1,$A88,$A88)),_xll.BDH(config!$G$4,U$1,$A88,$A88),_xll.BDH(config!$G$5,U$1,$A88,$A88))))</f>
        <v>#N/A Requesting Data...</v>
      </c>
      <c r="V88" s="8" t="str">
        <f>IF($A88="","",IF(ISNUMBER(FIND("IMPVOL",V$1)),_xll.BDH(config!$G$4,V$1,WORKDAY($A88,-1,config_Holiday_Calendar_US),WORKDAY($A88,-1,config_Holiday_Calendar_US)),IF(ISNUMBER(_xll.BDH(config!$G$4,V$1,$A88,$A88)),_xll.BDH(config!$G$4,V$1,$A88,$A88),_xll.BDH(config!$G$5,V$1,$A88,$A88))))</f>
        <v>#N/A Requesting Data...</v>
      </c>
      <c r="W88" s="8" t="str">
        <f>IF($A88="","",IF(ISNUMBER(FIND("IMPVOL",W$1)),_xll.BDH(config!$G$4,W$1,WORKDAY($A88,-1,config_Holiday_Calendar_US),WORKDAY($A88,-1,config_Holiday_Calendar_US)),IF(ISNUMBER(_xll.BDH(config!$G$4,W$1,$A88,$A88)),_xll.BDH(config!$G$4,W$1,$A88,$A88),_xll.BDH(config!$G$5,W$1,$A88,$A88))))</f>
        <v>#N/A Requesting Data...</v>
      </c>
    </row>
    <row r="89" spans="1:23" x14ac:dyDescent="0.2">
      <c r="A89" s="9">
        <f>IF(A88="","",IF(WORKDAY(A88,-1,config_Holiday_Calendar_US)&lt;config!$I$10,"",WORKDAY(A88,-1,config_Holiday_Calendar_US)))</f>
        <v>42706</v>
      </c>
      <c r="B89" s="8" t="e">
        <f t="shared" si="1"/>
        <v>#VALUE!</v>
      </c>
      <c r="C89" s="8" t="str">
        <f>IF(A89="","",_xll.BDH(config!$H$4,C$1,$A89,$A89))</f>
        <v>#N/A Requesting Data...</v>
      </c>
      <c r="D89" s="8" t="str">
        <f>IF($A89="","",_xll.BDH(config!$H$4,D$1,$A89,$A89))</f>
        <v>#N/A Requesting Data...</v>
      </c>
      <c r="E89" s="8">
        <f>IF($A89="","",IF(ISNUMBER(FIND("IMPVOL",E$1)),_xll.BDH(config!$G$4,E$1,WORKDAY($A89,-1,config_Holiday_Calendar_US),WORKDAY($A89,-1,config_Holiday_Calendar_US)),IF(ISNUMBER(_xll.BDH(config!$G$4,E$1,$A89,$A89)),_xll.BDH(config!$G$4,E$1,$A89,$A89),_xll.BDH(config!$G$5,E$1,$A89,$A89))))</f>
        <v>52.25</v>
      </c>
      <c r="F89" s="8">
        <f>IF($A89="","",IF(ISNUMBER(FIND("IMPVOL",F$1)),_xll.BDH(config!$G$4,F$1,WORKDAY($A89,-1,config_Holiday_Calendar_US),WORKDAY($A89,-1,config_Holiday_Calendar_US)),IF(ISNUMBER(_xll.BDH(config!$G$4,F$1,$A89,$A89)),_xll.BDH(config!$G$4,F$1,$A89,$A89),_xll.BDH(config!$G$5,F$1,$A89,$A89))))</f>
        <v>52.69</v>
      </c>
      <c r="G89" s="8">
        <f>IF($A89="","",IF(ISNUMBER(FIND("IMPVOL",G$1)),_xll.BDH(config!$G$4,G$1,WORKDAY($A89,-1,config_Holiday_Calendar_US),WORKDAY($A89,-1,config_Holiday_Calendar_US)),IF(ISNUMBER(_xll.BDH(config!$G$4,G$1,$A89,$A89)),_xll.BDH(config!$G$4,G$1,$A89,$A89),_xll.BDH(config!$G$5,G$1,$A89,$A89))))</f>
        <v>51.12</v>
      </c>
      <c r="H89" s="8">
        <f>IF($A89="","",IF(ISNUMBER(FIND("IMPVOL",H$1)),_xll.BDH(config!$G$4,H$1,WORKDAY($A89,-1,config_Holiday_Calendar_US),WORKDAY($A89,-1,config_Holiday_Calendar_US)),IF(ISNUMBER(_xll.BDH(config!$G$4,H$1,$A89,$A89)),_xll.BDH(config!$G$4,H$1,$A89,$A89),_xll.BDH(config!$G$5,H$1,$A89,$A89))))</f>
        <v>180911</v>
      </c>
      <c r="I89" s="8" t="str">
        <f>IF($A89="","",IF(ISNUMBER(FIND("IMPVOL",I$1)),_xll.BDH(config!$G$4,I$1,WORKDAY($A89,-1,config_Holiday_Calendar_US),WORKDAY($A89,-1,config_Holiday_Calendar_US)),IF(ISNUMBER(_xll.BDH(config!$G$4,I$1,$A89,$A89)),_xll.BDH(config!$G$4,I$1,$A89,$A89),_xll.BDH(config!$G$5,I$1,$A89,$A89))))</f>
        <v>#N/A Requesting Data...</v>
      </c>
      <c r="J89" s="8" t="str">
        <f>IF($A89="","",IF(ISNUMBER(FIND("IMPVOL",J$1)),_xll.BDH(config!$G$4,J$1,WORKDAY($A89,-1,config_Holiday_Calendar_US),WORKDAY($A89,-1,config_Holiday_Calendar_US)),IF(ISNUMBER(_xll.BDH(config!$G$4,J$1,$A89,$A89)),_xll.BDH(config!$G$4,J$1,$A89,$A89),_xll.BDH(config!$G$5,J$1,$A89,$A89))))</f>
        <v>#N/A Requesting Data...</v>
      </c>
      <c r="K89" s="8" t="str">
        <f>IF($A89="","",IF(ISNUMBER(FIND("IMPVOL",K$1)),_xll.BDH(config!$G$4,K$1,WORKDAY($A89,-1,config_Holiday_Calendar_US),WORKDAY($A89,-1,config_Holiday_Calendar_US)),IF(ISNUMBER(_xll.BDH(config!$G$4,K$1,$A89,$A89)),_xll.BDH(config!$G$4,K$1,$A89,$A89),_xll.BDH(config!$G$5,K$1,$A89,$A89))))</f>
        <v>#N/A Requesting Data...</v>
      </c>
      <c r="L89" s="8" t="str">
        <f>IF($A89="","",IF(ISNUMBER(FIND("IMPVOL",L$1)),_xll.BDH(config!$G$4,L$1,WORKDAY($A89,-1,config_Holiday_Calendar_US),WORKDAY($A89,-1,config_Holiday_Calendar_US)),IF(ISNUMBER(_xll.BDH(config!$G$4,L$1,$A89,$A89)),_xll.BDH(config!$G$4,L$1,$A89,$A89),_xll.BDH(config!$G$5,L$1,$A89,$A89))))</f>
        <v>#N/A Requesting Data...</v>
      </c>
      <c r="M89" s="8" t="str">
        <f>IF($A89="","",IF(ISNUMBER(FIND("IMPVOL",M$1)),_xll.BDH(config!$G$4,M$1,WORKDAY($A89,-1,config_Holiday_Calendar_US),WORKDAY($A89,-1,config_Holiday_Calendar_US)),IF(ISNUMBER(_xll.BDH(config!$G$4,M$1,$A89,$A89)),_xll.BDH(config!$G$4,M$1,$A89,$A89),_xll.BDH(config!$G$5,M$1,$A89,$A89))))</f>
        <v>#N/A Requesting Data...</v>
      </c>
      <c r="N89" s="8" t="str">
        <f>IF($A89="","",IF(ISNUMBER(FIND("IMPVOL",N$1)),_xll.BDH(config!$G$4,N$1,WORKDAY($A89,-1,config_Holiday_Calendar_US),WORKDAY($A89,-1,config_Holiday_Calendar_US)),IF(ISNUMBER(_xll.BDH(config!$G$4,N$1,$A89,$A89)),_xll.BDH(config!$G$4,N$1,$A89,$A89),_xll.BDH(config!$G$5,N$1,$A89,$A89))))</f>
        <v>#N/A Requesting Data...</v>
      </c>
      <c r="O89" s="8" t="str">
        <f>IF($A89="","",IF(ISNUMBER(FIND("IMPVOL",O$1)),_xll.BDH(config!$G$4,O$1,WORKDAY($A89,-1,config_Holiday_Calendar_US),WORKDAY($A89,-1,config_Holiday_Calendar_US)),IF(ISNUMBER(_xll.BDH(config!$G$4,O$1,$A89,$A89)),_xll.BDH(config!$G$4,O$1,$A89,$A89),_xll.BDH(config!$G$5,O$1,$A89,$A89))))</f>
        <v>#N/A Requesting Data...</v>
      </c>
      <c r="P89" s="8" t="str">
        <f>IF($A89="","",IF(ISNUMBER(FIND("IMPVOL",P$1)),_xll.BDH(config!$G$4,P$1,WORKDAY($A89,-1,config_Holiday_Calendar_US),WORKDAY($A89,-1,config_Holiday_Calendar_US)),IF(ISNUMBER(_xll.BDH(config!$G$4,P$1,$A89,$A89)),_xll.BDH(config!$G$4,P$1,$A89,$A89),_xll.BDH(config!$G$5,P$1,$A89,$A89))))</f>
        <v>#N/A Requesting Data...</v>
      </c>
      <c r="Q89" s="8">
        <f>IF($A89="","",IF(ISNUMBER(FIND("IMPVOL",Q$1)),_xll.BDH(config!$G$4,Q$1,WORKDAY($A89,-1,config_Holiday_Calendar_US),WORKDAY($A89,-1,config_Holiday_Calendar_US)),IF(ISNUMBER(_xll.BDH(config!$G$4,Q$1,$A89,$A89)),_xll.BDH(config!$G$4,Q$1,$A89,$A89),_xll.BDH(config!$G$5,Q$1,$A89,$A89))))</f>
        <v>63.21</v>
      </c>
      <c r="R89" s="8">
        <f>IF($A89="","",IF(ISNUMBER(FIND("IMPVOL",R$1)),_xll.BDH(config!$G$4,R$1,WORKDAY($A89,-1,config_Holiday_Calendar_US),WORKDAY($A89,-1,config_Holiday_Calendar_US)),IF(ISNUMBER(_xll.BDH(config!$G$4,R$1,$A89,$A89)),_xll.BDH(config!$G$4,R$1,$A89,$A89),_xll.BDH(config!$G$5,R$1,$A89,$A89))))</f>
        <v>45.24</v>
      </c>
      <c r="S89" s="8" t="str">
        <f>IF($A89="","",IF(ISNUMBER(FIND("IMPVOL",S$1)),_xll.BDH(config!$G$4,S$1,WORKDAY($A89,-1,config_Holiday_Calendar_US),WORKDAY($A89,-1,config_Holiday_Calendar_US)),IF(ISNUMBER(_xll.BDH(config!$G$4,S$1,$A89,$A89)),_xll.BDH(config!$G$4,S$1,$A89,$A89),_xll.BDH(config!$G$5,S$1,$A89,$A89))))</f>
        <v>#N/A Requesting Data...</v>
      </c>
      <c r="T89" s="8" t="str">
        <f>IF($A89="","",IF(ISNUMBER(FIND("IMPVOL",T$1)),_xll.BDH(config!$G$4,T$1,WORKDAY($A89,-1,config_Holiday_Calendar_US),WORKDAY($A89,-1,config_Holiday_Calendar_US)),IF(ISNUMBER(_xll.BDH(config!$G$4,T$1,$A89,$A89)),_xll.BDH(config!$G$4,T$1,$A89,$A89),_xll.BDH(config!$G$5,T$1,$A89,$A89))))</f>
        <v>#N/A Requesting Data...</v>
      </c>
      <c r="U89" s="8" t="str">
        <f>IF($A89="","",IF(ISNUMBER(FIND("IMPVOL",U$1)),_xll.BDH(config!$G$4,U$1,WORKDAY($A89,-1,config_Holiday_Calendar_US),WORKDAY($A89,-1,config_Holiday_Calendar_US)),IF(ISNUMBER(_xll.BDH(config!$G$4,U$1,$A89,$A89)),_xll.BDH(config!$G$4,U$1,$A89,$A89),_xll.BDH(config!$G$5,U$1,$A89,$A89))))</f>
        <v>#N/A Requesting Data...</v>
      </c>
      <c r="V89" s="8" t="str">
        <f>IF($A89="","",IF(ISNUMBER(FIND("IMPVOL",V$1)),_xll.BDH(config!$G$4,V$1,WORKDAY($A89,-1,config_Holiday_Calendar_US),WORKDAY($A89,-1,config_Holiday_Calendar_US)),IF(ISNUMBER(_xll.BDH(config!$G$4,V$1,$A89,$A89)),_xll.BDH(config!$G$4,V$1,$A89,$A89),_xll.BDH(config!$G$5,V$1,$A89,$A89))))</f>
        <v>#N/A Requesting Data...</v>
      </c>
      <c r="W89" s="8" t="str">
        <f>IF($A89="","",IF(ISNUMBER(FIND("IMPVOL",W$1)),_xll.BDH(config!$G$4,W$1,WORKDAY($A89,-1,config_Holiday_Calendar_US),WORKDAY($A89,-1,config_Holiday_Calendar_US)),IF(ISNUMBER(_xll.BDH(config!$G$4,W$1,$A89,$A89)),_xll.BDH(config!$G$4,W$1,$A89,$A89),_xll.BDH(config!$G$5,W$1,$A89,$A89))))</f>
        <v>#N/A Requesting Data...</v>
      </c>
    </row>
    <row r="90" spans="1:23" x14ac:dyDescent="0.2">
      <c r="A90" s="9">
        <f>IF(A89="","",IF(WORKDAY(A89,-1,config_Holiday_Calendar_US)&lt;config!$I$10,"",WORKDAY(A89,-1,config_Holiday_Calendar_US)))</f>
        <v>42705</v>
      </c>
      <c r="B90" s="8" t="e">
        <f t="shared" si="1"/>
        <v>#VALUE!</v>
      </c>
      <c r="C90" s="8" t="str">
        <f>IF(A90="","",_xll.BDH(config!$H$4,C$1,$A90,$A90))</f>
        <v>#N/A Requesting Data...</v>
      </c>
      <c r="D90" s="8" t="str">
        <f>IF($A90="","",_xll.BDH(config!$H$4,D$1,$A90,$A90))</f>
        <v>#N/A Requesting Data...</v>
      </c>
      <c r="E90" s="8">
        <f>IF($A90="","",IF(ISNUMBER(FIND("IMPVOL",E$1)),_xll.BDH(config!$G$4,E$1,WORKDAY($A90,-1,config_Holiday_Calendar_US),WORKDAY($A90,-1,config_Holiday_Calendar_US)),IF(ISNUMBER(_xll.BDH(config!$G$4,E$1,$A90,$A90)),_xll.BDH(config!$G$4,E$1,$A90,$A90),_xll.BDH(config!$G$5,E$1,$A90,$A90))))</f>
        <v>50</v>
      </c>
      <c r="F90" s="8">
        <f>IF($A90="","",IF(ISNUMBER(FIND("IMPVOL",F$1)),_xll.BDH(config!$G$4,F$1,WORKDAY($A90,-1,config_Holiday_Calendar_US),WORKDAY($A90,-1,config_Holiday_Calendar_US)),IF(ISNUMBER(_xll.BDH(config!$G$4,F$1,$A90,$A90)),_xll.BDH(config!$G$4,F$1,$A90,$A90),_xll.BDH(config!$G$5,F$1,$A90,$A90))))</f>
        <v>52.67</v>
      </c>
      <c r="G90" s="8">
        <f>IF($A90="","",IF(ISNUMBER(FIND("IMPVOL",G$1)),_xll.BDH(config!$G$4,G$1,WORKDAY($A90,-1,config_Holiday_Calendar_US),WORKDAY($A90,-1,config_Holiday_Calendar_US)),IF(ISNUMBER(_xll.BDH(config!$G$4,G$1,$A90,$A90)),_xll.BDH(config!$G$4,G$1,$A90,$A90),_xll.BDH(config!$G$5,G$1,$A90,$A90))))</f>
        <v>49.94</v>
      </c>
      <c r="H90" s="8">
        <f>IF($A90="","",IF(ISNUMBER(FIND("IMPVOL",H$1)),_xll.BDH(config!$G$4,H$1,WORKDAY($A90,-1,config_Holiday_Calendar_US),WORKDAY($A90,-1,config_Holiday_Calendar_US)),IF(ISNUMBER(_xll.BDH(config!$G$4,H$1,$A90,$A90)),_xll.BDH(config!$G$4,H$1,$A90,$A90),_xll.BDH(config!$G$5,H$1,$A90,$A90))))</f>
        <v>320570</v>
      </c>
      <c r="I90" s="8" t="str">
        <f>IF($A90="","",IF(ISNUMBER(FIND("IMPVOL",I$1)),_xll.BDH(config!$G$4,I$1,WORKDAY($A90,-1,config_Holiday_Calendar_US),WORKDAY($A90,-1,config_Holiday_Calendar_US)),IF(ISNUMBER(_xll.BDH(config!$G$4,I$1,$A90,$A90)),_xll.BDH(config!$G$4,I$1,$A90,$A90),_xll.BDH(config!$G$5,I$1,$A90,$A90))))</f>
        <v>#N/A Requesting Data...</v>
      </c>
      <c r="J90" s="8" t="str">
        <f>IF($A90="","",IF(ISNUMBER(FIND("IMPVOL",J$1)),_xll.BDH(config!$G$4,J$1,WORKDAY($A90,-1,config_Holiday_Calendar_US),WORKDAY($A90,-1,config_Holiday_Calendar_US)),IF(ISNUMBER(_xll.BDH(config!$G$4,J$1,$A90,$A90)),_xll.BDH(config!$G$4,J$1,$A90,$A90),_xll.BDH(config!$G$5,J$1,$A90,$A90))))</f>
        <v>#N/A Requesting Data...</v>
      </c>
      <c r="K90" s="8" t="str">
        <f>IF($A90="","",IF(ISNUMBER(FIND("IMPVOL",K$1)),_xll.BDH(config!$G$4,K$1,WORKDAY($A90,-1,config_Holiday_Calendar_US),WORKDAY($A90,-1,config_Holiday_Calendar_US)),IF(ISNUMBER(_xll.BDH(config!$G$4,K$1,$A90,$A90)),_xll.BDH(config!$G$4,K$1,$A90,$A90),_xll.BDH(config!$G$5,K$1,$A90,$A90))))</f>
        <v>#N/A Requesting Data...</v>
      </c>
      <c r="L90" s="8" t="str">
        <f>IF($A90="","",IF(ISNUMBER(FIND("IMPVOL",L$1)),_xll.BDH(config!$G$4,L$1,WORKDAY($A90,-1,config_Holiday_Calendar_US),WORKDAY($A90,-1,config_Holiday_Calendar_US)),IF(ISNUMBER(_xll.BDH(config!$G$4,L$1,$A90,$A90)),_xll.BDH(config!$G$4,L$1,$A90,$A90),_xll.BDH(config!$G$5,L$1,$A90,$A90))))</f>
        <v>#N/A Requesting Data...</v>
      </c>
      <c r="M90" s="8" t="str">
        <f>IF($A90="","",IF(ISNUMBER(FIND("IMPVOL",M$1)),_xll.BDH(config!$G$4,M$1,WORKDAY($A90,-1,config_Holiday_Calendar_US),WORKDAY($A90,-1,config_Holiday_Calendar_US)),IF(ISNUMBER(_xll.BDH(config!$G$4,M$1,$A90,$A90)),_xll.BDH(config!$G$4,M$1,$A90,$A90),_xll.BDH(config!$G$5,M$1,$A90,$A90))))</f>
        <v>#N/A Requesting Data...</v>
      </c>
      <c r="N90" s="8" t="str">
        <f>IF($A90="","",IF(ISNUMBER(FIND("IMPVOL",N$1)),_xll.BDH(config!$G$4,N$1,WORKDAY($A90,-1,config_Holiday_Calendar_US),WORKDAY($A90,-1,config_Holiday_Calendar_US)),IF(ISNUMBER(_xll.BDH(config!$G$4,N$1,$A90,$A90)),_xll.BDH(config!$G$4,N$1,$A90,$A90),_xll.BDH(config!$G$5,N$1,$A90,$A90))))</f>
        <v>#N/A Requesting Data...</v>
      </c>
      <c r="O90" s="8" t="str">
        <f>IF($A90="","",IF(ISNUMBER(FIND("IMPVOL",O$1)),_xll.BDH(config!$G$4,O$1,WORKDAY($A90,-1,config_Holiday_Calendar_US),WORKDAY($A90,-1,config_Holiday_Calendar_US)),IF(ISNUMBER(_xll.BDH(config!$G$4,O$1,$A90,$A90)),_xll.BDH(config!$G$4,O$1,$A90,$A90),_xll.BDH(config!$G$5,O$1,$A90,$A90))))</f>
        <v>#N/A Requesting Data...</v>
      </c>
      <c r="P90" s="8" t="str">
        <f>IF($A90="","",IF(ISNUMBER(FIND("IMPVOL",P$1)),_xll.BDH(config!$G$4,P$1,WORKDAY($A90,-1,config_Holiday_Calendar_US),WORKDAY($A90,-1,config_Holiday_Calendar_US)),IF(ISNUMBER(_xll.BDH(config!$G$4,P$1,$A90,$A90)),_xll.BDH(config!$G$4,P$1,$A90,$A90),_xll.BDH(config!$G$5,P$1,$A90,$A90))))</f>
        <v>#N/A Requesting Data...</v>
      </c>
      <c r="Q90" s="8">
        <f>IF($A90="","",IF(ISNUMBER(FIND("IMPVOL",Q$1)),_xll.BDH(config!$G$4,Q$1,WORKDAY($A90,-1,config_Holiday_Calendar_US),WORKDAY($A90,-1,config_Holiday_Calendar_US)),IF(ISNUMBER(_xll.BDH(config!$G$4,Q$1,$A90,$A90)),_xll.BDH(config!$G$4,Q$1,$A90,$A90),_xll.BDH(config!$G$5,Q$1,$A90,$A90))))</f>
        <v>63.29</v>
      </c>
      <c r="R90" s="8">
        <f>IF($A90="","",IF(ISNUMBER(FIND("IMPVOL",R$1)),_xll.BDH(config!$G$4,R$1,WORKDAY($A90,-1,config_Holiday_Calendar_US),WORKDAY($A90,-1,config_Holiday_Calendar_US)),IF(ISNUMBER(_xll.BDH(config!$G$4,R$1,$A90,$A90)),_xll.BDH(config!$G$4,R$1,$A90,$A90),_xll.BDH(config!$G$5,R$1,$A90,$A90))))</f>
        <v>45.31</v>
      </c>
      <c r="S90" s="8" t="str">
        <f>IF($A90="","",IF(ISNUMBER(FIND("IMPVOL",S$1)),_xll.BDH(config!$G$4,S$1,WORKDAY($A90,-1,config_Holiday_Calendar_US),WORKDAY($A90,-1,config_Holiday_Calendar_US)),IF(ISNUMBER(_xll.BDH(config!$G$4,S$1,$A90,$A90)),_xll.BDH(config!$G$4,S$1,$A90,$A90),_xll.BDH(config!$G$5,S$1,$A90,$A90))))</f>
        <v>#N/A Requesting Data...</v>
      </c>
      <c r="T90" s="8" t="str">
        <f>IF($A90="","",IF(ISNUMBER(FIND("IMPVOL",T$1)),_xll.BDH(config!$G$4,T$1,WORKDAY($A90,-1,config_Holiday_Calendar_US),WORKDAY($A90,-1,config_Holiday_Calendar_US)),IF(ISNUMBER(_xll.BDH(config!$G$4,T$1,$A90,$A90)),_xll.BDH(config!$G$4,T$1,$A90,$A90),_xll.BDH(config!$G$5,T$1,$A90,$A90))))</f>
        <v>#N/A Requesting Data...</v>
      </c>
      <c r="U90" s="8" t="str">
        <f>IF($A90="","",IF(ISNUMBER(FIND("IMPVOL",U$1)),_xll.BDH(config!$G$4,U$1,WORKDAY($A90,-1,config_Holiday_Calendar_US),WORKDAY($A90,-1,config_Holiday_Calendar_US)),IF(ISNUMBER(_xll.BDH(config!$G$4,U$1,$A90,$A90)),_xll.BDH(config!$G$4,U$1,$A90,$A90),_xll.BDH(config!$G$5,U$1,$A90,$A90))))</f>
        <v>#N/A Requesting Data...</v>
      </c>
      <c r="V90" s="8" t="str">
        <f>IF($A90="","",IF(ISNUMBER(FIND("IMPVOL",V$1)),_xll.BDH(config!$G$4,V$1,WORKDAY($A90,-1,config_Holiday_Calendar_US),WORKDAY($A90,-1,config_Holiday_Calendar_US)),IF(ISNUMBER(_xll.BDH(config!$G$4,V$1,$A90,$A90)),_xll.BDH(config!$G$4,V$1,$A90,$A90),_xll.BDH(config!$G$5,V$1,$A90,$A90))))</f>
        <v>#N/A Requesting Data...</v>
      </c>
      <c r="W90" s="8" t="str">
        <f>IF($A90="","",IF(ISNUMBER(FIND("IMPVOL",W$1)),_xll.BDH(config!$G$4,W$1,WORKDAY($A90,-1,config_Holiday_Calendar_US),WORKDAY($A90,-1,config_Holiday_Calendar_US)),IF(ISNUMBER(_xll.BDH(config!$G$4,W$1,$A90,$A90)),_xll.BDH(config!$G$4,W$1,$A90,$A90),_xll.BDH(config!$G$5,W$1,$A90,$A90))))</f>
        <v>#N/A Requesting Data...</v>
      </c>
    </row>
    <row r="91" spans="1:23" x14ac:dyDescent="0.2">
      <c r="A91" s="9">
        <f>IF(A90="","",IF(WORKDAY(A90,-1,config_Holiday_Calendar_US)&lt;config!$I$10,"",WORKDAY(A90,-1,config_Holiday_Calendar_US)))</f>
        <v>42704</v>
      </c>
      <c r="B91" s="8" t="e">
        <f t="shared" si="1"/>
        <v>#VALUE!</v>
      </c>
      <c r="C91" s="8" t="str">
        <f>IF(A91="","",_xll.BDH(config!$H$4,C$1,$A91,$A91))</f>
        <v>#N/A Requesting Data...</v>
      </c>
      <c r="D91" s="8" t="str">
        <f>IF($A91="","",_xll.BDH(config!$H$4,D$1,$A91,$A91))</f>
        <v>#N/A Requesting Data...</v>
      </c>
      <c r="E91" s="8">
        <f>IF($A91="","",IF(ISNUMBER(FIND("IMPVOL",E$1)),_xll.BDH(config!$G$4,E$1,WORKDAY($A91,-1,config_Holiday_Calendar_US),WORKDAY($A91,-1,config_Holiday_Calendar_US)),IF(ISNUMBER(_xll.BDH(config!$G$4,E$1,$A91,$A91)),_xll.BDH(config!$G$4,E$1,$A91,$A91),_xll.BDH(config!$G$5,E$1,$A91,$A91))))</f>
        <v>46.22</v>
      </c>
      <c r="F91" s="8">
        <f>IF($A91="","",IF(ISNUMBER(FIND("IMPVOL",F$1)),_xll.BDH(config!$G$4,F$1,WORKDAY($A91,-1,config_Holiday_Calendar_US),WORKDAY($A91,-1,config_Holiday_Calendar_US)),IF(ISNUMBER(_xll.BDH(config!$G$4,F$1,$A91,$A91)),_xll.BDH(config!$G$4,F$1,$A91,$A91),_xll.BDH(config!$G$5,F$1,$A91,$A91))))</f>
        <v>50.8</v>
      </c>
      <c r="G91" s="8">
        <f>IF($A91="","",IF(ISNUMBER(FIND("IMPVOL",G$1)),_xll.BDH(config!$G$4,G$1,WORKDAY($A91,-1,config_Holiday_Calendar_US),WORKDAY($A91,-1,config_Holiday_Calendar_US)),IF(ISNUMBER(_xll.BDH(config!$G$4,G$1,$A91,$A91)),_xll.BDH(config!$G$4,G$1,$A91,$A91),_xll.BDH(config!$G$5,G$1,$A91,$A91))))</f>
        <v>46.13</v>
      </c>
      <c r="H91" s="8">
        <f>IF($A91="","",IF(ISNUMBER(FIND("IMPVOL",H$1)),_xll.BDH(config!$G$4,H$1,WORKDAY($A91,-1,config_Holiday_Calendar_US),WORKDAY($A91,-1,config_Holiday_Calendar_US)),IF(ISNUMBER(_xll.BDH(config!$G$4,H$1,$A91,$A91)),_xll.BDH(config!$G$4,H$1,$A91,$A91),_xll.BDH(config!$G$5,H$1,$A91,$A91))))</f>
        <v>381490</v>
      </c>
      <c r="I91" s="8" t="str">
        <f>IF($A91="","",IF(ISNUMBER(FIND("IMPVOL",I$1)),_xll.BDH(config!$G$4,I$1,WORKDAY($A91,-1,config_Holiday_Calendar_US),WORKDAY($A91,-1,config_Holiday_Calendar_US)),IF(ISNUMBER(_xll.BDH(config!$G$4,I$1,$A91,$A91)),_xll.BDH(config!$G$4,I$1,$A91,$A91),_xll.BDH(config!$G$5,I$1,$A91,$A91))))</f>
        <v>#N/A Requesting Data...</v>
      </c>
      <c r="J91" s="8" t="str">
        <f>IF($A91="","",IF(ISNUMBER(FIND("IMPVOL",J$1)),_xll.BDH(config!$G$4,J$1,WORKDAY($A91,-1,config_Holiday_Calendar_US),WORKDAY($A91,-1,config_Holiday_Calendar_US)),IF(ISNUMBER(_xll.BDH(config!$G$4,J$1,$A91,$A91)),_xll.BDH(config!$G$4,J$1,$A91,$A91),_xll.BDH(config!$G$5,J$1,$A91,$A91))))</f>
        <v>#N/A Requesting Data...</v>
      </c>
      <c r="K91" s="8" t="str">
        <f>IF($A91="","",IF(ISNUMBER(FIND("IMPVOL",K$1)),_xll.BDH(config!$G$4,K$1,WORKDAY($A91,-1,config_Holiday_Calendar_US),WORKDAY($A91,-1,config_Holiday_Calendar_US)),IF(ISNUMBER(_xll.BDH(config!$G$4,K$1,$A91,$A91)),_xll.BDH(config!$G$4,K$1,$A91,$A91),_xll.BDH(config!$G$5,K$1,$A91,$A91))))</f>
        <v>#N/A Requesting Data...</v>
      </c>
      <c r="L91" s="8" t="str">
        <f>IF($A91="","",IF(ISNUMBER(FIND("IMPVOL",L$1)),_xll.BDH(config!$G$4,L$1,WORKDAY($A91,-1,config_Holiday_Calendar_US),WORKDAY($A91,-1,config_Holiday_Calendar_US)),IF(ISNUMBER(_xll.BDH(config!$G$4,L$1,$A91,$A91)),_xll.BDH(config!$G$4,L$1,$A91,$A91),_xll.BDH(config!$G$5,L$1,$A91,$A91))))</f>
        <v>#N/A Requesting Data...</v>
      </c>
      <c r="M91" s="8" t="str">
        <f>IF($A91="","",IF(ISNUMBER(FIND("IMPVOL",M$1)),_xll.BDH(config!$G$4,M$1,WORKDAY($A91,-1,config_Holiday_Calendar_US),WORKDAY($A91,-1,config_Holiday_Calendar_US)),IF(ISNUMBER(_xll.BDH(config!$G$4,M$1,$A91,$A91)),_xll.BDH(config!$G$4,M$1,$A91,$A91),_xll.BDH(config!$G$5,M$1,$A91,$A91))))</f>
        <v>#N/A Requesting Data...</v>
      </c>
      <c r="N91" s="8" t="str">
        <f>IF($A91="","",IF(ISNUMBER(FIND("IMPVOL",N$1)),_xll.BDH(config!$G$4,N$1,WORKDAY($A91,-1,config_Holiday_Calendar_US),WORKDAY($A91,-1,config_Holiday_Calendar_US)),IF(ISNUMBER(_xll.BDH(config!$G$4,N$1,$A91,$A91)),_xll.BDH(config!$G$4,N$1,$A91,$A91),_xll.BDH(config!$G$5,N$1,$A91,$A91))))</f>
        <v>#N/A Requesting Data...</v>
      </c>
      <c r="O91" s="8" t="str">
        <f>IF($A91="","",IF(ISNUMBER(FIND("IMPVOL",O$1)),_xll.BDH(config!$G$4,O$1,WORKDAY($A91,-1,config_Holiday_Calendar_US),WORKDAY($A91,-1,config_Holiday_Calendar_US)),IF(ISNUMBER(_xll.BDH(config!$G$4,O$1,$A91,$A91)),_xll.BDH(config!$G$4,O$1,$A91,$A91),_xll.BDH(config!$G$5,O$1,$A91,$A91))))</f>
        <v>#N/A Requesting Data...</v>
      </c>
      <c r="P91" s="8" t="str">
        <f>IF($A91="","",IF(ISNUMBER(FIND("IMPVOL",P$1)),_xll.BDH(config!$G$4,P$1,WORKDAY($A91,-1,config_Holiday_Calendar_US),WORKDAY($A91,-1,config_Holiday_Calendar_US)),IF(ISNUMBER(_xll.BDH(config!$G$4,P$1,$A91,$A91)),_xll.BDH(config!$G$4,P$1,$A91,$A91),_xll.BDH(config!$G$5,P$1,$A91,$A91))))</f>
        <v>#N/A Requesting Data...</v>
      </c>
      <c r="Q91" s="8">
        <f>IF($A91="","",IF(ISNUMBER(FIND("IMPVOL",Q$1)),_xll.BDH(config!$G$4,Q$1,WORKDAY($A91,-1,config_Holiday_Calendar_US),WORKDAY($A91,-1,config_Holiday_Calendar_US)),IF(ISNUMBER(_xll.BDH(config!$G$4,Q$1,$A91,$A91)),_xll.BDH(config!$G$4,Q$1,$A91,$A91),_xll.BDH(config!$G$5,Q$1,$A91,$A91))))</f>
        <v>62.79</v>
      </c>
      <c r="R91" s="8">
        <f>IF($A91="","",IF(ISNUMBER(FIND("IMPVOL",R$1)),_xll.BDH(config!$G$4,R$1,WORKDAY($A91,-1,config_Holiday_Calendar_US),WORKDAY($A91,-1,config_Holiday_Calendar_US)),IF(ISNUMBER(_xll.BDH(config!$G$4,R$1,$A91,$A91)),_xll.BDH(config!$G$4,R$1,$A91,$A91),_xll.BDH(config!$G$5,R$1,$A91,$A91))))</f>
        <v>44.83</v>
      </c>
      <c r="S91" s="8" t="str">
        <f>IF($A91="","",IF(ISNUMBER(FIND("IMPVOL",S$1)),_xll.BDH(config!$G$4,S$1,WORKDAY($A91,-1,config_Holiday_Calendar_US),WORKDAY($A91,-1,config_Holiday_Calendar_US)),IF(ISNUMBER(_xll.BDH(config!$G$4,S$1,$A91,$A91)),_xll.BDH(config!$G$4,S$1,$A91,$A91),_xll.BDH(config!$G$5,S$1,$A91,$A91))))</f>
        <v>#N/A Requesting Data...</v>
      </c>
      <c r="T91" s="8" t="str">
        <f>IF($A91="","",IF(ISNUMBER(FIND("IMPVOL",T$1)),_xll.BDH(config!$G$4,T$1,WORKDAY($A91,-1,config_Holiday_Calendar_US),WORKDAY($A91,-1,config_Holiday_Calendar_US)),IF(ISNUMBER(_xll.BDH(config!$G$4,T$1,$A91,$A91)),_xll.BDH(config!$G$4,T$1,$A91,$A91),_xll.BDH(config!$G$5,T$1,$A91,$A91))))</f>
        <v>#N/A Requesting Data...</v>
      </c>
      <c r="U91" s="8" t="str">
        <f>IF($A91="","",IF(ISNUMBER(FIND("IMPVOL",U$1)),_xll.BDH(config!$G$4,U$1,WORKDAY($A91,-1,config_Holiday_Calendar_US),WORKDAY($A91,-1,config_Holiday_Calendar_US)),IF(ISNUMBER(_xll.BDH(config!$G$4,U$1,$A91,$A91)),_xll.BDH(config!$G$4,U$1,$A91,$A91),_xll.BDH(config!$G$5,U$1,$A91,$A91))))</f>
        <v>#N/A Requesting Data...</v>
      </c>
      <c r="V91" s="8" t="str">
        <f>IF($A91="","",IF(ISNUMBER(FIND("IMPVOL",V$1)),_xll.BDH(config!$G$4,V$1,WORKDAY($A91,-1,config_Holiday_Calendar_US),WORKDAY($A91,-1,config_Holiday_Calendar_US)),IF(ISNUMBER(_xll.BDH(config!$G$4,V$1,$A91,$A91)),_xll.BDH(config!$G$4,V$1,$A91,$A91),_xll.BDH(config!$G$5,V$1,$A91,$A91))))</f>
        <v>#N/A Requesting Data...</v>
      </c>
      <c r="W91" s="8" t="str">
        <f>IF($A91="","",IF(ISNUMBER(FIND("IMPVOL",W$1)),_xll.BDH(config!$G$4,W$1,WORKDAY($A91,-1,config_Holiday_Calendar_US),WORKDAY($A91,-1,config_Holiday_Calendar_US)),IF(ISNUMBER(_xll.BDH(config!$G$4,W$1,$A91,$A91)),_xll.BDH(config!$G$4,W$1,$A91,$A91),_xll.BDH(config!$G$5,W$1,$A91,$A91))))</f>
        <v>#N/A Requesting Data...</v>
      </c>
    </row>
    <row r="92" spans="1:23" x14ac:dyDescent="0.2">
      <c r="A92" s="9">
        <f>IF(A91="","",IF(WORKDAY(A91,-1,config_Holiday_Calendar_US)&lt;config!$I$10,"",WORKDAY(A91,-1,config_Holiday_Calendar_US)))</f>
        <v>42703</v>
      </c>
      <c r="B92" s="8" t="e">
        <f t="shared" si="1"/>
        <v>#VALUE!</v>
      </c>
      <c r="C92" s="8" t="str">
        <f>IF(A92="","",_xll.BDH(config!$H$4,C$1,$A92,$A92))</f>
        <v>#N/A Requesting Data...</v>
      </c>
      <c r="D92" s="8" t="str">
        <f>IF($A92="","",_xll.BDH(config!$H$4,D$1,$A92,$A92))</f>
        <v>#N/A Requesting Data...</v>
      </c>
      <c r="E92" s="8">
        <f>IF($A92="","",IF(ISNUMBER(FIND("IMPVOL",E$1)),_xll.BDH(config!$G$4,E$1,WORKDAY($A92,-1,config_Holiday_Calendar_US),WORKDAY($A92,-1,config_Holiday_Calendar_US)),IF(ISNUMBER(_xll.BDH(config!$G$4,E$1,$A92,$A92)),_xll.BDH(config!$G$4,E$1,$A92,$A92),_xll.BDH(config!$G$5,E$1,$A92,$A92))))</f>
        <v>47.85</v>
      </c>
      <c r="F92" s="8">
        <f>IF($A92="","",IF(ISNUMBER(FIND("IMPVOL",F$1)),_xll.BDH(config!$G$4,F$1,WORKDAY($A92,-1,config_Holiday_Calendar_US),WORKDAY($A92,-1,config_Holiday_Calendar_US)),IF(ISNUMBER(_xll.BDH(config!$G$4,F$1,$A92,$A92)),_xll.BDH(config!$G$4,F$1,$A92,$A92),_xll.BDH(config!$G$5,F$1,$A92,$A92))))</f>
        <v>47.86</v>
      </c>
      <c r="G92" s="8">
        <f>IF($A92="","",IF(ISNUMBER(FIND("IMPVOL",G$1)),_xll.BDH(config!$G$4,G$1,WORKDAY($A92,-1,config_Holiday_Calendar_US),WORKDAY($A92,-1,config_Holiday_Calendar_US)),IF(ISNUMBER(_xll.BDH(config!$G$4,G$1,$A92,$A92)),_xll.BDH(config!$G$4,G$1,$A92,$A92),_xll.BDH(config!$G$5,G$1,$A92,$A92))))</f>
        <v>45.74</v>
      </c>
      <c r="H92" s="8">
        <f>IF($A92="","",IF(ISNUMBER(FIND("IMPVOL",H$1)),_xll.BDH(config!$G$4,H$1,WORKDAY($A92,-1,config_Holiday_Calendar_US),WORKDAY($A92,-1,config_Holiday_Calendar_US)),IF(ISNUMBER(_xll.BDH(config!$G$4,H$1,$A92,$A92)),_xll.BDH(config!$G$4,H$1,$A92,$A92),_xll.BDH(config!$G$5,H$1,$A92,$A92))))</f>
        <v>198019</v>
      </c>
      <c r="I92" s="8" t="str">
        <f>IF($A92="","",IF(ISNUMBER(FIND("IMPVOL",I$1)),_xll.BDH(config!$G$4,I$1,WORKDAY($A92,-1,config_Holiday_Calendar_US),WORKDAY($A92,-1,config_Holiday_Calendar_US)),IF(ISNUMBER(_xll.BDH(config!$G$4,I$1,$A92,$A92)),_xll.BDH(config!$G$4,I$1,$A92,$A92),_xll.BDH(config!$G$5,I$1,$A92,$A92))))</f>
        <v>#N/A Requesting Data...</v>
      </c>
      <c r="J92" s="8" t="str">
        <f>IF($A92="","",IF(ISNUMBER(FIND("IMPVOL",J$1)),_xll.BDH(config!$G$4,J$1,WORKDAY($A92,-1,config_Holiday_Calendar_US),WORKDAY($A92,-1,config_Holiday_Calendar_US)),IF(ISNUMBER(_xll.BDH(config!$G$4,J$1,$A92,$A92)),_xll.BDH(config!$G$4,J$1,$A92,$A92),_xll.BDH(config!$G$5,J$1,$A92,$A92))))</f>
        <v>#N/A Requesting Data...</v>
      </c>
      <c r="K92" s="8" t="str">
        <f>IF($A92="","",IF(ISNUMBER(FIND("IMPVOL",K$1)),_xll.BDH(config!$G$4,K$1,WORKDAY($A92,-1,config_Holiday_Calendar_US),WORKDAY($A92,-1,config_Holiday_Calendar_US)),IF(ISNUMBER(_xll.BDH(config!$G$4,K$1,$A92,$A92)),_xll.BDH(config!$G$4,K$1,$A92,$A92),_xll.BDH(config!$G$5,K$1,$A92,$A92))))</f>
        <v>#N/A Requesting Data...</v>
      </c>
      <c r="L92" s="8" t="str">
        <f>IF($A92="","",IF(ISNUMBER(FIND("IMPVOL",L$1)),_xll.BDH(config!$G$4,L$1,WORKDAY($A92,-1,config_Holiday_Calendar_US),WORKDAY($A92,-1,config_Holiday_Calendar_US)),IF(ISNUMBER(_xll.BDH(config!$G$4,L$1,$A92,$A92)),_xll.BDH(config!$G$4,L$1,$A92,$A92),_xll.BDH(config!$G$5,L$1,$A92,$A92))))</f>
        <v>#N/A Requesting Data...</v>
      </c>
      <c r="M92" s="8" t="str">
        <f>IF($A92="","",IF(ISNUMBER(FIND("IMPVOL",M$1)),_xll.BDH(config!$G$4,M$1,WORKDAY($A92,-1,config_Holiday_Calendar_US),WORKDAY($A92,-1,config_Holiday_Calendar_US)),IF(ISNUMBER(_xll.BDH(config!$G$4,M$1,$A92,$A92)),_xll.BDH(config!$G$4,M$1,$A92,$A92),_xll.BDH(config!$G$5,M$1,$A92,$A92))))</f>
        <v>#N/A Requesting Data...</v>
      </c>
      <c r="N92" s="8" t="str">
        <f>IF($A92="","",IF(ISNUMBER(FIND("IMPVOL",N$1)),_xll.BDH(config!$G$4,N$1,WORKDAY($A92,-1,config_Holiday_Calendar_US),WORKDAY($A92,-1,config_Holiday_Calendar_US)),IF(ISNUMBER(_xll.BDH(config!$G$4,N$1,$A92,$A92)),_xll.BDH(config!$G$4,N$1,$A92,$A92),_xll.BDH(config!$G$5,N$1,$A92,$A92))))</f>
        <v>#N/A Requesting Data...</v>
      </c>
      <c r="O92" s="8" t="str">
        <f>IF($A92="","",IF(ISNUMBER(FIND("IMPVOL",O$1)),_xll.BDH(config!$G$4,O$1,WORKDAY($A92,-1,config_Holiday_Calendar_US),WORKDAY($A92,-1,config_Holiday_Calendar_US)),IF(ISNUMBER(_xll.BDH(config!$G$4,O$1,$A92,$A92)),_xll.BDH(config!$G$4,O$1,$A92,$A92),_xll.BDH(config!$G$5,O$1,$A92,$A92))))</f>
        <v>#N/A Requesting Data...</v>
      </c>
      <c r="P92" s="8" t="str">
        <f>IF($A92="","",IF(ISNUMBER(FIND("IMPVOL",P$1)),_xll.BDH(config!$G$4,P$1,WORKDAY($A92,-1,config_Holiday_Calendar_US),WORKDAY($A92,-1,config_Holiday_Calendar_US)),IF(ISNUMBER(_xll.BDH(config!$G$4,P$1,$A92,$A92)),_xll.BDH(config!$G$4,P$1,$A92,$A92),_xll.BDH(config!$G$5,P$1,$A92,$A92))))</f>
        <v>#N/A Requesting Data...</v>
      </c>
      <c r="Q92" s="8">
        <f>IF($A92="","",IF(ISNUMBER(FIND("IMPVOL",Q$1)),_xll.BDH(config!$G$4,Q$1,WORKDAY($A92,-1,config_Holiday_Calendar_US),WORKDAY($A92,-1,config_Holiday_Calendar_US)),IF(ISNUMBER(_xll.BDH(config!$G$4,Q$1,$A92,$A92)),_xll.BDH(config!$G$4,Q$1,$A92,$A92),_xll.BDH(config!$G$5,Q$1,$A92,$A92))))</f>
        <v>41.88</v>
      </c>
      <c r="R92" s="8">
        <f>IF($A92="","",IF(ISNUMBER(FIND("IMPVOL",R$1)),_xll.BDH(config!$G$4,R$1,WORKDAY($A92,-1,config_Holiday_Calendar_US),WORKDAY($A92,-1,config_Holiday_Calendar_US)),IF(ISNUMBER(_xll.BDH(config!$G$4,R$1,$A92,$A92)),_xll.BDH(config!$G$4,R$1,$A92,$A92),_xll.BDH(config!$G$5,R$1,$A92,$A92))))</f>
        <v>36.43</v>
      </c>
      <c r="S92" s="8" t="str">
        <f>IF($A92="","",IF(ISNUMBER(FIND("IMPVOL",S$1)),_xll.BDH(config!$G$4,S$1,WORKDAY($A92,-1,config_Holiday_Calendar_US),WORKDAY($A92,-1,config_Holiday_Calendar_US)),IF(ISNUMBER(_xll.BDH(config!$G$4,S$1,$A92,$A92)),_xll.BDH(config!$G$4,S$1,$A92,$A92),_xll.BDH(config!$G$5,S$1,$A92,$A92))))</f>
        <v>#N/A Requesting Data...</v>
      </c>
      <c r="T92" s="8" t="str">
        <f>IF($A92="","",IF(ISNUMBER(FIND("IMPVOL",T$1)),_xll.BDH(config!$G$4,T$1,WORKDAY($A92,-1,config_Holiday_Calendar_US),WORKDAY($A92,-1,config_Holiday_Calendar_US)),IF(ISNUMBER(_xll.BDH(config!$G$4,T$1,$A92,$A92)),_xll.BDH(config!$G$4,T$1,$A92,$A92),_xll.BDH(config!$G$5,T$1,$A92,$A92))))</f>
        <v>#N/A Requesting Data...</v>
      </c>
      <c r="U92" s="8" t="str">
        <f>IF($A92="","",IF(ISNUMBER(FIND("IMPVOL",U$1)),_xll.BDH(config!$G$4,U$1,WORKDAY($A92,-1,config_Holiday_Calendar_US),WORKDAY($A92,-1,config_Holiday_Calendar_US)),IF(ISNUMBER(_xll.BDH(config!$G$4,U$1,$A92,$A92)),_xll.BDH(config!$G$4,U$1,$A92,$A92),_xll.BDH(config!$G$5,U$1,$A92,$A92))))</f>
        <v>#N/A Requesting Data...</v>
      </c>
      <c r="V92" s="8" t="str">
        <f>IF($A92="","",IF(ISNUMBER(FIND("IMPVOL",V$1)),_xll.BDH(config!$G$4,V$1,WORKDAY($A92,-1,config_Holiday_Calendar_US),WORKDAY($A92,-1,config_Holiday_Calendar_US)),IF(ISNUMBER(_xll.BDH(config!$G$4,V$1,$A92,$A92)),_xll.BDH(config!$G$4,V$1,$A92,$A92),_xll.BDH(config!$G$5,V$1,$A92,$A92))))</f>
        <v>#N/A Requesting Data...</v>
      </c>
      <c r="W92" s="8" t="str">
        <f>IF($A92="","",IF(ISNUMBER(FIND("IMPVOL",W$1)),_xll.BDH(config!$G$4,W$1,WORKDAY($A92,-1,config_Holiday_Calendar_US),WORKDAY($A92,-1,config_Holiday_Calendar_US)),IF(ISNUMBER(_xll.BDH(config!$G$4,W$1,$A92,$A92)),_xll.BDH(config!$G$4,W$1,$A92,$A92),_xll.BDH(config!$G$5,W$1,$A92,$A92))))</f>
        <v>#N/A Requesting Data...</v>
      </c>
    </row>
    <row r="93" spans="1:23" x14ac:dyDescent="0.2">
      <c r="A93" s="9">
        <f>IF(A92="","",IF(WORKDAY(A92,-1,config_Holiday_Calendar_US)&lt;config!$I$10,"",WORKDAY(A92,-1,config_Holiday_Calendar_US)))</f>
        <v>42702</v>
      </c>
      <c r="B93" s="8" t="e">
        <f t="shared" si="1"/>
        <v>#VALUE!</v>
      </c>
      <c r="C93" s="8" t="str">
        <f>IF(A93="","",_xll.BDH(config!$H$4,C$1,$A93,$A93))</f>
        <v>#N/A Requesting Data...</v>
      </c>
      <c r="D93" s="8" t="str">
        <f>IF($A93="","",_xll.BDH(config!$H$4,D$1,$A93,$A93))</f>
        <v>#N/A Requesting Data...</v>
      </c>
      <c r="E93" s="8">
        <f>IF($A93="","",IF(ISNUMBER(FIND("IMPVOL",E$1)),_xll.BDH(config!$G$4,E$1,WORKDAY($A93,-1,config_Holiday_Calendar_US),WORKDAY($A93,-1,config_Holiday_Calendar_US)),IF(ISNUMBER(_xll.BDH(config!$G$4,E$1,$A93,$A93)),_xll.BDH(config!$G$4,E$1,$A93,$A93),_xll.BDH(config!$G$5,E$1,$A93,$A93))))</f>
        <v>46.66</v>
      </c>
      <c r="F93" s="8">
        <f>IF($A93="","",IF(ISNUMBER(FIND("IMPVOL",F$1)),_xll.BDH(config!$G$4,F$1,WORKDAY($A93,-1,config_Holiday_Calendar_US),WORKDAY($A93,-1,config_Holiday_Calendar_US)),IF(ISNUMBER(_xll.BDH(config!$G$4,F$1,$A93,$A93)),_xll.BDH(config!$G$4,F$1,$A93,$A93),_xll.BDH(config!$G$5,F$1,$A93,$A93))))</f>
        <v>48.55</v>
      </c>
      <c r="G93" s="8">
        <f>IF($A93="","",IF(ISNUMBER(FIND("IMPVOL",G$1)),_xll.BDH(config!$G$4,G$1,WORKDAY($A93,-1,config_Holiday_Calendar_US),WORKDAY($A93,-1,config_Holiday_Calendar_US)),IF(ISNUMBER(_xll.BDH(config!$G$4,G$1,$A93,$A93)),_xll.BDH(config!$G$4,G$1,$A93,$A93),_xll.BDH(config!$G$5,G$1,$A93,$A93))))</f>
        <v>46.08</v>
      </c>
      <c r="H93" s="8">
        <f>IF($A93="","",IF(ISNUMBER(FIND("IMPVOL",H$1)),_xll.BDH(config!$G$4,H$1,WORKDAY($A93,-1,config_Holiday_Calendar_US),WORKDAY($A93,-1,config_Holiday_Calendar_US)),IF(ISNUMBER(_xll.BDH(config!$G$4,H$1,$A93,$A93)),_xll.BDH(config!$G$4,H$1,$A93,$A93),_xll.BDH(config!$G$5,H$1,$A93,$A93))))</f>
        <v>152438</v>
      </c>
      <c r="I93" s="8" t="str">
        <f>IF($A93="","",IF(ISNUMBER(FIND("IMPVOL",I$1)),_xll.BDH(config!$G$4,I$1,WORKDAY($A93,-1,config_Holiday_Calendar_US),WORKDAY($A93,-1,config_Holiday_Calendar_US)),IF(ISNUMBER(_xll.BDH(config!$G$4,I$1,$A93,$A93)),_xll.BDH(config!$G$4,I$1,$A93,$A93),_xll.BDH(config!$G$5,I$1,$A93,$A93))))</f>
        <v>#N/A Requesting Data...</v>
      </c>
      <c r="J93" s="8" t="str">
        <f>IF($A93="","",IF(ISNUMBER(FIND("IMPVOL",J$1)),_xll.BDH(config!$G$4,J$1,WORKDAY($A93,-1,config_Holiday_Calendar_US),WORKDAY($A93,-1,config_Holiday_Calendar_US)),IF(ISNUMBER(_xll.BDH(config!$G$4,J$1,$A93,$A93)),_xll.BDH(config!$G$4,J$1,$A93,$A93),_xll.BDH(config!$G$5,J$1,$A93,$A93))))</f>
        <v>#N/A Requesting Data...</v>
      </c>
      <c r="K93" s="8" t="str">
        <f>IF($A93="","",IF(ISNUMBER(FIND("IMPVOL",K$1)),_xll.BDH(config!$G$4,K$1,WORKDAY($A93,-1,config_Holiday_Calendar_US),WORKDAY($A93,-1,config_Holiday_Calendar_US)),IF(ISNUMBER(_xll.BDH(config!$G$4,K$1,$A93,$A93)),_xll.BDH(config!$G$4,K$1,$A93,$A93),_xll.BDH(config!$G$5,K$1,$A93,$A93))))</f>
        <v>#N/A Requesting Data...</v>
      </c>
      <c r="L93" s="8" t="str">
        <f>IF($A93="","",IF(ISNUMBER(FIND("IMPVOL",L$1)),_xll.BDH(config!$G$4,L$1,WORKDAY($A93,-1,config_Holiday_Calendar_US),WORKDAY($A93,-1,config_Holiday_Calendar_US)),IF(ISNUMBER(_xll.BDH(config!$G$4,L$1,$A93,$A93)),_xll.BDH(config!$G$4,L$1,$A93,$A93),_xll.BDH(config!$G$5,L$1,$A93,$A93))))</f>
        <v>#N/A Requesting Data...</v>
      </c>
      <c r="M93" s="8" t="str">
        <f>IF($A93="","",IF(ISNUMBER(FIND("IMPVOL",M$1)),_xll.BDH(config!$G$4,M$1,WORKDAY($A93,-1,config_Holiday_Calendar_US),WORKDAY($A93,-1,config_Holiday_Calendar_US)),IF(ISNUMBER(_xll.BDH(config!$G$4,M$1,$A93,$A93)),_xll.BDH(config!$G$4,M$1,$A93,$A93),_xll.BDH(config!$G$5,M$1,$A93,$A93))))</f>
        <v>#N/A Requesting Data...</v>
      </c>
      <c r="N93" s="8" t="str">
        <f>IF($A93="","",IF(ISNUMBER(FIND("IMPVOL",N$1)),_xll.BDH(config!$G$4,N$1,WORKDAY($A93,-1,config_Holiday_Calendar_US),WORKDAY($A93,-1,config_Holiday_Calendar_US)),IF(ISNUMBER(_xll.BDH(config!$G$4,N$1,$A93,$A93)),_xll.BDH(config!$G$4,N$1,$A93,$A93),_xll.BDH(config!$G$5,N$1,$A93,$A93))))</f>
        <v>#N/A Requesting Data...</v>
      </c>
      <c r="O93" s="8" t="str">
        <f>IF($A93="","",IF(ISNUMBER(FIND("IMPVOL",O$1)),_xll.BDH(config!$G$4,O$1,WORKDAY($A93,-1,config_Holiday_Calendar_US),WORKDAY($A93,-1,config_Holiday_Calendar_US)),IF(ISNUMBER(_xll.BDH(config!$G$4,O$1,$A93,$A93)),_xll.BDH(config!$G$4,O$1,$A93,$A93),_xll.BDH(config!$G$5,O$1,$A93,$A93))))</f>
        <v>#N/A Requesting Data...</v>
      </c>
      <c r="P93" s="8" t="str">
        <f>IF($A93="","",IF(ISNUMBER(FIND("IMPVOL",P$1)),_xll.BDH(config!$G$4,P$1,WORKDAY($A93,-1,config_Holiday_Calendar_US),WORKDAY($A93,-1,config_Holiday_Calendar_US)),IF(ISNUMBER(_xll.BDH(config!$G$4,P$1,$A93,$A93)),_xll.BDH(config!$G$4,P$1,$A93,$A93),_xll.BDH(config!$G$5,P$1,$A93,$A93))))</f>
        <v>#N/A Requesting Data...</v>
      </c>
      <c r="Q93" s="8">
        <f>IF($A93="","",IF(ISNUMBER(FIND("IMPVOL",Q$1)),_xll.BDH(config!$G$4,Q$1,WORKDAY($A93,-1,config_Holiday_Calendar_US),WORKDAY($A93,-1,config_Holiday_Calendar_US)),IF(ISNUMBER(_xll.BDH(config!$G$4,Q$1,$A93,$A93)),_xll.BDH(config!$G$4,Q$1,$A93,$A93),_xll.BDH(config!$G$5,Q$1,$A93,$A93))))</f>
        <v>43.86</v>
      </c>
      <c r="R93" s="8">
        <f>IF($A93="","",IF(ISNUMBER(FIND("IMPVOL",R$1)),_xll.BDH(config!$G$4,R$1,WORKDAY($A93,-1,config_Holiday_Calendar_US),WORKDAY($A93,-1,config_Holiday_Calendar_US)),IF(ISNUMBER(_xll.BDH(config!$G$4,R$1,$A93,$A93)),_xll.BDH(config!$G$4,R$1,$A93,$A93),_xll.BDH(config!$G$5,R$1,$A93,$A93))))</f>
        <v>34.71</v>
      </c>
      <c r="S93" s="8" t="str">
        <f>IF($A93="","",IF(ISNUMBER(FIND("IMPVOL",S$1)),_xll.BDH(config!$G$4,S$1,WORKDAY($A93,-1,config_Holiday_Calendar_US),WORKDAY($A93,-1,config_Holiday_Calendar_US)),IF(ISNUMBER(_xll.BDH(config!$G$4,S$1,$A93,$A93)),_xll.BDH(config!$G$4,S$1,$A93,$A93),_xll.BDH(config!$G$5,S$1,$A93,$A93))))</f>
        <v>#N/A Requesting Data...</v>
      </c>
      <c r="T93" s="8" t="str">
        <f>IF($A93="","",IF(ISNUMBER(FIND("IMPVOL",T$1)),_xll.BDH(config!$G$4,T$1,WORKDAY($A93,-1,config_Holiday_Calendar_US),WORKDAY($A93,-1,config_Holiday_Calendar_US)),IF(ISNUMBER(_xll.BDH(config!$G$4,T$1,$A93,$A93)),_xll.BDH(config!$G$4,T$1,$A93,$A93),_xll.BDH(config!$G$5,T$1,$A93,$A93))))</f>
        <v>#N/A Requesting Data...</v>
      </c>
      <c r="U93" s="8" t="str">
        <f>IF($A93="","",IF(ISNUMBER(FIND("IMPVOL",U$1)),_xll.BDH(config!$G$4,U$1,WORKDAY($A93,-1,config_Holiday_Calendar_US),WORKDAY($A93,-1,config_Holiday_Calendar_US)),IF(ISNUMBER(_xll.BDH(config!$G$4,U$1,$A93,$A93)),_xll.BDH(config!$G$4,U$1,$A93,$A93),_xll.BDH(config!$G$5,U$1,$A93,$A93))))</f>
        <v>#N/A Requesting Data...</v>
      </c>
      <c r="V93" s="8" t="str">
        <f>IF($A93="","",IF(ISNUMBER(FIND("IMPVOL",V$1)),_xll.BDH(config!$G$4,V$1,WORKDAY($A93,-1,config_Holiday_Calendar_US),WORKDAY($A93,-1,config_Holiday_Calendar_US)),IF(ISNUMBER(_xll.BDH(config!$G$4,V$1,$A93,$A93)),_xll.BDH(config!$G$4,V$1,$A93,$A93),_xll.BDH(config!$G$5,V$1,$A93,$A93))))</f>
        <v>#N/A Requesting Data...</v>
      </c>
      <c r="W93" s="8" t="str">
        <f>IF($A93="","",IF(ISNUMBER(FIND("IMPVOL",W$1)),_xll.BDH(config!$G$4,W$1,WORKDAY($A93,-1,config_Holiday_Calendar_US),WORKDAY($A93,-1,config_Holiday_Calendar_US)),IF(ISNUMBER(_xll.BDH(config!$G$4,W$1,$A93,$A93)),_xll.BDH(config!$G$4,W$1,$A93,$A93),_xll.BDH(config!$G$5,W$1,$A93,$A93))))</f>
        <v>#N/A Requesting Data...</v>
      </c>
    </row>
    <row r="94" spans="1:23" x14ac:dyDescent="0.2">
      <c r="A94" s="9">
        <f>IF(A93="","",IF(WORKDAY(A93,-1,config_Holiday_Calendar_US)&lt;config!$I$10,"",WORKDAY(A93,-1,config_Holiday_Calendar_US)))</f>
        <v>42699</v>
      </c>
      <c r="B94" s="8" t="e">
        <f t="shared" si="1"/>
        <v>#VALUE!</v>
      </c>
      <c r="C94" s="8" t="str">
        <f>IF(A94="","",_xll.BDH(config!$H$4,C$1,$A94,$A94))</f>
        <v>#N/A Requesting Data...</v>
      </c>
      <c r="D94" s="8" t="str">
        <f>IF($A94="","",_xll.BDH(config!$H$4,D$1,$A94,$A94))</f>
        <v>#N/A Requesting Data...</v>
      </c>
      <c r="E94" s="8">
        <f>IF($A94="","",IF(ISNUMBER(FIND("IMPVOL",E$1)),_xll.BDH(config!$G$4,E$1,WORKDAY($A94,-1,config_Holiday_Calendar_US),WORKDAY($A94,-1,config_Holiday_Calendar_US)),IF(ISNUMBER(_xll.BDH(config!$G$4,E$1,$A94,$A94)),_xll.BDH(config!$G$4,E$1,$A94,$A94),_xll.BDH(config!$G$5,E$1,$A94,$A94))))</f>
        <v>48.87</v>
      </c>
      <c r="F94" s="8">
        <f>IF($A94="","",IF(ISNUMBER(FIND("IMPVOL",F$1)),_xll.BDH(config!$G$4,F$1,WORKDAY($A94,-1,config_Holiday_Calendar_US),WORKDAY($A94,-1,config_Holiday_Calendar_US)),IF(ISNUMBER(_xll.BDH(config!$G$4,F$1,$A94,$A94)),_xll.BDH(config!$G$4,F$1,$A94,$A94),_xll.BDH(config!$G$5,F$1,$A94,$A94))))</f>
        <v>49.13</v>
      </c>
      <c r="G94" s="8">
        <f>IF($A94="","",IF(ISNUMBER(FIND("IMPVOL",G$1)),_xll.BDH(config!$G$4,G$1,WORKDAY($A94,-1,config_Holiday_Calendar_US),WORKDAY($A94,-1,config_Holiday_Calendar_US)),IF(ISNUMBER(_xll.BDH(config!$G$4,G$1,$A94,$A94)),_xll.BDH(config!$G$4,G$1,$A94,$A94),_xll.BDH(config!$G$5,G$1,$A94,$A94))))</f>
        <v>46.82</v>
      </c>
      <c r="H94" s="8">
        <f>IF($A94="","",IF(ISNUMBER(FIND("IMPVOL",H$1)),_xll.BDH(config!$G$4,H$1,WORKDAY($A94,-1,config_Holiday_Calendar_US),WORKDAY($A94,-1,config_Holiday_Calendar_US)),IF(ISNUMBER(_xll.BDH(config!$G$4,H$1,$A94,$A94)),_xll.BDH(config!$G$4,H$1,$A94,$A94),_xll.BDH(config!$G$5,H$1,$A94,$A94))))</f>
        <v>72641</v>
      </c>
      <c r="I94" s="8" t="str">
        <f>IF($A94="","",IF(ISNUMBER(FIND("IMPVOL",I$1)),_xll.BDH(config!$G$4,I$1,WORKDAY($A94,-1,config_Holiday_Calendar_US),WORKDAY($A94,-1,config_Holiday_Calendar_US)),IF(ISNUMBER(_xll.BDH(config!$G$4,I$1,$A94,$A94)),_xll.BDH(config!$G$4,I$1,$A94,$A94),_xll.BDH(config!$G$5,I$1,$A94,$A94))))</f>
        <v>#N/A Requesting Data...</v>
      </c>
      <c r="J94" s="8" t="str">
        <f>IF($A94="","",IF(ISNUMBER(FIND("IMPVOL",J$1)),_xll.BDH(config!$G$4,J$1,WORKDAY($A94,-1,config_Holiday_Calendar_US),WORKDAY($A94,-1,config_Holiday_Calendar_US)),IF(ISNUMBER(_xll.BDH(config!$G$4,J$1,$A94,$A94)),_xll.BDH(config!$G$4,J$1,$A94,$A94),_xll.BDH(config!$G$5,J$1,$A94,$A94))))</f>
        <v>#N/A Requesting Data...</v>
      </c>
      <c r="K94" s="8" t="str">
        <f>IF($A94="","",IF(ISNUMBER(FIND("IMPVOL",K$1)),_xll.BDH(config!$G$4,K$1,WORKDAY($A94,-1,config_Holiday_Calendar_US),WORKDAY($A94,-1,config_Holiday_Calendar_US)),IF(ISNUMBER(_xll.BDH(config!$G$4,K$1,$A94,$A94)),_xll.BDH(config!$G$4,K$1,$A94,$A94),_xll.BDH(config!$G$5,K$1,$A94,$A94))))</f>
        <v>#N/A Requesting Data...</v>
      </c>
      <c r="L94" s="8" t="str">
        <f>IF($A94="","",IF(ISNUMBER(FIND("IMPVOL",L$1)),_xll.BDH(config!$G$4,L$1,WORKDAY($A94,-1,config_Holiday_Calendar_US),WORKDAY($A94,-1,config_Holiday_Calendar_US)),IF(ISNUMBER(_xll.BDH(config!$G$4,L$1,$A94,$A94)),_xll.BDH(config!$G$4,L$1,$A94,$A94),_xll.BDH(config!$G$5,L$1,$A94,$A94))))</f>
        <v>#N/A Requesting Data...</v>
      </c>
      <c r="M94" s="8" t="str">
        <f>IF($A94="","",IF(ISNUMBER(FIND("IMPVOL",M$1)),_xll.BDH(config!$G$4,M$1,WORKDAY($A94,-1,config_Holiday_Calendar_US),WORKDAY($A94,-1,config_Holiday_Calendar_US)),IF(ISNUMBER(_xll.BDH(config!$G$4,M$1,$A94,$A94)),_xll.BDH(config!$G$4,M$1,$A94,$A94),_xll.BDH(config!$G$5,M$1,$A94,$A94))))</f>
        <v>#N/A Requesting Data...</v>
      </c>
      <c r="N94" s="8" t="str">
        <f>IF($A94="","",IF(ISNUMBER(FIND("IMPVOL",N$1)),_xll.BDH(config!$G$4,N$1,WORKDAY($A94,-1,config_Holiday_Calendar_US),WORKDAY($A94,-1,config_Holiday_Calendar_US)),IF(ISNUMBER(_xll.BDH(config!$G$4,N$1,$A94,$A94)),_xll.BDH(config!$G$4,N$1,$A94,$A94),_xll.BDH(config!$G$5,N$1,$A94,$A94))))</f>
        <v>#N/A Requesting Data...</v>
      </c>
      <c r="O94" s="8" t="str">
        <f>IF($A94="","",IF(ISNUMBER(FIND("IMPVOL",O$1)),_xll.BDH(config!$G$4,O$1,WORKDAY($A94,-1,config_Holiday_Calendar_US),WORKDAY($A94,-1,config_Holiday_Calendar_US)),IF(ISNUMBER(_xll.BDH(config!$G$4,O$1,$A94,$A94)),_xll.BDH(config!$G$4,O$1,$A94,$A94),_xll.BDH(config!$G$5,O$1,$A94,$A94))))</f>
        <v>#N/A Requesting Data...</v>
      </c>
      <c r="P94" s="8" t="str">
        <f>IF($A94="","",IF(ISNUMBER(FIND("IMPVOL",P$1)),_xll.BDH(config!$G$4,P$1,WORKDAY($A94,-1,config_Holiday_Calendar_US),WORKDAY($A94,-1,config_Holiday_Calendar_US)),IF(ISNUMBER(_xll.BDH(config!$G$4,P$1,$A94,$A94)),_xll.BDH(config!$G$4,P$1,$A94,$A94),_xll.BDH(config!$G$5,P$1,$A94,$A94))))</f>
        <v>#N/A Requesting Data...</v>
      </c>
      <c r="Q94" s="8">
        <f>IF($A94="","",IF(ISNUMBER(FIND("IMPVOL",Q$1)),_xll.BDH(config!$G$4,Q$1,WORKDAY($A94,-1,config_Holiday_Calendar_US),WORKDAY($A94,-1,config_Holiday_Calendar_US)),IF(ISNUMBER(_xll.BDH(config!$G$4,Q$1,$A94,$A94)),_xll.BDH(config!$G$4,Q$1,$A94,$A94),_xll.BDH(config!$G$5,Q$1,$A94,$A94))))</f>
        <v>43.92</v>
      </c>
      <c r="R94" s="8">
        <f>IF($A94="","",IF(ISNUMBER(FIND("IMPVOL",R$1)),_xll.BDH(config!$G$4,R$1,WORKDAY($A94,-1,config_Holiday_Calendar_US),WORKDAY($A94,-1,config_Holiday_Calendar_US)),IF(ISNUMBER(_xll.BDH(config!$G$4,R$1,$A94,$A94)),_xll.BDH(config!$G$4,R$1,$A94,$A94),_xll.BDH(config!$G$5,R$1,$A94,$A94))))</f>
        <v>34.03</v>
      </c>
      <c r="S94" s="8" t="str">
        <f>IF($A94="","",IF(ISNUMBER(FIND("IMPVOL",S$1)),_xll.BDH(config!$G$4,S$1,WORKDAY($A94,-1,config_Holiday_Calendar_US),WORKDAY($A94,-1,config_Holiday_Calendar_US)),IF(ISNUMBER(_xll.BDH(config!$G$4,S$1,$A94,$A94)),_xll.BDH(config!$G$4,S$1,$A94,$A94),_xll.BDH(config!$G$5,S$1,$A94,$A94))))</f>
        <v>#N/A Requesting Data...</v>
      </c>
      <c r="T94" s="8" t="str">
        <f>IF($A94="","",IF(ISNUMBER(FIND("IMPVOL",T$1)),_xll.BDH(config!$G$4,T$1,WORKDAY($A94,-1,config_Holiday_Calendar_US),WORKDAY($A94,-1,config_Holiday_Calendar_US)),IF(ISNUMBER(_xll.BDH(config!$G$4,T$1,$A94,$A94)),_xll.BDH(config!$G$4,T$1,$A94,$A94),_xll.BDH(config!$G$5,T$1,$A94,$A94))))</f>
        <v>#N/A Requesting Data...</v>
      </c>
      <c r="U94" s="8" t="str">
        <f>IF($A94="","",IF(ISNUMBER(FIND("IMPVOL",U$1)),_xll.BDH(config!$G$4,U$1,WORKDAY($A94,-1,config_Holiday_Calendar_US),WORKDAY($A94,-1,config_Holiday_Calendar_US)),IF(ISNUMBER(_xll.BDH(config!$G$4,U$1,$A94,$A94)),_xll.BDH(config!$G$4,U$1,$A94,$A94),_xll.BDH(config!$G$5,U$1,$A94,$A94))))</f>
        <v>#N/A Requesting Data...</v>
      </c>
      <c r="V94" s="8" t="str">
        <f>IF($A94="","",IF(ISNUMBER(FIND("IMPVOL",V$1)),_xll.BDH(config!$G$4,V$1,WORKDAY($A94,-1,config_Holiday_Calendar_US),WORKDAY($A94,-1,config_Holiday_Calendar_US)),IF(ISNUMBER(_xll.BDH(config!$G$4,V$1,$A94,$A94)),_xll.BDH(config!$G$4,V$1,$A94,$A94),_xll.BDH(config!$G$5,V$1,$A94,$A94))))</f>
        <v>#N/A Requesting Data...</v>
      </c>
      <c r="W94" s="8" t="str">
        <f>IF($A94="","",IF(ISNUMBER(FIND("IMPVOL",W$1)),_xll.BDH(config!$G$4,W$1,WORKDAY($A94,-1,config_Holiday_Calendar_US),WORKDAY($A94,-1,config_Holiday_Calendar_US)),IF(ISNUMBER(_xll.BDH(config!$G$4,W$1,$A94,$A94)),_xll.BDH(config!$G$4,W$1,$A94,$A94),_xll.BDH(config!$G$5,W$1,$A94,$A94))))</f>
        <v>#N/A Requesting Data...</v>
      </c>
    </row>
    <row r="95" spans="1:23" x14ac:dyDescent="0.2">
      <c r="A95" s="9">
        <f>IF(A94="","",IF(WORKDAY(A94,-1,config_Holiday_Calendar_US)&lt;config!$I$10,"",WORKDAY(A94,-1,config_Holiday_Calendar_US)))</f>
        <v>42697</v>
      </c>
      <c r="B95" s="8" t="e">
        <f t="shared" si="1"/>
        <v>#VALUE!</v>
      </c>
      <c r="C95" s="8" t="str">
        <f>IF(A95="","",_xll.BDH(config!$H$4,C$1,$A95,$A95))</f>
        <v>#N/A Requesting Data...</v>
      </c>
      <c r="D95" s="8" t="str">
        <f>IF($A95="","",_xll.BDH(config!$H$4,D$1,$A95,$A95))</f>
        <v>#N/A Requesting Data...</v>
      </c>
      <c r="E95" s="8">
        <f>IF($A95="","",IF(ISNUMBER(FIND("IMPVOL",E$1)),_xll.BDH(config!$G$4,E$1,WORKDAY($A95,-1,config_Holiday_Calendar_US),WORKDAY($A95,-1,config_Holiday_Calendar_US)),IF(ISNUMBER(_xll.BDH(config!$G$4,E$1,$A95,$A95)),_xll.BDH(config!$G$4,E$1,$A95,$A95),_xll.BDH(config!$G$5,E$1,$A95,$A95))))</f>
        <v>48.87</v>
      </c>
      <c r="F95" s="8">
        <f>IF($A95="","",IF(ISNUMBER(FIND("IMPVOL",F$1)),_xll.BDH(config!$G$4,F$1,WORKDAY($A95,-1,config_Holiday_Calendar_US),WORKDAY($A95,-1,config_Holiday_Calendar_US)),IF(ISNUMBER(_xll.BDH(config!$G$4,F$1,$A95,$A95)),_xll.BDH(config!$G$4,F$1,$A95,$A95),_xll.BDH(config!$G$5,F$1,$A95,$A95))))</f>
        <v>49.3</v>
      </c>
      <c r="G95" s="8">
        <f>IF($A95="","",IF(ISNUMBER(FIND("IMPVOL",G$1)),_xll.BDH(config!$G$4,G$1,WORKDAY($A95,-1,config_Holiday_Calendar_US),WORKDAY($A95,-1,config_Holiday_Calendar_US)),IF(ISNUMBER(_xll.BDH(config!$G$4,G$1,$A95,$A95)),_xll.BDH(config!$G$4,G$1,$A95,$A95),_xll.BDH(config!$G$5,G$1,$A95,$A95))))</f>
        <v>48.31</v>
      </c>
      <c r="H95" s="8">
        <f>IF($A95="","",IF(ISNUMBER(FIND("IMPVOL",H$1)),_xll.BDH(config!$G$4,H$1,WORKDAY($A95,-1,config_Holiday_Calendar_US),WORKDAY($A95,-1,config_Holiday_Calendar_US)),IF(ISNUMBER(_xll.BDH(config!$G$4,H$1,$A95,$A95)),_xll.BDH(config!$G$4,H$1,$A95,$A95),_xll.BDH(config!$G$5,H$1,$A95,$A95))))</f>
        <v>114119</v>
      </c>
      <c r="I95" s="8" t="str">
        <f>IF($A95="","",IF(ISNUMBER(FIND("IMPVOL",I$1)),_xll.BDH(config!$G$4,I$1,WORKDAY($A95,-1,config_Holiday_Calendar_US),WORKDAY($A95,-1,config_Holiday_Calendar_US)),IF(ISNUMBER(_xll.BDH(config!$G$4,I$1,$A95,$A95)),_xll.BDH(config!$G$4,I$1,$A95,$A95),_xll.BDH(config!$G$5,I$1,$A95,$A95))))</f>
        <v>#N/A Requesting Data...</v>
      </c>
      <c r="J95" s="8" t="str">
        <f>IF($A95="","",IF(ISNUMBER(FIND("IMPVOL",J$1)),_xll.BDH(config!$G$4,J$1,WORKDAY($A95,-1,config_Holiday_Calendar_US),WORKDAY($A95,-1,config_Holiday_Calendar_US)),IF(ISNUMBER(_xll.BDH(config!$G$4,J$1,$A95,$A95)),_xll.BDH(config!$G$4,J$1,$A95,$A95),_xll.BDH(config!$G$5,J$1,$A95,$A95))))</f>
        <v>#N/A Requesting Data...</v>
      </c>
      <c r="K95" s="8" t="str">
        <f>IF($A95="","",IF(ISNUMBER(FIND("IMPVOL",K$1)),_xll.BDH(config!$G$4,K$1,WORKDAY($A95,-1,config_Holiday_Calendar_US),WORKDAY($A95,-1,config_Holiday_Calendar_US)),IF(ISNUMBER(_xll.BDH(config!$G$4,K$1,$A95,$A95)),_xll.BDH(config!$G$4,K$1,$A95,$A95),_xll.BDH(config!$G$5,K$1,$A95,$A95))))</f>
        <v>#N/A Requesting Data...</v>
      </c>
      <c r="L95" s="8" t="str">
        <f>IF($A95="","",IF(ISNUMBER(FIND("IMPVOL",L$1)),_xll.BDH(config!$G$4,L$1,WORKDAY($A95,-1,config_Holiday_Calendar_US),WORKDAY($A95,-1,config_Holiday_Calendar_US)),IF(ISNUMBER(_xll.BDH(config!$G$4,L$1,$A95,$A95)),_xll.BDH(config!$G$4,L$1,$A95,$A95),_xll.BDH(config!$G$5,L$1,$A95,$A95))))</f>
        <v>#N/A Requesting Data...</v>
      </c>
      <c r="M95" s="8" t="str">
        <f>IF($A95="","",IF(ISNUMBER(FIND("IMPVOL",M$1)),_xll.BDH(config!$G$4,M$1,WORKDAY($A95,-1,config_Holiday_Calendar_US),WORKDAY($A95,-1,config_Holiday_Calendar_US)),IF(ISNUMBER(_xll.BDH(config!$G$4,M$1,$A95,$A95)),_xll.BDH(config!$G$4,M$1,$A95,$A95),_xll.BDH(config!$G$5,M$1,$A95,$A95))))</f>
        <v>#N/A Requesting Data...</v>
      </c>
      <c r="N95" s="8" t="str">
        <f>IF($A95="","",IF(ISNUMBER(FIND("IMPVOL",N$1)),_xll.BDH(config!$G$4,N$1,WORKDAY($A95,-1,config_Holiday_Calendar_US),WORKDAY($A95,-1,config_Holiday_Calendar_US)),IF(ISNUMBER(_xll.BDH(config!$G$4,N$1,$A95,$A95)),_xll.BDH(config!$G$4,N$1,$A95,$A95),_xll.BDH(config!$G$5,N$1,$A95,$A95))))</f>
        <v>#N/A Requesting Data...</v>
      </c>
      <c r="O95" s="8" t="str">
        <f>IF($A95="","",IF(ISNUMBER(FIND("IMPVOL",O$1)),_xll.BDH(config!$G$4,O$1,WORKDAY($A95,-1,config_Holiday_Calendar_US),WORKDAY($A95,-1,config_Holiday_Calendar_US)),IF(ISNUMBER(_xll.BDH(config!$G$4,O$1,$A95,$A95)),_xll.BDH(config!$G$4,O$1,$A95,$A95),_xll.BDH(config!$G$5,O$1,$A95,$A95))))</f>
        <v>#N/A Requesting Data...</v>
      </c>
      <c r="P95" s="8" t="str">
        <f>IF($A95="","",IF(ISNUMBER(FIND("IMPVOL",P$1)),_xll.BDH(config!$G$4,P$1,WORKDAY($A95,-1,config_Holiday_Calendar_US),WORKDAY($A95,-1,config_Holiday_Calendar_US)),IF(ISNUMBER(_xll.BDH(config!$G$4,P$1,$A95,$A95)),_xll.BDH(config!$G$4,P$1,$A95,$A95),_xll.BDH(config!$G$5,P$1,$A95,$A95))))</f>
        <v>#N/A Requesting Data...</v>
      </c>
      <c r="Q95" s="8">
        <f>IF($A95="","",IF(ISNUMBER(FIND("IMPVOL",Q$1)),_xll.BDH(config!$G$4,Q$1,WORKDAY($A95,-1,config_Holiday_Calendar_US),WORKDAY($A95,-1,config_Holiday_Calendar_US)),IF(ISNUMBER(_xll.BDH(config!$G$4,Q$1,$A95,$A95)),_xll.BDH(config!$G$4,Q$1,$A95,$A95),_xll.BDH(config!$G$5,Q$1,$A95,$A95))))</f>
        <v>40.24</v>
      </c>
      <c r="R95" s="8">
        <f>IF($A95="","",IF(ISNUMBER(FIND("IMPVOL",R$1)),_xll.BDH(config!$G$4,R$1,WORKDAY($A95,-1,config_Holiday_Calendar_US),WORKDAY($A95,-1,config_Holiday_Calendar_US)),IF(ISNUMBER(_xll.BDH(config!$G$4,R$1,$A95,$A95)),_xll.BDH(config!$G$4,R$1,$A95,$A95),_xll.BDH(config!$G$5,R$1,$A95,$A95))))</f>
        <v>32.130000000000003</v>
      </c>
      <c r="S95" s="8" t="str">
        <f>IF($A95="","",IF(ISNUMBER(FIND("IMPVOL",S$1)),_xll.BDH(config!$G$4,S$1,WORKDAY($A95,-1,config_Holiday_Calendar_US),WORKDAY($A95,-1,config_Holiday_Calendar_US)),IF(ISNUMBER(_xll.BDH(config!$G$4,S$1,$A95,$A95)),_xll.BDH(config!$G$4,S$1,$A95,$A95),_xll.BDH(config!$G$5,S$1,$A95,$A95))))</f>
        <v>#N/A Requesting Data...</v>
      </c>
      <c r="T95" s="8" t="str">
        <f>IF($A95="","",IF(ISNUMBER(FIND("IMPVOL",T$1)),_xll.BDH(config!$G$4,T$1,WORKDAY($A95,-1,config_Holiday_Calendar_US),WORKDAY($A95,-1,config_Holiday_Calendar_US)),IF(ISNUMBER(_xll.BDH(config!$G$4,T$1,$A95,$A95)),_xll.BDH(config!$G$4,T$1,$A95,$A95),_xll.BDH(config!$G$5,T$1,$A95,$A95))))</f>
        <v>#N/A Requesting Data...</v>
      </c>
      <c r="U95" s="8" t="str">
        <f>IF($A95="","",IF(ISNUMBER(FIND("IMPVOL",U$1)),_xll.BDH(config!$G$4,U$1,WORKDAY($A95,-1,config_Holiday_Calendar_US),WORKDAY($A95,-1,config_Holiday_Calendar_US)),IF(ISNUMBER(_xll.BDH(config!$G$4,U$1,$A95,$A95)),_xll.BDH(config!$G$4,U$1,$A95,$A95),_xll.BDH(config!$G$5,U$1,$A95,$A95))))</f>
        <v>#N/A Requesting Data...</v>
      </c>
      <c r="V95" s="8" t="str">
        <f>IF($A95="","",IF(ISNUMBER(FIND("IMPVOL",V$1)),_xll.BDH(config!$G$4,V$1,WORKDAY($A95,-1,config_Holiday_Calendar_US),WORKDAY($A95,-1,config_Holiday_Calendar_US)),IF(ISNUMBER(_xll.BDH(config!$G$4,V$1,$A95,$A95)),_xll.BDH(config!$G$4,V$1,$A95,$A95),_xll.BDH(config!$G$5,V$1,$A95,$A95))))</f>
        <v>#N/A Requesting Data...</v>
      </c>
      <c r="W95" s="8" t="str">
        <f>IF($A95="","",IF(ISNUMBER(FIND("IMPVOL",W$1)),_xll.BDH(config!$G$4,W$1,WORKDAY($A95,-1,config_Holiday_Calendar_US),WORKDAY($A95,-1,config_Holiday_Calendar_US)),IF(ISNUMBER(_xll.BDH(config!$G$4,W$1,$A95,$A95)),_xll.BDH(config!$G$4,W$1,$A95,$A95),_xll.BDH(config!$G$5,W$1,$A95,$A95))))</f>
        <v>#N/A Requesting Data...</v>
      </c>
    </row>
    <row r="96" spans="1:23" x14ac:dyDescent="0.2">
      <c r="A96" s="9">
        <f>IF(A95="","",IF(WORKDAY(A95,-1,config_Holiday_Calendar_US)&lt;config!$I$10,"",WORKDAY(A95,-1,config_Holiday_Calendar_US)))</f>
        <v>42696</v>
      </c>
      <c r="B96" s="8" t="e">
        <f t="shared" si="1"/>
        <v>#VALUE!</v>
      </c>
      <c r="C96" s="8" t="str">
        <f>IF(A96="","",_xll.BDH(config!$H$4,C$1,$A96,$A96))</f>
        <v>#N/A Requesting Data...</v>
      </c>
      <c r="D96" s="8" t="str">
        <f>IF($A96="","",_xll.BDH(config!$H$4,D$1,$A96,$A96))</f>
        <v>#N/A Requesting Data...</v>
      </c>
      <c r="E96" s="8">
        <f>IF($A96="","",IF(ISNUMBER(FIND("IMPVOL",E$1)),_xll.BDH(config!$G$4,E$1,WORKDAY($A96,-1,config_Holiday_Calendar_US),WORKDAY($A96,-1,config_Holiday_Calendar_US)),IF(ISNUMBER(_xll.BDH(config!$G$4,E$1,$A96,$A96)),_xll.BDH(config!$G$4,E$1,$A96,$A96),_xll.BDH(config!$G$5,E$1,$A96,$A96))))</f>
        <v>49.24</v>
      </c>
      <c r="F96" s="8">
        <f>IF($A96="","",IF(ISNUMBER(FIND("IMPVOL",F$1)),_xll.BDH(config!$G$4,F$1,WORKDAY($A96,-1,config_Holiday_Calendar_US),WORKDAY($A96,-1,config_Holiday_Calendar_US)),IF(ISNUMBER(_xll.BDH(config!$G$4,F$1,$A96,$A96)),_xll.BDH(config!$G$4,F$1,$A96,$A96),_xll.BDH(config!$G$5,F$1,$A96,$A96))))</f>
        <v>50.02</v>
      </c>
      <c r="G96" s="8">
        <f>IF($A96="","",IF(ISNUMBER(FIND("IMPVOL",G$1)),_xll.BDH(config!$G$4,G$1,WORKDAY($A96,-1,config_Holiday_Calendar_US),WORKDAY($A96,-1,config_Holiday_Calendar_US)),IF(ISNUMBER(_xll.BDH(config!$G$4,G$1,$A96,$A96)),_xll.BDH(config!$G$4,G$1,$A96,$A96),_xll.BDH(config!$G$5,G$1,$A96,$A96))))</f>
        <v>48.09</v>
      </c>
      <c r="H96" s="8">
        <f>IF($A96="","",IF(ISNUMBER(FIND("IMPVOL",H$1)),_xll.BDH(config!$G$4,H$1,WORKDAY($A96,-1,config_Holiday_Calendar_US),WORKDAY($A96,-1,config_Holiday_Calendar_US)),IF(ISNUMBER(_xll.BDH(config!$G$4,H$1,$A96,$A96)),_xll.BDH(config!$G$4,H$1,$A96,$A96),_xll.BDH(config!$G$5,H$1,$A96,$A96))))</f>
        <v>201329</v>
      </c>
      <c r="I96" s="8" t="str">
        <f>IF($A96="","",IF(ISNUMBER(FIND("IMPVOL",I$1)),_xll.BDH(config!$G$4,I$1,WORKDAY($A96,-1,config_Holiday_Calendar_US),WORKDAY($A96,-1,config_Holiday_Calendar_US)),IF(ISNUMBER(_xll.BDH(config!$G$4,I$1,$A96,$A96)),_xll.BDH(config!$G$4,I$1,$A96,$A96),_xll.BDH(config!$G$5,I$1,$A96,$A96))))</f>
        <v>#N/A Requesting Data...</v>
      </c>
      <c r="J96" s="8" t="str">
        <f>IF($A96="","",IF(ISNUMBER(FIND("IMPVOL",J$1)),_xll.BDH(config!$G$4,J$1,WORKDAY($A96,-1,config_Holiday_Calendar_US),WORKDAY($A96,-1,config_Holiday_Calendar_US)),IF(ISNUMBER(_xll.BDH(config!$G$4,J$1,$A96,$A96)),_xll.BDH(config!$G$4,J$1,$A96,$A96),_xll.BDH(config!$G$5,J$1,$A96,$A96))))</f>
        <v>#N/A Requesting Data...</v>
      </c>
      <c r="K96" s="8" t="str">
        <f>IF($A96="","",IF(ISNUMBER(FIND("IMPVOL",K$1)),_xll.BDH(config!$G$4,K$1,WORKDAY($A96,-1,config_Holiday_Calendar_US),WORKDAY($A96,-1,config_Holiday_Calendar_US)),IF(ISNUMBER(_xll.BDH(config!$G$4,K$1,$A96,$A96)),_xll.BDH(config!$G$4,K$1,$A96,$A96),_xll.BDH(config!$G$5,K$1,$A96,$A96))))</f>
        <v>#N/A Requesting Data...</v>
      </c>
      <c r="L96" s="8" t="str">
        <f>IF($A96="","",IF(ISNUMBER(FIND("IMPVOL",L$1)),_xll.BDH(config!$G$4,L$1,WORKDAY($A96,-1,config_Holiday_Calendar_US),WORKDAY($A96,-1,config_Holiday_Calendar_US)),IF(ISNUMBER(_xll.BDH(config!$G$4,L$1,$A96,$A96)),_xll.BDH(config!$G$4,L$1,$A96,$A96),_xll.BDH(config!$G$5,L$1,$A96,$A96))))</f>
        <v>#N/A Requesting Data...</v>
      </c>
      <c r="M96" s="8" t="str">
        <f>IF($A96="","",IF(ISNUMBER(FIND("IMPVOL",M$1)),_xll.BDH(config!$G$4,M$1,WORKDAY($A96,-1,config_Holiday_Calendar_US),WORKDAY($A96,-1,config_Holiday_Calendar_US)),IF(ISNUMBER(_xll.BDH(config!$G$4,M$1,$A96,$A96)),_xll.BDH(config!$G$4,M$1,$A96,$A96),_xll.BDH(config!$G$5,M$1,$A96,$A96))))</f>
        <v>#N/A Requesting Data...</v>
      </c>
      <c r="N96" s="8" t="str">
        <f>IF($A96="","",IF(ISNUMBER(FIND("IMPVOL",N$1)),_xll.BDH(config!$G$4,N$1,WORKDAY($A96,-1,config_Holiday_Calendar_US),WORKDAY($A96,-1,config_Holiday_Calendar_US)),IF(ISNUMBER(_xll.BDH(config!$G$4,N$1,$A96,$A96)),_xll.BDH(config!$G$4,N$1,$A96,$A96),_xll.BDH(config!$G$5,N$1,$A96,$A96))))</f>
        <v>#N/A Requesting Data...</v>
      </c>
      <c r="O96" s="8" t="str">
        <f>IF($A96="","",IF(ISNUMBER(FIND("IMPVOL",O$1)),_xll.BDH(config!$G$4,O$1,WORKDAY($A96,-1,config_Holiday_Calendar_US),WORKDAY($A96,-1,config_Holiday_Calendar_US)),IF(ISNUMBER(_xll.BDH(config!$G$4,O$1,$A96,$A96)),_xll.BDH(config!$G$4,O$1,$A96,$A96),_xll.BDH(config!$G$5,O$1,$A96,$A96))))</f>
        <v>#N/A Requesting Data...</v>
      </c>
      <c r="P96" s="8" t="str">
        <f>IF($A96="","",IF(ISNUMBER(FIND("IMPVOL",P$1)),_xll.BDH(config!$G$4,P$1,WORKDAY($A96,-1,config_Holiday_Calendar_US),WORKDAY($A96,-1,config_Holiday_Calendar_US)),IF(ISNUMBER(_xll.BDH(config!$G$4,P$1,$A96,$A96)),_xll.BDH(config!$G$4,P$1,$A96,$A96),_xll.BDH(config!$G$5,P$1,$A96,$A96))))</f>
        <v>#N/A Requesting Data...</v>
      </c>
      <c r="Q96" s="8">
        <f>IF($A96="","",IF(ISNUMBER(FIND("IMPVOL",Q$1)),_xll.BDH(config!$G$4,Q$1,WORKDAY($A96,-1,config_Holiday_Calendar_US),WORKDAY($A96,-1,config_Holiday_Calendar_US)),IF(ISNUMBER(_xll.BDH(config!$G$4,Q$1,$A96,$A96)),_xll.BDH(config!$G$4,Q$1,$A96,$A96),_xll.BDH(config!$G$5,Q$1,$A96,$A96))))</f>
        <v>41.55</v>
      </c>
      <c r="R96" s="8">
        <f>IF($A96="","",IF(ISNUMBER(FIND("IMPVOL",R$1)),_xll.BDH(config!$G$4,R$1,WORKDAY($A96,-1,config_Holiday_Calendar_US),WORKDAY($A96,-1,config_Holiday_Calendar_US)),IF(ISNUMBER(_xll.BDH(config!$G$4,R$1,$A96,$A96)),_xll.BDH(config!$G$4,R$1,$A96,$A96),_xll.BDH(config!$G$5,R$1,$A96,$A96))))</f>
        <v>32.17</v>
      </c>
      <c r="S96" s="8" t="str">
        <f>IF($A96="","",IF(ISNUMBER(FIND("IMPVOL",S$1)),_xll.BDH(config!$G$4,S$1,WORKDAY($A96,-1,config_Holiday_Calendar_US),WORKDAY($A96,-1,config_Holiday_Calendar_US)),IF(ISNUMBER(_xll.BDH(config!$G$4,S$1,$A96,$A96)),_xll.BDH(config!$G$4,S$1,$A96,$A96),_xll.BDH(config!$G$5,S$1,$A96,$A96))))</f>
        <v>#N/A Requesting Data...</v>
      </c>
      <c r="T96" s="8" t="str">
        <f>IF($A96="","",IF(ISNUMBER(FIND("IMPVOL",T$1)),_xll.BDH(config!$G$4,T$1,WORKDAY($A96,-1,config_Holiday_Calendar_US),WORKDAY($A96,-1,config_Holiday_Calendar_US)),IF(ISNUMBER(_xll.BDH(config!$G$4,T$1,$A96,$A96)),_xll.BDH(config!$G$4,T$1,$A96,$A96),_xll.BDH(config!$G$5,T$1,$A96,$A96))))</f>
        <v>#N/A Requesting Data...</v>
      </c>
      <c r="U96" s="8" t="str">
        <f>IF($A96="","",IF(ISNUMBER(FIND("IMPVOL",U$1)),_xll.BDH(config!$G$4,U$1,WORKDAY($A96,-1,config_Holiday_Calendar_US),WORKDAY($A96,-1,config_Holiday_Calendar_US)),IF(ISNUMBER(_xll.BDH(config!$G$4,U$1,$A96,$A96)),_xll.BDH(config!$G$4,U$1,$A96,$A96),_xll.BDH(config!$G$5,U$1,$A96,$A96))))</f>
        <v>#N/A Requesting Data...</v>
      </c>
      <c r="V96" s="8" t="str">
        <f>IF($A96="","",IF(ISNUMBER(FIND("IMPVOL",V$1)),_xll.BDH(config!$G$4,V$1,WORKDAY($A96,-1,config_Holiday_Calendar_US),WORKDAY($A96,-1,config_Holiday_Calendar_US)),IF(ISNUMBER(_xll.BDH(config!$G$4,V$1,$A96,$A96)),_xll.BDH(config!$G$4,V$1,$A96,$A96),_xll.BDH(config!$G$5,V$1,$A96,$A96))))</f>
        <v>#N/A Requesting Data...</v>
      </c>
      <c r="W96" s="8" t="str">
        <f>IF($A96="","",IF(ISNUMBER(FIND("IMPVOL",W$1)),_xll.BDH(config!$G$4,W$1,WORKDAY($A96,-1,config_Holiday_Calendar_US),WORKDAY($A96,-1,config_Holiday_Calendar_US)),IF(ISNUMBER(_xll.BDH(config!$G$4,W$1,$A96,$A96)),_xll.BDH(config!$G$4,W$1,$A96,$A96),_xll.BDH(config!$G$5,W$1,$A96,$A96))))</f>
        <v>#N/A Requesting Data...</v>
      </c>
    </row>
    <row r="97" spans="1:23" x14ac:dyDescent="0.2">
      <c r="A97" s="9">
        <f>IF(A96="","",IF(WORKDAY(A96,-1,config_Holiday_Calendar_US)&lt;config!$I$10,"",WORKDAY(A96,-1,config_Holiday_Calendar_US)))</f>
        <v>42695</v>
      </c>
      <c r="B97" s="8" t="e">
        <f t="shared" si="1"/>
        <v>#VALUE!</v>
      </c>
      <c r="C97" s="8" t="str">
        <f>IF(A97="","",_xll.BDH(config!$H$4,C$1,$A97,$A97))</f>
        <v>#N/A Requesting Data...</v>
      </c>
      <c r="D97" s="8" t="str">
        <f>IF($A97="","",_xll.BDH(config!$H$4,D$1,$A97,$A97))</f>
        <v>#N/A Requesting Data...</v>
      </c>
      <c r="E97" s="8">
        <f>IF($A97="","",IF(ISNUMBER(FIND("IMPVOL",E$1)),_xll.BDH(config!$G$4,E$1,WORKDAY($A97,-1,config_Holiday_Calendar_US),WORKDAY($A97,-1,config_Holiday_Calendar_US)),IF(ISNUMBER(_xll.BDH(config!$G$4,E$1,$A97,$A97)),_xll.BDH(config!$G$4,E$1,$A97,$A97),_xll.BDH(config!$G$5,E$1,$A97,$A97))))</f>
        <v>46.6</v>
      </c>
      <c r="F97" s="8">
        <f>IF($A97="","",IF(ISNUMBER(FIND("IMPVOL",F$1)),_xll.BDH(config!$G$4,F$1,WORKDAY($A97,-1,config_Holiday_Calendar_US),WORKDAY($A97,-1,config_Holiday_Calendar_US)),IF(ISNUMBER(_xll.BDH(config!$G$4,F$1,$A97,$A97)),_xll.BDH(config!$G$4,F$1,$A97,$A97),_xll.BDH(config!$G$5,F$1,$A97,$A97))))</f>
        <v>48.51</v>
      </c>
      <c r="G97" s="8">
        <f>IF($A97="","",IF(ISNUMBER(FIND("IMPVOL",G$1)),_xll.BDH(config!$G$4,G$1,WORKDAY($A97,-1,config_Holiday_Calendar_US),WORKDAY($A97,-1,config_Holiday_Calendar_US)),IF(ISNUMBER(_xll.BDH(config!$G$4,G$1,$A97,$A97)),_xll.BDH(config!$G$4,G$1,$A97,$A97),_xll.BDH(config!$G$5,G$1,$A97,$A97))))</f>
        <v>46.46</v>
      </c>
      <c r="H97" s="8">
        <f>IF($A97="","",IF(ISNUMBER(FIND("IMPVOL",H$1)),_xll.BDH(config!$G$4,H$1,WORKDAY($A97,-1,config_Holiday_Calendar_US),WORKDAY($A97,-1,config_Holiday_Calendar_US)),IF(ISNUMBER(_xll.BDH(config!$G$4,H$1,$A97,$A97)),_xll.BDH(config!$G$4,H$1,$A97,$A97),_xll.BDH(config!$G$5,H$1,$A97,$A97))))</f>
        <v>665326</v>
      </c>
      <c r="I97" s="8" t="str">
        <f>IF($A97="","",IF(ISNUMBER(FIND("IMPVOL",I$1)),_xll.BDH(config!$G$4,I$1,WORKDAY($A97,-1,config_Holiday_Calendar_US),WORKDAY($A97,-1,config_Holiday_Calendar_US)),IF(ISNUMBER(_xll.BDH(config!$G$4,I$1,$A97,$A97)),_xll.BDH(config!$G$4,I$1,$A97,$A97),_xll.BDH(config!$G$5,I$1,$A97,$A97))))</f>
        <v>#N/A Requesting Data...</v>
      </c>
      <c r="J97" s="8" t="str">
        <f>IF($A97="","",IF(ISNUMBER(FIND("IMPVOL",J$1)),_xll.BDH(config!$G$4,J$1,WORKDAY($A97,-1,config_Holiday_Calendar_US),WORKDAY($A97,-1,config_Holiday_Calendar_US)),IF(ISNUMBER(_xll.BDH(config!$G$4,J$1,$A97,$A97)),_xll.BDH(config!$G$4,J$1,$A97,$A97),_xll.BDH(config!$G$5,J$1,$A97,$A97))))</f>
        <v>#N/A Requesting Data...</v>
      </c>
      <c r="K97" s="8" t="str">
        <f>IF($A97="","",IF(ISNUMBER(FIND("IMPVOL",K$1)),_xll.BDH(config!$G$4,K$1,WORKDAY($A97,-1,config_Holiday_Calendar_US),WORKDAY($A97,-1,config_Holiday_Calendar_US)),IF(ISNUMBER(_xll.BDH(config!$G$4,K$1,$A97,$A97)),_xll.BDH(config!$G$4,K$1,$A97,$A97),_xll.BDH(config!$G$5,K$1,$A97,$A97))))</f>
        <v>#N/A Requesting Data...</v>
      </c>
      <c r="L97" s="8" t="str">
        <f>IF($A97="","",IF(ISNUMBER(FIND("IMPVOL",L$1)),_xll.BDH(config!$G$4,L$1,WORKDAY($A97,-1,config_Holiday_Calendar_US),WORKDAY($A97,-1,config_Holiday_Calendar_US)),IF(ISNUMBER(_xll.BDH(config!$G$4,L$1,$A97,$A97)),_xll.BDH(config!$G$4,L$1,$A97,$A97),_xll.BDH(config!$G$5,L$1,$A97,$A97))))</f>
        <v>#N/A Requesting Data...</v>
      </c>
      <c r="M97" s="8" t="str">
        <f>IF($A97="","",IF(ISNUMBER(FIND("IMPVOL",M$1)),_xll.BDH(config!$G$4,M$1,WORKDAY($A97,-1,config_Holiday_Calendar_US),WORKDAY($A97,-1,config_Holiday_Calendar_US)),IF(ISNUMBER(_xll.BDH(config!$G$4,M$1,$A97,$A97)),_xll.BDH(config!$G$4,M$1,$A97,$A97),_xll.BDH(config!$G$5,M$1,$A97,$A97))))</f>
        <v>#N/A Requesting Data...</v>
      </c>
      <c r="N97" s="8" t="str">
        <f>IF($A97="","",IF(ISNUMBER(FIND("IMPVOL",N$1)),_xll.BDH(config!$G$4,N$1,WORKDAY($A97,-1,config_Holiday_Calendar_US),WORKDAY($A97,-1,config_Holiday_Calendar_US)),IF(ISNUMBER(_xll.BDH(config!$G$4,N$1,$A97,$A97)),_xll.BDH(config!$G$4,N$1,$A97,$A97),_xll.BDH(config!$G$5,N$1,$A97,$A97))))</f>
        <v>#N/A Requesting Data...</v>
      </c>
      <c r="O97" s="8" t="str">
        <f>IF($A97="","",IF(ISNUMBER(FIND("IMPVOL",O$1)),_xll.BDH(config!$G$4,O$1,WORKDAY($A97,-1,config_Holiday_Calendar_US),WORKDAY($A97,-1,config_Holiday_Calendar_US)),IF(ISNUMBER(_xll.BDH(config!$G$4,O$1,$A97,$A97)),_xll.BDH(config!$G$4,O$1,$A97,$A97),_xll.BDH(config!$G$5,O$1,$A97,$A97))))</f>
        <v>#N/A Requesting Data...</v>
      </c>
      <c r="P97" s="8" t="str">
        <f>IF($A97="","",IF(ISNUMBER(FIND("IMPVOL",P$1)),_xll.BDH(config!$G$4,P$1,WORKDAY($A97,-1,config_Holiday_Calendar_US),WORKDAY($A97,-1,config_Holiday_Calendar_US)),IF(ISNUMBER(_xll.BDH(config!$G$4,P$1,$A97,$A97)),_xll.BDH(config!$G$4,P$1,$A97,$A97),_xll.BDH(config!$G$5,P$1,$A97,$A97))))</f>
        <v>#N/A Requesting Data...</v>
      </c>
      <c r="Q97" s="8">
        <f>IF($A97="","",IF(ISNUMBER(FIND("IMPVOL",Q$1)),_xll.BDH(config!$G$4,Q$1,WORKDAY($A97,-1,config_Holiday_Calendar_US),WORKDAY($A97,-1,config_Holiday_Calendar_US)),IF(ISNUMBER(_xll.BDH(config!$G$4,Q$1,$A97,$A97)),_xll.BDH(config!$G$4,Q$1,$A97,$A97),_xll.BDH(config!$G$5,Q$1,$A97,$A97))))</f>
        <v>41.33</v>
      </c>
      <c r="R97" s="8">
        <f>IF($A97="","",IF(ISNUMBER(FIND("IMPVOL",R$1)),_xll.BDH(config!$G$4,R$1,WORKDAY($A97,-1,config_Holiday_Calendar_US),WORKDAY($A97,-1,config_Holiday_Calendar_US)),IF(ISNUMBER(_xll.BDH(config!$G$4,R$1,$A97,$A97)),_xll.BDH(config!$G$4,R$1,$A97,$A97),_xll.BDH(config!$G$5,R$1,$A97,$A97))))</f>
        <v>31.96</v>
      </c>
      <c r="S97" s="8" t="str">
        <f>IF($A97="","",IF(ISNUMBER(FIND("IMPVOL",S$1)),_xll.BDH(config!$G$4,S$1,WORKDAY($A97,-1,config_Holiday_Calendar_US),WORKDAY($A97,-1,config_Holiday_Calendar_US)),IF(ISNUMBER(_xll.BDH(config!$G$4,S$1,$A97,$A97)),_xll.BDH(config!$G$4,S$1,$A97,$A97),_xll.BDH(config!$G$5,S$1,$A97,$A97))))</f>
        <v>#N/A Requesting Data...</v>
      </c>
      <c r="T97" s="8" t="str">
        <f>IF($A97="","",IF(ISNUMBER(FIND("IMPVOL",T$1)),_xll.BDH(config!$G$4,T$1,WORKDAY($A97,-1,config_Holiday_Calendar_US),WORKDAY($A97,-1,config_Holiday_Calendar_US)),IF(ISNUMBER(_xll.BDH(config!$G$4,T$1,$A97,$A97)),_xll.BDH(config!$G$4,T$1,$A97,$A97),_xll.BDH(config!$G$5,T$1,$A97,$A97))))</f>
        <v>#N/A Requesting Data...</v>
      </c>
      <c r="U97" s="8" t="str">
        <f>IF($A97="","",IF(ISNUMBER(FIND("IMPVOL",U$1)),_xll.BDH(config!$G$4,U$1,WORKDAY($A97,-1,config_Holiday_Calendar_US),WORKDAY($A97,-1,config_Holiday_Calendar_US)),IF(ISNUMBER(_xll.BDH(config!$G$4,U$1,$A97,$A97)),_xll.BDH(config!$G$4,U$1,$A97,$A97),_xll.BDH(config!$G$5,U$1,$A97,$A97))))</f>
        <v>#N/A Requesting Data...</v>
      </c>
      <c r="V97" s="8" t="str">
        <f>IF($A97="","",IF(ISNUMBER(FIND("IMPVOL",V$1)),_xll.BDH(config!$G$4,V$1,WORKDAY($A97,-1,config_Holiday_Calendar_US),WORKDAY($A97,-1,config_Holiday_Calendar_US)),IF(ISNUMBER(_xll.BDH(config!$G$4,V$1,$A97,$A97)),_xll.BDH(config!$G$4,V$1,$A97,$A97),_xll.BDH(config!$G$5,V$1,$A97,$A97))))</f>
        <v>#N/A Requesting Data...</v>
      </c>
      <c r="W97" s="8" t="str">
        <f>IF($A97="","",IF(ISNUMBER(FIND("IMPVOL",W$1)),_xll.BDH(config!$G$4,W$1,WORKDAY($A97,-1,config_Holiday_Calendar_US),WORKDAY($A97,-1,config_Holiday_Calendar_US)),IF(ISNUMBER(_xll.BDH(config!$G$4,W$1,$A97,$A97)),_xll.BDH(config!$G$4,W$1,$A97,$A97),_xll.BDH(config!$G$5,W$1,$A97,$A97))))</f>
        <v>#N/A Requesting Data...</v>
      </c>
    </row>
    <row r="98" spans="1:23" x14ac:dyDescent="0.2">
      <c r="A98" s="9">
        <f>IF(A97="","",IF(WORKDAY(A97,-1,config_Holiday_Calendar_US)&lt;config!$I$10,"",WORKDAY(A97,-1,config_Holiday_Calendar_US)))</f>
        <v>42692</v>
      </c>
      <c r="B98" s="8" t="e">
        <f t="shared" si="1"/>
        <v>#VALUE!</v>
      </c>
      <c r="C98" s="8" t="str">
        <f>IF(A98="","",_xll.BDH(config!$H$4,C$1,$A98,$A98))</f>
        <v>#N/A Requesting Data...</v>
      </c>
      <c r="D98" s="8" t="str">
        <f>IF($A98="","",_xll.BDH(config!$H$4,D$1,$A98,$A98))</f>
        <v>#N/A Requesting Data...</v>
      </c>
      <c r="E98" s="8">
        <f>IF($A98="","",IF(ISNUMBER(FIND("IMPVOL",E$1)),_xll.BDH(config!$G$4,E$1,WORKDAY($A98,-1,config_Holiday_Calendar_US),WORKDAY($A98,-1,config_Holiday_Calendar_US)),IF(ISNUMBER(_xll.BDH(config!$G$4,E$1,$A98,$A98)),_xll.BDH(config!$G$4,E$1,$A98,$A98),_xll.BDH(config!$G$5,E$1,$A98,$A98))))</f>
        <v>45.51</v>
      </c>
      <c r="F98" s="8">
        <f>IF($A98="","",IF(ISNUMBER(FIND("IMPVOL",F$1)),_xll.BDH(config!$G$4,F$1,WORKDAY($A98,-1,config_Holiday_Calendar_US),WORKDAY($A98,-1,config_Holiday_Calendar_US)),IF(ISNUMBER(_xll.BDH(config!$G$4,F$1,$A98,$A98)),_xll.BDH(config!$G$4,F$1,$A98,$A98),_xll.BDH(config!$G$5,F$1,$A98,$A98))))</f>
        <v>46.45</v>
      </c>
      <c r="G98" s="8">
        <f>IF($A98="","",IF(ISNUMBER(FIND("IMPVOL",G$1)),_xll.BDH(config!$G$4,G$1,WORKDAY($A98,-1,config_Holiday_Calendar_US),WORKDAY($A98,-1,config_Holiday_Calendar_US)),IF(ISNUMBER(_xll.BDH(config!$G$4,G$1,$A98,$A98)),_xll.BDH(config!$G$4,G$1,$A98,$A98),_xll.BDH(config!$G$5,G$1,$A98,$A98))))</f>
        <v>45.18</v>
      </c>
      <c r="H98" s="8">
        <f>IF($A98="","",IF(ISNUMBER(FIND("IMPVOL",H$1)),_xll.BDH(config!$G$4,H$1,WORKDAY($A98,-1,config_Holiday_Calendar_US),WORKDAY($A98,-1,config_Holiday_Calendar_US)),IF(ISNUMBER(_xll.BDH(config!$G$4,H$1,$A98,$A98)),_xll.BDH(config!$G$4,H$1,$A98,$A98),_xll.BDH(config!$G$5,H$1,$A98,$A98))))</f>
        <v>660408</v>
      </c>
      <c r="I98" s="8" t="str">
        <f>IF($A98="","",IF(ISNUMBER(FIND("IMPVOL",I$1)),_xll.BDH(config!$G$4,I$1,WORKDAY($A98,-1,config_Holiday_Calendar_US),WORKDAY($A98,-1,config_Holiday_Calendar_US)),IF(ISNUMBER(_xll.BDH(config!$G$4,I$1,$A98,$A98)),_xll.BDH(config!$G$4,I$1,$A98,$A98),_xll.BDH(config!$G$5,I$1,$A98,$A98))))</f>
        <v>#N/A Requesting Data...</v>
      </c>
      <c r="J98" s="8" t="str">
        <f>IF($A98="","",IF(ISNUMBER(FIND("IMPVOL",J$1)),_xll.BDH(config!$G$4,J$1,WORKDAY($A98,-1,config_Holiday_Calendar_US),WORKDAY($A98,-1,config_Holiday_Calendar_US)),IF(ISNUMBER(_xll.BDH(config!$G$4,J$1,$A98,$A98)),_xll.BDH(config!$G$4,J$1,$A98,$A98),_xll.BDH(config!$G$5,J$1,$A98,$A98))))</f>
        <v>#N/A Requesting Data...</v>
      </c>
      <c r="K98" s="8" t="str">
        <f>IF($A98="","",IF(ISNUMBER(FIND("IMPVOL",K$1)),_xll.BDH(config!$G$4,K$1,WORKDAY($A98,-1,config_Holiday_Calendar_US),WORKDAY($A98,-1,config_Holiday_Calendar_US)),IF(ISNUMBER(_xll.BDH(config!$G$4,K$1,$A98,$A98)),_xll.BDH(config!$G$4,K$1,$A98,$A98),_xll.BDH(config!$G$5,K$1,$A98,$A98))))</f>
        <v>#N/A Requesting Data...</v>
      </c>
      <c r="L98" s="8" t="str">
        <f>IF($A98="","",IF(ISNUMBER(FIND("IMPVOL",L$1)),_xll.BDH(config!$G$4,L$1,WORKDAY($A98,-1,config_Holiday_Calendar_US),WORKDAY($A98,-1,config_Holiday_Calendar_US)),IF(ISNUMBER(_xll.BDH(config!$G$4,L$1,$A98,$A98)),_xll.BDH(config!$G$4,L$1,$A98,$A98),_xll.BDH(config!$G$5,L$1,$A98,$A98))))</f>
        <v>#N/A Requesting Data...</v>
      </c>
      <c r="M98" s="8" t="str">
        <f>IF($A98="","",IF(ISNUMBER(FIND("IMPVOL",M$1)),_xll.BDH(config!$G$4,M$1,WORKDAY($A98,-1,config_Holiday_Calendar_US),WORKDAY($A98,-1,config_Holiday_Calendar_US)),IF(ISNUMBER(_xll.BDH(config!$G$4,M$1,$A98,$A98)),_xll.BDH(config!$G$4,M$1,$A98,$A98),_xll.BDH(config!$G$5,M$1,$A98,$A98))))</f>
        <v>#N/A Requesting Data...</v>
      </c>
      <c r="N98" s="8" t="str">
        <f>IF($A98="","",IF(ISNUMBER(FIND("IMPVOL",N$1)),_xll.BDH(config!$G$4,N$1,WORKDAY($A98,-1,config_Holiday_Calendar_US),WORKDAY($A98,-1,config_Holiday_Calendar_US)),IF(ISNUMBER(_xll.BDH(config!$G$4,N$1,$A98,$A98)),_xll.BDH(config!$G$4,N$1,$A98,$A98),_xll.BDH(config!$G$5,N$1,$A98,$A98))))</f>
        <v>#N/A Requesting Data...</v>
      </c>
      <c r="O98" s="8" t="str">
        <f>IF($A98="","",IF(ISNUMBER(FIND("IMPVOL",O$1)),_xll.BDH(config!$G$4,O$1,WORKDAY($A98,-1,config_Holiday_Calendar_US),WORKDAY($A98,-1,config_Holiday_Calendar_US)),IF(ISNUMBER(_xll.BDH(config!$G$4,O$1,$A98,$A98)),_xll.BDH(config!$G$4,O$1,$A98,$A98),_xll.BDH(config!$G$5,O$1,$A98,$A98))))</f>
        <v>#N/A Requesting Data...</v>
      </c>
      <c r="P98" s="8" t="str">
        <f>IF($A98="","",IF(ISNUMBER(FIND("IMPVOL",P$1)),_xll.BDH(config!$G$4,P$1,WORKDAY($A98,-1,config_Holiday_Calendar_US),WORKDAY($A98,-1,config_Holiday_Calendar_US)),IF(ISNUMBER(_xll.BDH(config!$G$4,P$1,$A98,$A98)),_xll.BDH(config!$G$4,P$1,$A98,$A98),_xll.BDH(config!$G$5,P$1,$A98,$A98))))</f>
        <v>#N/A Requesting Data...</v>
      </c>
      <c r="Q98" s="8">
        <f>IF($A98="","",IF(ISNUMBER(FIND("IMPVOL",Q$1)),_xll.BDH(config!$G$4,Q$1,WORKDAY($A98,-1,config_Holiday_Calendar_US),WORKDAY($A98,-1,config_Holiday_Calendar_US)),IF(ISNUMBER(_xll.BDH(config!$G$4,Q$1,$A98,$A98)),_xll.BDH(config!$G$4,Q$1,$A98,$A98),_xll.BDH(config!$G$5,Q$1,$A98,$A98))))</f>
        <v>36.020000000000003</v>
      </c>
      <c r="R98" s="8">
        <f>IF($A98="","",IF(ISNUMBER(FIND("IMPVOL",R$1)),_xll.BDH(config!$G$4,R$1,WORKDAY($A98,-1,config_Holiday_Calendar_US),WORKDAY($A98,-1,config_Holiday_Calendar_US)),IF(ISNUMBER(_xll.BDH(config!$G$4,R$1,$A98,$A98)),_xll.BDH(config!$G$4,R$1,$A98,$A98),_xll.BDH(config!$G$5,R$1,$A98,$A98))))</f>
        <v>29.32</v>
      </c>
      <c r="S98" s="8" t="str">
        <f>IF($A98="","",IF(ISNUMBER(FIND("IMPVOL",S$1)),_xll.BDH(config!$G$4,S$1,WORKDAY($A98,-1,config_Holiday_Calendar_US),WORKDAY($A98,-1,config_Holiday_Calendar_US)),IF(ISNUMBER(_xll.BDH(config!$G$4,S$1,$A98,$A98)),_xll.BDH(config!$G$4,S$1,$A98,$A98),_xll.BDH(config!$G$5,S$1,$A98,$A98))))</f>
        <v>#N/A Requesting Data...</v>
      </c>
      <c r="T98" s="8" t="str">
        <f>IF($A98="","",IF(ISNUMBER(FIND("IMPVOL",T$1)),_xll.BDH(config!$G$4,T$1,WORKDAY($A98,-1,config_Holiday_Calendar_US),WORKDAY($A98,-1,config_Holiday_Calendar_US)),IF(ISNUMBER(_xll.BDH(config!$G$4,T$1,$A98,$A98)),_xll.BDH(config!$G$4,T$1,$A98,$A98),_xll.BDH(config!$G$5,T$1,$A98,$A98))))</f>
        <v>#N/A Requesting Data...</v>
      </c>
      <c r="U98" s="8" t="str">
        <f>IF($A98="","",IF(ISNUMBER(FIND("IMPVOL",U$1)),_xll.BDH(config!$G$4,U$1,WORKDAY($A98,-1,config_Holiday_Calendar_US),WORKDAY($A98,-1,config_Holiday_Calendar_US)),IF(ISNUMBER(_xll.BDH(config!$G$4,U$1,$A98,$A98)),_xll.BDH(config!$G$4,U$1,$A98,$A98),_xll.BDH(config!$G$5,U$1,$A98,$A98))))</f>
        <v>#N/A Requesting Data...</v>
      </c>
      <c r="V98" s="8" t="str">
        <f>IF($A98="","",IF(ISNUMBER(FIND("IMPVOL",V$1)),_xll.BDH(config!$G$4,V$1,WORKDAY($A98,-1,config_Holiday_Calendar_US),WORKDAY($A98,-1,config_Holiday_Calendar_US)),IF(ISNUMBER(_xll.BDH(config!$G$4,V$1,$A98,$A98)),_xll.BDH(config!$G$4,V$1,$A98,$A98),_xll.BDH(config!$G$5,V$1,$A98,$A98))))</f>
        <v>#N/A Requesting Data...</v>
      </c>
      <c r="W98" s="8" t="str">
        <f>IF($A98="","",IF(ISNUMBER(FIND("IMPVOL",W$1)),_xll.BDH(config!$G$4,W$1,WORKDAY($A98,-1,config_Holiday_Calendar_US),WORKDAY($A98,-1,config_Holiday_Calendar_US)),IF(ISNUMBER(_xll.BDH(config!$G$4,W$1,$A98,$A98)),_xll.BDH(config!$G$4,W$1,$A98,$A98),_xll.BDH(config!$G$5,W$1,$A98,$A98))))</f>
        <v>#N/A Requesting Data...</v>
      </c>
    </row>
    <row r="99" spans="1:23" x14ac:dyDescent="0.2">
      <c r="A99" s="9">
        <f>IF(A98="","",IF(WORKDAY(A98,-1,config_Holiday_Calendar_US)&lt;config!$I$10,"",WORKDAY(A98,-1,config_Holiday_Calendar_US)))</f>
        <v>42691</v>
      </c>
      <c r="B99" s="8" t="e">
        <f t="shared" si="1"/>
        <v>#VALUE!</v>
      </c>
      <c r="C99" s="8" t="str">
        <f>IF(A99="","",_xll.BDH(config!$H$4,C$1,$A99,$A99))</f>
        <v>#N/A Requesting Data...</v>
      </c>
      <c r="D99" s="8" t="str">
        <f>IF($A99="","",_xll.BDH(config!$H$4,D$1,$A99,$A99))</f>
        <v>#N/A Requesting Data...</v>
      </c>
      <c r="E99" s="8">
        <f>IF($A99="","",IF(ISNUMBER(FIND("IMPVOL",E$1)),_xll.BDH(config!$G$4,E$1,WORKDAY($A99,-1,config_Holiday_Calendar_US),WORKDAY($A99,-1,config_Holiday_Calendar_US)),IF(ISNUMBER(_xll.BDH(config!$G$4,E$1,$A99,$A99)),_xll.BDH(config!$G$4,E$1,$A99,$A99),_xll.BDH(config!$G$5,E$1,$A99,$A99))))</f>
        <v>45.87</v>
      </c>
      <c r="F99" s="8">
        <f>IF($A99="","",IF(ISNUMBER(FIND("IMPVOL",F$1)),_xll.BDH(config!$G$4,F$1,WORKDAY($A99,-1,config_Holiday_Calendar_US),WORKDAY($A99,-1,config_Holiday_Calendar_US)),IF(ISNUMBER(_xll.BDH(config!$G$4,F$1,$A99,$A99)),_xll.BDH(config!$G$4,F$1,$A99,$A99),_xll.BDH(config!$G$5,F$1,$A99,$A99))))</f>
        <v>47.12</v>
      </c>
      <c r="G99" s="8">
        <f>IF($A99="","",IF(ISNUMBER(FIND("IMPVOL",G$1)),_xll.BDH(config!$G$4,G$1,WORKDAY($A99,-1,config_Holiday_Calendar_US),WORKDAY($A99,-1,config_Holiday_Calendar_US)),IF(ISNUMBER(_xll.BDH(config!$G$4,G$1,$A99,$A99)),_xll.BDH(config!$G$4,G$1,$A99,$A99),_xll.BDH(config!$G$5,G$1,$A99,$A99))))</f>
        <v>45.47</v>
      </c>
      <c r="H99" s="8">
        <f>IF($A99="","",IF(ISNUMBER(FIND("IMPVOL",H$1)),_xll.BDH(config!$G$4,H$1,WORKDAY($A99,-1,config_Holiday_Calendar_US),WORKDAY($A99,-1,config_Holiday_Calendar_US)),IF(ISNUMBER(_xll.BDH(config!$G$4,H$1,$A99,$A99)),_xll.BDH(config!$G$4,H$1,$A99,$A99),_xll.BDH(config!$G$5,H$1,$A99,$A99))))</f>
        <v>490898</v>
      </c>
      <c r="I99" s="8" t="str">
        <f>IF($A99="","",IF(ISNUMBER(FIND("IMPVOL",I$1)),_xll.BDH(config!$G$4,I$1,WORKDAY($A99,-1,config_Holiday_Calendar_US),WORKDAY($A99,-1,config_Holiday_Calendar_US)),IF(ISNUMBER(_xll.BDH(config!$G$4,I$1,$A99,$A99)),_xll.BDH(config!$G$4,I$1,$A99,$A99),_xll.BDH(config!$G$5,I$1,$A99,$A99))))</f>
        <v>#N/A Requesting Data...</v>
      </c>
      <c r="J99" s="8" t="str">
        <f>IF($A99="","",IF(ISNUMBER(FIND("IMPVOL",J$1)),_xll.BDH(config!$G$4,J$1,WORKDAY($A99,-1,config_Holiday_Calendar_US),WORKDAY($A99,-1,config_Holiday_Calendar_US)),IF(ISNUMBER(_xll.BDH(config!$G$4,J$1,$A99,$A99)),_xll.BDH(config!$G$4,J$1,$A99,$A99),_xll.BDH(config!$G$5,J$1,$A99,$A99))))</f>
        <v>#N/A Requesting Data...</v>
      </c>
      <c r="K99" s="8" t="str">
        <f>IF($A99="","",IF(ISNUMBER(FIND("IMPVOL",K$1)),_xll.BDH(config!$G$4,K$1,WORKDAY($A99,-1,config_Holiday_Calendar_US),WORKDAY($A99,-1,config_Holiday_Calendar_US)),IF(ISNUMBER(_xll.BDH(config!$G$4,K$1,$A99,$A99)),_xll.BDH(config!$G$4,K$1,$A99,$A99),_xll.BDH(config!$G$5,K$1,$A99,$A99))))</f>
        <v>#N/A Requesting Data...</v>
      </c>
      <c r="L99" s="8" t="str">
        <f>IF($A99="","",IF(ISNUMBER(FIND("IMPVOL",L$1)),_xll.BDH(config!$G$4,L$1,WORKDAY($A99,-1,config_Holiday_Calendar_US),WORKDAY($A99,-1,config_Holiday_Calendar_US)),IF(ISNUMBER(_xll.BDH(config!$G$4,L$1,$A99,$A99)),_xll.BDH(config!$G$4,L$1,$A99,$A99),_xll.BDH(config!$G$5,L$1,$A99,$A99))))</f>
        <v>#N/A Requesting Data...</v>
      </c>
      <c r="M99" s="8" t="str">
        <f>IF($A99="","",IF(ISNUMBER(FIND("IMPVOL",M$1)),_xll.BDH(config!$G$4,M$1,WORKDAY($A99,-1,config_Holiday_Calendar_US),WORKDAY($A99,-1,config_Holiday_Calendar_US)),IF(ISNUMBER(_xll.BDH(config!$G$4,M$1,$A99,$A99)),_xll.BDH(config!$G$4,M$1,$A99,$A99),_xll.BDH(config!$G$5,M$1,$A99,$A99))))</f>
        <v>#N/A Requesting Data...</v>
      </c>
      <c r="N99" s="8" t="str">
        <f>IF($A99="","",IF(ISNUMBER(FIND("IMPVOL",N$1)),_xll.BDH(config!$G$4,N$1,WORKDAY($A99,-1,config_Holiday_Calendar_US),WORKDAY($A99,-1,config_Holiday_Calendar_US)),IF(ISNUMBER(_xll.BDH(config!$G$4,N$1,$A99,$A99)),_xll.BDH(config!$G$4,N$1,$A99,$A99),_xll.BDH(config!$G$5,N$1,$A99,$A99))))</f>
        <v>#N/A Requesting Data...</v>
      </c>
      <c r="O99" s="8" t="str">
        <f>IF($A99="","",IF(ISNUMBER(FIND("IMPVOL",O$1)),_xll.BDH(config!$G$4,O$1,WORKDAY($A99,-1,config_Holiday_Calendar_US),WORKDAY($A99,-1,config_Holiday_Calendar_US)),IF(ISNUMBER(_xll.BDH(config!$G$4,O$1,$A99,$A99)),_xll.BDH(config!$G$4,O$1,$A99,$A99),_xll.BDH(config!$G$5,O$1,$A99,$A99))))</f>
        <v>#N/A Requesting Data...</v>
      </c>
      <c r="P99" s="8" t="str">
        <f>IF($A99="","",IF(ISNUMBER(FIND("IMPVOL",P$1)),_xll.BDH(config!$G$4,P$1,WORKDAY($A99,-1,config_Holiday_Calendar_US),WORKDAY($A99,-1,config_Holiday_Calendar_US)),IF(ISNUMBER(_xll.BDH(config!$G$4,P$1,$A99,$A99)),_xll.BDH(config!$G$4,P$1,$A99,$A99),_xll.BDH(config!$G$5,P$1,$A99,$A99))))</f>
        <v>#N/A Requesting Data...</v>
      </c>
      <c r="Q99" s="8">
        <f>IF($A99="","",IF(ISNUMBER(FIND("IMPVOL",Q$1)),_xll.BDH(config!$G$4,Q$1,WORKDAY($A99,-1,config_Holiday_Calendar_US),WORKDAY($A99,-1,config_Holiday_Calendar_US)),IF(ISNUMBER(_xll.BDH(config!$G$4,Q$1,$A99,$A99)),_xll.BDH(config!$G$4,Q$1,$A99,$A99),_xll.BDH(config!$G$5,Q$1,$A99,$A99))))</f>
        <v>36.96</v>
      </c>
      <c r="R99" s="8">
        <f>IF($A99="","",IF(ISNUMBER(FIND("IMPVOL",R$1)),_xll.BDH(config!$G$4,R$1,WORKDAY($A99,-1,config_Holiday_Calendar_US),WORKDAY($A99,-1,config_Holiday_Calendar_US)),IF(ISNUMBER(_xll.BDH(config!$G$4,R$1,$A99,$A99)),_xll.BDH(config!$G$4,R$1,$A99,$A99),_xll.BDH(config!$G$5,R$1,$A99,$A99))))</f>
        <v>30.76</v>
      </c>
      <c r="S99" s="8" t="str">
        <f>IF($A99="","",IF(ISNUMBER(FIND("IMPVOL",S$1)),_xll.BDH(config!$G$4,S$1,WORKDAY($A99,-1,config_Holiday_Calendar_US),WORKDAY($A99,-1,config_Holiday_Calendar_US)),IF(ISNUMBER(_xll.BDH(config!$G$4,S$1,$A99,$A99)),_xll.BDH(config!$G$4,S$1,$A99,$A99),_xll.BDH(config!$G$5,S$1,$A99,$A99))))</f>
        <v>#N/A Requesting Data...</v>
      </c>
      <c r="T99" s="8" t="str">
        <f>IF($A99="","",IF(ISNUMBER(FIND("IMPVOL",T$1)),_xll.BDH(config!$G$4,T$1,WORKDAY($A99,-1,config_Holiday_Calendar_US),WORKDAY($A99,-1,config_Holiday_Calendar_US)),IF(ISNUMBER(_xll.BDH(config!$G$4,T$1,$A99,$A99)),_xll.BDH(config!$G$4,T$1,$A99,$A99),_xll.BDH(config!$G$5,T$1,$A99,$A99))))</f>
        <v>#N/A Requesting Data...</v>
      </c>
      <c r="U99" s="8" t="str">
        <f>IF($A99="","",IF(ISNUMBER(FIND("IMPVOL",U$1)),_xll.BDH(config!$G$4,U$1,WORKDAY($A99,-1,config_Holiday_Calendar_US),WORKDAY($A99,-1,config_Holiday_Calendar_US)),IF(ISNUMBER(_xll.BDH(config!$G$4,U$1,$A99,$A99)),_xll.BDH(config!$G$4,U$1,$A99,$A99),_xll.BDH(config!$G$5,U$1,$A99,$A99))))</f>
        <v>#N/A Requesting Data...</v>
      </c>
      <c r="V99" s="8" t="str">
        <f>IF($A99="","",IF(ISNUMBER(FIND("IMPVOL",V$1)),_xll.BDH(config!$G$4,V$1,WORKDAY($A99,-1,config_Holiday_Calendar_US),WORKDAY($A99,-1,config_Holiday_Calendar_US)),IF(ISNUMBER(_xll.BDH(config!$G$4,V$1,$A99,$A99)),_xll.BDH(config!$G$4,V$1,$A99,$A99),_xll.BDH(config!$G$5,V$1,$A99,$A99))))</f>
        <v>#N/A Requesting Data...</v>
      </c>
      <c r="W99" s="8" t="str">
        <f>IF($A99="","",IF(ISNUMBER(FIND("IMPVOL",W$1)),_xll.BDH(config!$G$4,W$1,WORKDAY($A99,-1,config_Holiday_Calendar_US),WORKDAY($A99,-1,config_Holiday_Calendar_US)),IF(ISNUMBER(_xll.BDH(config!$G$4,W$1,$A99,$A99)),_xll.BDH(config!$G$4,W$1,$A99,$A99),_xll.BDH(config!$G$5,W$1,$A99,$A99))))</f>
        <v>#N/A Requesting Data...</v>
      </c>
    </row>
    <row r="100" spans="1:23" x14ac:dyDescent="0.2">
      <c r="A100" s="9">
        <f>IF(A99="","",IF(WORKDAY(A99,-1,config_Holiday_Calendar_US)&lt;config!$I$10,"",WORKDAY(A99,-1,config_Holiday_Calendar_US)))</f>
        <v>42690</v>
      </c>
      <c r="B100" s="8" t="e">
        <f t="shared" si="1"/>
        <v>#VALUE!</v>
      </c>
      <c r="C100" s="8" t="str">
        <f>IF(A100="","",_xll.BDH(config!$H$4,C$1,$A100,$A100))</f>
        <v>#N/A Requesting Data...</v>
      </c>
      <c r="D100" s="8" t="str">
        <f>IF($A100="","",_xll.BDH(config!$H$4,D$1,$A100,$A100))</f>
        <v>#N/A Requesting Data...</v>
      </c>
      <c r="E100" s="8">
        <f>IF($A100="","",IF(ISNUMBER(FIND("IMPVOL",E$1)),_xll.BDH(config!$G$4,E$1,WORKDAY($A100,-1,config_Holiday_Calendar_US),WORKDAY($A100,-1,config_Holiday_Calendar_US)),IF(ISNUMBER(_xll.BDH(config!$G$4,E$1,$A100,$A100)),_xll.BDH(config!$G$4,E$1,$A100,$A100),_xll.BDH(config!$G$5,E$1,$A100,$A100))))</f>
        <v>45.77</v>
      </c>
      <c r="F100" s="8">
        <f>IF($A100="","",IF(ISNUMBER(FIND("IMPVOL",F$1)),_xll.BDH(config!$G$4,F$1,WORKDAY($A100,-1,config_Holiday_Calendar_US),WORKDAY($A100,-1,config_Holiday_Calendar_US)),IF(ISNUMBER(_xll.BDH(config!$G$4,F$1,$A100,$A100)),_xll.BDH(config!$G$4,F$1,$A100,$A100),_xll.BDH(config!$G$5,F$1,$A100,$A100))))</f>
        <v>46.41</v>
      </c>
      <c r="G100" s="8">
        <f>IF($A100="","",IF(ISNUMBER(FIND("IMPVOL",G$1)),_xll.BDH(config!$G$4,G$1,WORKDAY($A100,-1,config_Holiday_Calendar_US),WORKDAY($A100,-1,config_Holiday_Calendar_US)),IF(ISNUMBER(_xll.BDH(config!$G$4,G$1,$A100,$A100)),_xll.BDH(config!$G$4,G$1,$A100,$A100),_xll.BDH(config!$G$5,G$1,$A100,$A100))))</f>
        <v>45.65</v>
      </c>
      <c r="H100" s="8">
        <f>IF($A100="","",IF(ISNUMBER(FIND("IMPVOL",H$1)),_xll.BDH(config!$G$4,H$1,WORKDAY($A100,-1,config_Holiday_Calendar_US),WORKDAY($A100,-1,config_Holiday_Calendar_US)),IF(ISNUMBER(_xll.BDH(config!$G$4,H$1,$A100,$A100)),_xll.BDH(config!$G$4,H$1,$A100,$A100),_xll.BDH(config!$G$5,H$1,$A100,$A100))))</f>
        <v>419130</v>
      </c>
      <c r="I100" s="8" t="str">
        <f>IF($A100="","",IF(ISNUMBER(FIND("IMPVOL",I$1)),_xll.BDH(config!$G$4,I$1,WORKDAY($A100,-1,config_Holiday_Calendar_US),WORKDAY($A100,-1,config_Holiday_Calendar_US)),IF(ISNUMBER(_xll.BDH(config!$G$4,I$1,$A100,$A100)),_xll.BDH(config!$G$4,I$1,$A100,$A100),_xll.BDH(config!$G$5,I$1,$A100,$A100))))</f>
        <v>#N/A Requesting Data...</v>
      </c>
      <c r="J100" s="8" t="str">
        <f>IF($A100="","",IF(ISNUMBER(FIND("IMPVOL",J$1)),_xll.BDH(config!$G$4,J$1,WORKDAY($A100,-1,config_Holiday_Calendar_US),WORKDAY($A100,-1,config_Holiday_Calendar_US)),IF(ISNUMBER(_xll.BDH(config!$G$4,J$1,$A100,$A100)),_xll.BDH(config!$G$4,J$1,$A100,$A100),_xll.BDH(config!$G$5,J$1,$A100,$A100))))</f>
        <v>#N/A Requesting Data...</v>
      </c>
      <c r="K100" s="8" t="str">
        <f>IF($A100="","",IF(ISNUMBER(FIND("IMPVOL",K$1)),_xll.BDH(config!$G$4,K$1,WORKDAY($A100,-1,config_Holiday_Calendar_US),WORKDAY($A100,-1,config_Holiday_Calendar_US)),IF(ISNUMBER(_xll.BDH(config!$G$4,K$1,$A100,$A100)),_xll.BDH(config!$G$4,K$1,$A100,$A100),_xll.BDH(config!$G$5,K$1,$A100,$A100))))</f>
        <v>#N/A Requesting Data...</v>
      </c>
      <c r="L100" s="8" t="str">
        <f>IF($A100="","",IF(ISNUMBER(FIND("IMPVOL",L$1)),_xll.BDH(config!$G$4,L$1,WORKDAY($A100,-1,config_Holiday_Calendar_US),WORKDAY($A100,-1,config_Holiday_Calendar_US)),IF(ISNUMBER(_xll.BDH(config!$G$4,L$1,$A100,$A100)),_xll.BDH(config!$G$4,L$1,$A100,$A100),_xll.BDH(config!$G$5,L$1,$A100,$A100))))</f>
        <v>#N/A Requesting Data...</v>
      </c>
      <c r="M100" s="8" t="str">
        <f>IF($A100="","",IF(ISNUMBER(FIND("IMPVOL",M$1)),_xll.BDH(config!$G$4,M$1,WORKDAY($A100,-1,config_Holiday_Calendar_US),WORKDAY($A100,-1,config_Holiday_Calendar_US)),IF(ISNUMBER(_xll.BDH(config!$G$4,M$1,$A100,$A100)),_xll.BDH(config!$G$4,M$1,$A100,$A100),_xll.BDH(config!$G$5,M$1,$A100,$A100))))</f>
        <v>#N/A Requesting Data...</v>
      </c>
      <c r="N100" s="8" t="str">
        <f>IF($A100="","",IF(ISNUMBER(FIND("IMPVOL",N$1)),_xll.BDH(config!$G$4,N$1,WORKDAY($A100,-1,config_Holiday_Calendar_US),WORKDAY($A100,-1,config_Holiday_Calendar_US)),IF(ISNUMBER(_xll.BDH(config!$G$4,N$1,$A100,$A100)),_xll.BDH(config!$G$4,N$1,$A100,$A100),_xll.BDH(config!$G$5,N$1,$A100,$A100))))</f>
        <v>#N/A Requesting Data...</v>
      </c>
      <c r="O100" s="8" t="str">
        <f>IF($A100="","",IF(ISNUMBER(FIND("IMPVOL",O$1)),_xll.BDH(config!$G$4,O$1,WORKDAY($A100,-1,config_Holiday_Calendar_US),WORKDAY($A100,-1,config_Holiday_Calendar_US)),IF(ISNUMBER(_xll.BDH(config!$G$4,O$1,$A100,$A100)),_xll.BDH(config!$G$4,O$1,$A100,$A100),_xll.BDH(config!$G$5,O$1,$A100,$A100))))</f>
        <v>#N/A Requesting Data...</v>
      </c>
      <c r="P100" s="8" t="str">
        <f>IF($A100="","",IF(ISNUMBER(FIND("IMPVOL",P$1)),_xll.BDH(config!$G$4,P$1,WORKDAY($A100,-1,config_Holiday_Calendar_US),WORKDAY($A100,-1,config_Holiday_Calendar_US)),IF(ISNUMBER(_xll.BDH(config!$G$4,P$1,$A100,$A100)),_xll.BDH(config!$G$4,P$1,$A100,$A100),_xll.BDH(config!$G$5,P$1,$A100,$A100))))</f>
        <v>#N/A Requesting Data...</v>
      </c>
      <c r="Q100" s="8">
        <f>IF($A100="","",IF(ISNUMBER(FIND("IMPVOL",Q$1)),_xll.BDH(config!$G$4,Q$1,WORKDAY($A100,-1,config_Holiday_Calendar_US),WORKDAY($A100,-1,config_Holiday_Calendar_US)),IF(ISNUMBER(_xll.BDH(config!$G$4,Q$1,$A100,$A100)),_xll.BDH(config!$G$4,Q$1,$A100,$A100),_xll.BDH(config!$G$5,Q$1,$A100,$A100))))</f>
        <v>37.950000000000003</v>
      </c>
      <c r="R100" s="8">
        <f>IF($A100="","",IF(ISNUMBER(FIND("IMPVOL",R$1)),_xll.BDH(config!$G$4,R$1,WORKDAY($A100,-1,config_Holiday_Calendar_US),WORKDAY($A100,-1,config_Holiday_Calendar_US)),IF(ISNUMBER(_xll.BDH(config!$G$4,R$1,$A100,$A100)),_xll.BDH(config!$G$4,R$1,$A100,$A100),_xll.BDH(config!$G$5,R$1,$A100,$A100))))</f>
        <v>30.87</v>
      </c>
      <c r="S100" s="8" t="str">
        <f>IF($A100="","",IF(ISNUMBER(FIND("IMPVOL",S$1)),_xll.BDH(config!$G$4,S$1,WORKDAY($A100,-1,config_Holiday_Calendar_US),WORKDAY($A100,-1,config_Holiday_Calendar_US)),IF(ISNUMBER(_xll.BDH(config!$G$4,S$1,$A100,$A100)),_xll.BDH(config!$G$4,S$1,$A100,$A100),_xll.BDH(config!$G$5,S$1,$A100,$A100))))</f>
        <v>#N/A Requesting Data...</v>
      </c>
      <c r="T100" s="8" t="str">
        <f>IF($A100="","",IF(ISNUMBER(FIND("IMPVOL",T$1)),_xll.BDH(config!$G$4,T$1,WORKDAY($A100,-1,config_Holiday_Calendar_US),WORKDAY($A100,-1,config_Holiday_Calendar_US)),IF(ISNUMBER(_xll.BDH(config!$G$4,T$1,$A100,$A100)),_xll.BDH(config!$G$4,T$1,$A100,$A100),_xll.BDH(config!$G$5,T$1,$A100,$A100))))</f>
        <v>#N/A Requesting Data...</v>
      </c>
      <c r="U100" s="8" t="str">
        <f>IF($A100="","",IF(ISNUMBER(FIND("IMPVOL",U$1)),_xll.BDH(config!$G$4,U$1,WORKDAY($A100,-1,config_Holiday_Calendar_US),WORKDAY($A100,-1,config_Holiday_Calendar_US)),IF(ISNUMBER(_xll.BDH(config!$G$4,U$1,$A100,$A100)),_xll.BDH(config!$G$4,U$1,$A100,$A100),_xll.BDH(config!$G$5,U$1,$A100,$A100))))</f>
        <v>#N/A Requesting Data...</v>
      </c>
      <c r="V100" s="8" t="str">
        <f>IF($A100="","",IF(ISNUMBER(FIND("IMPVOL",V$1)),_xll.BDH(config!$G$4,V$1,WORKDAY($A100,-1,config_Holiday_Calendar_US),WORKDAY($A100,-1,config_Holiday_Calendar_US)),IF(ISNUMBER(_xll.BDH(config!$G$4,V$1,$A100,$A100)),_xll.BDH(config!$G$4,V$1,$A100,$A100),_xll.BDH(config!$G$5,V$1,$A100,$A100))))</f>
        <v>#N/A Requesting Data...</v>
      </c>
      <c r="W100" s="8" t="str">
        <f>IF($A100="","",IF(ISNUMBER(FIND("IMPVOL",W$1)),_xll.BDH(config!$G$4,W$1,WORKDAY($A100,-1,config_Holiday_Calendar_US),WORKDAY($A100,-1,config_Holiday_Calendar_US)),IF(ISNUMBER(_xll.BDH(config!$G$4,W$1,$A100,$A100)),_xll.BDH(config!$G$4,W$1,$A100,$A100),_xll.BDH(config!$G$5,W$1,$A100,$A100))))</f>
        <v>#N/A Requesting Data...</v>
      </c>
    </row>
    <row r="101" spans="1:23" x14ac:dyDescent="0.2">
      <c r="A101" s="9">
        <f>IF(A100="","",IF(WORKDAY(A100,-1,config_Holiday_Calendar_US)&lt;config!$I$10,"",WORKDAY(A100,-1,config_Holiday_Calendar_US)))</f>
        <v>42689</v>
      </c>
      <c r="B101" s="8" t="e">
        <f t="shared" si="1"/>
        <v>#VALUE!</v>
      </c>
      <c r="C101" s="8" t="str">
        <f>IF(A101="","",_xll.BDH(config!$H$4,C$1,$A101,$A101))</f>
        <v>#N/A Requesting Data...</v>
      </c>
      <c r="D101" s="8" t="str">
        <f>IF($A101="","",_xll.BDH(config!$H$4,D$1,$A101,$A101))</f>
        <v>#N/A Requesting Data...</v>
      </c>
      <c r="E101" s="8">
        <f>IF($A101="","",IF(ISNUMBER(FIND("IMPVOL",E$1)),_xll.BDH(config!$G$4,E$1,WORKDAY($A101,-1,config_Holiday_Calendar_US),WORKDAY($A101,-1,config_Holiday_Calendar_US)),IF(ISNUMBER(_xll.BDH(config!$G$4,E$1,$A101,$A101)),_xll.BDH(config!$G$4,E$1,$A101,$A101),_xll.BDH(config!$G$5,E$1,$A101,$A101))))</f>
        <v>43.76</v>
      </c>
      <c r="F101" s="8">
        <f>IF($A101="","",IF(ISNUMBER(FIND("IMPVOL",F$1)),_xll.BDH(config!$G$4,F$1,WORKDAY($A101,-1,config_Holiday_Calendar_US),WORKDAY($A101,-1,config_Holiday_Calendar_US)),IF(ISNUMBER(_xll.BDH(config!$G$4,F$1,$A101,$A101)),_xll.BDH(config!$G$4,F$1,$A101,$A101),_xll.BDH(config!$G$5,F$1,$A101,$A101))))</f>
        <v>46.09</v>
      </c>
      <c r="G101" s="8">
        <f>IF($A101="","",IF(ISNUMBER(FIND("IMPVOL",G$1)),_xll.BDH(config!$G$4,G$1,WORKDAY($A101,-1,config_Holiday_Calendar_US),WORKDAY($A101,-1,config_Holiday_Calendar_US)),IF(ISNUMBER(_xll.BDH(config!$G$4,G$1,$A101,$A101)),_xll.BDH(config!$G$4,G$1,$A101,$A101),_xll.BDH(config!$G$5,G$1,$A101,$A101))))</f>
        <v>44.14</v>
      </c>
      <c r="H101" s="8">
        <f>IF($A101="","",IF(ISNUMBER(FIND("IMPVOL",H$1)),_xll.BDH(config!$G$4,H$1,WORKDAY($A101,-1,config_Holiday_Calendar_US),WORKDAY($A101,-1,config_Holiday_Calendar_US)),IF(ISNUMBER(_xll.BDH(config!$G$4,H$1,$A101,$A101)),_xll.BDH(config!$G$4,H$1,$A101,$A101),_xll.BDH(config!$G$5,H$1,$A101,$A101))))</f>
        <v>407942</v>
      </c>
      <c r="I101" s="8" t="str">
        <f>IF($A101="","",IF(ISNUMBER(FIND("IMPVOL",I$1)),_xll.BDH(config!$G$4,I$1,WORKDAY($A101,-1,config_Holiday_Calendar_US),WORKDAY($A101,-1,config_Holiday_Calendar_US)),IF(ISNUMBER(_xll.BDH(config!$G$4,I$1,$A101,$A101)),_xll.BDH(config!$G$4,I$1,$A101,$A101),_xll.BDH(config!$G$5,I$1,$A101,$A101))))</f>
        <v>#N/A Requesting Data...</v>
      </c>
      <c r="J101" s="8" t="str">
        <f>IF($A101="","",IF(ISNUMBER(FIND("IMPVOL",J$1)),_xll.BDH(config!$G$4,J$1,WORKDAY($A101,-1,config_Holiday_Calendar_US),WORKDAY($A101,-1,config_Holiday_Calendar_US)),IF(ISNUMBER(_xll.BDH(config!$G$4,J$1,$A101,$A101)),_xll.BDH(config!$G$4,J$1,$A101,$A101),_xll.BDH(config!$G$5,J$1,$A101,$A101))))</f>
        <v>#N/A Requesting Data...</v>
      </c>
      <c r="K101" s="8" t="str">
        <f>IF($A101="","",IF(ISNUMBER(FIND("IMPVOL",K$1)),_xll.BDH(config!$G$4,K$1,WORKDAY($A101,-1,config_Holiday_Calendar_US),WORKDAY($A101,-1,config_Holiday_Calendar_US)),IF(ISNUMBER(_xll.BDH(config!$G$4,K$1,$A101,$A101)),_xll.BDH(config!$G$4,K$1,$A101,$A101),_xll.BDH(config!$G$5,K$1,$A101,$A101))))</f>
        <v>#N/A Requesting Data...</v>
      </c>
      <c r="L101" s="8" t="str">
        <f>IF($A101="","",IF(ISNUMBER(FIND("IMPVOL",L$1)),_xll.BDH(config!$G$4,L$1,WORKDAY($A101,-1,config_Holiday_Calendar_US),WORKDAY($A101,-1,config_Holiday_Calendar_US)),IF(ISNUMBER(_xll.BDH(config!$G$4,L$1,$A101,$A101)),_xll.BDH(config!$G$4,L$1,$A101,$A101),_xll.BDH(config!$G$5,L$1,$A101,$A101))))</f>
        <v>#N/A Requesting Data...</v>
      </c>
      <c r="M101" s="8" t="str">
        <f>IF($A101="","",IF(ISNUMBER(FIND("IMPVOL",M$1)),_xll.BDH(config!$G$4,M$1,WORKDAY($A101,-1,config_Holiday_Calendar_US),WORKDAY($A101,-1,config_Holiday_Calendar_US)),IF(ISNUMBER(_xll.BDH(config!$G$4,M$1,$A101,$A101)),_xll.BDH(config!$G$4,M$1,$A101,$A101),_xll.BDH(config!$G$5,M$1,$A101,$A101))))</f>
        <v>#N/A Requesting Data...</v>
      </c>
      <c r="N101" s="8" t="str">
        <f>IF($A101="","",IF(ISNUMBER(FIND("IMPVOL",N$1)),_xll.BDH(config!$G$4,N$1,WORKDAY($A101,-1,config_Holiday_Calendar_US),WORKDAY($A101,-1,config_Holiday_Calendar_US)),IF(ISNUMBER(_xll.BDH(config!$G$4,N$1,$A101,$A101)),_xll.BDH(config!$G$4,N$1,$A101,$A101),_xll.BDH(config!$G$5,N$1,$A101,$A101))))</f>
        <v>#N/A Requesting Data...</v>
      </c>
      <c r="O101" s="8" t="str">
        <f>IF($A101="","",IF(ISNUMBER(FIND("IMPVOL",O$1)),_xll.BDH(config!$G$4,O$1,WORKDAY($A101,-1,config_Holiday_Calendar_US),WORKDAY($A101,-1,config_Holiday_Calendar_US)),IF(ISNUMBER(_xll.BDH(config!$G$4,O$1,$A101,$A101)),_xll.BDH(config!$G$4,O$1,$A101,$A101),_xll.BDH(config!$G$5,O$1,$A101,$A101))))</f>
        <v>#N/A Requesting Data...</v>
      </c>
      <c r="P101" s="8" t="str">
        <f>IF($A101="","",IF(ISNUMBER(FIND("IMPVOL",P$1)),_xll.BDH(config!$G$4,P$1,WORKDAY($A101,-1,config_Holiday_Calendar_US),WORKDAY($A101,-1,config_Holiday_Calendar_US)),IF(ISNUMBER(_xll.BDH(config!$G$4,P$1,$A101,$A101)),_xll.BDH(config!$G$4,P$1,$A101,$A101),_xll.BDH(config!$G$5,P$1,$A101,$A101))))</f>
        <v>#N/A Requesting Data...</v>
      </c>
      <c r="Q101" s="8">
        <f>IF($A101="","",IF(ISNUMBER(FIND("IMPVOL",Q$1)),_xll.BDH(config!$G$4,Q$1,WORKDAY($A101,-1,config_Holiday_Calendar_US),WORKDAY($A101,-1,config_Holiday_Calendar_US)),IF(ISNUMBER(_xll.BDH(config!$G$4,Q$1,$A101,$A101)),_xll.BDH(config!$G$4,Q$1,$A101,$A101),_xll.BDH(config!$G$5,Q$1,$A101,$A101))))</f>
        <v>38.840000000000003</v>
      </c>
      <c r="R101" s="8">
        <f>IF($A101="","",IF(ISNUMBER(FIND("IMPVOL",R$1)),_xll.BDH(config!$G$4,R$1,WORKDAY($A101,-1,config_Holiday_Calendar_US),WORKDAY($A101,-1,config_Holiday_Calendar_US)),IF(ISNUMBER(_xll.BDH(config!$G$4,R$1,$A101,$A101)),_xll.BDH(config!$G$4,R$1,$A101,$A101),_xll.BDH(config!$G$5,R$1,$A101,$A101))))</f>
        <v>31.19</v>
      </c>
      <c r="S101" s="8" t="str">
        <f>IF($A101="","",IF(ISNUMBER(FIND("IMPVOL",S$1)),_xll.BDH(config!$G$4,S$1,WORKDAY($A101,-1,config_Holiday_Calendar_US),WORKDAY($A101,-1,config_Holiday_Calendar_US)),IF(ISNUMBER(_xll.BDH(config!$G$4,S$1,$A101,$A101)),_xll.BDH(config!$G$4,S$1,$A101,$A101),_xll.BDH(config!$G$5,S$1,$A101,$A101))))</f>
        <v>#N/A Requesting Data...</v>
      </c>
      <c r="T101" s="8" t="str">
        <f>IF($A101="","",IF(ISNUMBER(FIND("IMPVOL",T$1)),_xll.BDH(config!$G$4,T$1,WORKDAY($A101,-1,config_Holiday_Calendar_US),WORKDAY($A101,-1,config_Holiday_Calendar_US)),IF(ISNUMBER(_xll.BDH(config!$G$4,T$1,$A101,$A101)),_xll.BDH(config!$G$4,T$1,$A101,$A101),_xll.BDH(config!$G$5,T$1,$A101,$A101))))</f>
        <v>#N/A Requesting Data...</v>
      </c>
      <c r="U101" s="8" t="str">
        <f>IF($A101="","",IF(ISNUMBER(FIND("IMPVOL",U$1)),_xll.BDH(config!$G$4,U$1,WORKDAY($A101,-1,config_Holiday_Calendar_US),WORKDAY($A101,-1,config_Holiday_Calendar_US)),IF(ISNUMBER(_xll.BDH(config!$G$4,U$1,$A101,$A101)),_xll.BDH(config!$G$4,U$1,$A101,$A101),_xll.BDH(config!$G$5,U$1,$A101,$A101))))</f>
        <v>#N/A Requesting Data...</v>
      </c>
      <c r="V101" s="8" t="str">
        <f>IF($A101="","",IF(ISNUMBER(FIND("IMPVOL",V$1)),_xll.BDH(config!$G$4,V$1,WORKDAY($A101,-1,config_Holiday_Calendar_US),WORKDAY($A101,-1,config_Holiday_Calendar_US)),IF(ISNUMBER(_xll.BDH(config!$G$4,V$1,$A101,$A101)),_xll.BDH(config!$G$4,V$1,$A101,$A101),_xll.BDH(config!$G$5,V$1,$A101,$A101))))</f>
        <v>#N/A Requesting Data...</v>
      </c>
      <c r="W101" s="8" t="str">
        <f>IF($A101="","",IF(ISNUMBER(FIND("IMPVOL",W$1)),_xll.BDH(config!$G$4,W$1,WORKDAY($A101,-1,config_Holiday_Calendar_US),WORKDAY($A101,-1,config_Holiday_Calendar_US)),IF(ISNUMBER(_xll.BDH(config!$G$4,W$1,$A101,$A101)),_xll.BDH(config!$G$4,W$1,$A101,$A101),_xll.BDH(config!$G$5,W$1,$A101,$A101))))</f>
        <v>#N/A Requesting Data...</v>
      </c>
    </row>
    <row r="102" spans="1:23" x14ac:dyDescent="0.2">
      <c r="A102" s="9">
        <f>IF(A101="","",IF(WORKDAY(A101,-1,config_Holiday_Calendar_US)&lt;config!$I$10,"",WORKDAY(A101,-1,config_Holiday_Calendar_US)))</f>
        <v>42688</v>
      </c>
      <c r="B102" s="8" t="e">
        <f t="shared" si="1"/>
        <v>#VALUE!</v>
      </c>
      <c r="C102" s="8" t="str">
        <f>IF(A102="","",_xll.BDH(config!$H$4,C$1,$A102,$A102))</f>
        <v>#N/A Requesting Data...</v>
      </c>
      <c r="D102" s="8" t="str">
        <f>IF($A102="","",_xll.BDH(config!$H$4,D$1,$A102,$A102))</f>
        <v>#N/A Requesting Data...</v>
      </c>
      <c r="E102" s="8">
        <f>IF($A102="","",IF(ISNUMBER(FIND("IMPVOL",E$1)),_xll.BDH(config!$G$4,E$1,WORKDAY($A102,-1,config_Holiday_Calendar_US),WORKDAY($A102,-1,config_Holiday_Calendar_US)),IF(ISNUMBER(_xll.BDH(config!$G$4,E$1,$A102,$A102)),_xll.BDH(config!$G$4,E$1,$A102,$A102),_xll.BDH(config!$G$5,E$1,$A102,$A102))))</f>
        <v>43.2</v>
      </c>
      <c r="F102" s="8">
        <f>IF($A102="","",IF(ISNUMBER(FIND("IMPVOL",F$1)),_xll.BDH(config!$G$4,F$1,WORKDAY($A102,-1,config_Holiday_Calendar_US),WORKDAY($A102,-1,config_Holiday_Calendar_US)),IF(ISNUMBER(_xll.BDH(config!$G$4,F$1,$A102,$A102)),_xll.BDH(config!$G$4,F$1,$A102,$A102),_xll.BDH(config!$G$5,F$1,$A102,$A102))))</f>
        <v>43.81</v>
      </c>
      <c r="G102" s="8">
        <f>IF($A102="","",IF(ISNUMBER(FIND("IMPVOL",G$1)),_xll.BDH(config!$G$4,G$1,WORKDAY($A102,-1,config_Holiday_Calendar_US),WORKDAY($A102,-1,config_Holiday_Calendar_US)),IF(ISNUMBER(_xll.BDH(config!$G$4,G$1,$A102,$A102)),_xll.BDH(config!$G$4,G$1,$A102,$A102),_xll.BDH(config!$G$5,G$1,$A102,$A102))))</f>
        <v>42.95</v>
      </c>
      <c r="H102" s="8">
        <f>IF($A102="","",IF(ISNUMBER(FIND("IMPVOL",H$1)),_xll.BDH(config!$G$4,H$1,WORKDAY($A102,-1,config_Holiday_Calendar_US),WORKDAY($A102,-1,config_Holiday_Calendar_US)),IF(ISNUMBER(_xll.BDH(config!$G$4,H$1,$A102,$A102)),_xll.BDH(config!$G$4,H$1,$A102,$A102),_xll.BDH(config!$G$5,H$1,$A102,$A102))))</f>
        <v>378509</v>
      </c>
      <c r="I102" s="8" t="str">
        <f>IF($A102="","",IF(ISNUMBER(FIND("IMPVOL",I$1)),_xll.BDH(config!$G$4,I$1,WORKDAY($A102,-1,config_Holiday_Calendar_US),WORKDAY($A102,-1,config_Holiday_Calendar_US)),IF(ISNUMBER(_xll.BDH(config!$G$4,I$1,$A102,$A102)),_xll.BDH(config!$G$4,I$1,$A102,$A102),_xll.BDH(config!$G$5,I$1,$A102,$A102))))</f>
        <v>#N/A Requesting Data...</v>
      </c>
      <c r="J102" s="8" t="str">
        <f>IF($A102="","",IF(ISNUMBER(FIND("IMPVOL",J$1)),_xll.BDH(config!$G$4,J$1,WORKDAY($A102,-1,config_Holiday_Calendar_US),WORKDAY($A102,-1,config_Holiday_Calendar_US)),IF(ISNUMBER(_xll.BDH(config!$G$4,J$1,$A102,$A102)),_xll.BDH(config!$G$4,J$1,$A102,$A102),_xll.BDH(config!$G$5,J$1,$A102,$A102))))</f>
        <v>#N/A Requesting Data...</v>
      </c>
      <c r="K102" s="8" t="str">
        <f>IF($A102="","",IF(ISNUMBER(FIND("IMPVOL",K$1)),_xll.BDH(config!$G$4,K$1,WORKDAY($A102,-1,config_Holiday_Calendar_US),WORKDAY($A102,-1,config_Holiday_Calendar_US)),IF(ISNUMBER(_xll.BDH(config!$G$4,K$1,$A102,$A102)),_xll.BDH(config!$G$4,K$1,$A102,$A102),_xll.BDH(config!$G$5,K$1,$A102,$A102))))</f>
        <v>#N/A Requesting Data...</v>
      </c>
      <c r="L102" s="8" t="str">
        <f>IF($A102="","",IF(ISNUMBER(FIND("IMPVOL",L$1)),_xll.BDH(config!$G$4,L$1,WORKDAY($A102,-1,config_Holiday_Calendar_US),WORKDAY($A102,-1,config_Holiday_Calendar_US)),IF(ISNUMBER(_xll.BDH(config!$G$4,L$1,$A102,$A102)),_xll.BDH(config!$G$4,L$1,$A102,$A102),_xll.BDH(config!$G$5,L$1,$A102,$A102))))</f>
        <v>#N/A Requesting Data...</v>
      </c>
      <c r="M102" s="8" t="str">
        <f>IF($A102="","",IF(ISNUMBER(FIND("IMPVOL",M$1)),_xll.BDH(config!$G$4,M$1,WORKDAY($A102,-1,config_Holiday_Calendar_US),WORKDAY($A102,-1,config_Holiday_Calendar_US)),IF(ISNUMBER(_xll.BDH(config!$G$4,M$1,$A102,$A102)),_xll.BDH(config!$G$4,M$1,$A102,$A102),_xll.BDH(config!$G$5,M$1,$A102,$A102))))</f>
        <v>#N/A Requesting Data...</v>
      </c>
      <c r="N102" s="8" t="str">
        <f>IF($A102="","",IF(ISNUMBER(FIND("IMPVOL",N$1)),_xll.BDH(config!$G$4,N$1,WORKDAY($A102,-1,config_Holiday_Calendar_US),WORKDAY($A102,-1,config_Holiday_Calendar_US)),IF(ISNUMBER(_xll.BDH(config!$G$4,N$1,$A102,$A102)),_xll.BDH(config!$G$4,N$1,$A102,$A102),_xll.BDH(config!$G$5,N$1,$A102,$A102))))</f>
        <v>#N/A Requesting Data...</v>
      </c>
      <c r="O102" s="8" t="str">
        <f>IF($A102="","",IF(ISNUMBER(FIND("IMPVOL",O$1)),_xll.BDH(config!$G$4,O$1,WORKDAY($A102,-1,config_Holiday_Calendar_US),WORKDAY($A102,-1,config_Holiday_Calendar_US)),IF(ISNUMBER(_xll.BDH(config!$G$4,O$1,$A102,$A102)),_xll.BDH(config!$G$4,O$1,$A102,$A102),_xll.BDH(config!$G$5,O$1,$A102,$A102))))</f>
        <v>#N/A Requesting Data...</v>
      </c>
      <c r="P102" s="8" t="str">
        <f>IF($A102="","",IF(ISNUMBER(FIND("IMPVOL",P$1)),_xll.BDH(config!$G$4,P$1,WORKDAY($A102,-1,config_Holiday_Calendar_US),WORKDAY($A102,-1,config_Holiday_Calendar_US)),IF(ISNUMBER(_xll.BDH(config!$G$4,P$1,$A102,$A102)),_xll.BDH(config!$G$4,P$1,$A102,$A102),_xll.BDH(config!$G$5,P$1,$A102,$A102))))</f>
        <v>#N/A Requesting Data...</v>
      </c>
      <c r="Q102" s="8">
        <f>IF($A102="","",IF(ISNUMBER(FIND("IMPVOL",Q$1)),_xll.BDH(config!$G$4,Q$1,WORKDAY($A102,-1,config_Holiday_Calendar_US),WORKDAY($A102,-1,config_Holiday_Calendar_US)),IF(ISNUMBER(_xll.BDH(config!$G$4,Q$1,$A102,$A102)),_xll.BDH(config!$G$4,Q$1,$A102,$A102),_xll.BDH(config!$G$5,Q$1,$A102,$A102))))</f>
        <v>24.96</v>
      </c>
      <c r="R102" s="8">
        <f>IF($A102="","",IF(ISNUMBER(FIND("IMPVOL",R$1)),_xll.BDH(config!$G$4,R$1,WORKDAY($A102,-1,config_Holiday_Calendar_US),WORKDAY($A102,-1,config_Holiday_Calendar_US)),IF(ISNUMBER(_xll.BDH(config!$G$4,R$1,$A102,$A102)),_xll.BDH(config!$G$4,R$1,$A102,$A102),_xll.BDH(config!$G$5,R$1,$A102,$A102))))</f>
        <v>26.88</v>
      </c>
      <c r="S102" s="8" t="str">
        <f>IF($A102="","",IF(ISNUMBER(FIND("IMPVOL",S$1)),_xll.BDH(config!$G$4,S$1,WORKDAY($A102,-1,config_Holiday_Calendar_US),WORKDAY($A102,-1,config_Holiday_Calendar_US)),IF(ISNUMBER(_xll.BDH(config!$G$4,S$1,$A102,$A102)),_xll.BDH(config!$G$4,S$1,$A102,$A102),_xll.BDH(config!$G$5,S$1,$A102,$A102))))</f>
        <v>#N/A Requesting Data...</v>
      </c>
      <c r="T102" s="8" t="str">
        <f>IF($A102="","",IF(ISNUMBER(FIND("IMPVOL",T$1)),_xll.BDH(config!$G$4,T$1,WORKDAY($A102,-1,config_Holiday_Calendar_US),WORKDAY($A102,-1,config_Holiday_Calendar_US)),IF(ISNUMBER(_xll.BDH(config!$G$4,T$1,$A102,$A102)),_xll.BDH(config!$G$4,T$1,$A102,$A102),_xll.BDH(config!$G$5,T$1,$A102,$A102))))</f>
        <v>#N/A Requesting Data...</v>
      </c>
      <c r="U102" s="8" t="str">
        <f>IF($A102="","",IF(ISNUMBER(FIND("IMPVOL",U$1)),_xll.BDH(config!$G$4,U$1,WORKDAY($A102,-1,config_Holiday_Calendar_US),WORKDAY($A102,-1,config_Holiday_Calendar_US)),IF(ISNUMBER(_xll.BDH(config!$G$4,U$1,$A102,$A102)),_xll.BDH(config!$G$4,U$1,$A102,$A102),_xll.BDH(config!$G$5,U$1,$A102,$A102))))</f>
        <v>#N/A Requesting Data...</v>
      </c>
      <c r="V102" s="8" t="str">
        <f>IF($A102="","",IF(ISNUMBER(FIND("IMPVOL",V$1)),_xll.BDH(config!$G$4,V$1,WORKDAY($A102,-1,config_Holiday_Calendar_US),WORKDAY($A102,-1,config_Holiday_Calendar_US)),IF(ISNUMBER(_xll.BDH(config!$G$4,V$1,$A102,$A102)),_xll.BDH(config!$G$4,V$1,$A102,$A102),_xll.BDH(config!$G$5,V$1,$A102,$A102))))</f>
        <v>#N/A Requesting Data...</v>
      </c>
      <c r="W102" s="8" t="str">
        <f>IF($A102="","",IF(ISNUMBER(FIND("IMPVOL",W$1)),_xll.BDH(config!$G$4,W$1,WORKDAY($A102,-1,config_Holiday_Calendar_US),WORKDAY($A102,-1,config_Holiday_Calendar_US)),IF(ISNUMBER(_xll.BDH(config!$G$4,W$1,$A102,$A102)),_xll.BDH(config!$G$4,W$1,$A102,$A102),_xll.BDH(config!$G$5,W$1,$A102,$A102))))</f>
        <v>#N/A Requesting Data...</v>
      </c>
    </row>
    <row r="103" spans="1:23" x14ac:dyDescent="0.2">
      <c r="A103" s="9">
        <f>IF(A102="","",IF(WORKDAY(A102,-1,config_Holiday_Calendar_US)&lt;config!$I$10,"",WORKDAY(A102,-1,config_Holiday_Calendar_US)))</f>
        <v>42684</v>
      </c>
      <c r="B103" s="8" t="e">
        <f t="shared" si="1"/>
        <v>#VALUE!</v>
      </c>
      <c r="C103" s="8" t="str">
        <f>IF(A103="","",_xll.BDH(config!$H$4,C$1,$A103,$A103))</f>
        <v>#N/A Requesting Data...</v>
      </c>
      <c r="D103" s="8" t="str">
        <f>IF($A103="","",_xll.BDH(config!$H$4,D$1,$A103,$A103))</f>
        <v>#N/A Requesting Data...</v>
      </c>
      <c r="E103" s="8">
        <f>IF($A103="","",IF(ISNUMBER(FIND("IMPVOL",E$1)),_xll.BDH(config!$G$4,E$1,WORKDAY($A103,-1,config_Holiday_Calendar_US),WORKDAY($A103,-1,config_Holiday_Calendar_US)),IF(ISNUMBER(_xll.BDH(config!$G$4,E$1,$A103,$A103)),_xll.BDH(config!$G$4,E$1,$A103,$A103),_xll.BDH(config!$G$5,E$1,$A103,$A103))))</f>
        <v>45.31</v>
      </c>
      <c r="F103" s="8">
        <f>IF($A103="","",IF(ISNUMBER(FIND("IMPVOL",F$1)),_xll.BDH(config!$G$4,F$1,WORKDAY($A103,-1,config_Holiday_Calendar_US),WORKDAY($A103,-1,config_Holiday_Calendar_US)),IF(ISNUMBER(_xll.BDH(config!$G$4,F$1,$A103,$A103)),_xll.BDH(config!$G$4,F$1,$A103,$A103),_xll.BDH(config!$G$5,F$1,$A103,$A103))))</f>
        <v>45.64</v>
      </c>
      <c r="G103" s="8">
        <f>IF($A103="","",IF(ISNUMBER(FIND("IMPVOL",G$1)),_xll.BDH(config!$G$4,G$1,WORKDAY($A103,-1,config_Holiday_Calendar_US),WORKDAY($A103,-1,config_Holiday_Calendar_US)),IF(ISNUMBER(_xll.BDH(config!$G$4,G$1,$A103,$A103)),_xll.BDH(config!$G$4,G$1,$A103,$A103),_xll.BDH(config!$G$5,G$1,$A103,$A103))))</f>
        <v>44.96</v>
      </c>
      <c r="H103" s="8">
        <f>IF($A103="","",IF(ISNUMBER(FIND("IMPVOL",H$1)),_xll.BDH(config!$G$4,H$1,WORKDAY($A103,-1,config_Holiday_Calendar_US),WORKDAY($A103,-1,config_Holiday_Calendar_US)),IF(ISNUMBER(_xll.BDH(config!$G$4,H$1,$A103,$A103)),_xll.BDH(config!$G$4,H$1,$A103,$A103),_xll.BDH(config!$G$5,H$1,$A103,$A103))))</f>
        <v>314127</v>
      </c>
      <c r="I103" s="8" t="str">
        <f>IF($A103="","",IF(ISNUMBER(FIND("IMPVOL",I$1)),_xll.BDH(config!$G$4,I$1,WORKDAY($A103,-1,config_Holiday_Calendar_US),WORKDAY($A103,-1,config_Holiday_Calendar_US)),IF(ISNUMBER(_xll.BDH(config!$G$4,I$1,$A103,$A103)),_xll.BDH(config!$G$4,I$1,$A103,$A103),_xll.BDH(config!$G$5,I$1,$A103,$A103))))</f>
        <v>#N/A Requesting Data...</v>
      </c>
      <c r="J103" s="8" t="str">
        <f>IF($A103="","",IF(ISNUMBER(FIND("IMPVOL",J$1)),_xll.BDH(config!$G$4,J$1,WORKDAY($A103,-1,config_Holiday_Calendar_US),WORKDAY($A103,-1,config_Holiday_Calendar_US)),IF(ISNUMBER(_xll.BDH(config!$G$4,J$1,$A103,$A103)),_xll.BDH(config!$G$4,J$1,$A103,$A103),_xll.BDH(config!$G$5,J$1,$A103,$A103))))</f>
        <v>#N/A Requesting Data...</v>
      </c>
      <c r="K103" s="8" t="str">
        <f>IF($A103="","",IF(ISNUMBER(FIND("IMPVOL",K$1)),_xll.BDH(config!$G$4,K$1,WORKDAY($A103,-1,config_Holiday_Calendar_US),WORKDAY($A103,-1,config_Holiday_Calendar_US)),IF(ISNUMBER(_xll.BDH(config!$G$4,K$1,$A103,$A103)),_xll.BDH(config!$G$4,K$1,$A103,$A103),_xll.BDH(config!$G$5,K$1,$A103,$A103))))</f>
        <v>#N/A Requesting Data...</v>
      </c>
      <c r="L103" s="8" t="str">
        <f>IF($A103="","",IF(ISNUMBER(FIND("IMPVOL",L$1)),_xll.BDH(config!$G$4,L$1,WORKDAY($A103,-1,config_Holiday_Calendar_US),WORKDAY($A103,-1,config_Holiday_Calendar_US)),IF(ISNUMBER(_xll.BDH(config!$G$4,L$1,$A103,$A103)),_xll.BDH(config!$G$4,L$1,$A103,$A103),_xll.BDH(config!$G$5,L$1,$A103,$A103))))</f>
        <v>#N/A Requesting Data...</v>
      </c>
      <c r="M103" s="8" t="str">
        <f>IF($A103="","",IF(ISNUMBER(FIND("IMPVOL",M$1)),_xll.BDH(config!$G$4,M$1,WORKDAY($A103,-1,config_Holiday_Calendar_US),WORKDAY($A103,-1,config_Holiday_Calendar_US)),IF(ISNUMBER(_xll.BDH(config!$G$4,M$1,$A103,$A103)),_xll.BDH(config!$G$4,M$1,$A103,$A103),_xll.BDH(config!$G$5,M$1,$A103,$A103))))</f>
        <v>#N/A Requesting Data...</v>
      </c>
      <c r="N103" s="8" t="str">
        <f>IF($A103="","",IF(ISNUMBER(FIND("IMPVOL",N$1)),_xll.BDH(config!$G$4,N$1,WORKDAY($A103,-1,config_Holiday_Calendar_US),WORKDAY($A103,-1,config_Holiday_Calendar_US)),IF(ISNUMBER(_xll.BDH(config!$G$4,N$1,$A103,$A103)),_xll.BDH(config!$G$4,N$1,$A103,$A103),_xll.BDH(config!$G$5,N$1,$A103,$A103))))</f>
        <v>#N/A Requesting Data...</v>
      </c>
      <c r="O103" s="8" t="str">
        <f>IF($A103="","",IF(ISNUMBER(FIND("IMPVOL",O$1)),_xll.BDH(config!$G$4,O$1,WORKDAY($A103,-1,config_Holiday_Calendar_US),WORKDAY($A103,-1,config_Holiday_Calendar_US)),IF(ISNUMBER(_xll.BDH(config!$G$4,O$1,$A103,$A103)),_xll.BDH(config!$G$4,O$1,$A103,$A103),_xll.BDH(config!$G$5,O$1,$A103,$A103))))</f>
        <v>#N/A Requesting Data...</v>
      </c>
      <c r="P103" s="8" t="str">
        <f>IF($A103="","",IF(ISNUMBER(FIND("IMPVOL",P$1)),_xll.BDH(config!$G$4,P$1,WORKDAY($A103,-1,config_Holiday_Calendar_US),WORKDAY($A103,-1,config_Holiday_Calendar_US)),IF(ISNUMBER(_xll.BDH(config!$G$4,P$1,$A103,$A103)),_xll.BDH(config!$G$4,P$1,$A103,$A103),_xll.BDH(config!$G$5,P$1,$A103,$A103))))</f>
        <v>#N/A Requesting Data...</v>
      </c>
      <c r="Q103" s="8">
        <f>IF($A103="","",IF(ISNUMBER(FIND("IMPVOL",Q$1)),_xll.BDH(config!$G$4,Q$1,WORKDAY($A103,-1,config_Holiday_Calendar_US),WORKDAY($A103,-1,config_Holiday_Calendar_US)),IF(ISNUMBER(_xll.BDH(config!$G$4,Q$1,$A103,$A103)),_xll.BDH(config!$G$4,Q$1,$A103,$A103),_xll.BDH(config!$G$5,Q$1,$A103,$A103))))</f>
        <v>28.38</v>
      </c>
      <c r="R103" s="8">
        <f>IF($A103="","",IF(ISNUMBER(FIND("IMPVOL",R$1)),_xll.BDH(config!$G$4,R$1,WORKDAY($A103,-1,config_Holiday_Calendar_US),WORKDAY($A103,-1,config_Holiday_Calendar_US)),IF(ISNUMBER(_xll.BDH(config!$G$4,R$1,$A103,$A103)),_xll.BDH(config!$G$4,R$1,$A103,$A103),_xll.BDH(config!$G$5,R$1,$A103,$A103))))</f>
        <v>26.28</v>
      </c>
      <c r="S103" s="8" t="str">
        <f>IF($A103="","",IF(ISNUMBER(FIND("IMPVOL",S$1)),_xll.BDH(config!$G$4,S$1,WORKDAY($A103,-1,config_Holiday_Calendar_US),WORKDAY($A103,-1,config_Holiday_Calendar_US)),IF(ISNUMBER(_xll.BDH(config!$G$4,S$1,$A103,$A103)),_xll.BDH(config!$G$4,S$1,$A103,$A103),_xll.BDH(config!$G$5,S$1,$A103,$A103))))</f>
        <v>#N/A Requesting Data...</v>
      </c>
      <c r="T103" s="8" t="str">
        <f>IF($A103="","",IF(ISNUMBER(FIND("IMPVOL",T$1)),_xll.BDH(config!$G$4,T$1,WORKDAY($A103,-1,config_Holiday_Calendar_US),WORKDAY($A103,-1,config_Holiday_Calendar_US)),IF(ISNUMBER(_xll.BDH(config!$G$4,T$1,$A103,$A103)),_xll.BDH(config!$G$4,T$1,$A103,$A103),_xll.BDH(config!$G$5,T$1,$A103,$A103))))</f>
        <v>#N/A Requesting Data...</v>
      </c>
      <c r="U103" s="8" t="str">
        <f>IF($A103="","",IF(ISNUMBER(FIND("IMPVOL",U$1)),_xll.BDH(config!$G$4,U$1,WORKDAY($A103,-1,config_Holiday_Calendar_US),WORKDAY($A103,-1,config_Holiday_Calendar_US)),IF(ISNUMBER(_xll.BDH(config!$G$4,U$1,$A103,$A103)),_xll.BDH(config!$G$4,U$1,$A103,$A103),_xll.BDH(config!$G$5,U$1,$A103,$A103))))</f>
        <v>#N/A Requesting Data...</v>
      </c>
      <c r="V103" s="8" t="str">
        <f>IF($A103="","",IF(ISNUMBER(FIND("IMPVOL",V$1)),_xll.BDH(config!$G$4,V$1,WORKDAY($A103,-1,config_Holiday_Calendar_US),WORKDAY($A103,-1,config_Holiday_Calendar_US)),IF(ISNUMBER(_xll.BDH(config!$G$4,V$1,$A103,$A103)),_xll.BDH(config!$G$4,V$1,$A103,$A103),_xll.BDH(config!$G$5,V$1,$A103,$A103))))</f>
        <v>#N/A Requesting Data...</v>
      </c>
      <c r="W103" s="8" t="str">
        <f>IF($A103="","",IF(ISNUMBER(FIND("IMPVOL",W$1)),_xll.BDH(config!$G$4,W$1,WORKDAY($A103,-1,config_Holiday_Calendar_US),WORKDAY($A103,-1,config_Holiday_Calendar_US)),IF(ISNUMBER(_xll.BDH(config!$G$4,W$1,$A103,$A103)),_xll.BDH(config!$G$4,W$1,$A103,$A103),_xll.BDH(config!$G$5,W$1,$A103,$A103))))</f>
        <v>#N/A Requesting Data...</v>
      </c>
    </row>
    <row r="104" spans="1:23" x14ac:dyDescent="0.2">
      <c r="A104" s="9">
        <f>IF(A103="","",IF(WORKDAY(A103,-1,config_Holiday_Calendar_US)&lt;config!$I$10,"",WORKDAY(A103,-1,config_Holiday_Calendar_US)))</f>
        <v>42683</v>
      </c>
      <c r="B104" s="8" t="e">
        <f t="shared" si="1"/>
        <v>#VALUE!</v>
      </c>
      <c r="C104" s="8" t="str">
        <f>IF(A104="","",_xll.BDH(config!$H$4,C$1,$A104,$A104))</f>
        <v>#N/A Requesting Data...</v>
      </c>
      <c r="D104" s="8" t="str">
        <f>IF($A104="","",_xll.BDH(config!$H$4,D$1,$A104,$A104))</f>
        <v>#N/A Requesting Data...</v>
      </c>
      <c r="E104" s="8">
        <f>IF($A104="","",IF(ISNUMBER(FIND("IMPVOL",E$1)),_xll.BDH(config!$G$4,E$1,WORKDAY($A104,-1,config_Holiday_Calendar_US),WORKDAY($A104,-1,config_Holiday_Calendar_US)),IF(ISNUMBER(_xll.BDH(config!$G$4,E$1,$A104,$A104)),_xll.BDH(config!$G$4,E$1,$A104,$A104),_xll.BDH(config!$G$5,E$1,$A104,$A104))))</f>
        <v>44.82</v>
      </c>
      <c r="F104" s="8">
        <f>IF($A104="","",IF(ISNUMBER(FIND("IMPVOL",F$1)),_xll.BDH(config!$G$4,F$1,WORKDAY($A104,-1,config_Holiday_Calendar_US),WORKDAY($A104,-1,config_Holiday_Calendar_US)),IF(ISNUMBER(_xll.BDH(config!$G$4,F$1,$A104,$A104)),_xll.BDH(config!$G$4,F$1,$A104,$A104),_xll.BDH(config!$G$5,F$1,$A104,$A104))))</f>
        <v>45.95</v>
      </c>
      <c r="G104" s="8">
        <f>IF($A104="","",IF(ISNUMBER(FIND("IMPVOL",G$1)),_xll.BDH(config!$G$4,G$1,WORKDAY($A104,-1,config_Holiday_Calendar_US),WORKDAY($A104,-1,config_Holiday_Calendar_US)),IF(ISNUMBER(_xll.BDH(config!$G$4,G$1,$A104,$A104)),_xll.BDH(config!$G$4,G$1,$A104,$A104),_xll.BDH(config!$G$5,G$1,$A104,$A104))))</f>
        <v>43.75</v>
      </c>
      <c r="H104" s="8">
        <f>IF($A104="","",IF(ISNUMBER(FIND("IMPVOL",H$1)),_xll.BDH(config!$G$4,H$1,WORKDAY($A104,-1,config_Holiday_Calendar_US),WORKDAY($A104,-1,config_Holiday_Calendar_US)),IF(ISNUMBER(_xll.BDH(config!$G$4,H$1,$A104,$A104)),_xll.BDH(config!$G$4,H$1,$A104,$A104),_xll.BDH(config!$G$5,H$1,$A104,$A104))))</f>
        <v>414385</v>
      </c>
      <c r="I104" s="8" t="str">
        <f>IF($A104="","",IF(ISNUMBER(FIND("IMPVOL",I$1)),_xll.BDH(config!$G$4,I$1,WORKDAY($A104,-1,config_Holiday_Calendar_US),WORKDAY($A104,-1,config_Holiday_Calendar_US)),IF(ISNUMBER(_xll.BDH(config!$G$4,I$1,$A104,$A104)),_xll.BDH(config!$G$4,I$1,$A104,$A104),_xll.BDH(config!$G$5,I$1,$A104,$A104))))</f>
        <v>#N/A Requesting Data...</v>
      </c>
      <c r="J104" s="8" t="str">
        <f>IF($A104="","",IF(ISNUMBER(FIND("IMPVOL",J$1)),_xll.BDH(config!$G$4,J$1,WORKDAY($A104,-1,config_Holiday_Calendar_US),WORKDAY($A104,-1,config_Holiday_Calendar_US)),IF(ISNUMBER(_xll.BDH(config!$G$4,J$1,$A104,$A104)),_xll.BDH(config!$G$4,J$1,$A104,$A104),_xll.BDH(config!$G$5,J$1,$A104,$A104))))</f>
        <v>#N/A Requesting Data...</v>
      </c>
      <c r="K104" s="8" t="str">
        <f>IF($A104="","",IF(ISNUMBER(FIND("IMPVOL",K$1)),_xll.BDH(config!$G$4,K$1,WORKDAY($A104,-1,config_Holiday_Calendar_US),WORKDAY($A104,-1,config_Holiday_Calendar_US)),IF(ISNUMBER(_xll.BDH(config!$G$4,K$1,$A104,$A104)),_xll.BDH(config!$G$4,K$1,$A104,$A104),_xll.BDH(config!$G$5,K$1,$A104,$A104))))</f>
        <v>#N/A Requesting Data...</v>
      </c>
      <c r="L104" s="8" t="str">
        <f>IF($A104="","",IF(ISNUMBER(FIND("IMPVOL",L$1)),_xll.BDH(config!$G$4,L$1,WORKDAY($A104,-1,config_Holiday_Calendar_US),WORKDAY($A104,-1,config_Holiday_Calendar_US)),IF(ISNUMBER(_xll.BDH(config!$G$4,L$1,$A104,$A104)),_xll.BDH(config!$G$4,L$1,$A104,$A104),_xll.BDH(config!$G$5,L$1,$A104,$A104))))</f>
        <v>#N/A Requesting Data...</v>
      </c>
      <c r="M104" s="8" t="str">
        <f>IF($A104="","",IF(ISNUMBER(FIND("IMPVOL",M$1)),_xll.BDH(config!$G$4,M$1,WORKDAY($A104,-1,config_Holiday_Calendar_US),WORKDAY($A104,-1,config_Holiday_Calendar_US)),IF(ISNUMBER(_xll.BDH(config!$G$4,M$1,$A104,$A104)),_xll.BDH(config!$G$4,M$1,$A104,$A104),_xll.BDH(config!$G$5,M$1,$A104,$A104))))</f>
        <v>#N/A Requesting Data...</v>
      </c>
      <c r="N104" s="8" t="str">
        <f>IF($A104="","",IF(ISNUMBER(FIND("IMPVOL",N$1)),_xll.BDH(config!$G$4,N$1,WORKDAY($A104,-1,config_Holiday_Calendar_US),WORKDAY($A104,-1,config_Holiday_Calendar_US)),IF(ISNUMBER(_xll.BDH(config!$G$4,N$1,$A104,$A104)),_xll.BDH(config!$G$4,N$1,$A104,$A104),_xll.BDH(config!$G$5,N$1,$A104,$A104))))</f>
        <v>#N/A Requesting Data...</v>
      </c>
      <c r="O104" s="8" t="str">
        <f>IF($A104="","",IF(ISNUMBER(FIND("IMPVOL",O$1)),_xll.BDH(config!$G$4,O$1,WORKDAY($A104,-1,config_Holiday_Calendar_US),WORKDAY($A104,-1,config_Holiday_Calendar_US)),IF(ISNUMBER(_xll.BDH(config!$G$4,O$1,$A104,$A104)),_xll.BDH(config!$G$4,O$1,$A104,$A104),_xll.BDH(config!$G$5,O$1,$A104,$A104))))</f>
        <v>#N/A Requesting Data...</v>
      </c>
      <c r="P104" s="8" t="str">
        <f>IF($A104="","",IF(ISNUMBER(FIND("IMPVOL",P$1)),_xll.BDH(config!$G$4,P$1,WORKDAY($A104,-1,config_Holiday_Calendar_US),WORKDAY($A104,-1,config_Holiday_Calendar_US)),IF(ISNUMBER(_xll.BDH(config!$G$4,P$1,$A104,$A104)),_xll.BDH(config!$G$4,P$1,$A104,$A104),_xll.BDH(config!$G$5,P$1,$A104,$A104))))</f>
        <v>#N/A Requesting Data...</v>
      </c>
      <c r="Q104" s="8">
        <f>IF($A104="","",IF(ISNUMBER(FIND("IMPVOL",Q$1)),_xll.BDH(config!$G$4,Q$1,WORKDAY($A104,-1,config_Holiday_Calendar_US),WORKDAY($A104,-1,config_Holiday_Calendar_US)),IF(ISNUMBER(_xll.BDH(config!$G$4,Q$1,$A104,$A104)),_xll.BDH(config!$G$4,Q$1,$A104,$A104),_xll.BDH(config!$G$5,Q$1,$A104,$A104))))</f>
        <v>28.96</v>
      </c>
      <c r="R104" s="8">
        <f>IF($A104="","",IF(ISNUMBER(FIND("IMPVOL",R$1)),_xll.BDH(config!$G$4,R$1,WORKDAY($A104,-1,config_Holiday_Calendar_US),WORKDAY($A104,-1,config_Holiday_Calendar_US)),IF(ISNUMBER(_xll.BDH(config!$G$4,R$1,$A104,$A104)),_xll.BDH(config!$G$4,R$1,$A104,$A104),_xll.BDH(config!$G$5,R$1,$A104,$A104))))</f>
        <v>26.29</v>
      </c>
      <c r="S104" s="8" t="str">
        <f>IF($A104="","",IF(ISNUMBER(FIND("IMPVOL",S$1)),_xll.BDH(config!$G$4,S$1,WORKDAY($A104,-1,config_Holiday_Calendar_US),WORKDAY($A104,-1,config_Holiday_Calendar_US)),IF(ISNUMBER(_xll.BDH(config!$G$4,S$1,$A104,$A104)),_xll.BDH(config!$G$4,S$1,$A104,$A104),_xll.BDH(config!$G$5,S$1,$A104,$A104))))</f>
        <v>#N/A Requesting Data...</v>
      </c>
      <c r="T104" s="8" t="str">
        <f>IF($A104="","",IF(ISNUMBER(FIND("IMPVOL",T$1)),_xll.BDH(config!$G$4,T$1,WORKDAY($A104,-1,config_Holiday_Calendar_US),WORKDAY($A104,-1,config_Holiday_Calendar_US)),IF(ISNUMBER(_xll.BDH(config!$G$4,T$1,$A104,$A104)),_xll.BDH(config!$G$4,T$1,$A104,$A104),_xll.BDH(config!$G$5,T$1,$A104,$A104))))</f>
        <v>#N/A Requesting Data...</v>
      </c>
      <c r="U104" s="8" t="str">
        <f>IF($A104="","",IF(ISNUMBER(FIND("IMPVOL",U$1)),_xll.BDH(config!$G$4,U$1,WORKDAY($A104,-1,config_Holiday_Calendar_US),WORKDAY($A104,-1,config_Holiday_Calendar_US)),IF(ISNUMBER(_xll.BDH(config!$G$4,U$1,$A104,$A104)),_xll.BDH(config!$G$4,U$1,$A104,$A104),_xll.BDH(config!$G$5,U$1,$A104,$A104))))</f>
        <v>#N/A Requesting Data...</v>
      </c>
      <c r="V104" s="8" t="str">
        <f>IF($A104="","",IF(ISNUMBER(FIND("IMPVOL",V$1)),_xll.BDH(config!$G$4,V$1,WORKDAY($A104,-1,config_Holiday_Calendar_US),WORKDAY($A104,-1,config_Holiday_Calendar_US)),IF(ISNUMBER(_xll.BDH(config!$G$4,V$1,$A104,$A104)),_xll.BDH(config!$G$4,V$1,$A104,$A104),_xll.BDH(config!$G$5,V$1,$A104,$A104))))</f>
        <v>#N/A Requesting Data...</v>
      </c>
      <c r="W104" s="8" t="str">
        <f>IF($A104="","",IF(ISNUMBER(FIND("IMPVOL",W$1)),_xll.BDH(config!$G$4,W$1,WORKDAY($A104,-1,config_Holiday_Calendar_US),WORKDAY($A104,-1,config_Holiday_Calendar_US)),IF(ISNUMBER(_xll.BDH(config!$G$4,W$1,$A104,$A104)),_xll.BDH(config!$G$4,W$1,$A104,$A104),_xll.BDH(config!$G$5,W$1,$A104,$A104))))</f>
        <v>#N/A Requesting Data...</v>
      </c>
    </row>
    <row r="105" spans="1:23" x14ac:dyDescent="0.2">
      <c r="A105" s="9">
        <f>IF(A104="","",IF(WORKDAY(A104,-1,config_Holiday_Calendar_US)&lt;config!$I$10,"",WORKDAY(A104,-1,config_Holiday_Calendar_US)))</f>
        <v>42682</v>
      </c>
      <c r="B105" s="8" t="e">
        <f t="shared" si="1"/>
        <v>#VALUE!</v>
      </c>
      <c r="C105" s="8" t="str">
        <f>IF(A105="","",_xll.BDH(config!$H$4,C$1,$A105,$A105))</f>
        <v>#N/A Requesting Data...</v>
      </c>
      <c r="D105" s="8" t="str">
        <f>IF($A105="","",_xll.BDH(config!$H$4,D$1,$A105,$A105))</f>
        <v>#N/A Requesting Data...</v>
      </c>
      <c r="E105" s="8">
        <f>IF($A105="","",IF(ISNUMBER(FIND("IMPVOL",E$1)),_xll.BDH(config!$G$4,E$1,WORKDAY($A105,-1,config_Holiday_Calendar_US),WORKDAY($A105,-1,config_Holiday_Calendar_US)),IF(ISNUMBER(_xll.BDH(config!$G$4,E$1,$A105,$A105)),_xll.BDH(config!$G$4,E$1,$A105,$A105),_xll.BDH(config!$G$5,E$1,$A105,$A105))))</f>
        <v>44.97</v>
      </c>
      <c r="F105" s="8">
        <f>IF($A105="","",IF(ISNUMBER(FIND("IMPVOL",F$1)),_xll.BDH(config!$G$4,F$1,WORKDAY($A105,-1,config_Holiday_Calendar_US),WORKDAY($A105,-1,config_Holiday_Calendar_US)),IF(ISNUMBER(_xll.BDH(config!$G$4,F$1,$A105,$A105)),_xll.BDH(config!$G$4,F$1,$A105,$A105),_xll.BDH(config!$G$5,F$1,$A105,$A105))))</f>
        <v>45.39</v>
      </c>
      <c r="G105" s="8">
        <f>IF($A105="","",IF(ISNUMBER(FIND("IMPVOL",G$1)),_xll.BDH(config!$G$4,G$1,WORKDAY($A105,-1,config_Holiday_Calendar_US),WORKDAY($A105,-1,config_Holiday_Calendar_US)),IF(ISNUMBER(_xll.BDH(config!$G$4,G$1,$A105,$A105)),_xll.BDH(config!$G$4,G$1,$A105,$A105),_xll.BDH(config!$G$5,G$1,$A105,$A105))))</f>
        <v>44.99</v>
      </c>
      <c r="H105" s="8">
        <f>IF($A105="","",IF(ISNUMBER(FIND("IMPVOL",H$1)),_xll.BDH(config!$G$4,H$1,WORKDAY($A105,-1,config_Holiday_Calendar_US),WORKDAY($A105,-1,config_Holiday_Calendar_US)),IF(ISNUMBER(_xll.BDH(config!$G$4,H$1,$A105,$A105)),_xll.BDH(config!$G$4,H$1,$A105,$A105),_xll.BDH(config!$G$5,H$1,$A105,$A105))))</f>
        <v>303387</v>
      </c>
      <c r="I105" s="8" t="str">
        <f>IF($A105="","",IF(ISNUMBER(FIND("IMPVOL",I$1)),_xll.BDH(config!$G$4,I$1,WORKDAY($A105,-1,config_Holiday_Calendar_US),WORKDAY($A105,-1,config_Holiday_Calendar_US)),IF(ISNUMBER(_xll.BDH(config!$G$4,I$1,$A105,$A105)),_xll.BDH(config!$G$4,I$1,$A105,$A105),_xll.BDH(config!$G$5,I$1,$A105,$A105))))</f>
        <v>#N/A Requesting Data...</v>
      </c>
      <c r="J105" s="8" t="str">
        <f>IF($A105="","",IF(ISNUMBER(FIND("IMPVOL",J$1)),_xll.BDH(config!$G$4,J$1,WORKDAY($A105,-1,config_Holiday_Calendar_US),WORKDAY($A105,-1,config_Holiday_Calendar_US)),IF(ISNUMBER(_xll.BDH(config!$G$4,J$1,$A105,$A105)),_xll.BDH(config!$G$4,J$1,$A105,$A105),_xll.BDH(config!$G$5,J$1,$A105,$A105))))</f>
        <v>#N/A Requesting Data...</v>
      </c>
      <c r="K105" s="8" t="str">
        <f>IF($A105="","",IF(ISNUMBER(FIND("IMPVOL",K$1)),_xll.BDH(config!$G$4,K$1,WORKDAY($A105,-1,config_Holiday_Calendar_US),WORKDAY($A105,-1,config_Holiday_Calendar_US)),IF(ISNUMBER(_xll.BDH(config!$G$4,K$1,$A105,$A105)),_xll.BDH(config!$G$4,K$1,$A105,$A105),_xll.BDH(config!$G$5,K$1,$A105,$A105))))</f>
        <v>#N/A Requesting Data...</v>
      </c>
      <c r="L105" s="8" t="str">
        <f>IF($A105="","",IF(ISNUMBER(FIND("IMPVOL",L$1)),_xll.BDH(config!$G$4,L$1,WORKDAY($A105,-1,config_Holiday_Calendar_US),WORKDAY($A105,-1,config_Holiday_Calendar_US)),IF(ISNUMBER(_xll.BDH(config!$G$4,L$1,$A105,$A105)),_xll.BDH(config!$G$4,L$1,$A105,$A105),_xll.BDH(config!$G$5,L$1,$A105,$A105))))</f>
        <v>#N/A Requesting Data...</v>
      </c>
      <c r="M105" s="8" t="str">
        <f>IF($A105="","",IF(ISNUMBER(FIND("IMPVOL",M$1)),_xll.BDH(config!$G$4,M$1,WORKDAY($A105,-1,config_Holiday_Calendar_US),WORKDAY($A105,-1,config_Holiday_Calendar_US)),IF(ISNUMBER(_xll.BDH(config!$G$4,M$1,$A105,$A105)),_xll.BDH(config!$G$4,M$1,$A105,$A105),_xll.BDH(config!$G$5,M$1,$A105,$A105))))</f>
        <v>#N/A Requesting Data...</v>
      </c>
      <c r="N105" s="8" t="str">
        <f>IF($A105="","",IF(ISNUMBER(FIND("IMPVOL",N$1)),_xll.BDH(config!$G$4,N$1,WORKDAY($A105,-1,config_Holiday_Calendar_US),WORKDAY($A105,-1,config_Holiday_Calendar_US)),IF(ISNUMBER(_xll.BDH(config!$G$4,N$1,$A105,$A105)),_xll.BDH(config!$G$4,N$1,$A105,$A105),_xll.BDH(config!$G$5,N$1,$A105,$A105))))</f>
        <v>#N/A Requesting Data...</v>
      </c>
      <c r="O105" s="8" t="str">
        <f>IF($A105="","",IF(ISNUMBER(FIND("IMPVOL",O$1)),_xll.BDH(config!$G$4,O$1,WORKDAY($A105,-1,config_Holiday_Calendar_US),WORKDAY($A105,-1,config_Holiday_Calendar_US)),IF(ISNUMBER(_xll.BDH(config!$G$4,O$1,$A105,$A105)),_xll.BDH(config!$G$4,O$1,$A105,$A105),_xll.BDH(config!$G$5,O$1,$A105,$A105))))</f>
        <v>#N/A Requesting Data...</v>
      </c>
      <c r="P105" s="8" t="str">
        <f>IF($A105="","",IF(ISNUMBER(FIND("IMPVOL",P$1)),_xll.BDH(config!$G$4,P$1,WORKDAY($A105,-1,config_Holiday_Calendar_US),WORKDAY($A105,-1,config_Holiday_Calendar_US)),IF(ISNUMBER(_xll.BDH(config!$G$4,P$1,$A105,$A105)),_xll.BDH(config!$G$4,P$1,$A105,$A105),_xll.BDH(config!$G$5,P$1,$A105,$A105))))</f>
        <v>#N/A Requesting Data...</v>
      </c>
      <c r="Q105" s="8">
        <f>IF($A105="","",IF(ISNUMBER(FIND("IMPVOL",Q$1)),_xll.BDH(config!$G$4,Q$1,WORKDAY($A105,-1,config_Holiday_Calendar_US),WORKDAY($A105,-1,config_Holiday_Calendar_US)),IF(ISNUMBER(_xll.BDH(config!$G$4,Q$1,$A105,$A105)),_xll.BDH(config!$G$4,Q$1,$A105,$A105),_xll.BDH(config!$G$5,Q$1,$A105,$A105))))</f>
        <v>29.58</v>
      </c>
      <c r="R105" s="8">
        <f>IF($A105="","",IF(ISNUMBER(FIND("IMPVOL",R$1)),_xll.BDH(config!$G$4,R$1,WORKDAY($A105,-1,config_Holiday_Calendar_US),WORKDAY($A105,-1,config_Holiday_Calendar_US)),IF(ISNUMBER(_xll.BDH(config!$G$4,R$1,$A105,$A105)),_xll.BDH(config!$G$4,R$1,$A105,$A105),_xll.BDH(config!$G$5,R$1,$A105,$A105))))</f>
        <v>26.68</v>
      </c>
      <c r="S105" s="8" t="str">
        <f>IF($A105="","",IF(ISNUMBER(FIND("IMPVOL",S$1)),_xll.BDH(config!$G$4,S$1,WORKDAY($A105,-1,config_Holiday_Calendar_US),WORKDAY($A105,-1,config_Holiday_Calendar_US)),IF(ISNUMBER(_xll.BDH(config!$G$4,S$1,$A105,$A105)),_xll.BDH(config!$G$4,S$1,$A105,$A105),_xll.BDH(config!$G$5,S$1,$A105,$A105))))</f>
        <v>#N/A Requesting Data...</v>
      </c>
      <c r="T105" s="8" t="str">
        <f>IF($A105="","",IF(ISNUMBER(FIND("IMPVOL",T$1)),_xll.BDH(config!$G$4,T$1,WORKDAY($A105,-1,config_Holiday_Calendar_US),WORKDAY($A105,-1,config_Holiday_Calendar_US)),IF(ISNUMBER(_xll.BDH(config!$G$4,T$1,$A105,$A105)),_xll.BDH(config!$G$4,T$1,$A105,$A105),_xll.BDH(config!$G$5,T$1,$A105,$A105))))</f>
        <v>#N/A Requesting Data...</v>
      </c>
      <c r="U105" s="8" t="str">
        <f>IF($A105="","",IF(ISNUMBER(FIND("IMPVOL",U$1)),_xll.BDH(config!$G$4,U$1,WORKDAY($A105,-1,config_Holiday_Calendar_US),WORKDAY($A105,-1,config_Holiday_Calendar_US)),IF(ISNUMBER(_xll.BDH(config!$G$4,U$1,$A105,$A105)),_xll.BDH(config!$G$4,U$1,$A105,$A105),_xll.BDH(config!$G$5,U$1,$A105,$A105))))</f>
        <v>#N/A Requesting Data...</v>
      </c>
      <c r="V105" s="8" t="str">
        <f>IF($A105="","",IF(ISNUMBER(FIND("IMPVOL",V$1)),_xll.BDH(config!$G$4,V$1,WORKDAY($A105,-1,config_Holiday_Calendar_US),WORKDAY($A105,-1,config_Holiday_Calendar_US)),IF(ISNUMBER(_xll.BDH(config!$G$4,V$1,$A105,$A105)),_xll.BDH(config!$G$4,V$1,$A105,$A105),_xll.BDH(config!$G$5,V$1,$A105,$A105))))</f>
        <v>#N/A Requesting Data...</v>
      </c>
      <c r="W105" s="8" t="str">
        <f>IF($A105="","",IF(ISNUMBER(FIND("IMPVOL",W$1)),_xll.BDH(config!$G$4,W$1,WORKDAY($A105,-1,config_Holiday_Calendar_US),WORKDAY($A105,-1,config_Holiday_Calendar_US)),IF(ISNUMBER(_xll.BDH(config!$G$4,W$1,$A105,$A105)),_xll.BDH(config!$G$4,W$1,$A105,$A105),_xll.BDH(config!$G$5,W$1,$A105,$A105))))</f>
        <v>#N/A Requesting Data...</v>
      </c>
    </row>
    <row r="106" spans="1:23" x14ac:dyDescent="0.2">
      <c r="A106" s="9">
        <f>IF(A105="","",IF(WORKDAY(A105,-1,config_Holiday_Calendar_US)&lt;config!$I$10,"",WORKDAY(A105,-1,config_Holiday_Calendar_US)))</f>
        <v>42681</v>
      </c>
      <c r="B106" s="8" t="e">
        <f t="shared" si="1"/>
        <v>#VALUE!</v>
      </c>
      <c r="C106" s="8" t="str">
        <f>IF(A106="","",_xll.BDH(config!$H$4,C$1,$A106,$A106))</f>
        <v>#N/A Requesting Data...</v>
      </c>
      <c r="D106" s="8" t="str">
        <f>IF($A106="","",_xll.BDH(config!$H$4,D$1,$A106,$A106))</f>
        <v>#N/A Requesting Data...</v>
      </c>
      <c r="E106" s="8">
        <f>IF($A106="","",IF(ISNUMBER(FIND("IMPVOL",E$1)),_xll.BDH(config!$G$4,E$1,WORKDAY($A106,-1,config_Holiday_Calendar_US),WORKDAY($A106,-1,config_Holiday_Calendar_US)),IF(ISNUMBER(_xll.BDH(config!$G$4,E$1,$A106,$A106)),_xll.BDH(config!$G$4,E$1,$A106,$A106),_xll.BDH(config!$G$5,E$1,$A106,$A106))))</f>
        <v>44.45</v>
      </c>
      <c r="F106" s="8">
        <f>IF($A106="","",IF(ISNUMBER(FIND("IMPVOL",F$1)),_xll.BDH(config!$G$4,F$1,WORKDAY($A106,-1,config_Holiday_Calendar_US),WORKDAY($A106,-1,config_Holiday_Calendar_US)),IF(ISNUMBER(_xll.BDH(config!$G$4,F$1,$A106,$A106)),_xll.BDH(config!$G$4,F$1,$A106,$A106),_xll.BDH(config!$G$5,F$1,$A106,$A106))))</f>
        <v>45.01</v>
      </c>
      <c r="G106" s="8">
        <f>IF($A106="","",IF(ISNUMBER(FIND("IMPVOL",G$1)),_xll.BDH(config!$G$4,G$1,WORKDAY($A106,-1,config_Holiday_Calendar_US),WORKDAY($A106,-1,config_Holiday_Calendar_US)),IF(ISNUMBER(_xll.BDH(config!$G$4,G$1,$A106,$A106)),_xll.BDH(config!$G$4,G$1,$A106,$A106),_xll.BDH(config!$G$5,G$1,$A106,$A106))))</f>
        <v>44.68</v>
      </c>
      <c r="H106" s="8">
        <f>IF($A106="","",IF(ISNUMBER(FIND("IMPVOL",H$1)),_xll.BDH(config!$G$4,H$1,WORKDAY($A106,-1,config_Holiday_Calendar_US),WORKDAY($A106,-1,config_Holiday_Calendar_US)),IF(ISNUMBER(_xll.BDH(config!$G$4,H$1,$A106,$A106)),_xll.BDH(config!$G$4,H$1,$A106,$A106),_xll.BDH(config!$G$5,H$1,$A106,$A106))))</f>
        <v>257429</v>
      </c>
      <c r="I106" s="8" t="str">
        <f>IF($A106="","",IF(ISNUMBER(FIND("IMPVOL",I$1)),_xll.BDH(config!$G$4,I$1,WORKDAY($A106,-1,config_Holiday_Calendar_US),WORKDAY($A106,-1,config_Holiday_Calendar_US)),IF(ISNUMBER(_xll.BDH(config!$G$4,I$1,$A106,$A106)),_xll.BDH(config!$G$4,I$1,$A106,$A106),_xll.BDH(config!$G$5,I$1,$A106,$A106))))</f>
        <v>#N/A Requesting Data...</v>
      </c>
      <c r="J106" s="8" t="str">
        <f>IF($A106="","",IF(ISNUMBER(FIND("IMPVOL",J$1)),_xll.BDH(config!$G$4,J$1,WORKDAY($A106,-1,config_Holiday_Calendar_US),WORKDAY($A106,-1,config_Holiday_Calendar_US)),IF(ISNUMBER(_xll.BDH(config!$G$4,J$1,$A106,$A106)),_xll.BDH(config!$G$4,J$1,$A106,$A106),_xll.BDH(config!$G$5,J$1,$A106,$A106))))</f>
        <v>#N/A Requesting Data...</v>
      </c>
      <c r="K106" s="8" t="str">
        <f>IF($A106="","",IF(ISNUMBER(FIND("IMPVOL",K$1)),_xll.BDH(config!$G$4,K$1,WORKDAY($A106,-1,config_Holiday_Calendar_US),WORKDAY($A106,-1,config_Holiday_Calendar_US)),IF(ISNUMBER(_xll.BDH(config!$G$4,K$1,$A106,$A106)),_xll.BDH(config!$G$4,K$1,$A106,$A106),_xll.BDH(config!$G$5,K$1,$A106,$A106))))</f>
        <v>#N/A Requesting Data...</v>
      </c>
      <c r="L106" s="8" t="str">
        <f>IF($A106="","",IF(ISNUMBER(FIND("IMPVOL",L$1)),_xll.BDH(config!$G$4,L$1,WORKDAY($A106,-1,config_Holiday_Calendar_US),WORKDAY($A106,-1,config_Holiday_Calendar_US)),IF(ISNUMBER(_xll.BDH(config!$G$4,L$1,$A106,$A106)),_xll.BDH(config!$G$4,L$1,$A106,$A106),_xll.BDH(config!$G$5,L$1,$A106,$A106))))</f>
        <v>#N/A Requesting Data...</v>
      </c>
      <c r="M106" s="8" t="str">
        <f>IF($A106="","",IF(ISNUMBER(FIND("IMPVOL",M$1)),_xll.BDH(config!$G$4,M$1,WORKDAY($A106,-1,config_Holiday_Calendar_US),WORKDAY($A106,-1,config_Holiday_Calendar_US)),IF(ISNUMBER(_xll.BDH(config!$G$4,M$1,$A106,$A106)),_xll.BDH(config!$G$4,M$1,$A106,$A106),_xll.BDH(config!$G$5,M$1,$A106,$A106))))</f>
        <v>#N/A Requesting Data...</v>
      </c>
      <c r="N106" s="8" t="str">
        <f>IF($A106="","",IF(ISNUMBER(FIND("IMPVOL",N$1)),_xll.BDH(config!$G$4,N$1,WORKDAY($A106,-1,config_Holiday_Calendar_US),WORKDAY($A106,-1,config_Holiday_Calendar_US)),IF(ISNUMBER(_xll.BDH(config!$G$4,N$1,$A106,$A106)),_xll.BDH(config!$G$4,N$1,$A106,$A106),_xll.BDH(config!$G$5,N$1,$A106,$A106))))</f>
        <v>#N/A Requesting Data...</v>
      </c>
      <c r="O106" s="8" t="str">
        <f>IF($A106="","",IF(ISNUMBER(FIND("IMPVOL",O$1)),_xll.BDH(config!$G$4,O$1,WORKDAY($A106,-1,config_Holiday_Calendar_US),WORKDAY($A106,-1,config_Holiday_Calendar_US)),IF(ISNUMBER(_xll.BDH(config!$G$4,O$1,$A106,$A106)),_xll.BDH(config!$G$4,O$1,$A106,$A106),_xll.BDH(config!$G$5,O$1,$A106,$A106))))</f>
        <v>#N/A Requesting Data...</v>
      </c>
      <c r="P106" s="8" t="str">
        <f>IF($A106="","",IF(ISNUMBER(FIND("IMPVOL",P$1)),_xll.BDH(config!$G$4,P$1,WORKDAY($A106,-1,config_Holiday_Calendar_US),WORKDAY($A106,-1,config_Holiday_Calendar_US)),IF(ISNUMBER(_xll.BDH(config!$G$4,P$1,$A106,$A106)),_xll.BDH(config!$G$4,P$1,$A106,$A106),_xll.BDH(config!$G$5,P$1,$A106,$A106))))</f>
        <v>#N/A Requesting Data...</v>
      </c>
      <c r="Q106" s="8">
        <f>IF($A106="","",IF(ISNUMBER(FIND("IMPVOL",Q$1)),_xll.BDH(config!$G$4,Q$1,WORKDAY($A106,-1,config_Holiday_Calendar_US),WORKDAY($A106,-1,config_Holiday_Calendar_US)),IF(ISNUMBER(_xll.BDH(config!$G$4,Q$1,$A106,$A106)),_xll.BDH(config!$G$4,Q$1,$A106,$A106),_xll.BDH(config!$G$5,Q$1,$A106,$A106))))</f>
        <v>28.6</v>
      </c>
      <c r="R106" s="8">
        <f>IF($A106="","",IF(ISNUMBER(FIND("IMPVOL",R$1)),_xll.BDH(config!$G$4,R$1,WORKDAY($A106,-1,config_Holiday_Calendar_US),WORKDAY($A106,-1,config_Holiday_Calendar_US)),IF(ISNUMBER(_xll.BDH(config!$G$4,R$1,$A106,$A106)),_xll.BDH(config!$G$4,R$1,$A106,$A106),_xll.BDH(config!$G$5,R$1,$A106,$A106))))</f>
        <v>31.1</v>
      </c>
      <c r="S106" s="8" t="str">
        <f>IF($A106="","",IF(ISNUMBER(FIND("IMPVOL",S$1)),_xll.BDH(config!$G$4,S$1,WORKDAY($A106,-1,config_Holiday_Calendar_US),WORKDAY($A106,-1,config_Holiday_Calendar_US)),IF(ISNUMBER(_xll.BDH(config!$G$4,S$1,$A106,$A106)),_xll.BDH(config!$G$4,S$1,$A106,$A106),_xll.BDH(config!$G$5,S$1,$A106,$A106))))</f>
        <v>#N/A Requesting Data...</v>
      </c>
      <c r="T106" s="8" t="str">
        <f>IF($A106="","",IF(ISNUMBER(FIND("IMPVOL",T$1)),_xll.BDH(config!$G$4,T$1,WORKDAY($A106,-1,config_Holiday_Calendar_US),WORKDAY($A106,-1,config_Holiday_Calendar_US)),IF(ISNUMBER(_xll.BDH(config!$G$4,T$1,$A106,$A106)),_xll.BDH(config!$G$4,T$1,$A106,$A106),_xll.BDH(config!$G$5,T$1,$A106,$A106))))</f>
        <v>#N/A Requesting Data...</v>
      </c>
      <c r="U106" s="8" t="str">
        <f>IF($A106="","",IF(ISNUMBER(FIND("IMPVOL",U$1)),_xll.BDH(config!$G$4,U$1,WORKDAY($A106,-1,config_Holiday_Calendar_US),WORKDAY($A106,-1,config_Holiday_Calendar_US)),IF(ISNUMBER(_xll.BDH(config!$G$4,U$1,$A106,$A106)),_xll.BDH(config!$G$4,U$1,$A106,$A106),_xll.BDH(config!$G$5,U$1,$A106,$A106))))</f>
        <v>#N/A Requesting Data...</v>
      </c>
      <c r="V106" s="8" t="str">
        <f>IF($A106="","",IF(ISNUMBER(FIND("IMPVOL",V$1)),_xll.BDH(config!$G$4,V$1,WORKDAY($A106,-1,config_Holiday_Calendar_US),WORKDAY($A106,-1,config_Holiday_Calendar_US)),IF(ISNUMBER(_xll.BDH(config!$G$4,V$1,$A106,$A106)),_xll.BDH(config!$G$4,V$1,$A106,$A106),_xll.BDH(config!$G$5,V$1,$A106,$A106))))</f>
        <v>#N/A Requesting Data...</v>
      </c>
      <c r="W106" s="8" t="str">
        <f>IF($A106="","",IF(ISNUMBER(FIND("IMPVOL",W$1)),_xll.BDH(config!$G$4,W$1,WORKDAY($A106,-1,config_Holiday_Calendar_US),WORKDAY($A106,-1,config_Holiday_Calendar_US)),IF(ISNUMBER(_xll.BDH(config!$G$4,W$1,$A106,$A106)),_xll.BDH(config!$G$4,W$1,$A106,$A106),_xll.BDH(config!$G$5,W$1,$A106,$A106))))</f>
        <v>#N/A Requesting Data...</v>
      </c>
    </row>
    <row r="107" spans="1:23" x14ac:dyDescent="0.2">
      <c r="A107" s="9">
        <f>IF(A106="","",IF(WORKDAY(A106,-1,config_Holiday_Calendar_US)&lt;config!$I$10,"",WORKDAY(A106,-1,config_Holiday_Calendar_US)))</f>
        <v>42678</v>
      </c>
      <c r="B107" s="8" t="e">
        <f t="shared" si="1"/>
        <v>#VALUE!</v>
      </c>
      <c r="C107" s="8" t="str">
        <f>IF(A107="","",_xll.BDH(config!$H$4,C$1,$A107,$A107))</f>
        <v>#N/A Requesting Data...</v>
      </c>
      <c r="D107" s="8" t="str">
        <f>IF($A107="","",_xll.BDH(config!$H$4,D$1,$A107,$A107))</f>
        <v>#N/A Requesting Data...</v>
      </c>
      <c r="E107" s="8">
        <f>IF($A107="","",IF(ISNUMBER(FIND("IMPVOL",E$1)),_xll.BDH(config!$G$4,E$1,WORKDAY($A107,-1,config_Holiday_Calendar_US),WORKDAY($A107,-1,config_Holiday_Calendar_US)),IF(ISNUMBER(_xll.BDH(config!$G$4,E$1,$A107,$A107)),_xll.BDH(config!$G$4,E$1,$A107,$A107),_xll.BDH(config!$G$5,E$1,$A107,$A107))))</f>
        <v>44.63</v>
      </c>
      <c r="F107" s="8">
        <f>IF($A107="","",IF(ISNUMBER(FIND("IMPVOL",F$1)),_xll.BDH(config!$G$4,F$1,WORKDAY($A107,-1,config_Holiday_Calendar_US),WORKDAY($A107,-1,config_Holiday_Calendar_US)),IF(ISNUMBER(_xll.BDH(config!$G$4,F$1,$A107,$A107)),_xll.BDH(config!$G$4,F$1,$A107,$A107),_xll.BDH(config!$G$5,F$1,$A107,$A107))))</f>
        <v>44.87</v>
      </c>
      <c r="G107" s="8">
        <f>IF($A107="","",IF(ISNUMBER(FIND("IMPVOL",G$1)),_xll.BDH(config!$G$4,G$1,WORKDAY($A107,-1,config_Holiday_Calendar_US),WORKDAY($A107,-1,config_Holiday_Calendar_US)),IF(ISNUMBER(_xll.BDH(config!$G$4,G$1,$A107,$A107)),_xll.BDH(config!$G$4,G$1,$A107,$A107),_xll.BDH(config!$G$5,G$1,$A107,$A107))))</f>
        <v>44.16</v>
      </c>
      <c r="H107" s="8">
        <f>IF($A107="","",IF(ISNUMBER(FIND("IMPVOL",H$1)),_xll.BDH(config!$G$4,H$1,WORKDAY($A107,-1,config_Holiday_Calendar_US),WORKDAY($A107,-1,config_Holiday_Calendar_US)),IF(ISNUMBER(_xll.BDH(config!$G$4,H$1,$A107,$A107)),_xll.BDH(config!$G$4,H$1,$A107,$A107),_xll.BDH(config!$G$5,H$1,$A107,$A107))))</f>
        <v>210399</v>
      </c>
      <c r="I107" s="8" t="str">
        <f>IF($A107="","",IF(ISNUMBER(FIND("IMPVOL",I$1)),_xll.BDH(config!$G$4,I$1,WORKDAY($A107,-1,config_Holiday_Calendar_US),WORKDAY($A107,-1,config_Holiday_Calendar_US)),IF(ISNUMBER(_xll.BDH(config!$G$4,I$1,$A107,$A107)),_xll.BDH(config!$G$4,I$1,$A107,$A107),_xll.BDH(config!$G$5,I$1,$A107,$A107))))</f>
        <v>#N/A Requesting Data...</v>
      </c>
      <c r="J107" s="8" t="str">
        <f>IF($A107="","",IF(ISNUMBER(FIND("IMPVOL",J$1)),_xll.BDH(config!$G$4,J$1,WORKDAY($A107,-1,config_Holiday_Calendar_US),WORKDAY($A107,-1,config_Holiday_Calendar_US)),IF(ISNUMBER(_xll.BDH(config!$G$4,J$1,$A107,$A107)),_xll.BDH(config!$G$4,J$1,$A107,$A107),_xll.BDH(config!$G$5,J$1,$A107,$A107))))</f>
        <v>#N/A Requesting Data...</v>
      </c>
      <c r="K107" s="8" t="str">
        <f>IF($A107="","",IF(ISNUMBER(FIND("IMPVOL",K$1)),_xll.BDH(config!$G$4,K$1,WORKDAY($A107,-1,config_Holiday_Calendar_US),WORKDAY($A107,-1,config_Holiday_Calendar_US)),IF(ISNUMBER(_xll.BDH(config!$G$4,K$1,$A107,$A107)),_xll.BDH(config!$G$4,K$1,$A107,$A107),_xll.BDH(config!$G$5,K$1,$A107,$A107))))</f>
        <v>#N/A Requesting Data...</v>
      </c>
      <c r="L107" s="8" t="str">
        <f>IF($A107="","",IF(ISNUMBER(FIND("IMPVOL",L$1)),_xll.BDH(config!$G$4,L$1,WORKDAY($A107,-1,config_Holiday_Calendar_US),WORKDAY($A107,-1,config_Holiday_Calendar_US)),IF(ISNUMBER(_xll.BDH(config!$G$4,L$1,$A107,$A107)),_xll.BDH(config!$G$4,L$1,$A107,$A107),_xll.BDH(config!$G$5,L$1,$A107,$A107))))</f>
        <v>#N/A Requesting Data...</v>
      </c>
      <c r="M107" s="8" t="str">
        <f>IF($A107="","",IF(ISNUMBER(FIND("IMPVOL",M$1)),_xll.BDH(config!$G$4,M$1,WORKDAY($A107,-1,config_Holiday_Calendar_US),WORKDAY($A107,-1,config_Holiday_Calendar_US)),IF(ISNUMBER(_xll.BDH(config!$G$4,M$1,$A107,$A107)),_xll.BDH(config!$G$4,M$1,$A107,$A107),_xll.BDH(config!$G$5,M$1,$A107,$A107))))</f>
        <v>#N/A Requesting Data...</v>
      </c>
      <c r="N107" s="8" t="str">
        <f>IF($A107="","",IF(ISNUMBER(FIND("IMPVOL",N$1)),_xll.BDH(config!$G$4,N$1,WORKDAY($A107,-1,config_Holiday_Calendar_US),WORKDAY($A107,-1,config_Holiday_Calendar_US)),IF(ISNUMBER(_xll.BDH(config!$G$4,N$1,$A107,$A107)),_xll.BDH(config!$G$4,N$1,$A107,$A107),_xll.BDH(config!$G$5,N$1,$A107,$A107))))</f>
        <v>#N/A Requesting Data...</v>
      </c>
      <c r="O107" s="8" t="str">
        <f>IF($A107="","",IF(ISNUMBER(FIND("IMPVOL",O$1)),_xll.BDH(config!$G$4,O$1,WORKDAY($A107,-1,config_Holiday_Calendar_US),WORKDAY($A107,-1,config_Holiday_Calendar_US)),IF(ISNUMBER(_xll.BDH(config!$G$4,O$1,$A107,$A107)),_xll.BDH(config!$G$4,O$1,$A107,$A107),_xll.BDH(config!$G$5,O$1,$A107,$A107))))</f>
        <v>#N/A Requesting Data...</v>
      </c>
      <c r="P107" s="8" t="str">
        <f>IF($A107="","",IF(ISNUMBER(FIND("IMPVOL",P$1)),_xll.BDH(config!$G$4,P$1,WORKDAY($A107,-1,config_Holiday_Calendar_US),WORKDAY($A107,-1,config_Holiday_Calendar_US)),IF(ISNUMBER(_xll.BDH(config!$G$4,P$1,$A107,$A107)),_xll.BDH(config!$G$4,P$1,$A107,$A107),_xll.BDH(config!$G$5,P$1,$A107,$A107))))</f>
        <v>#N/A Requesting Data...</v>
      </c>
      <c r="Q107" s="8">
        <f>IF($A107="","",IF(ISNUMBER(FIND("IMPVOL",Q$1)),_xll.BDH(config!$G$4,Q$1,WORKDAY($A107,-1,config_Holiday_Calendar_US),WORKDAY($A107,-1,config_Holiday_Calendar_US)),IF(ISNUMBER(_xll.BDH(config!$G$4,Q$1,$A107,$A107)),_xll.BDH(config!$G$4,Q$1,$A107,$A107),_xll.BDH(config!$G$5,Q$1,$A107,$A107))))</f>
        <v>22.22</v>
      </c>
      <c r="R107" s="8">
        <f>IF($A107="","",IF(ISNUMBER(FIND("IMPVOL",R$1)),_xll.BDH(config!$G$4,R$1,WORKDAY($A107,-1,config_Holiday_Calendar_US),WORKDAY($A107,-1,config_Holiday_Calendar_US)),IF(ISNUMBER(_xll.BDH(config!$G$4,R$1,$A107,$A107)),_xll.BDH(config!$G$4,R$1,$A107,$A107),_xll.BDH(config!$G$5,R$1,$A107,$A107))))</f>
        <v>31.63</v>
      </c>
      <c r="S107" s="8" t="str">
        <f>IF($A107="","",IF(ISNUMBER(FIND("IMPVOL",S$1)),_xll.BDH(config!$G$4,S$1,WORKDAY($A107,-1,config_Holiday_Calendar_US),WORKDAY($A107,-1,config_Holiday_Calendar_US)),IF(ISNUMBER(_xll.BDH(config!$G$4,S$1,$A107,$A107)),_xll.BDH(config!$G$4,S$1,$A107,$A107),_xll.BDH(config!$G$5,S$1,$A107,$A107))))</f>
        <v>#N/A Requesting Data...</v>
      </c>
      <c r="T107" s="8" t="str">
        <f>IF($A107="","",IF(ISNUMBER(FIND("IMPVOL",T$1)),_xll.BDH(config!$G$4,T$1,WORKDAY($A107,-1,config_Holiday_Calendar_US),WORKDAY($A107,-1,config_Holiday_Calendar_US)),IF(ISNUMBER(_xll.BDH(config!$G$4,T$1,$A107,$A107)),_xll.BDH(config!$G$4,T$1,$A107,$A107),_xll.BDH(config!$G$5,T$1,$A107,$A107))))</f>
        <v>#N/A Requesting Data...</v>
      </c>
      <c r="U107" s="8" t="str">
        <f>IF($A107="","",IF(ISNUMBER(FIND("IMPVOL",U$1)),_xll.BDH(config!$G$4,U$1,WORKDAY($A107,-1,config_Holiday_Calendar_US),WORKDAY($A107,-1,config_Holiday_Calendar_US)),IF(ISNUMBER(_xll.BDH(config!$G$4,U$1,$A107,$A107)),_xll.BDH(config!$G$4,U$1,$A107,$A107),_xll.BDH(config!$G$5,U$1,$A107,$A107))))</f>
        <v>#N/A Requesting Data...</v>
      </c>
      <c r="V107" s="8" t="str">
        <f>IF($A107="","",IF(ISNUMBER(FIND("IMPVOL",V$1)),_xll.BDH(config!$G$4,V$1,WORKDAY($A107,-1,config_Holiday_Calendar_US),WORKDAY($A107,-1,config_Holiday_Calendar_US)),IF(ISNUMBER(_xll.BDH(config!$G$4,V$1,$A107,$A107)),_xll.BDH(config!$G$4,V$1,$A107,$A107),_xll.BDH(config!$G$5,V$1,$A107,$A107))))</f>
        <v>#N/A Requesting Data...</v>
      </c>
      <c r="W107" s="8" t="str">
        <f>IF($A107="","",IF(ISNUMBER(FIND("IMPVOL",W$1)),_xll.BDH(config!$G$4,W$1,WORKDAY($A107,-1,config_Holiday_Calendar_US),WORKDAY($A107,-1,config_Holiday_Calendar_US)),IF(ISNUMBER(_xll.BDH(config!$G$4,W$1,$A107,$A107)),_xll.BDH(config!$G$4,W$1,$A107,$A107),_xll.BDH(config!$G$5,W$1,$A107,$A107))))</f>
        <v>#N/A Requesting Data...</v>
      </c>
    </row>
    <row r="108" spans="1:23" x14ac:dyDescent="0.2">
      <c r="A108" s="9">
        <f>IF(A107="","",IF(WORKDAY(A107,-1,config_Holiday_Calendar_US)&lt;config!$I$10,"",WORKDAY(A107,-1,config_Holiday_Calendar_US)))</f>
        <v>42677</v>
      </c>
      <c r="B108" s="8" t="e">
        <f t="shared" si="1"/>
        <v>#VALUE!</v>
      </c>
      <c r="C108" s="8" t="str">
        <f>IF(A108="","",_xll.BDH(config!$H$4,C$1,$A108,$A108))</f>
        <v>#N/A Requesting Data...</v>
      </c>
      <c r="D108" s="8" t="str">
        <f>IF($A108="","",_xll.BDH(config!$H$4,D$1,$A108,$A108))</f>
        <v>#N/A Requesting Data...</v>
      </c>
      <c r="E108" s="8">
        <f>IF($A108="","",IF(ISNUMBER(FIND("IMPVOL",E$1)),_xll.BDH(config!$G$4,E$1,WORKDAY($A108,-1,config_Holiday_Calendar_US),WORKDAY($A108,-1,config_Holiday_Calendar_US)),IF(ISNUMBER(_xll.BDH(config!$G$4,E$1,$A108,$A108)),_xll.BDH(config!$G$4,E$1,$A108,$A108),_xll.BDH(config!$G$5,E$1,$A108,$A108))))</f>
        <v>45.48</v>
      </c>
      <c r="F108" s="8">
        <f>IF($A108="","",IF(ISNUMBER(FIND("IMPVOL",F$1)),_xll.BDH(config!$G$4,F$1,WORKDAY($A108,-1,config_Holiday_Calendar_US),WORKDAY($A108,-1,config_Holiday_Calendar_US)),IF(ISNUMBER(_xll.BDH(config!$G$4,F$1,$A108,$A108)),_xll.BDH(config!$G$4,F$1,$A108,$A108),_xll.BDH(config!$G$5,F$1,$A108,$A108))))</f>
        <v>45.9</v>
      </c>
      <c r="G108" s="8">
        <f>IF($A108="","",IF(ISNUMBER(FIND("IMPVOL",G$1)),_xll.BDH(config!$G$4,G$1,WORKDAY($A108,-1,config_Holiday_Calendar_US),WORKDAY($A108,-1,config_Holiday_Calendar_US)),IF(ISNUMBER(_xll.BDH(config!$G$4,G$1,$A108,$A108)),_xll.BDH(config!$G$4,G$1,$A108,$A108),_xll.BDH(config!$G$5,G$1,$A108,$A108))))</f>
        <v>44.96</v>
      </c>
      <c r="H108" s="8">
        <f>IF($A108="","",IF(ISNUMBER(FIND("IMPVOL",H$1)),_xll.BDH(config!$G$4,H$1,WORKDAY($A108,-1,config_Holiday_Calendar_US),WORKDAY($A108,-1,config_Holiday_Calendar_US)),IF(ISNUMBER(_xll.BDH(config!$G$4,H$1,$A108,$A108)),_xll.BDH(config!$G$4,H$1,$A108,$A108),_xll.BDH(config!$G$5,H$1,$A108,$A108))))</f>
        <v>122568</v>
      </c>
      <c r="I108" s="8" t="str">
        <f>IF($A108="","",IF(ISNUMBER(FIND("IMPVOL",I$1)),_xll.BDH(config!$G$4,I$1,WORKDAY($A108,-1,config_Holiday_Calendar_US),WORKDAY($A108,-1,config_Holiday_Calendar_US)),IF(ISNUMBER(_xll.BDH(config!$G$4,I$1,$A108,$A108)),_xll.BDH(config!$G$4,I$1,$A108,$A108),_xll.BDH(config!$G$5,I$1,$A108,$A108))))</f>
        <v>#N/A Requesting Data...</v>
      </c>
      <c r="J108" s="8" t="str">
        <f>IF($A108="","",IF(ISNUMBER(FIND("IMPVOL",J$1)),_xll.BDH(config!$G$4,J$1,WORKDAY($A108,-1,config_Holiday_Calendar_US),WORKDAY($A108,-1,config_Holiday_Calendar_US)),IF(ISNUMBER(_xll.BDH(config!$G$4,J$1,$A108,$A108)),_xll.BDH(config!$G$4,J$1,$A108,$A108),_xll.BDH(config!$G$5,J$1,$A108,$A108))))</f>
        <v>#N/A Requesting Data...</v>
      </c>
      <c r="K108" s="8" t="str">
        <f>IF($A108="","",IF(ISNUMBER(FIND("IMPVOL",K$1)),_xll.BDH(config!$G$4,K$1,WORKDAY($A108,-1,config_Holiday_Calendar_US),WORKDAY($A108,-1,config_Holiday_Calendar_US)),IF(ISNUMBER(_xll.BDH(config!$G$4,K$1,$A108,$A108)),_xll.BDH(config!$G$4,K$1,$A108,$A108),_xll.BDH(config!$G$5,K$1,$A108,$A108))))</f>
        <v>#N/A Requesting Data...</v>
      </c>
      <c r="L108" s="8" t="str">
        <f>IF($A108="","",IF(ISNUMBER(FIND("IMPVOL",L$1)),_xll.BDH(config!$G$4,L$1,WORKDAY($A108,-1,config_Holiday_Calendar_US),WORKDAY($A108,-1,config_Holiday_Calendar_US)),IF(ISNUMBER(_xll.BDH(config!$G$4,L$1,$A108,$A108)),_xll.BDH(config!$G$4,L$1,$A108,$A108),_xll.BDH(config!$G$5,L$1,$A108,$A108))))</f>
        <v>#N/A Requesting Data...</v>
      </c>
      <c r="M108" s="8" t="str">
        <f>IF($A108="","",IF(ISNUMBER(FIND("IMPVOL",M$1)),_xll.BDH(config!$G$4,M$1,WORKDAY($A108,-1,config_Holiday_Calendar_US),WORKDAY($A108,-1,config_Holiday_Calendar_US)),IF(ISNUMBER(_xll.BDH(config!$G$4,M$1,$A108,$A108)),_xll.BDH(config!$G$4,M$1,$A108,$A108),_xll.BDH(config!$G$5,M$1,$A108,$A108))))</f>
        <v>#N/A Requesting Data...</v>
      </c>
      <c r="N108" s="8" t="str">
        <f>IF($A108="","",IF(ISNUMBER(FIND("IMPVOL",N$1)),_xll.BDH(config!$G$4,N$1,WORKDAY($A108,-1,config_Holiday_Calendar_US),WORKDAY($A108,-1,config_Holiday_Calendar_US)),IF(ISNUMBER(_xll.BDH(config!$G$4,N$1,$A108,$A108)),_xll.BDH(config!$G$4,N$1,$A108,$A108),_xll.BDH(config!$G$5,N$1,$A108,$A108))))</f>
        <v>#N/A Requesting Data...</v>
      </c>
      <c r="O108" s="8" t="str">
        <f>IF($A108="","",IF(ISNUMBER(FIND("IMPVOL",O$1)),_xll.BDH(config!$G$4,O$1,WORKDAY($A108,-1,config_Holiday_Calendar_US),WORKDAY($A108,-1,config_Holiday_Calendar_US)),IF(ISNUMBER(_xll.BDH(config!$G$4,O$1,$A108,$A108)),_xll.BDH(config!$G$4,O$1,$A108,$A108),_xll.BDH(config!$G$5,O$1,$A108,$A108))))</f>
        <v>#N/A Requesting Data...</v>
      </c>
      <c r="P108" s="8" t="str">
        <f>IF($A108="","",IF(ISNUMBER(FIND("IMPVOL",P$1)),_xll.BDH(config!$G$4,P$1,WORKDAY($A108,-1,config_Holiday_Calendar_US),WORKDAY($A108,-1,config_Holiday_Calendar_US)),IF(ISNUMBER(_xll.BDH(config!$G$4,P$1,$A108,$A108)),_xll.BDH(config!$G$4,P$1,$A108,$A108),_xll.BDH(config!$G$5,P$1,$A108,$A108))))</f>
        <v>#N/A Requesting Data...</v>
      </c>
      <c r="Q108" s="8">
        <f>IF($A108="","",IF(ISNUMBER(FIND("IMPVOL",Q$1)),_xll.BDH(config!$G$4,Q$1,WORKDAY($A108,-1,config_Holiday_Calendar_US),WORKDAY($A108,-1,config_Holiday_Calendar_US)),IF(ISNUMBER(_xll.BDH(config!$G$4,Q$1,$A108,$A108)),_xll.BDH(config!$G$4,Q$1,$A108,$A108),_xll.BDH(config!$G$5,Q$1,$A108,$A108))))</f>
        <v>22.85</v>
      </c>
      <c r="R108" s="8">
        <f>IF($A108="","",IF(ISNUMBER(FIND("IMPVOL",R$1)),_xll.BDH(config!$G$4,R$1,WORKDAY($A108,-1,config_Holiday_Calendar_US),WORKDAY($A108,-1,config_Holiday_Calendar_US)),IF(ISNUMBER(_xll.BDH(config!$G$4,R$1,$A108,$A108)),_xll.BDH(config!$G$4,R$1,$A108,$A108),_xll.BDH(config!$G$5,R$1,$A108,$A108))))</f>
        <v>32.840000000000003</v>
      </c>
      <c r="S108" s="8" t="str">
        <f>IF($A108="","",IF(ISNUMBER(FIND("IMPVOL",S$1)),_xll.BDH(config!$G$4,S$1,WORKDAY($A108,-1,config_Holiday_Calendar_US),WORKDAY($A108,-1,config_Holiday_Calendar_US)),IF(ISNUMBER(_xll.BDH(config!$G$4,S$1,$A108,$A108)),_xll.BDH(config!$G$4,S$1,$A108,$A108),_xll.BDH(config!$G$5,S$1,$A108,$A108))))</f>
        <v>#N/A Requesting Data...</v>
      </c>
      <c r="T108" s="8" t="str">
        <f>IF($A108="","",IF(ISNUMBER(FIND("IMPVOL",T$1)),_xll.BDH(config!$G$4,T$1,WORKDAY($A108,-1,config_Holiday_Calendar_US),WORKDAY($A108,-1,config_Holiday_Calendar_US)),IF(ISNUMBER(_xll.BDH(config!$G$4,T$1,$A108,$A108)),_xll.BDH(config!$G$4,T$1,$A108,$A108),_xll.BDH(config!$G$5,T$1,$A108,$A108))))</f>
        <v>#N/A Requesting Data...</v>
      </c>
      <c r="U108" s="8" t="str">
        <f>IF($A108="","",IF(ISNUMBER(FIND("IMPVOL",U$1)),_xll.BDH(config!$G$4,U$1,WORKDAY($A108,-1,config_Holiday_Calendar_US),WORKDAY($A108,-1,config_Holiday_Calendar_US)),IF(ISNUMBER(_xll.BDH(config!$G$4,U$1,$A108,$A108)),_xll.BDH(config!$G$4,U$1,$A108,$A108),_xll.BDH(config!$G$5,U$1,$A108,$A108))))</f>
        <v>#N/A Requesting Data...</v>
      </c>
      <c r="V108" s="8" t="str">
        <f>IF($A108="","",IF(ISNUMBER(FIND("IMPVOL",V$1)),_xll.BDH(config!$G$4,V$1,WORKDAY($A108,-1,config_Holiday_Calendar_US),WORKDAY($A108,-1,config_Holiday_Calendar_US)),IF(ISNUMBER(_xll.BDH(config!$G$4,V$1,$A108,$A108)),_xll.BDH(config!$G$4,V$1,$A108,$A108),_xll.BDH(config!$G$5,V$1,$A108,$A108))))</f>
        <v>#N/A Requesting Data...</v>
      </c>
      <c r="W108" s="8" t="str">
        <f>IF($A108="","",IF(ISNUMBER(FIND("IMPVOL",W$1)),_xll.BDH(config!$G$4,W$1,WORKDAY($A108,-1,config_Holiday_Calendar_US),WORKDAY($A108,-1,config_Holiday_Calendar_US)),IF(ISNUMBER(_xll.BDH(config!$G$4,W$1,$A108,$A108)),_xll.BDH(config!$G$4,W$1,$A108,$A108),_xll.BDH(config!$G$5,W$1,$A108,$A108))))</f>
        <v>#N/A Requesting Data...</v>
      </c>
    </row>
    <row r="109" spans="1:23" x14ac:dyDescent="0.2">
      <c r="A109" s="9">
        <f>IF(A108="","",IF(WORKDAY(A108,-1,config_Holiday_Calendar_US)&lt;config!$I$10,"",WORKDAY(A108,-1,config_Holiday_Calendar_US)))</f>
        <v>42676</v>
      </c>
      <c r="B109" s="8" t="e">
        <f t="shared" si="1"/>
        <v>#VALUE!</v>
      </c>
      <c r="C109" s="8" t="str">
        <f>IF(A109="","",_xll.BDH(config!$H$4,C$1,$A109,$A109))</f>
        <v>#N/A Requesting Data...</v>
      </c>
      <c r="D109" s="8" t="str">
        <f>IF($A109="","",_xll.BDH(config!$H$4,D$1,$A109,$A109))</f>
        <v>#N/A Requesting Data...</v>
      </c>
      <c r="E109" s="8">
        <f>IF($A109="","",IF(ISNUMBER(FIND("IMPVOL",E$1)),_xll.BDH(config!$G$4,E$1,WORKDAY($A109,-1,config_Holiday_Calendar_US),WORKDAY($A109,-1,config_Holiday_Calendar_US)),IF(ISNUMBER(_xll.BDH(config!$G$4,E$1,$A109,$A109)),_xll.BDH(config!$G$4,E$1,$A109,$A109),_xll.BDH(config!$G$5,E$1,$A109,$A109))))</f>
        <v>46.32</v>
      </c>
      <c r="F109" s="8">
        <f>IF($A109="","",IF(ISNUMBER(FIND("IMPVOL",F$1)),_xll.BDH(config!$G$4,F$1,WORKDAY($A109,-1,config_Holiday_Calendar_US),WORKDAY($A109,-1,config_Holiday_Calendar_US)),IF(ISNUMBER(_xll.BDH(config!$G$4,F$1,$A109,$A109)),_xll.BDH(config!$G$4,F$1,$A109,$A109),_xll.BDH(config!$G$5,F$1,$A109,$A109))))</f>
        <v>46.47</v>
      </c>
      <c r="G109" s="8">
        <f>IF($A109="","",IF(ISNUMBER(FIND("IMPVOL",G$1)),_xll.BDH(config!$G$4,G$1,WORKDAY($A109,-1,config_Holiday_Calendar_US),WORKDAY($A109,-1,config_Holiday_Calendar_US)),IF(ISNUMBER(_xll.BDH(config!$G$4,G$1,$A109,$A109)),_xll.BDH(config!$G$4,G$1,$A109,$A109),_xll.BDH(config!$G$5,G$1,$A109,$A109))))</f>
        <v>45.56</v>
      </c>
      <c r="H109" s="8">
        <f>IF($A109="","",IF(ISNUMBER(FIND("IMPVOL",H$1)),_xll.BDH(config!$G$4,H$1,WORKDAY($A109,-1,config_Holiday_Calendar_US),WORKDAY($A109,-1,config_Holiday_Calendar_US)),IF(ISNUMBER(_xll.BDH(config!$G$4,H$1,$A109,$A109)),_xll.BDH(config!$G$4,H$1,$A109,$A109),_xll.BDH(config!$G$5,H$1,$A109,$A109))))</f>
        <v>170595</v>
      </c>
      <c r="I109" s="8" t="str">
        <f>IF($A109="","",IF(ISNUMBER(FIND("IMPVOL",I$1)),_xll.BDH(config!$G$4,I$1,WORKDAY($A109,-1,config_Holiday_Calendar_US),WORKDAY($A109,-1,config_Holiday_Calendar_US)),IF(ISNUMBER(_xll.BDH(config!$G$4,I$1,$A109,$A109)),_xll.BDH(config!$G$4,I$1,$A109,$A109),_xll.BDH(config!$G$5,I$1,$A109,$A109))))</f>
        <v>#N/A Requesting Data...</v>
      </c>
      <c r="J109" s="8" t="str">
        <f>IF($A109="","",IF(ISNUMBER(FIND("IMPVOL",J$1)),_xll.BDH(config!$G$4,J$1,WORKDAY($A109,-1,config_Holiday_Calendar_US),WORKDAY($A109,-1,config_Holiday_Calendar_US)),IF(ISNUMBER(_xll.BDH(config!$G$4,J$1,$A109,$A109)),_xll.BDH(config!$G$4,J$1,$A109,$A109),_xll.BDH(config!$G$5,J$1,$A109,$A109))))</f>
        <v>#N/A Requesting Data...</v>
      </c>
      <c r="K109" s="8" t="str">
        <f>IF($A109="","",IF(ISNUMBER(FIND("IMPVOL",K$1)),_xll.BDH(config!$G$4,K$1,WORKDAY($A109,-1,config_Holiday_Calendar_US),WORKDAY($A109,-1,config_Holiday_Calendar_US)),IF(ISNUMBER(_xll.BDH(config!$G$4,K$1,$A109,$A109)),_xll.BDH(config!$G$4,K$1,$A109,$A109),_xll.BDH(config!$G$5,K$1,$A109,$A109))))</f>
        <v>#N/A Requesting Data...</v>
      </c>
      <c r="L109" s="8" t="str">
        <f>IF($A109="","",IF(ISNUMBER(FIND("IMPVOL",L$1)),_xll.BDH(config!$G$4,L$1,WORKDAY($A109,-1,config_Holiday_Calendar_US),WORKDAY($A109,-1,config_Holiday_Calendar_US)),IF(ISNUMBER(_xll.BDH(config!$G$4,L$1,$A109,$A109)),_xll.BDH(config!$G$4,L$1,$A109,$A109),_xll.BDH(config!$G$5,L$1,$A109,$A109))))</f>
        <v>#N/A Requesting Data...</v>
      </c>
      <c r="M109" s="8" t="str">
        <f>IF($A109="","",IF(ISNUMBER(FIND("IMPVOL",M$1)),_xll.BDH(config!$G$4,M$1,WORKDAY($A109,-1,config_Holiday_Calendar_US),WORKDAY($A109,-1,config_Holiday_Calendar_US)),IF(ISNUMBER(_xll.BDH(config!$G$4,M$1,$A109,$A109)),_xll.BDH(config!$G$4,M$1,$A109,$A109),_xll.BDH(config!$G$5,M$1,$A109,$A109))))</f>
        <v>#N/A Requesting Data...</v>
      </c>
      <c r="N109" s="8" t="str">
        <f>IF($A109="","",IF(ISNUMBER(FIND("IMPVOL",N$1)),_xll.BDH(config!$G$4,N$1,WORKDAY($A109,-1,config_Holiday_Calendar_US),WORKDAY($A109,-1,config_Holiday_Calendar_US)),IF(ISNUMBER(_xll.BDH(config!$G$4,N$1,$A109,$A109)),_xll.BDH(config!$G$4,N$1,$A109,$A109),_xll.BDH(config!$G$5,N$1,$A109,$A109))))</f>
        <v>#N/A Requesting Data...</v>
      </c>
      <c r="O109" s="8" t="str">
        <f>IF($A109="","",IF(ISNUMBER(FIND("IMPVOL",O$1)),_xll.BDH(config!$G$4,O$1,WORKDAY($A109,-1,config_Holiday_Calendar_US),WORKDAY($A109,-1,config_Holiday_Calendar_US)),IF(ISNUMBER(_xll.BDH(config!$G$4,O$1,$A109,$A109)),_xll.BDH(config!$G$4,O$1,$A109,$A109),_xll.BDH(config!$G$5,O$1,$A109,$A109))))</f>
        <v>#N/A Requesting Data...</v>
      </c>
      <c r="P109" s="8" t="str">
        <f>IF($A109="","",IF(ISNUMBER(FIND("IMPVOL",P$1)),_xll.BDH(config!$G$4,P$1,WORKDAY($A109,-1,config_Holiday_Calendar_US),WORKDAY($A109,-1,config_Holiday_Calendar_US)),IF(ISNUMBER(_xll.BDH(config!$G$4,P$1,$A109,$A109)),_xll.BDH(config!$G$4,P$1,$A109,$A109),_xll.BDH(config!$G$5,P$1,$A109,$A109))))</f>
        <v>#N/A Requesting Data...</v>
      </c>
      <c r="Q109" s="8">
        <f>IF($A109="","",IF(ISNUMBER(FIND("IMPVOL",Q$1)),_xll.BDH(config!$G$4,Q$1,WORKDAY($A109,-1,config_Holiday_Calendar_US),WORKDAY($A109,-1,config_Holiday_Calendar_US)),IF(ISNUMBER(_xll.BDH(config!$G$4,Q$1,$A109,$A109)),_xll.BDH(config!$G$4,Q$1,$A109,$A109),_xll.BDH(config!$G$5,Q$1,$A109,$A109))))</f>
        <v>27.9</v>
      </c>
      <c r="R109" s="8">
        <f>IF($A109="","",IF(ISNUMBER(FIND("IMPVOL",R$1)),_xll.BDH(config!$G$4,R$1,WORKDAY($A109,-1,config_Holiday_Calendar_US),WORKDAY($A109,-1,config_Holiday_Calendar_US)),IF(ISNUMBER(_xll.BDH(config!$G$4,R$1,$A109,$A109)),_xll.BDH(config!$G$4,R$1,$A109,$A109),_xll.BDH(config!$G$5,R$1,$A109,$A109))))</f>
        <v>34.64</v>
      </c>
      <c r="S109" s="8" t="str">
        <f>IF($A109="","",IF(ISNUMBER(FIND("IMPVOL",S$1)),_xll.BDH(config!$G$4,S$1,WORKDAY($A109,-1,config_Holiday_Calendar_US),WORKDAY($A109,-1,config_Holiday_Calendar_US)),IF(ISNUMBER(_xll.BDH(config!$G$4,S$1,$A109,$A109)),_xll.BDH(config!$G$4,S$1,$A109,$A109),_xll.BDH(config!$G$5,S$1,$A109,$A109))))</f>
        <v>#N/A Requesting Data...</v>
      </c>
      <c r="T109" s="8" t="str">
        <f>IF($A109="","",IF(ISNUMBER(FIND("IMPVOL",T$1)),_xll.BDH(config!$G$4,T$1,WORKDAY($A109,-1,config_Holiday_Calendar_US),WORKDAY($A109,-1,config_Holiday_Calendar_US)),IF(ISNUMBER(_xll.BDH(config!$G$4,T$1,$A109,$A109)),_xll.BDH(config!$G$4,T$1,$A109,$A109),_xll.BDH(config!$G$5,T$1,$A109,$A109))))</f>
        <v>#N/A Requesting Data...</v>
      </c>
      <c r="U109" s="8" t="str">
        <f>IF($A109="","",IF(ISNUMBER(FIND("IMPVOL",U$1)),_xll.BDH(config!$G$4,U$1,WORKDAY($A109,-1,config_Holiday_Calendar_US),WORKDAY($A109,-1,config_Holiday_Calendar_US)),IF(ISNUMBER(_xll.BDH(config!$G$4,U$1,$A109,$A109)),_xll.BDH(config!$G$4,U$1,$A109,$A109),_xll.BDH(config!$G$5,U$1,$A109,$A109))))</f>
        <v>#N/A Requesting Data...</v>
      </c>
      <c r="V109" s="8" t="str">
        <f>IF($A109="","",IF(ISNUMBER(FIND("IMPVOL",V$1)),_xll.BDH(config!$G$4,V$1,WORKDAY($A109,-1,config_Holiday_Calendar_US),WORKDAY($A109,-1,config_Holiday_Calendar_US)),IF(ISNUMBER(_xll.BDH(config!$G$4,V$1,$A109,$A109)),_xll.BDH(config!$G$4,V$1,$A109,$A109),_xll.BDH(config!$G$5,V$1,$A109,$A109))))</f>
        <v>#N/A Requesting Data...</v>
      </c>
      <c r="W109" s="8" t="str">
        <f>IF($A109="","",IF(ISNUMBER(FIND("IMPVOL",W$1)),_xll.BDH(config!$G$4,W$1,WORKDAY($A109,-1,config_Holiday_Calendar_US),WORKDAY($A109,-1,config_Holiday_Calendar_US)),IF(ISNUMBER(_xll.BDH(config!$G$4,W$1,$A109,$A109)),_xll.BDH(config!$G$4,W$1,$A109,$A109),_xll.BDH(config!$G$5,W$1,$A109,$A109))))</f>
        <v>#N/A Requesting Data...</v>
      </c>
    </row>
    <row r="110" spans="1:23" x14ac:dyDescent="0.2">
      <c r="A110" s="9">
        <f>IF(A109="","",IF(WORKDAY(A109,-1,config_Holiday_Calendar_US)&lt;config!$I$10,"",WORKDAY(A109,-1,config_Holiday_Calendar_US)))</f>
        <v>42675</v>
      </c>
      <c r="B110" s="8" t="e">
        <f t="shared" si="1"/>
        <v>#VALUE!</v>
      </c>
      <c r="C110" s="8" t="str">
        <f>IF(A110="","",_xll.BDH(config!$H$4,C$1,$A110,$A110))</f>
        <v>#N/A Requesting Data...</v>
      </c>
      <c r="D110" s="8" t="str">
        <f>IF($A110="","",_xll.BDH(config!$H$4,D$1,$A110,$A110))</f>
        <v>#N/A Requesting Data...</v>
      </c>
      <c r="E110" s="8">
        <f>IF($A110="","",IF(ISNUMBER(FIND("IMPVOL",E$1)),_xll.BDH(config!$G$4,E$1,WORKDAY($A110,-1,config_Holiday_Calendar_US),WORKDAY($A110,-1,config_Holiday_Calendar_US)),IF(ISNUMBER(_xll.BDH(config!$G$4,E$1,$A110,$A110)),_xll.BDH(config!$G$4,E$1,$A110,$A110),_xll.BDH(config!$G$5,E$1,$A110,$A110))))</f>
        <v>46.77</v>
      </c>
      <c r="F110" s="8">
        <f>IF($A110="","",IF(ISNUMBER(FIND("IMPVOL",F$1)),_xll.BDH(config!$G$4,F$1,WORKDAY($A110,-1,config_Holiday_Calendar_US),WORKDAY($A110,-1,config_Holiday_Calendar_US)),IF(ISNUMBER(_xll.BDH(config!$G$4,F$1,$A110,$A110)),_xll.BDH(config!$G$4,F$1,$A110,$A110),_xll.BDH(config!$G$5,F$1,$A110,$A110))))</f>
        <v>47.35</v>
      </c>
      <c r="G110" s="8">
        <f>IF($A110="","",IF(ISNUMBER(FIND("IMPVOL",G$1)),_xll.BDH(config!$G$4,G$1,WORKDAY($A110,-1,config_Holiday_Calendar_US),WORKDAY($A110,-1,config_Holiday_Calendar_US)),IF(ISNUMBER(_xll.BDH(config!$G$4,G$1,$A110,$A110)),_xll.BDH(config!$G$4,G$1,$A110,$A110),_xll.BDH(config!$G$5,G$1,$A110,$A110))))</f>
        <v>46.77</v>
      </c>
      <c r="H110" s="8">
        <f>IF($A110="","",IF(ISNUMBER(FIND("IMPVOL",H$1)),_xll.BDH(config!$G$4,H$1,WORKDAY($A110,-1,config_Holiday_Calendar_US),WORKDAY($A110,-1,config_Holiday_Calendar_US)),IF(ISNUMBER(_xll.BDH(config!$G$4,H$1,$A110,$A110)),_xll.BDH(config!$G$4,H$1,$A110,$A110),_xll.BDH(config!$G$5,H$1,$A110,$A110))))</f>
        <v>278185</v>
      </c>
      <c r="I110" s="8" t="str">
        <f>IF($A110="","",IF(ISNUMBER(FIND("IMPVOL",I$1)),_xll.BDH(config!$G$4,I$1,WORKDAY($A110,-1,config_Holiday_Calendar_US),WORKDAY($A110,-1,config_Holiday_Calendar_US)),IF(ISNUMBER(_xll.BDH(config!$G$4,I$1,$A110,$A110)),_xll.BDH(config!$G$4,I$1,$A110,$A110),_xll.BDH(config!$G$5,I$1,$A110,$A110))))</f>
        <v>#N/A Requesting Data...</v>
      </c>
      <c r="J110" s="8" t="str">
        <f>IF($A110="","",IF(ISNUMBER(FIND("IMPVOL",J$1)),_xll.BDH(config!$G$4,J$1,WORKDAY($A110,-1,config_Holiday_Calendar_US),WORKDAY($A110,-1,config_Holiday_Calendar_US)),IF(ISNUMBER(_xll.BDH(config!$G$4,J$1,$A110,$A110)),_xll.BDH(config!$G$4,J$1,$A110,$A110),_xll.BDH(config!$G$5,J$1,$A110,$A110))))</f>
        <v>#N/A Requesting Data...</v>
      </c>
      <c r="K110" s="8" t="str">
        <f>IF($A110="","",IF(ISNUMBER(FIND("IMPVOL",K$1)),_xll.BDH(config!$G$4,K$1,WORKDAY($A110,-1,config_Holiday_Calendar_US),WORKDAY($A110,-1,config_Holiday_Calendar_US)),IF(ISNUMBER(_xll.BDH(config!$G$4,K$1,$A110,$A110)),_xll.BDH(config!$G$4,K$1,$A110,$A110),_xll.BDH(config!$G$5,K$1,$A110,$A110))))</f>
        <v>#N/A Requesting Data...</v>
      </c>
      <c r="L110" s="8" t="str">
        <f>IF($A110="","",IF(ISNUMBER(FIND("IMPVOL",L$1)),_xll.BDH(config!$G$4,L$1,WORKDAY($A110,-1,config_Holiday_Calendar_US),WORKDAY($A110,-1,config_Holiday_Calendar_US)),IF(ISNUMBER(_xll.BDH(config!$G$4,L$1,$A110,$A110)),_xll.BDH(config!$G$4,L$1,$A110,$A110),_xll.BDH(config!$G$5,L$1,$A110,$A110))))</f>
        <v>#N/A Requesting Data...</v>
      </c>
      <c r="M110" s="8" t="str">
        <f>IF($A110="","",IF(ISNUMBER(FIND("IMPVOL",M$1)),_xll.BDH(config!$G$4,M$1,WORKDAY($A110,-1,config_Holiday_Calendar_US),WORKDAY($A110,-1,config_Holiday_Calendar_US)),IF(ISNUMBER(_xll.BDH(config!$G$4,M$1,$A110,$A110)),_xll.BDH(config!$G$4,M$1,$A110,$A110),_xll.BDH(config!$G$5,M$1,$A110,$A110))))</f>
        <v>#N/A Requesting Data...</v>
      </c>
      <c r="N110" s="8" t="str">
        <f>IF($A110="","",IF(ISNUMBER(FIND("IMPVOL",N$1)),_xll.BDH(config!$G$4,N$1,WORKDAY($A110,-1,config_Holiday_Calendar_US),WORKDAY($A110,-1,config_Holiday_Calendar_US)),IF(ISNUMBER(_xll.BDH(config!$G$4,N$1,$A110,$A110)),_xll.BDH(config!$G$4,N$1,$A110,$A110),_xll.BDH(config!$G$5,N$1,$A110,$A110))))</f>
        <v>#N/A Requesting Data...</v>
      </c>
      <c r="O110" s="8" t="str">
        <f>IF($A110="","",IF(ISNUMBER(FIND("IMPVOL",O$1)),_xll.BDH(config!$G$4,O$1,WORKDAY($A110,-1,config_Holiday_Calendar_US),WORKDAY($A110,-1,config_Holiday_Calendar_US)),IF(ISNUMBER(_xll.BDH(config!$G$4,O$1,$A110,$A110)),_xll.BDH(config!$G$4,O$1,$A110,$A110),_xll.BDH(config!$G$5,O$1,$A110,$A110))))</f>
        <v>#N/A Requesting Data...</v>
      </c>
      <c r="P110" s="8" t="str">
        <f>IF($A110="","",IF(ISNUMBER(FIND("IMPVOL",P$1)),_xll.BDH(config!$G$4,P$1,WORKDAY($A110,-1,config_Holiday_Calendar_US),WORKDAY($A110,-1,config_Holiday_Calendar_US)),IF(ISNUMBER(_xll.BDH(config!$G$4,P$1,$A110,$A110)),_xll.BDH(config!$G$4,P$1,$A110,$A110),_xll.BDH(config!$G$5,P$1,$A110,$A110))))</f>
        <v>#N/A Requesting Data...</v>
      </c>
      <c r="Q110" s="8">
        <f>IF($A110="","",IF(ISNUMBER(FIND("IMPVOL",Q$1)),_xll.BDH(config!$G$4,Q$1,WORKDAY($A110,-1,config_Holiday_Calendar_US),WORKDAY($A110,-1,config_Holiday_Calendar_US)),IF(ISNUMBER(_xll.BDH(config!$G$4,Q$1,$A110,$A110)),_xll.BDH(config!$G$4,Q$1,$A110,$A110),_xll.BDH(config!$G$5,Q$1,$A110,$A110))))</f>
        <v>27.03</v>
      </c>
      <c r="R110" s="8">
        <f>IF($A110="","",IF(ISNUMBER(FIND("IMPVOL",R$1)),_xll.BDH(config!$G$4,R$1,WORKDAY($A110,-1,config_Holiday_Calendar_US),WORKDAY($A110,-1,config_Holiday_Calendar_US)),IF(ISNUMBER(_xll.BDH(config!$G$4,R$1,$A110,$A110)),_xll.BDH(config!$G$4,R$1,$A110,$A110),_xll.BDH(config!$G$5,R$1,$A110,$A110))))</f>
        <v>34.159999999999997</v>
      </c>
      <c r="S110" s="8" t="str">
        <f>IF($A110="","",IF(ISNUMBER(FIND("IMPVOL",S$1)),_xll.BDH(config!$G$4,S$1,WORKDAY($A110,-1,config_Holiday_Calendar_US),WORKDAY($A110,-1,config_Holiday_Calendar_US)),IF(ISNUMBER(_xll.BDH(config!$G$4,S$1,$A110,$A110)),_xll.BDH(config!$G$4,S$1,$A110,$A110),_xll.BDH(config!$G$5,S$1,$A110,$A110))))</f>
        <v>#N/A Requesting Data...</v>
      </c>
      <c r="T110" s="8" t="str">
        <f>IF($A110="","",IF(ISNUMBER(FIND("IMPVOL",T$1)),_xll.BDH(config!$G$4,T$1,WORKDAY($A110,-1,config_Holiday_Calendar_US),WORKDAY($A110,-1,config_Holiday_Calendar_US)),IF(ISNUMBER(_xll.BDH(config!$G$4,T$1,$A110,$A110)),_xll.BDH(config!$G$4,T$1,$A110,$A110),_xll.BDH(config!$G$5,T$1,$A110,$A110))))</f>
        <v>#N/A Requesting Data...</v>
      </c>
      <c r="U110" s="8" t="str">
        <f>IF($A110="","",IF(ISNUMBER(FIND("IMPVOL",U$1)),_xll.BDH(config!$G$4,U$1,WORKDAY($A110,-1,config_Holiday_Calendar_US),WORKDAY($A110,-1,config_Holiday_Calendar_US)),IF(ISNUMBER(_xll.BDH(config!$G$4,U$1,$A110,$A110)),_xll.BDH(config!$G$4,U$1,$A110,$A110),_xll.BDH(config!$G$5,U$1,$A110,$A110))))</f>
        <v>#N/A Requesting Data...</v>
      </c>
      <c r="V110" s="8" t="str">
        <f>IF($A110="","",IF(ISNUMBER(FIND("IMPVOL",V$1)),_xll.BDH(config!$G$4,V$1,WORKDAY($A110,-1,config_Holiday_Calendar_US),WORKDAY($A110,-1,config_Holiday_Calendar_US)),IF(ISNUMBER(_xll.BDH(config!$G$4,V$1,$A110,$A110)),_xll.BDH(config!$G$4,V$1,$A110,$A110),_xll.BDH(config!$G$5,V$1,$A110,$A110))))</f>
        <v>#N/A Requesting Data...</v>
      </c>
      <c r="W110" s="8" t="str">
        <f>IF($A110="","",IF(ISNUMBER(FIND("IMPVOL",W$1)),_xll.BDH(config!$G$4,W$1,WORKDAY($A110,-1,config_Holiday_Calendar_US),WORKDAY($A110,-1,config_Holiday_Calendar_US)),IF(ISNUMBER(_xll.BDH(config!$G$4,W$1,$A110,$A110)),_xll.BDH(config!$G$4,W$1,$A110,$A110),_xll.BDH(config!$G$5,W$1,$A110,$A110))))</f>
        <v>#N/A Requesting Data...</v>
      </c>
    </row>
    <row r="111" spans="1:23" x14ac:dyDescent="0.2">
      <c r="A111" s="9">
        <f>IF(A110="","",IF(WORKDAY(A110,-1,config_Holiday_Calendar_US)&lt;config!$I$10,"",WORKDAY(A110,-1,config_Holiday_Calendar_US)))</f>
        <v>42674</v>
      </c>
      <c r="B111" s="8" t="e">
        <f t="shared" si="1"/>
        <v>#VALUE!</v>
      </c>
      <c r="C111" s="8" t="str">
        <f>IF(A111="","",_xll.BDH(config!$H$4,C$1,$A111,$A111))</f>
        <v>#N/A Requesting Data...</v>
      </c>
      <c r="D111" s="8" t="str">
        <f>IF($A111="","",_xll.BDH(config!$H$4,D$1,$A111,$A111))</f>
        <v>#N/A Requesting Data...</v>
      </c>
      <c r="E111" s="8">
        <f>IF($A111="","",IF(ISNUMBER(FIND("IMPVOL",E$1)),_xll.BDH(config!$G$4,E$1,WORKDAY($A111,-1,config_Holiday_Calendar_US),WORKDAY($A111,-1,config_Holiday_Calendar_US)),IF(ISNUMBER(_xll.BDH(config!$G$4,E$1,$A111,$A111)),_xll.BDH(config!$G$4,E$1,$A111,$A111),_xll.BDH(config!$G$5,E$1,$A111,$A111))))</f>
        <v>48.25</v>
      </c>
      <c r="F111" s="8">
        <f>IF($A111="","",IF(ISNUMBER(FIND("IMPVOL",F$1)),_xll.BDH(config!$G$4,F$1,WORKDAY($A111,-1,config_Holiday_Calendar_US),WORKDAY($A111,-1,config_Holiday_Calendar_US)),IF(ISNUMBER(_xll.BDH(config!$G$4,F$1,$A111,$A111)),_xll.BDH(config!$G$4,F$1,$A111,$A111),_xll.BDH(config!$G$5,F$1,$A111,$A111))))</f>
        <v>48.74</v>
      </c>
      <c r="G111" s="8">
        <f>IF($A111="","",IF(ISNUMBER(FIND("IMPVOL",G$1)),_xll.BDH(config!$G$4,G$1,WORKDAY($A111,-1,config_Holiday_Calendar_US),WORKDAY($A111,-1,config_Holiday_Calendar_US)),IF(ISNUMBER(_xll.BDH(config!$G$4,G$1,$A111,$A111)),_xll.BDH(config!$G$4,G$1,$A111,$A111),_xll.BDH(config!$G$5,G$1,$A111,$A111))))</f>
        <v>47.22</v>
      </c>
      <c r="H111" s="8">
        <f>IF($A111="","",IF(ISNUMBER(FIND("IMPVOL",H$1)),_xll.BDH(config!$G$4,H$1,WORKDAY($A111,-1,config_Holiday_Calendar_US),WORKDAY($A111,-1,config_Holiday_Calendar_US)),IF(ISNUMBER(_xll.BDH(config!$G$4,H$1,$A111,$A111)),_xll.BDH(config!$G$4,H$1,$A111,$A111),_xll.BDH(config!$G$5,H$1,$A111,$A111))))</f>
        <v>164529</v>
      </c>
      <c r="I111" s="8" t="str">
        <f>IF($A111="","",IF(ISNUMBER(FIND("IMPVOL",I$1)),_xll.BDH(config!$G$4,I$1,WORKDAY($A111,-1,config_Holiday_Calendar_US),WORKDAY($A111,-1,config_Holiday_Calendar_US)),IF(ISNUMBER(_xll.BDH(config!$G$4,I$1,$A111,$A111)),_xll.BDH(config!$G$4,I$1,$A111,$A111),_xll.BDH(config!$G$5,I$1,$A111,$A111))))</f>
        <v>#N/A Requesting Data...</v>
      </c>
      <c r="J111" s="8" t="str">
        <f>IF($A111="","",IF(ISNUMBER(FIND("IMPVOL",J$1)),_xll.BDH(config!$G$4,J$1,WORKDAY($A111,-1,config_Holiday_Calendar_US),WORKDAY($A111,-1,config_Holiday_Calendar_US)),IF(ISNUMBER(_xll.BDH(config!$G$4,J$1,$A111,$A111)),_xll.BDH(config!$G$4,J$1,$A111,$A111),_xll.BDH(config!$G$5,J$1,$A111,$A111))))</f>
        <v>#N/A Requesting Data...</v>
      </c>
      <c r="K111" s="8" t="str">
        <f>IF($A111="","",IF(ISNUMBER(FIND("IMPVOL",K$1)),_xll.BDH(config!$G$4,K$1,WORKDAY($A111,-1,config_Holiday_Calendar_US),WORKDAY($A111,-1,config_Holiday_Calendar_US)),IF(ISNUMBER(_xll.BDH(config!$G$4,K$1,$A111,$A111)),_xll.BDH(config!$G$4,K$1,$A111,$A111),_xll.BDH(config!$G$5,K$1,$A111,$A111))))</f>
        <v>#N/A Requesting Data...</v>
      </c>
      <c r="L111" s="8" t="str">
        <f>IF($A111="","",IF(ISNUMBER(FIND("IMPVOL",L$1)),_xll.BDH(config!$G$4,L$1,WORKDAY($A111,-1,config_Holiday_Calendar_US),WORKDAY($A111,-1,config_Holiday_Calendar_US)),IF(ISNUMBER(_xll.BDH(config!$G$4,L$1,$A111,$A111)),_xll.BDH(config!$G$4,L$1,$A111,$A111),_xll.BDH(config!$G$5,L$1,$A111,$A111))))</f>
        <v>#N/A Requesting Data...</v>
      </c>
      <c r="M111" s="8" t="str">
        <f>IF($A111="","",IF(ISNUMBER(FIND("IMPVOL",M$1)),_xll.BDH(config!$G$4,M$1,WORKDAY($A111,-1,config_Holiday_Calendar_US),WORKDAY($A111,-1,config_Holiday_Calendar_US)),IF(ISNUMBER(_xll.BDH(config!$G$4,M$1,$A111,$A111)),_xll.BDH(config!$G$4,M$1,$A111,$A111),_xll.BDH(config!$G$5,M$1,$A111,$A111))))</f>
        <v>#N/A Requesting Data...</v>
      </c>
      <c r="N111" s="8" t="str">
        <f>IF($A111="","",IF(ISNUMBER(FIND("IMPVOL",N$1)),_xll.BDH(config!$G$4,N$1,WORKDAY($A111,-1,config_Holiday_Calendar_US),WORKDAY($A111,-1,config_Holiday_Calendar_US)),IF(ISNUMBER(_xll.BDH(config!$G$4,N$1,$A111,$A111)),_xll.BDH(config!$G$4,N$1,$A111,$A111),_xll.BDH(config!$G$5,N$1,$A111,$A111))))</f>
        <v>#N/A Requesting Data...</v>
      </c>
      <c r="O111" s="8" t="str">
        <f>IF($A111="","",IF(ISNUMBER(FIND("IMPVOL",O$1)),_xll.BDH(config!$G$4,O$1,WORKDAY($A111,-1,config_Holiday_Calendar_US),WORKDAY($A111,-1,config_Holiday_Calendar_US)),IF(ISNUMBER(_xll.BDH(config!$G$4,O$1,$A111,$A111)),_xll.BDH(config!$G$4,O$1,$A111,$A111),_xll.BDH(config!$G$5,O$1,$A111,$A111))))</f>
        <v>#N/A Requesting Data...</v>
      </c>
      <c r="P111" s="8" t="str">
        <f>IF($A111="","",IF(ISNUMBER(FIND("IMPVOL",P$1)),_xll.BDH(config!$G$4,P$1,WORKDAY($A111,-1,config_Holiday_Calendar_US),WORKDAY($A111,-1,config_Holiday_Calendar_US)),IF(ISNUMBER(_xll.BDH(config!$G$4,P$1,$A111,$A111)),_xll.BDH(config!$G$4,P$1,$A111,$A111),_xll.BDH(config!$G$5,P$1,$A111,$A111))))</f>
        <v>#N/A Requesting Data...</v>
      </c>
      <c r="Q111" s="8">
        <f>IF($A111="","",IF(ISNUMBER(FIND("IMPVOL",Q$1)),_xll.BDH(config!$G$4,Q$1,WORKDAY($A111,-1,config_Holiday_Calendar_US),WORKDAY($A111,-1,config_Holiday_Calendar_US)),IF(ISNUMBER(_xll.BDH(config!$G$4,Q$1,$A111,$A111)),_xll.BDH(config!$G$4,Q$1,$A111,$A111),_xll.BDH(config!$G$5,Q$1,$A111,$A111))))</f>
        <v>32.57</v>
      </c>
      <c r="R111" s="8">
        <f>IF($A111="","",IF(ISNUMBER(FIND("IMPVOL",R$1)),_xll.BDH(config!$G$4,R$1,WORKDAY($A111,-1,config_Holiday_Calendar_US),WORKDAY($A111,-1,config_Holiday_Calendar_US)),IF(ISNUMBER(_xll.BDH(config!$G$4,R$1,$A111,$A111)),_xll.BDH(config!$G$4,R$1,$A111,$A111),_xll.BDH(config!$G$5,R$1,$A111,$A111))))</f>
        <v>36.15</v>
      </c>
      <c r="S111" s="8" t="str">
        <f>IF($A111="","",IF(ISNUMBER(FIND("IMPVOL",S$1)),_xll.BDH(config!$G$4,S$1,WORKDAY($A111,-1,config_Holiday_Calendar_US),WORKDAY($A111,-1,config_Holiday_Calendar_US)),IF(ISNUMBER(_xll.BDH(config!$G$4,S$1,$A111,$A111)),_xll.BDH(config!$G$4,S$1,$A111,$A111),_xll.BDH(config!$G$5,S$1,$A111,$A111))))</f>
        <v>#N/A Requesting Data...</v>
      </c>
      <c r="T111" s="8" t="str">
        <f>IF($A111="","",IF(ISNUMBER(FIND("IMPVOL",T$1)),_xll.BDH(config!$G$4,T$1,WORKDAY($A111,-1,config_Holiday_Calendar_US),WORKDAY($A111,-1,config_Holiday_Calendar_US)),IF(ISNUMBER(_xll.BDH(config!$G$4,T$1,$A111,$A111)),_xll.BDH(config!$G$4,T$1,$A111,$A111),_xll.BDH(config!$G$5,T$1,$A111,$A111))))</f>
        <v>#N/A Requesting Data...</v>
      </c>
      <c r="U111" s="8" t="str">
        <f>IF($A111="","",IF(ISNUMBER(FIND("IMPVOL",U$1)),_xll.BDH(config!$G$4,U$1,WORKDAY($A111,-1,config_Holiday_Calendar_US),WORKDAY($A111,-1,config_Holiday_Calendar_US)),IF(ISNUMBER(_xll.BDH(config!$G$4,U$1,$A111,$A111)),_xll.BDH(config!$G$4,U$1,$A111,$A111),_xll.BDH(config!$G$5,U$1,$A111,$A111))))</f>
        <v>#N/A Requesting Data...</v>
      </c>
      <c r="V111" s="8" t="str">
        <f>IF($A111="","",IF(ISNUMBER(FIND("IMPVOL",V$1)),_xll.BDH(config!$G$4,V$1,WORKDAY($A111,-1,config_Holiday_Calendar_US),WORKDAY($A111,-1,config_Holiday_Calendar_US)),IF(ISNUMBER(_xll.BDH(config!$G$4,V$1,$A111,$A111)),_xll.BDH(config!$G$4,V$1,$A111,$A111),_xll.BDH(config!$G$5,V$1,$A111,$A111))))</f>
        <v>#N/A Requesting Data...</v>
      </c>
      <c r="W111" s="8" t="str">
        <f>IF($A111="","",IF(ISNUMBER(FIND("IMPVOL",W$1)),_xll.BDH(config!$G$4,W$1,WORKDAY($A111,-1,config_Holiday_Calendar_US),WORKDAY($A111,-1,config_Holiday_Calendar_US)),IF(ISNUMBER(_xll.BDH(config!$G$4,W$1,$A111,$A111)),_xll.BDH(config!$G$4,W$1,$A111,$A111),_xll.BDH(config!$G$5,W$1,$A111,$A111))))</f>
        <v>#N/A Requesting Data...</v>
      </c>
    </row>
    <row r="112" spans="1:23" x14ac:dyDescent="0.2">
      <c r="A112" s="9">
        <f>IF(A111="","",IF(WORKDAY(A111,-1,config_Holiday_Calendar_US)&lt;config!$I$10,"",WORKDAY(A111,-1,config_Holiday_Calendar_US)))</f>
        <v>42671</v>
      </c>
      <c r="B112" s="8" t="e">
        <f t="shared" si="1"/>
        <v>#VALUE!</v>
      </c>
      <c r="C112" s="8" t="str">
        <f>IF(A112="","",_xll.BDH(config!$H$4,C$1,$A112,$A112))</f>
        <v>#N/A Requesting Data...</v>
      </c>
      <c r="D112" s="8" t="str">
        <f>IF($A112="","",_xll.BDH(config!$H$4,D$1,$A112,$A112))</f>
        <v>#N/A Requesting Data...</v>
      </c>
      <c r="E112" s="8">
        <f>IF($A112="","",IF(ISNUMBER(FIND("IMPVOL",E$1)),_xll.BDH(config!$G$4,E$1,WORKDAY($A112,-1,config_Holiday_Calendar_US),WORKDAY($A112,-1,config_Holiday_Calendar_US)),IF(ISNUMBER(_xll.BDH(config!$G$4,E$1,$A112,$A112)),_xll.BDH(config!$G$4,E$1,$A112,$A112),_xll.BDH(config!$G$5,E$1,$A112,$A112))))</f>
        <v>49.61</v>
      </c>
      <c r="F112" s="8">
        <f>IF($A112="","",IF(ISNUMBER(FIND("IMPVOL",F$1)),_xll.BDH(config!$G$4,F$1,WORKDAY($A112,-1,config_Holiday_Calendar_US),WORKDAY($A112,-1,config_Holiday_Calendar_US)),IF(ISNUMBER(_xll.BDH(config!$G$4,F$1,$A112,$A112)),_xll.BDH(config!$G$4,F$1,$A112,$A112),_xll.BDH(config!$G$5,F$1,$A112,$A112))))</f>
        <v>49.81</v>
      </c>
      <c r="G112" s="8">
        <f>IF($A112="","",IF(ISNUMBER(FIND("IMPVOL",G$1)),_xll.BDH(config!$G$4,G$1,WORKDAY($A112,-1,config_Holiday_Calendar_US),WORKDAY($A112,-1,config_Holiday_Calendar_US)),IF(ISNUMBER(_xll.BDH(config!$G$4,G$1,$A112,$A112)),_xll.BDH(config!$G$4,G$1,$A112,$A112),_xll.BDH(config!$G$5,G$1,$A112,$A112))))</f>
        <v>49.06</v>
      </c>
      <c r="H112" s="8">
        <f>IF($A112="","",IF(ISNUMBER(FIND("IMPVOL",H$1)),_xll.BDH(config!$G$4,H$1,WORKDAY($A112,-1,config_Holiday_Calendar_US),WORKDAY($A112,-1,config_Holiday_Calendar_US)),IF(ISNUMBER(_xll.BDH(config!$G$4,H$1,$A112,$A112)),_xll.BDH(config!$G$4,H$1,$A112,$A112),_xll.BDH(config!$G$5,H$1,$A112,$A112))))</f>
        <v>105378</v>
      </c>
      <c r="I112" s="8" t="str">
        <f>IF($A112="","",IF(ISNUMBER(FIND("IMPVOL",I$1)),_xll.BDH(config!$G$4,I$1,WORKDAY($A112,-1,config_Holiday_Calendar_US),WORKDAY($A112,-1,config_Holiday_Calendar_US)),IF(ISNUMBER(_xll.BDH(config!$G$4,I$1,$A112,$A112)),_xll.BDH(config!$G$4,I$1,$A112,$A112),_xll.BDH(config!$G$5,I$1,$A112,$A112))))</f>
        <v>#N/A Requesting Data...</v>
      </c>
      <c r="J112" s="8" t="str">
        <f>IF($A112="","",IF(ISNUMBER(FIND("IMPVOL",J$1)),_xll.BDH(config!$G$4,J$1,WORKDAY($A112,-1,config_Holiday_Calendar_US),WORKDAY($A112,-1,config_Holiday_Calendar_US)),IF(ISNUMBER(_xll.BDH(config!$G$4,J$1,$A112,$A112)),_xll.BDH(config!$G$4,J$1,$A112,$A112),_xll.BDH(config!$G$5,J$1,$A112,$A112))))</f>
        <v>#N/A Requesting Data...</v>
      </c>
      <c r="K112" s="8" t="str">
        <f>IF($A112="","",IF(ISNUMBER(FIND("IMPVOL",K$1)),_xll.BDH(config!$G$4,K$1,WORKDAY($A112,-1,config_Holiday_Calendar_US),WORKDAY($A112,-1,config_Holiday_Calendar_US)),IF(ISNUMBER(_xll.BDH(config!$G$4,K$1,$A112,$A112)),_xll.BDH(config!$G$4,K$1,$A112,$A112),_xll.BDH(config!$G$5,K$1,$A112,$A112))))</f>
        <v>#N/A Requesting Data...</v>
      </c>
      <c r="L112" s="8" t="str">
        <f>IF($A112="","",IF(ISNUMBER(FIND("IMPVOL",L$1)),_xll.BDH(config!$G$4,L$1,WORKDAY($A112,-1,config_Holiday_Calendar_US),WORKDAY($A112,-1,config_Holiday_Calendar_US)),IF(ISNUMBER(_xll.BDH(config!$G$4,L$1,$A112,$A112)),_xll.BDH(config!$G$4,L$1,$A112,$A112),_xll.BDH(config!$G$5,L$1,$A112,$A112))))</f>
        <v>#N/A Requesting Data...</v>
      </c>
      <c r="M112" s="8" t="str">
        <f>IF($A112="","",IF(ISNUMBER(FIND("IMPVOL",M$1)),_xll.BDH(config!$G$4,M$1,WORKDAY($A112,-1,config_Holiday_Calendar_US),WORKDAY($A112,-1,config_Holiday_Calendar_US)),IF(ISNUMBER(_xll.BDH(config!$G$4,M$1,$A112,$A112)),_xll.BDH(config!$G$4,M$1,$A112,$A112),_xll.BDH(config!$G$5,M$1,$A112,$A112))))</f>
        <v>#N/A Requesting Data...</v>
      </c>
      <c r="N112" s="8" t="str">
        <f>IF($A112="","",IF(ISNUMBER(FIND("IMPVOL",N$1)),_xll.BDH(config!$G$4,N$1,WORKDAY($A112,-1,config_Holiday_Calendar_US),WORKDAY($A112,-1,config_Holiday_Calendar_US)),IF(ISNUMBER(_xll.BDH(config!$G$4,N$1,$A112,$A112)),_xll.BDH(config!$G$4,N$1,$A112,$A112),_xll.BDH(config!$G$5,N$1,$A112,$A112))))</f>
        <v>#N/A Requesting Data...</v>
      </c>
      <c r="O112" s="8" t="str">
        <f>IF($A112="","",IF(ISNUMBER(FIND("IMPVOL",O$1)),_xll.BDH(config!$G$4,O$1,WORKDAY($A112,-1,config_Holiday_Calendar_US),WORKDAY($A112,-1,config_Holiday_Calendar_US)),IF(ISNUMBER(_xll.BDH(config!$G$4,O$1,$A112,$A112)),_xll.BDH(config!$G$4,O$1,$A112,$A112),_xll.BDH(config!$G$5,O$1,$A112,$A112))))</f>
        <v>#N/A Requesting Data...</v>
      </c>
      <c r="P112" s="8" t="str">
        <f>IF($A112="","",IF(ISNUMBER(FIND("IMPVOL",P$1)),_xll.BDH(config!$G$4,P$1,WORKDAY($A112,-1,config_Holiday_Calendar_US),WORKDAY($A112,-1,config_Holiday_Calendar_US)),IF(ISNUMBER(_xll.BDH(config!$G$4,P$1,$A112,$A112)),_xll.BDH(config!$G$4,P$1,$A112,$A112),_xll.BDH(config!$G$5,P$1,$A112,$A112))))</f>
        <v>#N/A Requesting Data...</v>
      </c>
      <c r="Q112" s="8">
        <f>IF($A112="","",IF(ISNUMBER(FIND("IMPVOL",Q$1)),_xll.BDH(config!$G$4,Q$1,WORKDAY($A112,-1,config_Holiday_Calendar_US),WORKDAY($A112,-1,config_Holiday_Calendar_US)),IF(ISNUMBER(_xll.BDH(config!$G$4,Q$1,$A112,$A112)),_xll.BDH(config!$G$4,Q$1,$A112,$A112),_xll.BDH(config!$G$5,Q$1,$A112,$A112))))</f>
        <v>26.79</v>
      </c>
      <c r="R112" s="8">
        <f>IF($A112="","",IF(ISNUMBER(FIND("IMPVOL",R$1)),_xll.BDH(config!$G$4,R$1,WORKDAY($A112,-1,config_Holiday_Calendar_US),WORKDAY($A112,-1,config_Holiday_Calendar_US)),IF(ISNUMBER(_xll.BDH(config!$G$4,R$1,$A112,$A112)),_xll.BDH(config!$G$4,R$1,$A112,$A112),_xll.BDH(config!$G$5,R$1,$A112,$A112))))</f>
        <v>33.82</v>
      </c>
      <c r="S112" s="8" t="str">
        <f>IF($A112="","",IF(ISNUMBER(FIND("IMPVOL",S$1)),_xll.BDH(config!$G$4,S$1,WORKDAY($A112,-1,config_Holiday_Calendar_US),WORKDAY($A112,-1,config_Holiday_Calendar_US)),IF(ISNUMBER(_xll.BDH(config!$G$4,S$1,$A112,$A112)),_xll.BDH(config!$G$4,S$1,$A112,$A112),_xll.BDH(config!$G$5,S$1,$A112,$A112))))</f>
        <v>#N/A Requesting Data...</v>
      </c>
      <c r="T112" s="8" t="str">
        <f>IF($A112="","",IF(ISNUMBER(FIND("IMPVOL",T$1)),_xll.BDH(config!$G$4,T$1,WORKDAY($A112,-1,config_Holiday_Calendar_US),WORKDAY($A112,-1,config_Holiday_Calendar_US)),IF(ISNUMBER(_xll.BDH(config!$G$4,T$1,$A112,$A112)),_xll.BDH(config!$G$4,T$1,$A112,$A112),_xll.BDH(config!$G$5,T$1,$A112,$A112))))</f>
        <v>#N/A Requesting Data...</v>
      </c>
      <c r="U112" s="8" t="str">
        <f>IF($A112="","",IF(ISNUMBER(FIND("IMPVOL",U$1)),_xll.BDH(config!$G$4,U$1,WORKDAY($A112,-1,config_Holiday_Calendar_US),WORKDAY($A112,-1,config_Holiday_Calendar_US)),IF(ISNUMBER(_xll.BDH(config!$G$4,U$1,$A112,$A112)),_xll.BDH(config!$G$4,U$1,$A112,$A112),_xll.BDH(config!$G$5,U$1,$A112,$A112))))</f>
        <v>#N/A Requesting Data...</v>
      </c>
      <c r="V112" s="8" t="str">
        <f>IF($A112="","",IF(ISNUMBER(FIND("IMPVOL",V$1)),_xll.BDH(config!$G$4,V$1,WORKDAY($A112,-1,config_Holiday_Calendar_US),WORKDAY($A112,-1,config_Holiday_Calendar_US)),IF(ISNUMBER(_xll.BDH(config!$G$4,V$1,$A112,$A112)),_xll.BDH(config!$G$4,V$1,$A112,$A112),_xll.BDH(config!$G$5,V$1,$A112,$A112))))</f>
        <v>#N/A Requesting Data...</v>
      </c>
      <c r="W112" s="8" t="str">
        <f>IF($A112="","",IF(ISNUMBER(FIND("IMPVOL",W$1)),_xll.BDH(config!$G$4,W$1,WORKDAY($A112,-1,config_Holiday_Calendar_US),WORKDAY($A112,-1,config_Holiday_Calendar_US)),IF(ISNUMBER(_xll.BDH(config!$G$4,W$1,$A112,$A112)),_xll.BDH(config!$G$4,W$1,$A112,$A112),_xll.BDH(config!$G$5,W$1,$A112,$A112))))</f>
        <v>#N/A Requesting Data...</v>
      </c>
    </row>
    <row r="113" spans="1:23" x14ac:dyDescent="0.2">
      <c r="A113" s="9">
        <f>IF(A112="","",IF(WORKDAY(A112,-1,config_Holiday_Calendar_US)&lt;config!$I$10,"",WORKDAY(A112,-1,config_Holiday_Calendar_US)))</f>
        <v>42670</v>
      </c>
      <c r="B113" s="8" t="e">
        <f t="shared" si="1"/>
        <v>#VALUE!</v>
      </c>
      <c r="C113" s="8" t="str">
        <f>IF(A113="","",_xll.BDH(config!$H$4,C$1,$A113,$A113))</f>
        <v>#N/A Requesting Data...</v>
      </c>
      <c r="D113" s="8" t="str">
        <f>IF($A113="","",_xll.BDH(config!$H$4,D$1,$A113,$A113))</f>
        <v>#N/A Requesting Data...</v>
      </c>
      <c r="E113" s="8">
        <f>IF($A113="","",IF(ISNUMBER(FIND("IMPVOL",E$1)),_xll.BDH(config!$G$4,E$1,WORKDAY($A113,-1,config_Holiday_Calendar_US),WORKDAY($A113,-1,config_Holiday_Calendar_US)),IF(ISNUMBER(_xll.BDH(config!$G$4,E$1,$A113,$A113)),_xll.BDH(config!$G$4,E$1,$A113,$A113),_xll.BDH(config!$G$5,E$1,$A113,$A113))))</f>
        <v>49.22</v>
      </c>
      <c r="F113" s="8">
        <f>IF($A113="","",IF(ISNUMBER(FIND("IMPVOL",F$1)),_xll.BDH(config!$G$4,F$1,WORKDAY($A113,-1,config_Holiday_Calendar_US),WORKDAY($A113,-1,config_Holiday_Calendar_US)),IF(ISNUMBER(_xll.BDH(config!$G$4,F$1,$A113,$A113)),_xll.BDH(config!$G$4,F$1,$A113,$A113),_xll.BDH(config!$G$5,F$1,$A113,$A113))))</f>
        <v>50.06</v>
      </c>
      <c r="G113" s="8">
        <f>IF($A113="","",IF(ISNUMBER(FIND("IMPVOL",G$1)),_xll.BDH(config!$G$4,G$1,WORKDAY($A113,-1,config_Holiday_Calendar_US),WORKDAY($A113,-1,config_Holiday_Calendar_US)),IF(ISNUMBER(_xll.BDH(config!$G$4,G$1,$A113,$A113)),_xll.BDH(config!$G$4,G$1,$A113,$A113),_xll.BDH(config!$G$5,G$1,$A113,$A113))))</f>
        <v>49.68</v>
      </c>
      <c r="H113" s="8">
        <f>IF($A113="","",IF(ISNUMBER(FIND("IMPVOL",H$1)),_xll.BDH(config!$G$4,H$1,WORKDAY($A113,-1,config_Holiday_Calendar_US),WORKDAY($A113,-1,config_Holiday_Calendar_US)),IF(ISNUMBER(_xll.BDH(config!$G$4,H$1,$A113,$A113)),_xll.BDH(config!$G$4,H$1,$A113,$A113),_xll.BDH(config!$G$5,H$1,$A113,$A113))))</f>
        <v>115070</v>
      </c>
      <c r="I113" s="8" t="str">
        <f>IF($A113="","",IF(ISNUMBER(FIND("IMPVOL",I$1)),_xll.BDH(config!$G$4,I$1,WORKDAY($A113,-1,config_Holiday_Calendar_US),WORKDAY($A113,-1,config_Holiday_Calendar_US)),IF(ISNUMBER(_xll.BDH(config!$G$4,I$1,$A113,$A113)),_xll.BDH(config!$G$4,I$1,$A113,$A113),_xll.BDH(config!$G$5,I$1,$A113,$A113))))</f>
        <v>#N/A Requesting Data...</v>
      </c>
      <c r="J113" s="8" t="str">
        <f>IF($A113="","",IF(ISNUMBER(FIND("IMPVOL",J$1)),_xll.BDH(config!$G$4,J$1,WORKDAY($A113,-1,config_Holiday_Calendar_US),WORKDAY($A113,-1,config_Holiday_Calendar_US)),IF(ISNUMBER(_xll.BDH(config!$G$4,J$1,$A113,$A113)),_xll.BDH(config!$G$4,J$1,$A113,$A113),_xll.BDH(config!$G$5,J$1,$A113,$A113))))</f>
        <v>#N/A Requesting Data...</v>
      </c>
      <c r="K113" s="8" t="str">
        <f>IF($A113="","",IF(ISNUMBER(FIND("IMPVOL",K$1)),_xll.BDH(config!$G$4,K$1,WORKDAY($A113,-1,config_Holiday_Calendar_US),WORKDAY($A113,-1,config_Holiday_Calendar_US)),IF(ISNUMBER(_xll.BDH(config!$G$4,K$1,$A113,$A113)),_xll.BDH(config!$G$4,K$1,$A113,$A113),_xll.BDH(config!$G$5,K$1,$A113,$A113))))</f>
        <v>#N/A Requesting Data...</v>
      </c>
      <c r="L113" s="8" t="str">
        <f>IF($A113="","",IF(ISNUMBER(FIND("IMPVOL",L$1)),_xll.BDH(config!$G$4,L$1,WORKDAY($A113,-1,config_Holiday_Calendar_US),WORKDAY($A113,-1,config_Holiday_Calendar_US)),IF(ISNUMBER(_xll.BDH(config!$G$4,L$1,$A113,$A113)),_xll.BDH(config!$G$4,L$1,$A113,$A113),_xll.BDH(config!$G$5,L$1,$A113,$A113))))</f>
        <v>#N/A Requesting Data...</v>
      </c>
      <c r="M113" s="8" t="str">
        <f>IF($A113="","",IF(ISNUMBER(FIND("IMPVOL",M$1)),_xll.BDH(config!$G$4,M$1,WORKDAY($A113,-1,config_Holiday_Calendar_US),WORKDAY($A113,-1,config_Holiday_Calendar_US)),IF(ISNUMBER(_xll.BDH(config!$G$4,M$1,$A113,$A113)),_xll.BDH(config!$G$4,M$1,$A113,$A113),_xll.BDH(config!$G$5,M$1,$A113,$A113))))</f>
        <v>#N/A Requesting Data...</v>
      </c>
      <c r="N113" s="8" t="str">
        <f>IF($A113="","",IF(ISNUMBER(FIND("IMPVOL",N$1)),_xll.BDH(config!$G$4,N$1,WORKDAY($A113,-1,config_Holiday_Calendar_US),WORKDAY($A113,-1,config_Holiday_Calendar_US)),IF(ISNUMBER(_xll.BDH(config!$G$4,N$1,$A113,$A113)),_xll.BDH(config!$G$4,N$1,$A113,$A113),_xll.BDH(config!$G$5,N$1,$A113,$A113))))</f>
        <v>#N/A Requesting Data...</v>
      </c>
      <c r="O113" s="8" t="str">
        <f>IF($A113="","",IF(ISNUMBER(FIND("IMPVOL",O$1)),_xll.BDH(config!$G$4,O$1,WORKDAY($A113,-1,config_Holiday_Calendar_US),WORKDAY($A113,-1,config_Holiday_Calendar_US)),IF(ISNUMBER(_xll.BDH(config!$G$4,O$1,$A113,$A113)),_xll.BDH(config!$G$4,O$1,$A113,$A113),_xll.BDH(config!$G$5,O$1,$A113,$A113))))</f>
        <v>#N/A Requesting Data...</v>
      </c>
      <c r="P113" s="8" t="str">
        <f>IF($A113="","",IF(ISNUMBER(FIND("IMPVOL",P$1)),_xll.BDH(config!$G$4,P$1,WORKDAY($A113,-1,config_Holiday_Calendar_US),WORKDAY($A113,-1,config_Holiday_Calendar_US)),IF(ISNUMBER(_xll.BDH(config!$G$4,P$1,$A113,$A113)),_xll.BDH(config!$G$4,P$1,$A113,$A113),_xll.BDH(config!$G$5,P$1,$A113,$A113))))</f>
        <v>#N/A Requesting Data...</v>
      </c>
      <c r="Q113" s="8">
        <f>IF($A113="","",IF(ISNUMBER(FIND("IMPVOL",Q$1)),_xll.BDH(config!$G$4,Q$1,WORKDAY($A113,-1,config_Holiday_Calendar_US),WORKDAY($A113,-1,config_Holiday_Calendar_US)),IF(ISNUMBER(_xll.BDH(config!$G$4,Q$1,$A113,$A113)),_xll.BDH(config!$G$4,Q$1,$A113,$A113),_xll.BDH(config!$G$5,Q$1,$A113,$A113))))</f>
        <v>24.82</v>
      </c>
      <c r="R113" s="8">
        <f>IF($A113="","",IF(ISNUMBER(FIND("IMPVOL",R$1)),_xll.BDH(config!$G$4,R$1,WORKDAY($A113,-1,config_Holiday_Calendar_US),WORKDAY($A113,-1,config_Holiday_Calendar_US)),IF(ISNUMBER(_xll.BDH(config!$G$4,R$1,$A113,$A113)),_xll.BDH(config!$G$4,R$1,$A113,$A113),_xll.BDH(config!$G$5,R$1,$A113,$A113))))</f>
        <v>32.96</v>
      </c>
      <c r="S113" s="8" t="str">
        <f>IF($A113="","",IF(ISNUMBER(FIND("IMPVOL",S$1)),_xll.BDH(config!$G$4,S$1,WORKDAY($A113,-1,config_Holiday_Calendar_US),WORKDAY($A113,-1,config_Holiday_Calendar_US)),IF(ISNUMBER(_xll.BDH(config!$G$4,S$1,$A113,$A113)),_xll.BDH(config!$G$4,S$1,$A113,$A113),_xll.BDH(config!$G$5,S$1,$A113,$A113))))</f>
        <v>#N/A Requesting Data...</v>
      </c>
      <c r="T113" s="8" t="str">
        <f>IF($A113="","",IF(ISNUMBER(FIND("IMPVOL",T$1)),_xll.BDH(config!$G$4,T$1,WORKDAY($A113,-1,config_Holiday_Calendar_US),WORKDAY($A113,-1,config_Holiday_Calendar_US)),IF(ISNUMBER(_xll.BDH(config!$G$4,T$1,$A113,$A113)),_xll.BDH(config!$G$4,T$1,$A113,$A113),_xll.BDH(config!$G$5,T$1,$A113,$A113))))</f>
        <v>#N/A Requesting Data...</v>
      </c>
      <c r="U113" s="8" t="str">
        <f>IF($A113="","",IF(ISNUMBER(FIND("IMPVOL",U$1)),_xll.BDH(config!$G$4,U$1,WORKDAY($A113,-1,config_Holiday_Calendar_US),WORKDAY($A113,-1,config_Holiday_Calendar_US)),IF(ISNUMBER(_xll.BDH(config!$G$4,U$1,$A113,$A113)),_xll.BDH(config!$G$4,U$1,$A113,$A113),_xll.BDH(config!$G$5,U$1,$A113,$A113))))</f>
        <v>#N/A Requesting Data...</v>
      </c>
      <c r="V113" s="8" t="str">
        <f>IF($A113="","",IF(ISNUMBER(FIND("IMPVOL",V$1)),_xll.BDH(config!$G$4,V$1,WORKDAY($A113,-1,config_Holiday_Calendar_US),WORKDAY($A113,-1,config_Holiday_Calendar_US)),IF(ISNUMBER(_xll.BDH(config!$G$4,V$1,$A113,$A113)),_xll.BDH(config!$G$4,V$1,$A113,$A113),_xll.BDH(config!$G$5,V$1,$A113,$A113))))</f>
        <v>#N/A Requesting Data...</v>
      </c>
      <c r="W113" s="8" t="str">
        <f>IF($A113="","",IF(ISNUMBER(FIND("IMPVOL",W$1)),_xll.BDH(config!$G$4,W$1,WORKDAY($A113,-1,config_Holiday_Calendar_US),WORKDAY($A113,-1,config_Holiday_Calendar_US)),IF(ISNUMBER(_xll.BDH(config!$G$4,W$1,$A113,$A113)),_xll.BDH(config!$G$4,W$1,$A113,$A113),_xll.BDH(config!$G$5,W$1,$A113,$A113))))</f>
        <v>#N/A Requesting Data...</v>
      </c>
    </row>
    <row r="114" spans="1:23" x14ac:dyDescent="0.2">
      <c r="A114" s="9">
        <f>IF(A113="","",IF(WORKDAY(A113,-1,config_Holiday_Calendar_US)&lt;config!$I$10,"",WORKDAY(A113,-1,config_Holiday_Calendar_US)))</f>
        <v>42669</v>
      </c>
      <c r="B114" s="8" t="e">
        <f t="shared" si="1"/>
        <v>#VALUE!</v>
      </c>
      <c r="C114" s="8" t="str">
        <f>IF(A114="","",_xll.BDH(config!$H$4,C$1,$A114,$A114))</f>
        <v>#N/A Requesting Data...</v>
      </c>
      <c r="D114" s="8" t="str">
        <f>IF($A114="","",_xll.BDH(config!$H$4,D$1,$A114,$A114))</f>
        <v>#N/A Requesting Data...</v>
      </c>
      <c r="E114" s="8">
        <f>IF($A114="","",IF(ISNUMBER(FIND("IMPVOL",E$1)),_xll.BDH(config!$G$4,E$1,WORKDAY($A114,-1,config_Holiday_Calendar_US),WORKDAY($A114,-1,config_Holiday_Calendar_US)),IF(ISNUMBER(_xll.BDH(config!$G$4,E$1,$A114,$A114)),_xll.BDH(config!$G$4,E$1,$A114,$A114),_xll.BDH(config!$G$5,E$1,$A114,$A114))))</f>
        <v>49.31</v>
      </c>
      <c r="F114" s="8">
        <f>IF($A114="","",IF(ISNUMBER(FIND("IMPVOL",F$1)),_xll.BDH(config!$G$4,F$1,WORKDAY($A114,-1,config_Holiday_Calendar_US),WORKDAY($A114,-1,config_Holiday_Calendar_US)),IF(ISNUMBER(_xll.BDH(config!$G$4,F$1,$A114,$A114)),_xll.BDH(config!$G$4,F$1,$A114,$A114),_xll.BDH(config!$G$5,F$1,$A114,$A114))))</f>
        <v>50.1</v>
      </c>
      <c r="G114" s="8">
        <f>IF($A114="","",IF(ISNUMBER(FIND("IMPVOL",G$1)),_xll.BDH(config!$G$4,G$1,WORKDAY($A114,-1,config_Holiday_Calendar_US),WORKDAY($A114,-1,config_Holiday_Calendar_US)),IF(ISNUMBER(_xll.BDH(config!$G$4,G$1,$A114,$A114)),_xll.BDH(config!$G$4,G$1,$A114,$A114),_xll.BDH(config!$G$5,G$1,$A114,$A114))))</f>
        <v>49.51</v>
      </c>
      <c r="H114" s="8">
        <f>IF($A114="","",IF(ISNUMBER(FIND("IMPVOL",H$1)),_xll.BDH(config!$G$4,H$1,WORKDAY($A114,-1,config_Holiday_Calendar_US),WORKDAY($A114,-1,config_Holiday_Calendar_US)),IF(ISNUMBER(_xll.BDH(config!$G$4,H$1,$A114,$A114)),_xll.BDH(config!$G$4,H$1,$A114,$A114),_xll.BDH(config!$G$5,H$1,$A114,$A114))))</f>
        <v>134877</v>
      </c>
      <c r="I114" s="8" t="str">
        <f>IF($A114="","",IF(ISNUMBER(FIND("IMPVOL",I$1)),_xll.BDH(config!$G$4,I$1,WORKDAY($A114,-1,config_Holiday_Calendar_US),WORKDAY($A114,-1,config_Holiday_Calendar_US)),IF(ISNUMBER(_xll.BDH(config!$G$4,I$1,$A114,$A114)),_xll.BDH(config!$G$4,I$1,$A114,$A114),_xll.BDH(config!$G$5,I$1,$A114,$A114))))</f>
        <v>#N/A Requesting Data...</v>
      </c>
      <c r="J114" s="8" t="str">
        <f>IF($A114="","",IF(ISNUMBER(FIND("IMPVOL",J$1)),_xll.BDH(config!$G$4,J$1,WORKDAY($A114,-1,config_Holiday_Calendar_US),WORKDAY($A114,-1,config_Holiday_Calendar_US)),IF(ISNUMBER(_xll.BDH(config!$G$4,J$1,$A114,$A114)),_xll.BDH(config!$G$4,J$1,$A114,$A114),_xll.BDH(config!$G$5,J$1,$A114,$A114))))</f>
        <v>#N/A Requesting Data...</v>
      </c>
      <c r="K114" s="8" t="str">
        <f>IF($A114="","",IF(ISNUMBER(FIND("IMPVOL",K$1)),_xll.BDH(config!$G$4,K$1,WORKDAY($A114,-1,config_Holiday_Calendar_US),WORKDAY($A114,-1,config_Holiday_Calendar_US)),IF(ISNUMBER(_xll.BDH(config!$G$4,K$1,$A114,$A114)),_xll.BDH(config!$G$4,K$1,$A114,$A114),_xll.BDH(config!$G$5,K$1,$A114,$A114))))</f>
        <v>#N/A Requesting Data...</v>
      </c>
      <c r="L114" s="8" t="str">
        <f>IF($A114="","",IF(ISNUMBER(FIND("IMPVOL",L$1)),_xll.BDH(config!$G$4,L$1,WORKDAY($A114,-1,config_Holiday_Calendar_US),WORKDAY($A114,-1,config_Holiday_Calendar_US)),IF(ISNUMBER(_xll.BDH(config!$G$4,L$1,$A114,$A114)),_xll.BDH(config!$G$4,L$1,$A114,$A114),_xll.BDH(config!$G$5,L$1,$A114,$A114))))</f>
        <v>#N/A Requesting Data...</v>
      </c>
      <c r="M114" s="8" t="str">
        <f>IF($A114="","",IF(ISNUMBER(FIND("IMPVOL",M$1)),_xll.BDH(config!$G$4,M$1,WORKDAY($A114,-1,config_Holiday_Calendar_US),WORKDAY($A114,-1,config_Holiday_Calendar_US)),IF(ISNUMBER(_xll.BDH(config!$G$4,M$1,$A114,$A114)),_xll.BDH(config!$G$4,M$1,$A114,$A114),_xll.BDH(config!$G$5,M$1,$A114,$A114))))</f>
        <v>#N/A Requesting Data...</v>
      </c>
      <c r="N114" s="8" t="str">
        <f>IF($A114="","",IF(ISNUMBER(FIND("IMPVOL",N$1)),_xll.BDH(config!$G$4,N$1,WORKDAY($A114,-1,config_Holiday_Calendar_US),WORKDAY($A114,-1,config_Holiday_Calendar_US)),IF(ISNUMBER(_xll.BDH(config!$G$4,N$1,$A114,$A114)),_xll.BDH(config!$G$4,N$1,$A114,$A114),_xll.BDH(config!$G$5,N$1,$A114,$A114))))</f>
        <v>#N/A Requesting Data...</v>
      </c>
      <c r="O114" s="8" t="str">
        <f>IF($A114="","",IF(ISNUMBER(FIND("IMPVOL",O$1)),_xll.BDH(config!$G$4,O$1,WORKDAY($A114,-1,config_Holiday_Calendar_US),WORKDAY($A114,-1,config_Holiday_Calendar_US)),IF(ISNUMBER(_xll.BDH(config!$G$4,O$1,$A114,$A114)),_xll.BDH(config!$G$4,O$1,$A114,$A114),_xll.BDH(config!$G$5,O$1,$A114,$A114))))</f>
        <v>#N/A Requesting Data...</v>
      </c>
      <c r="P114" s="8" t="str">
        <f>IF($A114="","",IF(ISNUMBER(FIND("IMPVOL",P$1)),_xll.BDH(config!$G$4,P$1,WORKDAY($A114,-1,config_Holiday_Calendar_US),WORKDAY($A114,-1,config_Holiday_Calendar_US)),IF(ISNUMBER(_xll.BDH(config!$G$4,P$1,$A114,$A114)),_xll.BDH(config!$G$4,P$1,$A114,$A114),_xll.BDH(config!$G$5,P$1,$A114,$A114))))</f>
        <v>#N/A Requesting Data...</v>
      </c>
      <c r="Q114" s="8">
        <f>IF($A114="","",IF(ISNUMBER(FIND("IMPVOL",Q$1)),_xll.BDH(config!$G$4,Q$1,WORKDAY($A114,-1,config_Holiday_Calendar_US),WORKDAY($A114,-1,config_Holiday_Calendar_US)),IF(ISNUMBER(_xll.BDH(config!$G$4,Q$1,$A114,$A114)),_xll.BDH(config!$G$4,Q$1,$A114,$A114),_xll.BDH(config!$G$5,Q$1,$A114,$A114))))</f>
        <v>23.9</v>
      </c>
      <c r="R114" s="8">
        <f>IF($A114="","",IF(ISNUMBER(FIND("IMPVOL",R$1)),_xll.BDH(config!$G$4,R$1,WORKDAY($A114,-1,config_Holiday_Calendar_US),WORKDAY($A114,-1,config_Holiday_Calendar_US)),IF(ISNUMBER(_xll.BDH(config!$G$4,R$1,$A114,$A114)),_xll.BDH(config!$G$4,R$1,$A114,$A114),_xll.BDH(config!$G$5,R$1,$A114,$A114))))</f>
        <v>33.78</v>
      </c>
      <c r="S114" s="8" t="str">
        <f>IF($A114="","",IF(ISNUMBER(FIND("IMPVOL",S$1)),_xll.BDH(config!$G$4,S$1,WORKDAY($A114,-1,config_Holiday_Calendar_US),WORKDAY($A114,-1,config_Holiday_Calendar_US)),IF(ISNUMBER(_xll.BDH(config!$G$4,S$1,$A114,$A114)),_xll.BDH(config!$G$4,S$1,$A114,$A114),_xll.BDH(config!$G$5,S$1,$A114,$A114))))</f>
        <v>#N/A Requesting Data...</v>
      </c>
      <c r="T114" s="8" t="str">
        <f>IF($A114="","",IF(ISNUMBER(FIND("IMPVOL",T$1)),_xll.BDH(config!$G$4,T$1,WORKDAY($A114,-1,config_Holiday_Calendar_US),WORKDAY($A114,-1,config_Holiday_Calendar_US)),IF(ISNUMBER(_xll.BDH(config!$G$4,T$1,$A114,$A114)),_xll.BDH(config!$G$4,T$1,$A114,$A114),_xll.BDH(config!$G$5,T$1,$A114,$A114))))</f>
        <v>#N/A Requesting Data...</v>
      </c>
      <c r="U114" s="8" t="str">
        <f>IF($A114="","",IF(ISNUMBER(FIND("IMPVOL",U$1)),_xll.BDH(config!$G$4,U$1,WORKDAY($A114,-1,config_Holiday_Calendar_US),WORKDAY($A114,-1,config_Holiday_Calendar_US)),IF(ISNUMBER(_xll.BDH(config!$G$4,U$1,$A114,$A114)),_xll.BDH(config!$G$4,U$1,$A114,$A114),_xll.BDH(config!$G$5,U$1,$A114,$A114))))</f>
        <v>#N/A Requesting Data...</v>
      </c>
      <c r="V114" s="8" t="str">
        <f>IF($A114="","",IF(ISNUMBER(FIND("IMPVOL",V$1)),_xll.BDH(config!$G$4,V$1,WORKDAY($A114,-1,config_Holiday_Calendar_US),WORKDAY($A114,-1,config_Holiday_Calendar_US)),IF(ISNUMBER(_xll.BDH(config!$G$4,V$1,$A114,$A114)),_xll.BDH(config!$G$4,V$1,$A114,$A114),_xll.BDH(config!$G$5,V$1,$A114,$A114))))</f>
        <v>#N/A Requesting Data...</v>
      </c>
      <c r="W114" s="8" t="str">
        <f>IF($A114="","",IF(ISNUMBER(FIND("IMPVOL",W$1)),_xll.BDH(config!$G$4,W$1,WORKDAY($A114,-1,config_Holiday_Calendar_US),WORKDAY($A114,-1,config_Holiday_Calendar_US)),IF(ISNUMBER(_xll.BDH(config!$G$4,W$1,$A114,$A114)),_xll.BDH(config!$G$4,W$1,$A114,$A114),_xll.BDH(config!$G$5,W$1,$A114,$A114))))</f>
        <v>#N/A Requesting Data...</v>
      </c>
    </row>
    <row r="115" spans="1:23" x14ac:dyDescent="0.2">
      <c r="A115" s="9">
        <f>IF(A114="","",IF(WORKDAY(A114,-1,config_Holiday_Calendar_US)&lt;config!$I$10,"",WORKDAY(A114,-1,config_Holiday_Calendar_US)))</f>
        <v>42668</v>
      </c>
      <c r="B115" s="8" t="e">
        <f t="shared" si="1"/>
        <v>#VALUE!</v>
      </c>
      <c r="C115" s="8" t="str">
        <f>IF(A115="","",_xll.BDH(config!$H$4,C$1,$A115,$A115))</f>
        <v>#N/A Requesting Data...</v>
      </c>
      <c r="D115" s="8" t="str">
        <f>IF($A115="","",_xll.BDH(config!$H$4,D$1,$A115,$A115))</f>
        <v>#N/A Requesting Data...</v>
      </c>
      <c r="E115" s="8">
        <f>IF($A115="","",IF(ISNUMBER(FIND("IMPVOL",E$1)),_xll.BDH(config!$G$4,E$1,WORKDAY($A115,-1,config_Holiday_Calendar_US),WORKDAY($A115,-1,config_Holiday_Calendar_US)),IF(ISNUMBER(_xll.BDH(config!$G$4,E$1,$A115,$A115)),_xll.BDH(config!$G$4,E$1,$A115,$A115),_xll.BDH(config!$G$5,E$1,$A115,$A115))))</f>
        <v>50.49</v>
      </c>
      <c r="F115" s="8">
        <f>IF($A115="","",IF(ISNUMBER(FIND("IMPVOL",F$1)),_xll.BDH(config!$G$4,F$1,WORKDAY($A115,-1,config_Holiday_Calendar_US),WORKDAY($A115,-1,config_Holiday_Calendar_US)),IF(ISNUMBER(_xll.BDH(config!$G$4,F$1,$A115,$A115)),_xll.BDH(config!$G$4,F$1,$A115,$A115),_xll.BDH(config!$G$5,F$1,$A115,$A115))))</f>
        <v>50.93</v>
      </c>
      <c r="G115" s="8">
        <f>IF($A115="","",IF(ISNUMBER(FIND("IMPVOL",G$1)),_xll.BDH(config!$G$4,G$1,WORKDAY($A115,-1,config_Holiday_Calendar_US),WORKDAY($A115,-1,config_Holiday_Calendar_US)),IF(ISNUMBER(_xll.BDH(config!$G$4,G$1,$A115,$A115)),_xll.BDH(config!$G$4,G$1,$A115,$A115),_xll.BDH(config!$G$5,G$1,$A115,$A115))))</f>
        <v>49.93</v>
      </c>
      <c r="H115" s="8">
        <f>IF($A115="","",IF(ISNUMBER(FIND("IMPVOL",H$1)),_xll.BDH(config!$G$4,H$1,WORKDAY($A115,-1,config_Holiday_Calendar_US),WORKDAY($A115,-1,config_Holiday_Calendar_US)),IF(ISNUMBER(_xll.BDH(config!$G$4,H$1,$A115,$A115)),_xll.BDH(config!$G$4,H$1,$A115,$A115),_xll.BDH(config!$G$5,H$1,$A115,$A115))))</f>
        <v>123983</v>
      </c>
      <c r="I115" s="8" t="str">
        <f>IF($A115="","",IF(ISNUMBER(FIND("IMPVOL",I$1)),_xll.BDH(config!$G$4,I$1,WORKDAY($A115,-1,config_Holiday_Calendar_US),WORKDAY($A115,-1,config_Holiday_Calendar_US)),IF(ISNUMBER(_xll.BDH(config!$G$4,I$1,$A115,$A115)),_xll.BDH(config!$G$4,I$1,$A115,$A115),_xll.BDH(config!$G$5,I$1,$A115,$A115))))</f>
        <v>#N/A Requesting Data...</v>
      </c>
      <c r="J115" s="8" t="str">
        <f>IF($A115="","",IF(ISNUMBER(FIND("IMPVOL",J$1)),_xll.BDH(config!$G$4,J$1,WORKDAY($A115,-1,config_Holiday_Calendar_US),WORKDAY($A115,-1,config_Holiday_Calendar_US)),IF(ISNUMBER(_xll.BDH(config!$G$4,J$1,$A115,$A115)),_xll.BDH(config!$G$4,J$1,$A115,$A115),_xll.BDH(config!$G$5,J$1,$A115,$A115))))</f>
        <v>#N/A Requesting Data...</v>
      </c>
      <c r="K115" s="8" t="str">
        <f>IF($A115="","",IF(ISNUMBER(FIND("IMPVOL",K$1)),_xll.BDH(config!$G$4,K$1,WORKDAY($A115,-1,config_Holiday_Calendar_US),WORKDAY($A115,-1,config_Holiday_Calendar_US)),IF(ISNUMBER(_xll.BDH(config!$G$4,K$1,$A115,$A115)),_xll.BDH(config!$G$4,K$1,$A115,$A115),_xll.BDH(config!$G$5,K$1,$A115,$A115))))</f>
        <v>#N/A Requesting Data...</v>
      </c>
      <c r="L115" s="8" t="str">
        <f>IF($A115="","",IF(ISNUMBER(FIND("IMPVOL",L$1)),_xll.BDH(config!$G$4,L$1,WORKDAY($A115,-1,config_Holiday_Calendar_US),WORKDAY($A115,-1,config_Holiday_Calendar_US)),IF(ISNUMBER(_xll.BDH(config!$G$4,L$1,$A115,$A115)),_xll.BDH(config!$G$4,L$1,$A115,$A115),_xll.BDH(config!$G$5,L$1,$A115,$A115))))</f>
        <v>#N/A Requesting Data...</v>
      </c>
      <c r="M115" s="8" t="str">
        <f>IF($A115="","",IF(ISNUMBER(FIND("IMPVOL",M$1)),_xll.BDH(config!$G$4,M$1,WORKDAY($A115,-1,config_Holiday_Calendar_US),WORKDAY($A115,-1,config_Holiday_Calendar_US)),IF(ISNUMBER(_xll.BDH(config!$G$4,M$1,$A115,$A115)),_xll.BDH(config!$G$4,M$1,$A115,$A115),_xll.BDH(config!$G$5,M$1,$A115,$A115))))</f>
        <v>#N/A Requesting Data...</v>
      </c>
      <c r="N115" s="8" t="str">
        <f>IF($A115="","",IF(ISNUMBER(FIND("IMPVOL",N$1)),_xll.BDH(config!$G$4,N$1,WORKDAY($A115,-1,config_Holiday_Calendar_US),WORKDAY($A115,-1,config_Holiday_Calendar_US)),IF(ISNUMBER(_xll.BDH(config!$G$4,N$1,$A115,$A115)),_xll.BDH(config!$G$4,N$1,$A115,$A115),_xll.BDH(config!$G$5,N$1,$A115,$A115))))</f>
        <v>#N/A Requesting Data...</v>
      </c>
      <c r="O115" s="8" t="str">
        <f>IF($A115="","",IF(ISNUMBER(FIND("IMPVOL",O$1)),_xll.BDH(config!$G$4,O$1,WORKDAY($A115,-1,config_Holiday_Calendar_US),WORKDAY($A115,-1,config_Holiday_Calendar_US)),IF(ISNUMBER(_xll.BDH(config!$G$4,O$1,$A115,$A115)),_xll.BDH(config!$G$4,O$1,$A115,$A115),_xll.BDH(config!$G$5,O$1,$A115,$A115))))</f>
        <v>#N/A Requesting Data...</v>
      </c>
      <c r="P115" s="8" t="str">
        <f>IF($A115="","",IF(ISNUMBER(FIND("IMPVOL",P$1)),_xll.BDH(config!$G$4,P$1,WORKDAY($A115,-1,config_Holiday_Calendar_US),WORKDAY($A115,-1,config_Holiday_Calendar_US)),IF(ISNUMBER(_xll.BDH(config!$G$4,P$1,$A115,$A115)),_xll.BDH(config!$G$4,P$1,$A115,$A115),_xll.BDH(config!$G$5,P$1,$A115,$A115))))</f>
        <v>#N/A Requesting Data...</v>
      </c>
      <c r="Q115" s="8">
        <f>IF($A115="","",IF(ISNUMBER(FIND("IMPVOL",Q$1)),_xll.BDH(config!$G$4,Q$1,WORKDAY($A115,-1,config_Holiday_Calendar_US),WORKDAY($A115,-1,config_Holiday_Calendar_US)),IF(ISNUMBER(_xll.BDH(config!$G$4,Q$1,$A115,$A115)),_xll.BDH(config!$G$4,Q$1,$A115,$A115),_xll.BDH(config!$G$5,Q$1,$A115,$A115))))</f>
        <v>22.7</v>
      </c>
      <c r="R115" s="8">
        <f>IF($A115="","",IF(ISNUMBER(FIND("IMPVOL",R$1)),_xll.BDH(config!$G$4,R$1,WORKDAY($A115,-1,config_Holiday_Calendar_US),WORKDAY($A115,-1,config_Holiday_Calendar_US)),IF(ISNUMBER(_xll.BDH(config!$G$4,R$1,$A115,$A115)),_xll.BDH(config!$G$4,R$1,$A115,$A115),_xll.BDH(config!$G$5,R$1,$A115,$A115))))</f>
        <v>33.270000000000003</v>
      </c>
      <c r="S115" s="8" t="str">
        <f>IF($A115="","",IF(ISNUMBER(FIND("IMPVOL",S$1)),_xll.BDH(config!$G$4,S$1,WORKDAY($A115,-1,config_Holiday_Calendar_US),WORKDAY($A115,-1,config_Holiday_Calendar_US)),IF(ISNUMBER(_xll.BDH(config!$G$4,S$1,$A115,$A115)),_xll.BDH(config!$G$4,S$1,$A115,$A115),_xll.BDH(config!$G$5,S$1,$A115,$A115))))</f>
        <v>#N/A Requesting Data...</v>
      </c>
      <c r="T115" s="8" t="str">
        <f>IF($A115="","",IF(ISNUMBER(FIND("IMPVOL",T$1)),_xll.BDH(config!$G$4,T$1,WORKDAY($A115,-1,config_Holiday_Calendar_US),WORKDAY($A115,-1,config_Holiday_Calendar_US)),IF(ISNUMBER(_xll.BDH(config!$G$4,T$1,$A115,$A115)),_xll.BDH(config!$G$4,T$1,$A115,$A115),_xll.BDH(config!$G$5,T$1,$A115,$A115))))</f>
        <v>#N/A Requesting Data...</v>
      </c>
      <c r="U115" s="8" t="str">
        <f>IF($A115="","",IF(ISNUMBER(FIND("IMPVOL",U$1)),_xll.BDH(config!$G$4,U$1,WORKDAY($A115,-1,config_Holiday_Calendar_US),WORKDAY($A115,-1,config_Holiday_Calendar_US)),IF(ISNUMBER(_xll.BDH(config!$G$4,U$1,$A115,$A115)),_xll.BDH(config!$G$4,U$1,$A115,$A115),_xll.BDH(config!$G$5,U$1,$A115,$A115))))</f>
        <v>#N/A Requesting Data...</v>
      </c>
      <c r="V115" s="8" t="str">
        <f>IF($A115="","",IF(ISNUMBER(FIND("IMPVOL",V$1)),_xll.BDH(config!$G$4,V$1,WORKDAY($A115,-1,config_Holiday_Calendar_US),WORKDAY($A115,-1,config_Holiday_Calendar_US)),IF(ISNUMBER(_xll.BDH(config!$G$4,V$1,$A115,$A115)),_xll.BDH(config!$G$4,V$1,$A115,$A115),_xll.BDH(config!$G$5,V$1,$A115,$A115))))</f>
        <v>#N/A Requesting Data...</v>
      </c>
      <c r="W115" s="8" t="str">
        <f>IF($A115="","",IF(ISNUMBER(FIND("IMPVOL",W$1)),_xll.BDH(config!$G$4,W$1,WORKDAY($A115,-1,config_Holiday_Calendar_US),WORKDAY($A115,-1,config_Holiday_Calendar_US)),IF(ISNUMBER(_xll.BDH(config!$G$4,W$1,$A115,$A115)),_xll.BDH(config!$G$4,W$1,$A115,$A115),_xll.BDH(config!$G$5,W$1,$A115,$A115))))</f>
        <v>#N/A Requesting Data...</v>
      </c>
    </row>
    <row r="116" spans="1:23" x14ac:dyDescent="0.2">
      <c r="A116" s="9">
        <f>IF(A115="","",IF(WORKDAY(A115,-1,config_Holiday_Calendar_US)&lt;config!$I$10,"",WORKDAY(A115,-1,config_Holiday_Calendar_US)))</f>
        <v>42667</v>
      </c>
      <c r="B116" s="8" t="e">
        <f t="shared" si="1"/>
        <v>#VALUE!</v>
      </c>
      <c r="C116" s="8" t="str">
        <f>IF(A116="","",_xll.BDH(config!$H$4,C$1,$A116,$A116))</f>
        <v>#N/A Requesting Data...</v>
      </c>
      <c r="D116" s="8" t="str">
        <f>IF($A116="","",_xll.BDH(config!$H$4,D$1,$A116,$A116))</f>
        <v>#N/A Requesting Data...</v>
      </c>
      <c r="E116" s="8">
        <f>IF($A116="","",IF(ISNUMBER(FIND("IMPVOL",E$1)),_xll.BDH(config!$G$4,E$1,WORKDAY($A116,-1,config_Holiday_Calendar_US),WORKDAY($A116,-1,config_Holiday_Calendar_US)),IF(ISNUMBER(_xll.BDH(config!$G$4,E$1,$A116,$A116)),_xll.BDH(config!$G$4,E$1,$A116,$A116),_xll.BDH(config!$G$5,E$1,$A116,$A116))))</f>
        <v>50.85</v>
      </c>
      <c r="F116" s="8">
        <f>IF($A116="","",IF(ISNUMBER(FIND("IMPVOL",F$1)),_xll.BDH(config!$G$4,F$1,WORKDAY($A116,-1,config_Holiday_Calendar_US),WORKDAY($A116,-1,config_Holiday_Calendar_US)),IF(ISNUMBER(_xll.BDH(config!$G$4,F$1,$A116,$A116)),_xll.BDH(config!$G$4,F$1,$A116,$A116),_xll.BDH(config!$G$5,F$1,$A116,$A116))))</f>
        <v>50.98</v>
      </c>
      <c r="G116" s="8">
        <f>IF($A116="","",IF(ISNUMBER(FIND("IMPVOL",G$1)),_xll.BDH(config!$G$4,G$1,WORKDAY($A116,-1,config_Holiday_Calendar_US),WORKDAY($A116,-1,config_Holiday_Calendar_US)),IF(ISNUMBER(_xll.BDH(config!$G$4,G$1,$A116,$A116)),_xll.BDH(config!$G$4,G$1,$A116,$A116),_xll.BDH(config!$G$5,G$1,$A116,$A116))))</f>
        <v>50.27</v>
      </c>
      <c r="H116" s="8">
        <f>IF($A116="","",IF(ISNUMBER(FIND("IMPVOL",H$1)),_xll.BDH(config!$G$4,H$1,WORKDAY($A116,-1,config_Holiday_Calendar_US),WORKDAY($A116,-1,config_Holiday_Calendar_US)),IF(ISNUMBER(_xll.BDH(config!$G$4,H$1,$A116,$A116)),_xll.BDH(config!$G$4,H$1,$A116,$A116),_xll.BDH(config!$G$5,H$1,$A116,$A116))))</f>
        <v>185174</v>
      </c>
      <c r="I116" s="8" t="str">
        <f>IF($A116="","",IF(ISNUMBER(FIND("IMPVOL",I$1)),_xll.BDH(config!$G$4,I$1,WORKDAY($A116,-1,config_Holiday_Calendar_US),WORKDAY($A116,-1,config_Holiday_Calendar_US)),IF(ISNUMBER(_xll.BDH(config!$G$4,I$1,$A116,$A116)),_xll.BDH(config!$G$4,I$1,$A116,$A116),_xll.BDH(config!$G$5,I$1,$A116,$A116))))</f>
        <v>#N/A Requesting Data...</v>
      </c>
      <c r="J116" s="8" t="str">
        <f>IF($A116="","",IF(ISNUMBER(FIND("IMPVOL",J$1)),_xll.BDH(config!$G$4,J$1,WORKDAY($A116,-1,config_Holiday_Calendar_US),WORKDAY($A116,-1,config_Holiday_Calendar_US)),IF(ISNUMBER(_xll.BDH(config!$G$4,J$1,$A116,$A116)),_xll.BDH(config!$G$4,J$1,$A116,$A116),_xll.BDH(config!$G$5,J$1,$A116,$A116))))</f>
        <v>#N/A Requesting Data...</v>
      </c>
      <c r="K116" s="8" t="str">
        <f>IF($A116="","",IF(ISNUMBER(FIND("IMPVOL",K$1)),_xll.BDH(config!$G$4,K$1,WORKDAY($A116,-1,config_Holiday_Calendar_US),WORKDAY($A116,-1,config_Holiday_Calendar_US)),IF(ISNUMBER(_xll.BDH(config!$G$4,K$1,$A116,$A116)),_xll.BDH(config!$G$4,K$1,$A116,$A116),_xll.BDH(config!$G$5,K$1,$A116,$A116))))</f>
        <v>#N/A Requesting Data...</v>
      </c>
      <c r="L116" s="8" t="str">
        <f>IF($A116="","",IF(ISNUMBER(FIND("IMPVOL",L$1)),_xll.BDH(config!$G$4,L$1,WORKDAY($A116,-1,config_Holiday_Calendar_US),WORKDAY($A116,-1,config_Holiday_Calendar_US)),IF(ISNUMBER(_xll.BDH(config!$G$4,L$1,$A116,$A116)),_xll.BDH(config!$G$4,L$1,$A116,$A116),_xll.BDH(config!$G$5,L$1,$A116,$A116))))</f>
        <v>#N/A Requesting Data...</v>
      </c>
      <c r="M116" s="8" t="str">
        <f>IF($A116="","",IF(ISNUMBER(FIND("IMPVOL",M$1)),_xll.BDH(config!$G$4,M$1,WORKDAY($A116,-1,config_Holiday_Calendar_US),WORKDAY($A116,-1,config_Holiday_Calendar_US)),IF(ISNUMBER(_xll.BDH(config!$G$4,M$1,$A116,$A116)),_xll.BDH(config!$G$4,M$1,$A116,$A116),_xll.BDH(config!$G$5,M$1,$A116,$A116))))</f>
        <v>#N/A Requesting Data...</v>
      </c>
      <c r="N116" s="8" t="str">
        <f>IF($A116="","",IF(ISNUMBER(FIND("IMPVOL",N$1)),_xll.BDH(config!$G$4,N$1,WORKDAY($A116,-1,config_Holiday_Calendar_US),WORKDAY($A116,-1,config_Holiday_Calendar_US)),IF(ISNUMBER(_xll.BDH(config!$G$4,N$1,$A116,$A116)),_xll.BDH(config!$G$4,N$1,$A116,$A116),_xll.BDH(config!$G$5,N$1,$A116,$A116))))</f>
        <v>#N/A Requesting Data...</v>
      </c>
      <c r="O116" s="8" t="str">
        <f>IF($A116="","",IF(ISNUMBER(FIND("IMPVOL",O$1)),_xll.BDH(config!$G$4,O$1,WORKDAY($A116,-1,config_Holiday_Calendar_US),WORKDAY($A116,-1,config_Holiday_Calendar_US)),IF(ISNUMBER(_xll.BDH(config!$G$4,O$1,$A116,$A116)),_xll.BDH(config!$G$4,O$1,$A116,$A116),_xll.BDH(config!$G$5,O$1,$A116,$A116))))</f>
        <v>#N/A Requesting Data...</v>
      </c>
      <c r="P116" s="8" t="str">
        <f>IF($A116="","",IF(ISNUMBER(FIND("IMPVOL",P$1)),_xll.BDH(config!$G$4,P$1,WORKDAY($A116,-1,config_Holiday_Calendar_US),WORKDAY($A116,-1,config_Holiday_Calendar_US)),IF(ISNUMBER(_xll.BDH(config!$G$4,P$1,$A116,$A116)),_xll.BDH(config!$G$4,P$1,$A116,$A116),_xll.BDH(config!$G$5,P$1,$A116,$A116))))</f>
        <v>#N/A Requesting Data...</v>
      </c>
      <c r="Q116" s="8">
        <f>IF($A116="","",IF(ISNUMBER(FIND("IMPVOL",Q$1)),_xll.BDH(config!$G$4,Q$1,WORKDAY($A116,-1,config_Holiday_Calendar_US),WORKDAY($A116,-1,config_Holiday_Calendar_US)),IF(ISNUMBER(_xll.BDH(config!$G$4,Q$1,$A116,$A116)),_xll.BDH(config!$G$4,Q$1,$A116,$A116),_xll.BDH(config!$G$5,Q$1,$A116,$A116))))</f>
        <v>22.82</v>
      </c>
      <c r="R116" s="8">
        <f>IF($A116="","",IF(ISNUMBER(FIND("IMPVOL",R$1)),_xll.BDH(config!$G$4,R$1,WORKDAY($A116,-1,config_Holiday_Calendar_US),WORKDAY($A116,-1,config_Holiday_Calendar_US)),IF(ISNUMBER(_xll.BDH(config!$G$4,R$1,$A116,$A116)),_xll.BDH(config!$G$4,R$1,$A116,$A116),_xll.BDH(config!$G$5,R$1,$A116,$A116))))</f>
        <v>34.53</v>
      </c>
      <c r="S116" s="8" t="str">
        <f>IF($A116="","",IF(ISNUMBER(FIND("IMPVOL",S$1)),_xll.BDH(config!$G$4,S$1,WORKDAY($A116,-1,config_Holiday_Calendar_US),WORKDAY($A116,-1,config_Holiday_Calendar_US)),IF(ISNUMBER(_xll.BDH(config!$G$4,S$1,$A116,$A116)),_xll.BDH(config!$G$4,S$1,$A116,$A116),_xll.BDH(config!$G$5,S$1,$A116,$A116))))</f>
        <v>#N/A Requesting Data...</v>
      </c>
      <c r="T116" s="8" t="str">
        <f>IF($A116="","",IF(ISNUMBER(FIND("IMPVOL",T$1)),_xll.BDH(config!$G$4,T$1,WORKDAY($A116,-1,config_Holiday_Calendar_US),WORKDAY($A116,-1,config_Holiday_Calendar_US)),IF(ISNUMBER(_xll.BDH(config!$G$4,T$1,$A116,$A116)),_xll.BDH(config!$G$4,T$1,$A116,$A116),_xll.BDH(config!$G$5,T$1,$A116,$A116))))</f>
        <v>#N/A Requesting Data...</v>
      </c>
      <c r="U116" s="8" t="str">
        <f>IF($A116="","",IF(ISNUMBER(FIND("IMPVOL",U$1)),_xll.BDH(config!$G$4,U$1,WORKDAY($A116,-1,config_Holiday_Calendar_US),WORKDAY($A116,-1,config_Holiday_Calendar_US)),IF(ISNUMBER(_xll.BDH(config!$G$4,U$1,$A116,$A116)),_xll.BDH(config!$G$4,U$1,$A116,$A116),_xll.BDH(config!$G$5,U$1,$A116,$A116))))</f>
        <v>#N/A Requesting Data...</v>
      </c>
      <c r="V116" s="8" t="str">
        <f>IF($A116="","",IF(ISNUMBER(FIND("IMPVOL",V$1)),_xll.BDH(config!$G$4,V$1,WORKDAY($A116,-1,config_Holiday_Calendar_US),WORKDAY($A116,-1,config_Holiday_Calendar_US)),IF(ISNUMBER(_xll.BDH(config!$G$4,V$1,$A116,$A116)),_xll.BDH(config!$G$4,V$1,$A116,$A116),_xll.BDH(config!$G$5,V$1,$A116,$A116))))</f>
        <v>#N/A Requesting Data...</v>
      </c>
      <c r="W116" s="8" t="str">
        <f>IF($A116="","",IF(ISNUMBER(FIND("IMPVOL",W$1)),_xll.BDH(config!$G$4,W$1,WORKDAY($A116,-1,config_Holiday_Calendar_US),WORKDAY($A116,-1,config_Holiday_Calendar_US)),IF(ISNUMBER(_xll.BDH(config!$G$4,W$1,$A116,$A116)),_xll.BDH(config!$G$4,W$1,$A116,$A116),_xll.BDH(config!$G$5,W$1,$A116,$A116))))</f>
        <v>#N/A Requesting Data...</v>
      </c>
    </row>
    <row r="117" spans="1:23" x14ac:dyDescent="0.2">
      <c r="A117" s="9">
        <f>IF(A116="","",IF(WORKDAY(A116,-1,config_Holiday_Calendar_US)&lt;config!$I$10,"",WORKDAY(A116,-1,config_Holiday_Calendar_US)))</f>
        <v>42664</v>
      </c>
      <c r="B117" s="8" t="e">
        <f t="shared" si="1"/>
        <v>#VALUE!</v>
      </c>
      <c r="C117" s="8" t="str">
        <f>IF(A117="","",_xll.BDH(config!$H$4,C$1,$A117,$A117))</f>
        <v>#N/A Requesting Data...</v>
      </c>
      <c r="D117" s="8" t="str">
        <f>IF($A117="","",_xll.BDH(config!$H$4,D$1,$A117,$A117))</f>
        <v>#N/A Requesting Data...</v>
      </c>
      <c r="E117" s="8">
        <f>IF($A117="","",IF(ISNUMBER(FIND("IMPVOL",E$1)),_xll.BDH(config!$G$4,E$1,WORKDAY($A117,-1,config_Holiday_Calendar_US),WORKDAY($A117,-1,config_Holiday_Calendar_US)),IF(ISNUMBER(_xll.BDH(config!$G$4,E$1,$A117,$A117)),_xll.BDH(config!$G$4,E$1,$A117,$A117),_xll.BDH(config!$G$5,E$1,$A117,$A117))))</f>
        <v>50.66</v>
      </c>
      <c r="F117" s="8">
        <f>IF($A117="","",IF(ISNUMBER(FIND("IMPVOL",F$1)),_xll.BDH(config!$G$4,F$1,WORKDAY($A117,-1,config_Holiday_Calendar_US),WORKDAY($A117,-1,config_Holiday_Calendar_US)),IF(ISNUMBER(_xll.BDH(config!$G$4,F$1,$A117,$A117)),_xll.BDH(config!$G$4,F$1,$A117,$A117),_xll.BDH(config!$G$5,F$1,$A117,$A117))))</f>
        <v>51.02</v>
      </c>
      <c r="G117" s="8">
        <f>IF($A117="","",IF(ISNUMBER(FIND("IMPVOL",G$1)),_xll.BDH(config!$G$4,G$1,WORKDAY($A117,-1,config_Holiday_Calendar_US),WORKDAY($A117,-1,config_Holiday_Calendar_US)),IF(ISNUMBER(_xll.BDH(config!$G$4,G$1,$A117,$A117)),_xll.BDH(config!$G$4,G$1,$A117,$A117),_xll.BDH(config!$G$5,G$1,$A117,$A117))))</f>
        <v>50.78</v>
      </c>
      <c r="H117" s="8">
        <f>IF($A117="","",IF(ISNUMBER(FIND("IMPVOL",H$1)),_xll.BDH(config!$G$4,H$1,WORKDAY($A117,-1,config_Holiday_Calendar_US),WORKDAY($A117,-1,config_Holiday_Calendar_US)),IF(ISNUMBER(_xll.BDH(config!$G$4,H$1,$A117,$A117)),_xll.BDH(config!$G$4,H$1,$A117,$A117),_xll.BDH(config!$G$5,H$1,$A117,$A117))))</f>
        <v>163902</v>
      </c>
      <c r="I117" s="8" t="str">
        <f>IF($A117="","",IF(ISNUMBER(FIND("IMPVOL",I$1)),_xll.BDH(config!$G$4,I$1,WORKDAY($A117,-1,config_Holiday_Calendar_US),WORKDAY($A117,-1,config_Holiday_Calendar_US)),IF(ISNUMBER(_xll.BDH(config!$G$4,I$1,$A117,$A117)),_xll.BDH(config!$G$4,I$1,$A117,$A117),_xll.BDH(config!$G$5,I$1,$A117,$A117))))</f>
        <v>#N/A Requesting Data...</v>
      </c>
      <c r="J117" s="8" t="str">
        <f>IF($A117="","",IF(ISNUMBER(FIND("IMPVOL",J$1)),_xll.BDH(config!$G$4,J$1,WORKDAY($A117,-1,config_Holiday_Calendar_US),WORKDAY($A117,-1,config_Holiday_Calendar_US)),IF(ISNUMBER(_xll.BDH(config!$G$4,J$1,$A117,$A117)),_xll.BDH(config!$G$4,J$1,$A117,$A117),_xll.BDH(config!$G$5,J$1,$A117,$A117))))</f>
        <v>#N/A Requesting Data...</v>
      </c>
      <c r="K117" s="8" t="str">
        <f>IF($A117="","",IF(ISNUMBER(FIND("IMPVOL",K$1)),_xll.BDH(config!$G$4,K$1,WORKDAY($A117,-1,config_Holiday_Calendar_US),WORKDAY($A117,-1,config_Holiday_Calendar_US)),IF(ISNUMBER(_xll.BDH(config!$G$4,K$1,$A117,$A117)),_xll.BDH(config!$G$4,K$1,$A117,$A117),_xll.BDH(config!$G$5,K$1,$A117,$A117))))</f>
        <v>#N/A Requesting Data...</v>
      </c>
      <c r="L117" s="8" t="str">
        <f>IF($A117="","",IF(ISNUMBER(FIND("IMPVOL",L$1)),_xll.BDH(config!$G$4,L$1,WORKDAY($A117,-1,config_Holiday_Calendar_US),WORKDAY($A117,-1,config_Holiday_Calendar_US)),IF(ISNUMBER(_xll.BDH(config!$G$4,L$1,$A117,$A117)),_xll.BDH(config!$G$4,L$1,$A117,$A117),_xll.BDH(config!$G$5,L$1,$A117,$A117))))</f>
        <v>#N/A Requesting Data...</v>
      </c>
      <c r="M117" s="8" t="str">
        <f>IF($A117="","",IF(ISNUMBER(FIND("IMPVOL",M$1)),_xll.BDH(config!$G$4,M$1,WORKDAY($A117,-1,config_Holiday_Calendar_US),WORKDAY($A117,-1,config_Holiday_Calendar_US)),IF(ISNUMBER(_xll.BDH(config!$G$4,M$1,$A117,$A117)),_xll.BDH(config!$G$4,M$1,$A117,$A117),_xll.BDH(config!$G$5,M$1,$A117,$A117))))</f>
        <v>#N/A Requesting Data...</v>
      </c>
      <c r="N117" s="8" t="str">
        <f>IF($A117="","",IF(ISNUMBER(FIND("IMPVOL",N$1)),_xll.BDH(config!$G$4,N$1,WORKDAY($A117,-1,config_Holiday_Calendar_US),WORKDAY($A117,-1,config_Holiday_Calendar_US)),IF(ISNUMBER(_xll.BDH(config!$G$4,N$1,$A117,$A117)),_xll.BDH(config!$G$4,N$1,$A117,$A117),_xll.BDH(config!$G$5,N$1,$A117,$A117))))</f>
        <v>#N/A Requesting Data...</v>
      </c>
      <c r="O117" s="8" t="str">
        <f>IF($A117="","",IF(ISNUMBER(FIND("IMPVOL",O$1)),_xll.BDH(config!$G$4,O$1,WORKDAY($A117,-1,config_Holiday_Calendar_US),WORKDAY($A117,-1,config_Holiday_Calendar_US)),IF(ISNUMBER(_xll.BDH(config!$G$4,O$1,$A117,$A117)),_xll.BDH(config!$G$4,O$1,$A117,$A117),_xll.BDH(config!$G$5,O$1,$A117,$A117))))</f>
        <v>#N/A Requesting Data...</v>
      </c>
      <c r="P117" s="8" t="str">
        <f>IF($A117="","",IF(ISNUMBER(FIND("IMPVOL",P$1)),_xll.BDH(config!$G$4,P$1,WORKDAY($A117,-1,config_Holiday_Calendar_US),WORKDAY($A117,-1,config_Holiday_Calendar_US)),IF(ISNUMBER(_xll.BDH(config!$G$4,P$1,$A117,$A117)),_xll.BDH(config!$G$4,P$1,$A117,$A117),_xll.BDH(config!$G$5,P$1,$A117,$A117))))</f>
        <v>#N/A Requesting Data...</v>
      </c>
      <c r="Q117" s="8">
        <f>IF($A117="","",IF(ISNUMBER(FIND("IMPVOL",Q$1)),_xll.BDH(config!$G$4,Q$1,WORKDAY($A117,-1,config_Holiday_Calendar_US),WORKDAY($A117,-1,config_Holiday_Calendar_US)),IF(ISNUMBER(_xll.BDH(config!$G$4,Q$1,$A117,$A117)),_xll.BDH(config!$G$4,Q$1,$A117,$A117),_xll.BDH(config!$G$5,Q$1,$A117,$A117))))</f>
        <v>23.62</v>
      </c>
      <c r="R117" s="8">
        <f>IF($A117="","",IF(ISNUMBER(FIND("IMPVOL",R$1)),_xll.BDH(config!$G$4,R$1,WORKDAY($A117,-1,config_Holiday_Calendar_US),WORKDAY($A117,-1,config_Holiday_Calendar_US)),IF(ISNUMBER(_xll.BDH(config!$G$4,R$1,$A117,$A117)),_xll.BDH(config!$G$4,R$1,$A117,$A117),_xll.BDH(config!$G$5,R$1,$A117,$A117))))</f>
        <v>35.869999999999997</v>
      </c>
      <c r="S117" s="8" t="str">
        <f>IF($A117="","",IF(ISNUMBER(FIND("IMPVOL",S$1)),_xll.BDH(config!$G$4,S$1,WORKDAY($A117,-1,config_Holiday_Calendar_US),WORKDAY($A117,-1,config_Holiday_Calendar_US)),IF(ISNUMBER(_xll.BDH(config!$G$4,S$1,$A117,$A117)),_xll.BDH(config!$G$4,S$1,$A117,$A117),_xll.BDH(config!$G$5,S$1,$A117,$A117))))</f>
        <v>#N/A Requesting Data...</v>
      </c>
      <c r="T117" s="8" t="str">
        <f>IF($A117="","",IF(ISNUMBER(FIND("IMPVOL",T$1)),_xll.BDH(config!$G$4,T$1,WORKDAY($A117,-1,config_Holiday_Calendar_US),WORKDAY($A117,-1,config_Holiday_Calendar_US)),IF(ISNUMBER(_xll.BDH(config!$G$4,T$1,$A117,$A117)),_xll.BDH(config!$G$4,T$1,$A117,$A117),_xll.BDH(config!$G$5,T$1,$A117,$A117))))</f>
        <v>#N/A Requesting Data...</v>
      </c>
      <c r="U117" s="8" t="str">
        <f>IF($A117="","",IF(ISNUMBER(FIND("IMPVOL",U$1)),_xll.BDH(config!$G$4,U$1,WORKDAY($A117,-1,config_Holiday_Calendar_US),WORKDAY($A117,-1,config_Holiday_Calendar_US)),IF(ISNUMBER(_xll.BDH(config!$G$4,U$1,$A117,$A117)),_xll.BDH(config!$G$4,U$1,$A117,$A117),_xll.BDH(config!$G$5,U$1,$A117,$A117))))</f>
        <v>#N/A Requesting Data...</v>
      </c>
      <c r="V117" s="8" t="str">
        <f>IF($A117="","",IF(ISNUMBER(FIND("IMPVOL",V$1)),_xll.BDH(config!$G$4,V$1,WORKDAY($A117,-1,config_Holiday_Calendar_US),WORKDAY($A117,-1,config_Holiday_Calendar_US)),IF(ISNUMBER(_xll.BDH(config!$G$4,V$1,$A117,$A117)),_xll.BDH(config!$G$4,V$1,$A117,$A117),_xll.BDH(config!$G$5,V$1,$A117,$A117))))</f>
        <v>#N/A Requesting Data...</v>
      </c>
      <c r="W117" s="8" t="str">
        <f>IF($A117="","",IF(ISNUMBER(FIND("IMPVOL",W$1)),_xll.BDH(config!$G$4,W$1,WORKDAY($A117,-1,config_Holiday_Calendar_US),WORKDAY($A117,-1,config_Holiday_Calendar_US)),IF(ISNUMBER(_xll.BDH(config!$G$4,W$1,$A117,$A117)),_xll.BDH(config!$G$4,W$1,$A117,$A117),_xll.BDH(config!$G$5,W$1,$A117,$A117))))</f>
        <v>#N/A Requesting Data...</v>
      </c>
    </row>
    <row r="118" spans="1:23" x14ac:dyDescent="0.2">
      <c r="A118" s="9">
        <f>IF(A117="","",IF(WORKDAY(A117,-1,config_Holiday_Calendar_US)&lt;config!$I$10,"",WORKDAY(A117,-1,config_Holiday_Calendar_US)))</f>
        <v>42663</v>
      </c>
      <c r="B118" s="8" t="e">
        <f t="shared" si="1"/>
        <v>#VALUE!</v>
      </c>
      <c r="C118" s="8" t="str">
        <f>IF(A118="","",_xll.BDH(config!$H$4,C$1,$A118,$A118))</f>
        <v>#N/A Requesting Data...</v>
      </c>
      <c r="D118" s="8" t="str">
        <f>IF($A118="","",_xll.BDH(config!$H$4,D$1,$A118,$A118))</f>
        <v>#N/A Requesting Data...</v>
      </c>
      <c r="E118" s="8">
        <f>IF($A118="","",IF(ISNUMBER(FIND("IMPVOL",E$1)),_xll.BDH(config!$G$4,E$1,WORKDAY($A118,-1,config_Holiday_Calendar_US),WORKDAY($A118,-1,config_Holiday_Calendar_US)),IF(ISNUMBER(_xll.BDH(config!$G$4,E$1,$A118,$A118)),_xll.BDH(config!$G$4,E$1,$A118,$A118),_xll.BDH(config!$G$5,E$1,$A118,$A118))))</f>
        <v>51.4</v>
      </c>
      <c r="F118" s="8">
        <f>IF($A118="","",IF(ISNUMBER(FIND("IMPVOL",F$1)),_xll.BDH(config!$G$4,F$1,WORKDAY($A118,-1,config_Holiday_Calendar_US),WORKDAY($A118,-1,config_Holiday_Calendar_US)),IF(ISNUMBER(_xll.BDH(config!$G$4,F$1,$A118,$A118)),_xll.BDH(config!$G$4,F$1,$A118,$A118),_xll.BDH(config!$G$5,F$1,$A118,$A118))))</f>
        <v>51.58</v>
      </c>
      <c r="G118" s="8">
        <f>IF($A118="","",IF(ISNUMBER(FIND("IMPVOL",G$1)),_xll.BDH(config!$G$4,G$1,WORKDAY($A118,-1,config_Holiday_Calendar_US),WORKDAY($A118,-1,config_Holiday_Calendar_US)),IF(ISNUMBER(_xll.BDH(config!$G$4,G$1,$A118,$A118)),_xll.BDH(config!$G$4,G$1,$A118,$A118),_xll.BDH(config!$G$5,G$1,$A118,$A118))))</f>
        <v>50.44</v>
      </c>
      <c r="H118" s="8">
        <f>IF($A118="","",IF(ISNUMBER(FIND("IMPVOL",H$1)),_xll.BDH(config!$G$4,H$1,WORKDAY($A118,-1,config_Holiday_Calendar_US),WORKDAY($A118,-1,config_Holiday_Calendar_US)),IF(ISNUMBER(_xll.BDH(config!$G$4,H$1,$A118,$A118)),_xll.BDH(config!$G$4,H$1,$A118,$A118),_xll.BDH(config!$G$5,H$1,$A118,$A118))))</f>
        <v>548947</v>
      </c>
      <c r="I118" s="8" t="str">
        <f>IF($A118="","",IF(ISNUMBER(FIND("IMPVOL",I$1)),_xll.BDH(config!$G$4,I$1,WORKDAY($A118,-1,config_Holiday_Calendar_US),WORKDAY($A118,-1,config_Holiday_Calendar_US)),IF(ISNUMBER(_xll.BDH(config!$G$4,I$1,$A118,$A118)),_xll.BDH(config!$G$4,I$1,$A118,$A118),_xll.BDH(config!$G$5,I$1,$A118,$A118))))</f>
        <v>#N/A Requesting Data...</v>
      </c>
      <c r="J118" s="8" t="str">
        <f>IF($A118="","",IF(ISNUMBER(FIND("IMPVOL",J$1)),_xll.BDH(config!$G$4,J$1,WORKDAY($A118,-1,config_Holiday_Calendar_US),WORKDAY($A118,-1,config_Holiday_Calendar_US)),IF(ISNUMBER(_xll.BDH(config!$G$4,J$1,$A118,$A118)),_xll.BDH(config!$G$4,J$1,$A118,$A118),_xll.BDH(config!$G$5,J$1,$A118,$A118))))</f>
        <v>#N/A Requesting Data...</v>
      </c>
      <c r="K118" s="8" t="str">
        <f>IF($A118="","",IF(ISNUMBER(FIND("IMPVOL",K$1)),_xll.BDH(config!$G$4,K$1,WORKDAY($A118,-1,config_Holiday_Calendar_US),WORKDAY($A118,-1,config_Holiday_Calendar_US)),IF(ISNUMBER(_xll.BDH(config!$G$4,K$1,$A118,$A118)),_xll.BDH(config!$G$4,K$1,$A118,$A118),_xll.BDH(config!$G$5,K$1,$A118,$A118))))</f>
        <v>#N/A Requesting Data...</v>
      </c>
      <c r="L118" s="8" t="str">
        <f>IF($A118="","",IF(ISNUMBER(FIND("IMPVOL",L$1)),_xll.BDH(config!$G$4,L$1,WORKDAY($A118,-1,config_Holiday_Calendar_US),WORKDAY($A118,-1,config_Holiday_Calendar_US)),IF(ISNUMBER(_xll.BDH(config!$G$4,L$1,$A118,$A118)),_xll.BDH(config!$G$4,L$1,$A118,$A118),_xll.BDH(config!$G$5,L$1,$A118,$A118))))</f>
        <v>#N/A Requesting Data...</v>
      </c>
      <c r="M118" s="8" t="str">
        <f>IF($A118="","",IF(ISNUMBER(FIND("IMPVOL",M$1)),_xll.BDH(config!$G$4,M$1,WORKDAY($A118,-1,config_Holiday_Calendar_US),WORKDAY($A118,-1,config_Holiday_Calendar_US)),IF(ISNUMBER(_xll.BDH(config!$G$4,M$1,$A118,$A118)),_xll.BDH(config!$G$4,M$1,$A118,$A118),_xll.BDH(config!$G$5,M$1,$A118,$A118))))</f>
        <v>#N/A Requesting Data...</v>
      </c>
      <c r="N118" s="8" t="str">
        <f>IF($A118="","",IF(ISNUMBER(FIND("IMPVOL",N$1)),_xll.BDH(config!$G$4,N$1,WORKDAY($A118,-1,config_Holiday_Calendar_US),WORKDAY($A118,-1,config_Holiday_Calendar_US)),IF(ISNUMBER(_xll.BDH(config!$G$4,N$1,$A118,$A118)),_xll.BDH(config!$G$4,N$1,$A118,$A118),_xll.BDH(config!$G$5,N$1,$A118,$A118))))</f>
        <v>#N/A Requesting Data...</v>
      </c>
      <c r="O118" s="8" t="str">
        <f>IF($A118="","",IF(ISNUMBER(FIND("IMPVOL",O$1)),_xll.BDH(config!$G$4,O$1,WORKDAY($A118,-1,config_Holiday_Calendar_US),WORKDAY($A118,-1,config_Holiday_Calendar_US)),IF(ISNUMBER(_xll.BDH(config!$G$4,O$1,$A118,$A118)),_xll.BDH(config!$G$4,O$1,$A118,$A118),_xll.BDH(config!$G$5,O$1,$A118,$A118))))</f>
        <v>#N/A Requesting Data...</v>
      </c>
      <c r="P118" s="8" t="str">
        <f>IF($A118="","",IF(ISNUMBER(FIND("IMPVOL",P$1)),_xll.BDH(config!$G$4,P$1,WORKDAY($A118,-1,config_Holiday_Calendar_US),WORKDAY($A118,-1,config_Holiday_Calendar_US)),IF(ISNUMBER(_xll.BDH(config!$G$4,P$1,$A118,$A118)),_xll.BDH(config!$G$4,P$1,$A118,$A118),_xll.BDH(config!$G$5,P$1,$A118,$A118))))</f>
        <v>#N/A Requesting Data...</v>
      </c>
      <c r="Q118" s="8">
        <f>IF($A118="","",IF(ISNUMBER(FIND("IMPVOL",Q$1)),_xll.BDH(config!$G$4,Q$1,WORKDAY($A118,-1,config_Holiday_Calendar_US),WORKDAY($A118,-1,config_Holiday_Calendar_US)),IF(ISNUMBER(_xll.BDH(config!$G$4,Q$1,$A118,$A118)),_xll.BDH(config!$G$4,Q$1,$A118,$A118),_xll.BDH(config!$G$5,Q$1,$A118,$A118))))</f>
        <v>27.49</v>
      </c>
      <c r="R118" s="8">
        <f>IF($A118="","",IF(ISNUMBER(FIND("IMPVOL",R$1)),_xll.BDH(config!$G$4,R$1,WORKDAY($A118,-1,config_Holiday_Calendar_US),WORKDAY($A118,-1,config_Holiday_Calendar_US)),IF(ISNUMBER(_xll.BDH(config!$G$4,R$1,$A118,$A118)),_xll.BDH(config!$G$4,R$1,$A118,$A118),_xll.BDH(config!$G$5,R$1,$A118,$A118))))</f>
        <v>35.700000000000003</v>
      </c>
      <c r="S118" s="8" t="str">
        <f>IF($A118="","",IF(ISNUMBER(FIND("IMPVOL",S$1)),_xll.BDH(config!$G$4,S$1,WORKDAY($A118,-1,config_Holiday_Calendar_US),WORKDAY($A118,-1,config_Holiday_Calendar_US)),IF(ISNUMBER(_xll.BDH(config!$G$4,S$1,$A118,$A118)),_xll.BDH(config!$G$4,S$1,$A118,$A118),_xll.BDH(config!$G$5,S$1,$A118,$A118))))</f>
        <v>#N/A Requesting Data...</v>
      </c>
      <c r="T118" s="8" t="str">
        <f>IF($A118="","",IF(ISNUMBER(FIND("IMPVOL",T$1)),_xll.BDH(config!$G$4,T$1,WORKDAY($A118,-1,config_Holiday_Calendar_US),WORKDAY($A118,-1,config_Holiday_Calendar_US)),IF(ISNUMBER(_xll.BDH(config!$G$4,T$1,$A118,$A118)),_xll.BDH(config!$G$4,T$1,$A118,$A118),_xll.BDH(config!$G$5,T$1,$A118,$A118))))</f>
        <v>#N/A Requesting Data...</v>
      </c>
      <c r="U118" s="8" t="str">
        <f>IF($A118="","",IF(ISNUMBER(FIND("IMPVOL",U$1)),_xll.BDH(config!$G$4,U$1,WORKDAY($A118,-1,config_Holiday_Calendar_US),WORKDAY($A118,-1,config_Holiday_Calendar_US)),IF(ISNUMBER(_xll.BDH(config!$G$4,U$1,$A118,$A118)),_xll.BDH(config!$G$4,U$1,$A118,$A118),_xll.BDH(config!$G$5,U$1,$A118,$A118))))</f>
        <v>#N/A Requesting Data...</v>
      </c>
      <c r="V118" s="8" t="str">
        <f>IF($A118="","",IF(ISNUMBER(FIND("IMPVOL",V$1)),_xll.BDH(config!$G$4,V$1,WORKDAY($A118,-1,config_Holiday_Calendar_US),WORKDAY($A118,-1,config_Holiday_Calendar_US)),IF(ISNUMBER(_xll.BDH(config!$G$4,V$1,$A118,$A118)),_xll.BDH(config!$G$4,V$1,$A118,$A118),_xll.BDH(config!$G$5,V$1,$A118,$A118))))</f>
        <v>#N/A Requesting Data...</v>
      </c>
      <c r="W118" s="8" t="str">
        <f>IF($A118="","",IF(ISNUMBER(FIND("IMPVOL",W$1)),_xll.BDH(config!$G$4,W$1,WORKDAY($A118,-1,config_Holiday_Calendar_US),WORKDAY($A118,-1,config_Holiday_Calendar_US)),IF(ISNUMBER(_xll.BDH(config!$G$4,W$1,$A118,$A118)),_xll.BDH(config!$G$4,W$1,$A118,$A118),_xll.BDH(config!$G$5,W$1,$A118,$A118))))</f>
        <v>#N/A Requesting Data...</v>
      </c>
    </row>
    <row r="119" spans="1:23" x14ac:dyDescent="0.2">
      <c r="A119" s="9">
        <f>IF(A118="","",IF(WORKDAY(A118,-1,config_Holiday_Calendar_US)&lt;config!$I$10,"",WORKDAY(A118,-1,config_Holiday_Calendar_US)))</f>
        <v>42662</v>
      </c>
      <c r="B119" s="8" t="e">
        <f t="shared" si="1"/>
        <v>#VALUE!</v>
      </c>
      <c r="C119" s="8" t="str">
        <f>IF(A119="","",_xll.BDH(config!$H$4,C$1,$A119,$A119))</f>
        <v>#N/A Requesting Data...</v>
      </c>
      <c r="D119" s="8" t="str">
        <f>IF($A119="","",_xll.BDH(config!$H$4,D$1,$A119,$A119))</f>
        <v>#N/A Requesting Data...</v>
      </c>
      <c r="E119" s="8">
        <f>IF($A119="","",IF(ISNUMBER(FIND("IMPVOL",E$1)),_xll.BDH(config!$G$4,E$1,WORKDAY($A119,-1,config_Holiday_Calendar_US),WORKDAY($A119,-1,config_Holiday_Calendar_US)),IF(ISNUMBER(_xll.BDH(config!$G$4,E$1,$A119,$A119)),_xll.BDH(config!$G$4,E$1,$A119,$A119),_xll.BDH(config!$G$5,E$1,$A119,$A119))))</f>
        <v>50.77</v>
      </c>
      <c r="F119" s="8">
        <f>IF($A119="","",IF(ISNUMBER(FIND("IMPVOL",F$1)),_xll.BDH(config!$G$4,F$1,WORKDAY($A119,-1,config_Holiday_Calendar_US),WORKDAY($A119,-1,config_Holiday_Calendar_US)),IF(ISNUMBER(_xll.BDH(config!$G$4,F$1,$A119,$A119)),_xll.BDH(config!$G$4,F$1,$A119,$A119),_xll.BDH(config!$G$5,F$1,$A119,$A119))))</f>
        <v>51.93</v>
      </c>
      <c r="G119" s="8">
        <f>IF($A119="","",IF(ISNUMBER(FIND("IMPVOL",G$1)),_xll.BDH(config!$G$4,G$1,WORKDAY($A119,-1,config_Holiday_Calendar_US),WORKDAY($A119,-1,config_Holiday_Calendar_US)),IF(ISNUMBER(_xll.BDH(config!$G$4,G$1,$A119,$A119)),_xll.BDH(config!$G$4,G$1,$A119,$A119),_xll.BDH(config!$G$5,G$1,$A119,$A119))))</f>
        <v>51.01</v>
      </c>
      <c r="H119" s="8">
        <f>IF($A119="","",IF(ISNUMBER(FIND("IMPVOL",H$1)),_xll.BDH(config!$G$4,H$1,WORKDAY($A119,-1,config_Holiday_Calendar_US),WORKDAY($A119,-1,config_Holiday_Calendar_US)),IF(ISNUMBER(_xll.BDH(config!$G$4,H$1,$A119,$A119)),_xll.BDH(config!$G$4,H$1,$A119,$A119),_xll.BDH(config!$G$5,H$1,$A119,$A119))))</f>
        <v>631938</v>
      </c>
      <c r="I119" s="8" t="str">
        <f>IF($A119="","",IF(ISNUMBER(FIND("IMPVOL",I$1)),_xll.BDH(config!$G$4,I$1,WORKDAY($A119,-1,config_Holiday_Calendar_US),WORKDAY($A119,-1,config_Holiday_Calendar_US)),IF(ISNUMBER(_xll.BDH(config!$G$4,I$1,$A119,$A119)),_xll.BDH(config!$G$4,I$1,$A119,$A119),_xll.BDH(config!$G$5,I$1,$A119,$A119))))</f>
        <v>#N/A Requesting Data...</v>
      </c>
      <c r="J119" s="8" t="str">
        <f>IF($A119="","",IF(ISNUMBER(FIND("IMPVOL",J$1)),_xll.BDH(config!$G$4,J$1,WORKDAY($A119,-1,config_Holiday_Calendar_US),WORKDAY($A119,-1,config_Holiday_Calendar_US)),IF(ISNUMBER(_xll.BDH(config!$G$4,J$1,$A119,$A119)),_xll.BDH(config!$G$4,J$1,$A119,$A119),_xll.BDH(config!$G$5,J$1,$A119,$A119))))</f>
        <v>#N/A Requesting Data...</v>
      </c>
      <c r="K119" s="8" t="str">
        <f>IF($A119="","",IF(ISNUMBER(FIND("IMPVOL",K$1)),_xll.BDH(config!$G$4,K$1,WORKDAY($A119,-1,config_Holiday_Calendar_US),WORKDAY($A119,-1,config_Holiday_Calendar_US)),IF(ISNUMBER(_xll.BDH(config!$G$4,K$1,$A119,$A119)),_xll.BDH(config!$G$4,K$1,$A119,$A119),_xll.BDH(config!$G$5,K$1,$A119,$A119))))</f>
        <v>#N/A Requesting Data...</v>
      </c>
      <c r="L119" s="8" t="str">
        <f>IF($A119="","",IF(ISNUMBER(FIND("IMPVOL",L$1)),_xll.BDH(config!$G$4,L$1,WORKDAY($A119,-1,config_Holiday_Calendar_US),WORKDAY($A119,-1,config_Holiday_Calendar_US)),IF(ISNUMBER(_xll.BDH(config!$G$4,L$1,$A119,$A119)),_xll.BDH(config!$G$4,L$1,$A119,$A119),_xll.BDH(config!$G$5,L$1,$A119,$A119))))</f>
        <v>#N/A Requesting Data...</v>
      </c>
      <c r="M119" s="8" t="str">
        <f>IF($A119="","",IF(ISNUMBER(FIND("IMPVOL",M$1)),_xll.BDH(config!$G$4,M$1,WORKDAY($A119,-1,config_Holiday_Calendar_US),WORKDAY($A119,-1,config_Holiday_Calendar_US)),IF(ISNUMBER(_xll.BDH(config!$G$4,M$1,$A119,$A119)),_xll.BDH(config!$G$4,M$1,$A119,$A119),_xll.BDH(config!$G$5,M$1,$A119,$A119))))</f>
        <v>#N/A Requesting Data...</v>
      </c>
      <c r="N119" s="8" t="str">
        <f>IF($A119="","",IF(ISNUMBER(FIND("IMPVOL",N$1)),_xll.BDH(config!$G$4,N$1,WORKDAY($A119,-1,config_Holiday_Calendar_US),WORKDAY($A119,-1,config_Holiday_Calendar_US)),IF(ISNUMBER(_xll.BDH(config!$G$4,N$1,$A119,$A119)),_xll.BDH(config!$G$4,N$1,$A119,$A119),_xll.BDH(config!$G$5,N$1,$A119,$A119))))</f>
        <v>#N/A Requesting Data...</v>
      </c>
      <c r="O119" s="8" t="str">
        <f>IF($A119="","",IF(ISNUMBER(FIND("IMPVOL",O$1)),_xll.BDH(config!$G$4,O$1,WORKDAY($A119,-1,config_Holiday_Calendar_US),WORKDAY($A119,-1,config_Holiday_Calendar_US)),IF(ISNUMBER(_xll.BDH(config!$G$4,O$1,$A119,$A119)),_xll.BDH(config!$G$4,O$1,$A119,$A119),_xll.BDH(config!$G$5,O$1,$A119,$A119))))</f>
        <v>#N/A Requesting Data...</v>
      </c>
      <c r="P119" s="8" t="str">
        <f>IF($A119="","",IF(ISNUMBER(FIND("IMPVOL",P$1)),_xll.BDH(config!$G$4,P$1,WORKDAY($A119,-1,config_Holiday_Calendar_US),WORKDAY($A119,-1,config_Holiday_Calendar_US)),IF(ISNUMBER(_xll.BDH(config!$G$4,P$1,$A119,$A119)),_xll.BDH(config!$G$4,P$1,$A119,$A119),_xll.BDH(config!$G$5,P$1,$A119,$A119))))</f>
        <v>#N/A Requesting Data...</v>
      </c>
      <c r="Q119" s="8">
        <f>IF($A119="","",IF(ISNUMBER(FIND("IMPVOL",Q$1)),_xll.BDH(config!$G$4,Q$1,WORKDAY($A119,-1,config_Holiday_Calendar_US),WORKDAY($A119,-1,config_Holiday_Calendar_US)),IF(ISNUMBER(_xll.BDH(config!$G$4,Q$1,$A119,$A119)),_xll.BDH(config!$G$4,Q$1,$A119,$A119),_xll.BDH(config!$G$5,Q$1,$A119,$A119))))</f>
        <v>24.84</v>
      </c>
      <c r="R119" s="8">
        <f>IF($A119="","",IF(ISNUMBER(FIND("IMPVOL",R$1)),_xll.BDH(config!$G$4,R$1,WORKDAY($A119,-1,config_Holiday_Calendar_US),WORKDAY($A119,-1,config_Holiday_Calendar_US)),IF(ISNUMBER(_xll.BDH(config!$G$4,R$1,$A119,$A119)),_xll.BDH(config!$G$4,R$1,$A119,$A119),_xll.BDH(config!$G$5,R$1,$A119,$A119))))</f>
        <v>36.96</v>
      </c>
      <c r="S119" s="8" t="str">
        <f>IF($A119="","",IF(ISNUMBER(FIND("IMPVOL",S$1)),_xll.BDH(config!$G$4,S$1,WORKDAY($A119,-1,config_Holiday_Calendar_US),WORKDAY($A119,-1,config_Holiday_Calendar_US)),IF(ISNUMBER(_xll.BDH(config!$G$4,S$1,$A119,$A119)),_xll.BDH(config!$G$4,S$1,$A119,$A119),_xll.BDH(config!$G$5,S$1,$A119,$A119))))</f>
        <v>#N/A Requesting Data...</v>
      </c>
      <c r="T119" s="8" t="str">
        <f>IF($A119="","",IF(ISNUMBER(FIND("IMPVOL",T$1)),_xll.BDH(config!$G$4,T$1,WORKDAY($A119,-1,config_Holiday_Calendar_US),WORKDAY($A119,-1,config_Holiday_Calendar_US)),IF(ISNUMBER(_xll.BDH(config!$G$4,T$1,$A119,$A119)),_xll.BDH(config!$G$4,T$1,$A119,$A119),_xll.BDH(config!$G$5,T$1,$A119,$A119))))</f>
        <v>#N/A Requesting Data...</v>
      </c>
      <c r="U119" s="8" t="str">
        <f>IF($A119="","",IF(ISNUMBER(FIND("IMPVOL",U$1)),_xll.BDH(config!$G$4,U$1,WORKDAY($A119,-1,config_Holiday_Calendar_US),WORKDAY($A119,-1,config_Holiday_Calendar_US)),IF(ISNUMBER(_xll.BDH(config!$G$4,U$1,$A119,$A119)),_xll.BDH(config!$G$4,U$1,$A119,$A119),_xll.BDH(config!$G$5,U$1,$A119,$A119))))</f>
        <v>#N/A Requesting Data...</v>
      </c>
      <c r="V119" s="8" t="str">
        <f>IF($A119="","",IF(ISNUMBER(FIND("IMPVOL",V$1)),_xll.BDH(config!$G$4,V$1,WORKDAY($A119,-1,config_Holiday_Calendar_US),WORKDAY($A119,-1,config_Holiday_Calendar_US)),IF(ISNUMBER(_xll.BDH(config!$G$4,V$1,$A119,$A119)),_xll.BDH(config!$G$4,V$1,$A119,$A119),_xll.BDH(config!$G$5,V$1,$A119,$A119))))</f>
        <v>#N/A Requesting Data...</v>
      </c>
      <c r="W119" s="8" t="str">
        <f>IF($A119="","",IF(ISNUMBER(FIND("IMPVOL",W$1)),_xll.BDH(config!$G$4,W$1,WORKDAY($A119,-1,config_Holiday_Calendar_US),WORKDAY($A119,-1,config_Holiday_Calendar_US)),IF(ISNUMBER(_xll.BDH(config!$G$4,W$1,$A119,$A119)),_xll.BDH(config!$G$4,W$1,$A119,$A119),_xll.BDH(config!$G$5,W$1,$A119,$A119))))</f>
        <v>#N/A Requesting Data...</v>
      </c>
    </row>
    <row r="120" spans="1:23" x14ac:dyDescent="0.2">
      <c r="A120" s="9">
        <f>IF(A119="","",IF(WORKDAY(A119,-1,config_Holiday_Calendar_US)&lt;config!$I$10,"",WORKDAY(A119,-1,config_Holiday_Calendar_US)))</f>
        <v>42661</v>
      </c>
      <c r="B120" s="8" t="e">
        <f t="shared" si="1"/>
        <v>#VALUE!</v>
      </c>
      <c r="C120" s="8" t="str">
        <f>IF(A120="","",_xll.BDH(config!$H$4,C$1,$A120,$A120))</f>
        <v>#N/A Requesting Data...</v>
      </c>
      <c r="D120" s="8" t="str">
        <f>IF($A120="","",_xll.BDH(config!$H$4,D$1,$A120,$A120))</f>
        <v>#N/A Requesting Data...</v>
      </c>
      <c r="E120" s="8">
        <f>IF($A120="","",IF(ISNUMBER(FIND("IMPVOL",E$1)),_xll.BDH(config!$G$4,E$1,WORKDAY($A120,-1,config_Holiday_Calendar_US),WORKDAY($A120,-1,config_Holiday_Calendar_US)),IF(ISNUMBER(_xll.BDH(config!$G$4,E$1,$A120,$A120)),_xll.BDH(config!$G$4,E$1,$A120,$A120),_xll.BDH(config!$G$5,E$1,$A120,$A120))))</f>
        <v>50.04</v>
      </c>
      <c r="F120" s="8">
        <f>IF($A120="","",IF(ISNUMBER(FIND("IMPVOL",F$1)),_xll.BDH(config!$G$4,F$1,WORKDAY($A120,-1,config_Holiday_Calendar_US),WORKDAY($A120,-1,config_Holiday_Calendar_US)),IF(ISNUMBER(_xll.BDH(config!$G$4,F$1,$A120,$A120)),_xll.BDH(config!$G$4,F$1,$A120,$A120),_xll.BDH(config!$G$5,F$1,$A120,$A120))))</f>
        <v>50.78</v>
      </c>
      <c r="G120" s="8">
        <f>IF($A120="","",IF(ISNUMBER(FIND("IMPVOL",G$1)),_xll.BDH(config!$G$4,G$1,WORKDAY($A120,-1,config_Holiday_Calendar_US),WORKDAY($A120,-1,config_Holiday_Calendar_US)),IF(ISNUMBER(_xll.BDH(config!$G$4,G$1,$A120,$A120)),_xll.BDH(config!$G$4,G$1,$A120,$A120),_xll.BDH(config!$G$5,G$1,$A120,$A120))))</f>
        <v>50.13</v>
      </c>
      <c r="H120" s="8">
        <f>IF($A120="","",IF(ISNUMBER(FIND("IMPVOL",H$1)),_xll.BDH(config!$G$4,H$1,WORKDAY($A120,-1,config_Holiday_Calendar_US),WORKDAY($A120,-1,config_Holiday_Calendar_US)),IF(ISNUMBER(_xll.BDH(config!$G$4,H$1,$A120,$A120)),_xll.BDH(config!$G$4,H$1,$A120,$A120),_xll.BDH(config!$G$5,H$1,$A120,$A120))))</f>
        <v>380490</v>
      </c>
      <c r="I120" s="8" t="str">
        <f>IF($A120="","",IF(ISNUMBER(FIND("IMPVOL",I$1)),_xll.BDH(config!$G$4,I$1,WORKDAY($A120,-1,config_Holiday_Calendar_US),WORKDAY($A120,-1,config_Holiday_Calendar_US)),IF(ISNUMBER(_xll.BDH(config!$G$4,I$1,$A120,$A120)),_xll.BDH(config!$G$4,I$1,$A120,$A120),_xll.BDH(config!$G$5,I$1,$A120,$A120))))</f>
        <v>#N/A Requesting Data...</v>
      </c>
      <c r="J120" s="8" t="str">
        <f>IF($A120="","",IF(ISNUMBER(FIND("IMPVOL",J$1)),_xll.BDH(config!$G$4,J$1,WORKDAY($A120,-1,config_Holiday_Calendar_US),WORKDAY($A120,-1,config_Holiday_Calendar_US)),IF(ISNUMBER(_xll.BDH(config!$G$4,J$1,$A120,$A120)),_xll.BDH(config!$G$4,J$1,$A120,$A120),_xll.BDH(config!$G$5,J$1,$A120,$A120))))</f>
        <v>#N/A Requesting Data...</v>
      </c>
      <c r="K120" s="8" t="str">
        <f>IF($A120="","",IF(ISNUMBER(FIND("IMPVOL",K$1)),_xll.BDH(config!$G$4,K$1,WORKDAY($A120,-1,config_Holiday_Calendar_US),WORKDAY($A120,-1,config_Holiday_Calendar_US)),IF(ISNUMBER(_xll.BDH(config!$G$4,K$1,$A120,$A120)),_xll.BDH(config!$G$4,K$1,$A120,$A120),_xll.BDH(config!$G$5,K$1,$A120,$A120))))</f>
        <v>#N/A Requesting Data...</v>
      </c>
      <c r="L120" s="8" t="str">
        <f>IF($A120="","",IF(ISNUMBER(FIND("IMPVOL",L$1)),_xll.BDH(config!$G$4,L$1,WORKDAY($A120,-1,config_Holiday_Calendar_US),WORKDAY($A120,-1,config_Holiday_Calendar_US)),IF(ISNUMBER(_xll.BDH(config!$G$4,L$1,$A120,$A120)),_xll.BDH(config!$G$4,L$1,$A120,$A120),_xll.BDH(config!$G$5,L$1,$A120,$A120))))</f>
        <v>#N/A Requesting Data...</v>
      </c>
      <c r="M120" s="8" t="str">
        <f>IF($A120="","",IF(ISNUMBER(FIND("IMPVOL",M$1)),_xll.BDH(config!$G$4,M$1,WORKDAY($A120,-1,config_Holiday_Calendar_US),WORKDAY($A120,-1,config_Holiday_Calendar_US)),IF(ISNUMBER(_xll.BDH(config!$G$4,M$1,$A120,$A120)),_xll.BDH(config!$G$4,M$1,$A120,$A120),_xll.BDH(config!$G$5,M$1,$A120,$A120))))</f>
        <v>#N/A Requesting Data...</v>
      </c>
      <c r="N120" s="8" t="str">
        <f>IF($A120="","",IF(ISNUMBER(FIND("IMPVOL",N$1)),_xll.BDH(config!$G$4,N$1,WORKDAY($A120,-1,config_Holiday_Calendar_US),WORKDAY($A120,-1,config_Holiday_Calendar_US)),IF(ISNUMBER(_xll.BDH(config!$G$4,N$1,$A120,$A120)),_xll.BDH(config!$G$4,N$1,$A120,$A120),_xll.BDH(config!$G$5,N$1,$A120,$A120))))</f>
        <v>#N/A Requesting Data...</v>
      </c>
      <c r="O120" s="8" t="str">
        <f>IF($A120="","",IF(ISNUMBER(FIND("IMPVOL",O$1)),_xll.BDH(config!$G$4,O$1,WORKDAY($A120,-1,config_Holiday_Calendar_US),WORKDAY($A120,-1,config_Holiday_Calendar_US)),IF(ISNUMBER(_xll.BDH(config!$G$4,O$1,$A120,$A120)),_xll.BDH(config!$G$4,O$1,$A120,$A120),_xll.BDH(config!$G$5,O$1,$A120,$A120))))</f>
        <v>#N/A Requesting Data...</v>
      </c>
      <c r="P120" s="8" t="str">
        <f>IF($A120="","",IF(ISNUMBER(FIND("IMPVOL",P$1)),_xll.BDH(config!$G$4,P$1,WORKDAY($A120,-1,config_Holiday_Calendar_US),WORKDAY($A120,-1,config_Holiday_Calendar_US)),IF(ISNUMBER(_xll.BDH(config!$G$4,P$1,$A120,$A120)),_xll.BDH(config!$G$4,P$1,$A120,$A120),_xll.BDH(config!$G$5,P$1,$A120,$A120))))</f>
        <v>#N/A Requesting Data...</v>
      </c>
      <c r="Q120" s="8">
        <f>IF($A120="","",IF(ISNUMBER(FIND("IMPVOL",Q$1)),_xll.BDH(config!$G$4,Q$1,WORKDAY($A120,-1,config_Holiday_Calendar_US),WORKDAY($A120,-1,config_Holiday_Calendar_US)),IF(ISNUMBER(_xll.BDH(config!$G$4,Q$1,$A120,$A120)),_xll.BDH(config!$G$4,Q$1,$A120,$A120),_xll.BDH(config!$G$5,Q$1,$A120,$A120))))</f>
        <v>22.21</v>
      </c>
      <c r="R120" s="8">
        <f>IF($A120="","",IF(ISNUMBER(FIND("IMPVOL",R$1)),_xll.BDH(config!$G$4,R$1,WORKDAY($A120,-1,config_Holiday_Calendar_US),WORKDAY($A120,-1,config_Holiday_Calendar_US)),IF(ISNUMBER(_xll.BDH(config!$G$4,R$1,$A120,$A120)),_xll.BDH(config!$G$4,R$1,$A120,$A120),_xll.BDH(config!$G$5,R$1,$A120,$A120))))</f>
        <v>38.590000000000003</v>
      </c>
      <c r="S120" s="8" t="str">
        <f>IF($A120="","",IF(ISNUMBER(FIND("IMPVOL",S$1)),_xll.BDH(config!$G$4,S$1,WORKDAY($A120,-1,config_Holiday_Calendar_US),WORKDAY($A120,-1,config_Holiday_Calendar_US)),IF(ISNUMBER(_xll.BDH(config!$G$4,S$1,$A120,$A120)),_xll.BDH(config!$G$4,S$1,$A120,$A120),_xll.BDH(config!$G$5,S$1,$A120,$A120))))</f>
        <v>#N/A Requesting Data...</v>
      </c>
      <c r="T120" s="8" t="str">
        <f>IF($A120="","",IF(ISNUMBER(FIND("IMPVOL",T$1)),_xll.BDH(config!$G$4,T$1,WORKDAY($A120,-1,config_Holiday_Calendar_US),WORKDAY($A120,-1,config_Holiday_Calendar_US)),IF(ISNUMBER(_xll.BDH(config!$G$4,T$1,$A120,$A120)),_xll.BDH(config!$G$4,T$1,$A120,$A120),_xll.BDH(config!$G$5,T$1,$A120,$A120))))</f>
        <v>#N/A Requesting Data...</v>
      </c>
      <c r="U120" s="8" t="str">
        <f>IF($A120="","",IF(ISNUMBER(FIND("IMPVOL",U$1)),_xll.BDH(config!$G$4,U$1,WORKDAY($A120,-1,config_Holiday_Calendar_US),WORKDAY($A120,-1,config_Holiday_Calendar_US)),IF(ISNUMBER(_xll.BDH(config!$G$4,U$1,$A120,$A120)),_xll.BDH(config!$G$4,U$1,$A120,$A120),_xll.BDH(config!$G$5,U$1,$A120,$A120))))</f>
        <v>#N/A Requesting Data...</v>
      </c>
      <c r="V120" s="8" t="str">
        <f>IF($A120="","",IF(ISNUMBER(FIND("IMPVOL",V$1)),_xll.BDH(config!$G$4,V$1,WORKDAY($A120,-1,config_Holiday_Calendar_US),WORKDAY($A120,-1,config_Holiday_Calendar_US)),IF(ISNUMBER(_xll.BDH(config!$G$4,V$1,$A120,$A120)),_xll.BDH(config!$G$4,V$1,$A120,$A120),_xll.BDH(config!$G$5,V$1,$A120,$A120))))</f>
        <v>#N/A Requesting Data...</v>
      </c>
      <c r="W120" s="8" t="str">
        <f>IF($A120="","",IF(ISNUMBER(FIND("IMPVOL",W$1)),_xll.BDH(config!$G$4,W$1,WORKDAY($A120,-1,config_Holiday_Calendar_US),WORKDAY($A120,-1,config_Holiday_Calendar_US)),IF(ISNUMBER(_xll.BDH(config!$G$4,W$1,$A120,$A120)),_xll.BDH(config!$G$4,W$1,$A120,$A120),_xll.BDH(config!$G$5,W$1,$A120,$A120))))</f>
        <v>#N/A Requesting Data...</v>
      </c>
    </row>
    <row r="121" spans="1:23" x14ac:dyDescent="0.2">
      <c r="A121" s="9">
        <f>IF(A120="","",IF(WORKDAY(A120,-1,config_Holiday_Calendar_US)&lt;config!$I$10,"",WORKDAY(A120,-1,config_Holiday_Calendar_US)))</f>
        <v>42660</v>
      </c>
      <c r="B121" s="8" t="e">
        <f t="shared" si="1"/>
        <v>#VALUE!</v>
      </c>
      <c r="C121" s="8" t="str">
        <f>IF(A121="","",_xll.BDH(config!$H$4,C$1,$A121,$A121))</f>
        <v>#N/A Requesting Data...</v>
      </c>
      <c r="D121" s="8" t="str">
        <f>IF($A121="","",_xll.BDH(config!$H$4,D$1,$A121,$A121))</f>
        <v>#N/A Requesting Data...</v>
      </c>
      <c r="E121" s="8">
        <f>IF($A121="","",IF(ISNUMBER(FIND("IMPVOL",E$1)),_xll.BDH(config!$G$4,E$1,WORKDAY($A121,-1,config_Holiday_Calendar_US),WORKDAY($A121,-1,config_Holiday_Calendar_US)),IF(ISNUMBER(_xll.BDH(config!$G$4,E$1,$A121,$A121)),_xll.BDH(config!$G$4,E$1,$A121,$A121),_xll.BDH(config!$G$5,E$1,$A121,$A121))))</f>
        <v>50.23</v>
      </c>
      <c r="F121" s="8">
        <f>IF($A121="","",IF(ISNUMBER(FIND("IMPVOL",F$1)),_xll.BDH(config!$G$4,F$1,WORKDAY($A121,-1,config_Holiday_Calendar_US),WORKDAY($A121,-1,config_Holiday_Calendar_US)),IF(ISNUMBER(_xll.BDH(config!$G$4,F$1,$A121,$A121)),_xll.BDH(config!$G$4,F$1,$A121,$A121),_xll.BDH(config!$G$5,F$1,$A121,$A121))))</f>
        <v>50.58</v>
      </c>
      <c r="G121" s="8">
        <f>IF($A121="","",IF(ISNUMBER(FIND("IMPVOL",G$1)),_xll.BDH(config!$G$4,G$1,WORKDAY($A121,-1,config_Holiday_Calendar_US),WORKDAY($A121,-1,config_Holiday_Calendar_US)),IF(ISNUMBER(_xll.BDH(config!$G$4,G$1,$A121,$A121)),_xll.BDH(config!$G$4,G$1,$A121,$A121),_xll.BDH(config!$G$5,G$1,$A121,$A121))))</f>
        <v>49.9</v>
      </c>
      <c r="H121" s="8">
        <f>IF($A121="","",IF(ISNUMBER(FIND("IMPVOL",H$1)),_xll.BDH(config!$G$4,H$1,WORKDAY($A121,-1,config_Holiday_Calendar_US),WORKDAY($A121,-1,config_Holiday_Calendar_US)),IF(ISNUMBER(_xll.BDH(config!$G$4,H$1,$A121,$A121)),_xll.BDH(config!$G$4,H$1,$A121,$A121),_xll.BDH(config!$G$5,H$1,$A121,$A121))))</f>
        <v>310442</v>
      </c>
      <c r="I121" s="8" t="str">
        <f>IF($A121="","",IF(ISNUMBER(FIND("IMPVOL",I$1)),_xll.BDH(config!$G$4,I$1,WORKDAY($A121,-1,config_Holiday_Calendar_US),WORKDAY($A121,-1,config_Holiday_Calendar_US)),IF(ISNUMBER(_xll.BDH(config!$G$4,I$1,$A121,$A121)),_xll.BDH(config!$G$4,I$1,$A121,$A121),_xll.BDH(config!$G$5,I$1,$A121,$A121))))</f>
        <v>#N/A Requesting Data...</v>
      </c>
      <c r="J121" s="8" t="str">
        <f>IF($A121="","",IF(ISNUMBER(FIND("IMPVOL",J$1)),_xll.BDH(config!$G$4,J$1,WORKDAY($A121,-1,config_Holiday_Calendar_US),WORKDAY($A121,-1,config_Holiday_Calendar_US)),IF(ISNUMBER(_xll.BDH(config!$G$4,J$1,$A121,$A121)),_xll.BDH(config!$G$4,J$1,$A121,$A121),_xll.BDH(config!$G$5,J$1,$A121,$A121))))</f>
        <v>#N/A Requesting Data...</v>
      </c>
      <c r="K121" s="8" t="str">
        <f>IF($A121="","",IF(ISNUMBER(FIND("IMPVOL",K$1)),_xll.BDH(config!$G$4,K$1,WORKDAY($A121,-1,config_Holiday_Calendar_US),WORKDAY($A121,-1,config_Holiday_Calendar_US)),IF(ISNUMBER(_xll.BDH(config!$G$4,K$1,$A121,$A121)),_xll.BDH(config!$G$4,K$1,$A121,$A121),_xll.BDH(config!$G$5,K$1,$A121,$A121))))</f>
        <v>#N/A Requesting Data...</v>
      </c>
      <c r="L121" s="8" t="str">
        <f>IF($A121="","",IF(ISNUMBER(FIND("IMPVOL",L$1)),_xll.BDH(config!$G$4,L$1,WORKDAY($A121,-1,config_Holiday_Calendar_US),WORKDAY($A121,-1,config_Holiday_Calendar_US)),IF(ISNUMBER(_xll.BDH(config!$G$4,L$1,$A121,$A121)),_xll.BDH(config!$G$4,L$1,$A121,$A121),_xll.BDH(config!$G$5,L$1,$A121,$A121))))</f>
        <v>#N/A Requesting Data...</v>
      </c>
      <c r="M121" s="8" t="str">
        <f>IF($A121="","",IF(ISNUMBER(FIND("IMPVOL",M$1)),_xll.BDH(config!$G$4,M$1,WORKDAY($A121,-1,config_Holiday_Calendar_US),WORKDAY($A121,-1,config_Holiday_Calendar_US)),IF(ISNUMBER(_xll.BDH(config!$G$4,M$1,$A121,$A121)),_xll.BDH(config!$G$4,M$1,$A121,$A121),_xll.BDH(config!$G$5,M$1,$A121,$A121))))</f>
        <v>#N/A Requesting Data...</v>
      </c>
      <c r="N121" s="8" t="str">
        <f>IF($A121="","",IF(ISNUMBER(FIND("IMPVOL",N$1)),_xll.BDH(config!$G$4,N$1,WORKDAY($A121,-1,config_Holiday_Calendar_US),WORKDAY($A121,-1,config_Holiday_Calendar_US)),IF(ISNUMBER(_xll.BDH(config!$G$4,N$1,$A121,$A121)),_xll.BDH(config!$G$4,N$1,$A121,$A121),_xll.BDH(config!$G$5,N$1,$A121,$A121))))</f>
        <v>#N/A Requesting Data...</v>
      </c>
      <c r="O121" s="8" t="str">
        <f>IF($A121="","",IF(ISNUMBER(FIND("IMPVOL",O$1)),_xll.BDH(config!$G$4,O$1,WORKDAY($A121,-1,config_Holiday_Calendar_US),WORKDAY($A121,-1,config_Holiday_Calendar_US)),IF(ISNUMBER(_xll.BDH(config!$G$4,O$1,$A121,$A121)),_xll.BDH(config!$G$4,O$1,$A121,$A121),_xll.BDH(config!$G$5,O$1,$A121,$A121))))</f>
        <v>#N/A Requesting Data...</v>
      </c>
      <c r="P121" s="8" t="str">
        <f>IF($A121="","",IF(ISNUMBER(FIND("IMPVOL",P$1)),_xll.BDH(config!$G$4,P$1,WORKDAY($A121,-1,config_Holiday_Calendar_US),WORKDAY($A121,-1,config_Holiday_Calendar_US)),IF(ISNUMBER(_xll.BDH(config!$G$4,P$1,$A121,$A121)),_xll.BDH(config!$G$4,P$1,$A121,$A121),_xll.BDH(config!$G$5,P$1,$A121,$A121))))</f>
        <v>#N/A Requesting Data...</v>
      </c>
      <c r="Q121" s="8">
        <f>IF($A121="","",IF(ISNUMBER(FIND("IMPVOL",Q$1)),_xll.BDH(config!$G$4,Q$1,WORKDAY($A121,-1,config_Holiday_Calendar_US),WORKDAY($A121,-1,config_Holiday_Calendar_US)),IF(ISNUMBER(_xll.BDH(config!$G$4,Q$1,$A121,$A121)),_xll.BDH(config!$G$4,Q$1,$A121,$A121),_xll.BDH(config!$G$5,Q$1,$A121,$A121))))</f>
        <v>24.94</v>
      </c>
      <c r="R121" s="8">
        <f>IF($A121="","",IF(ISNUMBER(FIND("IMPVOL",R$1)),_xll.BDH(config!$G$4,R$1,WORKDAY($A121,-1,config_Holiday_Calendar_US),WORKDAY($A121,-1,config_Holiday_Calendar_US)),IF(ISNUMBER(_xll.BDH(config!$G$4,R$1,$A121,$A121)),_xll.BDH(config!$G$4,R$1,$A121,$A121),_xll.BDH(config!$G$5,R$1,$A121,$A121))))</f>
        <v>38.75</v>
      </c>
      <c r="S121" s="8" t="str">
        <f>IF($A121="","",IF(ISNUMBER(FIND("IMPVOL",S$1)),_xll.BDH(config!$G$4,S$1,WORKDAY($A121,-1,config_Holiday_Calendar_US),WORKDAY($A121,-1,config_Holiday_Calendar_US)),IF(ISNUMBER(_xll.BDH(config!$G$4,S$1,$A121,$A121)),_xll.BDH(config!$G$4,S$1,$A121,$A121),_xll.BDH(config!$G$5,S$1,$A121,$A121))))</f>
        <v>#N/A Requesting Data...</v>
      </c>
      <c r="T121" s="8" t="str">
        <f>IF($A121="","",IF(ISNUMBER(FIND("IMPVOL",T$1)),_xll.BDH(config!$G$4,T$1,WORKDAY($A121,-1,config_Holiday_Calendar_US),WORKDAY($A121,-1,config_Holiday_Calendar_US)),IF(ISNUMBER(_xll.BDH(config!$G$4,T$1,$A121,$A121)),_xll.BDH(config!$G$4,T$1,$A121,$A121),_xll.BDH(config!$G$5,T$1,$A121,$A121))))</f>
        <v>#N/A Requesting Data...</v>
      </c>
      <c r="U121" s="8" t="str">
        <f>IF($A121="","",IF(ISNUMBER(FIND("IMPVOL",U$1)),_xll.BDH(config!$G$4,U$1,WORKDAY($A121,-1,config_Holiday_Calendar_US),WORKDAY($A121,-1,config_Holiday_Calendar_US)),IF(ISNUMBER(_xll.BDH(config!$G$4,U$1,$A121,$A121)),_xll.BDH(config!$G$4,U$1,$A121,$A121),_xll.BDH(config!$G$5,U$1,$A121,$A121))))</f>
        <v>#N/A Requesting Data...</v>
      </c>
      <c r="V121" s="8" t="str">
        <f>IF($A121="","",IF(ISNUMBER(FIND("IMPVOL",V$1)),_xll.BDH(config!$G$4,V$1,WORKDAY($A121,-1,config_Holiday_Calendar_US),WORKDAY($A121,-1,config_Holiday_Calendar_US)),IF(ISNUMBER(_xll.BDH(config!$G$4,V$1,$A121,$A121)),_xll.BDH(config!$G$4,V$1,$A121,$A121),_xll.BDH(config!$G$5,V$1,$A121,$A121))))</f>
        <v>#N/A Requesting Data...</v>
      </c>
      <c r="W121" s="8" t="str">
        <f>IF($A121="","",IF(ISNUMBER(FIND("IMPVOL",W$1)),_xll.BDH(config!$G$4,W$1,WORKDAY($A121,-1,config_Holiday_Calendar_US),WORKDAY($A121,-1,config_Holiday_Calendar_US)),IF(ISNUMBER(_xll.BDH(config!$G$4,W$1,$A121,$A121)),_xll.BDH(config!$G$4,W$1,$A121,$A121),_xll.BDH(config!$G$5,W$1,$A121,$A121))))</f>
        <v>#N/A Requesting Data...</v>
      </c>
    </row>
    <row r="122" spans="1:23" x14ac:dyDescent="0.2">
      <c r="A122" s="9">
        <f>IF(A121="","",IF(WORKDAY(A121,-1,config_Holiday_Calendar_US)&lt;config!$I$10,"",WORKDAY(A121,-1,config_Holiday_Calendar_US)))</f>
        <v>42657</v>
      </c>
      <c r="B122" s="8" t="e">
        <f t="shared" si="1"/>
        <v>#VALUE!</v>
      </c>
      <c r="C122" s="8" t="str">
        <f>IF(A122="","",_xll.BDH(config!$H$4,C$1,$A122,$A122))</f>
        <v>#N/A Requesting Data...</v>
      </c>
      <c r="D122" s="8" t="str">
        <f>IF($A122="","",_xll.BDH(config!$H$4,D$1,$A122,$A122))</f>
        <v>#N/A Requesting Data...</v>
      </c>
      <c r="E122" s="8">
        <f>IF($A122="","",IF(ISNUMBER(FIND("IMPVOL",E$1)),_xll.BDH(config!$G$4,E$1,WORKDAY($A122,-1,config_Holiday_Calendar_US),WORKDAY($A122,-1,config_Holiday_Calendar_US)),IF(ISNUMBER(_xll.BDH(config!$G$4,E$1,$A122,$A122)),_xll.BDH(config!$G$4,E$1,$A122,$A122),_xll.BDH(config!$G$5,E$1,$A122,$A122))))</f>
        <v>50.58</v>
      </c>
      <c r="F122" s="8">
        <f>IF($A122="","",IF(ISNUMBER(FIND("IMPVOL",F$1)),_xll.BDH(config!$G$4,F$1,WORKDAY($A122,-1,config_Holiday_Calendar_US),WORKDAY($A122,-1,config_Holiday_Calendar_US)),IF(ISNUMBER(_xll.BDH(config!$G$4,F$1,$A122,$A122)),_xll.BDH(config!$G$4,F$1,$A122,$A122),_xll.BDH(config!$G$5,F$1,$A122,$A122))))</f>
        <v>51.14</v>
      </c>
      <c r="G122" s="8">
        <f>IF($A122="","",IF(ISNUMBER(FIND("IMPVOL",G$1)),_xll.BDH(config!$G$4,G$1,WORKDAY($A122,-1,config_Holiday_Calendar_US),WORKDAY($A122,-1,config_Holiday_Calendar_US)),IF(ISNUMBER(_xll.BDH(config!$G$4,G$1,$A122,$A122)),_xll.BDH(config!$G$4,G$1,$A122,$A122),_xll.BDH(config!$G$5,G$1,$A122,$A122))))</f>
        <v>50.3</v>
      </c>
      <c r="H122" s="8">
        <f>IF($A122="","",IF(ISNUMBER(FIND("IMPVOL",H$1)),_xll.BDH(config!$G$4,H$1,WORKDAY($A122,-1,config_Holiday_Calendar_US),WORKDAY($A122,-1,config_Holiday_Calendar_US)),IF(ISNUMBER(_xll.BDH(config!$G$4,H$1,$A122,$A122)),_xll.BDH(config!$G$4,H$1,$A122,$A122),_xll.BDH(config!$G$5,H$1,$A122,$A122))))</f>
        <v>353204</v>
      </c>
      <c r="I122" s="8" t="str">
        <f>IF($A122="","",IF(ISNUMBER(FIND("IMPVOL",I$1)),_xll.BDH(config!$G$4,I$1,WORKDAY($A122,-1,config_Holiday_Calendar_US),WORKDAY($A122,-1,config_Holiday_Calendar_US)),IF(ISNUMBER(_xll.BDH(config!$G$4,I$1,$A122,$A122)),_xll.BDH(config!$G$4,I$1,$A122,$A122),_xll.BDH(config!$G$5,I$1,$A122,$A122))))</f>
        <v>#N/A Requesting Data...</v>
      </c>
      <c r="J122" s="8" t="str">
        <f>IF($A122="","",IF(ISNUMBER(FIND("IMPVOL",J$1)),_xll.BDH(config!$G$4,J$1,WORKDAY($A122,-1,config_Holiday_Calendar_US),WORKDAY($A122,-1,config_Holiday_Calendar_US)),IF(ISNUMBER(_xll.BDH(config!$G$4,J$1,$A122,$A122)),_xll.BDH(config!$G$4,J$1,$A122,$A122),_xll.BDH(config!$G$5,J$1,$A122,$A122))))</f>
        <v>#N/A Requesting Data...</v>
      </c>
      <c r="K122" s="8" t="str">
        <f>IF($A122="","",IF(ISNUMBER(FIND("IMPVOL",K$1)),_xll.BDH(config!$G$4,K$1,WORKDAY($A122,-1,config_Holiday_Calendar_US),WORKDAY($A122,-1,config_Holiday_Calendar_US)),IF(ISNUMBER(_xll.BDH(config!$G$4,K$1,$A122,$A122)),_xll.BDH(config!$G$4,K$1,$A122,$A122),_xll.BDH(config!$G$5,K$1,$A122,$A122))))</f>
        <v>#N/A Requesting Data...</v>
      </c>
      <c r="L122" s="8" t="str">
        <f>IF($A122="","",IF(ISNUMBER(FIND("IMPVOL",L$1)),_xll.BDH(config!$G$4,L$1,WORKDAY($A122,-1,config_Holiday_Calendar_US),WORKDAY($A122,-1,config_Holiday_Calendar_US)),IF(ISNUMBER(_xll.BDH(config!$G$4,L$1,$A122,$A122)),_xll.BDH(config!$G$4,L$1,$A122,$A122),_xll.BDH(config!$G$5,L$1,$A122,$A122))))</f>
        <v>#N/A Requesting Data...</v>
      </c>
      <c r="M122" s="8" t="str">
        <f>IF($A122="","",IF(ISNUMBER(FIND("IMPVOL",M$1)),_xll.BDH(config!$G$4,M$1,WORKDAY($A122,-1,config_Holiday_Calendar_US),WORKDAY($A122,-1,config_Holiday_Calendar_US)),IF(ISNUMBER(_xll.BDH(config!$G$4,M$1,$A122,$A122)),_xll.BDH(config!$G$4,M$1,$A122,$A122),_xll.BDH(config!$G$5,M$1,$A122,$A122))))</f>
        <v>#N/A Requesting Data...</v>
      </c>
      <c r="N122" s="8" t="str">
        <f>IF($A122="","",IF(ISNUMBER(FIND("IMPVOL",N$1)),_xll.BDH(config!$G$4,N$1,WORKDAY($A122,-1,config_Holiday_Calendar_US),WORKDAY($A122,-1,config_Holiday_Calendar_US)),IF(ISNUMBER(_xll.BDH(config!$G$4,N$1,$A122,$A122)),_xll.BDH(config!$G$4,N$1,$A122,$A122),_xll.BDH(config!$G$5,N$1,$A122,$A122))))</f>
        <v>#N/A Requesting Data...</v>
      </c>
      <c r="O122" s="8" t="str">
        <f>IF($A122="","",IF(ISNUMBER(FIND("IMPVOL",O$1)),_xll.BDH(config!$G$4,O$1,WORKDAY($A122,-1,config_Holiday_Calendar_US),WORKDAY($A122,-1,config_Holiday_Calendar_US)),IF(ISNUMBER(_xll.BDH(config!$G$4,O$1,$A122,$A122)),_xll.BDH(config!$G$4,O$1,$A122,$A122),_xll.BDH(config!$G$5,O$1,$A122,$A122))))</f>
        <v>#N/A Requesting Data...</v>
      </c>
      <c r="P122" s="8" t="str">
        <f>IF($A122="","",IF(ISNUMBER(FIND("IMPVOL",P$1)),_xll.BDH(config!$G$4,P$1,WORKDAY($A122,-1,config_Holiday_Calendar_US),WORKDAY($A122,-1,config_Holiday_Calendar_US)),IF(ISNUMBER(_xll.BDH(config!$G$4,P$1,$A122,$A122)),_xll.BDH(config!$G$4,P$1,$A122,$A122),_xll.BDH(config!$G$5,P$1,$A122,$A122))))</f>
        <v>#N/A Requesting Data...</v>
      </c>
      <c r="Q122" s="8">
        <f>IF($A122="","",IF(ISNUMBER(FIND("IMPVOL",Q$1)),_xll.BDH(config!$G$4,Q$1,WORKDAY($A122,-1,config_Holiday_Calendar_US),WORKDAY($A122,-1,config_Holiday_Calendar_US)),IF(ISNUMBER(_xll.BDH(config!$G$4,Q$1,$A122,$A122)),_xll.BDH(config!$G$4,Q$1,$A122,$A122),_xll.BDH(config!$G$5,Q$1,$A122,$A122))))</f>
        <v>24.4</v>
      </c>
      <c r="R122" s="8">
        <f>IF($A122="","",IF(ISNUMBER(FIND("IMPVOL",R$1)),_xll.BDH(config!$G$4,R$1,WORKDAY($A122,-1,config_Holiday_Calendar_US),WORKDAY($A122,-1,config_Holiday_Calendar_US)),IF(ISNUMBER(_xll.BDH(config!$G$4,R$1,$A122,$A122)),_xll.BDH(config!$G$4,R$1,$A122,$A122),_xll.BDH(config!$G$5,R$1,$A122,$A122))))</f>
        <v>38.64</v>
      </c>
      <c r="S122" s="8" t="str">
        <f>IF($A122="","",IF(ISNUMBER(FIND("IMPVOL",S$1)),_xll.BDH(config!$G$4,S$1,WORKDAY($A122,-1,config_Holiday_Calendar_US),WORKDAY($A122,-1,config_Holiday_Calendar_US)),IF(ISNUMBER(_xll.BDH(config!$G$4,S$1,$A122,$A122)),_xll.BDH(config!$G$4,S$1,$A122,$A122),_xll.BDH(config!$G$5,S$1,$A122,$A122))))</f>
        <v>#N/A Requesting Data...</v>
      </c>
      <c r="T122" s="8" t="str">
        <f>IF($A122="","",IF(ISNUMBER(FIND("IMPVOL",T$1)),_xll.BDH(config!$G$4,T$1,WORKDAY($A122,-1,config_Holiday_Calendar_US),WORKDAY($A122,-1,config_Holiday_Calendar_US)),IF(ISNUMBER(_xll.BDH(config!$G$4,T$1,$A122,$A122)),_xll.BDH(config!$G$4,T$1,$A122,$A122),_xll.BDH(config!$G$5,T$1,$A122,$A122))))</f>
        <v>#N/A Requesting Data...</v>
      </c>
      <c r="U122" s="8" t="str">
        <f>IF($A122="","",IF(ISNUMBER(FIND("IMPVOL",U$1)),_xll.BDH(config!$G$4,U$1,WORKDAY($A122,-1,config_Holiday_Calendar_US),WORKDAY($A122,-1,config_Holiday_Calendar_US)),IF(ISNUMBER(_xll.BDH(config!$G$4,U$1,$A122,$A122)),_xll.BDH(config!$G$4,U$1,$A122,$A122),_xll.BDH(config!$G$5,U$1,$A122,$A122))))</f>
        <v>#N/A Requesting Data...</v>
      </c>
      <c r="V122" s="8" t="str">
        <f>IF($A122="","",IF(ISNUMBER(FIND("IMPVOL",V$1)),_xll.BDH(config!$G$4,V$1,WORKDAY($A122,-1,config_Holiday_Calendar_US),WORKDAY($A122,-1,config_Holiday_Calendar_US)),IF(ISNUMBER(_xll.BDH(config!$G$4,V$1,$A122,$A122)),_xll.BDH(config!$G$4,V$1,$A122,$A122),_xll.BDH(config!$G$5,V$1,$A122,$A122))))</f>
        <v>#N/A Requesting Data...</v>
      </c>
      <c r="W122" s="8" t="str">
        <f>IF($A122="","",IF(ISNUMBER(FIND("IMPVOL",W$1)),_xll.BDH(config!$G$4,W$1,WORKDAY($A122,-1,config_Holiday_Calendar_US),WORKDAY($A122,-1,config_Holiday_Calendar_US)),IF(ISNUMBER(_xll.BDH(config!$G$4,W$1,$A122,$A122)),_xll.BDH(config!$G$4,W$1,$A122,$A122),_xll.BDH(config!$G$5,W$1,$A122,$A122))))</f>
        <v>#N/A Requesting Data...</v>
      </c>
    </row>
    <row r="123" spans="1:23" x14ac:dyDescent="0.2">
      <c r="A123" s="9">
        <f>IF(A122="","",IF(WORKDAY(A122,-1,config_Holiday_Calendar_US)&lt;config!$I$10,"",WORKDAY(A122,-1,config_Holiday_Calendar_US)))</f>
        <v>42656</v>
      </c>
      <c r="B123" s="8" t="e">
        <f t="shared" si="1"/>
        <v>#VALUE!</v>
      </c>
      <c r="C123" s="8" t="str">
        <f>IF(A123="","",_xll.BDH(config!$H$4,C$1,$A123,$A123))</f>
        <v>#N/A Requesting Data...</v>
      </c>
      <c r="D123" s="8" t="str">
        <f>IF($A123="","",_xll.BDH(config!$H$4,D$1,$A123,$A123))</f>
        <v>#N/A Requesting Data...</v>
      </c>
      <c r="E123" s="8">
        <f>IF($A123="","",IF(ISNUMBER(FIND("IMPVOL",E$1)),_xll.BDH(config!$G$4,E$1,WORKDAY($A123,-1,config_Holiday_Calendar_US),WORKDAY($A123,-1,config_Holiday_Calendar_US)),IF(ISNUMBER(_xll.BDH(config!$G$4,E$1,$A123,$A123)),_xll.BDH(config!$G$4,E$1,$A123,$A123),_xll.BDH(config!$G$5,E$1,$A123,$A123))))</f>
        <v>50</v>
      </c>
      <c r="F123" s="8">
        <f>IF($A123="","",IF(ISNUMBER(FIND("IMPVOL",F$1)),_xll.BDH(config!$G$4,F$1,WORKDAY($A123,-1,config_Holiday_Calendar_US),WORKDAY($A123,-1,config_Holiday_Calendar_US)),IF(ISNUMBER(_xll.BDH(config!$G$4,F$1,$A123,$A123)),_xll.BDH(config!$G$4,F$1,$A123,$A123),_xll.BDH(config!$G$5,F$1,$A123,$A123))))</f>
        <v>50.59</v>
      </c>
      <c r="G123" s="8">
        <f>IF($A123="","",IF(ISNUMBER(FIND("IMPVOL",G$1)),_xll.BDH(config!$G$4,G$1,WORKDAY($A123,-1,config_Holiday_Calendar_US),WORKDAY($A123,-1,config_Holiday_Calendar_US)),IF(ISNUMBER(_xll.BDH(config!$G$4,G$1,$A123,$A123)),_xll.BDH(config!$G$4,G$1,$A123,$A123),_xll.BDH(config!$G$5,G$1,$A123,$A123))))</f>
        <v>49.79</v>
      </c>
      <c r="H123" s="8">
        <f>IF($A123="","",IF(ISNUMBER(FIND("IMPVOL",H$1)),_xll.BDH(config!$G$4,H$1,WORKDAY($A123,-1,config_Holiday_Calendar_US),WORKDAY($A123,-1,config_Holiday_Calendar_US)),IF(ISNUMBER(_xll.BDH(config!$G$4,H$1,$A123,$A123)),_xll.BDH(config!$G$4,H$1,$A123,$A123),_xll.BDH(config!$G$5,H$1,$A123,$A123))))</f>
        <v>471400</v>
      </c>
      <c r="I123" s="8" t="str">
        <f>IF($A123="","",IF(ISNUMBER(FIND("IMPVOL",I$1)),_xll.BDH(config!$G$4,I$1,WORKDAY($A123,-1,config_Holiday_Calendar_US),WORKDAY($A123,-1,config_Holiday_Calendar_US)),IF(ISNUMBER(_xll.BDH(config!$G$4,I$1,$A123,$A123)),_xll.BDH(config!$G$4,I$1,$A123,$A123),_xll.BDH(config!$G$5,I$1,$A123,$A123))))</f>
        <v>#N/A Requesting Data...</v>
      </c>
      <c r="J123" s="8" t="str">
        <f>IF($A123="","",IF(ISNUMBER(FIND("IMPVOL",J$1)),_xll.BDH(config!$G$4,J$1,WORKDAY($A123,-1,config_Holiday_Calendar_US),WORKDAY($A123,-1,config_Holiday_Calendar_US)),IF(ISNUMBER(_xll.BDH(config!$G$4,J$1,$A123,$A123)),_xll.BDH(config!$G$4,J$1,$A123,$A123),_xll.BDH(config!$G$5,J$1,$A123,$A123))))</f>
        <v>#N/A Requesting Data...</v>
      </c>
      <c r="K123" s="8" t="str">
        <f>IF($A123="","",IF(ISNUMBER(FIND("IMPVOL",K$1)),_xll.BDH(config!$G$4,K$1,WORKDAY($A123,-1,config_Holiday_Calendar_US),WORKDAY($A123,-1,config_Holiday_Calendar_US)),IF(ISNUMBER(_xll.BDH(config!$G$4,K$1,$A123,$A123)),_xll.BDH(config!$G$4,K$1,$A123,$A123),_xll.BDH(config!$G$5,K$1,$A123,$A123))))</f>
        <v>#N/A Requesting Data...</v>
      </c>
      <c r="L123" s="8" t="str">
        <f>IF($A123="","",IF(ISNUMBER(FIND("IMPVOL",L$1)),_xll.BDH(config!$G$4,L$1,WORKDAY($A123,-1,config_Holiday_Calendar_US),WORKDAY($A123,-1,config_Holiday_Calendar_US)),IF(ISNUMBER(_xll.BDH(config!$G$4,L$1,$A123,$A123)),_xll.BDH(config!$G$4,L$1,$A123,$A123),_xll.BDH(config!$G$5,L$1,$A123,$A123))))</f>
        <v>#N/A Requesting Data...</v>
      </c>
      <c r="M123" s="8" t="str">
        <f>IF($A123="","",IF(ISNUMBER(FIND("IMPVOL",M$1)),_xll.BDH(config!$G$4,M$1,WORKDAY($A123,-1,config_Holiday_Calendar_US),WORKDAY($A123,-1,config_Holiday_Calendar_US)),IF(ISNUMBER(_xll.BDH(config!$G$4,M$1,$A123,$A123)),_xll.BDH(config!$G$4,M$1,$A123,$A123),_xll.BDH(config!$G$5,M$1,$A123,$A123))))</f>
        <v>#N/A Requesting Data...</v>
      </c>
      <c r="N123" s="8" t="str">
        <f>IF($A123="","",IF(ISNUMBER(FIND("IMPVOL",N$1)),_xll.BDH(config!$G$4,N$1,WORKDAY($A123,-1,config_Holiday_Calendar_US),WORKDAY($A123,-1,config_Holiday_Calendar_US)),IF(ISNUMBER(_xll.BDH(config!$G$4,N$1,$A123,$A123)),_xll.BDH(config!$G$4,N$1,$A123,$A123),_xll.BDH(config!$G$5,N$1,$A123,$A123))))</f>
        <v>#N/A Requesting Data...</v>
      </c>
      <c r="O123" s="8" t="str">
        <f>IF($A123="","",IF(ISNUMBER(FIND("IMPVOL",O$1)),_xll.BDH(config!$G$4,O$1,WORKDAY($A123,-1,config_Holiday_Calendar_US),WORKDAY($A123,-1,config_Holiday_Calendar_US)),IF(ISNUMBER(_xll.BDH(config!$G$4,O$1,$A123,$A123)),_xll.BDH(config!$G$4,O$1,$A123,$A123),_xll.BDH(config!$G$5,O$1,$A123,$A123))))</f>
        <v>#N/A Requesting Data...</v>
      </c>
      <c r="P123" s="8" t="str">
        <f>IF($A123="","",IF(ISNUMBER(FIND("IMPVOL",P$1)),_xll.BDH(config!$G$4,P$1,WORKDAY($A123,-1,config_Holiday_Calendar_US),WORKDAY($A123,-1,config_Holiday_Calendar_US)),IF(ISNUMBER(_xll.BDH(config!$G$4,P$1,$A123,$A123)),_xll.BDH(config!$G$4,P$1,$A123,$A123),_xll.BDH(config!$G$5,P$1,$A123,$A123))))</f>
        <v>#N/A Requesting Data...</v>
      </c>
      <c r="Q123" s="8">
        <f>IF($A123="","",IF(ISNUMBER(FIND("IMPVOL",Q$1)),_xll.BDH(config!$G$4,Q$1,WORKDAY($A123,-1,config_Holiday_Calendar_US),WORKDAY($A123,-1,config_Holiday_Calendar_US)),IF(ISNUMBER(_xll.BDH(config!$G$4,Q$1,$A123,$A123)),_xll.BDH(config!$G$4,Q$1,$A123,$A123),_xll.BDH(config!$G$5,Q$1,$A123,$A123))))</f>
        <v>24.61</v>
      </c>
      <c r="R123" s="8">
        <f>IF($A123="","",IF(ISNUMBER(FIND("IMPVOL",R$1)),_xll.BDH(config!$G$4,R$1,WORKDAY($A123,-1,config_Holiday_Calendar_US),WORKDAY($A123,-1,config_Holiday_Calendar_US)),IF(ISNUMBER(_xll.BDH(config!$G$4,R$1,$A123,$A123)),_xll.BDH(config!$G$4,R$1,$A123,$A123),_xll.BDH(config!$G$5,R$1,$A123,$A123))))</f>
        <v>39.29</v>
      </c>
      <c r="S123" s="8" t="str">
        <f>IF($A123="","",IF(ISNUMBER(FIND("IMPVOL",S$1)),_xll.BDH(config!$G$4,S$1,WORKDAY($A123,-1,config_Holiday_Calendar_US),WORKDAY($A123,-1,config_Holiday_Calendar_US)),IF(ISNUMBER(_xll.BDH(config!$G$4,S$1,$A123,$A123)),_xll.BDH(config!$G$4,S$1,$A123,$A123),_xll.BDH(config!$G$5,S$1,$A123,$A123))))</f>
        <v>#N/A Requesting Data...</v>
      </c>
      <c r="T123" s="8" t="str">
        <f>IF($A123="","",IF(ISNUMBER(FIND("IMPVOL",T$1)),_xll.BDH(config!$G$4,T$1,WORKDAY($A123,-1,config_Holiday_Calendar_US),WORKDAY($A123,-1,config_Holiday_Calendar_US)),IF(ISNUMBER(_xll.BDH(config!$G$4,T$1,$A123,$A123)),_xll.BDH(config!$G$4,T$1,$A123,$A123),_xll.BDH(config!$G$5,T$1,$A123,$A123))))</f>
        <v>#N/A Requesting Data...</v>
      </c>
      <c r="U123" s="8" t="str">
        <f>IF($A123="","",IF(ISNUMBER(FIND("IMPVOL",U$1)),_xll.BDH(config!$G$4,U$1,WORKDAY($A123,-1,config_Holiday_Calendar_US),WORKDAY($A123,-1,config_Holiday_Calendar_US)),IF(ISNUMBER(_xll.BDH(config!$G$4,U$1,$A123,$A123)),_xll.BDH(config!$G$4,U$1,$A123,$A123),_xll.BDH(config!$G$5,U$1,$A123,$A123))))</f>
        <v>#N/A Requesting Data...</v>
      </c>
      <c r="V123" s="8" t="str">
        <f>IF($A123="","",IF(ISNUMBER(FIND("IMPVOL",V$1)),_xll.BDH(config!$G$4,V$1,WORKDAY($A123,-1,config_Holiday_Calendar_US),WORKDAY($A123,-1,config_Holiday_Calendar_US)),IF(ISNUMBER(_xll.BDH(config!$G$4,V$1,$A123,$A123)),_xll.BDH(config!$G$4,V$1,$A123,$A123),_xll.BDH(config!$G$5,V$1,$A123,$A123))))</f>
        <v>#N/A Requesting Data...</v>
      </c>
      <c r="W123" s="8" t="str">
        <f>IF($A123="","",IF(ISNUMBER(FIND("IMPVOL",W$1)),_xll.BDH(config!$G$4,W$1,WORKDAY($A123,-1,config_Holiday_Calendar_US),WORKDAY($A123,-1,config_Holiday_Calendar_US)),IF(ISNUMBER(_xll.BDH(config!$G$4,W$1,$A123,$A123)),_xll.BDH(config!$G$4,W$1,$A123,$A123),_xll.BDH(config!$G$5,W$1,$A123,$A123))))</f>
        <v>#N/A Requesting Data...</v>
      </c>
    </row>
    <row r="124" spans="1:23" x14ac:dyDescent="0.2">
      <c r="A124" s="9">
        <f>IF(A123="","",IF(WORKDAY(A123,-1,config_Holiday_Calendar_US)&lt;config!$I$10,"",WORKDAY(A123,-1,config_Holiday_Calendar_US)))</f>
        <v>42655</v>
      </c>
      <c r="B124" s="8" t="e">
        <f t="shared" si="1"/>
        <v>#VALUE!</v>
      </c>
      <c r="C124" s="8" t="str">
        <f>IF(A124="","",_xll.BDH(config!$H$4,C$1,$A124,$A124))</f>
        <v>#N/A Requesting Data...</v>
      </c>
      <c r="D124" s="8" t="str">
        <f>IF($A124="","",_xll.BDH(config!$H$4,D$1,$A124,$A124))</f>
        <v>#N/A Requesting Data...</v>
      </c>
      <c r="E124" s="8">
        <f>IF($A124="","",IF(ISNUMBER(FIND("IMPVOL",E$1)),_xll.BDH(config!$G$4,E$1,WORKDAY($A124,-1,config_Holiday_Calendar_US),WORKDAY($A124,-1,config_Holiday_Calendar_US)),IF(ISNUMBER(_xll.BDH(config!$G$4,E$1,$A124,$A124)),_xll.BDH(config!$G$4,E$1,$A124,$A124),_xll.BDH(config!$G$5,E$1,$A124,$A124))))</f>
        <v>50.84</v>
      </c>
      <c r="F124" s="8">
        <f>IF($A124="","",IF(ISNUMBER(FIND("IMPVOL",F$1)),_xll.BDH(config!$G$4,F$1,WORKDAY($A124,-1,config_Holiday_Calendar_US),WORKDAY($A124,-1,config_Holiday_Calendar_US)),IF(ISNUMBER(_xll.BDH(config!$G$4,F$1,$A124,$A124)),_xll.BDH(config!$G$4,F$1,$A124,$A124),_xll.BDH(config!$G$5,F$1,$A124,$A124))))</f>
        <v>51.17</v>
      </c>
      <c r="G124" s="8">
        <f>IF($A124="","",IF(ISNUMBER(FIND("IMPVOL",G$1)),_xll.BDH(config!$G$4,G$1,WORKDAY($A124,-1,config_Holiday_Calendar_US),WORKDAY($A124,-1,config_Holiday_Calendar_US)),IF(ISNUMBER(_xll.BDH(config!$G$4,G$1,$A124,$A124)),_xll.BDH(config!$G$4,G$1,$A124,$A124),_xll.BDH(config!$G$5,G$1,$A124,$A124))))</f>
        <v>50.36</v>
      </c>
      <c r="H124" s="8">
        <f>IF($A124="","",IF(ISNUMBER(FIND("IMPVOL",H$1)),_xll.BDH(config!$G$4,H$1,WORKDAY($A124,-1,config_Holiday_Calendar_US),WORKDAY($A124,-1,config_Holiday_Calendar_US)),IF(ISNUMBER(_xll.BDH(config!$G$4,H$1,$A124,$A124)),_xll.BDH(config!$G$4,H$1,$A124,$A124),_xll.BDH(config!$G$5,H$1,$A124,$A124))))</f>
        <v>278289</v>
      </c>
      <c r="I124" s="8" t="str">
        <f>IF($A124="","",IF(ISNUMBER(FIND("IMPVOL",I$1)),_xll.BDH(config!$G$4,I$1,WORKDAY($A124,-1,config_Holiday_Calendar_US),WORKDAY($A124,-1,config_Holiday_Calendar_US)),IF(ISNUMBER(_xll.BDH(config!$G$4,I$1,$A124,$A124)),_xll.BDH(config!$G$4,I$1,$A124,$A124),_xll.BDH(config!$G$5,I$1,$A124,$A124))))</f>
        <v>#N/A Requesting Data...</v>
      </c>
      <c r="J124" s="8" t="str">
        <f>IF($A124="","",IF(ISNUMBER(FIND("IMPVOL",J$1)),_xll.BDH(config!$G$4,J$1,WORKDAY($A124,-1,config_Holiday_Calendar_US),WORKDAY($A124,-1,config_Holiday_Calendar_US)),IF(ISNUMBER(_xll.BDH(config!$G$4,J$1,$A124,$A124)),_xll.BDH(config!$G$4,J$1,$A124,$A124),_xll.BDH(config!$G$5,J$1,$A124,$A124))))</f>
        <v>#N/A Requesting Data...</v>
      </c>
      <c r="K124" s="8" t="str">
        <f>IF($A124="","",IF(ISNUMBER(FIND("IMPVOL",K$1)),_xll.BDH(config!$G$4,K$1,WORKDAY($A124,-1,config_Holiday_Calendar_US),WORKDAY($A124,-1,config_Holiday_Calendar_US)),IF(ISNUMBER(_xll.BDH(config!$G$4,K$1,$A124,$A124)),_xll.BDH(config!$G$4,K$1,$A124,$A124),_xll.BDH(config!$G$5,K$1,$A124,$A124))))</f>
        <v>#N/A Requesting Data...</v>
      </c>
      <c r="L124" s="8" t="str">
        <f>IF($A124="","",IF(ISNUMBER(FIND("IMPVOL",L$1)),_xll.BDH(config!$G$4,L$1,WORKDAY($A124,-1,config_Holiday_Calendar_US),WORKDAY($A124,-1,config_Holiday_Calendar_US)),IF(ISNUMBER(_xll.BDH(config!$G$4,L$1,$A124,$A124)),_xll.BDH(config!$G$4,L$1,$A124,$A124),_xll.BDH(config!$G$5,L$1,$A124,$A124))))</f>
        <v>#N/A Requesting Data...</v>
      </c>
      <c r="M124" s="8" t="str">
        <f>IF($A124="","",IF(ISNUMBER(FIND("IMPVOL",M$1)),_xll.BDH(config!$G$4,M$1,WORKDAY($A124,-1,config_Holiday_Calendar_US),WORKDAY($A124,-1,config_Holiday_Calendar_US)),IF(ISNUMBER(_xll.BDH(config!$G$4,M$1,$A124,$A124)),_xll.BDH(config!$G$4,M$1,$A124,$A124),_xll.BDH(config!$G$5,M$1,$A124,$A124))))</f>
        <v>#N/A Requesting Data...</v>
      </c>
      <c r="N124" s="8" t="str">
        <f>IF($A124="","",IF(ISNUMBER(FIND("IMPVOL",N$1)),_xll.BDH(config!$G$4,N$1,WORKDAY($A124,-1,config_Holiday_Calendar_US),WORKDAY($A124,-1,config_Holiday_Calendar_US)),IF(ISNUMBER(_xll.BDH(config!$G$4,N$1,$A124,$A124)),_xll.BDH(config!$G$4,N$1,$A124,$A124),_xll.BDH(config!$G$5,N$1,$A124,$A124))))</f>
        <v>#N/A Requesting Data...</v>
      </c>
      <c r="O124" s="8" t="str">
        <f>IF($A124="","",IF(ISNUMBER(FIND("IMPVOL",O$1)),_xll.BDH(config!$G$4,O$1,WORKDAY($A124,-1,config_Holiday_Calendar_US),WORKDAY($A124,-1,config_Holiday_Calendar_US)),IF(ISNUMBER(_xll.BDH(config!$G$4,O$1,$A124,$A124)),_xll.BDH(config!$G$4,O$1,$A124,$A124),_xll.BDH(config!$G$5,O$1,$A124,$A124))))</f>
        <v>#N/A Requesting Data...</v>
      </c>
      <c r="P124" s="8" t="str">
        <f>IF($A124="","",IF(ISNUMBER(FIND("IMPVOL",P$1)),_xll.BDH(config!$G$4,P$1,WORKDAY($A124,-1,config_Holiday_Calendar_US),WORKDAY($A124,-1,config_Holiday_Calendar_US)),IF(ISNUMBER(_xll.BDH(config!$G$4,P$1,$A124,$A124)),_xll.BDH(config!$G$4,P$1,$A124,$A124),_xll.BDH(config!$G$5,P$1,$A124,$A124))))</f>
        <v>#N/A Requesting Data...</v>
      </c>
      <c r="Q124" s="8">
        <f>IF($A124="","",IF(ISNUMBER(FIND("IMPVOL",Q$1)),_xll.BDH(config!$G$4,Q$1,WORKDAY($A124,-1,config_Holiday_Calendar_US),WORKDAY($A124,-1,config_Holiday_Calendar_US)),IF(ISNUMBER(_xll.BDH(config!$G$4,Q$1,$A124,$A124)),_xll.BDH(config!$G$4,Q$1,$A124,$A124),_xll.BDH(config!$G$5,Q$1,$A124,$A124))))</f>
        <v>24.71</v>
      </c>
      <c r="R124" s="8">
        <f>IF($A124="","",IF(ISNUMBER(FIND("IMPVOL",R$1)),_xll.BDH(config!$G$4,R$1,WORKDAY($A124,-1,config_Holiday_Calendar_US),WORKDAY($A124,-1,config_Holiday_Calendar_US)),IF(ISNUMBER(_xll.BDH(config!$G$4,R$1,$A124,$A124)),_xll.BDH(config!$G$4,R$1,$A124,$A124),_xll.BDH(config!$G$5,R$1,$A124,$A124))))</f>
        <v>41.1</v>
      </c>
      <c r="S124" s="8" t="str">
        <f>IF($A124="","",IF(ISNUMBER(FIND("IMPVOL",S$1)),_xll.BDH(config!$G$4,S$1,WORKDAY($A124,-1,config_Holiday_Calendar_US),WORKDAY($A124,-1,config_Holiday_Calendar_US)),IF(ISNUMBER(_xll.BDH(config!$G$4,S$1,$A124,$A124)),_xll.BDH(config!$G$4,S$1,$A124,$A124),_xll.BDH(config!$G$5,S$1,$A124,$A124))))</f>
        <v>#N/A Requesting Data...</v>
      </c>
      <c r="T124" s="8" t="str">
        <f>IF($A124="","",IF(ISNUMBER(FIND("IMPVOL",T$1)),_xll.BDH(config!$G$4,T$1,WORKDAY($A124,-1,config_Holiday_Calendar_US),WORKDAY($A124,-1,config_Holiday_Calendar_US)),IF(ISNUMBER(_xll.BDH(config!$G$4,T$1,$A124,$A124)),_xll.BDH(config!$G$4,T$1,$A124,$A124),_xll.BDH(config!$G$5,T$1,$A124,$A124))))</f>
        <v>#N/A Requesting Data...</v>
      </c>
      <c r="U124" s="8" t="str">
        <f>IF($A124="","",IF(ISNUMBER(FIND("IMPVOL",U$1)),_xll.BDH(config!$G$4,U$1,WORKDAY($A124,-1,config_Holiday_Calendar_US),WORKDAY($A124,-1,config_Holiday_Calendar_US)),IF(ISNUMBER(_xll.BDH(config!$G$4,U$1,$A124,$A124)),_xll.BDH(config!$G$4,U$1,$A124,$A124),_xll.BDH(config!$G$5,U$1,$A124,$A124))))</f>
        <v>#N/A Requesting Data...</v>
      </c>
      <c r="V124" s="8" t="str">
        <f>IF($A124="","",IF(ISNUMBER(FIND("IMPVOL",V$1)),_xll.BDH(config!$G$4,V$1,WORKDAY($A124,-1,config_Holiday_Calendar_US),WORKDAY($A124,-1,config_Holiday_Calendar_US)),IF(ISNUMBER(_xll.BDH(config!$G$4,V$1,$A124,$A124)),_xll.BDH(config!$G$4,V$1,$A124,$A124),_xll.BDH(config!$G$5,V$1,$A124,$A124))))</f>
        <v>#N/A Requesting Data...</v>
      </c>
      <c r="W124" s="8" t="str">
        <f>IF($A124="","",IF(ISNUMBER(FIND("IMPVOL",W$1)),_xll.BDH(config!$G$4,W$1,WORKDAY($A124,-1,config_Holiday_Calendar_US),WORKDAY($A124,-1,config_Holiday_Calendar_US)),IF(ISNUMBER(_xll.BDH(config!$G$4,W$1,$A124,$A124)),_xll.BDH(config!$G$4,W$1,$A124,$A124),_xll.BDH(config!$G$5,W$1,$A124,$A124))))</f>
        <v>#N/A Requesting Data...</v>
      </c>
    </row>
    <row r="125" spans="1:23" x14ac:dyDescent="0.2">
      <c r="A125" s="9">
        <f>IF(A124="","",IF(WORKDAY(A124,-1,config_Holiday_Calendar_US)&lt;config!$I$10,"",WORKDAY(A124,-1,config_Holiday_Calendar_US)))</f>
        <v>42654</v>
      </c>
      <c r="B125" s="8" t="e">
        <f t="shared" si="1"/>
        <v>#VALUE!</v>
      </c>
      <c r="C125" s="8" t="str">
        <f>IF(A125="","",_xll.BDH(config!$H$4,C$1,$A125,$A125))</f>
        <v>#N/A Requesting Data...</v>
      </c>
      <c r="D125" s="8" t="str">
        <f>IF($A125="","",_xll.BDH(config!$H$4,D$1,$A125,$A125))</f>
        <v>#N/A Requesting Data...</v>
      </c>
      <c r="E125" s="8">
        <f>IF($A125="","",IF(ISNUMBER(FIND("IMPVOL",E$1)),_xll.BDH(config!$G$4,E$1,WORKDAY($A125,-1,config_Holiday_Calendar_US),WORKDAY($A125,-1,config_Holiday_Calendar_US)),IF(ISNUMBER(_xll.BDH(config!$G$4,E$1,$A125,$A125)),_xll.BDH(config!$G$4,E$1,$A125,$A125),_xll.BDH(config!$G$5,E$1,$A125,$A125))))</f>
        <v>51.1</v>
      </c>
      <c r="F125" s="8">
        <f>IF($A125="","",IF(ISNUMBER(FIND("IMPVOL",F$1)),_xll.BDH(config!$G$4,F$1,WORKDAY($A125,-1,config_Holiday_Calendar_US),WORKDAY($A125,-1,config_Holiday_Calendar_US)),IF(ISNUMBER(_xll.BDH(config!$G$4,F$1,$A125,$A125)),_xll.BDH(config!$G$4,F$1,$A125,$A125),_xll.BDH(config!$G$5,F$1,$A125,$A125))))</f>
        <v>51.54</v>
      </c>
      <c r="G125" s="8">
        <f>IF($A125="","",IF(ISNUMBER(FIND("IMPVOL",G$1)),_xll.BDH(config!$G$4,G$1,WORKDAY($A125,-1,config_Holiday_Calendar_US),WORKDAY($A125,-1,config_Holiday_Calendar_US)),IF(ISNUMBER(_xll.BDH(config!$G$4,G$1,$A125,$A125)),_xll.BDH(config!$G$4,G$1,$A125,$A125),_xll.BDH(config!$G$5,G$1,$A125,$A125))))</f>
        <v>50.88</v>
      </c>
      <c r="H125" s="8">
        <f>IF($A125="","",IF(ISNUMBER(FIND("IMPVOL",H$1)),_xll.BDH(config!$G$4,H$1,WORKDAY($A125,-1,config_Holiday_Calendar_US),WORKDAY($A125,-1,config_Holiday_Calendar_US)),IF(ISNUMBER(_xll.BDH(config!$G$4,H$1,$A125,$A125)),_xll.BDH(config!$G$4,H$1,$A125,$A125),_xll.BDH(config!$G$5,H$1,$A125,$A125))))</f>
        <v>469052</v>
      </c>
      <c r="I125" s="8" t="str">
        <f>IF($A125="","",IF(ISNUMBER(FIND("IMPVOL",I$1)),_xll.BDH(config!$G$4,I$1,WORKDAY($A125,-1,config_Holiday_Calendar_US),WORKDAY($A125,-1,config_Holiday_Calendar_US)),IF(ISNUMBER(_xll.BDH(config!$G$4,I$1,$A125,$A125)),_xll.BDH(config!$G$4,I$1,$A125,$A125),_xll.BDH(config!$G$5,I$1,$A125,$A125))))</f>
        <v>#N/A Requesting Data...</v>
      </c>
      <c r="J125" s="8" t="str">
        <f>IF($A125="","",IF(ISNUMBER(FIND("IMPVOL",J$1)),_xll.BDH(config!$G$4,J$1,WORKDAY($A125,-1,config_Holiday_Calendar_US),WORKDAY($A125,-1,config_Holiday_Calendar_US)),IF(ISNUMBER(_xll.BDH(config!$G$4,J$1,$A125,$A125)),_xll.BDH(config!$G$4,J$1,$A125,$A125),_xll.BDH(config!$G$5,J$1,$A125,$A125))))</f>
        <v>#N/A Requesting Data...</v>
      </c>
      <c r="K125" s="8" t="str">
        <f>IF($A125="","",IF(ISNUMBER(FIND("IMPVOL",K$1)),_xll.BDH(config!$G$4,K$1,WORKDAY($A125,-1,config_Holiday_Calendar_US),WORKDAY($A125,-1,config_Holiday_Calendar_US)),IF(ISNUMBER(_xll.BDH(config!$G$4,K$1,$A125,$A125)),_xll.BDH(config!$G$4,K$1,$A125,$A125),_xll.BDH(config!$G$5,K$1,$A125,$A125))))</f>
        <v>#N/A Requesting Data...</v>
      </c>
      <c r="L125" s="8" t="str">
        <f>IF($A125="","",IF(ISNUMBER(FIND("IMPVOL",L$1)),_xll.BDH(config!$G$4,L$1,WORKDAY($A125,-1,config_Holiday_Calendar_US),WORKDAY($A125,-1,config_Holiday_Calendar_US)),IF(ISNUMBER(_xll.BDH(config!$G$4,L$1,$A125,$A125)),_xll.BDH(config!$G$4,L$1,$A125,$A125),_xll.BDH(config!$G$5,L$1,$A125,$A125))))</f>
        <v>#N/A Requesting Data...</v>
      </c>
      <c r="M125" s="8" t="str">
        <f>IF($A125="","",IF(ISNUMBER(FIND("IMPVOL",M$1)),_xll.BDH(config!$G$4,M$1,WORKDAY($A125,-1,config_Holiday_Calendar_US),WORKDAY($A125,-1,config_Holiday_Calendar_US)),IF(ISNUMBER(_xll.BDH(config!$G$4,M$1,$A125,$A125)),_xll.BDH(config!$G$4,M$1,$A125,$A125),_xll.BDH(config!$G$5,M$1,$A125,$A125))))</f>
        <v>#N/A Requesting Data...</v>
      </c>
      <c r="N125" s="8" t="str">
        <f>IF($A125="","",IF(ISNUMBER(FIND("IMPVOL",N$1)),_xll.BDH(config!$G$4,N$1,WORKDAY($A125,-1,config_Holiday_Calendar_US),WORKDAY($A125,-1,config_Holiday_Calendar_US)),IF(ISNUMBER(_xll.BDH(config!$G$4,N$1,$A125,$A125)),_xll.BDH(config!$G$4,N$1,$A125,$A125),_xll.BDH(config!$G$5,N$1,$A125,$A125))))</f>
        <v>#N/A Requesting Data...</v>
      </c>
      <c r="O125" s="8" t="str">
        <f>IF($A125="","",IF(ISNUMBER(FIND("IMPVOL",O$1)),_xll.BDH(config!$G$4,O$1,WORKDAY($A125,-1,config_Holiday_Calendar_US),WORKDAY($A125,-1,config_Holiday_Calendar_US)),IF(ISNUMBER(_xll.BDH(config!$G$4,O$1,$A125,$A125)),_xll.BDH(config!$G$4,O$1,$A125,$A125),_xll.BDH(config!$G$5,O$1,$A125,$A125))))</f>
        <v>#N/A Requesting Data...</v>
      </c>
      <c r="P125" s="8" t="str">
        <f>IF($A125="","",IF(ISNUMBER(FIND("IMPVOL",P$1)),_xll.BDH(config!$G$4,P$1,WORKDAY($A125,-1,config_Holiday_Calendar_US),WORKDAY($A125,-1,config_Holiday_Calendar_US)),IF(ISNUMBER(_xll.BDH(config!$G$4,P$1,$A125,$A125)),_xll.BDH(config!$G$4,P$1,$A125,$A125),_xll.BDH(config!$G$5,P$1,$A125,$A125))))</f>
        <v>#N/A Requesting Data...</v>
      </c>
      <c r="Q125" s="8">
        <f>IF($A125="","",IF(ISNUMBER(FIND("IMPVOL",Q$1)),_xll.BDH(config!$G$4,Q$1,WORKDAY($A125,-1,config_Holiday_Calendar_US),WORKDAY($A125,-1,config_Holiday_Calendar_US)),IF(ISNUMBER(_xll.BDH(config!$G$4,Q$1,$A125,$A125)),_xll.BDH(config!$G$4,Q$1,$A125,$A125),_xll.BDH(config!$G$5,Q$1,$A125,$A125))))</f>
        <v>22.98</v>
      </c>
      <c r="R125" s="8">
        <f>IF($A125="","",IF(ISNUMBER(FIND("IMPVOL",R$1)),_xll.BDH(config!$G$4,R$1,WORKDAY($A125,-1,config_Holiday_Calendar_US),WORKDAY($A125,-1,config_Holiday_Calendar_US)),IF(ISNUMBER(_xll.BDH(config!$G$4,R$1,$A125,$A125)),_xll.BDH(config!$G$4,R$1,$A125,$A125),_xll.BDH(config!$G$5,R$1,$A125,$A125))))</f>
        <v>42.6</v>
      </c>
      <c r="S125" s="8" t="str">
        <f>IF($A125="","",IF(ISNUMBER(FIND("IMPVOL",S$1)),_xll.BDH(config!$G$4,S$1,WORKDAY($A125,-1,config_Holiday_Calendar_US),WORKDAY($A125,-1,config_Holiday_Calendar_US)),IF(ISNUMBER(_xll.BDH(config!$G$4,S$1,$A125,$A125)),_xll.BDH(config!$G$4,S$1,$A125,$A125),_xll.BDH(config!$G$5,S$1,$A125,$A125))))</f>
        <v>#N/A Requesting Data...</v>
      </c>
      <c r="T125" s="8" t="str">
        <f>IF($A125="","",IF(ISNUMBER(FIND("IMPVOL",T$1)),_xll.BDH(config!$G$4,T$1,WORKDAY($A125,-1,config_Holiday_Calendar_US),WORKDAY($A125,-1,config_Holiday_Calendar_US)),IF(ISNUMBER(_xll.BDH(config!$G$4,T$1,$A125,$A125)),_xll.BDH(config!$G$4,T$1,$A125,$A125),_xll.BDH(config!$G$5,T$1,$A125,$A125))))</f>
        <v>#N/A Requesting Data...</v>
      </c>
      <c r="U125" s="8" t="str">
        <f>IF($A125="","",IF(ISNUMBER(FIND("IMPVOL",U$1)),_xll.BDH(config!$G$4,U$1,WORKDAY($A125,-1,config_Holiday_Calendar_US),WORKDAY($A125,-1,config_Holiday_Calendar_US)),IF(ISNUMBER(_xll.BDH(config!$G$4,U$1,$A125,$A125)),_xll.BDH(config!$G$4,U$1,$A125,$A125),_xll.BDH(config!$G$5,U$1,$A125,$A125))))</f>
        <v>#N/A Requesting Data...</v>
      </c>
      <c r="V125" s="8" t="str">
        <f>IF($A125="","",IF(ISNUMBER(FIND("IMPVOL",V$1)),_xll.BDH(config!$G$4,V$1,WORKDAY($A125,-1,config_Holiday_Calendar_US),WORKDAY($A125,-1,config_Holiday_Calendar_US)),IF(ISNUMBER(_xll.BDH(config!$G$4,V$1,$A125,$A125)),_xll.BDH(config!$G$4,V$1,$A125,$A125),_xll.BDH(config!$G$5,V$1,$A125,$A125))))</f>
        <v>#N/A Requesting Data...</v>
      </c>
      <c r="W125" s="8" t="str">
        <f>IF($A125="","",IF(ISNUMBER(FIND("IMPVOL",W$1)),_xll.BDH(config!$G$4,W$1,WORKDAY($A125,-1,config_Holiday_Calendar_US),WORKDAY($A125,-1,config_Holiday_Calendar_US)),IF(ISNUMBER(_xll.BDH(config!$G$4,W$1,$A125,$A125)),_xll.BDH(config!$G$4,W$1,$A125,$A125),_xll.BDH(config!$G$5,W$1,$A125,$A125))))</f>
        <v>#N/A Requesting Data...</v>
      </c>
    </row>
    <row r="126" spans="1:23" x14ac:dyDescent="0.2">
      <c r="A126" s="9">
        <f>IF(A125="","",IF(WORKDAY(A125,-1,config_Holiday_Calendar_US)&lt;config!$I$10,"",WORKDAY(A125,-1,config_Holiday_Calendar_US)))</f>
        <v>42650</v>
      </c>
      <c r="B126" s="8" t="e">
        <f t="shared" si="1"/>
        <v>#VALUE!</v>
      </c>
      <c r="C126" s="8" t="str">
        <f>IF(A126="","",_xll.BDH(config!$H$4,C$1,$A126,$A126))</f>
        <v>#N/A Requesting Data...</v>
      </c>
      <c r="D126" s="8" t="str">
        <f>IF($A126="","",_xll.BDH(config!$H$4,D$1,$A126,$A126))</f>
        <v>#N/A Requesting Data...</v>
      </c>
      <c r="E126" s="8">
        <f>IF($A126="","",IF(ISNUMBER(FIND("IMPVOL",E$1)),_xll.BDH(config!$G$4,E$1,WORKDAY($A126,-1,config_Holiday_Calendar_US),WORKDAY($A126,-1,config_Holiday_Calendar_US)),IF(ISNUMBER(_xll.BDH(config!$G$4,E$1,$A126,$A126)),_xll.BDH(config!$G$4,E$1,$A126,$A126),_xll.BDH(config!$G$5,E$1,$A126,$A126))))</f>
        <v>50.59</v>
      </c>
      <c r="F126" s="8">
        <f>IF($A126="","",IF(ISNUMBER(FIND("IMPVOL",F$1)),_xll.BDH(config!$G$4,F$1,WORKDAY($A126,-1,config_Holiday_Calendar_US),WORKDAY($A126,-1,config_Holiday_Calendar_US)),IF(ISNUMBER(_xll.BDH(config!$G$4,F$1,$A126,$A126)),_xll.BDH(config!$G$4,F$1,$A126,$A126),_xll.BDH(config!$G$5,F$1,$A126,$A126))))</f>
        <v>50.74</v>
      </c>
      <c r="G126" s="8">
        <f>IF($A126="","",IF(ISNUMBER(FIND("IMPVOL",G$1)),_xll.BDH(config!$G$4,G$1,WORKDAY($A126,-1,config_Holiday_Calendar_US),WORKDAY($A126,-1,config_Holiday_Calendar_US)),IF(ISNUMBER(_xll.BDH(config!$G$4,G$1,$A126,$A126)),_xll.BDH(config!$G$4,G$1,$A126,$A126),_xll.BDH(config!$G$5,G$1,$A126,$A126))))</f>
        <v>49.96</v>
      </c>
      <c r="H126" s="8">
        <f>IF($A126="","",IF(ISNUMBER(FIND("IMPVOL",H$1)),_xll.BDH(config!$G$4,H$1,WORKDAY($A126,-1,config_Holiday_Calendar_US),WORKDAY($A126,-1,config_Holiday_Calendar_US)),IF(ISNUMBER(_xll.BDH(config!$G$4,H$1,$A126,$A126)),_xll.BDH(config!$G$4,H$1,$A126,$A126),_xll.BDH(config!$G$5,H$1,$A126,$A126))))</f>
        <v>273375</v>
      </c>
      <c r="I126" s="8" t="str">
        <f>IF($A126="","",IF(ISNUMBER(FIND("IMPVOL",I$1)),_xll.BDH(config!$G$4,I$1,WORKDAY($A126,-1,config_Holiday_Calendar_US),WORKDAY($A126,-1,config_Holiday_Calendar_US)),IF(ISNUMBER(_xll.BDH(config!$G$4,I$1,$A126,$A126)),_xll.BDH(config!$G$4,I$1,$A126,$A126),_xll.BDH(config!$G$5,I$1,$A126,$A126))))</f>
        <v>#N/A Requesting Data...</v>
      </c>
      <c r="J126" s="8" t="str">
        <f>IF($A126="","",IF(ISNUMBER(FIND("IMPVOL",J$1)),_xll.BDH(config!$G$4,J$1,WORKDAY($A126,-1,config_Holiday_Calendar_US),WORKDAY($A126,-1,config_Holiday_Calendar_US)),IF(ISNUMBER(_xll.BDH(config!$G$4,J$1,$A126,$A126)),_xll.BDH(config!$G$4,J$1,$A126,$A126),_xll.BDH(config!$G$5,J$1,$A126,$A126))))</f>
        <v>#N/A Requesting Data...</v>
      </c>
      <c r="K126" s="8" t="str">
        <f>IF($A126="","",IF(ISNUMBER(FIND("IMPVOL",K$1)),_xll.BDH(config!$G$4,K$1,WORKDAY($A126,-1,config_Holiday_Calendar_US),WORKDAY($A126,-1,config_Holiday_Calendar_US)),IF(ISNUMBER(_xll.BDH(config!$G$4,K$1,$A126,$A126)),_xll.BDH(config!$G$4,K$1,$A126,$A126),_xll.BDH(config!$G$5,K$1,$A126,$A126))))</f>
        <v>#N/A Requesting Data...</v>
      </c>
      <c r="L126" s="8" t="str">
        <f>IF($A126="","",IF(ISNUMBER(FIND("IMPVOL",L$1)),_xll.BDH(config!$G$4,L$1,WORKDAY($A126,-1,config_Holiday_Calendar_US),WORKDAY($A126,-1,config_Holiday_Calendar_US)),IF(ISNUMBER(_xll.BDH(config!$G$4,L$1,$A126,$A126)),_xll.BDH(config!$G$4,L$1,$A126,$A126),_xll.BDH(config!$G$5,L$1,$A126,$A126))))</f>
        <v>#N/A Requesting Data...</v>
      </c>
      <c r="M126" s="8" t="str">
        <f>IF($A126="","",IF(ISNUMBER(FIND("IMPVOL",M$1)),_xll.BDH(config!$G$4,M$1,WORKDAY($A126,-1,config_Holiday_Calendar_US),WORKDAY($A126,-1,config_Holiday_Calendar_US)),IF(ISNUMBER(_xll.BDH(config!$G$4,M$1,$A126,$A126)),_xll.BDH(config!$G$4,M$1,$A126,$A126),_xll.BDH(config!$G$5,M$1,$A126,$A126))))</f>
        <v>#N/A Requesting Data...</v>
      </c>
      <c r="N126" s="8" t="str">
        <f>IF($A126="","",IF(ISNUMBER(FIND("IMPVOL",N$1)),_xll.BDH(config!$G$4,N$1,WORKDAY($A126,-1,config_Holiday_Calendar_US),WORKDAY($A126,-1,config_Holiday_Calendar_US)),IF(ISNUMBER(_xll.BDH(config!$G$4,N$1,$A126,$A126)),_xll.BDH(config!$G$4,N$1,$A126,$A126),_xll.BDH(config!$G$5,N$1,$A126,$A126))))</f>
        <v>#N/A Requesting Data...</v>
      </c>
      <c r="O126" s="8" t="str">
        <f>IF($A126="","",IF(ISNUMBER(FIND("IMPVOL",O$1)),_xll.BDH(config!$G$4,O$1,WORKDAY($A126,-1,config_Holiday_Calendar_US),WORKDAY($A126,-1,config_Holiday_Calendar_US)),IF(ISNUMBER(_xll.BDH(config!$G$4,O$1,$A126,$A126)),_xll.BDH(config!$G$4,O$1,$A126,$A126),_xll.BDH(config!$G$5,O$1,$A126,$A126))))</f>
        <v>#N/A Requesting Data...</v>
      </c>
      <c r="P126" s="8" t="str">
        <f>IF($A126="","",IF(ISNUMBER(FIND("IMPVOL",P$1)),_xll.BDH(config!$G$4,P$1,WORKDAY($A126,-1,config_Holiday_Calendar_US),WORKDAY($A126,-1,config_Holiday_Calendar_US)),IF(ISNUMBER(_xll.BDH(config!$G$4,P$1,$A126,$A126)),_xll.BDH(config!$G$4,P$1,$A126,$A126),_xll.BDH(config!$G$5,P$1,$A126,$A126))))</f>
        <v>#N/A Requesting Data...</v>
      </c>
      <c r="Q126" s="8">
        <f>IF($A126="","",IF(ISNUMBER(FIND("IMPVOL",Q$1)),_xll.BDH(config!$G$4,Q$1,WORKDAY($A126,-1,config_Holiday_Calendar_US),WORKDAY($A126,-1,config_Holiday_Calendar_US)),IF(ISNUMBER(_xll.BDH(config!$G$4,Q$1,$A126,$A126)),_xll.BDH(config!$G$4,Q$1,$A126,$A126),_xll.BDH(config!$G$5,Q$1,$A126,$A126))))</f>
        <v>35.74</v>
      </c>
      <c r="R126" s="8">
        <f>IF($A126="","",IF(ISNUMBER(FIND("IMPVOL",R$1)),_xll.BDH(config!$G$4,R$1,WORKDAY($A126,-1,config_Holiday_Calendar_US),WORKDAY($A126,-1,config_Holiday_Calendar_US)),IF(ISNUMBER(_xll.BDH(config!$G$4,R$1,$A126,$A126)),_xll.BDH(config!$G$4,R$1,$A126,$A126),_xll.BDH(config!$G$5,R$1,$A126,$A126))))</f>
        <v>42.16</v>
      </c>
      <c r="S126" s="8" t="str">
        <f>IF($A126="","",IF(ISNUMBER(FIND("IMPVOL",S$1)),_xll.BDH(config!$G$4,S$1,WORKDAY($A126,-1,config_Holiday_Calendar_US),WORKDAY($A126,-1,config_Holiday_Calendar_US)),IF(ISNUMBER(_xll.BDH(config!$G$4,S$1,$A126,$A126)),_xll.BDH(config!$G$4,S$1,$A126,$A126),_xll.BDH(config!$G$5,S$1,$A126,$A126))))</f>
        <v>#N/A Requesting Data...</v>
      </c>
      <c r="T126" s="8" t="str">
        <f>IF($A126="","",IF(ISNUMBER(FIND("IMPVOL",T$1)),_xll.BDH(config!$G$4,T$1,WORKDAY($A126,-1,config_Holiday_Calendar_US),WORKDAY($A126,-1,config_Holiday_Calendar_US)),IF(ISNUMBER(_xll.BDH(config!$G$4,T$1,$A126,$A126)),_xll.BDH(config!$G$4,T$1,$A126,$A126),_xll.BDH(config!$G$5,T$1,$A126,$A126))))</f>
        <v>#N/A Requesting Data...</v>
      </c>
      <c r="U126" s="8" t="str">
        <f>IF($A126="","",IF(ISNUMBER(FIND("IMPVOL",U$1)),_xll.BDH(config!$G$4,U$1,WORKDAY($A126,-1,config_Holiday_Calendar_US),WORKDAY($A126,-1,config_Holiday_Calendar_US)),IF(ISNUMBER(_xll.BDH(config!$G$4,U$1,$A126,$A126)),_xll.BDH(config!$G$4,U$1,$A126,$A126),_xll.BDH(config!$G$5,U$1,$A126,$A126))))</f>
        <v>#N/A Requesting Data...</v>
      </c>
      <c r="V126" s="8" t="str">
        <f>IF($A126="","",IF(ISNUMBER(FIND("IMPVOL",V$1)),_xll.BDH(config!$G$4,V$1,WORKDAY($A126,-1,config_Holiday_Calendar_US),WORKDAY($A126,-1,config_Holiday_Calendar_US)),IF(ISNUMBER(_xll.BDH(config!$G$4,V$1,$A126,$A126)),_xll.BDH(config!$G$4,V$1,$A126,$A126),_xll.BDH(config!$G$5,V$1,$A126,$A126))))</f>
        <v>#N/A Requesting Data...</v>
      </c>
      <c r="W126" s="8" t="str">
        <f>IF($A126="","",IF(ISNUMBER(FIND("IMPVOL",W$1)),_xll.BDH(config!$G$4,W$1,WORKDAY($A126,-1,config_Holiday_Calendar_US),WORKDAY($A126,-1,config_Holiday_Calendar_US)),IF(ISNUMBER(_xll.BDH(config!$G$4,W$1,$A126,$A126)),_xll.BDH(config!$G$4,W$1,$A126,$A126),_xll.BDH(config!$G$5,W$1,$A126,$A126))))</f>
        <v>#N/A Requesting Data...</v>
      </c>
    </row>
    <row r="127" spans="1:23" x14ac:dyDescent="0.2">
      <c r="A127" s="9">
        <f>IF(A126="","",IF(WORKDAY(A126,-1,config_Holiday_Calendar_US)&lt;config!$I$10,"",WORKDAY(A126,-1,config_Holiday_Calendar_US)))</f>
        <v>42649</v>
      </c>
      <c r="B127" s="8" t="e">
        <f t="shared" si="1"/>
        <v>#VALUE!</v>
      </c>
      <c r="C127" s="8" t="str">
        <f>IF(A127="","",_xll.BDH(config!$H$4,C$1,$A127,$A127))</f>
        <v>#N/A Requesting Data...</v>
      </c>
      <c r="D127" s="8" t="str">
        <f>IF($A127="","",_xll.BDH(config!$H$4,D$1,$A127,$A127))</f>
        <v>#N/A Requesting Data...</v>
      </c>
      <c r="E127" s="8">
        <f>IF($A127="","",IF(ISNUMBER(FIND("IMPVOL",E$1)),_xll.BDH(config!$G$4,E$1,WORKDAY($A127,-1,config_Holiday_Calendar_US),WORKDAY($A127,-1,config_Holiday_Calendar_US)),IF(ISNUMBER(_xll.BDH(config!$G$4,E$1,$A127,$A127)),_xll.BDH(config!$G$4,E$1,$A127,$A127),_xll.BDH(config!$G$5,E$1,$A127,$A127))))</f>
        <v>49.65</v>
      </c>
      <c r="F127" s="8">
        <f>IF($A127="","",IF(ISNUMBER(FIND("IMPVOL",F$1)),_xll.BDH(config!$G$4,F$1,WORKDAY($A127,-1,config_Holiday_Calendar_US),WORKDAY($A127,-1,config_Holiday_Calendar_US)),IF(ISNUMBER(_xll.BDH(config!$G$4,F$1,$A127,$A127)),_xll.BDH(config!$G$4,F$1,$A127,$A127),_xll.BDH(config!$G$5,F$1,$A127,$A127))))</f>
        <v>50.63</v>
      </c>
      <c r="G127" s="8">
        <f>IF($A127="","",IF(ISNUMBER(FIND("IMPVOL",G$1)),_xll.BDH(config!$G$4,G$1,WORKDAY($A127,-1,config_Holiday_Calendar_US),WORKDAY($A127,-1,config_Holiday_Calendar_US)),IF(ISNUMBER(_xll.BDH(config!$G$4,G$1,$A127,$A127)),_xll.BDH(config!$G$4,G$1,$A127,$A127),_xll.BDH(config!$G$5,G$1,$A127,$A127))))</f>
        <v>49.87</v>
      </c>
      <c r="H127" s="8">
        <f>IF($A127="","",IF(ISNUMBER(FIND("IMPVOL",H$1)),_xll.BDH(config!$G$4,H$1,WORKDAY($A127,-1,config_Holiday_Calendar_US),WORKDAY($A127,-1,config_Holiday_Calendar_US)),IF(ISNUMBER(_xll.BDH(config!$G$4,H$1,$A127,$A127)),_xll.BDH(config!$G$4,H$1,$A127,$A127),_xll.BDH(config!$G$5,H$1,$A127,$A127))))</f>
        <v>258091</v>
      </c>
      <c r="I127" s="8" t="str">
        <f>IF($A127="","",IF(ISNUMBER(FIND("IMPVOL",I$1)),_xll.BDH(config!$G$4,I$1,WORKDAY($A127,-1,config_Holiday_Calendar_US),WORKDAY($A127,-1,config_Holiday_Calendar_US)),IF(ISNUMBER(_xll.BDH(config!$G$4,I$1,$A127,$A127)),_xll.BDH(config!$G$4,I$1,$A127,$A127),_xll.BDH(config!$G$5,I$1,$A127,$A127))))</f>
        <v>#N/A Requesting Data...</v>
      </c>
      <c r="J127" s="8" t="str">
        <f>IF($A127="","",IF(ISNUMBER(FIND("IMPVOL",J$1)),_xll.BDH(config!$G$4,J$1,WORKDAY($A127,-1,config_Holiday_Calendar_US),WORKDAY($A127,-1,config_Holiday_Calendar_US)),IF(ISNUMBER(_xll.BDH(config!$G$4,J$1,$A127,$A127)),_xll.BDH(config!$G$4,J$1,$A127,$A127),_xll.BDH(config!$G$5,J$1,$A127,$A127))))</f>
        <v>#N/A Requesting Data...</v>
      </c>
      <c r="K127" s="8" t="str">
        <f>IF($A127="","",IF(ISNUMBER(FIND("IMPVOL",K$1)),_xll.BDH(config!$G$4,K$1,WORKDAY($A127,-1,config_Holiday_Calendar_US),WORKDAY($A127,-1,config_Holiday_Calendar_US)),IF(ISNUMBER(_xll.BDH(config!$G$4,K$1,$A127,$A127)),_xll.BDH(config!$G$4,K$1,$A127,$A127),_xll.BDH(config!$G$5,K$1,$A127,$A127))))</f>
        <v>#N/A Requesting Data...</v>
      </c>
      <c r="L127" s="8" t="str">
        <f>IF($A127="","",IF(ISNUMBER(FIND("IMPVOL",L$1)),_xll.BDH(config!$G$4,L$1,WORKDAY($A127,-1,config_Holiday_Calendar_US),WORKDAY($A127,-1,config_Holiday_Calendar_US)),IF(ISNUMBER(_xll.BDH(config!$G$4,L$1,$A127,$A127)),_xll.BDH(config!$G$4,L$1,$A127,$A127),_xll.BDH(config!$G$5,L$1,$A127,$A127))))</f>
        <v>#N/A Requesting Data...</v>
      </c>
      <c r="M127" s="8" t="str">
        <f>IF($A127="","",IF(ISNUMBER(FIND("IMPVOL",M$1)),_xll.BDH(config!$G$4,M$1,WORKDAY($A127,-1,config_Holiday_Calendar_US),WORKDAY($A127,-1,config_Holiday_Calendar_US)),IF(ISNUMBER(_xll.BDH(config!$G$4,M$1,$A127,$A127)),_xll.BDH(config!$G$4,M$1,$A127,$A127),_xll.BDH(config!$G$5,M$1,$A127,$A127))))</f>
        <v>#N/A Requesting Data...</v>
      </c>
      <c r="N127" s="8" t="str">
        <f>IF($A127="","",IF(ISNUMBER(FIND("IMPVOL",N$1)),_xll.BDH(config!$G$4,N$1,WORKDAY($A127,-1,config_Holiday_Calendar_US),WORKDAY($A127,-1,config_Holiday_Calendar_US)),IF(ISNUMBER(_xll.BDH(config!$G$4,N$1,$A127,$A127)),_xll.BDH(config!$G$4,N$1,$A127,$A127),_xll.BDH(config!$G$5,N$1,$A127,$A127))))</f>
        <v>#N/A Requesting Data...</v>
      </c>
      <c r="O127" s="8" t="str">
        <f>IF($A127="","",IF(ISNUMBER(FIND("IMPVOL",O$1)),_xll.BDH(config!$G$4,O$1,WORKDAY($A127,-1,config_Holiday_Calendar_US),WORKDAY($A127,-1,config_Holiday_Calendar_US)),IF(ISNUMBER(_xll.BDH(config!$G$4,O$1,$A127,$A127)),_xll.BDH(config!$G$4,O$1,$A127,$A127),_xll.BDH(config!$G$5,O$1,$A127,$A127))))</f>
        <v>#N/A Requesting Data...</v>
      </c>
      <c r="P127" s="8" t="str">
        <f>IF($A127="","",IF(ISNUMBER(FIND("IMPVOL",P$1)),_xll.BDH(config!$G$4,P$1,WORKDAY($A127,-1,config_Holiday_Calendar_US),WORKDAY($A127,-1,config_Holiday_Calendar_US)),IF(ISNUMBER(_xll.BDH(config!$G$4,P$1,$A127,$A127)),_xll.BDH(config!$G$4,P$1,$A127,$A127),_xll.BDH(config!$G$5,P$1,$A127,$A127))))</f>
        <v>#N/A Requesting Data...</v>
      </c>
      <c r="Q127" s="8">
        <f>IF($A127="","",IF(ISNUMBER(FIND("IMPVOL",Q$1)),_xll.BDH(config!$G$4,Q$1,WORKDAY($A127,-1,config_Holiday_Calendar_US),WORKDAY($A127,-1,config_Holiday_Calendar_US)),IF(ISNUMBER(_xll.BDH(config!$G$4,Q$1,$A127,$A127)),_xll.BDH(config!$G$4,Q$1,$A127,$A127),_xll.BDH(config!$G$5,Q$1,$A127,$A127))))</f>
        <v>35.07</v>
      </c>
      <c r="R127" s="8">
        <f>IF($A127="","",IF(ISNUMBER(FIND("IMPVOL",R$1)),_xll.BDH(config!$G$4,R$1,WORKDAY($A127,-1,config_Holiday_Calendar_US),WORKDAY($A127,-1,config_Holiday_Calendar_US)),IF(ISNUMBER(_xll.BDH(config!$G$4,R$1,$A127,$A127)),_xll.BDH(config!$G$4,R$1,$A127,$A127),_xll.BDH(config!$G$5,R$1,$A127,$A127))))</f>
        <v>41.98</v>
      </c>
      <c r="S127" s="8" t="str">
        <f>IF($A127="","",IF(ISNUMBER(FIND("IMPVOL",S$1)),_xll.BDH(config!$G$4,S$1,WORKDAY($A127,-1,config_Holiday_Calendar_US),WORKDAY($A127,-1,config_Holiday_Calendar_US)),IF(ISNUMBER(_xll.BDH(config!$G$4,S$1,$A127,$A127)),_xll.BDH(config!$G$4,S$1,$A127,$A127),_xll.BDH(config!$G$5,S$1,$A127,$A127))))</f>
        <v>#N/A Requesting Data...</v>
      </c>
      <c r="T127" s="8" t="str">
        <f>IF($A127="","",IF(ISNUMBER(FIND("IMPVOL",T$1)),_xll.BDH(config!$G$4,T$1,WORKDAY($A127,-1,config_Holiday_Calendar_US),WORKDAY($A127,-1,config_Holiday_Calendar_US)),IF(ISNUMBER(_xll.BDH(config!$G$4,T$1,$A127,$A127)),_xll.BDH(config!$G$4,T$1,$A127,$A127),_xll.BDH(config!$G$5,T$1,$A127,$A127))))</f>
        <v>#N/A Requesting Data...</v>
      </c>
      <c r="U127" s="8" t="str">
        <f>IF($A127="","",IF(ISNUMBER(FIND("IMPVOL",U$1)),_xll.BDH(config!$G$4,U$1,WORKDAY($A127,-1,config_Holiday_Calendar_US),WORKDAY($A127,-1,config_Holiday_Calendar_US)),IF(ISNUMBER(_xll.BDH(config!$G$4,U$1,$A127,$A127)),_xll.BDH(config!$G$4,U$1,$A127,$A127),_xll.BDH(config!$G$5,U$1,$A127,$A127))))</f>
        <v>#N/A Requesting Data...</v>
      </c>
      <c r="V127" s="8" t="str">
        <f>IF($A127="","",IF(ISNUMBER(FIND("IMPVOL",V$1)),_xll.BDH(config!$G$4,V$1,WORKDAY($A127,-1,config_Holiday_Calendar_US),WORKDAY($A127,-1,config_Holiday_Calendar_US)),IF(ISNUMBER(_xll.BDH(config!$G$4,V$1,$A127,$A127)),_xll.BDH(config!$G$4,V$1,$A127,$A127),_xll.BDH(config!$G$5,V$1,$A127,$A127))))</f>
        <v>#N/A Requesting Data...</v>
      </c>
      <c r="W127" s="8" t="str">
        <f>IF($A127="","",IF(ISNUMBER(FIND("IMPVOL",W$1)),_xll.BDH(config!$G$4,W$1,WORKDAY($A127,-1,config_Holiday_Calendar_US),WORKDAY($A127,-1,config_Holiday_Calendar_US)),IF(ISNUMBER(_xll.BDH(config!$G$4,W$1,$A127,$A127)),_xll.BDH(config!$G$4,W$1,$A127,$A127),_xll.BDH(config!$G$5,W$1,$A127,$A127))))</f>
        <v>#N/A Requesting Data...</v>
      </c>
    </row>
    <row r="128" spans="1:23" x14ac:dyDescent="0.2">
      <c r="A128" s="9">
        <f>IF(A127="","",IF(WORKDAY(A127,-1,config_Holiday_Calendar_US)&lt;config!$I$10,"",WORKDAY(A127,-1,config_Holiday_Calendar_US)))</f>
        <v>42648</v>
      </c>
      <c r="B128" s="8" t="e">
        <f t="shared" si="1"/>
        <v>#VALUE!</v>
      </c>
      <c r="C128" s="8" t="str">
        <f>IF(A128="","",_xll.BDH(config!$H$4,C$1,$A128,$A128))</f>
        <v>#N/A Requesting Data...</v>
      </c>
      <c r="D128" s="8" t="str">
        <f>IF($A128="","",_xll.BDH(config!$H$4,D$1,$A128,$A128))</f>
        <v>#N/A Requesting Data...</v>
      </c>
      <c r="E128" s="8">
        <f>IF($A128="","",IF(ISNUMBER(FIND("IMPVOL",E$1)),_xll.BDH(config!$G$4,E$1,WORKDAY($A128,-1,config_Holiday_Calendar_US),WORKDAY($A128,-1,config_Holiday_Calendar_US)),IF(ISNUMBER(_xll.BDH(config!$G$4,E$1,$A128,$A128)),_xll.BDH(config!$G$4,E$1,$A128,$A128),_xll.BDH(config!$G$5,E$1,$A128,$A128))))</f>
        <v>49.26</v>
      </c>
      <c r="F128" s="8">
        <f>IF($A128="","",IF(ISNUMBER(FIND("IMPVOL",F$1)),_xll.BDH(config!$G$4,F$1,WORKDAY($A128,-1,config_Holiday_Calendar_US),WORKDAY($A128,-1,config_Holiday_Calendar_US)),IF(ISNUMBER(_xll.BDH(config!$G$4,F$1,$A128,$A128)),_xll.BDH(config!$G$4,F$1,$A128,$A128),_xll.BDH(config!$G$5,F$1,$A128,$A128))))</f>
        <v>49.97</v>
      </c>
      <c r="G128" s="8">
        <f>IF($A128="","",IF(ISNUMBER(FIND("IMPVOL",G$1)),_xll.BDH(config!$G$4,G$1,WORKDAY($A128,-1,config_Holiday_Calendar_US),WORKDAY($A128,-1,config_Holiday_Calendar_US)),IF(ISNUMBER(_xll.BDH(config!$G$4,G$1,$A128,$A128)),_xll.BDH(config!$G$4,G$1,$A128,$A128),_xll.BDH(config!$G$5,G$1,$A128,$A128))))</f>
        <v>49.68</v>
      </c>
      <c r="H128" s="8">
        <f>IF($A128="","",IF(ISNUMBER(FIND("IMPVOL",H$1)),_xll.BDH(config!$G$4,H$1,WORKDAY($A128,-1,config_Holiday_Calendar_US),WORKDAY($A128,-1,config_Holiday_Calendar_US)),IF(ISNUMBER(_xll.BDH(config!$G$4,H$1,$A128,$A128)),_xll.BDH(config!$G$4,H$1,$A128,$A128),_xll.BDH(config!$G$5,H$1,$A128,$A128))))</f>
        <v>197367</v>
      </c>
      <c r="I128" s="8" t="str">
        <f>IF($A128="","",IF(ISNUMBER(FIND("IMPVOL",I$1)),_xll.BDH(config!$G$4,I$1,WORKDAY($A128,-1,config_Holiday_Calendar_US),WORKDAY($A128,-1,config_Holiday_Calendar_US)),IF(ISNUMBER(_xll.BDH(config!$G$4,I$1,$A128,$A128)),_xll.BDH(config!$G$4,I$1,$A128,$A128),_xll.BDH(config!$G$5,I$1,$A128,$A128))))</f>
        <v>#N/A Requesting Data...</v>
      </c>
      <c r="J128" s="8" t="str">
        <f>IF($A128="","",IF(ISNUMBER(FIND("IMPVOL",J$1)),_xll.BDH(config!$G$4,J$1,WORKDAY($A128,-1,config_Holiday_Calendar_US),WORKDAY($A128,-1,config_Holiday_Calendar_US)),IF(ISNUMBER(_xll.BDH(config!$G$4,J$1,$A128,$A128)),_xll.BDH(config!$G$4,J$1,$A128,$A128),_xll.BDH(config!$G$5,J$1,$A128,$A128))))</f>
        <v>#N/A Requesting Data...</v>
      </c>
      <c r="K128" s="8" t="str">
        <f>IF($A128="","",IF(ISNUMBER(FIND("IMPVOL",K$1)),_xll.BDH(config!$G$4,K$1,WORKDAY($A128,-1,config_Holiday_Calendar_US),WORKDAY($A128,-1,config_Holiday_Calendar_US)),IF(ISNUMBER(_xll.BDH(config!$G$4,K$1,$A128,$A128)),_xll.BDH(config!$G$4,K$1,$A128,$A128),_xll.BDH(config!$G$5,K$1,$A128,$A128))))</f>
        <v>#N/A Requesting Data...</v>
      </c>
      <c r="L128" s="8" t="str">
        <f>IF($A128="","",IF(ISNUMBER(FIND("IMPVOL",L$1)),_xll.BDH(config!$G$4,L$1,WORKDAY($A128,-1,config_Holiday_Calendar_US),WORKDAY($A128,-1,config_Holiday_Calendar_US)),IF(ISNUMBER(_xll.BDH(config!$G$4,L$1,$A128,$A128)),_xll.BDH(config!$G$4,L$1,$A128,$A128),_xll.BDH(config!$G$5,L$1,$A128,$A128))))</f>
        <v>#N/A Requesting Data...</v>
      </c>
      <c r="M128" s="8" t="str">
        <f>IF($A128="","",IF(ISNUMBER(FIND("IMPVOL",M$1)),_xll.BDH(config!$G$4,M$1,WORKDAY($A128,-1,config_Holiday_Calendar_US),WORKDAY($A128,-1,config_Holiday_Calendar_US)),IF(ISNUMBER(_xll.BDH(config!$G$4,M$1,$A128,$A128)),_xll.BDH(config!$G$4,M$1,$A128,$A128),_xll.BDH(config!$G$5,M$1,$A128,$A128))))</f>
        <v>#N/A Requesting Data...</v>
      </c>
      <c r="N128" s="8" t="str">
        <f>IF($A128="","",IF(ISNUMBER(FIND("IMPVOL",N$1)),_xll.BDH(config!$G$4,N$1,WORKDAY($A128,-1,config_Holiday_Calendar_US),WORKDAY($A128,-1,config_Holiday_Calendar_US)),IF(ISNUMBER(_xll.BDH(config!$G$4,N$1,$A128,$A128)),_xll.BDH(config!$G$4,N$1,$A128,$A128),_xll.BDH(config!$G$5,N$1,$A128,$A128))))</f>
        <v>#N/A Requesting Data...</v>
      </c>
      <c r="O128" s="8" t="str">
        <f>IF($A128="","",IF(ISNUMBER(FIND("IMPVOL",O$1)),_xll.BDH(config!$G$4,O$1,WORKDAY($A128,-1,config_Holiday_Calendar_US),WORKDAY($A128,-1,config_Holiday_Calendar_US)),IF(ISNUMBER(_xll.BDH(config!$G$4,O$1,$A128,$A128)),_xll.BDH(config!$G$4,O$1,$A128,$A128),_xll.BDH(config!$G$5,O$1,$A128,$A128))))</f>
        <v>#N/A Requesting Data...</v>
      </c>
      <c r="P128" s="8" t="str">
        <f>IF($A128="","",IF(ISNUMBER(FIND("IMPVOL",P$1)),_xll.BDH(config!$G$4,P$1,WORKDAY($A128,-1,config_Holiday_Calendar_US),WORKDAY($A128,-1,config_Holiday_Calendar_US)),IF(ISNUMBER(_xll.BDH(config!$G$4,P$1,$A128,$A128)),_xll.BDH(config!$G$4,P$1,$A128,$A128),_xll.BDH(config!$G$5,P$1,$A128,$A128))))</f>
        <v>#N/A Requesting Data...</v>
      </c>
      <c r="Q128" s="8">
        <f>IF($A128="","",IF(ISNUMBER(FIND("IMPVOL",Q$1)),_xll.BDH(config!$G$4,Q$1,WORKDAY($A128,-1,config_Holiday_Calendar_US),WORKDAY($A128,-1,config_Holiday_Calendar_US)),IF(ISNUMBER(_xll.BDH(config!$G$4,Q$1,$A128,$A128)),_xll.BDH(config!$G$4,Q$1,$A128,$A128),_xll.BDH(config!$G$5,Q$1,$A128,$A128))))</f>
        <v>45.27</v>
      </c>
      <c r="R128" s="8">
        <f>IF($A128="","",IF(ISNUMBER(FIND("IMPVOL",R$1)),_xll.BDH(config!$G$4,R$1,WORKDAY($A128,-1,config_Holiday_Calendar_US),WORKDAY($A128,-1,config_Holiday_Calendar_US)),IF(ISNUMBER(_xll.BDH(config!$G$4,R$1,$A128,$A128)),_xll.BDH(config!$G$4,R$1,$A128,$A128),_xll.BDH(config!$G$5,R$1,$A128,$A128))))</f>
        <v>41.97</v>
      </c>
      <c r="S128" s="8" t="str">
        <f>IF($A128="","",IF(ISNUMBER(FIND("IMPVOL",S$1)),_xll.BDH(config!$G$4,S$1,WORKDAY($A128,-1,config_Holiday_Calendar_US),WORKDAY($A128,-1,config_Holiday_Calendar_US)),IF(ISNUMBER(_xll.BDH(config!$G$4,S$1,$A128,$A128)),_xll.BDH(config!$G$4,S$1,$A128,$A128),_xll.BDH(config!$G$5,S$1,$A128,$A128))))</f>
        <v>#N/A Requesting Data...</v>
      </c>
      <c r="T128" s="8" t="str">
        <f>IF($A128="","",IF(ISNUMBER(FIND("IMPVOL",T$1)),_xll.BDH(config!$G$4,T$1,WORKDAY($A128,-1,config_Holiday_Calendar_US),WORKDAY($A128,-1,config_Holiday_Calendar_US)),IF(ISNUMBER(_xll.BDH(config!$G$4,T$1,$A128,$A128)),_xll.BDH(config!$G$4,T$1,$A128,$A128),_xll.BDH(config!$G$5,T$1,$A128,$A128))))</f>
        <v>#N/A Requesting Data...</v>
      </c>
      <c r="U128" s="8" t="str">
        <f>IF($A128="","",IF(ISNUMBER(FIND("IMPVOL",U$1)),_xll.BDH(config!$G$4,U$1,WORKDAY($A128,-1,config_Holiday_Calendar_US),WORKDAY($A128,-1,config_Holiday_Calendar_US)),IF(ISNUMBER(_xll.BDH(config!$G$4,U$1,$A128,$A128)),_xll.BDH(config!$G$4,U$1,$A128,$A128),_xll.BDH(config!$G$5,U$1,$A128,$A128))))</f>
        <v>#N/A Requesting Data...</v>
      </c>
      <c r="V128" s="8" t="str">
        <f>IF($A128="","",IF(ISNUMBER(FIND("IMPVOL",V$1)),_xll.BDH(config!$G$4,V$1,WORKDAY($A128,-1,config_Holiday_Calendar_US),WORKDAY($A128,-1,config_Holiday_Calendar_US)),IF(ISNUMBER(_xll.BDH(config!$G$4,V$1,$A128,$A128)),_xll.BDH(config!$G$4,V$1,$A128,$A128),_xll.BDH(config!$G$5,V$1,$A128,$A128))))</f>
        <v>#N/A Requesting Data...</v>
      </c>
      <c r="W128" s="8" t="str">
        <f>IF($A128="","",IF(ISNUMBER(FIND("IMPVOL",W$1)),_xll.BDH(config!$G$4,W$1,WORKDAY($A128,-1,config_Holiday_Calendar_US),WORKDAY($A128,-1,config_Holiday_Calendar_US)),IF(ISNUMBER(_xll.BDH(config!$G$4,W$1,$A128,$A128)),_xll.BDH(config!$G$4,W$1,$A128,$A128),_xll.BDH(config!$G$5,W$1,$A128,$A128))))</f>
        <v>#N/A Requesting Data...</v>
      </c>
    </row>
    <row r="129" spans="1:23" x14ac:dyDescent="0.2">
      <c r="A129" s="9">
        <f>IF(A128="","",IF(WORKDAY(A128,-1,config_Holiday_Calendar_US)&lt;config!$I$10,"",WORKDAY(A128,-1,config_Holiday_Calendar_US)))</f>
        <v>42647</v>
      </c>
      <c r="B129" s="8" t="e">
        <f t="shared" si="1"/>
        <v>#VALUE!</v>
      </c>
      <c r="C129" s="8" t="str">
        <f>IF(A129="","",_xll.BDH(config!$H$4,C$1,$A129,$A129))</f>
        <v>#N/A Requesting Data...</v>
      </c>
      <c r="D129" s="8" t="str">
        <f>IF($A129="","",_xll.BDH(config!$H$4,D$1,$A129,$A129))</f>
        <v>#N/A Requesting Data...</v>
      </c>
      <c r="E129" s="8">
        <f>IF($A129="","",IF(ISNUMBER(FIND("IMPVOL",E$1)),_xll.BDH(config!$G$4,E$1,WORKDAY($A129,-1,config_Holiday_Calendar_US),WORKDAY($A129,-1,config_Holiday_Calendar_US)),IF(ISNUMBER(_xll.BDH(config!$G$4,E$1,$A129,$A129)),_xll.BDH(config!$G$4,E$1,$A129,$A129),_xll.BDH(config!$G$5,E$1,$A129,$A129))))</f>
        <v>48.65</v>
      </c>
      <c r="F129" s="8">
        <f>IF($A129="","",IF(ISNUMBER(FIND("IMPVOL",F$1)),_xll.BDH(config!$G$4,F$1,WORKDAY($A129,-1,config_Holiday_Calendar_US),WORKDAY($A129,-1,config_Holiday_Calendar_US)),IF(ISNUMBER(_xll.BDH(config!$G$4,F$1,$A129,$A129)),_xll.BDH(config!$G$4,F$1,$A129,$A129),_xll.BDH(config!$G$5,F$1,$A129,$A129))))</f>
        <v>49.26</v>
      </c>
      <c r="G129" s="8">
        <f>IF($A129="","",IF(ISNUMBER(FIND("IMPVOL",G$1)),_xll.BDH(config!$G$4,G$1,WORKDAY($A129,-1,config_Holiday_Calendar_US),WORKDAY($A129,-1,config_Holiday_Calendar_US)),IF(ISNUMBER(_xll.BDH(config!$G$4,G$1,$A129,$A129)),_xll.BDH(config!$G$4,G$1,$A129,$A129),_xll.BDH(config!$G$5,G$1,$A129,$A129))))</f>
        <v>48.85</v>
      </c>
      <c r="H129" s="8">
        <f>IF($A129="","",IF(ISNUMBER(FIND("IMPVOL",H$1)),_xll.BDH(config!$G$4,H$1,WORKDAY($A129,-1,config_Holiday_Calendar_US),WORKDAY($A129,-1,config_Holiday_Calendar_US)),IF(ISNUMBER(_xll.BDH(config!$G$4,H$1,$A129,$A129)),_xll.BDH(config!$G$4,H$1,$A129,$A129),_xll.BDH(config!$G$5,H$1,$A129,$A129))))</f>
        <v>186253</v>
      </c>
      <c r="I129" s="8" t="str">
        <f>IF($A129="","",IF(ISNUMBER(FIND("IMPVOL",I$1)),_xll.BDH(config!$G$4,I$1,WORKDAY($A129,-1,config_Holiday_Calendar_US),WORKDAY($A129,-1,config_Holiday_Calendar_US)),IF(ISNUMBER(_xll.BDH(config!$G$4,I$1,$A129,$A129)),_xll.BDH(config!$G$4,I$1,$A129,$A129),_xll.BDH(config!$G$5,I$1,$A129,$A129))))</f>
        <v>#N/A Requesting Data...</v>
      </c>
      <c r="J129" s="8" t="str">
        <f>IF($A129="","",IF(ISNUMBER(FIND("IMPVOL",J$1)),_xll.BDH(config!$G$4,J$1,WORKDAY($A129,-1,config_Holiday_Calendar_US),WORKDAY($A129,-1,config_Holiday_Calendar_US)),IF(ISNUMBER(_xll.BDH(config!$G$4,J$1,$A129,$A129)),_xll.BDH(config!$G$4,J$1,$A129,$A129),_xll.BDH(config!$G$5,J$1,$A129,$A129))))</f>
        <v>#N/A Requesting Data...</v>
      </c>
      <c r="K129" s="8" t="str">
        <f>IF($A129="","",IF(ISNUMBER(FIND("IMPVOL",K$1)),_xll.BDH(config!$G$4,K$1,WORKDAY($A129,-1,config_Holiday_Calendar_US),WORKDAY($A129,-1,config_Holiday_Calendar_US)),IF(ISNUMBER(_xll.BDH(config!$G$4,K$1,$A129,$A129)),_xll.BDH(config!$G$4,K$1,$A129,$A129),_xll.BDH(config!$G$5,K$1,$A129,$A129))))</f>
        <v>#N/A Requesting Data...</v>
      </c>
      <c r="L129" s="8" t="str">
        <f>IF($A129="","",IF(ISNUMBER(FIND("IMPVOL",L$1)),_xll.BDH(config!$G$4,L$1,WORKDAY($A129,-1,config_Holiday_Calendar_US),WORKDAY($A129,-1,config_Holiday_Calendar_US)),IF(ISNUMBER(_xll.BDH(config!$G$4,L$1,$A129,$A129)),_xll.BDH(config!$G$4,L$1,$A129,$A129),_xll.BDH(config!$G$5,L$1,$A129,$A129))))</f>
        <v>#N/A Requesting Data...</v>
      </c>
      <c r="M129" s="8" t="str">
        <f>IF($A129="","",IF(ISNUMBER(FIND("IMPVOL",M$1)),_xll.BDH(config!$G$4,M$1,WORKDAY($A129,-1,config_Holiday_Calendar_US),WORKDAY($A129,-1,config_Holiday_Calendar_US)),IF(ISNUMBER(_xll.BDH(config!$G$4,M$1,$A129,$A129)),_xll.BDH(config!$G$4,M$1,$A129,$A129),_xll.BDH(config!$G$5,M$1,$A129,$A129))))</f>
        <v>#N/A Requesting Data...</v>
      </c>
      <c r="N129" s="8" t="str">
        <f>IF($A129="","",IF(ISNUMBER(FIND("IMPVOL",N$1)),_xll.BDH(config!$G$4,N$1,WORKDAY($A129,-1,config_Holiday_Calendar_US),WORKDAY($A129,-1,config_Holiday_Calendar_US)),IF(ISNUMBER(_xll.BDH(config!$G$4,N$1,$A129,$A129)),_xll.BDH(config!$G$4,N$1,$A129,$A129),_xll.BDH(config!$G$5,N$1,$A129,$A129))))</f>
        <v>#N/A Requesting Data...</v>
      </c>
      <c r="O129" s="8" t="str">
        <f>IF($A129="","",IF(ISNUMBER(FIND("IMPVOL",O$1)),_xll.BDH(config!$G$4,O$1,WORKDAY($A129,-1,config_Holiday_Calendar_US),WORKDAY($A129,-1,config_Holiday_Calendar_US)),IF(ISNUMBER(_xll.BDH(config!$G$4,O$1,$A129,$A129)),_xll.BDH(config!$G$4,O$1,$A129,$A129),_xll.BDH(config!$G$5,O$1,$A129,$A129))))</f>
        <v>#N/A Requesting Data...</v>
      </c>
      <c r="P129" s="8" t="str">
        <f>IF($A129="","",IF(ISNUMBER(FIND("IMPVOL",P$1)),_xll.BDH(config!$G$4,P$1,WORKDAY($A129,-1,config_Holiday_Calendar_US),WORKDAY($A129,-1,config_Holiday_Calendar_US)),IF(ISNUMBER(_xll.BDH(config!$G$4,P$1,$A129,$A129)),_xll.BDH(config!$G$4,P$1,$A129,$A129),_xll.BDH(config!$G$5,P$1,$A129,$A129))))</f>
        <v>#N/A Requesting Data...</v>
      </c>
      <c r="Q129" s="8">
        <f>IF($A129="","",IF(ISNUMBER(FIND("IMPVOL",Q$1)),_xll.BDH(config!$G$4,Q$1,WORKDAY($A129,-1,config_Holiday_Calendar_US),WORKDAY($A129,-1,config_Holiday_Calendar_US)),IF(ISNUMBER(_xll.BDH(config!$G$4,Q$1,$A129,$A129)),_xll.BDH(config!$G$4,Q$1,$A129,$A129),_xll.BDH(config!$G$5,Q$1,$A129,$A129))))</f>
        <v>45.21</v>
      </c>
      <c r="R129" s="8">
        <f>IF($A129="","",IF(ISNUMBER(FIND("IMPVOL",R$1)),_xll.BDH(config!$G$4,R$1,WORKDAY($A129,-1,config_Holiday_Calendar_US),WORKDAY($A129,-1,config_Holiday_Calendar_US)),IF(ISNUMBER(_xll.BDH(config!$G$4,R$1,$A129,$A129)),_xll.BDH(config!$G$4,R$1,$A129,$A129),_xll.BDH(config!$G$5,R$1,$A129,$A129))))</f>
        <v>42.35</v>
      </c>
      <c r="S129" s="8" t="str">
        <f>IF($A129="","",IF(ISNUMBER(FIND("IMPVOL",S$1)),_xll.BDH(config!$G$4,S$1,WORKDAY($A129,-1,config_Holiday_Calendar_US),WORKDAY($A129,-1,config_Holiday_Calendar_US)),IF(ISNUMBER(_xll.BDH(config!$G$4,S$1,$A129,$A129)),_xll.BDH(config!$G$4,S$1,$A129,$A129),_xll.BDH(config!$G$5,S$1,$A129,$A129))))</f>
        <v>#N/A Requesting Data...</v>
      </c>
      <c r="T129" s="8" t="str">
        <f>IF($A129="","",IF(ISNUMBER(FIND("IMPVOL",T$1)),_xll.BDH(config!$G$4,T$1,WORKDAY($A129,-1,config_Holiday_Calendar_US),WORKDAY($A129,-1,config_Holiday_Calendar_US)),IF(ISNUMBER(_xll.BDH(config!$G$4,T$1,$A129,$A129)),_xll.BDH(config!$G$4,T$1,$A129,$A129),_xll.BDH(config!$G$5,T$1,$A129,$A129))))</f>
        <v>#N/A Requesting Data...</v>
      </c>
      <c r="U129" s="8" t="str">
        <f>IF($A129="","",IF(ISNUMBER(FIND("IMPVOL",U$1)),_xll.BDH(config!$G$4,U$1,WORKDAY($A129,-1,config_Holiday_Calendar_US),WORKDAY($A129,-1,config_Holiday_Calendar_US)),IF(ISNUMBER(_xll.BDH(config!$G$4,U$1,$A129,$A129)),_xll.BDH(config!$G$4,U$1,$A129,$A129),_xll.BDH(config!$G$5,U$1,$A129,$A129))))</f>
        <v>#N/A Requesting Data...</v>
      </c>
      <c r="V129" s="8" t="str">
        <f>IF($A129="","",IF(ISNUMBER(FIND("IMPVOL",V$1)),_xll.BDH(config!$G$4,V$1,WORKDAY($A129,-1,config_Holiday_Calendar_US),WORKDAY($A129,-1,config_Holiday_Calendar_US)),IF(ISNUMBER(_xll.BDH(config!$G$4,V$1,$A129,$A129)),_xll.BDH(config!$G$4,V$1,$A129,$A129),_xll.BDH(config!$G$5,V$1,$A129,$A129))))</f>
        <v>#N/A Requesting Data...</v>
      </c>
      <c r="W129" s="8" t="str">
        <f>IF($A129="","",IF(ISNUMBER(FIND("IMPVOL",W$1)),_xll.BDH(config!$G$4,W$1,WORKDAY($A129,-1,config_Holiday_Calendar_US),WORKDAY($A129,-1,config_Holiday_Calendar_US)),IF(ISNUMBER(_xll.BDH(config!$G$4,W$1,$A129,$A129)),_xll.BDH(config!$G$4,W$1,$A129,$A129),_xll.BDH(config!$G$5,W$1,$A129,$A129))))</f>
        <v>#N/A Requesting Data...</v>
      </c>
    </row>
    <row r="130" spans="1:23" x14ac:dyDescent="0.2">
      <c r="A130" s="9">
        <f>IF(A129="","",IF(WORKDAY(A129,-1,config_Holiday_Calendar_US)&lt;config!$I$10,"",WORKDAY(A129,-1,config_Holiday_Calendar_US)))</f>
        <v>42646</v>
      </c>
      <c r="B130" s="8" t="e">
        <f t="shared" si="1"/>
        <v>#VALUE!</v>
      </c>
      <c r="C130" s="8" t="str">
        <f>IF(A130="","",_xll.BDH(config!$H$4,C$1,$A130,$A130))</f>
        <v>#N/A Requesting Data...</v>
      </c>
      <c r="D130" s="8" t="str">
        <f>IF($A130="","",_xll.BDH(config!$H$4,D$1,$A130,$A130))</f>
        <v>#N/A Requesting Data...</v>
      </c>
      <c r="E130" s="8">
        <f>IF($A130="","",IF(ISNUMBER(FIND("IMPVOL",E$1)),_xll.BDH(config!$G$4,E$1,WORKDAY($A130,-1,config_Holiday_Calendar_US),WORKDAY($A130,-1,config_Holiday_Calendar_US)),IF(ISNUMBER(_xll.BDH(config!$G$4,E$1,$A130,$A130)),_xll.BDH(config!$G$4,E$1,$A130,$A130),_xll.BDH(config!$G$5,E$1,$A130,$A130))))</f>
        <v>48.04</v>
      </c>
      <c r="F130" s="8">
        <f>IF($A130="","",IF(ISNUMBER(FIND("IMPVOL",F$1)),_xll.BDH(config!$G$4,F$1,WORKDAY($A130,-1,config_Holiday_Calendar_US),WORKDAY($A130,-1,config_Holiday_Calendar_US)),IF(ISNUMBER(_xll.BDH(config!$G$4,F$1,$A130,$A130)),_xll.BDH(config!$G$4,F$1,$A130,$A130),_xll.BDH(config!$G$5,F$1,$A130,$A130))))</f>
        <v>49.02</v>
      </c>
      <c r="G130" s="8">
        <f>IF($A130="","",IF(ISNUMBER(FIND("IMPVOL",G$1)),_xll.BDH(config!$G$4,G$1,WORKDAY($A130,-1,config_Holiday_Calendar_US),WORKDAY($A130,-1,config_Holiday_Calendar_US)),IF(ISNUMBER(_xll.BDH(config!$G$4,G$1,$A130,$A130)),_xll.BDH(config!$G$4,G$1,$A130,$A130),_xll.BDH(config!$G$5,G$1,$A130,$A130))))</f>
        <v>48.35</v>
      </c>
      <c r="H130" s="8">
        <f>IF($A130="","",IF(ISNUMBER(FIND("IMPVOL",H$1)),_xll.BDH(config!$G$4,H$1,WORKDAY($A130,-1,config_Holiday_Calendar_US),WORKDAY($A130,-1,config_Holiday_Calendar_US)),IF(ISNUMBER(_xll.BDH(config!$G$4,H$1,$A130,$A130)),_xll.BDH(config!$G$4,H$1,$A130,$A130),_xll.BDH(config!$G$5,H$1,$A130,$A130))))</f>
        <v>144964</v>
      </c>
      <c r="I130" s="8" t="str">
        <f>IF($A130="","",IF(ISNUMBER(FIND("IMPVOL",I$1)),_xll.BDH(config!$G$4,I$1,WORKDAY($A130,-1,config_Holiday_Calendar_US),WORKDAY($A130,-1,config_Holiday_Calendar_US)),IF(ISNUMBER(_xll.BDH(config!$G$4,I$1,$A130,$A130)),_xll.BDH(config!$G$4,I$1,$A130,$A130),_xll.BDH(config!$G$5,I$1,$A130,$A130))))</f>
        <v>#N/A Requesting Data...</v>
      </c>
      <c r="J130" s="8" t="str">
        <f>IF($A130="","",IF(ISNUMBER(FIND("IMPVOL",J$1)),_xll.BDH(config!$G$4,J$1,WORKDAY($A130,-1,config_Holiday_Calendar_US),WORKDAY($A130,-1,config_Holiday_Calendar_US)),IF(ISNUMBER(_xll.BDH(config!$G$4,J$1,$A130,$A130)),_xll.BDH(config!$G$4,J$1,$A130,$A130),_xll.BDH(config!$G$5,J$1,$A130,$A130))))</f>
        <v>#N/A Requesting Data...</v>
      </c>
      <c r="K130" s="8" t="str">
        <f>IF($A130="","",IF(ISNUMBER(FIND("IMPVOL",K$1)),_xll.BDH(config!$G$4,K$1,WORKDAY($A130,-1,config_Holiday_Calendar_US),WORKDAY($A130,-1,config_Holiday_Calendar_US)),IF(ISNUMBER(_xll.BDH(config!$G$4,K$1,$A130,$A130)),_xll.BDH(config!$G$4,K$1,$A130,$A130),_xll.BDH(config!$G$5,K$1,$A130,$A130))))</f>
        <v>#N/A Requesting Data...</v>
      </c>
      <c r="L130" s="8" t="str">
        <f>IF($A130="","",IF(ISNUMBER(FIND("IMPVOL",L$1)),_xll.BDH(config!$G$4,L$1,WORKDAY($A130,-1,config_Holiday_Calendar_US),WORKDAY($A130,-1,config_Holiday_Calendar_US)),IF(ISNUMBER(_xll.BDH(config!$G$4,L$1,$A130,$A130)),_xll.BDH(config!$G$4,L$1,$A130,$A130),_xll.BDH(config!$G$5,L$1,$A130,$A130))))</f>
        <v>#N/A Requesting Data...</v>
      </c>
      <c r="M130" s="8" t="str">
        <f>IF($A130="","",IF(ISNUMBER(FIND("IMPVOL",M$1)),_xll.BDH(config!$G$4,M$1,WORKDAY($A130,-1,config_Holiday_Calendar_US),WORKDAY($A130,-1,config_Holiday_Calendar_US)),IF(ISNUMBER(_xll.BDH(config!$G$4,M$1,$A130,$A130)),_xll.BDH(config!$G$4,M$1,$A130,$A130),_xll.BDH(config!$G$5,M$1,$A130,$A130))))</f>
        <v>#N/A Requesting Data...</v>
      </c>
      <c r="N130" s="8" t="str">
        <f>IF($A130="","",IF(ISNUMBER(FIND("IMPVOL",N$1)),_xll.BDH(config!$G$4,N$1,WORKDAY($A130,-1,config_Holiday_Calendar_US),WORKDAY($A130,-1,config_Holiday_Calendar_US)),IF(ISNUMBER(_xll.BDH(config!$G$4,N$1,$A130,$A130)),_xll.BDH(config!$G$4,N$1,$A130,$A130),_xll.BDH(config!$G$5,N$1,$A130,$A130))))</f>
        <v>#N/A Requesting Data...</v>
      </c>
      <c r="O130" s="8" t="str">
        <f>IF($A130="","",IF(ISNUMBER(FIND("IMPVOL",O$1)),_xll.BDH(config!$G$4,O$1,WORKDAY($A130,-1,config_Holiday_Calendar_US),WORKDAY($A130,-1,config_Holiday_Calendar_US)),IF(ISNUMBER(_xll.BDH(config!$G$4,O$1,$A130,$A130)),_xll.BDH(config!$G$4,O$1,$A130,$A130),_xll.BDH(config!$G$5,O$1,$A130,$A130))))</f>
        <v>#N/A Requesting Data...</v>
      </c>
      <c r="P130" s="8" t="str">
        <f>IF($A130="","",IF(ISNUMBER(FIND("IMPVOL",P$1)),_xll.BDH(config!$G$4,P$1,WORKDAY($A130,-1,config_Holiday_Calendar_US),WORKDAY($A130,-1,config_Holiday_Calendar_US)),IF(ISNUMBER(_xll.BDH(config!$G$4,P$1,$A130,$A130)),_xll.BDH(config!$G$4,P$1,$A130,$A130),_xll.BDH(config!$G$5,P$1,$A130,$A130))))</f>
        <v>#N/A Requesting Data...</v>
      </c>
      <c r="Q130" s="8">
        <f>IF($A130="","",IF(ISNUMBER(FIND("IMPVOL",Q$1)),_xll.BDH(config!$G$4,Q$1,WORKDAY($A130,-1,config_Holiday_Calendar_US),WORKDAY($A130,-1,config_Holiday_Calendar_US)),IF(ISNUMBER(_xll.BDH(config!$G$4,Q$1,$A130,$A130)),_xll.BDH(config!$G$4,Q$1,$A130,$A130),_xll.BDH(config!$G$5,Q$1,$A130,$A130))))</f>
        <v>47.99</v>
      </c>
      <c r="R130" s="8">
        <f>IF($A130="","",IF(ISNUMBER(FIND("IMPVOL",R$1)),_xll.BDH(config!$G$4,R$1,WORKDAY($A130,-1,config_Holiday_Calendar_US),WORKDAY($A130,-1,config_Holiday_Calendar_US)),IF(ISNUMBER(_xll.BDH(config!$G$4,R$1,$A130,$A130)),_xll.BDH(config!$G$4,R$1,$A130,$A130),_xll.BDH(config!$G$5,R$1,$A130,$A130))))</f>
        <v>43.13</v>
      </c>
      <c r="S130" s="8" t="str">
        <f>IF($A130="","",IF(ISNUMBER(FIND("IMPVOL",S$1)),_xll.BDH(config!$G$4,S$1,WORKDAY($A130,-1,config_Holiday_Calendar_US),WORKDAY($A130,-1,config_Holiday_Calendar_US)),IF(ISNUMBER(_xll.BDH(config!$G$4,S$1,$A130,$A130)),_xll.BDH(config!$G$4,S$1,$A130,$A130),_xll.BDH(config!$G$5,S$1,$A130,$A130))))</f>
        <v>#N/A Requesting Data...</v>
      </c>
      <c r="T130" s="8" t="str">
        <f>IF($A130="","",IF(ISNUMBER(FIND("IMPVOL",T$1)),_xll.BDH(config!$G$4,T$1,WORKDAY($A130,-1,config_Holiday_Calendar_US),WORKDAY($A130,-1,config_Holiday_Calendar_US)),IF(ISNUMBER(_xll.BDH(config!$G$4,T$1,$A130,$A130)),_xll.BDH(config!$G$4,T$1,$A130,$A130),_xll.BDH(config!$G$5,T$1,$A130,$A130))))</f>
        <v>#N/A Requesting Data...</v>
      </c>
      <c r="U130" s="8" t="str">
        <f>IF($A130="","",IF(ISNUMBER(FIND("IMPVOL",U$1)),_xll.BDH(config!$G$4,U$1,WORKDAY($A130,-1,config_Holiday_Calendar_US),WORKDAY($A130,-1,config_Holiday_Calendar_US)),IF(ISNUMBER(_xll.BDH(config!$G$4,U$1,$A130,$A130)),_xll.BDH(config!$G$4,U$1,$A130,$A130),_xll.BDH(config!$G$5,U$1,$A130,$A130))))</f>
        <v>#N/A Requesting Data...</v>
      </c>
      <c r="V130" s="8" t="str">
        <f>IF($A130="","",IF(ISNUMBER(FIND("IMPVOL",V$1)),_xll.BDH(config!$G$4,V$1,WORKDAY($A130,-1,config_Holiday_Calendar_US),WORKDAY($A130,-1,config_Holiday_Calendar_US)),IF(ISNUMBER(_xll.BDH(config!$G$4,V$1,$A130,$A130)),_xll.BDH(config!$G$4,V$1,$A130,$A130),_xll.BDH(config!$G$5,V$1,$A130,$A130))))</f>
        <v>#N/A Requesting Data...</v>
      </c>
      <c r="W130" s="8" t="str">
        <f>IF($A130="","",IF(ISNUMBER(FIND("IMPVOL",W$1)),_xll.BDH(config!$G$4,W$1,WORKDAY($A130,-1,config_Holiday_Calendar_US),WORKDAY($A130,-1,config_Holiday_Calendar_US)),IF(ISNUMBER(_xll.BDH(config!$G$4,W$1,$A130,$A130)),_xll.BDH(config!$G$4,W$1,$A130,$A130),_xll.BDH(config!$G$5,W$1,$A130,$A130))))</f>
        <v>#N/A Requesting Data...</v>
      </c>
    </row>
    <row r="131" spans="1:23" x14ac:dyDescent="0.2">
      <c r="A131" s="9">
        <f>IF(A130="","",IF(WORKDAY(A130,-1,config_Holiday_Calendar_US)&lt;config!$I$10,"",WORKDAY(A130,-1,config_Holiday_Calendar_US)))</f>
        <v>42643</v>
      </c>
      <c r="B131" s="8" t="e">
        <f t="shared" ref="B131:B194" si="2">IF(A131="","",IF(SIGN(C131)=1,1,0))</f>
        <v>#VALUE!</v>
      </c>
      <c r="C131" s="8" t="str">
        <f>IF(A131="","",_xll.BDH(config!$H$4,C$1,$A131,$A131))</f>
        <v>#N/A Requesting Data...</v>
      </c>
      <c r="D131" s="8" t="str">
        <f>IF($A131="","",_xll.BDH(config!$H$4,D$1,$A131,$A131))</f>
        <v>#N/A Requesting Data...</v>
      </c>
      <c r="E131" s="8">
        <f>IF($A131="","",IF(ISNUMBER(FIND("IMPVOL",E$1)),_xll.BDH(config!$G$4,E$1,WORKDAY($A131,-1,config_Holiday_Calendar_US),WORKDAY($A131,-1,config_Holiday_Calendar_US)),IF(ISNUMBER(_xll.BDH(config!$G$4,E$1,$A131,$A131)),_xll.BDH(config!$G$4,E$1,$A131,$A131),_xll.BDH(config!$G$5,E$1,$A131,$A131))))</f>
        <v>47.76</v>
      </c>
      <c r="F131" s="8">
        <f>IF($A131="","",IF(ISNUMBER(FIND("IMPVOL",F$1)),_xll.BDH(config!$G$4,F$1,WORKDAY($A131,-1,config_Holiday_Calendar_US),WORKDAY($A131,-1,config_Holiday_Calendar_US)),IF(ISNUMBER(_xll.BDH(config!$G$4,F$1,$A131,$A131)),_xll.BDH(config!$G$4,F$1,$A131,$A131),_xll.BDH(config!$G$5,F$1,$A131,$A131))))</f>
        <v>48.3</v>
      </c>
      <c r="G131" s="8">
        <f>IF($A131="","",IF(ISNUMBER(FIND("IMPVOL",G$1)),_xll.BDH(config!$G$4,G$1,WORKDAY($A131,-1,config_Holiday_Calendar_US),WORKDAY($A131,-1,config_Holiday_Calendar_US)),IF(ISNUMBER(_xll.BDH(config!$G$4,G$1,$A131,$A131)),_xll.BDH(config!$G$4,G$1,$A131,$A131),_xll.BDH(config!$G$5,G$1,$A131,$A131))))</f>
        <v>47.61</v>
      </c>
      <c r="H131" s="8">
        <f>IF($A131="","",IF(ISNUMBER(FIND("IMPVOL",H$1)),_xll.BDH(config!$G$4,H$1,WORKDAY($A131,-1,config_Holiday_Calendar_US),WORKDAY($A131,-1,config_Holiday_Calendar_US)),IF(ISNUMBER(_xll.BDH(config!$G$4,H$1,$A131,$A131)),_xll.BDH(config!$G$4,H$1,$A131,$A131),_xll.BDH(config!$G$5,H$1,$A131,$A131))))</f>
        <v>155198</v>
      </c>
      <c r="I131" s="8" t="str">
        <f>IF($A131="","",IF(ISNUMBER(FIND("IMPVOL",I$1)),_xll.BDH(config!$G$4,I$1,WORKDAY($A131,-1,config_Holiday_Calendar_US),WORKDAY($A131,-1,config_Holiday_Calendar_US)),IF(ISNUMBER(_xll.BDH(config!$G$4,I$1,$A131,$A131)),_xll.BDH(config!$G$4,I$1,$A131,$A131),_xll.BDH(config!$G$5,I$1,$A131,$A131))))</f>
        <v>#N/A Requesting Data...</v>
      </c>
      <c r="J131" s="8" t="str">
        <f>IF($A131="","",IF(ISNUMBER(FIND("IMPVOL",J$1)),_xll.BDH(config!$G$4,J$1,WORKDAY($A131,-1,config_Holiday_Calendar_US),WORKDAY($A131,-1,config_Holiday_Calendar_US)),IF(ISNUMBER(_xll.BDH(config!$G$4,J$1,$A131,$A131)),_xll.BDH(config!$G$4,J$1,$A131,$A131),_xll.BDH(config!$G$5,J$1,$A131,$A131))))</f>
        <v>#N/A Requesting Data...</v>
      </c>
      <c r="K131" s="8" t="str">
        <f>IF($A131="","",IF(ISNUMBER(FIND("IMPVOL",K$1)),_xll.BDH(config!$G$4,K$1,WORKDAY($A131,-1,config_Holiday_Calendar_US),WORKDAY($A131,-1,config_Holiday_Calendar_US)),IF(ISNUMBER(_xll.BDH(config!$G$4,K$1,$A131,$A131)),_xll.BDH(config!$G$4,K$1,$A131,$A131),_xll.BDH(config!$G$5,K$1,$A131,$A131))))</f>
        <v>#N/A Requesting Data...</v>
      </c>
      <c r="L131" s="8" t="str">
        <f>IF($A131="","",IF(ISNUMBER(FIND("IMPVOL",L$1)),_xll.BDH(config!$G$4,L$1,WORKDAY($A131,-1,config_Holiday_Calendar_US),WORKDAY($A131,-1,config_Holiday_Calendar_US)),IF(ISNUMBER(_xll.BDH(config!$G$4,L$1,$A131,$A131)),_xll.BDH(config!$G$4,L$1,$A131,$A131),_xll.BDH(config!$G$5,L$1,$A131,$A131))))</f>
        <v>#N/A Requesting Data...</v>
      </c>
      <c r="M131" s="8" t="str">
        <f>IF($A131="","",IF(ISNUMBER(FIND("IMPVOL",M$1)),_xll.BDH(config!$G$4,M$1,WORKDAY($A131,-1,config_Holiday_Calendar_US),WORKDAY($A131,-1,config_Holiday_Calendar_US)),IF(ISNUMBER(_xll.BDH(config!$G$4,M$1,$A131,$A131)),_xll.BDH(config!$G$4,M$1,$A131,$A131),_xll.BDH(config!$G$5,M$1,$A131,$A131))))</f>
        <v>#N/A Requesting Data...</v>
      </c>
      <c r="N131" s="8" t="str">
        <f>IF($A131="","",IF(ISNUMBER(FIND("IMPVOL",N$1)),_xll.BDH(config!$G$4,N$1,WORKDAY($A131,-1,config_Holiday_Calendar_US),WORKDAY($A131,-1,config_Holiday_Calendar_US)),IF(ISNUMBER(_xll.BDH(config!$G$4,N$1,$A131,$A131)),_xll.BDH(config!$G$4,N$1,$A131,$A131),_xll.BDH(config!$G$5,N$1,$A131,$A131))))</f>
        <v>#N/A Requesting Data...</v>
      </c>
      <c r="O131" s="8" t="str">
        <f>IF($A131="","",IF(ISNUMBER(FIND("IMPVOL",O$1)),_xll.BDH(config!$G$4,O$1,WORKDAY($A131,-1,config_Holiday_Calendar_US),WORKDAY($A131,-1,config_Holiday_Calendar_US)),IF(ISNUMBER(_xll.BDH(config!$G$4,O$1,$A131,$A131)),_xll.BDH(config!$G$4,O$1,$A131,$A131),_xll.BDH(config!$G$5,O$1,$A131,$A131))))</f>
        <v>#N/A Requesting Data...</v>
      </c>
      <c r="P131" s="8" t="str">
        <f>IF($A131="","",IF(ISNUMBER(FIND("IMPVOL",P$1)),_xll.BDH(config!$G$4,P$1,WORKDAY($A131,-1,config_Holiday_Calendar_US),WORKDAY($A131,-1,config_Holiday_Calendar_US)),IF(ISNUMBER(_xll.BDH(config!$G$4,P$1,$A131,$A131)),_xll.BDH(config!$G$4,P$1,$A131,$A131),_xll.BDH(config!$G$5,P$1,$A131,$A131))))</f>
        <v>#N/A Requesting Data...</v>
      </c>
      <c r="Q131" s="8">
        <f>IF($A131="","",IF(ISNUMBER(FIND("IMPVOL",Q$1)),_xll.BDH(config!$G$4,Q$1,WORKDAY($A131,-1,config_Holiday_Calendar_US),WORKDAY($A131,-1,config_Holiday_Calendar_US)),IF(ISNUMBER(_xll.BDH(config!$G$4,Q$1,$A131,$A131)),_xll.BDH(config!$G$4,Q$1,$A131,$A131),_xll.BDH(config!$G$5,Q$1,$A131,$A131))))</f>
        <v>48.2</v>
      </c>
      <c r="R131" s="8">
        <f>IF($A131="","",IF(ISNUMBER(FIND("IMPVOL",R$1)),_xll.BDH(config!$G$4,R$1,WORKDAY($A131,-1,config_Holiday_Calendar_US),WORKDAY($A131,-1,config_Holiday_Calendar_US)),IF(ISNUMBER(_xll.BDH(config!$G$4,R$1,$A131,$A131)),_xll.BDH(config!$G$4,R$1,$A131,$A131),_xll.BDH(config!$G$5,R$1,$A131,$A131))))</f>
        <v>44.36</v>
      </c>
      <c r="S131" s="8" t="str">
        <f>IF($A131="","",IF(ISNUMBER(FIND("IMPVOL",S$1)),_xll.BDH(config!$G$4,S$1,WORKDAY($A131,-1,config_Holiday_Calendar_US),WORKDAY($A131,-1,config_Holiday_Calendar_US)),IF(ISNUMBER(_xll.BDH(config!$G$4,S$1,$A131,$A131)),_xll.BDH(config!$G$4,S$1,$A131,$A131),_xll.BDH(config!$G$5,S$1,$A131,$A131))))</f>
        <v>#N/A Requesting Data...</v>
      </c>
      <c r="T131" s="8" t="str">
        <f>IF($A131="","",IF(ISNUMBER(FIND("IMPVOL",T$1)),_xll.BDH(config!$G$4,T$1,WORKDAY($A131,-1,config_Holiday_Calendar_US),WORKDAY($A131,-1,config_Holiday_Calendar_US)),IF(ISNUMBER(_xll.BDH(config!$G$4,T$1,$A131,$A131)),_xll.BDH(config!$G$4,T$1,$A131,$A131),_xll.BDH(config!$G$5,T$1,$A131,$A131))))</f>
        <v>#N/A Requesting Data...</v>
      </c>
      <c r="U131" s="8" t="str">
        <f>IF($A131="","",IF(ISNUMBER(FIND("IMPVOL",U$1)),_xll.BDH(config!$G$4,U$1,WORKDAY($A131,-1,config_Holiday_Calendar_US),WORKDAY($A131,-1,config_Holiday_Calendar_US)),IF(ISNUMBER(_xll.BDH(config!$G$4,U$1,$A131,$A131)),_xll.BDH(config!$G$4,U$1,$A131,$A131),_xll.BDH(config!$G$5,U$1,$A131,$A131))))</f>
        <v>#N/A Requesting Data...</v>
      </c>
      <c r="V131" s="8" t="str">
        <f>IF($A131="","",IF(ISNUMBER(FIND("IMPVOL",V$1)),_xll.BDH(config!$G$4,V$1,WORKDAY($A131,-1,config_Holiday_Calendar_US),WORKDAY($A131,-1,config_Holiday_Calendar_US)),IF(ISNUMBER(_xll.BDH(config!$G$4,V$1,$A131,$A131)),_xll.BDH(config!$G$4,V$1,$A131,$A131),_xll.BDH(config!$G$5,V$1,$A131,$A131))))</f>
        <v>#N/A Requesting Data...</v>
      </c>
      <c r="W131" s="8" t="str">
        <f>IF($A131="","",IF(ISNUMBER(FIND("IMPVOL",W$1)),_xll.BDH(config!$G$4,W$1,WORKDAY($A131,-1,config_Holiday_Calendar_US),WORKDAY($A131,-1,config_Holiday_Calendar_US)),IF(ISNUMBER(_xll.BDH(config!$G$4,W$1,$A131,$A131)),_xll.BDH(config!$G$4,W$1,$A131,$A131),_xll.BDH(config!$G$5,W$1,$A131,$A131))))</f>
        <v>#N/A Requesting Data...</v>
      </c>
    </row>
    <row r="132" spans="1:23" x14ac:dyDescent="0.2">
      <c r="A132" s="9">
        <f>IF(A131="","",IF(WORKDAY(A131,-1,config_Holiday_Calendar_US)&lt;config!$I$10,"",WORKDAY(A131,-1,config_Holiday_Calendar_US)))</f>
        <v>42642</v>
      </c>
      <c r="B132" s="8" t="e">
        <f t="shared" si="2"/>
        <v>#VALUE!</v>
      </c>
      <c r="C132" s="8" t="str">
        <f>IF(A132="","",_xll.BDH(config!$H$4,C$1,$A132,$A132))</f>
        <v>#N/A Requesting Data...</v>
      </c>
      <c r="D132" s="8" t="str">
        <f>IF($A132="","",_xll.BDH(config!$H$4,D$1,$A132,$A132))</f>
        <v>#N/A Requesting Data...</v>
      </c>
      <c r="E132" s="8">
        <f>IF($A132="","",IF(ISNUMBER(FIND("IMPVOL",E$1)),_xll.BDH(config!$G$4,E$1,WORKDAY($A132,-1,config_Holiday_Calendar_US),WORKDAY($A132,-1,config_Holiday_Calendar_US)),IF(ISNUMBER(_xll.BDH(config!$G$4,E$1,$A132,$A132)),_xll.BDH(config!$G$4,E$1,$A132,$A132),_xll.BDH(config!$G$5,E$1,$A132,$A132))))</f>
        <v>47.2</v>
      </c>
      <c r="F132" s="8">
        <f>IF($A132="","",IF(ISNUMBER(FIND("IMPVOL",F$1)),_xll.BDH(config!$G$4,F$1,WORKDAY($A132,-1,config_Holiday_Calendar_US),WORKDAY($A132,-1,config_Holiday_Calendar_US)),IF(ISNUMBER(_xll.BDH(config!$G$4,F$1,$A132,$A132)),_xll.BDH(config!$G$4,F$1,$A132,$A132),_xll.BDH(config!$G$5,F$1,$A132,$A132))))</f>
        <v>48.32</v>
      </c>
      <c r="G132" s="8">
        <f>IF($A132="","",IF(ISNUMBER(FIND("IMPVOL",G$1)),_xll.BDH(config!$G$4,G$1,WORKDAY($A132,-1,config_Holiday_Calendar_US),WORKDAY($A132,-1,config_Holiday_Calendar_US)),IF(ISNUMBER(_xll.BDH(config!$G$4,G$1,$A132,$A132)),_xll.BDH(config!$G$4,G$1,$A132,$A132),_xll.BDH(config!$G$5,G$1,$A132,$A132))))</f>
        <v>47.16</v>
      </c>
      <c r="H132" s="8">
        <f>IF($A132="","",IF(ISNUMBER(FIND("IMPVOL",H$1)),_xll.BDH(config!$G$4,H$1,WORKDAY($A132,-1,config_Holiday_Calendar_US),WORKDAY($A132,-1,config_Holiday_Calendar_US)),IF(ISNUMBER(_xll.BDH(config!$G$4,H$1,$A132,$A132)),_xll.BDH(config!$G$4,H$1,$A132,$A132),_xll.BDH(config!$G$5,H$1,$A132,$A132))))</f>
        <v>241839</v>
      </c>
      <c r="I132" s="8" t="str">
        <f>IF($A132="","",IF(ISNUMBER(FIND("IMPVOL",I$1)),_xll.BDH(config!$G$4,I$1,WORKDAY($A132,-1,config_Holiday_Calendar_US),WORKDAY($A132,-1,config_Holiday_Calendar_US)),IF(ISNUMBER(_xll.BDH(config!$G$4,I$1,$A132,$A132)),_xll.BDH(config!$G$4,I$1,$A132,$A132),_xll.BDH(config!$G$5,I$1,$A132,$A132))))</f>
        <v>#N/A Requesting Data...</v>
      </c>
      <c r="J132" s="8" t="str">
        <f>IF($A132="","",IF(ISNUMBER(FIND("IMPVOL",J$1)),_xll.BDH(config!$G$4,J$1,WORKDAY($A132,-1,config_Holiday_Calendar_US),WORKDAY($A132,-1,config_Holiday_Calendar_US)),IF(ISNUMBER(_xll.BDH(config!$G$4,J$1,$A132,$A132)),_xll.BDH(config!$G$4,J$1,$A132,$A132),_xll.BDH(config!$G$5,J$1,$A132,$A132))))</f>
        <v>#N/A Requesting Data...</v>
      </c>
      <c r="K132" s="8" t="str">
        <f>IF($A132="","",IF(ISNUMBER(FIND("IMPVOL",K$1)),_xll.BDH(config!$G$4,K$1,WORKDAY($A132,-1,config_Holiday_Calendar_US),WORKDAY($A132,-1,config_Holiday_Calendar_US)),IF(ISNUMBER(_xll.BDH(config!$G$4,K$1,$A132,$A132)),_xll.BDH(config!$G$4,K$1,$A132,$A132),_xll.BDH(config!$G$5,K$1,$A132,$A132))))</f>
        <v>#N/A Requesting Data...</v>
      </c>
      <c r="L132" s="8" t="str">
        <f>IF($A132="","",IF(ISNUMBER(FIND("IMPVOL",L$1)),_xll.BDH(config!$G$4,L$1,WORKDAY($A132,-1,config_Holiday_Calendar_US),WORKDAY($A132,-1,config_Holiday_Calendar_US)),IF(ISNUMBER(_xll.BDH(config!$G$4,L$1,$A132,$A132)),_xll.BDH(config!$G$4,L$1,$A132,$A132),_xll.BDH(config!$G$5,L$1,$A132,$A132))))</f>
        <v>#N/A Requesting Data...</v>
      </c>
      <c r="M132" s="8" t="str">
        <f>IF($A132="","",IF(ISNUMBER(FIND("IMPVOL",M$1)),_xll.BDH(config!$G$4,M$1,WORKDAY($A132,-1,config_Holiday_Calendar_US),WORKDAY($A132,-1,config_Holiday_Calendar_US)),IF(ISNUMBER(_xll.BDH(config!$G$4,M$1,$A132,$A132)),_xll.BDH(config!$G$4,M$1,$A132,$A132),_xll.BDH(config!$G$5,M$1,$A132,$A132))))</f>
        <v>#N/A Requesting Data...</v>
      </c>
      <c r="N132" s="8" t="str">
        <f>IF($A132="","",IF(ISNUMBER(FIND("IMPVOL",N$1)),_xll.BDH(config!$G$4,N$1,WORKDAY($A132,-1,config_Holiday_Calendar_US),WORKDAY($A132,-1,config_Holiday_Calendar_US)),IF(ISNUMBER(_xll.BDH(config!$G$4,N$1,$A132,$A132)),_xll.BDH(config!$G$4,N$1,$A132,$A132),_xll.BDH(config!$G$5,N$1,$A132,$A132))))</f>
        <v>#N/A Requesting Data...</v>
      </c>
      <c r="O132" s="8" t="str">
        <f>IF($A132="","",IF(ISNUMBER(FIND("IMPVOL",O$1)),_xll.BDH(config!$G$4,O$1,WORKDAY($A132,-1,config_Holiday_Calendar_US),WORKDAY($A132,-1,config_Holiday_Calendar_US)),IF(ISNUMBER(_xll.BDH(config!$G$4,O$1,$A132,$A132)),_xll.BDH(config!$G$4,O$1,$A132,$A132),_xll.BDH(config!$G$5,O$1,$A132,$A132))))</f>
        <v>#N/A Requesting Data...</v>
      </c>
      <c r="P132" s="8" t="str">
        <f>IF($A132="","",IF(ISNUMBER(FIND("IMPVOL",P$1)),_xll.BDH(config!$G$4,P$1,WORKDAY($A132,-1,config_Holiday_Calendar_US),WORKDAY($A132,-1,config_Holiday_Calendar_US)),IF(ISNUMBER(_xll.BDH(config!$G$4,P$1,$A132,$A132)),_xll.BDH(config!$G$4,P$1,$A132,$A132),_xll.BDH(config!$G$5,P$1,$A132,$A132))))</f>
        <v>#N/A Requesting Data...</v>
      </c>
      <c r="Q132" s="8">
        <f>IF($A132="","",IF(ISNUMBER(FIND("IMPVOL",Q$1)),_xll.BDH(config!$G$4,Q$1,WORKDAY($A132,-1,config_Holiday_Calendar_US),WORKDAY($A132,-1,config_Holiday_Calendar_US)),IF(ISNUMBER(_xll.BDH(config!$G$4,Q$1,$A132,$A132)),_xll.BDH(config!$G$4,Q$1,$A132,$A132),_xll.BDH(config!$G$5,Q$1,$A132,$A132))))</f>
        <v>48.3</v>
      </c>
      <c r="R132" s="8">
        <f>IF($A132="","",IF(ISNUMBER(FIND("IMPVOL",R$1)),_xll.BDH(config!$G$4,R$1,WORKDAY($A132,-1,config_Holiday_Calendar_US),WORKDAY($A132,-1,config_Holiday_Calendar_US)),IF(ISNUMBER(_xll.BDH(config!$G$4,R$1,$A132,$A132)),_xll.BDH(config!$G$4,R$1,$A132,$A132),_xll.BDH(config!$G$5,R$1,$A132,$A132))))</f>
        <v>44.3</v>
      </c>
      <c r="S132" s="8" t="str">
        <f>IF($A132="","",IF(ISNUMBER(FIND("IMPVOL",S$1)),_xll.BDH(config!$G$4,S$1,WORKDAY($A132,-1,config_Holiday_Calendar_US),WORKDAY($A132,-1,config_Holiday_Calendar_US)),IF(ISNUMBER(_xll.BDH(config!$G$4,S$1,$A132,$A132)),_xll.BDH(config!$G$4,S$1,$A132,$A132),_xll.BDH(config!$G$5,S$1,$A132,$A132))))</f>
        <v>#N/A Requesting Data...</v>
      </c>
      <c r="T132" s="8" t="str">
        <f>IF($A132="","",IF(ISNUMBER(FIND("IMPVOL",T$1)),_xll.BDH(config!$G$4,T$1,WORKDAY($A132,-1,config_Holiday_Calendar_US),WORKDAY($A132,-1,config_Holiday_Calendar_US)),IF(ISNUMBER(_xll.BDH(config!$G$4,T$1,$A132,$A132)),_xll.BDH(config!$G$4,T$1,$A132,$A132),_xll.BDH(config!$G$5,T$1,$A132,$A132))))</f>
        <v>#N/A Requesting Data...</v>
      </c>
      <c r="U132" s="8" t="str">
        <f>IF($A132="","",IF(ISNUMBER(FIND("IMPVOL",U$1)),_xll.BDH(config!$G$4,U$1,WORKDAY($A132,-1,config_Holiday_Calendar_US),WORKDAY($A132,-1,config_Holiday_Calendar_US)),IF(ISNUMBER(_xll.BDH(config!$G$4,U$1,$A132,$A132)),_xll.BDH(config!$G$4,U$1,$A132,$A132),_xll.BDH(config!$G$5,U$1,$A132,$A132))))</f>
        <v>#N/A Requesting Data...</v>
      </c>
      <c r="V132" s="8" t="str">
        <f>IF($A132="","",IF(ISNUMBER(FIND("IMPVOL",V$1)),_xll.BDH(config!$G$4,V$1,WORKDAY($A132,-1,config_Holiday_Calendar_US),WORKDAY($A132,-1,config_Holiday_Calendar_US)),IF(ISNUMBER(_xll.BDH(config!$G$4,V$1,$A132,$A132)),_xll.BDH(config!$G$4,V$1,$A132,$A132),_xll.BDH(config!$G$5,V$1,$A132,$A132))))</f>
        <v>#N/A Requesting Data...</v>
      </c>
      <c r="W132" s="8" t="str">
        <f>IF($A132="","",IF(ISNUMBER(FIND("IMPVOL",W$1)),_xll.BDH(config!$G$4,W$1,WORKDAY($A132,-1,config_Holiday_Calendar_US),WORKDAY($A132,-1,config_Holiday_Calendar_US)),IF(ISNUMBER(_xll.BDH(config!$G$4,W$1,$A132,$A132)),_xll.BDH(config!$G$4,W$1,$A132,$A132),_xll.BDH(config!$G$5,W$1,$A132,$A132))))</f>
        <v>#N/A Requesting Data...</v>
      </c>
    </row>
    <row r="133" spans="1:23" x14ac:dyDescent="0.2">
      <c r="A133" s="9">
        <f>IF(A132="","",IF(WORKDAY(A132,-1,config_Holiday_Calendar_US)&lt;config!$I$10,"",WORKDAY(A132,-1,config_Holiday_Calendar_US)))</f>
        <v>42641</v>
      </c>
      <c r="B133" s="8" t="e">
        <f t="shared" si="2"/>
        <v>#VALUE!</v>
      </c>
      <c r="C133" s="8" t="str">
        <f>IF(A133="","",_xll.BDH(config!$H$4,C$1,$A133,$A133))</f>
        <v>#N/A Requesting Data...</v>
      </c>
      <c r="D133" s="8" t="str">
        <f>IF($A133="","",_xll.BDH(config!$H$4,D$1,$A133,$A133))</f>
        <v>#N/A Requesting Data...</v>
      </c>
      <c r="E133" s="8">
        <f>IF($A133="","",IF(ISNUMBER(FIND("IMPVOL",E$1)),_xll.BDH(config!$G$4,E$1,WORKDAY($A133,-1,config_Holiday_Calendar_US),WORKDAY($A133,-1,config_Holiday_Calendar_US)),IF(ISNUMBER(_xll.BDH(config!$G$4,E$1,$A133,$A133)),_xll.BDH(config!$G$4,E$1,$A133,$A133),_xll.BDH(config!$G$5,E$1,$A133,$A133))))</f>
        <v>44.96</v>
      </c>
      <c r="F133" s="8">
        <f>IF($A133="","",IF(ISNUMBER(FIND("IMPVOL",F$1)),_xll.BDH(config!$G$4,F$1,WORKDAY($A133,-1,config_Holiday_Calendar_US),WORKDAY($A133,-1,config_Holiday_Calendar_US)),IF(ISNUMBER(_xll.BDH(config!$G$4,F$1,$A133,$A133)),_xll.BDH(config!$G$4,F$1,$A133,$A133),_xll.BDH(config!$G$5,F$1,$A133,$A133))))</f>
        <v>47.45</v>
      </c>
      <c r="G133" s="8">
        <f>IF($A133="","",IF(ISNUMBER(FIND("IMPVOL",G$1)),_xll.BDH(config!$G$4,G$1,WORKDAY($A133,-1,config_Holiday_Calendar_US),WORKDAY($A133,-1,config_Holiday_Calendar_US)),IF(ISNUMBER(_xll.BDH(config!$G$4,G$1,$A133,$A133)),_xll.BDH(config!$G$4,G$1,$A133,$A133),_xll.BDH(config!$G$5,G$1,$A133,$A133))))</f>
        <v>44.94</v>
      </c>
      <c r="H133" s="8">
        <f>IF($A133="","",IF(ISNUMBER(FIND("IMPVOL",H$1)),_xll.BDH(config!$G$4,H$1,WORKDAY($A133,-1,config_Holiday_Calendar_US),WORKDAY($A133,-1,config_Holiday_Calendar_US)),IF(ISNUMBER(_xll.BDH(config!$G$4,H$1,$A133,$A133)),_xll.BDH(config!$G$4,H$1,$A133,$A133),_xll.BDH(config!$G$5,H$1,$A133,$A133))))</f>
        <v>317053</v>
      </c>
      <c r="I133" s="8" t="str">
        <f>IF($A133="","",IF(ISNUMBER(FIND("IMPVOL",I$1)),_xll.BDH(config!$G$4,I$1,WORKDAY($A133,-1,config_Holiday_Calendar_US),WORKDAY($A133,-1,config_Holiday_Calendar_US)),IF(ISNUMBER(_xll.BDH(config!$G$4,I$1,$A133,$A133)),_xll.BDH(config!$G$4,I$1,$A133,$A133),_xll.BDH(config!$G$5,I$1,$A133,$A133))))</f>
        <v>#N/A Requesting Data...</v>
      </c>
      <c r="J133" s="8" t="str">
        <f>IF($A133="","",IF(ISNUMBER(FIND("IMPVOL",J$1)),_xll.BDH(config!$G$4,J$1,WORKDAY($A133,-1,config_Holiday_Calendar_US),WORKDAY($A133,-1,config_Holiday_Calendar_US)),IF(ISNUMBER(_xll.BDH(config!$G$4,J$1,$A133,$A133)),_xll.BDH(config!$G$4,J$1,$A133,$A133),_xll.BDH(config!$G$5,J$1,$A133,$A133))))</f>
        <v>#N/A Requesting Data...</v>
      </c>
      <c r="K133" s="8" t="str">
        <f>IF($A133="","",IF(ISNUMBER(FIND("IMPVOL",K$1)),_xll.BDH(config!$G$4,K$1,WORKDAY($A133,-1,config_Holiday_Calendar_US),WORKDAY($A133,-1,config_Holiday_Calendar_US)),IF(ISNUMBER(_xll.BDH(config!$G$4,K$1,$A133,$A133)),_xll.BDH(config!$G$4,K$1,$A133,$A133),_xll.BDH(config!$G$5,K$1,$A133,$A133))))</f>
        <v>#N/A Requesting Data...</v>
      </c>
      <c r="L133" s="8" t="str">
        <f>IF($A133="","",IF(ISNUMBER(FIND("IMPVOL",L$1)),_xll.BDH(config!$G$4,L$1,WORKDAY($A133,-1,config_Holiday_Calendar_US),WORKDAY($A133,-1,config_Holiday_Calendar_US)),IF(ISNUMBER(_xll.BDH(config!$G$4,L$1,$A133,$A133)),_xll.BDH(config!$G$4,L$1,$A133,$A133),_xll.BDH(config!$G$5,L$1,$A133,$A133))))</f>
        <v>#N/A Requesting Data...</v>
      </c>
      <c r="M133" s="8" t="str">
        <f>IF($A133="","",IF(ISNUMBER(FIND("IMPVOL",M$1)),_xll.BDH(config!$G$4,M$1,WORKDAY($A133,-1,config_Holiday_Calendar_US),WORKDAY($A133,-1,config_Holiday_Calendar_US)),IF(ISNUMBER(_xll.BDH(config!$G$4,M$1,$A133,$A133)),_xll.BDH(config!$G$4,M$1,$A133,$A133),_xll.BDH(config!$G$5,M$1,$A133,$A133))))</f>
        <v>#N/A Requesting Data...</v>
      </c>
      <c r="N133" s="8" t="str">
        <f>IF($A133="","",IF(ISNUMBER(FIND("IMPVOL",N$1)),_xll.BDH(config!$G$4,N$1,WORKDAY($A133,-1,config_Holiday_Calendar_US),WORKDAY($A133,-1,config_Holiday_Calendar_US)),IF(ISNUMBER(_xll.BDH(config!$G$4,N$1,$A133,$A133)),_xll.BDH(config!$G$4,N$1,$A133,$A133),_xll.BDH(config!$G$5,N$1,$A133,$A133))))</f>
        <v>#N/A Requesting Data...</v>
      </c>
      <c r="O133" s="8" t="str">
        <f>IF($A133="","",IF(ISNUMBER(FIND("IMPVOL",O$1)),_xll.BDH(config!$G$4,O$1,WORKDAY($A133,-1,config_Holiday_Calendar_US),WORKDAY($A133,-1,config_Holiday_Calendar_US)),IF(ISNUMBER(_xll.BDH(config!$G$4,O$1,$A133,$A133)),_xll.BDH(config!$G$4,O$1,$A133,$A133),_xll.BDH(config!$G$5,O$1,$A133,$A133))))</f>
        <v>#N/A Requesting Data...</v>
      </c>
      <c r="P133" s="8" t="str">
        <f>IF($A133="","",IF(ISNUMBER(FIND("IMPVOL",P$1)),_xll.BDH(config!$G$4,P$1,WORKDAY($A133,-1,config_Holiday_Calendar_US),WORKDAY($A133,-1,config_Holiday_Calendar_US)),IF(ISNUMBER(_xll.BDH(config!$G$4,P$1,$A133,$A133)),_xll.BDH(config!$G$4,P$1,$A133,$A133),_xll.BDH(config!$G$5,P$1,$A133,$A133))))</f>
        <v>#N/A Requesting Data...</v>
      </c>
      <c r="Q133" s="8">
        <f>IF($A133="","",IF(ISNUMBER(FIND("IMPVOL",Q$1)),_xll.BDH(config!$G$4,Q$1,WORKDAY($A133,-1,config_Holiday_Calendar_US),WORKDAY($A133,-1,config_Holiday_Calendar_US)),IF(ISNUMBER(_xll.BDH(config!$G$4,Q$1,$A133,$A133)),_xll.BDH(config!$G$4,Q$1,$A133,$A133),_xll.BDH(config!$G$5,Q$1,$A133,$A133))))</f>
        <v>51.12</v>
      </c>
      <c r="R133" s="8">
        <f>IF($A133="","",IF(ISNUMBER(FIND("IMPVOL",R$1)),_xll.BDH(config!$G$4,R$1,WORKDAY($A133,-1,config_Holiday_Calendar_US),WORKDAY($A133,-1,config_Holiday_Calendar_US)),IF(ISNUMBER(_xll.BDH(config!$G$4,R$1,$A133,$A133)),_xll.BDH(config!$G$4,R$1,$A133,$A133),_xll.BDH(config!$G$5,R$1,$A133,$A133))))</f>
        <v>44.89</v>
      </c>
      <c r="S133" s="8" t="str">
        <f>IF($A133="","",IF(ISNUMBER(FIND("IMPVOL",S$1)),_xll.BDH(config!$G$4,S$1,WORKDAY($A133,-1,config_Holiday_Calendar_US),WORKDAY($A133,-1,config_Holiday_Calendar_US)),IF(ISNUMBER(_xll.BDH(config!$G$4,S$1,$A133,$A133)),_xll.BDH(config!$G$4,S$1,$A133,$A133),_xll.BDH(config!$G$5,S$1,$A133,$A133))))</f>
        <v>#N/A Requesting Data...</v>
      </c>
      <c r="T133" s="8" t="str">
        <f>IF($A133="","",IF(ISNUMBER(FIND("IMPVOL",T$1)),_xll.BDH(config!$G$4,T$1,WORKDAY($A133,-1,config_Holiday_Calendar_US),WORKDAY($A133,-1,config_Holiday_Calendar_US)),IF(ISNUMBER(_xll.BDH(config!$G$4,T$1,$A133,$A133)),_xll.BDH(config!$G$4,T$1,$A133,$A133),_xll.BDH(config!$G$5,T$1,$A133,$A133))))</f>
        <v>#N/A Requesting Data...</v>
      </c>
      <c r="U133" s="8" t="str">
        <f>IF($A133="","",IF(ISNUMBER(FIND("IMPVOL",U$1)),_xll.BDH(config!$G$4,U$1,WORKDAY($A133,-1,config_Holiday_Calendar_US),WORKDAY($A133,-1,config_Holiday_Calendar_US)),IF(ISNUMBER(_xll.BDH(config!$G$4,U$1,$A133,$A133)),_xll.BDH(config!$G$4,U$1,$A133,$A133),_xll.BDH(config!$G$5,U$1,$A133,$A133))))</f>
        <v>#N/A Requesting Data...</v>
      </c>
      <c r="V133" s="8" t="str">
        <f>IF($A133="","",IF(ISNUMBER(FIND("IMPVOL",V$1)),_xll.BDH(config!$G$4,V$1,WORKDAY($A133,-1,config_Holiday_Calendar_US),WORKDAY($A133,-1,config_Holiday_Calendar_US)),IF(ISNUMBER(_xll.BDH(config!$G$4,V$1,$A133,$A133)),_xll.BDH(config!$G$4,V$1,$A133,$A133),_xll.BDH(config!$G$5,V$1,$A133,$A133))))</f>
        <v>#N/A Requesting Data...</v>
      </c>
      <c r="W133" s="8" t="str">
        <f>IF($A133="","",IF(ISNUMBER(FIND("IMPVOL",W$1)),_xll.BDH(config!$G$4,W$1,WORKDAY($A133,-1,config_Holiday_Calendar_US),WORKDAY($A133,-1,config_Holiday_Calendar_US)),IF(ISNUMBER(_xll.BDH(config!$G$4,W$1,$A133,$A133)),_xll.BDH(config!$G$4,W$1,$A133,$A133),_xll.BDH(config!$G$5,W$1,$A133,$A133))))</f>
        <v>#N/A Requesting Data...</v>
      </c>
    </row>
    <row r="134" spans="1:23" x14ac:dyDescent="0.2">
      <c r="A134" s="9">
        <f>IF(A133="","",IF(WORKDAY(A133,-1,config_Holiday_Calendar_US)&lt;config!$I$10,"",WORKDAY(A133,-1,config_Holiday_Calendar_US)))</f>
        <v>42640</v>
      </c>
      <c r="B134" s="8" t="e">
        <f t="shared" si="2"/>
        <v>#VALUE!</v>
      </c>
      <c r="C134" s="8" t="str">
        <f>IF(A134="","",_xll.BDH(config!$H$4,C$1,$A134,$A134))</f>
        <v>#N/A Requesting Data...</v>
      </c>
      <c r="D134" s="8" t="str">
        <f>IF($A134="","",_xll.BDH(config!$H$4,D$1,$A134,$A134))</f>
        <v>#N/A Requesting Data...</v>
      </c>
      <c r="E134" s="8">
        <f>IF($A134="","",IF(ISNUMBER(FIND("IMPVOL",E$1)),_xll.BDH(config!$G$4,E$1,WORKDAY($A134,-1,config_Holiday_Calendar_US),WORKDAY($A134,-1,config_Holiday_Calendar_US)),IF(ISNUMBER(_xll.BDH(config!$G$4,E$1,$A134,$A134)),_xll.BDH(config!$G$4,E$1,$A134,$A134),_xll.BDH(config!$G$5,E$1,$A134,$A134))))</f>
        <v>45.62</v>
      </c>
      <c r="F134" s="8">
        <f>IF($A134="","",IF(ISNUMBER(FIND("IMPVOL",F$1)),_xll.BDH(config!$G$4,F$1,WORKDAY($A134,-1,config_Holiday_Calendar_US),WORKDAY($A134,-1,config_Holiday_Calendar_US)),IF(ISNUMBER(_xll.BDH(config!$G$4,F$1,$A134,$A134)),_xll.BDH(config!$G$4,F$1,$A134,$A134),_xll.BDH(config!$G$5,F$1,$A134,$A134))))</f>
        <v>45.96</v>
      </c>
      <c r="G134" s="8">
        <f>IF($A134="","",IF(ISNUMBER(FIND("IMPVOL",G$1)),_xll.BDH(config!$G$4,G$1,WORKDAY($A134,-1,config_Holiday_Calendar_US),WORKDAY($A134,-1,config_Holiday_Calendar_US)),IF(ISNUMBER(_xll.BDH(config!$G$4,G$1,$A134,$A134)),_xll.BDH(config!$G$4,G$1,$A134,$A134),_xll.BDH(config!$G$5,G$1,$A134,$A134))))</f>
        <v>44.76</v>
      </c>
      <c r="H134" s="8">
        <f>IF($A134="","",IF(ISNUMBER(FIND("IMPVOL",H$1)),_xll.BDH(config!$G$4,H$1,WORKDAY($A134,-1,config_Holiday_Calendar_US),WORKDAY($A134,-1,config_Holiday_Calendar_US)),IF(ISNUMBER(_xll.BDH(config!$G$4,H$1,$A134,$A134)),_xll.BDH(config!$G$4,H$1,$A134,$A134),_xll.BDH(config!$G$5,H$1,$A134,$A134))))</f>
        <v>157518</v>
      </c>
      <c r="I134" s="8" t="str">
        <f>IF($A134="","",IF(ISNUMBER(FIND("IMPVOL",I$1)),_xll.BDH(config!$G$4,I$1,WORKDAY($A134,-1,config_Holiday_Calendar_US),WORKDAY($A134,-1,config_Holiday_Calendar_US)),IF(ISNUMBER(_xll.BDH(config!$G$4,I$1,$A134,$A134)),_xll.BDH(config!$G$4,I$1,$A134,$A134),_xll.BDH(config!$G$5,I$1,$A134,$A134))))</f>
        <v>#N/A Requesting Data...</v>
      </c>
      <c r="J134" s="8" t="str">
        <f>IF($A134="","",IF(ISNUMBER(FIND("IMPVOL",J$1)),_xll.BDH(config!$G$4,J$1,WORKDAY($A134,-1,config_Holiday_Calendar_US),WORKDAY($A134,-1,config_Holiday_Calendar_US)),IF(ISNUMBER(_xll.BDH(config!$G$4,J$1,$A134,$A134)),_xll.BDH(config!$G$4,J$1,$A134,$A134),_xll.BDH(config!$G$5,J$1,$A134,$A134))))</f>
        <v>#N/A Requesting Data...</v>
      </c>
      <c r="K134" s="8" t="str">
        <f>IF($A134="","",IF(ISNUMBER(FIND("IMPVOL",K$1)),_xll.BDH(config!$G$4,K$1,WORKDAY($A134,-1,config_Holiday_Calendar_US),WORKDAY($A134,-1,config_Holiday_Calendar_US)),IF(ISNUMBER(_xll.BDH(config!$G$4,K$1,$A134,$A134)),_xll.BDH(config!$G$4,K$1,$A134,$A134),_xll.BDH(config!$G$5,K$1,$A134,$A134))))</f>
        <v>#N/A Requesting Data...</v>
      </c>
      <c r="L134" s="8" t="str">
        <f>IF($A134="","",IF(ISNUMBER(FIND("IMPVOL",L$1)),_xll.BDH(config!$G$4,L$1,WORKDAY($A134,-1,config_Holiday_Calendar_US),WORKDAY($A134,-1,config_Holiday_Calendar_US)),IF(ISNUMBER(_xll.BDH(config!$G$4,L$1,$A134,$A134)),_xll.BDH(config!$G$4,L$1,$A134,$A134),_xll.BDH(config!$G$5,L$1,$A134,$A134))))</f>
        <v>#N/A Requesting Data...</v>
      </c>
      <c r="M134" s="8" t="str">
        <f>IF($A134="","",IF(ISNUMBER(FIND("IMPVOL",M$1)),_xll.BDH(config!$G$4,M$1,WORKDAY($A134,-1,config_Holiday_Calendar_US),WORKDAY($A134,-1,config_Holiday_Calendar_US)),IF(ISNUMBER(_xll.BDH(config!$G$4,M$1,$A134,$A134)),_xll.BDH(config!$G$4,M$1,$A134,$A134),_xll.BDH(config!$G$5,M$1,$A134,$A134))))</f>
        <v>#N/A Requesting Data...</v>
      </c>
      <c r="N134" s="8" t="str">
        <f>IF($A134="","",IF(ISNUMBER(FIND("IMPVOL",N$1)),_xll.BDH(config!$G$4,N$1,WORKDAY($A134,-1,config_Holiday_Calendar_US),WORKDAY($A134,-1,config_Holiday_Calendar_US)),IF(ISNUMBER(_xll.BDH(config!$G$4,N$1,$A134,$A134)),_xll.BDH(config!$G$4,N$1,$A134,$A134),_xll.BDH(config!$G$5,N$1,$A134,$A134))))</f>
        <v>#N/A Requesting Data...</v>
      </c>
      <c r="O134" s="8" t="str">
        <f>IF($A134="","",IF(ISNUMBER(FIND("IMPVOL",O$1)),_xll.BDH(config!$G$4,O$1,WORKDAY($A134,-1,config_Holiday_Calendar_US),WORKDAY($A134,-1,config_Holiday_Calendar_US)),IF(ISNUMBER(_xll.BDH(config!$G$4,O$1,$A134,$A134)),_xll.BDH(config!$G$4,O$1,$A134,$A134),_xll.BDH(config!$G$5,O$1,$A134,$A134))))</f>
        <v>#N/A Requesting Data...</v>
      </c>
      <c r="P134" s="8" t="str">
        <f>IF($A134="","",IF(ISNUMBER(FIND("IMPVOL",P$1)),_xll.BDH(config!$G$4,P$1,WORKDAY($A134,-1,config_Holiday_Calendar_US),WORKDAY($A134,-1,config_Holiday_Calendar_US)),IF(ISNUMBER(_xll.BDH(config!$G$4,P$1,$A134,$A134)),_xll.BDH(config!$G$4,P$1,$A134,$A134),_xll.BDH(config!$G$5,P$1,$A134,$A134))))</f>
        <v>#N/A Requesting Data...</v>
      </c>
      <c r="Q134" s="8">
        <f>IF($A134="","",IF(ISNUMBER(FIND("IMPVOL",Q$1)),_xll.BDH(config!$G$4,Q$1,WORKDAY($A134,-1,config_Holiday_Calendar_US),WORKDAY($A134,-1,config_Holiday_Calendar_US)),IF(ISNUMBER(_xll.BDH(config!$G$4,Q$1,$A134,$A134)),_xll.BDH(config!$G$4,Q$1,$A134,$A134),_xll.BDH(config!$G$5,Q$1,$A134,$A134))))</f>
        <v>43.65</v>
      </c>
      <c r="R134" s="8">
        <f>IF($A134="","",IF(ISNUMBER(FIND("IMPVOL",R$1)),_xll.BDH(config!$G$4,R$1,WORKDAY($A134,-1,config_Holiday_Calendar_US),WORKDAY($A134,-1,config_Holiday_Calendar_US)),IF(ISNUMBER(_xll.BDH(config!$G$4,R$1,$A134,$A134)),_xll.BDH(config!$G$4,R$1,$A134,$A134),_xll.BDH(config!$G$5,R$1,$A134,$A134))))</f>
        <v>41.99</v>
      </c>
      <c r="S134" s="8" t="str">
        <f>IF($A134="","",IF(ISNUMBER(FIND("IMPVOL",S$1)),_xll.BDH(config!$G$4,S$1,WORKDAY($A134,-1,config_Holiday_Calendar_US),WORKDAY($A134,-1,config_Holiday_Calendar_US)),IF(ISNUMBER(_xll.BDH(config!$G$4,S$1,$A134,$A134)),_xll.BDH(config!$G$4,S$1,$A134,$A134),_xll.BDH(config!$G$5,S$1,$A134,$A134))))</f>
        <v>#N/A Requesting Data...</v>
      </c>
      <c r="T134" s="8" t="str">
        <f>IF($A134="","",IF(ISNUMBER(FIND("IMPVOL",T$1)),_xll.BDH(config!$G$4,T$1,WORKDAY($A134,-1,config_Holiday_Calendar_US),WORKDAY($A134,-1,config_Holiday_Calendar_US)),IF(ISNUMBER(_xll.BDH(config!$G$4,T$1,$A134,$A134)),_xll.BDH(config!$G$4,T$1,$A134,$A134),_xll.BDH(config!$G$5,T$1,$A134,$A134))))</f>
        <v>#N/A Requesting Data...</v>
      </c>
      <c r="U134" s="8" t="str">
        <f>IF($A134="","",IF(ISNUMBER(FIND("IMPVOL",U$1)),_xll.BDH(config!$G$4,U$1,WORKDAY($A134,-1,config_Holiday_Calendar_US),WORKDAY($A134,-1,config_Holiday_Calendar_US)),IF(ISNUMBER(_xll.BDH(config!$G$4,U$1,$A134,$A134)),_xll.BDH(config!$G$4,U$1,$A134,$A134),_xll.BDH(config!$G$5,U$1,$A134,$A134))))</f>
        <v>#N/A Requesting Data...</v>
      </c>
      <c r="V134" s="8" t="str">
        <f>IF($A134="","",IF(ISNUMBER(FIND("IMPVOL",V$1)),_xll.BDH(config!$G$4,V$1,WORKDAY($A134,-1,config_Holiday_Calendar_US),WORKDAY($A134,-1,config_Holiday_Calendar_US)),IF(ISNUMBER(_xll.BDH(config!$G$4,V$1,$A134,$A134)),_xll.BDH(config!$G$4,V$1,$A134,$A134),_xll.BDH(config!$G$5,V$1,$A134,$A134))))</f>
        <v>#N/A Requesting Data...</v>
      </c>
      <c r="W134" s="8" t="str">
        <f>IF($A134="","",IF(ISNUMBER(FIND("IMPVOL",W$1)),_xll.BDH(config!$G$4,W$1,WORKDAY($A134,-1,config_Holiday_Calendar_US),WORKDAY($A134,-1,config_Holiday_Calendar_US)),IF(ISNUMBER(_xll.BDH(config!$G$4,W$1,$A134,$A134)),_xll.BDH(config!$G$4,W$1,$A134,$A134),_xll.BDH(config!$G$5,W$1,$A134,$A134))))</f>
        <v>#N/A Requesting Data...</v>
      </c>
    </row>
    <row r="135" spans="1:23" x14ac:dyDescent="0.2">
      <c r="A135" s="9">
        <f>IF(A134="","",IF(WORKDAY(A134,-1,config_Holiday_Calendar_US)&lt;config!$I$10,"",WORKDAY(A134,-1,config_Holiday_Calendar_US)))</f>
        <v>42639</v>
      </c>
      <c r="B135" s="8" t="e">
        <f t="shared" si="2"/>
        <v>#VALUE!</v>
      </c>
      <c r="C135" s="8" t="str">
        <f>IF(A135="","",_xll.BDH(config!$H$4,C$1,$A135,$A135))</f>
        <v>#N/A Requesting Data...</v>
      </c>
      <c r="D135" s="8" t="str">
        <f>IF($A135="","",_xll.BDH(config!$H$4,D$1,$A135,$A135))</f>
        <v>#N/A Requesting Data...</v>
      </c>
      <c r="E135" s="8">
        <f>IF($A135="","",IF(ISNUMBER(FIND("IMPVOL",E$1)),_xll.BDH(config!$G$4,E$1,WORKDAY($A135,-1,config_Holiday_Calendar_US),WORKDAY($A135,-1,config_Holiday_Calendar_US)),IF(ISNUMBER(_xll.BDH(config!$G$4,E$1,$A135,$A135)),_xll.BDH(config!$G$4,E$1,$A135,$A135),_xll.BDH(config!$G$5,E$1,$A135,$A135))))</f>
        <v>44.62</v>
      </c>
      <c r="F135" s="8">
        <f>IF($A135="","",IF(ISNUMBER(FIND("IMPVOL",F$1)),_xll.BDH(config!$G$4,F$1,WORKDAY($A135,-1,config_Holiday_Calendar_US),WORKDAY($A135,-1,config_Holiday_Calendar_US)),IF(ISNUMBER(_xll.BDH(config!$G$4,F$1,$A135,$A135)),_xll.BDH(config!$G$4,F$1,$A135,$A135),_xll.BDH(config!$G$5,F$1,$A135,$A135))))</f>
        <v>46.2</v>
      </c>
      <c r="G135" s="8">
        <f>IF($A135="","",IF(ISNUMBER(FIND("IMPVOL",G$1)),_xll.BDH(config!$G$4,G$1,WORKDAY($A135,-1,config_Holiday_Calendar_US),WORKDAY($A135,-1,config_Holiday_Calendar_US)),IF(ISNUMBER(_xll.BDH(config!$G$4,G$1,$A135,$A135)),_xll.BDH(config!$G$4,G$1,$A135,$A135),_xll.BDH(config!$G$5,G$1,$A135,$A135))))</f>
        <v>45.01</v>
      </c>
      <c r="H135" s="8">
        <f>IF($A135="","",IF(ISNUMBER(FIND("IMPVOL",H$1)),_xll.BDH(config!$G$4,H$1,WORKDAY($A135,-1,config_Holiday_Calendar_US),WORKDAY($A135,-1,config_Holiday_Calendar_US)),IF(ISNUMBER(_xll.BDH(config!$G$4,H$1,$A135,$A135)),_xll.BDH(config!$G$4,H$1,$A135,$A135),_xll.BDH(config!$G$5,H$1,$A135,$A135))))</f>
        <v>146465</v>
      </c>
      <c r="I135" s="8" t="str">
        <f>IF($A135="","",IF(ISNUMBER(FIND("IMPVOL",I$1)),_xll.BDH(config!$G$4,I$1,WORKDAY($A135,-1,config_Holiday_Calendar_US),WORKDAY($A135,-1,config_Holiday_Calendar_US)),IF(ISNUMBER(_xll.BDH(config!$G$4,I$1,$A135,$A135)),_xll.BDH(config!$G$4,I$1,$A135,$A135),_xll.BDH(config!$G$5,I$1,$A135,$A135))))</f>
        <v>#N/A Requesting Data...</v>
      </c>
      <c r="J135" s="8" t="str">
        <f>IF($A135="","",IF(ISNUMBER(FIND("IMPVOL",J$1)),_xll.BDH(config!$G$4,J$1,WORKDAY($A135,-1,config_Holiday_Calendar_US),WORKDAY($A135,-1,config_Holiday_Calendar_US)),IF(ISNUMBER(_xll.BDH(config!$G$4,J$1,$A135,$A135)),_xll.BDH(config!$G$4,J$1,$A135,$A135),_xll.BDH(config!$G$5,J$1,$A135,$A135))))</f>
        <v>#N/A Requesting Data...</v>
      </c>
      <c r="K135" s="8" t="str">
        <f>IF($A135="","",IF(ISNUMBER(FIND("IMPVOL",K$1)),_xll.BDH(config!$G$4,K$1,WORKDAY($A135,-1,config_Holiday_Calendar_US),WORKDAY($A135,-1,config_Holiday_Calendar_US)),IF(ISNUMBER(_xll.BDH(config!$G$4,K$1,$A135,$A135)),_xll.BDH(config!$G$4,K$1,$A135,$A135),_xll.BDH(config!$G$5,K$1,$A135,$A135))))</f>
        <v>#N/A Requesting Data...</v>
      </c>
      <c r="L135" s="8" t="str">
        <f>IF($A135="","",IF(ISNUMBER(FIND("IMPVOL",L$1)),_xll.BDH(config!$G$4,L$1,WORKDAY($A135,-1,config_Holiday_Calendar_US),WORKDAY($A135,-1,config_Holiday_Calendar_US)),IF(ISNUMBER(_xll.BDH(config!$G$4,L$1,$A135,$A135)),_xll.BDH(config!$G$4,L$1,$A135,$A135),_xll.BDH(config!$G$5,L$1,$A135,$A135))))</f>
        <v>#N/A Requesting Data...</v>
      </c>
      <c r="M135" s="8" t="str">
        <f>IF($A135="","",IF(ISNUMBER(FIND("IMPVOL",M$1)),_xll.BDH(config!$G$4,M$1,WORKDAY($A135,-1,config_Holiday_Calendar_US),WORKDAY($A135,-1,config_Holiday_Calendar_US)),IF(ISNUMBER(_xll.BDH(config!$G$4,M$1,$A135,$A135)),_xll.BDH(config!$G$4,M$1,$A135,$A135),_xll.BDH(config!$G$5,M$1,$A135,$A135))))</f>
        <v>#N/A Requesting Data...</v>
      </c>
      <c r="N135" s="8" t="str">
        <f>IF($A135="","",IF(ISNUMBER(FIND("IMPVOL",N$1)),_xll.BDH(config!$G$4,N$1,WORKDAY($A135,-1,config_Holiday_Calendar_US),WORKDAY($A135,-1,config_Holiday_Calendar_US)),IF(ISNUMBER(_xll.BDH(config!$G$4,N$1,$A135,$A135)),_xll.BDH(config!$G$4,N$1,$A135,$A135),_xll.BDH(config!$G$5,N$1,$A135,$A135))))</f>
        <v>#N/A Requesting Data...</v>
      </c>
      <c r="O135" s="8" t="str">
        <f>IF($A135="","",IF(ISNUMBER(FIND("IMPVOL",O$1)),_xll.BDH(config!$G$4,O$1,WORKDAY($A135,-1,config_Holiday_Calendar_US),WORKDAY($A135,-1,config_Holiday_Calendar_US)),IF(ISNUMBER(_xll.BDH(config!$G$4,O$1,$A135,$A135)),_xll.BDH(config!$G$4,O$1,$A135,$A135),_xll.BDH(config!$G$5,O$1,$A135,$A135))))</f>
        <v>#N/A Requesting Data...</v>
      </c>
      <c r="P135" s="8" t="str">
        <f>IF($A135="","",IF(ISNUMBER(FIND("IMPVOL",P$1)),_xll.BDH(config!$G$4,P$1,WORKDAY($A135,-1,config_Holiday_Calendar_US),WORKDAY($A135,-1,config_Holiday_Calendar_US)),IF(ISNUMBER(_xll.BDH(config!$G$4,P$1,$A135,$A135)),_xll.BDH(config!$G$4,P$1,$A135,$A135),_xll.BDH(config!$G$5,P$1,$A135,$A135))))</f>
        <v>#N/A Requesting Data...</v>
      </c>
      <c r="Q135" s="8">
        <f>IF($A135="","",IF(ISNUMBER(FIND("IMPVOL",Q$1)),_xll.BDH(config!$G$4,Q$1,WORKDAY($A135,-1,config_Holiday_Calendar_US),WORKDAY($A135,-1,config_Holiday_Calendar_US)),IF(ISNUMBER(_xll.BDH(config!$G$4,Q$1,$A135,$A135)),_xll.BDH(config!$G$4,Q$1,$A135,$A135),_xll.BDH(config!$G$5,Q$1,$A135,$A135))))</f>
        <v>44.21</v>
      </c>
      <c r="R135" s="8">
        <f>IF($A135="","",IF(ISNUMBER(FIND("IMPVOL",R$1)),_xll.BDH(config!$G$4,R$1,WORKDAY($A135,-1,config_Holiday_Calendar_US),WORKDAY($A135,-1,config_Holiday_Calendar_US)),IF(ISNUMBER(_xll.BDH(config!$G$4,R$1,$A135,$A135)),_xll.BDH(config!$G$4,R$1,$A135,$A135),_xll.BDH(config!$G$5,R$1,$A135,$A135))))</f>
        <v>41.57</v>
      </c>
      <c r="S135" s="8" t="str">
        <f>IF($A135="","",IF(ISNUMBER(FIND("IMPVOL",S$1)),_xll.BDH(config!$G$4,S$1,WORKDAY($A135,-1,config_Holiday_Calendar_US),WORKDAY($A135,-1,config_Holiday_Calendar_US)),IF(ISNUMBER(_xll.BDH(config!$G$4,S$1,$A135,$A135)),_xll.BDH(config!$G$4,S$1,$A135,$A135),_xll.BDH(config!$G$5,S$1,$A135,$A135))))</f>
        <v>#N/A Requesting Data...</v>
      </c>
      <c r="T135" s="8" t="str">
        <f>IF($A135="","",IF(ISNUMBER(FIND("IMPVOL",T$1)),_xll.BDH(config!$G$4,T$1,WORKDAY($A135,-1,config_Holiday_Calendar_US),WORKDAY($A135,-1,config_Holiday_Calendar_US)),IF(ISNUMBER(_xll.BDH(config!$G$4,T$1,$A135,$A135)),_xll.BDH(config!$G$4,T$1,$A135,$A135),_xll.BDH(config!$G$5,T$1,$A135,$A135))))</f>
        <v>#N/A Requesting Data...</v>
      </c>
      <c r="U135" s="8" t="str">
        <f>IF($A135="","",IF(ISNUMBER(FIND("IMPVOL",U$1)),_xll.BDH(config!$G$4,U$1,WORKDAY($A135,-1,config_Holiday_Calendar_US),WORKDAY($A135,-1,config_Holiday_Calendar_US)),IF(ISNUMBER(_xll.BDH(config!$G$4,U$1,$A135,$A135)),_xll.BDH(config!$G$4,U$1,$A135,$A135),_xll.BDH(config!$G$5,U$1,$A135,$A135))))</f>
        <v>#N/A Requesting Data...</v>
      </c>
      <c r="V135" s="8" t="str">
        <f>IF($A135="","",IF(ISNUMBER(FIND("IMPVOL",V$1)),_xll.BDH(config!$G$4,V$1,WORKDAY($A135,-1,config_Holiday_Calendar_US),WORKDAY($A135,-1,config_Holiday_Calendar_US)),IF(ISNUMBER(_xll.BDH(config!$G$4,V$1,$A135,$A135)),_xll.BDH(config!$G$4,V$1,$A135,$A135),_xll.BDH(config!$G$5,V$1,$A135,$A135))))</f>
        <v>#N/A Requesting Data...</v>
      </c>
      <c r="W135" s="8" t="str">
        <f>IF($A135="","",IF(ISNUMBER(FIND("IMPVOL",W$1)),_xll.BDH(config!$G$4,W$1,WORKDAY($A135,-1,config_Holiday_Calendar_US),WORKDAY($A135,-1,config_Holiday_Calendar_US)),IF(ISNUMBER(_xll.BDH(config!$G$4,W$1,$A135,$A135)),_xll.BDH(config!$G$4,W$1,$A135,$A135),_xll.BDH(config!$G$5,W$1,$A135,$A135))))</f>
        <v>#N/A Requesting Data...</v>
      </c>
    </row>
    <row r="136" spans="1:23" x14ac:dyDescent="0.2">
      <c r="A136" s="9">
        <f>IF(A135="","",IF(WORKDAY(A135,-1,config_Holiday_Calendar_US)&lt;config!$I$10,"",WORKDAY(A135,-1,config_Holiday_Calendar_US)))</f>
        <v>42636</v>
      </c>
      <c r="B136" s="8" t="e">
        <f t="shared" si="2"/>
        <v>#VALUE!</v>
      </c>
      <c r="C136" s="8" t="str">
        <f>IF(A136="","",_xll.BDH(config!$H$4,C$1,$A136,$A136))</f>
        <v>#N/A Requesting Data...</v>
      </c>
      <c r="D136" s="8" t="str">
        <f>IF($A136="","",_xll.BDH(config!$H$4,D$1,$A136,$A136))</f>
        <v>#N/A Requesting Data...</v>
      </c>
      <c r="E136" s="8">
        <f>IF($A136="","",IF(ISNUMBER(FIND("IMPVOL",E$1)),_xll.BDH(config!$G$4,E$1,WORKDAY($A136,-1,config_Holiday_Calendar_US),WORKDAY($A136,-1,config_Holiday_Calendar_US)),IF(ISNUMBER(_xll.BDH(config!$G$4,E$1,$A136,$A136)),_xll.BDH(config!$G$4,E$1,$A136,$A136),_xll.BDH(config!$G$5,E$1,$A136,$A136))))</f>
        <v>46.07</v>
      </c>
      <c r="F136" s="8">
        <f>IF($A136="","",IF(ISNUMBER(FIND("IMPVOL",F$1)),_xll.BDH(config!$G$4,F$1,WORKDAY($A136,-1,config_Holiday_Calendar_US),WORKDAY($A136,-1,config_Holiday_Calendar_US)),IF(ISNUMBER(_xll.BDH(config!$G$4,F$1,$A136,$A136)),_xll.BDH(config!$G$4,F$1,$A136,$A136),_xll.BDH(config!$G$5,F$1,$A136,$A136))))</f>
        <v>46.55</v>
      </c>
      <c r="G136" s="8">
        <f>IF($A136="","",IF(ISNUMBER(FIND("IMPVOL",G$1)),_xll.BDH(config!$G$4,G$1,WORKDAY($A136,-1,config_Holiday_Calendar_US),WORKDAY($A136,-1,config_Holiday_Calendar_US)),IF(ISNUMBER(_xll.BDH(config!$G$4,G$1,$A136,$A136)),_xll.BDH(config!$G$4,G$1,$A136,$A136),_xll.BDH(config!$G$5,G$1,$A136,$A136))))</f>
        <v>44.82</v>
      </c>
      <c r="H136" s="8">
        <f>IF($A136="","",IF(ISNUMBER(FIND("IMPVOL",H$1)),_xll.BDH(config!$G$4,H$1,WORKDAY($A136,-1,config_Holiday_Calendar_US),WORKDAY($A136,-1,config_Holiday_Calendar_US)),IF(ISNUMBER(_xll.BDH(config!$G$4,H$1,$A136,$A136)),_xll.BDH(config!$G$4,H$1,$A136,$A136),_xll.BDH(config!$G$5,H$1,$A136,$A136))))</f>
        <v>205352</v>
      </c>
      <c r="I136" s="8" t="str">
        <f>IF($A136="","",IF(ISNUMBER(FIND("IMPVOL",I$1)),_xll.BDH(config!$G$4,I$1,WORKDAY($A136,-1,config_Holiday_Calendar_US),WORKDAY($A136,-1,config_Holiday_Calendar_US)),IF(ISNUMBER(_xll.BDH(config!$G$4,I$1,$A136,$A136)),_xll.BDH(config!$G$4,I$1,$A136,$A136),_xll.BDH(config!$G$5,I$1,$A136,$A136))))</f>
        <v>#N/A Requesting Data...</v>
      </c>
      <c r="J136" s="8" t="str">
        <f>IF($A136="","",IF(ISNUMBER(FIND("IMPVOL",J$1)),_xll.BDH(config!$G$4,J$1,WORKDAY($A136,-1,config_Holiday_Calendar_US),WORKDAY($A136,-1,config_Holiday_Calendar_US)),IF(ISNUMBER(_xll.BDH(config!$G$4,J$1,$A136,$A136)),_xll.BDH(config!$G$4,J$1,$A136,$A136),_xll.BDH(config!$G$5,J$1,$A136,$A136))))</f>
        <v>#N/A Requesting Data...</v>
      </c>
      <c r="K136" s="8" t="str">
        <f>IF($A136="","",IF(ISNUMBER(FIND("IMPVOL",K$1)),_xll.BDH(config!$G$4,K$1,WORKDAY($A136,-1,config_Holiday_Calendar_US),WORKDAY($A136,-1,config_Holiday_Calendar_US)),IF(ISNUMBER(_xll.BDH(config!$G$4,K$1,$A136,$A136)),_xll.BDH(config!$G$4,K$1,$A136,$A136),_xll.BDH(config!$G$5,K$1,$A136,$A136))))</f>
        <v>#N/A Requesting Data...</v>
      </c>
      <c r="L136" s="8" t="str">
        <f>IF($A136="","",IF(ISNUMBER(FIND("IMPVOL",L$1)),_xll.BDH(config!$G$4,L$1,WORKDAY($A136,-1,config_Holiday_Calendar_US),WORKDAY($A136,-1,config_Holiday_Calendar_US)),IF(ISNUMBER(_xll.BDH(config!$G$4,L$1,$A136,$A136)),_xll.BDH(config!$G$4,L$1,$A136,$A136),_xll.BDH(config!$G$5,L$1,$A136,$A136))))</f>
        <v>#N/A Requesting Data...</v>
      </c>
      <c r="M136" s="8" t="str">
        <f>IF($A136="","",IF(ISNUMBER(FIND("IMPVOL",M$1)),_xll.BDH(config!$G$4,M$1,WORKDAY($A136,-1,config_Holiday_Calendar_US),WORKDAY($A136,-1,config_Holiday_Calendar_US)),IF(ISNUMBER(_xll.BDH(config!$G$4,M$1,$A136,$A136)),_xll.BDH(config!$G$4,M$1,$A136,$A136),_xll.BDH(config!$G$5,M$1,$A136,$A136))))</f>
        <v>#N/A Requesting Data...</v>
      </c>
      <c r="N136" s="8" t="str">
        <f>IF($A136="","",IF(ISNUMBER(FIND("IMPVOL",N$1)),_xll.BDH(config!$G$4,N$1,WORKDAY($A136,-1,config_Holiday_Calendar_US),WORKDAY($A136,-1,config_Holiday_Calendar_US)),IF(ISNUMBER(_xll.BDH(config!$G$4,N$1,$A136,$A136)),_xll.BDH(config!$G$4,N$1,$A136,$A136),_xll.BDH(config!$G$5,N$1,$A136,$A136))))</f>
        <v>#N/A Requesting Data...</v>
      </c>
      <c r="O136" s="8" t="str">
        <f>IF($A136="","",IF(ISNUMBER(FIND("IMPVOL",O$1)),_xll.BDH(config!$G$4,O$1,WORKDAY($A136,-1,config_Holiday_Calendar_US),WORKDAY($A136,-1,config_Holiday_Calendar_US)),IF(ISNUMBER(_xll.BDH(config!$G$4,O$1,$A136,$A136)),_xll.BDH(config!$G$4,O$1,$A136,$A136),_xll.BDH(config!$G$5,O$1,$A136,$A136))))</f>
        <v>#N/A Requesting Data...</v>
      </c>
      <c r="P136" s="8" t="str">
        <f>IF($A136="","",IF(ISNUMBER(FIND("IMPVOL",P$1)),_xll.BDH(config!$G$4,P$1,WORKDAY($A136,-1,config_Holiday_Calendar_US),WORKDAY($A136,-1,config_Holiday_Calendar_US)),IF(ISNUMBER(_xll.BDH(config!$G$4,P$1,$A136,$A136)),_xll.BDH(config!$G$4,P$1,$A136,$A136),_xll.BDH(config!$G$5,P$1,$A136,$A136))))</f>
        <v>#N/A Requesting Data...</v>
      </c>
      <c r="Q136" s="8">
        <f>IF($A136="","",IF(ISNUMBER(FIND("IMPVOL",Q$1)),_xll.BDH(config!$G$4,Q$1,WORKDAY($A136,-1,config_Holiday_Calendar_US),WORKDAY($A136,-1,config_Holiday_Calendar_US)),IF(ISNUMBER(_xll.BDH(config!$G$4,Q$1,$A136,$A136)),_xll.BDH(config!$G$4,Q$1,$A136,$A136),_xll.BDH(config!$G$5,Q$1,$A136,$A136))))</f>
        <v>43.45</v>
      </c>
      <c r="R136" s="8">
        <f>IF($A136="","",IF(ISNUMBER(FIND("IMPVOL",R$1)),_xll.BDH(config!$G$4,R$1,WORKDAY($A136,-1,config_Holiday_Calendar_US),WORKDAY($A136,-1,config_Holiday_Calendar_US)),IF(ISNUMBER(_xll.BDH(config!$G$4,R$1,$A136,$A136)),_xll.BDH(config!$G$4,R$1,$A136,$A136),_xll.BDH(config!$G$5,R$1,$A136,$A136))))</f>
        <v>41.29</v>
      </c>
      <c r="S136" s="8" t="str">
        <f>IF($A136="","",IF(ISNUMBER(FIND("IMPVOL",S$1)),_xll.BDH(config!$G$4,S$1,WORKDAY($A136,-1,config_Holiday_Calendar_US),WORKDAY($A136,-1,config_Holiday_Calendar_US)),IF(ISNUMBER(_xll.BDH(config!$G$4,S$1,$A136,$A136)),_xll.BDH(config!$G$4,S$1,$A136,$A136),_xll.BDH(config!$G$5,S$1,$A136,$A136))))</f>
        <v>#N/A Requesting Data...</v>
      </c>
      <c r="T136" s="8" t="str">
        <f>IF($A136="","",IF(ISNUMBER(FIND("IMPVOL",T$1)),_xll.BDH(config!$G$4,T$1,WORKDAY($A136,-1,config_Holiday_Calendar_US),WORKDAY($A136,-1,config_Holiday_Calendar_US)),IF(ISNUMBER(_xll.BDH(config!$G$4,T$1,$A136,$A136)),_xll.BDH(config!$G$4,T$1,$A136,$A136),_xll.BDH(config!$G$5,T$1,$A136,$A136))))</f>
        <v>#N/A Requesting Data...</v>
      </c>
      <c r="U136" s="8" t="str">
        <f>IF($A136="","",IF(ISNUMBER(FIND("IMPVOL",U$1)),_xll.BDH(config!$G$4,U$1,WORKDAY($A136,-1,config_Holiday_Calendar_US),WORKDAY($A136,-1,config_Holiday_Calendar_US)),IF(ISNUMBER(_xll.BDH(config!$G$4,U$1,$A136,$A136)),_xll.BDH(config!$G$4,U$1,$A136,$A136),_xll.BDH(config!$G$5,U$1,$A136,$A136))))</f>
        <v>#N/A Requesting Data...</v>
      </c>
      <c r="V136" s="8" t="str">
        <f>IF($A136="","",IF(ISNUMBER(FIND("IMPVOL",V$1)),_xll.BDH(config!$G$4,V$1,WORKDAY($A136,-1,config_Holiday_Calendar_US),WORKDAY($A136,-1,config_Holiday_Calendar_US)),IF(ISNUMBER(_xll.BDH(config!$G$4,V$1,$A136,$A136)),_xll.BDH(config!$G$4,V$1,$A136,$A136),_xll.BDH(config!$G$5,V$1,$A136,$A136))))</f>
        <v>#N/A Requesting Data...</v>
      </c>
      <c r="W136" s="8" t="str">
        <f>IF($A136="","",IF(ISNUMBER(FIND("IMPVOL",W$1)),_xll.BDH(config!$G$4,W$1,WORKDAY($A136,-1,config_Holiday_Calendar_US),WORKDAY($A136,-1,config_Holiday_Calendar_US)),IF(ISNUMBER(_xll.BDH(config!$G$4,W$1,$A136,$A136)),_xll.BDH(config!$G$4,W$1,$A136,$A136),_xll.BDH(config!$G$5,W$1,$A136,$A136))))</f>
        <v>#N/A Requesting Data...</v>
      </c>
    </row>
    <row r="137" spans="1:23" x14ac:dyDescent="0.2">
      <c r="A137" s="9">
        <f>IF(A136="","",IF(WORKDAY(A136,-1,config_Holiday_Calendar_US)&lt;config!$I$10,"",WORKDAY(A136,-1,config_Holiday_Calendar_US)))</f>
        <v>42635</v>
      </c>
      <c r="B137" s="8" t="e">
        <f t="shared" si="2"/>
        <v>#VALUE!</v>
      </c>
      <c r="C137" s="8" t="str">
        <f>IF(A137="","",_xll.BDH(config!$H$4,C$1,$A137,$A137))</f>
        <v>#N/A Requesting Data...</v>
      </c>
      <c r="D137" s="8" t="str">
        <f>IF($A137="","",_xll.BDH(config!$H$4,D$1,$A137,$A137))</f>
        <v>#N/A Requesting Data...</v>
      </c>
      <c r="E137" s="8">
        <f>IF($A137="","",IF(ISNUMBER(FIND("IMPVOL",E$1)),_xll.BDH(config!$G$4,E$1,WORKDAY($A137,-1,config_Holiday_Calendar_US),WORKDAY($A137,-1,config_Holiday_Calendar_US)),IF(ISNUMBER(_xll.BDH(config!$G$4,E$1,$A137,$A137)),_xll.BDH(config!$G$4,E$1,$A137,$A137),_xll.BDH(config!$G$5,E$1,$A137,$A137))))</f>
        <v>45.62</v>
      </c>
      <c r="F137" s="8">
        <f>IF($A137="","",IF(ISNUMBER(FIND("IMPVOL",F$1)),_xll.BDH(config!$G$4,F$1,WORKDAY($A137,-1,config_Holiday_Calendar_US),WORKDAY($A137,-1,config_Holiday_Calendar_US)),IF(ISNUMBER(_xll.BDH(config!$G$4,F$1,$A137,$A137)),_xll.BDH(config!$G$4,F$1,$A137,$A137),_xll.BDH(config!$G$5,F$1,$A137,$A137))))</f>
        <v>46.52</v>
      </c>
      <c r="G137" s="8">
        <f>IF($A137="","",IF(ISNUMBER(FIND("IMPVOL",G$1)),_xll.BDH(config!$G$4,G$1,WORKDAY($A137,-1,config_Holiday_Calendar_US),WORKDAY($A137,-1,config_Holiday_Calendar_US)),IF(ISNUMBER(_xll.BDH(config!$G$4,G$1,$A137,$A137)),_xll.BDH(config!$G$4,G$1,$A137,$A137),_xll.BDH(config!$G$5,G$1,$A137,$A137))))</f>
        <v>46.07</v>
      </c>
      <c r="H137" s="8">
        <f>IF($A137="","",IF(ISNUMBER(FIND("IMPVOL",H$1)),_xll.BDH(config!$G$4,H$1,WORKDAY($A137,-1,config_Holiday_Calendar_US),WORKDAY($A137,-1,config_Holiday_Calendar_US)),IF(ISNUMBER(_xll.BDH(config!$G$4,H$1,$A137,$A137)),_xll.BDH(config!$G$4,H$1,$A137,$A137),_xll.BDH(config!$G$5,H$1,$A137,$A137))))</f>
        <v>214495</v>
      </c>
      <c r="I137" s="8" t="str">
        <f>IF($A137="","",IF(ISNUMBER(FIND("IMPVOL",I$1)),_xll.BDH(config!$G$4,I$1,WORKDAY($A137,-1,config_Holiday_Calendar_US),WORKDAY($A137,-1,config_Holiday_Calendar_US)),IF(ISNUMBER(_xll.BDH(config!$G$4,I$1,$A137,$A137)),_xll.BDH(config!$G$4,I$1,$A137,$A137),_xll.BDH(config!$G$5,I$1,$A137,$A137))))</f>
        <v>#N/A Requesting Data...</v>
      </c>
      <c r="J137" s="8" t="str">
        <f>IF($A137="","",IF(ISNUMBER(FIND("IMPVOL",J$1)),_xll.BDH(config!$G$4,J$1,WORKDAY($A137,-1,config_Holiday_Calendar_US),WORKDAY($A137,-1,config_Holiday_Calendar_US)),IF(ISNUMBER(_xll.BDH(config!$G$4,J$1,$A137,$A137)),_xll.BDH(config!$G$4,J$1,$A137,$A137),_xll.BDH(config!$G$5,J$1,$A137,$A137))))</f>
        <v>#N/A Requesting Data...</v>
      </c>
      <c r="K137" s="8" t="str">
        <f>IF($A137="","",IF(ISNUMBER(FIND("IMPVOL",K$1)),_xll.BDH(config!$G$4,K$1,WORKDAY($A137,-1,config_Holiday_Calendar_US),WORKDAY($A137,-1,config_Holiday_Calendar_US)),IF(ISNUMBER(_xll.BDH(config!$G$4,K$1,$A137,$A137)),_xll.BDH(config!$G$4,K$1,$A137,$A137),_xll.BDH(config!$G$5,K$1,$A137,$A137))))</f>
        <v>#N/A Requesting Data...</v>
      </c>
      <c r="L137" s="8" t="str">
        <f>IF($A137="","",IF(ISNUMBER(FIND("IMPVOL",L$1)),_xll.BDH(config!$G$4,L$1,WORKDAY($A137,-1,config_Holiday_Calendar_US),WORKDAY($A137,-1,config_Holiday_Calendar_US)),IF(ISNUMBER(_xll.BDH(config!$G$4,L$1,$A137,$A137)),_xll.BDH(config!$G$4,L$1,$A137,$A137),_xll.BDH(config!$G$5,L$1,$A137,$A137))))</f>
        <v>#N/A Requesting Data...</v>
      </c>
      <c r="M137" s="8" t="str">
        <f>IF($A137="","",IF(ISNUMBER(FIND("IMPVOL",M$1)),_xll.BDH(config!$G$4,M$1,WORKDAY($A137,-1,config_Holiday_Calendar_US),WORKDAY($A137,-1,config_Holiday_Calendar_US)),IF(ISNUMBER(_xll.BDH(config!$G$4,M$1,$A137,$A137)),_xll.BDH(config!$G$4,M$1,$A137,$A137),_xll.BDH(config!$G$5,M$1,$A137,$A137))))</f>
        <v>#N/A Requesting Data...</v>
      </c>
      <c r="N137" s="8" t="str">
        <f>IF($A137="","",IF(ISNUMBER(FIND("IMPVOL",N$1)),_xll.BDH(config!$G$4,N$1,WORKDAY($A137,-1,config_Holiday_Calendar_US),WORKDAY($A137,-1,config_Holiday_Calendar_US)),IF(ISNUMBER(_xll.BDH(config!$G$4,N$1,$A137,$A137)),_xll.BDH(config!$G$4,N$1,$A137,$A137),_xll.BDH(config!$G$5,N$1,$A137,$A137))))</f>
        <v>#N/A Requesting Data...</v>
      </c>
      <c r="O137" s="8" t="str">
        <f>IF($A137="","",IF(ISNUMBER(FIND("IMPVOL",O$1)),_xll.BDH(config!$G$4,O$1,WORKDAY($A137,-1,config_Holiday_Calendar_US),WORKDAY($A137,-1,config_Holiday_Calendar_US)),IF(ISNUMBER(_xll.BDH(config!$G$4,O$1,$A137,$A137)),_xll.BDH(config!$G$4,O$1,$A137,$A137),_xll.BDH(config!$G$5,O$1,$A137,$A137))))</f>
        <v>#N/A Requesting Data...</v>
      </c>
      <c r="P137" s="8" t="str">
        <f>IF($A137="","",IF(ISNUMBER(FIND("IMPVOL",P$1)),_xll.BDH(config!$G$4,P$1,WORKDAY($A137,-1,config_Holiday_Calendar_US),WORKDAY($A137,-1,config_Holiday_Calendar_US)),IF(ISNUMBER(_xll.BDH(config!$G$4,P$1,$A137,$A137)),_xll.BDH(config!$G$4,P$1,$A137,$A137),_xll.BDH(config!$G$5,P$1,$A137,$A137))))</f>
        <v>#N/A Requesting Data...</v>
      </c>
      <c r="Q137" s="8">
        <f>IF($A137="","",IF(ISNUMBER(FIND("IMPVOL",Q$1)),_xll.BDH(config!$G$4,Q$1,WORKDAY($A137,-1,config_Holiday_Calendar_US),WORKDAY($A137,-1,config_Holiday_Calendar_US)),IF(ISNUMBER(_xll.BDH(config!$G$4,Q$1,$A137,$A137)),_xll.BDH(config!$G$4,Q$1,$A137,$A137),_xll.BDH(config!$G$5,Q$1,$A137,$A137))))</f>
        <v>38.159999999999997</v>
      </c>
      <c r="R137" s="8">
        <f>IF($A137="","",IF(ISNUMBER(FIND("IMPVOL",R$1)),_xll.BDH(config!$G$4,R$1,WORKDAY($A137,-1,config_Holiday_Calendar_US),WORKDAY($A137,-1,config_Holiday_Calendar_US)),IF(ISNUMBER(_xll.BDH(config!$G$4,R$1,$A137,$A137)),_xll.BDH(config!$G$4,R$1,$A137,$A137),_xll.BDH(config!$G$5,R$1,$A137,$A137))))</f>
        <v>39.9</v>
      </c>
      <c r="S137" s="8" t="str">
        <f>IF($A137="","",IF(ISNUMBER(FIND("IMPVOL",S$1)),_xll.BDH(config!$G$4,S$1,WORKDAY($A137,-1,config_Holiday_Calendar_US),WORKDAY($A137,-1,config_Holiday_Calendar_US)),IF(ISNUMBER(_xll.BDH(config!$G$4,S$1,$A137,$A137)),_xll.BDH(config!$G$4,S$1,$A137,$A137),_xll.BDH(config!$G$5,S$1,$A137,$A137))))</f>
        <v>#N/A Requesting Data...</v>
      </c>
      <c r="T137" s="8" t="str">
        <f>IF($A137="","",IF(ISNUMBER(FIND("IMPVOL",T$1)),_xll.BDH(config!$G$4,T$1,WORKDAY($A137,-1,config_Holiday_Calendar_US),WORKDAY($A137,-1,config_Holiday_Calendar_US)),IF(ISNUMBER(_xll.BDH(config!$G$4,T$1,$A137,$A137)),_xll.BDH(config!$G$4,T$1,$A137,$A137),_xll.BDH(config!$G$5,T$1,$A137,$A137))))</f>
        <v>#N/A Requesting Data...</v>
      </c>
      <c r="U137" s="8" t="str">
        <f>IF($A137="","",IF(ISNUMBER(FIND("IMPVOL",U$1)),_xll.BDH(config!$G$4,U$1,WORKDAY($A137,-1,config_Holiday_Calendar_US),WORKDAY($A137,-1,config_Holiday_Calendar_US)),IF(ISNUMBER(_xll.BDH(config!$G$4,U$1,$A137,$A137)),_xll.BDH(config!$G$4,U$1,$A137,$A137),_xll.BDH(config!$G$5,U$1,$A137,$A137))))</f>
        <v>#N/A Requesting Data...</v>
      </c>
      <c r="V137" s="8" t="str">
        <f>IF($A137="","",IF(ISNUMBER(FIND("IMPVOL",V$1)),_xll.BDH(config!$G$4,V$1,WORKDAY($A137,-1,config_Holiday_Calendar_US),WORKDAY($A137,-1,config_Holiday_Calendar_US)),IF(ISNUMBER(_xll.BDH(config!$G$4,V$1,$A137,$A137)),_xll.BDH(config!$G$4,V$1,$A137,$A137),_xll.BDH(config!$G$5,V$1,$A137,$A137))))</f>
        <v>#N/A Requesting Data...</v>
      </c>
      <c r="W137" s="8" t="str">
        <f>IF($A137="","",IF(ISNUMBER(FIND("IMPVOL",W$1)),_xll.BDH(config!$G$4,W$1,WORKDAY($A137,-1,config_Holiday_Calendar_US),WORKDAY($A137,-1,config_Holiday_Calendar_US)),IF(ISNUMBER(_xll.BDH(config!$G$4,W$1,$A137,$A137)),_xll.BDH(config!$G$4,W$1,$A137,$A137),_xll.BDH(config!$G$5,W$1,$A137,$A137))))</f>
        <v>#N/A Requesting Data...</v>
      </c>
    </row>
    <row r="138" spans="1:23" x14ac:dyDescent="0.2">
      <c r="A138" s="9">
        <f>IF(A137="","",IF(WORKDAY(A137,-1,config_Holiday_Calendar_US)&lt;config!$I$10,"",WORKDAY(A137,-1,config_Holiday_Calendar_US)))</f>
        <v>42634</v>
      </c>
      <c r="B138" s="8" t="e">
        <f t="shared" si="2"/>
        <v>#VALUE!</v>
      </c>
      <c r="C138" s="8" t="str">
        <f>IF(A138="","",_xll.BDH(config!$H$4,C$1,$A138,$A138))</f>
        <v>#N/A Requesting Data...</v>
      </c>
      <c r="D138" s="8" t="str">
        <f>IF($A138="","",_xll.BDH(config!$H$4,D$1,$A138,$A138))</f>
        <v>#N/A Requesting Data...</v>
      </c>
      <c r="E138" s="8">
        <f>IF($A138="","",IF(ISNUMBER(FIND("IMPVOL",E$1)),_xll.BDH(config!$G$4,E$1,WORKDAY($A138,-1,config_Holiday_Calendar_US),WORKDAY($A138,-1,config_Holiday_Calendar_US)),IF(ISNUMBER(_xll.BDH(config!$G$4,E$1,$A138,$A138)),_xll.BDH(config!$G$4,E$1,$A138,$A138),_xll.BDH(config!$G$5,E$1,$A138,$A138))))</f>
        <v>44.5</v>
      </c>
      <c r="F138" s="8">
        <f>IF($A138="","",IF(ISNUMBER(FIND("IMPVOL",F$1)),_xll.BDH(config!$G$4,F$1,WORKDAY($A138,-1,config_Holiday_Calendar_US),WORKDAY($A138,-1,config_Holiday_Calendar_US)),IF(ISNUMBER(_xll.BDH(config!$G$4,F$1,$A138,$A138)),_xll.BDH(config!$G$4,F$1,$A138,$A138),_xll.BDH(config!$G$5,F$1,$A138,$A138))))</f>
        <v>45.65</v>
      </c>
      <c r="G138" s="8">
        <f>IF($A138="","",IF(ISNUMBER(FIND("IMPVOL",G$1)),_xll.BDH(config!$G$4,G$1,WORKDAY($A138,-1,config_Holiday_Calendar_US),WORKDAY($A138,-1,config_Holiday_Calendar_US)),IF(ISNUMBER(_xll.BDH(config!$G$4,G$1,$A138,$A138)),_xll.BDH(config!$G$4,G$1,$A138,$A138),_xll.BDH(config!$G$5,G$1,$A138,$A138))))</f>
        <v>45.1</v>
      </c>
      <c r="H138" s="8">
        <f>IF($A138="","",IF(ISNUMBER(FIND("IMPVOL",H$1)),_xll.BDH(config!$G$4,H$1,WORKDAY($A138,-1,config_Holiday_Calendar_US),WORKDAY($A138,-1,config_Holiday_Calendar_US)),IF(ISNUMBER(_xll.BDH(config!$G$4,H$1,$A138,$A138)),_xll.BDH(config!$G$4,H$1,$A138,$A138),_xll.BDH(config!$G$5,H$1,$A138,$A138))))</f>
        <v>218162</v>
      </c>
      <c r="I138" s="8" t="str">
        <f>IF($A138="","",IF(ISNUMBER(FIND("IMPVOL",I$1)),_xll.BDH(config!$G$4,I$1,WORKDAY($A138,-1,config_Holiday_Calendar_US),WORKDAY($A138,-1,config_Holiday_Calendar_US)),IF(ISNUMBER(_xll.BDH(config!$G$4,I$1,$A138,$A138)),_xll.BDH(config!$G$4,I$1,$A138,$A138),_xll.BDH(config!$G$5,I$1,$A138,$A138))))</f>
        <v>#N/A Requesting Data...</v>
      </c>
      <c r="J138" s="8" t="str">
        <f>IF($A138="","",IF(ISNUMBER(FIND("IMPVOL",J$1)),_xll.BDH(config!$G$4,J$1,WORKDAY($A138,-1,config_Holiday_Calendar_US),WORKDAY($A138,-1,config_Holiday_Calendar_US)),IF(ISNUMBER(_xll.BDH(config!$G$4,J$1,$A138,$A138)),_xll.BDH(config!$G$4,J$1,$A138,$A138),_xll.BDH(config!$G$5,J$1,$A138,$A138))))</f>
        <v>#N/A Requesting Data...</v>
      </c>
      <c r="K138" s="8" t="str">
        <f>IF($A138="","",IF(ISNUMBER(FIND("IMPVOL",K$1)),_xll.BDH(config!$G$4,K$1,WORKDAY($A138,-1,config_Holiday_Calendar_US),WORKDAY($A138,-1,config_Holiday_Calendar_US)),IF(ISNUMBER(_xll.BDH(config!$G$4,K$1,$A138,$A138)),_xll.BDH(config!$G$4,K$1,$A138,$A138),_xll.BDH(config!$G$5,K$1,$A138,$A138))))</f>
        <v>#N/A Requesting Data...</v>
      </c>
      <c r="L138" s="8" t="str">
        <f>IF($A138="","",IF(ISNUMBER(FIND("IMPVOL",L$1)),_xll.BDH(config!$G$4,L$1,WORKDAY($A138,-1,config_Holiday_Calendar_US),WORKDAY($A138,-1,config_Holiday_Calendar_US)),IF(ISNUMBER(_xll.BDH(config!$G$4,L$1,$A138,$A138)),_xll.BDH(config!$G$4,L$1,$A138,$A138),_xll.BDH(config!$G$5,L$1,$A138,$A138))))</f>
        <v>#N/A Requesting Data...</v>
      </c>
      <c r="M138" s="8" t="str">
        <f>IF($A138="","",IF(ISNUMBER(FIND("IMPVOL",M$1)),_xll.BDH(config!$G$4,M$1,WORKDAY($A138,-1,config_Holiday_Calendar_US),WORKDAY($A138,-1,config_Holiday_Calendar_US)),IF(ISNUMBER(_xll.BDH(config!$G$4,M$1,$A138,$A138)),_xll.BDH(config!$G$4,M$1,$A138,$A138),_xll.BDH(config!$G$5,M$1,$A138,$A138))))</f>
        <v>#N/A Requesting Data...</v>
      </c>
      <c r="N138" s="8" t="str">
        <f>IF($A138="","",IF(ISNUMBER(FIND("IMPVOL",N$1)),_xll.BDH(config!$G$4,N$1,WORKDAY($A138,-1,config_Holiday_Calendar_US),WORKDAY($A138,-1,config_Holiday_Calendar_US)),IF(ISNUMBER(_xll.BDH(config!$G$4,N$1,$A138,$A138)),_xll.BDH(config!$G$4,N$1,$A138,$A138),_xll.BDH(config!$G$5,N$1,$A138,$A138))))</f>
        <v>#N/A Requesting Data...</v>
      </c>
      <c r="O138" s="8" t="str">
        <f>IF($A138="","",IF(ISNUMBER(FIND("IMPVOL",O$1)),_xll.BDH(config!$G$4,O$1,WORKDAY($A138,-1,config_Holiday_Calendar_US),WORKDAY($A138,-1,config_Holiday_Calendar_US)),IF(ISNUMBER(_xll.BDH(config!$G$4,O$1,$A138,$A138)),_xll.BDH(config!$G$4,O$1,$A138,$A138),_xll.BDH(config!$G$5,O$1,$A138,$A138))))</f>
        <v>#N/A Requesting Data...</v>
      </c>
      <c r="P138" s="8" t="str">
        <f>IF($A138="","",IF(ISNUMBER(FIND("IMPVOL",P$1)),_xll.BDH(config!$G$4,P$1,WORKDAY($A138,-1,config_Holiday_Calendar_US),WORKDAY($A138,-1,config_Holiday_Calendar_US)),IF(ISNUMBER(_xll.BDH(config!$G$4,P$1,$A138,$A138)),_xll.BDH(config!$G$4,P$1,$A138,$A138),_xll.BDH(config!$G$5,P$1,$A138,$A138))))</f>
        <v>#N/A Requesting Data...</v>
      </c>
      <c r="Q138" s="8">
        <f>IF($A138="","",IF(ISNUMBER(FIND("IMPVOL",Q$1)),_xll.BDH(config!$G$4,Q$1,WORKDAY($A138,-1,config_Holiday_Calendar_US),WORKDAY($A138,-1,config_Holiday_Calendar_US)),IF(ISNUMBER(_xll.BDH(config!$G$4,Q$1,$A138,$A138)),_xll.BDH(config!$G$4,Q$1,$A138,$A138),_xll.BDH(config!$G$5,Q$1,$A138,$A138))))</f>
        <v>41.15</v>
      </c>
      <c r="R138" s="8">
        <f>IF($A138="","",IF(ISNUMBER(FIND("IMPVOL",R$1)),_xll.BDH(config!$G$4,R$1,WORKDAY($A138,-1,config_Holiday_Calendar_US),WORKDAY($A138,-1,config_Holiday_Calendar_US)),IF(ISNUMBER(_xll.BDH(config!$G$4,R$1,$A138,$A138)),_xll.BDH(config!$G$4,R$1,$A138,$A138),_xll.BDH(config!$G$5,R$1,$A138,$A138))))</f>
        <v>41.19</v>
      </c>
      <c r="S138" s="8" t="str">
        <f>IF($A138="","",IF(ISNUMBER(FIND("IMPVOL",S$1)),_xll.BDH(config!$G$4,S$1,WORKDAY($A138,-1,config_Holiday_Calendar_US),WORKDAY($A138,-1,config_Holiday_Calendar_US)),IF(ISNUMBER(_xll.BDH(config!$G$4,S$1,$A138,$A138)),_xll.BDH(config!$G$4,S$1,$A138,$A138),_xll.BDH(config!$G$5,S$1,$A138,$A138))))</f>
        <v>#N/A Requesting Data...</v>
      </c>
      <c r="T138" s="8" t="str">
        <f>IF($A138="","",IF(ISNUMBER(FIND("IMPVOL",T$1)),_xll.BDH(config!$G$4,T$1,WORKDAY($A138,-1,config_Holiday_Calendar_US),WORKDAY($A138,-1,config_Holiday_Calendar_US)),IF(ISNUMBER(_xll.BDH(config!$G$4,T$1,$A138,$A138)),_xll.BDH(config!$G$4,T$1,$A138,$A138),_xll.BDH(config!$G$5,T$1,$A138,$A138))))</f>
        <v>#N/A Requesting Data...</v>
      </c>
      <c r="U138" s="8" t="str">
        <f>IF($A138="","",IF(ISNUMBER(FIND("IMPVOL",U$1)),_xll.BDH(config!$G$4,U$1,WORKDAY($A138,-1,config_Holiday_Calendar_US),WORKDAY($A138,-1,config_Holiday_Calendar_US)),IF(ISNUMBER(_xll.BDH(config!$G$4,U$1,$A138,$A138)),_xll.BDH(config!$G$4,U$1,$A138,$A138),_xll.BDH(config!$G$5,U$1,$A138,$A138))))</f>
        <v>#N/A Requesting Data...</v>
      </c>
      <c r="V138" s="8" t="str">
        <f>IF($A138="","",IF(ISNUMBER(FIND("IMPVOL",V$1)),_xll.BDH(config!$G$4,V$1,WORKDAY($A138,-1,config_Holiday_Calendar_US),WORKDAY($A138,-1,config_Holiday_Calendar_US)),IF(ISNUMBER(_xll.BDH(config!$G$4,V$1,$A138,$A138)),_xll.BDH(config!$G$4,V$1,$A138,$A138),_xll.BDH(config!$G$5,V$1,$A138,$A138))))</f>
        <v>#N/A Requesting Data...</v>
      </c>
      <c r="W138" s="8" t="str">
        <f>IF($A138="","",IF(ISNUMBER(FIND("IMPVOL",W$1)),_xll.BDH(config!$G$4,W$1,WORKDAY($A138,-1,config_Holiday_Calendar_US),WORKDAY($A138,-1,config_Holiday_Calendar_US)),IF(ISNUMBER(_xll.BDH(config!$G$4,W$1,$A138,$A138)),_xll.BDH(config!$G$4,W$1,$A138,$A138),_xll.BDH(config!$G$5,W$1,$A138,$A138))))</f>
        <v>#N/A Requesting Data...</v>
      </c>
    </row>
    <row r="139" spans="1:23" x14ac:dyDescent="0.2">
      <c r="A139" s="9">
        <f>IF(A138="","",IF(WORKDAY(A138,-1,config_Holiday_Calendar_US)&lt;config!$I$10,"",WORKDAY(A138,-1,config_Holiday_Calendar_US)))</f>
        <v>42633</v>
      </c>
      <c r="B139" s="8" t="e">
        <f t="shared" si="2"/>
        <v>#VALUE!</v>
      </c>
      <c r="C139" s="8" t="str">
        <f>IF(A139="","",_xll.BDH(config!$H$4,C$1,$A139,$A139))</f>
        <v>#N/A Requesting Data...</v>
      </c>
      <c r="D139" s="8" t="str">
        <f>IF($A139="","",_xll.BDH(config!$H$4,D$1,$A139,$A139))</f>
        <v>#N/A Requesting Data...</v>
      </c>
      <c r="E139" s="8">
        <f>IF($A139="","",IF(ISNUMBER(FIND("IMPVOL",E$1)),_xll.BDH(config!$G$4,E$1,WORKDAY($A139,-1,config_Holiday_Calendar_US),WORKDAY($A139,-1,config_Holiday_Calendar_US)),IF(ISNUMBER(_xll.BDH(config!$G$4,E$1,$A139,$A139)),_xll.BDH(config!$G$4,E$1,$A139,$A139),_xll.BDH(config!$G$5,E$1,$A139,$A139))))</f>
        <v>43.13</v>
      </c>
      <c r="F139" s="8">
        <f>IF($A139="","",IF(ISNUMBER(FIND("IMPVOL",F$1)),_xll.BDH(config!$G$4,F$1,WORKDAY($A139,-1,config_Holiday_Calendar_US),WORKDAY($A139,-1,config_Holiday_Calendar_US)),IF(ISNUMBER(_xll.BDH(config!$G$4,F$1,$A139,$A139)),_xll.BDH(config!$G$4,F$1,$A139,$A139),_xll.BDH(config!$G$5,F$1,$A139,$A139))))</f>
        <v>44.05</v>
      </c>
      <c r="G139" s="8">
        <f>IF($A139="","",IF(ISNUMBER(FIND("IMPVOL",G$1)),_xll.BDH(config!$G$4,G$1,WORKDAY($A139,-1,config_Holiday_Calendar_US),WORKDAY($A139,-1,config_Holiday_Calendar_US)),IF(ISNUMBER(_xll.BDH(config!$G$4,G$1,$A139,$A139)),_xll.BDH(config!$G$4,G$1,$A139,$A139),_xll.BDH(config!$G$5,G$1,$A139,$A139))))</f>
        <v>43.06</v>
      </c>
      <c r="H139" s="8">
        <f>IF($A139="","",IF(ISNUMBER(FIND("IMPVOL",H$1)),_xll.BDH(config!$G$4,H$1,WORKDAY($A139,-1,config_Holiday_Calendar_US),WORKDAY($A139,-1,config_Holiday_Calendar_US)),IF(ISNUMBER(_xll.BDH(config!$G$4,H$1,$A139,$A139)),_xll.BDH(config!$G$4,H$1,$A139,$A139),_xll.BDH(config!$G$5,H$1,$A139,$A139))))</f>
        <v>694130</v>
      </c>
      <c r="I139" s="8" t="str">
        <f>IF($A139="","",IF(ISNUMBER(FIND("IMPVOL",I$1)),_xll.BDH(config!$G$4,I$1,WORKDAY($A139,-1,config_Holiday_Calendar_US),WORKDAY($A139,-1,config_Holiday_Calendar_US)),IF(ISNUMBER(_xll.BDH(config!$G$4,I$1,$A139,$A139)),_xll.BDH(config!$G$4,I$1,$A139,$A139),_xll.BDH(config!$G$5,I$1,$A139,$A139))))</f>
        <v>#N/A Requesting Data...</v>
      </c>
      <c r="J139" s="8" t="str">
        <f>IF($A139="","",IF(ISNUMBER(FIND("IMPVOL",J$1)),_xll.BDH(config!$G$4,J$1,WORKDAY($A139,-1,config_Holiday_Calendar_US),WORKDAY($A139,-1,config_Holiday_Calendar_US)),IF(ISNUMBER(_xll.BDH(config!$G$4,J$1,$A139,$A139)),_xll.BDH(config!$G$4,J$1,$A139,$A139),_xll.BDH(config!$G$5,J$1,$A139,$A139))))</f>
        <v>#N/A Requesting Data...</v>
      </c>
      <c r="K139" s="8" t="str">
        <f>IF($A139="","",IF(ISNUMBER(FIND("IMPVOL",K$1)),_xll.BDH(config!$G$4,K$1,WORKDAY($A139,-1,config_Holiday_Calendar_US),WORKDAY($A139,-1,config_Holiday_Calendar_US)),IF(ISNUMBER(_xll.BDH(config!$G$4,K$1,$A139,$A139)),_xll.BDH(config!$G$4,K$1,$A139,$A139),_xll.BDH(config!$G$5,K$1,$A139,$A139))))</f>
        <v>#N/A Requesting Data...</v>
      </c>
      <c r="L139" s="8" t="str">
        <f>IF($A139="","",IF(ISNUMBER(FIND("IMPVOL",L$1)),_xll.BDH(config!$G$4,L$1,WORKDAY($A139,-1,config_Holiday_Calendar_US),WORKDAY($A139,-1,config_Holiday_Calendar_US)),IF(ISNUMBER(_xll.BDH(config!$G$4,L$1,$A139,$A139)),_xll.BDH(config!$G$4,L$1,$A139,$A139),_xll.BDH(config!$G$5,L$1,$A139,$A139))))</f>
        <v>#N/A Requesting Data...</v>
      </c>
      <c r="M139" s="8" t="str">
        <f>IF($A139="","",IF(ISNUMBER(FIND("IMPVOL",M$1)),_xll.BDH(config!$G$4,M$1,WORKDAY($A139,-1,config_Holiday_Calendar_US),WORKDAY($A139,-1,config_Holiday_Calendar_US)),IF(ISNUMBER(_xll.BDH(config!$G$4,M$1,$A139,$A139)),_xll.BDH(config!$G$4,M$1,$A139,$A139),_xll.BDH(config!$G$5,M$1,$A139,$A139))))</f>
        <v>#N/A Requesting Data...</v>
      </c>
      <c r="N139" s="8" t="str">
        <f>IF($A139="","",IF(ISNUMBER(FIND("IMPVOL",N$1)),_xll.BDH(config!$G$4,N$1,WORKDAY($A139,-1,config_Holiday_Calendar_US),WORKDAY($A139,-1,config_Holiday_Calendar_US)),IF(ISNUMBER(_xll.BDH(config!$G$4,N$1,$A139,$A139)),_xll.BDH(config!$G$4,N$1,$A139,$A139),_xll.BDH(config!$G$5,N$1,$A139,$A139))))</f>
        <v>#N/A Requesting Data...</v>
      </c>
      <c r="O139" s="8" t="str">
        <f>IF($A139="","",IF(ISNUMBER(FIND("IMPVOL",O$1)),_xll.BDH(config!$G$4,O$1,WORKDAY($A139,-1,config_Holiday_Calendar_US),WORKDAY($A139,-1,config_Holiday_Calendar_US)),IF(ISNUMBER(_xll.BDH(config!$G$4,O$1,$A139,$A139)),_xll.BDH(config!$G$4,O$1,$A139,$A139),_xll.BDH(config!$G$5,O$1,$A139,$A139))))</f>
        <v>#N/A Requesting Data...</v>
      </c>
      <c r="P139" s="8" t="str">
        <f>IF($A139="","",IF(ISNUMBER(FIND("IMPVOL",P$1)),_xll.BDH(config!$G$4,P$1,WORKDAY($A139,-1,config_Holiday_Calendar_US),WORKDAY($A139,-1,config_Holiday_Calendar_US)),IF(ISNUMBER(_xll.BDH(config!$G$4,P$1,$A139,$A139)),_xll.BDH(config!$G$4,P$1,$A139,$A139),_xll.BDH(config!$G$5,P$1,$A139,$A139))))</f>
        <v>#N/A Requesting Data...</v>
      </c>
      <c r="Q139" s="8">
        <f>IF($A139="","",IF(ISNUMBER(FIND("IMPVOL",Q$1)),_xll.BDH(config!$G$4,Q$1,WORKDAY($A139,-1,config_Holiday_Calendar_US),WORKDAY($A139,-1,config_Holiday_Calendar_US)),IF(ISNUMBER(_xll.BDH(config!$G$4,Q$1,$A139,$A139)),_xll.BDH(config!$G$4,Q$1,$A139,$A139),_xll.BDH(config!$G$5,Q$1,$A139,$A139))))</f>
        <v>42.48</v>
      </c>
      <c r="R139" s="8">
        <f>IF($A139="","",IF(ISNUMBER(FIND("IMPVOL",R$1)),_xll.BDH(config!$G$4,R$1,WORKDAY($A139,-1,config_Holiday_Calendar_US),WORKDAY($A139,-1,config_Holiday_Calendar_US)),IF(ISNUMBER(_xll.BDH(config!$G$4,R$1,$A139,$A139)),_xll.BDH(config!$G$4,R$1,$A139,$A139),_xll.BDH(config!$G$5,R$1,$A139,$A139))))</f>
        <v>40.159999999999997</v>
      </c>
      <c r="S139" s="8" t="str">
        <f>IF($A139="","",IF(ISNUMBER(FIND("IMPVOL",S$1)),_xll.BDH(config!$G$4,S$1,WORKDAY($A139,-1,config_Holiday_Calendar_US),WORKDAY($A139,-1,config_Holiday_Calendar_US)),IF(ISNUMBER(_xll.BDH(config!$G$4,S$1,$A139,$A139)),_xll.BDH(config!$G$4,S$1,$A139,$A139),_xll.BDH(config!$G$5,S$1,$A139,$A139))))</f>
        <v>#N/A Requesting Data...</v>
      </c>
      <c r="T139" s="8" t="str">
        <f>IF($A139="","",IF(ISNUMBER(FIND("IMPVOL",T$1)),_xll.BDH(config!$G$4,T$1,WORKDAY($A139,-1,config_Holiday_Calendar_US),WORKDAY($A139,-1,config_Holiday_Calendar_US)),IF(ISNUMBER(_xll.BDH(config!$G$4,T$1,$A139,$A139)),_xll.BDH(config!$G$4,T$1,$A139,$A139),_xll.BDH(config!$G$5,T$1,$A139,$A139))))</f>
        <v>#N/A Requesting Data...</v>
      </c>
      <c r="U139" s="8" t="str">
        <f>IF($A139="","",IF(ISNUMBER(FIND("IMPVOL",U$1)),_xll.BDH(config!$G$4,U$1,WORKDAY($A139,-1,config_Holiday_Calendar_US),WORKDAY($A139,-1,config_Holiday_Calendar_US)),IF(ISNUMBER(_xll.BDH(config!$G$4,U$1,$A139,$A139)),_xll.BDH(config!$G$4,U$1,$A139,$A139),_xll.BDH(config!$G$5,U$1,$A139,$A139))))</f>
        <v>#N/A Requesting Data...</v>
      </c>
      <c r="V139" s="8" t="str">
        <f>IF($A139="","",IF(ISNUMBER(FIND("IMPVOL",V$1)),_xll.BDH(config!$G$4,V$1,WORKDAY($A139,-1,config_Holiday_Calendar_US),WORKDAY($A139,-1,config_Holiday_Calendar_US)),IF(ISNUMBER(_xll.BDH(config!$G$4,V$1,$A139,$A139)),_xll.BDH(config!$G$4,V$1,$A139,$A139),_xll.BDH(config!$G$5,V$1,$A139,$A139))))</f>
        <v>#N/A Requesting Data...</v>
      </c>
      <c r="W139" s="8" t="str">
        <f>IF($A139="","",IF(ISNUMBER(FIND("IMPVOL",W$1)),_xll.BDH(config!$G$4,W$1,WORKDAY($A139,-1,config_Holiday_Calendar_US),WORKDAY($A139,-1,config_Holiday_Calendar_US)),IF(ISNUMBER(_xll.BDH(config!$G$4,W$1,$A139,$A139)),_xll.BDH(config!$G$4,W$1,$A139,$A139),_xll.BDH(config!$G$5,W$1,$A139,$A139))))</f>
        <v>#N/A Requesting Data...</v>
      </c>
    </row>
    <row r="140" spans="1:23" x14ac:dyDescent="0.2">
      <c r="A140" s="9">
        <f>IF(A139="","",IF(WORKDAY(A139,-1,config_Holiday_Calendar_US)&lt;config!$I$10,"",WORKDAY(A139,-1,config_Holiday_Calendar_US)))</f>
        <v>42632</v>
      </c>
      <c r="B140" s="8" t="e">
        <f t="shared" si="2"/>
        <v>#VALUE!</v>
      </c>
      <c r="C140" s="8" t="str">
        <f>IF(A140="","",_xll.BDH(config!$H$4,C$1,$A140,$A140))</f>
        <v>#N/A Requesting Data...</v>
      </c>
      <c r="D140" s="8" t="str">
        <f>IF($A140="","",_xll.BDH(config!$H$4,D$1,$A140,$A140))</f>
        <v>#N/A Requesting Data...</v>
      </c>
      <c r="E140" s="8">
        <f>IF($A140="","",IF(ISNUMBER(FIND("IMPVOL",E$1)),_xll.BDH(config!$G$4,E$1,WORKDAY($A140,-1,config_Holiday_Calendar_US),WORKDAY($A140,-1,config_Holiday_Calendar_US)),IF(ISNUMBER(_xll.BDH(config!$G$4,E$1,$A140,$A140)),_xll.BDH(config!$G$4,E$1,$A140,$A140),_xll.BDH(config!$G$5,E$1,$A140,$A140))))</f>
        <v>43.18</v>
      </c>
      <c r="F140" s="8">
        <f>IF($A140="","",IF(ISNUMBER(FIND("IMPVOL",F$1)),_xll.BDH(config!$G$4,F$1,WORKDAY($A140,-1,config_Holiday_Calendar_US),WORKDAY($A140,-1,config_Holiday_Calendar_US)),IF(ISNUMBER(_xll.BDH(config!$G$4,F$1,$A140,$A140)),_xll.BDH(config!$G$4,F$1,$A140,$A140),_xll.BDH(config!$G$5,F$1,$A140,$A140))))</f>
        <v>44.15</v>
      </c>
      <c r="G140" s="8">
        <f>IF($A140="","",IF(ISNUMBER(FIND("IMPVOL",G$1)),_xll.BDH(config!$G$4,G$1,WORKDAY($A140,-1,config_Holiday_Calendar_US),WORKDAY($A140,-1,config_Holiday_Calendar_US)),IF(ISNUMBER(_xll.BDH(config!$G$4,G$1,$A140,$A140)),_xll.BDH(config!$G$4,G$1,$A140,$A140),_xll.BDH(config!$G$5,G$1,$A140,$A140))))</f>
        <v>43.66</v>
      </c>
      <c r="H140" s="8">
        <f>IF($A140="","",IF(ISNUMBER(FIND("IMPVOL",H$1)),_xll.BDH(config!$G$4,H$1,WORKDAY($A140,-1,config_Holiday_Calendar_US),WORKDAY($A140,-1,config_Holiday_Calendar_US)),IF(ISNUMBER(_xll.BDH(config!$G$4,H$1,$A140,$A140)),_xll.BDH(config!$G$4,H$1,$A140,$A140),_xll.BDH(config!$G$5,H$1,$A140,$A140))))</f>
        <v>515314</v>
      </c>
      <c r="I140" s="8" t="str">
        <f>IF($A140="","",IF(ISNUMBER(FIND("IMPVOL",I$1)),_xll.BDH(config!$G$4,I$1,WORKDAY($A140,-1,config_Holiday_Calendar_US),WORKDAY($A140,-1,config_Holiday_Calendar_US)),IF(ISNUMBER(_xll.BDH(config!$G$4,I$1,$A140,$A140)),_xll.BDH(config!$G$4,I$1,$A140,$A140),_xll.BDH(config!$G$5,I$1,$A140,$A140))))</f>
        <v>#N/A Requesting Data...</v>
      </c>
      <c r="J140" s="8" t="str">
        <f>IF($A140="","",IF(ISNUMBER(FIND("IMPVOL",J$1)),_xll.BDH(config!$G$4,J$1,WORKDAY($A140,-1,config_Holiday_Calendar_US),WORKDAY($A140,-1,config_Holiday_Calendar_US)),IF(ISNUMBER(_xll.BDH(config!$G$4,J$1,$A140,$A140)),_xll.BDH(config!$G$4,J$1,$A140,$A140),_xll.BDH(config!$G$5,J$1,$A140,$A140))))</f>
        <v>#N/A Requesting Data...</v>
      </c>
      <c r="K140" s="8" t="str">
        <f>IF($A140="","",IF(ISNUMBER(FIND("IMPVOL",K$1)),_xll.BDH(config!$G$4,K$1,WORKDAY($A140,-1,config_Holiday_Calendar_US),WORKDAY($A140,-1,config_Holiday_Calendar_US)),IF(ISNUMBER(_xll.BDH(config!$G$4,K$1,$A140,$A140)),_xll.BDH(config!$G$4,K$1,$A140,$A140),_xll.BDH(config!$G$5,K$1,$A140,$A140))))</f>
        <v>#N/A Requesting Data...</v>
      </c>
      <c r="L140" s="8" t="str">
        <f>IF($A140="","",IF(ISNUMBER(FIND("IMPVOL",L$1)),_xll.BDH(config!$G$4,L$1,WORKDAY($A140,-1,config_Holiday_Calendar_US),WORKDAY($A140,-1,config_Holiday_Calendar_US)),IF(ISNUMBER(_xll.BDH(config!$G$4,L$1,$A140,$A140)),_xll.BDH(config!$G$4,L$1,$A140,$A140),_xll.BDH(config!$G$5,L$1,$A140,$A140))))</f>
        <v>#N/A Requesting Data...</v>
      </c>
      <c r="M140" s="8" t="str">
        <f>IF($A140="","",IF(ISNUMBER(FIND("IMPVOL",M$1)),_xll.BDH(config!$G$4,M$1,WORKDAY($A140,-1,config_Holiday_Calendar_US),WORKDAY($A140,-1,config_Holiday_Calendar_US)),IF(ISNUMBER(_xll.BDH(config!$G$4,M$1,$A140,$A140)),_xll.BDH(config!$G$4,M$1,$A140,$A140),_xll.BDH(config!$G$5,M$1,$A140,$A140))))</f>
        <v>#N/A Requesting Data...</v>
      </c>
      <c r="N140" s="8" t="str">
        <f>IF($A140="","",IF(ISNUMBER(FIND("IMPVOL",N$1)),_xll.BDH(config!$G$4,N$1,WORKDAY($A140,-1,config_Holiday_Calendar_US),WORKDAY($A140,-1,config_Holiday_Calendar_US)),IF(ISNUMBER(_xll.BDH(config!$G$4,N$1,$A140,$A140)),_xll.BDH(config!$G$4,N$1,$A140,$A140),_xll.BDH(config!$G$5,N$1,$A140,$A140))))</f>
        <v>#N/A Requesting Data...</v>
      </c>
      <c r="O140" s="8" t="str">
        <f>IF($A140="","",IF(ISNUMBER(FIND("IMPVOL",O$1)),_xll.BDH(config!$G$4,O$1,WORKDAY($A140,-1,config_Holiday_Calendar_US),WORKDAY($A140,-1,config_Holiday_Calendar_US)),IF(ISNUMBER(_xll.BDH(config!$G$4,O$1,$A140,$A140)),_xll.BDH(config!$G$4,O$1,$A140,$A140),_xll.BDH(config!$G$5,O$1,$A140,$A140))))</f>
        <v>#N/A Requesting Data...</v>
      </c>
      <c r="P140" s="8" t="str">
        <f>IF($A140="","",IF(ISNUMBER(FIND("IMPVOL",P$1)),_xll.BDH(config!$G$4,P$1,WORKDAY($A140,-1,config_Holiday_Calendar_US),WORKDAY($A140,-1,config_Holiday_Calendar_US)),IF(ISNUMBER(_xll.BDH(config!$G$4,P$1,$A140,$A140)),_xll.BDH(config!$G$4,P$1,$A140,$A140),_xll.BDH(config!$G$5,P$1,$A140,$A140))))</f>
        <v>#N/A Requesting Data...</v>
      </c>
      <c r="Q140" s="8">
        <f>IF($A140="","",IF(ISNUMBER(FIND("IMPVOL",Q$1)),_xll.BDH(config!$G$4,Q$1,WORKDAY($A140,-1,config_Holiday_Calendar_US),WORKDAY($A140,-1,config_Holiday_Calendar_US)),IF(ISNUMBER(_xll.BDH(config!$G$4,Q$1,$A140,$A140)),_xll.BDH(config!$G$4,Q$1,$A140,$A140),_xll.BDH(config!$G$5,Q$1,$A140,$A140))))</f>
        <v>43.64</v>
      </c>
      <c r="R140" s="8">
        <f>IF($A140="","",IF(ISNUMBER(FIND("IMPVOL",R$1)),_xll.BDH(config!$G$4,R$1,WORKDAY($A140,-1,config_Holiday_Calendar_US),WORKDAY($A140,-1,config_Holiday_Calendar_US)),IF(ISNUMBER(_xll.BDH(config!$G$4,R$1,$A140,$A140)),_xll.BDH(config!$G$4,R$1,$A140,$A140),_xll.BDH(config!$G$5,R$1,$A140,$A140))))</f>
        <v>40.19</v>
      </c>
      <c r="S140" s="8" t="str">
        <f>IF($A140="","",IF(ISNUMBER(FIND("IMPVOL",S$1)),_xll.BDH(config!$G$4,S$1,WORKDAY($A140,-1,config_Holiday_Calendar_US),WORKDAY($A140,-1,config_Holiday_Calendar_US)),IF(ISNUMBER(_xll.BDH(config!$G$4,S$1,$A140,$A140)),_xll.BDH(config!$G$4,S$1,$A140,$A140),_xll.BDH(config!$G$5,S$1,$A140,$A140))))</f>
        <v>#N/A Requesting Data...</v>
      </c>
      <c r="T140" s="8" t="str">
        <f>IF($A140="","",IF(ISNUMBER(FIND("IMPVOL",T$1)),_xll.BDH(config!$G$4,T$1,WORKDAY($A140,-1,config_Holiday_Calendar_US),WORKDAY($A140,-1,config_Holiday_Calendar_US)),IF(ISNUMBER(_xll.BDH(config!$G$4,T$1,$A140,$A140)),_xll.BDH(config!$G$4,T$1,$A140,$A140),_xll.BDH(config!$G$5,T$1,$A140,$A140))))</f>
        <v>#N/A Requesting Data...</v>
      </c>
      <c r="U140" s="8" t="str">
        <f>IF($A140="","",IF(ISNUMBER(FIND("IMPVOL",U$1)),_xll.BDH(config!$G$4,U$1,WORKDAY($A140,-1,config_Holiday_Calendar_US),WORKDAY($A140,-1,config_Holiday_Calendar_US)),IF(ISNUMBER(_xll.BDH(config!$G$4,U$1,$A140,$A140)),_xll.BDH(config!$G$4,U$1,$A140,$A140),_xll.BDH(config!$G$5,U$1,$A140,$A140))))</f>
        <v>#N/A Requesting Data...</v>
      </c>
      <c r="V140" s="8" t="str">
        <f>IF($A140="","",IF(ISNUMBER(FIND("IMPVOL",V$1)),_xll.BDH(config!$G$4,V$1,WORKDAY($A140,-1,config_Holiday_Calendar_US),WORKDAY($A140,-1,config_Holiday_Calendar_US)),IF(ISNUMBER(_xll.BDH(config!$G$4,V$1,$A140,$A140)),_xll.BDH(config!$G$4,V$1,$A140,$A140),_xll.BDH(config!$G$5,V$1,$A140,$A140))))</f>
        <v>#N/A Requesting Data...</v>
      </c>
      <c r="W140" s="8" t="str">
        <f>IF($A140="","",IF(ISNUMBER(FIND("IMPVOL",W$1)),_xll.BDH(config!$G$4,W$1,WORKDAY($A140,-1,config_Holiday_Calendar_US),WORKDAY($A140,-1,config_Holiday_Calendar_US)),IF(ISNUMBER(_xll.BDH(config!$G$4,W$1,$A140,$A140)),_xll.BDH(config!$G$4,W$1,$A140,$A140),_xll.BDH(config!$G$5,W$1,$A140,$A140))))</f>
        <v>#N/A Requesting Data...</v>
      </c>
    </row>
    <row r="141" spans="1:23" x14ac:dyDescent="0.2">
      <c r="A141" s="9">
        <f>IF(A140="","",IF(WORKDAY(A140,-1,config_Holiday_Calendar_US)&lt;config!$I$10,"",WORKDAY(A140,-1,config_Holiday_Calendar_US)))</f>
        <v>42629</v>
      </c>
      <c r="B141" s="8" t="e">
        <f t="shared" si="2"/>
        <v>#VALUE!</v>
      </c>
      <c r="C141" s="8" t="str">
        <f>IF(A141="","",_xll.BDH(config!$H$4,C$1,$A141,$A141))</f>
        <v>#N/A Requesting Data...</v>
      </c>
      <c r="D141" s="8" t="str">
        <f>IF($A141="","",_xll.BDH(config!$H$4,D$1,$A141,$A141))</f>
        <v>#N/A Requesting Data...</v>
      </c>
      <c r="E141" s="8">
        <f>IF($A141="","",IF(ISNUMBER(FIND("IMPVOL",E$1)),_xll.BDH(config!$G$4,E$1,WORKDAY($A141,-1,config_Holiday_Calendar_US),WORKDAY($A141,-1,config_Holiday_Calendar_US)),IF(ISNUMBER(_xll.BDH(config!$G$4,E$1,$A141,$A141)),_xll.BDH(config!$G$4,E$1,$A141,$A141),_xll.BDH(config!$G$5,E$1,$A141,$A141))))</f>
        <v>43.71</v>
      </c>
      <c r="F141" s="8">
        <f>IF($A141="","",IF(ISNUMBER(FIND("IMPVOL",F$1)),_xll.BDH(config!$G$4,F$1,WORKDAY($A141,-1,config_Holiday_Calendar_US),WORKDAY($A141,-1,config_Holiday_Calendar_US)),IF(ISNUMBER(_xll.BDH(config!$G$4,F$1,$A141,$A141)),_xll.BDH(config!$G$4,F$1,$A141,$A141),_xll.BDH(config!$G$5,F$1,$A141,$A141))))</f>
        <v>43.75</v>
      </c>
      <c r="G141" s="8">
        <f>IF($A141="","",IF(ISNUMBER(FIND("IMPVOL",G$1)),_xll.BDH(config!$G$4,G$1,WORKDAY($A141,-1,config_Holiday_Calendar_US),WORKDAY($A141,-1,config_Holiday_Calendar_US)),IF(ISNUMBER(_xll.BDH(config!$G$4,G$1,$A141,$A141)),_xll.BDH(config!$G$4,G$1,$A141,$A141),_xll.BDH(config!$G$5,G$1,$A141,$A141))))</f>
        <v>43.35</v>
      </c>
      <c r="H141" s="8">
        <f>IF($A141="","",IF(ISNUMBER(FIND("IMPVOL",H$1)),_xll.BDH(config!$G$4,H$1,WORKDAY($A141,-1,config_Holiday_Calendar_US),WORKDAY($A141,-1,config_Holiday_Calendar_US)),IF(ISNUMBER(_xll.BDH(config!$G$4,H$1,$A141,$A141)),_xll.BDH(config!$G$4,H$1,$A141,$A141),_xll.BDH(config!$G$5,H$1,$A141,$A141))))</f>
        <v>421422</v>
      </c>
      <c r="I141" s="8" t="str">
        <f>IF($A141="","",IF(ISNUMBER(FIND("IMPVOL",I$1)),_xll.BDH(config!$G$4,I$1,WORKDAY($A141,-1,config_Holiday_Calendar_US),WORKDAY($A141,-1,config_Holiday_Calendar_US)),IF(ISNUMBER(_xll.BDH(config!$G$4,I$1,$A141,$A141)),_xll.BDH(config!$G$4,I$1,$A141,$A141),_xll.BDH(config!$G$5,I$1,$A141,$A141))))</f>
        <v>#N/A Requesting Data...</v>
      </c>
      <c r="J141" s="8" t="str">
        <f>IF($A141="","",IF(ISNUMBER(FIND("IMPVOL",J$1)),_xll.BDH(config!$G$4,J$1,WORKDAY($A141,-1,config_Holiday_Calendar_US),WORKDAY($A141,-1,config_Holiday_Calendar_US)),IF(ISNUMBER(_xll.BDH(config!$G$4,J$1,$A141,$A141)),_xll.BDH(config!$G$4,J$1,$A141,$A141),_xll.BDH(config!$G$5,J$1,$A141,$A141))))</f>
        <v>#N/A Requesting Data...</v>
      </c>
      <c r="K141" s="8" t="str">
        <f>IF($A141="","",IF(ISNUMBER(FIND("IMPVOL",K$1)),_xll.BDH(config!$G$4,K$1,WORKDAY($A141,-1,config_Holiday_Calendar_US),WORKDAY($A141,-1,config_Holiday_Calendar_US)),IF(ISNUMBER(_xll.BDH(config!$G$4,K$1,$A141,$A141)),_xll.BDH(config!$G$4,K$1,$A141,$A141),_xll.BDH(config!$G$5,K$1,$A141,$A141))))</f>
        <v>#N/A Requesting Data...</v>
      </c>
      <c r="L141" s="8" t="str">
        <f>IF($A141="","",IF(ISNUMBER(FIND("IMPVOL",L$1)),_xll.BDH(config!$G$4,L$1,WORKDAY($A141,-1,config_Holiday_Calendar_US),WORKDAY($A141,-1,config_Holiday_Calendar_US)),IF(ISNUMBER(_xll.BDH(config!$G$4,L$1,$A141,$A141)),_xll.BDH(config!$G$4,L$1,$A141,$A141),_xll.BDH(config!$G$5,L$1,$A141,$A141))))</f>
        <v>#N/A Requesting Data...</v>
      </c>
      <c r="M141" s="8" t="str">
        <f>IF($A141="","",IF(ISNUMBER(FIND("IMPVOL",M$1)),_xll.BDH(config!$G$4,M$1,WORKDAY($A141,-1,config_Holiday_Calendar_US),WORKDAY($A141,-1,config_Holiday_Calendar_US)),IF(ISNUMBER(_xll.BDH(config!$G$4,M$1,$A141,$A141)),_xll.BDH(config!$G$4,M$1,$A141,$A141),_xll.BDH(config!$G$5,M$1,$A141,$A141))))</f>
        <v>#N/A Requesting Data...</v>
      </c>
      <c r="N141" s="8" t="str">
        <f>IF($A141="","",IF(ISNUMBER(FIND("IMPVOL",N$1)),_xll.BDH(config!$G$4,N$1,WORKDAY($A141,-1,config_Holiday_Calendar_US),WORKDAY($A141,-1,config_Holiday_Calendar_US)),IF(ISNUMBER(_xll.BDH(config!$G$4,N$1,$A141,$A141)),_xll.BDH(config!$G$4,N$1,$A141,$A141),_xll.BDH(config!$G$5,N$1,$A141,$A141))))</f>
        <v>#N/A Requesting Data...</v>
      </c>
      <c r="O141" s="8" t="str">
        <f>IF($A141="","",IF(ISNUMBER(FIND("IMPVOL",O$1)),_xll.BDH(config!$G$4,O$1,WORKDAY($A141,-1,config_Holiday_Calendar_US),WORKDAY($A141,-1,config_Holiday_Calendar_US)),IF(ISNUMBER(_xll.BDH(config!$G$4,O$1,$A141,$A141)),_xll.BDH(config!$G$4,O$1,$A141,$A141),_xll.BDH(config!$G$5,O$1,$A141,$A141))))</f>
        <v>#N/A Requesting Data...</v>
      </c>
      <c r="P141" s="8" t="str">
        <f>IF($A141="","",IF(ISNUMBER(FIND("IMPVOL",P$1)),_xll.BDH(config!$G$4,P$1,WORKDAY($A141,-1,config_Holiday_Calendar_US),WORKDAY($A141,-1,config_Holiday_Calendar_US)),IF(ISNUMBER(_xll.BDH(config!$G$4,P$1,$A141,$A141)),_xll.BDH(config!$G$4,P$1,$A141,$A141),_xll.BDH(config!$G$5,P$1,$A141,$A141))))</f>
        <v>#N/A Requesting Data...</v>
      </c>
      <c r="Q141" s="8">
        <f>IF($A141="","",IF(ISNUMBER(FIND("IMPVOL",Q$1)),_xll.BDH(config!$G$4,Q$1,WORKDAY($A141,-1,config_Holiday_Calendar_US),WORKDAY($A141,-1,config_Holiday_Calendar_US)),IF(ISNUMBER(_xll.BDH(config!$G$4,Q$1,$A141,$A141)),_xll.BDH(config!$G$4,Q$1,$A141,$A141),_xll.BDH(config!$G$5,Q$1,$A141,$A141))))</f>
        <v>43.95</v>
      </c>
      <c r="R141" s="8">
        <f>IF($A141="","",IF(ISNUMBER(FIND("IMPVOL",R$1)),_xll.BDH(config!$G$4,R$1,WORKDAY($A141,-1,config_Holiday_Calendar_US),WORKDAY($A141,-1,config_Holiday_Calendar_US)),IF(ISNUMBER(_xll.BDH(config!$G$4,R$1,$A141,$A141)),_xll.BDH(config!$G$4,R$1,$A141,$A141),_xll.BDH(config!$G$5,R$1,$A141,$A141))))</f>
        <v>41</v>
      </c>
      <c r="S141" s="8" t="str">
        <f>IF($A141="","",IF(ISNUMBER(FIND("IMPVOL",S$1)),_xll.BDH(config!$G$4,S$1,WORKDAY($A141,-1,config_Holiday_Calendar_US),WORKDAY($A141,-1,config_Holiday_Calendar_US)),IF(ISNUMBER(_xll.BDH(config!$G$4,S$1,$A141,$A141)),_xll.BDH(config!$G$4,S$1,$A141,$A141),_xll.BDH(config!$G$5,S$1,$A141,$A141))))</f>
        <v>#N/A Requesting Data...</v>
      </c>
      <c r="T141" s="8" t="str">
        <f>IF($A141="","",IF(ISNUMBER(FIND("IMPVOL",T$1)),_xll.BDH(config!$G$4,T$1,WORKDAY($A141,-1,config_Holiday_Calendar_US),WORKDAY($A141,-1,config_Holiday_Calendar_US)),IF(ISNUMBER(_xll.BDH(config!$G$4,T$1,$A141,$A141)),_xll.BDH(config!$G$4,T$1,$A141,$A141),_xll.BDH(config!$G$5,T$1,$A141,$A141))))</f>
        <v>#N/A Requesting Data...</v>
      </c>
      <c r="U141" s="8" t="str">
        <f>IF($A141="","",IF(ISNUMBER(FIND("IMPVOL",U$1)),_xll.BDH(config!$G$4,U$1,WORKDAY($A141,-1,config_Holiday_Calendar_US),WORKDAY($A141,-1,config_Holiday_Calendar_US)),IF(ISNUMBER(_xll.BDH(config!$G$4,U$1,$A141,$A141)),_xll.BDH(config!$G$4,U$1,$A141,$A141),_xll.BDH(config!$G$5,U$1,$A141,$A141))))</f>
        <v>#N/A Requesting Data...</v>
      </c>
      <c r="V141" s="8" t="str">
        <f>IF($A141="","",IF(ISNUMBER(FIND("IMPVOL",V$1)),_xll.BDH(config!$G$4,V$1,WORKDAY($A141,-1,config_Holiday_Calendar_US),WORKDAY($A141,-1,config_Holiday_Calendar_US)),IF(ISNUMBER(_xll.BDH(config!$G$4,V$1,$A141,$A141)),_xll.BDH(config!$G$4,V$1,$A141,$A141),_xll.BDH(config!$G$5,V$1,$A141,$A141))))</f>
        <v>#N/A Requesting Data...</v>
      </c>
      <c r="W141" s="8" t="str">
        <f>IF($A141="","",IF(ISNUMBER(FIND("IMPVOL",W$1)),_xll.BDH(config!$G$4,W$1,WORKDAY($A141,-1,config_Holiday_Calendar_US),WORKDAY($A141,-1,config_Holiday_Calendar_US)),IF(ISNUMBER(_xll.BDH(config!$G$4,W$1,$A141,$A141)),_xll.BDH(config!$G$4,W$1,$A141,$A141),_xll.BDH(config!$G$5,W$1,$A141,$A141))))</f>
        <v>#N/A Requesting Data...</v>
      </c>
    </row>
    <row r="142" spans="1:23" x14ac:dyDescent="0.2">
      <c r="A142" s="9">
        <f>IF(A141="","",IF(WORKDAY(A141,-1,config_Holiday_Calendar_US)&lt;config!$I$10,"",WORKDAY(A141,-1,config_Holiday_Calendar_US)))</f>
        <v>42628</v>
      </c>
      <c r="B142" s="8" t="e">
        <f t="shared" si="2"/>
        <v>#VALUE!</v>
      </c>
      <c r="C142" s="8" t="str">
        <f>IF(A142="","",_xll.BDH(config!$H$4,C$1,$A142,$A142))</f>
        <v>#N/A Requesting Data...</v>
      </c>
      <c r="D142" s="8" t="str">
        <f>IF($A142="","",_xll.BDH(config!$H$4,D$1,$A142,$A142))</f>
        <v>#N/A Requesting Data...</v>
      </c>
      <c r="E142" s="8">
        <f>IF($A142="","",IF(ISNUMBER(FIND("IMPVOL",E$1)),_xll.BDH(config!$G$4,E$1,WORKDAY($A142,-1,config_Holiday_Calendar_US),WORKDAY($A142,-1,config_Holiday_Calendar_US)),IF(ISNUMBER(_xll.BDH(config!$G$4,E$1,$A142,$A142)),_xll.BDH(config!$G$4,E$1,$A142,$A142),_xll.BDH(config!$G$5,E$1,$A142,$A142))))</f>
        <v>43.7</v>
      </c>
      <c r="F142" s="8">
        <f>IF($A142="","",IF(ISNUMBER(FIND("IMPVOL",F$1)),_xll.BDH(config!$G$4,F$1,WORKDAY($A142,-1,config_Holiday_Calendar_US),WORKDAY($A142,-1,config_Holiday_Calendar_US)),IF(ISNUMBER(_xll.BDH(config!$G$4,F$1,$A142,$A142)),_xll.BDH(config!$G$4,F$1,$A142,$A142),_xll.BDH(config!$G$5,F$1,$A142,$A142))))</f>
        <v>44.34</v>
      </c>
      <c r="G142" s="8">
        <f>IF($A142="","",IF(ISNUMBER(FIND("IMPVOL",G$1)),_xll.BDH(config!$G$4,G$1,WORKDAY($A142,-1,config_Holiday_Calendar_US),WORKDAY($A142,-1,config_Holiday_Calendar_US)),IF(ISNUMBER(_xll.BDH(config!$G$4,G$1,$A142,$A142)),_xll.BDH(config!$G$4,G$1,$A142,$A142),_xll.BDH(config!$G$5,G$1,$A142,$A142))))</f>
        <v>43.87</v>
      </c>
      <c r="H142" s="8">
        <f>IF($A142="","",IF(ISNUMBER(FIND("IMPVOL",H$1)),_xll.BDH(config!$G$4,H$1,WORKDAY($A142,-1,config_Holiday_Calendar_US),WORKDAY($A142,-1,config_Holiday_Calendar_US)),IF(ISNUMBER(_xll.BDH(config!$G$4,H$1,$A142,$A142)),_xll.BDH(config!$G$4,H$1,$A142,$A142),_xll.BDH(config!$G$5,H$1,$A142,$A142))))</f>
        <v>392520</v>
      </c>
      <c r="I142" s="8" t="str">
        <f>IF($A142="","",IF(ISNUMBER(FIND("IMPVOL",I$1)),_xll.BDH(config!$G$4,I$1,WORKDAY($A142,-1,config_Holiday_Calendar_US),WORKDAY($A142,-1,config_Holiday_Calendar_US)),IF(ISNUMBER(_xll.BDH(config!$G$4,I$1,$A142,$A142)),_xll.BDH(config!$G$4,I$1,$A142,$A142),_xll.BDH(config!$G$5,I$1,$A142,$A142))))</f>
        <v>#N/A Requesting Data...</v>
      </c>
      <c r="J142" s="8" t="str">
        <f>IF($A142="","",IF(ISNUMBER(FIND("IMPVOL",J$1)),_xll.BDH(config!$G$4,J$1,WORKDAY($A142,-1,config_Holiday_Calendar_US),WORKDAY($A142,-1,config_Holiday_Calendar_US)),IF(ISNUMBER(_xll.BDH(config!$G$4,J$1,$A142,$A142)),_xll.BDH(config!$G$4,J$1,$A142,$A142),_xll.BDH(config!$G$5,J$1,$A142,$A142))))</f>
        <v>#N/A Requesting Data...</v>
      </c>
      <c r="K142" s="8" t="str">
        <f>IF($A142="","",IF(ISNUMBER(FIND("IMPVOL",K$1)),_xll.BDH(config!$G$4,K$1,WORKDAY($A142,-1,config_Holiday_Calendar_US),WORKDAY($A142,-1,config_Holiday_Calendar_US)),IF(ISNUMBER(_xll.BDH(config!$G$4,K$1,$A142,$A142)),_xll.BDH(config!$G$4,K$1,$A142,$A142),_xll.BDH(config!$G$5,K$1,$A142,$A142))))</f>
        <v>#N/A Requesting Data...</v>
      </c>
      <c r="L142" s="8" t="str">
        <f>IF($A142="","",IF(ISNUMBER(FIND("IMPVOL",L$1)),_xll.BDH(config!$G$4,L$1,WORKDAY($A142,-1,config_Holiday_Calendar_US),WORKDAY($A142,-1,config_Holiday_Calendar_US)),IF(ISNUMBER(_xll.BDH(config!$G$4,L$1,$A142,$A142)),_xll.BDH(config!$G$4,L$1,$A142,$A142),_xll.BDH(config!$G$5,L$1,$A142,$A142))))</f>
        <v>#N/A Requesting Data...</v>
      </c>
      <c r="M142" s="8" t="str">
        <f>IF($A142="","",IF(ISNUMBER(FIND("IMPVOL",M$1)),_xll.BDH(config!$G$4,M$1,WORKDAY($A142,-1,config_Holiday_Calendar_US),WORKDAY($A142,-1,config_Holiday_Calendar_US)),IF(ISNUMBER(_xll.BDH(config!$G$4,M$1,$A142,$A142)),_xll.BDH(config!$G$4,M$1,$A142,$A142),_xll.BDH(config!$G$5,M$1,$A142,$A142))))</f>
        <v>#N/A Requesting Data...</v>
      </c>
      <c r="N142" s="8" t="str">
        <f>IF($A142="","",IF(ISNUMBER(FIND("IMPVOL",N$1)),_xll.BDH(config!$G$4,N$1,WORKDAY($A142,-1,config_Holiday_Calendar_US),WORKDAY($A142,-1,config_Holiday_Calendar_US)),IF(ISNUMBER(_xll.BDH(config!$G$4,N$1,$A142,$A142)),_xll.BDH(config!$G$4,N$1,$A142,$A142),_xll.BDH(config!$G$5,N$1,$A142,$A142))))</f>
        <v>#N/A Requesting Data...</v>
      </c>
      <c r="O142" s="8" t="str">
        <f>IF($A142="","",IF(ISNUMBER(FIND("IMPVOL",O$1)),_xll.BDH(config!$G$4,O$1,WORKDAY($A142,-1,config_Holiday_Calendar_US),WORKDAY($A142,-1,config_Holiday_Calendar_US)),IF(ISNUMBER(_xll.BDH(config!$G$4,O$1,$A142,$A142)),_xll.BDH(config!$G$4,O$1,$A142,$A142),_xll.BDH(config!$G$5,O$1,$A142,$A142))))</f>
        <v>#N/A Requesting Data...</v>
      </c>
      <c r="P142" s="8" t="str">
        <f>IF($A142="","",IF(ISNUMBER(FIND("IMPVOL",P$1)),_xll.BDH(config!$G$4,P$1,WORKDAY($A142,-1,config_Holiday_Calendar_US),WORKDAY($A142,-1,config_Holiday_Calendar_US)),IF(ISNUMBER(_xll.BDH(config!$G$4,P$1,$A142,$A142)),_xll.BDH(config!$G$4,P$1,$A142,$A142),_xll.BDH(config!$G$5,P$1,$A142,$A142))))</f>
        <v>#N/A Requesting Data...</v>
      </c>
      <c r="Q142" s="8">
        <f>IF($A142="","",IF(ISNUMBER(FIND("IMPVOL",Q$1)),_xll.BDH(config!$G$4,Q$1,WORKDAY($A142,-1,config_Holiday_Calendar_US),WORKDAY($A142,-1,config_Holiday_Calendar_US)),IF(ISNUMBER(_xll.BDH(config!$G$4,Q$1,$A142,$A142)),_xll.BDH(config!$G$4,Q$1,$A142,$A142),_xll.BDH(config!$G$5,Q$1,$A142,$A142))))</f>
        <v>45.79</v>
      </c>
      <c r="R142" s="8">
        <f>IF($A142="","",IF(ISNUMBER(FIND("IMPVOL",R$1)),_xll.BDH(config!$G$4,R$1,WORKDAY($A142,-1,config_Holiday_Calendar_US),WORKDAY($A142,-1,config_Holiday_Calendar_US)),IF(ISNUMBER(_xll.BDH(config!$G$4,R$1,$A142,$A142)),_xll.BDH(config!$G$4,R$1,$A142,$A142),_xll.BDH(config!$G$5,R$1,$A142,$A142))))</f>
        <v>40.49</v>
      </c>
      <c r="S142" s="8" t="str">
        <f>IF($A142="","",IF(ISNUMBER(FIND("IMPVOL",S$1)),_xll.BDH(config!$G$4,S$1,WORKDAY($A142,-1,config_Holiday_Calendar_US),WORKDAY($A142,-1,config_Holiday_Calendar_US)),IF(ISNUMBER(_xll.BDH(config!$G$4,S$1,$A142,$A142)),_xll.BDH(config!$G$4,S$1,$A142,$A142),_xll.BDH(config!$G$5,S$1,$A142,$A142))))</f>
        <v>#N/A Requesting Data...</v>
      </c>
      <c r="T142" s="8" t="str">
        <f>IF($A142="","",IF(ISNUMBER(FIND("IMPVOL",T$1)),_xll.BDH(config!$G$4,T$1,WORKDAY($A142,-1,config_Holiday_Calendar_US),WORKDAY($A142,-1,config_Holiday_Calendar_US)),IF(ISNUMBER(_xll.BDH(config!$G$4,T$1,$A142,$A142)),_xll.BDH(config!$G$4,T$1,$A142,$A142),_xll.BDH(config!$G$5,T$1,$A142,$A142))))</f>
        <v>#N/A Requesting Data...</v>
      </c>
      <c r="U142" s="8" t="str">
        <f>IF($A142="","",IF(ISNUMBER(FIND("IMPVOL",U$1)),_xll.BDH(config!$G$4,U$1,WORKDAY($A142,-1,config_Holiday_Calendar_US),WORKDAY($A142,-1,config_Holiday_Calendar_US)),IF(ISNUMBER(_xll.BDH(config!$G$4,U$1,$A142,$A142)),_xll.BDH(config!$G$4,U$1,$A142,$A142),_xll.BDH(config!$G$5,U$1,$A142,$A142))))</f>
        <v>#N/A Requesting Data...</v>
      </c>
      <c r="V142" s="8" t="str">
        <f>IF($A142="","",IF(ISNUMBER(FIND("IMPVOL",V$1)),_xll.BDH(config!$G$4,V$1,WORKDAY($A142,-1,config_Holiday_Calendar_US),WORKDAY($A142,-1,config_Holiday_Calendar_US)),IF(ISNUMBER(_xll.BDH(config!$G$4,V$1,$A142,$A142)),_xll.BDH(config!$G$4,V$1,$A142,$A142),_xll.BDH(config!$G$5,V$1,$A142,$A142))))</f>
        <v>#N/A Requesting Data...</v>
      </c>
      <c r="W142" s="8" t="str">
        <f>IF($A142="","",IF(ISNUMBER(FIND("IMPVOL",W$1)),_xll.BDH(config!$G$4,W$1,WORKDAY($A142,-1,config_Holiday_Calendar_US),WORKDAY($A142,-1,config_Holiday_Calendar_US)),IF(ISNUMBER(_xll.BDH(config!$G$4,W$1,$A142,$A142)),_xll.BDH(config!$G$4,W$1,$A142,$A142),_xll.BDH(config!$G$5,W$1,$A142,$A142))))</f>
        <v>#N/A Requesting Data...</v>
      </c>
    </row>
    <row r="143" spans="1:23" x14ac:dyDescent="0.2">
      <c r="A143" s="9">
        <f>IF(A142="","",IF(WORKDAY(A142,-1,config_Holiday_Calendar_US)&lt;config!$I$10,"",WORKDAY(A142,-1,config_Holiday_Calendar_US)))</f>
        <v>42627</v>
      </c>
      <c r="B143" s="8" t="e">
        <f t="shared" si="2"/>
        <v>#VALUE!</v>
      </c>
      <c r="C143" s="8" t="str">
        <f>IF(A143="","",_xll.BDH(config!$H$4,C$1,$A143,$A143))</f>
        <v>#N/A Requesting Data...</v>
      </c>
      <c r="D143" s="8" t="str">
        <f>IF($A143="","",_xll.BDH(config!$H$4,D$1,$A143,$A143))</f>
        <v>#N/A Requesting Data...</v>
      </c>
      <c r="E143" s="8">
        <f>IF($A143="","",IF(ISNUMBER(FIND("IMPVOL",E$1)),_xll.BDH(config!$G$4,E$1,WORKDAY($A143,-1,config_Holiday_Calendar_US),WORKDAY($A143,-1,config_Holiday_Calendar_US)),IF(ISNUMBER(_xll.BDH(config!$G$4,E$1,$A143,$A143)),_xll.BDH(config!$G$4,E$1,$A143,$A143),_xll.BDH(config!$G$5,E$1,$A143,$A143))))</f>
        <v>45</v>
      </c>
      <c r="F143" s="8">
        <f>IF($A143="","",IF(ISNUMBER(FIND("IMPVOL",F$1)),_xll.BDH(config!$G$4,F$1,WORKDAY($A143,-1,config_Holiday_Calendar_US),WORKDAY($A143,-1,config_Holiday_Calendar_US)),IF(ISNUMBER(_xll.BDH(config!$G$4,F$1,$A143,$A143)),_xll.BDH(config!$G$4,F$1,$A143,$A143),_xll.BDH(config!$G$5,F$1,$A143,$A143))))</f>
        <v>45.33</v>
      </c>
      <c r="G143" s="8">
        <f>IF($A143="","",IF(ISNUMBER(FIND("IMPVOL",G$1)),_xll.BDH(config!$G$4,G$1,WORKDAY($A143,-1,config_Holiday_Calendar_US),WORKDAY($A143,-1,config_Holiday_Calendar_US)),IF(ISNUMBER(_xll.BDH(config!$G$4,G$1,$A143,$A143)),_xll.BDH(config!$G$4,G$1,$A143,$A143),_xll.BDH(config!$G$5,G$1,$A143,$A143))))</f>
        <v>44</v>
      </c>
      <c r="H143" s="8">
        <f>IF($A143="","",IF(ISNUMBER(FIND("IMPVOL",H$1)),_xll.BDH(config!$G$4,H$1,WORKDAY($A143,-1,config_Holiday_Calendar_US),WORKDAY($A143,-1,config_Holiday_Calendar_US)),IF(ISNUMBER(_xll.BDH(config!$G$4,H$1,$A143,$A143)),_xll.BDH(config!$G$4,H$1,$A143,$A143),_xll.BDH(config!$G$5,H$1,$A143,$A143))))</f>
        <v>350533</v>
      </c>
      <c r="I143" s="8" t="str">
        <f>IF($A143="","",IF(ISNUMBER(FIND("IMPVOL",I$1)),_xll.BDH(config!$G$4,I$1,WORKDAY($A143,-1,config_Holiday_Calendar_US),WORKDAY($A143,-1,config_Holiday_Calendar_US)),IF(ISNUMBER(_xll.BDH(config!$G$4,I$1,$A143,$A143)),_xll.BDH(config!$G$4,I$1,$A143,$A143),_xll.BDH(config!$G$5,I$1,$A143,$A143))))</f>
        <v>#N/A Requesting Data...</v>
      </c>
      <c r="J143" s="8" t="str">
        <f>IF($A143="","",IF(ISNUMBER(FIND("IMPVOL",J$1)),_xll.BDH(config!$G$4,J$1,WORKDAY($A143,-1,config_Holiday_Calendar_US),WORKDAY($A143,-1,config_Holiday_Calendar_US)),IF(ISNUMBER(_xll.BDH(config!$G$4,J$1,$A143,$A143)),_xll.BDH(config!$G$4,J$1,$A143,$A143),_xll.BDH(config!$G$5,J$1,$A143,$A143))))</f>
        <v>#N/A Requesting Data...</v>
      </c>
      <c r="K143" s="8" t="str">
        <f>IF($A143="","",IF(ISNUMBER(FIND("IMPVOL",K$1)),_xll.BDH(config!$G$4,K$1,WORKDAY($A143,-1,config_Holiday_Calendar_US),WORKDAY($A143,-1,config_Holiday_Calendar_US)),IF(ISNUMBER(_xll.BDH(config!$G$4,K$1,$A143,$A143)),_xll.BDH(config!$G$4,K$1,$A143,$A143),_xll.BDH(config!$G$5,K$1,$A143,$A143))))</f>
        <v>#N/A Requesting Data...</v>
      </c>
      <c r="L143" s="8" t="str">
        <f>IF($A143="","",IF(ISNUMBER(FIND("IMPVOL",L$1)),_xll.BDH(config!$G$4,L$1,WORKDAY($A143,-1,config_Holiday_Calendar_US),WORKDAY($A143,-1,config_Holiday_Calendar_US)),IF(ISNUMBER(_xll.BDH(config!$G$4,L$1,$A143,$A143)),_xll.BDH(config!$G$4,L$1,$A143,$A143),_xll.BDH(config!$G$5,L$1,$A143,$A143))))</f>
        <v>#N/A Requesting Data...</v>
      </c>
      <c r="M143" s="8" t="str">
        <f>IF($A143="","",IF(ISNUMBER(FIND("IMPVOL",M$1)),_xll.BDH(config!$G$4,M$1,WORKDAY($A143,-1,config_Holiday_Calendar_US),WORKDAY($A143,-1,config_Holiday_Calendar_US)),IF(ISNUMBER(_xll.BDH(config!$G$4,M$1,$A143,$A143)),_xll.BDH(config!$G$4,M$1,$A143,$A143),_xll.BDH(config!$G$5,M$1,$A143,$A143))))</f>
        <v>#N/A Requesting Data...</v>
      </c>
      <c r="N143" s="8" t="str">
        <f>IF($A143="","",IF(ISNUMBER(FIND("IMPVOL",N$1)),_xll.BDH(config!$G$4,N$1,WORKDAY($A143,-1,config_Holiday_Calendar_US),WORKDAY($A143,-1,config_Holiday_Calendar_US)),IF(ISNUMBER(_xll.BDH(config!$G$4,N$1,$A143,$A143)),_xll.BDH(config!$G$4,N$1,$A143,$A143),_xll.BDH(config!$G$5,N$1,$A143,$A143))))</f>
        <v>#N/A Requesting Data...</v>
      </c>
      <c r="O143" s="8" t="str">
        <f>IF($A143="","",IF(ISNUMBER(FIND("IMPVOL",O$1)),_xll.BDH(config!$G$4,O$1,WORKDAY($A143,-1,config_Holiday_Calendar_US),WORKDAY($A143,-1,config_Holiday_Calendar_US)),IF(ISNUMBER(_xll.BDH(config!$G$4,O$1,$A143,$A143)),_xll.BDH(config!$G$4,O$1,$A143,$A143),_xll.BDH(config!$G$5,O$1,$A143,$A143))))</f>
        <v>#N/A Requesting Data...</v>
      </c>
      <c r="P143" s="8" t="str">
        <f>IF($A143="","",IF(ISNUMBER(FIND("IMPVOL",P$1)),_xll.BDH(config!$G$4,P$1,WORKDAY($A143,-1,config_Holiday_Calendar_US),WORKDAY($A143,-1,config_Holiday_Calendar_US)),IF(ISNUMBER(_xll.BDH(config!$G$4,P$1,$A143,$A143)),_xll.BDH(config!$G$4,P$1,$A143,$A143),_xll.BDH(config!$G$5,P$1,$A143,$A143))))</f>
        <v>#N/A Requesting Data...</v>
      </c>
      <c r="Q143" s="8">
        <f>IF($A143="","",IF(ISNUMBER(FIND("IMPVOL",Q$1)),_xll.BDH(config!$G$4,Q$1,WORKDAY($A143,-1,config_Holiday_Calendar_US),WORKDAY($A143,-1,config_Holiday_Calendar_US)),IF(ISNUMBER(_xll.BDH(config!$G$4,Q$1,$A143,$A143)),_xll.BDH(config!$G$4,Q$1,$A143,$A143),_xll.BDH(config!$G$5,Q$1,$A143,$A143))))</f>
        <v>49.6</v>
      </c>
      <c r="R143" s="8">
        <f>IF($A143="","",IF(ISNUMBER(FIND("IMPVOL",R$1)),_xll.BDH(config!$G$4,R$1,WORKDAY($A143,-1,config_Holiday_Calendar_US),WORKDAY($A143,-1,config_Holiday_Calendar_US)),IF(ISNUMBER(_xll.BDH(config!$G$4,R$1,$A143,$A143)),_xll.BDH(config!$G$4,R$1,$A143,$A143),_xll.BDH(config!$G$5,R$1,$A143,$A143))))</f>
        <v>41.13</v>
      </c>
      <c r="S143" s="8" t="str">
        <f>IF($A143="","",IF(ISNUMBER(FIND("IMPVOL",S$1)),_xll.BDH(config!$G$4,S$1,WORKDAY($A143,-1,config_Holiday_Calendar_US),WORKDAY($A143,-1,config_Holiday_Calendar_US)),IF(ISNUMBER(_xll.BDH(config!$G$4,S$1,$A143,$A143)),_xll.BDH(config!$G$4,S$1,$A143,$A143),_xll.BDH(config!$G$5,S$1,$A143,$A143))))</f>
        <v>#N/A Requesting Data...</v>
      </c>
      <c r="T143" s="8" t="str">
        <f>IF($A143="","",IF(ISNUMBER(FIND("IMPVOL",T$1)),_xll.BDH(config!$G$4,T$1,WORKDAY($A143,-1,config_Holiday_Calendar_US),WORKDAY($A143,-1,config_Holiday_Calendar_US)),IF(ISNUMBER(_xll.BDH(config!$G$4,T$1,$A143,$A143)),_xll.BDH(config!$G$4,T$1,$A143,$A143),_xll.BDH(config!$G$5,T$1,$A143,$A143))))</f>
        <v>#N/A Requesting Data...</v>
      </c>
      <c r="U143" s="8" t="str">
        <f>IF($A143="","",IF(ISNUMBER(FIND("IMPVOL",U$1)),_xll.BDH(config!$G$4,U$1,WORKDAY($A143,-1,config_Holiday_Calendar_US),WORKDAY($A143,-1,config_Holiday_Calendar_US)),IF(ISNUMBER(_xll.BDH(config!$G$4,U$1,$A143,$A143)),_xll.BDH(config!$G$4,U$1,$A143,$A143),_xll.BDH(config!$G$5,U$1,$A143,$A143))))</f>
        <v>#N/A Requesting Data...</v>
      </c>
      <c r="V143" s="8" t="str">
        <f>IF($A143="","",IF(ISNUMBER(FIND("IMPVOL",V$1)),_xll.BDH(config!$G$4,V$1,WORKDAY($A143,-1,config_Holiday_Calendar_US),WORKDAY($A143,-1,config_Holiday_Calendar_US)),IF(ISNUMBER(_xll.BDH(config!$G$4,V$1,$A143,$A143)),_xll.BDH(config!$G$4,V$1,$A143,$A143),_xll.BDH(config!$G$5,V$1,$A143,$A143))))</f>
        <v>#N/A Requesting Data...</v>
      </c>
      <c r="W143" s="8" t="str">
        <f>IF($A143="","",IF(ISNUMBER(FIND("IMPVOL",W$1)),_xll.BDH(config!$G$4,W$1,WORKDAY($A143,-1,config_Holiday_Calendar_US),WORKDAY($A143,-1,config_Holiday_Calendar_US)),IF(ISNUMBER(_xll.BDH(config!$G$4,W$1,$A143,$A143)),_xll.BDH(config!$G$4,W$1,$A143,$A143),_xll.BDH(config!$G$5,W$1,$A143,$A143))))</f>
        <v>#N/A Requesting Data...</v>
      </c>
    </row>
    <row r="144" spans="1:23" x14ac:dyDescent="0.2">
      <c r="A144" s="9">
        <f>IF(A143="","",IF(WORKDAY(A143,-1,config_Holiday_Calendar_US)&lt;config!$I$10,"",WORKDAY(A143,-1,config_Holiday_Calendar_US)))</f>
        <v>42626</v>
      </c>
      <c r="B144" s="8" t="e">
        <f t="shared" si="2"/>
        <v>#VALUE!</v>
      </c>
      <c r="C144" s="8" t="str">
        <f>IF(A144="","",_xll.BDH(config!$H$4,C$1,$A144,$A144))</f>
        <v>#N/A Requesting Data...</v>
      </c>
      <c r="D144" s="8" t="str">
        <f>IF($A144="","",_xll.BDH(config!$H$4,D$1,$A144,$A144))</f>
        <v>#N/A Requesting Data...</v>
      </c>
      <c r="E144" s="8">
        <f>IF($A144="","",IF(ISNUMBER(FIND("IMPVOL",E$1)),_xll.BDH(config!$G$4,E$1,WORKDAY($A144,-1,config_Holiday_Calendar_US),WORKDAY($A144,-1,config_Holiday_Calendar_US)),IF(ISNUMBER(_xll.BDH(config!$G$4,E$1,$A144,$A144)),_xll.BDH(config!$G$4,E$1,$A144,$A144),_xll.BDH(config!$G$5,E$1,$A144,$A144))))</f>
        <v>46.06</v>
      </c>
      <c r="F144" s="8">
        <f>IF($A144="","",IF(ISNUMBER(FIND("IMPVOL",F$1)),_xll.BDH(config!$G$4,F$1,WORKDAY($A144,-1,config_Holiday_Calendar_US),WORKDAY($A144,-1,config_Holiday_Calendar_US)),IF(ISNUMBER(_xll.BDH(config!$G$4,F$1,$A144,$A144)),_xll.BDH(config!$G$4,F$1,$A144,$A144),_xll.BDH(config!$G$5,F$1,$A144,$A144))))</f>
        <v>46.13</v>
      </c>
      <c r="G144" s="8">
        <f>IF($A144="","",IF(ISNUMBER(FIND("IMPVOL",G$1)),_xll.BDH(config!$G$4,G$1,WORKDAY($A144,-1,config_Holiday_Calendar_US),WORKDAY($A144,-1,config_Holiday_Calendar_US)),IF(ISNUMBER(_xll.BDH(config!$G$4,G$1,$A144,$A144)),_xll.BDH(config!$G$4,G$1,$A144,$A144),_xll.BDH(config!$G$5,G$1,$A144,$A144))))</f>
        <v>45.36</v>
      </c>
      <c r="H144" s="8">
        <f>IF($A144="","",IF(ISNUMBER(FIND("IMPVOL",H$1)),_xll.BDH(config!$G$4,H$1,WORKDAY($A144,-1,config_Holiday_Calendar_US),WORKDAY($A144,-1,config_Holiday_Calendar_US)),IF(ISNUMBER(_xll.BDH(config!$G$4,H$1,$A144,$A144)),_xll.BDH(config!$G$4,H$1,$A144,$A144),_xll.BDH(config!$G$5,H$1,$A144,$A144))))</f>
        <v>319462</v>
      </c>
      <c r="I144" s="8" t="str">
        <f>IF($A144="","",IF(ISNUMBER(FIND("IMPVOL",I$1)),_xll.BDH(config!$G$4,I$1,WORKDAY($A144,-1,config_Holiday_Calendar_US),WORKDAY($A144,-1,config_Holiday_Calendar_US)),IF(ISNUMBER(_xll.BDH(config!$G$4,I$1,$A144,$A144)),_xll.BDH(config!$G$4,I$1,$A144,$A144),_xll.BDH(config!$G$5,I$1,$A144,$A144))))</f>
        <v>#N/A Requesting Data...</v>
      </c>
      <c r="J144" s="8" t="str">
        <f>IF($A144="","",IF(ISNUMBER(FIND("IMPVOL",J$1)),_xll.BDH(config!$G$4,J$1,WORKDAY($A144,-1,config_Holiday_Calendar_US),WORKDAY($A144,-1,config_Holiday_Calendar_US)),IF(ISNUMBER(_xll.BDH(config!$G$4,J$1,$A144,$A144)),_xll.BDH(config!$G$4,J$1,$A144,$A144),_xll.BDH(config!$G$5,J$1,$A144,$A144))))</f>
        <v>#N/A Requesting Data...</v>
      </c>
      <c r="K144" s="8" t="str">
        <f>IF($A144="","",IF(ISNUMBER(FIND("IMPVOL",K$1)),_xll.BDH(config!$G$4,K$1,WORKDAY($A144,-1,config_Holiday_Calendar_US),WORKDAY($A144,-1,config_Holiday_Calendar_US)),IF(ISNUMBER(_xll.BDH(config!$G$4,K$1,$A144,$A144)),_xll.BDH(config!$G$4,K$1,$A144,$A144),_xll.BDH(config!$G$5,K$1,$A144,$A144))))</f>
        <v>#N/A Requesting Data...</v>
      </c>
      <c r="L144" s="8" t="str">
        <f>IF($A144="","",IF(ISNUMBER(FIND("IMPVOL",L$1)),_xll.BDH(config!$G$4,L$1,WORKDAY($A144,-1,config_Holiday_Calendar_US),WORKDAY($A144,-1,config_Holiday_Calendar_US)),IF(ISNUMBER(_xll.BDH(config!$G$4,L$1,$A144,$A144)),_xll.BDH(config!$G$4,L$1,$A144,$A144),_xll.BDH(config!$G$5,L$1,$A144,$A144))))</f>
        <v>#N/A Requesting Data...</v>
      </c>
      <c r="M144" s="8" t="str">
        <f>IF($A144="","",IF(ISNUMBER(FIND("IMPVOL",M$1)),_xll.BDH(config!$G$4,M$1,WORKDAY($A144,-1,config_Holiday_Calendar_US),WORKDAY($A144,-1,config_Holiday_Calendar_US)),IF(ISNUMBER(_xll.BDH(config!$G$4,M$1,$A144,$A144)),_xll.BDH(config!$G$4,M$1,$A144,$A144),_xll.BDH(config!$G$5,M$1,$A144,$A144))))</f>
        <v>#N/A Requesting Data...</v>
      </c>
      <c r="N144" s="8" t="str">
        <f>IF($A144="","",IF(ISNUMBER(FIND("IMPVOL",N$1)),_xll.BDH(config!$G$4,N$1,WORKDAY($A144,-1,config_Holiday_Calendar_US),WORKDAY($A144,-1,config_Holiday_Calendar_US)),IF(ISNUMBER(_xll.BDH(config!$G$4,N$1,$A144,$A144)),_xll.BDH(config!$G$4,N$1,$A144,$A144),_xll.BDH(config!$G$5,N$1,$A144,$A144))))</f>
        <v>#N/A Requesting Data...</v>
      </c>
      <c r="O144" s="8" t="str">
        <f>IF($A144="","",IF(ISNUMBER(FIND("IMPVOL",O$1)),_xll.BDH(config!$G$4,O$1,WORKDAY($A144,-1,config_Holiday_Calendar_US),WORKDAY($A144,-1,config_Holiday_Calendar_US)),IF(ISNUMBER(_xll.BDH(config!$G$4,O$1,$A144,$A144)),_xll.BDH(config!$G$4,O$1,$A144,$A144),_xll.BDH(config!$G$5,O$1,$A144,$A144))))</f>
        <v>#N/A Requesting Data...</v>
      </c>
      <c r="P144" s="8" t="str">
        <f>IF($A144="","",IF(ISNUMBER(FIND("IMPVOL",P$1)),_xll.BDH(config!$G$4,P$1,WORKDAY($A144,-1,config_Holiday_Calendar_US),WORKDAY($A144,-1,config_Holiday_Calendar_US)),IF(ISNUMBER(_xll.BDH(config!$G$4,P$1,$A144,$A144)),_xll.BDH(config!$G$4,P$1,$A144,$A144),_xll.BDH(config!$G$5,P$1,$A144,$A144))))</f>
        <v>#N/A Requesting Data...</v>
      </c>
      <c r="Q144" s="8">
        <f>IF($A144="","",IF(ISNUMBER(FIND("IMPVOL",Q$1)),_xll.BDH(config!$G$4,Q$1,WORKDAY($A144,-1,config_Holiday_Calendar_US),WORKDAY($A144,-1,config_Holiday_Calendar_US)),IF(ISNUMBER(_xll.BDH(config!$G$4,Q$1,$A144,$A144)),_xll.BDH(config!$G$4,Q$1,$A144,$A144),_xll.BDH(config!$G$5,Q$1,$A144,$A144))))</f>
        <v>50.89</v>
      </c>
      <c r="R144" s="8">
        <f>IF($A144="","",IF(ISNUMBER(FIND("IMPVOL",R$1)),_xll.BDH(config!$G$4,R$1,WORKDAY($A144,-1,config_Holiday_Calendar_US),WORKDAY($A144,-1,config_Holiday_Calendar_US)),IF(ISNUMBER(_xll.BDH(config!$G$4,R$1,$A144,$A144)),_xll.BDH(config!$G$4,R$1,$A144,$A144),_xll.BDH(config!$G$5,R$1,$A144,$A144))))</f>
        <v>40.799999999999997</v>
      </c>
      <c r="S144" s="8" t="str">
        <f>IF($A144="","",IF(ISNUMBER(FIND("IMPVOL",S$1)),_xll.BDH(config!$G$4,S$1,WORKDAY($A144,-1,config_Holiday_Calendar_US),WORKDAY($A144,-1,config_Holiday_Calendar_US)),IF(ISNUMBER(_xll.BDH(config!$G$4,S$1,$A144,$A144)),_xll.BDH(config!$G$4,S$1,$A144,$A144),_xll.BDH(config!$G$5,S$1,$A144,$A144))))</f>
        <v>#N/A Requesting Data...</v>
      </c>
      <c r="T144" s="8" t="str">
        <f>IF($A144="","",IF(ISNUMBER(FIND("IMPVOL",T$1)),_xll.BDH(config!$G$4,T$1,WORKDAY($A144,-1,config_Holiday_Calendar_US),WORKDAY($A144,-1,config_Holiday_Calendar_US)),IF(ISNUMBER(_xll.BDH(config!$G$4,T$1,$A144,$A144)),_xll.BDH(config!$G$4,T$1,$A144,$A144),_xll.BDH(config!$G$5,T$1,$A144,$A144))))</f>
        <v>#N/A Requesting Data...</v>
      </c>
      <c r="U144" s="8" t="str">
        <f>IF($A144="","",IF(ISNUMBER(FIND("IMPVOL",U$1)),_xll.BDH(config!$G$4,U$1,WORKDAY($A144,-1,config_Holiday_Calendar_US),WORKDAY($A144,-1,config_Holiday_Calendar_US)),IF(ISNUMBER(_xll.BDH(config!$G$4,U$1,$A144,$A144)),_xll.BDH(config!$G$4,U$1,$A144,$A144),_xll.BDH(config!$G$5,U$1,$A144,$A144))))</f>
        <v>#N/A Requesting Data...</v>
      </c>
      <c r="V144" s="8" t="str">
        <f>IF($A144="","",IF(ISNUMBER(FIND("IMPVOL",V$1)),_xll.BDH(config!$G$4,V$1,WORKDAY($A144,-1,config_Holiday_Calendar_US),WORKDAY($A144,-1,config_Holiday_Calendar_US)),IF(ISNUMBER(_xll.BDH(config!$G$4,V$1,$A144,$A144)),_xll.BDH(config!$G$4,V$1,$A144,$A144),_xll.BDH(config!$G$5,V$1,$A144,$A144))))</f>
        <v>#N/A Requesting Data...</v>
      </c>
      <c r="W144" s="8" t="str">
        <f>IF($A144="","",IF(ISNUMBER(FIND("IMPVOL",W$1)),_xll.BDH(config!$G$4,W$1,WORKDAY($A144,-1,config_Holiday_Calendar_US),WORKDAY($A144,-1,config_Holiday_Calendar_US)),IF(ISNUMBER(_xll.BDH(config!$G$4,W$1,$A144,$A144)),_xll.BDH(config!$G$4,W$1,$A144,$A144),_xll.BDH(config!$G$5,W$1,$A144,$A144))))</f>
        <v>#N/A Requesting Data...</v>
      </c>
    </row>
    <row r="145" spans="1:23" x14ac:dyDescent="0.2">
      <c r="A145" s="9">
        <f>IF(A144="","",IF(WORKDAY(A144,-1,config_Holiday_Calendar_US)&lt;config!$I$10,"",WORKDAY(A144,-1,config_Holiday_Calendar_US)))</f>
        <v>42625</v>
      </c>
      <c r="B145" s="8" t="e">
        <f t="shared" si="2"/>
        <v>#VALUE!</v>
      </c>
      <c r="C145" s="8" t="str">
        <f>IF(A145="","",_xll.BDH(config!$H$4,C$1,$A145,$A145))</f>
        <v>#N/A Requesting Data...</v>
      </c>
      <c r="D145" s="8" t="str">
        <f>IF($A145="","",_xll.BDH(config!$H$4,D$1,$A145,$A145))</f>
        <v>#N/A Requesting Data...</v>
      </c>
      <c r="E145" s="8">
        <f>IF($A145="","",IF(ISNUMBER(FIND("IMPVOL",E$1)),_xll.BDH(config!$G$4,E$1,WORKDAY($A145,-1,config_Holiday_Calendar_US),WORKDAY($A145,-1,config_Holiday_Calendar_US)),IF(ISNUMBER(_xll.BDH(config!$G$4,E$1,$A145,$A145)),_xll.BDH(config!$G$4,E$1,$A145,$A145),_xll.BDH(config!$G$5,E$1,$A145,$A145))))</f>
        <v>45.57</v>
      </c>
      <c r="F145" s="8">
        <f>IF($A145="","",IF(ISNUMBER(FIND("IMPVOL",F$1)),_xll.BDH(config!$G$4,F$1,WORKDAY($A145,-1,config_Holiday_Calendar_US),WORKDAY($A145,-1,config_Holiday_Calendar_US)),IF(ISNUMBER(_xll.BDH(config!$G$4,F$1,$A145,$A145)),_xll.BDH(config!$G$4,F$1,$A145,$A145),_xll.BDH(config!$G$5,F$1,$A145,$A145))))</f>
        <v>46.51</v>
      </c>
      <c r="G145" s="8">
        <f>IF($A145="","",IF(ISNUMBER(FIND("IMPVOL",G$1)),_xll.BDH(config!$G$4,G$1,WORKDAY($A145,-1,config_Holiday_Calendar_US),WORKDAY($A145,-1,config_Holiday_Calendar_US)),IF(ISNUMBER(_xll.BDH(config!$G$4,G$1,$A145,$A145)),_xll.BDH(config!$G$4,G$1,$A145,$A145),_xll.BDH(config!$G$5,G$1,$A145,$A145))))</f>
        <v>45.32</v>
      </c>
      <c r="H145" s="8">
        <f>IF($A145="","",IF(ISNUMBER(FIND("IMPVOL",H$1)),_xll.BDH(config!$G$4,H$1,WORKDAY($A145,-1,config_Holiday_Calendar_US),WORKDAY($A145,-1,config_Holiday_Calendar_US)),IF(ISNUMBER(_xll.BDH(config!$G$4,H$1,$A145,$A145)),_xll.BDH(config!$G$4,H$1,$A145,$A145),_xll.BDH(config!$G$5,H$1,$A145,$A145))))</f>
        <v>315831</v>
      </c>
      <c r="I145" s="8" t="str">
        <f>IF($A145="","",IF(ISNUMBER(FIND("IMPVOL",I$1)),_xll.BDH(config!$G$4,I$1,WORKDAY($A145,-1,config_Holiday_Calendar_US),WORKDAY($A145,-1,config_Holiday_Calendar_US)),IF(ISNUMBER(_xll.BDH(config!$G$4,I$1,$A145,$A145)),_xll.BDH(config!$G$4,I$1,$A145,$A145),_xll.BDH(config!$G$5,I$1,$A145,$A145))))</f>
        <v>#N/A Requesting Data...</v>
      </c>
      <c r="J145" s="8" t="str">
        <f>IF($A145="","",IF(ISNUMBER(FIND("IMPVOL",J$1)),_xll.BDH(config!$G$4,J$1,WORKDAY($A145,-1,config_Holiday_Calendar_US),WORKDAY($A145,-1,config_Holiday_Calendar_US)),IF(ISNUMBER(_xll.BDH(config!$G$4,J$1,$A145,$A145)),_xll.BDH(config!$G$4,J$1,$A145,$A145),_xll.BDH(config!$G$5,J$1,$A145,$A145))))</f>
        <v>#N/A Requesting Data...</v>
      </c>
      <c r="K145" s="8" t="str">
        <f>IF($A145="","",IF(ISNUMBER(FIND("IMPVOL",K$1)),_xll.BDH(config!$G$4,K$1,WORKDAY($A145,-1,config_Holiday_Calendar_US),WORKDAY($A145,-1,config_Holiday_Calendar_US)),IF(ISNUMBER(_xll.BDH(config!$G$4,K$1,$A145,$A145)),_xll.BDH(config!$G$4,K$1,$A145,$A145),_xll.BDH(config!$G$5,K$1,$A145,$A145))))</f>
        <v>#N/A Requesting Data...</v>
      </c>
      <c r="L145" s="8" t="str">
        <f>IF($A145="","",IF(ISNUMBER(FIND("IMPVOL",L$1)),_xll.BDH(config!$G$4,L$1,WORKDAY($A145,-1,config_Holiday_Calendar_US),WORKDAY($A145,-1,config_Holiday_Calendar_US)),IF(ISNUMBER(_xll.BDH(config!$G$4,L$1,$A145,$A145)),_xll.BDH(config!$G$4,L$1,$A145,$A145),_xll.BDH(config!$G$5,L$1,$A145,$A145))))</f>
        <v>#N/A Requesting Data...</v>
      </c>
      <c r="M145" s="8" t="str">
        <f>IF($A145="","",IF(ISNUMBER(FIND("IMPVOL",M$1)),_xll.BDH(config!$G$4,M$1,WORKDAY($A145,-1,config_Holiday_Calendar_US),WORKDAY($A145,-1,config_Holiday_Calendar_US)),IF(ISNUMBER(_xll.BDH(config!$G$4,M$1,$A145,$A145)),_xll.BDH(config!$G$4,M$1,$A145,$A145),_xll.BDH(config!$G$5,M$1,$A145,$A145))))</f>
        <v>#N/A Requesting Data...</v>
      </c>
      <c r="N145" s="8" t="str">
        <f>IF($A145="","",IF(ISNUMBER(FIND("IMPVOL",N$1)),_xll.BDH(config!$G$4,N$1,WORKDAY($A145,-1,config_Holiday_Calendar_US),WORKDAY($A145,-1,config_Holiday_Calendar_US)),IF(ISNUMBER(_xll.BDH(config!$G$4,N$1,$A145,$A145)),_xll.BDH(config!$G$4,N$1,$A145,$A145),_xll.BDH(config!$G$5,N$1,$A145,$A145))))</f>
        <v>#N/A Requesting Data...</v>
      </c>
      <c r="O145" s="8" t="str">
        <f>IF($A145="","",IF(ISNUMBER(FIND("IMPVOL",O$1)),_xll.BDH(config!$G$4,O$1,WORKDAY($A145,-1,config_Holiday_Calendar_US),WORKDAY($A145,-1,config_Holiday_Calendar_US)),IF(ISNUMBER(_xll.BDH(config!$G$4,O$1,$A145,$A145)),_xll.BDH(config!$G$4,O$1,$A145,$A145),_xll.BDH(config!$G$5,O$1,$A145,$A145))))</f>
        <v>#N/A Requesting Data...</v>
      </c>
      <c r="P145" s="8" t="str">
        <f>IF($A145="","",IF(ISNUMBER(FIND("IMPVOL",P$1)),_xll.BDH(config!$G$4,P$1,WORKDAY($A145,-1,config_Holiday_Calendar_US),WORKDAY($A145,-1,config_Holiday_Calendar_US)),IF(ISNUMBER(_xll.BDH(config!$G$4,P$1,$A145,$A145)),_xll.BDH(config!$G$4,P$1,$A145,$A145),_xll.BDH(config!$G$5,P$1,$A145,$A145))))</f>
        <v>#N/A Requesting Data...</v>
      </c>
      <c r="Q145" s="8">
        <f>IF($A145="","",IF(ISNUMBER(FIND("IMPVOL",Q$1)),_xll.BDH(config!$G$4,Q$1,WORKDAY($A145,-1,config_Holiday_Calendar_US),WORKDAY($A145,-1,config_Holiday_Calendar_US)),IF(ISNUMBER(_xll.BDH(config!$G$4,Q$1,$A145,$A145)),_xll.BDH(config!$G$4,Q$1,$A145,$A145),_xll.BDH(config!$G$5,Q$1,$A145,$A145))))</f>
        <v>48.98</v>
      </c>
      <c r="R145" s="8">
        <f>IF($A145="","",IF(ISNUMBER(FIND("IMPVOL",R$1)),_xll.BDH(config!$G$4,R$1,WORKDAY($A145,-1,config_Holiday_Calendar_US),WORKDAY($A145,-1,config_Holiday_Calendar_US)),IF(ISNUMBER(_xll.BDH(config!$G$4,R$1,$A145,$A145)),_xll.BDH(config!$G$4,R$1,$A145,$A145),_xll.BDH(config!$G$5,R$1,$A145,$A145))))</f>
        <v>39.840000000000003</v>
      </c>
      <c r="S145" s="8" t="str">
        <f>IF($A145="","",IF(ISNUMBER(FIND("IMPVOL",S$1)),_xll.BDH(config!$G$4,S$1,WORKDAY($A145,-1,config_Holiday_Calendar_US),WORKDAY($A145,-1,config_Holiday_Calendar_US)),IF(ISNUMBER(_xll.BDH(config!$G$4,S$1,$A145,$A145)),_xll.BDH(config!$G$4,S$1,$A145,$A145),_xll.BDH(config!$G$5,S$1,$A145,$A145))))</f>
        <v>#N/A Requesting Data...</v>
      </c>
      <c r="T145" s="8" t="str">
        <f>IF($A145="","",IF(ISNUMBER(FIND("IMPVOL",T$1)),_xll.BDH(config!$G$4,T$1,WORKDAY($A145,-1,config_Holiday_Calendar_US),WORKDAY($A145,-1,config_Holiday_Calendar_US)),IF(ISNUMBER(_xll.BDH(config!$G$4,T$1,$A145,$A145)),_xll.BDH(config!$G$4,T$1,$A145,$A145),_xll.BDH(config!$G$5,T$1,$A145,$A145))))</f>
        <v>#N/A Requesting Data...</v>
      </c>
      <c r="U145" s="8" t="str">
        <f>IF($A145="","",IF(ISNUMBER(FIND("IMPVOL",U$1)),_xll.BDH(config!$G$4,U$1,WORKDAY($A145,-1,config_Holiday_Calendar_US),WORKDAY($A145,-1,config_Holiday_Calendar_US)),IF(ISNUMBER(_xll.BDH(config!$G$4,U$1,$A145,$A145)),_xll.BDH(config!$G$4,U$1,$A145,$A145),_xll.BDH(config!$G$5,U$1,$A145,$A145))))</f>
        <v>#N/A Requesting Data...</v>
      </c>
      <c r="V145" s="8" t="str">
        <f>IF($A145="","",IF(ISNUMBER(FIND("IMPVOL",V$1)),_xll.BDH(config!$G$4,V$1,WORKDAY($A145,-1,config_Holiday_Calendar_US),WORKDAY($A145,-1,config_Holiday_Calendar_US)),IF(ISNUMBER(_xll.BDH(config!$G$4,V$1,$A145,$A145)),_xll.BDH(config!$G$4,V$1,$A145,$A145),_xll.BDH(config!$G$5,V$1,$A145,$A145))))</f>
        <v>#N/A Requesting Data...</v>
      </c>
      <c r="W145" s="8" t="str">
        <f>IF($A145="","",IF(ISNUMBER(FIND("IMPVOL",W$1)),_xll.BDH(config!$G$4,W$1,WORKDAY($A145,-1,config_Holiday_Calendar_US),WORKDAY($A145,-1,config_Holiday_Calendar_US)),IF(ISNUMBER(_xll.BDH(config!$G$4,W$1,$A145,$A145)),_xll.BDH(config!$G$4,W$1,$A145,$A145),_xll.BDH(config!$G$5,W$1,$A145,$A145))))</f>
        <v>#N/A Requesting Data...</v>
      </c>
    </row>
    <row r="146" spans="1:23" x14ac:dyDescent="0.2">
      <c r="A146" s="9">
        <f>IF(A145="","",IF(WORKDAY(A145,-1,config_Holiday_Calendar_US)&lt;config!$I$10,"",WORKDAY(A145,-1,config_Holiday_Calendar_US)))</f>
        <v>42622</v>
      </c>
      <c r="B146" s="8" t="e">
        <f t="shared" si="2"/>
        <v>#VALUE!</v>
      </c>
      <c r="C146" s="8" t="str">
        <f>IF(A146="","",_xll.BDH(config!$H$4,C$1,$A146,$A146))</f>
        <v>#N/A Requesting Data...</v>
      </c>
      <c r="D146" s="8" t="str">
        <f>IF($A146="","",_xll.BDH(config!$H$4,D$1,$A146,$A146))</f>
        <v>#N/A Requesting Data...</v>
      </c>
      <c r="E146" s="8">
        <f>IF($A146="","",IF(ISNUMBER(FIND("IMPVOL",E$1)),_xll.BDH(config!$G$4,E$1,WORKDAY($A146,-1,config_Holiday_Calendar_US),WORKDAY($A146,-1,config_Holiday_Calendar_US)),IF(ISNUMBER(_xll.BDH(config!$G$4,E$1,$A146,$A146)),_xll.BDH(config!$G$4,E$1,$A146,$A146),_xll.BDH(config!$G$5,E$1,$A146,$A146))))</f>
        <v>47.36</v>
      </c>
      <c r="F146" s="8">
        <f>IF($A146="","",IF(ISNUMBER(FIND("IMPVOL",F$1)),_xll.BDH(config!$G$4,F$1,WORKDAY($A146,-1,config_Holiday_Calendar_US),WORKDAY($A146,-1,config_Holiday_Calendar_US)),IF(ISNUMBER(_xll.BDH(config!$G$4,F$1,$A146,$A146)),_xll.BDH(config!$G$4,F$1,$A146,$A146),_xll.BDH(config!$G$5,F$1,$A146,$A146))))</f>
        <v>47.36</v>
      </c>
      <c r="G146" s="8">
        <f>IF($A146="","",IF(ISNUMBER(FIND("IMPVOL",G$1)),_xll.BDH(config!$G$4,G$1,WORKDAY($A146,-1,config_Holiday_Calendar_US),WORKDAY($A146,-1,config_Holiday_Calendar_US)),IF(ISNUMBER(_xll.BDH(config!$G$4,G$1,$A146,$A146)),_xll.BDH(config!$G$4,G$1,$A146,$A146),_xll.BDH(config!$G$5,G$1,$A146,$A146))))</f>
        <v>46.15</v>
      </c>
      <c r="H146" s="8">
        <f>IF($A146="","",IF(ISNUMBER(FIND("IMPVOL",H$1)),_xll.BDH(config!$G$4,H$1,WORKDAY($A146,-1,config_Holiday_Calendar_US),WORKDAY($A146,-1,config_Holiday_Calendar_US)),IF(ISNUMBER(_xll.BDH(config!$G$4,H$1,$A146,$A146)),_xll.BDH(config!$G$4,H$1,$A146,$A146),_xll.BDH(config!$G$5,H$1,$A146,$A146))))</f>
        <v>290787</v>
      </c>
      <c r="I146" s="8" t="str">
        <f>IF($A146="","",IF(ISNUMBER(FIND("IMPVOL",I$1)),_xll.BDH(config!$G$4,I$1,WORKDAY($A146,-1,config_Holiday_Calendar_US),WORKDAY($A146,-1,config_Holiday_Calendar_US)),IF(ISNUMBER(_xll.BDH(config!$G$4,I$1,$A146,$A146)),_xll.BDH(config!$G$4,I$1,$A146,$A146),_xll.BDH(config!$G$5,I$1,$A146,$A146))))</f>
        <v>#N/A Requesting Data...</v>
      </c>
      <c r="J146" s="8" t="str">
        <f>IF($A146="","",IF(ISNUMBER(FIND("IMPVOL",J$1)),_xll.BDH(config!$G$4,J$1,WORKDAY($A146,-1,config_Holiday_Calendar_US),WORKDAY($A146,-1,config_Holiday_Calendar_US)),IF(ISNUMBER(_xll.BDH(config!$G$4,J$1,$A146,$A146)),_xll.BDH(config!$G$4,J$1,$A146,$A146),_xll.BDH(config!$G$5,J$1,$A146,$A146))))</f>
        <v>#N/A Requesting Data...</v>
      </c>
      <c r="K146" s="8" t="str">
        <f>IF($A146="","",IF(ISNUMBER(FIND("IMPVOL",K$1)),_xll.BDH(config!$G$4,K$1,WORKDAY($A146,-1,config_Holiday_Calendar_US),WORKDAY($A146,-1,config_Holiday_Calendar_US)),IF(ISNUMBER(_xll.BDH(config!$G$4,K$1,$A146,$A146)),_xll.BDH(config!$G$4,K$1,$A146,$A146),_xll.BDH(config!$G$5,K$1,$A146,$A146))))</f>
        <v>#N/A Requesting Data...</v>
      </c>
      <c r="L146" s="8" t="str">
        <f>IF($A146="","",IF(ISNUMBER(FIND("IMPVOL",L$1)),_xll.BDH(config!$G$4,L$1,WORKDAY($A146,-1,config_Holiday_Calendar_US),WORKDAY($A146,-1,config_Holiday_Calendar_US)),IF(ISNUMBER(_xll.BDH(config!$G$4,L$1,$A146,$A146)),_xll.BDH(config!$G$4,L$1,$A146,$A146),_xll.BDH(config!$G$5,L$1,$A146,$A146))))</f>
        <v>#N/A Requesting Data...</v>
      </c>
      <c r="M146" s="8" t="str">
        <f>IF($A146="","",IF(ISNUMBER(FIND("IMPVOL",M$1)),_xll.BDH(config!$G$4,M$1,WORKDAY($A146,-1,config_Holiday_Calendar_US),WORKDAY($A146,-1,config_Holiday_Calendar_US)),IF(ISNUMBER(_xll.BDH(config!$G$4,M$1,$A146,$A146)),_xll.BDH(config!$G$4,M$1,$A146,$A146),_xll.BDH(config!$G$5,M$1,$A146,$A146))))</f>
        <v>#N/A Requesting Data...</v>
      </c>
      <c r="N146" s="8" t="str">
        <f>IF($A146="","",IF(ISNUMBER(FIND("IMPVOL",N$1)),_xll.BDH(config!$G$4,N$1,WORKDAY($A146,-1,config_Holiday_Calendar_US),WORKDAY($A146,-1,config_Holiday_Calendar_US)),IF(ISNUMBER(_xll.BDH(config!$G$4,N$1,$A146,$A146)),_xll.BDH(config!$G$4,N$1,$A146,$A146),_xll.BDH(config!$G$5,N$1,$A146,$A146))))</f>
        <v>#N/A Requesting Data...</v>
      </c>
      <c r="O146" s="8" t="str">
        <f>IF($A146="","",IF(ISNUMBER(FIND("IMPVOL",O$1)),_xll.BDH(config!$G$4,O$1,WORKDAY($A146,-1,config_Holiday_Calendar_US),WORKDAY($A146,-1,config_Holiday_Calendar_US)),IF(ISNUMBER(_xll.BDH(config!$G$4,O$1,$A146,$A146)),_xll.BDH(config!$G$4,O$1,$A146,$A146),_xll.BDH(config!$G$5,O$1,$A146,$A146))))</f>
        <v>#N/A Requesting Data...</v>
      </c>
      <c r="P146" s="8" t="str">
        <f>IF($A146="","",IF(ISNUMBER(FIND("IMPVOL",P$1)),_xll.BDH(config!$G$4,P$1,WORKDAY($A146,-1,config_Holiday_Calendar_US),WORKDAY($A146,-1,config_Holiday_Calendar_US)),IF(ISNUMBER(_xll.BDH(config!$G$4,P$1,$A146,$A146)),_xll.BDH(config!$G$4,P$1,$A146,$A146),_xll.BDH(config!$G$5,P$1,$A146,$A146))))</f>
        <v>#N/A Requesting Data...</v>
      </c>
      <c r="Q146" s="8">
        <f>IF($A146="","",IF(ISNUMBER(FIND("IMPVOL",Q$1)),_xll.BDH(config!$G$4,Q$1,WORKDAY($A146,-1,config_Holiday_Calendar_US),WORKDAY($A146,-1,config_Holiday_Calendar_US)),IF(ISNUMBER(_xll.BDH(config!$G$4,Q$1,$A146,$A146)),_xll.BDH(config!$G$4,Q$1,$A146,$A146),_xll.BDH(config!$G$5,Q$1,$A146,$A146))))</f>
        <v>48.96</v>
      </c>
      <c r="R146" s="8">
        <f>IF($A146="","",IF(ISNUMBER(FIND("IMPVOL",R$1)),_xll.BDH(config!$G$4,R$1,WORKDAY($A146,-1,config_Holiday_Calendar_US),WORKDAY($A146,-1,config_Holiday_Calendar_US)),IF(ISNUMBER(_xll.BDH(config!$G$4,R$1,$A146,$A146)),_xll.BDH(config!$G$4,R$1,$A146,$A146),_xll.BDH(config!$G$5,R$1,$A146,$A146))))</f>
        <v>41.63</v>
      </c>
      <c r="S146" s="8" t="str">
        <f>IF($A146="","",IF(ISNUMBER(FIND("IMPVOL",S$1)),_xll.BDH(config!$G$4,S$1,WORKDAY($A146,-1,config_Holiday_Calendar_US),WORKDAY($A146,-1,config_Holiday_Calendar_US)),IF(ISNUMBER(_xll.BDH(config!$G$4,S$1,$A146,$A146)),_xll.BDH(config!$G$4,S$1,$A146,$A146),_xll.BDH(config!$G$5,S$1,$A146,$A146))))</f>
        <v>#N/A Requesting Data...</v>
      </c>
      <c r="T146" s="8" t="str">
        <f>IF($A146="","",IF(ISNUMBER(FIND("IMPVOL",T$1)),_xll.BDH(config!$G$4,T$1,WORKDAY($A146,-1,config_Holiday_Calendar_US),WORKDAY($A146,-1,config_Holiday_Calendar_US)),IF(ISNUMBER(_xll.BDH(config!$G$4,T$1,$A146,$A146)),_xll.BDH(config!$G$4,T$1,$A146,$A146),_xll.BDH(config!$G$5,T$1,$A146,$A146))))</f>
        <v>#N/A Requesting Data...</v>
      </c>
      <c r="U146" s="8" t="str">
        <f>IF($A146="","",IF(ISNUMBER(FIND("IMPVOL",U$1)),_xll.BDH(config!$G$4,U$1,WORKDAY($A146,-1,config_Holiday_Calendar_US),WORKDAY($A146,-1,config_Holiday_Calendar_US)),IF(ISNUMBER(_xll.BDH(config!$G$4,U$1,$A146,$A146)),_xll.BDH(config!$G$4,U$1,$A146,$A146),_xll.BDH(config!$G$5,U$1,$A146,$A146))))</f>
        <v>#N/A Requesting Data...</v>
      </c>
      <c r="V146" s="8" t="str">
        <f>IF($A146="","",IF(ISNUMBER(FIND("IMPVOL",V$1)),_xll.BDH(config!$G$4,V$1,WORKDAY($A146,-1,config_Holiday_Calendar_US),WORKDAY($A146,-1,config_Holiday_Calendar_US)),IF(ISNUMBER(_xll.BDH(config!$G$4,V$1,$A146,$A146)),_xll.BDH(config!$G$4,V$1,$A146,$A146),_xll.BDH(config!$G$5,V$1,$A146,$A146))))</f>
        <v>#N/A Requesting Data...</v>
      </c>
      <c r="W146" s="8" t="str">
        <f>IF($A146="","",IF(ISNUMBER(FIND("IMPVOL",W$1)),_xll.BDH(config!$G$4,W$1,WORKDAY($A146,-1,config_Holiday_Calendar_US),WORKDAY($A146,-1,config_Holiday_Calendar_US)),IF(ISNUMBER(_xll.BDH(config!$G$4,W$1,$A146,$A146)),_xll.BDH(config!$G$4,W$1,$A146,$A146),_xll.BDH(config!$G$5,W$1,$A146,$A146))))</f>
        <v>#N/A Requesting Data...</v>
      </c>
    </row>
    <row r="147" spans="1:23" x14ac:dyDescent="0.2">
      <c r="A147" s="9">
        <f>IF(A146="","",IF(WORKDAY(A146,-1,config_Holiday_Calendar_US)&lt;config!$I$10,"",WORKDAY(A146,-1,config_Holiday_Calendar_US)))</f>
        <v>42621</v>
      </c>
      <c r="B147" s="8" t="e">
        <f t="shared" si="2"/>
        <v>#VALUE!</v>
      </c>
      <c r="C147" s="8" t="str">
        <f>IF(A147="","",_xll.BDH(config!$H$4,C$1,$A147,$A147))</f>
        <v>#N/A Requesting Data...</v>
      </c>
      <c r="D147" s="8" t="str">
        <f>IF($A147="","",_xll.BDH(config!$H$4,D$1,$A147,$A147))</f>
        <v>#N/A Requesting Data...</v>
      </c>
      <c r="E147" s="8">
        <f>IF($A147="","",IF(ISNUMBER(FIND("IMPVOL",E$1)),_xll.BDH(config!$G$4,E$1,WORKDAY($A147,-1,config_Holiday_Calendar_US),WORKDAY($A147,-1,config_Holiday_Calendar_US)),IF(ISNUMBER(_xll.BDH(config!$G$4,E$1,$A147,$A147)),_xll.BDH(config!$G$4,E$1,$A147,$A147),_xll.BDH(config!$G$5,E$1,$A147,$A147))))</f>
        <v>46.12</v>
      </c>
      <c r="F147" s="8">
        <f>IF($A147="","",IF(ISNUMBER(FIND("IMPVOL",F$1)),_xll.BDH(config!$G$4,F$1,WORKDAY($A147,-1,config_Holiday_Calendar_US),WORKDAY($A147,-1,config_Holiday_Calendar_US)),IF(ISNUMBER(_xll.BDH(config!$G$4,F$1,$A147,$A147)),_xll.BDH(config!$G$4,F$1,$A147,$A147),_xll.BDH(config!$G$5,F$1,$A147,$A147))))</f>
        <v>47.75</v>
      </c>
      <c r="G147" s="8">
        <f>IF($A147="","",IF(ISNUMBER(FIND("IMPVOL",G$1)),_xll.BDH(config!$G$4,G$1,WORKDAY($A147,-1,config_Holiday_Calendar_US),WORKDAY($A147,-1,config_Holiday_Calendar_US)),IF(ISNUMBER(_xll.BDH(config!$G$4,G$1,$A147,$A147)),_xll.BDH(config!$G$4,G$1,$A147,$A147),_xll.BDH(config!$G$5,G$1,$A147,$A147))))</f>
        <v>46.41</v>
      </c>
      <c r="H147" s="8">
        <f>IF($A147="","",IF(ISNUMBER(FIND("IMPVOL",H$1)),_xll.BDH(config!$G$4,H$1,WORKDAY($A147,-1,config_Holiday_Calendar_US),WORKDAY($A147,-1,config_Holiday_Calendar_US)),IF(ISNUMBER(_xll.BDH(config!$G$4,H$1,$A147,$A147)),_xll.BDH(config!$G$4,H$1,$A147,$A147),_xll.BDH(config!$G$5,H$1,$A147,$A147))))</f>
        <v>295618</v>
      </c>
      <c r="I147" s="8" t="str">
        <f>IF($A147="","",IF(ISNUMBER(FIND("IMPVOL",I$1)),_xll.BDH(config!$G$4,I$1,WORKDAY($A147,-1,config_Holiday_Calendar_US),WORKDAY($A147,-1,config_Holiday_Calendar_US)),IF(ISNUMBER(_xll.BDH(config!$G$4,I$1,$A147,$A147)),_xll.BDH(config!$G$4,I$1,$A147,$A147),_xll.BDH(config!$G$5,I$1,$A147,$A147))))</f>
        <v>#N/A Requesting Data...</v>
      </c>
      <c r="J147" s="8" t="str">
        <f>IF($A147="","",IF(ISNUMBER(FIND("IMPVOL",J$1)),_xll.BDH(config!$G$4,J$1,WORKDAY($A147,-1,config_Holiday_Calendar_US),WORKDAY($A147,-1,config_Holiday_Calendar_US)),IF(ISNUMBER(_xll.BDH(config!$G$4,J$1,$A147,$A147)),_xll.BDH(config!$G$4,J$1,$A147,$A147),_xll.BDH(config!$G$5,J$1,$A147,$A147))))</f>
        <v>#N/A Requesting Data...</v>
      </c>
      <c r="K147" s="8" t="str">
        <f>IF($A147="","",IF(ISNUMBER(FIND("IMPVOL",K$1)),_xll.BDH(config!$G$4,K$1,WORKDAY($A147,-1,config_Holiday_Calendar_US),WORKDAY($A147,-1,config_Holiday_Calendar_US)),IF(ISNUMBER(_xll.BDH(config!$G$4,K$1,$A147,$A147)),_xll.BDH(config!$G$4,K$1,$A147,$A147),_xll.BDH(config!$G$5,K$1,$A147,$A147))))</f>
        <v>#N/A Requesting Data...</v>
      </c>
      <c r="L147" s="8" t="str">
        <f>IF($A147="","",IF(ISNUMBER(FIND("IMPVOL",L$1)),_xll.BDH(config!$G$4,L$1,WORKDAY($A147,-1,config_Holiday_Calendar_US),WORKDAY($A147,-1,config_Holiday_Calendar_US)),IF(ISNUMBER(_xll.BDH(config!$G$4,L$1,$A147,$A147)),_xll.BDH(config!$G$4,L$1,$A147,$A147),_xll.BDH(config!$G$5,L$1,$A147,$A147))))</f>
        <v>#N/A Requesting Data...</v>
      </c>
      <c r="M147" s="8" t="str">
        <f>IF($A147="","",IF(ISNUMBER(FIND("IMPVOL",M$1)),_xll.BDH(config!$G$4,M$1,WORKDAY($A147,-1,config_Holiday_Calendar_US),WORKDAY($A147,-1,config_Holiday_Calendar_US)),IF(ISNUMBER(_xll.BDH(config!$G$4,M$1,$A147,$A147)),_xll.BDH(config!$G$4,M$1,$A147,$A147),_xll.BDH(config!$G$5,M$1,$A147,$A147))))</f>
        <v>#N/A Requesting Data...</v>
      </c>
      <c r="N147" s="8" t="str">
        <f>IF($A147="","",IF(ISNUMBER(FIND("IMPVOL",N$1)),_xll.BDH(config!$G$4,N$1,WORKDAY($A147,-1,config_Holiday_Calendar_US),WORKDAY($A147,-1,config_Holiday_Calendar_US)),IF(ISNUMBER(_xll.BDH(config!$G$4,N$1,$A147,$A147)),_xll.BDH(config!$G$4,N$1,$A147,$A147),_xll.BDH(config!$G$5,N$1,$A147,$A147))))</f>
        <v>#N/A Requesting Data...</v>
      </c>
      <c r="O147" s="8" t="str">
        <f>IF($A147="","",IF(ISNUMBER(FIND("IMPVOL",O$1)),_xll.BDH(config!$G$4,O$1,WORKDAY($A147,-1,config_Holiday_Calendar_US),WORKDAY($A147,-1,config_Holiday_Calendar_US)),IF(ISNUMBER(_xll.BDH(config!$G$4,O$1,$A147,$A147)),_xll.BDH(config!$G$4,O$1,$A147,$A147),_xll.BDH(config!$G$5,O$1,$A147,$A147))))</f>
        <v>#N/A Requesting Data...</v>
      </c>
      <c r="P147" s="8" t="str">
        <f>IF($A147="","",IF(ISNUMBER(FIND("IMPVOL",P$1)),_xll.BDH(config!$G$4,P$1,WORKDAY($A147,-1,config_Holiday_Calendar_US),WORKDAY($A147,-1,config_Holiday_Calendar_US)),IF(ISNUMBER(_xll.BDH(config!$G$4,P$1,$A147,$A147)),_xll.BDH(config!$G$4,P$1,$A147,$A147),_xll.BDH(config!$G$5,P$1,$A147,$A147))))</f>
        <v>#N/A Requesting Data...</v>
      </c>
      <c r="Q147" s="8">
        <f>IF($A147="","",IF(ISNUMBER(FIND("IMPVOL",Q$1)),_xll.BDH(config!$G$4,Q$1,WORKDAY($A147,-1,config_Holiday_Calendar_US),WORKDAY($A147,-1,config_Holiday_Calendar_US)),IF(ISNUMBER(_xll.BDH(config!$G$4,Q$1,$A147,$A147)),_xll.BDH(config!$G$4,Q$1,$A147,$A147),_xll.BDH(config!$G$5,Q$1,$A147,$A147))))</f>
        <v>44.67</v>
      </c>
      <c r="R147" s="8">
        <f>IF($A147="","",IF(ISNUMBER(FIND("IMPVOL",R$1)),_xll.BDH(config!$G$4,R$1,WORKDAY($A147,-1,config_Holiday_Calendar_US),WORKDAY($A147,-1,config_Holiday_Calendar_US)),IF(ISNUMBER(_xll.BDH(config!$G$4,R$1,$A147,$A147)),_xll.BDH(config!$G$4,R$1,$A147,$A147),_xll.BDH(config!$G$5,R$1,$A147,$A147))))</f>
        <v>39.67</v>
      </c>
      <c r="S147" s="8" t="str">
        <f>IF($A147="","",IF(ISNUMBER(FIND("IMPVOL",S$1)),_xll.BDH(config!$G$4,S$1,WORKDAY($A147,-1,config_Holiday_Calendar_US),WORKDAY($A147,-1,config_Holiday_Calendar_US)),IF(ISNUMBER(_xll.BDH(config!$G$4,S$1,$A147,$A147)),_xll.BDH(config!$G$4,S$1,$A147,$A147),_xll.BDH(config!$G$5,S$1,$A147,$A147))))</f>
        <v>#N/A Requesting Data...</v>
      </c>
      <c r="T147" s="8" t="str">
        <f>IF($A147="","",IF(ISNUMBER(FIND("IMPVOL",T$1)),_xll.BDH(config!$G$4,T$1,WORKDAY($A147,-1,config_Holiday_Calendar_US),WORKDAY($A147,-1,config_Holiday_Calendar_US)),IF(ISNUMBER(_xll.BDH(config!$G$4,T$1,$A147,$A147)),_xll.BDH(config!$G$4,T$1,$A147,$A147),_xll.BDH(config!$G$5,T$1,$A147,$A147))))</f>
        <v>#N/A Requesting Data...</v>
      </c>
      <c r="U147" s="8" t="str">
        <f>IF($A147="","",IF(ISNUMBER(FIND("IMPVOL",U$1)),_xll.BDH(config!$G$4,U$1,WORKDAY($A147,-1,config_Holiday_Calendar_US),WORKDAY($A147,-1,config_Holiday_Calendar_US)),IF(ISNUMBER(_xll.BDH(config!$G$4,U$1,$A147,$A147)),_xll.BDH(config!$G$4,U$1,$A147,$A147),_xll.BDH(config!$G$5,U$1,$A147,$A147))))</f>
        <v>#N/A Requesting Data...</v>
      </c>
      <c r="V147" s="8" t="str">
        <f>IF($A147="","",IF(ISNUMBER(FIND("IMPVOL",V$1)),_xll.BDH(config!$G$4,V$1,WORKDAY($A147,-1,config_Holiday_Calendar_US),WORKDAY($A147,-1,config_Holiday_Calendar_US)),IF(ISNUMBER(_xll.BDH(config!$G$4,V$1,$A147,$A147)),_xll.BDH(config!$G$4,V$1,$A147,$A147),_xll.BDH(config!$G$5,V$1,$A147,$A147))))</f>
        <v>#N/A Requesting Data...</v>
      </c>
      <c r="W147" s="8" t="str">
        <f>IF($A147="","",IF(ISNUMBER(FIND("IMPVOL",W$1)),_xll.BDH(config!$G$4,W$1,WORKDAY($A147,-1,config_Holiday_Calendar_US),WORKDAY($A147,-1,config_Holiday_Calendar_US)),IF(ISNUMBER(_xll.BDH(config!$G$4,W$1,$A147,$A147)),_xll.BDH(config!$G$4,W$1,$A147,$A147),_xll.BDH(config!$G$5,W$1,$A147,$A147))))</f>
        <v>#N/A Requesting Data...</v>
      </c>
    </row>
    <row r="148" spans="1:23" x14ac:dyDescent="0.2">
      <c r="A148" s="9">
        <f>IF(A147="","",IF(WORKDAY(A147,-1,config_Holiday_Calendar_US)&lt;config!$I$10,"",WORKDAY(A147,-1,config_Holiday_Calendar_US)))</f>
        <v>42620</v>
      </c>
      <c r="B148" s="8" t="e">
        <f t="shared" si="2"/>
        <v>#VALUE!</v>
      </c>
      <c r="C148" s="8" t="str">
        <f>IF(A148="","",_xll.BDH(config!$H$4,C$1,$A148,$A148))</f>
        <v>#N/A Requesting Data...</v>
      </c>
      <c r="D148" s="8" t="str">
        <f>IF($A148="","",_xll.BDH(config!$H$4,D$1,$A148,$A148))</f>
        <v>#N/A Requesting Data...</v>
      </c>
      <c r="E148" s="8">
        <f>IF($A148="","",IF(ISNUMBER(FIND("IMPVOL",E$1)),_xll.BDH(config!$G$4,E$1,WORKDAY($A148,-1,config_Holiday_Calendar_US),WORKDAY($A148,-1,config_Holiday_Calendar_US)),IF(ISNUMBER(_xll.BDH(config!$G$4,E$1,$A148,$A148)),_xll.BDH(config!$G$4,E$1,$A148,$A148),_xll.BDH(config!$G$5,E$1,$A148,$A148))))</f>
        <v>44.85</v>
      </c>
      <c r="F148" s="8">
        <f>IF($A148="","",IF(ISNUMBER(FIND("IMPVOL",F$1)),_xll.BDH(config!$G$4,F$1,WORKDAY($A148,-1,config_Holiday_Calendar_US),WORKDAY($A148,-1,config_Holiday_Calendar_US)),IF(ISNUMBER(_xll.BDH(config!$G$4,F$1,$A148,$A148)),_xll.BDH(config!$G$4,F$1,$A148,$A148),_xll.BDH(config!$G$5,F$1,$A148,$A148))))</f>
        <v>46.17</v>
      </c>
      <c r="G148" s="8">
        <f>IF($A148="","",IF(ISNUMBER(FIND("IMPVOL",G$1)),_xll.BDH(config!$G$4,G$1,WORKDAY($A148,-1,config_Holiday_Calendar_US),WORKDAY($A148,-1,config_Holiday_Calendar_US)),IF(ISNUMBER(_xll.BDH(config!$G$4,G$1,$A148,$A148)),_xll.BDH(config!$G$4,G$1,$A148,$A148),_xll.BDH(config!$G$5,G$1,$A148,$A148))))</f>
        <v>45.19</v>
      </c>
      <c r="H148" s="8">
        <f>IF($A148="","",IF(ISNUMBER(FIND("IMPVOL",H$1)),_xll.BDH(config!$G$4,H$1,WORKDAY($A148,-1,config_Holiday_Calendar_US),WORKDAY($A148,-1,config_Holiday_Calendar_US)),IF(ISNUMBER(_xll.BDH(config!$G$4,H$1,$A148,$A148)),_xll.BDH(config!$G$4,H$1,$A148,$A148),_xll.BDH(config!$G$5,H$1,$A148,$A148))))</f>
        <v>152800</v>
      </c>
      <c r="I148" s="8" t="str">
        <f>IF($A148="","",IF(ISNUMBER(FIND("IMPVOL",I$1)),_xll.BDH(config!$G$4,I$1,WORKDAY($A148,-1,config_Holiday_Calendar_US),WORKDAY($A148,-1,config_Holiday_Calendar_US)),IF(ISNUMBER(_xll.BDH(config!$G$4,I$1,$A148,$A148)),_xll.BDH(config!$G$4,I$1,$A148,$A148),_xll.BDH(config!$G$5,I$1,$A148,$A148))))</f>
        <v>#N/A Requesting Data...</v>
      </c>
      <c r="J148" s="8" t="str">
        <f>IF($A148="","",IF(ISNUMBER(FIND("IMPVOL",J$1)),_xll.BDH(config!$G$4,J$1,WORKDAY($A148,-1,config_Holiday_Calendar_US),WORKDAY($A148,-1,config_Holiday_Calendar_US)),IF(ISNUMBER(_xll.BDH(config!$G$4,J$1,$A148,$A148)),_xll.BDH(config!$G$4,J$1,$A148,$A148),_xll.BDH(config!$G$5,J$1,$A148,$A148))))</f>
        <v>#N/A Requesting Data...</v>
      </c>
      <c r="K148" s="8" t="str">
        <f>IF($A148="","",IF(ISNUMBER(FIND("IMPVOL",K$1)),_xll.BDH(config!$G$4,K$1,WORKDAY($A148,-1,config_Holiday_Calendar_US),WORKDAY($A148,-1,config_Holiday_Calendar_US)),IF(ISNUMBER(_xll.BDH(config!$G$4,K$1,$A148,$A148)),_xll.BDH(config!$G$4,K$1,$A148,$A148),_xll.BDH(config!$G$5,K$1,$A148,$A148))))</f>
        <v>#N/A Requesting Data...</v>
      </c>
      <c r="L148" s="8" t="str">
        <f>IF($A148="","",IF(ISNUMBER(FIND("IMPVOL",L$1)),_xll.BDH(config!$G$4,L$1,WORKDAY($A148,-1,config_Holiday_Calendar_US),WORKDAY($A148,-1,config_Holiday_Calendar_US)),IF(ISNUMBER(_xll.BDH(config!$G$4,L$1,$A148,$A148)),_xll.BDH(config!$G$4,L$1,$A148,$A148),_xll.BDH(config!$G$5,L$1,$A148,$A148))))</f>
        <v>#N/A Requesting Data...</v>
      </c>
      <c r="M148" s="8" t="str">
        <f>IF($A148="","",IF(ISNUMBER(FIND("IMPVOL",M$1)),_xll.BDH(config!$G$4,M$1,WORKDAY($A148,-1,config_Holiday_Calendar_US),WORKDAY($A148,-1,config_Holiday_Calendar_US)),IF(ISNUMBER(_xll.BDH(config!$G$4,M$1,$A148,$A148)),_xll.BDH(config!$G$4,M$1,$A148,$A148),_xll.BDH(config!$G$5,M$1,$A148,$A148))))</f>
        <v>#N/A Requesting Data...</v>
      </c>
      <c r="N148" s="8" t="str">
        <f>IF($A148="","",IF(ISNUMBER(FIND("IMPVOL",N$1)),_xll.BDH(config!$G$4,N$1,WORKDAY($A148,-1,config_Holiday_Calendar_US),WORKDAY($A148,-1,config_Holiday_Calendar_US)),IF(ISNUMBER(_xll.BDH(config!$G$4,N$1,$A148,$A148)),_xll.BDH(config!$G$4,N$1,$A148,$A148),_xll.BDH(config!$G$5,N$1,$A148,$A148))))</f>
        <v>#N/A Requesting Data...</v>
      </c>
      <c r="O148" s="8" t="str">
        <f>IF($A148="","",IF(ISNUMBER(FIND("IMPVOL",O$1)),_xll.BDH(config!$G$4,O$1,WORKDAY($A148,-1,config_Holiday_Calendar_US),WORKDAY($A148,-1,config_Holiday_Calendar_US)),IF(ISNUMBER(_xll.BDH(config!$G$4,O$1,$A148,$A148)),_xll.BDH(config!$G$4,O$1,$A148,$A148),_xll.BDH(config!$G$5,O$1,$A148,$A148))))</f>
        <v>#N/A Requesting Data...</v>
      </c>
      <c r="P148" s="8" t="str">
        <f>IF($A148="","",IF(ISNUMBER(FIND("IMPVOL",P$1)),_xll.BDH(config!$G$4,P$1,WORKDAY($A148,-1,config_Holiday_Calendar_US),WORKDAY($A148,-1,config_Holiday_Calendar_US)),IF(ISNUMBER(_xll.BDH(config!$G$4,P$1,$A148,$A148)),_xll.BDH(config!$G$4,P$1,$A148,$A148),_xll.BDH(config!$G$5,P$1,$A148,$A148))))</f>
        <v>#N/A Requesting Data...</v>
      </c>
      <c r="Q148" s="8">
        <f>IF($A148="","",IF(ISNUMBER(FIND("IMPVOL",Q$1)),_xll.BDH(config!$G$4,Q$1,WORKDAY($A148,-1,config_Holiday_Calendar_US),WORKDAY($A148,-1,config_Holiday_Calendar_US)),IF(ISNUMBER(_xll.BDH(config!$G$4,Q$1,$A148,$A148)),_xll.BDH(config!$G$4,Q$1,$A148,$A148),_xll.BDH(config!$G$5,Q$1,$A148,$A148))))</f>
        <v>36.89</v>
      </c>
      <c r="R148" s="8">
        <f>IF($A148="","",IF(ISNUMBER(FIND("IMPVOL",R$1)),_xll.BDH(config!$G$4,R$1,WORKDAY($A148,-1,config_Holiday_Calendar_US),WORKDAY($A148,-1,config_Holiday_Calendar_US)),IF(ISNUMBER(_xll.BDH(config!$G$4,R$1,$A148,$A148)),_xll.BDH(config!$G$4,R$1,$A148,$A148),_xll.BDH(config!$G$5,R$1,$A148,$A148))))</f>
        <v>38.229999999999997</v>
      </c>
      <c r="S148" s="8" t="str">
        <f>IF($A148="","",IF(ISNUMBER(FIND("IMPVOL",S$1)),_xll.BDH(config!$G$4,S$1,WORKDAY($A148,-1,config_Holiday_Calendar_US),WORKDAY($A148,-1,config_Holiday_Calendar_US)),IF(ISNUMBER(_xll.BDH(config!$G$4,S$1,$A148,$A148)),_xll.BDH(config!$G$4,S$1,$A148,$A148),_xll.BDH(config!$G$5,S$1,$A148,$A148))))</f>
        <v>#N/A Requesting Data...</v>
      </c>
      <c r="T148" s="8" t="str">
        <f>IF($A148="","",IF(ISNUMBER(FIND("IMPVOL",T$1)),_xll.BDH(config!$G$4,T$1,WORKDAY($A148,-1,config_Holiday_Calendar_US),WORKDAY($A148,-1,config_Holiday_Calendar_US)),IF(ISNUMBER(_xll.BDH(config!$G$4,T$1,$A148,$A148)),_xll.BDH(config!$G$4,T$1,$A148,$A148),_xll.BDH(config!$G$5,T$1,$A148,$A148))))</f>
        <v>#N/A Requesting Data...</v>
      </c>
      <c r="U148" s="8" t="str">
        <f>IF($A148="","",IF(ISNUMBER(FIND("IMPVOL",U$1)),_xll.BDH(config!$G$4,U$1,WORKDAY($A148,-1,config_Holiday_Calendar_US),WORKDAY($A148,-1,config_Holiday_Calendar_US)),IF(ISNUMBER(_xll.BDH(config!$G$4,U$1,$A148,$A148)),_xll.BDH(config!$G$4,U$1,$A148,$A148),_xll.BDH(config!$G$5,U$1,$A148,$A148))))</f>
        <v>#N/A Requesting Data...</v>
      </c>
      <c r="V148" s="8" t="str">
        <f>IF($A148="","",IF(ISNUMBER(FIND("IMPVOL",V$1)),_xll.BDH(config!$G$4,V$1,WORKDAY($A148,-1,config_Holiday_Calendar_US),WORKDAY($A148,-1,config_Holiday_Calendar_US)),IF(ISNUMBER(_xll.BDH(config!$G$4,V$1,$A148,$A148)),_xll.BDH(config!$G$4,V$1,$A148,$A148),_xll.BDH(config!$G$5,V$1,$A148,$A148))))</f>
        <v>#N/A Requesting Data...</v>
      </c>
      <c r="W148" s="8" t="str">
        <f>IF($A148="","",IF(ISNUMBER(FIND("IMPVOL",W$1)),_xll.BDH(config!$G$4,W$1,WORKDAY($A148,-1,config_Holiday_Calendar_US),WORKDAY($A148,-1,config_Holiday_Calendar_US)),IF(ISNUMBER(_xll.BDH(config!$G$4,W$1,$A148,$A148)),_xll.BDH(config!$G$4,W$1,$A148,$A148),_xll.BDH(config!$G$5,W$1,$A148,$A148))))</f>
        <v>#N/A Requesting Data...</v>
      </c>
    </row>
    <row r="149" spans="1:23" x14ac:dyDescent="0.2">
      <c r="A149" s="9">
        <f>IF(A148="","",IF(WORKDAY(A148,-1,config_Holiday_Calendar_US)&lt;config!$I$10,"",WORKDAY(A148,-1,config_Holiday_Calendar_US)))</f>
        <v>42619</v>
      </c>
      <c r="B149" s="8" t="e">
        <f t="shared" si="2"/>
        <v>#VALUE!</v>
      </c>
      <c r="C149" s="8" t="str">
        <f>IF(A149="","",_xll.BDH(config!$H$4,C$1,$A149,$A149))</f>
        <v>#N/A Requesting Data...</v>
      </c>
      <c r="D149" s="8" t="str">
        <f>IF($A149="","",_xll.BDH(config!$H$4,D$1,$A149,$A149))</f>
        <v>#N/A Requesting Data...</v>
      </c>
      <c r="E149" s="8">
        <f>IF($A149="","",IF(ISNUMBER(FIND("IMPVOL",E$1)),_xll.BDH(config!$G$4,E$1,WORKDAY($A149,-1,config_Holiday_Calendar_US),WORKDAY($A149,-1,config_Holiday_Calendar_US)),IF(ISNUMBER(_xll.BDH(config!$G$4,E$1,$A149,$A149)),_xll.BDH(config!$G$4,E$1,$A149,$A149),_xll.BDH(config!$G$5,E$1,$A149,$A149))))</f>
        <v>44.15</v>
      </c>
      <c r="F149" s="8">
        <f>IF($A149="","",IF(ISNUMBER(FIND("IMPVOL",F$1)),_xll.BDH(config!$G$4,F$1,WORKDAY($A149,-1,config_Holiday_Calendar_US),WORKDAY($A149,-1,config_Holiday_Calendar_US)),IF(ISNUMBER(_xll.BDH(config!$G$4,F$1,$A149,$A149)),_xll.BDH(config!$G$4,F$1,$A149,$A149),_xll.BDH(config!$G$5,F$1,$A149,$A149))))</f>
        <v>46.53</v>
      </c>
      <c r="G149" s="8">
        <f>IF($A149="","",IF(ISNUMBER(FIND("IMPVOL",G$1)),_xll.BDH(config!$G$4,G$1,WORKDAY($A149,-1,config_Holiday_Calendar_US),WORKDAY($A149,-1,config_Holiday_Calendar_US)),IF(ISNUMBER(_xll.BDH(config!$G$4,G$1,$A149,$A149)),_xll.BDH(config!$G$4,G$1,$A149,$A149),_xll.BDH(config!$G$5,G$1,$A149,$A149))))</f>
        <v>44.47</v>
      </c>
      <c r="H149" s="8">
        <f>IF($A149="","",IF(ISNUMBER(FIND("IMPVOL",H$1)),_xll.BDH(config!$G$4,H$1,WORKDAY($A149,-1,config_Holiday_Calendar_US),WORKDAY($A149,-1,config_Holiday_Calendar_US)),IF(ISNUMBER(_xll.BDH(config!$G$4,H$1,$A149,$A149)),_xll.BDH(config!$G$4,H$1,$A149,$A149),_xll.BDH(config!$G$5,H$1,$A149,$A149))))</f>
        <v>264289</v>
      </c>
      <c r="I149" s="8" t="str">
        <f>IF($A149="","",IF(ISNUMBER(FIND("IMPVOL",I$1)),_xll.BDH(config!$G$4,I$1,WORKDAY($A149,-1,config_Holiday_Calendar_US),WORKDAY($A149,-1,config_Holiday_Calendar_US)),IF(ISNUMBER(_xll.BDH(config!$G$4,I$1,$A149,$A149)),_xll.BDH(config!$G$4,I$1,$A149,$A149),_xll.BDH(config!$G$5,I$1,$A149,$A149))))</f>
        <v>#N/A Requesting Data...</v>
      </c>
      <c r="J149" s="8" t="str">
        <f>IF($A149="","",IF(ISNUMBER(FIND("IMPVOL",J$1)),_xll.BDH(config!$G$4,J$1,WORKDAY($A149,-1,config_Holiday_Calendar_US),WORKDAY($A149,-1,config_Holiday_Calendar_US)),IF(ISNUMBER(_xll.BDH(config!$G$4,J$1,$A149,$A149)),_xll.BDH(config!$G$4,J$1,$A149,$A149),_xll.BDH(config!$G$5,J$1,$A149,$A149))))</f>
        <v>#N/A Requesting Data...</v>
      </c>
      <c r="K149" s="8" t="str">
        <f>IF($A149="","",IF(ISNUMBER(FIND("IMPVOL",K$1)),_xll.BDH(config!$G$4,K$1,WORKDAY($A149,-1,config_Holiday_Calendar_US),WORKDAY($A149,-1,config_Holiday_Calendar_US)),IF(ISNUMBER(_xll.BDH(config!$G$4,K$1,$A149,$A149)),_xll.BDH(config!$G$4,K$1,$A149,$A149),_xll.BDH(config!$G$5,K$1,$A149,$A149))))</f>
        <v>#N/A Requesting Data...</v>
      </c>
      <c r="L149" s="8" t="str">
        <f>IF($A149="","",IF(ISNUMBER(FIND("IMPVOL",L$1)),_xll.BDH(config!$G$4,L$1,WORKDAY($A149,-1,config_Holiday_Calendar_US),WORKDAY($A149,-1,config_Holiday_Calendar_US)),IF(ISNUMBER(_xll.BDH(config!$G$4,L$1,$A149,$A149)),_xll.BDH(config!$G$4,L$1,$A149,$A149),_xll.BDH(config!$G$5,L$1,$A149,$A149))))</f>
        <v>#N/A Requesting Data...</v>
      </c>
      <c r="M149" s="8" t="str">
        <f>IF($A149="","",IF(ISNUMBER(FIND("IMPVOL",M$1)),_xll.BDH(config!$G$4,M$1,WORKDAY($A149,-1,config_Holiday_Calendar_US),WORKDAY($A149,-1,config_Holiday_Calendar_US)),IF(ISNUMBER(_xll.BDH(config!$G$4,M$1,$A149,$A149)),_xll.BDH(config!$G$4,M$1,$A149,$A149),_xll.BDH(config!$G$5,M$1,$A149,$A149))))</f>
        <v>#N/A Requesting Data...</v>
      </c>
      <c r="N149" s="8" t="str">
        <f>IF($A149="","",IF(ISNUMBER(FIND("IMPVOL",N$1)),_xll.BDH(config!$G$4,N$1,WORKDAY($A149,-1,config_Holiday_Calendar_US),WORKDAY($A149,-1,config_Holiday_Calendar_US)),IF(ISNUMBER(_xll.BDH(config!$G$4,N$1,$A149,$A149)),_xll.BDH(config!$G$4,N$1,$A149,$A149),_xll.BDH(config!$G$5,N$1,$A149,$A149))))</f>
        <v>#N/A Requesting Data...</v>
      </c>
      <c r="O149" s="8" t="str">
        <f>IF($A149="","",IF(ISNUMBER(FIND("IMPVOL",O$1)),_xll.BDH(config!$G$4,O$1,WORKDAY($A149,-1,config_Holiday_Calendar_US),WORKDAY($A149,-1,config_Holiday_Calendar_US)),IF(ISNUMBER(_xll.BDH(config!$G$4,O$1,$A149,$A149)),_xll.BDH(config!$G$4,O$1,$A149,$A149),_xll.BDH(config!$G$5,O$1,$A149,$A149))))</f>
        <v>#N/A Requesting Data...</v>
      </c>
      <c r="P149" s="8" t="str">
        <f>IF($A149="","",IF(ISNUMBER(FIND("IMPVOL",P$1)),_xll.BDH(config!$G$4,P$1,WORKDAY($A149,-1,config_Holiday_Calendar_US),WORKDAY($A149,-1,config_Holiday_Calendar_US)),IF(ISNUMBER(_xll.BDH(config!$G$4,P$1,$A149,$A149)),_xll.BDH(config!$G$4,P$1,$A149,$A149),_xll.BDH(config!$G$5,P$1,$A149,$A149))))</f>
        <v>#N/A Requesting Data...</v>
      </c>
      <c r="Q149" s="8">
        <f>IF($A149="","",IF(ISNUMBER(FIND("IMPVOL",Q$1)),_xll.BDH(config!$G$4,Q$1,WORKDAY($A149,-1,config_Holiday_Calendar_US),WORKDAY($A149,-1,config_Holiday_Calendar_US)),IF(ISNUMBER(_xll.BDH(config!$G$4,Q$1,$A149,$A149)),_xll.BDH(config!$G$4,Q$1,$A149,$A149),_xll.BDH(config!$G$5,Q$1,$A149,$A149))))</f>
        <v>36.97</v>
      </c>
      <c r="R149" s="8">
        <f>IF($A149="","",IF(ISNUMBER(FIND("IMPVOL",R$1)),_xll.BDH(config!$G$4,R$1,WORKDAY($A149,-1,config_Holiday_Calendar_US),WORKDAY($A149,-1,config_Holiday_Calendar_US)),IF(ISNUMBER(_xll.BDH(config!$G$4,R$1,$A149,$A149)),_xll.BDH(config!$G$4,R$1,$A149,$A149),_xll.BDH(config!$G$5,R$1,$A149,$A149))))</f>
        <v>38.89</v>
      </c>
      <c r="S149" s="8" t="str">
        <f>IF($A149="","",IF(ISNUMBER(FIND("IMPVOL",S$1)),_xll.BDH(config!$G$4,S$1,WORKDAY($A149,-1,config_Holiday_Calendar_US),WORKDAY($A149,-1,config_Holiday_Calendar_US)),IF(ISNUMBER(_xll.BDH(config!$G$4,S$1,$A149,$A149)),_xll.BDH(config!$G$4,S$1,$A149,$A149),_xll.BDH(config!$G$5,S$1,$A149,$A149))))</f>
        <v>#N/A Requesting Data...</v>
      </c>
      <c r="T149" s="8" t="str">
        <f>IF($A149="","",IF(ISNUMBER(FIND("IMPVOL",T$1)),_xll.BDH(config!$G$4,T$1,WORKDAY($A149,-1,config_Holiday_Calendar_US),WORKDAY($A149,-1,config_Holiday_Calendar_US)),IF(ISNUMBER(_xll.BDH(config!$G$4,T$1,$A149,$A149)),_xll.BDH(config!$G$4,T$1,$A149,$A149),_xll.BDH(config!$G$5,T$1,$A149,$A149))))</f>
        <v>#N/A Requesting Data...</v>
      </c>
      <c r="U149" s="8" t="str">
        <f>IF($A149="","",IF(ISNUMBER(FIND("IMPVOL",U$1)),_xll.BDH(config!$G$4,U$1,WORKDAY($A149,-1,config_Holiday_Calendar_US),WORKDAY($A149,-1,config_Holiday_Calendar_US)),IF(ISNUMBER(_xll.BDH(config!$G$4,U$1,$A149,$A149)),_xll.BDH(config!$G$4,U$1,$A149,$A149),_xll.BDH(config!$G$5,U$1,$A149,$A149))))</f>
        <v>#N/A Requesting Data...</v>
      </c>
      <c r="V149" s="8" t="str">
        <f>IF($A149="","",IF(ISNUMBER(FIND("IMPVOL",V$1)),_xll.BDH(config!$G$4,V$1,WORKDAY($A149,-1,config_Holiday_Calendar_US),WORKDAY($A149,-1,config_Holiday_Calendar_US)),IF(ISNUMBER(_xll.BDH(config!$G$4,V$1,$A149,$A149)),_xll.BDH(config!$G$4,V$1,$A149,$A149),_xll.BDH(config!$G$5,V$1,$A149,$A149))))</f>
        <v>#N/A Requesting Data...</v>
      </c>
      <c r="W149" s="8" t="str">
        <f>IF($A149="","",IF(ISNUMBER(FIND("IMPVOL",W$1)),_xll.BDH(config!$G$4,W$1,WORKDAY($A149,-1,config_Holiday_Calendar_US),WORKDAY($A149,-1,config_Holiday_Calendar_US)),IF(ISNUMBER(_xll.BDH(config!$G$4,W$1,$A149,$A149)),_xll.BDH(config!$G$4,W$1,$A149,$A149),_xll.BDH(config!$G$5,W$1,$A149,$A149))))</f>
        <v>#N/A Requesting Data...</v>
      </c>
    </row>
    <row r="150" spans="1:23" x14ac:dyDescent="0.2">
      <c r="A150" s="9">
        <f>IF(A149="","",IF(WORKDAY(A149,-1,config_Holiday_Calendar_US)&lt;config!$I$10,"",WORKDAY(A149,-1,config_Holiday_Calendar_US)))</f>
        <v>42615</v>
      </c>
      <c r="B150" s="8" t="e">
        <f t="shared" si="2"/>
        <v>#VALUE!</v>
      </c>
      <c r="C150" s="8" t="str">
        <f>IF(A150="","",_xll.BDH(config!$H$4,C$1,$A150,$A150))</f>
        <v>#N/A Requesting Data...</v>
      </c>
      <c r="D150" s="8" t="str">
        <f>IF($A150="","",_xll.BDH(config!$H$4,D$1,$A150,$A150))</f>
        <v>#N/A Requesting Data...</v>
      </c>
      <c r="E150" s="8">
        <f>IF($A150="","",IF(ISNUMBER(FIND("IMPVOL",E$1)),_xll.BDH(config!$G$4,E$1,WORKDAY($A150,-1,config_Holiday_Calendar_US),WORKDAY($A150,-1,config_Holiday_Calendar_US)),IF(ISNUMBER(_xll.BDH(config!$G$4,E$1,$A150,$A150)),_xll.BDH(config!$G$4,E$1,$A150,$A150),_xll.BDH(config!$G$5,E$1,$A150,$A150))))</f>
        <v>43.55</v>
      </c>
      <c r="F150" s="8">
        <f>IF($A150="","",IF(ISNUMBER(FIND("IMPVOL",F$1)),_xll.BDH(config!$G$4,F$1,WORKDAY($A150,-1,config_Holiday_Calendar_US),WORKDAY($A150,-1,config_Holiday_Calendar_US)),IF(ISNUMBER(_xll.BDH(config!$G$4,F$1,$A150,$A150)),_xll.BDH(config!$G$4,F$1,$A150,$A150),_xll.BDH(config!$G$5,F$1,$A150,$A150))))</f>
        <v>44.67</v>
      </c>
      <c r="G150" s="8">
        <f>IF($A150="","",IF(ISNUMBER(FIND("IMPVOL",G$1)),_xll.BDH(config!$G$4,G$1,WORKDAY($A150,-1,config_Holiday_Calendar_US),WORKDAY($A150,-1,config_Holiday_Calendar_US)),IF(ISNUMBER(_xll.BDH(config!$G$4,G$1,$A150,$A150)),_xll.BDH(config!$G$4,G$1,$A150,$A150),_xll.BDH(config!$G$5,G$1,$A150,$A150))))</f>
        <v>43.75</v>
      </c>
      <c r="H150" s="8">
        <f>IF($A150="","",IF(ISNUMBER(FIND("IMPVOL",H$1)),_xll.BDH(config!$G$4,H$1,WORKDAY($A150,-1,config_Holiday_Calendar_US),WORKDAY($A150,-1,config_Holiday_Calendar_US)),IF(ISNUMBER(_xll.BDH(config!$G$4,H$1,$A150,$A150)),_xll.BDH(config!$G$4,H$1,$A150,$A150),_xll.BDH(config!$G$5,H$1,$A150,$A150))))</f>
        <v>129611</v>
      </c>
      <c r="I150" s="8" t="str">
        <f>IF($A150="","",IF(ISNUMBER(FIND("IMPVOL",I$1)),_xll.BDH(config!$G$4,I$1,WORKDAY($A150,-1,config_Holiday_Calendar_US),WORKDAY($A150,-1,config_Holiday_Calendar_US)),IF(ISNUMBER(_xll.BDH(config!$G$4,I$1,$A150,$A150)),_xll.BDH(config!$G$4,I$1,$A150,$A150),_xll.BDH(config!$G$5,I$1,$A150,$A150))))</f>
        <v>#N/A Requesting Data...</v>
      </c>
      <c r="J150" s="8" t="str">
        <f>IF($A150="","",IF(ISNUMBER(FIND("IMPVOL",J$1)),_xll.BDH(config!$G$4,J$1,WORKDAY($A150,-1,config_Holiday_Calendar_US),WORKDAY($A150,-1,config_Holiday_Calendar_US)),IF(ISNUMBER(_xll.BDH(config!$G$4,J$1,$A150,$A150)),_xll.BDH(config!$G$4,J$1,$A150,$A150),_xll.BDH(config!$G$5,J$1,$A150,$A150))))</f>
        <v>#N/A Requesting Data...</v>
      </c>
      <c r="K150" s="8" t="str">
        <f>IF($A150="","",IF(ISNUMBER(FIND("IMPVOL",K$1)),_xll.BDH(config!$G$4,K$1,WORKDAY($A150,-1,config_Holiday_Calendar_US),WORKDAY($A150,-1,config_Holiday_Calendar_US)),IF(ISNUMBER(_xll.BDH(config!$G$4,K$1,$A150,$A150)),_xll.BDH(config!$G$4,K$1,$A150,$A150),_xll.BDH(config!$G$5,K$1,$A150,$A150))))</f>
        <v>#N/A Requesting Data...</v>
      </c>
      <c r="L150" s="8" t="str">
        <f>IF($A150="","",IF(ISNUMBER(FIND("IMPVOL",L$1)),_xll.BDH(config!$G$4,L$1,WORKDAY($A150,-1,config_Holiday_Calendar_US),WORKDAY($A150,-1,config_Holiday_Calendar_US)),IF(ISNUMBER(_xll.BDH(config!$G$4,L$1,$A150,$A150)),_xll.BDH(config!$G$4,L$1,$A150,$A150),_xll.BDH(config!$G$5,L$1,$A150,$A150))))</f>
        <v>#N/A Requesting Data...</v>
      </c>
      <c r="M150" s="8" t="str">
        <f>IF($A150="","",IF(ISNUMBER(FIND("IMPVOL",M$1)),_xll.BDH(config!$G$4,M$1,WORKDAY($A150,-1,config_Holiday_Calendar_US),WORKDAY($A150,-1,config_Holiday_Calendar_US)),IF(ISNUMBER(_xll.BDH(config!$G$4,M$1,$A150,$A150)),_xll.BDH(config!$G$4,M$1,$A150,$A150),_xll.BDH(config!$G$5,M$1,$A150,$A150))))</f>
        <v>#N/A Requesting Data...</v>
      </c>
      <c r="N150" s="8" t="str">
        <f>IF($A150="","",IF(ISNUMBER(FIND("IMPVOL",N$1)),_xll.BDH(config!$G$4,N$1,WORKDAY($A150,-1,config_Holiday_Calendar_US),WORKDAY($A150,-1,config_Holiday_Calendar_US)),IF(ISNUMBER(_xll.BDH(config!$G$4,N$1,$A150,$A150)),_xll.BDH(config!$G$4,N$1,$A150,$A150),_xll.BDH(config!$G$5,N$1,$A150,$A150))))</f>
        <v>#N/A Requesting Data...</v>
      </c>
      <c r="O150" s="8" t="str">
        <f>IF($A150="","",IF(ISNUMBER(FIND("IMPVOL",O$1)),_xll.BDH(config!$G$4,O$1,WORKDAY($A150,-1,config_Holiday_Calendar_US),WORKDAY($A150,-1,config_Holiday_Calendar_US)),IF(ISNUMBER(_xll.BDH(config!$G$4,O$1,$A150,$A150)),_xll.BDH(config!$G$4,O$1,$A150,$A150),_xll.BDH(config!$G$5,O$1,$A150,$A150))))</f>
        <v>#N/A Requesting Data...</v>
      </c>
      <c r="P150" s="8" t="str">
        <f>IF($A150="","",IF(ISNUMBER(FIND("IMPVOL",P$1)),_xll.BDH(config!$G$4,P$1,WORKDAY($A150,-1,config_Holiday_Calendar_US),WORKDAY($A150,-1,config_Holiday_Calendar_US)),IF(ISNUMBER(_xll.BDH(config!$G$4,P$1,$A150,$A150)),_xll.BDH(config!$G$4,P$1,$A150,$A150),_xll.BDH(config!$G$5,P$1,$A150,$A150))))</f>
        <v>#N/A Requesting Data...</v>
      </c>
      <c r="Q150" s="8">
        <f>IF($A150="","",IF(ISNUMBER(FIND("IMPVOL",Q$1)),_xll.BDH(config!$G$4,Q$1,WORKDAY($A150,-1,config_Holiday_Calendar_US),WORKDAY($A150,-1,config_Holiday_Calendar_US)),IF(ISNUMBER(_xll.BDH(config!$G$4,Q$1,$A150,$A150)),_xll.BDH(config!$G$4,Q$1,$A150,$A150),_xll.BDH(config!$G$5,Q$1,$A150,$A150))))</f>
        <v>40.89</v>
      </c>
      <c r="R150" s="8">
        <f>IF($A150="","",IF(ISNUMBER(FIND("IMPVOL",R$1)),_xll.BDH(config!$G$4,R$1,WORKDAY($A150,-1,config_Holiday_Calendar_US),WORKDAY($A150,-1,config_Holiday_Calendar_US)),IF(ISNUMBER(_xll.BDH(config!$G$4,R$1,$A150,$A150)),_xll.BDH(config!$G$4,R$1,$A150,$A150),_xll.BDH(config!$G$5,R$1,$A150,$A150))))</f>
        <v>38.85</v>
      </c>
      <c r="S150" s="8" t="str">
        <f>IF($A150="","",IF(ISNUMBER(FIND("IMPVOL",S$1)),_xll.BDH(config!$G$4,S$1,WORKDAY($A150,-1,config_Holiday_Calendar_US),WORKDAY($A150,-1,config_Holiday_Calendar_US)),IF(ISNUMBER(_xll.BDH(config!$G$4,S$1,$A150,$A150)),_xll.BDH(config!$G$4,S$1,$A150,$A150),_xll.BDH(config!$G$5,S$1,$A150,$A150))))</f>
        <v>#N/A Requesting Data...</v>
      </c>
      <c r="T150" s="8" t="str">
        <f>IF($A150="","",IF(ISNUMBER(FIND("IMPVOL",T$1)),_xll.BDH(config!$G$4,T$1,WORKDAY($A150,-1,config_Holiday_Calendar_US),WORKDAY($A150,-1,config_Holiday_Calendar_US)),IF(ISNUMBER(_xll.BDH(config!$G$4,T$1,$A150,$A150)),_xll.BDH(config!$G$4,T$1,$A150,$A150),_xll.BDH(config!$G$5,T$1,$A150,$A150))))</f>
        <v>#N/A Requesting Data...</v>
      </c>
      <c r="U150" s="8" t="str">
        <f>IF($A150="","",IF(ISNUMBER(FIND("IMPVOL",U$1)),_xll.BDH(config!$G$4,U$1,WORKDAY($A150,-1,config_Holiday_Calendar_US),WORKDAY($A150,-1,config_Holiday_Calendar_US)),IF(ISNUMBER(_xll.BDH(config!$G$4,U$1,$A150,$A150)),_xll.BDH(config!$G$4,U$1,$A150,$A150),_xll.BDH(config!$G$5,U$1,$A150,$A150))))</f>
        <v>#N/A Requesting Data...</v>
      </c>
      <c r="V150" s="8" t="str">
        <f>IF($A150="","",IF(ISNUMBER(FIND("IMPVOL",V$1)),_xll.BDH(config!$G$4,V$1,WORKDAY($A150,-1,config_Holiday_Calendar_US),WORKDAY($A150,-1,config_Holiday_Calendar_US)),IF(ISNUMBER(_xll.BDH(config!$G$4,V$1,$A150,$A150)),_xll.BDH(config!$G$4,V$1,$A150,$A150),_xll.BDH(config!$G$5,V$1,$A150,$A150))))</f>
        <v>#N/A Requesting Data...</v>
      </c>
      <c r="W150" s="8" t="str">
        <f>IF($A150="","",IF(ISNUMBER(FIND("IMPVOL",W$1)),_xll.BDH(config!$G$4,W$1,WORKDAY($A150,-1,config_Holiday_Calendar_US),WORKDAY($A150,-1,config_Holiday_Calendar_US)),IF(ISNUMBER(_xll.BDH(config!$G$4,W$1,$A150,$A150)),_xll.BDH(config!$G$4,W$1,$A150,$A150),_xll.BDH(config!$G$5,W$1,$A150,$A150))))</f>
        <v>#N/A Requesting Data...</v>
      </c>
    </row>
    <row r="151" spans="1:23" x14ac:dyDescent="0.2">
      <c r="A151" s="9">
        <f>IF(A150="","",IF(WORKDAY(A150,-1,config_Holiday_Calendar_US)&lt;config!$I$10,"",WORKDAY(A150,-1,config_Holiday_Calendar_US)))</f>
        <v>42614</v>
      </c>
      <c r="B151" s="8" t="e">
        <f t="shared" si="2"/>
        <v>#VALUE!</v>
      </c>
      <c r="C151" s="8" t="str">
        <f>IF(A151="","",_xll.BDH(config!$H$4,C$1,$A151,$A151))</f>
        <v>#N/A Requesting Data...</v>
      </c>
      <c r="D151" s="8" t="str">
        <f>IF($A151="","",_xll.BDH(config!$H$4,D$1,$A151,$A151))</f>
        <v>#N/A Requesting Data...</v>
      </c>
      <c r="E151" s="8">
        <f>IF($A151="","",IF(ISNUMBER(FIND("IMPVOL",E$1)),_xll.BDH(config!$G$4,E$1,WORKDAY($A151,-1,config_Holiday_Calendar_US),WORKDAY($A151,-1,config_Holiday_Calendar_US)),IF(ISNUMBER(_xll.BDH(config!$G$4,E$1,$A151,$A151)),_xll.BDH(config!$G$4,E$1,$A151,$A151),_xll.BDH(config!$G$5,E$1,$A151,$A151))))</f>
        <v>44.85</v>
      </c>
      <c r="F151" s="8">
        <f>IF($A151="","",IF(ISNUMBER(FIND("IMPVOL",F$1)),_xll.BDH(config!$G$4,F$1,WORKDAY($A151,-1,config_Holiday_Calendar_US),WORKDAY($A151,-1,config_Holiday_Calendar_US)),IF(ISNUMBER(_xll.BDH(config!$G$4,F$1,$A151,$A151)),_xll.BDH(config!$G$4,F$1,$A151,$A151),_xll.BDH(config!$G$5,F$1,$A151,$A151))))</f>
        <v>45.08</v>
      </c>
      <c r="G151" s="8">
        <f>IF($A151="","",IF(ISNUMBER(FIND("IMPVOL",G$1)),_xll.BDH(config!$G$4,G$1,WORKDAY($A151,-1,config_Holiday_Calendar_US),WORKDAY($A151,-1,config_Holiday_Calendar_US)),IF(ISNUMBER(_xll.BDH(config!$G$4,G$1,$A151,$A151)),_xll.BDH(config!$G$4,G$1,$A151,$A151),_xll.BDH(config!$G$5,G$1,$A151,$A151))))</f>
        <v>43.59</v>
      </c>
      <c r="H151" s="8">
        <f>IF($A151="","",IF(ISNUMBER(FIND("IMPVOL",H$1)),_xll.BDH(config!$G$4,H$1,WORKDAY($A151,-1,config_Holiday_Calendar_US),WORKDAY($A151,-1,config_Holiday_Calendar_US)),IF(ISNUMBER(_xll.BDH(config!$G$4,H$1,$A151,$A151)),_xll.BDH(config!$G$4,H$1,$A151,$A151),_xll.BDH(config!$G$5,H$1,$A151,$A151))))</f>
        <v>170369</v>
      </c>
      <c r="I151" s="8" t="str">
        <f>IF($A151="","",IF(ISNUMBER(FIND("IMPVOL",I$1)),_xll.BDH(config!$G$4,I$1,WORKDAY($A151,-1,config_Holiday_Calendar_US),WORKDAY($A151,-1,config_Holiday_Calendar_US)),IF(ISNUMBER(_xll.BDH(config!$G$4,I$1,$A151,$A151)),_xll.BDH(config!$G$4,I$1,$A151,$A151),_xll.BDH(config!$G$5,I$1,$A151,$A151))))</f>
        <v>#N/A Requesting Data...</v>
      </c>
      <c r="J151" s="8" t="str">
        <f>IF($A151="","",IF(ISNUMBER(FIND("IMPVOL",J$1)),_xll.BDH(config!$G$4,J$1,WORKDAY($A151,-1,config_Holiday_Calendar_US),WORKDAY($A151,-1,config_Holiday_Calendar_US)),IF(ISNUMBER(_xll.BDH(config!$G$4,J$1,$A151,$A151)),_xll.BDH(config!$G$4,J$1,$A151,$A151),_xll.BDH(config!$G$5,J$1,$A151,$A151))))</f>
        <v>#N/A Requesting Data...</v>
      </c>
      <c r="K151" s="8" t="str">
        <f>IF($A151="","",IF(ISNUMBER(FIND("IMPVOL",K$1)),_xll.BDH(config!$G$4,K$1,WORKDAY($A151,-1,config_Holiday_Calendar_US),WORKDAY($A151,-1,config_Holiday_Calendar_US)),IF(ISNUMBER(_xll.BDH(config!$G$4,K$1,$A151,$A151)),_xll.BDH(config!$G$4,K$1,$A151,$A151),_xll.BDH(config!$G$5,K$1,$A151,$A151))))</f>
        <v>#N/A Requesting Data...</v>
      </c>
      <c r="L151" s="8" t="str">
        <f>IF($A151="","",IF(ISNUMBER(FIND("IMPVOL",L$1)),_xll.BDH(config!$G$4,L$1,WORKDAY($A151,-1,config_Holiday_Calendar_US),WORKDAY($A151,-1,config_Holiday_Calendar_US)),IF(ISNUMBER(_xll.BDH(config!$G$4,L$1,$A151,$A151)),_xll.BDH(config!$G$4,L$1,$A151,$A151),_xll.BDH(config!$G$5,L$1,$A151,$A151))))</f>
        <v>#N/A Requesting Data...</v>
      </c>
      <c r="M151" s="8" t="str">
        <f>IF($A151="","",IF(ISNUMBER(FIND("IMPVOL",M$1)),_xll.BDH(config!$G$4,M$1,WORKDAY($A151,-1,config_Holiday_Calendar_US),WORKDAY($A151,-1,config_Holiday_Calendar_US)),IF(ISNUMBER(_xll.BDH(config!$G$4,M$1,$A151,$A151)),_xll.BDH(config!$G$4,M$1,$A151,$A151),_xll.BDH(config!$G$5,M$1,$A151,$A151))))</f>
        <v>#N/A Requesting Data...</v>
      </c>
      <c r="N151" s="8" t="str">
        <f>IF($A151="","",IF(ISNUMBER(FIND("IMPVOL",N$1)),_xll.BDH(config!$G$4,N$1,WORKDAY($A151,-1,config_Holiday_Calendar_US),WORKDAY($A151,-1,config_Holiday_Calendar_US)),IF(ISNUMBER(_xll.BDH(config!$G$4,N$1,$A151,$A151)),_xll.BDH(config!$G$4,N$1,$A151,$A151),_xll.BDH(config!$G$5,N$1,$A151,$A151))))</f>
        <v>#N/A Requesting Data...</v>
      </c>
      <c r="O151" s="8" t="str">
        <f>IF($A151="","",IF(ISNUMBER(FIND("IMPVOL",O$1)),_xll.BDH(config!$G$4,O$1,WORKDAY($A151,-1,config_Holiday_Calendar_US),WORKDAY($A151,-1,config_Holiday_Calendar_US)),IF(ISNUMBER(_xll.BDH(config!$G$4,O$1,$A151,$A151)),_xll.BDH(config!$G$4,O$1,$A151,$A151),_xll.BDH(config!$G$5,O$1,$A151,$A151))))</f>
        <v>#N/A Requesting Data...</v>
      </c>
      <c r="P151" s="8" t="str">
        <f>IF($A151="","",IF(ISNUMBER(FIND("IMPVOL",P$1)),_xll.BDH(config!$G$4,P$1,WORKDAY($A151,-1,config_Holiday_Calendar_US),WORKDAY($A151,-1,config_Holiday_Calendar_US)),IF(ISNUMBER(_xll.BDH(config!$G$4,P$1,$A151,$A151)),_xll.BDH(config!$G$4,P$1,$A151,$A151),_xll.BDH(config!$G$5,P$1,$A151,$A151))))</f>
        <v>#N/A Requesting Data...</v>
      </c>
      <c r="Q151" s="8">
        <f>IF($A151="","",IF(ISNUMBER(FIND("IMPVOL",Q$1)),_xll.BDH(config!$G$4,Q$1,WORKDAY($A151,-1,config_Holiday_Calendar_US),WORKDAY($A151,-1,config_Holiday_Calendar_US)),IF(ISNUMBER(_xll.BDH(config!$G$4,Q$1,$A151,$A151)),_xll.BDH(config!$G$4,Q$1,$A151,$A151),_xll.BDH(config!$G$5,Q$1,$A151,$A151))))</f>
        <v>37.6</v>
      </c>
      <c r="R151" s="8">
        <f>IF($A151="","",IF(ISNUMBER(FIND("IMPVOL",R$1)),_xll.BDH(config!$G$4,R$1,WORKDAY($A151,-1,config_Holiday_Calendar_US),WORKDAY($A151,-1,config_Holiday_Calendar_US)),IF(ISNUMBER(_xll.BDH(config!$G$4,R$1,$A151,$A151)),_xll.BDH(config!$G$4,R$1,$A151,$A151),_xll.BDH(config!$G$5,R$1,$A151,$A151))))</f>
        <v>38.46</v>
      </c>
      <c r="S151" s="8" t="str">
        <f>IF($A151="","",IF(ISNUMBER(FIND("IMPVOL",S$1)),_xll.BDH(config!$G$4,S$1,WORKDAY($A151,-1,config_Holiday_Calendar_US),WORKDAY($A151,-1,config_Holiday_Calendar_US)),IF(ISNUMBER(_xll.BDH(config!$G$4,S$1,$A151,$A151)),_xll.BDH(config!$G$4,S$1,$A151,$A151),_xll.BDH(config!$G$5,S$1,$A151,$A151))))</f>
        <v>#N/A Requesting Data...</v>
      </c>
      <c r="T151" s="8" t="str">
        <f>IF($A151="","",IF(ISNUMBER(FIND("IMPVOL",T$1)),_xll.BDH(config!$G$4,T$1,WORKDAY($A151,-1,config_Holiday_Calendar_US),WORKDAY($A151,-1,config_Holiday_Calendar_US)),IF(ISNUMBER(_xll.BDH(config!$G$4,T$1,$A151,$A151)),_xll.BDH(config!$G$4,T$1,$A151,$A151),_xll.BDH(config!$G$5,T$1,$A151,$A151))))</f>
        <v>#N/A Requesting Data...</v>
      </c>
      <c r="U151" s="8" t="str">
        <f>IF($A151="","",IF(ISNUMBER(FIND("IMPVOL",U$1)),_xll.BDH(config!$G$4,U$1,WORKDAY($A151,-1,config_Holiday_Calendar_US),WORKDAY($A151,-1,config_Holiday_Calendar_US)),IF(ISNUMBER(_xll.BDH(config!$G$4,U$1,$A151,$A151)),_xll.BDH(config!$G$4,U$1,$A151,$A151),_xll.BDH(config!$G$5,U$1,$A151,$A151))))</f>
        <v>#N/A Requesting Data...</v>
      </c>
      <c r="V151" s="8" t="str">
        <f>IF($A151="","",IF(ISNUMBER(FIND("IMPVOL",V$1)),_xll.BDH(config!$G$4,V$1,WORKDAY($A151,-1,config_Holiday_Calendar_US),WORKDAY($A151,-1,config_Holiday_Calendar_US)),IF(ISNUMBER(_xll.BDH(config!$G$4,V$1,$A151,$A151)),_xll.BDH(config!$G$4,V$1,$A151,$A151),_xll.BDH(config!$G$5,V$1,$A151,$A151))))</f>
        <v>#N/A Requesting Data...</v>
      </c>
      <c r="W151" s="8" t="str">
        <f>IF($A151="","",IF(ISNUMBER(FIND("IMPVOL",W$1)),_xll.BDH(config!$G$4,W$1,WORKDAY($A151,-1,config_Holiday_Calendar_US),WORKDAY($A151,-1,config_Holiday_Calendar_US)),IF(ISNUMBER(_xll.BDH(config!$G$4,W$1,$A151,$A151)),_xll.BDH(config!$G$4,W$1,$A151,$A151),_xll.BDH(config!$G$5,W$1,$A151,$A151))))</f>
        <v>#N/A Requesting Data...</v>
      </c>
    </row>
    <row r="152" spans="1:23" x14ac:dyDescent="0.2">
      <c r="A152" s="9">
        <f>IF(A151="","",IF(WORKDAY(A151,-1,config_Holiday_Calendar_US)&lt;config!$I$10,"",WORKDAY(A151,-1,config_Holiday_Calendar_US)))</f>
        <v>42613</v>
      </c>
      <c r="B152" s="8" t="e">
        <f t="shared" si="2"/>
        <v>#VALUE!</v>
      </c>
      <c r="C152" s="8" t="str">
        <f>IF(A152="","",_xll.BDH(config!$H$4,C$1,$A152,$A152))</f>
        <v>#N/A Requesting Data...</v>
      </c>
      <c r="D152" s="8" t="str">
        <f>IF($A152="","",_xll.BDH(config!$H$4,D$1,$A152,$A152))</f>
        <v>#N/A Requesting Data...</v>
      </c>
      <c r="E152" s="8">
        <f>IF($A152="","",IF(ISNUMBER(FIND("IMPVOL",E$1)),_xll.BDH(config!$G$4,E$1,WORKDAY($A152,-1,config_Holiday_Calendar_US),WORKDAY($A152,-1,config_Holiday_Calendar_US)),IF(ISNUMBER(_xll.BDH(config!$G$4,E$1,$A152,$A152)),_xll.BDH(config!$G$4,E$1,$A152,$A152),_xll.BDH(config!$G$5,E$1,$A152,$A152))))</f>
        <v>46.24</v>
      </c>
      <c r="F152" s="8">
        <f>IF($A152="","",IF(ISNUMBER(FIND("IMPVOL",F$1)),_xll.BDH(config!$G$4,F$1,WORKDAY($A152,-1,config_Holiday_Calendar_US),WORKDAY($A152,-1,config_Holiday_Calendar_US)),IF(ISNUMBER(_xll.BDH(config!$G$4,F$1,$A152,$A152)),_xll.BDH(config!$G$4,F$1,$A152,$A152),_xll.BDH(config!$G$5,F$1,$A152,$A152))))</f>
        <v>46.41</v>
      </c>
      <c r="G152" s="8">
        <f>IF($A152="","",IF(ISNUMBER(FIND("IMPVOL",G$1)),_xll.BDH(config!$G$4,G$1,WORKDAY($A152,-1,config_Holiday_Calendar_US),WORKDAY($A152,-1,config_Holiday_Calendar_US)),IF(ISNUMBER(_xll.BDH(config!$G$4,G$1,$A152,$A152)),_xll.BDH(config!$G$4,G$1,$A152,$A152),_xll.BDH(config!$G$5,G$1,$A152,$A152))))</f>
        <v>45.14</v>
      </c>
      <c r="H152" s="8">
        <f>IF($A152="","",IF(ISNUMBER(FIND("IMPVOL",H$1)),_xll.BDH(config!$G$4,H$1,WORKDAY($A152,-1,config_Holiday_Calendar_US),WORKDAY($A152,-1,config_Holiday_Calendar_US)),IF(ISNUMBER(_xll.BDH(config!$G$4,H$1,$A152,$A152)),_xll.BDH(config!$G$4,H$1,$A152,$A152),_xll.BDH(config!$G$5,H$1,$A152,$A152))))</f>
        <v>143478</v>
      </c>
      <c r="I152" s="8" t="str">
        <f>IF($A152="","",IF(ISNUMBER(FIND("IMPVOL",I$1)),_xll.BDH(config!$G$4,I$1,WORKDAY($A152,-1,config_Holiday_Calendar_US),WORKDAY($A152,-1,config_Holiday_Calendar_US)),IF(ISNUMBER(_xll.BDH(config!$G$4,I$1,$A152,$A152)),_xll.BDH(config!$G$4,I$1,$A152,$A152),_xll.BDH(config!$G$5,I$1,$A152,$A152))))</f>
        <v>#N/A Requesting Data...</v>
      </c>
      <c r="J152" s="8" t="str">
        <f>IF($A152="","",IF(ISNUMBER(FIND("IMPVOL",J$1)),_xll.BDH(config!$G$4,J$1,WORKDAY($A152,-1,config_Holiday_Calendar_US),WORKDAY($A152,-1,config_Holiday_Calendar_US)),IF(ISNUMBER(_xll.BDH(config!$G$4,J$1,$A152,$A152)),_xll.BDH(config!$G$4,J$1,$A152,$A152),_xll.BDH(config!$G$5,J$1,$A152,$A152))))</f>
        <v>#N/A Requesting Data...</v>
      </c>
      <c r="K152" s="8" t="str">
        <f>IF($A152="","",IF(ISNUMBER(FIND("IMPVOL",K$1)),_xll.BDH(config!$G$4,K$1,WORKDAY($A152,-1,config_Holiday_Calendar_US),WORKDAY($A152,-1,config_Holiday_Calendar_US)),IF(ISNUMBER(_xll.BDH(config!$G$4,K$1,$A152,$A152)),_xll.BDH(config!$G$4,K$1,$A152,$A152),_xll.BDH(config!$G$5,K$1,$A152,$A152))))</f>
        <v>#N/A Requesting Data...</v>
      </c>
      <c r="L152" s="8" t="str">
        <f>IF($A152="","",IF(ISNUMBER(FIND("IMPVOL",L$1)),_xll.BDH(config!$G$4,L$1,WORKDAY($A152,-1,config_Holiday_Calendar_US),WORKDAY($A152,-1,config_Holiday_Calendar_US)),IF(ISNUMBER(_xll.BDH(config!$G$4,L$1,$A152,$A152)),_xll.BDH(config!$G$4,L$1,$A152,$A152),_xll.BDH(config!$G$5,L$1,$A152,$A152))))</f>
        <v>#N/A Requesting Data...</v>
      </c>
      <c r="M152" s="8" t="str">
        <f>IF($A152="","",IF(ISNUMBER(FIND("IMPVOL",M$1)),_xll.BDH(config!$G$4,M$1,WORKDAY($A152,-1,config_Holiday_Calendar_US),WORKDAY($A152,-1,config_Holiday_Calendar_US)),IF(ISNUMBER(_xll.BDH(config!$G$4,M$1,$A152,$A152)),_xll.BDH(config!$G$4,M$1,$A152,$A152),_xll.BDH(config!$G$5,M$1,$A152,$A152))))</f>
        <v>#N/A Requesting Data...</v>
      </c>
      <c r="N152" s="8" t="str">
        <f>IF($A152="","",IF(ISNUMBER(FIND("IMPVOL",N$1)),_xll.BDH(config!$G$4,N$1,WORKDAY($A152,-1,config_Holiday_Calendar_US),WORKDAY($A152,-1,config_Holiday_Calendar_US)),IF(ISNUMBER(_xll.BDH(config!$G$4,N$1,$A152,$A152)),_xll.BDH(config!$G$4,N$1,$A152,$A152),_xll.BDH(config!$G$5,N$1,$A152,$A152))))</f>
        <v>#N/A Requesting Data...</v>
      </c>
      <c r="O152" s="8" t="str">
        <f>IF($A152="","",IF(ISNUMBER(FIND("IMPVOL",O$1)),_xll.BDH(config!$G$4,O$1,WORKDAY($A152,-1,config_Holiday_Calendar_US),WORKDAY($A152,-1,config_Holiday_Calendar_US)),IF(ISNUMBER(_xll.BDH(config!$G$4,O$1,$A152,$A152)),_xll.BDH(config!$G$4,O$1,$A152,$A152),_xll.BDH(config!$G$5,O$1,$A152,$A152))))</f>
        <v>#N/A Requesting Data...</v>
      </c>
      <c r="P152" s="8" t="str">
        <f>IF($A152="","",IF(ISNUMBER(FIND("IMPVOL",P$1)),_xll.BDH(config!$G$4,P$1,WORKDAY($A152,-1,config_Holiday_Calendar_US),WORKDAY($A152,-1,config_Holiday_Calendar_US)),IF(ISNUMBER(_xll.BDH(config!$G$4,P$1,$A152,$A152)),_xll.BDH(config!$G$4,P$1,$A152,$A152),_xll.BDH(config!$G$5,P$1,$A152,$A152))))</f>
        <v>#N/A Requesting Data...</v>
      </c>
      <c r="Q152" s="8">
        <f>IF($A152="","",IF(ISNUMBER(FIND("IMPVOL",Q$1)),_xll.BDH(config!$G$4,Q$1,WORKDAY($A152,-1,config_Holiday_Calendar_US),WORKDAY($A152,-1,config_Holiday_Calendar_US)),IF(ISNUMBER(_xll.BDH(config!$G$4,Q$1,$A152,$A152)),_xll.BDH(config!$G$4,Q$1,$A152,$A152),_xll.BDH(config!$G$5,Q$1,$A152,$A152))))</f>
        <v>35.99</v>
      </c>
      <c r="R152" s="8">
        <f>IF($A152="","",IF(ISNUMBER(FIND("IMPVOL",R$1)),_xll.BDH(config!$G$4,R$1,WORKDAY($A152,-1,config_Holiday_Calendar_US),WORKDAY($A152,-1,config_Holiday_Calendar_US)),IF(ISNUMBER(_xll.BDH(config!$G$4,R$1,$A152,$A152)),_xll.BDH(config!$G$4,R$1,$A152,$A152),_xll.BDH(config!$G$5,R$1,$A152,$A152))))</f>
        <v>37.18</v>
      </c>
      <c r="S152" s="8" t="str">
        <f>IF($A152="","",IF(ISNUMBER(FIND("IMPVOL",S$1)),_xll.BDH(config!$G$4,S$1,WORKDAY($A152,-1,config_Holiday_Calendar_US),WORKDAY($A152,-1,config_Holiday_Calendar_US)),IF(ISNUMBER(_xll.BDH(config!$G$4,S$1,$A152,$A152)),_xll.BDH(config!$G$4,S$1,$A152,$A152),_xll.BDH(config!$G$5,S$1,$A152,$A152))))</f>
        <v>#N/A Requesting Data...</v>
      </c>
      <c r="T152" s="8" t="str">
        <f>IF($A152="","",IF(ISNUMBER(FIND("IMPVOL",T$1)),_xll.BDH(config!$G$4,T$1,WORKDAY($A152,-1,config_Holiday_Calendar_US),WORKDAY($A152,-1,config_Holiday_Calendar_US)),IF(ISNUMBER(_xll.BDH(config!$G$4,T$1,$A152,$A152)),_xll.BDH(config!$G$4,T$1,$A152,$A152),_xll.BDH(config!$G$5,T$1,$A152,$A152))))</f>
        <v>#N/A Requesting Data...</v>
      </c>
      <c r="U152" s="8" t="str">
        <f>IF($A152="","",IF(ISNUMBER(FIND("IMPVOL",U$1)),_xll.BDH(config!$G$4,U$1,WORKDAY($A152,-1,config_Holiday_Calendar_US),WORKDAY($A152,-1,config_Holiday_Calendar_US)),IF(ISNUMBER(_xll.BDH(config!$G$4,U$1,$A152,$A152)),_xll.BDH(config!$G$4,U$1,$A152,$A152),_xll.BDH(config!$G$5,U$1,$A152,$A152))))</f>
        <v>#N/A Requesting Data...</v>
      </c>
      <c r="V152" s="8" t="str">
        <f>IF($A152="","",IF(ISNUMBER(FIND("IMPVOL",V$1)),_xll.BDH(config!$G$4,V$1,WORKDAY($A152,-1,config_Holiday_Calendar_US),WORKDAY($A152,-1,config_Holiday_Calendar_US)),IF(ISNUMBER(_xll.BDH(config!$G$4,V$1,$A152,$A152)),_xll.BDH(config!$G$4,V$1,$A152,$A152),_xll.BDH(config!$G$5,V$1,$A152,$A152))))</f>
        <v>#N/A Requesting Data...</v>
      </c>
      <c r="W152" s="8" t="str">
        <f>IF($A152="","",IF(ISNUMBER(FIND("IMPVOL",W$1)),_xll.BDH(config!$G$4,W$1,WORKDAY($A152,-1,config_Holiday_Calendar_US),WORKDAY($A152,-1,config_Holiday_Calendar_US)),IF(ISNUMBER(_xll.BDH(config!$G$4,W$1,$A152,$A152)),_xll.BDH(config!$G$4,W$1,$A152,$A152),_xll.BDH(config!$G$5,W$1,$A152,$A152))))</f>
        <v>#N/A Requesting Data...</v>
      </c>
    </row>
    <row r="153" spans="1:23" x14ac:dyDescent="0.2">
      <c r="A153" s="9">
        <f>IF(A152="","",IF(WORKDAY(A152,-1,config_Holiday_Calendar_US)&lt;config!$I$10,"",WORKDAY(A152,-1,config_Holiday_Calendar_US)))</f>
        <v>42612</v>
      </c>
      <c r="B153" s="8" t="e">
        <f t="shared" si="2"/>
        <v>#VALUE!</v>
      </c>
      <c r="C153" s="8" t="str">
        <f>IF(A153="","",_xll.BDH(config!$H$4,C$1,$A153,$A153))</f>
        <v>#N/A Requesting Data...</v>
      </c>
      <c r="D153" s="8" t="str">
        <f>IF($A153="","",_xll.BDH(config!$H$4,D$1,$A153,$A153))</f>
        <v>#N/A Requesting Data...</v>
      </c>
      <c r="E153" s="8">
        <f>IF($A153="","",IF(ISNUMBER(FIND("IMPVOL",E$1)),_xll.BDH(config!$G$4,E$1,WORKDAY($A153,-1,config_Holiday_Calendar_US),WORKDAY($A153,-1,config_Holiday_Calendar_US)),IF(ISNUMBER(_xll.BDH(config!$G$4,E$1,$A153,$A153)),_xll.BDH(config!$G$4,E$1,$A153,$A153),_xll.BDH(config!$G$5,E$1,$A153,$A153))))</f>
        <v>46.98</v>
      </c>
      <c r="F153" s="8">
        <f>IF($A153="","",IF(ISNUMBER(FIND("IMPVOL",F$1)),_xll.BDH(config!$G$4,F$1,WORKDAY($A153,-1,config_Holiday_Calendar_US),WORKDAY($A153,-1,config_Holiday_Calendar_US)),IF(ISNUMBER(_xll.BDH(config!$G$4,F$1,$A153,$A153)),_xll.BDH(config!$G$4,F$1,$A153,$A153),_xll.BDH(config!$G$5,F$1,$A153,$A153))))</f>
        <v>47.49</v>
      </c>
      <c r="G153" s="8">
        <f>IF($A153="","",IF(ISNUMBER(FIND("IMPVOL",G$1)),_xll.BDH(config!$G$4,G$1,WORKDAY($A153,-1,config_Holiday_Calendar_US),WORKDAY($A153,-1,config_Holiday_Calendar_US)),IF(ISNUMBER(_xll.BDH(config!$G$4,G$1,$A153,$A153)),_xll.BDH(config!$G$4,G$1,$A153,$A153),_xll.BDH(config!$G$5,G$1,$A153,$A153))))</f>
        <v>46.84</v>
      </c>
      <c r="H153" s="8">
        <f>IF($A153="","",IF(ISNUMBER(FIND("IMPVOL",H$1)),_xll.BDH(config!$G$4,H$1,WORKDAY($A153,-1,config_Holiday_Calendar_US),WORKDAY($A153,-1,config_Holiday_Calendar_US)),IF(ISNUMBER(_xll.BDH(config!$G$4,H$1,$A153,$A153)),_xll.BDH(config!$G$4,H$1,$A153,$A153),_xll.BDH(config!$G$5,H$1,$A153,$A153))))</f>
        <v>115703</v>
      </c>
      <c r="I153" s="8" t="str">
        <f>IF($A153="","",IF(ISNUMBER(FIND("IMPVOL",I$1)),_xll.BDH(config!$G$4,I$1,WORKDAY($A153,-1,config_Holiday_Calendar_US),WORKDAY($A153,-1,config_Holiday_Calendar_US)),IF(ISNUMBER(_xll.BDH(config!$G$4,I$1,$A153,$A153)),_xll.BDH(config!$G$4,I$1,$A153,$A153),_xll.BDH(config!$G$5,I$1,$A153,$A153))))</f>
        <v>#N/A Requesting Data...</v>
      </c>
      <c r="J153" s="8" t="str">
        <f>IF($A153="","",IF(ISNUMBER(FIND("IMPVOL",J$1)),_xll.BDH(config!$G$4,J$1,WORKDAY($A153,-1,config_Holiday_Calendar_US),WORKDAY($A153,-1,config_Holiday_Calendar_US)),IF(ISNUMBER(_xll.BDH(config!$G$4,J$1,$A153,$A153)),_xll.BDH(config!$G$4,J$1,$A153,$A153),_xll.BDH(config!$G$5,J$1,$A153,$A153))))</f>
        <v>#N/A Requesting Data...</v>
      </c>
      <c r="K153" s="8" t="str">
        <f>IF($A153="","",IF(ISNUMBER(FIND("IMPVOL",K$1)),_xll.BDH(config!$G$4,K$1,WORKDAY($A153,-1,config_Holiday_Calendar_US),WORKDAY($A153,-1,config_Holiday_Calendar_US)),IF(ISNUMBER(_xll.BDH(config!$G$4,K$1,$A153,$A153)),_xll.BDH(config!$G$4,K$1,$A153,$A153),_xll.BDH(config!$G$5,K$1,$A153,$A153))))</f>
        <v>#N/A Requesting Data...</v>
      </c>
      <c r="L153" s="8" t="str">
        <f>IF($A153="","",IF(ISNUMBER(FIND("IMPVOL",L$1)),_xll.BDH(config!$G$4,L$1,WORKDAY($A153,-1,config_Holiday_Calendar_US),WORKDAY($A153,-1,config_Holiday_Calendar_US)),IF(ISNUMBER(_xll.BDH(config!$G$4,L$1,$A153,$A153)),_xll.BDH(config!$G$4,L$1,$A153,$A153),_xll.BDH(config!$G$5,L$1,$A153,$A153))))</f>
        <v>#N/A Requesting Data...</v>
      </c>
      <c r="M153" s="8" t="str">
        <f>IF($A153="","",IF(ISNUMBER(FIND("IMPVOL",M$1)),_xll.BDH(config!$G$4,M$1,WORKDAY($A153,-1,config_Holiday_Calendar_US),WORKDAY($A153,-1,config_Holiday_Calendar_US)),IF(ISNUMBER(_xll.BDH(config!$G$4,M$1,$A153,$A153)),_xll.BDH(config!$G$4,M$1,$A153,$A153),_xll.BDH(config!$G$5,M$1,$A153,$A153))))</f>
        <v>#N/A Requesting Data...</v>
      </c>
      <c r="N153" s="8" t="str">
        <f>IF($A153="","",IF(ISNUMBER(FIND("IMPVOL",N$1)),_xll.BDH(config!$G$4,N$1,WORKDAY($A153,-1,config_Holiday_Calendar_US),WORKDAY($A153,-1,config_Holiday_Calendar_US)),IF(ISNUMBER(_xll.BDH(config!$G$4,N$1,$A153,$A153)),_xll.BDH(config!$G$4,N$1,$A153,$A153),_xll.BDH(config!$G$5,N$1,$A153,$A153))))</f>
        <v>#N/A Requesting Data...</v>
      </c>
      <c r="O153" s="8" t="str">
        <f>IF($A153="","",IF(ISNUMBER(FIND("IMPVOL",O$1)),_xll.BDH(config!$G$4,O$1,WORKDAY($A153,-1,config_Holiday_Calendar_US),WORKDAY($A153,-1,config_Holiday_Calendar_US)),IF(ISNUMBER(_xll.BDH(config!$G$4,O$1,$A153,$A153)),_xll.BDH(config!$G$4,O$1,$A153,$A153),_xll.BDH(config!$G$5,O$1,$A153,$A153))))</f>
        <v>#N/A Requesting Data...</v>
      </c>
      <c r="P153" s="8" t="str">
        <f>IF($A153="","",IF(ISNUMBER(FIND("IMPVOL",P$1)),_xll.BDH(config!$G$4,P$1,WORKDAY($A153,-1,config_Holiday_Calendar_US),WORKDAY($A153,-1,config_Holiday_Calendar_US)),IF(ISNUMBER(_xll.BDH(config!$G$4,P$1,$A153,$A153)),_xll.BDH(config!$G$4,P$1,$A153,$A153),_xll.BDH(config!$G$5,P$1,$A153,$A153))))</f>
        <v>#N/A Requesting Data...</v>
      </c>
      <c r="Q153" s="8">
        <f>IF($A153="","",IF(ISNUMBER(FIND("IMPVOL",Q$1)),_xll.BDH(config!$G$4,Q$1,WORKDAY($A153,-1,config_Holiday_Calendar_US),WORKDAY($A153,-1,config_Holiday_Calendar_US)),IF(ISNUMBER(_xll.BDH(config!$G$4,Q$1,$A153,$A153)),_xll.BDH(config!$G$4,Q$1,$A153,$A153),_xll.BDH(config!$G$5,Q$1,$A153,$A153))))</f>
        <v>36.479999999999997</v>
      </c>
      <c r="R153" s="8">
        <f>IF($A153="","",IF(ISNUMBER(FIND("IMPVOL",R$1)),_xll.BDH(config!$G$4,R$1,WORKDAY($A153,-1,config_Holiday_Calendar_US),WORKDAY($A153,-1,config_Holiday_Calendar_US)),IF(ISNUMBER(_xll.BDH(config!$G$4,R$1,$A153,$A153)),_xll.BDH(config!$G$4,R$1,$A153,$A153),_xll.BDH(config!$G$5,R$1,$A153,$A153))))</f>
        <v>35.51</v>
      </c>
      <c r="S153" s="8" t="str">
        <f>IF($A153="","",IF(ISNUMBER(FIND("IMPVOL",S$1)),_xll.BDH(config!$G$4,S$1,WORKDAY($A153,-1,config_Holiday_Calendar_US),WORKDAY($A153,-1,config_Holiday_Calendar_US)),IF(ISNUMBER(_xll.BDH(config!$G$4,S$1,$A153,$A153)),_xll.BDH(config!$G$4,S$1,$A153,$A153),_xll.BDH(config!$G$5,S$1,$A153,$A153))))</f>
        <v>#N/A Requesting Data...</v>
      </c>
      <c r="T153" s="8" t="str">
        <f>IF($A153="","",IF(ISNUMBER(FIND("IMPVOL",T$1)),_xll.BDH(config!$G$4,T$1,WORKDAY($A153,-1,config_Holiday_Calendar_US),WORKDAY($A153,-1,config_Holiday_Calendar_US)),IF(ISNUMBER(_xll.BDH(config!$G$4,T$1,$A153,$A153)),_xll.BDH(config!$G$4,T$1,$A153,$A153),_xll.BDH(config!$G$5,T$1,$A153,$A153))))</f>
        <v>#N/A Requesting Data...</v>
      </c>
      <c r="U153" s="8" t="str">
        <f>IF($A153="","",IF(ISNUMBER(FIND("IMPVOL",U$1)),_xll.BDH(config!$G$4,U$1,WORKDAY($A153,-1,config_Holiday_Calendar_US),WORKDAY($A153,-1,config_Holiday_Calendar_US)),IF(ISNUMBER(_xll.BDH(config!$G$4,U$1,$A153,$A153)),_xll.BDH(config!$G$4,U$1,$A153,$A153),_xll.BDH(config!$G$5,U$1,$A153,$A153))))</f>
        <v>#N/A Requesting Data...</v>
      </c>
      <c r="V153" s="8" t="str">
        <f>IF($A153="","",IF(ISNUMBER(FIND("IMPVOL",V$1)),_xll.BDH(config!$G$4,V$1,WORKDAY($A153,-1,config_Holiday_Calendar_US),WORKDAY($A153,-1,config_Holiday_Calendar_US)),IF(ISNUMBER(_xll.BDH(config!$G$4,V$1,$A153,$A153)),_xll.BDH(config!$G$4,V$1,$A153,$A153),_xll.BDH(config!$G$5,V$1,$A153,$A153))))</f>
        <v>#N/A Requesting Data...</v>
      </c>
      <c r="W153" s="8" t="str">
        <f>IF($A153="","",IF(ISNUMBER(FIND("IMPVOL",W$1)),_xll.BDH(config!$G$4,W$1,WORKDAY($A153,-1,config_Holiday_Calendar_US),WORKDAY($A153,-1,config_Holiday_Calendar_US)),IF(ISNUMBER(_xll.BDH(config!$G$4,W$1,$A153,$A153)),_xll.BDH(config!$G$4,W$1,$A153,$A153),_xll.BDH(config!$G$5,W$1,$A153,$A153))))</f>
        <v>#N/A Requesting Data...</v>
      </c>
    </row>
    <row r="154" spans="1:23" x14ac:dyDescent="0.2">
      <c r="A154" s="9">
        <f>IF(A153="","",IF(WORKDAY(A153,-1,config_Holiday_Calendar_US)&lt;config!$I$10,"",WORKDAY(A153,-1,config_Holiday_Calendar_US)))</f>
        <v>42611</v>
      </c>
      <c r="B154" s="8" t="e">
        <f t="shared" si="2"/>
        <v>#VALUE!</v>
      </c>
      <c r="C154" s="8" t="str">
        <f>IF(A154="","",_xll.BDH(config!$H$4,C$1,$A154,$A154))</f>
        <v>#N/A Requesting Data...</v>
      </c>
      <c r="D154" s="8" t="str">
        <f>IF($A154="","",_xll.BDH(config!$H$4,D$1,$A154,$A154))</f>
        <v>#N/A Requesting Data...</v>
      </c>
      <c r="E154" s="8">
        <f>IF($A154="","",IF(ISNUMBER(FIND("IMPVOL",E$1)),_xll.BDH(config!$G$4,E$1,WORKDAY($A154,-1,config_Holiday_Calendar_US),WORKDAY($A154,-1,config_Holiday_Calendar_US)),IF(ISNUMBER(_xll.BDH(config!$G$4,E$1,$A154,$A154)),_xll.BDH(config!$G$4,E$1,$A154,$A154),_xll.BDH(config!$G$5,E$1,$A154,$A154))))</f>
        <v>47.22</v>
      </c>
      <c r="F154" s="8">
        <f>IF($A154="","",IF(ISNUMBER(FIND("IMPVOL",F$1)),_xll.BDH(config!$G$4,F$1,WORKDAY($A154,-1,config_Holiday_Calendar_US),WORKDAY($A154,-1,config_Holiday_Calendar_US)),IF(ISNUMBER(_xll.BDH(config!$G$4,F$1,$A154,$A154)),_xll.BDH(config!$G$4,F$1,$A154,$A154),_xll.BDH(config!$G$5,F$1,$A154,$A154))))</f>
        <v>47.28</v>
      </c>
      <c r="G154" s="8">
        <f>IF($A154="","",IF(ISNUMBER(FIND("IMPVOL",G$1)),_xll.BDH(config!$G$4,G$1,WORKDAY($A154,-1,config_Holiday_Calendar_US),WORKDAY($A154,-1,config_Holiday_Calendar_US)),IF(ISNUMBER(_xll.BDH(config!$G$4,G$1,$A154,$A154)),_xll.BDH(config!$G$4,G$1,$A154,$A154),_xll.BDH(config!$G$5,G$1,$A154,$A154))))</f>
        <v>47.29</v>
      </c>
      <c r="H154" s="8">
        <f>IF($A154="","",IF(ISNUMBER(FIND("IMPVOL",H$1)),_xll.BDH(config!$G$4,H$1,WORKDAY($A154,-1,config_Holiday_Calendar_US),WORKDAY($A154,-1,config_Holiday_Calendar_US)),IF(ISNUMBER(_xll.BDH(config!$G$4,H$1,$A154,$A154)),_xll.BDH(config!$G$4,H$1,$A154,$A154),_xll.BDH(config!$G$5,H$1,$A154,$A154))))</f>
        <v>59423</v>
      </c>
      <c r="I154" s="8" t="str">
        <f>IF($A154="","",IF(ISNUMBER(FIND("IMPVOL",I$1)),_xll.BDH(config!$G$4,I$1,WORKDAY($A154,-1,config_Holiday_Calendar_US),WORKDAY($A154,-1,config_Holiday_Calendar_US)),IF(ISNUMBER(_xll.BDH(config!$G$4,I$1,$A154,$A154)),_xll.BDH(config!$G$4,I$1,$A154,$A154),_xll.BDH(config!$G$5,I$1,$A154,$A154))))</f>
        <v>#N/A Requesting Data...</v>
      </c>
      <c r="J154" s="8" t="str">
        <f>IF($A154="","",IF(ISNUMBER(FIND("IMPVOL",J$1)),_xll.BDH(config!$G$4,J$1,WORKDAY($A154,-1,config_Holiday_Calendar_US),WORKDAY($A154,-1,config_Holiday_Calendar_US)),IF(ISNUMBER(_xll.BDH(config!$G$4,J$1,$A154,$A154)),_xll.BDH(config!$G$4,J$1,$A154,$A154),_xll.BDH(config!$G$5,J$1,$A154,$A154))))</f>
        <v>#N/A Requesting Data...</v>
      </c>
      <c r="K154" s="8" t="str">
        <f>IF($A154="","",IF(ISNUMBER(FIND("IMPVOL",K$1)),_xll.BDH(config!$G$4,K$1,WORKDAY($A154,-1,config_Holiday_Calendar_US),WORKDAY($A154,-1,config_Holiday_Calendar_US)),IF(ISNUMBER(_xll.BDH(config!$G$4,K$1,$A154,$A154)),_xll.BDH(config!$G$4,K$1,$A154,$A154),_xll.BDH(config!$G$5,K$1,$A154,$A154))))</f>
        <v>#N/A Requesting Data...</v>
      </c>
      <c r="L154" s="8" t="str">
        <f>IF($A154="","",IF(ISNUMBER(FIND("IMPVOL",L$1)),_xll.BDH(config!$G$4,L$1,WORKDAY($A154,-1,config_Holiday_Calendar_US),WORKDAY($A154,-1,config_Holiday_Calendar_US)),IF(ISNUMBER(_xll.BDH(config!$G$4,L$1,$A154,$A154)),_xll.BDH(config!$G$4,L$1,$A154,$A154),_xll.BDH(config!$G$5,L$1,$A154,$A154))))</f>
        <v>#N/A Requesting Data...</v>
      </c>
      <c r="M154" s="8" t="str">
        <f>IF($A154="","",IF(ISNUMBER(FIND("IMPVOL",M$1)),_xll.BDH(config!$G$4,M$1,WORKDAY($A154,-1,config_Holiday_Calendar_US),WORKDAY($A154,-1,config_Holiday_Calendar_US)),IF(ISNUMBER(_xll.BDH(config!$G$4,M$1,$A154,$A154)),_xll.BDH(config!$G$4,M$1,$A154,$A154),_xll.BDH(config!$G$5,M$1,$A154,$A154))))</f>
        <v>#N/A Requesting Data...</v>
      </c>
      <c r="N154" s="8" t="str">
        <f>IF($A154="","",IF(ISNUMBER(FIND("IMPVOL",N$1)),_xll.BDH(config!$G$4,N$1,WORKDAY($A154,-1,config_Holiday_Calendar_US),WORKDAY($A154,-1,config_Holiday_Calendar_US)),IF(ISNUMBER(_xll.BDH(config!$G$4,N$1,$A154,$A154)),_xll.BDH(config!$G$4,N$1,$A154,$A154),_xll.BDH(config!$G$5,N$1,$A154,$A154))))</f>
        <v>#N/A Requesting Data...</v>
      </c>
      <c r="O154" s="8" t="str">
        <f>IF($A154="","",IF(ISNUMBER(FIND("IMPVOL",O$1)),_xll.BDH(config!$G$4,O$1,WORKDAY($A154,-1,config_Holiday_Calendar_US),WORKDAY($A154,-1,config_Holiday_Calendar_US)),IF(ISNUMBER(_xll.BDH(config!$G$4,O$1,$A154,$A154)),_xll.BDH(config!$G$4,O$1,$A154,$A154),_xll.BDH(config!$G$5,O$1,$A154,$A154))))</f>
        <v>#N/A Requesting Data...</v>
      </c>
      <c r="P154" s="8" t="str">
        <f>IF($A154="","",IF(ISNUMBER(FIND("IMPVOL",P$1)),_xll.BDH(config!$G$4,P$1,WORKDAY($A154,-1,config_Holiday_Calendar_US),WORKDAY($A154,-1,config_Holiday_Calendar_US)),IF(ISNUMBER(_xll.BDH(config!$G$4,P$1,$A154,$A154)),_xll.BDH(config!$G$4,P$1,$A154,$A154),_xll.BDH(config!$G$5,P$1,$A154,$A154))))</f>
        <v>#N/A Requesting Data...</v>
      </c>
      <c r="Q154" s="8">
        <f>IF($A154="","",IF(ISNUMBER(FIND("IMPVOL",Q$1)),_xll.BDH(config!$G$4,Q$1,WORKDAY($A154,-1,config_Holiday_Calendar_US),WORKDAY($A154,-1,config_Holiday_Calendar_US)),IF(ISNUMBER(_xll.BDH(config!$G$4,Q$1,$A154,$A154)),_xll.BDH(config!$G$4,Q$1,$A154,$A154),_xll.BDH(config!$G$5,Q$1,$A154,$A154))))</f>
        <v>35.81</v>
      </c>
      <c r="R154" s="8">
        <f>IF($A154="","",IF(ISNUMBER(FIND("IMPVOL",R$1)),_xll.BDH(config!$G$4,R$1,WORKDAY($A154,-1,config_Holiday_Calendar_US),WORKDAY($A154,-1,config_Holiday_Calendar_US)),IF(ISNUMBER(_xll.BDH(config!$G$4,R$1,$A154,$A154)),_xll.BDH(config!$G$4,R$1,$A154,$A154),_xll.BDH(config!$G$5,R$1,$A154,$A154))))</f>
        <v>35.24</v>
      </c>
      <c r="S154" s="8" t="str">
        <f>IF($A154="","",IF(ISNUMBER(FIND("IMPVOL",S$1)),_xll.BDH(config!$G$4,S$1,WORKDAY($A154,-1,config_Holiday_Calendar_US),WORKDAY($A154,-1,config_Holiday_Calendar_US)),IF(ISNUMBER(_xll.BDH(config!$G$4,S$1,$A154,$A154)),_xll.BDH(config!$G$4,S$1,$A154,$A154),_xll.BDH(config!$G$5,S$1,$A154,$A154))))</f>
        <v>#N/A Requesting Data...</v>
      </c>
      <c r="T154" s="8" t="str">
        <f>IF($A154="","",IF(ISNUMBER(FIND("IMPVOL",T$1)),_xll.BDH(config!$G$4,T$1,WORKDAY($A154,-1,config_Holiday_Calendar_US),WORKDAY($A154,-1,config_Holiday_Calendar_US)),IF(ISNUMBER(_xll.BDH(config!$G$4,T$1,$A154,$A154)),_xll.BDH(config!$G$4,T$1,$A154,$A154),_xll.BDH(config!$G$5,T$1,$A154,$A154))))</f>
        <v>#N/A Requesting Data...</v>
      </c>
      <c r="U154" s="8" t="str">
        <f>IF($A154="","",IF(ISNUMBER(FIND("IMPVOL",U$1)),_xll.BDH(config!$G$4,U$1,WORKDAY($A154,-1,config_Holiday_Calendar_US),WORKDAY($A154,-1,config_Holiday_Calendar_US)),IF(ISNUMBER(_xll.BDH(config!$G$4,U$1,$A154,$A154)),_xll.BDH(config!$G$4,U$1,$A154,$A154),_xll.BDH(config!$G$5,U$1,$A154,$A154))))</f>
        <v>#N/A Requesting Data...</v>
      </c>
      <c r="V154" s="8" t="str">
        <f>IF($A154="","",IF(ISNUMBER(FIND("IMPVOL",V$1)),_xll.BDH(config!$G$4,V$1,WORKDAY($A154,-1,config_Holiday_Calendar_US),WORKDAY($A154,-1,config_Holiday_Calendar_US)),IF(ISNUMBER(_xll.BDH(config!$G$4,V$1,$A154,$A154)),_xll.BDH(config!$G$4,V$1,$A154,$A154),_xll.BDH(config!$G$5,V$1,$A154,$A154))))</f>
        <v>#N/A Requesting Data...</v>
      </c>
      <c r="W154" s="8" t="str">
        <f>IF($A154="","",IF(ISNUMBER(FIND("IMPVOL",W$1)),_xll.BDH(config!$G$4,W$1,WORKDAY($A154,-1,config_Holiday_Calendar_US),WORKDAY($A154,-1,config_Holiday_Calendar_US)),IF(ISNUMBER(_xll.BDH(config!$G$4,W$1,$A154,$A154)),_xll.BDH(config!$G$4,W$1,$A154,$A154),_xll.BDH(config!$G$5,W$1,$A154,$A154))))</f>
        <v>#N/A Requesting Data...</v>
      </c>
    </row>
    <row r="155" spans="1:23" x14ac:dyDescent="0.2">
      <c r="A155" s="9">
        <f>IF(A154="","",IF(WORKDAY(A154,-1,config_Holiday_Calendar_US)&lt;config!$I$10,"",WORKDAY(A154,-1,config_Holiday_Calendar_US)))</f>
        <v>42608</v>
      </c>
      <c r="B155" s="8" t="e">
        <f t="shared" si="2"/>
        <v>#VALUE!</v>
      </c>
      <c r="C155" s="8" t="str">
        <f>IF(A155="","",_xll.BDH(config!$H$4,C$1,$A155,$A155))</f>
        <v>#N/A Requesting Data...</v>
      </c>
      <c r="D155" s="8" t="str">
        <f>IF($A155="","",_xll.BDH(config!$H$4,D$1,$A155,$A155))</f>
        <v>#N/A Requesting Data...</v>
      </c>
      <c r="E155" s="8">
        <f>IF($A155="","",IF(ISNUMBER(FIND("IMPVOL",E$1)),_xll.BDH(config!$G$4,E$1,WORKDAY($A155,-1,config_Holiday_Calendar_US),WORKDAY($A155,-1,config_Holiday_Calendar_US)),IF(ISNUMBER(_xll.BDH(config!$G$4,E$1,$A155,$A155)),_xll.BDH(config!$G$4,E$1,$A155,$A155),_xll.BDH(config!$G$5,E$1,$A155,$A155))))</f>
        <v>47.37</v>
      </c>
      <c r="F155" s="8">
        <f>IF($A155="","",IF(ISNUMBER(FIND("IMPVOL",F$1)),_xll.BDH(config!$G$4,F$1,WORKDAY($A155,-1,config_Holiday_Calendar_US),WORKDAY($A155,-1,config_Holiday_Calendar_US)),IF(ISNUMBER(_xll.BDH(config!$G$4,F$1,$A155,$A155)),_xll.BDH(config!$G$4,F$1,$A155,$A155),_xll.BDH(config!$G$5,F$1,$A155,$A155))))</f>
        <v>48.46</v>
      </c>
      <c r="G155" s="8">
        <f>IF($A155="","",IF(ISNUMBER(FIND("IMPVOL",G$1)),_xll.BDH(config!$G$4,G$1,WORKDAY($A155,-1,config_Holiday_Calendar_US),WORKDAY($A155,-1,config_Holiday_Calendar_US)),IF(ISNUMBER(_xll.BDH(config!$G$4,G$1,$A155,$A155)),_xll.BDH(config!$G$4,G$1,$A155,$A155),_xll.BDH(config!$G$5,G$1,$A155,$A155))))</f>
        <v>47.62</v>
      </c>
      <c r="H155" s="8">
        <f>IF($A155="","",IF(ISNUMBER(FIND("IMPVOL",H$1)),_xll.BDH(config!$G$4,H$1,WORKDAY($A155,-1,config_Holiday_Calendar_US),WORKDAY($A155,-1,config_Holiday_Calendar_US)),IF(ISNUMBER(_xll.BDH(config!$G$4,H$1,$A155,$A155)),_xll.BDH(config!$G$4,H$1,$A155,$A155),_xll.BDH(config!$G$5,H$1,$A155,$A155))))</f>
        <v>109819</v>
      </c>
      <c r="I155" s="8" t="str">
        <f>IF($A155="","",IF(ISNUMBER(FIND("IMPVOL",I$1)),_xll.BDH(config!$G$4,I$1,WORKDAY($A155,-1,config_Holiday_Calendar_US),WORKDAY($A155,-1,config_Holiday_Calendar_US)),IF(ISNUMBER(_xll.BDH(config!$G$4,I$1,$A155,$A155)),_xll.BDH(config!$G$4,I$1,$A155,$A155),_xll.BDH(config!$G$5,I$1,$A155,$A155))))</f>
        <v>#N/A Requesting Data...</v>
      </c>
      <c r="J155" s="8" t="str">
        <f>IF($A155="","",IF(ISNUMBER(FIND("IMPVOL",J$1)),_xll.BDH(config!$G$4,J$1,WORKDAY($A155,-1,config_Holiday_Calendar_US),WORKDAY($A155,-1,config_Holiday_Calendar_US)),IF(ISNUMBER(_xll.BDH(config!$G$4,J$1,$A155,$A155)),_xll.BDH(config!$G$4,J$1,$A155,$A155),_xll.BDH(config!$G$5,J$1,$A155,$A155))))</f>
        <v>#N/A Requesting Data...</v>
      </c>
      <c r="K155" s="8" t="str">
        <f>IF($A155="","",IF(ISNUMBER(FIND("IMPVOL",K$1)),_xll.BDH(config!$G$4,K$1,WORKDAY($A155,-1,config_Holiday_Calendar_US),WORKDAY($A155,-1,config_Holiday_Calendar_US)),IF(ISNUMBER(_xll.BDH(config!$G$4,K$1,$A155,$A155)),_xll.BDH(config!$G$4,K$1,$A155,$A155),_xll.BDH(config!$G$5,K$1,$A155,$A155))))</f>
        <v>#N/A Requesting Data...</v>
      </c>
      <c r="L155" s="8" t="str">
        <f>IF($A155="","",IF(ISNUMBER(FIND("IMPVOL",L$1)),_xll.BDH(config!$G$4,L$1,WORKDAY($A155,-1,config_Holiday_Calendar_US),WORKDAY($A155,-1,config_Holiday_Calendar_US)),IF(ISNUMBER(_xll.BDH(config!$G$4,L$1,$A155,$A155)),_xll.BDH(config!$G$4,L$1,$A155,$A155),_xll.BDH(config!$G$5,L$1,$A155,$A155))))</f>
        <v>#N/A Requesting Data...</v>
      </c>
      <c r="M155" s="8" t="str">
        <f>IF($A155="","",IF(ISNUMBER(FIND("IMPVOL",M$1)),_xll.BDH(config!$G$4,M$1,WORKDAY($A155,-1,config_Holiday_Calendar_US),WORKDAY($A155,-1,config_Holiday_Calendar_US)),IF(ISNUMBER(_xll.BDH(config!$G$4,M$1,$A155,$A155)),_xll.BDH(config!$G$4,M$1,$A155,$A155),_xll.BDH(config!$G$5,M$1,$A155,$A155))))</f>
        <v>#N/A Requesting Data...</v>
      </c>
      <c r="N155" s="8" t="str">
        <f>IF($A155="","",IF(ISNUMBER(FIND("IMPVOL",N$1)),_xll.BDH(config!$G$4,N$1,WORKDAY($A155,-1,config_Holiday_Calendar_US),WORKDAY($A155,-1,config_Holiday_Calendar_US)),IF(ISNUMBER(_xll.BDH(config!$G$4,N$1,$A155,$A155)),_xll.BDH(config!$G$4,N$1,$A155,$A155),_xll.BDH(config!$G$5,N$1,$A155,$A155))))</f>
        <v>#N/A Requesting Data...</v>
      </c>
      <c r="O155" s="8" t="str">
        <f>IF($A155="","",IF(ISNUMBER(FIND("IMPVOL",O$1)),_xll.BDH(config!$G$4,O$1,WORKDAY($A155,-1,config_Holiday_Calendar_US),WORKDAY($A155,-1,config_Holiday_Calendar_US)),IF(ISNUMBER(_xll.BDH(config!$G$4,O$1,$A155,$A155)),_xll.BDH(config!$G$4,O$1,$A155,$A155),_xll.BDH(config!$G$5,O$1,$A155,$A155))))</f>
        <v>#N/A Requesting Data...</v>
      </c>
      <c r="P155" s="8" t="str">
        <f>IF($A155="","",IF(ISNUMBER(FIND("IMPVOL",P$1)),_xll.BDH(config!$G$4,P$1,WORKDAY($A155,-1,config_Holiday_Calendar_US),WORKDAY($A155,-1,config_Holiday_Calendar_US)),IF(ISNUMBER(_xll.BDH(config!$G$4,P$1,$A155,$A155)),_xll.BDH(config!$G$4,P$1,$A155,$A155),_xll.BDH(config!$G$5,P$1,$A155,$A155))))</f>
        <v>#N/A Requesting Data...</v>
      </c>
      <c r="Q155" s="8">
        <f>IF($A155="","",IF(ISNUMBER(FIND("IMPVOL",Q$1)),_xll.BDH(config!$G$4,Q$1,WORKDAY($A155,-1,config_Holiday_Calendar_US),WORKDAY($A155,-1,config_Holiday_Calendar_US)),IF(ISNUMBER(_xll.BDH(config!$G$4,Q$1,$A155,$A155)),_xll.BDH(config!$G$4,Q$1,$A155,$A155),_xll.BDH(config!$G$5,Q$1,$A155,$A155))))</f>
        <v>35.5</v>
      </c>
      <c r="R155" s="8">
        <f>IF($A155="","",IF(ISNUMBER(FIND("IMPVOL",R$1)),_xll.BDH(config!$G$4,R$1,WORKDAY($A155,-1,config_Holiday_Calendar_US),WORKDAY($A155,-1,config_Holiday_Calendar_US)),IF(ISNUMBER(_xll.BDH(config!$G$4,R$1,$A155,$A155)),_xll.BDH(config!$G$4,R$1,$A155,$A155),_xll.BDH(config!$G$5,R$1,$A155,$A155))))</f>
        <v>35.11</v>
      </c>
      <c r="S155" s="8" t="str">
        <f>IF($A155="","",IF(ISNUMBER(FIND("IMPVOL",S$1)),_xll.BDH(config!$G$4,S$1,WORKDAY($A155,-1,config_Holiday_Calendar_US),WORKDAY($A155,-1,config_Holiday_Calendar_US)),IF(ISNUMBER(_xll.BDH(config!$G$4,S$1,$A155,$A155)),_xll.BDH(config!$G$4,S$1,$A155,$A155),_xll.BDH(config!$G$5,S$1,$A155,$A155))))</f>
        <v>#N/A Requesting Data...</v>
      </c>
      <c r="T155" s="8" t="str">
        <f>IF($A155="","",IF(ISNUMBER(FIND("IMPVOL",T$1)),_xll.BDH(config!$G$4,T$1,WORKDAY($A155,-1,config_Holiday_Calendar_US),WORKDAY($A155,-1,config_Holiday_Calendar_US)),IF(ISNUMBER(_xll.BDH(config!$G$4,T$1,$A155,$A155)),_xll.BDH(config!$G$4,T$1,$A155,$A155),_xll.BDH(config!$G$5,T$1,$A155,$A155))))</f>
        <v>#N/A Requesting Data...</v>
      </c>
      <c r="U155" s="8" t="str">
        <f>IF($A155="","",IF(ISNUMBER(FIND("IMPVOL",U$1)),_xll.BDH(config!$G$4,U$1,WORKDAY($A155,-1,config_Holiday_Calendar_US),WORKDAY($A155,-1,config_Holiday_Calendar_US)),IF(ISNUMBER(_xll.BDH(config!$G$4,U$1,$A155,$A155)),_xll.BDH(config!$G$4,U$1,$A155,$A155),_xll.BDH(config!$G$5,U$1,$A155,$A155))))</f>
        <v>#N/A Requesting Data...</v>
      </c>
      <c r="V155" s="8" t="str">
        <f>IF($A155="","",IF(ISNUMBER(FIND("IMPVOL",V$1)),_xll.BDH(config!$G$4,V$1,WORKDAY($A155,-1,config_Holiday_Calendar_US),WORKDAY($A155,-1,config_Holiday_Calendar_US)),IF(ISNUMBER(_xll.BDH(config!$G$4,V$1,$A155,$A155)),_xll.BDH(config!$G$4,V$1,$A155,$A155),_xll.BDH(config!$G$5,V$1,$A155,$A155))))</f>
        <v>#N/A Requesting Data...</v>
      </c>
      <c r="W155" s="8" t="str">
        <f>IF($A155="","",IF(ISNUMBER(FIND("IMPVOL",W$1)),_xll.BDH(config!$G$4,W$1,WORKDAY($A155,-1,config_Holiday_Calendar_US),WORKDAY($A155,-1,config_Holiday_Calendar_US)),IF(ISNUMBER(_xll.BDH(config!$G$4,W$1,$A155,$A155)),_xll.BDH(config!$G$4,W$1,$A155,$A155),_xll.BDH(config!$G$5,W$1,$A155,$A155))))</f>
        <v>#N/A Requesting Data...</v>
      </c>
    </row>
    <row r="156" spans="1:23" x14ac:dyDescent="0.2">
      <c r="A156" s="9">
        <f>IF(A155="","",IF(WORKDAY(A155,-1,config_Holiday_Calendar_US)&lt;config!$I$10,"",WORKDAY(A155,-1,config_Holiday_Calendar_US)))</f>
        <v>42607</v>
      </c>
      <c r="B156" s="8" t="e">
        <f t="shared" si="2"/>
        <v>#VALUE!</v>
      </c>
      <c r="C156" s="8" t="str">
        <f>IF(A156="","",_xll.BDH(config!$H$4,C$1,$A156,$A156))</f>
        <v>#N/A Requesting Data...</v>
      </c>
      <c r="D156" s="8" t="str">
        <f>IF($A156="","",_xll.BDH(config!$H$4,D$1,$A156,$A156))</f>
        <v>#N/A Requesting Data...</v>
      </c>
      <c r="E156" s="8">
        <f>IF($A156="","",IF(ISNUMBER(FIND("IMPVOL",E$1)),_xll.BDH(config!$G$4,E$1,WORKDAY($A156,-1,config_Holiday_Calendar_US),WORKDAY($A156,-1,config_Holiday_Calendar_US)),IF(ISNUMBER(_xll.BDH(config!$G$4,E$1,$A156,$A156)),_xll.BDH(config!$G$4,E$1,$A156,$A156),_xll.BDH(config!$G$5,E$1,$A156,$A156))))</f>
        <v>46.8</v>
      </c>
      <c r="F156" s="8">
        <f>IF($A156="","",IF(ISNUMBER(FIND("IMPVOL",F$1)),_xll.BDH(config!$G$4,F$1,WORKDAY($A156,-1,config_Holiday_Calendar_US),WORKDAY($A156,-1,config_Holiday_Calendar_US)),IF(ISNUMBER(_xll.BDH(config!$G$4,F$1,$A156,$A156)),_xll.BDH(config!$G$4,F$1,$A156,$A156),_xll.BDH(config!$G$5,F$1,$A156,$A156))))</f>
        <v>47.46</v>
      </c>
      <c r="G156" s="8">
        <f>IF($A156="","",IF(ISNUMBER(FIND("IMPVOL",G$1)),_xll.BDH(config!$G$4,G$1,WORKDAY($A156,-1,config_Holiday_Calendar_US),WORKDAY($A156,-1,config_Holiday_Calendar_US)),IF(ISNUMBER(_xll.BDH(config!$G$4,G$1,$A156,$A156)),_xll.BDH(config!$G$4,G$1,$A156,$A156),_xll.BDH(config!$G$5,G$1,$A156,$A156))))</f>
        <v>47.12</v>
      </c>
      <c r="H156" s="8">
        <f>IF($A156="","",IF(ISNUMBER(FIND("IMPVOL",H$1)),_xll.BDH(config!$G$4,H$1,WORKDAY($A156,-1,config_Holiday_Calendar_US),WORKDAY($A156,-1,config_Holiday_Calendar_US)),IF(ISNUMBER(_xll.BDH(config!$G$4,H$1,$A156,$A156)),_xll.BDH(config!$G$4,H$1,$A156,$A156),_xll.BDH(config!$G$5,H$1,$A156,$A156))))</f>
        <v>87431</v>
      </c>
      <c r="I156" s="8" t="str">
        <f>IF($A156="","",IF(ISNUMBER(FIND("IMPVOL",I$1)),_xll.BDH(config!$G$4,I$1,WORKDAY($A156,-1,config_Holiday_Calendar_US),WORKDAY($A156,-1,config_Holiday_Calendar_US)),IF(ISNUMBER(_xll.BDH(config!$G$4,I$1,$A156,$A156)),_xll.BDH(config!$G$4,I$1,$A156,$A156),_xll.BDH(config!$G$5,I$1,$A156,$A156))))</f>
        <v>#N/A Requesting Data...</v>
      </c>
      <c r="J156" s="8" t="str">
        <f>IF($A156="","",IF(ISNUMBER(FIND("IMPVOL",J$1)),_xll.BDH(config!$G$4,J$1,WORKDAY($A156,-1,config_Holiday_Calendar_US),WORKDAY($A156,-1,config_Holiday_Calendar_US)),IF(ISNUMBER(_xll.BDH(config!$G$4,J$1,$A156,$A156)),_xll.BDH(config!$G$4,J$1,$A156,$A156),_xll.BDH(config!$G$5,J$1,$A156,$A156))))</f>
        <v>#N/A Requesting Data...</v>
      </c>
      <c r="K156" s="8" t="str">
        <f>IF($A156="","",IF(ISNUMBER(FIND("IMPVOL",K$1)),_xll.BDH(config!$G$4,K$1,WORKDAY($A156,-1,config_Holiday_Calendar_US),WORKDAY($A156,-1,config_Holiday_Calendar_US)),IF(ISNUMBER(_xll.BDH(config!$G$4,K$1,$A156,$A156)),_xll.BDH(config!$G$4,K$1,$A156,$A156),_xll.BDH(config!$G$5,K$1,$A156,$A156))))</f>
        <v>#N/A Requesting Data...</v>
      </c>
      <c r="L156" s="8" t="str">
        <f>IF($A156="","",IF(ISNUMBER(FIND("IMPVOL",L$1)),_xll.BDH(config!$G$4,L$1,WORKDAY($A156,-1,config_Holiday_Calendar_US),WORKDAY($A156,-1,config_Holiday_Calendar_US)),IF(ISNUMBER(_xll.BDH(config!$G$4,L$1,$A156,$A156)),_xll.BDH(config!$G$4,L$1,$A156,$A156),_xll.BDH(config!$G$5,L$1,$A156,$A156))))</f>
        <v>#N/A Requesting Data...</v>
      </c>
      <c r="M156" s="8" t="str">
        <f>IF($A156="","",IF(ISNUMBER(FIND("IMPVOL",M$1)),_xll.BDH(config!$G$4,M$1,WORKDAY($A156,-1,config_Holiday_Calendar_US),WORKDAY($A156,-1,config_Holiday_Calendar_US)),IF(ISNUMBER(_xll.BDH(config!$G$4,M$1,$A156,$A156)),_xll.BDH(config!$G$4,M$1,$A156,$A156),_xll.BDH(config!$G$5,M$1,$A156,$A156))))</f>
        <v>#N/A Requesting Data...</v>
      </c>
      <c r="N156" s="8" t="str">
        <f>IF($A156="","",IF(ISNUMBER(FIND("IMPVOL",N$1)),_xll.BDH(config!$G$4,N$1,WORKDAY($A156,-1,config_Holiday_Calendar_US),WORKDAY($A156,-1,config_Holiday_Calendar_US)),IF(ISNUMBER(_xll.BDH(config!$G$4,N$1,$A156,$A156)),_xll.BDH(config!$G$4,N$1,$A156,$A156),_xll.BDH(config!$G$5,N$1,$A156,$A156))))</f>
        <v>#N/A Requesting Data...</v>
      </c>
      <c r="O156" s="8" t="str">
        <f>IF($A156="","",IF(ISNUMBER(FIND("IMPVOL",O$1)),_xll.BDH(config!$G$4,O$1,WORKDAY($A156,-1,config_Holiday_Calendar_US),WORKDAY($A156,-1,config_Holiday_Calendar_US)),IF(ISNUMBER(_xll.BDH(config!$G$4,O$1,$A156,$A156)),_xll.BDH(config!$G$4,O$1,$A156,$A156),_xll.BDH(config!$G$5,O$1,$A156,$A156))))</f>
        <v>#N/A Requesting Data...</v>
      </c>
      <c r="P156" s="8" t="str">
        <f>IF($A156="","",IF(ISNUMBER(FIND("IMPVOL",P$1)),_xll.BDH(config!$G$4,P$1,WORKDAY($A156,-1,config_Holiday_Calendar_US),WORKDAY($A156,-1,config_Holiday_Calendar_US)),IF(ISNUMBER(_xll.BDH(config!$G$4,P$1,$A156,$A156)),_xll.BDH(config!$G$4,P$1,$A156,$A156),_xll.BDH(config!$G$5,P$1,$A156,$A156))))</f>
        <v>#N/A Requesting Data...</v>
      </c>
      <c r="Q156" s="8">
        <f>IF($A156="","",IF(ISNUMBER(FIND("IMPVOL",Q$1)),_xll.BDH(config!$G$4,Q$1,WORKDAY($A156,-1,config_Holiday_Calendar_US),WORKDAY($A156,-1,config_Holiday_Calendar_US)),IF(ISNUMBER(_xll.BDH(config!$G$4,Q$1,$A156,$A156)),_xll.BDH(config!$G$4,Q$1,$A156,$A156),_xll.BDH(config!$G$5,Q$1,$A156,$A156))))</f>
        <v>37.46</v>
      </c>
      <c r="R156" s="8">
        <f>IF($A156="","",IF(ISNUMBER(FIND("IMPVOL",R$1)),_xll.BDH(config!$G$4,R$1,WORKDAY($A156,-1,config_Holiday_Calendar_US),WORKDAY($A156,-1,config_Holiday_Calendar_US)),IF(ISNUMBER(_xll.BDH(config!$G$4,R$1,$A156,$A156)),_xll.BDH(config!$G$4,R$1,$A156,$A156),_xll.BDH(config!$G$5,R$1,$A156,$A156))))</f>
        <v>35.450000000000003</v>
      </c>
      <c r="S156" s="8" t="str">
        <f>IF($A156="","",IF(ISNUMBER(FIND("IMPVOL",S$1)),_xll.BDH(config!$G$4,S$1,WORKDAY($A156,-1,config_Holiday_Calendar_US),WORKDAY($A156,-1,config_Holiday_Calendar_US)),IF(ISNUMBER(_xll.BDH(config!$G$4,S$1,$A156,$A156)),_xll.BDH(config!$G$4,S$1,$A156,$A156),_xll.BDH(config!$G$5,S$1,$A156,$A156))))</f>
        <v>#N/A Requesting Data...</v>
      </c>
      <c r="T156" s="8" t="str">
        <f>IF($A156="","",IF(ISNUMBER(FIND("IMPVOL",T$1)),_xll.BDH(config!$G$4,T$1,WORKDAY($A156,-1,config_Holiday_Calendar_US),WORKDAY($A156,-1,config_Holiday_Calendar_US)),IF(ISNUMBER(_xll.BDH(config!$G$4,T$1,$A156,$A156)),_xll.BDH(config!$G$4,T$1,$A156,$A156),_xll.BDH(config!$G$5,T$1,$A156,$A156))))</f>
        <v>#N/A Requesting Data...</v>
      </c>
      <c r="U156" s="8" t="str">
        <f>IF($A156="","",IF(ISNUMBER(FIND("IMPVOL",U$1)),_xll.BDH(config!$G$4,U$1,WORKDAY($A156,-1,config_Holiday_Calendar_US),WORKDAY($A156,-1,config_Holiday_Calendar_US)),IF(ISNUMBER(_xll.BDH(config!$G$4,U$1,$A156,$A156)),_xll.BDH(config!$G$4,U$1,$A156,$A156),_xll.BDH(config!$G$5,U$1,$A156,$A156))))</f>
        <v>#N/A Requesting Data...</v>
      </c>
      <c r="V156" s="8" t="str">
        <f>IF($A156="","",IF(ISNUMBER(FIND("IMPVOL",V$1)),_xll.BDH(config!$G$4,V$1,WORKDAY($A156,-1,config_Holiday_Calendar_US),WORKDAY($A156,-1,config_Holiday_Calendar_US)),IF(ISNUMBER(_xll.BDH(config!$G$4,V$1,$A156,$A156)),_xll.BDH(config!$G$4,V$1,$A156,$A156),_xll.BDH(config!$G$5,V$1,$A156,$A156))))</f>
        <v>#N/A Requesting Data...</v>
      </c>
      <c r="W156" s="8" t="str">
        <f>IF($A156="","",IF(ISNUMBER(FIND("IMPVOL",W$1)),_xll.BDH(config!$G$4,W$1,WORKDAY($A156,-1,config_Holiday_Calendar_US),WORKDAY($A156,-1,config_Holiday_Calendar_US)),IF(ISNUMBER(_xll.BDH(config!$G$4,W$1,$A156,$A156)),_xll.BDH(config!$G$4,W$1,$A156,$A156),_xll.BDH(config!$G$5,W$1,$A156,$A156))))</f>
        <v>#N/A Requesting Data...</v>
      </c>
    </row>
    <row r="157" spans="1:23" x14ac:dyDescent="0.2">
      <c r="A157" s="9">
        <f>IF(A156="","",IF(WORKDAY(A156,-1,config_Holiday_Calendar_US)&lt;config!$I$10,"",WORKDAY(A156,-1,config_Holiday_Calendar_US)))</f>
        <v>42606</v>
      </c>
      <c r="B157" s="8" t="e">
        <f t="shared" si="2"/>
        <v>#VALUE!</v>
      </c>
      <c r="C157" s="8" t="str">
        <f>IF(A157="","",_xll.BDH(config!$H$4,C$1,$A157,$A157))</f>
        <v>#N/A Requesting Data...</v>
      </c>
      <c r="D157" s="8" t="str">
        <f>IF($A157="","",_xll.BDH(config!$H$4,D$1,$A157,$A157))</f>
        <v>#N/A Requesting Data...</v>
      </c>
      <c r="E157" s="8">
        <f>IF($A157="","",IF(ISNUMBER(FIND("IMPVOL",E$1)),_xll.BDH(config!$G$4,E$1,WORKDAY($A157,-1,config_Holiday_Calendar_US),WORKDAY($A157,-1,config_Holiday_Calendar_US)),IF(ISNUMBER(_xll.BDH(config!$G$4,E$1,$A157,$A157)),_xll.BDH(config!$G$4,E$1,$A157,$A157),_xll.BDH(config!$G$5,E$1,$A157,$A157))))</f>
        <v>47.59</v>
      </c>
      <c r="F157" s="8">
        <f>IF($A157="","",IF(ISNUMBER(FIND("IMPVOL",F$1)),_xll.BDH(config!$G$4,F$1,WORKDAY($A157,-1,config_Holiday_Calendar_US),WORKDAY($A157,-1,config_Holiday_Calendar_US)),IF(ISNUMBER(_xll.BDH(config!$G$4,F$1,$A157,$A157)),_xll.BDH(config!$G$4,F$1,$A157,$A157),_xll.BDH(config!$G$5,F$1,$A157,$A157))))</f>
        <v>47.74</v>
      </c>
      <c r="G157" s="8">
        <f>IF($A157="","",IF(ISNUMBER(FIND("IMPVOL",G$1)),_xll.BDH(config!$G$4,G$1,WORKDAY($A157,-1,config_Holiday_Calendar_US),WORKDAY($A157,-1,config_Holiday_Calendar_US)),IF(ISNUMBER(_xll.BDH(config!$G$4,G$1,$A157,$A157)),_xll.BDH(config!$G$4,G$1,$A157,$A157),_xll.BDH(config!$G$5,G$1,$A157,$A157))))</f>
        <v>47.15</v>
      </c>
      <c r="H157" s="8">
        <f>IF($A157="","",IF(ISNUMBER(FIND("IMPVOL",H$1)),_xll.BDH(config!$G$4,H$1,WORKDAY($A157,-1,config_Holiday_Calendar_US),WORKDAY($A157,-1,config_Holiday_Calendar_US)),IF(ISNUMBER(_xll.BDH(config!$G$4,H$1,$A157,$A157)),_xll.BDH(config!$G$4,H$1,$A157,$A157),_xll.BDH(config!$G$5,H$1,$A157,$A157))))</f>
        <v>127197</v>
      </c>
      <c r="I157" s="8" t="str">
        <f>IF($A157="","",IF(ISNUMBER(FIND("IMPVOL",I$1)),_xll.BDH(config!$G$4,I$1,WORKDAY($A157,-1,config_Holiday_Calendar_US),WORKDAY($A157,-1,config_Holiday_Calendar_US)),IF(ISNUMBER(_xll.BDH(config!$G$4,I$1,$A157,$A157)),_xll.BDH(config!$G$4,I$1,$A157,$A157),_xll.BDH(config!$G$5,I$1,$A157,$A157))))</f>
        <v>#N/A Requesting Data...</v>
      </c>
      <c r="J157" s="8" t="str">
        <f>IF($A157="","",IF(ISNUMBER(FIND("IMPVOL",J$1)),_xll.BDH(config!$G$4,J$1,WORKDAY($A157,-1,config_Holiday_Calendar_US),WORKDAY($A157,-1,config_Holiday_Calendar_US)),IF(ISNUMBER(_xll.BDH(config!$G$4,J$1,$A157,$A157)),_xll.BDH(config!$G$4,J$1,$A157,$A157),_xll.BDH(config!$G$5,J$1,$A157,$A157))))</f>
        <v>#N/A Requesting Data...</v>
      </c>
      <c r="K157" s="8" t="str">
        <f>IF($A157="","",IF(ISNUMBER(FIND("IMPVOL",K$1)),_xll.BDH(config!$G$4,K$1,WORKDAY($A157,-1,config_Holiday_Calendar_US),WORKDAY($A157,-1,config_Holiday_Calendar_US)),IF(ISNUMBER(_xll.BDH(config!$G$4,K$1,$A157,$A157)),_xll.BDH(config!$G$4,K$1,$A157,$A157),_xll.BDH(config!$G$5,K$1,$A157,$A157))))</f>
        <v>#N/A Requesting Data...</v>
      </c>
      <c r="L157" s="8" t="str">
        <f>IF($A157="","",IF(ISNUMBER(FIND("IMPVOL",L$1)),_xll.BDH(config!$G$4,L$1,WORKDAY($A157,-1,config_Holiday_Calendar_US),WORKDAY($A157,-1,config_Holiday_Calendar_US)),IF(ISNUMBER(_xll.BDH(config!$G$4,L$1,$A157,$A157)),_xll.BDH(config!$G$4,L$1,$A157,$A157),_xll.BDH(config!$G$5,L$1,$A157,$A157))))</f>
        <v>#N/A Requesting Data...</v>
      </c>
      <c r="M157" s="8" t="str">
        <f>IF($A157="","",IF(ISNUMBER(FIND("IMPVOL",M$1)),_xll.BDH(config!$G$4,M$1,WORKDAY($A157,-1,config_Holiday_Calendar_US),WORKDAY($A157,-1,config_Holiday_Calendar_US)),IF(ISNUMBER(_xll.BDH(config!$G$4,M$1,$A157,$A157)),_xll.BDH(config!$G$4,M$1,$A157,$A157),_xll.BDH(config!$G$5,M$1,$A157,$A157))))</f>
        <v>#N/A Requesting Data...</v>
      </c>
      <c r="N157" s="8" t="str">
        <f>IF($A157="","",IF(ISNUMBER(FIND("IMPVOL",N$1)),_xll.BDH(config!$G$4,N$1,WORKDAY($A157,-1,config_Holiday_Calendar_US),WORKDAY($A157,-1,config_Holiday_Calendar_US)),IF(ISNUMBER(_xll.BDH(config!$G$4,N$1,$A157,$A157)),_xll.BDH(config!$G$4,N$1,$A157,$A157),_xll.BDH(config!$G$5,N$1,$A157,$A157))))</f>
        <v>#N/A Requesting Data...</v>
      </c>
      <c r="O157" s="8" t="str">
        <f>IF($A157="","",IF(ISNUMBER(FIND("IMPVOL",O$1)),_xll.BDH(config!$G$4,O$1,WORKDAY($A157,-1,config_Holiday_Calendar_US),WORKDAY($A157,-1,config_Holiday_Calendar_US)),IF(ISNUMBER(_xll.BDH(config!$G$4,O$1,$A157,$A157)),_xll.BDH(config!$G$4,O$1,$A157,$A157),_xll.BDH(config!$G$5,O$1,$A157,$A157))))</f>
        <v>#N/A Requesting Data...</v>
      </c>
      <c r="P157" s="8" t="str">
        <f>IF($A157="","",IF(ISNUMBER(FIND("IMPVOL",P$1)),_xll.BDH(config!$G$4,P$1,WORKDAY($A157,-1,config_Holiday_Calendar_US),WORKDAY($A157,-1,config_Holiday_Calendar_US)),IF(ISNUMBER(_xll.BDH(config!$G$4,P$1,$A157,$A157)),_xll.BDH(config!$G$4,P$1,$A157,$A157),_xll.BDH(config!$G$5,P$1,$A157,$A157))))</f>
        <v>#N/A Requesting Data...</v>
      </c>
      <c r="Q157" s="8">
        <f>IF($A157="","",IF(ISNUMBER(FIND("IMPVOL",Q$1)),_xll.BDH(config!$G$4,Q$1,WORKDAY($A157,-1,config_Holiday_Calendar_US),WORKDAY($A157,-1,config_Holiday_Calendar_US)),IF(ISNUMBER(_xll.BDH(config!$G$4,Q$1,$A157,$A157)),_xll.BDH(config!$G$4,Q$1,$A157,$A157),_xll.BDH(config!$G$5,Q$1,$A157,$A157))))</f>
        <v>38.21</v>
      </c>
      <c r="R157" s="8">
        <f>IF($A157="","",IF(ISNUMBER(FIND("IMPVOL",R$1)),_xll.BDH(config!$G$4,R$1,WORKDAY($A157,-1,config_Holiday_Calendar_US),WORKDAY($A157,-1,config_Holiday_Calendar_US)),IF(ISNUMBER(_xll.BDH(config!$G$4,R$1,$A157,$A157)),_xll.BDH(config!$G$4,R$1,$A157,$A157),_xll.BDH(config!$G$5,R$1,$A157,$A157))))</f>
        <v>35.32</v>
      </c>
      <c r="S157" s="8" t="str">
        <f>IF($A157="","",IF(ISNUMBER(FIND("IMPVOL",S$1)),_xll.BDH(config!$G$4,S$1,WORKDAY($A157,-1,config_Holiday_Calendar_US),WORKDAY($A157,-1,config_Holiday_Calendar_US)),IF(ISNUMBER(_xll.BDH(config!$G$4,S$1,$A157,$A157)),_xll.BDH(config!$G$4,S$1,$A157,$A157),_xll.BDH(config!$G$5,S$1,$A157,$A157))))</f>
        <v>#N/A Requesting Data...</v>
      </c>
      <c r="T157" s="8" t="str">
        <f>IF($A157="","",IF(ISNUMBER(FIND("IMPVOL",T$1)),_xll.BDH(config!$G$4,T$1,WORKDAY($A157,-1,config_Holiday_Calendar_US),WORKDAY($A157,-1,config_Holiday_Calendar_US)),IF(ISNUMBER(_xll.BDH(config!$G$4,T$1,$A157,$A157)),_xll.BDH(config!$G$4,T$1,$A157,$A157),_xll.BDH(config!$G$5,T$1,$A157,$A157))))</f>
        <v>#N/A Requesting Data...</v>
      </c>
      <c r="U157" s="8" t="str">
        <f>IF($A157="","",IF(ISNUMBER(FIND("IMPVOL",U$1)),_xll.BDH(config!$G$4,U$1,WORKDAY($A157,-1,config_Holiday_Calendar_US),WORKDAY($A157,-1,config_Holiday_Calendar_US)),IF(ISNUMBER(_xll.BDH(config!$G$4,U$1,$A157,$A157)),_xll.BDH(config!$G$4,U$1,$A157,$A157),_xll.BDH(config!$G$5,U$1,$A157,$A157))))</f>
        <v>#N/A Requesting Data...</v>
      </c>
      <c r="V157" s="8" t="str">
        <f>IF($A157="","",IF(ISNUMBER(FIND("IMPVOL",V$1)),_xll.BDH(config!$G$4,V$1,WORKDAY($A157,-1,config_Holiday_Calendar_US),WORKDAY($A157,-1,config_Holiday_Calendar_US)),IF(ISNUMBER(_xll.BDH(config!$G$4,V$1,$A157,$A157)),_xll.BDH(config!$G$4,V$1,$A157,$A157),_xll.BDH(config!$G$5,V$1,$A157,$A157))))</f>
        <v>#N/A Requesting Data...</v>
      </c>
      <c r="W157" s="8" t="str">
        <f>IF($A157="","",IF(ISNUMBER(FIND("IMPVOL",W$1)),_xll.BDH(config!$G$4,W$1,WORKDAY($A157,-1,config_Holiday_Calendar_US),WORKDAY($A157,-1,config_Holiday_Calendar_US)),IF(ISNUMBER(_xll.BDH(config!$G$4,W$1,$A157,$A157)),_xll.BDH(config!$G$4,W$1,$A157,$A157),_xll.BDH(config!$G$5,W$1,$A157,$A157))))</f>
        <v>#N/A Requesting Data...</v>
      </c>
    </row>
    <row r="158" spans="1:23" x14ac:dyDescent="0.2">
      <c r="A158" s="9">
        <f>IF(A157="","",IF(WORKDAY(A157,-1,config_Holiday_Calendar_US)&lt;config!$I$10,"",WORKDAY(A157,-1,config_Holiday_Calendar_US)))</f>
        <v>42605</v>
      </c>
      <c r="B158" s="8" t="e">
        <f t="shared" si="2"/>
        <v>#VALUE!</v>
      </c>
      <c r="C158" s="8" t="str">
        <f>IF(A158="","",_xll.BDH(config!$H$4,C$1,$A158,$A158))</f>
        <v>#N/A Requesting Data...</v>
      </c>
      <c r="D158" s="8" t="str">
        <f>IF($A158="","",_xll.BDH(config!$H$4,D$1,$A158,$A158))</f>
        <v>#N/A Requesting Data...</v>
      </c>
      <c r="E158" s="8">
        <f>IF($A158="","",IF(ISNUMBER(FIND("IMPVOL",E$1)),_xll.BDH(config!$G$4,E$1,WORKDAY($A158,-1,config_Holiday_Calendar_US),WORKDAY($A158,-1,config_Holiday_Calendar_US)),IF(ISNUMBER(_xll.BDH(config!$G$4,E$1,$A158,$A158)),_xll.BDH(config!$G$4,E$1,$A158,$A158),_xll.BDH(config!$G$5,E$1,$A158,$A158))))</f>
        <v>47.39</v>
      </c>
      <c r="F158" s="8">
        <f>IF($A158="","",IF(ISNUMBER(FIND("IMPVOL",F$1)),_xll.BDH(config!$G$4,F$1,WORKDAY($A158,-1,config_Holiday_Calendar_US),WORKDAY($A158,-1,config_Holiday_Calendar_US)),IF(ISNUMBER(_xll.BDH(config!$G$4,F$1,$A158,$A158)),_xll.BDH(config!$G$4,F$1,$A158,$A158),_xll.BDH(config!$G$5,F$1,$A158,$A158))))</f>
        <v>48.32</v>
      </c>
      <c r="G158" s="8">
        <f>IF($A158="","",IF(ISNUMBER(FIND("IMPVOL",G$1)),_xll.BDH(config!$G$4,G$1,WORKDAY($A158,-1,config_Holiday_Calendar_US),WORKDAY($A158,-1,config_Holiday_Calendar_US)),IF(ISNUMBER(_xll.BDH(config!$G$4,G$1,$A158,$A158)),_xll.BDH(config!$G$4,G$1,$A158,$A158),_xll.BDH(config!$G$5,G$1,$A158,$A158))))</f>
        <v>47.27</v>
      </c>
      <c r="H158" s="8">
        <f>IF($A158="","",IF(ISNUMBER(FIND("IMPVOL",H$1)),_xll.BDH(config!$G$4,H$1,WORKDAY($A158,-1,config_Holiday_Calendar_US),WORKDAY($A158,-1,config_Holiday_Calendar_US)),IF(ISNUMBER(_xll.BDH(config!$G$4,H$1,$A158,$A158)),_xll.BDH(config!$G$4,H$1,$A158,$A158),_xll.BDH(config!$G$5,H$1,$A158,$A158))))</f>
        <v>113062</v>
      </c>
      <c r="I158" s="8" t="str">
        <f>IF($A158="","",IF(ISNUMBER(FIND("IMPVOL",I$1)),_xll.BDH(config!$G$4,I$1,WORKDAY($A158,-1,config_Holiday_Calendar_US),WORKDAY($A158,-1,config_Holiday_Calendar_US)),IF(ISNUMBER(_xll.BDH(config!$G$4,I$1,$A158,$A158)),_xll.BDH(config!$G$4,I$1,$A158,$A158),_xll.BDH(config!$G$5,I$1,$A158,$A158))))</f>
        <v>#N/A Requesting Data...</v>
      </c>
      <c r="J158" s="8" t="str">
        <f>IF($A158="","",IF(ISNUMBER(FIND("IMPVOL",J$1)),_xll.BDH(config!$G$4,J$1,WORKDAY($A158,-1,config_Holiday_Calendar_US),WORKDAY($A158,-1,config_Holiday_Calendar_US)),IF(ISNUMBER(_xll.BDH(config!$G$4,J$1,$A158,$A158)),_xll.BDH(config!$G$4,J$1,$A158,$A158),_xll.BDH(config!$G$5,J$1,$A158,$A158))))</f>
        <v>#N/A Requesting Data...</v>
      </c>
      <c r="K158" s="8" t="str">
        <f>IF($A158="","",IF(ISNUMBER(FIND("IMPVOL",K$1)),_xll.BDH(config!$G$4,K$1,WORKDAY($A158,-1,config_Holiday_Calendar_US),WORKDAY($A158,-1,config_Holiday_Calendar_US)),IF(ISNUMBER(_xll.BDH(config!$G$4,K$1,$A158,$A158)),_xll.BDH(config!$G$4,K$1,$A158,$A158),_xll.BDH(config!$G$5,K$1,$A158,$A158))))</f>
        <v>#N/A Requesting Data...</v>
      </c>
      <c r="L158" s="8" t="str">
        <f>IF($A158="","",IF(ISNUMBER(FIND("IMPVOL",L$1)),_xll.BDH(config!$G$4,L$1,WORKDAY($A158,-1,config_Holiday_Calendar_US),WORKDAY($A158,-1,config_Holiday_Calendar_US)),IF(ISNUMBER(_xll.BDH(config!$G$4,L$1,$A158,$A158)),_xll.BDH(config!$G$4,L$1,$A158,$A158),_xll.BDH(config!$G$5,L$1,$A158,$A158))))</f>
        <v>#N/A Requesting Data...</v>
      </c>
      <c r="M158" s="8" t="str">
        <f>IF($A158="","",IF(ISNUMBER(FIND("IMPVOL",M$1)),_xll.BDH(config!$G$4,M$1,WORKDAY($A158,-1,config_Holiday_Calendar_US),WORKDAY($A158,-1,config_Holiday_Calendar_US)),IF(ISNUMBER(_xll.BDH(config!$G$4,M$1,$A158,$A158)),_xll.BDH(config!$G$4,M$1,$A158,$A158),_xll.BDH(config!$G$5,M$1,$A158,$A158))))</f>
        <v>#N/A Requesting Data...</v>
      </c>
      <c r="N158" s="8" t="str">
        <f>IF($A158="","",IF(ISNUMBER(FIND("IMPVOL",N$1)),_xll.BDH(config!$G$4,N$1,WORKDAY($A158,-1,config_Holiday_Calendar_US),WORKDAY($A158,-1,config_Holiday_Calendar_US)),IF(ISNUMBER(_xll.BDH(config!$G$4,N$1,$A158,$A158)),_xll.BDH(config!$G$4,N$1,$A158,$A158),_xll.BDH(config!$G$5,N$1,$A158,$A158))))</f>
        <v>#N/A Requesting Data...</v>
      </c>
      <c r="O158" s="8" t="str">
        <f>IF($A158="","",IF(ISNUMBER(FIND("IMPVOL",O$1)),_xll.BDH(config!$G$4,O$1,WORKDAY($A158,-1,config_Holiday_Calendar_US),WORKDAY($A158,-1,config_Holiday_Calendar_US)),IF(ISNUMBER(_xll.BDH(config!$G$4,O$1,$A158,$A158)),_xll.BDH(config!$G$4,O$1,$A158,$A158),_xll.BDH(config!$G$5,O$1,$A158,$A158))))</f>
        <v>#N/A Requesting Data...</v>
      </c>
      <c r="P158" s="8" t="str">
        <f>IF($A158="","",IF(ISNUMBER(FIND("IMPVOL",P$1)),_xll.BDH(config!$G$4,P$1,WORKDAY($A158,-1,config_Holiday_Calendar_US),WORKDAY($A158,-1,config_Holiday_Calendar_US)),IF(ISNUMBER(_xll.BDH(config!$G$4,P$1,$A158,$A158)),_xll.BDH(config!$G$4,P$1,$A158,$A158),_xll.BDH(config!$G$5,P$1,$A158,$A158))))</f>
        <v>#N/A Requesting Data...</v>
      </c>
      <c r="Q158" s="8">
        <f>IF($A158="","",IF(ISNUMBER(FIND("IMPVOL",Q$1)),_xll.BDH(config!$G$4,Q$1,WORKDAY($A158,-1,config_Holiday_Calendar_US),WORKDAY($A158,-1,config_Holiday_Calendar_US)),IF(ISNUMBER(_xll.BDH(config!$G$4,Q$1,$A158,$A158)),_xll.BDH(config!$G$4,Q$1,$A158,$A158),_xll.BDH(config!$G$5,Q$1,$A158,$A158))))</f>
        <v>35.61</v>
      </c>
      <c r="R158" s="8">
        <f>IF($A158="","",IF(ISNUMBER(FIND("IMPVOL",R$1)),_xll.BDH(config!$G$4,R$1,WORKDAY($A158,-1,config_Holiday_Calendar_US),WORKDAY($A158,-1,config_Holiday_Calendar_US)),IF(ISNUMBER(_xll.BDH(config!$G$4,R$1,$A158,$A158)),_xll.BDH(config!$G$4,R$1,$A158,$A158),_xll.BDH(config!$G$5,R$1,$A158,$A158))))</f>
        <v>34.799999999999997</v>
      </c>
      <c r="S158" s="8" t="str">
        <f>IF($A158="","",IF(ISNUMBER(FIND("IMPVOL",S$1)),_xll.BDH(config!$G$4,S$1,WORKDAY($A158,-1,config_Holiday_Calendar_US),WORKDAY($A158,-1,config_Holiday_Calendar_US)),IF(ISNUMBER(_xll.BDH(config!$G$4,S$1,$A158,$A158)),_xll.BDH(config!$G$4,S$1,$A158,$A158),_xll.BDH(config!$G$5,S$1,$A158,$A158))))</f>
        <v>#N/A Requesting Data...</v>
      </c>
      <c r="T158" s="8" t="str">
        <f>IF($A158="","",IF(ISNUMBER(FIND("IMPVOL",T$1)),_xll.BDH(config!$G$4,T$1,WORKDAY($A158,-1,config_Holiday_Calendar_US),WORKDAY($A158,-1,config_Holiday_Calendar_US)),IF(ISNUMBER(_xll.BDH(config!$G$4,T$1,$A158,$A158)),_xll.BDH(config!$G$4,T$1,$A158,$A158),_xll.BDH(config!$G$5,T$1,$A158,$A158))))</f>
        <v>#N/A Requesting Data...</v>
      </c>
      <c r="U158" s="8" t="str">
        <f>IF($A158="","",IF(ISNUMBER(FIND("IMPVOL",U$1)),_xll.BDH(config!$G$4,U$1,WORKDAY($A158,-1,config_Holiday_Calendar_US),WORKDAY($A158,-1,config_Holiday_Calendar_US)),IF(ISNUMBER(_xll.BDH(config!$G$4,U$1,$A158,$A158)),_xll.BDH(config!$G$4,U$1,$A158,$A158),_xll.BDH(config!$G$5,U$1,$A158,$A158))))</f>
        <v>#N/A Requesting Data...</v>
      </c>
      <c r="V158" s="8" t="str">
        <f>IF($A158="","",IF(ISNUMBER(FIND("IMPVOL",V$1)),_xll.BDH(config!$G$4,V$1,WORKDAY($A158,-1,config_Holiday_Calendar_US),WORKDAY($A158,-1,config_Holiday_Calendar_US)),IF(ISNUMBER(_xll.BDH(config!$G$4,V$1,$A158,$A158)),_xll.BDH(config!$G$4,V$1,$A158,$A158),_xll.BDH(config!$G$5,V$1,$A158,$A158))))</f>
        <v>#N/A Requesting Data...</v>
      </c>
      <c r="W158" s="8" t="str">
        <f>IF($A158="","",IF(ISNUMBER(FIND("IMPVOL",W$1)),_xll.BDH(config!$G$4,W$1,WORKDAY($A158,-1,config_Holiday_Calendar_US),WORKDAY($A158,-1,config_Holiday_Calendar_US)),IF(ISNUMBER(_xll.BDH(config!$G$4,W$1,$A158,$A158)),_xll.BDH(config!$G$4,W$1,$A158,$A158),_xll.BDH(config!$G$5,W$1,$A158,$A158))))</f>
        <v>#N/A Requesting Data...</v>
      </c>
    </row>
    <row r="159" spans="1:23" x14ac:dyDescent="0.2">
      <c r="A159" s="9">
        <f>IF(A158="","",IF(WORKDAY(A158,-1,config_Holiday_Calendar_US)&lt;config!$I$10,"",WORKDAY(A158,-1,config_Holiday_Calendar_US)))</f>
        <v>42604</v>
      </c>
      <c r="B159" s="8" t="e">
        <f t="shared" si="2"/>
        <v>#VALUE!</v>
      </c>
      <c r="C159" s="8" t="str">
        <f>IF(A159="","",_xll.BDH(config!$H$4,C$1,$A159,$A159))</f>
        <v>#N/A Requesting Data...</v>
      </c>
      <c r="D159" s="8" t="str">
        <f>IF($A159="","",_xll.BDH(config!$H$4,D$1,$A159,$A159))</f>
        <v>#N/A Requesting Data...</v>
      </c>
      <c r="E159" s="8">
        <f>IF($A159="","",IF(ISNUMBER(FIND("IMPVOL",E$1)),_xll.BDH(config!$G$4,E$1,WORKDAY($A159,-1,config_Holiday_Calendar_US),WORKDAY($A159,-1,config_Holiday_Calendar_US)),IF(ISNUMBER(_xll.BDH(config!$G$4,E$1,$A159,$A159)),_xll.BDH(config!$G$4,E$1,$A159,$A159),_xll.BDH(config!$G$5,E$1,$A159,$A159))))</f>
        <v>48.4</v>
      </c>
      <c r="F159" s="8">
        <f>IF($A159="","",IF(ISNUMBER(FIND("IMPVOL",F$1)),_xll.BDH(config!$G$4,F$1,WORKDAY($A159,-1,config_Holiday_Calendar_US),WORKDAY($A159,-1,config_Holiday_Calendar_US)),IF(ISNUMBER(_xll.BDH(config!$G$4,F$1,$A159,$A159)),_xll.BDH(config!$G$4,F$1,$A159,$A159),_xll.BDH(config!$G$5,F$1,$A159,$A159))))</f>
        <v>48.4</v>
      </c>
      <c r="G159" s="8">
        <f>IF($A159="","",IF(ISNUMBER(FIND("IMPVOL",G$1)),_xll.BDH(config!$G$4,G$1,WORKDAY($A159,-1,config_Holiday_Calendar_US),WORKDAY($A159,-1,config_Holiday_Calendar_US)),IF(ISNUMBER(_xll.BDH(config!$G$4,G$1,$A159,$A159)),_xll.BDH(config!$G$4,G$1,$A159,$A159),_xll.BDH(config!$G$5,G$1,$A159,$A159))))</f>
        <v>47.33</v>
      </c>
      <c r="H159" s="8">
        <f>IF($A159="","",IF(ISNUMBER(FIND("IMPVOL",H$1)),_xll.BDH(config!$G$4,H$1,WORKDAY($A159,-1,config_Holiday_Calendar_US),WORKDAY($A159,-1,config_Holiday_Calendar_US)),IF(ISNUMBER(_xll.BDH(config!$G$4,H$1,$A159,$A159)),_xll.BDH(config!$G$4,H$1,$A159,$A159),_xll.BDH(config!$G$5,H$1,$A159,$A159))))</f>
        <v>515256</v>
      </c>
      <c r="I159" s="8" t="str">
        <f>IF($A159="","",IF(ISNUMBER(FIND("IMPVOL",I$1)),_xll.BDH(config!$G$4,I$1,WORKDAY($A159,-1,config_Holiday_Calendar_US),WORKDAY($A159,-1,config_Holiday_Calendar_US)),IF(ISNUMBER(_xll.BDH(config!$G$4,I$1,$A159,$A159)),_xll.BDH(config!$G$4,I$1,$A159,$A159),_xll.BDH(config!$G$5,I$1,$A159,$A159))))</f>
        <v>#N/A Requesting Data...</v>
      </c>
      <c r="J159" s="8" t="str">
        <f>IF($A159="","",IF(ISNUMBER(FIND("IMPVOL",J$1)),_xll.BDH(config!$G$4,J$1,WORKDAY($A159,-1,config_Holiday_Calendar_US),WORKDAY($A159,-1,config_Holiday_Calendar_US)),IF(ISNUMBER(_xll.BDH(config!$G$4,J$1,$A159,$A159)),_xll.BDH(config!$G$4,J$1,$A159,$A159),_xll.BDH(config!$G$5,J$1,$A159,$A159))))</f>
        <v>#N/A Requesting Data...</v>
      </c>
      <c r="K159" s="8" t="str">
        <f>IF($A159="","",IF(ISNUMBER(FIND("IMPVOL",K$1)),_xll.BDH(config!$G$4,K$1,WORKDAY($A159,-1,config_Holiday_Calendar_US),WORKDAY($A159,-1,config_Holiday_Calendar_US)),IF(ISNUMBER(_xll.BDH(config!$G$4,K$1,$A159,$A159)),_xll.BDH(config!$G$4,K$1,$A159,$A159),_xll.BDH(config!$G$5,K$1,$A159,$A159))))</f>
        <v>#N/A Requesting Data...</v>
      </c>
      <c r="L159" s="8" t="str">
        <f>IF($A159="","",IF(ISNUMBER(FIND("IMPVOL",L$1)),_xll.BDH(config!$G$4,L$1,WORKDAY($A159,-1,config_Holiday_Calendar_US),WORKDAY($A159,-1,config_Holiday_Calendar_US)),IF(ISNUMBER(_xll.BDH(config!$G$4,L$1,$A159,$A159)),_xll.BDH(config!$G$4,L$1,$A159,$A159),_xll.BDH(config!$G$5,L$1,$A159,$A159))))</f>
        <v>#N/A Requesting Data...</v>
      </c>
      <c r="M159" s="8" t="str">
        <f>IF($A159="","",IF(ISNUMBER(FIND("IMPVOL",M$1)),_xll.BDH(config!$G$4,M$1,WORKDAY($A159,-1,config_Holiday_Calendar_US),WORKDAY($A159,-1,config_Holiday_Calendar_US)),IF(ISNUMBER(_xll.BDH(config!$G$4,M$1,$A159,$A159)),_xll.BDH(config!$G$4,M$1,$A159,$A159),_xll.BDH(config!$G$5,M$1,$A159,$A159))))</f>
        <v>#N/A Requesting Data...</v>
      </c>
      <c r="N159" s="8" t="str">
        <f>IF($A159="","",IF(ISNUMBER(FIND("IMPVOL",N$1)),_xll.BDH(config!$G$4,N$1,WORKDAY($A159,-1,config_Holiday_Calendar_US),WORKDAY($A159,-1,config_Holiday_Calendar_US)),IF(ISNUMBER(_xll.BDH(config!$G$4,N$1,$A159,$A159)),_xll.BDH(config!$G$4,N$1,$A159,$A159),_xll.BDH(config!$G$5,N$1,$A159,$A159))))</f>
        <v>#N/A Requesting Data...</v>
      </c>
      <c r="O159" s="8" t="str">
        <f>IF($A159="","",IF(ISNUMBER(FIND("IMPVOL",O$1)),_xll.BDH(config!$G$4,O$1,WORKDAY($A159,-1,config_Holiday_Calendar_US),WORKDAY($A159,-1,config_Holiday_Calendar_US)),IF(ISNUMBER(_xll.BDH(config!$G$4,O$1,$A159,$A159)),_xll.BDH(config!$G$4,O$1,$A159,$A159),_xll.BDH(config!$G$5,O$1,$A159,$A159))))</f>
        <v>#N/A Requesting Data...</v>
      </c>
      <c r="P159" s="8" t="str">
        <f>IF($A159="","",IF(ISNUMBER(FIND("IMPVOL",P$1)),_xll.BDH(config!$G$4,P$1,WORKDAY($A159,-1,config_Holiday_Calendar_US),WORKDAY($A159,-1,config_Holiday_Calendar_US)),IF(ISNUMBER(_xll.BDH(config!$G$4,P$1,$A159,$A159)),_xll.BDH(config!$G$4,P$1,$A159,$A159),_xll.BDH(config!$G$5,P$1,$A159,$A159))))</f>
        <v>#N/A Requesting Data...</v>
      </c>
      <c r="Q159" s="8">
        <f>IF($A159="","",IF(ISNUMBER(FIND("IMPVOL",Q$1)),_xll.BDH(config!$G$4,Q$1,WORKDAY($A159,-1,config_Holiday_Calendar_US),WORKDAY($A159,-1,config_Holiday_Calendar_US)),IF(ISNUMBER(_xll.BDH(config!$G$4,Q$1,$A159,$A159)),_xll.BDH(config!$G$4,Q$1,$A159,$A159),_xll.BDH(config!$G$5,Q$1,$A159,$A159))))</f>
        <v>40.340000000000003</v>
      </c>
      <c r="R159" s="8">
        <f>IF($A159="","",IF(ISNUMBER(FIND("IMPVOL",R$1)),_xll.BDH(config!$G$4,R$1,WORKDAY($A159,-1,config_Holiday_Calendar_US),WORKDAY($A159,-1,config_Holiday_Calendar_US)),IF(ISNUMBER(_xll.BDH(config!$G$4,R$1,$A159,$A159)),_xll.BDH(config!$G$4,R$1,$A159,$A159),_xll.BDH(config!$G$5,R$1,$A159,$A159))))</f>
        <v>36.74</v>
      </c>
      <c r="S159" s="8" t="str">
        <f>IF($A159="","",IF(ISNUMBER(FIND("IMPVOL",S$1)),_xll.BDH(config!$G$4,S$1,WORKDAY($A159,-1,config_Holiday_Calendar_US),WORKDAY($A159,-1,config_Holiday_Calendar_US)),IF(ISNUMBER(_xll.BDH(config!$G$4,S$1,$A159,$A159)),_xll.BDH(config!$G$4,S$1,$A159,$A159),_xll.BDH(config!$G$5,S$1,$A159,$A159))))</f>
        <v>#N/A Requesting Data...</v>
      </c>
      <c r="T159" s="8" t="str">
        <f>IF($A159="","",IF(ISNUMBER(FIND("IMPVOL",T$1)),_xll.BDH(config!$G$4,T$1,WORKDAY($A159,-1,config_Holiday_Calendar_US),WORKDAY($A159,-1,config_Holiday_Calendar_US)),IF(ISNUMBER(_xll.BDH(config!$G$4,T$1,$A159,$A159)),_xll.BDH(config!$G$4,T$1,$A159,$A159),_xll.BDH(config!$G$5,T$1,$A159,$A159))))</f>
        <v>#N/A Requesting Data...</v>
      </c>
      <c r="U159" s="8" t="str">
        <f>IF($A159="","",IF(ISNUMBER(FIND("IMPVOL",U$1)),_xll.BDH(config!$G$4,U$1,WORKDAY($A159,-1,config_Holiday_Calendar_US),WORKDAY($A159,-1,config_Holiday_Calendar_US)),IF(ISNUMBER(_xll.BDH(config!$G$4,U$1,$A159,$A159)),_xll.BDH(config!$G$4,U$1,$A159,$A159),_xll.BDH(config!$G$5,U$1,$A159,$A159))))</f>
        <v>#N/A Requesting Data...</v>
      </c>
      <c r="V159" s="8" t="str">
        <f>IF($A159="","",IF(ISNUMBER(FIND("IMPVOL",V$1)),_xll.BDH(config!$G$4,V$1,WORKDAY($A159,-1,config_Holiday_Calendar_US),WORKDAY($A159,-1,config_Holiday_Calendar_US)),IF(ISNUMBER(_xll.BDH(config!$G$4,V$1,$A159,$A159)),_xll.BDH(config!$G$4,V$1,$A159,$A159),_xll.BDH(config!$G$5,V$1,$A159,$A159))))</f>
        <v>#N/A Requesting Data...</v>
      </c>
      <c r="W159" s="8" t="str">
        <f>IF($A159="","",IF(ISNUMBER(FIND("IMPVOL",W$1)),_xll.BDH(config!$G$4,W$1,WORKDAY($A159,-1,config_Holiday_Calendar_US),WORKDAY($A159,-1,config_Holiday_Calendar_US)),IF(ISNUMBER(_xll.BDH(config!$G$4,W$1,$A159,$A159)),_xll.BDH(config!$G$4,W$1,$A159,$A159),_xll.BDH(config!$G$5,W$1,$A159,$A159))))</f>
        <v>#N/A Requesting Data...</v>
      </c>
    </row>
    <row r="160" spans="1:23" x14ac:dyDescent="0.2">
      <c r="A160" s="9">
        <f>IF(A159="","",IF(WORKDAY(A159,-1,config_Holiday_Calendar_US)&lt;config!$I$10,"",WORKDAY(A159,-1,config_Holiday_Calendar_US)))</f>
        <v>42601</v>
      </c>
      <c r="B160" s="8" t="e">
        <f t="shared" si="2"/>
        <v>#VALUE!</v>
      </c>
      <c r="C160" s="8" t="str">
        <f>IF(A160="","",_xll.BDH(config!$H$4,C$1,$A160,$A160))</f>
        <v>#N/A Requesting Data...</v>
      </c>
      <c r="D160" s="8" t="str">
        <f>IF($A160="","",_xll.BDH(config!$H$4,D$1,$A160,$A160))</f>
        <v>#N/A Requesting Data...</v>
      </c>
      <c r="E160" s="8">
        <f>IF($A160="","",IF(ISNUMBER(FIND("IMPVOL",E$1)),_xll.BDH(config!$G$4,E$1,WORKDAY($A160,-1,config_Holiday_Calendar_US),WORKDAY($A160,-1,config_Holiday_Calendar_US)),IF(ISNUMBER(_xll.BDH(config!$G$4,E$1,$A160,$A160)),_xll.BDH(config!$G$4,E$1,$A160,$A160),_xll.BDH(config!$G$5,E$1,$A160,$A160))))</f>
        <v>48.33</v>
      </c>
      <c r="F160" s="8">
        <f>IF($A160="","",IF(ISNUMBER(FIND("IMPVOL",F$1)),_xll.BDH(config!$G$4,F$1,WORKDAY($A160,-1,config_Holiday_Calendar_US),WORKDAY($A160,-1,config_Holiday_Calendar_US)),IF(ISNUMBER(_xll.BDH(config!$G$4,F$1,$A160,$A160)),_xll.BDH(config!$G$4,F$1,$A160,$A160),_xll.BDH(config!$G$5,F$1,$A160,$A160))))</f>
        <v>48.75</v>
      </c>
      <c r="G160" s="8">
        <f>IF($A160="","",IF(ISNUMBER(FIND("IMPVOL",G$1)),_xll.BDH(config!$G$4,G$1,WORKDAY($A160,-1,config_Holiday_Calendar_US),WORKDAY($A160,-1,config_Holiday_Calendar_US)),IF(ISNUMBER(_xll.BDH(config!$G$4,G$1,$A160,$A160)),_xll.BDH(config!$G$4,G$1,$A160,$A160),_xll.BDH(config!$G$5,G$1,$A160,$A160))))</f>
        <v>48.55</v>
      </c>
      <c r="H160" s="8">
        <f>IF($A160="","",IF(ISNUMBER(FIND("IMPVOL",H$1)),_xll.BDH(config!$G$4,H$1,WORKDAY($A160,-1,config_Holiday_Calendar_US),WORKDAY($A160,-1,config_Holiday_Calendar_US)),IF(ISNUMBER(_xll.BDH(config!$G$4,H$1,$A160,$A160)),_xll.BDH(config!$G$4,H$1,$A160,$A160),_xll.BDH(config!$G$5,H$1,$A160,$A160))))</f>
        <v>555574</v>
      </c>
      <c r="I160" s="8" t="str">
        <f>IF($A160="","",IF(ISNUMBER(FIND("IMPVOL",I$1)),_xll.BDH(config!$G$4,I$1,WORKDAY($A160,-1,config_Holiday_Calendar_US),WORKDAY($A160,-1,config_Holiday_Calendar_US)),IF(ISNUMBER(_xll.BDH(config!$G$4,I$1,$A160,$A160)),_xll.BDH(config!$G$4,I$1,$A160,$A160),_xll.BDH(config!$G$5,I$1,$A160,$A160))))</f>
        <v>#N/A Requesting Data...</v>
      </c>
      <c r="J160" s="8" t="str">
        <f>IF($A160="","",IF(ISNUMBER(FIND("IMPVOL",J$1)),_xll.BDH(config!$G$4,J$1,WORKDAY($A160,-1,config_Holiday_Calendar_US),WORKDAY($A160,-1,config_Holiday_Calendar_US)),IF(ISNUMBER(_xll.BDH(config!$G$4,J$1,$A160,$A160)),_xll.BDH(config!$G$4,J$1,$A160,$A160),_xll.BDH(config!$G$5,J$1,$A160,$A160))))</f>
        <v>#N/A Requesting Data...</v>
      </c>
      <c r="K160" s="8" t="str">
        <f>IF($A160="","",IF(ISNUMBER(FIND("IMPVOL",K$1)),_xll.BDH(config!$G$4,K$1,WORKDAY($A160,-1,config_Holiday_Calendar_US),WORKDAY($A160,-1,config_Holiday_Calendar_US)),IF(ISNUMBER(_xll.BDH(config!$G$4,K$1,$A160,$A160)),_xll.BDH(config!$G$4,K$1,$A160,$A160),_xll.BDH(config!$G$5,K$1,$A160,$A160))))</f>
        <v>#N/A Requesting Data...</v>
      </c>
      <c r="L160" s="8" t="str">
        <f>IF($A160="","",IF(ISNUMBER(FIND("IMPVOL",L$1)),_xll.BDH(config!$G$4,L$1,WORKDAY($A160,-1,config_Holiday_Calendar_US),WORKDAY($A160,-1,config_Holiday_Calendar_US)),IF(ISNUMBER(_xll.BDH(config!$G$4,L$1,$A160,$A160)),_xll.BDH(config!$G$4,L$1,$A160,$A160),_xll.BDH(config!$G$5,L$1,$A160,$A160))))</f>
        <v>#N/A Requesting Data...</v>
      </c>
      <c r="M160" s="8" t="str">
        <f>IF($A160="","",IF(ISNUMBER(FIND("IMPVOL",M$1)),_xll.BDH(config!$G$4,M$1,WORKDAY($A160,-1,config_Holiday_Calendar_US),WORKDAY($A160,-1,config_Holiday_Calendar_US)),IF(ISNUMBER(_xll.BDH(config!$G$4,M$1,$A160,$A160)),_xll.BDH(config!$G$4,M$1,$A160,$A160),_xll.BDH(config!$G$5,M$1,$A160,$A160))))</f>
        <v>#N/A Requesting Data...</v>
      </c>
      <c r="N160" s="8" t="str">
        <f>IF($A160="","",IF(ISNUMBER(FIND("IMPVOL",N$1)),_xll.BDH(config!$G$4,N$1,WORKDAY($A160,-1,config_Holiday_Calendar_US),WORKDAY($A160,-1,config_Holiday_Calendar_US)),IF(ISNUMBER(_xll.BDH(config!$G$4,N$1,$A160,$A160)),_xll.BDH(config!$G$4,N$1,$A160,$A160),_xll.BDH(config!$G$5,N$1,$A160,$A160))))</f>
        <v>#N/A Requesting Data...</v>
      </c>
      <c r="O160" s="8" t="str">
        <f>IF($A160="","",IF(ISNUMBER(FIND("IMPVOL",O$1)),_xll.BDH(config!$G$4,O$1,WORKDAY($A160,-1,config_Holiday_Calendar_US),WORKDAY($A160,-1,config_Holiday_Calendar_US)),IF(ISNUMBER(_xll.BDH(config!$G$4,O$1,$A160,$A160)),_xll.BDH(config!$G$4,O$1,$A160,$A160),_xll.BDH(config!$G$5,O$1,$A160,$A160))))</f>
        <v>#N/A Requesting Data...</v>
      </c>
      <c r="P160" s="8" t="str">
        <f>IF($A160="","",IF(ISNUMBER(FIND("IMPVOL",P$1)),_xll.BDH(config!$G$4,P$1,WORKDAY($A160,-1,config_Holiday_Calendar_US),WORKDAY($A160,-1,config_Holiday_Calendar_US)),IF(ISNUMBER(_xll.BDH(config!$G$4,P$1,$A160,$A160)),_xll.BDH(config!$G$4,P$1,$A160,$A160),_xll.BDH(config!$G$5,P$1,$A160,$A160))))</f>
        <v>#N/A Requesting Data...</v>
      </c>
      <c r="Q160" s="8">
        <f>IF($A160="","",IF(ISNUMBER(FIND("IMPVOL",Q$1)),_xll.BDH(config!$G$4,Q$1,WORKDAY($A160,-1,config_Holiday_Calendar_US),WORKDAY($A160,-1,config_Holiday_Calendar_US)),IF(ISNUMBER(_xll.BDH(config!$G$4,Q$1,$A160,$A160)),_xll.BDH(config!$G$4,Q$1,$A160,$A160),_xll.BDH(config!$G$5,Q$1,$A160,$A160))))</f>
        <v>31.98</v>
      </c>
      <c r="R160" s="8">
        <f>IF($A160="","",IF(ISNUMBER(FIND("IMPVOL",R$1)),_xll.BDH(config!$G$4,R$1,WORKDAY($A160,-1,config_Holiday_Calendar_US),WORKDAY($A160,-1,config_Holiday_Calendar_US)),IF(ISNUMBER(_xll.BDH(config!$G$4,R$1,$A160,$A160)),_xll.BDH(config!$G$4,R$1,$A160,$A160),_xll.BDH(config!$G$5,R$1,$A160,$A160))))</f>
        <v>37.36</v>
      </c>
      <c r="S160" s="8" t="str">
        <f>IF($A160="","",IF(ISNUMBER(FIND("IMPVOL",S$1)),_xll.BDH(config!$G$4,S$1,WORKDAY($A160,-1,config_Holiday_Calendar_US),WORKDAY($A160,-1,config_Holiday_Calendar_US)),IF(ISNUMBER(_xll.BDH(config!$G$4,S$1,$A160,$A160)),_xll.BDH(config!$G$4,S$1,$A160,$A160),_xll.BDH(config!$G$5,S$1,$A160,$A160))))</f>
        <v>#N/A Requesting Data...</v>
      </c>
      <c r="T160" s="8" t="str">
        <f>IF($A160="","",IF(ISNUMBER(FIND("IMPVOL",T$1)),_xll.BDH(config!$G$4,T$1,WORKDAY($A160,-1,config_Holiday_Calendar_US),WORKDAY($A160,-1,config_Holiday_Calendar_US)),IF(ISNUMBER(_xll.BDH(config!$G$4,T$1,$A160,$A160)),_xll.BDH(config!$G$4,T$1,$A160,$A160),_xll.BDH(config!$G$5,T$1,$A160,$A160))))</f>
        <v>#N/A Requesting Data...</v>
      </c>
      <c r="U160" s="8" t="str">
        <f>IF($A160="","",IF(ISNUMBER(FIND("IMPVOL",U$1)),_xll.BDH(config!$G$4,U$1,WORKDAY($A160,-1,config_Holiday_Calendar_US),WORKDAY($A160,-1,config_Holiday_Calendar_US)),IF(ISNUMBER(_xll.BDH(config!$G$4,U$1,$A160,$A160)),_xll.BDH(config!$G$4,U$1,$A160,$A160),_xll.BDH(config!$G$5,U$1,$A160,$A160))))</f>
        <v>#N/A Requesting Data...</v>
      </c>
      <c r="V160" s="8" t="str">
        <f>IF($A160="","",IF(ISNUMBER(FIND("IMPVOL",V$1)),_xll.BDH(config!$G$4,V$1,WORKDAY($A160,-1,config_Holiday_Calendar_US),WORKDAY($A160,-1,config_Holiday_Calendar_US)),IF(ISNUMBER(_xll.BDH(config!$G$4,V$1,$A160,$A160)),_xll.BDH(config!$G$4,V$1,$A160,$A160),_xll.BDH(config!$G$5,V$1,$A160,$A160))))</f>
        <v>#N/A Requesting Data...</v>
      </c>
      <c r="W160" s="8" t="str">
        <f>IF($A160="","",IF(ISNUMBER(FIND("IMPVOL",W$1)),_xll.BDH(config!$G$4,W$1,WORKDAY($A160,-1,config_Holiday_Calendar_US),WORKDAY($A160,-1,config_Holiday_Calendar_US)),IF(ISNUMBER(_xll.BDH(config!$G$4,W$1,$A160,$A160)),_xll.BDH(config!$G$4,W$1,$A160,$A160),_xll.BDH(config!$G$5,W$1,$A160,$A160))))</f>
        <v>#N/A Requesting Data...</v>
      </c>
    </row>
    <row r="161" spans="1:23" x14ac:dyDescent="0.2">
      <c r="A161" s="9">
        <f>IF(A160="","",IF(WORKDAY(A160,-1,config_Holiday_Calendar_US)&lt;config!$I$10,"",WORKDAY(A160,-1,config_Holiday_Calendar_US)))</f>
        <v>42600</v>
      </c>
      <c r="B161" s="8" t="e">
        <f t="shared" si="2"/>
        <v>#VALUE!</v>
      </c>
      <c r="C161" s="8" t="str">
        <f>IF(A161="","",_xll.BDH(config!$H$4,C$1,$A161,$A161))</f>
        <v>#N/A Requesting Data...</v>
      </c>
      <c r="D161" s="8" t="str">
        <f>IF($A161="","",_xll.BDH(config!$H$4,D$1,$A161,$A161))</f>
        <v>#N/A Requesting Data...</v>
      </c>
      <c r="E161" s="8">
        <f>IF($A161="","",IF(ISNUMBER(FIND("IMPVOL",E$1)),_xll.BDH(config!$G$4,E$1,WORKDAY($A161,-1,config_Holiday_Calendar_US),WORKDAY($A161,-1,config_Holiday_Calendar_US)),IF(ISNUMBER(_xll.BDH(config!$G$4,E$1,$A161,$A161)),_xll.BDH(config!$G$4,E$1,$A161,$A161),_xll.BDH(config!$G$5,E$1,$A161,$A161))))</f>
        <v>46.9</v>
      </c>
      <c r="F161" s="8">
        <f>IF($A161="","",IF(ISNUMBER(FIND("IMPVOL",F$1)),_xll.BDH(config!$G$4,F$1,WORKDAY($A161,-1,config_Holiday_Calendar_US),WORKDAY($A161,-1,config_Holiday_Calendar_US)),IF(ISNUMBER(_xll.BDH(config!$G$4,F$1,$A161,$A161)),_xll.BDH(config!$G$4,F$1,$A161,$A161),_xll.BDH(config!$G$5,F$1,$A161,$A161))))</f>
        <v>48.38</v>
      </c>
      <c r="G161" s="8">
        <f>IF($A161="","",IF(ISNUMBER(FIND("IMPVOL",G$1)),_xll.BDH(config!$G$4,G$1,WORKDAY($A161,-1,config_Holiday_Calendar_US),WORKDAY($A161,-1,config_Holiday_Calendar_US)),IF(ISNUMBER(_xll.BDH(config!$G$4,G$1,$A161,$A161)),_xll.BDH(config!$G$4,G$1,$A161,$A161),_xll.BDH(config!$G$5,G$1,$A161,$A161))))</f>
        <v>47.28</v>
      </c>
      <c r="H161" s="8">
        <f>IF($A161="","",IF(ISNUMBER(FIND("IMPVOL",H$1)),_xll.BDH(config!$G$4,H$1,WORKDAY($A161,-1,config_Holiday_Calendar_US),WORKDAY($A161,-1,config_Holiday_Calendar_US)),IF(ISNUMBER(_xll.BDH(config!$G$4,H$1,$A161,$A161)),_xll.BDH(config!$G$4,H$1,$A161,$A161),_xll.BDH(config!$G$5,H$1,$A161,$A161))))</f>
        <v>474898</v>
      </c>
      <c r="I161" s="8" t="str">
        <f>IF($A161="","",IF(ISNUMBER(FIND("IMPVOL",I$1)),_xll.BDH(config!$G$4,I$1,WORKDAY($A161,-1,config_Holiday_Calendar_US),WORKDAY($A161,-1,config_Holiday_Calendar_US)),IF(ISNUMBER(_xll.BDH(config!$G$4,I$1,$A161,$A161)),_xll.BDH(config!$G$4,I$1,$A161,$A161),_xll.BDH(config!$G$5,I$1,$A161,$A161))))</f>
        <v>#N/A Requesting Data...</v>
      </c>
      <c r="J161" s="8" t="str">
        <f>IF($A161="","",IF(ISNUMBER(FIND("IMPVOL",J$1)),_xll.BDH(config!$G$4,J$1,WORKDAY($A161,-1,config_Holiday_Calendar_US),WORKDAY($A161,-1,config_Holiday_Calendar_US)),IF(ISNUMBER(_xll.BDH(config!$G$4,J$1,$A161,$A161)),_xll.BDH(config!$G$4,J$1,$A161,$A161),_xll.BDH(config!$G$5,J$1,$A161,$A161))))</f>
        <v>#N/A Requesting Data...</v>
      </c>
      <c r="K161" s="8" t="str">
        <f>IF($A161="","",IF(ISNUMBER(FIND("IMPVOL",K$1)),_xll.BDH(config!$G$4,K$1,WORKDAY($A161,-1,config_Holiday_Calendar_US),WORKDAY($A161,-1,config_Holiday_Calendar_US)),IF(ISNUMBER(_xll.BDH(config!$G$4,K$1,$A161,$A161)),_xll.BDH(config!$G$4,K$1,$A161,$A161),_xll.BDH(config!$G$5,K$1,$A161,$A161))))</f>
        <v>#N/A Requesting Data...</v>
      </c>
      <c r="L161" s="8" t="str">
        <f>IF($A161="","",IF(ISNUMBER(FIND("IMPVOL",L$1)),_xll.BDH(config!$G$4,L$1,WORKDAY($A161,-1,config_Holiday_Calendar_US),WORKDAY($A161,-1,config_Holiday_Calendar_US)),IF(ISNUMBER(_xll.BDH(config!$G$4,L$1,$A161,$A161)),_xll.BDH(config!$G$4,L$1,$A161,$A161),_xll.BDH(config!$G$5,L$1,$A161,$A161))))</f>
        <v>#N/A Requesting Data...</v>
      </c>
      <c r="M161" s="8" t="str">
        <f>IF($A161="","",IF(ISNUMBER(FIND("IMPVOL",M$1)),_xll.BDH(config!$G$4,M$1,WORKDAY($A161,-1,config_Holiday_Calendar_US),WORKDAY($A161,-1,config_Holiday_Calendar_US)),IF(ISNUMBER(_xll.BDH(config!$G$4,M$1,$A161,$A161)),_xll.BDH(config!$G$4,M$1,$A161,$A161),_xll.BDH(config!$G$5,M$1,$A161,$A161))))</f>
        <v>#N/A Requesting Data...</v>
      </c>
      <c r="N161" s="8" t="str">
        <f>IF($A161="","",IF(ISNUMBER(FIND("IMPVOL",N$1)),_xll.BDH(config!$G$4,N$1,WORKDAY($A161,-1,config_Holiday_Calendar_US),WORKDAY($A161,-1,config_Holiday_Calendar_US)),IF(ISNUMBER(_xll.BDH(config!$G$4,N$1,$A161,$A161)),_xll.BDH(config!$G$4,N$1,$A161,$A161),_xll.BDH(config!$G$5,N$1,$A161,$A161))))</f>
        <v>#N/A Requesting Data...</v>
      </c>
      <c r="O161" s="8" t="str">
        <f>IF($A161="","",IF(ISNUMBER(FIND("IMPVOL",O$1)),_xll.BDH(config!$G$4,O$1,WORKDAY($A161,-1,config_Holiday_Calendar_US),WORKDAY($A161,-1,config_Holiday_Calendar_US)),IF(ISNUMBER(_xll.BDH(config!$G$4,O$1,$A161,$A161)),_xll.BDH(config!$G$4,O$1,$A161,$A161),_xll.BDH(config!$G$5,O$1,$A161,$A161))))</f>
        <v>#N/A Requesting Data...</v>
      </c>
      <c r="P161" s="8" t="str">
        <f>IF($A161="","",IF(ISNUMBER(FIND("IMPVOL",P$1)),_xll.BDH(config!$G$4,P$1,WORKDAY($A161,-1,config_Holiday_Calendar_US),WORKDAY($A161,-1,config_Holiday_Calendar_US)),IF(ISNUMBER(_xll.BDH(config!$G$4,P$1,$A161,$A161)),_xll.BDH(config!$G$4,P$1,$A161,$A161),_xll.BDH(config!$G$5,P$1,$A161,$A161))))</f>
        <v>#N/A Requesting Data...</v>
      </c>
      <c r="Q161" s="8">
        <f>IF($A161="","",IF(ISNUMBER(FIND("IMPVOL",Q$1)),_xll.BDH(config!$G$4,Q$1,WORKDAY($A161,-1,config_Holiday_Calendar_US),WORKDAY($A161,-1,config_Holiday_Calendar_US)),IF(ISNUMBER(_xll.BDH(config!$G$4,Q$1,$A161,$A161)),_xll.BDH(config!$G$4,Q$1,$A161,$A161),_xll.BDH(config!$G$5,Q$1,$A161,$A161))))</f>
        <v>32.43</v>
      </c>
      <c r="R161" s="8">
        <f>IF($A161="","",IF(ISNUMBER(FIND("IMPVOL",R$1)),_xll.BDH(config!$G$4,R$1,WORKDAY($A161,-1,config_Holiday_Calendar_US),WORKDAY($A161,-1,config_Holiday_Calendar_US)),IF(ISNUMBER(_xll.BDH(config!$G$4,R$1,$A161,$A161)),_xll.BDH(config!$G$4,R$1,$A161,$A161),_xll.BDH(config!$G$5,R$1,$A161,$A161))))</f>
        <v>37.65</v>
      </c>
      <c r="S161" s="8" t="str">
        <f>IF($A161="","",IF(ISNUMBER(FIND("IMPVOL",S$1)),_xll.BDH(config!$G$4,S$1,WORKDAY($A161,-1,config_Holiday_Calendar_US),WORKDAY($A161,-1,config_Holiday_Calendar_US)),IF(ISNUMBER(_xll.BDH(config!$G$4,S$1,$A161,$A161)),_xll.BDH(config!$G$4,S$1,$A161,$A161),_xll.BDH(config!$G$5,S$1,$A161,$A161))))</f>
        <v>#N/A Requesting Data...</v>
      </c>
      <c r="T161" s="8" t="str">
        <f>IF($A161="","",IF(ISNUMBER(FIND("IMPVOL",T$1)),_xll.BDH(config!$G$4,T$1,WORKDAY($A161,-1,config_Holiday_Calendar_US),WORKDAY($A161,-1,config_Holiday_Calendar_US)),IF(ISNUMBER(_xll.BDH(config!$G$4,T$1,$A161,$A161)),_xll.BDH(config!$G$4,T$1,$A161,$A161),_xll.BDH(config!$G$5,T$1,$A161,$A161))))</f>
        <v>#N/A Requesting Data...</v>
      </c>
      <c r="U161" s="8" t="str">
        <f>IF($A161="","",IF(ISNUMBER(FIND("IMPVOL",U$1)),_xll.BDH(config!$G$4,U$1,WORKDAY($A161,-1,config_Holiday_Calendar_US),WORKDAY($A161,-1,config_Holiday_Calendar_US)),IF(ISNUMBER(_xll.BDH(config!$G$4,U$1,$A161,$A161)),_xll.BDH(config!$G$4,U$1,$A161,$A161),_xll.BDH(config!$G$5,U$1,$A161,$A161))))</f>
        <v>#N/A Requesting Data...</v>
      </c>
      <c r="V161" s="8" t="str">
        <f>IF($A161="","",IF(ISNUMBER(FIND("IMPVOL",V$1)),_xll.BDH(config!$G$4,V$1,WORKDAY($A161,-1,config_Holiday_Calendar_US),WORKDAY($A161,-1,config_Holiday_Calendar_US)),IF(ISNUMBER(_xll.BDH(config!$G$4,V$1,$A161,$A161)),_xll.BDH(config!$G$4,V$1,$A161,$A161),_xll.BDH(config!$G$5,V$1,$A161,$A161))))</f>
        <v>#N/A Requesting Data...</v>
      </c>
      <c r="W161" s="8" t="str">
        <f>IF($A161="","",IF(ISNUMBER(FIND("IMPVOL",W$1)),_xll.BDH(config!$G$4,W$1,WORKDAY($A161,-1,config_Holiday_Calendar_US),WORKDAY($A161,-1,config_Holiday_Calendar_US)),IF(ISNUMBER(_xll.BDH(config!$G$4,W$1,$A161,$A161)),_xll.BDH(config!$G$4,W$1,$A161,$A161),_xll.BDH(config!$G$5,W$1,$A161,$A161))))</f>
        <v>#N/A Requesting Data...</v>
      </c>
    </row>
    <row r="162" spans="1:23" x14ac:dyDescent="0.2">
      <c r="A162" s="9">
        <f>IF(A161="","",IF(WORKDAY(A161,-1,config_Holiday_Calendar_US)&lt;config!$I$10,"",WORKDAY(A161,-1,config_Holiday_Calendar_US)))</f>
        <v>42599</v>
      </c>
      <c r="B162" s="8" t="e">
        <f t="shared" si="2"/>
        <v>#VALUE!</v>
      </c>
      <c r="C162" s="8" t="str">
        <f>IF(A162="","",_xll.BDH(config!$H$4,C$1,$A162,$A162))</f>
        <v>#N/A Requesting Data...</v>
      </c>
      <c r="D162" s="8" t="str">
        <f>IF($A162="","",_xll.BDH(config!$H$4,D$1,$A162,$A162))</f>
        <v>#N/A Requesting Data...</v>
      </c>
      <c r="E162" s="8">
        <f>IF($A162="","",IF(ISNUMBER(FIND("IMPVOL",E$1)),_xll.BDH(config!$G$4,E$1,WORKDAY($A162,-1,config_Holiday_Calendar_US),WORKDAY($A162,-1,config_Holiday_Calendar_US)),IF(ISNUMBER(_xll.BDH(config!$G$4,E$1,$A162,$A162)),_xll.BDH(config!$G$4,E$1,$A162,$A162),_xll.BDH(config!$G$5,E$1,$A162,$A162))))</f>
        <v>46.37</v>
      </c>
      <c r="F162" s="8">
        <f>IF($A162="","",IF(ISNUMBER(FIND("IMPVOL",F$1)),_xll.BDH(config!$G$4,F$1,WORKDAY($A162,-1,config_Holiday_Calendar_US),WORKDAY($A162,-1,config_Holiday_Calendar_US)),IF(ISNUMBER(_xll.BDH(config!$G$4,F$1,$A162,$A162)),_xll.BDH(config!$G$4,F$1,$A162,$A162),_xll.BDH(config!$G$5,F$1,$A162,$A162))))</f>
        <v>46.95</v>
      </c>
      <c r="G162" s="8">
        <f>IF($A162="","",IF(ISNUMBER(FIND("IMPVOL",G$1)),_xll.BDH(config!$G$4,G$1,WORKDAY($A162,-1,config_Holiday_Calendar_US),WORKDAY($A162,-1,config_Holiday_Calendar_US)),IF(ISNUMBER(_xll.BDH(config!$G$4,G$1,$A162,$A162)),_xll.BDH(config!$G$4,G$1,$A162,$A162),_xll.BDH(config!$G$5,G$1,$A162,$A162))))</f>
        <v>46.5</v>
      </c>
      <c r="H162" s="8">
        <f>IF($A162="","",IF(ISNUMBER(FIND("IMPVOL",H$1)),_xll.BDH(config!$G$4,H$1,WORKDAY($A162,-1,config_Holiday_Calendar_US),WORKDAY($A162,-1,config_Holiday_Calendar_US)),IF(ISNUMBER(_xll.BDH(config!$G$4,H$1,$A162,$A162)),_xll.BDH(config!$G$4,H$1,$A162,$A162),_xll.BDH(config!$G$5,H$1,$A162,$A162))))</f>
        <v>397540</v>
      </c>
      <c r="I162" s="8" t="str">
        <f>IF($A162="","",IF(ISNUMBER(FIND("IMPVOL",I$1)),_xll.BDH(config!$G$4,I$1,WORKDAY($A162,-1,config_Holiday_Calendar_US),WORKDAY($A162,-1,config_Holiday_Calendar_US)),IF(ISNUMBER(_xll.BDH(config!$G$4,I$1,$A162,$A162)),_xll.BDH(config!$G$4,I$1,$A162,$A162),_xll.BDH(config!$G$5,I$1,$A162,$A162))))</f>
        <v>#N/A Requesting Data...</v>
      </c>
      <c r="J162" s="8" t="str">
        <f>IF($A162="","",IF(ISNUMBER(FIND("IMPVOL",J$1)),_xll.BDH(config!$G$4,J$1,WORKDAY($A162,-1,config_Holiday_Calendar_US),WORKDAY($A162,-1,config_Holiday_Calendar_US)),IF(ISNUMBER(_xll.BDH(config!$G$4,J$1,$A162,$A162)),_xll.BDH(config!$G$4,J$1,$A162,$A162),_xll.BDH(config!$G$5,J$1,$A162,$A162))))</f>
        <v>#N/A Requesting Data...</v>
      </c>
      <c r="K162" s="8" t="str">
        <f>IF($A162="","",IF(ISNUMBER(FIND("IMPVOL",K$1)),_xll.BDH(config!$G$4,K$1,WORKDAY($A162,-1,config_Holiday_Calendar_US),WORKDAY($A162,-1,config_Holiday_Calendar_US)),IF(ISNUMBER(_xll.BDH(config!$G$4,K$1,$A162,$A162)),_xll.BDH(config!$G$4,K$1,$A162,$A162),_xll.BDH(config!$G$5,K$1,$A162,$A162))))</f>
        <v>#N/A Requesting Data...</v>
      </c>
      <c r="L162" s="8" t="str">
        <f>IF($A162="","",IF(ISNUMBER(FIND("IMPVOL",L$1)),_xll.BDH(config!$G$4,L$1,WORKDAY($A162,-1,config_Holiday_Calendar_US),WORKDAY($A162,-1,config_Holiday_Calendar_US)),IF(ISNUMBER(_xll.BDH(config!$G$4,L$1,$A162,$A162)),_xll.BDH(config!$G$4,L$1,$A162,$A162),_xll.BDH(config!$G$5,L$1,$A162,$A162))))</f>
        <v>#N/A Requesting Data...</v>
      </c>
      <c r="M162" s="8" t="str">
        <f>IF($A162="","",IF(ISNUMBER(FIND("IMPVOL",M$1)),_xll.BDH(config!$G$4,M$1,WORKDAY($A162,-1,config_Holiday_Calendar_US),WORKDAY($A162,-1,config_Holiday_Calendar_US)),IF(ISNUMBER(_xll.BDH(config!$G$4,M$1,$A162,$A162)),_xll.BDH(config!$G$4,M$1,$A162,$A162),_xll.BDH(config!$G$5,M$1,$A162,$A162))))</f>
        <v>#N/A Requesting Data...</v>
      </c>
      <c r="N162" s="8" t="str">
        <f>IF($A162="","",IF(ISNUMBER(FIND("IMPVOL",N$1)),_xll.BDH(config!$G$4,N$1,WORKDAY($A162,-1,config_Holiday_Calendar_US),WORKDAY($A162,-1,config_Holiday_Calendar_US)),IF(ISNUMBER(_xll.BDH(config!$G$4,N$1,$A162,$A162)),_xll.BDH(config!$G$4,N$1,$A162,$A162),_xll.BDH(config!$G$5,N$1,$A162,$A162))))</f>
        <v>#N/A Requesting Data...</v>
      </c>
      <c r="O162" s="8" t="str">
        <f>IF($A162="","",IF(ISNUMBER(FIND("IMPVOL",O$1)),_xll.BDH(config!$G$4,O$1,WORKDAY($A162,-1,config_Holiday_Calendar_US),WORKDAY($A162,-1,config_Holiday_Calendar_US)),IF(ISNUMBER(_xll.BDH(config!$G$4,O$1,$A162,$A162)),_xll.BDH(config!$G$4,O$1,$A162,$A162),_xll.BDH(config!$G$5,O$1,$A162,$A162))))</f>
        <v>#N/A Requesting Data...</v>
      </c>
      <c r="P162" s="8" t="str">
        <f>IF($A162="","",IF(ISNUMBER(FIND("IMPVOL",P$1)),_xll.BDH(config!$G$4,P$1,WORKDAY($A162,-1,config_Holiday_Calendar_US),WORKDAY($A162,-1,config_Holiday_Calendar_US)),IF(ISNUMBER(_xll.BDH(config!$G$4,P$1,$A162,$A162)),_xll.BDH(config!$G$4,P$1,$A162,$A162),_xll.BDH(config!$G$5,P$1,$A162,$A162))))</f>
        <v>#N/A Requesting Data...</v>
      </c>
      <c r="Q162" s="8">
        <f>IF($A162="","",IF(ISNUMBER(FIND("IMPVOL",Q$1)),_xll.BDH(config!$G$4,Q$1,WORKDAY($A162,-1,config_Holiday_Calendar_US),WORKDAY($A162,-1,config_Holiday_Calendar_US)),IF(ISNUMBER(_xll.BDH(config!$G$4,Q$1,$A162,$A162)),_xll.BDH(config!$G$4,Q$1,$A162,$A162),_xll.BDH(config!$G$5,Q$1,$A162,$A162))))</f>
        <v>32.700000000000003</v>
      </c>
      <c r="R162" s="8">
        <f>IF($A162="","",IF(ISNUMBER(FIND("IMPVOL",R$1)),_xll.BDH(config!$G$4,R$1,WORKDAY($A162,-1,config_Holiday_Calendar_US),WORKDAY($A162,-1,config_Holiday_Calendar_US)),IF(ISNUMBER(_xll.BDH(config!$G$4,R$1,$A162,$A162)),_xll.BDH(config!$G$4,R$1,$A162,$A162),_xll.BDH(config!$G$5,R$1,$A162,$A162))))</f>
        <v>36.78</v>
      </c>
      <c r="S162" s="8" t="str">
        <f>IF($A162="","",IF(ISNUMBER(FIND("IMPVOL",S$1)),_xll.BDH(config!$G$4,S$1,WORKDAY($A162,-1,config_Holiday_Calendar_US),WORKDAY($A162,-1,config_Holiday_Calendar_US)),IF(ISNUMBER(_xll.BDH(config!$G$4,S$1,$A162,$A162)),_xll.BDH(config!$G$4,S$1,$A162,$A162),_xll.BDH(config!$G$5,S$1,$A162,$A162))))</f>
        <v>#N/A Requesting Data...</v>
      </c>
      <c r="T162" s="8" t="str">
        <f>IF($A162="","",IF(ISNUMBER(FIND("IMPVOL",T$1)),_xll.BDH(config!$G$4,T$1,WORKDAY($A162,-1,config_Holiday_Calendar_US),WORKDAY($A162,-1,config_Holiday_Calendar_US)),IF(ISNUMBER(_xll.BDH(config!$G$4,T$1,$A162,$A162)),_xll.BDH(config!$G$4,T$1,$A162,$A162),_xll.BDH(config!$G$5,T$1,$A162,$A162))))</f>
        <v>#N/A Requesting Data...</v>
      </c>
      <c r="U162" s="8" t="str">
        <f>IF($A162="","",IF(ISNUMBER(FIND("IMPVOL",U$1)),_xll.BDH(config!$G$4,U$1,WORKDAY($A162,-1,config_Holiday_Calendar_US),WORKDAY($A162,-1,config_Holiday_Calendar_US)),IF(ISNUMBER(_xll.BDH(config!$G$4,U$1,$A162,$A162)),_xll.BDH(config!$G$4,U$1,$A162,$A162),_xll.BDH(config!$G$5,U$1,$A162,$A162))))</f>
        <v>#N/A Requesting Data...</v>
      </c>
      <c r="V162" s="8" t="str">
        <f>IF($A162="","",IF(ISNUMBER(FIND("IMPVOL",V$1)),_xll.BDH(config!$G$4,V$1,WORKDAY($A162,-1,config_Holiday_Calendar_US),WORKDAY($A162,-1,config_Holiday_Calendar_US)),IF(ISNUMBER(_xll.BDH(config!$G$4,V$1,$A162,$A162)),_xll.BDH(config!$G$4,V$1,$A162,$A162),_xll.BDH(config!$G$5,V$1,$A162,$A162))))</f>
        <v>#N/A Requesting Data...</v>
      </c>
      <c r="W162" s="8" t="str">
        <f>IF($A162="","",IF(ISNUMBER(FIND("IMPVOL",W$1)),_xll.BDH(config!$G$4,W$1,WORKDAY($A162,-1,config_Holiday_Calendar_US),WORKDAY($A162,-1,config_Holiday_Calendar_US)),IF(ISNUMBER(_xll.BDH(config!$G$4,W$1,$A162,$A162)),_xll.BDH(config!$G$4,W$1,$A162,$A162),_xll.BDH(config!$G$5,W$1,$A162,$A162))))</f>
        <v>#N/A Requesting Data...</v>
      </c>
    </row>
    <row r="163" spans="1:23" x14ac:dyDescent="0.2">
      <c r="A163" s="9">
        <f>IF(A162="","",IF(WORKDAY(A162,-1,config_Holiday_Calendar_US)&lt;config!$I$10,"",WORKDAY(A162,-1,config_Holiday_Calendar_US)))</f>
        <v>42598</v>
      </c>
      <c r="B163" s="8" t="e">
        <f t="shared" si="2"/>
        <v>#VALUE!</v>
      </c>
      <c r="C163" s="8" t="str">
        <f>IF(A163="","",_xll.BDH(config!$H$4,C$1,$A163,$A163))</f>
        <v>#N/A Requesting Data...</v>
      </c>
      <c r="D163" s="8" t="str">
        <f>IF($A163="","",_xll.BDH(config!$H$4,D$1,$A163,$A163))</f>
        <v>#N/A Requesting Data...</v>
      </c>
      <c r="E163" s="8">
        <f>IF($A163="","",IF(ISNUMBER(FIND("IMPVOL",E$1)),_xll.BDH(config!$G$4,E$1,WORKDAY($A163,-1,config_Holiday_Calendar_US),WORKDAY($A163,-1,config_Holiday_Calendar_US)),IF(ISNUMBER(_xll.BDH(config!$G$4,E$1,$A163,$A163)),_xll.BDH(config!$G$4,E$1,$A163,$A163),_xll.BDH(config!$G$5,E$1,$A163,$A163))))</f>
        <v>45.59</v>
      </c>
      <c r="F163" s="8">
        <f>IF($A163="","",IF(ISNUMBER(FIND("IMPVOL",F$1)),_xll.BDH(config!$G$4,F$1,WORKDAY($A163,-1,config_Holiday_Calendar_US),WORKDAY($A163,-1,config_Holiday_Calendar_US)),IF(ISNUMBER(_xll.BDH(config!$G$4,F$1,$A163,$A163)),_xll.BDH(config!$G$4,F$1,$A163,$A163),_xll.BDH(config!$G$5,F$1,$A163,$A163))))</f>
        <v>46.73</v>
      </c>
      <c r="G163" s="8">
        <f>IF($A163="","",IF(ISNUMBER(FIND("IMPVOL",G$1)),_xll.BDH(config!$G$4,G$1,WORKDAY($A163,-1,config_Holiday_Calendar_US),WORKDAY($A163,-1,config_Holiday_Calendar_US)),IF(ISNUMBER(_xll.BDH(config!$G$4,G$1,$A163,$A163)),_xll.BDH(config!$G$4,G$1,$A163,$A163),_xll.BDH(config!$G$5,G$1,$A163,$A163))))</f>
        <v>46</v>
      </c>
      <c r="H163" s="8">
        <f>IF($A163="","",IF(ISNUMBER(FIND("IMPVOL",H$1)),_xll.BDH(config!$G$4,H$1,WORKDAY($A163,-1,config_Holiday_Calendar_US),WORKDAY($A163,-1,config_Holiday_Calendar_US)),IF(ISNUMBER(_xll.BDH(config!$G$4,H$1,$A163,$A163)),_xll.BDH(config!$G$4,H$1,$A163,$A163),_xll.BDH(config!$G$5,H$1,$A163,$A163))))</f>
        <v>272462</v>
      </c>
      <c r="I163" s="8" t="str">
        <f>IF($A163="","",IF(ISNUMBER(FIND("IMPVOL",I$1)),_xll.BDH(config!$G$4,I$1,WORKDAY($A163,-1,config_Holiday_Calendar_US),WORKDAY($A163,-1,config_Holiday_Calendar_US)),IF(ISNUMBER(_xll.BDH(config!$G$4,I$1,$A163,$A163)),_xll.BDH(config!$G$4,I$1,$A163,$A163),_xll.BDH(config!$G$5,I$1,$A163,$A163))))</f>
        <v>#N/A Requesting Data...</v>
      </c>
      <c r="J163" s="8" t="str">
        <f>IF($A163="","",IF(ISNUMBER(FIND("IMPVOL",J$1)),_xll.BDH(config!$G$4,J$1,WORKDAY($A163,-1,config_Holiday_Calendar_US),WORKDAY($A163,-1,config_Holiday_Calendar_US)),IF(ISNUMBER(_xll.BDH(config!$G$4,J$1,$A163,$A163)),_xll.BDH(config!$G$4,J$1,$A163,$A163),_xll.BDH(config!$G$5,J$1,$A163,$A163))))</f>
        <v>#N/A Requesting Data...</v>
      </c>
      <c r="K163" s="8" t="str">
        <f>IF($A163="","",IF(ISNUMBER(FIND("IMPVOL",K$1)),_xll.BDH(config!$G$4,K$1,WORKDAY($A163,-1,config_Holiday_Calendar_US),WORKDAY($A163,-1,config_Holiday_Calendar_US)),IF(ISNUMBER(_xll.BDH(config!$G$4,K$1,$A163,$A163)),_xll.BDH(config!$G$4,K$1,$A163,$A163),_xll.BDH(config!$G$5,K$1,$A163,$A163))))</f>
        <v>#N/A Requesting Data...</v>
      </c>
      <c r="L163" s="8" t="str">
        <f>IF($A163="","",IF(ISNUMBER(FIND("IMPVOL",L$1)),_xll.BDH(config!$G$4,L$1,WORKDAY($A163,-1,config_Holiday_Calendar_US),WORKDAY($A163,-1,config_Holiday_Calendar_US)),IF(ISNUMBER(_xll.BDH(config!$G$4,L$1,$A163,$A163)),_xll.BDH(config!$G$4,L$1,$A163,$A163),_xll.BDH(config!$G$5,L$1,$A163,$A163))))</f>
        <v>#N/A Requesting Data...</v>
      </c>
      <c r="M163" s="8" t="str">
        <f>IF($A163="","",IF(ISNUMBER(FIND("IMPVOL",M$1)),_xll.BDH(config!$G$4,M$1,WORKDAY($A163,-1,config_Holiday_Calendar_US),WORKDAY($A163,-1,config_Holiday_Calendar_US)),IF(ISNUMBER(_xll.BDH(config!$G$4,M$1,$A163,$A163)),_xll.BDH(config!$G$4,M$1,$A163,$A163),_xll.BDH(config!$G$5,M$1,$A163,$A163))))</f>
        <v>#N/A Requesting Data...</v>
      </c>
      <c r="N163" s="8" t="str">
        <f>IF($A163="","",IF(ISNUMBER(FIND("IMPVOL",N$1)),_xll.BDH(config!$G$4,N$1,WORKDAY($A163,-1,config_Holiday_Calendar_US),WORKDAY($A163,-1,config_Holiday_Calendar_US)),IF(ISNUMBER(_xll.BDH(config!$G$4,N$1,$A163,$A163)),_xll.BDH(config!$G$4,N$1,$A163,$A163),_xll.BDH(config!$G$5,N$1,$A163,$A163))))</f>
        <v>#N/A Requesting Data...</v>
      </c>
      <c r="O163" s="8" t="str">
        <f>IF($A163="","",IF(ISNUMBER(FIND("IMPVOL",O$1)),_xll.BDH(config!$G$4,O$1,WORKDAY($A163,-1,config_Holiday_Calendar_US),WORKDAY($A163,-1,config_Holiday_Calendar_US)),IF(ISNUMBER(_xll.BDH(config!$G$4,O$1,$A163,$A163)),_xll.BDH(config!$G$4,O$1,$A163,$A163),_xll.BDH(config!$G$5,O$1,$A163,$A163))))</f>
        <v>#N/A Requesting Data...</v>
      </c>
      <c r="P163" s="8" t="str">
        <f>IF($A163="","",IF(ISNUMBER(FIND("IMPVOL",P$1)),_xll.BDH(config!$G$4,P$1,WORKDAY($A163,-1,config_Holiday_Calendar_US),WORKDAY($A163,-1,config_Holiday_Calendar_US)),IF(ISNUMBER(_xll.BDH(config!$G$4,P$1,$A163,$A163)),_xll.BDH(config!$G$4,P$1,$A163,$A163),_xll.BDH(config!$G$5,P$1,$A163,$A163))))</f>
        <v>#N/A Requesting Data...</v>
      </c>
      <c r="Q163" s="8">
        <f>IF($A163="","",IF(ISNUMBER(FIND("IMPVOL",Q$1)),_xll.BDH(config!$G$4,Q$1,WORKDAY($A163,-1,config_Holiday_Calendar_US),WORKDAY($A163,-1,config_Holiday_Calendar_US)),IF(ISNUMBER(_xll.BDH(config!$G$4,Q$1,$A163,$A163)),_xll.BDH(config!$G$4,Q$1,$A163,$A163),_xll.BDH(config!$G$5,Q$1,$A163,$A163))))</f>
        <v>33.35</v>
      </c>
      <c r="R163" s="8">
        <f>IF($A163="","",IF(ISNUMBER(FIND("IMPVOL",R$1)),_xll.BDH(config!$G$4,R$1,WORKDAY($A163,-1,config_Holiday_Calendar_US),WORKDAY($A163,-1,config_Holiday_Calendar_US)),IF(ISNUMBER(_xll.BDH(config!$G$4,R$1,$A163,$A163)),_xll.BDH(config!$G$4,R$1,$A163,$A163),_xll.BDH(config!$G$5,R$1,$A163,$A163))))</f>
        <v>39.68</v>
      </c>
      <c r="S163" s="8" t="str">
        <f>IF($A163="","",IF(ISNUMBER(FIND("IMPVOL",S$1)),_xll.BDH(config!$G$4,S$1,WORKDAY($A163,-1,config_Holiday_Calendar_US),WORKDAY($A163,-1,config_Holiday_Calendar_US)),IF(ISNUMBER(_xll.BDH(config!$G$4,S$1,$A163,$A163)),_xll.BDH(config!$G$4,S$1,$A163,$A163),_xll.BDH(config!$G$5,S$1,$A163,$A163))))</f>
        <v>#N/A Requesting Data...</v>
      </c>
      <c r="T163" s="8" t="str">
        <f>IF($A163="","",IF(ISNUMBER(FIND("IMPVOL",T$1)),_xll.BDH(config!$G$4,T$1,WORKDAY($A163,-1,config_Holiday_Calendar_US),WORKDAY($A163,-1,config_Holiday_Calendar_US)),IF(ISNUMBER(_xll.BDH(config!$G$4,T$1,$A163,$A163)),_xll.BDH(config!$G$4,T$1,$A163,$A163),_xll.BDH(config!$G$5,T$1,$A163,$A163))))</f>
        <v>#N/A Requesting Data...</v>
      </c>
      <c r="U163" s="8" t="str">
        <f>IF($A163="","",IF(ISNUMBER(FIND("IMPVOL",U$1)),_xll.BDH(config!$G$4,U$1,WORKDAY($A163,-1,config_Holiday_Calendar_US),WORKDAY($A163,-1,config_Holiday_Calendar_US)),IF(ISNUMBER(_xll.BDH(config!$G$4,U$1,$A163,$A163)),_xll.BDH(config!$G$4,U$1,$A163,$A163),_xll.BDH(config!$G$5,U$1,$A163,$A163))))</f>
        <v>#N/A Requesting Data...</v>
      </c>
      <c r="V163" s="8" t="str">
        <f>IF($A163="","",IF(ISNUMBER(FIND("IMPVOL",V$1)),_xll.BDH(config!$G$4,V$1,WORKDAY($A163,-1,config_Holiday_Calendar_US),WORKDAY($A163,-1,config_Holiday_Calendar_US)),IF(ISNUMBER(_xll.BDH(config!$G$4,V$1,$A163,$A163)),_xll.BDH(config!$G$4,V$1,$A163,$A163),_xll.BDH(config!$G$5,V$1,$A163,$A163))))</f>
        <v>#N/A Requesting Data...</v>
      </c>
      <c r="W163" s="8" t="str">
        <f>IF($A163="","",IF(ISNUMBER(FIND("IMPVOL",W$1)),_xll.BDH(config!$G$4,W$1,WORKDAY($A163,-1,config_Holiday_Calendar_US),WORKDAY($A163,-1,config_Holiday_Calendar_US)),IF(ISNUMBER(_xll.BDH(config!$G$4,W$1,$A163,$A163)),_xll.BDH(config!$G$4,W$1,$A163,$A163),_xll.BDH(config!$G$5,W$1,$A163,$A163))))</f>
        <v>#N/A Requesting Data...</v>
      </c>
    </row>
    <row r="164" spans="1:23" x14ac:dyDescent="0.2">
      <c r="A164" s="9">
        <f>IF(A163="","",IF(WORKDAY(A163,-1,config_Holiday_Calendar_US)&lt;config!$I$10,"",WORKDAY(A163,-1,config_Holiday_Calendar_US)))</f>
        <v>42597</v>
      </c>
      <c r="B164" s="8" t="e">
        <f t="shared" si="2"/>
        <v>#VALUE!</v>
      </c>
      <c r="C164" s="8" t="str">
        <f>IF(A164="","",_xll.BDH(config!$H$4,C$1,$A164,$A164))</f>
        <v>#N/A Requesting Data...</v>
      </c>
      <c r="D164" s="8" t="str">
        <f>IF($A164="","",_xll.BDH(config!$H$4,D$1,$A164,$A164))</f>
        <v>#N/A Requesting Data...</v>
      </c>
      <c r="E164" s="8">
        <f>IF($A164="","",IF(ISNUMBER(FIND("IMPVOL",E$1)),_xll.BDH(config!$G$4,E$1,WORKDAY($A164,-1,config_Holiday_Calendar_US),WORKDAY($A164,-1,config_Holiday_Calendar_US)),IF(ISNUMBER(_xll.BDH(config!$G$4,E$1,$A164,$A164)),_xll.BDH(config!$G$4,E$1,$A164,$A164),_xll.BDH(config!$G$5,E$1,$A164,$A164))))</f>
        <v>44.74</v>
      </c>
      <c r="F164" s="8">
        <f>IF($A164="","",IF(ISNUMBER(FIND("IMPVOL",F$1)),_xll.BDH(config!$G$4,F$1,WORKDAY($A164,-1,config_Holiday_Calendar_US),WORKDAY($A164,-1,config_Holiday_Calendar_US)),IF(ISNUMBER(_xll.BDH(config!$G$4,F$1,$A164,$A164)),_xll.BDH(config!$G$4,F$1,$A164,$A164),_xll.BDH(config!$G$5,F$1,$A164,$A164))))</f>
        <v>45.93</v>
      </c>
      <c r="G164" s="8">
        <f>IF($A164="","",IF(ISNUMBER(FIND("IMPVOL",G$1)),_xll.BDH(config!$G$4,G$1,WORKDAY($A164,-1,config_Holiday_Calendar_US),WORKDAY($A164,-1,config_Holiday_Calendar_US)),IF(ISNUMBER(_xll.BDH(config!$G$4,G$1,$A164,$A164)),_xll.BDH(config!$G$4,G$1,$A164,$A164),_xll.BDH(config!$G$5,G$1,$A164,$A164))))</f>
        <v>45.06</v>
      </c>
      <c r="H164" s="8">
        <f>IF($A164="","",IF(ISNUMBER(FIND("IMPVOL",H$1)),_xll.BDH(config!$G$4,H$1,WORKDAY($A164,-1,config_Holiday_Calendar_US),WORKDAY($A164,-1,config_Holiday_Calendar_US)),IF(ISNUMBER(_xll.BDH(config!$G$4,H$1,$A164,$A164)),_xll.BDH(config!$G$4,H$1,$A164,$A164),_xll.BDH(config!$G$5,H$1,$A164,$A164))))</f>
        <v>242999</v>
      </c>
      <c r="I164" s="8" t="str">
        <f>IF($A164="","",IF(ISNUMBER(FIND("IMPVOL",I$1)),_xll.BDH(config!$G$4,I$1,WORKDAY($A164,-1,config_Holiday_Calendar_US),WORKDAY($A164,-1,config_Holiday_Calendar_US)),IF(ISNUMBER(_xll.BDH(config!$G$4,I$1,$A164,$A164)),_xll.BDH(config!$G$4,I$1,$A164,$A164),_xll.BDH(config!$G$5,I$1,$A164,$A164))))</f>
        <v>#N/A Requesting Data...</v>
      </c>
      <c r="J164" s="8" t="str">
        <f>IF($A164="","",IF(ISNUMBER(FIND("IMPVOL",J$1)),_xll.BDH(config!$G$4,J$1,WORKDAY($A164,-1,config_Holiday_Calendar_US),WORKDAY($A164,-1,config_Holiday_Calendar_US)),IF(ISNUMBER(_xll.BDH(config!$G$4,J$1,$A164,$A164)),_xll.BDH(config!$G$4,J$1,$A164,$A164),_xll.BDH(config!$G$5,J$1,$A164,$A164))))</f>
        <v>#N/A Requesting Data...</v>
      </c>
      <c r="K164" s="8" t="str">
        <f>IF($A164="","",IF(ISNUMBER(FIND("IMPVOL",K$1)),_xll.BDH(config!$G$4,K$1,WORKDAY($A164,-1,config_Holiday_Calendar_US),WORKDAY($A164,-1,config_Holiday_Calendar_US)),IF(ISNUMBER(_xll.BDH(config!$G$4,K$1,$A164,$A164)),_xll.BDH(config!$G$4,K$1,$A164,$A164),_xll.BDH(config!$G$5,K$1,$A164,$A164))))</f>
        <v>#N/A Requesting Data...</v>
      </c>
      <c r="L164" s="8" t="str">
        <f>IF($A164="","",IF(ISNUMBER(FIND("IMPVOL",L$1)),_xll.BDH(config!$G$4,L$1,WORKDAY($A164,-1,config_Holiday_Calendar_US),WORKDAY($A164,-1,config_Holiday_Calendar_US)),IF(ISNUMBER(_xll.BDH(config!$G$4,L$1,$A164,$A164)),_xll.BDH(config!$G$4,L$1,$A164,$A164),_xll.BDH(config!$G$5,L$1,$A164,$A164))))</f>
        <v>#N/A Requesting Data...</v>
      </c>
      <c r="M164" s="8" t="str">
        <f>IF($A164="","",IF(ISNUMBER(FIND("IMPVOL",M$1)),_xll.BDH(config!$G$4,M$1,WORKDAY($A164,-1,config_Holiday_Calendar_US),WORKDAY($A164,-1,config_Holiday_Calendar_US)),IF(ISNUMBER(_xll.BDH(config!$G$4,M$1,$A164,$A164)),_xll.BDH(config!$G$4,M$1,$A164,$A164),_xll.BDH(config!$G$5,M$1,$A164,$A164))))</f>
        <v>#N/A Requesting Data...</v>
      </c>
      <c r="N164" s="8" t="str">
        <f>IF($A164="","",IF(ISNUMBER(FIND("IMPVOL",N$1)),_xll.BDH(config!$G$4,N$1,WORKDAY($A164,-1,config_Holiday_Calendar_US),WORKDAY($A164,-1,config_Holiday_Calendar_US)),IF(ISNUMBER(_xll.BDH(config!$G$4,N$1,$A164,$A164)),_xll.BDH(config!$G$4,N$1,$A164,$A164),_xll.BDH(config!$G$5,N$1,$A164,$A164))))</f>
        <v>#N/A Requesting Data...</v>
      </c>
      <c r="O164" s="8" t="str">
        <f>IF($A164="","",IF(ISNUMBER(FIND("IMPVOL",O$1)),_xll.BDH(config!$G$4,O$1,WORKDAY($A164,-1,config_Holiday_Calendar_US),WORKDAY($A164,-1,config_Holiday_Calendar_US)),IF(ISNUMBER(_xll.BDH(config!$G$4,O$1,$A164,$A164)),_xll.BDH(config!$G$4,O$1,$A164,$A164),_xll.BDH(config!$G$5,O$1,$A164,$A164))))</f>
        <v>#N/A Requesting Data...</v>
      </c>
      <c r="P164" s="8" t="str">
        <f>IF($A164="","",IF(ISNUMBER(FIND("IMPVOL",P$1)),_xll.BDH(config!$G$4,P$1,WORKDAY($A164,-1,config_Holiday_Calendar_US),WORKDAY($A164,-1,config_Holiday_Calendar_US)),IF(ISNUMBER(_xll.BDH(config!$G$4,P$1,$A164,$A164)),_xll.BDH(config!$G$4,P$1,$A164,$A164),_xll.BDH(config!$G$5,P$1,$A164,$A164))))</f>
        <v>#N/A Requesting Data...</v>
      </c>
      <c r="Q164" s="8">
        <f>IF($A164="","",IF(ISNUMBER(FIND("IMPVOL",Q$1)),_xll.BDH(config!$G$4,Q$1,WORKDAY($A164,-1,config_Holiday_Calendar_US),WORKDAY($A164,-1,config_Holiday_Calendar_US)),IF(ISNUMBER(_xll.BDH(config!$G$4,Q$1,$A164,$A164)),_xll.BDH(config!$G$4,Q$1,$A164,$A164),_xll.BDH(config!$G$5,Q$1,$A164,$A164))))</f>
        <v>34.6</v>
      </c>
      <c r="R164" s="8">
        <f>IF($A164="","",IF(ISNUMBER(FIND("IMPVOL",R$1)),_xll.BDH(config!$G$4,R$1,WORKDAY($A164,-1,config_Holiday_Calendar_US),WORKDAY($A164,-1,config_Holiday_Calendar_US)),IF(ISNUMBER(_xll.BDH(config!$G$4,R$1,$A164,$A164)),_xll.BDH(config!$G$4,R$1,$A164,$A164),_xll.BDH(config!$G$5,R$1,$A164,$A164))))</f>
        <v>39.69</v>
      </c>
      <c r="S164" s="8" t="str">
        <f>IF($A164="","",IF(ISNUMBER(FIND("IMPVOL",S$1)),_xll.BDH(config!$G$4,S$1,WORKDAY($A164,-1,config_Holiday_Calendar_US),WORKDAY($A164,-1,config_Holiday_Calendar_US)),IF(ISNUMBER(_xll.BDH(config!$G$4,S$1,$A164,$A164)),_xll.BDH(config!$G$4,S$1,$A164,$A164),_xll.BDH(config!$G$5,S$1,$A164,$A164))))</f>
        <v>#N/A Requesting Data...</v>
      </c>
      <c r="T164" s="8" t="str">
        <f>IF($A164="","",IF(ISNUMBER(FIND("IMPVOL",T$1)),_xll.BDH(config!$G$4,T$1,WORKDAY($A164,-1,config_Holiday_Calendar_US),WORKDAY($A164,-1,config_Holiday_Calendar_US)),IF(ISNUMBER(_xll.BDH(config!$G$4,T$1,$A164,$A164)),_xll.BDH(config!$G$4,T$1,$A164,$A164),_xll.BDH(config!$G$5,T$1,$A164,$A164))))</f>
        <v>#N/A Requesting Data...</v>
      </c>
      <c r="U164" s="8" t="str">
        <f>IF($A164="","",IF(ISNUMBER(FIND("IMPVOL",U$1)),_xll.BDH(config!$G$4,U$1,WORKDAY($A164,-1,config_Holiday_Calendar_US),WORKDAY($A164,-1,config_Holiday_Calendar_US)),IF(ISNUMBER(_xll.BDH(config!$G$4,U$1,$A164,$A164)),_xll.BDH(config!$G$4,U$1,$A164,$A164),_xll.BDH(config!$G$5,U$1,$A164,$A164))))</f>
        <v>#N/A Requesting Data...</v>
      </c>
      <c r="V164" s="8" t="str">
        <f>IF($A164="","",IF(ISNUMBER(FIND("IMPVOL",V$1)),_xll.BDH(config!$G$4,V$1,WORKDAY($A164,-1,config_Holiday_Calendar_US),WORKDAY($A164,-1,config_Holiday_Calendar_US)),IF(ISNUMBER(_xll.BDH(config!$G$4,V$1,$A164,$A164)),_xll.BDH(config!$G$4,V$1,$A164,$A164),_xll.BDH(config!$G$5,V$1,$A164,$A164))))</f>
        <v>#N/A Requesting Data...</v>
      </c>
      <c r="W164" s="8" t="str">
        <f>IF($A164="","",IF(ISNUMBER(FIND("IMPVOL",W$1)),_xll.BDH(config!$G$4,W$1,WORKDAY($A164,-1,config_Holiday_Calendar_US),WORKDAY($A164,-1,config_Holiday_Calendar_US)),IF(ISNUMBER(_xll.BDH(config!$G$4,W$1,$A164,$A164)),_xll.BDH(config!$G$4,W$1,$A164,$A164),_xll.BDH(config!$G$5,W$1,$A164,$A164))))</f>
        <v>#N/A Requesting Data...</v>
      </c>
    </row>
    <row r="165" spans="1:23" x14ac:dyDescent="0.2">
      <c r="A165" s="9">
        <f>IF(A164="","",IF(WORKDAY(A164,-1,config_Holiday_Calendar_US)&lt;config!$I$10,"",WORKDAY(A164,-1,config_Holiday_Calendar_US)))</f>
        <v>42594</v>
      </c>
      <c r="B165" s="8" t="e">
        <f t="shared" si="2"/>
        <v>#VALUE!</v>
      </c>
      <c r="C165" s="8" t="str">
        <f>IF(A165="","",_xll.BDH(config!$H$4,C$1,$A165,$A165))</f>
        <v>#N/A Requesting Data...</v>
      </c>
      <c r="D165" s="8" t="str">
        <f>IF($A165="","",_xll.BDH(config!$H$4,D$1,$A165,$A165))</f>
        <v>#N/A Requesting Data...</v>
      </c>
      <c r="E165" s="8">
        <f>IF($A165="","",IF(ISNUMBER(FIND("IMPVOL",E$1)),_xll.BDH(config!$G$4,E$1,WORKDAY($A165,-1,config_Holiday_Calendar_US),WORKDAY($A165,-1,config_Holiday_Calendar_US)),IF(ISNUMBER(_xll.BDH(config!$G$4,E$1,$A165,$A165)),_xll.BDH(config!$G$4,E$1,$A165,$A165),_xll.BDH(config!$G$5,E$1,$A165,$A165))))</f>
        <v>43.46</v>
      </c>
      <c r="F165" s="8">
        <f>IF($A165="","",IF(ISNUMBER(FIND("IMPVOL",F$1)),_xll.BDH(config!$G$4,F$1,WORKDAY($A165,-1,config_Holiday_Calendar_US),WORKDAY($A165,-1,config_Holiday_Calendar_US)),IF(ISNUMBER(_xll.BDH(config!$G$4,F$1,$A165,$A165)),_xll.BDH(config!$G$4,F$1,$A165,$A165),_xll.BDH(config!$G$5,F$1,$A165,$A165))))</f>
        <v>44.78</v>
      </c>
      <c r="G165" s="8">
        <f>IF($A165="","",IF(ISNUMBER(FIND("IMPVOL",G$1)),_xll.BDH(config!$G$4,G$1,WORKDAY($A165,-1,config_Holiday_Calendar_US),WORKDAY($A165,-1,config_Holiday_Calendar_US)),IF(ISNUMBER(_xll.BDH(config!$G$4,G$1,$A165,$A165)),_xll.BDH(config!$G$4,G$1,$A165,$A165),_xll.BDH(config!$G$5,G$1,$A165,$A165))))</f>
        <v>44.03</v>
      </c>
      <c r="H165" s="8">
        <f>IF($A165="","",IF(ISNUMBER(FIND("IMPVOL",H$1)),_xll.BDH(config!$G$4,H$1,WORKDAY($A165,-1,config_Holiday_Calendar_US),WORKDAY($A165,-1,config_Holiday_Calendar_US)),IF(ISNUMBER(_xll.BDH(config!$G$4,H$1,$A165,$A165)),_xll.BDH(config!$G$4,H$1,$A165,$A165),_xll.BDH(config!$G$5,H$1,$A165,$A165))))</f>
        <v>186973</v>
      </c>
      <c r="I165" s="8" t="str">
        <f>IF($A165="","",IF(ISNUMBER(FIND("IMPVOL",I$1)),_xll.BDH(config!$G$4,I$1,WORKDAY($A165,-1,config_Holiday_Calendar_US),WORKDAY($A165,-1,config_Holiday_Calendar_US)),IF(ISNUMBER(_xll.BDH(config!$G$4,I$1,$A165,$A165)),_xll.BDH(config!$G$4,I$1,$A165,$A165),_xll.BDH(config!$G$5,I$1,$A165,$A165))))</f>
        <v>#N/A Requesting Data...</v>
      </c>
      <c r="J165" s="8" t="str">
        <f>IF($A165="","",IF(ISNUMBER(FIND("IMPVOL",J$1)),_xll.BDH(config!$G$4,J$1,WORKDAY($A165,-1,config_Holiday_Calendar_US),WORKDAY($A165,-1,config_Holiday_Calendar_US)),IF(ISNUMBER(_xll.BDH(config!$G$4,J$1,$A165,$A165)),_xll.BDH(config!$G$4,J$1,$A165,$A165),_xll.BDH(config!$G$5,J$1,$A165,$A165))))</f>
        <v>#N/A Requesting Data...</v>
      </c>
      <c r="K165" s="8" t="str">
        <f>IF($A165="","",IF(ISNUMBER(FIND("IMPVOL",K$1)),_xll.BDH(config!$G$4,K$1,WORKDAY($A165,-1,config_Holiday_Calendar_US),WORKDAY($A165,-1,config_Holiday_Calendar_US)),IF(ISNUMBER(_xll.BDH(config!$G$4,K$1,$A165,$A165)),_xll.BDH(config!$G$4,K$1,$A165,$A165),_xll.BDH(config!$G$5,K$1,$A165,$A165))))</f>
        <v>#N/A Requesting Data...</v>
      </c>
      <c r="L165" s="8" t="str">
        <f>IF($A165="","",IF(ISNUMBER(FIND("IMPVOL",L$1)),_xll.BDH(config!$G$4,L$1,WORKDAY($A165,-1,config_Holiday_Calendar_US),WORKDAY($A165,-1,config_Holiday_Calendar_US)),IF(ISNUMBER(_xll.BDH(config!$G$4,L$1,$A165,$A165)),_xll.BDH(config!$G$4,L$1,$A165,$A165),_xll.BDH(config!$G$5,L$1,$A165,$A165))))</f>
        <v>#N/A Requesting Data...</v>
      </c>
      <c r="M165" s="8" t="str">
        <f>IF($A165="","",IF(ISNUMBER(FIND("IMPVOL",M$1)),_xll.BDH(config!$G$4,M$1,WORKDAY($A165,-1,config_Holiday_Calendar_US),WORKDAY($A165,-1,config_Holiday_Calendar_US)),IF(ISNUMBER(_xll.BDH(config!$G$4,M$1,$A165,$A165)),_xll.BDH(config!$G$4,M$1,$A165,$A165),_xll.BDH(config!$G$5,M$1,$A165,$A165))))</f>
        <v>#N/A Requesting Data...</v>
      </c>
      <c r="N165" s="8" t="str">
        <f>IF($A165="","",IF(ISNUMBER(FIND("IMPVOL",N$1)),_xll.BDH(config!$G$4,N$1,WORKDAY($A165,-1,config_Holiday_Calendar_US),WORKDAY($A165,-1,config_Holiday_Calendar_US)),IF(ISNUMBER(_xll.BDH(config!$G$4,N$1,$A165,$A165)),_xll.BDH(config!$G$4,N$1,$A165,$A165),_xll.BDH(config!$G$5,N$1,$A165,$A165))))</f>
        <v>#N/A Requesting Data...</v>
      </c>
      <c r="O165" s="8" t="str">
        <f>IF($A165="","",IF(ISNUMBER(FIND("IMPVOL",O$1)),_xll.BDH(config!$G$4,O$1,WORKDAY($A165,-1,config_Holiday_Calendar_US),WORKDAY($A165,-1,config_Holiday_Calendar_US)),IF(ISNUMBER(_xll.BDH(config!$G$4,O$1,$A165,$A165)),_xll.BDH(config!$G$4,O$1,$A165,$A165),_xll.BDH(config!$G$5,O$1,$A165,$A165))))</f>
        <v>#N/A Requesting Data...</v>
      </c>
      <c r="P165" s="8" t="str">
        <f>IF($A165="","",IF(ISNUMBER(FIND("IMPVOL",P$1)),_xll.BDH(config!$G$4,P$1,WORKDAY($A165,-1,config_Holiday_Calendar_US),WORKDAY($A165,-1,config_Holiday_Calendar_US)),IF(ISNUMBER(_xll.BDH(config!$G$4,P$1,$A165,$A165)),_xll.BDH(config!$G$4,P$1,$A165,$A165),_xll.BDH(config!$G$5,P$1,$A165,$A165))))</f>
        <v>#N/A Requesting Data...</v>
      </c>
      <c r="Q165" s="8">
        <f>IF($A165="","",IF(ISNUMBER(FIND("IMPVOL",Q$1)),_xll.BDH(config!$G$4,Q$1,WORKDAY($A165,-1,config_Holiday_Calendar_US),WORKDAY($A165,-1,config_Holiday_Calendar_US)),IF(ISNUMBER(_xll.BDH(config!$G$4,Q$1,$A165,$A165)),_xll.BDH(config!$G$4,Q$1,$A165,$A165),_xll.BDH(config!$G$5,Q$1,$A165,$A165))))</f>
        <v>37.049999999999997</v>
      </c>
      <c r="R165" s="8">
        <f>IF($A165="","",IF(ISNUMBER(FIND("IMPVOL",R$1)),_xll.BDH(config!$G$4,R$1,WORKDAY($A165,-1,config_Holiday_Calendar_US),WORKDAY($A165,-1,config_Holiday_Calendar_US)),IF(ISNUMBER(_xll.BDH(config!$G$4,R$1,$A165,$A165)),_xll.BDH(config!$G$4,R$1,$A165,$A165),_xll.BDH(config!$G$5,R$1,$A165,$A165))))</f>
        <v>41.26</v>
      </c>
      <c r="S165" s="8" t="str">
        <f>IF($A165="","",IF(ISNUMBER(FIND("IMPVOL",S$1)),_xll.BDH(config!$G$4,S$1,WORKDAY($A165,-1,config_Holiday_Calendar_US),WORKDAY($A165,-1,config_Holiday_Calendar_US)),IF(ISNUMBER(_xll.BDH(config!$G$4,S$1,$A165,$A165)),_xll.BDH(config!$G$4,S$1,$A165,$A165),_xll.BDH(config!$G$5,S$1,$A165,$A165))))</f>
        <v>#N/A Requesting Data...</v>
      </c>
      <c r="T165" s="8" t="str">
        <f>IF($A165="","",IF(ISNUMBER(FIND("IMPVOL",T$1)),_xll.BDH(config!$G$4,T$1,WORKDAY($A165,-1,config_Holiday_Calendar_US),WORKDAY($A165,-1,config_Holiday_Calendar_US)),IF(ISNUMBER(_xll.BDH(config!$G$4,T$1,$A165,$A165)),_xll.BDH(config!$G$4,T$1,$A165,$A165),_xll.BDH(config!$G$5,T$1,$A165,$A165))))</f>
        <v>#N/A Requesting Data...</v>
      </c>
      <c r="U165" s="8" t="str">
        <f>IF($A165="","",IF(ISNUMBER(FIND("IMPVOL",U$1)),_xll.BDH(config!$G$4,U$1,WORKDAY($A165,-1,config_Holiday_Calendar_US),WORKDAY($A165,-1,config_Holiday_Calendar_US)),IF(ISNUMBER(_xll.BDH(config!$G$4,U$1,$A165,$A165)),_xll.BDH(config!$G$4,U$1,$A165,$A165),_xll.BDH(config!$G$5,U$1,$A165,$A165))))</f>
        <v>#N/A Requesting Data...</v>
      </c>
      <c r="V165" s="8" t="str">
        <f>IF($A165="","",IF(ISNUMBER(FIND("IMPVOL",V$1)),_xll.BDH(config!$G$4,V$1,WORKDAY($A165,-1,config_Holiday_Calendar_US),WORKDAY($A165,-1,config_Holiday_Calendar_US)),IF(ISNUMBER(_xll.BDH(config!$G$4,V$1,$A165,$A165)),_xll.BDH(config!$G$4,V$1,$A165,$A165),_xll.BDH(config!$G$5,V$1,$A165,$A165))))</f>
        <v>#N/A Requesting Data...</v>
      </c>
      <c r="W165" s="8" t="str">
        <f>IF($A165="","",IF(ISNUMBER(FIND("IMPVOL",W$1)),_xll.BDH(config!$G$4,W$1,WORKDAY($A165,-1,config_Holiday_Calendar_US),WORKDAY($A165,-1,config_Holiday_Calendar_US)),IF(ISNUMBER(_xll.BDH(config!$G$4,W$1,$A165,$A165)),_xll.BDH(config!$G$4,W$1,$A165,$A165),_xll.BDH(config!$G$5,W$1,$A165,$A165))))</f>
        <v>#N/A Requesting Data...</v>
      </c>
    </row>
    <row r="166" spans="1:23" x14ac:dyDescent="0.2">
      <c r="A166" s="9">
        <f>IF(A165="","",IF(WORKDAY(A165,-1,config_Holiday_Calendar_US)&lt;config!$I$10,"",WORKDAY(A165,-1,config_Holiday_Calendar_US)))</f>
        <v>42593</v>
      </c>
      <c r="B166" s="8" t="e">
        <f t="shared" si="2"/>
        <v>#VALUE!</v>
      </c>
      <c r="C166" s="8" t="str">
        <f>IF(A166="","",_xll.BDH(config!$H$4,C$1,$A166,$A166))</f>
        <v>#N/A Requesting Data...</v>
      </c>
      <c r="D166" s="8" t="str">
        <f>IF($A166="","",_xll.BDH(config!$H$4,D$1,$A166,$A166))</f>
        <v>#N/A Requesting Data...</v>
      </c>
      <c r="E166" s="8">
        <f>IF($A166="","",IF(ISNUMBER(FIND("IMPVOL",E$1)),_xll.BDH(config!$G$4,E$1,WORKDAY($A166,-1,config_Holiday_Calendar_US),WORKDAY($A166,-1,config_Holiday_Calendar_US)),IF(ISNUMBER(_xll.BDH(config!$G$4,E$1,$A166,$A166)),_xll.BDH(config!$G$4,E$1,$A166,$A166),_xll.BDH(config!$G$5,E$1,$A166,$A166))))</f>
        <v>41.48</v>
      </c>
      <c r="F166" s="8">
        <f>IF($A166="","",IF(ISNUMBER(FIND("IMPVOL",F$1)),_xll.BDH(config!$G$4,F$1,WORKDAY($A166,-1,config_Holiday_Calendar_US),WORKDAY($A166,-1,config_Holiday_Calendar_US)),IF(ISNUMBER(_xll.BDH(config!$G$4,F$1,$A166,$A166)),_xll.BDH(config!$G$4,F$1,$A166,$A166),_xll.BDH(config!$G$5,F$1,$A166,$A166))))</f>
        <v>43.86</v>
      </c>
      <c r="G166" s="8">
        <f>IF($A166="","",IF(ISNUMBER(FIND("IMPVOL",G$1)),_xll.BDH(config!$G$4,G$1,WORKDAY($A166,-1,config_Holiday_Calendar_US),WORKDAY($A166,-1,config_Holiday_Calendar_US)),IF(ISNUMBER(_xll.BDH(config!$G$4,G$1,$A166,$A166)),_xll.BDH(config!$G$4,G$1,$A166,$A166),_xll.BDH(config!$G$5,G$1,$A166,$A166))))</f>
        <v>41.85</v>
      </c>
      <c r="H166" s="8">
        <f>IF($A166="","",IF(ISNUMBER(FIND("IMPVOL",H$1)),_xll.BDH(config!$G$4,H$1,WORKDAY($A166,-1,config_Holiday_Calendar_US),WORKDAY($A166,-1,config_Holiday_Calendar_US)),IF(ISNUMBER(_xll.BDH(config!$G$4,H$1,$A166,$A166)),_xll.BDH(config!$G$4,H$1,$A166,$A166),_xll.BDH(config!$G$5,H$1,$A166,$A166))))</f>
        <v>264353</v>
      </c>
      <c r="I166" s="8" t="str">
        <f>IF($A166="","",IF(ISNUMBER(FIND("IMPVOL",I$1)),_xll.BDH(config!$G$4,I$1,WORKDAY($A166,-1,config_Holiday_Calendar_US),WORKDAY($A166,-1,config_Holiday_Calendar_US)),IF(ISNUMBER(_xll.BDH(config!$G$4,I$1,$A166,$A166)),_xll.BDH(config!$G$4,I$1,$A166,$A166),_xll.BDH(config!$G$5,I$1,$A166,$A166))))</f>
        <v>#N/A Requesting Data...</v>
      </c>
      <c r="J166" s="8" t="str">
        <f>IF($A166="","",IF(ISNUMBER(FIND("IMPVOL",J$1)),_xll.BDH(config!$G$4,J$1,WORKDAY($A166,-1,config_Holiday_Calendar_US),WORKDAY($A166,-1,config_Holiday_Calendar_US)),IF(ISNUMBER(_xll.BDH(config!$G$4,J$1,$A166,$A166)),_xll.BDH(config!$G$4,J$1,$A166,$A166),_xll.BDH(config!$G$5,J$1,$A166,$A166))))</f>
        <v>#N/A Requesting Data...</v>
      </c>
      <c r="K166" s="8" t="str">
        <f>IF($A166="","",IF(ISNUMBER(FIND("IMPVOL",K$1)),_xll.BDH(config!$G$4,K$1,WORKDAY($A166,-1,config_Holiday_Calendar_US),WORKDAY($A166,-1,config_Holiday_Calendar_US)),IF(ISNUMBER(_xll.BDH(config!$G$4,K$1,$A166,$A166)),_xll.BDH(config!$G$4,K$1,$A166,$A166),_xll.BDH(config!$G$5,K$1,$A166,$A166))))</f>
        <v>#N/A Requesting Data...</v>
      </c>
      <c r="L166" s="8" t="str">
        <f>IF($A166="","",IF(ISNUMBER(FIND("IMPVOL",L$1)),_xll.BDH(config!$G$4,L$1,WORKDAY($A166,-1,config_Holiday_Calendar_US),WORKDAY($A166,-1,config_Holiday_Calendar_US)),IF(ISNUMBER(_xll.BDH(config!$G$4,L$1,$A166,$A166)),_xll.BDH(config!$G$4,L$1,$A166,$A166),_xll.BDH(config!$G$5,L$1,$A166,$A166))))</f>
        <v>#N/A Requesting Data...</v>
      </c>
      <c r="M166" s="8" t="str">
        <f>IF($A166="","",IF(ISNUMBER(FIND("IMPVOL",M$1)),_xll.BDH(config!$G$4,M$1,WORKDAY($A166,-1,config_Holiday_Calendar_US),WORKDAY($A166,-1,config_Holiday_Calendar_US)),IF(ISNUMBER(_xll.BDH(config!$G$4,M$1,$A166,$A166)),_xll.BDH(config!$G$4,M$1,$A166,$A166),_xll.BDH(config!$G$5,M$1,$A166,$A166))))</f>
        <v>#N/A Requesting Data...</v>
      </c>
      <c r="N166" s="8" t="str">
        <f>IF($A166="","",IF(ISNUMBER(FIND("IMPVOL",N$1)),_xll.BDH(config!$G$4,N$1,WORKDAY($A166,-1,config_Holiday_Calendar_US),WORKDAY($A166,-1,config_Holiday_Calendar_US)),IF(ISNUMBER(_xll.BDH(config!$G$4,N$1,$A166,$A166)),_xll.BDH(config!$G$4,N$1,$A166,$A166),_xll.BDH(config!$G$5,N$1,$A166,$A166))))</f>
        <v>#N/A Requesting Data...</v>
      </c>
      <c r="O166" s="8" t="str">
        <f>IF($A166="","",IF(ISNUMBER(FIND("IMPVOL",O$1)),_xll.BDH(config!$G$4,O$1,WORKDAY($A166,-1,config_Holiday_Calendar_US),WORKDAY($A166,-1,config_Holiday_Calendar_US)),IF(ISNUMBER(_xll.BDH(config!$G$4,O$1,$A166,$A166)),_xll.BDH(config!$G$4,O$1,$A166,$A166),_xll.BDH(config!$G$5,O$1,$A166,$A166))))</f>
        <v>#N/A Requesting Data...</v>
      </c>
      <c r="P166" s="8" t="str">
        <f>IF($A166="","",IF(ISNUMBER(FIND("IMPVOL",P$1)),_xll.BDH(config!$G$4,P$1,WORKDAY($A166,-1,config_Holiday_Calendar_US),WORKDAY($A166,-1,config_Holiday_Calendar_US)),IF(ISNUMBER(_xll.BDH(config!$G$4,P$1,$A166,$A166)),_xll.BDH(config!$G$4,P$1,$A166,$A166),_xll.BDH(config!$G$5,P$1,$A166,$A166))))</f>
        <v>#N/A Requesting Data...</v>
      </c>
      <c r="Q166" s="8">
        <f>IF($A166="","",IF(ISNUMBER(FIND("IMPVOL",Q$1)),_xll.BDH(config!$G$4,Q$1,WORKDAY($A166,-1,config_Holiday_Calendar_US),WORKDAY($A166,-1,config_Holiday_Calendar_US)),IF(ISNUMBER(_xll.BDH(config!$G$4,Q$1,$A166,$A166)),_xll.BDH(config!$G$4,Q$1,$A166,$A166),_xll.BDH(config!$G$5,Q$1,$A166,$A166))))</f>
        <v>44.07</v>
      </c>
      <c r="R166" s="8">
        <f>IF($A166="","",IF(ISNUMBER(FIND("IMPVOL",R$1)),_xll.BDH(config!$G$4,R$1,WORKDAY($A166,-1,config_Holiday_Calendar_US),WORKDAY($A166,-1,config_Holiday_Calendar_US)),IF(ISNUMBER(_xll.BDH(config!$G$4,R$1,$A166,$A166)),_xll.BDH(config!$G$4,R$1,$A166,$A166),_xll.BDH(config!$G$5,R$1,$A166,$A166))))</f>
        <v>40.880000000000003</v>
      </c>
      <c r="S166" s="8" t="str">
        <f>IF($A166="","",IF(ISNUMBER(FIND("IMPVOL",S$1)),_xll.BDH(config!$G$4,S$1,WORKDAY($A166,-1,config_Holiday_Calendar_US),WORKDAY($A166,-1,config_Holiday_Calendar_US)),IF(ISNUMBER(_xll.BDH(config!$G$4,S$1,$A166,$A166)),_xll.BDH(config!$G$4,S$1,$A166,$A166),_xll.BDH(config!$G$5,S$1,$A166,$A166))))</f>
        <v>#N/A Requesting Data...</v>
      </c>
      <c r="T166" s="8" t="str">
        <f>IF($A166="","",IF(ISNUMBER(FIND("IMPVOL",T$1)),_xll.BDH(config!$G$4,T$1,WORKDAY($A166,-1,config_Holiday_Calendar_US),WORKDAY($A166,-1,config_Holiday_Calendar_US)),IF(ISNUMBER(_xll.BDH(config!$G$4,T$1,$A166,$A166)),_xll.BDH(config!$G$4,T$1,$A166,$A166),_xll.BDH(config!$G$5,T$1,$A166,$A166))))</f>
        <v>#N/A Requesting Data...</v>
      </c>
      <c r="U166" s="8" t="str">
        <f>IF($A166="","",IF(ISNUMBER(FIND("IMPVOL",U$1)),_xll.BDH(config!$G$4,U$1,WORKDAY($A166,-1,config_Holiday_Calendar_US),WORKDAY($A166,-1,config_Holiday_Calendar_US)),IF(ISNUMBER(_xll.BDH(config!$G$4,U$1,$A166,$A166)),_xll.BDH(config!$G$4,U$1,$A166,$A166),_xll.BDH(config!$G$5,U$1,$A166,$A166))))</f>
        <v>#N/A Requesting Data...</v>
      </c>
      <c r="V166" s="8" t="str">
        <f>IF($A166="","",IF(ISNUMBER(FIND("IMPVOL",V$1)),_xll.BDH(config!$G$4,V$1,WORKDAY($A166,-1,config_Holiday_Calendar_US),WORKDAY($A166,-1,config_Holiday_Calendar_US)),IF(ISNUMBER(_xll.BDH(config!$G$4,V$1,$A166,$A166)),_xll.BDH(config!$G$4,V$1,$A166,$A166),_xll.BDH(config!$G$5,V$1,$A166,$A166))))</f>
        <v>#N/A Requesting Data...</v>
      </c>
      <c r="W166" s="8" t="str">
        <f>IF($A166="","",IF(ISNUMBER(FIND("IMPVOL",W$1)),_xll.BDH(config!$G$4,W$1,WORKDAY($A166,-1,config_Holiday_Calendar_US),WORKDAY($A166,-1,config_Holiday_Calendar_US)),IF(ISNUMBER(_xll.BDH(config!$G$4,W$1,$A166,$A166)),_xll.BDH(config!$G$4,W$1,$A166,$A166),_xll.BDH(config!$G$5,W$1,$A166,$A166))))</f>
        <v>#N/A Requesting Data...</v>
      </c>
    </row>
    <row r="167" spans="1:23" x14ac:dyDescent="0.2">
      <c r="A167" s="9">
        <f>IF(A166="","",IF(WORKDAY(A166,-1,config_Holiday_Calendar_US)&lt;config!$I$10,"",WORKDAY(A166,-1,config_Holiday_Calendar_US)))</f>
        <v>42592</v>
      </c>
      <c r="B167" s="8" t="e">
        <f t="shared" si="2"/>
        <v>#VALUE!</v>
      </c>
      <c r="C167" s="8" t="str">
        <f>IF(A167="","",_xll.BDH(config!$H$4,C$1,$A167,$A167))</f>
        <v>#N/A Requesting Data...</v>
      </c>
      <c r="D167" s="8" t="str">
        <f>IF($A167="","",_xll.BDH(config!$H$4,D$1,$A167,$A167))</f>
        <v>#N/A Requesting Data...</v>
      </c>
      <c r="E167" s="8">
        <f>IF($A167="","",IF(ISNUMBER(FIND("IMPVOL",E$1)),_xll.BDH(config!$G$4,E$1,WORKDAY($A167,-1,config_Holiday_Calendar_US),WORKDAY($A167,-1,config_Holiday_Calendar_US)),IF(ISNUMBER(_xll.BDH(config!$G$4,E$1,$A167,$A167)),_xll.BDH(config!$G$4,E$1,$A167,$A167),_xll.BDH(config!$G$5,E$1,$A167,$A167))))</f>
        <v>42.74</v>
      </c>
      <c r="F167" s="8">
        <f>IF($A167="","",IF(ISNUMBER(FIND("IMPVOL",F$1)),_xll.BDH(config!$G$4,F$1,WORKDAY($A167,-1,config_Holiday_Calendar_US),WORKDAY($A167,-1,config_Holiday_Calendar_US)),IF(ISNUMBER(_xll.BDH(config!$G$4,F$1,$A167,$A167)),_xll.BDH(config!$G$4,F$1,$A167,$A167),_xll.BDH(config!$G$5,F$1,$A167,$A167))))</f>
        <v>43.39</v>
      </c>
      <c r="G167" s="8">
        <f>IF($A167="","",IF(ISNUMBER(FIND("IMPVOL",G$1)),_xll.BDH(config!$G$4,G$1,WORKDAY($A167,-1,config_Holiday_Calendar_US),WORKDAY($A167,-1,config_Holiday_Calendar_US)),IF(ISNUMBER(_xll.BDH(config!$G$4,G$1,$A167,$A167)),_xll.BDH(config!$G$4,G$1,$A167,$A167),_xll.BDH(config!$G$5,G$1,$A167,$A167))))</f>
        <v>42.17</v>
      </c>
      <c r="H167" s="8">
        <f>IF($A167="","",IF(ISNUMBER(FIND("IMPVOL",H$1)),_xll.BDH(config!$G$4,H$1,WORKDAY($A167,-1,config_Holiday_Calendar_US),WORKDAY($A167,-1,config_Holiday_Calendar_US)),IF(ISNUMBER(_xll.BDH(config!$G$4,H$1,$A167,$A167)),_xll.BDH(config!$G$4,H$1,$A167,$A167),_xll.BDH(config!$G$5,H$1,$A167,$A167))))</f>
        <v>255727</v>
      </c>
      <c r="I167" s="8" t="str">
        <f>IF($A167="","",IF(ISNUMBER(FIND("IMPVOL",I$1)),_xll.BDH(config!$G$4,I$1,WORKDAY($A167,-1,config_Holiday_Calendar_US),WORKDAY($A167,-1,config_Holiday_Calendar_US)),IF(ISNUMBER(_xll.BDH(config!$G$4,I$1,$A167,$A167)),_xll.BDH(config!$G$4,I$1,$A167,$A167),_xll.BDH(config!$G$5,I$1,$A167,$A167))))</f>
        <v>#N/A Requesting Data...</v>
      </c>
      <c r="J167" s="8" t="str">
        <f>IF($A167="","",IF(ISNUMBER(FIND("IMPVOL",J$1)),_xll.BDH(config!$G$4,J$1,WORKDAY($A167,-1,config_Holiday_Calendar_US),WORKDAY($A167,-1,config_Holiday_Calendar_US)),IF(ISNUMBER(_xll.BDH(config!$G$4,J$1,$A167,$A167)),_xll.BDH(config!$G$4,J$1,$A167,$A167),_xll.BDH(config!$G$5,J$1,$A167,$A167))))</f>
        <v>#N/A Requesting Data...</v>
      </c>
      <c r="K167" s="8" t="str">
        <f>IF($A167="","",IF(ISNUMBER(FIND("IMPVOL",K$1)),_xll.BDH(config!$G$4,K$1,WORKDAY($A167,-1,config_Holiday_Calendar_US),WORKDAY($A167,-1,config_Holiday_Calendar_US)),IF(ISNUMBER(_xll.BDH(config!$G$4,K$1,$A167,$A167)),_xll.BDH(config!$G$4,K$1,$A167,$A167),_xll.BDH(config!$G$5,K$1,$A167,$A167))))</f>
        <v>#N/A Requesting Data...</v>
      </c>
      <c r="L167" s="8" t="str">
        <f>IF($A167="","",IF(ISNUMBER(FIND("IMPVOL",L$1)),_xll.BDH(config!$G$4,L$1,WORKDAY($A167,-1,config_Holiday_Calendar_US),WORKDAY($A167,-1,config_Holiday_Calendar_US)),IF(ISNUMBER(_xll.BDH(config!$G$4,L$1,$A167,$A167)),_xll.BDH(config!$G$4,L$1,$A167,$A167),_xll.BDH(config!$G$5,L$1,$A167,$A167))))</f>
        <v>#N/A Requesting Data...</v>
      </c>
      <c r="M167" s="8" t="str">
        <f>IF($A167="","",IF(ISNUMBER(FIND("IMPVOL",M$1)),_xll.BDH(config!$G$4,M$1,WORKDAY($A167,-1,config_Holiday_Calendar_US),WORKDAY($A167,-1,config_Holiday_Calendar_US)),IF(ISNUMBER(_xll.BDH(config!$G$4,M$1,$A167,$A167)),_xll.BDH(config!$G$4,M$1,$A167,$A167),_xll.BDH(config!$G$5,M$1,$A167,$A167))))</f>
        <v>#N/A Requesting Data...</v>
      </c>
      <c r="N167" s="8" t="str">
        <f>IF($A167="","",IF(ISNUMBER(FIND("IMPVOL",N$1)),_xll.BDH(config!$G$4,N$1,WORKDAY($A167,-1,config_Holiday_Calendar_US),WORKDAY($A167,-1,config_Holiday_Calendar_US)),IF(ISNUMBER(_xll.BDH(config!$G$4,N$1,$A167,$A167)),_xll.BDH(config!$G$4,N$1,$A167,$A167),_xll.BDH(config!$G$5,N$1,$A167,$A167))))</f>
        <v>#N/A Requesting Data...</v>
      </c>
      <c r="O167" s="8" t="str">
        <f>IF($A167="","",IF(ISNUMBER(FIND("IMPVOL",O$1)),_xll.BDH(config!$G$4,O$1,WORKDAY($A167,-1,config_Holiday_Calendar_US),WORKDAY($A167,-1,config_Holiday_Calendar_US)),IF(ISNUMBER(_xll.BDH(config!$G$4,O$1,$A167,$A167)),_xll.BDH(config!$G$4,O$1,$A167,$A167),_xll.BDH(config!$G$5,O$1,$A167,$A167))))</f>
        <v>#N/A Requesting Data...</v>
      </c>
      <c r="P167" s="8" t="str">
        <f>IF($A167="","",IF(ISNUMBER(FIND("IMPVOL",P$1)),_xll.BDH(config!$G$4,P$1,WORKDAY($A167,-1,config_Holiday_Calendar_US),WORKDAY($A167,-1,config_Holiday_Calendar_US)),IF(ISNUMBER(_xll.BDH(config!$G$4,P$1,$A167,$A167)),_xll.BDH(config!$G$4,P$1,$A167,$A167),_xll.BDH(config!$G$5,P$1,$A167,$A167))))</f>
        <v>#N/A Requesting Data...</v>
      </c>
      <c r="Q167" s="8">
        <f>IF($A167="","",IF(ISNUMBER(FIND("IMPVOL",Q$1)),_xll.BDH(config!$G$4,Q$1,WORKDAY($A167,-1,config_Holiday_Calendar_US),WORKDAY($A167,-1,config_Holiday_Calendar_US)),IF(ISNUMBER(_xll.BDH(config!$G$4,Q$1,$A167,$A167)),_xll.BDH(config!$G$4,Q$1,$A167,$A167),_xll.BDH(config!$G$5,Q$1,$A167,$A167))))</f>
        <v>38.770000000000003</v>
      </c>
      <c r="R167" s="8">
        <f>IF($A167="","",IF(ISNUMBER(FIND("IMPVOL",R$1)),_xll.BDH(config!$G$4,R$1,WORKDAY($A167,-1,config_Holiday_Calendar_US),WORKDAY($A167,-1,config_Holiday_Calendar_US)),IF(ISNUMBER(_xll.BDH(config!$G$4,R$1,$A167,$A167)),_xll.BDH(config!$G$4,R$1,$A167,$A167),_xll.BDH(config!$G$5,R$1,$A167,$A167))))</f>
        <v>39.299999999999997</v>
      </c>
      <c r="S167" s="8" t="str">
        <f>IF($A167="","",IF(ISNUMBER(FIND("IMPVOL",S$1)),_xll.BDH(config!$G$4,S$1,WORKDAY($A167,-1,config_Holiday_Calendar_US),WORKDAY($A167,-1,config_Holiday_Calendar_US)),IF(ISNUMBER(_xll.BDH(config!$G$4,S$1,$A167,$A167)),_xll.BDH(config!$G$4,S$1,$A167,$A167),_xll.BDH(config!$G$5,S$1,$A167,$A167))))</f>
        <v>#N/A Requesting Data...</v>
      </c>
      <c r="T167" s="8" t="str">
        <f>IF($A167="","",IF(ISNUMBER(FIND("IMPVOL",T$1)),_xll.BDH(config!$G$4,T$1,WORKDAY($A167,-1,config_Holiday_Calendar_US),WORKDAY($A167,-1,config_Holiday_Calendar_US)),IF(ISNUMBER(_xll.BDH(config!$G$4,T$1,$A167,$A167)),_xll.BDH(config!$G$4,T$1,$A167,$A167),_xll.BDH(config!$G$5,T$1,$A167,$A167))))</f>
        <v>#N/A Requesting Data...</v>
      </c>
      <c r="U167" s="8" t="str">
        <f>IF($A167="","",IF(ISNUMBER(FIND("IMPVOL",U$1)),_xll.BDH(config!$G$4,U$1,WORKDAY($A167,-1,config_Holiday_Calendar_US),WORKDAY($A167,-1,config_Holiday_Calendar_US)),IF(ISNUMBER(_xll.BDH(config!$G$4,U$1,$A167,$A167)),_xll.BDH(config!$G$4,U$1,$A167,$A167),_xll.BDH(config!$G$5,U$1,$A167,$A167))))</f>
        <v>#N/A Requesting Data...</v>
      </c>
      <c r="V167" s="8" t="str">
        <f>IF($A167="","",IF(ISNUMBER(FIND("IMPVOL",V$1)),_xll.BDH(config!$G$4,V$1,WORKDAY($A167,-1,config_Holiday_Calendar_US),WORKDAY($A167,-1,config_Holiday_Calendar_US)),IF(ISNUMBER(_xll.BDH(config!$G$4,V$1,$A167,$A167)),_xll.BDH(config!$G$4,V$1,$A167,$A167),_xll.BDH(config!$G$5,V$1,$A167,$A167))))</f>
        <v>#N/A Requesting Data...</v>
      </c>
      <c r="W167" s="8" t="str">
        <f>IF($A167="","",IF(ISNUMBER(FIND("IMPVOL",W$1)),_xll.BDH(config!$G$4,W$1,WORKDAY($A167,-1,config_Holiday_Calendar_US),WORKDAY($A167,-1,config_Holiday_Calendar_US)),IF(ISNUMBER(_xll.BDH(config!$G$4,W$1,$A167,$A167)),_xll.BDH(config!$G$4,W$1,$A167,$A167),_xll.BDH(config!$G$5,W$1,$A167,$A167))))</f>
        <v>#N/A Requesting Data...</v>
      </c>
    </row>
    <row r="168" spans="1:23" x14ac:dyDescent="0.2">
      <c r="A168" s="9">
        <f>IF(A167="","",IF(WORKDAY(A167,-1,config_Holiday_Calendar_US)&lt;config!$I$10,"",WORKDAY(A167,-1,config_Holiday_Calendar_US)))</f>
        <v>42591</v>
      </c>
      <c r="B168" s="8" t="e">
        <f t="shared" si="2"/>
        <v>#VALUE!</v>
      </c>
      <c r="C168" s="8" t="str">
        <f>IF(A168="","",_xll.BDH(config!$H$4,C$1,$A168,$A168))</f>
        <v>#N/A Requesting Data...</v>
      </c>
      <c r="D168" s="8" t="str">
        <f>IF($A168="","",_xll.BDH(config!$H$4,D$1,$A168,$A168))</f>
        <v>#N/A Requesting Data...</v>
      </c>
      <c r="E168" s="8">
        <f>IF($A168="","",IF(ISNUMBER(FIND("IMPVOL",E$1)),_xll.BDH(config!$G$4,E$1,WORKDAY($A168,-1,config_Holiday_Calendar_US),WORKDAY($A168,-1,config_Holiday_Calendar_US)),IF(ISNUMBER(_xll.BDH(config!$G$4,E$1,$A168,$A168)),_xll.BDH(config!$G$4,E$1,$A168,$A168),_xll.BDH(config!$G$5,E$1,$A168,$A168))))</f>
        <v>42.83</v>
      </c>
      <c r="F168" s="8">
        <f>IF($A168="","",IF(ISNUMBER(FIND("IMPVOL",F$1)),_xll.BDH(config!$G$4,F$1,WORKDAY($A168,-1,config_Holiday_Calendar_US),WORKDAY($A168,-1,config_Holiday_Calendar_US)),IF(ISNUMBER(_xll.BDH(config!$G$4,F$1,$A168,$A168)),_xll.BDH(config!$G$4,F$1,$A168,$A168),_xll.BDH(config!$G$5,F$1,$A168,$A168))))</f>
        <v>43.52</v>
      </c>
      <c r="G168" s="8">
        <f>IF($A168="","",IF(ISNUMBER(FIND("IMPVOL",G$1)),_xll.BDH(config!$G$4,G$1,WORKDAY($A168,-1,config_Holiday_Calendar_US),WORKDAY($A168,-1,config_Holiday_Calendar_US)),IF(ISNUMBER(_xll.BDH(config!$G$4,G$1,$A168,$A168)),_xll.BDH(config!$G$4,G$1,$A168,$A168),_xll.BDH(config!$G$5,G$1,$A168,$A168))))</f>
        <v>43.21</v>
      </c>
      <c r="H168" s="8">
        <f>IF($A168="","",IF(ISNUMBER(FIND("IMPVOL",H$1)),_xll.BDH(config!$G$4,H$1,WORKDAY($A168,-1,config_Holiday_Calendar_US),WORKDAY($A168,-1,config_Holiday_Calendar_US)),IF(ISNUMBER(_xll.BDH(config!$G$4,H$1,$A168,$A168)),_xll.BDH(config!$G$4,H$1,$A168,$A168),_xll.BDH(config!$G$5,H$1,$A168,$A168))))</f>
        <v>243534</v>
      </c>
      <c r="I168" s="8" t="str">
        <f>IF($A168="","",IF(ISNUMBER(FIND("IMPVOL",I$1)),_xll.BDH(config!$G$4,I$1,WORKDAY($A168,-1,config_Holiday_Calendar_US),WORKDAY($A168,-1,config_Holiday_Calendar_US)),IF(ISNUMBER(_xll.BDH(config!$G$4,I$1,$A168,$A168)),_xll.BDH(config!$G$4,I$1,$A168,$A168),_xll.BDH(config!$G$5,I$1,$A168,$A168))))</f>
        <v>#N/A Requesting Data...</v>
      </c>
      <c r="J168" s="8" t="str">
        <f>IF($A168="","",IF(ISNUMBER(FIND("IMPVOL",J$1)),_xll.BDH(config!$G$4,J$1,WORKDAY($A168,-1,config_Holiday_Calendar_US),WORKDAY($A168,-1,config_Holiday_Calendar_US)),IF(ISNUMBER(_xll.BDH(config!$G$4,J$1,$A168,$A168)),_xll.BDH(config!$G$4,J$1,$A168,$A168),_xll.BDH(config!$G$5,J$1,$A168,$A168))))</f>
        <v>#N/A Requesting Data...</v>
      </c>
      <c r="K168" s="8" t="str">
        <f>IF($A168="","",IF(ISNUMBER(FIND("IMPVOL",K$1)),_xll.BDH(config!$G$4,K$1,WORKDAY($A168,-1,config_Holiday_Calendar_US),WORKDAY($A168,-1,config_Holiday_Calendar_US)),IF(ISNUMBER(_xll.BDH(config!$G$4,K$1,$A168,$A168)),_xll.BDH(config!$G$4,K$1,$A168,$A168),_xll.BDH(config!$G$5,K$1,$A168,$A168))))</f>
        <v>#N/A Requesting Data...</v>
      </c>
      <c r="L168" s="8" t="str">
        <f>IF($A168="","",IF(ISNUMBER(FIND("IMPVOL",L$1)),_xll.BDH(config!$G$4,L$1,WORKDAY($A168,-1,config_Holiday_Calendar_US),WORKDAY($A168,-1,config_Holiday_Calendar_US)),IF(ISNUMBER(_xll.BDH(config!$G$4,L$1,$A168,$A168)),_xll.BDH(config!$G$4,L$1,$A168,$A168),_xll.BDH(config!$G$5,L$1,$A168,$A168))))</f>
        <v>#N/A Requesting Data...</v>
      </c>
      <c r="M168" s="8" t="str">
        <f>IF($A168="","",IF(ISNUMBER(FIND("IMPVOL",M$1)),_xll.BDH(config!$G$4,M$1,WORKDAY($A168,-1,config_Holiday_Calendar_US),WORKDAY($A168,-1,config_Holiday_Calendar_US)),IF(ISNUMBER(_xll.BDH(config!$G$4,M$1,$A168,$A168)),_xll.BDH(config!$G$4,M$1,$A168,$A168),_xll.BDH(config!$G$5,M$1,$A168,$A168))))</f>
        <v>#N/A Requesting Data...</v>
      </c>
      <c r="N168" s="8" t="str">
        <f>IF($A168="","",IF(ISNUMBER(FIND("IMPVOL",N$1)),_xll.BDH(config!$G$4,N$1,WORKDAY($A168,-1,config_Holiday_Calendar_US),WORKDAY($A168,-1,config_Holiday_Calendar_US)),IF(ISNUMBER(_xll.BDH(config!$G$4,N$1,$A168,$A168)),_xll.BDH(config!$G$4,N$1,$A168,$A168),_xll.BDH(config!$G$5,N$1,$A168,$A168))))</f>
        <v>#N/A Requesting Data...</v>
      </c>
      <c r="O168" s="8" t="str">
        <f>IF($A168="","",IF(ISNUMBER(FIND("IMPVOL",O$1)),_xll.BDH(config!$G$4,O$1,WORKDAY($A168,-1,config_Holiday_Calendar_US),WORKDAY($A168,-1,config_Holiday_Calendar_US)),IF(ISNUMBER(_xll.BDH(config!$G$4,O$1,$A168,$A168)),_xll.BDH(config!$G$4,O$1,$A168,$A168),_xll.BDH(config!$G$5,O$1,$A168,$A168))))</f>
        <v>#N/A Requesting Data...</v>
      </c>
      <c r="P168" s="8" t="str">
        <f>IF($A168="","",IF(ISNUMBER(FIND("IMPVOL",P$1)),_xll.BDH(config!$G$4,P$1,WORKDAY($A168,-1,config_Holiday_Calendar_US),WORKDAY($A168,-1,config_Holiday_Calendar_US)),IF(ISNUMBER(_xll.BDH(config!$G$4,P$1,$A168,$A168)),_xll.BDH(config!$G$4,P$1,$A168,$A168),_xll.BDH(config!$G$5,P$1,$A168,$A168))))</f>
        <v>#N/A Requesting Data...</v>
      </c>
      <c r="Q168" s="8">
        <f>IF($A168="","",IF(ISNUMBER(FIND("IMPVOL",Q$1)),_xll.BDH(config!$G$4,Q$1,WORKDAY($A168,-1,config_Holiday_Calendar_US),WORKDAY($A168,-1,config_Holiday_Calendar_US)),IF(ISNUMBER(_xll.BDH(config!$G$4,Q$1,$A168,$A168)),_xll.BDH(config!$G$4,Q$1,$A168,$A168),_xll.BDH(config!$G$5,Q$1,$A168,$A168))))</f>
        <v>37.51</v>
      </c>
      <c r="R168" s="8">
        <f>IF($A168="","",IF(ISNUMBER(FIND("IMPVOL",R$1)),_xll.BDH(config!$G$4,R$1,WORKDAY($A168,-1,config_Holiday_Calendar_US),WORKDAY($A168,-1,config_Holiday_Calendar_US)),IF(ISNUMBER(_xll.BDH(config!$G$4,R$1,$A168,$A168)),_xll.BDH(config!$G$4,R$1,$A168,$A168),_xll.BDH(config!$G$5,R$1,$A168,$A168))))</f>
        <v>41.21</v>
      </c>
      <c r="S168" s="8" t="str">
        <f>IF($A168="","",IF(ISNUMBER(FIND("IMPVOL",S$1)),_xll.BDH(config!$G$4,S$1,WORKDAY($A168,-1,config_Holiday_Calendar_US),WORKDAY($A168,-1,config_Holiday_Calendar_US)),IF(ISNUMBER(_xll.BDH(config!$G$4,S$1,$A168,$A168)),_xll.BDH(config!$G$4,S$1,$A168,$A168),_xll.BDH(config!$G$5,S$1,$A168,$A168))))</f>
        <v>#N/A Requesting Data...</v>
      </c>
      <c r="T168" s="8" t="str">
        <f>IF($A168="","",IF(ISNUMBER(FIND("IMPVOL",T$1)),_xll.BDH(config!$G$4,T$1,WORKDAY($A168,-1,config_Holiday_Calendar_US),WORKDAY($A168,-1,config_Holiday_Calendar_US)),IF(ISNUMBER(_xll.BDH(config!$G$4,T$1,$A168,$A168)),_xll.BDH(config!$G$4,T$1,$A168,$A168),_xll.BDH(config!$G$5,T$1,$A168,$A168))))</f>
        <v>#N/A Requesting Data...</v>
      </c>
      <c r="U168" s="8" t="str">
        <f>IF($A168="","",IF(ISNUMBER(FIND("IMPVOL",U$1)),_xll.BDH(config!$G$4,U$1,WORKDAY($A168,-1,config_Holiday_Calendar_US),WORKDAY($A168,-1,config_Holiday_Calendar_US)),IF(ISNUMBER(_xll.BDH(config!$G$4,U$1,$A168,$A168)),_xll.BDH(config!$G$4,U$1,$A168,$A168),_xll.BDH(config!$G$5,U$1,$A168,$A168))))</f>
        <v>#N/A Requesting Data...</v>
      </c>
      <c r="V168" s="8" t="str">
        <f>IF($A168="","",IF(ISNUMBER(FIND("IMPVOL",V$1)),_xll.BDH(config!$G$4,V$1,WORKDAY($A168,-1,config_Holiday_Calendar_US),WORKDAY($A168,-1,config_Holiday_Calendar_US)),IF(ISNUMBER(_xll.BDH(config!$G$4,V$1,$A168,$A168)),_xll.BDH(config!$G$4,V$1,$A168,$A168),_xll.BDH(config!$G$5,V$1,$A168,$A168))))</f>
        <v>#N/A Requesting Data...</v>
      </c>
      <c r="W168" s="8" t="str">
        <f>IF($A168="","",IF(ISNUMBER(FIND("IMPVOL",W$1)),_xll.BDH(config!$G$4,W$1,WORKDAY($A168,-1,config_Holiday_Calendar_US),WORKDAY($A168,-1,config_Holiday_Calendar_US)),IF(ISNUMBER(_xll.BDH(config!$G$4,W$1,$A168,$A168)),_xll.BDH(config!$G$4,W$1,$A168,$A168),_xll.BDH(config!$G$5,W$1,$A168,$A168))))</f>
        <v>#N/A Requesting Data...</v>
      </c>
    </row>
    <row r="169" spans="1:23" x14ac:dyDescent="0.2">
      <c r="A169" s="9">
        <f>IF(A168="","",IF(WORKDAY(A168,-1,config_Holiday_Calendar_US)&lt;config!$I$10,"",WORKDAY(A168,-1,config_Holiday_Calendar_US)))</f>
        <v>42587</v>
      </c>
      <c r="B169" s="8" t="e">
        <f t="shared" si="2"/>
        <v>#VALUE!</v>
      </c>
      <c r="C169" s="8" t="str">
        <f>IF(A169="","",_xll.BDH(config!$H$4,C$1,$A169,$A169))</f>
        <v>#N/A Requesting Data...</v>
      </c>
      <c r="D169" s="8" t="str">
        <f>IF($A169="","",_xll.BDH(config!$H$4,D$1,$A169,$A169))</f>
        <v>#N/A Requesting Data...</v>
      </c>
      <c r="E169" s="8">
        <f>IF($A169="","",IF(ISNUMBER(FIND("IMPVOL",E$1)),_xll.BDH(config!$G$4,E$1,WORKDAY($A169,-1,config_Holiday_Calendar_US),WORKDAY($A169,-1,config_Holiday_Calendar_US)),IF(ISNUMBER(_xll.BDH(config!$G$4,E$1,$A169,$A169)),_xll.BDH(config!$G$4,E$1,$A169,$A169),_xll.BDH(config!$G$5,E$1,$A169,$A169))))</f>
        <v>41.84</v>
      </c>
      <c r="F169" s="8">
        <f>IF($A169="","",IF(ISNUMBER(FIND("IMPVOL",F$1)),_xll.BDH(config!$G$4,F$1,WORKDAY($A169,-1,config_Holiday_Calendar_US),WORKDAY($A169,-1,config_Holiday_Calendar_US)),IF(ISNUMBER(_xll.BDH(config!$G$4,F$1,$A169,$A169)),_xll.BDH(config!$G$4,F$1,$A169,$A169),_xll.BDH(config!$G$5,F$1,$A169,$A169))))</f>
        <v>42.1</v>
      </c>
      <c r="G169" s="8">
        <f>IF($A169="","",IF(ISNUMBER(FIND("IMPVOL",G$1)),_xll.BDH(config!$G$4,G$1,WORKDAY($A169,-1,config_Holiday_Calendar_US),WORKDAY($A169,-1,config_Holiday_Calendar_US)),IF(ISNUMBER(_xll.BDH(config!$G$4,G$1,$A169,$A169)),_xll.BDH(config!$G$4,G$1,$A169,$A169),_xll.BDH(config!$G$5,G$1,$A169,$A169))))</f>
        <v>41.81</v>
      </c>
      <c r="H169" s="8">
        <f>IF($A169="","",IF(ISNUMBER(FIND("IMPVOL",H$1)),_xll.BDH(config!$G$4,H$1,WORKDAY($A169,-1,config_Holiday_Calendar_US),WORKDAY($A169,-1,config_Holiday_Calendar_US)),IF(ISNUMBER(_xll.BDH(config!$G$4,H$1,$A169,$A169)),_xll.BDH(config!$G$4,H$1,$A169,$A169),_xll.BDH(config!$G$5,H$1,$A169,$A169))))</f>
        <v>215855</v>
      </c>
      <c r="I169" s="8" t="str">
        <f>IF($A169="","",IF(ISNUMBER(FIND("IMPVOL",I$1)),_xll.BDH(config!$G$4,I$1,WORKDAY($A169,-1,config_Holiday_Calendar_US),WORKDAY($A169,-1,config_Holiday_Calendar_US)),IF(ISNUMBER(_xll.BDH(config!$G$4,I$1,$A169,$A169)),_xll.BDH(config!$G$4,I$1,$A169,$A169),_xll.BDH(config!$G$5,I$1,$A169,$A169))))</f>
        <v>#N/A Requesting Data...</v>
      </c>
      <c r="J169" s="8" t="str">
        <f>IF($A169="","",IF(ISNUMBER(FIND("IMPVOL",J$1)),_xll.BDH(config!$G$4,J$1,WORKDAY($A169,-1,config_Holiday_Calendar_US),WORKDAY($A169,-1,config_Holiday_Calendar_US)),IF(ISNUMBER(_xll.BDH(config!$G$4,J$1,$A169,$A169)),_xll.BDH(config!$G$4,J$1,$A169,$A169),_xll.BDH(config!$G$5,J$1,$A169,$A169))))</f>
        <v>#N/A Requesting Data...</v>
      </c>
      <c r="K169" s="8" t="str">
        <f>IF($A169="","",IF(ISNUMBER(FIND("IMPVOL",K$1)),_xll.BDH(config!$G$4,K$1,WORKDAY($A169,-1,config_Holiday_Calendar_US),WORKDAY($A169,-1,config_Holiday_Calendar_US)),IF(ISNUMBER(_xll.BDH(config!$G$4,K$1,$A169,$A169)),_xll.BDH(config!$G$4,K$1,$A169,$A169),_xll.BDH(config!$G$5,K$1,$A169,$A169))))</f>
        <v>#N/A Requesting Data...</v>
      </c>
      <c r="L169" s="8" t="str">
        <f>IF($A169="","",IF(ISNUMBER(FIND("IMPVOL",L$1)),_xll.BDH(config!$G$4,L$1,WORKDAY($A169,-1,config_Holiday_Calendar_US),WORKDAY($A169,-1,config_Holiday_Calendar_US)),IF(ISNUMBER(_xll.BDH(config!$G$4,L$1,$A169,$A169)),_xll.BDH(config!$G$4,L$1,$A169,$A169),_xll.BDH(config!$G$5,L$1,$A169,$A169))))</f>
        <v>#N/A Requesting Data...</v>
      </c>
      <c r="M169" s="8" t="str">
        <f>IF($A169="","",IF(ISNUMBER(FIND("IMPVOL",M$1)),_xll.BDH(config!$G$4,M$1,WORKDAY($A169,-1,config_Holiday_Calendar_US),WORKDAY($A169,-1,config_Holiday_Calendar_US)),IF(ISNUMBER(_xll.BDH(config!$G$4,M$1,$A169,$A169)),_xll.BDH(config!$G$4,M$1,$A169,$A169),_xll.BDH(config!$G$5,M$1,$A169,$A169))))</f>
        <v>#N/A Requesting Data...</v>
      </c>
      <c r="N169" s="8" t="str">
        <f>IF($A169="","",IF(ISNUMBER(FIND("IMPVOL",N$1)),_xll.BDH(config!$G$4,N$1,WORKDAY($A169,-1,config_Holiday_Calendar_US),WORKDAY($A169,-1,config_Holiday_Calendar_US)),IF(ISNUMBER(_xll.BDH(config!$G$4,N$1,$A169,$A169)),_xll.BDH(config!$G$4,N$1,$A169,$A169),_xll.BDH(config!$G$5,N$1,$A169,$A169))))</f>
        <v>#N/A Requesting Data...</v>
      </c>
      <c r="O169" s="8" t="str">
        <f>IF($A169="","",IF(ISNUMBER(FIND("IMPVOL",O$1)),_xll.BDH(config!$G$4,O$1,WORKDAY($A169,-1,config_Holiday_Calendar_US),WORKDAY($A169,-1,config_Holiday_Calendar_US)),IF(ISNUMBER(_xll.BDH(config!$G$4,O$1,$A169,$A169)),_xll.BDH(config!$G$4,O$1,$A169,$A169),_xll.BDH(config!$G$5,O$1,$A169,$A169))))</f>
        <v>#N/A Requesting Data...</v>
      </c>
      <c r="P169" s="8" t="str">
        <f>IF($A169="","",IF(ISNUMBER(FIND("IMPVOL",P$1)),_xll.BDH(config!$G$4,P$1,WORKDAY($A169,-1,config_Holiday_Calendar_US),WORKDAY($A169,-1,config_Holiday_Calendar_US)),IF(ISNUMBER(_xll.BDH(config!$G$4,P$1,$A169,$A169)),_xll.BDH(config!$G$4,P$1,$A169,$A169),_xll.BDH(config!$G$5,P$1,$A169,$A169))))</f>
        <v>#N/A Requesting Data...</v>
      </c>
      <c r="Q169" s="8">
        <f>IF($A169="","",IF(ISNUMBER(FIND("IMPVOL",Q$1)),_xll.BDH(config!$G$4,Q$1,WORKDAY($A169,-1,config_Holiday_Calendar_US),WORKDAY($A169,-1,config_Holiday_Calendar_US)),IF(ISNUMBER(_xll.BDH(config!$G$4,Q$1,$A169,$A169)),_xll.BDH(config!$G$4,Q$1,$A169,$A169),_xll.BDH(config!$G$5,Q$1,$A169,$A169))))</f>
        <v>36.57</v>
      </c>
      <c r="R169" s="8">
        <f>IF($A169="","",IF(ISNUMBER(FIND("IMPVOL",R$1)),_xll.BDH(config!$G$4,R$1,WORKDAY($A169,-1,config_Holiday_Calendar_US),WORKDAY($A169,-1,config_Holiday_Calendar_US)),IF(ISNUMBER(_xll.BDH(config!$G$4,R$1,$A169,$A169)),_xll.BDH(config!$G$4,R$1,$A169,$A169),_xll.BDH(config!$G$5,R$1,$A169,$A169))))</f>
        <v>42.2</v>
      </c>
      <c r="S169" s="8" t="str">
        <f>IF($A169="","",IF(ISNUMBER(FIND("IMPVOL",S$1)),_xll.BDH(config!$G$4,S$1,WORKDAY($A169,-1,config_Holiday_Calendar_US),WORKDAY($A169,-1,config_Holiday_Calendar_US)),IF(ISNUMBER(_xll.BDH(config!$G$4,S$1,$A169,$A169)),_xll.BDH(config!$G$4,S$1,$A169,$A169),_xll.BDH(config!$G$5,S$1,$A169,$A169))))</f>
        <v>#N/A Requesting Data...</v>
      </c>
      <c r="T169" s="8" t="str">
        <f>IF($A169="","",IF(ISNUMBER(FIND("IMPVOL",T$1)),_xll.BDH(config!$G$4,T$1,WORKDAY($A169,-1,config_Holiday_Calendar_US),WORKDAY($A169,-1,config_Holiday_Calendar_US)),IF(ISNUMBER(_xll.BDH(config!$G$4,T$1,$A169,$A169)),_xll.BDH(config!$G$4,T$1,$A169,$A169),_xll.BDH(config!$G$5,T$1,$A169,$A169))))</f>
        <v>#N/A Requesting Data...</v>
      </c>
      <c r="U169" s="8" t="str">
        <f>IF($A169="","",IF(ISNUMBER(FIND("IMPVOL",U$1)),_xll.BDH(config!$G$4,U$1,WORKDAY($A169,-1,config_Holiday_Calendar_US),WORKDAY($A169,-1,config_Holiday_Calendar_US)),IF(ISNUMBER(_xll.BDH(config!$G$4,U$1,$A169,$A169)),_xll.BDH(config!$G$4,U$1,$A169,$A169),_xll.BDH(config!$G$5,U$1,$A169,$A169))))</f>
        <v>#N/A Requesting Data...</v>
      </c>
      <c r="V169" s="8" t="str">
        <f>IF($A169="","",IF(ISNUMBER(FIND("IMPVOL",V$1)),_xll.BDH(config!$G$4,V$1,WORKDAY($A169,-1,config_Holiday_Calendar_US),WORKDAY($A169,-1,config_Holiday_Calendar_US)),IF(ISNUMBER(_xll.BDH(config!$G$4,V$1,$A169,$A169)),_xll.BDH(config!$G$4,V$1,$A169,$A169),_xll.BDH(config!$G$5,V$1,$A169,$A169))))</f>
        <v>#N/A Requesting Data...</v>
      </c>
      <c r="W169" s="8" t="str">
        <f>IF($A169="","",IF(ISNUMBER(FIND("IMPVOL",W$1)),_xll.BDH(config!$G$4,W$1,WORKDAY($A169,-1,config_Holiday_Calendar_US),WORKDAY($A169,-1,config_Holiday_Calendar_US)),IF(ISNUMBER(_xll.BDH(config!$G$4,W$1,$A169,$A169)),_xll.BDH(config!$G$4,W$1,$A169,$A169),_xll.BDH(config!$G$5,W$1,$A169,$A169))))</f>
        <v>#N/A Requesting Data...</v>
      </c>
    </row>
    <row r="170" spans="1:23" x14ac:dyDescent="0.2">
      <c r="A170" s="9">
        <f>IF(A169="","",IF(WORKDAY(A169,-1,config_Holiday_Calendar_US)&lt;config!$I$10,"",WORKDAY(A169,-1,config_Holiday_Calendar_US)))</f>
        <v>42586</v>
      </c>
      <c r="B170" s="8" t="e">
        <f t="shared" si="2"/>
        <v>#VALUE!</v>
      </c>
      <c r="C170" s="8" t="str">
        <f>IF(A170="","",_xll.BDH(config!$H$4,C$1,$A170,$A170))</f>
        <v>#N/A Requesting Data...</v>
      </c>
      <c r="D170" s="8" t="str">
        <f>IF($A170="","",_xll.BDH(config!$H$4,D$1,$A170,$A170))</f>
        <v>#N/A Requesting Data...</v>
      </c>
      <c r="E170" s="8">
        <f>IF($A170="","",IF(ISNUMBER(FIND("IMPVOL",E$1)),_xll.BDH(config!$G$4,E$1,WORKDAY($A170,-1,config_Holiday_Calendar_US),WORKDAY($A170,-1,config_Holiday_Calendar_US)),IF(ISNUMBER(_xll.BDH(config!$G$4,E$1,$A170,$A170)),_xll.BDH(config!$G$4,E$1,$A170,$A170),_xll.BDH(config!$G$5,E$1,$A170,$A170))))</f>
        <v>41.16</v>
      </c>
      <c r="F170" s="8">
        <f>IF($A170="","",IF(ISNUMBER(FIND("IMPVOL",F$1)),_xll.BDH(config!$G$4,F$1,WORKDAY($A170,-1,config_Holiday_Calendar_US),WORKDAY($A170,-1,config_Holiday_Calendar_US)),IF(ISNUMBER(_xll.BDH(config!$G$4,F$1,$A170,$A170)),_xll.BDH(config!$G$4,F$1,$A170,$A170),_xll.BDH(config!$G$5,F$1,$A170,$A170))))</f>
        <v>42.08</v>
      </c>
      <c r="G170" s="8">
        <f>IF($A170="","",IF(ISNUMBER(FIND("IMPVOL",G$1)),_xll.BDH(config!$G$4,G$1,WORKDAY($A170,-1,config_Holiday_Calendar_US),WORKDAY($A170,-1,config_Holiday_Calendar_US)),IF(ISNUMBER(_xll.BDH(config!$G$4,G$1,$A170,$A170)),_xll.BDH(config!$G$4,G$1,$A170,$A170),_xll.BDH(config!$G$5,G$1,$A170,$A170))))</f>
        <v>41.16</v>
      </c>
      <c r="H170" s="8">
        <f>IF($A170="","",IF(ISNUMBER(FIND("IMPVOL",H$1)),_xll.BDH(config!$G$4,H$1,WORKDAY($A170,-1,config_Holiday_Calendar_US),WORKDAY($A170,-1,config_Holiday_Calendar_US)),IF(ISNUMBER(_xll.BDH(config!$G$4,H$1,$A170,$A170)),_xll.BDH(config!$G$4,H$1,$A170,$A170),_xll.BDH(config!$G$5,H$1,$A170,$A170))))</f>
        <v>195416</v>
      </c>
      <c r="I170" s="8" t="str">
        <f>IF($A170="","",IF(ISNUMBER(FIND("IMPVOL",I$1)),_xll.BDH(config!$G$4,I$1,WORKDAY($A170,-1,config_Holiday_Calendar_US),WORKDAY($A170,-1,config_Holiday_Calendar_US)),IF(ISNUMBER(_xll.BDH(config!$G$4,I$1,$A170,$A170)),_xll.BDH(config!$G$4,I$1,$A170,$A170),_xll.BDH(config!$G$5,I$1,$A170,$A170))))</f>
        <v>#N/A Requesting Data...</v>
      </c>
      <c r="J170" s="8" t="str">
        <f>IF($A170="","",IF(ISNUMBER(FIND("IMPVOL",J$1)),_xll.BDH(config!$G$4,J$1,WORKDAY($A170,-1,config_Holiday_Calendar_US),WORKDAY($A170,-1,config_Holiday_Calendar_US)),IF(ISNUMBER(_xll.BDH(config!$G$4,J$1,$A170,$A170)),_xll.BDH(config!$G$4,J$1,$A170,$A170),_xll.BDH(config!$G$5,J$1,$A170,$A170))))</f>
        <v>#N/A Requesting Data...</v>
      </c>
      <c r="K170" s="8" t="str">
        <f>IF($A170="","",IF(ISNUMBER(FIND("IMPVOL",K$1)),_xll.BDH(config!$G$4,K$1,WORKDAY($A170,-1,config_Holiday_Calendar_US),WORKDAY($A170,-1,config_Holiday_Calendar_US)),IF(ISNUMBER(_xll.BDH(config!$G$4,K$1,$A170,$A170)),_xll.BDH(config!$G$4,K$1,$A170,$A170),_xll.BDH(config!$G$5,K$1,$A170,$A170))))</f>
        <v>#N/A Requesting Data...</v>
      </c>
      <c r="L170" s="8" t="str">
        <f>IF($A170="","",IF(ISNUMBER(FIND("IMPVOL",L$1)),_xll.BDH(config!$G$4,L$1,WORKDAY($A170,-1,config_Holiday_Calendar_US),WORKDAY($A170,-1,config_Holiday_Calendar_US)),IF(ISNUMBER(_xll.BDH(config!$G$4,L$1,$A170,$A170)),_xll.BDH(config!$G$4,L$1,$A170,$A170),_xll.BDH(config!$G$5,L$1,$A170,$A170))))</f>
        <v>#N/A Requesting Data...</v>
      </c>
      <c r="M170" s="8" t="str">
        <f>IF($A170="","",IF(ISNUMBER(FIND("IMPVOL",M$1)),_xll.BDH(config!$G$4,M$1,WORKDAY($A170,-1,config_Holiday_Calendar_US),WORKDAY($A170,-1,config_Holiday_Calendar_US)),IF(ISNUMBER(_xll.BDH(config!$G$4,M$1,$A170,$A170)),_xll.BDH(config!$G$4,M$1,$A170,$A170),_xll.BDH(config!$G$5,M$1,$A170,$A170))))</f>
        <v>#N/A Requesting Data...</v>
      </c>
      <c r="N170" s="8" t="str">
        <f>IF($A170="","",IF(ISNUMBER(FIND("IMPVOL",N$1)),_xll.BDH(config!$G$4,N$1,WORKDAY($A170,-1,config_Holiday_Calendar_US),WORKDAY($A170,-1,config_Holiday_Calendar_US)),IF(ISNUMBER(_xll.BDH(config!$G$4,N$1,$A170,$A170)),_xll.BDH(config!$G$4,N$1,$A170,$A170),_xll.BDH(config!$G$5,N$1,$A170,$A170))))</f>
        <v>#N/A Requesting Data...</v>
      </c>
      <c r="O170" s="8" t="str">
        <f>IF($A170="","",IF(ISNUMBER(FIND("IMPVOL",O$1)),_xll.BDH(config!$G$4,O$1,WORKDAY($A170,-1,config_Holiday_Calendar_US),WORKDAY($A170,-1,config_Holiday_Calendar_US)),IF(ISNUMBER(_xll.BDH(config!$G$4,O$1,$A170,$A170)),_xll.BDH(config!$G$4,O$1,$A170,$A170),_xll.BDH(config!$G$5,O$1,$A170,$A170))))</f>
        <v>#N/A Requesting Data...</v>
      </c>
      <c r="P170" s="8" t="str">
        <f>IF($A170="","",IF(ISNUMBER(FIND("IMPVOL",P$1)),_xll.BDH(config!$G$4,P$1,WORKDAY($A170,-1,config_Holiday_Calendar_US),WORKDAY($A170,-1,config_Holiday_Calendar_US)),IF(ISNUMBER(_xll.BDH(config!$G$4,P$1,$A170,$A170)),_xll.BDH(config!$G$4,P$1,$A170,$A170),_xll.BDH(config!$G$5,P$1,$A170,$A170))))</f>
        <v>#N/A Requesting Data...</v>
      </c>
      <c r="Q170" s="8">
        <f>IF($A170="","",IF(ISNUMBER(FIND("IMPVOL",Q$1)),_xll.BDH(config!$G$4,Q$1,WORKDAY($A170,-1,config_Holiday_Calendar_US),WORKDAY($A170,-1,config_Holiday_Calendar_US)),IF(ISNUMBER(_xll.BDH(config!$G$4,Q$1,$A170,$A170)),_xll.BDH(config!$G$4,Q$1,$A170,$A170),_xll.BDH(config!$G$5,Q$1,$A170,$A170))))</f>
        <v>38.020000000000003</v>
      </c>
      <c r="R170" s="8">
        <f>IF($A170="","",IF(ISNUMBER(FIND("IMPVOL",R$1)),_xll.BDH(config!$G$4,R$1,WORKDAY($A170,-1,config_Holiday_Calendar_US),WORKDAY($A170,-1,config_Holiday_Calendar_US)),IF(ISNUMBER(_xll.BDH(config!$G$4,R$1,$A170,$A170)),_xll.BDH(config!$G$4,R$1,$A170,$A170),_xll.BDH(config!$G$5,R$1,$A170,$A170))))</f>
        <v>44.3</v>
      </c>
      <c r="S170" s="8" t="str">
        <f>IF($A170="","",IF(ISNUMBER(FIND("IMPVOL",S$1)),_xll.BDH(config!$G$4,S$1,WORKDAY($A170,-1,config_Holiday_Calendar_US),WORKDAY($A170,-1,config_Holiday_Calendar_US)),IF(ISNUMBER(_xll.BDH(config!$G$4,S$1,$A170,$A170)),_xll.BDH(config!$G$4,S$1,$A170,$A170),_xll.BDH(config!$G$5,S$1,$A170,$A170))))</f>
        <v>#N/A Requesting Data...</v>
      </c>
      <c r="T170" s="8" t="str">
        <f>IF($A170="","",IF(ISNUMBER(FIND("IMPVOL",T$1)),_xll.BDH(config!$G$4,T$1,WORKDAY($A170,-1,config_Holiday_Calendar_US),WORKDAY($A170,-1,config_Holiday_Calendar_US)),IF(ISNUMBER(_xll.BDH(config!$G$4,T$1,$A170,$A170)),_xll.BDH(config!$G$4,T$1,$A170,$A170),_xll.BDH(config!$G$5,T$1,$A170,$A170))))</f>
        <v>#N/A Requesting Data...</v>
      </c>
      <c r="U170" s="8" t="str">
        <f>IF($A170="","",IF(ISNUMBER(FIND("IMPVOL",U$1)),_xll.BDH(config!$G$4,U$1,WORKDAY($A170,-1,config_Holiday_Calendar_US),WORKDAY($A170,-1,config_Holiday_Calendar_US)),IF(ISNUMBER(_xll.BDH(config!$G$4,U$1,$A170,$A170)),_xll.BDH(config!$G$4,U$1,$A170,$A170),_xll.BDH(config!$G$5,U$1,$A170,$A170))))</f>
        <v>#N/A Requesting Data...</v>
      </c>
      <c r="V170" s="8" t="str">
        <f>IF($A170="","",IF(ISNUMBER(FIND("IMPVOL",V$1)),_xll.BDH(config!$G$4,V$1,WORKDAY($A170,-1,config_Holiday_Calendar_US),WORKDAY($A170,-1,config_Holiday_Calendar_US)),IF(ISNUMBER(_xll.BDH(config!$G$4,V$1,$A170,$A170)),_xll.BDH(config!$G$4,V$1,$A170,$A170),_xll.BDH(config!$G$5,V$1,$A170,$A170))))</f>
        <v>#N/A Requesting Data...</v>
      </c>
      <c r="W170" s="8" t="str">
        <f>IF($A170="","",IF(ISNUMBER(FIND("IMPVOL",W$1)),_xll.BDH(config!$G$4,W$1,WORKDAY($A170,-1,config_Holiday_Calendar_US),WORKDAY($A170,-1,config_Holiday_Calendar_US)),IF(ISNUMBER(_xll.BDH(config!$G$4,W$1,$A170,$A170)),_xll.BDH(config!$G$4,W$1,$A170,$A170),_xll.BDH(config!$G$5,W$1,$A170,$A170))))</f>
        <v>#N/A Requesting Data...</v>
      </c>
    </row>
    <row r="171" spans="1:23" x14ac:dyDescent="0.2">
      <c r="A171" s="9">
        <f>IF(A170="","",IF(WORKDAY(A170,-1,config_Holiday_Calendar_US)&lt;config!$I$10,"",WORKDAY(A170,-1,config_Holiday_Calendar_US)))</f>
        <v>42585</v>
      </c>
      <c r="B171" s="8" t="e">
        <f t="shared" si="2"/>
        <v>#VALUE!</v>
      </c>
      <c r="C171" s="8" t="str">
        <f>IF(A171="","",_xll.BDH(config!$H$4,C$1,$A171,$A171))</f>
        <v>#N/A Requesting Data...</v>
      </c>
      <c r="D171" s="8" t="str">
        <f>IF($A171="","",_xll.BDH(config!$H$4,D$1,$A171,$A171))</f>
        <v>#N/A Requesting Data...</v>
      </c>
      <c r="E171" s="8">
        <f>IF($A171="","",IF(ISNUMBER(FIND("IMPVOL",E$1)),_xll.BDH(config!$G$4,E$1,WORKDAY($A171,-1,config_Holiday_Calendar_US),WORKDAY($A171,-1,config_Holiday_Calendar_US)),IF(ISNUMBER(_xll.BDH(config!$G$4,E$1,$A171,$A171)),_xll.BDH(config!$G$4,E$1,$A171,$A171),_xll.BDH(config!$G$5,E$1,$A171,$A171))))</f>
        <v>39.700000000000003</v>
      </c>
      <c r="F171" s="8">
        <f>IF($A171="","",IF(ISNUMBER(FIND("IMPVOL",F$1)),_xll.BDH(config!$G$4,F$1,WORKDAY($A171,-1,config_Holiday_Calendar_US),WORKDAY($A171,-1,config_Holiday_Calendar_US)),IF(ISNUMBER(_xll.BDH(config!$G$4,F$1,$A171,$A171)),_xll.BDH(config!$G$4,F$1,$A171,$A171),_xll.BDH(config!$G$5,F$1,$A171,$A171))))</f>
        <v>41.2</v>
      </c>
      <c r="G171" s="8">
        <f>IF($A171="","",IF(ISNUMBER(FIND("IMPVOL",G$1)),_xll.BDH(config!$G$4,G$1,WORKDAY($A171,-1,config_Holiday_Calendar_US),WORKDAY($A171,-1,config_Holiday_Calendar_US)),IF(ISNUMBER(_xll.BDH(config!$G$4,G$1,$A171,$A171)),_xll.BDH(config!$G$4,G$1,$A171,$A171),_xll.BDH(config!$G$5,G$1,$A171,$A171))))</f>
        <v>39.96</v>
      </c>
      <c r="H171" s="8">
        <f>IF($A171="","",IF(ISNUMBER(FIND("IMPVOL",H$1)),_xll.BDH(config!$G$4,H$1,WORKDAY($A171,-1,config_Holiday_Calendar_US),WORKDAY($A171,-1,config_Holiday_Calendar_US)),IF(ISNUMBER(_xll.BDH(config!$G$4,H$1,$A171,$A171)),_xll.BDH(config!$G$4,H$1,$A171,$A171),_xll.BDH(config!$G$5,H$1,$A171,$A171))))</f>
        <v>176231</v>
      </c>
      <c r="I171" s="8" t="str">
        <f>IF($A171="","",IF(ISNUMBER(FIND("IMPVOL",I$1)),_xll.BDH(config!$G$4,I$1,WORKDAY($A171,-1,config_Holiday_Calendar_US),WORKDAY($A171,-1,config_Holiday_Calendar_US)),IF(ISNUMBER(_xll.BDH(config!$G$4,I$1,$A171,$A171)),_xll.BDH(config!$G$4,I$1,$A171,$A171),_xll.BDH(config!$G$5,I$1,$A171,$A171))))</f>
        <v>#N/A Requesting Data...</v>
      </c>
      <c r="J171" s="8" t="str">
        <f>IF($A171="","",IF(ISNUMBER(FIND("IMPVOL",J$1)),_xll.BDH(config!$G$4,J$1,WORKDAY($A171,-1,config_Holiday_Calendar_US),WORKDAY($A171,-1,config_Holiday_Calendar_US)),IF(ISNUMBER(_xll.BDH(config!$G$4,J$1,$A171,$A171)),_xll.BDH(config!$G$4,J$1,$A171,$A171),_xll.BDH(config!$G$5,J$1,$A171,$A171))))</f>
        <v>#N/A Requesting Data...</v>
      </c>
      <c r="K171" s="8" t="str">
        <f>IF($A171="","",IF(ISNUMBER(FIND("IMPVOL",K$1)),_xll.BDH(config!$G$4,K$1,WORKDAY($A171,-1,config_Holiday_Calendar_US),WORKDAY($A171,-1,config_Holiday_Calendar_US)),IF(ISNUMBER(_xll.BDH(config!$G$4,K$1,$A171,$A171)),_xll.BDH(config!$G$4,K$1,$A171,$A171),_xll.BDH(config!$G$5,K$1,$A171,$A171))))</f>
        <v>#N/A Requesting Data...</v>
      </c>
      <c r="L171" s="8" t="str">
        <f>IF($A171="","",IF(ISNUMBER(FIND("IMPVOL",L$1)),_xll.BDH(config!$G$4,L$1,WORKDAY($A171,-1,config_Holiday_Calendar_US),WORKDAY($A171,-1,config_Holiday_Calendar_US)),IF(ISNUMBER(_xll.BDH(config!$G$4,L$1,$A171,$A171)),_xll.BDH(config!$G$4,L$1,$A171,$A171),_xll.BDH(config!$G$5,L$1,$A171,$A171))))</f>
        <v>#N/A Requesting Data...</v>
      </c>
      <c r="M171" s="8" t="str">
        <f>IF($A171="","",IF(ISNUMBER(FIND("IMPVOL",M$1)),_xll.BDH(config!$G$4,M$1,WORKDAY($A171,-1,config_Holiday_Calendar_US),WORKDAY($A171,-1,config_Holiday_Calendar_US)),IF(ISNUMBER(_xll.BDH(config!$G$4,M$1,$A171,$A171)),_xll.BDH(config!$G$4,M$1,$A171,$A171),_xll.BDH(config!$G$5,M$1,$A171,$A171))))</f>
        <v>#N/A Requesting Data...</v>
      </c>
      <c r="N171" s="8" t="str">
        <f>IF($A171="","",IF(ISNUMBER(FIND("IMPVOL",N$1)),_xll.BDH(config!$G$4,N$1,WORKDAY($A171,-1,config_Holiday_Calendar_US),WORKDAY($A171,-1,config_Holiday_Calendar_US)),IF(ISNUMBER(_xll.BDH(config!$G$4,N$1,$A171,$A171)),_xll.BDH(config!$G$4,N$1,$A171,$A171),_xll.BDH(config!$G$5,N$1,$A171,$A171))))</f>
        <v>#N/A Requesting Data...</v>
      </c>
      <c r="O171" s="8" t="str">
        <f>IF($A171="","",IF(ISNUMBER(FIND("IMPVOL",O$1)),_xll.BDH(config!$G$4,O$1,WORKDAY($A171,-1,config_Holiday_Calendar_US),WORKDAY($A171,-1,config_Holiday_Calendar_US)),IF(ISNUMBER(_xll.BDH(config!$G$4,O$1,$A171,$A171)),_xll.BDH(config!$G$4,O$1,$A171,$A171),_xll.BDH(config!$G$5,O$1,$A171,$A171))))</f>
        <v>#N/A Requesting Data...</v>
      </c>
      <c r="P171" s="8" t="str">
        <f>IF($A171="","",IF(ISNUMBER(FIND("IMPVOL",P$1)),_xll.BDH(config!$G$4,P$1,WORKDAY($A171,-1,config_Holiday_Calendar_US),WORKDAY($A171,-1,config_Holiday_Calendar_US)),IF(ISNUMBER(_xll.BDH(config!$G$4,P$1,$A171,$A171)),_xll.BDH(config!$G$4,P$1,$A171,$A171),_xll.BDH(config!$G$5,P$1,$A171,$A171))))</f>
        <v>#N/A Requesting Data...</v>
      </c>
      <c r="Q171" s="8">
        <f>IF($A171="","",IF(ISNUMBER(FIND("IMPVOL",Q$1)),_xll.BDH(config!$G$4,Q$1,WORKDAY($A171,-1,config_Holiday_Calendar_US),WORKDAY($A171,-1,config_Holiday_Calendar_US)),IF(ISNUMBER(_xll.BDH(config!$G$4,Q$1,$A171,$A171)),_xll.BDH(config!$G$4,Q$1,$A171,$A171),_xll.BDH(config!$G$5,Q$1,$A171,$A171))))</f>
        <v>32.799999999999997</v>
      </c>
      <c r="R171" s="8">
        <f>IF($A171="","",IF(ISNUMBER(FIND("IMPVOL",R$1)),_xll.BDH(config!$G$4,R$1,WORKDAY($A171,-1,config_Holiday_Calendar_US),WORKDAY($A171,-1,config_Holiday_Calendar_US)),IF(ISNUMBER(_xll.BDH(config!$G$4,R$1,$A171,$A171)),_xll.BDH(config!$G$4,R$1,$A171,$A171),_xll.BDH(config!$G$5,R$1,$A171,$A171))))</f>
        <v>43.88</v>
      </c>
      <c r="S171" s="8" t="str">
        <f>IF($A171="","",IF(ISNUMBER(FIND("IMPVOL",S$1)),_xll.BDH(config!$G$4,S$1,WORKDAY($A171,-1,config_Holiday_Calendar_US),WORKDAY($A171,-1,config_Holiday_Calendar_US)),IF(ISNUMBER(_xll.BDH(config!$G$4,S$1,$A171,$A171)),_xll.BDH(config!$G$4,S$1,$A171,$A171),_xll.BDH(config!$G$5,S$1,$A171,$A171))))</f>
        <v>#N/A Requesting Data...</v>
      </c>
      <c r="T171" s="8" t="str">
        <f>IF($A171="","",IF(ISNUMBER(FIND("IMPVOL",T$1)),_xll.BDH(config!$G$4,T$1,WORKDAY($A171,-1,config_Holiday_Calendar_US),WORKDAY($A171,-1,config_Holiday_Calendar_US)),IF(ISNUMBER(_xll.BDH(config!$G$4,T$1,$A171,$A171)),_xll.BDH(config!$G$4,T$1,$A171,$A171),_xll.BDH(config!$G$5,T$1,$A171,$A171))))</f>
        <v>#N/A Requesting Data...</v>
      </c>
      <c r="U171" s="8" t="str">
        <f>IF($A171="","",IF(ISNUMBER(FIND("IMPVOL",U$1)),_xll.BDH(config!$G$4,U$1,WORKDAY($A171,-1,config_Holiday_Calendar_US),WORKDAY($A171,-1,config_Holiday_Calendar_US)),IF(ISNUMBER(_xll.BDH(config!$G$4,U$1,$A171,$A171)),_xll.BDH(config!$G$4,U$1,$A171,$A171),_xll.BDH(config!$G$5,U$1,$A171,$A171))))</f>
        <v>#N/A Requesting Data...</v>
      </c>
      <c r="V171" s="8" t="str">
        <f>IF($A171="","",IF(ISNUMBER(FIND("IMPVOL",V$1)),_xll.BDH(config!$G$4,V$1,WORKDAY($A171,-1,config_Holiday_Calendar_US),WORKDAY($A171,-1,config_Holiday_Calendar_US)),IF(ISNUMBER(_xll.BDH(config!$G$4,V$1,$A171,$A171)),_xll.BDH(config!$G$4,V$1,$A171,$A171),_xll.BDH(config!$G$5,V$1,$A171,$A171))))</f>
        <v>#N/A Requesting Data...</v>
      </c>
      <c r="W171" s="8" t="str">
        <f>IF($A171="","",IF(ISNUMBER(FIND("IMPVOL",W$1)),_xll.BDH(config!$G$4,W$1,WORKDAY($A171,-1,config_Holiday_Calendar_US),WORKDAY($A171,-1,config_Holiday_Calendar_US)),IF(ISNUMBER(_xll.BDH(config!$G$4,W$1,$A171,$A171)),_xll.BDH(config!$G$4,W$1,$A171,$A171),_xll.BDH(config!$G$5,W$1,$A171,$A171))))</f>
        <v>#N/A Requesting Data...</v>
      </c>
    </row>
    <row r="172" spans="1:23" x14ac:dyDescent="0.2">
      <c r="A172" s="9">
        <f>IF(A171="","",IF(WORKDAY(A171,-1,config_Holiday_Calendar_US)&lt;config!$I$10,"",WORKDAY(A171,-1,config_Holiday_Calendar_US)))</f>
        <v>42584</v>
      </c>
      <c r="B172" s="8" t="e">
        <f t="shared" si="2"/>
        <v>#VALUE!</v>
      </c>
      <c r="C172" s="8" t="str">
        <f>IF(A172="","",_xll.BDH(config!$H$4,C$1,$A172,$A172))</f>
        <v>#N/A Requesting Data...</v>
      </c>
      <c r="D172" s="8" t="str">
        <f>IF($A172="","",_xll.BDH(config!$H$4,D$1,$A172,$A172))</f>
        <v>#N/A Requesting Data...</v>
      </c>
      <c r="E172" s="8">
        <f>IF($A172="","",IF(ISNUMBER(FIND("IMPVOL",E$1)),_xll.BDH(config!$G$4,E$1,WORKDAY($A172,-1,config_Holiday_Calendar_US),WORKDAY($A172,-1,config_Holiday_Calendar_US)),IF(ISNUMBER(_xll.BDH(config!$G$4,E$1,$A172,$A172)),_xll.BDH(config!$G$4,E$1,$A172,$A172),_xll.BDH(config!$G$5,E$1,$A172,$A172))))</f>
        <v>40.08</v>
      </c>
      <c r="F172" s="8">
        <f>IF($A172="","",IF(ISNUMBER(FIND("IMPVOL",F$1)),_xll.BDH(config!$G$4,F$1,WORKDAY($A172,-1,config_Holiday_Calendar_US),WORKDAY($A172,-1,config_Holiday_Calendar_US)),IF(ISNUMBER(_xll.BDH(config!$G$4,F$1,$A172,$A172)),_xll.BDH(config!$G$4,F$1,$A172,$A172),_xll.BDH(config!$G$5,F$1,$A172,$A172))))</f>
        <v>40.909999999999997</v>
      </c>
      <c r="G172" s="8">
        <f>IF($A172="","",IF(ISNUMBER(FIND("IMPVOL",G$1)),_xll.BDH(config!$G$4,G$1,WORKDAY($A172,-1,config_Holiday_Calendar_US),WORKDAY($A172,-1,config_Holiday_Calendar_US)),IF(ISNUMBER(_xll.BDH(config!$G$4,G$1,$A172,$A172)),_xll.BDH(config!$G$4,G$1,$A172,$A172),_xll.BDH(config!$G$5,G$1,$A172,$A172))))</f>
        <v>40.049999999999997</v>
      </c>
      <c r="H172" s="8">
        <f>IF($A172="","",IF(ISNUMBER(FIND("IMPVOL",H$1)),_xll.BDH(config!$G$4,H$1,WORKDAY($A172,-1,config_Holiday_Calendar_US),WORKDAY($A172,-1,config_Holiday_Calendar_US)),IF(ISNUMBER(_xll.BDH(config!$G$4,H$1,$A172,$A172)),_xll.BDH(config!$G$4,H$1,$A172,$A172),_xll.BDH(config!$G$5,H$1,$A172,$A172))))</f>
        <v>136591</v>
      </c>
      <c r="I172" s="8" t="str">
        <f>IF($A172="","",IF(ISNUMBER(FIND("IMPVOL",I$1)),_xll.BDH(config!$G$4,I$1,WORKDAY($A172,-1,config_Holiday_Calendar_US),WORKDAY($A172,-1,config_Holiday_Calendar_US)),IF(ISNUMBER(_xll.BDH(config!$G$4,I$1,$A172,$A172)),_xll.BDH(config!$G$4,I$1,$A172,$A172),_xll.BDH(config!$G$5,I$1,$A172,$A172))))</f>
        <v>#N/A Requesting Data...</v>
      </c>
      <c r="J172" s="8" t="str">
        <f>IF($A172="","",IF(ISNUMBER(FIND("IMPVOL",J$1)),_xll.BDH(config!$G$4,J$1,WORKDAY($A172,-1,config_Holiday_Calendar_US),WORKDAY($A172,-1,config_Holiday_Calendar_US)),IF(ISNUMBER(_xll.BDH(config!$G$4,J$1,$A172,$A172)),_xll.BDH(config!$G$4,J$1,$A172,$A172),_xll.BDH(config!$G$5,J$1,$A172,$A172))))</f>
        <v>#N/A Requesting Data...</v>
      </c>
      <c r="K172" s="8" t="str">
        <f>IF($A172="","",IF(ISNUMBER(FIND("IMPVOL",K$1)),_xll.BDH(config!$G$4,K$1,WORKDAY($A172,-1,config_Holiday_Calendar_US),WORKDAY($A172,-1,config_Holiday_Calendar_US)),IF(ISNUMBER(_xll.BDH(config!$G$4,K$1,$A172,$A172)),_xll.BDH(config!$G$4,K$1,$A172,$A172),_xll.BDH(config!$G$5,K$1,$A172,$A172))))</f>
        <v>#N/A Requesting Data...</v>
      </c>
      <c r="L172" s="8" t="str">
        <f>IF($A172="","",IF(ISNUMBER(FIND("IMPVOL",L$1)),_xll.BDH(config!$G$4,L$1,WORKDAY($A172,-1,config_Holiday_Calendar_US),WORKDAY($A172,-1,config_Holiday_Calendar_US)),IF(ISNUMBER(_xll.BDH(config!$G$4,L$1,$A172,$A172)),_xll.BDH(config!$G$4,L$1,$A172,$A172),_xll.BDH(config!$G$5,L$1,$A172,$A172))))</f>
        <v>#N/A Requesting Data...</v>
      </c>
      <c r="M172" s="8" t="str">
        <f>IF($A172="","",IF(ISNUMBER(FIND("IMPVOL",M$1)),_xll.BDH(config!$G$4,M$1,WORKDAY($A172,-1,config_Holiday_Calendar_US),WORKDAY($A172,-1,config_Holiday_Calendar_US)),IF(ISNUMBER(_xll.BDH(config!$G$4,M$1,$A172,$A172)),_xll.BDH(config!$G$4,M$1,$A172,$A172),_xll.BDH(config!$G$5,M$1,$A172,$A172))))</f>
        <v>#N/A Requesting Data...</v>
      </c>
      <c r="N172" s="8" t="str">
        <f>IF($A172="","",IF(ISNUMBER(FIND("IMPVOL",N$1)),_xll.BDH(config!$G$4,N$1,WORKDAY($A172,-1,config_Holiday_Calendar_US),WORKDAY($A172,-1,config_Holiday_Calendar_US)),IF(ISNUMBER(_xll.BDH(config!$G$4,N$1,$A172,$A172)),_xll.BDH(config!$G$4,N$1,$A172,$A172),_xll.BDH(config!$G$5,N$1,$A172,$A172))))</f>
        <v>#N/A Requesting Data...</v>
      </c>
      <c r="O172" s="8" t="str">
        <f>IF($A172="","",IF(ISNUMBER(FIND("IMPVOL",O$1)),_xll.BDH(config!$G$4,O$1,WORKDAY($A172,-1,config_Holiday_Calendar_US),WORKDAY($A172,-1,config_Holiday_Calendar_US)),IF(ISNUMBER(_xll.BDH(config!$G$4,O$1,$A172,$A172)),_xll.BDH(config!$G$4,O$1,$A172,$A172),_xll.BDH(config!$G$5,O$1,$A172,$A172))))</f>
        <v>#N/A Requesting Data...</v>
      </c>
      <c r="P172" s="8" t="str">
        <f>IF($A172="","",IF(ISNUMBER(FIND("IMPVOL",P$1)),_xll.BDH(config!$G$4,P$1,WORKDAY($A172,-1,config_Holiday_Calendar_US),WORKDAY($A172,-1,config_Holiday_Calendar_US)),IF(ISNUMBER(_xll.BDH(config!$G$4,P$1,$A172,$A172)),_xll.BDH(config!$G$4,P$1,$A172,$A172),_xll.BDH(config!$G$5,P$1,$A172,$A172))))</f>
        <v>#N/A Requesting Data...</v>
      </c>
      <c r="Q172" s="8">
        <f>IF($A172="","",IF(ISNUMBER(FIND("IMPVOL",Q$1)),_xll.BDH(config!$G$4,Q$1,WORKDAY($A172,-1,config_Holiday_Calendar_US),WORKDAY($A172,-1,config_Holiday_Calendar_US)),IF(ISNUMBER(_xll.BDH(config!$G$4,Q$1,$A172,$A172)),_xll.BDH(config!$G$4,Q$1,$A172,$A172),_xll.BDH(config!$G$5,Q$1,$A172,$A172))))</f>
        <v>21.84</v>
      </c>
      <c r="R172" s="8">
        <f>IF($A172="","",IF(ISNUMBER(FIND("IMPVOL",R$1)),_xll.BDH(config!$G$4,R$1,WORKDAY($A172,-1,config_Holiday_Calendar_US),WORKDAY($A172,-1,config_Holiday_Calendar_US)),IF(ISNUMBER(_xll.BDH(config!$G$4,R$1,$A172,$A172)),_xll.BDH(config!$G$4,R$1,$A172,$A172),_xll.BDH(config!$G$5,R$1,$A172,$A172))))</f>
        <v>42.35</v>
      </c>
      <c r="S172" s="8" t="str">
        <f>IF($A172="","",IF(ISNUMBER(FIND("IMPVOL",S$1)),_xll.BDH(config!$G$4,S$1,WORKDAY($A172,-1,config_Holiday_Calendar_US),WORKDAY($A172,-1,config_Holiday_Calendar_US)),IF(ISNUMBER(_xll.BDH(config!$G$4,S$1,$A172,$A172)),_xll.BDH(config!$G$4,S$1,$A172,$A172),_xll.BDH(config!$G$5,S$1,$A172,$A172))))</f>
        <v>#N/A Requesting Data...</v>
      </c>
      <c r="T172" s="8" t="str">
        <f>IF($A172="","",IF(ISNUMBER(FIND("IMPVOL",T$1)),_xll.BDH(config!$G$4,T$1,WORKDAY($A172,-1,config_Holiday_Calendar_US),WORKDAY($A172,-1,config_Holiday_Calendar_US)),IF(ISNUMBER(_xll.BDH(config!$G$4,T$1,$A172,$A172)),_xll.BDH(config!$G$4,T$1,$A172,$A172),_xll.BDH(config!$G$5,T$1,$A172,$A172))))</f>
        <v>#N/A Requesting Data...</v>
      </c>
      <c r="U172" s="8" t="str">
        <f>IF($A172="","",IF(ISNUMBER(FIND("IMPVOL",U$1)),_xll.BDH(config!$G$4,U$1,WORKDAY($A172,-1,config_Holiday_Calendar_US),WORKDAY($A172,-1,config_Holiday_Calendar_US)),IF(ISNUMBER(_xll.BDH(config!$G$4,U$1,$A172,$A172)),_xll.BDH(config!$G$4,U$1,$A172,$A172),_xll.BDH(config!$G$5,U$1,$A172,$A172))))</f>
        <v>#N/A Requesting Data...</v>
      </c>
      <c r="V172" s="8" t="str">
        <f>IF($A172="","",IF(ISNUMBER(FIND("IMPVOL",V$1)),_xll.BDH(config!$G$4,V$1,WORKDAY($A172,-1,config_Holiday_Calendar_US),WORKDAY($A172,-1,config_Holiday_Calendar_US)),IF(ISNUMBER(_xll.BDH(config!$G$4,V$1,$A172,$A172)),_xll.BDH(config!$G$4,V$1,$A172,$A172),_xll.BDH(config!$G$5,V$1,$A172,$A172))))</f>
        <v>#N/A Requesting Data...</v>
      </c>
      <c r="W172" s="8" t="str">
        <f>IF($A172="","",IF(ISNUMBER(FIND("IMPVOL",W$1)),_xll.BDH(config!$G$4,W$1,WORKDAY($A172,-1,config_Holiday_Calendar_US),WORKDAY($A172,-1,config_Holiday_Calendar_US)),IF(ISNUMBER(_xll.BDH(config!$G$4,W$1,$A172,$A172)),_xll.BDH(config!$G$4,W$1,$A172,$A172),_xll.BDH(config!$G$5,W$1,$A172,$A172))))</f>
        <v>#N/A Requesting Data...</v>
      </c>
    </row>
    <row r="173" spans="1:23" x14ac:dyDescent="0.2">
      <c r="A173" s="9">
        <f>IF(A172="","",IF(WORKDAY(A172,-1,config_Holiday_Calendar_US)&lt;config!$I$10,"",WORKDAY(A172,-1,config_Holiday_Calendar_US)))</f>
        <v>42583</v>
      </c>
      <c r="B173" s="8" t="e">
        <f t="shared" si="2"/>
        <v>#VALUE!</v>
      </c>
      <c r="C173" s="8" t="str">
        <f>IF(A173="","",_xll.BDH(config!$H$4,C$1,$A173,$A173))</f>
        <v>#N/A Requesting Data...</v>
      </c>
      <c r="D173" s="8" t="str">
        <f>IF($A173="","",_xll.BDH(config!$H$4,D$1,$A173,$A173))</f>
        <v>#N/A Requesting Data...</v>
      </c>
      <c r="E173" s="8">
        <f>IF($A173="","",IF(ISNUMBER(FIND("IMPVOL",E$1)),_xll.BDH(config!$G$4,E$1,WORKDAY($A173,-1,config_Holiday_Calendar_US),WORKDAY($A173,-1,config_Holiday_Calendar_US)),IF(ISNUMBER(_xll.BDH(config!$G$4,E$1,$A173,$A173)),_xll.BDH(config!$G$4,E$1,$A173,$A173),_xll.BDH(config!$G$5,E$1,$A173,$A173))))</f>
        <v>41.35</v>
      </c>
      <c r="F173" s="8">
        <f>IF($A173="","",IF(ISNUMBER(FIND("IMPVOL",F$1)),_xll.BDH(config!$G$4,F$1,WORKDAY($A173,-1,config_Holiday_Calendar_US),WORKDAY($A173,-1,config_Holiday_Calendar_US)),IF(ISNUMBER(_xll.BDH(config!$G$4,F$1,$A173,$A173)),_xll.BDH(config!$G$4,F$1,$A173,$A173),_xll.BDH(config!$G$5,F$1,$A173,$A173))))</f>
        <v>41.88</v>
      </c>
      <c r="G173" s="8">
        <f>IF($A173="","",IF(ISNUMBER(FIND("IMPVOL",G$1)),_xll.BDH(config!$G$4,G$1,WORKDAY($A173,-1,config_Holiday_Calendar_US),WORKDAY($A173,-1,config_Holiday_Calendar_US)),IF(ISNUMBER(_xll.BDH(config!$G$4,G$1,$A173,$A173)),_xll.BDH(config!$G$4,G$1,$A173,$A173),_xll.BDH(config!$G$5,G$1,$A173,$A173))))</f>
        <v>40.6</v>
      </c>
      <c r="H173" s="8">
        <f>IF($A173="","",IF(ISNUMBER(FIND("IMPVOL",H$1)),_xll.BDH(config!$G$4,H$1,WORKDAY($A173,-1,config_Holiday_Calendar_US),WORKDAY($A173,-1,config_Holiday_Calendar_US)),IF(ISNUMBER(_xll.BDH(config!$G$4,H$1,$A173,$A173)),_xll.BDH(config!$G$4,H$1,$A173,$A173),_xll.BDH(config!$G$5,H$1,$A173,$A173))))</f>
        <v>168088</v>
      </c>
      <c r="I173" s="8" t="str">
        <f>IF($A173="","",IF(ISNUMBER(FIND("IMPVOL",I$1)),_xll.BDH(config!$G$4,I$1,WORKDAY($A173,-1,config_Holiday_Calendar_US),WORKDAY($A173,-1,config_Holiday_Calendar_US)),IF(ISNUMBER(_xll.BDH(config!$G$4,I$1,$A173,$A173)),_xll.BDH(config!$G$4,I$1,$A173,$A173),_xll.BDH(config!$G$5,I$1,$A173,$A173))))</f>
        <v>#N/A Requesting Data...</v>
      </c>
      <c r="J173" s="8" t="str">
        <f>IF($A173="","",IF(ISNUMBER(FIND("IMPVOL",J$1)),_xll.BDH(config!$G$4,J$1,WORKDAY($A173,-1,config_Holiday_Calendar_US),WORKDAY($A173,-1,config_Holiday_Calendar_US)),IF(ISNUMBER(_xll.BDH(config!$G$4,J$1,$A173,$A173)),_xll.BDH(config!$G$4,J$1,$A173,$A173),_xll.BDH(config!$G$5,J$1,$A173,$A173))))</f>
        <v>#N/A Requesting Data...</v>
      </c>
      <c r="K173" s="8" t="str">
        <f>IF($A173="","",IF(ISNUMBER(FIND("IMPVOL",K$1)),_xll.BDH(config!$G$4,K$1,WORKDAY($A173,-1,config_Holiday_Calendar_US),WORKDAY($A173,-1,config_Holiday_Calendar_US)),IF(ISNUMBER(_xll.BDH(config!$G$4,K$1,$A173,$A173)),_xll.BDH(config!$G$4,K$1,$A173,$A173),_xll.BDH(config!$G$5,K$1,$A173,$A173))))</f>
        <v>#N/A Requesting Data...</v>
      </c>
      <c r="L173" s="8" t="str">
        <f>IF($A173="","",IF(ISNUMBER(FIND("IMPVOL",L$1)),_xll.BDH(config!$G$4,L$1,WORKDAY($A173,-1,config_Holiday_Calendar_US),WORKDAY($A173,-1,config_Holiday_Calendar_US)),IF(ISNUMBER(_xll.BDH(config!$G$4,L$1,$A173,$A173)),_xll.BDH(config!$G$4,L$1,$A173,$A173),_xll.BDH(config!$G$5,L$1,$A173,$A173))))</f>
        <v>#N/A Requesting Data...</v>
      </c>
      <c r="M173" s="8" t="str">
        <f>IF($A173="","",IF(ISNUMBER(FIND("IMPVOL",M$1)),_xll.BDH(config!$G$4,M$1,WORKDAY($A173,-1,config_Holiday_Calendar_US),WORKDAY($A173,-1,config_Holiday_Calendar_US)),IF(ISNUMBER(_xll.BDH(config!$G$4,M$1,$A173,$A173)),_xll.BDH(config!$G$4,M$1,$A173,$A173),_xll.BDH(config!$G$5,M$1,$A173,$A173))))</f>
        <v>#N/A Requesting Data...</v>
      </c>
      <c r="N173" s="8" t="str">
        <f>IF($A173="","",IF(ISNUMBER(FIND("IMPVOL",N$1)),_xll.BDH(config!$G$4,N$1,WORKDAY($A173,-1,config_Holiday_Calendar_US),WORKDAY($A173,-1,config_Holiday_Calendar_US)),IF(ISNUMBER(_xll.BDH(config!$G$4,N$1,$A173,$A173)),_xll.BDH(config!$G$4,N$1,$A173,$A173),_xll.BDH(config!$G$5,N$1,$A173,$A173))))</f>
        <v>#N/A Requesting Data...</v>
      </c>
      <c r="O173" s="8" t="str">
        <f>IF($A173="","",IF(ISNUMBER(FIND("IMPVOL",O$1)),_xll.BDH(config!$G$4,O$1,WORKDAY($A173,-1,config_Holiday_Calendar_US),WORKDAY($A173,-1,config_Holiday_Calendar_US)),IF(ISNUMBER(_xll.BDH(config!$G$4,O$1,$A173,$A173)),_xll.BDH(config!$G$4,O$1,$A173,$A173),_xll.BDH(config!$G$5,O$1,$A173,$A173))))</f>
        <v>#N/A Requesting Data...</v>
      </c>
      <c r="P173" s="8" t="str">
        <f>IF($A173="","",IF(ISNUMBER(FIND("IMPVOL",P$1)),_xll.BDH(config!$G$4,P$1,WORKDAY($A173,-1,config_Holiday_Calendar_US),WORKDAY($A173,-1,config_Holiday_Calendar_US)),IF(ISNUMBER(_xll.BDH(config!$G$4,P$1,$A173,$A173)),_xll.BDH(config!$G$4,P$1,$A173,$A173),_xll.BDH(config!$G$5,P$1,$A173,$A173))))</f>
        <v>#N/A Requesting Data...</v>
      </c>
      <c r="Q173" s="8">
        <f>IF($A173="","",IF(ISNUMBER(FIND("IMPVOL",Q$1)),_xll.BDH(config!$G$4,Q$1,WORKDAY($A173,-1,config_Holiday_Calendar_US),WORKDAY($A173,-1,config_Holiday_Calendar_US)),IF(ISNUMBER(_xll.BDH(config!$G$4,Q$1,$A173,$A173)),_xll.BDH(config!$G$4,Q$1,$A173,$A173),_xll.BDH(config!$G$5,Q$1,$A173,$A173))))</f>
        <v>24.53</v>
      </c>
      <c r="R173" s="8">
        <f>IF($A173="","",IF(ISNUMBER(FIND("IMPVOL",R$1)),_xll.BDH(config!$G$4,R$1,WORKDAY($A173,-1,config_Holiday_Calendar_US),WORKDAY($A173,-1,config_Holiday_Calendar_US)),IF(ISNUMBER(_xll.BDH(config!$G$4,R$1,$A173,$A173)),_xll.BDH(config!$G$4,R$1,$A173,$A173),_xll.BDH(config!$G$5,R$1,$A173,$A173))))</f>
        <v>42.34</v>
      </c>
      <c r="S173" s="8" t="str">
        <f>IF($A173="","",IF(ISNUMBER(FIND("IMPVOL",S$1)),_xll.BDH(config!$G$4,S$1,WORKDAY($A173,-1,config_Holiday_Calendar_US),WORKDAY($A173,-1,config_Holiday_Calendar_US)),IF(ISNUMBER(_xll.BDH(config!$G$4,S$1,$A173,$A173)),_xll.BDH(config!$G$4,S$1,$A173,$A173),_xll.BDH(config!$G$5,S$1,$A173,$A173))))</f>
        <v>#N/A Requesting Data...</v>
      </c>
      <c r="T173" s="8" t="str">
        <f>IF($A173="","",IF(ISNUMBER(FIND("IMPVOL",T$1)),_xll.BDH(config!$G$4,T$1,WORKDAY($A173,-1,config_Holiday_Calendar_US),WORKDAY($A173,-1,config_Holiday_Calendar_US)),IF(ISNUMBER(_xll.BDH(config!$G$4,T$1,$A173,$A173)),_xll.BDH(config!$G$4,T$1,$A173,$A173),_xll.BDH(config!$G$5,T$1,$A173,$A173))))</f>
        <v>#N/A Requesting Data...</v>
      </c>
      <c r="U173" s="8" t="str">
        <f>IF($A173="","",IF(ISNUMBER(FIND("IMPVOL",U$1)),_xll.BDH(config!$G$4,U$1,WORKDAY($A173,-1,config_Holiday_Calendar_US),WORKDAY($A173,-1,config_Holiday_Calendar_US)),IF(ISNUMBER(_xll.BDH(config!$G$4,U$1,$A173,$A173)),_xll.BDH(config!$G$4,U$1,$A173,$A173),_xll.BDH(config!$G$5,U$1,$A173,$A173))))</f>
        <v>#N/A Requesting Data...</v>
      </c>
      <c r="V173" s="8" t="str">
        <f>IF($A173="","",IF(ISNUMBER(FIND("IMPVOL",V$1)),_xll.BDH(config!$G$4,V$1,WORKDAY($A173,-1,config_Holiday_Calendar_US),WORKDAY($A173,-1,config_Holiday_Calendar_US)),IF(ISNUMBER(_xll.BDH(config!$G$4,V$1,$A173,$A173)),_xll.BDH(config!$G$4,V$1,$A173,$A173),_xll.BDH(config!$G$5,V$1,$A173,$A173))))</f>
        <v>#N/A Requesting Data...</v>
      </c>
      <c r="W173" s="8" t="str">
        <f>IF($A173="","",IF(ISNUMBER(FIND("IMPVOL",W$1)),_xll.BDH(config!$G$4,W$1,WORKDAY($A173,-1,config_Holiday_Calendar_US),WORKDAY($A173,-1,config_Holiday_Calendar_US)),IF(ISNUMBER(_xll.BDH(config!$G$4,W$1,$A173,$A173)),_xll.BDH(config!$G$4,W$1,$A173,$A173),_xll.BDH(config!$G$5,W$1,$A173,$A173))))</f>
        <v>#N/A Requesting Data...</v>
      </c>
    </row>
    <row r="174" spans="1:23" x14ac:dyDescent="0.2">
      <c r="A174" s="9">
        <f>IF(A173="","",IF(WORKDAY(A173,-1,config_Holiday_Calendar_US)&lt;config!$I$10,"",WORKDAY(A173,-1,config_Holiday_Calendar_US)))</f>
        <v>42580</v>
      </c>
      <c r="B174" s="8" t="e">
        <f t="shared" si="2"/>
        <v>#VALUE!</v>
      </c>
      <c r="C174" s="8" t="str">
        <f>IF(A174="","",_xll.BDH(config!$H$4,C$1,$A174,$A174))</f>
        <v>#N/A Requesting Data...</v>
      </c>
      <c r="D174" s="8" t="str">
        <f>IF($A174="","",_xll.BDH(config!$H$4,D$1,$A174,$A174))</f>
        <v>#N/A Requesting Data...</v>
      </c>
      <c r="E174" s="8">
        <f>IF($A174="","",IF(ISNUMBER(FIND("IMPVOL",E$1)),_xll.BDH(config!$G$4,E$1,WORKDAY($A174,-1,config_Holiday_Calendar_US),WORKDAY($A174,-1,config_Holiday_Calendar_US)),IF(ISNUMBER(_xll.BDH(config!$G$4,E$1,$A174,$A174)),_xll.BDH(config!$G$4,E$1,$A174,$A174),_xll.BDH(config!$G$5,E$1,$A174,$A174))))</f>
        <v>41.12</v>
      </c>
      <c r="F174" s="8">
        <f>IF($A174="","",IF(ISNUMBER(FIND("IMPVOL",F$1)),_xll.BDH(config!$G$4,F$1,WORKDAY($A174,-1,config_Holiday_Calendar_US),WORKDAY($A174,-1,config_Holiday_Calendar_US)),IF(ISNUMBER(_xll.BDH(config!$G$4,F$1,$A174,$A174)),_xll.BDH(config!$G$4,F$1,$A174,$A174),_xll.BDH(config!$G$5,F$1,$A174,$A174))))</f>
        <v>41.67</v>
      </c>
      <c r="G174" s="8">
        <f>IF($A174="","",IF(ISNUMBER(FIND("IMPVOL",G$1)),_xll.BDH(config!$G$4,G$1,WORKDAY($A174,-1,config_Holiday_Calendar_US),WORKDAY($A174,-1,config_Holiday_Calendar_US)),IF(ISNUMBER(_xll.BDH(config!$G$4,G$1,$A174,$A174)),_xll.BDH(config!$G$4,G$1,$A174,$A174),_xll.BDH(config!$G$5,G$1,$A174,$A174))))</f>
        <v>41.3</v>
      </c>
      <c r="H174" s="8">
        <f>IF($A174="","",IF(ISNUMBER(FIND("IMPVOL",H$1)),_xll.BDH(config!$G$4,H$1,WORKDAY($A174,-1,config_Holiday_Calendar_US),WORKDAY($A174,-1,config_Holiday_Calendar_US)),IF(ISNUMBER(_xll.BDH(config!$G$4,H$1,$A174,$A174)),_xll.BDH(config!$G$4,H$1,$A174,$A174),_xll.BDH(config!$G$5,H$1,$A174,$A174))))</f>
        <v>115016</v>
      </c>
      <c r="I174" s="8" t="str">
        <f>IF($A174="","",IF(ISNUMBER(FIND("IMPVOL",I$1)),_xll.BDH(config!$G$4,I$1,WORKDAY($A174,-1,config_Holiday_Calendar_US),WORKDAY($A174,-1,config_Holiday_Calendar_US)),IF(ISNUMBER(_xll.BDH(config!$G$4,I$1,$A174,$A174)),_xll.BDH(config!$G$4,I$1,$A174,$A174),_xll.BDH(config!$G$5,I$1,$A174,$A174))))</f>
        <v>#N/A Requesting Data...</v>
      </c>
      <c r="J174" s="8" t="str">
        <f>IF($A174="","",IF(ISNUMBER(FIND("IMPVOL",J$1)),_xll.BDH(config!$G$4,J$1,WORKDAY($A174,-1,config_Holiday_Calendar_US),WORKDAY($A174,-1,config_Holiday_Calendar_US)),IF(ISNUMBER(_xll.BDH(config!$G$4,J$1,$A174,$A174)),_xll.BDH(config!$G$4,J$1,$A174,$A174),_xll.BDH(config!$G$5,J$1,$A174,$A174))))</f>
        <v>#N/A Requesting Data...</v>
      </c>
      <c r="K174" s="8" t="str">
        <f>IF($A174="","",IF(ISNUMBER(FIND("IMPVOL",K$1)),_xll.BDH(config!$G$4,K$1,WORKDAY($A174,-1,config_Holiday_Calendar_US),WORKDAY($A174,-1,config_Holiday_Calendar_US)),IF(ISNUMBER(_xll.BDH(config!$G$4,K$1,$A174,$A174)),_xll.BDH(config!$G$4,K$1,$A174,$A174),_xll.BDH(config!$G$5,K$1,$A174,$A174))))</f>
        <v>#N/A Requesting Data...</v>
      </c>
      <c r="L174" s="8" t="str">
        <f>IF($A174="","",IF(ISNUMBER(FIND("IMPVOL",L$1)),_xll.BDH(config!$G$4,L$1,WORKDAY($A174,-1,config_Holiday_Calendar_US),WORKDAY($A174,-1,config_Holiday_Calendar_US)),IF(ISNUMBER(_xll.BDH(config!$G$4,L$1,$A174,$A174)),_xll.BDH(config!$G$4,L$1,$A174,$A174),_xll.BDH(config!$G$5,L$1,$A174,$A174))))</f>
        <v>#N/A Requesting Data...</v>
      </c>
      <c r="M174" s="8" t="str">
        <f>IF($A174="","",IF(ISNUMBER(FIND("IMPVOL",M$1)),_xll.BDH(config!$G$4,M$1,WORKDAY($A174,-1,config_Holiday_Calendar_US),WORKDAY($A174,-1,config_Holiday_Calendar_US)),IF(ISNUMBER(_xll.BDH(config!$G$4,M$1,$A174,$A174)),_xll.BDH(config!$G$4,M$1,$A174,$A174),_xll.BDH(config!$G$5,M$1,$A174,$A174))))</f>
        <v>#N/A Requesting Data...</v>
      </c>
      <c r="N174" s="8" t="str">
        <f>IF($A174="","",IF(ISNUMBER(FIND("IMPVOL",N$1)),_xll.BDH(config!$G$4,N$1,WORKDAY($A174,-1,config_Holiday_Calendar_US),WORKDAY($A174,-1,config_Holiday_Calendar_US)),IF(ISNUMBER(_xll.BDH(config!$G$4,N$1,$A174,$A174)),_xll.BDH(config!$G$4,N$1,$A174,$A174),_xll.BDH(config!$G$5,N$1,$A174,$A174))))</f>
        <v>#N/A Requesting Data...</v>
      </c>
      <c r="O174" s="8" t="str">
        <f>IF($A174="","",IF(ISNUMBER(FIND("IMPVOL",O$1)),_xll.BDH(config!$G$4,O$1,WORKDAY($A174,-1,config_Holiday_Calendar_US),WORKDAY($A174,-1,config_Holiday_Calendar_US)),IF(ISNUMBER(_xll.BDH(config!$G$4,O$1,$A174,$A174)),_xll.BDH(config!$G$4,O$1,$A174,$A174),_xll.BDH(config!$G$5,O$1,$A174,$A174))))</f>
        <v>#N/A Requesting Data...</v>
      </c>
      <c r="P174" s="8" t="str">
        <f>IF($A174="","",IF(ISNUMBER(FIND("IMPVOL",P$1)),_xll.BDH(config!$G$4,P$1,WORKDAY($A174,-1,config_Holiday_Calendar_US),WORKDAY($A174,-1,config_Holiday_Calendar_US)),IF(ISNUMBER(_xll.BDH(config!$G$4,P$1,$A174,$A174)),_xll.BDH(config!$G$4,P$1,$A174,$A174),_xll.BDH(config!$G$5,P$1,$A174,$A174))))</f>
        <v>#N/A Requesting Data...</v>
      </c>
      <c r="Q174" s="8">
        <f>IF($A174="","",IF(ISNUMBER(FIND("IMPVOL",Q$1)),_xll.BDH(config!$G$4,Q$1,WORKDAY($A174,-1,config_Holiday_Calendar_US),WORKDAY($A174,-1,config_Holiday_Calendar_US)),IF(ISNUMBER(_xll.BDH(config!$G$4,Q$1,$A174,$A174)),_xll.BDH(config!$G$4,Q$1,$A174,$A174),_xll.BDH(config!$G$5,Q$1,$A174,$A174))))</f>
        <v>19.82</v>
      </c>
      <c r="R174" s="8">
        <f>IF($A174="","",IF(ISNUMBER(FIND("IMPVOL",R$1)),_xll.BDH(config!$G$4,R$1,WORKDAY($A174,-1,config_Holiday_Calendar_US),WORKDAY($A174,-1,config_Holiday_Calendar_US)),IF(ISNUMBER(_xll.BDH(config!$G$4,R$1,$A174,$A174)),_xll.BDH(config!$G$4,R$1,$A174,$A174),_xll.BDH(config!$G$5,R$1,$A174,$A174))))</f>
        <v>42.64</v>
      </c>
      <c r="S174" s="8" t="str">
        <f>IF($A174="","",IF(ISNUMBER(FIND("IMPVOL",S$1)),_xll.BDH(config!$G$4,S$1,WORKDAY($A174,-1,config_Holiday_Calendar_US),WORKDAY($A174,-1,config_Holiday_Calendar_US)),IF(ISNUMBER(_xll.BDH(config!$G$4,S$1,$A174,$A174)),_xll.BDH(config!$G$4,S$1,$A174,$A174),_xll.BDH(config!$G$5,S$1,$A174,$A174))))</f>
        <v>#N/A Requesting Data...</v>
      </c>
      <c r="T174" s="8" t="str">
        <f>IF($A174="","",IF(ISNUMBER(FIND("IMPVOL",T$1)),_xll.BDH(config!$G$4,T$1,WORKDAY($A174,-1,config_Holiday_Calendar_US),WORKDAY($A174,-1,config_Holiday_Calendar_US)),IF(ISNUMBER(_xll.BDH(config!$G$4,T$1,$A174,$A174)),_xll.BDH(config!$G$4,T$1,$A174,$A174),_xll.BDH(config!$G$5,T$1,$A174,$A174))))</f>
        <v>#N/A Requesting Data...</v>
      </c>
      <c r="U174" s="8" t="str">
        <f>IF($A174="","",IF(ISNUMBER(FIND("IMPVOL",U$1)),_xll.BDH(config!$G$4,U$1,WORKDAY($A174,-1,config_Holiday_Calendar_US),WORKDAY($A174,-1,config_Holiday_Calendar_US)),IF(ISNUMBER(_xll.BDH(config!$G$4,U$1,$A174,$A174)),_xll.BDH(config!$G$4,U$1,$A174,$A174),_xll.BDH(config!$G$5,U$1,$A174,$A174))))</f>
        <v>#N/A Requesting Data...</v>
      </c>
      <c r="V174" s="8" t="str">
        <f>IF($A174="","",IF(ISNUMBER(FIND("IMPVOL",V$1)),_xll.BDH(config!$G$4,V$1,WORKDAY($A174,-1,config_Holiday_Calendar_US),WORKDAY($A174,-1,config_Holiday_Calendar_US)),IF(ISNUMBER(_xll.BDH(config!$G$4,V$1,$A174,$A174)),_xll.BDH(config!$G$4,V$1,$A174,$A174),_xll.BDH(config!$G$5,V$1,$A174,$A174))))</f>
        <v>#N/A Requesting Data...</v>
      </c>
      <c r="W174" s="8" t="str">
        <f>IF($A174="","",IF(ISNUMBER(FIND("IMPVOL",W$1)),_xll.BDH(config!$G$4,W$1,WORKDAY($A174,-1,config_Holiday_Calendar_US),WORKDAY($A174,-1,config_Holiday_Calendar_US)),IF(ISNUMBER(_xll.BDH(config!$G$4,W$1,$A174,$A174)),_xll.BDH(config!$G$4,W$1,$A174,$A174),_xll.BDH(config!$G$5,W$1,$A174,$A174))))</f>
        <v>#N/A Requesting Data...</v>
      </c>
    </row>
    <row r="175" spans="1:23" x14ac:dyDescent="0.2">
      <c r="A175" s="9">
        <f>IF(A174="","",IF(WORKDAY(A174,-1,config_Holiday_Calendar_US)&lt;config!$I$10,"",WORKDAY(A174,-1,config_Holiday_Calendar_US)))</f>
        <v>42579</v>
      </c>
      <c r="B175" s="8" t="e">
        <f t="shared" si="2"/>
        <v>#VALUE!</v>
      </c>
      <c r="C175" s="8" t="str">
        <f>IF(A175="","",_xll.BDH(config!$H$4,C$1,$A175,$A175))</f>
        <v>#N/A Requesting Data...</v>
      </c>
      <c r="D175" s="8" t="str">
        <f>IF($A175="","",_xll.BDH(config!$H$4,D$1,$A175,$A175))</f>
        <v>#N/A Requesting Data...</v>
      </c>
      <c r="E175" s="8">
        <f>IF($A175="","",IF(ISNUMBER(FIND("IMPVOL",E$1)),_xll.BDH(config!$G$4,E$1,WORKDAY($A175,-1,config_Holiday_Calendar_US),WORKDAY($A175,-1,config_Holiday_Calendar_US)),IF(ISNUMBER(_xll.BDH(config!$G$4,E$1,$A175,$A175)),_xll.BDH(config!$G$4,E$1,$A175,$A175),_xll.BDH(config!$G$5,E$1,$A175,$A175))))</f>
        <v>41.93</v>
      </c>
      <c r="F175" s="8">
        <f>IF($A175="","",IF(ISNUMBER(FIND("IMPVOL",F$1)),_xll.BDH(config!$G$4,F$1,WORKDAY($A175,-1,config_Holiday_Calendar_US),WORKDAY($A175,-1,config_Holiday_Calendar_US)),IF(ISNUMBER(_xll.BDH(config!$G$4,F$1,$A175,$A175)),_xll.BDH(config!$G$4,F$1,$A175,$A175),_xll.BDH(config!$G$5,F$1,$A175,$A175))))</f>
        <v>42.22</v>
      </c>
      <c r="G175" s="8">
        <f>IF($A175="","",IF(ISNUMBER(FIND("IMPVOL",G$1)),_xll.BDH(config!$G$4,G$1,WORKDAY($A175,-1,config_Holiday_Calendar_US),WORKDAY($A175,-1,config_Holiday_Calendar_US)),IF(ISNUMBER(_xll.BDH(config!$G$4,G$1,$A175,$A175)),_xll.BDH(config!$G$4,G$1,$A175,$A175),_xll.BDH(config!$G$5,G$1,$A175,$A175))))</f>
        <v>41.76</v>
      </c>
      <c r="H175" s="8">
        <f>IF($A175="","",IF(ISNUMBER(FIND("IMPVOL",H$1)),_xll.BDH(config!$G$4,H$1,WORKDAY($A175,-1,config_Holiday_Calendar_US),WORKDAY($A175,-1,config_Holiday_Calendar_US)),IF(ISNUMBER(_xll.BDH(config!$G$4,H$1,$A175,$A175)),_xll.BDH(config!$G$4,H$1,$A175,$A175),_xll.BDH(config!$G$5,H$1,$A175,$A175))))</f>
        <v>94814</v>
      </c>
      <c r="I175" s="8" t="str">
        <f>IF($A175="","",IF(ISNUMBER(FIND("IMPVOL",I$1)),_xll.BDH(config!$G$4,I$1,WORKDAY($A175,-1,config_Holiday_Calendar_US),WORKDAY($A175,-1,config_Holiday_Calendar_US)),IF(ISNUMBER(_xll.BDH(config!$G$4,I$1,$A175,$A175)),_xll.BDH(config!$G$4,I$1,$A175,$A175),_xll.BDH(config!$G$5,I$1,$A175,$A175))))</f>
        <v>#N/A Requesting Data...</v>
      </c>
      <c r="J175" s="8" t="str">
        <f>IF($A175="","",IF(ISNUMBER(FIND("IMPVOL",J$1)),_xll.BDH(config!$G$4,J$1,WORKDAY($A175,-1,config_Holiday_Calendar_US),WORKDAY($A175,-1,config_Holiday_Calendar_US)),IF(ISNUMBER(_xll.BDH(config!$G$4,J$1,$A175,$A175)),_xll.BDH(config!$G$4,J$1,$A175,$A175),_xll.BDH(config!$G$5,J$1,$A175,$A175))))</f>
        <v>#N/A Requesting Data...</v>
      </c>
      <c r="K175" s="8" t="str">
        <f>IF($A175="","",IF(ISNUMBER(FIND("IMPVOL",K$1)),_xll.BDH(config!$G$4,K$1,WORKDAY($A175,-1,config_Holiday_Calendar_US),WORKDAY($A175,-1,config_Holiday_Calendar_US)),IF(ISNUMBER(_xll.BDH(config!$G$4,K$1,$A175,$A175)),_xll.BDH(config!$G$4,K$1,$A175,$A175),_xll.BDH(config!$G$5,K$1,$A175,$A175))))</f>
        <v>#N/A Requesting Data...</v>
      </c>
      <c r="L175" s="8" t="str">
        <f>IF($A175="","",IF(ISNUMBER(FIND("IMPVOL",L$1)),_xll.BDH(config!$G$4,L$1,WORKDAY($A175,-1,config_Holiday_Calendar_US),WORKDAY($A175,-1,config_Holiday_Calendar_US)),IF(ISNUMBER(_xll.BDH(config!$G$4,L$1,$A175,$A175)),_xll.BDH(config!$G$4,L$1,$A175,$A175),_xll.BDH(config!$G$5,L$1,$A175,$A175))))</f>
        <v>#N/A Requesting Data...</v>
      </c>
      <c r="M175" s="8" t="str">
        <f>IF($A175="","",IF(ISNUMBER(FIND("IMPVOL",M$1)),_xll.BDH(config!$G$4,M$1,WORKDAY($A175,-1,config_Holiday_Calendar_US),WORKDAY($A175,-1,config_Holiday_Calendar_US)),IF(ISNUMBER(_xll.BDH(config!$G$4,M$1,$A175,$A175)),_xll.BDH(config!$G$4,M$1,$A175,$A175),_xll.BDH(config!$G$5,M$1,$A175,$A175))))</f>
        <v>#N/A Requesting Data...</v>
      </c>
      <c r="N175" s="8" t="str">
        <f>IF($A175="","",IF(ISNUMBER(FIND("IMPVOL",N$1)),_xll.BDH(config!$G$4,N$1,WORKDAY($A175,-1,config_Holiday_Calendar_US),WORKDAY($A175,-1,config_Holiday_Calendar_US)),IF(ISNUMBER(_xll.BDH(config!$G$4,N$1,$A175,$A175)),_xll.BDH(config!$G$4,N$1,$A175,$A175),_xll.BDH(config!$G$5,N$1,$A175,$A175))))</f>
        <v>#N/A Requesting Data...</v>
      </c>
      <c r="O175" s="8" t="str">
        <f>IF($A175="","",IF(ISNUMBER(FIND("IMPVOL",O$1)),_xll.BDH(config!$G$4,O$1,WORKDAY($A175,-1,config_Holiday_Calendar_US),WORKDAY($A175,-1,config_Holiday_Calendar_US)),IF(ISNUMBER(_xll.BDH(config!$G$4,O$1,$A175,$A175)),_xll.BDH(config!$G$4,O$1,$A175,$A175),_xll.BDH(config!$G$5,O$1,$A175,$A175))))</f>
        <v>#N/A Requesting Data...</v>
      </c>
      <c r="P175" s="8" t="str">
        <f>IF($A175="","",IF(ISNUMBER(FIND("IMPVOL",P$1)),_xll.BDH(config!$G$4,P$1,WORKDAY($A175,-1,config_Holiday_Calendar_US),WORKDAY($A175,-1,config_Holiday_Calendar_US)),IF(ISNUMBER(_xll.BDH(config!$G$4,P$1,$A175,$A175)),_xll.BDH(config!$G$4,P$1,$A175,$A175),_xll.BDH(config!$G$5,P$1,$A175,$A175))))</f>
        <v>#N/A Requesting Data...</v>
      </c>
      <c r="Q175" s="8">
        <f>IF($A175="","",IF(ISNUMBER(FIND("IMPVOL",Q$1)),_xll.BDH(config!$G$4,Q$1,WORKDAY($A175,-1,config_Holiday_Calendar_US),WORKDAY($A175,-1,config_Holiday_Calendar_US)),IF(ISNUMBER(_xll.BDH(config!$G$4,Q$1,$A175,$A175)),_xll.BDH(config!$G$4,Q$1,$A175,$A175),_xll.BDH(config!$G$5,Q$1,$A175,$A175))))</f>
        <v>15.71</v>
      </c>
      <c r="R175" s="8">
        <f>IF($A175="","",IF(ISNUMBER(FIND("IMPVOL",R$1)),_xll.BDH(config!$G$4,R$1,WORKDAY($A175,-1,config_Holiday_Calendar_US),WORKDAY($A175,-1,config_Holiday_Calendar_US)),IF(ISNUMBER(_xll.BDH(config!$G$4,R$1,$A175,$A175)),_xll.BDH(config!$G$4,R$1,$A175,$A175),_xll.BDH(config!$G$5,R$1,$A175,$A175))))</f>
        <v>44.31</v>
      </c>
      <c r="S175" s="8" t="str">
        <f>IF($A175="","",IF(ISNUMBER(FIND("IMPVOL",S$1)),_xll.BDH(config!$G$4,S$1,WORKDAY($A175,-1,config_Holiday_Calendar_US),WORKDAY($A175,-1,config_Holiday_Calendar_US)),IF(ISNUMBER(_xll.BDH(config!$G$4,S$1,$A175,$A175)),_xll.BDH(config!$G$4,S$1,$A175,$A175),_xll.BDH(config!$G$5,S$1,$A175,$A175))))</f>
        <v>#N/A Requesting Data...</v>
      </c>
      <c r="T175" s="8" t="str">
        <f>IF($A175="","",IF(ISNUMBER(FIND("IMPVOL",T$1)),_xll.BDH(config!$G$4,T$1,WORKDAY($A175,-1,config_Holiday_Calendar_US),WORKDAY($A175,-1,config_Holiday_Calendar_US)),IF(ISNUMBER(_xll.BDH(config!$G$4,T$1,$A175,$A175)),_xll.BDH(config!$G$4,T$1,$A175,$A175),_xll.BDH(config!$G$5,T$1,$A175,$A175))))</f>
        <v>#N/A Requesting Data...</v>
      </c>
      <c r="U175" s="8" t="str">
        <f>IF($A175="","",IF(ISNUMBER(FIND("IMPVOL",U$1)),_xll.BDH(config!$G$4,U$1,WORKDAY($A175,-1,config_Holiday_Calendar_US),WORKDAY($A175,-1,config_Holiday_Calendar_US)),IF(ISNUMBER(_xll.BDH(config!$G$4,U$1,$A175,$A175)),_xll.BDH(config!$G$4,U$1,$A175,$A175),_xll.BDH(config!$G$5,U$1,$A175,$A175))))</f>
        <v>#N/A Requesting Data...</v>
      </c>
      <c r="V175" s="8" t="str">
        <f>IF($A175="","",IF(ISNUMBER(FIND("IMPVOL",V$1)),_xll.BDH(config!$G$4,V$1,WORKDAY($A175,-1,config_Holiday_Calendar_US),WORKDAY($A175,-1,config_Holiday_Calendar_US)),IF(ISNUMBER(_xll.BDH(config!$G$4,V$1,$A175,$A175)),_xll.BDH(config!$G$4,V$1,$A175,$A175),_xll.BDH(config!$G$5,V$1,$A175,$A175))))</f>
        <v>#N/A Requesting Data...</v>
      </c>
      <c r="W175" s="8" t="str">
        <f>IF($A175="","",IF(ISNUMBER(FIND("IMPVOL",W$1)),_xll.BDH(config!$G$4,W$1,WORKDAY($A175,-1,config_Holiday_Calendar_US),WORKDAY($A175,-1,config_Holiday_Calendar_US)),IF(ISNUMBER(_xll.BDH(config!$G$4,W$1,$A175,$A175)),_xll.BDH(config!$G$4,W$1,$A175,$A175),_xll.BDH(config!$G$5,W$1,$A175,$A175))))</f>
        <v>#N/A Requesting Data...</v>
      </c>
    </row>
    <row r="176" spans="1:23" x14ac:dyDescent="0.2">
      <c r="A176" s="9">
        <f>IF(A175="","",IF(WORKDAY(A175,-1,config_Holiday_Calendar_US)&lt;config!$I$10,"",WORKDAY(A175,-1,config_Holiday_Calendar_US)))</f>
        <v>42578</v>
      </c>
      <c r="B176" s="8" t="e">
        <f t="shared" si="2"/>
        <v>#VALUE!</v>
      </c>
      <c r="C176" s="8" t="str">
        <f>IF(A176="","",_xll.BDH(config!$H$4,C$1,$A176,$A176))</f>
        <v>#N/A Requesting Data...</v>
      </c>
      <c r="D176" s="8" t="str">
        <f>IF($A176="","",_xll.BDH(config!$H$4,D$1,$A176,$A176))</f>
        <v>#N/A Requesting Data...</v>
      </c>
      <c r="E176" s="8">
        <f>IF($A176="","",IF(ISNUMBER(FIND("IMPVOL",E$1)),_xll.BDH(config!$G$4,E$1,WORKDAY($A176,-1,config_Holiday_Calendar_US),WORKDAY($A176,-1,config_Holiday_Calendar_US)),IF(ISNUMBER(_xll.BDH(config!$G$4,E$1,$A176,$A176)),_xll.BDH(config!$G$4,E$1,$A176,$A176),_xll.BDH(config!$G$5,E$1,$A176,$A176))))</f>
        <v>42.66</v>
      </c>
      <c r="F176" s="8">
        <f>IF($A176="","",IF(ISNUMBER(FIND("IMPVOL",F$1)),_xll.BDH(config!$G$4,F$1,WORKDAY($A176,-1,config_Holiday_Calendar_US),WORKDAY($A176,-1,config_Holiday_Calendar_US)),IF(ISNUMBER(_xll.BDH(config!$G$4,F$1,$A176,$A176)),_xll.BDH(config!$G$4,F$1,$A176,$A176),_xll.BDH(config!$G$5,F$1,$A176,$A176))))</f>
        <v>43.2</v>
      </c>
      <c r="G176" s="8">
        <f>IF($A176="","",IF(ISNUMBER(FIND("IMPVOL",G$1)),_xll.BDH(config!$G$4,G$1,WORKDAY($A176,-1,config_Holiday_Calendar_US),WORKDAY($A176,-1,config_Holiday_Calendar_US)),IF(ISNUMBER(_xll.BDH(config!$G$4,G$1,$A176,$A176)),_xll.BDH(config!$G$4,G$1,$A176,$A176),_xll.BDH(config!$G$5,G$1,$A176,$A176))))</f>
        <v>42.39</v>
      </c>
      <c r="H176" s="8">
        <f>IF($A176="","",IF(ISNUMBER(FIND("IMPVOL",H$1)),_xll.BDH(config!$G$4,H$1,WORKDAY($A176,-1,config_Holiday_Calendar_US),WORKDAY($A176,-1,config_Holiday_Calendar_US)),IF(ISNUMBER(_xll.BDH(config!$G$4,H$1,$A176,$A176)),_xll.BDH(config!$G$4,H$1,$A176,$A176),_xll.BDH(config!$G$5,H$1,$A176,$A176))))</f>
        <v>132822</v>
      </c>
      <c r="I176" s="8" t="str">
        <f>IF($A176="","",IF(ISNUMBER(FIND("IMPVOL",I$1)),_xll.BDH(config!$G$4,I$1,WORKDAY($A176,-1,config_Holiday_Calendar_US),WORKDAY($A176,-1,config_Holiday_Calendar_US)),IF(ISNUMBER(_xll.BDH(config!$G$4,I$1,$A176,$A176)),_xll.BDH(config!$G$4,I$1,$A176,$A176),_xll.BDH(config!$G$5,I$1,$A176,$A176))))</f>
        <v>#N/A Requesting Data...</v>
      </c>
      <c r="J176" s="8" t="str">
        <f>IF($A176="","",IF(ISNUMBER(FIND("IMPVOL",J$1)),_xll.BDH(config!$G$4,J$1,WORKDAY($A176,-1,config_Holiday_Calendar_US),WORKDAY($A176,-1,config_Holiday_Calendar_US)),IF(ISNUMBER(_xll.BDH(config!$G$4,J$1,$A176,$A176)),_xll.BDH(config!$G$4,J$1,$A176,$A176),_xll.BDH(config!$G$5,J$1,$A176,$A176))))</f>
        <v>#N/A Requesting Data...</v>
      </c>
      <c r="K176" s="8" t="str">
        <f>IF($A176="","",IF(ISNUMBER(FIND("IMPVOL",K$1)),_xll.BDH(config!$G$4,K$1,WORKDAY($A176,-1,config_Holiday_Calendar_US),WORKDAY($A176,-1,config_Holiday_Calendar_US)),IF(ISNUMBER(_xll.BDH(config!$G$4,K$1,$A176,$A176)),_xll.BDH(config!$G$4,K$1,$A176,$A176),_xll.BDH(config!$G$5,K$1,$A176,$A176))))</f>
        <v>#N/A Requesting Data...</v>
      </c>
      <c r="L176" s="8" t="str">
        <f>IF($A176="","",IF(ISNUMBER(FIND("IMPVOL",L$1)),_xll.BDH(config!$G$4,L$1,WORKDAY($A176,-1,config_Holiday_Calendar_US),WORKDAY($A176,-1,config_Holiday_Calendar_US)),IF(ISNUMBER(_xll.BDH(config!$G$4,L$1,$A176,$A176)),_xll.BDH(config!$G$4,L$1,$A176,$A176),_xll.BDH(config!$G$5,L$1,$A176,$A176))))</f>
        <v>#N/A Requesting Data...</v>
      </c>
      <c r="M176" s="8" t="str">
        <f>IF($A176="","",IF(ISNUMBER(FIND("IMPVOL",M$1)),_xll.BDH(config!$G$4,M$1,WORKDAY($A176,-1,config_Holiday_Calendar_US),WORKDAY($A176,-1,config_Holiday_Calendar_US)),IF(ISNUMBER(_xll.BDH(config!$G$4,M$1,$A176,$A176)),_xll.BDH(config!$G$4,M$1,$A176,$A176),_xll.BDH(config!$G$5,M$1,$A176,$A176))))</f>
        <v>#N/A Requesting Data...</v>
      </c>
      <c r="N176" s="8" t="str">
        <f>IF($A176="","",IF(ISNUMBER(FIND("IMPVOL",N$1)),_xll.BDH(config!$G$4,N$1,WORKDAY($A176,-1,config_Holiday_Calendar_US),WORKDAY($A176,-1,config_Holiday_Calendar_US)),IF(ISNUMBER(_xll.BDH(config!$G$4,N$1,$A176,$A176)),_xll.BDH(config!$G$4,N$1,$A176,$A176),_xll.BDH(config!$G$5,N$1,$A176,$A176))))</f>
        <v>#N/A Requesting Data...</v>
      </c>
      <c r="O176" s="8" t="str">
        <f>IF($A176="","",IF(ISNUMBER(FIND("IMPVOL",O$1)),_xll.BDH(config!$G$4,O$1,WORKDAY($A176,-1,config_Holiday_Calendar_US),WORKDAY($A176,-1,config_Holiday_Calendar_US)),IF(ISNUMBER(_xll.BDH(config!$G$4,O$1,$A176,$A176)),_xll.BDH(config!$G$4,O$1,$A176,$A176),_xll.BDH(config!$G$5,O$1,$A176,$A176))))</f>
        <v>#N/A Requesting Data...</v>
      </c>
      <c r="P176" s="8" t="str">
        <f>IF($A176="","",IF(ISNUMBER(FIND("IMPVOL",P$1)),_xll.BDH(config!$G$4,P$1,WORKDAY($A176,-1,config_Holiday_Calendar_US),WORKDAY($A176,-1,config_Holiday_Calendar_US)),IF(ISNUMBER(_xll.BDH(config!$G$4,P$1,$A176,$A176)),_xll.BDH(config!$G$4,P$1,$A176,$A176),_xll.BDH(config!$G$5,P$1,$A176,$A176))))</f>
        <v>#N/A Requesting Data...</v>
      </c>
      <c r="Q176" s="8">
        <f>IF($A176="","",IF(ISNUMBER(FIND("IMPVOL",Q$1)),_xll.BDH(config!$G$4,Q$1,WORKDAY($A176,-1,config_Holiday_Calendar_US),WORKDAY($A176,-1,config_Holiday_Calendar_US)),IF(ISNUMBER(_xll.BDH(config!$G$4,Q$1,$A176,$A176)),_xll.BDH(config!$G$4,Q$1,$A176,$A176),_xll.BDH(config!$G$5,Q$1,$A176,$A176))))</f>
        <v>17.64</v>
      </c>
      <c r="R176" s="8">
        <f>IF($A176="","",IF(ISNUMBER(FIND("IMPVOL",R$1)),_xll.BDH(config!$G$4,R$1,WORKDAY($A176,-1,config_Holiday_Calendar_US),WORKDAY($A176,-1,config_Holiday_Calendar_US)),IF(ISNUMBER(_xll.BDH(config!$G$4,R$1,$A176,$A176)),_xll.BDH(config!$G$4,R$1,$A176,$A176),_xll.BDH(config!$G$5,R$1,$A176,$A176))))</f>
        <v>45.23</v>
      </c>
      <c r="S176" s="8" t="str">
        <f>IF($A176="","",IF(ISNUMBER(FIND("IMPVOL",S$1)),_xll.BDH(config!$G$4,S$1,WORKDAY($A176,-1,config_Holiday_Calendar_US),WORKDAY($A176,-1,config_Holiday_Calendar_US)),IF(ISNUMBER(_xll.BDH(config!$G$4,S$1,$A176,$A176)),_xll.BDH(config!$G$4,S$1,$A176,$A176),_xll.BDH(config!$G$5,S$1,$A176,$A176))))</f>
        <v>#N/A Requesting Data...</v>
      </c>
      <c r="T176" s="8" t="str">
        <f>IF($A176="","",IF(ISNUMBER(FIND("IMPVOL",T$1)),_xll.BDH(config!$G$4,T$1,WORKDAY($A176,-1,config_Holiday_Calendar_US),WORKDAY($A176,-1,config_Holiday_Calendar_US)),IF(ISNUMBER(_xll.BDH(config!$G$4,T$1,$A176,$A176)),_xll.BDH(config!$G$4,T$1,$A176,$A176),_xll.BDH(config!$G$5,T$1,$A176,$A176))))</f>
        <v>#N/A Requesting Data...</v>
      </c>
      <c r="U176" s="8" t="str">
        <f>IF($A176="","",IF(ISNUMBER(FIND("IMPVOL",U$1)),_xll.BDH(config!$G$4,U$1,WORKDAY($A176,-1,config_Holiday_Calendar_US),WORKDAY($A176,-1,config_Holiday_Calendar_US)),IF(ISNUMBER(_xll.BDH(config!$G$4,U$1,$A176,$A176)),_xll.BDH(config!$G$4,U$1,$A176,$A176),_xll.BDH(config!$G$5,U$1,$A176,$A176))))</f>
        <v>#N/A Requesting Data...</v>
      </c>
      <c r="V176" s="8" t="str">
        <f>IF($A176="","",IF(ISNUMBER(FIND("IMPVOL",V$1)),_xll.BDH(config!$G$4,V$1,WORKDAY($A176,-1,config_Holiday_Calendar_US),WORKDAY($A176,-1,config_Holiday_Calendar_US)),IF(ISNUMBER(_xll.BDH(config!$G$4,V$1,$A176,$A176)),_xll.BDH(config!$G$4,V$1,$A176,$A176),_xll.BDH(config!$G$5,V$1,$A176,$A176))))</f>
        <v>#N/A Requesting Data...</v>
      </c>
      <c r="W176" s="8" t="str">
        <f>IF($A176="","",IF(ISNUMBER(FIND("IMPVOL",W$1)),_xll.BDH(config!$G$4,W$1,WORKDAY($A176,-1,config_Holiday_Calendar_US),WORKDAY($A176,-1,config_Holiday_Calendar_US)),IF(ISNUMBER(_xll.BDH(config!$G$4,W$1,$A176,$A176)),_xll.BDH(config!$G$4,W$1,$A176,$A176),_xll.BDH(config!$G$5,W$1,$A176,$A176))))</f>
        <v>#N/A Requesting Data...</v>
      </c>
    </row>
    <row r="177" spans="1:23" x14ac:dyDescent="0.2">
      <c r="A177" s="9">
        <f>IF(A176="","",IF(WORKDAY(A176,-1,config_Holiday_Calendar_US)&lt;config!$I$10,"",WORKDAY(A176,-1,config_Holiday_Calendar_US)))</f>
        <v>42577</v>
      </c>
      <c r="B177" s="8" t="e">
        <f t="shared" si="2"/>
        <v>#VALUE!</v>
      </c>
      <c r="C177" s="8" t="str">
        <f>IF(A177="","",_xll.BDH(config!$H$4,C$1,$A177,$A177))</f>
        <v>#N/A Requesting Data...</v>
      </c>
      <c r="D177" s="8" t="str">
        <f>IF($A177="","",_xll.BDH(config!$H$4,D$1,$A177,$A177))</f>
        <v>#N/A Requesting Data...</v>
      </c>
      <c r="E177" s="8">
        <f>IF($A177="","",IF(ISNUMBER(FIND("IMPVOL",E$1)),_xll.BDH(config!$G$4,E$1,WORKDAY($A177,-1,config_Holiday_Calendar_US),WORKDAY($A177,-1,config_Holiday_Calendar_US)),IF(ISNUMBER(_xll.BDH(config!$G$4,E$1,$A177,$A177)),_xll.BDH(config!$G$4,E$1,$A177,$A177),_xll.BDH(config!$G$5,E$1,$A177,$A177))))</f>
        <v>43.07</v>
      </c>
      <c r="F177" s="8">
        <f>IF($A177="","",IF(ISNUMBER(FIND("IMPVOL",F$1)),_xll.BDH(config!$G$4,F$1,WORKDAY($A177,-1,config_Holiday_Calendar_US),WORKDAY($A177,-1,config_Holiday_Calendar_US)),IF(ISNUMBER(_xll.BDH(config!$G$4,F$1,$A177,$A177)),_xll.BDH(config!$G$4,F$1,$A177,$A177),_xll.BDH(config!$G$5,F$1,$A177,$A177))))</f>
        <v>43.39</v>
      </c>
      <c r="G177" s="8">
        <f>IF($A177="","",IF(ISNUMBER(FIND("IMPVOL",G$1)),_xll.BDH(config!$G$4,G$1,WORKDAY($A177,-1,config_Holiday_Calendar_US),WORKDAY($A177,-1,config_Holiday_Calendar_US)),IF(ISNUMBER(_xll.BDH(config!$G$4,G$1,$A177,$A177)),_xll.BDH(config!$G$4,G$1,$A177,$A177),_xll.BDH(config!$G$5,G$1,$A177,$A177))))</f>
        <v>43.13</v>
      </c>
      <c r="H177" s="8">
        <f>IF($A177="","",IF(ISNUMBER(FIND("IMPVOL",H$1)),_xll.BDH(config!$G$4,H$1,WORKDAY($A177,-1,config_Holiday_Calendar_US),WORKDAY($A177,-1,config_Holiday_Calendar_US)),IF(ISNUMBER(_xll.BDH(config!$G$4,H$1,$A177,$A177)),_xll.BDH(config!$G$4,H$1,$A177,$A177),_xll.BDH(config!$G$5,H$1,$A177,$A177))))</f>
        <v>103915</v>
      </c>
      <c r="I177" s="8" t="str">
        <f>IF($A177="","",IF(ISNUMBER(FIND("IMPVOL",I$1)),_xll.BDH(config!$G$4,I$1,WORKDAY($A177,-1,config_Holiday_Calendar_US),WORKDAY($A177,-1,config_Holiday_Calendar_US)),IF(ISNUMBER(_xll.BDH(config!$G$4,I$1,$A177,$A177)),_xll.BDH(config!$G$4,I$1,$A177,$A177),_xll.BDH(config!$G$5,I$1,$A177,$A177))))</f>
        <v>#N/A Requesting Data...</v>
      </c>
      <c r="J177" s="8" t="str">
        <f>IF($A177="","",IF(ISNUMBER(FIND("IMPVOL",J$1)),_xll.BDH(config!$G$4,J$1,WORKDAY($A177,-1,config_Holiday_Calendar_US),WORKDAY($A177,-1,config_Holiday_Calendar_US)),IF(ISNUMBER(_xll.BDH(config!$G$4,J$1,$A177,$A177)),_xll.BDH(config!$G$4,J$1,$A177,$A177),_xll.BDH(config!$G$5,J$1,$A177,$A177))))</f>
        <v>#N/A Requesting Data...</v>
      </c>
      <c r="K177" s="8" t="str">
        <f>IF($A177="","",IF(ISNUMBER(FIND("IMPVOL",K$1)),_xll.BDH(config!$G$4,K$1,WORKDAY($A177,-1,config_Holiday_Calendar_US),WORKDAY($A177,-1,config_Holiday_Calendar_US)),IF(ISNUMBER(_xll.BDH(config!$G$4,K$1,$A177,$A177)),_xll.BDH(config!$G$4,K$1,$A177,$A177),_xll.BDH(config!$G$5,K$1,$A177,$A177))))</f>
        <v>#N/A Requesting Data...</v>
      </c>
      <c r="L177" s="8" t="str">
        <f>IF($A177="","",IF(ISNUMBER(FIND("IMPVOL",L$1)),_xll.BDH(config!$G$4,L$1,WORKDAY($A177,-1,config_Holiday_Calendar_US),WORKDAY($A177,-1,config_Holiday_Calendar_US)),IF(ISNUMBER(_xll.BDH(config!$G$4,L$1,$A177,$A177)),_xll.BDH(config!$G$4,L$1,$A177,$A177),_xll.BDH(config!$G$5,L$1,$A177,$A177))))</f>
        <v>#N/A Requesting Data...</v>
      </c>
      <c r="M177" s="8" t="str">
        <f>IF($A177="","",IF(ISNUMBER(FIND("IMPVOL",M$1)),_xll.BDH(config!$G$4,M$1,WORKDAY($A177,-1,config_Holiday_Calendar_US),WORKDAY($A177,-1,config_Holiday_Calendar_US)),IF(ISNUMBER(_xll.BDH(config!$G$4,M$1,$A177,$A177)),_xll.BDH(config!$G$4,M$1,$A177,$A177),_xll.BDH(config!$G$5,M$1,$A177,$A177))))</f>
        <v>#N/A Requesting Data...</v>
      </c>
      <c r="N177" s="8" t="str">
        <f>IF($A177="","",IF(ISNUMBER(FIND("IMPVOL",N$1)),_xll.BDH(config!$G$4,N$1,WORKDAY($A177,-1,config_Holiday_Calendar_US),WORKDAY($A177,-1,config_Holiday_Calendar_US)),IF(ISNUMBER(_xll.BDH(config!$G$4,N$1,$A177,$A177)),_xll.BDH(config!$G$4,N$1,$A177,$A177),_xll.BDH(config!$G$5,N$1,$A177,$A177))))</f>
        <v>#N/A Requesting Data...</v>
      </c>
      <c r="O177" s="8" t="str">
        <f>IF($A177="","",IF(ISNUMBER(FIND("IMPVOL",O$1)),_xll.BDH(config!$G$4,O$1,WORKDAY($A177,-1,config_Holiday_Calendar_US),WORKDAY($A177,-1,config_Holiday_Calendar_US)),IF(ISNUMBER(_xll.BDH(config!$G$4,O$1,$A177,$A177)),_xll.BDH(config!$G$4,O$1,$A177,$A177),_xll.BDH(config!$G$5,O$1,$A177,$A177))))</f>
        <v>#N/A Requesting Data...</v>
      </c>
      <c r="P177" s="8" t="str">
        <f>IF($A177="","",IF(ISNUMBER(FIND("IMPVOL",P$1)),_xll.BDH(config!$G$4,P$1,WORKDAY($A177,-1,config_Holiday_Calendar_US),WORKDAY($A177,-1,config_Holiday_Calendar_US)),IF(ISNUMBER(_xll.BDH(config!$G$4,P$1,$A177,$A177)),_xll.BDH(config!$G$4,P$1,$A177,$A177),_xll.BDH(config!$G$5,P$1,$A177,$A177))))</f>
        <v>#N/A Requesting Data...</v>
      </c>
      <c r="Q177" s="8">
        <f>IF($A177="","",IF(ISNUMBER(FIND("IMPVOL",Q$1)),_xll.BDH(config!$G$4,Q$1,WORKDAY($A177,-1,config_Holiday_Calendar_US),WORKDAY($A177,-1,config_Holiday_Calendar_US)),IF(ISNUMBER(_xll.BDH(config!$G$4,Q$1,$A177,$A177)),_xll.BDH(config!$G$4,Q$1,$A177,$A177),_xll.BDH(config!$G$5,Q$1,$A177,$A177))))</f>
        <v>21.63</v>
      </c>
      <c r="R177" s="8">
        <f>IF($A177="","",IF(ISNUMBER(FIND("IMPVOL",R$1)),_xll.BDH(config!$G$4,R$1,WORKDAY($A177,-1,config_Holiday_Calendar_US),WORKDAY($A177,-1,config_Holiday_Calendar_US)),IF(ISNUMBER(_xll.BDH(config!$G$4,R$1,$A177,$A177)),_xll.BDH(config!$G$4,R$1,$A177,$A177),_xll.BDH(config!$G$5,R$1,$A177,$A177))))</f>
        <v>44.85</v>
      </c>
      <c r="S177" s="8" t="str">
        <f>IF($A177="","",IF(ISNUMBER(FIND("IMPVOL",S$1)),_xll.BDH(config!$G$4,S$1,WORKDAY($A177,-1,config_Holiday_Calendar_US),WORKDAY($A177,-1,config_Holiday_Calendar_US)),IF(ISNUMBER(_xll.BDH(config!$G$4,S$1,$A177,$A177)),_xll.BDH(config!$G$4,S$1,$A177,$A177),_xll.BDH(config!$G$5,S$1,$A177,$A177))))</f>
        <v>#N/A Requesting Data...</v>
      </c>
      <c r="T177" s="8" t="str">
        <f>IF($A177="","",IF(ISNUMBER(FIND("IMPVOL",T$1)),_xll.BDH(config!$G$4,T$1,WORKDAY($A177,-1,config_Holiday_Calendar_US),WORKDAY($A177,-1,config_Holiday_Calendar_US)),IF(ISNUMBER(_xll.BDH(config!$G$4,T$1,$A177,$A177)),_xll.BDH(config!$G$4,T$1,$A177,$A177),_xll.BDH(config!$G$5,T$1,$A177,$A177))))</f>
        <v>#N/A Requesting Data...</v>
      </c>
      <c r="U177" s="8" t="str">
        <f>IF($A177="","",IF(ISNUMBER(FIND("IMPVOL",U$1)),_xll.BDH(config!$G$4,U$1,WORKDAY($A177,-1,config_Holiday_Calendar_US),WORKDAY($A177,-1,config_Holiday_Calendar_US)),IF(ISNUMBER(_xll.BDH(config!$G$4,U$1,$A177,$A177)),_xll.BDH(config!$G$4,U$1,$A177,$A177),_xll.BDH(config!$G$5,U$1,$A177,$A177))))</f>
        <v>#N/A Requesting Data...</v>
      </c>
      <c r="V177" s="8" t="str">
        <f>IF($A177="","",IF(ISNUMBER(FIND("IMPVOL",V$1)),_xll.BDH(config!$G$4,V$1,WORKDAY($A177,-1,config_Holiday_Calendar_US),WORKDAY($A177,-1,config_Holiday_Calendar_US)),IF(ISNUMBER(_xll.BDH(config!$G$4,V$1,$A177,$A177)),_xll.BDH(config!$G$4,V$1,$A177,$A177),_xll.BDH(config!$G$5,V$1,$A177,$A177))))</f>
        <v>#N/A Requesting Data...</v>
      </c>
      <c r="W177" s="8" t="str">
        <f>IF($A177="","",IF(ISNUMBER(FIND("IMPVOL",W$1)),_xll.BDH(config!$G$4,W$1,WORKDAY($A177,-1,config_Holiday_Calendar_US),WORKDAY($A177,-1,config_Holiday_Calendar_US)),IF(ISNUMBER(_xll.BDH(config!$G$4,W$1,$A177,$A177)),_xll.BDH(config!$G$4,W$1,$A177,$A177),_xll.BDH(config!$G$5,W$1,$A177,$A177))))</f>
        <v>#N/A Requesting Data...</v>
      </c>
    </row>
    <row r="178" spans="1:23" x14ac:dyDescent="0.2">
      <c r="A178" s="9">
        <f>IF(A177="","",IF(WORKDAY(A177,-1,config_Holiday_Calendar_US)&lt;config!$I$10,"",WORKDAY(A177,-1,config_Holiday_Calendar_US)))</f>
        <v>42576</v>
      </c>
      <c r="B178" s="8" t="e">
        <f t="shared" si="2"/>
        <v>#VALUE!</v>
      </c>
      <c r="C178" s="8" t="str">
        <f>IF(A178="","",_xll.BDH(config!$H$4,C$1,$A178,$A178))</f>
        <v>#N/A Requesting Data...</v>
      </c>
      <c r="D178" s="8" t="str">
        <f>IF($A178="","",_xll.BDH(config!$H$4,D$1,$A178,$A178))</f>
        <v>#N/A Requesting Data...</v>
      </c>
      <c r="E178" s="8">
        <f>IF($A178="","",IF(ISNUMBER(FIND("IMPVOL",E$1)),_xll.BDH(config!$G$4,E$1,WORKDAY($A178,-1,config_Holiday_Calendar_US),WORKDAY($A178,-1,config_Holiday_Calendar_US)),IF(ISNUMBER(_xll.BDH(config!$G$4,E$1,$A178,$A178)),_xll.BDH(config!$G$4,E$1,$A178,$A178),_xll.BDH(config!$G$5,E$1,$A178,$A178))))</f>
        <v>44.2</v>
      </c>
      <c r="F178" s="8">
        <f>IF($A178="","",IF(ISNUMBER(FIND("IMPVOL",F$1)),_xll.BDH(config!$G$4,F$1,WORKDAY($A178,-1,config_Holiday_Calendar_US),WORKDAY($A178,-1,config_Holiday_Calendar_US)),IF(ISNUMBER(_xll.BDH(config!$G$4,F$1,$A178,$A178)),_xll.BDH(config!$G$4,F$1,$A178,$A178),_xll.BDH(config!$G$5,F$1,$A178,$A178))))</f>
        <v>44.37</v>
      </c>
      <c r="G178" s="8">
        <f>IF($A178="","",IF(ISNUMBER(FIND("IMPVOL",G$1)),_xll.BDH(config!$G$4,G$1,WORKDAY($A178,-1,config_Holiday_Calendar_US),WORKDAY($A178,-1,config_Holiday_Calendar_US)),IF(ISNUMBER(_xll.BDH(config!$G$4,G$1,$A178,$A178)),_xll.BDH(config!$G$4,G$1,$A178,$A178),_xll.BDH(config!$G$5,G$1,$A178,$A178))))</f>
        <v>43.69</v>
      </c>
      <c r="H178" s="8">
        <f>IF($A178="","",IF(ISNUMBER(FIND("IMPVOL",H$1)),_xll.BDH(config!$G$4,H$1,WORKDAY($A178,-1,config_Holiday_Calendar_US),WORKDAY($A178,-1,config_Holiday_Calendar_US)),IF(ISNUMBER(_xll.BDH(config!$G$4,H$1,$A178,$A178)),_xll.BDH(config!$G$4,H$1,$A178,$A178),_xll.BDH(config!$G$5,H$1,$A178,$A178))))</f>
        <v>71819</v>
      </c>
      <c r="I178" s="8" t="str">
        <f>IF($A178="","",IF(ISNUMBER(FIND("IMPVOL",I$1)),_xll.BDH(config!$G$4,I$1,WORKDAY($A178,-1,config_Holiday_Calendar_US),WORKDAY($A178,-1,config_Holiday_Calendar_US)),IF(ISNUMBER(_xll.BDH(config!$G$4,I$1,$A178,$A178)),_xll.BDH(config!$G$4,I$1,$A178,$A178),_xll.BDH(config!$G$5,I$1,$A178,$A178))))</f>
        <v>#N/A Requesting Data...</v>
      </c>
      <c r="J178" s="8" t="str">
        <f>IF($A178="","",IF(ISNUMBER(FIND("IMPVOL",J$1)),_xll.BDH(config!$G$4,J$1,WORKDAY($A178,-1,config_Holiday_Calendar_US),WORKDAY($A178,-1,config_Holiday_Calendar_US)),IF(ISNUMBER(_xll.BDH(config!$G$4,J$1,$A178,$A178)),_xll.BDH(config!$G$4,J$1,$A178,$A178),_xll.BDH(config!$G$5,J$1,$A178,$A178))))</f>
        <v>#N/A Requesting Data...</v>
      </c>
      <c r="K178" s="8" t="str">
        <f>IF($A178="","",IF(ISNUMBER(FIND("IMPVOL",K$1)),_xll.BDH(config!$G$4,K$1,WORKDAY($A178,-1,config_Holiday_Calendar_US),WORKDAY($A178,-1,config_Holiday_Calendar_US)),IF(ISNUMBER(_xll.BDH(config!$G$4,K$1,$A178,$A178)),_xll.BDH(config!$G$4,K$1,$A178,$A178),_xll.BDH(config!$G$5,K$1,$A178,$A178))))</f>
        <v>#N/A Requesting Data...</v>
      </c>
      <c r="L178" s="8" t="str">
        <f>IF($A178="","",IF(ISNUMBER(FIND("IMPVOL",L$1)),_xll.BDH(config!$G$4,L$1,WORKDAY($A178,-1,config_Holiday_Calendar_US),WORKDAY($A178,-1,config_Holiday_Calendar_US)),IF(ISNUMBER(_xll.BDH(config!$G$4,L$1,$A178,$A178)),_xll.BDH(config!$G$4,L$1,$A178,$A178),_xll.BDH(config!$G$5,L$1,$A178,$A178))))</f>
        <v>#N/A Requesting Data...</v>
      </c>
      <c r="M178" s="8" t="str">
        <f>IF($A178="","",IF(ISNUMBER(FIND("IMPVOL",M$1)),_xll.BDH(config!$G$4,M$1,WORKDAY($A178,-1,config_Holiday_Calendar_US),WORKDAY($A178,-1,config_Holiday_Calendar_US)),IF(ISNUMBER(_xll.BDH(config!$G$4,M$1,$A178,$A178)),_xll.BDH(config!$G$4,M$1,$A178,$A178),_xll.BDH(config!$G$5,M$1,$A178,$A178))))</f>
        <v>#N/A Requesting Data...</v>
      </c>
      <c r="N178" s="8" t="str">
        <f>IF($A178="","",IF(ISNUMBER(FIND("IMPVOL",N$1)),_xll.BDH(config!$G$4,N$1,WORKDAY($A178,-1,config_Holiday_Calendar_US),WORKDAY($A178,-1,config_Holiday_Calendar_US)),IF(ISNUMBER(_xll.BDH(config!$G$4,N$1,$A178,$A178)),_xll.BDH(config!$G$4,N$1,$A178,$A178),_xll.BDH(config!$G$5,N$1,$A178,$A178))))</f>
        <v>#N/A Requesting Data...</v>
      </c>
      <c r="O178" s="8" t="str">
        <f>IF($A178="","",IF(ISNUMBER(FIND("IMPVOL",O$1)),_xll.BDH(config!$G$4,O$1,WORKDAY($A178,-1,config_Holiday_Calendar_US),WORKDAY($A178,-1,config_Holiday_Calendar_US)),IF(ISNUMBER(_xll.BDH(config!$G$4,O$1,$A178,$A178)),_xll.BDH(config!$G$4,O$1,$A178,$A178),_xll.BDH(config!$G$5,O$1,$A178,$A178))))</f>
        <v>#N/A Requesting Data...</v>
      </c>
      <c r="P178" s="8" t="str">
        <f>IF($A178="","",IF(ISNUMBER(FIND("IMPVOL",P$1)),_xll.BDH(config!$G$4,P$1,WORKDAY($A178,-1,config_Holiday_Calendar_US),WORKDAY($A178,-1,config_Holiday_Calendar_US)),IF(ISNUMBER(_xll.BDH(config!$G$4,P$1,$A178,$A178)),_xll.BDH(config!$G$4,P$1,$A178,$A178),_xll.BDH(config!$G$5,P$1,$A178,$A178))))</f>
        <v>#N/A Requesting Data...</v>
      </c>
      <c r="Q178" s="8">
        <f>IF($A178="","",IF(ISNUMBER(FIND("IMPVOL",Q$1)),_xll.BDH(config!$G$4,Q$1,WORKDAY($A178,-1,config_Holiday_Calendar_US),WORKDAY($A178,-1,config_Holiday_Calendar_US)),IF(ISNUMBER(_xll.BDH(config!$G$4,Q$1,$A178,$A178)),_xll.BDH(config!$G$4,Q$1,$A178,$A178),_xll.BDH(config!$G$5,Q$1,$A178,$A178))))</f>
        <v>31.04</v>
      </c>
      <c r="R178" s="8">
        <f>IF($A178="","",IF(ISNUMBER(FIND("IMPVOL",R$1)),_xll.BDH(config!$G$4,R$1,WORKDAY($A178,-1,config_Holiday_Calendar_US),WORKDAY($A178,-1,config_Holiday_Calendar_US)),IF(ISNUMBER(_xll.BDH(config!$G$4,R$1,$A178,$A178)),_xll.BDH(config!$G$4,R$1,$A178,$A178),_xll.BDH(config!$G$5,R$1,$A178,$A178))))</f>
        <v>44.88</v>
      </c>
      <c r="S178" s="8" t="str">
        <f>IF($A178="","",IF(ISNUMBER(FIND("IMPVOL",S$1)),_xll.BDH(config!$G$4,S$1,WORKDAY($A178,-1,config_Holiday_Calendar_US),WORKDAY($A178,-1,config_Holiday_Calendar_US)),IF(ISNUMBER(_xll.BDH(config!$G$4,S$1,$A178,$A178)),_xll.BDH(config!$G$4,S$1,$A178,$A178),_xll.BDH(config!$G$5,S$1,$A178,$A178))))</f>
        <v>#N/A Requesting Data...</v>
      </c>
      <c r="T178" s="8" t="str">
        <f>IF($A178="","",IF(ISNUMBER(FIND("IMPVOL",T$1)),_xll.BDH(config!$G$4,T$1,WORKDAY($A178,-1,config_Holiday_Calendar_US),WORKDAY($A178,-1,config_Holiday_Calendar_US)),IF(ISNUMBER(_xll.BDH(config!$G$4,T$1,$A178,$A178)),_xll.BDH(config!$G$4,T$1,$A178,$A178),_xll.BDH(config!$G$5,T$1,$A178,$A178))))</f>
        <v>#N/A Requesting Data...</v>
      </c>
      <c r="U178" s="8" t="str">
        <f>IF($A178="","",IF(ISNUMBER(FIND("IMPVOL",U$1)),_xll.BDH(config!$G$4,U$1,WORKDAY($A178,-1,config_Holiday_Calendar_US),WORKDAY($A178,-1,config_Holiday_Calendar_US)),IF(ISNUMBER(_xll.BDH(config!$G$4,U$1,$A178,$A178)),_xll.BDH(config!$G$4,U$1,$A178,$A178),_xll.BDH(config!$G$5,U$1,$A178,$A178))))</f>
        <v>#N/A Requesting Data...</v>
      </c>
      <c r="V178" s="8" t="str">
        <f>IF($A178="","",IF(ISNUMBER(FIND("IMPVOL",V$1)),_xll.BDH(config!$G$4,V$1,WORKDAY($A178,-1,config_Holiday_Calendar_US),WORKDAY($A178,-1,config_Holiday_Calendar_US)),IF(ISNUMBER(_xll.BDH(config!$G$4,V$1,$A178,$A178)),_xll.BDH(config!$G$4,V$1,$A178,$A178),_xll.BDH(config!$G$5,V$1,$A178,$A178))))</f>
        <v>#N/A Requesting Data...</v>
      </c>
      <c r="W178" s="8" t="str">
        <f>IF($A178="","",IF(ISNUMBER(FIND("IMPVOL",W$1)),_xll.BDH(config!$G$4,W$1,WORKDAY($A178,-1,config_Holiday_Calendar_US),WORKDAY($A178,-1,config_Holiday_Calendar_US)),IF(ISNUMBER(_xll.BDH(config!$G$4,W$1,$A178,$A178)),_xll.BDH(config!$G$4,W$1,$A178,$A178),_xll.BDH(config!$G$5,W$1,$A178,$A178))))</f>
        <v>#N/A Requesting Data...</v>
      </c>
    </row>
    <row r="179" spans="1:23" x14ac:dyDescent="0.2">
      <c r="A179" s="9">
        <f>IF(A178="","",IF(WORKDAY(A178,-1,config_Holiday_Calendar_US)&lt;config!$I$10,"",WORKDAY(A178,-1,config_Holiday_Calendar_US)))</f>
        <v>42573</v>
      </c>
      <c r="B179" s="8" t="e">
        <f t="shared" si="2"/>
        <v>#VALUE!</v>
      </c>
      <c r="C179" s="8" t="str">
        <f>IF(A179="","",_xll.BDH(config!$H$4,C$1,$A179,$A179))</f>
        <v>#N/A Requesting Data...</v>
      </c>
      <c r="D179" s="8" t="str">
        <f>IF($A179="","",_xll.BDH(config!$H$4,D$1,$A179,$A179))</f>
        <v>#N/A Requesting Data...</v>
      </c>
      <c r="E179" s="8">
        <f>IF($A179="","",IF(ISNUMBER(FIND("IMPVOL",E$1)),_xll.BDH(config!$G$4,E$1,WORKDAY($A179,-1,config_Holiday_Calendar_US),WORKDAY($A179,-1,config_Holiday_Calendar_US)),IF(ISNUMBER(_xll.BDH(config!$G$4,E$1,$A179,$A179)),_xll.BDH(config!$G$4,E$1,$A179,$A179),_xll.BDH(config!$G$5,E$1,$A179,$A179))))</f>
        <v>44.6</v>
      </c>
      <c r="F179" s="8">
        <f>IF($A179="","",IF(ISNUMBER(FIND("IMPVOL",F$1)),_xll.BDH(config!$G$4,F$1,WORKDAY($A179,-1,config_Holiday_Calendar_US),WORKDAY($A179,-1,config_Holiday_Calendar_US)),IF(ISNUMBER(_xll.BDH(config!$G$4,F$1,$A179,$A179)),_xll.BDH(config!$G$4,F$1,$A179,$A179),_xll.BDH(config!$G$5,F$1,$A179,$A179))))</f>
        <v>44.97</v>
      </c>
      <c r="G179" s="8">
        <f>IF($A179="","",IF(ISNUMBER(FIND("IMPVOL",G$1)),_xll.BDH(config!$G$4,G$1,WORKDAY($A179,-1,config_Holiday_Calendar_US),WORKDAY($A179,-1,config_Holiday_Calendar_US)),IF(ISNUMBER(_xll.BDH(config!$G$4,G$1,$A179,$A179)),_xll.BDH(config!$G$4,G$1,$A179,$A179),_xll.BDH(config!$G$5,G$1,$A179,$A179))))</f>
        <v>44.42</v>
      </c>
      <c r="H179" s="8">
        <f>IF($A179="","",IF(ISNUMBER(FIND("IMPVOL",H$1)),_xll.BDH(config!$G$4,H$1,WORKDAY($A179,-1,config_Holiday_Calendar_US),WORKDAY($A179,-1,config_Holiday_Calendar_US)),IF(ISNUMBER(_xll.BDH(config!$G$4,H$1,$A179,$A179)),_xll.BDH(config!$G$4,H$1,$A179,$A179),_xll.BDH(config!$G$5,H$1,$A179,$A179))))</f>
        <v>68040</v>
      </c>
      <c r="I179" s="8" t="str">
        <f>IF($A179="","",IF(ISNUMBER(FIND("IMPVOL",I$1)),_xll.BDH(config!$G$4,I$1,WORKDAY($A179,-1,config_Holiday_Calendar_US),WORKDAY($A179,-1,config_Holiday_Calendar_US)),IF(ISNUMBER(_xll.BDH(config!$G$4,I$1,$A179,$A179)),_xll.BDH(config!$G$4,I$1,$A179,$A179),_xll.BDH(config!$G$5,I$1,$A179,$A179))))</f>
        <v>#N/A Requesting Data...</v>
      </c>
      <c r="J179" s="8" t="str">
        <f>IF($A179="","",IF(ISNUMBER(FIND("IMPVOL",J$1)),_xll.BDH(config!$G$4,J$1,WORKDAY($A179,-1,config_Holiday_Calendar_US),WORKDAY($A179,-1,config_Holiday_Calendar_US)),IF(ISNUMBER(_xll.BDH(config!$G$4,J$1,$A179,$A179)),_xll.BDH(config!$G$4,J$1,$A179,$A179),_xll.BDH(config!$G$5,J$1,$A179,$A179))))</f>
        <v>#N/A Requesting Data...</v>
      </c>
      <c r="K179" s="8" t="str">
        <f>IF($A179="","",IF(ISNUMBER(FIND("IMPVOL",K$1)),_xll.BDH(config!$G$4,K$1,WORKDAY($A179,-1,config_Holiday_Calendar_US),WORKDAY($A179,-1,config_Holiday_Calendar_US)),IF(ISNUMBER(_xll.BDH(config!$G$4,K$1,$A179,$A179)),_xll.BDH(config!$G$4,K$1,$A179,$A179),_xll.BDH(config!$G$5,K$1,$A179,$A179))))</f>
        <v>#N/A Requesting Data...</v>
      </c>
      <c r="L179" s="8" t="str">
        <f>IF($A179="","",IF(ISNUMBER(FIND("IMPVOL",L$1)),_xll.BDH(config!$G$4,L$1,WORKDAY($A179,-1,config_Holiday_Calendar_US),WORKDAY($A179,-1,config_Holiday_Calendar_US)),IF(ISNUMBER(_xll.BDH(config!$G$4,L$1,$A179,$A179)),_xll.BDH(config!$G$4,L$1,$A179,$A179),_xll.BDH(config!$G$5,L$1,$A179,$A179))))</f>
        <v>#N/A Requesting Data...</v>
      </c>
      <c r="M179" s="8" t="str">
        <f>IF($A179="","",IF(ISNUMBER(FIND("IMPVOL",M$1)),_xll.BDH(config!$G$4,M$1,WORKDAY($A179,-1,config_Holiday_Calendar_US),WORKDAY($A179,-1,config_Holiday_Calendar_US)),IF(ISNUMBER(_xll.BDH(config!$G$4,M$1,$A179,$A179)),_xll.BDH(config!$G$4,M$1,$A179,$A179),_xll.BDH(config!$G$5,M$1,$A179,$A179))))</f>
        <v>#N/A Requesting Data...</v>
      </c>
      <c r="N179" s="8" t="str">
        <f>IF($A179="","",IF(ISNUMBER(FIND("IMPVOL",N$1)),_xll.BDH(config!$G$4,N$1,WORKDAY($A179,-1,config_Holiday_Calendar_US),WORKDAY($A179,-1,config_Holiday_Calendar_US)),IF(ISNUMBER(_xll.BDH(config!$G$4,N$1,$A179,$A179)),_xll.BDH(config!$G$4,N$1,$A179,$A179),_xll.BDH(config!$G$5,N$1,$A179,$A179))))</f>
        <v>#N/A Requesting Data...</v>
      </c>
      <c r="O179" s="8" t="str">
        <f>IF($A179="","",IF(ISNUMBER(FIND("IMPVOL",O$1)),_xll.BDH(config!$G$4,O$1,WORKDAY($A179,-1,config_Holiday_Calendar_US),WORKDAY($A179,-1,config_Holiday_Calendar_US)),IF(ISNUMBER(_xll.BDH(config!$G$4,O$1,$A179,$A179)),_xll.BDH(config!$G$4,O$1,$A179,$A179),_xll.BDH(config!$G$5,O$1,$A179,$A179))))</f>
        <v>#N/A Requesting Data...</v>
      </c>
      <c r="P179" s="8" t="str">
        <f>IF($A179="","",IF(ISNUMBER(FIND("IMPVOL",P$1)),_xll.BDH(config!$G$4,P$1,WORKDAY($A179,-1,config_Holiday_Calendar_US),WORKDAY($A179,-1,config_Holiday_Calendar_US)),IF(ISNUMBER(_xll.BDH(config!$G$4,P$1,$A179,$A179)),_xll.BDH(config!$G$4,P$1,$A179,$A179),_xll.BDH(config!$G$5,P$1,$A179,$A179))))</f>
        <v>#N/A Requesting Data...</v>
      </c>
      <c r="Q179" s="8">
        <f>IF($A179="","",IF(ISNUMBER(FIND("IMPVOL",Q$1)),_xll.BDH(config!$G$4,Q$1,WORKDAY($A179,-1,config_Holiday_Calendar_US),WORKDAY($A179,-1,config_Holiday_Calendar_US)),IF(ISNUMBER(_xll.BDH(config!$G$4,Q$1,$A179,$A179)),_xll.BDH(config!$G$4,Q$1,$A179,$A179),_xll.BDH(config!$G$5,Q$1,$A179,$A179))))</f>
        <v>40.68</v>
      </c>
      <c r="R179" s="8">
        <f>IF($A179="","",IF(ISNUMBER(FIND("IMPVOL",R$1)),_xll.BDH(config!$G$4,R$1,WORKDAY($A179,-1,config_Holiday_Calendar_US),WORKDAY($A179,-1,config_Holiday_Calendar_US)),IF(ISNUMBER(_xll.BDH(config!$G$4,R$1,$A179,$A179)),_xll.BDH(config!$G$4,R$1,$A179,$A179),_xll.BDH(config!$G$5,R$1,$A179,$A179))))</f>
        <v>44.51</v>
      </c>
      <c r="S179" s="8" t="str">
        <f>IF($A179="","",IF(ISNUMBER(FIND("IMPVOL",S$1)),_xll.BDH(config!$G$4,S$1,WORKDAY($A179,-1,config_Holiday_Calendar_US),WORKDAY($A179,-1,config_Holiday_Calendar_US)),IF(ISNUMBER(_xll.BDH(config!$G$4,S$1,$A179,$A179)),_xll.BDH(config!$G$4,S$1,$A179,$A179),_xll.BDH(config!$G$5,S$1,$A179,$A179))))</f>
        <v>#N/A Requesting Data...</v>
      </c>
      <c r="T179" s="8" t="str">
        <f>IF($A179="","",IF(ISNUMBER(FIND("IMPVOL",T$1)),_xll.BDH(config!$G$4,T$1,WORKDAY($A179,-1,config_Holiday_Calendar_US),WORKDAY($A179,-1,config_Holiday_Calendar_US)),IF(ISNUMBER(_xll.BDH(config!$G$4,T$1,$A179,$A179)),_xll.BDH(config!$G$4,T$1,$A179,$A179),_xll.BDH(config!$G$5,T$1,$A179,$A179))))</f>
        <v>#N/A Requesting Data...</v>
      </c>
      <c r="U179" s="8" t="str">
        <f>IF($A179="","",IF(ISNUMBER(FIND("IMPVOL",U$1)),_xll.BDH(config!$G$4,U$1,WORKDAY($A179,-1,config_Holiday_Calendar_US),WORKDAY($A179,-1,config_Holiday_Calendar_US)),IF(ISNUMBER(_xll.BDH(config!$G$4,U$1,$A179,$A179)),_xll.BDH(config!$G$4,U$1,$A179,$A179),_xll.BDH(config!$G$5,U$1,$A179,$A179))))</f>
        <v>#N/A Requesting Data...</v>
      </c>
      <c r="V179" s="8" t="str">
        <f>IF($A179="","",IF(ISNUMBER(FIND("IMPVOL",V$1)),_xll.BDH(config!$G$4,V$1,WORKDAY($A179,-1,config_Holiday_Calendar_US),WORKDAY($A179,-1,config_Holiday_Calendar_US)),IF(ISNUMBER(_xll.BDH(config!$G$4,V$1,$A179,$A179)),_xll.BDH(config!$G$4,V$1,$A179,$A179),_xll.BDH(config!$G$5,V$1,$A179,$A179))))</f>
        <v>#N/A Requesting Data...</v>
      </c>
      <c r="W179" s="8" t="str">
        <f>IF($A179="","",IF(ISNUMBER(FIND("IMPVOL",W$1)),_xll.BDH(config!$G$4,W$1,WORKDAY($A179,-1,config_Holiday_Calendar_US),WORKDAY($A179,-1,config_Holiday_Calendar_US)),IF(ISNUMBER(_xll.BDH(config!$G$4,W$1,$A179,$A179)),_xll.BDH(config!$G$4,W$1,$A179,$A179),_xll.BDH(config!$G$5,W$1,$A179,$A179))))</f>
        <v>#N/A Requesting Data...</v>
      </c>
    </row>
    <row r="180" spans="1:23" x14ac:dyDescent="0.2">
      <c r="A180" s="9">
        <f>IF(A179="","",IF(WORKDAY(A179,-1,config_Holiday_Calendar_US)&lt;config!$I$10,"",WORKDAY(A179,-1,config_Holiday_Calendar_US)))</f>
        <v>42572</v>
      </c>
      <c r="B180" s="8" t="e">
        <f t="shared" si="2"/>
        <v>#VALUE!</v>
      </c>
      <c r="C180" s="8" t="str">
        <f>IF(A180="","",_xll.BDH(config!$H$4,C$1,$A180,$A180))</f>
        <v>#N/A Requesting Data...</v>
      </c>
      <c r="D180" s="8" t="str">
        <f>IF($A180="","",_xll.BDH(config!$H$4,D$1,$A180,$A180))</f>
        <v>#N/A Requesting Data...</v>
      </c>
      <c r="E180" s="8">
        <f>IF($A180="","",IF(ISNUMBER(FIND("IMPVOL",E$1)),_xll.BDH(config!$G$4,E$1,WORKDAY($A180,-1,config_Holiday_Calendar_US),WORKDAY($A180,-1,config_Holiday_Calendar_US)),IF(ISNUMBER(_xll.BDH(config!$G$4,E$1,$A180,$A180)),_xll.BDH(config!$G$4,E$1,$A180,$A180),_xll.BDH(config!$G$5,E$1,$A180,$A180))))</f>
        <v>45.65</v>
      </c>
      <c r="F180" s="8">
        <f>IF($A180="","",IF(ISNUMBER(FIND("IMPVOL",F$1)),_xll.BDH(config!$G$4,F$1,WORKDAY($A180,-1,config_Holiday_Calendar_US),WORKDAY($A180,-1,config_Holiday_Calendar_US)),IF(ISNUMBER(_xll.BDH(config!$G$4,F$1,$A180,$A180)),_xll.BDH(config!$G$4,F$1,$A180,$A180),_xll.BDH(config!$G$5,F$1,$A180,$A180))))</f>
        <v>46.09</v>
      </c>
      <c r="G180" s="8">
        <f>IF($A180="","",IF(ISNUMBER(FIND("IMPVOL",G$1)),_xll.BDH(config!$G$4,G$1,WORKDAY($A180,-1,config_Holiday_Calendar_US),WORKDAY($A180,-1,config_Holiday_Calendar_US)),IF(ISNUMBER(_xll.BDH(config!$G$4,G$1,$A180,$A180)),_xll.BDH(config!$G$4,G$1,$A180,$A180),_xll.BDH(config!$G$5,G$1,$A180,$A180))))</f>
        <v>45.22</v>
      </c>
      <c r="H180" s="8">
        <f>IF($A180="","",IF(ISNUMBER(FIND("IMPVOL",H$1)),_xll.BDH(config!$G$4,H$1,WORKDAY($A180,-1,config_Holiday_Calendar_US),WORKDAY($A180,-1,config_Holiday_Calendar_US)),IF(ISNUMBER(_xll.BDH(config!$G$4,H$1,$A180,$A180)),_xll.BDH(config!$G$4,H$1,$A180,$A180),_xll.BDH(config!$G$5,H$1,$A180,$A180))))</f>
        <v>77776</v>
      </c>
      <c r="I180" s="8" t="str">
        <f>IF($A180="","",IF(ISNUMBER(FIND("IMPVOL",I$1)),_xll.BDH(config!$G$4,I$1,WORKDAY($A180,-1,config_Holiday_Calendar_US),WORKDAY($A180,-1,config_Holiday_Calendar_US)),IF(ISNUMBER(_xll.BDH(config!$G$4,I$1,$A180,$A180)),_xll.BDH(config!$G$4,I$1,$A180,$A180),_xll.BDH(config!$G$5,I$1,$A180,$A180))))</f>
        <v>#N/A Requesting Data...</v>
      </c>
      <c r="J180" s="8" t="str">
        <f>IF($A180="","",IF(ISNUMBER(FIND("IMPVOL",J$1)),_xll.BDH(config!$G$4,J$1,WORKDAY($A180,-1,config_Holiday_Calendar_US),WORKDAY($A180,-1,config_Holiday_Calendar_US)),IF(ISNUMBER(_xll.BDH(config!$G$4,J$1,$A180,$A180)),_xll.BDH(config!$G$4,J$1,$A180,$A180),_xll.BDH(config!$G$5,J$1,$A180,$A180))))</f>
        <v>#N/A Requesting Data...</v>
      </c>
      <c r="K180" s="8" t="str">
        <f>IF($A180="","",IF(ISNUMBER(FIND("IMPVOL",K$1)),_xll.BDH(config!$G$4,K$1,WORKDAY($A180,-1,config_Holiday_Calendar_US),WORKDAY($A180,-1,config_Holiday_Calendar_US)),IF(ISNUMBER(_xll.BDH(config!$G$4,K$1,$A180,$A180)),_xll.BDH(config!$G$4,K$1,$A180,$A180),_xll.BDH(config!$G$5,K$1,$A180,$A180))))</f>
        <v>#N/A Requesting Data...</v>
      </c>
      <c r="L180" s="8" t="str">
        <f>IF($A180="","",IF(ISNUMBER(FIND("IMPVOL",L$1)),_xll.BDH(config!$G$4,L$1,WORKDAY($A180,-1,config_Holiday_Calendar_US),WORKDAY($A180,-1,config_Holiday_Calendar_US)),IF(ISNUMBER(_xll.BDH(config!$G$4,L$1,$A180,$A180)),_xll.BDH(config!$G$4,L$1,$A180,$A180),_xll.BDH(config!$G$5,L$1,$A180,$A180))))</f>
        <v>#N/A Requesting Data...</v>
      </c>
      <c r="M180" s="8" t="str">
        <f>IF($A180="","",IF(ISNUMBER(FIND("IMPVOL",M$1)),_xll.BDH(config!$G$4,M$1,WORKDAY($A180,-1,config_Holiday_Calendar_US),WORKDAY($A180,-1,config_Holiday_Calendar_US)),IF(ISNUMBER(_xll.BDH(config!$G$4,M$1,$A180,$A180)),_xll.BDH(config!$G$4,M$1,$A180,$A180),_xll.BDH(config!$G$5,M$1,$A180,$A180))))</f>
        <v>#N/A Requesting Data...</v>
      </c>
      <c r="N180" s="8" t="str">
        <f>IF($A180="","",IF(ISNUMBER(FIND("IMPVOL",N$1)),_xll.BDH(config!$G$4,N$1,WORKDAY($A180,-1,config_Holiday_Calendar_US),WORKDAY($A180,-1,config_Holiday_Calendar_US)),IF(ISNUMBER(_xll.BDH(config!$G$4,N$1,$A180,$A180)),_xll.BDH(config!$G$4,N$1,$A180,$A180),_xll.BDH(config!$G$5,N$1,$A180,$A180))))</f>
        <v>#N/A Requesting Data...</v>
      </c>
      <c r="O180" s="8" t="str">
        <f>IF($A180="","",IF(ISNUMBER(FIND("IMPVOL",O$1)),_xll.BDH(config!$G$4,O$1,WORKDAY($A180,-1,config_Holiday_Calendar_US),WORKDAY($A180,-1,config_Holiday_Calendar_US)),IF(ISNUMBER(_xll.BDH(config!$G$4,O$1,$A180,$A180)),_xll.BDH(config!$G$4,O$1,$A180,$A180),_xll.BDH(config!$G$5,O$1,$A180,$A180))))</f>
        <v>#N/A Requesting Data...</v>
      </c>
      <c r="P180" s="8" t="str">
        <f>IF($A180="","",IF(ISNUMBER(FIND("IMPVOL",P$1)),_xll.BDH(config!$G$4,P$1,WORKDAY($A180,-1,config_Holiday_Calendar_US),WORKDAY($A180,-1,config_Holiday_Calendar_US)),IF(ISNUMBER(_xll.BDH(config!$G$4,P$1,$A180,$A180)),_xll.BDH(config!$G$4,P$1,$A180,$A180),_xll.BDH(config!$G$5,P$1,$A180,$A180))))</f>
        <v>#N/A Requesting Data...</v>
      </c>
      <c r="Q180" s="8">
        <f>IF($A180="","",IF(ISNUMBER(FIND("IMPVOL",Q$1)),_xll.BDH(config!$G$4,Q$1,WORKDAY($A180,-1,config_Holiday_Calendar_US),WORKDAY($A180,-1,config_Holiday_Calendar_US)),IF(ISNUMBER(_xll.BDH(config!$G$4,Q$1,$A180,$A180)),_xll.BDH(config!$G$4,Q$1,$A180,$A180),_xll.BDH(config!$G$5,Q$1,$A180,$A180))))</f>
        <v>40.72</v>
      </c>
      <c r="R180" s="8">
        <f>IF($A180="","",IF(ISNUMBER(FIND("IMPVOL",R$1)),_xll.BDH(config!$G$4,R$1,WORKDAY($A180,-1,config_Holiday_Calendar_US),WORKDAY($A180,-1,config_Holiday_Calendar_US)),IF(ISNUMBER(_xll.BDH(config!$G$4,R$1,$A180,$A180)),_xll.BDH(config!$G$4,R$1,$A180,$A180),_xll.BDH(config!$G$5,R$1,$A180,$A180))))</f>
        <v>45.12</v>
      </c>
      <c r="S180" s="8" t="str">
        <f>IF($A180="","",IF(ISNUMBER(FIND("IMPVOL",S$1)),_xll.BDH(config!$G$4,S$1,WORKDAY($A180,-1,config_Holiday_Calendar_US),WORKDAY($A180,-1,config_Holiday_Calendar_US)),IF(ISNUMBER(_xll.BDH(config!$G$4,S$1,$A180,$A180)),_xll.BDH(config!$G$4,S$1,$A180,$A180),_xll.BDH(config!$G$5,S$1,$A180,$A180))))</f>
        <v>#N/A Requesting Data...</v>
      </c>
      <c r="T180" s="8" t="str">
        <f>IF($A180="","",IF(ISNUMBER(FIND("IMPVOL",T$1)),_xll.BDH(config!$G$4,T$1,WORKDAY($A180,-1,config_Holiday_Calendar_US),WORKDAY($A180,-1,config_Holiday_Calendar_US)),IF(ISNUMBER(_xll.BDH(config!$G$4,T$1,$A180,$A180)),_xll.BDH(config!$G$4,T$1,$A180,$A180),_xll.BDH(config!$G$5,T$1,$A180,$A180))))</f>
        <v>#N/A Requesting Data...</v>
      </c>
      <c r="U180" s="8" t="str">
        <f>IF($A180="","",IF(ISNUMBER(FIND("IMPVOL",U$1)),_xll.BDH(config!$G$4,U$1,WORKDAY($A180,-1,config_Holiday_Calendar_US),WORKDAY($A180,-1,config_Holiday_Calendar_US)),IF(ISNUMBER(_xll.BDH(config!$G$4,U$1,$A180,$A180)),_xll.BDH(config!$G$4,U$1,$A180,$A180),_xll.BDH(config!$G$5,U$1,$A180,$A180))))</f>
        <v>#N/A Requesting Data...</v>
      </c>
      <c r="V180" s="8" t="str">
        <f>IF($A180="","",IF(ISNUMBER(FIND("IMPVOL",V$1)),_xll.BDH(config!$G$4,V$1,WORKDAY($A180,-1,config_Holiday_Calendar_US),WORKDAY($A180,-1,config_Holiday_Calendar_US)),IF(ISNUMBER(_xll.BDH(config!$G$4,V$1,$A180,$A180)),_xll.BDH(config!$G$4,V$1,$A180,$A180),_xll.BDH(config!$G$5,V$1,$A180,$A180))))</f>
        <v>#N/A Requesting Data...</v>
      </c>
      <c r="W180" s="8" t="str">
        <f>IF($A180="","",IF(ISNUMBER(FIND("IMPVOL",W$1)),_xll.BDH(config!$G$4,W$1,WORKDAY($A180,-1,config_Holiday_Calendar_US),WORKDAY($A180,-1,config_Holiday_Calendar_US)),IF(ISNUMBER(_xll.BDH(config!$G$4,W$1,$A180,$A180)),_xll.BDH(config!$G$4,W$1,$A180,$A180),_xll.BDH(config!$G$5,W$1,$A180,$A180))))</f>
        <v>#N/A Requesting Data...</v>
      </c>
    </row>
    <row r="181" spans="1:23" x14ac:dyDescent="0.2">
      <c r="A181" s="9">
        <f>IF(A180="","",IF(WORKDAY(A180,-1,config_Holiday_Calendar_US)&lt;config!$I$10,"",WORKDAY(A180,-1,config_Holiday_Calendar_US)))</f>
        <v>42571</v>
      </c>
      <c r="B181" s="8" t="e">
        <f t="shared" si="2"/>
        <v>#VALUE!</v>
      </c>
      <c r="C181" s="8" t="str">
        <f>IF(A181="","",_xll.BDH(config!$H$4,C$1,$A181,$A181))</f>
        <v>#N/A Requesting Data...</v>
      </c>
      <c r="D181" s="8" t="str">
        <f>IF($A181="","",_xll.BDH(config!$H$4,D$1,$A181,$A181))</f>
        <v>#N/A Requesting Data...</v>
      </c>
      <c r="E181" s="8">
        <f>IF($A181="","",IF(ISNUMBER(FIND("IMPVOL",E$1)),_xll.BDH(config!$G$4,E$1,WORKDAY($A181,-1,config_Holiday_Calendar_US),WORKDAY($A181,-1,config_Holiday_Calendar_US)),IF(ISNUMBER(_xll.BDH(config!$G$4,E$1,$A181,$A181)),_xll.BDH(config!$G$4,E$1,$A181,$A181),_xll.BDH(config!$G$5,E$1,$A181,$A181))))</f>
        <v>44.59</v>
      </c>
      <c r="F181" s="8">
        <f>IF($A181="","",IF(ISNUMBER(FIND("IMPVOL",F$1)),_xll.BDH(config!$G$4,F$1,WORKDAY($A181,-1,config_Holiday_Calendar_US),WORKDAY($A181,-1,config_Holiday_Calendar_US)),IF(ISNUMBER(_xll.BDH(config!$G$4,F$1,$A181,$A181)),_xll.BDH(config!$G$4,F$1,$A181,$A181),_xll.BDH(config!$G$5,F$1,$A181,$A181))))</f>
        <v>45.25</v>
      </c>
      <c r="G181" s="8">
        <f>IF($A181="","",IF(ISNUMBER(FIND("IMPVOL",G$1)),_xll.BDH(config!$G$4,G$1,WORKDAY($A181,-1,config_Holiday_Calendar_US),WORKDAY($A181,-1,config_Holiday_Calendar_US)),IF(ISNUMBER(_xll.BDH(config!$G$4,G$1,$A181,$A181)),_xll.BDH(config!$G$4,G$1,$A181,$A181),_xll.BDH(config!$G$5,G$1,$A181,$A181))))</f>
        <v>44.55</v>
      </c>
      <c r="H181" s="8">
        <f>IF($A181="","",IF(ISNUMBER(FIND("IMPVOL",H$1)),_xll.BDH(config!$G$4,H$1,WORKDAY($A181,-1,config_Holiday_Calendar_US),WORKDAY($A181,-1,config_Holiday_Calendar_US)),IF(ISNUMBER(_xll.BDH(config!$G$4,H$1,$A181,$A181)),_xll.BDH(config!$G$4,H$1,$A181,$A181),_xll.BDH(config!$G$5,H$1,$A181,$A181))))</f>
        <v>541014</v>
      </c>
      <c r="I181" s="8" t="str">
        <f>IF($A181="","",IF(ISNUMBER(FIND("IMPVOL",I$1)),_xll.BDH(config!$G$4,I$1,WORKDAY($A181,-1,config_Holiday_Calendar_US),WORKDAY($A181,-1,config_Holiday_Calendar_US)),IF(ISNUMBER(_xll.BDH(config!$G$4,I$1,$A181,$A181)),_xll.BDH(config!$G$4,I$1,$A181,$A181),_xll.BDH(config!$G$5,I$1,$A181,$A181))))</f>
        <v>#N/A Requesting Data...</v>
      </c>
      <c r="J181" s="8" t="str">
        <f>IF($A181="","",IF(ISNUMBER(FIND("IMPVOL",J$1)),_xll.BDH(config!$G$4,J$1,WORKDAY($A181,-1,config_Holiday_Calendar_US),WORKDAY($A181,-1,config_Holiday_Calendar_US)),IF(ISNUMBER(_xll.BDH(config!$G$4,J$1,$A181,$A181)),_xll.BDH(config!$G$4,J$1,$A181,$A181),_xll.BDH(config!$G$5,J$1,$A181,$A181))))</f>
        <v>#N/A Requesting Data...</v>
      </c>
      <c r="K181" s="8" t="str">
        <f>IF($A181="","",IF(ISNUMBER(FIND("IMPVOL",K$1)),_xll.BDH(config!$G$4,K$1,WORKDAY($A181,-1,config_Holiday_Calendar_US),WORKDAY($A181,-1,config_Holiday_Calendar_US)),IF(ISNUMBER(_xll.BDH(config!$G$4,K$1,$A181,$A181)),_xll.BDH(config!$G$4,K$1,$A181,$A181),_xll.BDH(config!$G$5,K$1,$A181,$A181))))</f>
        <v>#N/A Requesting Data...</v>
      </c>
      <c r="L181" s="8" t="str">
        <f>IF($A181="","",IF(ISNUMBER(FIND("IMPVOL",L$1)),_xll.BDH(config!$G$4,L$1,WORKDAY($A181,-1,config_Holiday_Calendar_US),WORKDAY($A181,-1,config_Holiday_Calendar_US)),IF(ISNUMBER(_xll.BDH(config!$G$4,L$1,$A181,$A181)),_xll.BDH(config!$G$4,L$1,$A181,$A181),_xll.BDH(config!$G$5,L$1,$A181,$A181))))</f>
        <v>#N/A Requesting Data...</v>
      </c>
      <c r="M181" s="8" t="str">
        <f>IF($A181="","",IF(ISNUMBER(FIND("IMPVOL",M$1)),_xll.BDH(config!$G$4,M$1,WORKDAY($A181,-1,config_Holiday_Calendar_US),WORKDAY($A181,-1,config_Holiday_Calendar_US)),IF(ISNUMBER(_xll.BDH(config!$G$4,M$1,$A181,$A181)),_xll.BDH(config!$G$4,M$1,$A181,$A181),_xll.BDH(config!$G$5,M$1,$A181,$A181))))</f>
        <v>#N/A Requesting Data...</v>
      </c>
      <c r="N181" s="8" t="str">
        <f>IF($A181="","",IF(ISNUMBER(FIND("IMPVOL",N$1)),_xll.BDH(config!$G$4,N$1,WORKDAY($A181,-1,config_Holiday_Calendar_US),WORKDAY($A181,-1,config_Holiday_Calendar_US)),IF(ISNUMBER(_xll.BDH(config!$G$4,N$1,$A181,$A181)),_xll.BDH(config!$G$4,N$1,$A181,$A181),_xll.BDH(config!$G$5,N$1,$A181,$A181))))</f>
        <v>#N/A Requesting Data...</v>
      </c>
      <c r="O181" s="8" t="str">
        <f>IF($A181="","",IF(ISNUMBER(FIND("IMPVOL",O$1)),_xll.BDH(config!$G$4,O$1,WORKDAY($A181,-1,config_Holiday_Calendar_US),WORKDAY($A181,-1,config_Holiday_Calendar_US)),IF(ISNUMBER(_xll.BDH(config!$G$4,O$1,$A181,$A181)),_xll.BDH(config!$G$4,O$1,$A181,$A181),_xll.BDH(config!$G$5,O$1,$A181,$A181))))</f>
        <v>#N/A Requesting Data...</v>
      </c>
      <c r="P181" s="8" t="str">
        <f>IF($A181="","",IF(ISNUMBER(FIND("IMPVOL",P$1)),_xll.BDH(config!$G$4,P$1,WORKDAY($A181,-1,config_Holiday_Calendar_US),WORKDAY($A181,-1,config_Holiday_Calendar_US)),IF(ISNUMBER(_xll.BDH(config!$G$4,P$1,$A181,$A181)),_xll.BDH(config!$G$4,P$1,$A181,$A181),_xll.BDH(config!$G$5,P$1,$A181,$A181))))</f>
        <v>#N/A Requesting Data...</v>
      </c>
      <c r="Q181" s="8">
        <f>IF($A181="","",IF(ISNUMBER(FIND("IMPVOL",Q$1)),_xll.BDH(config!$G$4,Q$1,WORKDAY($A181,-1,config_Holiday_Calendar_US),WORKDAY($A181,-1,config_Holiday_Calendar_US)),IF(ISNUMBER(_xll.BDH(config!$G$4,Q$1,$A181,$A181)),_xll.BDH(config!$G$4,Q$1,$A181,$A181),_xll.BDH(config!$G$5,Q$1,$A181,$A181))))</f>
        <v>40.79</v>
      </c>
      <c r="R181" s="8">
        <f>IF($A181="","",IF(ISNUMBER(FIND("IMPVOL",R$1)),_xll.BDH(config!$G$4,R$1,WORKDAY($A181,-1,config_Holiday_Calendar_US),WORKDAY($A181,-1,config_Holiday_Calendar_US)),IF(ISNUMBER(_xll.BDH(config!$G$4,R$1,$A181,$A181)),_xll.BDH(config!$G$4,R$1,$A181,$A181),_xll.BDH(config!$G$5,R$1,$A181,$A181))))</f>
        <v>45.18</v>
      </c>
      <c r="S181" s="8" t="str">
        <f>IF($A181="","",IF(ISNUMBER(FIND("IMPVOL",S$1)),_xll.BDH(config!$G$4,S$1,WORKDAY($A181,-1,config_Holiday_Calendar_US),WORKDAY($A181,-1,config_Holiday_Calendar_US)),IF(ISNUMBER(_xll.BDH(config!$G$4,S$1,$A181,$A181)),_xll.BDH(config!$G$4,S$1,$A181,$A181),_xll.BDH(config!$G$5,S$1,$A181,$A181))))</f>
        <v>#N/A Requesting Data...</v>
      </c>
      <c r="T181" s="8" t="str">
        <f>IF($A181="","",IF(ISNUMBER(FIND("IMPVOL",T$1)),_xll.BDH(config!$G$4,T$1,WORKDAY($A181,-1,config_Holiday_Calendar_US),WORKDAY($A181,-1,config_Holiday_Calendar_US)),IF(ISNUMBER(_xll.BDH(config!$G$4,T$1,$A181,$A181)),_xll.BDH(config!$G$4,T$1,$A181,$A181),_xll.BDH(config!$G$5,T$1,$A181,$A181))))</f>
        <v>#N/A Requesting Data...</v>
      </c>
      <c r="U181" s="8" t="str">
        <f>IF($A181="","",IF(ISNUMBER(FIND("IMPVOL",U$1)),_xll.BDH(config!$G$4,U$1,WORKDAY($A181,-1,config_Holiday_Calendar_US),WORKDAY($A181,-1,config_Holiday_Calendar_US)),IF(ISNUMBER(_xll.BDH(config!$G$4,U$1,$A181,$A181)),_xll.BDH(config!$G$4,U$1,$A181,$A181),_xll.BDH(config!$G$5,U$1,$A181,$A181))))</f>
        <v>#N/A Requesting Data...</v>
      </c>
      <c r="V181" s="8" t="str">
        <f>IF($A181="","",IF(ISNUMBER(FIND("IMPVOL",V$1)),_xll.BDH(config!$G$4,V$1,WORKDAY($A181,-1,config_Holiday_Calendar_US),WORKDAY($A181,-1,config_Holiday_Calendar_US)),IF(ISNUMBER(_xll.BDH(config!$G$4,V$1,$A181,$A181)),_xll.BDH(config!$G$4,V$1,$A181,$A181),_xll.BDH(config!$G$5,V$1,$A181,$A181))))</f>
        <v>#N/A Requesting Data...</v>
      </c>
      <c r="W181" s="8" t="str">
        <f>IF($A181="","",IF(ISNUMBER(FIND("IMPVOL",W$1)),_xll.BDH(config!$G$4,W$1,WORKDAY($A181,-1,config_Holiday_Calendar_US),WORKDAY($A181,-1,config_Holiday_Calendar_US)),IF(ISNUMBER(_xll.BDH(config!$G$4,W$1,$A181,$A181)),_xll.BDH(config!$G$4,W$1,$A181,$A181),_xll.BDH(config!$G$5,W$1,$A181,$A181))))</f>
        <v>#N/A Requesting Data...</v>
      </c>
    </row>
    <row r="182" spans="1:23" x14ac:dyDescent="0.2">
      <c r="A182" s="9">
        <f>IF(A181="","",IF(WORKDAY(A181,-1,config_Holiday_Calendar_US)&lt;config!$I$10,"",WORKDAY(A181,-1,config_Holiday_Calendar_US)))</f>
        <v>42570</v>
      </c>
      <c r="B182" s="8" t="e">
        <f t="shared" si="2"/>
        <v>#VALUE!</v>
      </c>
      <c r="C182" s="8" t="str">
        <f>IF(A182="","",_xll.BDH(config!$H$4,C$1,$A182,$A182))</f>
        <v>#N/A Requesting Data...</v>
      </c>
      <c r="D182" s="8" t="str">
        <f>IF($A182="","",_xll.BDH(config!$H$4,D$1,$A182,$A182))</f>
        <v>#N/A Requesting Data...</v>
      </c>
      <c r="E182" s="8">
        <f>IF($A182="","",IF(ISNUMBER(FIND("IMPVOL",E$1)),_xll.BDH(config!$G$4,E$1,WORKDAY($A182,-1,config_Holiday_Calendar_US),WORKDAY($A182,-1,config_Holiday_Calendar_US)),IF(ISNUMBER(_xll.BDH(config!$G$4,E$1,$A182,$A182)),_xll.BDH(config!$G$4,E$1,$A182,$A182),_xll.BDH(config!$G$5,E$1,$A182,$A182))))</f>
        <v>45.23</v>
      </c>
      <c r="F182" s="8">
        <f>IF($A182="","",IF(ISNUMBER(FIND("IMPVOL",F$1)),_xll.BDH(config!$G$4,F$1,WORKDAY($A182,-1,config_Holiday_Calendar_US),WORKDAY($A182,-1,config_Holiday_Calendar_US)),IF(ISNUMBER(_xll.BDH(config!$G$4,F$1,$A182,$A182)),_xll.BDH(config!$G$4,F$1,$A182,$A182),_xll.BDH(config!$G$5,F$1,$A182,$A182))))</f>
        <v>45.67</v>
      </c>
      <c r="G182" s="8">
        <f>IF($A182="","",IF(ISNUMBER(FIND("IMPVOL",G$1)),_xll.BDH(config!$G$4,G$1,WORKDAY($A182,-1,config_Holiday_Calendar_US),WORKDAY($A182,-1,config_Holiday_Calendar_US)),IF(ISNUMBER(_xll.BDH(config!$G$4,G$1,$A182,$A182)),_xll.BDH(config!$G$4,G$1,$A182,$A182),_xll.BDH(config!$G$5,G$1,$A182,$A182))))</f>
        <v>45.28</v>
      </c>
      <c r="H182" s="8">
        <f>IF($A182="","",IF(ISNUMBER(FIND("IMPVOL",H$1)),_xll.BDH(config!$G$4,H$1,WORKDAY($A182,-1,config_Holiday_Calendar_US),WORKDAY($A182,-1,config_Holiday_Calendar_US)),IF(ISNUMBER(_xll.BDH(config!$G$4,H$1,$A182,$A182)),_xll.BDH(config!$G$4,H$1,$A182,$A182),_xll.BDH(config!$G$5,H$1,$A182,$A182))))</f>
        <v>481709</v>
      </c>
      <c r="I182" s="8" t="str">
        <f>IF($A182="","",IF(ISNUMBER(FIND("IMPVOL",I$1)),_xll.BDH(config!$G$4,I$1,WORKDAY($A182,-1,config_Holiday_Calendar_US),WORKDAY($A182,-1,config_Holiday_Calendar_US)),IF(ISNUMBER(_xll.BDH(config!$G$4,I$1,$A182,$A182)),_xll.BDH(config!$G$4,I$1,$A182,$A182),_xll.BDH(config!$G$5,I$1,$A182,$A182))))</f>
        <v>#N/A Requesting Data...</v>
      </c>
      <c r="J182" s="8" t="str">
        <f>IF($A182="","",IF(ISNUMBER(FIND("IMPVOL",J$1)),_xll.BDH(config!$G$4,J$1,WORKDAY($A182,-1,config_Holiday_Calendar_US),WORKDAY($A182,-1,config_Holiday_Calendar_US)),IF(ISNUMBER(_xll.BDH(config!$G$4,J$1,$A182,$A182)),_xll.BDH(config!$G$4,J$1,$A182,$A182),_xll.BDH(config!$G$5,J$1,$A182,$A182))))</f>
        <v>#N/A Requesting Data...</v>
      </c>
      <c r="K182" s="8" t="str">
        <f>IF($A182="","",IF(ISNUMBER(FIND("IMPVOL",K$1)),_xll.BDH(config!$G$4,K$1,WORKDAY($A182,-1,config_Holiday_Calendar_US),WORKDAY($A182,-1,config_Holiday_Calendar_US)),IF(ISNUMBER(_xll.BDH(config!$G$4,K$1,$A182,$A182)),_xll.BDH(config!$G$4,K$1,$A182,$A182),_xll.BDH(config!$G$5,K$1,$A182,$A182))))</f>
        <v>#N/A Requesting Data...</v>
      </c>
      <c r="L182" s="8" t="str">
        <f>IF($A182="","",IF(ISNUMBER(FIND("IMPVOL",L$1)),_xll.BDH(config!$G$4,L$1,WORKDAY($A182,-1,config_Holiday_Calendar_US),WORKDAY($A182,-1,config_Holiday_Calendar_US)),IF(ISNUMBER(_xll.BDH(config!$G$4,L$1,$A182,$A182)),_xll.BDH(config!$G$4,L$1,$A182,$A182),_xll.BDH(config!$G$5,L$1,$A182,$A182))))</f>
        <v>#N/A Requesting Data...</v>
      </c>
      <c r="M182" s="8" t="str">
        <f>IF($A182="","",IF(ISNUMBER(FIND("IMPVOL",M$1)),_xll.BDH(config!$G$4,M$1,WORKDAY($A182,-1,config_Holiday_Calendar_US),WORKDAY($A182,-1,config_Holiday_Calendar_US)),IF(ISNUMBER(_xll.BDH(config!$G$4,M$1,$A182,$A182)),_xll.BDH(config!$G$4,M$1,$A182,$A182),_xll.BDH(config!$G$5,M$1,$A182,$A182))))</f>
        <v>#N/A Requesting Data...</v>
      </c>
      <c r="N182" s="8" t="str">
        <f>IF($A182="","",IF(ISNUMBER(FIND("IMPVOL",N$1)),_xll.BDH(config!$G$4,N$1,WORKDAY($A182,-1,config_Holiday_Calendar_US),WORKDAY($A182,-1,config_Holiday_Calendar_US)),IF(ISNUMBER(_xll.BDH(config!$G$4,N$1,$A182,$A182)),_xll.BDH(config!$G$4,N$1,$A182,$A182),_xll.BDH(config!$G$5,N$1,$A182,$A182))))</f>
        <v>#N/A Requesting Data...</v>
      </c>
      <c r="O182" s="8" t="str">
        <f>IF($A182="","",IF(ISNUMBER(FIND("IMPVOL",O$1)),_xll.BDH(config!$G$4,O$1,WORKDAY($A182,-1,config_Holiday_Calendar_US),WORKDAY($A182,-1,config_Holiday_Calendar_US)),IF(ISNUMBER(_xll.BDH(config!$G$4,O$1,$A182,$A182)),_xll.BDH(config!$G$4,O$1,$A182,$A182),_xll.BDH(config!$G$5,O$1,$A182,$A182))))</f>
        <v>#N/A Requesting Data...</v>
      </c>
      <c r="P182" s="8" t="str">
        <f>IF($A182="","",IF(ISNUMBER(FIND("IMPVOL",P$1)),_xll.BDH(config!$G$4,P$1,WORKDAY($A182,-1,config_Holiday_Calendar_US),WORKDAY($A182,-1,config_Holiday_Calendar_US)),IF(ISNUMBER(_xll.BDH(config!$G$4,P$1,$A182,$A182)),_xll.BDH(config!$G$4,P$1,$A182,$A182),_xll.BDH(config!$G$5,P$1,$A182,$A182))))</f>
        <v>#N/A Requesting Data...</v>
      </c>
      <c r="Q182" s="8">
        <f>IF($A182="","",IF(ISNUMBER(FIND("IMPVOL",Q$1)),_xll.BDH(config!$G$4,Q$1,WORKDAY($A182,-1,config_Holiday_Calendar_US),WORKDAY($A182,-1,config_Holiday_Calendar_US)),IF(ISNUMBER(_xll.BDH(config!$G$4,Q$1,$A182,$A182)),_xll.BDH(config!$G$4,Q$1,$A182,$A182),_xll.BDH(config!$G$5,Q$1,$A182,$A182))))</f>
        <v>48.06</v>
      </c>
      <c r="R182" s="8">
        <f>IF($A182="","",IF(ISNUMBER(FIND("IMPVOL",R$1)),_xll.BDH(config!$G$4,R$1,WORKDAY($A182,-1,config_Holiday_Calendar_US),WORKDAY($A182,-1,config_Holiday_Calendar_US)),IF(ISNUMBER(_xll.BDH(config!$G$4,R$1,$A182,$A182)),_xll.BDH(config!$G$4,R$1,$A182,$A182),_xll.BDH(config!$G$5,R$1,$A182,$A182))))</f>
        <v>45.56</v>
      </c>
      <c r="S182" s="8" t="str">
        <f>IF($A182="","",IF(ISNUMBER(FIND("IMPVOL",S$1)),_xll.BDH(config!$G$4,S$1,WORKDAY($A182,-1,config_Holiday_Calendar_US),WORKDAY($A182,-1,config_Holiday_Calendar_US)),IF(ISNUMBER(_xll.BDH(config!$G$4,S$1,$A182,$A182)),_xll.BDH(config!$G$4,S$1,$A182,$A182),_xll.BDH(config!$G$5,S$1,$A182,$A182))))</f>
        <v>#N/A Requesting Data...</v>
      </c>
      <c r="T182" s="8" t="str">
        <f>IF($A182="","",IF(ISNUMBER(FIND("IMPVOL",T$1)),_xll.BDH(config!$G$4,T$1,WORKDAY($A182,-1,config_Holiday_Calendar_US),WORKDAY($A182,-1,config_Holiday_Calendar_US)),IF(ISNUMBER(_xll.BDH(config!$G$4,T$1,$A182,$A182)),_xll.BDH(config!$G$4,T$1,$A182,$A182),_xll.BDH(config!$G$5,T$1,$A182,$A182))))</f>
        <v>#N/A Requesting Data...</v>
      </c>
      <c r="U182" s="8" t="str">
        <f>IF($A182="","",IF(ISNUMBER(FIND("IMPVOL",U$1)),_xll.BDH(config!$G$4,U$1,WORKDAY($A182,-1,config_Holiday_Calendar_US),WORKDAY($A182,-1,config_Holiday_Calendar_US)),IF(ISNUMBER(_xll.BDH(config!$G$4,U$1,$A182,$A182)),_xll.BDH(config!$G$4,U$1,$A182,$A182),_xll.BDH(config!$G$5,U$1,$A182,$A182))))</f>
        <v>#N/A Requesting Data...</v>
      </c>
      <c r="V182" s="8" t="str">
        <f>IF($A182="","",IF(ISNUMBER(FIND("IMPVOL",V$1)),_xll.BDH(config!$G$4,V$1,WORKDAY($A182,-1,config_Holiday_Calendar_US),WORKDAY($A182,-1,config_Holiday_Calendar_US)),IF(ISNUMBER(_xll.BDH(config!$G$4,V$1,$A182,$A182)),_xll.BDH(config!$G$4,V$1,$A182,$A182),_xll.BDH(config!$G$5,V$1,$A182,$A182))))</f>
        <v>#N/A Requesting Data...</v>
      </c>
      <c r="W182" s="8" t="str">
        <f>IF($A182="","",IF(ISNUMBER(FIND("IMPVOL",W$1)),_xll.BDH(config!$G$4,W$1,WORKDAY($A182,-1,config_Holiday_Calendar_US),WORKDAY($A182,-1,config_Holiday_Calendar_US)),IF(ISNUMBER(_xll.BDH(config!$G$4,W$1,$A182,$A182)),_xll.BDH(config!$G$4,W$1,$A182,$A182),_xll.BDH(config!$G$5,W$1,$A182,$A182))))</f>
        <v>#N/A Requesting Data...</v>
      </c>
    </row>
    <row r="183" spans="1:23" x14ac:dyDescent="0.2">
      <c r="A183" s="9">
        <f>IF(A182="","",IF(WORKDAY(A182,-1,config_Holiday_Calendar_US)&lt;config!$I$10,"",WORKDAY(A182,-1,config_Holiday_Calendar_US)))</f>
        <v>42569</v>
      </c>
      <c r="B183" s="8" t="e">
        <f t="shared" si="2"/>
        <v>#VALUE!</v>
      </c>
      <c r="C183" s="8" t="str">
        <f>IF(A183="","",_xll.BDH(config!$H$4,C$1,$A183,$A183))</f>
        <v>#N/A Requesting Data...</v>
      </c>
      <c r="D183" s="8" t="str">
        <f>IF($A183="","",_xll.BDH(config!$H$4,D$1,$A183,$A183))</f>
        <v>#N/A Requesting Data...</v>
      </c>
      <c r="E183" s="8">
        <f>IF($A183="","",IF(ISNUMBER(FIND("IMPVOL",E$1)),_xll.BDH(config!$G$4,E$1,WORKDAY($A183,-1,config_Holiday_Calendar_US),WORKDAY($A183,-1,config_Holiday_Calendar_US)),IF(ISNUMBER(_xll.BDH(config!$G$4,E$1,$A183,$A183)),_xll.BDH(config!$G$4,E$1,$A183,$A183),_xll.BDH(config!$G$5,E$1,$A183,$A183))))</f>
        <v>46.12</v>
      </c>
      <c r="F183" s="8">
        <f>IF($A183="","",IF(ISNUMBER(FIND("IMPVOL",F$1)),_xll.BDH(config!$G$4,F$1,WORKDAY($A183,-1,config_Holiday_Calendar_US),WORKDAY($A183,-1,config_Holiday_Calendar_US)),IF(ISNUMBER(_xll.BDH(config!$G$4,F$1,$A183,$A183)),_xll.BDH(config!$G$4,F$1,$A183,$A183),_xll.BDH(config!$G$5,F$1,$A183,$A183))))</f>
        <v>46.14</v>
      </c>
      <c r="G183" s="8">
        <f>IF($A183="","",IF(ISNUMBER(FIND("IMPVOL",G$1)),_xll.BDH(config!$G$4,G$1,WORKDAY($A183,-1,config_Holiday_Calendar_US),WORKDAY($A183,-1,config_Holiday_Calendar_US)),IF(ISNUMBER(_xll.BDH(config!$G$4,G$1,$A183,$A183)),_xll.BDH(config!$G$4,G$1,$A183,$A183),_xll.BDH(config!$G$5,G$1,$A183,$A183))))</f>
        <v>45.54</v>
      </c>
      <c r="H183" s="8">
        <f>IF($A183="","",IF(ISNUMBER(FIND("IMPVOL",H$1)),_xll.BDH(config!$G$4,H$1,WORKDAY($A183,-1,config_Holiday_Calendar_US),WORKDAY($A183,-1,config_Holiday_Calendar_US)),IF(ISNUMBER(_xll.BDH(config!$G$4,H$1,$A183,$A183)),_xll.BDH(config!$G$4,H$1,$A183,$A183),_xll.BDH(config!$G$5,H$1,$A183,$A183))))</f>
        <v>334568</v>
      </c>
      <c r="I183" s="8" t="str">
        <f>IF($A183="","",IF(ISNUMBER(FIND("IMPVOL",I$1)),_xll.BDH(config!$G$4,I$1,WORKDAY($A183,-1,config_Holiday_Calendar_US),WORKDAY($A183,-1,config_Holiday_Calendar_US)),IF(ISNUMBER(_xll.BDH(config!$G$4,I$1,$A183,$A183)),_xll.BDH(config!$G$4,I$1,$A183,$A183),_xll.BDH(config!$G$5,I$1,$A183,$A183))))</f>
        <v>#N/A Requesting Data...</v>
      </c>
      <c r="J183" s="8" t="str">
        <f>IF($A183="","",IF(ISNUMBER(FIND("IMPVOL",J$1)),_xll.BDH(config!$G$4,J$1,WORKDAY($A183,-1,config_Holiday_Calendar_US),WORKDAY($A183,-1,config_Holiday_Calendar_US)),IF(ISNUMBER(_xll.BDH(config!$G$4,J$1,$A183,$A183)),_xll.BDH(config!$G$4,J$1,$A183,$A183),_xll.BDH(config!$G$5,J$1,$A183,$A183))))</f>
        <v>#N/A Requesting Data...</v>
      </c>
      <c r="K183" s="8" t="str">
        <f>IF($A183="","",IF(ISNUMBER(FIND("IMPVOL",K$1)),_xll.BDH(config!$G$4,K$1,WORKDAY($A183,-1,config_Holiday_Calendar_US),WORKDAY($A183,-1,config_Holiday_Calendar_US)),IF(ISNUMBER(_xll.BDH(config!$G$4,K$1,$A183,$A183)),_xll.BDH(config!$G$4,K$1,$A183,$A183),_xll.BDH(config!$G$5,K$1,$A183,$A183))))</f>
        <v>#N/A Requesting Data...</v>
      </c>
      <c r="L183" s="8" t="str">
        <f>IF($A183="","",IF(ISNUMBER(FIND("IMPVOL",L$1)),_xll.BDH(config!$G$4,L$1,WORKDAY($A183,-1,config_Holiday_Calendar_US),WORKDAY($A183,-1,config_Holiday_Calendar_US)),IF(ISNUMBER(_xll.BDH(config!$G$4,L$1,$A183,$A183)),_xll.BDH(config!$G$4,L$1,$A183,$A183),_xll.BDH(config!$G$5,L$1,$A183,$A183))))</f>
        <v>#N/A Requesting Data...</v>
      </c>
      <c r="M183" s="8" t="str">
        <f>IF($A183="","",IF(ISNUMBER(FIND("IMPVOL",M$1)),_xll.BDH(config!$G$4,M$1,WORKDAY($A183,-1,config_Holiday_Calendar_US),WORKDAY($A183,-1,config_Holiday_Calendar_US)),IF(ISNUMBER(_xll.BDH(config!$G$4,M$1,$A183,$A183)),_xll.BDH(config!$G$4,M$1,$A183,$A183),_xll.BDH(config!$G$5,M$1,$A183,$A183))))</f>
        <v>#N/A Requesting Data...</v>
      </c>
      <c r="N183" s="8" t="str">
        <f>IF($A183="","",IF(ISNUMBER(FIND("IMPVOL",N$1)),_xll.BDH(config!$G$4,N$1,WORKDAY($A183,-1,config_Holiday_Calendar_US),WORKDAY($A183,-1,config_Holiday_Calendar_US)),IF(ISNUMBER(_xll.BDH(config!$G$4,N$1,$A183,$A183)),_xll.BDH(config!$G$4,N$1,$A183,$A183),_xll.BDH(config!$G$5,N$1,$A183,$A183))))</f>
        <v>#N/A Requesting Data...</v>
      </c>
      <c r="O183" s="8" t="str">
        <f>IF($A183="","",IF(ISNUMBER(FIND("IMPVOL",O$1)),_xll.BDH(config!$G$4,O$1,WORKDAY($A183,-1,config_Holiday_Calendar_US),WORKDAY($A183,-1,config_Holiday_Calendar_US)),IF(ISNUMBER(_xll.BDH(config!$G$4,O$1,$A183,$A183)),_xll.BDH(config!$G$4,O$1,$A183,$A183),_xll.BDH(config!$G$5,O$1,$A183,$A183))))</f>
        <v>#N/A Requesting Data...</v>
      </c>
      <c r="P183" s="8" t="str">
        <f>IF($A183="","",IF(ISNUMBER(FIND("IMPVOL",P$1)),_xll.BDH(config!$G$4,P$1,WORKDAY($A183,-1,config_Holiday_Calendar_US),WORKDAY($A183,-1,config_Holiday_Calendar_US)),IF(ISNUMBER(_xll.BDH(config!$G$4,P$1,$A183,$A183)),_xll.BDH(config!$G$4,P$1,$A183,$A183),_xll.BDH(config!$G$5,P$1,$A183,$A183))))</f>
        <v>#N/A Requesting Data...</v>
      </c>
      <c r="Q183" s="8">
        <f>IF($A183="","",IF(ISNUMBER(FIND("IMPVOL",Q$1)),_xll.BDH(config!$G$4,Q$1,WORKDAY($A183,-1,config_Holiday_Calendar_US),WORKDAY($A183,-1,config_Holiday_Calendar_US)),IF(ISNUMBER(_xll.BDH(config!$G$4,Q$1,$A183,$A183)),_xll.BDH(config!$G$4,Q$1,$A183,$A183),_xll.BDH(config!$G$5,Q$1,$A183,$A183))))</f>
        <v>49.64</v>
      </c>
      <c r="R183" s="8">
        <f>IF($A183="","",IF(ISNUMBER(FIND("IMPVOL",R$1)),_xll.BDH(config!$G$4,R$1,WORKDAY($A183,-1,config_Holiday_Calendar_US),WORKDAY($A183,-1,config_Holiday_Calendar_US)),IF(ISNUMBER(_xll.BDH(config!$G$4,R$1,$A183,$A183)),_xll.BDH(config!$G$4,R$1,$A183,$A183),_xll.BDH(config!$G$5,R$1,$A183,$A183))))</f>
        <v>45.85</v>
      </c>
      <c r="S183" s="8" t="str">
        <f>IF($A183="","",IF(ISNUMBER(FIND("IMPVOL",S$1)),_xll.BDH(config!$G$4,S$1,WORKDAY($A183,-1,config_Holiday_Calendar_US),WORKDAY($A183,-1,config_Holiday_Calendar_US)),IF(ISNUMBER(_xll.BDH(config!$G$4,S$1,$A183,$A183)),_xll.BDH(config!$G$4,S$1,$A183,$A183),_xll.BDH(config!$G$5,S$1,$A183,$A183))))</f>
        <v>#N/A Requesting Data...</v>
      </c>
      <c r="T183" s="8" t="str">
        <f>IF($A183="","",IF(ISNUMBER(FIND("IMPVOL",T$1)),_xll.BDH(config!$G$4,T$1,WORKDAY($A183,-1,config_Holiday_Calendar_US),WORKDAY($A183,-1,config_Holiday_Calendar_US)),IF(ISNUMBER(_xll.BDH(config!$G$4,T$1,$A183,$A183)),_xll.BDH(config!$G$4,T$1,$A183,$A183),_xll.BDH(config!$G$5,T$1,$A183,$A183))))</f>
        <v>#N/A Requesting Data...</v>
      </c>
      <c r="U183" s="8" t="str">
        <f>IF($A183="","",IF(ISNUMBER(FIND("IMPVOL",U$1)),_xll.BDH(config!$G$4,U$1,WORKDAY($A183,-1,config_Holiday_Calendar_US),WORKDAY($A183,-1,config_Holiday_Calendar_US)),IF(ISNUMBER(_xll.BDH(config!$G$4,U$1,$A183,$A183)),_xll.BDH(config!$G$4,U$1,$A183,$A183),_xll.BDH(config!$G$5,U$1,$A183,$A183))))</f>
        <v>#N/A Requesting Data...</v>
      </c>
      <c r="V183" s="8" t="str">
        <f>IF($A183="","",IF(ISNUMBER(FIND("IMPVOL",V$1)),_xll.BDH(config!$G$4,V$1,WORKDAY($A183,-1,config_Holiday_Calendar_US),WORKDAY($A183,-1,config_Holiday_Calendar_US)),IF(ISNUMBER(_xll.BDH(config!$G$4,V$1,$A183,$A183)),_xll.BDH(config!$G$4,V$1,$A183,$A183),_xll.BDH(config!$G$5,V$1,$A183,$A183))))</f>
        <v>#N/A Requesting Data...</v>
      </c>
      <c r="W183" s="8" t="str">
        <f>IF($A183="","",IF(ISNUMBER(FIND("IMPVOL",W$1)),_xll.BDH(config!$G$4,W$1,WORKDAY($A183,-1,config_Holiday_Calendar_US),WORKDAY($A183,-1,config_Holiday_Calendar_US)),IF(ISNUMBER(_xll.BDH(config!$G$4,W$1,$A183,$A183)),_xll.BDH(config!$G$4,W$1,$A183,$A183),_xll.BDH(config!$G$5,W$1,$A183,$A183))))</f>
        <v>#N/A Requesting Data...</v>
      </c>
    </row>
    <row r="184" spans="1:23" x14ac:dyDescent="0.2">
      <c r="A184" s="9">
        <f>IF(A183="","",IF(WORKDAY(A183,-1,config_Holiday_Calendar_US)&lt;config!$I$10,"",WORKDAY(A183,-1,config_Holiday_Calendar_US)))</f>
        <v>42566</v>
      </c>
      <c r="B184" s="8" t="e">
        <f t="shared" si="2"/>
        <v>#VALUE!</v>
      </c>
      <c r="C184" s="8" t="str">
        <f>IF(A184="","",_xll.BDH(config!$H$4,C$1,$A184,$A184))</f>
        <v>#N/A Requesting Data...</v>
      </c>
      <c r="D184" s="8" t="str">
        <f>IF($A184="","",_xll.BDH(config!$H$4,D$1,$A184,$A184))</f>
        <v>#N/A Requesting Data...</v>
      </c>
      <c r="E184" s="8">
        <f>IF($A184="","",IF(ISNUMBER(FIND("IMPVOL",E$1)),_xll.BDH(config!$G$4,E$1,WORKDAY($A184,-1,config_Holiday_Calendar_US),WORKDAY($A184,-1,config_Holiday_Calendar_US)),IF(ISNUMBER(_xll.BDH(config!$G$4,E$1,$A184,$A184)),_xll.BDH(config!$G$4,E$1,$A184,$A184),_xll.BDH(config!$G$5,E$1,$A184,$A184))))</f>
        <v>45.52</v>
      </c>
      <c r="F184" s="8">
        <f>IF($A184="","",IF(ISNUMBER(FIND("IMPVOL",F$1)),_xll.BDH(config!$G$4,F$1,WORKDAY($A184,-1,config_Holiday_Calendar_US),WORKDAY($A184,-1,config_Holiday_Calendar_US)),IF(ISNUMBER(_xll.BDH(config!$G$4,F$1,$A184,$A184)),_xll.BDH(config!$G$4,F$1,$A184,$A184),_xll.BDH(config!$G$5,F$1,$A184,$A184))))</f>
        <v>46.33</v>
      </c>
      <c r="G184" s="8">
        <f>IF($A184="","",IF(ISNUMBER(FIND("IMPVOL",G$1)),_xll.BDH(config!$G$4,G$1,WORKDAY($A184,-1,config_Holiday_Calendar_US),WORKDAY($A184,-1,config_Holiday_Calendar_US)),IF(ISNUMBER(_xll.BDH(config!$G$4,G$1,$A184,$A184)),_xll.BDH(config!$G$4,G$1,$A184,$A184),_xll.BDH(config!$G$5,G$1,$A184,$A184))))</f>
        <v>45.78</v>
      </c>
      <c r="H184" s="8">
        <f>IF($A184="","",IF(ISNUMBER(FIND("IMPVOL",H$1)),_xll.BDH(config!$G$4,H$1,WORKDAY($A184,-1,config_Holiday_Calendar_US),WORKDAY($A184,-1,config_Holiday_Calendar_US)),IF(ISNUMBER(_xll.BDH(config!$G$4,H$1,$A184,$A184)),_xll.BDH(config!$G$4,H$1,$A184,$A184),_xll.BDH(config!$G$5,H$1,$A184,$A184))))</f>
        <v>265014</v>
      </c>
      <c r="I184" s="8" t="str">
        <f>IF($A184="","",IF(ISNUMBER(FIND("IMPVOL",I$1)),_xll.BDH(config!$G$4,I$1,WORKDAY($A184,-1,config_Holiday_Calendar_US),WORKDAY($A184,-1,config_Holiday_Calendar_US)),IF(ISNUMBER(_xll.BDH(config!$G$4,I$1,$A184,$A184)),_xll.BDH(config!$G$4,I$1,$A184,$A184),_xll.BDH(config!$G$5,I$1,$A184,$A184))))</f>
        <v>#N/A Requesting Data...</v>
      </c>
      <c r="J184" s="8" t="str">
        <f>IF($A184="","",IF(ISNUMBER(FIND("IMPVOL",J$1)),_xll.BDH(config!$G$4,J$1,WORKDAY($A184,-1,config_Holiday_Calendar_US),WORKDAY($A184,-1,config_Holiday_Calendar_US)),IF(ISNUMBER(_xll.BDH(config!$G$4,J$1,$A184,$A184)),_xll.BDH(config!$G$4,J$1,$A184,$A184),_xll.BDH(config!$G$5,J$1,$A184,$A184))))</f>
        <v>#N/A Requesting Data...</v>
      </c>
      <c r="K184" s="8" t="str">
        <f>IF($A184="","",IF(ISNUMBER(FIND("IMPVOL",K$1)),_xll.BDH(config!$G$4,K$1,WORKDAY($A184,-1,config_Holiday_Calendar_US),WORKDAY($A184,-1,config_Holiday_Calendar_US)),IF(ISNUMBER(_xll.BDH(config!$G$4,K$1,$A184,$A184)),_xll.BDH(config!$G$4,K$1,$A184,$A184),_xll.BDH(config!$G$5,K$1,$A184,$A184))))</f>
        <v>#N/A Requesting Data...</v>
      </c>
      <c r="L184" s="8" t="str">
        <f>IF($A184="","",IF(ISNUMBER(FIND("IMPVOL",L$1)),_xll.BDH(config!$G$4,L$1,WORKDAY($A184,-1,config_Holiday_Calendar_US),WORKDAY($A184,-1,config_Holiday_Calendar_US)),IF(ISNUMBER(_xll.BDH(config!$G$4,L$1,$A184,$A184)),_xll.BDH(config!$G$4,L$1,$A184,$A184),_xll.BDH(config!$G$5,L$1,$A184,$A184))))</f>
        <v>#N/A Requesting Data...</v>
      </c>
      <c r="M184" s="8" t="str">
        <f>IF($A184="","",IF(ISNUMBER(FIND("IMPVOL",M$1)),_xll.BDH(config!$G$4,M$1,WORKDAY($A184,-1,config_Holiday_Calendar_US),WORKDAY($A184,-1,config_Holiday_Calendar_US)),IF(ISNUMBER(_xll.BDH(config!$G$4,M$1,$A184,$A184)),_xll.BDH(config!$G$4,M$1,$A184,$A184),_xll.BDH(config!$G$5,M$1,$A184,$A184))))</f>
        <v>#N/A Requesting Data...</v>
      </c>
      <c r="N184" s="8" t="str">
        <f>IF($A184="","",IF(ISNUMBER(FIND("IMPVOL",N$1)),_xll.BDH(config!$G$4,N$1,WORKDAY($A184,-1,config_Holiday_Calendar_US),WORKDAY($A184,-1,config_Holiday_Calendar_US)),IF(ISNUMBER(_xll.BDH(config!$G$4,N$1,$A184,$A184)),_xll.BDH(config!$G$4,N$1,$A184,$A184),_xll.BDH(config!$G$5,N$1,$A184,$A184))))</f>
        <v>#N/A Requesting Data...</v>
      </c>
      <c r="O184" s="8" t="str">
        <f>IF($A184="","",IF(ISNUMBER(FIND("IMPVOL",O$1)),_xll.BDH(config!$G$4,O$1,WORKDAY($A184,-1,config_Holiday_Calendar_US),WORKDAY($A184,-1,config_Holiday_Calendar_US)),IF(ISNUMBER(_xll.BDH(config!$G$4,O$1,$A184,$A184)),_xll.BDH(config!$G$4,O$1,$A184,$A184),_xll.BDH(config!$G$5,O$1,$A184,$A184))))</f>
        <v>#N/A Requesting Data...</v>
      </c>
      <c r="P184" s="8" t="str">
        <f>IF($A184="","",IF(ISNUMBER(FIND("IMPVOL",P$1)),_xll.BDH(config!$G$4,P$1,WORKDAY($A184,-1,config_Holiday_Calendar_US),WORKDAY($A184,-1,config_Holiday_Calendar_US)),IF(ISNUMBER(_xll.BDH(config!$G$4,P$1,$A184,$A184)),_xll.BDH(config!$G$4,P$1,$A184,$A184),_xll.BDH(config!$G$5,P$1,$A184,$A184))))</f>
        <v>#N/A Requesting Data...</v>
      </c>
      <c r="Q184" s="8">
        <f>IF($A184="","",IF(ISNUMBER(FIND("IMPVOL",Q$1)),_xll.BDH(config!$G$4,Q$1,WORKDAY($A184,-1,config_Holiday_Calendar_US),WORKDAY($A184,-1,config_Holiday_Calendar_US)),IF(ISNUMBER(_xll.BDH(config!$G$4,Q$1,$A184,$A184)),_xll.BDH(config!$G$4,Q$1,$A184,$A184),_xll.BDH(config!$G$5,Q$1,$A184,$A184))))</f>
        <v>55.22</v>
      </c>
      <c r="R184" s="8">
        <f>IF($A184="","",IF(ISNUMBER(FIND("IMPVOL",R$1)),_xll.BDH(config!$G$4,R$1,WORKDAY($A184,-1,config_Holiday_Calendar_US),WORKDAY($A184,-1,config_Holiday_Calendar_US)),IF(ISNUMBER(_xll.BDH(config!$G$4,R$1,$A184,$A184)),_xll.BDH(config!$G$4,R$1,$A184,$A184),_xll.BDH(config!$G$5,R$1,$A184,$A184))))</f>
        <v>46.25</v>
      </c>
      <c r="S184" s="8" t="str">
        <f>IF($A184="","",IF(ISNUMBER(FIND("IMPVOL",S$1)),_xll.BDH(config!$G$4,S$1,WORKDAY($A184,-1,config_Holiday_Calendar_US),WORKDAY($A184,-1,config_Holiday_Calendar_US)),IF(ISNUMBER(_xll.BDH(config!$G$4,S$1,$A184,$A184)),_xll.BDH(config!$G$4,S$1,$A184,$A184),_xll.BDH(config!$G$5,S$1,$A184,$A184))))</f>
        <v>#N/A Requesting Data...</v>
      </c>
      <c r="T184" s="8" t="str">
        <f>IF($A184="","",IF(ISNUMBER(FIND("IMPVOL",T$1)),_xll.BDH(config!$G$4,T$1,WORKDAY($A184,-1,config_Holiday_Calendar_US),WORKDAY($A184,-1,config_Holiday_Calendar_US)),IF(ISNUMBER(_xll.BDH(config!$G$4,T$1,$A184,$A184)),_xll.BDH(config!$G$4,T$1,$A184,$A184),_xll.BDH(config!$G$5,T$1,$A184,$A184))))</f>
        <v>#N/A Requesting Data...</v>
      </c>
      <c r="U184" s="8" t="str">
        <f>IF($A184="","",IF(ISNUMBER(FIND("IMPVOL",U$1)),_xll.BDH(config!$G$4,U$1,WORKDAY($A184,-1,config_Holiday_Calendar_US),WORKDAY($A184,-1,config_Holiday_Calendar_US)),IF(ISNUMBER(_xll.BDH(config!$G$4,U$1,$A184,$A184)),_xll.BDH(config!$G$4,U$1,$A184,$A184),_xll.BDH(config!$G$5,U$1,$A184,$A184))))</f>
        <v>#N/A Requesting Data...</v>
      </c>
      <c r="V184" s="8" t="str">
        <f>IF($A184="","",IF(ISNUMBER(FIND("IMPVOL",V$1)),_xll.BDH(config!$G$4,V$1,WORKDAY($A184,-1,config_Holiday_Calendar_US),WORKDAY($A184,-1,config_Holiday_Calendar_US)),IF(ISNUMBER(_xll.BDH(config!$G$4,V$1,$A184,$A184)),_xll.BDH(config!$G$4,V$1,$A184,$A184),_xll.BDH(config!$G$5,V$1,$A184,$A184))))</f>
        <v>#N/A Requesting Data...</v>
      </c>
      <c r="W184" s="8" t="str">
        <f>IF($A184="","",IF(ISNUMBER(FIND("IMPVOL",W$1)),_xll.BDH(config!$G$4,W$1,WORKDAY($A184,-1,config_Holiday_Calendar_US),WORKDAY($A184,-1,config_Holiday_Calendar_US)),IF(ISNUMBER(_xll.BDH(config!$G$4,W$1,$A184,$A184)),_xll.BDH(config!$G$4,W$1,$A184,$A184),_xll.BDH(config!$G$5,W$1,$A184,$A184))))</f>
        <v>#N/A Requesting Data...</v>
      </c>
    </row>
    <row r="185" spans="1:23" x14ac:dyDescent="0.2">
      <c r="A185" s="9">
        <f>IF(A184="","",IF(WORKDAY(A184,-1,config_Holiday_Calendar_US)&lt;config!$I$10,"",WORKDAY(A184,-1,config_Holiday_Calendar_US)))</f>
        <v>42565</v>
      </c>
      <c r="B185" s="8" t="e">
        <f t="shared" si="2"/>
        <v>#VALUE!</v>
      </c>
      <c r="C185" s="8" t="str">
        <f>IF(A185="","",_xll.BDH(config!$H$4,C$1,$A185,$A185))</f>
        <v>#N/A Requesting Data...</v>
      </c>
      <c r="D185" s="8" t="str">
        <f>IF($A185="","",_xll.BDH(config!$H$4,D$1,$A185,$A185))</f>
        <v>#N/A Requesting Data...</v>
      </c>
      <c r="E185" s="8">
        <f>IF($A185="","",IF(ISNUMBER(FIND("IMPVOL",E$1)),_xll.BDH(config!$G$4,E$1,WORKDAY($A185,-1,config_Holiday_Calendar_US),WORKDAY($A185,-1,config_Holiday_Calendar_US)),IF(ISNUMBER(_xll.BDH(config!$G$4,E$1,$A185,$A185)),_xll.BDH(config!$G$4,E$1,$A185,$A185),_xll.BDH(config!$G$5,E$1,$A185,$A185))))</f>
        <v>45.14</v>
      </c>
      <c r="F185" s="8">
        <f>IF($A185="","",IF(ISNUMBER(FIND("IMPVOL",F$1)),_xll.BDH(config!$G$4,F$1,WORKDAY($A185,-1,config_Holiday_Calendar_US),WORKDAY($A185,-1,config_Holiday_Calendar_US)),IF(ISNUMBER(_xll.BDH(config!$G$4,F$1,$A185,$A185)),_xll.BDH(config!$G$4,F$1,$A185,$A185),_xll.BDH(config!$G$5,F$1,$A185,$A185))))</f>
        <v>45.8</v>
      </c>
      <c r="G185" s="8">
        <f>IF($A185="","",IF(ISNUMBER(FIND("IMPVOL",G$1)),_xll.BDH(config!$G$4,G$1,WORKDAY($A185,-1,config_Holiday_Calendar_US),WORKDAY($A185,-1,config_Holiday_Calendar_US)),IF(ISNUMBER(_xll.BDH(config!$G$4,G$1,$A185,$A185)),_xll.BDH(config!$G$4,G$1,$A185,$A185),_xll.BDH(config!$G$5,G$1,$A185,$A185))))</f>
        <v>45.64</v>
      </c>
      <c r="H185" s="8">
        <f>IF($A185="","",IF(ISNUMBER(FIND("IMPVOL",H$1)),_xll.BDH(config!$G$4,H$1,WORKDAY($A185,-1,config_Holiday_Calendar_US),WORKDAY($A185,-1,config_Holiday_Calendar_US)),IF(ISNUMBER(_xll.BDH(config!$G$4,H$1,$A185,$A185)),_xll.BDH(config!$G$4,H$1,$A185,$A185),_xll.BDH(config!$G$5,H$1,$A185,$A185))))</f>
        <v>312794</v>
      </c>
      <c r="I185" s="8" t="str">
        <f>IF($A185="","",IF(ISNUMBER(FIND("IMPVOL",I$1)),_xll.BDH(config!$G$4,I$1,WORKDAY($A185,-1,config_Holiday_Calendar_US),WORKDAY($A185,-1,config_Holiday_Calendar_US)),IF(ISNUMBER(_xll.BDH(config!$G$4,I$1,$A185,$A185)),_xll.BDH(config!$G$4,I$1,$A185,$A185),_xll.BDH(config!$G$5,I$1,$A185,$A185))))</f>
        <v>#N/A Requesting Data...</v>
      </c>
      <c r="J185" s="8" t="str">
        <f>IF($A185="","",IF(ISNUMBER(FIND("IMPVOL",J$1)),_xll.BDH(config!$G$4,J$1,WORKDAY($A185,-1,config_Holiday_Calendar_US),WORKDAY($A185,-1,config_Holiday_Calendar_US)),IF(ISNUMBER(_xll.BDH(config!$G$4,J$1,$A185,$A185)),_xll.BDH(config!$G$4,J$1,$A185,$A185),_xll.BDH(config!$G$5,J$1,$A185,$A185))))</f>
        <v>#N/A Requesting Data...</v>
      </c>
      <c r="K185" s="8" t="str">
        <f>IF($A185="","",IF(ISNUMBER(FIND("IMPVOL",K$1)),_xll.BDH(config!$G$4,K$1,WORKDAY($A185,-1,config_Holiday_Calendar_US),WORKDAY($A185,-1,config_Holiday_Calendar_US)),IF(ISNUMBER(_xll.BDH(config!$G$4,K$1,$A185,$A185)),_xll.BDH(config!$G$4,K$1,$A185,$A185),_xll.BDH(config!$G$5,K$1,$A185,$A185))))</f>
        <v>#N/A Requesting Data...</v>
      </c>
      <c r="L185" s="8" t="str">
        <f>IF($A185="","",IF(ISNUMBER(FIND("IMPVOL",L$1)),_xll.BDH(config!$G$4,L$1,WORKDAY($A185,-1,config_Holiday_Calendar_US),WORKDAY($A185,-1,config_Holiday_Calendar_US)),IF(ISNUMBER(_xll.BDH(config!$G$4,L$1,$A185,$A185)),_xll.BDH(config!$G$4,L$1,$A185,$A185),_xll.BDH(config!$G$5,L$1,$A185,$A185))))</f>
        <v>#N/A Requesting Data...</v>
      </c>
      <c r="M185" s="8" t="str">
        <f>IF($A185="","",IF(ISNUMBER(FIND("IMPVOL",M$1)),_xll.BDH(config!$G$4,M$1,WORKDAY($A185,-1,config_Holiday_Calendar_US),WORKDAY($A185,-1,config_Holiday_Calendar_US)),IF(ISNUMBER(_xll.BDH(config!$G$4,M$1,$A185,$A185)),_xll.BDH(config!$G$4,M$1,$A185,$A185),_xll.BDH(config!$G$5,M$1,$A185,$A185))))</f>
        <v>#N/A Requesting Data...</v>
      </c>
      <c r="N185" s="8" t="str">
        <f>IF($A185="","",IF(ISNUMBER(FIND("IMPVOL",N$1)),_xll.BDH(config!$G$4,N$1,WORKDAY($A185,-1,config_Holiday_Calendar_US),WORKDAY($A185,-1,config_Holiday_Calendar_US)),IF(ISNUMBER(_xll.BDH(config!$G$4,N$1,$A185,$A185)),_xll.BDH(config!$G$4,N$1,$A185,$A185),_xll.BDH(config!$G$5,N$1,$A185,$A185))))</f>
        <v>#N/A Requesting Data...</v>
      </c>
      <c r="O185" s="8" t="str">
        <f>IF($A185="","",IF(ISNUMBER(FIND("IMPVOL",O$1)),_xll.BDH(config!$G$4,O$1,WORKDAY($A185,-1,config_Holiday_Calendar_US),WORKDAY($A185,-1,config_Holiday_Calendar_US)),IF(ISNUMBER(_xll.BDH(config!$G$4,O$1,$A185,$A185)),_xll.BDH(config!$G$4,O$1,$A185,$A185),_xll.BDH(config!$G$5,O$1,$A185,$A185))))</f>
        <v>#N/A Requesting Data...</v>
      </c>
      <c r="P185" s="8" t="str">
        <f>IF($A185="","",IF(ISNUMBER(FIND("IMPVOL",P$1)),_xll.BDH(config!$G$4,P$1,WORKDAY($A185,-1,config_Holiday_Calendar_US),WORKDAY($A185,-1,config_Holiday_Calendar_US)),IF(ISNUMBER(_xll.BDH(config!$G$4,P$1,$A185,$A185)),_xll.BDH(config!$G$4,P$1,$A185,$A185),_xll.BDH(config!$G$5,P$1,$A185,$A185))))</f>
        <v>#N/A Requesting Data...</v>
      </c>
      <c r="Q185" s="8">
        <f>IF($A185="","",IF(ISNUMBER(FIND("IMPVOL",Q$1)),_xll.BDH(config!$G$4,Q$1,WORKDAY($A185,-1,config_Holiday_Calendar_US),WORKDAY($A185,-1,config_Holiday_Calendar_US)),IF(ISNUMBER(_xll.BDH(config!$G$4,Q$1,$A185,$A185)),_xll.BDH(config!$G$4,Q$1,$A185,$A185),_xll.BDH(config!$G$5,Q$1,$A185,$A185))))</f>
        <v>55.94</v>
      </c>
      <c r="R185" s="8">
        <f>IF($A185="","",IF(ISNUMBER(FIND("IMPVOL",R$1)),_xll.BDH(config!$G$4,R$1,WORKDAY($A185,-1,config_Holiday_Calendar_US),WORKDAY($A185,-1,config_Holiday_Calendar_US)),IF(ISNUMBER(_xll.BDH(config!$G$4,R$1,$A185,$A185)),_xll.BDH(config!$G$4,R$1,$A185,$A185),_xll.BDH(config!$G$5,R$1,$A185,$A185))))</f>
        <v>46.28</v>
      </c>
      <c r="S185" s="8" t="str">
        <f>IF($A185="","",IF(ISNUMBER(FIND("IMPVOL",S$1)),_xll.BDH(config!$G$4,S$1,WORKDAY($A185,-1,config_Holiday_Calendar_US),WORKDAY($A185,-1,config_Holiday_Calendar_US)),IF(ISNUMBER(_xll.BDH(config!$G$4,S$1,$A185,$A185)),_xll.BDH(config!$G$4,S$1,$A185,$A185),_xll.BDH(config!$G$5,S$1,$A185,$A185))))</f>
        <v>#N/A Requesting Data...</v>
      </c>
      <c r="T185" s="8" t="str">
        <f>IF($A185="","",IF(ISNUMBER(FIND("IMPVOL",T$1)),_xll.BDH(config!$G$4,T$1,WORKDAY($A185,-1,config_Holiday_Calendar_US),WORKDAY($A185,-1,config_Holiday_Calendar_US)),IF(ISNUMBER(_xll.BDH(config!$G$4,T$1,$A185,$A185)),_xll.BDH(config!$G$4,T$1,$A185,$A185),_xll.BDH(config!$G$5,T$1,$A185,$A185))))</f>
        <v>#N/A Requesting Data...</v>
      </c>
      <c r="U185" s="8" t="str">
        <f>IF($A185="","",IF(ISNUMBER(FIND("IMPVOL",U$1)),_xll.BDH(config!$G$4,U$1,WORKDAY($A185,-1,config_Holiday_Calendar_US),WORKDAY($A185,-1,config_Holiday_Calendar_US)),IF(ISNUMBER(_xll.BDH(config!$G$4,U$1,$A185,$A185)),_xll.BDH(config!$G$4,U$1,$A185,$A185),_xll.BDH(config!$G$5,U$1,$A185,$A185))))</f>
        <v>#N/A Requesting Data...</v>
      </c>
      <c r="V185" s="8" t="str">
        <f>IF($A185="","",IF(ISNUMBER(FIND("IMPVOL",V$1)),_xll.BDH(config!$G$4,V$1,WORKDAY($A185,-1,config_Holiday_Calendar_US),WORKDAY($A185,-1,config_Holiday_Calendar_US)),IF(ISNUMBER(_xll.BDH(config!$G$4,V$1,$A185,$A185)),_xll.BDH(config!$G$4,V$1,$A185,$A185),_xll.BDH(config!$G$5,V$1,$A185,$A185))))</f>
        <v>#N/A Requesting Data...</v>
      </c>
      <c r="W185" s="8" t="str">
        <f>IF($A185="","",IF(ISNUMBER(FIND("IMPVOL",W$1)),_xll.BDH(config!$G$4,W$1,WORKDAY($A185,-1,config_Holiday_Calendar_US),WORKDAY($A185,-1,config_Holiday_Calendar_US)),IF(ISNUMBER(_xll.BDH(config!$G$4,W$1,$A185,$A185)),_xll.BDH(config!$G$4,W$1,$A185,$A185),_xll.BDH(config!$G$5,W$1,$A185,$A185))))</f>
        <v>#N/A Requesting Data...</v>
      </c>
    </row>
    <row r="186" spans="1:23" x14ac:dyDescent="0.2">
      <c r="A186" s="9">
        <f>IF(A185="","",IF(WORKDAY(A185,-1,config_Holiday_Calendar_US)&lt;config!$I$10,"",WORKDAY(A185,-1,config_Holiday_Calendar_US)))</f>
        <v>42564</v>
      </c>
      <c r="B186" s="8" t="e">
        <f t="shared" si="2"/>
        <v>#VALUE!</v>
      </c>
      <c r="C186" s="8" t="str">
        <f>IF(A186="","",_xll.BDH(config!$H$4,C$1,$A186,$A186))</f>
        <v>#N/A Requesting Data...</v>
      </c>
      <c r="D186" s="8" t="str">
        <f>IF($A186="","",_xll.BDH(config!$H$4,D$1,$A186,$A186))</f>
        <v>#N/A Requesting Data...</v>
      </c>
      <c r="E186" s="8">
        <f>IF($A186="","",IF(ISNUMBER(FIND("IMPVOL",E$1)),_xll.BDH(config!$G$4,E$1,WORKDAY($A186,-1,config_Holiday_Calendar_US),WORKDAY($A186,-1,config_Holiday_Calendar_US)),IF(ISNUMBER(_xll.BDH(config!$G$4,E$1,$A186,$A186)),_xll.BDH(config!$G$4,E$1,$A186,$A186),_xll.BDH(config!$G$5,E$1,$A186,$A186))))</f>
        <v>46.58</v>
      </c>
      <c r="F186" s="8">
        <f>IF($A186="","",IF(ISNUMBER(FIND("IMPVOL",F$1)),_xll.BDH(config!$G$4,F$1,WORKDAY($A186,-1,config_Holiday_Calendar_US),WORKDAY($A186,-1,config_Holiday_Calendar_US)),IF(ISNUMBER(_xll.BDH(config!$G$4,F$1,$A186,$A186)),_xll.BDH(config!$G$4,F$1,$A186,$A186),_xll.BDH(config!$G$5,F$1,$A186,$A186))))</f>
        <v>46.71</v>
      </c>
      <c r="G186" s="8">
        <f>IF($A186="","",IF(ISNUMBER(FIND("IMPVOL",G$1)),_xll.BDH(config!$G$4,G$1,WORKDAY($A186,-1,config_Holiday_Calendar_US),WORKDAY($A186,-1,config_Holiday_Calendar_US)),IF(ISNUMBER(_xll.BDH(config!$G$4,G$1,$A186,$A186)),_xll.BDH(config!$G$4,G$1,$A186,$A186),_xll.BDH(config!$G$5,G$1,$A186,$A186))))</f>
        <v>45.25</v>
      </c>
      <c r="H186" s="8">
        <f>IF($A186="","",IF(ISNUMBER(FIND("IMPVOL",H$1)),_xll.BDH(config!$G$4,H$1,WORKDAY($A186,-1,config_Holiday_Calendar_US),WORKDAY($A186,-1,config_Holiday_Calendar_US)),IF(ISNUMBER(_xll.BDH(config!$G$4,H$1,$A186,$A186)),_xll.BDH(config!$G$4,H$1,$A186,$A186),_xll.BDH(config!$G$5,H$1,$A186,$A186))))</f>
        <v>376846</v>
      </c>
      <c r="I186" s="8" t="str">
        <f>IF($A186="","",IF(ISNUMBER(FIND("IMPVOL",I$1)),_xll.BDH(config!$G$4,I$1,WORKDAY($A186,-1,config_Holiday_Calendar_US),WORKDAY($A186,-1,config_Holiday_Calendar_US)),IF(ISNUMBER(_xll.BDH(config!$G$4,I$1,$A186,$A186)),_xll.BDH(config!$G$4,I$1,$A186,$A186),_xll.BDH(config!$G$5,I$1,$A186,$A186))))</f>
        <v>#N/A Requesting Data...</v>
      </c>
      <c r="J186" s="8" t="str">
        <f>IF($A186="","",IF(ISNUMBER(FIND("IMPVOL",J$1)),_xll.BDH(config!$G$4,J$1,WORKDAY($A186,-1,config_Holiday_Calendar_US),WORKDAY($A186,-1,config_Holiday_Calendar_US)),IF(ISNUMBER(_xll.BDH(config!$G$4,J$1,$A186,$A186)),_xll.BDH(config!$G$4,J$1,$A186,$A186),_xll.BDH(config!$G$5,J$1,$A186,$A186))))</f>
        <v>#N/A Requesting Data...</v>
      </c>
      <c r="K186" s="8" t="str">
        <f>IF($A186="","",IF(ISNUMBER(FIND("IMPVOL",K$1)),_xll.BDH(config!$G$4,K$1,WORKDAY($A186,-1,config_Holiday_Calendar_US),WORKDAY($A186,-1,config_Holiday_Calendar_US)),IF(ISNUMBER(_xll.BDH(config!$G$4,K$1,$A186,$A186)),_xll.BDH(config!$G$4,K$1,$A186,$A186),_xll.BDH(config!$G$5,K$1,$A186,$A186))))</f>
        <v>#N/A Requesting Data...</v>
      </c>
      <c r="L186" s="8" t="str">
        <f>IF($A186="","",IF(ISNUMBER(FIND("IMPVOL",L$1)),_xll.BDH(config!$G$4,L$1,WORKDAY($A186,-1,config_Holiday_Calendar_US),WORKDAY($A186,-1,config_Holiday_Calendar_US)),IF(ISNUMBER(_xll.BDH(config!$G$4,L$1,$A186,$A186)),_xll.BDH(config!$G$4,L$1,$A186,$A186),_xll.BDH(config!$G$5,L$1,$A186,$A186))))</f>
        <v>#N/A Requesting Data...</v>
      </c>
      <c r="M186" s="8" t="str">
        <f>IF($A186="","",IF(ISNUMBER(FIND("IMPVOL",M$1)),_xll.BDH(config!$G$4,M$1,WORKDAY($A186,-1,config_Holiday_Calendar_US),WORKDAY($A186,-1,config_Holiday_Calendar_US)),IF(ISNUMBER(_xll.BDH(config!$G$4,M$1,$A186,$A186)),_xll.BDH(config!$G$4,M$1,$A186,$A186),_xll.BDH(config!$G$5,M$1,$A186,$A186))))</f>
        <v>#N/A Requesting Data...</v>
      </c>
      <c r="N186" s="8" t="str">
        <f>IF($A186="","",IF(ISNUMBER(FIND("IMPVOL",N$1)),_xll.BDH(config!$G$4,N$1,WORKDAY($A186,-1,config_Holiday_Calendar_US),WORKDAY($A186,-1,config_Holiday_Calendar_US)),IF(ISNUMBER(_xll.BDH(config!$G$4,N$1,$A186,$A186)),_xll.BDH(config!$G$4,N$1,$A186,$A186),_xll.BDH(config!$G$5,N$1,$A186,$A186))))</f>
        <v>#N/A Requesting Data...</v>
      </c>
      <c r="O186" s="8" t="str">
        <f>IF($A186="","",IF(ISNUMBER(FIND("IMPVOL",O$1)),_xll.BDH(config!$G$4,O$1,WORKDAY($A186,-1,config_Holiday_Calendar_US),WORKDAY($A186,-1,config_Holiday_Calendar_US)),IF(ISNUMBER(_xll.BDH(config!$G$4,O$1,$A186,$A186)),_xll.BDH(config!$G$4,O$1,$A186,$A186),_xll.BDH(config!$G$5,O$1,$A186,$A186))))</f>
        <v>#N/A Requesting Data...</v>
      </c>
      <c r="P186" s="8" t="str">
        <f>IF($A186="","",IF(ISNUMBER(FIND("IMPVOL",P$1)),_xll.BDH(config!$G$4,P$1,WORKDAY($A186,-1,config_Holiday_Calendar_US),WORKDAY($A186,-1,config_Holiday_Calendar_US)),IF(ISNUMBER(_xll.BDH(config!$G$4,P$1,$A186,$A186)),_xll.BDH(config!$G$4,P$1,$A186,$A186),_xll.BDH(config!$G$5,P$1,$A186,$A186))))</f>
        <v>#N/A Requesting Data...</v>
      </c>
      <c r="Q186" s="8">
        <f>IF($A186="","",IF(ISNUMBER(FIND("IMPVOL",Q$1)),_xll.BDH(config!$G$4,Q$1,WORKDAY($A186,-1,config_Holiday_Calendar_US),WORKDAY($A186,-1,config_Holiday_Calendar_US)),IF(ISNUMBER(_xll.BDH(config!$G$4,Q$1,$A186,$A186)),_xll.BDH(config!$G$4,Q$1,$A186,$A186),_xll.BDH(config!$G$5,Q$1,$A186,$A186))))</f>
        <v>54.74</v>
      </c>
      <c r="R186" s="8">
        <f>IF($A186="","",IF(ISNUMBER(FIND("IMPVOL",R$1)),_xll.BDH(config!$G$4,R$1,WORKDAY($A186,-1,config_Holiday_Calendar_US),WORKDAY($A186,-1,config_Holiday_Calendar_US)),IF(ISNUMBER(_xll.BDH(config!$G$4,R$1,$A186,$A186)),_xll.BDH(config!$G$4,R$1,$A186,$A186),_xll.BDH(config!$G$5,R$1,$A186,$A186))))</f>
        <v>45.74</v>
      </c>
      <c r="S186" s="8" t="str">
        <f>IF($A186="","",IF(ISNUMBER(FIND("IMPVOL",S$1)),_xll.BDH(config!$G$4,S$1,WORKDAY($A186,-1,config_Holiday_Calendar_US),WORKDAY($A186,-1,config_Holiday_Calendar_US)),IF(ISNUMBER(_xll.BDH(config!$G$4,S$1,$A186,$A186)),_xll.BDH(config!$G$4,S$1,$A186,$A186),_xll.BDH(config!$G$5,S$1,$A186,$A186))))</f>
        <v>#N/A Requesting Data...</v>
      </c>
      <c r="T186" s="8" t="str">
        <f>IF($A186="","",IF(ISNUMBER(FIND("IMPVOL",T$1)),_xll.BDH(config!$G$4,T$1,WORKDAY($A186,-1,config_Holiday_Calendar_US),WORKDAY($A186,-1,config_Holiday_Calendar_US)),IF(ISNUMBER(_xll.BDH(config!$G$4,T$1,$A186,$A186)),_xll.BDH(config!$G$4,T$1,$A186,$A186),_xll.BDH(config!$G$5,T$1,$A186,$A186))))</f>
        <v>#N/A Requesting Data...</v>
      </c>
      <c r="U186" s="8" t="str">
        <f>IF($A186="","",IF(ISNUMBER(FIND("IMPVOL",U$1)),_xll.BDH(config!$G$4,U$1,WORKDAY($A186,-1,config_Holiday_Calendar_US),WORKDAY($A186,-1,config_Holiday_Calendar_US)),IF(ISNUMBER(_xll.BDH(config!$G$4,U$1,$A186,$A186)),_xll.BDH(config!$G$4,U$1,$A186,$A186),_xll.BDH(config!$G$5,U$1,$A186,$A186))))</f>
        <v>#N/A Requesting Data...</v>
      </c>
      <c r="V186" s="8" t="str">
        <f>IF($A186="","",IF(ISNUMBER(FIND("IMPVOL",V$1)),_xll.BDH(config!$G$4,V$1,WORKDAY($A186,-1,config_Holiday_Calendar_US),WORKDAY($A186,-1,config_Holiday_Calendar_US)),IF(ISNUMBER(_xll.BDH(config!$G$4,V$1,$A186,$A186)),_xll.BDH(config!$G$4,V$1,$A186,$A186),_xll.BDH(config!$G$5,V$1,$A186,$A186))))</f>
        <v>#N/A Requesting Data...</v>
      </c>
      <c r="W186" s="8" t="str">
        <f>IF($A186="","",IF(ISNUMBER(FIND("IMPVOL",W$1)),_xll.BDH(config!$G$4,W$1,WORKDAY($A186,-1,config_Holiday_Calendar_US),WORKDAY($A186,-1,config_Holiday_Calendar_US)),IF(ISNUMBER(_xll.BDH(config!$G$4,W$1,$A186,$A186)),_xll.BDH(config!$G$4,W$1,$A186,$A186),_xll.BDH(config!$G$5,W$1,$A186,$A186))))</f>
        <v>#N/A Requesting Data...</v>
      </c>
    </row>
    <row r="187" spans="1:23" x14ac:dyDescent="0.2">
      <c r="A187" s="9">
        <f>IF(A186="","",IF(WORKDAY(A186,-1,config_Holiday_Calendar_US)&lt;config!$I$10,"",WORKDAY(A186,-1,config_Holiday_Calendar_US)))</f>
        <v>42563</v>
      </c>
      <c r="B187" s="8" t="e">
        <f t="shared" si="2"/>
        <v>#VALUE!</v>
      </c>
      <c r="C187" s="8" t="str">
        <f>IF(A187="","",_xll.BDH(config!$H$4,C$1,$A187,$A187))</f>
        <v>#N/A Requesting Data...</v>
      </c>
      <c r="D187" s="8" t="str">
        <f>IF($A187="","",_xll.BDH(config!$H$4,D$1,$A187,$A187))</f>
        <v>#N/A Requesting Data...</v>
      </c>
      <c r="E187" s="8">
        <f>IF($A187="","",IF(ISNUMBER(FIND("IMPVOL",E$1)),_xll.BDH(config!$G$4,E$1,WORKDAY($A187,-1,config_Holiday_Calendar_US),WORKDAY($A187,-1,config_Holiday_Calendar_US)),IF(ISNUMBER(_xll.BDH(config!$G$4,E$1,$A187,$A187)),_xll.BDH(config!$G$4,E$1,$A187,$A187),_xll.BDH(config!$G$5,E$1,$A187,$A187))))</f>
        <v>44.58</v>
      </c>
      <c r="F187" s="8">
        <f>IF($A187="","",IF(ISNUMBER(FIND("IMPVOL",F$1)),_xll.BDH(config!$G$4,F$1,WORKDAY($A187,-1,config_Holiday_Calendar_US),WORKDAY($A187,-1,config_Holiday_Calendar_US)),IF(ISNUMBER(_xll.BDH(config!$G$4,F$1,$A187,$A187)),_xll.BDH(config!$G$4,F$1,$A187,$A187),_xll.BDH(config!$G$5,F$1,$A187,$A187))))</f>
        <v>46.93</v>
      </c>
      <c r="G187" s="8">
        <f>IF($A187="","",IF(ISNUMBER(FIND("IMPVOL",G$1)),_xll.BDH(config!$G$4,G$1,WORKDAY($A187,-1,config_Holiday_Calendar_US),WORKDAY($A187,-1,config_Holiday_Calendar_US)),IF(ISNUMBER(_xll.BDH(config!$G$4,G$1,$A187,$A187)),_xll.BDH(config!$G$4,G$1,$A187,$A187),_xll.BDH(config!$G$5,G$1,$A187,$A187))))</f>
        <v>45.3</v>
      </c>
      <c r="H187" s="8">
        <f>IF($A187="","",IF(ISNUMBER(FIND("IMPVOL",H$1)),_xll.BDH(config!$G$4,H$1,WORKDAY($A187,-1,config_Holiday_Calendar_US),WORKDAY($A187,-1,config_Holiday_Calendar_US)),IF(ISNUMBER(_xll.BDH(config!$G$4,H$1,$A187,$A187)),_xll.BDH(config!$G$4,H$1,$A187,$A187),_xll.BDH(config!$G$5,H$1,$A187,$A187))))</f>
        <v>303661</v>
      </c>
      <c r="I187" s="8" t="str">
        <f>IF($A187="","",IF(ISNUMBER(FIND("IMPVOL",I$1)),_xll.BDH(config!$G$4,I$1,WORKDAY($A187,-1,config_Holiday_Calendar_US),WORKDAY($A187,-1,config_Holiday_Calendar_US)),IF(ISNUMBER(_xll.BDH(config!$G$4,I$1,$A187,$A187)),_xll.BDH(config!$G$4,I$1,$A187,$A187),_xll.BDH(config!$G$5,I$1,$A187,$A187))))</f>
        <v>#N/A Requesting Data...</v>
      </c>
      <c r="J187" s="8" t="str">
        <f>IF($A187="","",IF(ISNUMBER(FIND("IMPVOL",J$1)),_xll.BDH(config!$G$4,J$1,WORKDAY($A187,-1,config_Holiday_Calendar_US),WORKDAY($A187,-1,config_Holiday_Calendar_US)),IF(ISNUMBER(_xll.BDH(config!$G$4,J$1,$A187,$A187)),_xll.BDH(config!$G$4,J$1,$A187,$A187),_xll.BDH(config!$G$5,J$1,$A187,$A187))))</f>
        <v>#N/A Requesting Data...</v>
      </c>
      <c r="K187" s="8" t="str">
        <f>IF($A187="","",IF(ISNUMBER(FIND("IMPVOL",K$1)),_xll.BDH(config!$G$4,K$1,WORKDAY($A187,-1,config_Holiday_Calendar_US),WORKDAY($A187,-1,config_Holiday_Calendar_US)),IF(ISNUMBER(_xll.BDH(config!$G$4,K$1,$A187,$A187)),_xll.BDH(config!$G$4,K$1,$A187,$A187),_xll.BDH(config!$G$5,K$1,$A187,$A187))))</f>
        <v>#N/A Requesting Data...</v>
      </c>
      <c r="L187" s="8" t="str">
        <f>IF($A187="","",IF(ISNUMBER(FIND("IMPVOL",L$1)),_xll.BDH(config!$G$4,L$1,WORKDAY($A187,-1,config_Holiday_Calendar_US),WORKDAY($A187,-1,config_Holiday_Calendar_US)),IF(ISNUMBER(_xll.BDH(config!$G$4,L$1,$A187,$A187)),_xll.BDH(config!$G$4,L$1,$A187,$A187),_xll.BDH(config!$G$5,L$1,$A187,$A187))))</f>
        <v>#N/A Requesting Data...</v>
      </c>
      <c r="M187" s="8" t="str">
        <f>IF($A187="","",IF(ISNUMBER(FIND("IMPVOL",M$1)),_xll.BDH(config!$G$4,M$1,WORKDAY($A187,-1,config_Holiday_Calendar_US),WORKDAY($A187,-1,config_Holiday_Calendar_US)),IF(ISNUMBER(_xll.BDH(config!$G$4,M$1,$A187,$A187)),_xll.BDH(config!$G$4,M$1,$A187,$A187),_xll.BDH(config!$G$5,M$1,$A187,$A187))))</f>
        <v>#N/A Requesting Data...</v>
      </c>
      <c r="N187" s="8" t="str">
        <f>IF($A187="","",IF(ISNUMBER(FIND("IMPVOL",N$1)),_xll.BDH(config!$G$4,N$1,WORKDAY($A187,-1,config_Holiday_Calendar_US),WORKDAY($A187,-1,config_Holiday_Calendar_US)),IF(ISNUMBER(_xll.BDH(config!$G$4,N$1,$A187,$A187)),_xll.BDH(config!$G$4,N$1,$A187,$A187),_xll.BDH(config!$G$5,N$1,$A187,$A187))))</f>
        <v>#N/A Requesting Data...</v>
      </c>
      <c r="O187" s="8" t="str">
        <f>IF($A187="","",IF(ISNUMBER(FIND("IMPVOL",O$1)),_xll.BDH(config!$G$4,O$1,WORKDAY($A187,-1,config_Holiday_Calendar_US),WORKDAY($A187,-1,config_Holiday_Calendar_US)),IF(ISNUMBER(_xll.BDH(config!$G$4,O$1,$A187,$A187)),_xll.BDH(config!$G$4,O$1,$A187,$A187),_xll.BDH(config!$G$5,O$1,$A187,$A187))))</f>
        <v>#N/A Requesting Data...</v>
      </c>
      <c r="P187" s="8" t="str">
        <f>IF($A187="","",IF(ISNUMBER(FIND("IMPVOL",P$1)),_xll.BDH(config!$G$4,P$1,WORKDAY($A187,-1,config_Holiday_Calendar_US),WORKDAY($A187,-1,config_Holiday_Calendar_US)),IF(ISNUMBER(_xll.BDH(config!$G$4,P$1,$A187,$A187)),_xll.BDH(config!$G$4,P$1,$A187,$A187),_xll.BDH(config!$G$5,P$1,$A187,$A187))))</f>
        <v>#N/A Requesting Data...</v>
      </c>
      <c r="Q187" s="8">
        <f>IF($A187="","",IF(ISNUMBER(FIND("IMPVOL",Q$1)),_xll.BDH(config!$G$4,Q$1,WORKDAY($A187,-1,config_Holiday_Calendar_US),WORKDAY($A187,-1,config_Holiday_Calendar_US)),IF(ISNUMBER(_xll.BDH(config!$G$4,Q$1,$A187,$A187)),_xll.BDH(config!$G$4,Q$1,$A187,$A187),_xll.BDH(config!$G$5,Q$1,$A187,$A187))))</f>
        <v>56.89</v>
      </c>
      <c r="R187" s="8">
        <f>IF($A187="","",IF(ISNUMBER(FIND("IMPVOL",R$1)),_xll.BDH(config!$G$4,R$1,WORKDAY($A187,-1,config_Holiday_Calendar_US),WORKDAY($A187,-1,config_Holiday_Calendar_US)),IF(ISNUMBER(_xll.BDH(config!$G$4,R$1,$A187,$A187)),_xll.BDH(config!$G$4,R$1,$A187,$A187),_xll.BDH(config!$G$5,R$1,$A187,$A187))))</f>
        <v>43.77</v>
      </c>
      <c r="S187" s="8" t="str">
        <f>IF($A187="","",IF(ISNUMBER(FIND("IMPVOL",S$1)),_xll.BDH(config!$G$4,S$1,WORKDAY($A187,-1,config_Holiday_Calendar_US),WORKDAY($A187,-1,config_Holiday_Calendar_US)),IF(ISNUMBER(_xll.BDH(config!$G$4,S$1,$A187,$A187)),_xll.BDH(config!$G$4,S$1,$A187,$A187),_xll.BDH(config!$G$5,S$1,$A187,$A187))))</f>
        <v>#N/A Requesting Data...</v>
      </c>
      <c r="T187" s="8" t="str">
        <f>IF($A187="","",IF(ISNUMBER(FIND("IMPVOL",T$1)),_xll.BDH(config!$G$4,T$1,WORKDAY($A187,-1,config_Holiday_Calendar_US),WORKDAY($A187,-1,config_Holiday_Calendar_US)),IF(ISNUMBER(_xll.BDH(config!$G$4,T$1,$A187,$A187)),_xll.BDH(config!$G$4,T$1,$A187,$A187),_xll.BDH(config!$G$5,T$1,$A187,$A187))))</f>
        <v>#N/A Requesting Data...</v>
      </c>
      <c r="U187" s="8" t="str">
        <f>IF($A187="","",IF(ISNUMBER(FIND("IMPVOL",U$1)),_xll.BDH(config!$G$4,U$1,WORKDAY($A187,-1,config_Holiday_Calendar_US),WORKDAY($A187,-1,config_Holiday_Calendar_US)),IF(ISNUMBER(_xll.BDH(config!$G$4,U$1,$A187,$A187)),_xll.BDH(config!$G$4,U$1,$A187,$A187),_xll.BDH(config!$G$5,U$1,$A187,$A187))))</f>
        <v>#N/A Requesting Data...</v>
      </c>
      <c r="V187" s="8" t="str">
        <f>IF($A187="","",IF(ISNUMBER(FIND("IMPVOL",V$1)),_xll.BDH(config!$G$4,V$1,WORKDAY($A187,-1,config_Holiday_Calendar_US),WORKDAY($A187,-1,config_Holiday_Calendar_US)),IF(ISNUMBER(_xll.BDH(config!$G$4,V$1,$A187,$A187)),_xll.BDH(config!$G$4,V$1,$A187,$A187),_xll.BDH(config!$G$5,V$1,$A187,$A187))))</f>
        <v>#N/A Requesting Data...</v>
      </c>
      <c r="W187" s="8" t="str">
        <f>IF($A187="","",IF(ISNUMBER(FIND("IMPVOL",W$1)),_xll.BDH(config!$G$4,W$1,WORKDAY($A187,-1,config_Holiday_Calendar_US),WORKDAY($A187,-1,config_Holiday_Calendar_US)),IF(ISNUMBER(_xll.BDH(config!$G$4,W$1,$A187,$A187)),_xll.BDH(config!$G$4,W$1,$A187,$A187),_xll.BDH(config!$G$5,W$1,$A187,$A187))))</f>
        <v>#N/A Requesting Data...</v>
      </c>
    </row>
    <row r="188" spans="1:23" x14ac:dyDescent="0.2">
      <c r="A188" s="9">
        <f>IF(A187="","",IF(WORKDAY(A187,-1,config_Holiday_Calendar_US)&lt;config!$I$10,"",WORKDAY(A187,-1,config_Holiday_Calendar_US)))</f>
        <v>42562</v>
      </c>
      <c r="B188" s="8" t="e">
        <f t="shared" si="2"/>
        <v>#VALUE!</v>
      </c>
      <c r="C188" s="8" t="str">
        <f>IF(A188="","",_xll.BDH(config!$H$4,C$1,$A188,$A188))</f>
        <v>#N/A Requesting Data...</v>
      </c>
      <c r="D188" s="8" t="str">
        <f>IF($A188="","",_xll.BDH(config!$H$4,D$1,$A188,$A188))</f>
        <v>#N/A Requesting Data...</v>
      </c>
      <c r="E188" s="8">
        <f>IF($A188="","",IF(ISNUMBER(FIND("IMPVOL",E$1)),_xll.BDH(config!$G$4,E$1,WORKDAY($A188,-1,config_Holiday_Calendar_US),WORKDAY($A188,-1,config_Holiday_Calendar_US)),IF(ISNUMBER(_xll.BDH(config!$G$4,E$1,$A188,$A188)),_xll.BDH(config!$G$4,E$1,$A188,$A188),_xll.BDH(config!$G$5,E$1,$A188,$A188))))</f>
        <v>45.07</v>
      </c>
      <c r="F188" s="8">
        <f>IF($A188="","",IF(ISNUMBER(FIND("IMPVOL",F$1)),_xll.BDH(config!$G$4,F$1,WORKDAY($A188,-1,config_Holiday_Calendar_US),WORKDAY($A188,-1,config_Holiday_Calendar_US)),IF(ISNUMBER(_xll.BDH(config!$G$4,F$1,$A188,$A188)),_xll.BDH(config!$G$4,F$1,$A188,$A188),_xll.BDH(config!$G$5,F$1,$A188,$A188))))</f>
        <v>45.77</v>
      </c>
      <c r="G188" s="8">
        <f>IF($A188="","",IF(ISNUMBER(FIND("IMPVOL",G$1)),_xll.BDH(config!$G$4,G$1,WORKDAY($A188,-1,config_Holiday_Calendar_US),WORKDAY($A188,-1,config_Holiday_Calendar_US)),IF(ISNUMBER(_xll.BDH(config!$G$4,G$1,$A188,$A188)),_xll.BDH(config!$G$4,G$1,$A188,$A188),_xll.BDH(config!$G$5,G$1,$A188,$A188))))</f>
        <v>45.2</v>
      </c>
      <c r="H188" s="8">
        <f>IF($A188="","",IF(ISNUMBER(FIND("IMPVOL",H$1)),_xll.BDH(config!$G$4,H$1,WORKDAY($A188,-1,config_Holiday_Calendar_US),WORKDAY($A188,-1,config_Holiday_Calendar_US)),IF(ISNUMBER(_xll.BDH(config!$G$4,H$1,$A188,$A188)),_xll.BDH(config!$G$4,H$1,$A188,$A188),_xll.BDH(config!$G$5,H$1,$A188,$A188))))</f>
        <v>249914</v>
      </c>
      <c r="I188" s="8" t="str">
        <f>IF($A188="","",IF(ISNUMBER(FIND("IMPVOL",I$1)),_xll.BDH(config!$G$4,I$1,WORKDAY($A188,-1,config_Holiday_Calendar_US),WORKDAY($A188,-1,config_Holiday_Calendar_US)),IF(ISNUMBER(_xll.BDH(config!$G$4,I$1,$A188,$A188)),_xll.BDH(config!$G$4,I$1,$A188,$A188),_xll.BDH(config!$G$5,I$1,$A188,$A188))))</f>
        <v>#N/A Requesting Data...</v>
      </c>
      <c r="J188" s="8" t="str">
        <f>IF($A188="","",IF(ISNUMBER(FIND("IMPVOL",J$1)),_xll.BDH(config!$G$4,J$1,WORKDAY($A188,-1,config_Holiday_Calendar_US),WORKDAY($A188,-1,config_Holiday_Calendar_US)),IF(ISNUMBER(_xll.BDH(config!$G$4,J$1,$A188,$A188)),_xll.BDH(config!$G$4,J$1,$A188,$A188),_xll.BDH(config!$G$5,J$1,$A188,$A188))))</f>
        <v>#N/A Requesting Data...</v>
      </c>
      <c r="K188" s="8" t="str">
        <f>IF($A188="","",IF(ISNUMBER(FIND("IMPVOL",K$1)),_xll.BDH(config!$G$4,K$1,WORKDAY($A188,-1,config_Holiday_Calendar_US),WORKDAY($A188,-1,config_Holiday_Calendar_US)),IF(ISNUMBER(_xll.BDH(config!$G$4,K$1,$A188,$A188)),_xll.BDH(config!$G$4,K$1,$A188,$A188),_xll.BDH(config!$G$5,K$1,$A188,$A188))))</f>
        <v>#N/A Requesting Data...</v>
      </c>
      <c r="L188" s="8" t="str">
        <f>IF($A188="","",IF(ISNUMBER(FIND("IMPVOL",L$1)),_xll.BDH(config!$G$4,L$1,WORKDAY($A188,-1,config_Holiday_Calendar_US),WORKDAY($A188,-1,config_Holiday_Calendar_US)),IF(ISNUMBER(_xll.BDH(config!$G$4,L$1,$A188,$A188)),_xll.BDH(config!$G$4,L$1,$A188,$A188),_xll.BDH(config!$G$5,L$1,$A188,$A188))))</f>
        <v>#N/A Requesting Data...</v>
      </c>
      <c r="M188" s="8" t="str">
        <f>IF($A188="","",IF(ISNUMBER(FIND("IMPVOL",M$1)),_xll.BDH(config!$G$4,M$1,WORKDAY($A188,-1,config_Holiday_Calendar_US),WORKDAY($A188,-1,config_Holiday_Calendar_US)),IF(ISNUMBER(_xll.BDH(config!$G$4,M$1,$A188,$A188)),_xll.BDH(config!$G$4,M$1,$A188,$A188),_xll.BDH(config!$G$5,M$1,$A188,$A188))))</f>
        <v>#N/A Requesting Data...</v>
      </c>
      <c r="N188" s="8" t="str">
        <f>IF($A188="","",IF(ISNUMBER(FIND("IMPVOL",N$1)),_xll.BDH(config!$G$4,N$1,WORKDAY($A188,-1,config_Holiday_Calendar_US),WORKDAY($A188,-1,config_Holiday_Calendar_US)),IF(ISNUMBER(_xll.BDH(config!$G$4,N$1,$A188,$A188)),_xll.BDH(config!$G$4,N$1,$A188,$A188),_xll.BDH(config!$G$5,N$1,$A188,$A188))))</f>
        <v>#N/A Requesting Data...</v>
      </c>
      <c r="O188" s="8" t="str">
        <f>IF($A188="","",IF(ISNUMBER(FIND("IMPVOL",O$1)),_xll.BDH(config!$G$4,O$1,WORKDAY($A188,-1,config_Holiday_Calendar_US),WORKDAY($A188,-1,config_Holiday_Calendar_US)),IF(ISNUMBER(_xll.BDH(config!$G$4,O$1,$A188,$A188)),_xll.BDH(config!$G$4,O$1,$A188,$A188),_xll.BDH(config!$G$5,O$1,$A188,$A188))))</f>
        <v>#N/A Requesting Data...</v>
      </c>
      <c r="P188" s="8" t="str">
        <f>IF($A188="","",IF(ISNUMBER(FIND("IMPVOL",P$1)),_xll.BDH(config!$G$4,P$1,WORKDAY($A188,-1,config_Holiday_Calendar_US),WORKDAY($A188,-1,config_Holiday_Calendar_US)),IF(ISNUMBER(_xll.BDH(config!$G$4,P$1,$A188,$A188)),_xll.BDH(config!$G$4,P$1,$A188,$A188),_xll.BDH(config!$G$5,P$1,$A188,$A188))))</f>
        <v>#N/A Requesting Data...</v>
      </c>
      <c r="Q188" s="8">
        <f>IF($A188="","",IF(ISNUMBER(FIND("IMPVOL",Q$1)),_xll.BDH(config!$G$4,Q$1,WORKDAY($A188,-1,config_Holiday_Calendar_US),WORKDAY($A188,-1,config_Holiday_Calendar_US)),IF(ISNUMBER(_xll.BDH(config!$G$4,Q$1,$A188,$A188)),_xll.BDH(config!$G$4,Q$1,$A188,$A188),_xll.BDH(config!$G$5,Q$1,$A188,$A188))))</f>
        <v>54.17</v>
      </c>
      <c r="R188" s="8">
        <f>IF($A188="","",IF(ISNUMBER(FIND("IMPVOL",R$1)),_xll.BDH(config!$G$4,R$1,WORKDAY($A188,-1,config_Holiday_Calendar_US),WORKDAY($A188,-1,config_Holiday_Calendar_US)),IF(ISNUMBER(_xll.BDH(config!$G$4,R$1,$A188,$A188)),_xll.BDH(config!$G$4,R$1,$A188,$A188),_xll.BDH(config!$G$5,R$1,$A188,$A188))))</f>
        <v>41.44</v>
      </c>
      <c r="S188" s="8" t="str">
        <f>IF($A188="","",IF(ISNUMBER(FIND("IMPVOL",S$1)),_xll.BDH(config!$G$4,S$1,WORKDAY($A188,-1,config_Holiday_Calendar_US),WORKDAY($A188,-1,config_Holiday_Calendar_US)),IF(ISNUMBER(_xll.BDH(config!$G$4,S$1,$A188,$A188)),_xll.BDH(config!$G$4,S$1,$A188,$A188),_xll.BDH(config!$G$5,S$1,$A188,$A188))))</f>
        <v>#N/A Requesting Data...</v>
      </c>
      <c r="T188" s="8" t="str">
        <f>IF($A188="","",IF(ISNUMBER(FIND("IMPVOL",T$1)),_xll.BDH(config!$G$4,T$1,WORKDAY($A188,-1,config_Holiday_Calendar_US),WORKDAY($A188,-1,config_Holiday_Calendar_US)),IF(ISNUMBER(_xll.BDH(config!$G$4,T$1,$A188,$A188)),_xll.BDH(config!$G$4,T$1,$A188,$A188),_xll.BDH(config!$G$5,T$1,$A188,$A188))))</f>
        <v>#N/A Requesting Data...</v>
      </c>
      <c r="U188" s="8" t="str">
        <f>IF($A188="","",IF(ISNUMBER(FIND("IMPVOL",U$1)),_xll.BDH(config!$G$4,U$1,WORKDAY($A188,-1,config_Holiday_Calendar_US),WORKDAY($A188,-1,config_Holiday_Calendar_US)),IF(ISNUMBER(_xll.BDH(config!$G$4,U$1,$A188,$A188)),_xll.BDH(config!$G$4,U$1,$A188,$A188),_xll.BDH(config!$G$5,U$1,$A188,$A188))))</f>
        <v>#N/A Requesting Data...</v>
      </c>
      <c r="V188" s="8" t="str">
        <f>IF($A188="","",IF(ISNUMBER(FIND("IMPVOL",V$1)),_xll.BDH(config!$G$4,V$1,WORKDAY($A188,-1,config_Holiday_Calendar_US),WORKDAY($A188,-1,config_Holiday_Calendar_US)),IF(ISNUMBER(_xll.BDH(config!$G$4,V$1,$A188,$A188)),_xll.BDH(config!$G$4,V$1,$A188,$A188),_xll.BDH(config!$G$5,V$1,$A188,$A188))))</f>
        <v>#N/A Requesting Data...</v>
      </c>
      <c r="W188" s="8" t="str">
        <f>IF($A188="","",IF(ISNUMBER(FIND("IMPVOL",W$1)),_xll.BDH(config!$G$4,W$1,WORKDAY($A188,-1,config_Holiday_Calendar_US),WORKDAY($A188,-1,config_Holiday_Calendar_US)),IF(ISNUMBER(_xll.BDH(config!$G$4,W$1,$A188,$A188)),_xll.BDH(config!$G$4,W$1,$A188,$A188),_xll.BDH(config!$G$5,W$1,$A188,$A188))))</f>
        <v>#N/A Requesting Data...</v>
      </c>
    </row>
    <row r="189" spans="1:23" x14ac:dyDescent="0.2">
      <c r="A189" s="9">
        <f>IF(A188="","",IF(WORKDAY(A188,-1,config_Holiday_Calendar_US)&lt;config!$I$10,"",WORKDAY(A188,-1,config_Holiday_Calendar_US)))</f>
        <v>42559</v>
      </c>
      <c r="B189" s="8" t="e">
        <f t="shared" si="2"/>
        <v>#VALUE!</v>
      </c>
      <c r="C189" s="8" t="str">
        <f>IF(A189="","",_xll.BDH(config!$H$4,C$1,$A189,$A189))</f>
        <v>#N/A Requesting Data...</v>
      </c>
      <c r="D189" s="8" t="str">
        <f>IF($A189="","",_xll.BDH(config!$H$4,D$1,$A189,$A189))</f>
        <v>#N/A Requesting Data...</v>
      </c>
      <c r="E189" s="8">
        <f>IF($A189="","",IF(ISNUMBER(FIND("IMPVOL",E$1)),_xll.BDH(config!$G$4,E$1,WORKDAY($A189,-1,config_Holiday_Calendar_US),WORKDAY($A189,-1,config_Holiday_Calendar_US)),IF(ISNUMBER(_xll.BDH(config!$G$4,E$1,$A189,$A189)),_xll.BDH(config!$G$4,E$1,$A189,$A189),_xll.BDH(config!$G$5,E$1,$A189,$A189))))</f>
        <v>45.19</v>
      </c>
      <c r="F189" s="8">
        <f>IF($A189="","",IF(ISNUMBER(FIND("IMPVOL",F$1)),_xll.BDH(config!$G$4,F$1,WORKDAY($A189,-1,config_Holiday_Calendar_US),WORKDAY($A189,-1,config_Holiday_Calendar_US)),IF(ISNUMBER(_xll.BDH(config!$G$4,F$1,$A189,$A189)),_xll.BDH(config!$G$4,F$1,$A189,$A189),_xll.BDH(config!$G$5,F$1,$A189,$A189))))</f>
        <v>45.97</v>
      </c>
      <c r="G189" s="8">
        <f>IF($A189="","",IF(ISNUMBER(FIND("IMPVOL",G$1)),_xll.BDH(config!$G$4,G$1,WORKDAY($A189,-1,config_Holiday_Calendar_US),WORKDAY($A189,-1,config_Holiday_Calendar_US)),IF(ISNUMBER(_xll.BDH(config!$G$4,G$1,$A189,$A189)),_xll.BDH(config!$G$4,G$1,$A189,$A189),_xll.BDH(config!$G$5,G$1,$A189,$A189))))</f>
        <v>45.47</v>
      </c>
      <c r="H189" s="8">
        <f>IF($A189="","",IF(ISNUMBER(FIND("IMPVOL",H$1)),_xll.BDH(config!$G$4,H$1,WORKDAY($A189,-1,config_Holiday_Calendar_US),WORKDAY($A189,-1,config_Holiday_Calendar_US)),IF(ISNUMBER(_xll.BDH(config!$G$4,H$1,$A189,$A189)),_xll.BDH(config!$G$4,H$1,$A189,$A189),_xll.BDH(config!$G$5,H$1,$A189,$A189))))</f>
        <v>239732</v>
      </c>
      <c r="I189" s="8" t="str">
        <f>IF($A189="","",IF(ISNUMBER(FIND("IMPVOL",I$1)),_xll.BDH(config!$G$4,I$1,WORKDAY($A189,-1,config_Holiday_Calendar_US),WORKDAY($A189,-1,config_Holiday_Calendar_US)),IF(ISNUMBER(_xll.BDH(config!$G$4,I$1,$A189,$A189)),_xll.BDH(config!$G$4,I$1,$A189,$A189),_xll.BDH(config!$G$5,I$1,$A189,$A189))))</f>
        <v>#N/A Requesting Data...</v>
      </c>
      <c r="J189" s="8" t="str">
        <f>IF($A189="","",IF(ISNUMBER(FIND("IMPVOL",J$1)),_xll.BDH(config!$G$4,J$1,WORKDAY($A189,-1,config_Holiday_Calendar_US),WORKDAY($A189,-1,config_Holiday_Calendar_US)),IF(ISNUMBER(_xll.BDH(config!$G$4,J$1,$A189,$A189)),_xll.BDH(config!$G$4,J$1,$A189,$A189),_xll.BDH(config!$G$5,J$1,$A189,$A189))))</f>
        <v>#N/A Requesting Data...</v>
      </c>
      <c r="K189" s="8" t="str">
        <f>IF($A189="","",IF(ISNUMBER(FIND("IMPVOL",K$1)),_xll.BDH(config!$G$4,K$1,WORKDAY($A189,-1,config_Holiday_Calendar_US),WORKDAY($A189,-1,config_Holiday_Calendar_US)),IF(ISNUMBER(_xll.BDH(config!$G$4,K$1,$A189,$A189)),_xll.BDH(config!$G$4,K$1,$A189,$A189),_xll.BDH(config!$G$5,K$1,$A189,$A189))))</f>
        <v>#N/A Requesting Data...</v>
      </c>
      <c r="L189" s="8" t="str">
        <f>IF($A189="","",IF(ISNUMBER(FIND("IMPVOL",L$1)),_xll.BDH(config!$G$4,L$1,WORKDAY($A189,-1,config_Holiday_Calendar_US),WORKDAY($A189,-1,config_Holiday_Calendar_US)),IF(ISNUMBER(_xll.BDH(config!$G$4,L$1,$A189,$A189)),_xll.BDH(config!$G$4,L$1,$A189,$A189),_xll.BDH(config!$G$5,L$1,$A189,$A189))))</f>
        <v>#N/A Requesting Data...</v>
      </c>
      <c r="M189" s="8" t="str">
        <f>IF($A189="","",IF(ISNUMBER(FIND("IMPVOL",M$1)),_xll.BDH(config!$G$4,M$1,WORKDAY($A189,-1,config_Holiday_Calendar_US),WORKDAY($A189,-1,config_Holiday_Calendar_US)),IF(ISNUMBER(_xll.BDH(config!$G$4,M$1,$A189,$A189)),_xll.BDH(config!$G$4,M$1,$A189,$A189),_xll.BDH(config!$G$5,M$1,$A189,$A189))))</f>
        <v>#N/A Requesting Data...</v>
      </c>
      <c r="N189" s="8" t="str">
        <f>IF($A189="","",IF(ISNUMBER(FIND("IMPVOL",N$1)),_xll.BDH(config!$G$4,N$1,WORKDAY($A189,-1,config_Holiday_Calendar_US),WORKDAY($A189,-1,config_Holiday_Calendar_US)),IF(ISNUMBER(_xll.BDH(config!$G$4,N$1,$A189,$A189)),_xll.BDH(config!$G$4,N$1,$A189,$A189),_xll.BDH(config!$G$5,N$1,$A189,$A189))))</f>
        <v>#N/A Requesting Data...</v>
      </c>
      <c r="O189" s="8" t="str">
        <f>IF($A189="","",IF(ISNUMBER(FIND("IMPVOL",O$1)),_xll.BDH(config!$G$4,O$1,WORKDAY($A189,-1,config_Holiday_Calendar_US),WORKDAY($A189,-1,config_Holiday_Calendar_US)),IF(ISNUMBER(_xll.BDH(config!$G$4,O$1,$A189,$A189)),_xll.BDH(config!$G$4,O$1,$A189,$A189),_xll.BDH(config!$G$5,O$1,$A189,$A189))))</f>
        <v>#N/A Requesting Data...</v>
      </c>
      <c r="P189" s="8" t="str">
        <f>IF($A189="","",IF(ISNUMBER(FIND("IMPVOL",P$1)),_xll.BDH(config!$G$4,P$1,WORKDAY($A189,-1,config_Holiday_Calendar_US),WORKDAY($A189,-1,config_Holiday_Calendar_US)),IF(ISNUMBER(_xll.BDH(config!$G$4,P$1,$A189,$A189)),_xll.BDH(config!$G$4,P$1,$A189,$A189),_xll.BDH(config!$G$5,P$1,$A189,$A189))))</f>
        <v>#N/A Requesting Data...</v>
      </c>
      <c r="Q189" s="8">
        <f>IF($A189="","",IF(ISNUMBER(FIND("IMPVOL",Q$1)),_xll.BDH(config!$G$4,Q$1,WORKDAY($A189,-1,config_Holiday_Calendar_US),WORKDAY($A189,-1,config_Holiday_Calendar_US)),IF(ISNUMBER(_xll.BDH(config!$G$4,Q$1,$A189,$A189)),_xll.BDH(config!$G$4,Q$1,$A189,$A189),_xll.BDH(config!$G$5,Q$1,$A189,$A189))))</f>
        <v>55.47</v>
      </c>
      <c r="R189" s="8">
        <f>IF($A189="","",IF(ISNUMBER(FIND("IMPVOL",R$1)),_xll.BDH(config!$G$4,R$1,WORKDAY($A189,-1,config_Holiday_Calendar_US),WORKDAY($A189,-1,config_Holiday_Calendar_US)),IF(ISNUMBER(_xll.BDH(config!$G$4,R$1,$A189,$A189)),_xll.BDH(config!$G$4,R$1,$A189,$A189),_xll.BDH(config!$G$5,R$1,$A189,$A189))))</f>
        <v>41.32</v>
      </c>
      <c r="S189" s="8" t="str">
        <f>IF($A189="","",IF(ISNUMBER(FIND("IMPVOL",S$1)),_xll.BDH(config!$G$4,S$1,WORKDAY($A189,-1,config_Holiday_Calendar_US),WORKDAY($A189,-1,config_Holiday_Calendar_US)),IF(ISNUMBER(_xll.BDH(config!$G$4,S$1,$A189,$A189)),_xll.BDH(config!$G$4,S$1,$A189,$A189),_xll.BDH(config!$G$5,S$1,$A189,$A189))))</f>
        <v>#N/A Requesting Data...</v>
      </c>
      <c r="T189" s="8" t="str">
        <f>IF($A189="","",IF(ISNUMBER(FIND("IMPVOL",T$1)),_xll.BDH(config!$G$4,T$1,WORKDAY($A189,-1,config_Holiday_Calendar_US),WORKDAY($A189,-1,config_Holiday_Calendar_US)),IF(ISNUMBER(_xll.BDH(config!$G$4,T$1,$A189,$A189)),_xll.BDH(config!$G$4,T$1,$A189,$A189),_xll.BDH(config!$G$5,T$1,$A189,$A189))))</f>
        <v>#N/A Requesting Data...</v>
      </c>
      <c r="U189" s="8" t="str">
        <f>IF($A189="","",IF(ISNUMBER(FIND("IMPVOL",U$1)),_xll.BDH(config!$G$4,U$1,WORKDAY($A189,-1,config_Holiday_Calendar_US),WORKDAY($A189,-1,config_Holiday_Calendar_US)),IF(ISNUMBER(_xll.BDH(config!$G$4,U$1,$A189,$A189)),_xll.BDH(config!$G$4,U$1,$A189,$A189),_xll.BDH(config!$G$5,U$1,$A189,$A189))))</f>
        <v>#N/A Requesting Data...</v>
      </c>
      <c r="V189" s="8" t="str">
        <f>IF($A189="","",IF(ISNUMBER(FIND("IMPVOL",V$1)),_xll.BDH(config!$G$4,V$1,WORKDAY($A189,-1,config_Holiday_Calendar_US),WORKDAY($A189,-1,config_Holiday_Calendar_US)),IF(ISNUMBER(_xll.BDH(config!$G$4,V$1,$A189,$A189)),_xll.BDH(config!$G$4,V$1,$A189,$A189),_xll.BDH(config!$G$5,V$1,$A189,$A189))))</f>
        <v>#N/A Requesting Data...</v>
      </c>
      <c r="W189" s="8" t="str">
        <f>IF($A189="","",IF(ISNUMBER(FIND("IMPVOL",W$1)),_xll.BDH(config!$G$4,W$1,WORKDAY($A189,-1,config_Holiday_Calendar_US),WORKDAY($A189,-1,config_Holiday_Calendar_US)),IF(ISNUMBER(_xll.BDH(config!$G$4,W$1,$A189,$A189)),_xll.BDH(config!$G$4,W$1,$A189,$A189),_xll.BDH(config!$G$5,W$1,$A189,$A189))))</f>
        <v>#N/A Requesting Data...</v>
      </c>
    </row>
    <row r="190" spans="1:23" x14ac:dyDescent="0.2">
      <c r="A190" s="9">
        <f>IF(A189="","",IF(WORKDAY(A189,-1,config_Holiday_Calendar_US)&lt;config!$I$10,"",WORKDAY(A189,-1,config_Holiday_Calendar_US)))</f>
        <v>42558</v>
      </c>
      <c r="B190" s="8" t="e">
        <f t="shared" si="2"/>
        <v>#VALUE!</v>
      </c>
      <c r="C190" s="8" t="str">
        <f>IF(A190="","",_xll.BDH(config!$H$4,C$1,$A190,$A190))</f>
        <v>#N/A Requesting Data...</v>
      </c>
      <c r="D190" s="8" t="str">
        <f>IF($A190="","",_xll.BDH(config!$H$4,D$1,$A190,$A190))</f>
        <v>#N/A Requesting Data...</v>
      </c>
      <c r="E190" s="8">
        <f>IF($A190="","",IF(ISNUMBER(FIND("IMPVOL",E$1)),_xll.BDH(config!$G$4,E$1,WORKDAY($A190,-1,config_Holiday_Calendar_US),WORKDAY($A190,-1,config_Holiday_Calendar_US)),IF(ISNUMBER(_xll.BDH(config!$G$4,E$1,$A190,$A190)),_xll.BDH(config!$G$4,E$1,$A190,$A190),_xll.BDH(config!$G$5,E$1,$A190,$A190))))</f>
        <v>47.88</v>
      </c>
      <c r="F190" s="8">
        <f>IF($A190="","",IF(ISNUMBER(FIND("IMPVOL",F$1)),_xll.BDH(config!$G$4,F$1,WORKDAY($A190,-1,config_Holiday_Calendar_US),WORKDAY($A190,-1,config_Holiday_Calendar_US)),IF(ISNUMBER(_xll.BDH(config!$G$4,F$1,$A190,$A190)),_xll.BDH(config!$G$4,F$1,$A190,$A190),_xll.BDH(config!$G$5,F$1,$A190,$A190))))</f>
        <v>48.25</v>
      </c>
      <c r="G190" s="8">
        <f>IF($A190="","",IF(ISNUMBER(FIND("IMPVOL",G$1)),_xll.BDH(config!$G$4,G$1,WORKDAY($A190,-1,config_Holiday_Calendar_US),WORKDAY($A190,-1,config_Holiday_Calendar_US)),IF(ISNUMBER(_xll.BDH(config!$G$4,G$1,$A190,$A190)),_xll.BDH(config!$G$4,G$1,$A190,$A190),_xll.BDH(config!$G$5,G$1,$A190,$A190))))</f>
        <v>45.57</v>
      </c>
      <c r="H190" s="8">
        <f>IF($A190="","",IF(ISNUMBER(FIND("IMPVOL",H$1)),_xll.BDH(config!$G$4,H$1,WORKDAY($A190,-1,config_Holiday_Calendar_US),WORKDAY($A190,-1,config_Holiday_Calendar_US)),IF(ISNUMBER(_xll.BDH(config!$G$4,H$1,$A190,$A190)),_xll.BDH(config!$G$4,H$1,$A190,$A190),_xll.BDH(config!$G$5,H$1,$A190,$A190))))</f>
        <v>203360</v>
      </c>
      <c r="I190" s="8" t="str">
        <f>IF($A190="","",IF(ISNUMBER(FIND("IMPVOL",I$1)),_xll.BDH(config!$G$4,I$1,WORKDAY($A190,-1,config_Holiday_Calendar_US),WORKDAY($A190,-1,config_Holiday_Calendar_US)),IF(ISNUMBER(_xll.BDH(config!$G$4,I$1,$A190,$A190)),_xll.BDH(config!$G$4,I$1,$A190,$A190),_xll.BDH(config!$G$5,I$1,$A190,$A190))))</f>
        <v>#N/A Requesting Data...</v>
      </c>
      <c r="J190" s="8" t="str">
        <f>IF($A190="","",IF(ISNUMBER(FIND("IMPVOL",J$1)),_xll.BDH(config!$G$4,J$1,WORKDAY($A190,-1,config_Holiday_Calendar_US),WORKDAY($A190,-1,config_Holiday_Calendar_US)),IF(ISNUMBER(_xll.BDH(config!$G$4,J$1,$A190,$A190)),_xll.BDH(config!$G$4,J$1,$A190,$A190),_xll.BDH(config!$G$5,J$1,$A190,$A190))))</f>
        <v>#N/A Requesting Data...</v>
      </c>
      <c r="K190" s="8" t="str">
        <f>IF($A190="","",IF(ISNUMBER(FIND("IMPVOL",K$1)),_xll.BDH(config!$G$4,K$1,WORKDAY($A190,-1,config_Holiday_Calendar_US),WORKDAY($A190,-1,config_Holiday_Calendar_US)),IF(ISNUMBER(_xll.BDH(config!$G$4,K$1,$A190,$A190)),_xll.BDH(config!$G$4,K$1,$A190,$A190),_xll.BDH(config!$G$5,K$1,$A190,$A190))))</f>
        <v>#N/A Requesting Data...</v>
      </c>
      <c r="L190" s="8" t="str">
        <f>IF($A190="","",IF(ISNUMBER(FIND("IMPVOL",L$1)),_xll.BDH(config!$G$4,L$1,WORKDAY($A190,-1,config_Holiday_Calendar_US),WORKDAY($A190,-1,config_Holiday_Calendar_US)),IF(ISNUMBER(_xll.BDH(config!$G$4,L$1,$A190,$A190)),_xll.BDH(config!$G$4,L$1,$A190,$A190),_xll.BDH(config!$G$5,L$1,$A190,$A190))))</f>
        <v>#N/A Requesting Data...</v>
      </c>
      <c r="M190" s="8" t="str">
        <f>IF($A190="","",IF(ISNUMBER(FIND("IMPVOL",M$1)),_xll.BDH(config!$G$4,M$1,WORKDAY($A190,-1,config_Holiday_Calendar_US),WORKDAY($A190,-1,config_Holiday_Calendar_US)),IF(ISNUMBER(_xll.BDH(config!$G$4,M$1,$A190,$A190)),_xll.BDH(config!$G$4,M$1,$A190,$A190),_xll.BDH(config!$G$5,M$1,$A190,$A190))))</f>
        <v>#N/A Requesting Data...</v>
      </c>
      <c r="N190" s="8" t="str">
        <f>IF($A190="","",IF(ISNUMBER(FIND("IMPVOL",N$1)),_xll.BDH(config!$G$4,N$1,WORKDAY($A190,-1,config_Holiday_Calendar_US),WORKDAY($A190,-1,config_Holiday_Calendar_US)),IF(ISNUMBER(_xll.BDH(config!$G$4,N$1,$A190,$A190)),_xll.BDH(config!$G$4,N$1,$A190,$A190),_xll.BDH(config!$G$5,N$1,$A190,$A190))))</f>
        <v>#N/A Requesting Data...</v>
      </c>
      <c r="O190" s="8" t="str">
        <f>IF($A190="","",IF(ISNUMBER(FIND("IMPVOL",O$1)),_xll.BDH(config!$G$4,O$1,WORKDAY($A190,-1,config_Holiday_Calendar_US),WORKDAY($A190,-1,config_Holiday_Calendar_US)),IF(ISNUMBER(_xll.BDH(config!$G$4,O$1,$A190,$A190)),_xll.BDH(config!$G$4,O$1,$A190,$A190),_xll.BDH(config!$G$5,O$1,$A190,$A190))))</f>
        <v>#N/A Requesting Data...</v>
      </c>
      <c r="P190" s="8" t="str">
        <f>IF($A190="","",IF(ISNUMBER(FIND("IMPVOL",P$1)),_xll.BDH(config!$G$4,P$1,WORKDAY($A190,-1,config_Holiday_Calendar_US),WORKDAY($A190,-1,config_Holiday_Calendar_US)),IF(ISNUMBER(_xll.BDH(config!$G$4,P$1,$A190,$A190)),_xll.BDH(config!$G$4,P$1,$A190,$A190),_xll.BDH(config!$G$5,P$1,$A190,$A190))))</f>
        <v>#N/A Requesting Data...</v>
      </c>
      <c r="Q190" s="8">
        <f>IF($A190="","",IF(ISNUMBER(FIND("IMPVOL",Q$1)),_xll.BDH(config!$G$4,Q$1,WORKDAY($A190,-1,config_Holiday_Calendar_US),WORKDAY($A190,-1,config_Holiday_Calendar_US)),IF(ISNUMBER(_xll.BDH(config!$G$4,Q$1,$A190,$A190)),_xll.BDH(config!$G$4,Q$1,$A190,$A190),_xll.BDH(config!$G$5,Q$1,$A190,$A190))))</f>
        <v>59.69</v>
      </c>
      <c r="R190" s="8">
        <f>IF($A190="","",IF(ISNUMBER(FIND("IMPVOL",R$1)),_xll.BDH(config!$G$4,R$1,WORKDAY($A190,-1,config_Holiday_Calendar_US),WORKDAY($A190,-1,config_Holiday_Calendar_US)),IF(ISNUMBER(_xll.BDH(config!$G$4,R$1,$A190,$A190)),_xll.BDH(config!$G$4,R$1,$A190,$A190),_xll.BDH(config!$G$5,R$1,$A190,$A190))))</f>
        <v>41.23</v>
      </c>
      <c r="S190" s="8" t="str">
        <f>IF($A190="","",IF(ISNUMBER(FIND("IMPVOL",S$1)),_xll.BDH(config!$G$4,S$1,WORKDAY($A190,-1,config_Holiday_Calendar_US),WORKDAY($A190,-1,config_Holiday_Calendar_US)),IF(ISNUMBER(_xll.BDH(config!$G$4,S$1,$A190,$A190)),_xll.BDH(config!$G$4,S$1,$A190,$A190),_xll.BDH(config!$G$5,S$1,$A190,$A190))))</f>
        <v>#N/A Requesting Data...</v>
      </c>
      <c r="T190" s="8" t="str">
        <f>IF($A190="","",IF(ISNUMBER(FIND("IMPVOL",T$1)),_xll.BDH(config!$G$4,T$1,WORKDAY($A190,-1,config_Holiday_Calendar_US),WORKDAY($A190,-1,config_Holiday_Calendar_US)),IF(ISNUMBER(_xll.BDH(config!$G$4,T$1,$A190,$A190)),_xll.BDH(config!$G$4,T$1,$A190,$A190),_xll.BDH(config!$G$5,T$1,$A190,$A190))))</f>
        <v>#N/A Requesting Data...</v>
      </c>
      <c r="U190" s="8" t="str">
        <f>IF($A190="","",IF(ISNUMBER(FIND("IMPVOL",U$1)),_xll.BDH(config!$G$4,U$1,WORKDAY($A190,-1,config_Holiday_Calendar_US),WORKDAY($A190,-1,config_Holiday_Calendar_US)),IF(ISNUMBER(_xll.BDH(config!$G$4,U$1,$A190,$A190)),_xll.BDH(config!$G$4,U$1,$A190,$A190),_xll.BDH(config!$G$5,U$1,$A190,$A190))))</f>
        <v>#N/A Requesting Data...</v>
      </c>
      <c r="V190" s="8" t="str">
        <f>IF($A190="","",IF(ISNUMBER(FIND("IMPVOL",V$1)),_xll.BDH(config!$G$4,V$1,WORKDAY($A190,-1,config_Holiday_Calendar_US),WORKDAY($A190,-1,config_Holiday_Calendar_US)),IF(ISNUMBER(_xll.BDH(config!$G$4,V$1,$A190,$A190)),_xll.BDH(config!$G$4,V$1,$A190,$A190),_xll.BDH(config!$G$5,V$1,$A190,$A190))))</f>
        <v>#N/A Requesting Data...</v>
      </c>
      <c r="W190" s="8" t="str">
        <f>IF($A190="","",IF(ISNUMBER(FIND("IMPVOL",W$1)),_xll.BDH(config!$G$4,W$1,WORKDAY($A190,-1,config_Holiday_Calendar_US),WORKDAY($A190,-1,config_Holiday_Calendar_US)),IF(ISNUMBER(_xll.BDH(config!$G$4,W$1,$A190,$A190)),_xll.BDH(config!$G$4,W$1,$A190,$A190),_xll.BDH(config!$G$5,W$1,$A190,$A190))))</f>
        <v>#N/A Requesting Data...</v>
      </c>
    </row>
    <row r="191" spans="1:23" x14ac:dyDescent="0.2">
      <c r="A191" s="9">
        <f>IF(A190="","",IF(WORKDAY(A190,-1,config_Holiday_Calendar_US)&lt;config!$I$10,"",WORKDAY(A190,-1,config_Holiday_Calendar_US)))</f>
        <v>42557</v>
      </c>
      <c r="B191" s="8" t="e">
        <f t="shared" si="2"/>
        <v>#VALUE!</v>
      </c>
      <c r="C191" s="8" t="str">
        <f>IF(A191="","",_xll.BDH(config!$H$4,C$1,$A191,$A191))</f>
        <v>#N/A Requesting Data...</v>
      </c>
      <c r="D191" s="8" t="str">
        <f>IF($A191="","",_xll.BDH(config!$H$4,D$1,$A191,$A191))</f>
        <v>#N/A Requesting Data...</v>
      </c>
      <c r="E191" s="8">
        <f>IF($A191="","",IF(ISNUMBER(FIND("IMPVOL",E$1)),_xll.BDH(config!$G$4,E$1,WORKDAY($A191,-1,config_Holiday_Calendar_US),WORKDAY($A191,-1,config_Holiday_Calendar_US)),IF(ISNUMBER(_xll.BDH(config!$G$4,E$1,$A191,$A191)),_xll.BDH(config!$G$4,E$1,$A191,$A191),_xll.BDH(config!$G$5,E$1,$A191,$A191))))</f>
        <v>46.83</v>
      </c>
      <c r="F191" s="8">
        <f>IF($A191="","",IF(ISNUMBER(FIND("IMPVOL",F$1)),_xll.BDH(config!$G$4,F$1,WORKDAY($A191,-1,config_Holiday_Calendar_US),WORKDAY($A191,-1,config_Holiday_Calendar_US)),IF(ISNUMBER(_xll.BDH(config!$G$4,F$1,$A191,$A191)),_xll.BDH(config!$G$4,F$1,$A191,$A191),_xll.BDH(config!$G$5,F$1,$A191,$A191))))</f>
        <v>47.95</v>
      </c>
      <c r="G191" s="8">
        <f>IF($A191="","",IF(ISNUMBER(FIND("IMPVOL",G$1)),_xll.BDH(config!$G$4,G$1,WORKDAY($A191,-1,config_Holiday_Calendar_US),WORKDAY($A191,-1,config_Holiday_Calendar_US)),IF(ISNUMBER(_xll.BDH(config!$G$4,G$1,$A191,$A191)),_xll.BDH(config!$G$4,G$1,$A191,$A191),_xll.BDH(config!$G$5,G$1,$A191,$A191))))</f>
        <v>46.61</v>
      </c>
      <c r="H191" s="8">
        <f>IF($A191="","",IF(ISNUMBER(FIND("IMPVOL",H$1)),_xll.BDH(config!$G$4,H$1,WORKDAY($A191,-1,config_Holiday_Calendar_US),WORKDAY($A191,-1,config_Holiday_Calendar_US)),IF(ISNUMBER(_xll.BDH(config!$G$4,H$1,$A191,$A191)),_xll.BDH(config!$G$4,H$1,$A191,$A191),_xll.BDH(config!$G$5,H$1,$A191,$A191))))</f>
        <v>217435</v>
      </c>
      <c r="I191" s="8" t="str">
        <f>IF($A191="","",IF(ISNUMBER(FIND("IMPVOL",I$1)),_xll.BDH(config!$G$4,I$1,WORKDAY($A191,-1,config_Holiday_Calendar_US),WORKDAY($A191,-1,config_Holiday_Calendar_US)),IF(ISNUMBER(_xll.BDH(config!$G$4,I$1,$A191,$A191)),_xll.BDH(config!$G$4,I$1,$A191,$A191),_xll.BDH(config!$G$5,I$1,$A191,$A191))))</f>
        <v>#N/A Requesting Data...</v>
      </c>
      <c r="J191" s="8" t="str">
        <f>IF($A191="","",IF(ISNUMBER(FIND("IMPVOL",J$1)),_xll.BDH(config!$G$4,J$1,WORKDAY($A191,-1,config_Holiday_Calendar_US),WORKDAY($A191,-1,config_Holiday_Calendar_US)),IF(ISNUMBER(_xll.BDH(config!$G$4,J$1,$A191,$A191)),_xll.BDH(config!$G$4,J$1,$A191,$A191),_xll.BDH(config!$G$5,J$1,$A191,$A191))))</f>
        <v>#N/A Requesting Data...</v>
      </c>
      <c r="K191" s="8" t="str">
        <f>IF($A191="","",IF(ISNUMBER(FIND("IMPVOL",K$1)),_xll.BDH(config!$G$4,K$1,WORKDAY($A191,-1,config_Holiday_Calendar_US),WORKDAY($A191,-1,config_Holiday_Calendar_US)),IF(ISNUMBER(_xll.BDH(config!$G$4,K$1,$A191,$A191)),_xll.BDH(config!$G$4,K$1,$A191,$A191),_xll.BDH(config!$G$5,K$1,$A191,$A191))))</f>
        <v>#N/A Requesting Data...</v>
      </c>
      <c r="L191" s="8" t="str">
        <f>IF($A191="","",IF(ISNUMBER(FIND("IMPVOL",L$1)),_xll.BDH(config!$G$4,L$1,WORKDAY($A191,-1,config_Holiday_Calendar_US),WORKDAY($A191,-1,config_Holiday_Calendar_US)),IF(ISNUMBER(_xll.BDH(config!$G$4,L$1,$A191,$A191)),_xll.BDH(config!$G$4,L$1,$A191,$A191),_xll.BDH(config!$G$5,L$1,$A191,$A191))))</f>
        <v>#N/A Requesting Data...</v>
      </c>
      <c r="M191" s="8" t="str">
        <f>IF($A191="","",IF(ISNUMBER(FIND("IMPVOL",M$1)),_xll.BDH(config!$G$4,M$1,WORKDAY($A191,-1,config_Holiday_Calendar_US),WORKDAY($A191,-1,config_Holiday_Calendar_US)),IF(ISNUMBER(_xll.BDH(config!$G$4,M$1,$A191,$A191)),_xll.BDH(config!$G$4,M$1,$A191,$A191),_xll.BDH(config!$G$5,M$1,$A191,$A191))))</f>
        <v>#N/A Requesting Data...</v>
      </c>
      <c r="N191" s="8" t="str">
        <f>IF($A191="","",IF(ISNUMBER(FIND("IMPVOL",N$1)),_xll.BDH(config!$G$4,N$1,WORKDAY($A191,-1,config_Holiday_Calendar_US),WORKDAY($A191,-1,config_Holiday_Calendar_US)),IF(ISNUMBER(_xll.BDH(config!$G$4,N$1,$A191,$A191)),_xll.BDH(config!$G$4,N$1,$A191,$A191),_xll.BDH(config!$G$5,N$1,$A191,$A191))))</f>
        <v>#N/A Requesting Data...</v>
      </c>
      <c r="O191" s="8" t="str">
        <f>IF($A191="","",IF(ISNUMBER(FIND("IMPVOL",O$1)),_xll.BDH(config!$G$4,O$1,WORKDAY($A191,-1,config_Holiday_Calendar_US),WORKDAY($A191,-1,config_Holiday_Calendar_US)),IF(ISNUMBER(_xll.BDH(config!$G$4,O$1,$A191,$A191)),_xll.BDH(config!$G$4,O$1,$A191,$A191),_xll.BDH(config!$G$5,O$1,$A191,$A191))))</f>
        <v>#N/A Requesting Data...</v>
      </c>
      <c r="P191" s="8" t="str">
        <f>IF($A191="","",IF(ISNUMBER(FIND("IMPVOL",P$1)),_xll.BDH(config!$G$4,P$1,WORKDAY($A191,-1,config_Holiday_Calendar_US),WORKDAY($A191,-1,config_Holiday_Calendar_US)),IF(ISNUMBER(_xll.BDH(config!$G$4,P$1,$A191,$A191)),_xll.BDH(config!$G$4,P$1,$A191,$A191),_xll.BDH(config!$G$5,P$1,$A191,$A191))))</f>
        <v>#N/A Requesting Data...</v>
      </c>
      <c r="Q191" s="8">
        <f>IF($A191="","",IF(ISNUMBER(FIND("IMPVOL",Q$1)),_xll.BDH(config!$G$4,Q$1,WORKDAY($A191,-1,config_Holiday_Calendar_US),WORKDAY($A191,-1,config_Holiday_Calendar_US)),IF(ISNUMBER(_xll.BDH(config!$G$4,Q$1,$A191,$A191)),_xll.BDH(config!$G$4,Q$1,$A191,$A191),_xll.BDH(config!$G$5,Q$1,$A191,$A191))))</f>
        <v>56.94</v>
      </c>
      <c r="R191" s="8">
        <f>IF($A191="","",IF(ISNUMBER(FIND("IMPVOL",R$1)),_xll.BDH(config!$G$4,R$1,WORKDAY($A191,-1,config_Holiday_Calendar_US),WORKDAY($A191,-1,config_Holiday_Calendar_US)),IF(ISNUMBER(_xll.BDH(config!$G$4,R$1,$A191,$A191)),_xll.BDH(config!$G$4,R$1,$A191,$A191),_xll.BDH(config!$G$5,R$1,$A191,$A191))))</f>
        <v>39.119999999999997</v>
      </c>
      <c r="S191" s="8" t="str">
        <f>IF($A191="","",IF(ISNUMBER(FIND("IMPVOL",S$1)),_xll.BDH(config!$G$4,S$1,WORKDAY($A191,-1,config_Holiday_Calendar_US),WORKDAY($A191,-1,config_Holiday_Calendar_US)),IF(ISNUMBER(_xll.BDH(config!$G$4,S$1,$A191,$A191)),_xll.BDH(config!$G$4,S$1,$A191,$A191),_xll.BDH(config!$G$5,S$1,$A191,$A191))))</f>
        <v>#N/A Requesting Data...</v>
      </c>
      <c r="T191" s="8" t="str">
        <f>IF($A191="","",IF(ISNUMBER(FIND("IMPVOL",T$1)),_xll.BDH(config!$G$4,T$1,WORKDAY($A191,-1,config_Holiday_Calendar_US),WORKDAY($A191,-1,config_Holiday_Calendar_US)),IF(ISNUMBER(_xll.BDH(config!$G$4,T$1,$A191,$A191)),_xll.BDH(config!$G$4,T$1,$A191,$A191),_xll.BDH(config!$G$5,T$1,$A191,$A191))))</f>
        <v>#N/A Requesting Data...</v>
      </c>
      <c r="U191" s="8" t="str">
        <f>IF($A191="","",IF(ISNUMBER(FIND("IMPVOL",U$1)),_xll.BDH(config!$G$4,U$1,WORKDAY($A191,-1,config_Holiday_Calendar_US),WORKDAY($A191,-1,config_Holiday_Calendar_US)),IF(ISNUMBER(_xll.BDH(config!$G$4,U$1,$A191,$A191)),_xll.BDH(config!$G$4,U$1,$A191,$A191),_xll.BDH(config!$G$5,U$1,$A191,$A191))))</f>
        <v>#N/A Requesting Data...</v>
      </c>
      <c r="V191" s="8" t="str">
        <f>IF($A191="","",IF(ISNUMBER(FIND("IMPVOL",V$1)),_xll.BDH(config!$G$4,V$1,WORKDAY($A191,-1,config_Holiday_Calendar_US),WORKDAY($A191,-1,config_Holiday_Calendar_US)),IF(ISNUMBER(_xll.BDH(config!$G$4,V$1,$A191,$A191)),_xll.BDH(config!$G$4,V$1,$A191,$A191),_xll.BDH(config!$G$5,V$1,$A191,$A191))))</f>
        <v>#N/A Requesting Data...</v>
      </c>
      <c r="W191" s="8" t="str">
        <f>IF($A191="","",IF(ISNUMBER(FIND("IMPVOL",W$1)),_xll.BDH(config!$G$4,W$1,WORKDAY($A191,-1,config_Holiday_Calendar_US),WORKDAY($A191,-1,config_Holiday_Calendar_US)),IF(ISNUMBER(_xll.BDH(config!$G$4,W$1,$A191,$A191)),_xll.BDH(config!$G$4,W$1,$A191,$A191),_xll.BDH(config!$G$5,W$1,$A191,$A191))))</f>
        <v>#N/A Requesting Data...</v>
      </c>
    </row>
    <row r="192" spans="1:23" x14ac:dyDescent="0.2">
      <c r="A192" s="9">
        <f>IF(A191="","",IF(WORKDAY(A191,-1,config_Holiday_Calendar_US)&lt;config!$I$10,"",WORKDAY(A191,-1,config_Holiday_Calendar_US)))</f>
        <v>42556</v>
      </c>
      <c r="B192" s="8" t="e">
        <f t="shared" si="2"/>
        <v>#VALUE!</v>
      </c>
      <c r="C192" s="8" t="str">
        <f>IF(A192="","",_xll.BDH(config!$H$4,C$1,$A192,$A192))</f>
        <v>#N/A Requesting Data...</v>
      </c>
      <c r="D192" s="8" t="str">
        <f>IF($A192="","",_xll.BDH(config!$H$4,D$1,$A192,$A192))</f>
        <v>#N/A Requesting Data...</v>
      </c>
      <c r="E192" s="8">
        <f>IF($A192="","",IF(ISNUMBER(FIND("IMPVOL",E$1)),_xll.BDH(config!$G$4,E$1,WORKDAY($A192,-1,config_Holiday_Calendar_US),WORKDAY($A192,-1,config_Holiday_Calendar_US)),IF(ISNUMBER(_xll.BDH(config!$G$4,E$1,$A192,$A192)),_xll.BDH(config!$G$4,E$1,$A192,$A192),_xll.BDH(config!$G$5,E$1,$A192,$A192))))</f>
        <v>49.11</v>
      </c>
      <c r="F192" s="8">
        <f>IF($A192="","",IF(ISNUMBER(FIND("IMPVOL",F$1)),_xll.BDH(config!$G$4,F$1,WORKDAY($A192,-1,config_Holiday_Calendar_US),WORKDAY($A192,-1,config_Holiday_Calendar_US)),IF(ISNUMBER(_xll.BDH(config!$G$4,F$1,$A192,$A192)),_xll.BDH(config!$G$4,F$1,$A192,$A192),_xll.BDH(config!$G$5,F$1,$A192,$A192))))</f>
        <v>49.35</v>
      </c>
      <c r="G192" s="8">
        <f>IF($A192="","",IF(ISNUMBER(FIND("IMPVOL",G$1)),_xll.BDH(config!$G$4,G$1,WORKDAY($A192,-1,config_Holiday_Calendar_US),WORKDAY($A192,-1,config_Holiday_Calendar_US)),IF(ISNUMBER(_xll.BDH(config!$G$4,G$1,$A192,$A192)),_xll.BDH(config!$G$4,G$1,$A192,$A192),_xll.BDH(config!$G$5,G$1,$A192,$A192))))</f>
        <v>47</v>
      </c>
      <c r="H192" s="8">
        <f>IF($A192="","",IF(ISNUMBER(FIND("IMPVOL",H$1)),_xll.BDH(config!$G$4,H$1,WORKDAY($A192,-1,config_Holiday_Calendar_US),WORKDAY($A192,-1,config_Holiday_Calendar_US)),IF(ISNUMBER(_xll.BDH(config!$G$4,H$1,$A192,$A192)),_xll.BDH(config!$G$4,H$1,$A192,$A192),_xll.BDH(config!$G$5,H$1,$A192,$A192))))</f>
        <v>165256</v>
      </c>
      <c r="I192" s="8" t="str">
        <f>IF($A192="","",IF(ISNUMBER(FIND("IMPVOL",I$1)),_xll.BDH(config!$G$4,I$1,WORKDAY($A192,-1,config_Holiday_Calendar_US),WORKDAY($A192,-1,config_Holiday_Calendar_US)),IF(ISNUMBER(_xll.BDH(config!$G$4,I$1,$A192,$A192)),_xll.BDH(config!$G$4,I$1,$A192,$A192),_xll.BDH(config!$G$5,I$1,$A192,$A192))))</f>
        <v>#N/A Requesting Data...</v>
      </c>
      <c r="J192" s="8" t="str">
        <f>IF($A192="","",IF(ISNUMBER(FIND("IMPVOL",J$1)),_xll.BDH(config!$G$4,J$1,WORKDAY($A192,-1,config_Holiday_Calendar_US),WORKDAY($A192,-1,config_Holiday_Calendar_US)),IF(ISNUMBER(_xll.BDH(config!$G$4,J$1,$A192,$A192)),_xll.BDH(config!$G$4,J$1,$A192,$A192),_xll.BDH(config!$G$5,J$1,$A192,$A192))))</f>
        <v>#N/A Requesting Data...</v>
      </c>
      <c r="K192" s="8" t="str">
        <f>IF($A192="","",IF(ISNUMBER(FIND("IMPVOL",K$1)),_xll.BDH(config!$G$4,K$1,WORKDAY($A192,-1,config_Holiday_Calendar_US),WORKDAY($A192,-1,config_Holiday_Calendar_US)),IF(ISNUMBER(_xll.BDH(config!$G$4,K$1,$A192,$A192)),_xll.BDH(config!$G$4,K$1,$A192,$A192),_xll.BDH(config!$G$5,K$1,$A192,$A192))))</f>
        <v>#N/A Requesting Data...</v>
      </c>
      <c r="L192" s="8" t="str">
        <f>IF($A192="","",IF(ISNUMBER(FIND("IMPVOL",L$1)),_xll.BDH(config!$G$4,L$1,WORKDAY($A192,-1,config_Holiday_Calendar_US),WORKDAY($A192,-1,config_Holiday_Calendar_US)),IF(ISNUMBER(_xll.BDH(config!$G$4,L$1,$A192,$A192)),_xll.BDH(config!$G$4,L$1,$A192,$A192),_xll.BDH(config!$G$5,L$1,$A192,$A192))))</f>
        <v>#N/A Requesting Data...</v>
      </c>
      <c r="M192" s="8" t="str">
        <f>IF($A192="","",IF(ISNUMBER(FIND("IMPVOL",M$1)),_xll.BDH(config!$G$4,M$1,WORKDAY($A192,-1,config_Holiday_Calendar_US),WORKDAY($A192,-1,config_Holiday_Calendar_US)),IF(ISNUMBER(_xll.BDH(config!$G$4,M$1,$A192,$A192)),_xll.BDH(config!$G$4,M$1,$A192,$A192),_xll.BDH(config!$G$5,M$1,$A192,$A192))))</f>
        <v>#N/A Requesting Data...</v>
      </c>
      <c r="N192" s="8" t="str">
        <f>IF($A192="","",IF(ISNUMBER(FIND("IMPVOL",N$1)),_xll.BDH(config!$G$4,N$1,WORKDAY($A192,-1,config_Holiday_Calendar_US),WORKDAY($A192,-1,config_Holiday_Calendar_US)),IF(ISNUMBER(_xll.BDH(config!$G$4,N$1,$A192,$A192)),_xll.BDH(config!$G$4,N$1,$A192,$A192),_xll.BDH(config!$G$5,N$1,$A192,$A192))))</f>
        <v>#N/A Requesting Data...</v>
      </c>
      <c r="O192" s="8" t="str">
        <f>IF($A192="","",IF(ISNUMBER(FIND("IMPVOL",O$1)),_xll.BDH(config!$G$4,O$1,WORKDAY($A192,-1,config_Holiday_Calendar_US),WORKDAY($A192,-1,config_Holiday_Calendar_US)),IF(ISNUMBER(_xll.BDH(config!$G$4,O$1,$A192,$A192)),_xll.BDH(config!$G$4,O$1,$A192,$A192),_xll.BDH(config!$G$5,O$1,$A192,$A192))))</f>
        <v>#N/A Requesting Data...</v>
      </c>
      <c r="P192" s="8" t="str">
        <f>IF($A192="","",IF(ISNUMBER(FIND("IMPVOL",P$1)),_xll.BDH(config!$G$4,P$1,WORKDAY($A192,-1,config_Holiday_Calendar_US),WORKDAY($A192,-1,config_Holiday_Calendar_US)),IF(ISNUMBER(_xll.BDH(config!$G$4,P$1,$A192,$A192)),_xll.BDH(config!$G$4,P$1,$A192,$A192),_xll.BDH(config!$G$5,P$1,$A192,$A192))))</f>
        <v>#N/A Requesting Data...</v>
      </c>
      <c r="Q192" s="8">
        <f>IF($A192="","",IF(ISNUMBER(FIND("IMPVOL",Q$1)),_xll.BDH(config!$G$4,Q$1,WORKDAY($A192,-1,config_Holiday_Calendar_US),WORKDAY($A192,-1,config_Holiday_Calendar_US)),IF(ISNUMBER(_xll.BDH(config!$G$4,Q$1,$A192,$A192)),_xll.BDH(config!$G$4,Q$1,$A192,$A192),_xll.BDH(config!$G$5,Q$1,$A192,$A192))))</f>
        <v>55.5</v>
      </c>
      <c r="R192" s="8">
        <f>IF($A192="","",IF(ISNUMBER(FIND("IMPVOL",R$1)),_xll.BDH(config!$G$4,R$1,WORKDAY($A192,-1,config_Holiday_Calendar_US),WORKDAY($A192,-1,config_Holiday_Calendar_US)),IF(ISNUMBER(_xll.BDH(config!$G$4,R$1,$A192,$A192)),_xll.BDH(config!$G$4,R$1,$A192,$A192),_xll.BDH(config!$G$5,R$1,$A192,$A192))))</f>
        <v>38.85</v>
      </c>
      <c r="S192" s="8" t="str">
        <f>IF($A192="","",IF(ISNUMBER(FIND("IMPVOL",S$1)),_xll.BDH(config!$G$4,S$1,WORKDAY($A192,-1,config_Holiday_Calendar_US),WORKDAY($A192,-1,config_Holiday_Calendar_US)),IF(ISNUMBER(_xll.BDH(config!$G$4,S$1,$A192,$A192)),_xll.BDH(config!$G$4,S$1,$A192,$A192),_xll.BDH(config!$G$5,S$1,$A192,$A192))))</f>
        <v>#N/A Requesting Data...</v>
      </c>
      <c r="T192" s="8" t="str">
        <f>IF($A192="","",IF(ISNUMBER(FIND("IMPVOL",T$1)),_xll.BDH(config!$G$4,T$1,WORKDAY($A192,-1,config_Holiday_Calendar_US),WORKDAY($A192,-1,config_Holiday_Calendar_US)),IF(ISNUMBER(_xll.BDH(config!$G$4,T$1,$A192,$A192)),_xll.BDH(config!$G$4,T$1,$A192,$A192),_xll.BDH(config!$G$5,T$1,$A192,$A192))))</f>
        <v>#N/A Requesting Data...</v>
      </c>
      <c r="U192" s="8" t="str">
        <f>IF($A192="","",IF(ISNUMBER(FIND("IMPVOL",U$1)),_xll.BDH(config!$G$4,U$1,WORKDAY($A192,-1,config_Holiday_Calendar_US),WORKDAY($A192,-1,config_Holiday_Calendar_US)),IF(ISNUMBER(_xll.BDH(config!$G$4,U$1,$A192,$A192)),_xll.BDH(config!$G$4,U$1,$A192,$A192),_xll.BDH(config!$G$5,U$1,$A192,$A192))))</f>
        <v>#N/A Requesting Data...</v>
      </c>
      <c r="V192" s="8" t="str">
        <f>IF($A192="","",IF(ISNUMBER(FIND("IMPVOL",V$1)),_xll.BDH(config!$G$4,V$1,WORKDAY($A192,-1,config_Holiday_Calendar_US),WORKDAY($A192,-1,config_Holiday_Calendar_US)),IF(ISNUMBER(_xll.BDH(config!$G$4,V$1,$A192,$A192)),_xll.BDH(config!$G$4,V$1,$A192,$A192),_xll.BDH(config!$G$5,V$1,$A192,$A192))))</f>
        <v>#N/A Requesting Data...</v>
      </c>
      <c r="W192" s="8" t="str">
        <f>IF($A192="","",IF(ISNUMBER(FIND("IMPVOL",W$1)),_xll.BDH(config!$G$4,W$1,WORKDAY($A192,-1,config_Holiday_Calendar_US),WORKDAY($A192,-1,config_Holiday_Calendar_US)),IF(ISNUMBER(_xll.BDH(config!$G$4,W$1,$A192,$A192)),_xll.BDH(config!$G$4,W$1,$A192,$A192),_xll.BDH(config!$G$5,W$1,$A192,$A192))))</f>
        <v>#N/A Requesting Data...</v>
      </c>
    </row>
    <row r="193" spans="1:23" x14ac:dyDescent="0.2">
      <c r="A193" s="9">
        <f>IF(A192="","",IF(WORKDAY(A192,-1,config_Holiday_Calendar_US)&lt;config!$I$10,"",WORKDAY(A192,-1,config_Holiday_Calendar_US)))</f>
        <v>42552</v>
      </c>
      <c r="B193" s="8" t="e">
        <f t="shared" si="2"/>
        <v>#VALUE!</v>
      </c>
      <c r="C193" s="8" t="str">
        <f>IF(A193="","",_xll.BDH(config!$H$4,C$1,$A193,$A193))</f>
        <v>#N/A Requesting Data...</v>
      </c>
      <c r="D193" s="8" t="str">
        <f>IF($A193="","",_xll.BDH(config!$H$4,D$1,$A193,$A193))</f>
        <v>#N/A Requesting Data...</v>
      </c>
      <c r="E193" s="8">
        <f>IF($A193="","",IF(ISNUMBER(FIND("IMPVOL",E$1)),_xll.BDH(config!$G$4,E$1,WORKDAY($A193,-1,config_Holiday_Calendar_US),WORKDAY($A193,-1,config_Holiday_Calendar_US)),IF(ISNUMBER(_xll.BDH(config!$G$4,E$1,$A193,$A193)),_xll.BDH(config!$G$4,E$1,$A193,$A193),_xll.BDH(config!$G$5,E$1,$A193,$A193))))</f>
        <v>48.38</v>
      </c>
      <c r="F193" s="8">
        <f>IF($A193="","",IF(ISNUMBER(FIND("IMPVOL",F$1)),_xll.BDH(config!$G$4,F$1,WORKDAY($A193,-1,config_Holiday_Calendar_US),WORKDAY($A193,-1,config_Holiday_Calendar_US)),IF(ISNUMBER(_xll.BDH(config!$G$4,F$1,$A193,$A193)),_xll.BDH(config!$G$4,F$1,$A193,$A193),_xll.BDH(config!$G$5,F$1,$A193,$A193))))</f>
        <v>49.3</v>
      </c>
      <c r="G193" s="8">
        <f>IF($A193="","",IF(ISNUMBER(FIND("IMPVOL",G$1)),_xll.BDH(config!$G$4,G$1,WORKDAY($A193,-1,config_Holiday_Calendar_US),WORKDAY($A193,-1,config_Holiday_Calendar_US)),IF(ISNUMBER(_xll.BDH(config!$G$4,G$1,$A193,$A193)),_xll.BDH(config!$G$4,G$1,$A193,$A193),_xll.BDH(config!$G$5,G$1,$A193,$A193))))</f>
        <v>48.58</v>
      </c>
      <c r="H193" s="8">
        <f>IF($A193="","",IF(ISNUMBER(FIND("IMPVOL",H$1)),_xll.BDH(config!$G$4,H$1,WORKDAY($A193,-1,config_Holiday_Calendar_US),WORKDAY($A193,-1,config_Holiday_Calendar_US)),IF(ISNUMBER(_xll.BDH(config!$G$4,H$1,$A193,$A193)),_xll.BDH(config!$G$4,H$1,$A193,$A193),_xll.BDH(config!$G$5,H$1,$A193,$A193))))</f>
        <v>109655</v>
      </c>
      <c r="I193" s="8" t="str">
        <f>IF($A193="","",IF(ISNUMBER(FIND("IMPVOL",I$1)),_xll.BDH(config!$G$4,I$1,WORKDAY($A193,-1,config_Holiday_Calendar_US),WORKDAY($A193,-1,config_Holiday_Calendar_US)),IF(ISNUMBER(_xll.BDH(config!$G$4,I$1,$A193,$A193)),_xll.BDH(config!$G$4,I$1,$A193,$A193),_xll.BDH(config!$G$5,I$1,$A193,$A193))))</f>
        <v>#N/A Requesting Data...</v>
      </c>
      <c r="J193" s="8" t="str">
        <f>IF($A193="","",IF(ISNUMBER(FIND("IMPVOL",J$1)),_xll.BDH(config!$G$4,J$1,WORKDAY($A193,-1,config_Holiday_Calendar_US),WORKDAY($A193,-1,config_Holiday_Calendar_US)),IF(ISNUMBER(_xll.BDH(config!$G$4,J$1,$A193,$A193)),_xll.BDH(config!$G$4,J$1,$A193,$A193),_xll.BDH(config!$G$5,J$1,$A193,$A193))))</f>
        <v>#N/A Requesting Data...</v>
      </c>
      <c r="K193" s="8" t="str">
        <f>IF($A193="","",IF(ISNUMBER(FIND("IMPVOL",K$1)),_xll.BDH(config!$G$4,K$1,WORKDAY($A193,-1,config_Holiday_Calendar_US),WORKDAY($A193,-1,config_Holiday_Calendar_US)),IF(ISNUMBER(_xll.BDH(config!$G$4,K$1,$A193,$A193)),_xll.BDH(config!$G$4,K$1,$A193,$A193),_xll.BDH(config!$G$5,K$1,$A193,$A193))))</f>
        <v>#N/A Requesting Data...</v>
      </c>
      <c r="L193" s="8" t="str">
        <f>IF($A193="","",IF(ISNUMBER(FIND("IMPVOL",L$1)),_xll.BDH(config!$G$4,L$1,WORKDAY($A193,-1,config_Holiday_Calendar_US),WORKDAY($A193,-1,config_Holiday_Calendar_US)),IF(ISNUMBER(_xll.BDH(config!$G$4,L$1,$A193,$A193)),_xll.BDH(config!$G$4,L$1,$A193,$A193),_xll.BDH(config!$G$5,L$1,$A193,$A193))))</f>
        <v>#N/A Requesting Data...</v>
      </c>
      <c r="M193" s="8" t="str">
        <f>IF($A193="","",IF(ISNUMBER(FIND("IMPVOL",M$1)),_xll.BDH(config!$G$4,M$1,WORKDAY($A193,-1,config_Holiday_Calendar_US),WORKDAY($A193,-1,config_Holiday_Calendar_US)),IF(ISNUMBER(_xll.BDH(config!$G$4,M$1,$A193,$A193)),_xll.BDH(config!$G$4,M$1,$A193,$A193),_xll.BDH(config!$G$5,M$1,$A193,$A193))))</f>
        <v>#N/A Requesting Data...</v>
      </c>
      <c r="N193" s="8" t="str">
        <f>IF($A193="","",IF(ISNUMBER(FIND("IMPVOL",N$1)),_xll.BDH(config!$G$4,N$1,WORKDAY($A193,-1,config_Holiday_Calendar_US),WORKDAY($A193,-1,config_Holiday_Calendar_US)),IF(ISNUMBER(_xll.BDH(config!$G$4,N$1,$A193,$A193)),_xll.BDH(config!$G$4,N$1,$A193,$A193),_xll.BDH(config!$G$5,N$1,$A193,$A193))))</f>
        <v>#N/A Requesting Data...</v>
      </c>
      <c r="O193" s="8" t="str">
        <f>IF($A193="","",IF(ISNUMBER(FIND("IMPVOL",O$1)),_xll.BDH(config!$G$4,O$1,WORKDAY($A193,-1,config_Holiday_Calendar_US),WORKDAY($A193,-1,config_Holiday_Calendar_US)),IF(ISNUMBER(_xll.BDH(config!$G$4,O$1,$A193,$A193)),_xll.BDH(config!$G$4,O$1,$A193,$A193),_xll.BDH(config!$G$5,O$1,$A193,$A193))))</f>
        <v>#N/A Requesting Data...</v>
      </c>
      <c r="P193" s="8" t="str">
        <f>IF($A193="","",IF(ISNUMBER(FIND("IMPVOL",P$1)),_xll.BDH(config!$G$4,P$1,WORKDAY($A193,-1,config_Holiday_Calendar_US),WORKDAY($A193,-1,config_Holiday_Calendar_US)),IF(ISNUMBER(_xll.BDH(config!$G$4,P$1,$A193,$A193)),_xll.BDH(config!$G$4,P$1,$A193,$A193),_xll.BDH(config!$G$5,P$1,$A193,$A193))))</f>
        <v>#N/A Requesting Data...</v>
      </c>
      <c r="Q193" s="8">
        <f>IF($A193="","",IF(ISNUMBER(FIND("IMPVOL",Q$1)),_xll.BDH(config!$G$4,Q$1,WORKDAY($A193,-1,config_Holiday_Calendar_US),WORKDAY($A193,-1,config_Holiday_Calendar_US)),IF(ISNUMBER(_xll.BDH(config!$G$4,Q$1,$A193,$A193)),_xll.BDH(config!$G$4,Q$1,$A193,$A193),_xll.BDH(config!$G$5,Q$1,$A193,$A193))))</f>
        <v>49.09</v>
      </c>
      <c r="R193" s="8">
        <f>IF($A193="","",IF(ISNUMBER(FIND("IMPVOL",R$1)),_xll.BDH(config!$G$4,R$1,WORKDAY($A193,-1,config_Holiday_Calendar_US),WORKDAY($A193,-1,config_Holiday_Calendar_US)),IF(ISNUMBER(_xll.BDH(config!$G$4,R$1,$A193,$A193)),_xll.BDH(config!$G$4,R$1,$A193,$A193),_xll.BDH(config!$G$5,R$1,$A193,$A193))))</f>
        <v>35.92</v>
      </c>
      <c r="S193" s="8" t="str">
        <f>IF($A193="","",IF(ISNUMBER(FIND("IMPVOL",S$1)),_xll.BDH(config!$G$4,S$1,WORKDAY($A193,-1,config_Holiday_Calendar_US),WORKDAY($A193,-1,config_Holiday_Calendar_US)),IF(ISNUMBER(_xll.BDH(config!$G$4,S$1,$A193,$A193)),_xll.BDH(config!$G$4,S$1,$A193,$A193),_xll.BDH(config!$G$5,S$1,$A193,$A193))))</f>
        <v>#N/A Requesting Data...</v>
      </c>
      <c r="T193" s="8" t="str">
        <f>IF($A193="","",IF(ISNUMBER(FIND("IMPVOL",T$1)),_xll.BDH(config!$G$4,T$1,WORKDAY($A193,-1,config_Holiday_Calendar_US),WORKDAY($A193,-1,config_Holiday_Calendar_US)),IF(ISNUMBER(_xll.BDH(config!$G$4,T$1,$A193,$A193)),_xll.BDH(config!$G$4,T$1,$A193,$A193),_xll.BDH(config!$G$5,T$1,$A193,$A193))))</f>
        <v>#N/A Requesting Data...</v>
      </c>
      <c r="U193" s="8" t="str">
        <f>IF($A193="","",IF(ISNUMBER(FIND("IMPVOL",U$1)),_xll.BDH(config!$G$4,U$1,WORKDAY($A193,-1,config_Holiday_Calendar_US),WORKDAY($A193,-1,config_Holiday_Calendar_US)),IF(ISNUMBER(_xll.BDH(config!$G$4,U$1,$A193,$A193)),_xll.BDH(config!$G$4,U$1,$A193,$A193),_xll.BDH(config!$G$5,U$1,$A193,$A193))))</f>
        <v>#N/A Requesting Data...</v>
      </c>
      <c r="V193" s="8" t="str">
        <f>IF($A193="","",IF(ISNUMBER(FIND("IMPVOL",V$1)),_xll.BDH(config!$G$4,V$1,WORKDAY($A193,-1,config_Holiday_Calendar_US),WORKDAY($A193,-1,config_Holiday_Calendar_US)),IF(ISNUMBER(_xll.BDH(config!$G$4,V$1,$A193,$A193)),_xll.BDH(config!$G$4,V$1,$A193,$A193),_xll.BDH(config!$G$5,V$1,$A193,$A193))))</f>
        <v>#N/A Requesting Data...</v>
      </c>
      <c r="W193" s="8" t="str">
        <f>IF($A193="","",IF(ISNUMBER(FIND("IMPVOL",W$1)),_xll.BDH(config!$G$4,W$1,WORKDAY($A193,-1,config_Holiday_Calendar_US),WORKDAY($A193,-1,config_Holiday_Calendar_US)),IF(ISNUMBER(_xll.BDH(config!$G$4,W$1,$A193,$A193)),_xll.BDH(config!$G$4,W$1,$A193,$A193),_xll.BDH(config!$G$5,W$1,$A193,$A193))))</f>
        <v>#N/A Requesting Data...</v>
      </c>
    </row>
    <row r="194" spans="1:23" x14ac:dyDescent="0.2">
      <c r="A194" s="9">
        <f>IF(A193="","",IF(WORKDAY(A193,-1,config_Holiday_Calendar_US)&lt;config!$I$10,"",WORKDAY(A193,-1,config_Holiday_Calendar_US)))</f>
        <v>42551</v>
      </c>
      <c r="B194" s="8" t="e">
        <f t="shared" si="2"/>
        <v>#VALUE!</v>
      </c>
      <c r="C194" s="8" t="str">
        <f>IF(A194="","",_xll.BDH(config!$H$4,C$1,$A194,$A194))</f>
        <v>#N/A Requesting Data...</v>
      </c>
      <c r="D194" s="8" t="str">
        <f>IF($A194="","",_xll.BDH(config!$H$4,D$1,$A194,$A194))</f>
        <v>#N/A Requesting Data...</v>
      </c>
      <c r="E194" s="8">
        <f>IF($A194="","",IF(ISNUMBER(FIND("IMPVOL",E$1)),_xll.BDH(config!$G$4,E$1,WORKDAY($A194,-1,config_Holiday_Calendar_US),WORKDAY($A194,-1,config_Holiday_Calendar_US)),IF(ISNUMBER(_xll.BDH(config!$G$4,E$1,$A194,$A194)),_xll.BDH(config!$G$4,E$1,$A194,$A194),_xll.BDH(config!$G$5,E$1,$A194,$A194))))</f>
        <v>49.55</v>
      </c>
      <c r="F194" s="8">
        <f>IF($A194="","",IF(ISNUMBER(FIND("IMPVOL",F$1)),_xll.BDH(config!$G$4,F$1,WORKDAY($A194,-1,config_Holiday_Calendar_US),WORKDAY($A194,-1,config_Holiday_Calendar_US)),IF(ISNUMBER(_xll.BDH(config!$G$4,F$1,$A194,$A194)),_xll.BDH(config!$G$4,F$1,$A194,$A194),_xll.BDH(config!$G$5,F$1,$A194,$A194))))</f>
        <v>49.62</v>
      </c>
      <c r="G194" s="8">
        <f>IF($A194="","",IF(ISNUMBER(FIND("IMPVOL",G$1)),_xll.BDH(config!$G$4,G$1,WORKDAY($A194,-1,config_Holiday_Calendar_US),WORKDAY($A194,-1,config_Holiday_Calendar_US)),IF(ISNUMBER(_xll.BDH(config!$G$4,G$1,$A194,$A194)),_xll.BDH(config!$G$4,G$1,$A194,$A194),_xll.BDH(config!$G$5,G$1,$A194,$A194))))</f>
        <v>48.85</v>
      </c>
      <c r="H194" s="8">
        <f>IF($A194="","",IF(ISNUMBER(FIND("IMPVOL",H$1)),_xll.BDH(config!$G$4,H$1,WORKDAY($A194,-1,config_Holiday_Calendar_US),WORKDAY($A194,-1,config_Holiday_Calendar_US)),IF(ISNUMBER(_xll.BDH(config!$G$4,H$1,$A194,$A194)),_xll.BDH(config!$G$4,H$1,$A194,$A194),_xll.BDH(config!$G$5,H$1,$A194,$A194))))</f>
        <v>147276</v>
      </c>
      <c r="I194" s="8" t="str">
        <f>IF($A194="","",IF(ISNUMBER(FIND("IMPVOL",I$1)),_xll.BDH(config!$G$4,I$1,WORKDAY($A194,-1,config_Holiday_Calendar_US),WORKDAY($A194,-1,config_Holiday_Calendar_US)),IF(ISNUMBER(_xll.BDH(config!$G$4,I$1,$A194,$A194)),_xll.BDH(config!$G$4,I$1,$A194,$A194),_xll.BDH(config!$G$5,I$1,$A194,$A194))))</f>
        <v>#N/A Requesting Data...</v>
      </c>
      <c r="J194" s="8" t="str">
        <f>IF($A194="","",IF(ISNUMBER(FIND("IMPVOL",J$1)),_xll.BDH(config!$G$4,J$1,WORKDAY($A194,-1,config_Holiday_Calendar_US),WORKDAY($A194,-1,config_Holiday_Calendar_US)),IF(ISNUMBER(_xll.BDH(config!$G$4,J$1,$A194,$A194)),_xll.BDH(config!$G$4,J$1,$A194,$A194),_xll.BDH(config!$G$5,J$1,$A194,$A194))))</f>
        <v>#N/A Requesting Data...</v>
      </c>
      <c r="K194" s="8" t="str">
        <f>IF($A194="","",IF(ISNUMBER(FIND("IMPVOL",K$1)),_xll.BDH(config!$G$4,K$1,WORKDAY($A194,-1,config_Holiday_Calendar_US),WORKDAY($A194,-1,config_Holiday_Calendar_US)),IF(ISNUMBER(_xll.BDH(config!$G$4,K$1,$A194,$A194)),_xll.BDH(config!$G$4,K$1,$A194,$A194),_xll.BDH(config!$G$5,K$1,$A194,$A194))))</f>
        <v>#N/A Requesting Data...</v>
      </c>
      <c r="L194" s="8" t="str">
        <f>IF($A194="","",IF(ISNUMBER(FIND("IMPVOL",L$1)),_xll.BDH(config!$G$4,L$1,WORKDAY($A194,-1,config_Holiday_Calendar_US),WORKDAY($A194,-1,config_Holiday_Calendar_US)),IF(ISNUMBER(_xll.BDH(config!$G$4,L$1,$A194,$A194)),_xll.BDH(config!$G$4,L$1,$A194,$A194),_xll.BDH(config!$G$5,L$1,$A194,$A194))))</f>
        <v>#N/A Requesting Data...</v>
      </c>
      <c r="M194" s="8" t="str">
        <f>IF($A194="","",IF(ISNUMBER(FIND("IMPVOL",M$1)),_xll.BDH(config!$G$4,M$1,WORKDAY($A194,-1,config_Holiday_Calendar_US),WORKDAY($A194,-1,config_Holiday_Calendar_US)),IF(ISNUMBER(_xll.BDH(config!$G$4,M$1,$A194,$A194)),_xll.BDH(config!$G$4,M$1,$A194,$A194),_xll.BDH(config!$G$5,M$1,$A194,$A194))))</f>
        <v>#N/A Requesting Data...</v>
      </c>
      <c r="N194" s="8" t="str">
        <f>IF($A194="","",IF(ISNUMBER(FIND("IMPVOL",N$1)),_xll.BDH(config!$G$4,N$1,WORKDAY($A194,-1,config_Holiday_Calendar_US),WORKDAY($A194,-1,config_Holiday_Calendar_US)),IF(ISNUMBER(_xll.BDH(config!$G$4,N$1,$A194,$A194)),_xll.BDH(config!$G$4,N$1,$A194,$A194),_xll.BDH(config!$G$5,N$1,$A194,$A194))))</f>
        <v>#N/A Requesting Data...</v>
      </c>
      <c r="O194" s="8" t="str">
        <f>IF($A194="","",IF(ISNUMBER(FIND("IMPVOL",O$1)),_xll.BDH(config!$G$4,O$1,WORKDAY($A194,-1,config_Holiday_Calendar_US),WORKDAY($A194,-1,config_Holiday_Calendar_US)),IF(ISNUMBER(_xll.BDH(config!$G$4,O$1,$A194,$A194)),_xll.BDH(config!$G$4,O$1,$A194,$A194),_xll.BDH(config!$G$5,O$1,$A194,$A194))))</f>
        <v>#N/A Requesting Data...</v>
      </c>
      <c r="P194" s="8" t="str">
        <f>IF($A194="","",IF(ISNUMBER(FIND("IMPVOL",P$1)),_xll.BDH(config!$G$4,P$1,WORKDAY($A194,-1,config_Holiday_Calendar_US),WORKDAY($A194,-1,config_Holiday_Calendar_US)),IF(ISNUMBER(_xll.BDH(config!$G$4,P$1,$A194,$A194)),_xll.BDH(config!$G$4,P$1,$A194,$A194),_xll.BDH(config!$G$5,P$1,$A194,$A194))))</f>
        <v>#N/A Requesting Data...</v>
      </c>
      <c r="Q194" s="8">
        <f>IF($A194="","",IF(ISNUMBER(FIND("IMPVOL",Q$1)),_xll.BDH(config!$G$4,Q$1,WORKDAY($A194,-1,config_Holiday_Calendar_US),WORKDAY($A194,-1,config_Holiday_Calendar_US)),IF(ISNUMBER(_xll.BDH(config!$G$4,Q$1,$A194,$A194)),_xll.BDH(config!$G$4,Q$1,$A194,$A194),_xll.BDH(config!$G$5,Q$1,$A194,$A194))))</f>
        <v>51.15</v>
      </c>
      <c r="R194" s="8">
        <f>IF($A194="","",IF(ISNUMBER(FIND("IMPVOL",R$1)),_xll.BDH(config!$G$4,R$1,WORKDAY($A194,-1,config_Holiday_Calendar_US),WORKDAY($A194,-1,config_Holiday_Calendar_US)),IF(ISNUMBER(_xll.BDH(config!$G$4,R$1,$A194,$A194)),_xll.BDH(config!$G$4,R$1,$A194,$A194),_xll.BDH(config!$G$5,R$1,$A194,$A194))))</f>
        <v>35.770000000000003</v>
      </c>
      <c r="S194" s="8" t="str">
        <f>IF($A194="","",IF(ISNUMBER(FIND("IMPVOL",S$1)),_xll.BDH(config!$G$4,S$1,WORKDAY($A194,-1,config_Holiday_Calendar_US),WORKDAY($A194,-1,config_Holiday_Calendar_US)),IF(ISNUMBER(_xll.BDH(config!$G$4,S$1,$A194,$A194)),_xll.BDH(config!$G$4,S$1,$A194,$A194),_xll.BDH(config!$G$5,S$1,$A194,$A194))))</f>
        <v>#N/A Requesting Data...</v>
      </c>
      <c r="T194" s="8" t="str">
        <f>IF($A194="","",IF(ISNUMBER(FIND("IMPVOL",T$1)),_xll.BDH(config!$G$4,T$1,WORKDAY($A194,-1,config_Holiday_Calendar_US),WORKDAY($A194,-1,config_Holiday_Calendar_US)),IF(ISNUMBER(_xll.BDH(config!$G$4,T$1,$A194,$A194)),_xll.BDH(config!$G$4,T$1,$A194,$A194),_xll.BDH(config!$G$5,T$1,$A194,$A194))))</f>
        <v>#N/A Requesting Data...</v>
      </c>
      <c r="U194" s="8" t="str">
        <f>IF($A194="","",IF(ISNUMBER(FIND("IMPVOL",U$1)),_xll.BDH(config!$G$4,U$1,WORKDAY($A194,-1,config_Holiday_Calendar_US),WORKDAY($A194,-1,config_Holiday_Calendar_US)),IF(ISNUMBER(_xll.BDH(config!$G$4,U$1,$A194,$A194)),_xll.BDH(config!$G$4,U$1,$A194,$A194),_xll.BDH(config!$G$5,U$1,$A194,$A194))))</f>
        <v>#N/A Requesting Data...</v>
      </c>
      <c r="V194" s="8" t="str">
        <f>IF($A194="","",IF(ISNUMBER(FIND("IMPVOL",V$1)),_xll.BDH(config!$G$4,V$1,WORKDAY($A194,-1,config_Holiday_Calendar_US),WORKDAY($A194,-1,config_Holiday_Calendar_US)),IF(ISNUMBER(_xll.BDH(config!$G$4,V$1,$A194,$A194)),_xll.BDH(config!$G$4,V$1,$A194,$A194),_xll.BDH(config!$G$5,V$1,$A194,$A194))))</f>
        <v>#N/A Requesting Data...</v>
      </c>
      <c r="W194" s="8" t="str">
        <f>IF($A194="","",IF(ISNUMBER(FIND("IMPVOL",W$1)),_xll.BDH(config!$G$4,W$1,WORKDAY($A194,-1,config_Holiday_Calendar_US),WORKDAY($A194,-1,config_Holiday_Calendar_US)),IF(ISNUMBER(_xll.BDH(config!$G$4,W$1,$A194,$A194)),_xll.BDH(config!$G$4,W$1,$A194,$A194),_xll.BDH(config!$G$5,W$1,$A194,$A194))))</f>
        <v>#N/A Requesting Data...</v>
      </c>
    </row>
    <row r="195" spans="1:23" x14ac:dyDescent="0.2">
      <c r="A195" s="9">
        <f>IF(A194="","",IF(WORKDAY(A194,-1,config_Holiday_Calendar_US)&lt;config!$I$10,"",WORKDAY(A194,-1,config_Holiday_Calendar_US)))</f>
        <v>42550</v>
      </c>
      <c r="B195" s="8" t="e">
        <f t="shared" ref="B195:B258" si="3">IF(A195="","",IF(SIGN(C195)=1,1,0))</f>
        <v>#VALUE!</v>
      </c>
      <c r="C195" s="8" t="str">
        <f>IF(A195="","",_xll.BDH(config!$H$4,C$1,$A195,$A195))</f>
        <v>#N/A Requesting Data...</v>
      </c>
      <c r="D195" s="8" t="str">
        <f>IF($A195="","",_xll.BDH(config!$H$4,D$1,$A195,$A195))</f>
        <v>#N/A Requesting Data...</v>
      </c>
      <c r="E195" s="8">
        <f>IF($A195="","",IF(ISNUMBER(FIND("IMPVOL",E$1)),_xll.BDH(config!$G$4,E$1,WORKDAY($A195,-1,config_Holiday_Calendar_US),WORKDAY($A195,-1,config_Holiday_Calendar_US)),IF(ISNUMBER(_xll.BDH(config!$G$4,E$1,$A195,$A195)),_xll.BDH(config!$G$4,E$1,$A195,$A195),_xll.BDH(config!$G$5,E$1,$A195,$A195))))</f>
        <v>48.06</v>
      </c>
      <c r="F195" s="8">
        <f>IF($A195="","",IF(ISNUMBER(FIND("IMPVOL",F$1)),_xll.BDH(config!$G$4,F$1,WORKDAY($A195,-1,config_Holiday_Calendar_US),WORKDAY($A195,-1,config_Holiday_Calendar_US)),IF(ISNUMBER(_xll.BDH(config!$G$4,F$1,$A195,$A195)),_xll.BDH(config!$G$4,F$1,$A195,$A195),_xll.BDH(config!$G$5,F$1,$A195,$A195))))</f>
        <v>50</v>
      </c>
      <c r="G195" s="8">
        <f>IF($A195="","",IF(ISNUMBER(FIND("IMPVOL",G$1)),_xll.BDH(config!$G$4,G$1,WORKDAY($A195,-1,config_Holiday_Calendar_US),WORKDAY($A195,-1,config_Holiday_Calendar_US)),IF(ISNUMBER(_xll.BDH(config!$G$4,G$1,$A195,$A195)),_xll.BDH(config!$G$4,G$1,$A195,$A195),_xll.BDH(config!$G$5,G$1,$A195,$A195))))</f>
        <v>48.7</v>
      </c>
      <c r="H195" s="8">
        <f>IF($A195="","",IF(ISNUMBER(FIND("IMPVOL",H$1)),_xll.BDH(config!$G$4,H$1,WORKDAY($A195,-1,config_Holiday_Calendar_US),WORKDAY($A195,-1,config_Holiday_Calendar_US)),IF(ISNUMBER(_xll.BDH(config!$G$4,H$1,$A195,$A195)),_xll.BDH(config!$G$4,H$1,$A195,$A195),_xll.BDH(config!$G$5,H$1,$A195,$A195))))</f>
        <v>152340</v>
      </c>
      <c r="I195" s="8" t="str">
        <f>IF($A195="","",IF(ISNUMBER(FIND("IMPVOL",I$1)),_xll.BDH(config!$G$4,I$1,WORKDAY($A195,-1,config_Holiday_Calendar_US),WORKDAY($A195,-1,config_Holiday_Calendar_US)),IF(ISNUMBER(_xll.BDH(config!$G$4,I$1,$A195,$A195)),_xll.BDH(config!$G$4,I$1,$A195,$A195),_xll.BDH(config!$G$5,I$1,$A195,$A195))))</f>
        <v>#N/A Requesting Data...</v>
      </c>
      <c r="J195" s="8" t="str">
        <f>IF($A195="","",IF(ISNUMBER(FIND("IMPVOL",J$1)),_xll.BDH(config!$G$4,J$1,WORKDAY($A195,-1,config_Holiday_Calendar_US),WORKDAY($A195,-1,config_Holiday_Calendar_US)),IF(ISNUMBER(_xll.BDH(config!$G$4,J$1,$A195,$A195)),_xll.BDH(config!$G$4,J$1,$A195,$A195),_xll.BDH(config!$G$5,J$1,$A195,$A195))))</f>
        <v>#N/A Requesting Data...</v>
      </c>
      <c r="K195" s="8" t="str">
        <f>IF($A195="","",IF(ISNUMBER(FIND("IMPVOL",K$1)),_xll.BDH(config!$G$4,K$1,WORKDAY($A195,-1,config_Holiday_Calendar_US),WORKDAY($A195,-1,config_Holiday_Calendar_US)),IF(ISNUMBER(_xll.BDH(config!$G$4,K$1,$A195,$A195)),_xll.BDH(config!$G$4,K$1,$A195,$A195),_xll.BDH(config!$G$5,K$1,$A195,$A195))))</f>
        <v>#N/A Requesting Data...</v>
      </c>
      <c r="L195" s="8" t="str">
        <f>IF($A195="","",IF(ISNUMBER(FIND("IMPVOL",L$1)),_xll.BDH(config!$G$4,L$1,WORKDAY($A195,-1,config_Holiday_Calendar_US),WORKDAY($A195,-1,config_Holiday_Calendar_US)),IF(ISNUMBER(_xll.BDH(config!$G$4,L$1,$A195,$A195)),_xll.BDH(config!$G$4,L$1,$A195,$A195),_xll.BDH(config!$G$5,L$1,$A195,$A195))))</f>
        <v>#N/A Requesting Data...</v>
      </c>
      <c r="M195" s="8" t="str">
        <f>IF($A195="","",IF(ISNUMBER(FIND("IMPVOL",M$1)),_xll.BDH(config!$G$4,M$1,WORKDAY($A195,-1,config_Holiday_Calendar_US),WORKDAY($A195,-1,config_Holiday_Calendar_US)),IF(ISNUMBER(_xll.BDH(config!$G$4,M$1,$A195,$A195)),_xll.BDH(config!$G$4,M$1,$A195,$A195),_xll.BDH(config!$G$5,M$1,$A195,$A195))))</f>
        <v>#N/A Requesting Data...</v>
      </c>
      <c r="N195" s="8" t="str">
        <f>IF($A195="","",IF(ISNUMBER(FIND("IMPVOL",N$1)),_xll.BDH(config!$G$4,N$1,WORKDAY($A195,-1,config_Holiday_Calendar_US),WORKDAY($A195,-1,config_Holiday_Calendar_US)),IF(ISNUMBER(_xll.BDH(config!$G$4,N$1,$A195,$A195)),_xll.BDH(config!$G$4,N$1,$A195,$A195),_xll.BDH(config!$G$5,N$1,$A195,$A195))))</f>
        <v>#N/A Requesting Data...</v>
      </c>
      <c r="O195" s="8" t="str">
        <f>IF($A195="","",IF(ISNUMBER(FIND("IMPVOL",O$1)),_xll.BDH(config!$G$4,O$1,WORKDAY($A195,-1,config_Holiday_Calendar_US),WORKDAY($A195,-1,config_Holiday_Calendar_US)),IF(ISNUMBER(_xll.BDH(config!$G$4,O$1,$A195,$A195)),_xll.BDH(config!$G$4,O$1,$A195,$A195),_xll.BDH(config!$G$5,O$1,$A195,$A195))))</f>
        <v>#N/A Requesting Data...</v>
      </c>
      <c r="P195" s="8" t="str">
        <f>IF($A195="","",IF(ISNUMBER(FIND("IMPVOL",P$1)),_xll.BDH(config!$G$4,P$1,WORKDAY($A195,-1,config_Holiday_Calendar_US),WORKDAY($A195,-1,config_Holiday_Calendar_US)),IF(ISNUMBER(_xll.BDH(config!$G$4,P$1,$A195,$A195)),_xll.BDH(config!$G$4,P$1,$A195,$A195),_xll.BDH(config!$G$5,P$1,$A195,$A195))))</f>
        <v>#N/A Requesting Data...</v>
      </c>
      <c r="Q195" s="8">
        <f>IF($A195="","",IF(ISNUMBER(FIND("IMPVOL",Q$1)),_xll.BDH(config!$G$4,Q$1,WORKDAY($A195,-1,config_Holiday_Calendar_US),WORKDAY($A195,-1,config_Holiday_Calendar_US)),IF(ISNUMBER(_xll.BDH(config!$G$4,Q$1,$A195,$A195)),_xll.BDH(config!$G$4,Q$1,$A195,$A195),_xll.BDH(config!$G$5,Q$1,$A195,$A195))))</f>
        <v>50.45</v>
      </c>
      <c r="R195" s="8">
        <f>IF($A195="","",IF(ISNUMBER(FIND("IMPVOL",R$1)),_xll.BDH(config!$G$4,R$1,WORKDAY($A195,-1,config_Holiday_Calendar_US),WORKDAY($A195,-1,config_Holiday_Calendar_US)),IF(ISNUMBER(_xll.BDH(config!$G$4,R$1,$A195,$A195)),_xll.BDH(config!$G$4,R$1,$A195,$A195),_xll.BDH(config!$G$5,R$1,$A195,$A195))))</f>
        <v>34.4</v>
      </c>
      <c r="S195" s="8" t="str">
        <f>IF($A195="","",IF(ISNUMBER(FIND("IMPVOL",S$1)),_xll.BDH(config!$G$4,S$1,WORKDAY($A195,-1,config_Holiday_Calendar_US),WORKDAY($A195,-1,config_Holiday_Calendar_US)),IF(ISNUMBER(_xll.BDH(config!$G$4,S$1,$A195,$A195)),_xll.BDH(config!$G$4,S$1,$A195,$A195),_xll.BDH(config!$G$5,S$1,$A195,$A195))))</f>
        <v>#N/A Requesting Data...</v>
      </c>
      <c r="T195" s="8" t="str">
        <f>IF($A195="","",IF(ISNUMBER(FIND("IMPVOL",T$1)),_xll.BDH(config!$G$4,T$1,WORKDAY($A195,-1,config_Holiday_Calendar_US),WORKDAY($A195,-1,config_Holiday_Calendar_US)),IF(ISNUMBER(_xll.BDH(config!$G$4,T$1,$A195,$A195)),_xll.BDH(config!$G$4,T$1,$A195,$A195),_xll.BDH(config!$G$5,T$1,$A195,$A195))))</f>
        <v>#N/A Requesting Data...</v>
      </c>
      <c r="U195" s="8" t="str">
        <f>IF($A195="","",IF(ISNUMBER(FIND("IMPVOL",U$1)),_xll.BDH(config!$G$4,U$1,WORKDAY($A195,-1,config_Holiday_Calendar_US),WORKDAY($A195,-1,config_Holiday_Calendar_US)),IF(ISNUMBER(_xll.BDH(config!$G$4,U$1,$A195,$A195)),_xll.BDH(config!$G$4,U$1,$A195,$A195),_xll.BDH(config!$G$5,U$1,$A195,$A195))))</f>
        <v>#N/A Requesting Data...</v>
      </c>
      <c r="V195" s="8" t="str">
        <f>IF($A195="","",IF(ISNUMBER(FIND("IMPVOL",V$1)),_xll.BDH(config!$G$4,V$1,WORKDAY($A195,-1,config_Holiday_Calendar_US),WORKDAY($A195,-1,config_Holiday_Calendar_US)),IF(ISNUMBER(_xll.BDH(config!$G$4,V$1,$A195,$A195)),_xll.BDH(config!$G$4,V$1,$A195,$A195),_xll.BDH(config!$G$5,V$1,$A195,$A195))))</f>
        <v>#N/A Requesting Data...</v>
      </c>
      <c r="W195" s="8" t="str">
        <f>IF($A195="","",IF(ISNUMBER(FIND("IMPVOL",W$1)),_xll.BDH(config!$G$4,W$1,WORKDAY($A195,-1,config_Holiday_Calendar_US),WORKDAY($A195,-1,config_Holiday_Calendar_US)),IF(ISNUMBER(_xll.BDH(config!$G$4,W$1,$A195,$A195)),_xll.BDH(config!$G$4,W$1,$A195,$A195),_xll.BDH(config!$G$5,W$1,$A195,$A195))))</f>
        <v>#N/A Requesting Data...</v>
      </c>
    </row>
    <row r="196" spans="1:23" x14ac:dyDescent="0.2">
      <c r="A196" s="9">
        <f>IF(A195="","",IF(WORKDAY(A195,-1,config_Holiday_Calendar_US)&lt;config!$I$10,"",WORKDAY(A195,-1,config_Holiday_Calendar_US)))</f>
        <v>42549</v>
      </c>
      <c r="B196" s="8" t="e">
        <f t="shared" si="3"/>
        <v>#VALUE!</v>
      </c>
      <c r="C196" s="8" t="str">
        <f>IF(A196="","",_xll.BDH(config!$H$4,C$1,$A196,$A196))</f>
        <v>#N/A Requesting Data...</v>
      </c>
      <c r="D196" s="8" t="str">
        <f>IF($A196="","",_xll.BDH(config!$H$4,D$1,$A196,$A196))</f>
        <v>#N/A Requesting Data...</v>
      </c>
      <c r="E196" s="8">
        <f>IF($A196="","",IF(ISNUMBER(FIND("IMPVOL",E$1)),_xll.BDH(config!$G$4,E$1,WORKDAY($A196,-1,config_Holiday_Calendar_US),WORKDAY($A196,-1,config_Holiday_Calendar_US)),IF(ISNUMBER(_xll.BDH(config!$G$4,E$1,$A196,$A196)),_xll.BDH(config!$G$4,E$1,$A196,$A196),_xll.BDH(config!$G$5,E$1,$A196,$A196))))</f>
        <v>46.59</v>
      </c>
      <c r="F196" s="8">
        <f>IF($A196="","",IF(ISNUMBER(FIND("IMPVOL",F$1)),_xll.BDH(config!$G$4,F$1,WORKDAY($A196,-1,config_Holiday_Calendar_US),WORKDAY($A196,-1,config_Holiday_Calendar_US)),IF(ISNUMBER(_xll.BDH(config!$G$4,F$1,$A196,$A196)),_xll.BDH(config!$G$4,F$1,$A196,$A196),_xll.BDH(config!$G$5,F$1,$A196,$A196))))</f>
        <v>48.18</v>
      </c>
      <c r="G196" s="8">
        <f>IF($A196="","",IF(ISNUMBER(FIND("IMPVOL",G$1)),_xll.BDH(config!$G$4,G$1,WORKDAY($A196,-1,config_Holiday_Calendar_US),WORKDAY($A196,-1,config_Holiday_Calendar_US)),IF(ISNUMBER(_xll.BDH(config!$G$4,G$1,$A196,$A196)),_xll.BDH(config!$G$4,G$1,$A196,$A196),_xll.BDH(config!$G$5,G$1,$A196,$A196))))</f>
        <v>47.22</v>
      </c>
      <c r="H196" s="8">
        <f>IF($A196="","",IF(ISNUMBER(FIND("IMPVOL",H$1)),_xll.BDH(config!$G$4,H$1,WORKDAY($A196,-1,config_Holiday_Calendar_US),WORKDAY($A196,-1,config_Holiday_Calendar_US)),IF(ISNUMBER(_xll.BDH(config!$G$4,H$1,$A196,$A196)),_xll.BDH(config!$G$4,H$1,$A196,$A196),_xll.BDH(config!$G$5,H$1,$A196,$A196))))</f>
        <v>131351</v>
      </c>
      <c r="I196" s="8" t="str">
        <f>IF($A196="","",IF(ISNUMBER(FIND("IMPVOL",I$1)),_xll.BDH(config!$G$4,I$1,WORKDAY($A196,-1,config_Holiday_Calendar_US),WORKDAY($A196,-1,config_Holiday_Calendar_US)),IF(ISNUMBER(_xll.BDH(config!$G$4,I$1,$A196,$A196)),_xll.BDH(config!$G$4,I$1,$A196,$A196),_xll.BDH(config!$G$5,I$1,$A196,$A196))))</f>
        <v>#N/A Requesting Data...</v>
      </c>
      <c r="J196" s="8" t="str">
        <f>IF($A196="","",IF(ISNUMBER(FIND("IMPVOL",J$1)),_xll.BDH(config!$G$4,J$1,WORKDAY($A196,-1,config_Holiday_Calendar_US),WORKDAY($A196,-1,config_Holiday_Calendar_US)),IF(ISNUMBER(_xll.BDH(config!$G$4,J$1,$A196,$A196)),_xll.BDH(config!$G$4,J$1,$A196,$A196),_xll.BDH(config!$G$5,J$1,$A196,$A196))))</f>
        <v>#N/A Requesting Data...</v>
      </c>
      <c r="K196" s="8" t="str">
        <f>IF($A196="","",IF(ISNUMBER(FIND("IMPVOL",K$1)),_xll.BDH(config!$G$4,K$1,WORKDAY($A196,-1,config_Holiday_Calendar_US),WORKDAY($A196,-1,config_Holiday_Calendar_US)),IF(ISNUMBER(_xll.BDH(config!$G$4,K$1,$A196,$A196)),_xll.BDH(config!$G$4,K$1,$A196,$A196),_xll.BDH(config!$G$5,K$1,$A196,$A196))))</f>
        <v>#N/A Requesting Data...</v>
      </c>
      <c r="L196" s="8" t="str">
        <f>IF($A196="","",IF(ISNUMBER(FIND("IMPVOL",L$1)),_xll.BDH(config!$G$4,L$1,WORKDAY($A196,-1,config_Holiday_Calendar_US),WORKDAY($A196,-1,config_Holiday_Calendar_US)),IF(ISNUMBER(_xll.BDH(config!$G$4,L$1,$A196,$A196)),_xll.BDH(config!$G$4,L$1,$A196,$A196),_xll.BDH(config!$G$5,L$1,$A196,$A196))))</f>
        <v>#N/A Requesting Data...</v>
      </c>
      <c r="M196" s="8" t="str">
        <f>IF($A196="","",IF(ISNUMBER(FIND("IMPVOL",M$1)),_xll.BDH(config!$G$4,M$1,WORKDAY($A196,-1,config_Holiday_Calendar_US),WORKDAY($A196,-1,config_Holiday_Calendar_US)),IF(ISNUMBER(_xll.BDH(config!$G$4,M$1,$A196,$A196)),_xll.BDH(config!$G$4,M$1,$A196,$A196),_xll.BDH(config!$G$5,M$1,$A196,$A196))))</f>
        <v>#N/A Requesting Data...</v>
      </c>
      <c r="N196" s="8" t="str">
        <f>IF($A196="","",IF(ISNUMBER(FIND("IMPVOL",N$1)),_xll.BDH(config!$G$4,N$1,WORKDAY($A196,-1,config_Holiday_Calendar_US),WORKDAY($A196,-1,config_Holiday_Calendar_US)),IF(ISNUMBER(_xll.BDH(config!$G$4,N$1,$A196,$A196)),_xll.BDH(config!$G$4,N$1,$A196,$A196),_xll.BDH(config!$G$5,N$1,$A196,$A196))))</f>
        <v>#N/A Requesting Data...</v>
      </c>
      <c r="O196" s="8" t="str">
        <f>IF($A196="","",IF(ISNUMBER(FIND("IMPVOL",O$1)),_xll.BDH(config!$G$4,O$1,WORKDAY($A196,-1,config_Holiday_Calendar_US),WORKDAY($A196,-1,config_Holiday_Calendar_US)),IF(ISNUMBER(_xll.BDH(config!$G$4,O$1,$A196,$A196)),_xll.BDH(config!$G$4,O$1,$A196,$A196),_xll.BDH(config!$G$5,O$1,$A196,$A196))))</f>
        <v>#N/A Requesting Data...</v>
      </c>
      <c r="P196" s="8" t="str">
        <f>IF($A196="","",IF(ISNUMBER(FIND("IMPVOL",P$1)),_xll.BDH(config!$G$4,P$1,WORKDAY($A196,-1,config_Holiday_Calendar_US),WORKDAY($A196,-1,config_Holiday_Calendar_US)),IF(ISNUMBER(_xll.BDH(config!$G$4,P$1,$A196,$A196)),_xll.BDH(config!$G$4,P$1,$A196,$A196),_xll.BDH(config!$G$5,P$1,$A196,$A196))))</f>
        <v>#N/A Requesting Data...</v>
      </c>
      <c r="Q196" s="8">
        <f>IF($A196="","",IF(ISNUMBER(FIND("IMPVOL",Q$1)),_xll.BDH(config!$G$4,Q$1,WORKDAY($A196,-1,config_Holiday_Calendar_US),WORKDAY($A196,-1,config_Holiday_Calendar_US)),IF(ISNUMBER(_xll.BDH(config!$G$4,Q$1,$A196,$A196)),_xll.BDH(config!$G$4,Q$1,$A196,$A196),_xll.BDH(config!$G$5,Q$1,$A196,$A196))))</f>
        <v>51.87</v>
      </c>
      <c r="R196" s="8">
        <f>IF($A196="","",IF(ISNUMBER(FIND("IMPVOL",R$1)),_xll.BDH(config!$G$4,R$1,WORKDAY($A196,-1,config_Holiday_Calendar_US),WORKDAY($A196,-1,config_Holiday_Calendar_US)),IF(ISNUMBER(_xll.BDH(config!$G$4,R$1,$A196,$A196)),_xll.BDH(config!$G$4,R$1,$A196,$A196),_xll.BDH(config!$G$5,R$1,$A196,$A196))))</f>
        <v>32.24</v>
      </c>
      <c r="S196" s="8" t="str">
        <f>IF($A196="","",IF(ISNUMBER(FIND("IMPVOL",S$1)),_xll.BDH(config!$G$4,S$1,WORKDAY($A196,-1,config_Holiday_Calendar_US),WORKDAY($A196,-1,config_Holiday_Calendar_US)),IF(ISNUMBER(_xll.BDH(config!$G$4,S$1,$A196,$A196)),_xll.BDH(config!$G$4,S$1,$A196,$A196),_xll.BDH(config!$G$5,S$1,$A196,$A196))))</f>
        <v>#N/A Requesting Data...</v>
      </c>
      <c r="T196" s="8" t="str">
        <f>IF($A196="","",IF(ISNUMBER(FIND("IMPVOL",T$1)),_xll.BDH(config!$G$4,T$1,WORKDAY($A196,-1,config_Holiday_Calendar_US),WORKDAY($A196,-1,config_Holiday_Calendar_US)),IF(ISNUMBER(_xll.BDH(config!$G$4,T$1,$A196,$A196)),_xll.BDH(config!$G$4,T$1,$A196,$A196),_xll.BDH(config!$G$5,T$1,$A196,$A196))))</f>
        <v>#N/A Requesting Data...</v>
      </c>
      <c r="U196" s="8" t="str">
        <f>IF($A196="","",IF(ISNUMBER(FIND("IMPVOL",U$1)),_xll.BDH(config!$G$4,U$1,WORKDAY($A196,-1,config_Holiday_Calendar_US),WORKDAY($A196,-1,config_Holiday_Calendar_US)),IF(ISNUMBER(_xll.BDH(config!$G$4,U$1,$A196,$A196)),_xll.BDH(config!$G$4,U$1,$A196,$A196),_xll.BDH(config!$G$5,U$1,$A196,$A196))))</f>
        <v>#N/A Requesting Data...</v>
      </c>
      <c r="V196" s="8" t="str">
        <f>IF($A196="","",IF(ISNUMBER(FIND("IMPVOL",V$1)),_xll.BDH(config!$G$4,V$1,WORKDAY($A196,-1,config_Holiday_Calendar_US),WORKDAY($A196,-1,config_Holiday_Calendar_US)),IF(ISNUMBER(_xll.BDH(config!$G$4,V$1,$A196,$A196)),_xll.BDH(config!$G$4,V$1,$A196,$A196),_xll.BDH(config!$G$5,V$1,$A196,$A196))))</f>
        <v>#N/A Requesting Data...</v>
      </c>
      <c r="W196" s="8" t="str">
        <f>IF($A196="","",IF(ISNUMBER(FIND("IMPVOL",W$1)),_xll.BDH(config!$G$4,W$1,WORKDAY($A196,-1,config_Holiday_Calendar_US),WORKDAY($A196,-1,config_Holiday_Calendar_US)),IF(ISNUMBER(_xll.BDH(config!$G$4,W$1,$A196,$A196)),_xll.BDH(config!$G$4,W$1,$A196,$A196),_xll.BDH(config!$G$5,W$1,$A196,$A196))))</f>
        <v>#N/A Requesting Data...</v>
      </c>
    </row>
    <row r="197" spans="1:23" x14ac:dyDescent="0.2">
      <c r="A197" s="9">
        <f>IF(A196="","",IF(WORKDAY(A196,-1,config_Holiday_Calendar_US)&lt;config!$I$10,"",WORKDAY(A196,-1,config_Holiday_Calendar_US)))</f>
        <v>42548</v>
      </c>
      <c r="B197" s="8" t="e">
        <f t="shared" si="3"/>
        <v>#VALUE!</v>
      </c>
      <c r="C197" s="8" t="str">
        <f>IF(A197="","",_xll.BDH(config!$H$4,C$1,$A197,$A197))</f>
        <v>#N/A Requesting Data...</v>
      </c>
      <c r="D197" s="8" t="str">
        <f>IF($A197="","",_xll.BDH(config!$H$4,D$1,$A197,$A197))</f>
        <v>#N/A Requesting Data...</v>
      </c>
      <c r="E197" s="8">
        <f>IF($A197="","",IF(ISNUMBER(FIND("IMPVOL",E$1)),_xll.BDH(config!$G$4,E$1,WORKDAY($A197,-1,config_Holiday_Calendar_US),WORKDAY($A197,-1,config_Holiday_Calendar_US)),IF(ISNUMBER(_xll.BDH(config!$G$4,E$1,$A197,$A197)),_xll.BDH(config!$G$4,E$1,$A197,$A197),_xll.BDH(config!$G$5,E$1,$A197,$A197))))</f>
        <v>47.81</v>
      </c>
      <c r="F197" s="8">
        <f>IF($A197="","",IF(ISNUMBER(FIND("IMPVOL",F$1)),_xll.BDH(config!$G$4,F$1,WORKDAY($A197,-1,config_Holiday_Calendar_US),WORKDAY($A197,-1,config_Holiday_Calendar_US)),IF(ISNUMBER(_xll.BDH(config!$G$4,F$1,$A197,$A197)),_xll.BDH(config!$G$4,F$1,$A197,$A197),_xll.BDH(config!$G$5,F$1,$A197,$A197))))</f>
        <v>47.96</v>
      </c>
      <c r="G197" s="8">
        <f>IF($A197="","",IF(ISNUMBER(FIND("IMPVOL",G$1)),_xll.BDH(config!$G$4,G$1,WORKDAY($A197,-1,config_Holiday_Calendar_US),WORKDAY($A197,-1,config_Holiday_Calendar_US)),IF(ISNUMBER(_xll.BDH(config!$G$4,G$1,$A197,$A197)),_xll.BDH(config!$G$4,G$1,$A197,$A197),_xll.BDH(config!$G$5,G$1,$A197,$A197))))</f>
        <v>46.53</v>
      </c>
      <c r="H197" s="8">
        <f>IF($A197="","",IF(ISNUMBER(FIND("IMPVOL",H$1)),_xll.BDH(config!$G$4,H$1,WORKDAY($A197,-1,config_Holiday_Calendar_US),WORKDAY($A197,-1,config_Holiday_Calendar_US)),IF(ISNUMBER(_xll.BDH(config!$G$4,H$1,$A197,$A197)),_xll.BDH(config!$G$4,H$1,$A197,$A197),_xll.BDH(config!$G$5,H$1,$A197,$A197))))</f>
        <v>105294</v>
      </c>
      <c r="I197" s="8" t="str">
        <f>IF($A197="","",IF(ISNUMBER(FIND("IMPVOL",I$1)),_xll.BDH(config!$G$4,I$1,WORKDAY($A197,-1,config_Holiday_Calendar_US),WORKDAY($A197,-1,config_Holiday_Calendar_US)),IF(ISNUMBER(_xll.BDH(config!$G$4,I$1,$A197,$A197)),_xll.BDH(config!$G$4,I$1,$A197,$A197),_xll.BDH(config!$G$5,I$1,$A197,$A197))))</f>
        <v>#N/A Requesting Data...</v>
      </c>
      <c r="J197" s="8" t="str">
        <f>IF($A197="","",IF(ISNUMBER(FIND("IMPVOL",J$1)),_xll.BDH(config!$G$4,J$1,WORKDAY($A197,-1,config_Holiday_Calendar_US),WORKDAY($A197,-1,config_Holiday_Calendar_US)),IF(ISNUMBER(_xll.BDH(config!$G$4,J$1,$A197,$A197)),_xll.BDH(config!$G$4,J$1,$A197,$A197),_xll.BDH(config!$G$5,J$1,$A197,$A197))))</f>
        <v>#N/A Requesting Data...</v>
      </c>
      <c r="K197" s="8" t="str">
        <f>IF($A197="","",IF(ISNUMBER(FIND("IMPVOL",K$1)),_xll.BDH(config!$G$4,K$1,WORKDAY($A197,-1,config_Holiday_Calendar_US),WORKDAY($A197,-1,config_Holiday_Calendar_US)),IF(ISNUMBER(_xll.BDH(config!$G$4,K$1,$A197,$A197)),_xll.BDH(config!$G$4,K$1,$A197,$A197),_xll.BDH(config!$G$5,K$1,$A197,$A197))))</f>
        <v>#N/A Requesting Data...</v>
      </c>
      <c r="L197" s="8" t="str">
        <f>IF($A197="","",IF(ISNUMBER(FIND("IMPVOL",L$1)),_xll.BDH(config!$G$4,L$1,WORKDAY($A197,-1,config_Holiday_Calendar_US),WORKDAY($A197,-1,config_Holiday_Calendar_US)),IF(ISNUMBER(_xll.BDH(config!$G$4,L$1,$A197,$A197)),_xll.BDH(config!$G$4,L$1,$A197,$A197),_xll.BDH(config!$G$5,L$1,$A197,$A197))))</f>
        <v>#N/A Requesting Data...</v>
      </c>
      <c r="M197" s="8" t="str">
        <f>IF($A197="","",IF(ISNUMBER(FIND("IMPVOL",M$1)),_xll.BDH(config!$G$4,M$1,WORKDAY($A197,-1,config_Holiday_Calendar_US),WORKDAY($A197,-1,config_Holiday_Calendar_US)),IF(ISNUMBER(_xll.BDH(config!$G$4,M$1,$A197,$A197)),_xll.BDH(config!$G$4,M$1,$A197,$A197),_xll.BDH(config!$G$5,M$1,$A197,$A197))))</f>
        <v>#N/A Requesting Data...</v>
      </c>
      <c r="N197" s="8" t="str">
        <f>IF($A197="","",IF(ISNUMBER(FIND("IMPVOL",N$1)),_xll.BDH(config!$G$4,N$1,WORKDAY($A197,-1,config_Holiday_Calendar_US),WORKDAY($A197,-1,config_Holiday_Calendar_US)),IF(ISNUMBER(_xll.BDH(config!$G$4,N$1,$A197,$A197)),_xll.BDH(config!$G$4,N$1,$A197,$A197),_xll.BDH(config!$G$5,N$1,$A197,$A197))))</f>
        <v>#N/A Requesting Data...</v>
      </c>
      <c r="O197" s="8" t="str">
        <f>IF($A197="","",IF(ISNUMBER(FIND("IMPVOL",O$1)),_xll.BDH(config!$G$4,O$1,WORKDAY($A197,-1,config_Holiday_Calendar_US),WORKDAY($A197,-1,config_Holiday_Calendar_US)),IF(ISNUMBER(_xll.BDH(config!$G$4,O$1,$A197,$A197)),_xll.BDH(config!$G$4,O$1,$A197,$A197),_xll.BDH(config!$G$5,O$1,$A197,$A197))))</f>
        <v>#N/A Requesting Data...</v>
      </c>
      <c r="P197" s="8" t="str">
        <f>IF($A197="","",IF(ISNUMBER(FIND("IMPVOL",P$1)),_xll.BDH(config!$G$4,P$1,WORKDAY($A197,-1,config_Holiday_Calendar_US),WORKDAY($A197,-1,config_Holiday_Calendar_US)),IF(ISNUMBER(_xll.BDH(config!$G$4,P$1,$A197,$A197)),_xll.BDH(config!$G$4,P$1,$A197,$A197),_xll.BDH(config!$G$5,P$1,$A197,$A197))))</f>
        <v>#N/A Requesting Data...</v>
      </c>
      <c r="Q197" s="8">
        <f>IF($A197="","",IF(ISNUMBER(FIND("IMPVOL",Q$1)),_xll.BDH(config!$G$4,Q$1,WORKDAY($A197,-1,config_Holiday_Calendar_US),WORKDAY($A197,-1,config_Holiday_Calendar_US)),IF(ISNUMBER(_xll.BDH(config!$G$4,Q$1,$A197,$A197)),_xll.BDH(config!$G$4,Q$1,$A197,$A197),_xll.BDH(config!$G$5,Q$1,$A197,$A197))))</f>
        <v>48.14</v>
      </c>
      <c r="R197" s="8">
        <f>IF($A197="","",IF(ISNUMBER(FIND("IMPVOL",R$1)),_xll.BDH(config!$G$4,R$1,WORKDAY($A197,-1,config_Holiday_Calendar_US),WORKDAY($A197,-1,config_Holiday_Calendar_US)),IF(ISNUMBER(_xll.BDH(config!$G$4,R$1,$A197,$A197)),_xll.BDH(config!$G$4,R$1,$A197,$A197),_xll.BDH(config!$G$5,R$1,$A197,$A197))))</f>
        <v>30.82</v>
      </c>
      <c r="S197" s="8" t="str">
        <f>IF($A197="","",IF(ISNUMBER(FIND("IMPVOL",S$1)),_xll.BDH(config!$G$4,S$1,WORKDAY($A197,-1,config_Holiday_Calendar_US),WORKDAY($A197,-1,config_Holiday_Calendar_US)),IF(ISNUMBER(_xll.BDH(config!$G$4,S$1,$A197,$A197)),_xll.BDH(config!$G$4,S$1,$A197,$A197),_xll.BDH(config!$G$5,S$1,$A197,$A197))))</f>
        <v>#N/A Requesting Data...</v>
      </c>
      <c r="T197" s="8" t="str">
        <f>IF($A197="","",IF(ISNUMBER(FIND("IMPVOL",T$1)),_xll.BDH(config!$G$4,T$1,WORKDAY($A197,-1,config_Holiday_Calendar_US),WORKDAY($A197,-1,config_Holiday_Calendar_US)),IF(ISNUMBER(_xll.BDH(config!$G$4,T$1,$A197,$A197)),_xll.BDH(config!$G$4,T$1,$A197,$A197),_xll.BDH(config!$G$5,T$1,$A197,$A197))))</f>
        <v>#N/A Requesting Data...</v>
      </c>
      <c r="U197" s="8" t="str">
        <f>IF($A197="","",IF(ISNUMBER(FIND("IMPVOL",U$1)),_xll.BDH(config!$G$4,U$1,WORKDAY($A197,-1,config_Holiday_Calendar_US),WORKDAY($A197,-1,config_Holiday_Calendar_US)),IF(ISNUMBER(_xll.BDH(config!$G$4,U$1,$A197,$A197)),_xll.BDH(config!$G$4,U$1,$A197,$A197),_xll.BDH(config!$G$5,U$1,$A197,$A197))))</f>
        <v>#N/A Requesting Data...</v>
      </c>
      <c r="V197" s="8" t="str">
        <f>IF($A197="","",IF(ISNUMBER(FIND("IMPVOL",V$1)),_xll.BDH(config!$G$4,V$1,WORKDAY($A197,-1,config_Holiday_Calendar_US),WORKDAY($A197,-1,config_Holiday_Calendar_US)),IF(ISNUMBER(_xll.BDH(config!$G$4,V$1,$A197,$A197)),_xll.BDH(config!$G$4,V$1,$A197,$A197),_xll.BDH(config!$G$5,V$1,$A197,$A197))))</f>
        <v>#N/A Requesting Data...</v>
      </c>
      <c r="W197" s="8" t="str">
        <f>IF($A197="","",IF(ISNUMBER(FIND("IMPVOL",W$1)),_xll.BDH(config!$G$4,W$1,WORKDAY($A197,-1,config_Holiday_Calendar_US),WORKDAY($A197,-1,config_Holiday_Calendar_US)),IF(ISNUMBER(_xll.BDH(config!$G$4,W$1,$A197,$A197)),_xll.BDH(config!$G$4,W$1,$A197,$A197),_xll.BDH(config!$G$5,W$1,$A197,$A197))))</f>
        <v>#N/A Requesting Data...</v>
      </c>
    </row>
    <row r="198" spans="1:23" x14ac:dyDescent="0.2">
      <c r="A198" s="9">
        <f>IF(A197="","",IF(WORKDAY(A197,-1,config_Holiday_Calendar_US)&lt;config!$I$10,"",WORKDAY(A197,-1,config_Holiday_Calendar_US)))</f>
        <v>42545</v>
      </c>
      <c r="B198" s="8" t="e">
        <f t="shared" si="3"/>
        <v>#VALUE!</v>
      </c>
      <c r="C198" s="8" t="str">
        <f>IF(A198="","",_xll.BDH(config!$H$4,C$1,$A198,$A198))</f>
        <v>#N/A Requesting Data...</v>
      </c>
      <c r="D198" s="8" t="str">
        <f>IF($A198="","",_xll.BDH(config!$H$4,D$1,$A198,$A198))</f>
        <v>#N/A Requesting Data...</v>
      </c>
      <c r="E198" s="8">
        <f>IF($A198="","",IF(ISNUMBER(FIND("IMPVOL",E$1)),_xll.BDH(config!$G$4,E$1,WORKDAY($A198,-1,config_Holiday_Calendar_US),WORKDAY($A198,-1,config_Holiday_Calendar_US)),IF(ISNUMBER(_xll.BDH(config!$G$4,E$1,$A198,$A198)),_xll.BDH(config!$G$4,E$1,$A198,$A198),_xll.BDH(config!$G$5,E$1,$A198,$A198))))</f>
        <v>50.3</v>
      </c>
      <c r="F198" s="8">
        <f>IF($A198="","",IF(ISNUMBER(FIND("IMPVOL",F$1)),_xll.BDH(config!$G$4,F$1,WORKDAY($A198,-1,config_Holiday_Calendar_US),WORKDAY($A198,-1,config_Holiday_Calendar_US)),IF(ISNUMBER(_xll.BDH(config!$G$4,F$1,$A198,$A198)),_xll.BDH(config!$G$4,F$1,$A198,$A198),_xll.BDH(config!$G$5,F$1,$A198,$A198))))</f>
        <v>50.45</v>
      </c>
      <c r="G198" s="8">
        <f>IF($A198="","",IF(ISNUMBER(FIND("IMPVOL",G$1)),_xll.BDH(config!$G$4,G$1,WORKDAY($A198,-1,config_Holiday_Calendar_US),WORKDAY($A198,-1,config_Holiday_Calendar_US)),IF(ISNUMBER(_xll.BDH(config!$G$4,G$1,$A198,$A198)),_xll.BDH(config!$G$4,G$1,$A198,$A198),_xll.BDH(config!$G$5,G$1,$A198,$A198))))</f>
        <v>47.39</v>
      </c>
      <c r="H198" s="8">
        <f>IF($A198="","",IF(ISNUMBER(FIND("IMPVOL",H$1)),_xll.BDH(config!$G$4,H$1,WORKDAY($A198,-1,config_Holiday_Calendar_US),WORKDAY($A198,-1,config_Holiday_Calendar_US)),IF(ISNUMBER(_xll.BDH(config!$G$4,H$1,$A198,$A198)),_xll.BDH(config!$G$4,H$1,$A198,$A198),_xll.BDH(config!$G$5,H$1,$A198,$A198))))</f>
        <v>142712</v>
      </c>
      <c r="I198" s="8" t="str">
        <f>IF($A198="","",IF(ISNUMBER(FIND("IMPVOL",I$1)),_xll.BDH(config!$G$4,I$1,WORKDAY($A198,-1,config_Holiday_Calendar_US),WORKDAY($A198,-1,config_Holiday_Calendar_US)),IF(ISNUMBER(_xll.BDH(config!$G$4,I$1,$A198,$A198)),_xll.BDH(config!$G$4,I$1,$A198,$A198),_xll.BDH(config!$G$5,I$1,$A198,$A198))))</f>
        <v>#N/A Requesting Data...</v>
      </c>
      <c r="J198" s="8" t="str">
        <f>IF($A198="","",IF(ISNUMBER(FIND("IMPVOL",J$1)),_xll.BDH(config!$G$4,J$1,WORKDAY($A198,-1,config_Holiday_Calendar_US),WORKDAY($A198,-1,config_Holiday_Calendar_US)),IF(ISNUMBER(_xll.BDH(config!$G$4,J$1,$A198,$A198)),_xll.BDH(config!$G$4,J$1,$A198,$A198),_xll.BDH(config!$G$5,J$1,$A198,$A198))))</f>
        <v>#N/A Requesting Data...</v>
      </c>
      <c r="K198" s="8" t="str">
        <f>IF($A198="","",IF(ISNUMBER(FIND("IMPVOL",K$1)),_xll.BDH(config!$G$4,K$1,WORKDAY($A198,-1,config_Holiday_Calendar_US),WORKDAY($A198,-1,config_Holiday_Calendar_US)),IF(ISNUMBER(_xll.BDH(config!$G$4,K$1,$A198,$A198)),_xll.BDH(config!$G$4,K$1,$A198,$A198),_xll.BDH(config!$G$5,K$1,$A198,$A198))))</f>
        <v>#N/A Requesting Data...</v>
      </c>
      <c r="L198" s="8" t="str">
        <f>IF($A198="","",IF(ISNUMBER(FIND("IMPVOL",L$1)),_xll.BDH(config!$G$4,L$1,WORKDAY($A198,-1,config_Holiday_Calendar_US),WORKDAY($A198,-1,config_Holiday_Calendar_US)),IF(ISNUMBER(_xll.BDH(config!$G$4,L$1,$A198,$A198)),_xll.BDH(config!$G$4,L$1,$A198,$A198),_xll.BDH(config!$G$5,L$1,$A198,$A198))))</f>
        <v>#N/A Requesting Data...</v>
      </c>
      <c r="M198" s="8" t="str">
        <f>IF($A198="","",IF(ISNUMBER(FIND("IMPVOL",M$1)),_xll.BDH(config!$G$4,M$1,WORKDAY($A198,-1,config_Holiday_Calendar_US),WORKDAY($A198,-1,config_Holiday_Calendar_US)),IF(ISNUMBER(_xll.BDH(config!$G$4,M$1,$A198,$A198)),_xll.BDH(config!$G$4,M$1,$A198,$A198),_xll.BDH(config!$G$5,M$1,$A198,$A198))))</f>
        <v>#N/A Requesting Data...</v>
      </c>
      <c r="N198" s="8" t="str">
        <f>IF($A198="","",IF(ISNUMBER(FIND("IMPVOL",N$1)),_xll.BDH(config!$G$4,N$1,WORKDAY($A198,-1,config_Holiday_Calendar_US),WORKDAY($A198,-1,config_Holiday_Calendar_US)),IF(ISNUMBER(_xll.BDH(config!$G$4,N$1,$A198,$A198)),_xll.BDH(config!$G$4,N$1,$A198,$A198),_xll.BDH(config!$G$5,N$1,$A198,$A198))))</f>
        <v>#N/A Requesting Data...</v>
      </c>
      <c r="O198" s="8" t="str">
        <f>IF($A198="","",IF(ISNUMBER(FIND("IMPVOL",O$1)),_xll.BDH(config!$G$4,O$1,WORKDAY($A198,-1,config_Holiday_Calendar_US),WORKDAY($A198,-1,config_Holiday_Calendar_US)),IF(ISNUMBER(_xll.BDH(config!$G$4,O$1,$A198,$A198)),_xll.BDH(config!$G$4,O$1,$A198,$A198),_xll.BDH(config!$G$5,O$1,$A198,$A198))))</f>
        <v>#N/A Requesting Data...</v>
      </c>
      <c r="P198" s="8" t="str">
        <f>IF($A198="","",IF(ISNUMBER(FIND("IMPVOL",P$1)),_xll.BDH(config!$G$4,P$1,WORKDAY($A198,-1,config_Holiday_Calendar_US),WORKDAY($A198,-1,config_Holiday_Calendar_US)),IF(ISNUMBER(_xll.BDH(config!$G$4,P$1,$A198,$A198)),_xll.BDH(config!$G$4,P$1,$A198,$A198),_xll.BDH(config!$G$5,P$1,$A198,$A198))))</f>
        <v>#N/A Requesting Data...</v>
      </c>
      <c r="Q198" s="8">
        <f>IF($A198="","",IF(ISNUMBER(FIND("IMPVOL",Q$1)),_xll.BDH(config!$G$4,Q$1,WORKDAY($A198,-1,config_Holiday_Calendar_US),WORKDAY($A198,-1,config_Holiday_Calendar_US)),IF(ISNUMBER(_xll.BDH(config!$G$4,Q$1,$A198,$A198)),_xll.BDH(config!$G$4,Q$1,$A198,$A198),_xll.BDH(config!$G$5,Q$1,$A198,$A198))))</f>
        <v>46.38</v>
      </c>
      <c r="R198" s="8">
        <f>IF($A198="","",IF(ISNUMBER(FIND("IMPVOL",R$1)),_xll.BDH(config!$G$4,R$1,WORKDAY($A198,-1,config_Holiday_Calendar_US),WORKDAY($A198,-1,config_Holiday_Calendar_US)),IF(ISNUMBER(_xll.BDH(config!$G$4,R$1,$A198,$A198)),_xll.BDH(config!$G$4,R$1,$A198,$A198),_xll.BDH(config!$G$5,R$1,$A198,$A198))))</f>
        <v>31.24</v>
      </c>
      <c r="S198" s="8" t="str">
        <f>IF($A198="","",IF(ISNUMBER(FIND("IMPVOL",S$1)),_xll.BDH(config!$G$4,S$1,WORKDAY($A198,-1,config_Holiday_Calendar_US),WORKDAY($A198,-1,config_Holiday_Calendar_US)),IF(ISNUMBER(_xll.BDH(config!$G$4,S$1,$A198,$A198)),_xll.BDH(config!$G$4,S$1,$A198,$A198),_xll.BDH(config!$G$5,S$1,$A198,$A198))))</f>
        <v>#N/A Requesting Data...</v>
      </c>
      <c r="T198" s="8" t="str">
        <f>IF($A198="","",IF(ISNUMBER(FIND("IMPVOL",T$1)),_xll.BDH(config!$G$4,T$1,WORKDAY($A198,-1,config_Holiday_Calendar_US),WORKDAY($A198,-1,config_Holiday_Calendar_US)),IF(ISNUMBER(_xll.BDH(config!$G$4,T$1,$A198,$A198)),_xll.BDH(config!$G$4,T$1,$A198,$A198),_xll.BDH(config!$G$5,T$1,$A198,$A198))))</f>
        <v>#N/A Requesting Data...</v>
      </c>
      <c r="U198" s="8" t="str">
        <f>IF($A198="","",IF(ISNUMBER(FIND("IMPVOL",U$1)),_xll.BDH(config!$G$4,U$1,WORKDAY($A198,-1,config_Holiday_Calendar_US),WORKDAY($A198,-1,config_Holiday_Calendar_US)),IF(ISNUMBER(_xll.BDH(config!$G$4,U$1,$A198,$A198)),_xll.BDH(config!$G$4,U$1,$A198,$A198),_xll.BDH(config!$G$5,U$1,$A198,$A198))))</f>
        <v>#N/A Requesting Data...</v>
      </c>
      <c r="V198" s="8" t="str">
        <f>IF($A198="","",IF(ISNUMBER(FIND("IMPVOL",V$1)),_xll.BDH(config!$G$4,V$1,WORKDAY($A198,-1,config_Holiday_Calendar_US),WORKDAY($A198,-1,config_Holiday_Calendar_US)),IF(ISNUMBER(_xll.BDH(config!$G$4,V$1,$A198,$A198)),_xll.BDH(config!$G$4,V$1,$A198,$A198),_xll.BDH(config!$G$5,V$1,$A198,$A198))))</f>
        <v>#N/A Requesting Data...</v>
      </c>
      <c r="W198" s="8" t="str">
        <f>IF($A198="","",IF(ISNUMBER(FIND("IMPVOL",W$1)),_xll.BDH(config!$G$4,W$1,WORKDAY($A198,-1,config_Holiday_Calendar_US),WORKDAY($A198,-1,config_Holiday_Calendar_US)),IF(ISNUMBER(_xll.BDH(config!$G$4,W$1,$A198,$A198)),_xll.BDH(config!$G$4,W$1,$A198,$A198),_xll.BDH(config!$G$5,W$1,$A198,$A198))))</f>
        <v>#N/A Requesting Data...</v>
      </c>
    </row>
    <row r="199" spans="1:23" x14ac:dyDescent="0.2">
      <c r="A199" s="9">
        <f>IF(A198="","",IF(WORKDAY(A198,-1,config_Holiday_Calendar_US)&lt;config!$I$10,"",WORKDAY(A198,-1,config_Holiday_Calendar_US)))</f>
        <v>42544</v>
      </c>
      <c r="B199" s="8" t="e">
        <f t="shared" si="3"/>
        <v>#VALUE!</v>
      </c>
      <c r="C199" s="8" t="str">
        <f>IF(A199="","",_xll.BDH(config!$H$4,C$1,$A199,$A199))</f>
        <v>#N/A Requesting Data...</v>
      </c>
      <c r="D199" s="8" t="str">
        <f>IF($A199="","",_xll.BDH(config!$H$4,D$1,$A199,$A199))</f>
        <v>#N/A Requesting Data...</v>
      </c>
      <c r="E199" s="8">
        <f>IF($A199="","",IF(ISNUMBER(FIND("IMPVOL",E$1)),_xll.BDH(config!$G$4,E$1,WORKDAY($A199,-1,config_Holiday_Calendar_US),WORKDAY($A199,-1,config_Holiday_Calendar_US)),IF(ISNUMBER(_xll.BDH(config!$G$4,E$1,$A199,$A199)),_xll.BDH(config!$G$4,E$1,$A199,$A199),_xll.BDH(config!$G$5,E$1,$A199,$A199))))</f>
        <v>49.08</v>
      </c>
      <c r="F199" s="8">
        <f>IF($A199="","",IF(ISNUMBER(FIND("IMPVOL",F$1)),_xll.BDH(config!$G$4,F$1,WORKDAY($A199,-1,config_Holiday_Calendar_US),WORKDAY($A199,-1,config_Holiday_Calendar_US)),IF(ISNUMBER(_xll.BDH(config!$G$4,F$1,$A199,$A199)),_xll.BDH(config!$G$4,F$1,$A199,$A199),_xll.BDH(config!$G$5,F$1,$A199,$A199))))</f>
        <v>50.23</v>
      </c>
      <c r="G199" s="8">
        <f>IF($A199="","",IF(ISNUMBER(FIND("IMPVOL",G$1)),_xll.BDH(config!$G$4,G$1,WORKDAY($A199,-1,config_Holiday_Calendar_US),WORKDAY($A199,-1,config_Holiday_Calendar_US)),IF(ISNUMBER(_xll.BDH(config!$G$4,G$1,$A199,$A199)),_xll.BDH(config!$G$4,G$1,$A199,$A199),_xll.BDH(config!$G$5,G$1,$A199,$A199))))</f>
        <v>49.77</v>
      </c>
      <c r="H199" s="8">
        <f>IF($A199="","",IF(ISNUMBER(FIND("IMPVOL",H$1)),_xll.BDH(config!$G$4,H$1,WORKDAY($A199,-1,config_Holiday_Calendar_US),WORKDAY($A199,-1,config_Holiday_Calendar_US)),IF(ISNUMBER(_xll.BDH(config!$G$4,H$1,$A199,$A199)),_xll.BDH(config!$G$4,H$1,$A199,$A199),_xll.BDH(config!$G$5,H$1,$A199,$A199))))</f>
        <v>95559</v>
      </c>
      <c r="I199" s="8" t="str">
        <f>IF($A199="","",IF(ISNUMBER(FIND("IMPVOL",I$1)),_xll.BDH(config!$G$4,I$1,WORKDAY($A199,-1,config_Holiday_Calendar_US),WORKDAY($A199,-1,config_Holiday_Calendar_US)),IF(ISNUMBER(_xll.BDH(config!$G$4,I$1,$A199,$A199)),_xll.BDH(config!$G$4,I$1,$A199,$A199),_xll.BDH(config!$G$5,I$1,$A199,$A199))))</f>
        <v>#N/A Requesting Data...</v>
      </c>
      <c r="J199" s="8" t="str">
        <f>IF($A199="","",IF(ISNUMBER(FIND("IMPVOL",J$1)),_xll.BDH(config!$G$4,J$1,WORKDAY($A199,-1,config_Holiday_Calendar_US),WORKDAY($A199,-1,config_Holiday_Calendar_US)),IF(ISNUMBER(_xll.BDH(config!$G$4,J$1,$A199,$A199)),_xll.BDH(config!$G$4,J$1,$A199,$A199),_xll.BDH(config!$G$5,J$1,$A199,$A199))))</f>
        <v>#N/A Requesting Data...</v>
      </c>
      <c r="K199" s="8" t="str">
        <f>IF($A199="","",IF(ISNUMBER(FIND("IMPVOL",K$1)),_xll.BDH(config!$G$4,K$1,WORKDAY($A199,-1,config_Holiday_Calendar_US),WORKDAY($A199,-1,config_Holiday_Calendar_US)),IF(ISNUMBER(_xll.BDH(config!$G$4,K$1,$A199,$A199)),_xll.BDH(config!$G$4,K$1,$A199,$A199),_xll.BDH(config!$G$5,K$1,$A199,$A199))))</f>
        <v>#N/A Requesting Data...</v>
      </c>
      <c r="L199" s="8" t="str">
        <f>IF($A199="","",IF(ISNUMBER(FIND("IMPVOL",L$1)),_xll.BDH(config!$G$4,L$1,WORKDAY($A199,-1,config_Holiday_Calendar_US),WORKDAY($A199,-1,config_Holiday_Calendar_US)),IF(ISNUMBER(_xll.BDH(config!$G$4,L$1,$A199,$A199)),_xll.BDH(config!$G$4,L$1,$A199,$A199),_xll.BDH(config!$G$5,L$1,$A199,$A199))))</f>
        <v>#N/A Requesting Data...</v>
      </c>
      <c r="M199" s="8" t="str">
        <f>IF($A199="","",IF(ISNUMBER(FIND("IMPVOL",M$1)),_xll.BDH(config!$G$4,M$1,WORKDAY($A199,-1,config_Holiday_Calendar_US),WORKDAY($A199,-1,config_Holiday_Calendar_US)),IF(ISNUMBER(_xll.BDH(config!$G$4,M$1,$A199,$A199)),_xll.BDH(config!$G$4,M$1,$A199,$A199),_xll.BDH(config!$G$5,M$1,$A199,$A199))))</f>
        <v>#N/A Requesting Data...</v>
      </c>
      <c r="N199" s="8" t="str">
        <f>IF($A199="","",IF(ISNUMBER(FIND("IMPVOL",N$1)),_xll.BDH(config!$G$4,N$1,WORKDAY($A199,-1,config_Holiday_Calendar_US),WORKDAY($A199,-1,config_Holiday_Calendar_US)),IF(ISNUMBER(_xll.BDH(config!$G$4,N$1,$A199,$A199)),_xll.BDH(config!$G$4,N$1,$A199,$A199),_xll.BDH(config!$G$5,N$1,$A199,$A199))))</f>
        <v>#N/A Requesting Data...</v>
      </c>
      <c r="O199" s="8" t="str">
        <f>IF($A199="","",IF(ISNUMBER(FIND("IMPVOL",O$1)),_xll.BDH(config!$G$4,O$1,WORKDAY($A199,-1,config_Holiday_Calendar_US),WORKDAY($A199,-1,config_Holiday_Calendar_US)),IF(ISNUMBER(_xll.BDH(config!$G$4,O$1,$A199,$A199)),_xll.BDH(config!$G$4,O$1,$A199,$A199),_xll.BDH(config!$G$5,O$1,$A199,$A199))))</f>
        <v>#N/A Requesting Data...</v>
      </c>
      <c r="P199" s="8" t="str">
        <f>IF($A199="","",IF(ISNUMBER(FIND("IMPVOL",P$1)),_xll.BDH(config!$G$4,P$1,WORKDAY($A199,-1,config_Holiday_Calendar_US),WORKDAY($A199,-1,config_Holiday_Calendar_US)),IF(ISNUMBER(_xll.BDH(config!$G$4,P$1,$A199,$A199)),_xll.BDH(config!$G$4,P$1,$A199,$A199),_xll.BDH(config!$G$5,P$1,$A199,$A199))))</f>
        <v>#N/A Requesting Data...</v>
      </c>
      <c r="Q199" s="8">
        <f>IF($A199="","",IF(ISNUMBER(FIND("IMPVOL",Q$1)),_xll.BDH(config!$G$4,Q$1,WORKDAY($A199,-1,config_Holiday_Calendar_US),WORKDAY($A199,-1,config_Holiday_Calendar_US)),IF(ISNUMBER(_xll.BDH(config!$G$4,Q$1,$A199,$A199)),_xll.BDH(config!$G$4,Q$1,$A199,$A199),_xll.BDH(config!$G$5,Q$1,$A199,$A199))))</f>
        <v>36.979999999999997</v>
      </c>
      <c r="R199" s="8">
        <f>IF($A199="","",IF(ISNUMBER(FIND("IMPVOL",R$1)),_xll.BDH(config!$G$4,R$1,WORKDAY($A199,-1,config_Holiday_Calendar_US),WORKDAY($A199,-1,config_Holiday_Calendar_US)),IF(ISNUMBER(_xll.BDH(config!$G$4,R$1,$A199,$A199)),_xll.BDH(config!$G$4,R$1,$A199,$A199),_xll.BDH(config!$G$5,R$1,$A199,$A199))))</f>
        <v>27.38</v>
      </c>
      <c r="S199" s="8" t="str">
        <f>IF($A199="","",IF(ISNUMBER(FIND("IMPVOL",S$1)),_xll.BDH(config!$G$4,S$1,WORKDAY($A199,-1,config_Holiday_Calendar_US),WORKDAY($A199,-1,config_Holiday_Calendar_US)),IF(ISNUMBER(_xll.BDH(config!$G$4,S$1,$A199,$A199)),_xll.BDH(config!$G$4,S$1,$A199,$A199),_xll.BDH(config!$G$5,S$1,$A199,$A199))))</f>
        <v>#N/A Requesting Data...</v>
      </c>
      <c r="T199" s="8" t="str">
        <f>IF($A199="","",IF(ISNUMBER(FIND("IMPVOL",T$1)),_xll.BDH(config!$G$4,T$1,WORKDAY($A199,-1,config_Holiday_Calendar_US),WORKDAY($A199,-1,config_Holiday_Calendar_US)),IF(ISNUMBER(_xll.BDH(config!$G$4,T$1,$A199,$A199)),_xll.BDH(config!$G$4,T$1,$A199,$A199),_xll.BDH(config!$G$5,T$1,$A199,$A199))))</f>
        <v>#N/A Requesting Data...</v>
      </c>
      <c r="U199" s="8" t="str">
        <f>IF($A199="","",IF(ISNUMBER(FIND("IMPVOL",U$1)),_xll.BDH(config!$G$4,U$1,WORKDAY($A199,-1,config_Holiday_Calendar_US),WORKDAY($A199,-1,config_Holiday_Calendar_US)),IF(ISNUMBER(_xll.BDH(config!$G$4,U$1,$A199,$A199)),_xll.BDH(config!$G$4,U$1,$A199,$A199),_xll.BDH(config!$G$5,U$1,$A199,$A199))))</f>
        <v>#N/A Requesting Data...</v>
      </c>
      <c r="V199" s="8" t="str">
        <f>IF($A199="","",IF(ISNUMBER(FIND("IMPVOL",V$1)),_xll.BDH(config!$G$4,V$1,WORKDAY($A199,-1,config_Holiday_Calendar_US),WORKDAY($A199,-1,config_Holiday_Calendar_US)),IF(ISNUMBER(_xll.BDH(config!$G$4,V$1,$A199,$A199)),_xll.BDH(config!$G$4,V$1,$A199,$A199),_xll.BDH(config!$G$5,V$1,$A199,$A199))))</f>
        <v>#N/A Requesting Data...</v>
      </c>
      <c r="W199" s="8" t="str">
        <f>IF($A199="","",IF(ISNUMBER(FIND("IMPVOL",W$1)),_xll.BDH(config!$G$4,W$1,WORKDAY($A199,-1,config_Holiday_Calendar_US),WORKDAY($A199,-1,config_Holiday_Calendar_US)),IF(ISNUMBER(_xll.BDH(config!$G$4,W$1,$A199,$A199)),_xll.BDH(config!$G$4,W$1,$A199,$A199),_xll.BDH(config!$G$5,W$1,$A199,$A199))))</f>
        <v>#N/A Requesting Data...</v>
      </c>
    </row>
    <row r="200" spans="1:23" x14ac:dyDescent="0.2">
      <c r="A200" s="9">
        <f>IF(A199="","",IF(WORKDAY(A199,-1,config_Holiday_Calendar_US)&lt;config!$I$10,"",WORKDAY(A199,-1,config_Holiday_Calendar_US)))</f>
        <v>42543</v>
      </c>
      <c r="B200" s="8" t="e">
        <f t="shared" si="3"/>
        <v>#VALUE!</v>
      </c>
      <c r="C200" s="8" t="str">
        <f>IF(A200="","",_xll.BDH(config!$H$4,C$1,$A200,$A200))</f>
        <v>#N/A Requesting Data...</v>
      </c>
      <c r="D200" s="8" t="str">
        <f>IF($A200="","",_xll.BDH(config!$H$4,D$1,$A200,$A200))</f>
        <v>#N/A Requesting Data...</v>
      </c>
      <c r="E200" s="8">
        <f>IF($A200="","",IF(ISNUMBER(FIND("IMPVOL",E$1)),_xll.BDH(config!$G$4,E$1,WORKDAY($A200,-1,config_Holiday_Calendar_US),WORKDAY($A200,-1,config_Holiday_Calendar_US)),IF(ISNUMBER(_xll.BDH(config!$G$4,E$1,$A200,$A200)),_xll.BDH(config!$G$4,E$1,$A200,$A200),_xll.BDH(config!$G$5,E$1,$A200,$A200))))</f>
        <v>50.22</v>
      </c>
      <c r="F200" s="8">
        <f>IF($A200="","",IF(ISNUMBER(FIND("IMPVOL",F$1)),_xll.BDH(config!$G$4,F$1,WORKDAY($A200,-1,config_Holiday_Calendar_US),WORKDAY($A200,-1,config_Holiday_Calendar_US)),IF(ISNUMBER(_xll.BDH(config!$G$4,F$1,$A200,$A200)),_xll.BDH(config!$G$4,F$1,$A200,$A200),_xll.BDH(config!$G$5,F$1,$A200,$A200))))</f>
        <v>50.54</v>
      </c>
      <c r="G200" s="8">
        <f>IF($A200="","",IF(ISNUMBER(FIND("IMPVOL",G$1)),_xll.BDH(config!$G$4,G$1,WORKDAY($A200,-1,config_Holiday_Calendar_US),WORKDAY($A200,-1,config_Holiday_Calendar_US)),IF(ISNUMBER(_xll.BDH(config!$G$4,G$1,$A200,$A200)),_xll.BDH(config!$G$4,G$1,$A200,$A200),_xll.BDH(config!$G$5,G$1,$A200,$A200))))</f>
        <v>49.04</v>
      </c>
      <c r="H200" s="8">
        <f>IF($A200="","",IF(ISNUMBER(FIND("IMPVOL",H$1)),_xll.BDH(config!$G$4,H$1,WORKDAY($A200,-1,config_Holiday_Calendar_US),WORKDAY($A200,-1,config_Holiday_Calendar_US)),IF(ISNUMBER(_xll.BDH(config!$G$4,H$1,$A200,$A200)),_xll.BDH(config!$G$4,H$1,$A200,$A200),_xll.BDH(config!$G$5,H$1,$A200,$A200))))</f>
        <v>147669</v>
      </c>
      <c r="I200" s="8" t="str">
        <f>IF($A200="","",IF(ISNUMBER(FIND("IMPVOL",I$1)),_xll.BDH(config!$G$4,I$1,WORKDAY($A200,-1,config_Holiday_Calendar_US),WORKDAY($A200,-1,config_Holiday_Calendar_US)),IF(ISNUMBER(_xll.BDH(config!$G$4,I$1,$A200,$A200)),_xll.BDH(config!$G$4,I$1,$A200,$A200),_xll.BDH(config!$G$5,I$1,$A200,$A200))))</f>
        <v>#N/A Requesting Data...</v>
      </c>
      <c r="J200" s="8" t="str">
        <f>IF($A200="","",IF(ISNUMBER(FIND("IMPVOL",J$1)),_xll.BDH(config!$G$4,J$1,WORKDAY($A200,-1,config_Holiday_Calendar_US),WORKDAY($A200,-1,config_Holiday_Calendar_US)),IF(ISNUMBER(_xll.BDH(config!$G$4,J$1,$A200,$A200)),_xll.BDH(config!$G$4,J$1,$A200,$A200),_xll.BDH(config!$G$5,J$1,$A200,$A200))))</f>
        <v>#N/A Requesting Data...</v>
      </c>
      <c r="K200" s="8" t="str">
        <f>IF($A200="","",IF(ISNUMBER(FIND("IMPVOL",K$1)),_xll.BDH(config!$G$4,K$1,WORKDAY($A200,-1,config_Holiday_Calendar_US),WORKDAY($A200,-1,config_Holiday_Calendar_US)),IF(ISNUMBER(_xll.BDH(config!$G$4,K$1,$A200,$A200)),_xll.BDH(config!$G$4,K$1,$A200,$A200),_xll.BDH(config!$G$5,K$1,$A200,$A200))))</f>
        <v>#N/A Requesting Data...</v>
      </c>
      <c r="L200" s="8" t="str">
        <f>IF($A200="","",IF(ISNUMBER(FIND("IMPVOL",L$1)),_xll.BDH(config!$G$4,L$1,WORKDAY($A200,-1,config_Holiday_Calendar_US),WORKDAY($A200,-1,config_Holiday_Calendar_US)),IF(ISNUMBER(_xll.BDH(config!$G$4,L$1,$A200,$A200)),_xll.BDH(config!$G$4,L$1,$A200,$A200),_xll.BDH(config!$G$5,L$1,$A200,$A200))))</f>
        <v>#N/A Requesting Data...</v>
      </c>
      <c r="M200" s="8" t="str">
        <f>IF($A200="","",IF(ISNUMBER(FIND("IMPVOL",M$1)),_xll.BDH(config!$G$4,M$1,WORKDAY($A200,-1,config_Holiday_Calendar_US),WORKDAY($A200,-1,config_Holiday_Calendar_US)),IF(ISNUMBER(_xll.BDH(config!$G$4,M$1,$A200,$A200)),_xll.BDH(config!$G$4,M$1,$A200,$A200),_xll.BDH(config!$G$5,M$1,$A200,$A200))))</f>
        <v>#N/A Requesting Data...</v>
      </c>
      <c r="N200" s="8" t="str">
        <f>IF($A200="","",IF(ISNUMBER(FIND("IMPVOL",N$1)),_xll.BDH(config!$G$4,N$1,WORKDAY($A200,-1,config_Holiday_Calendar_US),WORKDAY($A200,-1,config_Holiday_Calendar_US)),IF(ISNUMBER(_xll.BDH(config!$G$4,N$1,$A200,$A200)),_xll.BDH(config!$G$4,N$1,$A200,$A200),_xll.BDH(config!$G$5,N$1,$A200,$A200))))</f>
        <v>#N/A Requesting Data...</v>
      </c>
      <c r="O200" s="8" t="str">
        <f>IF($A200="","",IF(ISNUMBER(FIND("IMPVOL",O$1)),_xll.BDH(config!$G$4,O$1,WORKDAY($A200,-1,config_Holiday_Calendar_US),WORKDAY($A200,-1,config_Holiday_Calendar_US)),IF(ISNUMBER(_xll.BDH(config!$G$4,O$1,$A200,$A200)),_xll.BDH(config!$G$4,O$1,$A200,$A200),_xll.BDH(config!$G$5,O$1,$A200,$A200))))</f>
        <v>#N/A Requesting Data...</v>
      </c>
      <c r="P200" s="8" t="str">
        <f>IF($A200="","",IF(ISNUMBER(FIND("IMPVOL",P$1)),_xll.BDH(config!$G$4,P$1,WORKDAY($A200,-1,config_Holiday_Calendar_US),WORKDAY($A200,-1,config_Holiday_Calendar_US)),IF(ISNUMBER(_xll.BDH(config!$G$4,P$1,$A200,$A200)),_xll.BDH(config!$G$4,P$1,$A200,$A200),_xll.BDH(config!$G$5,P$1,$A200,$A200))))</f>
        <v>#N/A Requesting Data...</v>
      </c>
      <c r="Q200" s="8">
        <f>IF($A200="","",IF(ISNUMBER(FIND("IMPVOL",Q$1)),_xll.BDH(config!$G$4,Q$1,WORKDAY($A200,-1,config_Holiday_Calendar_US),WORKDAY($A200,-1,config_Holiday_Calendar_US)),IF(ISNUMBER(_xll.BDH(config!$G$4,Q$1,$A200,$A200)),_xll.BDH(config!$G$4,Q$1,$A200,$A200),_xll.BDH(config!$G$5,Q$1,$A200,$A200))))</f>
        <v>38.950000000000003</v>
      </c>
      <c r="R200" s="8">
        <f>IF($A200="","",IF(ISNUMBER(FIND("IMPVOL",R$1)),_xll.BDH(config!$G$4,R$1,WORKDAY($A200,-1,config_Holiday_Calendar_US),WORKDAY($A200,-1,config_Holiday_Calendar_US)),IF(ISNUMBER(_xll.BDH(config!$G$4,R$1,$A200,$A200)),_xll.BDH(config!$G$4,R$1,$A200,$A200),_xll.BDH(config!$G$5,R$1,$A200,$A200))))</f>
        <v>26.95</v>
      </c>
      <c r="S200" s="8" t="str">
        <f>IF($A200="","",IF(ISNUMBER(FIND("IMPVOL",S$1)),_xll.BDH(config!$G$4,S$1,WORKDAY($A200,-1,config_Holiday_Calendar_US),WORKDAY($A200,-1,config_Holiday_Calendar_US)),IF(ISNUMBER(_xll.BDH(config!$G$4,S$1,$A200,$A200)),_xll.BDH(config!$G$4,S$1,$A200,$A200),_xll.BDH(config!$G$5,S$1,$A200,$A200))))</f>
        <v>#N/A Requesting Data...</v>
      </c>
      <c r="T200" s="8" t="str">
        <f>IF($A200="","",IF(ISNUMBER(FIND("IMPVOL",T$1)),_xll.BDH(config!$G$4,T$1,WORKDAY($A200,-1,config_Holiday_Calendar_US),WORKDAY($A200,-1,config_Holiday_Calendar_US)),IF(ISNUMBER(_xll.BDH(config!$G$4,T$1,$A200,$A200)),_xll.BDH(config!$G$4,T$1,$A200,$A200),_xll.BDH(config!$G$5,T$1,$A200,$A200))))</f>
        <v>#N/A Requesting Data...</v>
      </c>
      <c r="U200" s="8" t="str">
        <f>IF($A200="","",IF(ISNUMBER(FIND("IMPVOL",U$1)),_xll.BDH(config!$G$4,U$1,WORKDAY($A200,-1,config_Holiday_Calendar_US),WORKDAY($A200,-1,config_Holiday_Calendar_US)),IF(ISNUMBER(_xll.BDH(config!$G$4,U$1,$A200,$A200)),_xll.BDH(config!$G$4,U$1,$A200,$A200),_xll.BDH(config!$G$5,U$1,$A200,$A200))))</f>
        <v>#N/A Requesting Data...</v>
      </c>
      <c r="V200" s="8" t="str">
        <f>IF($A200="","",IF(ISNUMBER(FIND("IMPVOL",V$1)),_xll.BDH(config!$G$4,V$1,WORKDAY($A200,-1,config_Holiday_Calendar_US),WORKDAY($A200,-1,config_Holiday_Calendar_US)),IF(ISNUMBER(_xll.BDH(config!$G$4,V$1,$A200,$A200)),_xll.BDH(config!$G$4,V$1,$A200,$A200),_xll.BDH(config!$G$5,V$1,$A200,$A200))))</f>
        <v>#N/A Requesting Data...</v>
      </c>
      <c r="W200" s="8" t="str">
        <f>IF($A200="","",IF(ISNUMBER(FIND("IMPVOL",W$1)),_xll.BDH(config!$G$4,W$1,WORKDAY($A200,-1,config_Holiday_Calendar_US),WORKDAY($A200,-1,config_Holiday_Calendar_US)),IF(ISNUMBER(_xll.BDH(config!$G$4,W$1,$A200,$A200)),_xll.BDH(config!$G$4,W$1,$A200,$A200),_xll.BDH(config!$G$5,W$1,$A200,$A200))))</f>
        <v>#N/A Requesting Data...</v>
      </c>
    </row>
    <row r="201" spans="1:23" x14ac:dyDescent="0.2">
      <c r="A201" s="9">
        <f>IF(A200="","",IF(WORKDAY(A200,-1,config_Holiday_Calendar_US)&lt;config!$I$10,"",WORKDAY(A200,-1,config_Holiday_Calendar_US)))</f>
        <v>42542</v>
      </c>
      <c r="B201" s="8" t="e">
        <f t="shared" si="3"/>
        <v>#VALUE!</v>
      </c>
      <c r="C201" s="8" t="str">
        <f>IF(A201="","",_xll.BDH(config!$H$4,C$1,$A201,$A201))</f>
        <v>#N/A Requesting Data...</v>
      </c>
      <c r="D201" s="8" t="str">
        <f>IF($A201="","",_xll.BDH(config!$H$4,D$1,$A201,$A201))</f>
        <v>#N/A Requesting Data...</v>
      </c>
      <c r="E201" s="8">
        <f>IF($A201="","",IF(ISNUMBER(FIND("IMPVOL",E$1)),_xll.BDH(config!$G$4,E$1,WORKDAY($A201,-1,config_Holiday_Calendar_US),WORKDAY($A201,-1,config_Holiday_Calendar_US)),IF(ISNUMBER(_xll.BDH(config!$G$4,E$1,$A201,$A201)),_xll.BDH(config!$G$4,E$1,$A201,$A201),_xll.BDH(config!$G$5,E$1,$A201,$A201))))</f>
        <v>49.14</v>
      </c>
      <c r="F201" s="8">
        <f>IF($A201="","",IF(ISNUMBER(FIND("IMPVOL",F$1)),_xll.BDH(config!$G$4,F$1,WORKDAY($A201,-1,config_Holiday_Calendar_US),WORKDAY($A201,-1,config_Holiday_Calendar_US)),IF(ISNUMBER(_xll.BDH(config!$G$4,F$1,$A201,$A201)),_xll.BDH(config!$G$4,F$1,$A201,$A201),_xll.BDH(config!$G$5,F$1,$A201,$A201))))</f>
        <v>49.32</v>
      </c>
      <c r="G201" s="8">
        <f>IF($A201="","",IF(ISNUMBER(FIND("IMPVOL",G$1)),_xll.BDH(config!$G$4,G$1,WORKDAY($A201,-1,config_Holiday_Calendar_US),WORKDAY($A201,-1,config_Holiday_Calendar_US)),IF(ISNUMBER(_xll.BDH(config!$G$4,G$1,$A201,$A201)),_xll.BDH(config!$G$4,G$1,$A201,$A201),_xll.BDH(config!$G$5,G$1,$A201,$A201))))</f>
        <v>48.85</v>
      </c>
      <c r="H201" s="8">
        <f>IF($A201="","",IF(ISNUMBER(FIND("IMPVOL",H$1)),_xll.BDH(config!$G$4,H$1,WORKDAY($A201,-1,config_Holiday_Calendar_US),WORKDAY($A201,-1,config_Holiday_Calendar_US)),IF(ISNUMBER(_xll.BDH(config!$G$4,H$1,$A201,$A201)),_xll.BDH(config!$G$4,H$1,$A201,$A201),_xll.BDH(config!$G$5,H$1,$A201,$A201))))</f>
        <v>475407</v>
      </c>
      <c r="I201" s="8" t="str">
        <f>IF($A201="","",IF(ISNUMBER(FIND("IMPVOL",I$1)),_xll.BDH(config!$G$4,I$1,WORKDAY($A201,-1,config_Holiday_Calendar_US),WORKDAY($A201,-1,config_Holiday_Calendar_US)),IF(ISNUMBER(_xll.BDH(config!$G$4,I$1,$A201,$A201)),_xll.BDH(config!$G$4,I$1,$A201,$A201),_xll.BDH(config!$G$5,I$1,$A201,$A201))))</f>
        <v>#N/A Requesting Data...</v>
      </c>
      <c r="J201" s="8" t="str">
        <f>IF($A201="","",IF(ISNUMBER(FIND("IMPVOL",J$1)),_xll.BDH(config!$G$4,J$1,WORKDAY($A201,-1,config_Holiday_Calendar_US),WORKDAY($A201,-1,config_Holiday_Calendar_US)),IF(ISNUMBER(_xll.BDH(config!$G$4,J$1,$A201,$A201)),_xll.BDH(config!$G$4,J$1,$A201,$A201),_xll.BDH(config!$G$5,J$1,$A201,$A201))))</f>
        <v>#N/A Requesting Data...</v>
      </c>
      <c r="K201" s="8" t="str">
        <f>IF($A201="","",IF(ISNUMBER(FIND("IMPVOL",K$1)),_xll.BDH(config!$G$4,K$1,WORKDAY($A201,-1,config_Holiday_Calendar_US),WORKDAY($A201,-1,config_Holiday_Calendar_US)),IF(ISNUMBER(_xll.BDH(config!$G$4,K$1,$A201,$A201)),_xll.BDH(config!$G$4,K$1,$A201,$A201),_xll.BDH(config!$G$5,K$1,$A201,$A201))))</f>
        <v>#N/A Requesting Data...</v>
      </c>
      <c r="L201" s="8" t="str">
        <f>IF($A201="","",IF(ISNUMBER(FIND("IMPVOL",L$1)),_xll.BDH(config!$G$4,L$1,WORKDAY($A201,-1,config_Holiday_Calendar_US),WORKDAY($A201,-1,config_Holiday_Calendar_US)),IF(ISNUMBER(_xll.BDH(config!$G$4,L$1,$A201,$A201)),_xll.BDH(config!$G$4,L$1,$A201,$A201),_xll.BDH(config!$G$5,L$1,$A201,$A201))))</f>
        <v>#N/A Requesting Data...</v>
      </c>
      <c r="M201" s="8" t="str">
        <f>IF($A201="","",IF(ISNUMBER(FIND("IMPVOL",M$1)),_xll.BDH(config!$G$4,M$1,WORKDAY($A201,-1,config_Holiday_Calendar_US),WORKDAY($A201,-1,config_Holiday_Calendar_US)),IF(ISNUMBER(_xll.BDH(config!$G$4,M$1,$A201,$A201)),_xll.BDH(config!$G$4,M$1,$A201,$A201),_xll.BDH(config!$G$5,M$1,$A201,$A201))))</f>
        <v>#N/A Requesting Data...</v>
      </c>
      <c r="N201" s="8" t="str">
        <f>IF($A201="","",IF(ISNUMBER(FIND("IMPVOL",N$1)),_xll.BDH(config!$G$4,N$1,WORKDAY($A201,-1,config_Holiday_Calendar_US),WORKDAY($A201,-1,config_Holiday_Calendar_US)),IF(ISNUMBER(_xll.BDH(config!$G$4,N$1,$A201,$A201)),_xll.BDH(config!$G$4,N$1,$A201,$A201),_xll.BDH(config!$G$5,N$1,$A201,$A201))))</f>
        <v>#N/A Requesting Data...</v>
      </c>
      <c r="O201" s="8" t="str">
        <f>IF($A201="","",IF(ISNUMBER(FIND("IMPVOL",O$1)),_xll.BDH(config!$G$4,O$1,WORKDAY($A201,-1,config_Holiday_Calendar_US),WORKDAY($A201,-1,config_Holiday_Calendar_US)),IF(ISNUMBER(_xll.BDH(config!$G$4,O$1,$A201,$A201)),_xll.BDH(config!$G$4,O$1,$A201,$A201),_xll.BDH(config!$G$5,O$1,$A201,$A201))))</f>
        <v>#N/A Requesting Data...</v>
      </c>
      <c r="P201" s="8" t="str">
        <f>IF($A201="","",IF(ISNUMBER(FIND("IMPVOL",P$1)),_xll.BDH(config!$G$4,P$1,WORKDAY($A201,-1,config_Holiday_Calendar_US),WORKDAY($A201,-1,config_Holiday_Calendar_US)),IF(ISNUMBER(_xll.BDH(config!$G$4,P$1,$A201,$A201)),_xll.BDH(config!$G$4,P$1,$A201,$A201),_xll.BDH(config!$G$5,P$1,$A201,$A201))))</f>
        <v>#N/A Requesting Data...</v>
      </c>
      <c r="Q201" s="8">
        <f>IF($A201="","",IF(ISNUMBER(FIND("IMPVOL",Q$1)),_xll.BDH(config!$G$4,Q$1,WORKDAY($A201,-1,config_Holiday_Calendar_US),WORKDAY($A201,-1,config_Holiday_Calendar_US)),IF(ISNUMBER(_xll.BDH(config!$G$4,Q$1,$A201,$A201)),_xll.BDH(config!$G$4,Q$1,$A201,$A201),_xll.BDH(config!$G$5,Q$1,$A201,$A201))))</f>
        <v>39.21</v>
      </c>
      <c r="R201" s="8">
        <f>IF($A201="","",IF(ISNUMBER(FIND("IMPVOL",R$1)),_xll.BDH(config!$G$4,R$1,WORKDAY($A201,-1,config_Holiday_Calendar_US),WORKDAY($A201,-1,config_Holiday_Calendar_US)),IF(ISNUMBER(_xll.BDH(config!$G$4,R$1,$A201,$A201)),_xll.BDH(config!$G$4,R$1,$A201,$A201),_xll.BDH(config!$G$5,R$1,$A201,$A201))))</f>
        <v>28.78</v>
      </c>
      <c r="S201" s="8" t="str">
        <f>IF($A201="","",IF(ISNUMBER(FIND("IMPVOL",S$1)),_xll.BDH(config!$G$4,S$1,WORKDAY($A201,-1,config_Holiday_Calendar_US),WORKDAY($A201,-1,config_Holiday_Calendar_US)),IF(ISNUMBER(_xll.BDH(config!$G$4,S$1,$A201,$A201)),_xll.BDH(config!$G$4,S$1,$A201,$A201),_xll.BDH(config!$G$5,S$1,$A201,$A201))))</f>
        <v>#N/A Requesting Data...</v>
      </c>
      <c r="T201" s="8" t="str">
        <f>IF($A201="","",IF(ISNUMBER(FIND("IMPVOL",T$1)),_xll.BDH(config!$G$4,T$1,WORKDAY($A201,-1,config_Holiday_Calendar_US),WORKDAY($A201,-1,config_Holiday_Calendar_US)),IF(ISNUMBER(_xll.BDH(config!$G$4,T$1,$A201,$A201)),_xll.BDH(config!$G$4,T$1,$A201,$A201),_xll.BDH(config!$G$5,T$1,$A201,$A201))))</f>
        <v>#N/A Requesting Data...</v>
      </c>
      <c r="U201" s="8" t="str">
        <f>IF($A201="","",IF(ISNUMBER(FIND("IMPVOL",U$1)),_xll.BDH(config!$G$4,U$1,WORKDAY($A201,-1,config_Holiday_Calendar_US),WORKDAY($A201,-1,config_Holiday_Calendar_US)),IF(ISNUMBER(_xll.BDH(config!$G$4,U$1,$A201,$A201)),_xll.BDH(config!$G$4,U$1,$A201,$A201),_xll.BDH(config!$G$5,U$1,$A201,$A201))))</f>
        <v>#N/A Requesting Data...</v>
      </c>
      <c r="V201" s="8" t="str">
        <f>IF($A201="","",IF(ISNUMBER(FIND("IMPVOL",V$1)),_xll.BDH(config!$G$4,V$1,WORKDAY($A201,-1,config_Holiday_Calendar_US),WORKDAY($A201,-1,config_Holiday_Calendar_US)),IF(ISNUMBER(_xll.BDH(config!$G$4,V$1,$A201,$A201)),_xll.BDH(config!$G$4,V$1,$A201,$A201),_xll.BDH(config!$G$5,V$1,$A201,$A201))))</f>
        <v>#N/A Requesting Data...</v>
      </c>
      <c r="W201" s="8" t="str">
        <f>IF($A201="","",IF(ISNUMBER(FIND("IMPVOL",W$1)),_xll.BDH(config!$G$4,W$1,WORKDAY($A201,-1,config_Holiday_Calendar_US),WORKDAY($A201,-1,config_Holiday_Calendar_US)),IF(ISNUMBER(_xll.BDH(config!$G$4,W$1,$A201,$A201)),_xll.BDH(config!$G$4,W$1,$A201,$A201),_xll.BDH(config!$G$5,W$1,$A201,$A201))))</f>
        <v>#N/A Requesting Data...</v>
      </c>
    </row>
    <row r="202" spans="1:23" x14ac:dyDescent="0.2">
      <c r="A202" s="9">
        <f>IF(A201="","",IF(WORKDAY(A201,-1,config_Holiday_Calendar_US)&lt;config!$I$10,"",WORKDAY(A201,-1,config_Holiday_Calendar_US)))</f>
        <v>42541</v>
      </c>
      <c r="B202" s="8" t="e">
        <f t="shared" si="3"/>
        <v>#VALUE!</v>
      </c>
      <c r="C202" s="8" t="str">
        <f>IF(A202="","",_xll.BDH(config!$H$4,C$1,$A202,$A202))</f>
        <v>#N/A Requesting Data...</v>
      </c>
      <c r="D202" s="8" t="str">
        <f>IF($A202="","",_xll.BDH(config!$H$4,D$1,$A202,$A202))</f>
        <v>#N/A Requesting Data...</v>
      </c>
      <c r="E202" s="8">
        <f>IF($A202="","",IF(ISNUMBER(FIND("IMPVOL",E$1)),_xll.BDH(config!$G$4,E$1,WORKDAY($A202,-1,config_Holiday_Calendar_US),WORKDAY($A202,-1,config_Holiday_Calendar_US)),IF(ISNUMBER(_xll.BDH(config!$G$4,E$1,$A202,$A202)),_xll.BDH(config!$G$4,E$1,$A202,$A202),_xll.BDH(config!$G$5,E$1,$A202,$A202))))</f>
        <v>48.29</v>
      </c>
      <c r="F202" s="8">
        <f>IF($A202="","",IF(ISNUMBER(FIND("IMPVOL",F$1)),_xll.BDH(config!$G$4,F$1,WORKDAY($A202,-1,config_Holiday_Calendar_US),WORKDAY($A202,-1,config_Holiday_Calendar_US)),IF(ISNUMBER(_xll.BDH(config!$G$4,F$1,$A202,$A202)),_xll.BDH(config!$G$4,F$1,$A202,$A202),_xll.BDH(config!$G$5,F$1,$A202,$A202))))</f>
        <v>49.42</v>
      </c>
      <c r="G202" s="8">
        <f>IF($A202="","",IF(ISNUMBER(FIND("IMPVOL",G$1)),_xll.BDH(config!$G$4,G$1,WORKDAY($A202,-1,config_Holiday_Calendar_US),WORKDAY($A202,-1,config_Holiday_Calendar_US)),IF(ISNUMBER(_xll.BDH(config!$G$4,G$1,$A202,$A202)),_xll.BDH(config!$G$4,G$1,$A202,$A202),_xll.BDH(config!$G$5,G$1,$A202,$A202))))</f>
        <v>48.72</v>
      </c>
      <c r="H202" s="8">
        <f>IF($A202="","",IF(ISNUMBER(FIND("IMPVOL",H$1)),_xll.BDH(config!$G$4,H$1,WORKDAY($A202,-1,config_Holiday_Calendar_US),WORKDAY($A202,-1,config_Holiday_Calendar_US)),IF(ISNUMBER(_xll.BDH(config!$G$4,H$1,$A202,$A202)),_xll.BDH(config!$G$4,H$1,$A202,$A202),_xll.BDH(config!$G$5,H$1,$A202,$A202))))</f>
        <v>453610</v>
      </c>
      <c r="I202" s="8" t="str">
        <f>IF($A202="","",IF(ISNUMBER(FIND("IMPVOL",I$1)),_xll.BDH(config!$G$4,I$1,WORKDAY($A202,-1,config_Holiday_Calendar_US),WORKDAY($A202,-1,config_Holiday_Calendar_US)),IF(ISNUMBER(_xll.BDH(config!$G$4,I$1,$A202,$A202)),_xll.BDH(config!$G$4,I$1,$A202,$A202),_xll.BDH(config!$G$5,I$1,$A202,$A202))))</f>
        <v>#N/A Requesting Data...</v>
      </c>
      <c r="J202" s="8" t="str">
        <f>IF($A202="","",IF(ISNUMBER(FIND("IMPVOL",J$1)),_xll.BDH(config!$G$4,J$1,WORKDAY($A202,-1,config_Holiday_Calendar_US),WORKDAY($A202,-1,config_Holiday_Calendar_US)),IF(ISNUMBER(_xll.BDH(config!$G$4,J$1,$A202,$A202)),_xll.BDH(config!$G$4,J$1,$A202,$A202),_xll.BDH(config!$G$5,J$1,$A202,$A202))))</f>
        <v>#N/A Requesting Data...</v>
      </c>
      <c r="K202" s="8" t="str">
        <f>IF($A202="","",IF(ISNUMBER(FIND("IMPVOL",K$1)),_xll.BDH(config!$G$4,K$1,WORKDAY($A202,-1,config_Holiday_Calendar_US),WORKDAY($A202,-1,config_Holiday_Calendar_US)),IF(ISNUMBER(_xll.BDH(config!$G$4,K$1,$A202,$A202)),_xll.BDH(config!$G$4,K$1,$A202,$A202),_xll.BDH(config!$G$5,K$1,$A202,$A202))))</f>
        <v>#N/A Requesting Data...</v>
      </c>
      <c r="L202" s="8" t="str">
        <f>IF($A202="","",IF(ISNUMBER(FIND("IMPVOL",L$1)),_xll.BDH(config!$G$4,L$1,WORKDAY($A202,-1,config_Holiday_Calendar_US),WORKDAY($A202,-1,config_Holiday_Calendar_US)),IF(ISNUMBER(_xll.BDH(config!$G$4,L$1,$A202,$A202)),_xll.BDH(config!$G$4,L$1,$A202,$A202),_xll.BDH(config!$G$5,L$1,$A202,$A202))))</f>
        <v>#N/A Requesting Data...</v>
      </c>
      <c r="M202" s="8" t="str">
        <f>IF($A202="","",IF(ISNUMBER(FIND("IMPVOL",M$1)),_xll.BDH(config!$G$4,M$1,WORKDAY($A202,-1,config_Holiday_Calendar_US),WORKDAY($A202,-1,config_Holiday_Calendar_US)),IF(ISNUMBER(_xll.BDH(config!$G$4,M$1,$A202,$A202)),_xll.BDH(config!$G$4,M$1,$A202,$A202),_xll.BDH(config!$G$5,M$1,$A202,$A202))))</f>
        <v>#N/A Requesting Data...</v>
      </c>
      <c r="N202" s="8" t="str">
        <f>IF($A202="","",IF(ISNUMBER(FIND("IMPVOL",N$1)),_xll.BDH(config!$G$4,N$1,WORKDAY($A202,-1,config_Holiday_Calendar_US),WORKDAY($A202,-1,config_Holiday_Calendar_US)),IF(ISNUMBER(_xll.BDH(config!$G$4,N$1,$A202,$A202)),_xll.BDH(config!$G$4,N$1,$A202,$A202),_xll.BDH(config!$G$5,N$1,$A202,$A202))))</f>
        <v>#N/A Requesting Data...</v>
      </c>
      <c r="O202" s="8" t="str">
        <f>IF($A202="","",IF(ISNUMBER(FIND("IMPVOL",O$1)),_xll.BDH(config!$G$4,O$1,WORKDAY($A202,-1,config_Holiday_Calendar_US),WORKDAY($A202,-1,config_Holiday_Calendar_US)),IF(ISNUMBER(_xll.BDH(config!$G$4,O$1,$A202,$A202)),_xll.BDH(config!$G$4,O$1,$A202,$A202),_xll.BDH(config!$G$5,O$1,$A202,$A202))))</f>
        <v>#N/A Requesting Data...</v>
      </c>
      <c r="P202" s="8" t="str">
        <f>IF($A202="","",IF(ISNUMBER(FIND("IMPVOL",P$1)),_xll.BDH(config!$G$4,P$1,WORKDAY($A202,-1,config_Holiday_Calendar_US),WORKDAY($A202,-1,config_Holiday_Calendar_US)),IF(ISNUMBER(_xll.BDH(config!$G$4,P$1,$A202,$A202)),_xll.BDH(config!$G$4,P$1,$A202,$A202),_xll.BDH(config!$G$5,P$1,$A202,$A202))))</f>
        <v>#N/A Requesting Data...</v>
      </c>
      <c r="Q202" s="8">
        <f>IF($A202="","",IF(ISNUMBER(FIND("IMPVOL",Q$1)),_xll.BDH(config!$G$4,Q$1,WORKDAY($A202,-1,config_Holiday_Calendar_US),WORKDAY($A202,-1,config_Holiday_Calendar_US)),IF(ISNUMBER(_xll.BDH(config!$G$4,Q$1,$A202,$A202)),_xll.BDH(config!$G$4,Q$1,$A202,$A202),_xll.BDH(config!$G$5,Q$1,$A202,$A202))))</f>
        <v>41.02</v>
      </c>
      <c r="R202" s="8">
        <f>IF($A202="","",IF(ISNUMBER(FIND("IMPVOL",R$1)),_xll.BDH(config!$G$4,R$1,WORKDAY($A202,-1,config_Holiday_Calendar_US),WORKDAY($A202,-1,config_Holiday_Calendar_US)),IF(ISNUMBER(_xll.BDH(config!$G$4,R$1,$A202,$A202)),_xll.BDH(config!$G$4,R$1,$A202,$A202),_xll.BDH(config!$G$5,R$1,$A202,$A202))))</f>
        <v>29.77</v>
      </c>
      <c r="S202" s="8" t="str">
        <f>IF($A202="","",IF(ISNUMBER(FIND("IMPVOL",S$1)),_xll.BDH(config!$G$4,S$1,WORKDAY($A202,-1,config_Holiday_Calendar_US),WORKDAY($A202,-1,config_Holiday_Calendar_US)),IF(ISNUMBER(_xll.BDH(config!$G$4,S$1,$A202,$A202)),_xll.BDH(config!$G$4,S$1,$A202,$A202),_xll.BDH(config!$G$5,S$1,$A202,$A202))))</f>
        <v>#N/A Requesting Data...</v>
      </c>
      <c r="T202" s="8" t="str">
        <f>IF($A202="","",IF(ISNUMBER(FIND("IMPVOL",T$1)),_xll.BDH(config!$G$4,T$1,WORKDAY($A202,-1,config_Holiday_Calendar_US),WORKDAY($A202,-1,config_Holiday_Calendar_US)),IF(ISNUMBER(_xll.BDH(config!$G$4,T$1,$A202,$A202)),_xll.BDH(config!$G$4,T$1,$A202,$A202),_xll.BDH(config!$G$5,T$1,$A202,$A202))))</f>
        <v>#N/A Requesting Data...</v>
      </c>
      <c r="U202" s="8" t="str">
        <f>IF($A202="","",IF(ISNUMBER(FIND("IMPVOL",U$1)),_xll.BDH(config!$G$4,U$1,WORKDAY($A202,-1,config_Holiday_Calendar_US),WORKDAY($A202,-1,config_Holiday_Calendar_US)),IF(ISNUMBER(_xll.BDH(config!$G$4,U$1,$A202,$A202)),_xll.BDH(config!$G$4,U$1,$A202,$A202),_xll.BDH(config!$G$5,U$1,$A202,$A202))))</f>
        <v>#N/A Requesting Data...</v>
      </c>
      <c r="V202" s="8" t="str">
        <f>IF($A202="","",IF(ISNUMBER(FIND("IMPVOL",V$1)),_xll.BDH(config!$G$4,V$1,WORKDAY($A202,-1,config_Holiday_Calendar_US),WORKDAY($A202,-1,config_Holiday_Calendar_US)),IF(ISNUMBER(_xll.BDH(config!$G$4,V$1,$A202,$A202)),_xll.BDH(config!$G$4,V$1,$A202,$A202),_xll.BDH(config!$G$5,V$1,$A202,$A202))))</f>
        <v>#N/A Requesting Data...</v>
      </c>
      <c r="W202" s="8" t="str">
        <f>IF($A202="","",IF(ISNUMBER(FIND("IMPVOL",W$1)),_xll.BDH(config!$G$4,W$1,WORKDAY($A202,-1,config_Holiday_Calendar_US),WORKDAY($A202,-1,config_Holiday_Calendar_US)),IF(ISNUMBER(_xll.BDH(config!$G$4,W$1,$A202,$A202)),_xll.BDH(config!$G$4,W$1,$A202,$A202),_xll.BDH(config!$G$5,W$1,$A202,$A202))))</f>
        <v>#N/A Requesting Data...</v>
      </c>
    </row>
    <row r="203" spans="1:23" x14ac:dyDescent="0.2">
      <c r="A203" s="9">
        <f>IF(A202="","",IF(WORKDAY(A202,-1,config_Holiday_Calendar_US)&lt;config!$I$10,"",WORKDAY(A202,-1,config_Holiday_Calendar_US)))</f>
        <v>42538</v>
      </c>
      <c r="B203" s="8" t="e">
        <f t="shared" si="3"/>
        <v>#VALUE!</v>
      </c>
      <c r="C203" s="8" t="str">
        <f>IF(A203="","",_xll.BDH(config!$H$4,C$1,$A203,$A203))</f>
        <v>#N/A Requesting Data...</v>
      </c>
      <c r="D203" s="8" t="str">
        <f>IF($A203="","",_xll.BDH(config!$H$4,D$1,$A203,$A203))</f>
        <v>#N/A Requesting Data...</v>
      </c>
      <c r="E203" s="8">
        <f>IF($A203="","",IF(ISNUMBER(FIND("IMPVOL",E$1)),_xll.BDH(config!$G$4,E$1,WORKDAY($A203,-1,config_Holiday_Calendar_US),WORKDAY($A203,-1,config_Holiday_Calendar_US)),IF(ISNUMBER(_xll.BDH(config!$G$4,E$1,$A203,$A203)),_xll.BDH(config!$G$4,E$1,$A203,$A203),_xll.BDH(config!$G$5,E$1,$A203,$A203))))</f>
        <v>45.99</v>
      </c>
      <c r="F203" s="8">
        <f>IF($A203="","",IF(ISNUMBER(FIND("IMPVOL",F$1)),_xll.BDH(config!$G$4,F$1,WORKDAY($A203,-1,config_Holiday_Calendar_US),WORKDAY($A203,-1,config_Holiday_Calendar_US)),IF(ISNUMBER(_xll.BDH(config!$G$4,F$1,$A203,$A203)),_xll.BDH(config!$G$4,F$1,$A203,$A203),_xll.BDH(config!$G$5,F$1,$A203,$A203))))</f>
        <v>48.29</v>
      </c>
      <c r="G203" s="8">
        <f>IF($A203="","",IF(ISNUMBER(FIND("IMPVOL",G$1)),_xll.BDH(config!$G$4,G$1,WORKDAY($A203,-1,config_Holiday_Calendar_US),WORKDAY($A203,-1,config_Holiday_Calendar_US)),IF(ISNUMBER(_xll.BDH(config!$G$4,G$1,$A203,$A203)),_xll.BDH(config!$G$4,G$1,$A203,$A203),_xll.BDH(config!$G$5,G$1,$A203,$A203))))</f>
        <v>46.4</v>
      </c>
      <c r="H203" s="8">
        <f>IF($A203="","",IF(ISNUMBER(FIND("IMPVOL",H$1)),_xll.BDH(config!$G$4,H$1,WORKDAY($A203,-1,config_Holiday_Calendar_US),WORKDAY($A203,-1,config_Holiday_Calendar_US)),IF(ISNUMBER(_xll.BDH(config!$G$4,H$1,$A203,$A203)),_xll.BDH(config!$G$4,H$1,$A203,$A203),_xll.BDH(config!$G$5,H$1,$A203,$A203))))</f>
        <v>417372</v>
      </c>
      <c r="I203" s="8" t="str">
        <f>IF($A203="","",IF(ISNUMBER(FIND("IMPVOL",I$1)),_xll.BDH(config!$G$4,I$1,WORKDAY($A203,-1,config_Holiday_Calendar_US),WORKDAY($A203,-1,config_Holiday_Calendar_US)),IF(ISNUMBER(_xll.BDH(config!$G$4,I$1,$A203,$A203)),_xll.BDH(config!$G$4,I$1,$A203,$A203),_xll.BDH(config!$G$5,I$1,$A203,$A203))))</f>
        <v>#N/A Requesting Data...</v>
      </c>
      <c r="J203" s="8" t="str">
        <f>IF($A203="","",IF(ISNUMBER(FIND("IMPVOL",J$1)),_xll.BDH(config!$G$4,J$1,WORKDAY($A203,-1,config_Holiday_Calendar_US),WORKDAY($A203,-1,config_Holiday_Calendar_US)),IF(ISNUMBER(_xll.BDH(config!$G$4,J$1,$A203,$A203)),_xll.BDH(config!$G$4,J$1,$A203,$A203),_xll.BDH(config!$G$5,J$1,$A203,$A203))))</f>
        <v>#N/A Requesting Data...</v>
      </c>
      <c r="K203" s="8" t="str">
        <f>IF($A203="","",IF(ISNUMBER(FIND("IMPVOL",K$1)),_xll.BDH(config!$G$4,K$1,WORKDAY($A203,-1,config_Holiday_Calendar_US),WORKDAY($A203,-1,config_Holiday_Calendar_US)),IF(ISNUMBER(_xll.BDH(config!$G$4,K$1,$A203,$A203)),_xll.BDH(config!$G$4,K$1,$A203,$A203),_xll.BDH(config!$G$5,K$1,$A203,$A203))))</f>
        <v>#N/A Requesting Data...</v>
      </c>
      <c r="L203" s="8" t="str">
        <f>IF($A203="","",IF(ISNUMBER(FIND("IMPVOL",L$1)),_xll.BDH(config!$G$4,L$1,WORKDAY($A203,-1,config_Holiday_Calendar_US),WORKDAY($A203,-1,config_Holiday_Calendar_US)),IF(ISNUMBER(_xll.BDH(config!$G$4,L$1,$A203,$A203)),_xll.BDH(config!$G$4,L$1,$A203,$A203),_xll.BDH(config!$G$5,L$1,$A203,$A203))))</f>
        <v>#N/A Requesting Data...</v>
      </c>
      <c r="M203" s="8" t="str">
        <f>IF($A203="","",IF(ISNUMBER(FIND("IMPVOL",M$1)),_xll.BDH(config!$G$4,M$1,WORKDAY($A203,-1,config_Holiday_Calendar_US),WORKDAY($A203,-1,config_Holiday_Calendar_US)),IF(ISNUMBER(_xll.BDH(config!$G$4,M$1,$A203,$A203)),_xll.BDH(config!$G$4,M$1,$A203,$A203),_xll.BDH(config!$G$5,M$1,$A203,$A203))))</f>
        <v>#N/A Requesting Data...</v>
      </c>
      <c r="N203" s="8" t="str">
        <f>IF($A203="","",IF(ISNUMBER(FIND("IMPVOL",N$1)),_xll.BDH(config!$G$4,N$1,WORKDAY($A203,-1,config_Holiday_Calendar_US),WORKDAY($A203,-1,config_Holiday_Calendar_US)),IF(ISNUMBER(_xll.BDH(config!$G$4,N$1,$A203,$A203)),_xll.BDH(config!$G$4,N$1,$A203,$A203),_xll.BDH(config!$G$5,N$1,$A203,$A203))))</f>
        <v>#N/A Requesting Data...</v>
      </c>
      <c r="O203" s="8" t="str">
        <f>IF($A203="","",IF(ISNUMBER(FIND("IMPVOL",O$1)),_xll.BDH(config!$G$4,O$1,WORKDAY($A203,-1,config_Holiday_Calendar_US),WORKDAY($A203,-1,config_Holiday_Calendar_US)),IF(ISNUMBER(_xll.BDH(config!$G$4,O$1,$A203,$A203)),_xll.BDH(config!$G$4,O$1,$A203,$A203),_xll.BDH(config!$G$5,O$1,$A203,$A203))))</f>
        <v>#N/A Requesting Data...</v>
      </c>
      <c r="P203" s="8" t="str">
        <f>IF($A203="","",IF(ISNUMBER(FIND("IMPVOL",P$1)),_xll.BDH(config!$G$4,P$1,WORKDAY($A203,-1,config_Holiday_Calendar_US),WORKDAY($A203,-1,config_Holiday_Calendar_US)),IF(ISNUMBER(_xll.BDH(config!$G$4,P$1,$A203,$A203)),_xll.BDH(config!$G$4,P$1,$A203,$A203),_xll.BDH(config!$G$5,P$1,$A203,$A203))))</f>
        <v>#N/A Requesting Data...</v>
      </c>
      <c r="Q203" s="8">
        <f>IF($A203="","",IF(ISNUMBER(FIND("IMPVOL",Q$1)),_xll.BDH(config!$G$4,Q$1,WORKDAY($A203,-1,config_Holiday_Calendar_US),WORKDAY($A203,-1,config_Holiday_Calendar_US)),IF(ISNUMBER(_xll.BDH(config!$G$4,Q$1,$A203,$A203)),_xll.BDH(config!$G$4,Q$1,$A203,$A203),_xll.BDH(config!$G$5,Q$1,$A203,$A203))))</f>
        <v>38.29</v>
      </c>
      <c r="R203" s="8">
        <f>IF($A203="","",IF(ISNUMBER(FIND("IMPVOL",R$1)),_xll.BDH(config!$G$4,R$1,WORKDAY($A203,-1,config_Holiday_Calendar_US),WORKDAY($A203,-1,config_Holiday_Calendar_US)),IF(ISNUMBER(_xll.BDH(config!$G$4,R$1,$A203,$A203)),_xll.BDH(config!$G$4,R$1,$A203,$A203),_xll.BDH(config!$G$5,R$1,$A203,$A203))))</f>
        <v>30.41</v>
      </c>
      <c r="S203" s="8" t="str">
        <f>IF($A203="","",IF(ISNUMBER(FIND("IMPVOL",S$1)),_xll.BDH(config!$G$4,S$1,WORKDAY($A203,-1,config_Holiday_Calendar_US),WORKDAY($A203,-1,config_Holiday_Calendar_US)),IF(ISNUMBER(_xll.BDH(config!$G$4,S$1,$A203,$A203)),_xll.BDH(config!$G$4,S$1,$A203,$A203),_xll.BDH(config!$G$5,S$1,$A203,$A203))))</f>
        <v>#N/A Requesting Data...</v>
      </c>
      <c r="T203" s="8" t="str">
        <f>IF($A203="","",IF(ISNUMBER(FIND("IMPVOL",T$1)),_xll.BDH(config!$G$4,T$1,WORKDAY($A203,-1,config_Holiday_Calendar_US),WORKDAY($A203,-1,config_Holiday_Calendar_US)),IF(ISNUMBER(_xll.BDH(config!$G$4,T$1,$A203,$A203)),_xll.BDH(config!$G$4,T$1,$A203,$A203),_xll.BDH(config!$G$5,T$1,$A203,$A203))))</f>
        <v>#N/A Requesting Data...</v>
      </c>
      <c r="U203" s="8" t="str">
        <f>IF($A203="","",IF(ISNUMBER(FIND("IMPVOL",U$1)),_xll.BDH(config!$G$4,U$1,WORKDAY($A203,-1,config_Holiday_Calendar_US),WORKDAY($A203,-1,config_Holiday_Calendar_US)),IF(ISNUMBER(_xll.BDH(config!$G$4,U$1,$A203,$A203)),_xll.BDH(config!$G$4,U$1,$A203,$A203),_xll.BDH(config!$G$5,U$1,$A203,$A203))))</f>
        <v>#N/A Requesting Data...</v>
      </c>
      <c r="V203" s="8" t="str">
        <f>IF($A203="","",IF(ISNUMBER(FIND("IMPVOL",V$1)),_xll.BDH(config!$G$4,V$1,WORKDAY($A203,-1,config_Holiday_Calendar_US),WORKDAY($A203,-1,config_Holiday_Calendar_US)),IF(ISNUMBER(_xll.BDH(config!$G$4,V$1,$A203,$A203)),_xll.BDH(config!$G$4,V$1,$A203,$A203),_xll.BDH(config!$G$5,V$1,$A203,$A203))))</f>
        <v>#N/A Requesting Data...</v>
      </c>
      <c r="W203" s="8" t="str">
        <f>IF($A203="","",IF(ISNUMBER(FIND("IMPVOL",W$1)),_xll.BDH(config!$G$4,W$1,WORKDAY($A203,-1,config_Holiday_Calendar_US),WORKDAY($A203,-1,config_Holiday_Calendar_US)),IF(ISNUMBER(_xll.BDH(config!$G$4,W$1,$A203,$A203)),_xll.BDH(config!$G$4,W$1,$A203,$A203),_xll.BDH(config!$G$5,W$1,$A203,$A203))))</f>
        <v>#N/A Requesting Data...</v>
      </c>
    </row>
    <row r="204" spans="1:23" x14ac:dyDescent="0.2">
      <c r="A204" s="9">
        <f>IF(A203="","",IF(WORKDAY(A203,-1,config_Holiday_Calendar_US)&lt;config!$I$10,"",WORKDAY(A203,-1,config_Holiday_Calendar_US)))</f>
        <v>42537</v>
      </c>
      <c r="B204" s="8" t="e">
        <f t="shared" si="3"/>
        <v>#VALUE!</v>
      </c>
      <c r="C204" s="8" t="str">
        <f>IF(A204="","",_xll.BDH(config!$H$4,C$1,$A204,$A204))</f>
        <v>#N/A Requesting Data...</v>
      </c>
      <c r="D204" s="8" t="str">
        <f>IF($A204="","",_xll.BDH(config!$H$4,D$1,$A204,$A204))</f>
        <v>#N/A Requesting Data...</v>
      </c>
      <c r="E204" s="8">
        <f>IF($A204="","",IF(ISNUMBER(FIND("IMPVOL",E$1)),_xll.BDH(config!$G$4,E$1,WORKDAY($A204,-1,config_Holiday_Calendar_US),WORKDAY($A204,-1,config_Holiday_Calendar_US)),IF(ISNUMBER(_xll.BDH(config!$G$4,E$1,$A204,$A204)),_xll.BDH(config!$G$4,E$1,$A204,$A204),_xll.BDH(config!$G$5,E$1,$A204,$A204))))</f>
        <v>47.45</v>
      </c>
      <c r="F204" s="8">
        <f>IF($A204="","",IF(ISNUMBER(FIND("IMPVOL",F$1)),_xll.BDH(config!$G$4,F$1,WORKDAY($A204,-1,config_Holiday_Calendar_US),WORKDAY($A204,-1,config_Holiday_Calendar_US)),IF(ISNUMBER(_xll.BDH(config!$G$4,F$1,$A204,$A204)),_xll.BDH(config!$G$4,F$1,$A204,$A204),_xll.BDH(config!$G$5,F$1,$A204,$A204))))</f>
        <v>47.75</v>
      </c>
      <c r="G204" s="8">
        <f>IF($A204="","",IF(ISNUMBER(FIND("IMPVOL",G$1)),_xll.BDH(config!$G$4,G$1,WORKDAY($A204,-1,config_Holiday_Calendar_US),WORKDAY($A204,-1,config_Holiday_Calendar_US)),IF(ISNUMBER(_xll.BDH(config!$G$4,G$1,$A204,$A204)),_xll.BDH(config!$G$4,G$1,$A204,$A204),_xll.BDH(config!$G$5,G$1,$A204,$A204))))</f>
        <v>46.44</v>
      </c>
      <c r="H204" s="8">
        <f>IF($A204="","",IF(ISNUMBER(FIND("IMPVOL",H$1)),_xll.BDH(config!$G$4,H$1,WORKDAY($A204,-1,config_Holiday_Calendar_US),WORKDAY($A204,-1,config_Holiday_Calendar_US)),IF(ISNUMBER(_xll.BDH(config!$G$4,H$1,$A204,$A204)),_xll.BDH(config!$G$4,H$1,$A204,$A204),_xll.BDH(config!$G$5,H$1,$A204,$A204))))</f>
        <v>370737</v>
      </c>
      <c r="I204" s="8" t="str">
        <f>IF($A204="","",IF(ISNUMBER(FIND("IMPVOL",I$1)),_xll.BDH(config!$G$4,I$1,WORKDAY($A204,-1,config_Holiday_Calendar_US),WORKDAY($A204,-1,config_Holiday_Calendar_US)),IF(ISNUMBER(_xll.BDH(config!$G$4,I$1,$A204,$A204)),_xll.BDH(config!$G$4,I$1,$A204,$A204),_xll.BDH(config!$G$5,I$1,$A204,$A204))))</f>
        <v>#N/A Requesting Data...</v>
      </c>
      <c r="J204" s="8" t="str">
        <f>IF($A204="","",IF(ISNUMBER(FIND("IMPVOL",J$1)),_xll.BDH(config!$G$4,J$1,WORKDAY($A204,-1,config_Holiday_Calendar_US),WORKDAY($A204,-1,config_Holiday_Calendar_US)),IF(ISNUMBER(_xll.BDH(config!$G$4,J$1,$A204,$A204)),_xll.BDH(config!$G$4,J$1,$A204,$A204),_xll.BDH(config!$G$5,J$1,$A204,$A204))))</f>
        <v>#N/A Requesting Data...</v>
      </c>
      <c r="K204" s="8" t="str">
        <f>IF($A204="","",IF(ISNUMBER(FIND("IMPVOL",K$1)),_xll.BDH(config!$G$4,K$1,WORKDAY($A204,-1,config_Holiday_Calendar_US),WORKDAY($A204,-1,config_Holiday_Calendar_US)),IF(ISNUMBER(_xll.BDH(config!$G$4,K$1,$A204,$A204)),_xll.BDH(config!$G$4,K$1,$A204,$A204),_xll.BDH(config!$G$5,K$1,$A204,$A204))))</f>
        <v>#N/A Requesting Data...</v>
      </c>
      <c r="L204" s="8" t="str">
        <f>IF($A204="","",IF(ISNUMBER(FIND("IMPVOL",L$1)),_xll.BDH(config!$G$4,L$1,WORKDAY($A204,-1,config_Holiday_Calendar_US),WORKDAY($A204,-1,config_Holiday_Calendar_US)),IF(ISNUMBER(_xll.BDH(config!$G$4,L$1,$A204,$A204)),_xll.BDH(config!$G$4,L$1,$A204,$A204),_xll.BDH(config!$G$5,L$1,$A204,$A204))))</f>
        <v>#N/A Requesting Data...</v>
      </c>
      <c r="M204" s="8" t="str">
        <f>IF($A204="","",IF(ISNUMBER(FIND("IMPVOL",M$1)),_xll.BDH(config!$G$4,M$1,WORKDAY($A204,-1,config_Holiday_Calendar_US),WORKDAY($A204,-1,config_Holiday_Calendar_US)),IF(ISNUMBER(_xll.BDH(config!$G$4,M$1,$A204,$A204)),_xll.BDH(config!$G$4,M$1,$A204,$A204),_xll.BDH(config!$G$5,M$1,$A204,$A204))))</f>
        <v>#N/A Requesting Data...</v>
      </c>
      <c r="N204" s="8" t="str">
        <f>IF($A204="","",IF(ISNUMBER(FIND("IMPVOL",N$1)),_xll.BDH(config!$G$4,N$1,WORKDAY($A204,-1,config_Holiday_Calendar_US),WORKDAY($A204,-1,config_Holiday_Calendar_US)),IF(ISNUMBER(_xll.BDH(config!$G$4,N$1,$A204,$A204)),_xll.BDH(config!$G$4,N$1,$A204,$A204),_xll.BDH(config!$G$5,N$1,$A204,$A204))))</f>
        <v>#N/A Requesting Data...</v>
      </c>
      <c r="O204" s="8" t="str">
        <f>IF($A204="","",IF(ISNUMBER(FIND("IMPVOL",O$1)),_xll.BDH(config!$G$4,O$1,WORKDAY($A204,-1,config_Holiday_Calendar_US),WORKDAY($A204,-1,config_Holiday_Calendar_US)),IF(ISNUMBER(_xll.BDH(config!$G$4,O$1,$A204,$A204)),_xll.BDH(config!$G$4,O$1,$A204,$A204),_xll.BDH(config!$G$5,O$1,$A204,$A204))))</f>
        <v>#N/A Requesting Data...</v>
      </c>
      <c r="P204" s="8" t="str">
        <f>IF($A204="","",IF(ISNUMBER(FIND("IMPVOL",P$1)),_xll.BDH(config!$G$4,P$1,WORKDAY($A204,-1,config_Holiday_Calendar_US),WORKDAY($A204,-1,config_Holiday_Calendar_US)),IF(ISNUMBER(_xll.BDH(config!$G$4,P$1,$A204,$A204)),_xll.BDH(config!$G$4,P$1,$A204,$A204),_xll.BDH(config!$G$5,P$1,$A204,$A204))))</f>
        <v>#N/A Requesting Data...</v>
      </c>
      <c r="Q204" s="8">
        <f>IF($A204="","",IF(ISNUMBER(FIND("IMPVOL",Q$1)),_xll.BDH(config!$G$4,Q$1,WORKDAY($A204,-1,config_Holiday_Calendar_US),WORKDAY($A204,-1,config_Holiday_Calendar_US)),IF(ISNUMBER(_xll.BDH(config!$G$4,Q$1,$A204,$A204)),_xll.BDH(config!$G$4,Q$1,$A204,$A204),_xll.BDH(config!$G$5,Q$1,$A204,$A204))))</f>
        <v>33.020000000000003</v>
      </c>
      <c r="R204" s="8">
        <f>IF($A204="","",IF(ISNUMBER(FIND("IMPVOL",R$1)),_xll.BDH(config!$G$4,R$1,WORKDAY($A204,-1,config_Holiday_Calendar_US),WORKDAY($A204,-1,config_Holiday_Calendar_US)),IF(ISNUMBER(_xll.BDH(config!$G$4,R$1,$A204,$A204)),_xll.BDH(config!$G$4,R$1,$A204,$A204),_xll.BDH(config!$G$5,R$1,$A204,$A204))))</f>
        <v>28.4</v>
      </c>
      <c r="S204" s="8" t="str">
        <f>IF($A204="","",IF(ISNUMBER(FIND("IMPVOL",S$1)),_xll.BDH(config!$G$4,S$1,WORKDAY($A204,-1,config_Holiday_Calendar_US),WORKDAY($A204,-1,config_Holiday_Calendar_US)),IF(ISNUMBER(_xll.BDH(config!$G$4,S$1,$A204,$A204)),_xll.BDH(config!$G$4,S$1,$A204,$A204),_xll.BDH(config!$G$5,S$1,$A204,$A204))))</f>
        <v>#N/A Requesting Data...</v>
      </c>
      <c r="T204" s="8" t="str">
        <f>IF($A204="","",IF(ISNUMBER(FIND("IMPVOL",T$1)),_xll.BDH(config!$G$4,T$1,WORKDAY($A204,-1,config_Holiday_Calendar_US),WORKDAY($A204,-1,config_Holiday_Calendar_US)),IF(ISNUMBER(_xll.BDH(config!$G$4,T$1,$A204,$A204)),_xll.BDH(config!$G$4,T$1,$A204,$A204),_xll.BDH(config!$G$5,T$1,$A204,$A204))))</f>
        <v>#N/A Requesting Data...</v>
      </c>
      <c r="U204" s="8" t="str">
        <f>IF($A204="","",IF(ISNUMBER(FIND("IMPVOL",U$1)),_xll.BDH(config!$G$4,U$1,WORKDAY($A204,-1,config_Holiday_Calendar_US),WORKDAY($A204,-1,config_Holiday_Calendar_US)),IF(ISNUMBER(_xll.BDH(config!$G$4,U$1,$A204,$A204)),_xll.BDH(config!$G$4,U$1,$A204,$A204),_xll.BDH(config!$G$5,U$1,$A204,$A204))))</f>
        <v>#N/A Requesting Data...</v>
      </c>
      <c r="V204" s="8" t="str">
        <f>IF($A204="","",IF(ISNUMBER(FIND("IMPVOL",V$1)),_xll.BDH(config!$G$4,V$1,WORKDAY($A204,-1,config_Holiday_Calendar_US),WORKDAY($A204,-1,config_Holiday_Calendar_US)),IF(ISNUMBER(_xll.BDH(config!$G$4,V$1,$A204,$A204)),_xll.BDH(config!$G$4,V$1,$A204,$A204),_xll.BDH(config!$G$5,V$1,$A204,$A204))))</f>
        <v>#N/A Requesting Data...</v>
      </c>
      <c r="W204" s="8" t="str">
        <f>IF($A204="","",IF(ISNUMBER(FIND("IMPVOL",W$1)),_xll.BDH(config!$G$4,W$1,WORKDAY($A204,-1,config_Holiday_Calendar_US),WORKDAY($A204,-1,config_Holiday_Calendar_US)),IF(ISNUMBER(_xll.BDH(config!$G$4,W$1,$A204,$A204)),_xll.BDH(config!$G$4,W$1,$A204,$A204),_xll.BDH(config!$G$5,W$1,$A204,$A204))))</f>
        <v>#N/A Requesting Data...</v>
      </c>
    </row>
    <row r="205" spans="1:23" x14ac:dyDescent="0.2">
      <c r="A205" s="9">
        <f>IF(A204="","",IF(WORKDAY(A204,-1,config_Holiday_Calendar_US)&lt;config!$I$10,"",WORKDAY(A204,-1,config_Holiday_Calendar_US)))</f>
        <v>42536</v>
      </c>
      <c r="B205" s="8" t="e">
        <f t="shared" si="3"/>
        <v>#VALUE!</v>
      </c>
      <c r="C205" s="8" t="str">
        <f>IF(A205="","",_xll.BDH(config!$H$4,C$1,$A205,$A205))</f>
        <v>#N/A Requesting Data...</v>
      </c>
      <c r="D205" s="8" t="str">
        <f>IF($A205="","",_xll.BDH(config!$H$4,D$1,$A205,$A205))</f>
        <v>#N/A Requesting Data...</v>
      </c>
      <c r="E205" s="8">
        <f>IF($A205="","",IF(ISNUMBER(FIND("IMPVOL",E$1)),_xll.BDH(config!$G$4,E$1,WORKDAY($A205,-1,config_Holiday_Calendar_US),WORKDAY($A205,-1,config_Holiday_Calendar_US)),IF(ISNUMBER(_xll.BDH(config!$G$4,E$1,$A205,$A205)),_xll.BDH(config!$G$4,E$1,$A205,$A205),_xll.BDH(config!$G$5,E$1,$A205,$A205))))</f>
        <v>47.9</v>
      </c>
      <c r="F205" s="8">
        <f>IF($A205="","",IF(ISNUMBER(FIND("IMPVOL",F$1)),_xll.BDH(config!$G$4,F$1,WORKDAY($A205,-1,config_Holiday_Calendar_US),WORKDAY($A205,-1,config_Holiday_Calendar_US)),IF(ISNUMBER(_xll.BDH(config!$G$4,F$1,$A205,$A205)),_xll.BDH(config!$G$4,F$1,$A205,$A205),_xll.BDH(config!$G$5,F$1,$A205,$A205))))</f>
        <v>48.72</v>
      </c>
      <c r="G205" s="8">
        <f>IF($A205="","",IF(ISNUMBER(FIND("IMPVOL",G$1)),_xll.BDH(config!$G$4,G$1,WORKDAY($A205,-1,config_Holiday_Calendar_US),WORKDAY($A205,-1,config_Holiday_Calendar_US)),IF(ISNUMBER(_xll.BDH(config!$G$4,G$1,$A205,$A205)),_xll.BDH(config!$G$4,G$1,$A205,$A205),_xll.BDH(config!$G$5,G$1,$A205,$A205))))</f>
        <v>47.79</v>
      </c>
      <c r="H205" s="8">
        <f>IF($A205="","",IF(ISNUMBER(FIND("IMPVOL",H$1)),_xll.BDH(config!$G$4,H$1,WORKDAY($A205,-1,config_Holiday_Calendar_US),WORKDAY($A205,-1,config_Holiday_Calendar_US)),IF(ISNUMBER(_xll.BDH(config!$G$4,H$1,$A205,$A205)),_xll.BDH(config!$G$4,H$1,$A205,$A205),_xll.BDH(config!$G$5,H$1,$A205,$A205))))</f>
        <v>285231</v>
      </c>
      <c r="I205" s="8" t="str">
        <f>IF($A205="","",IF(ISNUMBER(FIND("IMPVOL",I$1)),_xll.BDH(config!$G$4,I$1,WORKDAY($A205,-1,config_Holiday_Calendar_US),WORKDAY($A205,-1,config_Holiday_Calendar_US)),IF(ISNUMBER(_xll.BDH(config!$G$4,I$1,$A205,$A205)),_xll.BDH(config!$G$4,I$1,$A205,$A205),_xll.BDH(config!$G$5,I$1,$A205,$A205))))</f>
        <v>#N/A Requesting Data...</v>
      </c>
      <c r="J205" s="8" t="str">
        <f>IF($A205="","",IF(ISNUMBER(FIND("IMPVOL",J$1)),_xll.BDH(config!$G$4,J$1,WORKDAY($A205,-1,config_Holiday_Calendar_US),WORKDAY($A205,-1,config_Holiday_Calendar_US)),IF(ISNUMBER(_xll.BDH(config!$G$4,J$1,$A205,$A205)),_xll.BDH(config!$G$4,J$1,$A205,$A205),_xll.BDH(config!$G$5,J$1,$A205,$A205))))</f>
        <v>#N/A Requesting Data...</v>
      </c>
      <c r="K205" s="8" t="str">
        <f>IF($A205="","",IF(ISNUMBER(FIND("IMPVOL",K$1)),_xll.BDH(config!$G$4,K$1,WORKDAY($A205,-1,config_Holiday_Calendar_US),WORKDAY($A205,-1,config_Holiday_Calendar_US)),IF(ISNUMBER(_xll.BDH(config!$G$4,K$1,$A205,$A205)),_xll.BDH(config!$G$4,K$1,$A205,$A205),_xll.BDH(config!$G$5,K$1,$A205,$A205))))</f>
        <v>#N/A Requesting Data...</v>
      </c>
      <c r="L205" s="8" t="str">
        <f>IF($A205="","",IF(ISNUMBER(FIND("IMPVOL",L$1)),_xll.BDH(config!$G$4,L$1,WORKDAY($A205,-1,config_Holiday_Calendar_US),WORKDAY($A205,-1,config_Holiday_Calendar_US)),IF(ISNUMBER(_xll.BDH(config!$G$4,L$1,$A205,$A205)),_xll.BDH(config!$G$4,L$1,$A205,$A205),_xll.BDH(config!$G$5,L$1,$A205,$A205))))</f>
        <v>#N/A Requesting Data...</v>
      </c>
      <c r="M205" s="8" t="str">
        <f>IF($A205="","",IF(ISNUMBER(FIND("IMPVOL",M$1)),_xll.BDH(config!$G$4,M$1,WORKDAY($A205,-1,config_Holiday_Calendar_US),WORKDAY($A205,-1,config_Holiday_Calendar_US)),IF(ISNUMBER(_xll.BDH(config!$G$4,M$1,$A205,$A205)),_xll.BDH(config!$G$4,M$1,$A205,$A205),_xll.BDH(config!$G$5,M$1,$A205,$A205))))</f>
        <v>#N/A Requesting Data...</v>
      </c>
      <c r="N205" s="8" t="str">
        <f>IF($A205="","",IF(ISNUMBER(FIND("IMPVOL",N$1)),_xll.BDH(config!$G$4,N$1,WORKDAY($A205,-1,config_Holiday_Calendar_US),WORKDAY($A205,-1,config_Holiday_Calendar_US)),IF(ISNUMBER(_xll.BDH(config!$G$4,N$1,$A205,$A205)),_xll.BDH(config!$G$4,N$1,$A205,$A205),_xll.BDH(config!$G$5,N$1,$A205,$A205))))</f>
        <v>#N/A Requesting Data...</v>
      </c>
      <c r="O205" s="8" t="str">
        <f>IF($A205="","",IF(ISNUMBER(FIND("IMPVOL",O$1)),_xll.BDH(config!$G$4,O$1,WORKDAY($A205,-1,config_Holiday_Calendar_US),WORKDAY($A205,-1,config_Holiday_Calendar_US)),IF(ISNUMBER(_xll.BDH(config!$G$4,O$1,$A205,$A205)),_xll.BDH(config!$G$4,O$1,$A205,$A205),_xll.BDH(config!$G$5,O$1,$A205,$A205))))</f>
        <v>#N/A Requesting Data...</v>
      </c>
      <c r="P205" s="8" t="str">
        <f>IF($A205="","",IF(ISNUMBER(FIND("IMPVOL",P$1)),_xll.BDH(config!$G$4,P$1,WORKDAY($A205,-1,config_Holiday_Calendar_US),WORKDAY($A205,-1,config_Holiday_Calendar_US)),IF(ISNUMBER(_xll.BDH(config!$G$4,P$1,$A205,$A205)),_xll.BDH(config!$G$4,P$1,$A205,$A205),_xll.BDH(config!$G$5,P$1,$A205,$A205))))</f>
        <v>#N/A Requesting Data...</v>
      </c>
      <c r="Q205" s="8">
        <f>IF($A205="","",IF(ISNUMBER(FIND("IMPVOL",Q$1)),_xll.BDH(config!$G$4,Q$1,WORKDAY($A205,-1,config_Holiday_Calendar_US),WORKDAY($A205,-1,config_Holiday_Calendar_US)),IF(ISNUMBER(_xll.BDH(config!$G$4,Q$1,$A205,$A205)),_xll.BDH(config!$G$4,Q$1,$A205,$A205),_xll.BDH(config!$G$5,Q$1,$A205,$A205))))</f>
        <v>27.47</v>
      </c>
      <c r="R205" s="8">
        <f>IF($A205="","",IF(ISNUMBER(FIND("IMPVOL",R$1)),_xll.BDH(config!$G$4,R$1,WORKDAY($A205,-1,config_Holiday_Calendar_US),WORKDAY($A205,-1,config_Holiday_Calendar_US)),IF(ISNUMBER(_xll.BDH(config!$G$4,R$1,$A205,$A205)),_xll.BDH(config!$G$4,R$1,$A205,$A205),_xll.BDH(config!$G$5,R$1,$A205,$A205))))</f>
        <v>25.91</v>
      </c>
      <c r="S205" s="8" t="str">
        <f>IF($A205="","",IF(ISNUMBER(FIND("IMPVOL",S$1)),_xll.BDH(config!$G$4,S$1,WORKDAY($A205,-1,config_Holiday_Calendar_US),WORKDAY($A205,-1,config_Holiday_Calendar_US)),IF(ISNUMBER(_xll.BDH(config!$G$4,S$1,$A205,$A205)),_xll.BDH(config!$G$4,S$1,$A205,$A205),_xll.BDH(config!$G$5,S$1,$A205,$A205))))</f>
        <v>#N/A Requesting Data...</v>
      </c>
      <c r="T205" s="8" t="str">
        <f>IF($A205="","",IF(ISNUMBER(FIND("IMPVOL",T$1)),_xll.BDH(config!$G$4,T$1,WORKDAY($A205,-1,config_Holiday_Calendar_US),WORKDAY($A205,-1,config_Holiday_Calendar_US)),IF(ISNUMBER(_xll.BDH(config!$G$4,T$1,$A205,$A205)),_xll.BDH(config!$G$4,T$1,$A205,$A205),_xll.BDH(config!$G$5,T$1,$A205,$A205))))</f>
        <v>#N/A Requesting Data...</v>
      </c>
      <c r="U205" s="8" t="str">
        <f>IF($A205="","",IF(ISNUMBER(FIND("IMPVOL",U$1)),_xll.BDH(config!$G$4,U$1,WORKDAY($A205,-1,config_Holiday_Calendar_US),WORKDAY($A205,-1,config_Holiday_Calendar_US)),IF(ISNUMBER(_xll.BDH(config!$G$4,U$1,$A205,$A205)),_xll.BDH(config!$G$4,U$1,$A205,$A205),_xll.BDH(config!$G$5,U$1,$A205,$A205))))</f>
        <v>#N/A Requesting Data...</v>
      </c>
      <c r="V205" s="8" t="str">
        <f>IF($A205="","",IF(ISNUMBER(FIND("IMPVOL",V$1)),_xll.BDH(config!$G$4,V$1,WORKDAY($A205,-1,config_Holiday_Calendar_US),WORKDAY($A205,-1,config_Holiday_Calendar_US)),IF(ISNUMBER(_xll.BDH(config!$G$4,V$1,$A205,$A205)),_xll.BDH(config!$G$4,V$1,$A205,$A205),_xll.BDH(config!$G$5,V$1,$A205,$A205))))</f>
        <v>#N/A Requesting Data...</v>
      </c>
      <c r="W205" s="8" t="str">
        <f>IF($A205="","",IF(ISNUMBER(FIND("IMPVOL",W$1)),_xll.BDH(config!$G$4,W$1,WORKDAY($A205,-1,config_Holiday_Calendar_US),WORKDAY($A205,-1,config_Holiday_Calendar_US)),IF(ISNUMBER(_xll.BDH(config!$G$4,W$1,$A205,$A205)),_xll.BDH(config!$G$4,W$1,$A205,$A205),_xll.BDH(config!$G$5,W$1,$A205,$A205))))</f>
        <v>#N/A Requesting Data...</v>
      </c>
    </row>
    <row r="206" spans="1:23" x14ac:dyDescent="0.2">
      <c r="A206" s="9">
        <f>IF(A205="","",IF(WORKDAY(A205,-1,config_Holiday_Calendar_US)&lt;config!$I$10,"",WORKDAY(A205,-1,config_Holiday_Calendar_US)))</f>
        <v>42535</v>
      </c>
      <c r="B206" s="8" t="e">
        <f t="shared" si="3"/>
        <v>#VALUE!</v>
      </c>
      <c r="C206" s="8" t="str">
        <f>IF(A206="","",_xll.BDH(config!$H$4,C$1,$A206,$A206))</f>
        <v>#N/A Requesting Data...</v>
      </c>
      <c r="D206" s="8" t="str">
        <f>IF($A206="","",_xll.BDH(config!$H$4,D$1,$A206,$A206))</f>
        <v>#N/A Requesting Data...</v>
      </c>
      <c r="E206" s="8">
        <f>IF($A206="","",IF(ISNUMBER(FIND("IMPVOL",E$1)),_xll.BDH(config!$G$4,E$1,WORKDAY($A206,-1,config_Holiday_Calendar_US),WORKDAY($A206,-1,config_Holiday_Calendar_US)),IF(ISNUMBER(_xll.BDH(config!$G$4,E$1,$A206,$A206)),_xll.BDH(config!$G$4,E$1,$A206,$A206),_xll.BDH(config!$G$5,E$1,$A206,$A206))))</f>
        <v>48.52</v>
      </c>
      <c r="F206" s="8">
        <f>IF($A206="","",IF(ISNUMBER(FIND("IMPVOL",F$1)),_xll.BDH(config!$G$4,F$1,WORKDAY($A206,-1,config_Holiday_Calendar_US),WORKDAY($A206,-1,config_Holiday_Calendar_US)),IF(ISNUMBER(_xll.BDH(config!$G$4,F$1,$A206,$A206)),_xll.BDH(config!$G$4,F$1,$A206,$A206),_xll.BDH(config!$G$5,F$1,$A206,$A206))))</f>
        <v>48.69</v>
      </c>
      <c r="G206" s="8">
        <f>IF($A206="","",IF(ISNUMBER(FIND("IMPVOL",G$1)),_xll.BDH(config!$G$4,G$1,WORKDAY($A206,-1,config_Holiday_Calendar_US),WORKDAY($A206,-1,config_Holiday_Calendar_US)),IF(ISNUMBER(_xll.BDH(config!$G$4,G$1,$A206,$A206)),_xll.BDH(config!$G$4,G$1,$A206,$A206),_xll.BDH(config!$G$5,G$1,$A206,$A206))))</f>
        <v>48.41</v>
      </c>
      <c r="H206" s="8">
        <f>IF($A206="","",IF(ISNUMBER(FIND("IMPVOL",H$1)),_xll.BDH(config!$G$4,H$1,WORKDAY($A206,-1,config_Holiday_Calendar_US),WORKDAY($A206,-1,config_Holiday_Calendar_US)),IF(ISNUMBER(_xll.BDH(config!$G$4,H$1,$A206,$A206)),_xll.BDH(config!$G$4,H$1,$A206,$A206),_xll.BDH(config!$G$5,H$1,$A206,$A206))))</f>
        <v>224661</v>
      </c>
      <c r="I206" s="8" t="str">
        <f>IF($A206="","",IF(ISNUMBER(FIND("IMPVOL",I$1)),_xll.BDH(config!$G$4,I$1,WORKDAY($A206,-1,config_Holiday_Calendar_US),WORKDAY($A206,-1,config_Holiday_Calendar_US)),IF(ISNUMBER(_xll.BDH(config!$G$4,I$1,$A206,$A206)),_xll.BDH(config!$G$4,I$1,$A206,$A206),_xll.BDH(config!$G$5,I$1,$A206,$A206))))</f>
        <v>#N/A Requesting Data...</v>
      </c>
      <c r="J206" s="8" t="str">
        <f>IF($A206="","",IF(ISNUMBER(FIND("IMPVOL",J$1)),_xll.BDH(config!$G$4,J$1,WORKDAY($A206,-1,config_Holiday_Calendar_US),WORKDAY($A206,-1,config_Holiday_Calendar_US)),IF(ISNUMBER(_xll.BDH(config!$G$4,J$1,$A206,$A206)),_xll.BDH(config!$G$4,J$1,$A206,$A206),_xll.BDH(config!$G$5,J$1,$A206,$A206))))</f>
        <v>#N/A Requesting Data...</v>
      </c>
      <c r="K206" s="8" t="str">
        <f>IF($A206="","",IF(ISNUMBER(FIND("IMPVOL",K$1)),_xll.BDH(config!$G$4,K$1,WORKDAY($A206,-1,config_Holiday_Calendar_US),WORKDAY($A206,-1,config_Holiday_Calendar_US)),IF(ISNUMBER(_xll.BDH(config!$G$4,K$1,$A206,$A206)),_xll.BDH(config!$G$4,K$1,$A206,$A206),_xll.BDH(config!$G$5,K$1,$A206,$A206))))</f>
        <v>#N/A Requesting Data...</v>
      </c>
      <c r="L206" s="8" t="str">
        <f>IF($A206="","",IF(ISNUMBER(FIND("IMPVOL",L$1)),_xll.BDH(config!$G$4,L$1,WORKDAY($A206,-1,config_Holiday_Calendar_US),WORKDAY($A206,-1,config_Holiday_Calendar_US)),IF(ISNUMBER(_xll.BDH(config!$G$4,L$1,$A206,$A206)),_xll.BDH(config!$G$4,L$1,$A206,$A206),_xll.BDH(config!$G$5,L$1,$A206,$A206))))</f>
        <v>#N/A Requesting Data...</v>
      </c>
      <c r="M206" s="8" t="str">
        <f>IF($A206="","",IF(ISNUMBER(FIND("IMPVOL",M$1)),_xll.BDH(config!$G$4,M$1,WORKDAY($A206,-1,config_Holiday_Calendar_US),WORKDAY($A206,-1,config_Holiday_Calendar_US)),IF(ISNUMBER(_xll.BDH(config!$G$4,M$1,$A206,$A206)),_xll.BDH(config!$G$4,M$1,$A206,$A206),_xll.BDH(config!$G$5,M$1,$A206,$A206))))</f>
        <v>#N/A Requesting Data...</v>
      </c>
      <c r="N206" s="8" t="str">
        <f>IF($A206="","",IF(ISNUMBER(FIND("IMPVOL",N$1)),_xll.BDH(config!$G$4,N$1,WORKDAY($A206,-1,config_Holiday_Calendar_US),WORKDAY($A206,-1,config_Holiday_Calendar_US)),IF(ISNUMBER(_xll.BDH(config!$G$4,N$1,$A206,$A206)),_xll.BDH(config!$G$4,N$1,$A206,$A206),_xll.BDH(config!$G$5,N$1,$A206,$A206))))</f>
        <v>#N/A Requesting Data...</v>
      </c>
      <c r="O206" s="8" t="str">
        <f>IF($A206="","",IF(ISNUMBER(FIND("IMPVOL",O$1)),_xll.BDH(config!$G$4,O$1,WORKDAY($A206,-1,config_Holiday_Calendar_US),WORKDAY($A206,-1,config_Holiday_Calendar_US)),IF(ISNUMBER(_xll.BDH(config!$G$4,O$1,$A206,$A206)),_xll.BDH(config!$G$4,O$1,$A206,$A206),_xll.BDH(config!$G$5,O$1,$A206,$A206))))</f>
        <v>#N/A Requesting Data...</v>
      </c>
      <c r="P206" s="8" t="str">
        <f>IF($A206="","",IF(ISNUMBER(FIND("IMPVOL",P$1)),_xll.BDH(config!$G$4,P$1,WORKDAY($A206,-1,config_Holiday_Calendar_US),WORKDAY($A206,-1,config_Holiday_Calendar_US)),IF(ISNUMBER(_xll.BDH(config!$G$4,P$1,$A206,$A206)),_xll.BDH(config!$G$4,P$1,$A206,$A206),_xll.BDH(config!$G$5,P$1,$A206,$A206))))</f>
        <v>#N/A Requesting Data...</v>
      </c>
      <c r="Q206" s="8">
        <f>IF($A206="","",IF(ISNUMBER(FIND("IMPVOL",Q$1)),_xll.BDH(config!$G$4,Q$1,WORKDAY($A206,-1,config_Holiday_Calendar_US),WORKDAY($A206,-1,config_Holiday_Calendar_US)),IF(ISNUMBER(_xll.BDH(config!$G$4,Q$1,$A206,$A206)),_xll.BDH(config!$G$4,Q$1,$A206,$A206),_xll.BDH(config!$G$5,Q$1,$A206,$A206))))</f>
        <v>27.08</v>
      </c>
      <c r="R206" s="8">
        <f>IF($A206="","",IF(ISNUMBER(FIND("IMPVOL",R$1)),_xll.BDH(config!$G$4,R$1,WORKDAY($A206,-1,config_Holiday_Calendar_US),WORKDAY($A206,-1,config_Holiday_Calendar_US)),IF(ISNUMBER(_xll.BDH(config!$G$4,R$1,$A206,$A206)),_xll.BDH(config!$G$4,R$1,$A206,$A206),_xll.BDH(config!$G$5,R$1,$A206,$A206))))</f>
        <v>25.54</v>
      </c>
      <c r="S206" s="8" t="str">
        <f>IF($A206="","",IF(ISNUMBER(FIND("IMPVOL",S$1)),_xll.BDH(config!$G$4,S$1,WORKDAY($A206,-1,config_Holiday_Calendar_US),WORKDAY($A206,-1,config_Holiday_Calendar_US)),IF(ISNUMBER(_xll.BDH(config!$G$4,S$1,$A206,$A206)),_xll.BDH(config!$G$4,S$1,$A206,$A206),_xll.BDH(config!$G$5,S$1,$A206,$A206))))</f>
        <v>#N/A Requesting Data...</v>
      </c>
      <c r="T206" s="8" t="str">
        <f>IF($A206="","",IF(ISNUMBER(FIND("IMPVOL",T$1)),_xll.BDH(config!$G$4,T$1,WORKDAY($A206,-1,config_Holiday_Calendar_US),WORKDAY($A206,-1,config_Holiday_Calendar_US)),IF(ISNUMBER(_xll.BDH(config!$G$4,T$1,$A206,$A206)),_xll.BDH(config!$G$4,T$1,$A206,$A206),_xll.BDH(config!$G$5,T$1,$A206,$A206))))</f>
        <v>#N/A Requesting Data...</v>
      </c>
      <c r="U206" s="8" t="str">
        <f>IF($A206="","",IF(ISNUMBER(FIND("IMPVOL",U$1)),_xll.BDH(config!$G$4,U$1,WORKDAY($A206,-1,config_Holiday_Calendar_US),WORKDAY($A206,-1,config_Holiday_Calendar_US)),IF(ISNUMBER(_xll.BDH(config!$G$4,U$1,$A206,$A206)),_xll.BDH(config!$G$4,U$1,$A206,$A206),_xll.BDH(config!$G$5,U$1,$A206,$A206))))</f>
        <v>#N/A Requesting Data...</v>
      </c>
      <c r="V206" s="8" t="str">
        <f>IF($A206="","",IF(ISNUMBER(FIND("IMPVOL",V$1)),_xll.BDH(config!$G$4,V$1,WORKDAY($A206,-1,config_Holiday_Calendar_US),WORKDAY($A206,-1,config_Holiday_Calendar_US)),IF(ISNUMBER(_xll.BDH(config!$G$4,V$1,$A206,$A206)),_xll.BDH(config!$G$4,V$1,$A206,$A206),_xll.BDH(config!$G$5,V$1,$A206,$A206))))</f>
        <v>#N/A Requesting Data...</v>
      </c>
      <c r="W206" s="8" t="str">
        <f>IF($A206="","",IF(ISNUMBER(FIND("IMPVOL",W$1)),_xll.BDH(config!$G$4,W$1,WORKDAY($A206,-1,config_Holiday_Calendar_US),WORKDAY($A206,-1,config_Holiday_Calendar_US)),IF(ISNUMBER(_xll.BDH(config!$G$4,W$1,$A206,$A206)),_xll.BDH(config!$G$4,W$1,$A206,$A206),_xll.BDH(config!$G$5,W$1,$A206,$A206))))</f>
        <v>#N/A Requesting Data...</v>
      </c>
    </row>
    <row r="207" spans="1:23" x14ac:dyDescent="0.2">
      <c r="A207" s="9">
        <f>IF(A206="","",IF(WORKDAY(A206,-1,config_Holiday_Calendar_US)&lt;config!$I$10,"",WORKDAY(A206,-1,config_Holiday_Calendar_US)))</f>
        <v>42534</v>
      </c>
      <c r="B207" s="8" t="e">
        <f t="shared" si="3"/>
        <v>#VALUE!</v>
      </c>
      <c r="C207" s="8" t="str">
        <f>IF(A207="","",_xll.BDH(config!$H$4,C$1,$A207,$A207))</f>
        <v>#N/A Requesting Data...</v>
      </c>
      <c r="D207" s="8" t="str">
        <f>IF($A207="","",_xll.BDH(config!$H$4,D$1,$A207,$A207))</f>
        <v>#N/A Requesting Data...</v>
      </c>
      <c r="E207" s="8">
        <f>IF($A207="","",IF(ISNUMBER(FIND("IMPVOL",E$1)),_xll.BDH(config!$G$4,E$1,WORKDAY($A207,-1,config_Holiday_Calendar_US),WORKDAY($A207,-1,config_Holiday_Calendar_US)),IF(ISNUMBER(_xll.BDH(config!$G$4,E$1,$A207,$A207)),_xll.BDH(config!$G$4,E$1,$A207,$A207),_xll.BDH(config!$G$5,E$1,$A207,$A207))))</f>
        <v>48.85</v>
      </c>
      <c r="F207" s="8">
        <f>IF($A207="","",IF(ISNUMBER(FIND("IMPVOL",F$1)),_xll.BDH(config!$G$4,F$1,WORKDAY($A207,-1,config_Holiday_Calendar_US),WORKDAY($A207,-1,config_Holiday_Calendar_US)),IF(ISNUMBER(_xll.BDH(config!$G$4,F$1,$A207,$A207)),_xll.BDH(config!$G$4,F$1,$A207,$A207),_xll.BDH(config!$G$5,F$1,$A207,$A207))))</f>
        <v>49.28</v>
      </c>
      <c r="G207" s="8">
        <f>IF($A207="","",IF(ISNUMBER(FIND("IMPVOL",G$1)),_xll.BDH(config!$G$4,G$1,WORKDAY($A207,-1,config_Holiday_Calendar_US),WORKDAY($A207,-1,config_Holiday_Calendar_US)),IF(ISNUMBER(_xll.BDH(config!$G$4,G$1,$A207,$A207)),_xll.BDH(config!$G$4,G$1,$A207,$A207),_xll.BDH(config!$G$5,G$1,$A207,$A207))))</f>
        <v>48.79</v>
      </c>
      <c r="H207" s="8">
        <f>IF($A207="","",IF(ISNUMBER(FIND("IMPVOL",H$1)),_xll.BDH(config!$G$4,H$1,WORKDAY($A207,-1,config_Holiday_Calendar_US),WORKDAY($A207,-1,config_Holiday_Calendar_US)),IF(ISNUMBER(_xll.BDH(config!$G$4,H$1,$A207,$A207)),_xll.BDH(config!$G$4,H$1,$A207,$A207),_xll.BDH(config!$G$5,H$1,$A207,$A207))))</f>
        <v>204415</v>
      </c>
      <c r="I207" s="8" t="str">
        <f>IF($A207="","",IF(ISNUMBER(FIND("IMPVOL",I$1)),_xll.BDH(config!$G$4,I$1,WORKDAY($A207,-1,config_Holiday_Calendar_US),WORKDAY($A207,-1,config_Holiday_Calendar_US)),IF(ISNUMBER(_xll.BDH(config!$G$4,I$1,$A207,$A207)),_xll.BDH(config!$G$4,I$1,$A207,$A207),_xll.BDH(config!$G$5,I$1,$A207,$A207))))</f>
        <v>#N/A Requesting Data...</v>
      </c>
      <c r="J207" s="8" t="str">
        <f>IF($A207="","",IF(ISNUMBER(FIND("IMPVOL",J$1)),_xll.BDH(config!$G$4,J$1,WORKDAY($A207,-1,config_Holiday_Calendar_US),WORKDAY($A207,-1,config_Holiday_Calendar_US)),IF(ISNUMBER(_xll.BDH(config!$G$4,J$1,$A207,$A207)),_xll.BDH(config!$G$4,J$1,$A207,$A207),_xll.BDH(config!$G$5,J$1,$A207,$A207))))</f>
        <v>#N/A Requesting Data...</v>
      </c>
      <c r="K207" s="8" t="str">
        <f>IF($A207="","",IF(ISNUMBER(FIND("IMPVOL",K$1)),_xll.BDH(config!$G$4,K$1,WORKDAY($A207,-1,config_Holiday_Calendar_US),WORKDAY($A207,-1,config_Holiday_Calendar_US)),IF(ISNUMBER(_xll.BDH(config!$G$4,K$1,$A207,$A207)),_xll.BDH(config!$G$4,K$1,$A207,$A207),_xll.BDH(config!$G$5,K$1,$A207,$A207))))</f>
        <v>#N/A Requesting Data...</v>
      </c>
      <c r="L207" s="8" t="str">
        <f>IF($A207="","",IF(ISNUMBER(FIND("IMPVOL",L$1)),_xll.BDH(config!$G$4,L$1,WORKDAY($A207,-1,config_Holiday_Calendar_US),WORKDAY($A207,-1,config_Holiday_Calendar_US)),IF(ISNUMBER(_xll.BDH(config!$G$4,L$1,$A207,$A207)),_xll.BDH(config!$G$4,L$1,$A207,$A207),_xll.BDH(config!$G$5,L$1,$A207,$A207))))</f>
        <v>#N/A Requesting Data...</v>
      </c>
      <c r="M207" s="8" t="str">
        <f>IF($A207="","",IF(ISNUMBER(FIND("IMPVOL",M$1)),_xll.BDH(config!$G$4,M$1,WORKDAY($A207,-1,config_Holiday_Calendar_US),WORKDAY($A207,-1,config_Holiday_Calendar_US)),IF(ISNUMBER(_xll.BDH(config!$G$4,M$1,$A207,$A207)),_xll.BDH(config!$G$4,M$1,$A207,$A207),_xll.BDH(config!$G$5,M$1,$A207,$A207))))</f>
        <v>#N/A Requesting Data...</v>
      </c>
      <c r="N207" s="8" t="str">
        <f>IF($A207="","",IF(ISNUMBER(FIND("IMPVOL",N$1)),_xll.BDH(config!$G$4,N$1,WORKDAY($A207,-1,config_Holiday_Calendar_US),WORKDAY($A207,-1,config_Holiday_Calendar_US)),IF(ISNUMBER(_xll.BDH(config!$G$4,N$1,$A207,$A207)),_xll.BDH(config!$G$4,N$1,$A207,$A207),_xll.BDH(config!$G$5,N$1,$A207,$A207))))</f>
        <v>#N/A Requesting Data...</v>
      </c>
      <c r="O207" s="8" t="str">
        <f>IF($A207="","",IF(ISNUMBER(FIND("IMPVOL",O$1)),_xll.BDH(config!$G$4,O$1,WORKDAY($A207,-1,config_Holiday_Calendar_US),WORKDAY($A207,-1,config_Holiday_Calendar_US)),IF(ISNUMBER(_xll.BDH(config!$G$4,O$1,$A207,$A207)),_xll.BDH(config!$G$4,O$1,$A207,$A207),_xll.BDH(config!$G$5,O$1,$A207,$A207))))</f>
        <v>#N/A Requesting Data...</v>
      </c>
      <c r="P207" s="8" t="str">
        <f>IF($A207="","",IF(ISNUMBER(FIND("IMPVOL",P$1)),_xll.BDH(config!$G$4,P$1,WORKDAY($A207,-1,config_Holiday_Calendar_US),WORKDAY($A207,-1,config_Holiday_Calendar_US)),IF(ISNUMBER(_xll.BDH(config!$G$4,P$1,$A207,$A207)),_xll.BDH(config!$G$4,P$1,$A207,$A207),_xll.BDH(config!$G$5,P$1,$A207,$A207))))</f>
        <v>#N/A Requesting Data...</v>
      </c>
      <c r="Q207" s="8">
        <f>IF($A207="","",IF(ISNUMBER(FIND("IMPVOL",Q$1)),_xll.BDH(config!$G$4,Q$1,WORKDAY($A207,-1,config_Holiday_Calendar_US),WORKDAY($A207,-1,config_Holiday_Calendar_US)),IF(ISNUMBER(_xll.BDH(config!$G$4,Q$1,$A207,$A207)),_xll.BDH(config!$G$4,Q$1,$A207,$A207),_xll.BDH(config!$G$5,Q$1,$A207,$A207))))</f>
        <v>26.6</v>
      </c>
      <c r="R207" s="8">
        <f>IF($A207="","",IF(ISNUMBER(FIND("IMPVOL",R$1)),_xll.BDH(config!$G$4,R$1,WORKDAY($A207,-1,config_Holiday_Calendar_US),WORKDAY($A207,-1,config_Holiday_Calendar_US)),IF(ISNUMBER(_xll.BDH(config!$G$4,R$1,$A207,$A207)),_xll.BDH(config!$G$4,R$1,$A207,$A207),_xll.BDH(config!$G$5,R$1,$A207,$A207))))</f>
        <v>26.56</v>
      </c>
      <c r="S207" s="8" t="str">
        <f>IF($A207="","",IF(ISNUMBER(FIND("IMPVOL",S$1)),_xll.BDH(config!$G$4,S$1,WORKDAY($A207,-1,config_Holiday_Calendar_US),WORKDAY($A207,-1,config_Holiday_Calendar_US)),IF(ISNUMBER(_xll.BDH(config!$G$4,S$1,$A207,$A207)),_xll.BDH(config!$G$4,S$1,$A207,$A207),_xll.BDH(config!$G$5,S$1,$A207,$A207))))</f>
        <v>#N/A Requesting Data...</v>
      </c>
      <c r="T207" s="8" t="str">
        <f>IF($A207="","",IF(ISNUMBER(FIND("IMPVOL",T$1)),_xll.BDH(config!$G$4,T$1,WORKDAY($A207,-1,config_Holiday_Calendar_US),WORKDAY($A207,-1,config_Holiday_Calendar_US)),IF(ISNUMBER(_xll.BDH(config!$G$4,T$1,$A207,$A207)),_xll.BDH(config!$G$4,T$1,$A207,$A207),_xll.BDH(config!$G$5,T$1,$A207,$A207))))</f>
        <v>#N/A Requesting Data...</v>
      </c>
      <c r="U207" s="8" t="str">
        <f>IF($A207="","",IF(ISNUMBER(FIND("IMPVOL",U$1)),_xll.BDH(config!$G$4,U$1,WORKDAY($A207,-1,config_Holiday_Calendar_US),WORKDAY($A207,-1,config_Holiday_Calendar_US)),IF(ISNUMBER(_xll.BDH(config!$G$4,U$1,$A207,$A207)),_xll.BDH(config!$G$4,U$1,$A207,$A207),_xll.BDH(config!$G$5,U$1,$A207,$A207))))</f>
        <v>#N/A Requesting Data...</v>
      </c>
      <c r="V207" s="8" t="str">
        <f>IF($A207="","",IF(ISNUMBER(FIND("IMPVOL",V$1)),_xll.BDH(config!$G$4,V$1,WORKDAY($A207,-1,config_Holiday_Calendar_US),WORKDAY($A207,-1,config_Holiday_Calendar_US)),IF(ISNUMBER(_xll.BDH(config!$G$4,V$1,$A207,$A207)),_xll.BDH(config!$G$4,V$1,$A207,$A207),_xll.BDH(config!$G$5,V$1,$A207,$A207))))</f>
        <v>#N/A Requesting Data...</v>
      </c>
      <c r="W207" s="8" t="str">
        <f>IF($A207="","",IF(ISNUMBER(FIND("IMPVOL",W$1)),_xll.BDH(config!$G$4,W$1,WORKDAY($A207,-1,config_Holiday_Calendar_US),WORKDAY($A207,-1,config_Holiday_Calendar_US)),IF(ISNUMBER(_xll.BDH(config!$G$4,W$1,$A207,$A207)),_xll.BDH(config!$G$4,W$1,$A207,$A207),_xll.BDH(config!$G$5,W$1,$A207,$A207))))</f>
        <v>#N/A Requesting Data...</v>
      </c>
    </row>
    <row r="208" spans="1:23" x14ac:dyDescent="0.2">
      <c r="A208" s="9">
        <f>IF(A207="","",IF(WORKDAY(A207,-1,config_Holiday_Calendar_US)&lt;config!$I$10,"",WORKDAY(A207,-1,config_Holiday_Calendar_US)))</f>
        <v>42531</v>
      </c>
      <c r="B208" s="8" t="e">
        <f t="shared" si="3"/>
        <v>#VALUE!</v>
      </c>
      <c r="C208" s="8" t="str">
        <f>IF(A208="","",_xll.BDH(config!$H$4,C$1,$A208,$A208))</f>
        <v>#N/A Requesting Data...</v>
      </c>
      <c r="D208" s="8" t="str">
        <f>IF($A208="","",_xll.BDH(config!$H$4,D$1,$A208,$A208))</f>
        <v>#N/A Requesting Data...</v>
      </c>
      <c r="E208" s="8">
        <f>IF($A208="","",IF(ISNUMBER(FIND("IMPVOL",E$1)),_xll.BDH(config!$G$4,E$1,WORKDAY($A208,-1,config_Holiday_Calendar_US),WORKDAY($A208,-1,config_Holiday_Calendar_US)),IF(ISNUMBER(_xll.BDH(config!$G$4,E$1,$A208,$A208)),_xll.BDH(config!$G$4,E$1,$A208,$A208),_xll.BDH(config!$G$5,E$1,$A208,$A208))))</f>
        <v>50.47</v>
      </c>
      <c r="F208" s="8">
        <f>IF($A208="","",IF(ISNUMBER(FIND("IMPVOL",F$1)),_xll.BDH(config!$G$4,F$1,WORKDAY($A208,-1,config_Holiday_Calendar_US),WORKDAY($A208,-1,config_Holiday_Calendar_US)),IF(ISNUMBER(_xll.BDH(config!$G$4,F$1,$A208,$A208)),_xll.BDH(config!$G$4,F$1,$A208,$A208),_xll.BDH(config!$G$5,F$1,$A208,$A208))))</f>
        <v>50.73</v>
      </c>
      <c r="G208" s="8">
        <f>IF($A208="","",IF(ISNUMBER(FIND("IMPVOL",G$1)),_xll.BDH(config!$G$4,G$1,WORKDAY($A208,-1,config_Holiday_Calendar_US),WORKDAY($A208,-1,config_Holiday_Calendar_US)),IF(ISNUMBER(_xll.BDH(config!$G$4,G$1,$A208,$A208)),_xll.BDH(config!$G$4,G$1,$A208,$A208),_xll.BDH(config!$G$5,G$1,$A208,$A208))))</f>
        <v>49.45</v>
      </c>
      <c r="H208" s="8">
        <f>IF($A208="","",IF(ISNUMBER(FIND("IMPVOL",H$1)),_xll.BDH(config!$G$4,H$1,WORKDAY($A208,-1,config_Holiday_Calendar_US),WORKDAY($A208,-1,config_Holiday_Calendar_US)),IF(ISNUMBER(_xll.BDH(config!$G$4,H$1,$A208,$A208)),_xll.BDH(config!$G$4,H$1,$A208,$A208),_xll.BDH(config!$G$5,H$1,$A208,$A208))))</f>
        <v>241751</v>
      </c>
      <c r="I208" s="8" t="str">
        <f>IF($A208="","",IF(ISNUMBER(FIND("IMPVOL",I$1)),_xll.BDH(config!$G$4,I$1,WORKDAY($A208,-1,config_Holiday_Calendar_US),WORKDAY($A208,-1,config_Holiday_Calendar_US)),IF(ISNUMBER(_xll.BDH(config!$G$4,I$1,$A208,$A208)),_xll.BDH(config!$G$4,I$1,$A208,$A208),_xll.BDH(config!$G$5,I$1,$A208,$A208))))</f>
        <v>#N/A Requesting Data...</v>
      </c>
      <c r="J208" s="8" t="str">
        <f>IF($A208="","",IF(ISNUMBER(FIND("IMPVOL",J$1)),_xll.BDH(config!$G$4,J$1,WORKDAY($A208,-1,config_Holiday_Calendar_US),WORKDAY($A208,-1,config_Holiday_Calendar_US)),IF(ISNUMBER(_xll.BDH(config!$G$4,J$1,$A208,$A208)),_xll.BDH(config!$G$4,J$1,$A208,$A208),_xll.BDH(config!$G$5,J$1,$A208,$A208))))</f>
        <v>#N/A Requesting Data...</v>
      </c>
      <c r="K208" s="8" t="str">
        <f>IF($A208="","",IF(ISNUMBER(FIND("IMPVOL",K$1)),_xll.BDH(config!$G$4,K$1,WORKDAY($A208,-1,config_Holiday_Calendar_US),WORKDAY($A208,-1,config_Holiday_Calendar_US)),IF(ISNUMBER(_xll.BDH(config!$G$4,K$1,$A208,$A208)),_xll.BDH(config!$G$4,K$1,$A208,$A208),_xll.BDH(config!$G$5,K$1,$A208,$A208))))</f>
        <v>#N/A Requesting Data...</v>
      </c>
      <c r="L208" s="8" t="str">
        <f>IF($A208="","",IF(ISNUMBER(FIND("IMPVOL",L$1)),_xll.BDH(config!$G$4,L$1,WORKDAY($A208,-1,config_Holiday_Calendar_US),WORKDAY($A208,-1,config_Holiday_Calendar_US)),IF(ISNUMBER(_xll.BDH(config!$G$4,L$1,$A208,$A208)),_xll.BDH(config!$G$4,L$1,$A208,$A208),_xll.BDH(config!$G$5,L$1,$A208,$A208))))</f>
        <v>#N/A Requesting Data...</v>
      </c>
      <c r="M208" s="8" t="str">
        <f>IF($A208="","",IF(ISNUMBER(FIND("IMPVOL",M$1)),_xll.BDH(config!$G$4,M$1,WORKDAY($A208,-1,config_Holiday_Calendar_US),WORKDAY($A208,-1,config_Holiday_Calendar_US)),IF(ISNUMBER(_xll.BDH(config!$G$4,M$1,$A208,$A208)),_xll.BDH(config!$G$4,M$1,$A208,$A208),_xll.BDH(config!$G$5,M$1,$A208,$A208))))</f>
        <v>#N/A Requesting Data...</v>
      </c>
      <c r="N208" s="8" t="str">
        <f>IF($A208="","",IF(ISNUMBER(FIND("IMPVOL",N$1)),_xll.BDH(config!$G$4,N$1,WORKDAY($A208,-1,config_Holiday_Calendar_US),WORKDAY($A208,-1,config_Holiday_Calendar_US)),IF(ISNUMBER(_xll.BDH(config!$G$4,N$1,$A208,$A208)),_xll.BDH(config!$G$4,N$1,$A208,$A208),_xll.BDH(config!$G$5,N$1,$A208,$A208))))</f>
        <v>#N/A Requesting Data...</v>
      </c>
      <c r="O208" s="8" t="str">
        <f>IF($A208="","",IF(ISNUMBER(FIND("IMPVOL",O$1)),_xll.BDH(config!$G$4,O$1,WORKDAY($A208,-1,config_Holiday_Calendar_US),WORKDAY($A208,-1,config_Holiday_Calendar_US)),IF(ISNUMBER(_xll.BDH(config!$G$4,O$1,$A208,$A208)),_xll.BDH(config!$G$4,O$1,$A208,$A208),_xll.BDH(config!$G$5,O$1,$A208,$A208))))</f>
        <v>#N/A Requesting Data...</v>
      </c>
      <c r="P208" s="8" t="str">
        <f>IF($A208="","",IF(ISNUMBER(FIND("IMPVOL",P$1)),_xll.BDH(config!$G$4,P$1,WORKDAY($A208,-1,config_Holiday_Calendar_US),WORKDAY($A208,-1,config_Holiday_Calendar_US)),IF(ISNUMBER(_xll.BDH(config!$G$4,P$1,$A208,$A208)),_xll.BDH(config!$G$4,P$1,$A208,$A208),_xll.BDH(config!$G$5,P$1,$A208,$A208))))</f>
        <v>#N/A Requesting Data...</v>
      </c>
      <c r="Q208" s="8">
        <f>IF($A208="","",IF(ISNUMBER(FIND("IMPVOL",Q$1)),_xll.BDH(config!$G$4,Q$1,WORKDAY($A208,-1,config_Holiday_Calendar_US),WORKDAY($A208,-1,config_Holiday_Calendar_US)),IF(ISNUMBER(_xll.BDH(config!$G$4,Q$1,$A208,$A208)),_xll.BDH(config!$G$4,Q$1,$A208,$A208),_xll.BDH(config!$G$5,Q$1,$A208,$A208))))</f>
        <v>26.61</v>
      </c>
      <c r="R208" s="8">
        <f>IF($A208="","",IF(ISNUMBER(FIND("IMPVOL",R$1)),_xll.BDH(config!$G$4,R$1,WORKDAY($A208,-1,config_Holiday_Calendar_US),WORKDAY($A208,-1,config_Holiday_Calendar_US)),IF(ISNUMBER(_xll.BDH(config!$G$4,R$1,$A208,$A208)),_xll.BDH(config!$G$4,R$1,$A208,$A208),_xll.BDH(config!$G$5,R$1,$A208,$A208))))</f>
        <v>27.9</v>
      </c>
      <c r="S208" s="8" t="str">
        <f>IF($A208="","",IF(ISNUMBER(FIND("IMPVOL",S$1)),_xll.BDH(config!$G$4,S$1,WORKDAY($A208,-1,config_Holiday_Calendar_US),WORKDAY($A208,-1,config_Holiday_Calendar_US)),IF(ISNUMBER(_xll.BDH(config!$G$4,S$1,$A208,$A208)),_xll.BDH(config!$G$4,S$1,$A208,$A208),_xll.BDH(config!$G$5,S$1,$A208,$A208))))</f>
        <v>#N/A Requesting Data...</v>
      </c>
      <c r="T208" s="8" t="str">
        <f>IF($A208="","",IF(ISNUMBER(FIND("IMPVOL",T$1)),_xll.BDH(config!$G$4,T$1,WORKDAY($A208,-1,config_Holiday_Calendar_US),WORKDAY($A208,-1,config_Holiday_Calendar_US)),IF(ISNUMBER(_xll.BDH(config!$G$4,T$1,$A208,$A208)),_xll.BDH(config!$G$4,T$1,$A208,$A208),_xll.BDH(config!$G$5,T$1,$A208,$A208))))</f>
        <v>#N/A Requesting Data...</v>
      </c>
      <c r="U208" s="8" t="str">
        <f>IF($A208="","",IF(ISNUMBER(FIND("IMPVOL",U$1)),_xll.BDH(config!$G$4,U$1,WORKDAY($A208,-1,config_Holiday_Calendar_US),WORKDAY($A208,-1,config_Holiday_Calendar_US)),IF(ISNUMBER(_xll.BDH(config!$G$4,U$1,$A208,$A208)),_xll.BDH(config!$G$4,U$1,$A208,$A208),_xll.BDH(config!$G$5,U$1,$A208,$A208))))</f>
        <v>#N/A Requesting Data...</v>
      </c>
      <c r="V208" s="8" t="str">
        <f>IF($A208="","",IF(ISNUMBER(FIND("IMPVOL",V$1)),_xll.BDH(config!$G$4,V$1,WORKDAY($A208,-1,config_Holiday_Calendar_US),WORKDAY($A208,-1,config_Holiday_Calendar_US)),IF(ISNUMBER(_xll.BDH(config!$G$4,V$1,$A208,$A208)),_xll.BDH(config!$G$4,V$1,$A208,$A208),_xll.BDH(config!$G$5,V$1,$A208,$A208))))</f>
        <v>#N/A Requesting Data...</v>
      </c>
      <c r="W208" s="8" t="str">
        <f>IF($A208="","",IF(ISNUMBER(FIND("IMPVOL",W$1)),_xll.BDH(config!$G$4,W$1,WORKDAY($A208,-1,config_Holiday_Calendar_US),WORKDAY($A208,-1,config_Holiday_Calendar_US)),IF(ISNUMBER(_xll.BDH(config!$G$4,W$1,$A208,$A208)),_xll.BDH(config!$G$4,W$1,$A208,$A208),_xll.BDH(config!$G$5,W$1,$A208,$A208))))</f>
        <v>#N/A Requesting Data...</v>
      </c>
    </row>
    <row r="209" spans="1:23" x14ac:dyDescent="0.2">
      <c r="A209" s="9">
        <f>IF(A208="","",IF(WORKDAY(A208,-1,config_Holiday_Calendar_US)&lt;config!$I$10,"",WORKDAY(A208,-1,config_Holiday_Calendar_US)))</f>
        <v>42530</v>
      </c>
      <c r="B209" s="8" t="e">
        <f t="shared" si="3"/>
        <v>#VALUE!</v>
      </c>
      <c r="C209" s="8" t="str">
        <f>IF(A209="","",_xll.BDH(config!$H$4,C$1,$A209,$A209))</f>
        <v>#N/A Requesting Data...</v>
      </c>
      <c r="D209" s="8" t="str">
        <f>IF($A209="","",_xll.BDH(config!$H$4,D$1,$A209,$A209))</f>
        <v>#N/A Requesting Data...</v>
      </c>
      <c r="E209" s="8">
        <f>IF($A209="","",IF(ISNUMBER(FIND("IMPVOL",E$1)),_xll.BDH(config!$G$4,E$1,WORKDAY($A209,-1,config_Holiday_Calendar_US),WORKDAY($A209,-1,config_Holiday_Calendar_US)),IF(ISNUMBER(_xll.BDH(config!$G$4,E$1,$A209,$A209)),_xll.BDH(config!$G$4,E$1,$A209,$A209),_xll.BDH(config!$G$5,E$1,$A209,$A209))))</f>
        <v>51.45</v>
      </c>
      <c r="F209" s="8">
        <f>IF($A209="","",IF(ISNUMBER(FIND("IMPVOL",F$1)),_xll.BDH(config!$G$4,F$1,WORKDAY($A209,-1,config_Holiday_Calendar_US),WORKDAY($A209,-1,config_Holiday_Calendar_US)),IF(ISNUMBER(_xll.BDH(config!$G$4,F$1,$A209,$A209)),_xll.BDH(config!$G$4,F$1,$A209,$A209),_xll.BDH(config!$G$5,F$1,$A209,$A209))))</f>
        <v>51.67</v>
      </c>
      <c r="G209" s="8">
        <f>IF($A209="","",IF(ISNUMBER(FIND("IMPVOL",G$1)),_xll.BDH(config!$G$4,G$1,WORKDAY($A209,-1,config_Holiday_Calendar_US),WORKDAY($A209,-1,config_Holiday_Calendar_US)),IF(ISNUMBER(_xll.BDH(config!$G$4,G$1,$A209,$A209)),_xll.BDH(config!$G$4,G$1,$A209,$A209),_xll.BDH(config!$G$5,G$1,$A209,$A209))))</f>
        <v>50.83</v>
      </c>
      <c r="H209" s="8">
        <f>IF($A209="","",IF(ISNUMBER(FIND("IMPVOL",H$1)),_xll.BDH(config!$G$4,H$1,WORKDAY($A209,-1,config_Holiday_Calendar_US),WORKDAY($A209,-1,config_Holiday_Calendar_US)),IF(ISNUMBER(_xll.BDH(config!$G$4,H$1,$A209,$A209)),_xll.BDH(config!$G$4,H$1,$A209,$A209),_xll.BDH(config!$G$5,H$1,$A209,$A209))))</f>
        <v>226020</v>
      </c>
      <c r="I209" s="8" t="str">
        <f>IF($A209="","",IF(ISNUMBER(FIND("IMPVOL",I$1)),_xll.BDH(config!$G$4,I$1,WORKDAY($A209,-1,config_Holiday_Calendar_US),WORKDAY($A209,-1,config_Holiday_Calendar_US)),IF(ISNUMBER(_xll.BDH(config!$G$4,I$1,$A209,$A209)),_xll.BDH(config!$G$4,I$1,$A209,$A209),_xll.BDH(config!$G$5,I$1,$A209,$A209))))</f>
        <v>#N/A Requesting Data...</v>
      </c>
      <c r="J209" s="8" t="str">
        <f>IF($A209="","",IF(ISNUMBER(FIND("IMPVOL",J$1)),_xll.BDH(config!$G$4,J$1,WORKDAY($A209,-1,config_Holiday_Calendar_US),WORKDAY($A209,-1,config_Holiday_Calendar_US)),IF(ISNUMBER(_xll.BDH(config!$G$4,J$1,$A209,$A209)),_xll.BDH(config!$G$4,J$1,$A209,$A209),_xll.BDH(config!$G$5,J$1,$A209,$A209))))</f>
        <v>#N/A Requesting Data...</v>
      </c>
      <c r="K209" s="8" t="str">
        <f>IF($A209="","",IF(ISNUMBER(FIND("IMPVOL",K$1)),_xll.BDH(config!$G$4,K$1,WORKDAY($A209,-1,config_Holiday_Calendar_US),WORKDAY($A209,-1,config_Holiday_Calendar_US)),IF(ISNUMBER(_xll.BDH(config!$G$4,K$1,$A209,$A209)),_xll.BDH(config!$G$4,K$1,$A209,$A209),_xll.BDH(config!$G$5,K$1,$A209,$A209))))</f>
        <v>#N/A Requesting Data...</v>
      </c>
      <c r="L209" s="8" t="str">
        <f>IF($A209="","",IF(ISNUMBER(FIND("IMPVOL",L$1)),_xll.BDH(config!$G$4,L$1,WORKDAY($A209,-1,config_Holiday_Calendar_US),WORKDAY($A209,-1,config_Holiday_Calendar_US)),IF(ISNUMBER(_xll.BDH(config!$G$4,L$1,$A209,$A209)),_xll.BDH(config!$G$4,L$1,$A209,$A209),_xll.BDH(config!$G$5,L$1,$A209,$A209))))</f>
        <v>#N/A Requesting Data...</v>
      </c>
      <c r="M209" s="8" t="str">
        <f>IF($A209="","",IF(ISNUMBER(FIND("IMPVOL",M$1)),_xll.BDH(config!$G$4,M$1,WORKDAY($A209,-1,config_Holiday_Calendar_US),WORKDAY($A209,-1,config_Holiday_Calendar_US)),IF(ISNUMBER(_xll.BDH(config!$G$4,M$1,$A209,$A209)),_xll.BDH(config!$G$4,M$1,$A209,$A209),_xll.BDH(config!$G$5,M$1,$A209,$A209))))</f>
        <v>#N/A Requesting Data...</v>
      </c>
      <c r="N209" s="8" t="str">
        <f>IF($A209="","",IF(ISNUMBER(FIND("IMPVOL",N$1)),_xll.BDH(config!$G$4,N$1,WORKDAY($A209,-1,config_Holiday_Calendar_US),WORKDAY($A209,-1,config_Holiday_Calendar_US)),IF(ISNUMBER(_xll.BDH(config!$G$4,N$1,$A209,$A209)),_xll.BDH(config!$G$4,N$1,$A209,$A209),_xll.BDH(config!$G$5,N$1,$A209,$A209))))</f>
        <v>#N/A Requesting Data...</v>
      </c>
      <c r="O209" s="8" t="str">
        <f>IF($A209="","",IF(ISNUMBER(FIND("IMPVOL",O$1)),_xll.BDH(config!$G$4,O$1,WORKDAY($A209,-1,config_Holiday_Calendar_US),WORKDAY($A209,-1,config_Holiday_Calendar_US)),IF(ISNUMBER(_xll.BDH(config!$G$4,O$1,$A209,$A209)),_xll.BDH(config!$G$4,O$1,$A209,$A209),_xll.BDH(config!$G$5,O$1,$A209,$A209))))</f>
        <v>#N/A Requesting Data...</v>
      </c>
      <c r="P209" s="8" t="str">
        <f>IF($A209="","",IF(ISNUMBER(FIND("IMPVOL",P$1)),_xll.BDH(config!$G$4,P$1,WORKDAY($A209,-1,config_Holiday_Calendar_US),WORKDAY($A209,-1,config_Holiday_Calendar_US)),IF(ISNUMBER(_xll.BDH(config!$G$4,P$1,$A209,$A209)),_xll.BDH(config!$G$4,P$1,$A209,$A209),_xll.BDH(config!$G$5,P$1,$A209,$A209))))</f>
        <v>#N/A Requesting Data...</v>
      </c>
      <c r="Q209" s="8">
        <f>IF($A209="","",IF(ISNUMBER(FIND("IMPVOL",Q$1)),_xll.BDH(config!$G$4,Q$1,WORKDAY($A209,-1,config_Holiday_Calendar_US),WORKDAY($A209,-1,config_Holiday_Calendar_US)),IF(ISNUMBER(_xll.BDH(config!$G$4,Q$1,$A209,$A209)),_xll.BDH(config!$G$4,Q$1,$A209,$A209),_xll.BDH(config!$G$5,Q$1,$A209,$A209))))</f>
        <v>19.96</v>
      </c>
      <c r="R209" s="8">
        <f>IF($A209="","",IF(ISNUMBER(FIND("IMPVOL",R$1)),_xll.BDH(config!$G$4,R$1,WORKDAY($A209,-1,config_Holiday_Calendar_US),WORKDAY($A209,-1,config_Holiday_Calendar_US)),IF(ISNUMBER(_xll.BDH(config!$G$4,R$1,$A209,$A209)),_xll.BDH(config!$G$4,R$1,$A209,$A209),_xll.BDH(config!$G$5,R$1,$A209,$A209))))</f>
        <v>26.18</v>
      </c>
      <c r="S209" s="8" t="str">
        <f>IF($A209="","",IF(ISNUMBER(FIND("IMPVOL",S$1)),_xll.BDH(config!$G$4,S$1,WORKDAY($A209,-1,config_Holiday_Calendar_US),WORKDAY($A209,-1,config_Holiday_Calendar_US)),IF(ISNUMBER(_xll.BDH(config!$G$4,S$1,$A209,$A209)),_xll.BDH(config!$G$4,S$1,$A209,$A209),_xll.BDH(config!$G$5,S$1,$A209,$A209))))</f>
        <v>#N/A Requesting Data...</v>
      </c>
      <c r="T209" s="8" t="str">
        <f>IF($A209="","",IF(ISNUMBER(FIND("IMPVOL",T$1)),_xll.BDH(config!$G$4,T$1,WORKDAY($A209,-1,config_Holiday_Calendar_US),WORKDAY($A209,-1,config_Holiday_Calendar_US)),IF(ISNUMBER(_xll.BDH(config!$G$4,T$1,$A209,$A209)),_xll.BDH(config!$G$4,T$1,$A209,$A209),_xll.BDH(config!$G$5,T$1,$A209,$A209))))</f>
        <v>#N/A Requesting Data...</v>
      </c>
      <c r="U209" s="8" t="str">
        <f>IF($A209="","",IF(ISNUMBER(FIND("IMPVOL",U$1)),_xll.BDH(config!$G$4,U$1,WORKDAY($A209,-1,config_Holiday_Calendar_US),WORKDAY($A209,-1,config_Holiday_Calendar_US)),IF(ISNUMBER(_xll.BDH(config!$G$4,U$1,$A209,$A209)),_xll.BDH(config!$G$4,U$1,$A209,$A209),_xll.BDH(config!$G$5,U$1,$A209,$A209))))</f>
        <v>#N/A Requesting Data...</v>
      </c>
      <c r="V209" s="8" t="str">
        <f>IF($A209="","",IF(ISNUMBER(FIND("IMPVOL",V$1)),_xll.BDH(config!$G$4,V$1,WORKDAY($A209,-1,config_Holiday_Calendar_US),WORKDAY($A209,-1,config_Holiday_Calendar_US)),IF(ISNUMBER(_xll.BDH(config!$G$4,V$1,$A209,$A209)),_xll.BDH(config!$G$4,V$1,$A209,$A209),_xll.BDH(config!$G$5,V$1,$A209,$A209))))</f>
        <v>#N/A Requesting Data...</v>
      </c>
      <c r="W209" s="8" t="str">
        <f>IF($A209="","",IF(ISNUMBER(FIND("IMPVOL",W$1)),_xll.BDH(config!$G$4,W$1,WORKDAY($A209,-1,config_Holiday_Calendar_US),WORKDAY($A209,-1,config_Holiday_Calendar_US)),IF(ISNUMBER(_xll.BDH(config!$G$4,W$1,$A209,$A209)),_xll.BDH(config!$G$4,W$1,$A209,$A209),_xll.BDH(config!$G$5,W$1,$A209,$A209))))</f>
        <v>#N/A Requesting Data...</v>
      </c>
    </row>
    <row r="210" spans="1:23" x14ac:dyDescent="0.2">
      <c r="A210" s="9">
        <f>IF(A209="","",IF(WORKDAY(A209,-1,config_Holiday_Calendar_US)&lt;config!$I$10,"",WORKDAY(A209,-1,config_Holiday_Calendar_US)))</f>
        <v>42529</v>
      </c>
      <c r="B210" s="8" t="e">
        <f t="shared" si="3"/>
        <v>#VALUE!</v>
      </c>
      <c r="C210" s="8" t="str">
        <f>IF(A210="","",_xll.BDH(config!$H$4,C$1,$A210,$A210))</f>
        <v>#N/A Requesting Data...</v>
      </c>
      <c r="D210" s="8" t="str">
        <f>IF($A210="","",_xll.BDH(config!$H$4,D$1,$A210,$A210))</f>
        <v>#N/A Requesting Data...</v>
      </c>
      <c r="E210" s="8">
        <f>IF($A210="","",IF(ISNUMBER(FIND("IMPVOL",E$1)),_xll.BDH(config!$G$4,E$1,WORKDAY($A210,-1,config_Holiday_Calendar_US),WORKDAY($A210,-1,config_Holiday_Calendar_US)),IF(ISNUMBER(_xll.BDH(config!$G$4,E$1,$A210,$A210)),_xll.BDH(config!$G$4,E$1,$A210,$A210),_xll.BDH(config!$G$5,E$1,$A210,$A210))))</f>
        <v>50.41</v>
      </c>
      <c r="F210" s="8">
        <f>IF($A210="","",IF(ISNUMBER(FIND("IMPVOL",F$1)),_xll.BDH(config!$G$4,F$1,WORKDAY($A210,-1,config_Holiday_Calendar_US),WORKDAY($A210,-1,config_Holiday_Calendar_US)),IF(ISNUMBER(_xll.BDH(config!$G$4,F$1,$A210,$A210)),_xll.BDH(config!$G$4,F$1,$A210,$A210),_xll.BDH(config!$G$5,F$1,$A210,$A210))))</f>
        <v>51.62</v>
      </c>
      <c r="G210" s="8">
        <f>IF($A210="","",IF(ISNUMBER(FIND("IMPVOL",G$1)),_xll.BDH(config!$G$4,G$1,WORKDAY($A210,-1,config_Holiday_Calendar_US),WORKDAY($A210,-1,config_Holiday_Calendar_US)),IF(ISNUMBER(_xll.BDH(config!$G$4,G$1,$A210,$A210)),_xll.BDH(config!$G$4,G$1,$A210,$A210),_xll.BDH(config!$G$5,G$1,$A210,$A210))))</f>
        <v>50.87</v>
      </c>
      <c r="H210" s="8">
        <f>IF($A210="","",IF(ISNUMBER(FIND("IMPVOL",H$1)),_xll.BDH(config!$G$4,H$1,WORKDAY($A210,-1,config_Holiday_Calendar_US),WORKDAY($A210,-1,config_Holiday_Calendar_US)),IF(ISNUMBER(_xll.BDH(config!$G$4,H$1,$A210,$A210)),_xll.BDH(config!$G$4,H$1,$A210,$A210),_xll.BDH(config!$G$5,H$1,$A210,$A210))))</f>
        <v>264101</v>
      </c>
      <c r="I210" s="8" t="str">
        <f>IF($A210="","",IF(ISNUMBER(FIND("IMPVOL",I$1)),_xll.BDH(config!$G$4,I$1,WORKDAY($A210,-1,config_Holiday_Calendar_US),WORKDAY($A210,-1,config_Holiday_Calendar_US)),IF(ISNUMBER(_xll.BDH(config!$G$4,I$1,$A210,$A210)),_xll.BDH(config!$G$4,I$1,$A210,$A210),_xll.BDH(config!$G$5,I$1,$A210,$A210))))</f>
        <v>#N/A Requesting Data...</v>
      </c>
      <c r="J210" s="8" t="str">
        <f>IF($A210="","",IF(ISNUMBER(FIND("IMPVOL",J$1)),_xll.BDH(config!$G$4,J$1,WORKDAY($A210,-1,config_Holiday_Calendar_US),WORKDAY($A210,-1,config_Holiday_Calendar_US)),IF(ISNUMBER(_xll.BDH(config!$G$4,J$1,$A210,$A210)),_xll.BDH(config!$G$4,J$1,$A210,$A210),_xll.BDH(config!$G$5,J$1,$A210,$A210))))</f>
        <v>#N/A Requesting Data...</v>
      </c>
      <c r="K210" s="8" t="str">
        <f>IF($A210="","",IF(ISNUMBER(FIND("IMPVOL",K$1)),_xll.BDH(config!$G$4,K$1,WORKDAY($A210,-1,config_Holiday_Calendar_US),WORKDAY($A210,-1,config_Holiday_Calendar_US)),IF(ISNUMBER(_xll.BDH(config!$G$4,K$1,$A210,$A210)),_xll.BDH(config!$G$4,K$1,$A210,$A210),_xll.BDH(config!$G$5,K$1,$A210,$A210))))</f>
        <v>#N/A Requesting Data...</v>
      </c>
      <c r="L210" s="8" t="str">
        <f>IF($A210="","",IF(ISNUMBER(FIND("IMPVOL",L$1)),_xll.BDH(config!$G$4,L$1,WORKDAY($A210,-1,config_Holiday_Calendar_US),WORKDAY($A210,-1,config_Holiday_Calendar_US)),IF(ISNUMBER(_xll.BDH(config!$G$4,L$1,$A210,$A210)),_xll.BDH(config!$G$4,L$1,$A210,$A210),_xll.BDH(config!$G$5,L$1,$A210,$A210))))</f>
        <v>#N/A Requesting Data...</v>
      </c>
      <c r="M210" s="8" t="str">
        <f>IF($A210="","",IF(ISNUMBER(FIND("IMPVOL",M$1)),_xll.BDH(config!$G$4,M$1,WORKDAY($A210,-1,config_Holiday_Calendar_US),WORKDAY($A210,-1,config_Holiday_Calendar_US)),IF(ISNUMBER(_xll.BDH(config!$G$4,M$1,$A210,$A210)),_xll.BDH(config!$G$4,M$1,$A210,$A210),_xll.BDH(config!$G$5,M$1,$A210,$A210))))</f>
        <v>#N/A Requesting Data...</v>
      </c>
      <c r="N210" s="8" t="str">
        <f>IF($A210="","",IF(ISNUMBER(FIND("IMPVOL",N$1)),_xll.BDH(config!$G$4,N$1,WORKDAY($A210,-1,config_Holiday_Calendar_US),WORKDAY($A210,-1,config_Holiday_Calendar_US)),IF(ISNUMBER(_xll.BDH(config!$G$4,N$1,$A210,$A210)),_xll.BDH(config!$G$4,N$1,$A210,$A210),_xll.BDH(config!$G$5,N$1,$A210,$A210))))</f>
        <v>#N/A Requesting Data...</v>
      </c>
      <c r="O210" s="8" t="str">
        <f>IF($A210="","",IF(ISNUMBER(FIND("IMPVOL",O$1)),_xll.BDH(config!$G$4,O$1,WORKDAY($A210,-1,config_Holiday_Calendar_US),WORKDAY($A210,-1,config_Holiday_Calendar_US)),IF(ISNUMBER(_xll.BDH(config!$G$4,O$1,$A210,$A210)),_xll.BDH(config!$G$4,O$1,$A210,$A210),_xll.BDH(config!$G$5,O$1,$A210,$A210))))</f>
        <v>#N/A Requesting Data...</v>
      </c>
      <c r="P210" s="8" t="str">
        <f>IF($A210="","",IF(ISNUMBER(FIND("IMPVOL",P$1)),_xll.BDH(config!$G$4,P$1,WORKDAY($A210,-1,config_Holiday_Calendar_US),WORKDAY($A210,-1,config_Holiday_Calendar_US)),IF(ISNUMBER(_xll.BDH(config!$G$4,P$1,$A210,$A210)),_xll.BDH(config!$G$4,P$1,$A210,$A210),_xll.BDH(config!$G$5,P$1,$A210,$A210))))</f>
        <v>#N/A Requesting Data...</v>
      </c>
      <c r="Q210" s="8">
        <f>IF($A210="","",IF(ISNUMBER(FIND("IMPVOL",Q$1)),_xll.BDH(config!$G$4,Q$1,WORKDAY($A210,-1,config_Holiday_Calendar_US),WORKDAY($A210,-1,config_Holiday_Calendar_US)),IF(ISNUMBER(_xll.BDH(config!$G$4,Q$1,$A210,$A210)),_xll.BDH(config!$G$4,Q$1,$A210,$A210),_xll.BDH(config!$G$5,Q$1,$A210,$A210))))</f>
        <v>18.12</v>
      </c>
      <c r="R210" s="8">
        <f>IF($A210="","",IF(ISNUMBER(FIND("IMPVOL",R$1)),_xll.BDH(config!$G$4,R$1,WORKDAY($A210,-1,config_Holiday_Calendar_US),WORKDAY($A210,-1,config_Holiday_Calendar_US)),IF(ISNUMBER(_xll.BDH(config!$G$4,R$1,$A210,$A210)),_xll.BDH(config!$G$4,R$1,$A210,$A210),_xll.BDH(config!$G$5,R$1,$A210,$A210))))</f>
        <v>25.96</v>
      </c>
      <c r="S210" s="8" t="str">
        <f>IF($A210="","",IF(ISNUMBER(FIND("IMPVOL",S$1)),_xll.BDH(config!$G$4,S$1,WORKDAY($A210,-1,config_Holiday_Calendar_US),WORKDAY($A210,-1,config_Holiday_Calendar_US)),IF(ISNUMBER(_xll.BDH(config!$G$4,S$1,$A210,$A210)),_xll.BDH(config!$G$4,S$1,$A210,$A210),_xll.BDH(config!$G$5,S$1,$A210,$A210))))</f>
        <v>#N/A Requesting Data...</v>
      </c>
      <c r="T210" s="8" t="str">
        <f>IF($A210="","",IF(ISNUMBER(FIND("IMPVOL",T$1)),_xll.BDH(config!$G$4,T$1,WORKDAY($A210,-1,config_Holiday_Calendar_US),WORKDAY($A210,-1,config_Holiday_Calendar_US)),IF(ISNUMBER(_xll.BDH(config!$G$4,T$1,$A210,$A210)),_xll.BDH(config!$G$4,T$1,$A210,$A210),_xll.BDH(config!$G$5,T$1,$A210,$A210))))</f>
        <v>#N/A Requesting Data...</v>
      </c>
      <c r="U210" s="8" t="str">
        <f>IF($A210="","",IF(ISNUMBER(FIND("IMPVOL",U$1)),_xll.BDH(config!$G$4,U$1,WORKDAY($A210,-1,config_Holiday_Calendar_US),WORKDAY($A210,-1,config_Holiday_Calendar_US)),IF(ISNUMBER(_xll.BDH(config!$G$4,U$1,$A210,$A210)),_xll.BDH(config!$G$4,U$1,$A210,$A210),_xll.BDH(config!$G$5,U$1,$A210,$A210))))</f>
        <v>#N/A Requesting Data...</v>
      </c>
      <c r="V210" s="8" t="str">
        <f>IF($A210="","",IF(ISNUMBER(FIND("IMPVOL",V$1)),_xll.BDH(config!$G$4,V$1,WORKDAY($A210,-1,config_Holiday_Calendar_US),WORKDAY($A210,-1,config_Holiday_Calendar_US)),IF(ISNUMBER(_xll.BDH(config!$G$4,V$1,$A210,$A210)),_xll.BDH(config!$G$4,V$1,$A210,$A210),_xll.BDH(config!$G$5,V$1,$A210,$A210))))</f>
        <v>#N/A Requesting Data...</v>
      </c>
      <c r="W210" s="8" t="str">
        <f>IF($A210="","",IF(ISNUMBER(FIND("IMPVOL",W$1)),_xll.BDH(config!$G$4,W$1,WORKDAY($A210,-1,config_Holiday_Calendar_US),WORKDAY($A210,-1,config_Holiday_Calendar_US)),IF(ISNUMBER(_xll.BDH(config!$G$4,W$1,$A210,$A210)),_xll.BDH(config!$G$4,W$1,$A210,$A210),_xll.BDH(config!$G$5,W$1,$A210,$A210))))</f>
        <v>#N/A Requesting Data...</v>
      </c>
    </row>
    <row r="211" spans="1:23" x14ac:dyDescent="0.2">
      <c r="A211" s="9">
        <f>IF(A210="","",IF(WORKDAY(A210,-1,config_Holiday_Calendar_US)&lt;config!$I$10,"",WORKDAY(A210,-1,config_Holiday_Calendar_US)))</f>
        <v>42528</v>
      </c>
      <c r="B211" s="8" t="e">
        <f t="shared" si="3"/>
        <v>#VALUE!</v>
      </c>
      <c r="C211" s="8" t="str">
        <f>IF(A211="","",_xll.BDH(config!$H$4,C$1,$A211,$A211))</f>
        <v>#N/A Requesting Data...</v>
      </c>
      <c r="D211" s="8" t="str">
        <f>IF($A211="","",_xll.BDH(config!$H$4,D$1,$A211,$A211))</f>
        <v>#N/A Requesting Data...</v>
      </c>
      <c r="E211" s="8">
        <f>IF($A211="","",IF(ISNUMBER(FIND("IMPVOL",E$1)),_xll.BDH(config!$G$4,E$1,WORKDAY($A211,-1,config_Holiday_Calendar_US),WORKDAY($A211,-1,config_Holiday_Calendar_US)),IF(ISNUMBER(_xll.BDH(config!$G$4,E$1,$A211,$A211)),_xll.BDH(config!$G$4,E$1,$A211,$A211),_xll.BDH(config!$G$5,E$1,$A211,$A211))))</f>
        <v>49.71</v>
      </c>
      <c r="F211" s="8">
        <f>IF($A211="","",IF(ISNUMBER(FIND("IMPVOL",F$1)),_xll.BDH(config!$G$4,F$1,WORKDAY($A211,-1,config_Holiday_Calendar_US),WORKDAY($A211,-1,config_Holiday_Calendar_US)),IF(ISNUMBER(_xll.BDH(config!$G$4,F$1,$A211,$A211)),_xll.BDH(config!$G$4,F$1,$A211,$A211),_xll.BDH(config!$G$5,F$1,$A211,$A211))))</f>
        <v>50.53</v>
      </c>
      <c r="G211" s="8">
        <f>IF($A211="","",IF(ISNUMBER(FIND("IMPVOL",G$1)),_xll.BDH(config!$G$4,G$1,WORKDAY($A211,-1,config_Holiday_Calendar_US),WORKDAY($A211,-1,config_Holiday_Calendar_US)),IF(ISNUMBER(_xll.BDH(config!$G$4,G$1,$A211,$A211)),_xll.BDH(config!$G$4,G$1,$A211,$A211),_xll.BDH(config!$G$5,G$1,$A211,$A211))))</f>
        <v>49.91</v>
      </c>
      <c r="H211" s="8">
        <f>IF($A211="","",IF(ISNUMBER(FIND("IMPVOL",H$1)),_xll.BDH(config!$G$4,H$1,WORKDAY($A211,-1,config_Holiday_Calendar_US),WORKDAY($A211,-1,config_Holiday_Calendar_US)),IF(ISNUMBER(_xll.BDH(config!$G$4,H$1,$A211,$A211)),_xll.BDH(config!$G$4,H$1,$A211,$A211),_xll.BDH(config!$G$5,H$1,$A211,$A211))))</f>
        <v>223539</v>
      </c>
      <c r="I211" s="8" t="str">
        <f>IF($A211="","",IF(ISNUMBER(FIND("IMPVOL",I$1)),_xll.BDH(config!$G$4,I$1,WORKDAY($A211,-1,config_Holiday_Calendar_US),WORKDAY($A211,-1,config_Holiday_Calendar_US)),IF(ISNUMBER(_xll.BDH(config!$G$4,I$1,$A211,$A211)),_xll.BDH(config!$G$4,I$1,$A211,$A211),_xll.BDH(config!$G$5,I$1,$A211,$A211))))</f>
        <v>#N/A Requesting Data...</v>
      </c>
      <c r="J211" s="8" t="str">
        <f>IF($A211="","",IF(ISNUMBER(FIND("IMPVOL",J$1)),_xll.BDH(config!$G$4,J$1,WORKDAY($A211,-1,config_Holiday_Calendar_US),WORKDAY($A211,-1,config_Holiday_Calendar_US)),IF(ISNUMBER(_xll.BDH(config!$G$4,J$1,$A211,$A211)),_xll.BDH(config!$G$4,J$1,$A211,$A211),_xll.BDH(config!$G$5,J$1,$A211,$A211))))</f>
        <v>#N/A Requesting Data...</v>
      </c>
      <c r="K211" s="8" t="str">
        <f>IF($A211="","",IF(ISNUMBER(FIND("IMPVOL",K$1)),_xll.BDH(config!$G$4,K$1,WORKDAY($A211,-1,config_Holiday_Calendar_US),WORKDAY($A211,-1,config_Holiday_Calendar_US)),IF(ISNUMBER(_xll.BDH(config!$G$4,K$1,$A211,$A211)),_xll.BDH(config!$G$4,K$1,$A211,$A211),_xll.BDH(config!$G$5,K$1,$A211,$A211))))</f>
        <v>#N/A Requesting Data...</v>
      </c>
      <c r="L211" s="8" t="str">
        <f>IF($A211="","",IF(ISNUMBER(FIND("IMPVOL",L$1)),_xll.BDH(config!$G$4,L$1,WORKDAY($A211,-1,config_Holiday_Calendar_US),WORKDAY($A211,-1,config_Holiday_Calendar_US)),IF(ISNUMBER(_xll.BDH(config!$G$4,L$1,$A211,$A211)),_xll.BDH(config!$G$4,L$1,$A211,$A211),_xll.BDH(config!$G$5,L$1,$A211,$A211))))</f>
        <v>#N/A Requesting Data...</v>
      </c>
      <c r="M211" s="8" t="str">
        <f>IF($A211="","",IF(ISNUMBER(FIND("IMPVOL",M$1)),_xll.BDH(config!$G$4,M$1,WORKDAY($A211,-1,config_Holiday_Calendar_US),WORKDAY($A211,-1,config_Holiday_Calendar_US)),IF(ISNUMBER(_xll.BDH(config!$G$4,M$1,$A211,$A211)),_xll.BDH(config!$G$4,M$1,$A211,$A211),_xll.BDH(config!$G$5,M$1,$A211,$A211))))</f>
        <v>#N/A Requesting Data...</v>
      </c>
      <c r="N211" s="8" t="str">
        <f>IF($A211="","",IF(ISNUMBER(FIND("IMPVOL",N$1)),_xll.BDH(config!$G$4,N$1,WORKDAY($A211,-1,config_Holiday_Calendar_US),WORKDAY($A211,-1,config_Holiday_Calendar_US)),IF(ISNUMBER(_xll.BDH(config!$G$4,N$1,$A211,$A211)),_xll.BDH(config!$G$4,N$1,$A211,$A211),_xll.BDH(config!$G$5,N$1,$A211,$A211))))</f>
        <v>#N/A Requesting Data...</v>
      </c>
      <c r="O211" s="8" t="str">
        <f>IF($A211="","",IF(ISNUMBER(FIND("IMPVOL",O$1)),_xll.BDH(config!$G$4,O$1,WORKDAY($A211,-1,config_Holiday_Calendar_US),WORKDAY($A211,-1,config_Holiday_Calendar_US)),IF(ISNUMBER(_xll.BDH(config!$G$4,O$1,$A211,$A211)),_xll.BDH(config!$G$4,O$1,$A211,$A211),_xll.BDH(config!$G$5,O$1,$A211,$A211))))</f>
        <v>#N/A Requesting Data...</v>
      </c>
      <c r="P211" s="8" t="str">
        <f>IF($A211="","",IF(ISNUMBER(FIND("IMPVOL",P$1)),_xll.BDH(config!$G$4,P$1,WORKDAY($A211,-1,config_Holiday_Calendar_US),WORKDAY($A211,-1,config_Holiday_Calendar_US)),IF(ISNUMBER(_xll.BDH(config!$G$4,P$1,$A211,$A211)),_xll.BDH(config!$G$4,P$1,$A211,$A211),_xll.BDH(config!$G$5,P$1,$A211,$A211))))</f>
        <v>#N/A Requesting Data...</v>
      </c>
      <c r="Q211" s="8">
        <f>IF($A211="","",IF(ISNUMBER(FIND("IMPVOL",Q$1)),_xll.BDH(config!$G$4,Q$1,WORKDAY($A211,-1,config_Holiday_Calendar_US),WORKDAY($A211,-1,config_Holiday_Calendar_US)),IF(ISNUMBER(_xll.BDH(config!$G$4,Q$1,$A211,$A211)),_xll.BDH(config!$G$4,Q$1,$A211,$A211),_xll.BDH(config!$G$5,Q$1,$A211,$A211))))</f>
        <v>18.190000000000001</v>
      </c>
      <c r="R211" s="8">
        <f>IF($A211="","",IF(ISNUMBER(FIND("IMPVOL",R$1)),_xll.BDH(config!$G$4,R$1,WORKDAY($A211,-1,config_Holiday_Calendar_US),WORKDAY($A211,-1,config_Holiday_Calendar_US)),IF(ISNUMBER(_xll.BDH(config!$G$4,R$1,$A211,$A211)),_xll.BDH(config!$G$4,R$1,$A211,$A211),_xll.BDH(config!$G$5,R$1,$A211,$A211))))</f>
        <v>26.69</v>
      </c>
      <c r="S211" s="8" t="str">
        <f>IF($A211="","",IF(ISNUMBER(FIND("IMPVOL",S$1)),_xll.BDH(config!$G$4,S$1,WORKDAY($A211,-1,config_Holiday_Calendar_US),WORKDAY($A211,-1,config_Holiday_Calendar_US)),IF(ISNUMBER(_xll.BDH(config!$G$4,S$1,$A211,$A211)),_xll.BDH(config!$G$4,S$1,$A211,$A211),_xll.BDH(config!$G$5,S$1,$A211,$A211))))</f>
        <v>#N/A Requesting Data...</v>
      </c>
      <c r="T211" s="8" t="str">
        <f>IF($A211="","",IF(ISNUMBER(FIND("IMPVOL",T$1)),_xll.BDH(config!$G$4,T$1,WORKDAY($A211,-1,config_Holiday_Calendar_US),WORKDAY($A211,-1,config_Holiday_Calendar_US)),IF(ISNUMBER(_xll.BDH(config!$G$4,T$1,$A211,$A211)),_xll.BDH(config!$G$4,T$1,$A211,$A211),_xll.BDH(config!$G$5,T$1,$A211,$A211))))</f>
        <v>#N/A Requesting Data...</v>
      </c>
      <c r="U211" s="8" t="str">
        <f>IF($A211="","",IF(ISNUMBER(FIND("IMPVOL",U$1)),_xll.BDH(config!$G$4,U$1,WORKDAY($A211,-1,config_Holiday_Calendar_US),WORKDAY($A211,-1,config_Holiday_Calendar_US)),IF(ISNUMBER(_xll.BDH(config!$G$4,U$1,$A211,$A211)),_xll.BDH(config!$G$4,U$1,$A211,$A211),_xll.BDH(config!$G$5,U$1,$A211,$A211))))</f>
        <v>#N/A Requesting Data...</v>
      </c>
      <c r="V211" s="8" t="str">
        <f>IF($A211="","",IF(ISNUMBER(FIND("IMPVOL",V$1)),_xll.BDH(config!$G$4,V$1,WORKDAY($A211,-1,config_Holiday_Calendar_US),WORKDAY($A211,-1,config_Holiday_Calendar_US)),IF(ISNUMBER(_xll.BDH(config!$G$4,V$1,$A211,$A211)),_xll.BDH(config!$G$4,V$1,$A211,$A211),_xll.BDH(config!$G$5,V$1,$A211,$A211))))</f>
        <v>#N/A Requesting Data...</v>
      </c>
      <c r="W211" s="8" t="str">
        <f>IF($A211="","",IF(ISNUMBER(FIND("IMPVOL",W$1)),_xll.BDH(config!$G$4,W$1,WORKDAY($A211,-1,config_Holiday_Calendar_US),WORKDAY($A211,-1,config_Holiday_Calendar_US)),IF(ISNUMBER(_xll.BDH(config!$G$4,W$1,$A211,$A211)),_xll.BDH(config!$G$4,W$1,$A211,$A211),_xll.BDH(config!$G$5,W$1,$A211,$A211))))</f>
        <v>#N/A Requesting Data...</v>
      </c>
    </row>
    <row r="212" spans="1:23" x14ac:dyDescent="0.2">
      <c r="A212" s="9">
        <f>IF(A211="","",IF(WORKDAY(A211,-1,config_Holiday_Calendar_US)&lt;config!$I$10,"",WORKDAY(A211,-1,config_Holiday_Calendar_US)))</f>
        <v>42527</v>
      </c>
      <c r="B212" s="8" t="e">
        <f t="shared" si="3"/>
        <v>#VALUE!</v>
      </c>
      <c r="C212" s="8" t="str">
        <f>IF(A212="","",_xll.BDH(config!$H$4,C$1,$A212,$A212))</f>
        <v>#N/A Requesting Data...</v>
      </c>
      <c r="D212" s="8" t="str">
        <f>IF($A212="","",_xll.BDH(config!$H$4,D$1,$A212,$A212))</f>
        <v>#N/A Requesting Data...</v>
      </c>
      <c r="E212" s="8">
        <f>IF($A212="","",IF(ISNUMBER(FIND("IMPVOL",E$1)),_xll.BDH(config!$G$4,E$1,WORKDAY($A212,-1,config_Holiday_Calendar_US),WORKDAY($A212,-1,config_Holiday_Calendar_US)),IF(ISNUMBER(_xll.BDH(config!$G$4,E$1,$A212,$A212)),_xll.BDH(config!$G$4,E$1,$A212,$A212),_xll.BDH(config!$G$5,E$1,$A212,$A212))))</f>
        <v>48.88</v>
      </c>
      <c r="F212" s="8">
        <f>IF($A212="","",IF(ISNUMBER(FIND("IMPVOL",F$1)),_xll.BDH(config!$G$4,F$1,WORKDAY($A212,-1,config_Holiday_Calendar_US),WORKDAY($A212,-1,config_Holiday_Calendar_US)),IF(ISNUMBER(_xll.BDH(config!$G$4,F$1,$A212,$A212)),_xll.BDH(config!$G$4,F$1,$A212,$A212),_xll.BDH(config!$G$5,F$1,$A212,$A212))))</f>
        <v>49.9</v>
      </c>
      <c r="G212" s="8">
        <f>IF($A212="","",IF(ISNUMBER(FIND("IMPVOL",G$1)),_xll.BDH(config!$G$4,G$1,WORKDAY($A212,-1,config_Holiday_Calendar_US),WORKDAY($A212,-1,config_Holiday_Calendar_US)),IF(ISNUMBER(_xll.BDH(config!$G$4,G$1,$A212,$A212)),_xll.BDH(config!$G$4,G$1,$A212,$A212),_xll.BDH(config!$G$5,G$1,$A212,$A212))))</f>
        <v>49.2</v>
      </c>
      <c r="H212" s="8">
        <f>IF($A212="","",IF(ISNUMBER(FIND("IMPVOL",H$1)),_xll.BDH(config!$G$4,H$1,WORKDAY($A212,-1,config_Holiday_Calendar_US),WORKDAY($A212,-1,config_Holiday_Calendar_US)),IF(ISNUMBER(_xll.BDH(config!$G$4,H$1,$A212,$A212)),_xll.BDH(config!$G$4,H$1,$A212,$A212),_xll.BDH(config!$G$5,H$1,$A212,$A212))))</f>
        <v>116875</v>
      </c>
      <c r="I212" s="8" t="str">
        <f>IF($A212="","",IF(ISNUMBER(FIND("IMPVOL",I$1)),_xll.BDH(config!$G$4,I$1,WORKDAY($A212,-1,config_Holiday_Calendar_US),WORKDAY($A212,-1,config_Holiday_Calendar_US)),IF(ISNUMBER(_xll.BDH(config!$G$4,I$1,$A212,$A212)),_xll.BDH(config!$G$4,I$1,$A212,$A212),_xll.BDH(config!$G$5,I$1,$A212,$A212))))</f>
        <v>#N/A Requesting Data...</v>
      </c>
      <c r="J212" s="8" t="str">
        <f>IF($A212="","",IF(ISNUMBER(FIND("IMPVOL",J$1)),_xll.BDH(config!$G$4,J$1,WORKDAY($A212,-1,config_Holiday_Calendar_US),WORKDAY($A212,-1,config_Holiday_Calendar_US)),IF(ISNUMBER(_xll.BDH(config!$G$4,J$1,$A212,$A212)),_xll.BDH(config!$G$4,J$1,$A212,$A212),_xll.BDH(config!$G$5,J$1,$A212,$A212))))</f>
        <v>#N/A Requesting Data...</v>
      </c>
      <c r="K212" s="8" t="str">
        <f>IF($A212="","",IF(ISNUMBER(FIND("IMPVOL",K$1)),_xll.BDH(config!$G$4,K$1,WORKDAY($A212,-1,config_Holiday_Calendar_US),WORKDAY($A212,-1,config_Holiday_Calendar_US)),IF(ISNUMBER(_xll.BDH(config!$G$4,K$1,$A212,$A212)),_xll.BDH(config!$G$4,K$1,$A212,$A212),_xll.BDH(config!$G$5,K$1,$A212,$A212))))</f>
        <v>#N/A Requesting Data...</v>
      </c>
      <c r="L212" s="8" t="str">
        <f>IF($A212="","",IF(ISNUMBER(FIND("IMPVOL",L$1)),_xll.BDH(config!$G$4,L$1,WORKDAY($A212,-1,config_Holiday_Calendar_US),WORKDAY($A212,-1,config_Holiday_Calendar_US)),IF(ISNUMBER(_xll.BDH(config!$G$4,L$1,$A212,$A212)),_xll.BDH(config!$G$4,L$1,$A212,$A212),_xll.BDH(config!$G$5,L$1,$A212,$A212))))</f>
        <v>#N/A Requesting Data...</v>
      </c>
      <c r="M212" s="8" t="str">
        <f>IF($A212="","",IF(ISNUMBER(FIND("IMPVOL",M$1)),_xll.BDH(config!$G$4,M$1,WORKDAY($A212,-1,config_Holiday_Calendar_US),WORKDAY($A212,-1,config_Holiday_Calendar_US)),IF(ISNUMBER(_xll.BDH(config!$G$4,M$1,$A212,$A212)),_xll.BDH(config!$G$4,M$1,$A212,$A212),_xll.BDH(config!$G$5,M$1,$A212,$A212))))</f>
        <v>#N/A Requesting Data...</v>
      </c>
      <c r="N212" s="8" t="str">
        <f>IF($A212="","",IF(ISNUMBER(FIND("IMPVOL",N$1)),_xll.BDH(config!$G$4,N$1,WORKDAY($A212,-1,config_Holiday_Calendar_US),WORKDAY($A212,-1,config_Holiday_Calendar_US)),IF(ISNUMBER(_xll.BDH(config!$G$4,N$1,$A212,$A212)),_xll.BDH(config!$G$4,N$1,$A212,$A212),_xll.BDH(config!$G$5,N$1,$A212,$A212))))</f>
        <v>#N/A Requesting Data...</v>
      </c>
      <c r="O212" s="8" t="str">
        <f>IF($A212="","",IF(ISNUMBER(FIND("IMPVOL",O$1)),_xll.BDH(config!$G$4,O$1,WORKDAY($A212,-1,config_Holiday_Calendar_US),WORKDAY($A212,-1,config_Holiday_Calendar_US)),IF(ISNUMBER(_xll.BDH(config!$G$4,O$1,$A212,$A212)),_xll.BDH(config!$G$4,O$1,$A212,$A212),_xll.BDH(config!$G$5,O$1,$A212,$A212))))</f>
        <v>#N/A Requesting Data...</v>
      </c>
      <c r="P212" s="8" t="str">
        <f>IF($A212="","",IF(ISNUMBER(FIND("IMPVOL",P$1)),_xll.BDH(config!$G$4,P$1,WORKDAY($A212,-1,config_Holiday_Calendar_US),WORKDAY($A212,-1,config_Holiday_Calendar_US)),IF(ISNUMBER(_xll.BDH(config!$G$4,P$1,$A212,$A212)),_xll.BDH(config!$G$4,P$1,$A212,$A212),_xll.BDH(config!$G$5,P$1,$A212,$A212))))</f>
        <v>#N/A Requesting Data...</v>
      </c>
      <c r="Q212" s="8">
        <f>IF($A212="","",IF(ISNUMBER(FIND("IMPVOL",Q$1)),_xll.BDH(config!$G$4,Q$1,WORKDAY($A212,-1,config_Holiday_Calendar_US),WORKDAY($A212,-1,config_Holiday_Calendar_US)),IF(ISNUMBER(_xll.BDH(config!$G$4,Q$1,$A212,$A212)),_xll.BDH(config!$G$4,Q$1,$A212,$A212),_xll.BDH(config!$G$5,Q$1,$A212,$A212))))</f>
        <v>17.440000000000001</v>
      </c>
      <c r="R212" s="8">
        <f>IF($A212="","",IF(ISNUMBER(FIND("IMPVOL",R$1)),_xll.BDH(config!$G$4,R$1,WORKDAY($A212,-1,config_Holiday_Calendar_US),WORKDAY($A212,-1,config_Holiday_Calendar_US)),IF(ISNUMBER(_xll.BDH(config!$G$4,R$1,$A212,$A212)),_xll.BDH(config!$G$4,R$1,$A212,$A212),_xll.BDH(config!$G$5,R$1,$A212,$A212))))</f>
        <v>27.56</v>
      </c>
      <c r="S212" s="8" t="str">
        <f>IF($A212="","",IF(ISNUMBER(FIND("IMPVOL",S$1)),_xll.BDH(config!$G$4,S$1,WORKDAY($A212,-1,config_Holiday_Calendar_US),WORKDAY($A212,-1,config_Holiday_Calendar_US)),IF(ISNUMBER(_xll.BDH(config!$G$4,S$1,$A212,$A212)),_xll.BDH(config!$G$4,S$1,$A212,$A212),_xll.BDH(config!$G$5,S$1,$A212,$A212))))</f>
        <v>#N/A Requesting Data...</v>
      </c>
      <c r="T212" s="8" t="str">
        <f>IF($A212="","",IF(ISNUMBER(FIND("IMPVOL",T$1)),_xll.BDH(config!$G$4,T$1,WORKDAY($A212,-1,config_Holiday_Calendar_US),WORKDAY($A212,-1,config_Holiday_Calendar_US)),IF(ISNUMBER(_xll.BDH(config!$G$4,T$1,$A212,$A212)),_xll.BDH(config!$G$4,T$1,$A212,$A212),_xll.BDH(config!$G$5,T$1,$A212,$A212))))</f>
        <v>#N/A Requesting Data...</v>
      </c>
      <c r="U212" s="8" t="str">
        <f>IF($A212="","",IF(ISNUMBER(FIND("IMPVOL",U$1)),_xll.BDH(config!$G$4,U$1,WORKDAY($A212,-1,config_Holiday_Calendar_US),WORKDAY($A212,-1,config_Holiday_Calendar_US)),IF(ISNUMBER(_xll.BDH(config!$G$4,U$1,$A212,$A212)),_xll.BDH(config!$G$4,U$1,$A212,$A212),_xll.BDH(config!$G$5,U$1,$A212,$A212))))</f>
        <v>#N/A Requesting Data...</v>
      </c>
      <c r="V212" s="8" t="str">
        <f>IF($A212="","",IF(ISNUMBER(FIND("IMPVOL",V$1)),_xll.BDH(config!$G$4,V$1,WORKDAY($A212,-1,config_Holiday_Calendar_US),WORKDAY($A212,-1,config_Holiday_Calendar_US)),IF(ISNUMBER(_xll.BDH(config!$G$4,V$1,$A212,$A212)),_xll.BDH(config!$G$4,V$1,$A212,$A212),_xll.BDH(config!$G$5,V$1,$A212,$A212))))</f>
        <v>#N/A Requesting Data...</v>
      </c>
      <c r="W212" s="8" t="str">
        <f>IF($A212="","",IF(ISNUMBER(FIND("IMPVOL",W$1)),_xll.BDH(config!$G$4,W$1,WORKDAY($A212,-1,config_Holiday_Calendar_US),WORKDAY($A212,-1,config_Holiday_Calendar_US)),IF(ISNUMBER(_xll.BDH(config!$G$4,W$1,$A212,$A212)),_xll.BDH(config!$G$4,W$1,$A212,$A212),_xll.BDH(config!$G$5,W$1,$A212,$A212))))</f>
        <v>#N/A Requesting Data...</v>
      </c>
    </row>
    <row r="213" spans="1:23" x14ac:dyDescent="0.2">
      <c r="A213" s="9">
        <f>IF(A212="","",IF(WORKDAY(A212,-1,config_Holiday_Calendar_US)&lt;config!$I$10,"",WORKDAY(A212,-1,config_Holiday_Calendar_US)))</f>
        <v>42524</v>
      </c>
      <c r="B213" s="8" t="e">
        <f t="shared" si="3"/>
        <v>#VALUE!</v>
      </c>
      <c r="C213" s="8" t="str">
        <f>IF(A213="","",_xll.BDH(config!$H$4,C$1,$A213,$A213))</f>
        <v>#N/A Requesting Data...</v>
      </c>
      <c r="D213" s="8" t="str">
        <f>IF($A213="","",_xll.BDH(config!$H$4,D$1,$A213,$A213))</f>
        <v>#N/A Requesting Data...</v>
      </c>
      <c r="E213" s="8">
        <f>IF($A213="","",IF(ISNUMBER(FIND("IMPVOL",E$1)),_xll.BDH(config!$G$4,E$1,WORKDAY($A213,-1,config_Holiday_Calendar_US),WORKDAY($A213,-1,config_Holiday_Calendar_US)),IF(ISNUMBER(_xll.BDH(config!$G$4,E$1,$A213,$A213)),_xll.BDH(config!$G$4,E$1,$A213,$A213),_xll.BDH(config!$G$5,E$1,$A213,$A213))))</f>
        <v>49.04</v>
      </c>
      <c r="F213" s="8">
        <f>IF($A213="","",IF(ISNUMBER(FIND("IMPVOL",F$1)),_xll.BDH(config!$G$4,F$1,WORKDAY($A213,-1,config_Holiday_Calendar_US),WORKDAY($A213,-1,config_Holiday_Calendar_US)),IF(ISNUMBER(_xll.BDH(config!$G$4,F$1,$A213,$A213)),_xll.BDH(config!$G$4,F$1,$A213,$A213),_xll.BDH(config!$G$5,F$1,$A213,$A213))))</f>
        <v>49.41</v>
      </c>
      <c r="G213" s="8">
        <f>IF($A213="","",IF(ISNUMBER(FIND("IMPVOL",G$1)),_xll.BDH(config!$G$4,G$1,WORKDAY($A213,-1,config_Holiday_Calendar_US),WORKDAY($A213,-1,config_Holiday_Calendar_US)),IF(ISNUMBER(_xll.BDH(config!$G$4,G$1,$A213,$A213)),_xll.BDH(config!$G$4,G$1,$A213,$A213),_xll.BDH(config!$G$5,G$1,$A213,$A213))))</f>
        <v>48.8</v>
      </c>
      <c r="H213" s="8">
        <f>IF($A213="","",IF(ISNUMBER(FIND("IMPVOL",H$1)),_xll.BDH(config!$G$4,H$1,WORKDAY($A213,-1,config_Holiday_Calendar_US),WORKDAY($A213,-1,config_Holiday_Calendar_US)),IF(ISNUMBER(_xll.BDH(config!$G$4,H$1,$A213,$A213)),_xll.BDH(config!$G$4,H$1,$A213,$A213),_xll.BDH(config!$G$5,H$1,$A213,$A213))))</f>
        <v>89043</v>
      </c>
      <c r="I213" s="8" t="str">
        <f>IF($A213="","",IF(ISNUMBER(FIND("IMPVOL",I$1)),_xll.BDH(config!$G$4,I$1,WORKDAY($A213,-1,config_Holiday_Calendar_US),WORKDAY($A213,-1,config_Holiday_Calendar_US)),IF(ISNUMBER(_xll.BDH(config!$G$4,I$1,$A213,$A213)),_xll.BDH(config!$G$4,I$1,$A213,$A213),_xll.BDH(config!$G$5,I$1,$A213,$A213))))</f>
        <v>#N/A Requesting Data...</v>
      </c>
      <c r="J213" s="8" t="str">
        <f>IF($A213="","",IF(ISNUMBER(FIND("IMPVOL",J$1)),_xll.BDH(config!$G$4,J$1,WORKDAY($A213,-1,config_Holiday_Calendar_US),WORKDAY($A213,-1,config_Holiday_Calendar_US)),IF(ISNUMBER(_xll.BDH(config!$G$4,J$1,$A213,$A213)),_xll.BDH(config!$G$4,J$1,$A213,$A213),_xll.BDH(config!$G$5,J$1,$A213,$A213))))</f>
        <v>#N/A Requesting Data...</v>
      </c>
      <c r="K213" s="8" t="str">
        <f>IF($A213="","",IF(ISNUMBER(FIND("IMPVOL",K$1)),_xll.BDH(config!$G$4,K$1,WORKDAY($A213,-1,config_Holiday_Calendar_US),WORKDAY($A213,-1,config_Holiday_Calendar_US)),IF(ISNUMBER(_xll.BDH(config!$G$4,K$1,$A213,$A213)),_xll.BDH(config!$G$4,K$1,$A213,$A213),_xll.BDH(config!$G$5,K$1,$A213,$A213))))</f>
        <v>#N/A Requesting Data...</v>
      </c>
      <c r="L213" s="8" t="str">
        <f>IF($A213="","",IF(ISNUMBER(FIND("IMPVOL",L$1)),_xll.BDH(config!$G$4,L$1,WORKDAY($A213,-1,config_Holiday_Calendar_US),WORKDAY($A213,-1,config_Holiday_Calendar_US)),IF(ISNUMBER(_xll.BDH(config!$G$4,L$1,$A213,$A213)),_xll.BDH(config!$G$4,L$1,$A213,$A213),_xll.BDH(config!$G$5,L$1,$A213,$A213))))</f>
        <v>#N/A Requesting Data...</v>
      </c>
      <c r="M213" s="8" t="str">
        <f>IF($A213="","",IF(ISNUMBER(FIND("IMPVOL",M$1)),_xll.BDH(config!$G$4,M$1,WORKDAY($A213,-1,config_Holiday_Calendar_US),WORKDAY($A213,-1,config_Holiday_Calendar_US)),IF(ISNUMBER(_xll.BDH(config!$G$4,M$1,$A213,$A213)),_xll.BDH(config!$G$4,M$1,$A213,$A213),_xll.BDH(config!$G$5,M$1,$A213,$A213))))</f>
        <v>#N/A Requesting Data...</v>
      </c>
      <c r="N213" s="8" t="str">
        <f>IF($A213="","",IF(ISNUMBER(FIND("IMPVOL",N$1)),_xll.BDH(config!$G$4,N$1,WORKDAY($A213,-1,config_Holiday_Calendar_US),WORKDAY($A213,-1,config_Holiday_Calendar_US)),IF(ISNUMBER(_xll.BDH(config!$G$4,N$1,$A213,$A213)),_xll.BDH(config!$G$4,N$1,$A213,$A213),_xll.BDH(config!$G$5,N$1,$A213,$A213))))</f>
        <v>#N/A Requesting Data...</v>
      </c>
      <c r="O213" s="8" t="str">
        <f>IF($A213="","",IF(ISNUMBER(FIND("IMPVOL",O$1)),_xll.BDH(config!$G$4,O$1,WORKDAY($A213,-1,config_Holiday_Calendar_US),WORKDAY($A213,-1,config_Holiday_Calendar_US)),IF(ISNUMBER(_xll.BDH(config!$G$4,O$1,$A213,$A213)),_xll.BDH(config!$G$4,O$1,$A213,$A213),_xll.BDH(config!$G$5,O$1,$A213,$A213))))</f>
        <v>#N/A Requesting Data...</v>
      </c>
      <c r="P213" s="8" t="str">
        <f>IF($A213="","",IF(ISNUMBER(FIND("IMPVOL",P$1)),_xll.BDH(config!$G$4,P$1,WORKDAY($A213,-1,config_Holiday_Calendar_US),WORKDAY($A213,-1,config_Holiday_Calendar_US)),IF(ISNUMBER(_xll.BDH(config!$G$4,P$1,$A213,$A213)),_xll.BDH(config!$G$4,P$1,$A213,$A213),_xll.BDH(config!$G$5,P$1,$A213,$A213))))</f>
        <v>#N/A Requesting Data...</v>
      </c>
      <c r="Q213" s="8">
        <f>IF($A213="","",IF(ISNUMBER(FIND("IMPVOL",Q$1)),_xll.BDH(config!$G$4,Q$1,WORKDAY($A213,-1,config_Holiday_Calendar_US),WORKDAY($A213,-1,config_Holiday_Calendar_US)),IF(ISNUMBER(_xll.BDH(config!$G$4,Q$1,$A213,$A213)),_xll.BDH(config!$G$4,Q$1,$A213,$A213),_xll.BDH(config!$G$5,Q$1,$A213,$A213))))</f>
        <v>13.78</v>
      </c>
      <c r="R213" s="8">
        <f>IF($A213="","",IF(ISNUMBER(FIND("IMPVOL",R$1)),_xll.BDH(config!$G$4,R$1,WORKDAY($A213,-1,config_Holiday_Calendar_US),WORKDAY($A213,-1,config_Holiday_Calendar_US)),IF(ISNUMBER(_xll.BDH(config!$G$4,R$1,$A213,$A213)),_xll.BDH(config!$G$4,R$1,$A213,$A213),_xll.BDH(config!$G$5,R$1,$A213,$A213))))</f>
        <v>28.17</v>
      </c>
      <c r="S213" s="8" t="str">
        <f>IF($A213="","",IF(ISNUMBER(FIND("IMPVOL",S$1)),_xll.BDH(config!$G$4,S$1,WORKDAY($A213,-1,config_Holiday_Calendar_US),WORKDAY($A213,-1,config_Holiday_Calendar_US)),IF(ISNUMBER(_xll.BDH(config!$G$4,S$1,$A213,$A213)),_xll.BDH(config!$G$4,S$1,$A213,$A213),_xll.BDH(config!$G$5,S$1,$A213,$A213))))</f>
        <v>#N/A Requesting Data...</v>
      </c>
      <c r="T213" s="8" t="str">
        <f>IF($A213="","",IF(ISNUMBER(FIND("IMPVOL",T$1)),_xll.BDH(config!$G$4,T$1,WORKDAY($A213,-1,config_Holiday_Calendar_US),WORKDAY($A213,-1,config_Holiday_Calendar_US)),IF(ISNUMBER(_xll.BDH(config!$G$4,T$1,$A213,$A213)),_xll.BDH(config!$G$4,T$1,$A213,$A213),_xll.BDH(config!$G$5,T$1,$A213,$A213))))</f>
        <v>#N/A Requesting Data...</v>
      </c>
      <c r="U213" s="8" t="str">
        <f>IF($A213="","",IF(ISNUMBER(FIND("IMPVOL",U$1)),_xll.BDH(config!$G$4,U$1,WORKDAY($A213,-1,config_Holiday_Calendar_US),WORKDAY($A213,-1,config_Holiday_Calendar_US)),IF(ISNUMBER(_xll.BDH(config!$G$4,U$1,$A213,$A213)),_xll.BDH(config!$G$4,U$1,$A213,$A213),_xll.BDH(config!$G$5,U$1,$A213,$A213))))</f>
        <v>#N/A Requesting Data...</v>
      </c>
      <c r="V213" s="8" t="str">
        <f>IF($A213="","",IF(ISNUMBER(FIND("IMPVOL",V$1)),_xll.BDH(config!$G$4,V$1,WORKDAY($A213,-1,config_Holiday_Calendar_US),WORKDAY($A213,-1,config_Holiday_Calendar_US)),IF(ISNUMBER(_xll.BDH(config!$G$4,V$1,$A213,$A213)),_xll.BDH(config!$G$4,V$1,$A213,$A213),_xll.BDH(config!$G$5,V$1,$A213,$A213))))</f>
        <v>#N/A Requesting Data...</v>
      </c>
      <c r="W213" s="8" t="str">
        <f>IF($A213="","",IF(ISNUMBER(FIND("IMPVOL",W$1)),_xll.BDH(config!$G$4,W$1,WORKDAY($A213,-1,config_Holiday_Calendar_US),WORKDAY($A213,-1,config_Holiday_Calendar_US)),IF(ISNUMBER(_xll.BDH(config!$G$4,W$1,$A213,$A213)),_xll.BDH(config!$G$4,W$1,$A213,$A213),_xll.BDH(config!$G$5,W$1,$A213,$A213))))</f>
        <v>#N/A Requesting Data...</v>
      </c>
    </row>
    <row r="214" spans="1:23" x14ac:dyDescent="0.2">
      <c r="A214" s="9">
        <f>IF(A213="","",IF(WORKDAY(A213,-1,config_Holiday_Calendar_US)&lt;config!$I$10,"",WORKDAY(A213,-1,config_Holiday_Calendar_US)))</f>
        <v>42523</v>
      </c>
      <c r="B214" s="8" t="e">
        <f t="shared" si="3"/>
        <v>#VALUE!</v>
      </c>
      <c r="C214" s="8" t="str">
        <f>IF(A214="","",_xll.BDH(config!$H$4,C$1,$A214,$A214))</f>
        <v>#N/A Requesting Data...</v>
      </c>
      <c r="D214" s="8" t="str">
        <f>IF($A214="","",_xll.BDH(config!$H$4,D$1,$A214,$A214))</f>
        <v>#N/A Requesting Data...</v>
      </c>
      <c r="E214" s="8">
        <f>IF($A214="","",IF(ISNUMBER(FIND("IMPVOL",E$1)),_xll.BDH(config!$G$4,E$1,WORKDAY($A214,-1,config_Holiday_Calendar_US),WORKDAY($A214,-1,config_Holiday_Calendar_US)),IF(ISNUMBER(_xll.BDH(config!$G$4,E$1,$A214,$A214)),_xll.BDH(config!$G$4,E$1,$A214,$A214),_xll.BDH(config!$G$5,E$1,$A214,$A214))))</f>
        <v>48.9</v>
      </c>
      <c r="F214" s="8">
        <f>IF($A214="","",IF(ISNUMBER(FIND("IMPVOL",F$1)),_xll.BDH(config!$G$4,F$1,WORKDAY($A214,-1,config_Holiday_Calendar_US),WORKDAY($A214,-1,config_Holiday_Calendar_US)),IF(ISNUMBER(_xll.BDH(config!$G$4,F$1,$A214,$A214)),_xll.BDH(config!$G$4,F$1,$A214,$A214),_xll.BDH(config!$G$5,F$1,$A214,$A214))))</f>
        <v>49.47</v>
      </c>
      <c r="G214" s="8">
        <f>IF($A214="","",IF(ISNUMBER(FIND("IMPVOL",G$1)),_xll.BDH(config!$G$4,G$1,WORKDAY($A214,-1,config_Holiday_Calendar_US),WORKDAY($A214,-1,config_Holiday_Calendar_US)),IF(ISNUMBER(_xll.BDH(config!$G$4,G$1,$A214,$A214)),_xll.BDH(config!$G$4,G$1,$A214,$A214),_xll.BDH(config!$G$5,G$1,$A214,$A214))))</f>
        <v>48.46</v>
      </c>
      <c r="H214" s="8">
        <f>IF($A214="","",IF(ISNUMBER(FIND("IMPVOL",H$1)),_xll.BDH(config!$G$4,H$1,WORKDAY($A214,-1,config_Holiday_Calendar_US),WORKDAY($A214,-1,config_Holiday_Calendar_US)),IF(ISNUMBER(_xll.BDH(config!$G$4,H$1,$A214,$A214)),_xll.BDH(config!$G$4,H$1,$A214,$A214),_xll.BDH(config!$G$5,H$1,$A214,$A214))))</f>
        <v>107303</v>
      </c>
      <c r="I214" s="8" t="str">
        <f>IF($A214="","",IF(ISNUMBER(FIND("IMPVOL",I$1)),_xll.BDH(config!$G$4,I$1,WORKDAY($A214,-1,config_Holiday_Calendar_US),WORKDAY($A214,-1,config_Holiday_Calendar_US)),IF(ISNUMBER(_xll.BDH(config!$G$4,I$1,$A214,$A214)),_xll.BDH(config!$G$4,I$1,$A214,$A214),_xll.BDH(config!$G$5,I$1,$A214,$A214))))</f>
        <v>#N/A Requesting Data...</v>
      </c>
      <c r="J214" s="8" t="str">
        <f>IF($A214="","",IF(ISNUMBER(FIND("IMPVOL",J$1)),_xll.BDH(config!$G$4,J$1,WORKDAY($A214,-1,config_Holiday_Calendar_US),WORKDAY($A214,-1,config_Holiday_Calendar_US)),IF(ISNUMBER(_xll.BDH(config!$G$4,J$1,$A214,$A214)),_xll.BDH(config!$G$4,J$1,$A214,$A214),_xll.BDH(config!$G$5,J$1,$A214,$A214))))</f>
        <v>#N/A Requesting Data...</v>
      </c>
      <c r="K214" s="8" t="str">
        <f>IF($A214="","",IF(ISNUMBER(FIND("IMPVOL",K$1)),_xll.BDH(config!$G$4,K$1,WORKDAY($A214,-1,config_Holiday_Calendar_US),WORKDAY($A214,-1,config_Holiday_Calendar_US)),IF(ISNUMBER(_xll.BDH(config!$G$4,K$1,$A214,$A214)),_xll.BDH(config!$G$4,K$1,$A214,$A214),_xll.BDH(config!$G$5,K$1,$A214,$A214))))</f>
        <v>#N/A Requesting Data...</v>
      </c>
      <c r="L214" s="8" t="str">
        <f>IF($A214="","",IF(ISNUMBER(FIND("IMPVOL",L$1)),_xll.BDH(config!$G$4,L$1,WORKDAY($A214,-1,config_Holiday_Calendar_US),WORKDAY($A214,-1,config_Holiday_Calendar_US)),IF(ISNUMBER(_xll.BDH(config!$G$4,L$1,$A214,$A214)),_xll.BDH(config!$G$4,L$1,$A214,$A214),_xll.BDH(config!$G$5,L$1,$A214,$A214))))</f>
        <v>#N/A Requesting Data...</v>
      </c>
      <c r="M214" s="8" t="str">
        <f>IF($A214="","",IF(ISNUMBER(FIND("IMPVOL",M$1)),_xll.BDH(config!$G$4,M$1,WORKDAY($A214,-1,config_Holiday_Calendar_US),WORKDAY($A214,-1,config_Holiday_Calendar_US)),IF(ISNUMBER(_xll.BDH(config!$G$4,M$1,$A214,$A214)),_xll.BDH(config!$G$4,M$1,$A214,$A214),_xll.BDH(config!$G$5,M$1,$A214,$A214))))</f>
        <v>#N/A Requesting Data...</v>
      </c>
      <c r="N214" s="8" t="str">
        <f>IF($A214="","",IF(ISNUMBER(FIND("IMPVOL",N$1)),_xll.BDH(config!$G$4,N$1,WORKDAY($A214,-1,config_Holiday_Calendar_US),WORKDAY($A214,-1,config_Holiday_Calendar_US)),IF(ISNUMBER(_xll.BDH(config!$G$4,N$1,$A214,$A214)),_xll.BDH(config!$G$4,N$1,$A214,$A214),_xll.BDH(config!$G$5,N$1,$A214,$A214))))</f>
        <v>#N/A Requesting Data...</v>
      </c>
      <c r="O214" s="8" t="str">
        <f>IF($A214="","",IF(ISNUMBER(FIND("IMPVOL",O$1)),_xll.BDH(config!$G$4,O$1,WORKDAY($A214,-1,config_Holiday_Calendar_US),WORKDAY($A214,-1,config_Holiday_Calendar_US)),IF(ISNUMBER(_xll.BDH(config!$G$4,O$1,$A214,$A214)),_xll.BDH(config!$G$4,O$1,$A214,$A214),_xll.BDH(config!$G$5,O$1,$A214,$A214))))</f>
        <v>#N/A Requesting Data...</v>
      </c>
      <c r="P214" s="8" t="str">
        <f>IF($A214="","",IF(ISNUMBER(FIND("IMPVOL",P$1)),_xll.BDH(config!$G$4,P$1,WORKDAY($A214,-1,config_Holiday_Calendar_US),WORKDAY($A214,-1,config_Holiday_Calendar_US)),IF(ISNUMBER(_xll.BDH(config!$G$4,P$1,$A214,$A214)),_xll.BDH(config!$G$4,P$1,$A214,$A214),_xll.BDH(config!$G$5,P$1,$A214,$A214))))</f>
        <v>#N/A Requesting Data...</v>
      </c>
      <c r="Q214" s="8">
        <f>IF($A214="","",IF(ISNUMBER(FIND("IMPVOL",Q$1)),_xll.BDH(config!$G$4,Q$1,WORKDAY($A214,-1,config_Holiday_Calendar_US),WORKDAY($A214,-1,config_Holiday_Calendar_US)),IF(ISNUMBER(_xll.BDH(config!$G$4,Q$1,$A214,$A214)),_xll.BDH(config!$G$4,Q$1,$A214,$A214),_xll.BDH(config!$G$5,Q$1,$A214,$A214))))</f>
        <v>12.31</v>
      </c>
      <c r="R214" s="8">
        <f>IF($A214="","",IF(ISNUMBER(FIND("IMPVOL",R$1)),_xll.BDH(config!$G$4,R$1,WORKDAY($A214,-1,config_Holiday_Calendar_US),WORKDAY($A214,-1,config_Holiday_Calendar_US)),IF(ISNUMBER(_xll.BDH(config!$G$4,R$1,$A214,$A214)),_xll.BDH(config!$G$4,R$1,$A214,$A214),_xll.BDH(config!$G$5,R$1,$A214,$A214))))</f>
        <v>27.93</v>
      </c>
      <c r="S214" s="8" t="str">
        <f>IF($A214="","",IF(ISNUMBER(FIND("IMPVOL",S$1)),_xll.BDH(config!$G$4,S$1,WORKDAY($A214,-1,config_Holiday_Calendar_US),WORKDAY($A214,-1,config_Holiday_Calendar_US)),IF(ISNUMBER(_xll.BDH(config!$G$4,S$1,$A214,$A214)),_xll.BDH(config!$G$4,S$1,$A214,$A214),_xll.BDH(config!$G$5,S$1,$A214,$A214))))</f>
        <v>#N/A Requesting Data...</v>
      </c>
      <c r="T214" s="8" t="str">
        <f>IF($A214="","",IF(ISNUMBER(FIND("IMPVOL",T$1)),_xll.BDH(config!$G$4,T$1,WORKDAY($A214,-1,config_Holiday_Calendar_US),WORKDAY($A214,-1,config_Holiday_Calendar_US)),IF(ISNUMBER(_xll.BDH(config!$G$4,T$1,$A214,$A214)),_xll.BDH(config!$G$4,T$1,$A214,$A214),_xll.BDH(config!$G$5,T$1,$A214,$A214))))</f>
        <v>#N/A Requesting Data...</v>
      </c>
      <c r="U214" s="8" t="str">
        <f>IF($A214="","",IF(ISNUMBER(FIND("IMPVOL",U$1)),_xll.BDH(config!$G$4,U$1,WORKDAY($A214,-1,config_Holiday_Calendar_US),WORKDAY($A214,-1,config_Holiday_Calendar_US)),IF(ISNUMBER(_xll.BDH(config!$G$4,U$1,$A214,$A214)),_xll.BDH(config!$G$4,U$1,$A214,$A214),_xll.BDH(config!$G$5,U$1,$A214,$A214))))</f>
        <v>#N/A Requesting Data...</v>
      </c>
      <c r="V214" s="8" t="str">
        <f>IF($A214="","",IF(ISNUMBER(FIND("IMPVOL",V$1)),_xll.BDH(config!$G$4,V$1,WORKDAY($A214,-1,config_Holiday_Calendar_US),WORKDAY($A214,-1,config_Holiday_Calendar_US)),IF(ISNUMBER(_xll.BDH(config!$G$4,V$1,$A214,$A214)),_xll.BDH(config!$G$4,V$1,$A214,$A214),_xll.BDH(config!$G$5,V$1,$A214,$A214))))</f>
        <v>#N/A Requesting Data...</v>
      </c>
      <c r="W214" s="8" t="str">
        <f>IF($A214="","",IF(ISNUMBER(FIND("IMPVOL",W$1)),_xll.BDH(config!$G$4,W$1,WORKDAY($A214,-1,config_Holiday_Calendar_US),WORKDAY($A214,-1,config_Holiday_Calendar_US)),IF(ISNUMBER(_xll.BDH(config!$G$4,W$1,$A214,$A214)),_xll.BDH(config!$G$4,W$1,$A214,$A214),_xll.BDH(config!$G$5,W$1,$A214,$A214))))</f>
        <v>#N/A Requesting Data...</v>
      </c>
    </row>
    <row r="215" spans="1:23" x14ac:dyDescent="0.2">
      <c r="A215" s="9">
        <f>IF(A214="","",IF(WORKDAY(A214,-1,config_Holiday_Calendar_US)&lt;config!$I$10,"",WORKDAY(A214,-1,config_Holiday_Calendar_US)))</f>
        <v>42522</v>
      </c>
      <c r="B215" s="8" t="e">
        <f t="shared" si="3"/>
        <v>#VALUE!</v>
      </c>
      <c r="C215" s="8" t="str">
        <f>IF(A215="","",_xll.BDH(config!$H$4,C$1,$A215,$A215))</f>
        <v>#N/A Requesting Data...</v>
      </c>
      <c r="D215" s="8" t="str">
        <f>IF($A215="","",_xll.BDH(config!$H$4,D$1,$A215,$A215))</f>
        <v>#N/A Requesting Data...</v>
      </c>
      <c r="E215" s="8">
        <f>IF($A215="","",IF(ISNUMBER(FIND("IMPVOL",E$1)),_xll.BDH(config!$G$4,E$1,WORKDAY($A215,-1,config_Holiday_Calendar_US),WORKDAY($A215,-1,config_Holiday_Calendar_US)),IF(ISNUMBER(_xll.BDH(config!$G$4,E$1,$A215,$A215)),_xll.BDH(config!$G$4,E$1,$A215,$A215),_xll.BDH(config!$G$5,E$1,$A215,$A215))))</f>
        <v>48.82</v>
      </c>
      <c r="F215" s="8">
        <f>IF($A215="","",IF(ISNUMBER(FIND("IMPVOL",F$1)),_xll.BDH(config!$G$4,F$1,WORKDAY($A215,-1,config_Holiday_Calendar_US),WORKDAY($A215,-1,config_Holiday_Calendar_US)),IF(ISNUMBER(_xll.BDH(config!$G$4,F$1,$A215,$A215)),_xll.BDH(config!$G$4,F$1,$A215,$A215),_xll.BDH(config!$G$5,F$1,$A215,$A215))))</f>
        <v>49.25</v>
      </c>
      <c r="G215" s="8">
        <f>IF($A215="","",IF(ISNUMBER(FIND("IMPVOL",G$1)),_xll.BDH(config!$G$4,G$1,WORKDAY($A215,-1,config_Holiday_Calendar_US),WORKDAY($A215,-1,config_Holiday_Calendar_US)),IF(ISNUMBER(_xll.BDH(config!$G$4,G$1,$A215,$A215)),_xll.BDH(config!$G$4,G$1,$A215,$A215),_xll.BDH(config!$G$5,G$1,$A215,$A215))))</f>
        <v>48.21</v>
      </c>
      <c r="H215" s="8">
        <f>IF($A215="","",IF(ISNUMBER(FIND("IMPVOL",H$1)),_xll.BDH(config!$G$4,H$1,WORKDAY($A215,-1,config_Holiday_Calendar_US),WORKDAY($A215,-1,config_Holiday_Calendar_US)),IF(ISNUMBER(_xll.BDH(config!$G$4,H$1,$A215,$A215)),_xll.BDH(config!$G$4,H$1,$A215,$A215),_xll.BDH(config!$G$5,H$1,$A215,$A215))))</f>
        <v>142491</v>
      </c>
      <c r="I215" s="8" t="str">
        <f>IF($A215="","",IF(ISNUMBER(FIND("IMPVOL",I$1)),_xll.BDH(config!$G$4,I$1,WORKDAY($A215,-1,config_Holiday_Calendar_US),WORKDAY($A215,-1,config_Holiday_Calendar_US)),IF(ISNUMBER(_xll.BDH(config!$G$4,I$1,$A215,$A215)),_xll.BDH(config!$G$4,I$1,$A215,$A215),_xll.BDH(config!$G$5,I$1,$A215,$A215))))</f>
        <v>#N/A Requesting Data...</v>
      </c>
      <c r="J215" s="8" t="str">
        <f>IF($A215="","",IF(ISNUMBER(FIND("IMPVOL",J$1)),_xll.BDH(config!$G$4,J$1,WORKDAY($A215,-1,config_Holiday_Calendar_US),WORKDAY($A215,-1,config_Holiday_Calendar_US)),IF(ISNUMBER(_xll.BDH(config!$G$4,J$1,$A215,$A215)),_xll.BDH(config!$G$4,J$1,$A215,$A215),_xll.BDH(config!$G$5,J$1,$A215,$A215))))</f>
        <v>#N/A Requesting Data...</v>
      </c>
      <c r="K215" s="8" t="str">
        <f>IF($A215="","",IF(ISNUMBER(FIND("IMPVOL",K$1)),_xll.BDH(config!$G$4,K$1,WORKDAY($A215,-1,config_Holiday_Calendar_US),WORKDAY($A215,-1,config_Holiday_Calendar_US)),IF(ISNUMBER(_xll.BDH(config!$G$4,K$1,$A215,$A215)),_xll.BDH(config!$G$4,K$1,$A215,$A215),_xll.BDH(config!$G$5,K$1,$A215,$A215))))</f>
        <v>#N/A Requesting Data...</v>
      </c>
      <c r="L215" s="8" t="str">
        <f>IF($A215="","",IF(ISNUMBER(FIND("IMPVOL",L$1)),_xll.BDH(config!$G$4,L$1,WORKDAY($A215,-1,config_Holiday_Calendar_US),WORKDAY($A215,-1,config_Holiday_Calendar_US)),IF(ISNUMBER(_xll.BDH(config!$G$4,L$1,$A215,$A215)),_xll.BDH(config!$G$4,L$1,$A215,$A215),_xll.BDH(config!$G$5,L$1,$A215,$A215))))</f>
        <v>#N/A Requesting Data...</v>
      </c>
      <c r="M215" s="8" t="str">
        <f>IF($A215="","",IF(ISNUMBER(FIND("IMPVOL",M$1)),_xll.BDH(config!$G$4,M$1,WORKDAY($A215,-1,config_Holiday_Calendar_US),WORKDAY($A215,-1,config_Holiday_Calendar_US)),IF(ISNUMBER(_xll.BDH(config!$G$4,M$1,$A215,$A215)),_xll.BDH(config!$G$4,M$1,$A215,$A215),_xll.BDH(config!$G$5,M$1,$A215,$A215))))</f>
        <v>#N/A Requesting Data...</v>
      </c>
      <c r="N215" s="8" t="str">
        <f>IF($A215="","",IF(ISNUMBER(FIND("IMPVOL",N$1)),_xll.BDH(config!$G$4,N$1,WORKDAY($A215,-1,config_Holiday_Calendar_US),WORKDAY($A215,-1,config_Holiday_Calendar_US)),IF(ISNUMBER(_xll.BDH(config!$G$4,N$1,$A215,$A215)),_xll.BDH(config!$G$4,N$1,$A215,$A215),_xll.BDH(config!$G$5,N$1,$A215,$A215))))</f>
        <v>#N/A Requesting Data...</v>
      </c>
      <c r="O215" s="8" t="str">
        <f>IF($A215="","",IF(ISNUMBER(FIND("IMPVOL",O$1)),_xll.BDH(config!$G$4,O$1,WORKDAY($A215,-1,config_Holiday_Calendar_US),WORKDAY($A215,-1,config_Holiday_Calendar_US)),IF(ISNUMBER(_xll.BDH(config!$G$4,O$1,$A215,$A215)),_xll.BDH(config!$G$4,O$1,$A215,$A215),_xll.BDH(config!$G$5,O$1,$A215,$A215))))</f>
        <v>#N/A Requesting Data...</v>
      </c>
      <c r="P215" s="8" t="str">
        <f>IF($A215="","",IF(ISNUMBER(FIND("IMPVOL",P$1)),_xll.BDH(config!$G$4,P$1,WORKDAY($A215,-1,config_Holiday_Calendar_US),WORKDAY($A215,-1,config_Holiday_Calendar_US)),IF(ISNUMBER(_xll.BDH(config!$G$4,P$1,$A215,$A215)),_xll.BDH(config!$G$4,P$1,$A215,$A215),_xll.BDH(config!$G$5,P$1,$A215,$A215))))</f>
        <v>#N/A Requesting Data...</v>
      </c>
      <c r="Q215" s="8">
        <f>IF($A215="","",IF(ISNUMBER(FIND("IMPVOL",Q$1)),_xll.BDH(config!$G$4,Q$1,WORKDAY($A215,-1,config_Holiday_Calendar_US),WORKDAY($A215,-1,config_Holiday_Calendar_US)),IF(ISNUMBER(_xll.BDH(config!$G$4,Q$1,$A215,$A215)),_xll.BDH(config!$G$4,Q$1,$A215,$A215),_xll.BDH(config!$G$5,Q$1,$A215,$A215))))</f>
        <v>12.51</v>
      </c>
      <c r="R215" s="8">
        <f>IF($A215="","",IF(ISNUMBER(FIND("IMPVOL",R$1)),_xll.BDH(config!$G$4,R$1,WORKDAY($A215,-1,config_Holiday_Calendar_US),WORKDAY($A215,-1,config_Holiday_Calendar_US)),IF(ISNUMBER(_xll.BDH(config!$G$4,R$1,$A215,$A215)),_xll.BDH(config!$G$4,R$1,$A215,$A215),_xll.BDH(config!$G$5,R$1,$A215,$A215))))</f>
        <v>28.05</v>
      </c>
      <c r="S215" s="8" t="str">
        <f>IF($A215="","",IF(ISNUMBER(FIND("IMPVOL",S$1)),_xll.BDH(config!$G$4,S$1,WORKDAY($A215,-1,config_Holiday_Calendar_US),WORKDAY($A215,-1,config_Holiday_Calendar_US)),IF(ISNUMBER(_xll.BDH(config!$G$4,S$1,$A215,$A215)),_xll.BDH(config!$G$4,S$1,$A215,$A215),_xll.BDH(config!$G$5,S$1,$A215,$A215))))</f>
        <v>#N/A Requesting Data...</v>
      </c>
      <c r="T215" s="8" t="str">
        <f>IF($A215="","",IF(ISNUMBER(FIND("IMPVOL",T$1)),_xll.BDH(config!$G$4,T$1,WORKDAY($A215,-1,config_Holiday_Calendar_US),WORKDAY($A215,-1,config_Holiday_Calendar_US)),IF(ISNUMBER(_xll.BDH(config!$G$4,T$1,$A215,$A215)),_xll.BDH(config!$G$4,T$1,$A215,$A215),_xll.BDH(config!$G$5,T$1,$A215,$A215))))</f>
        <v>#N/A Requesting Data...</v>
      </c>
      <c r="U215" s="8" t="str">
        <f>IF($A215="","",IF(ISNUMBER(FIND("IMPVOL",U$1)),_xll.BDH(config!$G$4,U$1,WORKDAY($A215,-1,config_Holiday_Calendar_US),WORKDAY($A215,-1,config_Holiday_Calendar_US)),IF(ISNUMBER(_xll.BDH(config!$G$4,U$1,$A215,$A215)),_xll.BDH(config!$G$4,U$1,$A215,$A215),_xll.BDH(config!$G$5,U$1,$A215,$A215))))</f>
        <v>#N/A Requesting Data...</v>
      </c>
      <c r="V215" s="8" t="str">
        <f>IF($A215="","",IF(ISNUMBER(FIND("IMPVOL",V$1)),_xll.BDH(config!$G$4,V$1,WORKDAY($A215,-1,config_Holiday_Calendar_US),WORKDAY($A215,-1,config_Holiday_Calendar_US)),IF(ISNUMBER(_xll.BDH(config!$G$4,V$1,$A215,$A215)),_xll.BDH(config!$G$4,V$1,$A215,$A215),_xll.BDH(config!$G$5,V$1,$A215,$A215))))</f>
        <v>#N/A Requesting Data...</v>
      </c>
      <c r="W215" s="8" t="str">
        <f>IF($A215="","",IF(ISNUMBER(FIND("IMPVOL",W$1)),_xll.BDH(config!$G$4,W$1,WORKDAY($A215,-1,config_Holiday_Calendar_US),WORKDAY($A215,-1,config_Holiday_Calendar_US)),IF(ISNUMBER(_xll.BDH(config!$G$4,W$1,$A215,$A215)),_xll.BDH(config!$G$4,W$1,$A215,$A215),_xll.BDH(config!$G$5,W$1,$A215,$A215))))</f>
        <v>#N/A Requesting Data...</v>
      </c>
    </row>
    <row r="216" spans="1:23" x14ac:dyDescent="0.2">
      <c r="A216" s="9">
        <f>IF(A215="","",IF(WORKDAY(A215,-1,config_Holiday_Calendar_US)&lt;config!$I$10,"",WORKDAY(A215,-1,config_Holiday_Calendar_US)))</f>
        <v>42521</v>
      </c>
      <c r="B216" s="8" t="e">
        <f t="shared" si="3"/>
        <v>#VALUE!</v>
      </c>
      <c r="C216" s="8" t="str">
        <f>IF(A216="","",_xll.BDH(config!$H$4,C$1,$A216,$A216))</f>
        <v>#N/A Requesting Data...</v>
      </c>
      <c r="D216" s="8" t="str">
        <f>IF($A216="","",_xll.BDH(config!$H$4,D$1,$A216,$A216))</f>
        <v>#N/A Requesting Data...</v>
      </c>
      <c r="E216" s="8">
        <f>IF($A216="","",IF(ISNUMBER(FIND("IMPVOL",E$1)),_xll.BDH(config!$G$4,E$1,WORKDAY($A216,-1,config_Holiday_Calendar_US),WORKDAY($A216,-1,config_Holiday_Calendar_US)),IF(ISNUMBER(_xll.BDH(config!$G$4,E$1,$A216,$A216)),_xll.BDH(config!$G$4,E$1,$A216,$A216),_xll.BDH(config!$G$5,E$1,$A216,$A216))))</f>
        <v>49.54</v>
      </c>
      <c r="F216" s="8">
        <f>IF($A216="","",IF(ISNUMBER(FIND("IMPVOL",F$1)),_xll.BDH(config!$G$4,F$1,WORKDAY($A216,-1,config_Holiday_Calendar_US),WORKDAY($A216,-1,config_Holiday_Calendar_US)),IF(ISNUMBER(_xll.BDH(config!$G$4,F$1,$A216,$A216)),_xll.BDH(config!$G$4,F$1,$A216,$A216),_xll.BDH(config!$G$5,F$1,$A216,$A216))))</f>
        <v>50.1</v>
      </c>
      <c r="G216" s="8">
        <f>IF($A216="","",IF(ISNUMBER(FIND("IMPVOL",G$1)),_xll.BDH(config!$G$4,G$1,WORKDAY($A216,-1,config_Holiday_Calendar_US),WORKDAY($A216,-1,config_Holiday_Calendar_US)),IF(ISNUMBER(_xll.BDH(config!$G$4,G$1,$A216,$A216)),_xll.BDH(config!$G$4,G$1,$A216,$A216),_xll.BDH(config!$G$5,G$1,$A216,$A216))))</f>
        <v>49.23</v>
      </c>
      <c r="H216" s="8">
        <f>IF($A216="","",IF(ISNUMBER(FIND("IMPVOL",H$1)),_xll.BDH(config!$G$4,H$1,WORKDAY($A216,-1,config_Holiday_Calendar_US),WORKDAY($A216,-1,config_Holiday_Calendar_US)),IF(ISNUMBER(_xll.BDH(config!$G$4,H$1,$A216,$A216)),_xll.BDH(config!$G$4,H$1,$A216,$A216),_xll.BDH(config!$G$5,H$1,$A216,$A216))))</f>
        <v>89874</v>
      </c>
      <c r="I216" s="8" t="str">
        <f>IF($A216="","",IF(ISNUMBER(FIND("IMPVOL",I$1)),_xll.BDH(config!$G$4,I$1,WORKDAY($A216,-1,config_Holiday_Calendar_US),WORKDAY($A216,-1,config_Holiday_Calendar_US)),IF(ISNUMBER(_xll.BDH(config!$G$4,I$1,$A216,$A216)),_xll.BDH(config!$G$4,I$1,$A216,$A216),_xll.BDH(config!$G$5,I$1,$A216,$A216))))</f>
        <v>#N/A Requesting Data...</v>
      </c>
      <c r="J216" s="8" t="str">
        <f>IF($A216="","",IF(ISNUMBER(FIND("IMPVOL",J$1)),_xll.BDH(config!$G$4,J$1,WORKDAY($A216,-1,config_Holiday_Calendar_US),WORKDAY($A216,-1,config_Holiday_Calendar_US)),IF(ISNUMBER(_xll.BDH(config!$G$4,J$1,$A216,$A216)),_xll.BDH(config!$G$4,J$1,$A216,$A216),_xll.BDH(config!$G$5,J$1,$A216,$A216))))</f>
        <v>#N/A Requesting Data...</v>
      </c>
      <c r="K216" s="8" t="str">
        <f>IF($A216="","",IF(ISNUMBER(FIND("IMPVOL",K$1)),_xll.BDH(config!$G$4,K$1,WORKDAY($A216,-1,config_Holiday_Calendar_US),WORKDAY($A216,-1,config_Holiday_Calendar_US)),IF(ISNUMBER(_xll.BDH(config!$G$4,K$1,$A216,$A216)),_xll.BDH(config!$G$4,K$1,$A216,$A216),_xll.BDH(config!$G$5,K$1,$A216,$A216))))</f>
        <v>#N/A Requesting Data...</v>
      </c>
      <c r="L216" s="8" t="str">
        <f>IF($A216="","",IF(ISNUMBER(FIND("IMPVOL",L$1)),_xll.BDH(config!$G$4,L$1,WORKDAY($A216,-1,config_Holiday_Calendar_US),WORKDAY($A216,-1,config_Holiday_Calendar_US)),IF(ISNUMBER(_xll.BDH(config!$G$4,L$1,$A216,$A216)),_xll.BDH(config!$G$4,L$1,$A216,$A216),_xll.BDH(config!$G$5,L$1,$A216,$A216))))</f>
        <v>#N/A Requesting Data...</v>
      </c>
      <c r="M216" s="8" t="str">
        <f>IF($A216="","",IF(ISNUMBER(FIND("IMPVOL",M$1)),_xll.BDH(config!$G$4,M$1,WORKDAY($A216,-1,config_Holiday_Calendar_US),WORKDAY($A216,-1,config_Holiday_Calendar_US)),IF(ISNUMBER(_xll.BDH(config!$G$4,M$1,$A216,$A216)),_xll.BDH(config!$G$4,M$1,$A216,$A216),_xll.BDH(config!$G$5,M$1,$A216,$A216))))</f>
        <v>#N/A Requesting Data...</v>
      </c>
      <c r="N216" s="8" t="str">
        <f>IF($A216="","",IF(ISNUMBER(FIND("IMPVOL",N$1)),_xll.BDH(config!$G$4,N$1,WORKDAY($A216,-1,config_Holiday_Calendar_US),WORKDAY($A216,-1,config_Holiday_Calendar_US)),IF(ISNUMBER(_xll.BDH(config!$G$4,N$1,$A216,$A216)),_xll.BDH(config!$G$4,N$1,$A216,$A216),_xll.BDH(config!$G$5,N$1,$A216,$A216))))</f>
        <v>#N/A Requesting Data...</v>
      </c>
      <c r="O216" s="8" t="str">
        <f>IF($A216="","",IF(ISNUMBER(FIND("IMPVOL",O$1)),_xll.BDH(config!$G$4,O$1,WORKDAY($A216,-1,config_Holiday_Calendar_US),WORKDAY($A216,-1,config_Holiday_Calendar_US)),IF(ISNUMBER(_xll.BDH(config!$G$4,O$1,$A216,$A216)),_xll.BDH(config!$G$4,O$1,$A216,$A216),_xll.BDH(config!$G$5,O$1,$A216,$A216))))</f>
        <v>#N/A Requesting Data...</v>
      </c>
      <c r="P216" s="8" t="str">
        <f>IF($A216="","",IF(ISNUMBER(FIND("IMPVOL",P$1)),_xll.BDH(config!$G$4,P$1,WORKDAY($A216,-1,config_Holiday_Calendar_US),WORKDAY($A216,-1,config_Holiday_Calendar_US)),IF(ISNUMBER(_xll.BDH(config!$G$4,P$1,$A216,$A216)),_xll.BDH(config!$G$4,P$1,$A216,$A216),_xll.BDH(config!$G$5,P$1,$A216,$A216))))</f>
        <v>#N/A Requesting Data...</v>
      </c>
      <c r="Q216" s="8">
        <f>IF($A216="","",IF(ISNUMBER(FIND("IMPVOL",Q$1)),_xll.BDH(config!$G$4,Q$1,WORKDAY($A216,-1,config_Holiday_Calendar_US),WORKDAY($A216,-1,config_Holiday_Calendar_US)),IF(ISNUMBER(_xll.BDH(config!$G$4,Q$1,$A216,$A216)),_xll.BDH(config!$G$4,Q$1,$A216,$A216),_xll.BDH(config!$G$5,Q$1,$A216,$A216))))</f>
        <v>12.87</v>
      </c>
      <c r="R216" s="8">
        <f>IF($A216="","",IF(ISNUMBER(FIND("IMPVOL",R$1)),_xll.BDH(config!$G$4,R$1,WORKDAY($A216,-1,config_Holiday_Calendar_US),WORKDAY($A216,-1,config_Holiday_Calendar_US)),IF(ISNUMBER(_xll.BDH(config!$G$4,R$1,$A216,$A216)),_xll.BDH(config!$G$4,R$1,$A216,$A216),_xll.BDH(config!$G$5,R$1,$A216,$A216))))</f>
        <v>29.95</v>
      </c>
      <c r="S216" s="8" t="str">
        <f>IF($A216="","",IF(ISNUMBER(FIND("IMPVOL",S$1)),_xll.BDH(config!$G$4,S$1,WORKDAY($A216,-1,config_Holiday_Calendar_US),WORKDAY($A216,-1,config_Holiday_Calendar_US)),IF(ISNUMBER(_xll.BDH(config!$G$4,S$1,$A216,$A216)),_xll.BDH(config!$G$4,S$1,$A216,$A216),_xll.BDH(config!$G$5,S$1,$A216,$A216))))</f>
        <v>#N/A Requesting Data...</v>
      </c>
      <c r="T216" s="8" t="str">
        <f>IF($A216="","",IF(ISNUMBER(FIND("IMPVOL",T$1)),_xll.BDH(config!$G$4,T$1,WORKDAY($A216,-1,config_Holiday_Calendar_US),WORKDAY($A216,-1,config_Holiday_Calendar_US)),IF(ISNUMBER(_xll.BDH(config!$G$4,T$1,$A216,$A216)),_xll.BDH(config!$G$4,T$1,$A216,$A216),_xll.BDH(config!$G$5,T$1,$A216,$A216))))</f>
        <v>#N/A Requesting Data...</v>
      </c>
      <c r="U216" s="8" t="str">
        <f>IF($A216="","",IF(ISNUMBER(FIND("IMPVOL",U$1)),_xll.BDH(config!$G$4,U$1,WORKDAY($A216,-1,config_Holiday_Calendar_US),WORKDAY($A216,-1,config_Holiday_Calendar_US)),IF(ISNUMBER(_xll.BDH(config!$G$4,U$1,$A216,$A216)),_xll.BDH(config!$G$4,U$1,$A216,$A216),_xll.BDH(config!$G$5,U$1,$A216,$A216))))</f>
        <v>#N/A Requesting Data...</v>
      </c>
      <c r="V216" s="8" t="str">
        <f>IF($A216="","",IF(ISNUMBER(FIND("IMPVOL",V$1)),_xll.BDH(config!$G$4,V$1,WORKDAY($A216,-1,config_Holiday_Calendar_US),WORKDAY($A216,-1,config_Holiday_Calendar_US)),IF(ISNUMBER(_xll.BDH(config!$G$4,V$1,$A216,$A216)),_xll.BDH(config!$G$4,V$1,$A216,$A216),_xll.BDH(config!$G$5,V$1,$A216,$A216))))</f>
        <v>#N/A Requesting Data...</v>
      </c>
      <c r="W216" s="8" t="str">
        <f>IF($A216="","",IF(ISNUMBER(FIND("IMPVOL",W$1)),_xll.BDH(config!$G$4,W$1,WORKDAY($A216,-1,config_Holiday_Calendar_US),WORKDAY($A216,-1,config_Holiday_Calendar_US)),IF(ISNUMBER(_xll.BDH(config!$G$4,W$1,$A216,$A216)),_xll.BDH(config!$G$4,W$1,$A216,$A216),_xll.BDH(config!$G$5,W$1,$A216,$A216))))</f>
        <v>#N/A Requesting Data...</v>
      </c>
    </row>
    <row r="217" spans="1:23" x14ac:dyDescent="0.2">
      <c r="A217" s="9">
        <f>IF(A216="","",IF(WORKDAY(A216,-1,config_Holiday_Calendar_US)&lt;config!$I$10,"",WORKDAY(A216,-1,config_Holiday_Calendar_US)))</f>
        <v>42517</v>
      </c>
      <c r="B217" s="8" t="e">
        <f t="shared" si="3"/>
        <v>#VALUE!</v>
      </c>
      <c r="C217" s="8" t="str">
        <f>IF(A217="","",_xll.BDH(config!$H$4,C$1,$A217,$A217))</f>
        <v>#N/A Requesting Data...</v>
      </c>
      <c r="D217" s="8" t="str">
        <f>IF($A217="","",_xll.BDH(config!$H$4,D$1,$A217,$A217))</f>
        <v>#N/A Requesting Data...</v>
      </c>
      <c r="E217" s="8">
        <f>IF($A217="","",IF(ISNUMBER(FIND("IMPVOL",E$1)),_xll.BDH(config!$G$4,E$1,WORKDAY($A217,-1,config_Holiday_Calendar_US),WORKDAY($A217,-1,config_Holiday_Calendar_US)),IF(ISNUMBER(_xll.BDH(config!$G$4,E$1,$A217,$A217)),_xll.BDH(config!$G$4,E$1,$A217,$A217),_xll.BDH(config!$G$5,E$1,$A217,$A217))))</f>
        <v>49.31</v>
      </c>
      <c r="F217" s="8">
        <f>IF($A217="","",IF(ISNUMBER(FIND("IMPVOL",F$1)),_xll.BDH(config!$G$4,F$1,WORKDAY($A217,-1,config_Holiday_Calendar_US),WORKDAY($A217,-1,config_Holiday_Calendar_US)),IF(ISNUMBER(_xll.BDH(config!$G$4,F$1,$A217,$A217)),_xll.BDH(config!$G$4,F$1,$A217,$A217),_xll.BDH(config!$G$5,F$1,$A217,$A217))))</f>
        <v>49.6</v>
      </c>
      <c r="G217" s="8">
        <f>IF($A217="","",IF(ISNUMBER(FIND("IMPVOL",G$1)),_xll.BDH(config!$G$4,G$1,WORKDAY($A217,-1,config_Holiday_Calendar_US),WORKDAY($A217,-1,config_Holiday_Calendar_US)),IF(ISNUMBER(_xll.BDH(config!$G$4,G$1,$A217,$A217)),_xll.BDH(config!$G$4,G$1,$A217,$A217),_xll.BDH(config!$G$5,G$1,$A217,$A217))))</f>
        <v>49.09</v>
      </c>
      <c r="H217" s="8">
        <f>IF($A217="","",IF(ISNUMBER(FIND("IMPVOL",H$1)),_xll.BDH(config!$G$4,H$1,WORKDAY($A217,-1,config_Holiday_Calendar_US),WORKDAY($A217,-1,config_Holiday_Calendar_US)),IF(ISNUMBER(_xll.BDH(config!$G$4,H$1,$A217,$A217)),_xll.BDH(config!$G$4,H$1,$A217,$A217),_xll.BDH(config!$G$5,H$1,$A217,$A217))))</f>
        <v>71529</v>
      </c>
      <c r="I217" s="8" t="str">
        <f>IF($A217="","",IF(ISNUMBER(FIND("IMPVOL",I$1)),_xll.BDH(config!$G$4,I$1,WORKDAY($A217,-1,config_Holiday_Calendar_US),WORKDAY($A217,-1,config_Holiday_Calendar_US)),IF(ISNUMBER(_xll.BDH(config!$G$4,I$1,$A217,$A217)),_xll.BDH(config!$G$4,I$1,$A217,$A217),_xll.BDH(config!$G$5,I$1,$A217,$A217))))</f>
        <v>#N/A Requesting Data...</v>
      </c>
      <c r="J217" s="8" t="str">
        <f>IF($A217="","",IF(ISNUMBER(FIND("IMPVOL",J$1)),_xll.BDH(config!$G$4,J$1,WORKDAY($A217,-1,config_Holiday_Calendar_US),WORKDAY($A217,-1,config_Holiday_Calendar_US)),IF(ISNUMBER(_xll.BDH(config!$G$4,J$1,$A217,$A217)),_xll.BDH(config!$G$4,J$1,$A217,$A217),_xll.BDH(config!$G$5,J$1,$A217,$A217))))</f>
        <v>#N/A Requesting Data...</v>
      </c>
      <c r="K217" s="8" t="str">
        <f>IF($A217="","",IF(ISNUMBER(FIND("IMPVOL",K$1)),_xll.BDH(config!$G$4,K$1,WORKDAY($A217,-1,config_Holiday_Calendar_US),WORKDAY($A217,-1,config_Holiday_Calendar_US)),IF(ISNUMBER(_xll.BDH(config!$G$4,K$1,$A217,$A217)),_xll.BDH(config!$G$4,K$1,$A217,$A217),_xll.BDH(config!$G$5,K$1,$A217,$A217))))</f>
        <v>#N/A Requesting Data...</v>
      </c>
      <c r="L217" s="8" t="str">
        <f>IF($A217="","",IF(ISNUMBER(FIND("IMPVOL",L$1)),_xll.BDH(config!$G$4,L$1,WORKDAY($A217,-1,config_Holiday_Calendar_US),WORKDAY($A217,-1,config_Holiday_Calendar_US)),IF(ISNUMBER(_xll.BDH(config!$G$4,L$1,$A217,$A217)),_xll.BDH(config!$G$4,L$1,$A217,$A217),_xll.BDH(config!$G$5,L$1,$A217,$A217))))</f>
        <v>#N/A Requesting Data...</v>
      </c>
      <c r="M217" s="8" t="str">
        <f>IF($A217="","",IF(ISNUMBER(FIND("IMPVOL",M$1)),_xll.BDH(config!$G$4,M$1,WORKDAY($A217,-1,config_Holiday_Calendar_US),WORKDAY($A217,-1,config_Holiday_Calendar_US)),IF(ISNUMBER(_xll.BDH(config!$G$4,M$1,$A217,$A217)),_xll.BDH(config!$G$4,M$1,$A217,$A217),_xll.BDH(config!$G$5,M$1,$A217,$A217))))</f>
        <v>#N/A Requesting Data...</v>
      </c>
      <c r="N217" s="8" t="str">
        <f>IF($A217="","",IF(ISNUMBER(FIND("IMPVOL",N$1)),_xll.BDH(config!$G$4,N$1,WORKDAY($A217,-1,config_Holiday_Calendar_US),WORKDAY($A217,-1,config_Holiday_Calendar_US)),IF(ISNUMBER(_xll.BDH(config!$G$4,N$1,$A217,$A217)),_xll.BDH(config!$G$4,N$1,$A217,$A217),_xll.BDH(config!$G$5,N$1,$A217,$A217))))</f>
        <v>#N/A Requesting Data...</v>
      </c>
      <c r="O217" s="8" t="str">
        <f>IF($A217="","",IF(ISNUMBER(FIND("IMPVOL",O$1)),_xll.BDH(config!$G$4,O$1,WORKDAY($A217,-1,config_Holiday_Calendar_US),WORKDAY($A217,-1,config_Holiday_Calendar_US)),IF(ISNUMBER(_xll.BDH(config!$G$4,O$1,$A217,$A217)),_xll.BDH(config!$G$4,O$1,$A217,$A217),_xll.BDH(config!$G$5,O$1,$A217,$A217))))</f>
        <v>#N/A Requesting Data...</v>
      </c>
      <c r="P217" s="8" t="str">
        <f>IF($A217="","",IF(ISNUMBER(FIND("IMPVOL",P$1)),_xll.BDH(config!$G$4,P$1,WORKDAY($A217,-1,config_Holiday_Calendar_US),WORKDAY($A217,-1,config_Holiday_Calendar_US)),IF(ISNUMBER(_xll.BDH(config!$G$4,P$1,$A217,$A217)),_xll.BDH(config!$G$4,P$1,$A217,$A217),_xll.BDH(config!$G$5,P$1,$A217,$A217))))</f>
        <v>#N/A Requesting Data...</v>
      </c>
      <c r="Q217" s="8">
        <f>IF($A217="","",IF(ISNUMBER(FIND("IMPVOL",Q$1)),_xll.BDH(config!$G$4,Q$1,WORKDAY($A217,-1,config_Holiday_Calendar_US),WORKDAY($A217,-1,config_Holiday_Calendar_US)),IF(ISNUMBER(_xll.BDH(config!$G$4,Q$1,$A217,$A217)),_xll.BDH(config!$G$4,Q$1,$A217,$A217),_xll.BDH(config!$G$5,Q$1,$A217,$A217))))</f>
        <v>13.51</v>
      </c>
      <c r="R217" s="8">
        <f>IF($A217="","",IF(ISNUMBER(FIND("IMPVOL",R$1)),_xll.BDH(config!$G$4,R$1,WORKDAY($A217,-1,config_Holiday_Calendar_US),WORKDAY($A217,-1,config_Holiday_Calendar_US)),IF(ISNUMBER(_xll.BDH(config!$G$4,R$1,$A217,$A217)),_xll.BDH(config!$G$4,R$1,$A217,$A217),_xll.BDH(config!$G$5,R$1,$A217,$A217))))</f>
        <v>30.73</v>
      </c>
      <c r="S217" s="8" t="str">
        <f>IF($A217="","",IF(ISNUMBER(FIND("IMPVOL",S$1)),_xll.BDH(config!$G$4,S$1,WORKDAY($A217,-1,config_Holiday_Calendar_US),WORKDAY($A217,-1,config_Holiday_Calendar_US)),IF(ISNUMBER(_xll.BDH(config!$G$4,S$1,$A217,$A217)),_xll.BDH(config!$G$4,S$1,$A217,$A217),_xll.BDH(config!$G$5,S$1,$A217,$A217))))</f>
        <v>#N/A Requesting Data...</v>
      </c>
      <c r="T217" s="8" t="str">
        <f>IF($A217="","",IF(ISNUMBER(FIND("IMPVOL",T$1)),_xll.BDH(config!$G$4,T$1,WORKDAY($A217,-1,config_Holiday_Calendar_US),WORKDAY($A217,-1,config_Holiday_Calendar_US)),IF(ISNUMBER(_xll.BDH(config!$G$4,T$1,$A217,$A217)),_xll.BDH(config!$G$4,T$1,$A217,$A217),_xll.BDH(config!$G$5,T$1,$A217,$A217))))</f>
        <v>#N/A Requesting Data...</v>
      </c>
      <c r="U217" s="8" t="str">
        <f>IF($A217="","",IF(ISNUMBER(FIND("IMPVOL",U$1)),_xll.BDH(config!$G$4,U$1,WORKDAY($A217,-1,config_Holiday_Calendar_US),WORKDAY($A217,-1,config_Holiday_Calendar_US)),IF(ISNUMBER(_xll.BDH(config!$G$4,U$1,$A217,$A217)),_xll.BDH(config!$G$4,U$1,$A217,$A217),_xll.BDH(config!$G$5,U$1,$A217,$A217))))</f>
        <v>#N/A Requesting Data...</v>
      </c>
      <c r="V217" s="8" t="str">
        <f>IF($A217="","",IF(ISNUMBER(FIND("IMPVOL",V$1)),_xll.BDH(config!$G$4,V$1,WORKDAY($A217,-1,config_Holiday_Calendar_US),WORKDAY($A217,-1,config_Holiday_Calendar_US)),IF(ISNUMBER(_xll.BDH(config!$G$4,V$1,$A217,$A217)),_xll.BDH(config!$G$4,V$1,$A217,$A217),_xll.BDH(config!$G$5,V$1,$A217,$A217))))</f>
        <v>#N/A Requesting Data...</v>
      </c>
      <c r="W217" s="8" t="str">
        <f>IF($A217="","",IF(ISNUMBER(FIND("IMPVOL",W$1)),_xll.BDH(config!$G$4,W$1,WORKDAY($A217,-1,config_Holiday_Calendar_US),WORKDAY($A217,-1,config_Holiday_Calendar_US)),IF(ISNUMBER(_xll.BDH(config!$G$4,W$1,$A217,$A217)),_xll.BDH(config!$G$4,W$1,$A217,$A217),_xll.BDH(config!$G$5,W$1,$A217,$A217))))</f>
        <v>#N/A Requesting Data...</v>
      </c>
    </row>
    <row r="218" spans="1:23" x14ac:dyDescent="0.2">
      <c r="A218" s="9">
        <f>IF(A217="","",IF(WORKDAY(A217,-1,config_Holiday_Calendar_US)&lt;config!$I$10,"",WORKDAY(A217,-1,config_Holiday_Calendar_US)))</f>
        <v>42516</v>
      </c>
      <c r="B218" s="8" t="e">
        <f t="shared" si="3"/>
        <v>#VALUE!</v>
      </c>
      <c r="C218" s="8" t="str">
        <f>IF(A218="","",_xll.BDH(config!$H$4,C$1,$A218,$A218))</f>
        <v>#N/A Requesting Data...</v>
      </c>
      <c r="D218" s="8" t="str">
        <f>IF($A218="","",_xll.BDH(config!$H$4,D$1,$A218,$A218))</f>
        <v>#N/A Requesting Data...</v>
      </c>
      <c r="E218" s="8">
        <f>IF($A218="","",IF(ISNUMBER(FIND("IMPVOL",E$1)),_xll.BDH(config!$G$4,E$1,WORKDAY($A218,-1,config_Holiday_Calendar_US),WORKDAY($A218,-1,config_Holiday_Calendar_US)),IF(ISNUMBER(_xll.BDH(config!$G$4,E$1,$A218,$A218)),_xll.BDH(config!$G$4,E$1,$A218,$A218),_xll.BDH(config!$G$5,E$1,$A218,$A218))))</f>
        <v>49.7</v>
      </c>
      <c r="F218" s="8">
        <f>IF($A218="","",IF(ISNUMBER(FIND("IMPVOL",F$1)),_xll.BDH(config!$G$4,F$1,WORKDAY($A218,-1,config_Holiday_Calendar_US),WORKDAY($A218,-1,config_Holiday_Calendar_US)),IF(ISNUMBER(_xll.BDH(config!$G$4,F$1,$A218,$A218)),_xll.BDH(config!$G$4,F$1,$A218,$A218),_xll.BDH(config!$G$5,F$1,$A218,$A218))))</f>
        <v>50.21</v>
      </c>
      <c r="G218" s="8">
        <f>IF($A218="","",IF(ISNUMBER(FIND("IMPVOL",G$1)),_xll.BDH(config!$G$4,G$1,WORKDAY($A218,-1,config_Holiday_Calendar_US),WORKDAY($A218,-1,config_Holiday_Calendar_US)),IF(ISNUMBER(_xll.BDH(config!$G$4,G$1,$A218,$A218)),_xll.BDH(config!$G$4,G$1,$A218,$A218),_xll.BDH(config!$G$5,G$1,$A218,$A218))))</f>
        <v>49.61</v>
      </c>
      <c r="H218" s="8">
        <f>IF($A218="","",IF(ISNUMBER(FIND("IMPVOL",H$1)),_xll.BDH(config!$G$4,H$1,WORKDAY($A218,-1,config_Holiday_Calendar_US),WORKDAY($A218,-1,config_Holiday_Calendar_US)),IF(ISNUMBER(_xll.BDH(config!$G$4,H$1,$A218,$A218)),_xll.BDH(config!$G$4,H$1,$A218,$A218),_xll.BDH(config!$G$5,H$1,$A218,$A218))))</f>
        <v>91441</v>
      </c>
      <c r="I218" s="8" t="str">
        <f>IF($A218="","",IF(ISNUMBER(FIND("IMPVOL",I$1)),_xll.BDH(config!$G$4,I$1,WORKDAY($A218,-1,config_Holiday_Calendar_US),WORKDAY($A218,-1,config_Holiday_Calendar_US)),IF(ISNUMBER(_xll.BDH(config!$G$4,I$1,$A218,$A218)),_xll.BDH(config!$G$4,I$1,$A218,$A218),_xll.BDH(config!$G$5,I$1,$A218,$A218))))</f>
        <v>#N/A Requesting Data...</v>
      </c>
      <c r="J218" s="8" t="str">
        <f>IF($A218="","",IF(ISNUMBER(FIND("IMPVOL",J$1)),_xll.BDH(config!$G$4,J$1,WORKDAY($A218,-1,config_Holiday_Calendar_US),WORKDAY($A218,-1,config_Holiday_Calendar_US)),IF(ISNUMBER(_xll.BDH(config!$G$4,J$1,$A218,$A218)),_xll.BDH(config!$G$4,J$1,$A218,$A218),_xll.BDH(config!$G$5,J$1,$A218,$A218))))</f>
        <v>#N/A Requesting Data...</v>
      </c>
      <c r="K218" s="8" t="str">
        <f>IF($A218="","",IF(ISNUMBER(FIND("IMPVOL",K$1)),_xll.BDH(config!$G$4,K$1,WORKDAY($A218,-1,config_Holiday_Calendar_US),WORKDAY($A218,-1,config_Holiday_Calendar_US)),IF(ISNUMBER(_xll.BDH(config!$G$4,K$1,$A218,$A218)),_xll.BDH(config!$G$4,K$1,$A218,$A218),_xll.BDH(config!$G$5,K$1,$A218,$A218))))</f>
        <v>#N/A Requesting Data...</v>
      </c>
      <c r="L218" s="8" t="str">
        <f>IF($A218="","",IF(ISNUMBER(FIND("IMPVOL",L$1)),_xll.BDH(config!$G$4,L$1,WORKDAY($A218,-1,config_Holiday_Calendar_US),WORKDAY($A218,-1,config_Holiday_Calendar_US)),IF(ISNUMBER(_xll.BDH(config!$G$4,L$1,$A218,$A218)),_xll.BDH(config!$G$4,L$1,$A218,$A218),_xll.BDH(config!$G$5,L$1,$A218,$A218))))</f>
        <v>#N/A Requesting Data...</v>
      </c>
      <c r="M218" s="8" t="str">
        <f>IF($A218="","",IF(ISNUMBER(FIND("IMPVOL",M$1)),_xll.BDH(config!$G$4,M$1,WORKDAY($A218,-1,config_Holiday_Calendar_US),WORKDAY($A218,-1,config_Holiday_Calendar_US)),IF(ISNUMBER(_xll.BDH(config!$G$4,M$1,$A218,$A218)),_xll.BDH(config!$G$4,M$1,$A218,$A218),_xll.BDH(config!$G$5,M$1,$A218,$A218))))</f>
        <v>#N/A Requesting Data...</v>
      </c>
      <c r="N218" s="8" t="str">
        <f>IF($A218="","",IF(ISNUMBER(FIND("IMPVOL",N$1)),_xll.BDH(config!$G$4,N$1,WORKDAY($A218,-1,config_Holiday_Calendar_US),WORKDAY($A218,-1,config_Holiday_Calendar_US)),IF(ISNUMBER(_xll.BDH(config!$G$4,N$1,$A218,$A218)),_xll.BDH(config!$G$4,N$1,$A218,$A218),_xll.BDH(config!$G$5,N$1,$A218,$A218))))</f>
        <v>#N/A Requesting Data...</v>
      </c>
      <c r="O218" s="8" t="str">
        <f>IF($A218="","",IF(ISNUMBER(FIND("IMPVOL",O$1)),_xll.BDH(config!$G$4,O$1,WORKDAY($A218,-1,config_Holiday_Calendar_US),WORKDAY($A218,-1,config_Holiday_Calendar_US)),IF(ISNUMBER(_xll.BDH(config!$G$4,O$1,$A218,$A218)),_xll.BDH(config!$G$4,O$1,$A218,$A218),_xll.BDH(config!$G$5,O$1,$A218,$A218))))</f>
        <v>#N/A Requesting Data...</v>
      </c>
      <c r="P218" s="8" t="str">
        <f>IF($A218="","",IF(ISNUMBER(FIND("IMPVOL",P$1)),_xll.BDH(config!$G$4,P$1,WORKDAY($A218,-1,config_Holiday_Calendar_US),WORKDAY($A218,-1,config_Holiday_Calendar_US)),IF(ISNUMBER(_xll.BDH(config!$G$4,P$1,$A218,$A218)),_xll.BDH(config!$G$4,P$1,$A218,$A218),_xll.BDH(config!$G$5,P$1,$A218,$A218))))</f>
        <v>#N/A Requesting Data...</v>
      </c>
      <c r="Q218" s="8">
        <f>IF($A218="","",IF(ISNUMBER(FIND("IMPVOL",Q$1)),_xll.BDH(config!$G$4,Q$1,WORKDAY($A218,-1,config_Holiday_Calendar_US),WORKDAY($A218,-1,config_Holiday_Calendar_US)),IF(ISNUMBER(_xll.BDH(config!$G$4,Q$1,$A218,$A218)),_xll.BDH(config!$G$4,Q$1,$A218,$A218),_xll.BDH(config!$G$5,Q$1,$A218,$A218))))</f>
        <v>19.989999999999998</v>
      </c>
      <c r="R218" s="8">
        <f>IF($A218="","",IF(ISNUMBER(FIND("IMPVOL",R$1)),_xll.BDH(config!$G$4,R$1,WORKDAY($A218,-1,config_Holiday_Calendar_US),WORKDAY($A218,-1,config_Holiday_Calendar_US)),IF(ISNUMBER(_xll.BDH(config!$G$4,R$1,$A218,$A218)),_xll.BDH(config!$G$4,R$1,$A218,$A218),_xll.BDH(config!$G$5,R$1,$A218,$A218))))</f>
        <v>31.13</v>
      </c>
      <c r="S218" s="8" t="str">
        <f>IF($A218="","",IF(ISNUMBER(FIND("IMPVOL",S$1)),_xll.BDH(config!$G$4,S$1,WORKDAY($A218,-1,config_Holiday_Calendar_US),WORKDAY($A218,-1,config_Holiday_Calendar_US)),IF(ISNUMBER(_xll.BDH(config!$G$4,S$1,$A218,$A218)),_xll.BDH(config!$G$4,S$1,$A218,$A218),_xll.BDH(config!$G$5,S$1,$A218,$A218))))</f>
        <v>#N/A Requesting Data...</v>
      </c>
      <c r="T218" s="8" t="str">
        <f>IF($A218="","",IF(ISNUMBER(FIND("IMPVOL",T$1)),_xll.BDH(config!$G$4,T$1,WORKDAY($A218,-1,config_Holiday_Calendar_US),WORKDAY($A218,-1,config_Holiday_Calendar_US)),IF(ISNUMBER(_xll.BDH(config!$G$4,T$1,$A218,$A218)),_xll.BDH(config!$G$4,T$1,$A218,$A218),_xll.BDH(config!$G$5,T$1,$A218,$A218))))</f>
        <v>#N/A Requesting Data...</v>
      </c>
      <c r="U218" s="8" t="str">
        <f>IF($A218="","",IF(ISNUMBER(FIND("IMPVOL",U$1)),_xll.BDH(config!$G$4,U$1,WORKDAY($A218,-1,config_Holiday_Calendar_US),WORKDAY($A218,-1,config_Holiday_Calendar_US)),IF(ISNUMBER(_xll.BDH(config!$G$4,U$1,$A218,$A218)),_xll.BDH(config!$G$4,U$1,$A218,$A218),_xll.BDH(config!$G$5,U$1,$A218,$A218))))</f>
        <v>#N/A Requesting Data...</v>
      </c>
      <c r="V218" s="8" t="str">
        <f>IF($A218="","",IF(ISNUMBER(FIND("IMPVOL",V$1)),_xll.BDH(config!$G$4,V$1,WORKDAY($A218,-1,config_Holiday_Calendar_US),WORKDAY($A218,-1,config_Holiday_Calendar_US)),IF(ISNUMBER(_xll.BDH(config!$G$4,V$1,$A218,$A218)),_xll.BDH(config!$G$4,V$1,$A218,$A218),_xll.BDH(config!$G$5,V$1,$A218,$A218))))</f>
        <v>#N/A Requesting Data...</v>
      </c>
      <c r="W218" s="8" t="str">
        <f>IF($A218="","",IF(ISNUMBER(FIND("IMPVOL",W$1)),_xll.BDH(config!$G$4,W$1,WORKDAY($A218,-1,config_Holiday_Calendar_US),WORKDAY($A218,-1,config_Holiday_Calendar_US)),IF(ISNUMBER(_xll.BDH(config!$G$4,W$1,$A218,$A218)),_xll.BDH(config!$G$4,W$1,$A218,$A218),_xll.BDH(config!$G$5,W$1,$A218,$A218))))</f>
        <v>#N/A Requesting Data...</v>
      </c>
    </row>
    <row r="219" spans="1:23" x14ac:dyDescent="0.2">
      <c r="A219" s="9">
        <f>IF(A218="","",IF(WORKDAY(A218,-1,config_Holiday_Calendar_US)&lt;config!$I$10,"",WORKDAY(A218,-1,config_Holiday_Calendar_US)))</f>
        <v>42515</v>
      </c>
      <c r="B219" s="8" t="e">
        <f t="shared" si="3"/>
        <v>#VALUE!</v>
      </c>
      <c r="C219" s="8" t="str">
        <f>IF(A219="","",_xll.BDH(config!$H$4,C$1,$A219,$A219))</f>
        <v>#N/A Requesting Data...</v>
      </c>
      <c r="D219" s="8" t="str">
        <f>IF($A219="","",_xll.BDH(config!$H$4,D$1,$A219,$A219))</f>
        <v>#N/A Requesting Data...</v>
      </c>
      <c r="E219" s="8">
        <f>IF($A219="","",IF(ISNUMBER(FIND("IMPVOL",E$1)),_xll.BDH(config!$G$4,E$1,WORKDAY($A219,-1,config_Holiday_Calendar_US),WORKDAY($A219,-1,config_Holiday_Calendar_US)),IF(ISNUMBER(_xll.BDH(config!$G$4,E$1,$A219,$A219)),_xll.BDH(config!$G$4,E$1,$A219,$A219),_xll.BDH(config!$G$5,E$1,$A219,$A219))))</f>
        <v>49.09</v>
      </c>
      <c r="F219" s="8">
        <f>IF($A219="","",IF(ISNUMBER(FIND("IMPVOL",F$1)),_xll.BDH(config!$G$4,F$1,WORKDAY($A219,-1,config_Holiday_Calendar_US),WORKDAY($A219,-1,config_Holiday_Calendar_US)),IF(ISNUMBER(_xll.BDH(config!$G$4,F$1,$A219,$A219)),_xll.BDH(config!$G$4,F$1,$A219,$A219),_xll.BDH(config!$G$5,F$1,$A219,$A219))))</f>
        <v>49.75</v>
      </c>
      <c r="G219" s="8">
        <f>IF($A219="","",IF(ISNUMBER(FIND("IMPVOL",G$1)),_xll.BDH(config!$G$4,G$1,WORKDAY($A219,-1,config_Holiday_Calendar_US),WORKDAY($A219,-1,config_Holiday_Calendar_US)),IF(ISNUMBER(_xll.BDH(config!$G$4,G$1,$A219,$A219)),_xll.BDH(config!$G$4,G$1,$A219,$A219),_xll.BDH(config!$G$5,G$1,$A219,$A219))))</f>
        <v>49.08</v>
      </c>
      <c r="H219" s="8">
        <f>IF($A219="","",IF(ISNUMBER(FIND("IMPVOL",H$1)),_xll.BDH(config!$G$4,H$1,WORKDAY($A219,-1,config_Holiday_Calendar_US),WORKDAY($A219,-1,config_Holiday_Calendar_US)),IF(ISNUMBER(_xll.BDH(config!$G$4,H$1,$A219,$A219)),_xll.BDH(config!$G$4,H$1,$A219,$A219),_xll.BDH(config!$G$5,H$1,$A219,$A219))))</f>
        <v>104008</v>
      </c>
      <c r="I219" s="8" t="str">
        <f>IF($A219="","",IF(ISNUMBER(FIND("IMPVOL",I$1)),_xll.BDH(config!$G$4,I$1,WORKDAY($A219,-1,config_Holiday_Calendar_US),WORKDAY($A219,-1,config_Holiday_Calendar_US)),IF(ISNUMBER(_xll.BDH(config!$G$4,I$1,$A219,$A219)),_xll.BDH(config!$G$4,I$1,$A219,$A219),_xll.BDH(config!$G$5,I$1,$A219,$A219))))</f>
        <v>#N/A Requesting Data...</v>
      </c>
      <c r="J219" s="8" t="str">
        <f>IF($A219="","",IF(ISNUMBER(FIND("IMPVOL",J$1)),_xll.BDH(config!$G$4,J$1,WORKDAY($A219,-1,config_Holiday_Calendar_US),WORKDAY($A219,-1,config_Holiday_Calendar_US)),IF(ISNUMBER(_xll.BDH(config!$G$4,J$1,$A219,$A219)),_xll.BDH(config!$G$4,J$1,$A219,$A219),_xll.BDH(config!$G$5,J$1,$A219,$A219))))</f>
        <v>#N/A Requesting Data...</v>
      </c>
      <c r="K219" s="8" t="str">
        <f>IF($A219="","",IF(ISNUMBER(FIND("IMPVOL",K$1)),_xll.BDH(config!$G$4,K$1,WORKDAY($A219,-1,config_Holiday_Calendar_US),WORKDAY($A219,-1,config_Holiday_Calendar_US)),IF(ISNUMBER(_xll.BDH(config!$G$4,K$1,$A219,$A219)),_xll.BDH(config!$G$4,K$1,$A219,$A219),_xll.BDH(config!$G$5,K$1,$A219,$A219))))</f>
        <v>#N/A Requesting Data...</v>
      </c>
      <c r="L219" s="8" t="str">
        <f>IF($A219="","",IF(ISNUMBER(FIND("IMPVOL",L$1)),_xll.BDH(config!$G$4,L$1,WORKDAY($A219,-1,config_Holiday_Calendar_US),WORKDAY($A219,-1,config_Holiday_Calendar_US)),IF(ISNUMBER(_xll.BDH(config!$G$4,L$1,$A219,$A219)),_xll.BDH(config!$G$4,L$1,$A219,$A219),_xll.BDH(config!$G$5,L$1,$A219,$A219))))</f>
        <v>#N/A Requesting Data...</v>
      </c>
      <c r="M219" s="8" t="str">
        <f>IF($A219="","",IF(ISNUMBER(FIND("IMPVOL",M$1)),_xll.BDH(config!$G$4,M$1,WORKDAY($A219,-1,config_Holiday_Calendar_US),WORKDAY($A219,-1,config_Holiday_Calendar_US)),IF(ISNUMBER(_xll.BDH(config!$G$4,M$1,$A219,$A219)),_xll.BDH(config!$G$4,M$1,$A219,$A219),_xll.BDH(config!$G$5,M$1,$A219,$A219))))</f>
        <v>#N/A Requesting Data...</v>
      </c>
      <c r="N219" s="8" t="str">
        <f>IF($A219="","",IF(ISNUMBER(FIND("IMPVOL",N$1)),_xll.BDH(config!$G$4,N$1,WORKDAY($A219,-1,config_Holiday_Calendar_US),WORKDAY($A219,-1,config_Holiday_Calendar_US)),IF(ISNUMBER(_xll.BDH(config!$G$4,N$1,$A219,$A219)),_xll.BDH(config!$G$4,N$1,$A219,$A219),_xll.BDH(config!$G$5,N$1,$A219,$A219))))</f>
        <v>#N/A Requesting Data...</v>
      </c>
      <c r="O219" s="8" t="str">
        <f>IF($A219="","",IF(ISNUMBER(FIND("IMPVOL",O$1)),_xll.BDH(config!$G$4,O$1,WORKDAY($A219,-1,config_Holiday_Calendar_US),WORKDAY($A219,-1,config_Holiday_Calendar_US)),IF(ISNUMBER(_xll.BDH(config!$G$4,O$1,$A219,$A219)),_xll.BDH(config!$G$4,O$1,$A219,$A219),_xll.BDH(config!$G$5,O$1,$A219,$A219))))</f>
        <v>#N/A Requesting Data...</v>
      </c>
      <c r="P219" s="8" t="str">
        <f>IF($A219="","",IF(ISNUMBER(FIND("IMPVOL",P$1)),_xll.BDH(config!$G$4,P$1,WORKDAY($A219,-1,config_Holiday_Calendar_US),WORKDAY($A219,-1,config_Holiday_Calendar_US)),IF(ISNUMBER(_xll.BDH(config!$G$4,P$1,$A219,$A219)),_xll.BDH(config!$G$4,P$1,$A219,$A219),_xll.BDH(config!$G$5,P$1,$A219,$A219))))</f>
        <v>#N/A Requesting Data...</v>
      </c>
      <c r="Q219" s="8">
        <f>IF($A219="","",IF(ISNUMBER(FIND("IMPVOL",Q$1)),_xll.BDH(config!$G$4,Q$1,WORKDAY($A219,-1,config_Holiday_Calendar_US),WORKDAY($A219,-1,config_Holiday_Calendar_US)),IF(ISNUMBER(_xll.BDH(config!$G$4,Q$1,$A219,$A219)),_xll.BDH(config!$G$4,Q$1,$A219,$A219),_xll.BDH(config!$G$5,Q$1,$A219,$A219))))</f>
        <v>22</v>
      </c>
      <c r="R219" s="8">
        <f>IF($A219="","",IF(ISNUMBER(FIND("IMPVOL",R$1)),_xll.BDH(config!$G$4,R$1,WORKDAY($A219,-1,config_Holiday_Calendar_US),WORKDAY($A219,-1,config_Holiday_Calendar_US)),IF(ISNUMBER(_xll.BDH(config!$G$4,R$1,$A219,$A219)),_xll.BDH(config!$G$4,R$1,$A219,$A219),_xll.BDH(config!$G$5,R$1,$A219,$A219))))</f>
        <v>32.25</v>
      </c>
      <c r="S219" s="8" t="str">
        <f>IF($A219="","",IF(ISNUMBER(FIND("IMPVOL",S$1)),_xll.BDH(config!$G$4,S$1,WORKDAY($A219,-1,config_Holiday_Calendar_US),WORKDAY($A219,-1,config_Holiday_Calendar_US)),IF(ISNUMBER(_xll.BDH(config!$G$4,S$1,$A219,$A219)),_xll.BDH(config!$G$4,S$1,$A219,$A219),_xll.BDH(config!$G$5,S$1,$A219,$A219))))</f>
        <v>#N/A Requesting Data...</v>
      </c>
      <c r="T219" s="8" t="str">
        <f>IF($A219="","",IF(ISNUMBER(FIND("IMPVOL",T$1)),_xll.BDH(config!$G$4,T$1,WORKDAY($A219,-1,config_Holiday_Calendar_US),WORKDAY($A219,-1,config_Holiday_Calendar_US)),IF(ISNUMBER(_xll.BDH(config!$G$4,T$1,$A219,$A219)),_xll.BDH(config!$G$4,T$1,$A219,$A219),_xll.BDH(config!$G$5,T$1,$A219,$A219))))</f>
        <v>#N/A Requesting Data...</v>
      </c>
      <c r="U219" s="8" t="str">
        <f>IF($A219="","",IF(ISNUMBER(FIND("IMPVOL",U$1)),_xll.BDH(config!$G$4,U$1,WORKDAY($A219,-1,config_Holiday_Calendar_US),WORKDAY($A219,-1,config_Holiday_Calendar_US)),IF(ISNUMBER(_xll.BDH(config!$G$4,U$1,$A219,$A219)),_xll.BDH(config!$G$4,U$1,$A219,$A219),_xll.BDH(config!$G$5,U$1,$A219,$A219))))</f>
        <v>#N/A Requesting Data...</v>
      </c>
      <c r="V219" s="8" t="str">
        <f>IF($A219="","",IF(ISNUMBER(FIND("IMPVOL",V$1)),_xll.BDH(config!$G$4,V$1,WORKDAY($A219,-1,config_Holiday_Calendar_US),WORKDAY($A219,-1,config_Holiday_Calendar_US)),IF(ISNUMBER(_xll.BDH(config!$G$4,V$1,$A219,$A219)),_xll.BDH(config!$G$4,V$1,$A219,$A219),_xll.BDH(config!$G$5,V$1,$A219,$A219))))</f>
        <v>#N/A Requesting Data...</v>
      </c>
      <c r="W219" s="8" t="str">
        <f>IF($A219="","",IF(ISNUMBER(FIND("IMPVOL",W$1)),_xll.BDH(config!$G$4,W$1,WORKDAY($A219,-1,config_Holiday_Calendar_US),WORKDAY($A219,-1,config_Holiday_Calendar_US)),IF(ISNUMBER(_xll.BDH(config!$G$4,W$1,$A219,$A219)),_xll.BDH(config!$G$4,W$1,$A219,$A219),_xll.BDH(config!$G$5,W$1,$A219,$A219))))</f>
        <v>#N/A Requesting Data...</v>
      </c>
    </row>
    <row r="220" spans="1:23" x14ac:dyDescent="0.2">
      <c r="A220" s="9">
        <f>IF(A219="","",IF(WORKDAY(A219,-1,config_Holiday_Calendar_US)&lt;config!$I$10,"",WORKDAY(A219,-1,config_Holiday_Calendar_US)))</f>
        <v>42514</v>
      </c>
      <c r="B220" s="8" t="e">
        <f t="shared" si="3"/>
        <v>#VALUE!</v>
      </c>
      <c r="C220" s="8" t="str">
        <f>IF(A220="","",_xll.BDH(config!$H$4,C$1,$A220,$A220))</f>
        <v>#N/A Requesting Data...</v>
      </c>
      <c r="D220" s="8" t="str">
        <f>IF($A220="","",_xll.BDH(config!$H$4,D$1,$A220,$A220))</f>
        <v>#N/A Requesting Data...</v>
      </c>
      <c r="E220" s="8">
        <f>IF($A220="","",IF(ISNUMBER(FIND("IMPVOL",E$1)),_xll.BDH(config!$G$4,E$1,WORKDAY($A220,-1,config_Holiday_Calendar_US),WORKDAY($A220,-1,config_Holiday_Calendar_US)),IF(ISNUMBER(_xll.BDH(config!$G$4,E$1,$A220,$A220)),_xll.BDH(config!$G$4,E$1,$A220,$A220),_xll.BDH(config!$G$5,E$1,$A220,$A220))))</f>
        <v>48.08</v>
      </c>
      <c r="F220" s="8">
        <f>IF($A220="","",IF(ISNUMBER(FIND("IMPVOL",F$1)),_xll.BDH(config!$G$4,F$1,WORKDAY($A220,-1,config_Holiday_Calendar_US),WORKDAY($A220,-1,config_Holiday_Calendar_US)),IF(ISNUMBER(_xll.BDH(config!$G$4,F$1,$A220,$A220)),_xll.BDH(config!$G$4,F$1,$A220,$A220),_xll.BDH(config!$G$5,F$1,$A220,$A220))))</f>
        <v>49.27</v>
      </c>
      <c r="G220" s="8">
        <f>IF($A220="","",IF(ISNUMBER(FIND("IMPVOL",G$1)),_xll.BDH(config!$G$4,G$1,WORKDAY($A220,-1,config_Holiday_Calendar_US),WORKDAY($A220,-1,config_Holiday_Calendar_US)),IF(ISNUMBER(_xll.BDH(config!$G$4,G$1,$A220,$A220)),_xll.BDH(config!$G$4,G$1,$A220,$A220),_xll.BDH(config!$G$5,G$1,$A220,$A220))))</f>
        <v>48.13</v>
      </c>
      <c r="H220" s="8">
        <f>IF($A220="","",IF(ISNUMBER(FIND("IMPVOL",H$1)),_xll.BDH(config!$G$4,H$1,WORKDAY($A220,-1,config_Holiday_Calendar_US),WORKDAY($A220,-1,config_Holiday_Calendar_US)),IF(ISNUMBER(_xll.BDH(config!$G$4,H$1,$A220,$A220)),_xll.BDH(config!$G$4,H$1,$A220,$A220),_xll.BDH(config!$G$5,H$1,$A220,$A220))))</f>
        <v>101827</v>
      </c>
      <c r="I220" s="8" t="str">
        <f>IF($A220="","",IF(ISNUMBER(FIND("IMPVOL",I$1)),_xll.BDH(config!$G$4,I$1,WORKDAY($A220,-1,config_Holiday_Calendar_US),WORKDAY($A220,-1,config_Holiday_Calendar_US)),IF(ISNUMBER(_xll.BDH(config!$G$4,I$1,$A220,$A220)),_xll.BDH(config!$G$4,I$1,$A220,$A220),_xll.BDH(config!$G$5,I$1,$A220,$A220))))</f>
        <v>#N/A Requesting Data...</v>
      </c>
      <c r="J220" s="8" t="str">
        <f>IF($A220="","",IF(ISNUMBER(FIND("IMPVOL",J$1)),_xll.BDH(config!$G$4,J$1,WORKDAY($A220,-1,config_Holiday_Calendar_US),WORKDAY($A220,-1,config_Holiday_Calendar_US)),IF(ISNUMBER(_xll.BDH(config!$G$4,J$1,$A220,$A220)),_xll.BDH(config!$G$4,J$1,$A220,$A220),_xll.BDH(config!$G$5,J$1,$A220,$A220))))</f>
        <v>#N/A Requesting Data...</v>
      </c>
      <c r="K220" s="8" t="str">
        <f>IF($A220="","",IF(ISNUMBER(FIND("IMPVOL",K$1)),_xll.BDH(config!$G$4,K$1,WORKDAY($A220,-1,config_Holiday_Calendar_US),WORKDAY($A220,-1,config_Holiday_Calendar_US)),IF(ISNUMBER(_xll.BDH(config!$G$4,K$1,$A220,$A220)),_xll.BDH(config!$G$4,K$1,$A220,$A220),_xll.BDH(config!$G$5,K$1,$A220,$A220))))</f>
        <v>#N/A Requesting Data...</v>
      </c>
      <c r="L220" s="8" t="str">
        <f>IF($A220="","",IF(ISNUMBER(FIND("IMPVOL",L$1)),_xll.BDH(config!$G$4,L$1,WORKDAY($A220,-1,config_Holiday_Calendar_US),WORKDAY($A220,-1,config_Holiday_Calendar_US)),IF(ISNUMBER(_xll.BDH(config!$G$4,L$1,$A220,$A220)),_xll.BDH(config!$G$4,L$1,$A220,$A220),_xll.BDH(config!$G$5,L$1,$A220,$A220))))</f>
        <v>#N/A Requesting Data...</v>
      </c>
      <c r="M220" s="8" t="str">
        <f>IF($A220="","",IF(ISNUMBER(FIND("IMPVOL",M$1)),_xll.BDH(config!$G$4,M$1,WORKDAY($A220,-1,config_Holiday_Calendar_US),WORKDAY($A220,-1,config_Holiday_Calendar_US)),IF(ISNUMBER(_xll.BDH(config!$G$4,M$1,$A220,$A220)),_xll.BDH(config!$G$4,M$1,$A220,$A220),_xll.BDH(config!$G$5,M$1,$A220,$A220))))</f>
        <v>#N/A Requesting Data...</v>
      </c>
      <c r="N220" s="8" t="str">
        <f>IF($A220="","",IF(ISNUMBER(FIND("IMPVOL",N$1)),_xll.BDH(config!$G$4,N$1,WORKDAY($A220,-1,config_Holiday_Calendar_US),WORKDAY($A220,-1,config_Holiday_Calendar_US)),IF(ISNUMBER(_xll.BDH(config!$G$4,N$1,$A220,$A220)),_xll.BDH(config!$G$4,N$1,$A220,$A220),_xll.BDH(config!$G$5,N$1,$A220,$A220))))</f>
        <v>#N/A Requesting Data...</v>
      </c>
      <c r="O220" s="8" t="str">
        <f>IF($A220="","",IF(ISNUMBER(FIND("IMPVOL",O$1)),_xll.BDH(config!$G$4,O$1,WORKDAY($A220,-1,config_Holiday_Calendar_US),WORKDAY($A220,-1,config_Holiday_Calendar_US)),IF(ISNUMBER(_xll.BDH(config!$G$4,O$1,$A220,$A220)),_xll.BDH(config!$G$4,O$1,$A220,$A220),_xll.BDH(config!$G$5,O$1,$A220,$A220))))</f>
        <v>#N/A Requesting Data...</v>
      </c>
      <c r="P220" s="8" t="str">
        <f>IF($A220="","",IF(ISNUMBER(FIND("IMPVOL",P$1)),_xll.BDH(config!$G$4,P$1,WORKDAY($A220,-1,config_Holiday_Calendar_US),WORKDAY($A220,-1,config_Holiday_Calendar_US)),IF(ISNUMBER(_xll.BDH(config!$G$4,P$1,$A220,$A220)),_xll.BDH(config!$G$4,P$1,$A220,$A220),_xll.BDH(config!$G$5,P$1,$A220,$A220))))</f>
        <v>#N/A Requesting Data...</v>
      </c>
      <c r="Q220" s="8">
        <f>IF($A220="","",IF(ISNUMBER(FIND("IMPVOL",Q$1)),_xll.BDH(config!$G$4,Q$1,WORKDAY($A220,-1,config_Holiday_Calendar_US),WORKDAY($A220,-1,config_Holiday_Calendar_US)),IF(ISNUMBER(_xll.BDH(config!$G$4,Q$1,$A220,$A220)),_xll.BDH(config!$G$4,Q$1,$A220,$A220),_xll.BDH(config!$G$5,Q$1,$A220,$A220))))</f>
        <v>20.86</v>
      </c>
      <c r="R220" s="8">
        <f>IF($A220="","",IF(ISNUMBER(FIND("IMPVOL",R$1)),_xll.BDH(config!$G$4,R$1,WORKDAY($A220,-1,config_Holiday_Calendar_US),WORKDAY($A220,-1,config_Holiday_Calendar_US)),IF(ISNUMBER(_xll.BDH(config!$G$4,R$1,$A220,$A220)),_xll.BDH(config!$G$4,R$1,$A220,$A220),_xll.BDH(config!$G$5,R$1,$A220,$A220))))</f>
        <v>32.24</v>
      </c>
      <c r="S220" s="8" t="str">
        <f>IF($A220="","",IF(ISNUMBER(FIND("IMPVOL",S$1)),_xll.BDH(config!$G$4,S$1,WORKDAY($A220,-1,config_Holiday_Calendar_US),WORKDAY($A220,-1,config_Holiday_Calendar_US)),IF(ISNUMBER(_xll.BDH(config!$G$4,S$1,$A220,$A220)),_xll.BDH(config!$G$4,S$1,$A220,$A220),_xll.BDH(config!$G$5,S$1,$A220,$A220))))</f>
        <v>#N/A Requesting Data...</v>
      </c>
      <c r="T220" s="8" t="str">
        <f>IF($A220="","",IF(ISNUMBER(FIND("IMPVOL",T$1)),_xll.BDH(config!$G$4,T$1,WORKDAY($A220,-1,config_Holiday_Calendar_US),WORKDAY($A220,-1,config_Holiday_Calendar_US)),IF(ISNUMBER(_xll.BDH(config!$G$4,T$1,$A220,$A220)),_xll.BDH(config!$G$4,T$1,$A220,$A220),_xll.BDH(config!$G$5,T$1,$A220,$A220))))</f>
        <v>#N/A Requesting Data...</v>
      </c>
      <c r="U220" s="8" t="str">
        <f>IF($A220="","",IF(ISNUMBER(FIND("IMPVOL",U$1)),_xll.BDH(config!$G$4,U$1,WORKDAY($A220,-1,config_Holiday_Calendar_US),WORKDAY($A220,-1,config_Holiday_Calendar_US)),IF(ISNUMBER(_xll.BDH(config!$G$4,U$1,$A220,$A220)),_xll.BDH(config!$G$4,U$1,$A220,$A220),_xll.BDH(config!$G$5,U$1,$A220,$A220))))</f>
        <v>#N/A Requesting Data...</v>
      </c>
      <c r="V220" s="8" t="str">
        <f>IF($A220="","",IF(ISNUMBER(FIND("IMPVOL",V$1)),_xll.BDH(config!$G$4,V$1,WORKDAY($A220,-1,config_Holiday_Calendar_US),WORKDAY($A220,-1,config_Holiday_Calendar_US)),IF(ISNUMBER(_xll.BDH(config!$G$4,V$1,$A220,$A220)),_xll.BDH(config!$G$4,V$1,$A220,$A220),_xll.BDH(config!$G$5,V$1,$A220,$A220))))</f>
        <v>#N/A Requesting Data...</v>
      </c>
      <c r="W220" s="8" t="str">
        <f>IF($A220="","",IF(ISNUMBER(FIND("IMPVOL",W$1)),_xll.BDH(config!$G$4,W$1,WORKDAY($A220,-1,config_Holiday_Calendar_US),WORKDAY($A220,-1,config_Holiday_Calendar_US)),IF(ISNUMBER(_xll.BDH(config!$G$4,W$1,$A220,$A220)),_xll.BDH(config!$G$4,W$1,$A220,$A220),_xll.BDH(config!$G$5,W$1,$A220,$A220))))</f>
        <v>#N/A Requesting Data...</v>
      </c>
    </row>
    <row r="221" spans="1:23" x14ac:dyDescent="0.2">
      <c r="A221" s="9">
        <f>IF(A220="","",IF(WORKDAY(A220,-1,config_Holiday_Calendar_US)&lt;config!$I$10,"",WORKDAY(A220,-1,config_Holiday_Calendar_US)))</f>
        <v>42513</v>
      </c>
      <c r="B221" s="8" t="e">
        <f t="shared" si="3"/>
        <v>#VALUE!</v>
      </c>
      <c r="C221" s="8" t="str">
        <f>IF(A221="","",_xll.BDH(config!$H$4,C$1,$A221,$A221))</f>
        <v>#N/A Requesting Data...</v>
      </c>
      <c r="D221" s="8" t="str">
        <f>IF($A221="","",_xll.BDH(config!$H$4,D$1,$A221,$A221))</f>
        <v>#N/A Requesting Data...</v>
      </c>
      <c r="E221" s="8">
        <f>IF($A221="","",IF(ISNUMBER(FIND("IMPVOL",E$1)),_xll.BDH(config!$G$4,E$1,WORKDAY($A221,-1,config_Holiday_Calendar_US),WORKDAY($A221,-1,config_Holiday_Calendar_US)),IF(ISNUMBER(_xll.BDH(config!$G$4,E$1,$A221,$A221)),_xll.BDH(config!$G$4,E$1,$A221,$A221),_xll.BDH(config!$G$5,E$1,$A221,$A221))))</f>
        <v>48.46</v>
      </c>
      <c r="F221" s="8">
        <f>IF($A221="","",IF(ISNUMBER(FIND("IMPVOL",F$1)),_xll.BDH(config!$G$4,F$1,WORKDAY($A221,-1,config_Holiday_Calendar_US),WORKDAY($A221,-1,config_Holiday_Calendar_US)),IF(ISNUMBER(_xll.BDH(config!$G$4,F$1,$A221,$A221)),_xll.BDH(config!$G$4,F$1,$A221,$A221),_xll.BDH(config!$G$5,F$1,$A221,$A221))))</f>
        <v>48.5</v>
      </c>
      <c r="G221" s="8">
        <f>IF($A221="","",IF(ISNUMBER(FIND("IMPVOL",G$1)),_xll.BDH(config!$G$4,G$1,WORKDAY($A221,-1,config_Holiday_Calendar_US),WORKDAY($A221,-1,config_Holiday_Calendar_US)),IF(ISNUMBER(_xll.BDH(config!$G$4,G$1,$A221,$A221)),_xll.BDH(config!$G$4,G$1,$A221,$A221),_xll.BDH(config!$G$5,G$1,$A221,$A221))))</f>
        <v>47.88</v>
      </c>
      <c r="H221" s="8">
        <f>IF($A221="","",IF(ISNUMBER(FIND("IMPVOL",H$1)),_xll.BDH(config!$G$4,H$1,WORKDAY($A221,-1,config_Holiday_Calendar_US),WORKDAY($A221,-1,config_Holiday_Calendar_US)),IF(ISNUMBER(_xll.BDH(config!$G$4,H$1,$A221,$A221)),_xll.BDH(config!$G$4,H$1,$A221,$A221),_xll.BDH(config!$G$5,H$1,$A221,$A221))))</f>
        <v>86278</v>
      </c>
      <c r="I221" s="8" t="str">
        <f>IF($A221="","",IF(ISNUMBER(FIND("IMPVOL",I$1)),_xll.BDH(config!$G$4,I$1,WORKDAY($A221,-1,config_Holiday_Calendar_US),WORKDAY($A221,-1,config_Holiday_Calendar_US)),IF(ISNUMBER(_xll.BDH(config!$G$4,I$1,$A221,$A221)),_xll.BDH(config!$G$4,I$1,$A221,$A221),_xll.BDH(config!$G$5,I$1,$A221,$A221))))</f>
        <v>#N/A Requesting Data...</v>
      </c>
      <c r="J221" s="8" t="str">
        <f>IF($A221="","",IF(ISNUMBER(FIND("IMPVOL",J$1)),_xll.BDH(config!$G$4,J$1,WORKDAY($A221,-1,config_Holiday_Calendar_US),WORKDAY($A221,-1,config_Holiday_Calendar_US)),IF(ISNUMBER(_xll.BDH(config!$G$4,J$1,$A221,$A221)),_xll.BDH(config!$G$4,J$1,$A221,$A221),_xll.BDH(config!$G$5,J$1,$A221,$A221))))</f>
        <v>#N/A Requesting Data...</v>
      </c>
      <c r="K221" s="8" t="str">
        <f>IF($A221="","",IF(ISNUMBER(FIND("IMPVOL",K$1)),_xll.BDH(config!$G$4,K$1,WORKDAY($A221,-1,config_Holiday_Calendar_US),WORKDAY($A221,-1,config_Holiday_Calendar_US)),IF(ISNUMBER(_xll.BDH(config!$G$4,K$1,$A221,$A221)),_xll.BDH(config!$G$4,K$1,$A221,$A221),_xll.BDH(config!$G$5,K$1,$A221,$A221))))</f>
        <v>#N/A Requesting Data...</v>
      </c>
      <c r="L221" s="8" t="str">
        <f>IF($A221="","",IF(ISNUMBER(FIND("IMPVOL",L$1)),_xll.BDH(config!$G$4,L$1,WORKDAY($A221,-1,config_Holiday_Calendar_US),WORKDAY($A221,-1,config_Holiday_Calendar_US)),IF(ISNUMBER(_xll.BDH(config!$G$4,L$1,$A221,$A221)),_xll.BDH(config!$G$4,L$1,$A221,$A221),_xll.BDH(config!$G$5,L$1,$A221,$A221))))</f>
        <v>#N/A Requesting Data...</v>
      </c>
      <c r="M221" s="8" t="str">
        <f>IF($A221="","",IF(ISNUMBER(FIND("IMPVOL",M$1)),_xll.BDH(config!$G$4,M$1,WORKDAY($A221,-1,config_Holiday_Calendar_US),WORKDAY($A221,-1,config_Holiday_Calendar_US)),IF(ISNUMBER(_xll.BDH(config!$G$4,M$1,$A221,$A221)),_xll.BDH(config!$G$4,M$1,$A221,$A221),_xll.BDH(config!$G$5,M$1,$A221,$A221))))</f>
        <v>#N/A Requesting Data...</v>
      </c>
      <c r="N221" s="8" t="str">
        <f>IF($A221="","",IF(ISNUMBER(FIND("IMPVOL",N$1)),_xll.BDH(config!$G$4,N$1,WORKDAY($A221,-1,config_Holiday_Calendar_US),WORKDAY($A221,-1,config_Holiday_Calendar_US)),IF(ISNUMBER(_xll.BDH(config!$G$4,N$1,$A221,$A221)),_xll.BDH(config!$G$4,N$1,$A221,$A221),_xll.BDH(config!$G$5,N$1,$A221,$A221))))</f>
        <v>#N/A Requesting Data...</v>
      </c>
      <c r="O221" s="8" t="str">
        <f>IF($A221="","",IF(ISNUMBER(FIND("IMPVOL",O$1)),_xll.BDH(config!$G$4,O$1,WORKDAY($A221,-1,config_Holiday_Calendar_US),WORKDAY($A221,-1,config_Holiday_Calendar_US)),IF(ISNUMBER(_xll.BDH(config!$G$4,O$1,$A221,$A221)),_xll.BDH(config!$G$4,O$1,$A221,$A221),_xll.BDH(config!$G$5,O$1,$A221,$A221))))</f>
        <v>#N/A Requesting Data...</v>
      </c>
      <c r="P221" s="8" t="str">
        <f>IF($A221="","",IF(ISNUMBER(FIND("IMPVOL",P$1)),_xll.BDH(config!$G$4,P$1,WORKDAY($A221,-1,config_Holiday_Calendar_US),WORKDAY($A221,-1,config_Holiday_Calendar_US)),IF(ISNUMBER(_xll.BDH(config!$G$4,P$1,$A221,$A221)),_xll.BDH(config!$G$4,P$1,$A221,$A221),_xll.BDH(config!$G$5,P$1,$A221,$A221))))</f>
        <v>#N/A Requesting Data...</v>
      </c>
      <c r="Q221" s="8">
        <f>IF($A221="","",IF(ISNUMBER(FIND("IMPVOL",Q$1)),_xll.BDH(config!$G$4,Q$1,WORKDAY($A221,-1,config_Holiday_Calendar_US),WORKDAY($A221,-1,config_Holiday_Calendar_US)),IF(ISNUMBER(_xll.BDH(config!$G$4,Q$1,$A221,$A221)),_xll.BDH(config!$G$4,Q$1,$A221,$A221),_xll.BDH(config!$G$5,Q$1,$A221,$A221))))</f>
        <v>26.8</v>
      </c>
      <c r="R221" s="8">
        <f>IF($A221="","",IF(ISNUMBER(FIND("IMPVOL",R$1)),_xll.BDH(config!$G$4,R$1,WORKDAY($A221,-1,config_Holiday_Calendar_US),WORKDAY($A221,-1,config_Holiday_Calendar_US)),IF(ISNUMBER(_xll.BDH(config!$G$4,R$1,$A221,$A221)),_xll.BDH(config!$G$4,R$1,$A221,$A221),_xll.BDH(config!$G$5,R$1,$A221,$A221))))</f>
        <v>32.53</v>
      </c>
      <c r="S221" s="8" t="str">
        <f>IF($A221="","",IF(ISNUMBER(FIND("IMPVOL",S$1)),_xll.BDH(config!$G$4,S$1,WORKDAY($A221,-1,config_Holiday_Calendar_US),WORKDAY($A221,-1,config_Holiday_Calendar_US)),IF(ISNUMBER(_xll.BDH(config!$G$4,S$1,$A221,$A221)),_xll.BDH(config!$G$4,S$1,$A221,$A221),_xll.BDH(config!$G$5,S$1,$A221,$A221))))</f>
        <v>#N/A Requesting Data...</v>
      </c>
      <c r="T221" s="8" t="str">
        <f>IF($A221="","",IF(ISNUMBER(FIND("IMPVOL",T$1)),_xll.BDH(config!$G$4,T$1,WORKDAY($A221,-1,config_Holiday_Calendar_US),WORKDAY($A221,-1,config_Holiday_Calendar_US)),IF(ISNUMBER(_xll.BDH(config!$G$4,T$1,$A221,$A221)),_xll.BDH(config!$G$4,T$1,$A221,$A221),_xll.BDH(config!$G$5,T$1,$A221,$A221))))</f>
        <v>#N/A Requesting Data...</v>
      </c>
      <c r="U221" s="8" t="str">
        <f>IF($A221="","",IF(ISNUMBER(FIND("IMPVOL",U$1)),_xll.BDH(config!$G$4,U$1,WORKDAY($A221,-1,config_Holiday_Calendar_US),WORKDAY($A221,-1,config_Holiday_Calendar_US)),IF(ISNUMBER(_xll.BDH(config!$G$4,U$1,$A221,$A221)),_xll.BDH(config!$G$4,U$1,$A221,$A221),_xll.BDH(config!$G$5,U$1,$A221,$A221))))</f>
        <v>#N/A Requesting Data...</v>
      </c>
      <c r="V221" s="8" t="str">
        <f>IF($A221="","",IF(ISNUMBER(FIND("IMPVOL",V$1)),_xll.BDH(config!$G$4,V$1,WORKDAY($A221,-1,config_Holiday_Calendar_US),WORKDAY($A221,-1,config_Holiday_Calendar_US)),IF(ISNUMBER(_xll.BDH(config!$G$4,V$1,$A221,$A221)),_xll.BDH(config!$G$4,V$1,$A221,$A221),_xll.BDH(config!$G$5,V$1,$A221,$A221))))</f>
        <v>#N/A Requesting Data...</v>
      </c>
      <c r="W221" s="8" t="str">
        <f>IF($A221="","",IF(ISNUMBER(FIND("IMPVOL",W$1)),_xll.BDH(config!$G$4,W$1,WORKDAY($A221,-1,config_Holiday_Calendar_US),WORKDAY($A221,-1,config_Holiday_Calendar_US)),IF(ISNUMBER(_xll.BDH(config!$G$4,W$1,$A221,$A221)),_xll.BDH(config!$G$4,W$1,$A221,$A221),_xll.BDH(config!$G$5,W$1,$A221,$A221))))</f>
        <v>#N/A Requesting Data...</v>
      </c>
    </row>
    <row r="222" spans="1:23" x14ac:dyDescent="0.2">
      <c r="A222" s="9">
        <f>IF(A221="","",IF(WORKDAY(A221,-1,config_Holiday_Calendar_US)&lt;config!$I$10,"",WORKDAY(A221,-1,config_Holiday_Calendar_US)))</f>
        <v>42510</v>
      </c>
      <c r="B222" s="8" t="e">
        <f t="shared" si="3"/>
        <v>#VALUE!</v>
      </c>
      <c r="C222" s="8" t="str">
        <f>IF(A222="","",_xll.BDH(config!$H$4,C$1,$A222,$A222))</f>
        <v>#N/A Requesting Data...</v>
      </c>
      <c r="D222" s="8" t="str">
        <f>IF($A222="","",_xll.BDH(config!$H$4,D$1,$A222,$A222))</f>
        <v>#N/A Requesting Data...</v>
      </c>
      <c r="E222" s="8">
        <f>IF($A222="","",IF(ISNUMBER(FIND("IMPVOL",E$1)),_xll.BDH(config!$G$4,E$1,WORKDAY($A222,-1,config_Holiday_Calendar_US),WORKDAY($A222,-1,config_Holiday_Calendar_US)),IF(ISNUMBER(_xll.BDH(config!$G$4,E$1,$A222,$A222)),_xll.BDH(config!$G$4,E$1,$A222,$A222),_xll.BDH(config!$G$5,E$1,$A222,$A222))))</f>
        <v>48.2</v>
      </c>
      <c r="F222" s="8">
        <f>IF($A222="","",IF(ISNUMBER(FIND("IMPVOL",F$1)),_xll.BDH(config!$G$4,F$1,WORKDAY($A222,-1,config_Holiday_Calendar_US),WORKDAY($A222,-1,config_Holiday_Calendar_US)),IF(ISNUMBER(_xll.BDH(config!$G$4,F$1,$A222,$A222)),_xll.BDH(config!$G$4,F$1,$A222,$A222),_xll.BDH(config!$G$5,F$1,$A222,$A222))))</f>
        <v>48.79</v>
      </c>
      <c r="G222" s="8">
        <f>IF($A222="","",IF(ISNUMBER(FIND("IMPVOL",G$1)),_xll.BDH(config!$G$4,G$1,WORKDAY($A222,-1,config_Holiday_Calendar_US),WORKDAY($A222,-1,config_Holiday_Calendar_US)),IF(ISNUMBER(_xll.BDH(config!$G$4,G$1,$A222,$A222)),_xll.BDH(config!$G$4,G$1,$A222,$A222),_xll.BDH(config!$G$5,G$1,$A222,$A222))))</f>
        <v>47.95</v>
      </c>
      <c r="H222" s="8">
        <f>IF($A222="","",IF(ISNUMBER(FIND("IMPVOL",H$1)),_xll.BDH(config!$G$4,H$1,WORKDAY($A222,-1,config_Holiday_Calendar_US),WORKDAY($A222,-1,config_Holiday_Calendar_US)),IF(ISNUMBER(_xll.BDH(config!$G$4,H$1,$A222,$A222)),_xll.BDH(config!$G$4,H$1,$A222,$A222),_xll.BDH(config!$G$5,H$1,$A222,$A222))))</f>
        <v>538047</v>
      </c>
      <c r="I222" s="8" t="str">
        <f>IF($A222="","",IF(ISNUMBER(FIND("IMPVOL",I$1)),_xll.BDH(config!$G$4,I$1,WORKDAY($A222,-1,config_Holiday_Calendar_US),WORKDAY($A222,-1,config_Holiday_Calendar_US)),IF(ISNUMBER(_xll.BDH(config!$G$4,I$1,$A222,$A222)),_xll.BDH(config!$G$4,I$1,$A222,$A222),_xll.BDH(config!$G$5,I$1,$A222,$A222))))</f>
        <v>#N/A Requesting Data...</v>
      </c>
      <c r="J222" s="8" t="str">
        <f>IF($A222="","",IF(ISNUMBER(FIND("IMPVOL",J$1)),_xll.BDH(config!$G$4,J$1,WORKDAY($A222,-1,config_Holiday_Calendar_US),WORKDAY($A222,-1,config_Holiday_Calendar_US)),IF(ISNUMBER(_xll.BDH(config!$G$4,J$1,$A222,$A222)),_xll.BDH(config!$G$4,J$1,$A222,$A222),_xll.BDH(config!$G$5,J$1,$A222,$A222))))</f>
        <v>#N/A Requesting Data...</v>
      </c>
      <c r="K222" s="8" t="str">
        <f>IF($A222="","",IF(ISNUMBER(FIND("IMPVOL",K$1)),_xll.BDH(config!$G$4,K$1,WORKDAY($A222,-1,config_Holiday_Calendar_US),WORKDAY($A222,-1,config_Holiday_Calendar_US)),IF(ISNUMBER(_xll.BDH(config!$G$4,K$1,$A222,$A222)),_xll.BDH(config!$G$4,K$1,$A222,$A222),_xll.BDH(config!$G$5,K$1,$A222,$A222))))</f>
        <v>#N/A Requesting Data...</v>
      </c>
      <c r="L222" s="8" t="str">
        <f>IF($A222="","",IF(ISNUMBER(FIND("IMPVOL",L$1)),_xll.BDH(config!$G$4,L$1,WORKDAY($A222,-1,config_Holiday_Calendar_US),WORKDAY($A222,-1,config_Holiday_Calendar_US)),IF(ISNUMBER(_xll.BDH(config!$G$4,L$1,$A222,$A222)),_xll.BDH(config!$G$4,L$1,$A222,$A222),_xll.BDH(config!$G$5,L$1,$A222,$A222))))</f>
        <v>#N/A Requesting Data...</v>
      </c>
      <c r="M222" s="8" t="str">
        <f>IF($A222="","",IF(ISNUMBER(FIND("IMPVOL",M$1)),_xll.BDH(config!$G$4,M$1,WORKDAY($A222,-1,config_Holiday_Calendar_US),WORKDAY($A222,-1,config_Holiday_Calendar_US)),IF(ISNUMBER(_xll.BDH(config!$G$4,M$1,$A222,$A222)),_xll.BDH(config!$G$4,M$1,$A222,$A222),_xll.BDH(config!$G$5,M$1,$A222,$A222))))</f>
        <v>#N/A Requesting Data...</v>
      </c>
      <c r="N222" s="8" t="str">
        <f>IF($A222="","",IF(ISNUMBER(FIND("IMPVOL",N$1)),_xll.BDH(config!$G$4,N$1,WORKDAY($A222,-1,config_Holiday_Calendar_US),WORKDAY($A222,-1,config_Holiday_Calendar_US)),IF(ISNUMBER(_xll.BDH(config!$G$4,N$1,$A222,$A222)),_xll.BDH(config!$G$4,N$1,$A222,$A222),_xll.BDH(config!$G$5,N$1,$A222,$A222))))</f>
        <v>#N/A Requesting Data...</v>
      </c>
      <c r="O222" s="8" t="str">
        <f>IF($A222="","",IF(ISNUMBER(FIND("IMPVOL",O$1)),_xll.BDH(config!$G$4,O$1,WORKDAY($A222,-1,config_Holiday_Calendar_US),WORKDAY($A222,-1,config_Holiday_Calendar_US)),IF(ISNUMBER(_xll.BDH(config!$G$4,O$1,$A222,$A222)),_xll.BDH(config!$G$4,O$1,$A222,$A222),_xll.BDH(config!$G$5,O$1,$A222,$A222))))</f>
        <v>#N/A Requesting Data...</v>
      </c>
      <c r="P222" s="8" t="str">
        <f>IF($A222="","",IF(ISNUMBER(FIND("IMPVOL",P$1)),_xll.BDH(config!$G$4,P$1,WORKDAY($A222,-1,config_Holiday_Calendar_US),WORKDAY($A222,-1,config_Holiday_Calendar_US)),IF(ISNUMBER(_xll.BDH(config!$G$4,P$1,$A222,$A222)),_xll.BDH(config!$G$4,P$1,$A222,$A222),_xll.BDH(config!$G$5,P$1,$A222,$A222))))</f>
        <v>#N/A Requesting Data...</v>
      </c>
      <c r="Q222" s="8">
        <f>IF($A222="","",IF(ISNUMBER(FIND("IMPVOL",Q$1)),_xll.BDH(config!$G$4,Q$1,WORKDAY($A222,-1,config_Holiday_Calendar_US),WORKDAY($A222,-1,config_Holiday_Calendar_US)),IF(ISNUMBER(_xll.BDH(config!$G$4,Q$1,$A222,$A222)),_xll.BDH(config!$G$4,Q$1,$A222,$A222),_xll.BDH(config!$G$5,Q$1,$A222,$A222))))</f>
        <v>29.04</v>
      </c>
      <c r="R222" s="8">
        <f>IF($A222="","",IF(ISNUMBER(FIND("IMPVOL",R$1)),_xll.BDH(config!$G$4,R$1,WORKDAY($A222,-1,config_Holiday_Calendar_US),WORKDAY($A222,-1,config_Holiday_Calendar_US)),IF(ISNUMBER(_xll.BDH(config!$G$4,R$1,$A222,$A222)),_xll.BDH(config!$G$4,R$1,$A222,$A222),_xll.BDH(config!$G$5,R$1,$A222,$A222))))</f>
        <v>34.39</v>
      </c>
      <c r="S222" s="8" t="str">
        <f>IF($A222="","",IF(ISNUMBER(FIND("IMPVOL",S$1)),_xll.BDH(config!$G$4,S$1,WORKDAY($A222,-1,config_Holiday_Calendar_US),WORKDAY($A222,-1,config_Holiday_Calendar_US)),IF(ISNUMBER(_xll.BDH(config!$G$4,S$1,$A222,$A222)),_xll.BDH(config!$G$4,S$1,$A222,$A222),_xll.BDH(config!$G$5,S$1,$A222,$A222))))</f>
        <v>#N/A Requesting Data...</v>
      </c>
      <c r="T222" s="8" t="str">
        <f>IF($A222="","",IF(ISNUMBER(FIND("IMPVOL",T$1)),_xll.BDH(config!$G$4,T$1,WORKDAY($A222,-1,config_Holiday_Calendar_US),WORKDAY($A222,-1,config_Holiday_Calendar_US)),IF(ISNUMBER(_xll.BDH(config!$G$4,T$1,$A222,$A222)),_xll.BDH(config!$G$4,T$1,$A222,$A222),_xll.BDH(config!$G$5,T$1,$A222,$A222))))</f>
        <v>#N/A Requesting Data...</v>
      </c>
      <c r="U222" s="8" t="str">
        <f>IF($A222="","",IF(ISNUMBER(FIND("IMPVOL",U$1)),_xll.BDH(config!$G$4,U$1,WORKDAY($A222,-1,config_Holiday_Calendar_US),WORKDAY($A222,-1,config_Holiday_Calendar_US)),IF(ISNUMBER(_xll.BDH(config!$G$4,U$1,$A222,$A222)),_xll.BDH(config!$G$4,U$1,$A222,$A222),_xll.BDH(config!$G$5,U$1,$A222,$A222))))</f>
        <v>#N/A Requesting Data...</v>
      </c>
      <c r="V222" s="8" t="str">
        <f>IF($A222="","",IF(ISNUMBER(FIND("IMPVOL",V$1)),_xll.BDH(config!$G$4,V$1,WORKDAY($A222,-1,config_Holiday_Calendar_US),WORKDAY($A222,-1,config_Holiday_Calendar_US)),IF(ISNUMBER(_xll.BDH(config!$G$4,V$1,$A222,$A222)),_xll.BDH(config!$G$4,V$1,$A222,$A222),_xll.BDH(config!$G$5,V$1,$A222,$A222))))</f>
        <v>#N/A Requesting Data...</v>
      </c>
      <c r="W222" s="8" t="str">
        <f>IF($A222="","",IF(ISNUMBER(FIND("IMPVOL",W$1)),_xll.BDH(config!$G$4,W$1,WORKDAY($A222,-1,config_Holiday_Calendar_US),WORKDAY($A222,-1,config_Holiday_Calendar_US)),IF(ISNUMBER(_xll.BDH(config!$G$4,W$1,$A222,$A222)),_xll.BDH(config!$G$4,W$1,$A222,$A222),_xll.BDH(config!$G$5,W$1,$A222,$A222))))</f>
        <v>#N/A Requesting Data...</v>
      </c>
    </row>
    <row r="223" spans="1:23" x14ac:dyDescent="0.2">
      <c r="A223" s="9">
        <f>IF(A222="","",IF(WORKDAY(A222,-1,config_Holiday_Calendar_US)&lt;config!$I$10,"",WORKDAY(A222,-1,config_Holiday_Calendar_US)))</f>
        <v>42509</v>
      </c>
      <c r="B223" s="8" t="e">
        <f t="shared" si="3"/>
        <v>#VALUE!</v>
      </c>
      <c r="C223" s="8" t="str">
        <f>IF(A223="","",_xll.BDH(config!$H$4,C$1,$A223,$A223))</f>
        <v>#N/A Requesting Data...</v>
      </c>
      <c r="D223" s="8" t="str">
        <f>IF($A223="","",_xll.BDH(config!$H$4,D$1,$A223,$A223))</f>
        <v>#N/A Requesting Data...</v>
      </c>
      <c r="E223" s="8">
        <f>IF($A223="","",IF(ISNUMBER(FIND("IMPVOL",E$1)),_xll.BDH(config!$G$4,E$1,WORKDAY($A223,-1,config_Holiday_Calendar_US),WORKDAY($A223,-1,config_Holiday_Calendar_US)),IF(ISNUMBER(_xll.BDH(config!$G$4,E$1,$A223,$A223)),_xll.BDH(config!$G$4,E$1,$A223,$A223),_xll.BDH(config!$G$5,E$1,$A223,$A223))))</f>
        <v>47.87</v>
      </c>
      <c r="F223" s="8">
        <f>IF($A223="","",IF(ISNUMBER(FIND("IMPVOL",F$1)),_xll.BDH(config!$G$4,F$1,WORKDAY($A223,-1,config_Holiday_Calendar_US),WORKDAY($A223,-1,config_Holiday_Calendar_US)),IF(ISNUMBER(_xll.BDH(config!$G$4,F$1,$A223,$A223)),_xll.BDH(config!$G$4,F$1,$A223,$A223),_xll.BDH(config!$G$5,F$1,$A223,$A223))))</f>
        <v>48.28</v>
      </c>
      <c r="G223" s="8">
        <f>IF($A223="","",IF(ISNUMBER(FIND("IMPVOL",G$1)),_xll.BDH(config!$G$4,G$1,WORKDAY($A223,-1,config_Holiday_Calendar_US),WORKDAY($A223,-1,config_Holiday_Calendar_US)),IF(ISNUMBER(_xll.BDH(config!$G$4,G$1,$A223,$A223)),_xll.BDH(config!$G$4,G$1,$A223,$A223),_xll.BDH(config!$G$5,G$1,$A223,$A223))))</f>
        <v>47.26</v>
      </c>
      <c r="H223" s="8">
        <f>IF($A223="","",IF(ISNUMBER(FIND("IMPVOL",H$1)),_xll.BDH(config!$G$4,H$1,WORKDAY($A223,-1,config_Holiday_Calendar_US),WORKDAY($A223,-1,config_Holiday_Calendar_US)),IF(ISNUMBER(_xll.BDH(config!$G$4,H$1,$A223,$A223)),_xll.BDH(config!$G$4,H$1,$A223,$A223),_xll.BDH(config!$G$5,H$1,$A223,$A223))))</f>
        <v>620753</v>
      </c>
      <c r="I223" s="8" t="str">
        <f>IF($A223="","",IF(ISNUMBER(FIND("IMPVOL",I$1)),_xll.BDH(config!$G$4,I$1,WORKDAY($A223,-1,config_Holiday_Calendar_US),WORKDAY($A223,-1,config_Holiday_Calendar_US)),IF(ISNUMBER(_xll.BDH(config!$G$4,I$1,$A223,$A223)),_xll.BDH(config!$G$4,I$1,$A223,$A223),_xll.BDH(config!$G$5,I$1,$A223,$A223))))</f>
        <v>#N/A Requesting Data...</v>
      </c>
      <c r="J223" s="8" t="str">
        <f>IF($A223="","",IF(ISNUMBER(FIND("IMPVOL",J$1)),_xll.BDH(config!$G$4,J$1,WORKDAY($A223,-1,config_Holiday_Calendar_US),WORKDAY($A223,-1,config_Holiday_Calendar_US)),IF(ISNUMBER(_xll.BDH(config!$G$4,J$1,$A223,$A223)),_xll.BDH(config!$G$4,J$1,$A223,$A223),_xll.BDH(config!$G$5,J$1,$A223,$A223))))</f>
        <v>#N/A Requesting Data...</v>
      </c>
      <c r="K223" s="8" t="str">
        <f>IF($A223="","",IF(ISNUMBER(FIND("IMPVOL",K$1)),_xll.BDH(config!$G$4,K$1,WORKDAY($A223,-1,config_Holiday_Calendar_US),WORKDAY($A223,-1,config_Holiday_Calendar_US)),IF(ISNUMBER(_xll.BDH(config!$G$4,K$1,$A223,$A223)),_xll.BDH(config!$G$4,K$1,$A223,$A223),_xll.BDH(config!$G$5,K$1,$A223,$A223))))</f>
        <v>#N/A Requesting Data...</v>
      </c>
      <c r="L223" s="8" t="str">
        <f>IF($A223="","",IF(ISNUMBER(FIND("IMPVOL",L$1)),_xll.BDH(config!$G$4,L$1,WORKDAY($A223,-1,config_Holiday_Calendar_US),WORKDAY($A223,-1,config_Holiday_Calendar_US)),IF(ISNUMBER(_xll.BDH(config!$G$4,L$1,$A223,$A223)),_xll.BDH(config!$G$4,L$1,$A223,$A223),_xll.BDH(config!$G$5,L$1,$A223,$A223))))</f>
        <v>#N/A Requesting Data...</v>
      </c>
      <c r="M223" s="8" t="str">
        <f>IF($A223="","",IF(ISNUMBER(FIND("IMPVOL",M$1)),_xll.BDH(config!$G$4,M$1,WORKDAY($A223,-1,config_Holiday_Calendar_US),WORKDAY($A223,-1,config_Holiday_Calendar_US)),IF(ISNUMBER(_xll.BDH(config!$G$4,M$1,$A223,$A223)),_xll.BDH(config!$G$4,M$1,$A223,$A223),_xll.BDH(config!$G$5,M$1,$A223,$A223))))</f>
        <v>#N/A Requesting Data...</v>
      </c>
      <c r="N223" s="8" t="str">
        <f>IF($A223="","",IF(ISNUMBER(FIND("IMPVOL",N$1)),_xll.BDH(config!$G$4,N$1,WORKDAY($A223,-1,config_Holiday_Calendar_US),WORKDAY($A223,-1,config_Holiday_Calendar_US)),IF(ISNUMBER(_xll.BDH(config!$G$4,N$1,$A223,$A223)),_xll.BDH(config!$G$4,N$1,$A223,$A223),_xll.BDH(config!$G$5,N$1,$A223,$A223))))</f>
        <v>#N/A Requesting Data...</v>
      </c>
      <c r="O223" s="8" t="str">
        <f>IF($A223="","",IF(ISNUMBER(FIND("IMPVOL",O$1)),_xll.BDH(config!$G$4,O$1,WORKDAY($A223,-1,config_Holiday_Calendar_US),WORKDAY($A223,-1,config_Holiday_Calendar_US)),IF(ISNUMBER(_xll.BDH(config!$G$4,O$1,$A223,$A223)),_xll.BDH(config!$G$4,O$1,$A223,$A223),_xll.BDH(config!$G$5,O$1,$A223,$A223))))</f>
        <v>#N/A Requesting Data...</v>
      </c>
      <c r="P223" s="8" t="str">
        <f>IF($A223="","",IF(ISNUMBER(FIND("IMPVOL",P$1)),_xll.BDH(config!$G$4,P$1,WORKDAY($A223,-1,config_Holiday_Calendar_US),WORKDAY($A223,-1,config_Holiday_Calendar_US)),IF(ISNUMBER(_xll.BDH(config!$G$4,P$1,$A223,$A223)),_xll.BDH(config!$G$4,P$1,$A223,$A223),_xll.BDH(config!$G$5,P$1,$A223,$A223))))</f>
        <v>#N/A Requesting Data...</v>
      </c>
      <c r="Q223" s="8">
        <f>IF($A223="","",IF(ISNUMBER(FIND("IMPVOL",Q$1)),_xll.BDH(config!$G$4,Q$1,WORKDAY($A223,-1,config_Holiday_Calendar_US),WORKDAY($A223,-1,config_Holiday_Calendar_US)),IF(ISNUMBER(_xll.BDH(config!$G$4,Q$1,$A223,$A223)),_xll.BDH(config!$G$4,Q$1,$A223,$A223),_xll.BDH(config!$G$5,Q$1,$A223,$A223))))</f>
        <v>35.299999999999997</v>
      </c>
      <c r="R223" s="8">
        <f>IF($A223="","",IF(ISNUMBER(FIND("IMPVOL",R$1)),_xll.BDH(config!$G$4,R$1,WORKDAY($A223,-1,config_Holiday_Calendar_US),WORKDAY($A223,-1,config_Holiday_Calendar_US)),IF(ISNUMBER(_xll.BDH(config!$G$4,R$1,$A223,$A223)),_xll.BDH(config!$G$4,R$1,$A223,$A223),_xll.BDH(config!$G$5,R$1,$A223,$A223))))</f>
        <v>34.46</v>
      </c>
      <c r="S223" s="8" t="str">
        <f>IF($A223="","",IF(ISNUMBER(FIND("IMPVOL",S$1)),_xll.BDH(config!$G$4,S$1,WORKDAY($A223,-1,config_Holiday_Calendar_US),WORKDAY($A223,-1,config_Holiday_Calendar_US)),IF(ISNUMBER(_xll.BDH(config!$G$4,S$1,$A223,$A223)),_xll.BDH(config!$G$4,S$1,$A223,$A223),_xll.BDH(config!$G$5,S$1,$A223,$A223))))</f>
        <v>#N/A Requesting Data...</v>
      </c>
      <c r="T223" s="8" t="str">
        <f>IF($A223="","",IF(ISNUMBER(FIND("IMPVOL",T$1)),_xll.BDH(config!$G$4,T$1,WORKDAY($A223,-1,config_Holiday_Calendar_US),WORKDAY($A223,-1,config_Holiday_Calendar_US)),IF(ISNUMBER(_xll.BDH(config!$G$4,T$1,$A223,$A223)),_xll.BDH(config!$G$4,T$1,$A223,$A223),_xll.BDH(config!$G$5,T$1,$A223,$A223))))</f>
        <v>#N/A Requesting Data...</v>
      </c>
      <c r="U223" s="8" t="str">
        <f>IF($A223="","",IF(ISNUMBER(FIND("IMPVOL",U$1)),_xll.BDH(config!$G$4,U$1,WORKDAY($A223,-1,config_Holiday_Calendar_US),WORKDAY($A223,-1,config_Holiday_Calendar_US)),IF(ISNUMBER(_xll.BDH(config!$G$4,U$1,$A223,$A223)),_xll.BDH(config!$G$4,U$1,$A223,$A223),_xll.BDH(config!$G$5,U$1,$A223,$A223))))</f>
        <v>#N/A Requesting Data...</v>
      </c>
      <c r="V223" s="8" t="str">
        <f>IF($A223="","",IF(ISNUMBER(FIND("IMPVOL",V$1)),_xll.BDH(config!$G$4,V$1,WORKDAY($A223,-1,config_Holiday_Calendar_US),WORKDAY($A223,-1,config_Holiday_Calendar_US)),IF(ISNUMBER(_xll.BDH(config!$G$4,V$1,$A223,$A223)),_xll.BDH(config!$G$4,V$1,$A223,$A223),_xll.BDH(config!$G$5,V$1,$A223,$A223))))</f>
        <v>#N/A Requesting Data...</v>
      </c>
      <c r="W223" s="8" t="str">
        <f>IF($A223="","",IF(ISNUMBER(FIND("IMPVOL",W$1)),_xll.BDH(config!$G$4,W$1,WORKDAY($A223,-1,config_Holiday_Calendar_US),WORKDAY($A223,-1,config_Holiday_Calendar_US)),IF(ISNUMBER(_xll.BDH(config!$G$4,W$1,$A223,$A223)),_xll.BDH(config!$G$4,W$1,$A223,$A223),_xll.BDH(config!$G$5,W$1,$A223,$A223))))</f>
        <v>#N/A Requesting Data...</v>
      </c>
    </row>
    <row r="224" spans="1:23" x14ac:dyDescent="0.2">
      <c r="A224" s="9">
        <f>IF(A223="","",IF(WORKDAY(A223,-1,config_Holiday_Calendar_US)&lt;config!$I$10,"",WORKDAY(A223,-1,config_Holiday_Calendar_US)))</f>
        <v>42508</v>
      </c>
      <c r="B224" s="8" t="e">
        <f t="shared" si="3"/>
        <v>#VALUE!</v>
      </c>
      <c r="C224" s="8" t="str">
        <f>IF(A224="","",_xll.BDH(config!$H$4,C$1,$A224,$A224))</f>
        <v>#N/A Requesting Data...</v>
      </c>
      <c r="D224" s="8" t="str">
        <f>IF($A224="","",_xll.BDH(config!$H$4,D$1,$A224,$A224))</f>
        <v>#N/A Requesting Data...</v>
      </c>
      <c r="E224" s="8">
        <f>IF($A224="","",IF(ISNUMBER(FIND("IMPVOL",E$1)),_xll.BDH(config!$G$4,E$1,WORKDAY($A224,-1,config_Holiday_Calendar_US),WORKDAY($A224,-1,config_Holiday_Calendar_US)),IF(ISNUMBER(_xll.BDH(config!$G$4,E$1,$A224,$A224)),_xll.BDH(config!$G$4,E$1,$A224,$A224),_xll.BDH(config!$G$5,E$1,$A224,$A224))))</f>
        <v>48.53</v>
      </c>
      <c r="F224" s="8">
        <f>IF($A224="","",IF(ISNUMBER(FIND("IMPVOL",F$1)),_xll.BDH(config!$G$4,F$1,WORKDAY($A224,-1,config_Holiday_Calendar_US),WORKDAY($A224,-1,config_Holiday_Calendar_US)),IF(ISNUMBER(_xll.BDH(config!$G$4,F$1,$A224,$A224)),_xll.BDH(config!$G$4,F$1,$A224,$A224),_xll.BDH(config!$G$5,F$1,$A224,$A224))))</f>
        <v>48.95</v>
      </c>
      <c r="G224" s="8">
        <f>IF($A224="","",IF(ISNUMBER(FIND("IMPVOL",G$1)),_xll.BDH(config!$G$4,G$1,WORKDAY($A224,-1,config_Holiday_Calendar_US),WORKDAY($A224,-1,config_Holiday_Calendar_US)),IF(ISNUMBER(_xll.BDH(config!$G$4,G$1,$A224,$A224)),_xll.BDH(config!$G$4,G$1,$A224,$A224),_xll.BDH(config!$G$5,G$1,$A224,$A224))))</f>
        <v>48.31</v>
      </c>
      <c r="H224" s="8">
        <f>IF($A224="","",IF(ISNUMBER(FIND("IMPVOL",H$1)),_xll.BDH(config!$G$4,H$1,WORKDAY($A224,-1,config_Holiday_Calendar_US),WORKDAY($A224,-1,config_Holiday_Calendar_US)),IF(ISNUMBER(_xll.BDH(config!$G$4,H$1,$A224,$A224)),_xll.BDH(config!$G$4,H$1,$A224,$A224),_xll.BDH(config!$G$5,H$1,$A224,$A224))))</f>
        <v>522016</v>
      </c>
      <c r="I224" s="8" t="str">
        <f>IF($A224="","",IF(ISNUMBER(FIND("IMPVOL",I$1)),_xll.BDH(config!$G$4,I$1,WORKDAY($A224,-1,config_Holiday_Calendar_US),WORKDAY($A224,-1,config_Holiday_Calendar_US)),IF(ISNUMBER(_xll.BDH(config!$G$4,I$1,$A224,$A224)),_xll.BDH(config!$G$4,I$1,$A224,$A224),_xll.BDH(config!$G$5,I$1,$A224,$A224))))</f>
        <v>#N/A Requesting Data...</v>
      </c>
      <c r="J224" s="8" t="str">
        <f>IF($A224="","",IF(ISNUMBER(FIND("IMPVOL",J$1)),_xll.BDH(config!$G$4,J$1,WORKDAY($A224,-1,config_Holiday_Calendar_US),WORKDAY($A224,-1,config_Holiday_Calendar_US)),IF(ISNUMBER(_xll.BDH(config!$G$4,J$1,$A224,$A224)),_xll.BDH(config!$G$4,J$1,$A224,$A224),_xll.BDH(config!$G$5,J$1,$A224,$A224))))</f>
        <v>#N/A Requesting Data...</v>
      </c>
      <c r="K224" s="8" t="str">
        <f>IF($A224="","",IF(ISNUMBER(FIND("IMPVOL",K$1)),_xll.BDH(config!$G$4,K$1,WORKDAY($A224,-1,config_Holiday_Calendar_US),WORKDAY($A224,-1,config_Holiday_Calendar_US)),IF(ISNUMBER(_xll.BDH(config!$G$4,K$1,$A224,$A224)),_xll.BDH(config!$G$4,K$1,$A224,$A224),_xll.BDH(config!$G$5,K$1,$A224,$A224))))</f>
        <v>#N/A Requesting Data...</v>
      </c>
      <c r="L224" s="8" t="str">
        <f>IF($A224="","",IF(ISNUMBER(FIND("IMPVOL",L$1)),_xll.BDH(config!$G$4,L$1,WORKDAY($A224,-1,config_Holiday_Calendar_US),WORKDAY($A224,-1,config_Holiday_Calendar_US)),IF(ISNUMBER(_xll.BDH(config!$G$4,L$1,$A224,$A224)),_xll.BDH(config!$G$4,L$1,$A224,$A224),_xll.BDH(config!$G$5,L$1,$A224,$A224))))</f>
        <v>#N/A Requesting Data...</v>
      </c>
      <c r="M224" s="8" t="str">
        <f>IF($A224="","",IF(ISNUMBER(FIND("IMPVOL",M$1)),_xll.BDH(config!$G$4,M$1,WORKDAY($A224,-1,config_Holiday_Calendar_US),WORKDAY($A224,-1,config_Holiday_Calendar_US)),IF(ISNUMBER(_xll.BDH(config!$G$4,M$1,$A224,$A224)),_xll.BDH(config!$G$4,M$1,$A224,$A224),_xll.BDH(config!$G$5,M$1,$A224,$A224))))</f>
        <v>#N/A Requesting Data...</v>
      </c>
      <c r="N224" s="8" t="str">
        <f>IF($A224="","",IF(ISNUMBER(FIND("IMPVOL",N$1)),_xll.BDH(config!$G$4,N$1,WORKDAY($A224,-1,config_Holiday_Calendar_US),WORKDAY($A224,-1,config_Holiday_Calendar_US)),IF(ISNUMBER(_xll.BDH(config!$G$4,N$1,$A224,$A224)),_xll.BDH(config!$G$4,N$1,$A224,$A224),_xll.BDH(config!$G$5,N$1,$A224,$A224))))</f>
        <v>#N/A Requesting Data...</v>
      </c>
      <c r="O224" s="8" t="str">
        <f>IF($A224="","",IF(ISNUMBER(FIND("IMPVOL",O$1)),_xll.BDH(config!$G$4,O$1,WORKDAY($A224,-1,config_Holiday_Calendar_US),WORKDAY($A224,-1,config_Holiday_Calendar_US)),IF(ISNUMBER(_xll.BDH(config!$G$4,O$1,$A224,$A224)),_xll.BDH(config!$G$4,O$1,$A224,$A224),_xll.BDH(config!$G$5,O$1,$A224,$A224))))</f>
        <v>#N/A Requesting Data...</v>
      </c>
      <c r="P224" s="8" t="str">
        <f>IF($A224="","",IF(ISNUMBER(FIND("IMPVOL",P$1)),_xll.BDH(config!$G$4,P$1,WORKDAY($A224,-1,config_Holiday_Calendar_US),WORKDAY($A224,-1,config_Holiday_Calendar_US)),IF(ISNUMBER(_xll.BDH(config!$G$4,P$1,$A224,$A224)),_xll.BDH(config!$G$4,P$1,$A224,$A224),_xll.BDH(config!$G$5,P$1,$A224,$A224))))</f>
        <v>#N/A Requesting Data...</v>
      </c>
      <c r="Q224" s="8">
        <f>IF($A224="","",IF(ISNUMBER(FIND("IMPVOL",Q$1)),_xll.BDH(config!$G$4,Q$1,WORKDAY($A224,-1,config_Holiday_Calendar_US),WORKDAY($A224,-1,config_Holiday_Calendar_US)),IF(ISNUMBER(_xll.BDH(config!$G$4,Q$1,$A224,$A224)),_xll.BDH(config!$G$4,Q$1,$A224,$A224),_xll.BDH(config!$G$5,Q$1,$A224,$A224))))</f>
        <v>34.76</v>
      </c>
      <c r="R224" s="8">
        <f>IF($A224="","",IF(ISNUMBER(FIND("IMPVOL",R$1)),_xll.BDH(config!$G$4,R$1,WORKDAY($A224,-1,config_Holiday_Calendar_US),WORKDAY($A224,-1,config_Holiday_Calendar_US)),IF(ISNUMBER(_xll.BDH(config!$G$4,R$1,$A224,$A224)),_xll.BDH(config!$G$4,R$1,$A224,$A224),_xll.BDH(config!$G$5,R$1,$A224,$A224))))</f>
        <v>38.33</v>
      </c>
      <c r="S224" s="8" t="str">
        <f>IF($A224="","",IF(ISNUMBER(FIND("IMPVOL",S$1)),_xll.BDH(config!$G$4,S$1,WORKDAY($A224,-1,config_Holiday_Calendar_US),WORKDAY($A224,-1,config_Holiday_Calendar_US)),IF(ISNUMBER(_xll.BDH(config!$G$4,S$1,$A224,$A224)),_xll.BDH(config!$G$4,S$1,$A224,$A224),_xll.BDH(config!$G$5,S$1,$A224,$A224))))</f>
        <v>#N/A Requesting Data...</v>
      </c>
      <c r="T224" s="8" t="str">
        <f>IF($A224="","",IF(ISNUMBER(FIND("IMPVOL",T$1)),_xll.BDH(config!$G$4,T$1,WORKDAY($A224,-1,config_Holiday_Calendar_US),WORKDAY($A224,-1,config_Holiday_Calendar_US)),IF(ISNUMBER(_xll.BDH(config!$G$4,T$1,$A224,$A224)),_xll.BDH(config!$G$4,T$1,$A224,$A224),_xll.BDH(config!$G$5,T$1,$A224,$A224))))</f>
        <v>#N/A Requesting Data...</v>
      </c>
      <c r="U224" s="8" t="str">
        <f>IF($A224="","",IF(ISNUMBER(FIND("IMPVOL",U$1)),_xll.BDH(config!$G$4,U$1,WORKDAY($A224,-1,config_Holiday_Calendar_US),WORKDAY($A224,-1,config_Holiday_Calendar_US)),IF(ISNUMBER(_xll.BDH(config!$G$4,U$1,$A224,$A224)),_xll.BDH(config!$G$4,U$1,$A224,$A224),_xll.BDH(config!$G$5,U$1,$A224,$A224))))</f>
        <v>#N/A Requesting Data...</v>
      </c>
      <c r="V224" s="8" t="str">
        <f>IF($A224="","",IF(ISNUMBER(FIND("IMPVOL",V$1)),_xll.BDH(config!$G$4,V$1,WORKDAY($A224,-1,config_Holiday_Calendar_US),WORKDAY($A224,-1,config_Holiday_Calendar_US)),IF(ISNUMBER(_xll.BDH(config!$G$4,V$1,$A224,$A224)),_xll.BDH(config!$G$4,V$1,$A224,$A224),_xll.BDH(config!$G$5,V$1,$A224,$A224))))</f>
        <v>#N/A Requesting Data...</v>
      </c>
      <c r="W224" s="8" t="str">
        <f>IF($A224="","",IF(ISNUMBER(FIND("IMPVOL",W$1)),_xll.BDH(config!$G$4,W$1,WORKDAY($A224,-1,config_Holiday_Calendar_US),WORKDAY($A224,-1,config_Holiday_Calendar_US)),IF(ISNUMBER(_xll.BDH(config!$G$4,W$1,$A224,$A224)),_xll.BDH(config!$G$4,W$1,$A224,$A224),_xll.BDH(config!$G$5,W$1,$A224,$A224))))</f>
        <v>#N/A Requesting Data...</v>
      </c>
    </row>
    <row r="225" spans="1:23" x14ac:dyDescent="0.2">
      <c r="A225" s="9">
        <f>IF(A224="","",IF(WORKDAY(A224,-1,config_Holiday_Calendar_US)&lt;config!$I$10,"",WORKDAY(A224,-1,config_Holiday_Calendar_US)))</f>
        <v>42507</v>
      </c>
      <c r="B225" s="8" t="e">
        <f t="shared" si="3"/>
        <v>#VALUE!</v>
      </c>
      <c r="C225" s="8" t="str">
        <f>IF(A225="","",_xll.BDH(config!$H$4,C$1,$A225,$A225))</f>
        <v>#N/A Requesting Data...</v>
      </c>
      <c r="D225" s="8" t="str">
        <f>IF($A225="","",_xll.BDH(config!$H$4,D$1,$A225,$A225))</f>
        <v>#N/A Requesting Data...</v>
      </c>
      <c r="E225" s="8">
        <f>IF($A225="","",IF(ISNUMBER(FIND("IMPVOL",E$1)),_xll.BDH(config!$G$4,E$1,WORKDAY($A225,-1,config_Holiday_Calendar_US),WORKDAY($A225,-1,config_Holiday_Calendar_US)),IF(ISNUMBER(_xll.BDH(config!$G$4,E$1,$A225,$A225)),_xll.BDH(config!$G$4,E$1,$A225,$A225),_xll.BDH(config!$G$5,E$1,$A225,$A225))))</f>
        <v>47.9</v>
      </c>
      <c r="F225" s="8">
        <f>IF($A225="","",IF(ISNUMBER(FIND("IMPVOL",F$1)),_xll.BDH(config!$G$4,F$1,WORKDAY($A225,-1,config_Holiday_Calendar_US),WORKDAY($A225,-1,config_Holiday_Calendar_US)),IF(ISNUMBER(_xll.BDH(config!$G$4,F$1,$A225,$A225)),_xll.BDH(config!$G$4,F$1,$A225,$A225),_xll.BDH(config!$G$5,F$1,$A225,$A225))))</f>
        <v>48.76</v>
      </c>
      <c r="G225" s="8">
        <f>IF($A225="","",IF(ISNUMBER(FIND("IMPVOL",G$1)),_xll.BDH(config!$G$4,G$1,WORKDAY($A225,-1,config_Holiday_Calendar_US),WORKDAY($A225,-1,config_Holiday_Calendar_US)),IF(ISNUMBER(_xll.BDH(config!$G$4,G$1,$A225,$A225)),_xll.BDH(config!$G$4,G$1,$A225,$A225),_xll.BDH(config!$G$5,G$1,$A225,$A225))))</f>
        <v>48.18</v>
      </c>
      <c r="H225" s="8">
        <f>IF($A225="","",IF(ISNUMBER(FIND("IMPVOL",H$1)),_xll.BDH(config!$G$4,H$1,WORKDAY($A225,-1,config_Holiday_Calendar_US),WORKDAY($A225,-1,config_Holiday_Calendar_US)),IF(ISNUMBER(_xll.BDH(config!$G$4,H$1,$A225,$A225)),_xll.BDH(config!$G$4,H$1,$A225,$A225),_xll.BDH(config!$G$5,H$1,$A225,$A225))))</f>
        <v>313961</v>
      </c>
      <c r="I225" s="8" t="str">
        <f>IF($A225="","",IF(ISNUMBER(FIND("IMPVOL",I$1)),_xll.BDH(config!$G$4,I$1,WORKDAY($A225,-1,config_Holiday_Calendar_US),WORKDAY($A225,-1,config_Holiday_Calendar_US)),IF(ISNUMBER(_xll.BDH(config!$G$4,I$1,$A225,$A225)),_xll.BDH(config!$G$4,I$1,$A225,$A225),_xll.BDH(config!$G$5,I$1,$A225,$A225))))</f>
        <v>#N/A Requesting Data...</v>
      </c>
      <c r="J225" s="8" t="str">
        <f>IF($A225="","",IF(ISNUMBER(FIND("IMPVOL",J$1)),_xll.BDH(config!$G$4,J$1,WORKDAY($A225,-1,config_Holiday_Calendar_US),WORKDAY($A225,-1,config_Holiday_Calendar_US)),IF(ISNUMBER(_xll.BDH(config!$G$4,J$1,$A225,$A225)),_xll.BDH(config!$G$4,J$1,$A225,$A225),_xll.BDH(config!$G$5,J$1,$A225,$A225))))</f>
        <v>#N/A Requesting Data...</v>
      </c>
      <c r="K225" s="8" t="str">
        <f>IF($A225="","",IF(ISNUMBER(FIND("IMPVOL",K$1)),_xll.BDH(config!$G$4,K$1,WORKDAY($A225,-1,config_Holiday_Calendar_US),WORKDAY($A225,-1,config_Holiday_Calendar_US)),IF(ISNUMBER(_xll.BDH(config!$G$4,K$1,$A225,$A225)),_xll.BDH(config!$G$4,K$1,$A225,$A225),_xll.BDH(config!$G$5,K$1,$A225,$A225))))</f>
        <v>#N/A Requesting Data...</v>
      </c>
      <c r="L225" s="8" t="str">
        <f>IF($A225="","",IF(ISNUMBER(FIND("IMPVOL",L$1)),_xll.BDH(config!$G$4,L$1,WORKDAY($A225,-1,config_Holiday_Calendar_US),WORKDAY($A225,-1,config_Holiday_Calendar_US)),IF(ISNUMBER(_xll.BDH(config!$G$4,L$1,$A225,$A225)),_xll.BDH(config!$G$4,L$1,$A225,$A225),_xll.BDH(config!$G$5,L$1,$A225,$A225))))</f>
        <v>#N/A Requesting Data...</v>
      </c>
      <c r="M225" s="8" t="str">
        <f>IF($A225="","",IF(ISNUMBER(FIND("IMPVOL",M$1)),_xll.BDH(config!$G$4,M$1,WORKDAY($A225,-1,config_Holiday_Calendar_US),WORKDAY($A225,-1,config_Holiday_Calendar_US)),IF(ISNUMBER(_xll.BDH(config!$G$4,M$1,$A225,$A225)),_xll.BDH(config!$G$4,M$1,$A225,$A225),_xll.BDH(config!$G$5,M$1,$A225,$A225))))</f>
        <v>#N/A Requesting Data...</v>
      </c>
      <c r="N225" s="8" t="str">
        <f>IF($A225="","",IF(ISNUMBER(FIND("IMPVOL",N$1)),_xll.BDH(config!$G$4,N$1,WORKDAY($A225,-1,config_Holiday_Calendar_US),WORKDAY($A225,-1,config_Holiday_Calendar_US)),IF(ISNUMBER(_xll.BDH(config!$G$4,N$1,$A225,$A225)),_xll.BDH(config!$G$4,N$1,$A225,$A225),_xll.BDH(config!$G$5,N$1,$A225,$A225))))</f>
        <v>#N/A Requesting Data...</v>
      </c>
      <c r="O225" s="8" t="str">
        <f>IF($A225="","",IF(ISNUMBER(FIND("IMPVOL",O$1)),_xll.BDH(config!$G$4,O$1,WORKDAY($A225,-1,config_Holiday_Calendar_US),WORKDAY($A225,-1,config_Holiday_Calendar_US)),IF(ISNUMBER(_xll.BDH(config!$G$4,O$1,$A225,$A225)),_xll.BDH(config!$G$4,O$1,$A225,$A225),_xll.BDH(config!$G$5,O$1,$A225,$A225))))</f>
        <v>#N/A Requesting Data...</v>
      </c>
      <c r="P225" s="8" t="str">
        <f>IF($A225="","",IF(ISNUMBER(FIND("IMPVOL",P$1)),_xll.BDH(config!$G$4,P$1,WORKDAY($A225,-1,config_Holiday_Calendar_US),WORKDAY($A225,-1,config_Holiday_Calendar_US)),IF(ISNUMBER(_xll.BDH(config!$G$4,P$1,$A225,$A225)),_xll.BDH(config!$G$4,P$1,$A225,$A225),_xll.BDH(config!$G$5,P$1,$A225,$A225))))</f>
        <v>#N/A Requesting Data...</v>
      </c>
      <c r="Q225" s="8">
        <f>IF($A225="","",IF(ISNUMBER(FIND("IMPVOL",Q$1)),_xll.BDH(config!$G$4,Q$1,WORKDAY($A225,-1,config_Holiday_Calendar_US),WORKDAY($A225,-1,config_Holiday_Calendar_US)),IF(ISNUMBER(_xll.BDH(config!$G$4,Q$1,$A225,$A225)),_xll.BDH(config!$G$4,Q$1,$A225,$A225),_xll.BDH(config!$G$5,Q$1,$A225,$A225))))</f>
        <v>33.79</v>
      </c>
      <c r="R225" s="8">
        <f>IF($A225="","",IF(ISNUMBER(FIND("IMPVOL",R$1)),_xll.BDH(config!$G$4,R$1,WORKDAY($A225,-1,config_Holiday_Calendar_US),WORKDAY($A225,-1,config_Holiday_Calendar_US)),IF(ISNUMBER(_xll.BDH(config!$G$4,R$1,$A225,$A225)),_xll.BDH(config!$G$4,R$1,$A225,$A225),_xll.BDH(config!$G$5,R$1,$A225,$A225))))</f>
        <v>38.659999999999997</v>
      </c>
      <c r="S225" s="8" t="str">
        <f>IF($A225="","",IF(ISNUMBER(FIND("IMPVOL",S$1)),_xll.BDH(config!$G$4,S$1,WORKDAY($A225,-1,config_Holiday_Calendar_US),WORKDAY($A225,-1,config_Holiday_Calendar_US)),IF(ISNUMBER(_xll.BDH(config!$G$4,S$1,$A225,$A225)),_xll.BDH(config!$G$4,S$1,$A225,$A225),_xll.BDH(config!$G$5,S$1,$A225,$A225))))</f>
        <v>#N/A Requesting Data...</v>
      </c>
      <c r="T225" s="8" t="str">
        <f>IF($A225="","",IF(ISNUMBER(FIND("IMPVOL",T$1)),_xll.BDH(config!$G$4,T$1,WORKDAY($A225,-1,config_Holiday_Calendar_US),WORKDAY($A225,-1,config_Holiday_Calendar_US)),IF(ISNUMBER(_xll.BDH(config!$G$4,T$1,$A225,$A225)),_xll.BDH(config!$G$4,T$1,$A225,$A225),_xll.BDH(config!$G$5,T$1,$A225,$A225))))</f>
        <v>#N/A Requesting Data...</v>
      </c>
      <c r="U225" s="8" t="str">
        <f>IF($A225="","",IF(ISNUMBER(FIND("IMPVOL",U$1)),_xll.BDH(config!$G$4,U$1,WORKDAY($A225,-1,config_Holiday_Calendar_US),WORKDAY($A225,-1,config_Holiday_Calendar_US)),IF(ISNUMBER(_xll.BDH(config!$G$4,U$1,$A225,$A225)),_xll.BDH(config!$G$4,U$1,$A225,$A225),_xll.BDH(config!$G$5,U$1,$A225,$A225))))</f>
        <v>#N/A Requesting Data...</v>
      </c>
      <c r="V225" s="8" t="str">
        <f>IF($A225="","",IF(ISNUMBER(FIND("IMPVOL",V$1)),_xll.BDH(config!$G$4,V$1,WORKDAY($A225,-1,config_Holiday_Calendar_US),WORKDAY($A225,-1,config_Holiday_Calendar_US)),IF(ISNUMBER(_xll.BDH(config!$G$4,V$1,$A225,$A225)),_xll.BDH(config!$G$4,V$1,$A225,$A225),_xll.BDH(config!$G$5,V$1,$A225,$A225))))</f>
        <v>#N/A Requesting Data...</v>
      </c>
      <c r="W225" s="8" t="str">
        <f>IF($A225="","",IF(ISNUMBER(FIND("IMPVOL",W$1)),_xll.BDH(config!$G$4,W$1,WORKDAY($A225,-1,config_Holiday_Calendar_US),WORKDAY($A225,-1,config_Holiday_Calendar_US)),IF(ISNUMBER(_xll.BDH(config!$G$4,W$1,$A225,$A225)),_xll.BDH(config!$G$4,W$1,$A225,$A225),_xll.BDH(config!$G$5,W$1,$A225,$A225))))</f>
        <v>#N/A Requesting Data...</v>
      </c>
    </row>
    <row r="226" spans="1:23" x14ac:dyDescent="0.2">
      <c r="A226" s="9">
        <f>IF(A225="","",IF(WORKDAY(A225,-1,config_Holiday_Calendar_US)&lt;config!$I$10,"",WORKDAY(A225,-1,config_Holiday_Calendar_US)))</f>
        <v>42506</v>
      </c>
      <c r="B226" s="8" t="e">
        <f t="shared" si="3"/>
        <v>#VALUE!</v>
      </c>
      <c r="C226" s="8" t="str">
        <f>IF(A226="","",_xll.BDH(config!$H$4,C$1,$A226,$A226))</f>
        <v>#N/A Requesting Data...</v>
      </c>
      <c r="D226" s="8" t="str">
        <f>IF($A226="","",_xll.BDH(config!$H$4,D$1,$A226,$A226))</f>
        <v>#N/A Requesting Data...</v>
      </c>
      <c r="E226" s="8">
        <f>IF($A226="","",IF(ISNUMBER(FIND("IMPVOL",E$1)),_xll.BDH(config!$G$4,E$1,WORKDAY($A226,-1,config_Holiday_Calendar_US),WORKDAY($A226,-1,config_Holiday_Calendar_US)),IF(ISNUMBER(_xll.BDH(config!$G$4,E$1,$A226,$A226)),_xll.BDH(config!$G$4,E$1,$A226,$A226),_xll.BDH(config!$G$5,E$1,$A226,$A226))))</f>
        <v>46.28</v>
      </c>
      <c r="F226" s="8">
        <f>IF($A226="","",IF(ISNUMBER(FIND("IMPVOL",F$1)),_xll.BDH(config!$G$4,F$1,WORKDAY($A226,-1,config_Holiday_Calendar_US),WORKDAY($A226,-1,config_Holiday_Calendar_US)),IF(ISNUMBER(_xll.BDH(config!$G$4,F$1,$A226,$A226)),_xll.BDH(config!$G$4,F$1,$A226,$A226),_xll.BDH(config!$G$5,F$1,$A226,$A226))))</f>
        <v>47.98</v>
      </c>
      <c r="G226" s="8">
        <f>IF($A226="","",IF(ISNUMBER(FIND("IMPVOL",G$1)),_xll.BDH(config!$G$4,G$1,WORKDAY($A226,-1,config_Holiday_Calendar_US),WORKDAY($A226,-1,config_Holiday_Calendar_US)),IF(ISNUMBER(_xll.BDH(config!$G$4,G$1,$A226,$A226)),_xll.BDH(config!$G$4,G$1,$A226,$A226),_xll.BDH(config!$G$5,G$1,$A226,$A226))))</f>
        <v>46.84</v>
      </c>
      <c r="H226" s="8">
        <f>IF($A226="","",IF(ISNUMBER(FIND("IMPVOL",H$1)),_xll.BDH(config!$G$4,H$1,WORKDAY($A226,-1,config_Holiday_Calendar_US),WORKDAY($A226,-1,config_Holiday_Calendar_US)),IF(ISNUMBER(_xll.BDH(config!$G$4,H$1,$A226,$A226)),_xll.BDH(config!$G$4,H$1,$A226,$A226),_xll.BDH(config!$G$5,H$1,$A226,$A226))))</f>
        <v>273392</v>
      </c>
      <c r="I226" s="8" t="str">
        <f>IF($A226="","",IF(ISNUMBER(FIND("IMPVOL",I$1)),_xll.BDH(config!$G$4,I$1,WORKDAY($A226,-1,config_Holiday_Calendar_US),WORKDAY($A226,-1,config_Holiday_Calendar_US)),IF(ISNUMBER(_xll.BDH(config!$G$4,I$1,$A226,$A226)),_xll.BDH(config!$G$4,I$1,$A226,$A226),_xll.BDH(config!$G$5,I$1,$A226,$A226))))</f>
        <v>#N/A Requesting Data...</v>
      </c>
      <c r="J226" s="8" t="str">
        <f>IF($A226="","",IF(ISNUMBER(FIND("IMPVOL",J$1)),_xll.BDH(config!$G$4,J$1,WORKDAY($A226,-1,config_Holiday_Calendar_US),WORKDAY($A226,-1,config_Holiday_Calendar_US)),IF(ISNUMBER(_xll.BDH(config!$G$4,J$1,$A226,$A226)),_xll.BDH(config!$G$4,J$1,$A226,$A226),_xll.BDH(config!$G$5,J$1,$A226,$A226))))</f>
        <v>#N/A Requesting Data...</v>
      </c>
      <c r="K226" s="8" t="str">
        <f>IF($A226="","",IF(ISNUMBER(FIND("IMPVOL",K$1)),_xll.BDH(config!$G$4,K$1,WORKDAY($A226,-1,config_Holiday_Calendar_US),WORKDAY($A226,-1,config_Holiday_Calendar_US)),IF(ISNUMBER(_xll.BDH(config!$G$4,K$1,$A226,$A226)),_xll.BDH(config!$G$4,K$1,$A226,$A226),_xll.BDH(config!$G$5,K$1,$A226,$A226))))</f>
        <v>#N/A Requesting Data...</v>
      </c>
      <c r="L226" s="8" t="str">
        <f>IF($A226="","",IF(ISNUMBER(FIND("IMPVOL",L$1)),_xll.BDH(config!$G$4,L$1,WORKDAY($A226,-1,config_Holiday_Calendar_US),WORKDAY($A226,-1,config_Holiday_Calendar_US)),IF(ISNUMBER(_xll.BDH(config!$G$4,L$1,$A226,$A226)),_xll.BDH(config!$G$4,L$1,$A226,$A226),_xll.BDH(config!$G$5,L$1,$A226,$A226))))</f>
        <v>#N/A Requesting Data...</v>
      </c>
      <c r="M226" s="8" t="str">
        <f>IF($A226="","",IF(ISNUMBER(FIND("IMPVOL",M$1)),_xll.BDH(config!$G$4,M$1,WORKDAY($A226,-1,config_Holiday_Calendar_US),WORKDAY($A226,-1,config_Holiday_Calendar_US)),IF(ISNUMBER(_xll.BDH(config!$G$4,M$1,$A226,$A226)),_xll.BDH(config!$G$4,M$1,$A226,$A226),_xll.BDH(config!$G$5,M$1,$A226,$A226))))</f>
        <v>#N/A Requesting Data...</v>
      </c>
      <c r="N226" s="8" t="str">
        <f>IF($A226="","",IF(ISNUMBER(FIND("IMPVOL",N$1)),_xll.BDH(config!$G$4,N$1,WORKDAY($A226,-1,config_Holiday_Calendar_US),WORKDAY($A226,-1,config_Holiday_Calendar_US)),IF(ISNUMBER(_xll.BDH(config!$G$4,N$1,$A226,$A226)),_xll.BDH(config!$G$4,N$1,$A226,$A226),_xll.BDH(config!$G$5,N$1,$A226,$A226))))</f>
        <v>#N/A Requesting Data...</v>
      </c>
      <c r="O226" s="8" t="str">
        <f>IF($A226="","",IF(ISNUMBER(FIND("IMPVOL",O$1)),_xll.BDH(config!$G$4,O$1,WORKDAY($A226,-1,config_Holiday_Calendar_US),WORKDAY($A226,-1,config_Holiday_Calendar_US)),IF(ISNUMBER(_xll.BDH(config!$G$4,O$1,$A226,$A226)),_xll.BDH(config!$G$4,O$1,$A226,$A226),_xll.BDH(config!$G$5,O$1,$A226,$A226))))</f>
        <v>#N/A Requesting Data...</v>
      </c>
      <c r="P226" s="8" t="str">
        <f>IF($A226="","",IF(ISNUMBER(FIND("IMPVOL",P$1)),_xll.BDH(config!$G$4,P$1,WORKDAY($A226,-1,config_Holiday_Calendar_US),WORKDAY($A226,-1,config_Holiday_Calendar_US)),IF(ISNUMBER(_xll.BDH(config!$G$4,P$1,$A226,$A226)),_xll.BDH(config!$G$4,P$1,$A226,$A226),_xll.BDH(config!$G$5,P$1,$A226,$A226))))</f>
        <v>#N/A Requesting Data...</v>
      </c>
      <c r="Q226" s="8">
        <f>IF($A226="","",IF(ISNUMBER(FIND("IMPVOL",Q$1)),_xll.BDH(config!$G$4,Q$1,WORKDAY($A226,-1,config_Holiday_Calendar_US),WORKDAY($A226,-1,config_Holiday_Calendar_US)),IF(ISNUMBER(_xll.BDH(config!$G$4,Q$1,$A226,$A226)),_xll.BDH(config!$G$4,Q$1,$A226,$A226),_xll.BDH(config!$G$5,Q$1,$A226,$A226))))</f>
        <v>34.26</v>
      </c>
      <c r="R226" s="8">
        <f>IF($A226="","",IF(ISNUMBER(FIND("IMPVOL",R$1)),_xll.BDH(config!$G$4,R$1,WORKDAY($A226,-1,config_Holiday_Calendar_US),WORKDAY($A226,-1,config_Holiday_Calendar_US)),IF(ISNUMBER(_xll.BDH(config!$G$4,R$1,$A226,$A226)),_xll.BDH(config!$G$4,R$1,$A226,$A226),_xll.BDH(config!$G$5,R$1,$A226,$A226))))</f>
        <v>40.58</v>
      </c>
      <c r="S226" s="8" t="str">
        <f>IF($A226="","",IF(ISNUMBER(FIND("IMPVOL",S$1)),_xll.BDH(config!$G$4,S$1,WORKDAY($A226,-1,config_Holiday_Calendar_US),WORKDAY($A226,-1,config_Holiday_Calendar_US)),IF(ISNUMBER(_xll.BDH(config!$G$4,S$1,$A226,$A226)),_xll.BDH(config!$G$4,S$1,$A226,$A226),_xll.BDH(config!$G$5,S$1,$A226,$A226))))</f>
        <v>#N/A Requesting Data...</v>
      </c>
      <c r="T226" s="8" t="str">
        <f>IF($A226="","",IF(ISNUMBER(FIND("IMPVOL",T$1)),_xll.BDH(config!$G$4,T$1,WORKDAY($A226,-1,config_Holiday_Calendar_US),WORKDAY($A226,-1,config_Holiday_Calendar_US)),IF(ISNUMBER(_xll.BDH(config!$G$4,T$1,$A226,$A226)),_xll.BDH(config!$G$4,T$1,$A226,$A226),_xll.BDH(config!$G$5,T$1,$A226,$A226))))</f>
        <v>#N/A Requesting Data...</v>
      </c>
      <c r="U226" s="8" t="str">
        <f>IF($A226="","",IF(ISNUMBER(FIND("IMPVOL",U$1)),_xll.BDH(config!$G$4,U$1,WORKDAY($A226,-1,config_Holiday_Calendar_US),WORKDAY($A226,-1,config_Holiday_Calendar_US)),IF(ISNUMBER(_xll.BDH(config!$G$4,U$1,$A226,$A226)),_xll.BDH(config!$G$4,U$1,$A226,$A226),_xll.BDH(config!$G$5,U$1,$A226,$A226))))</f>
        <v>#N/A Requesting Data...</v>
      </c>
      <c r="V226" s="8" t="str">
        <f>IF($A226="","",IF(ISNUMBER(FIND("IMPVOL",V$1)),_xll.BDH(config!$G$4,V$1,WORKDAY($A226,-1,config_Holiday_Calendar_US),WORKDAY($A226,-1,config_Holiday_Calendar_US)),IF(ISNUMBER(_xll.BDH(config!$G$4,V$1,$A226,$A226)),_xll.BDH(config!$G$4,V$1,$A226,$A226),_xll.BDH(config!$G$5,V$1,$A226,$A226))))</f>
        <v>#N/A Requesting Data...</v>
      </c>
      <c r="W226" s="8" t="str">
        <f>IF($A226="","",IF(ISNUMBER(FIND("IMPVOL",W$1)),_xll.BDH(config!$G$4,W$1,WORKDAY($A226,-1,config_Holiday_Calendar_US),WORKDAY($A226,-1,config_Holiday_Calendar_US)),IF(ISNUMBER(_xll.BDH(config!$G$4,W$1,$A226,$A226)),_xll.BDH(config!$G$4,W$1,$A226,$A226),_xll.BDH(config!$G$5,W$1,$A226,$A226))))</f>
        <v>#N/A Requesting Data...</v>
      </c>
    </row>
    <row r="227" spans="1:23" x14ac:dyDescent="0.2">
      <c r="A227" s="9">
        <f>IF(A226="","",IF(WORKDAY(A226,-1,config_Holiday_Calendar_US)&lt;config!$I$10,"",WORKDAY(A226,-1,config_Holiday_Calendar_US)))</f>
        <v>42503</v>
      </c>
      <c r="B227" s="8" t="e">
        <f t="shared" si="3"/>
        <v>#VALUE!</v>
      </c>
      <c r="C227" s="8" t="str">
        <f>IF(A227="","",_xll.BDH(config!$H$4,C$1,$A227,$A227))</f>
        <v>#N/A Requesting Data...</v>
      </c>
      <c r="D227" s="8" t="str">
        <f>IF($A227="","",_xll.BDH(config!$H$4,D$1,$A227,$A227))</f>
        <v>#N/A Requesting Data...</v>
      </c>
      <c r="E227" s="8">
        <f>IF($A227="","",IF(ISNUMBER(FIND("IMPVOL",E$1)),_xll.BDH(config!$G$4,E$1,WORKDAY($A227,-1,config_Holiday_Calendar_US),WORKDAY($A227,-1,config_Holiday_Calendar_US)),IF(ISNUMBER(_xll.BDH(config!$G$4,E$1,$A227,$A227)),_xll.BDH(config!$G$4,E$1,$A227,$A227),_xll.BDH(config!$G$5,E$1,$A227,$A227))))</f>
        <v>46.41</v>
      </c>
      <c r="F227" s="8">
        <f>IF($A227="","",IF(ISNUMBER(FIND("IMPVOL",F$1)),_xll.BDH(config!$G$4,F$1,WORKDAY($A227,-1,config_Holiday_Calendar_US),WORKDAY($A227,-1,config_Holiday_Calendar_US)),IF(ISNUMBER(_xll.BDH(config!$G$4,F$1,$A227,$A227)),_xll.BDH(config!$G$4,F$1,$A227,$A227),_xll.BDH(config!$G$5,F$1,$A227,$A227))))</f>
        <v>46.49</v>
      </c>
      <c r="G227" s="8">
        <f>IF($A227="","",IF(ISNUMBER(FIND("IMPVOL",G$1)),_xll.BDH(config!$G$4,G$1,WORKDAY($A227,-1,config_Holiday_Calendar_US),WORKDAY($A227,-1,config_Holiday_Calendar_US)),IF(ISNUMBER(_xll.BDH(config!$G$4,G$1,$A227,$A227)),_xll.BDH(config!$G$4,G$1,$A227,$A227),_xll.BDH(config!$G$5,G$1,$A227,$A227))))</f>
        <v>46.53</v>
      </c>
      <c r="H227" s="8">
        <f>IF($A227="","",IF(ISNUMBER(FIND("IMPVOL",H$1)),_xll.BDH(config!$G$4,H$1,WORKDAY($A227,-1,config_Holiday_Calendar_US),WORKDAY($A227,-1,config_Holiday_Calendar_US)),IF(ISNUMBER(_xll.BDH(config!$G$4,H$1,$A227,$A227)),_xll.BDH(config!$G$4,H$1,$A227,$A227),_xll.BDH(config!$G$5,H$1,$A227,$A227))))</f>
        <v>191049</v>
      </c>
      <c r="I227" s="8" t="str">
        <f>IF($A227="","",IF(ISNUMBER(FIND("IMPVOL",I$1)),_xll.BDH(config!$G$4,I$1,WORKDAY($A227,-1,config_Holiday_Calendar_US),WORKDAY($A227,-1,config_Holiday_Calendar_US)),IF(ISNUMBER(_xll.BDH(config!$G$4,I$1,$A227,$A227)),_xll.BDH(config!$G$4,I$1,$A227,$A227),_xll.BDH(config!$G$5,I$1,$A227,$A227))))</f>
        <v>#N/A Requesting Data...</v>
      </c>
      <c r="J227" s="8" t="str">
        <f>IF($A227="","",IF(ISNUMBER(FIND("IMPVOL",J$1)),_xll.BDH(config!$G$4,J$1,WORKDAY($A227,-1,config_Holiday_Calendar_US),WORKDAY($A227,-1,config_Holiday_Calendar_US)),IF(ISNUMBER(_xll.BDH(config!$G$4,J$1,$A227,$A227)),_xll.BDH(config!$G$4,J$1,$A227,$A227),_xll.BDH(config!$G$5,J$1,$A227,$A227))))</f>
        <v>#N/A Requesting Data...</v>
      </c>
      <c r="K227" s="8" t="str">
        <f>IF($A227="","",IF(ISNUMBER(FIND("IMPVOL",K$1)),_xll.BDH(config!$G$4,K$1,WORKDAY($A227,-1,config_Holiday_Calendar_US),WORKDAY($A227,-1,config_Holiday_Calendar_US)),IF(ISNUMBER(_xll.BDH(config!$G$4,K$1,$A227,$A227)),_xll.BDH(config!$G$4,K$1,$A227,$A227),_xll.BDH(config!$G$5,K$1,$A227,$A227))))</f>
        <v>#N/A Requesting Data...</v>
      </c>
      <c r="L227" s="8" t="str">
        <f>IF($A227="","",IF(ISNUMBER(FIND("IMPVOL",L$1)),_xll.BDH(config!$G$4,L$1,WORKDAY($A227,-1,config_Holiday_Calendar_US),WORKDAY($A227,-1,config_Holiday_Calendar_US)),IF(ISNUMBER(_xll.BDH(config!$G$4,L$1,$A227,$A227)),_xll.BDH(config!$G$4,L$1,$A227,$A227),_xll.BDH(config!$G$5,L$1,$A227,$A227))))</f>
        <v>#N/A Requesting Data...</v>
      </c>
      <c r="M227" s="8" t="str">
        <f>IF($A227="","",IF(ISNUMBER(FIND("IMPVOL",M$1)),_xll.BDH(config!$G$4,M$1,WORKDAY($A227,-1,config_Holiday_Calendar_US),WORKDAY($A227,-1,config_Holiday_Calendar_US)),IF(ISNUMBER(_xll.BDH(config!$G$4,M$1,$A227,$A227)),_xll.BDH(config!$G$4,M$1,$A227,$A227),_xll.BDH(config!$G$5,M$1,$A227,$A227))))</f>
        <v>#N/A Requesting Data...</v>
      </c>
      <c r="N227" s="8" t="str">
        <f>IF($A227="","",IF(ISNUMBER(FIND("IMPVOL",N$1)),_xll.BDH(config!$G$4,N$1,WORKDAY($A227,-1,config_Holiday_Calendar_US),WORKDAY($A227,-1,config_Holiday_Calendar_US)),IF(ISNUMBER(_xll.BDH(config!$G$4,N$1,$A227,$A227)),_xll.BDH(config!$G$4,N$1,$A227,$A227),_xll.BDH(config!$G$5,N$1,$A227,$A227))))</f>
        <v>#N/A Requesting Data...</v>
      </c>
      <c r="O227" s="8" t="str">
        <f>IF($A227="","",IF(ISNUMBER(FIND("IMPVOL",O$1)),_xll.BDH(config!$G$4,O$1,WORKDAY($A227,-1,config_Holiday_Calendar_US),WORKDAY($A227,-1,config_Holiday_Calendar_US)),IF(ISNUMBER(_xll.BDH(config!$G$4,O$1,$A227,$A227)),_xll.BDH(config!$G$4,O$1,$A227,$A227),_xll.BDH(config!$G$5,O$1,$A227,$A227))))</f>
        <v>#N/A Requesting Data...</v>
      </c>
      <c r="P227" s="8" t="str">
        <f>IF($A227="","",IF(ISNUMBER(FIND("IMPVOL",P$1)),_xll.BDH(config!$G$4,P$1,WORKDAY($A227,-1,config_Holiday_Calendar_US),WORKDAY($A227,-1,config_Holiday_Calendar_US)),IF(ISNUMBER(_xll.BDH(config!$G$4,P$1,$A227,$A227)),_xll.BDH(config!$G$4,P$1,$A227,$A227),_xll.BDH(config!$G$5,P$1,$A227,$A227))))</f>
        <v>#N/A Requesting Data...</v>
      </c>
      <c r="Q227" s="8">
        <f>IF($A227="","",IF(ISNUMBER(FIND("IMPVOL",Q$1)),_xll.BDH(config!$G$4,Q$1,WORKDAY($A227,-1,config_Holiday_Calendar_US),WORKDAY($A227,-1,config_Holiday_Calendar_US)),IF(ISNUMBER(_xll.BDH(config!$G$4,Q$1,$A227,$A227)),_xll.BDH(config!$G$4,Q$1,$A227,$A227),_xll.BDH(config!$G$5,Q$1,$A227,$A227))))</f>
        <v>35.54</v>
      </c>
      <c r="R227" s="8">
        <f>IF($A227="","",IF(ISNUMBER(FIND("IMPVOL",R$1)),_xll.BDH(config!$G$4,R$1,WORKDAY($A227,-1,config_Holiday_Calendar_US),WORKDAY($A227,-1,config_Holiday_Calendar_US)),IF(ISNUMBER(_xll.BDH(config!$G$4,R$1,$A227,$A227)),_xll.BDH(config!$G$4,R$1,$A227,$A227),_xll.BDH(config!$G$5,R$1,$A227,$A227))))</f>
        <v>40.01</v>
      </c>
      <c r="S227" s="8" t="str">
        <f>IF($A227="","",IF(ISNUMBER(FIND("IMPVOL",S$1)),_xll.BDH(config!$G$4,S$1,WORKDAY($A227,-1,config_Holiday_Calendar_US),WORKDAY($A227,-1,config_Holiday_Calendar_US)),IF(ISNUMBER(_xll.BDH(config!$G$4,S$1,$A227,$A227)),_xll.BDH(config!$G$4,S$1,$A227,$A227),_xll.BDH(config!$G$5,S$1,$A227,$A227))))</f>
        <v>#N/A Requesting Data...</v>
      </c>
      <c r="T227" s="8" t="str">
        <f>IF($A227="","",IF(ISNUMBER(FIND("IMPVOL",T$1)),_xll.BDH(config!$G$4,T$1,WORKDAY($A227,-1,config_Holiday_Calendar_US),WORKDAY($A227,-1,config_Holiday_Calendar_US)),IF(ISNUMBER(_xll.BDH(config!$G$4,T$1,$A227,$A227)),_xll.BDH(config!$G$4,T$1,$A227,$A227),_xll.BDH(config!$G$5,T$1,$A227,$A227))))</f>
        <v>#N/A Requesting Data...</v>
      </c>
      <c r="U227" s="8" t="str">
        <f>IF($A227="","",IF(ISNUMBER(FIND("IMPVOL",U$1)),_xll.BDH(config!$G$4,U$1,WORKDAY($A227,-1,config_Holiday_Calendar_US),WORKDAY($A227,-1,config_Holiday_Calendar_US)),IF(ISNUMBER(_xll.BDH(config!$G$4,U$1,$A227,$A227)),_xll.BDH(config!$G$4,U$1,$A227,$A227),_xll.BDH(config!$G$5,U$1,$A227,$A227))))</f>
        <v>#N/A Requesting Data...</v>
      </c>
      <c r="V227" s="8" t="str">
        <f>IF($A227="","",IF(ISNUMBER(FIND("IMPVOL",V$1)),_xll.BDH(config!$G$4,V$1,WORKDAY($A227,-1,config_Holiday_Calendar_US),WORKDAY($A227,-1,config_Holiday_Calendar_US)),IF(ISNUMBER(_xll.BDH(config!$G$4,V$1,$A227,$A227)),_xll.BDH(config!$G$4,V$1,$A227,$A227),_xll.BDH(config!$G$5,V$1,$A227,$A227))))</f>
        <v>#N/A Requesting Data...</v>
      </c>
      <c r="W227" s="8" t="str">
        <f>IF($A227="","",IF(ISNUMBER(FIND("IMPVOL",W$1)),_xll.BDH(config!$G$4,W$1,WORKDAY($A227,-1,config_Holiday_Calendar_US),WORKDAY($A227,-1,config_Holiday_Calendar_US)),IF(ISNUMBER(_xll.BDH(config!$G$4,W$1,$A227,$A227)),_xll.BDH(config!$G$4,W$1,$A227,$A227),_xll.BDH(config!$G$5,W$1,$A227,$A227))))</f>
        <v>#N/A Requesting Data...</v>
      </c>
    </row>
    <row r="228" spans="1:23" x14ac:dyDescent="0.2">
      <c r="A228" s="9">
        <f>IF(A227="","",IF(WORKDAY(A227,-1,config_Holiday_Calendar_US)&lt;config!$I$10,"",WORKDAY(A227,-1,config_Holiday_Calendar_US)))</f>
        <v>42502</v>
      </c>
      <c r="B228" s="8" t="e">
        <f t="shared" si="3"/>
        <v>#VALUE!</v>
      </c>
      <c r="C228" s="8" t="str">
        <f>IF(A228="","",_xll.BDH(config!$H$4,C$1,$A228,$A228))</f>
        <v>#N/A Requesting Data...</v>
      </c>
      <c r="D228" s="8" t="str">
        <f>IF($A228="","",_xll.BDH(config!$H$4,D$1,$A228,$A228))</f>
        <v>#N/A Requesting Data...</v>
      </c>
      <c r="E228" s="8">
        <f>IF($A228="","",IF(ISNUMBER(FIND("IMPVOL",E$1)),_xll.BDH(config!$G$4,E$1,WORKDAY($A228,-1,config_Holiday_Calendar_US),WORKDAY($A228,-1,config_Holiday_Calendar_US)),IF(ISNUMBER(_xll.BDH(config!$G$4,E$1,$A228,$A228)),_xll.BDH(config!$G$4,E$1,$A228,$A228),_xll.BDH(config!$G$5,E$1,$A228,$A228))))</f>
        <v>46</v>
      </c>
      <c r="F228" s="8">
        <f>IF($A228="","",IF(ISNUMBER(FIND("IMPVOL",F$1)),_xll.BDH(config!$G$4,F$1,WORKDAY($A228,-1,config_Holiday_Calendar_US),WORKDAY($A228,-1,config_Holiday_Calendar_US)),IF(ISNUMBER(_xll.BDH(config!$G$4,F$1,$A228,$A228)),_xll.BDH(config!$G$4,F$1,$A228,$A228),_xll.BDH(config!$G$5,F$1,$A228,$A228))))</f>
        <v>47.02</v>
      </c>
      <c r="G228" s="8">
        <f>IF($A228="","",IF(ISNUMBER(FIND("IMPVOL",G$1)),_xll.BDH(config!$G$4,G$1,WORKDAY($A228,-1,config_Holiday_Calendar_US),WORKDAY($A228,-1,config_Holiday_Calendar_US)),IF(ISNUMBER(_xll.BDH(config!$G$4,G$1,$A228,$A228)),_xll.BDH(config!$G$4,G$1,$A228,$A228),_xll.BDH(config!$G$5,G$1,$A228,$A228))))</f>
        <v>46.34</v>
      </c>
      <c r="H228" s="8">
        <f>IF($A228="","",IF(ISNUMBER(FIND("IMPVOL",H$1)),_xll.BDH(config!$G$4,H$1,WORKDAY($A228,-1,config_Holiday_Calendar_US),WORKDAY($A228,-1,config_Holiday_Calendar_US)),IF(ISNUMBER(_xll.BDH(config!$G$4,H$1,$A228,$A228)),_xll.BDH(config!$G$4,H$1,$A228,$A228),_xll.BDH(config!$G$5,H$1,$A228,$A228))))</f>
        <v>280262</v>
      </c>
      <c r="I228" s="8" t="str">
        <f>IF($A228="","",IF(ISNUMBER(FIND("IMPVOL",I$1)),_xll.BDH(config!$G$4,I$1,WORKDAY($A228,-1,config_Holiday_Calendar_US),WORKDAY($A228,-1,config_Holiday_Calendar_US)),IF(ISNUMBER(_xll.BDH(config!$G$4,I$1,$A228,$A228)),_xll.BDH(config!$G$4,I$1,$A228,$A228),_xll.BDH(config!$G$5,I$1,$A228,$A228))))</f>
        <v>#N/A Requesting Data...</v>
      </c>
      <c r="J228" s="8" t="str">
        <f>IF($A228="","",IF(ISNUMBER(FIND("IMPVOL",J$1)),_xll.BDH(config!$G$4,J$1,WORKDAY($A228,-1,config_Holiday_Calendar_US),WORKDAY($A228,-1,config_Holiday_Calendar_US)),IF(ISNUMBER(_xll.BDH(config!$G$4,J$1,$A228,$A228)),_xll.BDH(config!$G$4,J$1,$A228,$A228),_xll.BDH(config!$G$5,J$1,$A228,$A228))))</f>
        <v>#N/A Requesting Data...</v>
      </c>
      <c r="K228" s="8" t="str">
        <f>IF($A228="","",IF(ISNUMBER(FIND("IMPVOL",K$1)),_xll.BDH(config!$G$4,K$1,WORKDAY($A228,-1,config_Holiday_Calendar_US),WORKDAY($A228,-1,config_Holiday_Calendar_US)),IF(ISNUMBER(_xll.BDH(config!$G$4,K$1,$A228,$A228)),_xll.BDH(config!$G$4,K$1,$A228,$A228),_xll.BDH(config!$G$5,K$1,$A228,$A228))))</f>
        <v>#N/A Requesting Data...</v>
      </c>
      <c r="L228" s="8" t="str">
        <f>IF($A228="","",IF(ISNUMBER(FIND("IMPVOL",L$1)),_xll.BDH(config!$G$4,L$1,WORKDAY($A228,-1,config_Holiday_Calendar_US),WORKDAY($A228,-1,config_Holiday_Calendar_US)),IF(ISNUMBER(_xll.BDH(config!$G$4,L$1,$A228,$A228)),_xll.BDH(config!$G$4,L$1,$A228,$A228),_xll.BDH(config!$G$5,L$1,$A228,$A228))))</f>
        <v>#N/A Requesting Data...</v>
      </c>
      <c r="M228" s="8" t="str">
        <f>IF($A228="","",IF(ISNUMBER(FIND("IMPVOL",M$1)),_xll.BDH(config!$G$4,M$1,WORKDAY($A228,-1,config_Holiday_Calendar_US),WORKDAY($A228,-1,config_Holiday_Calendar_US)),IF(ISNUMBER(_xll.BDH(config!$G$4,M$1,$A228,$A228)),_xll.BDH(config!$G$4,M$1,$A228,$A228),_xll.BDH(config!$G$5,M$1,$A228,$A228))))</f>
        <v>#N/A Requesting Data...</v>
      </c>
      <c r="N228" s="8" t="str">
        <f>IF($A228="","",IF(ISNUMBER(FIND("IMPVOL",N$1)),_xll.BDH(config!$G$4,N$1,WORKDAY($A228,-1,config_Holiday_Calendar_US),WORKDAY($A228,-1,config_Holiday_Calendar_US)),IF(ISNUMBER(_xll.BDH(config!$G$4,N$1,$A228,$A228)),_xll.BDH(config!$G$4,N$1,$A228,$A228),_xll.BDH(config!$G$5,N$1,$A228,$A228))))</f>
        <v>#N/A Requesting Data...</v>
      </c>
      <c r="O228" s="8" t="str">
        <f>IF($A228="","",IF(ISNUMBER(FIND("IMPVOL",O$1)),_xll.BDH(config!$G$4,O$1,WORKDAY($A228,-1,config_Holiday_Calendar_US),WORKDAY($A228,-1,config_Holiday_Calendar_US)),IF(ISNUMBER(_xll.BDH(config!$G$4,O$1,$A228,$A228)),_xll.BDH(config!$G$4,O$1,$A228,$A228),_xll.BDH(config!$G$5,O$1,$A228,$A228))))</f>
        <v>#N/A Requesting Data...</v>
      </c>
      <c r="P228" s="8" t="str">
        <f>IF($A228="","",IF(ISNUMBER(FIND("IMPVOL",P$1)),_xll.BDH(config!$G$4,P$1,WORKDAY($A228,-1,config_Holiday_Calendar_US),WORKDAY($A228,-1,config_Holiday_Calendar_US)),IF(ISNUMBER(_xll.BDH(config!$G$4,P$1,$A228,$A228)),_xll.BDH(config!$G$4,P$1,$A228,$A228),_xll.BDH(config!$G$5,P$1,$A228,$A228))))</f>
        <v>#N/A Requesting Data...</v>
      </c>
      <c r="Q228" s="8">
        <f>IF($A228="","",IF(ISNUMBER(FIND("IMPVOL",Q$1)),_xll.BDH(config!$G$4,Q$1,WORKDAY($A228,-1,config_Holiday_Calendar_US),WORKDAY($A228,-1,config_Holiday_Calendar_US)),IF(ISNUMBER(_xll.BDH(config!$G$4,Q$1,$A228,$A228)),_xll.BDH(config!$G$4,Q$1,$A228,$A228),_xll.BDH(config!$G$5,Q$1,$A228,$A228))))</f>
        <v>38.31</v>
      </c>
      <c r="R228" s="8">
        <f>IF($A228="","",IF(ISNUMBER(FIND("IMPVOL",R$1)),_xll.BDH(config!$G$4,R$1,WORKDAY($A228,-1,config_Holiday_Calendar_US),WORKDAY($A228,-1,config_Holiday_Calendar_US)),IF(ISNUMBER(_xll.BDH(config!$G$4,R$1,$A228,$A228)),_xll.BDH(config!$G$4,R$1,$A228,$A228),_xll.BDH(config!$G$5,R$1,$A228,$A228))))</f>
        <v>41.31</v>
      </c>
      <c r="S228" s="8" t="str">
        <f>IF($A228="","",IF(ISNUMBER(FIND("IMPVOL",S$1)),_xll.BDH(config!$G$4,S$1,WORKDAY($A228,-1,config_Holiday_Calendar_US),WORKDAY($A228,-1,config_Holiday_Calendar_US)),IF(ISNUMBER(_xll.BDH(config!$G$4,S$1,$A228,$A228)),_xll.BDH(config!$G$4,S$1,$A228,$A228),_xll.BDH(config!$G$5,S$1,$A228,$A228))))</f>
        <v>#N/A Requesting Data...</v>
      </c>
      <c r="T228" s="8" t="str">
        <f>IF($A228="","",IF(ISNUMBER(FIND("IMPVOL",T$1)),_xll.BDH(config!$G$4,T$1,WORKDAY($A228,-1,config_Holiday_Calendar_US),WORKDAY($A228,-1,config_Holiday_Calendar_US)),IF(ISNUMBER(_xll.BDH(config!$G$4,T$1,$A228,$A228)),_xll.BDH(config!$G$4,T$1,$A228,$A228),_xll.BDH(config!$G$5,T$1,$A228,$A228))))</f>
        <v>#N/A Requesting Data...</v>
      </c>
      <c r="U228" s="8" t="str">
        <f>IF($A228="","",IF(ISNUMBER(FIND("IMPVOL",U$1)),_xll.BDH(config!$G$4,U$1,WORKDAY($A228,-1,config_Holiday_Calendar_US),WORKDAY($A228,-1,config_Holiday_Calendar_US)),IF(ISNUMBER(_xll.BDH(config!$G$4,U$1,$A228,$A228)),_xll.BDH(config!$G$4,U$1,$A228,$A228),_xll.BDH(config!$G$5,U$1,$A228,$A228))))</f>
        <v>#N/A Requesting Data...</v>
      </c>
      <c r="V228" s="8" t="str">
        <f>IF($A228="","",IF(ISNUMBER(FIND("IMPVOL",V$1)),_xll.BDH(config!$G$4,V$1,WORKDAY($A228,-1,config_Holiday_Calendar_US),WORKDAY($A228,-1,config_Holiday_Calendar_US)),IF(ISNUMBER(_xll.BDH(config!$G$4,V$1,$A228,$A228)),_xll.BDH(config!$G$4,V$1,$A228,$A228),_xll.BDH(config!$G$5,V$1,$A228,$A228))))</f>
        <v>#N/A Requesting Data...</v>
      </c>
      <c r="W228" s="8" t="str">
        <f>IF($A228="","",IF(ISNUMBER(FIND("IMPVOL",W$1)),_xll.BDH(config!$G$4,W$1,WORKDAY($A228,-1,config_Holiday_Calendar_US),WORKDAY($A228,-1,config_Holiday_Calendar_US)),IF(ISNUMBER(_xll.BDH(config!$G$4,W$1,$A228,$A228)),_xll.BDH(config!$G$4,W$1,$A228,$A228),_xll.BDH(config!$G$5,W$1,$A228,$A228))))</f>
        <v>#N/A Requesting Data...</v>
      </c>
    </row>
    <row r="229" spans="1:23" x14ac:dyDescent="0.2">
      <c r="A229" s="9">
        <f>IF(A228="","",IF(WORKDAY(A228,-1,config_Holiday_Calendar_US)&lt;config!$I$10,"",WORKDAY(A228,-1,config_Holiday_Calendar_US)))</f>
        <v>42501</v>
      </c>
      <c r="B229" s="8" t="e">
        <f t="shared" si="3"/>
        <v>#VALUE!</v>
      </c>
      <c r="C229" s="8" t="str">
        <f>IF(A229="","",_xll.BDH(config!$H$4,C$1,$A229,$A229))</f>
        <v>#N/A Requesting Data...</v>
      </c>
      <c r="D229" s="8" t="str">
        <f>IF($A229="","",_xll.BDH(config!$H$4,D$1,$A229,$A229))</f>
        <v>#N/A Requesting Data...</v>
      </c>
      <c r="E229" s="8">
        <f>IF($A229="","",IF(ISNUMBER(FIND("IMPVOL",E$1)),_xll.BDH(config!$G$4,E$1,WORKDAY($A229,-1,config_Holiday_Calendar_US),WORKDAY($A229,-1,config_Holiday_Calendar_US)),IF(ISNUMBER(_xll.BDH(config!$G$4,E$1,$A229,$A229)),_xll.BDH(config!$G$4,E$1,$A229,$A229),_xll.BDH(config!$G$5,E$1,$A229,$A229))))</f>
        <v>44.6</v>
      </c>
      <c r="F229" s="8">
        <f>IF($A229="","",IF(ISNUMBER(FIND("IMPVOL",F$1)),_xll.BDH(config!$G$4,F$1,WORKDAY($A229,-1,config_Holiday_Calendar_US),WORKDAY($A229,-1,config_Holiday_Calendar_US)),IF(ISNUMBER(_xll.BDH(config!$G$4,F$1,$A229,$A229)),_xll.BDH(config!$G$4,F$1,$A229,$A229),_xll.BDH(config!$G$5,F$1,$A229,$A229))))</f>
        <v>46.36</v>
      </c>
      <c r="G229" s="8">
        <f>IF($A229="","",IF(ISNUMBER(FIND("IMPVOL",G$1)),_xll.BDH(config!$G$4,G$1,WORKDAY($A229,-1,config_Holiday_Calendar_US),WORKDAY($A229,-1,config_Holiday_Calendar_US)),IF(ISNUMBER(_xll.BDH(config!$G$4,G$1,$A229,$A229)),_xll.BDH(config!$G$4,G$1,$A229,$A229),_xll.BDH(config!$G$5,G$1,$A229,$A229))))</f>
        <v>44.66</v>
      </c>
      <c r="H229" s="8">
        <f>IF($A229="","",IF(ISNUMBER(FIND("IMPVOL",H$1)),_xll.BDH(config!$G$4,H$1,WORKDAY($A229,-1,config_Holiday_Calendar_US),WORKDAY($A229,-1,config_Holiday_Calendar_US)),IF(ISNUMBER(_xll.BDH(config!$G$4,H$1,$A229,$A229)),_xll.BDH(config!$G$4,H$1,$A229,$A229),_xll.BDH(config!$G$5,H$1,$A229,$A229))))</f>
        <v>358584</v>
      </c>
      <c r="I229" s="8" t="str">
        <f>IF($A229="","",IF(ISNUMBER(FIND("IMPVOL",I$1)),_xll.BDH(config!$G$4,I$1,WORKDAY($A229,-1,config_Holiday_Calendar_US),WORKDAY($A229,-1,config_Holiday_Calendar_US)),IF(ISNUMBER(_xll.BDH(config!$G$4,I$1,$A229,$A229)),_xll.BDH(config!$G$4,I$1,$A229,$A229),_xll.BDH(config!$G$5,I$1,$A229,$A229))))</f>
        <v>#N/A Requesting Data...</v>
      </c>
      <c r="J229" s="8" t="str">
        <f>IF($A229="","",IF(ISNUMBER(FIND("IMPVOL",J$1)),_xll.BDH(config!$G$4,J$1,WORKDAY($A229,-1,config_Holiday_Calendar_US),WORKDAY($A229,-1,config_Holiday_Calendar_US)),IF(ISNUMBER(_xll.BDH(config!$G$4,J$1,$A229,$A229)),_xll.BDH(config!$G$4,J$1,$A229,$A229),_xll.BDH(config!$G$5,J$1,$A229,$A229))))</f>
        <v>#N/A Requesting Data...</v>
      </c>
      <c r="K229" s="8" t="str">
        <f>IF($A229="","",IF(ISNUMBER(FIND("IMPVOL",K$1)),_xll.BDH(config!$G$4,K$1,WORKDAY($A229,-1,config_Holiday_Calendar_US),WORKDAY($A229,-1,config_Holiday_Calendar_US)),IF(ISNUMBER(_xll.BDH(config!$G$4,K$1,$A229,$A229)),_xll.BDH(config!$G$4,K$1,$A229,$A229),_xll.BDH(config!$G$5,K$1,$A229,$A229))))</f>
        <v>#N/A Requesting Data...</v>
      </c>
      <c r="L229" s="8" t="str">
        <f>IF($A229="","",IF(ISNUMBER(FIND("IMPVOL",L$1)),_xll.BDH(config!$G$4,L$1,WORKDAY($A229,-1,config_Holiday_Calendar_US),WORKDAY($A229,-1,config_Holiday_Calendar_US)),IF(ISNUMBER(_xll.BDH(config!$G$4,L$1,$A229,$A229)),_xll.BDH(config!$G$4,L$1,$A229,$A229),_xll.BDH(config!$G$5,L$1,$A229,$A229))))</f>
        <v>#N/A Requesting Data...</v>
      </c>
      <c r="M229" s="8" t="str">
        <f>IF($A229="","",IF(ISNUMBER(FIND("IMPVOL",M$1)),_xll.BDH(config!$G$4,M$1,WORKDAY($A229,-1,config_Holiday_Calendar_US),WORKDAY($A229,-1,config_Holiday_Calendar_US)),IF(ISNUMBER(_xll.BDH(config!$G$4,M$1,$A229,$A229)),_xll.BDH(config!$G$4,M$1,$A229,$A229),_xll.BDH(config!$G$5,M$1,$A229,$A229))))</f>
        <v>#N/A Requesting Data...</v>
      </c>
      <c r="N229" s="8" t="str">
        <f>IF($A229="","",IF(ISNUMBER(FIND("IMPVOL",N$1)),_xll.BDH(config!$G$4,N$1,WORKDAY($A229,-1,config_Holiday_Calendar_US),WORKDAY($A229,-1,config_Holiday_Calendar_US)),IF(ISNUMBER(_xll.BDH(config!$G$4,N$1,$A229,$A229)),_xll.BDH(config!$G$4,N$1,$A229,$A229),_xll.BDH(config!$G$5,N$1,$A229,$A229))))</f>
        <v>#N/A Requesting Data...</v>
      </c>
      <c r="O229" s="8" t="str">
        <f>IF($A229="","",IF(ISNUMBER(FIND("IMPVOL",O$1)),_xll.BDH(config!$G$4,O$1,WORKDAY($A229,-1,config_Holiday_Calendar_US),WORKDAY($A229,-1,config_Holiday_Calendar_US)),IF(ISNUMBER(_xll.BDH(config!$G$4,O$1,$A229,$A229)),_xll.BDH(config!$G$4,O$1,$A229,$A229),_xll.BDH(config!$G$5,O$1,$A229,$A229))))</f>
        <v>#N/A Requesting Data...</v>
      </c>
      <c r="P229" s="8" t="str">
        <f>IF($A229="","",IF(ISNUMBER(FIND("IMPVOL",P$1)),_xll.BDH(config!$G$4,P$1,WORKDAY($A229,-1,config_Holiday_Calendar_US),WORKDAY($A229,-1,config_Holiday_Calendar_US)),IF(ISNUMBER(_xll.BDH(config!$G$4,P$1,$A229,$A229)),_xll.BDH(config!$G$4,P$1,$A229,$A229),_xll.BDH(config!$G$5,P$1,$A229,$A229))))</f>
        <v>#N/A Requesting Data...</v>
      </c>
      <c r="Q229" s="8">
        <f>IF($A229="","",IF(ISNUMBER(FIND("IMPVOL",Q$1)),_xll.BDH(config!$G$4,Q$1,WORKDAY($A229,-1,config_Holiday_Calendar_US),WORKDAY($A229,-1,config_Holiday_Calendar_US)),IF(ISNUMBER(_xll.BDH(config!$G$4,Q$1,$A229,$A229)),_xll.BDH(config!$G$4,Q$1,$A229,$A229),_xll.BDH(config!$G$5,Q$1,$A229,$A229))))</f>
        <v>38.119999999999997</v>
      </c>
      <c r="R229" s="8">
        <f>IF($A229="","",IF(ISNUMBER(FIND("IMPVOL",R$1)),_xll.BDH(config!$G$4,R$1,WORKDAY($A229,-1,config_Holiday_Calendar_US),WORKDAY($A229,-1,config_Holiday_Calendar_US)),IF(ISNUMBER(_xll.BDH(config!$G$4,R$1,$A229,$A229)),_xll.BDH(config!$G$4,R$1,$A229,$A229),_xll.BDH(config!$G$5,R$1,$A229,$A229))))</f>
        <v>43.65</v>
      </c>
      <c r="S229" s="8" t="str">
        <f>IF($A229="","",IF(ISNUMBER(FIND("IMPVOL",S$1)),_xll.BDH(config!$G$4,S$1,WORKDAY($A229,-1,config_Holiday_Calendar_US),WORKDAY($A229,-1,config_Holiday_Calendar_US)),IF(ISNUMBER(_xll.BDH(config!$G$4,S$1,$A229,$A229)),_xll.BDH(config!$G$4,S$1,$A229,$A229),_xll.BDH(config!$G$5,S$1,$A229,$A229))))</f>
        <v>#N/A Requesting Data...</v>
      </c>
      <c r="T229" s="8" t="str">
        <f>IF($A229="","",IF(ISNUMBER(FIND("IMPVOL",T$1)),_xll.BDH(config!$G$4,T$1,WORKDAY($A229,-1,config_Holiday_Calendar_US),WORKDAY($A229,-1,config_Holiday_Calendar_US)),IF(ISNUMBER(_xll.BDH(config!$G$4,T$1,$A229,$A229)),_xll.BDH(config!$G$4,T$1,$A229,$A229),_xll.BDH(config!$G$5,T$1,$A229,$A229))))</f>
        <v>#N/A Requesting Data...</v>
      </c>
      <c r="U229" s="8" t="str">
        <f>IF($A229="","",IF(ISNUMBER(FIND("IMPVOL",U$1)),_xll.BDH(config!$G$4,U$1,WORKDAY($A229,-1,config_Holiday_Calendar_US),WORKDAY($A229,-1,config_Holiday_Calendar_US)),IF(ISNUMBER(_xll.BDH(config!$G$4,U$1,$A229,$A229)),_xll.BDH(config!$G$4,U$1,$A229,$A229),_xll.BDH(config!$G$5,U$1,$A229,$A229))))</f>
        <v>#N/A Requesting Data...</v>
      </c>
      <c r="V229" s="8" t="str">
        <f>IF($A229="","",IF(ISNUMBER(FIND("IMPVOL",V$1)),_xll.BDH(config!$G$4,V$1,WORKDAY($A229,-1,config_Holiday_Calendar_US),WORKDAY($A229,-1,config_Holiday_Calendar_US)),IF(ISNUMBER(_xll.BDH(config!$G$4,V$1,$A229,$A229)),_xll.BDH(config!$G$4,V$1,$A229,$A229),_xll.BDH(config!$G$5,V$1,$A229,$A229))))</f>
        <v>#N/A Requesting Data...</v>
      </c>
      <c r="W229" s="8" t="str">
        <f>IF($A229="","",IF(ISNUMBER(FIND("IMPVOL",W$1)),_xll.BDH(config!$G$4,W$1,WORKDAY($A229,-1,config_Holiday_Calendar_US),WORKDAY($A229,-1,config_Holiday_Calendar_US)),IF(ISNUMBER(_xll.BDH(config!$G$4,W$1,$A229,$A229)),_xll.BDH(config!$G$4,W$1,$A229,$A229),_xll.BDH(config!$G$5,W$1,$A229,$A229))))</f>
        <v>#N/A Requesting Data...</v>
      </c>
    </row>
    <row r="230" spans="1:23" x14ac:dyDescent="0.2">
      <c r="A230" s="9">
        <f>IF(A229="","",IF(WORKDAY(A229,-1,config_Holiday_Calendar_US)&lt;config!$I$10,"",WORKDAY(A229,-1,config_Holiday_Calendar_US)))</f>
        <v>42500</v>
      </c>
      <c r="B230" s="8" t="e">
        <f t="shared" si="3"/>
        <v>#VALUE!</v>
      </c>
      <c r="C230" s="8" t="str">
        <f>IF(A230="","",_xll.BDH(config!$H$4,C$1,$A230,$A230))</f>
        <v>#N/A Requesting Data...</v>
      </c>
      <c r="D230" s="8" t="str">
        <f>IF($A230="","",_xll.BDH(config!$H$4,D$1,$A230,$A230))</f>
        <v>#N/A Requesting Data...</v>
      </c>
      <c r="E230" s="8">
        <f>IF($A230="","",IF(ISNUMBER(FIND("IMPVOL",E$1)),_xll.BDH(config!$G$4,E$1,WORKDAY($A230,-1,config_Holiday_Calendar_US),WORKDAY($A230,-1,config_Holiday_Calendar_US)),IF(ISNUMBER(_xll.BDH(config!$G$4,E$1,$A230,$A230)),_xll.BDH(config!$G$4,E$1,$A230,$A230),_xll.BDH(config!$G$5,E$1,$A230,$A230))))</f>
        <v>43.25</v>
      </c>
      <c r="F230" s="8">
        <f>IF($A230="","",IF(ISNUMBER(FIND("IMPVOL",F$1)),_xll.BDH(config!$G$4,F$1,WORKDAY($A230,-1,config_Holiday_Calendar_US),WORKDAY($A230,-1,config_Holiday_Calendar_US)),IF(ISNUMBER(_xll.BDH(config!$G$4,F$1,$A230,$A230)),_xll.BDH(config!$G$4,F$1,$A230,$A230),_xll.BDH(config!$G$5,F$1,$A230,$A230))))</f>
        <v>44.79</v>
      </c>
      <c r="G230" s="8">
        <f>IF($A230="","",IF(ISNUMBER(FIND("IMPVOL",G$1)),_xll.BDH(config!$G$4,G$1,WORKDAY($A230,-1,config_Holiday_Calendar_US),WORKDAY($A230,-1,config_Holiday_Calendar_US)),IF(ISNUMBER(_xll.BDH(config!$G$4,G$1,$A230,$A230)),_xll.BDH(config!$G$4,G$1,$A230,$A230),_xll.BDH(config!$G$5,G$1,$A230,$A230))))</f>
        <v>43.65</v>
      </c>
      <c r="H230" s="8">
        <f>IF($A230="","",IF(ISNUMBER(FIND("IMPVOL",H$1)),_xll.BDH(config!$G$4,H$1,WORKDAY($A230,-1,config_Holiday_Calendar_US),WORKDAY($A230,-1,config_Holiday_Calendar_US)),IF(ISNUMBER(_xll.BDH(config!$G$4,H$1,$A230,$A230)),_xll.BDH(config!$G$4,H$1,$A230,$A230),_xll.BDH(config!$G$5,H$1,$A230,$A230))))</f>
        <v>257108</v>
      </c>
      <c r="I230" s="8" t="str">
        <f>IF($A230="","",IF(ISNUMBER(FIND("IMPVOL",I$1)),_xll.BDH(config!$G$4,I$1,WORKDAY($A230,-1,config_Holiday_Calendar_US),WORKDAY($A230,-1,config_Holiday_Calendar_US)),IF(ISNUMBER(_xll.BDH(config!$G$4,I$1,$A230,$A230)),_xll.BDH(config!$G$4,I$1,$A230,$A230),_xll.BDH(config!$G$5,I$1,$A230,$A230))))</f>
        <v>#N/A Requesting Data...</v>
      </c>
      <c r="J230" s="8" t="str">
        <f>IF($A230="","",IF(ISNUMBER(FIND("IMPVOL",J$1)),_xll.BDH(config!$G$4,J$1,WORKDAY($A230,-1,config_Holiday_Calendar_US),WORKDAY($A230,-1,config_Holiday_Calendar_US)),IF(ISNUMBER(_xll.BDH(config!$G$4,J$1,$A230,$A230)),_xll.BDH(config!$G$4,J$1,$A230,$A230),_xll.BDH(config!$G$5,J$1,$A230,$A230))))</f>
        <v>#N/A Requesting Data...</v>
      </c>
      <c r="K230" s="8" t="str">
        <f>IF($A230="","",IF(ISNUMBER(FIND("IMPVOL",K$1)),_xll.BDH(config!$G$4,K$1,WORKDAY($A230,-1,config_Holiday_Calendar_US),WORKDAY($A230,-1,config_Holiday_Calendar_US)),IF(ISNUMBER(_xll.BDH(config!$G$4,K$1,$A230,$A230)),_xll.BDH(config!$G$4,K$1,$A230,$A230),_xll.BDH(config!$G$5,K$1,$A230,$A230))))</f>
        <v>#N/A Requesting Data...</v>
      </c>
      <c r="L230" s="8" t="str">
        <f>IF($A230="","",IF(ISNUMBER(FIND("IMPVOL",L$1)),_xll.BDH(config!$G$4,L$1,WORKDAY($A230,-1,config_Holiday_Calendar_US),WORKDAY($A230,-1,config_Holiday_Calendar_US)),IF(ISNUMBER(_xll.BDH(config!$G$4,L$1,$A230,$A230)),_xll.BDH(config!$G$4,L$1,$A230,$A230),_xll.BDH(config!$G$5,L$1,$A230,$A230))))</f>
        <v>#N/A Requesting Data...</v>
      </c>
      <c r="M230" s="8" t="str">
        <f>IF($A230="","",IF(ISNUMBER(FIND("IMPVOL",M$1)),_xll.BDH(config!$G$4,M$1,WORKDAY($A230,-1,config_Holiday_Calendar_US),WORKDAY($A230,-1,config_Holiday_Calendar_US)),IF(ISNUMBER(_xll.BDH(config!$G$4,M$1,$A230,$A230)),_xll.BDH(config!$G$4,M$1,$A230,$A230),_xll.BDH(config!$G$5,M$1,$A230,$A230))))</f>
        <v>#N/A Requesting Data...</v>
      </c>
      <c r="N230" s="8" t="str">
        <f>IF($A230="","",IF(ISNUMBER(FIND("IMPVOL",N$1)),_xll.BDH(config!$G$4,N$1,WORKDAY($A230,-1,config_Holiday_Calendar_US),WORKDAY($A230,-1,config_Holiday_Calendar_US)),IF(ISNUMBER(_xll.BDH(config!$G$4,N$1,$A230,$A230)),_xll.BDH(config!$G$4,N$1,$A230,$A230),_xll.BDH(config!$G$5,N$1,$A230,$A230))))</f>
        <v>#N/A Requesting Data...</v>
      </c>
      <c r="O230" s="8" t="str">
        <f>IF($A230="","",IF(ISNUMBER(FIND("IMPVOL",O$1)),_xll.BDH(config!$G$4,O$1,WORKDAY($A230,-1,config_Holiday_Calendar_US),WORKDAY($A230,-1,config_Holiday_Calendar_US)),IF(ISNUMBER(_xll.BDH(config!$G$4,O$1,$A230,$A230)),_xll.BDH(config!$G$4,O$1,$A230,$A230),_xll.BDH(config!$G$5,O$1,$A230,$A230))))</f>
        <v>#N/A Requesting Data...</v>
      </c>
      <c r="P230" s="8" t="str">
        <f>IF($A230="","",IF(ISNUMBER(FIND("IMPVOL",P$1)),_xll.BDH(config!$G$4,P$1,WORKDAY($A230,-1,config_Holiday_Calendar_US),WORKDAY($A230,-1,config_Holiday_Calendar_US)),IF(ISNUMBER(_xll.BDH(config!$G$4,P$1,$A230,$A230)),_xll.BDH(config!$G$4,P$1,$A230,$A230),_xll.BDH(config!$G$5,P$1,$A230,$A230))))</f>
        <v>#N/A Requesting Data...</v>
      </c>
      <c r="Q230" s="8">
        <f>IF($A230="","",IF(ISNUMBER(FIND("IMPVOL",Q$1)),_xll.BDH(config!$G$4,Q$1,WORKDAY($A230,-1,config_Holiday_Calendar_US),WORKDAY($A230,-1,config_Holiday_Calendar_US)),IF(ISNUMBER(_xll.BDH(config!$G$4,Q$1,$A230,$A230)),_xll.BDH(config!$G$4,Q$1,$A230,$A230),_xll.BDH(config!$G$5,Q$1,$A230,$A230))))</f>
        <v>32.99</v>
      </c>
      <c r="R230" s="8">
        <f>IF($A230="","",IF(ISNUMBER(FIND("IMPVOL",R$1)),_xll.BDH(config!$G$4,R$1,WORKDAY($A230,-1,config_Holiday_Calendar_US),WORKDAY($A230,-1,config_Holiday_Calendar_US)),IF(ISNUMBER(_xll.BDH(config!$G$4,R$1,$A230,$A230)),_xll.BDH(config!$G$4,R$1,$A230,$A230),_xll.BDH(config!$G$5,R$1,$A230,$A230))))</f>
        <v>42.65</v>
      </c>
      <c r="S230" s="8" t="str">
        <f>IF($A230="","",IF(ISNUMBER(FIND("IMPVOL",S$1)),_xll.BDH(config!$G$4,S$1,WORKDAY($A230,-1,config_Holiday_Calendar_US),WORKDAY($A230,-1,config_Holiday_Calendar_US)),IF(ISNUMBER(_xll.BDH(config!$G$4,S$1,$A230,$A230)),_xll.BDH(config!$G$4,S$1,$A230,$A230),_xll.BDH(config!$G$5,S$1,$A230,$A230))))</f>
        <v>#N/A Requesting Data...</v>
      </c>
      <c r="T230" s="8" t="str">
        <f>IF($A230="","",IF(ISNUMBER(FIND("IMPVOL",T$1)),_xll.BDH(config!$G$4,T$1,WORKDAY($A230,-1,config_Holiday_Calendar_US),WORKDAY($A230,-1,config_Holiday_Calendar_US)),IF(ISNUMBER(_xll.BDH(config!$G$4,T$1,$A230,$A230)),_xll.BDH(config!$G$4,T$1,$A230,$A230),_xll.BDH(config!$G$5,T$1,$A230,$A230))))</f>
        <v>#N/A Requesting Data...</v>
      </c>
      <c r="U230" s="8" t="str">
        <f>IF($A230="","",IF(ISNUMBER(FIND("IMPVOL",U$1)),_xll.BDH(config!$G$4,U$1,WORKDAY($A230,-1,config_Holiday_Calendar_US),WORKDAY($A230,-1,config_Holiday_Calendar_US)),IF(ISNUMBER(_xll.BDH(config!$G$4,U$1,$A230,$A230)),_xll.BDH(config!$G$4,U$1,$A230,$A230),_xll.BDH(config!$G$5,U$1,$A230,$A230))))</f>
        <v>#N/A Requesting Data...</v>
      </c>
      <c r="V230" s="8" t="str">
        <f>IF($A230="","",IF(ISNUMBER(FIND("IMPVOL",V$1)),_xll.BDH(config!$G$4,V$1,WORKDAY($A230,-1,config_Holiday_Calendar_US),WORKDAY($A230,-1,config_Holiday_Calendar_US)),IF(ISNUMBER(_xll.BDH(config!$G$4,V$1,$A230,$A230)),_xll.BDH(config!$G$4,V$1,$A230,$A230),_xll.BDH(config!$G$5,V$1,$A230,$A230))))</f>
        <v>#N/A Requesting Data...</v>
      </c>
      <c r="W230" s="8" t="str">
        <f>IF($A230="","",IF(ISNUMBER(FIND("IMPVOL",W$1)),_xll.BDH(config!$G$4,W$1,WORKDAY($A230,-1,config_Holiday_Calendar_US),WORKDAY($A230,-1,config_Holiday_Calendar_US)),IF(ISNUMBER(_xll.BDH(config!$G$4,W$1,$A230,$A230)),_xll.BDH(config!$G$4,W$1,$A230,$A230),_xll.BDH(config!$G$5,W$1,$A230,$A230))))</f>
        <v>#N/A Requesting Data...</v>
      </c>
    </row>
    <row r="231" spans="1:23" x14ac:dyDescent="0.2">
      <c r="A231" s="9">
        <f>IF(A230="","",IF(WORKDAY(A230,-1,config_Holiday_Calendar_US)&lt;config!$I$10,"",WORKDAY(A230,-1,config_Holiday_Calendar_US)))</f>
        <v>42499</v>
      </c>
      <c r="B231" s="8" t="e">
        <f t="shared" si="3"/>
        <v>#VALUE!</v>
      </c>
      <c r="C231" s="8" t="str">
        <f>IF(A231="","",_xll.BDH(config!$H$4,C$1,$A231,$A231))</f>
        <v>#N/A Requesting Data...</v>
      </c>
      <c r="D231" s="8" t="str">
        <f>IF($A231="","",_xll.BDH(config!$H$4,D$1,$A231,$A231))</f>
        <v>#N/A Requesting Data...</v>
      </c>
      <c r="E231" s="8">
        <f>IF($A231="","",IF(ISNUMBER(FIND("IMPVOL",E$1)),_xll.BDH(config!$G$4,E$1,WORKDAY($A231,-1,config_Holiday_Calendar_US),WORKDAY($A231,-1,config_Holiday_Calendar_US)),IF(ISNUMBER(_xll.BDH(config!$G$4,E$1,$A231,$A231)),_xll.BDH(config!$G$4,E$1,$A231,$A231),_xll.BDH(config!$G$5,E$1,$A231,$A231))))</f>
        <v>45</v>
      </c>
      <c r="F231" s="8">
        <f>IF($A231="","",IF(ISNUMBER(FIND("IMPVOL",F$1)),_xll.BDH(config!$G$4,F$1,WORKDAY($A231,-1,config_Holiday_Calendar_US),WORKDAY($A231,-1,config_Holiday_Calendar_US)),IF(ISNUMBER(_xll.BDH(config!$G$4,F$1,$A231,$A231)),_xll.BDH(config!$G$4,F$1,$A231,$A231),_xll.BDH(config!$G$5,F$1,$A231,$A231))))</f>
        <v>45.94</v>
      </c>
      <c r="G231" s="8">
        <f>IF($A231="","",IF(ISNUMBER(FIND("IMPVOL",G$1)),_xll.BDH(config!$G$4,G$1,WORKDAY($A231,-1,config_Holiday_Calendar_US),WORKDAY($A231,-1,config_Holiday_Calendar_US)),IF(ISNUMBER(_xll.BDH(config!$G$4,G$1,$A231,$A231)),_xll.BDH(config!$G$4,G$1,$A231,$A231),_xll.BDH(config!$G$5,G$1,$A231,$A231))))</f>
        <v>43.87</v>
      </c>
      <c r="H231" s="8">
        <f>IF($A231="","",IF(ISNUMBER(FIND("IMPVOL",H$1)),_xll.BDH(config!$G$4,H$1,WORKDAY($A231,-1,config_Holiday_Calendar_US),WORKDAY($A231,-1,config_Holiday_Calendar_US)),IF(ISNUMBER(_xll.BDH(config!$G$4,H$1,$A231,$A231)),_xll.BDH(config!$G$4,H$1,$A231,$A231),_xll.BDH(config!$G$5,H$1,$A231,$A231))))</f>
        <v>293116</v>
      </c>
      <c r="I231" s="8" t="str">
        <f>IF($A231="","",IF(ISNUMBER(FIND("IMPVOL",I$1)),_xll.BDH(config!$G$4,I$1,WORKDAY($A231,-1,config_Holiday_Calendar_US),WORKDAY($A231,-1,config_Holiday_Calendar_US)),IF(ISNUMBER(_xll.BDH(config!$G$4,I$1,$A231,$A231)),_xll.BDH(config!$G$4,I$1,$A231,$A231),_xll.BDH(config!$G$5,I$1,$A231,$A231))))</f>
        <v>#N/A Requesting Data...</v>
      </c>
      <c r="J231" s="8" t="str">
        <f>IF($A231="","",IF(ISNUMBER(FIND("IMPVOL",J$1)),_xll.BDH(config!$G$4,J$1,WORKDAY($A231,-1,config_Holiday_Calendar_US),WORKDAY($A231,-1,config_Holiday_Calendar_US)),IF(ISNUMBER(_xll.BDH(config!$G$4,J$1,$A231,$A231)),_xll.BDH(config!$G$4,J$1,$A231,$A231),_xll.BDH(config!$G$5,J$1,$A231,$A231))))</f>
        <v>#N/A Requesting Data...</v>
      </c>
      <c r="K231" s="8" t="str">
        <f>IF($A231="","",IF(ISNUMBER(FIND("IMPVOL",K$1)),_xll.BDH(config!$G$4,K$1,WORKDAY($A231,-1,config_Holiday_Calendar_US),WORKDAY($A231,-1,config_Holiday_Calendar_US)),IF(ISNUMBER(_xll.BDH(config!$G$4,K$1,$A231,$A231)),_xll.BDH(config!$G$4,K$1,$A231,$A231),_xll.BDH(config!$G$5,K$1,$A231,$A231))))</f>
        <v>#N/A Requesting Data...</v>
      </c>
      <c r="L231" s="8" t="str">
        <f>IF($A231="","",IF(ISNUMBER(FIND("IMPVOL",L$1)),_xll.BDH(config!$G$4,L$1,WORKDAY($A231,-1,config_Holiday_Calendar_US),WORKDAY($A231,-1,config_Holiday_Calendar_US)),IF(ISNUMBER(_xll.BDH(config!$G$4,L$1,$A231,$A231)),_xll.BDH(config!$G$4,L$1,$A231,$A231),_xll.BDH(config!$G$5,L$1,$A231,$A231))))</f>
        <v>#N/A Requesting Data...</v>
      </c>
      <c r="M231" s="8" t="str">
        <f>IF($A231="","",IF(ISNUMBER(FIND("IMPVOL",M$1)),_xll.BDH(config!$G$4,M$1,WORKDAY($A231,-1,config_Holiday_Calendar_US),WORKDAY($A231,-1,config_Holiday_Calendar_US)),IF(ISNUMBER(_xll.BDH(config!$G$4,M$1,$A231,$A231)),_xll.BDH(config!$G$4,M$1,$A231,$A231),_xll.BDH(config!$G$5,M$1,$A231,$A231))))</f>
        <v>#N/A Requesting Data...</v>
      </c>
      <c r="N231" s="8" t="str">
        <f>IF($A231="","",IF(ISNUMBER(FIND("IMPVOL",N$1)),_xll.BDH(config!$G$4,N$1,WORKDAY($A231,-1,config_Holiday_Calendar_US),WORKDAY($A231,-1,config_Holiday_Calendar_US)),IF(ISNUMBER(_xll.BDH(config!$G$4,N$1,$A231,$A231)),_xll.BDH(config!$G$4,N$1,$A231,$A231),_xll.BDH(config!$G$5,N$1,$A231,$A231))))</f>
        <v>#N/A Requesting Data...</v>
      </c>
      <c r="O231" s="8" t="str">
        <f>IF($A231="","",IF(ISNUMBER(FIND("IMPVOL",O$1)),_xll.BDH(config!$G$4,O$1,WORKDAY($A231,-1,config_Holiday_Calendar_US),WORKDAY($A231,-1,config_Holiday_Calendar_US)),IF(ISNUMBER(_xll.BDH(config!$G$4,O$1,$A231,$A231)),_xll.BDH(config!$G$4,O$1,$A231,$A231),_xll.BDH(config!$G$5,O$1,$A231,$A231))))</f>
        <v>#N/A Requesting Data...</v>
      </c>
      <c r="P231" s="8" t="str">
        <f>IF($A231="","",IF(ISNUMBER(FIND("IMPVOL",P$1)),_xll.BDH(config!$G$4,P$1,WORKDAY($A231,-1,config_Holiday_Calendar_US),WORKDAY($A231,-1,config_Holiday_Calendar_US)),IF(ISNUMBER(_xll.BDH(config!$G$4,P$1,$A231,$A231)),_xll.BDH(config!$G$4,P$1,$A231,$A231),_xll.BDH(config!$G$5,P$1,$A231,$A231))))</f>
        <v>#N/A Requesting Data...</v>
      </c>
      <c r="Q231" s="8">
        <f>IF($A231="","",IF(ISNUMBER(FIND("IMPVOL",Q$1)),_xll.BDH(config!$G$4,Q$1,WORKDAY($A231,-1,config_Holiday_Calendar_US),WORKDAY($A231,-1,config_Holiday_Calendar_US)),IF(ISNUMBER(_xll.BDH(config!$G$4,Q$1,$A231,$A231)),_xll.BDH(config!$G$4,Q$1,$A231,$A231),_xll.BDH(config!$G$5,Q$1,$A231,$A231))))</f>
        <v>32.75</v>
      </c>
      <c r="R231" s="8">
        <f>IF($A231="","",IF(ISNUMBER(FIND("IMPVOL",R$1)),_xll.BDH(config!$G$4,R$1,WORKDAY($A231,-1,config_Holiday_Calendar_US),WORKDAY($A231,-1,config_Holiday_Calendar_US)),IF(ISNUMBER(_xll.BDH(config!$G$4,R$1,$A231,$A231)),_xll.BDH(config!$G$4,R$1,$A231,$A231),_xll.BDH(config!$G$5,R$1,$A231,$A231))))</f>
        <v>41.94</v>
      </c>
      <c r="S231" s="8" t="str">
        <f>IF($A231="","",IF(ISNUMBER(FIND("IMPVOL",S$1)),_xll.BDH(config!$G$4,S$1,WORKDAY($A231,-1,config_Holiday_Calendar_US),WORKDAY($A231,-1,config_Holiday_Calendar_US)),IF(ISNUMBER(_xll.BDH(config!$G$4,S$1,$A231,$A231)),_xll.BDH(config!$G$4,S$1,$A231,$A231),_xll.BDH(config!$G$5,S$1,$A231,$A231))))</f>
        <v>#N/A Requesting Data...</v>
      </c>
      <c r="T231" s="8" t="str">
        <f>IF($A231="","",IF(ISNUMBER(FIND("IMPVOL",T$1)),_xll.BDH(config!$G$4,T$1,WORKDAY($A231,-1,config_Holiday_Calendar_US),WORKDAY($A231,-1,config_Holiday_Calendar_US)),IF(ISNUMBER(_xll.BDH(config!$G$4,T$1,$A231,$A231)),_xll.BDH(config!$G$4,T$1,$A231,$A231),_xll.BDH(config!$G$5,T$1,$A231,$A231))))</f>
        <v>#N/A Requesting Data...</v>
      </c>
      <c r="U231" s="8" t="str">
        <f>IF($A231="","",IF(ISNUMBER(FIND("IMPVOL",U$1)),_xll.BDH(config!$G$4,U$1,WORKDAY($A231,-1,config_Holiday_Calendar_US),WORKDAY($A231,-1,config_Holiday_Calendar_US)),IF(ISNUMBER(_xll.BDH(config!$G$4,U$1,$A231,$A231)),_xll.BDH(config!$G$4,U$1,$A231,$A231),_xll.BDH(config!$G$5,U$1,$A231,$A231))))</f>
        <v>#N/A Requesting Data...</v>
      </c>
      <c r="V231" s="8" t="str">
        <f>IF($A231="","",IF(ISNUMBER(FIND("IMPVOL",V$1)),_xll.BDH(config!$G$4,V$1,WORKDAY($A231,-1,config_Holiday_Calendar_US),WORKDAY($A231,-1,config_Holiday_Calendar_US)),IF(ISNUMBER(_xll.BDH(config!$G$4,V$1,$A231,$A231)),_xll.BDH(config!$G$4,V$1,$A231,$A231),_xll.BDH(config!$G$5,V$1,$A231,$A231))))</f>
        <v>#N/A Requesting Data...</v>
      </c>
      <c r="W231" s="8" t="str">
        <f>IF($A231="","",IF(ISNUMBER(FIND("IMPVOL",W$1)),_xll.BDH(config!$G$4,W$1,WORKDAY($A231,-1,config_Holiday_Calendar_US),WORKDAY($A231,-1,config_Holiday_Calendar_US)),IF(ISNUMBER(_xll.BDH(config!$G$4,W$1,$A231,$A231)),_xll.BDH(config!$G$4,W$1,$A231,$A231),_xll.BDH(config!$G$5,W$1,$A231,$A231))))</f>
        <v>#N/A Requesting Data...</v>
      </c>
    </row>
    <row r="232" spans="1:23" x14ac:dyDescent="0.2">
      <c r="A232" s="9">
        <f>IF(A231="","",IF(WORKDAY(A231,-1,config_Holiday_Calendar_US)&lt;config!$I$10,"",WORKDAY(A231,-1,config_Holiday_Calendar_US)))</f>
        <v>42496</v>
      </c>
      <c r="B232" s="8" t="e">
        <f t="shared" si="3"/>
        <v>#VALUE!</v>
      </c>
      <c r="C232" s="8" t="str">
        <f>IF(A232="","",_xll.BDH(config!$H$4,C$1,$A232,$A232))</f>
        <v>#N/A Requesting Data...</v>
      </c>
      <c r="D232" s="8" t="str">
        <f>IF($A232="","",_xll.BDH(config!$H$4,D$1,$A232,$A232))</f>
        <v>#N/A Requesting Data...</v>
      </c>
      <c r="E232" s="8">
        <f>IF($A232="","",IF(ISNUMBER(FIND("IMPVOL",E$1)),_xll.BDH(config!$G$4,E$1,WORKDAY($A232,-1,config_Holiday_Calendar_US),WORKDAY($A232,-1,config_Holiday_Calendar_US)),IF(ISNUMBER(_xll.BDH(config!$G$4,E$1,$A232,$A232)),_xll.BDH(config!$G$4,E$1,$A232,$A232),_xll.BDH(config!$G$5,E$1,$A232,$A232))))</f>
        <v>44.52</v>
      </c>
      <c r="F232" s="8">
        <f>IF($A232="","",IF(ISNUMBER(FIND("IMPVOL",F$1)),_xll.BDH(config!$G$4,F$1,WORKDAY($A232,-1,config_Holiday_Calendar_US),WORKDAY($A232,-1,config_Holiday_Calendar_US)),IF(ISNUMBER(_xll.BDH(config!$G$4,F$1,$A232,$A232)),_xll.BDH(config!$G$4,F$1,$A232,$A232),_xll.BDH(config!$G$5,F$1,$A232,$A232))))</f>
        <v>45.34</v>
      </c>
      <c r="G232" s="8">
        <f>IF($A232="","",IF(ISNUMBER(FIND("IMPVOL",G$1)),_xll.BDH(config!$G$4,G$1,WORKDAY($A232,-1,config_Holiday_Calendar_US),WORKDAY($A232,-1,config_Holiday_Calendar_US)),IF(ISNUMBER(_xll.BDH(config!$G$4,G$1,$A232,$A232)),_xll.BDH(config!$G$4,G$1,$A232,$A232),_xll.BDH(config!$G$5,G$1,$A232,$A232))))</f>
        <v>44.16</v>
      </c>
      <c r="H232" s="8">
        <f>IF($A232="","",IF(ISNUMBER(FIND("IMPVOL",H$1)),_xll.BDH(config!$G$4,H$1,WORKDAY($A232,-1,config_Holiday_Calendar_US),WORKDAY($A232,-1,config_Holiday_Calendar_US)),IF(ISNUMBER(_xll.BDH(config!$G$4,H$1,$A232,$A232)),_xll.BDH(config!$G$4,H$1,$A232,$A232),_xll.BDH(config!$G$5,H$1,$A232,$A232))))</f>
        <v>241309</v>
      </c>
      <c r="I232" s="8" t="str">
        <f>IF($A232="","",IF(ISNUMBER(FIND("IMPVOL",I$1)),_xll.BDH(config!$G$4,I$1,WORKDAY($A232,-1,config_Holiday_Calendar_US),WORKDAY($A232,-1,config_Holiday_Calendar_US)),IF(ISNUMBER(_xll.BDH(config!$G$4,I$1,$A232,$A232)),_xll.BDH(config!$G$4,I$1,$A232,$A232),_xll.BDH(config!$G$5,I$1,$A232,$A232))))</f>
        <v>#N/A Requesting Data...</v>
      </c>
      <c r="J232" s="8" t="str">
        <f>IF($A232="","",IF(ISNUMBER(FIND("IMPVOL",J$1)),_xll.BDH(config!$G$4,J$1,WORKDAY($A232,-1,config_Holiday_Calendar_US),WORKDAY($A232,-1,config_Holiday_Calendar_US)),IF(ISNUMBER(_xll.BDH(config!$G$4,J$1,$A232,$A232)),_xll.BDH(config!$G$4,J$1,$A232,$A232),_xll.BDH(config!$G$5,J$1,$A232,$A232))))</f>
        <v>#N/A Requesting Data...</v>
      </c>
      <c r="K232" s="8" t="str">
        <f>IF($A232="","",IF(ISNUMBER(FIND("IMPVOL",K$1)),_xll.BDH(config!$G$4,K$1,WORKDAY($A232,-1,config_Holiday_Calendar_US),WORKDAY($A232,-1,config_Holiday_Calendar_US)),IF(ISNUMBER(_xll.BDH(config!$G$4,K$1,$A232,$A232)),_xll.BDH(config!$G$4,K$1,$A232,$A232),_xll.BDH(config!$G$5,K$1,$A232,$A232))))</f>
        <v>#N/A Requesting Data...</v>
      </c>
      <c r="L232" s="8" t="str">
        <f>IF($A232="","",IF(ISNUMBER(FIND("IMPVOL",L$1)),_xll.BDH(config!$G$4,L$1,WORKDAY($A232,-1,config_Holiday_Calendar_US),WORKDAY($A232,-1,config_Holiday_Calendar_US)),IF(ISNUMBER(_xll.BDH(config!$G$4,L$1,$A232,$A232)),_xll.BDH(config!$G$4,L$1,$A232,$A232),_xll.BDH(config!$G$5,L$1,$A232,$A232))))</f>
        <v>#N/A Requesting Data...</v>
      </c>
      <c r="M232" s="8" t="str">
        <f>IF($A232="","",IF(ISNUMBER(FIND("IMPVOL",M$1)),_xll.BDH(config!$G$4,M$1,WORKDAY($A232,-1,config_Holiday_Calendar_US),WORKDAY($A232,-1,config_Holiday_Calendar_US)),IF(ISNUMBER(_xll.BDH(config!$G$4,M$1,$A232,$A232)),_xll.BDH(config!$G$4,M$1,$A232,$A232),_xll.BDH(config!$G$5,M$1,$A232,$A232))))</f>
        <v>#N/A Requesting Data...</v>
      </c>
      <c r="N232" s="8" t="str">
        <f>IF($A232="","",IF(ISNUMBER(FIND("IMPVOL",N$1)),_xll.BDH(config!$G$4,N$1,WORKDAY($A232,-1,config_Holiday_Calendar_US),WORKDAY($A232,-1,config_Holiday_Calendar_US)),IF(ISNUMBER(_xll.BDH(config!$G$4,N$1,$A232,$A232)),_xll.BDH(config!$G$4,N$1,$A232,$A232),_xll.BDH(config!$G$5,N$1,$A232,$A232))))</f>
        <v>#N/A Requesting Data...</v>
      </c>
      <c r="O232" s="8" t="str">
        <f>IF($A232="","",IF(ISNUMBER(FIND("IMPVOL",O$1)),_xll.BDH(config!$G$4,O$1,WORKDAY($A232,-1,config_Holiday_Calendar_US),WORKDAY($A232,-1,config_Holiday_Calendar_US)),IF(ISNUMBER(_xll.BDH(config!$G$4,O$1,$A232,$A232)),_xll.BDH(config!$G$4,O$1,$A232,$A232),_xll.BDH(config!$G$5,O$1,$A232,$A232))))</f>
        <v>#N/A Requesting Data...</v>
      </c>
      <c r="P232" s="8" t="str">
        <f>IF($A232="","",IF(ISNUMBER(FIND("IMPVOL",P$1)),_xll.BDH(config!$G$4,P$1,WORKDAY($A232,-1,config_Holiday_Calendar_US),WORKDAY($A232,-1,config_Holiday_Calendar_US)),IF(ISNUMBER(_xll.BDH(config!$G$4,P$1,$A232,$A232)),_xll.BDH(config!$G$4,P$1,$A232,$A232),_xll.BDH(config!$G$5,P$1,$A232,$A232))))</f>
        <v>#N/A Requesting Data...</v>
      </c>
      <c r="Q232" s="8">
        <f>IF($A232="","",IF(ISNUMBER(FIND("IMPVOL",Q$1)),_xll.BDH(config!$G$4,Q$1,WORKDAY($A232,-1,config_Holiday_Calendar_US),WORKDAY($A232,-1,config_Holiday_Calendar_US)),IF(ISNUMBER(_xll.BDH(config!$G$4,Q$1,$A232,$A232)),_xll.BDH(config!$G$4,Q$1,$A232,$A232),_xll.BDH(config!$G$5,Q$1,$A232,$A232))))</f>
        <v>32.270000000000003</v>
      </c>
      <c r="R232" s="8">
        <f>IF($A232="","",IF(ISNUMBER(FIND("IMPVOL",R$1)),_xll.BDH(config!$G$4,R$1,WORKDAY($A232,-1,config_Holiday_Calendar_US),WORKDAY($A232,-1,config_Holiday_Calendar_US)),IF(ISNUMBER(_xll.BDH(config!$G$4,R$1,$A232,$A232)),_xll.BDH(config!$G$4,R$1,$A232,$A232),_xll.BDH(config!$G$5,R$1,$A232,$A232))))</f>
        <v>41.71</v>
      </c>
      <c r="S232" s="8" t="str">
        <f>IF($A232="","",IF(ISNUMBER(FIND("IMPVOL",S$1)),_xll.BDH(config!$G$4,S$1,WORKDAY($A232,-1,config_Holiday_Calendar_US),WORKDAY($A232,-1,config_Holiday_Calendar_US)),IF(ISNUMBER(_xll.BDH(config!$G$4,S$1,$A232,$A232)),_xll.BDH(config!$G$4,S$1,$A232,$A232),_xll.BDH(config!$G$5,S$1,$A232,$A232))))</f>
        <v>#N/A Requesting Data...</v>
      </c>
      <c r="T232" s="8" t="str">
        <f>IF($A232="","",IF(ISNUMBER(FIND("IMPVOL",T$1)),_xll.BDH(config!$G$4,T$1,WORKDAY($A232,-1,config_Holiday_Calendar_US),WORKDAY($A232,-1,config_Holiday_Calendar_US)),IF(ISNUMBER(_xll.BDH(config!$G$4,T$1,$A232,$A232)),_xll.BDH(config!$G$4,T$1,$A232,$A232),_xll.BDH(config!$G$5,T$1,$A232,$A232))))</f>
        <v>#N/A Requesting Data...</v>
      </c>
      <c r="U232" s="8" t="str">
        <f>IF($A232="","",IF(ISNUMBER(FIND("IMPVOL",U$1)),_xll.BDH(config!$G$4,U$1,WORKDAY($A232,-1,config_Holiday_Calendar_US),WORKDAY($A232,-1,config_Holiday_Calendar_US)),IF(ISNUMBER(_xll.BDH(config!$G$4,U$1,$A232,$A232)),_xll.BDH(config!$G$4,U$1,$A232,$A232),_xll.BDH(config!$G$5,U$1,$A232,$A232))))</f>
        <v>#N/A Requesting Data...</v>
      </c>
      <c r="V232" s="8" t="str">
        <f>IF($A232="","",IF(ISNUMBER(FIND("IMPVOL",V$1)),_xll.BDH(config!$G$4,V$1,WORKDAY($A232,-1,config_Holiday_Calendar_US),WORKDAY($A232,-1,config_Holiday_Calendar_US)),IF(ISNUMBER(_xll.BDH(config!$G$4,V$1,$A232,$A232)),_xll.BDH(config!$G$4,V$1,$A232,$A232),_xll.BDH(config!$G$5,V$1,$A232,$A232))))</f>
        <v>#N/A Requesting Data...</v>
      </c>
      <c r="W232" s="8" t="str">
        <f>IF($A232="","",IF(ISNUMBER(FIND("IMPVOL",W$1)),_xll.BDH(config!$G$4,W$1,WORKDAY($A232,-1,config_Holiday_Calendar_US),WORKDAY($A232,-1,config_Holiday_Calendar_US)),IF(ISNUMBER(_xll.BDH(config!$G$4,W$1,$A232,$A232)),_xll.BDH(config!$G$4,W$1,$A232,$A232),_xll.BDH(config!$G$5,W$1,$A232,$A232))))</f>
        <v>#N/A Requesting Data...</v>
      </c>
    </row>
    <row r="233" spans="1:23" x14ac:dyDescent="0.2">
      <c r="A233" s="9">
        <f>IF(A232="","",IF(WORKDAY(A232,-1,config_Holiday_Calendar_US)&lt;config!$I$10,"",WORKDAY(A232,-1,config_Holiday_Calendar_US)))</f>
        <v>42495</v>
      </c>
      <c r="B233" s="8" t="e">
        <f t="shared" si="3"/>
        <v>#VALUE!</v>
      </c>
      <c r="C233" s="8" t="str">
        <f>IF(A233="","",_xll.BDH(config!$H$4,C$1,$A233,$A233))</f>
        <v>#N/A Requesting Data...</v>
      </c>
      <c r="D233" s="8" t="str">
        <f>IF($A233="","",_xll.BDH(config!$H$4,D$1,$A233,$A233))</f>
        <v>#N/A Requesting Data...</v>
      </c>
      <c r="E233" s="8">
        <f>IF($A233="","",IF(ISNUMBER(FIND("IMPVOL",E$1)),_xll.BDH(config!$G$4,E$1,WORKDAY($A233,-1,config_Holiday_Calendar_US),WORKDAY($A233,-1,config_Holiday_Calendar_US)),IF(ISNUMBER(_xll.BDH(config!$G$4,E$1,$A233,$A233)),_xll.BDH(config!$G$4,E$1,$A233,$A233),_xll.BDH(config!$G$5,E$1,$A233,$A233))))</f>
        <v>44.04</v>
      </c>
      <c r="F233" s="8">
        <f>IF($A233="","",IF(ISNUMBER(FIND("IMPVOL",F$1)),_xll.BDH(config!$G$4,F$1,WORKDAY($A233,-1,config_Holiday_Calendar_US),WORKDAY($A233,-1,config_Holiday_Calendar_US)),IF(ISNUMBER(_xll.BDH(config!$G$4,F$1,$A233,$A233)),_xll.BDH(config!$G$4,F$1,$A233,$A233),_xll.BDH(config!$G$5,F$1,$A233,$A233))))</f>
        <v>46.07</v>
      </c>
      <c r="G233" s="8">
        <f>IF($A233="","",IF(ISNUMBER(FIND("IMPVOL",G$1)),_xll.BDH(config!$G$4,G$1,WORKDAY($A233,-1,config_Holiday_Calendar_US),WORKDAY($A233,-1,config_Holiday_Calendar_US)),IF(ISNUMBER(_xll.BDH(config!$G$4,G$1,$A233,$A233)),_xll.BDH(config!$G$4,G$1,$A233,$A233),_xll.BDH(config!$G$5,G$1,$A233,$A233))))</f>
        <v>44.55</v>
      </c>
      <c r="H233" s="8">
        <f>IF($A233="","",IF(ISNUMBER(FIND("IMPVOL",H$1)),_xll.BDH(config!$G$4,H$1,WORKDAY($A233,-1,config_Holiday_Calendar_US),WORKDAY($A233,-1,config_Holiday_Calendar_US)),IF(ISNUMBER(_xll.BDH(config!$G$4,H$1,$A233,$A233)),_xll.BDH(config!$G$4,H$1,$A233,$A233),_xll.BDH(config!$G$5,H$1,$A233,$A233))))</f>
        <v>195466</v>
      </c>
      <c r="I233" s="8" t="str">
        <f>IF($A233="","",IF(ISNUMBER(FIND("IMPVOL",I$1)),_xll.BDH(config!$G$4,I$1,WORKDAY($A233,-1,config_Holiday_Calendar_US),WORKDAY($A233,-1,config_Holiday_Calendar_US)),IF(ISNUMBER(_xll.BDH(config!$G$4,I$1,$A233,$A233)),_xll.BDH(config!$G$4,I$1,$A233,$A233),_xll.BDH(config!$G$5,I$1,$A233,$A233))))</f>
        <v>#N/A Requesting Data...</v>
      </c>
      <c r="J233" s="8" t="str">
        <f>IF($A233="","",IF(ISNUMBER(FIND("IMPVOL",J$1)),_xll.BDH(config!$G$4,J$1,WORKDAY($A233,-1,config_Holiday_Calendar_US),WORKDAY($A233,-1,config_Holiday_Calendar_US)),IF(ISNUMBER(_xll.BDH(config!$G$4,J$1,$A233,$A233)),_xll.BDH(config!$G$4,J$1,$A233,$A233),_xll.BDH(config!$G$5,J$1,$A233,$A233))))</f>
        <v>#N/A Requesting Data...</v>
      </c>
      <c r="K233" s="8" t="str">
        <f>IF($A233="","",IF(ISNUMBER(FIND("IMPVOL",K$1)),_xll.BDH(config!$G$4,K$1,WORKDAY($A233,-1,config_Holiday_Calendar_US),WORKDAY($A233,-1,config_Holiday_Calendar_US)),IF(ISNUMBER(_xll.BDH(config!$G$4,K$1,$A233,$A233)),_xll.BDH(config!$G$4,K$1,$A233,$A233),_xll.BDH(config!$G$5,K$1,$A233,$A233))))</f>
        <v>#N/A Requesting Data...</v>
      </c>
      <c r="L233" s="8" t="str">
        <f>IF($A233="","",IF(ISNUMBER(FIND("IMPVOL",L$1)),_xll.BDH(config!$G$4,L$1,WORKDAY($A233,-1,config_Holiday_Calendar_US),WORKDAY($A233,-1,config_Holiday_Calendar_US)),IF(ISNUMBER(_xll.BDH(config!$G$4,L$1,$A233,$A233)),_xll.BDH(config!$G$4,L$1,$A233,$A233),_xll.BDH(config!$G$5,L$1,$A233,$A233))))</f>
        <v>#N/A Requesting Data...</v>
      </c>
      <c r="M233" s="8" t="str">
        <f>IF($A233="","",IF(ISNUMBER(FIND("IMPVOL",M$1)),_xll.BDH(config!$G$4,M$1,WORKDAY($A233,-1,config_Holiday_Calendar_US),WORKDAY($A233,-1,config_Holiday_Calendar_US)),IF(ISNUMBER(_xll.BDH(config!$G$4,M$1,$A233,$A233)),_xll.BDH(config!$G$4,M$1,$A233,$A233),_xll.BDH(config!$G$5,M$1,$A233,$A233))))</f>
        <v>#N/A Requesting Data...</v>
      </c>
      <c r="N233" s="8" t="str">
        <f>IF($A233="","",IF(ISNUMBER(FIND("IMPVOL",N$1)),_xll.BDH(config!$G$4,N$1,WORKDAY($A233,-1,config_Holiday_Calendar_US),WORKDAY($A233,-1,config_Holiday_Calendar_US)),IF(ISNUMBER(_xll.BDH(config!$G$4,N$1,$A233,$A233)),_xll.BDH(config!$G$4,N$1,$A233,$A233),_xll.BDH(config!$G$5,N$1,$A233,$A233))))</f>
        <v>#N/A Requesting Data...</v>
      </c>
      <c r="O233" s="8" t="str">
        <f>IF($A233="","",IF(ISNUMBER(FIND("IMPVOL",O$1)),_xll.BDH(config!$G$4,O$1,WORKDAY($A233,-1,config_Holiday_Calendar_US),WORKDAY($A233,-1,config_Holiday_Calendar_US)),IF(ISNUMBER(_xll.BDH(config!$G$4,O$1,$A233,$A233)),_xll.BDH(config!$G$4,O$1,$A233,$A233),_xll.BDH(config!$G$5,O$1,$A233,$A233))))</f>
        <v>#N/A Requesting Data...</v>
      </c>
      <c r="P233" s="8" t="str">
        <f>IF($A233="","",IF(ISNUMBER(FIND("IMPVOL",P$1)),_xll.BDH(config!$G$4,P$1,WORKDAY($A233,-1,config_Holiday_Calendar_US),WORKDAY($A233,-1,config_Holiday_Calendar_US)),IF(ISNUMBER(_xll.BDH(config!$G$4,P$1,$A233,$A233)),_xll.BDH(config!$G$4,P$1,$A233,$A233),_xll.BDH(config!$G$5,P$1,$A233,$A233))))</f>
        <v>#N/A Requesting Data...</v>
      </c>
      <c r="Q233" s="8">
        <f>IF($A233="","",IF(ISNUMBER(FIND("IMPVOL",Q$1)),_xll.BDH(config!$G$4,Q$1,WORKDAY($A233,-1,config_Holiday_Calendar_US),WORKDAY($A233,-1,config_Holiday_Calendar_US)),IF(ISNUMBER(_xll.BDH(config!$G$4,Q$1,$A233,$A233)),_xll.BDH(config!$G$4,Q$1,$A233,$A233),_xll.BDH(config!$G$5,Q$1,$A233,$A233))))</f>
        <v>34.9</v>
      </c>
      <c r="R233" s="8">
        <f>IF($A233="","",IF(ISNUMBER(FIND("IMPVOL",R$1)),_xll.BDH(config!$G$4,R$1,WORKDAY($A233,-1,config_Holiday_Calendar_US),WORKDAY($A233,-1,config_Holiday_Calendar_US)),IF(ISNUMBER(_xll.BDH(config!$G$4,R$1,$A233,$A233)),_xll.BDH(config!$G$4,R$1,$A233,$A233),_xll.BDH(config!$G$5,R$1,$A233,$A233))))</f>
        <v>41.72</v>
      </c>
      <c r="S233" s="8" t="str">
        <f>IF($A233="","",IF(ISNUMBER(FIND("IMPVOL",S$1)),_xll.BDH(config!$G$4,S$1,WORKDAY($A233,-1,config_Holiday_Calendar_US),WORKDAY($A233,-1,config_Holiday_Calendar_US)),IF(ISNUMBER(_xll.BDH(config!$G$4,S$1,$A233,$A233)),_xll.BDH(config!$G$4,S$1,$A233,$A233),_xll.BDH(config!$G$5,S$1,$A233,$A233))))</f>
        <v>#N/A Requesting Data...</v>
      </c>
      <c r="T233" s="8" t="str">
        <f>IF($A233="","",IF(ISNUMBER(FIND("IMPVOL",T$1)),_xll.BDH(config!$G$4,T$1,WORKDAY($A233,-1,config_Holiday_Calendar_US),WORKDAY($A233,-1,config_Holiday_Calendar_US)),IF(ISNUMBER(_xll.BDH(config!$G$4,T$1,$A233,$A233)),_xll.BDH(config!$G$4,T$1,$A233,$A233),_xll.BDH(config!$G$5,T$1,$A233,$A233))))</f>
        <v>#N/A Requesting Data...</v>
      </c>
      <c r="U233" s="8" t="str">
        <f>IF($A233="","",IF(ISNUMBER(FIND("IMPVOL",U$1)),_xll.BDH(config!$G$4,U$1,WORKDAY($A233,-1,config_Holiday_Calendar_US),WORKDAY($A233,-1,config_Holiday_Calendar_US)),IF(ISNUMBER(_xll.BDH(config!$G$4,U$1,$A233,$A233)),_xll.BDH(config!$G$4,U$1,$A233,$A233),_xll.BDH(config!$G$5,U$1,$A233,$A233))))</f>
        <v>#N/A Requesting Data...</v>
      </c>
      <c r="V233" s="8" t="str">
        <f>IF($A233="","",IF(ISNUMBER(FIND("IMPVOL",V$1)),_xll.BDH(config!$G$4,V$1,WORKDAY($A233,-1,config_Holiday_Calendar_US),WORKDAY($A233,-1,config_Holiday_Calendar_US)),IF(ISNUMBER(_xll.BDH(config!$G$4,V$1,$A233,$A233)),_xll.BDH(config!$G$4,V$1,$A233,$A233),_xll.BDH(config!$G$5,V$1,$A233,$A233))))</f>
        <v>#N/A Requesting Data...</v>
      </c>
      <c r="W233" s="8" t="str">
        <f>IF($A233="","",IF(ISNUMBER(FIND("IMPVOL",W$1)),_xll.BDH(config!$G$4,W$1,WORKDAY($A233,-1,config_Holiday_Calendar_US),WORKDAY($A233,-1,config_Holiday_Calendar_US)),IF(ISNUMBER(_xll.BDH(config!$G$4,W$1,$A233,$A233)),_xll.BDH(config!$G$4,W$1,$A233,$A233),_xll.BDH(config!$G$5,W$1,$A233,$A233))))</f>
        <v>#N/A Requesting Data...</v>
      </c>
    </row>
    <row r="234" spans="1:23" x14ac:dyDescent="0.2">
      <c r="A234" s="9">
        <f>IF(A233="","",IF(WORKDAY(A233,-1,config_Holiday_Calendar_US)&lt;config!$I$10,"",WORKDAY(A233,-1,config_Holiday_Calendar_US)))</f>
        <v>42494</v>
      </c>
      <c r="B234" s="8" t="e">
        <f t="shared" si="3"/>
        <v>#VALUE!</v>
      </c>
      <c r="C234" s="8" t="str">
        <f>IF(A234="","",_xll.BDH(config!$H$4,C$1,$A234,$A234))</f>
        <v>#N/A Requesting Data...</v>
      </c>
      <c r="D234" s="8" t="str">
        <f>IF($A234="","",_xll.BDH(config!$H$4,D$1,$A234,$A234))</f>
        <v>#N/A Requesting Data...</v>
      </c>
      <c r="E234" s="8">
        <f>IF($A234="","",IF(ISNUMBER(FIND("IMPVOL",E$1)),_xll.BDH(config!$G$4,E$1,WORKDAY($A234,-1,config_Holiday_Calendar_US),WORKDAY($A234,-1,config_Holiday_Calendar_US)),IF(ISNUMBER(_xll.BDH(config!$G$4,E$1,$A234,$A234)),_xll.BDH(config!$G$4,E$1,$A234,$A234),_xll.BDH(config!$G$5,E$1,$A234,$A234))))</f>
        <v>43.85</v>
      </c>
      <c r="F234" s="8">
        <f>IF($A234="","",IF(ISNUMBER(FIND("IMPVOL",F$1)),_xll.BDH(config!$G$4,F$1,WORKDAY($A234,-1,config_Holiday_Calendar_US),WORKDAY($A234,-1,config_Holiday_Calendar_US)),IF(ISNUMBER(_xll.BDH(config!$G$4,F$1,$A234,$A234)),_xll.BDH(config!$G$4,F$1,$A234,$A234),_xll.BDH(config!$G$5,F$1,$A234,$A234))))</f>
        <v>44.88</v>
      </c>
      <c r="G234" s="8">
        <f>IF($A234="","",IF(ISNUMBER(FIND("IMPVOL",G$1)),_xll.BDH(config!$G$4,G$1,WORKDAY($A234,-1,config_Holiday_Calendar_US),WORKDAY($A234,-1,config_Holiday_Calendar_US)),IF(ISNUMBER(_xll.BDH(config!$G$4,G$1,$A234,$A234)),_xll.BDH(config!$G$4,G$1,$A234,$A234),_xll.BDH(config!$G$5,G$1,$A234,$A234))))</f>
        <v>43.92</v>
      </c>
      <c r="H234" s="8">
        <f>IF($A234="","",IF(ISNUMBER(FIND("IMPVOL",H$1)),_xll.BDH(config!$G$4,H$1,WORKDAY($A234,-1,config_Holiday_Calendar_US),WORKDAY($A234,-1,config_Holiday_Calendar_US)),IF(ISNUMBER(_xll.BDH(config!$G$4,H$1,$A234,$A234)),_xll.BDH(config!$G$4,H$1,$A234,$A234),_xll.BDH(config!$G$5,H$1,$A234,$A234))))</f>
        <v>218772</v>
      </c>
      <c r="I234" s="8" t="str">
        <f>IF($A234="","",IF(ISNUMBER(FIND("IMPVOL",I$1)),_xll.BDH(config!$G$4,I$1,WORKDAY($A234,-1,config_Holiday_Calendar_US),WORKDAY($A234,-1,config_Holiday_Calendar_US)),IF(ISNUMBER(_xll.BDH(config!$G$4,I$1,$A234,$A234)),_xll.BDH(config!$G$4,I$1,$A234,$A234),_xll.BDH(config!$G$5,I$1,$A234,$A234))))</f>
        <v>#N/A Requesting Data...</v>
      </c>
      <c r="J234" s="8" t="str">
        <f>IF($A234="","",IF(ISNUMBER(FIND("IMPVOL",J$1)),_xll.BDH(config!$G$4,J$1,WORKDAY($A234,-1,config_Holiday_Calendar_US),WORKDAY($A234,-1,config_Holiday_Calendar_US)),IF(ISNUMBER(_xll.BDH(config!$G$4,J$1,$A234,$A234)),_xll.BDH(config!$G$4,J$1,$A234,$A234),_xll.BDH(config!$G$5,J$1,$A234,$A234))))</f>
        <v>#N/A Requesting Data...</v>
      </c>
      <c r="K234" s="8" t="str">
        <f>IF($A234="","",IF(ISNUMBER(FIND("IMPVOL",K$1)),_xll.BDH(config!$G$4,K$1,WORKDAY($A234,-1,config_Holiday_Calendar_US),WORKDAY($A234,-1,config_Holiday_Calendar_US)),IF(ISNUMBER(_xll.BDH(config!$G$4,K$1,$A234,$A234)),_xll.BDH(config!$G$4,K$1,$A234,$A234),_xll.BDH(config!$G$5,K$1,$A234,$A234))))</f>
        <v>#N/A Requesting Data...</v>
      </c>
      <c r="L234" s="8" t="str">
        <f>IF($A234="","",IF(ISNUMBER(FIND("IMPVOL",L$1)),_xll.BDH(config!$G$4,L$1,WORKDAY($A234,-1,config_Holiday_Calendar_US),WORKDAY($A234,-1,config_Holiday_Calendar_US)),IF(ISNUMBER(_xll.BDH(config!$G$4,L$1,$A234,$A234)),_xll.BDH(config!$G$4,L$1,$A234,$A234),_xll.BDH(config!$G$5,L$1,$A234,$A234))))</f>
        <v>#N/A Requesting Data...</v>
      </c>
      <c r="M234" s="8" t="str">
        <f>IF($A234="","",IF(ISNUMBER(FIND("IMPVOL",M$1)),_xll.BDH(config!$G$4,M$1,WORKDAY($A234,-1,config_Holiday_Calendar_US),WORKDAY($A234,-1,config_Holiday_Calendar_US)),IF(ISNUMBER(_xll.BDH(config!$G$4,M$1,$A234,$A234)),_xll.BDH(config!$G$4,M$1,$A234,$A234),_xll.BDH(config!$G$5,M$1,$A234,$A234))))</f>
        <v>#N/A Requesting Data...</v>
      </c>
      <c r="N234" s="8" t="str">
        <f>IF($A234="","",IF(ISNUMBER(FIND("IMPVOL",N$1)),_xll.BDH(config!$G$4,N$1,WORKDAY($A234,-1,config_Holiday_Calendar_US),WORKDAY($A234,-1,config_Holiday_Calendar_US)),IF(ISNUMBER(_xll.BDH(config!$G$4,N$1,$A234,$A234)),_xll.BDH(config!$G$4,N$1,$A234,$A234),_xll.BDH(config!$G$5,N$1,$A234,$A234))))</f>
        <v>#N/A Requesting Data...</v>
      </c>
      <c r="O234" s="8" t="str">
        <f>IF($A234="","",IF(ISNUMBER(FIND("IMPVOL",O$1)),_xll.BDH(config!$G$4,O$1,WORKDAY($A234,-1,config_Holiday_Calendar_US),WORKDAY($A234,-1,config_Holiday_Calendar_US)),IF(ISNUMBER(_xll.BDH(config!$G$4,O$1,$A234,$A234)),_xll.BDH(config!$G$4,O$1,$A234,$A234),_xll.BDH(config!$G$5,O$1,$A234,$A234))))</f>
        <v>#N/A Requesting Data...</v>
      </c>
      <c r="P234" s="8" t="str">
        <f>IF($A234="","",IF(ISNUMBER(FIND("IMPVOL",P$1)),_xll.BDH(config!$G$4,P$1,WORKDAY($A234,-1,config_Holiday_Calendar_US),WORKDAY($A234,-1,config_Holiday_Calendar_US)),IF(ISNUMBER(_xll.BDH(config!$G$4,P$1,$A234,$A234)),_xll.BDH(config!$G$4,P$1,$A234,$A234),_xll.BDH(config!$G$5,P$1,$A234,$A234))))</f>
        <v>#N/A Requesting Data...</v>
      </c>
      <c r="Q234" s="8">
        <f>IF($A234="","",IF(ISNUMBER(FIND("IMPVOL",Q$1)),_xll.BDH(config!$G$4,Q$1,WORKDAY($A234,-1,config_Holiday_Calendar_US),WORKDAY($A234,-1,config_Holiday_Calendar_US)),IF(ISNUMBER(_xll.BDH(config!$G$4,Q$1,$A234,$A234)),_xll.BDH(config!$G$4,Q$1,$A234,$A234),_xll.BDH(config!$G$5,Q$1,$A234,$A234))))</f>
        <v>35.07</v>
      </c>
      <c r="R234" s="8">
        <f>IF($A234="","",IF(ISNUMBER(FIND("IMPVOL",R$1)),_xll.BDH(config!$G$4,R$1,WORKDAY($A234,-1,config_Holiday_Calendar_US),WORKDAY($A234,-1,config_Holiday_Calendar_US)),IF(ISNUMBER(_xll.BDH(config!$G$4,R$1,$A234,$A234)),_xll.BDH(config!$G$4,R$1,$A234,$A234),_xll.BDH(config!$G$5,R$1,$A234,$A234))))</f>
        <v>41.74</v>
      </c>
      <c r="S234" s="8" t="str">
        <f>IF($A234="","",IF(ISNUMBER(FIND("IMPVOL",S$1)),_xll.BDH(config!$G$4,S$1,WORKDAY($A234,-1,config_Holiday_Calendar_US),WORKDAY($A234,-1,config_Holiday_Calendar_US)),IF(ISNUMBER(_xll.BDH(config!$G$4,S$1,$A234,$A234)),_xll.BDH(config!$G$4,S$1,$A234,$A234),_xll.BDH(config!$G$5,S$1,$A234,$A234))))</f>
        <v>#N/A Requesting Data...</v>
      </c>
      <c r="T234" s="8" t="str">
        <f>IF($A234="","",IF(ISNUMBER(FIND("IMPVOL",T$1)),_xll.BDH(config!$G$4,T$1,WORKDAY($A234,-1,config_Holiday_Calendar_US),WORKDAY($A234,-1,config_Holiday_Calendar_US)),IF(ISNUMBER(_xll.BDH(config!$G$4,T$1,$A234,$A234)),_xll.BDH(config!$G$4,T$1,$A234,$A234),_xll.BDH(config!$G$5,T$1,$A234,$A234))))</f>
        <v>#N/A Requesting Data...</v>
      </c>
      <c r="U234" s="8" t="str">
        <f>IF($A234="","",IF(ISNUMBER(FIND("IMPVOL",U$1)),_xll.BDH(config!$G$4,U$1,WORKDAY($A234,-1,config_Holiday_Calendar_US),WORKDAY($A234,-1,config_Holiday_Calendar_US)),IF(ISNUMBER(_xll.BDH(config!$G$4,U$1,$A234,$A234)),_xll.BDH(config!$G$4,U$1,$A234,$A234),_xll.BDH(config!$G$5,U$1,$A234,$A234))))</f>
        <v>#N/A Requesting Data...</v>
      </c>
      <c r="V234" s="8" t="str">
        <f>IF($A234="","",IF(ISNUMBER(FIND("IMPVOL",V$1)),_xll.BDH(config!$G$4,V$1,WORKDAY($A234,-1,config_Holiday_Calendar_US),WORKDAY($A234,-1,config_Holiday_Calendar_US)),IF(ISNUMBER(_xll.BDH(config!$G$4,V$1,$A234,$A234)),_xll.BDH(config!$G$4,V$1,$A234,$A234),_xll.BDH(config!$G$5,V$1,$A234,$A234))))</f>
        <v>#N/A Requesting Data...</v>
      </c>
      <c r="W234" s="8" t="str">
        <f>IF($A234="","",IF(ISNUMBER(FIND("IMPVOL",W$1)),_xll.BDH(config!$G$4,W$1,WORKDAY($A234,-1,config_Holiday_Calendar_US),WORKDAY($A234,-1,config_Holiday_Calendar_US)),IF(ISNUMBER(_xll.BDH(config!$G$4,W$1,$A234,$A234)),_xll.BDH(config!$G$4,W$1,$A234,$A234),_xll.BDH(config!$G$5,W$1,$A234,$A234))))</f>
        <v>#N/A Requesting Data...</v>
      </c>
    </row>
    <row r="235" spans="1:23" x14ac:dyDescent="0.2">
      <c r="A235" s="9">
        <f>IF(A234="","",IF(WORKDAY(A234,-1,config_Holiday_Calendar_US)&lt;config!$I$10,"",WORKDAY(A234,-1,config_Holiday_Calendar_US)))</f>
        <v>42493</v>
      </c>
      <c r="B235" s="8" t="e">
        <f t="shared" si="3"/>
        <v>#VALUE!</v>
      </c>
      <c r="C235" s="8" t="str">
        <f>IF(A235="","",_xll.BDH(config!$H$4,C$1,$A235,$A235))</f>
        <v>#N/A Requesting Data...</v>
      </c>
      <c r="D235" s="8" t="str">
        <f>IF($A235="","",_xll.BDH(config!$H$4,D$1,$A235,$A235))</f>
        <v>#N/A Requesting Data...</v>
      </c>
      <c r="E235" s="8">
        <f>IF($A235="","",IF(ISNUMBER(FIND("IMPVOL",E$1)),_xll.BDH(config!$G$4,E$1,WORKDAY($A235,-1,config_Holiday_Calendar_US),WORKDAY($A235,-1,config_Holiday_Calendar_US)),IF(ISNUMBER(_xll.BDH(config!$G$4,E$1,$A235,$A235)),_xll.BDH(config!$G$4,E$1,$A235,$A235),_xll.BDH(config!$G$5,E$1,$A235,$A235))))</f>
        <v>44.92</v>
      </c>
      <c r="F235" s="8">
        <f>IF($A235="","",IF(ISNUMBER(FIND("IMPVOL",F$1)),_xll.BDH(config!$G$4,F$1,WORKDAY($A235,-1,config_Holiday_Calendar_US),WORKDAY($A235,-1,config_Holiday_Calendar_US)),IF(ISNUMBER(_xll.BDH(config!$G$4,F$1,$A235,$A235)),_xll.BDH(config!$G$4,F$1,$A235,$A235),_xll.BDH(config!$G$5,F$1,$A235,$A235))))</f>
        <v>45.35</v>
      </c>
      <c r="G235" s="8">
        <f>IF($A235="","",IF(ISNUMBER(FIND("IMPVOL",G$1)),_xll.BDH(config!$G$4,G$1,WORKDAY($A235,-1,config_Holiday_Calendar_US),WORKDAY($A235,-1,config_Holiday_Calendar_US)),IF(ISNUMBER(_xll.BDH(config!$G$4,G$1,$A235,$A235)),_xll.BDH(config!$G$4,G$1,$A235,$A235),_xll.BDH(config!$G$5,G$1,$A235,$A235))))</f>
        <v>44.12</v>
      </c>
      <c r="H235" s="8">
        <f>IF($A235="","",IF(ISNUMBER(FIND("IMPVOL",H$1)),_xll.BDH(config!$G$4,H$1,WORKDAY($A235,-1,config_Holiday_Calendar_US),WORKDAY($A235,-1,config_Holiday_Calendar_US)),IF(ISNUMBER(_xll.BDH(config!$G$4,H$1,$A235,$A235)),_xll.BDH(config!$G$4,H$1,$A235,$A235),_xll.BDH(config!$G$5,H$1,$A235,$A235))))</f>
        <v>172284</v>
      </c>
      <c r="I235" s="8" t="str">
        <f>IF($A235="","",IF(ISNUMBER(FIND("IMPVOL",I$1)),_xll.BDH(config!$G$4,I$1,WORKDAY($A235,-1,config_Holiday_Calendar_US),WORKDAY($A235,-1,config_Holiday_Calendar_US)),IF(ISNUMBER(_xll.BDH(config!$G$4,I$1,$A235,$A235)),_xll.BDH(config!$G$4,I$1,$A235,$A235),_xll.BDH(config!$G$5,I$1,$A235,$A235))))</f>
        <v>#N/A Requesting Data...</v>
      </c>
      <c r="J235" s="8" t="str">
        <f>IF($A235="","",IF(ISNUMBER(FIND("IMPVOL",J$1)),_xll.BDH(config!$G$4,J$1,WORKDAY($A235,-1,config_Holiday_Calendar_US),WORKDAY($A235,-1,config_Holiday_Calendar_US)),IF(ISNUMBER(_xll.BDH(config!$G$4,J$1,$A235,$A235)),_xll.BDH(config!$G$4,J$1,$A235,$A235),_xll.BDH(config!$G$5,J$1,$A235,$A235))))</f>
        <v>#N/A Requesting Data...</v>
      </c>
      <c r="K235" s="8" t="str">
        <f>IF($A235="","",IF(ISNUMBER(FIND("IMPVOL",K$1)),_xll.BDH(config!$G$4,K$1,WORKDAY($A235,-1,config_Holiday_Calendar_US),WORKDAY($A235,-1,config_Holiday_Calendar_US)),IF(ISNUMBER(_xll.BDH(config!$G$4,K$1,$A235,$A235)),_xll.BDH(config!$G$4,K$1,$A235,$A235),_xll.BDH(config!$G$5,K$1,$A235,$A235))))</f>
        <v>#N/A Requesting Data...</v>
      </c>
      <c r="L235" s="8" t="str">
        <f>IF($A235="","",IF(ISNUMBER(FIND("IMPVOL",L$1)),_xll.BDH(config!$G$4,L$1,WORKDAY($A235,-1,config_Holiday_Calendar_US),WORKDAY($A235,-1,config_Holiday_Calendar_US)),IF(ISNUMBER(_xll.BDH(config!$G$4,L$1,$A235,$A235)),_xll.BDH(config!$G$4,L$1,$A235,$A235),_xll.BDH(config!$G$5,L$1,$A235,$A235))))</f>
        <v>#N/A Requesting Data...</v>
      </c>
      <c r="M235" s="8" t="str">
        <f>IF($A235="","",IF(ISNUMBER(FIND("IMPVOL",M$1)),_xll.BDH(config!$G$4,M$1,WORKDAY($A235,-1,config_Holiday_Calendar_US),WORKDAY($A235,-1,config_Holiday_Calendar_US)),IF(ISNUMBER(_xll.BDH(config!$G$4,M$1,$A235,$A235)),_xll.BDH(config!$G$4,M$1,$A235,$A235),_xll.BDH(config!$G$5,M$1,$A235,$A235))))</f>
        <v>#N/A Requesting Data...</v>
      </c>
      <c r="N235" s="8" t="str">
        <f>IF($A235="","",IF(ISNUMBER(FIND("IMPVOL",N$1)),_xll.BDH(config!$G$4,N$1,WORKDAY($A235,-1,config_Holiday_Calendar_US),WORKDAY($A235,-1,config_Holiday_Calendar_US)),IF(ISNUMBER(_xll.BDH(config!$G$4,N$1,$A235,$A235)),_xll.BDH(config!$G$4,N$1,$A235,$A235),_xll.BDH(config!$G$5,N$1,$A235,$A235))))</f>
        <v>#N/A Requesting Data...</v>
      </c>
      <c r="O235" s="8" t="str">
        <f>IF($A235="","",IF(ISNUMBER(FIND("IMPVOL",O$1)),_xll.BDH(config!$G$4,O$1,WORKDAY($A235,-1,config_Holiday_Calendar_US),WORKDAY($A235,-1,config_Holiday_Calendar_US)),IF(ISNUMBER(_xll.BDH(config!$G$4,O$1,$A235,$A235)),_xll.BDH(config!$G$4,O$1,$A235,$A235),_xll.BDH(config!$G$5,O$1,$A235,$A235))))</f>
        <v>#N/A Requesting Data...</v>
      </c>
      <c r="P235" s="8" t="str">
        <f>IF($A235="","",IF(ISNUMBER(FIND("IMPVOL",P$1)),_xll.BDH(config!$G$4,P$1,WORKDAY($A235,-1,config_Holiday_Calendar_US),WORKDAY($A235,-1,config_Holiday_Calendar_US)),IF(ISNUMBER(_xll.BDH(config!$G$4,P$1,$A235,$A235)),_xll.BDH(config!$G$4,P$1,$A235,$A235),_xll.BDH(config!$G$5,P$1,$A235,$A235))))</f>
        <v>#N/A Requesting Data...</v>
      </c>
      <c r="Q235" s="8">
        <f>IF($A235="","",IF(ISNUMBER(FIND("IMPVOL",Q$1)),_xll.BDH(config!$G$4,Q$1,WORKDAY($A235,-1,config_Holiday_Calendar_US),WORKDAY($A235,-1,config_Holiday_Calendar_US)),IF(ISNUMBER(_xll.BDH(config!$G$4,Q$1,$A235,$A235)),_xll.BDH(config!$G$4,Q$1,$A235,$A235),_xll.BDH(config!$G$5,Q$1,$A235,$A235))))</f>
        <v>35.200000000000003</v>
      </c>
      <c r="R235" s="8">
        <f>IF($A235="","",IF(ISNUMBER(FIND("IMPVOL",R$1)),_xll.BDH(config!$G$4,R$1,WORKDAY($A235,-1,config_Holiday_Calendar_US),WORKDAY($A235,-1,config_Holiday_Calendar_US)),IF(ISNUMBER(_xll.BDH(config!$G$4,R$1,$A235,$A235)),_xll.BDH(config!$G$4,R$1,$A235,$A235),_xll.BDH(config!$G$5,R$1,$A235,$A235))))</f>
        <v>43.47</v>
      </c>
      <c r="S235" s="8" t="str">
        <f>IF($A235="","",IF(ISNUMBER(FIND("IMPVOL",S$1)),_xll.BDH(config!$G$4,S$1,WORKDAY($A235,-1,config_Holiday_Calendar_US),WORKDAY($A235,-1,config_Holiday_Calendar_US)),IF(ISNUMBER(_xll.BDH(config!$G$4,S$1,$A235,$A235)),_xll.BDH(config!$G$4,S$1,$A235,$A235),_xll.BDH(config!$G$5,S$1,$A235,$A235))))</f>
        <v>#N/A Requesting Data...</v>
      </c>
      <c r="T235" s="8" t="str">
        <f>IF($A235="","",IF(ISNUMBER(FIND("IMPVOL",T$1)),_xll.BDH(config!$G$4,T$1,WORKDAY($A235,-1,config_Holiday_Calendar_US),WORKDAY($A235,-1,config_Holiday_Calendar_US)),IF(ISNUMBER(_xll.BDH(config!$G$4,T$1,$A235,$A235)),_xll.BDH(config!$G$4,T$1,$A235,$A235),_xll.BDH(config!$G$5,T$1,$A235,$A235))))</f>
        <v>#N/A Requesting Data...</v>
      </c>
      <c r="U235" s="8" t="str">
        <f>IF($A235="","",IF(ISNUMBER(FIND("IMPVOL",U$1)),_xll.BDH(config!$G$4,U$1,WORKDAY($A235,-1,config_Holiday_Calendar_US),WORKDAY($A235,-1,config_Holiday_Calendar_US)),IF(ISNUMBER(_xll.BDH(config!$G$4,U$1,$A235,$A235)),_xll.BDH(config!$G$4,U$1,$A235,$A235),_xll.BDH(config!$G$5,U$1,$A235,$A235))))</f>
        <v>#N/A Requesting Data...</v>
      </c>
      <c r="V235" s="8" t="str">
        <f>IF($A235="","",IF(ISNUMBER(FIND("IMPVOL",V$1)),_xll.BDH(config!$G$4,V$1,WORKDAY($A235,-1,config_Holiday_Calendar_US),WORKDAY($A235,-1,config_Holiday_Calendar_US)),IF(ISNUMBER(_xll.BDH(config!$G$4,V$1,$A235,$A235)),_xll.BDH(config!$G$4,V$1,$A235,$A235),_xll.BDH(config!$G$5,V$1,$A235,$A235))))</f>
        <v>#N/A Requesting Data...</v>
      </c>
      <c r="W235" s="8" t="str">
        <f>IF($A235="","",IF(ISNUMBER(FIND("IMPVOL",W$1)),_xll.BDH(config!$G$4,W$1,WORKDAY($A235,-1,config_Holiday_Calendar_US),WORKDAY($A235,-1,config_Holiday_Calendar_US)),IF(ISNUMBER(_xll.BDH(config!$G$4,W$1,$A235,$A235)),_xll.BDH(config!$G$4,W$1,$A235,$A235),_xll.BDH(config!$G$5,W$1,$A235,$A235))))</f>
        <v>#N/A Requesting Data...</v>
      </c>
    </row>
    <row r="236" spans="1:23" x14ac:dyDescent="0.2">
      <c r="A236" s="9">
        <f>IF(A235="","",IF(WORKDAY(A235,-1,config_Holiday_Calendar_US)&lt;config!$I$10,"",WORKDAY(A235,-1,config_Holiday_Calendar_US)))</f>
        <v>42492</v>
      </c>
      <c r="B236" s="8" t="e">
        <f t="shared" si="3"/>
        <v>#VALUE!</v>
      </c>
      <c r="C236" s="8" t="str">
        <f>IF(A236="","",_xll.BDH(config!$H$4,C$1,$A236,$A236))</f>
        <v>#N/A Requesting Data...</v>
      </c>
      <c r="D236" s="8" t="str">
        <f>IF($A236="","",_xll.BDH(config!$H$4,D$1,$A236,$A236))</f>
        <v>#N/A Requesting Data...</v>
      </c>
      <c r="E236" s="8">
        <f>IF($A236="","",IF(ISNUMBER(FIND("IMPVOL",E$1)),_xll.BDH(config!$G$4,E$1,WORKDAY($A236,-1,config_Holiday_Calendar_US),WORKDAY($A236,-1,config_Holiday_Calendar_US)),IF(ISNUMBER(_xll.BDH(config!$G$4,E$1,$A236,$A236)),_xll.BDH(config!$G$4,E$1,$A236,$A236),_xll.BDH(config!$G$5,E$1,$A236,$A236))))</f>
        <v>45.9</v>
      </c>
      <c r="F236" s="8">
        <f>IF($A236="","",IF(ISNUMBER(FIND("IMPVOL",F$1)),_xll.BDH(config!$G$4,F$1,WORKDAY($A236,-1,config_Holiday_Calendar_US),WORKDAY($A236,-1,config_Holiday_Calendar_US)),IF(ISNUMBER(_xll.BDH(config!$G$4,F$1,$A236,$A236)),_xll.BDH(config!$G$4,F$1,$A236,$A236),_xll.BDH(config!$G$5,F$1,$A236,$A236))))</f>
        <v>46.15</v>
      </c>
      <c r="G236" s="8">
        <f>IF($A236="","",IF(ISNUMBER(FIND("IMPVOL",G$1)),_xll.BDH(config!$G$4,G$1,WORKDAY($A236,-1,config_Holiday_Calendar_US),WORKDAY($A236,-1,config_Holiday_Calendar_US)),IF(ISNUMBER(_xll.BDH(config!$G$4,G$1,$A236,$A236)),_xll.BDH(config!$G$4,G$1,$A236,$A236),_xll.BDH(config!$G$5,G$1,$A236,$A236))))</f>
        <v>45.28</v>
      </c>
      <c r="H236" s="8">
        <f>IF($A236="","",IF(ISNUMBER(FIND("IMPVOL",H$1)),_xll.BDH(config!$G$4,H$1,WORKDAY($A236,-1,config_Holiday_Calendar_US),WORKDAY($A236,-1,config_Holiday_Calendar_US)),IF(ISNUMBER(_xll.BDH(config!$G$4,H$1,$A236,$A236)),_xll.BDH(config!$G$4,H$1,$A236,$A236),_xll.BDH(config!$G$5,H$1,$A236,$A236))))</f>
        <v>106142</v>
      </c>
      <c r="I236" s="8" t="str">
        <f>IF($A236="","",IF(ISNUMBER(FIND("IMPVOL",I$1)),_xll.BDH(config!$G$4,I$1,WORKDAY($A236,-1,config_Holiday_Calendar_US),WORKDAY($A236,-1,config_Holiday_Calendar_US)),IF(ISNUMBER(_xll.BDH(config!$G$4,I$1,$A236,$A236)),_xll.BDH(config!$G$4,I$1,$A236,$A236),_xll.BDH(config!$G$5,I$1,$A236,$A236))))</f>
        <v>#N/A Requesting Data...</v>
      </c>
      <c r="J236" s="8" t="str">
        <f>IF($A236="","",IF(ISNUMBER(FIND("IMPVOL",J$1)),_xll.BDH(config!$G$4,J$1,WORKDAY($A236,-1,config_Holiday_Calendar_US),WORKDAY($A236,-1,config_Holiday_Calendar_US)),IF(ISNUMBER(_xll.BDH(config!$G$4,J$1,$A236,$A236)),_xll.BDH(config!$G$4,J$1,$A236,$A236),_xll.BDH(config!$G$5,J$1,$A236,$A236))))</f>
        <v>#N/A Requesting Data...</v>
      </c>
      <c r="K236" s="8" t="str">
        <f>IF($A236="","",IF(ISNUMBER(FIND("IMPVOL",K$1)),_xll.BDH(config!$G$4,K$1,WORKDAY($A236,-1,config_Holiday_Calendar_US),WORKDAY($A236,-1,config_Holiday_Calendar_US)),IF(ISNUMBER(_xll.BDH(config!$G$4,K$1,$A236,$A236)),_xll.BDH(config!$G$4,K$1,$A236,$A236),_xll.BDH(config!$G$5,K$1,$A236,$A236))))</f>
        <v>#N/A Requesting Data...</v>
      </c>
      <c r="L236" s="8" t="str">
        <f>IF($A236="","",IF(ISNUMBER(FIND("IMPVOL",L$1)),_xll.BDH(config!$G$4,L$1,WORKDAY($A236,-1,config_Holiday_Calendar_US),WORKDAY($A236,-1,config_Holiday_Calendar_US)),IF(ISNUMBER(_xll.BDH(config!$G$4,L$1,$A236,$A236)),_xll.BDH(config!$G$4,L$1,$A236,$A236),_xll.BDH(config!$G$5,L$1,$A236,$A236))))</f>
        <v>#N/A Requesting Data...</v>
      </c>
      <c r="M236" s="8" t="str">
        <f>IF($A236="","",IF(ISNUMBER(FIND("IMPVOL",M$1)),_xll.BDH(config!$G$4,M$1,WORKDAY($A236,-1,config_Holiday_Calendar_US),WORKDAY($A236,-1,config_Holiday_Calendar_US)),IF(ISNUMBER(_xll.BDH(config!$G$4,M$1,$A236,$A236)),_xll.BDH(config!$G$4,M$1,$A236,$A236),_xll.BDH(config!$G$5,M$1,$A236,$A236))))</f>
        <v>#N/A Requesting Data...</v>
      </c>
      <c r="N236" s="8" t="str">
        <f>IF($A236="","",IF(ISNUMBER(FIND("IMPVOL",N$1)),_xll.BDH(config!$G$4,N$1,WORKDAY($A236,-1,config_Holiday_Calendar_US),WORKDAY($A236,-1,config_Holiday_Calendar_US)),IF(ISNUMBER(_xll.BDH(config!$G$4,N$1,$A236,$A236)),_xll.BDH(config!$G$4,N$1,$A236,$A236),_xll.BDH(config!$G$5,N$1,$A236,$A236))))</f>
        <v>#N/A Requesting Data...</v>
      </c>
      <c r="O236" s="8" t="str">
        <f>IF($A236="","",IF(ISNUMBER(FIND("IMPVOL",O$1)),_xll.BDH(config!$G$4,O$1,WORKDAY($A236,-1,config_Holiday_Calendar_US),WORKDAY($A236,-1,config_Holiday_Calendar_US)),IF(ISNUMBER(_xll.BDH(config!$G$4,O$1,$A236,$A236)),_xll.BDH(config!$G$4,O$1,$A236,$A236),_xll.BDH(config!$G$5,O$1,$A236,$A236))))</f>
        <v>#N/A Requesting Data...</v>
      </c>
      <c r="P236" s="8" t="str">
        <f>IF($A236="","",IF(ISNUMBER(FIND("IMPVOL",P$1)),_xll.BDH(config!$G$4,P$1,WORKDAY($A236,-1,config_Holiday_Calendar_US),WORKDAY($A236,-1,config_Holiday_Calendar_US)),IF(ISNUMBER(_xll.BDH(config!$G$4,P$1,$A236,$A236)),_xll.BDH(config!$G$4,P$1,$A236,$A236),_xll.BDH(config!$G$5,P$1,$A236,$A236))))</f>
        <v>#N/A Requesting Data...</v>
      </c>
      <c r="Q236" s="8">
        <f>IF($A236="","",IF(ISNUMBER(FIND("IMPVOL",Q$1)),_xll.BDH(config!$G$4,Q$1,WORKDAY($A236,-1,config_Holiday_Calendar_US),WORKDAY($A236,-1,config_Holiday_Calendar_US)),IF(ISNUMBER(_xll.BDH(config!$G$4,Q$1,$A236,$A236)),_xll.BDH(config!$G$4,Q$1,$A236,$A236),_xll.BDH(config!$G$5,Q$1,$A236,$A236))))</f>
        <v>37.32</v>
      </c>
      <c r="R236" s="8">
        <f>IF($A236="","",IF(ISNUMBER(FIND("IMPVOL",R$1)),_xll.BDH(config!$G$4,R$1,WORKDAY($A236,-1,config_Holiday_Calendar_US),WORKDAY($A236,-1,config_Holiday_Calendar_US)),IF(ISNUMBER(_xll.BDH(config!$G$4,R$1,$A236,$A236)),_xll.BDH(config!$G$4,R$1,$A236,$A236),_xll.BDH(config!$G$5,R$1,$A236,$A236))))</f>
        <v>43.15</v>
      </c>
      <c r="S236" s="8" t="str">
        <f>IF($A236="","",IF(ISNUMBER(FIND("IMPVOL",S$1)),_xll.BDH(config!$G$4,S$1,WORKDAY($A236,-1,config_Holiday_Calendar_US),WORKDAY($A236,-1,config_Holiday_Calendar_US)),IF(ISNUMBER(_xll.BDH(config!$G$4,S$1,$A236,$A236)),_xll.BDH(config!$G$4,S$1,$A236,$A236),_xll.BDH(config!$G$5,S$1,$A236,$A236))))</f>
        <v>#N/A Requesting Data...</v>
      </c>
      <c r="T236" s="8" t="str">
        <f>IF($A236="","",IF(ISNUMBER(FIND("IMPVOL",T$1)),_xll.BDH(config!$G$4,T$1,WORKDAY($A236,-1,config_Holiday_Calendar_US),WORKDAY($A236,-1,config_Holiday_Calendar_US)),IF(ISNUMBER(_xll.BDH(config!$G$4,T$1,$A236,$A236)),_xll.BDH(config!$G$4,T$1,$A236,$A236),_xll.BDH(config!$G$5,T$1,$A236,$A236))))</f>
        <v>#N/A Requesting Data...</v>
      </c>
      <c r="U236" s="8" t="str">
        <f>IF($A236="","",IF(ISNUMBER(FIND("IMPVOL",U$1)),_xll.BDH(config!$G$4,U$1,WORKDAY($A236,-1,config_Holiday_Calendar_US),WORKDAY($A236,-1,config_Holiday_Calendar_US)),IF(ISNUMBER(_xll.BDH(config!$G$4,U$1,$A236,$A236)),_xll.BDH(config!$G$4,U$1,$A236,$A236),_xll.BDH(config!$G$5,U$1,$A236,$A236))))</f>
        <v>#N/A Requesting Data...</v>
      </c>
      <c r="V236" s="8" t="str">
        <f>IF($A236="","",IF(ISNUMBER(FIND("IMPVOL",V$1)),_xll.BDH(config!$G$4,V$1,WORKDAY($A236,-1,config_Holiday_Calendar_US),WORKDAY($A236,-1,config_Holiday_Calendar_US)),IF(ISNUMBER(_xll.BDH(config!$G$4,V$1,$A236,$A236)),_xll.BDH(config!$G$4,V$1,$A236,$A236),_xll.BDH(config!$G$5,V$1,$A236,$A236))))</f>
        <v>#N/A Requesting Data...</v>
      </c>
      <c r="W236" s="8" t="str">
        <f>IF($A236="","",IF(ISNUMBER(FIND("IMPVOL",W$1)),_xll.BDH(config!$G$4,W$1,WORKDAY($A236,-1,config_Holiday_Calendar_US),WORKDAY($A236,-1,config_Holiday_Calendar_US)),IF(ISNUMBER(_xll.BDH(config!$G$4,W$1,$A236,$A236)),_xll.BDH(config!$G$4,W$1,$A236,$A236),_xll.BDH(config!$G$5,W$1,$A236,$A236))))</f>
        <v>#N/A Requesting Data...</v>
      </c>
    </row>
    <row r="237" spans="1:23" x14ac:dyDescent="0.2">
      <c r="A237" s="9">
        <f>IF(A236="","",IF(WORKDAY(A236,-1,config_Holiday_Calendar_US)&lt;config!$I$10,"",WORKDAY(A236,-1,config_Holiday_Calendar_US)))</f>
        <v>42489</v>
      </c>
      <c r="B237" s="8" t="e">
        <f t="shared" si="3"/>
        <v>#VALUE!</v>
      </c>
      <c r="C237" s="8" t="str">
        <f>IF(A237="","",_xll.BDH(config!$H$4,C$1,$A237,$A237))</f>
        <v>#N/A Requesting Data...</v>
      </c>
      <c r="D237" s="8" t="str">
        <f>IF($A237="","",_xll.BDH(config!$H$4,D$1,$A237,$A237))</f>
        <v>#N/A Requesting Data...</v>
      </c>
      <c r="E237" s="8">
        <f>IF($A237="","",IF(ISNUMBER(FIND("IMPVOL",E$1)),_xll.BDH(config!$G$4,E$1,WORKDAY($A237,-1,config_Holiday_Calendar_US),WORKDAY($A237,-1,config_Holiday_Calendar_US)),IF(ISNUMBER(_xll.BDH(config!$G$4,E$1,$A237,$A237)),_xll.BDH(config!$G$4,E$1,$A237,$A237),_xll.BDH(config!$G$5,E$1,$A237,$A237))))</f>
        <v>45.9</v>
      </c>
      <c r="F237" s="8">
        <f>IF($A237="","",IF(ISNUMBER(FIND("IMPVOL",F$1)),_xll.BDH(config!$G$4,F$1,WORKDAY($A237,-1,config_Holiday_Calendar_US),WORKDAY($A237,-1,config_Holiday_Calendar_US)),IF(ISNUMBER(_xll.BDH(config!$G$4,F$1,$A237,$A237)),_xll.BDH(config!$G$4,F$1,$A237,$A237),_xll.BDH(config!$G$5,F$1,$A237,$A237))))</f>
        <v>46.78</v>
      </c>
      <c r="G237" s="8">
        <f>IF($A237="","",IF(ISNUMBER(FIND("IMPVOL",G$1)),_xll.BDH(config!$G$4,G$1,WORKDAY($A237,-1,config_Holiday_Calendar_US),WORKDAY($A237,-1,config_Holiday_Calendar_US)),IF(ISNUMBER(_xll.BDH(config!$G$4,G$1,$A237,$A237)),_xll.BDH(config!$G$4,G$1,$A237,$A237),_xll.BDH(config!$G$5,G$1,$A237,$A237))))</f>
        <v>46.03</v>
      </c>
      <c r="H237" s="8">
        <f>IF($A237="","",IF(ISNUMBER(FIND("IMPVOL",H$1)),_xll.BDH(config!$G$4,H$1,WORKDAY($A237,-1,config_Holiday_Calendar_US),WORKDAY($A237,-1,config_Holiday_Calendar_US)),IF(ISNUMBER(_xll.BDH(config!$G$4,H$1,$A237,$A237)),_xll.BDH(config!$G$4,H$1,$A237,$A237),_xll.BDH(config!$G$5,H$1,$A237,$A237))))</f>
        <v>134085</v>
      </c>
      <c r="I237" s="8" t="str">
        <f>IF($A237="","",IF(ISNUMBER(FIND("IMPVOL",I$1)),_xll.BDH(config!$G$4,I$1,WORKDAY($A237,-1,config_Holiday_Calendar_US),WORKDAY($A237,-1,config_Holiday_Calendar_US)),IF(ISNUMBER(_xll.BDH(config!$G$4,I$1,$A237,$A237)),_xll.BDH(config!$G$4,I$1,$A237,$A237),_xll.BDH(config!$G$5,I$1,$A237,$A237))))</f>
        <v>#N/A Requesting Data...</v>
      </c>
      <c r="J237" s="8" t="str">
        <f>IF($A237="","",IF(ISNUMBER(FIND("IMPVOL",J$1)),_xll.BDH(config!$G$4,J$1,WORKDAY($A237,-1,config_Holiday_Calendar_US),WORKDAY($A237,-1,config_Holiday_Calendar_US)),IF(ISNUMBER(_xll.BDH(config!$G$4,J$1,$A237,$A237)),_xll.BDH(config!$G$4,J$1,$A237,$A237),_xll.BDH(config!$G$5,J$1,$A237,$A237))))</f>
        <v>#N/A Requesting Data...</v>
      </c>
      <c r="K237" s="8" t="str">
        <f>IF($A237="","",IF(ISNUMBER(FIND("IMPVOL",K$1)),_xll.BDH(config!$G$4,K$1,WORKDAY($A237,-1,config_Holiday_Calendar_US),WORKDAY($A237,-1,config_Holiday_Calendar_US)),IF(ISNUMBER(_xll.BDH(config!$G$4,K$1,$A237,$A237)),_xll.BDH(config!$G$4,K$1,$A237,$A237),_xll.BDH(config!$G$5,K$1,$A237,$A237))))</f>
        <v>#N/A Requesting Data...</v>
      </c>
      <c r="L237" s="8" t="str">
        <f>IF($A237="","",IF(ISNUMBER(FIND("IMPVOL",L$1)),_xll.BDH(config!$G$4,L$1,WORKDAY($A237,-1,config_Holiday_Calendar_US),WORKDAY($A237,-1,config_Holiday_Calendar_US)),IF(ISNUMBER(_xll.BDH(config!$G$4,L$1,$A237,$A237)),_xll.BDH(config!$G$4,L$1,$A237,$A237),_xll.BDH(config!$G$5,L$1,$A237,$A237))))</f>
        <v>#N/A Requesting Data...</v>
      </c>
      <c r="M237" s="8" t="str">
        <f>IF($A237="","",IF(ISNUMBER(FIND("IMPVOL",M$1)),_xll.BDH(config!$G$4,M$1,WORKDAY($A237,-1,config_Holiday_Calendar_US),WORKDAY($A237,-1,config_Holiday_Calendar_US)),IF(ISNUMBER(_xll.BDH(config!$G$4,M$1,$A237,$A237)),_xll.BDH(config!$G$4,M$1,$A237,$A237),_xll.BDH(config!$G$5,M$1,$A237,$A237))))</f>
        <v>#N/A Requesting Data...</v>
      </c>
      <c r="N237" s="8" t="str">
        <f>IF($A237="","",IF(ISNUMBER(FIND("IMPVOL",N$1)),_xll.BDH(config!$G$4,N$1,WORKDAY($A237,-1,config_Holiday_Calendar_US),WORKDAY($A237,-1,config_Holiday_Calendar_US)),IF(ISNUMBER(_xll.BDH(config!$G$4,N$1,$A237,$A237)),_xll.BDH(config!$G$4,N$1,$A237,$A237),_xll.BDH(config!$G$5,N$1,$A237,$A237))))</f>
        <v>#N/A Requesting Data...</v>
      </c>
      <c r="O237" s="8" t="str">
        <f>IF($A237="","",IF(ISNUMBER(FIND("IMPVOL",O$1)),_xll.BDH(config!$G$4,O$1,WORKDAY($A237,-1,config_Holiday_Calendar_US),WORKDAY($A237,-1,config_Holiday_Calendar_US)),IF(ISNUMBER(_xll.BDH(config!$G$4,O$1,$A237,$A237)),_xll.BDH(config!$G$4,O$1,$A237,$A237),_xll.BDH(config!$G$5,O$1,$A237,$A237))))</f>
        <v>#N/A Requesting Data...</v>
      </c>
      <c r="P237" s="8" t="str">
        <f>IF($A237="","",IF(ISNUMBER(FIND("IMPVOL",P$1)),_xll.BDH(config!$G$4,P$1,WORKDAY($A237,-1,config_Holiday_Calendar_US),WORKDAY($A237,-1,config_Holiday_Calendar_US)),IF(ISNUMBER(_xll.BDH(config!$G$4,P$1,$A237,$A237)),_xll.BDH(config!$G$4,P$1,$A237,$A237),_xll.BDH(config!$G$5,P$1,$A237,$A237))))</f>
        <v>#N/A Requesting Data...</v>
      </c>
      <c r="Q237" s="8">
        <f>IF($A237="","",IF(ISNUMBER(FIND("IMPVOL",Q$1)),_xll.BDH(config!$G$4,Q$1,WORKDAY($A237,-1,config_Holiday_Calendar_US),WORKDAY($A237,-1,config_Holiday_Calendar_US)),IF(ISNUMBER(_xll.BDH(config!$G$4,Q$1,$A237,$A237)),_xll.BDH(config!$G$4,Q$1,$A237,$A237),_xll.BDH(config!$G$5,Q$1,$A237,$A237))))</f>
        <v>32.79</v>
      </c>
      <c r="R237" s="8">
        <f>IF($A237="","",IF(ISNUMBER(FIND("IMPVOL",R$1)),_xll.BDH(config!$G$4,R$1,WORKDAY($A237,-1,config_Holiday_Calendar_US),WORKDAY($A237,-1,config_Holiday_Calendar_US)),IF(ISNUMBER(_xll.BDH(config!$G$4,R$1,$A237,$A237)),_xll.BDH(config!$G$4,R$1,$A237,$A237),_xll.BDH(config!$G$5,R$1,$A237,$A237))))</f>
        <v>42.2</v>
      </c>
      <c r="S237" s="8" t="str">
        <f>IF($A237="","",IF(ISNUMBER(FIND("IMPVOL",S$1)),_xll.BDH(config!$G$4,S$1,WORKDAY($A237,-1,config_Holiday_Calendar_US),WORKDAY($A237,-1,config_Holiday_Calendar_US)),IF(ISNUMBER(_xll.BDH(config!$G$4,S$1,$A237,$A237)),_xll.BDH(config!$G$4,S$1,$A237,$A237),_xll.BDH(config!$G$5,S$1,$A237,$A237))))</f>
        <v>#N/A Requesting Data...</v>
      </c>
      <c r="T237" s="8" t="str">
        <f>IF($A237="","",IF(ISNUMBER(FIND("IMPVOL",T$1)),_xll.BDH(config!$G$4,T$1,WORKDAY($A237,-1,config_Holiday_Calendar_US),WORKDAY($A237,-1,config_Holiday_Calendar_US)),IF(ISNUMBER(_xll.BDH(config!$G$4,T$1,$A237,$A237)),_xll.BDH(config!$G$4,T$1,$A237,$A237),_xll.BDH(config!$G$5,T$1,$A237,$A237))))</f>
        <v>#N/A Requesting Data...</v>
      </c>
      <c r="U237" s="8" t="str">
        <f>IF($A237="","",IF(ISNUMBER(FIND("IMPVOL",U$1)),_xll.BDH(config!$G$4,U$1,WORKDAY($A237,-1,config_Holiday_Calendar_US),WORKDAY($A237,-1,config_Holiday_Calendar_US)),IF(ISNUMBER(_xll.BDH(config!$G$4,U$1,$A237,$A237)),_xll.BDH(config!$G$4,U$1,$A237,$A237),_xll.BDH(config!$G$5,U$1,$A237,$A237))))</f>
        <v>#N/A Requesting Data...</v>
      </c>
      <c r="V237" s="8" t="str">
        <f>IF($A237="","",IF(ISNUMBER(FIND("IMPVOL",V$1)),_xll.BDH(config!$G$4,V$1,WORKDAY($A237,-1,config_Holiday_Calendar_US),WORKDAY($A237,-1,config_Holiday_Calendar_US)),IF(ISNUMBER(_xll.BDH(config!$G$4,V$1,$A237,$A237)),_xll.BDH(config!$G$4,V$1,$A237,$A237),_xll.BDH(config!$G$5,V$1,$A237,$A237))))</f>
        <v>#N/A Requesting Data...</v>
      </c>
      <c r="W237" s="8" t="str">
        <f>IF($A237="","",IF(ISNUMBER(FIND("IMPVOL",W$1)),_xll.BDH(config!$G$4,W$1,WORKDAY($A237,-1,config_Holiday_Calendar_US),WORKDAY($A237,-1,config_Holiday_Calendar_US)),IF(ISNUMBER(_xll.BDH(config!$G$4,W$1,$A237,$A237)),_xll.BDH(config!$G$4,W$1,$A237,$A237),_xll.BDH(config!$G$5,W$1,$A237,$A237))))</f>
        <v>#N/A Requesting Data...</v>
      </c>
    </row>
    <row r="238" spans="1:23" x14ac:dyDescent="0.2">
      <c r="A238" s="9">
        <f>IF(A237="","",IF(WORKDAY(A237,-1,config_Holiday_Calendar_US)&lt;config!$I$10,"",WORKDAY(A237,-1,config_Holiday_Calendar_US)))</f>
        <v>42488</v>
      </c>
      <c r="B238" s="8" t="e">
        <f t="shared" si="3"/>
        <v>#VALUE!</v>
      </c>
      <c r="C238" s="8" t="str">
        <f>IF(A238="","",_xll.BDH(config!$H$4,C$1,$A238,$A238))</f>
        <v>#N/A Requesting Data...</v>
      </c>
      <c r="D238" s="8" t="str">
        <f>IF($A238="","",_xll.BDH(config!$H$4,D$1,$A238,$A238))</f>
        <v>#N/A Requesting Data...</v>
      </c>
      <c r="E238" s="8">
        <f>IF($A238="","",IF(ISNUMBER(FIND("IMPVOL",E$1)),_xll.BDH(config!$G$4,E$1,WORKDAY($A238,-1,config_Holiday_Calendar_US),WORKDAY($A238,-1,config_Holiday_Calendar_US)),IF(ISNUMBER(_xll.BDH(config!$G$4,E$1,$A238,$A238)),_xll.BDH(config!$G$4,E$1,$A238,$A238),_xll.BDH(config!$G$5,E$1,$A238,$A238))))</f>
        <v>45.3</v>
      </c>
      <c r="F238" s="8">
        <f>IF($A238="","",IF(ISNUMBER(FIND("IMPVOL",F$1)),_xll.BDH(config!$G$4,F$1,WORKDAY($A238,-1,config_Holiday_Calendar_US),WORKDAY($A238,-1,config_Holiday_Calendar_US)),IF(ISNUMBER(_xll.BDH(config!$G$4,F$1,$A238,$A238)),_xll.BDH(config!$G$4,F$1,$A238,$A238),_xll.BDH(config!$G$5,F$1,$A238,$A238))))</f>
        <v>46.14</v>
      </c>
      <c r="G238" s="8">
        <f>IF($A238="","",IF(ISNUMBER(FIND("IMPVOL",G$1)),_xll.BDH(config!$G$4,G$1,WORKDAY($A238,-1,config_Holiday_Calendar_US),WORKDAY($A238,-1,config_Holiday_Calendar_US)),IF(ISNUMBER(_xll.BDH(config!$G$4,G$1,$A238,$A238)),_xll.BDH(config!$G$4,G$1,$A238,$A238),_xll.BDH(config!$G$5,G$1,$A238,$A238))))</f>
        <v>45.79</v>
      </c>
      <c r="H238" s="8">
        <f>IF($A238="","",IF(ISNUMBER(FIND("IMPVOL",H$1)),_xll.BDH(config!$G$4,H$1,WORKDAY($A238,-1,config_Holiday_Calendar_US),WORKDAY($A238,-1,config_Holiday_Calendar_US)),IF(ISNUMBER(_xll.BDH(config!$G$4,H$1,$A238,$A238)),_xll.BDH(config!$G$4,H$1,$A238,$A238),_xll.BDH(config!$G$5,H$1,$A238,$A238))))</f>
        <v>110355</v>
      </c>
      <c r="I238" s="8" t="str">
        <f>IF($A238="","",IF(ISNUMBER(FIND("IMPVOL",I$1)),_xll.BDH(config!$G$4,I$1,WORKDAY($A238,-1,config_Holiday_Calendar_US),WORKDAY($A238,-1,config_Holiday_Calendar_US)),IF(ISNUMBER(_xll.BDH(config!$G$4,I$1,$A238,$A238)),_xll.BDH(config!$G$4,I$1,$A238,$A238),_xll.BDH(config!$G$5,I$1,$A238,$A238))))</f>
        <v>#N/A Requesting Data...</v>
      </c>
      <c r="J238" s="8" t="str">
        <f>IF($A238="","",IF(ISNUMBER(FIND("IMPVOL",J$1)),_xll.BDH(config!$G$4,J$1,WORKDAY($A238,-1,config_Holiday_Calendar_US),WORKDAY($A238,-1,config_Holiday_Calendar_US)),IF(ISNUMBER(_xll.BDH(config!$G$4,J$1,$A238,$A238)),_xll.BDH(config!$G$4,J$1,$A238,$A238),_xll.BDH(config!$G$5,J$1,$A238,$A238))))</f>
        <v>#N/A Requesting Data...</v>
      </c>
      <c r="K238" s="8" t="str">
        <f>IF($A238="","",IF(ISNUMBER(FIND("IMPVOL",K$1)),_xll.BDH(config!$G$4,K$1,WORKDAY($A238,-1,config_Holiday_Calendar_US),WORKDAY($A238,-1,config_Holiday_Calendar_US)),IF(ISNUMBER(_xll.BDH(config!$G$4,K$1,$A238,$A238)),_xll.BDH(config!$G$4,K$1,$A238,$A238),_xll.BDH(config!$G$5,K$1,$A238,$A238))))</f>
        <v>#N/A Requesting Data...</v>
      </c>
      <c r="L238" s="8" t="str">
        <f>IF($A238="","",IF(ISNUMBER(FIND("IMPVOL",L$1)),_xll.BDH(config!$G$4,L$1,WORKDAY($A238,-1,config_Holiday_Calendar_US),WORKDAY($A238,-1,config_Holiday_Calendar_US)),IF(ISNUMBER(_xll.BDH(config!$G$4,L$1,$A238,$A238)),_xll.BDH(config!$G$4,L$1,$A238,$A238),_xll.BDH(config!$G$5,L$1,$A238,$A238))))</f>
        <v>#N/A Requesting Data...</v>
      </c>
      <c r="M238" s="8" t="str">
        <f>IF($A238="","",IF(ISNUMBER(FIND("IMPVOL",M$1)),_xll.BDH(config!$G$4,M$1,WORKDAY($A238,-1,config_Holiday_Calendar_US),WORKDAY($A238,-1,config_Holiday_Calendar_US)),IF(ISNUMBER(_xll.BDH(config!$G$4,M$1,$A238,$A238)),_xll.BDH(config!$G$4,M$1,$A238,$A238),_xll.BDH(config!$G$5,M$1,$A238,$A238))))</f>
        <v>#N/A Requesting Data...</v>
      </c>
      <c r="N238" s="8" t="str">
        <f>IF($A238="","",IF(ISNUMBER(FIND("IMPVOL",N$1)),_xll.BDH(config!$G$4,N$1,WORKDAY($A238,-1,config_Holiday_Calendar_US),WORKDAY($A238,-1,config_Holiday_Calendar_US)),IF(ISNUMBER(_xll.BDH(config!$G$4,N$1,$A238,$A238)),_xll.BDH(config!$G$4,N$1,$A238,$A238),_xll.BDH(config!$G$5,N$1,$A238,$A238))))</f>
        <v>#N/A Requesting Data...</v>
      </c>
      <c r="O238" s="8" t="str">
        <f>IF($A238="","",IF(ISNUMBER(FIND("IMPVOL",O$1)),_xll.BDH(config!$G$4,O$1,WORKDAY($A238,-1,config_Holiday_Calendar_US),WORKDAY($A238,-1,config_Holiday_Calendar_US)),IF(ISNUMBER(_xll.BDH(config!$G$4,O$1,$A238,$A238)),_xll.BDH(config!$G$4,O$1,$A238,$A238),_xll.BDH(config!$G$5,O$1,$A238,$A238))))</f>
        <v>#N/A Requesting Data...</v>
      </c>
      <c r="P238" s="8" t="str">
        <f>IF($A238="","",IF(ISNUMBER(FIND("IMPVOL",P$1)),_xll.BDH(config!$G$4,P$1,WORKDAY($A238,-1,config_Holiday_Calendar_US),WORKDAY($A238,-1,config_Holiday_Calendar_US)),IF(ISNUMBER(_xll.BDH(config!$G$4,P$1,$A238,$A238)),_xll.BDH(config!$G$4,P$1,$A238,$A238),_xll.BDH(config!$G$5,P$1,$A238,$A238))))</f>
        <v>#N/A Requesting Data...</v>
      </c>
      <c r="Q238" s="8">
        <f>IF($A238="","",IF(ISNUMBER(FIND("IMPVOL",Q$1)),_xll.BDH(config!$G$4,Q$1,WORKDAY($A238,-1,config_Holiday_Calendar_US),WORKDAY($A238,-1,config_Holiday_Calendar_US)),IF(ISNUMBER(_xll.BDH(config!$G$4,Q$1,$A238,$A238)),_xll.BDH(config!$G$4,Q$1,$A238,$A238),_xll.BDH(config!$G$5,Q$1,$A238,$A238))))</f>
        <v>34.6</v>
      </c>
      <c r="R238" s="8">
        <f>IF($A238="","",IF(ISNUMBER(FIND("IMPVOL",R$1)),_xll.BDH(config!$G$4,R$1,WORKDAY($A238,-1,config_Holiday_Calendar_US),WORKDAY($A238,-1,config_Holiday_Calendar_US)),IF(ISNUMBER(_xll.BDH(config!$G$4,R$1,$A238,$A238)),_xll.BDH(config!$G$4,R$1,$A238,$A238),_xll.BDH(config!$G$5,R$1,$A238,$A238))))</f>
        <v>42.44</v>
      </c>
      <c r="S238" s="8" t="str">
        <f>IF($A238="","",IF(ISNUMBER(FIND("IMPVOL",S$1)),_xll.BDH(config!$G$4,S$1,WORKDAY($A238,-1,config_Holiday_Calendar_US),WORKDAY($A238,-1,config_Holiday_Calendar_US)),IF(ISNUMBER(_xll.BDH(config!$G$4,S$1,$A238,$A238)),_xll.BDH(config!$G$4,S$1,$A238,$A238),_xll.BDH(config!$G$5,S$1,$A238,$A238))))</f>
        <v>#N/A Requesting Data...</v>
      </c>
      <c r="T238" s="8" t="str">
        <f>IF($A238="","",IF(ISNUMBER(FIND("IMPVOL",T$1)),_xll.BDH(config!$G$4,T$1,WORKDAY($A238,-1,config_Holiday_Calendar_US),WORKDAY($A238,-1,config_Holiday_Calendar_US)),IF(ISNUMBER(_xll.BDH(config!$G$4,T$1,$A238,$A238)),_xll.BDH(config!$G$4,T$1,$A238,$A238),_xll.BDH(config!$G$5,T$1,$A238,$A238))))</f>
        <v>#N/A Requesting Data...</v>
      </c>
      <c r="U238" s="8" t="str">
        <f>IF($A238="","",IF(ISNUMBER(FIND("IMPVOL",U$1)),_xll.BDH(config!$G$4,U$1,WORKDAY($A238,-1,config_Holiday_Calendar_US),WORKDAY($A238,-1,config_Holiday_Calendar_US)),IF(ISNUMBER(_xll.BDH(config!$G$4,U$1,$A238,$A238)),_xll.BDH(config!$G$4,U$1,$A238,$A238),_xll.BDH(config!$G$5,U$1,$A238,$A238))))</f>
        <v>#N/A Requesting Data...</v>
      </c>
      <c r="V238" s="8" t="str">
        <f>IF($A238="","",IF(ISNUMBER(FIND("IMPVOL",V$1)),_xll.BDH(config!$G$4,V$1,WORKDAY($A238,-1,config_Holiday_Calendar_US),WORKDAY($A238,-1,config_Holiday_Calendar_US)),IF(ISNUMBER(_xll.BDH(config!$G$4,V$1,$A238,$A238)),_xll.BDH(config!$G$4,V$1,$A238,$A238),_xll.BDH(config!$G$5,V$1,$A238,$A238))))</f>
        <v>#N/A Requesting Data...</v>
      </c>
      <c r="W238" s="8" t="str">
        <f>IF($A238="","",IF(ISNUMBER(FIND("IMPVOL",W$1)),_xll.BDH(config!$G$4,W$1,WORKDAY($A238,-1,config_Holiday_Calendar_US),WORKDAY($A238,-1,config_Holiday_Calendar_US)),IF(ISNUMBER(_xll.BDH(config!$G$4,W$1,$A238,$A238)),_xll.BDH(config!$G$4,W$1,$A238,$A238),_xll.BDH(config!$G$5,W$1,$A238,$A238))))</f>
        <v>#N/A Requesting Data...</v>
      </c>
    </row>
    <row r="239" spans="1:23" x14ac:dyDescent="0.2">
      <c r="A239" s="9">
        <f>IF(A238="","",IF(WORKDAY(A238,-1,config_Holiday_Calendar_US)&lt;config!$I$10,"",WORKDAY(A238,-1,config_Holiday_Calendar_US)))</f>
        <v>42487</v>
      </c>
      <c r="B239" s="8" t="e">
        <f t="shared" si="3"/>
        <v>#VALUE!</v>
      </c>
      <c r="C239" s="8" t="str">
        <f>IF(A239="","",_xll.BDH(config!$H$4,C$1,$A239,$A239))</f>
        <v>#N/A Requesting Data...</v>
      </c>
      <c r="D239" s="8" t="str">
        <f>IF($A239="","",_xll.BDH(config!$H$4,D$1,$A239,$A239))</f>
        <v>#N/A Requesting Data...</v>
      </c>
      <c r="E239" s="8">
        <f>IF($A239="","",IF(ISNUMBER(FIND("IMPVOL",E$1)),_xll.BDH(config!$G$4,E$1,WORKDAY($A239,-1,config_Holiday_Calendar_US),WORKDAY($A239,-1,config_Holiday_Calendar_US)),IF(ISNUMBER(_xll.BDH(config!$G$4,E$1,$A239,$A239)),_xll.BDH(config!$G$4,E$1,$A239,$A239),_xll.BDH(config!$G$5,E$1,$A239,$A239))))</f>
        <v>44.64</v>
      </c>
      <c r="F239" s="8">
        <f>IF($A239="","",IF(ISNUMBER(FIND("IMPVOL",F$1)),_xll.BDH(config!$G$4,F$1,WORKDAY($A239,-1,config_Holiday_Calendar_US),WORKDAY($A239,-1,config_Holiday_Calendar_US)),IF(ISNUMBER(_xll.BDH(config!$G$4,F$1,$A239,$A239)),_xll.BDH(config!$G$4,F$1,$A239,$A239),_xll.BDH(config!$G$5,F$1,$A239,$A239))))</f>
        <v>45.62</v>
      </c>
      <c r="G239" s="8">
        <f>IF($A239="","",IF(ISNUMBER(FIND("IMPVOL",G$1)),_xll.BDH(config!$G$4,G$1,WORKDAY($A239,-1,config_Holiday_Calendar_US),WORKDAY($A239,-1,config_Holiday_Calendar_US)),IF(ISNUMBER(_xll.BDH(config!$G$4,G$1,$A239,$A239)),_xll.BDH(config!$G$4,G$1,$A239,$A239),_xll.BDH(config!$G$5,G$1,$A239,$A239))))</f>
        <v>44.64</v>
      </c>
      <c r="H239" s="8">
        <f>IF($A239="","",IF(ISNUMBER(FIND("IMPVOL",H$1)),_xll.BDH(config!$G$4,H$1,WORKDAY($A239,-1,config_Holiday_Calendar_US),WORKDAY($A239,-1,config_Holiday_Calendar_US)),IF(ISNUMBER(_xll.BDH(config!$G$4,H$1,$A239,$A239)),_xll.BDH(config!$G$4,H$1,$A239,$A239),_xll.BDH(config!$G$5,H$1,$A239,$A239))))</f>
        <v>124341</v>
      </c>
      <c r="I239" s="8" t="str">
        <f>IF($A239="","",IF(ISNUMBER(FIND("IMPVOL",I$1)),_xll.BDH(config!$G$4,I$1,WORKDAY($A239,-1,config_Holiday_Calendar_US),WORKDAY($A239,-1,config_Holiday_Calendar_US)),IF(ISNUMBER(_xll.BDH(config!$G$4,I$1,$A239,$A239)),_xll.BDH(config!$G$4,I$1,$A239,$A239),_xll.BDH(config!$G$5,I$1,$A239,$A239))))</f>
        <v>#N/A Requesting Data...</v>
      </c>
      <c r="J239" s="8" t="str">
        <f>IF($A239="","",IF(ISNUMBER(FIND("IMPVOL",J$1)),_xll.BDH(config!$G$4,J$1,WORKDAY($A239,-1,config_Holiday_Calendar_US),WORKDAY($A239,-1,config_Holiday_Calendar_US)),IF(ISNUMBER(_xll.BDH(config!$G$4,J$1,$A239,$A239)),_xll.BDH(config!$G$4,J$1,$A239,$A239),_xll.BDH(config!$G$5,J$1,$A239,$A239))))</f>
        <v>#N/A Requesting Data...</v>
      </c>
      <c r="K239" s="8" t="str">
        <f>IF($A239="","",IF(ISNUMBER(FIND("IMPVOL",K$1)),_xll.BDH(config!$G$4,K$1,WORKDAY($A239,-1,config_Holiday_Calendar_US),WORKDAY($A239,-1,config_Holiday_Calendar_US)),IF(ISNUMBER(_xll.BDH(config!$G$4,K$1,$A239,$A239)),_xll.BDH(config!$G$4,K$1,$A239,$A239),_xll.BDH(config!$G$5,K$1,$A239,$A239))))</f>
        <v>#N/A Requesting Data...</v>
      </c>
      <c r="L239" s="8" t="str">
        <f>IF($A239="","",IF(ISNUMBER(FIND("IMPVOL",L$1)),_xll.BDH(config!$G$4,L$1,WORKDAY($A239,-1,config_Holiday_Calendar_US),WORKDAY($A239,-1,config_Holiday_Calendar_US)),IF(ISNUMBER(_xll.BDH(config!$G$4,L$1,$A239,$A239)),_xll.BDH(config!$G$4,L$1,$A239,$A239),_xll.BDH(config!$G$5,L$1,$A239,$A239))))</f>
        <v>#N/A Requesting Data...</v>
      </c>
      <c r="M239" s="8" t="str">
        <f>IF($A239="","",IF(ISNUMBER(FIND("IMPVOL",M$1)),_xll.BDH(config!$G$4,M$1,WORKDAY($A239,-1,config_Holiday_Calendar_US),WORKDAY($A239,-1,config_Holiday_Calendar_US)),IF(ISNUMBER(_xll.BDH(config!$G$4,M$1,$A239,$A239)),_xll.BDH(config!$G$4,M$1,$A239,$A239),_xll.BDH(config!$G$5,M$1,$A239,$A239))))</f>
        <v>#N/A Requesting Data...</v>
      </c>
      <c r="N239" s="8" t="str">
        <f>IF($A239="","",IF(ISNUMBER(FIND("IMPVOL",N$1)),_xll.BDH(config!$G$4,N$1,WORKDAY($A239,-1,config_Holiday_Calendar_US),WORKDAY($A239,-1,config_Holiday_Calendar_US)),IF(ISNUMBER(_xll.BDH(config!$G$4,N$1,$A239,$A239)),_xll.BDH(config!$G$4,N$1,$A239,$A239),_xll.BDH(config!$G$5,N$1,$A239,$A239))))</f>
        <v>#N/A Requesting Data...</v>
      </c>
      <c r="O239" s="8" t="str">
        <f>IF($A239="","",IF(ISNUMBER(FIND("IMPVOL",O$1)),_xll.BDH(config!$G$4,O$1,WORKDAY($A239,-1,config_Holiday_Calendar_US),WORKDAY($A239,-1,config_Holiday_Calendar_US)),IF(ISNUMBER(_xll.BDH(config!$G$4,O$1,$A239,$A239)),_xll.BDH(config!$G$4,O$1,$A239,$A239),_xll.BDH(config!$G$5,O$1,$A239,$A239))))</f>
        <v>#N/A Requesting Data...</v>
      </c>
      <c r="P239" s="8" t="str">
        <f>IF($A239="","",IF(ISNUMBER(FIND("IMPVOL",P$1)),_xll.BDH(config!$G$4,P$1,WORKDAY($A239,-1,config_Holiday_Calendar_US),WORKDAY($A239,-1,config_Holiday_Calendar_US)),IF(ISNUMBER(_xll.BDH(config!$G$4,P$1,$A239,$A239)),_xll.BDH(config!$G$4,P$1,$A239,$A239),_xll.BDH(config!$G$5,P$1,$A239,$A239))))</f>
        <v>#N/A Requesting Data...</v>
      </c>
      <c r="Q239" s="8">
        <f>IF($A239="","",IF(ISNUMBER(FIND("IMPVOL",Q$1)),_xll.BDH(config!$G$4,Q$1,WORKDAY($A239,-1,config_Holiday_Calendar_US),WORKDAY($A239,-1,config_Holiday_Calendar_US)),IF(ISNUMBER(_xll.BDH(config!$G$4,Q$1,$A239,$A239)),_xll.BDH(config!$G$4,Q$1,$A239,$A239),_xll.BDH(config!$G$5,Q$1,$A239,$A239))))</f>
        <v>39.520000000000003</v>
      </c>
      <c r="R239" s="8">
        <f>IF($A239="","",IF(ISNUMBER(FIND("IMPVOL",R$1)),_xll.BDH(config!$G$4,R$1,WORKDAY($A239,-1,config_Holiday_Calendar_US),WORKDAY($A239,-1,config_Holiday_Calendar_US)),IF(ISNUMBER(_xll.BDH(config!$G$4,R$1,$A239,$A239)),_xll.BDH(config!$G$4,R$1,$A239,$A239),_xll.BDH(config!$G$5,R$1,$A239,$A239))))</f>
        <v>43.74</v>
      </c>
      <c r="S239" s="8" t="str">
        <f>IF($A239="","",IF(ISNUMBER(FIND("IMPVOL",S$1)),_xll.BDH(config!$G$4,S$1,WORKDAY($A239,-1,config_Holiday_Calendar_US),WORKDAY($A239,-1,config_Holiday_Calendar_US)),IF(ISNUMBER(_xll.BDH(config!$G$4,S$1,$A239,$A239)),_xll.BDH(config!$G$4,S$1,$A239,$A239),_xll.BDH(config!$G$5,S$1,$A239,$A239))))</f>
        <v>#N/A Requesting Data...</v>
      </c>
      <c r="T239" s="8" t="str">
        <f>IF($A239="","",IF(ISNUMBER(FIND("IMPVOL",T$1)),_xll.BDH(config!$G$4,T$1,WORKDAY($A239,-1,config_Holiday_Calendar_US),WORKDAY($A239,-1,config_Holiday_Calendar_US)),IF(ISNUMBER(_xll.BDH(config!$G$4,T$1,$A239,$A239)),_xll.BDH(config!$G$4,T$1,$A239,$A239),_xll.BDH(config!$G$5,T$1,$A239,$A239))))</f>
        <v>#N/A Requesting Data...</v>
      </c>
      <c r="U239" s="8" t="str">
        <f>IF($A239="","",IF(ISNUMBER(FIND("IMPVOL",U$1)),_xll.BDH(config!$G$4,U$1,WORKDAY($A239,-1,config_Holiday_Calendar_US),WORKDAY($A239,-1,config_Holiday_Calendar_US)),IF(ISNUMBER(_xll.BDH(config!$G$4,U$1,$A239,$A239)),_xll.BDH(config!$G$4,U$1,$A239,$A239),_xll.BDH(config!$G$5,U$1,$A239,$A239))))</f>
        <v>#N/A Requesting Data...</v>
      </c>
      <c r="V239" s="8" t="str">
        <f>IF($A239="","",IF(ISNUMBER(FIND("IMPVOL",V$1)),_xll.BDH(config!$G$4,V$1,WORKDAY($A239,-1,config_Holiday_Calendar_US),WORKDAY($A239,-1,config_Holiday_Calendar_US)),IF(ISNUMBER(_xll.BDH(config!$G$4,V$1,$A239,$A239)),_xll.BDH(config!$G$4,V$1,$A239,$A239),_xll.BDH(config!$G$5,V$1,$A239,$A239))))</f>
        <v>#N/A Requesting Data...</v>
      </c>
      <c r="W239" s="8" t="str">
        <f>IF($A239="","",IF(ISNUMBER(FIND("IMPVOL",W$1)),_xll.BDH(config!$G$4,W$1,WORKDAY($A239,-1,config_Holiday_Calendar_US),WORKDAY($A239,-1,config_Holiday_Calendar_US)),IF(ISNUMBER(_xll.BDH(config!$G$4,W$1,$A239,$A239)),_xll.BDH(config!$G$4,W$1,$A239,$A239),_xll.BDH(config!$G$5,W$1,$A239,$A239))))</f>
        <v>#N/A Requesting Data...</v>
      </c>
    </row>
    <row r="240" spans="1:23" x14ac:dyDescent="0.2">
      <c r="A240" s="9">
        <f>IF(A239="","",IF(WORKDAY(A239,-1,config_Holiday_Calendar_US)&lt;config!$I$10,"",WORKDAY(A239,-1,config_Holiday_Calendar_US)))</f>
        <v>42486</v>
      </c>
      <c r="B240" s="8" t="e">
        <f t="shared" si="3"/>
        <v>#VALUE!</v>
      </c>
      <c r="C240" s="8" t="str">
        <f>IF(A240="","",_xll.BDH(config!$H$4,C$1,$A240,$A240))</f>
        <v>#N/A Requesting Data...</v>
      </c>
      <c r="D240" s="8" t="str">
        <f>IF($A240="","",_xll.BDH(config!$H$4,D$1,$A240,$A240))</f>
        <v>#N/A Requesting Data...</v>
      </c>
      <c r="E240" s="8">
        <f>IF($A240="","",IF(ISNUMBER(FIND("IMPVOL",E$1)),_xll.BDH(config!$G$4,E$1,WORKDAY($A240,-1,config_Holiday_Calendar_US),WORKDAY($A240,-1,config_Holiday_Calendar_US)),IF(ISNUMBER(_xll.BDH(config!$G$4,E$1,$A240,$A240)),_xll.BDH(config!$G$4,E$1,$A240,$A240),_xll.BDH(config!$G$5,E$1,$A240,$A240))))</f>
        <v>42.96</v>
      </c>
      <c r="F240" s="8">
        <f>IF($A240="","",IF(ISNUMBER(FIND("IMPVOL",F$1)),_xll.BDH(config!$G$4,F$1,WORKDAY($A240,-1,config_Holiday_Calendar_US),WORKDAY($A240,-1,config_Holiday_Calendar_US)),IF(ISNUMBER(_xll.BDH(config!$G$4,F$1,$A240,$A240)),_xll.BDH(config!$G$4,F$1,$A240,$A240),_xll.BDH(config!$G$5,F$1,$A240,$A240))))</f>
        <v>44.83</v>
      </c>
      <c r="G240" s="8">
        <f>IF($A240="","",IF(ISNUMBER(FIND("IMPVOL",G$1)),_xll.BDH(config!$G$4,G$1,WORKDAY($A240,-1,config_Holiday_Calendar_US),WORKDAY($A240,-1,config_Holiday_Calendar_US)),IF(ISNUMBER(_xll.BDH(config!$G$4,G$1,$A240,$A240)),_xll.BDH(config!$G$4,G$1,$A240,$A240),_xll.BDH(config!$G$5,G$1,$A240,$A240))))</f>
        <v>43.43</v>
      </c>
      <c r="H240" s="8">
        <f>IF($A240="","",IF(ISNUMBER(FIND("IMPVOL",H$1)),_xll.BDH(config!$G$4,H$1,WORKDAY($A240,-1,config_Holiday_Calendar_US),WORKDAY($A240,-1,config_Holiday_Calendar_US)),IF(ISNUMBER(_xll.BDH(config!$G$4,H$1,$A240,$A240)),_xll.BDH(config!$G$4,H$1,$A240,$A240),_xll.BDH(config!$G$5,H$1,$A240,$A240))))</f>
        <v>116896</v>
      </c>
      <c r="I240" s="8" t="str">
        <f>IF($A240="","",IF(ISNUMBER(FIND("IMPVOL",I$1)),_xll.BDH(config!$G$4,I$1,WORKDAY($A240,-1,config_Holiday_Calendar_US),WORKDAY($A240,-1,config_Holiday_Calendar_US)),IF(ISNUMBER(_xll.BDH(config!$G$4,I$1,$A240,$A240)),_xll.BDH(config!$G$4,I$1,$A240,$A240),_xll.BDH(config!$G$5,I$1,$A240,$A240))))</f>
        <v>#N/A Requesting Data...</v>
      </c>
      <c r="J240" s="8" t="str">
        <f>IF($A240="","",IF(ISNUMBER(FIND("IMPVOL",J$1)),_xll.BDH(config!$G$4,J$1,WORKDAY($A240,-1,config_Holiday_Calendar_US),WORKDAY($A240,-1,config_Holiday_Calendar_US)),IF(ISNUMBER(_xll.BDH(config!$G$4,J$1,$A240,$A240)),_xll.BDH(config!$G$4,J$1,$A240,$A240),_xll.BDH(config!$G$5,J$1,$A240,$A240))))</f>
        <v>#N/A Requesting Data...</v>
      </c>
      <c r="K240" s="8" t="str">
        <f>IF($A240="","",IF(ISNUMBER(FIND("IMPVOL",K$1)),_xll.BDH(config!$G$4,K$1,WORKDAY($A240,-1,config_Holiday_Calendar_US),WORKDAY($A240,-1,config_Holiday_Calendar_US)),IF(ISNUMBER(_xll.BDH(config!$G$4,K$1,$A240,$A240)),_xll.BDH(config!$G$4,K$1,$A240,$A240),_xll.BDH(config!$G$5,K$1,$A240,$A240))))</f>
        <v>#N/A Requesting Data...</v>
      </c>
      <c r="L240" s="8" t="str">
        <f>IF($A240="","",IF(ISNUMBER(FIND("IMPVOL",L$1)),_xll.BDH(config!$G$4,L$1,WORKDAY($A240,-1,config_Holiday_Calendar_US),WORKDAY($A240,-1,config_Holiday_Calendar_US)),IF(ISNUMBER(_xll.BDH(config!$G$4,L$1,$A240,$A240)),_xll.BDH(config!$G$4,L$1,$A240,$A240),_xll.BDH(config!$G$5,L$1,$A240,$A240))))</f>
        <v>#N/A Requesting Data...</v>
      </c>
      <c r="M240" s="8" t="str">
        <f>IF($A240="","",IF(ISNUMBER(FIND("IMPVOL",M$1)),_xll.BDH(config!$G$4,M$1,WORKDAY($A240,-1,config_Holiday_Calendar_US),WORKDAY($A240,-1,config_Holiday_Calendar_US)),IF(ISNUMBER(_xll.BDH(config!$G$4,M$1,$A240,$A240)),_xll.BDH(config!$G$4,M$1,$A240,$A240),_xll.BDH(config!$G$5,M$1,$A240,$A240))))</f>
        <v>#N/A Requesting Data...</v>
      </c>
      <c r="N240" s="8" t="str">
        <f>IF($A240="","",IF(ISNUMBER(FIND("IMPVOL",N$1)),_xll.BDH(config!$G$4,N$1,WORKDAY($A240,-1,config_Holiday_Calendar_US),WORKDAY($A240,-1,config_Holiday_Calendar_US)),IF(ISNUMBER(_xll.BDH(config!$G$4,N$1,$A240,$A240)),_xll.BDH(config!$G$4,N$1,$A240,$A240),_xll.BDH(config!$G$5,N$1,$A240,$A240))))</f>
        <v>#N/A Requesting Data...</v>
      </c>
      <c r="O240" s="8" t="str">
        <f>IF($A240="","",IF(ISNUMBER(FIND("IMPVOL",O$1)),_xll.BDH(config!$G$4,O$1,WORKDAY($A240,-1,config_Holiday_Calendar_US),WORKDAY($A240,-1,config_Holiday_Calendar_US)),IF(ISNUMBER(_xll.BDH(config!$G$4,O$1,$A240,$A240)),_xll.BDH(config!$G$4,O$1,$A240,$A240),_xll.BDH(config!$G$5,O$1,$A240,$A240))))</f>
        <v>#N/A Requesting Data...</v>
      </c>
      <c r="P240" s="8" t="str">
        <f>IF($A240="","",IF(ISNUMBER(FIND("IMPVOL",P$1)),_xll.BDH(config!$G$4,P$1,WORKDAY($A240,-1,config_Holiday_Calendar_US),WORKDAY($A240,-1,config_Holiday_Calendar_US)),IF(ISNUMBER(_xll.BDH(config!$G$4,P$1,$A240,$A240)),_xll.BDH(config!$G$4,P$1,$A240,$A240),_xll.BDH(config!$G$5,P$1,$A240,$A240))))</f>
        <v>#N/A Requesting Data...</v>
      </c>
      <c r="Q240" s="8">
        <f>IF($A240="","",IF(ISNUMBER(FIND("IMPVOL",Q$1)),_xll.BDH(config!$G$4,Q$1,WORKDAY($A240,-1,config_Holiday_Calendar_US),WORKDAY($A240,-1,config_Holiday_Calendar_US)),IF(ISNUMBER(_xll.BDH(config!$G$4,Q$1,$A240,$A240)),_xll.BDH(config!$G$4,Q$1,$A240,$A240),_xll.BDH(config!$G$5,Q$1,$A240,$A240))))</f>
        <v>38.409999999999997</v>
      </c>
      <c r="R240" s="8">
        <f>IF($A240="","",IF(ISNUMBER(FIND("IMPVOL",R$1)),_xll.BDH(config!$G$4,R$1,WORKDAY($A240,-1,config_Holiday_Calendar_US),WORKDAY($A240,-1,config_Holiday_Calendar_US)),IF(ISNUMBER(_xll.BDH(config!$G$4,R$1,$A240,$A240)),_xll.BDH(config!$G$4,R$1,$A240,$A240),_xll.BDH(config!$G$5,R$1,$A240,$A240))))</f>
        <v>45.18</v>
      </c>
      <c r="S240" s="8" t="str">
        <f>IF($A240="","",IF(ISNUMBER(FIND("IMPVOL",S$1)),_xll.BDH(config!$G$4,S$1,WORKDAY($A240,-1,config_Holiday_Calendar_US),WORKDAY($A240,-1,config_Holiday_Calendar_US)),IF(ISNUMBER(_xll.BDH(config!$G$4,S$1,$A240,$A240)),_xll.BDH(config!$G$4,S$1,$A240,$A240),_xll.BDH(config!$G$5,S$1,$A240,$A240))))</f>
        <v>#N/A Requesting Data...</v>
      </c>
      <c r="T240" s="8" t="str">
        <f>IF($A240="","",IF(ISNUMBER(FIND("IMPVOL",T$1)),_xll.BDH(config!$G$4,T$1,WORKDAY($A240,-1,config_Holiday_Calendar_US),WORKDAY($A240,-1,config_Holiday_Calendar_US)),IF(ISNUMBER(_xll.BDH(config!$G$4,T$1,$A240,$A240)),_xll.BDH(config!$G$4,T$1,$A240,$A240),_xll.BDH(config!$G$5,T$1,$A240,$A240))))</f>
        <v>#N/A Requesting Data...</v>
      </c>
      <c r="U240" s="8" t="str">
        <f>IF($A240="","",IF(ISNUMBER(FIND("IMPVOL",U$1)),_xll.BDH(config!$G$4,U$1,WORKDAY($A240,-1,config_Holiday_Calendar_US),WORKDAY($A240,-1,config_Holiday_Calendar_US)),IF(ISNUMBER(_xll.BDH(config!$G$4,U$1,$A240,$A240)),_xll.BDH(config!$G$4,U$1,$A240,$A240),_xll.BDH(config!$G$5,U$1,$A240,$A240))))</f>
        <v>#N/A Requesting Data...</v>
      </c>
      <c r="V240" s="8" t="str">
        <f>IF($A240="","",IF(ISNUMBER(FIND("IMPVOL",V$1)),_xll.BDH(config!$G$4,V$1,WORKDAY($A240,-1,config_Holiday_Calendar_US),WORKDAY($A240,-1,config_Holiday_Calendar_US)),IF(ISNUMBER(_xll.BDH(config!$G$4,V$1,$A240,$A240)),_xll.BDH(config!$G$4,V$1,$A240,$A240),_xll.BDH(config!$G$5,V$1,$A240,$A240))))</f>
        <v>#N/A Requesting Data...</v>
      </c>
      <c r="W240" s="8" t="str">
        <f>IF($A240="","",IF(ISNUMBER(FIND("IMPVOL",W$1)),_xll.BDH(config!$G$4,W$1,WORKDAY($A240,-1,config_Holiday_Calendar_US),WORKDAY($A240,-1,config_Holiday_Calendar_US)),IF(ISNUMBER(_xll.BDH(config!$G$4,W$1,$A240,$A240)),_xll.BDH(config!$G$4,W$1,$A240,$A240),_xll.BDH(config!$G$5,W$1,$A240,$A240))))</f>
        <v>#N/A Requesting Data...</v>
      </c>
    </row>
    <row r="241" spans="1:23" x14ac:dyDescent="0.2">
      <c r="A241" s="9">
        <f>IF(A240="","",IF(WORKDAY(A240,-1,config_Holiday_Calendar_US)&lt;config!$I$10,"",WORKDAY(A240,-1,config_Holiday_Calendar_US)))</f>
        <v>42485</v>
      </c>
      <c r="B241" s="8" t="e">
        <f t="shared" si="3"/>
        <v>#VALUE!</v>
      </c>
      <c r="C241" s="8" t="str">
        <f>IF(A241="","",_xll.BDH(config!$H$4,C$1,$A241,$A241))</f>
        <v>#N/A Requesting Data...</v>
      </c>
      <c r="D241" s="8" t="str">
        <f>IF($A241="","",_xll.BDH(config!$H$4,D$1,$A241,$A241))</f>
        <v>#N/A Requesting Data...</v>
      </c>
      <c r="E241" s="8">
        <f>IF($A241="","",IF(ISNUMBER(FIND("IMPVOL",E$1)),_xll.BDH(config!$G$4,E$1,WORKDAY($A241,-1,config_Holiday_Calendar_US),WORKDAY($A241,-1,config_Holiday_Calendar_US)),IF(ISNUMBER(_xll.BDH(config!$G$4,E$1,$A241,$A241)),_xll.BDH(config!$G$4,E$1,$A241,$A241),_xll.BDH(config!$G$5,E$1,$A241,$A241))))</f>
        <v>43.75</v>
      </c>
      <c r="F241" s="8">
        <f>IF($A241="","",IF(ISNUMBER(FIND("IMPVOL",F$1)),_xll.BDH(config!$G$4,F$1,WORKDAY($A241,-1,config_Holiday_Calendar_US),WORKDAY($A241,-1,config_Holiday_Calendar_US)),IF(ISNUMBER(_xll.BDH(config!$G$4,F$1,$A241,$A241)),_xll.BDH(config!$G$4,F$1,$A241,$A241),_xll.BDH(config!$G$5,F$1,$A241,$A241))))</f>
        <v>44.04</v>
      </c>
      <c r="G241" s="8">
        <f>IF($A241="","",IF(ISNUMBER(FIND("IMPVOL",G$1)),_xll.BDH(config!$G$4,G$1,WORKDAY($A241,-1,config_Holiday_Calendar_US),WORKDAY($A241,-1,config_Holiday_Calendar_US)),IF(ISNUMBER(_xll.BDH(config!$G$4,G$1,$A241,$A241)),_xll.BDH(config!$G$4,G$1,$A241,$A241),_xll.BDH(config!$G$5,G$1,$A241,$A241))))</f>
        <v>43.53</v>
      </c>
      <c r="H241" s="8">
        <f>IF($A241="","",IF(ISNUMBER(FIND("IMPVOL",H$1)),_xll.BDH(config!$G$4,H$1,WORKDAY($A241,-1,config_Holiday_Calendar_US),WORKDAY($A241,-1,config_Holiday_Calendar_US)),IF(ISNUMBER(_xll.BDH(config!$G$4,H$1,$A241,$A241)),_xll.BDH(config!$G$4,H$1,$A241,$A241),_xll.BDH(config!$G$5,H$1,$A241,$A241))))</f>
        <v>128815</v>
      </c>
      <c r="I241" s="8" t="str">
        <f>IF($A241="","",IF(ISNUMBER(FIND("IMPVOL",I$1)),_xll.BDH(config!$G$4,I$1,WORKDAY($A241,-1,config_Holiday_Calendar_US),WORKDAY($A241,-1,config_Holiday_Calendar_US)),IF(ISNUMBER(_xll.BDH(config!$G$4,I$1,$A241,$A241)),_xll.BDH(config!$G$4,I$1,$A241,$A241),_xll.BDH(config!$G$5,I$1,$A241,$A241))))</f>
        <v>#N/A Requesting Data...</v>
      </c>
      <c r="J241" s="8" t="str">
        <f>IF($A241="","",IF(ISNUMBER(FIND("IMPVOL",J$1)),_xll.BDH(config!$G$4,J$1,WORKDAY($A241,-1,config_Holiday_Calendar_US),WORKDAY($A241,-1,config_Holiday_Calendar_US)),IF(ISNUMBER(_xll.BDH(config!$G$4,J$1,$A241,$A241)),_xll.BDH(config!$G$4,J$1,$A241,$A241),_xll.BDH(config!$G$5,J$1,$A241,$A241))))</f>
        <v>#N/A Requesting Data...</v>
      </c>
      <c r="K241" s="8" t="str">
        <f>IF($A241="","",IF(ISNUMBER(FIND("IMPVOL",K$1)),_xll.BDH(config!$G$4,K$1,WORKDAY($A241,-1,config_Holiday_Calendar_US),WORKDAY($A241,-1,config_Holiday_Calendar_US)),IF(ISNUMBER(_xll.BDH(config!$G$4,K$1,$A241,$A241)),_xll.BDH(config!$G$4,K$1,$A241,$A241),_xll.BDH(config!$G$5,K$1,$A241,$A241))))</f>
        <v>#N/A Requesting Data...</v>
      </c>
      <c r="L241" s="8" t="str">
        <f>IF($A241="","",IF(ISNUMBER(FIND("IMPVOL",L$1)),_xll.BDH(config!$G$4,L$1,WORKDAY($A241,-1,config_Holiday_Calendar_US),WORKDAY($A241,-1,config_Holiday_Calendar_US)),IF(ISNUMBER(_xll.BDH(config!$G$4,L$1,$A241,$A241)),_xll.BDH(config!$G$4,L$1,$A241,$A241),_xll.BDH(config!$G$5,L$1,$A241,$A241))))</f>
        <v>#N/A Requesting Data...</v>
      </c>
      <c r="M241" s="8" t="str">
        <f>IF($A241="","",IF(ISNUMBER(FIND("IMPVOL",M$1)),_xll.BDH(config!$G$4,M$1,WORKDAY($A241,-1,config_Holiday_Calendar_US),WORKDAY($A241,-1,config_Holiday_Calendar_US)),IF(ISNUMBER(_xll.BDH(config!$G$4,M$1,$A241,$A241)),_xll.BDH(config!$G$4,M$1,$A241,$A241),_xll.BDH(config!$G$5,M$1,$A241,$A241))))</f>
        <v>#N/A Requesting Data...</v>
      </c>
      <c r="N241" s="8" t="str">
        <f>IF($A241="","",IF(ISNUMBER(FIND("IMPVOL",N$1)),_xll.BDH(config!$G$4,N$1,WORKDAY($A241,-1,config_Holiday_Calendar_US),WORKDAY($A241,-1,config_Holiday_Calendar_US)),IF(ISNUMBER(_xll.BDH(config!$G$4,N$1,$A241,$A241)),_xll.BDH(config!$G$4,N$1,$A241,$A241),_xll.BDH(config!$G$5,N$1,$A241,$A241))))</f>
        <v>#N/A Requesting Data...</v>
      </c>
      <c r="O241" s="8" t="str">
        <f>IF($A241="","",IF(ISNUMBER(FIND("IMPVOL",O$1)),_xll.BDH(config!$G$4,O$1,WORKDAY($A241,-1,config_Holiday_Calendar_US),WORKDAY($A241,-1,config_Holiday_Calendar_US)),IF(ISNUMBER(_xll.BDH(config!$G$4,O$1,$A241,$A241)),_xll.BDH(config!$G$4,O$1,$A241,$A241),_xll.BDH(config!$G$5,O$1,$A241,$A241))))</f>
        <v>#N/A Requesting Data...</v>
      </c>
      <c r="P241" s="8" t="str">
        <f>IF($A241="","",IF(ISNUMBER(FIND("IMPVOL",P$1)),_xll.BDH(config!$G$4,P$1,WORKDAY($A241,-1,config_Holiday_Calendar_US),WORKDAY($A241,-1,config_Holiday_Calendar_US)),IF(ISNUMBER(_xll.BDH(config!$G$4,P$1,$A241,$A241)),_xll.BDH(config!$G$4,P$1,$A241,$A241),_xll.BDH(config!$G$5,P$1,$A241,$A241))))</f>
        <v>#N/A Requesting Data...</v>
      </c>
      <c r="Q241" s="8">
        <f>IF($A241="","",IF(ISNUMBER(FIND("IMPVOL",Q$1)),_xll.BDH(config!$G$4,Q$1,WORKDAY($A241,-1,config_Holiday_Calendar_US),WORKDAY($A241,-1,config_Holiday_Calendar_US)),IF(ISNUMBER(_xll.BDH(config!$G$4,Q$1,$A241,$A241)),_xll.BDH(config!$G$4,Q$1,$A241,$A241),_xll.BDH(config!$G$5,Q$1,$A241,$A241))))</f>
        <v>36.08</v>
      </c>
      <c r="R241" s="8">
        <f>IF($A241="","",IF(ISNUMBER(FIND("IMPVOL",R$1)),_xll.BDH(config!$G$4,R$1,WORKDAY($A241,-1,config_Holiday_Calendar_US),WORKDAY($A241,-1,config_Holiday_Calendar_US)),IF(ISNUMBER(_xll.BDH(config!$G$4,R$1,$A241,$A241)),_xll.BDH(config!$G$4,R$1,$A241,$A241),_xll.BDH(config!$G$5,R$1,$A241,$A241))))</f>
        <v>45.18</v>
      </c>
      <c r="S241" s="8" t="str">
        <f>IF($A241="","",IF(ISNUMBER(FIND("IMPVOL",S$1)),_xll.BDH(config!$G$4,S$1,WORKDAY($A241,-1,config_Holiday_Calendar_US),WORKDAY($A241,-1,config_Holiday_Calendar_US)),IF(ISNUMBER(_xll.BDH(config!$G$4,S$1,$A241,$A241)),_xll.BDH(config!$G$4,S$1,$A241,$A241),_xll.BDH(config!$G$5,S$1,$A241,$A241))))</f>
        <v>#N/A Requesting Data...</v>
      </c>
      <c r="T241" s="8" t="str">
        <f>IF($A241="","",IF(ISNUMBER(FIND("IMPVOL",T$1)),_xll.BDH(config!$G$4,T$1,WORKDAY($A241,-1,config_Holiday_Calendar_US),WORKDAY($A241,-1,config_Holiday_Calendar_US)),IF(ISNUMBER(_xll.BDH(config!$G$4,T$1,$A241,$A241)),_xll.BDH(config!$G$4,T$1,$A241,$A241),_xll.BDH(config!$G$5,T$1,$A241,$A241))))</f>
        <v>#N/A Requesting Data...</v>
      </c>
      <c r="U241" s="8" t="str">
        <f>IF($A241="","",IF(ISNUMBER(FIND("IMPVOL",U$1)),_xll.BDH(config!$G$4,U$1,WORKDAY($A241,-1,config_Holiday_Calendar_US),WORKDAY($A241,-1,config_Holiday_Calendar_US)),IF(ISNUMBER(_xll.BDH(config!$G$4,U$1,$A241,$A241)),_xll.BDH(config!$G$4,U$1,$A241,$A241),_xll.BDH(config!$G$5,U$1,$A241,$A241))))</f>
        <v>#N/A Requesting Data...</v>
      </c>
      <c r="V241" s="8" t="str">
        <f>IF($A241="","",IF(ISNUMBER(FIND("IMPVOL",V$1)),_xll.BDH(config!$G$4,V$1,WORKDAY($A241,-1,config_Holiday_Calendar_US),WORKDAY($A241,-1,config_Holiday_Calendar_US)),IF(ISNUMBER(_xll.BDH(config!$G$4,V$1,$A241,$A241)),_xll.BDH(config!$G$4,V$1,$A241,$A241),_xll.BDH(config!$G$5,V$1,$A241,$A241))))</f>
        <v>#N/A Requesting Data...</v>
      </c>
      <c r="W241" s="8" t="str">
        <f>IF($A241="","",IF(ISNUMBER(FIND("IMPVOL",W$1)),_xll.BDH(config!$G$4,W$1,WORKDAY($A241,-1,config_Holiday_Calendar_US),WORKDAY($A241,-1,config_Holiday_Calendar_US)),IF(ISNUMBER(_xll.BDH(config!$G$4,W$1,$A241,$A241)),_xll.BDH(config!$G$4,W$1,$A241,$A241),_xll.BDH(config!$G$5,W$1,$A241,$A241))))</f>
        <v>#N/A Requesting Data...</v>
      </c>
    </row>
    <row r="242" spans="1:23" x14ac:dyDescent="0.2">
      <c r="A242" s="9">
        <f>IF(A241="","",IF(WORKDAY(A241,-1,config_Holiday_Calendar_US)&lt;config!$I$10,"",WORKDAY(A241,-1,config_Holiday_Calendar_US)))</f>
        <v>42482</v>
      </c>
      <c r="B242" s="8" t="e">
        <f t="shared" si="3"/>
        <v>#VALUE!</v>
      </c>
      <c r="C242" s="8" t="str">
        <f>IF(A242="","",_xll.BDH(config!$H$4,C$1,$A242,$A242))</f>
        <v>#N/A Requesting Data...</v>
      </c>
      <c r="D242" s="8" t="str">
        <f>IF($A242="","",_xll.BDH(config!$H$4,D$1,$A242,$A242))</f>
        <v>#N/A Requesting Data...</v>
      </c>
      <c r="E242" s="8">
        <f>IF($A242="","",IF(ISNUMBER(FIND("IMPVOL",E$1)),_xll.BDH(config!$G$4,E$1,WORKDAY($A242,-1,config_Holiday_Calendar_US),WORKDAY($A242,-1,config_Holiday_Calendar_US)),IF(ISNUMBER(_xll.BDH(config!$G$4,E$1,$A242,$A242)),_xll.BDH(config!$G$4,E$1,$A242,$A242),_xll.BDH(config!$G$5,E$1,$A242,$A242))))</f>
        <v>43.42</v>
      </c>
      <c r="F242" s="8">
        <f>IF($A242="","",IF(ISNUMBER(FIND("IMPVOL",F$1)),_xll.BDH(config!$G$4,F$1,WORKDAY($A242,-1,config_Holiday_Calendar_US),WORKDAY($A242,-1,config_Holiday_Calendar_US)),IF(ISNUMBER(_xll.BDH(config!$G$4,F$1,$A242,$A242)),_xll.BDH(config!$G$4,F$1,$A242,$A242),_xll.BDH(config!$G$5,F$1,$A242,$A242))))</f>
        <v>44.45</v>
      </c>
      <c r="G242" s="8">
        <f>IF($A242="","",IF(ISNUMBER(FIND("IMPVOL",G$1)),_xll.BDH(config!$G$4,G$1,WORKDAY($A242,-1,config_Holiday_Calendar_US),WORKDAY($A242,-1,config_Holiday_Calendar_US)),IF(ISNUMBER(_xll.BDH(config!$G$4,G$1,$A242,$A242)),_xll.BDH(config!$G$4,G$1,$A242,$A242),_xll.BDH(config!$G$5,G$1,$A242,$A242))))</f>
        <v>43.9</v>
      </c>
      <c r="H242" s="8">
        <f>IF($A242="","",IF(ISNUMBER(FIND("IMPVOL",H$1)),_xll.BDH(config!$G$4,H$1,WORKDAY($A242,-1,config_Holiday_Calendar_US),WORKDAY($A242,-1,config_Holiday_Calendar_US)),IF(ISNUMBER(_xll.BDH(config!$G$4,H$1,$A242,$A242)),_xll.BDH(config!$G$4,H$1,$A242,$A242),_xll.BDH(config!$G$5,H$1,$A242,$A242))))</f>
        <v>88095</v>
      </c>
      <c r="I242" s="8" t="str">
        <f>IF($A242="","",IF(ISNUMBER(FIND("IMPVOL",I$1)),_xll.BDH(config!$G$4,I$1,WORKDAY($A242,-1,config_Holiday_Calendar_US),WORKDAY($A242,-1,config_Holiday_Calendar_US)),IF(ISNUMBER(_xll.BDH(config!$G$4,I$1,$A242,$A242)),_xll.BDH(config!$G$4,I$1,$A242,$A242),_xll.BDH(config!$G$5,I$1,$A242,$A242))))</f>
        <v>#N/A Requesting Data...</v>
      </c>
      <c r="J242" s="8" t="str">
        <f>IF($A242="","",IF(ISNUMBER(FIND("IMPVOL",J$1)),_xll.BDH(config!$G$4,J$1,WORKDAY($A242,-1,config_Holiday_Calendar_US),WORKDAY($A242,-1,config_Holiday_Calendar_US)),IF(ISNUMBER(_xll.BDH(config!$G$4,J$1,$A242,$A242)),_xll.BDH(config!$G$4,J$1,$A242,$A242),_xll.BDH(config!$G$5,J$1,$A242,$A242))))</f>
        <v>#N/A Requesting Data...</v>
      </c>
      <c r="K242" s="8" t="str">
        <f>IF($A242="","",IF(ISNUMBER(FIND("IMPVOL",K$1)),_xll.BDH(config!$G$4,K$1,WORKDAY($A242,-1,config_Holiday_Calendar_US),WORKDAY($A242,-1,config_Holiday_Calendar_US)),IF(ISNUMBER(_xll.BDH(config!$G$4,K$1,$A242,$A242)),_xll.BDH(config!$G$4,K$1,$A242,$A242),_xll.BDH(config!$G$5,K$1,$A242,$A242))))</f>
        <v>#N/A Requesting Data...</v>
      </c>
      <c r="L242" s="8" t="str">
        <f>IF($A242="","",IF(ISNUMBER(FIND("IMPVOL",L$1)),_xll.BDH(config!$G$4,L$1,WORKDAY($A242,-1,config_Holiday_Calendar_US),WORKDAY($A242,-1,config_Holiday_Calendar_US)),IF(ISNUMBER(_xll.BDH(config!$G$4,L$1,$A242,$A242)),_xll.BDH(config!$G$4,L$1,$A242,$A242),_xll.BDH(config!$G$5,L$1,$A242,$A242))))</f>
        <v>#N/A Requesting Data...</v>
      </c>
      <c r="M242" s="8" t="str">
        <f>IF($A242="","",IF(ISNUMBER(FIND("IMPVOL",M$1)),_xll.BDH(config!$G$4,M$1,WORKDAY($A242,-1,config_Holiday_Calendar_US),WORKDAY($A242,-1,config_Holiday_Calendar_US)),IF(ISNUMBER(_xll.BDH(config!$G$4,M$1,$A242,$A242)),_xll.BDH(config!$G$4,M$1,$A242,$A242),_xll.BDH(config!$G$5,M$1,$A242,$A242))))</f>
        <v>#N/A Requesting Data...</v>
      </c>
      <c r="N242" s="8" t="str">
        <f>IF($A242="","",IF(ISNUMBER(FIND("IMPVOL",N$1)),_xll.BDH(config!$G$4,N$1,WORKDAY($A242,-1,config_Holiday_Calendar_US),WORKDAY($A242,-1,config_Holiday_Calendar_US)),IF(ISNUMBER(_xll.BDH(config!$G$4,N$1,$A242,$A242)),_xll.BDH(config!$G$4,N$1,$A242,$A242),_xll.BDH(config!$G$5,N$1,$A242,$A242))))</f>
        <v>#N/A Requesting Data...</v>
      </c>
      <c r="O242" s="8" t="str">
        <f>IF($A242="","",IF(ISNUMBER(FIND("IMPVOL",O$1)),_xll.BDH(config!$G$4,O$1,WORKDAY($A242,-1,config_Holiday_Calendar_US),WORKDAY($A242,-1,config_Holiday_Calendar_US)),IF(ISNUMBER(_xll.BDH(config!$G$4,O$1,$A242,$A242)),_xll.BDH(config!$G$4,O$1,$A242,$A242),_xll.BDH(config!$G$5,O$1,$A242,$A242))))</f>
        <v>#N/A Requesting Data...</v>
      </c>
      <c r="P242" s="8" t="str">
        <f>IF($A242="","",IF(ISNUMBER(FIND("IMPVOL",P$1)),_xll.BDH(config!$G$4,P$1,WORKDAY($A242,-1,config_Holiday_Calendar_US),WORKDAY($A242,-1,config_Holiday_Calendar_US)),IF(ISNUMBER(_xll.BDH(config!$G$4,P$1,$A242,$A242)),_xll.BDH(config!$G$4,P$1,$A242,$A242),_xll.BDH(config!$G$5,P$1,$A242,$A242))))</f>
        <v>#N/A Requesting Data...</v>
      </c>
      <c r="Q242" s="8">
        <f>IF($A242="","",IF(ISNUMBER(FIND("IMPVOL",Q$1)),_xll.BDH(config!$G$4,Q$1,WORKDAY($A242,-1,config_Holiday_Calendar_US),WORKDAY($A242,-1,config_Holiday_Calendar_US)),IF(ISNUMBER(_xll.BDH(config!$G$4,Q$1,$A242,$A242)),_xll.BDH(config!$G$4,Q$1,$A242,$A242),_xll.BDH(config!$G$5,Q$1,$A242,$A242))))</f>
        <v>39.340000000000003</v>
      </c>
      <c r="R242" s="8">
        <f>IF($A242="","",IF(ISNUMBER(FIND("IMPVOL",R$1)),_xll.BDH(config!$G$4,R$1,WORKDAY($A242,-1,config_Holiday_Calendar_US),WORKDAY($A242,-1,config_Holiday_Calendar_US)),IF(ISNUMBER(_xll.BDH(config!$G$4,R$1,$A242,$A242)),_xll.BDH(config!$G$4,R$1,$A242,$A242),_xll.BDH(config!$G$5,R$1,$A242,$A242))))</f>
        <v>45.81</v>
      </c>
      <c r="S242" s="8" t="str">
        <f>IF($A242="","",IF(ISNUMBER(FIND("IMPVOL",S$1)),_xll.BDH(config!$G$4,S$1,WORKDAY($A242,-1,config_Holiday_Calendar_US),WORKDAY($A242,-1,config_Holiday_Calendar_US)),IF(ISNUMBER(_xll.BDH(config!$G$4,S$1,$A242,$A242)),_xll.BDH(config!$G$4,S$1,$A242,$A242),_xll.BDH(config!$G$5,S$1,$A242,$A242))))</f>
        <v>#N/A Requesting Data...</v>
      </c>
      <c r="T242" s="8" t="str">
        <f>IF($A242="","",IF(ISNUMBER(FIND("IMPVOL",T$1)),_xll.BDH(config!$G$4,T$1,WORKDAY($A242,-1,config_Holiday_Calendar_US),WORKDAY($A242,-1,config_Holiday_Calendar_US)),IF(ISNUMBER(_xll.BDH(config!$G$4,T$1,$A242,$A242)),_xll.BDH(config!$G$4,T$1,$A242,$A242),_xll.BDH(config!$G$5,T$1,$A242,$A242))))</f>
        <v>#N/A Requesting Data...</v>
      </c>
      <c r="U242" s="8" t="str">
        <f>IF($A242="","",IF(ISNUMBER(FIND("IMPVOL",U$1)),_xll.BDH(config!$G$4,U$1,WORKDAY($A242,-1,config_Holiday_Calendar_US),WORKDAY($A242,-1,config_Holiday_Calendar_US)),IF(ISNUMBER(_xll.BDH(config!$G$4,U$1,$A242,$A242)),_xll.BDH(config!$G$4,U$1,$A242,$A242),_xll.BDH(config!$G$5,U$1,$A242,$A242))))</f>
        <v>#N/A Requesting Data...</v>
      </c>
      <c r="V242" s="8" t="str">
        <f>IF($A242="","",IF(ISNUMBER(FIND("IMPVOL",V$1)),_xll.BDH(config!$G$4,V$1,WORKDAY($A242,-1,config_Holiday_Calendar_US),WORKDAY($A242,-1,config_Holiday_Calendar_US)),IF(ISNUMBER(_xll.BDH(config!$G$4,V$1,$A242,$A242)),_xll.BDH(config!$G$4,V$1,$A242,$A242),_xll.BDH(config!$G$5,V$1,$A242,$A242))))</f>
        <v>#N/A Requesting Data...</v>
      </c>
      <c r="W242" s="8" t="str">
        <f>IF($A242="","",IF(ISNUMBER(FIND("IMPVOL",W$1)),_xll.BDH(config!$G$4,W$1,WORKDAY($A242,-1,config_Holiday_Calendar_US),WORKDAY($A242,-1,config_Holiday_Calendar_US)),IF(ISNUMBER(_xll.BDH(config!$G$4,W$1,$A242,$A242)),_xll.BDH(config!$G$4,W$1,$A242,$A242),_xll.BDH(config!$G$5,W$1,$A242,$A242))))</f>
        <v>#N/A Requesting Data...</v>
      </c>
    </row>
    <row r="243" spans="1:23" x14ac:dyDescent="0.2">
      <c r="A243" s="9">
        <f>IF(A242="","",IF(WORKDAY(A242,-1,config_Holiday_Calendar_US)&lt;config!$I$10,"",WORKDAY(A242,-1,config_Holiday_Calendar_US)))</f>
        <v>42481</v>
      </c>
      <c r="B243" s="8" t="e">
        <f t="shared" si="3"/>
        <v>#VALUE!</v>
      </c>
      <c r="C243" s="8" t="str">
        <f>IF(A243="","",_xll.BDH(config!$H$4,C$1,$A243,$A243))</f>
        <v>#N/A Requesting Data...</v>
      </c>
      <c r="D243" s="8" t="str">
        <f>IF($A243="","",_xll.BDH(config!$H$4,D$1,$A243,$A243))</f>
        <v>#N/A Requesting Data...</v>
      </c>
      <c r="E243" s="8">
        <f>IF($A243="","",IF(ISNUMBER(FIND("IMPVOL",E$1)),_xll.BDH(config!$G$4,E$1,WORKDAY($A243,-1,config_Holiday_Calendar_US),WORKDAY($A243,-1,config_Holiday_Calendar_US)),IF(ISNUMBER(_xll.BDH(config!$G$4,E$1,$A243,$A243)),_xll.BDH(config!$G$4,E$1,$A243,$A243),_xll.BDH(config!$G$5,E$1,$A243,$A243))))</f>
        <v>43.97</v>
      </c>
      <c r="F243" s="8">
        <f>IF($A243="","",IF(ISNUMBER(FIND("IMPVOL",F$1)),_xll.BDH(config!$G$4,F$1,WORKDAY($A243,-1,config_Holiday_Calendar_US),WORKDAY($A243,-1,config_Holiday_Calendar_US)),IF(ISNUMBER(_xll.BDH(config!$G$4,F$1,$A243,$A243)),_xll.BDH(config!$G$4,F$1,$A243,$A243),_xll.BDH(config!$G$5,F$1,$A243,$A243))))</f>
        <v>44.49</v>
      </c>
      <c r="G243" s="8">
        <f>IF($A243="","",IF(ISNUMBER(FIND("IMPVOL",G$1)),_xll.BDH(config!$G$4,G$1,WORKDAY($A243,-1,config_Holiday_Calendar_US),WORKDAY($A243,-1,config_Holiday_Calendar_US)),IF(ISNUMBER(_xll.BDH(config!$G$4,G$1,$A243,$A243)),_xll.BDH(config!$G$4,G$1,$A243,$A243),_xll.BDH(config!$G$5,G$1,$A243,$A243))))</f>
        <v>43.89</v>
      </c>
      <c r="H243" s="8">
        <f>IF($A243="","",IF(ISNUMBER(FIND("IMPVOL",H$1)),_xll.BDH(config!$G$4,H$1,WORKDAY($A243,-1,config_Holiday_Calendar_US),WORKDAY($A243,-1,config_Holiday_Calendar_US)),IF(ISNUMBER(_xll.BDH(config!$G$4,H$1,$A243,$A243)),_xll.BDH(config!$G$4,H$1,$A243,$A243),_xll.BDH(config!$G$5,H$1,$A243,$A243))))</f>
        <v>130962</v>
      </c>
      <c r="I243" s="8" t="str">
        <f>IF($A243="","",IF(ISNUMBER(FIND("IMPVOL",I$1)),_xll.BDH(config!$G$4,I$1,WORKDAY($A243,-1,config_Holiday_Calendar_US),WORKDAY($A243,-1,config_Holiday_Calendar_US)),IF(ISNUMBER(_xll.BDH(config!$G$4,I$1,$A243,$A243)),_xll.BDH(config!$G$4,I$1,$A243,$A243),_xll.BDH(config!$G$5,I$1,$A243,$A243))))</f>
        <v>#N/A Requesting Data...</v>
      </c>
      <c r="J243" s="8" t="str">
        <f>IF($A243="","",IF(ISNUMBER(FIND("IMPVOL",J$1)),_xll.BDH(config!$G$4,J$1,WORKDAY($A243,-1,config_Holiday_Calendar_US),WORKDAY($A243,-1,config_Holiday_Calendar_US)),IF(ISNUMBER(_xll.BDH(config!$G$4,J$1,$A243,$A243)),_xll.BDH(config!$G$4,J$1,$A243,$A243),_xll.BDH(config!$G$5,J$1,$A243,$A243))))</f>
        <v>#N/A Requesting Data...</v>
      </c>
      <c r="K243" s="8" t="str">
        <f>IF($A243="","",IF(ISNUMBER(FIND("IMPVOL",K$1)),_xll.BDH(config!$G$4,K$1,WORKDAY($A243,-1,config_Holiday_Calendar_US),WORKDAY($A243,-1,config_Holiday_Calendar_US)),IF(ISNUMBER(_xll.BDH(config!$G$4,K$1,$A243,$A243)),_xll.BDH(config!$G$4,K$1,$A243,$A243),_xll.BDH(config!$G$5,K$1,$A243,$A243))))</f>
        <v>#N/A Requesting Data...</v>
      </c>
      <c r="L243" s="8" t="str">
        <f>IF($A243="","",IF(ISNUMBER(FIND("IMPVOL",L$1)),_xll.BDH(config!$G$4,L$1,WORKDAY($A243,-1,config_Holiday_Calendar_US),WORKDAY($A243,-1,config_Holiday_Calendar_US)),IF(ISNUMBER(_xll.BDH(config!$G$4,L$1,$A243,$A243)),_xll.BDH(config!$G$4,L$1,$A243,$A243),_xll.BDH(config!$G$5,L$1,$A243,$A243))))</f>
        <v>#N/A Requesting Data...</v>
      </c>
      <c r="M243" s="8" t="str">
        <f>IF($A243="","",IF(ISNUMBER(FIND("IMPVOL",M$1)),_xll.BDH(config!$G$4,M$1,WORKDAY($A243,-1,config_Holiday_Calendar_US),WORKDAY($A243,-1,config_Holiday_Calendar_US)),IF(ISNUMBER(_xll.BDH(config!$G$4,M$1,$A243,$A243)),_xll.BDH(config!$G$4,M$1,$A243,$A243),_xll.BDH(config!$G$5,M$1,$A243,$A243))))</f>
        <v>#N/A Requesting Data...</v>
      </c>
      <c r="N243" s="8" t="str">
        <f>IF($A243="","",IF(ISNUMBER(FIND("IMPVOL",N$1)),_xll.BDH(config!$G$4,N$1,WORKDAY($A243,-1,config_Holiday_Calendar_US),WORKDAY($A243,-1,config_Holiday_Calendar_US)),IF(ISNUMBER(_xll.BDH(config!$G$4,N$1,$A243,$A243)),_xll.BDH(config!$G$4,N$1,$A243,$A243),_xll.BDH(config!$G$5,N$1,$A243,$A243))))</f>
        <v>#N/A Requesting Data...</v>
      </c>
      <c r="O243" s="8" t="str">
        <f>IF($A243="","",IF(ISNUMBER(FIND("IMPVOL",O$1)),_xll.BDH(config!$G$4,O$1,WORKDAY($A243,-1,config_Holiday_Calendar_US),WORKDAY($A243,-1,config_Holiday_Calendar_US)),IF(ISNUMBER(_xll.BDH(config!$G$4,O$1,$A243,$A243)),_xll.BDH(config!$G$4,O$1,$A243,$A243),_xll.BDH(config!$G$5,O$1,$A243,$A243))))</f>
        <v>#N/A Requesting Data...</v>
      </c>
      <c r="P243" s="8" t="str">
        <f>IF($A243="","",IF(ISNUMBER(FIND("IMPVOL",P$1)),_xll.BDH(config!$G$4,P$1,WORKDAY($A243,-1,config_Holiday_Calendar_US),WORKDAY($A243,-1,config_Holiday_Calendar_US)),IF(ISNUMBER(_xll.BDH(config!$G$4,P$1,$A243,$A243)),_xll.BDH(config!$G$4,P$1,$A243,$A243),_xll.BDH(config!$G$5,P$1,$A243,$A243))))</f>
        <v>#N/A Requesting Data...</v>
      </c>
      <c r="Q243" s="8">
        <f>IF($A243="","",IF(ISNUMBER(FIND("IMPVOL",Q$1)),_xll.BDH(config!$G$4,Q$1,WORKDAY($A243,-1,config_Holiday_Calendar_US),WORKDAY($A243,-1,config_Holiday_Calendar_US)),IF(ISNUMBER(_xll.BDH(config!$G$4,Q$1,$A243,$A243)),_xll.BDH(config!$G$4,Q$1,$A243,$A243),_xll.BDH(config!$G$5,Q$1,$A243,$A243))))</f>
        <v>39.72</v>
      </c>
      <c r="R243" s="8">
        <f>IF($A243="","",IF(ISNUMBER(FIND("IMPVOL",R$1)),_xll.BDH(config!$G$4,R$1,WORKDAY($A243,-1,config_Holiday_Calendar_US),WORKDAY($A243,-1,config_Holiday_Calendar_US)),IF(ISNUMBER(_xll.BDH(config!$G$4,R$1,$A243,$A243)),_xll.BDH(config!$G$4,R$1,$A243,$A243),_xll.BDH(config!$G$5,R$1,$A243,$A243))))</f>
        <v>45.91</v>
      </c>
      <c r="S243" s="8" t="str">
        <f>IF($A243="","",IF(ISNUMBER(FIND("IMPVOL",S$1)),_xll.BDH(config!$G$4,S$1,WORKDAY($A243,-1,config_Holiday_Calendar_US),WORKDAY($A243,-1,config_Holiday_Calendar_US)),IF(ISNUMBER(_xll.BDH(config!$G$4,S$1,$A243,$A243)),_xll.BDH(config!$G$4,S$1,$A243,$A243),_xll.BDH(config!$G$5,S$1,$A243,$A243))))</f>
        <v>#N/A Requesting Data...</v>
      </c>
      <c r="T243" s="8" t="str">
        <f>IF($A243="","",IF(ISNUMBER(FIND("IMPVOL",T$1)),_xll.BDH(config!$G$4,T$1,WORKDAY($A243,-1,config_Holiday_Calendar_US),WORKDAY($A243,-1,config_Holiday_Calendar_US)),IF(ISNUMBER(_xll.BDH(config!$G$4,T$1,$A243,$A243)),_xll.BDH(config!$G$4,T$1,$A243,$A243),_xll.BDH(config!$G$5,T$1,$A243,$A243))))</f>
        <v>#N/A Requesting Data...</v>
      </c>
      <c r="U243" s="8" t="str">
        <f>IF($A243="","",IF(ISNUMBER(FIND("IMPVOL",U$1)),_xll.BDH(config!$G$4,U$1,WORKDAY($A243,-1,config_Holiday_Calendar_US),WORKDAY($A243,-1,config_Holiday_Calendar_US)),IF(ISNUMBER(_xll.BDH(config!$G$4,U$1,$A243,$A243)),_xll.BDH(config!$G$4,U$1,$A243,$A243),_xll.BDH(config!$G$5,U$1,$A243,$A243))))</f>
        <v>#N/A Requesting Data...</v>
      </c>
      <c r="V243" s="8" t="str">
        <f>IF($A243="","",IF(ISNUMBER(FIND("IMPVOL",V$1)),_xll.BDH(config!$G$4,V$1,WORKDAY($A243,-1,config_Holiday_Calendar_US),WORKDAY($A243,-1,config_Holiday_Calendar_US)),IF(ISNUMBER(_xll.BDH(config!$G$4,V$1,$A243,$A243)),_xll.BDH(config!$G$4,V$1,$A243,$A243),_xll.BDH(config!$G$5,V$1,$A243,$A243))))</f>
        <v>#N/A Requesting Data...</v>
      </c>
      <c r="W243" s="8" t="str">
        <f>IF($A243="","",IF(ISNUMBER(FIND("IMPVOL",W$1)),_xll.BDH(config!$G$4,W$1,WORKDAY($A243,-1,config_Holiday_Calendar_US),WORKDAY($A243,-1,config_Holiday_Calendar_US)),IF(ISNUMBER(_xll.BDH(config!$G$4,W$1,$A243,$A243)),_xll.BDH(config!$G$4,W$1,$A243,$A243),_xll.BDH(config!$G$5,W$1,$A243,$A243))))</f>
        <v>#N/A Requesting Data...</v>
      </c>
    </row>
    <row r="244" spans="1:23" x14ac:dyDescent="0.2">
      <c r="A244" s="9">
        <f>IF(A243="","",IF(WORKDAY(A243,-1,config_Holiday_Calendar_US)&lt;config!$I$10,"",WORKDAY(A243,-1,config_Holiday_Calendar_US)))</f>
        <v>42480</v>
      </c>
      <c r="B244" s="8" t="e">
        <f t="shared" si="3"/>
        <v>#VALUE!</v>
      </c>
      <c r="C244" s="8" t="str">
        <f>IF(A244="","",_xll.BDH(config!$H$4,C$1,$A244,$A244))</f>
        <v>#N/A Requesting Data...</v>
      </c>
      <c r="D244" s="8" t="str">
        <f>IF($A244="","",_xll.BDH(config!$H$4,D$1,$A244,$A244))</f>
        <v>#N/A Requesting Data...</v>
      </c>
      <c r="E244" s="8">
        <f>IF($A244="","",IF(ISNUMBER(FIND("IMPVOL",E$1)),_xll.BDH(config!$G$4,E$1,WORKDAY($A244,-1,config_Holiday_Calendar_US),WORKDAY($A244,-1,config_Holiday_Calendar_US)),IF(ISNUMBER(_xll.BDH(config!$G$4,E$1,$A244,$A244)),_xll.BDH(config!$G$4,E$1,$A244,$A244),_xll.BDH(config!$G$5,E$1,$A244,$A244))))</f>
        <v>40.799999999999997</v>
      </c>
      <c r="F244" s="8">
        <f>IF($A244="","",IF(ISNUMBER(FIND("IMPVOL",F$1)),_xll.BDH(config!$G$4,F$1,WORKDAY($A244,-1,config_Holiday_Calendar_US),WORKDAY($A244,-1,config_Holiday_Calendar_US)),IF(ISNUMBER(_xll.BDH(config!$G$4,F$1,$A244,$A244)),_xll.BDH(config!$G$4,F$1,$A244,$A244),_xll.BDH(config!$G$5,F$1,$A244,$A244))))</f>
        <v>42.91</v>
      </c>
      <c r="G244" s="8">
        <f>IF($A244="","",IF(ISNUMBER(FIND("IMPVOL",G$1)),_xll.BDH(config!$G$4,G$1,WORKDAY($A244,-1,config_Holiday_Calendar_US),WORKDAY($A244,-1,config_Holiday_Calendar_US)),IF(ISNUMBER(_xll.BDH(config!$G$4,G$1,$A244,$A244)),_xll.BDH(config!$G$4,G$1,$A244,$A244),_xll.BDH(config!$G$5,G$1,$A244,$A244))))</f>
        <v>41.3</v>
      </c>
      <c r="H244" s="8">
        <f>IF($A244="","",IF(ISNUMBER(FIND("IMPVOL",H$1)),_xll.BDH(config!$G$4,H$1,WORKDAY($A244,-1,config_Holiday_Calendar_US),WORKDAY($A244,-1,config_Holiday_Calendar_US)),IF(ISNUMBER(_xll.BDH(config!$G$4,H$1,$A244,$A244)),_xll.BDH(config!$G$4,H$1,$A244,$A244),_xll.BDH(config!$G$5,H$1,$A244,$A244))))</f>
        <v>796240</v>
      </c>
      <c r="I244" s="8" t="str">
        <f>IF($A244="","",IF(ISNUMBER(FIND("IMPVOL",I$1)),_xll.BDH(config!$G$4,I$1,WORKDAY($A244,-1,config_Holiday_Calendar_US),WORKDAY($A244,-1,config_Holiday_Calendar_US)),IF(ISNUMBER(_xll.BDH(config!$G$4,I$1,$A244,$A244)),_xll.BDH(config!$G$4,I$1,$A244,$A244),_xll.BDH(config!$G$5,I$1,$A244,$A244))))</f>
        <v>#N/A Requesting Data...</v>
      </c>
      <c r="J244" s="8" t="str">
        <f>IF($A244="","",IF(ISNUMBER(FIND("IMPVOL",J$1)),_xll.BDH(config!$G$4,J$1,WORKDAY($A244,-1,config_Holiday_Calendar_US),WORKDAY($A244,-1,config_Holiday_Calendar_US)),IF(ISNUMBER(_xll.BDH(config!$G$4,J$1,$A244,$A244)),_xll.BDH(config!$G$4,J$1,$A244,$A244),_xll.BDH(config!$G$5,J$1,$A244,$A244))))</f>
        <v>#N/A Requesting Data...</v>
      </c>
      <c r="K244" s="8" t="str">
        <f>IF($A244="","",IF(ISNUMBER(FIND("IMPVOL",K$1)),_xll.BDH(config!$G$4,K$1,WORKDAY($A244,-1,config_Holiday_Calendar_US),WORKDAY($A244,-1,config_Holiday_Calendar_US)),IF(ISNUMBER(_xll.BDH(config!$G$4,K$1,$A244,$A244)),_xll.BDH(config!$G$4,K$1,$A244,$A244),_xll.BDH(config!$G$5,K$1,$A244,$A244))))</f>
        <v>#N/A Requesting Data...</v>
      </c>
      <c r="L244" s="8" t="str">
        <f>IF($A244="","",IF(ISNUMBER(FIND("IMPVOL",L$1)),_xll.BDH(config!$G$4,L$1,WORKDAY($A244,-1,config_Holiday_Calendar_US),WORKDAY($A244,-1,config_Holiday_Calendar_US)),IF(ISNUMBER(_xll.BDH(config!$G$4,L$1,$A244,$A244)),_xll.BDH(config!$G$4,L$1,$A244,$A244),_xll.BDH(config!$G$5,L$1,$A244,$A244))))</f>
        <v>#N/A Requesting Data...</v>
      </c>
      <c r="M244" s="8" t="str">
        <f>IF($A244="","",IF(ISNUMBER(FIND("IMPVOL",M$1)),_xll.BDH(config!$G$4,M$1,WORKDAY($A244,-1,config_Holiday_Calendar_US),WORKDAY($A244,-1,config_Holiday_Calendar_US)),IF(ISNUMBER(_xll.BDH(config!$G$4,M$1,$A244,$A244)),_xll.BDH(config!$G$4,M$1,$A244,$A244),_xll.BDH(config!$G$5,M$1,$A244,$A244))))</f>
        <v>#N/A Requesting Data...</v>
      </c>
      <c r="N244" s="8" t="str">
        <f>IF($A244="","",IF(ISNUMBER(FIND("IMPVOL",N$1)),_xll.BDH(config!$G$4,N$1,WORKDAY($A244,-1,config_Holiday_Calendar_US),WORKDAY($A244,-1,config_Holiday_Calendar_US)),IF(ISNUMBER(_xll.BDH(config!$G$4,N$1,$A244,$A244)),_xll.BDH(config!$G$4,N$1,$A244,$A244),_xll.BDH(config!$G$5,N$1,$A244,$A244))))</f>
        <v>#N/A Requesting Data...</v>
      </c>
      <c r="O244" s="8" t="str">
        <f>IF($A244="","",IF(ISNUMBER(FIND("IMPVOL",O$1)),_xll.BDH(config!$G$4,O$1,WORKDAY($A244,-1,config_Holiday_Calendar_US),WORKDAY($A244,-1,config_Holiday_Calendar_US)),IF(ISNUMBER(_xll.BDH(config!$G$4,O$1,$A244,$A244)),_xll.BDH(config!$G$4,O$1,$A244,$A244),_xll.BDH(config!$G$5,O$1,$A244,$A244))))</f>
        <v>#N/A Requesting Data...</v>
      </c>
      <c r="P244" s="8" t="str">
        <f>IF($A244="","",IF(ISNUMBER(FIND("IMPVOL",P$1)),_xll.BDH(config!$G$4,P$1,WORKDAY($A244,-1,config_Holiday_Calendar_US),WORKDAY($A244,-1,config_Holiday_Calendar_US)),IF(ISNUMBER(_xll.BDH(config!$G$4,P$1,$A244,$A244)),_xll.BDH(config!$G$4,P$1,$A244,$A244),_xll.BDH(config!$G$5,P$1,$A244,$A244))))</f>
        <v>#N/A Requesting Data...</v>
      </c>
      <c r="Q244" s="8">
        <f>IF($A244="","",IF(ISNUMBER(FIND("IMPVOL",Q$1)),_xll.BDH(config!$G$4,Q$1,WORKDAY($A244,-1,config_Holiday_Calendar_US),WORKDAY($A244,-1,config_Holiday_Calendar_US)),IF(ISNUMBER(_xll.BDH(config!$G$4,Q$1,$A244,$A244)),_xll.BDH(config!$G$4,Q$1,$A244,$A244),_xll.BDH(config!$G$5,Q$1,$A244,$A244))))</f>
        <v>48.48</v>
      </c>
      <c r="R244" s="8">
        <f>IF($A244="","",IF(ISNUMBER(FIND("IMPVOL",R$1)),_xll.BDH(config!$G$4,R$1,WORKDAY($A244,-1,config_Holiday_Calendar_US),WORKDAY($A244,-1,config_Holiday_Calendar_US)),IF(ISNUMBER(_xll.BDH(config!$G$4,R$1,$A244,$A244)),_xll.BDH(config!$G$4,R$1,$A244,$A244),_xll.BDH(config!$G$5,R$1,$A244,$A244))))</f>
        <v>46.27</v>
      </c>
      <c r="S244" s="8" t="str">
        <f>IF($A244="","",IF(ISNUMBER(FIND("IMPVOL",S$1)),_xll.BDH(config!$G$4,S$1,WORKDAY($A244,-1,config_Holiday_Calendar_US),WORKDAY($A244,-1,config_Holiday_Calendar_US)),IF(ISNUMBER(_xll.BDH(config!$G$4,S$1,$A244,$A244)),_xll.BDH(config!$G$4,S$1,$A244,$A244),_xll.BDH(config!$G$5,S$1,$A244,$A244))))</f>
        <v>#N/A Requesting Data...</v>
      </c>
      <c r="T244" s="8" t="str">
        <f>IF($A244="","",IF(ISNUMBER(FIND("IMPVOL",T$1)),_xll.BDH(config!$G$4,T$1,WORKDAY($A244,-1,config_Holiday_Calendar_US),WORKDAY($A244,-1,config_Holiday_Calendar_US)),IF(ISNUMBER(_xll.BDH(config!$G$4,T$1,$A244,$A244)),_xll.BDH(config!$G$4,T$1,$A244,$A244),_xll.BDH(config!$G$5,T$1,$A244,$A244))))</f>
        <v>#N/A Requesting Data...</v>
      </c>
      <c r="U244" s="8" t="str">
        <f>IF($A244="","",IF(ISNUMBER(FIND("IMPVOL",U$1)),_xll.BDH(config!$G$4,U$1,WORKDAY($A244,-1,config_Holiday_Calendar_US),WORKDAY($A244,-1,config_Holiday_Calendar_US)),IF(ISNUMBER(_xll.BDH(config!$G$4,U$1,$A244,$A244)),_xll.BDH(config!$G$4,U$1,$A244,$A244),_xll.BDH(config!$G$5,U$1,$A244,$A244))))</f>
        <v>#N/A Requesting Data...</v>
      </c>
      <c r="V244" s="8" t="str">
        <f>IF($A244="","",IF(ISNUMBER(FIND("IMPVOL",V$1)),_xll.BDH(config!$G$4,V$1,WORKDAY($A244,-1,config_Holiday_Calendar_US),WORKDAY($A244,-1,config_Holiday_Calendar_US)),IF(ISNUMBER(_xll.BDH(config!$G$4,V$1,$A244,$A244)),_xll.BDH(config!$G$4,V$1,$A244,$A244),_xll.BDH(config!$G$5,V$1,$A244,$A244))))</f>
        <v>#N/A Requesting Data...</v>
      </c>
      <c r="W244" s="8" t="str">
        <f>IF($A244="","",IF(ISNUMBER(FIND("IMPVOL",W$1)),_xll.BDH(config!$G$4,W$1,WORKDAY($A244,-1,config_Holiday_Calendar_US),WORKDAY($A244,-1,config_Holiday_Calendar_US)),IF(ISNUMBER(_xll.BDH(config!$G$4,W$1,$A244,$A244)),_xll.BDH(config!$G$4,W$1,$A244,$A244),_xll.BDH(config!$G$5,W$1,$A244,$A244))))</f>
        <v>#N/A Requesting Data...</v>
      </c>
    </row>
    <row r="245" spans="1:23" x14ac:dyDescent="0.2">
      <c r="A245" s="9">
        <f>IF(A244="","",IF(WORKDAY(A244,-1,config_Holiday_Calendar_US)&lt;config!$I$10,"",WORKDAY(A244,-1,config_Holiday_Calendar_US)))</f>
        <v>42479</v>
      </c>
      <c r="B245" s="8" t="e">
        <f t="shared" si="3"/>
        <v>#VALUE!</v>
      </c>
      <c r="C245" s="8" t="str">
        <f>IF(A245="","",_xll.BDH(config!$H$4,C$1,$A245,$A245))</f>
        <v>#N/A Requesting Data...</v>
      </c>
      <c r="D245" s="8" t="str">
        <f>IF($A245="","",_xll.BDH(config!$H$4,D$1,$A245,$A245))</f>
        <v>#N/A Requesting Data...</v>
      </c>
      <c r="E245" s="8">
        <f>IF($A245="","",IF(ISNUMBER(FIND("IMPVOL",E$1)),_xll.BDH(config!$G$4,E$1,WORKDAY($A245,-1,config_Holiday_Calendar_US),WORKDAY($A245,-1,config_Holiday_Calendar_US)),IF(ISNUMBER(_xll.BDH(config!$G$4,E$1,$A245,$A245)),_xll.BDH(config!$G$4,E$1,$A245,$A245),_xll.BDH(config!$G$5,E$1,$A245,$A245))))</f>
        <v>40.04</v>
      </c>
      <c r="F245" s="8">
        <f>IF($A245="","",IF(ISNUMBER(FIND("IMPVOL",F$1)),_xll.BDH(config!$G$4,F$1,WORKDAY($A245,-1,config_Holiday_Calendar_US),WORKDAY($A245,-1,config_Holiday_Calendar_US)),IF(ISNUMBER(_xll.BDH(config!$G$4,F$1,$A245,$A245)),_xll.BDH(config!$G$4,F$1,$A245,$A245),_xll.BDH(config!$G$5,F$1,$A245,$A245))))</f>
        <v>41.53</v>
      </c>
      <c r="G245" s="8">
        <f>IF($A245="","",IF(ISNUMBER(FIND("IMPVOL",G$1)),_xll.BDH(config!$G$4,G$1,WORKDAY($A245,-1,config_Holiday_Calendar_US),WORKDAY($A245,-1,config_Holiday_Calendar_US)),IF(ISNUMBER(_xll.BDH(config!$G$4,G$1,$A245,$A245)),_xll.BDH(config!$G$4,G$1,$A245,$A245),_xll.BDH(config!$G$5,G$1,$A245,$A245))))</f>
        <v>40.880000000000003</v>
      </c>
      <c r="H245" s="8">
        <f>IF($A245="","",IF(ISNUMBER(FIND("IMPVOL",H$1)),_xll.BDH(config!$G$4,H$1,WORKDAY($A245,-1,config_Holiday_Calendar_US),WORKDAY($A245,-1,config_Holiday_Calendar_US)),IF(ISNUMBER(_xll.BDH(config!$G$4,H$1,$A245,$A245)),_xll.BDH(config!$G$4,H$1,$A245,$A245),_xll.BDH(config!$G$5,H$1,$A245,$A245))))</f>
        <v>711459</v>
      </c>
      <c r="I245" s="8" t="str">
        <f>IF($A245="","",IF(ISNUMBER(FIND("IMPVOL",I$1)),_xll.BDH(config!$G$4,I$1,WORKDAY($A245,-1,config_Holiday_Calendar_US),WORKDAY($A245,-1,config_Holiday_Calendar_US)),IF(ISNUMBER(_xll.BDH(config!$G$4,I$1,$A245,$A245)),_xll.BDH(config!$G$4,I$1,$A245,$A245),_xll.BDH(config!$G$5,I$1,$A245,$A245))))</f>
        <v>#N/A Requesting Data...</v>
      </c>
      <c r="J245" s="8" t="str">
        <f>IF($A245="","",IF(ISNUMBER(FIND("IMPVOL",J$1)),_xll.BDH(config!$G$4,J$1,WORKDAY($A245,-1,config_Holiday_Calendar_US),WORKDAY($A245,-1,config_Holiday_Calendar_US)),IF(ISNUMBER(_xll.BDH(config!$G$4,J$1,$A245,$A245)),_xll.BDH(config!$G$4,J$1,$A245,$A245),_xll.BDH(config!$G$5,J$1,$A245,$A245))))</f>
        <v>#N/A Requesting Data...</v>
      </c>
      <c r="K245" s="8" t="str">
        <f>IF($A245="","",IF(ISNUMBER(FIND("IMPVOL",K$1)),_xll.BDH(config!$G$4,K$1,WORKDAY($A245,-1,config_Holiday_Calendar_US),WORKDAY($A245,-1,config_Holiday_Calendar_US)),IF(ISNUMBER(_xll.BDH(config!$G$4,K$1,$A245,$A245)),_xll.BDH(config!$G$4,K$1,$A245,$A245),_xll.BDH(config!$G$5,K$1,$A245,$A245))))</f>
        <v>#N/A Requesting Data...</v>
      </c>
      <c r="L245" s="8" t="str">
        <f>IF($A245="","",IF(ISNUMBER(FIND("IMPVOL",L$1)),_xll.BDH(config!$G$4,L$1,WORKDAY($A245,-1,config_Holiday_Calendar_US),WORKDAY($A245,-1,config_Holiday_Calendar_US)),IF(ISNUMBER(_xll.BDH(config!$G$4,L$1,$A245,$A245)),_xll.BDH(config!$G$4,L$1,$A245,$A245),_xll.BDH(config!$G$5,L$1,$A245,$A245))))</f>
        <v>#N/A Requesting Data...</v>
      </c>
      <c r="M245" s="8" t="str">
        <f>IF($A245="","",IF(ISNUMBER(FIND("IMPVOL",M$1)),_xll.BDH(config!$G$4,M$1,WORKDAY($A245,-1,config_Holiday_Calendar_US),WORKDAY($A245,-1,config_Holiday_Calendar_US)),IF(ISNUMBER(_xll.BDH(config!$G$4,M$1,$A245,$A245)),_xll.BDH(config!$G$4,M$1,$A245,$A245),_xll.BDH(config!$G$5,M$1,$A245,$A245))))</f>
        <v>#N/A Requesting Data...</v>
      </c>
      <c r="N245" s="8" t="str">
        <f>IF($A245="","",IF(ISNUMBER(FIND("IMPVOL",N$1)),_xll.BDH(config!$G$4,N$1,WORKDAY($A245,-1,config_Holiday_Calendar_US),WORKDAY($A245,-1,config_Holiday_Calendar_US)),IF(ISNUMBER(_xll.BDH(config!$G$4,N$1,$A245,$A245)),_xll.BDH(config!$G$4,N$1,$A245,$A245),_xll.BDH(config!$G$5,N$1,$A245,$A245))))</f>
        <v>#N/A Requesting Data...</v>
      </c>
      <c r="O245" s="8" t="str">
        <f>IF($A245="","",IF(ISNUMBER(FIND("IMPVOL",O$1)),_xll.BDH(config!$G$4,O$1,WORKDAY($A245,-1,config_Holiday_Calendar_US),WORKDAY($A245,-1,config_Holiday_Calendar_US)),IF(ISNUMBER(_xll.BDH(config!$G$4,O$1,$A245,$A245)),_xll.BDH(config!$G$4,O$1,$A245,$A245),_xll.BDH(config!$G$5,O$1,$A245,$A245))))</f>
        <v>#N/A Requesting Data...</v>
      </c>
      <c r="P245" s="8" t="str">
        <f>IF($A245="","",IF(ISNUMBER(FIND("IMPVOL",P$1)),_xll.BDH(config!$G$4,P$1,WORKDAY($A245,-1,config_Holiday_Calendar_US),WORKDAY($A245,-1,config_Holiday_Calendar_US)),IF(ISNUMBER(_xll.BDH(config!$G$4,P$1,$A245,$A245)),_xll.BDH(config!$G$4,P$1,$A245,$A245),_xll.BDH(config!$G$5,P$1,$A245,$A245))))</f>
        <v>#N/A Requesting Data...</v>
      </c>
      <c r="Q245" s="8">
        <f>IF($A245="","",IF(ISNUMBER(FIND("IMPVOL",Q$1)),_xll.BDH(config!$G$4,Q$1,WORKDAY($A245,-1,config_Holiday_Calendar_US),WORKDAY($A245,-1,config_Holiday_Calendar_US)),IF(ISNUMBER(_xll.BDH(config!$G$4,Q$1,$A245,$A245)),_xll.BDH(config!$G$4,Q$1,$A245,$A245),_xll.BDH(config!$G$5,Q$1,$A245,$A245))))</f>
        <v>48.14</v>
      </c>
      <c r="R245" s="8">
        <f>IF($A245="","",IF(ISNUMBER(FIND("IMPVOL",R$1)),_xll.BDH(config!$G$4,R$1,WORKDAY($A245,-1,config_Holiday_Calendar_US),WORKDAY($A245,-1,config_Holiday_Calendar_US)),IF(ISNUMBER(_xll.BDH(config!$G$4,R$1,$A245,$A245)),_xll.BDH(config!$G$4,R$1,$A245,$A245),_xll.BDH(config!$G$5,R$1,$A245,$A245))))</f>
        <v>46.46</v>
      </c>
      <c r="S245" s="8" t="str">
        <f>IF($A245="","",IF(ISNUMBER(FIND("IMPVOL",S$1)),_xll.BDH(config!$G$4,S$1,WORKDAY($A245,-1,config_Holiday_Calendar_US),WORKDAY($A245,-1,config_Holiday_Calendar_US)),IF(ISNUMBER(_xll.BDH(config!$G$4,S$1,$A245,$A245)),_xll.BDH(config!$G$4,S$1,$A245,$A245),_xll.BDH(config!$G$5,S$1,$A245,$A245))))</f>
        <v>#N/A Requesting Data...</v>
      </c>
      <c r="T245" s="8" t="str">
        <f>IF($A245="","",IF(ISNUMBER(FIND("IMPVOL",T$1)),_xll.BDH(config!$G$4,T$1,WORKDAY($A245,-1,config_Holiday_Calendar_US),WORKDAY($A245,-1,config_Holiday_Calendar_US)),IF(ISNUMBER(_xll.BDH(config!$G$4,T$1,$A245,$A245)),_xll.BDH(config!$G$4,T$1,$A245,$A245),_xll.BDH(config!$G$5,T$1,$A245,$A245))))</f>
        <v>#N/A Requesting Data...</v>
      </c>
      <c r="U245" s="8" t="str">
        <f>IF($A245="","",IF(ISNUMBER(FIND("IMPVOL",U$1)),_xll.BDH(config!$G$4,U$1,WORKDAY($A245,-1,config_Holiday_Calendar_US),WORKDAY($A245,-1,config_Holiday_Calendar_US)),IF(ISNUMBER(_xll.BDH(config!$G$4,U$1,$A245,$A245)),_xll.BDH(config!$G$4,U$1,$A245,$A245),_xll.BDH(config!$G$5,U$1,$A245,$A245))))</f>
        <v>#N/A Requesting Data...</v>
      </c>
      <c r="V245" s="8" t="str">
        <f>IF($A245="","",IF(ISNUMBER(FIND("IMPVOL",V$1)),_xll.BDH(config!$G$4,V$1,WORKDAY($A245,-1,config_Holiday_Calendar_US),WORKDAY($A245,-1,config_Holiday_Calendar_US)),IF(ISNUMBER(_xll.BDH(config!$G$4,V$1,$A245,$A245)),_xll.BDH(config!$G$4,V$1,$A245,$A245),_xll.BDH(config!$G$5,V$1,$A245,$A245))))</f>
        <v>#N/A Requesting Data...</v>
      </c>
      <c r="W245" s="8" t="str">
        <f>IF($A245="","",IF(ISNUMBER(FIND("IMPVOL",W$1)),_xll.BDH(config!$G$4,W$1,WORKDAY($A245,-1,config_Holiday_Calendar_US),WORKDAY($A245,-1,config_Holiday_Calendar_US)),IF(ISNUMBER(_xll.BDH(config!$G$4,W$1,$A245,$A245)),_xll.BDH(config!$G$4,W$1,$A245,$A245),_xll.BDH(config!$G$5,W$1,$A245,$A245))))</f>
        <v>#N/A Requesting Data...</v>
      </c>
    </row>
    <row r="246" spans="1:23" x14ac:dyDescent="0.2">
      <c r="A246" s="9">
        <f>IF(A245="","",IF(WORKDAY(A245,-1,config_Holiday_Calendar_US)&lt;config!$I$10,"",WORKDAY(A245,-1,config_Holiday_Calendar_US)))</f>
        <v>42478</v>
      </c>
      <c r="B246" s="8" t="e">
        <f t="shared" si="3"/>
        <v>#VALUE!</v>
      </c>
      <c r="C246" s="8" t="str">
        <f>IF(A246="","",_xll.BDH(config!$H$4,C$1,$A246,$A246))</f>
        <v>#N/A Requesting Data...</v>
      </c>
      <c r="D246" s="8" t="str">
        <f>IF($A246="","",_xll.BDH(config!$H$4,D$1,$A246,$A246))</f>
        <v>#N/A Requesting Data...</v>
      </c>
      <c r="E246" s="8">
        <f>IF($A246="","",IF(ISNUMBER(FIND("IMPVOL",E$1)),_xll.BDH(config!$G$4,E$1,WORKDAY($A246,-1,config_Holiday_Calendar_US),WORKDAY($A246,-1,config_Holiday_Calendar_US)),IF(ISNUMBER(_xll.BDH(config!$G$4,E$1,$A246,$A246)),_xll.BDH(config!$G$4,E$1,$A246,$A246),_xll.BDH(config!$G$5,E$1,$A246,$A246))))</f>
        <v>38.75</v>
      </c>
      <c r="F246" s="8">
        <f>IF($A246="","",IF(ISNUMBER(FIND("IMPVOL",F$1)),_xll.BDH(config!$G$4,F$1,WORKDAY($A246,-1,config_Holiday_Calendar_US),WORKDAY($A246,-1,config_Holiday_Calendar_US)),IF(ISNUMBER(_xll.BDH(config!$G$4,F$1,$A246,$A246)),_xll.BDH(config!$G$4,F$1,$A246,$A246),_xll.BDH(config!$G$5,F$1,$A246,$A246))))</f>
        <v>40.24</v>
      </c>
      <c r="G246" s="8">
        <f>IF($A246="","",IF(ISNUMBER(FIND("IMPVOL",G$1)),_xll.BDH(config!$G$4,G$1,WORKDAY($A246,-1,config_Holiday_Calendar_US),WORKDAY($A246,-1,config_Holiday_Calendar_US)),IF(ISNUMBER(_xll.BDH(config!$G$4,G$1,$A246,$A246)),_xll.BDH(config!$G$4,G$1,$A246,$A246),_xll.BDH(config!$G$5,G$1,$A246,$A246))))</f>
        <v>39</v>
      </c>
      <c r="H246" s="8">
        <f>IF($A246="","",IF(ISNUMBER(FIND("IMPVOL",H$1)),_xll.BDH(config!$G$4,H$1,WORKDAY($A246,-1,config_Holiday_Calendar_US),WORKDAY($A246,-1,config_Holiday_Calendar_US)),IF(ISNUMBER(_xll.BDH(config!$G$4,H$1,$A246,$A246)),_xll.BDH(config!$G$4,H$1,$A246,$A246),_xll.BDH(config!$G$5,H$1,$A246,$A246))))</f>
        <v>609487</v>
      </c>
      <c r="I246" s="8" t="str">
        <f>IF($A246="","",IF(ISNUMBER(FIND("IMPVOL",I$1)),_xll.BDH(config!$G$4,I$1,WORKDAY($A246,-1,config_Holiday_Calendar_US),WORKDAY($A246,-1,config_Holiday_Calendar_US)),IF(ISNUMBER(_xll.BDH(config!$G$4,I$1,$A246,$A246)),_xll.BDH(config!$G$4,I$1,$A246,$A246),_xll.BDH(config!$G$5,I$1,$A246,$A246))))</f>
        <v>#N/A Requesting Data...</v>
      </c>
      <c r="J246" s="8" t="str">
        <f>IF($A246="","",IF(ISNUMBER(FIND("IMPVOL",J$1)),_xll.BDH(config!$G$4,J$1,WORKDAY($A246,-1,config_Holiday_Calendar_US),WORKDAY($A246,-1,config_Holiday_Calendar_US)),IF(ISNUMBER(_xll.BDH(config!$G$4,J$1,$A246,$A246)),_xll.BDH(config!$G$4,J$1,$A246,$A246),_xll.BDH(config!$G$5,J$1,$A246,$A246))))</f>
        <v>#N/A Requesting Data...</v>
      </c>
      <c r="K246" s="8" t="str">
        <f>IF($A246="","",IF(ISNUMBER(FIND("IMPVOL",K$1)),_xll.BDH(config!$G$4,K$1,WORKDAY($A246,-1,config_Holiday_Calendar_US),WORKDAY($A246,-1,config_Holiday_Calendar_US)),IF(ISNUMBER(_xll.BDH(config!$G$4,K$1,$A246,$A246)),_xll.BDH(config!$G$4,K$1,$A246,$A246),_xll.BDH(config!$G$5,K$1,$A246,$A246))))</f>
        <v>#N/A Requesting Data...</v>
      </c>
      <c r="L246" s="8" t="str">
        <f>IF($A246="","",IF(ISNUMBER(FIND("IMPVOL",L$1)),_xll.BDH(config!$G$4,L$1,WORKDAY($A246,-1,config_Holiday_Calendar_US),WORKDAY($A246,-1,config_Holiday_Calendar_US)),IF(ISNUMBER(_xll.BDH(config!$G$4,L$1,$A246,$A246)),_xll.BDH(config!$G$4,L$1,$A246,$A246),_xll.BDH(config!$G$5,L$1,$A246,$A246))))</f>
        <v>#N/A Requesting Data...</v>
      </c>
      <c r="M246" s="8" t="str">
        <f>IF($A246="","",IF(ISNUMBER(FIND("IMPVOL",M$1)),_xll.BDH(config!$G$4,M$1,WORKDAY($A246,-1,config_Holiday_Calendar_US),WORKDAY($A246,-1,config_Holiday_Calendar_US)),IF(ISNUMBER(_xll.BDH(config!$G$4,M$1,$A246,$A246)),_xll.BDH(config!$G$4,M$1,$A246,$A246),_xll.BDH(config!$G$5,M$1,$A246,$A246))))</f>
        <v>#N/A Requesting Data...</v>
      </c>
      <c r="N246" s="8" t="str">
        <f>IF($A246="","",IF(ISNUMBER(FIND("IMPVOL",N$1)),_xll.BDH(config!$G$4,N$1,WORKDAY($A246,-1,config_Holiday_Calendar_US),WORKDAY($A246,-1,config_Holiday_Calendar_US)),IF(ISNUMBER(_xll.BDH(config!$G$4,N$1,$A246,$A246)),_xll.BDH(config!$G$4,N$1,$A246,$A246),_xll.BDH(config!$G$5,N$1,$A246,$A246))))</f>
        <v>#N/A Requesting Data...</v>
      </c>
      <c r="O246" s="8" t="str">
        <f>IF($A246="","",IF(ISNUMBER(FIND("IMPVOL",O$1)),_xll.BDH(config!$G$4,O$1,WORKDAY($A246,-1,config_Holiday_Calendar_US),WORKDAY($A246,-1,config_Holiday_Calendar_US)),IF(ISNUMBER(_xll.BDH(config!$G$4,O$1,$A246,$A246)),_xll.BDH(config!$G$4,O$1,$A246,$A246),_xll.BDH(config!$G$5,O$1,$A246,$A246))))</f>
        <v>#N/A Requesting Data...</v>
      </c>
      <c r="P246" s="8" t="str">
        <f>IF($A246="","",IF(ISNUMBER(FIND("IMPVOL",P$1)),_xll.BDH(config!$G$4,P$1,WORKDAY($A246,-1,config_Holiday_Calendar_US),WORKDAY($A246,-1,config_Holiday_Calendar_US)),IF(ISNUMBER(_xll.BDH(config!$G$4,P$1,$A246,$A246)),_xll.BDH(config!$G$4,P$1,$A246,$A246),_xll.BDH(config!$G$5,P$1,$A246,$A246))))</f>
        <v>#N/A Requesting Data...</v>
      </c>
      <c r="Q246" s="8">
        <f>IF($A246="","",IF(ISNUMBER(FIND("IMPVOL",Q$1)),_xll.BDH(config!$G$4,Q$1,WORKDAY($A246,-1,config_Holiday_Calendar_US),WORKDAY($A246,-1,config_Holiday_Calendar_US)),IF(ISNUMBER(_xll.BDH(config!$G$4,Q$1,$A246,$A246)),_xll.BDH(config!$G$4,Q$1,$A246,$A246),_xll.BDH(config!$G$5,Q$1,$A246,$A246))))</f>
        <v>51.68</v>
      </c>
      <c r="R246" s="8">
        <f>IF($A246="","",IF(ISNUMBER(FIND("IMPVOL",R$1)),_xll.BDH(config!$G$4,R$1,WORKDAY($A246,-1,config_Holiday_Calendar_US),WORKDAY($A246,-1,config_Holiday_Calendar_US)),IF(ISNUMBER(_xll.BDH(config!$G$4,R$1,$A246,$A246)),_xll.BDH(config!$G$4,R$1,$A246,$A246),_xll.BDH(config!$G$5,R$1,$A246,$A246))))</f>
        <v>47.11</v>
      </c>
      <c r="S246" s="8" t="str">
        <f>IF($A246="","",IF(ISNUMBER(FIND("IMPVOL",S$1)),_xll.BDH(config!$G$4,S$1,WORKDAY($A246,-1,config_Holiday_Calendar_US),WORKDAY($A246,-1,config_Holiday_Calendar_US)),IF(ISNUMBER(_xll.BDH(config!$G$4,S$1,$A246,$A246)),_xll.BDH(config!$G$4,S$1,$A246,$A246),_xll.BDH(config!$G$5,S$1,$A246,$A246))))</f>
        <v>#N/A Requesting Data...</v>
      </c>
      <c r="T246" s="8" t="str">
        <f>IF($A246="","",IF(ISNUMBER(FIND("IMPVOL",T$1)),_xll.BDH(config!$G$4,T$1,WORKDAY($A246,-1,config_Holiday_Calendar_US),WORKDAY($A246,-1,config_Holiday_Calendar_US)),IF(ISNUMBER(_xll.BDH(config!$G$4,T$1,$A246,$A246)),_xll.BDH(config!$G$4,T$1,$A246,$A246),_xll.BDH(config!$G$5,T$1,$A246,$A246))))</f>
        <v>#N/A Requesting Data...</v>
      </c>
      <c r="U246" s="8" t="str">
        <f>IF($A246="","",IF(ISNUMBER(FIND("IMPVOL",U$1)),_xll.BDH(config!$G$4,U$1,WORKDAY($A246,-1,config_Holiday_Calendar_US),WORKDAY($A246,-1,config_Holiday_Calendar_US)),IF(ISNUMBER(_xll.BDH(config!$G$4,U$1,$A246,$A246)),_xll.BDH(config!$G$4,U$1,$A246,$A246),_xll.BDH(config!$G$5,U$1,$A246,$A246))))</f>
        <v>#N/A Requesting Data...</v>
      </c>
      <c r="V246" s="8" t="str">
        <f>IF($A246="","",IF(ISNUMBER(FIND("IMPVOL",V$1)),_xll.BDH(config!$G$4,V$1,WORKDAY($A246,-1,config_Holiday_Calendar_US),WORKDAY($A246,-1,config_Holiday_Calendar_US)),IF(ISNUMBER(_xll.BDH(config!$G$4,V$1,$A246,$A246)),_xll.BDH(config!$G$4,V$1,$A246,$A246),_xll.BDH(config!$G$5,V$1,$A246,$A246))))</f>
        <v>#N/A Requesting Data...</v>
      </c>
      <c r="W246" s="8" t="str">
        <f>IF($A246="","",IF(ISNUMBER(FIND("IMPVOL",W$1)),_xll.BDH(config!$G$4,W$1,WORKDAY($A246,-1,config_Holiday_Calendar_US),WORKDAY($A246,-1,config_Holiday_Calendar_US)),IF(ISNUMBER(_xll.BDH(config!$G$4,W$1,$A246,$A246)),_xll.BDH(config!$G$4,W$1,$A246,$A246),_xll.BDH(config!$G$5,W$1,$A246,$A246))))</f>
        <v>#N/A Requesting Data...</v>
      </c>
    </row>
    <row r="247" spans="1:23" x14ac:dyDescent="0.2">
      <c r="A247" s="9">
        <f>IF(A246="","",IF(WORKDAY(A246,-1,config_Holiday_Calendar_US)&lt;config!$I$10,"",WORKDAY(A246,-1,config_Holiday_Calendar_US)))</f>
        <v>42475</v>
      </c>
      <c r="B247" s="8" t="e">
        <f t="shared" si="3"/>
        <v>#VALUE!</v>
      </c>
      <c r="C247" s="8" t="str">
        <f>IF(A247="","",_xll.BDH(config!$H$4,C$1,$A247,$A247))</f>
        <v>#N/A Requesting Data...</v>
      </c>
      <c r="D247" s="8" t="str">
        <f>IF($A247="","",_xll.BDH(config!$H$4,D$1,$A247,$A247))</f>
        <v>#N/A Requesting Data...</v>
      </c>
      <c r="E247" s="8">
        <f>IF($A247="","",IF(ISNUMBER(FIND("IMPVOL",E$1)),_xll.BDH(config!$G$4,E$1,WORKDAY($A247,-1,config_Holiday_Calendar_US),WORKDAY($A247,-1,config_Holiday_Calendar_US)),IF(ISNUMBER(_xll.BDH(config!$G$4,E$1,$A247,$A247)),_xll.BDH(config!$G$4,E$1,$A247,$A247),_xll.BDH(config!$G$5,E$1,$A247,$A247))))</f>
        <v>41.43</v>
      </c>
      <c r="F247" s="8">
        <f>IF($A247="","",IF(ISNUMBER(FIND("IMPVOL",F$1)),_xll.BDH(config!$G$4,F$1,WORKDAY($A247,-1,config_Holiday_Calendar_US),WORKDAY($A247,-1,config_Holiday_Calendar_US)),IF(ISNUMBER(_xll.BDH(config!$G$4,F$1,$A247,$A247)),_xll.BDH(config!$G$4,F$1,$A247,$A247),_xll.BDH(config!$G$5,F$1,$A247,$A247))))</f>
        <v>41.73</v>
      </c>
      <c r="G247" s="8">
        <f>IF($A247="","",IF(ISNUMBER(FIND("IMPVOL",G$1)),_xll.BDH(config!$G$4,G$1,WORKDAY($A247,-1,config_Holiday_Calendar_US),WORKDAY($A247,-1,config_Holiday_Calendar_US)),IF(ISNUMBER(_xll.BDH(config!$G$4,G$1,$A247,$A247)),_xll.BDH(config!$G$4,G$1,$A247,$A247),_xll.BDH(config!$G$5,G$1,$A247,$A247))))</f>
        <v>41.19</v>
      </c>
      <c r="H247" s="8">
        <f>IF($A247="","",IF(ISNUMBER(FIND("IMPVOL",H$1)),_xll.BDH(config!$G$4,H$1,WORKDAY($A247,-1,config_Holiday_Calendar_US),WORKDAY($A247,-1,config_Holiday_Calendar_US)),IF(ISNUMBER(_xll.BDH(config!$G$4,H$1,$A247,$A247)),_xll.BDH(config!$G$4,H$1,$A247,$A247),_xll.BDH(config!$G$5,H$1,$A247,$A247))))</f>
        <v>387546</v>
      </c>
      <c r="I247" s="8" t="str">
        <f>IF($A247="","",IF(ISNUMBER(FIND("IMPVOL",I$1)),_xll.BDH(config!$G$4,I$1,WORKDAY($A247,-1,config_Holiday_Calendar_US),WORKDAY($A247,-1,config_Holiday_Calendar_US)),IF(ISNUMBER(_xll.BDH(config!$G$4,I$1,$A247,$A247)),_xll.BDH(config!$G$4,I$1,$A247,$A247),_xll.BDH(config!$G$5,I$1,$A247,$A247))))</f>
        <v>#N/A Requesting Data...</v>
      </c>
      <c r="J247" s="8" t="str">
        <f>IF($A247="","",IF(ISNUMBER(FIND("IMPVOL",J$1)),_xll.BDH(config!$G$4,J$1,WORKDAY($A247,-1,config_Holiday_Calendar_US),WORKDAY($A247,-1,config_Holiday_Calendar_US)),IF(ISNUMBER(_xll.BDH(config!$G$4,J$1,$A247,$A247)),_xll.BDH(config!$G$4,J$1,$A247,$A247),_xll.BDH(config!$G$5,J$1,$A247,$A247))))</f>
        <v>#N/A Requesting Data...</v>
      </c>
      <c r="K247" s="8" t="str">
        <f>IF($A247="","",IF(ISNUMBER(FIND("IMPVOL",K$1)),_xll.BDH(config!$G$4,K$1,WORKDAY($A247,-1,config_Holiday_Calendar_US),WORKDAY($A247,-1,config_Holiday_Calendar_US)),IF(ISNUMBER(_xll.BDH(config!$G$4,K$1,$A247,$A247)),_xll.BDH(config!$G$4,K$1,$A247,$A247),_xll.BDH(config!$G$5,K$1,$A247,$A247))))</f>
        <v>#N/A Requesting Data...</v>
      </c>
      <c r="L247" s="8" t="str">
        <f>IF($A247="","",IF(ISNUMBER(FIND("IMPVOL",L$1)),_xll.BDH(config!$G$4,L$1,WORKDAY($A247,-1,config_Holiday_Calendar_US),WORKDAY($A247,-1,config_Holiday_Calendar_US)),IF(ISNUMBER(_xll.BDH(config!$G$4,L$1,$A247,$A247)),_xll.BDH(config!$G$4,L$1,$A247,$A247),_xll.BDH(config!$G$5,L$1,$A247,$A247))))</f>
        <v>#N/A Requesting Data...</v>
      </c>
      <c r="M247" s="8" t="str">
        <f>IF($A247="","",IF(ISNUMBER(FIND("IMPVOL",M$1)),_xll.BDH(config!$G$4,M$1,WORKDAY($A247,-1,config_Holiday_Calendar_US),WORKDAY($A247,-1,config_Holiday_Calendar_US)),IF(ISNUMBER(_xll.BDH(config!$G$4,M$1,$A247,$A247)),_xll.BDH(config!$G$4,M$1,$A247,$A247),_xll.BDH(config!$G$5,M$1,$A247,$A247))))</f>
        <v>#N/A Requesting Data...</v>
      </c>
      <c r="N247" s="8" t="str">
        <f>IF($A247="","",IF(ISNUMBER(FIND("IMPVOL",N$1)),_xll.BDH(config!$G$4,N$1,WORKDAY($A247,-1,config_Holiday_Calendar_US),WORKDAY($A247,-1,config_Holiday_Calendar_US)),IF(ISNUMBER(_xll.BDH(config!$G$4,N$1,$A247,$A247)),_xll.BDH(config!$G$4,N$1,$A247,$A247),_xll.BDH(config!$G$5,N$1,$A247,$A247))))</f>
        <v>#N/A Requesting Data...</v>
      </c>
      <c r="O247" s="8" t="str">
        <f>IF($A247="","",IF(ISNUMBER(FIND("IMPVOL",O$1)),_xll.BDH(config!$G$4,O$1,WORKDAY($A247,-1,config_Holiday_Calendar_US),WORKDAY($A247,-1,config_Holiday_Calendar_US)),IF(ISNUMBER(_xll.BDH(config!$G$4,O$1,$A247,$A247)),_xll.BDH(config!$G$4,O$1,$A247,$A247),_xll.BDH(config!$G$5,O$1,$A247,$A247))))</f>
        <v>#N/A Requesting Data...</v>
      </c>
      <c r="P247" s="8" t="str">
        <f>IF($A247="","",IF(ISNUMBER(FIND("IMPVOL",P$1)),_xll.BDH(config!$G$4,P$1,WORKDAY($A247,-1,config_Holiday_Calendar_US),WORKDAY($A247,-1,config_Holiday_Calendar_US)),IF(ISNUMBER(_xll.BDH(config!$G$4,P$1,$A247,$A247)),_xll.BDH(config!$G$4,P$1,$A247,$A247),_xll.BDH(config!$G$5,P$1,$A247,$A247))))</f>
        <v>#N/A Requesting Data...</v>
      </c>
      <c r="Q247" s="8">
        <f>IF($A247="","",IF(ISNUMBER(FIND("IMPVOL",Q$1)),_xll.BDH(config!$G$4,Q$1,WORKDAY($A247,-1,config_Holiday_Calendar_US),WORKDAY($A247,-1,config_Holiday_Calendar_US)),IF(ISNUMBER(_xll.BDH(config!$G$4,Q$1,$A247,$A247)),_xll.BDH(config!$G$4,Q$1,$A247,$A247),_xll.BDH(config!$G$5,Q$1,$A247,$A247))))</f>
        <v>50.03</v>
      </c>
      <c r="R247" s="8">
        <f>IF($A247="","",IF(ISNUMBER(FIND("IMPVOL",R$1)),_xll.BDH(config!$G$4,R$1,WORKDAY($A247,-1,config_Holiday_Calendar_US),WORKDAY($A247,-1,config_Holiday_Calendar_US)),IF(ISNUMBER(_xll.BDH(config!$G$4,R$1,$A247,$A247)),_xll.BDH(config!$G$4,R$1,$A247,$A247),_xll.BDH(config!$G$5,R$1,$A247,$A247))))</f>
        <v>49.4</v>
      </c>
      <c r="S247" s="8" t="str">
        <f>IF($A247="","",IF(ISNUMBER(FIND("IMPVOL",S$1)),_xll.BDH(config!$G$4,S$1,WORKDAY($A247,-1,config_Holiday_Calendar_US),WORKDAY($A247,-1,config_Holiday_Calendar_US)),IF(ISNUMBER(_xll.BDH(config!$G$4,S$1,$A247,$A247)),_xll.BDH(config!$G$4,S$1,$A247,$A247),_xll.BDH(config!$G$5,S$1,$A247,$A247))))</f>
        <v>#N/A Requesting Data...</v>
      </c>
      <c r="T247" s="8" t="str">
        <f>IF($A247="","",IF(ISNUMBER(FIND("IMPVOL",T$1)),_xll.BDH(config!$G$4,T$1,WORKDAY($A247,-1,config_Holiday_Calendar_US),WORKDAY($A247,-1,config_Holiday_Calendar_US)),IF(ISNUMBER(_xll.BDH(config!$G$4,T$1,$A247,$A247)),_xll.BDH(config!$G$4,T$1,$A247,$A247),_xll.BDH(config!$G$5,T$1,$A247,$A247))))</f>
        <v>#N/A Requesting Data...</v>
      </c>
      <c r="U247" s="8" t="str">
        <f>IF($A247="","",IF(ISNUMBER(FIND("IMPVOL",U$1)),_xll.BDH(config!$G$4,U$1,WORKDAY($A247,-1,config_Holiday_Calendar_US),WORKDAY($A247,-1,config_Holiday_Calendar_US)),IF(ISNUMBER(_xll.BDH(config!$G$4,U$1,$A247,$A247)),_xll.BDH(config!$G$4,U$1,$A247,$A247),_xll.BDH(config!$G$5,U$1,$A247,$A247))))</f>
        <v>#N/A Requesting Data...</v>
      </c>
      <c r="V247" s="8" t="str">
        <f>IF($A247="","",IF(ISNUMBER(FIND("IMPVOL",V$1)),_xll.BDH(config!$G$4,V$1,WORKDAY($A247,-1,config_Holiday_Calendar_US),WORKDAY($A247,-1,config_Holiday_Calendar_US)),IF(ISNUMBER(_xll.BDH(config!$G$4,V$1,$A247,$A247)),_xll.BDH(config!$G$4,V$1,$A247,$A247),_xll.BDH(config!$G$5,V$1,$A247,$A247))))</f>
        <v>#N/A Requesting Data...</v>
      </c>
      <c r="W247" s="8" t="str">
        <f>IF($A247="","",IF(ISNUMBER(FIND("IMPVOL",W$1)),_xll.BDH(config!$G$4,W$1,WORKDAY($A247,-1,config_Holiday_Calendar_US),WORKDAY($A247,-1,config_Holiday_Calendar_US)),IF(ISNUMBER(_xll.BDH(config!$G$4,W$1,$A247,$A247)),_xll.BDH(config!$G$4,W$1,$A247,$A247),_xll.BDH(config!$G$5,W$1,$A247,$A247))))</f>
        <v>#N/A Requesting Data...</v>
      </c>
    </row>
    <row r="248" spans="1:23" x14ac:dyDescent="0.2">
      <c r="A248" s="9">
        <f>IF(A247="","",IF(WORKDAY(A247,-1,config_Holiday_Calendar_US)&lt;config!$I$10,"",WORKDAY(A247,-1,config_Holiday_Calendar_US)))</f>
        <v>42474</v>
      </c>
      <c r="B248" s="8" t="e">
        <f t="shared" si="3"/>
        <v>#VALUE!</v>
      </c>
      <c r="C248" s="8" t="str">
        <f>IF(A248="","",_xll.BDH(config!$H$4,C$1,$A248,$A248))</f>
        <v>#N/A Requesting Data...</v>
      </c>
      <c r="D248" s="8" t="str">
        <f>IF($A248="","",_xll.BDH(config!$H$4,D$1,$A248,$A248))</f>
        <v>#N/A Requesting Data...</v>
      </c>
      <c r="E248" s="8">
        <f>IF($A248="","",IF(ISNUMBER(FIND("IMPVOL",E$1)),_xll.BDH(config!$G$4,E$1,WORKDAY($A248,-1,config_Holiday_Calendar_US),WORKDAY($A248,-1,config_Holiday_Calendar_US)),IF(ISNUMBER(_xll.BDH(config!$G$4,E$1,$A248,$A248)),_xll.BDH(config!$G$4,E$1,$A248,$A248),_xll.BDH(config!$G$5,E$1,$A248,$A248))))</f>
        <v>41.54</v>
      </c>
      <c r="F248" s="8">
        <f>IF($A248="","",IF(ISNUMBER(FIND("IMPVOL",F$1)),_xll.BDH(config!$G$4,F$1,WORKDAY($A248,-1,config_Holiday_Calendar_US),WORKDAY($A248,-1,config_Holiday_Calendar_US)),IF(ISNUMBER(_xll.BDH(config!$G$4,F$1,$A248,$A248)),_xll.BDH(config!$G$4,F$1,$A248,$A248),_xll.BDH(config!$G$5,F$1,$A248,$A248))))</f>
        <v>42.16</v>
      </c>
      <c r="G248" s="8">
        <f>IF($A248="","",IF(ISNUMBER(FIND("IMPVOL",G$1)),_xll.BDH(config!$G$4,G$1,WORKDAY($A248,-1,config_Holiday_Calendar_US),WORKDAY($A248,-1,config_Holiday_Calendar_US)),IF(ISNUMBER(_xll.BDH(config!$G$4,G$1,$A248,$A248)),_xll.BDH(config!$G$4,G$1,$A248,$A248),_xll.BDH(config!$G$5,G$1,$A248,$A248))))</f>
        <v>42.06</v>
      </c>
      <c r="H248" s="8">
        <f>IF($A248="","",IF(ISNUMBER(FIND("IMPVOL",H$1)),_xll.BDH(config!$G$4,H$1,WORKDAY($A248,-1,config_Holiday_Calendar_US),WORKDAY($A248,-1,config_Holiday_Calendar_US)),IF(ISNUMBER(_xll.BDH(config!$G$4,H$1,$A248,$A248)),_xll.BDH(config!$G$4,H$1,$A248,$A248),_xll.BDH(config!$G$5,H$1,$A248,$A248))))</f>
        <v>260593</v>
      </c>
      <c r="I248" s="8" t="str">
        <f>IF($A248="","",IF(ISNUMBER(FIND("IMPVOL",I$1)),_xll.BDH(config!$G$4,I$1,WORKDAY($A248,-1,config_Holiday_Calendar_US),WORKDAY($A248,-1,config_Holiday_Calendar_US)),IF(ISNUMBER(_xll.BDH(config!$G$4,I$1,$A248,$A248)),_xll.BDH(config!$G$4,I$1,$A248,$A248),_xll.BDH(config!$G$5,I$1,$A248,$A248))))</f>
        <v>#N/A Requesting Data...</v>
      </c>
      <c r="J248" s="8" t="str">
        <f>IF($A248="","",IF(ISNUMBER(FIND("IMPVOL",J$1)),_xll.BDH(config!$G$4,J$1,WORKDAY($A248,-1,config_Holiday_Calendar_US),WORKDAY($A248,-1,config_Holiday_Calendar_US)),IF(ISNUMBER(_xll.BDH(config!$G$4,J$1,$A248,$A248)),_xll.BDH(config!$G$4,J$1,$A248,$A248),_xll.BDH(config!$G$5,J$1,$A248,$A248))))</f>
        <v>#N/A Requesting Data...</v>
      </c>
      <c r="K248" s="8" t="str">
        <f>IF($A248="","",IF(ISNUMBER(FIND("IMPVOL",K$1)),_xll.BDH(config!$G$4,K$1,WORKDAY($A248,-1,config_Holiday_Calendar_US),WORKDAY($A248,-1,config_Holiday_Calendar_US)),IF(ISNUMBER(_xll.BDH(config!$G$4,K$1,$A248,$A248)),_xll.BDH(config!$G$4,K$1,$A248,$A248),_xll.BDH(config!$G$5,K$1,$A248,$A248))))</f>
        <v>#N/A Requesting Data...</v>
      </c>
      <c r="L248" s="8" t="str">
        <f>IF($A248="","",IF(ISNUMBER(FIND("IMPVOL",L$1)),_xll.BDH(config!$G$4,L$1,WORKDAY($A248,-1,config_Holiday_Calendar_US),WORKDAY($A248,-1,config_Holiday_Calendar_US)),IF(ISNUMBER(_xll.BDH(config!$G$4,L$1,$A248,$A248)),_xll.BDH(config!$G$4,L$1,$A248,$A248),_xll.BDH(config!$G$5,L$1,$A248,$A248))))</f>
        <v>#N/A Requesting Data...</v>
      </c>
      <c r="M248" s="8" t="str">
        <f>IF($A248="","",IF(ISNUMBER(FIND("IMPVOL",M$1)),_xll.BDH(config!$G$4,M$1,WORKDAY($A248,-1,config_Holiday_Calendar_US),WORKDAY($A248,-1,config_Holiday_Calendar_US)),IF(ISNUMBER(_xll.BDH(config!$G$4,M$1,$A248,$A248)),_xll.BDH(config!$G$4,M$1,$A248,$A248),_xll.BDH(config!$G$5,M$1,$A248,$A248))))</f>
        <v>#N/A Requesting Data...</v>
      </c>
      <c r="N248" s="8" t="str">
        <f>IF($A248="","",IF(ISNUMBER(FIND("IMPVOL",N$1)),_xll.BDH(config!$G$4,N$1,WORKDAY($A248,-1,config_Holiday_Calendar_US),WORKDAY($A248,-1,config_Holiday_Calendar_US)),IF(ISNUMBER(_xll.BDH(config!$G$4,N$1,$A248,$A248)),_xll.BDH(config!$G$4,N$1,$A248,$A248),_xll.BDH(config!$G$5,N$1,$A248,$A248))))</f>
        <v>#N/A Requesting Data...</v>
      </c>
      <c r="O248" s="8" t="str">
        <f>IF($A248="","",IF(ISNUMBER(FIND("IMPVOL",O$1)),_xll.BDH(config!$G$4,O$1,WORKDAY($A248,-1,config_Holiday_Calendar_US),WORKDAY($A248,-1,config_Holiday_Calendar_US)),IF(ISNUMBER(_xll.BDH(config!$G$4,O$1,$A248,$A248)),_xll.BDH(config!$G$4,O$1,$A248,$A248),_xll.BDH(config!$G$5,O$1,$A248,$A248))))</f>
        <v>#N/A Requesting Data...</v>
      </c>
      <c r="P248" s="8" t="str">
        <f>IF($A248="","",IF(ISNUMBER(FIND("IMPVOL",P$1)),_xll.BDH(config!$G$4,P$1,WORKDAY($A248,-1,config_Holiday_Calendar_US),WORKDAY($A248,-1,config_Holiday_Calendar_US)),IF(ISNUMBER(_xll.BDH(config!$G$4,P$1,$A248,$A248)),_xll.BDH(config!$G$4,P$1,$A248,$A248),_xll.BDH(config!$G$5,P$1,$A248,$A248))))</f>
        <v>#N/A Requesting Data...</v>
      </c>
      <c r="Q248" s="8">
        <f>IF($A248="","",IF(ISNUMBER(FIND("IMPVOL",Q$1)),_xll.BDH(config!$G$4,Q$1,WORKDAY($A248,-1,config_Holiday_Calendar_US),WORKDAY($A248,-1,config_Holiday_Calendar_US)),IF(ISNUMBER(_xll.BDH(config!$G$4,Q$1,$A248,$A248)),_xll.BDH(config!$G$4,Q$1,$A248,$A248),_xll.BDH(config!$G$5,Q$1,$A248,$A248))))</f>
        <v>52.14</v>
      </c>
      <c r="R248" s="8">
        <f>IF($A248="","",IF(ISNUMBER(FIND("IMPVOL",R$1)),_xll.BDH(config!$G$4,R$1,WORKDAY($A248,-1,config_Holiday_Calendar_US),WORKDAY($A248,-1,config_Holiday_Calendar_US)),IF(ISNUMBER(_xll.BDH(config!$G$4,R$1,$A248,$A248)),_xll.BDH(config!$G$4,R$1,$A248,$A248),_xll.BDH(config!$G$5,R$1,$A248,$A248))))</f>
        <v>49.78</v>
      </c>
      <c r="S248" s="8" t="str">
        <f>IF($A248="","",IF(ISNUMBER(FIND("IMPVOL",S$1)),_xll.BDH(config!$G$4,S$1,WORKDAY($A248,-1,config_Holiday_Calendar_US),WORKDAY($A248,-1,config_Holiday_Calendar_US)),IF(ISNUMBER(_xll.BDH(config!$G$4,S$1,$A248,$A248)),_xll.BDH(config!$G$4,S$1,$A248,$A248),_xll.BDH(config!$G$5,S$1,$A248,$A248))))</f>
        <v>#N/A Requesting Data...</v>
      </c>
      <c r="T248" s="8" t="str">
        <f>IF($A248="","",IF(ISNUMBER(FIND("IMPVOL",T$1)),_xll.BDH(config!$G$4,T$1,WORKDAY($A248,-1,config_Holiday_Calendar_US),WORKDAY($A248,-1,config_Holiday_Calendar_US)),IF(ISNUMBER(_xll.BDH(config!$G$4,T$1,$A248,$A248)),_xll.BDH(config!$G$4,T$1,$A248,$A248),_xll.BDH(config!$G$5,T$1,$A248,$A248))))</f>
        <v>#N/A Requesting Data...</v>
      </c>
      <c r="U248" s="8" t="str">
        <f>IF($A248="","",IF(ISNUMBER(FIND("IMPVOL",U$1)),_xll.BDH(config!$G$4,U$1,WORKDAY($A248,-1,config_Holiday_Calendar_US),WORKDAY($A248,-1,config_Holiday_Calendar_US)),IF(ISNUMBER(_xll.BDH(config!$G$4,U$1,$A248,$A248)),_xll.BDH(config!$G$4,U$1,$A248,$A248),_xll.BDH(config!$G$5,U$1,$A248,$A248))))</f>
        <v>#N/A Requesting Data...</v>
      </c>
      <c r="V248" s="8" t="str">
        <f>IF($A248="","",IF(ISNUMBER(FIND("IMPVOL",V$1)),_xll.BDH(config!$G$4,V$1,WORKDAY($A248,-1,config_Holiday_Calendar_US),WORKDAY($A248,-1,config_Holiday_Calendar_US)),IF(ISNUMBER(_xll.BDH(config!$G$4,V$1,$A248,$A248)),_xll.BDH(config!$G$4,V$1,$A248,$A248),_xll.BDH(config!$G$5,V$1,$A248,$A248))))</f>
        <v>#N/A Requesting Data...</v>
      </c>
      <c r="W248" s="8" t="str">
        <f>IF($A248="","",IF(ISNUMBER(FIND("IMPVOL",W$1)),_xll.BDH(config!$G$4,W$1,WORKDAY($A248,-1,config_Holiday_Calendar_US),WORKDAY($A248,-1,config_Holiday_Calendar_US)),IF(ISNUMBER(_xll.BDH(config!$G$4,W$1,$A248,$A248)),_xll.BDH(config!$G$4,W$1,$A248,$A248),_xll.BDH(config!$G$5,W$1,$A248,$A248))))</f>
        <v>#N/A Requesting Data...</v>
      </c>
    </row>
    <row r="249" spans="1:23" x14ac:dyDescent="0.2">
      <c r="A249" s="9">
        <f>IF(A248="","",IF(WORKDAY(A248,-1,config_Holiday_Calendar_US)&lt;config!$I$10,"",WORKDAY(A248,-1,config_Holiday_Calendar_US)))</f>
        <v>42473</v>
      </c>
      <c r="B249" s="8" t="e">
        <f t="shared" si="3"/>
        <v>#VALUE!</v>
      </c>
      <c r="C249" s="8" t="str">
        <f>IF(A249="","",_xll.BDH(config!$H$4,C$1,$A249,$A249))</f>
        <v>#N/A Requesting Data...</v>
      </c>
      <c r="D249" s="8" t="str">
        <f>IF($A249="","",_xll.BDH(config!$H$4,D$1,$A249,$A249))</f>
        <v>#N/A Requesting Data...</v>
      </c>
      <c r="E249" s="8">
        <f>IF($A249="","",IF(ISNUMBER(FIND("IMPVOL",E$1)),_xll.BDH(config!$G$4,E$1,WORKDAY($A249,-1,config_Holiday_Calendar_US),WORKDAY($A249,-1,config_Holiday_Calendar_US)),IF(ISNUMBER(_xll.BDH(config!$G$4,E$1,$A249,$A249)),_xll.BDH(config!$G$4,E$1,$A249,$A249),_xll.BDH(config!$G$5,E$1,$A249,$A249))))</f>
        <v>41.63</v>
      </c>
      <c r="F249" s="8">
        <f>IF($A249="","",IF(ISNUMBER(FIND("IMPVOL",F$1)),_xll.BDH(config!$G$4,F$1,WORKDAY($A249,-1,config_Holiday_Calendar_US),WORKDAY($A249,-1,config_Holiday_Calendar_US)),IF(ISNUMBER(_xll.BDH(config!$G$4,F$1,$A249,$A249)),_xll.BDH(config!$G$4,F$1,$A249,$A249),_xll.BDH(config!$G$5,F$1,$A249,$A249))))</f>
        <v>42.42</v>
      </c>
      <c r="G249" s="8">
        <f>IF($A249="","",IF(ISNUMBER(FIND("IMPVOL",G$1)),_xll.BDH(config!$G$4,G$1,WORKDAY($A249,-1,config_Holiday_Calendar_US),WORKDAY($A249,-1,config_Holiday_Calendar_US)),IF(ISNUMBER(_xll.BDH(config!$G$4,G$1,$A249,$A249)),_xll.BDH(config!$G$4,G$1,$A249,$A249),_xll.BDH(config!$G$5,G$1,$A249,$A249))))</f>
        <v>42.58</v>
      </c>
      <c r="H249" s="8">
        <f>IF($A249="","",IF(ISNUMBER(FIND("IMPVOL",H$1)),_xll.BDH(config!$G$4,H$1,WORKDAY($A249,-1,config_Holiday_Calendar_US),WORKDAY($A249,-1,config_Holiday_Calendar_US)),IF(ISNUMBER(_xll.BDH(config!$G$4,H$1,$A249,$A249)),_xll.BDH(config!$G$4,H$1,$A249,$A249),_xll.BDH(config!$G$5,H$1,$A249,$A249))))</f>
        <v>341985</v>
      </c>
      <c r="I249" s="8" t="str">
        <f>IF($A249="","",IF(ISNUMBER(FIND("IMPVOL",I$1)),_xll.BDH(config!$G$4,I$1,WORKDAY($A249,-1,config_Holiday_Calendar_US),WORKDAY($A249,-1,config_Holiday_Calendar_US)),IF(ISNUMBER(_xll.BDH(config!$G$4,I$1,$A249,$A249)),_xll.BDH(config!$G$4,I$1,$A249,$A249),_xll.BDH(config!$G$5,I$1,$A249,$A249))))</f>
        <v>#N/A Requesting Data...</v>
      </c>
      <c r="J249" s="8" t="str">
        <f>IF($A249="","",IF(ISNUMBER(FIND("IMPVOL",J$1)),_xll.BDH(config!$G$4,J$1,WORKDAY($A249,-1,config_Holiday_Calendar_US),WORKDAY($A249,-1,config_Holiday_Calendar_US)),IF(ISNUMBER(_xll.BDH(config!$G$4,J$1,$A249,$A249)),_xll.BDH(config!$G$4,J$1,$A249,$A249),_xll.BDH(config!$G$5,J$1,$A249,$A249))))</f>
        <v>#N/A Requesting Data...</v>
      </c>
      <c r="K249" s="8" t="str">
        <f>IF($A249="","",IF(ISNUMBER(FIND("IMPVOL",K$1)),_xll.BDH(config!$G$4,K$1,WORKDAY($A249,-1,config_Holiday_Calendar_US),WORKDAY($A249,-1,config_Holiday_Calendar_US)),IF(ISNUMBER(_xll.BDH(config!$G$4,K$1,$A249,$A249)),_xll.BDH(config!$G$4,K$1,$A249,$A249),_xll.BDH(config!$G$5,K$1,$A249,$A249))))</f>
        <v>#N/A Requesting Data...</v>
      </c>
      <c r="L249" s="8" t="str">
        <f>IF($A249="","",IF(ISNUMBER(FIND("IMPVOL",L$1)),_xll.BDH(config!$G$4,L$1,WORKDAY($A249,-1,config_Holiday_Calendar_US),WORKDAY($A249,-1,config_Holiday_Calendar_US)),IF(ISNUMBER(_xll.BDH(config!$G$4,L$1,$A249,$A249)),_xll.BDH(config!$G$4,L$1,$A249,$A249),_xll.BDH(config!$G$5,L$1,$A249,$A249))))</f>
        <v>#N/A Requesting Data...</v>
      </c>
      <c r="M249" s="8" t="str">
        <f>IF($A249="","",IF(ISNUMBER(FIND("IMPVOL",M$1)),_xll.BDH(config!$G$4,M$1,WORKDAY($A249,-1,config_Holiday_Calendar_US),WORKDAY($A249,-1,config_Holiday_Calendar_US)),IF(ISNUMBER(_xll.BDH(config!$G$4,M$1,$A249,$A249)),_xll.BDH(config!$G$4,M$1,$A249,$A249),_xll.BDH(config!$G$5,M$1,$A249,$A249))))</f>
        <v>#N/A Requesting Data...</v>
      </c>
      <c r="N249" s="8" t="str">
        <f>IF($A249="","",IF(ISNUMBER(FIND("IMPVOL",N$1)),_xll.BDH(config!$G$4,N$1,WORKDAY($A249,-1,config_Holiday_Calendar_US),WORKDAY($A249,-1,config_Holiday_Calendar_US)),IF(ISNUMBER(_xll.BDH(config!$G$4,N$1,$A249,$A249)),_xll.BDH(config!$G$4,N$1,$A249,$A249),_xll.BDH(config!$G$5,N$1,$A249,$A249))))</f>
        <v>#N/A Requesting Data...</v>
      </c>
      <c r="O249" s="8" t="str">
        <f>IF($A249="","",IF(ISNUMBER(FIND("IMPVOL",O$1)),_xll.BDH(config!$G$4,O$1,WORKDAY($A249,-1,config_Holiday_Calendar_US),WORKDAY($A249,-1,config_Holiday_Calendar_US)),IF(ISNUMBER(_xll.BDH(config!$G$4,O$1,$A249,$A249)),_xll.BDH(config!$G$4,O$1,$A249,$A249),_xll.BDH(config!$G$5,O$1,$A249,$A249))))</f>
        <v>#N/A Requesting Data...</v>
      </c>
      <c r="P249" s="8" t="str">
        <f>IF($A249="","",IF(ISNUMBER(FIND("IMPVOL",P$1)),_xll.BDH(config!$G$4,P$1,WORKDAY($A249,-1,config_Holiday_Calendar_US),WORKDAY($A249,-1,config_Holiday_Calendar_US)),IF(ISNUMBER(_xll.BDH(config!$G$4,P$1,$A249,$A249)),_xll.BDH(config!$G$4,P$1,$A249,$A249),_xll.BDH(config!$G$5,P$1,$A249,$A249))))</f>
        <v>#N/A Requesting Data...</v>
      </c>
      <c r="Q249" s="8">
        <f>IF($A249="","",IF(ISNUMBER(FIND("IMPVOL",Q$1)),_xll.BDH(config!$G$4,Q$1,WORKDAY($A249,-1,config_Holiday_Calendar_US),WORKDAY($A249,-1,config_Holiday_Calendar_US)),IF(ISNUMBER(_xll.BDH(config!$G$4,Q$1,$A249,$A249)),_xll.BDH(config!$G$4,Q$1,$A249,$A249),_xll.BDH(config!$G$5,Q$1,$A249,$A249))))</f>
        <v>58.56</v>
      </c>
      <c r="R249" s="8">
        <f>IF($A249="","",IF(ISNUMBER(FIND("IMPVOL",R$1)),_xll.BDH(config!$G$4,R$1,WORKDAY($A249,-1,config_Holiday_Calendar_US),WORKDAY($A249,-1,config_Holiday_Calendar_US)),IF(ISNUMBER(_xll.BDH(config!$G$4,R$1,$A249,$A249)),_xll.BDH(config!$G$4,R$1,$A249,$A249),_xll.BDH(config!$G$5,R$1,$A249,$A249))))</f>
        <v>49.63</v>
      </c>
      <c r="S249" s="8" t="str">
        <f>IF($A249="","",IF(ISNUMBER(FIND("IMPVOL",S$1)),_xll.BDH(config!$G$4,S$1,WORKDAY($A249,-1,config_Holiday_Calendar_US),WORKDAY($A249,-1,config_Holiday_Calendar_US)),IF(ISNUMBER(_xll.BDH(config!$G$4,S$1,$A249,$A249)),_xll.BDH(config!$G$4,S$1,$A249,$A249),_xll.BDH(config!$G$5,S$1,$A249,$A249))))</f>
        <v>#N/A Requesting Data...</v>
      </c>
      <c r="T249" s="8" t="str">
        <f>IF($A249="","",IF(ISNUMBER(FIND("IMPVOL",T$1)),_xll.BDH(config!$G$4,T$1,WORKDAY($A249,-1,config_Holiday_Calendar_US),WORKDAY($A249,-1,config_Holiday_Calendar_US)),IF(ISNUMBER(_xll.BDH(config!$G$4,T$1,$A249,$A249)),_xll.BDH(config!$G$4,T$1,$A249,$A249),_xll.BDH(config!$G$5,T$1,$A249,$A249))))</f>
        <v>#N/A Requesting Data...</v>
      </c>
      <c r="U249" s="8" t="str">
        <f>IF($A249="","",IF(ISNUMBER(FIND("IMPVOL",U$1)),_xll.BDH(config!$G$4,U$1,WORKDAY($A249,-1,config_Holiday_Calendar_US),WORKDAY($A249,-1,config_Holiday_Calendar_US)),IF(ISNUMBER(_xll.BDH(config!$G$4,U$1,$A249,$A249)),_xll.BDH(config!$G$4,U$1,$A249,$A249),_xll.BDH(config!$G$5,U$1,$A249,$A249))))</f>
        <v>#N/A Requesting Data...</v>
      </c>
      <c r="V249" s="8" t="str">
        <f>IF($A249="","",IF(ISNUMBER(FIND("IMPVOL",V$1)),_xll.BDH(config!$G$4,V$1,WORKDAY($A249,-1,config_Holiday_Calendar_US),WORKDAY($A249,-1,config_Holiday_Calendar_US)),IF(ISNUMBER(_xll.BDH(config!$G$4,V$1,$A249,$A249)),_xll.BDH(config!$G$4,V$1,$A249,$A249),_xll.BDH(config!$G$5,V$1,$A249,$A249))))</f>
        <v>#N/A Requesting Data...</v>
      </c>
      <c r="W249" s="8" t="str">
        <f>IF($A249="","",IF(ISNUMBER(FIND("IMPVOL",W$1)),_xll.BDH(config!$G$4,W$1,WORKDAY($A249,-1,config_Holiday_Calendar_US),WORKDAY($A249,-1,config_Holiday_Calendar_US)),IF(ISNUMBER(_xll.BDH(config!$G$4,W$1,$A249,$A249)),_xll.BDH(config!$G$4,W$1,$A249,$A249),_xll.BDH(config!$G$5,W$1,$A249,$A249))))</f>
        <v>#N/A Requesting Data...</v>
      </c>
    </row>
    <row r="250" spans="1:23" x14ac:dyDescent="0.2">
      <c r="A250" s="9">
        <f>IF(A249="","",IF(WORKDAY(A249,-1,config_Holiday_Calendar_US)&lt;config!$I$10,"",WORKDAY(A249,-1,config_Holiday_Calendar_US)))</f>
        <v>42472</v>
      </c>
      <c r="B250" s="8" t="e">
        <f t="shared" si="3"/>
        <v>#VALUE!</v>
      </c>
      <c r="C250" s="8" t="str">
        <f>IF(A250="","",_xll.BDH(config!$H$4,C$1,$A250,$A250))</f>
        <v>#N/A Requesting Data...</v>
      </c>
      <c r="D250" s="8" t="str">
        <f>IF($A250="","",_xll.BDH(config!$H$4,D$1,$A250,$A250))</f>
        <v>#N/A Requesting Data...</v>
      </c>
      <c r="E250" s="8">
        <f>IF($A250="","",IF(ISNUMBER(FIND("IMPVOL",E$1)),_xll.BDH(config!$G$4,E$1,WORKDAY($A250,-1,config_Holiday_Calendar_US),WORKDAY($A250,-1,config_Holiday_Calendar_US)),IF(ISNUMBER(_xll.BDH(config!$G$4,E$1,$A250,$A250)),_xll.BDH(config!$G$4,E$1,$A250,$A250),_xll.BDH(config!$G$5,E$1,$A250,$A250))))</f>
        <v>40.35</v>
      </c>
      <c r="F250" s="8">
        <f>IF($A250="","",IF(ISNUMBER(FIND("IMPVOL",F$1)),_xll.BDH(config!$G$4,F$1,WORKDAY($A250,-1,config_Holiday_Calendar_US),WORKDAY($A250,-1,config_Holiday_Calendar_US)),IF(ISNUMBER(_xll.BDH(config!$G$4,F$1,$A250,$A250)),_xll.BDH(config!$G$4,F$1,$A250,$A250),_xll.BDH(config!$G$5,F$1,$A250,$A250))))</f>
        <v>42.25</v>
      </c>
      <c r="G250" s="8">
        <f>IF($A250="","",IF(ISNUMBER(FIND("IMPVOL",G$1)),_xll.BDH(config!$G$4,G$1,WORKDAY($A250,-1,config_Holiday_Calendar_US),WORKDAY($A250,-1,config_Holiday_Calendar_US)),IF(ISNUMBER(_xll.BDH(config!$G$4,G$1,$A250,$A250)),_xll.BDH(config!$G$4,G$1,$A250,$A250),_xll.BDH(config!$G$5,G$1,$A250,$A250))))</f>
        <v>41.47</v>
      </c>
      <c r="H250" s="8">
        <f>IF($A250="","",IF(ISNUMBER(FIND("IMPVOL",H$1)),_xll.BDH(config!$G$4,H$1,WORKDAY($A250,-1,config_Holiday_Calendar_US),WORKDAY($A250,-1,config_Holiday_Calendar_US)),IF(ISNUMBER(_xll.BDH(config!$G$4,H$1,$A250,$A250)),_xll.BDH(config!$G$4,H$1,$A250,$A250),_xll.BDH(config!$G$5,H$1,$A250,$A250))))</f>
        <v>384163</v>
      </c>
      <c r="I250" s="8" t="str">
        <f>IF($A250="","",IF(ISNUMBER(FIND("IMPVOL",I$1)),_xll.BDH(config!$G$4,I$1,WORKDAY($A250,-1,config_Holiday_Calendar_US),WORKDAY($A250,-1,config_Holiday_Calendar_US)),IF(ISNUMBER(_xll.BDH(config!$G$4,I$1,$A250,$A250)),_xll.BDH(config!$G$4,I$1,$A250,$A250),_xll.BDH(config!$G$5,I$1,$A250,$A250))))</f>
        <v>#N/A Requesting Data...</v>
      </c>
      <c r="J250" s="8" t="str">
        <f>IF($A250="","",IF(ISNUMBER(FIND("IMPVOL",J$1)),_xll.BDH(config!$G$4,J$1,WORKDAY($A250,-1,config_Holiday_Calendar_US),WORKDAY($A250,-1,config_Holiday_Calendar_US)),IF(ISNUMBER(_xll.BDH(config!$G$4,J$1,$A250,$A250)),_xll.BDH(config!$G$4,J$1,$A250,$A250),_xll.BDH(config!$G$5,J$1,$A250,$A250))))</f>
        <v>#N/A Requesting Data...</v>
      </c>
      <c r="K250" s="8" t="str">
        <f>IF($A250="","",IF(ISNUMBER(FIND("IMPVOL",K$1)),_xll.BDH(config!$G$4,K$1,WORKDAY($A250,-1,config_Holiday_Calendar_US),WORKDAY($A250,-1,config_Holiday_Calendar_US)),IF(ISNUMBER(_xll.BDH(config!$G$4,K$1,$A250,$A250)),_xll.BDH(config!$G$4,K$1,$A250,$A250),_xll.BDH(config!$G$5,K$1,$A250,$A250))))</f>
        <v>#N/A Requesting Data...</v>
      </c>
      <c r="L250" s="8" t="str">
        <f>IF($A250="","",IF(ISNUMBER(FIND("IMPVOL",L$1)),_xll.BDH(config!$G$4,L$1,WORKDAY($A250,-1,config_Holiday_Calendar_US),WORKDAY($A250,-1,config_Holiday_Calendar_US)),IF(ISNUMBER(_xll.BDH(config!$G$4,L$1,$A250,$A250)),_xll.BDH(config!$G$4,L$1,$A250,$A250),_xll.BDH(config!$G$5,L$1,$A250,$A250))))</f>
        <v>#N/A Requesting Data...</v>
      </c>
      <c r="M250" s="8" t="str">
        <f>IF($A250="","",IF(ISNUMBER(FIND("IMPVOL",M$1)),_xll.BDH(config!$G$4,M$1,WORKDAY($A250,-1,config_Holiday_Calendar_US),WORKDAY($A250,-1,config_Holiday_Calendar_US)),IF(ISNUMBER(_xll.BDH(config!$G$4,M$1,$A250,$A250)),_xll.BDH(config!$G$4,M$1,$A250,$A250),_xll.BDH(config!$G$5,M$1,$A250,$A250))))</f>
        <v>#N/A Requesting Data...</v>
      </c>
      <c r="N250" s="8" t="str">
        <f>IF($A250="","",IF(ISNUMBER(FIND("IMPVOL",N$1)),_xll.BDH(config!$G$4,N$1,WORKDAY($A250,-1,config_Holiday_Calendar_US),WORKDAY($A250,-1,config_Holiday_Calendar_US)),IF(ISNUMBER(_xll.BDH(config!$G$4,N$1,$A250,$A250)),_xll.BDH(config!$G$4,N$1,$A250,$A250),_xll.BDH(config!$G$5,N$1,$A250,$A250))))</f>
        <v>#N/A Requesting Data...</v>
      </c>
      <c r="O250" s="8" t="str">
        <f>IF($A250="","",IF(ISNUMBER(FIND("IMPVOL",O$1)),_xll.BDH(config!$G$4,O$1,WORKDAY($A250,-1,config_Holiday_Calendar_US),WORKDAY($A250,-1,config_Holiday_Calendar_US)),IF(ISNUMBER(_xll.BDH(config!$G$4,O$1,$A250,$A250)),_xll.BDH(config!$G$4,O$1,$A250,$A250),_xll.BDH(config!$G$5,O$1,$A250,$A250))))</f>
        <v>#N/A Requesting Data...</v>
      </c>
      <c r="P250" s="8" t="str">
        <f>IF($A250="","",IF(ISNUMBER(FIND("IMPVOL",P$1)),_xll.BDH(config!$G$4,P$1,WORKDAY($A250,-1,config_Holiday_Calendar_US),WORKDAY($A250,-1,config_Holiday_Calendar_US)),IF(ISNUMBER(_xll.BDH(config!$G$4,P$1,$A250,$A250)),_xll.BDH(config!$G$4,P$1,$A250,$A250),_xll.BDH(config!$G$5,P$1,$A250,$A250))))</f>
        <v>#N/A Requesting Data...</v>
      </c>
      <c r="Q250" s="8">
        <f>IF($A250="","",IF(ISNUMBER(FIND("IMPVOL",Q$1)),_xll.BDH(config!$G$4,Q$1,WORKDAY($A250,-1,config_Holiday_Calendar_US),WORKDAY($A250,-1,config_Holiday_Calendar_US)),IF(ISNUMBER(_xll.BDH(config!$G$4,Q$1,$A250,$A250)),_xll.BDH(config!$G$4,Q$1,$A250,$A250),_xll.BDH(config!$G$5,Q$1,$A250,$A250))))</f>
        <v>57.49</v>
      </c>
      <c r="R250" s="8">
        <f>IF($A250="","",IF(ISNUMBER(FIND("IMPVOL",R$1)),_xll.BDH(config!$G$4,R$1,WORKDAY($A250,-1,config_Holiday_Calendar_US),WORKDAY($A250,-1,config_Holiday_Calendar_US)),IF(ISNUMBER(_xll.BDH(config!$G$4,R$1,$A250,$A250)),_xll.BDH(config!$G$4,R$1,$A250,$A250),_xll.BDH(config!$G$5,R$1,$A250,$A250))))</f>
        <v>49.35</v>
      </c>
      <c r="S250" s="8" t="str">
        <f>IF($A250="","",IF(ISNUMBER(FIND("IMPVOL",S$1)),_xll.BDH(config!$G$4,S$1,WORKDAY($A250,-1,config_Holiday_Calendar_US),WORKDAY($A250,-1,config_Holiday_Calendar_US)),IF(ISNUMBER(_xll.BDH(config!$G$4,S$1,$A250,$A250)),_xll.BDH(config!$G$4,S$1,$A250,$A250),_xll.BDH(config!$G$5,S$1,$A250,$A250))))</f>
        <v>#N/A Requesting Data...</v>
      </c>
      <c r="T250" s="8" t="str">
        <f>IF($A250="","",IF(ISNUMBER(FIND("IMPVOL",T$1)),_xll.BDH(config!$G$4,T$1,WORKDAY($A250,-1,config_Holiday_Calendar_US),WORKDAY($A250,-1,config_Holiday_Calendar_US)),IF(ISNUMBER(_xll.BDH(config!$G$4,T$1,$A250,$A250)),_xll.BDH(config!$G$4,T$1,$A250,$A250),_xll.BDH(config!$G$5,T$1,$A250,$A250))))</f>
        <v>#N/A Requesting Data...</v>
      </c>
      <c r="U250" s="8" t="str">
        <f>IF($A250="","",IF(ISNUMBER(FIND("IMPVOL",U$1)),_xll.BDH(config!$G$4,U$1,WORKDAY($A250,-1,config_Holiday_Calendar_US),WORKDAY($A250,-1,config_Holiday_Calendar_US)),IF(ISNUMBER(_xll.BDH(config!$G$4,U$1,$A250,$A250)),_xll.BDH(config!$G$4,U$1,$A250,$A250),_xll.BDH(config!$G$5,U$1,$A250,$A250))))</f>
        <v>#N/A Requesting Data...</v>
      </c>
      <c r="V250" s="8" t="str">
        <f>IF($A250="","",IF(ISNUMBER(FIND("IMPVOL",V$1)),_xll.BDH(config!$G$4,V$1,WORKDAY($A250,-1,config_Holiday_Calendar_US),WORKDAY($A250,-1,config_Holiday_Calendar_US)),IF(ISNUMBER(_xll.BDH(config!$G$4,V$1,$A250,$A250)),_xll.BDH(config!$G$4,V$1,$A250,$A250),_xll.BDH(config!$G$5,V$1,$A250,$A250))))</f>
        <v>#N/A Requesting Data...</v>
      </c>
      <c r="W250" s="8" t="str">
        <f>IF($A250="","",IF(ISNUMBER(FIND("IMPVOL",W$1)),_xll.BDH(config!$G$4,W$1,WORKDAY($A250,-1,config_Holiday_Calendar_US),WORKDAY($A250,-1,config_Holiday_Calendar_US)),IF(ISNUMBER(_xll.BDH(config!$G$4,W$1,$A250,$A250)),_xll.BDH(config!$G$4,W$1,$A250,$A250),_xll.BDH(config!$G$5,W$1,$A250,$A250))))</f>
        <v>#N/A Requesting Data...</v>
      </c>
    </row>
    <row r="251" spans="1:23" x14ac:dyDescent="0.2">
      <c r="A251" s="9">
        <f>IF(A250="","",IF(WORKDAY(A250,-1,config_Holiday_Calendar_US)&lt;config!$I$10,"",WORKDAY(A250,-1,config_Holiday_Calendar_US)))</f>
        <v>42471</v>
      </c>
      <c r="B251" s="8" t="e">
        <f t="shared" si="3"/>
        <v>#VALUE!</v>
      </c>
      <c r="C251" s="8" t="str">
        <f>IF(A251="","",_xll.BDH(config!$H$4,C$1,$A251,$A251))</f>
        <v>#N/A Requesting Data...</v>
      </c>
      <c r="D251" s="8" t="str">
        <f>IF($A251="","",_xll.BDH(config!$H$4,D$1,$A251,$A251))</f>
        <v>#N/A Requesting Data...</v>
      </c>
      <c r="E251" s="8">
        <f>IF($A251="","",IF(ISNUMBER(FIND("IMPVOL",E$1)),_xll.BDH(config!$G$4,E$1,WORKDAY($A251,-1,config_Holiday_Calendar_US),WORKDAY($A251,-1,config_Holiday_Calendar_US)),IF(ISNUMBER(_xll.BDH(config!$G$4,E$1,$A251,$A251)),_xll.BDH(config!$G$4,E$1,$A251,$A251),_xll.BDH(config!$G$5,E$1,$A251,$A251))))</f>
        <v>39.72</v>
      </c>
      <c r="F251" s="8">
        <f>IF($A251="","",IF(ISNUMBER(FIND("IMPVOL",F$1)),_xll.BDH(config!$G$4,F$1,WORKDAY($A251,-1,config_Holiday_Calendar_US),WORKDAY($A251,-1,config_Holiday_Calendar_US)),IF(ISNUMBER(_xll.BDH(config!$G$4,F$1,$A251,$A251)),_xll.BDH(config!$G$4,F$1,$A251,$A251),_xll.BDH(config!$G$5,F$1,$A251,$A251))))</f>
        <v>40.75</v>
      </c>
      <c r="G251" s="8">
        <f>IF($A251="","",IF(ISNUMBER(FIND("IMPVOL",G$1)),_xll.BDH(config!$G$4,G$1,WORKDAY($A251,-1,config_Holiday_Calendar_US),WORKDAY($A251,-1,config_Holiday_Calendar_US)),IF(ISNUMBER(_xll.BDH(config!$G$4,G$1,$A251,$A251)),_xll.BDH(config!$G$4,G$1,$A251,$A251),_xll.BDH(config!$G$5,G$1,$A251,$A251))))</f>
        <v>40.53</v>
      </c>
      <c r="H251" s="8">
        <f>IF($A251="","",IF(ISNUMBER(FIND("IMPVOL",H$1)),_xll.BDH(config!$G$4,H$1,WORKDAY($A251,-1,config_Holiday_Calendar_US),WORKDAY($A251,-1,config_Holiday_Calendar_US)),IF(ISNUMBER(_xll.BDH(config!$G$4,H$1,$A251,$A251)),_xll.BDH(config!$G$4,H$1,$A251,$A251),_xll.BDH(config!$G$5,H$1,$A251,$A251))))</f>
        <v>316848</v>
      </c>
      <c r="I251" s="8" t="str">
        <f>IF($A251="","",IF(ISNUMBER(FIND("IMPVOL",I$1)),_xll.BDH(config!$G$4,I$1,WORKDAY($A251,-1,config_Holiday_Calendar_US),WORKDAY($A251,-1,config_Holiday_Calendar_US)),IF(ISNUMBER(_xll.BDH(config!$G$4,I$1,$A251,$A251)),_xll.BDH(config!$G$4,I$1,$A251,$A251),_xll.BDH(config!$G$5,I$1,$A251,$A251))))</f>
        <v>#N/A Requesting Data...</v>
      </c>
      <c r="J251" s="8" t="str">
        <f>IF($A251="","",IF(ISNUMBER(FIND("IMPVOL",J$1)),_xll.BDH(config!$G$4,J$1,WORKDAY($A251,-1,config_Holiday_Calendar_US),WORKDAY($A251,-1,config_Holiday_Calendar_US)),IF(ISNUMBER(_xll.BDH(config!$G$4,J$1,$A251,$A251)),_xll.BDH(config!$G$4,J$1,$A251,$A251),_xll.BDH(config!$G$5,J$1,$A251,$A251))))</f>
        <v>#N/A Requesting Data...</v>
      </c>
      <c r="K251" s="8" t="str">
        <f>IF($A251="","",IF(ISNUMBER(FIND("IMPVOL",K$1)),_xll.BDH(config!$G$4,K$1,WORKDAY($A251,-1,config_Holiday_Calendar_US),WORKDAY($A251,-1,config_Holiday_Calendar_US)),IF(ISNUMBER(_xll.BDH(config!$G$4,K$1,$A251,$A251)),_xll.BDH(config!$G$4,K$1,$A251,$A251),_xll.BDH(config!$G$5,K$1,$A251,$A251))))</f>
        <v>#N/A Requesting Data...</v>
      </c>
      <c r="L251" s="8" t="str">
        <f>IF($A251="","",IF(ISNUMBER(FIND("IMPVOL",L$1)),_xll.BDH(config!$G$4,L$1,WORKDAY($A251,-1,config_Holiday_Calendar_US),WORKDAY($A251,-1,config_Holiday_Calendar_US)),IF(ISNUMBER(_xll.BDH(config!$G$4,L$1,$A251,$A251)),_xll.BDH(config!$G$4,L$1,$A251,$A251),_xll.BDH(config!$G$5,L$1,$A251,$A251))))</f>
        <v>#N/A Requesting Data...</v>
      </c>
      <c r="M251" s="8" t="str">
        <f>IF($A251="","",IF(ISNUMBER(FIND("IMPVOL",M$1)),_xll.BDH(config!$G$4,M$1,WORKDAY($A251,-1,config_Holiday_Calendar_US),WORKDAY($A251,-1,config_Holiday_Calendar_US)),IF(ISNUMBER(_xll.BDH(config!$G$4,M$1,$A251,$A251)),_xll.BDH(config!$G$4,M$1,$A251,$A251),_xll.BDH(config!$G$5,M$1,$A251,$A251))))</f>
        <v>#N/A Requesting Data...</v>
      </c>
      <c r="N251" s="8" t="str">
        <f>IF($A251="","",IF(ISNUMBER(FIND("IMPVOL",N$1)),_xll.BDH(config!$G$4,N$1,WORKDAY($A251,-1,config_Holiday_Calendar_US),WORKDAY($A251,-1,config_Holiday_Calendar_US)),IF(ISNUMBER(_xll.BDH(config!$G$4,N$1,$A251,$A251)),_xll.BDH(config!$G$4,N$1,$A251,$A251),_xll.BDH(config!$G$5,N$1,$A251,$A251))))</f>
        <v>#N/A Requesting Data...</v>
      </c>
      <c r="O251" s="8" t="str">
        <f>IF($A251="","",IF(ISNUMBER(FIND("IMPVOL",O$1)),_xll.BDH(config!$G$4,O$1,WORKDAY($A251,-1,config_Holiday_Calendar_US),WORKDAY($A251,-1,config_Holiday_Calendar_US)),IF(ISNUMBER(_xll.BDH(config!$G$4,O$1,$A251,$A251)),_xll.BDH(config!$G$4,O$1,$A251,$A251),_xll.BDH(config!$G$5,O$1,$A251,$A251))))</f>
        <v>#N/A Requesting Data...</v>
      </c>
      <c r="P251" s="8" t="str">
        <f>IF($A251="","",IF(ISNUMBER(FIND("IMPVOL",P$1)),_xll.BDH(config!$G$4,P$1,WORKDAY($A251,-1,config_Holiday_Calendar_US),WORKDAY($A251,-1,config_Holiday_Calendar_US)),IF(ISNUMBER(_xll.BDH(config!$G$4,P$1,$A251,$A251)),_xll.BDH(config!$G$4,P$1,$A251,$A251),_xll.BDH(config!$G$5,P$1,$A251,$A251))))</f>
        <v>#N/A Requesting Data...</v>
      </c>
      <c r="Q251" s="8">
        <f>IF($A251="","",IF(ISNUMBER(FIND("IMPVOL",Q$1)),_xll.BDH(config!$G$4,Q$1,WORKDAY($A251,-1,config_Holiday_Calendar_US),WORKDAY($A251,-1,config_Holiday_Calendar_US)),IF(ISNUMBER(_xll.BDH(config!$G$4,Q$1,$A251,$A251)),_xll.BDH(config!$G$4,Q$1,$A251,$A251),_xll.BDH(config!$G$5,Q$1,$A251,$A251))))</f>
        <v>54.41</v>
      </c>
      <c r="R251" s="8">
        <f>IF($A251="","",IF(ISNUMBER(FIND("IMPVOL",R$1)),_xll.BDH(config!$G$4,R$1,WORKDAY($A251,-1,config_Holiday_Calendar_US),WORKDAY($A251,-1,config_Holiday_Calendar_US)),IF(ISNUMBER(_xll.BDH(config!$G$4,R$1,$A251,$A251)),_xll.BDH(config!$G$4,R$1,$A251,$A251),_xll.BDH(config!$G$5,R$1,$A251,$A251))))</f>
        <v>48.27</v>
      </c>
      <c r="S251" s="8" t="str">
        <f>IF($A251="","",IF(ISNUMBER(FIND("IMPVOL",S$1)),_xll.BDH(config!$G$4,S$1,WORKDAY($A251,-1,config_Holiday_Calendar_US),WORKDAY($A251,-1,config_Holiday_Calendar_US)),IF(ISNUMBER(_xll.BDH(config!$G$4,S$1,$A251,$A251)),_xll.BDH(config!$G$4,S$1,$A251,$A251),_xll.BDH(config!$G$5,S$1,$A251,$A251))))</f>
        <v>#N/A Requesting Data...</v>
      </c>
      <c r="T251" s="8" t="str">
        <f>IF($A251="","",IF(ISNUMBER(FIND("IMPVOL",T$1)),_xll.BDH(config!$G$4,T$1,WORKDAY($A251,-1,config_Holiday_Calendar_US),WORKDAY($A251,-1,config_Holiday_Calendar_US)),IF(ISNUMBER(_xll.BDH(config!$G$4,T$1,$A251,$A251)),_xll.BDH(config!$G$4,T$1,$A251,$A251),_xll.BDH(config!$G$5,T$1,$A251,$A251))))</f>
        <v>#N/A Requesting Data...</v>
      </c>
      <c r="U251" s="8" t="str">
        <f>IF($A251="","",IF(ISNUMBER(FIND("IMPVOL",U$1)),_xll.BDH(config!$G$4,U$1,WORKDAY($A251,-1,config_Holiday_Calendar_US),WORKDAY($A251,-1,config_Holiday_Calendar_US)),IF(ISNUMBER(_xll.BDH(config!$G$4,U$1,$A251,$A251)),_xll.BDH(config!$G$4,U$1,$A251,$A251),_xll.BDH(config!$G$5,U$1,$A251,$A251))))</f>
        <v>#N/A Requesting Data...</v>
      </c>
      <c r="V251" s="8" t="str">
        <f>IF($A251="","",IF(ISNUMBER(FIND("IMPVOL",V$1)),_xll.BDH(config!$G$4,V$1,WORKDAY($A251,-1,config_Holiday_Calendar_US),WORKDAY($A251,-1,config_Holiday_Calendar_US)),IF(ISNUMBER(_xll.BDH(config!$G$4,V$1,$A251,$A251)),_xll.BDH(config!$G$4,V$1,$A251,$A251),_xll.BDH(config!$G$5,V$1,$A251,$A251))))</f>
        <v>#N/A Requesting Data...</v>
      </c>
      <c r="W251" s="8" t="str">
        <f>IF($A251="","",IF(ISNUMBER(FIND("IMPVOL",W$1)),_xll.BDH(config!$G$4,W$1,WORKDAY($A251,-1,config_Holiday_Calendar_US),WORKDAY($A251,-1,config_Holiday_Calendar_US)),IF(ISNUMBER(_xll.BDH(config!$G$4,W$1,$A251,$A251)),_xll.BDH(config!$G$4,W$1,$A251,$A251),_xll.BDH(config!$G$5,W$1,$A251,$A251))))</f>
        <v>#N/A Requesting Data...</v>
      </c>
    </row>
    <row r="252" spans="1:23" x14ac:dyDescent="0.2">
      <c r="A252" s="9">
        <f>IF(A251="","",IF(WORKDAY(A251,-1,config_Holiday_Calendar_US)&lt;config!$I$10,"",WORKDAY(A251,-1,config_Holiday_Calendar_US)))</f>
        <v>42468</v>
      </c>
      <c r="B252" s="8" t="e">
        <f t="shared" si="3"/>
        <v>#VALUE!</v>
      </c>
      <c r="C252" s="8" t="str">
        <f>IF(A252="","",_xll.BDH(config!$H$4,C$1,$A252,$A252))</f>
        <v>#N/A Requesting Data...</v>
      </c>
      <c r="D252" s="8" t="str">
        <f>IF($A252="","",_xll.BDH(config!$H$4,D$1,$A252,$A252))</f>
        <v>#N/A Requesting Data...</v>
      </c>
      <c r="E252" s="8">
        <f>IF($A252="","",IF(ISNUMBER(FIND("IMPVOL",E$1)),_xll.BDH(config!$G$4,E$1,WORKDAY($A252,-1,config_Holiday_Calendar_US),WORKDAY($A252,-1,config_Holiday_Calendar_US)),IF(ISNUMBER(_xll.BDH(config!$G$4,E$1,$A252,$A252)),_xll.BDH(config!$G$4,E$1,$A252,$A252),_xll.BDH(config!$G$5,E$1,$A252,$A252))))</f>
        <v>37.520000000000003</v>
      </c>
      <c r="F252" s="8">
        <f>IF($A252="","",IF(ISNUMBER(FIND("IMPVOL",F$1)),_xll.BDH(config!$G$4,F$1,WORKDAY($A252,-1,config_Holiday_Calendar_US),WORKDAY($A252,-1,config_Holiday_Calendar_US)),IF(ISNUMBER(_xll.BDH(config!$G$4,F$1,$A252,$A252)),_xll.BDH(config!$G$4,F$1,$A252,$A252),_xll.BDH(config!$G$5,F$1,$A252,$A252))))</f>
        <v>39.840000000000003</v>
      </c>
      <c r="G252" s="8">
        <f>IF($A252="","",IF(ISNUMBER(FIND("IMPVOL",G$1)),_xll.BDH(config!$G$4,G$1,WORKDAY($A252,-1,config_Holiday_Calendar_US),WORKDAY($A252,-1,config_Holiday_Calendar_US)),IF(ISNUMBER(_xll.BDH(config!$G$4,G$1,$A252,$A252)),_xll.BDH(config!$G$4,G$1,$A252,$A252),_xll.BDH(config!$G$5,G$1,$A252,$A252))))</f>
        <v>38.630000000000003</v>
      </c>
      <c r="H252" s="8">
        <f>IF($A252="","",IF(ISNUMBER(FIND("IMPVOL",H$1)),_xll.BDH(config!$G$4,H$1,WORKDAY($A252,-1,config_Holiday_Calendar_US),WORKDAY($A252,-1,config_Holiday_Calendar_US)),IF(ISNUMBER(_xll.BDH(config!$G$4,H$1,$A252,$A252)),_xll.BDH(config!$G$4,H$1,$A252,$A252),_xll.BDH(config!$G$5,H$1,$A252,$A252))))</f>
        <v>389590</v>
      </c>
      <c r="I252" s="8" t="str">
        <f>IF($A252="","",IF(ISNUMBER(FIND("IMPVOL",I$1)),_xll.BDH(config!$G$4,I$1,WORKDAY($A252,-1,config_Holiday_Calendar_US),WORKDAY($A252,-1,config_Holiday_Calendar_US)),IF(ISNUMBER(_xll.BDH(config!$G$4,I$1,$A252,$A252)),_xll.BDH(config!$G$4,I$1,$A252,$A252),_xll.BDH(config!$G$5,I$1,$A252,$A252))))</f>
        <v>#N/A Requesting Data...</v>
      </c>
      <c r="J252" s="8" t="str">
        <f>IF($A252="","",IF(ISNUMBER(FIND("IMPVOL",J$1)),_xll.BDH(config!$G$4,J$1,WORKDAY($A252,-1,config_Holiday_Calendar_US),WORKDAY($A252,-1,config_Holiday_Calendar_US)),IF(ISNUMBER(_xll.BDH(config!$G$4,J$1,$A252,$A252)),_xll.BDH(config!$G$4,J$1,$A252,$A252),_xll.BDH(config!$G$5,J$1,$A252,$A252))))</f>
        <v>#N/A Requesting Data...</v>
      </c>
      <c r="K252" s="8" t="str">
        <f>IF($A252="","",IF(ISNUMBER(FIND("IMPVOL",K$1)),_xll.BDH(config!$G$4,K$1,WORKDAY($A252,-1,config_Holiday_Calendar_US),WORKDAY($A252,-1,config_Holiday_Calendar_US)),IF(ISNUMBER(_xll.BDH(config!$G$4,K$1,$A252,$A252)),_xll.BDH(config!$G$4,K$1,$A252,$A252),_xll.BDH(config!$G$5,K$1,$A252,$A252))))</f>
        <v>#N/A Requesting Data...</v>
      </c>
      <c r="L252" s="8" t="str">
        <f>IF($A252="","",IF(ISNUMBER(FIND("IMPVOL",L$1)),_xll.BDH(config!$G$4,L$1,WORKDAY($A252,-1,config_Holiday_Calendar_US),WORKDAY($A252,-1,config_Holiday_Calendar_US)),IF(ISNUMBER(_xll.BDH(config!$G$4,L$1,$A252,$A252)),_xll.BDH(config!$G$4,L$1,$A252,$A252),_xll.BDH(config!$G$5,L$1,$A252,$A252))))</f>
        <v>#N/A Requesting Data...</v>
      </c>
      <c r="M252" s="8" t="str">
        <f>IF($A252="","",IF(ISNUMBER(FIND("IMPVOL",M$1)),_xll.BDH(config!$G$4,M$1,WORKDAY($A252,-1,config_Holiday_Calendar_US),WORKDAY($A252,-1,config_Holiday_Calendar_US)),IF(ISNUMBER(_xll.BDH(config!$G$4,M$1,$A252,$A252)),_xll.BDH(config!$G$4,M$1,$A252,$A252),_xll.BDH(config!$G$5,M$1,$A252,$A252))))</f>
        <v>#N/A Requesting Data...</v>
      </c>
      <c r="N252" s="8" t="str">
        <f>IF($A252="","",IF(ISNUMBER(FIND("IMPVOL",N$1)),_xll.BDH(config!$G$4,N$1,WORKDAY($A252,-1,config_Holiday_Calendar_US),WORKDAY($A252,-1,config_Holiday_Calendar_US)),IF(ISNUMBER(_xll.BDH(config!$G$4,N$1,$A252,$A252)),_xll.BDH(config!$G$4,N$1,$A252,$A252),_xll.BDH(config!$G$5,N$1,$A252,$A252))))</f>
        <v>#N/A Requesting Data...</v>
      </c>
      <c r="O252" s="8" t="str">
        <f>IF($A252="","",IF(ISNUMBER(FIND("IMPVOL",O$1)),_xll.BDH(config!$G$4,O$1,WORKDAY($A252,-1,config_Holiday_Calendar_US),WORKDAY($A252,-1,config_Holiday_Calendar_US)),IF(ISNUMBER(_xll.BDH(config!$G$4,O$1,$A252,$A252)),_xll.BDH(config!$G$4,O$1,$A252,$A252),_xll.BDH(config!$G$5,O$1,$A252,$A252))))</f>
        <v>#N/A Requesting Data...</v>
      </c>
      <c r="P252" s="8" t="str">
        <f>IF($A252="","",IF(ISNUMBER(FIND("IMPVOL",P$1)),_xll.BDH(config!$G$4,P$1,WORKDAY($A252,-1,config_Holiday_Calendar_US),WORKDAY($A252,-1,config_Holiday_Calendar_US)),IF(ISNUMBER(_xll.BDH(config!$G$4,P$1,$A252,$A252)),_xll.BDH(config!$G$4,P$1,$A252,$A252),_xll.BDH(config!$G$5,P$1,$A252,$A252))))</f>
        <v>#N/A Requesting Data...</v>
      </c>
      <c r="Q252" s="8">
        <f>IF($A252="","",IF(ISNUMBER(FIND("IMPVOL",Q$1)),_xll.BDH(config!$G$4,Q$1,WORKDAY($A252,-1,config_Holiday_Calendar_US),WORKDAY($A252,-1,config_Holiday_Calendar_US)),IF(ISNUMBER(_xll.BDH(config!$G$4,Q$1,$A252,$A252)),_xll.BDH(config!$G$4,Q$1,$A252,$A252),_xll.BDH(config!$G$5,Q$1,$A252,$A252))))</f>
        <v>56.28</v>
      </c>
      <c r="R252" s="8">
        <f>IF($A252="","",IF(ISNUMBER(FIND("IMPVOL",R$1)),_xll.BDH(config!$G$4,R$1,WORKDAY($A252,-1,config_Holiday_Calendar_US),WORKDAY($A252,-1,config_Holiday_Calendar_US)),IF(ISNUMBER(_xll.BDH(config!$G$4,R$1,$A252,$A252)),_xll.BDH(config!$G$4,R$1,$A252,$A252),_xll.BDH(config!$G$5,R$1,$A252,$A252))))</f>
        <v>48.62</v>
      </c>
      <c r="S252" s="8" t="str">
        <f>IF($A252="","",IF(ISNUMBER(FIND("IMPVOL",S$1)),_xll.BDH(config!$G$4,S$1,WORKDAY($A252,-1,config_Holiday_Calendar_US),WORKDAY($A252,-1,config_Holiday_Calendar_US)),IF(ISNUMBER(_xll.BDH(config!$G$4,S$1,$A252,$A252)),_xll.BDH(config!$G$4,S$1,$A252,$A252),_xll.BDH(config!$G$5,S$1,$A252,$A252))))</f>
        <v>#N/A Requesting Data...</v>
      </c>
      <c r="T252" s="8" t="str">
        <f>IF($A252="","",IF(ISNUMBER(FIND("IMPVOL",T$1)),_xll.BDH(config!$G$4,T$1,WORKDAY($A252,-1,config_Holiday_Calendar_US),WORKDAY($A252,-1,config_Holiday_Calendar_US)),IF(ISNUMBER(_xll.BDH(config!$G$4,T$1,$A252,$A252)),_xll.BDH(config!$G$4,T$1,$A252,$A252),_xll.BDH(config!$G$5,T$1,$A252,$A252))))</f>
        <v>#N/A Requesting Data...</v>
      </c>
      <c r="U252" s="8" t="str">
        <f>IF($A252="","",IF(ISNUMBER(FIND("IMPVOL",U$1)),_xll.BDH(config!$G$4,U$1,WORKDAY($A252,-1,config_Holiday_Calendar_US),WORKDAY($A252,-1,config_Holiday_Calendar_US)),IF(ISNUMBER(_xll.BDH(config!$G$4,U$1,$A252,$A252)),_xll.BDH(config!$G$4,U$1,$A252,$A252),_xll.BDH(config!$G$5,U$1,$A252,$A252))))</f>
        <v>#N/A Requesting Data...</v>
      </c>
      <c r="V252" s="8" t="str">
        <f>IF($A252="","",IF(ISNUMBER(FIND("IMPVOL",V$1)),_xll.BDH(config!$G$4,V$1,WORKDAY($A252,-1,config_Holiday_Calendar_US),WORKDAY($A252,-1,config_Holiday_Calendar_US)),IF(ISNUMBER(_xll.BDH(config!$G$4,V$1,$A252,$A252)),_xll.BDH(config!$G$4,V$1,$A252,$A252),_xll.BDH(config!$G$5,V$1,$A252,$A252))))</f>
        <v>#N/A Requesting Data...</v>
      </c>
      <c r="W252" s="8" t="str">
        <f>IF($A252="","",IF(ISNUMBER(FIND("IMPVOL",W$1)),_xll.BDH(config!$G$4,W$1,WORKDAY($A252,-1,config_Holiday_Calendar_US),WORKDAY($A252,-1,config_Holiday_Calendar_US)),IF(ISNUMBER(_xll.BDH(config!$G$4,W$1,$A252,$A252)),_xll.BDH(config!$G$4,W$1,$A252,$A252),_xll.BDH(config!$G$5,W$1,$A252,$A252))))</f>
        <v>#N/A Requesting Data...</v>
      </c>
    </row>
    <row r="253" spans="1:23" x14ac:dyDescent="0.2">
      <c r="A253" s="9">
        <f>IF(A252="","",IF(WORKDAY(A252,-1,config_Holiday_Calendar_US)&lt;config!$I$10,"",WORKDAY(A252,-1,config_Holiday_Calendar_US)))</f>
        <v>42467</v>
      </c>
      <c r="B253" s="8" t="e">
        <f t="shared" si="3"/>
        <v>#VALUE!</v>
      </c>
      <c r="C253" s="8" t="str">
        <f>IF(A253="","",_xll.BDH(config!$H$4,C$1,$A253,$A253))</f>
        <v>#N/A Requesting Data...</v>
      </c>
      <c r="D253" s="8" t="str">
        <f>IF($A253="","",_xll.BDH(config!$H$4,D$1,$A253,$A253))</f>
        <v>#N/A Requesting Data...</v>
      </c>
      <c r="E253" s="8">
        <f>IF($A253="","",IF(ISNUMBER(FIND("IMPVOL",E$1)),_xll.BDH(config!$G$4,E$1,WORKDAY($A253,-1,config_Holiday_Calendar_US),WORKDAY($A253,-1,config_Holiday_Calendar_US)),IF(ISNUMBER(_xll.BDH(config!$G$4,E$1,$A253,$A253)),_xll.BDH(config!$G$4,E$1,$A253,$A253),_xll.BDH(config!$G$5,E$1,$A253,$A253))))</f>
        <v>37.76</v>
      </c>
      <c r="F253" s="8">
        <f>IF($A253="","",IF(ISNUMBER(FIND("IMPVOL",F$1)),_xll.BDH(config!$G$4,F$1,WORKDAY($A253,-1,config_Holiday_Calendar_US),WORKDAY($A253,-1,config_Holiday_Calendar_US)),IF(ISNUMBER(_xll.BDH(config!$G$4,F$1,$A253,$A253)),_xll.BDH(config!$G$4,F$1,$A253,$A253),_xll.BDH(config!$G$5,F$1,$A253,$A253))))</f>
        <v>38.299999999999997</v>
      </c>
      <c r="G253" s="8">
        <f>IF($A253="","",IF(ISNUMBER(FIND("IMPVOL",G$1)),_xll.BDH(config!$G$4,G$1,WORKDAY($A253,-1,config_Holiday_Calendar_US),WORKDAY($A253,-1,config_Holiday_Calendar_US)),IF(ISNUMBER(_xll.BDH(config!$G$4,G$1,$A253,$A253)),_xll.BDH(config!$G$4,G$1,$A253,$A253),_xll.BDH(config!$G$5,G$1,$A253,$A253))))</f>
        <v>37.94</v>
      </c>
      <c r="H253" s="8">
        <f>IF($A253="","",IF(ISNUMBER(FIND("IMPVOL",H$1)),_xll.BDH(config!$G$4,H$1,WORKDAY($A253,-1,config_Holiday_Calendar_US),WORKDAY($A253,-1,config_Holiday_Calendar_US)),IF(ISNUMBER(_xll.BDH(config!$G$4,H$1,$A253,$A253)),_xll.BDH(config!$G$4,H$1,$A253,$A253),_xll.BDH(config!$G$5,H$1,$A253,$A253))))</f>
        <v>269936</v>
      </c>
      <c r="I253" s="8" t="str">
        <f>IF($A253="","",IF(ISNUMBER(FIND("IMPVOL",I$1)),_xll.BDH(config!$G$4,I$1,WORKDAY($A253,-1,config_Holiday_Calendar_US),WORKDAY($A253,-1,config_Holiday_Calendar_US)),IF(ISNUMBER(_xll.BDH(config!$G$4,I$1,$A253,$A253)),_xll.BDH(config!$G$4,I$1,$A253,$A253),_xll.BDH(config!$G$5,I$1,$A253,$A253))))</f>
        <v>#N/A Requesting Data...</v>
      </c>
      <c r="J253" s="8" t="str">
        <f>IF($A253="","",IF(ISNUMBER(FIND("IMPVOL",J$1)),_xll.BDH(config!$G$4,J$1,WORKDAY($A253,-1,config_Holiday_Calendar_US),WORKDAY($A253,-1,config_Holiday_Calendar_US)),IF(ISNUMBER(_xll.BDH(config!$G$4,J$1,$A253,$A253)),_xll.BDH(config!$G$4,J$1,$A253,$A253),_xll.BDH(config!$G$5,J$1,$A253,$A253))))</f>
        <v>#N/A Requesting Data...</v>
      </c>
      <c r="K253" s="8" t="str">
        <f>IF($A253="","",IF(ISNUMBER(FIND("IMPVOL",K$1)),_xll.BDH(config!$G$4,K$1,WORKDAY($A253,-1,config_Holiday_Calendar_US),WORKDAY($A253,-1,config_Holiday_Calendar_US)),IF(ISNUMBER(_xll.BDH(config!$G$4,K$1,$A253,$A253)),_xll.BDH(config!$G$4,K$1,$A253,$A253),_xll.BDH(config!$G$5,K$1,$A253,$A253))))</f>
        <v>#N/A Requesting Data...</v>
      </c>
      <c r="L253" s="8" t="str">
        <f>IF($A253="","",IF(ISNUMBER(FIND("IMPVOL",L$1)),_xll.BDH(config!$G$4,L$1,WORKDAY($A253,-1,config_Holiday_Calendar_US),WORKDAY($A253,-1,config_Holiday_Calendar_US)),IF(ISNUMBER(_xll.BDH(config!$G$4,L$1,$A253,$A253)),_xll.BDH(config!$G$4,L$1,$A253,$A253),_xll.BDH(config!$G$5,L$1,$A253,$A253))))</f>
        <v>#N/A Requesting Data...</v>
      </c>
      <c r="M253" s="8" t="str">
        <f>IF($A253="","",IF(ISNUMBER(FIND("IMPVOL",M$1)),_xll.BDH(config!$G$4,M$1,WORKDAY($A253,-1,config_Holiday_Calendar_US),WORKDAY($A253,-1,config_Holiday_Calendar_US)),IF(ISNUMBER(_xll.BDH(config!$G$4,M$1,$A253,$A253)),_xll.BDH(config!$G$4,M$1,$A253,$A253),_xll.BDH(config!$G$5,M$1,$A253,$A253))))</f>
        <v>#N/A Requesting Data...</v>
      </c>
      <c r="N253" s="8" t="str">
        <f>IF($A253="","",IF(ISNUMBER(FIND("IMPVOL",N$1)),_xll.BDH(config!$G$4,N$1,WORKDAY($A253,-1,config_Holiday_Calendar_US),WORKDAY($A253,-1,config_Holiday_Calendar_US)),IF(ISNUMBER(_xll.BDH(config!$G$4,N$1,$A253,$A253)),_xll.BDH(config!$G$4,N$1,$A253,$A253),_xll.BDH(config!$G$5,N$1,$A253,$A253))))</f>
        <v>#N/A Requesting Data...</v>
      </c>
      <c r="O253" s="8" t="str">
        <f>IF($A253="","",IF(ISNUMBER(FIND("IMPVOL",O$1)),_xll.BDH(config!$G$4,O$1,WORKDAY($A253,-1,config_Holiday_Calendar_US),WORKDAY($A253,-1,config_Holiday_Calendar_US)),IF(ISNUMBER(_xll.BDH(config!$G$4,O$1,$A253,$A253)),_xll.BDH(config!$G$4,O$1,$A253,$A253),_xll.BDH(config!$G$5,O$1,$A253,$A253))))</f>
        <v>#N/A Requesting Data...</v>
      </c>
      <c r="P253" s="8" t="str">
        <f>IF($A253="","",IF(ISNUMBER(FIND("IMPVOL",P$1)),_xll.BDH(config!$G$4,P$1,WORKDAY($A253,-1,config_Holiday_Calendar_US),WORKDAY($A253,-1,config_Holiday_Calendar_US)),IF(ISNUMBER(_xll.BDH(config!$G$4,P$1,$A253,$A253)),_xll.BDH(config!$G$4,P$1,$A253,$A253),_xll.BDH(config!$G$5,P$1,$A253,$A253))))</f>
        <v>#N/A Requesting Data...</v>
      </c>
      <c r="Q253" s="8">
        <f>IF($A253="","",IF(ISNUMBER(FIND("IMPVOL",Q$1)),_xll.BDH(config!$G$4,Q$1,WORKDAY($A253,-1,config_Holiday_Calendar_US),WORKDAY($A253,-1,config_Holiday_Calendar_US)),IF(ISNUMBER(_xll.BDH(config!$G$4,Q$1,$A253,$A253)),_xll.BDH(config!$G$4,Q$1,$A253,$A253),_xll.BDH(config!$G$5,Q$1,$A253,$A253))))</f>
        <v>42.21</v>
      </c>
      <c r="R253" s="8">
        <f>IF($A253="","",IF(ISNUMBER(FIND("IMPVOL",R$1)),_xll.BDH(config!$G$4,R$1,WORKDAY($A253,-1,config_Holiday_Calendar_US),WORKDAY($A253,-1,config_Holiday_Calendar_US)),IF(ISNUMBER(_xll.BDH(config!$G$4,R$1,$A253,$A253)),_xll.BDH(config!$G$4,R$1,$A253,$A253),_xll.BDH(config!$G$5,R$1,$A253,$A253))))</f>
        <v>45.4</v>
      </c>
      <c r="S253" s="8" t="str">
        <f>IF($A253="","",IF(ISNUMBER(FIND("IMPVOL",S$1)),_xll.BDH(config!$G$4,S$1,WORKDAY($A253,-1,config_Holiday_Calendar_US),WORKDAY($A253,-1,config_Holiday_Calendar_US)),IF(ISNUMBER(_xll.BDH(config!$G$4,S$1,$A253,$A253)),_xll.BDH(config!$G$4,S$1,$A253,$A253),_xll.BDH(config!$G$5,S$1,$A253,$A253))))</f>
        <v>#N/A Requesting Data...</v>
      </c>
      <c r="T253" s="8" t="str">
        <f>IF($A253="","",IF(ISNUMBER(FIND("IMPVOL",T$1)),_xll.BDH(config!$G$4,T$1,WORKDAY($A253,-1,config_Holiday_Calendar_US),WORKDAY($A253,-1,config_Holiday_Calendar_US)),IF(ISNUMBER(_xll.BDH(config!$G$4,T$1,$A253,$A253)),_xll.BDH(config!$G$4,T$1,$A253,$A253),_xll.BDH(config!$G$5,T$1,$A253,$A253))))</f>
        <v>#N/A Requesting Data...</v>
      </c>
      <c r="U253" s="8" t="str">
        <f>IF($A253="","",IF(ISNUMBER(FIND("IMPVOL",U$1)),_xll.BDH(config!$G$4,U$1,WORKDAY($A253,-1,config_Holiday_Calendar_US),WORKDAY($A253,-1,config_Holiday_Calendar_US)),IF(ISNUMBER(_xll.BDH(config!$G$4,U$1,$A253,$A253)),_xll.BDH(config!$G$4,U$1,$A253,$A253),_xll.BDH(config!$G$5,U$1,$A253,$A253))))</f>
        <v>#N/A Requesting Data...</v>
      </c>
      <c r="V253" s="8" t="str">
        <f>IF($A253="","",IF(ISNUMBER(FIND("IMPVOL",V$1)),_xll.BDH(config!$G$4,V$1,WORKDAY($A253,-1,config_Holiday_Calendar_US),WORKDAY($A253,-1,config_Holiday_Calendar_US)),IF(ISNUMBER(_xll.BDH(config!$G$4,V$1,$A253,$A253)),_xll.BDH(config!$G$4,V$1,$A253,$A253),_xll.BDH(config!$G$5,V$1,$A253,$A253))))</f>
        <v>#N/A Requesting Data...</v>
      </c>
      <c r="W253" s="8" t="str">
        <f>IF($A253="","",IF(ISNUMBER(FIND("IMPVOL",W$1)),_xll.BDH(config!$G$4,W$1,WORKDAY($A253,-1,config_Holiday_Calendar_US),WORKDAY($A253,-1,config_Holiday_Calendar_US)),IF(ISNUMBER(_xll.BDH(config!$G$4,W$1,$A253,$A253)),_xll.BDH(config!$G$4,W$1,$A253,$A253),_xll.BDH(config!$G$5,W$1,$A253,$A253))))</f>
        <v>#N/A Requesting Data...</v>
      </c>
    </row>
    <row r="254" spans="1:23" x14ac:dyDescent="0.2">
      <c r="A254" s="9">
        <f>IF(A253="","",IF(WORKDAY(A253,-1,config_Holiday_Calendar_US)&lt;config!$I$10,"",WORKDAY(A253,-1,config_Holiday_Calendar_US)))</f>
        <v>42466</v>
      </c>
      <c r="B254" s="8" t="e">
        <f t="shared" si="3"/>
        <v>#VALUE!</v>
      </c>
      <c r="C254" s="8" t="str">
        <f>IF(A254="","",_xll.BDH(config!$H$4,C$1,$A254,$A254))</f>
        <v>#N/A Requesting Data...</v>
      </c>
      <c r="D254" s="8" t="str">
        <f>IF($A254="","",_xll.BDH(config!$H$4,D$1,$A254,$A254))</f>
        <v>#N/A Requesting Data...</v>
      </c>
      <c r="E254" s="8">
        <f>IF($A254="","",IF(ISNUMBER(FIND("IMPVOL",E$1)),_xll.BDH(config!$G$4,E$1,WORKDAY($A254,-1,config_Holiday_Calendar_US),WORKDAY($A254,-1,config_Holiday_Calendar_US)),IF(ISNUMBER(_xll.BDH(config!$G$4,E$1,$A254,$A254)),_xll.BDH(config!$G$4,E$1,$A254,$A254),_xll.BDH(config!$G$5,E$1,$A254,$A254))))</f>
        <v>36.520000000000003</v>
      </c>
      <c r="F254" s="8">
        <f>IF($A254="","",IF(ISNUMBER(FIND("IMPVOL",F$1)),_xll.BDH(config!$G$4,F$1,WORKDAY($A254,-1,config_Holiday_Calendar_US),WORKDAY($A254,-1,config_Holiday_Calendar_US)),IF(ISNUMBER(_xll.BDH(config!$G$4,F$1,$A254,$A254)),_xll.BDH(config!$G$4,F$1,$A254,$A254),_xll.BDH(config!$G$5,F$1,$A254,$A254))))</f>
        <v>37.9</v>
      </c>
      <c r="G254" s="8">
        <f>IF($A254="","",IF(ISNUMBER(FIND("IMPVOL",G$1)),_xll.BDH(config!$G$4,G$1,WORKDAY($A254,-1,config_Holiday_Calendar_US),WORKDAY($A254,-1,config_Holiday_Calendar_US)),IF(ISNUMBER(_xll.BDH(config!$G$4,G$1,$A254,$A254)),_xll.BDH(config!$G$4,G$1,$A254,$A254),_xll.BDH(config!$G$5,G$1,$A254,$A254))))</f>
        <v>37.57</v>
      </c>
      <c r="H254" s="8">
        <f>IF($A254="","",IF(ISNUMBER(FIND("IMPVOL",H$1)),_xll.BDH(config!$G$4,H$1,WORKDAY($A254,-1,config_Holiday_Calendar_US),WORKDAY($A254,-1,config_Holiday_Calendar_US)),IF(ISNUMBER(_xll.BDH(config!$G$4,H$1,$A254,$A254)),_xll.BDH(config!$G$4,H$1,$A254,$A254),_xll.BDH(config!$G$5,H$1,$A254,$A254))))</f>
        <v>287071</v>
      </c>
      <c r="I254" s="8" t="str">
        <f>IF($A254="","",IF(ISNUMBER(FIND("IMPVOL",I$1)),_xll.BDH(config!$G$4,I$1,WORKDAY($A254,-1,config_Holiday_Calendar_US),WORKDAY($A254,-1,config_Holiday_Calendar_US)),IF(ISNUMBER(_xll.BDH(config!$G$4,I$1,$A254,$A254)),_xll.BDH(config!$G$4,I$1,$A254,$A254),_xll.BDH(config!$G$5,I$1,$A254,$A254))))</f>
        <v>#N/A Requesting Data...</v>
      </c>
      <c r="J254" s="8" t="str">
        <f>IF($A254="","",IF(ISNUMBER(FIND("IMPVOL",J$1)),_xll.BDH(config!$G$4,J$1,WORKDAY($A254,-1,config_Holiday_Calendar_US),WORKDAY($A254,-1,config_Holiday_Calendar_US)),IF(ISNUMBER(_xll.BDH(config!$G$4,J$1,$A254,$A254)),_xll.BDH(config!$G$4,J$1,$A254,$A254),_xll.BDH(config!$G$5,J$1,$A254,$A254))))</f>
        <v>#N/A Requesting Data...</v>
      </c>
      <c r="K254" s="8" t="str">
        <f>IF($A254="","",IF(ISNUMBER(FIND("IMPVOL",K$1)),_xll.BDH(config!$G$4,K$1,WORKDAY($A254,-1,config_Holiday_Calendar_US),WORKDAY($A254,-1,config_Holiday_Calendar_US)),IF(ISNUMBER(_xll.BDH(config!$G$4,K$1,$A254,$A254)),_xll.BDH(config!$G$4,K$1,$A254,$A254),_xll.BDH(config!$G$5,K$1,$A254,$A254))))</f>
        <v>#N/A Requesting Data...</v>
      </c>
      <c r="L254" s="8" t="str">
        <f>IF($A254="","",IF(ISNUMBER(FIND("IMPVOL",L$1)),_xll.BDH(config!$G$4,L$1,WORKDAY($A254,-1,config_Holiday_Calendar_US),WORKDAY($A254,-1,config_Holiday_Calendar_US)),IF(ISNUMBER(_xll.BDH(config!$G$4,L$1,$A254,$A254)),_xll.BDH(config!$G$4,L$1,$A254,$A254),_xll.BDH(config!$G$5,L$1,$A254,$A254))))</f>
        <v>#N/A Requesting Data...</v>
      </c>
      <c r="M254" s="8" t="str">
        <f>IF($A254="","",IF(ISNUMBER(FIND("IMPVOL",M$1)),_xll.BDH(config!$G$4,M$1,WORKDAY($A254,-1,config_Holiday_Calendar_US),WORKDAY($A254,-1,config_Holiday_Calendar_US)),IF(ISNUMBER(_xll.BDH(config!$G$4,M$1,$A254,$A254)),_xll.BDH(config!$G$4,M$1,$A254,$A254),_xll.BDH(config!$G$5,M$1,$A254,$A254))))</f>
        <v>#N/A Requesting Data...</v>
      </c>
      <c r="N254" s="8" t="str">
        <f>IF($A254="","",IF(ISNUMBER(FIND("IMPVOL",N$1)),_xll.BDH(config!$G$4,N$1,WORKDAY($A254,-1,config_Holiday_Calendar_US),WORKDAY($A254,-1,config_Holiday_Calendar_US)),IF(ISNUMBER(_xll.BDH(config!$G$4,N$1,$A254,$A254)),_xll.BDH(config!$G$4,N$1,$A254,$A254),_xll.BDH(config!$G$5,N$1,$A254,$A254))))</f>
        <v>#N/A Requesting Data...</v>
      </c>
      <c r="O254" s="8" t="str">
        <f>IF($A254="","",IF(ISNUMBER(FIND("IMPVOL",O$1)),_xll.BDH(config!$G$4,O$1,WORKDAY($A254,-1,config_Holiday_Calendar_US),WORKDAY($A254,-1,config_Holiday_Calendar_US)),IF(ISNUMBER(_xll.BDH(config!$G$4,O$1,$A254,$A254)),_xll.BDH(config!$G$4,O$1,$A254,$A254),_xll.BDH(config!$G$5,O$1,$A254,$A254))))</f>
        <v>#N/A Requesting Data...</v>
      </c>
      <c r="P254" s="8" t="str">
        <f>IF($A254="","",IF(ISNUMBER(FIND("IMPVOL",P$1)),_xll.BDH(config!$G$4,P$1,WORKDAY($A254,-1,config_Holiday_Calendar_US),WORKDAY($A254,-1,config_Holiday_Calendar_US)),IF(ISNUMBER(_xll.BDH(config!$G$4,P$1,$A254,$A254)),_xll.BDH(config!$G$4,P$1,$A254,$A254),_xll.BDH(config!$G$5,P$1,$A254,$A254))))</f>
        <v>#N/A Requesting Data...</v>
      </c>
      <c r="Q254" s="8">
        <f>IF($A254="","",IF(ISNUMBER(FIND("IMPVOL",Q$1)),_xll.BDH(config!$G$4,Q$1,WORKDAY($A254,-1,config_Holiday_Calendar_US),WORKDAY($A254,-1,config_Holiday_Calendar_US)),IF(ISNUMBER(_xll.BDH(config!$G$4,Q$1,$A254,$A254)),_xll.BDH(config!$G$4,Q$1,$A254,$A254),_xll.BDH(config!$G$5,Q$1,$A254,$A254))))</f>
        <v>42.02</v>
      </c>
      <c r="R254" s="8">
        <f>IF($A254="","",IF(ISNUMBER(FIND("IMPVOL",R$1)),_xll.BDH(config!$G$4,R$1,WORKDAY($A254,-1,config_Holiday_Calendar_US),WORKDAY($A254,-1,config_Holiday_Calendar_US)),IF(ISNUMBER(_xll.BDH(config!$G$4,R$1,$A254,$A254)),_xll.BDH(config!$G$4,R$1,$A254,$A254),_xll.BDH(config!$G$5,R$1,$A254,$A254))))</f>
        <v>45.45</v>
      </c>
      <c r="S254" s="8" t="str">
        <f>IF($A254="","",IF(ISNUMBER(FIND("IMPVOL",S$1)),_xll.BDH(config!$G$4,S$1,WORKDAY($A254,-1,config_Holiday_Calendar_US),WORKDAY($A254,-1,config_Holiday_Calendar_US)),IF(ISNUMBER(_xll.BDH(config!$G$4,S$1,$A254,$A254)),_xll.BDH(config!$G$4,S$1,$A254,$A254),_xll.BDH(config!$G$5,S$1,$A254,$A254))))</f>
        <v>#N/A Requesting Data...</v>
      </c>
      <c r="T254" s="8" t="str">
        <f>IF($A254="","",IF(ISNUMBER(FIND("IMPVOL",T$1)),_xll.BDH(config!$G$4,T$1,WORKDAY($A254,-1,config_Holiday_Calendar_US),WORKDAY($A254,-1,config_Holiday_Calendar_US)),IF(ISNUMBER(_xll.BDH(config!$G$4,T$1,$A254,$A254)),_xll.BDH(config!$G$4,T$1,$A254,$A254),_xll.BDH(config!$G$5,T$1,$A254,$A254))))</f>
        <v>#N/A Requesting Data...</v>
      </c>
      <c r="U254" s="8" t="str">
        <f>IF($A254="","",IF(ISNUMBER(FIND("IMPVOL",U$1)),_xll.BDH(config!$G$4,U$1,WORKDAY($A254,-1,config_Holiday_Calendar_US),WORKDAY($A254,-1,config_Holiday_Calendar_US)),IF(ISNUMBER(_xll.BDH(config!$G$4,U$1,$A254,$A254)),_xll.BDH(config!$G$4,U$1,$A254,$A254),_xll.BDH(config!$G$5,U$1,$A254,$A254))))</f>
        <v>#N/A Requesting Data...</v>
      </c>
      <c r="V254" s="8" t="str">
        <f>IF($A254="","",IF(ISNUMBER(FIND("IMPVOL",V$1)),_xll.BDH(config!$G$4,V$1,WORKDAY($A254,-1,config_Holiday_Calendar_US),WORKDAY($A254,-1,config_Holiday_Calendar_US)),IF(ISNUMBER(_xll.BDH(config!$G$4,V$1,$A254,$A254)),_xll.BDH(config!$G$4,V$1,$A254,$A254),_xll.BDH(config!$G$5,V$1,$A254,$A254))))</f>
        <v>#N/A Requesting Data...</v>
      </c>
      <c r="W254" s="8" t="str">
        <f>IF($A254="","",IF(ISNUMBER(FIND("IMPVOL",W$1)),_xll.BDH(config!$G$4,W$1,WORKDAY($A254,-1,config_Holiday_Calendar_US),WORKDAY($A254,-1,config_Holiday_Calendar_US)),IF(ISNUMBER(_xll.BDH(config!$G$4,W$1,$A254,$A254)),_xll.BDH(config!$G$4,W$1,$A254,$A254),_xll.BDH(config!$G$5,W$1,$A254,$A254))))</f>
        <v>#N/A Requesting Data...</v>
      </c>
    </row>
    <row r="255" spans="1:23" x14ac:dyDescent="0.2">
      <c r="A255" s="9">
        <f>IF(A254="","",IF(WORKDAY(A254,-1,config_Holiday_Calendar_US)&lt;config!$I$10,"",WORKDAY(A254,-1,config_Holiday_Calendar_US)))</f>
        <v>42465</v>
      </c>
      <c r="B255" s="8" t="e">
        <f t="shared" si="3"/>
        <v>#VALUE!</v>
      </c>
      <c r="C255" s="8" t="str">
        <f>IF(A255="","",_xll.BDH(config!$H$4,C$1,$A255,$A255))</f>
        <v>#N/A Requesting Data...</v>
      </c>
      <c r="D255" s="8" t="str">
        <f>IF($A255="","",_xll.BDH(config!$H$4,D$1,$A255,$A255))</f>
        <v>#N/A Requesting Data...</v>
      </c>
      <c r="E255" s="8">
        <f>IF($A255="","",IF(ISNUMBER(FIND("IMPVOL",E$1)),_xll.BDH(config!$G$4,E$1,WORKDAY($A255,-1,config_Holiday_Calendar_US),WORKDAY($A255,-1,config_Holiday_Calendar_US)),IF(ISNUMBER(_xll.BDH(config!$G$4,E$1,$A255,$A255)),_xll.BDH(config!$G$4,E$1,$A255,$A255),_xll.BDH(config!$G$5,E$1,$A255,$A255))))</f>
        <v>35.5</v>
      </c>
      <c r="F255" s="8">
        <f>IF($A255="","",IF(ISNUMBER(FIND("IMPVOL",F$1)),_xll.BDH(config!$G$4,F$1,WORKDAY($A255,-1,config_Holiday_Calendar_US),WORKDAY($A255,-1,config_Holiday_Calendar_US)),IF(ISNUMBER(_xll.BDH(config!$G$4,F$1,$A255,$A255)),_xll.BDH(config!$G$4,F$1,$A255,$A255),_xll.BDH(config!$G$5,F$1,$A255,$A255))))</f>
        <v>36.58</v>
      </c>
      <c r="G255" s="8">
        <f>IF($A255="","",IF(ISNUMBER(FIND("IMPVOL",G$1)),_xll.BDH(config!$G$4,G$1,WORKDAY($A255,-1,config_Holiday_Calendar_US),WORKDAY($A255,-1,config_Holiday_Calendar_US)),IF(ISNUMBER(_xll.BDH(config!$G$4,G$1,$A255,$A255)),_xll.BDH(config!$G$4,G$1,$A255,$A255),_xll.BDH(config!$G$5,G$1,$A255,$A255))))</f>
        <v>36.57</v>
      </c>
      <c r="H255" s="8">
        <f>IF($A255="","",IF(ISNUMBER(FIND("IMPVOL",H$1)),_xll.BDH(config!$G$4,H$1,WORKDAY($A255,-1,config_Holiday_Calendar_US),WORKDAY($A255,-1,config_Holiday_Calendar_US)),IF(ISNUMBER(_xll.BDH(config!$G$4,H$1,$A255,$A255)),_xll.BDH(config!$G$4,H$1,$A255,$A255),_xll.BDH(config!$G$5,H$1,$A255,$A255))))</f>
        <v>151205</v>
      </c>
      <c r="I255" s="8" t="str">
        <f>IF($A255="","",IF(ISNUMBER(FIND("IMPVOL",I$1)),_xll.BDH(config!$G$4,I$1,WORKDAY($A255,-1,config_Holiday_Calendar_US),WORKDAY($A255,-1,config_Holiday_Calendar_US)),IF(ISNUMBER(_xll.BDH(config!$G$4,I$1,$A255,$A255)),_xll.BDH(config!$G$4,I$1,$A255,$A255),_xll.BDH(config!$G$5,I$1,$A255,$A255))))</f>
        <v>#N/A Requesting Data...</v>
      </c>
      <c r="J255" s="8" t="str">
        <f>IF($A255="","",IF(ISNUMBER(FIND("IMPVOL",J$1)),_xll.BDH(config!$G$4,J$1,WORKDAY($A255,-1,config_Holiday_Calendar_US),WORKDAY($A255,-1,config_Holiday_Calendar_US)),IF(ISNUMBER(_xll.BDH(config!$G$4,J$1,$A255,$A255)),_xll.BDH(config!$G$4,J$1,$A255,$A255),_xll.BDH(config!$G$5,J$1,$A255,$A255))))</f>
        <v>#N/A Requesting Data...</v>
      </c>
      <c r="K255" s="8" t="str">
        <f>IF($A255="","",IF(ISNUMBER(FIND("IMPVOL",K$1)),_xll.BDH(config!$G$4,K$1,WORKDAY($A255,-1,config_Holiday_Calendar_US),WORKDAY($A255,-1,config_Holiday_Calendar_US)),IF(ISNUMBER(_xll.BDH(config!$G$4,K$1,$A255,$A255)),_xll.BDH(config!$G$4,K$1,$A255,$A255),_xll.BDH(config!$G$5,K$1,$A255,$A255))))</f>
        <v>#N/A Requesting Data...</v>
      </c>
      <c r="L255" s="8" t="str">
        <f>IF($A255="","",IF(ISNUMBER(FIND("IMPVOL",L$1)),_xll.BDH(config!$G$4,L$1,WORKDAY($A255,-1,config_Holiday_Calendar_US),WORKDAY($A255,-1,config_Holiday_Calendar_US)),IF(ISNUMBER(_xll.BDH(config!$G$4,L$1,$A255,$A255)),_xll.BDH(config!$G$4,L$1,$A255,$A255),_xll.BDH(config!$G$5,L$1,$A255,$A255))))</f>
        <v>#N/A Requesting Data...</v>
      </c>
      <c r="M255" s="8" t="str">
        <f>IF($A255="","",IF(ISNUMBER(FIND("IMPVOL",M$1)),_xll.BDH(config!$G$4,M$1,WORKDAY($A255,-1,config_Holiday_Calendar_US),WORKDAY($A255,-1,config_Holiday_Calendar_US)),IF(ISNUMBER(_xll.BDH(config!$G$4,M$1,$A255,$A255)),_xll.BDH(config!$G$4,M$1,$A255,$A255),_xll.BDH(config!$G$5,M$1,$A255,$A255))))</f>
        <v>#N/A Requesting Data...</v>
      </c>
      <c r="N255" s="8" t="str">
        <f>IF($A255="","",IF(ISNUMBER(FIND("IMPVOL",N$1)),_xll.BDH(config!$G$4,N$1,WORKDAY($A255,-1,config_Holiday_Calendar_US),WORKDAY($A255,-1,config_Holiday_Calendar_US)),IF(ISNUMBER(_xll.BDH(config!$G$4,N$1,$A255,$A255)),_xll.BDH(config!$G$4,N$1,$A255,$A255),_xll.BDH(config!$G$5,N$1,$A255,$A255))))</f>
        <v>#N/A Requesting Data...</v>
      </c>
      <c r="O255" s="8" t="str">
        <f>IF($A255="","",IF(ISNUMBER(FIND("IMPVOL",O$1)),_xll.BDH(config!$G$4,O$1,WORKDAY($A255,-1,config_Holiday_Calendar_US),WORKDAY($A255,-1,config_Holiday_Calendar_US)),IF(ISNUMBER(_xll.BDH(config!$G$4,O$1,$A255,$A255)),_xll.BDH(config!$G$4,O$1,$A255,$A255),_xll.BDH(config!$G$5,O$1,$A255,$A255))))</f>
        <v>#N/A Requesting Data...</v>
      </c>
      <c r="P255" s="8" t="str">
        <f>IF($A255="","",IF(ISNUMBER(FIND("IMPVOL",P$1)),_xll.BDH(config!$G$4,P$1,WORKDAY($A255,-1,config_Holiday_Calendar_US),WORKDAY($A255,-1,config_Holiday_Calendar_US)),IF(ISNUMBER(_xll.BDH(config!$G$4,P$1,$A255,$A255)),_xll.BDH(config!$G$4,P$1,$A255,$A255),_xll.BDH(config!$G$5,P$1,$A255,$A255))))</f>
        <v>#N/A Requesting Data...</v>
      </c>
      <c r="Q255" s="8">
        <f>IF($A255="","",IF(ISNUMBER(FIND("IMPVOL",Q$1)),_xll.BDH(config!$G$4,Q$1,WORKDAY($A255,-1,config_Holiday_Calendar_US),WORKDAY($A255,-1,config_Holiday_Calendar_US)),IF(ISNUMBER(_xll.BDH(config!$G$4,Q$1,$A255,$A255)),_xll.BDH(config!$G$4,Q$1,$A255,$A255),_xll.BDH(config!$G$5,Q$1,$A255,$A255))))</f>
        <v>29.53</v>
      </c>
      <c r="R255" s="8">
        <f>IF($A255="","",IF(ISNUMBER(FIND("IMPVOL",R$1)),_xll.BDH(config!$G$4,R$1,WORKDAY($A255,-1,config_Holiday_Calendar_US),WORKDAY($A255,-1,config_Holiday_Calendar_US)),IF(ISNUMBER(_xll.BDH(config!$G$4,R$1,$A255,$A255)),_xll.BDH(config!$G$4,R$1,$A255,$A255),_xll.BDH(config!$G$5,R$1,$A255,$A255))))</f>
        <v>43.42</v>
      </c>
      <c r="S255" s="8" t="str">
        <f>IF($A255="","",IF(ISNUMBER(FIND("IMPVOL",S$1)),_xll.BDH(config!$G$4,S$1,WORKDAY($A255,-1,config_Holiday_Calendar_US),WORKDAY($A255,-1,config_Holiday_Calendar_US)),IF(ISNUMBER(_xll.BDH(config!$G$4,S$1,$A255,$A255)),_xll.BDH(config!$G$4,S$1,$A255,$A255),_xll.BDH(config!$G$5,S$1,$A255,$A255))))</f>
        <v>#N/A Requesting Data...</v>
      </c>
      <c r="T255" s="8" t="str">
        <f>IF($A255="","",IF(ISNUMBER(FIND("IMPVOL",T$1)),_xll.BDH(config!$G$4,T$1,WORKDAY($A255,-1,config_Holiday_Calendar_US),WORKDAY($A255,-1,config_Holiday_Calendar_US)),IF(ISNUMBER(_xll.BDH(config!$G$4,T$1,$A255,$A255)),_xll.BDH(config!$G$4,T$1,$A255,$A255),_xll.BDH(config!$G$5,T$1,$A255,$A255))))</f>
        <v>#N/A Requesting Data...</v>
      </c>
      <c r="U255" s="8" t="str">
        <f>IF($A255="","",IF(ISNUMBER(FIND("IMPVOL",U$1)),_xll.BDH(config!$G$4,U$1,WORKDAY($A255,-1,config_Holiday_Calendar_US),WORKDAY($A255,-1,config_Holiday_Calendar_US)),IF(ISNUMBER(_xll.BDH(config!$G$4,U$1,$A255,$A255)),_xll.BDH(config!$G$4,U$1,$A255,$A255),_xll.BDH(config!$G$5,U$1,$A255,$A255))))</f>
        <v>#N/A Requesting Data...</v>
      </c>
      <c r="V255" s="8" t="str">
        <f>IF($A255="","",IF(ISNUMBER(FIND("IMPVOL",V$1)),_xll.BDH(config!$G$4,V$1,WORKDAY($A255,-1,config_Holiday_Calendar_US),WORKDAY($A255,-1,config_Holiday_Calendar_US)),IF(ISNUMBER(_xll.BDH(config!$G$4,V$1,$A255,$A255)),_xll.BDH(config!$G$4,V$1,$A255,$A255),_xll.BDH(config!$G$5,V$1,$A255,$A255))))</f>
        <v>#N/A Requesting Data...</v>
      </c>
      <c r="W255" s="8" t="str">
        <f>IF($A255="","",IF(ISNUMBER(FIND("IMPVOL",W$1)),_xll.BDH(config!$G$4,W$1,WORKDAY($A255,-1,config_Holiday_Calendar_US),WORKDAY($A255,-1,config_Holiday_Calendar_US)),IF(ISNUMBER(_xll.BDH(config!$G$4,W$1,$A255,$A255)),_xll.BDH(config!$G$4,W$1,$A255,$A255),_xll.BDH(config!$G$5,W$1,$A255,$A255))))</f>
        <v>#N/A Requesting Data...</v>
      </c>
    </row>
    <row r="256" spans="1:23" x14ac:dyDescent="0.2">
      <c r="A256" s="9">
        <f>IF(A255="","",IF(WORKDAY(A255,-1,config_Holiday_Calendar_US)&lt;config!$I$10,"",WORKDAY(A255,-1,config_Holiday_Calendar_US)))</f>
        <v>42464</v>
      </c>
      <c r="B256" s="8" t="e">
        <f t="shared" si="3"/>
        <v>#VALUE!</v>
      </c>
      <c r="C256" s="8" t="str">
        <f>IF(A256="","",_xll.BDH(config!$H$4,C$1,$A256,$A256))</f>
        <v>#N/A Requesting Data...</v>
      </c>
      <c r="D256" s="8" t="str">
        <f>IF($A256="","",_xll.BDH(config!$H$4,D$1,$A256,$A256))</f>
        <v>#N/A Requesting Data...</v>
      </c>
      <c r="E256" s="8">
        <f>IF($A256="","",IF(ISNUMBER(FIND("IMPVOL",E$1)),_xll.BDH(config!$G$4,E$1,WORKDAY($A256,-1,config_Holiday_Calendar_US),WORKDAY($A256,-1,config_Holiday_Calendar_US)),IF(ISNUMBER(_xll.BDH(config!$G$4,E$1,$A256,$A256)),_xll.BDH(config!$G$4,E$1,$A256,$A256),_xll.BDH(config!$G$5,E$1,$A256,$A256))))</f>
        <v>36.61</v>
      </c>
      <c r="F256" s="8">
        <f>IF($A256="","",IF(ISNUMBER(FIND("IMPVOL",F$1)),_xll.BDH(config!$G$4,F$1,WORKDAY($A256,-1,config_Holiday_Calendar_US),WORKDAY($A256,-1,config_Holiday_Calendar_US)),IF(ISNUMBER(_xll.BDH(config!$G$4,F$1,$A256,$A256)),_xll.BDH(config!$G$4,F$1,$A256,$A256),_xll.BDH(config!$G$5,F$1,$A256,$A256))))</f>
        <v>37.21</v>
      </c>
      <c r="G256" s="8">
        <f>IF($A256="","",IF(ISNUMBER(FIND("IMPVOL",G$1)),_xll.BDH(config!$G$4,G$1,WORKDAY($A256,-1,config_Holiday_Calendar_US),WORKDAY($A256,-1,config_Holiday_Calendar_US)),IF(ISNUMBER(_xll.BDH(config!$G$4,G$1,$A256,$A256)),_xll.BDH(config!$G$4,G$1,$A256,$A256),_xll.BDH(config!$G$5,G$1,$A256,$A256))))</f>
        <v>36.799999999999997</v>
      </c>
      <c r="H256" s="8">
        <f>IF($A256="","",IF(ISNUMBER(FIND("IMPVOL",H$1)),_xll.BDH(config!$G$4,H$1,WORKDAY($A256,-1,config_Holiday_Calendar_US),WORKDAY($A256,-1,config_Holiday_Calendar_US)),IF(ISNUMBER(_xll.BDH(config!$G$4,H$1,$A256,$A256)),_xll.BDH(config!$G$4,H$1,$A256,$A256),_xll.BDH(config!$G$5,H$1,$A256,$A256))))</f>
        <v>194055</v>
      </c>
      <c r="I256" s="8" t="str">
        <f>IF($A256="","",IF(ISNUMBER(FIND("IMPVOL",I$1)),_xll.BDH(config!$G$4,I$1,WORKDAY($A256,-1,config_Holiday_Calendar_US),WORKDAY($A256,-1,config_Holiday_Calendar_US)),IF(ISNUMBER(_xll.BDH(config!$G$4,I$1,$A256,$A256)),_xll.BDH(config!$G$4,I$1,$A256,$A256),_xll.BDH(config!$G$5,I$1,$A256,$A256))))</f>
        <v>#N/A Requesting Data...</v>
      </c>
      <c r="J256" s="8" t="str">
        <f>IF($A256="","",IF(ISNUMBER(FIND("IMPVOL",J$1)),_xll.BDH(config!$G$4,J$1,WORKDAY($A256,-1,config_Holiday_Calendar_US),WORKDAY($A256,-1,config_Holiday_Calendar_US)),IF(ISNUMBER(_xll.BDH(config!$G$4,J$1,$A256,$A256)),_xll.BDH(config!$G$4,J$1,$A256,$A256),_xll.BDH(config!$G$5,J$1,$A256,$A256))))</f>
        <v>#N/A Requesting Data...</v>
      </c>
      <c r="K256" s="8" t="str">
        <f>IF($A256="","",IF(ISNUMBER(FIND("IMPVOL",K$1)),_xll.BDH(config!$G$4,K$1,WORKDAY($A256,-1,config_Holiday_Calendar_US),WORKDAY($A256,-1,config_Holiday_Calendar_US)),IF(ISNUMBER(_xll.BDH(config!$G$4,K$1,$A256,$A256)),_xll.BDH(config!$G$4,K$1,$A256,$A256),_xll.BDH(config!$G$5,K$1,$A256,$A256))))</f>
        <v>#N/A Requesting Data...</v>
      </c>
      <c r="L256" s="8" t="str">
        <f>IF($A256="","",IF(ISNUMBER(FIND("IMPVOL",L$1)),_xll.BDH(config!$G$4,L$1,WORKDAY($A256,-1,config_Holiday_Calendar_US),WORKDAY($A256,-1,config_Holiday_Calendar_US)),IF(ISNUMBER(_xll.BDH(config!$G$4,L$1,$A256,$A256)),_xll.BDH(config!$G$4,L$1,$A256,$A256),_xll.BDH(config!$G$5,L$1,$A256,$A256))))</f>
        <v>#N/A Requesting Data...</v>
      </c>
      <c r="M256" s="8" t="str">
        <f>IF($A256="","",IF(ISNUMBER(FIND("IMPVOL",M$1)),_xll.BDH(config!$G$4,M$1,WORKDAY($A256,-1,config_Holiday_Calendar_US),WORKDAY($A256,-1,config_Holiday_Calendar_US)),IF(ISNUMBER(_xll.BDH(config!$G$4,M$1,$A256,$A256)),_xll.BDH(config!$G$4,M$1,$A256,$A256),_xll.BDH(config!$G$5,M$1,$A256,$A256))))</f>
        <v>#N/A Requesting Data...</v>
      </c>
      <c r="N256" s="8" t="str">
        <f>IF($A256="","",IF(ISNUMBER(FIND("IMPVOL",N$1)),_xll.BDH(config!$G$4,N$1,WORKDAY($A256,-1,config_Holiday_Calendar_US),WORKDAY($A256,-1,config_Holiday_Calendar_US)),IF(ISNUMBER(_xll.BDH(config!$G$4,N$1,$A256,$A256)),_xll.BDH(config!$G$4,N$1,$A256,$A256),_xll.BDH(config!$G$5,N$1,$A256,$A256))))</f>
        <v>#N/A Requesting Data...</v>
      </c>
      <c r="O256" s="8" t="str">
        <f>IF($A256="","",IF(ISNUMBER(FIND("IMPVOL",O$1)),_xll.BDH(config!$G$4,O$1,WORKDAY($A256,-1,config_Holiday_Calendar_US),WORKDAY($A256,-1,config_Holiday_Calendar_US)),IF(ISNUMBER(_xll.BDH(config!$G$4,O$1,$A256,$A256)),_xll.BDH(config!$G$4,O$1,$A256,$A256),_xll.BDH(config!$G$5,O$1,$A256,$A256))))</f>
        <v>#N/A Requesting Data...</v>
      </c>
      <c r="P256" s="8" t="str">
        <f>IF($A256="","",IF(ISNUMBER(FIND("IMPVOL",P$1)),_xll.BDH(config!$G$4,P$1,WORKDAY($A256,-1,config_Holiday_Calendar_US),WORKDAY($A256,-1,config_Holiday_Calendar_US)),IF(ISNUMBER(_xll.BDH(config!$G$4,P$1,$A256,$A256)),_xll.BDH(config!$G$4,P$1,$A256,$A256),_xll.BDH(config!$G$5,P$1,$A256,$A256))))</f>
        <v>#N/A Requesting Data...</v>
      </c>
      <c r="Q256" s="8">
        <f>IF($A256="","",IF(ISNUMBER(FIND("IMPVOL",Q$1)),_xll.BDH(config!$G$4,Q$1,WORKDAY($A256,-1,config_Holiday_Calendar_US),WORKDAY($A256,-1,config_Holiday_Calendar_US)),IF(ISNUMBER(_xll.BDH(config!$G$4,Q$1,$A256,$A256)),_xll.BDH(config!$G$4,Q$1,$A256,$A256),_xll.BDH(config!$G$5,Q$1,$A256,$A256))))</f>
        <v>34.700000000000003</v>
      </c>
      <c r="R256" s="8">
        <f>IF($A256="","",IF(ISNUMBER(FIND("IMPVOL",R$1)),_xll.BDH(config!$G$4,R$1,WORKDAY($A256,-1,config_Holiday_Calendar_US),WORKDAY($A256,-1,config_Holiday_Calendar_US)),IF(ISNUMBER(_xll.BDH(config!$G$4,R$1,$A256,$A256)),_xll.BDH(config!$G$4,R$1,$A256,$A256),_xll.BDH(config!$G$5,R$1,$A256,$A256))))</f>
        <v>43.43</v>
      </c>
      <c r="S256" s="8" t="str">
        <f>IF($A256="","",IF(ISNUMBER(FIND("IMPVOL",S$1)),_xll.BDH(config!$G$4,S$1,WORKDAY($A256,-1,config_Holiday_Calendar_US),WORKDAY($A256,-1,config_Holiday_Calendar_US)),IF(ISNUMBER(_xll.BDH(config!$G$4,S$1,$A256,$A256)),_xll.BDH(config!$G$4,S$1,$A256,$A256),_xll.BDH(config!$G$5,S$1,$A256,$A256))))</f>
        <v>#N/A Requesting Data...</v>
      </c>
      <c r="T256" s="8" t="str">
        <f>IF($A256="","",IF(ISNUMBER(FIND("IMPVOL",T$1)),_xll.BDH(config!$G$4,T$1,WORKDAY($A256,-1,config_Holiday_Calendar_US),WORKDAY($A256,-1,config_Holiday_Calendar_US)),IF(ISNUMBER(_xll.BDH(config!$G$4,T$1,$A256,$A256)),_xll.BDH(config!$G$4,T$1,$A256,$A256),_xll.BDH(config!$G$5,T$1,$A256,$A256))))</f>
        <v>#N/A Requesting Data...</v>
      </c>
      <c r="U256" s="8" t="str">
        <f>IF($A256="","",IF(ISNUMBER(FIND("IMPVOL",U$1)),_xll.BDH(config!$G$4,U$1,WORKDAY($A256,-1,config_Holiday_Calendar_US),WORKDAY($A256,-1,config_Holiday_Calendar_US)),IF(ISNUMBER(_xll.BDH(config!$G$4,U$1,$A256,$A256)),_xll.BDH(config!$G$4,U$1,$A256,$A256),_xll.BDH(config!$G$5,U$1,$A256,$A256))))</f>
        <v>#N/A Requesting Data...</v>
      </c>
      <c r="V256" s="8" t="str">
        <f>IF($A256="","",IF(ISNUMBER(FIND("IMPVOL",V$1)),_xll.BDH(config!$G$4,V$1,WORKDAY($A256,-1,config_Holiday_Calendar_US),WORKDAY($A256,-1,config_Holiday_Calendar_US)),IF(ISNUMBER(_xll.BDH(config!$G$4,V$1,$A256,$A256)),_xll.BDH(config!$G$4,V$1,$A256,$A256),_xll.BDH(config!$G$5,V$1,$A256,$A256))))</f>
        <v>#N/A Requesting Data...</v>
      </c>
      <c r="W256" s="8" t="str">
        <f>IF($A256="","",IF(ISNUMBER(FIND("IMPVOL",W$1)),_xll.BDH(config!$G$4,W$1,WORKDAY($A256,-1,config_Holiday_Calendar_US),WORKDAY($A256,-1,config_Holiday_Calendar_US)),IF(ISNUMBER(_xll.BDH(config!$G$4,W$1,$A256,$A256)),_xll.BDH(config!$G$4,W$1,$A256,$A256),_xll.BDH(config!$G$5,W$1,$A256,$A256))))</f>
        <v>#N/A Requesting Data...</v>
      </c>
    </row>
    <row r="257" spans="1:23" x14ac:dyDescent="0.2">
      <c r="A257" s="9">
        <f>IF(A256="","",IF(WORKDAY(A256,-1,config_Holiday_Calendar_US)&lt;config!$I$10,"",WORKDAY(A256,-1,config_Holiday_Calendar_US)))</f>
        <v>42461</v>
      </c>
      <c r="B257" s="8" t="e">
        <f t="shared" si="3"/>
        <v>#VALUE!</v>
      </c>
      <c r="C257" s="8" t="str">
        <f>IF(A257="","",_xll.BDH(config!$H$4,C$1,$A257,$A257))</f>
        <v>#N/A Requesting Data...</v>
      </c>
      <c r="D257" s="8" t="str">
        <f>IF($A257="","",_xll.BDH(config!$H$4,D$1,$A257,$A257))</f>
        <v>#N/A Requesting Data...</v>
      </c>
      <c r="E257" s="8">
        <f>IF($A257="","",IF(ISNUMBER(FIND("IMPVOL",E$1)),_xll.BDH(config!$G$4,E$1,WORKDAY($A257,-1,config_Holiday_Calendar_US),WORKDAY($A257,-1,config_Holiday_Calendar_US)),IF(ISNUMBER(_xll.BDH(config!$G$4,E$1,$A257,$A257)),_xll.BDH(config!$G$4,E$1,$A257,$A257),_xll.BDH(config!$G$5,E$1,$A257,$A257))))</f>
        <v>38.14</v>
      </c>
      <c r="F257" s="8">
        <f>IF($A257="","",IF(ISNUMBER(FIND("IMPVOL",F$1)),_xll.BDH(config!$G$4,F$1,WORKDAY($A257,-1,config_Holiday_Calendar_US),WORKDAY($A257,-1,config_Holiday_Calendar_US)),IF(ISNUMBER(_xll.BDH(config!$G$4,F$1,$A257,$A257)),_xll.BDH(config!$G$4,F$1,$A257,$A257),_xll.BDH(config!$G$5,F$1,$A257,$A257))))</f>
        <v>38.56</v>
      </c>
      <c r="G257" s="8">
        <f>IF($A257="","",IF(ISNUMBER(FIND("IMPVOL",G$1)),_xll.BDH(config!$G$4,G$1,WORKDAY($A257,-1,config_Holiday_Calendar_US),WORKDAY($A257,-1,config_Holiday_Calendar_US)),IF(ISNUMBER(_xll.BDH(config!$G$4,G$1,$A257,$A257)),_xll.BDH(config!$G$4,G$1,$A257,$A257),_xll.BDH(config!$G$5,G$1,$A257,$A257))))</f>
        <v>38.07</v>
      </c>
      <c r="H257" s="8">
        <f>IF($A257="","",IF(ISNUMBER(FIND("IMPVOL",H$1)),_xll.BDH(config!$G$4,H$1,WORKDAY($A257,-1,config_Holiday_Calendar_US),WORKDAY($A257,-1,config_Holiday_Calendar_US)),IF(ISNUMBER(_xll.BDH(config!$G$4,H$1,$A257,$A257)),_xll.BDH(config!$G$4,H$1,$A257,$A257),_xll.BDH(config!$G$5,H$1,$A257,$A257))))</f>
        <v>131459</v>
      </c>
      <c r="I257" s="8" t="str">
        <f>IF($A257="","",IF(ISNUMBER(FIND("IMPVOL",I$1)),_xll.BDH(config!$G$4,I$1,WORKDAY($A257,-1,config_Holiday_Calendar_US),WORKDAY($A257,-1,config_Holiday_Calendar_US)),IF(ISNUMBER(_xll.BDH(config!$G$4,I$1,$A257,$A257)),_xll.BDH(config!$G$4,I$1,$A257,$A257),_xll.BDH(config!$G$5,I$1,$A257,$A257))))</f>
        <v>#N/A Requesting Data...</v>
      </c>
      <c r="J257" s="8" t="str">
        <f>IF($A257="","",IF(ISNUMBER(FIND("IMPVOL",J$1)),_xll.BDH(config!$G$4,J$1,WORKDAY($A257,-1,config_Holiday_Calendar_US),WORKDAY($A257,-1,config_Holiday_Calendar_US)),IF(ISNUMBER(_xll.BDH(config!$G$4,J$1,$A257,$A257)),_xll.BDH(config!$G$4,J$1,$A257,$A257),_xll.BDH(config!$G$5,J$1,$A257,$A257))))</f>
        <v>#N/A Requesting Data...</v>
      </c>
      <c r="K257" s="8" t="str">
        <f>IF($A257="","",IF(ISNUMBER(FIND("IMPVOL",K$1)),_xll.BDH(config!$G$4,K$1,WORKDAY($A257,-1,config_Holiday_Calendar_US),WORKDAY($A257,-1,config_Holiday_Calendar_US)),IF(ISNUMBER(_xll.BDH(config!$G$4,K$1,$A257,$A257)),_xll.BDH(config!$G$4,K$1,$A257,$A257),_xll.BDH(config!$G$5,K$1,$A257,$A257))))</f>
        <v>#N/A Requesting Data...</v>
      </c>
      <c r="L257" s="8" t="str">
        <f>IF($A257="","",IF(ISNUMBER(FIND("IMPVOL",L$1)),_xll.BDH(config!$G$4,L$1,WORKDAY($A257,-1,config_Holiday_Calendar_US),WORKDAY($A257,-1,config_Holiday_Calendar_US)),IF(ISNUMBER(_xll.BDH(config!$G$4,L$1,$A257,$A257)),_xll.BDH(config!$G$4,L$1,$A257,$A257),_xll.BDH(config!$G$5,L$1,$A257,$A257))))</f>
        <v>#N/A Requesting Data...</v>
      </c>
      <c r="M257" s="8" t="str">
        <f>IF($A257="","",IF(ISNUMBER(FIND("IMPVOL",M$1)),_xll.BDH(config!$G$4,M$1,WORKDAY($A257,-1,config_Holiday_Calendar_US),WORKDAY($A257,-1,config_Holiday_Calendar_US)),IF(ISNUMBER(_xll.BDH(config!$G$4,M$1,$A257,$A257)),_xll.BDH(config!$G$4,M$1,$A257,$A257),_xll.BDH(config!$G$5,M$1,$A257,$A257))))</f>
        <v>#N/A Requesting Data...</v>
      </c>
      <c r="N257" s="8" t="str">
        <f>IF($A257="","",IF(ISNUMBER(FIND("IMPVOL",N$1)),_xll.BDH(config!$G$4,N$1,WORKDAY($A257,-1,config_Holiday_Calendar_US),WORKDAY($A257,-1,config_Holiday_Calendar_US)),IF(ISNUMBER(_xll.BDH(config!$G$4,N$1,$A257,$A257)),_xll.BDH(config!$G$4,N$1,$A257,$A257),_xll.BDH(config!$G$5,N$1,$A257,$A257))))</f>
        <v>#N/A Requesting Data...</v>
      </c>
      <c r="O257" s="8" t="str">
        <f>IF($A257="","",IF(ISNUMBER(FIND("IMPVOL",O$1)),_xll.BDH(config!$G$4,O$1,WORKDAY($A257,-1,config_Holiday_Calendar_US),WORKDAY($A257,-1,config_Holiday_Calendar_US)),IF(ISNUMBER(_xll.BDH(config!$G$4,O$1,$A257,$A257)),_xll.BDH(config!$G$4,O$1,$A257,$A257),_xll.BDH(config!$G$5,O$1,$A257,$A257))))</f>
        <v>#N/A Requesting Data...</v>
      </c>
      <c r="P257" s="8" t="str">
        <f>IF($A257="","",IF(ISNUMBER(FIND("IMPVOL",P$1)),_xll.BDH(config!$G$4,P$1,WORKDAY($A257,-1,config_Holiday_Calendar_US),WORKDAY($A257,-1,config_Holiday_Calendar_US)),IF(ISNUMBER(_xll.BDH(config!$G$4,P$1,$A257,$A257)),_xll.BDH(config!$G$4,P$1,$A257,$A257),_xll.BDH(config!$G$5,P$1,$A257,$A257))))</f>
        <v>#N/A Requesting Data...</v>
      </c>
      <c r="Q257" s="8">
        <f>IF($A257="","",IF(ISNUMBER(FIND("IMPVOL",Q$1)),_xll.BDH(config!$G$4,Q$1,WORKDAY($A257,-1,config_Holiday_Calendar_US),WORKDAY($A257,-1,config_Holiday_Calendar_US)),IF(ISNUMBER(_xll.BDH(config!$G$4,Q$1,$A257,$A257)),_xll.BDH(config!$G$4,Q$1,$A257,$A257),_xll.BDH(config!$G$5,Q$1,$A257,$A257))))</f>
        <v>34.520000000000003</v>
      </c>
      <c r="R257" s="8">
        <f>IF($A257="","",IF(ISNUMBER(FIND("IMPVOL",R$1)),_xll.BDH(config!$G$4,R$1,WORKDAY($A257,-1,config_Holiday_Calendar_US),WORKDAY($A257,-1,config_Holiday_Calendar_US)),IF(ISNUMBER(_xll.BDH(config!$G$4,R$1,$A257,$A257)),_xll.BDH(config!$G$4,R$1,$A257,$A257),_xll.BDH(config!$G$5,R$1,$A257,$A257))))</f>
        <v>44.23</v>
      </c>
      <c r="S257" s="8" t="str">
        <f>IF($A257="","",IF(ISNUMBER(FIND("IMPVOL",S$1)),_xll.BDH(config!$G$4,S$1,WORKDAY($A257,-1,config_Holiday_Calendar_US),WORKDAY($A257,-1,config_Holiday_Calendar_US)),IF(ISNUMBER(_xll.BDH(config!$G$4,S$1,$A257,$A257)),_xll.BDH(config!$G$4,S$1,$A257,$A257),_xll.BDH(config!$G$5,S$1,$A257,$A257))))</f>
        <v>#N/A Requesting Data...</v>
      </c>
      <c r="T257" s="8" t="str">
        <f>IF($A257="","",IF(ISNUMBER(FIND("IMPVOL",T$1)),_xll.BDH(config!$G$4,T$1,WORKDAY($A257,-1,config_Holiday_Calendar_US),WORKDAY($A257,-1,config_Holiday_Calendar_US)),IF(ISNUMBER(_xll.BDH(config!$G$4,T$1,$A257,$A257)),_xll.BDH(config!$G$4,T$1,$A257,$A257),_xll.BDH(config!$G$5,T$1,$A257,$A257))))</f>
        <v>#N/A Requesting Data...</v>
      </c>
      <c r="U257" s="8" t="str">
        <f>IF($A257="","",IF(ISNUMBER(FIND("IMPVOL",U$1)),_xll.BDH(config!$G$4,U$1,WORKDAY($A257,-1,config_Holiday_Calendar_US),WORKDAY($A257,-1,config_Holiday_Calendar_US)),IF(ISNUMBER(_xll.BDH(config!$G$4,U$1,$A257,$A257)),_xll.BDH(config!$G$4,U$1,$A257,$A257),_xll.BDH(config!$G$5,U$1,$A257,$A257))))</f>
        <v>#N/A Requesting Data...</v>
      </c>
      <c r="V257" s="8" t="str">
        <f>IF($A257="","",IF(ISNUMBER(FIND("IMPVOL",V$1)),_xll.BDH(config!$G$4,V$1,WORKDAY($A257,-1,config_Holiday_Calendar_US),WORKDAY($A257,-1,config_Holiday_Calendar_US)),IF(ISNUMBER(_xll.BDH(config!$G$4,V$1,$A257,$A257)),_xll.BDH(config!$G$4,V$1,$A257,$A257),_xll.BDH(config!$G$5,V$1,$A257,$A257))))</f>
        <v>#N/A Requesting Data...</v>
      </c>
      <c r="W257" s="8" t="str">
        <f>IF($A257="","",IF(ISNUMBER(FIND("IMPVOL",W$1)),_xll.BDH(config!$G$4,W$1,WORKDAY($A257,-1,config_Holiday_Calendar_US),WORKDAY($A257,-1,config_Holiday_Calendar_US)),IF(ISNUMBER(_xll.BDH(config!$G$4,W$1,$A257,$A257)),_xll.BDH(config!$G$4,W$1,$A257,$A257),_xll.BDH(config!$G$5,W$1,$A257,$A257))))</f>
        <v>#N/A Requesting Data...</v>
      </c>
    </row>
    <row r="258" spans="1:23" x14ac:dyDescent="0.2">
      <c r="A258" s="9">
        <f>IF(A257="","",IF(WORKDAY(A257,-1,config_Holiday_Calendar_US)&lt;config!$I$10,"",WORKDAY(A257,-1,config_Holiday_Calendar_US)))</f>
        <v>42460</v>
      </c>
      <c r="B258" s="8" t="e">
        <f t="shared" si="3"/>
        <v>#VALUE!</v>
      </c>
      <c r="C258" s="8" t="str">
        <f>IF(A258="","",_xll.BDH(config!$H$4,C$1,$A258,$A258))</f>
        <v>#N/A Requesting Data...</v>
      </c>
      <c r="D258" s="8" t="str">
        <f>IF($A258="","",_xll.BDH(config!$H$4,D$1,$A258,$A258))</f>
        <v>#N/A Requesting Data...</v>
      </c>
      <c r="E258" s="8">
        <f>IF($A258="","",IF(ISNUMBER(FIND("IMPVOL",E$1)),_xll.BDH(config!$G$4,E$1,WORKDAY($A258,-1,config_Holiday_Calendar_US),WORKDAY($A258,-1,config_Holiday_Calendar_US)),IF(ISNUMBER(_xll.BDH(config!$G$4,E$1,$A258,$A258)),_xll.BDH(config!$G$4,E$1,$A258,$A258),_xll.BDH(config!$G$5,E$1,$A258,$A258))))</f>
        <v>38.299999999999997</v>
      </c>
      <c r="F258" s="8">
        <f>IF($A258="","",IF(ISNUMBER(FIND("IMPVOL",F$1)),_xll.BDH(config!$G$4,F$1,WORKDAY($A258,-1,config_Holiday_Calendar_US),WORKDAY($A258,-1,config_Holiday_Calendar_US)),IF(ISNUMBER(_xll.BDH(config!$G$4,F$1,$A258,$A258)),_xll.BDH(config!$G$4,F$1,$A258,$A258),_xll.BDH(config!$G$5,F$1,$A258,$A258))))</f>
        <v>39.04</v>
      </c>
      <c r="G258" s="8">
        <f>IF($A258="","",IF(ISNUMBER(FIND("IMPVOL",G$1)),_xll.BDH(config!$G$4,G$1,WORKDAY($A258,-1,config_Holiday_Calendar_US),WORKDAY($A258,-1,config_Holiday_Calendar_US)),IF(ISNUMBER(_xll.BDH(config!$G$4,G$1,$A258,$A258)),_xll.BDH(config!$G$4,G$1,$A258,$A258),_xll.BDH(config!$G$5,G$1,$A258,$A258))))</f>
        <v>38.99</v>
      </c>
      <c r="H258" s="8">
        <f>IF($A258="","",IF(ISNUMBER(FIND("IMPVOL",H$1)),_xll.BDH(config!$G$4,H$1,WORKDAY($A258,-1,config_Holiday_Calendar_US),WORKDAY($A258,-1,config_Holiday_Calendar_US)),IF(ISNUMBER(_xll.BDH(config!$G$4,H$1,$A258,$A258)),_xll.BDH(config!$G$4,H$1,$A258,$A258),_xll.BDH(config!$G$5,H$1,$A258,$A258))))</f>
        <v>151953</v>
      </c>
      <c r="I258" s="8" t="str">
        <f>IF($A258="","",IF(ISNUMBER(FIND("IMPVOL",I$1)),_xll.BDH(config!$G$4,I$1,WORKDAY($A258,-1,config_Holiday_Calendar_US),WORKDAY($A258,-1,config_Holiday_Calendar_US)),IF(ISNUMBER(_xll.BDH(config!$G$4,I$1,$A258,$A258)),_xll.BDH(config!$G$4,I$1,$A258,$A258),_xll.BDH(config!$G$5,I$1,$A258,$A258))))</f>
        <v>#N/A Requesting Data...</v>
      </c>
      <c r="J258" s="8" t="str">
        <f>IF($A258="","",IF(ISNUMBER(FIND("IMPVOL",J$1)),_xll.BDH(config!$G$4,J$1,WORKDAY($A258,-1,config_Holiday_Calendar_US),WORKDAY($A258,-1,config_Holiday_Calendar_US)),IF(ISNUMBER(_xll.BDH(config!$G$4,J$1,$A258,$A258)),_xll.BDH(config!$G$4,J$1,$A258,$A258),_xll.BDH(config!$G$5,J$1,$A258,$A258))))</f>
        <v>#N/A Requesting Data...</v>
      </c>
      <c r="K258" s="8" t="str">
        <f>IF($A258="","",IF(ISNUMBER(FIND("IMPVOL",K$1)),_xll.BDH(config!$G$4,K$1,WORKDAY($A258,-1,config_Holiday_Calendar_US),WORKDAY($A258,-1,config_Holiday_Calendar_US)),IF(ISNUMBER(_xll.BDH(config!$G$4,K$1,$A258,$A258)),_xll.BDH(config!$G$4,K$1,$A258,$A258),_xll.BDH(config!$G$5,K$1,$A258,$A258))))</f>
        <v>#N/A Requesting Data...</v>
      </c>
      <c r="L258" s="8" t="str">
        <f>IF($A258="","",IF(ISNUMBER(FIND("IMPVOL",L$1)),_xll.BDH(config!$G$4,L$1,WORKDAY($A258,-1,config_Holiday_Calendar_US),WORKDAY($A258,-1,config_Holiday_Calendar_US)),IF(ISNUMBER(_xll.BDH(config!$G$4,L$1,$A258,$A258)),_xll.BDH(config!$G$4,L$1,$A258,$A258),_xll.BDH(config!$G$5,L$1,$A258,$A258))))</f>
        <v>#N/A Requesting Data...</v>
      </c>
      <c r="M258" s="8" t="str">
        <f>IF($A258="","",IF(ISNUMBER(FIND("IMPVOL",M$1)),_xll.BDH(config!$G$4,M$1,WORKDAY($A258,-1,config_Holiday_Calendar_US),WORKDAY($A258,-1,config_Holiday_Calendar_US)),IF(ISNUMBER(_xll.BDH(config!$G$4,M$1,$A258,$A258)),_xll.BDH(config!$G$4,M$1,$A258,$A258),_xll.BDH(config!$G$5,M$1,$A258,$A258))))</f>
        <v>#N/A Requesting Data...</v>
      </c>
      <c r="N258" s="8" t="str">
        <f>IF($A258="","",IF(ISNUMBER(FIND("IMPVOL",N$1)),_xll.BDH(config!$G$4,N$1,WORKDAY($A258,-1,config_Holiday_Calendar_US),WORKDAY($A258,-1,config_Holiday_Calendar_US)),IF(ISNUMBER(_xll.BDH(config!$G$4,N$1,$A258,$A258)),_xll.BDH(config!$G$4,N$1,$A258,$A258),_xll.BDH(config!$G$5,N$1,$A258,$A258))))</f>
        <v>#N/A Requesting Data...</v>
      </c>
      <c r="O258" s="8" t="str">
        <f>IF($A258="","",IF(ISNUMBER(FIND("IMPVOL",O$1)),_xll.BDH(config!$G$4,O$1,WORKDAY($A258,-1,config_Holiday_Calendar_US),WORKDAY($A258,-1,config_Holiday_Calendar_US)),IF(ISNUMBER(_xll.BDH(config!$G$4,O$1,$A258,$A258)),_xll.BDH(config!$G$4,O$1,$A258,$A258),_xll.BDH(config!$G$5,O$1,$A258,$A258))))</f>
        <v>#N/A Requesting Data...</v>
      </c>
      <c r="P258" s="8" t="str">
        <f>IF($A258="","",IF(ISNUMBER(FIND("IMPVOL",P$1)),_xll.BDH(config!$G$4,P$1,WORKDAY($A258,-1,config_Holiday_Calendar_US),WORKDAY($A258,-1,config_Holiday_Calendar_US)),IF(ISNUMBER(_xll.BDH(config!$G$4,P$1,$A258,$A258)),_xll.BDH(config!$G$4,P$1,$A258,$A258),_xll.BDH(config!$G$5,P$1,$A258,$A258))))</f>
        <v>#N/A Requesting Data...</v>
      </c>
      <c r="Q258" s="8">
        <f>IF($A258="","",IF(ISNUMBER(FIND("IMPVOL",Q$1)),_xll.BDH(config!$G$4,Q$1,WORKDAY($A258,-1,config_Holiday_Calendar_US),WORKDAY($A258,-1,config_Holiday_Calendar_US)),IF(ISNUMBER(_xll.BDH(config!$G$4,Q$1,$A258,$A258)),_xll.BDH(config!$G$4,Q$1,$A258,$A258),_xll.BDH(config!$G$5,Q$1,$A258,$A258))))</f>
        <v>29.12</v>
      </c>
      <c r="R258" s="8">
        <f>IF($A258="","",IF(ISNUMBER(FIND("IMPVOL",R$1)),_xll.BDH(config!$G$4,R$1,WORKDAY($A258,-1,config_Holiday_Calendar_US),WORKDAY($A258,-1,config_Holiday_Calendar_US)),IF(ISNUMBER(_xll.BDH(config!$G$4,R$1,$A258,$A258)),_xll.BDH(config!$G$4,R$1,$A258,$A258),_xll.BDH(config!$G$5,R$1,$A258,$A258))))</f>
        <v>43.92</v>
      </c>
      <c r="S258" s="8" t="str">
        <f>IF($A258="","",IF(ISNUMBER(FIND("IMPVOL",S$1)),_xll.BDH(config!$G$4,S$1,WORKDAY($A258,-1,config_Holiday_Calendar_US),WORKDAY($A258,-1,config_Holiday_Calendar_US)),IF(ISNUMBER(_xll.BDH(config!$G$4,S$1,$A258,$A258)),_xll.BDH(config!$G$4,S$1,$A258,$A258),_xll.BDH(config!$G$5,S$1,$A258,$A258))))</f>
        <v>#N/A Requesting Data...</v>
      </c>
      <c r="T258" s="8" t="str">
        <f>IF($A258="","",IF(ISNUMBER(FIND("IMPVOL",T$1)),_xll.BDH(config!$G$4,T$1,WORKDAY($A258,-1,config_Holiday_Calendar_US),WORKDAY($A258,-1,config_Holiday_Calendar_US)),IF(ISNUMBER(_xll.BDH(config!$G$4,T$1,$A258,$A258)),_xll.BDH(config!$G$4,T$1,$A258,$A258),_xll.BDH(config!$G$5,T$1,$A258,$A258))))</f>
        <v>#N/A Requesting Data...</v>
      </c>
      <c r="U258" s="8" t="str">
        <f>IF($A258="","",IF(ISNUMBER(FIND("IMPVOL",U$1)),_xll.BDH(config!$G$4,U$1,WORKDAY($A258,-1,config_Holiday_Calendar_US),WORKDAY($A258,-1,config_Holiday_Calendar_US)),IF(ISNUMBER(_xll.BDH(config!$G$4,U$1,$A258,$A258)),_xll.BDH(config!$G$4,U$1,$A258,$A258),_xll.BDH(config!$G$5,U$1,$A258,$A258))))</f>
        <v>#N/A Requesting Data...</v>
      </c>
      <c r="V258" s="8" t="str">
        <f>IF($A258="","",IF(ISNUMBER(FIND("IMPVOL",V$1)),_xll.BDH(config!$G$4,V$1,WORKDAY($A258,-1,config_Holiday_Calendar_US),WORKDAY($A258,-1,config_Holiday_Calendar_US)),IF(ISNUMBER(_xll.BDH(config!$G$4,V$1,$A258,$A258)),_xll.BDH(config!$G$4,V$1,$A258,$A258),_xll.BDH(config!$G$5,V$1,$A258,$A258))))</f>
        <v>#N/A Requesting Data...</v>
      </c>
      <c r="W258" s="8" t="str">
        <f>IF($A258="","",IF(ISNUMBER(FIND("IMPVOL",W$1)),_xll.BDH(config!$G$4,W$1,WORKDAY($A258,-1,config_Holiday_Calendar_US),WORKDAY($A258,-1,config_Holiday_Calendar_US)),IF(ISNUMBER(_xll.BDH(config!$G$4,W$1,$A258,$A258)),_xll.BDH(config!$G$4,W$1,$A258,$A258),_xll.BDH(config!$G$5,W$1,$A258,$A258))))</f>
        <v>#N/A Requesting Data...</v>
      </c>
    </row>
    <row r="259" spans="1:23" x14ac:dyDescent="0.2">
      <c r="A259" s="9">
        <f>IF(A258="","",IF(WORKDAY(A258,-1,config_Holiday_Calendar_US)&lt;config!$I$10,"",WORKDAY(A258,-1,config_Holiday_Calendar_US)))</f>
        <v>42459</v>
      </c>
      <c r="B259" s="8" t="e">
        <f t="shared" ref="B259:B322" si="4">IF(A259="","",IF(SIGN(C259)=1,1,0))</f>
        <v>#VALUE!</v>
      </c>
      <c r="C259" s="8" t="str">
        <f>IF(A259="","",_xll.BDH(config!$H$4,C$1,$A259,$A259))</f>
        <v>#N/A Requesting Data...</v>
      </c>
      <c r="D259" s="8" t="str">
        <f>IF($A259="","",_xll.BDH(config!$H$4,D$1,$A259,$A259))</f>
        <v>#N/A Requesting Data...</v>
      </c>
      <c r="E259" s="8">
        <f>IF($A259="","",IF(ISNUMBER(FIND("IMPVOL",E$1)),_xll.BDH(config!$G$4,E$1,WORKDAY($A259,-1,config_Holiday_Calendar_US),WORKDAY($A259,-1,config_Holiday_Calendar_US)),IF(ISNUMBER(_xll.BDH(config!$G$4,E$1,$A259,$A259)),_xll.BDH(config!$G$4,E$1,$A259,$A259),_xll.BDH(config!$G$5,E$1,$A259,$A259))))</f>
        <v>38.520000000000003</v>
      </c>
      <c r="F259" s="8">
        <f>IF($A259="","",IF(ISNUMBER(FIND("IMPVOL",F$1)),_xll.BDH(config!$G$4,F$1,WORKDAY($A259,-1,config_Holiday_Calendar_US),WORKDAY($A259,-1,config_Holiday_Calendar_US)),IF(ISNUMBER(_xll.BDH(config!$G$4,F$1,$A259,$A259)),_xll.BDH(config!$G$4,F$1,$A259,$A259),_xll.BDH(config!$G$5,F$1,$A259,$A259))))</f>
        <v>39.85</v>
      </c>
      <c r="G259" s="8">
        <f>IF($A259="","",IF(ISNUMBER(FIND("IMPVOL",G$1)),_xll.BDH(config!$G$4,G$1,WORKDAY($A259,-1,config_Holiday_Calendar_US),WORKDAY($A259,-1,config_Holiday_Calendar_US)),IF(ISNUMBER(_xll.BDH(config!$G$4,G$1,$A259,$A259)),_xll.BDH(config!$G$4,G$1,$A259,$A259),_xll.BDH(config!$G$5,G$1,$A259,$A259))))</f>
        <v>39.479999999999997</v>
      </c>
      <c r="H259" s="8">
        <f>IF($A259="","",IF(ISNUMBER(FIND("IMPVOL",H$1)),_xll.BDH(config!$G$4,H$1,WORKDAY($A259,-1,config_Holiday_Calendar_US),WORKDAY($A259,-1,config_Holiday_Calendar_US)),IF(ISNUMBER(_xll.BDH(config!$G$4,H$1,$A259,$A259)),_xll.BDH(config!$G$4,H$1,$A259,$A259),_xll.BDH(config!$G$5,H$1,$A259,$A259))))</f>
        <v>136570</v>
      </c>
      <c r="I259" s="8" t="str">
        <f>IF($A259="","",IF(ISNUMBER(FIND("IMPVOL",I$1)),_xll.BDH(config!$G$4,I$1,WORKDAY($A259,-1,config_Holiday_Calendar_US),WORKDAY($A259,-1,config_Holiday_Calendar_US)),IF(ISNUMBER(_xll.BDH(config!$G$4,I$1,$A259,$A259)),_xll.BDH(config!$G$4,I$1,$A259,$A259),_xll.BDH(config!$G$5,I$1,$A259,$A259))))</f>
        <v>#N/A Requesting Data...</v>
      </c>
      <c r="J259" s="8" t="str">
        <f>IF($A259="","",IF(ISNUMBER(FIND("IMPVOL",J$1)),_xll.BDH(config!$G$4,J$1,WORKDAY($A259,-1,config_Holiday_Calendar_US),WORKDAY($A259,-1,config_Holiday_Calendar_US)),IF(ISNUMBER(_xll.BDH(config!$G$4,J$1,$A259,$A259)),_xll.BDH(config!$G$4,J$1,$A259,$A259),_xll.BDH(config!$G$5,J$1,$A259,$A259))))</f>
        <v>#N/A Requesting Data...</v>
      </c>
      <c r="K259" s="8" t="str">
        <f>IF($A259="","",IF(ISNUMBER(FIND("IMPVOL",K$1)),_xll.BDH(config!$G$4,K$1,WORKDAY($A259,-1,config_Holiday_Calendar_US),WORKDAY($A259,-1,config_Holiday_Calendar_US)),IF(ISNUMBER(_xll.BDH(config!$G$4,K$1,$A259,$A259)),_xll.BDH(config!$G$4,K$1,$A259,$A259),_xll.BDH(config!$G$5,K$1,$A259,$A259))))</f>
        <v>#N/A Requesting Data...</v>
      </c>
      <c r="L259" s="8" t="str">
        <f>IF($A259="","",IF(ISNUMBER(FIND("IMPVOL",L$1)),_xll.BDH(config!$G$4,L$1,WORKDAY($A259,-1,config_Holiday_Calendar_US),WORKDAY($A259,-1,config_Holiday_Calendar_US)),IF(ISNUMBER(_xll.BDH(config!$G$4,L$1,$A259,$A259)),_xll.BDH(config!$G$4,L$1,$A259,$A259),_xll.BDH(config!$G$5,L$1,$A259,$A259))))</f>
        <v>#N/A Requesting Data...</v>
      </c>
      <c r="M259" s="8" t="str">
        <f>IF($A259="","",IF(ISNUMBER(FIND("IMPVOL",M$1)),_xll.BDH(config!$G$4,M$1,WORKDAY($A259,-1,config_Holiday_Calendar_US),WORKDAY($A259,-1,config_Holiday_Calendar_US)),IF(ISNUMBER(_xll.BDH(config!$G$4,M$1,$A259,$A259)),_xll.BDH(config!$G$4,M$1,$A259,$A259),_xll.BDH(config!$G$5,M$1,$A259,$A259))))</f>
        <v>#N/A Requesting Data...</v>
      </c>
      <c r="N259" s="8" t="str">
        <f>IF($A259="","",IF(ISNUMBER(FIND("IMPVOL",N$1)),_xll.BDH(config!$G$4,N$1,WORKDAY($A259,-1,config_Holiday_Calendar_US),WORKDAY($A259,-1,config_Holiday_Calendar_US)),IF(ISNUMBER(_xll.BDH(config!$G$4,N$1,$A259,$A259)),_xll.BDH(config!$G$4,N$1,$A259,$A259),_xll.BDH(config!$G$5,N$1,$A259,$A259))))</f>
        <v>#N/A Requesting Data...</v>
      </c>
      <c r="O259" s="8" t="str">
        <f>IF($A259="","",IF(ISNUMBER(FIND("IMPVOL",O$1)),_xll.BDH(config!$G$4,O$1,WORKDAY($A259,-1,config_Holiday_Calendar_US),WORKDAY($A259,-1,config_Holiday_Calendar_US)),IF(ISNUMBER(_xll.BDH(config!$G$4,O$1,$A259,$A259)),_xll.BDH(config!$G$4,O$1,$A259,$A259),_xll.BDH(config!$G$5,O$1,$A259,$A259))))</f>
        <v>#N/A Requesting Data...</v>
      </c>
      <c r="P259" s="8" t="str">
        <f>IF($A259="","",IF(ISNUMBER(FIND("IMPVOL",P$1)),_xll.BDH(config!$G$4,P$1,WORKDAY($A259,-1,config_Holiday_Calendar_US),WORKDAY($A259,-1,config_Holiday_Calendar_US)),IF(ISNUMBER(_xll.BDH(config!$G$4,P$1,$A259,$A259)),_xll.BDH(config!$G$4,P$1,$A259,$A259),_xll.BDH(config!$G$5,P$1,$A259,$A259))))</f>
        <v>#N/A Requesting Data...</v>
      </c>
      <c r="Q259" s="8">
        <f>IF($A259="","",IF(ISNUMBER(FIND("IMPVOL",Q$1)),_xll.BDH(config!$G$4,Q$1,WORKDAY($A259,-1,config_Holiday_Calendar_US),WORKDAY($A259,-1,config_Holiday_Calendar_US)),IF(ISNUMBER(_xll.BDH(config!$G$4,Q$1,$A259,$A259)),_xll.BDH(config!$G$4,Q$1,$A259,$A259),_xll.BDH(config!$G$5,Q$1,$A259,$A259))))</f>
        <v>38.22</v>
      </c>
      <c r="R259" s="8">
        <f>IF($A259="","",IF(ISNUMBER(FIND("IMPVOL",R$1)),_xll.BDH(config!$G$4,R$1,WORKDAY($A259,-1,config_Holiday_Calendar_US),WORKDAY($A259,-1,config_Holiday_Calendar_US)),IF(ISNUMBER(_xll.BDH(config!$G$4,R$1,$A259,$A259)),_xll.BDH(config!$G$4,R$1,$A259,$A259),_xll.BDH(config!$G$5,R$1,$A259,$A259))))</f>
        <v>43.97</v>
      </c>
      <c r="S259" s="8" t="str">
        <f>IF($A259="","",IF(ISNUMBER(FIND("IMPVOL",S$1)),_xll.BDH(config!$G$4,S$1,WORKDAY($A259,-1,config_Holiday_Calendar_US),WORKDAY($A259,-1,config_Holiday_Calendar_US)),IF(ISNUMBER(_xll.BDH(config!$G$4,S$1,$A259,$A259)),_xll.BDH(config!$G$4,S$1,$A259,$A259),_xll.BDH(config!$G$5,S$1,$A259,$A259))))</f>
        <v>#N/A Requesting Data...</v>
      </c>
      <c r="T259" s="8" t="str">
        <f>IF($A259="","",IF(ISNUMBER(FIND("IMPVOL",T$1)),_xll.BDH(config!$G$4,T$1,WORKDAY($A259,-1,config_Holiday_Calendar_US),WORKDAY($A259,-1,config_Holiday_Calendar_US)),IF(ISNUMBER(_xll.BDH(config!$G$4,T$1,$A259,$A259)),_xll.BDH(config!$G$4,T$1,$A259,$A259),_xll.BDH(config!$G$5,T$1,$A259,$A259))))</f>
        <v>#N/A Requesting Data...</v>
      </c>
      <c r="U259" s="8" t="str">
        <f>IF($A259="","",IF(ISNUMBER(FIND("IMPVOL",U$1)),_xll.BDH(config!$G$4,U$1,WORKDAY($A259,-1,config_Holiday_Calendar_US),WORKDAY($A259,-1,config_Holiday_Calendar_US)),IF(ISNUMBER(_xll.BDH(config!$G$4,U$1,$A259,$A259)),_xll.BDH(config!$G$4,U$1,$A259,$A259),_xll.BDH(config!$G$5,U$1,$A259,$A259))))</f>
        <v>#N/A Requesting Data...</v>
      </c>
      <c r="V259" s="8" t="str">
        <f>IF($A259="","",IF(ISNUMBER(FIND("IMPVOL",V$1)),_xll.BDH(config!$G$4,V$1,WORKDAY($A259,-1,config_Holiday_Calendar_US),WORKDAY($A259,-1,config_Holiday_Calendar_US)),IF(ISNUMBER(_xll.BDH(config!$G$4,V$1,$A259,$A259)),_xll.BDH(config!$G$4,V$1,$A259,$A259),_xll.BDH(config!$G$5,V$1,$A259,$A259))))</f>
        <v>#N/A Requesting Data...</v>
      </c>
      <c r="W259" s="8" t="str">
        <f>IF($A259="","",IF(ISNUMBER(FIND("IMPVOL",W$1)),_xll.BDH(config!$G$4,W$1,WORKDAY($A259,-1,config_Holiday_Calendar_US),WORKDAY($A259,-1,config_Holiday_Calendar_US)),IF(ISNUMBER(_xll.BDH(config!$G$4,W$1,$A259,$A259)),_xll.BDH(config!$G$4,W$1,$A259,$A259),_xll.BDH(config!$G$5,W$1,$A259,$A259))))</f>
        <v>#N/A Requesting Data...</v>
      </c>
    </row>
    <row r="260" spans="1:23" x14ac:dyDescent="0.2">
      <c r="A260" s="9">
        <f>IF(A259="","",IF(WORKDAY(A259,-1,config_Holiday_Calendar_US)&lt;config!$I$10,"",WORKDAY(A259,-1,config_Holiday_Calendar_US)))</f>
        <v>42458</v>
      </c>
      <c r="B260" s="8" t="e">
        <f t="shared" si="4"/>
        <v>#VALUE!</v>
      </c>
      <c r="C260" s="8" t="str">
        <f>IF(A260="","",_xll.BDH(config!$H$4,C$1,$A260,$A260))</f>
        <v>#N/A Requesting Data...</v>
      </c>
      <c r="D260" s="8" t="str">
        <f>IF($A260="","",_xll.BDH(config!$H$4,D$1,$A260,$A260))</f>
        <v>#N/A Requesting Data...</v>
      </c>
      <c r="E260" s="8">
        <f>IF($A260="","",IF(ISNUMBER(FIND("IMPVOL",E$1)),_xll.BDH(config!$G$4,E$1,WORKDAY($A260,-1,config_Holiday_Calendar_US),WORKDAY($A260,-1,config_Holiday_Calendar_US)),IF(ISNUMBER(_xll.BDH(config!$G$4,E$1,$A260,$A260)),_xll.BDH(config!$G$4,E$1,$A260,$A260),_xll.BDH(config!$G$5,E$1,$A260,$A260))))</f>
        <v>39.32</v>
      </c>
      <c r="F260" s="8">
        <f>IF($A260="","",IF(ISNUMBER(FIND("IMPVOL",F$1)),_xll.BDH(config!$G$4,F$1,WORKDAY($A260,-1,config_Holiday_Calendar_US),WORKDAY($A260,-1,config_Holiday_Calendar_US)),IF(ISNUMBER(_xll.BDH(config!$G$4,F$1,$A260,$A260)),_xll.BDH(config!$G$4,F$1,$A260,$A260),_xll.BDH(config!$G$5,F$1,$A260,$A260))))</f>
        <v>39.479999999999997</v>
      </c>
      <c r="G260" s="8">
        <f>IF($A260="","",IF(ISNUMBER(FIND("IMPVOL",G$1)),_xll.BDH(config!$G$4,G$1,WORKDAY($A260,-1,config_Holiday_Calendar_US),WORKDAY($A260,-1,config_Holiday_Calendar_US)),IF(ISNUMBER(_xll.BDH(config!$G$4,G$1,$A260,$A260)),_xll.BDH(config!$G$4,G$1,$A260,$A260),_xll.BDH(config!$G$5,G$1,$A260,$A260))))</f>
        <v>39.130000000000003</v>
      </c>
      <c r="H260" s="8">
        <f>IF($A260="","",IF(ISNUMBER(FIND("IMPVOL",H$1)),_xll.BDH(config!$G$4,H$1,WORKDAY($A260,-1,config_Holiday_Calendar_US),WORKDAY($A260,-1,config_Holiday_Calendar_US)),IF(ISNUMBER(_xll.BDH(config!$G$4,H$1,$A260,$A260)),_xll.BDH(config!$G$4,H$1,$A260,$A260),_xll.BDH(config!$G$5,H$1,$A260,$A260))))</f>
        <v>114210</v>
      </c>
      <c r="I260" s="8" t="str">
        <f>IF($A260="","",IF(ISNUMBER(FIND("IMPVOL",I$1)),_xll.BDH(config!$G$4,I$1,WORKDAY($A260,-1,config_Holiday_Calendar_US),WORKDAY($A260,-1,config_Holiday_Calendar_US)),IF(ISNUMBER(_xll.BDH(config!$G$4,I$1,$A260,$A260)),_xll.BDH(config!$G$4,I$1,$A260,$A260),_xll.BDH(config!$G$5,I$1,$A260,$A260))))</f>
        <v>#N/A Requesting Data...</v>
      </c>
      <c r="J260" s="8" t="str">
        <f>IF($A260="","",IF(ISNUMBER(FIND("IMPVOL",J$1)),_xll.BDH(config!$G$4,J$1,WORKDAY($A260,-1,config_Holiday_Calendar_US),WORKDAY($A260,-1,config_Holiday_Calendar_US)),IF(ISNUMBER(_xll.BDH(config!$G$4,J$1,$A260,$A260)),_xll.BDH(config!$G$4,J$1,$A260,$A260),_xll.BDH(config!$G$5,J$1,$A260,$A260))))</f>
        <v>#N/A Requesting Data...</v>
      </c>
      <c r="K260" s="8" t="str">
        <f>IF($A260="","",IF(ISNUMBER(FIND("IMPVOL",K$1)),_xll.BDH(config!$G$4,K$1,WORKDAY($A260,-1,config_Holiday_Calendar_US),WORKDAY($A260,-1,config_Holiday_Calendar_US)),IF(ISNUMBER(_xll.BDH(config!$G$4,K$1,$A260,$A260)),_xll.BDH(config!$G$4,K$1,$A260,$A260),_xll.BDH(config!$G$5,K$1,$A260,$A260))))</f>
        <v>#N/A Requesting Data...</v>
      </c>
      <c r="L260" s="8" t="str">
        <f>IF($A260="","",IF(ISNUMBER(FIND("IMPVOL",L$1)),_xll.BDH(config!$G$4,L$1,WORKDAY($A260,-1,config_Holiday_Calendar_US),WORKDAY($A260,-1,config_Holiday_Calendar_US)),IF(ISNUMBER(_xll.BDH(config!$G$4,L$1,$A260,$A260)),_xll.BDH(config!$G$4,L$1,$A260,$A260),_xll.BDH(config!$G$5,L$1,$A260,$A260))))</f>
        <v>#N/A Requesting Data...</v>
      </c>
      <c r="M260" s="8" t="str">
        <f>IF($A260="","",IF(ISNUMBER(FIND("IMPVOL",M$1)),_xll.BDH(config!$G$4,M$1,WORKDAY($A260,-1,config_Holiday_Calendar_US),WORKDAY($A260,-1,config_Holiday_Calendar_US)),IF(ISNUMBER(_xll.BDH(config!$G$4,M$1,$A260,$A260)),_xll.BDH(config!$G$4,M$1,$A260,$A260),_xll.BDH(config!$G$5,M$1,$A260,$A260))))</f>
        <v>#N/A Requesting Data...</v>
      </c>
      <c r="N260" s="8" t="str">
        <f>IF($A260="","",IF(ISNUMBER(FIND("IMPVOL",N$1)),_xll.BDH(config!$G$4,N$1,WORKDAY($A260,-1,config_Holiday_Calendar_US),WORKDAY($A260,-1,config_Holiday_Calendar_US)),IF(ISNUMBER(_xll.BDH(config!$G$4,N$1,$A260,$A260)),_xll.BDH(config!$G$4,N$1,$A260,$A260),_xll.BDH(config!$G$5,N$1,$A260,$A260))))</f>
        <v>#N/A Requesting Data...</v>
      </c>
      <c r="O260" s="8" t="str">
        <f>IF($A260="","",IF(ISNUMBER(FIND("IMPVOL",O$1)),_xll.BDH(config!$G$4,O$1,WORKDAY($A260,-1,config_Holiday_Calendar_US),WORKDAY($A260,-1,config_Holiday_Calendar_US)),IF(ISNUMBER(_xll.BDH(config!$G$4,O$1,$A260,$A260)),_xll.BDH(config!$G$4,O$1,$A260,$A260),_xll.BDH(config!$G$5,O$1,$A260,$A260))))</f>
        <v>#N/A Requesting Data...</v>
      </c>
      <c r="P260" s="8" t="str">
        <f>IF($A260="","",IF(ISNUMBER(FIND("IMPVOL",P$1)),_xll.BDH(config!$G$4,P$1,WORKDAY($A260,-1,config_Holiday_Calendar_US),WORKDAY($A260,-1,config_Holiday_Calendar_US)),IF(ISNUMBER(_xll.BDH(config!$G$4,P$1,$A260,$A260)),_xll.BDH(config!$G$4,P$1,$A260,$A260),_xll.BDH(config!$G$5,P$1,$A260,$A260))))</f>
        <v>#N/A Requesting Data...</v>
      </c>
      <c r="Q260" s="8">
        <f>IF($A260="","",IF(ISNUMBER(FIND("IMPVOL",Q$1)),_xll.BDH(config!$G$4,Q$1,WORKDAY($A260,-1,config_Holiday_Calendar_US),WORKDAY($A260,-1,config_Holiday_Calendar_US)),IF(ISNUMBER(_xll.BDH(config!$G$4,Q$1,$A260,$A260)),_xll.BDH(config!$G$4,Q$1,$A260,$A260),_xll.BDH(config!$G$5,Q$1,$A260,$A260))))</f>
        <v>46.86</v>
      </c>
      <c r="R260" s="8">
        <f>IF($A260="","",IF(ISNUMBER(FIND("IMPVOL",R$1)),_xll.BDH(config!$G$4,R$1,WORKDAY($A260,-1,config_Holiday_Calendar_US),WORKDAY($A260,-1,config_Holiday_Calendar_US)),IF(ISNUMBER(_xll.BDH(config!$G$4,R$1,$A260,$A260)),_xll.BDH(config!$G$4,R$1,$A260,$A260),_xll.BDH(config!$G$5,R$1,$A260,$A260))))</f>
        <v>47.1</v>
      </c>
      <c r="S260" s="8" t="str">
        <f>IF($A260="","",IF(ISNUMBER(FIND("IMPVOL",S$1)),_xll.BDH(config!$G$4,S$1,WORKDAY($A260,-1,config_Holiday_Calendar_US),WORKDAY($A260,-1,config_Holiday_Calendar_US)),IF(ISNUMBER(_xll.BDH(config!$G$4,S$1,$A260,$A260)),_xll.BDH(config!$G$4,S$1,$A260,$A260),_xll.BDH(config!$G$5,S$1,$A260,$A260))))</f>
        <v>#N/A Requesting Data...</v>
      </c>
      <c r="T260" s="8" t="str">
        <f>IF($A260="","",IF(ISNUMBER(FIND("IMPVOL",T$1)),_xll.BDH(config!$G$4,T$1,WORKDAY($A260,-1,config_Holiday_Calendar_US),WORKDAY($A260,-1,config_Holiday_Calendar_US)),IF(ISNUMBER(_xll.BDH(config!$G$4,T$1,$A260,$A260)),_xll.BDH(config!$G$4,T$1,$A260,$A260),_xll.BDH(config!$G$5,T$1,$A260,$A260))))</f>
        <v>#N/A Requesting Data...</v>
      </c>
      <c r="U260" s="8" t="str">
        <f>IF($A260="","",IF(ISNUMBER(FIND("IMPVOL",U$1)),_xll.BDH(config!$G$4,U$1,WORKDAY($A260,-1,config_Holiday_Calendar_US),WORKDAY($A260,-1,config_Holiday_Calendar_US)),IF(ISNUMBER(_xll.BDH(config!$G$4,U$1,$A260,$A260)),_xll.BDH(config!$G$4,U$1,$A260,$A260),_xll.BDH(config!$G$5,U$1,$A260,$A260))))</f>
        <v>#N/A Requesting Data...</v>
      </c>
      <c r="V260" s="8" t="str">
        <f>IF($A260="","",IF(ISNUMBER(FIND("IMPVOL",V$1)),_xll.BDH(config!$G$4,V$1,WORKDAY($A260,-1,config_Holiday_Calendar_US),WORKDAY($A260,-1,config_Holiday_Calendar_US)),IF(ISNUMBER(_xll.BDH(config!$G$4,V$1,$A260,$A260)),_xll.BDH(config!$G$4,V$1,$A260,$A260),_xll.BDH(config!$G$5,V$1,$A260,$A260))))</f>
        <v>#N/A Requesting Data...</v>
      </c>
      <c r="W260" s="8" t="str">
        <f>IF($A260="","",IF(ISNUMBER(FIND("IMPVOL",W$1)),_xll.BDH(config!$G$4,W$1,WORKDAY($A260,-1,config_Holiday_Calendar_US),WORKDAY($A260,-1,config_Holiday_Calendar_US)),IF(ISNUMBER(_xll.BDH(config!$G$4,W$1,$A260,$A260)),_xll.BDH(config!$G$4,W$1,$A260,$A260),_xll.BDH(config!$G$5,W$1,$A260,$A260))))</f>
        <v>#N/A Requesting Data...</v>
      </c>
    </row>
    <row r="261" spans="1:23" x14ac:dyDescent="0.2">
      <c r="A261" s="9">
        <f>IF(A260="","",IF(WORKDAY(A260,-1,config_Holiday_Calendar_US)&lt;config!$I$10,"",WORKDAY(A260,-1,config_Holiday_Calendar_US)))</f>
        <v>42457</v>
      </c>
      <c r="B261" s="8" t="e">
        <f t="shared" si="4"/>
        <v>#VALUE!</v>
      </c>
      <c r="C261" s="8" t="str">
        <f>IF(A261="","",_xll.BDH(config!$H$4,C$1,$A261,$A261))</f>
        <v>#N/A Requesting Data...</v>
      </c>
      <c r="D261" s="8" t="str">
        <f>IF($A261="","",_xll.BDH(config!$H$4,D$1,$A261,$A261))</f>
        <v>#N/A Requesting Data...</v>
      </c>
      <c r="E261" s="8">
        <f>IF($A261="","",IF(ISNUMBER(FIND("IMPVOL",E$1)),_xll.BDH(config!$G$4,E$1,WORKDAY($A261,-1,config_Holiday_Calendar_US),WORKDAY($A261,-1,config_Holiday_Calendar_US)),IF(ISNUMBER(_xll.BDH(config!$G$4,E$1,$A261,$A261)),_xll.BDH(config!$G$4,E$1,$A261,$A261),_xll.BDH(config!$G$5,E$1,$A261,$A261))))</f>
        <v>39.549999999999997</v>
      </c>
      <c r="F261" s="8">
        <f>IF($A261="","",IF(ISNUMBER(FIND("IMPVOL",F$1)),_xll.BDH(config!$G$4,F$1,WORKDAY($A261,-1,config_Holiday_Calendar_US),WORKDAY($A261,-1,config_Holiday_Calendar_US)),IF(ISNUMBER(_xll.BDH(config!$G$4,F$1,$A261,$A261)),_xll.BDH(config!$G$4,F$1,$A261,$A261),_xll.BDH(config!$G$5,F$1,$A261,$A261))))</f>
        <v>40.14</v>
      </c>
      <c r="G261" s="8">
        <f>IF($A261="","",IF(ISNUMBER(FIND("IMPVOL",G$1)),_xll.BDH(config!$G$4,G$1,WORKDAY($A261,-1,config_Holiday_Calendar_US),WORKDAY($A261,-1,config_Holiday_Calendar_US)),IF(ISNUMBER(_xll.BDH(config!$G$4,G$1,$A261,$A261)),_xll.BDH(config!$G$4,G$1,$A261,$A261),_xll.BDH(config!$G$5,G$1,$A261,$A261))))</f>
        <v>39.979999999999997</v>
      </c>
      <c r="H261" s="8">
        <f>IF($A261="","",IF(ISNUMBER(FIND("IMPVOL",H$1)),_xll.BDH(config!$G$4,H$1,WORKDAY($A261,-1,config_Holiday_Calendar_US),WORKDAY($A261,-1,config_Holiday_Calendar_US)),IF(ISNUMBER(_xll.BDH(config!$G$4,H$1,$A261,$A261)),_xll.BDH(config!$G$4,H$1,$A261,$A261),_xll.BDH(config!$G$5,H$1,$A261,$A261))))</f>
        <v>57121</v>
      </c>
      <c r="I261" s="8" t="str">
        <f>IF($A261="","",IF(ISNUMBER(FIND("IMPVOL",I$1)),_xll.BDH(config!$G$4,I$1,WORKDAY($A261,-1,config_Holiday_Calendar_US),WORKDAY($A261,-1,config_Holiday_Calendar_US)),IF(ISNUMBER(_xll.BDH(config!$G$4,I$1,$A261,$A261)),_xll.BDH(config!$G$4,I$1,$A261,$A261),_xll.BDH(config!$G$5,I$1,$A261,$A261))))</f>
        <v>#N/A Requesting Data...</v>
      </c>
      <c r="J261" s="8" t="str">
        <f>IF($A261="","",IF(ISNUMBER(FIND("IMPVOL",J$1)),_xll.BDH(config!$G$4,J$1,WORKDAY($A261,-1,config_Holiday_Calendar_US),WORKDAY($A261,-1,config_Holiday_Calendar_US)),IF(ISNUMBER(_xll.BDH(config!$G$4,J$1,$A261,$A261)),_xll.BDH(config!$G$4,J$1,$A261,$A261),_xll.BDH(config!$G$5,J$1,$A261,$A261))))</f>
        <v>#N/A Requesting Data...</v>
      </c>
      <c r="K261" s="8" t="str">
        <f>IF($A261="","",IF(ISNUMBER(FIND("IMPVOL",K$1)),_xll.BDH(config!$G$4,K$1,WORKDAY($A261,-1,config_Holiday_Calendar_US),WORKDAY($A261,-1,config_Holiday_Calendar_US)),IF(ISNUMBER(_xll.BDH(config!$G$4,K$1,$A261,$A261)),_xll.BDH(config!$G$4,K$1,$A261,$A261),_xll.BDH(config!$G$5,K$1,$A261,$A261))))</f>
        <v>#N/A Requesting Data...</v>
      </c>
      <c r="L261" s="8" t="str">
        <f>IF($A261="","",IF(ISNUMBER(FIND("IMPVOL",L$1)),_xll.BDH(config!$G$4,L$1,WORKDAY($A261,-1,config_Holiday_Calendar_US),WORKDAY($A261,-1,config_Holiday_Calendar_US)),IF(ISNUMBER(_xll.BDH(config!$G$4,L$1,$A261,$A261)),_xll.BDH(config!$G$4,L$1,$A261,$A261),_xll.BDH(config!$G$5,L$1,$A261,$A261))))</f>
        <v>#N/A Requesting Data...</v>
      </c>
      <c r="M261" s="8" t="str">
        <f>IF($A261="","",IF(ISNUMBER(FIND("IMPVOL",M$1)),_xll.BDH(config!$G$4,M$1,WORKDAY($A261,-1,config_Holiday_Calendar_US),WORKDAY($A261,-1,config_Holiday_Calendar_US)),IF(ISNUMBER(_xll.BDH(config!$G$4,M$1,$A261,$A261)),_xll.BDH(config!$G$4,M$1,$A261,$A261),_xll.BDH(config!$G$5,M$1,$A261,$A261))))</f>
        <v>#N/A Requesting Data...</v>
      </c>
      <c r="N261" s="8" t="str">
        <f>IF($A261="","",IF(ISNUMBER(FIND("IMPVOL",N$1)),_xll.BDH(config!$G$4,N$1,WORKDAY($A261,-1,config_Holiday_Calendar_US),WORKDAY($A261,-1,config_Holiday_Calendar_US)),IF(ISNUMBER(_xll.BDH(config!$G$4,N$1,$A261,$A261)),_xll.BDH(config!$G$4,N$1,$A261,$A261),_xll.BDH(config!$G$5,N$1,$A261,$A261))))</f>
        <v>#N/A Requesting Data...</v>
      </c>
      <c r="O261" s="8" t="str">
        <f>IF($A261="","",IF(ISNUMBER(FIND("IMPVOL",O$1)),_xll.BDH(config!$G$4,O$1,WORKDAY($A261,-1,config_Holiday_Calendar_US),WORKDAY($A261,-1,config_Holiday_Calendar_US)),IF(ISNUMBER(_xll.BDH(config!$G$4,O$1,$A261,$A261)),_xll.BDH(config!$G$4,O$1,$A261,$A261),_xll.BDH(config!$G$5,O$1,$A261,$A261))))</f>
        <v>#N/A Requesting Data...</v>
      </c>
      <c r="P261" s="8" t="str">
        <f>IF($A261="","",IF(ISNUMBER(FIND("IMPVOL",P$1)),_xll.BDH(config!$G$4,P$1,WORKDAY($A261,-1,config_Holiday_Calendar_US),WORKDAY($A261,-1,config_Holiday_Calendar_US)),IF(ISNUMBER(_xll.BDH(config!$G$4,P$1,$A261,$A261)),_xll.BDH(config!$G$4,P$1,$A261,$A261),_xll.BDH(config!$G$5,P$1,$A261,$A261))))</f>
        <v>#N/A Requesting Data...</v>
      </c>
      <c r="Q261" s="8">
        <f>IF($A261="","",IF(ISNUMBER(FIND("IMPVOL",Q$1)),_xll.BDH(config!$G$4,Q$1,WORKDAY($A261,-1,config_Holiday_Calendar_US),WORKDAY($A261,-1,config_Holiday_Calendar_US)),IF(ISNUMBER(_xll.BDH(config!$G$4,Q$1,$A261,$A261)),_xll.BDH(config!$G$4,Q$1,$A261,$A261),_xll.BDH(config!$G$5,Q$1,$A261,$A261))))</f>
        <v>45.77</v>
      </c>
      <c r="R261" s="8">
        <f>IF($A261="","",IF(ISNUMBER(FIND("IMPVOL",R$1)),_xll.BDH(config!$G$4,R$1,WORKDAY($A261,-1,config_Holiday_Calendar_US),WORKDAY($A261,-1,config_Holiday_Calendar_US)),IF(ISNUMBER(_xll.BDH(config!$G$4,R$1,$A261,$A261)),_xll.BDH(config!$G$4,R$1,$A261,$A261),_xll.BDH(config!$G$5,R$1,$A261,$A261))))</f>
        <v>47.41</v>
      </c>
      <c r="S261" s="8" t="str">
        <f>IF($A261="","",IF(ISNUMBER(FIND("IMPVOL",S$1)),_xll.BDH(config!$G$4,S$1,WORKDAY($A261,-1,config_Holiday_Calendar_US),WORKDAY($A261,-1,config_Holiday_Calendar_US)),IF(ISNUMBER(_xll.BDH(config!$G$4,S$1,$A261,$A261)),_xll.BDH(config!$G$4,S$1,$A261,$A261),_xll.BDH(config!$G$5,S$1,$A261,$A261))))</f>
        <v>#N/A Requesting Data...</v>
      </c>
      <c r="T261" s="8" t="str">
        <f>IF($A261="","",IF(ISNUMBER(FIND("IMPVOL",T$1)),_xll.BDH(config!$G$4,T$1,WORKDAY($A261,-1,config_Holiday_Calendar_US),WORKDAY($A261,-1,config_Holiday_Calendar_US)),IF(ISNUMBER(_xll.BDH(config!$G$4,T$1,$A261,$A261)),_xll.BDH(config!$G$4,T$1,$A261,$A261),_xll.BDH(config!$G$5,T$1,$A261,$A261))))</f>
        <v>#N/A Requesting Data...</v>
      </c>
      <c r="U261" s="8" t="str">
        <f>IF($A261="","",IF(ISNUMBER(FIND("IMPVOL",U$1)),_xll.BDH(config!$G$4,U$1,WORKDAY($A261,-1,config_Holiday_Calendar_US),WORKDAY($A261,-1,config_Holiday_Calendar_US)),IF(ISNUMBER(_xll.BDH(config!$G$4,U$1,$A261,$A261)),_xll.BDH(config!$G$4,U$1,$A261,$A261),_xll.BDH(config!$G$5,U$1,$A261,$A261))))</f>
        <v>#N/A Requesting Data...</v>
      </c>
      <c r="V261" s="8" t="str">
        <f>IF($A261="","",IF(ISNUMBER(FIND("IMPVOL",V$1)),_xll.BDH(config!$G$4,V$1,WORKDAY($A261,-1,config_Holiday_Calendar_US),WORKDAY($A261,-1,config_Holiday_Calendar_US)),IF(ISNUMBER(_xll.BDH(config!$G$4,V$1,$A261,$A261)),_xll.BDH(config!$G$4,V$1,$A261,$A261),_xll.BDH(config!$G$5,V$1,$A261,$A261))))</f>
        <v>#N/A Requesting Data...</v>
      </c>
      <c r="W261" s="8" t="str">
        <f>IF($A261="","",IF(ISNUMBER(FIND("IMPVOL",W$1)),_xll.BDH(config!$G$4,W$1,WORKDAY($A261,-1,config_Holiday_Calendar_US),WORKDAY($A261,-1,config_Holiday_Calendar_US)),IF(ISNUMBER(_xll.BDH(config!$G$4,W$1,$A261,$A261)),_xll.BDH(config!$G$4,W$1,$A261,$A261),_xll.BDH(config!$G$5,W$1,$A261,$A261))))</f>
        <v>#N/A Requesting Data...</v>
      </c>
    </row>
    <row r="262" spans="1:23" x14ac:dyDescent="0.2">
      <c r="A262" s="9">
        <f>IF(A261="","",IF(WORKDAY(A261,-1,config_Holiday_Calendar_US)&lt;config!$I$10,"",WORKDAY(A261,-1,config_Holiday_Calendar_US)))</f>
        <v>42453</v>
      </c>
      <c r="B262" s="8" t="e">
        <f t="shared" si="4"/>
        <v>#VALUE!</v>
      </c>
      <c r="C262" s="8" t="str">
        <f>IF(A262="","",_xll.BDH(config!$H$4,C$1,$A262,$A262))</f>
        <v>#N/A Requesting Data...</v>
      </c>
      <c r="D262" s="8" t="str">
        <f>IF($A262="","",_xll.BDH(config!$H$4,D$1,$A262,$A262))</f>
        <v>#N/A Requesting Data...</v>
      </c>
      <c r="E262" s="8">
        <f>IF($A262="","",IF(ISNUMBER(FIND("IMPVOL",E$1)),_xll.BDH(config!$G$4,E$1,WORKDAY($A262,-1,config_Holiday_Calendar_US),WORKDAY($A262,-1,config_Holiday_Calendar_US)),IF(ISNUMBER(_xll.BDH(config!$G$4,E$1,$A262,$A262)),_xll.BDH(config!$G$4,E$1,$A262,$A262),_xll.BDH(config!$G$5,E$1,$A262,$A262))))</f>
        <v>39.729999999999997</v>
      </c>
      <c r="F262" s="8">
        <f>IF($A262="","",IF(ISNUMBER(FIND("IMPVOL",F$1)),_xll.BDH(config!$G$4,F$1,WORKDAY($A262,-1,config_Holiday_Calendar_US),WORKDAY($A262,-1,config_Holiday_Calendar_US)),IF(ISNUMBER(_xll.BDH(config!$G$4,F$1,$A262,$A262)),_xll.BDH(config!$G$4,F$1,$A262,$A262),_xll.BDH(config!$G$5,F$1,$A262,$A262))))</f>
        <v>39.770000000000003</v>
      </c>
      <c r="G262" s="8">
        <f>IF($A262="","",IF(ISNUMBER(FIND("IMPVOL",G$1)),_xll.BDH(config!$G$4,G$1,WORKDAY($A262,-1,config_Holiday_Calendar_US),WORKDAY($A262,-1,config_Holiday_Calendar_US)),IF(ISNUMBER(_xll.BDH(config!$G$4,G$1,$A262,$A262)),_xll.BDH(config!$G$4,G$1,$A262,$A262),_xll.BDH(config!$G$5,G$1,$A262,$A262))))</f>
        <v>39.5</v>
      </c>
      <c r="H262" s="8">
        <f>IF($A262="","",IF(ISNUMBER(FIND("IMPVOL",H$1)),_xll.BDH(config!$G$4,H$1,WORKDAY($A262,-1,config_Holiday_Calendar_US),WORKDAY($A262,-1,config_Holiday_Calendar_US)),IF(ISNUMBER(_xll.BDH(config!$G$4,H$1,$A262,$A262)),_xll.BDH(config!$G$4,H$1,$A262,$A262),_xll.BDH(config!$G$5,H$1,$A262,$A262))))</f>
        <v>147134</v>
      </c>
      <c r="I262" s="8" t="str">
        <f>IF($A262="","",IF(ISNUMBER(FIND("IMPVOL",I$1)),_xll.BDH(config!$G$4,I$1,WORKDAY($A262,-1,config_Holiday_Calendar_US),WORKDAY($A262,-1,config_Holiday_Calendar_US)),IF(ISNUMBER(_xll.BDH(config!$G$4,I$1,$A262,$A262)),_xll.BDH(config!$G$4,I$1,$A262,$A262),_xll.BDH(config!$G$5,I$1,$A262,$A262))))</f>
        <v>#N/A Requesting Data...</v>
      </c>
      <c r="J262" s="8" t="str">
        <f>IF($A262="","",IF(ISNUMBER(FIND("IMPVOL",J$1)),_xll.BDH(config!$G$4,J$1,WORKDAY($A262,-1,config_Holiday_Calendar_US),WORKDAY($A262,-1,config_Holiday_Calendar_US)),IF(ISNUMBER(_xll.BDH(config!$G$4,J$1,$A262,$A262)),_xll.BDH(config!$G$4,J$1,$A262,$A262),_xll.BDH(config!$G$5,J$1,$A262,$A262))))</f>
        <v>#N/A Requesting Data...</v>
      </c>
      <c r="K262" s="8" t="str">
        <f>IF($A262="","",IF(ISNUMBER(FIND("IMPVOL",K$1)),_xll.BDH(config!$G$4,K$1,WORKDAY($A262,-1,config_Holiday_Calendar_US),WORKDAY($A262,-1,config_Holiday_Calendar_US)),IF(ISNUMBER(_xll.BDH(config!$G$4,K$1,$A262,$A262)),_xll.BDH(config!$G$4,K$1,$A262,$A262),_xll.BDH(config!$G$5,K$1,$A262,$A262))))</f>
        <v>#N/A Requesting Data...</v>
      </c>
      <c r="L262" s="8" t="str">
        <f>IF($A262="","",IF(ISNUMBER(FIND("IMPVOL",L$1)),_xll.BDH(config!$G$4,L$1,WORKDAY($A262,-1,config_Holiday_Calendar_US),WORKDAY($A262,-1,config_Holiday_Calendar_US)),IF(ISNUMBER(_xll.BDH(config!$G$4,L$1,$A262,$A262)),_xll.BDH(config!$G$4,L$1,$A262,$A262),_xll.BDH(config!$G$5,L$1,$A262,$A262))))</f>
        <v>#N/A Requesting Data...</v>
      </c>
      <c r="M262" s="8" t="str">
        <f>IF($A262="","",IF(ISNUMBER(FIND("IMPVOL",M$1)),_xll.BDH(config!$G$4,M$1,WORKDAY($A262,-1,config_Holiday_Calendar_US),WORKDAY($A262,-1,config_Holiday_Calendar_US)),IF(ISNUMBER(_xll.BDH(config!$G$4,M$1,$A262,$A262)),_xll.BDH(config!$G$4,M$1,$A262,$A262),_xll.BDH(config!$G$5,M$1,$A262,$A262))))</f>
        <v>#N/A Requesting Data...</v>
      </c>
      <c r="N262" s="8" t="str">
        <f>IF($A262="","",IF(ISNUMBER(FIND("IMPVOL",N$1)),_xll.BDH(config!$G$4,N$1,WORKDAY($A262,-1,config_Holiday_Calendar_US),WORKDAY($A262,-1,config_Holiday_Calendar_US)),IF(ISNUMBER(_xll.BDH(config!$G$4,N$1,$A262,$A262)),_xll.BDH(config!$G$4,N$1,$A262,$A262),_xll.BDH(config!$G$5,N$1,$A262,$A262))))</f>
        <v>#N/A Requesting Data...</v>
      </c>
      <c r="O262" s="8" t="str">
        <f>IF($A262="","",IF(ISNUMBER(FIND("IMPVOL",O$1)),_xll.BDH(config!$G$4,O$1,WORKDAY($A262,-1,config_Holiday_Calendar_US),WORKDAY($A262,-1,config_Holiday_Calendar_US)),IF(ISNUMBER(_xll.BDH(config!$G$4,O$1,$A262,$A262)),_xll.BDH(config!$G$4,O$1,$A262,$A262),_xll.BDH(config!$G$5,O$1,$A262,$A262))))</f>
        <v>#N/A Requesting Data...</v>
      </c>
      <c r="P262" s="8" t="str">
        <f>IF($A262="","",IF(ISNUMBER(FIND("IMPVOL",P$1)),_xll.BDH(config!$G$4,P$1,WORKDAY($A262,-1,config_Holiday_Calendar_US),WORKDAY($A262,-1,config_Holiday_Calendar_US)),IF(ISNUMBER(_xll.BDH(config!$G$4,P$1,$A262,$A262)),_xll.BDH(config!$G$4,P$1,$A262,$A262),_xll.BDH(config!$G$5,P$1,$A262,$A262))))</f>
        <v>#N/A Requesting Data...</v>
      </c>
      <c r="Q262" s="8">
        <f>IF($A262="","",IF(ISNUMBER(FIND("IMPVOL",Q$1)),_xll.BDH(config!$G$4,Q$1,WORKDAY($A262,-1,config_Holiday_Calendar_US),WORKDAY($A262,-1,config_Holiday_Calendar_US)),IF(ISNUMBER(_xll.BDH(config!$G$4,Q$1,$A262,$A262)),_xll.BDH(config!$G$4,Q$1,$A262,$A262),_xll.BDH(config!$G$5,Q$1,$A262,$A262))))</f>
        <v>49.78</v>
      </c>
      <c r="R262" s="8">
        <f>IF($A262="","",IF(ISNUMBER(FIND("IMPVOL",R$1)),_xll.BDH(config!$G$4,R$1,WORKDAY($A262,-1,config_Holiday_Calendar_US),WORKDAY($A262,-1,config_Holiday_Calendar_US)),IF(ISNUMBER(_xll.BDH(config!$G$4,R$1,$A262,$A262)),_xll.BDH(config!$G$4,R$1,$A262,$A262),_xll.BDH(config!$G$5,R$1,$A262,$A262))))</f>
        <v>54.86</v>
      </c>
      <c r="S262" s="8" t="str">
        <f>IF($A262="","",IF(ISNUMBER(FIND("IMPVOL",S$1)),_xll.BDH(config!$G$4,S$1,WORKDAY($A262,-1,config_Holiday_Calendar_US),WORKDAY($A262,-1,config_Holiday_Calendar_US)),IF(ISNUMBER(_xll.BDH(config!$G$4,S$1,$A262,$A262)),_xll.BDH(config!$G$4,S$1,$A262,$A262),_xll.BDH(config!$G$5,S$1,$A262,$A262))))</f>
        <v>#N/A Requesting Data...</v>
      </c>
      <c r="T262" s="8" t="str">
        <f>IF($A262="","",IF(ISNUMBER(FIND("IMPVOL",T$1)),_xll.BDH(config!$G$4,T$1,WORKDAY($A262,-1,config_Holiday_Calendar_US),WORKDAY($A262,-1,config_Holiday_Calendar_US)),IF(ISNUMBER(_xll.BDH(config!$G$4,T$1,$A262,$A262)),_xll.BDH(config!$G$4,T$1,$A262,$A262),_xll.BDH(config!$G$5,T$1,$A262,$A262))))</f>
        <v>#N/A Requesting Data...</v>
      </c>
      <c r="U262" s="8" t="str">
        <f>IF($A262="","",IF(ISNUMBER(FIND("IMPVOL",U$1)),_xll.BDH(config!$G$4,U$1,WORKDAY($A262,-1,config_Holiday_Calendar_US),WORKDAY($A262,-1,config_Holiday_Calendar_US)),IF(ISNUMBER(_xll.BDH(config!$G$4,U$1,$A262,$A262)),_xll.BDH(config!$G$4,U$1,$A262,$A262),_xll.BDH(config!$G$5,U$1,$A262,$A262))))</f>
        <v>#N/A Requesting Data...</v>
      </c>
      <c r="V262" s="8" t="str">
        <f>IF($A262="","",IF(ISNUMBER(FIND("IMPVOL",V$1)),_xll.BDH(config!$G$4,V$1,WORKDAY($A262,-1,config_Holiday_Calendar_US),WORKDAY($A262,-1,config_Holiday_Calendar_US)),IF(ISNUMBER(_xll.BDH(config!$G$4,V$1,$A262,$A262)),_xll.BDH(config!$G$4,V$1,$A262,$A262),_xll.BDH(config!$G$5,V$1,$A262,$A262))))</f>
        <v>#N/A Requesting Data...</v>
      </c>
      <c r="W262" s="8" t="str">
        <f>IF($A262="","",IF(ISNUMBER(FIND("IMPVOL",W$1)),_xll.BDH(config!$G$4,W$1,WORKDAY($A262,-1,config_Holiday_Calendar_US),WORKDAY($A262,-1,config_Holiday_Calendar_US)),IF(ISNUMBER(_xll.BDH(config!$G$4,W$1,$A262,$A262)),_xll.BDH(config!$G$4,W$1,$A262,$A262),_xll.BDH(config!$G$5,W$1,$A262,$A262))))</f>
        <v>#N/A Requesting Data...</v>
      </c>
    </row>
    <row r="263" spans="1:23" x14ac:dyDescent="0.2">
      <c r="A263" s="9">
        <f>IF(A262="","",IF(WORKDAY(A262,-1,config_Holiday_Calendar_US)&lt;config!$I$10,"",WORKDAY(A262,-1,config_Holiday_Calendar_US)))</f>
        <v>42452</v>
      </c>
      <c r="B263" s="8" t="e">
        <f t="shared" si="4"/>
        <v>#VALUE!</v>
      </c>
      <c r="C263" s="8" t="str">
        <f>IF(A263="","",_xll.BDH(config!$H$4,C$1,$A263,$A263))</f>
        <v>#N/A Requesting Data...</v>
      </c>
      <c r="D263" s="8" t="str">
        <f>IF($A263="","",_xll.BDH(config!$H$4,D$1,$A263,$A263))</f>
        <v>#N/A Requesting Data...</v>
      </c>
      <c r="E263" s="8">
        <f>IF($A263="","",IF(ISNUMBER(FIND("IMPVOL",E$1)),_xll.BDH(config!$G$4,E$1,WORKDAY($A263,-1,config_Holiday_Calendar_US),WORKDAY($A263,-1,config_Holiday_Calendar_US)),IF(ISNUMBER(_xll.BDH(config!$G$4,E$1,$A263,$A263)),_xll.BDH(config!$G$4,E$1,$A263,$A263),_xll.BDH(config!$G$5,E$1,$A263,$A263))))</f>
        <v>41.19</v>
      </c>
      <c r="F263" s="8">
        <f>IF($A263="","",IF(ISNUMBER(FIND("IMPVOL",F$1)),_xll.BDH(config!$G$4,F$1,WORKDAY($A263,-1,config_Holiday_Calendar_US),WORKDAY($A263,-1,config_Holiday_Calendar_US)),IF(ISNUMBER(_xll.BDH(config!$G$4,F$1,$A263,$A263)),_xll.BDH(config!$G$4,F$1,$A263,$A263),_xll.BDH(config!$G$5,F$1,$A263,$A263))))</f>
        <v>41.34</v>
      </c>
      <c r="G263" s="8">
        <f>IF($A263="","",IF(ISNUMBER(FIND("IMPVOL",G$1)),_xll.BDH(config!$G$4,G$1,WORKDAY($A263,-1,config_Holiday_Calendar_US),WORKDAY($A263,-1,config_Holiday_Calendar_US)),IF(ISNUMBER(_xll.BDH(config!$G$4,G$1,$A263,$A263)),_xll.BDH(config!$G$4,G$1,$A263,$A263),_xll.BDH(config!$G$5,G$1,$A263,$A263))))</f>
        <v>40.75</v>
      </c>
      <c r="H263" s="8">
        <f>IF($A263="","",IF(ISNUMBER(FIND("IMPVOL",H$1)),_xll.BDH(config!$G$4,H$1,WORKDAY($A263,-1,config_Holiday_Calendar_US),WORKDAY($A263,-1,config_Holiday_Calendar_US)),IF(ISNUMBER(_xll.BDH(config!$G$4,H$1,$A263,$A263)),_xll.BDH(config!$G$4,H$1,$A263,$A263),_xll.BDH(config!$G$5,H$1,$A263,$A263))))</f>
        <v>144395</v>
      </c>
      <c r="I263" s="8" t="str">
        <f>IF($A263="","",IF(ISNUMBER(FIND("IMPVOL",I$1)),_xll.BDH(config!$G$4,I$1,WORKDAY($A263,-1,config_Holiday_Calendar_US),WORKDAY($A263,-1,config_Holiday_Calendar_US)),IF(ISNUMBER(_xll.BDH(config!$G$4,I$1,$A263,$A263)),_xll.BDH(config!$G$4,I$1,$A263,$A263),_xll.BDH(config!$G$5,I$1,$A263,$A263))))</f>
        <v>#N/A Requesting Data...</v>
      </c>
      <c r="J263" s="8" t="str">
        <f>IF($A263="","",IF(ISNUMBER(FIND("IMPVOL",J$1)),_xll.BDH(config!$G$4,J$1,WORKDAY($A263,-1,config_Holiday_Calendar_US),WORKDAY($A263,-1,config_Holiday_Calendar_US)),IF(ISNUMBER(_xll.BDH(config!$G$4,J$1,$A263,$A263)),_xll.BDH(config!$G$4,J$1,$A263,$A263),_xll.BDH(config!$G$5,J$1,$A263,$A263))))</f>
        <v>#N/A Requesting Data...</v>
      </c>
      <c r="K263" s="8" t="str">
        <f>IF($A263="","",IF(ISNUMBER(FIND("IMPVOL",K$1)),_xll.BDH(config!$G$4,K$1,WORKDAY($A263,-1,config_Holiday_Calendar_US),WORKDAY($A263,-1,config_Holiday_Calendar_US)),IF(ISNUMBER(_xll.BDH(config!$G$4,K$1,$A263,$A263)),_xll.BDH(config!$G$4,K$1,$A263,$A263),_xll.BDH(config!$G$5,K$1,$A263,$A263))))</f>
        <v>#N/A Requesting Data...</v>
      </c>
      <c r="L263" s="8" t="str">
        <f>IF($A263="","",IF(ISNUMBER(FIND("IMPVOL",L$1)),_xll.BDH(config!$G$4,L$1,WORKDAY($A263,-1,config_Holiday_Calendar_US),WORKDAY($A263,-1,config_Holiday_Calendar_US)),IF(ISNUMBER(_xll.BDH(config!$G$4,L$1,$A263,$A263)),_xll.BDH(config!$G$4,L$1,$A263,$A263),_xll.BDH(config!$G$5,L$1,$A263,$A263))))</f>
        <v>#N/A Requesting Data...</v>
      </c>
      <c r="M263" s="8" t="str">
        <f>IF($A263="","",IF(ISNUMBER(FIND("IMPVOL",M$1)),_xll.BDH(config!$G$4,M$1,WORKDAY($A263,-1,config_Holiday_Calendar_US),WORKDAY($A263,-1,config_Holiday_Calendar_US)),IF(ISNUMBER(_xll.BDH(config!$G$4,M$1,$A263,$A263)),_xll.BDH(config!$G$4,M$1,$A263,$A263),_xll.BDH(config!$G$5,M$1,$A263,$A263))))</f>
        <v>#N/A Requesting Data...</v>
      </c>
      <c r="N263" s="8" t="str">
        <f>IF($A263="","",IF(ISNUMBER(FIND("IMPVOL",N$1)),_xll.BDH(config!$G$4,N$1,WORKDAY($A263,-1,config_Holiday_Calendar_US),WORKDAY($A263,-1,config_Holiday_Calendar_US)),IF(ISNUMBER(_xll.BDH(config!$G$4,N$1,$A263,$A263)),_xll.BDH(config!$G$4,N$1,$A263,$A263),_xll.BDH(config!$G$5,N$1,$A263,$A263))))</f>
        <v>#N/A Requesting Data...</v>
      </c>
      <c r="O263" s="8" t="str">
        <f>IF($A263="","",IF(ISNUMBER(FIND("IMPVOL",O$1)),_xll.BDH(config!$G$4,O$1,WORKDAY($A263,-1,config_Holiday_Calendar_US),WORKDAY($A263,-1,config_Holiday_Calendar_US)),IF(ISNUMBER(_xll.BDH(config!$G$4,O$1,$A263,$A263)),_xll.BDH(config!$G$4,O$1,$A263,$A263),_xll.BDH(config!$G$5,O$1,$A263,$A263))))</f>
        <v>#N/A Requesting Data...</v>
      </c>
      <c r="P263" s="8" t="str">
        <f>IF($A263="","",IF(ISNUMBER(FIND("IMPVOL",P$1)),_xll.BDH(config!$G$4,P$1,WORKDAY($A263,-1,config_Holiday_Calendar_US),WORKDAY($A263,-1,config_Holiday_Calendar_US)),IF(ISNUMBER(_xll.BDH(config!$G$4,P$1,$A263,$A263)),_xll.BDH(config!$G$4,P$1,$A263,$A263),_xll.BDH(config!$G$5,P$1,$A263,$A263))))</f>
        <v>#N/A Requesting Data...</v>
      </c>
      <c r="Q263" s="8">
        <f>IF($A263="","",IF(ISNUMBER(FIND("IMPVOL",Q$1)),_xll.BDH(config!$G$4,Q$1,WORKDAY($A263,-1,config_Holiday_Calendar_US),WORKDAY($A263,-1,config_Holiday_Calendar_US)),IF(ISNUMBER(_xll.BDH(config!$G$4,Q$1,$A263,$A263)),_xll.BDH(config!$G$4,Q$1,$A263,$A263),_xll.BDH(config!$G$5,Q$1,$A263,$A263))))</f>
        <v>50.23</v>
      </c>
      <c r="R263" s="8">
        <f>IF($A263="","",IF(ISNUMBER(FIND("IMPVOL",R$1)),_xll.BDH(config!$G$4,R$1,WORKDAY($A263,-1,config_Holiday_Calendar_US),WORKDAY($A263,-1,config_Holiday_Calendar_US)),IF(ISNUMBER(_xll.BDH(config!$G$4,R$1,$A263,$A263)),_xll.BDH(config!$G$4,R$1,$A263,$A263),_xll.BDH(config!$G$5,R$1,$A263,$A263))))</f>
        <v>55.94</v>
      </c>
      <c r="S263" s="8" t="str">
        <f>IF($A263="","",IF(ISNUMBER(FIND("IMPVOL",S$1)),_xll.BDH(config!$G$4,S$1,WORKDAY($A263,-1,config_Holiday_Calendar_US),WORKDAY($A263,-1,config_Holiday_Calendar_US)),IF(ISNUMBER(_xll.BDH(config!$G$4,S$1,$A263,$A263)),_xll.BDH(config!$G$4,S$1,$A263,$A263),_xll.BDH(config!$G$5,S$1,$A263,$A263))))</f>
        <v>#N/A Requesting Data...</v>
      </c>
      <c r="T263" s="8" t="str">
        <f>IF($A263="","",IF(ISNUMBER(FIND("IMPVOL",T$1)),_xll.BDH(config!$G$4,T$1,WORKDAY($A263,-1,config_Holiday_Calendar_US),WORKDAY($A263,-1,config_Holiday_Calendar_US)),IF(ISNUMBER(_xll.BDH(config!$G$4,T$1,$A263,$A263)),_xll.BDH(config!$G$4,T$1,$A263,$A263),_xll.BDH(config!$G$5,T$1,$A263,$A263))))</f>
        <v>#N/A Requesting Data...</v>
      </c>
      <c r="U263" s="8" t="str">
        <f>IF($A263="","",IF(ISNUMBER(FIND("IMPVOL",U$1)),_xll.BDH(config!$G$4,U$1,WORKDAY($A263,-1,config_Holiday_Calendar_US),WORKDAY($A263,-1,config_Holiday_Calendar_US)),IF(ISNUMBER(_xll.BDH(config!$G$4,U$1,$A263,$A263)),_xll.BDH(config!$G$4,U$1,$A263,$A263),_xll.BDH(config!$G$5,U$1,$A263,$A263))))</f>
        <v>#N/A Requesting Data...</v>
      </c>
      <c r="V263" s="8" t="str">
        <f>IF($A263="","",IF(ISNUMBER(FIND("IMPVOL",V$1)),_xll.BDH(config!$G$4,V$1,WORKDAY($A263,-1,config_Holiday_Calendar_US),WORKDAY($A263,-1,config_Holiday_Calendar_US)),IF(ISNUMBER(_xll.BDH(config!$G$4,V$1,$A263,$A263)),_xll.BDH(config!$G$4,V$1,$A263,$A263),_xll.BDH(config!$G$5,V$1,$A263,$A263))))</f>
        <v>#N/A Requesting Data...</v>
      </c>
      <c r="W263" s="8" t="str">
        <f>IF($A263="","",IF(ISNUMBER(FIND("IMPVOL",W$1)),_xll.BDH(config!$G$4,W$1,WORKDAY($A263,-1,config_Holiday_Calendar_US),WORKDAY($A263,-1,config_Holiday_Calendar_US)),IF(ISNUMBER(_xll.BDH(config!$G$4,W$1,$A263,$A263)),_xll.BDH(config!$G$4,W$1,$A263,$A263),_xll.BDH(config!$G$5,W$1,$A263,$A263))))</f>
        <v>#N/A Requesting Data...</v>
      </c>
    </row>
    <row r="264" spans="1:23" x14ac:dyDescent="0.2">
      <c r="A264" s="9">
        <f>IF(A263="","",IF(WORKDAY(A263,-1,config_Holiday_Calendar_US)&lt;config!$I$10,"",WORKDAY(A263,-1,config_Holiday_Calendar_US)))</f>
        <v>42451</v>
      </c>
      <c r="B264" s="8" t="e">
        <f t="shared" si="4"/>
        <v>#VALUE!</v>
      </c>
      <c r="C264" s="8" t="str">
        <f>IF(A264="","",_xll.BDH(config!$H$4,C$1,$A264,$A264))</f>
        <v>#N/A Requesting Data...</v>
      </c>
      <c r="D264" s="8" t="str">
        <f>IF($A264="","",_xll.BDH(config!$H$4,D$1,$A264,$A264))</f>
        <v>#N/A Requesting Data...</v>
      </c>
      <c r="E264" s="8">
        <f>IF($A264="","",IF(ISNUMBER(FIND("IMPVOL",E$1)),_xll.BDH(config!$G$4,E$1,WORKDAY($A264,-1,config_Holiday_Calendar_US),WORKDAY($A264,-1,config_Holiday_Calendar_US)),IF(ISNUMBER(_xll.BDH(config!$G$4,E$1,$A264,$A264)),_xll.BDH(config!$G$4,E$1,$A264,$A264),_xll.BDH(config!$G$5,E$1,$A264,$A264))))</f>
        <v>41.59</v>
      </c>
      <c r="F264" s="8">
        <f>IF($A264="","",IF(ISNUMBER(FIND("IMPVOL",F$1)),_xll.BDH(config!$G$4,F$1,WORKDAY($A264,-1,config_Holiday_Calendar_US),WORKDAY($A264,-1,config_Holiday_Calendar_US)),IF(ISNUMBER(_xll.BDH(config!$G$4,F$1,$A264,$A264)),_xll.BDH(config!$G$4,F$1,$A264,$A264),_xll.BDH(config!$G$5,F$1,$A264,$A264))))</f>
        <v>41.9</v>
      </c>
      <c r="G264" s="8">
        <f>IF($A264="","",IF(ISNUMBER(FIND("IMPVOL",G$1)),_xll.BDH(config!$G$4,G$1,WORKDAY($A264,-1,config_Holiday_Calendar_US),WORKDAY($A264,-1,config_Holiday_Calendar_US)),IF(ISNUMBER(_xll.BDH(config!$G$4,G$1,$A264,$A264)),_xll.BDH(config!$G$4,G$1,$A264,$A264),_xll.BDH(config!$G$5,G$1,$A264,$A264))))</f>
        <v>41.75</v>
      </c>
      <c r="H264" s="8">
        <f>IF($A264="","",IF(ISNUMBER(FIND("IMPVOL",H$1)),_xll.BDH(config!$G$4,H$1,WORKDAY($A264,-1,config_Holiday_Calendar_US),WORKDAY($A264,-1,config_Holiday_Calendar_US)),IF(ISNUMBER(_xll.BDH(config!$G$4,H$1,$A264,$A264)),_xll.BDH(config!$G$4,H$1,$A264,$A264),_xll.BDH(config!$G$5,H$1,$A264,$A264))))</f>
        <v>138984</v>
      </c>
      <c r="I264" s="8" t="str">
        <f>IF($A264="","",IF(ISNUMBER(FIND("IMPVOL",I$1)),_xll.BDH(config!$G$4,I$1,WORKDAY($A264,-1,config_Holiday_Calendar_US),WORKDAY($A264,-1,config_Holiday_Calendar_US)),IF(ISNUMBER(_xll.BDH(config!$G$4,I$1,$A264,$A264)),_xll.BDH(config!$G$4,I$1,$A264,$A264),_xll.BDH(config!$G$5,I$1,$A264,$A264))))</f>
        <v>#N/A Requesting Data...</v>
      </c>
      <c r="J264" s="8" t="str">
        <f>IF($A264="","",IF(ISNUMBER(FIND("IMPVOL",J$1)),_xll.BDH(config!$G$4,J$1,WORKDAY($A264,-1,config_Holiday_Calendar_US),WORKDAY($A264,-1,config_Holiday_Calendar_US)),IF(ISNUMBER(_xll.BDH(config!$G$4,J$1,$A264,$A264)),_xll.BDH(config!$G$4,J$1,$A264,$A264),_xll.BDH(config!$G$5,J$1,$A264,$A264))))</f>
        <v>#N/A Requesting Data...</v>
      </c>
      <c r="K264" s="8" t="str">
        <f>IF($A264="","",IF(ISNUMBER(FIND("IMPVOL",K$1)),_xll.BDH(config!$G$4,K$1,WORKDAY($A264,-1,config_Holiday_Calendar_US),WORKDAY($A264,-1,config_Holiday_Calendar_US)),IF(ISNUMBER(_xll.BDH(config!$G$4,K$1,$A264,$A264)),_xll.BDH(config!$G$4,K$1,$A264,$A264),_xll.BDH(config!$G$5,K$1,$A264,$A264))))</f>
        <v>#N/A Requesting Data...</v>
      </c>
      <c r="L264" s="8" t="str">
        <f>IF($A264="","",IF(ISNUMBER(FIND("IMPVOL",L$1)),_xll.BDH(config!$G$4,L$1,WORKDAY($A264,-1,config_Holiday_Calendar_US),WORKDAY($A264,-1,config_Holiday_Calendar_US)),IF(ISNUMBER(_xll.BDH(config!$G$4,L$1,$A264,$A264)),_xll.BDH(config!$G$4,L$1,$A264,$A264),_xll.BDH(config!$G$5,L$1,$A264,$A264))))</f>
        <v>#N/A Requesting Data...</v>
      </c>
      <c r="M264" s="8" t="str">
        <f>IF($A264="","",IF(ISNUMBER(FIND("IMPVOL",M$1)),_xll.BDH(config!$G$4,M$1,WORKDAY($A264,-1,config_Holiday_Calendar_US),WORKDAY($A264,-1,config_Holiday_Calendar_US)),IF(ISNUMBER(_xll.BDH(config!$G$4,M$1,$A264,$A264)),_xll.BDH(config!$G$4,M$1,$A264,$A264),_xll.BDH(config!$G$5,M$1,$A264,$A264))))</f>
        <v>#N/A Requesting Data...</v>
      </c>
      <c r="N264" s="8" t="str">
        <f>IF($A264="","",IF(ISNUMBER(FIND("IMPVOL",N$1)),_xll.BDH(config!$G$4,N$1,WORKDAY($A264,-1,config_Holiday_Calendar_US),WORKDAY($A264,-1,config_Holiday_Calendar_US)),IF(ISNUMBER(_xll.BDH(config!$G$4,N$1,$A264,$A264)),_xll.BDH(config!$G$4,N$1,$A264,$A264),_xll.BDH(config!$G$5,N$1,$A264,$A264))))</f>
        <v>#N/A Requesting Data...</v>
      </c>
      <c r="O264" s="8" t="str">
        <f>IF($A264="","",IF(ISNUMBER(FIND("IMPVOL",O$1)),_xll.BDH(config!$G$4,O$1,WORKDAY($A264,-1,config_Holiday_Calendar_US),WORKDAY($A264,-1,config_Holiday_Calendar_US)),IF(ISNUMBER(_xll.BDH(config!$G$4,O$1,$A264,$A264)),_xll.BDH(config!$G$4,O$1,$A264,$A264),_xll.BDH(config!$G$5,O$1,$A264,$A264))))</f>
        <v>#N/A Requesting Data...</v>
      </c>
      <c r="P264" s="8" t="str">
        <f>IF($A264="","",IF(ISNUMBER(FIND("IMPVOL",P$1)),_xll.BDH(config!$G$4,P$1,WORKDAY($A264,-1,config_Holiday_Calendar_US),WORKDAY($A264,-1,config_Holiday_Calendar_US)),IF(ISNUMBER(_xll.BDH(config!$G$4,P$1,$A264,$A264)),_xll.BDH(config!$G$4,P$1,$A264,$A264),_xll.BDH(config!$G$5,P$1,$A264,$A264))))</f>
        <v>#N/A Requesting Data...</v>
      </c>
      <c r="Q264" s="8">
        <f>IF($A264="","",IF(ISNUMBER(FIND("IMPVOL",Q$1)),_xll.BDH(config!$G$4,Q$1,WORKDAY($A264,-1,config_Holiday_Calendar_US),WORKDAY($A264,-1,config_Holiday_Calendar_US)),IF(ISNUMBER(_xll.BDH(config!$G$4,Q$1,$A264,$A264)),_xll.BDH(config!$G$4,Q$1,$A264,$A264),_xll.BDH(config!$G$5,Q$1,$A264,$A264))))</f>
        <v>45.64</v>
      </c>
      <c r="R264" s="8">
        <f>IF($A264="","",IF(ISNUMBER(FIND("IMPVOL",R$1)),_xll.BDH(config!$G$4,R$1,WORKDAY($A264,-1,config_Holiday_Calendar_US),WORKDAY($A264,-1,config_Holiday_Calendar_US)),IF(ISNUMBER(_xll.BDH(config!$G$4,R$1,$A264,$A264)),_xll.BDH(config!$G$4,R$1,$A264,$A264),_xll.BDH(config!$G$5,R$1,$A264,$A264))))</f>
        <v>54.06</v>
      </c>
      <c r="S264" s="8" t="str">
        <f>IF($A264="","",IF(ISNUMBER(FIND("IMPVOL",S$1)),_xll.BDH(config!$G$4,S$1,WORKDAY($A264,-1,config_Holiday_Calendar_US),WORKDAY($A264,-1,config_Holiday_Calendar_US)),IF(ISNUMBER(_xll.BDH(config!$G$4,S$1,$A264,$A264)),_xll.BDH(config!$G$4,S$1,$A264,$A264),_xll.BDH(config!$G$5,S$1,$A264,$A264))))</f>
        <v>#N/A Requesting Data...</v>
      </c>
      <c r="T264" s="8" t="str">
        <f>IF($A264="","",IF(ISNUMBER(FIND("IMPVOL",T$1)),_xll.BDH(config!$G$4,T$1,WORKDAY($A264,-1,config_Holiday_Calendar_US),WORKDAY($A264,-1,config_Holiday_Calendar_US)),IF(ISNUMBER(_xll.BDH(config!$G$4,T$1,$A264,$A264)),_xll.BDH(config!$G$4,T$1,$A264,$A264),_xll.BDH(config!$G$5,T$1,$A264,$A264))))</f>
        <v>#N/A Requesting Data...</v>
      </c>
      <c r="U264" s="8" t="str">
        <f>IF($A264="","",IF(ISNUMBER(FIND("IMPVOL",U$1)),_xll.BDH(config!$G$4,U$1,WORKDAY($A264,-1,config_Holiday_Calendar_US),WORKDAY($A264,-1,config_Holiday_Calendar_US)),IF(ISNUMBER(_xll.BDH(config!$G$4,U$1,$A264,$A264)),_xll.BDH(config!$G$4,U$1,$A264,$A264),_xll.BDH(config!$G$5,U$1,$A264,$A264))))</f>
        <v>#N/A Requesting Data...</v>
      </c>
      <c r="V264" s="8" t="str">
        <f>IF($A264="","",IF(ISNUMBER(FIND("IMPVOL",V$1)),_xll.BDH(config!$G$4,V$1,WORKDAY($A264,-1,config_Holiday_Calendar_US),WORKDAY($A264,-1,config_Holiday_Calendar_US)),IF(ISNUMBER(_xll.BDH(config!$G$4,V$1,$A264,$A264)),_xll.BDH(config!$G$4,V$1,$A264,$A264),_xll.BDH(config!$G$5,V$1,$A264,$A264))))</f>
        <v>#N/A Requesting Data...</v>
      </c>
      <c r="W264" s="8" t="str">
        <f>IF($A264="","",IF(ISNUMBER(FIND("IMPVOL",W$1)),_xll.BDH(config!$G$4,W$1,WORKDAY($A264,-1,config_Holiday_Calendar_US),WORKDAY($A264,-1,config_Holiday_Calendar_US)),IF(ISNUMBER(_xll.BDH(config!$G$4,W$1,$A264,$A264)),_xll.BDH(config!$G$4,W$1,$A264,$A264),_xll.BDH(config!$G$5,W$1,$A264,$A264))))</f>
        <v>#N/A Requesting Data...</v>
      </c>
    </row>
    <row r="265" spans="1:23" x14ac:dyDescent="0.2">
      <c r="A265" s="9">
        <f>IF(A264="","",IF(WORKDAY(A264,-1,config_Holiday_Calendar_US)&lt;config!$I$10,"",WORKDAY(A264,-1,config_Holiday_Calendar_US)))</f>
        <v>42450</v>
      </c>
      <c r="B265" s="8" t="e">
        <f t="shared" si="4"/>
        <v>#VALUE!</v>
      </c>
      <c r="C265" s="8" t="str">
        <f>IF(A265="","",_xll.BDH(config!$H$4,C$1,$A265,$A265))</f>
        <v>#N/A Requesting Data...</v>
      </c>
      <c r="D265" s="8" t="str">
        <f>IF($A265="","",_xll.BDH(config!$H$4,D$1,$A265,$A265))</f>
        <v>#N/A Requesting Data...</v>
      </c>
      <c r="E265" s="8">
        <f>IF($A265="","",IF(ISNUMBER(FIND("IMPVOL",E$1)),_xll.BDH(config!$G$4,E$1,WORKDAY($A265,-1,config_Holiday_Calendar_US),WORKDAY($A265,-1,config_Holiday_Calendar_US)),IF(ISNUMBER(_xll.BDH(config!$G$4,E$1,$A265,$A265)),_xll.BDH(config!$G$4,E$1,$A265,$A265),_xll.BDH(config!$G$5,E$1,$A265,$A265))))</f>
        <v>39.06</v>
      </c>
      <c r="F265" s="8">
        <f>IF($A265="","",IF(ISNUMBER(FIND("IMPVOL",F$1)),_xll.BDH(config!$G$4,F$1,WORKDAY($A265,-1,config_Holiday_Calendar_US),WORKDAY($A265,-1,config_Holiday_Calendar_US)),IF(ISNUMBER(_xll.BDH(config!$G$4,F$1,$A265,$A265)),_xll.BDH(config!$G$4,F$1,$A265,$A265),_xll.BDH(config!$G$5,F$1,$A265,$A265))))</f>
        <v>40.299999999999997</v>
      </c>
      <c r="G265" s="8">
        <f>IF($A265="","",IF(ISNUMBER(FIND("IMPVOL",G$1)),_xll.BDH(config!$G$4,G$1,WORKDAY($A265,-1,config_Holiday_Calendar_US),WORKDAY($A265,-1,config_Holiday_Calendar_US)),IF(ISNUMBER(_xll.BDH(config!$G$4,G$1,$A265,$A265)),_xll.BDH(config!$G$4,G$1,$A265,$A265),_xll.BDH(config!$G$5,G$1,$A265,$A265))))</f>
        <v>40.409999999999997</v>
      </c>
      <c r="H265" s="8">
        <f>IF($A265="","",IF(ISNUMBER(FIND("IMPVOL",H$1)),_xll.BDH(config!$G$4,H$1,WORKDAY($A265,-1,config_Holiday_Calendar_US),WORKDAY($A265,-1,config_Holiday_Calendar_US)),IF(ISNUMBER(_xll.BDH(config!$G$4,H$1,$A265,$A265)),_xll.BDH(config!$G$4,H$1,$A265,$A265),_xll.BDH(config!$G$5,H$1,$A265,$A265))))</f>
        <v>479337</v>
      </c>
      <c r="I265" s="8" t="str">
        <f>IF($A265="","",IF(ISNUMBER(FIND("IMPVOL",I$1)),_xll.BDH(config!$G$4,I$1,WORKDAY($A265,-1,config_Holiday_Calendar_US),WORKDAY($A265,-1,config_Holiday_Calendar_US)),IF(ISNUMBER(_xll.BDH(config!$G$4,I$1,$A265,$A265)),_xll.BDH(config!$G$4,I$1,$A265,$A265),_xll.BDH(config!$G$5,I$1,$A265,$A265))))</f>
        <v>#N/A Requesting Data...</v>
      </c>
      <c r="J265" s="8" t="str">
        <f>IF($A265="","",IF(ISNUMBER(FIND("IMPVOL",J$1)),_xll.BDH(config!$G$4,J$1,WORKDAY($A265,-1,config_Holiday_Calendar_US),WORKDAY($A265,-1,config_Holiday_Calendar_US)),IF(ISNUMBER(_xll.BDH(config!$G$4,J$1,$A265,$A265)),_xll.BDH(config!$G$4,J$1,$A265,$A265),_xll.BDH(config!$G$5,J$1,$A265,$A265))))</f>
        <v>#N/A Requesting Data...</v>
      </c>
      <c r="K265" s="8" t="str">
        <f>IF($A265="","",IF(ISNUMBER(FIND("IMPVOL",K$1)),_xll.BDH(config!$G$4,K$1,WORKDAY($A265,-1,config_Holiday_Calendar_US),WORKDAY($A265,-1,config_Holiday_Calendar_US)),IF(ISNUMBER(_xll.BDH(config!$G$4,K$1,$A265,$A265)),_xll.BDH(config!$G$4,K$1,$A265,$A265),_xll.BDH(config!$G$5,K$1,$A265,$A265))))</f>
        <v>#N/A Requesting Data...</v>
      </c>
      <c r="L265" s="8" t="str">
        <f>IF($A265="","",IF(ISNUMBER(FIND("IMPVOL",L$1)),_xll.BDH(config!$G$4,L$1,WORKDAY($A265,-1,config_Holiday_Calendar_US),WORKDAY($A265,-1,config_Holiday_Calendar_US)),IF(ISNUMBER(_xll.BDH(config!$G$4,L$1,$A265,$A265)),_xll.BDH(config!$G$4,L$1,$A265,$A265),_xll.BDH(config!$G$5,L$1,$A265,$A265))))</f>
        <v>#N/A Requesting Data...</v>
      </c>
      <c r="M265" s="8" t="str">
        <f>IF($A265="","",IF(ISNUMBER(FIND("IMPVOL",M$1)),_xll.BDH(config!$G$4,M$1,WORKDAY($A265,-1,config_Holiday_Calendar_US),WORKDAY($A265,-1,config_Holiday_Calendar_US)),IF(ISNUMBER(_xll.BDH(config!$G$4,M$1,$A265,$A265)),_xll.BDH(config!$G$4,M$1,$A265,$A265),_xll.BDH(config!$G$5,M$1,$A265,$A265))))</f>
        <v>#N/A Requesting Data...</v>
      </c>
      <c r="N265" s="8" t="str">
        <f>IF($A265="","",IF(ISNUMBER(FIND("IMPVOL",N$1)),_xll.BDH(config!$G$4,N$1,WORKDAY($A265,-1,config_Holiday_Calendar_US),WORKDAY($A265,-1,config_Holiday_Calendar_US)),IF(ISNUMBER(_xll.BDH(config!$G$4,N$1,$A265,$A265)),_xll.BDH(config!$G$4,N$1,$A265,$A265),_xll.BDH(config!$G$5,N$1,$A265,$A265))))</f>
        <v>#N/A Requesting Data...</v>
      </c>
      <c r="O265" s="8" t="str">
        <f>IF($A265="","",IF(ISNUMBER(FIND("IMPVOL",O$1)),_xll.BDH(config!$G$4,O$1,WORKDAY($A265,-1,config_Holiday_Calendar_US),WORKDAY($A265,-1,config_Holiday_Calendar_US)),IF(ISNUMBER(_xll.BDH(config!$G$4,O$1,$A265,$A265)),_xll.BDH(config!$G$4,O$1,$A265,$A265),_xll.BDH(config!$G$5,O$1,$A265,$A265))))</f>
        <v>#N/A Requesting Data...</v>
      </c>
      <c r="P265" s="8" t="str">
        <f>IF($A265="","",IF(ISNUMBER(FIND("IMPVOL",P$1)),_xll.BDH(config!$G$4,P$1,WORKDAY($A265,-1,config_Holiday_Calendar_US),WORKDAY($A265,-1,config_Holiday_Calendar_US)),IF(ISNUMBER(_xll.BDH(config!$G$4,P$1,$A265,$A265)),_xll.BDH(config!$G$4,P$1,$A265,$A265),_xll.BDH(config!$G$5,P$1,$A265,$A265))))</f>
        <v>#N/A Requesting Data...</v>
      </c>
      <c r="Q265" s="8">
        <f>IF($A265="","",IF(ISNUMBER(FIND("IMPVOL",Q$1)),_xll.BDH(config!$G$4,Q$1,WORKDAY($A265,-1,config_Holiday_Calendar_US),WORKDAY($A265,-1,config_Holiday_Calendar_US)),IF(ISNUMBER(_xll.BDH(config!$G$4,Q$1,$A265,$A265)),_xll.BDH(config!$G$4,Q$1,$A265,$A265),_xll.BDH(config!$G$5,Q$1,$A265,$A265))))</f>
        <v>49.02</v>
      </c>
      <c r="R265" s="8">
        <f>IF($A265="","",IF(ISNUMBER(FIND("IMPVOL",R$1)),_xll.BDH(config!$G$4,R$1,WORKDAY($A265,-1,config_Holiday_Calendar_US),WORKDAY($A265,-1,config_Holiday_Calendar_US)),IF(ISNUMBER(_xll.BDH(config!$G$4,R$1,$A265,$A265)),_xll.BDH(config!$G$4,R$1,$A265,$A265),_xll.BDH(config!$G$5,R$1,$A265,$A265))))</f>
        <v>58.33</v>
      </c>
      <c r="S265" s="8" t="str">
        <f>IF($A265="","",IF(ISNUMBER(FIND("IMPVOL",S$1)),_xll.BDH(config!$G$4,S$1,WORKDAY($A265,-1,config_Holiday_Calendar_US),WORKDAY($A265,-1,config_Holiday_Calendar_US)),IF(ISNUMBER(_xll.BDH(config!$G$4,S$1,$A265,$A265)),_xll.BDH(config!$G$4,S$1,$A265,$A265),_xll.BDH(config!$G$5,S$1,$A265,$A265))))</f>
        <v>#N/A Requesting Data...</v>
      </c>
      <c r="T265" s="8" t="str">
        <f>IF($A265="","",IF(ISNUMBER(FIND("IMPVOL",T$1)),_xll.BDH(config!$G$4,T$1,WORKDAY($A265,-1,config_Holiday_Calendar_US),WORKDAY($A265,-1,config_Holiday_Calendar_US)),IF(ISNUMBER(_xll.BDH(config!$G$4,T$1,$A265,$A265)),_xll.BDH(config!$G$4,T$1,$A265,$A265),_xll.BDH(config!$G$5,T$1,$A265,$A265))))</f>
        <v>#N/A Requesting Data...</v>
      </c>
      <c r="U265" s="8" t="str">
        <f>IF($A265="","",IF(ISNUMBER(FIND("IMPVOL",U$1)),_xll.BDH(config!$G$4,U$1,WORKDAY($A265,-1,config_Holiday_Calendar_US),WORKDAY($A265,-1,config_Holiday_Calendar_US)),IF(ISNUMBER(_xll.BDH(config!$G$4,U$1,$A265,$A265)),_xll.BDH(config!$G$4,U$1,$A265,$A265),_xll.BDH(config!$G$5,U$1,$A265,$A265))))</f>
        <v>#N/A Requesting Data...</v>
      </c>
      <c r="V265" s="8" t="str">
        <f>IF($A265="","",IF(ISNUMBER(FIND("IMPVOL",V$1)),_xll.BDH(config!$G$4,V$1,WORKDAY($A265,-1,config_Holiday_Calendar_US),WORKDAY($A265,-1,config_Holiday_Calendar_US)),IF(ISNUMBER(_xll.BDH(config!$G$4,V$1,$A265,$A265)),_xll.BDH(config!$G$4,V$1,$A265,$A265),_xll.BDH(config!$G$5,V$1,$A265,$A265))))</f>
        <v>#N/A Requesting Data...</v>
      </c>
      <c r="W265" s="8" t="str">
        <f>IF($A265="","",IF(ISNUMBER(FIND("IMPVOL",W$1)),_xll.BDH(config!$G$4,W$1,WORKDAY($A265,-1,config_Holiday_Calendar_US),WORKDAY($A265,-1,config_Holiday_Calendar_US)),IF(ISNUMBER(_xll.BDH(config!$G$4,W$1,$A265,$A265)),_xll.BDH(config!$G$4,W$1,$A265,$A265),_xll.BDH(config!$G$5,W$1,$A265,$A265))))</f>
        <v>#N/A Requesting Data...</v>
      </c>
    </row>
    <row r="266" spans="1:23" x14ac:dyDescent="0.2">
      <c r="A266" s="9">
        <f>IF(A265="","",IF(WORKDAY(A265,-1,config_Holiday_Calendar_US)&lt;config!$I$10,"",WORKDAY(A265,-1,config_Holiday_Calendar_US)))</f>
        <v>42447</v>
      </c>
      <c r="B266" s="8" t="e">
        <f t="shared" si="4"/>
        <v>#VALUE!</v>
      </c>
      <c r="C266" s="8" t="str">
        <f>IF(A266="","",_xll.BDH(config!$H$4,C$1,$A266,$A266))</f>
        <v>#N/A Requesting Data...</v>
      </c>
      <c r="D266" s="8" t="str">
        <f>IF($A266="","",_xll.BDH(config!$H$4,D$1,$A266,$A266))</f>
        <v>#N/A Requesting Data...</v>
      </c>
      <c r="E266" s="8">
        <f>IF($A266="","",IF(ISNUMBER(FIND("IMPVOL",E$1)),_xll.BDH(config!$G$4,E$1,WORKDAY($A266,-1,config_Holiday_Calendar_US),WORKDAY($A266,-1,config_Holiday_Calendar_US)),IF(ISNUMBER(_xll.BDH(config!$G$4,E$1,$A266,$A266)),_xll.BDH(config!$G$4,E$1,$A266,$A266),_xll.BDH(config!$G$5,E$1,$A266,$A266))))</f>
        <v>40.25</v>
      </c>
      <c r="F266" s="8">
        <f>IF($A266="","",IF(ISNUMBER(FIND("IMPVOL",F$1)),_xll.BDH(config!$G$4,F$1,WORKDAY($A266,-1,config_Holiday_Calendar_US),WORKDAY($A266,-1,config_Holiday_Calendar_US)),IF(ISNUMBER(_xll.BDH(config!$G$4,F$1,$A266,$A266)),_xll.BDH(config!$G$4,F$1,$A266,$A266),_xll.BDH(config!$G$5,F$1,$A266,$A266))))</f>
        <v>41.2</v>
      </c>
      <c r="G266" s="8">
        <f>IF($A266="","",IF(ISNUMBER(FIND("IMPVOL",G$1)),_xll.BDH(config!$G$4,G$1,WORKDAY($A266,-1,config_Holiday_Calendar_US),WORKDAY($A266,-1,config_Holiday_Calendar_US)),IF(ISNUMBER(_xll.BDH(config!$G$4,G$1,$A266,$A266)),_xll.BDH(config!$G$4,G$1,$A266,$A266),_xll.BDH(config!$G$5,G$1,$A266,$A266))))</f>
        <v>41.02</v>
      </c>
      <c r="H266" s="8">
        <f>IF($A266="","",IF(ISNUMBER(FIND("IMPVOL",H$1)),_xll.BDH(config!$G$4,H$1,WORKDAY($A266,-1,config_Holiday_Calendar_US),WORKDAY($A266,-1,config_Holiday_Calendar_US)),IF(ISNUMBER(_xll.BDH(config!$G$4,H$1,$A266,$A266)),_xll.BDH(config!$G$4,H$1,$A266,$A266),_xll.BDH(config!$G$5,H$1,$A266,$A266))))</f>
        <v>671720</v>
      </c>
      <c r="I266" s="8" t="str">
        <f>IF($A266="","",IF(ISNUMBER(FIND("IMPVOL",I$1)),_xll.BDH(config!$G$4,I$1,WORKDAY($A266,-1,config_Holiday_Calendar_US),WORKDAY($A266,-1,config_Holiday_Calendar_US)),IF(ISNUMBER(_xll.BDH(config!$G$4,I$1,$A266,$A266)),_xll.BDH(config!$G$4,I$1,$A266,$A266),_xll.BDH(config!$G$5,I$1,$A266,$A266))))</f>
        <v>#N/A Requesting Data...</v>
      </c>
      <c r="J266" s="8" t="str">
        <f>IF($A266="","",IF(ISNUMBER(FIND("IMPVOL",J$1)),_xll.BDH(config!$G$4,J$1,WORKDAY($A266,-1,config_Holiday_Calendar_US),WORKDAY($A266,-1,config_Holiday_Calendar_US)),IF(ISNUMBER(_xll.BDH(config!$G$4,J$1,$A266,$A266)),_xll.BDH(config!$G$4,J$1,$A266,$A266),_xll.BDH(config!$G$5,J$1,$A266,$A266))))</f>
        <v>#N/A Requesting Data...</v>
      </c>
      <c r="K266" s="8" t="str">
        <f>IF($A266="","",IF(ISNUMBER(FIND("IMPVOL",K$1)),_xll.BDH(config!$G$4,K$1,WORKDAY($A266,-1,config_Holiday_Calendar_US),WORKDAY($A266,-1,config_Holiday_Calendar_US)),IF(ISNUMBER(_xll.BDH(config!$G$4,K$1,$A266,$A266)),_xll.BDH(config!$G$4,K$1,$A266,$A266),_xll.BDH(config!$G$5,K$1,$A266,$A266))))</f>
        <v>#N/A Requesting Data...</v>
      </c>
      <c r="L266" s="8" t="str">
        <f>IF($A266="","",IF(ISNUMBER(FIND("IMPVOL",L$1)),_xll.BDH(config!$G$4,L$1,WORKDAY($A266,-1,config_Holiday_Calendar_US),WORKDAY($A266,-1,config_Holiday_Calendar_US)),IF(ISNUMBER(_xll.BDH(config!$G$4,L$1,$A266,$A266)),_xll.BDH(config!$G$4,L$1,$A266,$A266),_xll.BDH(config!$G$5,L$1,$A266,$A266))))</f>
        <v>#N/A Requesting Data...</v>
      </c>
      <c r="M266" s="8" t="str">
        <f>IF($A266="","",IF(ISNUMBER(FIND("IMPVOL",M$1)),_xll.BDH(config!$G$4,M$1,WORKDAY($A266,-1,config_Holiday_Calendar_US),WORKDAY($A266,-1,config_Holiday_Calendar_US)),IF(ISNUMBER(_xll.BDH(config!$G$4,M$1,$A266,$A266)),_xll.BDH(config!$G$4,M$1,$A266,$A266),_xll.BDH(config!$G$5,M$1,$A266,$A266))))</f>
        <v>#N/A Requesting Data...</v>
      </c>
      <c r="N266" s="8" t="str">
        <f>IF($A266="","",IF(ISNUMBER(FIND("IMPVOL",N$1)),_xll.BDH(config!$G$4,N$1,WORKDAY($A266,-1,config_Holiday_Calendar_US),WORKDAY($A266,-1,config_Holiday_Calendar_US)),IF(ISNUMBER(_xll.BDH(config!$G$4,N$1,$A266,$A266)),_xll.BDH(config!$G$4,N$1,$A266,$A266),_xll.BDH(config!$G$5,N$1,$A266,$A266))))</f>
        <v>#N/A Requesting Data...</v>
      </c>
      <c r="O266" s="8" t="str">
        <f>IF($A266="","",IF(ISNUMBER(FIND("IMPVOL",O$1)),_xll.BDH(config!$G$4,O$1,WORKDAY($A266,-1,config_Holiday_Calendar_US),WORKDAY($A266,-1,config_Holiday_Calendar_US)),IF(ISNUMBER(_xll.BDH(config!$G$4,O$1,$A266,$A266)),_xll.BDH(config!$G$4,O$1,$A266,$A266),_xll.BDH(config!$G$5,O$1,$A266,$A266))))</f>
        <v>#N/A Requesting Data...</v>
      </c>
      <c r="P266" s="8" t="str">
        <f>IF($A266="","",IF(ISNUMBER(FIND("IMPVOL",P$1)),_xll.BDH(config!$G$4,P$1,WORKDAY($A266,-1,config_Holiday_Calendar_US),WORKDAY($A266,-1,config_Holiday_Calendar_US)),IF(ISNUMBER(_xll.BDH(config!$G$4,P$1,$A266,$A266)),_xll.BDH(config!$G$4,P$1,$A266,$A266),_xll.BDH(config!$G$5,P$1,$A266,$A266))))</f>
        <v>#N/A Requesting Data...</v>
      </c>
      <c r="Q266" s="8">
        <f>IF($A266="","",IF(ISNUMBER(FIND("IMPVOL",Q$1)),_xll.BDH(config!$G$4,Q$1,WORKDAY($A266,-1,config_Holiday_Calendar_US),WORKDAY($A266,-1,config_Holiday_Calendar_US)),IF(ISNUMBER(_xll.BDH(config!$G$4,Q$1,$A266,$A266)),_xll.BDH(config!$G$4,Q$1,$A266,$A266),_xll.BDH(config!$G$5,Q$1,$A266,$A266))))</f>
        <v>54.51</v>
      </c>
      <c r="R266" s="8">
        <f>IF($A266="","",IF(ISNUMBER(FIND("IMPVOL",R$1)),_xll.BDH(config!$G$4,R$1,WORKDAY($A266,-1,config_Holiday_Calendar_US),WORKDAY($A266,-1,config_Holiday_Calendar_US)),IF(ISNUMBER(_xll.BDH(config!$G$4,R$1,$A266,$A266)),_xll.BDH(config!$G$4,R$1,$A266,$A266),_xll.BDH(config!$G$5,R$1,$A266,$A266))))</f>
        <v>59.73</v>
      </c>
      <c r="S266" s="8" t="str">
        <f>IF($A266="","",IF(ISNUMBER(FIND("IMPVOL",S$1)),_xll.BDH(config!$G$4,S$1,WORKDAY($A266,-1,config_Holiday_Calendar_US),WORKDAY($A266,-1,config_Holiday_Calendar_US)),IF(ISNUMBER(_xll.BDH(config!$G$4,S$1,$A266,$A266)),_xll.BDH(config!$G$4,S$1,$A266,$A266),_xll.BDH(config!$G$5,S$1,$A266,$A266))))</f>
        <v>#N/A Requesting Data...</v>
      </c>
      <c r="T266" s="8" t="str">
        <f>IF($A266="","",IF(ISNUMBER(FIND("IMPVOL",T$1)),_xll.BDH(config!$G$4,T$1,WORKDAY($A266,-1,config_Holiday_Calendar_US),WORKDAY($A266,-1,config_Holiday_Calendar_US)),IF(ISNUMBER(_xll.BDH(config!$G$4,T$1,$A266,$A266)),_xll.BDH(config!$G$4,T$1,$A266,$A266),_xll.BDH(config!$G$5,T$1,$A266,$A266))))</f>
        <v>#N/A Requesting Data...</v>
      </c>
      <c r="U266" s="8" t="str">
        <f>IF($A266="","",IF(ISNUMBER(FIND("IMPVOL",U$1)),_xll.BDH(config!$G$4,U$1,WORKDAY($A266,-1,config_Holiday_Calendar_US),WORKDAY($A266,-1,config_Holiday_Calendar_US)),IF(ISNUMBER(_xll.BDH(config!$G$4,U$1,$A266,$A266)),_xll.BDH(config!$G$4,U$1,$A266,$A266),_xll.BDH(config!$G$5,U$1,$A266,$A266))))</f>
        <v>#N/A Requesting Data...</v>
      </c>
      <c r="V266" s="8" t="str">
        <f>IF($A266="","",IF(ISNUMBER(FIND("IMPVOL",V$1)),_xll.BDH(config!$G$4,V$1,WORKDAY($A266,-1,config_Holiday_Calendar_US),WORKDAY($A266,-1,config_Holiday_Calendar_US)),IF(ISNUMBER(_xll.BDH(config!$G$4,V$1,$A266,$A266)),_xll.BDH(config!$G$4,V$1,$A266,$A266),_xll.BDH(config!$G$5,V$1,$A266,$A266))))</f>
        <v>#N/A Requesting Data...</v>
      </c>
      <c r="W266" s="8" t="str">
        <f>IF($A266="","",IF(ISNUMBER(FIND("IMPVOL",W$1)),_xll.BDH(config!$G$4,W$1,WORKDAY($A266,-1,config_Holiday_Calendar_US),WORKDAY($A266,-1,config_Holiday_Calendar_US)),IF(ISNUMBER(_xll.BDH(config!$G$4,W$1,$A266,$A266)),_xll.BDH(config!$G$4,W$1,$A266,$A266),_xll.BDH(config!$G$5,W$1,$A266,$A266))))</f>
        <v>#N/A Requesting Data...</v>
      </c>
    </row>
    <row r="267" spans="1:23" x14ac:dyDescent="0.2">
      <c r="A267" s="9">
        <f>IF(A266="","",IF(WORKDAY(A266,-1,config_Holiday_Calendar_US)&lt;config!$I$10,"",WORKDAY(A266,-1,config_Holiday_Calendar_US)))</f>
        <v>42446</v>
      </c>
      <c r="B267" s="8" t="e">
        <f t="shared" si="4"/>
        <v>#VALUE!</v>
      </c>
      <c r="C267" s="8" t="str">
        <f>IF(A267="","",_xll.BDH(config!$H$4,C$1,$A267,$A267))</f>
        <v>#N/A Requesting Data...</v>
      </c>
      <c r="D267" s="8" t="str">
        <f>IF($A267="","",_xll.BDH(config!$H$4,D$1,$A267,$A267))</f>
        <v>#N/A Requesting Data...</v>
      </c>
      <c r="E267" s="8">
        <f>IF($A267="","",IF(ISNUMBER(FIND("IMPVOL",E$1)),_xll.BDH(config!$G$4,E$1,WORKDAY($A267,-1,config_Holiday_Calendar_US),WORKDAY($A267,-1,config_Holiday_Calendar_US)),IF(ISNUMBER(_xll.BDH(config!$G$4,E$1,$A267,$A267)),_xll.BDH(config!$G$4,E$1,$A267,$A267),_xll.BDH(config!$G$5,E$1,$A267,$A267))))</f>
        <v>38.590000000000003</v>
      </c>
      <c r="F267" s="8">
        <f>IF($A267="","",IF(ISNUMBER(FIND("IMPVOL",F$1)),_xll.BDH(config!$G$4,F$1,WORKDAY($A267,-1,config_Holiday_Calendar_US),WORKDAY($A267,-1,config_Holiday_Calendar_US)),IF(ISNUMBER(_xll.BDH(config!$G$4,F$1,$A267,$A267)),_xll.BDH(config!$G$4,F$1,$A267,$A267),_xll.BDH(config!$G$5,F$1,$A267,$A267))))</f>
        <v>40.36</v>
      </c>
      <c r="G267" s="8">
        <f>IF($A267="","",IF(ISNUMBER(FIND("IMPVOL",G$1)),_xll.BDH(config!$G$4,G$1,WORKDAY($A267,-1,config_Holiday_Calendar_US),WORKDAY($A267,-1,config_Holiday_Calendar_US)),IF(ISNUMBER(_xll.BDH(config!$G$4,G$1,$A267,$A267)),_xll.BDH(config!$G$4,G$1,$A267,$A267),_xll.BDH(config!$G$5,G$1,$A267,$A267))))</f>
        <v>40</v>
      </c>
      <c r="H267" s="8">
        <f>IF($A267="","",IF(ISNUMBER(FIND("IMPVOL",H$1)),_xll.BDH(config!$G$4,H$1,WORKDAY($A267,-1,config_Holiday_Calendar_US),WORKDAY($A267,-1,config_Holiday_Calendar_US)),IF(ISNUMBER(_xll.BDH(config!$G$4,H$1,$A267,$A267)),_xll.BDH(config!$G$4,H$1,$A267,$A267),_xll.BDH(config!$G$5,H$1,$A267,$A267))))</f>
        <v>442919</v>
      </c>
      <c r="I267" s="8" t="str">
        <f>IF($A267="","",IF(ISNUMBER(FIND("IMPVOL",I$1)),_xll.BDH(config!$G$4,I$1,WORKDAY($A267,-1,config_Holiday_Calendar_US),WORKDAY($A267,-1,config_Holiday_Calendar_US)),IF(ISNUMBER(_xll.BDH(config!$G$4,I$1,$A267,$A267)),_xll.BDH(config!$G$4,I$1,$A267,$A267),_xll.BDH(config!$G$5,I$1,$A267,$A267))))</f>
        <v>#N/A Requesting Data...</v>
      </c>
      <c r="J267" s="8" t="str">
        <f>IF($A267="","",IF(ISNUMBER(FIND("IMPVOL",J$1)),_xll.BDH(config!$G$4,J$1,WORKDAY($A267,-1,config_Holiday_Calendar_US),WORKDAY($A267,-1,config_Holiday_Calendar_US)),IF(ISNUMBER(_xll.BDH(config!$G$4,J$1,$A267,$A267)),_xll.BDH(config!$G$4,J$1,$A267,$A267),_xll.BDH(config!$G$5,J$1,$A267,$A267))))</f>
        <v>#N/A Requesting Data...</v>
      </c>
      <c r="K267" s="8" t="str">
        <f>IF($A267="","",IF(ISNUMBER(FIND("IMPVOL",K$1)),_xll.BDH(config!$G$4,K$1,WORKDAY($A267,-1,config_Holiday_Calendar_US),WORKDAY($A267,-1,config_Holiday_Calendar_US)),IF(ISNUMBER(_xll.BDH(config!$G$4,K$1,$A267,$A267)),_xll.BDH(config!$G$4,K$1,$A267,$A267),_xll.BDH(config!$G$5,K$1,$A267,$A267))))</f>
        <v>#N/A Requesting Data...</v>
      </c>
      <c r="L267" s="8" t="str">
        <f>IF($A267="","",IF(ISNUMBER(FIND("IMPVOL",L$1)),_xll.BDH(config!$G$4,L$1,WORKDAY($A267,-1,config_Holiday_Calendar_US),WORKDAY($A267,-1,config_Holiday_Calendar_US)),IF(ISNUMBER(_xll.BDH(config!$G$4,L$1,$A267,$A267)),_xll.BDH(config!$G$4,L$1,$A267,$A267),_xll.BDH(config!$G$5,L$1,$A267,$A267))))</f>
        <v>#N/A Requesting Data...</v>
      </c>
      <c r="M267" s="8" t="str">
        <f>IF($A267="","",IF(ISNUMBER(FIND("IMPVOL",M$1)),_xll.BDH(config!$G$4,M$1,WORKDAY($A267,-1,config_Holiday_Calendar_US),WORKDAY($A267,-1,config_Holiday_Calendar_US)),IF(ISNUMBER(_xll.BDH(config!$G$4,M$1,$A267,$A267)),_xll.BDH(config!$G$4,M$1,$A267,$A267),_xll.BDH(config!$G$5,M$1,$A267,$A267))))</f>
        <v>#N/A Requesting Data...</v>
      </c>
      <c r="N267" s="8" t="str">
        <f>IF($A267="","",IF(ISNUMBER(FIND("IMPVOL",N$1)),_xll.BDH(config!$G$4,N$1,WORKDAY($A267,-1,config_Holiday_Calendar_US),WORKDAY($A267,-1,config_Holiday_Calendar_US)),IF(ISNUMBER(_xll.BDH(config!$G$4,N$1,$A267,$A267)),_xll.BDH(config!$G$4,N$1,$A267,$A267),_xll.BDH(config!$G$5,N$1,$A267,$A267))))</f>
        <v>#N/A Requesting Data...</v>
      </c>
      <c r="O267" s="8" t="str">
        <f>IF($A267="","",IF(ISNUMBER(FIND("IMPVOL",O$1)),_xll.BDH(config!$G$4,O$1,WORKDAY($A267,-1,config_Holiday_Calendar_US),WORKDAY($A267,-1,config_Holiday_Calendar_US)),IF(ISNUMBER(_xll.BDH(config!$G$4,O$1,$A267,$A267)),_xll.BDH(config!$G$4,O$1,$A267,$A267),_xll.BDH(config!$G$5,O$1,$A267,$A267))))</f>
        <v>#N/A Requesting Data...</v>
      </c>
      <c r="P267" s="8" t="str">
        <f>IF($A267="","",IF(ISNUMBER(FIND("IMPVOL",P$1)),_xll.BDH(config!$G$4,P$1,WORKDAY($A267,-1,config_Holiday_Calendar_US),WORKDAY($A267,-1,config_Holiday_Calendar_US)),IF(ISNUMBER(_xll.BDH(config!$G$4,P$1,$A267,$A267)),_xll.BDH(config!$G$4,P$1,$A267,$A267),_xll.BDH(config!$G$5,P$1,$A267,$A267))))</f>
        <v>#N/A Requesting Data...</v>
      </c>
      <c r="Q267" s="8">
        <f>IF($A267="","",IF(ISNUMBER(FIND("IMPVOL",Q$1)),_xll.BDH(config!$G$4,Q$1,WORKDAY($A267,-1,config_Holiday_Calendar_US),WORKDAY($A267,-1,config_Holiday_Calendar_US)),IF(ISNUMBER(_xll.BDH(config!$G$4,Q$1,$A267,$A267)),_xll.BDH(config!$G$4,Q$1,$A267,$A267),_xll.BDH(config!$G$5,Q$1,$A267,$A267))))</f>
        <v>59.44</v>
      </c>
      <c r="R267" s="8">
        <f>IF($A267="","",IF(ISNUMBER(FIND("IMPVOL",R$1)),_xll.BDH(config!$G$4,R$1,WORKDAY($A267,-1,config_Holiday_Calendar_US),WORKDAY($A267,-1,config_Holiday_Calendar_US)),IF(ISNUMBER(_xll.BDH(config!$G$4,R$1,$A267,$A267)),_xll.BDH(config!$G$4,R$1,$A267,$A267),_xll.BDH(config!$G$5,R$1,$A267,$A267))))</f>
        <v>60.01</v>
      </c>
      <c r="S267" s="8" t="str">
        <f>IF($A267="","",IF(ISNUMBER(FIND("IMPVOL",S$1)),_xll.BDH(config!$G$4,S$1,WORKDAY($A267,-1,config_Holiday_Calendar_US),WORKDAY($A267,-1,config_Holiday_Calendar_US)),IF(ISNUMBER(_xll.BDH(config!$G$4,S$1,$A267,$A267)),_xll.BDH(config!$G$4,S$1,$A267,$A267),_xll.BDH(config!$G$5,S$1,$A267,$A267))))</f>
        <v>#N/A Requesting Data...</v>
      </c>
      <c r="T267" s="8" t="str">
        <f>IF($A267="","",IF(ISNUMBER(FIND("IMPVOL",T$1)),_xll.BDH(config!$G$4,T$1,WORKDAY($A267,-1,config_Holiday_Calendar_US),WORKDAY($A267,-1,config_Holiday_Calendar_US)),IF(ISNUMBER(_xll.BDH(config!$G$4,T$1,$A267,$A267)),_xll.BDH(config!$G$4,T$1,$A267,$A267),_xll.BDH(config!$G$5,T$1,$A267,$A267))))</f>
        <v>#N/A Requesting Data...</v>
      </c>
      <c r="U267" s="8" t="str">
        <f>IF($A267="","",IF(ISNUMBER(FIND("IMPVOL",U$1)),_xll.BDH(config!$G$4,U$1,WORKDAY($A267,-1,config_Holiday_Calendar_US),WORKDAY($A267,-1,config_Holiday_Calendar_US)),IF(ISNUMBER(_xll.BDH(config!$G$4,U$1,$A267,$A267)),_xll.BDH(config!$G$4,U$1,$A267,$A267),_xll.BDH(config!$G$5,U$1,$A267,$A267))))</f>
        <v>#N/A Requesting Data...</v>
      </c>
      <c r="V267" s="8" t="str">
        <f>IF($A267="","",IF(ISNUMBER(FIND("IMPVOL",V$1)),_xll.BDH(config!$G$4,V$1,WORKDAY($A267,-1,config_Holiday_Calendar_US),WORKDAY($A267,-1,config_Holiday_Calendar_US)),IF(ISNUMBER(_xll.BDH(config!$G$4,V$1,$A267,$A267)),_xll.BDH(config!$G$4,V$1,$A267,$A267),_xll.BDH(config!$G$5,V$1,$A267,$A267))))</f>
        <v>#N/A Requesting Data...</v>
      </c>
      <c r="W267" s="8" t="str">
        <f>IF($A267="","",IF(ISNUMBER(FIND("IMPVOL",W$1)),_xll.BDH(config!$G$4,W$1,WORKDAY($A267,-1,config_Holiday_Calendar_US),WORKDAY($A267,-1,config_Holiday_Calendar_US)),IF(ISNUMBER(_xll.BDH(config!$G$4,W$1,$A267,$A267)),_xll.BDH(config!$G$4,W$1,$A267,$A267),_xll.BDH(config!$G$5,W$1,$A267,$A267))))</f>
        <v>#N/A Requesting Data...</v>
      </c>
    </row>
    <row r="268" spans="1:23" x14ac:dyDescent="0.2">
      <c r="A268" s="9">
        <f>IF(A267="","",IF(WORKDAY(A267,-1,config_Holiday_Calendar_US)&lt;config!$I$10,"",WORKDAY(A267,-1,config_Holiday_Calendar_US)))</f>
        <v>42445</v>
      </c>
      <c r="B268" s="8" t="e">
        <f t="shared" si="4"/>
        <v>#VALUE!</v>
      </c>
      <c r="C268" s="8" t="str">
        <f>IF(A268="","",_xll.BDH(config!$H$4,C$1,$A268,$A268))</f>
        <v>#N/A Requesting Data...</v>
      </c>
      <c r="D268" s="8" t="str">
        <f>IF($A268="","",_xll.BDH(config!$H$4,D$1,$A268,$A268))</f>
        <v>#N/A Requesting Data...</v>
      </c>
      <c r="E268" s="8">
        <f>IF($A268="","",IF(ISNUMBER(FIND("IMPVOL",E$1)),_xll.BDH(config!$G$4,E$1,WORKDAY($A268,-1,config_Holiday_Calendar_US),WORKDAY($A268,-1,config_Holiday_Calendar_US)),IF(ISNUMBER(_xll.BDH(config!$G$4,E$1,$A268,$A268)),_xll.BDH(config!$G$4,E$1,$A268,$A268),_xll.BDH(config!$G$5,E$1,$A268,$A268))))</f>
        <v>36.74</v>
      </c>
      <c r="F268" s="8">
        <f>IF($A268="","",IF(ISNUMBER(FIND("IMPVOL",F$1)),_xll.BDH(config!$G$4,F$1,WORKDAY($A268,-1,config_Holiday_Calendar_US),WORKDAY($A268,-1,config_Holiday_Calendar_US)),IF(ISNUMBER(_xll.BDH(config!$G$4,F$1,$A268,$A268)),_xll.BDH(config!$G$4,F$1,$A268,$A268),_xll.BDH(config!$G$5,F$1,$A268,$A268))))</f>
        <v>38.630000000000003</v>
      </c>
      <c r="G268" s="8">
        <f>IF($A268="","",IF(ISNUMBER(FIND("IMPVOL",G$1)),_xll.BDH(config!$G$4,G$1,WORKDAY($A268,-1,config_Holiday_Calendar_US),WORKDAY($A268,-1,config_Holiday_Calendar_US)),IF(ISNUMBER(_xll.BDH(config!$G$4,G$1,$A268,$A268)),_xll.BDH(config!$G$4,G$1,$A268,$A268),_xll.BDH(config!$G$5,G$1,$A268,$A268))))</f>
        <v>38.39</v>
      </c>
      <c r="H268" s="8">
        <f>IF($A268="","",IF(ISNUMBER(FIND("IMPVOL",H$1)),_xll.BDH(config!$G$4,H$1,WORKDAY($A268,-1,config_Holiday_Calendar_US),WORKDAY($A268,-1,config_Holiday_Calendar_US)),IF(ISNUMBER(_xll.BDH(config!$G$4,H$1,$A268,$A268)),_xll.BDH(config!$G$4,H$1,$A268,$A268),_xll.BDH(config!$G$5,H$1,$A268,$A268))))</f>
        <v>374538</v>
      </c>
      <c r="I268" s="8" t="str">
        <f>IF($A268="","",IF(ISNUMBER(FIND("IMPVOL",I$1)),_xll.BDH(config!$G$4,I$1,WORKDAY($A268,-1,config_Holiday_Calendar_US),WORKDAY($A268,-1,config_Holiday_Calendar_US)),IF(ISNUMBER(_xll.BDH(config!$G$4,I$1,$A268,$A268)),_xll.BDH(config!$G$4,I$1,$A268,$A268),_xll.BDH(config!$G$5,I$1,$A268,$A268))))</f>
        <v>#N/A Requesting Data...</v>
      </c>
      <c r="J268" s="8" t="str">
        <f>IF($A268="","",IF(ISNUMBER(FIND("IMPVOL",J$1)),_xll.BDH(config!$G$4,J$1,WORKDAY($A268,-1,config_Holiday_Calendar_US),WORKDAY($A268,-1,config_Holiday_Calendar_US)),IF(ISNUMBER(_xll.BDH(config!$G$4,J$1,$A268,$A268)),_xll.BDH(config!$G$4,J$1,$A268,$A268),_xll.BDH(config!$G$5,J$1,$A268,$A268))))</f>
        <v>#N/A Requesting Data...</v>
      </c>
      <c r="K268" s="8" t="str">
        <f>IF($A268="","",IF(ISNUMBER(FIND("IMPVOL",K$1)),_xll.BDH(config!$G$4,K$1,WORKDAY($A268,-1,config_Holiday_Calendar_US),WORKDAY($A268,-1,config_Holiday_Calendar_US)),IF(ISNUMBER(_xll.BDH(config!$G$4,K$1,$A268,$A268)),_xll.BDH(config!$G$4,K$1,$A268,$A268),_xll.BDH(config!$G$5,K$1,$A268,$A268))))</f>
        <v>#N/A Requesting Data...</v>
      </c>
      <c r="L268" s="8" t="str">
        <f>IF($A268="","",IF(ISNUMBER(FIND("IMPVOL",L$1)),_xll.BDH(config!$G$4,L$1,WORKDAY($A268,-1,config_Holiday_Calendar_US),WORKDAY($A268,-1,config_Holiday_Calendar_US)),IF(ISNUMBER(_xll.BDH(config!$G$4,L$1,$A268,$A268)),_xll.BDH(config!$G$4,L$1,$A268,$A268),_xll.BDH(config!$G$5,L$1,$A268,$A268))))</f>
        <v>#N/A Requesting Data...</v>
      </c>
      <c r="M268" s="8" t="str">
        <f>IF($A268="","",IF(ISNUMBER(FIND("IMPVOL",M$1)),_xll.BDH(config!$G$4,M$1,WORKDAY($A268,-1,config_Holiday_Calendar_US),WORKDAY($A268,-1,config_Holiday_Calendar_US)),IF(ISNUMBER(_xll.BDH(config!$G$4,M$1,$A268,$A268)),_xll.BDH(config!$G$4,M$1,$A268,$A268),_xll.BDH(config!$G$5,M$1,$A268,$A268))))</f>
        <v>#N/A Requesting Data...</v>
      </c>
      <c r="N268" s="8" t="str">
        <f>IF($A268="","",IF(ISNUMBER(FIND("IMPVOL",N$1)),_xll.BDH(config!$G$4,N$1,WORKDAY($A268,-1,config_Holiday_Calendar_US),WORKDAY($A268,-1,config_Holiday_Calendar_US)),IF(ISNUMBER(_xll.BDH(config!$G$4,N$1,$A268,$A268)),_xll.BDH(config!$G$4,N$1,$A268,$A268),_xll.BDH(config!$G$5,N$1,$A268,$A268))))</f>
        <v>#N/A Requesting Data...</v>
      </c>
      <c r="O268" s="8" t="str">
        <f>IF($A268="","",IF(ISNUMBER(FIND("IMPVOL",O$1)),_xll.BDH(config!$G$4,O$1,WORKDAY($A268,-1,config_Holiday_Calendar_US),WORKDAY($A268,-1,config_Holiday_Calendar_US)),IF(ISNUMBER(_xll.BDH(config!$G$4,O$1,$A268,$A268)),_xll.BDH(config!$G$4,O$1,$A268,$A268),_xll.BDH(config!$G$5,O$1,$A268,$A268))))</f>
        <v>#N/A Requesting Data...</v>
      </c>
      <c r="P268" s="8" t="str">
        <f>IF($A268="","",IF(ISNUMBER(FIND("IMPVOL",P$1)),_xll.BDH(config!$G$4,P$1,WORKDAY($A268,-1,config_Holiday_Calendar_US),WORKDAY($A268,-1,config_Holiday_Calendar_US)),IF(ISNUMBER(_xll.BDH(config!$G$4,P$1,$A268,$A268)),_xll.BDH(config!$G$4,P$1,$A268,$A268),_xll.BDH(config!$G$5,P$1,$A268,$A268))))</f>
        <v>#N/A Requesting Data...</v>
      </c>
      <c r="Q268" s="8">
        <f>IF($A268="","",IF(ISNUMBER(FIND("IMPVOL",Q$1)),_xll.BDH(config!$G$4,Q$1,WORKDAY($A268,-1,config_Holiday_Calendar_US),WORKDAY($A268,-1,config_Holiday_Calendar_US)),IF(ISNUMBER(_xll.BDH(config!$G$4,Q$1,$A268,$A268)),_xll.BDH(config!$G$4,Q$1,$A268,$A268),_xll.BDH(config!$G$5,Q$1,$A268,$A268))))</f>
        <v>59.08</v>
      </c>
      <c r="R268" s="8">
        <f>IF($A268="","",IF(ISNUMBER(FIND("IMPVOL",R$1)),_xll.BDH(config!$G$4,R$1,WORKDAY($A268,-1,config_Holiday_Calendar_US),WORKDAY($A268,-1,config_Holiday_Calendar_US)),IF(ISNUMBER(_xll.BDH(config!$G$4,R$1,$A268,$A268)),_xll.BDH(config!$G$4,R$1,$A268,$A268),_xll.BDH(config!$G$5,R$1,$A268,$A268))))</f>
        <v>59.45</v>
      </c>
      <c r="S268" s="8" t="str">
        <f>IF($A268="","",IF(ISNUMBER(FIND("IMPVOL",S$1)),_xll.BDH(config!$G$4,S$1,WORKDAY($A268,-1,config_Holiday_Calendar_US),WORKDAY($A268,-1,config_Holiday_Calendar_US)),IF(ISNUMBER(_xll.BDH(config!$G$4,S$1,$A268,$A268)),_xll.BDH(config!$G$4,S$1,$A268,$A268),_xll.BDH(config!$G$5,S$1,$A268,$A268))))</f>
        <v>#N/A Requesting Data...</v>
      </c>
      <c r="T268" s="8" t="str">
        <f>IF($A268="","",IF(ISNUMBER(FIND("IMPVOL",T$1)),_xll.BDH(config!$G$4,T$1,WORKDAY($A268,-1,config_Holiday_Calendar_US),WORKDAY($A268,-1,config_Holiday_Calendar_US)),IF(ISNUMBER(_xll.BDH(config!$G$4,T$1,$A268,$A268)),_xll.BDH(config!$G$4,T$1,$A268,$A268),_xll.BDH(config!$G$5,T$1,$A268,$A268))))</f>
        <v>#N/A Requesting Data...</v>
      </c>
      <c r="U268" s="8" t="str">
        <f>IF($A268="","",IF(ISNUMBER(FIND("IMPVOL",U$1)),_xll.BDH(config!$G$4,U$1,WORKDAY($A268,-1,config_Holiday_Calendar_US),WORKDAY($A268,-1,config_Holiday_Calendar_US)),IF(ISNUMBER(_xll.BDH(config!$G$4,U$1,$A268,$A268)),_xll.BDH(config!$G$4,U$1,$A268,$A268),_xll.BDH(config!$G$5,U$1,$A268,$A268))))</f>
        <v>#N/A Requesting Data...</v>
      </c>
      <c r="V268" s="8" t="str">
        <f>IF($A268="","",IF(ISNUMBER(FIND("IMPVOL",V$1)),_xll.BDH(config!$G$4,V$1,WORKDAY($A268,-1,config_Holiday_Calendar_US),WORKDAY($A268,-1,config_Holiday_Calendar_US)),IF(ISNUMBER(_xll.BDH(config!$G$4,V$1,$A268,$A268)),_xll.BDH(config!$G$4,V$1,$A268,$A268),_xll.BDH(config!$G$5,V$1,$A268,$A268))))</f>
        <v>#N/A Requesting Data...</v>
      </c>
      <c r="W268" s="8" t="str">
        <f>IF($A268="","",IF(ISNUMBER(FIND("IMPVOL",W$1)),_xll.BDH(config!$G$4,W$1,WORKDAY($A268,-1,config_Holiday_Calendar_US),WORKDAY($A268,-1,config_Holiday_Calendar_US)),IF(ISNUMBER(_xll.BDH(config!$G$4,W$1,$A268,$A268)),_xll.BDH(config!$G$4,W$1,$A268,$A268),_xll.BDH(config!$G$5,W$1,$A268,$A268))))</f>
        <v>#N/A Requesting Data...</v>
      </c>
    </row>
    <row r="269" spans="1:23" x14ac:dyDescent="0.2">
      <c r="A269" s="9">
        <f>IF(A268="","",IF(WORKDAY(A268,-1,config_Holiday_Calendar_US)&lt;config!$I$10,"",WORKDAY(A268,-1,config_Holiday_Calendar_US)))</f>
        <v>42444</v>
      </c>
      <c r="B269" s="8" t="e">
        <f t="shared" si="4"/>
        <v>#VALUE!</v>
      </c>
      <c r="C269" s="8" t="str">
        <f>IF(A269="","",_xll.BDH(config!$H$4,C$1,$A269,$A269))</f>
        <v>#N/A Requesting Data...</v>
      </c>
      <c r="D269" s="8" t="str">
        <f>IF($A269="","",_xll.BDH(config!$H$4,D$1,$A269,$A269))</f>
        <v>#N/A Requesting Data...</v>
      </c>
      <c r="E269" s="8">
        <f>IF($A269="","",IF(ISNUMBER(FIND("IMPVOL",E$1)),_xll.BDH(config!$G$4,E$1,WORKDAY($A269,-1,config_Holiday_Calendar_US),WORKDAY($A269,-1,config_Holiday_Calendar_US)),IF(ISNUMBER(_xll.BDH(config!$G$4,E$1,$A269,$A269)),_xll.BDH(config!$G$4,E$1,$A269,$A269),_xll.BDH(config!$G$5,E$1,$A269,$A269))))</f>
        <v>37.369999999999997</v>
      </c>
      <c r="F269" s="8">
        <f>IF($A269="","",IF(ISNUMBER(FIND("IMPVOL",F$1)),_xll.BDH(config!$G$4,F$1,WORKDAY($A269,-1,config_Holiday_Calendar_US),WORKDAY($A269,-1,config_Holiday_Calendar_US)),IF(ISNUMBER(_xll.BDH(config!$G$4,F$1,$A269,$A269)),_xll.BDH(config!$G$4,F$1,$A269,$A269),_xll.BDH(config!$G$5,F$1,$A269,$A269))))</f>
        <v>37.4</v>
      </c>
      <c r="G269" s="8">
        <f>IF($A269="","",IF(ISNUMBER(FIND("IMPVOL",G$1)),_xll.BDH(config!$G$4,G$1,WORKDAY($A269,-1,config_Holiday_Calendar_US),WORKDAY($A269,-1,config_Holiday_Calendar_US)),IF(ISNUMBER(_xll.BDH(config!$G$4,G$1,$A269,$A269)),_xll.BDH(config!$G$4,G$1,$A269,$A269),_xll.BDH(config!$G$5,G$1,$A269,$A269))))</f>
        <v>37.71</v>
      </c>
      <c r="H269" s="8">
        <f>IF($A269="","",IF(ISNUMBER(FIND("IMPVOL",H$1)),_xll.BDH(config!$G$4,H$1,WORKDAY($A269,-1,config_Holiday_Calendar_US),WORKDAY($A269,-1,config_Holiday_Calendar_US)),IF(ISNUMBER(_xll.BDH(config!$G$4,H$1,$A269,$A269)),_xll.BDH(config!$G$4,H$1,$A269,$A269),_xll.BDH(config!$G$5,H$1,$A269,$A269))))</f>
        <v>246022</v>
      </c>
      <c r="I269" s="8" t="str">
        <f>IF($A269="","",IF(ISNUMBER(FIND("IMPVOL",I$1)),_xll.BDH(config!$G$4,I$1,WORKDAY($A269,-1,config_Holiday_Calendar_US),WORKDAY($A269,-1,config_Holiday_Calendar_US)),IF(ISNUMBER(_xll.BDH(config!$G$4,I$1,$A269,$A269)),_xll.BDH(config!$G$4,I$1,$A269,$A269),_xll.BDH(config!$G$5,I$1,$A269,$A269))))</f>
        <v>#N/A Requesting Data...</v>
      </c>
      <c r="J269" s="8" t="str">
        <f>IF($A269="","",IF(ISNUMBER(FIND("IMPVOL",J$1)),_xll.BDH(config!$G$4,J$1,WORKDAY($A269,-1,config_Holiday_Calendar_US),WORKDAY($A269,-1,config_Holiday_Calendar_US)),IF(ISNUMBER(_xll.BDH(config!$G$4,J$1,$A269,$A269)),_xll.BDH(config!$G$4,J$1,$A269,$A269),_xll.BDH(config!$G$5,J$1,$A269,$A269))))</f>
        <v>#N/A Requesting Data...</v>
      </c>
      <c r="K269" s="8" t="str">
        <f>IF($A269="","",IF(ISNUMBER(FIND("IMPVOL",K$1)),_xll.BDH(config!$G$4,K$1,WORKDAY($A269,-1,config_Holiday_Calendar_US),WORKDAY($A269,-1,config_Holiday_Calendar_US)),IF(ISNUMBER(_xll.BDH(config!$G$4,K$1,$A269,$A269)),_xll.BDH(config!$G$4,K$1,$A269,$A269),_xll.BDH(config!$G$5,K$1,$A269,$A269))))</f>
        <v>#N/A Requesting Data...</v>
      </c>
      <c r="L269" s="8" t="str">
        <f>IF($A269="","",IF(ISNUMBER(FIND("IMPVOL",L$1)),_xll.BDH(config!$G$4,L$1,WORKDAY($A269,-1,config_Holiday_Calendar_US),WORKDAY($A269,-1,config_Holiday_Calendar_US)),IF(ISNUMBER(_xll.BDH(config!$G$4,L$1,$A269,$A269)),_xll.BDH(config!$G$4,L$1,$A269,$A269),_xll.BDH(config!$G$5,L$1,$A269,$A269))))</f>
        <v>#N/A Requesting Data...</v>
      </c>
      <c r="M269" s="8" t="str">
        <f>IF($A269="","",IF(ISNUMBER(FIND("IMPVOL",M$1)),_xll.BDH(config!$G$4,M$1,WORKDAY($A269,-1,config_Holiday_Calendar_US),WORKDAY($A269,-1,config_Holiday_Calendar_US)),IF(ISNUMBER(_xll.BDH(config!$G$4,M$1,$A269,$A269)),_xll.BDH(config!$G$4,M$1,$A269,$A269),_xll.BDH(config!$G$5,M$1,$A269,$A269))))</f>
        <v>#N/A Requesting Data...</v>
      </c>
      <c r="N269" s="8" t="str">
        <f>IF($A269="","",IF(ISNUMBER(FIND("IMPVOL",N$1)),_xll.BDH(config!$G$4,N$1,WORKDAY($A269,-1,config_Holiday_Calendar_US),WORKDAY($A269,-1,config_Holiday_Calendar_US)),IF(ISNUMBER(_xll.BDH(config!$G$4,N$1,$A269,$A269)),_xll.BDH(config!$G$4,N$1,$A269,$A269),_xll.BDH(config!$G$5,N$1,$A269,$A269))))</f>
        <v>#N/A Requesting Data...</v>
      </c>
      <c r="O269" s="8" t="str">
        <f>IF($A269="","",IF(ISNUMBER(FIND("IMPVOL",O$1)),_xll.BDH(config!$G$4,O$1,WORKDAY($A269,-1,config_Holiday_Calendar_US),WORKDAY($A269,-1,config_Holiday_Calendar_US)),IF(ISNUMBER(_xll.BDH(config!$G$4,O$1,$A269,$A269)),_xll.BDH(config!$G$4,O$1,$A269,$A269),_xll.BDH(config!$G$5,O$1,$A269,$A269))))</f>
        <v>#N/A Requesting Data...</v>
      </c>
      <c r="P269" s="8" t="str">
        <f>IF($A269="","",IF(ISNUMBER(FIND("IMPVOL",P$1)),_xll.BDH(config!$G$4,P$1,WORKDAY($A269,-1,config_Holiday_Calendar_US),WORKDAY($A269,-1,config_Holiday_Calendar_US)),IF(ISNUMBER(_xll.BDH(config!$G$4,P$1,$A269,$A269)),_xll.BDH(config!$G$4,P$1,$A269,$A269),_xll.BDH(config!$G$5,P$1,$A269,$A269))))</f>
        <v>#N/A Requesting Data...</v>
      </c>
      <c r="Q269" s="8">
        <f>IF($A269="","",IF(ISNUMBER(FIND("IMPVOL",Q$1)),_xll.BDH(config!$G$4,Q$1,WORKDAY($A269,-1,config_Holiday_Calendar_US),WORKDAY($A269,-1,config_Holiday_Calendar_US)),IF(ISNUMBER(_xll.BDH(config!$G$4,Q$1,$A269,$A269)),_xll.BDH(config!$G$4,Q$1,$A269,$A269),_xll.BDH(config!$G$5,Q$1,$A269,$A269))))</f>
        <v>54.37</v>
      </c>
      <c r="R269" s="8">
        <f>IF($A269="","",IF(ISNUMBER(FIND("IMPVOL",R$1)),_xll.BDH(config!$G$4,R$1,WORKDAY($A269,-1,config_Holiday_Calendar_US),WORKDAY($A269,-1,config_Holiday_Calendar_US)),IF(ISNUMBER(_xll.BDH(config!$G$4,R$1,$A269,$A269)),_xll.BDH(config!$G$4,R$1,$A269,$A269),_xll.BDH(config!$G$5,R$1,$A269,$A269))))</f>
        <v>61.05</v>
      </c>
      <c r="S269" s="8" t="str">
        <f>IF($A269="","",IF(ISNUMBER(FIND("IMPVOL",S$1)),_xll.BDH(config!$G$4,S$1,WORKDAY($A269,-1,config_Holiday_Calendar_US),WORKDAY($A269,-1,config_Holiday_Calendar_US)),IF(ISNUMBER(_xll.BDH(config!$G$4,S$1,$A269,$A269)),_xll.BDH(config!$G$4,S$1,$A269,$A269),_xll.BDH(config!$G$5,S$1,$A269,$A269))))</f>
        <v>#N/A Requesting Data...</v>
      </c>
      <c r="T269" s="8" t="str">
        <f>IF($A269="","",IF(ISNUMBER(FIND("IMPVOL",T$1)),_xll.BDH(config!$G$4,T$1,WORKDAY($A269,-1,config_Holiday_Calendar_US),WORKDAY($A269,-1,config_Holiday_Calendar_US)),IF(ISNUMBER(_xll.BDH(config!$G$4,T$1,$A269,$A269)),_xll.BDH(config!$G$4,T$1,$A269,$A269),_xll.BDH(config!$G$5,T$1,$A269,$A269))))</f>
        <v>#N/A Requesting Data...</v>
      </c>
      <c r="U269" s="8" t="str">
        <f>IF($A269="","",IF(ISNUMBER(FIND("IMPVOL",U$1)),_xll.BDH(config!$G$4,U$1,WORKDAY($A269,-1,config_Holiday_Calendar_US),WORKDAY($A269,-1,config_Holiday_Calendar_US)),IF(ISNUMBER(_xll.BDH(config!$G$4,U$1,$A269,$A269)),_xll.BDH(config!$G$4,U$1,$A269,$A269),_xll.BDH(config!$G$5,U$1,$A269,$A269))))</f>
        <v>#N/A Requesting Data...</v>
      </c>
      <c r="V269" s="8" t="str">
        <f>IF($A269="","",IF(ISNUMBER(FIND("IMPVOL",V$1)),_xll.BDH(config!$G$4,V$1,WORKDAY($A269,-1,config_Holiday_Calendar_US),WORKDAY($A269,-1,config_Holiday_Calendar_US)),IF(ISNUMBER(_xll.BDH(config!$G$4,V$1,$A269,$A269)),_xll.BDH(config!$G$4,V$1,$A269,$A269),_xll.BDH(config!$G$5,V$1,$A269,$A269))))</f>
        <v>#N/A Requesting Data...</v>
      </c>
      <c r="W269" s="8" t="str">
        <f>IF($A269="","",IF(ISNUMBER(FIND("IMPVOL",W$1)),_xll.BDH(config!$G$4,W$1,WORKDAY($A269,-1,config_Holiday_Calendar_US),WORKDAY($A269,-1,config_Holiday_Calendar_US)),IF(ISNUMBER(_xll.BDH(config!$G$4,W$1,$A269,$A269)),_xll.BDH(config!$G$4,W$1,$A269,$A269),_xll.BDH(config!$G$5,W$1,$A269,$A269))))</f>
        <v>#N/A Requesting Data...</v>
      </c>
    </row>
    <row r="270" spans="1:23" x14ac:dyDescent="0.2">
      <c r="A270" s="9">
        <f>IF(A269="","",IF(WORKDAY(A269,-1,config_Holiday_Calendar_US)&lt;config!$I$10,"",WORKDAY(A269,-1,config_Holiday_Calendar_US)))</f>
        <v>42443</v>
      </c>
      <c r="B270" s="8" t="e">
        <f t="shared" si="4"/>
        <v>#VALUE!</v>
      </c>
      <c r="C270" s="8" t="str">
        <f>IF(A270="","",_xll.BDH(config!$H$4,C$1,$A270,$A270))</f>
        <v>#N/A Requesting Data...</v>
      </c>
      <c r="D270" s="8" t="str">
        <f>IF($A270="","",_xll.BDH(config!$H$4,D$1,$A270,$A270))</f>
        <v>#N/A Requesting Data...</v>
      </c>
      <c r="E270" s="8">
        <f>IF($A270="","",IF(ISNUMBER(FIND("IMPVOL",E$1)),_xll.BDH(config!$G$4,E$1,WORKDAY($A270,-1,config_Holiday_Calendar_US),WORKDAY($A270,-1,config_Holiday_Calendar_US)),IF(ISNUMBER(_xll.BDH(config!$G$4,E$1,$A270,$A270)),_xll.BDH(config!$G$4,E$1,$A270,$A270),_xll.BDH(config!$G$5,E$1,$A270,$A270))))</f>
        <v>38.17</v>
      </c>
      <c r="F270" s="8">
        <f>IF($A270="","",IF(ISNUMBER(FIND("IMPVOL",F$1)),_xll.BDH(config!$G$4,F$1,WORKDAY($A270,-1,config_Holiday_Calendar_US),WORKDAY($A270,-1,config_Holiday_Calendar_US)),IF(ISNUMBER(_xll.BDH(config!$G$4,F$1,$A270,$A270)),_xll.BDH(config!$G$4,F$1,$A270,$A270),_xll.BDH(config!$G$5,F$1,$A270,$A270))))</f>
        <v>38.770000000000003</v>
      </c>
      <c r="G270" s="8">
        <f>IF($A270="","",IF(ISNUMBER(FIND("IMPVOL",G$1)),_xll.BDH(config!$G$4,G$1,WORKDAY($A270,-1,config_Holiday_Calendar_US),WORKDAY($A270,-1,config_Holiday_Calendar_US)),IF(ISNUMBER(_xll.BDH(config!$G$4,G$1,$A270,$A270)),_xll.BDH(config!$G$4,G$1,$A270,$A270),_xll.BDH(config!$G$5,G$1,$A270,$A270))))</f>
        <v>38.409999999999997</v>
      </c>
      <c r="H270" s="8">
        <f>IF($A270="","",IF(ISNUMBER(FIND("IMPVOL",H$1)),_xll.BDH(config!$G$4,H$1,WORKDAY($A270,-1,config_Holiday_Calendar_US),WORKDAY($A270,-1,config_Holiday_Calendar_US)),IF(ISNUMBER(_xll.BDH(config!$G$4,H$1,$A270,$A270)),_xll.BDH(config!$G$4,H$1,$A270,$A270),_xll.BDH(config!$G$5,H$1,$A270,$A270))))</f>
        <v>229532</v>
      </c>
      <c r="I270" s="8" t="str">
        <f>IF($A270="","",IF(ISNUMBER(FIND("IMPVOL",I$1)),_xll.BDH(config!$G$4,I$1,WORKDAY($A270,-1,config_Holiday_Calendar_US),WORKDAY($A270,-1,config_Holiday_Calendar_US)),IF(ISNUMBER(_xll.BDH(config!$G$4,I$1,$A270,$A270)),_xll.BDH(config!$G$4,I$1,$A270,$A270),_xll.BDH(config!$G$5,I$1,$A270,$A270))))</f>
        <v>#N/A Requesting Data...</v>
      </c>
      <c r="J270" s="8" t="str">
        <f>IF($A270="","",IF(ISNUMBER(FIND("IMPVOL",J$1)),_xll.BDH(config!$G$4,J$1,WORKDAY($A270,-1,config_Holiday_Calendar_US),WORKDAY($A270,-1,config_Holiday_Calendar_US)),IF(ISNUMBER(_xll.BDH(config!$G$4,J$1,$A270,$A270)),_xll.BDH(config!$G$4,J$1,$A270,$A270),_xll.BDH(config!$G$5,J$1,$A270,$A270))))</f>
        <v>#N/A Requesting Data...</v>
      </c>
      <c r="K270" s="8" t="str">
        <f>IF($A270="","",IF(ISNUMBER(FIND("IMPVOL",K$1)),_xll.BDH(config!$G$4,K$1,WORKDAY($A270,-1,config_Holiday_Calendar_US),WORKDAY($A270,-1,config_Holiday_Calendar_US)),IF(ISNUMBER(_xll.BDH(config!$G$4,K$1,$A270,$A270)),_xll.BDH(config!$G$4,K$1,$A270,$A270),_xll.BDH(config!$G$5,K$1,$A270,$A270))))</f>
        <v>#N/A Requesting Data...</v>
      </c>
      <c r="L270" s="8" t="str">
        <f>IF($A270="","",IF(ISNUMBER(FIND("IMPVOL",L$1)),_xll.BDH(config!$G$4,L$1,WORKDAY($A270,-1,config_Holiday_Calendar_US),WORKDAY($A270,-1,config_Holiday_Calendar_US)),IF(ISNUMBER(_xll.BDH(config!$G$4,L$1,$A270,$A270)),_xll.BDH(config!$G$4,L$1,$A270,$A270),_xll.BDH(config!$G$5,L$1,$A270,$A270))))</f>
        <v>#N/A Requesting Data...</v>
      </c>
      <c r="M270" s="8" t="str">
        <f>IF($A270="","",IF(ISNUMBER(FIND("IMPVOL",M$1)),_xll.BDH(config!$G$4,M$1,WORKDAY($A270,-1,config_Holiday_Calendar_US),WORKDAY($A270,-1,config_Holiday_Calendar_US)),IF(ISNUMBER(_xll.BDH(config!$G$4,M$1,$A270,$A270)),_xll.BDH(config!$G$4,M$1,$A270,$A270),_xll.BDH(config!$G$5,M$1,$A270,$A270))))</f>
        <v>#N/A Requesting Data...</v>
      </c>
      <c r="N270" s="8" t="str">
        <f>IF($A270="","",IF(ISNUMBER(FIND("IMPVOL",N$1)),_xll.BDH(config!$G$4,N$1,WORKDAY($A270,-1,config_Holiday_Calendar_US),WORKDAY($A270,-1,config_Holiday_Calendar_US)),IF(ISNUMBER(_xll.BDH(config!$G$4,N$1,$A270,$A270)),_xll.BDH(config!$G$4,N$1,$A270,$A270),_xll.BDH(config!$G$5,N$1,$A270,$A270))))</f>
        <v>#N/A Requesting Data...</v>
      </c>
      <c r="O270" s="8" t="str">
        <f>IF($A270="","",IF(ISNUMBER(FIND("IMPVOL",O$1)),_xll.BDH(config!$G$4,O$1,WORKDAY($A270,-1,config_Holiday_Calendar_US),WORKDAY($A270,-1,config_Holiday_Calendar_US)),IF(ISNUMBER(_xll.BDH(config!$G$4,O$1,$A270,$A270)),_xll.BDH(config!$G$4,O$1,$A270,$A270),_xll.BDH(config!$G$5,O$1,$A270,$A270))))</f>
        <v>#N/A Requesting Data...</v>
      </c>
      <c r="P270" s="8" t="str">
        <f>IF($A270="","",IF(ISNUMBER(FIND("IMPVOL",P$1)),_xll.BDH(config!$G$4,P$1,WORKDAY($A270,-1,config_Holiday_Calendar_US),WORKDAY($A270,-1,config_Holiday_Calendar_US)),IF(ISNUMBER(_xll.BDH(config!$G$4,P$1,$A270,$A270)),_xll.BDH(config!$G$4,P$1,$A270,$A270),_xll.BDH(config!$G$5,P$1,$A270,$A270))))</f>
        <v>#N/A Requesting Data...</v>
      </c>
      <c r="Q270" s="8">
        <f>IF($A270="","",IF(ISNUMBER(FIND("IMPVOL",Q$1)),_xll.BDH(config!$G$4,Q$1,WORKDAY($A270,-1,config_Holiday_Calendar_US),WORKDAY($A270,-1,config_Holiday_Calendar_US)),IF(ISNUMBER(_xll.BDH(config!$G$4,Q$1,$A270,$A270)),_xll.BDH(config!$G$4,Q$1,$A270,$A270),_xll.BDH(config!$G$5,Q$1,$A270,$A270))))</f>
        <v>52.26</v>
      </c>
      <c r="R270" s="8">
        <f>IF($A270="","",IF(ISNUMBER(FIND("IMPVOL",R$1)),_xll.BDH(config!$G$4,R$1,WORKDAY($A270,-1,config_Holiday_Calendar_US),WORKDAY($A270,-1,config_Holiday_Calendar_US)),IF(ISNUMBER(_xll.BDH(config!$G$4,R$1,$A270,$A270)),_xll.BDH(config!$G$4,R$1,$A270,$A270),_xll.BDH(config!$G$5,R$1,$A270,$A270))))</f>
        <v>63.22</v>
      </c>
      <c r="S270" s="8" t="str">
        <f>IF($A270="","",IF(ISNUMBER(FIND("IMPVOL",S$1)),_xll.BDH(config!$G$4,S$1,WORKDAY($A270,-1,config_Holiday_Calendar_US),WORKDAY($A270,-1,config_Holiday_Calendar_US)),IF(ISNUMBER(_xll.BDH(config!$G$4,S$1,$A270,$A270)),_xll.BDH(config!$G$4,S$1,$A270,$A270),_xll.BDH(config!$G$5,S$1,$A270,$A270))))</f>
        <v>#N/A Requesting Data...</v>
      </c>
      <c r="T270" s="8" t="str">
        <f>IF($A270="","",IF(ISNUMBER(FIND("IMPVOL",T$1)),_xll.BDH(config!$G$4,T$1,WORKDAY($A270,-1,config_Holiday_Calendar_US),WORKDAY($A270,-1,config_Holiday_Calendar_US)),IF(ISNUMBER(_xll.BDH(config!$G$4,T$1,$A270,$A270)),_xll.BDH(config!$G$4,T$1,$A270,$A270),_xll.BDH(config!$G$5,T$1,$A270,$A270))))</f>
        <v>#N/A Requesting Data...</v>
      </c>
      <c r="U270" s="8" t="str">
        <f>IF($A270="","",IF(ISNUMBER(FIND("IMPVOL",U$1)),_xll.BDH(config!$G$4,U$1,WORKDAY($A270,-1,config_Holiday_Calendar_US),WORKDAY($A270,-1,config_Holiday_Calendar_US)),IF(ISNUMBER(_xll.BDH(config!$G$4,U$1,$A270,$A270)),_xll.BDH(config!$G$4,U$1,$A270,$A270),_xll.BDH(config!$G$5,U$1,$A270,$A270))))</f>
        <v>#N/A Requesting Data...</v>
      </c>
      <c r="V270" s="8" t="str">
        <f>IF($A270="","",IF(ISNUMBER(FIND("IMPVOL",V$1)),_xll.BDH(config!$G$4,V$1,WORKDAY($A270,-1,config_Holiday_Calendar_US),WORKDAY($A270,-1,config_Holiday_Calendar_US)),IF(ISNUMBER(_xll.BDH(config!$G$4,V$1,$A270,$A270)),_xll.BDH(config!$G$4,V$1,$A270,$A270),_xll.BDH(config!$G$5,V$1,$A270,$A270))))</f>
        <v>#N/A Requesting Data...</v>
      </c>
      <c r="W270" s="8" t="str">
        <f>IF($A270="","",IF(ISNUMBER(FIND("IMPVOL",W$1)),_xll.BDH(config!$G$4,W$1,WORKDAY($A270,-1,config_Holiday_Calendar_US),WORKDAY($A270,-1,config_Holiday_Calendar_US)),IF(ISNUMBER(_xll.BDH(config!$G$4,W$1,$A270,$A270)),_xll.BDH(config!$G$4,W$1,$A270,$A270),_xll.BDH(config!$G$5,W$1,$A270,$A270))))</f>
        <v>#N/A Requesting Data...</v>
      </c>
    </row>
    <row r="271" spans="1:23" x14ac:dyDescent="0.2">
      <c r="A271" s="9">
        <f>IF(A270="","",IF(WORKDAY(A270,-1,config_Holiday_Calendar_US)&lt;config!$I$10,"",WORKDAY(A270,-1,config_Holiday_Calendar_US)))</f>
        <v>42440</v>
      </c>
      <c r="B271" s="8" t="e">
        <f t="shared" si="4"/>
        <v>#VALUE!</v>
      </c>
      <c r="C271" s="8" t="str">
        <f>IF(A271="","",_xll.BDH(config!$H$4,C$1,$A271,$A271))</f>
        <v>#N/A Requesting Data...</v>
      </c>
      <c r="D271" s="8" t="str">
        <f>IF($A271="","",_xll.BDH(config!$H$4,D$1,$A271,$A271))</f>
        <v>#N/A Requesting Data...</v>
      </c>
      <c r="E271" s="8">
        <f>IF($A271="","",IF(ISNUMBER(FIND("IMPVOL",E$1)),_xll.BDH(config!$G$4,E$1,WORKDAY($A271,-1,config_Holiday_Calendar_US),WORKDAY($A271,-1,config_Holiday_Calendar_US)),IF(ISNUMBER(_xll.BDH(config!$G$4,E$1,$A271,$A271)),_xll.BDH(config!$G$4,E$1,$A271,$A271),_xll.BDH(config!$G$5,E$1,$A271,$A271))))</f>
        <v>37.99</v>
      </c>
      <c r="F271" s="8">
        <f>IF($A271="","",IF(ISNUMBER(FIND("IMPVOL",F$1)),_xll.BDH(config!$G$4,F$1,WORKDAY($A271,-1,config_Holiday_Calendar_US),WORKDAY($A271,-1,config_Holiday_Calendar_US)),IF(ISNUMBER(_xll.BDH(config!$G$4,F$1,$A271,$A271)),_xll.BDH(config!$G$4,F$1,$A271,$A271),_xll.BDH(config!$G$5,F$1,$A271,$A271))))</f>
        <v>39.020000000000003</v>
      </c>
      <c r="G271" s="8">
        <f>IF($A271="","",IF(ISNUMBER(FIND("IMPVOL",G$1)),_xll.BDH(config!$G$4,G$1,WORKDAY($A271,-1,config_Holiday_Calendar_US),WORKDAY($A271,-1,config_Holiday_Calendar_US)),IF(ISNUMBER(_xll.BDH(config!$G$4,G$1,$A271,$A271)),_xll.BDH(config!$G$4,G$1,$A271,$A271),_xll.BDH(config!$G$5,G$1,$A271,$A271))))</f>
        <v>39.53</v>
      </c>
      <c r="H271" s="8">
        <f>IF($A271="","",IF(ISNUMBER(FIND("IMPVOL",H$1)),_xll.BDH(config!$G$4,H$1,WORKDAY($A271,-1,config_Holiday_Calendar_US),WORKDAY($A271,-1,config_Holiday_Calendar_US)),IF(ISNUMBER(_xll.BDH(config!$G$4,H$1,$A271,$A271)),_xll.BDH(config!$G$4,H$1,$A271,$A271),_xll.BDH(config!$G$5,H$1,$A271,$A271))))</f>
        <v>254376</v>
      </c>
      <c r="I271" s="8" t="str">
        <f>IF($A271="","",IF(ISNUMBER(FIND("IMPVOL",I$1)),_xll.BDH(config!$G$4,I$1,WORKDAY($A271,-1,config_Holiday_Calendar_US),WORKDAY($A271,-1,config_Holiday_Calendar_US)),IF(ISNUMBER(_xll.BDH(config!$G$4,I$1,$A271,$A271)),_xll.BDH(config!$G$4,I$1,$A271,$A271),_xll.BDH(config!$G$5,I$1,$A271,$A271))))</f>
        <v>#N/A Requesting Data...</v>
      </c>
      <c r="J271" s="8" t="str">
        <f>IF($A271="","",IF(ISNUMBER(FIND("IMPVOL",J$1)),_xll.BDH(config!$G$4,J$1,WORKDAY($A271,-1,config_Holiday_Calendar_US),WORKDAY($A271,-1,config_Holiday_Calendar_US)),IF(ISNUMBER(_xll.BDH(config!$G$4,J$1,$A271,$A271)),_xll.BDH(config!$G$4,J$1,$A271,$A271),_xll.BDH(config!$G$5,J$1,$A271,$A271))))</f>
        <v>#N/A Requesting Data...</v>
      </c>
      <c r="K271" s="8" t="str">
        <f>IF($A271="","",IF(ISNUMBER(FIND("IMPVOL",K$1)),_xll.BDH(config!$G$4,K$1,WORKDAY($A271,-1,config_Holiday_Calendar_US),WORKDAY($A271,-1,config_Holiday_Calendar_US)),IF(ISNUMBER(_xll.BDH(config!$G$4,K$1,$A271,$A271)),_xll.BDH(config!$G$4,K$1,$A271,$A271),_xll.BDH(config!$G$5,K$1,$A271,$A271))))</f>
        <v>#N/A Requesting Data...</v>
      </c>
      <c r="L271" s="8" t="str">
        <f>IF($A271="","",IF(ISNUMBER(FIND("IMPVOL",L$1)),_xll.BDH(config!$G$4,L$1,WORKDAY($A271,-1,config_Holiday_Calendar_US),WORKDAY($A271,-1,config_Holiday_Calendar_US)),IF(ISNUMBER(_xll.BDH(config!$G$4,L$1,$A271,$A271)),_xll.BDH(config!$G$4,L$1,$A271,$A271),_xll.BDH(config!$G$5,L$1,$A271,$A271))))</f>
        <v>#N/A Requesting Data...</v>
      </c>
      <c r="M271" s="8" t="str">
        <f>IF($A271="","",IF(ISNUMBER(FIND("IMPVOL",M$1)),_xll.BDH(config!$G$4,M$1,WORKDAY($A271,-1,config_Holiday_Calendar_US),WORKDAY($A271,-1,config_Holiday_Calendar_US)),IF(ISNUMBER(_xll.BDH(config!$G$4,M$1,$A271,$A271)),_xll.BDH(config!$G$4,M$1,$A271,$A271),_xll.BDH(config!$G$5,M$1,$A271,$A271))))</f>
        <v>#N/A Requesting Data...</v>
      </c>
      <c r="N271" s="8" t="str">
        <f>IF($A271="","",IF(ISNUMBER(FIND("IMPVOL",N$1)),_xll.BDH(config!$G$4,N$1,WORKDAY($A271,-1,config_Holiday_Calendar_US),WORKDAY($A271,-1,config_Holiday_Calendar_US)),IF(ISNUMBER(_xll.BDH(config!$G$4,N$1,$A271,$A271)),_xll.BDH(config!$G$4,N$1,$A271,$A271),_xll.BDH(config!$G$5,N$1,$A271,$A271))))</f>
        <v>#N/A Requesting Data...</v>
      </c>
      <c r="O271" s="8" t="str">
        <f>IF($A271="","",IF(ISNUMBER(FIND("IMPVOL",O$1)),_xll.BDH(config!$G$4,O$1,WORKDAY($A271,-1,config_Holiday_Calendar_US),WORKDAY($A271,-1,config_Holiday_Calendar_US)),IF(ISNUMBER(_xll.BDH(config!$G$4,O$1,$A271,$A271)),_xll.BDH(config!$G$4,O$1,$A271,$A271),_xll.BDH(config!$G$5,O$1,$A271,$A271))))</f>
        <v>#N/A Requesting Data...</v>
      </c>
      <c r="P271" s="8" t="str">
        <f>IF($A271="","",IF(ISNUMBER(FIND("IMPVOL",P$1)),_xll.BDH(config!$G$4,P$1,WORKDAY($A271,-1,config_Holiday_Calendar_US),WORKDAY($A271,-1,config_Holiday_Calendar_US)),IF(ISNUMBER(_xll.BDH(config!$G$4,P$1,$A271,$A271)),_xll.BDH(config!$G$4,P$1,$A271,$A271),_xll.BDH(config!$G$5,P$1,$A271,$A271))))</f>
        <v>#N/A Requesting Data...</v>
      </c>
      <c r="Q271" s="8">
        <f>IF($A271="","",IF(ISNUMBER(FIND("IMPVOL",Q$1)),_xll.BDH(config!$G$4,Q$1,WORKDAY($A271,-1,config_Holiday_Calendar_US),WORKDAY($A271,-1,config_Holiday_Calendar_US)),IF(ISNUMBER(_xll.BDH(config!$G$4,Q$1,$A271,$A271)),_xll.BDH(config!$G$4,Q$1,$A271,$A271),_xll.BDH(config!$G$5,Q$1,$A271,$A271))))</f>
        <v>46.46</v>
      </c>
      <c r="R271" s="8">
        <f>IF($A271="","",IF(ISNUMBER(FIND("IMPVOL",R$1)),_xll.BDH(config!$G$4,R$1,WORKDAY($A271,-1,config_Holiday_Calendar_US),WORKDAY($A271,-1,config_Holiday_Calendar_US)),IF(ISNUMBER(_xll.BDH(config!$G$4,R$1,$A271,$A271)),_xll.BDH(config!$G$4,R$1,$A271,$A271),_xll.BDH(config!$G$5,R$1,$A271,$A271))))</f>
        <v>64.930000000000007</v>
      </c>
      <c r="S271" s="8" t="str">
        <f>IF($A271="","",IF(ISNUMBER(FIND("IMPVOL",S$1)),_xll.BDH(config!$G$4,S$1,WORKDAY($A271,-1,config_Holiday_Calendar_US),WORKDAY($A271,-1,config_Holiday_Calendar_US)),IF(ISNUMBER(_xll.BDH(config!$G$4,S$1,$A271,$A271)),_xll.BDH(config!$G$4,S$1,$A271,$A271),_xll.BDH(config!$G$5,S$1,$A271,$A271))))</f>
        <v>#N/A Requesting Data...</v>
      </c>
      <c r="T271" s="8" t="str">
        <f>IF($A271="","",IF(ISNUMBER(FIND("IMPVOL",T$1)),_xll.BDH(config!$G$4,T$1,WORKDAY($A271,-1,config_Holiday_Calendar_US),WORKDAY($A271,-1,config_Holiday_Calendar_US)),IF(ISNUMBER(_xll.BDH(config!$G$4,T$1,$A271,$A271)),_xll.BDH(config!$G$4,T$1,$A271,$A271),_xll.BDH(config!$G$5,T$1,$A271,$A271))))</f>
        <v>#N/A Requesting Data...</v>
      </c>
      <c r="U271" s="8" t="str">
        <f>IF($A271="","",IF(ISNUMBER(FIND("IMPVOL",U$1)),_xll.BDH(config!$G$4,U$1,WORKDAY($A271,-1,config_Holiday_Calendar_US),WORKDAY($A271,-1,config_Holiday_Calendar_US)),IF(ISNUMBER(_xll.BDH(config!$G$4,U$1,$A271,$A271)),_xll.BDH(config!$G$4,U$1,$A271,$A271),_xll.BDH(config!$G$5,U$1,$A271,$A271))))</f>
        <v>#N/A Requesting Data...</v>
      </c>
      <c r="V271" s="8" t="str">
        <f>IF($A271="","",IF(ISNUMBER(FIND("IMPVOL",V$1)),_xll.BDH(config!$G$4,V$1,WORKDAY($A271,-1,config_Holiday_Calendar_US),WORKDAY($A271,-1,config_Holiday_Calendar_US)),IF(ISNUMBER(_xll.BDH(config!$G$4,V$1,$A271,$A271)),_xll.BDH(config!$G$4,V$1,$A271,$A271),_xll.BDH(config!$G$5,V$1,$A271,$A271))))</f>
        <v>#N/A Requesting Data...</v>
      </c>
      <c r="W271" s="8" t="str">
        <f>IF($A271="","",IF(ISNUMBER(FIND("IMPVOL",W$1)),_xll.BDH(config!$G$4,W$1,WORKDAY($A271,-1,config_Holiday_Calendar_US),WORKDAY($A271,-1,config_Holiday_Calendar_US)),IF(ISNUMBER(_xll.BDH(config!$G$4,W$1,$A271,$A271)),_xll.BDH(config!$G$4,W$1,$A271,$A271),_xll.BDH(config!$G$5,W$1,$A271,$A271))))</f>
        <v>#N/A Requesting Data...</v>
      </c>
    </row>
    <row r="272" spans="1:23" x14ac:dyDescent="0.2">
      <c r="A272" s="9">
        <f>IF(A271="","",IF(WORKDAY(A271,-1,config_Holiday_Calendar_US)&lt;config!$I$10,"",WORKDAY(A271,-1,config_Holiday_Calendar_US)))</f>
        <v>42439</v>
      </c>
      <c r="B272" s="8" t="e">
        <f t="shared" si="4"/>
        <v>#VALUE!</v>
      </c>
      <c r="C272" s="8" t="str">
        <f>IF(A272="","",_xll.BDH(config!$H$4,C$1,$A272,$A272))</f>
        <v>#N/A Requesting Data...</v>
      </c>
      <c r="D272" s="8" t="str">
        <f>IF($A272="","",_xll.BDH(config!$H$4,D$1,$A272,$A272))</f>
        <v>#N/A Requesting Data...</v>
      </c>
      <c r="E272" s="8">
        <f>IF($A272="","",IF(ISNUMBER(FIND("IMPVOL",E$1)),_xll.BDH(config!$G$4,E$1,WORKDAY($A272,-1,config_Holiday_Calendar_US),WORKDAY($A272,-1,config_Holiday_Calendar_US)),IF(ISNUMBER(_xll.BDH(config!$G$4,E$1,$A272,$A272)),_xll.BDH(config!$G$4,E$1,$A272,$A272),_xll.BDH(config!$G$5,E$1,$A272,$A272))))</f>
        <v>38.17</v>
      </c>
      <c r="F272" s="8">
        <f>IF($A272="","",IF(ISNUMBER(FIND("IMPVOL",F$1)),_xll.BDH(config!$G$4,F$1,WORKDAY($A272,-1,config_Holiday_Calendar_US),WORKDAY($A272,-1,config_Holiday_Calendar_US)),IF(ISNUMBER(_xll.BDH(config!$G$4,F$1,$A272,$A272)),_xll.BDH(config!$G$4,F$1,$A272,$A272),_xll.BDH(config!$G$5,F$1,$A272,$A272))))</f>
        <v>38.479999999999997</v>
      </c>
      <c r="G272" s="8">
        <f>IF($A272="","",IF(ISNUMBER(FIND("IMPVOL",G$1)),_xll.BDH(config!$G$4,G$1,WORKDAY($A272,-1,config_Holiday_Calendar_US),WORKDAY($A272,-1,config_Holiday_Calendar_US)),IF(ISNUMBER(_xll.BDH(config!$G$4,G$1,$A272,$A272)),_xll.BDH(config!$G$4,G$1,$A272,$A272),_xll.BDH(config!$G$5,G$1,$A272,$A272))))</f>
        <v>38.909999999999997</v>
      </c>
      <c r="H272" s="8">
        <f>IF($A272="","",IF(ISNUMBER(FIND("IMPVOL",H$1)),_xll.BDH(config!$G$4,H$1,WORKDAY($A272,-1,config_Holiday_Calendar_US),WORKDAY($A272,-1,config_Holiday_Calendar_US)),IF(ISNUMBER(_xll.BDH(config!$G$4,H$1,$A272,$A272)),_xll.BDH(config!$G$4,H$1,$A272,$A272),_xll.BDH(config!$G$5,H$1,$A272,$A272))))</f>
        <v>315942</v>
      </c>
      <c r="I272" s="8" t="str">
        <f>IF($A272="","",IF(ISNUMBER(FIND("IMPVOL",I$1)),_xll.BDH(config!$G$4,I$1,WORKDAY($A272,-1,config_Holiday_Calendar_US),WORKDAY($A272,-1,config_Holiday_Calendar_US)),IF(ISNUMBER(_xll.BDH(config!$G$4,I$1,$A272,$A272)),_xll.BDH(config!$G$4,I$1,$A272,$A272),_xll.BDH(config!$G$5,I$1,$A272,$A272))))</f>
        <v>#N/A Requesting Data...</v>
      </c>
      <c r="J272" s="8" t="str">
        <f>IF($A272="","",IF(ISNUMBER(FIND("IMPVOL",J$1)),_xll.BDH(config!$G$4,J$1,WORKDAY($A272,-1,config_Holiday_Calendar_US),WORKDAY($A272,-1,config_Holiday_Calendar_US)),IF(ISNUMBER(_xll.BDH(config!$G$4,J$1,$A272,$A272)),_xll.BDH(config!$G$4,J$1,$A272,$A272),_xll.BDH(config!$G$5,J$1,$A272,$A272))))</f>
        <v>#N/A Requesting Data...</v>
      </c>
      <c r="K272" s="8" t="str">
        <f>IF($A272="","",IF(ISNUMBER(FIND("IMPVOL",K$1)),_xll.BDH(config!$G$4,K$1,WORKDAY($A272,-1,config_Holiday_Calendar_US),WORKDAY($A272,-1,config_Holiday_Calendar_US)),IF(ISNUMBER(_xll.BDH(config!$G$4,K$1,$A272,$A272)),_xll.BDH(config!$G$4,K$1,$A272,$A272),_xll.BDH(config!$G$5,K$1,$A272,$A272))))</f>
        <v>#N/A Requesting Data...</v>
      </c>
      <c r="L272" s="8" t="str">
        <f>IF($A272="","",IF(ISNUMBER(FIND("IMPVOL",L$1)),_xll.BDH(config!$G$4,L$1,WORKDAY($A272,-1,config_Holiday_Calendar_US),WORKDAY($A272,-1,config_Holiday_Calendar_US)),IF(ISNUMBER(_xll.BDH(config!$G$4,L$1,$A272,$A272)),_xll.BDH(config!$G$4,L$1,$A272,$A272),_xll.BDH(config!$G$5,L$1,$A272,$A272))))</f>
        <v>#N/A Requesting Data...</v>
      </c>
      <c r="M272" s="8" t="str">
        <f>IF($A272="","",IF(ISNUMBER(FIND("IMPVOL",M$1)),_xll.BDH(config!$G$4,M$1,WORKDAY($A272,-1,config_Holiday_Calendar_US),WORKDAY($A272,-1,config_Holiday_Calendar_US)),IF(ISNUMBER(_xll.BDH(config!$G$4,M$1,$A272,$A272)),_xll.BDH(config!$G$4,M$1,$A272,$A272),_xll.BDH(config!$G$5,M$1,$A272,$A272))))</f>
        <v>#N/A Requesting Data...</v>
      </c>
      <c r="N272" s="8" t="str">
        <f>IF($A272="","",IF(ISNUMBER(FIND("IMPVOL",N$1)),_xll.BDH(config!$G$4,N$1,WORKDAY($A272,-1,config_Holiday_Calendar_US),WORKDAY($A272,-1,config_Holiday_Calendar_US)),IF(ISNUMBER(_xll.BDH(config!$G$4,N$1,$A272,$A272)),_xll.BDH(config!$G$4,N$1,$A272,$A272),_xll.BDH(config!$G$5,N$1,$A272,$A272))))</f>
        <v>#N/A Requesting Data...</v>
      </c>
      <c r="O272" s="8" t="str">
        <f>IF($A272="","",IF(ISNUMBER(FIND("IMPVOL",O$1)),_xll.BDH(config!$G$4,O$1,WORKDAY($A272,-1,config_Holiday_Calendar_US),WORKDAY($A272,-1,config_Holiday_Calendar_US)),IF(ISNUMBER(_xll.BDH(config!$G$4,O$1,$A272,$A272)),_xll.BDH(config!$G$4,O$1,$A272,$A272),_xll.BDH(config!$G$5,O$1,$A272,$A272))))</f>
        <v>#N/A Requesting Data...</v>
      </c>
      <c r="P272" s="8" t="str">
        <f>IF($A272="","",IF(ISNUMBER(FIND("IMPVOL",P$1)),_xll.BDH(config!$G$4,P$1,WORKDAY($A272,-1,config_Holiday_Calendar_US),WORKDAY($A272,-1,config_Holiday_Calendar_US)),IF(ISNUMBER(_xll.BDH(config!$G$4,P$1,$A272,$A272)),_xll.BDH(config!$G$4,P$1,$A272,$A272),_xll.BDH(config!$G$5,P$1,$A272,$A272))))</f>
        <v>#N/A Requesting Data...</v>
      </c>
      <c r="Q272" s="8">
        <f>IF($A272="","",IF(ISNUMBER(FIND("IMPVOL",Q$1)),_xll.BDH(config!$G$4,Q$1,WORKDAY($A272,-1,config_Holiday_Calendar_US),WORKDAY($A272,-1,config_Holiday_Calendar_US)),IF(ISNUMBER(_xll.BDH(config!$G$4,Q$1,$A272,$A272)),_xll.BDH(config!$G$4,Q$1,$A272,$A272),_xll.BDH(config!$G$5,Q$1,$A272,$A272))))</f>
        <v>47.16</v>
      </c>
      <c r="R272" s="8">
        <f>IF($A272="","",IF(ISNUMBER(FIND("IMPVOL",R$1)),_xll.BDH(config!$G$4,R$1,WORKDAY($A272,-1,config_Holiday_Calendar_US),WORKDAY($A272,-1,config_Holiday_Calendar_US)),IF(ISNUMBER(_xll.BDH(config!$G$4,R$1,$A272,$A272)),_xll.BDH(config!$G$4,R$1,$A272,$A272),_xll.BDH(config!$G$5,R$1,$A272,$A272))))</f>
        <v>64.91</v>
      </c>
      <c r="S272" s="8" t="str">
        <f>IF($A272="","",IF(ISNUMBER(FIND("IMPVOL",S$1)),_xll.BDH(config!$G$4,S$1,WORKDAY($A272,-1,config_Holiday_Calendar_US),WORKDAY($A272,-1,config_Holiday_Calendar_US)),IF(ISNUMBER(_xll.BDH(config!$G$4,S$1,$A272,$A272)),_xll.BDH(config!$G$4,S$1,$A272,$A272),_xll.BDH(config!$G$5,S$1,$A272,$A272))))</f>
        <v>#N/A Requesting Data...</v>
      </c>
      <c r="T272" s="8" t="str">
        <f>IF($A272="","",IF(ISNUMBER(FIND("IMPVOL",T$1)),_xll.BDH(config!$G$4,T$1,WORKDAY($A272,-1,config_Holiday_Calendar_US),WORKDAY($A272,-1,config_Holiday_Calendar_US)),IF(ISNUMBER(_xll.BDH(config!$G$4,T$1,$A272,$A272)),_xll.BDH(config!$G$4,T$1,$A272,$A272),_xll.BDH(config!$G$5,T$1,$A272,$A272))))</f>
        <v>#N/A Requesting Data...</v>
      </c>
      <c r="U272" s="8" t="str">
        <f>IF($A272="","",IF(ISNUMBER(FIND("IMPVOL",U$1)),_xll.BDH(config!$G$4,U$1,WORKDAY($A272,-1,config_Holiday_Calendar_US),WORKDAY($A272,-1,config_Holiday_Calendar_US)),IF(ISNUMBER(_xll.BDH(config!$G$4,U$1,$A272,$A272)),_xll.BDH(config!$G$4,U$1,$A272,$A272),_xll.BDH(config!$G$5,U$1,$A272,$A272))))</f>
        <v>#N/A Requesting Data...</v>
      </c>
      <c r="V272" s="8" t="str">
        <f>IF($A272="","",IF(ISNUMBER(FIND("IMPVOL",V$1)),_xll.BDH(config!$G$4,V$1,WORKDAY($A272,-1,config_Holiday_Calendar_US),WORKDAY($A272,-1,config_Holiday_Calendar_US)),IF(ISNUMBER(_xll.BDH(config!$G$4,V$1,$A272,$A272)),_xll.BDH(config!$G$4,V$1,$A272,$A272),_xll.BDH(config!$G$5,V$1,$A272,$A272))))</f>
        <v>#N/A Requesting Data...</v>
      </c>
      <c r="W272" s="8" t="str">
        <f>IF($A272="","",IF(ISNUMBER(FIND("IMPVOL",W$1)),_xll.BDH(config!$G$4,W$1,WORKDAY($A272,-1,config_Holiday_Calendar_US),WORKDAY($A272,-1,config_Holiday_Calendar_US)),IF(ISNUMBER(_xll.BDH(config!$G$4,W$1,$A272,$A272)),_xll.BDH(config!$G$4,W$1,$A272,$A272),_xll.BDH(config!$G$5,W$1,$A272,$A272))))</f>
        <v>#N/A Requesting Data...</v>
      </c>
    </row>
    <row r="273" spans="1:23" x14ac:dyDescent="0.2">
      <c r="A273" s="9">
        <f>IF(A272="","",IF(WORKDAY(A272,-1,config_Holiday_Calendar_US)&lt;config!$I$10,"",WORKDAY(A272,-1,config_Holiday_Calendar_US)))</f>
        <v>42438</v>
      </c>
      <c r="B273" s="8" t="e">
        <f t="shared" si="4"/>
        <v>#VALUE!</v>
      </c>
      <c r="C273" s="8" t="str">
        <f>IF(A273="","",_xll.BDH(config!$H$4,C$1,$A273,$A273))</f>
        <v>#N/A Requesting Data...</v>
      </c>
      <c r="D273" s="8" t="str">
        <f>IF($A273="","",_xll.BDH(config!$H$4,D$1,$A273,$A273))</f>
        <v>#N/A Requesting Data...</v>
      </c>
      <c r="E273" s="8">
        <f>IF($A273="","",IF(ISNUMBER(FIND("IMPVOL",E$1)),_xll.BDH(config!$G$4,E$1,WORKDAY($A273,-1,config_Holiday_Calendar_US),WORKDAY($A273,-1,config_Holiday_Calendar_US)),IF(ISNUMBER(_xll.BDH(config!$G$4,E$1,$A273,$A273)),_xll.BDH(config!$G$4,E$1,$A273,$A273),_xll.BDH(config!$G$5,E$1,$A273,$A273))))</f>
        <v>36.36</v>
      </c>
      <c r="F273" s="8">
        <f>IF($A273="","",IF(ISNUMBER(FIND("IMPVOL",F$1)),_xll.BDH(config!$G$4,F$1,WORKDAY($A273,-1,config_Holiday_Calendar_US),WORKDAY($A273,-1,config_Holiday_Calendar_US)),IF(ISNUMBER(_xll.BDH(config!$G$4,F$1,$A273,$A273)),_xll.BDH(config!$G$4,F$1,$A273,$A273),_xll.BDH(config!$G$5,F$1,$A273,$A273))))</f>
        <v>38.51</v>
      </c>
      <c r="G273" s="8">
        <f>IF($A273="","",IF(ISNUMBER(FIND("IMPVOL",G$1)),_xll.BDH(config!$G$4,G$1,WORKDAY($A273,-1,config_Holiday_Calendar_US),WORKDAY($A273,-1,config_Holiday_Calendar_US)),IF(ISNUMBER(_xll.BDH(config!$G$4,G$1,$A273,$A273)),_xll.BDH(config!$G$4,G$1,$A273,$A273),_xll.BDH(config!$G$5,G$1,$A273,$A273))))</f>
        <v>38.15</v>
      </c>
      <c r="H273" s="8">
        <f>IF($A273="","",IF(ISNUMBER(FIND("IMPVOL",H$1)),_xll.BDH(config!$G$4,H$1,WORKDAY($A273,-1,config_Holiday_Calendar_US),WORKDAY($A273,-1,config_Holiday_Calendar_US)),IF(ISNUMBER(_xll.BDH(config!$G$4,H$1,$A273,$A273)),_xll.BDH(config!$G$4,H$1,$A273,$A273),_xll.BDH(config!$G$5,H$1,$A273,$A273))))</f>
        <v>334937</v>
      </c>
      <c r="I273" s="8" t="str">
        <f>IF($A273="","",IF(ISNUMBER(FIND("IMPVOL",I$1)),_xll.BDH(config!$G$4,I$1,WORKDAY($A273,-1,config_Holiday_Calendar_US),WORKDAY($A273,-1,config_Holiday_Calendar_US)),IF(ISNUMBER(_xll.BDH(config!$G$4,I$1,$A273,$A273)),_xll.BDH(config!$G$4,I$1,$A273,$A273),_xll.BDH(config!$G$5,I$1,$A273,$A273))))</f>
        <v>#N/A Requesting Data...</v>
      </c>
      <c r="J273" s="8" t="str">
        <f>IF($A273="","",IF(ISNUMBER(FIND("IMPVOL",J$1)),_xll.BDH(config!$G$4,J$1,WORKDAY($A273,-1,config_Holiday_Calendar_US),WORKDAY($A273,-1,config_Holiday_Calendar_US)),IF(ISNUMBER(_xll.BDH(config!$G$4,J$1,$A273,$A273)),_xll.BDH(config!$G$4,J$1,$A273,$A273),_xll.BDH(config!$G$5,J$1,$A273,$A273))))</f>
        <v>#N/A Requesting Data...</v>
      </c>
      <c r="K273" s="8" t="str">
        <f>IF($A273="","",IF(ISNUMBER(FIND("IMPVOL",K$1)),_xll.BDH(config!$G$4,K$1,WORKDAY($A273,-1,config_Holiday_Calendar_US),WORKDAY($A273,-1,config_Holiday_Calendar_US)),IF(ISNUMBER(_xll.BDH(config!$G$4,K$1,$A273,$A273)),_xll.BDH(config!$G$4,K$1,$A273,$A273),_xll.BDH(config!$G$5,K$1,$A273,$A273))))</f>
        <v>#N/A Requesting Data...</v>
      </c>
      <c r="L273" s="8" t="str">
        <f>IF($A273="","",IF(ISNUMBER(FIND("IMPVOL",L$1)),_xll.BDH(config!$G$4,L$1,WORKDAY($A273,-1,config_Holiday_Calendar_US),WORKDAY($A273,-1,config_Holiday_Calendar_US)),IF(ISNUMBER(_xll.BDH(config!$G$4,L$1,$A273,$A273)),_xll.BDH(config!$G$4,L$1,$A273,$A273),_xll.BDH(config!$G$5,L$1,$A273,$A273))))</f>
        <v>#N/A Requesting Data...</v>
      </c>
      <c r="M273" s="8" t="str">
        <f>IF($A273="","",IF(ISNUMBER(FIND("IMPVOL",M$1)),_xll.BDH(config!$G$4,M$1,WORKDAY($A273,-1,config_Holiday_Calendar_US),WORKDAY($A273,-1,config_Holiday_Calendar_US)),IF(ISNUMBER(_xll.BDH(config!$G$4,M$1,$A273,$A273)),_xll.BDH(config!$G$4,M$1,$A273,$A273),_xll.BDH(config!$G$5,M$1,$A273,$A273))))</f>
        <v>#N/A Requesting Data...</v>
      </c>
      <c r="N273" s="8" t="str">
        <f>IF($A273="","",IF(ISNUMBER(FIND("IMPVOL",N$1)),_xll.BDH(config!$G$4,N$1,WORKDAY($A273,-1,config_Holiday_Calendar_US),WORKDAY($A273,-1,config_Holiday_Calendar_US)),IF(ISNUMBER(_xll.BDH(config!$G$4,N$1,$A273,$A273)),_xll.BDH(config!$G$4,N$1,$A273,$A273),_xll.BDH(config!$G$5,N$1,$A273,$A273))))</f>
        <v>#N/A Requesting Data...</v>
      </c>
      <c r="O273" s="8" t="str">
        <f>IF($A273="","",IF(ISNUMBER(FIND("IMPVOL",O$1)),_xll.BDH(config!$G$4,O$1,WORKDAY($A273,-1,config_Holiday_Calendar_US),WORKDAY($A273,-1,config_Holiday_Calendar_US)),IF(ISNUMBER(_xll.BDH(config!$G$4,O$1,$A273,$A273)),_xll.BDH(config!$G$4,O$1,$A273,$A273),_xll.BDH(config!$G$5,O$1,$A273,$A273))))</f>
        <v>#N/A Requesting Data...</v>
      </c>
      <c r="P273" s="8" t="str">
        <f>IF($A273="","",IF(ISNUMBER(FIND("IMPVOL",P$1)),_xll.BDH(config!$G$4,P$1,WORKDAY($A273,-1,config_Holiday_Calendar_US),WORKDAY($A273,-1,config_Holiday_Calendar_US)),IF(ISNUMBER(_xll.BDH(config!$G$4,P$1,$A273,$A273)),_xll.BDH(config!$G$4,P$1,$A273,$A273),_xll.BDH(config!$G$5,P$1,$A273,$A273))))</f>
        <v>#N/A Requesting Data...</v>
      </c>
      <c r="Q273" s="8">
        <f>IF($A273="","",IF(ISNUMBER(FIND("IMPVOL",Q$1)),_xll.BDH(config!$G$4,Q$1,WORKDAY($A273,-1,config_Holiday_Calendar_US),WORKDAY($A273,-1,config_Holiday_Calendar_US)),IF(ISNUMBER(_xll.BDH(config!$G$4,Q$1,$A273,$A273)),_xll.BDH(config!$G$4,Q$1,$A273,$A273),_xll.BDH(config!$G$5,Q$1,$A273,$A273))))</f>
        <v>45.33</v>
      </c>
      <c r="R273" s="8">
        <f>IF($A273="","",IF(ISNUMBER(FIND("IMPVOL",R$1)),_xll.BDH(config!$G$4,R$1,WORKDAY($A273,-1,config_Holiday_Calendar_US),WORKDAY($A273,-1,config_Holiday_Calendar_US)),IF(ISNUMBER(_xll.BDH(config!$G$4,R$1,$A273,$A273)),_xll.BDH(config!$G$4,R$1,$A273,$A273),_xll.BDH(config!$G$5,R$1,$A273,$A273))))</f>
        <v>64.930000000000007</v>
      </c>
      <c r="S273" s="8" t="str">
        <f>IF($A273="","",IF(ISNUMBER(FIND("IMPVOL",S$1)),_xll.BDH(config!$G$4,S$1,WORKDAY($A273,-1,config_Holiday_Calendar_US),WORKDAY($A273,-1,config_Holiday_Calendar_US)),IF(ISNUMBER(_xll.BDH(config!$G$4,S$1,$A273,$A273)),_xll.BDH(config!$G$4,S$1,$A273,$A273),_xll.BDH(config!$G$5,S$1,$A273,$A273))))</f>
        <v>#N/A Requesting Data...</v>
      </c>
      <c r="T273" s="8" t="str">
        <f>IF($A273="","",IF(ISNUMBER(FIND("IMPVOL",T$1)),_xll.BDH(config!$G$4,T$1,WORKDAY($A273,-1,config_Holiday_Calendar_US),WORKDAY($A273,-1,config_Holiday_Calendar_US)),IF(ISNUMBER(_xll.BDH(config!$G$4,T$1,$A273,$A273)),_xll.BDH(config!$G$4,T$1,$A273,$A273),_xll.BDH(config!$G$5,T$1,$A273,$A273))))</f>
        <v>#N/A Requesting Data...</v>
      </c>
      <c r="U273" s="8" t="str">
        <f>IF($A273="","",IF(ISNUMBER(FIND("IMPVOL",U$1)),_xll.BDH(config!$G$4,U$1,WORKDAY($A273,-1,config_Holiday_Calendar_US),WORKDAY($A273,-1,config_Holiday_Calendar_US)),IF(ISNUMBER(_xll.BDH(config!$G$4,U$1,$A273,$A273)),_xll.BDH(config!$G$4,U$1,$A273,$A273),_xll.BDH(config!$G$5,U$1,$A273,$A273))))</f>
        <v>#N/A Requesting Data...</v>
      </c>
      <c r="V273" s="8" t="str">
        <f>IF($A273="","",IF(ISNUMBER(FIND("IMPVOL",V$1)),_xll.BDH(config!$G$4,V$1,WORKDAY($A273,-1,config_Holiday_Calendar_US),WORKDAY($A273,-1,config_Holiday_Calendar_US)),IF(ISNUMBER(_xll.BDH(config!$G$4,V$1,$A273,$A273)),_xll.BDH(config!$G$4,V$1,$A273,$A273),_xll.BDH(config!$G$5,V$1,$A273,$A273))))</f>
        <v>#N/A Requesting Data...</v>
      </c>
      <c r="W273" s="8" t="str">
        <f>IF($A273="","",IF(ISNUMBER(FIND("IMPVOL",W$1)),_xll.BDH(config!$G$4,W$1,WORKDAY($A273,-1,config_Holiday_Calendar_US),WORKDAY($A273,-1,config_Holiday_Calendar_US)),IF(ISNUMBER(_xll.BDH(config!$G$4,W$1,$A273,$A273)),_xll.BDH(config!$G$4,W$1,$A273,$A273),_xll.BDH(config!$G$5,W$1,$A273,$A273))))</f>
        <v>#N/A Requesting Data...</v>
      </c>
    </row>
    <row r="274" spans="1:23" x14ac:dyDescent="0.2">
      <c r="A274" s="9">
        <f>IF(A273="","",IF(WORKDAY(A273,-1,config_Holiday_Calendar_US)&lt;config!$I$10,"",WORKDAY(A273,-1,config_Holiday_Calendar_US)))</f>
        <v>42437</v>
      </c>
      <c r="B274" s="8" t="e">
        <f t="shared" si="4"/>
        <v>#VALUE!</v>
      </c>
      <c r="C274" s="8" t="str">
        <f>IF(A274="","",_xll.BDH(config!$H$4,C$1,$A274,$A274))</f>
        <v>#N/A Requesting Data...</v>
      </c>
      <c r="D274" s="8" t="str">
        <f>IF($A274="","",_xll.BDH(config!$H$4,D$1,$A274,$A274))</f>
        <v>#N/A Requesting Data...</v>
      </c>
      <c r="E274" s="8">
        <f>IF($A274="","",IF(ISNUMBER(FIND("IMPVOL",E$1)),_xll.BDH(config!$G$4,E$1,WORKDAY($A274,-1,config_Holiday_Calendar_US),WORKDAY($A274,-1,config_Holiday_Calendar_US)),IF(ISNUMBER(_xll.BDH(config!$G$4,E$1,$A274,$A274)),_xll.BDH(config!$G$4,E$1,$A274,$A274),_xll.BDH(config!$G$5,E$1,$A274,$A274))))</f>
        <v>37.94</v>
      </c>
      <c r="F274" s="8">
        <f>IF($A274="","",IF(ISNUMBER(FIND("IMPVOL",F$1)),_xll.BDH(config!$G$4,F$1,WORKDAY($A274,-1,config_Holiday_Calendar_US),WORKDAY($A274,-1,config_Holiday_Calendar_US)),IF(ISNUMBER(_xll.BDH(config!$G$4,F$1,$A274,$A274)),_xll.BDH(config!$G$4,F$1,$A274,$A274),_xll.BDH(config!$G$5,F$1,$A274,$A274))))</f>
        <v>38.39</v>
      </c>
      <c r="G274" s="8">
        <f>IF($A274="","",IF(ISNUMBER(FIND("IMPVOL",G$1)),_xll.BDH(config!$G$4,G$1,WORKDAY($A274,-1,config_Holiday_Calendar_US),WORKDAY($A274,-1,config_Holiday_Calendar_US)),IF(ISNUMBER(_xll.BDH(config!$G$4,G$1,$A274,$A274)),_xll.BDH(config!$G$4,G$1,$A274,$A274),_xll.BDH(config!$G$5,G$1,$A274,$A274))))</f>
        <v>38.03</v>
      </c>
      <c r="H274" s="8">
        <f>IF($A274="","",IF(ISNUMBER(FIND("IMPVOL",H$1)),_xll.BDH(config!$G$4,H$1,WORKDAY($A274,-1,config_Holiday_Calendar_US),WORKDAY($A274,-1,config_Holiday_Calendar_US)),IF(ISNUMBER(_xll.BDH(config!$G$4,H$1,$A274,$A274)),_xll.BDH(config!$G$4,H$1,$A274,$A274),_xll.BDH(config!$G$5,H$1,$A274,$A274))))</f>
        <v>287390</v>
      </c>
      <c r="I274" s="8" t="str">
        <f>IF($A274="","",IF(ISNUMBER(FIND("IMPVOL",I$1)),_xll.BDH(config!$G$4,I$1,WORKDAY($A274,-1,config_Holiday_Calendar_US),WORKDAY($A274,-1,config_Holiday_Calendar_US)),IF(ISNUMBER(_xll.BDH(config!$G$4,I$1,$A274,$A274)),_xll.BDH(config!$G$4,I$1,$A274,$A274),_xll.BDH(config!$G$5,I$1,$A274,$A274))))</f>
        <v>#N/A Requesting Data...</v>
      </c>
      <c r="J274" s="8" t="str">
        <f>IF($A274="","",IF(ISNUMBER(FIND("IMPVOL",J$1)),_xll.BDH(config!$G$4,J$1,WORKDAY($A274,-1,config_Holiday_Calendar_US),WORKDAY($A274,-1,config_Holiday_Calendar_US)),IF(ISNUMBER(_xll.BDH(config!$G$4,J$1,$A274,$A274)),_xll.BDH(config!$G$4,J$1,$A274,$A274),_xll.BDH(config!$G$5,J$1,$A274,$A274))))</f>
        <v>#N/A Requesting Data...</v>
      </c>
      <c r="K274" s="8" t="str">
        <f>IF($A274="","",IF(ISNUMBER(FIND("IMPVOL",K$1)),_xll.BDH(config!$G$4,K$1,WORKDAY($A274,-1,config_Holiday_Calendar_US),WORKDAY($A274,-1,config_Holiday_Calendar_US)),IF(ISNUMBER(_xll.BDH(config!$G$4,K$1,$A274,$A274)),_xll.BDH(config!$G$4,K$1,$A274,$A274),_xll.BDH(config!$G$5,K$1,$A274,$A274))))</f>
        <v>#N/A Requesting Data...</v>
      </c>
      <c r="L274" s="8" t="str">
        <f>IF($A274="","",IF(ISNUMBER(FIND("IMPVOL",L$1)),_xll.BDH(config!$G$4,L$1,WORKDAY($A274,-1,config_Holiday_Calendar_US),WORKDAY($A274,-1,config_Holiday_Calendar_US)),IF(ISNUMBER(_xll.BDH(config!$G$4,L$1,$A274,$A274)),_xll.BDH(config!$G$4,L$1,$A274,$A274),_xll.BDH(config!$G$5,L$1,$A274,$A274))))</f>
        <v>#N/A Requesting Data...</v>
      </c>
      <c r="M274" s="8" t="str">
        <f>IF($A274="","",IF(ISNUMBER(FIND("IMPVOL",M$1)),_xll.BDH(config!$G$4,M$1,WORKDAY($A274,-1,config_Holiday_Calendar_US),WORKDAY($A274,-1,config_Holiday_Calendar_US)),IF(ISNUMBER(_xll.BDH(config!$G$4,M$1,$A274,$A274)),_xll.BDH(config!$G$4,M$1,$A274,$A274),_xll.BDH(config!$G$5,M$1,$A274,$A274))))</f>
        <v>#N/A Requesting Data...</v>
      </c>
      <c r="N274" s="8" t="str">
        <f>IF($A274="","",IF(ISNUMBER(FIND("IMPVOL",N$1)),_xll.BDH(config!$G$4,N$1,WORKDAY($A274,-1,config_Holiday_Calendar_US),WORKDAY($A274,-1,config_Holiday_Calendar_US)),IF(ISNUMBER(_xll.BDH(config!$G$4,N$1,$A274,$A274)),_xll.BDH(config!$G$4,N$1,$A274,$A274),_xll.BDH(config!$G$5,N$1,$A274,$A274))))</f>
        <v>#N/A Requesting Data...</v>
      </c>
      <c r="O274" s="8" t="str">
        <f>IF($A274="","",IF(ISNUMBER(FIND("IMPVOL",O$1)),_xll.BDH(config!$G$4,O$1,WORKDAY($A274,-1,config_Holiday_Calendar_US),WORKDAY($A274,-1,config_Holiday_Calendar_US)),IF(ISNUMBER(_xll.BDH(config!$G$4,O$1,$A274,$A274)),_xll.BDH(config!$G$4,O$1,$A274,$A274),_xll.BDH(config!$G$5,O$1,$A274,$A274))))</f>
        <v>#N/A Requesting Data...</v>
      </c>
      <c r="P274" s="8" t="str">
        <f>IF($A274="","",IF(ISNUMBER(FIND("IMPVOL",P$1)),_xll.BDH(config!$G$4,P$1,WORKDAY($A274,-1,config_Holiday_Calendar_US),WORKDAY($A274,-1,config_Holiday_Calendar_US)),IF(ISNUMBER(_xll.BDH(config!$G$4,P$1,$A274,$A274)),_xll.BDH(config!$G$4,P$1,$A274,$A274),_xll.BDH(config!$G$5,P$1,$A274,$A274))))</f>
        <v>#N/A Requesting Data...</v>
      </c>
      <c r="Q274" s="8">
        <f>IF($A274="","",IF(ISNUMBER(FIND("IMPVOL",Q$1)),_xll.BDH(config!$G$4,Q$1,WORKDAY($A274,-1,config_Holiday_Calendar_US),WORKDAY($A274,-1,config_Holiday_Calendar_US)),IF(ISNUMBER(_xll.BDH(config!$G$4,Q$1,$A274,$A274)),_xll.BDH(config!$G$4,Q$1,$A274,$A274),_xll.BDH(config!$G$5,Q$1,$A274,$A274))))</f>
        <v>42.73</v>
      </c>
      <c r="R274" s="8">
        <f>IF($A274="","",IF(ISNUMBER(FIND("IMPVOL",R$1)),_xll.BDH(config!$G$4,R$1,WORKDAY($A274,-1,config_Holiday_Calendar_US),WORKDAY($A274,-1,config_Holiday_Calendar_US)),IF(ISNUMBER(_xll.BDH(config!$G$4,R$1,$A274,$A274)),_xll.BDH(config!$G$4,R$1,$A274,$A274),_xll.BDH(config!$G$5,R$1,$A274,$A274))))</f>
        <v>64.27</v>
      </c>
      <c r="S274" s="8" t="str">
        <f>IF($A274="","",IF(ISNUMBER(FIND("IMPVOL",S$1)),_xll.BDH(config!$G$4,S$1,WORKDAY($A274,-1,config_Holiday_Calendar_US),WORKDAY($A274,-1,config_Holiday_Calendar_US)),IF(ISNUMBER(_xll.BDH(config!$G$4,S$1,$A274,$A274)),_xll.BDH(config!$G$4,S$1,$A274,$A274),_xll.BDH(config!$G$5,S$1,$A274,$A274))))</f>
        <v>#N/A Requesting Data...</v>
      </c>
      <c r="T274" s="8" t="str">
        <f>IF($A274="","",IF(ISNUMBER(FIND("IMPVOL",T$1)),_xll.BDH(config!$G$4,T$1,WORKDAY($A274,-1,config_Holiday_Calendar_US),WORKDAY($A274,-1,config_Holiday_Calendar_US)),IF(ISNUMBER(_xll.BDH(config!$G$4,T$1,$A274,$A274)),_xll.BDH(config!$G$4,T$1,$A274,$A274),_xll.BDH(config!$G$5,T$1,$A274,$A274))))</f>
        <v>#N/A Requesting Data...</v>
      </c>
      <c r="U274" s="8" t="str">
        <f>IF($A274="","",IF(ISNUMBER(FIND("IMPVOL",U$1)),_xll.BDH(config!$G$4,U$1,WORKDAY($A274,-1,config_Holiday_Calendar_US),WORKDAY($A274,-1,config_Holiday_Calendar_US)),IF(ISNUMBER(_xll.BDH(config!$G$4,U$1,$A274,$A274)),_xll.BDH(config!$G$4,U$1,$A274,$A274),_xll.BDH(config!$G$5,U$1,$A274,$A274))))</f>
        <v>#N/A Requesting Data...</v>
      </c>
      <c r="V274" s="8" t="str">
        <f>IF($A274="","",IF(ISNUMBER(FIND("IMPVOL",V$1)),_xll.BDH(config!$G$4,V$1,WORKDAY($A274,-1,config_Holiday_Calendar_US),WORKDAY($A274,-1,config_Holiday_Calendar_US)),IF(ISNUMBER(_xll.BDH(config!$G$4,V$1,$A274,$A274)),_xll.BDH(config!$G$4,V$1,$A274,$A274),_xll.BDH(config!$G$5,V$1,$A274,$A274))))</f>
        <v>#N/A Requesting Data...</v>
      </c>
      <c r="W274" s="8" t="str">
        <f>IF($A274="","",IF(ISNUMBER(FIND("IMPVOL",W$1)),_xll.BDH(config!$G$4,W$1,WORKDAY($A274,-1,config_Holiday_Calendar_US),WORKDAY($A274,-1,config_Holiday_Calendar_US)),IF(ISNUMBER(_xll.BDH(config!$G$4,W$1,$A274,$A274)),_xll.BDH(config!$G$4,W$1,$A274,$A274),_xll.BDH(config!$G$5,W$1,$A274,$A274))))</f>
        <v>#N/A Requesting Data...</v>
      </c>
    </row>
    <row r="275" spans="1:23" x14ac:dyDescent="0.2">
      <c r="A275" s="9">
        <f>IF(A274="","",IF(WORKDAY(A274,-1,config_Holiday_Calendar_US)&lt;config!$I$10,"",WORKDAY(A274,-1,config_Holiday_Calendar_US)))</f>
        <v>42436</v>
      </c>
      <c r="B275" s="8" t="e">
        <f t="shared" si="4"/>
        <v>#VALUE!</v>
      </c>
      <c r="C275" s="8" t="str">
        <f>IF(A275="","",_xll.BDH(config!$H$4,C$1,$A275,$A275))</f>
        <v>#N/A Requesting Data...</v>
      </c>
      <c r="D275" s="8" t="str">
        <f>IF($A275="","",_xll.BDH(config!$H$4,D$1,$A275,$A275))</f>
        <v>#N/A Requesting Data...</v>
      </c>
      <c r="E275" s="8">
        <f>IF($A275="","",IF(ISNUMBER(FIND("IMPVOL",E$1)),_xll.BDH(config!$G$4,E$1,WORKDAY($A275,-1,config_Holiday_Calendar_US),WORKDAY($A275,-1,config_Holiday_Calendar_US)),IF(ISNUMBER(_xll.BDH(config!$G$4,E$1,$A275,$A275)),_xll.BDH(config!$G$4,E$1,$A275,$A275),_xll.BDH(config!$G$5,E$1,$A275,$A275))))</f>
        <v>36.200000000000003</v>
      </c>
      <c r="F275" s="8">
        <f>IF($A275="","",IF(ISNUMBER(FIND("IMPVOL",F$1)),_xll.BDH(config!$G$4,F$1,WORKDAY($A275,-1,config_Holiday_Calendar_US),WORKDAY($A275,-1,config_Holiday_Calendar_US)),IF(ISNUMBER(_xll.BDH(config!$G$4,F$1,$A275,$A275)),_xll.BDH(config!$G$4,F$1,$A275,$A275),_xll.BDH(config!$G$5,F$1,$A275,$A275))))</f>
        <v>38.11</v>
      </c>
      <c r="G275" s="8">
        <f>IF($A275="","",IF(ISNUMBER(FIND("IMPVOL",G$1)),_xll.BDH(config!$G$4,G$1,WORKDAY($A275,-1,config_Holiday_Calendar_US),WORKDAY($A275,-1,config_Holiday_Calendar_US)),IF(ISNUMBER(_xll.BDH(config!$G$4,G$1,$A275,$A275)),_xll.BDH(config!$G$4,G$1,$A275,$A275),_xll.BDH(config!$G$5,G$1,$A275,$A275))))</f>
        <v>38</v>
      </c>
      <c r="H275" s="8">
        <f>IF($A275="","",IF(ISNUMBER(FIND("IMPVOL",H$1)),_xll.BDH(config!$G$4,H$1,WORKDAY($A275,-1,config_Holiday_Calendar_US),WORKDAY($A275,-1,config_Holiday_Calendar_US)),IF(ISNUMBER(_xll.BDH(config!$G$4,H$1,$A275,$A275)),_xll.BDH(config!$G$4,H$1,$A275,$A275),_xll.BDH(config!$G$5,H$1,$A275,$A275))))</f>
        <v>289860</v>
      </c>
      <c r="I275" s="8" t="str">
        <f>IF($A275="","",IF(ISNUMBER(FIND("IMPVOL",I$1)),_xll.BDH(config!$G$4,I$1,WORKDAY($A275,-1,config_Holiday_Calendar_US),WORKDAY($A275,-1,config_Holiday_Calendar_US)),IF(ISNUMBER(_xll.BDH(config!$G$4,I$1,$A275,$A275)),_xll.BDH(config!$G$4,I$1,$A275,$A275),_xll.BDH(config!$G$5,I$1,$A275,$A275))))</f>
        <v>#N/A Requesting Data...</v>
      </c>
      <c r="J275" s="8" t="str">
        <f>IF($A275="","",IF(ISNUMBER(FIND("IMPVOL",J$1)),_xll.BDH(config!$G$4,J$1,WORKDAY($A275,-1,config_Holiday_Calendar_US),WORKDAY($A275,-1,config_Holiday_Calendar_US)),IF(ISNUMBER(_xll.BDH(config!$G$4,J$1,$A275,$A275)),_xll.BDH(config!$G$4,J$1,$A275,$A275),_xll.BDH(config!$G$5,J$1,$A275,$A275))))</f>
        <v>#N/A Requesting Data...</v>
      </c>
      <c r="K275" s="8" t="str">
        <f>IF($A275="","",IF(ISNUMBER(FIND("IMPVOL",K$1)),_xll.BDH(config!$G$4,K$1,WORKDAY($A275,-1,config_Holiday_Calendar_US),WORKDAY($A275,-1,config_Holiday_Calendar_US)),IF(ISNUMBER(_xll.BDH(config!$G$4,K$1,$A275,$A275)),_xll.BDH(config!$G$4,K$1,$A275,$A275),_xll.BDH(config!$G$5,K$1,$A275,$A275))))</f>
        <v>#N/A Requesting Data...</v>
      </c>
      <c r="L275" s="8" t="str">
        <f>IF($A275="","",IF(ISNUMBER(FIND("IMPVOL",L$1)),_xll.BDH(config!$G$4,L$1,WORKDAY($A275,-1,config_Holiday_Calendar_US),WORKDAY($A275,-1,config_Holiday_Calendar_US)),IF(ISNUMBER(_xll.BDH(config!$G$4,L$1,$A275,$A275)),_xll.BDH(config!$G$4,L$1,$A275,$A275),_xll.BDH(config!$G$5,L$1,$A275,$A275))))</f>
        <v>#N/A Requesting Data...</v>
      </c>
      <c r="M275" s="8" t="str">
        <f>IF($A275="","",IF(ISNUMBER(FIND("IMPVOL",M$1)),_xll.BDH(config!$G$4,M$1,WORKDAY($A275,-1,config_Holiday_Calendar_US),WORKDAY($A275,-1,config_Holiday_Calendar_US)),IF(ISNUMBER(_xll.BDH(config!$G$4,M$1,$A275,$A275)),_xll.BDH(config!$G$4,M$1,$A275,$A275),_xll.BDH(config!$G$5,M$1,$A275,$A275))))</f>
        <v>#N/A Requesting Data...</v>
      </c>
      <c r="N275" s="8" t="str">
        <f>IF($A275="","",IF(ISNUMBER(FIND("IMPVOL",N$1)),_xll.BDH(config!$G$4,N$1,WORKDAY($A275,-1,config_Holiday_Calendar_US),WORKDAY($A275,-1,config_Holiday_Calendar_US)),IF(ISNUMBER(_xll.BDH(config!$G$4,N$1,$A275,$A275)),_xll.BDH(config!$G$4,N$1,$A275,$A275),_xll.BDH(config!$G$5,N$1,$A275,$A275))))</f>
        <v>#N/A Requesting Data...</v>
      </c>
      <c r="O275" s="8" t="str">
        <f>IF($A275="","",IF(ISNUMBER(FIND("IMPVOL",O$1)),_xll.BDH(config!$G$4,O$1,WORKDAY($A275,-1,config_Holiday_Calendar_US),WORKDAY($A275,-1,config_Holiday_Calendar_US)),IF(ISNUMBER(_xll.BDH(config!$G$4,O$1,$A275,$A275)),_xll.BDH(config!$G$4,O$1,$A275,$A275),_xll.BDH(config!$G$5,O$1,$A275,$A275))))</f>
        <v>#N/A Requesting Data...</v>
      </c>
      <c r="P275" s="8" t="str">
        <f>IF($A275="","",IF(ISNUMBER(FIND("IMPVOL",P$1)),_xll.BDH(config!$G$4,P$1,WORKDAY($A275,-1,config_Holiday_Calendar_US),WORKDAY($A275,-1,config_Holiday_Calendar_US)),IF(ISNUMBER(_xll.BDH(config!$G$4,P$1,$A275,$A275)),_xll.BDH(config!$G$4,P$1,$A275,$A275),_xll.BDH(config!$G$5,P$1,$A275,$A275))))</f>
        <v>#N/A Requesting Data...</v>
      </c>
      <c r="Q275" s="8">
        <f>IF($A275="","",IF(ISNUMBER(FIND("IMPVOL",Q$1)),_xll.BDH(config!$G$4,Q$1,WORKDAY($A275,-1,config_Holiday_Calendar_US),WORKDAY($A275,-1,config_Holiday_Calendar_US)),IF(ISNUMBER(_xll.BDH(config!$G$4,Q$1,$A275,$A275)),_xll.BDH(config!$G$4,Q$1,$A275,$A275),_xll.BDH(config!$G$5,Q$1,$A275,$A275))))</f>
        <v>30.86</v>
      </c>
      <c r="R275" s="8">
        <f>IF($A275="","",IF(ISNUMBER(FIND("IMPVOL",R$1)),_xll.BDH(config!$G$4,R$1,WORKDAY($A275,-1,config_Holiday_Calendar_US),WORKDAY($A275,-1,config_Holiday_Calendar_US)),IF(ISNUMBER(_xll.BDH(config!$G$4,R$1,$A275,$A275)),_xll.BDH(config!$G$4,R$1,$A275,$A275),_xll.BDH(config!$G$5,R$1,$A275,$A275))))</f>
        <v>63.52</v>
      </c>
      <c r="S275" s="8" t="str">
        <f>IF($A275="","",IF(ISNUMBER(FIND("IMPVOL",S$1)),_xll.BDH(config!$G$4,S$1,WORKDAY($A275,-1,config_Holiday_Calendar_US),WORKDAY($A275,-1,config_Holiday_Calendar_US)),IF(ISNUMBER(_xll.BDH(config!$G$4,S$1,$A275,$A275)),_xll.BDH(config!$G$4,S$1,$A275,$A275),_xll.BDH(config!$G$5,S$1,$A275,$A275))))</f>
        <v>#N/A Requesting Data...</v>
      </c>
      <c r="T275" s="8" t="str">
        <f>IF($A275="","",IF(ISNUMBER(FIND("IMPVOL",T$1)),_xll.BDH(config!$G$4,T$1,WORKDAY($A275,-1,config_Holiday_Calendar_US),WORKDAY($A275,-1,config_Holiday_Calendar_US)),IF(ISNUMBER(_xll.BDH(config!$G$4,T$1,$A275,$A275)),_xll.BDH(config!$G$4,T$1,$A275,$A275),_xll.BDH(config!$G$5,T$1,$A275,$A275))))</f>
        <v>#N/A Requesting Data...</v>
      </c>
      <c r="U275" s="8" t="str">
        <f>IF($A275="","",IF(ISNUMBER(FIND("IMPVOL",U$1)),_xll.BDH(config!$G$4,U$1,WORKDAY($A275,-1,config_Holiday_Calendar_US),WORKDAY($A275,-1,config_Holiday_Calendar_US)),IF(ISNUMBER(_xll.BDH(config!$G$4,U$1,$A275,$A275)),_xll.BDH(config!$G$4,U$1,$A275,$A275),_xll.BDH(config!$G$5,U$1,$A275,$A275))))</f>
        <v>#N/A Requesting Data...</v>
      </c>
      <c r="V275" s="8" t="str">
        <f>IF($A275="","",IF(ISNUMBER(FIND("IMPVOL",V$1)),_xll.BDH(config!$G$4,V$1,WORKDAY($A275,-1,config_Holiday_Calendar_US),WORKDAY($A275,-1,config_Holiday_Calendar_US)),IF(ISNUMBER(_xll.BDH(config!$G$4,V$1,$A275,$A275)),_xll.BDH(config!$G$4,V$1,$A275,$A275),_xll.BDH(config!$G$5,V$1,$A275,$A275))))</f>
        <v>#N/A Requesting Data...</v>
      </c>
      <c r="W275" s="8" t="str">
        <f>IF($A275="","",IF(ISNUMBER(FIND("IMPVOL",W$1)),_xll.BDH(config!$G$4,W$1,WORKDAY($A275,-1,config_Holiday_Calendar_US),WORKDAY($A275,-1,config_Holiday_Calendar_US)),IF(ISNUMBER(_xll.BDH(config!$G$4,W$1,$A275,$A275)),_xll.BDH(config!$G$4,W$1,$A275,$A275),_xll.BDH(config!$G$5,W$1,$A275,$A275))))</f>
        <v>#N/A Requesting Data...</v>
      </c>
    </row>
    <row r="276" spans="1:23" x14ac:dyDescent="0.2">
      <c r="A276" s="9">
        <f>IF(A275="","",IF(WORKDAY(A275,-1,config_Holiday_Calendar_US)&lt;config!$I$10,"",WORKDAY(A275,-1,config_Holiday_Calendar_US)))</f>
        <v>42433</v>
      </c>
      <c r="B276" s="8" t="e">
        <f t="shared" si="4"/>
        <v>#VALUE!</v>
      </c>
      <c r="C276" s="8" t="str">
        <f>IF(A276="","",_xll.BDH(config!$H$4,C$1,$A276,$A276))</f>
        <v>#N/A Requesting Data...</v>
      </c>
      <c r="D276" s="8" t="str">
        <f>IF($A276="","",_xll.BDH(config!$H$4,D$1,$A276,$A276))</f>
        <v>#N/A Requesting Data...</v>
      </c>
      <c r="E276" s="8">
        <f>IF($A276="","",IF(ISNUMBER(FIND("IMPVOL",E$1)),_xll.BDH(config!$G$4,E$1,WORKDAY($A276,-1,config_Holiday_Calendar_US),WORKDAY($A276,-1,config_Holiday_Calendar_US)),IF(ISNUMBER(_xll.BDH(config!$G$4,E$1,$A276,$A276)),_xll.BDH(config!$G$4,E$1,$A276,$A276),_xll.BDH(config!$G$5,E$1,$A276,$A276))))</f>
        <v>34.659999999999997</v>
      </c>
      <c r="F276" s="8">
        <f>IF($A276="","",IF(ISNUMBER(FIND("IMPVOL",F$1)),_xll.BDH(config!$G$4,F$1,WORKDAY($A276,-1,config_Holiday_Calendar_US),WORKDAY($A276,-1,config_Holiday_Calendar_US)),IF(ISNUMBER(_xll.BDH(config!$G$4,F$1,$A276,$A276)),_xll.BDH(config!$G$4,F$1,$A276,$A276),_xll.BDH(config!$G$5,F$1,$A276,$A276))))</f>
        <v>36.340000000000003</v>
      </c>
      <c r="G276" s="8">
        <f>IF($A276="","",IF(ISNUMBER(FIND("IMPVOL",G$1)),_xll.BDH(config!$G$4,G$1,WORKDAY($A276,-1,config_Holiday_Calendar_US),WORKDAY($A276,-1,config_Holiday_Calendar_US)),IF(ISNUMBER(_xll.BDH(config!$G$4,G$1,$A276,$A276)),_xll.BDH(config!$G$4,G$1,$A276,$A276),_xll.BDH(config!$G$5,G$1,$A276,$A276))))</f>
        <v>36.19</v>
      </c>
      <c r="H276" s="8">
        <f>IF($A276="","",IF(ISNUMBER(FIND("IMPVOL",H$1)),_xll.BDH(config!$G$4,H$1,WORKDAY($A276,-1,config_Holiday_Calendar_US),WORKDAY($A276,-1,config_Holiday_Calendar_US)),IF(ISNUMBER(_xll.BDH(config!$G$4,H$1,$A276,$A276)),_xll.BDH(config!$G$4,H$1,$A276,$A276),_xll.BDH(config!$G$5,H$1,$A276,$A276))))</f>
        <v>151706</v>
      </c>
      <c r="I276" s="8" t="str">
        <f>IF($A276="","",IF(ISNUMBER(FIND("IMPVOL",I$1)),_xll.BDH(config!$G$4,I$1,WORKDAY($A276,-1,config_Holiday_Calendar_US),WORKDAY($A276,-1,config_Holiday_Calendar_US)),IF(ISNUMBER(_xll.BDH(config!$G$4,I$1,$A276,$A276)),_xll.BDH(config!$G$4,I$1,$A276,$A276),_xll.BDH(config!$G$5,I$1,$A276,$A276))))</f>
        <v>#N/A Requesting Data...</v>
      </c>
      <c r="J276" s="8" t="str">
        <f>IF($A276="","",IF(ISNUMBER(FIND("IMPVOL",J$1)),_xll.BDH(config!$G$4,J$1,WORKDAY($A276,-1,config_Holiday_Calendar_US),WORKDAY($A276,-1,config_Holiday_Calendar_US)),IF(ISNUMBER(_xll.BDH(config!$G$4,J$1,$A276,$A276)),_xll.BDH(config!$G$4,J$1,$A276,$A276),_xll.BDH(config!$G$5,J$1,$A276,$A276))))</f>
        <v>#N/A Requesting Data...</v>
      </c>
      <c r="K276" s="8" t="str">
        <f>IF($A276="","",IF(ISNUMBER(FIND("IMPVOL",K$1)),_xll.BDH(config!$G$4,K$1,WORKDAY($A276,-1,config_Holiday_Calendar_US),WORKDAY($A276,-1,config_Holiday_Calendar_US)),IF(ISNUMBER(_xll.BDH(config!$G$4,K$1,$A276,$A276)),_xll.BDH(config!$G$4,K$1,$A276,$A276),_xll.BDH(config!$G$5,K$1,$A276,$A276))))</f>
        <v>#N/A Requesting Data...</v>
      </c>
      <c r="L276" s="8" t="str">
        <f>IF($A276="","",IF(ISNUMBER(FIND("IMPVOL",L$1)),_xll.BDH(config!$G$4,L$1,WORKDAY($A276,-1,config_Holiday_Calendar_US),WORKDAY($A276,-1,config_Holiday_Calendar_US)),IF(ISNUMBER(_xll.BDH(config!$G$4,L$1,$A276,$A276)),_xll.BDH(config!$G$4,L$1,$A276,$A276),_xll.BDH(config!$G$5,L$1,$A276,$A276))))</f>
        <v>#N/A Requesting Data...</v>
      </c>
      <c r="M276" s="8" t="str">
        <f>IF($A276="","",IF(ISNUMBER(FIND("IMPVOL",M$1)),_xll.BDH(config!$G$4,M$1,WORKDAY($A276,-1,config_Holiday_Calendar_US),WORKDAY($A276,-1,config_Holiday_Calendar_US)),IF(ISNUMBER(_xll.BDH(config!$G$4,M$1,$A276,$A276)),_xll.BDH(config!$G$4,M$1,$A276,$A276),_xll.BDH(config!$G$5,M$1,$A276,$A276))))</f>
        <v>#N/A Requesting Data...</v>
      </c>
      <c r="N276" s="8" t="str">
        <f>IF($A276="","",IF(ISNUMBER(FIND("IMPVOL",N$1)),_xll.BDH(config!$G$4,N$1,WORKDAY($A276,-1,config_Holiday_Calendar_US),WORKDAY($A276,-1,config_Holiday_Calendar_US)),IF(ISNUMBER(_xll.BDH(config!$G$4,N$1,$A276,$A276)),_xll.BDH(config!$G$4,N$1,$A276,$A276),_xll.BDH(config!$G$5,N$1,$A276,$A276))))</f>
        <v>#N/A Requesting Data...</v>
      </c>
      <c r="O276" s="8" t="str">
        <f>IF($A276="","",IF(ISNUMBER(FIND("IMPVOL",O$1)),_xll.BDH(config!$G$4,O$1,WORKDAY($A276,-1,config_Holiday_Calendar_US),WORKDAY($A276,-1,config_Holiday_Calendar_US)),IF(ISNUMBER(_xll.BDH(config!$G$4,O$1,$A276,$A276)),_xll.BDH(config!$G$4,O$1,$A276,$A276),_xll.BDH(config!$G$5,O$1,$A276,$A276))))</f>
        <v>#N/A Requesting Data...</v>
      </c>
      <c r="P276" s="8" t="str">
        <f>IF($A276="","",IF(ISNUMBER(FIND("IMPVOL",P$1)),_xll.BDH(config!$G$4,P$1,WORKDAY($A276,-1,config_Holiday_Calendar_US),WORKDAY($A276,-1,config_Holiday_Calendar_US)),IF(ISNUMBER(_xll.BDH(config!$G$4,P$1,$A276,$A276)),_xll.BDH(config!$G$4,P$1,$A276,$A276),_xll.BDH(config!$G$5,P$1,$A276,$A276))))</f>
        <v>#N/A Requesting Data...</v>
      </c>
      <c r="Q276" s="8">
        <f>IF($A276="","",IF(ISNUMBER(FIND("IMPVOL",Q$1)),_xll.BDH(config!$G$4,Q$1,WORKDAY($A276,-1,config_Holiday_Calendar_US),WORKDAY($A276,-1,config_Holiday_Calendar_US)),IF(ISNUMBER(_xll.BDH(config!$G$4,Q$1,$A276,$A276)),_xll.BDH(config!$G$4,Q$1,$A276,$A276),_xll.BDH(config!$G$5,Q$1,$A276,$A276))))</f>
        <v>23.16</v>
      </c>
      <c r="R276" s="8">
        <f>IF($A276="","",IF(ISNUMBER(FIND("IMPVOL",R$1)),_xll.BDH(config!$G$4,R$1,WORKDAY($A276,-1,config_Holiday_Calendar_US),WORKDAY($A276,-1,config_Holiday_Calendar_US)),IF(ISNUMBER(_xll.BDH(config!$G$4,R$1,$A276,$A276)),_xll.BDH(config!$G$4,R$1,$A276,$A276),_xll.BDH(config!$G$5,R$1,$A276,$A276))))</f>
        <v>64.349999999999994</v>
      </c>
      <c r="S276" s="8" t="str">
        <f>IF($A276="","",IF(ISNUMBER(FIND("IMPVOL",S$1)),_xll.BDH(config!$G$4,S$1,WORKDAY($A276,-1,config_Holiday_Calendar_US),WORKDAY($A276,-1,config_Holiday_Calendar_US)),IF(ISNUMBER(_xll.BDH(config!$G$4,S$1,$A276,$A276)),_xll.BDH(config!$G$4,S$1,$A276,$A276),_xll.BDH(config!$G$5,S$1,$A276,$A276))))</f>
        <v>#N/A Requesting Data...</v>
      </c>
      <c r="T276" s="8" t="str">
        <f>IF($A276="","",IF(ISNUMBER(FIND("IMPVOL",T$1)),_xll.BDH(config!$G$4,T$1,WORKDAY($A276,-1,config_Holiday_Calendar_US),WORKDAY($A276,-1,config_Holiday_Calendar_US)),IF(ISNUMBER(_xll.BDH(config!$G$4,T$1,$A276,$A276)),_xll.BDH(config!$G$4,T$1,$A276,$A276),_xll.BDH(config!$G$5,T$1,$A276,$A276))))</f>
        <v>#N/A Requesting Data...</v>
      </c>
      <c r="U276" s="8" t="str">
        <f>IF($A276="","",IF(ISNUMBER(FIND("IMPVOL",U$1)),_xll.BDH(config!$G$4,U$1,WORKDAY($A276,-1,config_Holiday_Calendar_US),WORKDAY($A276,-1,config_Holiday_Calendar_US)),IF(ISNUMBER(_xll.BDH(config!$G$4,U$1,$A276,$A276)),_xll.BDH(config!$G$4,U$1,$A276,$A276),_xll.BDH(config!$G$5,U$1,$A276,$A276))))</f>
        <v>#N/A Requesting Data...</v>
      </c>
      <c r="V276" s="8" t="str">
        <f>IF($A276="","",IF(ISNUMBER(FIND("IMPVOL",V$1)),_xll.BDH(config!$G$4,V$1,WORKDAY($A276,-1,config_Holiday_Calendar_US),WORKDAY($A276,-1,config_Holiday_Calendar_US)),IF(ISNUMBER(_xll.BDH(config!$G$4,V$1,$A276,$A276)),_xll.BDH(config!$G$4,V$1,$A276,$A276),_xll.BDH(config!$G$5,V$1,$A276,$A276))))</f>
        <v>#N/A Requesting Data...</v>
      </c>
      <c r="W276" s="8" t="str">
        <f>IF($A276="","",IF(ISNUMBER(FIND("IMPVOL",W$1)),_xll.BDH(config!$G$4,W$1,WORKDAY($A276,-1,config_Holiday_Calendar_US),WORKDAY($A276,-1,config_Holiday_Calendar_US)),IF(ISNUMBER(_xll.BDH(config!$G$4,W$1,$A276,$A276)),_xll.BDH(config!$G$4,W$1,$A276,$A276),_xll.BDH(config!$G$5,W$1,$A276,$A276))))</f>
        <v>#N/A Requesting Data...</v>
      </c>
    </row>
    <row r="277" spans="1:23" x14ac:dyDescent="0.2">
      <c r="A277" s="9">
        <f>IF(A276="","",IF(WORKDAY(A276,-1,config_Holiday_Calendar_US)&lt;config!$I$10,"",WORKDAY(A276,-1,config_Holiday_Calendar_US)))</f>
        <v>42432</v>
      </c>
      <c r="B277" s="8" t="e">
        <f t="shared" si="4"/>
        <v>#VALUE!</v>
      </c>
      <c r="C277" s="8" t="str">
        <f>IF(A277="","",_xll.BDH(config!$H$4,C$1,$A277,$A277))</f>
        <v>#N/A Requesting Data...</v>
      </c>
      <c r="D277" s="8" t="str">
        <f>IF($A277="","",_xll.BDH(config!$H$4,D$1,$A277,$A277))</f>
        <v>#N/A Requesting Data...</v>
      </c>
      <c r="E277" s="8">
        <f>IF($A277="","",IF(ISNUMBER(FIND("IMPVOL",E$1)),_xll.BDH(config!$G$4,E$1,WORKDAY($A277,-1,config_Holiday_Calendar_US),WORKDAY($A277,-1,config_Holiday_Calendar_US)),IF(ISNUMBER(_xll.BDH(config!$G$4,E$1,$A277,$A277)),_xll.BDH(config!$G$4,E$1,$A277,$A277),_xll.BDH(config!$G$5,E$1,$A277,$A277))))</f>
        <v>34.729999999999997</v>
      </c>
      <c r="F277" s="8">
        <f>IF($A277="","",IF(ISNUMBER(FIND("IMPVOL",F$1)),_xll.BDH(config!$G$4,F$1,WORKDAY($A277,-1,config_Holiday_Calendar_US),WORKDAY($A277,-1,config_Holiday_Calendar_US)),IF(ISNUMBER(_xll.BDH(config!$G$4,F$1,$A277,$A277)),_xll.BDH(config!$G$4,F$1,$A277,$A277),_xll.BDH(config!$G$5,F$1,$A277,$A277))))</f>
        <v>35.32</v>
      </c>
      <c r="G277" s="8">
        <f>IF($A277="","",IF(ISNUMBER(FIND("IMPVOL",G$1)),_xll.BDH(config!$G$4,G$1,WORKDAY($A277,-1,config_Holiday_Calendar_US),WORKDAY($A277,-1,config_Holiday_Calendar_US)),IF(ISNUMBER(_xll.BDH(config!$G$4,G$1,$A277,$A277)),_xll.BDH(config!$G$4,G$1,$A277,$A277),_xll.BDH(config!$G$5,G$1,$A277,$A277))))</f>
        <v>35.81</v>
      </c>
      <c r="H277" s="8">
        <f>IF($A277="","",IF(ISNUMBER(FIND("IMPVOL",H$1)),_xll.BDH(config!$G$4,H$1,WORKDAY($A277,-1,config_Holiday_Calendar_US),WORKDAY($A277,-1,config_Holiday_Calendar_US)),IF(ISNUMBER(_xll.BDH(config!$G$4,H$1,$A277,$A277)),_xll.BDH(config!$G$4,H$1,$A277,$A277),_xll.BDH(config!$G$5,H$1,$A277,$A277))))</f>
        <v>168943</v>
      </c>
      <c r="I277" s="8" t="str">
        <f>IF($A277="","",IF(ISNUMBER(FIND("IMPVOL",I$1)),_xll.BDH(config!$G$4,I$1,WORKDAY($A277,-1,config_Holiday_Calendar_US),WORKDAY($A277,-1,config_Holiday_Calendar_US)),IF(ISNUMBER(_xll.BDH(config!$G$4,I$1,$A277,$A277)),_xll.BDH(config!$G$4,I$1,$A277,$A277),_xll.BDH(config!$G$5,I$1,$A277,$A277))))</f>
        <v>#N/A Requesting Data...</v>
      </c>
      <c r="J277" s="8" t="str">
        <f>IF($A277="","",IF(ISNUMBER(FIND("IMPVOL",J$1)),_xll.BDH(config!$G$4,J$1,WORKDAY($A277,-1,config_Holiday_Calendar_US),WORKDAY($A277,-1,config_Holiday_Calendar_US)),IF(ISNUMBER(_xll.BDH(config!$G$4,J$1,$A277,$A277)),_xll.BDH(config!$G$4,J$1,$A277,$A277),_xll.BDH(config!$G$5,J$1,$A277,$A277))))</f>
        <v>#N/A Requesting Data...</v>
      </c>
      <c r="K277" s="8" t="str">
        <f>IF($A277="","",IF(ISNUMBER(FIND("IMPVOL",K$1)),_xll.BDH(config!$G$4,K$1,WORKDAY($A277,-1,config_Holiday_Calendar_US),WORKDAY($A277,-1,config_Holiday_Calendar_US)),IF(ISNUMBER(_xll.BDH(config!$G$4,K$1,$A277,$A277)),_xll.BDH(config!$G$4,K$1,$A277,$A277),_xll.BDH(config!$G$5,K$1,$A277,$A277))))</f>
        <v>#N/A Requesting Data...</v>
      </c>
      <c r="L277" s="8" t="str">
        <f>IF($A277="","",IF(ISNUMBER(FIND("IMPVOL",L$1)),_xll.BDH(config!$G$4,L$1,WORKDAY($A277,-1,config_Holiday_Calendar_US),WORKDAY($A277,-1,config_Holiday_Calendar_US)),IF(ISNUMBER(_xll.BDH(config!$G$4,L$1,$A277,$A277)),_xll.BDH(config!$G$4,L$1,$A277,$A277),_xll.BDH(config!$G$5,L$1,$A277,$A277))))</f>
        <v>#N/A Requesting Data...</v>
      </c>
      <c r="M277" s="8" t="str">
        <f>IF($A277="","",IF(ISNUMBER(FIND("IMPVOL",M$1)),_xll.BDH(config!$G$4,M$1,WORKDAY($A277,-1,config_Holiday_Calendar_US),WORKDAY($A277,-1,config_Holiday_Calendar_US)),IF(ISNUMBER(_xll.BDH(config!$G$4,M$1,$A277,$A277)),_xll.BDH(config!$G$4,M$1,$A277,$A277),_xll.BDH(config!$G$5,M$1,$A277,$A277))))</f>
        <v>#N/A Requesting Data...</v>
      </c>
      <c r="N277" s="8" t="str">
        <f>IF($A277="","",IF(ISNUMBER(FIND("IMPVOL",N$1)),_xll.BDH(config!$G$4,N$1,WORKDAY($A277,-1,config_Holiday_Calendar_US),WORKDAY($A277,-1,config_Holiday_Calendar_US)),IF(ISNUMBER(_xll.BDH(config!$G$4,N$1,$A277,$A277)),_xll.BDH(config!$G$4,N$1,$A277,$A277),_xll.BDH(config!$G$5,N$1,$A277,$A277))))</f>
        <v>#N/A Requesting Data...</v>
      </c>
      <c r="O277" s="8" t="str">
        <f>IF($A277="","",IF(ISNUMBER(FIND("IMPVOL",O$1)),_xll.BDH(config!$G$4,O$1,WORKDAY($A277,-1,config_Holiday_Calendar_US),WORKDAY($A277,-1,config_Holiday_Calendar_US)),IF(ISNUMBER(_xll.BDH(config!$G$4,O$1,$A277,$A277)),_xll.BDH(config!$G$4,O$1,$A277,$A277),_xll.BDH(config!$G$5,O$1,$A277,$A277))))</f>
        <v>#N/A Requesting Data...</v>
      </c>
      <c r="P277" s="8" t="str">
        <f>IF($A277="","",IF(ISNUMBER(FIND("IMPVOL",P$1)),_xll.BDH(config!$G$4,P$1,WORKDAY($A277,-1,config_Holiday_Calendar_US),WORKDAY($A277,-1,config_Holiday_Calendar_US)),IF(ISNUMBER(_xll.BDH(config!$G$4,P$1,$A277,$A277)),_xll.BDH(config!$G$4,P$1,$A277,$A277),_xll.BDH(config!$G$5,P$1,$A277,$A277))))</f>
        <v>#N/A Requesting Data...</v>
      </c>
      <c r="Q277" s="8">
        <f>IF($A277="","",IF(ISNUMBER(FIND("IMPVOL",Q$1)),_xll.BDH(config!$G$4,Q$1,WORKDAY($A277,-1,config_Holiday_Calendar_US),WORKDAY($A277,-1,config_Holiday_Calendar_US)),IF(ISNUMBER(_xll.BDH(config!$G$4,Q$1,$A277,$A277)),_xll.BDH(config!$G$4,Q$1,$A277,$A277),_xll.BDH(config!$G$5,Q$1,$A277,$A277))))</f>
        <v>27.77</v>
      </c>
      <c r="R277" s="8">
        <f>IF($A277="","",IF(ISNUMBER(FIND("IMPVOL",R$1)),_xll.BDH(config!$G$4,R$1,WORKDAY($A277,-1,config_Holiday_Calendar_US),WORKDAY($A277,-1,config_Holiday_Calendar_US)),IF(ISNUMBER(_xll.BDH(config!$G$4,R$1,$A277,$A277)),_xll.BDH(config!$G$4,R$1,$A277,$A277),_xll.BDH(config!$G$5,R$1,$A277,$A277))))</f>
        <v>67.89</v>
      </c>
      <c r="S277" s="8" t="str">
        <f>IF($A277="","",IF(ISNUMBER(FIND("IMPVOL",S$1)),_xll.BDH(config!$G$4,S$1,WORKDAY($A277,-1,config_Holiday_Calendar_US),WORKDAY($A277,-1,config_Holiday_Calendar_US)),IF(ISNUMBER(_xll.BDH(config!$G$4,S$1,$A277,$A277)),_xll.BDH(config!$G$4,S$1,$A277,$A277),_xll.BDH(config!$G$5,S$1,$A277,$A277))))</f>
        <v>#N/A Requesting Data...</v>
      </c>
      <c r="T277" s="8" t="str">
        <f>IF($A277="","",IF(ISNUMBER(FIND("IMPVOL",T$1)),_xll.BDH(config!$G$4,T$1,WORKDAY($A277,-1,config_Holiday_Calendar_US),WORKDAY($A277,-1,config_Holiday_Calendar_US)),IF(ISNUMBER(_xll.BDH(config!$G$4,T$1,$A277,$A277)),_xll.BDH(config!$G$4,T$1,$A277,$A277),_xll.BDH(config!$G$5,T$1,$A277,$A277))))</f>
        <v>#N/A Requesting Data...</v>
      </c>
      <c r="U277" s="8" t="str">
        <f>IF($A277="","",IF(ISNUMBER(FIND("IMPVOL",U$1)),_xll.BDH(config!$G$4,U$1,WORKDAY($A277,-1,config_Holiday_Calendar_US),WORKDAY($A277,-1,config_Holiday_Calendar_US)),IF(ISNUMBER(_xll.BDH(config!$G$4,U$1,$A277,$A277)),_xll.BDH(config!$G$4,U$1,$A277,$A277),_xll.BDH(config!$G$5,U$1,$A277,$A277))))</f>
        <v>#N/A Requesting Data...</v>
      </c>
      <c r="V277" s="8" t="str">
        <f>IF($A277="","",IF(ISNUMBER(FIND("IMPVOL",V$1)),_xll.BDH(config!$G$4,V$1,WORKDAY($A277,-1,config_Holiday_Calendar_US),WORKDAY($A277,-1,config_Holiday_Calendar_US)),IF(ISNUMBER(_xll.BDH(config!$G$4,V$1,$A277,$A277)),_xll.BDH(config!$G$4,V$1,$A277,$A277),_xll.BDH(config!$G$5,V$1,$A277,$A277))))</f>
        <v>#N/A Requesting Data...</v>
      </c>
      <c r="W277" s="8" t="str">
        <f>IF($A277="","",IF(ISNUMBER(FIND("IMPVOL",W$1)),_xll.BDH(config!$G$4,W$1,WORKDAY($A277,-1,config_Holiday_Calendar_US),WORKDAY($A277,-1,config_Holiday_Calendar_US)),IF(ISNUMBER(_xll.BDH(config!$G$4,W$1,$A277,$A277)),_xll.BDH(config!$G$4,W$1,$A277,$A277),_xll.BDH(config!$G$5,W$1,$A277,$A277))))</f>
        <v>#N/A Requesting Data...</v>
      </c>
    </row>
    <row r="278" spans="1:23" x14ac:dyDescent="0.2">
      <c r="A278" s="9">
        <f>IF(A277="","",IF(WORKDAY(A277,-1,config_Holiday_Calendar_US)&lt;config!$I$10,"",WORKDAY(A277,-1,config_Holiday_Calendar_US)))</f>
        <v>42431</v>
      </c>
      <c r="B278" s="8" t="e">
        <f t="shared" si="4"/>
        <v>#VALUE!</v>
      </c>
      <c r="C278" s="8" t="str">
        <f>IF(A278="","",_xll.BDH(config!$H$4,C$1,$A278,$A278))</f>
        <v>#N/A Requesting Data...</v>
      </c>
      <c r="D278" s="8" t="str">
        <f>IF($A278="","",_xll.BDH(config!$H$4,D$1,$A278,$A278))</f>
        <v>#N/A Requesting Data...</v>
      </c>
      <c r="E278" s="8">
        <f>IF($A278="","",IF(ISNUMBER(FIND("IMPVOL",E$1)),_xll.BDH(config!$G$4,E$1,WORKDAY($A278,-1,config_Holiday_Calendar_US),WORKDAY($A278,-1,config_Holiday_Calendar_US)),IF(ISNUMBER(_xll.BDH(config!$G$4,E$1,$A278,$A278)),_xll.BDH(config!$G$4,E$1,$A278,$A278),_xll.BDH(config!$G$5,E$1,$A278,$A278))))</f>
        <v>33.89</v>
      </c>
      <c r="F278" s="8">
        <f>IF($A278="","",IF(ISNUMBER(FIND("IMPVOL",F$1)),_xll.BDH(config!$G$4,F$1,WORKDAY($A278,-1,config_Holiday_Calendar_US),WORKDAY($A278,-1,config_Holiday_Calendar_US)),IF(ISNUMBER(_xll.BDH(config!$G$4,F$1,$A278,$A278)),_xll.BDH(config!$G$4,F$1,$A278,$A278),_xll.BDH(config!$G$5,F$1,$A278,$A278))))</f>
        <v>35.17</v>
      </c>
      <c r="G278" s="8">
        <f>IF($A278="","",IF(ISNUMBER(FIND("IMPVOL",G$1)),_xll.BDH(config!$G$4,G$1,WORKDAY($A278,-1,config_Holiday_Calendar_US),WORKDAY($A278,-1,config_Holiday_Calendar_US)),IF(ISNUMBER(_xll.BDH(config!$G$4,G$1,$A278,$A278)),_xll.BDH(config!$G$4,G$1,$A278,$A278),_xll.BDH(config!$G$5,G$1,$A278,$A278))))</f>
        <v>35.299999999999997</v>
      </c>
      <c r="H278" s="8">
        <f>IF($A278="","",IF(ISNUMBER(FIND("IMPVOL",H$1)),_xll.BDH(config!$G$4,H$1,WORKDAY($A278,-1,config_Holiday_Calendar_US),WORKDAY($A278,-1,config_Holiday_Calendar_US)),IF(ISNUMBER(_xll.BDH(config!$G$4,H$1,$A278,$A278)),_xll.BDH(config!$G$4,H$1,$A278,$A278),_xll.BDH(config!$G$5,H$1,$A278,$A278))))</f>
        <v>184863</v>
      </c>
      <c r="I278" s="8" t="str">
        <f>IF($A278="","",IF(ISNUMBER(FIND("IMPVOL",I$1)),_xll.BDH(config!$G$4,I$1,WORKDAY($A278,-1,config_Holiday_Calendar_US),WORKDAY($A278,-1,config_Holiday_Calendar_US)),IF(ISNUMBER(_xll.BDH(config!$G$4,I$1,$A278,$A278)),_xll.BDH(config!$G$4,I$1,$A278,$A278),_xll.BDH(config!$G$5,I$1,$A278,$A278))))</f>
        <v>#N/A Requesting Data...</v>
      </c>
      <c r="J278" s="8" t="str">
        <f>IF($A278="","",IF(ISNUMBER(FIND("IMPVOL",J$1)),_xll.BDH(config!$G$4,J$1,WORKDAY($A278,-1,config_Holiday_Calendar_US),WORKDAY($A278,-1,config_Holiday_Calendar_US)),IF(ISNUMBER(_xll.BDH(config!$G$4,J$1,$A278,$A278)),_xll.BDH(config!$G$4,J$1,$A278,$A278),_xll.BDH(config!$G$5,J$1,$A278,$A278))))</f>
        <v>#N/A Requesting Data...</v>
      </c>
      <c r="K278" s="8" t="str">
        <f>IF($A278="","",IF(ISNUMBER(FIND("IMPVOL",K$1)),_xll.BDH(config!$G$4,K$1,WORKDAY($A278,-1,config_Holiday_Calendar_US),WORKDAY($A278,-1,config_Holiday_Calendar_US)),IF(ISNUMBER(_xll.BDH(config!$G$4,K$1,$A278,$A278)),_xll.BDH(config!$G$4,K$1,$A278,$A278),_xll.BDH(config!$G$5,K$1,$A278,$A278))))</f>
        <v>#N/A Requesting Data...</v>
      </c>
      <c r="L278" s="8" t="str">
        <f>IF($A278="","",IF(ISNUMBER(FIND("IMPVOL",L$1)),_xll.BDH(config!$G$4,L$1,WORKDAY($A278,-1,config_Holiday_Calendar_US),WORKDAY($A278,-1,config_Holiday_Calendar_US)),IF(ISNUMBER(_xll.BDH(config!$G$4,L$1,$A278,$A278)),_xll.BDH(config!$G$4,L$1,$A278,$A278),_xll.BDH(config!$G$5,L$1,$A278,$A278))))</f>
        <v>#N/A Requesting Data...</v>
      </c>
      <c r="M278" s="8" t="str">
        <f>IF($A278="","",IF(ISNUMBER(FIND("IMPVOL",M$1)),_xll.BDH(config!$G$4,M$1,WORKDAY($A278,-1,config_Holiday_Calendar_US),WORKDAY($A278,-1,config_Holiday_Calendar_US)),IF(ISNUMBER(_xll.BDH(config!$G$4,M$1,$A278,$A278)),_xll.BDH(config!$G$4,M$1,$A278,$A278),_xll.BDH(config!$G$5,M$1,$A278,$A278))))</f>
        <v>#N/A Requesting Data...</v>
      </c>
      <c r="N278" s="8" t="str">
        <f>IF($A278="","",IF(ISNUMBER(FIND("IMPVOL",N$1)),_xll.BDH(config!$G$4,N$1,WORKDAY($A278,-1,config_Holiday_Calendar_US),WORKDAY($A278,-1,config_Holiday_Calendar_US)),IF(ISNUMBER(_xll.BDH(config!$G$4,N$1,$A278,$A278)),_xll.BDH(config!$G$4,N$1,$A278,$A278),_xll.BDH(config!$G$5,N$1,$A278,$A278))))</f>
        <v>#N/A Requesting Data...</v>
      </c>
      <c r="O278" s="8" t="str">
        <f>IF($A278="","",IF(ISNUMBER(FIND("IMPVOL",O$1)),_xll.BDH(config!$G$4,O$1,WORKDAY($A278,-1,config_Holiday_Calendar_US),WORKDAY($A278,-1,config_Holiday_Calendar_US)),IF(ISNUMBER(_xll.BDH(config!$G$4,O$1,$A278,$A278)),_xll.BDH(config!$G$4,O$1,$A278,$A278),_xll.BDH(config!$G$5,O$1,$A278,$A278))))</f>
        <v>#N/A Requesting Data...</v>
      </c>
      <c r="P278" s="8" t="str">
        <f>IF($A278="","",IF(ISNUMBER(FIND("IMPVOL",P$1)),_xll.BDH(config!$G$4,P$1,WORKDAY($A278,-1,config_Holiday_Calendar_US),WORKDAY($A278,-1,config_Holiday_Calendar_US)),IF(ISNUMBER(_xll.BDH(config!$G$4,P$1,$A278,$A278)),_xll.BDH(config!$G$4,P$1,$A278,$A278),_xll.BDH(config!$G$5,P$1,$A278,$A278))))</f>
        <v>#N/A Requesting Data...</v>
      </c>
      <c r="Q278" s="8">
        <f>IF($A278="","",IF(ISNUMBER(FIND("IMPVOL",Q$1)),_xll.BDH(config!$G$4,Q$1,WORKDAY($A278,-1,config_Holiday_Calendar_US),WORKDAY($A278,-1,config_Holiday_Calendar_US)),IF(ISNUMBER(_xll.BDH(config!$G$4,Q$1,$A278,$A278)),_xll.BDH(config!$G$4,Q$1,$A278,$A278),_xll.BDH(config!$G$5,Q$1,$A278,$A278))))</f>
        <v>38.94</v>
      </c>
      <c r="R278" s="8">
        <f>IF($A278="","",IF(ISNUMBER(FIND("IMPVOL",R$1)),_xll.BDH(config!$G$4,R$1,WORKDAY($A278,-1,config_Holiday_Calendar_US),WORKDAY($A278,-1,config_Holiday_Calendar_US)),IF(ISNUMBER(_xll.BDH(config!$G$4,R$1,$A278,$A278)),_xll.BDH(config!$G$4,R$1,$A278,$A278),_xll.BDH(config!$G$5,R$1,$A278,$A278))))</f>
        <v>71.78</v>
      </c>
      <c r="S278" s="8" t="str">
        <f>IF($A278="","",IF(ISNUMBER(FIND("IMPVOL",S$1)),_xll.BDH(config!$G$4,S$1,WORKDAY($A278,-1,config_Holiday_Calendar_US),WORKDAY($A278,-1,config_Holiday_Calendar_US)),IF(ISNUMBER(_xll.BDH(config!$G$4,S$1,$A278,$A278)),_xll.BDH(config!$G$4,S$1,$A278,$A278),_xll.BDH(config!$G$5,S$1,$A278,$A278))))</f>
        <v>#N/A Requesting Data...</v>
      </c>
      <c r="T278" s="8" t="str">
        <f>IF($A278="","",IF(ISNUMBER(FIND("IMPVOL",T$1)),_xll.BDH(config!$G$4,T$1,WORKDAY($A278,-1,config_Holiday_Calendar_US),WORKDAY($A278,-1,config_Holiday_Calendar_US)),IF(ISNUMBER(_xll.BDH(config!$G$4,T$1,$A278,$A278)),_xll.BDH(config!$G$4,T$1,$A278,$A278),_xll.BDH(config!$G$5,T$1,$A278,$A278))))</f>
        <v>#N/A Requesting Data...</v>
      </c>
      <c r="U278" s="8" t="str">
        <f>IF($A278="","",IF(ISNUMBER(FIND("IMPVOL",U$1)),_xll.BDH(config!$G$4,U$1,WORKDAY($A278,-1,config_Holiday_Calendar_US),WORKDAY($A278,-1,config_Holiday_Calendar_US)),IF(ISNUMBER(_xll.BDH(config!$G$4,U$1,$A278,$A278)),_xll.BDH(config!$G$4,U$1,$A278,$A278),_xll.BDH(config!$G$5,U$1,$A278,$A278))))</f>
        <v>#N/A Requesting Data...</v>
      </c>
      <c r="V278" s="8" t="str">
        <f>IF($A278="","",IF(ISNUMBER(FIND("IMPVOL",V$1)),_xll.BDH(config!$G$4,V$1,WORKDAY($A278,-1,config_Holiday_Calendar_US),WORKDAY($A278,-1,config_Holiday_Calendar_US)),IF(ISNUMBER(_xll.BDH(config!$G$4,V$1,$A278,$A278)),_xll.BDH(config!$G$4,V$1,$A278,$A278),_xll.BDH(config!$G$5,V$1,$A278,$A278))))</f>
        <v>#N/A Requesting Data...</v>
      </c>
      <c r="W278" s="8" t="str">
        <f>IF($A278="","",IF(ISNUMBER(FIND("IMPVOL",W$1)),_xll.BDH(config!$G$4,W$1,WORKDAY($A278,-1,config_Holiday_Calendar_US),WORKDAY($A278,-1,config_Holiday_Calendar_US)),IF(ISNUMBER(_xll.BDH(config!$G$4,W$1,$A278,$A278)),_xll.BDH(config!$G$4,W$1,$A278,$A278),_xll.BDH(config!$G$5,W$1,$A278,$A278))))</f>
        <v>#N/A Requesting Data...</v>
      </c>
    </row>
    <row r="279" spans="1:23" x14ac:dyDescent="0.2">
      <c r="A279" s="9">
        <f>IF(A278="","",IF(WORKDAY(A278,-1,config_Holiday_Calendar_US)&lt;config!$I$10,"",WORKDAY(A278,-1,config_Holiday_Calendar_US)))</f>
        <v>42430</v>
      </c>
      <c r="B279" s="8" t="e">
        <f t="shared" si="4"/>
        <v>#VALUE!</v>
      </c>
      <c r="C279" s="8" t="str">
        <f>IF(A279="","",_xll.BDH(config!$H$4,C$1,$A279,$A279))</f>
        <v>#N/A Requesting Data...</v>
      </c>
      <c r="D279" s="8" t="str">
        <f>IF($A279="","",_xll.BDH(config!$H$4,D$1,$A279,$A279))</f>
        <v>#N/A Requesting Data...</v>
      </c>
      <c r="E279" s="8">
        <f>IF($A279="","",IF(ISNUMBER(FIND("IMPVOL",E$1)),_xll.BDH(config!$G$4,E$1,WORKDAY($A279,-1,config_Holiday_Calendar_US),WORKDAY($A279,-1,config_Holiday_Calendar_US)),IF(ISNUMBER(_xll.BDH(config!$G$4,E$1,$A279,$A279)),_xll.BDH(config!$G$4,E$1,$A279,$A279),_xll.BDH(config!$G$5,E$1,$A279,$A279))))</f>
        <v>33.9</v>
      </c>
      <c r="F279" s="8">
        <f>IF($A279="","",IF(ISNUMBER(FIND("IMPVOL",F$1)),_xll.BDH(config!$G$4,F$1,WORKDAY($A279,-1,config_Holiday_Calendar_US),WORKDAY($A279,-1,config_Holiday_Calendar_US)),IF(ISNUMBER(_xll.BDH(config!$G$4,F$1,$A279,$A279)),_xll.BDH(config!$G$4,F$1,$A279,$A279),_xll.BDH(config!$G$5,F$1,$A279,$A279))))</f>
        <v>34.76</v>
      </c>
      <c r="G279" s="8">
        <f>IF($A279="","",IF(ISNUMBER(FIND("IMPVOL",G$1)),_xll.BDH(config!$G$4,G$1,WORKDAY($A279,-1,config_Holiday_Calendar_US),WORKDAY($A279,-1,config_Holiday_Calendar_US)),IF(ISNUMBER(_xll.BDH(config!$G$4,G$1,$A279,$A279)),_xll.BDH(config!$G$4,G$1,$A279,$A279),_xll.BDH(config!$G$5,G$1,$A279,$A279))))</f>
        <v>35.18</v>
      </c>
      <c r="H279" s="8">
        <f>IF($A279="","",IF(ISNUMBER(FIND("IMPVOL",H$1)),_xll.BDH(config!$G$4,H$1,WORKDAY($A279,-1,config_Holiday_Calendar_US),WORKDAY($A279,-1,config_Holiday_Calendar_US)),IF(ISNUMBER(_xll.BDH(config!$G$4,H$1,$A279,$A279)),_xll.BDH(config!$G$4,H$1,$A279,$A279),_xll.BDH(config!$G$5,H$1,$A279,$A279))))</f>
        <v>178398</v>
      </c>
      <c r="I279" s="8" t="str">
        <f>IF($A279="","",IF(ISNUMBER(FIND("IMPVOL",I$1)),_xll.BDH(config!$G$4,I$1,WORKDAY($A279,-1,config_Holiday_Calendar_US),WORKDAY($A279,-1,config_Holiday_Calendar_US)),IF(ISNUMBER(_xll.BDH(config!$G$4,I$1,$A279,$A279)),_xll.BDH(config!$G$4,I$1,$A279,$A279),_xll.BDH(config!$G$5,I$1,$A279,$A279))))</f>
        <v>#N/A Requesting Data...</v>
      </c>
      <c r="J279" s="8" t="str">
        <f>IF($A279="","",IF(ISNUMBER(FIND("IMPVOL",J$1)),_xll.BDH(config!$G$4,J$1,WORKDAY($A279,-1,config_Holiday_Calendar_US),WORKDAY($A279,-1,config_Holiday_Calendar_US)),IF(ISNUMBER(_xll.BDH(config!$G$4,J$1,$A279,$A279)),_xll.BDH(config!$G$4,J$1,$A279,$A279),_xll.BDH(config!$G$5,J$1,$A279,$A279))))</f>
        <v>#N/A Requesting Data...</v>
      </c>
      <c r="K279" s="8" t="str">
        <f>IF($A279="","",IF(ISNUMBER(FIND("IMPVOL",K$1)),_xll.BDH(config!$G$4,K$1,WORKDAY($A279,-1,config_Holiday_Calendar_US),WORKDAY($A279,-1,config_Holiday_Calendar_US)),IF(ISNUMBER(_xll.BDH(config!$G$4,K$1,$A279,$A279)),_xll.BDH(config!$G$4,K$1,$A279,$A279),_xll.BDH(config!$G$5,K$1,$A279,$A279))))</f>
        <v>#N/A Requesting Data...</v>
      </c>
      <c r="L279" s="8" t="str">
        <f>IF($A279="","",IF(ISNUMBER(FIND("IMPVOL",L$1)),_xll.BDH(config!$G$4,L$1,WORKDAY($A279,-1,config_Holiday_Calendar_US),WORKDAY($A279,-1,config_Holiday_Calendar_US)),IF(ISNUMBER(_xll.BDH(config!$G$4,L$1,$A279,$A279)),_xll.BDH(config!$G$4,L$1,$A279,$A279),_xll.BDH(config!$G$5,L$1,$A279,$A279))))</f>
        <v>#N/A Requesting Data...</v>
      </c>
      <c r="M279" s="8" t="str">
        <f>IF($A279="","",IF(ISNUMBER(FIND("IMPVOL",M$1)),_xll.BDH(config!$G$4,M$1,WORKDAY($A279,-1,config_Holiday_Calendar_US),WORKDAY($A279,-1,config_Holiday_Calendar_US)),IF(ISNUMBER(_xll.BDH(config!$G$4,M$1,$A279,$A279)),_xll.BDH(config!$G$4,M$1,$A279,$A279),_xll.BDH(config!$G$5,M$1,$A279,$A279))))</f>
        <v>#N/A Requesting Data...</v>
      </c>
      <c r="N279" s="8" t="str">
        <f>IF($A279="","",IF(ISNUMBER(FIND("IMPVOL",N$1)),_xll.BDH(config!$G$4,N$1,WORKDAY($A279,-1,config_Holiday_Calendar_US),WORKDAY($A279,-1,config_Holiday_Calendar_US)),IF(ISNUMBER(_xll.BDH(config!$G$4,N$1,$A279,$A279)),_xll.BDH(config!$G$4,N$1,$A279,$A279),_xll.BDH(config!$G$5,N$1,$A279,$A279))))</f>
        <v>#N/A Requesting Data...</v>
      </c>
      <c r="O279" s="8" t="str">
        <f>IF($A279="","",IF(ISNUMBER(FIND("IMPVOL",O$1)),_xll.BDH(config!$G$4,O$1,WORKDAY($A279,-1,config_Holiday_Calendar_US),WORKDAY($A279,-1,config_Holiday_Calendar_US)),IF(ISNUMBER(_xll.BDH(config!$G$4,O$1,$A279,$A279)),_xll.BDH(config!$G$4,O$1,$A279,$A279),_xll.BDH(config!$G$5,O$1,$A279,$A279))))</f>
        <v>#N/A Requesting Data...</v>
      </c>
      <c r="P279" s="8" t="str">
        <f>IF($A279="","",IF(ISNUMBER(FIND("IMPVOL",P$1)),_xll.BDH(config!$G$4,P$1,WORKDAY($A279,-1,config_Holiday_Calendar_US),WORKDAY($A279,-1,config_Holiday_Calendar_US)),IF(ISNUMBER(_xll.BDH(config!$G$4,P$1,$A279,$A279)),_xll.BDH(config!$G$4,P$1,$A279,$A279),_xll.BDH(config!$G$5,P$1,$A279,$A279))))</f>
        <v>#N/A Requesting Data...</v>
      </c>
      <c r="Q279" s="8">
        <f>IF($A279="","",IF(ISNUMBER(FIND("IMPVOL",Q$1)),_xll.BDH(config!$G$4,Q$1,WORKDAY($A279,-1,config_Holiday_Calendar_US),WORKDAY($A279,-1,config_Holiday_Calendar_US)),IF(ISNUMBER(_xll.BDH(config!$G$4,Q$1,$A279,$A279)),_xll.BDH(config!$G$4,Q$1,$A279,$A279),_xll.BDH(config!$G$5,Q$1,$A279,$A279))))</f>
        <v>39.380000000000003</v>
      </c>
      <c r="R279" s="8">
        <f>IF($A279="","",IF(ISNUMBER(FIND("IMPVOL",R$1)),_xll.BDH(config!$G$4,R$1,WORKDAY($A279,-1,config_Holiday_Calendar_US),WORKDAY($A279,-1,config_Holiday_Calendar_US)),IF(ISNUMBER(_xll.BDH(config!$G$4,R$1,$A279,$A279)),_xll.BDH(config!$G$4,R$1,$A279,$A279),_xll.BDH(config!$G$5,R$1,$A279,$A279))))</f>
        <v>73.36</v>
      </c>
      <c r="S279" s="8" t="str">
        <f>IF($A279="","",IF(ISNUMBER(FIND("IMPVOL",S$1)),_xll.BDH(config!$G$4,S$1,WORKDAY($A279,-1,config_Holiday_Calendar_US),WORKDAY($A279,-1,config_Holiday_Calendar_US)),IF(ISNUMBER(_xll.BDH(config!$G$4,S$1,$A279,$A279)),_xll.BDH(config!$G$4,S$1,$A279,$A279),_xll.BDH(config!$G$5,S$1,$A279,$A279))))</f>
        <v>#N/A Requesting Data...</v>
      </c>
      <c r="T279" s="8" t="str">
        <f>IF($A279="","",IF(ISNUMBER(FIND("IMPVOL",T$1)),_xll.BDH(config!$G$4,T$1,WORKDAY($A279,-1,config_Holiday_Calendar_US),WORKDAY($A279,-1,config_Holiday_Calendar_US)),IF(ISNUMBER(_xll.BDH(config!$G$4,T$1,$A279,$A279)),_xll.BDH(config!$G$4,T$1,$A279,$A279),_xll.BDH(config!$G$5,T$1,$A279,$A279))))</f>
        <v>#N/A Requesting Data...</v>
      </c>
      <c r="U279" s="8" t="str">
        <f>IF($A279="","",IF(ISNUMBER(FIND("IMPVOL",U$1)),_xll.BDH(config!$G$4,U$1,WORKDAY($A279,-1,config_Holiday_Calendar_US),WORKDAY($A279,-1,config_Holiday_Calendar_US)),IF(ISNUMBER(_xll.BDH(config!$G$4,U$1,$A279,$A279)),_xll.BDH(config!$G$4,U$1,$A279,$A279),_xll.BDH(config!$G$5,U$1,$A279,$A279))))</f>
        <v>#N/A Requesting Data...</v>
      </c>
      <c r="V279" s="8" t="str">
        <f>IF($A279="","",IF(ISNUMBER(FIND("IMPVOL",V$1)),_xll.BDH(config!$G$4,V$1,WORKDAY($A279,-1,config_Holiday_Calendar_US),WORKDAY($A279,-1,config_Holiday_Calendar_US)),IF(ISNUMBER(_xll.BDH(config!$G$4,V$1,$A279,$A279)),_xll.BDH(config!$G$4,V$1,$A279,$A279),_xll.BDH(config!$G$5,V$1,$A279,$A279))))</f>
        <v>#N/A Requesting Data...</v>
      </c>
      <c r="W279" s="8" t="str">
        <f>IF($A279="","",IF(ISNUMBER(FIND("IMPVOL",W$1)),_xll.BDH(config!$G$4,W$1,WORKDAY($A279,-1,config_Holiday_Calendar_US),WORKDAY($A279,-1,config_Holiday_Calendar_US)),IF(ISNUMBER(_xll.BDH(config!$G$4,W$1,$A279,$A279)),_xll.BDH(config!$G$4,W$1,$A279,$A279),_xll.BDH(config!$G$5,W$1,$A279,$A279))))</f>
        <v>#N/A Requesting Data...</v>
      </c>
    </row>
    <row r="280" spans="1:23" x14ac:dyDescent="0.2">
      <c r="A280" s="9">
        <f>IF(A279="","",IF(WORKDAY(A279,-1,config_Holiday_Calendar_US)&lt;config!$I$10,"",WORKDAY(A279,-1,config_Holiday_Calendar_US)))</f>
        <v>42429</v>
      </c>
      <c r="B280" s="8" t="e">
        <f t="shared" si="4"/>
        <v>#VALUE!</v>
      </c>
      <c r="C280" s="8" t="str">
        <f>IF(A280="","",_xll.BDH(config!$H$4,C$1,$A280,$A280))</f>
        <v>#N/A Requesting Data...</v>
      </c>
      <c r="D280" s="8" t="str">
        <f>IF($A280="","",_xll.BDH(config!$H$4,D$1,$A280,$A280))</f>
        <v>#N/A Requesting Data...</v>
      </c>
      <c r="E280" s="8">
        <f>IF($A280="","",IF(ISNUMBER(FIND("IMPVOL",E$1)),_xll.BDH(config!$G$4,E$1,WORKDAY($A280,-1,config_Holiday_Calendar_US),WORKDAY($A280,-1,config_Holiday_Calendar_US)),IF(ISNUMBER(_xll.BDH(config!$G$4,E$1,$A280,$A280)),_xll.BDH(config!$G$4,E$1,$A280,$A280),_xll.BDH(config!$G$5,E$1,$A280,$A280))))</f>
        <v>32.72</v>
      </c>
      <c r="F280" s="8">
        <f>IF($A280="","",IF(ISNUMBER(FIND("IMPVOL",F$1)),_xll.BDH(config!$G$4,F$1,WORKDAY($A280,-1,config_Holiday_Calendar_US),WORKDAY($A280,-1,config_Holiday_Calendar_US)),IF(ISNUMBER(_xll.BDH(config!$G$4,F$1,$A280,$A280)),_xll.BDH(config!$G$4,F$1,$A280,$A280),_xll.BDH(config!$G$5,F$1,$A280,$A280))))</f>
        <v>33.979999999999997</v>
      </c>
      <c r="G280" s="8">
        <f>IF($A280="","",IF(ISNUMBER(FIND("IMPVOL",G$1)),_xll.BDH(config!$G$4,G$1,WORKDAY($A280,-1,config_Holiday_Calendar_US),WORKDAY($A280,-1,config_Holiday_Calendar_US)),IF(ISNUMBER(_xll.BDH(config!$G$4,G$1,$A280,$A280)),_xll.BDH(config!$G$4,G$1,$A280,$A280),_xll.BDH(config!$G$5,G$1,$A280,$A280))))</f>
        <v>34.22</v>
      </c>
      <c r="H280" s="8">
        <f>IF($A280="","",IF(ISNUMBER(FIND("IMPVOL",H$1)),_xll.BDH(config!$G$4,H$1,WORKDAY($A280,-1,config_Holiday_Calendar_US),WORKDAY($A280,-1,config_Holiday_Calendar_US)),IF(ISNUMBER(_xll.BDH(config!$G$4,H$1,$A280,$A280)),_xll.BDH(config!$G$4,H$1,$A280,$A280),_xll.BDH(config!$G$5,H$1,$A280,$A280))))</f>
        <v>132233</v>
      </c>
      <c r="I280" s="8" t="str">
        <f>IF($A280="","",IF(ISNUMBER(FIND("IMPVOL",I$1)),_xll.BDH(config!$G$4,I$1,WORKDAY($A280,-1,config_Holiday_Calendar_US),WORKDAY($A280,-1,config_Holiday_Calendar_US)),IF(ISNUMBER(_xll.BDH(config!$G$4,I$1,$A280,$A280)),_xll.BDH(config!$G$4,I$1,$A280,$A280),_xll.BDH(config!$G$5,I$1,$A280,$A280))))</f>
        <v>#N/A Requesting Data...</v>
      </c>
      <c r="J280" s="8" t="str">
        <f>IF($A280="","",IF(ISNUMBER(FIND("IMPVOL",J$1)),_xll.BDH(config!$G$4,J$1,WORKDAY($A280,-1,config_Holiday_Calendar_US),WORKDAY($A280,-1,config_Holiday_Calendar_US)),IF(ISNUMBER(_xll.BDH(config!$G$4,J$1,$A280,$A280)),_xll.BDH(config!$G$4,J$1,$A280,$A280),_xll.BDH(config!$G$5,J$1,$A280,$A280))))</f>
        <v>#N/A Requesting Data...</v>
      </c>
      <c r="K280" s="8" t="str">
        <f>IF($A280="","",IF(ISNUMBER(FIND("IMPVOL",K$1)),_xll.BDH(config!$G$4,K$1,WORKDAY($A280,-1,config_Holiday_Calendar_US),WORKDAY($A280,-1,config_Holiday_Calendar_US)),IF(ISNUMBER(_xll.BDH(config!$G$4,K$1,$A280,$A280)),_xll.BDH(config!$G$4,K$1,$A280,$A280),_xll.BDH(config!$G$5,K$1,$A280,$A280))))</f>
        <v>#N/A Requesting Data...</v>
      </c>
      <c r="L280" s="8" t="str">
        <f>IF($A280="","",IF(ISNUMBER(FIND("IMPVOL",L$1)),_xll.BDH(config!$G$4,L$1,WORKDAY($A280,-1,config_Holiday_Calendar_US),WORKDAY($A280,-1,config_Holiday_Calendar_US)),IF(ISNUMBER(_xll.BDH(config!$G$4,L$1,$A280,$A280)),_xll.BDH(config!$G$4,L$1,$A280,$A280),_xll.BDH(config!$G$5,L$1,$A280,$A280))))</f>
        <v>#N/A Requesting Data...</v>
      </c>
      <c r="M280" s="8" t="str">
        <f>IF($A280="","",IF(ISNUMBER(FIND("IMPVOL",M$1)),_xll.BDH(config!$G$4,M$1,WORKDAY($A280,-1,config_Holiday_Calendar_US),WORKDAY($A280,-1,config_Holiday_Calendar_US)),IF(ISNUMBER(_xll.BDH(config!$G$4,M$1,$A280,$A280)),_xll.BDH(config!$G$4,M$1,$A280,$A280),_xll.BDH(config!$G$5,M$1,$A280,$A280))))</f>
        <v>#N/A Requesting Data...</v>
      </c>
      <c r="N280" s="8" t="str">
        <f>IF($A280="","",IF(ISNUMBER(FIND("IMPVOL",N$1)),_xll.BDH(config!$G$4,N$1,WORKDAY($A280,-1,config_Holiday_Calendar_US),WORKDAY($A280,-1,config_Holiday_Calendar_US)),IF(ISNUMBER(_xll.BDH(config!$G$4,N$1,$A280,$A280)),_xll.BDH(config!$G$4,N$1,$A280,$A280),_xll.BDH(config!$G$5,N$1,$A280,$A280))))</f>
        <v>#N/A Requesting Data...</v>
      </c>
      <c r="O280" s="8" t="str">
        <f>IF($A280="","",IF(ISNUMBER(FIND("IMPVOL",O$1)),_xll.BDH(config!$G$4,O$1,WORKDAY($A280,-1,config_Holiday_Calendar_US),WORKDAY($A280,-1,config_Holiday_Calendar_US)),IF(ISNUMBER(_xll.BDH(config!$G$4,O$1,$A280,$A280)),_xll.BDH(config!$G$4,O$1,$A280,$A280),_xll.BDH(config!$G$5,O$1,$A280,$A280))))</f>
        <v>#N/A Requesting Data...</v>
      </c>
      <c r="P280" s="8" t="str">
        <f>IF($A280="","",IF(ISNUMBER(FIND("IMPVOL",P$1)),_xll.BDH(config!$G$4,P$1,WORKDAY($A280,-1,config_Holiday_Calendar_US),WORKDAY($A280,-1,config_Holiday_Calendar_US)),IF(ISNUMBER(_xll.BDH(config!$G$4,P$1,$A280,$A280)),_xll.BDH(config!$G$4,P$1,$A280,$A280),_xll.BDH(config!$G$5,P$1,$A280,$A280))))</f>
        <v>#N/A Requesting Data...</v>
      </c>
      <c r="Q280" s="8">
        <f>IF($A280="","",IF(ISNUMBER(FIND("IMPVOL",Q$1)),_xll.BDH(config!$G$4,Q$1,WORKDAY($A280,-1,config_Holiday_Calendar_US),WORKDAY($A280,-1,config_Holiday_Calendar_US)),IF(ISNUMBER(_xll.BDH(config!$G$4,Q$1,$A280,$A280)),_xll.BDH(config!$G$4,Q$1,$A280,$A280),_xll.BDH(config!$G$5,Q$1,$A280,$A280))))</f>
        <v>48.6</v>
      </c>
      <c r="R280" s="8">
        <f>IF($A280="","",IF(ISNUMBER(FIND("IMPVOL",R$1)),_xll.BDH(config!$G$4,R$1,WORKDAY($A280,-1,config_Holiday_Calendar_US),WORKDAY($A280,-1,config_Holiday_Calendar_US)),IF(ISNUMBER(_xll.BDH(config!$G$4,R$1,$A280,$A280)),_xll.BDH(config!$G$4,R$1,$A280,$A280),_xll.BDH(config!$G$5,R$1,$A280,$A280))))</f>
        <v>74.010000000000005</v>
      </c>
      <c r="S280" s="8" t="str">
        <f>IF($A280="","",IF(ISNUMBER(FIND("IMPVOL",S$1)),_xll.BDH(config!$G$4,S$1,WORKDAY($A280,-1,config_Holiday_Calendar_US),WORKDAY($A280,-1,config_Holiday_Calendar_US)),IF(ISNUMBER(_xll.BDH(config!$G$4,S$1,$A280,$A280)),_xll.BDH(config!$G$4,S$1,$A280,$A280),_xll.BDH(config!$G$5,S$1,$A280,$A280))))</f>
        <v>#N/A Requesting Data...</v>
      </c>
      <c r="T280" s="8" t="str">
        <f>IF($A280="","",IF(ISNUMBER(FIND("IMPVOL",T$1)),_xll.BDH(config!$G$4,T$1,WORKDAY($A280,-1,config_Holiday_Calendar_US),WORKDAY($A280,-1,config_Holiday_Calendar_US)),IF(ISNUMBER(_xll.BDH(config!$G$4,T$1,$A280,$A280)),_xll.BDH(config!$G$4,T$1,$A280,$A280),_xll.BDH(config!$G$5,T$1,$A280,$A280))))</f>
        <v>#N/A Requesting Data...</v>
      </c>
      <c r="U280" s="8" t="str">
        <f>IF($A280="","",IF(ISNUMBER(FIND("IMPVOL",U$1)),_xll.BDH(config!$G$4,U$1,WORKDAY($A280,-1,config_Holiday_Calendar_US),WORKDAY($A280,-1,config_Holiday_Calendar_US)),IF(ISNUMBER(_xll.BDH(config!$G$4,U$1,$A280,$A280)),_xll.BDH(config!$G$4,U$1,$A280,$A280),_xll.BDH(config!$G$5,U$1,$A280,$A280))))</f>
        <v>#N/A Requesting Data...</v>
      </c>
      <c r="V280" s="8" t="str">
        <f>IF($A280="","",IF(ISNUMBER(FIND("IMPVOL",V$1)),_xll.BDH(config!$G$4,V$1,WORKDAY($A280,-1,config_Holiday_Calendar_US),WORKDAY($A280,-1,config_Holiday_Calendar_US)),IF(ISNUMBER(_xll.BDH(config!$G$4,V$1,$A280,$A280)),_xll.BDH(config!$G$4,V$1,$A280,$A280),_xll.BDH(config!$G$5,V$1,$A280,$A280))))</f>
        <v>#N/A Requesting Data...</v>
      </c>
      <c r="W280" s="8" t="str">
        <f>IF($A280="","",IF(ISNUMBER(FIND("IMPVOL",W$1)),_xll.BDH(config!$G$4,W$1,WORKDAY($A280,-1,config_Holiday_Calendar_US),WORKDAY($A280,-1,config_Holiday_Calendar_US)),IF(ISNUMBER(_xll.BDH(config!$G$4,W$1,$A280,$A280)),_xll.BDH(config!$G$4,W$1,$A280,$A280),_xll.BDH(config!$G$5,W$1,$A280,$A280))))</f>
        <v>#N/A Requesting Data...</v>
      </c>
    </row>
    <row r="281" spans="1:23" x14ac:dyDescent="0.2">
      <c r="A281" s="9">
        <f>IF(A280="","",IF(WORKDAY(A280,-1,config_Holiday_Calendar_US)&lt;config!$I$10,"",WORKDAY(A280,-1,config_Holiday_Calendar_US)))</f>
        <v>42426</v>
      </c>
      <c r="B281" s="8" t="e">
        <f t="shared" si="4"/>
        <v>#VALUE!</v>
      </c>
      <c r="C281" s="8" t="str">
        <f>IF(A281="","",_xll.BDH(config!$H$4,C$1,$A281,$A281))</f>
        <v>#N/A Requesting Data...</v>
      </c>
      <c r="D281" s="8" t="str">
        <f>IF($A281="","",_xll.BDH(config!$H$4,D$1,$A281,$A281))</f>
        <v>#N/A Requesting Data...</v>
      </c>
      <c r="E281" s="8">
        <f>IF($A281="","",IF(ISNUMBER(FIND("IMPVOL",E$1)),_xll.BDH(config!$G$4,E$1,WORKDAY($A281,-1,config_Holiday_Calendar_US),WORKDAY($A281,-1,config_Holiday_Calendar_US)),IF(ISNUMBER(_xll.BDH(config!$G$4,E$1,$A281,$A281)),_xll.BDH(config!$G$4,E$1,$A281,$A281),_xll.BDH(config!$G$5,E$1,$A281,$A281))))</f>
        <v>33.04</v>
      </c>
      <c r="F281" s="8">
        <f>IF($A281="","",IF(ISNUMBER(FIND("IMPVOL",F$1)),_xll.BDH(config!$G$4,F$1,WORKDAY($A281,-1,config_Holiday_Calendar_US),WORKDAY($A281,-1,config_Holiday_Calendar_US)),IF(ISNUMBER(_xll.BDH(config!$G$4,F$1,$A281,$A281)),_xll.BDH(config!$G$4,F$1,$A281,$A281),_xll.BDH(config!$G$5,F$1,$A281,$A281))))</f>
        <v>34.69</v>
      </c>
      <c r="G281" s="8">
        <f>IF($A281="","",IF(ISNUMBER(FIND("IMPVOL",G$1)),_xll.BDH(config!$G$4,G$1,WORKDAY($A281,-1,config_Holiday_Calendar_US),WORKDAY($A281,-1,config_Holiday_Calendar_US)),IF(ISNUMBER(_xll.BDH(config!$G$4,G$1,$A281,$A281)),_xll.BDH(config!$G$4,G$1,$A281,$A281),_xll.BDH(config!$G$5,G$1,$A281,$A281))))</f>
        <v>34.450000000000003</v>
      </c>
      <c r="H281" s="8">
        <f>IF($A281="","",IF(ISNUMBER(FIND("IMPVOL",H$1)),_xll.BDH(config!$G$4,H$1,WORKDAY($A281,-1,config_Holiday_Calendar_US),WORKDAY($A281,-1,config_Holiday_Calendar_US)),IF(ISNUMBER(_xll.BDH(config!$G$4,H$1,$A281,$A281)),_xll.BDH(config!$G$4,H$1,$A281,$A281),_xll.BDH(config!$G$5,H$1,$A281,$A281))))</f>
        <v>149859</v>
      </c>
      <c r="I281" s="8" t="str">
        <f>IF($A281="","",IF(ISNUMBER(FIND("IMPVOL",I$1)),_xll.BDH(config!$G$4,I$1,WORKDAY($A281,-1,config_Holiday_Calendar_US),WORKDAY($A281,-1,config_Holiday_Calendar_US)),IF(ISNUMBER(_xll.BDH(config!$G$4,I$1,$A281,$A281)),_xll.BDH(config!$G$4,I$1,$A281,$A281),_xll.BDH(config!$G$5,I$1,$A281,$A281))))</f>
        <v>#N/A Requesting Data...</v>
      </c>
      <c r="J281" s="8" t="str">
        <f>IF($A281="","",IF(ISNUMBER(FIND("IMPVOL",J$1)),_xll.BDH(config!$G$4,J$1,WORKDAY($A281,-1,config_Holiday_Calendar_US),WORKDAY($A281,-1,config_Holiday_Calendar_US)),IF(ISNUMBER(_xll.BDH(config!$G$4,J$1,$A281,$A281)),_xll.BDH(config!$G$4,J$1,$A281,$A281),_xll.BDH(config!$G$5,J$1,$A281,$A281))))</f>
        <v>#N/A Requesting Data...</v>
      </c>
      <c r="K281" s="8" t="str">
        <f>IF($A281="","",IF(ISNUMBER(FIND("IMPVOL",K$1)),_xll.BDH(config!$G$4,K$1,WORKDAY($A281,-1,config_Holiday_Calendar_US),WORKDAY($A281,-1,config_Holiday_Calendar_US)),IF(ISNUMBER(_xll.BDH(config!$G$4,K$1,$A281,$A281)),_xll.BDH(config!$G$4,K$1,$A281,$A281),_xll.BDH(config!$G$5,K$1,$A281,$A281))))</f>
        <v>#N/A Requesting Data...</v>
      </c>
      <c r="L281" s="8" t="str">
        <f>IF($A281="","",IF(ISNUMBER(FIND("IMPVOL",L$1)),_xll.BDH(config!$G$4,L$1,WORKDAY($A281,-1,config_Holiday_Calendar_US),WORKDAY($A281,-1,config_Holiday_Calendar_US)),IF(ISNUMBER(_xll.BDH(config!$G$4,L$1,$A281,$A281)),_xll.BDH(config!$G$4,L$1,$A281,$A281),_xll.BDH(config!$G$5,L$1,$A281,$A281))))</f>
        <v>#N/A Requesting Data...</v>
      </c>
      <c r="M281" s="8" t="str">
        <f>IF($A281="","",IF(ISNUMBER(FIND("IMPVOL",M$1)),_xll.BDH(config!$G$4,M$1,WORKDAY($A281,-1,config_Holiday_Calendar_US),WORKDAY($A281,-1,config_Holiday_Calendar_US)),IF(ISNUMBER(_xll.BDH(config!$G$4,M$1,$A281,$A281)),_xll.BDH(config!$G$4,M$1,$A281,$A281),_xll.BDH(config!$G$5,M$1,$A281,$A281))))</f>
        <v>#N/A Requesting Data...</v>
      </c>
      <c r="N281" s="8" t="str">
        <f>IF($A281="","",IF(ISNUMBER(FIND("IMPVOL",N$1)),_xll.BDH(config!$G$4,N$1,WORKDAY($A281,-1,config_Holiday_Calendar_US),WORKDAY($A281,-1,config_Holiday_Calendar_US)),IF(ISNUMBER(_xll.BDH(config!$G$4,N$1,$A281,$A281)),_xll.BDH(config!$G$4,N$1,$A281,$A281),_xll.BDH(config!$G$5,N$1,$A281,$A281))))</f>
        <v>#N/A Requesting Data...</v>
      </c>
      <c r="O281" s="8" t="str">
        <f>IF($A281="","",IF(ISNUMBER(FIND("IMPVOL",O$1)),_xll.BDH(config!$G$4,O$1,WORKDAY($A281,-1,config_Holiday_Calendar_US),WORKDAY($A281,-1,config_Holiday_Calendar_US)),IF(ISNUMBER(_xll.BDH(config!$G$4,O$1,$A281,$A281)),_xll.BDH(config!$G$4,O$1,$A281,$A281),_xll.BDH(config!$G$5,O$1,$A281,$A281))))</f>
        <v>#N/A Requesting Data...</v>
      </c>
      <c r="P281" s="8" t="str">
        <f>IF($A281="","",IF(ISNUMBER(FIND("IMPVOL",P$1)),_xll.BDH(config!$G$4,P$1,WORKDAY($A281,-1,config_Holiday_Calendar_US),WORKDAY($A281,-1,config_Holiday_Calendar_US)),IF(ISNUMBER(_xll.BDH(config!$G$4,P$1,$A281,$A281)),_xll.BDH(config!$G$4,P$1,$A281,$A281),_xll.BDH(config!$G$5,P$1,$A281,$A281))))</f>
        <v>#N/A Requesting Data...</v>
      </c>
      <c r="Q281" s="8">
        <f>IF($A281="","",IF(ISNUMBER(FIND("IMPVOL",Q$1)),_xll.BDH(config!$G$4,Q$1,WORKDAY($A281,-1,config_Holiday_Calendar_US),WORKDAY($A281,-1,config_Holiday_Calendar_US)),IF(ISNUMBER(_xll.BDH(config!$G$4,Q$1,$A281,$A281)),_xll.BDH(config!$G$4,Q$1,$A281,$A281),_xll.BDH(config!$G$5,Q$1,$A281,$A281))))</f>
        <v>53.39</v>
      </c>
      <c r="R281" s="8">
        <f>IF($A281="","",IF(ISNUMBER(FIND("IMPVOL",R$1)),_xll.BDH(config!$G$4,R$1,WORKDAY($A281,-1,config_Holiday_Calendar_US),WORKDAY($A281,-1,config_Holiday_Calendar_US)),IF(ISNUMBER(_xll.BDH(config!$G$4,R$1,$A281,$A281)),_xll.BDH(config!$G$4,R$1,$A281,$A281),_xll.BDH(config!$G$5,R$1,$A281,$A281))))</f>
        <v>75.8</v>
      </c>
      <c r="S281" s="8" t="str">
        <f>IF($A281="","",IF(ISNUMBER(FIND("IMPVOL",S$1)),_xll.BDH(config!$G$4,S$1,WORKDAY($A281,-1,config_Holiday_Calendar_US),WORKDAY($A281,-1,config_Holiday_Calendar_US)),IF(ISNUMBER(_xll.BDH(config!$G$4,S$1,$A281,$A281)),_xll.BDH(config!$G$4,S$1,$A281,$A281),_xll.BDH(config!$G$5,S$1,$A281,$A281))))</f>
        <v>#N/A Requesting Data...</v>
      </c>
      <c r="T281" s="8" t="str">
        <f>IF($A281="","",IF(ISNUMBER(FIND("IMPVOL",T$1)),_xll.BDH(config!$G$4,T$1,WORKDAY($A281,-1,config_Holiday_Calendar_US),WORKDAY($A281,-1,config_Holiday_Calendar_US)),IF(ISNUMBER(_xll.BDH(config!$G$4,T$1,$A281,$A281)),_xll.BDH(config!$G$4,T$1,$A281,$A281),_xll.BDH(config!$G$5,T$1,$A281,$A281))))</f>
        <v>#N/A Requesting Data...</v>
      </c>
      <c r="U281" s="8" t="str">
        <f>IF($A281="","",IF(ISNUMBER(FIND("IMPVOL",U$1)),_xll.BDH(config!$G$4,U$1,WORKDAY($A281,-1,config_Holiday_Calendar_US),WORKDAY($A281,-1,config_Holiday_Calendar_US)),IF(ISNUMBER(_xll.BDH(config!$G$4,U$1,$A281,$A281)),_xll.BDH(config!$G$4,U$1,$A281,$A281),_xll.BDH(config!$G$5,U$1,$A281,$A281))))</f>
        <v>#N/A Requesting Data...</v>
      </c>
      <c r="V281" s="8" t="str">
        <f>IF($A281="","",IF(ISNUMBER(FIND("IMPVOL",V$1)),_xll.BDH(config!$G$4,V$1,WORKDAY($A281,-1,config_Holiday_Calendar_US),WORKDAY($A281,-1,config_Holiday_Calendar_US)),IF(ISNUMBER(_xll.BDH(config!$G$4,V$1,$A281,$A281)),_xll.BDH(config!$G$4,V$1,$A281,$A281),_xll.BDH(config!$G$5,V$1,$A281,$A281))))</f>
        <v>#N/A Requesting Data...</v>
      </c>
      <c r="W281" s="8" t="str">
        <f>IF($A281="","",IF(ISNUMBER(FIND("IMPVOL",W$1)),_xll.BDH(config!$G$4,W$1,WORKDAY($A281,-1,config_Holiday_Calendar_US),WORKDAY($A281,-1,config_Holiday_Calendar_US)),IF(ISNUMBER(_xll.BDH(config!$G$4,W$1,$A281,$A281)),_xll.BDH(config!$G$4,W$1,$A281,$A281),_xll.BDH(config!$G$5,W$1,$A281,$A281))))</f>
        <v>#N/A Requesting Data...</v>
      </c>
    </row>
    <row r="282" spans="1:23" x14ac:dyDescent="0.2">
      <c r="A282" s="9">
        <f>IF(A281="","",IF(WORKDAY(A281,-1,config_Holiday_Calendar_US)&lt;config!$I$10,"",WORKDAY(A281,-1,config_Holiday_Calendar_US)))</f>
        <v>42425</v>
      </c>
      <c r="B282" s="8" t="e">
        <f t="shared" si="4"/>
        <v>#VALUE!</v>
      </c>
      <c r="C282" s="8" t="str">
        <f>IF(A282="","",_xll.BDH(config!$H$4,C$1,$A282,$A282))</f>
        <v>#N/A Requesting Data...</v>
      </c>
      <c r="D282" s="8" t="str">
        <f>IF($A282="","",_xll.BDH(config!$H$4,D$1,$A282,$A282))</f>
        <v>#N/A Requesting Data...</v>
      </c>
      <c r="E282" s="8">
        <f>IF($A282="","",IF(ISNUMBER(FIND("IMPVOL",E$1)),_xll.BDH(config!$G$4,E$1,WORKDAY($A282,-1,config_Holiday_Calendar_US),WORKDAY($A282,-1,config_Holiday_Calendar_US)),IF(ISNUMBER(_xll.BDH(config!$G$4,E$1,$A282,$A282)),_xll.BDH(config!$G$4,E$1,$A282,$A282),_xll.BDH(config!$G$5,E$1,$A282,$A282))))</f>
        <v>32.19</v>
      </c>
      <c r="F282" s="8">
        <f>IF($A282="","",IF(ISNUMBER(FIND("IMPVOL",F$1)),_xll.BDH(config!$G$4,F$1,WORKDAY($A282,-1,config_Holiday_Calendar_US),WORKDAY($A282,-1,config_Holiday_Calendar_US)),IF(ISNUMBER(_xll.BDH(config!$G$4,F$1,$A282,$A282)),_xll.BDH(config!$G$4,F$1,$A282,$A282),_xll.BDH(config!$G$5,F$1,$A282,$A282))))</f>
        <v>33.49</v>
      </c>
      <c r="G282" s="8">
        <f>IF($A282="","",IF(ISNUMBER(FIND("IMPVOL",G$1)),_xll.BDH(config!$G$4,G$1,WORKDAY($A282,-1,config_Holiday_Calendar_US),WORKDAY($A282,-1,config_Holiday_Calendar_US)),IF(ISNUMBER(_xll.BDH(config!$G$4,G$1,$A282,$A282)),_xll.BDH(config!$G$4,G$1,$A282,$A282),_xll.BDH(config!$G$5,G$1,$A282,$A282))))</f>
        <v>33.03</v>
      </c>
      <c r="H282" s="8">
        <f>IF($A282="","",IF(ISNUMBER(FIND("IMPVOL",H$1)),_xll.BDH(config!$G$4,H$1,WORKDAY($A282,-1,config_Holiday_Calendar_US),WORKDAY($A282,-1,config_Holiday_Calendar_US)),IF(ISNUMBER(_xll.BDH(config!$G$4,H$1,$A282,$A282)),_xll.BDH(config!$G$4,H$1,$A282,$A282),_xll.BDH(config!$G$5,H$1,$A282,$A282))))</f>
        <v>161130</v>
      </c>
      <c r="I282" s="8" t="str">
        <f>IF($A282="","",IF(ISNUMBER(FIND("IMPVOL",I$1)),_xll.BDH(config!$G$4,I$1,WORKDAY($A282,-1,config_Holiday_Calendar_US),WORKDAY($A282,-1,config_Holiday_Calendar_US)),IF(ISNUMBER(_xll.BDH(config!$G$4,I$1,$A282,$A282)),_xll.BDH(config!$G$4,I$1,$A282,$A282),_xll.BDH(config!$G$5,I$1,$A282,$A282))))</f>
        <v>#N/A Requesting Data...</v>
      </c>
      <c r="J282" s="8" t="str">
        <f>IF($A282="","",IF(ISNUMBER(FIND("IMPVOL",J$1)),_xll.BDH(config!$G$4,J$1,WORKDAY($A282,-1,config_Holiday_Calendar_US),WORKDAY($A282,-1,config_Holiday_Calendar_US)),IF(ISNUMBER(_xll.BDH(config!$G$4,J$1,$A282,$A282)),_xll.BDH(config!$G$4,J$1,$A282,$A282),_xll.BDH(config!$G$5,J$1,$A282,$A282))))</f>
        <v>#N/A Requesting Data...</v>
      </c>
      <c r="K282" s="8" t="str">
        <f>IF($A282="","",IF(ISNUMBER(FIND("IMPVOL",K$1)),_xll.BDH(config!$G$4,K$1,WORKDAY($A282,-1,config_Holiday_Calendar_US),WORKDAY($A282,-1,config_Holiday_Calendar_US)),IF(ISNUMBER(_xll.BDH(config!$G$4,K$1,$A282,$A282)),_xll.BDH(config!$G$4,K$1,$A282,$A282),_xll.BDH(config!$G$5,K$1,$A282,$A282))))</f>
        <v>#N/A Requesting Data...</v>
      </c>
      <c r="L282" s="8" t="str">
        <f>IF($A282="","",IF(ISNUMBER(FIND("IMPVOL",L$1)),_xll.BDH(config!$G$4,L$1,WORKDAY($A282,-1,config_Holiday_Calendar_US),WORKDAY($A282,-1,config_Holiday_Calendar_US)),IF(ISNUMBER(_xll.BDH(config!$G$4,L$1,$A282,$A282)),_xll.BDH(config!$G$4,L$1,$A282,$A282),_xll.BDH(config!$G$5,L$1,$A282,$A282))))</f>
        <v>#N/A Requesting Data...</v>
      </c>
      <c r="M282" s="8" t="str">
        <f>IF($A282="","",IF(ISNUMBER(FIND("IMPVOL",M$1)),_xll.BDH(config!$G$4,M$1,WORKDAY($A282,-1,config_Holiday_Calendar_US),WORKDAY($A282,-1,config_Holiday_Calendar_US)),IF(ISNUMBER(_xll.BDH(config!$G$4,M$1,$A282,$A282)),_xll.BDH(config!$G$4,M$1,$A282,$A282),_xll.BDH(config!$G$5,M$1,$A282,$A282))))</f>
        <v>#N/A Requesting Data...</v>
      </c>
      <c r="N282" s="8" t="str">
        <f>IF($A282="","",IF(ISNUMBER(FIND("IMPVOL",N$1)),_xll.BDH(config!$G$4,N$1,WORKDAY($A282,-1,config_Holiday_Calendar_US),WORKDAY($A282,-1,config_Holiday_Calendar_US)),IF(ISNUMBER(_xll.BDH(config!$G$4,N$1,$A282,$A282)),_xll.BDH(config!$G$4,N$1,$A282,$A282),_xll.BDH(config!$G$5,N$1,$A282,$A282))))</f>
        <v>#N/A Requesting Data...</v>
      </c>
      <c r="O282" s="8" t="str">
        <f>IF($A282="","",IF(ISNUMBER(FIND("IMPVOL",O$1)),_xll.BDH(config!$G$4,O$1,WORKDAY($A282,-1,config_Holiday_Calendar_US),WORKDAY($A282,-1,config_Holiday_Calendar_US)),IF(ISNUMBER(_xll.BDH(config!$G$4,O$1,$A282,$A282)),_xll.BDH(config!$G$4,O$1,$A282,$A282),_xll.BDH(config!$G$5,O$1,$A282,$A282))))</f>
        <v>#N/A Requesting Data...</v>
      </c>
      <c r="P282" s="8" t="str">
        <f>IF($A282="","",IF(ISNUMBER(FIND("IMPVOL",P$1)),_xll.BDH(config!$G$4,P$1,WORKDAY($A282,-1,config_Holiday_Calendar_US),WORKDAY($A282,-1,config_Holiday_Calendar_US)),IF(ISNUMBER(_xll.BDH(config!$G$4,P$1,$A282,$A282)),_xll.BDH(config!$G$4,P$1,$A282,$A282),_xll.BDH(config!$G$5,P$1,$A282,$A282))))</f>
        <v>#N/A Requesting Data...</v>
      </c>
      <c r="Q282" s="8">
        <f>IF($A282="","",IF(ISNUMBER(FIND("IMPVOL",Q$1)),_xll.BDH(config!$G$4,Q$1,WORKDAY($A282,-1,config_Holiday_Calendar_US),WORKDAY($A282,-1,config_Holiday_Calendar_US)),IF(ISNUMBER(_xll.BDH(config!$G$4,Q$1,$A282,$A282)),_xll.BDH(config!$G$4,Q$1,$A282,$A282),_xll.BDH(config!$G$5,Q$1,$A282,$A282))))</f>
        <v>71.59</v>
      </c>
      <c r="R282" s="8">
        <f>IF($A282="","",IF(ISNUMBER(FIND("IMPVOL",R$1)),_xll.BDH(config!$G$4,R$1,WORKDAY($A282,-1,config_Holiday_Calendar_US),WORKDAY($A282,-1,config_Holiday_Calendar_US)),IF(ISNUMBER(_xll.BDH(config!$G$4,R$1,$A282,$A282)),_xll.BDH(config!$G$4,R$1,$A282,$A282),_xll.BDH(config!$G$5,R$1,$A282,$A282))))</f>
        <v>75.97</v>
      </c>
      <c r="S282" s="8" t="str">
        <f>IF($A282="","",IF(ISNUMBER(FIND("IMPVOL",S$1)),_xll.BDH(config!$G$4,S$1,WORKDAY($A282,-1,config_Holiday_Calendar_US),WORKDAY($A282,-1,config_Holiday_Calendar_US)),IF(ISNUMBER(_xll.BDH(config!$G$4,S$1,$A282,$A282)),_xll.BDH(config!$G$4,S$1,$A282,$A282),_xll.BDH(config!$G$5,S$1,$A282,$A282))))</f>
        <v>#N/A Requesting Data...</v>
      </c>
      <c r="T282" s="8" t="str">
        <f>IF($A282="","",IF(ISNUMBER(FIND("IMPVOL",T$1)),_xll.BDH(config!$G$4,T$1,WORKDAY($A282,-1,config_Holiday_Calendar_US),WORKDAY($A282,-1,config_Holiday_Calendar_US)),IF(ISNUMBER(_xll.BDH(config!$G$4,T$1,$A282,$A282)),_xll.BDH(config!$G$4,T$1,$A282,$A282),_xll.BDH(config!$G$5,T$1,$A282,$A282))))</f>
        <v>#N/A Requesting Data...</v>
      </c>
      <c r="U282" s="8" t="str">
        <f>IF($A282="","",IF(ISNUMBER(FIND("IMPVOL",U$1)),_xll.BDH(config!$G$4,U$1,WORKDAY($A282,-1,config_Holiday_Calendar_US),WORKDAY($A282,-1,config_Holiday_Calendar_US)),IF(ISNUMBER(_xll.BDH(config!$G$4,U$1,$A282,$A282)),_xll.BDH(config!$G$4,U$1,$A282,$A282),_xll.BDH(config!$G$5,U$1,$A282,$A282))))</f>
        <v>#N/A Requesting Data...</v>
      </c>
      <c r="V282" s="8" t="str">
        <f>IF($A282="","",IF(ISNUMBER(FIND("IMPVOL",V$1)),_xll.BDH(config!$G$4,V$1,WORKDAY($A282,-1,config_Holiday_Calendar_US),WORKDAY($A282,-1,config_Holiday_Calendar_US)),IF(ISNUMBER(_xll.BDH(config!$G$4,V$1,$A282,$A282)),_xll.BDH(config!$G$4,V$1,$A282,$A282),_xll.BDH(config!$G$5,V$1,$A282,$A282))))</f>
        <v>#N/A Requesting Data...</v>
      </c>
      <c r="W282" s="8" t="str">
        <f>IF($A282="","",IF(ISNUMBER(FIND("IMPVOL",W$1)),_xll.BDH(config!$G$4,W$1,WORKDAY($A282,-1,config_Holiday_Calendar_US),WORKDAY($A282,-1,config_Holiday_Calendar_US)),IF(ISNUMBER(_xll.BDH(config!$G$4,W$1,$A282,$A282)),_xll.BDH(config!$G$4,W$1,$A282,$A282),_xll.BDH(config!$G$5,W$1,$A282,$A282))))</f>
        <v>#N/A Requesting Data...</v>
      </c>
    </row>
    <row r="283" spans="1:23" x14ac:dyDescent="0.2">
      <c r="A283" s="9">
        <f>IF(A282="","",IF(WORKDAY(A282,-1,config_Holiday_Calendar_US)&lt;config!$I$10,"",WORKDAY(A282,-1,config_Holiday_Calendar_US)))</f>
        <v>42424</v>
      </c>
      <c r="B283" s="8" t="e">
        <f t="shared" si="4"/>
        <v>#VALUE!</v>
      </c>
      <c r="C283" s="8" t="str">
        <f>IF(A283="","",_xll.BDH(config!$H$4,C$1,$A283,$A283))</f>
        <v>#N/A Requesting Data...</v>
      </c>
      <c r="D283" s="8" t="str">
        <f>IF($A283="","",_xll.BDH(config!$H$4,D$1,$A283,$A283))</f>
        <v>#N/A Requesting Data...</v>
      </c>
      <c r="E283" s="8">
        <f>IF($A283="","",IF(ISNUMBER(FIND("IMPVOL",E$1)),_xll.BDH(config!$G$4,E$1,WORKDAY($A283,-1,config_Holiday_Calendar_US),WORKDAY($A283,-1,config_Holiday_Calendar_US)),IF(ISNUMBER(_xll.BDH(config!$G$4,E$1,$A283,$A283)),_xll.BDH(config!$G$4,E$1,$A283,$A283),_xll.BDH(config!$G$5,E$1,$A283,$A283))))</f>
        <v>31.28</v>
      </c>
      <c r="F283" s="8">
        <f>IF($A283="","",IF(ISNUMBER(FIND("IMPVOL",F$1)),_xll.BDH(config!$G$4,F$1,WORKDAY($A283,-1,config_Holiday_Calendar_US),WORKDAY($A283,-1,config_Holiday_Calendar_US)),IF(ISNUMBER(_xll.BDH(config!$G$4,F$1,$A283,$A283)),_xll.BDH(config!$G$4,F$1,$A283,$A283),_xll.BDH(config!$G$5,F$1,$A283,$A283))))</f>
        <v>32.4</v>
      </c>
      <c r="G283" s="8">
        <f>IF($A283="","",IF(ISNUMBER(FIND("IMPVOL",G$1)),_xll.BDH(config!$G$4,G$1,WORKDAY($A283,-1,config_Holiday_Calendar_US),WORKDAY($A283,-1,config_Holiday_Calendar_US)),IF(ISNUMBER(_xll.BDH(config!$G$4,G$1,$A283,$A283)),_xll.BDH(config!$G$4,G$1,$A283,$A283),_xll.BDH(config!$G$5,G$1,$A283,$A283))))</f>
        <v>32.42</v>
      </c>
      <c r="H283" s="8">
        <f>IF($A283="","",IF(ISNUMBER(FIND("IMPVOL",H$1)),_xll.BDH(config!$G$4,H$1,WORKDAY($A283,-1,config_Holiday_Calendar_US),WORKDAY($A283,-1,config_Holiday_Calendar_US)),IF(ISNUMBER(_xll.BDH(config!$G$4,H$1,$A283,$A283)),_xll.BDH(config!$G$4,H$1,$A283,$A283),_xll.BDH(config!$G$5,H$1,$A283,$A283))))</f>
        <v>162270</v>
      </c>
      <c r="I283" s="8" t="str">
        <f>IF($A283="","",IF(ISNUMBER(FIND("IMPVOL",I$1)),_xll.BDH(config!$G$4,I$1,WORKDAY($A283,-1,config_Holiday_Calendar_US),WORKDAY($A283,-1,config_Holiday_Calendar_US)),IF(ISNUMBER(_xll.BDH(config!$G$4,I$1,$A283,$A283)),_xll.BDH(config!$G$4,I$1,$A283,$A283),_xll.BDH(config!$G$5,I$1,$A283,$A283))))</f>
        <v>#N/A Requesting Data...</v>
      </c>
      <c r="J283" s="8" t="str">
        <f>IF($A283="","",IF(ISNUMBER(FIND("IMPVOL",J$1)),_xll.BDH(config!$G$4,J$1,WORKDAY($A283,-1,config_Holiday_Calendar_US),WORKDAY($A283,-1,config_Holiday_Calendar_US)),IF(ISNUMBER(_xll.BDH(config!$G$4,J$1,$A283,$A283)),_xll.BDH(config!$G$4,J$1,$A283,$A283),_xll.BDH(config!$G$5,J$1,$A283,$A283))))</f>
        <v>#N/A Requesting Data...</v>
      </c>
      <c r="K283" s="8" t="str">
        <f>IF($A283="","",IF(ISNUMBER(FIND("IMPVOL",K$1)),_xll.BDH(config!$G$4,K$1,WORKDAY($A283,-1,config_Holiday_Calendar_US),WORKDAY($A283,-1,config_Holiday_Calendar_US)),IF(ISNUMBER(_xll.BDH(config!$G$4,K$1,$A283,$A283)),_xll.BDH(config!$G$4,K$1,$A283,$A283),_xll.BDH(config!$G$5,K$1,$A283,$A283))))</f>
        <v>#N/A Requesting Data...</v>
      </c>
      <c r="L283" s="8" t="str">
        <f>IF($A283="","",IF(ISNUMBER(FIND("IMPVOL",L$1)),_xll.BDH(config!$G$4,L$1,WORKDAY($A283,-1,config_Holiday_Calendar_US),WORKDAY($A283,-1,config_Holiday_Calendar_US)),IF(ISNUMBER(_xll.BDH(config!$G$4,L$1,$A283,$A283)),_xll.BDH(config!$G$4,L$1,$A283,$A283),_xll.BDH(config!$G$5,L$1,$A283,$A283))))</f>
        <v>#N/A Requesting Data...</v>
      </c>
      <c r="M283" s="8" t="str">
        <f>IF($A283="","",IF(ISNUMBER(FIND("IMPVOL",M$1)),_xll.BDH(config!$G$4,M$1,WORKDAY($A283,-1,config_Holiday_Calendar_US),WORKDAY($A283,-1,config_Holiday_Calendar_US)),IF(ISNUMBER(_xll.BDH(config!$G$4,M$1,$A283,$A283)),_xll.BDH(config!$G$4,M$1,$A283,$A283),_xll.BDH(config!$G$5,M$1,$A283,$A283))))</f>
        <v>#N/A Requesting Data...</v>
      </c>
      <c r="N283" s="8" t="str">
        <f>IF($A283="","",IF(ISNUMBER(FIND("IMPVOL",N$1)),_xll.BDH(config!$G$4,N$1,WORKDAY($A283,-1,config_Holiday_Calendar_US),WORKDAY($A283,-1,config_Holiday_Calendar_US)),IF(ISNUMBER(_xll.BDH(config!$G$4,N$1,$A283,$A283)),_xll.BDH(config!$G$4,N$1,$A283,$A283),_xll.BDH(config!$G$5,N$1,$A283,$A283))))</f>
        <v>#N/A Requesting Data...</v>
      </c>
      <c r="O283" s="8" t="str">
        <f>IF($A283="","",IF(ISNUMBER(FIND("IMPVOL",O$1)),_xll.BDH(config!$G$4,O$1,WORKDAY($A283,-1,config_Holiday_Calendar_US),WORKDAY($A283,-1,config_Holiday_Calendar_US)),IF(ISNUMBER(_xll.BDH(config!$G$4,O$1,$A283,$A283)),_xll.BDH(config!$G$4,O$1,$A283,$A283),_xll.BDH(config!$G$5,O$1,$A283,$A283))))</f>
        <v>#N/A Requesting Data...</v>
      </c>
      <c r="P283" s="8" t="str">
        <f>IF($A283="","",IF(ISNUMBER(FIND("IMPVOL",P$1)),_xll.BDH(config!$G$4,P$1,WORKDAY($A283,-1,config_Holiday_Calendar_US),WORKDAY($A283,-1,config_Holiday_Calendar_US)),IF(ISNUMBER(_xll.BDH(config!$G$4,P$1,$A283,$A283)),_xll.BDH(config!$G$4,P$1,$A283,$A283),_xll.BDH(config!$G$5,P$1,$A283,$A283))))</f>
        <v>#N/A Requesting Data...</v>
      </c>
      <c r="Q283" s="8">
        <f>IF($A283="","",IF(ISNUMBER(FIND("IMPVOL",Q$1)),_xll.BDH(config!$G$4,Q$1,WORKDAY($A283,-1,config_Holiday_Calendar_US),WORKDAY($A283,-1,config_Holiday_Calendar_US)),IF(ISNUMBER(_xll.BDH(config!$G$4,Q$1,$A283,$A283)),_xll.BDH(config!$G$4,Q$1,$A283,$A283),_xll.BDH(config!$G$5,Q$1,$A283,$A283))))</f>
        <v>76.319999999999993</v>
      </c>
      <c r="R283" s="8">
        <f>IF($A283="","",IF(ISNUMBER(FIND("IMPVOL",R$1)),_xll.BDH(config!$G$4,R$1,WORKDAY($A283,-1,config_Holiday_Calendar_US),WORKDAY($A283,-1,config_Holiday_Calendar_US)),IF(ISNUMBER(_xll.BDH(config!$G$4,R$1,$A283,$A283)),_xll.BDH(config!$G$4,R$1,$A283,$A283),_xll.BDH(config!$G$5,R$1,$A283,$A283))))</f>
        <v>75.790000000000006</v>
      </c>
      <c r="S283" s="8" t="str">
        <f>IF($A283="","",IF(ISNUMBER(FIND("IMPVOL",S$1)),_xll.BDH(config!$G$4,S$1,WORKDAY($A283,-1,config_Holiday_Calendar_US),WORKDAY($A283,-1,config_Holiday_Calendar_US)),IF(ISNUMBER(_xll.BDH(config!$G$4,S$1,$A283,$A283)),_xll.BDH(config!$G$4,S$1,$A283,$A283),_xll.BDH(config!$G$5,S$1,$A283,$A283))))</f>
        <v>#N/A Requesting Data...</v>
      </c>
      <c r="T283" s="8" t="str">
        <f>IF($A283="","",IF(ISNUMBER(FIND("IMPVOL",T$1)),_xll.BDH(config!$G$4,T$1,WORKDAY($A283,-1,config_Holiday_Calendar_US),WORKDAY($A283,-1,config_Holiday_Calendar_US)),IF(ISNUMBER(_xll.BDH(config!$G$4,T$1,$A283,$A283)),_xll.BDH(config!$G$4,T$1,$A283,$A283),_xll.BDH(config!$G$5,T$1,$A283,$A283))))</f>
        <v>#N/A Requesting Data...</v>
      </c>
      <c r="U283" s="8" t="str">
        <f>IF($A283="","",IF(ISNUMBER(FIND("IMPVOL",U$1)),_xll.BDH(config!$G$4,U$1,WORKDAY($A283,-1,config_Holiday_Calendar_US),WORKDAY($A283,-1,config_Holiday_Calendar_US)),IF(ISNUMBER(_xll.BDH(config!$G$4,U$1,$A283,$A283)),_xll.BDH(config!$G$4,U$1,$A283,$A283),_xll.BDH(config!$G$5,U$1,$A283,$A283))))</f>
        <v>#N/A Requesting Data...</v>
      </c>
      <c r="V283" s="8" t="str">
        <f>IF($A283="","",IF(ISNUMBER(FIND("IMPVOL",V$1)),_xll.BDH(config!$G$4,V$1,WORKDAY($A283,-1,config_Holiday_Calendar_US),WORKDAY($A283,-1,config_Holiday_Calendar_US)),IF(ISNUMBER(_xll.BDH(config!$G$4,V$1,$A283,$A283)),_xll.BDH(config!$G$4,V$1,$A283,$A283),_xll.BDH(config!$G$5,V$1,$A283,$A283))))</f>
        <v>#N/A Requesting Data...</v>
      </c>
      <c r="W283" s="8" t="str">
        <f>IF($A283="","",IF(ISNUMBER(FIND("IMPVOL",W$1)),_xll.BDH(config!$G$4,W$1,WORKDAY($A283,-1,config_Holiday_Calendar_US),WORKDAY($A283,-1,config_Holiday_Calendar_US)),IF(ISNUMBER(_xll.BDH(config!$G$4,W$1,$A283,$A283)),_xll.BDH(config!$G$4,W$1,$A283,$A283),_xll.BDH(config!$G$5,W$1,$A283,$A283))))</f>
        <v>#N/A Requesting Data...</v>
      </c>
    </row>
    <row r="284" spans="1:23" x14ac:dyDescent="0.2">
      <c r="A284" s="9">
        <f>IF(A283="","",IF(WORKDAY(A283,-1,config_Holiday_Calendar_US)&lt;config!$I$10,"",WORKDAY(A283,-1,config_Holiday_Calendar_US)))</f>
        <v>42423</v>
      </c>
      <c r="B284" s="8" t="e">
        <f t="shared" si="4"/>
        <v>#VALUE!</v>
      </c>
      <c r="C284" s="8" t="str">
        <f>IF(A284="","",_xll.BDH(config!$H$4,C$1,$A284,$A284))</f>
        <v>#N/A Requesting Data...</v>
      </c>
      <c r="D284" s="8" t="str">
        <f>IF($A284="","",_xll.BDH(config!$H$4,D$1,$A284,$A284))</f>
        <v>#N/A Requesting Data...</v>
      </c>
      <c r="E284" s="8">
        <f>IF($A284="","",IF(ISNUMBER(FIND("IMPVOL",E$1)),_xll.BDH(config!$G$4,E$1,WORKDAY($A284,-1,config_Holiday_Calendar_US),WORKDAY($A284,-1,config_Holiday_Calendar_US)),IF(ISNUMBER(_xll.BDH(config!$G$4,E$1,$A284,$A284)),_xll.BDH(config!$G$4,E$1,$A284,$A284),_xll.BDH(config!$G$5,E$1,$A284,$A284))))</f>
        <v>33.340000000000003</v>
      </c>
      <c r="F284" s="8">
        <f>IF($A284="","",IF(ISNUMBER(FIND("IMPVOL",F$1)),_xll.BDH(config!$G$4,F$1,WORKDAY($A284,-1,config_Holiday_Calendar_US),WORKDAY($A284,-1,config_Holiday_Calendar_US)),IF(ISNUMBER(_xll.BDH(config!$G$4,F$1,$A284,$A284)),_xll.BDH(config!$G$4,F$1,$A284,$A284),_xll.BDH(config!$G$5,F$1,$A284,$A284))))</f>
        <v>33.53</v>
      </c>
      <c r="G284" s="8">
        <f>IF($A284="","",IF(ISNUMBER(FIND("IMPVOL",G$1)),_xll.BDH(config!$G$4,G$1,WORKDAY($A284,-1,config_Holiday_Calendar_US),WORKDAY($A284,-1,config_Holiday_Calendar_US)),IF(ISNUMBER(_xll.BDH(config!$G$4,G$1,$A284,$A284)),_xll.BDH(config!$G$4,G$1,$A284,$A284),_xll.BDH(config!$G$5,G$1,$A284,$A284))))</f>
        <v>33.04</v>
      </c>
      <c r="H284" s="8">
        <f>IF($A284="","",IF(ISNUMBER(FIND("IMPVOL",H$1)),_xll.BDH(config!$G$4,H$1,WORKDAY($A284,-1,config_Holiday_Calendar_US),WORKDAY($A284,-1,config_Holiday_Calendar_US)),IF(ISNUMBER(_xll.BDH(config!$G$4,H$1,$A284,$A284)),_xll.BDH(config!$G$4,H$1,$A284,$A284),_xll.BDH(config!$G$5,H$1,$A284,$A284))))</f>
        <v>123409</v>
      </c>
      <c r="I284" s="8" t="str">
        <f>IF($A284="","",IF(ISNUMBER(FIND("IMPVOL",I$1)),_xll.BDH(config!$G$4,I$1,WORKDAY($A284,-1,config_Holiday_Calendar_US),WORKDAY($A284,-1,config_Holiday_Calendar_US)),IF(ISNUMBER(_xll.BDH(config!$G$4,I$1,$A284,$A284)),_xll.BDH(config!$G$4,I$1,$A284,$A284),_xll.BDH(config!$G$5,I$1,$A284,$A284))))</f>
        <v>#N/A Requesting Data...</v>
      </c>
      <c r="J284" s="8" t="str">
        <f>IF($A284="","",IF(ISNUMBER(FIND("IMPVOL",J$1)),_xll.BDH(config!$G$4,J$1,WORKDAY($A284,-1,config_Holiday_Calendar_US),WORKDAY($A284,-1,config_Holiday_Calendar_US)),IF(ISNUMBER(_xll.BDH(config!$G$4,J$1,$A284,$A284)),_xll.BDH(config!$G$4,J$1,$A284,$A284),_xll.BDH(config!$G$5,J$1,$A284,$A284))))</f>
        <v>#N/A Requesting Data...</v>
      </c>
      <c r="K284" s="8" t="str">
        <f>IF($A284="","",IF(ISNUMBER(FIND("IMPVOL",K$1)),_xll.BDH(config!$G$4,K$1,WORKDAY($A284,-1,config_Holiday_Calendar_US),WORKDAY($A284,-1,config_Holiday_Calendar_US)),IF(ISNUMBER(_xll.BDH(config!$G$4,K$1,$A284,$A284)),_xll.BDH(config!$G$4,K$1,$A284,$A284),_xll.BDH(config!$G$5,K$1,$A284,$A284))))</f>
        <v>#N/A Requesting Data...</v>
      </c>
      <c r="L284" s="8" t="str">
        <f>IF($A284="","",IF(ISNUMBER(FIND("IMPVOL",L$1)),_xll.BDH(config!$G$4,L$1,WORKDAY($A284,-1,config_Holiday_Calendar_US),WORKDAY($A284,-1,config_Holiday_Calendar_US)),IF(ISNUMBER(_xll.BDH(config!$G$4,L$1,$A284,$A284)),_xll.BDH(config!$G$4,L$1,$A284,$A284),_xll.BDH(config!$G$5,L$1,$A284,$A284))))</f>
        <v>#N/A Requesting Data...</v>
      </c>
      <c r="M284" s="8" t="str">
        <f>IF($A284="","",IF(ISNUMBER(FIND("IMPVOL",M$1)),_xll.BDH(config!$G$4,M$1,WORKDAY($A284,-1,config_Holiday_Calendar_US),WORKDAY($A284,-1,config_Holiday_Calendar_US)),IF(ISNUMBER(_xll.BDH(config!$G$4,M$1,$A284,$A284)),_xll.BDH(config!$G$4,M$1,$A284,$A284),_xll.BDH(config!$G$5,M$1,$A284,$A284))))</f>
        <v>#N/A Requesting Data...</v>
      </c>
      <c r="N284" s="8" t="str">
        <f>IF($A284="","",IF(ISNUMBER(FIND("IMPVOL",N$1)),_xll.BDH(config!$G$4,N$1,WORKDAY($A284,-1,config_Holiday_Calendar_US),WORKDAY($A284,-1,config_Holiday_Calendar_US)),IF(ISNUMBER(_xll.BDH(config!$G$4,N$1,$A284,$A284)),_xll.BDH(config!$G$4,N$1,$A284,$A284),_xll.BDH(config!$G$5,N$1,$A284,$A284))))</f>
        <v>#N/A Requesting Data...</v>
      </c>
      <c r="O284" s="8" t="str">
        <f>IF($A284="","",IF(ISNUMBER(FIND("IMPVOL",O$1)),_xll.BDH(config!$G$4,O$1,WORKDAY($A284,-1,config_Holiday_Calendar_US),WORKDAY($A284,-1,config_Holiday_Calendar_US)),IF(ISNUMBER(_xll.BDH(config!$G$4,O$1,$A284,$A284)),_xll.BDH(config!$G$4,O$1,$A284,$A284),_xll.BDH(config!$G$5,O$1,$A284,$A284))))</f>
        <v>#N/A Requesting Data...</v>
      </c>
      <c r="P284" s="8" t="str">
        <f>IF($A284="","",IF(ISNUMBER(FIND("IMPVOL",P$1)),_xll.BDH(config!$G$4,P$1,WORKDAY($A284,-1,config_Holiday_Calendar_US),WORKDAY($A284,-1,config_Holiday_Calendar_US)),IF(ISNUMBER(_xll.BDH(config!$G$4,P$1,$A284,$A284)),_xll.BDH(config!$G$4,P$1,$A284,$A284),_xll.BDH(config!$G$5,P$1,$A284,$A284))))</f>
        <v>#N/A Requesting Data...</v>
      </c>
      <c r="Q284" s="8">
        <f>IF($A284="","",IF(ISNUMBER(FIND("IMPVOL",Q$1)),_xll.BDH(config!$G$4,Q$1,WORKDAY($A284,-1,config_Holiday_Calendar_US),WORKDAY($A284,-1,config_Holiday_Calendar_US)),IF(ISNUMBER(_xll.BDH(config!$G$4,Q$1,$A284,$A284)),_xll.BDH(config!$G$4,Q$1,$A284,$A284),_xll.BDH(config!$G$5,Q$1,$A284,$A284))))</f>
        <v>76.95</v>
      </c>
      <c r="R284" s="8">
        <f>IF($A284="","",IF(ISNUMBER(FIND("IMPVOL",R$1)),_xll.BDH(config!$G$4,R$1,WORKDAY($A284,-1,config_Holiday_Calendar_US),WORKDAY($A284,-1,config_Holiday_Calendar_US)),IF(ISNUMBER(_xll.BDH(config!$G$4,R$1,$A284,$A284)),_xll.BDH(config!$G$4,R$1,$A284,$A284),_xll.BDH(config!$G$5,R$1,$A284,$A284))))</f>
        <v>76.37</v>
      </c>
      <c r="S284" s="8" t="str">
        <f>IF($A284="","",IF(ISNUMBER(FIND("IMPVOL",S$1)),_xll.BDH(config!$G$4,S$1,WORKDAY($A284,-1,config_Holiday_Calendar_US),WORKDAY($A284,-1,config_Holiday_Calendar_US)),IF(ISNUMBER(_xll.BDH(config!$G$4,S$1,$A284,$A284)),_xll.BDH(config!$G$4,S$1,$A284,$A284),_xll.BDH(config!$G$5,S$1,$A284,$A284))))</f>
        <v>#N/A Requesting Data...</v>
      </c>
      <c r="T284" s="8" t="str">
        <f>IF($A284="","",IF(ISNUMBER(FIND("IMPVOL",T$1)),_xll.BDH(config!$G$4,T$1,WORKDAY($A284,-1,config_Holiday_Calendar_US),WORKDAY($A284,-1,config_Holiday_Calendar_US)),IF(ISNUMBER(_xll.BDH(config!$G$4,T$1,$A284,$A284)),_xll.BDH(config!$G$4,T$1,$A284,$A284),_xll.BDH(config!$G$5,T$1,$A284,$A284))))</f>
        <v>#N/A Requesting Data...</v>
      </c>
      <c r="U284" s="8" t="str">
        <f>IF($A284="","",IF(ISNUMBER(FIND("IMPVOL",U$1)),_xll.BDH(config!$G$4,U$1,WORKDAY($A284,-1,config_Holiday_Calendar_US),WORKDAY($A284,-1,config_Holiday_Calendar_US)),IF(ISNUMBER(_xll.BDH(config!$G$4,U$1,$A284,$A284)),_xll.BDH(config!$G$4,U$1,$A284,$A284),_xll.BDH(config!$G$5,U$1,$A284,$A284))))</f>
        <v>#N/A Requesting Data...</v>
      </c>
      <c r="V284" s="8" t="str">
        <f>IF($A284="","",IF(ISNUMBER(FIND("IMPVOL",V$1)),_xll.BDH(config!$G$4,V$1,WORKDAY($A284,-1,config_Holiday_Calendar_US),WORKDAY($A284,-1,config_Holiday_Calendar_US)),IF(ISNUMBER(_xll.BDH(config!$G$4,V$1,$A284,$A284)),_xll.BDH(config!$G$4,V$1,$A284,$A284),_xll.BDH(config!$G$5,V$1,$A284,$A284))))</f>
        <v>#N/A Requesting Data...</v>
      </c>
      <c r="W284" s="8" t="str">
        <f>IF($A284="","",IF(ISNUMBER(FIND("IMPVOL",W$1)),_xll.BDH(config!$G$4,W$1,WORKDAY($A284,-1,config_Holiday_Calendar_US),WORKDAY($A284,-1,config_Holiday_Calendar_US)),IF(ISNUMBER(_xll.BDH(config!$G$4,W$1,$A284,$A284)),_xll.BDH(config!$G$4,W$1,$A284,$A284),_xll.BDH(config!$G$5,W$1,$A284,$A284))))</f>
        <v>#N/A Requesting Data...</v>
      </c>
    </row>
    <row r="285" spans="1:23" x14ac:dyDescent="0.2">
      <c r="A285" s="9">
        <f>IF(A284="","",IF(WORKDAY(A284,-1,config_Holiday_Calendar_US)&lt;config!$I$10,"",WORKDAY(A284,-1,config_Holiday_Calendar_US)))</f>
        <v>42422</v>
      </c>
      <c r="B285" s="8" t="e">
        <f t="shared" si="4"/>
        <v>#VALUE!</v>
      </c>
      <c r="C285" s="8" t="str">
        <f>IF(A285="","",_xll.BDH(config!$H$4,C$1,$A285,$A285))</f>
        <v>#N/A Requesting Data...</v>
      </c>
      <c r="D285" s="8" t="str">
        <f>IF($A285="","",_xll.BDH(config!$H$4,D$1,$A285,$A285))</f>
        <v>#N/A Requesting Data...</v>
      </c>
      <c r="E285" s="8">
        <f>IF($A285="","",IF(ISNUMBER(FIND("IMPVOL",E$1)),_xll.BDH(config!$G$4,E$1,WORKDAY($A285,-1,config_Holiday_Calendar_US),WORKDAY($A285,-1,config_Holiday_Calendar_US)),IF(ISNUMBER(_xll.BDH(config!$G$4,E$1,$A285,$A285)),_xll.BDH(config!$G$4,E$1,$A285,$A285),_xll.BDH(config!$G$5,E$1,$A285,$A285))))</f>
        <v>29.72</v>
      </c>
      <c r="F285" s="8">
        <f>IF($A285="","",IF(ISNUMBER(FIND("IMPVOL",F$1)),_xll.BDH(config!$G$4,F$1,WORKDAY($A285,-1,config_Holiday_Calendar_US),WORKDAY($A285,-1,config_Holiday_Calendar_US)),IF(ISNUMBER(_xll.BDH(config!$G$4,F$1,$A285,$A285)),_xll.BDH(config!$G$4,F$1,$A285,$A285),_xll.BDH(config!$G$5,F$1,$A285,$A285))))</f>
        <v>32.049999999999997</v>
      </c>
      <c r="G285" s="8">
        <f>IF($A285="","",IF(ISNUMBER(FIND("IMPVOL",G$1)),_xll.BDH(config!$G$4,G$1,WORKDAY($A285,-1,config_Holiday_Calendar_US),WORKDAY($A285,-1,config_Holiday_Calendar_US)),IF(ISNUMBER(_xll.BDH(config!$G$4,G$1,$A285,$A285)),_xll.BDH(config!$G$4,G$1,$A285,$A285),_xll.BDH(config!$G$5,G$1,$A285,$A285))))</f>
        <v>31.61</v>
      </c>
      <c r="H285" s="8">
        <f>IF($A285="","",IF(ISNUMBER(FIND("IMPVOL",H$1)),_xll.BDH(config!$G$4,H$1,WORKDAY($A285,-1,config_Holiday_Calendar_US),WORKDAY($A285,-1,config_Holiday_Calendar_US)),IF(ISNUMBER(_xll.BDH(config!$G$4,H$1,$A285,$A285)),_xll.BDH(config!$G$4,H$1,$A285,$A285),_xll.BDH(config!$G$5,H$1,$A285,$A285))))</f>
        <v>521016</v>
      </c>
      <c r="I285" s="8" t="str">
        <f>IF($A285="","",IF(ISNUMBER(FIND("IMPVOL",I$1)),_xll.BDH(config!$G$4,I$1,WORKDAY($A285,-1,config_Holiday_Calendar_US),WORKDAY($A285,-1,config_Holiday_Calendar_US)),IF(ISNUMBER(_xll.BDH(config!$G$4,I$1,$A285,$A285)),_xll.BDH(config!$G$4,I$1,$A285,$A285),_xll.BDH(config!$G$5,I$1,$A285,$A285))))</f>
        <v>#N/A Requesting Data...</v>
      </c>
      <c r="J285" s="8" t="str">
        <f>IF($A285="","",IF(ISNUMBER(FIND("IMPVOL",J$1)),_xll.BDH(config!$G$4,J$1,WORKDAY($A285,-1,config_Holiday_Calendar_US),WORKDAY($A285,-1,config_Holiday_Calendar_US)),IF(ISNUMBER(_xll.BDH(config!$G$4,J$1,$A285,$A285)),_xll.BDH(config!$G$4,J$1,$A285,$A285),_xll.BDH(config!$G$5,J$1,$A285,$A285))))</f>
        <v>#N/A Requesting Data...</v>
      </c>
      <c r="K285" s="8" t="str">
        <f>IF($A285="","",IF(ISNUMBER(FIND("IMPVOL",K$1)),_xll.BDH(config!$G$4,K$1,WORKDAY($A285,-1,config_Holiday_Calendar_US),WORKDAY($A285,-1,config_Holiday_Calendar_US)),IF(ISNUMBER(_xll.BDH(config!$G$4,K$1,$A285,$A285)),_xll.BDH(config!$G$4,K$1,$A285,$A285),_xll.BDH(config!$G$5,K$1,$A285,$A285))))</f>
        <v>#N/A Requesting Data...</v>
      </c>
      <c r="L285" s="8" t="str">
        <f>IF($A285="","",IF(ISNUMBER(FIND("IMPVOL",L$1)),_xll.BDH(config!$G$4,L$1,WORKDAY($A285,-1,config_Holiday_Calendar_US),WORKDAY($A285,-1,config_Holiday_Calendar_US)),IF(ISNUMBER(_xll.BDH(config!$G$4,L$1,$A285,$A285)),_xll.BDH(config!$G$4,L$1,$A285,$A285),_xll.BDH(config!$G$5,L$1,$A285,$A285))))</f>
        <v>#N/A Requesting Data...</v>
      </c>
      <c r="M285" s="8" t="str">
        <f>IF($A285="","",IF(ISNUMBER(FIND("IMPVOL",M$1)),_xll.BDH(config!$G$4,M$1,WORKDAY($A285,-1,config_Holiday_Calendar_US),WORKDAY($A285,-1,config_Holiday_Calendar_US)),IF(ISNUMBER(_xll.BDH(config!$G$4,M$1,$A285,$A285)),_xll.BDH(config!$G$4,M$1,$A285,$A285),_xll.BDH(config!$G$5,M$1,$A285,$A285))))</f>
        <v>#N/A Requesting Data...</v>
      </c>
      <c r="N285" s="8" t="str">
        <f>IF($A285="","",IF(ISNUMBER(FIND("IMPVOL",N$1)),_xll.BDH(config!$G$4,N$1,WORKDAY($A285,-1,config_Holiday_Calendar_US),WORKDAY($A285,-1,config_Holiday_Calendar_US)),IF(ISNUMBER(_xll.BDH(config!$G$4,N$1,$A285,$A285)),_xll.BDH(config!$G$4,N$1,$A285,$A285),_xll.BDH(config!$G$5,N$1,$A285,$A285))))</f>
        <v>#N/A Requesting Data...</v>
      </c>
      <c r="O285" s="8" t="str">
        <f>IF($A285="","",IF(ISNUMBER(FIND("IMPVOL",O$1)),_xll.BDH(config!$G$4,O$1,WORKDAY($A285,-1,config_Holiday_Calendar_US),WORKDAY($A285,-1,config_Holiday_Calendar_US)),IF(ISNUMBER(_xll.BDH(config!$G$4,O$1,$A285,$A285)),_xll.BDH(config!$G$4,O$1,$A285,$A285),_xll.BDH(config!$G$5,O$1,$A285,$A285))))</f>
        <v>#N/A Requesting Data...</v>
      </c>
      <c r="P285" s="8" t="str">
        <f>IF($A285="","",IF(ISNUMBER(FIND("IMPVOL",P$1)),_xll.BDH(config!$G$4,P$1,WORKDAY($A285,-1,config_Holiday_Calendar_US),WORKDAY($A285,-1,config_Holiday_Calendar_US)),IF(ISNUMBER(_xll.BDH(config!$G$4,P$1,$A285,$A285)),_xll.BDH(config!$G$4,P$1,$A285,$A285),_xll.BDH(config!$G$5,P$1,$A285,$A285))))</f>
        <v>#N/A Requesting Data...</v>
      </c>
      <c r="Q285" s="8">
        <f>IF($A285="","",IF(ISNUMBER(FIND("IMPVOL",Q$1)),_xll.BDH(config!$G$4,Q$1,WORKDAY($A285,-1,config_Holiday_Calendar_US),WORKDAY($A285,-1,config_Holiday_Calendar_US)),IF(ISNUMBER(_xll.BDH(config!$G$4,Q$1,$A285,$A285)),_xll.BDH(config!$G$4,Q$1,$A285,$A285),_xll.BDH(config!$G$5,Q$1,$A285,$A285))))</f>
        <v>87.11</v>
      </c>
      <c r="R285" s="8">
        <f>IF($A285="","",IF(ISNUMBER(FIND("IMPVOL",R$1)),_xll.BDH(config!$G$4,R$1,WORKDAY($A285,-1,config_Holiday_Calendar_US),WORKDAY($A285,-1,config_Holiday_Calendar_US)),IF(ISNUMBER(_xll.BDH(config!$G$4,R$1,$A285,$A285)),_xll.BDH(config!$G$4,R$1,$A285,$A285),_xll.BDH(config!$G$5,R$1,$A285,$A285))))</f>
        <v>78.099999999999994</v>
      </c>
      <c r="S285" s="8" t="str">
        <f>IF($A285="","",IF(ISNUMBER(FIND("IMPVOL",S$1)),_xll.BDH(config!$G$4,S$1,WORKDAY($A285,-1,config_Holiday_Calendar_US),WORKDAY($A285,-1,config_Holiday_Calendar_US)),IF(ISNUMBER(_xll.BDH(config!$G$4,S$1,$A285,$A285)),_xll.BDH(config!$G$4,S$1,$A285,$A285),_xll.BDH(config!$G$5,S$1,$A285,$A285))))</f>
        <v>#N/A Requesting Data...</v>
      </c>
      <c r="T285" s="8" t="str">
        <f>IF($A285="","",IF(ISNUMBER(FIND("IMPVOL",T$1)),_xll.BDH(config!$G$4,T$1,WORKDAY($A285,-1,config_Holiday_Calendar_US),WORKDAY($A285,-1,config_Holiday_Calendar_US)),IF(ISNUMBER(_xll.BDH(config!$G$4,T$1,$A285,$A285)),_xll.BDH(config!$G$4,T$1,$A285,$A285),_xll.BDH(config!$G$5,T$1,$A285,$A285))))</f>
        <v>#N/A Requesting Data...</v>
      </c>
      <c r="U285" s="8" t="str">
        <f>IF($A285="","",IF(ISNUMBER(FIND("IMPVOL",U$1)),_xll.BDH(config!$G$4,U$1,WORKDAY($A285,-1,config_Holiday_Calendar_US),WORKDAY($A285,-1,config_Holiday_Calendar_US)),IF(ISNUMBER(_xll.BDH(config!$G$4,U$1,$A285,$A285)),_xll.BDH(config!$G$4,U$1,$A285,$A285),_xll.BDH(config!$G$5,U$1,$A285,$A285))))</f>
        <v>#N/A Requesting Data...</v>
      </c>
      <c r="V285" s="8" t="str">
        <f>IF($A285="","",IF(ISNUMBER(FIND("IMPVOL",V$1)),_xll.BDH(config!$G$4,V$1,WORKDAY($A285,-1,config_Holiday_Calendar_US),WORKDAY($A285,-1,config_Holiday_Calendar_US)),IF(ISNUMBER(_xll.BDH(config!$G$4,V$1,$A285,$A285)),_xll.BDH(config!$G$4,V$1,$A285,$A285),_xll.BDH(config!$G$5,V$1,$A285,$A285))))</f>
        <v>#N/A Requesting Data...</v>
      </c>
      <c r="W285" s="8" t="str">
        <f>IF($A285="","",IF(ISNUMBER(FIND("IMPVOL",W$1)),_xll.BDH(config!$G$4,W$1,WORKDAY($A285,-1,config_Holiday_Calendar_US),WORKDAY($A285,-1,config_Holiday_Calendar_US)),IF(ISNUMBER(_xll.BDH(config!$G$4,W$1,$A285,$A285)),_xll.BDH(config!$G$4,W$1,$A285,$A285),_xll.BDH(config!$G$5,W$1,$A285,$A285))))</f>
        <v>#N/A Requesting Data...</v>
      </c>
    </row>
    <row r="286" spans="1:23" x14ac:dyDescent="0.2">
      <c r="A286" s="9">
        <f>IF(A285="","",IF(WORKDAY(A285,-1,config_Holiday_Calendar_US)&lt;config!$I$10,"",WORKDAY(A285,-1,config_Holiday_Calendar_US)))</f>
        <v>42419</v>
      </c>
      <c r="B286" s="8" t="e">
        <f t="shared" si="4"/>
        <v>#VALUE!</v>
      </c>
      <c r="C286" s="8" t="str">
        <f>IF(A286="","",_xll.BDH(config!$H$4,C$1,$A286,$A286))</f>
        <v>#N/A Requesting Data...</v>
      </c>
      <c r="D286" s="8" t="str">
        <f>IF($A286="","",_xll.BDH(config!$H$4,D$1,$A286,$A286))</f>
        <v>#N/A Requesting Data...</v>
      </c>
      <c r="E286" s="8">
        <f>IF($A286="","",IF(ISNUMBER(FIND("IMPVOL",E$1)),_xll.BDH(config!$G$4,E$1,WORKDAY($A286,-1,config_Holiday_Calendar_US),WORKDAY($A286,-1,config_Holiday_Calendar_US)),IF(ISNUMBER(_xll.BDH(config!$G$4,E$1,$A286,$A286)),_xll.BDH(config!$G$4,E$1,$A286,$A286),_xll.BDH(config!$G$5,E$1,$A286,$A286))))</f>
        <v>30.6</v>
      </c>
      <c r="F286" s="8">
        <f>IF($A286="","",IF(ISNUMBER(FIND("IMPVOL",F$1)),_xll.BDH(config!$G$4,F$1,WORKDAY($A286,-1,config_Holiday_Calendar_US),WORKDAY($A286,-1,config_Holiday_Calendar_US)),IF(ISNUMBER(_xll.BDH(config!$G$4,F$1,$A286,$A286)),_xll.BDH(config!$G$4,F$1,$A286,$A286),_xll.BDH(config!$G$5,F$1,$A286,$A286))))</f>
        <v>30.73</v>
      </c>
      <c r="G286" s="8">
        <f>IF($A286="","",IF(ISNUMBER(FIND("IMPVOL",G$1)),_xll.BDH(config!$G$4,G$1,WORKDAY($A286,-1,config_Holiday_Calendar_US),WORKDAY($A286,-1,config_Holiday_Calendar_US)),IF(ISNUMBER(_xll.BDH(config!$G$4,G$1,$A286,$A286)),_xll.BDH(config!$G$4,G$1,$A286,$A286),_xll.BDH(config!$G$5,G$1,$A286,$A286))))</f>
        <v>31.34</v>
      </c>
      <c r="H286" s="8">
        <f>IF($A286="","",IF(ISNUMBER(FIND("IMPVOL",H$1)),_xll.BDH(config!$G$4,H$1,WORKDAY($A286,-1,config_Holiday_Calendar_US),WORKDAY($A286,-1,config_Holiday_Calendar_US)),IF(ISNUMBER(_xll.BDH(config!$G$4,H$1,$A286,$A286)),_xll.BDH(config!$G$4,H$1,$A286,$A286),_xll.BDH(config!$G$5,H$1,$A286,$A286))))</f>
        <v>510897</v>
      </c>
      <c r="I286" s="8" t="str">
        <f>IF($A286="","",IF(ISNUMBER(FIND("IMPVOL",I$1)),_xll.BDH(config!$G$4,I$1,WORKDAY($A286,-1,config_Holiday_Calendar_US),WORKDAY($A286,-1,config_Holiday_Calendar_US)),IF(ISNUMBER(_xll.BDH(config!$G$4,I$1,$A286,$A286)),_xll.BDH(config!$G$4,I$1,$A286,$A286),_xll.BDH(config!$G$5,I$1,$A286,$A286))))</f>
        <v>#N/A Requesting Data...</v>
      </c>
      <c r="J286" s="8" t="str">
        <f>IF($A286="","",IF(ISNUMBER(FIND("IMPVOL",J$1)),_xll.BDH(config!$G$4,J$1,WORKDAY($A286,-1,config_Holiday_Calendar_US),WORKDAY($A286,-1,config_Holiday_Calendar_US)),IF(ISNUMBER(_xll.BDH(config!$G$4,J$1,$A286,$A286)),_xll.BDH(config!$G$4,J$1,$A286,$A286),_xll.BDH(config!$G$5,J$1,$A286,$A286))))</f>
        <v>#N/A Requesting Data...</v>
      </c>
      <c r="K286" s="8" t="str">
        <f>IF($A286="","",IF(ISNUMBER(FIND("IMPVOL",K$1)),_xll.BDH(config!$G$4,K$1,WORKDAY($A286,-1,config_Holiday_Calendar_US),WORKDAY($A286,-1,config_Holiday_Calendar_US)),IF(ISNUMBER(_xll.BDH(config!$G$4,K$1,$A286,$A286)),_xll.BDH(config!$G$4,K$1,$A286,$A286),_xll.BDH(config!$G$5,K$1,$A286,$A286))))</f>
        <v>#N/A Requesting Data...</v>
      </c>
      <c r="L286" s="8" t="str">
        <f>IF($A286="","",IF(ISNUMBER(FIND("IMPVOL",L$1)),_xll.BDH(config!$G$4,L$1,WORKDAY($A286,-1,config_Holiday_Calendar_US),WORKDAY($A286,-1,config_Holiday_Calendar_US)),IF(ISNUMBER(_xll.BDH(config!$G$4,L$1,$A286,$A286)),_xll.BDH(config!$G$4,L$1,$A286,$A286),_xll.BDH(config!$G$5,L$1,$A286,$A286))))</f>
        <v>#N/A Requesting Data...</v>
      </c>
      <c r="M286" s="8" t="str">
        <f>IF($A286="","",IF(ISNUMBER(FIND("IMPVOL",M$1)),_xll.BDH(config!$G$4,M$1,WORKDAY($A286,-1,config_Holiday_Calendar_US),WORKDAY($A286,-1,config_Holiday_Calendar_US)),IF(ISNUMBER(_xll.BDH(config!$G$4,M$1,$A286,$A286)),_xll.BDH(config!$G$4,M$1,$A286,$A286),_xll.BDH(config!$G$5,M$1,$A286,$A286))))</f>
        <v>#N/A Requesting Data...</v>
      </c>
      <c r="N286" s="8" t="str">
        <f>IF($A286="","",IF(ISNUMBER(FIND("IMPVOL",N$1)),_xll.BDH(config!$G$4,N$1,WORKDAY($A286,-1,config_Holiday_Calendar_US),WORKDAY($A286,-1,config_Holiday_Calendar_US)),IF(ISNUMBER(_xll.BDH(config!$G$4,N$1,$A286,$A286)),_xll.BDH(config!$G$4,N$1,$A286,$A286),_xll.BDH(config!$G$5,N$1,$A286,$A286))))</f>
        <v>#N/A Requesting Data...</v>
      </c>
      <c r="O286" s="8" t="str">
        <f>IF($A286="","",IF(ISNUMBER(FIND("IMPVOL",O$1)),_xll.BDH(config!$G$4,O$1,WORKDAY($A286,-1,config_Holiday_Calendar_US),WORKDAY($A286,-1,config_Holiday_Calendar_US)),IF(ISNUMBER(_xll.BDH(config!$G$4,O$1,$A286,$A286)),_xll.BDH(config!$G$4,O$1,$A286,$A286),_xll.BDH(config!$G$5,O$1,$A286,$A286))))</f>
        <v>#N/A Requesting Data...</v>
      </c>
      <c r="P286" s="8" t="str">
        <f>IF($A286="","",IF(ISNUMBER(FIND("IMPVOL",P$1)),_xll.BDH(config!$G$4,P$1,WORKDAY($A286,-1,config_Holiday_Calendar_US),WORKDAY($A286,-1,config_Holiday_Calendar_US)),IF(ISNUMBER(_xll.BDH(config!$G$4,P$1,$A286,$A286)),_xll.BDH(config!$G$4,P$1,$A286,$A286),_xll.BDH(config!$G$5,P$1,$A286,$A286))))</f>
        <v>#N/A Requesting Data...</v>
      </c>
      <c r="Q286" s="8">
        <f>IF($A286="","",IF(ISNUMBER(FIND("IMPVOL",Q$1)),_xll.BDH(config!$G$4,Q$1,WORKDAY($A286,-1,config_Holiday_Calendar_US),WORKDAY($A286,-1,config_Holiday_Calendar_US)),IF(ISNUMBER(_xll.BDH(config!$G$4,Q$1,$A286,$A286)),_xll.BDH(config!$G$4,Q$1,$A286,$A286),_xll.BDH(config!$G$5,Q$1,$A286,$A286))))</f>
        <v>84.86</v>
      </c>
      <c r="R286" s="8">
        <f>IF($A286="","",IF(ISNUMBER(FIND("IMPVOL",R$1)),_xll.BDH(config!$G$4,R$1,WORKDAY($A286,-1,config_Holiday_Calendar_US),WORKDAY($A286,-1,config_Holiday_Calendar_US)),IF(ISNUMBER(_xll.BDH(config!$G$4,R$1,$A286,$A286)),_xll.BDH(config!$G$4,R$1,$A286,$A286),_xll.BDH(config!$G$5,R$1,$A286,$A286))))</f>
        <v>76.459999999999994</v>
      </c>
      <c r="S286" s="8" t="str">
        <f>IF($A286="","",IF(ISNUMBER(FIND("IMPVOL",S$1)),_xll.BDH(config!$G$4,S$1,WORKDAY($A286,-1,config_Holiday_Calendar_US),WORKDAY($A286,-1,config_Holiday_Calendar_US)),IF(ISNUMBER(_xll.BDH(config!$G$4,S$1,$A286,$A286)),_xll.BDH(config!$G$4,S$1,$A286,$A286),_xll.BDH(config!$G$5,S$1,$A286,$A286))))</f>
        <v>#N/A Requesting Data...</v>
      </c>
      <c r="T286" s="8" t="str">
        <f>IF($A286="","",IF(ISNUMBER(FIND("IMPVOL",T$1)),_xll.BDH(config!$G$4,T$1,WORKDAY($A286,-1,config_Holiday_Calendar_US),WORKDAY($A286,-1,config_Holiday_Calendar_US)),IF(ISNUMBER(_xll.BDH(config!$G$4,T$1,$A286,$A286)),_xll.BDH(config!$G$4,T$1,$A286,$A286),_xll.BDH(config!$G$5,T$1,$A286,$A286))))</f>
        <v>#N/A Requesting Data...</v>
      </c>
      <c r="U286" s="8" t="str">
        <f>IF($A286="","",IF(ISNUMBER(FIND("IMPVOL",U$1)),_xll.BDH(config!$G$4,U$1,WORKDAY($A286,-1,config_Holiday_Calendar_US),WORKDAY($A286,-1,config_Holiday_Calendar_US)),IF(ISNUMBER(_xll.BDH(config!$G$4,U$1,$A286,$A286)),_xll.BDH(config!$G$4,U$1,$A286,$A286),_xll.BDH(config!$G$5,U$1,$A286,$A286))))</f>
        <v>#N/A Requesting Data...</v>
      </c>
      <c r="V286" s="8" t="str">
        <f>IF($A286="","",IF(ISNUMBER(FIND("IMPVOL",V$1)),_xll.BDH(config!$G$4,V$1,WORKDAY($A286,-1,config_Holiday_Calendar_US),WORKDAY($A286,-1,config_Holiday_Calendar_US)),IF(ISNUMBER(_xll.BDH(config!$G$4,V$1,$A286,$A286)),_xll.BDH(config!$G$4,V$1,$A286,$A286),_xll.BDH(config!$G$5,V$1,$A286,$A286))))</f>
        <v>#N/A Requesting Data...</v>
      </c>
      <c r="W286" s="8" t="str">
        <f>IF($A286="","",IF(ISNUMBER(FIND("IMPVOL",W$1)),_xll.BDH(config!$G$4,W$1,WORKDAY($A286,-1,config_Holiday_Calendar_US),WORKDAY($A286,-1,config_Holiday_Calendar_US)),IF(ISNUMBER(_xll.BDH(config!$G$4,W$1,$A286,$A286)),_xll.BDH(config!$G$4,W$1,$A286,$A286),_xll.BDH(config!$G$5,W$1,$A286,$A286))))</f>
        <v>#N/A Requesting Data...</v>
      </c>
    </row>
    <row r="287" spans="1:23" x14ac:dyDescent="0.2">
      <c r="A287" s="9">
        <f>IF(A286="","",IF(WORKDAY(A286,-1,config_Holiday_Calendar_US)&lt;config!$I$10,"",WORKDAY(A286,-1,config_Holiday_Calendar_US)))</f>
        <v>42418</v>
      </c>
      <c r="B287" s="8" t="e">
        <f t="shared" si="4"/>
        <v>#VALUE!</v>
      </c>
      <c r="C287" s="8" t="str">
        <f>IF(A287="","",_xll.BDH(config!$H$4,C$1,$A287,$A287))</f>
        <v>#N/A Requesting Data...</v>
      </c>
      <c r="D287" s="8" t="str">
        <f>IF($A287="","",_xll.BDH(config!$H$4,D$1,$A287,$A287))</f>
        <v>#N/A Requesting Data...</v>
      </c>
      <c r="E287" s="8">
        <f>IF($A287="","",IF(ISNUMBER(FIND("IMPVOL",E$1)),_xll.BDH(config!$G$4,E$1,WORKDAY($A287,-1,config_Holiday_Calendar_US),WORKDAY($A287,-1,config_Holiday_Calendar_US)),IF(ISNUMBER(_xll.BDH(config!$G$4,E$1,$A287,$A287)),_xll.BDH(config!$G$4,E$1,$A287,$A287),_xll.BDH(config!$G$5,E$1,$A287,$A287))))</f>
        <v>31.35</v>
      </c>
      <c r="F287" s="8">
        <f>IF($A287="","",IF(ISNUMBER(FIND("IMPVOL",F$1)),_xll.BDH(config!$G$4,F$1,WORKDAY($A287,-1,config_Holiday_Calendar_US),WORKDAY($A287,-1,config_Holiday_Calendar_US)),IF(ISNUMBER(_xll.BDH(config!$G$4,F$1,$A287,$A287)),_xll.BDH(config!$G$4,F$1,$A287,$A287),_xll.BDH(config!$G$5,F$1,$A287,$A287))))</f>
        <v>31.98</v>
      </c>
      <c r="G287" s="8">
        <f>IF($A287="","",IF(ISNUMBER(FIND("IMPVOL",G$1)),_xll.BDH(config!$G$4,G$1,WORKDAY($A287,-1,config_Holiday_Calendar_US),WORKDAY($A287,-1,config_Holiday_Calendar_US)),IF(ISNUMBER(_xll.BDH(config!$G$4,G$1,$A287,$A287)),_xll.BDH(config!$G$4,G$1,$A287,$A287),_xll.BDH(config!$G$5,G$1,$A287,$A287))))</f>
        <v>32.450000000000003</v>
      </c>
      <c r="H287" s="8">
        <f>IF($A287="","",IF(ISNUMBER(FIND("IMPVOL",H$1)),_xll.BDH(config!$G$4,H$1,WORKDAY($A287,-1,config_Holiday_Calendar_US),WORKDAY($A287,-1,config_Holiday_Calendar_US)),IF(ISNUMBER(_xll.BDH(config!$G$4,H$1,$A287,$A287)),_xll.BDH(config!$G$4,H$1,$A287,$A287),_xll.BDH(config!$G$5,H$1,$A287,$A287))))</f>
        <v>432126</v>
      </c>
      <c r="I287" s="8" t="str">
        <f>IF($A287="","",IF(ISNUMBER(FIND("IMPVOL",I$1)),_xll.BDH(config!$G$4,I$1,WORKDAY($A287,-1,config_Holiday_Calendar_US),WORKDAY($A287,-1,config_Holiday_Calendar_US)),IF(ISNUMBER(_xll.BDH(config!$G$4,I$1,$A287,$A287)),_xll.BDH(config!$G$4,I$1,$A287,$A287),_xll.BDH(config!$G$5,I$1,$A287,$A287))))</f>
        <v>#N/A Requesting Data...</v>
      </c>
      <c r="J287" s="8" t="str">
        <f>IF($A287="","",IF(ISNUMBER(FIND("IMPVOL",J$1)),_xll.BDH(config!$G$4,J$1,WORKDAY($A287,-1,config_Holiday_Calendar_US),WORKDAY($A287,-1,config_Holiday_Calendar_US)),IF(ISNUMBER(_xll.BDH(config!$G$4,J$1,$A287,$A287)),_xll.BDH(config!$G$4,J$1,$A287,$A287),_xll.BDH(config!$G$5,J$1,$A287,$A287))))</f>
        <v>#N/A Requesting Data...</v>
      </c>
      <c r="K287" s="8" t="str">
        <f>IF($A287="","",IF(ISNUMBER(FIND("IMPVOL",K$1)),_xll.BDH(config!$G$4,K$1,WORKDAY($A287,-1,config_Holiday_Calendar_US),WORKDAY($A287,-1,config_Holiday_Calendar_US)),IF(ISNUMBER(_xll.BDH(config!$G$4,K$1,$A287,$A287)),_xll.BDH(config!$G$4,K$1,$A287,$A287),_xll.BDH(config!$G$5,K$1,$A287,$A287))))</f>
        <v>#N/A Requesting Data...</v>
      </c>
      <c r="L287" s="8" t="str">
        <f>IF($A287="","",IF(ISNUMBER(FIND("IMPVOL",L$1)),_xll.BDH(config!$G$4,L$1,WORKDAY($A287,-1,config_Holiday_Calendar_US),WORKDAY($A287,-1,config_Holiday_Calendar_US)),IF(ISNUMBER(_xll.BDH(config!$G$4,L$1,$A287,$A287)),_xll.BDH(config!$G$4,L$1,$A287,$A287),_xll.BDH(config!$G$5,L$1,$A287,$A287))))</f>
        <v>#N/A Requesting Data...</v>
      </c>
      <c r="M287" s="8" t="str">
        <f>IF($A287="","",IF(ISNUMBER(FIND("IMPVOL",M$1)),_xll.BDH(config!$G$4,M$1,WORKDAY($A287,-1,config_Holiday_Calendar_US),WORKDAY($A287,-1,config_Holiday_Calendar_US)),IF(ISNUMBER(_xll.BDH(config!$G$4,M$1,$A287,$A287)),_xll.BDH(config!$G$4,M$1,$A287,$A287),_xll.BDH(config!$G$5,M$1,$A287,$A287))))</f>
        <v>#N/A Requesting Data...</v>
      </c>
      <c r="N287" s="8" t="str">
        <f>IF($A287="","",IF(ISNUMBER(FIND("IMPVOL",N$1)),_xll.BDH(config!$G$4,N$1,WORKDAY($A287,-1,config_Holiday_Calendar_US),WORKDAY($A287,-1,config_Holiday_Calendar_US)),IF(ISNUMBER(_xll.BDH(config!$G$4,N$1,$A287,$A287)),_xll.BDH(config!$G$4,N$1,$A287,$A287),_xll.BDH(config!$G$5,N$1,$A287,$A287))))</f>
        <v>#N/A Requesting Data...</v>
      </c>
      <c r="O287" s="8" t="str">
        <f>IF($A287="","",IF(ISNUMBER(FIND("IMPVOL",O$1)),_xll.BDH(config!$G$4,O$1,WORKDAY($A287,-1,config_Holiday_Calendar_US),WORKDAY($A287,-1,config_Holiday_Calendar_US)),IF(ISNUMBER(_xll.BDH(config!$G$4,O$1,$A287,$A287)),_xll.BDH(config!$G$4,O$1,$A287,$A287),_xll.BDH(config!$G$5,O$1,$A287,$A287))))</f>
        <v>#N/A Requesting Data...</v>
      </c>
      <c r="P287" s="8" t="str">
        <f>IF($A287="","",IF(ISNUMBER(FIND("IMPVOL",P$1)),_xll.BDH(config!$G$4,P$1,WORKDAY($A287,-1,config_Holiday_Calendar_US),WORKDAY($A287,-1,config_Holiday_Calendar_US)),IF(ISNUMBER(_xll.BDH(config!$G$4,P$1,$A287,$A287)),_xll.BDH(config!$G$4,P$1,$A287,$A287),_xll.BDH(config!$G$5,P$1,$A287,$A287))))</f>
        <v>#N/A Requesting Data...</v>
      </c>
      <c r="Q287" s="8">
        <f>IF($A287="","",IF(ISNUMBER(FIND("IMPVOL",Q$1)),_xll.BDH(config!$G$4,Q$1,WORKDAY($A287,-1,config_Holiday_Calendar_US),WORKDAY($A287,-1,config_Holiday_Calendar_US)),IF(ISNUMBER(_xll.BDH(config!$G$4,Q$1,$A287,$A287)),_xll.BDH(config!$G$4,Q$1,$A287,$A287),_xll.BDH(config!$G$5,Q$1,$A287,$A287))))</f>
        <v>83.21</v>
      </c>
      <c r="R287" s="8">
        <f>IF($A287="","",IF(ISNUMBER(FIND("IMPVOL",R$1)),_xll.BDH(config!$G$4,R$1,WORKDAY($A287,-1,config_Holiday_Calendar_US),WORKDAY($A287,-1,config_Holiday_Calendar_US)),IF(ISNUMBER(_xll.BDH(config!$G$4,R$1,$A287,$A287)),_xll.BDH(config!$G$4,R$1,$A287,$A287),_xll.BDH(config!$G$5,R$1,$A287,$A287))))</f>
        <v>75.95</v>
      </c>
      <c r="S287" s="8" t="str">
        <f>IF($A287="","",IF(ISNUMBER(FIND("IMPVOL",S$1)),_xll.BDH(config!$G$4,S$1,WORKDAY($A287,-1,config_Holiday_Calendar_US),WORKDAY($A287,-1,config_Holiday_Calendar_US)),IF(ISNUMBER(_xll.BDH(config!$G$4,S$1,$A287,$A287)),_xll.BDH(config!$G$4,S$1,$A287,$A287),_xll.BDH(config!$G$5,S$1,$A287,$A287))))</f>
        <v>#N/A Requesting Data...</v>
      </c>
      <c r="T287" s="8" t="str">
        <f>IF($A287="","",IF(ISNUMBER(FIND("IMPVOL",T$1)),_xll.BDH(config!$G$4,T$1,WORKDAY($A287,-1,config_Holiday_Calendar_US),WORKDAY($A287,-1,config_Holiday_Calendar_US)),IF(ISNUMBER(_xll.BDH(config!$G$4,T$1,$A287,$A287)),_xll.BDH(config!$G$4,T$1,$A287,$A287),_xll.BDH(config!$G$5,T$1,$A287,$A287))))</f>
        <v>#N/A Requesting Data...</v>
      </c>
      <c r="U287" s="8" t="str">
        <f>IF($A287="","",IF(ISNUMBER(FIND("IMPVOL",U$1)),_xll.BDH(config!$G$4,U$1,WORKDAY($A287,-1,config_Holiday_Calendar_US),WORKDAY($A287,-1,config_Holiday_Calendar_US)),IF(ISNUMBER(_xll.BDH(config!$G$4,U$1,$A287,$A287)),_xll.BDH(config!$G$4,U$1,$A287,$A287),_xll.BDH(config!$G$5,U$1,$A287,$A287))))</f>
        <v>#N/A Requesting Data...</v>
      </c>
      <c r="V287" s="8" t="str">
        <f>IF($A287="","",IF(ISNUMBER(FIND("IMPVOL",V$1)),_xll.BDH(config!$G$4,V$1,WORKDAY($A287,-1,config_Holiday_Calendar_US),WORKDAY($A287,-1,config_Holiday_Calendar_US)),IF(ISNUMBER(_xll.BDH(config!$G$4,V$1,$A287,$A287)),_xll.BDH(config!$G$4,V$1,$A287,$A287),_xll.BDH(config!$G$5,V$1,$A287,$A287))))</f>
        <v>#N/A Requesting Data...</v>
      </c>
      <c r="W287" s="8" t="str">
        <f>IF($A287="","",IF(ISNUMBER(FIND("IMPVOL",W$1)),_xll.BDH(config!$G$4,W$1,WORKDAY($A287,-1,config_Holiday_Calendar_US),WORKDAY($A287,-1,config_Holiday_Calendar_US)),IF(ISNUMBER(_xll.BDH(config!$G$4,W$1,$A287,$A287)),_xll.BDH(config!$G$4,W$1,$A287,$A287),_xll.BDH(config!$G$5,W$1,$A287,$A287))))</f>
        <v>#N/A Requesting Data...</v>
      </c>
    </row>
    <row r="288" spans="1:23" x14ac:dyDescent="0.2">
      <c r="A288" s="9">
        <f>IF(A287="","",IF(WORKDAY(A287,-1,config_Holiday_Calendar_US)&lt;config!$I$10,"",WORKDAY(A287,-1,config_Holiday_Calendar_US)))</f>
        <v>42417</v>
      </c>
      <c r="B288" s="8" t="e">
        <f t="shared" si="4"/>
        <v>#VALUE!</v>
      </c>
      <c r="C288" s="8" t="str">
        <f>IF(A288="","",_xll.BDH(config!$H$4,C$1,$A288,$A288))</f>
        <v>#N/A Requesting Data...</v>
      </c>
      <c r="D288" s="8" t="str">
        <f>IF($A288="","",_xll.BDH(config!$H$4,D$1,$A288,$A288))</f>
        <v>#N/A Requesting Data...</v>
      </c>
      <c r="E288" s="8">
        <f>IF($A288="","",IF(ISNUMBER(FIND("IMPVOL",E$1)),_xll.BDH(config!$G$4,E$1,WORKDAY($A288,-1,config_Holiday_Calendar_US),WORKDAY($A288,-1,config_Holiday_Calendar_US)),IF(ISNUMBER(_xll.BDH(config!$G$4,E$1,$A288,$A288)),_xll.BDH(config!$G$4,E$1,$A288,$A288),_xll.BDH(config!$G$5,E$1,$A288,$A288))))</f>
        <v>29.14</v>
      </c>
      <c r="F288" s="8">
        <f>IF($A288="","",IF(ISNUMBER(FIND("IMPVOL",F$1)),_xll.BDH(config!$G$4,F$1,WORKDAY($A288,-1,config_Holiday_Calendar_US),WORKDAY($A288,-1,config_Holiday_Calendar_US)),IF(ISNUMBER(_xll.BDH(config!$G$4,F$1,$A288,$A288)),_xll.BDH(config!$G$4,F$1,$A288,$A288),_xll.BDH(config!$G$5,F$1,$A288,$A288))))</f>
        <v>31.49</v>
      </c>
      <c r="G288" s="8">
        <f>IF($A288="","",IF(ISNUMBER(FIND("IMPVOL",G$1)),_xll.BDH(config!$G$4,G$1,WORKDAY($A288,-1,config_Holiday_Calendar_US),WORKDAY($A288,-1,config_Holiday_Calendar_US)),IF(ISNUMBER(_xll.BDH(config!$G$4,G$1,$A288,$A288)),_xll.BDH(config!$G$4,G$1,$A288,$A288),_xll.BDH(config!$G$5,G$1,$A288,$A288))))</f>
        <v>30.81</v>
      </c>
      <c r="H288" s="8">
        <f>IF($A288="","",IF(ISNUMBER(FIND("IMPVOL",H$1)),_xll.BDH(config!$G$4,H$1,WORKDAY($A288,-1,config_Holiday_Calendar_US),WORKDAY($A288,-1,config_Holiday_Calendar_US)),IF(ISNUMBER(_xll.BDH(config!$G$4,H$1,$A288,$A288)),_xll.BDH(config!$G$4,H$1,$A288,$A288),_xll.BDH(config!$G$5,H$1,$A288,$A288))))</f>
        <v>458686</v>
      </c>
      <c r="I288" s="8" t="str">
        <f>IF($A288="","",IF(ISNUMBER(FIND("IMPVOL",I$1)),_xll.BDH(config!$G$4,I$1,WORKDAY($A288,-1,config_Holiday_Calendar_US),WORKDAY($A288,-1,config_Holiday_Calendar_US)),IF(ISNUMBER(_xll.BDH(config!$G$4,I$1,$A288,$A288)),_xll.BDH(config!$G$4,I$1,$A288,$A288),_xll.BDH(config!$G$5,I$1,$A288,$A288))))</f>
        <v>#N/A Requesting Data...</v>
      </c>
      <c r="J288" s="8" t="str">
        <f>IF($A288="","",IF(ISNUMBER(FIND("IMPVOL",J$1)),_xll.BDH(config!$G$4,J$1,WORKDAY($A288,-1,config_Holiday_Calendar_US),WORKDAY($A288,-1,config_Holiday_Calendar_US)),IF(ISNUMBER(_xll.BDH(config!$G$4,J$1,$A288,$A288)),_xll.BDH(config!$G$4,J$1,$A288,$A288),_xll.BDH(config!$G$5,J$1,$A288,$A288))))</f>
        <v>#N/A Requesting Data...</v>
      </c>
      <c r="K288" s="8" t="str">
        <f>IF($A288="","",IF(ISNUMBER(FIND("IMPVOL",K$1)),_xll.BDH(config!$G$4,K$1,WORKDAY($A288,-1,config_Holiday_Calendar_US),WORKDAY($A288,-1,config_Holiday_Calendar_US)),IF(ISNUMBER(_xll.BDH(config!$G$4,K$1,$A288,$A288)),_xll.BDH(config!$G$4,K$1,$A288,$A288),_xll.BDH(config!$G$5,K$1,$A288,$A288))))</f>
        <v>#N/A Requesting Data...</v>
      </c>
      <c r="L288" s="8" t="str">
        <f>IF($A288="","",IF(ISNUMBER(FIND("IMPVOL",L$1)),_xll.BDH(config!$G$4,L$1,WORKDAY($A288,-1,config_Holiday_Calendar_US),WORKDAY($A288,-1,config_Holiday_Calendar_US)),IF(ISNUMBER(_xll.BDH(config!$G$4,L$1,$A288,$A288)),_xll.BDH(config!$G$4,L$1,$A288,$A288),_xll.BDH(config!$G$5,L$1,$A288,$A288))))</f>
        <v>#N/A Requesting Data...</v>
      </c>
      <c r="M288" s="8" t="str">
        <f>IF($A288="","",IF(ISNUMBER(FIND("IMPVOL",M$1)),_xll.BDH(config!$G$4,M$1,WORKDAY($A288,-1,config_Holiday_Calendar_US),WORKDAY($A288,-1,config_Holiday_Calendar_US)),IF(ISNUMBER(_xll.BDH(config!$G$4,M$1,$A288,$A288)),_xll.BDH(config!$G$4,M$1,$A288,$A288),_xll.BDH(config!$G$5,M$1,$A288,$A288))))</f>
        <v>#N/A Requesting Data...</v>
      </c>
      <c r="N288" s="8" t="str">
        <f>IF($A288="","",IF(ISNUMBER(FIND("IMPVOL",N$1)),_xll.BDH(config!$G$4,N$1,WORKDAY($A288,-1,config_Holiday_Calendar_US),WORKDAY($A288,-1,config_Holiday_Calendar_US)),IF(ISNUMBER(_xll.BDH(config!$G$4,N$1,$A288,$A288)),_xll.BDH(config!$G$4,N$1,$A288,$A288),_xll.BDH(config!$G$5,N$1,$A288,$A288))))</f>
        <v>#N/A Requesting Data...</v>
      </c>
      <c r="O288" s="8" t="str">
        <f>IF($A288="","",IF(ISNUMBER(FIND("IMPVOL",O$1)),_xll.BDH(config!$G$4,O$1,WORKDAY($A288,-1,config_Holiday_Calendar_US),WORKDAY($A288,-1,config_Holiday_Calendar_US)),IF(ISNUMBER(_xll.BDH(config!$G$4,O$1,$A288,$A288)),_xll.BDH(config!$G$4,O$1,$A288,$A288),_xll.BDH(config!$G$5,O$1,$A288,$A288))))</f>
        <v>#N/A Requesting Data...</v>
      </c>
      <c r="P288" s="8" t="str">
        <f>IF($A288="","",IF(ISNUMBER(FIND("IMPVOL",P$1)),_xll.BDH(config!$G$4,P$1,WORKDAY($A288,-1,config_Holiday_Calendar_US),WORKDAY($A288,-1,config_Holiday_Calendar_US)),IF(ISNUMBER(_xll.BDH(config!$G$4,P$1,$A288,$A288)),_xll.BDH(config!$G$4,P$1,$A288,$A288),_xll.BDH(config!$G$5,P$1,$A288,$A288))))</f>
        <v>#N/A Requesting Data...</v>
      </c>
      <c r="Q288" s="8">
        <f>IF($A288="","",IF(ISNUMBER(FIND("IMPVOL",Q$1)),_xll.BDH(config!$G$4,Q$1,WORKDAY($A288,-1,config_Holiday_Calendar_US),WORKDAY($A288,-1,config_Holiday_Calendar_US)),IF(ISNUMBER(_xll.BDH(config!$G$4,Q$1,$A288,$A288)),_xll.BDH(config!$G$4,Q$1,$A288,$A288),_xll.BDH(config!$G$5,Q$1,$A288,$A288))))</f>
        <v>83.5</v>
      </c>
      <c r="R288" s="8">
        <f>IF($A288="","",IF(ISNUMBER(FIND("IMPVOL",R$1)),_xll.BDH(config!$G$4,R$1,WORKDAY($A288,-1,config_Holiday_Calendar_US),WORKDAY($A288,-1,config_Holiday_Calendar_US)),IF(ISNUMBER(_xll.BDH(config!$G$4,R$1,$A288,$A288)),_xll.BDH(config!$G$4,R$1,$A288,$A288),_xll.BDH(config!$G$5,R$1,$A288,$A288))))</f>
        <v>77.56</v>
      </c>
      <c r="S288" s="8" t="str">
        <f>IF($A288="","",IF(ISNUMBER(FIND("IMPVOL",S$1)),_xll.BDH(config!$G$4,S$1,WORKDAY($A288,-1,config_Holiday_Calendar_US),WORKDAY($A288,-1,config_Holiday_Calendar_US)),IF(ISNUMBER(_xll.BDH(config!$G$4,S$1,$A288,$A288)),_xll.BDH(config!$G$4,S$1,$A288,$A288),_xll.BDH(config!$G$5,S$1,$A288,$A288))))</f>
        <v>#N/A Requesting Data...</v>
      </c>
      <c r="T288" s="8" t="str">
        <f>IF($A288="","",IF(ISNUMBER(FIND("IMPVOL",T$1)),_xll.BDH(config!$G$4,T$1,WORKDAY($A288,-1,config_Holiday_Calendar_US),WORKDAY($A288,-1,config_Holiday_Calendar_US)),IF(ISNUMBER(_xll.BDH(config!$G$4,T$1,$A288,$A288)),_xll.BDH(config!$G$4,T$1,$A288,$A288),_xll.BDH(config!$G$5,T$1,$A288,$A288))))</f>
        <v>#N/A Requesting Data...</v>
      </c>
      <c r="U288" s="8" t="str">
        <f>IF($A288="","",IF(ISNUMBER(FIND("IMPVOL",U$1)),_xll.BDH(config!$G$4,U$1,WORKDAY($A288,-1,config_Holiday_Calendar_US),WORKDAY($A288,-1,config_Holiday_Calendar_US)),IF(ISNUMBER(_xll.BDH(config!$G$4,U$1,$A288,$A288)),_xll.BDH(config!$G$4,U$1,$A288,$A288),_xll.BDH(config!$G$5,U$1,$A288,$A288))))</f>
        <v>#N/A Requesting Data...</v>
      </c>
      <c r="V288" s="8" t="str">
        <f>IF($A288="","",IF(ISNUMBER(FIND("IMPVOL",V$1)),_xll.BDH(config!$G$4,V$1,WORKDAY($A288,-1,config_Holiday_Calendar_US),WORKDAY($A288,-1,config_Holiday_Calendar_US)),IF(ISNUMBER(_xll.BDH(config!$G$4,V$1,$A288,$A288)),_xll.BDH(config!$G$4,V$1,$A288,$A288),_xll.BDH(config!$G$5,V$1,$A288,$A288))))</f>
        <v>#N/A Requesting Data...</v>
      </c>
      <c r="W288" s="8" t="str">
        <f>IF($A288="","",IF(ISNUMBER(FIND("IMPVOL",W$1)),_xll.BDH(config!$G$4,W$1,WORKDAY($A288,-1,config_Holiday_Calendar_US),WORKDAY($A288,-1,config_Holiday_Calendar_US)),IF(ISNUMBER(_xll.BDH(config!$G$4,W$1,$A288,$A288)),_xll.BDH(config!$G$4,W$1,$A288,$A288),_xll.BDH(config!$G$5,W$1,$A288,$A288))))</f>
        <v>#N/A Requesting Data...</v>
      </c>
    </row>
    <row r="289" spans="1:23" x14ac:dyDescent="0.2">
      <c r="A289" s="9">
        <f>IF(A288="","",IF(WORKDAY(A288,-1,config_Holiday_Calendar_US)&lt;config!$I$10,"",WORKDAY(A288,-1,config_Holiday_Calendar_US)))</f>
        <v>42412</v>
      </c>
      <c r="B289" s="8" t="e">
        <f t="shared" si="4"/>
        <v>#VALUE!</v>
      </c>
      <c r="C289" s="8" t="str">
        <f>IF(A289="","",_xll.BDH(config!$H$4,C$1,$A289,$A289))</f>
        <v>#N/A Requesting Data...</v>
      </c>
      <c r="D289" s="8" t="str">
        <f>IF($A289="","",_xll.BDH(config!$H$4,D$1,$A289,$A289))</f>
        <v>#N/A Requesting Data...</v>
      </c>
      <c r="E289" s="8">
        <f>IF($A289="","",IF(ISNUMBER(FIND("IMPVOL",E$1)),_xll.BDH(config!$G$4,E$1,WORKDAY($A289,-1,config_Holiday_Calendar_US),WORKDAY($A289,-1,config_Holiday_Calendar_US)),IF(ISNUMBER(_xll.BDH(config!$G$4,E$1,$A289,$A289)),_xll.BDH(config!$G$4,E$1,$A289,$A289),_xll.BDH(config!$G$5,E$1,$A289,$A289))))</f>
        <v>27.3</v>
      </c>
      <c r="F289" s="8">
        <f>IF($A289="","",IF(ISNUMBER(FIND("IMPVOL",F$1)),_xll.BDH(config!$G$4,F$1,WORKDAY($A289,-1,config_Holiday_Calendar_US),WORKDAY($A289,-1,config_Holiday_Calendar_US)),IF(ISNUMBER(_xll.BDH(config!$G$4,F$1,$A289,$A289)),_xll.BDH(config!$G$4,F$1,$A289,$A289),_xll.BDH(config!$G$5,F$1,$A289,$A289))))</f>
        <v>29.66</v>
      </c>
      <c r="G289" s="8">
        <f>IF($A289="","",IF(ISNUMBER(FIND("IMPVOL",G$1)),_xll.BDH(config!$G$4,G$1,WORKDAY($A289,-1,config_Holiday_Calendar_US),WORKDAY($A289,-1,config_Holiday_Calendar_US)),IF(ISNUMBER(_xll.BDH(config!$G$4,G$1,$A289,$A289)),_xll.BDH(config!$G$4,G$1,$A289,$A289),_xll.BDH(config!$G$5,G$1,$A289,$A289))))</f>
        <v>29.78</v>
      </c>
      <c r="H289" s="8">
        <f>IF($A289="","",IF(ISNUMBER(FIND("IMPVOL",H$1)),_xll.BDH(config!$G$4,H$1,WORKDAY($A289,-1,config_Holiday_Calendar_US),WORKDAY($A289,-1,config_Holiday_Calendar_US)),IF(ISNUMBER(_xll.BDH(config!$G$4,H$1,$A289,$A289)),_xll.BDH(config!$G$4,H$1,$A289,$A289),_xll.BDH(config!$G$5,H$1,$A289,$A289))))</f>
        <v>426183</v>
      </c>
      <c r="I289" s="8" t="str">
        <f>IF($A289="","",IF(ISNUMBER(FIND("IMPVOL",I$1)),_xll.BDH(config!$G$4,I$1,WORKDAY($A289,-1,config_Holiday_Calendar_US),WORKDAY($A289,-1,config_Holiday_Calendar_US)),IF(ISNUMBER(_xll.BDH(config!$G$4,I$1,$A289,$A289)),_xll.BDH(config!$G$4,I$1,$A289,$A289),_xll.BDH(config!$G$5,I$1,$A289,$A289))))</f>
        <v>#N/A Requesting Data...</v>
      </c>
      <c r="J289" s="8" t="str">
        <f>IF($A289="","",IF(ISNUMBER(FIND("IMPVOL",J$1)),_xll.BDH(config!$G$4,J$1,WORKDAY($A289,-1,config_Holiday_Calendar_US),WORKDAY($A289,-1,config_Holiday_Calendar_US)),IF(ISNUMBER(_xll.BDH(config!$G$4,J$1,$A289,$A289)),_xll.BDH(config!$G$4,J$1,$A289,$A289),_xll.BDH(config!$G$5,J$1,$A289,$A289))))</f>
        <v>#N/A Requesting Data...</v>
      </c>
      <c r="K289" s="8" t="str">
        <f>IF($A289="","",IF(ISNUMBER(FIND("IMPVOL",K$1)),_xll.BDH(config!$G$4,K$1,WORKDAY($A289,-1,config_Holiday_Calendar_US),WORKDAY($A289,-1,config_Holiday_Calendar_US)),IF(ISNUMBER(_xll.BDH(config!$G$4,K$1,$A289,$A289)),_xll.BDH(config!$G$4,K$1,$A289,$A289),_xll.BDH(config!$G$5,K$1,$A289,$A289))))</f>
        <v>#N/A Requesting Data...</v>
      </c>
      <c r="L289" s="8" t="str">
        <f>IF($A289="","",IF(ISNUMBER(FIND("IMPVOL",L$1)),_xll.BDH(config!$G$4,L$1,WORKDAY($A289,-1,config_Holiday_Calendar_US),WORKDAY($A289,-1,config_Holiday_Calendar_US)),IF(ISNUMBER(_xll.BDH(config!$G$4,L$1,$A289,$A289)),_xll.BDH(config!$G$4,L$1,$A289,$A289),_xll.BDH(config!$G$5,L$1,$A289,$A289))))</f>
        <v>#N/A Requesting Data...</v>
      </c>
      <c r="M289" s="8" t="str">
        <f>IF($A289="","",IF(ISNUMBER(FIND("IMPVOL",M$1)),_xll.BDH(config!$G$4,M$1,WORKDAY($A289,-1,config_Holiday_Calendar_US),WORKDAY($A289,-1,config_Holiday_Calendar_US)),IF(ISNUMBER(_xll.BDH(config!$G$4,M$1,$A289,$A289)),_xll.BDH(config!$G$4,M$1,$A289,$A289),_xll.BDH(config!$G$5,M$1,$A289,$A289))))</f>
        <v>#N/A Requesting Data...</v>
      </c>
      <c r="N289" s="8" t="str">
        <f>IF($A289="","",IF(ISNUMBER(FIND("IMPVOL",N$1)),_xll.BDH(config!$G$4,N$1,WORKDAY($A289,-1,config_Holiday_Calendar_US),WORKDAY($A289,-1,config_Holiday_Calendar_US)),IF(ISNUMBER(_xll.BDH(config!$G$4,N$1,$A289,$A289)),_xll.BDH(config!$G$4,N$1,$A289,$A289),_xll.BDH(config!$G$5,N$1,$A289,$A289))))</f>
        <v>#N/A Requesting Data...</v>
      </c>
      <c r="O289" s="8" t="str">
        <f>IF($A289="","",IF(ISNUMBER(FIND("IMPVOL",O$1)),_xll.BDH(config!$G$4,O$1,WORKDAY($A289,-1,config_Holiday_Calendar_US),WORKDAY($A289,-1,config_Holiday_Calendar_US)),IF(ISNUMBER(_xll.BDH(config!$G$4,O$1,$A289,$A289)),_xll.BDH(config!$G$4,O$1,$A289,$A289),_xll.BDH(config!$G$5,O$1,$A289,$A289))))</f>
        <v>#N/A Requesting Data...</v>
      </c>
      <c r="P289" s="8" t="str">
        <f>IF($A289="","",IF(ISNUMBER(FIND("IMPVOL",P$1)),_xll.BDH(config!$G$4,P$1,WORKDAY($A289,-1,config_Holiday_Calendar_US),WORKDAY($A289,-1,config_Holiday_Calendar_US)),IF(ISNUMBER(_xll.BDH(config!$G$4,P$1,$A289,$A289)),_xll.BDH(config!$G$4,P$1,$A289,$A289),_xll.BDH(config!$G$5,P$1,$A289,$A289))))</f>
        <v>#N/A Requesting Data...</v>
      </c>
      <c r="Q289" s="8">
        <f>IF($A289="","",IF(ISNUMBER(FIND("IMPVOL",Q$1)),_xll.BDH(config!$G$4,Q$1,WORKDAY($A289,-1,config_Holiday_Calendar_US),WORKDAY($A289,-1,config_Holiday_Calendar_US)),IF(ISNUMBER(_xll.BDH(config!$G$4,Q$1,$A289,$A289)),_xll.BDH(config!$G$4,Q$1,$A289,$A289),_xll.BDH(config!$G$5,Q$1,$A289,$A289))))</f>
        <v>88.49</v>
      </c>
      <c r="R289" s="8">
        <f>IF($A289="","",IF(ISNUMBER(FIND("IMPVOL",R$1)),_xll.BDH(config!$G$4,R$1,WORKDAY($A289,-1,config_Holiday_Calendar_US),WORKDAY($A289,-1,config_Holiday_Calendar_US)),IF(ISNUMBER(_xll.BDH(config!$G$4,R$1,$A289,$A289)),_xll.BDH(config!$G$4,R$1,$A289,$A289),_xll.BDH(config!$G$5,R$1,$A289,$A289))))</f>
        <v>74.5</v>
      </c>
      <c r="S289" s="8" t="str">
        <f>IF($A289="","",IF(ISNUMBER(FIND("IMPVOL",S$1)),_xll.BDH(config!$G$4,S$1,WORKDAY($A289,-1,config_Holiday_Calendar_US),WORKDAY($A289,-1,config_Holiday_Calendar_US)),IF(ISNUMBER(_xll.BDH(config!$G$4,S$1,$A289,$A289)),_xll.BDH(config!$G$4,S$1,$A289,$A289),_xll.BDH(config!$G$5,S$1,$A289,$A289))))</f>
        <v>#N/A Requesting Data...</v>
      </c>
      <c r="T289" s="8" t="str">
        <f>IF($A289="","",IF(ISNUMBER(FIND("IMPVOL",T$1)),_xll.BDH(config!$G$4,T$1,WORKDAY($A289,-1,config_Holiday_Calendar_US),WORKDAY($A289,-1,config_Holiday_Calendar_US)),IF(ISNUMBER(_xll.BDH(config!$G$4,T$1,$A289,$A289)),_xll.BDH(config!$G$4,T$1,$A289,$A289),_xll.BDH(config!$G$5,T$1,$A289,$A289))))</f>
        <v>#N/A Requesting Data...</v>
      </c>
      <c r="U289" s="8" t="str">
        <f>IF($A289="","",IF(ISNUMBER(FIND("IMPVOL",U$1)),_xll.BDH(config!$G$4,U$1,WORKDAY($A289,-1,config_Holiday_Calendar_US),WORKDAY($A289,-1,config_Holiday_Calendar_US)),IF(ISNUMBER(_xll.BDH(config!$G$4,U$1,$A289,$A289)),_xll.BDH(config!$G$4,U$1,$A289,$A289),_xll.BDH(config!$G$5,U$1,$A289,$A289))))</f>
        <v>#N/A Requesting Data...</v>
      </c>
      <c r="V289" s="8" t="str">
        <f>IF($A289="","",IF(ISNUMBER(FIND("IMPVOL",V$1)),_xll.BDH(config!$G$4,V$1,WORKDAY($A289,-1,config_Holiday_Calendar_US),WORKDAY($A289,-1,config_Holiday_Calendar_US)),IF(ISNUMBER(_xll.BDH(config!$G$4,V$1,$A289,$A289)),_xll.BDH(config!$G$4,V$1,$A289,$A289),_xll.BDH(config!$G$5,V$1,$A289,$A289))))</f>
        <v>#N/A Requesting Data...</v>
      </c>
      <c r="W289" s="8" t="str">
        <f>IF($A289="","",IF(ISNUMBER(FIND("IMPVOL",W$1)),_xll.BDH(config!$G$4,W$1,WORKDAY($A289,-1,config_Holiday_Calendar_US),WORKDAY($A289,-1,config_Holiday_Calendar_US)),IF(ISNUMBER(_xll.BDH(config!$G$4,W$1,$A289,$A289)),_xll.BDH(config!$G$4,W$1,$A289,$A289),_xll.BDH(config!$G$5,W$1,$A289,$A289))))</f>
        <v>#N/A Requesting Data...</v>
      </c>
    </row>
    <row r="290" spans="1:23" x14ac:dyDescent="0.2">
      <c r="A290" s="9">
        <f>IF(A289="","",IF(WORKDAY(A289,-1,config_Holiday_Calendar_US)&lt;config!$I$10,"",WORKDAY(A289,-1,config_Holiday_Calendar_US)))</f>
        <v>42411</v>
      </c>
      <c r="B290" s="8" t="e">
        <f t="shared" si="4"/>
        <v>#VALUE!</v>
      </c>
      <c r="C290" s="8" t="str">
        <f>IF(A290="","",_xll.BDH(config!$H$4,C$1,$A290,$A290))</f>
        <v>#N/A Requesting Data...</v>
      </c>
      <c r="D290" s="8" t="str">
        <f>IF($A290="","",_xll.BDH(config!$H$4,D$1,$A290,$A290))</f>
        <v>#N/A Requesting Data...</v>
      </c>
      <c r="E290" s="8">
        <f>IF($A290="","",IF(ISNUMBER(FIND("IMPVOL",E$1)),_xll.BDH(config!$G$4,E$1,WORKDAY($A290,-1,config_Holiday_Calendar_US),WORKDAY($A290,-1,config_Holiday_Calendar_US)),IF(ISNUMBER(_xll.BDH(config!$G$4,E$1,$A290,$A290)),_xll.BDH(config!$G$4,E$1,$A290,$A290),_xll.BDH(config!$G$5,E$1,$A290,$A290))))</f>
        <v>27.34</v>
      </c>
      <c r="F290" s="8">
        <f>IF($A290="","",IF(ISNUMBER(FIND("IMPVOL",F$1)),_xll.BDH(config!$G$4,F$1,WORKDAY($A290,-1,config_Holiday_Calendar_US),WORKDAY($A290,-1,config_Holiday_Calendar_US)),IF(ISNUMBER(_xll.BDH(config!$G$4,F$1,$A290,$A290)),_xll.BDH(config!$G$4,F$1,$A290,$A290),_xll.BDH(config!$G$5,F$1,$A290,$A290))))</f>
        <v>27.48</v>
      </c>
      <c r="G290" s="8">
        <f>IF($A290="","",IF(ISNUMBER(FIND("IMPVOL",G$1)),_xll.BDH(config!$G$4,G$1,WORKDAY($A290,-1,config_Holiday_Calendar_US),WORKDAY($A290,-1,config_Holiday_Calendar_US)),IF(ISNUMBER(_xll.BDH(config!$G$4,G$1,$A290,$A290)),_xll.BDH(config!$G$4,G$1,$A290,$A290),_xll.BDH(config!$G$5,G$1,$A290,$A290))))</f>
        <v>28.74</v>
      </c>
      <c r="H290" s="8">
        <f>IF($A290="","",IF(ISNUMBER(FIND("IMPVOL",H$1)),_xll.BDH(config!$G$4,H$1,WORKDAY($A290,-1,config_Holiday_Calendar_US),WORKDAY($A290,-1,config_Holiday_Calendar_US)),IF(ISNUMBER(_xll.BDH(config!$G$4,H$1,$A290,$A290)),_xll.BDH(config!$G$4,H$1,$A290,$A290),_xll.BDH(config!$G$5,H$1,$A290,$A290))))</f>
        <v>437444</v>
      </c>
      <c r="I290" s="8" t="str">
        <f>IF($A290="","",IF(ISNUMBER(FIND("IMPVOL",I$1)),_xll.BDH(config!$G$4,I$1,WORKDAY($A290,-1,config_Holiday_Calendar_US),WORKDAY($A290,-1,config_Holiday_Calendar_US)),IF(ISNUMBER(_xll.BDH(config!$G$4,I$1,$A290,$A290)),_xll.BDH(config!$G$4,I$1,$A290,$A290),_xll.BDH(config!$G$5,I$1,$A290,$A290))))</f>
        <v>#N/A Requesting Data...</v>
      </c>
      <c r="J290" s="8" t="str">
        <f>IF($A290="","",IF(ISNUMBER(FIND("IMPVOL",J$1)),_xll.BDH(config!$G$4,J$1,WORKDAY($A290,-1,config_Holiday_Calendar_US),WORKDAY($A290,-1,config_Holiday_Calendar_US)),IF(ISNUMBER(_xll.BDH(config!$G$4,J$1,$A290,$A290)),_xll.BDH(config!$G$4,J$1,$A290,$A290),_xll.BDH(config!$G$5,J$1,$A290,$A290))))</f>
        <v>#N/A Requesting Data...</v>
      </c>
      <c r="K290" s="8" t="str">
        <f>IF($A290="","",IF(ISNUMBER(FIND("IMPVOL",K$1)),_xll.BDH(config!$G$4,K$1,WORKDAY($A290,-1,config_Holiday_Calendar_US),WORKDAY($A290,-1,config_Holiday_Calendar_US)),IF(ISNUMBER(_xll.BDH(config!$G$4,K$1,$A290,$A290)),_xll.BDH(config!$G$4,K$1,$A290,$A290),_xll.BDH(config!$G$5,K$1,$A290,$A290))))</f>
        <v>#N/A Requesting Data...</v>
      </c>
      <c r="L290" s="8" t="str">
        <f>IF($A290="","",IF(ISNUMBER(FIND("IMPVOL",L$1)),_xll.BDH(config!$G$4,L$1,WORKDAY($A290,-1,config_Holiday_Calendar_US),WORKDAY($A290,-1,config_Holiday_Calendar_US)),IF(ISNUMBER(_xll.BDH(config!$G$4,L$1,$A290,$A290)),_xll.BDH(config!$G$4,L$1,$A290,$A290),_xll.BDH(config!$G$5,L$1,$A290,$A290))))</f>
        <v>#N/A Requesting Data...</v>
      </c>
      <c r="M290" s="8" t="str">
        <f>IF($A290="","",IF(ISNUMBER(FIND("IMPVOL",M$1)),_xll.BDH(config!$G$4,M$1,WORKDAY($A290,-1,config_Holiday_Calendar_US),WORKDAY($A290,-1,config_Holiday_Calendar_US)),IF(ISNUMBER(_xll.BDH(config!$G$4,M$1,$A290,$A290)),_xll.BDH(config!$G$4,M$1,$A290,$A290),_xll.BDH(config!$G$5,M$1,$A290,$A290))))</f>
        <v>#N/A Requesting Data...</v>
      </c>
      <c r="N290" s="8" t="str">
        <f>IF($A290="","",IF(ISNUMBER(FIND("IMPVOL",N$1)),_xll.BDH(config!$G$4,N$1,WORKDAY($A290,-1,config_Holiday_Calendar_US),WORKDAY($A290,-1,config_Holiday_Calendar_US)),IF(ISNUMBER(_xll.BDH(config!$G$4,N$1,$A290,$A290)),_xll.BDH(config!$G$4,N$1,$A290,$A290),_xll.BDH(config!$G$5,N$1,$A290,$A290))))</f>
        <v>#N/A Requesting Data...</v>
      </c>
      <c r="O290" s="8" t="str">
        <f>IF($A290="","",IF(ISNUMBER(FIND("IMPVOL",O$1)),_xll.BDH(config!$G$4,O$1,WORKDAY($A290,-1,config_Holiday_Calendar_US),WORKDAY($A290,-1,config_Holiday_Calendar_US)),IF(ISNUMBER(_xll.BDH(config!$G$4,O$1,$A290,$A290)),_xll.BDH(config!$G$4,O$1,$A290,$A290),_xll.BDH(config!$G$5,O$1,$A290,$A290))))</f>
        <v>#N/A Requesting Data...</v>
      </c>
      <c r="P290" s="8" t="str">
        <f>IF($A290="","",IF(ISNUMBER(FIND("IMPVOL",P$1)),_xll.BDH(config!$G$4,P$1,WORKDAY($A290,-1,config_Holiday_Calendar_US),WORKDAY($A290,-1,config_Holiday_Calendar_US)),IF(ISNUMBER(_xll.BDH(config!$G$4,P$1,$A290,$A290)),_xll.BDH(config!$G$4,P$1,$A290,$A290),_xll.BDH(config!$G$5,P$1,$A290,$A290))))</f>
        <v>#N/A Requesting Data...</v>
      </c>
      <c r="Q290" s="8">
        <f>IF($A290="","",IF(ISNUMBER(FIND("IMPVOL",Q$1)),_xll.BDH(config!$G$4,Q$1,WORKDAY($A290,-1,config_Holiday_Calendar_US),WORKDAY($A290,-1,config_Holiday_Calendar_US)),IF(ISNUMBER(_xll.BDH(config!$G$4,Q$1,$A290,$A290)),_xll.BDH(config!$G$4,Q$1,$A290,$A290),_xll.BDH(config!$G$5,Q$1,$A290,$A290))))</f>
        <v>64.02</v>
      </c>
      <c r="R290" s="8">
        <f>IF($A290="","",IF(ISNUMBER(FIND("IMPVOL",R$1)),_xll.BDH(config!$G$4,R$1,WORKDAY($A290,-1,config_Holiday_Calendar_US),WORKDAY($A290,-1,config_Holiday_Calendar_US)),IF(ISNUMBER(_xll.BDH(config!$G$4,R$1,$A290,$A290)),_xll.BDH(config!$G$4,R$1,$A290,$A290),_xll.BDH(config!$G$5,R$1,$A290,$A290))))</f>
        <v>66.98</v>
      </c>
      <c r="S290" s="8" t="str">
        <f>IF($A290="","",IF(ISNUMBER(FIND("IMPVOL",S$1)),_xll.BDH(config!$G$4,S$1,WORKDAY($A290,-1,config_Holiday_Calendar_US),WORKDAY($A290,-1,config_Holiday_Calendar_US)),IF(ISNUMBER(_xll.BDH(config!$G$4,S$1,$A290,$A290)),_xll.BDH(config!$G$4,S$1,$A290,$A290),_xll.BDH(config!$G$5,S$1,$A290,$A290))))</f>
        <v>#N/A Requesting Data...</v>
      </c>
      <c r="T290" s="8" t="str">
        <f>IF($A290="","",IF(ISNUMBER(FIND("IMPVOL",T$1)),_xll.BDH(config!$G$4,T$1,WORKDAY($A290,-1,config_Holiday_Calendar_US),WORKDAY($A290,-1,config_Holiday_Calendar_US)),IF(ISNUMBER(_xll.BDH(config!$G$4,T$1,$A290,$A290)),_xll.BDH(config!$G$4,T$1,$A290,$A290),_xll.BDH(config!$G$5,T$1,$A290,$A290))))</f>
        <v>#N/A Requesting Data...</v>
      </c>
      <c r="U290" s="8" t="str">
        <f>IF($A290="","",IF(ISNUMBER(FIND("IMPVOL",U$1)),_xll.BDH(config!$G$4,U$1,WORKDAY($A290,-1,config_Holiday_Calendar_US),WORKDAY($A290,-1,config_Holiday_Calendar_US)),IF(ISNUMBER(_xll.BDH(config!$G$4,U$1,$A290,$A290)),_xll.BDH(config!$G$4,U$1,$A290,$A290),_xll.BDH(config!$G$5,U$1,$A290,$A290))))</f>
        <v>#N/A Requesting Data...</v>
      </c>
      <c r="V290" s="8" t="str">
        <f>IF($A290="","",IF(ISNUMBER(FIND("IMPVOL",V$1)),_xll.BDH(config!$G$4,V$1,WORKDAY($A290,-1,config_Holiday_Calendar_US),WORKDAY($A290,-1,config_Holiday_Calendar_US)),IF(ISNUMBER(_xll.BDH(config!$G$4,V$1,$A290,$A290)),_xll.BDH(config!$G$4,V$1,$A290,$A290),_xll.BDH(config!$G$5,V$1,$A290,$A290))))</f>
        <v>#N/A Requesting Data...</v>
      </c>
      <c r="W290" s="8" t="str">
        <f>IF($A290="","",IF(ISNUMBER(FIND("IMPVOL",W$1)),_xll.BDH(config!$G$4,W$1,WORKDAY($A290,-1,config_Holiday_Calendar_US),WORKDAY($A290,-1,config_Holiday_Calendar_US)),IF(ISNUMBER(_xll.BDH(config!$G$4,W$1,$A290,$A290)),_xll.BDH(config!$G$4,W$1,$A290,$A290),_xll.BDH(config!$G$5,W$1,$A290,$A290))))</f>
        <v>#N/A Requesting Data...</v>
      </c>
    </row>
    <row r="291" spans="1:23" x14ac:dyDescent="0.2">
      <c r="A291" s="9">
        <f>IF(A290="","",IF(WORKDAY(A290,-1,config_Holiday_Calendar_US)&lt;config!$I$10,"",WORKDAY(A290,-1,config_Holiday_Calendar_US)))</f>
        <v>42410</v>
      </c>
      <c r="B291" s="8" t="e">
        <f t="shared" si="4"/>
        <v>#VALUE!</v>
      </c>
      <c r="C291" s="8" t="str">
        <f>IF(A291="","",_xll.BDH(config!$H$4,C$1,$A291,$A291))</f>
        <v>#N/A Requesting Data...</v>
      </c>
      <c r="D291" s="8" t="str">
        <f>IF($A291="","",_xll.BDH(config!$H$4,D$1,$A291,$A291))</f>
        <v>#N/A Requesting Data...</v>
      </c>
      <c r="E291" s="8">
        <f>IF($A291="","",IF(ISNUMBER(FIND("IMPVOL",E$1)),_xll.BDH(config!$G$4,E$1,WORKDAY($A291,-1,config_Holiday_Calendar_US),WORKDAY($A291,-1,config_Holiday_Calendar_US)),IF(ISNUMBER(_xll.BDH(config!$G$4,E$1,$A291,$A291)),_xll.BDH(config!$G$4,E$1,$A291,$A291),_xll.BDH(config!$G$5,E$1,$A291,$A291))))</f>
        <v>28.36</v>
      </c>
      <c r="F291" s="8">
        <f>IF($A291="","",IF(ISNUMBER(FIND("IMPVOL",F$1)),_xll.BDH(config!$G$4,F$1,WORKDAY($A291,-1,config_Holiday_Calendar_US),WORKDAY($A291,-1,config_Holiday_Calendar_US)),IF(ISNUMBER(_xll.BDH(config!$G$4,F$1,$A291,$A291)),_xll.BDH(config!$G$4,F$1,$A291,$A291),_xll.BDH(config!$G$5,F$1,$A291,$A291))))</f>
        <v>29.22</v>
      </c>
      <c r="G291" s="8">
        <f>IF($A291="","",IF(ISNUMBER(FIND("IMPVOL",G$1)),_xll.BDH(config!$G$4,G$1,WORKDAY($A291,-1,config_Holiday_Calendar_US),WORKDAY($A291,-1,config_Holiday_Calendar_US)),IF(ISNUMBER(_xll.BDH(config!$G$4,G$1,$A291,$A291)),_xll.BDH(config!$G$4,G$1,$A291,$A291),_xll.BDH(config!$G$5,G$1,$A291,$A291))))</f>
        <v>29.43</v>
      </c>
      <c r="H291" s="8">
        <f>IF($A291="","",IF(ISNUMBER(FIND("IMPVOL",H$1)),_xll.BDH(config!$G$4,H$1,WORKDAY($A291,-1,config_Holiday_Calendar_US),WORKDAY($A291,-1,config_Holiday_Calendar_US)),IF(ISNUMBER(_xll.BDH(config!$G$4,H$1,$A291,$A291)),_xll.BDH(config!$G$4,H$1,$A291,$A291),_xll.BDH(config!$G$5,H$1,$A291,$A291))))</f>
        <v>442451</v>
      </c>
      <c r="I291" s="8" t="str">
        <f>IF($A291="","",IF(ISNUMBER(FIND("IMPVOL",I$1)),_xll.BDH(config!$G$4,I$1,WORKDAY($A291,-1,config_Holiday_Calendar_US),WORKDAY($A291,-1,config_Holiday_Calendar_US)),IF(ISNUMBER(_xll.BDH(config!$G$4,I$1,$A291,$A291)),_xll.BDH(config!$G$4,I$1,$A291,$A291),_xll.BDH(config!$G$5,I$1,$A291,$A291))))</f>
        <v>#N/A Requesting Data...</v>
      </c>
      <c r="J291" s="8" t="str">
        <f>IF($A291="","",IF(ISNUMBER(FIND("IMPVOL",J$1)),_xll.BDH(config!$G$4,J$1,WORKDAY($A291,-1,config_Holiday_Calendar_US),WORKDAY($A291,-1,config_Holiday_Calendar_US)),IF(ISNUMBER(_xll.BDH(config!$G$4,J$1,$A291,$A291)),_xll.BDH(config!$G$4,J$1,$A291,$A291),_xll.BDH(config!$G$5,J$1,$A291,$A291))))</f>
        <v>#N/A Requesting Data...</v>
      </c>
      <c r="K291" s="8" t="str">
        <f>IF($A291="","",IF(ISNUMBER(FIND("IMPVOL",K$1)),_xll.BDH(config!$G$4,K$1,WORKDAY($A291,-1,config_Holiday_Calendar_US),WORKDAY($A291,-1,config_Holiday_Calendar_US)),IF(ISNUMBER(_xll.BDH(config!$G$4,K$1,$A291,$A291)),_xll.BDH(config!$G$4,K$1,$A291,$A291),_xll.BDH(config!$G$5,K$1,$A291,$A291))))</f>
        <v>#N/A Requesting Data...</v>
      </c>
      <c r="L291" s="8" t="str">
        <f>IF($A291="","",IF(ISNUMBER(FIND("IMPVOL",L$1)),_xll.BDH(config!$G$4,L$1,WORKDAY($A291,-1,config_Holiday_Calendar_US),WORKDAY($A291,-1,config_Holiday_Calendar_US)),IF(ISNUMBER(_xll.BDH(config!$G$4,L$1,$A291,$A291)),_xll.BDH(config!$G$4,L$1,$A291,$A291),_xll.BDH(config!$G$5,L$1,$A291,$A291))))</f>
        <v>#N/A Requesting Data...</v>
      </c>
      <c r="M291" s="8" t="str">
        <f>IF($A291="","",IF(ISNUMBER(FIND("IMPVOL",M$1)),_xll.BDH(config!$G$4,M$1,WORKDAY($A291,-1,config_Holiday_Calendar_US),WORKDAY($A291,-1,config_Holiday_Calendar_US)),IF(ISNUMBER(_xll.BDH(config!$G$4,M$1,$A291,$A291)),_xll.BDH(config!$G$4,M$1,$A291,$A291),_xll.BDH(config!$G$5,M$1,$A291,$A291))))</f>
        <v>#N/A Requesting Data...</v>
      </c>
      <c r="N291" s="8" t="str">
        <f>IF($A291="","",IF(ISNUMBER(FIND("IMPVOL",N$1)),_xll.BDH(config!$G$4,N$1,WORKDAY($A291,-1,config_Holiday_Calendar_US),WORKDAY($A291,-1,config_Holiday_Calendar_US)),IF(ISNUMBER(_xll.BDH(config!$G$4,N$1,$A291,$A291)),_xll.BDH(config!$G$4,N$1,$A291,$A291),_xll.BDH(config!$G$5,N$1,$A291,$A291))))</f>
        <v>#N/A Requesting Data...</v>
      </c>
      <c r="O291" s="8" t="str">
        <f>IF($A291="","",IF(ISNUMBER(FIND("IMPVOL",O$1)),_xll.BDH(config!$G$4,O$1,WORKDAY($A291,-1,config_Holiday_Calendar_US),WORKDAY($A291,-1,config_Holiday_Calendar_US)),IF(ISNUMBER(_xll.BDH(config!$G$4,O$1,$A291,$A291)),_xll.BDH(config!$G$4,O$1,$A291,$A291),_xll.BDH(config!$G$5,O$1,$A291,$A291))))</f>
        <v>#N/A Requesting Data...</v>
      </c>
      <c r="P291" s="8" t="str">
        <f>IF($A291="","",IF(ISNUMBER(FIND("IMPVOL",P$1)),_xll.BDH(config!$G$4,P$1,WORKDAY($A291,-1,config_Holiday_Calendar_US),WORKDAY($A291,-1,config_Holiday_Calendar_US)),IF(ISNUMBER(_xll.BDH(config!$G$4,P$1,$A291,$A291)),_xll.BDH(config!$G$4,P$1,$A291,$A291),_xll.BDH(config!$G$5,P$1,$A291,$A291))))</f>
        <v>#N/A Requesting Data...</v>
      </c>
      <c r="Q291" s="8">
        <f>IF($A291="","",IF(ISNUMBER(FIND("IMPVOL",Q$1)),_xll.BDH(config!$G$4,Q$1,WORKDAY($A291,-1,config_Holiday_Calendar_US),WORKDAY($A291,-1,config_Holiday_Calendar_US)),IF(ISNUMBER(_xll.BDH(config!$G$4,Q$1,$A291,$A291)),_xll.BDH(config!$G$4,Q$1,$A291,$A291),_xll.BDH(config!$G$5,Q$1,$A291,$A291))))</f>
        <v>67.099999999999994</v>
      </c>
      <c r="R291" s="8">
        <f>IF($A291="","",IF(ISNUMBER(FIND("IMPVOL",R$1)),_xll.BDH(config!$G$4,R$1,WORKDAY($A291,-1,config_Holiday_Calendar_US),WORKDAY($A291,-1,config_Holiday_Calendar_US)),IF(ISNUMBER(_xll.BDH(config!$G$4,R$1,$A291,$A291)),_xll.BDH(config!$G$4,R$1,$A291,$A291),_xll.BDH(config!$G$5,R$1,$A291,$A291))))</f>
        <v>67.08</v>
      </c>
      <c r="S291" s="8" t="str">
        <f>IF($A291="","",IF(ISNUMBER(FIND("IMPVOL",S$1)),_xll.BDH(config!$G$4,S$1,WORKDAY($A291,-1,config_Holiday_Calendar_US),WORKDAY($A291,-1,config_Holiday_Calendar_US)),IF(ISNUMBER(_xll.BDH(config!$G$4,S$1,$A291,$A291)),_xll.BDH(config!$G$4,S$1,$A291,$A291),_xll.BDH(config!$G$5,S$1,$A291,$A291))))</f>
        <v>#N/A Requesting Data...</v>
      </c>
      <c r="T291" s="8" t="str">
        <f>IF($A291="","",IF(ISNUMBER(FIND("IMPVOL",T$1)),_xll.BDH(config!$G$4,T$1,WORKDAY($A291,-1,config_Holiday_Calendar_US),WORKDAY($A291,-1,config_Holiday_Calendar_US)),IF(ISNUMBER(_xll.BDH(config!$G$4,T$1,$A291,$A291)),_xll.BDH(config!$G$4,T$1,$A291,$A291),_xll.BDH(config!$G$5,T$1,$A291,$A291))))</f>
        <v>#N/A Requesting Data...</v>
      </c>
      <c r="U291" s="8" t="str">
        <f>IF($A291="","",IF(ISNUMBER(FIND("IMPVOL",U$1)),_xll.BDH(config!$G$4,U$1,WORKDAY($A291,-1,config_Holiday_Calendar_US),WORKDAY($A291,-1,config_Holiday_Calendar_US)),IF(ISNUMBER(_xll.BDH(config!$G$4,U$1,$A291,$A291)),_xll.BDH(config!$G$4,U$1,$A291,$A291),_xll.BDH(config!$G$5,U$1,$A291,$A291))))</f>
        <v>#N/A Requesting Data...</v>
      </c>
      <c r="V291" s="8" t="str">
        <f>IF($A291="","",IF(ISNUMBER(FIND("IMPVOL",V$1)),_xll.BDH(config!$G$4,V$1,WORKDAY($A291,-1,config_Holiday_Calendar_US),WORKDAY($A291,-1,config_Holiday_Calendar_US)),IF(ISNUMBER(_xll.BDH(config!$G$4,V$1,$A291,$A291)),_xll.BDH(config!$G$4,V$1,$A291,$A291),_xll.BDH(config!$G$5,V$1,$A291,$A291))))</f>
        <v>#N/A Requesting Data...</v>
      </c>
      <c r="W291" s="8" t="str">
        <f>IF($A291="","",IF(ISNUMBER(FIND("IMPVOL",W$1)),_xll.BDH(config!$G$4,W$1,WORKDAY($A291,-1,config_Holiday_Calendar_US),WORKDAY($A291,-1,config_Holiday_Calendar_US)),IF(ISNUMBER(_xll.BDH(config!$G$4,W$1,$A291,$A291)),_xll.BDH(config!$G$4,W$1,$A291,$A291),_xll.BDH(config!$G$5,W$1,$A291,$A291))))</f>
        <v>#N/A Requesting Data...</v>
      </c>
    </row>
    <row r="292" spans="1:23" x14ac:dyDescent="0.2">
      <c r="A292" s="9">
        <f>IF(A291="","",IF(WORKDAY(A291,-1,config_Holiday_Calendar_US)&lt;config!$I$10,"",WORKDAY(A291,-1,config_Holiday_Calendar_US)))</f>
        <v>42409</v>
      </c>
      <c r="B292" s="8" t="e">
        <f t="shared" si="4"/>
        <v>#VALUE!</v>
      </c>
      <c r="C292" s="8" t="str">
        <f>IF(A292="","",_xll.BDH(config!$H$4,C$1,$A292,$A292))</f>
        <v>#N/A Requesting Data...</v>
      </c>
      <c r="D292" s="8" t="str">
        <f>IF($A292="","",_xll.BDH(config!$H$4,D$1,$A292,$A292))</f>
        <v>#N/A Requesting Data...</v>
      </c>
      <c r="E292" s="8">
        <f>IF($A292="","",IF(ISNUMBER(FIND("IMPVOL",E$1)),_xll.BDH(config!$G$4,E$1,WORKDAY($A292,-1,config_Holiday_Calendar_US),WORKDAY($A292,-1,config_Holiday_Calendar_US)),IF(ISNUMBER(_xll.BDH(config!$G$4,E$1,$A292,$A292)),_xll.BDH(config!$G$4,E$1,$A292,$A292),_xll.BDH(config!$G$5,E$1,$A292,$A292))))</f>
        <v>30.17</v>
      </c>
      <c r="F292" s="8">
        <f>IF($A292="","",IF(ISNUMBER(FIND("IMPVOL",F$1)),_xll.BDH(config!$G$4,F$1,WORKDAY($A292,-1,config_Holiday_Calendar_US),WORKDAY($A292,-1,config_Holiday_Calendar_US)),IF(ISNUMBER(_xll.BDH(config!$G$4,F$1,$A292,$A292)),_xll.BDH(config!$G$4,F$1,$A292,$A292),_xll.BDH(config!$G$5,F$1,$A292,$A292))))</f>
        <v>30.61</v>
      </c>
      <c r="G292" s="8">
        <f>IF($A292="","",IF(ISNUMBER(FIND("IMPVOL",G$1)),_xll.BDH(config!$G$4,G$1,WORKDAY($A292,-1,config_Holiday_Calendar_US),WORKDAY($A292,-1,config_Holiday_Calendar_US)),IF(ISNUMBER(_xll.BDH(config!$G$4,G$1,$A292,$A292)),_xll.BDH(config!$G$4,G$1,$A292,$A292),_xll.BDH(config!$G$5,G$1,$A292,$A292))))</f>
        <v>29.57</v>
      </c>
      <c r="H292" s="8">
        <f>IF($A292="","",IF(ISNUMBER(FIND("IMPVOL",H$1)),_xll.BDH(config!$G$4,H$1,WORKDAY($A292,-1,config_Holiday_Calendar_US),WORKDAY($A292,-1,config_Holiday_Calendar_US)),IF(ISNUMBER(_xll.BDH(config!$G$4,H$1,$A292,$A292)),_xll.BDH(config!$G$4,H$1,$A292,$A292),_xll.BDH(config!$G$5,H$1,$A292,$A292))))</f>
        <v>364500</v>
      </c>
      <c r="I292" s="8" t="str">
        <f>IF($A292="","",IF(ISNUMBER(FIND("IMPVOL",I$1)),_xll.BDH(config!$G$4,I$1,WORKDAY($A292,-1,config_Holiday_Calendar_US),WORKDAY($A292,-1,config_Holiday_Calendar_US)),IF(ISNUMBER(_xll.BDH(config!$G$4,I$1,$A292,$A292)),_xll.BDH(config!$G$4,I$1,$A292,$A292),_xll.BDH(config!$G$5,I$1,$A292,$A292))))</f>
        <v>#N/A Requesting Data...</v>
      </c>
      <c r="J292" s="8" t="str">
        <f>IF($A292="","",IF(ISNUMBER(FIND("IMPVOL",J$1)),_xll.BDH(config!$G$4,J$1,WORKDAY($A292,-1,config_Holiday_Calendar_US),WORKDAY($A292,-1,config_Holiday_Calendar_US)),IF(ISNUMBER(_xll.BDH(config!$G$4,J$1,$A292,$A292)),_xll.BDH(config!$G$4,J$1,$A292,$A292),_xll.BDH(config!$G$5,J$1,$A292,$A292))))</f>
        <v>#N/A Requesting Data...</v>
      </c>
      <c r="K292" s="8" t="str">
        <f>IF($A292="","",IF(ISNUMBER(FIND("IMPVOL",K$1)),_xll.BDH(config!$G$4,K$1,WORKDAY($A292,-1,config_Holiday_Calendar_US),WORKDAY($A292,-1,config_Holiday_Calendar_US)),IF(ISNUMBER(_xll.BDH(config!$G$4,K$1,$A292,$A292)),_xll.BDH(config!$G$4,K$1,$A292,$A292),_xll.BDH(config!$G$5,K$1,$A292,$A292))))</f>
        <v>#N/A Requesting Data...</v>
      </c>
      <c r="L292" s="8" t="str">
        <f>IF($A292="","",IF(ISNUMBER(FIND("IMPVOL",L$1)),_xll.BDH(config!$G$4,L$1,WORKDAY($A292,-1,config_Holiday_Calendar_US),WORKDAY($A292,-1,config_Holiday_Calendar_US)),IF(ISNUMBER(_xll.BDH(config!$G$4,L$1,$A292,$A292)),_xll.BDH(config!$G$4,L$1,$A292,$A292),_xll.BDH(config!$G$5,L$1,$A292,$A292))))</f>
        <v>#N/A Requesting Data...</v>
      </c>
      <c r="M292" s="8" t="str">
        <f>IF($A292="","",IF(ISNUMBER(FIND("IMPVOL",M$1)),_xll.BDH(config!$G$4,M$1,WORKDAY($A292,-1,config_Holiday_Calendar_US),WORKDAY($A292,-1,config_Holiday_Calendar_US)),IF(ISNUMBER(_xll.BDH(config!$G$4,M$1,$A292,$A292)),_xll.BDH(config!$G$4,M$1,$A292,$A292),_xll.BDH(config!$G$5,M$1,$A292,$A292))))</f>
        <v>#N/A Requesting Data...</v>
      </c>
      <c r="N292" s="8" t="str">
        <f>IF($A292="","",IF(ISNUMBER(FIND("IMPVOL",N$1)),_xll.BDH(config!$G$4,N$1,WORKDAY($A292,-1,config_Holiday_Calendar_US),WORKDAY($A292,-1,config_Holiday_Calendar_US)),IF(ISNUMBER(_xll.BDH(config!$G$4,N$1,$A292,$A292)),_xll.BDH(config!$G$4,N$1,$A292,$A292),_xll.BDH(config!$G$5,N$1,$A292,$A292))))</f>
        <v>#N/A Requesting Data...</v>
      </c>
      <c r="O292" s="8" t="str">
        <f>IF($A292="","",IF(ISNUMBER(FIND("IMPVOL",O$1)),_xll.BDH(config!$G$4,O$1,WORKDAY($A292,-1,config_Holiday_Calendar_US),WORKDAY($A292,-1,config_Holiday_Calendar_US)),IF(ISNUMBER(_xll.BDH(config!$G$4,O$1,$A292,$A292)),_xll.BDH(config!$G$4,O$1,$A292,$A292),_xll.BDH(config!$G$5,O$1,$A292,$A292))))</f>
        <v>#N/A Requesting Data...</v>
      </c>
      <c r="P292" s="8" t="str">
        <f>IF($A292="","",IF(ISNUMBER(FIND("IMPVOL",P$1)),_xll.BDH(config!$G$4,P$1,WORKDAY($A292,-1,config_Holiday_Calendar_US),WORKDAY($A292,-1,config_Holiday_Calendar_US)),IF(ISNUMBER(_xll.BDH(config!$G$4,P$1,$A292,$A292)),_xll.BDH(config!$G$4,P$1,$A292,$A292),_xll.BDH(config!$G$5,P$1,$A292,$A292))))</f>
        <v>#N/A Requesting Data...</v>
      </c>
      <c r="Q292" s="8">
        <f>IF($A292="","",IF(ISNUMBER(FIND("IMPVOL",Q$1)),_xll.BDH(config!$G$4,Q$1,WORKDAY($A292,-1,config_Holiday_Calendar_US),WORKDAY($A292,-1,config_Holiday_Calendar_US)),IF(ISNUMBER(_xll.BDH(config!$G$4,Q$1,$A292,$A292)),_xll.BDH(config!$G$4,Q$1,$A292,$A292),_xll.BDH(config!$G$5,Q$1,$A292,$A292))))</f>
        <v>71.150000000000006</v>
      </c>
      <c r="R292" s="8">
        <f>IF($A292="","",IF(ISNUMBER(FIND("IMPVOL",R$1)),_xll.BDH(config!$G$4,R$1,WORKDAY($A292,-1,config_Holiday_Calendar_US),WORKDAY($A292,-1,config_Holiday_Calendar_US)),IF(ISNUMBER(_xll.BDH(config!$G$4,R$1,$A292,$A292)),_xll.BDH(config!$G$4,R$1,$A292,$A292),_xll.BDH(config!$G$5,R$1,$A292,$A292))))</f>
        <v>67.95</v>
      </c>
      <c r="S292" s="8" t="str">
        <f>IF($A292="","",IF(ISNUMBER(FIND("IMPVOL",S$1)),_xll.BDH(config!$G$4,S$1,WORKDAY($A292,-1,config_Holiday_Calendar_US),WORKDAY($A292,-1,config_Holiday_Calendar_US)),IF(ISNUMBER(_xll.BDH(config!$G$4,S$1,$A292,$A292)),_xll.BDH(config!$G$4,S$1,$A292,$A292),_xll.BDH(config!$G$5,S$1,$A292,$A292))))</f>
        <v>#N/A Requesting Data...</v>
      </c>
      <c r="T292" s="8" t="str">
        <f>IF($A292="","",IF(ISNUMBER(FIND("IMPVOL",T$1)),_xll.BDH(config!$G$4,T$1,WORKDAY($A292,-1,config_Holiday_Calendar_US),WORKDAY($A292,-1,config_Holiday_Calendar_US)),IF(ISNUMBER(_xll.BDH(config!$G$4,T$1,$A292,$A292)),_xll.BDH(config!$G$4,T$1,$A292,$A292),_xll.BDH(config!$G$5,T$1,$A292,$A292))))</f>
        <v>#N/A Requesting Data...</v>
      </c>
      <c r="U292" s="8" t="str">
        <f>IF($A292="","",IF(ISNUMBER(FIND("IMPVOL",U$1)),_xll.BDH(config!$G$4,U$1,WORKDAY($A292,-1,config_Holiday_Calendar_US),WORKDAY($A292,-1,config_Holiday_Calendar_US)),IF(ISNUMBER(_xll.BDH(config!$G$4,U$1,$A292,$A292)),_xll.BDH(config!$G$4,U$1,$A292,$A292),_xll.BDH(config!$G$5,U$1,$A292,$A292))))</f>
        <v>#N/A Requesting Data...</v>
      </c>
      <c r="V292" s="8" t="str">
        <f>IF($A292="","",IF(ISNUMBER(FIND("IMPVOL",V$1)),_xll.BDH(config!$G$4,V$1,WORKDAY($A292,-1,config_Holiday_Calendar_US),WORKDAY($A292,-1,config_Holiday_Calendar_US)),IF(ISNUMBER(_xll.BDH(config!$G$4,V$1,$A292,$A292)),_xll.BDH(config!$G$4,V$1,$A292,$A292),_xll.BDH(config!$G$5,V$1,$A292,$A292))))</f>
        <v>#N/A Requesting Data...</v>
      </c>
      <c r="W292" s="8" t="str">
        <f>IF($A292="","",IF(ISNUMBER(FIND("IMPVOL",W$1)),_xll.BDH(config!$G$4,W$1,WORKDAY($A292,-1,config_Holiday_Calendar_US),WORKDAY($A292,-1,config_Holiday_Calendar_US)),IF(ISNUMBER(_xll.BDH(config!$G$4,W$1,$A292,$A292)),_xll.BDH(config!$G$4,W$1,$A292,$A292),_xll.BDH(config!$G$5,W$1,$A292,$A292))))</f>
        <v>#N/A Requesting Data...</v>
      </c>
    </row>
    <row r="293" spans="1:23" x14ac:dyDescent="0.2">
      <c r="A293" s="9">
        <f>IF(A292="","",IF(WORKDAY(A292,-1,config_Holiday_Calendar_US)&lt;config!$I$10,"",WORKDAY(A292,-1,config_Holiday_Calendar_US)))</f>
        <v>42408</v>
      </c>
      <c r="B293" s="8" t="e">
        <f t="shared" si="4"/>
        <v>#VALUE!</v>
      </c>
      <c r="C293" s="8" t="str">
        <f>IF(A293="","",_xll.BDH(config!$H$4,C$1,$A293,$A293))</f>
        <v>#N/A Requesting Data...</v>
      </c>
      <c r="D293" s="8" t="str">
        <f>IF($A293="","",_xll.BDH(config!$H$4,D$1,$A293,$A293))</f>
        <v>#N/A Requesting Data...</v>
      </c>
      <c r="E293" s="8">
        <f>IF($A293="","",IF(ISNUMBER(FIND("IMPVOL",E$1)),_xll.BDH(config!$G$4,E$1,WORKDAY($A293,-1,config_Holiday_Calendar_US),WORKDAY($A293,-1,config_Holiday_Calendar_US)),IF(ISNUMBER(_xll.BDH(config!$G$4,E$1,$A293,$A293)),_xll.BDH(config!$G$4,E$1,$A293,$A293),_xll.BDH(config!$G$5,E$1,$A293,$A293))))</f>
        <v>30.97</v>
      </c>
      <c r="F293" s="8">
        <f>IF($A293="","",IF(ISNUMBER(FIND("IMPVOL",F$1)),_xll.BDH(config!$G$4,F$1,WORKDAY($A293,-1,config_Holiday_Calendar_US),WORKDAY($A293,-1,config_Holiday_Calendar_US)),IF(ISNUMBER(_xll.BDH(config!$G$4,F$1,$A293,$A293)),_xll.BDH(config!$G$4,F$1,$A293,$A293),_xll.BDH(config!$G$5,F$1,$A293,$A293))))</f>
        <v>31.38</v>
      </c>
      <c r="G293" s="8">
        <f>IF($A293="","",IF(ISNUMBER(FIND("IMPVOL",G$1)),_xll.BDH(config!$G$4,G$1,WORKDAY($A293,-1,config_Holiday_Calendar_US),WORKDAY($A293,-1,config_Holiday_Calendar_US)),IF(ISNUMBER(_xll.BDH(config!$G$4,G$1,$A293,$A293)),_xll.BDH(config!$G$4,G$1,$A293,$A293),_xll.BDH(config!$G$5,G$1,$A293,$A293))))</f>
        <v>31.51</v>
      </c>
      <c r="H293" s="8">
        <f>IF($A293="","",IF(ISNUMBER(FIND("IMPVOL",H$1)),_xll.BDH(config!$G$4,H$1,WORKDAY($A293,-1,config_Holiday_Calendar_US),WORKDAY($A293,-1,config_Holiday_Calendar_US)),IF(ISNUMBER(_xll.BDH(config!$G$4,H$1,$A293,$A293)),_xll.BDH(config!$G$4,H$1,$A293,$A293),_xll.BDH(config!$G$5,H$1,$A293,$A293))))</f>
        <v>281252</v>
      </c>
      <c r="I293" s="8" t="str">
        <f>IF($A293="","",IF(ISNUMBER(FIND("IMPVOL",I$1)),_xll.BDH(config!$G$4,I$1,WORKDAY($A293,-1,config_Holiday_Calendar_US),WORKDAY($A293,-1,config_Holiday_Calendar_US)),IF(ISNUMBER(_xll.BDH(config!$G$4,I$1,$A293,$A293)),_xll.BDH(config!$G$4,I$1,$A293,$A293),_xll.BDH(config!$G$5,I$1,$A293,$A293))))</f>
        <v>#N/A Requesting Data...</v>
      </c>
      <c r="J293" s="8" t="str">
        <f>IF($A293="","",IF(ISNUMBER(FIND("IMPVOL",J$1)),_xll.BDH(config!$G$4,J$1,WORKDAY($A293,-1,config_Holiday_Calendar_US),WORKDAY($A293,-1,config_Holiday_Calendar_US)),IF(ISNUMBER(_xll.BDH(config!$G$4,J$1,$A293,$A293)),_xll.BDH(config!$G$4,J$1,$A293,$A293),_xll.BDH(config!$G$5,J$1,$A293,$A293))))</f>
        <v>#N/A Requesting Data...</v>
      </c>
      <c r="K293" s="8" t="str">
        <f>IF($A293="","",IF(ISNUMBER(FIND("IMPVOL",K$1)),_xll.BDH(config!$G$4,K$1,WORKDAY($A293,-1,config_Holiday_Calendar_US),WORKDAY($A293,-1,config_Holiday_Calendar_US)),IF(ISNUMBER(_xll.BDH(config!$G$4,K$1,$A293,$A293)),_xll.BDH(config!$G$4,K$1,$A293,$A293),_xll.BDH(config!$G$5,K$1,$A293,$A293))))</f>
        <v>#N/A Requesting Data...</v>
      </c>
      <c r="L293" s="8" t="str">
        <f>IF($A293="","",IF(ISNUMBER(FIND("IMPVOL",L$1)),_xll.BDH(config!$G$4,L$1,WORKDAY($A293,-1,config_Holiday_Calendar_US),WORKDAY($A293,-1,config_Holiday_Calendar_US)),IF(ISNUMBER(_xll.BDH(config!$G$4,L$1,$A293,$A293)),_xll.BDH(config!$G$4,L$1,$A293,$A293),_xll.BDH(config!$G$5,L$1,$A293,$A293))))</f>
        <v>#N/A Requesting Data...</v>
      </c>
      <c r="M293" s="8" t="str">
        <f>IF($A293="","",IF(ISNUMBER(FIND("IMPVOL",M$1)),_xll.BDH(config!$G$4,M$1,WORKDAY($A293,-1,config_Holiday_Calendar_US),WORKDAY($A293,-1,config_Holiday_Calendar_US)),IF(ISNUMBER(_xll.BDH(config!$G$4,M$1,$A293,$A293)),_xll.BDH(config!$G$4,M$1,$A293,$A293),_xll.BDH(config!$G$5,M$1,$A293,$A293))))</f>
        <v>#N/A Requesting Data...</v>
      </c>
      <c r="N293" s="8" t="str">
        <f>IF($A293="","",IF(ISNUMBER(FIND("IMPVOL",N$1)),_xll.BDH(config!$G$4,N$1,WORKDAY($A293,-1,config_Holiday_Calendar_US),WORKDAY($A293,-1,config_Holiday_Calendar_US)),IF(ISNUMBER(_xll.BDH(config!$G$4,N$1,$A293,$A293)),_xll.BDH(config!$G$4,N$1,$A293,$A293),_xll.BDH(config!$G$5,N$1,$A293,$A293))))</f>
        <v>#N/A Requesting Data...</v>
      </c>
      <c r="O293" s="8" t="str">
        <f>IF($A293="","",IF(ISNUMBER(FIND("IMPVOL",O$1)),_xll.BDH(config!$G$4,O$1,WORKDAY($A293,-1,config_Holiday_Calendar_US),WORKDAY($A293,-1,config_Holiday_Calendar_US)),IF(ISNUMBER(_xll.BDH(config!$G$4,O$1,$A293,$A293)),_xll.BDH(config!$G$4,O$1,$A293,$A293),_xll.BDH(config!$G$5,O$1,$A293,$A293))))</f>
        <v>#N/A Requesting Data...</v>
      </c>
      <c r="P293" s="8" t="str">
        <f>IF($A293="","",IF(ISNUMBER(FIND("IMPVOL",P$1)),_xll.BDH(config!$G$4,P$1,WORKDAY($A293,-1,config_Holiday_Calendar_US),WORKDAY($A293,-1,config_Holiday_Calendar_US)),IF(ISNUMBER(_xll.BDH(config!$G$4,P$1,$A293,$A293)),_xll.BDH(config!$G$4,P$1,$A293,$A293),_xll.BDH(config!$G$5,P$1,$A293,$A293))))</f>
        <v>#N/A Requesting Data...</v>
      </c>
      <c r="Q293" s="8">
        <f>IF($A293="","",IF(ISNUMBER(FIND("IMPVOL",Q$1)),_xll.BDH(config!$G$4,Q$1,WORKDAY($A293,-1,config_Holiday_Calendar_US),WORKDAY($A293,-1,config_Holiday_Calendar_US)),IF(ISNUMBER(_xll.BDH(config!$G$4,Q$1,$A293,$A293)),_xll.BDH(config!$G$4,Q$1,$A293,$A293),_xll.BDH(config!$G$5,Q$1,$A293,$A293))))</f>
        <v>67.510000000000005</v>
      </c>
      <c r="R293" s="8">
        <f>IF($A293="","",IF(ISNUMBER(FIND("IMPVOL",R$1)),_xll.BDH(config!$G$4,R$1,WORKDAY($A293,-1,config_Holiday_Calendar_US),WORKDAY($A293,-1,config_Holiday_Calendar_US)),IF(ISNUMBER(_xll.BDH(config!$G$4,R$1,$A293,$A293)),_xll.BDH(config!$G$4,R$1,$A293,$A293),_xll.BDH(config!$G$5,R$1,$A293,$A293))))</f>
        <v>66.38</v>
      </c>
      <c r="S293" s="8" t="str">
        <f>IF($A293="","",IF(ISNUMBER(FIND("IMPVOL",S$1)),_xll.BDH(config!$G$4,S$1,WORKDAY($A293,-1,config_Holiday_Calendar_US),WORKDAY($A293,-1,config_Holiday_Calendar_US)),IF(ISNUMBER(_xll.BDH(config!$G$4,S$1,$A293,$A293)),_xll.BDH(config!$G$4,S$1,$A293,$A293),_xll.BDH(config!$G$5,S$1,$A293,$A293))))</f>
        <v>#N/A Requesting Data...</v>
      </c>
      <c r="T293" s="8" t="str">
        <f>IF($A293="","",IF(ISNUMBER(FIND("IMPVOL",T$1)),_xll.BDH(config!$G$4,T$1,WORKDAY($A293,-1,config_Holiday_Calendar_US),WORKDAY($A293,-1,config_Holiday_Calendar_US)),IF(ISNUMBER(_xll.BDH(config!$G$4,T$1,$A293,$A293)),_xll.BDH(config!$G$4,T$1,$A293,$A293),_xll.BDH(config!$G$5,T$1,$A293,$A293))))</f>
        <v>#N/A Requesting Data...</v>
      </c>
      <c r="U293" s="8" t="str">
        <f>IF($A293="","",IF(ISNUMBER(FIND("IMPVOL",U$1)),_xll.BDH(config!$G$4,U$1,WORKDAY($A293,-1,config_Holiday_Calendar_US),WORKDAY($A293,-1,config_Holiday_Calendar_US)),IF(ISNUMBER(_xll.BDH(config!$G$4,U$1,$A293,$A293)),_xll.BDH(config!$G$4,U$1,$A293,$A293),_xll.BDH(config!$G$5,U$1,$A293,$A293))))</f>
        <v>#N/A Requesting Data...</v>
      </c>
      <c r="V293" s="8" t="str">
        <f>IF($A293="","",IF(ISNUMBER(FIND("IMPVOL",V$1)),_xll.BDH(config!$G$4,V$1,WORKDAY($A293,-1,config_Holiday_Calendar_US),WORKDAY($A293,-1,config_Holiday_Calendar_US)),IF(ISNUMBER(_xll.BDH(config!$G$4,V$1,$A293,$A293)),_xll.BDH(config!$G$4,V$1,$A293,$A293),_xll.BDH(config!$G$5,V$1,$A293,$A293))))</f>
        <v>#N/A Requesting Data...</v>
      </c>
      <c r="W293" s="8" t="str">
        <f>IF($A293="","",IF(ISNUMBER(FIND("IMPVOL",W$1)),_xll.BDH(config!$G$4,W$1,WORKDAY($A293,-1,config_Holiday_Calendar_US),WORKDAY($A293,-1,config_Holiday_Calendar_US)),IF(ISNUMBER(_xll.BDH(config!$G$4,W$1,$A293,$A293)),_xll.BDH(config!$G$4,W$1,$A293,$A293),_xll.BDH(config!$G$5,W$1,$A293,$A293))))</f>
        <v>#N/A Requesting Data...</v>
      </c>
    </row>
    <row r="294" spans="1:23" x14ac:dyDescent="0.2">
      <c r="A294" s="9">
        <f>IF(A293="","",IF(WORKDAY(A293,-1,config_Holiday_Calendar_US)&lt;config!$I$10,"",WORKDAY(A293,-1,config_Holiday_Calendar_US)))</f>
        <v>42405</v>
      </c>
      <c r="B294" s="8" t="e">
        <f t="shared" si="4"/>
        <v>#VALUE!</v>
      </c>
      <c r="C294" s="8" t="str">
        <f>IF(A294="","",_xll.BDH(config!$H$4,C$1,$A294,$A294))</f>
        <v>#N/A Requesting Data...</v>
      </c>
      <c r="D294" s="8" t="str">
        <f>IF($A294="","",_xll.BDH(config!$H$4,D$1,$A294,$A294))</f>
        <v>#N/A Requesting Data...</v>
      </c>
      <c r="E294" s="8">
        <f>IF($A294="","",IF(ISNUMBER(FIND("IMPVOL",E$1)),_xll.BDH(config!$G$4,E$1,WORKDAY($A294,-1,config_Holiday_Calendar_US),WORKDAY($A294,-1,config_Holiday_Calendar_US)),IF(ISNUMBER(_xll.BDH(config!$G$4,E$1,$A294,$A294)),_xll.BDH(config!$G$4,E$1,$A294,$A294),_xll.BDH(config!$G$5,E$1,$A294,$A294))))</f>
        <v>31.64</v>
      </c>
      <c r="F294" s="8">
        <f>IF($A294="","",IF(ISNUMBER(FIND("IMPVOL",F$1)),_xll.BDH(config!$G$4,F$1,WORKDAY($A294,-1,config_Holiday_Calendar_US),WORKDAY($A294,-1,config_Holiday_Calendar_US)),IF(ISNUMBER(_xll.BDH(config!$G$4,F$1,$A294,$A294)),_xll.BDH(config!$G$4,F$1,$A294,$A294),_xll.BDH(config!$G$5,F$1,$A294,$A294))))</f>
        <v>32.450000000000003</v>
      </c>
      <c r="G294" s="8">
        <f>IF($A294="","",IF(ISNUMBER(FIND("IMPVOL",G$1)),_xll.BDH(config!$G$4,G$1,WORKDAY($A294,-1,config_Holiday_Calendar_US),WORKDAY($A294,-1,config_Holiday_Calendar_US)),IF(ISNUMBER(_xll.BDH(config!$G$4,G$1,$A294,$A294)),_xll.BDH(config!$G$4,G$1,$A294,$A294),_xll.BDH(config!$G$5,G$1,$A294,$A294))))</f>
        <v>32.47</v>
      </c>
      <c r="H294" s="8">
        <f>IF($A294="","",IF(ISNUMBER(FIND("IMPVOL",H$1)),_xll.BDH(config!$G$4,H$1,WORKDAY($A294,-1,config_Holiday_Calendar_US),WORKDAY($A294,-1,config_Holiday_Calendar_US)),IF(ISNUMBER(_xll.BDH(config!$G$4,H$1,$A294,$A294)),_xll.BDH(config!$G$4,H$1,$A294,$A294),_xll.BDH(config!$G$5,H$1,$A294,$A294))))</f>
        <v>233780</v>
      </c>
      <c r="I294" s="8" t="str">
        <f>IF($A294="","",IF(ISNUMBER(FIND("IMPVOL",I$1)),_xll.BDH(config!$G$4,I$1,WORKDAY($A294,-1,config_Holiday_Calendar_US),WORKDAY($A294,-1,config_Holiday_Calendar_US)),IF(ISNUMBER(_xll.BDH(config!$G$4,I$1,$A294,$A294)),_xll.BDH(config!$G$4,I$1,$A294,$A294),_xll.BDH(config!$G$5,I$1,$A294,$A294))))</f>
        <v>#N/A Requesting Data...</v>
      </c>
      <c r="J294" s="8" t="str">
        <f>IF($A294="","",IF(ISNUMBER(FIND("IMPVOL",J$1)),_xll.BDH(config!$G$4,J$1,WORKDAY($A294,-1,config_Holiday_Calendar_US),WORKDAY($A294,-1,config_Holiday_Calendar_US)),IF(ISNUMBER(_xll.BDH(config!$G$4,J$1,$A294,$A294)),_xll.BDH(config!$G$4,J$1,$A294,$A294),_xll.BDH(config!$G$5,J$1,$A294,$A294))))</f>
        <v>#N/A Requesting Data...</v>
      </c>
      <c r="K294" s="8" t="str">
        <f>IF($A294="","",IF(ISNUMBER(FIND("IMPVOL",K$1)),_xll.BDH(config!$G$4,K$1,WORKDAY($A294,-1,config_Holiday_Calendar_US),WORKDAY($A294,-1,config_Holiday_Calendar_US)),IF(ISNUMBER(_xll.BDH(config!$G$4,K$1,$A294,$A294)),_xll.BDH(config!$G$4,K$1,$A294,$A294),_xll.BDH(config!$G$5,K$1,$A294,$A294))))</f>
        <v>#N/A Requesting Data...</v>
      </c>
      <c r="L294" s="8" t="str">
        <f>IF($A294="","",IF(ISNUMBER(FIND("IMPVOL",L$1)),_xll.BDH(config!$G$4,L$1,WORKDAY($A294,-1,config_Holiday_Calendar_US),WORKDAY($A294,-1,config_Holiday_Calendar_US)),IF(ISNUMBER(_xll.BDH(config!$G$4,L$1,$A294,$A294)),_xll.BDH(config!$G$4,L$1,$A294,$A294),_xll.BDH(config!$G$5,L$1,$A294,$A294))))</f>
        <v>#N/A Requesting Data...</v>
      </c>
      <c r="M294" s="8" t="str">
        <f>IF($A294="","",IF(ISNUMBER(FIND("IMPVOL",M$1)),_xll.BDH(config!$G$4,M$1,WORKDAY($A294,-1,config_Holiday_Calendar_US),WORKDAY($A294,-1,config_Holiday_Calendar_US)),IF(ISNUMBER(_xll.BDH(config!$G$4,M$1,$A294,$A294)),_xll.BDH(config!$G$4,M$1,$A294,$A294),_xll.BDH(config!$G$5,M$1,$A294,$A294))))</f>
        <v>#N/A Requesting Data...</v>
      </c>
      <c r="N294" s="8" t="str">
        <f>IF($A294="","",IF(ISNUMBER(FIND("IMPVOL",N$1)),_xll.BDH(config!$G$4,N$1,WORKDAY($A294,-1,config_Holiday_Calendar_US),WORKDAY($A294,-1,config_Holiday_Calendar_US)),IF(ISNUMBER(_xll.BDH(config!$G$4,N$1,$A294,$A294)),_xll.BDH(config!$G$4,N$1,$A294,$A294),_xll.BDH(config!$G$5,N$1,$A294,$A294))))</f>
        <v>#N/A Requesting Data...</v>
      </c>
      <c r="O294" s="8" t="str">
        <f>IF($A294="","",IF(ISNUMBER(FIND("IMPVOL",O$1)),_xll.BDH(config!$G$4,O$1,WORKDAY($A294,-1,config_Holiday_Calendar_US),WORKDAY($A294,-1,config_Holiday_Calendar_US)),IF(ISNUMBER(_xll.BDH(config!$G$4,O$1,$A294,$A294)),_xll.BDH(config!$G$4,O$1,$A294,$A294),_xll.BDH(config!$G$5,O$1,$A294,$A294))))</f>
        <v>#N/A Requesting Data...</v>
      </c>
      <c r="P294" s="8" t="str">
        <f>IF($A294="","",IF(ISNUMBER(FIND("IMPVOL",P$1)),_xll.BDH(config!$G$4,P$1,WORKDAY($A294,-1,config_Holiday_Calendar_US),WORKDAY($A294,-1,config_Holiday_Calendar_US)),IF(ISNUMBER(_xll.BDH(config!$G$4,P$1,$A294,$A294)),_xll.BDH(config!$G$4,P$1,$A294,$A294),_xll.BDH(config!$G$5,P$1,$A294,$A294))))</f>
        <v>#N/A Requesting Data...</v>
      </c>
      <c r="Q294" s="8">
        <f>IF($A294="","",IF(ISNUMBER(FIND("IMPVOL",Q$1)),_xll.BDH(config!$G$4,Q$1,WORKDAY($A294,-1,config_Holiday_Calendar_US),WORKDAY($A294,-1,config_Holiday_Calendar_US)),IF(ISNUMBER(_xll.BDH(config!$G$4,Q$1,$A294,$A294)),_xll.BDH(config!$G$4,Q$1,$A294,$A294),_xll.BDH(config!$G$5,Q$1,$A294,$A294))))</f>
        <v>67.77</v>
      </c>
      <c r="R294" s="8">
        <f>IF($A294="","",IF(ISNUMBER(FIND("IMPVOL",R$1)),_xll.BDH(config!$G$4,R$1,WORKDAY($A294,-1,config_Holiday_Calendar_US),WORKDAY($A294,-1,config_Holiday_Calendar_US)),IF(ISNUMBER(_xll.BDH(config!$G$4,R$1,$A294,$A294)),_xll.BDH(config!$G$4,R$1,$A294,$A294),_xll.BDH(config!$G$5,R$1,$A294,$A294))))</f>
        <v>66.27</v>
      </c>
      <c r="S294" s="8" t="str">
        <f>IF($A294="","",IF(ISNUMBER(FIND("IMPVOL",S$1)),_xll.BDH(config!$G$4,S$1,WORKDAY($A294,-1,config_Holiday_Calendar_US),WORKDAY($A294,-1,config_Holiday_Calendar_US)),IF(ISNUMBER(_xll.BDH(config!$G$4,S$1,$A294,$A294)),_xll.BDH(config!$G$4,S$1,$A294,$A294),_xll.BDH(config!$G$5,S$1,$A294,$A294))))</f>
        <v>#N/A Requesting Data...</v>
      </c>
      <c r="T294" s="8" t="str">
        <f>IF($A294="","",IF(ISNUMBER(FIND("IMPVOL",T$1)),_xll.BDH(config!$G$4,T$1,WORKDAY($A294,-1,config_Holiday_Calendar_US),WORKDAY($A294,-1,config_Holiday_Calendar_US)),IF(ISNUMBER(_xll.BDH(config!$G$4,T$1,$A294,$A294)),_xll.BDH(config!$G$4,T$1,$A294,$A294),_xll.BDH(config!$G$5,T$1,$A294,$A294))))</f>
        <v>#N/A Requesting Data...</v>
      </c>
      <c r="U294" s="8" t="str">
        <f>IF($A294="","",IF(ISNUMBER(FIND("IMPVOL",U$1)),_xll.BDH(config!$G$4,U$1,WORKDAY($A294,-1,config_Holiday_Calendar_US),WORKDAY($A294,-1,config_Holiday_Calendar_US)),IF(ISNUMBER(_xll.BDH(config!$G$4,U$1,$A294,$A294)),_xll.BDH(config!$G$4,U$1,$A294,$A294),_xll.BDH(config!$G$5,U$1,$A294,$A294))))</f>
        <v>#N/A Requesting Data...</v>
      </c>
      <c r="V294" s="8" t="str">
        <f>IF($A294="","",IF(ISNUMBER(FIND("IMPVOL",V$1)),_xll.BDH(config!$G$4,V$1,WORKDAY($A294,-1,config_Holiday_Calendar_US),WORKDAY($A294,-1,config_Holiday_Calendar_US)),IF(ISNUMBER(_xll.BDH(config!$G$4,V$1,$A294,$A294)),_xll.BDH(config!$G$4,V$1,$A294,$A294),_xll.BDH(config!$G$5,V$1,$A294,$A294))))</f>
        <v>#N/A Requesting Data...</v>
      </c>
      <c r="W294" s="8" t="str">
        <f>IF($A294="","",IF(ISNUMBER(FIND("IMPVOL",W$1)),_xll.BDH(config!$G$4,W$1,WORKDAY($A294,-1,config_Holiday_Calendar_US),WORKDAY($A294,-1,config_Holiday_Calendar_US)),IF(ISNUMBER(_xll.BDH(config!$G$4,W$1,$A294,$A294)),_xll.BDH(config!$G$4,W$1,$A294,$A294),_xll.BDH(config!$G$5,W$1,$A294,$A294))))</f>
        <v>#N/A Requesting Data...</v>
      </c>
    </row>
    <row r="295" spans="1:23" x14ac:dyDescent="0.2">
      <c r="A295" s="9">
        <f>IF(A294="","",IF(WORKDAY(A294,-1,config_Holiday_Calendar_US)&lt;config!$I$10,"",WORKDAY(A294,-1,config_Holiday_Calendar_US)))</f>
        <v>42404</v>
      </c>
      <c r="B295" s="8" t="e">
        <f t="shared" si="4"/>
        <v>#VALUE!</v>
      </c>
      <c r="C295" s="8" t="str">
        <f>IF(A295="","",_xll.BDH(config!$H$4,C$1,$A295,$A295))</f>
        <v>#N/A Requesting Data...</v>
      </c>
      <c r="D295" s="8" t="str">
        <f>IF($A295="","",_xll.BDH(config!$H$4,D$1,$A295,$A295))</f>
        <v>#N/A Requesting Data...</v>
      </c>
      <c r="E295" s="8">
        <f>IF($A295="","",IF(ISNUMBER(FIND("IMPVOL",E$1)),_xll.BDH(config!$G$4,E$1,WORKDAY($A295,-1,config_Holiday_Calendar_US),WORKDAY($A295,-1,config_Holiday_Calendar_US)),IF(ISNUMBER(_xll.BDH(config!$G$4,E$1,$A295,$A295)),_xll.BDH(config!$G$4,E$1,$A295,$A295),_xll.BDH(config!$G$5,E$1,$A295,$A295))))</f>
        <v>32.71</v>
      </c>
      <c r="F295" s="8">
        <f>IF($A295="","",IF(ISNUMBER(FIND("IMPVOL",F$1)),_xll.BDH(config!$G$4,F$1,WORKDAY($A295,-1,config_Holiday_Calendar_US),WORKDAY($A295,-1,config_Holiday_Calendar_US)),IF(ISNUMBER(_xll.BDH(config!$G$4,F$1,$A295,$A295)),_xll.BDH(config!$G$4,F$1,$A295,$A295),_xll.BDH(config!$G$5,F$1,$A295,$A295))))</f>
        <v>33.6</v>
      </c>
      <c r="G295" s="8">
        <f>IF($A295="","",IF(ISNUMBER(FIND("IMPVOL",G$1)),_xll.BDH(config!$G$4,G$1,WORKDAY($A295,-1,config_Holiday_Calendar_US),WORKDAY($A295,-1,config_Holiday_Calendar_US)),IF(ISNUMBER(_xll.BDH(config!$G$4,G$1,$A295,$A295)),_xll.BDH(config!$G$4,G$1,$A295,$A295),_xll.BDH(config!$G$5,G$1,$A295,$A295))))</f>
        <v>33.18</v>
      </c>
      <c r="H295" s="8">
        <f>IF($A295="","",IF(ISNUMBER(FIND("IMPVOL",H$1)),_xll.BDH(config!$G$4,H$1,WORKDAY($A295,-1,config_Holiday_Calendar_US),WORKDAY($A295,-1,config_Holiday_Calendar_US)),IF(ISNUMBER(_xll.BDH(config!$G$4,H$1,$A295,$A295)),_xll.BDH(config!$G$4,H$1,$A295,$A295),_xll.BDH(config!$G$5,H$1,$A295,$A295))))</f>
        <v>241329</v>
      </c>
      <c r="I295" s="8" t="str">
        <f>IF($A295="","",IF(ISNUMBER(FIND("IMPVOL",I$1)),_xll.BDH(config!$G$4,I$1,WORKDAY($A295,-1,config_Holiday_Calendar_US),WORKDAY($A295,-1,config_Holiday_Calendar_US)),IF(ISNUMBER(_xll.BDH(config!$G$4,I$1,$A295,$A295)),_xll.BDH(config!$G$4,I$1,$A295,$A295),_xll.BDH(config!$G$5,I$1,$A295,$A295))))</f>
        <v>#N/A Requesting Data...</v>
      </c>
      <c r="J295" s="8" t="str">
        <f>IF($A295="","",IF(ISNUMBER(FIND("IMPVOL",J$1)),_xll.BDH(config!$G$4,J$1,WORKDAY($A295,-1,config_Holiday_Calendar_US),WORKDAY($A295,-1,config_Holiday_Calendar_US)),IF(ISNUMBER(_xll.BDH(config!$G$4,J$1,$A295,$A295)),_xll.BDH(config!$G$4,J$1,$A295,$A295),_xll.BDH(config!$G$5,J$1,$A295,$A295))))</f>
        <v>#N/A Requesting Data...</v>
      </c>
      <c r="K295" s="8" t="str">
        <f>IF($A295="","",IF(ISNUMBER(FIND("IMPVOL",K$1)),_xll.BDH(config!$G$4,K$1,WORKDAY($A295,-1,config_Holiday_Calendar_US),WORKDAY($A295,-1,config_Holiday_Calendar_US)),IF(ISNUMBER(_xll.BDH(config!$G$4,K$1,$A295,$A295)),_xll.BDH(config!$G$4,K$1,$A295,$A295),_xll.BDH(config!$G$5,K$1,$A295,$A295))))</f>
        <v>#N/A Requesting Data...</v>
      </c>
      <c r="L295" s="8" t="str">
        <f>IF($A295="","",IF(ISNUMBER(FIND("IMPVOL",L$1)),_xll.BDH(config!$G$4,L$1,WORKDAY($A295,-1,config_Holiday_Calendar_US),WORKDAY($A295,-1,config_Holiday_Calendar_US)),IF(ISNUMBER(_xll.BDH(config!$G$4,L$1,$A295,$A295)),_xll.BDH(config!$G$4,L$1,$A295,$A295),_xll.BDH(config!$G$5,L$1,$A295,$A295))))</f>
        <v>#N/A Requesting Data...</v>
      </c>
      <c r="M295" s="8" t="str">
        <f>IF($A295="","",IF(ISNUMBER(FIND("IMPVOL",M$1)),_xll.BDH(config!$G$4,M$1,WORKDAY($A295,-1,config_Holiday_Calendar_US),WORKDAY($A295,-1,config_Holiday_Calendar_US)),IF(ISNUMBER(_xll.BDH(config!$G$4,M$1,$A295,$A295)),_xll.BDH(config!$G$4,M$1,$A295,$A295),_xll.BDH(config!$G$5,M$1,$A295,$A295))))</f>
        <v>#N/A Requesting Data...</v>
      </c>
      <c r="N295" s="8" t="str">
        <f>IF($A295="","",IF(ISNUMBER(FIND("IMPVOL",N$1)),_xll.BDH(config!$G$4,N$1,WORKDAY($A295,-1,config_Holiday_Calendar_US),WORKDAY($A295,-1,config_Holiday_Calendar_US)),IF(ISNUMBER(_xll.BDH(config!$G$4,N$1,$A295,$A295)),_xll.BDH(config!$G$4,N$1,$A295,$A295),_xll.BDH(config!$G$5,N$1,$A295,$A295))))</f>
        <v>#N/A Requesting Data...</v>
      </c>
      <c r="O295" s="8" t="str">
        <f>IF($A295="","",IF(ISNUMBER(FIND("IMPVOL",O$1)),_xll.BDH(config!$G$4,O$1,WORKDAY($A295,-1,config_Holiday_Calendar_US),WORKDAY($A295,-1,config_Holiday_Calendar_US)),IF(ISNUMBER(_xll.BDH(config!$G$4,O$1,$A295,$A295)),_xll.BDH(config!$G$4,O$1,$A295,$A295),_xll.BDH(config!$G$5,O$1,$A295,$A295))))</f>
        <v>#N/A Requesting Data...</v>
      </c>
      <c r="P295" s="8" t="str">
        <f>IF($A295="","",IF(ISNUMBER(FIND("IMPVOL",P$1)),_xll.BDH(config!$G$4,P$1,WORKDAY($A295,-1,config_Holiday_Calendar_US),WORKDAY($A295,-1,config_Holiday_Calendar_US)),IF(ISNUMBER(_xll.BDH(config!$G$4,P$1,$A295,$A295)),_xll.BDH(config!$G$4,P$1,$A295,$A295),_xll.BDH(config!$G$5,P$1,$A295,$A295))))</f>
        <v>#N/A Requesting Data...</v>
      </c>
      <c r="Q295" s="8">
        <f>IF($A295="","",IF(ISNUMBER(FIND("IMPVOL",Q$1)),_xll.BDH(config!$G$4,Q$1,WORKDAY($A295,-1,config_Holiday_Calendar_US),WORKDAY($A295,-1,config_Holiday_Calendar_US)),IF(ISNUMBER(_xll.BDH(config!$G$4,Q$1,$A295,$A295)),_xll.BDH(config!$G$4,Q$1,$A295,$A295),_xll.BDH(config!$G$5,Q$1,$A295,$A295))))</f>
        <v>73.38</v>
      </c>
      <c r="R295" s="8">
        <f>IF($A295="","",IF(ISNUMBER(FIND("IMPVOL",R$1)),_xll.BDH(config!$G$4,R$1,WORKDAY($A295,-1,config_Holiday_Calendar_US),WORKDAY($A295,-1,config_Holiday_Calendar_US)),IF(ISNUMBER(_xll.BDH(config!$G$4,R$1,$A295,$A295)),_xll.BDH(config!$G$4,R$1,$A295,$A295),_xll.BDH(config!$G$5,R$1,$A295,$A295))))</f>
        <v>67.260000000000005</v>
      </c>
      <c r="S295" s="8" t="str">
        <f>IF($A295="","",IF(ISNUMBER(FIND("IMPVOL",S$1)),_xll.BDH(config!$G$4,S$1,WORKDAY($A295,-1,config_Holiday_Calendar_US),WORKDAY($A295,-1,config_Holiday_Calendar_US)),IF(ISNUMBER(_xll.BDH(config!$G$4,S$1,$A295,$A295)),_xll.BDH(config!$G$4,S$1,$A295,$A295),_xll.BDH(config!$G$5,S$1,$A295,$A295))))</f>
        <v>#N/A Requesting Data...</v>
      </c>
      <c r="T295" s="8" t="str">
        <f>IF($A295="","",IF(ISNUMBER(FIND("IMPVOL",T$1)),_xll.BDH(config!$G$4,T$1,WORKDAY($A295,-1,config_Holiday_Calendar_US),WORKDAY($A295,-1,config_Holiday_Calendar_US)),IF(ISNUMBER(_xll.BDH(config!$G$4,T$1,$A295,$A295)),_xll.BDH(config!$G$4,T$1,$A295,$A295),_xll.BDH(config!$G$5,T$1,$A295,$A295))))</f>
        <v>#N/A Requesting Data...</v>
      </c>
      <c r="U295" s="8" t="str">
        <f>IF($A295="","",IF(ISNUMBER(FIND("IMPVOL",U$1)),_xll.BDH(config!$G$4,U$1,WORKDAY($A295,-1,config_Holiday_Calendar_US),WORKDAY($A295,-1,config_Holiday_Calendar_US)),IF(ISNUMBER(_xll.BDH(config!$G$4,U$1,$A295,$A295)),_xll.BDH(config!$G$4,U$1,$A295,$A295),_xll.BDH(config!$G$5,U$1,$A295,$A295))))</f>
        <v>#N/A Requesting Data...</v>
      </c>
      <c r="V295" s="8" t="str">
        <f>IF($A295="","",IF(ISNUMBER(FIND("IMPVOL",V$1)),_xll.BDH(config!$G$4,V$1,WORKDAY($A295,-1,config_Holiday_Calendar_US),WORKDAY($A295,-1,config_Holiday_Calendar_US)),IF(ISNUMBER(_xll.BDH(config!$G$4,V$1,$A295,$A295)),_xll.BDH(config!$G$4,V$1,$A295,$A295),_xll.BDH(config!$G$5,V$1,$A295,$A295))))</f>
        <v>#N/A Requesting Data...</v>
      </c>
      <c r="W295" s="8" t="str">
        <f>IF($A295="","",IF(ISNUMBER(FIND("IMPVOL",W$1)),_xll.BDH(config!$G$4,W$1,WORKDAY($A295,-1,config_Holiday_Calendar_US),WORKDAY($A295,-1,config_Holiday_Calendar_US)),IF(ISNUMBER(_xll.BDH(config!$G$4,W$1,$A295,$A295)),_xll.BDH(config!$G$4,W$1,$A295,$A295),_xll.BDH(config!$G$5,W$1,$A295,$A295))))</f>
        <v>#N/A Requesting Data...</v>
      </c>
    </row>
    <row r="296" spans="1:23" x14ac:dyDescent="0.2">
      <c r="A296" s="9">
        <f>IF(A295="","",IF(WORKDAY(A295,-1,config_Holiday_Calendar_US)&lt;config!$I$10,"",WORKDAY(A295,-1,config_Holiday_Calendar_US)))</f>
        <v>42403</v>
      </c>
      <c r="B296" s="8" t="e">
        <f t="shared" si="4"/>
        <v>#VALUE!</v>
      </c>
      <c r="C296" s="8" t="str">
        <f>IF(A296="","",_xll.BDH(config!$H$4,C$1,$A296,$A296))</f>
        <v>#N/A Requesting Data...</v>
      </c>
      <c r="D296" s="8" t="str">
        <f>IF($A296="","",_xll.BDH(config!$H$4,D$1,$A296,$A296))</f>
        <v>#N/A Requesting Data...</v>
      </c>
      <c r="E296" s="8">
        <f>IF($A296="","",IF(ISNUMBER(FIND("IMPVOL",E$1)),_xll.BDH(config!$G$4,E$1,WORKDAY($A296,-1,config_Holiday_Calendar_US),WORKDAY($A296,-1,config_Holiday_Calendar_US)),IF(ISNUMBER(_xll.BDH(config!$G$4,E$1,$A296,$A296)),_xll.BDH(config!$G$4,E$1,$A296,$A296),_xll.BDH(config!$G$5,E$1,$A296,$A296))))</f>
        <v>29.75</v>
      </c>
      <c r="F296" s="8">
        <f>IF($A296="","",IF(ISNUMBER(FIND("IMPVOL",F$1)),_xll.BDH(config!$G$4,F$1,WORKDAY($A296,-1,config_Holiday_Calendar_US),WORKDAY($A296,-1,config_Holiday_Calendar_US)),IF(ISNUMBER(_xll.BDH(config!$G$4,F$1,$A296,$A296)),_xll.BDH(config!$G$4,F$1,$A296,$A296),_xll.BDH(config!$G$5,F$1,$A296,$A296))))</f>
        <v>32.75</v>
      </c>
      <c r="G296" s="8">
        <f>IF($A296="","",IF(ISNUMBER(FIND("IMPVOL",G$1)),_xll.BDH(config!$G$4,G$1,WORKDAY($A296,-1,config_Holiday_Calendar_US),WORKDAY($A296,-1,config_Holiday_Calendar_US)),IF(ISNUMBER(_xll.BDH(config!$G$4,G$1,$A296,$A296)),_xll.BDH(config!$G$4,G$1,$A296,$A296),_xll.BDH(config!$G$5,G$1,$A296,$A296))))</f>
        <v>31.14</v>
      </c>
      <c r="H296" s="8">
        <f>IF($A296="","",IF(ISNUMBER(FIND("IMPVOL",H$1)),_xll.BDH(config!$G$4,H$1,WORKDAY($A296,-1,config_Holiday_Calendar_US),WORKDAY($A296,-1,config_Holiday_Calendar_US)),IF(ISNUMBER(_xll.BDH(config!$G$4,H$1,$A296,$A296)),_xll.BDH(config!$G$4,H$1,$A296,$A296),_xll.BDH(config!$G$5,H$1,$A296,$A296))))</f>
        <v>289101</v>
      </c>
      <c r="I296" s="8" t="str">
        <f>IF($A296="","",IF(ISNUMBER(FIND("IMPVOL",I$1)),_xll.BDH(config!$G$4,I$1,WORKDAY($A296,-1,config_Holiday_Calendar_US),WORKDAY($A296,-1,config_Holiday_Calendar_US)),IF(ISNUMBER(_xll.BDH(config!$G$4,I$1,$A296,$A296)),_xll.BDH(config!$G$4,I$1,$A296,$A296),_xll.BDH(config!$G$5,I$1,$A296,$A296))))</f>
        <v>#N/A Requesting Data...</v>
      </c>
      <c r="J296" s="8" t="str">
        <f>IF($A296="","",IF(ISNUMBER(FIND("IMPVOL",J$1)),_xll.BDH(config!$G$4,J$1,WORKDAY($A296,-1,config_Holiday_Calendar_US),WORKDAY($A296,-1,config_Holiday_Calendar_US)),IF(ISNUMBER(_xll.BDH(config!$G$4,J$1,$A296,$A296)),_xll.BDH(config!$G$4,J$1,$A296,$A296),_xll.BDH(config!$G$5,J$1,$A296,$A296))))</f>
        <v>#N/A Requesting Data...</v>
      </c>
      <c r="K296" s="8" t="str">
        <f>IF($A296="","",IF(ISNUMBER(FIND("IMPVOL",K$1)),_xll.BDH(config!$G$4,K$1,WORKDAY($A296,-1,config_Holiday_Calendar_US),WORKDAY($A296,-1,config_Holiday_Calendar_US)),IF(ISNUMBER(_xll.BDH(config!$G$4,K$1,$A296,$A296)),_xll.BDH(config!$G$4,K$1,$A296,$A296),_xll.BDH(config!$G$5,K$1,$A296,$A296))))</f>
        <v>#N/A Requesting Data...</v>
      </c>
      <c r="L296" s="8" t="str">
        <f>IF($A296="","",IF(ISNUMBER(FIND("IMPVOL",L$1)),_xll.BDH(config!$G$4,L$1,WORKDAY($A296,-1,config_Holiday_Calendar_US),WORKDAY($A296,-1,config_Holiday_Calendar_US)),IF(ISNUMBER(_xll.BDH(config!$G$4,L$1,$A296,$A296)),_xll.BDH(config!$G$4,L$1,$A296,$A296),_xll.BDH(config!$G$5,L$1,$A296,$A296))))</f>
        <v>#N/A Requesting Data...</v>
      </c>
      <c r="M296" s="8" t="str">
        <f>IF($A296="","",IF(ISNUMBER(FIND("IMPVOL",M$1)),_xll.BDH(config!$G$4,M$1,WORKDAY($A296,-1,config_Holiday_Calendar_US),WORKDAY($A296,-1,config_Holiday_Calendar_US)),IF(ISNUMBER(_xll.BDH(config!$G$4,M$1,$A296,$A296)),_xll.BDH(config!$G$4,M$1,$A296,$A296),_xll.BDH(config!$G$5,M$1,$A296,$A296))))</f>
        <v>#N/A Requesting Data...</v>
      </c>
      <c r="N296" s="8" t="str">
        <f>IF($A296="","",IF(ISNUMBER(FIND("IMPVOL",N$1)),_xll.BDH(config!$G$4,N$1,WORKDAY($A296,-1,config_Holiday_Calendar_US),WORKDAY($A296,-1,config_Holiday_Calendar_US)),IF(ISNUMBER(_xll.BDH(config!$G$4,N$1,$A296,$A296)),_xll.BDH(config!$G$4,N$1,$A296,$A296),_xll.BDH(config!$G$5,N$1,$A296,$A296))))</f>
        <v>#N/A Requesting Data...</v>
      </c>
      <c r="O296" s="8" t="str">
        <f>IF($A296="","",IF(ISNUMBER(FIND("IMPVOL",O$1)),_xll.BDH(config!$G$4,O$1,WORKDAY($A296,-1,config_Holiday_Calendar_US),WORKDAY($A296,-1,config_Holiday_Calendar_US)),IF(ISNUMBER(_xll.BDH(config!$G$4,O$1,$A296,$A296)),_xll.BDH(config!$G$4,O$1,$A296,$A296),_xll.BDH(config!$G$5,O$1,$A296,$A296))))</f>
        <v>#N/A Requesting Data...</v>
      </c>
      <c r="P296" s="8" t="str">
        <f>IF($A296="","",IF(ISNUMBER(FIND("IMPVOL",P$1)),_xll.BDH(config!$G$4,P$1,WORKDAY($A296,-1,config_Holiday_Calendar_US),WORKDAY($A296,-1,config_Holiday_Calendar_US)),IF(ISNUMBER(_xll.BDH(config!$G$4,P$1,$A296,$A296)),_xll.BDH(config!$G$4,P$1,$A296,$A296),_xll.BDH(config!$G$5,P$1,$A296,$A296))))</f>
        <v>#N/A Requesting Data...</v>
      </c>
      <c r="Q296" s="8">
        <f>IF($A296="","",IF(ISNUMBER(FIND("IMPVOL",Q$1)),_xll.BDH(config!$G$4,Q$1,WORKDAY($A296,-1,config_Holiday_Calendar_US),WORKDAY($A296,-1,config_Holiday_Calendar_US)),IF(ISNUMBER(_xll.BDH(config!$G$4,Q$1,$A296,$A296)),_xll.BDH(config!$G$4,Q$1,$A296,$A296),_xll.BDH(config!$G$5,Q$1,$A296,$A296))))</f>
        <v>85.2</v>
      </c>
      <c r="R296" s="8">
        <f>IF($A296="","",IF(ISNUMBER(FIND("IMPVOL",R$1)),_xll.BDH(config!$G$4,R$1,WORKDAY($A296,-1,config_Holiday_Calendar_US),WORKDAY($A296,-1,config_Holiday_Calendar_US)),IF(ISNUMBER(_xll.BDH(config!$G$4,R$1,$A296,$A296)),_xll.BDH(config!$G$4,R$1,$A296,$A296),_xll.BDH(config!$G$5,R$1,$A296,$A296))))</f>
        <v>68.11</v>
      </c>
      <c r="S296" s="8" t="str">
        <f>IF($A296="","",IF(ISNUMBER(FIND("IMPVOL",S$1)),_xll.BDH(config!$G$4,S$1,WORKDAY($A296,-1,config_Holiday_Calendar_US),WORKDAY($A296,-1,config_Holiday_Calendar_US)),IF(ISNUMBER(_xll.BDH(config!$G$4,S$1,$A296,$A296)),_xll.BDH(config!$G$4,S$1,$A296,$A296),_xll.BDH(config!$G$5,S$1,$A296,$A296))))</f>
        <v>#N/A Requesting Data...</v>
      </c>
      <c r="T296" s="8" t="str">
        <f>IF($A296="","",IF(ISNUMBER(FIND("IMPVOL",T$1)),_xll.BDH(config!$G$4,T$1,WORKDAY($A296,-1,config_Holiday_Calendar_US),WORKDAY($A296,-1,config_Holiday_Calendar_US)),IF(ISNUMBER(_xll.BDH(config!$G$4,T$1,$A296,$A296)),_xll.BDH(config!$G$4,T$1,$A296,$A296),_xll.BDH(config!$G$5,T$1,$A296,$A296))))</f>
        <v>#N/A Requesting Data...</v>
      </c>
      <c r="U296" s="8" t="str">
        <f>IF($A296="","",IF(ISNUMBER(FIND("IMPVOL",U$1)),_xll.BDH(config!$G$4,U$1,WORKDAY($A296,-1,config_Holiday_Calendar_US),WORKDAY($A296,-1,config_Holiday_Calendar_US)),IF(ISNUMBER(_xll.BDH(config!$G$4,U$1,$A296,$A296)),_xll.BDH(config!$G$4,U$1,$A296,$A296),_xll.BDH(config!$G$5,U$1,$A296,$A296))))</f>
        <v>#N/A Requesting Data...</v>
      </c>
      <c r="V296" s="8" t="str">
        <f>IF($A296="","",IF(ISNUMBER(FIND("IMPVOL",V$1)),_xll.BDH(config!$G$4,V$1,WORKDAY($A296,-1,config_Holiday_Calendar_US),WORKDAY($A296,-1,config_Holiday_Calendar_US)),IF(ISNUMBER(_xll.BDH(config!$G$4,V$1,$A296,$A296)),_xll.BDH(config!$G$4,V$1,$A296,$A296),_xll.BDH(config!$G$5,V$1,$A296,$A296))))</f>
        <v>#N/A Requesting Data...</v>
      </c>
      <c r="W296" s="8" t="str">
        <f>IF($A296="","",IF(ISNUMBER(FIND("IMPVOL",W$1)),_xll.BDH(config!$G$4,W$1,WORKDAY($A296,-1,config_Holiday_Calendar_US),WORKDAY($A296,-1,config_Holiday_Calendar_US)),IF(ISNUMBER(_xll.BDH(config!$G$4,W$1,$A296,$A296)),_xll.BDH(config!$G$4,W$1,$A296,$A296),_xll.BDH(config!$G$5,W$1,$A296,$A296))))</f>
        <v>#N/A Requesting Data...</v>
      </c>
    </row>
    <row r="297" spans="1:23" x14ac:dyDescent="0.2">
      <c r="A297" s="9">
        <f>IF(A296="","",IF(WORKDAY(A296,-1,config_Holiday_Calendar_US)&lt;config!$I$10,"",WORKDAY(A296,-1,config_Holiday_Calendar_US)))</f>
        <v>42402</v>
      </c>
      <c r="B297" s="8" t="e">
        <f t="shared" si="4"/>
        <v>#VALUE!</v>
      </c>
      <c r="C297" s="8" t="str">
        <f>IF(A297="","",_xll.BDH(config!$H$4,C$1,$A297,$A297))</f>
        <v>#N/A Requesting Data...</v>
      </c>
      <c r="D297" s="8" t="str">
        <f>IF($A297="","",_xll.BDH(config!$H$4,D$1,$A297,$A297))</f>
        <v>#N/A Requesting Data...</v>
      </c>
      <c r="E297" s="8">
        <f>IF($A297="","",IF(ISNUMBER(FIND("IMPVOL",E$1)),_xll.BDH(config!$G$4,E$1,WORKDAY($A297,-1,config_Holiday_Calendar_US),WORKDAY($A297,-1,config_Holiday_Calendar_US)),IF(ISNUMBER(_xll.BDH(config!$G$4,E$1,$A297,$A297)),_xll.BDH(config!$G$4,E$1,$A297,$A297),_xll.BDH(config!$G$5,E$1,$A297,$A297))))</f>
        <v>31.37</v>
      </c>
      <c r="F297" s="8">
        <f>IF($A297="","",IF(ISNUMBER(FIND("IMPVOL",F$1)),_xll.BDH(config!$G$4,F$1,WORKDAY($A297,-1,config_Holiday_Calendar_US),WORKDAY($A297,-1,config_Holiday_Calendar_US)),IF(ISNUMBER(_xll.BDH(config!$G$4,F$1,$A297,$A297)),_xll.BDH(config!$G$4,F$1,$A297,$A297),_xll.BDH(config!$G$5,F$1,$A297,$A297))))</f>
        <v>31.53</v>
      </c>
      <c r="G297" s="8">
        <f>IF($A297="","",IF(ISNUMBER(FIND("IMPVOL",G$1)),_xll.BDH(config!$G$4,G$1,WORKDAY($A297,-1,config_Holiday_Calendar_US),WORKDAY($A297,-1,config_Holiday_Calendar_US)),IF(ISNUMBER(_xll.BDH(config!$G$4,G$1,$A297,$A297)),_xll.BDH(config!$G$4,G$1,$A297,$A297),_xll.BDH(config!$G$5,G$1,$A297,$A297))))</f>
        <v>31.3</v>
      </c>
      <c r="H297" s="8">
        <f>IF($A297="","",IF(ISNUMBER(FIND("IMPVOL",H$1)),_xll.BDH(config!$G$4,H$1,WORKDAY($A297,-1,config_Holiday_Calendar_US),WORKDAY($A297,-1,config_Holiday_Calendar_US)),IF(ISNUMBER(_xll.BDH(config!$G$4,H$1,$A297,$A297)),_xll.BDH(config!$G$4,H$1,$A297,$A297),_xll.BDH(config!$G$5,H$1,$A297,$A297))))</f>
        <v>185630</v>
      </c>
      <c r="I297" s="8" t="str">
        <f>IF($A297="","",IF(ISNUMBER(FIND("IMPVOL",I$1)),_xll.BDH(config!$G$4,I$1,WORKDAY($A297,-1,config_Holiday_Calendar_US),WORKDAY($A297,-1,config_Holiday_Calendar_US)),IF(ISNUMBER(_xll.BDH(config!$G$4,I$1,$A297,$A297)),_xll.BDH(config!$G$4,I$1,$A297,$A297),_xll.BDH(config!$G$5,I$1,$A297,$A297))))</f>
        <v>#N/A Requesting Data...</v>
      </c>
      <c r="J297" s="8" t="str">
        <f>IF($A297="","",IF(ISNUMBER(FIND("IMPVOL",J$1)),_xll.BDH(config!$G$4,J$1,WORKDAY($A297,-1,config_Holiday_Calendar_US),WORKDAY($A297,-1,config_Holiday_Calendar_US)),IF(ISNUMBER(_xll.BDH(config!$G$4,J$1,$A297,$A297)),_xll.BDH(config!$G$4,J$1,$A297,$A297),_xll.BDH(config!$G$5,J$1,$A297,$A297))))</f>
        <v>#N/A Requesting Data...</v>
      </c>
      <c r="K297" s="8" t="str">
        <f>IF($A297="","",IF(ISNUMBER(FIND("IMPVOL",K$1)),_xll.BDH(config!$G$4,K$1,WORKDAY($A297,-1,config_Holiday_Calendar_US),WORKDAY($A297,-1,config_Holiday_Calendar_US)),IF(ISNUMBER(_xll.BDH(config!$G$4,K$1,$A297,$A297)),_xll.BDH(config!$G$4,K$1,$A297,$A297),_xll.BDH(config!$G$5,K$1,$A297,$A297))))</f>
        <v>#N/A Requesting Data...</v>
      </c>
      <c r="L297" s="8" t="str">
        <f>IF($A297="","",IF(ISNUMBER(FIND("IMPVOL",L$1)),_xll.BDH(config!$G$4,L$1,WORKDAY($A297,-1,config_Holiday_Calendar_US),WORKDAY($A297,-1,config_Holiday_Calendar_US)),IF(ISNUMBER(_xll.BDH(config!$G$4,L$1,$A297,$A297)),_xll.BDH(config!$G$4,L$1,$A297,$A297),_xll.BDH(config!$G$5,L$1,$A297,$A297))))</f>
        <v>#N/A Requesting Data...</v>
      </c>
      <c r="M297" s="8" t="str">
        <f>IF($A297="","",IF(ISNUMBER(FIND("IMPVOL",M$1)),_xll.BDH(config!$G$4,M$1,WORKDAY($A297,-1,config_Holiday_Calendar_US),WORKDAY($A297,-1,config_Holiday_Calendar_US)),IF(ISNUMBER(_xll.BDH(config!$G$4,M$1,$A297,$A297)),_xll.BDH(config!$G$4,M$1,$A297,$A297),_xll.BDH(config!$G$5,M$1,$A297,$A297))))</f>
        <v>#N/A Requesting Data...</v>
      </c>
      <c r="N297" s="8" t="str">
        <f>IF($A297="","",IF(ISNUMBER(FIND("IMPVOL",N$1)),_xll.BDH(config!$G$4,N$1,WORKDAY($A297,-1,config_Holiday_Calendar_US),WORKDAY($A297,-1,config_Holiday_Calendar_US)),IF(ISNUMBER(_xll.BDH(config!$G$4,N$1,$A297,$A297)),_xll.BDH(config!$G$4,N$1,$A297,$A297),_xll.BDH(config!$G$5,N$1,$A297,$A297))))</f>
        <v>#N/A Requesting Data...</v>
      </c>
      <c r="O297" s="8" t="str">
        <f>IF($A297="","",IF(ISNUMBER(FIND("IMPVOL",O$1)),_xll.BDH(config!$G$4,O$1,WORKDAY($A297,-1,config_Holiday_Calendar_US),WORKDAY($A297,-1,config_Holiday_Calendar_US)),IF(ISNUMBER(_xll.BDH(config!$G$4,O$1,$A297,$A297)),_xll.BDH(config!$G$4,O$1,$A297,$A297),_xll.BDH(config!$G$5,O$1,$A297,$A297))))</f>
        <v>#N/A Requesting Data...</v>
      </c>
      <c r="P297" s="8" t="str">
        <f>IF($A297="","",IF(ISNUMBER(FIND("IMPVOL",P$1)),_xll.BDH(config!$G$4,P$1,WORKDAY($A297,-1,config_Holiday_Calendar_US),WORKDAY($A297,-1,config_Holiday_Calendar_US)),IF(ISNUMBER(_xll.BDH(config!$G$4,P$1,$A297,$A297)),_xll.BDH(config!$G$4,P$1,$A297,$A297),_xll.BDH(config!$G$5,P$1,$A297,$A297))))</f>
        <v>#N/A Requesting Data...</v>
      </c>
      <c r="Q297" s="8">
        <f>IF($A297="","",IF(ISNUMBER(FIND("IMPVOL",Q$1)),_xll.BDH(config!$G$4,Q$1,WORKDAY($A297,-1,config_Holiday_Calendar_US),WORKDAY($A297,-1,config_Holiday_Calendar_US)),IF(ISNUMBER(_xll.BDH(config!$G$4,Q$1,$A297,$A297)),_xll.BDH(config!$G$4,Q$1,$A297,$A297),_xll.BDH(config!$G$5,Q$1,$A297,$A297))))</f>
        <v>88.87</v>
      </c>
      <c r="R297" s="8">
        <f>IF($A297="","",IF(ISNUMBER(FIND("IMPVOL",R$1)),_xll.BDH(config!$G$4,R$1,WORKDAY($A297,-1,config_Holiday_Calendar_US),WORKDAY($A297,-1,config_Holiday_Calendar_US)),IF(ISNUMBER(_xll.BDH(config!$G$4,R$1,$A297,$A297)),_xll.BDH(config!$G$4,R$1,$A297,$A297),_xll.BDH(config!$G$5,R$1,$A297,$A297))))</f>
        <v>64.489999999999995</v>
      </c>
      <c r="S297" s="8" t="str">
        <f>IF($A297="","",IF(ISNUMBER(FIND("IMPVOL",S$1)),_xll.BDH(config!$G$4,S$1,WORKDAY($A297,-1,config_Holiday_Calendar_US),WORKDAY($A297,-1,config_Holiday_Calendar_US)),IF(ISNUMBER(_xll.BDH(config!$G$4,S$1,$A297,$A297)),_xll.BDH(config!$G$4,S$1,$A297,$A297),_xll.BDH(config!$G$5,S$1,$A297,$A297))))</f>
        <v>#N/A Requesting Data...</v>
      </c>
      <c r="T297" s="8" t="str">
        <f>IF($A297="","",IF(ISNUMBER(FIND("IMPVOL",T$1)),_xll.BDH(config!$G$4,T$1,WORKDAY($A297,-1,config_Holiday_Calendar_US),WORKDAY($A297,-1,config_Holiday_Calendar_US)),IF(ISNUMBER(_xll.BDH(config!$G$4,T$1,$A297,$A297)),_xll.BDH(config!$G$4,T$1,$A297,$A297),_xll.BDH(config!$G$5,T$1,$A297,$A297))))</f>
        <v>#N/A Requesting Data...</v>
      </c>
      <c r="U297" s="8" t="str">
        <f>IF($A297="","",IF(ISNUMBER(FIND("IMPVOL",U$1)),_xll.BDH(config!$G$4,U$1,WORKDAY($A297,-1,config_Holiday_Calendar_US),WORKDAY($A297,-1,config_Holiday_Calendar_US)),IF(ISNUMBER(_xll.BDH(config!$G$4,U$1,$A297,$A297)),_xll.BDH(config!$G$4,U$1,$A297,$A297),_xll.BDH(config!$G$5,U$1,$A297,$A297))))</f>
        <v>#N/A Requesting Data...</v>
      </c>
      <c r="V297" s="8" t="str">
        <f>IF($A297="","",IF(ISNUMBER(FIND("IMPVOL",V$1)),_xll.BDH(config!$G$4,V$1,WORKDAY($A297,-1,config_Holiday_Calendar_US),WORKDAY($A297,-1,config_Holiday_Calendar_US)),IF(ISNUMBER(_xll.BDH(config!$G$4,V$1,$A297,$A297)),_xll.BDH(config!$G$4,V$1,$A297,$A297),_xll.BDH(config!$G$5,V$1,$A297,$A297))))</f>
        <v>#N/A Requesting Data...</v>
      </c>
      <c r="W297" s="8" t="str">
        <f>IF($A297="","",IF(ISNUMBER(FIND("IMPVOL",W$1)),_xll.BDH(config!$G$4,W$1,WORKDAY($A297,-1,config_Holiday_Calendar_US),WORKDAY($A297,-1,config_Holiday_Calendar_US)),IF(ISNUMBER(_xll.BDH(config!$G$4,W$1,$A297,$A297)),_xll.BDH(config!$G$4,W$1,$A297,$A297),_xll.BDH(config!$G$5,W$1,$A297,$A297))))</f>
        <v>#N/A Requesting Data...</v>
      </c>
    </row>
    <row r="298" spans="1:23" x14ac:dyDescent="0.2">
      <c r="A298" s="9">
        <f>IF(A297="","",IF(WORKDAY(A297,-1,config_Holiday_Calendar_US)&lt;config!$I$10,"",WORKDAY(A297,-1,config_Holiday_Calendar_US)))</f>
        <v>42401</v>
      </c>
      <c r="B298" s="8" t="e">
        <f t="shared" si="4"/>
        <v>#VALUE!</v>
      </c>
      <c r="C298" s="8" t="str">
        <f>IF(A298="","",_xll.BDH(config!$H$4,C$1,$A298,$A298))</f>
        <v>#N/A Requesting Data...</v>
      </c>
      <c r="D298" s="8" t="str">
        <f>IF($A298="","",_xll.BDH(config!$H$4,D$1,$A298,$A298))</f>
        <v>#N/A Requesting Data...</v>
      </c>
      <c r="E298" s="8">
        <f>IF($A298="","",IF(ISNUMBER(FIND("IMPVOL",E$1)),_xll.BDH(config!$G$4,E$1,WORKDAY($A298,-1,config_Holiday_Calendar_US),WORKDAY($A298,-1,config_Holiday_Calendar_US)),IF(ISNUMBER(_xll.BDH(config!$G$4,E$1,$A298,$A298)),_xll.BDH(config!$G$4,E$1,$A298,$A298),_xll.BDH(config!$G$5,E$1,$A298,$A298))))</f>
        <v>33.83</v>
      </c>
      <c r="F298" s="8">
        <f>IF($A298="","",IF(ISNUMBER(FIND("IMPVOL",F$1)),_xll.BDH(config!$G$4,F$1,WORKDAY($A298,-1,config_Holiday_Calendar_US),WORKDAY($A298,-1,config_Holiday_Calendar_US)),IF(ISNUMBER(_xll.BDH(config!$G$4,F$1,$A298,$A298)),_xll.BDH(config!$G$4,F$1,$A298,$A298),_xll.BDH(config!$G$5,F$1,$A298,$A298))))</f>
        <v>34.18</v>
      </c>
      <c r="G298" s="8">
        <f>IF($A298="","",IF(ISNUMBER(FIND("IMPVOL",G$1)),_xll.BDH(config!$G$4,G$1,WORKDAY($A298,-1,config_Holiday_Calendar_US),WORKDAY($A298,-1,config_Holiday_Calendar_US)),IF(ISNUMBER(_xll.BDH(config!$G$4,G$1,$A298,$A298)),_xll.BDH(config!$G$4,G$1,$A298,$A298),_xll.BDH(config!$G$5,G$1,$A298,$A298))))</f>
        <v>33.03</v>
      </c>
      <c r="H298" s="8">
        <f>IF($A298="","",IF(ISNUMBER(FIND("IMPVOL",H$1)),_xll.BDH(config!$G$4,H$1,WORKDAY($A298,-1,config_Holiday_Calendar_US),WORKDAY($A298,-1,config_Holiday_Calendar_US)),IF(ISNUMBER(_xll.BDH(config!$G$4,H$1,$A298,$A298)),_xll.BDH(config!$G$4,H$1,$A298,$A298),_xll.BDH(config!$G$5,H$1,$A298,$A298))))</f>
        <v>165432</v>
      </c>
      <c r="I298" s="8" t="str">
        <f>IF($A298="","",IF(ISNUMBER(FIND("IMPVOL",I$1)),_xll.BDH(config!$G$4,I$1,WORKDAY($A298,-1,config_Holiday_Calendar_US),WORKDAY($A298,-1,config_Holiday_Calendar_US)),IF(ISNUMBER(_xll.BDH(config!$G$4,I$1,$A298,$A298)),_xll.BDH(config!$G$4,I$1,$A298,$A298),_xll.BDH(config!$G$5,I$1,$A298,$A298))))</f>
        <v>#N/A Requesting Data...</v>
      </c>
      <c r="J298" s="8" t="str">
        <f>IF($A298="","",IF(ISNUMBER(FIND("IMPVOL",J$1)),_xll.BDH(config!$G$4,J$1,WORKDAY($A298,-1,config_Holiday_Calendar_US),WORKDAY($A298,-1,config_Holiday_Calendar_US)),IF(ISNUMBER(_xll.BDH(config!$G$4,J$1,$A298,$A298)),_xll.BDH(config!$G$4,J$1,$A298,$A298),_xll.BDH(config!$G$5,J$1,$A298,$A298))))</f>
        <v>#N/A Requesting Data...</v>
      </c>
      <c r="K298" s="8" t="str">
        <f>IF($A298="","",IF(ISNUMBER(FIND("IMPVOL",K$1)),_xll.BDH(config!$G$4,K$1,WORKDAY($A298,-1,config_Holiday_Calendar_US),WORKDAY($A298,-1,config_Holiday_Calendar_US)),IF(ISNUMBER(_xll.BDH(config!$G$4,K$1,$A298,$A298)),_xll.BDH(config!$G$4,K$1,$A298,$A298),_xll.BDH(config!$G$5,K$1,$A298,$A298))))</f>
        <v>#N/A Requesting Data...</v>
      </c>
      <c r="L298" s="8" t="str">
        <f>IF($A298="","",IF(ISNUMBER(FIND("IMPVOL",L$1)),_xll.BDH(config!$G$4,L$1,WORKDAY($A298,-1,config_Holiday_Calendar_US),WORKDAY($A298,-1,config_Holiday_Calendar_US)),IF(ISNUMBER(_xll.BDH(config!$G$4,L$1,$A298,$A298)),_xll.BDH(config!$G$4,L$1,$A298,$A298),_xll.BDH(config!$G$5,L$1,$A298,$A298))))</f>
        <v>#N/A Requesting Data...</v>
      </c>
      <c r="M298" s="8" t="str">
        <f>IF($A298="","",IF(ISNUMBER(FIND("IMPVOL",M$1)),_xll.BDH(config!$G$4,M$1,WORKDAY($A298,-1,config_Holiday_Calendar_US),WORKDAY($A298,-1,config_Holiday_Calendar_US)),IF(ISNUMBER(_xll.BDH(config!$G$4,M$1,$A298,$A298)),_xll.BDH(config!$G$4,M$1,$A298,$A298),_xll.BDH(config!$G$5,M$1,$A298,$A298))))</f>
        <v>#N/A Requesting Data...</v>
      </c>
      <c r="N298" s="8" t="str">
        <f>IF($A298="","",IF(ISNUMBER(FIND("IMPVOL",N$1)),_xll.BDH(config!$G$4,N$1,WORKDAY($A298,-1,config_Holiday_Calendar_US),WORKDAY($A298,-1,config_Holiday_Calendar_US)),IF(ISNUMBER(_xll.BDH(config!$G$4,N$1,$A298,$A298)),_xll.BDH(config!$G$4,N$1,$A298,$A298),_xll.BDH(config!$G$5,N$1,$A298,$A298))))</f>
        <v>#N/A Requesting Data...</v>
      </c>
      <c r="O298" s="8" t="str">
        <f>IF($A298="","",IF(ISNUMBER(FIND("IMPVOL",O$1)),_xll.BDH(config!$G$4,O$1,WORKDAY($A298,-1,config_Holiday_Calendar_US),WORKDAY($A298,-1,config_Holiday_Calendar_US)),IF(ISNUMBER(_xll.BDH(config!$G$4,O$1,$A298,$A298)),_xll.BDH(config!$G$4,O$1,$A298,$A298),_xll.BDH(config!$G$5,O$1,$A298,$A298))))</f>
        <v>#N/A Requesting Data...</v>
      </c>
      <c r="P298" s="8" t="str">
        <f>IF($A298="","",IF(ISNUMBER(FIND("IMPVOL",P$1)),_xll.BDH(config!$G$4,P$1,WORKDAY($A298,-1,config_Holiday_Calendar_US),WORKDAY($A298,-1,config_Holiday_Calendar_US)),IF(ISNUMBER(_xll.BDH(config!$G$4,P$1,$A298,$A298)),_xll.BDH(config!$G$4,P$1,$A298,$A298),_xll.BDH(config!$G$5,P$1,$A298,$A298))))</f>
        <v>#N/A Requesting Data...</v>
      </c>
      <c r="Q298" s="8">
        <f>IF($A298="","",IF(ISNUMBER(FIND("IMPVOL",Q$1)),_xll.BDH(config!$G$4,Q$1,WORKDAY($A298,-1,config_Holiday_Calendar_US),WORKDAY($A298,-1,config_Holiday_Calendar_US)),IF(ISNUMBER(_xll.BDH(config!$G$4,Q$1,$A298,$A298)),_xll.BDH(config!$G$4,Q$1,$A298,$A298),_xll.BDH(config!$G$5,Q$1,$A298,$A298))))</f>
        <v>86.22</v>
      </c>
      <c r="R298" s="8">
        <f>IF($A298="","",IF(ISNUMBER(FIND("IMPVOL",R$1)),_xll.BDH(config!$G$4,R$1,WORKDAY($A298,-1,config_Holiday_Calendar_US),WORKDAY($A298,-1,config_Holiday_Calendar_US)),IF(ISNUMBER(_xll.BDH(config!$G$4,R$1,$A298,$A298)),_xll.BDH(config!$G$4,R$1,$A298,$A298),_xll.BDH(config!$G$5,R$1,$A298,$A298))))</f>
        <v>62.65</v>
      </c>
      <c r="S298" s="8" t="str">
        <f>IF($A298="","",IF(ISNUMBER(FIND("IMPVOL",S$1)),_xll.BDH(config!$G$4,S$1,WORKDAY($A298,-1,config_Holiday_Calendar_US),WORKDAY($A298,-1,config_Holiday_Calendar_US)),IF(ISNUMBER(_xll.BDH(config!$G$4,S$1,$A298,$A298)),_xll.BDH(config!$G$4,S$1,$A298,$A298),_xll.BDH(config!$G$5,S$1,$A298,$A298))))</f>
        <v>#N/A Requesting Data...</v>
      </c>
      <c r="T298" s="8" t="str">
        <f>IF($A298="","",IF(ISNUMBER(FIND("IMPVOL",T$1)),_xll.BDH(config!$G$4,T$1,WORKDAY($A298,-1,config_Holiday_Calendar_US),WORKDAY($A298,-1,config_Holiday_Calendar_US)),IF(ISNUMBER(_xll.BDH(config!$G$4,T$1,$A298,$A298)),_xll.BDH(config!$G$4,T$1,$A298,$A298),_xll.BDH(config!$G$5,T$1,$A298,$A298))))</f>
        <v>#N/A Requesting Data...</v>
      </c>
      <c r="U298" s="8" t="str">
        <f>IF($A298="","",IF(ISNUMBER(FIND("IMPVOL",U$1)),_xll.BDH(config!$G$4,U$1,WORKDAY($A298,-1,config_Holiday_Calendar_US),WORKDAY($A298,-1,config_Holiday_Calendar_US)),IF(ISNUMBER(_xll.BDH(config!$G$4,U$1,$A298,$A298)),_xll.BDH(config!$G$4,U$1,$A298,$A298),_xll.BDH(config!$G$5,U$1,$A298,$A298))))</f>
        <v>#N/A Requesting Data...</v>
      </c>
      <c r="V298" s="8" t="str">
        <f>IF($A298="","",IF(ISNUMBER(FIND("IMPVOL",V$1)),_xll.BDH(config!$G$4,V$1,WORKDAY($A298,-1,config_Holiday_Calendar_US),WORKDAY($A298,-1,config_Holiday_Calendar_US)),IF(ISNUMBER(_xll.BDH(config!$G$4,V$1,$A298,$A298)),_xll.BDH(config!$G$4,V$1,$A298,$A298),_xll.BDH(config!$G$5,V$1,$A298,$A298))))</f>
        <v>#N/A Requesting Data...</v>
      </c>
      <c r="W298" s="8" t="str">
        <f>IF($A298="","",IF(ISNUMBER(FIND("IMPVOL",W$1)),_xll.BDH(config!$G$4,W$1,WORKDAY($A298,-1,config_Holiday_Calendar_US),WORKDAY($A298,-1,config_Holiday_Calendar_US)),IF(ISNUMBER(_xll.BDH(config!$G$4,W$1,$A298,$A298)),_xll.BDH(config!$G$4,W$1,$A298,$A298),_xll.BDH(config!$G$5,W$1,$A298,$A298))))</f>
        <v>#N/A Requesting Data...</v>
      </c>
    </row>
    <row r="299" spans="1:23" x14ac:dyDescent="0.2">
      <c r="A299" s="9">
        <f>IF(A298="","",IF(WORKDAY(A298,-1,config_Holiday_Calendar_US)&lt;config!$I$10,"",WORKDAY(A298,-1,config_Holiday_Calendar_US)))</f>
        <v>42398</v>
      </c>
      <c r="B299" s="8" t="e">
        <f t="shared" si="4"/>
        <v>#VALUE!</v>
      </c>
      <c r="C299" s="8" t="str">
        <f>IF(A299="","",_xll.BDH(config!$H$4,C$1,$A299,$A299))</f>
        <v>#N/A Requesting Data...</v>
      </c>
      <c r="D299" s="8" t="str">
        <f>IF($A299="","",_xll.BDH(config!$H$4,D$1,$A299,$A299))</f>
        <v>#N/A Requesting Data...</v>
      </c>
      <c r="E299" s="8">
        <f>IF($A299="","",IF(ISNUMBER(FIND("IMPVOL",E$1)),_xll.BDH(config!$G$4,E$1,WORKDAY($A299,-1,config_Holiday_Calendar_US),WORKDAY($A299,-1,config_Holiday_Calendar_US)),IF(ISNUMBER(_xll.BDH(config!$G$4,E$1,$A299,$A299)),_xll.BDH(config!$G$4,E$1,$A299,$A299),_xll.BDH(config!$G$5,E$1,$A299,$A299))))</f>
        <v>33.700000000000003</v>
      </c>
      <c r="F299" s="8">
        <f>IF($A299="","",IF(ISNUMBER(FIND("IMPVOL",F$1)),_xll.BDH(config!$G$4,F$1,WORKDAY($A299,-1,config_Holiday_Calendar_US),WORKDAY($A299,-1,config_Holiday_Calendar_US)),IF(ISNUMBER(_xll.BDH(config!$G$4,F$1,$A299,$A299)),_xll.BDH(config!$G$4,F$1,$A299,$A299),_xll.BDH(config!$G$5,F$1,$A299,$A299))))</f>
        <v>34.4</v>
      </c>
      <c r="G299" s="8">
        <f>IF($A299="","",IF(ISNUMBER(FIND("IMPVOL",G$1)),_xll.BDH(config!$G$4,G$1,WORKDAY($A299,-1,config_Holiday_Calendar_US),WORKDAY($A299,-1,config_Holiday_Calendar_US)),IF(ISNUMBER(_xll.BDH(config!$G$4,G$1,$A299,$A299)),_xll.BDH(config!$G$4,G$1,$A299,$A299),_xll.BDH(config!$G$5,G$1,$A299,$A299))))</f>
        <v>34.29</v>
      </c>
      <c r="H299" s="8">
        <f>IF($A299="","",IF(ISNUMBER(FIND("IMPVOL",H$1)),_xll.BDH(config!$G$4,H$1,WORKDAY($A299,-1,config_Holiday_Calendar_US),WORKDAY($A299,-1,config_Holiday_Calendar_US)),IF(ISNUMBER(_xll.BDH(config!$G$4,H$1,$A299,$A299)),_xll.BDH(config!$G$4,H$1,$A299,$A299),_xll.BDH(config!$G$5,H$1,$A299,$A299))))</f>
        <v>178457</v>
      </c>
      <c r="I299" s="8" t="str">
        <f>IF($A299="","",IF(ISNUMBER(FIND("IMPVOL",I$1)),_xll.BDH(config!$G$4,I$1,WORKDAY($A299,-1,config_Holiday_Calendar_US),WORKDAY($A299,-1,config_Holiday_Calendar_US)),IF(ISNUMBER(_xll.BDH(config!$G$4,I$1,$A299,$A299)),_xll.BDH(config!$G$4,I$1,$A299,$A299),_xll.BDH(config!$G$5,I$1,$A299,$A299))))</f>
        <v>#N/A Requesting Data...</v>
      </c>
      <c r="J299" s="8" t="str">
        <f>IF($A299="","",IF(ISNUMBER(FIND("IMPVOL",J$1)),_xll.BDH(config!$G$4,J$1,WORKDAY($A299,-1,config_Holiday_Calendar_US),WORKDAY($A299,-1,config_Holiday_Calendar_US)),IF(ISNUMBER(_xll.BDH(config!$G$4,J$1,$A299,$A299)),_xll.BDH(config!$G$4,J$1,$A299,$A299),_xll.BDH(config!$G$5,J$1,$A299,$A299))))</f>
        <v>#N/A Requesting Data...</v>
      </c>
      <c r="K299" s="8" t="str">
        <f>IF($A299="","",IF(ISNUMBER(FIND("IMPVOL",K$1)),_xll.BDH(config!$G$4,K$1,WORKDAY($A299,-1,config_Holiday_Calendar_US),WORKDAY($A299,-1,config_Holiday_Calendar_US)),IF(ISNUMBER(_xll.BDH(config!$G$4,K$1,$A299,$A299)),_xll.BDH(config!$G$4,K$1,$A299,$A299),_xll.BDH(config!$G$5,K$1,$A299,$A299))))</f>
        <v>#N/A Requesting Data...</v>
      </c>
      <c r="L299" s="8" t="str">
        <f>IF($A299="","",IF(ISNUMBER(FIND("IMPVOL",L$1)),_xll.BDH(config!$G$4,L$1,WORKDAY($A299,-1,config_Holiday_Calendar_US),WORKDAY($A299,-1,config_Holiday_Calendar_US)),IF(ISNUMBER(_xll.BDH(config!$G$4,L$1,$A299,$A299)),_xll.BDH(config!$G$4,L$1,$A299,$A299),_xll.BDH(config!$G$5,L$1,$A299,$A299))))</f>
        <v>#N/A Requesting Data...</v>
      </c>
      <c r="M299" s="8" t="str">
        <f>IF($A299="","",IF(ISNUMBER(FIND("IMPVOL",M$1)),_xll.BDH(config!$G$4,M$1,WORKDAY($A299,-1,config_Holiday_Calendar_US),WORKDAY($A299,-1,config_Holiday_Calendar_US)),IF(ISNUMBER(_xll.BDH(config!$G$4,M$1,$A299,$A299)),_xll.BDH(config!$G$4,M$1,$A299,$A299),_xll.BDH(config!$G$5,M$1,$A299,$A299))))</f>
        <v>#N/A Requesting Data...</v>
      </c>
      <c r="N299" s="8" t="str">
        <f>IF($A299="","",IF(ISNUMBER(FIND("IMPVOL",N$1)),_xll.BDH(config!$G$4,N$1,WORKDAY($A299,-1,config_Holiday_Calendar_US),WORKDAY($A299,-1,config_Holiday_Calendar_US)),IF(ISNUMBER(_xll.BDH(config!$G$4,N$1,$A299,$A299)),_xll.BDH(config!$G$4,N$1,$A299,$A299),_xll.BDH(config!$G$5,N$1,$A299,$A299))))</f>
        <v>#N/A Requesting Data...</v>
      </c>
      <c r="O299" s="8" t="str">
        <f>IF($A299="","",IF(ISNUMBER(FIND("IMPVOL",O$1)),_xll.BDH(config!$G$4,O$1,WORKDAY($A299,-1,config_Holiday_Calendar_US),WORKDAY($A299,-1,config_Holiday_Calendar_US)),IF(ISNUMBER(_xll.BDH(config!$G$4,O$1,$A299,$A299)),_xll.BDH(config!$G$4,O$1,$A299,$A299),_xll.BDH(config!$G$5,O$1,$A299,$A299))))</f>
        <v>#N/A Requesting Data...</v>
      </c>
      <c r="P299" s="8" t="str">
        <f>IF($A299="","",IF(ISNUMBER(FIND("IMPVOL",P$1)),_xll.BDH(config!$G$4,P$1,WORKDAY($A299,-1,config_Holiday_Calendar_US),WORKDAY($A299,-1,config_Holiday_Calendar_US)),IF(ISNUMBER(_xll.BDH(config!$G$4,P$1,$A299,$A299)),_xll.BDH(config!$G$4,P$1,$A299,$A299),_xll.BDH(config!$G$5,P$1,$A299,$A299))))</f>
        <v>#N/A Requesting Data...</v>
      </c>
      <c r="Q299" s="8">
        <f>IF($A299="","",IF(ISNUMBER(FIND("IMPVOL",Q$1)),_xll.BDH(config!$G$4,Q$1,WORKDAY($A299,-1,config_Holiday_Calendar_US),WORKDAY($A299,-1,config_Holiday_Calendar_US)),IF(ISNUMBER(_xll.BDH(config!$G$4,Q$1,$A299,$A299)),_xll.BDH(config!$G$4,Q$1,$A299,$A299),_xll.BDH(config!$G$5,Q$1,$A299,$A299))))</f>
        <v>79.88</v>
      </c>
      <c r="R299" s="8">
        <f>IF($A299="","",IF(ISNUMBER(FIND("IMPVOL",R$1)),_xll.BDH(config!$G$4,R$1,WORKDAY($A299,-1,config_Holiday_Calendar_US),WORKDAY($A299,-1,config_Holiday_Calendar_US)),IF(ISNUMBER(_xll.BDH(config!$G$4,R$1,$A299,$A299)),_xll.BDH(config!$G$4,R$1,$A299,$A299),_xll.BDH(config!$G$5,R$1,$A299,$A299))))</f>
        <v>60.56</v>
      </c>
      <c r="S299" s="8" t="str">
        <f>IF($A299="","",IF(ISNUMBER(FIND("IMPVOL",S$1)),_xll.BDH(config!$G$4,S$1,WORKDAY($A299,-1,config_Holiday_Calendar_US),WORKDAY($A299,-1,config_Holiday_Calendar_US)),IF(ISNUMBER(_xll.BDH(config!$G$4,S$1,$A299,$A299)),_xll.BDH(config!$G$4,S$1,$A299,$A299),_xll.BDH(config!$G$5,S$1,$A299,$A299))))</f>
        <v>#N/A Requesting Data...</v>
      </c>
      <c r="T299" s="8" t="str">
        <f>IF($A299="","",IF(ISNUMBER(FIND("IMPVOL",T$1)),_xll.BDH(config!$G$4,T$1,WORKDAY($A299,-1,config_Holiday_Calendar_US),WORKDAY($A299,-1,config_Holiday_Calendar_US)),IF(ISNUMBER(_xll.BDH(config!$G$4,T$1,$A299,$A299)),_xll.BDH(config!$G$4,T$1,$A299,$A299),_xll.BDH(config!$G$5,T$1,$A299,$A299))))</f>
        <v>#N/A Requesting Data...</v>
      </c>
      <c r="U299" s="8" t="str">
        <f>IF($A299="","",IF(ISNUMBER(FIND("IMPVOL",U$1)),_xll.BDH(config!$G$4,U$1,WORKDAY($A299,-1,config_Holiday_Calendar_US),WORKDAY($A299,-1,config_Holiday_Calendar_US)),IF(ISNUMBER(_xll.BDH(config!$G$4,U$1,$A299,$A299)),_xll.BDH(config!$G$4,U$1,$A299,$A299),_xll.BDH(config!$G$5,U$1,$A299,$A299))))</f>
        <v>#N/A Requesting Data...</v>
      </c>
      <c r="V299" s="8" t="str">
        <f>IF($A299="","",IF(ISNUMBER(FIND("IMPVOL",V$1)),_xll.BDH(config!$G$4,V$1,WORKDAY($A299,-1,config_Holiday_Calendar_US),WORKDAY($A299,-1,config_Holiday_Calendar_US)),IF(ISNUMBER(_xll.BDH(config!$G$4,V$1,$A299,$A299)),_xll.BDH(config!$G$4,V$1,$A299,$A299),_xll.BDH(config!$G$5,V$1,$A299,$A299))))</f>
        <v>#N/A Requesting Data...</v>
      </c>
      <c r="W299" s="8" t="str">
        <f>IF($A299="","",IF(ISNUMBER(FIND("IMPVOL",W$1)),_xll.BDH(config!$G$4,W$1,WORKDAY($A299,-1,config_Holiday_Calendar_US),WORKDAY($A299,-1,config_Holiday_Calendar_US)),IF(ISNUMBER(_xll.BDH(config!$G$4,W$1,$A299,$A299)),_xll.BDH(config!$G$4,W$1,$A299,$A299),_xll.BDH(config!$G$5,W$1,$A299,$A299))))</f>
        <v>#N/A Requesting Data...</v>
      </c>
    </row>
    <row r="300" spans="1:23" x14ac:dyDescent="0.2">
      <c r="A300" s="9">
        <f>IF(A299="","",IF(WORKDAY(A299,-1,config_Holiday_Calendar_US)&lt;config!$I$10,"",WORKDAY(A299,-1,config_Holiday_Calendar_US)))</f>
        <v>42397</v>
      </c>
      <c r="B300" s="8" t="e">
        <f t="shared" si="4"/>
        <v>#VALUE!</v>
      </c>
      <c r="C300" s="8" t="str">
        <f>IF(A300="","",_xll.BDH(config!$H$4,C$1,$A300,$A300))</f>
        <v>#N/A Requesting Data...</v>
      </c>
      <c r="D300" s="8" t="str">
        <f>IF($A300="","",_xll.BDH(config!$H$4,D$1,$A300,$A300))</f>
        <v>#N/A Requesting Data...</v>
      </c>
      <c r="E300" s="8">
        <f>IF($A300="","",IF(ISNUMBER(FIND("IMPVOL",E$1)),_xll.BDH(config!$G$4,E$1,WORKDAY($A300,-1,config_Holiday_Calendar_US),WORKDAY($A300,-1,config_Holiday_Calendar_US)),IF(ISNUMBER(_xll.BDH(config!$G$4,E$1,$A300,$A300)),_xll.BDH(config!$G$4,E$1,$A300,$A300),_xll.BDH(config!$G$5,E$1,$A300,$A300))))</f>
        <v>32.19</v>
      </c>
      <c r="F300" s="8">
        <f>IF($A300="","",IF(ISNUMBER(FIND("IMPVOL",F$1)),_xll.BDH(config!$G$4,F$1,WORKDAY($A300,-1,config_Holiday_Calendar_US),WORKDAY($A300,-1,config_Holiday_Calendar_US)),IF(ISNUMBER(_xll.BDH(config!$G$4,F$1,$A300,$A300)),_xll.BDH(config!$G$4,F$1,$A300,$A300),_xll.BDH(config!$G$5,F$1,$A300,$A300))))</f>
        <v>34.82</v>
      </c>
      <c r="G300" s="8">
        <f>IF($A300="","",IF(ISNUMBER(FIND("IMPVOL",G$1)),_xll.BDH(config!$G$4,G$1,WORKDAY($A300,-1,config_Holiday_Calendar_US),WORKDAY($A300,-1,config_Holiday_Calendar_US)),IF(ISNUMBER(_xll.BDH(config!$G$4,G$1,$A300,$A300)),_xll.BDH(config!$G$4,G$1,$A300,$A300),_xll.BDH(config!$G$5,G$1,$A300,$A300))))</f>
        <v>33.24</v>
      </c>
      <c r="H300" s="8">
        <f>IF($A300="","",IF(ISNUMBER(FIND("IMPVOL",H$1)),_xll.BDH(config!$G$4,H$1,WORKDAY($A300,-1,config_Holiday_Calendar_US),WORKDAY($A300,-1,config_Holiday_Calendar_US)),IF(ISNUMBER(_xll.BDH(config!$G$4,H$1,$A300,$A300)),_xll.BDH(config!$G$4,H$1,$A300,$A300),_xll.BDH(config!$G$5,H$1,$A300,$A300))))</f>
        <v>202581</v>
      </c>
      <c r="I300" s="8" t="str">
        <f>IF($A300="","",IF(ISNUMBER(FIND("IMPVOL",I$1)),_xll.BDH(config!$G$4,I$1,WORKDAY($A300,-1,config_Holiday_Calendar_US),WORKDAY($A300,-1,config_Holiday_Calendar_US)),IF(ISNUMBER(_xll.BDH(config!$G$4,I$1,$A300,$A300)),_xll.BDH(config!$G$4,I$1,$A300,$A300),_xll.BDH(config!$G$5,I$1,$A300,$A300))))</f>
        <v>#N/A Requesting Data...</v>
      </c>
      <c r="J300" s="8" t="str">
        <f>IF($A300="","",IF(ISNUMBER(FIND("IMPVOL",J$1)),_xll.BDH(config!$G$4,J$1,WORKDAY($A300,-1,config_Holiday_Calendar_US),WORKDAY($A300,-1,config_Holiday_Calendar_US)),IF(ISNUMBER(_xll.BDH(config!$G$4,J$1,$A300,$A300)),_xll.BDH(config!$G$4,J$1,$A300,$A300),_xll.BDH(config!$G$5,J$1,$A300,$A300))))</f>
        <v>#N/A Requesting Data...</v>
      </c>
      <c r="K300" s="8" t="str">
        <f>IF($A300="","",IF(ISNUMBER(FIND("IMPVOL",K$1)),_xll.BDH(config!$G$4,K$1,WORKDAY($A300,-1,config_Holiday_Calendar_US),WORKDAY($A300,-1,config_Holiday_Calendar_US)),IF(ISNUMBER(_xll.BDH(config!$G$4,K$1,$A300,$A300)),_xll.BDH(config!$G$4,K$1,$A300,$A300),_xll.BDH(config!$G$5,K$1,$A300,$A300))))</f>
        <v>#N/A Requesting Data...</v>
      </c>
      <c r="L300" s="8" t="str">
        <f>IF($A300="","",IF(ISNUMBER(FIND("IMPVOL",L$1)),_xll.BDH(config!$G$4,L$1,WORKDAY($A300,-1,config_Holiday_Calendar_US),WORKDAY($A300,-1,config_Holiday_Calendar_US)),IF(ISNUMBER(_xll.BDH(config!$G$4,L$1,$A300,$A300)),_xll.BDH(config!$G$4,L$1,$A300,$A300),_xll.BDH(config!$G$5,L$1,$A300,$A300))))</f>
        <v>#N/A Requesting Data...</v>
      </c>
      <c r="M300" s="8" t="str">
        <f>IF($A300="","",IF(ISNUMBER(FIND("IMPVOL",M$1)),_xll.BDH(config!$G$4,M$1,WORKDAY($A300,-1,config_Holiday_Calendar_US),WORKDAY($A300,-1,config_Holiday_Calendar_US)),IF(ISNUMBER(_xll.BDH(config!$G$4,M$1,$A300,$A300)),_xll.BDH(config!$G$4,M$1,$A300,$A300),_xll.BDH(config!$G$5,M$1,$A300,$A300))))</f>
        <v>#N/A Requesting Data...</v>
      </c>
      <c r="N300" s="8" t="str">
        <f>IF($A300="","",IF(ISNUMBER(FIND("IMPVOL",N$1)),_xll.BDH(config!$G$4,N$1,WORKDAY($A300,-1,config_Holiday_Calendar_US),WORKDAY($A300,-1,config_Holiday_Calendar_US)),IF(ISNUMBER(_xll.BDH(config!$G$4,N$1,$A300,$A300)),_xll.BDH(config!$G$4,N$1,$A300,$A300),_xll.BDH(config!$G$5,N$1,$A300,$A300))))</f>
        <v>#N/A Requesting Data...</v>
      </c>
      <c r="O300" s="8" t="str">
        <f>IF($A300="","",IF(ISNUMBER(FIND("IMPVOL",O$1)),_xll.BDH(config!$G$4,O$1,WORKDAY($A300,-1,config_Holiday_Calendar_US),WORKDAY($A300,-1,config_Holiday_Calendar_US)),IF(ISNUMBER(_xll.BDH(config!$G$4,O$1,$A300,$A300)),_xll.BDH(config!$G$4,O$1,$A300,$A300),_xll.BDH(config!$G$5,O$1,$A300,$A300))))</f>
        <v>#N/A Requesting Data...</v>
      </c>
      <c r="P300" s="8" t="str">
        <f>IF($A300="","",IF(ISNUMBER(FIND("IMPVOL",P$1)),_xll.BDH(config!$G$4,P$1,WORKDAY($A300,-1,config_Holiday_Calendar_US),WORKDAY($A300,-1,config_Holiday_Calendar_US)),IF(ISNUMBER(_xll.BDH(config!$G$4,P$1,$A300,$A300)),_xll.BDH(config!$G$4,P$1,$A300,$A300),_xll.BDH(config!$G$5,P$1,$A300,$A300))))</f>
        <v>#N/A Requesting Data...</v>
      </c>
      <c r="Q300" s="8">
        <f>IF($A300="","",IF(ISNUMBER(FIND("IMPVOL",Q$1)),_xll.BDH(config!$G$4,Q$1,WORKDAY($A300,-1,config_Holiday_Calendar_US),WORKDAY($A300,-1,config_Holiday_Calendar_US)),IF(ISNUMBER(_xll.BDH(config!$G$4,Q$1,$A300,$A300)),_xll.BDH(config!$G$4,Q$1,$A300,$A300),_xll.BDH(config!$G$5,Q$1,$A300,$A300))))</f>
        <v>88.68</v>
      </c>
      <c r="R300" s="8">
        <f>IF($A300="","",IF(ISNUMBER(FIND("IMPVOL",R$1)),_xll.BDH(config!$G$4,R$1,WORKDAY($A300,-1,config_Holiday_Calendar_US),WORKDAY($A300,-1,config_Holiday_Calendar_US)),IF(ISNUMBER(_xll.BDH(config!$G$4,R$1,$A300,$A300)),_xll.BDH(config!$G$4,R$1,$A300,$A300),_xll.BDH(config!$G$5,R$1,$A300,$A300))))</f>
        <v>61.78</v>
      </c>
      <c r="S300" s="8" t="str">
        <f>IF($A300="","",IF(ISNUMBER(FIND("IMPVOL",S$1)),_xll.BDH(config!$G$4,S$1,WORKDAY($A300,-1,config_Holiday_Calendar_US),WORKDAY($A300,-1,config_Holiday_Calendar_US)),IF(ISNUMBER(_xll.BDH(config!$G$4,S$1,$A300,$A300)),_xll.BDH(config!$G$4,S$1,$A300,$A300),_xll.BDH(config!$G$5,S$1,$A300,$A300))))</f>
        <v>#N/A Requesting Data...</v>
      </c>
      <c r="T300" s="8" t="str">
        <f>IF($A300="","",IF(ISNUMBER(FIND("IMPVOL",T$1)),_xll.BDH(config!$G$4,T$1,WORKDAY($A300,-1,config_Holiday_Calendar_US),WORKDAY($A300,-1,config_Holiday_Calendar_US)),IF(ISNUMBER(_xll.BDH(config!$G$4,T$1,$A300,$A300)),_xll.BDH(config!$G$4,T$1,$A300,$A300),_xll.BDH(config!$G$5,T$1,$A300,$A300))))</f>
        <v>#N/A Requesting Data...</v>
      </c>
      <c r="U300" s="8" t="str">
        <f>IF($A300="","",IF(ISNUMBER(FIND("IMPVOL",U$1)),_xll.BDH(config!$G$4,U$1,WORKDAY($A300,-1,config_Holiday_Calendar_US),WORKDAY($A300,-1,config_Holiday_Calendar_US)),IF(ISNUMBER(_xll.BDH(config!$G$4,U$1,$A300,$A300)),_xll.BDH(config!$G$4,U$1,$A300,$A300),_xll.BDH(config!$G$5,U$1,$A300,$A300))))</f>
        <v>#N/A Requesting Data...</v>
      </c>
      <c r="V300" s="8" t="str">
        <f>IF($A300="","",IF(ISNUMBER(FIND("IMPVOL",V$1)),_xll.BDH(config!$G$4,V$1,WORKDAY($A300,-1,config_Holiday_Calendar_US),WORKDAY($A300,-1,config_Holiday_Calendar_US)),IF(ISNUMBER(_xll.BDH(config!$G$4,V$1,$A300,$A300)),_xll.BDH(config!$G$4,V$1,$A300,$A300),_xll.BDH(config!$G$5,V$1,$A300,$A300))))</f>
        <v>#N/A Requesting Data...</v>
      </c>
      <c r="W300" s="8" t="str">
        <f>IF($A300="","",IF(ISNUMBER(FIND("IMPVOL",W$1)),_xll.BDH(config!$G$4,W$1,WORKDAY($A300,-1,config_Holiday_Calendar_US),WORKDAY($A300,-1,config_Holiday_Calendar_US)),IF(ISNUMBER(_xll.BDH(config!$G$4,W$1,$A300,$A300)),_xll.BDH(config!$G$4,W$1,$A300,$A300),_xll.BDH(config!$G$5,W$1,$A300,$A300))))</f>
        <v>#N/A Requesting Data...</v>
      </c>
    </row>
    <row r="301" spans="1:23" x14ac:dyDescent="0.2">
      <c r="A301" s="9">
        <f>IF(A300="","",IF(WORKDAY(A300,-1,config_Holiday_Calendar_US)&lt;config!$I$10,"",WORKDAY(A300,-1,config_Holiday_Calendar_US)))</f>
        <v>42396</v>
      </c>
      <c r="B301" s="8" t="e">
        <f t="shared" si="4"/>
        <v>#VALUE!</v>
      </c>
      <c r="C301" s="8" t="str">
        <f>IF(A301="","",_xll.BDH(config!$H$4,C$1,$A301,$A301))</f>
        <v>#N/A Requesting Data...</v>
      </c>
      <c r="D301" s="8" t="str">
        <f>IF($A301="","",_xll.BDH(config!$H$4,D$1,$A301,$A301))</f>
        <v>#N/A Requesting Data...</v>
      </c>
      <c r="E301" s="8">
        <f>IF($A301="","",IF(ISNUMBER(FIND("IMPVOL",E$1)),_xll.BDH(config!$G$4,E$1,WORKDAY($A301,-1,config_Holiday_Calendar_US),WORKDAY($A301,-1,config_Holiday_Calendar_US)),IF(ISNUMBER(_xll.BDH(config!$G$4,E$1,$A301,$A301)),_xll.BDH(config!$G$4,E$1,$A301,$A301),_xll.BDH(config!$G$5,E$1,$A301,$A301))))</f>
        <v>30.55</v>
      </c>
      <c r="F301" s="8">
        <f>IF($A301="","",IF(ISNUMBER(FIND("IMPVOL",F$1)),_xll.BDH(config!$G$4,F$1,WORKDAY($A301,-1,config_Holiday_Calendar_US),WORKDAY($A301,-1,config_Holiday_Calendar_US)),IF(ISNUMBER(_xll.BDH(config!$G$4,F$1,$A301,$A301)),_xll.BDH(config!$G$4,F$1,$A301,$A301),_xll.BDH(config!$G$5,F$1,$A301,$A301))))</f>
        <v>32.840000000000003</v>
      </c>
      <c r="G301" s="8">
        <f>IF($A301="","",IF(ISNUMBER(FIND("IMPVOL",G$1)),_xll.BDH(config!$G$4,G$1,WORKDAY($A301,-1,config_Holiday_Calendar_US),WORKDAY($A301,-1,config_Holiday_Calendar_US)),IF(ISNUMBER(_xll.BDH(config!$G$4,G$1,$A301,$A301)),_xll.BDH(config!$G$4,G$1,$A301,$A301),_xll.BDH(config!$G$5,G$1,$A301,$A301))))</f>
        <v>31.65</v>
      </c>
      <c r="H301" s="8">
        <f>IF($A301="","",IF(ISNUMBER(FIND("IMPVOL",H$1)),_xll.BDH(config!$G$4,H$1,WORKDAY($A301,-1,config_Holiday_Calendar_US),WORKDAY($A301,-1,config_Holiday_Calendar_US)),IF(ISNUMBER(_xll.BDH(config!$G$4,H$1,$A301,$A301)),_xll.BDH(config!$G$4,H$1,$A301,$A301),_xll.BDH(config!$G$5,H$1,$A301,$A301))))</f>
        <v>179258</v>
      </c>
      <c r="I301" s="8" t="str">
        <f>IF($A301="","",IF(ISNUMBER(FIND("IMPVOL",I$1)),_xll.BDH(config!$G$4,I$1,WORKDAY($A301,-1,config_Holiday_Calendar_US),WORKDAY($A301,-1,config_Holiday_Calendar_US)),IF(ISNUMBER(_xll.BDH(config!$G$4,I$1,$A301,$A301)),_xll.BDH(config!$G$4,I$1,$A301,$A301),_xll.BDH(config!$G$5,I$1,$A301,$A301))))</f>
        <v>#N/A Requesting Data...</v>
      </c>
      <c r="J301" s="8" t="str">
        <f>IF($A301="","",IF(ISNUMBER(FIND("IMPVOL",J$1)),_xll.BDH(config!$G$4,J$1,WORKDAY($A301,-1,config_Holiday_Calendar_US),WORKDAY($A301,-1,config_Holiday_Calendar_US)),IF(ISNUMBER(_xll.BDH(config!$G$4,J$1,$A301,$A301)),_xll.BDH(config!$G$4,J$1,$A301,$A301),_xll.BDH(config!$G$5,J$1,$A301,$A301))))</f>
        <v>#N/A Requesting Data...</v>
      </c>
      <c r="K301" s="8" t="str">
        <f>IF($A301="","",IF(ISNUMBER(FIND("IMPVOL",K$1)),_xll.BDH(config!$G$4,K$1,WORKDAY($A301,-1,config_Holiday_Calendar_US),WORKDAY($A301,-1,config_Holiday_Calendar_US)),IF(ISNUMBER(_xll.BDH(config!$G$4,K$1,$A301,$A301)),_xll.BDH(config!$G$4,K$1,$A301,$A301),_xll.BDH(config!$G$5,K$1,$A301,$A301))))</f>
        <v>#N/A Requesting Data...</v>
      </c>
      <c r="L301" s="8" t="str">
        <f>IF($A301="","",IF(ISNUMBER(FIND("IMPVOL",L$1)),_xll.BDH(config!$G$4,L$1,WORKDAY($A301,-1,config_Holiday_Calendar_US),WORKDAY($A301,-1,config_Holiday_Calendar_US)),IF(ISNUMBER(_xll.BDH(config!$G$4,L$1,$A301,$A301)),_xll.BDH(config!$G$4,L$1,$A301,$A301),_xll.BDH(config!$G$5,L$1,$A301,$A301))))</f>
        <v>#N/A Requesting Data...</v>
      </c>
      <c r="M301" s="8" t="str">
        <f>IF($A301="","",IF(ISNUMBER(FIND("IMPVOL",M$1)),_xll.BDH(config!$G$4,M$1,WORKDAY($A301,-1,config_Holiday_Calendar_US),WORKDAY($A301,-1,config_Holiday_Calendar_US)),IF(ISNUMBER(_xll.BDH(config!$G$4,M$1,$A301,$A301)),_xll.BDH(config!$G$4,M$1,$A301,$A301),_xll.BDH(config!$G$5,M$1,$A301,$A301))))</f>
        <v>#N/A Requesting Data...</v>
      </c>
      <c r="N301" s="8" t="str">
        <f>IF($A301="","",IF(ISNUMBER(FIND("IMPVOL",N$1)),_xll.BDH(config!$G$4,N$1,WORKDAY($A301,-1,config_Holiday_Calendar_US),WORKDAY($A301,-1,config_Holiday_Calendar_US)),IF(ISNUMBER(_xll.BDH(config!$G$4,N$1,$A301,$A301)),_xll.BDH(config!$G$4,N$1,$A301,$A301),_xll.BDH(config!$G$5,N$1,$A301,$A301))))</f>
        <v>#N/A Requesting Data...</v>
      </c>
      <c r="O301" s="8" t="str">
        <f>IF($A301="","",IF(ISNUMBER(FIND("IMPVOL",O$1)),_xll.BDH(config!$G$4,O$1,WORKDAY($A301,-1,config_Holiday_Calendar_US),WORKDAY($A301,-1,config_Holiday_Calendar_US)),IF(ISNUMBER(_xll.BDH(config!$G$4,O$1,$A301,$A301)),_xll.BDH(config!$G$4,O$1,$A301,$A301),_xll.BDH(config!$G$5,O$1,$A301,$A301))))</f>
        <v>#N/A Requesting Data...</v>
      </c>
      <c r="P301" s="8" t="str">
        <f>IF($A301="","",IF(ISNUMBER(FIND("IMPVOL",P$1)),_xll.BDH(config!$G$4,P$1,WORKDAY($A301,-1,config_Holiday_Calendar_US),WORKDAY($A301,-1,config_Holiday_Calendar_US)),IF(ISNUMBER(_xll.BDH(config!$G$4,P$1,$A301,$A301)),_xll.BDH(config!$G$4,P$1,$A301,$A301),_xll.BDH(config!$G$5,P$1,$A301,$A301))))</f>
        <v>#N/A Requesting Data...</v>
      </c>
      <c r="Q301" s="8">
        <f>IF($A301="","",IF(ISNUMBER(FIND("IMPVOL",Q$1)),_xll.BDH(config!$G$4,Q$1,WORKDAY($A301,-1,config_Holiday_Calendar_US),WORKDAY($A301,-1,config_Holiday_Calendar_US)),IF(ISNUMBER(_xll.BDH(config!$G$4,Q$1,$A301,$A301)),_xll.BDH(config!$G$4,Q$1,$A301,$A301),_xll.BDH(config!$G$5,Q$1,$A301,$A301))))</f>
        <v>88.37</v>
      </c>
      <c r="R301" s="8">
        <f>IF($A301="","",IF(ISNUMBER(FIND("IMPVOL",R$1)),_xll.BDH(config!$G$4,R$1,WORKDAY($A301,-1,config_Holiday_Calendar_US),WORKDAY($A301,-1,config_Holiday_Calendar_US)),IF(ISNUMBER(_xll.BDH(config!$G$4,R$1,$A301,$A301)),_xll.BDH(config!$G$4,R$1,$A301,$A301),_xll.BDH(config!$G$5,R$1,$A301,$A301))))</f>
        <v>61.61</v>
      </c>
      <c r="S301" s="8" t="str">
        <f>IF($A301="","",IF(ISNUMBER(FIND("IMPVOL",S$1)),_xll.BDH(config!$G$4,S$1,WORKDAY($A301,-1,config_Holiday_Calendar_US),WORKDAY($A301,-1,config_Holiday_Calendar_US)),IF(ISNUMBER(_xll.BDH(config!$G$4,S$1,$A301,$A301)),_xll.BDH(config!$G$4,S$1,$A301,$A301),_xll.BDH(config!$G$5,S$1,$A301,$A301))))</f>
        <v>#N/A Requesting Data...</v>
      </c>
      <c r="T301" s="8" t="str">
        <f>IF($A301="","",IF(ISNUMBER(FIND("IMPVOL",T$1)),_xll.BDH(config!$G$4,T$1,WORKDAY($A301,-1,config_Holiday_Calendar_US),WORKDAY($A301,-1,config_Holiday_Calendar_US)),IF(ISNUMBER(_xll.BDH(config!$G$4,T$1,$A301,$A301)),_xll.BDH(config!$G$4,T$1,$A301,$A301),_xll.BDH(config!$G$5,T$1,$A301,$A301))))</f>
        <v>#N/A Requesting Data...</v>
      </c>
      <c r="U301" s="8" t="str">
        <f>IF($A301="","",IF(ISNUMBER(FIND("IMPVOL",U$1)),_xll.BDH(config!$G$4,U$1,WORKDAY($A301,-1,config_Holiday_Calendar_US),WORKDAY($A301,-1,config_Holiday_Calendar_US)),IF(ISNUMBER(_xll.BDH(config!$G$4,U$1,$A301,$A301)),_xll.BDH(config!$G$4,U$1,$A301,$A301),_xll.BDH(config!$G$5,U$1,$A301,$A301))))</f>
        <v>#N/A Requesting Data...</v>
      </c>
      <c r="V301" s="8" t="str">
        <f>IF($A301="","",IF(ISNUMBER(FIND("IMPVOL",V$1)),_xll.BDH(config!$G$4,V$1,WORKDAY($A301,-1,config_Holiday_Calendar_US),WORKDAY($A301,-1,config_Holiday_Calendar_US)),IF(ISNUMBER(_xll.BDH(config!$G$4,V$1,$A301,$A301)),_xll.BDH(config!$G$4,V$1,$A301,$A301),_xll.BDH(config!$G$5,V$1,$A301,$A301))))</f>
        <v>#N/A Requesting Data...</v>
      </c>
      <c r="W301" s="8" t="str">
        <f>IF($A301="","",IF(ISNUMBER(FIND("IMPVOL",W$1)),_xll.BDH(config!$G$4,W$1,WORKDAY($A301,-1,config_Holiday_Calendar_US),WORKDAY($A301,-1,config_Holiday_Calendar_US)),IF(ISNUMBER(_xll.BDH(config!$G$4,W$1,$A301,$A301)),_xll.BDH(config!$G$4,W$1,$A301,$A301),_xll.BDH(config!$G$5,W$1,$A301,$A301))))</f>
        <v>#N/A Requesting Data...</v>
      </c>
    </row>
    <row r="302" spans="1:23" x14ac:dyDescent="0.2">
      <c r="A302" s="9">
        <f>IF(A301="","",IF(WORKDAY(A301,-1,config_Holiday_Calendar_US)&lt;config!$I$10,"",WORKDAY(A301,-1,config_Holiday_Calendar_US)))</f>
        <v>42395</v>
      </c>
      <c r="B302" s="8" t="e">
        <f t="shared" si="4"/>
        <v>#VALUE!</v>
      </c>
      <c r="C302" s="8" t="str">
        <f>IF(A302="","",_xll.BDH(config!$H$4,C$1,$A302,$A302))</f>
        <v>#N/A Requesting Data...</v>
      </c>
      <c r="D302" s="8" t="str">
        <f>IF($A302="","",_xll.BDH(config!$H$4,D$1,$A302,$A302))</f>
        <v>#N/A Requesting Data...</v>
      </c>
      <c r="E302" s="8">
        <f>IF($A302="","",IF(ISNUMBER(FIND("IMPVOL",E$1)),_xll.BDH(config!$G$4,E$1,WORKDAY($A302,-1,config_Holiday_Calendar_US),WORKDAY($A302,-1,config_Holiday_Calendar_US)),IF(ISNUMBER(_xll.BDH(config!$G$4,E$1,$A302,$A302)),_xll.BDH(config!$G$4,E$1,$A302,$A302),_xll.BDH(config!$G$5,E$1,$A302,$A302))))</f>
        <v>29.81</v>
      </c>
      <c r="F302" s="8">
        <f>IF($A302="","",IF(ISNUMBER(FIND("IMPVOL",F$1)),_xll.BDH(config!$G$4,F$1,WORKDAY($A302,-1,config_Holiday_Calendar_US),WORKDAY($A302,-1,config_Holiday_Calendar_US)),IF(ISNUMBER(_xll.BDH(config!$G$4,F$1,$A302,$A302)),_xll.BDH(config!$G$4,F$1,$A302,$A302),_xll.BDH(config!$G$5,F$1,$A302,$A302))))</f>
        <v>32.409999999999997</v>
      </c>
      <c r="G302" s="8">
        <f>IF($A302="","",IF(ISNUMBER(FIND("IMPVOL",G$1)),_xll.BDH(config!$G$4,G$1,WORKDAY($A302,-1,config_Holiday_Calendar_US),WORKDAY($A302,-1,config_Holiday_Calendar_US)),IF(ISNUMBER(_xll.BDH(config!$G$4,G$1,$A302,$A302)),_xll.BDH(config!$G$4,G$1,$A302,$A302),_xll.BDH(config!$G$5,G$1,$A302,$A302))))</f>
        <v>30.7</v>
      </c>
      <c r="H302" s="8">
        <f>IF($A302="","",IF(ISNUMBER(FIND("IMPVOL",H$1)),_xll.BDH(config!$G$4,H$1,WORKDAY($A302,-1,config_Holiday_Calendar_US),WORKDAY($A302,-1,config_Holiday_Calendar_US)),IF(ISNUMBER(_xll.BDH(config!$G$4,H$1,$A302,$A302)),_xll.BDH(config!$G$4,H$1,$A302,$A302),_xll.BDH(config!$G$5,H$1,$A302,$A302))))</f>
        <v>147884</v>
      </c>
      <c r="I302" s="8" t="str">
        <f>IF($A302="","",IF(ISNUMBER(FIND("IMPVOL",I$1)),_xll.BDH(config!$G$4,I$1,WORKDAY($A302,-1,config_Holiday_Calendar_US),WORKDAY($A302,-1,config_Holiday_Calendar_US)),IF(ISNUMBER(_xll.BDH(config!$G$4,I$1,$A302,$A302)),_xll.BDH(config!$G$4,I$1,$A302,$A302),_xll.BDH(config!$G$5,I$1,$A302,$A302))))</f>
        <v>#N/A Requesting Data...</v>
      </c>
      <c r="J302" s="8" t="str">
        <f>IF($A302="","",IF(ISNUMBER(FIND("IMPVOL",J$1)),_xll.BDH(config!$G$4,J$1,WORKDAY($A302,-1,config_Holiday_Calendar_US),WORKDAY($A302,-1,config_Holiday_Calendar_US)),IF(ISNUMBER(_xll.BDH(config!$G$4,J$1,$A302,$A302)),_xll.BDH(config!$G$4,J$1,$A302,$A302),_xll.BDH(config!$G$5,J$1,$A302,$A302))))</f>
        <v>#N/A Requesting Data...</v>
      </c>
      <c r="K302" s="8" t="str">
        <f>IF($A302="","",IF(ISNUMBER(FIND("IMPVOL",K$1)),_xll.BDH(config!$G$4,K$1,WORKDAY($A302,-1,config_Holiday_Calendar_US),WORKDAY($A302,-1,config_Holiday_Calendar_US)),IF(ISNUMBER(_xll.BDH(config!$G$4,K$1,$A302,$A302)),_xll.BDH(config!$G$4,K$1,$A302,$A302),_xll.BDH(config!$G$5,K$1,$A302,$A302))))</f>
        <v>#N/A Requesting Data...</v>
      </c>
      <c r="L302" s="8" t="str">
        <f>IF($A302="","",IF(ISNUMBER(FIND("IMPVOL",L$1)),_xll.BDH(config!$G$4,L$1,WORKDAY($A302,-1,config_Holiday_Calendar_US),WORKDAY($A302,-1,config_Holiday_Calendar_US)),IF(ISNUMBER(_xll.BDH(config!$G$4,L$1,$A302,$A302)),_xll.BDH(config!$G$4,L$1,$A302,$A302),_xll.BDH(config!$G$5,L$1,$A302,$A302))))</f>
        <v>#N/A Requesting Data...</v>
      </c>
      <c r="M302" s="8" t="str">
        <f>IF($A302="","",IF(ISNUMBER(FIND("IMPVOL",M$1)),_xll.BDH(config!$G$4,M$1,WORKDAY($A302,-1,config_Holiday_Calendar_US),WORKDAY($A302,-1,config_Holiday_Calendar_US)),IF(ISNUMBER(_xll.BDH(config!$G$4,M$1,$A302,$A302)),_xll.BDH(config!$G$4,M$1,$A302,$A302),_xll.BDH(config!$G$5,M$1,$A302,$A302))))</f>
        <v>#N/A Requesting Data...</v>
      </c>
      <c r="N302" s="8" t="str">
        <f>IF($A302="","",IF(ISNUMBER(FIND("IMPVOL",N$1)),_xll.BDH(config!$G$4,N$1,WORKDAY($A302,-1,config_Holiday_Calendar_US),WORKDAY($A302,-1,config_Holiday_Calendar_US)),IF(ISNUMBER(_xll.BDH(config!$G$4,N$1,$A302,$A302)),_xll.BDH(config!$G$4,N$1,$A302,$A302),_xll.BDH(config!$G$5,N$1,$A302,$A302))))</f>
        <v>#N/A Requesting Data...</v>
      </c>
      <c r="O302" s="8" t="str">
        <f>IF($A302="","",IF(ISNUMBER(FIND("IMPVOL",O$1)),_xll.BDH(config!$G$4,O$1,WORKDAY($A302,-1,config_Holiday_Calendar_US),WORKDAY($A302,-1,config_Holiday_Calendar_US)),IF(ISNUMBER(_xll.BDH(config!$G$4,O$1,$A302,$A302)),_xll.BDH(config!$G$4,O$1,$A302,$A302),_xll.BDH(config!$G$5,O$1,$A302,$A302))))</f>
        <v>#N/A Requesting Data...</v>
      </c>
      <c r="P302" s="8" t="str">
        <f>IF($A302="","",IF(ISNUMBER(FIND("IMPVOL",P$1)),_xll.BDH(config!$G$4,P$1,WORKDAY($A302,-1,config_Holiday_Calendar_US),WORKDAY($A302,-1,config_Holiday_Calendar_US)),IF(ISNUMBER(_xll.BDH(config!$G$4,P$1,$A302,$A302)),_xll.BDH(config!$G$4,P$1,$A302,$A302),_xll.BDH(config!$G$5,P$1,$A302,$A302))))</f>
        <v>#N/A Requesting Data...</v>
      </c>
      <c r="Q302" s="8">
        <f>IF($A302="","",IF(ISNUMBER(FIND("IMPVOL",Q$1)),_xll.BDH(config!$G$4,Q$1,WORKDAY($A302,-1,config_Holiday_Calendar_US),WORKDAY($A302,-1,config_Holiday_Calendar_US)),IF(ISNUMBER(_xll.BDH(config!$G$4,Q$1,$A302,$A302)),_xll.BDH(config!$G$4,Q$1,$A302,$A302),_xll.BDH(config!$G$5,Q$1,$A302,$A302))))</f>
        <v>87.88</v>
      </c>
      <c r="R302" s="8">
        <f>IF($A302="","",IF(ISNUMBER(FIND("IMPVOL",R$1)),_xll.BDH(config!$G$4,R$1,WORKDAY($A302,-1,config_Holiday_Calendar_US),WORKDAY($A302,-1,config_Holiday_Calendar_US)),IF(ISNUMBER(_xll.BDH(config!$G$4,R$1,$A302,$A302)),_xll.BDH(config!$G$4,R$1,$A302,$A302),_xll.BDH(config!$G$5,R$1,$A302,$A302))))</f>
        <v>61.07</v>
      </c>
      <c r="S302" s="8" t="str">
        <f>IF($A302="","",IF(ISNUMBER(FIND("IMPVOL",S$1)),_xll.BDH(config!$G$4,S$1,WORKDAY($A302,-1,config_Holiday_Calendar_US),WORKDAY($A302,-1,config_Holiday_Calendar_US)),IF(ISNUMBER(_xll.BDH(config!$G$4,S$1,$A302,$A302)),_xll.BDH(config!$G$4,S$1,$A302,$A302),_xll.BDH(config!$G$5,S$1,$A302,$A302))))</f>
        <v>#N/A Requesting Data...</v>
      </c>
      <c r="T302" s="8" t="str">
        <f>IF($A302="","",IF(ISNUMBER(FIND("IMPVOL",T$1)),_xll.BDH(config!$G$4,T$1,WORKDAY($A302,-1,config_Holiday_Calendar_US),WORKDAY($A302,-1,config_Holiday_Calendar_US)),IF(ISNUMBER(_xll.BDH(config!$G$4,T$1,$A302,$A302)),_xll.BDH(config!$G$4,T$1,$A302,$A302),_xll.BDH(config!$G$5,T$1,$A302,$A302))))</f>
        <v>#N/A Requesting Data...</v>
      </c>
      <c r="U302" s="8" t="str">
        <f>IF($A302="","",IF(ISNUMBER(FIND("IMPVOL",U$1)),_xll.BDH(config!$G$4,U$1,WORKDAY($A302,-1,config_Holiday_Calendar_US),WORKDAY($A302,-1,config_Holiday_Calendar_US)),IF(ISNUMBER(_xll.BDH(config!$G$4,U$1,$A302,$A302)),_xll.BDH(config!$G$4,U$1,$A302,$A302),_xll.BDH(config!$G$5,U$1,$A302,$A302))))</f>
        <v>#N/A Requesting Data...</v>
      </c>
      <c r="V302" s="8" t="str">
        <f>IF($A302="","",IF(ISNUMBER(FIND("IMPVOL",V$1)),_xll.BDH(config!$G$4,V$1,WORKDAY($A302,-1,config_Holiday_Calendar_US),WORKDAY($A302,-1,config_Holiday_Calendar_US)),IF(ISNUMBER(_xll.BDH(config!$G$4,V$1,$A302,$A302)),_xll.BDH(config!$G$4,V$1,$A302,$A302),_xll.BDH(config!$G$5,V$1,$A302,$A302))))</f>
        <v>#N/A Requesting Data...</v>
      </c>
      <c r="W302" s="8" t="str">
        <f>IF($A302="","",IF(ISNUMBER(FIND("IMPVOL",W$1)),_xll.BDH(config!$G$4,W$1,WORKDAY($A302,-1,config_Holiday_Calendar_US),WORKDAY($A302,-1,config_Holiday_Calendar_US)),IF(ISNUMBER(_xll.BDH(config!$G$4,W$1,$A302,$A302)),_xll.BDH(config!$G$4,W$1,$A302,$A302),_xll.BDH(config!$G$5,W$1,$A302,$A302))))</f>
        <v>#N/A Requesting Data...</v>
      </c>
    </row>
    <row r="303" spans="1:23" x14ac:dyDescent="0.2">
      <c r="A303" s="9">
        <f>IF(A302="","",IF(WORKDAY(A302,-1,config_Holiday_Calendar_US)&lt;config!$I$10,"",WORKDAY(A302,-1,config_Holiday_Calendar_US)))</f>
        <v>42394</v>
      </c>
      <c r="B303" s="8" t="e">
        <f t="shared" si="4"/>
        <v>#VALUE!</v>
      </c>
      <c r="C303" s="8" t="str">
        <f>IF(A303="","",_xll.BDH(config!$H$4,C$1,$A303,$A303))</f>
        <v>#N/A Requesting Data...</v>
      </c>
      <c r="D303" s="8" t="str">
        <f>IF($A303="","",_xll.BDH(config!$H$4,D$1,$A303,$A303))</f>
        <v>#N/A Requesting Data...</v>
      </c>
      <c r="E303" s="8">
        <f>IF($A303="","",IF(ISNUMBER(FIND("IMPVOL",E$1)),_xll.BDH(config!$G$4,E$1,WORKDAY($A303,-1,config_Holiday_Calendar_US),WORKDAY($A303,-1,config_Holiday_Calendar_US)),IF(ISNUMBER(_xll.BDH(config!$G$4,E$1,$A303,$A303)),_xll.BDH(config!$G$4,E$1,$A303,$A303),_xll.BDH(config!$G$5,E$1,$A303,$A303))))</f>
        <v>32.049999999999997</v>
      </c>
      <c r="F303" s="8">
        <f>IF($A303="","",IF(ISNUMBER(FIND("IMPVOL",F$1)),_xll.BDH(config!$G$4,F$1,WORKDAY($A303,-1,config_Holiday_Calendar_US),WORKDAY($A303,-1,config_Holiday_Calendar_US)),IF(ISNUMBER(_xll.BDH(config!$G$4,F$1,$A303,$A303)),_xll.BDH(config!$G$4,F$1,$A303,$A303),_xll.BDH(config!$G$5,F$1,$A303,$A303))))</f>
        <v>32.74</v>
      </c>
      <c r="G303" s="8">
        <f>IF($A303="","",IF(ISNUMBER(FIND("IMPVOL",G$1)),_xll.BDH(config!$G$4,G$1,WORKDAY($A303,-1,config_Holiday_Calendar_US),WORKDAY($A303,-1,config_Holiday_Calendar_US)),IF(ISNUMBER(_xll.BDH(config!$G$4,G$1,$A303,$A303)),_xll.BDH(config!$G$4,G$1,$A303,$A303),_xll.BDH(config!$G$5,G$1,$A303,$A303))))</f>
        <v>30.79</v>
      </c>
      <c r="H303" s="8">
        <f>IF($A303="","",IF(ISNUMBER(FIND("IMPVOL",H$1)),_xll.BDH(config!$G$4,H$1,WORKDAY($A303,-1,config_Holiday_Calendar_US),WORKDAY($A303,-1,config_Holiday_Calendar_US)),IF(ISNUMBER(_xll.BDH(config!$G$4,H$1,$A303,$A303)),_xll.BDH(config!$G$4,H$1,$A303,$A303),_xll.BDH(config!$G$5,H$1,$A303,$A303))))</f>
        <v>152736</v>
      </c>
      <c r="I303" s="8" t="str">
        <f>IF($A303="","",IF(ISNUMBER(FIND("IMPVOL",I$1)),_xll.BDH(config!$G$4,I$1,WORKDAY($A303,-1,config_Holiday_Calendar_US),WORKDAY($A303,-1,config_Holiday_Calendar_US)),IF(ISNUMBER(_xll.BDH(config!$G$4,I$1,$A303,$A303)),_xll.BDH(config!$G$4,I$1,$A303,$A303),_xll.BDH(config!$G$5,I$1,$A303,$A303))))</f>
        <v>#N/A Requesting Data...</v>
      </c>
      <c r="J303" s="8" t="str">
        <f>IF($A303="","",IF(ISNUMBER(FIND("IMPVOL",J$1)),_xll.BDH(config!$G$4,J$1,WORKDAY($A303,-1,config_Holiday_Calendar_US),WORKDAY($A303,-1,config_Holiday_Calendar_US)),IF(ISNUMBER(_xll.BDH(config!$G$4,J$1,$A303,$A303)),_xll.BDH(config!$G$4,J$1,$A303,$A303),_xll.BDH(config!$G$5,J$1,$A303,$A303))))</f>
        <v>#N/A Requesting Data...</v>
      </c>
      <c r="K303" s="8" t="str">
        <f>IF($A303="","",IF(ISNUMBER(FIND("IMPVOL",K$1)),_xll.BDH(config!$G$4,K$1,WORKDAY($A303,-1,config_Holiday_Calendar_US),WORKDAY($A303,-1,config_Holiday_Calendar_US)),IF(ISNUMBER(_xll.BDH(config!$G$4,K$1,$A303,$A303)),_xll.BDH(config!$G$4,K$1,$A303,$A303),_xll.BDH(config!$G$5,K$1,$A303,$A303))))</f>
        <v>#N/A Requesting Data...</v>
      </c>
      <c r="L303" s="8" t="str">
        <f>IF($A303="","",IF(ISNUMBER(FIND("IMPVOL",L$1)),_xll.BDH(config!$G$4,L$1,WORKDAY($A303,-1,config_Holiday_Calendar_US),WORKDAY($A303,-1,config_Holiday_Calendar_US)),IF(ISNUMBER(_xll.BDH(config!$G$4,L$1,$A303,$A303)),_xll.BDH(config!$G$4,L$1,$A303,$A303),_xll.BDH(config!$G$5,L$1,$A303,$A303))))</f>
        <v>#N/A Requesting Data...</v>
      </c>
      <c r="M303" s="8" t="str">
        <f>IF($A303="","",IF(ISNUMBER(FIND("IMPVOL",M$1)),_xll.BDH(config!$G$4,M$1,WORKDAY($A303,-1,config_Holiday_Calendar_US),WORKDAY($A303,-1,config_Holiday_Calendar_US)),IF(ISNUMBER(_xll.BDH(config!$G$4,M$1,$A303,$A303)),_xll.BDH(config!$G$4,M$1,$A303,$A303),_xll.BDH(config!$G$5,M$1,$A303,$A303))))</f>
        <v>#N/A Requesting Data...</v>
      </c>
      <c r="N303" s="8" t="str">
        <f>IF($A303="","",IF(ISNUMBER(FIND("IMPVOL",N$1)),_xll.BDH(config!$G$4,N$1,WORKDAY($A303,-1,config_Holiday_Calendar_US),WORKDAY($A303,-1,config_Holiday_Calendar_US)),IF(ISNUMBER(_xll.BDH(config!$G$4,N$1,$A303,$A303)),_xll.BDH(config!$G$4,N$1,$A303,$A303),_xll.BDH(config!$G$5,N$1,$A303,$A303))))</f>
        <v>#N/A Requesting Data...</v>
      </c>
      <c r="O303" s="8" t="str">
        <f>IF($A303="","",IF(ISNUMBER(FIND("IMPVOL",O$1)),_xll.BDH(config!$G$4,O$1,WORKDAY($A303,-1,config_Holiday_Calendar_US),WORKDAY($A303,-1,config_Holiday_Calendar_US)),IF(ISNUMBER(_xll.BDH(config!$G$4,O$1,$A303,$A303)),_xll.BDH(config!$G$4,O$1,$A303,$A303),_xll.BDH(config!$G$5,O$1,$A303,$A303))))</f>
        <v>#N/A Requesting Data...</v>
      </c>
      <c r="P303" s="8" t="str">
        <f>IF($A303="","",IF(ISNUMBER(FIND("IMPVOL",P$1)),_xll.BDH(config!$G$4,P$1,WORKDAY($A303,-1,config_Holiday_Calendar_US),WORKDAY($A303,-1,config_Holiday_Calendar_US)),IF(ISNUMBER(_xll.BDH(config!$G$4,P$1,$A303,$A303)),_xll.BDH(config!$G$4,P$1,$A303,$A303),_xll.BDH(config!$G$5,P$1,$A303,$A303))))</f>
        <v>#N/A Requesting Data...</v>
      </c>
      <c r="Q303" s="8">
        <f>IF($A303="","",IF(ISNUMBER(FIND("IMPVOL",Q$1)),_xll.BDH(config!$G$4,Q$1,WORKDAY($A303,-1,config_Holiday_Calendar_US),WORKDAY($A303,-1,config_Holiday_Calendar_US)),IF(ISNUMBER(_xll.BDH(config!$G$4,Q$1,$A303,$A303)),_xll.BDH(config!$G$4,Q$1,$A303,$A303),_xll.BDH(config!$G$5,Q$1,$A303,$A303))))</f>
        <v>87.82</v>
      </c>
      <c r="R303" s="8">
        <f>IF($A303="","",IF(ISNUMBER(FIND("IMPVOL",R$1)),_xll.BDH(config!$G$4,R$1,WORKDAY($A303,-1,config_Holiday_Calendar_US),WORKDAY($A303,-1,config_Holiday_Calendar_US)),IF(ISNUMBER(_xll.BDH(config!$G$4,R$1,$A303,$A303)),_xll.BDH(config!$G$4,R$1,$A303,$A303),_xll.BDH(config!$G$5,R$1,$A303,$A303))))</f>
        <v>60.39</v>
      </c>
      <c r="S303" s="8" t="str">
        <f>IF($A303="","",IF(ISNUMBER(FIND("IMPVOL",S$1)),_xll.BDH(config!$G$4,S$1,WORKDAY($A303,-1,config_Holiday_Calendar_US),WORKDAY($A303,-1,config_Holiday_Calendar_US)),IF(ISNUMBER(_xll.BDH(config!$G$4,S$1,$A303,$A303)),_xll.BDH(config!$G$4,S$1,$A303,$A303),_xll.BDH(config!$G$5,S$1,$A303,$A303))))</f>
        <v>#N/A Requesting Data...</v>
      </c>
      <c r="T303" s="8" t="str">
        <f>IF($A303="","",IF(ISNUMBER(FIND("IMPVOL",T$1)),_xll.BDH(config!$G$4,T$1,WORKDAY($A303,-1,config_Holiday_Calendar_US),WORKDAY($A303,-1,config_Holiday_Calendar_US)),IF(ISNUMBER(_xll.BDH(config!$G$4,T$1,$A303,$A303)),_xll.BDH(config!$G$4,T$1,$A303,$A303),_xll.BDH(config!$G$5,T$1,$A303,$A303))))</f>
        <v>#N/A Requesting Data...</v>
      </c>
      <c r="U303" s="8" t="str">
        <f>IF($A303="","",IF(ISNUMBER(FIND("IMPVOL",U$1)),_xll.BDH(config!$G$4,U$1,WORKDAY($A303,-1,config_Holiday_Calendar_US),WORKDAY($A303,-1,config_Holiday_Calendar_US)),IF(ISNUMBER(_xll.BDH(config!$G$4,U$1,$A303,$A303)),_xll.BDH(config!$G$4,U$1,$A303,$A303),_xll.BDH(config!$G$5,U$1,$A303,$A303))))</f>
        <v>#N/A Requesting Data...</v>
      </c>
      <c r="V303" s="8" t="str">
        <f>IF($A303="","",IF(ISNUMBER(FIND("IMPVOL",V$1)),_xll.BDH(config!$G$4,V$1,WORKDAY($A303,-1,config_Holiday_Calendar_US),WORKDAY($A303,-1,config_Holiday_Calendar_US)),IF(ISNUMBER(_xll.BDH(config!$G$4,V$1,$A303,$A303)),_xll.BDH(config!$G$4,V$1,$A303,$A303),_xll.BDH(config!$G$5,V$1,$A303,$A303))))</f>
        <v>#N/A Requesting Data...</v>
      </c>
      <c r="W303" s="8" t="str">
        <f>IF($A303="","",IF(ISNUMBER(FIND("IMPVOL",W$1)),_xll.BDH(config!$G$4,W$1,WORKDAY($A303,-1,config_Holiday_Calendar_US),WORKDAY($A303,-1,config_Holiday_Calendar_US)),IF(ISNUMBER(_xll.BDH(config!$G$4,W$1,$A303,$A303)),_xll.BDH(config!$G$4,W$1,$A303,$A303),_xll.BDH(config!$G$5,W$1,$A303,$A303))))</f>
        <v>#N/A Requesting Data...</v>
      </c>
    </row>
    <row r="304" spans="1:23" x14ac:dyDescent="0.2">
      <c r="A304" s="9">
        <f>IF(A303="","",IF(WORKDAY(A303,-1,config_Holiday_Calendar_US)&lt;config!$I$10,"",WORKDAY(A303,-1,config_Holiday_Calendar_US)))</f>
        <v>42391</v>
      </c>
      <c r="B304" s="8" t="e">
        <f t="shared" si="4"/>
        <v>#VALUE!</v>
      </c>
      <c r="C304" s="8" t="str">
        <f>IF(A304="","",_xll.BDH(config!$H$4,C$1,$A304,$A304))</f>
        <v>#N/A Requesting Data...</v>
      </c>
      <c r="D304" s="8" t="str">
        <f>IF($A304="","",_xll.BDH(config!$H$4,D$1,$A304,$A304))</f>
        <v>#N/A Requesting Data...</v>
      </c>
      <c r="E304" s="8">
        <f>IF($A304="","",IF(ISNUMBER(FIND("IMPVOL",E$1)),_xll.BDH(config!$G$4,E$1,WORKDAY($A304,-1,config_Holiday_Calendar_US),WORKDAY($A304,-1,config_Holiday_Calendar_US)),IF(ISNUMBER(_xll.BDH(config!$G$4,E$1,$A304,$A304)),_xll.BDH(config!$G$4,E$1,$A304,$A304),_xll.BDH(config!$G$5,E$1,$A304,$A304))))</f>
        <v>29.84</v>
      </c>
      <c r="F304" s="8">
        <f>IF($A304="","",IF(ISNUMBER(FIND("IMPVOL",F$1)),_xll.BDH(config!$G$4,F$1,WORKDAY($A304,-1,config_Holiday_Calendar_US),WORKDAY($A304,-1,config_Holiday_Calendar_US)),IF(ISNUMBER(_xll.BDH(config!$G$4,F$1,$A304,$A304)),_xll.BDH(config!$G$4,F$1,$A304,$A304),_xll.BDH(config!$G$5,F$1,$A304,$A304))))</f>
        <v>32.35</v>
      </c>
      <c r="G304" s="8">
        <f>IF($A304="","",IF(ISNUMBER(FIND("IMPVOL",G$1)),_xll.BDH(config!$G$4,G$1,WORKDAY($A304,-1,config_Holiday_Calendar_US),WORKDAY($A304,-1,config_Holiday_Calendar_US)),IF(ISNUMBER(_xll.BDH(config!$G$4,G$1,$A304,$A304)),_xll.BDH(config!$G$4,G$1,$A304,$A304),_xll.BDH(config!$G$5,G$1,$A304,$A304))))</f>
        <v>30.79</v>
      </c>
      <c r="H304" s="8">
        <f>IF($A304="","",IF(ISNUMBER(FIND("IMPVOL",H$1)),_xll.BDH(config!$G$4,H$1,WORKDAY($A304,-1,config_Holiday_Calendar_US),WORKDAY($A304,-1,config_Holiday_Calendar_US)),IF(ISNUMBER(_xll.BDH(config!$G$4,H$1,$A304,$A304)),_xll.BDH(config!$G$4,H$1,$A304,$A304),_xll.BDH(config!$G$5,H$1,$A304,$A304))))</f>
        <v>152379</v>
      </c>
      <c r="I304" s="8" t="str">
        <f>IF($A304="","",IF(ISNUMBER(FIND("IMPVOL",I$1)),_xll.BDH(config!$G$4,I$1,WORKDAY($A304,-1,config_Holiday_Calendar_US),WORKDAY($A304,-1,config_Holiday_Calendar_US)),IF(ISNUMBER(_xll.BDH(config!$G$4,I$1,$A304,$A304)),_xll.BDH(config!$G$4,I$1,$A304,$A304),_xll.BDH(config!$G$5,I$1,$A304,$A304))))</f>
        <v>#N/A Requesting Data...</v>
      </c>
      <c r="J304" s="8" t="str">
        <f>IF($A304="","",IF(ISNUMBER(FIND("IMPVOL",J$1)),_xll.BDH(config!$G$4,J$1,WORKDAY($A304,-1,config_Holiday_Calendar_US),WORKDAY($A304,-1,config_Holiday_Calendar_US)),IF(ISNUMBER(_xll.BDH(config!$G$4,J$1,$A304,$A304)),_xll.BDH(config!$G$4,J$1,$A304,$A304),_xll.BDH(config!$G$5,J$1,$A304,$A304))))</f>
        <v>#N/A Requesting Data...</v>
      </c>
      <c r="K304" s="8" t="str">
        <f>IF($A304="","",IF(ISNUMBER(FIND("IMPVOL",K$1)),_xll.BDH(config!$G$4,K$1,WORKDAY($A304,-1,config_Holiday_Calendar_US),WORKDAY($A304,-1,config_Holiday_Calendar_US)),IF(ISNUMBER(_xll.BDH(config!$G$4,K$1,$A304,$A304)),_xll.BDH(config!$G$4,K$1,$A304,$A304),_xll.BDH(config!$G$5,K$1,$A304,$A304))))</f>
        <v>#N/A Requesting Data...</v>
      </c>
      <c r="L304" s="8" t="str">
        <f>IF($A304="","",IF(ISNUMBER(FIND("IMPVOL",L$1)),_xll.BDH(config!$G$4,L$1,WORKDAY($A304,-1,config_Holiday_Calendar_US),WORKDAY($A304,-1,config_Holiday_Calendar_US)),IF(ISNUMBER(_xll.BDH(config!$G$4,L$1,$A304,$A304)),_xll.BDH(config!$G$4,L$1,$A304,$A304),_xll.BDH(config!$G$5,L$1,$A304,$A304))))</f>
        <v>#N/A Requesting Data...</v>
      </c>
      <c r="M304" s="8" t="str">
        <f>IF($A304="","",IF(ISNUMBER(FIND("IMPVOL",M$1)),_xll.BDH(config!$G$4,M$1,WORKDAY($A304,-1,config_Holiday_Calendar_US),WORKDAY($A304,-1,config_Holiday_Calendar_US)),IF(ISNUMBER(_xll.BDH(config!$G$4,M$1,$A304,$A304)),_xll.BDH(config!$G$4,M$1,$A304,$A304),_xll.BDH(config!$G$5,M$1,$A304,$A304))))</f>
        <v>#N/A Requesting Data...</v>
      </c>
      <c r="N304" s="8" t="str">
        <f>IF($A304="","",IF(ISNUMBER(FIND("IMPVOL",N$1)),_xll.BDH(config!$G$4,N$1,WORKDAY($A304,-1,config_Holiday_Calendar_US),WORKDAY($A304,-1,config_Holiday_Calendar_US)),IF(ISNUMBER(_xll.BDH(config!$G$4,N$1,$A304,$A304)),_xll.BDH(config!$G$4,N$1,$A304,$A304),_xll.BDH(config!$G$5,N$1,$A304,$A304))))</f>
        <v>#N/A Requesting Data...</v>
      </c>
      <c r="O304" s="8" t="str">
        <f>IF($A304="","",IF(ISNUMBER(FIND("IMPVOL",O$1)),_xll.BDH(config!$G$4,O$1,WORKDAY($A304,-1,config_Holiday_Calendar_US),WORKDAY($A304,-1,config_Holiday_Calendar_US)),IF(ISNUMBER(_xll.BDH(config!$G$4,O$1,$A304,$A304)),_xll.BDH(config!$G$4,O$1,$A304,$A304),_xll.BDH(config!$G$5,O$1,$A304,$A304))))</f>
        <v>#N/A Requesting Data...</v>
      </c>
      <c r="P304" s="8" t="str">
        <f>IF($A304="","",IF(ISNUMBER(FIND("IMPVOL",P$1)),_xll.BDH(config!$G$4,P$1,WORKDAY($A304,-1,config_Holiday_Calendar_US),WORKDAY($A304,-1,config_Holiday_Calendar_US)),IF(ISNUMBER(_xll.BDH(config!$G$4,P$1,$A304,$A304)),_xll.BDH(config!$G$4,P$1,$A304,$A304),_xll.BDH(config!$G$5,P$1,$A304,$A304))))</f>
        <v>#N/A Requesting Data...</v>
      </c>
      <c r="Q304" s="8">
        <f>IF($A304="","",IF(ISNUMBER(FIND("IMPVOL",Q$1)),_xll.BDH(config!$G$4,Q$1,WORKDAY($A304,-1,config_Holiday_Calendar_US),WORKDAY($A304,-1,config_Holiday_Calendar_US)),IF(ISNUMBER(_xll.BDH(config!$G$4,Q$1,$A304,$A304)),_xll.BDH(config!$G$4,Q$1,$A304,$A304),_xll.BDH(config!$G$5,Q$1,$A304,$A304))))</f>
        <v>88.1</v>
      </c>
      <c r="R304" s="8">
        <f>IF($A304="","",IF(ISNUMBER(FIND("IMPVOL",R$1)),_xll.BDH(config!$G$4,R$1,WORKDAY($A304,-1,config_Holiday_Calendar_US),WORKDAY($A304,-1,config_Holiday_Calendar_US)),IF(ISNUMBER(_xll.BDH(config!$G$4,R$1,$A304,$A304)),_xll.BDH(config!$G$4,R$1,$A304,$A304),_xll.BDH(config!$G$5,R$1,$A304,$A304))))</f>
        <v>58.7</v>
      </c>
      <c r="S304" s="8" t="str">
        <f>IF($A304="","",IF(ISNUMBER(FIND("IMPVOL",S$1)),_xll.BDH(config!$G$4,S$1,WORKDAY($A304,-1,config_Holiday_Calendar_US),WORKDAY($A304,-1,config_Holiday_Calendar_US)),IF(ISNUMBER(_xll.BDH(config!$G$4,S$1,$A304,$A304)),_xll.BDH(config!$G$4,S$1,$A304,$A304),_xll.BDH(config!$G$5,S$1,$A304,$A304))))</f>
        <v>#N/A Requesting Data...</v>
      </c>
      <c r="T304" s="8" t="str">
        <f>IF($A304="","",IF(ISNUMBER(FIND("IMPVOL",T$1)),_xll.BDH(config!$G$4,T$1,WORKDAY($A304,-1,config_Holiday_Calendar_US),WORKDAY($A304,-1,config_Holiday_Calendar_US)),IF(ISNUMBER(_xll.BDH(config!$G$4,T$1,$A304,$A304)),_xll.BDH(config!$G$4,T$1,$A304,$A304),_xll.BDH(config!$G$5,T$1,$A304,$A304))))</f>
        <v>#N/A Requesting Data...</v>
      </c>
      <c r="U304" s="8" t="str">
        <f>IF($A304="","",IF(ISNUMBER(FIND("IMPVOL",U$1)),_xll.BDH(config!$G$4,U$1,WORKDAY($A304,-1,config_Holiday_Calendar_US),WORKDAY($A304,-1,config_Holiday_Calendar_US)),IF(ISNUMBER(_xll.BDH(config!$G$4,U$1,$A304,$A304)),_xll.BDH(config!$G$4,U$1,$A304,$A304),_xll.BDH(config!$G$5,U$1,$A304,$A304))))</f>
        <v>#N/A Requesting Data...</v>
      </c>
      <c r="V304" s="8" t="str">
        <f>IF($A304="","",IF(ISNUMBER(FIND("IMPVOL",V$1)),_xll.BDH(config!$G$4,V$1,WORKDAY($A304,-1,config_Holiday_Calendar_US),WORKDAY($A304,-1,config_Holiday_Calendar_US)),IF(ISNUMBER(_xll.BDH(config!$G$4,V$1,$A304,$A304)),_xll.BDH(config!$G$4,V$1,$A304,$A304),_xll.BDH(config!$G$5,V$1,$A304,$A304))))</f>
        <v>#N/A Requesting Data...</v>
      </c>
      <c r="W304" s="8" t="str">
        <f>IF($A304="","",IF(ISNUMBER(FIND("IMPVOL",W$1)),_xll.BDH(config!$G$4,W$1,WORKDAY($A304,-1,config_Holiday_Calendar_US),WORKDAY($A304,-1,config_Holiday_Calendar_US)),IF(ISNUMBER(_xll.BDH(config!$G$4,W$1,$A304,$A304)),_xll.BDH(config!$G$4,W$1,$A304,$A304),_xll.BDH(config!$G$5,W$1,$A304,$A304))))</f>
        <v>#N/A Requesting Data...</v>
      </c>
    </row>
    <row r="305" spans="1:23" x14ac:dyDescent="0.2">
      <c r="A305" s="9">
        <f>IF(A304="","",IF(WORKDAY(A304,-1,config_Holiday_Calendar_US)&lt;config!$I$10,"",WORKDAY(A304,-1,config_Holiday_Calendar_US)))</f>
        <v>42390</v>
      </c>
      <c r="B305" s="8" t="e">
        <f t="shared" si="4"/>
        <v>#VALUE!</v>
      </c>
      <c r="C305" s="8" t="str">
        <f>IF(A305="","",_xll.BDH(config!$H$4,C$1,$A305,$A305))</f>
        <v>#N/A Requesting Data...</v>
      </c>
      <c r="D305" s="8" t="str">
        <f>IF($A305="","",_xll.BDH(config!$H$4,D$1,$A305,$A305))</f>
        <v>#N/A Requesting Data...</v>
      </c>
      <c r="E305" s="8">
        <f>IF($A305="","",IF(ISNUMBER(FIND("IMPVOL",E$1)),_xll.BDH(config!$G$4,E$1,WORKDAY($A305,-1,config_Holiday_Calendar_US),WORKDAY($A305,-1,config_Holiday_Calendar_US)),IF(ISNUMBER(_xll.BDH(config!$G$4,E$1,$A305,$A305)),_xll.BDH(config!$G$4,E$1,$A305,$A305),_xll.BDH(config!$G$5,E$1,$A305,$A305))))</f>
        <v>28.35</v>
      </c>
      <c r="F305" s="8">
        <f>IF($A305="","",IF(ISNUMBER(FIND("IMPVOL",F$1)),_xll.BDH(config!$G$4,F$1,WORKDAY($A305,-1,config_Holiday_Calendar_US),WORKDAY($A305,-1,config_Holiday_Calendar_US)),IF(ISNUMBER(_xll.BDH(config!$G$4,F$1,$A305,$A305)),_xll.BDH(config!$G$4,F$1,$A305,$A305),_xll.BDH(config!$G$5,F$1,$A305,$A305))))</f>
        <v>30.25</v>
      </c>
      <c r="G305" s="8">
        <f>IF($A305="","",IF(ISNUMBER(FIND("IMPVOL",G$1)),_xll.BDH(config!$G$4,G$1,WORKDAY($A305,-1,config_Holiday_Calendar_US),WORKDAY($A305,-1,config_Holiday_Calendar_US)),IF(ISNUMBER(_xll.BDH(config!$G$4,G$1,$A305,$A305)),_xll.BDH(config!$G$4,G$1,$A305,$A305),_xll.BDH(config!$G$5,G$1,$A305,$A305))))</f>
        <v>29.22</v>
      </c>
      <c r="H305" s="8">
        <f>IF($A305="","",IF(ISNUMBER(FIND("IMPVOL",H$1)),_xll.BDH(config!$G$4,H$1,WORKDAY($A305,-1,config_Holiday_Calendar_US),WORKDAY($A305,-1,config_Holiday_Calendar_US)),IF(ISNUMBER(_xll.BDH(config!$G$4,H$1,$A305,$A305)),_xll.BDH(config!$G$4,H$1,$A305,$A305),_xll.BDH(config!$G$5,H$1,$A305,$A305))))</f>
        <v>151646</v>
      </c>
      <c r="I305" s="8" t="str">
        <f>IF($A305="","",IF(ISNUMBER(FIND("IMPVOL",I$1)),_xll.BDH(config!$G$4,I$1,WORKDAY($A305,-1,config_Holiday_Calendar_US),WORKDAY($A305,-1,config_Holiday_Calendar_US)),IF(ISNUMBER(_xll.BDH(config!$G$4,I$1,$A305,$A305)),_xll.BDH(config!$G$4,I$1,$A305,$A305),_xll.BDH(config!$G$5,I$1,$A305,$A305))))</f>
        <v>#N/A Requesting Data...</v>
      </c>
      <c r="J305" s="8" t="str">
        <f>IF($A305="","",IF(ISNUMBER(FIND("IMPVOL",J$1)),_xll.BDH(config!$G$4,J$1,WORKDAY($A305,-1,config_Holiday_Calendar_US),WORKDAY($A305,-1,config_Holiday_Calendar_US)),IF(ISNUMBER(_xll.BDH(config!$G$4,J$1,$A305,$A305)),_xll.BDH(config!$G$4,J$1,$A305,$A305),_xll.BDH(config!$G$5,J$1,$A305,$A305))))</f>
        <v>#N/A Requesting Data...</v>
      </c>
      <c r="K305" s="8" t="str">
        <f>IF($A305="","",IF(ISNUMBER(FIND("IMPVOL",K$1)),_xll.BDH(config!$G$4,K$1,WORKDAY($A305,-1,config_Holiday_Calendar_US),WORKDAY($A305,-1,config_Holiday_Calendar_US)),IF(ISNUMBER(_xll.BDH(config!$G$4,K$1,$A305,$A305)),_xll.BDH(config!$G$4,K$1,$A305,$A305),_xll.BDH(config!$G$5,K$1,$A305,$A305))))</f>
        <v>#N/A Requesting Data...</v>
      </c>
      <c r="L305" s="8" t="str">
        <f>IF($A305="","",IF(ISNUMBER(FIND("IMPVOL",L$1)),_xll.BDH(config!$G$4,L$1,WORKDAY($A305,-1,config_Holiday_Calendar_US),WORKDAY($A305,-1,config_Holiday_Calendar_US)),IF(ISNUMBER(_xll.BDH(config!$G$4,L$1,$A305,$A305)),_xll.BDH(config!$G$4,L$1,$A305,$A305),_xll.BDH(config!$G$5,L$1,$A305,$A305))))</f>
        <v>#N/A Requesting Data...</v>
      </c>
      <c r="M305" s="8" t="str">
        <f>IF($A305="","",IF(ISNUMBER(FIND("IMPVOL",M$1)),_xll.BDH(config!$G$4,M$1,WORKDAY($A305,-1,config_Holiday_Calendar_US),WORKDAY($A305,-1,config_Holiday_Calendar_US)),IF(ISNUMBER(_xll.BDH(config!$G$4,M$1,$A305,$A305)),_xll.BDH(config!$G$4,M$1,$A305,$A305),_xll.BDH(config!$G$5,M$1,$A305,$A305))))</f>
        <v>#N/A Requesting Data...</v>
      </c>
      <c r="N305" s="8" t="str">
        <f>IF($A305="","",IF(ISNUMBER(FIND("IMPVOL",N$1)),_xll.BDH(config!$G$4,N$1,WORKDAY($A305,-1,config_Holiday_Calendar_US),WORKDAY($A305,-1,config_Holiday_Calendar_US)),IF(ISNUMBER(_xll.BDH(config!$G$4,N$1,$A305,$A305)),_xll.BDH(config!$G$4,N$1,$A305,$A305),_xll.BDH(config!$G$5,N$1,$A305,$A305))))</f>
        <v>#N/A Requesting Data...</v>
      </c>
      <c r="O305" s="8" t="str">
        <f>IF($A305="","",IF(ISNUMBER(FIND("IMPVOL",O$1)),_xll.BDH(config!$G$4,O$1,WORKDAY($A305,-1,config_Holiday_Calendar_US),WORKDAY($A305,-1,config_Holiday_Calendar_US)),IF(ISNUMBER(_xll.BDH(config!$G$4,O$1,$A305,$A305)),_xll.BDH(config!$G$4,O$1,$A305,$A305),_xll.BDH(config!$G$5,O$1,$A305,$A305))))</f>
        <v>#N/A Requesting Data...</v>
      </c>
      <c r="P305" s="8" t="str">
        <f>IF($A305="","",IF(ISNUMBER(FIND("IMPVOL",P$1)),_xll.BDH(config!$G$4,P$1,WORKDAY($A305,-1,config_Holiday_Calendar_US),WORKDAY($A305,-1,config_Holiday_Calendar_US)),IF(ISNUMBER(_xll.BDH(config!$G$4,P$1,$A305,$A305)),_xll.BDH(config!$G$4,P$1,$A305,$A305),_xll.BDH(config!$G$5,P$1,$A305,$A305))))</f>
        <v>#N/A Requesting Data...</v>
      </c>
      <c r="Q305" s="8">
        <f>IF($A305="","",IF(ISNUMBER(FIND("IMPVOL",Q$1)),_xll.BDH(config!$G$4,Q$1,WORKDAY($A305,-1,config_Holiday_Calendar_US),WORKDAY($A305,-1,config_Holiday_Calendar_US)),IF(ISNUMBER(_xll.BDH(config!$G$4,Q$1,$A305,$A305)),_xll.BDH(config!$G$4,Q$1,$A305,$A305),_xll.BDH(config!$G$5,Q$1,$A305,$A305))))</f>
        <v>71.25</v>
      </c>
      <c r="R305" s="8">
        <f>IF($A305="","",IF(ISNUMBER(FIND("IMPVOL",R$1)),_xll.BDH(config!$G$4,R$1,WORKDAY($A305,-1,config_Holiday_Calendar_US),WORKDAY($A305,-1,config_Holiday_Calendar_US)),IF(ISNUMBER(_xll.BDH(config!$G$4,R$1,$A305,$A305)),_xll.BDH(config!$G$4,R$1,$A305,$A305),_xll.BDH(config!$G$5,R$1,$A305,$A305))))</f>
        <v>51.92</v>
      </c>
      <c r="S305" s="8" t="str">
        <f>IF($A305="","",IF(ISNUMBER(FIND("IMPVOL",S$1)),_xll.BDH(config!$G$4,S$1,WORKDAY($A305,-1,config_Holiday_Calendar_US),WORKDAY($A305,-1,config_Holiday_Calendar_US)),IF(ISNUMBER(_xll.BDH(config!$G$4,S$1,$A305,$A305)),_xll.BDH(config!$G$4,S$1,$A305,$A305),_xll.BDH(config!$G$5,S$1,$A305,$A305))))</f>
        <v>#N/A Requesting Data...</v>
      </c>
      <c r="T305" s="8" t="str">
        <f>IF($A305="","",IF(ISNUMBER(FIND("IMPVOL",T$1)),_xll.BDH(config!$G$4,T$1,WORKDAY($A305,-1,config_Holiday_Calendar_US),WORKDAY($A305,-1,config_Holiday_Calendar_US)),IF(ISNUMBER(_xll.BDH(config!$G$4,T$1,$A305,$A305)),_xll.BDH(config!$G$4,T$1,$A305,$A305),_xll.BDH(config!$G$5,T$1,$A305,$A305))))</f>
        <v>#N/A Requesting Data...</v>
      </c>
      <c r="U305" s="8" t="str">
        <f>IF($A305="","",IF(ISNUMBER(FIND("IMPVOL",U$1)),_xll.BDH(config!$G$4,U$1,WORKDAY($A305,-1,config_Holiday_Calendar_US),WORKDAY($A305,-1,config_Holiday_Calendar_US)),IF(ISNUMBER(_xll.BDH(config!$G$4,U$1,$A305,$A305)),_xll.BDH(config!$G$4,U$1,$A305,$A305),_xll.BDH(config!$G$5,U$1,$A305,$A305))))</f>
        <v>#N/A Requesting Data...</v>
      </c>
      <c r="V305" s="8" t="str">
        <f>IF($A305="","",IF(ISNUMBER(FIND("IMPVOL",V$1)),_xll.BDH(config!$G$4,V$1,WORKDAY($A305,-1,config_Holiday_Calendar_US),WORKDAY($A305,-1,config_Holiday_Calendar_US)),IF(ISNUMBER(_xll.BDH(config!$G$4,V$1,$A305,$A305)),_xll.BDH(config!$G$4,V$1,$A305,$A305),_xll.BDH(config!$G$5,V$1,$A305,$A305))))</f>
        <v>#N/A Requesting Data...</v>
      </c>
      <c r="W305" s="8" t="str">
        <f>IF($A305="","",IF(ISNUMBER(FIND("IMPVOL",W$1)),_xll.BDH(config!$G$4,W$1,WORKDAY($A305,-1,config_Holiday_Calendar_US),WORKDAY($A305,-1,config_Holiday_Calendar_US)),IF(ISNUMBER(_xll.BDH(config!$G$4,W$1,$A305,$A305)),_xll.BDH(config!$G$4,W$1,$A305,$A305),_xll.BDH(config!$G$5,W$1,$A305,$A305))))</f>
        <v>#N/A Requesting Data...</v>
      </c>
    </row>
    <row r="306" spans="1:23" x14ac:dyDescent="0.2">
      <c r="A306" s="9">
        <f>IF(A305="","",IF(WORKDAY(A305,-1,config_Holiday_Calendar_US)&lt;config!$I$10,"",WORKDAY(A305,-1,config_Holiday_Calendar_US)))</f>
        <v>42389</v>
      </c>
      <c r="B306" s="8" t="e">
        <f t="shared" si="4"/>
        <v>#VALUE!</v>
      </c>
      <c r="C306" s="8" t="str">
        <f>IF(A306="","",_xll.BDH(config!$H$4,C$1,$A306,$A306))</f>
        <v>#N/A Requesting Data...</v>
      </c>
      <c r="D306" s="8" t="str">
        <f>IF($A306="","",_xll.BDH(config!$H$4,D$1,$A306,$A306))</f>
        <v>#N/A Requesting Data...</v>
      </c>
      <c r="E306" s="8">
        <f>IF($A306="","",IF(ISNUMBER(FIND("IMPVOL",E$1)),_xll.BDH(config!$G$4,E$1,WORKDAY($A306,-1,config_Holiday_Calendar_US),WORKDAY($A306,-1,config_Holiday_Calendar_US)),IF(ISNUMBER(_xll.BDH(config!$G$4,E$1,$A306,$A306)),_xll.BDH(config!$G$4,E$1,$A306,$A306),_xll.BDH(config!$G$5,E$1,$A306,$A306))))</f>
        <v>28.33</v>
      </c>
      <c r="F306" s="8">
        <f>IF($A306="","",IF(ISNUMBER(FIND("IMPVOL",F$1)),_xll.BDH(config!$G$4,F$1,WORKDAY($A306,-1,config_Holiday_Calendar_US),WORKDAY($A306,-1,config_Holiday_Calendar_US)),IF(ISNUMBER(_xll.BDH(config!$G$4,F$1,$A306,$A306)),_xll.BDH(config!$G$4,F$1,$A306,$A306),_xll.BDH(config!$G$5,F$1,$A306,$A306))))</f>
        <v>28.58</v>
      </c>
      <c r="G306" s="8">
        <f>IF($A306="","",IF(ISNUMBER(FIND("IMPVOL",G$1)),_xll.BDH(config!$G$4,G$1,WORKDAY($A306,-1,config_Holiday_Calendar_US),WORKDAY($A306,-1,config_Holiday_Calendar_US)),IF(ISNUMBER(_xll.BDH(config!$G$4,G$1,$A306,$A306)),_xll.BDH(config!$G$4,G$1,$A306,$A306),_xll.BDH(config!$G$5,G$1,$A306,$A306))))</f>
        <v>27.56</v>
      </c>
      <c r="H306" s="8">
        <f>IF($A306="","",IF(ISNUMBER(FIND("IMPVOL",H$1)),_xll.BDH(config!$G$4,H$1,WORKDAY($A306,-1,config_Holiday_Calendar_US),WORKDAY($A306,-1,config_Holiday_Calendar_US)),IF(ISNUMBER(_xll.BDH(config!$G$4,H$1,$A306,$A306)),_xll.BDH(config!$G$4,H$1,$A306,$A306),_xll.BDH(config!$G$5,H$1,$A306,$A306))))</f>
        <v>690039</v>
      </c>
      <c r="I306" s="8" t="str">
        <f>IF($A306="","",IF(ISNUMBER(FIND("IMPVOL",I$1)),_xll.BDH(config!$G$4,I$1,WORKDAY($A306,-1,config_Holiday_Calendar_US),WORKDAY($A306,-1,config_Holiday_Calendar_US)),IF(ISNUMBER(_xll.BDH(config!$G$4,I$1,$A306,$A306)),_xll.BDH(config!$G$4,I$1,$A306,$A306),_xll.BDH(config!$G$5,I$1,$A306,$A306))))</f>
        <v>#N/A Requesting Data...</v>
      </c>
      <c r="J306" s="8" t="str">
        <f>IF($A306="","",IF(ISNUMBER(FIND("IMPVOL",J$1)),_xll.BDH(config!$G$4,J$1,WORKDAY($A306,-1,config_Holiday_Calendar_US),WORKDAY($A306,-1,config_Holiday_Calendar_US)),IF(ISNUMBER(_xll.BDH(config!$G$4,J$1,$A306,$A306)),_xll.BDH(config!$G$4,J$1,$A306,$A306),_xll.BDH(config!$G$5,J$1,$A306,$A306))))</f>
        <v>#N/A Requesting Data...</v>
      </c>
      <c r="K306" s="8" t="str">
        <f>IF($A306="","",IF(ISNUMBER(FIND("IMPVOL",K$1)),_xll.BDH(config!$G$4,K$1,WORKDAY($A306,-1,config_Holiday_Calendar_US),WORKDAY($A306,-1,config_Holiday_Calendar_US)),IF(ISNUMBER(_xll.BDH(config!$G$4,K$1,$A306,$A306)),_xll.BDH(config!$G$4,K$1,$A306,$A306),_xll.BDH(config!$G$5,K$1,$A306,$A306))))</f>
        <v>#N/A Requesting Data...</v>
      </c>
      <c r="L306" s="8" t="str">
        <f>IF($A306="","",IF(ISNUMBER(FIND("IMPVOL",L$1)),_xll.BDH(config!$G$4,L$1,WORKDAY($A306,-1,config_Holiday_Calendar_US),WORKDAY($A306,-1,config_Holiday_Calendar_US)),IF(ISNUMBER(_xll.BDH(config!$G$4,L$1,$A306,$A306)),_xll.BDH(config!$G$4,L$1,$A306,$A306),_xll.BDH(config!$G$5,L$1,$A306,$A306))))</f>
        <v>#N/A Requesting Data...</v>
      </c>
      <c r="M306" s="8" t="str">
        <f>IF($A306="","",IF(ISNUMBER(FIND("IMPVOL",M$1)),_xll.BDH(config!$G$4,M$1,WORKDAY($A306,-1,config_Holiday_Calendar_US),WORKDAY($A306,-1,config_Holiday_Calendar_US)),IF(ISNUMBER(_xll.BDH(config!$G$4,M$1,$A306,$A306)),_xll.BDH(config!$G$4,M$1,$A306,$A306),_xll.BDH(config!$G$5,M$1,$A306,$A306))))</f>
        <v>#N/A Requesting Data...</v>
      </c>
      <c r="N306" s="8" t="str">
        <f>IF($A306="","",IF(ISNUMBER(FIND("IMPVOL",N$1)),_xll.BDH(config!$G$4,N$1,WORKDAY($A306,-1,config_Holiday_Calendar_US),WORKDAY($A306,-1,config_Holiday_Calendar_US)),IF(ISNUMBER(_xll.BDH(config!$G$4,N$1,$A306,$A306)),_xll.BDH(config!$G$4,N$1,$A306,$A306),_xll.BDH(config!$G$5,N$1,$A306,$A306))))</f>
        <v>#N/A Requesting Data...</v>
      </c>
      <c r="O306" s="8" t="str">
        <f>IF($A306="","",IF(ISNUMBER(FIND("IMPVOL",O$1)),_xll.BDH(config!$G$4,O$1,WORKDAY($A306,-1,config_Holiday_Calendar_US),WORKDAY($A306,-1,config_Holiday_Calendar_US)),IF(ISNUMBER(_xll.BDH(config!$G$4,O$1,$A306,$A306)),_xll.BDH(config!$G$4,O$1,$A306,$A306),_xll.BDH(config!$G$5,O$1,$A306,$A306))))</f>
        <v>#N/A Requesting Data...</v>
      </c>
      <c r="P306" s="8" t="str">
        <f>IF($A306="","",IF(ISNUMBER(FIND("IMPVOL",P$1)),_xll.BDH(config!$G$4,P$1,WORKDAY($A306,-1,config_Holiday_Calendar_US),WORKDAY($A306,-1,config_Holiday_Calendar_US)),IF(ISNUMBER(_xll.BDH(config!$G$4,P$1,$A306,$A306)),_xll.BDH(config!$G$4,P$1,$A306,$A306),_xll.BDH(config!$G$5,P$1,$A306,$A306))))</f>
        <v>#N/A Requesting Data...</v>
      </c>
      <c r="Q306" s="8">
        <f>IF($A306="","",IF(ISNUMBER(FIND("IMPVOL",Q$1)),_xll.BDH(config!$G$4,Q$1,WORKDAY($A306,-1,config_Holiday_Calendar_US),WORKDAY($A306,-1,config_Holiday_Calendar_US)),IF(ISNUMBER(_xll.BDH(config!$G$4,Q$1,$A306,$A306)),_xll.BDH(config!$G$4,Q$1,$A306,$A306),_xll.BDH(config!$G$5,Q$1,$A306,$A306))))</f>
        <v>41.11</v>
      </c>
      <c r="R306" s="8">
        <f>IF($A306="","",IF(ISNUMBER(FIND("IMPVOL",R$1)),_xll.BDH(config!$G$4,R$1,WORKDAY($A306,-1,config_Holiday_Calendar_US),WORKDAY($A306,-1,config_Holiday_Calendar_US)),IF(ISNUMBER(_xll.BDH(config!$G$4,R$1,$A306,$A306)),_xll.BDH(config!$G$4,R$1,$A306,$A306),_xll.BDH(config!$G$5,R$1,$A306,$A306))))</f>
        <v>43.4</v>
      </c>
      <c r="S306" s="8" t="str">
        <f>IF($A306="","",IF(ISNUMBER(FIND("IMPVOL",S$1)),_xll.BDH(config!$G$4,S$1,WORKDAY($A306,-1,config_Holiday_Calendar_US),WORKDAY($A306,-1,config_Holiday_Calendar_US)),IF(ISNUMBER(_xll.BDH(config!$G$4,S$1,$A306,$A306)),_xll.BDH(config!$G$4,S$1,$A306,$A306),_xll.BDH(config!$G$5,S$1,$A306,$A306))))</f>
        <v>#N/A Requesting Data...</v>
      </c>
      <c r="T306" s="8" t="str">
        <f>IF($A306="","",IF(ISNUMBER(FIND("IMPVOL",T$1)),_xll.BDH(config!$G$4,T$1,WORKDAY($A306,-1,config_Holiday_Calendar_US),WORKDAY($A306,-1,config_Holiday_Calendar_US)),IF(ISNUMBER(_xll.BDH(config!$G$4,T$1,$A306,$A306)),_xll.BDH(config!$G$4,T$1,$A306,$A306),_xll.BDH(config!$G$5,T$1,$A306,$A306))))</f>
        <v>#N/A Requesting Data...</v>
      </c>
      <c r="U306" s="8" t="str">
        <f>IF($A306="","",IF(ISNUMBER(FIND("IMPVOL",U$1)),_xll.BDH(config!$G$4,U$1,WORKDAY($A306,-1,config_Holiday_Calendar_US),WORKDAY($A306,-1,config_Holiday_Calendar_US)),IF(ISNUMBER(_xll.BDH(config!$G$4,U$1,$A306,$A306)),_xll.BDH(config!$G$4,U$1,$A306,$A306),_xll.BDH(config!$G$5,U$1,$A306,$A306))))</f>
        <v>#N/A Requesting Data...</v>
      </c>
      <c r="V306" s="8" t="str">
        <f>IF($A306="","",IF(ISNUMBER(FIND("IMPVOL",V$1)),_xll.BDH(config!$G$4,V$1,WORKDAY($A306,-1,config_Holiday_Calendar_US),WORKDAY($A306,-1,config_Holiday_Calendar_US)),IF(ISNUMBER(_xll.BDH(config!$G$4,V$1,$A306,$A306)),_xll.BDH(config!$G$4,V$1,$A306,$A306),_xll.BDH(config!$G$5,V$1,$A306,$A306))))</f>
        <v>#N/A Requesting Data...</v>
      </c>
      <c r="W306" s="8" t="str">
        <f>IF($A306="","",IF(ISNUMBER(FIND("IMPVOL",W$1)),_xll.BDH(config!$G$4,W$1,WORKDAY($A306,-1,config_Holiday_Calendar_US),WORKDAY($A306,-1,config_Holiday_Calendar_US)),IF(ISNUMBER(_xll.BDH(config!$G$4,W$1,$A306,$A306)),_xll.BDH(config!$G$4,W$1,$A306,$A306),_xll.BDH(config!$G$5,W$1,$A306,$A306))))</f>
        <v>#N/A Requesting Data...</v>
      </c>
    </row>
    <row r="307" spans="1:23" x14ac:dyDescent="0.2">
      <c r="A307" s="9">
        <f>IF(A306="","",IF(WORKDAY(A306,-1,config_Holiday_Calendar_US)&lt;config!$I$10,"",WORKDAY(A306,-1,config_Holiday_Calendar_US)))</f>
        <v>42388</v>
      </c>
      <c r="B307" s="8" t="e">
        <f t="shared" si="4"/>
        <v>#VALUE!</v>
      </c>
      <c r="C307" s="8" t="str">
        <f>IF(A307="","",_xll.BDH(config!$H$4,C$1,$A307,$A307))</f>
        <v>#N/A Requesting Data...</v>
      </c>
      <c r="D307" s="8" t="str">
        <f>IF($A307="","",_xll.BDH(config!$H$4,D$1,$A307,$A307))</f>
        <v>#N/A Requesting Data...</v>
      </c>
      <c r="E307" s="8">
        <f>IF($A307="","",IF(ISNUMBER(FIND("IMPVOL",E$1)),_xll.BDH(config!$G$4,E$1,WORKDAY($A307,-1,config_Holiday_Calendar_US),WORKDAY($A307,-1,config_Holiday_Calendar_US)),IF(ISNUMBER(_xll.BDH(config!$G$4,E$1,$A307,$A307)),_xll.BDH(config!$G$4,E$1,$A307,$A307),_xll.BDH(config!$G$5,E$1,$A307,$A307))))</f>
        <v>29.2</v>
      </c>
      <c r="F307" s="8">
        <f>IF($A307="","",IF(ISNUMBER(FIND("IMPVOL",F$1)),_xll.BDH(config!$G$4,F$1,WORKDAY($A307,-1,config_Holiday_Calendar_US),WORKDAY($A307,-1,config_Holiday_Calendar_US)),IF(ISNUMBER(_xll.BDH(config!$G$4,F$1,$A307,$A307)),_xll.BDH(config!$G$4,F$1,$A307,$A307),_xll.BDH(config!$G$5,F$1,$A307,$A307))))</f>
        <v>30.21</v>
      </c>
      <c r="G307" s="8">
        <f>IF($A307="","",IF(ISNUMBER(FIND("IMPVOL",G$1)),_xll.BDH(config!$G$4,G$1,WORKDAY($A307,-1,config_Holiday_Calendar_US),WORKDAY($A307,-1,config_Holiday_Calendar_US)),IF(ISNUMBER(_xll.BDH(config!$G$4,G$1,$A307,$A307)),_xll.BDH(config!$G$4,G$1,$A307,$A307),_xll.BDH(config!$G$5,G$1,$A307,$A307))))</f>
        <v>29.35</v>
      </c>
      <c r="H307" s="8">
        <f>IF($A307="","",IF(ISNUMBER(FIND("IMPVOL",H$1)),_xll.BDH(config!$G$4,H$1,WORKDAY($A307,-1,config_Holiday_Calendar_US),WORKDAY($A307,-1,config_Holiday_Calendar_US)),IF(ISNUMBER(_xll.BDH(config!$G$4,H$1,$A307,$A307)),_xll.BDH(config!$G$4,H$1,$A307,$A307),_xll.BDH(config!$G$5,H$1,$A307,$A307))))</f>
        <v>743931</v>
      </c>
      <c r="I307" s="8" t="str">
        <f>IF($A307="","",IF(ISNUMBER(FIND("IMPVOL",I$1)),_xll.BDH(config!$G$4,I$1,WORKDAY($A307,-1,config_Holiday_Calendar_US),WORKDAY($A307,-1,config_Holiday_Calendar_US)),IF(ISNUMBER(_xll.BDH(config!$G$4,I$1,$A307,$A307)),_xll.BDH(config!$G$4,I$1,$A307,$A307),_xll.BDH(config!$G$5,I$1,$A307,$A307))))</f>
        <v>#N/A Requesting Data...</v>
      </c>
      <c r="J307" s="8" t="str">
        <f>IF($A307="","",IF(ISNUMBER(FIND("IMPVOL",J$1)),_xll.BDH(config!$G$4,J$1,WORKDAY($A307,-1,config_Holiday_Calendar_US),WORKDAY($A307,-1,config_Holiday_Calendar_US)),IF(ISNUMBER(_xll.BDH(config!$G$4,J$1,$A307,$A307)),_xll.BDH(config!$G$4,J$1,$A307,$A307),_xll.BDH(config!$G$5,J$1,$A307,$A307))))</f>
        <v>#N/A Requesting Data...</v>
      </c>
      <c r="K307" s="8" t="str">
        <f>IF($A307="","",IF(ISNUMBER(FIND("IMPVOL",K$1)),_xll.BDH(config!$G$4,K$1,WORKDAY($A307,-1,config_Holiday_Calendar_US),WORKDAY($A307,-1,config_Holiday_Calendar_US)),IF(ISNUMBER(_xll.BDH(config!$G$4,K$1,$A307,$A307)),_xll.BDH(config!$G$4,K$1,$A307,$A307),_xll.BDH(config!$G$5,K$1,$A307,$A307))))</f>
        <v>#N/A Requesting Data...</v>
      </c>
      <c r="L307" s="8" t="str">
        <f>IF($A307="","",IF(ISNUMBER(FIND("IMPVOL",L$1)),_xll.BDH(config!$G$4,L$1,WORKDAY($A307,-1,config_Holiday_Calendar_US),WORKDAY($A307,-1,config_Holiday_Calendar_US)),IF(ISNUMBER(_xll.BDH(config!$G$4,L$1,$A307,$A307)),_xll.BDH(config!$G$4,L$1,$A307,$A307),_xll.BDH(config!$G$5,L$1,$A307,$A307))))</f>
        <v>#N/A Requesting Data...</v>
      </c>
      <c r="M307" s="8" t="str">
        <f>IF($A307="","",IF(ISNUMBER(FIND("IMPVOL",M$1)),_xll.BDH(config!$G$4,M$1,WORKDAY($A307,-1,config_Holiday_Calendar_US),WORKDAY($A307,-1,config_Holiday_Calendar_US)),IF(ISNUMBER(_xll.BDH(config!$G$4,M$1,$A307,$A307)),_xll.BDH(config!$G$4,M$1,$A307,$A307),_xll.BDH(config!$G$5,M$1,$A307,$A307))))</f>
        <v>#N/A Requesting Data...</v>
      </c>
      <c r="N307" s="8" t="str">
        <f>IF($A307="","",IF(ISNUMBER(FIND("IMPVOL",N$1)),_xll.BDH(config!$G$4,N$1,WORKDAY($A307,-1,config_Holiday_Calendar_US),WORKDAY($A307,-1,config_Holiday_Calendar_US)),IF(ISNUMBER(_xll.BDH(config!$G$4,N$1,$A307,$A307)),_xll.BDH(config!$G$4,N$1,$A307,$A307),_xll.BDH(config!$G$5,N$1,$A307,$A307))))</f>
        <v>#N/A Requesting Data...</v>
      </c>
      <c r="O307" s="8" t="str">
        <f>IF($A307="","",IF(ISNUMBER(FIND("IMPVOL",O$1)),_xll.BDH(config!$G$4,O$1,WORKDAY($A307,-1,config_Holiday_Calendar_US),WORKDAY($A307,-1,config_Holiday_Calendar_US)),IF(ISNUMBER(_xll.BDH(config!$G$4,O$1,$A307,$A307)),_xll.BDH(config!$G$4,O$1,$A307,$A307),_xll.BDH(config!$G$5,O$1,$A307,$A307))))</f>
        <v>#N/A Requesting Data...</v>
      </c>
      <c r="P307" s="8" t="str">
        <f>IF($A307="","",IF(ISNUMBER(FIND("IMPVOL",P$1)),_xll.BDH(config!$G$4,P$1,WORKDAY($A307,-1,config_Holiday_Calendar_US),WORKDAY($A307,-1,config_Holiday_Calendar_US)),IF(ISNUMBER(_xll.BDH(config!$G$4,P$1,$A307,$A307)),_xll.BDH(config!$G$4,P$1,$A307,$A307),_xll.BDH(config!$G$5,P$1,$A307,$A307))))</f>
        <v>#N/A Requesting Data...</v>
      </c>
      <c r="Q307" s="8">
        <f>IF($A307="","",IF(ISNUMBER(FIND("IMPVOL",Q$1)),_xll.BDH(config!$G$4,Q$1,WORKDAY($A307,-1,config_Holiday_Calendar_US),WORKDAY($A307,-1,config_Holiday_Calendar_US)),IF(ISNUMBER(_xll.BDH(config!$G$4,Q$1,$A307,$A307)),_xll.BDH(config!$G$4,Q$1,$A307,$A307),_xll.BDH(config!$G$5,Q$1,$A307,$A307))))</f>
        <v>43.4</v>
      </c>
      <c r="R307" s="8">
        <f>IF($A307="","",IF(ISNUMBER(FIND("IMPVOL",R$1)),_xll.BDH(config!$G$4,R$1,WORKDAY($A307,-1,config_Holiday_Calendar_US),WORKDAY($A307,-1,config_Holiday_Calendar_US)),IF(ISNUMBER(_xll.BDH(config!$G$4,R$1,$A307,$A307)),_xll.BDH(config!$G$4,R$1,$A307,$A307),_xll.BDH(config!$G$5,R$1,$A307,$A307))))</f>
        <v>44.13</v>
      </c>
      <c r="S307" s="8" t="str">
        <f>IF($A307="","",IF(ISNUMBER(FIND("IMPVOL",S$1)),_xll.BDH(config!$G$4,S$1,WORKDAY($A307,-1,config_Holiday_Calendar_US),WORKDAY($A307,-1,config_Holiday_Calendar_US)),IF(ISNUMBER(_xll.BDH(config!$G$4,S$1,$A307,$A307)),_xll.BDH(config!$G$4,S$1,$A307,$A307),_xll.BDH(config!$G$5,S$1,$A307,$A307))))</f>
        <v>#N/A Requesting Data...</v>
      </c>
      <c r="T307" s="8" t="str">
        <f>IF($A307="","",IF(ISNUMBER(FIND("IMPVOL",T$1)),_xll.BDH(config!$G$4,T$1,WORKDAY($A307,-1,config_Holiday_Calendar_US),WORKDAY($A307,-1,config_Holiday_Calendar_US)),IF(ISNUMBER(_xll.BDH(config!$G$4,T$1,$A307,$A307)),_xll.BDH(config!$G$4,T$1,$A307,$A307),_xll.BDH(config!$G$5,T$1,$A307,$A307))))</f>
        <v>#N/A Requesting Data...</v>
      </c>
      <c r="U307" s="8" t="str">
        <f>IF($A307="","",IF(ISNUMBER(FIND("IMPVOL",U$1)),_xll.BDH(config!$G$4,U$1,WORKDAY($A307,-1,config_Holiday_Calendar_US),WORKDAY($A307,-1,config_Holiday_Calendar_US)),IF(ISNUMBER(_xll.BDH(config!$G$4,U$1,$A307,$A307)),_xll.BDH(config!$G$4,U$1,$A307,$A307),_xll.BDH(config!$G$5,U$1,$A307,$A307))))</f>
        <v>#N/A Requesting Data...</v>
      </c>
      <c r="V307" s="8" t="str">
        <f>IF($A307="","",IF(ISNUMBER(FIND("IMPVOL",V$1)),_xll.BDH(config!$G$4,V$1,WORKDAY($A307,-1,config_Holiday_Calendar_US),WORKDAY($A307,-1,config_Holiday_Calendar_US)),IF(ISNUMBER(_xll.BDH(config!$G$4,V$1,$A307,$A307)),_xll.BDH(config!$G$4,V$1,$A307,$A307),_xll.BDH(config!$G$5,V$1,$A307,$A307))))</f>
        <v>#N/A Requesting Data...</v>
      </c>
      <c r="W307" s="8" t="str">
        <f>IF($A307="","",IF(ISNUMBER(FIND("IMPVOL",W$1)),_xll.BDH(config!$G$4,W$1,WORKDAY($A307,-1,config_Holiday_Calendar_US),WORKDAY($A307,-1,config_Holiday_Calendar_US)),IF(ISNUMBER(_xll.BDH(config!$G$4,W$1,$A307,$A307)),_xll.BDH(config!$G$4,W$1,$A307,$A307),_xll.BDH(config!$G$5,W$1,$A307,$A307))))</f>
        <v>#N/A Requesting Data...</v>
      </c>
    </row>
    <row r="308" spans="1:23" x14ac:dyDescent="0.2">
      <c r="A308" s="9">
        <f>IF(A307="","",IF(WORKDAY(A307,-1,config_Holiday_Calendar_US)&lt;config!$I$10,"",WORKDAY(A307,-1,config_Holiday_Calendar_US)))</f>
        <v>42384</v>
      </c>
      <c r="B308" s="8" t="e">
        <f t="shared" si="4"/>
        <v>#VALUE!</v>
      </c>
      <c r="C308" s="8" t="str">
        <f>IF(A308="","",_xll.BDH(config!$H$4,C$1,$A308,$A308))</f>
        <v>#N/A Requesting Data...</v>
      </c>
      <c r="D308" s="8" t="str">
        <f>IF($A308="","",_xll.BDH(config!$H$4,D$1,$A308,$A308))</f>
        <v>#N/A Requesting Data...</v>
      </c>
      <c r="E308" s="8">
        <f>IF($A308="","",IF(ISNUMBER(FIND("IMPVOL",E$1)),_xll.BDH(config!$G$4,E$1,WORKDAY($A308,-1,config_Holiday_Calendar_US),WORKDAY($A308,-1,config_Holiday_Calendar_US)),IF(ISNUMBER(_xll.BDH(config!$G$4,E$1,$A308,$A308)),_xll.BDH(config!$G$4,E$1,$A308,$A308),_xll.BDH(config!$G$5,E$1,$A308,$A308))))</f>
        <v>31.18</v>
      </c>
      <c r="F308" s="8">
        <f>IF($A308="","",IF(ISNUMBER(FIND("IMPVOL",F$1)),_xll.BDH(config!$G$4,F$1,WORKDAY($A308,-1,config_Holiday_Calendar_US),WORKDAY($A308,-1,config_Holiday_Calendar_US)),IF(ISNUMBER(_xll.BDH(config!$G$4,F$1,$A308,$A308)),_xll.BDH(config!$G$4,F$1,$A308,$A308),_xll.BDH(config!$G$5,F$1,$A308,$A308))))</f>
        <v>31.18</v>
      </c>
      <c r="G308" s="8">
        <f>IF($A308="","",IF(ISNUMBER(FIND("IMPVOL",G$1)),_xll.BDH(config!$G$4,G$1,WORKDAY($A308,-1,config_Holiday_Calendar_US),WORKDAY($A308,-1,config_Holiday_Calendar_US)),IF(ISNUMBER(_xll.BDH(config!$G$4,G$1,$A308,$A308)),_xll.BDH(config!$G$4,G$1,$A308,$A308),_xll.BDH(config!$G$5,G$1,$A308,$A308))))</f>
        <v>30.06</v>
      </c>
      <c r="H308" s="8">
        <f>IF($A308="","",IF(ISNUMBER(FIND("IMPVOL",H$1)),_xll.BDH(config!$G$4,H$1,WORKDAY($A308,-1,config_Holiday_Calendar_US),WORKDAY($A308,-1,config_Holiday_Calendar_US)),IF(ISNUMBER(_xll.BDH(config!$G$4,H$1,$A308,$A308)),_xll.BDH(config!$G$4,H$1,$A308,$A308),_xll.BDH(config!$G$5,H$1,$A308,$A308))))</f>
        <v>358984</v>
      </c>
      <c r="I308" s="8" t="str">
        <f>IF($A308="","",IF(ISNUMBER(FIND("IMPVOL",I$1)),_xll.BDH(config!$G$4,I$1,WORKDAY($A308,-1,config_Holiday_Calendar_US),WORKDAY($A308,-1,config_Holiday_Calendar_US)),IF(ISNUMBER(_xll.BDH(config!$G$4,I$1,$A308,$A308)),_xll.BDH(config!$G$4,I$1,$A308,$A308),_xll.BDH(config!$G$5,I$1,$A308,$A308))))</f>
        <v>#N/A Requesting Data...</v>
      </c>
      <c r="J308" s="8" t="str">
        <f>IF($A308="","",IF(ISNUMBER(FIND("IMPVOL",J$1)),_xll.BDH(config!$G$4,J$1,WORKDAY($A308,-1,config_Holiday_Calendar_US),WORKDAY($A308,-1,config_Holiday_Calendar_US)),IF(ISNUMBER(_xll.BDH(config!$G$4,J$1,$A308,$A308)),_xll.BDH(config!$G$4,J$1,$A308,$A308),_xll.BDH(config!$G$5,J$1,$A308,$A308))))</f>
        <v>#N/A Requesting Data...</v>
      </c>
      <c r="K308" s="8" t="str">
        <f>IF($A308="","",IF(ISNUMBER(FIND("IMPVOL",K$1)),_xll.BDH(config!$G$4,K$1,WORKDAY($A308,-1,config_Holiday_Calendar_US),WORKDAY($A308,-1,config_Holiday_Calendar_US)),IF(ISNUMBER(_xll.BDH(config!$G$4,K$1,$A308,$A308)),_xll.BDH(config!$G$4,K$1,$A308,$A308),_xll.BDH(config!$G$5,K$1,$A308,$A308))))</f>
        <v>#N/A Requesting Data...</v>
      </c>
      <c r="L308" s="8" t="str">
        <f>IF($A308="","",IF(ISNUMBER(FIND("IMPVOL",L$1)),_xll.BDH(config!$G$4,L$1,WORKDAY($A308,-1,config_Holiday_Calendar_US),WORKDAY($A308,-1,config_Holiday_Calendar_US)),IF(ISNUMBER(_xll.BDH(config!$G$4,L$1,$A308,$A308)),_xll.BDH(config!$G$4,L$1,$A308,$A308),_xll.BDH(config!$G$5,L$1,$A308,$A308))))</f>
        <v>#N/A Requesting Data...</v>
      </c>
      <c r="M308" s="8" t="str">
        <f>IF($A308="","",IF(ISNUMBER(FIND("IMPVOL",M$1)),_xll.BDH(config!$G$4,M$1,WORKDAY($A308,-1,config_Holiday_Calendar_US),WORKDAY($A308,-1,config_Holiday_Calendar_US)),IF(ISNUMBER(_xll.BDH(config!$G$4,M$1,$A308,$A308)),_xll.BDH(config!$G$4,M$1,$A308,$A308),_xll.BDH(config!$G$5,M$1,$A308,$A308))))</f>
        <v>#N/A Requesting Data...</v>
      </c>
      <c r="N308" s="8" t="str">
        <f>IF($A308="","",IF(ISNUMBER(FIND("IMPVOL",N$1)),_xll.BDH(config!$G$4,N$1,WORKDAY($A308,-1,config_Holiday_Calendar_US),WORKDAY($A308,-1,config_Holiday_Calendar_US)),IF(ISNUMBER(_xll.BDH(config!$G$4,N$1,$A308,$A308)),_xll.BDH(config!$G$4,N$1,$A308,$A308),_xll.BDH(config!$G$5,N$1,$A308,$A308))))</f>
        <v>#N/A Requesting Data...</v>
      </c>
      <c r="O308" s="8" t="str">
        <f>IF($A308="","",IF(ISNUMBER(FIND("IMPVOL",O$1)),_xll.BDH(config!$G$4,O$1,WORKDAY($A308,-1,config_Holiday_Calendar_US),WORKDAY($A308,-1,config_Holiday_Calendar_US)),IF(ISNUMBER(_xll.BDH(config!$G$4,O$1,$A308,$A308)),_xll.BDH(config!$G$4,O$1,$A308,$A308),_xll.BDH(config!$G$5,O$1,$A308,$A308))))</f>
        <v>#N/A Requesting Data...</v>
      </c>
      <c r="P308" s="8" t="str">
        <f>IF($A308="","",IF(ISNUMBER(FIND("IMPVOL",P$1)),_xll.BDH(config!$G$4,P$1,WORKDAY($A308,-1,config_Holiday_Calendar_US),WORKDAY($A308,-1,config_Holiday_Calendar_US)),IF(ISNUMBER(_xll.BDH(config!$G$4,P$1,$A308,$A308)),_xll.BDH(config!$G$4,P$1,$A308,$A308),_xll.BDH(config!$G$5,P$1,$A308,$A308))))</f>
        <v>#N/A Requesting Data...</v>
      </c>
      <c r="Q308" s="8">
        <f>IF($A308="","",IF(ISNUMBER(FIND("IMPVOL",Q$1)),_xll.BDH(config!$G$4,Q$1,WORKDAY($A308,-1,config_Holiday_Calendar_US),WORKDAY($A308,-1,config_Holiday_Calendar_US)),IF(ISNUMBER(_xll.BDH(config!$G$4,Q$1,$A308,$A308)),_xll.BDH(config!$G$4,Q$1,$A308,$A308),_xll.BDH(config!$G$5,Q$1,$A308,$A308))))</f>
        <v>43.46</v>
      </c>
      <c r="R308" s="8">
        <f>IF($A308="","",IF(ISNUMBER(FIND("IMPVOL",R$1)),_xll.BDH(config!$G$4,R$1,WORKDAY($A308,-1,config_Holiday_Calendar_US),WORKDAY($A308,-1,config_Holiday_Calendar_US)),IF(ISNUMBER(_xll.BDH(config!$G$4,R$1,$A308,$A308)),_xll.BDH(config!$G$4,R$1,$A308,$A308),_xll.BDH(config!$G$5,R$1,$A308,$A308))))</f>
        <v>44.1</v>
      </c>
      <c r="S308" s="8" t="str">
        <f>IF($A308="","",IF(ISNUMBER(FIND("IMPVOL",S$1)),_xll.BDH(config!$G$4,S$1,WORKDAY($A308,-1,config_Holiday_Calendar_US),WORKDAY($A308,-1,config_Holiday_Calendar_US)),IF(ISNUMBER(_xll.BDH(config!$G$4,S$1,$A308,$A308)),_xll.BDH(config!$G$4,S$1,$A308,$A308),_xll.BDH(config!$G$5,S$1,$A308,$A308))))</f>
        <v>#N/A Requesting Data...</v>
      </c>
      <c r="T308" s="8" t="str">
        <f>IF($A308="","",IF(ISNUMBER(FIND("IMPVOL",T$1)),_xll.BDH(config!$G$4,T$1,WORKDAY($A308,-1,config_Holiday_Calendar_US),WORKDAY($A308,-1,config_Holiday_Calendar_US)),IF(ISNUMBER(_xll.BDH(config!$G$4,T$1,$A308,$A308)),_xll.BDH(config!$G$4,T$1,$A308,$A308),_xll.BDH(config!$G$5,T$1,$A308,$A308))))</f>
        <v>#N/A Requesting Data...</v>
      </c>
      <c r="U308" s="8" t="str">
        <f>IF($A308="","",IF(ISNUMBER(FIND("IMPVOL",U$1)),_xll.BDH(config!$G$4,U$1,WORKDAY($A308,-1,config_Holiday_Calendar_US),WORKDAY($A308,-1,config_Holiday_Calendar_US)),IF(ISNUMBER(_xll.BDH(config!$G$4,U$1,$A308,$A308)),_xll.BDH(config!$G$4,U$1,$A308,$A308),_xll.BDH(config!$G$5,U$1,$A308,$A308))))</f>
        <v>#N/A Requesting Data...</v>
      </c>
      <c r="V308" s="8" t="str">
        <f>IF($A308="","",IF(ISNUMBER(FIND("IMPVOL",V$1)),_xll.BDH(config!$G$4,V$1,WORKDAY($A308,-1,config_Holiday_Calendar_US),WORKDAY($A308,-1,config_Holiday_Calendar_US)),IF(ISNUMBER(_xll.BDH(config!$G$4,V$1,$A308,$A308)),_xll.BDH(config!$G$4,V$1,$A308,$A308),_xll.BDH(config!$G$5,V$1,$A308,$A308))))</f>
        <v>#N/A Requesting Data...</v>
      </c>
      <c r="W308" s="8" t="str">
        <f>IF($A308="","",IF(ISNUMBER(FIND("IMPVOL",W$1)),_xll.BDH(config!$G$4,W$1,WORKDAY($A308,-1,config_Holiday_Calendar_US),WORKDAY($A308,-1,config_Holiday_Calendar_US)),IF(ISNUMBER(_xll.BDH(config!$G$4,W$1,$A308,$A308)),_xll.BDH(config!$G$4,W$1,$A308,$A308),_xll.BDH(config!$G$5,W$1,$A308,$A308))))</f>
        <v>#N/A Requesting Data...</v>
      </c>
    </row>
    <row r="309" spans="1:23" x14ac:dyDescent="0.2">
      <c r="A309" s="9">
        <f>IF(A308="","",IF(WORKDAY(A308,-1,config_Holiday_Calendar_US)&lt;config!$I$10,"",WORKDAY(A308,-1,config_Holiday_Calendar_US)))</f>
        <v>42383</v>
      </c>
      <c r="B309" s="8" t="e">
        <f t="shared" si="4"/>
        <v>#VALUE!</v>
      </c>
      <c r="C309" s="8" t="str">
        <f>IF(A309="","",_xll.BDH(config!$H$4,C$1,$A309,$A309))</f>
        <v>#N/A Requesting Data...</v>
      </c>
      <c r="D309" s="8" t="str">
        <f>IF($A309="","",_xll.BDH(config!$H$4,D$1,$A309,$A309))</f>
        <v>#N/A Requesting Data...</v>
      </c>
      <c r="E309" s="8">
        <f>IF($A309="","",IF(ISNUMBER(FIND("IMPVOL",E$1)),_xll.BDH(config!$G$4,E$1,WORKDAY($A309,-1,config_Holiday_Calendar_US),WORKDAY($A309,-1,config_Holiday_Calendar_US)),IF(ISNUMBER(_xll.BDH(config!$G$4,E$1,$A309,$A309)),_xll.BDH(config!$G$4,E$1,$A309,$A309),_xll.BDH(config!$G$5,E$1,$A309,$A309))))</f>
        <v>30.6</v>
      </c>
      <c r="F309" s="8">
        <f>IF($A309="","",IF(ISNUMBER(FIND("IMPVOL",F$1)),_xll.BDH(config!$G$4,F$1,WORKDAY($A309,-1,config_Holiday_Calendar_US),WORKDAY($A309,-1,config_Holiday_Calendar_US)),IF(ISNUMBER(_xll.BDH(config!$G$4,F$1,$A309,$A309)),_xll.BDH(config!$G$4,F$1,$A309,$A309),_xll.BDH(config!$G$5,F$1,$A309,$A309))))</f>
        <v>31.77</v>
      </c>
      <c r="G309" s="8">
        <f>IF($A309="","",IF(ISNUMBER(FIND("IMPVOL",G$1)),_xll.BDH(config!$G$4,G$1,WORKDAY($A309,-1,config_Holiday_Calendar_US),WORKDAY($A309,-1,config_Holiday_Calendar_US)),IF(ISNUMBER(_xll.BDH(config!$G$4,G$1,$A309,$A309)),_xll.BDH(config!$G$4,G$1,$A309,$A309),_xll.BDH(config!$G$5,G$1,$A309,$A309))))</f>
        <v>31.16</v>
      </c>
      <c r="H309" s="8">
        <f>IF($A309="","",IF(ISNUMBER(FIND("IMPVOL",H$1)),_xll.BDH(config!$G$4,H$1,WORKDAY($A309,-1,config_Holiday_Calendar_US),WORKDAY($A309,-1,config_Holiday_Calendar_US)),IF(ISNUMBER(_xll.BDH(config!$G$4,H$1,$A309,$A309)),_xll.BDH(config!$G$4,H$1,$A309,$A309),_xll.BDH(config!$G$5,H$1,$A309,$A309))))</f>
        <v>407645</v>
      </c>
      <c r="I309" s="8" t="str">
        <f>IF($A309="","",IF(ISNUMBER(FIND("IMPVOL",I$1)),_xll.BDH(config!$G$4,I$1,WORKDAY($A309,-1,config_Holiday_Calendar_US),WORKDAY($A309,-1,config_Holiday_Calendar_US)),IF(ISNUMBER(_xll.BDH(config!$G$4,I$1,$A309,$A309)),_xll.BDH(config!$G$4,I$1,$A309,$A309),_xll.BDH(config!$G$5,I$1,$A309,$A309))))</f>
        <v>#N/A Requesting Data...</v>
      </c>
      <c r="J309" s="8" t="str">
        <f>IF($A309="","",IF(ISNUMBER(FIND("IMPVOL",J$1)),_xll.BDH(config!$G$4,J$1,WORKDAY($A309,-1,config_Holiday_Calendar_US),WORKDAY($A309,-1,config_Holiday_Calendar_US)),IF(ISNUMBER(_xll.BDH(config!$G$4,J$1,$A309,$A309)),_xll.BDH(config!$G$4,J$1,$A309,$A309),_xll.BDH(config!$G$5,J$1,$A309,$A309))))</f>
        <v>#N/A Requesting Data...</v>
      </c>
      <c r="K309" s="8" t="str">
        <f>IF($A309="","",IF(ISNUMBER(FIND("IMPVOL",K$1)),_xll.BDH(config!$G$4,K$1,WORKDAY($A309,-1,config_Holiday_Calendar_US),WORKDAY($A309,-1,config_Holiday_Calendar_US)),IF(ISNUMBER(_xll.BDH(config!$G$4,K$1,$A309,$A309)),_xll.BDH(config!$G$4,K$1,$A309,$A309),_xll.BDH(config!$G$5,K$1,$A309,$A309))))</f>
        <v>#N/A Requesting Data...</v>
      </c>
      <c r="L309" s="8" t="str">
        <f>IF($A309="","",IF(ISNUMBER(FIND("IMPVOL",L$1)),_xll.BDH(config!$G$4,L$1,WORKDAY($A309,-1,config_Holiday_Calendar_US),WORKDAY($A309,-1,config_Holiday_Calendar_US)),IF(ISNUMBER(_xll.BDH(config!$G$4,L$1,$A309,$A309)),_xll.BDH(config!$G$4,L$1,$A309,$A309),_xll.BDH(config!$G$5,L$1,$A309,$A309))))</f>
        <v>#N/A Requesting Data...</v>
      </c>
      <c r="M309" s="8" t="str">
        <f>IF($A309="","",IF(ISNUMBER(FIND("IMPVOL",M$1)),_xll.BDH(config!$G$4,M$1,WORKDAY($A309,-1,config_Holiday_Calendar_US),WORKDAY($A309,-1,config_Holiday_Calendar_US)),IF(ISNUMBER(_xll.BDH(config!$G$4,M$1,$A309,$A309)),_xll.BDH(config!$G$4,M$1,$A309,$A309),_xll.BDH(config!$G$5,M$1,$A309,$A309))))</f>
        <v>#N/A Requesting Data...</v>
      </c>
      <c r="N309" s="8" t="str">
        <f>IF($A309="","",IF(ISNUMBER(FIND("IMPVOL",N$1)),_xll.BDH(config!$G$4,N$1,WORKDAY($A309,-1,config_Holiday_Calendar_US),WORKDAY($A309,-1,config_Holiday_Calendar_US)),IF(ISNUMBER(_xll.BDH(config!$G$4,N$1,$A309,$A309)),_xll.BDH(config!$G$4,N$1,$A309,$A309),_xll.BDH(config!$G$5,N$1,$A309,$A309))))</f>
        <v>#N/A Requesting Data...</v>
      </c>
      <c r="O309" s="8" t="str">
        <f>IF($A309="","",IF(ISNUMBER(FIND("IMPVOL",O$1)),_xll.BDH(config!$G$4,O$1,WORKDAY($A309,-1,config_Holiday_Calendar_US),WORKDAY($A309,-1,config_Holiday_Calendar_US)),IF(ISNUMBER(_xll.BDH(config!$G$4,O$1,$A309,$A309)),_xll.BDH(config!$G$4,O$1,$A309,$A309),_xll.BDH(config!$G$5,O$1,$A309,$A309))))</f>
        <v>#N/A Requesting Data...</v>
      </c>
      <c r="P309" s="8" t="str">
        <f>IF($A309="","",IF(ISNUMBER(FIND("IMPVOL",P$1)),_xll.BDH(config!$G$4,P$1,WORKDAY($A309,-1,config_Holiday_Calendar_US),WORKDAY($A309,-1,config_Holiday_Calendar_US)),IF(ISNUMBER(_xll.BDH(config!$G$4,P$1,$A309,$A309)),_xll.BDH(config!$G$4,P$1,$A309,$A309),_xll.BDH(config!$G$5,P$1,$A309,$A309))))</f>
        <v>#N/A Requesting Data...</v>
      </c>
      <c r="Q309" s="8">
        <f>IF($A309="","",IF(ISNUMBER(FIND("IMPVOL",Q$1)),_xll.BDH(config!$G$4,Q$1,WORKDAY($A309,-1,config_Holiday_Calendar_US),WORKDAY($A309,-1,config_Holiday_Calendar_US)),IF(ISNUMBER(_xll.BDH(config!$G$4,Q$1,$A309,$A309)),_xll.BDH(config!$G$4,Q$1,$A309,$A309),_xll.BDH(config!$G$5,Q$1,$A309,$A309))))</f>
        <v>40.22</v>
      </c>
      <c r="R309" s="8">
        <f>IF($A309="","",IF(ISNUMBER(FIND("IMPVOL",R$1)),_xll.BDH(config!$G$4,R$1,WORKDAY($A309,-1,config_Holiday_Calendar_US),WORKDAY($A309,-1,config_Holiday_Calendar_US)),IF(ISNUMBER(_xll.BDH(config!$G$4,R$1,$A309,$A309)),_xll.BDH(config!$G$4,R$1,$A309,$A309),_xll.BDH(config!$G$5,R$1,$A309,$A309))))</f>
        <v>43.4</v>
      </c>
      <c r="S309" s="8" t="str">
        <f>IF($A309="","",IF(ISNUMBER(FIND("IMPVOL",S$1)),_xll.BDH(config!$G$4,S$1,WORKDAY($A309,-1,config_Holiday_Calendar_US),WORKDAY($A309,-1,config_Holiday_Calendar_US)),IF(ISNUMBER(_xll.BDH(config!$G$4,S$1,$A309,$A309)),_xll.BDH(config!$G$4,S$1,$A309,$A309),_xll.BDH(config!$G$5,S$1,$A309,$A309))))</f>
        <v>#N/A Requesting Data...</v>
      </c>
      <c r="T309" s="8" t="str">
        <f>IF($A309="","",IF(ISNUMBER(FIND("IMPVOL",T$1)),_xll.BDH(config!$G$4,T$1,WORKDAY($A309,-1,config_Holiday_Calendar_US),WORKDAY($A309,-1,config_Holiday_Calendar_US)),IF(ISNUMBER(_xll.BDH(config!$G$4,T$1,$A309,$A309)),_xll.BDH(config!$G$4,T$1,$A309,$A309),_xll.BDH(config!$G$5,T$1,$A309,$A309))))</f>
        <v>#N/A Requesting Data...</v>
      </c>
      <c r="U309" s="8" t="str">
        <f>IF($A309="","",IF(ISNUMBER(FIND("IMPVOL",U$1)),_xll.BDH(config!$G$4,U$1,WORKDAY($A309,-1,config_Holiday_Calendar_US),WORKDAY($A309,-1,config_Holiday_Calendar_US)),IF(ISNUMBER(_xll.BDH(config!$G$4,U$1,$A309,$A309)),_xll.BDH(config!$G$4,U$1,$A309,$A309),_xll.BDH(config!$G$5,U$1,$A309,$A309))))</f>
        <v>#N/A Requesting Data...</v>
      </c>
      <c r="V309" s="8" t="str">
        <f>IF($A309="","",IF(ISNUMBER(FIND("IMPVOL",V$1)),_xll.BDH(config!$G$4,V$1,WORKDAY($A309,-1,config_Holiday_Calendar_US),WORKDAY($A309,-1,config_Holiday_Calendar_US)),IF(ISNUMBER(_xll.BDH(config!$G$4,V$1,$A309,$A309)),_xll.BDH(config!$G$4,V$1,$A309,$A309),_xll.BDH(config!$G$5,V$1,$A309,$A309))))</f>
        <v>#N/A Requesting Data...</v>
      </c>
      <c r="W309" s="8" t="str">
        <f>IF($A309="","",IF(ISNUMBER(FIND("IMPVOL",W$1)),_xll.BDH(config!$G$4,W$1,WORKDAY($A309,-1,config_Holiday_Calendar_US),WORKDAY($A309,-1,config_Holiday_Calendar_US)),IF(ISNUMBER(_xll.BDH(config!$G$4,W$1,$A309,$A309)),_xll.BDH(config!$G$4,W$1,$A309,$A309),_xll.BDH(config!$G$5,W$1,$A309,$A309))))</f>
        <v>#N/A Requesting Data...</v>
      </c>
    </row>
    <row r="310" spans="1:23" x14ac:dyDescent="0.2">
      <c r="A310" s="9">
        <f>IF(A309="","",IF(WORKDAY(A309,-1,config_Holiday_Calendar_US)&lt;config!$I$10,"",WORKDAY(A309,-1,config_Holiday_Calendar_US)))</f>
        <v>42382</v>
      </c>
      <c r="B310" s="8" t="e">
        <f t="shared" si="4"/>
        <v>#VALUE!</v>
      </c>
      <c r="C310" s="8" t="str">
        <f>IF(A310="","",_xll.BDH(config!$H$4,C$1,$A310,$A310))</f>
        <v>#N/A Requesting Data...</v>
      </c>
      <c r="D310" s="8" t="str">
        <f>IF($A310="","",_xll.BDH(config!$H$4,D$1,$A310,$A310))</f>
        <v>#N/A Requesting Data...</v>
      </c>
      <c r="E310" s="8">
        <f>IF($A310="","",IF(ISNUMBER(FIND("IMPVOL",E$1)),_xll.BDH(config!$G$4,E$1,WORKDAY($A310,-1,config_Holiday_Calendar_US),WORKDAY($A310,-1,config_Holiday_Calendar_US)),IF(ISNUMBER(_xll.BDH(config!$G$4,E$1,$A310,$A310)),_xll.BDH(config!$G$4,E$1,$A310,$A310),_xll.BDH(config!$G$5,E$1,$A310,$A310))))</f>
        <v>30.54</v>
      </c>
      <c r="F310" s="8">
        <f>IF($A310="","",IF(ISNUMBER(FIND("IMPVOL",F$1)),_xll.BDH(config!$G$4,F$1,WORKDAY($A310,-1,config_Holiday_Calendar_US),WORKDAY($A310,-1,config_Holiday_Calendar_US)),IF(ISNUMBER(_xll.BDH(config!$G$4,F$1,$A310,$A310)),_xll.BDH(config!$G$4,F$1,$A310,$A310),_xll.BDH(config!$G$5,F$1,$A310,$A310))))</f>
        <v>31.71</v>
      </c>
      <c r="G310" s="8">
        <f>IF($A310="","",IF(ISNUMBER(FIND("IMPVOL",G$1)),_xll.BDH(config!$G$4,G$1,WORKDAY($A310,-1,config_Holiday_Calendar_US),WORKDAY($A310,-1,config_Holiday_Calendar_US)),IF(ISNUMBER(_xll.BDH(config!$G$4,G$1,$A310,$A310)),_xll.BDH(config!$G$4,G$1,$A310,$A310),_xll.BDH(config!$G$5,G$1,$A310,$A310))))</f>
        <v>31.07</v>
      </c>
      <c r="H310" s="8">
        <f>IF($A310="","",IF(ISNUMBER(FIND("IMPVOL",H$1)),_xll.BDH(config!$G$4,H$1,WORKDAY($A310,-1,config_Holiday_Calendar_US),WORKDAY($A310,-1,config_Holiday_Calendar_US)),IF(ISNUMBER(_xll.BDH(config!$G$4,H$1,$A310,$A310)),_xll.BDH(config!$G$4,H$1,$A310,$A310),_xll.BDH(config!$G$5,H$1,$A310,$A310))))</f>
        <v>358235</v>
      </c>
      <c r="I310" s="8" t="str">
        <f>IF($A310="","",IF(ISNUMBER(FIND("IMPVOL",I$1)),_xll.BDH(config!$G$4,I$1,WORKDAY($A310,-1,config_Holiday_Calendar_US),WORKDAY($A310,-1,config_Holiday_Calendar_US)),IF(ISNUMBER(_xll.BDH(config!$G$4,I$1,$A310,$A310)),_xll.BDH(config!$G$4,I$1,$A310,$A310),_xll.BDH(config!$G$5,I$1,$A310,$A310))))</f>
        <v>#N/A Requesting Data...</v>
      </c>
      <c r="J310" s="8" t="str">
        <f>IF($A310="","",IF(ISNUMBER(FIND("IMPVOL",J$1)),_xll.BDH(config!$G$4,J$1,WORKDAY($A310,-1,config_Holiday_Calendar_US),WORKDAY($A310,-1,config_Holiday_Calendar_US)),IF(ISNUMBER(_xll.BDH(config!$G$4,J$1,$A310,$A310)),_xll.BDH(config!$G$4,J$1,$A310,$A310),_xll.BDH(config!$G$5,J$1,$A310,$A310))))</f>
        <v>#N/A Requesting Data...</v>
      </c>
      <c r="K310" s="8" t="str">
        <f>IF($A310="","",IF(ISNUMBER(FIND("IMPVOL",K$1)),_xll.BDH(config!$G$4,K$1,WORKDAY($A310,-1,config_Holiday_Calendar_US),WORKDAY($A310,-1,config_Holiday_Calendar_US)),IF(ISNUMBER(_xll.BDH(config!$G$4,K$1,$A310,$A310)),_xll.BDH(config!$G$4,K$1,$A310,$A310),_xll.BDH(config!$G$5,K$1,$A310,$A310))))</f>
        <v>#N/A Requesting Data...</v>
      </c>
      <c r="L310" s="8" t="str">
        <f>IF($A310="","",IF(ISNUMBER(FIND("IMPVOL",L$1)),_xll.BDH(config!$G$4,L$1,WORKDAY($A310,-1,config_Holiday_Calendar_US),WORKDAY($A310,-1,config_Holiday_Calendar_US)),IF(ISNUMBER(_xll.BDH(config!$G$4,L$1,$A310,$A310)),_xll.BDH(config!$G$4,L$1,$A310,$A310),_xll.BDH(config!$G$5,L$1,$A310,$A310))))</f>
        <v>#N/A Requesting Data...</v>
      </c>
      <c r="M310" s="8" t="str">
        <f>IF($A310="","",IF(ISNUMBER(FIND("IMPVOL",M$1)),_xll.BDH(config!$G$4,M$1,WORKDAY($A310,-1,config_Holiday_Calendar_US),WORKDAY($A310,-1,config_Holiday_Calendar_US)),IF(ISNUMBER(_xll.BDH(config!$G$4,M$1,$A310,$A310)),_xll.BDH(config!$G$4,M$1,$A310,$A310),_xll.BDH(config!$G$5,M$1,$A310,$A310))))</f>
        <v>#N/A Requesting Data...</v>
      </c>
      <c r="N310" s="8" t="str">
        <f>IF($A310="","",IF(ISNUMBER(FIND("IMPVOL",N$1)),_xll.BDH(config!$G$4,N$1,WORKDAY($A310,-1,config_Holiday_Calendar_US),WORKDAY($A310,-1,config_Holiday_Calendar_US)),IF(ISNUMBER(_xll.BDH(config!$G$4,N$1,$A310,$A310)),_xll.BDH(config!$G$4,N$1,$A310,$A310),_xll.BDH(config!$G$5,N$1,$A310,$A310))))</f>
        <v>#N/A Requesting Data...</v>
      </c>
      <c r="O310" s="8" t="str">
        <f>IF($A310="","",IF(ISNUMBER(FIND("IMPVOL",O$1)),_xll.BDH(config!$G$4,O$1,WORKDAY($A310,-1,config_Holiday_Calendar_US),WORKDAY($A310,-1,config_Holiday_Calendar_US)),IF(ISNUMBER(_xll.BDH(config!$G$4,O$1,$A310,$A310)),_xll.BDH(config!$G$4,O$1,$A310,$A310),_xll.BDH(config!$G$5,O$1,$A310,$A310))))</f>
        <v>#N/A Requesting Data...</v>
      </c>
      <c r="P310" s="8" t="str">
        <f>IF($A310="","",IF(ISNUMBER(FIND("IMPVOL",P$1)),_xll.BDH(config!$G$4,P$1,WORKDAY($A310,-1,config_Holiday_Calendar_US),WORKDAY($A310,-1,config_Holiday_Calendar_US)),IF(ISNUMBER(_xll.BDH(config!$G$4,P$1,$A310,$A310)),_xll.BDH(config!$G$4,P$1,$A310,$A310),_xll.BDH(config!$G$5,P$1,$A310,$A310))))</f>
        <v>#N/A Requesting Data...</v>
      </c>
      <c r="Q310" s="8">
        <f>IF($A310="","",IF(ISNUMBER(FIND("IMPVOL",Q$1)),_xll.BDH(config!$G$4,Q$1,WORKDAY($A310,-1,config_Holiday_Calendar_US),WORKDAY($A310,-1,config_Holiday_Calendar_US)),IF(ISNUMBER(_xll.BDH(config!$G$4,Q$1,$A310,$A310)),_xll.BDH(config!$G$4,Q$1,$A310,$A310),_xll.BDH(config!$G$5,Q$1,$A310,$A310))))</f>
        <v>37.450000000000003</v>
      </c>
      <c r="R310" s="8">
        <f>IF($A310="","",IF(ISNUMBER(FIND("IMPVOL",R$1)),_xll.BDH(config!$G$4,R$1,WORKDAY($A310,-1,config_Holiday_Calendar_US),WORKDAY($A310,-1,config_Holiday_Calendar_US)),IF(ISNUMBER(_xll.BDH(config!$G$4,R$1,$A310,$A310)),_xll.BDH(config!$G$4,R$1,$A310,$A310),_xll.BDH(config!$G$5,R$1,$A310,$A310))))</f>
        <v>43.34</v>
      </c>
      <c r="S310" s="8" t="str">
        <f>IF($A310="","",IF(ISNUMBER(FIND("IMPVOL",S$1)),_xll.BDH(config!$G$4,S$1,WORKDAY($A310,-1,config_Holiday_Calendar_US),WORKDAY($A310,-1,config_Holiday_Calendar_US)),IF(ISNUMBER(_xll.BDH(config!$G$4,S$1,$A310,$A310)),_xll.BDH(config!$G$4,S$1,$A310,$A310),_xll.BDH(config!$G$5,S$1,$A310,$A310))))</f>
        <v>#N/A Requesting Data...</v>
      </c>
      <c r="T310" s="8" t="str">
        <f>IF($A310="","",IF(ISNUMBER(FIND("IMPVOL",T$1)),_xll.BDH(config!$G$4,T$1,WORKDAY($A310,-1,config_Holiday_Calendar_US),WORKDAY($A310,-1,config_Holiday_Calendar_US)),IF(ISNUMBER(_xll.BDH(config!$G$4,T$1,$A310,$A310)),_xll.BDH(config!$G$4,T$1,$A310,$A310),_xll.BDH(config!$G$5,T$1,$A310,$A310))))</f>
        <v>#N/A Requesting Data...</v>
      </c>
      <c r="U310" s="8" t="str">
        <f>IF($A310="","",IF(ISNUMBER(FIND("IMPVOL",U$1)),_xll.BDH(config!$G$4,U$1,WORKDAY($A310,-1,config_Holiday_Calendar_US),WORKDAY($A310,-1,config_Holiday_Calendar_US)),IF(ISNUMBER(_xll.BDH(config!$G$4,U$1,$A310,$A310)),_xll.BDH(config!$G$4,U$1,$A310,$A310),_xll.BDH(config!$G$5,U$1,$A310,$A310))))</f>
        <v>#N/A Requesting Data...</v>
      </c>
      <c r="V310" s="8" t="str">
        <f>IF($A310="","",IF(ISNUMBER(FIND("IMPVOL",V$1)),_xll.BDH(config!$G$4,V$1,WORKDAY($A310,-1,config_Holiday_Calendar_US),WORKDAY($A310,-1,config_Holiday_Calendar_US)),IF(ISNUMBER(_xll.BDH(config!$G$4,V$1,$A310,$A310)),_xll.BDH(config!$G$4,V$1,$A310,$A310),_xll.BDH(config!$G$5,V$1,$A310,$A310))))</f>
        <v>#N/A Requesting Data...</v>
      </c>
      <c r="W310" s="8" t="str">
        <f>IF($A310="","",IF(ISNUMBER(FIND("IMPVOL",W$1)),_xll.BDH(config!$G$4,W$1,WORKDAY($A310,-1,config_Holiday_Calendar_US),WORKDAY($A310,-1,config_Holiday_Calendar_US)),IF(ISNUMBER(_xll.BDH(config!$G$4,W$1,$A310,$A310)),_xll.BDH(config!$G$4,W$1,$A310,$A310),_xll.BDH(config!$G$5,W$1,$A310,$A310))))</f>
        <v>#N/A Requesting Data...</v>
      </c>
    </row>
    <row r="311" spans="1:23" x14ac:dyDescent="0.2">
      <c r="A311" s="9">
        <f>IF(A310="","",IF(WORKDAY(A310,-1,config_Holiday_Calendar_US)&lt;config!$I$10,"",WORKDAY(A310,-1,config_Holiday_Calendar_US)))</f>
        <v>42381</v>
      </c>
      <c r="B311" s="8" t="e">
        <f t="shared" si="4"/>
        <v>#VALUE!</v>
      </c>
      <c r="C311" s="8" t="str">
        <f>IF(A311="","",_xll.BDH(config!$H$4,C$1,$A311,$A311))</f>
        <v>#N/A Requesting Data...</v>
      </c>
      <c r="D311" s="8" t="str">
        <f>IF($A311="","",_xll.BDH(config!$H$4,D$1,$A311,$A311))</f>
        <v>#N/A Requesting Data...</v>
      </c>
      <c r="E311" s="8">
        <f>IF($A311="","",IF(ISNUMBER(FIND("IMPVOL",E$1)),_xll.BDH(config!$G$4,E$1,WORKDAY($A311,-1,config_Holiday_Calendar_US),WORKDAY($A311,-1,config_Holiday_Calendar_US)),IF(ISNUMBER(_xll.BDH(config!$G$4,E$1,$A311,$A311)),_xll.BDH(config!$G$4,E$1,$A311,$A311),_xll.BDH(config!$G$5,E$1,$A311,$A311))))</f>
        <v>31.11</v>
      </c>
      <c r="F311" s="8">
        <f>IF($A311="","",IF(ISNUMBER(FIND("IMPVOL",F$1)),_xll.BDH(config!$G$4,F$1,WORKDAY($A311,-1,config_Holiday_Calendar_US),WORKDAY($A311,-1,config_Holiday_Calendar_US)),IF(ISNUMBER(_xll.BDH(config!$G$4,F$1,$A311,$A311)),_xll.BDH(config!$G$4,F$1,$A311,$A311),_xll.BDH(config!$G$5,F$1,$A311,$A311))))</f>
        <v>32.21</v>
      </c>
      <c r="G311" s="8">
        <f>IF($A311="","",IF(ISNUMBER(FIND("IMPVOL",G$1)),_xll.BDH(config!$G$4,G$1,WORKDAY($A311,-1,config_Holiday_Calendar_US),WORKDAY($A311,-1,config_Holiday_Calendar_US)),IF(ISNUMBER(_xll.BDH(config!$G$4,G$1,$A311,$A311)),_xll.BDH(config!$G$4,G$1,$A311,$A311),_xll.BDH(config!$G$5,G$1,$A311,$A311))))</f>
        <v>31</v>
      </c>
      <c r="H311" s="8">
        <f>IF($A311="","",IF(ISNUMBER(FIND("IMPVOL",H$1)),_xll.BDH(config!$G$4,H$1,WORKDAY($A311,-1,config_Holiday_Calendar_US),WORKDAY($A311,-1,config_Holiday_Calendar_US)),IF(ISNUMBER(_xll.BDH(config!$G$4,H$1,$A311,$A311)),_xll.BDH(config!$G$4,H$1,$A311,$A311),_xll.BDH(config!$G$5,H$1,$A311,$A311))))</f>
        <v>287085</v>
      </c>
      <c r="I311" s="8" t="str">
        <f>IF($A311="","",IF(ISNUMBER(FIND("IMPVOL",I$1)),_xll.BDH(config!$G$4,I$1,WORKDAY($A311,-1,config_Holiday_Calendar_US),WORKDAY($A311,-1,config_Holiday_Calendar_US)),IF(ISNUMBER(_xll.BDH(config!$G$4,I$1,$A311,$A311)),_xll.BDH(config!$G$4,I$1,$A311,$A311),_xll.BDH(config!$G$5,I$1,$A311,$A311))))</f>
        <v>#N/A Requesting Data...</v>
      </c>
      <c r="J311" s="8" t="str">
        <f>IF($A311="","",IF(ISNUMBER(FIND("IMPVOL",J$1)),_xll.BDH(config!$G$4,J$1,WORKDAY($A311,-1,config_Holiday_Calendar_US),WORKDAY($A311,-1,config_Holiday_Calendar_US)),IF(ISNUMBER(_xll.BDH(config!$G$4,J$1,$A311,$A311)),_xll.BDH(config!$G$4,J$1,$A311,$A311),_xll.BDH(config!$G$5,J$1,$A311,$A311))))</f>
        <v>#N/A Requesting Data...</v>
      </c>
      <c r="K311" s="8" t="str">
        <f>IF($A311="","",IF(ISNUMBER(FIND("IMPVOL",K$1)),_xll.BDH(config!$G$4,K$1,WORKDAY($A311,-1,config_Holiday_Calendar_US),WORKDAY($A311,-1,config_Holiday_Calendar_US)),IF(ISNUMBER(_xll.BDH(config!$G$4,K$1,$A311,$A311)),_xll.BDH(config!$G$4,K$1,$A311,$A311),_xll.BDH(config!$G$5,K$1,$A311,$A311))))</f>
        <v>#N/A Requesting Data...</v>
      </c>
      <c r="L311" s="8" t="str">
        <f>IF($A311="","",IF(ISNUMBER(FIND("IMPVOL",L$1)),_xll.BDH(config!$G$4,L$1,WORKDAY($A311,-1,config_Holiday_Calendar_US),WORKDAY($A311,-1,config_Holiday_Calendar_US)),IF(ISNUMBER(_xll.BDH(config!$G$4,L$1,$A311,$A311)),_xll.BDH(config!$G$4,L$1,$A311,$A311),_xll.BDH(config!$G$5,L$1,$A311,$A311))))</f>
        <v>#N/A Requesting Data...</v>
      </c>
      <c r="M311" s="8" t="str">
        <f>IF($A311="","",IF(ISNUMBER(FIND("IMPVOL",M$1)),_xll.BDH(config!$G$4,M$1,WORKDAY($A311,-1,config_Holiday_Calendar_US),WORKDAY($A311,-1,config_Holiday_Calendar_US)),IF(ISNUMBER(_xll.BDH(config!$G$4,M$1,$A311,$A311)),_xll.BDH(config!$G$4,M$1,$A311,$A311),_xll.BDH(config!$G$5,M$1,$A311,$A311))))</f>
        <v>#N/A Requesting Data...</v>
      </c>
      <c r="N311" s="8" t="str">
        <f>IF($A311="","",IF(ISNUMBER(FIND("IMPVOL",N$1)),_xll.BDH(config!$G$4,N$1,WORKDAY($A311,-1,config_Holiday_Calendar_US),WORKDAY($A311,-1,config_Holiday_Calendar_US)),IF(ISNUMBER(_xll.BDH(config!$G$4,N$1,$A311,$A311)),_xll.BDH(config!$G$4,N$1,$A311,$A311),_xll.BDH(config!$G$5,N$1,$A311,$A311))))</f>
        <v>#N/A Requesting Data...</v>
      </c>
      <c r="O311" s="8" t="str">
        <f>IF($A311="","",IF(ISNUMBER(FIND("IMPVOL",O$1)),_xll.BDH(config!$G$4,O$1,WORKDAY($A311,-1,config_Holiday_Calendar_US),WORKDAY($A311,-1,config_Holiday_Calendar_US)),IF(ISNUMBER(_xll.BDH(config!$G$4,O$1,$A311,$A311)),_xll.BDH(config!$G$4,O$1,$A311,$A311),_xll.BDH(config!$G$5,O$1,$A311,$A311))))</f>
        <v>#N/A Requesting Data...</v>
      </c>
      <c r="P311" s="8" t="str">
        <f>IF($A311="","",IF(ISNUMBER(FIND("IMPVOL",P$1)),_xll.BDH(config!$G$4,P$1,WORKDAY($A311,-1,config_Holiday_Calendar_US),WORKDAY($A311,-1,config_Holiday_Calendar_US)),IF(ISNUMBER(_xll.BDH(config!$G$4,P$1,$A311,$A311)),_xll.BDH(config!$G$4,P$1,$A311,$A311),_xll.BDH(config!$G$5,P$1,$A311,$A311))))</f>
        <v>#N/A Requesting Data...</v>
      </c>
      <c r="Q311" s="8">
        <f>IF($A311="","",IF(ISNUMBER(FIND("IMPVOL",Q$1)),_xll.BDH(config!$G$4,Q$1,WORKDAY($A311,-1,config_Holiday_Calendar_US),WORKDAY($A311,-1,config_Holiday_Calendar_US)),IF(ISNUMBER(_xll.BDH(config!$G$4,Q$1,$A311,$A311)),_xll.BDH(config!$G$4,Q$1,$A311,$A311),_xll.BDH(config!$G$5,Q$1,$A311,$A311))))</f>
        <v>36.549999999999997</v>
      </c>
      <c r="R311" s="8">
        <f>IF($A311="","",IF(ISNUMBER(FIND("IMPVOL",R$1)),_xll.BDH(config!$G$4,R$1,WORKDAY($A311,-1,config_Holiday_Calendar_US),WORKDAY($A311,-1,config_Holiday_Calendar_US)),IF(ISNUMBER(_xll.BDH(config!$G$4,R$1,$A311,$A311)),_xll.BDH(config!$G$4,R$1,$A311,$A311),_xll.BDH(config!$G$5,R$1,$A311,$A311))))</f>
        <v>43.52</v>
      </c>
      <c r="S311" s="8" t="str">
        <f>IF($A311="","",IF(ISNUMBER(FIND("IMPVOL",S$1)),_xll.BDH(config!$G$4,S$1,WORKDAY($A311,-1,config_Holiday_Calendar_US),WORKDAY($A311,-1,config_Holiday_Calendar_US)),IF(ISNUMBER(_xll.BDH(config!$G$4,S$1,$A311,$A311)),_xll.BDH(config!$G$4,S$1,$A311,$A311),_xll.BDH(config!$G$5,S$1,$A311,$A311))))</f>
        <v>#N/A Requesting Data...</v>
      </c>
      <c r="T311" s="8" t="str">
        <f>IF($A311="","",IF(ISNUMBER(FIND("IMPVOL",T$1)),_xll.BDH(config!$G$4,T$1,WORKDAY($A311,-1,config_Holiday_Calendar_US),WORKDAY($A311,-1,config_Holiday_Calendar_US)),IF(ISNUMBER(_xll.BDH(config!$G$4,T$1,$A311,$A311)),_xll.BDH(config!$G$4,T$1,$A311,$A311),_xll.BDH(config!$G$5,T$1,$A311,$A311))))</f>
        <v>#N/A Requesting Data...</v>
      </c>
      <c r="U311" s="8" t="str">
        <f>IF($A311="","",IF(ISNUMBER(FIND("IMPVOL",U$1)),_xll.BDH(config!$G$4,U$1,WORKDAY($A311,-1,config_Holiday_Calendar_US),WORKDAY($A311,-1,config_Holiday_Calendar_US)),IF(ISNUMBER(_xll.BDH(config!$G$4,U$1,$A311,$A311)),_xll.BDH(config!$G$4,U$1,$A311,$A311),_xll.BDH(config!$G$5,U$1,$A311,$A311))))</f>
        <v>#N/A Requesting Data...</v>
      </c>
      <c r="V311" s="8" t="str">
        <f>IF($A311="","",IF(ISNUMBER(FIND("IMPVOL",V$1)),_xll.BDH(config!$G$4,V$1,WORKDAY($A311,-1,config_Holiday_Calendar_US),WORKDAY($A311,-1,config_Holiday_Calendar_US)),IF(ISNUMBER(_xll.BDH(config!$G$4,V$1,$A311,$A311)),_xll.BDH(config!$G$4,V$1,$A311,$A311),_xll.BDH(config!$G$5,V$1,$A311,$A311))))</f>
        <v>#N/A Requesting Data...</v>
      </c>
      <c r="W311" s="8" t="str">
        <f>IF($A311="","",IF(ISNUMBER(FIND("IMPVOL",W$1)),_xll.BDH(config!$G$4,W$1,WORKDAY($A311,-1,config_Holiday_Calendar_US),WORKDAY($A311,-1,config_Holiday_Calendar_US)),IF(ISNUMBER(_xll.BDH(config!$G$4,W$1,$A311,$A311)),_xll.BDH(config!$G$4,W$1,$A311,$A311),_xll.BDH(config!$G$5,W$1,$A311,$A311))))</f>
        <v>#N/A Requesting Data...</v>
      </c>
    </row>
    <row r="312" spans="1:23" x14ac:dyDescent="0.2">
      <c r="A312" s="9">
        <f>IF(A311="","",IF(WORKDAY(A311,-1,config_Holiday_Calendar_US)&lt;config!$I$10,"",WORKDAY(A311,-1,config_Holiday_Calendar_US)))</f>
        <v>42380</v>
      </c>
      <c r="B312" s="8" t="e">
        <f t="shared" si="4"/>
        <v>#VALUE!</v>
      </c>
      <c r="C312" s="8" t="str">
        <f>IF(A312="","",_xll.BDH(config!$H$4,C$1,$A312,$A312))</f>
        <v>#N/A Requesting Data...</v>
      </c>
      <c r="D312" s="8" t="str">
        <f>IF($A312="","",_xll.BDH(config!$H$4,D$1,$A312,$A312))</f>
        <v>#N/A Requesting Data...</v>
      </c>
      <c r="E312" s="8">
        <f>IF($A312="","",IF(ISNUMBER(FIND("IMPVOL",E$1)),_xll.BDH(config!$G$4,E$1,WORKDAY($A312,-1,config_Holiday_Calendar_US),WORKDAY($A312,-1,config_Holiday_Calendar_US)),IF(ISNUMBER(_xll.BDH(config!$G$4,E$1,$A312,$A312)),_xll.BDH(config!$G$4,E$1,$A312,$A312),_xll.BDH(config!$G$5,E$1,$A312,$A312))))</f>
        <v>32.94</v>
      </c>
      <c r="F312" s="8">
        <f>IF($A312="","",IF(ISNUMBER(FIND("IMPVOL",F$1)),_xll.BDH(config!$G$4,F$1,WORKDAY($A312,-1,config_Holiday_Calendar_US),WORKDAY($A312,-1,config_Holiday_Calendar_US)),IF(ISNUMBER(_xll.BDH(config!$G$4,F$1,$A312,$A312)),_xll.BDH(config!$G$4,F$1,$A312,$A312),_xll.BDH(config!$G$5,F$1,$A312,$A312))))</f>
        <v>33.200000000000003</v>
      </c>
      <c r="G312" s="8">
        <f>IF($A312="","",IF(ISNUMBER(FIND("IMPVOL",G$1)),_xll.BDH(config!$G$4,G$1,WORKDAY($A312,-1,config_Holiday_Calendar_US),WORKDAY($A312,-1,config_Holiday_Calendar_US)),IF(ISNUMBER(_xll.BDH(config!$G$4,G$1,$A312,$A312)),_xll.BDH(config!$G$4,G$1,$A312,$A312),_xll.BDH(config!$G$5,G$1,$A312,$A312))))</f>
        <v>32.03</v>
      </c>
      <c r="H312" s="8">
        <f>IF($A312="","",IF(ISNUMBER(FIND("IMPVOL",H$1)),_xll.BDH(config!$G$4,H$1,WORKDAY($A312,-1,config_Holiday_Calendar_US),WORKDAY($A312,-1,config_Holiday_Calendar_US)),IF(ISNUMBER(_xll.BDH(config!$G$4,H$1,$A312,$A312)),_xll.BDH(config!$G$4,H$1,$A312,$A312),_xll.BDH(config!$G$5,H$1,$A312,$A312))))</f>
        <v>303766</v>
      </c>
      <c r="I312" s="8" t="str">
        <f>IF($A312="","",IF(ISNUMBER(FIND("IMPVOL",I$1)),_xll.BDH(config!$G$4,I$1,WORKDAY($A312,-1,config_Holiday_Calendar_US),WORKDAY($A312,-1,config_Holiday_Calendar_US)),IF(ISNUMBER(_xll.BDH(config!$G$4,I$1,$A312,$A312)),_xll.BDH(config!$G$4,I$1,$A312,$A312),_xll.BDH(config!$G$5,I$1,$A312,$A312))))</f>
        <v>#N/A Requesting Data...</v>
      </c>
      <c r="J312" s="8" t="str">
        <f>IF($A312="","",IF(ISNUMBER(FIND("IMPVOL",J$1)),_xll.BDH(config!$G$4,J$1,WORKDAY($A312,-1,config_Holiday_Calendar_US),WORKDAY($A312,-1,config_Holiday_Calendar_US)),IF(ISNUMBER(_xll.BDH(config!$G$4,J$1,$A312,$A312)),_xll.BDH(config!$G$4,J$1,$A312,$A312),_xll.BDH(config!$G$5,J$1,$A312,$A312))))</f>
        <v>#N/A Requesting Data...</v>
      </c>
      <c r="K312" s="8" t="str">
        <f>IF($A312="","",IF(ISNUMBER(FIND("IMPVOL",K$1)),_xll.BDH(config!$G$4,K$1,WORKDAY($A312,-1,config_Holiday_Calendar_US),WORKDAY($A312,-1,config_Holiday_Calendar_US)),IF(ISNUMBER(_xll.BDH(config!$G$4,K$1,$A312,$A312)),_xll.BDH(config!$G$4,K$1,$A312,$A312),_xll.BDH(config!$G$5,K$1,$A312,$A312))))</f>
        <v>#N/A Requesting Data...</v>
      </c>
      <c r="L312" s="8" t="str">
        <f>IF($A312="","",IF(ISNUMBER(FIND("IMPVOL",L$1)),_xll.BDH(config!$G$4,L$1,WORKDAY($A312,-1,config_Holiday_Calendar_US),WORKDAY($A312,-1,config_Holiday_Calendar_US)),IF(ISNUMBER(_xll.BDH(config!$G$4,L$1,$A312,$A312)),_xll.BDH(config!$G$4,L$1,$A312,$A312),_xll.BDH(config!$G$5,L$1,$A312,$A312))))</f>
        <v>#N/A Requesting Data...</v>
      </c>
      <c r="M312" s="8" t="str">
        <f>IF($A312="","",IF(ISNUMBER(FIND("IMPVOL",M$1)),_xll.BDH(config!$G$4,M$1,WORKDAY($A312,-1,config_Holiday_Calendar_US),WORKDAY($A312,-1,config_Holiday_Calendar_US)),IF(ISNUMBER(_xll.BDH(config!$G$4,M$1,$A312,$A312)),_xll.BDH(config!$G$4,M$1,$A312,$A312),_xll.BDH(config!$G$5,M$1,$A312,$A312))))</f>
        <v>#N/A Requesting Data...</v>
      </c>
      <c r="N312" s="8" t="str">
        <f>IF($A312="","",IF(ISNUMBER(FIND("IMPVOL",N$1)),_xll.BDH(config!$G$4,N$1,WORKDAY($A312,-1,config_Holiday_Calendar_US),WORKDAY($A312,-1,config_Holiday_Calendar_US)),IF(ISNUMBER(_xll.BDH(config!$G$4,N$1,$A312,$A312)),_xll.BDH(config!$G$4,N$1,$A312,$A312),_xll.BDH(config!$G$5,N$1,$A312,$A312))))</f>
        <v>#N/A Requesting Data...</v>
      </c>
      <c r="O312" s="8" t="str">
        <f>IF($A312="","",IF(ISNUMBER(FIND("IMPVOL",O$1)),_xll.BDH(config!$G$4,O$1,WORKDAY($A312,-1,config_Holiday_Calendar_US),WORKDAY($A312,-1,config_Holiday_Calendar_US)),IF(ISNUMBER(_xll.BDH(config!$G$4,O$1,$A312,$A312)),_xll.BDH(config!$G$4,O$1,$A312,$A312),_xll.BDH(config!$G$5,O$1,$A312,$A312))))</f>
        <v>#N/A Requesting Data...</v>
      </c>
      <c r="P312" s="8" t="str">
        <f>IF($A312="","",IF(ISNUMBER(FIND("IMPVOL",P$1)),_xll.BDH(config!$G$4,P$1,WORKDAY($A312,-1,config_Holiday_Calendar_US),WORKDAY($A312,-1,config_Holiday_Calendar_US)),IF(ISNUMBER(_xll.BDH(config!$G$4,P$1,$A312,$A312)),_xll.BDH(config!$G$4,P$1,$A312,$A312),_xll.BDH(config!$G$5,P$1,$A312,$A312))))</f>
        <v>#N/A Requesting Data...</v>
      </c>
      <c r="Q312" s="8">
        <f>IF($A312="","",IF(ISNUMBER(FIND("IMPVOL",Q$1)),_xll.BDH(config!$G$4,Q$1,WORKDAY($A312,-1,config_Holiday_Calendar_US),WORKDAY($A312,-1,config_Holiday_Calendar_US)),IF(ISNUMBER(_xll.BDH(config!$G$4,Q$1,$A312,$A312)),_xll.BDH(config!$G$4,Q$1,$A312,$A312),_xll.BDH(config!$G$5,Q$1,$A312,$A312))))</f>
        <v>44.91</v>
      </c>
      <c r="R312" s="8">
        <f>IF($A312="","",IF(ISNUMBER(FIND("IMPVOL",R$1)),_xll.BDH(config!$G$4,R$1,WORKDAY($A312,-1,config_Holiday_Calendar_US),WORKDAY($A312,-1,config_Holiday_Calendar_US)),IF(ISNUMBER(_xll.BDH(config!$G$4,R$1,$A312,$A312)),_xll.BDH(config!$G$4,R$1,$A312,$A312),_xll.BDH(config!$G$5,R$1,$A312,$A312))))</f>
        <v>43.11</v>
      </c>
      <c r="S312" s="8" t="str">
        <f>IF($A312="","",IF(ISNUMBER(FIND("IMPVOL",S$1)),_xll.BDH(config!$G$4,S$1,WORKDAY($A312,-1,config_Holiday_Calendar_US),WORKDAY($A312,-1,config_Holiday_Calendar_US)),IF(ISNUMBER(_xll.BDH(config!$G$4,S$1,$A312,$A312)),_xll.BDH(config!$G$4,S$1,$A312,$A312),_xll.BDH(config!$G$5,S$1,$A312,$A312))))</f>
        <v>#N/A Requesting Data...</v>
      </c>
      <c r="T312" s="8" t="str">
        <f>IF($A312="","",IF(ISNUMBER(FIND("IMPVOL",T$1)),_xll.BDH(config!$G$4,T$1,WORKDAY($A312,-1,config_Holiday_Calendar_US),WORKDAY($A312,-1,config_Holiday_Calendar_US)),IF(ISNUMBER(_xll.BDH(config!$G$4,T$1,$A312,$A312)),_xll.BDH(config!$G$4,T$1,$A312,$A312),_xll.BDH(config!$G$5,T$1,$A312,$A312))))</f>
        <v>#N/A Requesting Data...</v>
      </c>
      <c r="U312" s="8" t="str">
        <f>IF($A312="","",IF(ISNUMBER(FIND("IMPVOL",U$1)),_xll.BDH(config!$G$4,U$1,WORKDAY($A312,-1,config_Holiday_Calendar_US),WORKDAY($A312,-1,config_Holiday_Calendar_US)),IF(ISNUMBER(_xll.BDH(config!$G$4,U$1,$A312,$A312)),_xll.BDH(config!$G$4,U$1,$A312,$A312),_xll.BDH(config!$G$5,U$1,$A312,$A312))))</f>
        <v>#N/A Requesting Data...</v>
      </c>
      <c r="V312" s="8" t="str">
        <f>IF($A312="","",IF(ISNUMBER(FIND("IMPVOL",V$1)),_xll.BDH(config!$G$4,V$1,WORKDAY($A312,-1,config_Holiday_Calendar_US),WORKDAY($A312,-1,config_Holiday_Calendar_US)),IF(ISNUMBER(_xll.BDH(config!$G$4,V$1,$A312,$A312)),_xll.BDH(config!$G$4,V$1,$A312,$A312),_xll.BDH(config!$G$5,V$1,$A312,$A312))))</f>
        <v>#N/A Requesting Data...</v>
      </c>
      <c r="W312" s="8" t="str">
        <f>IF($A312="","",IF(ISNUMBER(FIND("IMPVOL",W$1)),_xll.BDH(config!$G$4,W$1,WORKDAY($A312,-1,config_Holiday_Calendar_US),WORKDAY($A312,-1,config_Holiday_Calendar_US)),IF(ISNUMBER(_xll.BDH(config!$G$4,W$1,$A312,$A312)),_xll.BDH(config!$G$4,W$1,$A312,$A312),_xll.BDH(config!$G$5,W$1,$A312,$A312))))</f>
        <v>#N/A Requesting Data...</v>
      </c>
    </row>
    <row r="313" spans="1:23" x14ac:dyDescent="0.2">
      <c r="A313" s="9">
        <f>IF(A312="","",IF(WORKDAY(A312,-1,config_Holiday_Calendar_US)&lt;config!$I$10,"",WORKDAY(A312,-1,config_Holiday_Calendar_US)))</f>
        <v>42377</v>
      </c>
      <c r="B313" s="8" t="e">
        <f t="shared" si="4"/>
        <v>#VALUE!</v>
      </c>
      <c r="C313" s="8" t="str">
        <f>IF(A313="","",_xll.BDH(config!$H$4,C$1,$A313,$A313))</f>
        <v>#N/A Requesting Data...</v>
      </c>
      <c r="D313" s="8" t="str">
        <f>IF($A313="","",_xll.BDH(config!$H$4,D$1,$A313,$A313))</f>
        <v>#N/A Requesting Data...</v>
      </c>
      <c r="E313" s="8">
        <f>IF($A313="","",IF(ISNUMBER(FIND("IMPVOL",E$1)),_xll.BDH(config!$G$4,E$1,WORKDAY($A313,-1,config_Holiday_Calendar_US),WORKDAY($A313,-1,config_Holiday_Calendar_US)),IF(ISNUMBER(_xll.BDH(config!$G$4,E$1,$A313,$A313)),_xll.BDH(config!$G$4,E$1,$A313,$A313),_xll.BDH(config!$G$5,E$1,$A313,$A313))))</f>
        <v>33.299999999999997</v>
      </c>
      <c r="F313" s="8">
        <f>IF($A313="","",IF(ISNUMBER(FIND("IMPVOL",F$1)),_xll.BDH(config!$G$4,F$1,WORKDAY($A313,-1,config_Holiday_Calendar_US),WORKDAY($A313,-1,config_Holiday_Calendar_US)),IF(ISNUMBER(_xll.BDH(config!$G$4,F$1,$A313,$A313)),_xll.BDH(config!$G$4,F$1,$A313,$A313),_xll.BDH(config!$G$5,F$1,$A313,$A313))))</f>
        <v>34.340000000000003</v>
      </c>
      <c r="G313" s="8">
        <f>IF($A313="","",IF(ISNUMBER(FIND("IMPVOL",G$1)),_xll.BDH(config!$G$4,G$1,WORKDAY($A313,-1,config_Holiday_Calendar_US),WORKDAY($A313,-1,config_Holiday_Calendar_US)),IF(ISNUMBER(_xll.BDH(config!$G$4,G$1,$A313,$A313)),_xll.BDH(config!$G$4,G$1,$A313,$A313),_xll.BDH(config!$G$5,G$1,$A313,$A313))))</f>
        <v>33.78</v>
      </c>
      <c r="H313" s="8">
        <f>IF($A313="","",IF(ISNUMBER(FIND("IMPVOL",H$1)),_xll.BDH(config!$G$4,H$1,WORKDAY($A313,-1,config_Holiday_Calendar_US),WORKDAY($A313,-1,config_Holiday_Calendar_US)),IF(ISNUMBER(_xll.BDH(config!$G$4,H$1,$A313,$A313)),_xll.BDH(config!$G$4,H$1,$A313,$A313),_xll.BDH(config!$G$5,H$1,$A313,$A313))))</f>
        <v>297365</v>
      </c>
      <c r="I313" s="8" t="str">
        <f>IF($A313="","",IF(ISNUMBER(FIND("IMPVOL",I$1)),_xll.BDH(config!$G$4,I$1,WORKDAY($A313,-1,config_Holiday_Calendar_US),WORKDAY($A313,-1,config_Holiday_Calendar_US)),IF(ISNUMBER(_xll.BDH(config!$G$4,I$1,$A313,$A313)),_xll.BDH(config!$G$4,I$1,$A313,$A313),_xll.BDH(config!$G$5,I$1,$A313,$A313))))</f>
        <v>#N/A Requesting Data...</v>
      </c>
      <c r="J313" s="8" t="str">
        <f>IF($A313="","",IF(ISNUMBER(FIND("IMPVOL",J$1)),_xll.BDH(config!$G$4,J$1,WORKDAY($A313,-1,config_Holiday_Calendar_US),WORKDAY($A313,-1,config_Holiday_Calendar_US)),IF(ISNUMBER(_xll.BDH(config!$G$4,J$1,$A313,$A313)),_xll.BDH(config!$G$4,J$1,$A313,$A313),_xll.BDH(config!$G$5,J$1,$A313,$A313))))</f>
        <v>#N/A Requesting Data...</v>
      </c>
      <c r="K313" s="8" t="str">
        <f>IF($A313="","",IF(ISNUMBER(FIND("IMPVOL",K$1)),_xll.BDH(config!$G$4,K$1,WORKDAY($A313,-1,config_Holiday_Calendar_US),WORKDAY($A313,-1,config_Holiday_Calendar_US)),IF(ISNUMBER(_xll.BDH(config!$G$4,K$1,$A313,$A313)),_xll.BDH(config!$G$4,K$1,$A313,$A313),_xll.BDH(config!$G$5,K$1,$A313,$A313))))</f>
        <v>#N/A Requesting Data...</v>
      </c>
      <c r="L313" s="8" t="str">
        <f>IF($A313="","",IF(ISNUMBER(FIND("IMPVOL",L$1)),_xll.BDH(config!$G$4,L$1,WORKDAY($A313,-1,config_Holiday_Calendar_US),WORKDAY($A313,-1,config_Holiday_Calendar_US)),IF(ISNUMBER(_xll.BDH(config!$G$4,L$1,$A313,$A313)),_xll.BDH(config!$G$4,L$1,$A313,$A313),_xll.BDH(config!$G$5,L$1,$A313,$A313))))</f>
        <v>#N/A Requesting Data...</v>
      </c>
      <c r="M313" s="8" t="str">
        <f>IF($A313="","",IF(ISNUMBER(FIND("IMPVOL",M$1)),_xll.BDH(config!$G$4,M$1,WORKDAY($A313,-1,config_Holiday_Calendar_US),WORKDAY($A313,-1,config_Holiday_Calendar_US)),IF(ISNUMBER(_xll.BDH(config!$G$4,M$1,$A313,$A313)),_xll.BDH(config!$G$4,M$1,$A313,$A313),_xll.BDH(config!$G$5,M$1,$A313,$A313))))</f>
        <v>#N/A Requesting Data...</v>
      </c>
      <c r="N313" s="8" t="str">
        <f>IF($A313="","",IF(ISNUMBER(FIND("IMPVOL",N$1)),_xll.BDH(config!$G$4,N$1,WORKDAY($A313,-1,config_Holiday_Calendar_US),WORKDAY($A313,-1,config_Holiday_Calendar_US)),IF(ISNUMBER(_xll.BDH(config!$G$4,N$1,$A313,$A313)),_xll.BDH(config!$G$4,N$1,$A313,$A313),_xll.BDH(config!$G$5,N$1,$A313,$A313))))</f>
        <v>#N/A Requesting Data...</v>
      </c>
      <c r="O313" s="8" t="str">
        <f>IF($A313="","",IF(ISNUMBER(FIND("IMPVOL",O$1)),_xll.BDH(config!$G$4,O$1,WORKDAY($A313,-1,config_Holiday_Calendar_US),WORKDAY($A313,-1,config_Holiday_Calendar_US)),IF(ISNUMBER(_xll.BDH(config!$G$4,O$1,$A313,$A313)),_xll.BDH(config!$G$4,O$1,$A313,$A313),_xll.BDH(config!$G$5,O$1,$A313,$A313))))</f>
        <v>#N/A Requesting Data...</v>
      </c>
      <c r="P313" s="8" t="str">
        <f>IF($A313="","",IF(ISNUMBER(FIND("IMPVOL",P$1)),_xll.BDH(config!$G$4,P$1,WORKDAY($A313,-1,config_Holiday_Calendar_US),WORKDAY($A313,-1,config_Holiday_Calendar_US)),IF(ISNUMBER(_xll.BDH(config!$G$4,P$1,$A313,$A313)),_xll.BDH(config!$G$4,P$1,$A313,$A313),_xll.BDH(config!$G$5,P$1,$A313,$A313))))</f>
        <v>#N/A Requesting Data...</v>
      </c>
      <c r="Q313" s="8">
        <f>IF($A313="","",IF(ISNUMBER(FIND("IMPVOL",Q$1)),_xll.BDH(config!$G$4,Q$1,WORKDAY($A313,-1,config_Holiday_Calendar_US),WORKDAY($A313,-1,config_Holiday_Calendar_US)),IF(ISNUMBER(_xll.BDH(config!$G$4,Q$1,$A313,$A313)),_xll.BDH(config!$G$4,Q$1,$A313,$A313),_xll.BDH(config!$G$5,Q$1,$A313,$A313))))</f>
        <v>40.57</v>
      </c>
      <c r="R313" s="8">
        <f>IF($A313="","",IF(ISNUMBER(FIND("IMPVOL",R$1)),_xll.BDH(config!$G$4,R$1,WORKDAY($A313,-1,config_Holiday_Calendar_US),WORKDAY($A313,-1,config_Holiday_Calendar_US)),IF(ISNUMBER(_xll.BDH(config!$G$4,R$1,$A313,$A313)),_xll.BDH(config!$G$4,R$1,$A313,$A313),_xll.BDH(config!$G$5,R$1,$A313,$A313))))</f>
        <v>41.42</v>
      </c>
      <c r="S313" s="8" t="str">
        <f>IF($A313="","",IF(ISNUMBER(FIND("IMPVOL",S$1)),_xll.BDH(config!$G$4,S$1,WORKDAY($A313,-1,config_Holiday_Calendar_US),WORKDAY($A313,-1,config_Holiday_Calendar_US)),IF(ISNUMBER(_xll.BDH(config!$G$4,S$1,$A313,$A313)),_xll.BDH(config!$G$4,S$1,$A313,$A313),_xll.BDH(config!$G$5,S$1,$A313,$A313))))</f>
        <v>#N/A Requesting Data...</v>
      </c>
      <c r="T313" s="8" t="str">
        <f>IF($A313="","",IF(ISNUMBER(FIND("IMPVOL",T$1)),_xll.BDH(config!$G$4,T$1,WORKDAY($A313,-1,config_Holiday_Calendar_US),WORKDAY($A313,-1,config_Holiday_Calendar_US)),IF(ISNUMBER(_xll.BDH(config!$G$4,T$1,$A313,$A313)),_xll.BDH(config!$G$4,T$1,$A313,$A313),_xll.BDH(config!$G$5,T$1,$A313,$A313))))</f>
        <v>#N/A Requesting Data...</v>
      </c>
      <c r="U313" s="8" t="str">
        <f>IF($A313="","",IF(ISNUMBER(FIND("IMPVOL",U$1)),_xll.BDH(config!$G$4,U$1,WORKDAY($A313,-1,config_Holiday_Calendar_US),WORKDAY($A313,-1,config_Holiday_Calendar_US)),IF(ISNUMBER(_xll.BDH(config!$G$4,U$1,$A313,$A313)),_xll.BDH(config!$G$4,U$1,$A313,$A313),_xll.BDH(config!$G$5,U$1,$A313,$A313))))</f>
        <v>#N/A Requesting Data...</v>
      </c>
      <c r="V313" s="8" t="str">
        <f>IF($A313="","",IF(ISNUMBER(FIND("IMPVOL",V$1)),_xll.BDH(config!$G$4,V$1,WORKDAY($A313,-1,config_Holiday_Calendar_US),WORKDAY($A313,-1,config_Holiday_Calendar_US)),IF(ISNUMBER(_xll.BDH(config!$G$4,V$1,$A313,$A313)),_xll.BDH(config!$G$4,V$1,$A313,$A313),_xll.BDH(config!$G$5,V$1,$A313,$A313))))</f>
        <v>#N/A Requesting Data...</v>
      </c>
      <c r="W313" s="8" t="str">
        <f>IF($A313="","",IF(ISNUMBER(FIND("IMPVOL",W$1)),_xll.BDH(config!$G$4,W$1,WORKDAY($A313,-1,config_Holiday_Calendar_US),WORKDAY($A313,-1,config_Holiday_Calendar_US)),IF(ISNUMBER(_xll.BDH(config!$G$4,W$1,$A313,$A313)),_xll.BDH(config!$G$4,W$1,$A313,$A313),_xll.BDH(config!$G$5,W$1,$A313,$A313))))</f>
        <v>#N/A Requesting Data...</v>
      </c>
    </row>
    <row r="314" spans="1:23" x14ac:dyDescent="0.2">
      <c r="A314" s="9">
        <f>IF(A313="","",IF(WORKDAY(A313,-1,config_Holiday_Calendar_US)&lt;config!$I$10,"",WORKDAY(A313,-1,config_Holiday_Calendar_US)))</f>
        <v>42376</v>
      </c>
      <c r="B314" s="8" t="e">
        <f t="shared" si="4"/>
        <v>#VALUE!</v>
      </c>
      <c r="C314" s="8" t="str">
        <f>IF(A314="","",_xll.BDH(config!$H$4,C$1,$A314,$A314))</f>
        <v>#N/A Requesting Data...</v>
      </c>
      <c r="D314" s="8" t="str">
        <f>IF($A314="","",_xll.BDH(config!$H$4,D$1,$A314,$A314))</f>
        <v>#N/A Requesting Data...</v>
      </c>
      <c r="E314" s="8">
        <f>IF($A314="","",IF(ISNUMBER(FIND("IMPVOL",E$1)),_xll.BDH(config!$G$4,E$1,WORKDAY($A314,-1,config_Holiday_Calendar_US),WORKDAY($A314,-1,config_Holiday_Calendar_US)),IF(ISNUMBER(_xll.BDH(config!$G$4,E$1,$A314,$A314)),_xll.BDH(config!$G$4,E$1,$A314,$A314),_xll.BDH(config!$G$5,E$1,$A314,$A314))))</f>
        <v>34.090000000000003</v>
      </c>
      <c r="F314" s="8">
        <f>IF($A314="","",IF(ISNUMBER(FIND("IMPVOL",F$1)),_xll.BDH(config!$G$4,F$1,WORKDAY($A314,-1,config_Holiday_Calendar_US),WORKDAY($A314,-1,config_Holiday_Calendar_US)),IF(ISNUMBER(_xll.BDH(config!$G$4,F$1,$A314,$A314)),_xll.BDH(config!$G$4,F$1,$A314,$A314),_xll.BDH(config!$G$5,F$1,$A314,$A314))))</f>
        <v>34.26</v>
      </c>
      <c r="G314" s="8">
        <f>IF($A314="","",IF(ISNUMBER(FIND("IMPVOL",G$1)),_xll.BDH(config!$G$4,G$1,WORKDAY($A314,-1,config_Holiday_Calendar_US),WORKDAY($A314,-1,config_Holiday_Calendar_US)),IF(ISNUMBER(_xll.BDH(config!$G$4,G$1,$A314,$A314)),_xll.BDH(config!$G$4,G$1,$A314,$A314),_xll.BDH(config!$G$5,G$1,$A314,$A314))))</f>
        <v>33.340000000000003</v>
      </c>
      <c r="H314" s="8">
        <f>IF($A314="","",IF(ISNUMBER(FIND("IMPVOL",H$1)),_xll.BDH(config!$G$4,H$1,WORKDAY($A314,-1,config_Holiday_Calendar_US),WORKDAY($A314,-1,config_Holiday_Calendar_US)),IF(ISNUMBER(_xll.BDH(config!$G$4,H$1,$A314,$A314)),_xll.BDH(config!$G$4,H$1,$A314,$A314),_xll.BDH(config!$G$5,H$1,$A314,$A314))))</f>
        <v>237381</v>
      </c>
      <c r="I314" s="8" t="str">
        <f>IF($A314="","",IF(ISNUMBER(FIND("IMPVOL",I$1)),_xll.BDH(config!$G$4,I$1,WORKDAY($A314,-1,config_Holiday_Calendar_US),WORKDAY($A314,-1,config_Holiday_Calendar_US)),IF(ISNUMBER(_xll.BDH(config!$G$4,I$1,$A314,$A314)),_xll.BDH(config!$G$4,I$1,$A314,$A314),_xll.BDH(config!$G$5,I$1,$A314,$A314))))</f>
        <v>#N/A Requesting Data...</v>
      </c>
      <c r="J314" s="8" t="str">
        <f>IF($A314="","",IF(ISNUMBER(FIND("IMPVOL",J$1)),_xll.BDH(config!$G$4,J$1,WORKDAY($A314,-1,config_Holiday_Calendar_US),WORKDAY($A314,-1,config_Holiday_Calendar_US)),IF(ISNUMBER(_xll.BDH(config!$G$4,J$1,$A314,$A314)),_xll.BDH(config!$G$4,J$1,$A314,$A314),_xll.BDH(config!$G$5,J$1,$A314,$A314))))</f>
        <v>#N/A Requesting Data...</v>
      </c>
      <c r="K314" s="8" t="str">
        <f>IF($A314="","",IF(ISNUMBER(FIND("IMPVOL",K$1)),_xll.BDH(config!$G$4,K$1,WORKDAY($A314,-1,config_Holiday_Calendar_US),WORKDAY($A314,-1,config_Holiday_Calendar_US)),IF(ISNUMBER(_xll.BDH(config!$G$4,K$1,$A314,$A314)),_xll.BDH(config!$G$4,K$1,$A314,$A314),_xll.BDH(config!$G$5,K$1,$A314,$A314))))</f>
        <v>#N/A Requesting Data...</v>
      </c>
      <c r="L314" s="8" t="str">
        <f>IF($A314="","",IF(ISNUMBER(FIND("IMPVOL",L$1)),_xll.BDH(config!$G$4,L$1,WORKDAY($A314,-1,config_Holiday_Calendar_US),WORKDAY($A314,-1,config_Holiday_Calendar_US)),IF(ISNUMBER(_xll.BDH(config!$G$4,L$1,$A314,$A314)),_xll.BDH(config!$G$4,L$1,$A314,$A314),_xll.BDH(config!$G$5,L$1,$A314,$A314))))</f>
        <v>#N/A Requesting Data...</v>
      </c>
      <c r="M314" s="8" t="str">
        <f>IF($A314="","",IF(ISNUMBER(FIND("IMPVOL",M$1)),_xll.BDH(config!$G$4,M$1,WORKDAY($A314,-1,config_Holiday_Calendar_US),WORKDAY($A314,-1,config_Holiday_Calendar_US)),IF(ISNUMBER(_xll.BDH(config!$G$4,M$1,$A314,$A314)),_xll.BDH(config!$G$4,M$1,$A314,$A314),_xll.BDH(config!$G$5,M$1,$A314,$A314))))</f>
        <v>#N/A Requesting Data...</v>
      </c>
      <c r="N314" s="8" t="str">
        <f>IF($A314="","",IF(ISNUMBER(FIND("IMPVOL",N$1)),_xll.BDH(config!$G$4,N$1,WORKDAY($A314,-1,config_Holiday_Calendar_US),WORKDAY($A314,-1,config_Holiday_Calendar_US)),IF(ISNUMBER(_xll.BDH(config!$G$4,N$1,$A314,$A314)),_xll.BDH(config!$G$4,N$1,$A314,$A314),_xll.BDH(config!$G$5,N$1,$A314,$A314))))</f>
        <v>#N/A Requesting Data...</v>
      </c>
      <c r="O314" s="8" t="str">
        <f>IF($A314="","",IF(ISNUMBER(FIND("IMPVOL",O$1)),_xll.BDH(config!$G$4,O$1,WORKDAY($A314,-1,config_Holiday_Calendar_US),WORKDAY($A314,-1,config_Holiday_Calendar_US)),IF(ISNUMBER(_xll.BDH(config!$G$4,O$1,$A314,$A314)),_xll.BDH(config!$G$4,O$1,$A314,$A314),_xll.BDH(config!$G$5,O$1,$A314,$A314))))</f>
        <v>#N/A Requesting Data...</v>
      </c>
      <c r="P314" s="8" t="str">
        <f>IF($A314="","",IF(ISNUMBER(FIND("IMPVOL",P$1)),_xll.BDH(config!$G$4,P$1,WORKDAY($A314,-1,config_Holiday_Calendar_US),WORKDAY($A314,-1,config_Holiday_Calendar_US)),IF(ISNUMBER(_xll.BDH(config!$G$4,P$1,$A314,$A314)),_xll.BDH(config!$G$4,P$1,$A314,$A314),_xll.BDH(config!$G$5,P$1,$A314,$A314))))</f>
        <v>#N/A Requesting Data...</v>
      </c>
      <c r="Q314" s="8">
        <f>IF($A314="","",IF(ISNUMBER(FIND("IMPVOL",Q$1)),_xll.BDH(config!$G$4,Q$1,WORKDAY($A314,-1,config_Holiday_Calendar_US),WORKDAY($A314,-1,config_Holiday_Calendar_US)),IF(ISNUMBER(_xll.BDH(config!$G$4,Q$1,$A314,$A314)),_xll.BDH(config!$G$4,Q$1,$A314,$A314),_xll.BDH(config!$G$5,Q$1,$A314,$A314))))</f>
        <v>44.01</v>
      </c>
      <c r="R314" s="8">
        <f>IF($A314="","",IF(ISNUMBER(FIND("IMPVOL",R$1)),_xll.BDH(config!$G$4,R$1,WORKDAY($A314,-1,config_Holiday_Calendar_US),WORKDAY($A314,-1,config_Holiday_Calendar_US)),IF(ISNUMBER(_xll.BDH(config!$G$4,R$1,$A314,$A314)),_xll.BDH(config!$G$4,R$1,$A314,$A314),_xll.BDH(config!$G$5,R$1,$A314,$A314))))</f>
        <v>41.52</v>
      </c>
      <c r="S314" s="8" t="str">
        <f>IF($A314="","",IF(ISNUMBER(FIND("IMPVOL",S$1)),_xll.BDH(config!$G$4,S$1,WORKDAY($A314,-1,config_Holiday_Calendar_US),WORKDAY($A314,-1,config_Holiday_Calendar_US)),IF(ISNUMBER(_xll.BDH(config!$G$4,S$1,$A314,$A314)),_xll.BDH(config!$G$4,S$1,$A314,$A314),_xll.BDH(config!$G$5,S$1,$A314,$A314))))</f>
        <v>#N/A Requesting Data...</v>
      </c>
      <c r="T314" s="8" t="str">
        <f>IF($A314="","",IF(ISNUMBER(FIND("IMPVOL",T$1)),_xll.BDH(config!$G$4,T$1,WORKDAY($A314,-1,config_Holiday_Calendar_US),WORKDAY($A314,-1,config_Holiday_Calendar_US)),IF(ISNUMBER(_xll.BDH(config!$G$4,T$1,$A314,$A314)),_xll.BDH(config!$G$4,T$1,$A314,$A314),_xll.BDH(config!$G$5,T$1,$A314,$A314))))</f>
        <v>#N/A Requesting Data...</v>
      </c>
      <c r="U314" s="8" t="str">
        <f>IF($A314="","",IF(ISNUMBER(FIND("IMPVOL",U$1)),_xll.BDH(config!$G$4,U$1,WORKDAY($A314,-1,config_Holiday_Calendar_US),WORKDAY($A314,-1,config_Holiday_Calendar_US)),IF(ISNUMBER(_xll.BDH(config!$G$4,U$1,$A314,$A314)),_xll.BDH(config!$G$4,U$1,$A314,$A314),_xll.BDH(config!$G$5,U$1,$A314,$A314))))</f>
        <v>#N/A Requesting Data...</v>
      </c>
      <c r="V314" s="8" t="str">
        <f>IF($A314="","",IF(ISNUMBER(FIND("IMPVOL",V$1)),_xll.BDH(config!$G$4,V$1,WORKDAY($A314,-1,config_Holiday_Calendar_US),WORKDAY($A314,-1,config_Holiday_Calendar_US)),IF(ISNUMBER(_xll.BDH(config!$G$4,V$1,$A314,$A314)),_xll.BDH(config!$G$4,V$1,$A314,$A314),_xll.BDH(config!$G$5,V$1,$A314,$A314))))</f>
        <v>#N/A Requesting Data...</v>
      </c>
      <c r="W314" s="8" t="str">
        <f>IF($A314="","",IF(ISNUMBER(FIND("IMPVOL",W$1)),_xll.BDH(config!$G$4,W$1,WORKDAY($A314,-1,config_Holiday_Calendar_US),WORKDAY($A314,-1,config_Holiday_Calendar_US)),IF(ISNUMBER(_xll.BDH(config!$G$4,W$1,$A314,$A314)),_xll.BDH(config!$G$4,W$1,$A314,$A314),_xll.BDH(config!$G$5,W$1,$A314,$A314))))</f>
        <v>#N/A Requesting Data...</v>
      </c>
    </row>
    <row r="315" spans="1:23" x14ac:dyDescent="0.2">
      <c r="A315" s="9">
        <f>IF(A314="","",IF(WORKDAY(A314,-1,config_Holiday_Calendar_US)&lt;config!$I$10,"",WORKDAY(A314,-1,config_Holiday_Calendar_US)))</f>
        <v>42375</v>
      </c>
      <c r="B315" s="8" t="e">
        <f t="shared" si="4"/>
        <v>#VALUE!</v>
      </c>
      <c r="C315" s="8" t="str">
        <f>IF(A315="","",_xll.BDH(config!$H$4,C$1,$A315,$A315))</f>
        <v>#N/A Requesting Data...</v>
      </c>
      <c r="D315" s="8" t="str">
        <f>IF($A315="","",_xll.BDH(config!$H$4,D$1,$A315,$A315))</f>
        <v>#N/A Requesting Data...</v>
      </c>
      <c r="E315" s="8">
        <f>IF($A315="","",IF(ISNUMBER(FIND("IMPVOL",E$1)),_xll.BDH(config!$G$4,E$1,WORKDAY($A315,-1,config_Holiday_Calendar_US),WORKDAY($A315,-1,config_Holiday_Calendar_US)),IF(ISNUMBER(_xll.BDH(config!$G$4,E$1,$A315,$A315)),_xll.BDH(config!$G$4,E$1,$A315,$A315),_xll.BDH(config!$G$5,E$1,$A315,$A315))))</f>
        <v>36.18</v>
      </c>
      <c r="F315" s="8">
        <f>IF($A315="","",IF(ISNUMBER(FIND("IMPVOL",F$1)),_xll.BDH(config!$G$4,F$1,WORKDAY($A315,-1,config_Holiday_Calendar_US),WORKDAY($A315,-1,config_Holiday_Calendar_US)),IF(ISNUMBER(_xll.BDH(config!$G$4,F$1,$A315,$A315)),_xll.BDH(config!$G$4,F$1,$A315,$A315),_xll.BDH(config!$G$5,F$1,$A315,$A315))))</f>
        <v>36.39</v>
      </c>
      <c r="G315" s="8">
        <f>IF($A315="","",IF(ISNUMBER(FIND("IMPVOL",G$1)),_xll.BDH(config!$G$4,G$1,WORKDAY($A315,-1,config_Holiday_Calendar_US),WORKDAY($A315,-1,config_Holiday_Calendar_US)),IF(ISNUMBER(_xll.BDH(config!$G$4,G$1,$A315,$A315)),_xll.BDH(config!$G$4,G$1,$A315,$A315),_xll.BDH(config!$G$5,G$1,$A315,$A315))))</f>
        <v>35.07</v>
      </c>
      <c r="H315" s="8">
        <f>IF($A315="","",IF(ISNUMBER(FIND("IMPVOL",H$1)),_xll.BDH(config!$G$4,H$1,WORKDAY($A315,-1,config_Holiday_Calendar_US),WORKDAY($A315,-1,config_Holiday_Calendar_US)),IF(ISNUMBER(_xll.BDH(config!$G$4,H$1,$A315,$A315)),_xll.BDH(config!$G$4,H$1,$A315,$A315),_xll.BDH(config!$G$5,H$1,$A315,$A315))))</f>
        <v>195608</v>
      </c>
      <c r="I315" s="8" t="str">
        <f>IF($A315="","",IF(ISNUMBER(FIND("IMPVOL",I$1)),_xll.BDH(config!$G$4,I$1,WORKDAY($A315,-1,config_Holiday_Calendar_US),WORKDAY($A315,-1,config_Holiday_Calendar_US)),IF(ISNUMBER(_xll.BDH(config!$G$4,I$1,$A315,$A315)),_xll.BDH(config!$G$4,I$1,$A315,$A315),_xll.BDH(config!$G$5,I$1,$A315,$A315))))</f>
        <v>#N/A Requesting Data...</v>
      </c>
      <c r="J315" s="8" t="str">
        <f>IF($A315="","",IF(ISNUMBER(FIND("IMPVOL",J$1)),_xll.BDH(config!$G$4,J$1,WORKDAY($A315,-1,config_Holiday_Calendar_US),WORKDAY($A315,-1,config_Holiday_Calendar_US)),IF(ISNUMBER(_xll.BDH(config!$G$4,J$1,$A315,$A315)),_xll.BDH(config!$G$4,J$1,$A315,$A315),_xll.BDH(config!$G$5,J$1,$A315,$A315))))</f>
        <v>#N/A Requesting Data...</v>
      </c>
      <c r="K315" s="8" t="str">
        <f>IF($A315="","",IF(ISNUMBER(FIND("IMPVOL",K$1)),_xll.BDH(config!$G$4,K$1,WORKDAY($A315,-1,config_Holiday_Calendar_US),WORKDAY($A315,-1,config_Holiday_Calendar_US)),IF(ISNUMBER(_xll.BDH(config!$G$4,K$1,$A315,$A315)),_xll.BDH(config!$G$4,K$1,$A315,$A315),_xll.BDH(config!$G$5,K$1,$A315,$A315))))</f>
        <v>#N/A Requesting Data...</v>
      </c>
      <c r="L315" s="8" t="str">
        <f>IF($A315="","",IF(ISNUMBER(FIND("IMPVOL",L$1)),_xll.BDH(config!$G$4,L$1,WORKDAY($A315,-1,config_Holiday_Calendar_US),WORKDAY($A315,-1,config_Holiday_Calendar_US)),IF(ISNUMBER(_xll.BDH(config!$G$4,L$1,$A315,$A315)),_xll.BDH(config!$G$4,L$1,$A315,$A315),_xll.BDH(config!$G$5,L$1,$A315,$A315))))</f>
        <v>#N/A Requesting Data...</v>
      </c>
      <c r="M315" s="8" t="str">
        <f>IF($A315="","",IF(ISNUMBER(FIND("IMPVOL",M$1)),_xll.BDH(config!$G$4,M$1,WORKDAY($A315,-1,config_Holiday_Calendar_US),WORKDAY($A315,-1,config_Holiday_Calendar_US)),IF(ISNUMBER(_xll.BDH(config!$G$4,M$1,$A315,$A315)),_xll.BDH(config!$G$4,M$1,$A315,$A315),_xll.BDH(config!$G$5,M$1,$A315,$A315))))</f>
        <v>#N/A Requesting Data...</v>
      </c>
      <c r="N315" s="8" t="str">
        <f>IF($A315="","",IF(ISNUMBER(FIND("IMPVOL",N$1)),_xll.BDH(config!$G$4,N$1,WORKDAY($A315,-1,config_Holiday_Calendar_US),WORKDAY($A315,-1,config_Holiday_Calendar_US)),IF(ISNUMBER(_xll.BDH(config!$G$4,N$1,$A315,$A315)),_xll.BDH(config!$G$4,N$1,$A315,$A315),_xll.BDH(config!$G$5,N$1,$A315,$A315))))</f>
        <v>#N/A Requesting Data...</v>
      </c>
      <c r="O315" s="8" t="str">
        <f>IF($A315="","",IF(ISNUMBER(FIND("IMPVOL",O$1)),_xll.BDH(config!$G$4,O$1,WORKDAY($A315,-1,config_Holiday_Calendar_US),WORKDAY($A315,-1,config_Holiday_Calendar_US)),IF(ISNUMBER(_xll.BDH(config!$G$4,O$1,$A315,$A315)),_xll.BDH(config!$G$4,O$1,$A315,$A315),_xll.BDH(config!$G$5,O$1,$A315,$A315))))</f>
        <v>#N/A Requesting Data...</v>
      </c>
      <c r="P315" s="8" t="str">
        <f>IF($A315="","",IF(ISNUMBER(FIND("IMPVOL",P$1)),_xll.BDH(config!$G$4,P$1,WORKDAY($A315,-1,config_Holiday_Calendar_US),WORKDAY($A315,-1,config_Holiday_Calendar_US)),IF(ISNUMBER(_xll.BDH(config!$G$4,P$1,$A315,$A315)),_xll.BDH(config!$G$4,P$1,$A315,$A315),_xll.BDH(config!$G$5,P$1,$A315,$A315))))</f>
        <v>#N/A Requesting Data...</v>
      </c>
      <c r="Q315" s="8">
        <f>IF($A315="","",IF(ISNUMBER(FIND("IMPVOL",Q$1)),_xll.BDH(config!$G$4,Q$1,WORKDAY($A315,-1,config_Holiday_Calendar_US),WORKDAY($A315,-1,config_Holiday_Calendar_US)),IF(ISNUMBER(_xll.BDH(config!$G$4,Q$1,$A315,$A315)),_xll.BDH(config!$G$4,Q$1,$A315,$A315),_xll.BDH(config!$G$5,Q$1,$A315,$A315))))</f>
        <v>50.49</v>
      </c>
      <c r="R315" s="8">
        <f>IF($A315="","",IF(ISNUMBER(FIND("IMPVOL",R$1)),_xll.BDH(config!$G$4,R$1,WORKDAY($A315,-1,config_Holiday_Calendar_US),WORKDAY($A315,-1,config_Holiday_Calendar_US)),IF(ISNUMBER(_xll.BDH(config!$G$4,R$1,$A315,$A315)),_xll.BDH(config!$G$4,R$1,$A315,$A315),_xll.BDH(config!$G$5,R$1,$A315,$A315))))</f>
        <v>42.68</v>
      </c>
      <c r="S315" s="8" t="str">
        <f>IF($A315="","",IF(ISNUMBER(FIND("IMPVOL",S$1)),_xll.BDH(config!$G$4,S$1,WORKDAY($A315,-1,config_Holiday_Calendar_US),WORKDAY($A315,-1,config_Holiday_Calendar_US)),IF(ISNUMBER(_xll.BDH(config!$G$4,S$1,$A315,$A315)),_xll.BDH(config!$G$4,S$1,$A315,$A315),_xll.BDH(config!$G$5,S$1,$A315,$A315))))</f>
        <v>#N/A Requesting Data...</v>
      </c>
      <c r="T315" s="8" t="str">
        <f>IF($A315="","",IF(ISNUMBER(FIND("IMPVOL",T$1)),_xll.BDH(config!$G$4,T$1,WORKDAY($A315,-1,config_Holiday_Calendar_US),WORKDAY($A315,-1,config_Holiday_Calendar_US)),IF(ISNUMBER(_xll.BDH(config!$G$4,T$1,$A315,$A315)),_xll.BDH(config!$G$4,T$1,$A315,$A315),_xll.BDH(config!$G$5,T$1,$A315,$A315))))</f>
        <v>#N/A Requesting Data...</v>
      </c>
      <c r="U315" s="8" t="str">
        <f>IF($A315="","",IF(ISNUMBER(FIND("IMPVOL",U$1)),_xll.BDH(config!$G$4,U$1,WORKDAY($A315,-1,config_Holiday_Calendar_US),WORKDAY($A315,-1,config_Holiday_Calendar_US)),IF(ISNUMBER(_xll.BDH(config!$G$4,U$1,$A315,$A315)),_xll.BDH(config!$G$4,U$1,$A315,$A315),_xll.BDH(config!$G$5,U$1,$A315,$A315))))</f>
        <v>#N/A Requesting Data...</v>
      </c>
      <c r="V315" s="8" t="str">
        <f>IF($A315="","",IF(ISNUMBER(FIND("IMPVOL",V$1)),_xll.BDH(config!$G$4,V$1,WORKDAY($A315,-1,config_Holiday_Calendar_US),WORKDAY($A315,-1,config_Holiday_Calendar_US)),IF(ISNUMBER(_xll.BDH(config!$G$4,V$1,$A315,$A315)),_xll.BDH(config!$G$4,V$1,$A315,$A315),_xll.BDH(config!$G$5,V$1,$A315,$A315))))</f>
        <v>#N/A Requesting Data...</v>
      </c>
      <c r="W315" s="8" t="str">
        <f>IF($A315="","",IF(ISNUMBER(FIND("IMPVOL",W$1)),_xll.BDH(config!$G$4,W$1,WORKDAY($A315,-1,config_Holiday_Calendar_US),WORKDAY($A315,-1,config_Holiday_Calendar_US)),IF(ISNUMBER(_xll.BDH(config!$G$4,W$1,$A315,$A315)),_xll.BDH(config!$G$4,W$1,$A315,$A315),_xll.BDH(config!$G$5,W$1,$A315,$A315))))</f>
        <v>#N/A Requesting Data...</v>
      </c>
    </row>
    <row r="316" spans="1:23" x14ac:dyDescent="0.2">
      <c r="A316" s="9">
        <f>IF(A315="","",IF(WORKDAY(A315,-1,config_Holiday_Calendar_US)&lt;config!$I$10,"",WORKDAY(A315,-1,config_Holiday_Calendar_US)))</f>
        <v>42374</v>
      </c>
      <c r="B316" s="8" t="e">
        <f t="shared" si="4"/>
        <v>#VALUE!</v>
      </c>
      <c r="C316" s="8" t="str">
        <f>IF(A316="","",_xll.BDH(config!$H$4,C$1,$A316,$A316))</f>
        <v>#N/A Requesting Data...</v>
      </c>
      <c r="D316" s="8" t="str">
        <f>IF($A316="","",_xll.BDH(config!$H$4,D$1,$A316,$A316))</f>
        <v>#N/A Requesting Data...</v>
      </c>
      <c r="E316" s="8">
        <f>IF($A316="","",IF(ISNUMBER(FIND("IMPVOL",E$1)),_xll.BDH(config!$G$4,E$1,WORKDAY($A316,-1,config_Holiday_Calendar_US),WORKDAY($A316,-1,config_Holiday_Calendar_US)),IF(ISNUMBER(_xll.BDH(config!$G$4,E$1,$A316,$A316)),_xll.BDH(config!$G$4,E$1,$A316,$A316),_xll.BDH(config!$G$5,E$1,$A316,$A316))))</f>
        <v>36.9</v>
      </c>
      <c r="F316" s="8">
        <f>IF($A316="","",IF(ISNUMBER(FIND("IMPVOL",F$1)),_xll.BDH(config!$G$4,F$1,WORKDAY($A316,-1,config_Holiday_Calendar_US),WORKDAY($A316,-1,config_Holiday_Calendar_US)),IF(ISNUMBER(_xll.BDH(config!$G$4,F$1,$A316,$A316)),_xll.BDH(config!$G$4,F$1,$A316,$A316),_xll.BDH(config!$G$5,F$1,$A316,$A316))))</f>
        <v>37.1</v>
      </c>
      <c r="G316" s="8">
        <f>IF($A316="","",IF(ISNUMBER(FIND("IMPVOL",G$1)),_xll.BDH(config!$G$4,G$1,WORKDAY($A316,-1,config_Holiday_Calendar_US),WORKDAY($A316,-1,config_Holiday_Calendar_US)),IF(ISNUMBER(_xll.BDH(config!$G$4,G$1,$A316,$A316)),_xll.BDH(config!$G$4,G$1,$A316,$A316),_xll.BDH(config!$G$5,G$1,$A316,$A316))))</f>
        <v>36.979999999999997</v>
      </c>
      <c r="H316" s="8">
        <f>IF($A316="","",IF(ISNUMBER(FIND("IMPVOL",H$1)),_xll.BDH(config!$G$4,H$1,WORKDAY($A316,-1,config_Holiday_Calendar_US),WORKDAY($A316,-1,config_Holiday_Calendar_US)),IF(ISNUMBER(_xll.BDH(config!$G$4,H$1,$A316,$A316)),_xll.BDH(config!$G$4,H$1,$A316,$A316),_xll.BDH(config!$G$5,H$1,$A316,$A316))))</f>
        <v>126519</v>
      </c>
      <c r="I316" s="8" t="str">
        <f>IF($A316="","",IF(ISNUMBER(FIND("IMPVOL",I$1)),_xll.BDH(config!$G$4,I$1,WORKDAY($A316,-1,config_Holiday_Calendar_US),WORKDAY($A316,-1,config_Holiday_Calendar_US)),IF(ISNUMBER(_xll.BDH(config!$G$4,I$1,$A316,$A316)),_xll.BDH(config!$G$4,I$1,$A316,$A316),_xll.BDH(config!$G$5,I$1,$A316,$A316))))</f>
        <v>#N/A Requesting Data...</v>
      </c>
      <c r="J316" s="8" t="str">
        <f>IF($A316="","",IF(ISNUMBER(FIND("IMPVOL",J$1)),_xll.BDH(config!$G$4,J$1,WORKDAY($A316,-1,config_Holiday_Calendar_US),WORKDAY($A316,-1,config_Holiday_Calendar_US)),IF(ISNUMBER(_xll.BDH(config!$G$4,J$1,$A316,$A316)),_xll.BDH(config!$G$4,J$1,$A316,$A316),_xll.BDH(config!$G$5,J$1,$A316,$A316))))</f>
        <v>#N/A Requesting Data...</v>
      </c>
      <c r="K316" s="8" t="str">
        <f>IF($A316="","",IF(ISNUMBER(FIND("IMPVOL",K$1)),_xll.BDH(config!$G$4,K$1,WORKDAY($A316,-1,config_Holiday_Calendar_US),WORKDAY($A316,-1,config_Holiday_Calendar_US)),IF(ISNUMBER(_xll.BDH(config!$G$4,K$1,$A316,$A316)),_xll.BDH(config!$G$4,K$1,$A316,$A316),_xll.BDH(config!$G$5,K$1,$A316,$A316))))</f>
        <v>#N/A Requesting Data...</v>
      </c>
      <c r="L316" s="8" t="str">
        <f>IF($A316="","",IF(ISNUMBER(FIND("IMPVOL",L$1)),_xll.BDH(config!$G$4,L$1,WORKDAY($A316,-1,config_Holiday_Calendar_US),WORKDAY($A316,-1,config_Holiday_Calendar_US)),IF(ISNUMBER(_xll.BDH(config!$G$4,L$1,$A316,$A316)),_xll.BDH(config!$G$4,L$1,$A316,$A316),_xll.BDH(config!$G$5,L$1,$A316,$A316))))</f>
        <v>#N/A Requesting Data...</v>
      </c>
      <c r="M316" s="8" t="str">
        <f>IF($A316="","",IF(ISNUMBER(FIND("IMPVOL",M$1)),_xll.BDH(config!$G$4,M$1,WORKDAY($A316,-1,config_Holiday_Calendar_US),WORKDAY($A316,-1,config_Holiday_Calendar_US)),IF(ISNUMBER(_xll.BDH(config!$G$4,M$1,$A316,$A316)),_xll.BDH(config!$G$4,M$1,$A316,$A316),_xll.BDH(config!$G$5,M$1,$A316,$A316))))</f>
        <v>#N/A Requesting Data...</v>
      </c>
      <c r="N316" s="8" t="str">
        <f>IF($A316="","",IF(ISNUMBER(FIND("IMPVOL",N$1)),_xll.BDH(config!$G$4,N$1,WORKDAY($A316,-1,config_Holiday_Calendar_US),WORKDAY($A316,-1,config_Holiday_Calendar_US)),IF(ISNUMBER(_xll.BDH(config!$G$4,N$1,$A316,$A316)),_xll.BDH(config!$G$4,N$1,$A316,$A316),_xll.BDH(config!$G$5,N$1,$A316,$A316))))</f>
        <v>#N/A Requesting Data...</v>
      </c>
      <c r="O316" s="8" t="str">
        <f>IF($A316="","",IF(ISNUMBER(FIND("IMPVOL",O$1)),_xll.BDH(config!$G$4,O$1,WORKDAY($A316,-1,config_Holiday_Calendar_US),WORKDAY($A316,-1,config_Holiday_Calendar_US)),IF(ISNUMBER(_xll.BDH(config!$G$4,O$1,$A316,$A316)),_xll.BDH(config!$G$4,O$1,$A316,$A316),_xll.BDH(config!$G$5,O$1,$A316,$A316))))</f>
        <v>#N/A Requesting Data...</v>
      </c>
      <c r="P316" s="8" t="str">
        <f>IF($A316="","",IF(ISNUMBER(FIND("IMPVOL",P$1)),_xll.BDH(config!$G$4,P$1,WORKDAY($A316,-1,config_Holiday_Calendar_US),WORKDAY($A316,-1,config_Holiday_Calendar_US)),IF(ISNUMBER(_xll.BDH(config!$G$4,P$1,$A316,$A316)),_xll.BDH(config!$G$4,P$1,$A316,$A316),_xll.BDH(config!$G$5,P$1,$A316,$A316))))</f>
        <v>#N/A Requesting Data...</v>
      </c>
      <c r="Q316" s="8">
        <f>IF($A316="","",IF(ISNUMBER(FIND("IMPVOL",Q$1)),_xll.BDH(config!$G$4,Q$1,WORKDAY($A316,-1,config_Holiday_Calendar_US),WORKDAY($A316,-1,config_Holiday_Calendar_US)),IF(ISNUMBER(_xll.BDH(config!$G$4,Q$1,$A316,$A316)),_xll.BDH(config!$G$4,Q$1,$A316,$A316),_xll.BDH(config!$G$5,Q$1,$A316,$A316))))</f>
        <v>44.76</v>
      </c>
      <c r="R316" s="8">
        <f>IF($A316="","",IF(ISNUMBER(FIND("IMPVOL",R$1)),_xll.BDH(config!$G$4,R$1,WORKDAY($A316,-1,config_Holiday_Calendar_US),WORKDAY($A316,-1,config_Holiday_Calendar_US)),IF(ISNUMBER(_xll.BDH(config!$G$4,R$1,$A316,$A316)),_xll.BDH(config!$G$4,R$1,$A316,$A316),_xll.BDH(config!$G$5,R$1,$A316,$A316))))</f>
        <v>41.36</v>
      </c>
      <c r="S316" s="8" t="str">
        <f>IF($A316="","",IF(ISNUMBER(FIND("IMPVOL",S$1)),_xll.BDH(config!$G$4,S$1,WORKDAY($A316,-1,config_Holiday_Calendar_US),WORKDAY($A316,-1,config_Holiday_Calendar_US)),IF(ISNUMBER(_xll.BDH(config!$G$4,S$1,$A316,$A316)),_xll.BDH(config!$G$4,S$1,$A316,$A316),_xll.BDH(config!$G$5,S$1,$A316,$A316))))</f>
        <v>#N/A Requesting Data...</v>
      </c>
      <c r="T316" s="8" t="str">
        <f>IF($A316="","",IF(ISNUMBER(FIND("IMPVOL",T$1)),_xll.BDH(config!$G$4,T$1,WORKDAY($A316,-1,config_Holiday_Calendar_US),WORKDAY($A316,-1,config_Holiday_Calendar_US)),IF(ISNUMBER(_xll.BDH(config!$G$4,T$1,$A316,$A316)),_xll.BDH(config!$G$4,T$1,$A316,$A316),_xll.BDH(config!$G$5,T$1,$A316,$A316))))</f>
        <v>#N/A Requesting Data...</v>
      </c>
      <c r="U316" s="8" t="str">
        <f>IF($A316="","",IF(ISNUMBER(FIND("IMPVOL",U$1)),_xll.BDH(config!$G$4,U$1,WORKDAY($A316,-1,config_Holiday_Calendar_US),WORKDAY($A316,-1,config_Holiday_Calendar_US)),IF(ISNUMBER(_xll.BDH(config!$G$4,U$1,$A316,$A316)),_xll.BDH(config!$G$4,U$1,$A316,$A316),_xll.BDH(config!$G$5,U$1,$A316,$A316))))</f>
        <v>#N/A Requesting Data...</v>
      </c>
      <c r="V316" s="8" t="str">
        <f>IF($A316="","",IF(ISNUMBER(FIND("IMPVOL",V$1)),_xll.BDH(config!$G$4,V$1,WORKDAY($A316,-1,config_Holiday_Calendar_US),WORKDAY($A316,-1,config_Holiday_Calendar_US)),IF(ISNUMBER(_xll.BDH(config!$G$4,V$1,$A316,$A316)),_xll.BDH(config!$G$4,V$1,$A316,$A316),_xll.BDH(config!$G$5,V$1,$A316,$A316))))</f>
        <v>#N/A Requesting Data...</v>
      </c>
      <c r="W316" s="8" t="str">
        <f>IF($A316="","",IF(ISNUMBER(FIND("IMPVOL",W$1)),_xll.BDH(config!$G$4,W$1,WORKDAY($A316,-1,config_Holiday_Calendar_US),WORKDAY($A316,-1,config_Holiday_Calendar_US)),IF(ISNUMBER(_xll.BDH(config!$G$4,W$1,$A316,$A316)),_xll.BDH(config!$G$4,W$1,$A316,$A316),_xll.BDH(config!$G$5,W$1,$A316,$A316))))</f>
        <v>#N/A Requesting Data...</v>
      </c>
    </row>
    <row r="317" spans="1:23" x14ac:dyDescent="0.2">
      <c r="A317" s="9">
        <f>IF(A316="","",IF(WORKDAY(A316,-1,config_Holiday_Calendar_US)&lt;config!$I$10,"",WORKDAY(A316,-1,config_Holiday_Calendar_US)))</f>
        <v>42373</v>
      </c>
      <c r="B317" s="8" t="e">
        <f t="shared" si="4"/>
        <v>#VALUE!</v>
      </c>
      <c r="C317" s="8" t="str">
        <f>IF(A317="","",_xll.BDH(config!$H$4,C$1,$A317,$A317))</f>
        <v>#N/A Requesting Data...</v>
      </c>
      <c r="D317" s="8" t="str">
        <f>IF($A317="","",_xll.BDH(config!$H$4,D$1,$A317,$A317))</f>
        <v>#N/A Requesting Data...</v>
      </c>
      <c r="E317" s="8">
        <f>IF($A317="","",IF(ISNUMBER(FIND("IMPVOL",E$1)),_xll.BDH(config!$G$4,E$1,WORKDAY($A317,-1,config_Holiday_Calendar_US),WORKDAY($A317,-1,config_Holiday_Calendar_US)),IF(ISNUMBER(_xll.BDH(config!$G$4,E$1,$A317,$A317)),_xll.BDH(config!$G$4,E$1,$A317,$A317),_xll.BDH(config!$G$5,E$1,$A317,$A317))))</f>
        <v>37.6</v>
      </c>
      <c r="F317" s="8">
        <f>IF($A317="","",IF(ISNUMBER(FIND("IMPVOL",F$1)),_xll.BDH(config!$G$4,F$1,WORKDAY($A317,-1,config_Holiday_Calendar_US),WORKDAY($A317,-1,config_Holiday_Calendar_US)),IF(ISNUMBER(_xll.BDH(config!$G$4,F$1,$A317,$A317)),_xll.BDH(config!$G$4,F$1,$A317,$A317),_xll.BDH(config!$G$5,F$1,$A317,$A317))))</f>
        <v>38.39</v>
      </c>
      <c r="G317" s="8">
        <f>IF($A317="","",IF(ISNUMBER(FIND("IMPVOL",G$1)),_xll.BDH(config!$G$4,G$1,WORKDAY($A317,-1,config_Holiday_Calendar_US),WORKDAY($A317,-1,config_Holiday_Calendar_US)),IF(ISNUMBER(_xll.BDH(config!$G$4,G$1,$A317,$A317)),_xll.BDH(config!$G$4,G$1,$A317,$A317),_xll.BDH(config!$G$5,G$1,$A317,$A317))))</f>
        <v>37.51</v>
      </c>
      <c r="H317" s="8">
        <f>IF($A317="","",IF(ISNUMBER(FIND("IMPVOL",H$1)),_xll.BDH(config!$G$4,H$1,WORKDAY($A317,-1,config_Holiday_Calendar_US),WORKDAY($A317,-1,config_Holiday_Calendar_US)),IF(ISNUMBER(_xll.BDH(config!$G$4,H$1,$A317,$A317)),_xll.BDH(config!$G$4,H$1,$A317,$A317),_xll.BDH(config!$G$5,H$1,$A317,$A317))))</f>
        <v>108270</v>
      </c>
      <c r="I317" s="8" t="str">
        <f>IF($A317="","",IF(ISNUMBER(FIND("IMPVOL",I$1)),_xll.BDH(config!$G$4,I$1,WORKDAY($A317,-1,config_Holiday_Calendar_US),WORKDAY($A317,-1,config_Holiday_Calendar_US)),IF(ISNUMBER(_xll.BDH(config!$G$4,I$1,$A317,$A317)),_xll.BDH(config!$G$4,I$1,$A317,$A317),_xll.BDH(config!$G$5,I$1,$A317,$A317))))</f>
        <v>#N/A Requesting Data...</v>
      </c>
      <c r="J317" s="8" t="str">
        <f>IF($A317="","",IF(ISNUMBER(FIND("IMPVOL",J$1)),_xll.BDH(config!$G$4,J$1,WORKDAY($A317,-1,config_Holiday_Calendar_US),WORKDAY($A317,-1,config_Holiday_Calendar_US)),IF(ISNUMBER(_xll.BDH(config!$G$4,J$1,$A317,$A317)),_xll.BDH(config!$G$4,J$1,$A317,$A317),_xll.BDH(config!$G$5,J$1,$A317,$A317))))</f>
        <v>#N/A Requesting Data...</v>
      </c>
      <c r="K317" s="8" t="str">
        <f>IF($A317="","",IF(ISNUMBER(FIND("IMPVOL",K$1)),_xll.BDH(config!$G$4,K$1,WORKDAY($A317,-1,config_Holiday_Calendar_US),WORKDAY($A317,-1,config_Holiday_Calendar_US)),IF(ISNUMBER(_xll.BDH(config!$G$4,K$1,$A317,$A317)),_xll.BDH(config!$G$4,K$1,$A317,$A317),_xll.BDH(config!$G$5,K$1,$A317,$A317))))</f>
        <v>#N/A Requesting Data...</v>
      </c>
      <c r="L317" s="8" t="str">
        <f>IF($A317="","",IF(ISNUMBER(FIND("IMPVOL",L$1)),_xll.BDH(config!$G$4,L$1,WORKDAY($A317,-1,config_Holiday_Calendar_US),WORKDAY($A317,-1,config_Holiday_Calendar_US)),IF(ISNUMBER(_xll.BDH(config!$G$4,L$1,$A317,$A317)),_xll.BDH(config!$G$4,L$1,$A317,$A317),_xll.BDH(config!$G$5,L$1,$A317,$A317))))</f>
        <v>#N/A Requesting Data...</v>
      </c>
      <c r="M317" s="8" t="str">
        <f>IF($A317="","",IF(ISNUMBER(FIND("IMPVOL",M$1)),_xll.BDH(config!$G$4,M$1,WORKDAY($A317,-1,config_Holiday_Calendar_US),WORKDAY($A317,-1,config_Holiday_Calendar_US)),IF(ISNUMBER(_xll.BDH(config!$G$4,M$1,$A317,$A317)),_xll.BDH(config!$G$4,M$1,$A317,$A317),_xll.BDH(config!$G$5,M$1,$A317,$A317))))</f>
        <v>#N/A Requesting Data...</v>
      </c>
      <c r="N317" s="8" t="str">
        <f>IF($A317="","",IF(ISNUMBER(FIND("IMPVOL",N$1)),_xll.BDH(config!$G$4,N$1,WORKDAY($A317,-1,config_Holiday_Calendar_US),WORKDAY($A317,-1,config_Holiday_Calendar_US)),IF(ISNUMBER(_xll.BDH(config!$G$4,N$1,$A317,$A317)),_xll.BDH(config!$G$4,N$1,$A317,$A317),_xll.BDH(config!$G$5,N$1,$A317,$A317))))</f>
        <v>#N/A Requesting Data...</v>
      </c>
      <c r="O317" s="8" t="str">
        <f>IF($A317="","",IF(ISNUMBER(FIND("IMPVOL",O$1)),_xll.BDH(config!$G$4,O$1,WORKDAY($A317,-1,config_Holiday_Calendar_US),WORKDAY($A317,-1,config_Holiday_Calendar_US)),IF(ISNUMBER(_xll.BDH(config!$G$4,O$1,$A317,$A317)),_xll.BDH(config!$G$4,O$1,$A317,$A317),_xll.BDH(config!$G$5,O$1,$A317,$A317))))</f>
        <v>#N/A Requesting Data...</v>
      </c>
      <c r="P317" s="8" t="str">
        <f>IF($A317="","",IF(ISNUMBER(FIND("IMPVOL",P$1)),_xll.BDH(config!$G$4,P$1,WORKDAY($A317,-1,config_Holiday_Calendar_US),WORKDAY($A317,-1,config_Holiday_Calendar_US)),IF(ISNUMBER(_xll.BDH(config!$G$4,P$1,$A317,$A317)),_xll.BDH(config!$G$4,P$1,$A317,$A317),_xll.BDH(config!$G$5,P$1,$A317,$A317))))</f>
        <v>#N/A Requesting Data...</v>
      </c>
      <c r="Q317" s="8">
        <f>IF($A317="","",IF(ISNUMBER(FIND("IMPVOL",Q$1)),_xll.BDH(config!$G$4,Q$1,WORKDAY($A317,-1,config_Holiday_Calendar_US),WORKDAY($A317,-1,config_Holiday_Calendar_US)),IF(ISNUMBER(_xll.BDH(config!$G$4,Q$1,$A317,$A317)),_xll.BDH(config!$G$4,Q$1,$A317,$A317),_xll.BDH(config!$G$5,Q$1,$A317,$A317))))</f>
        <v>42.88</v>
      </c>
      <c r="R317" s="8">
        <f>IF($A317="","",IF(ISNUMBER(FIND("IMPVOL",R$1)),_xll.BDH(config!$G$4,R$1,WORKDAY($A317,-1,config_Holiday_Calendar_US),WORKDAY($A317,-1,config_Holiday_Calendar_US)),IF(ISNUMBER(_xll.BDH(config!$G$4,R$1,$A317,$A317)),_xll.BDH(config!$G$4,R$1,$A317,$A317),_xll.BDH(config!$G$5,R$1,$A317,$A317))))</f>
        <v>41.12</v>
      </c>
      <c r="S317" s="8" t="str">
        <f>IF($A317="","",IF(ISNUMBER(FIND("IMPVOL",S$1)),_xll.BDH(config!$G$4,S$1,WORKDAY($A317,-1,config_Holiday_Calendar_US),WORKDAY($A317,-1,config_Holiday_Calendar_US)),IF(ISNUMBER(_xll.BDH(config!$G$4,S$1,$A317,$A317)),_xll.BDH(config!$G$4,S$1,$A317,$A317),_xll.BDH(config!$G$5,S$1,$A317,$A317))))</f>
        <v>#N/A Requesting Data...</v>
      </c>
      <c r="T317" s="8" t="str">
        <f>IF($A317="","",IF(ISNUMBER(FIND("IMPVOL",T$1)),_xll.BDH(config!$G$4,T$1,WORKDAY($A317,-1,config_Holiday_Calendar_US),WORKDAY($A317,-1,config_Holiday_Calendar_US)),IF(ISNUMBER(_xll.BDH(config!$G$4,T$1,$A317,$A317)),_xll.BDH(config!$G$4,T$1,$A317,$A317),_xll.BDH(config!$G$5,T$1,$A317,$A317))))</f>
        <v>#N/A Requesting Data...</v>
      </c>
      <c r="U317" s="8" t="str">
        <f>IF($A317="","",IF(ISNUMBER(FIND("IMPVOL",U$1)),_xll.BDH(config!$G$4,U$1,WORKDAY($A317,-1,config_Holiday_Calendar_US),WORKDAY($A317,-1,config_Holiday_Calendar_US)),IF(ISNUMBER(_xll.BDH(config!$G$4,U$1,$A317,$A317)),_xll.BDH(config!$G$4,U$1,$A317,$A317),_xll.BDH(config!$G$5,U$1,$A317,$A317))))</f>
        <v>#N/A Requesting Data...</v>
      </c>
      <c r="V317" s="8" t="str">
        <f>IF($A317="","",IF(ISNUMBER(FIND("IMPVOL",V$1)),_xll.BDH(config!$G$4,V$1,WORKDAY($A317,-1,config_Holiday_Calendar_US),WORKDAY($A317,-1,config_Holiday_Calendar_US)),IF(ISNUMBER(_xll.BDH(config!$G$4,V$1,$A317,$A317)),_xll.BDH(config!$G$4,V$1,$A317,$A317),_xll.BDH(config!$G$5,V$1,$A317,$A317))))</f>
        <v>#N/A Requesting Data...</v>
      </c>
      <c r="W317" s="8" t="str">
        <f>IF($A317="","",IF(ISNUMBER(FIND("IMPVOL",W$1)),_xll.BDH(config!$G$4,W$1,WORKDAY($A317,-1,config_Holiday_Calendar_US),WORKDAY($A317,-1,config_Holiday_Calendar_US)),IF(ISNUMBER(_xll.BDH(config!$G$4,W$1,$A317,$A317)),_xll.BDH(config!$G$4,W$1,$A317,$A317),_xll.BDH(config!$G$5,W$1,$A317,$A317))))</f>
        <v>#N/A Requesting Data...</v>
      </c>
    </row>
    <row r="318" spans="1:23" x14ac:dyDescent="0.2">
      <c r="A318" s="9">
        <f>IF(A317="","",IF(WORKDAY(A317,-1,config_Holiday_Calendar_US)&lt;config!$I$10,"",WORKDAY(A317,-1,config_Holiday_Calendar_US)))</f>
        <v>42369</v>
      </c>
      <c r="B318" s="8" t="e">
        <f t="shared" si="4"/>
        <v>#VALUE!</v>
      </c>
      <c r="C318" s="8" t="str">
        <f>IF(A318="","",_xll.BDH(config!$H$4,C$1,$A318,$A318))</f>
        <v>#N/A Requesting Data...</v>
      </c>
      <c r="D318" s="8" t="str">
        <f>IF($A318="","",_xll.BDH(config!$H$4,D$1,$A318,$A318))</f>
        <v>#N/A Requesting Data...</v>
      </c>
      <c r="E318" s="8">
        <f>IF($A318="","",IF(ISNUMBER(FIND("IMPVOL",E$1)),_xll.BDH(config!$G$4,E$1,WORKDAY($A318,-1,config_Holiday_Calendar_US),WORKDAY($A318,-1,config_Holiday_Calendar_US)),IF(ISNUMBER(_xll.BDH(config!$G$4,E$1,$A318,$A318)),_xll.BDH(config!$G$4,E$1,$A318,$A318),_xll.BDH(config!$G$5,E$1,$A318,$A318))))</f>
        <v>36.81</v>
      </c>
      <c r="F318" s="8">
        <f>IF($A318="","",IF(ISNUMBER(FIND("IMPVOL",F$1)),_xll.BDH(config!$G$4,F$1,WORKDAY($A318,-1,config_Holiday_Calendar_US),WORKDAY($A318,-1,config_Holiday_Calendar_US)),IF(ISNUMBER(_xll.BDH(config!$G$4,F$1,$A318,$A318)),_xll.BDH(config!$G$4,F$1,$A318,$A318),_xll.BDH(config!$G$5,F$1,$A318,$A318))))</f>
        <v>37.79</v>
      </c>
      <c r="G318" s="8">
        <f>IF($A318="","",IF(ISNUMBER(FIND("IMPVOL",G$1)),_xll.BDH(config!$G$4,G$1,WORKDAY($A318,-1,config_Holiday_Calendar_US),WORKDAY($A318,-1,config_Holiday_Calendar_US)),IF(ISNUMBER(_xll.BDH(config!$G$4,G$1,$A318,$A318)),_xll.BDH(config!$G$4,G$1,$A318,$A318),_xll.BDH(config!$G$5,G$1,$A318,$A318))))</f>
        <v>37.28</v>
      </c>
      <c r="H318" s="8">
        <f>IF($A318="","",IF(ISNUMBER(FIND("IMPVOL",H$1)),_xll.BDH(config!$G$4,H$1,WORKDAY($A318,-1,config_Holiday_Calendar_US),WORKDAY($A318,-1,config_Holiday_Calendar_US)),IF(ISNUMBER(_xll.BDH(config!$G$4,H$1,$A318,$A318)),_xll.BDH(config!$G$4,H$1,$A318,$A318),_xll.BDH(config!$G$5,H$1,$A318,$A318))))</f>
        <v>67442</v>
      </c>
      <c r="I318" s="8" t="str">
        <f>IF($A318="","",IF(ISNUMBER(FIND("IMPVOL",I$1)),_xll.BDH(config!$G$4,I$1,WORKDAY($A318,-1,config_Holiday_Calendar_US),WORKDAY($A318,-1,config_Holiday_Calendar_US)),IF(ISNUMBER(_xll.BDH(config!$G$4,I$1,$A318,$A318)),_xll.BDH(config!$G$4,I$1,$A318,$A318),_xll.BDH(config!$G$5,I$1,$A318,$A318))))</f>
        <v>#N/A Requesting Data...</v>
      </c>
      <c r="J318" s="8" t="str">
        <f>IF($A318="","",IF(ISNUMBER(FIND("IMPVOL",J$1)),_xll.BDH(config!$G$4,J$1,WORKDAY($A318,-1,config_Holiday_Calendar_US),WORKDAY($A318,-1,config_Holiday_Calendar_US)),IF(ISNUMBER(_xll.BDH(config!$G$4,J$1,$A318,$A318)),_xll.BDH(config!$G$4,J$1,$A318,$A318),_xll.BDH(config!$G$5,J$1,$A318,$A318))))</f>
        <v>#N/A Requesting Data...</v>
      </c>
      <c r="K318" s="8" t="str">
        <f>IF($A318="","",IF(ISNUMBER(FIND("IMPVOL",K$1)),_xll.BDH(config!$G$4,K$1,WORKDAY($A318,-1,config_Holiday_Calendar_US),WORKDAY($A318,-1,config_Holiday_Calendar_US)),IF(ISNUMBER(_xll.BDH(config!$G$4,K$1,$A318,$A318)),_xll.BDH(config!$G$4,K$1,$A318,$A318),_xll.BDH(config!$G$5,K$1,$A318,$A318))))</f>
        <v>#N/A Requesting Data...</v>
      </c>
      <c r="L318" s="8" t="str">
        <f>IF($A318="","",IF(ISNUMBER(FIND("IMPVOL",L$1)),_xll.BDH(config!$G$4,L$1,WORKDAY($A318,-1,config_Holiday_Calendar_US),WORKDAY($A318,-1,config_Holiday_Calendar_US)),IF(ISNUMBER(_xll.BDH(config!$G$4,L$1,$A318,$A318)),_xll.BDH(config!$G$4,L$1,$A318,$A318),_xll.BDH(config!$G$5,L$1,$A318,$A318))))</f>
        <v>#N/A Requesting Data...</v>
      </c>
      <c r="M318" s="8" t="str">
        <f>IF($A318="","",IF(ISNUMBER(FIND("IMPVOL",M$1)),_xll.BDH(config!$G$4,M$1,WORKDAY($A318,-1,config_Holiday_Calendar_US),WORKDAY($A318,-1,config_Holiday_Calendar_US)),IF(ISNUMBER(_xll.BDH(config!$G$4,M$1,$A318,$A318)),_xll.BDH(config!$G$4,M$1,$A318,$A318),_xll.BDH(config!$G$5,M$1,$A318,$A318))))</f>
        <v>#N/A Requesting Data...</v>
      </c>
      <c r="N318" s="8" t="str">
        <f>IF($A318="","",IF(ISNUMBER(FIND("IMPVOL",N$1)),_xll.BDH(config!$G$4,N$1,WORKDAY($A318,-1,config_Holiday_Calendar_US),WORKDAY($A318,-1,config_Holiday_Calendar_US)),IF(ISNUMBER(_xll.BDH(config!$G$4,N$1,$A318,$A318)),_xll.BDH(config!$G$4,N$1,$A318,$A318),_xll.BDH(config!$G$5,N$1,$A318,$A318))))</f>
        <v>#N/A Requesting Data...</v>
      </c>
      <c r="O318" s="8" t="str">
        <f>IF($A318="","",IF(ISNUMBER(FIND("IMPVOL",O$1)),_xll.BDH(config!$G$4,O$1,WORKDAY($A318,-1,config_Holiday_Calendar_US),WORKDAY($A318,-1,config_Holiday_Calendar_US)),IF(ISNUMBER(_xll.BDH(config!$G$4,O$1,$A318,$A318)),_xll.BDH(config!$G$4,O$1,$A318,$A318),_xll.BDH(config!$G$5,O$1,$A318,$A318))))</f>
        <v>#N/A Requesting Data...</v>
      </c>
      <c r="P318" s="8" t="str">
        <f>IF($A318="","",IF(ISNUMBER(FIND("IMPVOL",P$1)),_xll.BDH(config!$G$4,P$1,WORKDAY($A318,-1,config_Holiday_Calendar_US),WORKDAY($A318,-1,config_Holiday_Calendar_US)),IF(ISNUMBER(_xll.BDH(config!$G$4,P$1,$A318,$A318)),_xll.BDH(config!$G$4,P$1,$A318,$A318),_xll.BDH(config!$G$5,P$1,$A318,$A318))))</f>
        <v>#N/A Requesting Data...</v>
      </c>
      <c r="Q318" s="8">
        <f>IF($A318="","",IF(ISNUMBER(FIND("IMPVOL",Q$1)),_xll.BDH(config!$G$4,Q$1,WORKDAY($A318,-1,config_Holiday_Calendar_US),WORKDAY($A318,-1,config_Holiday_Calendar_US)),IF(ISNUMBER(_xll.BDH(config!$G$4,Q$1,$A318,$A318)),_xll.BDH(config!$G$4,Q$1,$A318,$A318),_xll.BDH(config!$G$5,Q$1,$A318,$A318))))</f>
        <v>42.89</v>
      </c>
      <c r="R318" s="8">
        <f>IF($A318="","",IF(ISNUMBER(FIND("IMPVOL",R$1)),_xll.BDH(config!$G$4,R$1,WORKDAY($A318,-1,config_Holiday_Calendar_US),WORKDAY($A318,-1,config_Holiday_Calendar_US)),IF(ISNUMBER(_xll.BDH(config!$G$4,R$1,$A318,$A318)),_xll.BDH(config!$G$4,R$1,$A318,$A318),_xll.BDH(config!$G$5,R$1,$A318,$A318))))</f>
        <v>41.11</v>
      </c>
      <c r="S318" s="8" t="str">
        <f>IF($A318="","",IF(ISNUMBER(FIND("IMPVOL",S$1)),_xll.BDH(config!$G$4,S$1,WORKDAY($A318,-1,config_Holiday_Calendar_US),WORKDAY($A318,-1,config_Holiday_Calendar_US)),IF(ISNUMBER(_xll.BDH(config!$G$4,S$1,$A318,$A318)),_xll.BDH(config!$G$4,S$1,$A318,$A318),_xll.BDH(config!$G$5,S$1,$A318,$A318))))</f>
        <v>#N/A Requesting Data...</v>
      </c>
      <c r="T318" s="8" t="str">
        <f>IF($A318="","",IF(ISNUMBER(FIND("IMPVOL",T$1)),_xll.BDH(config!$G$4,T$1,WORKDAY($A318,-1,config_Holiday_Calendar_US),WORKDAY($A318,-1,config_Holiday_Calendar_US)),IF(ISNUMBER(_xll.BDH(config!$G$4,T$1,$A318,$A318)),_xll.BDH(config!$G$4,T$1,$A318,$A318),_xll.BDH(config!$G$5,T$1,$A318,$A318))))</f>
        <v>#N/A Requesting Data...</v>
      </c>
      <c r="U318" s="8" t="str">
        <f>IF($A318="","",IF(ISNUMBER(FIND("IMPVOL",U$1)),_xll.BDH(config!$G$4,U$1,WORKDAY($A318,-1,config_Holiday_Calendar_US),WORKDAY($A318,-1,config_Holiday_Calendar_US)),IF(ISNUMBER(_xll.BDH(config!$G$4,U$1,$A318,$A318)),_xll.BDH(config!$G$4,U$1,$A318,$A318),_xll.BDH(config!$G$5,U$1,$A318,$A318))))</f>
        <v>#N/A Requesting Data...</v>
      </c>
      <c r="V318" s="8" t="str">
        <f>IF($A318="","",IF(ISNUMBER(FIND("IMPVOL",V$1)),_xll.BDH(config!$G$4,V$1,WORKDAY($A318,-1,config_Holiday_Calendar_US),WORKDAY($A318,-1,config_Holiday_Calendar_US)),IF(ISNUMBER(_xll.BDH(config!$G$4,V$1,$A318,$A318)),_xll.BDH(config!$G$4,V$1,$A318,$A318),_xll.BDH(config!$G$5,V$1,$A318,$A318))))</f>
        <v>#N/A Requesting Data...</v>
      </c>
      <c r="W318" s="8" t="str">
        <f>IF($A318="","",IF(ISNUMBER(FIND("IMPVOL",W$1)),_xll.BDH(config!$G$4,W$1,WORKDAY($A318,-1,config_Holiday_Calendar_US),WORKDAY($A318,-1,config_Holiday_Calendar_US)),IF(ISNUMBER(_xll.BDH(config!$G$4,W$1,$A318,$A318)),_xll.BDH(config!$G$4,W$1,$A318,$A318),_xll.BDH(config!$G$5,W$1,$A318,$A318))))</f>
        <v>#N/A Requesting Data...</v>
      </c>
    </row>
    <row r="319" spans="1:23" x14ac:dyDescent="0.2">
      <c r="A319" s="9">
        <f>IF(A318="","",IF(WORKDAY(A318,-1,config_Holiday_Calendar_US)&lt;config!$I$10,"",WORKDAY(A318,-1,config_Holiday_Calendar_US)))</f>
        <v>42368</v>
      </c>
      <c r="B319" s="8" t="e">
        <f t="shared" si="4"/>
        <v>#VALUE!</v>
      </c>
      <c r="C319" s="8" t="str">
        <f>IF(A319="","",_xll.BDH(config!$H$4,C$1,$A319,$A319))</f>
        <v>#N/A Requesting Data...</v>
      </c>
      <c r="D319" s="8" t="str">
        <f>IF($A319="","",_xll.BDH(config!$H$4,D$1,$A319,$A319))</f>
        <v>#N/A Requesting Data...</v>
      </c>
      <c r="E319" s="8">
        <f>IF($A319="","",IF(ISNUMBER(FIND("IMPVOL",E$1)),_xll.BDH(config!$G$4,E$1,WORKDAY($A319,-1,config_Holiday_Calendar_US),WORKDAY($A319,-1,config_Holiday_Calendar_US)),IF(ISNUMBER(_xll.BDH(config!$G$4,E$1,$A319,$A319)),_xll.BDH(config!$G$4,E$1,$A319,$A319),_xll.BDH(config!$G$5,E$1,$A319,$A319))))</f>
        <v>37.36</v>
      </c>
      <c r="F319" s="8">
        <f>IF($A319="","",IF(ISNUMBER(FIND("IMPVOL",F$1)),_xll.BDH(config!$G$4,F$1,WORKDAY($A319,-1,config_Holiday_Calendar_US),WORKDAY($A319,-1,config_Holiday_Calendar_US)),IF(ISNUMBER(_xll.BDH(config!$G$4,F$1,$A319,$A319)),_xll.BDH(config!$G$4,F$1,$A319,$A319),_xll.BDH(config!$G$5,F$1,$A319,$A319))))</f>
        <v>37.4</v>
      </c>
      <c r="G319" s="8">
        <f>IF($A319="","",IF(ISNUMBER(FIND("IMPVOL",G$1)),_xll.BDH(config!$G$4,G$1,WORKDAY($A319,-1,config_Holiday_Calendar_US),WORKDAY($A319,-1,config_Holiday_Calendar_US)),IF(ISNUMBER(_xll.BDH(config!$G$4,G$1,$A319,$A319)),_xll.BDH(config!$G$4,G$1,$A319,$A319),_xll.BDH(config!$G$5,G$1,$A319,$A319))))</f>
        <v>37.46</v>
      </c>
      <c r="H319" s="8">
        <f>IF($A319="","",IF(ISNUMBER(FIND("IMPVOL",H$1)),_xll.BDH(config!$G$4,H$1,WORKDAY($A319,-1,config_Holiday_Calendar_US),WORKDAY($A319,-1,config_Holiday_Calendar_US)),IF(ISNUMBER(_xll.BDH(config!$G$4,H$1,$A319,$A319)),_xll.BDH(config!$G$4,H$1,$A319,$A319),_xll.BDH(config!$G$5,H$1,$A319,$A319))))</f>
        <v>59446</v>
      </c>
      <c r="I319" s="8" t="str">
        <f>IF($A319="","",IF(ISNUMBER(FIND("IMPVOL",I$1)),_xll.BDH(config!$G$4,I$1,WORKDAY($A319,-1,config_Holiday_Calendar_US),WORKDAY($A319,-1,config_Holiday_Calendar_US)),IF(ISNUMBER(_xll.BDH(config!$G$4,I$1,$A319,$A319)),_xll.BDH(config!$G$4,I$1,$A319,$A319),_xll.BDH(config!$G$5,I$1,$A319,$A319))))</f>
        <v>#N/A Requesting Data...</v>
      </c>
      <c r="J319" s="8" t="str">
        <f>IF($A319="","",IF(ISNUMBER(FIND("IMPVOL",J$1)),_xll.BDH(config!$G$4,J$1,WORKDAY($A319,-1,config_Holiday_Calendar_US),WORKDAY($A319,-1,config_Holiday_Calendar_US)),IF(ISNUMBER(_xll.BDH(config!$G$4,J$1,$A319,$A319)),_xll.BDH(config!$G$4,J$1,$A319,$A319),_xll.BDH(config!$G$5,J$1,$A319,$A319))))</f>
        <v>#N/A Requesting Data...</v>
      </c>
      <c r="K319" s="8" t="str">
        <f>IF($A319="","",IF(ISNUMBER(FIND("IMPVOL",K$1)),_xll.BDH(config!$G$4,K$1,WORKDAY($A319,-1,config_Holiday_Calendar_US),WORKDAY($A319,-1,config_Holiday_Calendar_US)),IF(ISNUMBER(_xll.BDH(config!$G$4,K$1,$A319,$A319)),_xll.BDH(config!$G$4,K$1,$A319,$A319),_xll.BDH(config!$G$5,K$1,$A319,$A319))))</f>
        <v>#N/A Requesting Data...</v>
      </c>
      <c r="L319" s="8" t="str">
        <f>IF($A319="","",IF(ISNUMBER(FIND("IMPVOL",L$1)),_xll.BDH(config!$G$4,L$1,WORKDAY($A319,-1,config_Holiday_Calendar_US),WORKDAY($A319,-1,config_Holiday_Calendar_US)),IF(ISNUMBER(_xll.BDH(config!$G$4,L$1,$A319,$A319)),_xll.BDH(config!$G$4,L$1,$A319,$A319),_xll.BDH(config!$G$5,L$1,$A319,$A319))))</f>
        <v>#N/A Requesting Data...</v>
      </c>
      <c r="M319" s="8" t="str">
        <f>IF($A319="","",IF(ISNUMBER(FIND("IMPVOL",M$1)),_xll.BDH(config!$G$4,M$1,WORKDAY($A319,-1,config_Holiday_Calendar_US),WORKDAY($A319,-1,config_Holiday_Calendar_US)),IF(ISNUMBER(_xll.BDH(config!$G$4,M$1,$A319,$A319)),_xll.BDH(config!$G$4,M$1,$A319,$A319),_xll.BDH(config!$G$5,M$1,$A319,$A319))))</f>
        <v>#N/A Requesting Data...</v>
      </c>
      <c r="N319" s="8" t="str">
        <f>IF($A319="","",IF(ISNUMBER(FIND("IMPVOL",N$1)),_xll.BDH(config!$G$4,N$1,WORKDAY($A319,-1,config_Holiday_Calendar_US),WORKDAY($A319,-1,config_Holiday_Calendar_US)),IF(ISNUMBER(_xll.BDH(config!$G$4,N$1,$A319,$A319)),_xll.BDH(config!$G$4,N$1,$A319,$A319),_xll.BDH(config!$G$5,N$1,$A319,$A319))))</f>
        <v>#N/A Requesting Data...</v>
      </c>
      <c r="O319" s="8" t="str">
        <f>IF($A319="","",IF(ISNUMBER(FIND("IMPVOL",O$1)),_xll.BDH(config!$G$4,O$1,WORKDAY($A319,-1,config_Holiday_Calendar_US),WORKDAY($A319,-1,config_Holiday_Calendar_US)),IF(ISNUMBER(_xll.BDH(config!$G$4,O$1,$A319,$A319)),_xll.BDH(config!$G$4,O$1,$A319,$A319),_xll.BDH(config!$G$5,O$1,$A319,$A319))))</f>
        <v>#N/A Requesting Data...</v>
      </c>
      <c r="P319" s="8" t="str">
        <f>IF($A319="","",IF(ISNUMBER(FIND("IMPVOL",P$1)),_xll.BDH(config!$G$4,P$1,WORKDAY($A319,-1,config_Holiday_Calendar_US),WORKDAY($A319,-1,config_Holiday_Calendar_US)),IF(ISNUMBER(_xll.BDH(config!$G$4,P$1,$A319,$A319)),_xll.BDH(config!$G$4,P$1,$A319,$A319),_xll.BDH(config!$G$5,P$1,$A319,$A319))))</f>
        <v>#N/A Requesting Data...</v>
      </c>
      <c r="Q319" s="8">
        <f>IF($A319="","",IF(ISNUMBER(FIND("IMPVOL",Q$1)),_xll.BDH(config!$G$4,Q$1,WORKDAY($A319,-1,config_Holiday_Calendar_US),WORKDAY($A319,-1,config_Holiday_Calendar_US)),IF(ISNUMBER(_xll.BDH(config!$G$4,Q$1,$A319,$A319)),_xll.BDH(config!$G$4,Q$1,$A319,$A319),_xll.BDH(config!$G$5,Q$1,$A319,$A319))))</f>
        <v>43.65</v>
      </c>
      <c r="R319" s="8">
        <f>IF($A319="","",IF(ISNUMBER(FIND("IMPVOL",R$1)),_xll.BDH(config!$G$4,R$1,WORKDAY($A319,-1,config_Holiday_Calendar_US),WORKDAY($A319,-1,config_Holiday_Calendar_US)),IF(ISNUMBER(_xll.BDH(config!$G$4,R$1,$A319,$A319)),_xll.BDH(config!$G$4,R$1,$A319,$A319),_xll.BDH(config!$G$5,R$1,$A319,$A319))))</f>
        <v>40.869999999999997</v>
      </c>
      <c r="S319" s="8" t="str">
        <f>IF($A319="","",IF(ISNUMBER(FIND("IMPVOL",S$1)),_xll.BDH(config!$G$4,S$1,WORKDAY($A319,-1,config_Holiday_Calendar_US),WORKDAY($A319,-1,config_Holiday_Calendar_US)),IF(ISNUMBER(_xll.BDH(config!$G$4,S$1,$A319,$A319)),_xll.BDH(config!$G$4,S$1,$A319,$A319),_xll.BDH(config!$G$5,S$1,$A319,$A319))))</f>
        <v>#N/A Requesting Data...</v>
      </c>
      <c r="T319" s="8" t="str">
        <f>IF($A319="","",IF(ISNUMBER(FIND("IMPVOL",T$1)),_xll.BDH(config!$G$4,T$1,WORKDAY($A319,-1,config_Holiday_Calendar_US),WORKDAY($A319,-1,config_Holiday_Calendar_US)),IF(ISNUMBER(_xll.BDH(config!$G$4,T$1,$A319,$A319)),_xll.BDH(config!$G$4,T$1,$A319,$A319),_xll.BDH(config!$G$5,T$1,$A319,$A319))))</f>
        <v>#N/A Requesting Data...</v>
      </c>
      <c r="U319" s="8" t="str">
        <f>IF($A319="","",IF(ISNUMBER(FIND("IMPVOL",U$1)),_xll.BDH(config!$G$4,U$1,WORKDAY($A319,-1,config_Holiday_Calendar_US),WORKDAY($A319,-1,config_Holiday_Calendar_US)),IF(ISNUMBER(_xll.BDH(config!$G$4,U$1,$A319,$A319)),_xll.BDH(config!$G$4,U$1,$A319,$A319),_xll.BDH(config!$G$5,U$1,$A319,$A319))))</f>
        <v>#N/A Requesting Data...</v>
      </c>
      <c r="V319" s="8" t="str">
        <f>IF($A319="","",IF(ISNUMBER(FIND("IMPVOL",V$1)),_xll.BDH(config!$G$4,V$1,WORKDAY($A319,-1,config_Holiday_Calendar_US),WORKDAY($A319,-1,config_Holiday_Calendar_US)),IF(ISNUMBER(_xll.BDH(config!$G$4,V$1,$A319,$A319)),_xll.BDH(config!$G$4,V$1,$A319,$A319),_xll.BDH(config!$G$5,V$1,$A319,$A319))))</f>
        <v>#N/A Requesting Data...</v>
      </c>
      <c r="W319" s="8" t="str">
        <f>IF($A319="","",IF(ISNUMBER(FIND("IMPVOL",W$1)),_xll.BDH(config!$G$4,W$1,WORKDAY($A319,-1,config_Holiday_Calendar_US),WORKDAY($A319,-1,config_Holiday_Calendar_US)),IF(ISNUMBER(_xll.BDH(config!$G$4,W$1,$A319,$A319)),_xll.BDH(config!$G$4,W$1,$A319,$A319),_xll.BDH(config!$G$5,W$1,$A319,$A319))))</f>
        <v>#N/A Requesting Data...</v>
      </c>
    </row>
    <row r="320" spans="1:23" x14ac:dyDescent="0.2">
      <c r="A320" s="9">
        <f>IF(A319="","",IF(WORKDAY(A319,-1,config_Holiday_Calendar_US)&lt;config!$I$10,"",WORKDAY(A319,-1,config_Holiday_Calendar_US)))</f>
        <v>42367</v>
      </c>
      <c r="B320" s="8" t="e">
        <f t="shared" si="4"/>
        <v>#VALUE!</v>
      </c>
      <c r="C320" s="8" t="str">
        <f>IF(A320="","",_xll.BDH(config!$H$4,C$1,$A320,$A320))</f>
        <v>#N/A Requesting Data...</v>
      </c>
      <c r="D320" s="8" t="str">
        <f>IF($A320="","",_xll.BDH(config!$H$4,D$1,$A320,$A320))</f>
        <v>#N/A Requesting Data...</v>
      </c>
      <c r="E320" s="8">
        <f>IF($A320="","",IF(ISNUMBER(FIND("IMPVOL",E$1)),_xll.BDH(config!$G$4,E$1,WORKDAY($A320,-1,config_Holiday_Calendar_US),WORKDAY($A320,-1,config_Holiday_Calendar_US)),IF(ISNUMBER(_xll.BDH(config!$G$4,E$1,$A320,$A320)),_xll.BDH(config!$G$4,E$1,$A320,$A320),_xll.BDH(config!$G$5,E$1,$A320,$A320))))</f>
        <v>36.700000000000003</v>
      </c>
      <c r="F320" s="8">
        <f>IF($A320="","",IF(ISNUMBER(FIND("IMPVOL",F$1)),_xll.BDH(config!$G$4,F$1,WORKDAY($A320,-1,config_Holiday_Calendar_US),WORKDAY($A320,-1,config_Holiday_Calendar_US)),IF(ISNUMBER(_xll.BDH(config!$G$4,F$1,$A320,$A320)),_xll.BDH(config!$G$4,F$1,$A320,$A320),_xll.BDH(config!$G$5,F$1,$A320,$A320))))</f>
        <v>37.94</v>
      </c>
      <c r="G320" s="8">
        <f>IF($A320="","",IF(ISNUMBER(FIND("IMPVOL",G$1)),_xll.BDH(config!$G$4,G$1,WORKDAY($A320,-1,config_Holiday_Calendar_US),WORKDAY($A320,-1,config_Holiday_Calendar_US)),IF(ISNUMBER(_xll.BDH(config!$G$4,G$1,$A320,$A320)),_xll.BDH(config!$G$4,G$1,$A320,$A320),_xll.BDH(config!$G$5,G$1,$A320,$A320))))</f>
        <v>37.659999999999997</v>
      </c>
      <c r="H320" s="8">
        <f>IF($A320="","",IF(ISNUMBER(FIND("IMPVOL",H$1)),_xll.BDH(config!$G$4,H$1,WORKDAY($A320,-1,config_Holiday_Calendar_US),WORKDAY($A320,-1,config_Holiday_Calendar_US)),IF(ISNUMBER(_xll.BDH(config!$G$4,H$1,$A320,$A320)),_xll.BDH(config!$G$4,H$1,$A320,$A320),_xll.BDH(config!$G$5,H$1,$A320,$A320))))</f>
        <v>54907</v>
      </c>
      <c r="I320" s="8" t="str">
        <f>IF($A320="","",IF(ISNUMBER(FIND("IMPVOL",I$1)),_xll.BDH(config!$G$4,I$1,WORKDAY($A320,-1,config_Holiday_Calendar_US),WORKDAY($A320,-1,config_Holiday_Calendar_US)),IF(ISNUMBER(_xll.BDH(config!$G$4,I$1,$A320,$A320)),_xll.BDH(config!$G$4,I$1,$A320,$A320),_xll.BDH(config!$G$5,I$1,$A320,$A320))))</f>
        <v>#N/A Requesting Data...</v>
      </c>
      <c r="J320" s="8" t="str">
        <f>IF($A320="","",IF(ISNUMBER(FIND("IMPVOL",J$1)),_xll.BDH(config!$G$4,J$1,WORKDAY($A320,-1,config_Holiday_Calendar_US),WORKDAY($A320,-1,config_Holiday_Calendar_US)),IF(ISNUMBER(_xll.BDH(config!$G$4,J$1,$A320,$A320)),_xll.BDH(config!$G$4,J$1,$A320,$A320),_xll.BDH(config!$G$5,J$1,$A320,$A320))))</f>
        <v>#N/A Requesting Data...</v>
      </c>
      <c r="K320" s="8" t="str">
        <f>IF($A320="","",IF(ISNUMBER(FIND("IMPVOL",K$1)),_xll.BDH(config!$G$4,K$1,WORKDAY($A320,-1,config_Holiday_Calendar_US),WORKDAY($A320,-1,config_Holiday_Calendar_US)),IF(ISNUMBER(_xll.BDH(config!$G$4,K$1,$A320,$A320)),_xll.BDH(config!$G$4,K$1,$A320,$A320),_xll.BDH(config!$G$5,K$1,$A320,$A320))))</f>
        <v>#N/A Requesting Data...</v>
      </c>
      <c r="L320" s="8" t="str">
        <f>IF($A320="","",IF(ISNUMBER(FIND("IMPVOL",L$1)),_xll.BDH(config!$G$4,L$1,WORKDAY($A320,-1,config_Holiday_Calendar_US),WORKDAY($A320,-1,config_Holiday_Calendar_US)),IF(ISNUMBER(_xll.BDH(config!$G$4,L$1,$A320,$A320)),_xll.BDH(config!$G$4,L$1,$A320,$A320),_xll.BDH(config!$G$5,L$1,$A320,$A320))))</f>
        <v>#N/A Requesting Data...</v>
      </c>
      <c r="M320" s="8" t="str">
        <f>IF($A320="","",IF(ISNUMBER(FIND("IMPVOL",M$1)),_xll.BDH(config!$G$4,M$1,WORKDAY($A320,-1,config_Holiday_Calendar_US),WORKDAY($A320,-1,config_Holiday_Calendar_US)),IF(ISNUMBER(_xll.BDH(config!$G$4,M$1,$A320,$A320)),_xll.BDH(config!$G$4,M$1,$A320,$A320),_xll.BDH(config!$G$5,M$1,$A320,$A320))))</f>
        <v>#N/A Requesting Data...</v>
      </c>
      <c r="N320" s="8" t="str">
        <f>IF($A320="","",IF(ISNUMBER(FIND("IMPVOL",N$1)),_xll.BDH(config!$G$4,N$1,WORKDAY($A320,-1,config_Holiday_Calendar_US),WORKDAY($A320,-1,config_Holiday_Calendar_US)),IF(ISNUMBER(_xll.BDH(config!$G$4,N$1,$A320,$A320)),_xll.BDH(config!$G$4,N$1,$A320,$A320),_xll.BDH(config!$G$5,N$1,$A320,$A320))))</f>
        <v>#N/A Requesting Data...</v>
      </c>
      <c r="O320" s="8" t="str">
        <f>IF($A320="","",IF(ISNUMBER(FIND("IMPVOL",O$1)),_xll.BDH(config!$G$4,O$1,WORKDAY($A320,-1,config_Holiday_Calendar_US),WORKDAY($A320,-1,config_Holiday_Calendar_US)),IF(ISNUMBER(_xll.BDH(config!$G$4,O$1,$A320,$A320)),_xll.BDH(config!$G$4,O$1,$A320,$A320),_xll.BDH(config!$G$5,O$1,$A320,$A320))))</f>
        <v>#N/A Requesting Data...</v>
      </c>
      <c r="P320" s="8" t="str">
        <f>IF($A320="","",IF(ISNUMBER(FIND("IMPVOL",P$1)),_xll.BDH(config!$G$4,P$1,WORKDAY($A320,-1,config_Holiday_Calendar_US),WORKDAY($A320,-1,config_Holiday_Calendar_US)),IF(ISNUMBER(_xll.BDH(config!$G$4,P$1,$A320,$A320)),_xll.BDH(config!$G$4,P$1,$A320,$A320),_xll.BDH(config!$G$5,P$1,$A320,$A320))))</f>
        <v>#N/A Requesting Data...</v>
      </c>
      <c r="Q320" s="8">
        <f>IF($A320="","",IF(ISNUMBER(FIND("IMPVOL",Q$1)),_xll.BDH(config!$G$4,Q$1,WORKDAY($A320,-1,config_Holiday_Calendar_US),WORKDAY($A320,-1,config_Holiday_Calendar_US)),IF(ISNUMBER(_xll.BDH(config!$G$4,Q$1,$A320,$A320)),_xll.BDH(config!$G$4,Q$1,$A320,$A320),_xll.BDH(config!$G$5,Q$1,$A320,$A320))))</f>
        <v>48</v>
      </c>
      <c r="R320" s="8">
        <f>IF($A320="","",IF(ISNUMBER(FIND("IMPVOL",R$1)),_xll.BDH(config!$G$4,R$1,WORKDAY($A320,-1,config_Holiday_Calendar_US),WORKDAY($A320,-1,config_Holiday_Calendar_US)),IF(ISNUMBER(_xll.BDH(config!$G$4,R$1,$A320,$A320)),_xll.BDH(config!$G$4,R$1,$A320,$A320),_xll.BDH(config!$G$5,R$1,$A320,$A320))))</f>
        <v>40.5</v>
      </c>
      <c r="S320" s="8" t="str">
        <f>IF($A320="","",IF(ISNUMBER(FIND("IMPVOL",S$1)),_xll.BDH(config!$G$4,S$1,WORKDAY($A320,-1,config_Holiday_Calendar_US),WORKDAY($A320,-1,config_Holiday_Calendar_US)),IF(ISNUMBER(_xll.BDH(config!$G$4,S$1,$A320,$A320)),_xll.BDH(config!$G$4,S$1,$A320,$A320),_xll.BDH(config!$G$5,S$1,$A320,$A320))))</f>
        <v>#N/A Requesting Data...</v>
      </c>
      <c r="T320" s="8" t="str">
        <f>IF($A320="","",IF(ISNUMBER(FIND("IMPVOL",T$1)),_xll.BDH(config!$G$4,T$1,WORKDAY($A320,-1,config_Holiday_Calendar_US),WORKDAY($A320,-1,config_Holiday_Calendar_US)),IF(ISNUMBER(_xll.BDH(config!$G$4,T$1,$A320,$A320)),_xll.BDH(config!$G$4,T$1,$A320,$A320),_xll.BDH(config!$G$5,T$1,$A320,$A320))))</f>
        <v>#N/A Requesting Data...</v>
      </c>
      <c r="U320" s="8" t="str">
        <f>IF($A320="","",IF(ISNUMBER(FIND("IMPVOL",U$1)),_xll.BDH(config!$G$4,U$1,WORKDAY($A320,-1,config_Holiday_Calendar_US),WORKDAY($A320,-1,config_Holiday_Calendar_US)),IF(ISNUMBER(_xll.BDH(config!$G$4,U$1,$A320,$A320)),_xll.BDH(config!$G$4,U$1,$A320,$A320),_xll.BDH(config!$G$5,U$1,$A320,$A320))))</f>
        <v>#N/A Requesting Data...</v>
      </c>
      <c r="V320" s="8" t="str">
        <f>IF($A320="","",IF(ISNUMBER(FIND("IMPVOL",V$1)),_xll.BDH(config!$G$4,V$1,WORKDAY($A320,-1,config_Holiday_Calendar_US),WORKDAY($A320,-1,config_Holiday_Calendar_US)),IF(ISNUMBER(_xll.BDH(config!$G$4,V$1,$A320,$A320)),_xll.BDH(config!$G$4,V$1,$A320,$A320),_xll.BDH(config!$G$5,V$1,$A320,$A320))))</f>
        <v>#N/A Requesting Data...</v>
      </c>
      <c r="W320" s="8" t="str">
        <f>IF($A320="","",IF(ISNUMBER(FIND("IMPVOL",W$1)),_xll.BDH(config!$G$4,W$1,WORKDAY($A320,-1,config_Holiday_Calendar_US),WORKDAY($A320,-1,config_Holiday_Calendar_US)),IF(ISNUMBER(_xll.BDH(config!$G$4,W$1,$A320,$A320)),_xll.BDH(config!$G$4,W$1,$A320,$A320),_xll.BDH(config!$G$5,W$1,$A320,$A320))))</f>
        <v>#N/A Requesting Data...</v>
      </c>
    </row>
    <row r="321" spans="1:23" x14ac:dyDescent="0.2">
      <c r="A321" s="9">
        <f>IF(A320="","",IF(WORKDAY(A320,-1,config_Holiday_Calendar_US)&lt;config!$I$10,"",WORKDAY(A320,-1,config_Holiday_Calendar_US)))</f>
        <v>42366</v>
      </c>
      <c r="B321" s="8" t="e">
        <f t="shared" si="4"/>
        <v>#VALUE!</v>
      </c>
      <c r="C321" s="8" t="str">
        <f>IF(A321="","",_xll.BDH(config!$H$4,C$1,$A321,$A321))</f>
        <v>#N/A Requesting Data...</v>
      </c>
      <c r="D321" s="8" t="str">
        <f>IF($A321="","",_xll.BDH(config!$H$4,D$1,$A321,$A321))</f>
        <v>#N/A Requesting Data...</v>
      </c>
      <c r="E321" s="8">
        <f>IF($A321="","",IF(ISNUMBER(FIND("IMPVOL",E$1)),_xll.BDH(config!$G$4,E$1,WORKDAY($A321,-1,config_Holiday_Calendar_US),WORKDAY($A321,-1,config_Holiday_Calendar_US)),IF(ISNUMBER(_xll.BDH(config!$G$4,E$1,$A321,$A321)),_xll.BDH(config!$G$4,E$1,$A321,$A321),_xll.BDH(config!$G$5,E$1,$A321,$A321))))</f>
        <v>38</v>
      </c>
      <c r="F321" s="8">
        <f>IF($A321="","",IF(ISNUMBER(FIND("IMPVOL",F$1)),_xll.BDH(config!$G$4,F$1,WORKDAY($A321,-1,config_Holiday_Calendar_US),WORKDAY($A321,-1,config_Holiday_Calendar_US)),IF(ISNUMBER(_xll.BDH(config!$G$4,F$1,$A321,$A321)),_xll.BDH(config!$G$4,F$1,$A321,$A321),_xll.BDH(config!$G$5,F$1,$A321,$A321))))</f>
        <v>38.090000000000003</v>
      </c>
      <c r="G321" s="8">
        <f>IF($A321="","",IF(ISNUMBER(FIND("IMPVOL",G$1)),_xll.BDH(config!$G$4,G$1,WORKDAY($A321,-1,config_Holiday_Calendar_US),WORKDAY($A321,-1,config_Holiday_Calendar_US)),IF(ISNUMBER(_xll.BDH(config!$G$4,G$1,$A321,$A321)),_xll.BDH(config!$G$4,G$1,$A321,$A321),_xll.BDH(config!$G$5,G$1,$A321,$A321))))</f>
        <v>37.619999999999997</v>
      </c>
      <c r="H321" s="8">
        <f>IF($A321="","",IF(ISNUMBER(FIND("IMPVOL",H$1)),_xll.BDH(config!$G$4,H$1,WORKDAY($A321,-1,config_Holiday_Calendar_US),WORKDAY($A321,-1,config_Holiday_Calendar_US)),IF(ISNUMBER(_xll.BDH(config!$G$4,H$1,$A321,$A321)),_xll.BDH(config!$G$4,H$1,$A321,$A321),_xll.BDH(config!$G$5,H$1,$A321,$A321))))</f>
        <v>49195</v>
      </c>
      <c r="I321" s="8" t="str">
        <f>IF($A321="","",IF(ISNUMBER(FIND("IMPVOL",I$1)),_xll.BDH(config!$G$4,I$1,WORKDAY($A321,-1,config_Holiday_Calendar_US),WORKDAY($A321,-1,config_Holiday_Calendar_US)),IF(ISNUMBER(_xll.BDH(config!$G$4,I$1,$A321,$A321)),_xll.BDH(config!$G$4,I$1,$A321,$A321),_xll.BDH(config!$G$5,I$1,$A321,$A321))))</f>
        <v>#N/A Requesting Data...</v>
      </c>
      <c r="J321" s="8" t="str">
        <f>IF($A321="","",IF(ISNUMBER(FIND("IMPVOL",J$1)),_xll.BDH(config!$G$4,J$1,WORKDAY($A321,-1,config_Holiday_Calendar_US),WORKDAY($A321,-1,config_Holiday_Calendar_US)),IF(ISNUMBER(_xll.BDH(config!$G$4,J$1,$A321,$A321)),_xll.BDH(config!$G$4,J$1,$A321,$A321),_xll.BDH(config!$G$5,J$1,$A321,$A321))))</f>
        <v>#N/A Requesting Data...</v>
      </c>
      <c r="K321" s="8" t="str">
        <f>IF($A321="","",IF(ISNUMBER(FIND("IMPVOL",K$1)),_xll.BDH(config!$G$4,K$1,WORKDAY($A321,-1,config_Holiday_Calendar_US),WORKDAY($A321,-1,config_Holiday_Calendar_US)),IF(ISNUMBER(_xll.BDH(config!$G$4,K$1,$A321,$A321)),_xll.BDH(config!$G$4,K$1,$A321,$A321),_xll.BDH(config!$G$5,K$1,$A321,$A321))))</f>
        <v>#N/A Requesting Data...</v>
      </c>
      <c r="L321" s="8" t="str">
        <f>IF($A321="","",IF(ISNUMBER(FIND("IMPVOL",L$1)),_xll.BDH(config!$G$4,L$1,WORKDAY($A321,-1,config_Holiday_Calendar_US),WORKDAY($A321,-1,config_Holiday_Calendar_US)),IF(ISNUMBER(_xll.BDH(config!$G$4,L$1,$A321,$A321)),_xll.BDH(config!$G$4,L$1,$A321,$A321),_xll.BDH(config!$G$5,L$1,$A321,$A321))))</f>
        <v>#N/A Requesting Data...</v>
      </c>
      <c r="M321" s="8" t="str">
        <f>IF($A321="","",IF(ISNUMBER(FIND("IMPVOL",M$1)),_xll.BDH(config!$G$4,M$1,WORKDAY($A321,-1,config_Holiday_Calendar_US),WORKDAY($A321,-1,config_Holiday_Calendar_US)),IF(ISNUMBER(_xll.BDH(config!$G$4,M$1,$A321,$A321)),_xll.BDH(config!$G$4,M$1,$A321,$A321),_xll.BDH(config!$G$5,M$1,$A321,$A321))))</f>
        <v>#N/A Requesting Data...</v>
      </c>
      <c r="N321" s="8" t="str">
        <f>IF($A321="","",IF(ISNUMBER(FIND("IMPVOL",N$1)),_xll.BDH(config!$G$4,N$1,WORKDAY($A321,-1,config_Holiday_Calendar_US),WORKDAY($A321,-1,config_Holiday_Calendar_US)),IF(ISNUMBER(_xll.BDH(config!$G$4,N$1,$A321,$A321)),_xll.BDH(config!$G$4,N$1,$A321,$A321),_xll.BDH(config!$G$5,N$1,$A321,$A321))))</f>
        <v>#N/A Requesting Data...</v>
      </c>
      <c r="O321" s="8" t="str">
        <f>IF($A321="","",IF(ISNUMBER(FIND("IMPVOL",O$1)),_xll.BDH(config!$G$4,O$1,WORKDAY($A321,-1,config_Holiday_Calendar_US),WORKDAY($A321,-1,config_Holiday_Calendar_US)),IF(ISNUMBER(_xll.BDH(config!$G$4,O$1,$A321,$A321)),_xll.BDH(config!$G$4,O$1,$A321,$A321),_xll.BDH(config!$G$5,O$1,$A321,$A321))))</f>
        <v>#N/A Requesting Data...</v>
      </c>
      <c r="P321" s="8" t="str">
        <f>IF($A321="","",IF(ISNUMBER(FIND("IMPVOL",P$1)),_xll.BDH(config!$G$4,P$1,WORKDAY($A321,-1,config_Holiday_Calendar_US),WORKDAY($A321,-1,config_Holiday_Calendar_US)),IF(ISNUMBER(_xll.BDH(config!$G$4,P$1,$A321,$A321)),_xll.BDH(config!$G$4,P$1,$A321,$A321),_xll.BDH(config!$G$5,P$1,$A321,$A321))))</f>
        <v>#N/A Requesting Data...</v>
      </c>
      <c r="Q321" s="8">
        <f>IF($A321="","",IF(ISNUMBER(FIND("IMPVOL",Q$1)),_xll.BDH(config!$G$4,Q$1,WORKDAY($A321,-1,config_Holiday_Calendar_US),WORKDAY($A321,-1,config_Holiday_Calendar_US)),IF(ISNUMBER(_xll.BDH(config!$G$4,Q$1,$A321,$A321)),_xll.BDH(config!$G$4,Q$1,$A321,$A321),_xll.BDH(config!$G$5,Q$1,$A321,$A321))))</f>
        <v>47.46</v>
      </c>
      <c r="R321" s="8">
        <f>IF($A321="","",IF(ISNUMBER(FIND("IMPVOL",R$1)),_xll.BDH(config!$G$4,R$1,WORKDAY($A321,-1,config_Holiday_Calendar_US),WORKDAY($A321,-1,config_Holiday_Calendar_US)),IF(ISNUMBER(_xll.BDH(config!$G$4,R$1,$A321,$A321)),_xll.BDH(config!$G$4,R$1,$A321,$A321),_xll.BDH(config!$G$5,R$1,$A321,$A321))))</f>
        <v>39.99</v>
      </c>
      <c r="S321" s="8" t="str">
        <f>IF($A321="","",IF(ISNUMBER(FIND("IMPVOL",S$1)),_xll.BDH(config!$G$4,S$1,WORKDAY($A321,-1,config_Holiday_Calendar_US),WORKDAY($A321,-1,config_Holiday_Calendar_US)),IF(ISNUMBER(_xll.BDH(config!$G$4,S$1,$A321,$A321)),_xll.BDH(config!$G$4,S$1,$A321,$A321),_xll.BDH(config!$G$5,S$1,$A321,$A321))))</f>
        <v>#N/A Requesting Data...</v>
      </c>
      <c r="T321" s="8" t="str">
        <f>IF($A321="","",IF(ISNUMBER(FIND("IMPVOL",T$1)),_xll.BDH(config!$G$4,T$1,WORKDAY($A321,-1,config_Holiday_Calendar_US),WORKDAY($A321,-1,config_Holiday_Calendar_US)),IF(ISNUMBER(_xll.BDH(config!$G$4,T$1,$A321,$A321)),_xll.BDH(config!$G$4,T$1,$A321,$A321),_xll.BDH(config!$G$5,T$1,$A321,$A321))))</f>
        <v>#N/A Requesting Data...</v>
      </c>
      <c r="U321" s="8" t="str">
        <f>IF($A321="","",IF(ISNUMBER(FIND("IMPVOL",U$1)),_xll.BDH(config!$G$4,U$1,WORKDAY($A321,-1,config_Holiday_Calendar_US),WORKDAY($A321,-1,config_Holiday_Calendar_US)),IF(ISNUMBER(_xll.BDH(config!$G$4,U$1,$A321,$A321)),_xll.BDH(config!$G$4,U$1,$A321,$A321),_xll.BDH(config!$G$5,U$1,$A321,$A321))))</f>
        <v>#N/A Requesting Data...</v>
      </c>
      <c r="V321" s="8" t="str">
        <f>IF($A321="","",IF(ISNUMBER(FIND("IMPVOL",V$1)),_xll.BDH(config!$G$4,V$1,WORKDAY($A321,-1,config_Holiday_Calendar_US),WORKDAY($A321,-1,config_Holiday_Calendar_US)),IF(ISNUMBER(_xll.BDH(config!$G$4,V$1,$A321,$A321)),_xll.BDH(config!$G$4,V$1,$A321,$A321),_xll.BDH(config!$G$5,V$1,$A321,$A321))))</f>
        <v>#N/A Requesting Data...</v>
      </c>
      <c r="W321" s="8" t="str">
        <f>IF($A321="","",IF(ISNUMBER(FIND("IMPVOL",W$1)),_xll.BDH(config!$G$4,W$1,WORKDAY($A321,-1,config_Holiday_Calendar_US),WORKDAY($A321,-1,config_Holiday_Calendar_US)),IF(ISNUMBER(_xll.BDH(config!$G$4,W$1,$A321,$A321)),_xll.BDH(config!$G$4,W$1,$A321,$A321),_xll.BDH(config!$G$5,W$1,$A321,$A321))))</f>
        <v>#N/A Requesting Data...</v>
      </c>
    </row>
    <row r="322" spans="1:23" x14ac:dyDescent="0.2">
      <c r="A322" s="9">
        <f>IF(A321="","",IF(WORKDAY(A321,-1,config_Holiday_Calendar_US)&lt;config!$I$10,"",WORKDAY(A321,-1,config_Holiday_Calendar_US)))</f>
        <v>42362</v>
      </c>
      <c r="B322" s="8" t="e">
        <f t="shared" si="4"/>
        <v>#VALUE!</v>
      </c>
      <c r="C322" s="8" t="str">
        <f>IF(A322="","",_xll.BDH(config!$H$4,C$1,$A322,$A322))</f>
        <v>#N/A Requesting Data...</v>
      </c>
      <c r="D322" s="8" t="str">
        <f>IF($A322="","",_xll.BDH(config!$H$4,D$1,$A322,$A322))</f>
        <v>#N/A Requesting Data...</v>
      </c>
      <c r="E322" s="8">
        <f>IF($A322="","",IF(ISNUMBER(FIND("IMPVOL",E$1)),_xll.BDH(config!$G$4,E$1,WORKDAY($A322,-1,config_Holiday_Calendar_US),WORKDAY($A322,-1,config_Holiday_Calendar_US)),IF(ISNUMBER(_xll.BDH(config!$G$4,E$1,$A322,$A322)),_xll.BDH(config!$G$4,E$1,$A322,$A322),_xll.BDH(config!$G$5,E$1,$A322,$A322))))</f>
        <v>37.86</v>
      </c>
      <c r="F322" s="8">
        <f>IF($A322="","",IF(ISNUMBER(FIND("IMPVOL",F$1)),_xll.BDH(config!$G$4,F$1,WORKDAY($A322,-1,config_Holiday_Calendar_US),WORKDAY($A322,-1,config_Holiday_Calendar_US)),IF(ISNUMBER(_xll.BDH(config!$G$4,F$1,$A322,$A322)),_xll.BDH(config!$G$4,F$1,$A322,$A322),_xll.BDH(config!$G$5,F$1,$A322,$A322))))</f>
        <v>38.28</v>
      </c>
      <c r="G322" s="8">
        <f>IF($A322="","",IF(ISNUMBER(FIND("IMPVOL",G$1)),_xll.BDH(config!$G$4,G$1,WORKDAY($A322,-1,config_Holiday_Calendar_US),WORKDAY($A322,-1,config_Holiday_Calendar_US)),IF(ISNUMBER(_xll.BDH(config!$G$4,G$1,$A322,$A322)),_xll.BDH(config!$G$4,G$1,$A322,$A322),_xll.BDH(config!$G$5,G$1,$A322,$A322))))</f>
        <v>38.28</v>
      </c>
      <c r="H322" s="8">
        <f>IF($A322="","",IF(ISNUMBER(FIND("IMPVOL",H$1)),_xll.BDH(config!$G$4,H$1,WORKDAY($A322,-1,config_Holiday_Calendar_US),WORKDAY($A322,-1,config_Holiday_Calendar_US)),IF(ISNUMBER(_xll.BDH(config!$G$4,H$1,$A322,$A322)),_xll.BDH(config!$G$4,H$1,$A322,$A322),_xll.BDH(config!$G$5,H$1,$A322,$A322))))</f>
        <v>46669</v>
      </c>
      <c r="I322" s="8" t="str">
        <f>IF($A322="","",IF(ISNUMBER(FIND("IMPVOL",I$1)),_xll.BDH(config!$G$4,I$1,WORKDAY($A322,-1,config_Holiday_Calendar_US),WORKDAY($A322,-1,config_Holiday_Calendar_US)),IF(ISNUMBER(_xll.BDH(config!$G$4,I$1,$A322,$A322)),_xll.BDH(config!$G$4,I$1,$A322,$A322),_xll.BDH(config!$G$5,I$1,$A322,$A322))))</f>
        <v>#N/A Requesting Data...</v>
      </c>
      <c r="J322" s="8" t="str">
        <f>IF($A322="","",IF(ISNUMBER(FIND("IMPVOL",J$1)),_xll.BDH(config!$G$4,J$1,WORKDAY($A322,-1,config_Holiday_Calendar_US),WORKDAY($A322,-1,config_Holiday_Calendar_US)),IF(ISNUMBER(_xll.BDH(config!$G$4,J$1,$A322,$A322)),_xll.BDH(config!$G$4,J$1,$A322,$A322),_xll.BDH(config!$G$5,J$1,$A322,$A322))))</f>
        <v>#N/A Requesting Data...</v>
      </c>
      <c r="K322" s="8" t="str">
        <f>IF($A322="","",IF(ISNUMBER(FIND("IMPVOL",K$1)),_xll.BDH(config!$G$4,K$1,WORKDAY($A322,-1,config_Holiday_Calendar_US),WORKDAY($A322,-1,config_Holiday_Calendar_US)),IF(ISNUMBER(_xll.BDH(config!$G$4,K$1,$A322,$A322)),_xll.BDH(config!$G$4,K$1,$A322,$A322),_xll.BDH(config!$G$5,K$1,$A322,$A322))))</f>
        <v>#N/A Requesting Data...</v>
      </c>
      <c r="L322" s="8" t="str">
        <f>IF($A322="","",IF(ISNUMBER(FIND("IMPVOL",L$1)),_xll.BDH(config!$G$4,L$1,WORKDAY($A322,-1,config_Holiday_Calendar_US),WORKDAY($A322,-1,config_Holiday_Calendar_US)),IF(ISNUMBER(_xll.BDH(config!$G$4,L$1,$A322,$A322)),_xll.BDH(config!$G$4,L$1,$A322,$A322),_xll.BDH(config!$G$5,L$1,$A322,$A322))))</f>
        <v>#N/A Requesting Data...</v>
      </c>
      <c r="M322" s="8" t="str">
        <f>IF($A322="","",IF(ISNUMBER(FIND("IMPVOL",M$1)),_xll.BDH(config!$G$4,M$1,WORKDAY($A322,-1,config_Holiday_Calendar_US),WORKDAY($A322,-1,config_Holiday_Calendar_US)),IF(ISNUMBER(_xll.BDH(config!$G$4,M$1,$A322,$A322)),_xll.BDH(config!$G$4,M$1,$A322,$A322),_xll.BDH(config!$G$5,M$1,$A322,$A322))))</f>
        <v>#N/A Requesting Data...</v>
      </c>
      <c r="N322" s="8" t="str">
        <f>IF($A322="","",IF(ISNUMBER(FIND("IMPVOL",N$1)),_xll.BDH(config!$G$4,N$1,WORKDAY($A322,-1,config_Holiday_Calendar_US),WORKDAY($A322,-1,config_Holiday_Calendar_US)),IF(ISNUMBER(_xll.BDH(config!$G$4,N$1,$A322,$A322)),_xll.BDH(config!$G$4,N$1,$A322,$A322),_xll.BDH(config!$G$5,N$1,$A322,$A322))))</f>
        <v>#N/A Requesting Data...</v>
      </c>
      <c r="O322" s="8" t="str">
        <f>IF($A322="","",IF(ISNUMBER(FIND("IMPVOL",O$1)),_xll.BDH(config!$G$4,O$1,WORKDAY($A322,-1,config_Holiday_Calendar_US),WORKDAY($A322,-1,config_Holiday_Calendar_US)),IF(ISNUMBER(_xll.BDH(config!$G$4,O$1,$A322,$A322)),_xll.BDH(config!$G$4,O$1,$A322,$A322),_xll.BDH(config!$G$5,O$1,$A322,$A322))))</f>
        <v>#N/A Requesting Data...</v>
      </c>
      <c r="P322" s="8" t="str">
        <f>IF($A322="","",IF(ISNUMBER(FIND("IMPVOL",P$1)),_xll.BDH(config!$G$4,P$1,WORKDAY($A322,-1,config_Holiday_Calendar_US),WORKDAY($A322,-1,config_Holiday_Calendar_US)),IF(ISNUMBER(_xll.BDH(config!$G$4,P$1,$A322,$A322)),_xll.BDH(config!$G$4,P$1,$A322,$A322),_xll.BDH(config!$G$5,P$1,$A322,$A322))))</f>
        <v>#N/A Requesting Data...</v>
      </c>
      <c r="Q322" s="8">
        <f>IF($A322="","",IF(ISNUMBER(FIND("IMPVOL",Q$1)),_xll.BDH(config!$G$4,Q$1,WORKDAY($A322,-1,config_Holiday_Calendar_US),WORKDAY($A322,-1,config_Holiday_Calendar_US)),IF(ISNUMBER(_xll.BDH(config!$G$4,Q$1,$A322,$A322)),_xll.BDH(config!$G$4,Q$1,$A322,$A322),_xll.BDH(config!$G$5,Q$1,$A322,$A322))))</f>
        <v>42.78</v>
      </c>
      <c r="R322" s="8">
        <f>IF($A322="","",IF(ISNUMBER(FIND("IMPVOL",R$1)),_xll.BDH(config!$G$4,R$1,WORKDAY($A322,-1,config_Holiday_Calendar_US),WORKDAY($A322,-1,config_Holiday_Calendar_US)),IF(ISNUMBER(_xll.BDH(config!$G$4,R$1,$A322,$A322)),_xll.BDH(config!$G$4,R$1,$A322,$A322),_xll.BDH(config!$G$5,R$1,$A322,$A322))))</f>
        <v>39.43</v>
      </c>
      <c r="S322" s="8" t="str">
        <f>IF($A322="","",IF(ISNUMBER(FIND("IMPVOL",S$1)),_xll.BDH(config!$G$4,S$1,WORKDAY($A322,-1,config_Holiday_Calendar_US),WORKDAY($A322,-1,config_Holiday_Calendar_US)),IF(ISNUMBER(_xll.BDH(config!$G$4,S$1,$A322,$A322)),_xll.BDH(config!$G$4,S$1,$A322,$A322),_xll.BDH(config!$G$5,S$1,$A322,$A322))))</f>
        <v>#N/A Requesting Data...</v>
      </c>
      <c r="T322" s="8" t="str">
        <f>IF($A322="","",IF(ISNUMBER(FIND("IMPVOL",T$1)),_xll.BDH(config!$G$4,T$1,WORKDAY($A322,-1,config_Holiday_Calendar_US),WORKDAY($A322,-1,config_Holiday_Calendar_US)),IF(ISNUMBER(_xll.BDH(config!$G$4,T$1,$A322,$A322)),_xll.BDH(config!$G$4,T$1,$A322,$A322),_xll.BDH(config!$G$5,T$1,$A322,$A322))))</f>
        <v>#N/A Requesting Data...</v>
      </c>
      <c r="U322" s="8" t="str">
        <f>IF($A322="","",IF(ISNUMBER(FIND("IMPVOL",U$1)),_xll.BDH(config!$G$4,U$1,WORKDAY($A322,-1,config_Holiday_Calendar_US),WORKDAY($A322,-1,config_Holiday_Calendar_US)),IF(ISNUMBER(_xll.BDH(config!$G$4,U$1,$A322,$A322)),_xll.BDH(config!$G$4,U$1,$A322,$A322),_xll.BDH(config!$G$5,U$1,$A322,$A322))))</f>
        <v>#N/A Requesting Data...</v>
      </c>
      <c r="V322" s="8" t="str">
        <f>IF($A322="","",IF(ISNUMBER(FIND("IMPVOL",V$1)),_xll.BDH(config!$G$4,V$1,WORKDAY($A322,-1,config_Holiday_Calendar_US),WORKDAY($A322,-1,config_Holiday_Calendar_US)),IF(ISNUMBER(_xll.BDH(config!$G$4,V$1,$A322,$A322)),_xll.BDH(config!$G$4,V$1,$A322,$A322),_xll.BDH(config!$G$5,V$1,$A322,$A322))))</f>
        <v>#N/A Requesting Data...</v>
      </c>
      <c r="W322" s="8" t="str">
        <f>IF($A322="","",IF(ISNUMBER(FIND("IMPVOL",W$1)),_xll.BDH(config!$G$4,W$1,WORKDAY($A322,-1,config_Holiday_Calendar_US),WORKDAY($A322,-1,config_Holiday_Calendar_US)),IF(ISNUMBER(_xll.BDH(config!$G$4,W$1,$A322,$A322)),_xll.BDH(config!$G$4,W$1,$A322,$A322),_xll.BDH(config!$G$5,W$1,$A322,$A322))))</f>
        <v>#N/A Requesting Data...</v>
      </c>
    </row>
    <row r="323" spans="1:23" x14ac:dyDescent="0.2">
      <c r="A323" s="9">
        <f>IF(A322="","",IF(WORKDAY(A322,-1,config_Holiday_Calendar_US)&lt;config!$I$10,"",WORKDAY(A322,-1,config_Holiday_Calendar_US)))</f>
        <v>42361</v>
      </c>
      <c r="B323" s="8" t="e">
        <f t="shared" ref="B323:B386" si="5">IF(A323="","",IF(SIGN(C323)=1,1,0))</f>
        <v>#VALUE!</v>
      </c>
      <c r="C323" s="8" t="str">
        <f>IF(A323="","",_xll.BDH(config!$H$4,C$1,$A323,$A323))</f>
        <v>#N/A Requesting Data...</v>
      </c>
      <c r="D323" s="8" t="str">
        <f>IF($A323="","",_xll.BDH(config!$H$4,D$1,$A323,$A323))</f>
        <v>#N/A Requesting Data...</v>
      </c>
      <c r="E323" s="8">
        <f>IF($A323="","",IF(ISNUMBER(FIND("IMPVOL",E$1)),_xll.BDH(config!$G$4,E$1,WORKDAY($A323,-1,config_Holiday_Calendar_US),WORKDAY($A323,-1,config_Holiday_Calendar_US)),IF(ISNUMBER(_xll.BDH(config!$G$4,E$1,$A323,$A323)),_xll.BDH(config!$G$4,E$1,$A323,$A323),_xll.BDH(config!$G$5,E$1,$A323,$A323))))</f>
        <v>36.47</v>
      </c>
      <c r="F323" s="8">
        <f>IF($A323="","",IF(ISNUMBER(FIND("IMPVOL",F$1)),_xll.BDH(config!$G$4,F$1,WORKDAY($A323,-1,config_Holiday_Calendar_US),WORKDAY($A323,-1,config_Holiday_Calendar_US)),IF(ISNUMBER(_xll.BDH(config!$G$4,F$1,$A323,$A323)),_xll.BDH(config!$G$4,F$1,$A323,$A323),_xll.BDH(config!$G$5,F$1,$A323,$A323))))</f>
        <v>37.950000000000003</v>
      </c>
      <c r="G323" s="8">
        <f>IF($A323="","",IF(ISNUMBER(FIND("IMPVOL",G$1)),_xll.BDH(config!$G$4,G$1,WORKDAY($A323,-1,config_Holiday_Calendar_US),WORKDAY($A323,-1,config_Holiday_Calendar_US)),IF(ISNUMBER(_xll.BDH(config!$G$4,G$1,$A323,$A323)),_xll.BDH(config!$G$4,G$1,$A323,$A323),_xll.BDH(config!$G$5,G$1,$A323,$A323))))</f>
        <v>37.21</v>
      </c>
      <c r="H323" s="8">
        <f>IF($A323="","",IF(ISNUMBER(FIND("IMPVOL",H$1)),_xll.BDH(config!$G$4,H$1,WORKDAY($A323,-1,config_Holiday_Calendar_US),WORKDAY($A323,-1,config_Holiday_Calendar_US)),IF(ISNUMBER(_xll.BDH(config!$G$4,H$1,$A323,$A323)),_xll.BDH(config!$G$4,H$1,$A323,$A323),_xll.BDH(config!$G$5,H$1,$A323,$A323))))</f>
        <v>97650</v>
      </c>
      <c r="I323" s="8" t="str">
        <f>IF($A323="","",IF(ISNUMBER(FIND("IMPVOL",I$1)),_xll.BDH(config!$G$4,I$1,WORKDAY($A323,-1,config_Holiday_Calendar_US),WORKDAY($A323,-1,config_Holiday_Calendar_US)),IF(ISNUMBER(_xll.BDH(config!$G$4,I$1,$A323,$A323)),_xll.BDH(config!$G$4,I$1,$A323,$A323),_xll.BDH(config!$G$5,I$1,$A323,$A323))))</f>
        <v>#N/A Requesting Data...</v>
      </c>
      <c r="J323" s="8" t="str">
        <f>IF($A323="","",IF(ISNUMBER(FIND("IMPVOL",J$1)),_xll.BDH(config!$G$4,J$1,WORKDAY($A323,-1,config_Holiday_Calendar_US),WORKDAY($A323,-1,config_Holiday_Calendar_US)),IF(ISNUMBER(_xll.BDH(config!$G$4,J$1,$A323,$A323)),_xll.BDH(config!$G$4,J$1,$A323,$A323),_xll.BDH(config!$G$5,J$1,$A323,$A323))))</f>
        <v>#N/A Requesting Data...</v>
      </c>
      <c r="K323" s="8" t="str">
        <f>IF($A323="","",IF(ISNUMBER(FIND("IMPVOL",K$1)),_xll.BDH(config!$G$4,K$1,WORKDAY($A323,-1,config_Holiday_Calendar_US),WORKDAY($A323,-1,config_Holiday_Calendar_US)),IF(ISNUMBER(_xll.BDH(config!$G$4,K$1,$A323,$A323)),_xll.BDH(config!$G$4,K$1,$A323,$A323),_xll.BDH(config!$G$5,K$1,$A323,$A323))))</f>
        <v>#N/A Requesting Data...</v>
      </c>
      <c r="L323" s="8" t="str">
        <f>IF($A323="","",IF(ISNUMBER(FIND("IMPVOL",L$1)),_xll.BDH(config!$G$4,L$1,WORKDAY($A323,-1,config_Holiday_Calendar_US),WORKDAY($A323,-1,config_Holiday_Calendar_US)),IF(ISNUMBER(_xll.BDH(config!$G$4,L$1,$A323,$A323)),_xll.BDH(config!$G$4,L$1,$A323,$A323),_xll.BDH(config!$G$5,L$1,$A323,$A323))))</f>
        <v>#N/A Requesting Data...</v>
      </c>
      <c r="M323" s="8" t="str">
        <f>IF($A323="","",IF(ISNUMBER(FIND("IMPVOL",M$1)),_xll.BDH(config!$G$4,M$1,WORKDAY($A323,-1,config_Holiday_Calendar_US),WORKDAY($A323,-1,config_Holiday_Calendar_US)),IF(ISNUMBER(_xll.BDH(config!$G$4,M$1,$A323,$A323)),_xll.BDH(config!$G$4,M$1,$A323,$A323),_xll.BDH(config!$G$5,M$1,$A323,$A323))))</f>
        <v>#N/A Requesting Data...</v>
      </c>
      <c r="N323" s="8" t="str">
        <f>IF($A323="","",IF(ISNUMBER(FIND("IMPVOL",N$1)),_xll.BDH(config!$G$4,N$1,WORKDAY($A323,-1,config_Holiday_Calendar_US),WORKDAY($A323,-1,config_Holiday_Calendar_US)),IF(ISNUMBER(_xll.BDH(config!$G$4,N$1,$A323,$A323)),_xll.BDH(config!$G$4,N$1,$A323,$A323),_xll.BDH(config!$G$5,N$1,$A323,$A323))))</f>
        <v>#N/A Requesting Data...</v>
      </c>
      <c r="O323" s="8" t="str">
        <f>IF($A323="","",IF(ISNUMBER(FIND("IMPVOL",O$1)),_xll.BDH(config!$G$4,O$1,WORKDAY($A323,-1,config_Holiday_Calendar_US),WORKDAY($A323,-1,config_Holiday_Calendar_US)),IF(ISNUMBER(_xll.BDH(config!$G$4,O$1,$A323,$A323)),_xll.BDH(config!$G$4,O$1,$A323,$A323),_xll.BDH(config!$G$5,O$1,$A323,$A323))))</f>
        <v>#N/A Requesting Data...</v>
      </c>
      <c r="P323" s="8" t="str">
        <f>IF($A323="","",IF(ISNUMBER(FIND("IMPVOL",P$1)),_xll.BDH(config!$G$4,P$1,WORKDAY($A323,-1,config_Holiday_Calendar_US),WORKDAY($A323,-1,config_Holiday_Calendar_US)),IF(ISNUMBER(_xll.BDH(config!$G$4,P$1,$A323,$A323)),_xll.BDH(config!$G$4,P$1,$A323,$A323),_xll.BDH(config!$G$5,P$1,$A323,$A323))))</f>
        <v>#N/A Requesting Data...</v>
      </c>
      <c r="Q323" s="8">
        <f>IF($A323="","",IF(ISNUMBER(FIND("IMPVOL",Q$1)),_xll.BDH(config!$G$4,Q$1,WORKDAY($A323,-1,config_Holiday_Calendar_US),WORKDAY($A323,-1,config_Holiday_Calendar_US)),IF(ISNUMBER(_xll.BDH(config!$G$4,Q$1,$A323,$A323)),_xll.BDH(config!$G$4,Q$1,$A323,$A323),_xll.BDH(config!$G$5,Q$1,$A323,$A323))))</f>
        <v>46.14</v>
      </c>
      <c r="R323" s="8">
        <f>IF($A323="","",IF(ISNUMBER(FIND("IMPVOL",R$1)),_xll.BDH(config!$G$4,R$1,WORKDAY($A323,-1,config_Holiday_Calendar_US),WORKDAY($A323,-1,config_Holiday_Calendar_US)),IF(ISNUMBER(_xll.BDH(config!$G$4,R$1,$A323,$A323)),_xll.BDH(config!$G$4,R$1,$A323,$A323),_xll.BDH(config!$G$5,R$1,$A323,$A323))))</f>
        <v>39.479999999999997</v>
      </c>
      <c r="S323" s="8" t="str">
        <f>IF($A323="","",IF(ISNUMBER(FIND("IMPVOL",S$1)),_xll.BDH(config!$G$4,S$1,WORKDAY($A323,-1,config_Holiday_Calendar_US),WORKDAY($A323,-1,config_Holiday_Calendar_US)),IF(ISNUMBER(_xll.BDH(config!$G$4,S$1,$A323,$A323)),_xll.BDH(config!$G$4,S$1,$A323,$A323),_xll.BDH(config!$G$5,S$1,$A323,$A323))))</f>
        <v>#N/A Requesting Data...</v>
      </c>
      <c r="T323" s="8" t="str">
        <f>IF($A323="","",IF(ISNUMBER(FIND("IMPVOL",T$1)),_xll.BDH(config!$G$4,T$1,WORKDAY($A323,-1,config_Holiday_Calendar_US),WORKDAY($A323,-1,config_Holiday_Calendar_US)),IF(ISNUMBER(_xll.BDH(config!$G$4,T$1,$A323,$A323)),_xll.BDH(config!$G$4,T$1,$A323,$A323),_xll.BDH(config!$G$5,T$1,$A323,$A323))))</f>
        <v>#N/A Requesting Data...</v>
      </c>
      <c r="U323" s="8" t="str">
        <f>IF($A323="","",IF(ISNUMBER(FIND("IMPVOL",U$1)),_xll.BDH(config!$G$4,U$1,WORKDAY($A323,-1,config_Holiday_Calendar_US),WORKDAY($A323,-1,config_Holiday_Calendar_US)),IF(ISNUMBER(_xll.BDH(config!$G$4,U$1,$A323,$A323)),_xll.BDH(config!$G$4,U$1,$A323,$A323),_xll.BDH(config!$G$5,U$1,$A323,$A323))))</f>
        <v>#N/A Requesting Data...</v>
      </c>
      <c r="V323" s="8" t="str">
        <f>IF($A323="","",IF(ISNUMBER(FIND("IMPVOL",V$1)),_xll.BDH(config!$G$4,V$1,WORKDAY($A323,-1,config_Holiday_Calendar_US),WORKDAY($A323,-1,config_Holiday_Calendar_US)),IF(ISNUMBER(_xll.BDH(config!$G$4,V$1,$A323,$A323)),_xll.BDH(config!$G$4,V$1,$A323,$A323),_xll.BDH(config!$G$5,V$1,$A323,$A323))))</f>
        <v>#N/A Requesting Data...</v>
      </c>
      <c r="W323" s="8" t="str">
        <f>IF($A323="","",IF(ISNUMBER(FIND("IMPVOL",W$1)),_xll.BDH(config!$G$4,W$1,WORKDAY($A323,-1,config_Holiday_Calendar_US),WORKDAY($A323,-1,config_Holiday_Calendar_US)),IF(ISNUMBER(_xll.BDH(config!$G$4,W$1,$A323,$A323)),_xll.BDH(config!$G$4,W$1,$A323,$A323),_xll.BDH(config!$G$5,W$1,$A323,$A323))))</f>
        <v>#N/A Requesting Data...</v>
      </c>
    </row>
    <row r="324" spans="1:23" x14ac:dyDescent="0.2">
      <c r="A324" s="9">
        <f>IF(A323="","",IF(WORKDAY(A323,-1,config_Holiday_Calendar_US)&lt;config!$I$10,"",WORKDAY(A323,-1,config_Holiday_Calendar_US)))</f>
        <v>42360</v>
      </c>
      <c r="B324" s="8" t="e">
        <f t="shared" si="5"/>
        <v>#VALUE!</v>
      </c>
      <c r="C324" s="8" t="str">
        <f>IF(A324="","",_xll.BDH(config!$H$4,C$1,$A324,$A324))</f>
        <v>#N/A Requesting Data...</v>
      </c>
      <c r="D324" s="8" t="str">
        <f>IF($A324="","",_xll.BDH(config!$H$4,D$1,$A324,$A324))</f>
        <v>#N/A Requesting Data...</v>
      </c>
      <c r="E324" s="8">
        <f>IF($A324="","",IF(ISNUMBER(FIND("IMPVOL",E$1)),_xll.BDH(config!$G$4,E$1,WORKDAY($A324,-1,config_Holiday_Calendar_US),WORKDAY($A324,-1,config_Holiday_Calendar_US)),IF(ISNUMBER(_xll.BDH(config!$G$4,E$1,$A324,$A324)),_xll.BDH(config!$G$4,E$1,$A324,$A324),_xll.BDH(config!$G$5,E$1,$A324,$A324))))</f>
        <v>35.799999999999997</v>
      </c>
      <c r="F324" s="8">
        <f>IF($A324="","",IF(ISNUMBER(FIND("IMPVOL",F$1)),_xll.BDH(config!$G$4,F$1,WORKDAY($A324,-1,config_Holiday_Calendar_US),WORKDAY($A324,-1,config_Holiday_Calendar_US)),IF(ISNUMBER(_xll.BDH(config!$G$4,F$1,$A324,$A324)),_xll.BDH(config!$G$4,F$1,$A324,$A324),_xll.BDH(config!$G$5,F$1,$A324,$A324))))</f>
        <v>36.54</v>
      </c>
      <c r="G324" s="8">
        <f>IF($A324="","",IF(ISNUMBER(FIND("IMPVOL",G$1)),_xll.BDH(config!$G$4,G$1,WORKDAY($A324,-1,config_Holiday_Calendar_US),WORKDAY($A324,-1,config_Holiday_Calendar_US)),IF(ISNUMBER(_xll.BDH(config!$G$4,G$1,$A324,$A324)),_xll.BDH(config!$G$4,G$1,$A324,$A324),_xll.BDH(config!$G$5,G$1,$A324,$A324))))</f>
        <v>36.69</v>
      </c>
      <c r="H324" s="8">
        <f>IF($A324="","",IF(ISNUMBER(FIND("IMPVOL",H$1)),_xll.BDH(config!$G$4,H$1,WORKDAY($A324,-1,config_Holiday_Calendar_US),WORKDAY($A324,-1,config_Holiday_Calendar_US)),IF(ISNUMBER(_xll.BDH(config!$G$4,H$1,$A324,$A324)),_xll.BDH(config!$G$4,H$1,$A324,$A324),_xll.BDH(config!$G$5,H$1,$A324,$A324))))</f>
        <v>87271</v>
      </c>
      <c r="I324" s="8" t="str">
        <f>IF($A324="","",IF(ISNUMBER(FIND("IMPVOL",I$1)),_xll.BDH(config!$G$4,I$1,WORKDAY($A324,-1,config_Holiday_Calendar_US),WORKDAY($A324,-1,config_Holiday_Calendar_US)),IF(ISNUMBER(_xll.BDH(config!$G$4,I$1,$A324,$A324)),_xll.BDH(config!$G$4,I$1,$A324,$A324),_xll.BDH(config!$G$5,I$1,$A324,$A324))))</f>
        <v>#N/A Requesting Data...</v>
      </c>
      <c r="J324" s="8" t="str">
        <f>IF($A324="","",IF(ISNUMBER(FIND("IMPVOL",J$1)),_xll.BDH(config!$G$4,J$1,WORKDAY($A324,-1,config_Holiday_Calendar_US),WORKDAY($A324,-1,config_Holiday_Calendar_US)),IF(ISNUMBER(_xll.BDH(config!$G$4,J$1,$A324,$A324)),_xll.BDH(config!$G$4,J$1,$A324,$A324),_xll.BDH(config!$G$5,J$1,$A324,$A324))))</f>
        <v>#N/A Requesting Data...</v>
      </c>
      <c r="K324" s="8" t="str">
        <f>IF($A324="","",IF(ISNUMBER(FIND("IMPVOL",K$1)),_xll.BDH(config!$G$4,K$1,WORKDAY($A324,-1,config_Holiday_Calendar_US),WORKDAY($A324,-1,config_Holiday_Calendar_US)),IF(ISNUMBER(_xll.BDH(config!$G$4,K$1,$A324,$A324)),_xll.BDH(config!$G$4,K$1,$A324,$A324),_xll.BDH(config!$G$5,K$1,$A324,$A324))))</f>
        <v>#N/A Requesting Data...</v>
      </c>
      <c r="L324" s="8" t="str">
        <f>IF($A324="","",IF(ISNUMBER(FIND("IMPVOL",L$1)),_xll.BDH(config!$G$4,L$1,WORKDAY($A324,-1,config_Holiday_Calendar_US),WORKDAY($A324,-1,config_Holiday_Calendar_US)),IF(ISNUMBER(_xll.BDH(config!$G$4,L$1,$A324,$A324)),_xll.BDH(config!$G$4,L$1,$A324,$A324),_xll.BDH(config!$G$5,L$1,$A324,$A324))))</f>
        <v>#N/A Requesting Data...</v>
      </c>
      <c r="M324" s="8" t="str">
        <f>IF($A324="","",IF(ISNUMBER(FIND("IMPVOL",M$1)),_xll.BDH(config!$G$4,M$1,WORKDAY($A324,-1,config_Holiday_Calendar_US),WORKDAY($A324,-1,config_Holiday_Calendar_US)),IF(ISNUMBER(_xll.BDH(config!$G$4,M$1,$A324,$A324)),_xll.BDH(config!$G$4,M$1,$A324,$A324),_xll.BDH(config!$G$5,M$1,$A324,$A324))))</f>
        <v>#N/A Requesting Data...</v>
      </c>
      <c r="N324" s="8" t="str">
        <f>IF($A324="","",IF(ISNUMBER(FIND("IMPVOL",N$1)),_xll.BDH(config!$G$4,N$1,WORKDAY($A324,-1,config_Holiday_Calendar_US),WORKDAY($A324,-1,config_Holiday_Calendar_US)),IF(ISNUMBER(_xll.BDH(config!$G$4,N$1,$A324,$A324)),_xll.BDH(config!$G$4,N$1,$A324,$A324),_xll.BDH(config!$G$5,N$1,$A324,$A324))))</f>
        <v>#N/A Requesting Data...</v>
      </c>
      <c r="O324" s="8" t="str">
        <f>IF($A324="","",IF(ISNUMBER(FIND("IMPVOL",O$1)),_xll.BDH(config!$G$4,O$1,WORKDAY($A324,-1,config_Holiday_Calendar_US),WORKDAY($A324,-1,config_Holiday_Calendar_US)),IF(ISNUMBER(_xll.BDH(config!$G$4,O$1,$A324,$A324)),_xll.BDH(config!$G$4,O$1,$A324,$A324),_xll.BDH(config!$G$5,O$1,$A324,$A324))))</f>
        <v>#N/A Requesting Data...</v>
      </c>
      <c r="P324" s="8" t="str">
        <f>IF($A324="","",IF(ISNUMBER(FIND("IMPVOL",P$1)),_xll.BDH(config!$G$4,P$1,WORKDAY($A324,-1,config_Holiday_Calendar_US),WORKDAY($A324,-1,config_Holiday_Calendar_US)),IF(ISNUMBER(_xll.BDH(config!$G$4,P$1,$A324,$A324)),_xll.BDH(config!$G$4,P$1,$A324,$A324),_xll.BDH(config!$G$5,P$1,$A324,$A324))))</f>
        <v>#N/A Requesting Data...</v>
      </c>
      <c r="Q324" s="8">
        <f>IF($A324="","",IF(ISNUMBER(FIND("IMPVOL",Q$1)),_xll.BDH(config!$G$4,Q$1,WORKDAY($A324,-1,config_Holiday_Calendar_US),WORKDAY($A324,-1,config_Holiday_Calendar_US)),IF(ISNUMBER(_xll.BDH(config!$G$4,Q$1,$A324,$A324)),_xll.BDH(config!$G$4,Q$1,$A324,$A324),_xll.BDH(config!$G$5,Q$1,$A324,$A324))))</f>
        <v>40.700000000000003</v>
      </c>
      <c r="R324" s="8">
        <f>IF($A324="","",IF(ISNUMBER(FIND("IMPVOL",R$1)),_xll.BDH(config!$G$4,R$1,WORKDAY($A324,-1,config_Holiday_Calendar_US),WORKDAY($A324,-1,config_Holiday_Calendar_US)),IF(ISNUMBER(_xll.BDH(config!$G$4,R$1,$A324,$A324)),_xll.BDH(config!$G$4,R$1,$A324,$A324),_xll.BDH(config!$G$5,R$1,$A324,$A324))))</f>
        <v>37.93</v>
      </c>
      <c r="S324" s="8" t="str">
        <f>IF($A324="","",IF(ISNUMBER(FIND("IMPVOL",S$1)),_xll.BDH(config!$G$4,S$1,WORKDAY($A324,-1,config_Holiday_Calendar_US),WORKDAY($A324,-1,config_Holiday_Calendar_US)),IF(ISNUMBER(_xll.BDH(config!$G$4,S$1,$A324,$A324)),_xll.BDH(config!$G$4,S$1,$A324,$A324),_xll.BDH(config!$G$5,S$1,$A324,$A324))))</f>
        <v>#N/A Requesting Data...</v>
      </c>
      <c r="T324" s="8" t="str">
        <f>IF($A324="","",IF(ISNUMBER(FIND("IMPVOL",T$1)),_xll.BDH(config!$G$4,T$1,WORKDAY($A324,-1,config_Holiday_Calendar_US),WORKDAY($A324,-1,config_Holiday_Calendar_US)),IF(ISNUMBER(_xll.BDH(config!$G$4,T$1,$A324,$A324)),_xll.BDH(config!$G$4,T$1,$A324,$A324),_xll.BDH(config!$G$5,T$1,$A324,$A324))))</f>
        <v>#N/A Requesting Data...</v>
      </c>
      <c r="U324" s="8" t="str">
        <f>IF($A324="","",IF(ISNUMBER(FIND("IMPVOL",U$1)),_xll.BDH(config!$G$4,U$1,WORKDAY($A324,-1,config_Holiday_Calendar_US),WORKDAY($A324,-1,config_Holiday_Calendar_US)),IF(ISNUMBER(_xll.BDH(config!$G$4,U$1,$A324,$A324)),_xll.BDH(config!$G$4,U$1,$A324,$A324),_xll.BDH(config!$G$5,U$1,$A324,$A324))))</f>
        <v>#N/A Requesting Data...</v>
      </c>
      <c r="V324" s="8" t="str">
        <f>IF($A324="","",IF(ISNUMBER(FIND("IMPVOL",V$1)),_xll.BDH(config!$G$4,V$1,WORKDAY($A324,-1,config_Holiday_Calendar_US),WORKDAY($A324,-1,config_Holiday_Calendar_US)),IF(ISNUMBER(_xll.BDH(config!$G$4,V$1,$A324,$A324)),_xll.BDH(config!$G$4,V$1,$A324,$A324),_xll.BDH(config!$G$5,V$1,$A324,$A324))))</f>
        <v>#N/A Requesting Data...</v>
      </c>
      <c r="W324" s="8" t="str">
        <f>IF($A324="","",IF(ISNUMBER(FIND("IMPVOL",W$1)),_xll.BDH(config!$G$4,W$1,WORKDAY($A324,-1,config_Holiday_Calendar_US),WORKDAY($A324,-1,config_Holiday_Calendar_US)),IF(ISNUMBER(_xll.BDH(config!$G$4,W$1,$A324,$A324)),_xll.BDH(config!$G$4,W$1,$A324,$A324),_xll.BDH(config!$G$5,W$1,$A324,$A324))))</f>
        <v>#N/A Requesting Data...</v>
      </c>
    </row>
    <row r="325" spans="1:23" x14ac:dyDescent="0.2">
      <c r="A325" s="9">
        <f>IF(A324="","",IF(WORKDAY(A324,-1,config_Holiday_Calendar_US)&lt;config!$I$10,"",WORKDAY(A324,-1,config_Holiday_Calendar_US)))</f>
        <v>42359</v>
      </c>
      <c r="B325" s="8" t="e">
        <f t="shared" si="5"/>
        <v>#VALUE!</v>
      </c>
      <c r="C325" s="8" t="str">
        <f>IF(A325="","",_xll.BDH(config!$H$4,C$1,$A325,$A325))</f>
        <v>#N/A Requesting Data...</v>
      </c>
      <c r="D325" s="8" t="str">
        <f>IF($A325="","",_xll.BDH(config!$H$4,D$1,$A325,$A325))</f>
        <v>#N/A Requesting Data...</v>
      </c>
      <c r="E325" s="8">
        <f>IF($A325="","",IF(ISNUMBER(FIND("IMPVOL",E$1)),_xll.BDH(config!$G$4,E$1,WORKDAY($A325,-1,config_Holiday_Calendar_US),WORKDAY($A325,-1,config_Holiday_Calendar_US)),IF(ISNUMBER(_xll.BDH(config!$G$4,E$1,$A325,$A325)),_xll.BDH(config!$G$4,E$1,$A325,$A325),_xll.BDH(config!$G$5,E$1,$A325,$A325))))</f>
        <v>34.58</v>
      </c>
      <c r="F325" s="8">
        <f>IF($A325="","",IF(ISNUMBER(FIND("IMPVOL",F$1)),_xll.BDH(config!$G$4,F$1,WORKDAY($A325,-1,config_Holiday_Calendar_US),WORKDAY($A325,-1,config_Holiday_Calendar_US)),IF(ISNUMBER(_xll.BDH(config!$G$4,F$1,$A325,$A325)),_xll.BDH(config!$G$4,F$1,$A325,$A325),_xll.BDH(config!$G$5,F$1,$A325,$A325))))</f>
        <v>34.86</v>
      </c>
      <c r="G325" s="8">
        <f>IF($A325="","",IF(ISNUMBER(FIND("IMPVOL",G$1)),_xll.BDH(config!$G$4,G$1,WORKDAY($A325,-1,config_Holiday_Calendar_US),WORKDAY($A325,-1,config_Holiday_Calendar_US)),IF(ISNUMBER(_xll.BDH(config!$G$4,G$1,$A325,$A325)),_xll.BDH(config!$G$4,G$1,$A325,$A325),_xll.BDH(config!$G$5,G$1,$A325,$A325))))</f>
        <v>35.35</v>
      </c>
      <c r="H325" s="8">
        <f>IF($A325="","",IF(ISNUMBER(FIND("IMPVOL",H$1)),_xll.BDH(config!$G$4,H$1,WORKDAY($A325,-1,config_Holiday_Calendar_US),WORKDAY($A325,-1,config_Holiday_Calendar_US)),IF(ISNUMBER(_xll.BDH(config!$G$4,H$1,$A325,$A325)),_xll.BDH(config!$G$4,H$1,$A325,$A325),_xll.BDH(config!$G$5,H$1,$A325,$A325))))</f>
        <v>298080</v>
      </c>
      <c r="I325" s="8" t="str">
        <f>IF($A325="","",IF(ISNUMBER(FIND("IMPVOL",I$1)),_xll.BDH(config!$G$4,I$1,WORKDAY($A325,-1,config_Holiday_Calendar_US),WORKDAY($A325,-1,config_Holiday_Calendar_US)),IF(ISNUMBER(_xll.BDH(config!$G$4,I$1,$A325,$A325)),_xll.BDH(config!$G$4,I$1,$A325,$A325),_xll.BDH(config!$G$5,I$1,$A325,$A325))))</f>
        <v>#N/A Requesting Data...</v>
      </c>
      <c r="J325" s="8" t="str">
        <f>IF($A325="","",IF(ISNUMBER(FIND("IMPVOL",J$1)),_xll.BDH(config!$G$4,J$1,WORKDAY($A325,-1,config_Holiday_Calendar_US),WORKDAY($A325,-1,config_Holiday_Calendar_US)),IF(ISNUMBER(_xll.BDH(config!$G$4,J$1,$A325,$A325)),_xll.BDH(config!$G$4,J$1,$A325,$A325),_xll.BDH(config!$G$5,J$1,$A325,$A325))))</f>
        <v>#N/A Requesting Data...</v>
      </c>
      <c r="K325" s="8" t="str">
        <f>IF($A325="","",IF(ISNUMBER(FIND("IMPVOL",K$1)),_xll.BDH(config!$G$4,K$1,WORKDAY($A325,-1,config_Holiday_Calendar_US),WORKDAY($A325,-1,config_Holiday_Calendar_US)),IF(ISNUMBER(_xll.BDH(config!$G$4,K$1,$A325,$A325)),_xll.BDH(config!$G$4,K$1,$A325,$A325),_xll.BDH(config!$G$5,K$1,$A325,$A325))))</f>
        <v>#N/A Requesting Data...</v>
      </c>
      <c r="L325" s="8" t="str">
        <f>IF($A325="","",IF(ISNUMBER(FIND("IMPVOL",L$1)),_xll.BDH(config!$G$4,L$1,WORKDAY($A325,-1,config_Holiday_Calendar_US),WORKDAY($A325,-1,config_Holiday_Calendar_US)),IF(ISNUMBER(_xll.BDH(config!$G$4,L$1,$A325,$A325)),_xll.BDH(config!$G$4,L$1,$A325,$A325),_xll.BDH(config!$G$5,L$1,$A325,$A325))))</f>
        <v>#N/A Requesting Data...</v>
      </c>
      <c r="M325" s="8" t="str">
        <f>IF($A325="","",IF(ISNUMBER(FIND("IMPVOL",M$1)),_xll.BDH(config!$G$4,M$1,WORKDAY($A325,-1,config_Holiday_Calendar_US),WORKDAY($A325,-1,config_Holiday_Calendar_US)),IF(ISNUMBER(_xll.BDH(config!$G$4,M$1,$A325,$A325)),_xll.BDH(config!$G$4,M$1,$A325,$A325),_xll.BDH(config!$G$5,M$1,$A325,$A325))))</f>
        <v>#N/A Requesting Data...</v>
      </c>
      <c r="N325" s="8" t="str">
        <f>IF($A325="","",IF(ISNUMBER(FIND("IMPVOL",N$1)),_xll.BDH(config!$G$4,N$1,WORKDAY($A325,-1,config_Holiday_Calendar_US),WORKDAY($A325,-1,config_Holiday_Calendar_US)),IF(ISNUMBER(_xll.BDH(config!$G$4,N$1,$A325,$A325)),_xll.BDH(config!$G$4,N$1,$A325,$A325),_xll.BDH(config!$G$5,N$1,$A325,$A325))))</f>
        <v>#N/A Requesting Data...</v>
      </c>
      <c r="O325" s="8" t="str">
        <f>IF($A325="","",IF(ISNUMBER(FIND("IMPVOL",O$1)),_xll.BDH(config!$G$4,O$1,WORKDAY($A325,-1,config_Holiday_Calendar_US),WORKDAY($A325,-1,config_Holiday_Calendar_US)),IF(ISNUMBER(_xll.BDH(config!$G$4,O$1,$A325,$A325)),_xll.BDH(config!$G$4,O$1,$A325,$A325),_xll.BDH(config!$G$5,O$1,$A325,$A325))))</f>
        <v>#N/A Requesting Data...</v>
      </c>
      <c r="P325" s="8" t="str">
        <f>IF($A325="","",IF(ISNUMBER(FIND("IMPVOL",P$1)),_xll.BDH(config!$G$4,P$1,WORKDAY($A325,-1,config_Holiday_Calendar_US),WORKDAY($A325,-1,config_Holiday_Calendar_US)),IF(ISNUMBER(_xll.BDH(config!$G$4,P$1,$A325,$A325)),_xll.BDH(config!$G$4,P$1,$A325,$A325),_xll.BDH(config!$G$5,P$1,$A325,$A325))))</f>
        <v>#N/A Requesting Data...</v>
      </c>
      <c r="Q325" s="8">
        <f>IF($A325="","",IF(ISNUMBER(FIND("IMPVOL",Q$1)),_xll.BDH(config!$G$4,Q$1,WORKDAY($A325,-1,config_Holiday_Calendar_US),WORKDAY($A325,-1,config_Holiday_Calendar_US)),IF(ISNUMBER(_xll.BDH(config!$G$4,Q$1,$A325,$A325)),_xll.BDH(config!$G$4,Q$1,$A325,$A325),_xll.BDH(config!$G$5,Q$1,$A325,$A325))))</f>
        <v>33.11</v>
      </c>
      <c r="R325" s="8">
        <f>IF($A325="","",IF(ISNUMBER(FIND("IMPVOL",R$1)),_xll.BDH(config!$G$4,R$1,WORKDAY($A325,-1,config_Holiday_Calendar_US),WORKDAY($A325,-1,config_Holiday_Calendar_US)),IF(ISNUMBER(_xll.BDH(config!$G$4,R$1,$A325,$A325)),_xll.BDH(config!$G$4,R$1,$A325,$A325),_xll.BDH(config!$G$5,R$1,$A325,$A325))))</f>
        <v>36</v>
      </c>
      <c r="S325" s="8" t="str">
        <f>IF($A325="","",IF(ISNUMBER(FIND("IMPVOL",S$1)),_xll.BDH(config!$G$4,S$1,WORKDAY($A325,-1,config_Holiday_Calendar_US),WORKDAY($A325,-1,config_Holiday_Calendar_US)),IF(ISNUMBER(_xll.BDH(config!$G$4,S$1,$A325,$A325)),_xll.BDH(config!$G$4,S$1,$A325,$A325),_xll.BDH(config!$G$5,S$1,$A325,$A325))))</f>
        <v>#N/A Requesting Data...</v>
      </c>
      <c r="T325" s="8" t="str">
        <f>IF($A325="","",IF(ISNUMBER(FIND("IMPVOL",T$1)),_xll.BDH(config!$G$4,T$1,WORKDAY($A325,-1,config_Holiday_Calendar_US),WORKDAY($A325,-1,config_Holiday_Calendar_US)),IF(ISNUMBER(_xll.BDH(config!$G$4,T$1,$A325,$A325)),_xll.BDH(config!$G$4,T$1,$A325,$A325),_xll.BDH(config!$G$5,T$1,$A325,$A325))))</f>
        <v>#N/A Requesting Data...</v>
      </c>
      <c r="U325" s="8" t="str">
        <f>IF($A325="","",IF(ISNUMBER(FIND("IMPVOL",U$1)),_xll.BDH(config!$G$4,U$1,WORKDAY($A325,-1,config_Holiday_Calendar_US),WORKDAY($A325,-1,config_Holiday_Calendar_US)),IF(ISNUMBER(_xll.BDH(config!$G$4,U$1,$A325,$A325)),_xll.BDH(config!$G$4,U$1,$A325,$A325),_xll.BDH(config!$G$5,U$1,$A325,$A325))))</f>
        <v>#N/A Requesting Data...</v>
      </c>
      <c r="V325" s="8" t="str">
        <f>IF($A325="","",IF(ISNUMBER(FIND("IMPVOL",V$1)),_xll.BDH(config!$G$4,V$1,WORKDAY($A325,-1,config_Holiday_Calendar_US),WORKDAY($A325,-1,config_Holiday_Calendar_US)),IF(ISNUMBER(_xll.BDH(config!$G$4,V$1,$A325,$A325)),_xll.BDH(config!$G$4,V$1,$A325,$A325),_xll.BDH(config!$G$5,V$1,$A325,$A325))))</f>
        <v>#N/A Requesting Data...</v>
      </c>
      <c r="W325" s="8" t="str">
        <f>IF($A325="","",IF(ISNUMBER(FIND("IMPVOL",W$1)),_xll.BDH(config!$G$4,W$1,WORKDAY($A325,-1,config_Holiday_Calendar_US),WORKDAY($A325,-1,config_Holiday_Calendar_US)),IF(ISNUMBER(_xll.BDH(config!$G$4,W$1,$A325,$A325)),_xll.BDH(config!$G$4,W$1,$A325,$A325),_xll.BDH(config!$G$5,W$1,$A325,$A325))))</f>
        <v>#N/A Requesting Data...</v>
      </c>
    </row>
    <row r="326" spans="1:23" x14ac:dyDescent="0.2">
      <c r="A326" s="9">
        <f>IF(A325="","",IF(WORKDAY(A325,-1,config_Holiday_Calendar_US)&lt;config!$I$10,"",WORKDAY(A325,-1,config_Holiday_Calendar_US)))</f>
        <v>42356</v>
      </c>
      <c r="B326" s="8" t="e">
        <f t="shared" si="5"/>
        <v>#VALUE!</v>
      </c>
      <c r="C326" s="8" t="str">
        <f>IF(A326="","",_xll.BDH(config!$H$4,C$1,$A326,$A326))</f>
        <v>#N/A Requesting Data...</v>
      </c>
      <c r="D326" s="8" t="str">
        <f>IF($A326="","",_xll.BDH(config!$H$4,D$1,$A326,$A326))</f>
        <v>#N/A Requesting Data...</v>
      </c>
      <c r="E326" s="8">
        <f>IF($A326="","",IF(ISNUMBER(FIND("IMPVOL",E$1)),_xll.BDH(config!$G$4,E$1,WORKDAY($A326,-1,config_Holiday_Calendar_US),WORKDAY($A326,-1,config_Holiday_Calendar_US)),IF(ISNUMBER(_xll.BDH(config!$G$4,E$1,$A326,$A326)),_xll.BDH(config!$G$4,E$1,$A326,$A326),_xll.BDH(config!$G$5,E$1,$A326,$A326))))</f>
        <v>34.869999999999997</v>
      </c>
      <c r="F326" s="8">
        <f>IF($A326="","",IF(ISNUMBER(FIND("IMPVOL",F$1)),_xll.BDH(config!$G$4,F$1,WORKDAY($A326,-1,config_Holiday_Calendar_US),WORKDAY($A326,-1,config_Holiday_Calendar_US)),IF(ISNUMBER(_xll.BDH(config!$G$4,F$1,$A326,$A326)),_xll.BDH(config!$G$4,F$1,$A326,$A326),_xll.BDH(config!$G$5,F$1,$A326,$A326))))</f>
        <v>35.57</v>
      </c>
      <c r="G326" s="8">
        <f>IF($A326="","",IF(ISNUMBER(FIND("IMPVOL",G$1)),_xll.BDH(config!$G$4,G$1,WORKDAY($A326,-1,config_Holiday_Calendar_US),WORKDAY($A326,-1,config_Holiday_Calendar_US)),IF(ISNUMBER(_xll.BDH(config!$G$4,G$1,$A326,$A326)),_xll.BDH(config!$G$4,G$1,$A326,$A326),_xll.BDH(config!$G$5,G$1,$A326,$A326))))</f>
        <v>35.68</v>
      </c>
      <c r="H326" s="8">
        <f>IF($A326="","",IF(ISNUMBER(FIND("IMPVOL",H$1)),_xll.BDH(config!$G$4,H$1,WORKDAY($A326,-1,config_Holiday_Calendar_US),WORKDAY($A326,-1,config_Holiday_Calendar_US)),IF(ISNUMBER(_xll.BDH(config!$G$4,H$1,$A326,$A326)),_xll.BDH(config!$G$4,H$1,$A326,$A326),_xll.BDH(config!$G$5,H$1,$A326,$A326))))</f>
        <v>402547</v>
      </c>
      <c r="I326" s="8" t="str">
        <f>IF($A326="","",IF(ISNUMBER(FIND("IMPVOL",I$1)),_xll.BDH(config!$G$4,I$1,WORKDAY($A326,-1,config_Holiday_Calendar_US),WORKDAY($A326,-1,config_Holiday_Calendar_US)),IF(ISNUMBER(_xll.BDH(config!$G$4,I$1,$A326,$A326)),_xll.BDH(config!$G$4,I$1,$A326,$A326),_xll.BDH(config!$G$5,I$1,$A326,$A326))))</f>
        <v>#N/A Requesting Data...</v>
      </c>
      <c r="J326" s="8" t="str">
        <f>IF($A326="","",IF(ISNUMBER(FIND("IMPVOL",J$1)),_xll.BDH(config!$G$4,J$1,WORKDAY($A326,-1,config_Holiday_Calendar_US),WORKDAY($A326,-1,config_Holiday_Calendar_US)),IF(ISNUMBER(_xll.BDH(config!$G$4,J$1,$A326,$A326)),_xll.BDH(config!$G$4,J$1,$A326,$A326),_xll.BDH(config!$G$5,J$1,$A326,$A326))))</f>
        <v>#N/A Requesting Data...</v>
      </c>
      <c r="K326" s="8" t="str">
        <f>IF($A326="","",IF(ISNUMBER(FIND("IMPVOL",K$1)),_xll.BDH(config!$G$4,K$1,WORKDAY($A326,-1,config_Holiday_Calendar_US),WORKDAY($A326,-1,config_Holiday_Calendar_US)),IF(ISNUMBER(_xll.BDH(config!$G$4,K$1,$A326,$A326)),_xll.BDH(config!$G$4,K$1,$A326,$A326),_xll.BDH(config!$G$5,K$1,$A326,$A326))))</f>
        <v>#N/A Requesting Data...</v>
      </c>
      <c r="L326" s="8" t="str">
        <f>IF($A326="","",IF(ISNUMBER(FIND("IMPVOL",L$1)),_xll.BDH(config!$G$4,L$1,WORKDAY($A326,-1,config_Holiday_Calendar_US),WORKDAY($A326,-1,config_Holiday_Calendar_US)),IF(ISNUMBER(_xll.BDH(config!$G$4,L$1,$A326,$A326)),_xll.BDH(config!$G$4,L$1,$A326,$A326),_xll.BDH(config!$G$5,L$1,$A326,$A326))))</f>
        <v>#N/A Requesting Data...</v>
      </c>
      <c r="M326" s="8" t="str">
        <f>IF($A326="","",IF(ISNUMBER(FIND("IMPVOL",M$1)),_xll.BDH(config!$G$4,M$1,WORKDAY($A326,-1,config_Holiday_Calendar_US),WORKDAY($A326,-1,config_Holiday_Calendar_US)),IF(ISNUMBER(_xll.BDH(config!$G$4,M$1,$A326,$A326)),_xll.BDH(config!$G$4,M$1,$A326,$A326),_xll.BDH(config!$G$5,M$1,$A326,$A326))))</f>
        <v>#N/A Requesting Data...</v>
      </c>
      <c r="N326" s="8" t="str">
        <f>IF($A326="","",IF(ISNUMBER(FIND("IMPVOL",N$1)),_xll.BDH(config!$G$4,N$1,WORKDAY($A326,-1,config_Holiday_Calendar_US),WORKDAY($A326,-1,config_Holiday_Calendar_US)),IF(ISNUMBER(_xll.BDH(config!$G$4,N$1,$A326,$A326)),_xll.BDH(config!$G$4,N$1,$A326,$A326),_xll.BDH(config!$G$5,N$1,$A326,$A326))))</f>
        <v>#N/A Requesting Data...</v>
      </c>
      <c r="O326" s="8" t="str">
        <f>IF($A326="","",IF(ISNUMBER(FIND("IMPVOL",O$1)),_xll.BDH(config!$G$4,O$1,WORKDAY($A326,-1,config_Holiday_Calendar_US),WORKDAY($A326,-1,config_Holiday_Calendar_US)),IF(ISNUMBER(_xll.BDH(config!$G$4,O$1,$A326,$A326)),_xll.BDH(config!$G$4,O$1,$A326,$A326),_xll.BDH(config!$G$5,O$1,$A326,$A326))))</f>
        <v>#N/A Requesting Data...</v>
      </c>
      <c r="P326" s="8" t="str">
        <f>IF($A326="","",IF(ISNUMBER(FIND("IMPVOL",P$1)),_xll.BDH(config!$G$4,P$1,WORKDAY($A326,-1,config_Holiday_Calendar_US),WORKDAY($A326,-1,config_Holiday_Calendar_US)),IF(ISNUMBER(_xll.BDH(config!$G$4,P$1,$A326,$A326)),_xll.BDH(config!$G$4,P$1,$A326,$A326),_xll.BDH(config!$G$5,P$1,$A326,$A326))))</f>
        <v>#N/A Requesting Data...</v>
      </c>
      <c r="Q326" s="8">
        <f>IF($A326="","",IF(ISNUMBER(FIND("IMPVOL",Q$1)),_xll.BDH(config!$G$4,Q$1,WORKDAY($A326,-1,config_Holiday_Calendar_US),WORKDAY($A326,-1,config_Holiday_Calendar_US)),IF(ISNUMBER(_xll.BDH(config!$G$4,Q$1,$A326,$A326)),_xll.BDH(config!$G$4,Q$1,$A326,$A326),_xll.BDH(config!$G$5,Q$1,$A326,$A326))))</f>
        <v>33.1</v>
      </c>
      <c r="R326" s="8">
        <f>IF($A326="","",IF(ISNUMBER(FIND("IMPVOL",R$1)),_xll.BDH(config!$G$4,R$1,WORKDAY($A326,-1,config_Holiday_Calendar_US),WORKDAY($A326,-1,config_Holiday_Calendar_US)),IF(ISNUMBER(_xll.BDH(config!$G$4,R$1,$A326,$A326)),_xll.BDH(config!$G$4,R$1,$A326,$A326),_xll.BDH(config!$G$5,R$1,$A326,$A326))))</f>
        <v>36</v>
      </c>
      <c r="S326" s="8" t="str">
        <f>IF($A326="","",IF(ISNUMBER(FIND("IMPVOL",S$1)),_xll.BDH(config!$G$4,S$1,WORKDAY($A326,-1,config_Holiday_Calendar_US),WORKDAY($A326,-1,config_Holiday_Calendar_US)),IF(ISNUMBER(_xll.BDH(config!$G$4,S$1,$A326,$A326)),_xll.BDH(config!$G$4,S$1,$A326,$A326),_xll.BDH(config!$G$5,S$1,$A326,$A326))))</f>
        <v>#N/A Requesting Data...</v>
      </c>
      <c r="T326" s="8" t="str">
        <f>IF($A326="","",IF(ISNUMBER(FIND("IMPVOL",T$1)),_xll.BDH(config!$G$4,T$1,WORKDAY($A326,-1,config_Holiday_Calendar_US),WORKDAY($A326,-1,config_Holiday_Calendar_US)),IF(ISNUMBER(_xll.BDH(config!$G$4,T$1,$A326,$A326)),_xll.BDH(config!$G$4,T$1,$A326,$A326),_xll.BDH(config!$G$5,T$1,$A326,$A326))))</f>
        <v>#N/A Requesting Data...</v>
      </c>
      <c r="U326" s="8" t="str">
        <f>IF($A326="","",IF(ISNUMBER(FIND("IMPVOL",U$1)),_xll.BDH(config!$G$4,U$1,WORKDAY($A326,-1,config_Holiday_Calendar_US),WORKDAY($A326,-1,config_Holiday_Calendar_US)),IF(ISNUMBER(_xll.BDH(config!$G$4,U$1,$A326,$A326)),_xll.BDH(config!$G$4,U$1,$A326,$A326),_xll.BDH(config!$G$5,U$1,$A326,$A326))))</f>
        <v>#N/A Requesting Data...</v>
      </c>
      <c r="V326" s="8" t="str">
        <f>IF($A326="","",IF(ISNUMBER(FIND("IMPVOL",V$1)),_xll.BDH(config!$G$4,V$1,WORKDAY($A326,-1,config_Holiday_Calendar_US),WORKDAY($A326,-1,config_Holiday_Calendar_US)),IF(ISNUMBER(_xll.BDH(config!$G$4,V$1,$A326,$A326)),_xll.BDH(config!$G$4,V$1,$A326,$A326),_xll.BDH(config!$G$5,V$1,$A326,$A326))))</f>
        <v>#N/A Requesting Data...</v>
      </c>
      <c r="W326" s="8" t="str">
        <f>IF($A326="","",IF(ISNUMBER(FIND("IMPVOL",W$1)),_xll.BDH(config!$G$4,W$1,WORKDAY($A326,-1,config_Holiday_Calendar_US),WORKDAY($A326,-1,config_Holiday_Calendar_US)),IF(ISNUMBER(_xll.BDH(config!$G$4,W$1,$A326,$A326)),_xll.BDH(config!$G$4,W$1,$A326,$A326),_xll.BDH(config!$G$5,W$1,$A326,$A326))))</f>
        <v>#N/A Requesting Data...</v>
      </c>
    </row>
    <row r="327" spans="1:23" x14ac:dyDescent="0.2">
      <c r="A327" s="9">
        <f>IF(A326="","",IF(WORKDAY(A326,-1,config_Holiday_Calendar_US)&lt;config!$I$10,"",WORKDAY(A326,-1,config_Holiday_Calendar_US)))</f>
        <v>42355</v>
      </c>
      <c r="B327" s="8" t="e">
        <f t="shared" si="5"/>
        <v>#VALUE!</v>
      </c>
      <c r="C327" s="8" t="str">
        <f>IF(A327="","",_xll.BDH(config!$H$4,C$1,$A327,$A327))</f>
        <v>#N/A Requesting Data...</v>
      </c>
      <c r="D327" s="8" t="str">
        <f>IF($A327="","",_xll.BDH(config!$H$4,D$1,$A327,$A327))</f>
        <v>#N/A Requesting Data...</v>
      </c>
      <c r="E327" s="8">
        <f>IF($A327="","",IF(ISNUMBER(FIND("IMPVOL",E$1)),_xll.BDH(config!$G$4,E$1,WORKDAY($A327,-1,config_Holiday_Calendar_US),WORKDAY($A327,-1,config_Holiday_Calendar_US)),IF(ISNUMBER(_xll.BDH(config!$G$4,E$1,$A327,$A327)),_xll.BDH(config!$G$4,E$1,$A327,$A327),_xll.BDH(config!$G$5,E$1,$A327,$A327))))</f>
        <v>35.799999999999997</v>
      </c>
      <c r="F327" s="8">
        <f>IF($A327="","",IF(ISNUMBER(FIND("IMPVOL",F$1)),_xll.BDH(config!$G$4,F$1,WORKDAY($A327,-1,config_Holiday_Calendar_US),WORKDAY($A327,-1,config_Holiday_Calendar_US)),IF(ISNUMBER(_xll.BDH(config!$G$4,F$1,$A327,$A327)),_xll.BDH(config!$G$4,F$1,$A327,$A327),_xll.BDH(config!$G$5,F$1,$A327,$A327))))</f>
        <v>35.840000000000003</v>
      </c>
      <c r="G327" s="8">
        <f>IF($A327="","",IF(ISNUMBER(FIND("IMPVOL",G$1)),_xll.BDH(config!$G$4,G$1,WORKDAY($A327,-1,config_Holiday_Calendar_US),WORKDAY($A327,-1,config_Holiday_Calendar_US)),IF(ISNUMBER(_xll.BDH(config!$G$4,G$1,$A327,$A327)),_xll.BDH(config!$G$4,G$1,$A327,$A327),_xll.BDH(config!$G$5,G$1,$A327,$A327))))</f>
        <v>35.96</v>
      </c>
      <c r="H327" s="8">
        <f>IF($A327="","",IF(ISNUMBER(FIND("IMPVOL",H$1)),_xll.BDH(config!$G$4,H$1,WORKDAY($A327,-1,config_Holiday_Calendar_US),WORKDAY($A327,-1,config_Holiday_Calendar_US)),IF(ISNUMBER(_xll.BDH(config!$G$4,H$1,$A327,$A327)),_xll.BDH(config!$G$4,H$1,$A327,$A327),_xll.BDH(config!$G$5,H$1,$A327,$A327))))</f>
        <v>292565</v>
      </c>
      <c r="I327" s="8" t="str">
        <f>IF($A327="","",IF(ISNUMBER(FIND("IMPVOL",I$1)),_xll.BDH(config!$G$4,I$1,WORKDAY($A327,-1,config_Holiday_Calendar_US),WORKDAY($A327,-1,config_Holiday_Calendar_US)),IF(ISNUMBER(_xll.BDH(config!$G$4,I$1,$A327,$A327)),_xll.BDH(config!$G$4,I$1,$A327,$A327),_xll.BDH(config!$G$5,I$1,$A327,$A327))))</f>
        <v>#N/A Requesting Data...</v>
      </c>
      <c r="J327" s="8" t="str">
        <f>IF($A327="","",IF(ISNUMBER(FIND("IMPVOL",J$1)),_xll.BDH(config!$G$4,J$1,WORKDAY($A327,-1,config_Holiday_Calendar_US),WORKDAY($A327,-1,config_Holiday_Calendar_US)),IF(ISNUMBER(_xll.BDH(config!$G$4,J$1,$A327,$A327)),_xll.BDH(config!$G$4,J$1,$A327,$A327),_xll.BDH(config!$G$5,J$1,$A327,$A327))))</f>
        <v>#N/A Requesting Data...</v>
      </c>
      <c r="K327" s="8" t="str">
        <f>IF($A327="","",IF(ISNUMBER(FIND("IMPVOL",K$1)),_xll.BDH(config!$G$4,K$1,WORKDAY($A327,-1,config_Holiday_Calendar_US),WORKDAY($A327,-1,config_Holiday_Calendar_US)),IF(ISNUMBER(_xll.BDH(config!$G$4,K$1,$A327,$A327)),_xll.BDH(config!$G$4,K$1,$A327,$A327),_xll.BDH(config!$G$5,K$1,$A327,$A327))))</f>
        <v>#N/A Requesting Data...</v>
      </c>
      <c r="L327" s="8" t="str">
        <f>IF($A327="","",IF(ISNUMBER(FIND("IMPVOL",L$1)),_xll.BDH(config!$G$4,L$1,WORKDAY($A327,-1,config_Holiday_Calendar_US),WORKDAY($A327,-1,config_Holiday_Calendar_US)),IF(ISNUMBER(_xll.BDH(config!$G$4,L$1,$A327,$A327)),_xll.BDH(config!$G$4,L$1,$A327,$A327),_xll.BDH(config!$G$5,L$1,$A327,$A327))))</f>
        <v>#N/A Requesting Data...</v>
      </c>
      <c r="M327" s="8" t="str">
        <f>IF($A327="","",IF(ISNUMBER(FIND("IMPVOL",M$1)),_xll.BDH(config!$G$4,M$1,WORKDAY($A327,-1,config_Holiday_Calendar_US),WORKDAY($A327,-1,config_Holiday_Calendar_US)),IF(ISNUMBER(_xll.BDH(config!$G$4,M$1,$A327,$A327)),_xll.BDH(config!$G$4,M$1,$A327,$A327),_xll.BDH(config!$G$5,M$1,$A327,$A327))))</f>
        <v>#N/A Requesting Data...</v>
      </c>
      <c r="N327" s="8" t="str">
        <f>IF($A327="","",IF(ISNUMBER(FIND("IMPVOL",N$1)),_xll.BDH(config!$G$4,N$1,WORKDAY($A327,-1,config_Holiday_Calendar_US),WORKDAY($A327,-1,config_Holiday_Calendar_US)),IF(ISNUMBER(_xll.BDH(config!$G$4,N$1,$A327,$A327)),_xll.BDH(config!$G$4,N$1,$A327,$A327),_xll.BDH(config!$G$5,N$1,$A327,$A327))))</f>
        <v>#N/A Requesting Data...</v>
      </c>
      <c r="O327" s="8" t="str">
        <f>IF($A327="","",IF(ISNUMBER(FIND("IMPVOL",O$1)),_xll.BDH(config!$G$4,O$1,WORKDAY($A327,-1,config_Holiday_Calendar_US),WORKDAY($A327,-1,config_Holiday_Calendar_US)),IF(ISNUMBER(_xll.BDH(config!$G$4,O$1,$A327,$A327)),_xll.BDH(config!$G$4,O$1,$A327,$A327),_xll.BDH(config!$G$5,O$1,$A327,$A327))))</f>
        <v>#N/A Requesting Data...</v>
      </c>
      <c r="P327" s="8" t="str">
        <f>IF($A327="","",IF(ISNUMBER(FIND("IMPVOL",P$1)),_xll.BDH(config!$G$4,P$1,WORKDAY($A327,-1,config_Holiday_Calendar_US),WORKDAY($A327,-1,config_Holiday_Calendar_US)),IF(ISNUMBER(_xll.BDH(config!$G$4,P$1,$A327,$A327)),_xll.BDH(config!$G$4,P$1,$A327,$A327),_xll.BDH(config!$G$5,P$1,$A327,$A327))))</f>
        <v>#N/A Requesting Data...</v>
      </c>
      <c r="Q327" s="8">
        <f>IF($A327="","",IF(ISNUMBER(FIND("IMPVOL",Q$1)),_xll.BDH(config!$G$4,Q$1,WORKDAY($A327,-1,config_Holiday_Calendar_US),WORKDAY($A327,-1,config_Holiday_Calendar_US)),IF(ISNUMBER(_xll.BDH(config!$G$4,Q$1,$A327,$A327)),_xll.BDH(config!$G$4,Q$1,$A327,$A327),_xll.BDH(config!$G$5,Q$1,$A327,$A327))))</f>
        <v>39.94</v>
      </c>
      <c r="R327" s="8">
        <f>IF($A327="","",IF(ISNUMBER(FIND("IMPVOL",R$1)),_xll.BDH(config!$G$4,R$1,WORKDAY($A327,-1,config_Holiday_Calendar_US),WORKDAY($A327,-1,config_Holiday_Calendar_US)),IF(ISNUMBER(_xll.BDH(config!$G$4,R$1,$A327,$A327)),_xll.BDH(config!$G$4,R$1,$A327,$A327),_xll.BDH(config!$G$5,R$1,$A327,$A327))))</f>
        <v>36.090000000000003</v>
      </c>
      <c r="S327" s="8" t="str">
        <f>IF($A327="","",IF(ISNUMBER(FIND("IMPVOL",S$1)),_xll.BDH(config!$G$4,S$1,WORKDAY($A327,-1,config_Holiday_Calendar_US),WORKDAY($A327,-1,config_Holiday_Calendar_US)),IF(ISNUMBER(_xll.BDH(config!$G$4,S$1,$A327,$A327)),_xll.BDH(config!$G$4,S$1,$A327,$A327),_xll.BDH(config!$G$5,S$1,$A327,$A327))))</f>
        <v>#N/A Requesting Data...</v>
      </c>
      <c r="T327" s="8" t="str">
        <f>IF($A327="","",IF(ISNUMBER(FIND("IMPVOL",T$1)),_xll.BDH(config!$G$4,T$1,WORKDAY($A327,-1,config_Holiday_Calendar_US),WORKDAY($A327,-1,config_Holiday_Calendar_US)),IF(ISNUMBER(_xll.BDH(config!$G$4,T$1,$A327,$A327)),_xll.BDH(config!$G$4,T$1,$A327,$A327),_xll.BDH(config!$G$5,T$1,$A327,$A327))))</f>
        <v>#N/A Requesting Data...</v>
      </c>
      <c r="U327" s="8" t="str">
        <f>IF($A327="","",IF(ISNUMBER(FIND("IMPVOL",U$1)),_xll.BDH(config!$G$4,U$1,WORKDAY($A327,-1,config_Holiday_Calendar_US),WORKDAY($A327,-1,config_Holiday_Calendar_US)),IF(ISNUMBER(_xll.BDH(config!$G$4,U$1,$A327,$A327)),_xll.BDH(config!$G$4,U$1,$A327,$A327),_xll.BDH(config!$G$5,U$1,$A327,$A327))))</f>
        <v>#N/A Requesting Data...</v>
      </c>
      <c r="V327" s="8" t="str">
        <f>IF($A327="","",IF(ISNUMBER(FIND("IMPVOL",V$1)),_xll.BDH(config!$G$4,V$1,WORKDAY($A327,-1,config_Holiday_Calendar_US),WORKDAY($A327,-1,config_Holiday_Calendar_US)),IF(ISNUMBER(_xll.BDH(config!$G$4,V$1,$A327,$A327)),_xll.BDH(config!$G$4,V$1,$A327,$A327),_xll.BDH(config!$G$5,V$1,$A327,$A327))))</f>
        <v>#N/A Requesting Data...</v>
      </c>
      <c r="W327" s="8" t="str">
        <f>IF($A327="","",IF(ISNUMBER(FIND("IMPVOL",W$1)),_xll.BDH(config!$G$4,W$1,WORKDAY($A327,-1,config_Holiday_Calendar_US),WORKDAY($A327,-1,config_Holiday_Calendar_US)),IF(ISNUMBER(_xll.BDH(config!$G$4,W$1,$A327,$A327)),_xll.BDH(config!$G$4,W$1,$A327,$A327),_xll.BDH(config!$G$5,W$1,$A327,$A327))))</f>
        <v>#N/A Requesting Data...</v>
      </c>
    </row>
    <row r="328" spans="1:23" x14ac:dyDescent="0.2">
      <c r="A328" s="9">
        <f>IF(A327="","",IF(WORKDAY(A327,-1,config_Holiday_Calendar_US)&lt;config!$I$10,"",WORKDAY(A327,-1,config_Holiday_Calendar_US)))</f>
        <v>42354</v>
      </c>
      <c r="B328" s="8" t="e">
        <f t="shared" si="5"/>
        <v>#VALUE!</v>
      </c>
      <c r="C328" s="8" t="str">
        <f>IF(A328="","",_xll.BDH(config!$H$4,C$1,$A328,$A328))</f>
        <v>#N/A Requesting Data...</v>
      </c>
      <c r="D328" s="8" t="str">
        <f>IF($A328="","",_xll.BDH(config!$H$4,D$1,$A328,$A328))</f>
        <v>#N/A Requesting Data...</v>
      </c>
      <c r="E328" s="8">
        <f>IF($A328="","",IF(ISNUMBER(FIND("IMPVOL",E$1)),_xll.BDH(config!$G$4,E$1,WORKDAY($A328,-1,config_Holiday_Calendar_US),WORKDAY($A328,-1,config_Holiday_Calendar_US)),IF(ISNUMBER(_xll.BDH(config!$G$4,E$1,$A328,$A328)),_xll.BDH(config!$G$4,E$1,$A328,$A328),_xll.BDH(config!$G$5,E$1,$A328,$A328))))</f>
        <v>36.79</v>
      </c>
      <c r="F328" s="8">
        <f>IF($A328="","",IF(ISNUMBER(FIND("IMPVOL",F$1)),_xll.BDH(config!$G$4,F$1,WORKDAY($A328,-1,config_Holiday_Calendar_US),WORKDAY($A328,-1,config_Holiday_Calendar_US)),IF(ISNUMBER(_xll.BDH(config!$G$4,F$1,$A328,$A328)),_xll.BDH(config!$G$4,F$1,$A328,$A328),_xll.BDH(config!$G$5,F$1,$A328,$A328))))</f>
        <v>37.35</v>
      </c>
      <c r="G328" s="8">
        <f>IF($A328="","",IF(ISNUMBER(FIND("IMPVOL",G$1)),_xll.BDH(config!$G$4,G$1,WORKDAY($A328,-1,config_Holiday_Calendar_US),WORKDAY($A328,-1,config_Holiday_Calendar_US)),IF(ISNUMBER(_xll.BDH(config!$G$4,G$1,$A328,$A328)),_xll.BDH(config!$G$4,G$1,$A328,$A328),_xll.BDH(config!$G$5,G$1,$A328,$A328))))</f>
        <v>36.54</v>
      </c>
      <c r="H328" s="8">
        <f>IF($A328="","",IF(ISNUMBER(FIND("IMPVOL",H$1)),_xll.BDH(config!$G$4,H$1,WORKDAY($A328,-1,config_Holiday_Calendar_US),WORKDAY($A328,-1,config_Holiday_Calendar_US)),IF(ISNUMBER(_xll.BDH(config!$G$4,H$1,$A328,$A328)),_xll.BDH(config!$G$4,H$1,$A328,$A328),_xll.BDH(config!$G$5,H$1,$A328,$A328))))</f>
        <v>300698</v>
      </c>
      <c r="I328" s="8" t="str">
        <f>IF($A328="","",IF(ISNUMBER(FIND("IMPVOL",I$1)),_xll.BDH(config!$G$4,I$1,WORKDAY($A328,-1,config_Holiday_Calendar_US),WORKDAY($A328,-1,config_Holiday_Calendar_US)),IF(ISNUMBER(_xll.BDH(config!$G$4,I$1,$A328,$A328)),_xll.BDH(config!$G$4,I$1,$A328,$A328),_xll.BDH(config!$G$5,I$1,$A328,$A328))))</f>
        <v>#N/A Requesting Data...</v>
      </c>
      <c r="J328" s="8" t="str">
        <f>IF($A328="","",IF(ISNUMBER(FIND("IMPVOL",J$1)),_xll.BDH(config!$G$4,J$1,WORKDAY($A328,-1,config_Holiday_Calendar_US),WORKDAY($A328,-1,config_Holiday_Calendar_US)),IF(ISNUMBER(_xll.BDH(config!$G$4,J$1,$A328,$A328)),_xll.BDH(config!$G$4,J$1,$A328,$A328),_xll.BDH(config!$G$5,J$1,$A328,$A328))))</f>
        <v>#N/A Requesting Data...</v>
      </c>
      <c r="K328" s="8" t="str">
        <f>IF($A328="","",IF(ISNUMBER(FIND("IMPVOL",K$1)),_xll.BDH(config!$G$4,K$1,WORKDAY($A328,-1,config_Holiday_Calendar_US),WORKDAY($A328,-1,config_Holiday_Calendar_US)),IF(ISNUMBER(_xll.BDH(config!$G$4,K$1,$A328,$A328)),_xll.BDH(config!$G$4,K$1,$A328,$A328),_xll.BDH(config!$G$5,K$1,$A328,$A328))))</f>
        <v>#N/A Requesting Data...</v>
      </c>
      <c r="L328" s="8" t="str">
        <f>IF($A328="","",IF(ISNUMBER(FIND("IMPVOL",L$1)),_xll.BDH(config!$G$4,L$1,WORKDAY($A328,-1,config_Holiday_Calendar_US),WORKDAY($A328,-1,config_Holiday_Calendar_US)),IF(ISNUMBER(_xll.BDH(config!$G$4,L$1,$A328,$A328)),_xll.BDH(config!$G$4,L$1,$A328,$A328),_xll.BDH(config!$G$5,L$1,$A328,$A328))))</f>
        <v>#N/A Requesting Data...</v>
      </c>
      <c r="M328" s="8" t="str">
        <f>IF($A328="","",IF(ISNUMBER(FIND("IMPVOL",M$1)),_xll.BDH(config!$G$4,M$1,WORKDAY($A328,-1,config_Holiday_Calendar_US),WORKDAY($A328,-1,config_Holiday_Calendar_US)),IF(ISNUMBER(_xll.BDH(config!$G$4,M$1,$A328,$A328)),_xll.BDH(config!$G$4,M$1,$A328,$A328),_xll.BDH(config!$G$5,M$1,$A328,$A328))))</f>
        <v>#N/A Requesting Data...</v>
      </c>
      <c r="N328" s="8" t="str">
        <f>IF($A328="","",IF(ISNUMBER(FIND("IMPVOL",N$1)),_xll.BDH(config!$G$4,N$1,WORKDAY($A328,-1,config_Holiday_Calendar_US),WORKDAY($A328,-1,config_Holiday_Calendar_US)),IF(ISNUMBER(_xll.BDH(config!$G$4,N$1,$A328,$A328)),_xll.BDH(config!$G$4,N$1,$A328,$A328),_xll.BDH(config!$G$5,N$1,$A328,$A328))))</f>
        <v>#N/A Requesting Data...</v>
      </c>
      <c r="O328" s="8" t="str">
        <f>IF($A328="","",IF(ISNUMBER(FIND("IMPVOL",O$1)),_xll.BDH(config!$G$4,O$1,WORKDAY($A328,-1,config_Holiday_Calendar_US),WORKDAY($A328,-1,config_Holiday_Calendar_US)),IF(ISNUMBER(_xll.BDH(config!$G$4,O$1,$A328,$A328)),_xll.BDH(config!$G$4,O$1,$A328,$A328),_xll.BDH(config!$G$5,O$1,$A328,$A328))))</f>
        <v>#N/A Requesting Data...</v>
      </c>
      <c r="P328" s="8" t="str">
        <f>IF($A328="","",IF(ISNUMBER(FIND("IMPVOL",P$1)),_xll.BDH(config!$G$4,P$1,WORKDAY($A328,-1,config_Holiday_Calendar_US),WORKDAY($A328,-1,config_Holiday_Calendar_US)),IF(ISNUMBER(_xll.BDH(config!$G$4,P$1,$A328,$A328)),_xll.BDH(config!$G$4,P$1,$A328,$A328),_xll.BDH(config!$G$5,P$1,$A328,$A328))))</f>
        <v>#N/A Requesting Data...</v>
      </c>
      <c r="Q328" s="8">
        <f>IF($A328="","",IF(ISNUMBER(FIND("IMPVOL",Q$1)),_xll.BDH(config!$G$4,Q$1,WORKDAY($A328,-1,config_Holiday_Calendar_US),WORKDAY($A328,-1,config_Holiday_Calendar_US)),IF(ISNUMBER(_xll.BDH(config!$G$4,Q$1,$A328,$A328)),_xll.BDH(config!$G$4,Q$1,$A328,$A328),_xll.BDH(config!$G$5,Q$1,$A328,$A328))))</f>
        <v>40.409999999999997</v>
      </c>
      <c r="R328" s="8">
        <f>IF($A328="","",IF(ISNUMBER(FIND("IMPVOL",R$1)),_xll.BDH(config!$G$4,R$1,WORKDAY($A328,-1,config_Holiday_Calendar_US),WORKDAY($A328,-1,config_Holiday_Calendar_US)),IF(ISNUMBER(_xll.BDH(config!$G$4,R$1,$A328,$A328)),_xll.BDH(config!$G$4,R$1,$A328,$A328),_xll.BDH(config!$G$5,R$1,$A328,$A328))))</f>
        <v>36.26</v>
      </c>
      <c r="S328" s="8" t="str">
        <f>IF($A328="","",IF(ISNUMBER(FIND("IMPVOL",S$1)),_xll.BDH(config!$G$4,S$1,WORKDAY($A328,-1,config_Holiday_Calendar_US),WORKDAY($A328,-1,config_Holiday_Calendar_US)),IF(ISNUMBER(_xll.BDH(config!$G$4,S$1,$A328,$A328)),_xll.BDH(config!$G$4,S$1,$A328,$A328),_xll.BDH(config!$G$5,S$1,$A328,$A328))))</f>
        <v>#N/A Requesting Data...</v>
      </c>
      <c r="T328" s="8" t="str">
        <f>IF($A328="","",IF(ISNUMBER(FIND("IMPVOL",T$1)),_xll.BDH(config!$G$4,T$1,WORKDAY($A328,-1,config_Holiday_Calendar_US),WORKDAY($A328,-1,config_Holiday_Calendar_US)),IF(ISNUMBER(_xll.BDH(config!$G$4,T$1,$A328,$A328)),_xll.BDH(config!$G$4,T$1,$A328,$A328),_xll.BDH(config!$G$5,T$1,$A328,$A328))))</f>
        <v>#N/A Requesting Data...</v>
      </c>
      <c r="U328" s="8" t="str">
        <f>IF($A328="","",IF(ISNUMBER(FIND("IMPVOL",U$1)),_xll.BDH(config!$G$4,U$1,WORKDAY($A328,-1,config_Holiday_Calendar_US),WORKDAY($A328,-1,config_Holiday_Calendar_US)),IF(ISNUMBER(_xll.BDH(config!$G$4,U$1,$A328,$A328)),_xll.BDH(config!$G$4,U$1,$A328,$A328),_xll.BDH(config!$G$5,U$1,$A328,$A328))))</f>
        <v>#N/A Requesting Data...</v>
      </c>
      <c r="V328" s="8" t="str">
        <f>IF($A328="","",IF(ISNUMBER(FIND("IMPVOL",V$1)),_xll.BDH(config!$G$4,V$1,WORKDAY($A328,-1,config_Holiday_Calendar_US),WORKDAY($A328,-1,config_Holiday_Calendar_US)),IF(ISNUMBER(_xll.BDH(config!$G$4,V$1,$A328,$A328)),_xll.BDH(config!$G$4,V$1,$A328,$A328),_xll.BDH(config!$G$5,V$1,$A328,$A328))))</f>
        <v>#N/A Requesting Data...</v>
      </c>
      <c r="W328" s="8" t="str">
        <f>IF($A328="","",IF(ISNUMBER(FIND("IMPVOL",W$1)),_xll.BDH(config!$G$4,W$1,WORKDAY($A328,-1,config_Holiday_Calendar_US),WORKDAY($A328,-1,config_Holiday_Calendar_US)),IF(ISNUMBER(_xll.BDH(config!$G$4,W$1,$A328,$A328)),_xll.BDH(config!$G$4,W$1,$A328,$A328),_xll.BDH(config!$G$5,W$1,$A328,$A328))))</f>
        <v>#N/A Requesting Data...</v>
      </c>
    </row>
    <row r="329" spans="1:23" x14ac:dyDescent="0.2">
      <c r="A329" s="9">
        <f>IF(A328="","",IF(WORKDAY(A328,-1,config_Holiday_Calendar_US)&lt;config!$I$10,"",WORKDAY(A328,-1,config_Holiday_Calendar_US)))</f>
        <v>42353</v>
      </c>
      <c r="B329" s="8" t="e">
        <f t="shared" si="5"/>
        <v>#VALUE!</v>
      </c>
      <c r="C329" s="8" t="str">
        <f>IF(A329="","",_xll.BDH(config!$H$4,C$1,$A329,$A329))</f>
        <v>#N/A Requesting Data...</v>
      </c>
      <c r="D329" s="8" t="str">
        <f>IF($A329="","",_xll.BDH(config!$H$4,D$1,$A329,$A329))</f>
        <v>#N/A Requesting Data...</v>
      </c>
      <c r="E329" s="8">
        <f>IF($A329="","",IF(ISNUMBER(FIND("IMPVOL",E$1)),_xll.BDH(config!$G$4,E$1,WORKDAY($A329,-1,config_Holiday_Calendar_US),WORKDAY($A329,-1,config_Holiday_Calendar_US)),IF(ISNUMBER(_xll.BDH(config!$G$4,E$1,$A329,$A329)),_xll.BDH(config!$G$4,E$1,$A329,$A329),_xll.BDH(config!$G$5,E$1,$A329,$A329))))</f>
        <v>36.32</v>
      </c>
      <c r="F329" s="8">
        <f>IF($A329="","",IF(ISNUMBER(FIND("IMPVOL",F$1)),_xll.BDH(config!$G$4,F$1,WORKDAY($A329,-1,config_Holiday_Calendar_US),WORKDAY($A329,-1,config_Holiday_Calendar_US)),IF(ISNUMBER(_xll.BDH(config!$G$4,F$1,$A329,$A329)),_xll.BDH(config!$G$4,F$1,$A329,$A329),_xll.BDH(config!$G$5,F$1,$A329,$A329))))</f>
        <v>37.880000000000003</v>
      </c>
      <c r="G329" s="8">
        <f>IF($A329="","",IF(ISNUMBER(FIND("IMPVOL",G$1)),_xll.BDH(config!$G$4,G$1,WORKDAY($A329,-1,config_Holiday_Calendar_US),WORKDAY($A329,-1,config_Holiday_Calendar_US)),IF(ISNUMBER(_xll.BDH(config!$G$4,G$1,$A329,$A329)),_xll.BDH(config!$G$4,G$1,$A329,$A329),_xll.BDH(config!$G$5,G$1,$A329,$A329))))</f>
        <v>37.340000000000003</v>
      </c>
      <c r="H329" s="8">
        <f>IF($A329="","",IF(ISNUMBER(FIND("IMPVOL",H$1)),_xll.BDH(config!$G$4,H$1,WORKDAY($A329,-1,config_Holiday_Calendar_US),WORKDAY($A329,-1,config_Holiday_Calendar_US)),IF(ISNUMBER(_xll.BDH(config!$G$4,H$1,$A329,$A329)),_xll.BDH(config!$G$4,H$1,$A329,$A329),_xll.BDH(config!$G$5,H$1,$A329,$A329))))</f>
        <v>273412</v>
      </c>
      <c r="I329" s="8" t="str">
        <f>IF($A329="","",IF(ISNUMBER(FIND("IMPVOL",I$1)),_xll.BDH(config!$G$4,I$1,WORKDAY($A329,-1,config_Holiday_Calendar_US),WORKDAY($A329,-1,config_Holiday_Calendar_US)),IF(ISNUMBER(_xll.BDH(config!$G$4,I$1,$A329,$A329)),_xll.BDH(config!$G$4,I$1,$A329,$A329),_xll.BDH(config!$G$5,I$1,$A329,$A329))))</f>
        <v>#N/A Requesting Data...</v>
      </c>
      <c r="J329" s="8" t="str">
        <f>IF($A329="","",IF(ISNUMBER(FIND("IMPVOL",J$1)),_xll.BDH(config!$G$4,J$1,WORKDAY($A329,-1,config_Holiday_Calendar_US),WORKDAY($A329,-1,config_Holiday_Calendar_US)),IF(ISNUMBER(_xll.BDH(config!$G$4,J$1,$A329,$A329)),_xll.BDH(config!$G$4,J$1,$A329,$A329),_xll.BDH(config!$G$5,J$1,$A329,$A329))))</f>
        <v>#N/A Requesting Data...</v>
      </c>
      <c r="K329" s="8" t="str">
        <f>IF($A329="","",IF(ISNUMBER(FIND("IMPVOL",K$1)),_xll.BDH(config!$G$4,K$1,WORKDAY($A329,-1,config_Holiday_Calendar_US),WORKDAY($A329,-1,config_Holiday_Calendar_US)),IF(ISNUMBER(_xll.BDH(config!$G$4,K$1,$A329,$A329)),_xll.BDH(config!$G$4,K$1,$A329,$A329),_xll.BDH(config!$G$5,K$1,$A329,$A329))))</f>
        <v>#N/A Requesting Data...</v>
      </c>
      <c r="L329" s="8" t="str">
        <f>IF($A329="","",IF(ISNUMBER(FIND("IMPVOL",L$1)),_xll.BDH(config!$G$4,L$1,WORKDAY($A329,-1,config_Holiday_Calendar_US),WORKDAY($A329,-1,config_Holiday_Calendar_US)),IF(ISNUMBER(_xll.BDH(config!$G$4,L$1,$A329,$A329)),_xll.BDH(config!$G$4,L$1,$A329,$A329),_xll.BDH(config!$G$5,L$1,$A329,$A329))))</f>
        <v>#N/A Requesting Data...</v>
      </c>
      <c r="M329" s="8" t="str">
        <f>IF($A329="","",IF(ISNUMBER(FIND("IMPVOL",M$1)),_xll.BDH(config!$G$4,M$1,WORKDAY($A329,-1,config_Holiday_Calendar_US),WORKDAY($A329,-1,config_Holiday_Calendar_US)),IF(ISNUMBER(_xll.BDH(config!$G$4,M$1,$A329,$A329)),_xll.BDH(config!$G$4,M$1,$A329,$A329),_xll.BDH(config!$G$5,M$1,$A329,$A329))))</f>
        <v>#N/A Requesting Data...</v>
      </c>
      <c r="N329" s="8" t="str">
        <f>IF($A329="","",IF(ISNUMBER(FIND("IMPVOL",N$1)),_xll.BDH(config!$G$4,N$1,WORKDAY($A329,-1,config_Holiday_Calendar_US),WORKDAY($A329,-1,config_Holiday_Calendar_US)),IF(ISNUMBER(_xll.BDH(config!$G$4,N$1,$A329,$A329)),_xll.BDH(config!$G$4,N$1,$A329,$A329),_xll.BDH(config!$G$5,N$1,$A329,$A329))))</f>
        <v>#N/A Requesting Data...</v>
      </c>
      <c r="O329" s="8" t="str">
        <f>IF($A329="","",IF(ISNUMBER(FIND("IMPVOL",O$1)),_xll.BDH(config!$G$4,O$1,WORKDAY($A329,-1,config_Holiday_Calendar_US),WORKDAY($A329,-1,config_Holiday_Calendar_US)),IF(ISNUMBER(_xll.BDH(config!$G$4,O$1,$A329,$A329)),_xll.BDH(config!$G$4,O$1,$A329,$A329),_xll.BDH(config!$G$5,O$1,$A329,$A329))))</f>
        <v>#N/A Requesting Data...</v>
      </c>
      <c r="P329" s="8" t="str">
        <f>IF($A329="","",IF(ISNUMBER(FIND("IMPVOL",P$1)),_xll.BDH(config!$G$4,P$1,WORKDAY($A329,-1,config_Holiday_Calendar_US),WORKDAY($A329,-1,config_Holiday_Calendar_US)),IF(ISNUMBER(_xll.BDH(config!$G$4,P$1,$A329,$A329)),_xll.BDH(config!$G$4,P$1,$A329,$A329),_xll.BDH(config!$G$5,P$1,$A329,$A329))))</f>
        <v>#N/A Requesting Data...</v>
      </c>
      <c r="Q329" s="8">
        <f>IF($A329="","",IF(ISNUMBER(FIND("IMPVOL",Q$1)),_xll.BDH(config!$G$4,Q$1,WORKDAY($A329,-1,config_Holiday_Calendar_US),WORKDAY($A329,-1,config_Holiday_Calendar_US)),IF(ISNUMBER(_xll.BDH(config!$G$4,Q$1,$A329,$A329)),_xll.BDH(config!$G$4,Q$1,$A329,$A329),_xll.BDH(config!$G$5,Q$1,$A329,$A329))))</f>
        <v>41.59</v>
      </c>
      <c r="R329" s="8">
        <f>IF($A329="","",IF(ISNUMBER(FIND("IMPVOL",R$1)),_xll.BDH(config!$G$4,R$1,WORKDAY($A329,-1,config_Holiday_Calendar_US),WORKDAY($A329,-1,config_Holiday_Calendar_US)),IF(ISNUMBER(_xll.BDH(config!$G$4,R$1,$A329,$A329)),_xll.BDH(config!$G$4,R$1,$A329,$A329),_xll.BDH(config!$G$5,R$1,$A329,$A329))))</f>
        <v>35.130000000000003</v>
      </c>
      <c r="S329" s="8" t="str">
        <f>IF($A329="","",IF(ISNUMBER(FIND("IMPVOL",S$1)),_xll.BDH(config!$G$4,S$1,WORKDAY($A329,-1,config_Holiday_Calendar_US),WORKDAY($A329,-1,config_Holiday_Calendar_US)),IF(ISNUMBER(_xll.BDH(config!$G$4,S$1,$A329,$A329)),_xll.BDH(config!$G$4,S$1,$A329,$A329),_xll.BDH(config!$G$5,S$1,$A329,$A329))))</f>
        <v>#N/A Requesting Data...</v>
      </c>
      <c r="T329" s="8" t="str">
        <f>IF($A329="","",IF(ISNUMBER(FIND("IMPVOL",T$1)),_xll.BDH(config!$G$4,T$1,WORKDAY($A329,-1,config_Holiday_Calendar_US),WORKDAY($A329,-1,config_Holiday_Calendar_US)),IF(ISNUMBER(_xll.BDH(config!$G$4,T$1,$A329,$A329)),_xll.BDH(config!$G$4,T$1,$A329,$A329),_xll.BDH(config!$G$5,T$1,$A329,$A329))))</f>
        <v>#N/A Requesting Data...</v>
      </c>
      <c r="U329" s="8" t="str">
        <f>IF($A329="","",IF(ISNUMBER(FIND("IMPVOL",U$1)),_xll.BDH(config!$G$4,U$1,WORKDAY($A329,-1,config_Holiday_Calendar_US),WORKDAY($A329,-1,config_Holiday_Calendar_US)),IF(ISNUMBER(_xll.BDH(config!$G$4,U$1,$A329,$A329)),_xll.BDH(config!$G$4,U$1,$A329,$A329),_xll.BDH(config!$G$5,U$1,$A329,$A329))))</f>
        <v>#N/A Requesting Data...</v>
      </c>
      <c r="V329" s="8" t="str">
        <f>IF($A329="","",IF(ISNUMBER(FIND("IMPVOL",V$1)),_xll.BDH(config!$G$4,V$1,WORKDAY($A329,-1,config_Holiday_Calendar_US),WORKDAY($A329,-1,config_Holiday_Calendar_US)),IF(ISNUMBER(_xll.BDH(config!$G$4,V$1,$A329,$A329)),_xll.BDH(config!$G$4,V$1,$A329,$A329),_xll.BDH(config!$G$5,V$1,$A329,$A329))))</f>
        <v>#N/A Requesting Data...</v>
      </c>
      <c r="W329" s="8" t="str">
        <f>IF($A329="","",IF(ISNUMBER(FIND("IMPVOL",W$1)),_xll.BDH(config!$G$4,W$1,WORKDAY($A329,-1,config_Holiday_Calendar_US),WORKDAY($A329,-1,config_Holiday_Calendar_US)),IF(ISNUMBER(_xll.BDH(config!$G$4,W$1,$A329,$A329)),_xll.BDH(config!$G$4,W$1,$A329,$A329),_xll.BDH(config!$G$5,W$1,$A329,$A329))))</f>
        <v>#N/A Requesting Data...</v>
      </c>
    </row>
    <row r="330" spans="1:23" x14ac:dyDescent="0.2">
      <c r="A330" s="9">
        <f>IF(A329="","",IF(WORKDAY(A329,-1,config_Holiday_Calendar_US)&lt;config!$I$10,"",WORKDAY(A329,-1,config_Holiday_Calendar_US)))</f>
        <v>42352</v>
      </c>
      <c r="B330" s="8" t="e">
        <f t="shared" si="5"/>
        <v>#VALUE!</v>
      </c>
      <c r="C330" s="8" t="str">
        <f>IF(A330="","",_xll.BDH(config!$H$4,C$1,$A330,$A330))</f>
        <v>#N/A Requesting Data...</v>
      </c>
      <c r="D330" s="8" t="str">
        <f>IF($A330="","",_xll.BDH(config!$H$4,D$1,$A330,$A330))</f>
        <v>#N/A Requesting Data...</v>
      </c>
      <c r="E330" s="8">
        <f>IF($A330="","",IF(ISNUMBER(FIND("IMPVOL",E$1)),_xll.BDH(config!$G$4,E$1,WORKDAY($A330,-1,config_Holiday_Calendar_US),WORKDAY($A330,-1,config_Holiday_Calendar_US)),IF(ISNUMBER(_xll.BDH(config!$G$4,E$1,$A330,$A330)),_xll.BDH(config!$G$4,E$1,$A330,$A330),_xll.BDH(config!$G$5,E$1,$A330,$A330))))</f>
        <v>35.4</v>
      </c>
      <c r="F330" s="8">
        <f>IF($A330="","",IF(ISNUMBER(FIND("IMPVOL",F$1)),_xll.BDH(config!$G$4,F$1,WORKDAY($A330,-1,config_Holiday_Calendar_US),WORKDAY($A330,-1,config_Holiday_Calendar_US)),IF(ISNUMBER(_xll.BDH(config!$G$4,F$1,$A330,$A330)),_xll.BDH(config!$G$4,F$1,$A330,$A330),_xll.BDH(config!$G$5,F$1,$A330,$A330))))</f>
        <v>36.700000000000003</v>
      </c>
      <c r="G330" s="8">
        <f>IF($A330="","",IF(ISNUMBER(FIND("IMPVOL",G$1)),_xll.BDH(config!$G$4,G$1,WORKDAY($A330,-1,config_Holiday_Calendar_US),WORKDAY($A330,-1,config_Holiday_Calendar_US)),IF(ISNUMBER(_xll.BDH(config!$G$4,G$1,$A330,$A330)),_xll.BDH(config!$G$4,G$1,$A330,$A330),_xll.BDH(config!$G$5,G$1,$A330,$A330))))</f>
        <v>36.1</v>
      </c>
      <c r="H330" s="8">
        <f>IF($A330="","",IF(ISNUMBER(FIND("IMPVOL",H$1)),_xll.BDH(config!$G$4,H$1,WORKDAY($A330,-1,config_Holiday_Calendar_US),WORKDAY($A330,-1,config_Holiday_Calendar_US)),IF(ISNUMBER(_xll.BDH(config!$G$4,H$1,$A330,$A330)),_xll.BDH(config!$G$4,H$1,$A330,$A330),_xll.BDH(config!$G$5,H$1,$A330,$A330))))</f>
        <v>234759</v>
      </c>
      <c r="I330" s="8" t="str">
        <f>IF($A330="","",IF(ISNUMBER(FIND("IMPVOL",I$1)),_xll.BDH(config!$G$4,I$1,WORKDAY($A330,-1,config_Holiday_Calendar_US),WORKDAY($A330,-1,config_Holiday_Calendar_US)),IF(ISNUMBER(_xll.BDH(config!$G$4,I$1,$A330,$A330)),_xll.BDH(config!$G$4,I$1,$A330,$A330),_xll.BDH(config!$G$5,I$1,$A330,$A330))))</f>
        <v>#N/A Requesting Data...</v>
      </c>
      <c r="J330" s="8" t="str">
        <f>IF($A330="","",IF(ISNUMBER(FIND("IMPVOL",J$1)),_xll.BDH(config!$G$4,J$1,WORKDAY($A330,-1,config_Holiday_Calendar_US),WORKDAY($A330,-1,config_Holiday_Calendar_US)),IF(ISNUMBER(_xll.BDH(config!$G$4,J$1,$A330,$A330)),_xll.BDH(config!$G$4,J$1,$A330,$A330),_xll.BDH(config!$G$5,J$1,$A330,$A330))))</f>
        <v>#N/A Requesting Data...</v>
      </c>
      <c r="K330" s="8" t="str">
        <f>IF($A330="","",IF(ISNUMBER(FIND("IMPVOL",K$1)),_xll.BDH(config!$G$4,K$1,WORKDAY($A330,-1,config_Holiday_Calendar_US),WORKDAY($A330,-1,config_Holiday_Calendar_US)),IF(ISNUMBER(_xll.BDH(config!$G$4,K$1,$A330,$A330)),_xll.BDH(config!$G$4,K$1,$A330,$A330),_xll.BDH(config!$G$5,K$1,$A330,$A330))))</f>
        <v>#N/A Requesting Data...</v>
      </c>
      <c r="L330" s="8" t="str">
        <f>IF($A330="","",IF(ISNUMBER(FIND("IMPVOL",L$1)),_xll.BDH(config!$G$4,L$1,WORKDAY($A330,-1,config_Holiday_Calendar_US),WORKDAY($A330,-1,config_Holiday_Calendar_US)),IF(ISNUMBER(_xll.BDH(config!$G$4,L$1,$A330,$A330)),_xll.BDH(config!$G$4,L$1,$A330,$A330),_xll.BDH(config!$G$5,L$1,$A330,$A330))))</f>
        <v>#N/A Requesting Data...</v>
      </c>
      <c r="M330" s="8" t="str">
        <f>IF($A330="","",IF(ISNUMBER(FIND("IMPVOL",M$1)),_xll.BDH(config!$G$4,M$1,WORKDAY($A330,-1,config_Holiday_Calendar_US),WORKDAY($A330,-1,config_Holiday_Calendar_US)),IF(ISNUMBER(_xll.BDH(config!$G$4,M$1,$A330,$A330)),_xll.BDH(config!$G$4,M$1,$A330,$A330),_xll.BDH(config!$G$5,M$1,$A330,$A330))))</f>
        <v>#N/A Requesting Data...</v>
      </c>
      <c r="N330" s="8" t="str">
        <f>IF($A330="","",IF(ISNUMBER(FIND("IMPVOL",N$1)),_xll.BDH(config!$G$4,N$1,WORKDAY($A330,-1,config_Holiday_Calendar_US),WORKDAY($A330,-1,config_Holiday_Calendar_US)),IF(ISNUMBER(_xll.BDH(config!$G$4,N$1,$A330,$A330)),_xll.BDH(config!$G$4,N$1,$A330,$A330),_xll.BDH(config!$G$5,N$1,$A330,$A330))))</f>
        <v>#N/A Requesting Data...</v>
      </c>
      <c r="O330" s="8" t="str">
        <f>IF($A330="","",IF(ISNUMBER(FIND("IMPVOL",O$1)),_xll.BDH(config!$G$4,O$1,WORKDAY($A330,-1,config_Holiday_Calendar_US),WORKDAY($A330,-1,config_Holiday_Calendar_US)),IF(ISNUMBER(_xll.BDH(config!$G$4,O$1,$A330,$A330)),_xll.BDH(config!$G$4,O$1,$A330,$A330),_xll.BDH(config!$G$5,O$1,$A330,$A330))))</f>
        <v>#N/A Requesting Data...</v>
      </c>
      <c r="P330" s="8" t="str">
        <f>IF($A330="","",IF(ISNUMBER(FIND("IMPVOL",P$1)),_xll.BDH(config!$G$4,P$1,WORKDAY($A330,-1,config_Holiday_Calendar_US),WORKDAY($A330,-1,config_Holiday_Calendar_US)),IF(ISNUMBER(_xll.BDH(config!$G$4,P$1,$A330,$A330)),_xll.BDH(config!$G$4,P$1,$A330,$A330),_xll.BDH(config!$G$5,P$1,$A330,$A330))))</f>
        <v>#N/A Requesting Data...</v>
      </c>
      <c r="Q330" s="8">
        <f>IF($A330="","",IF(ISNUMBER(FIND("IMPVOL",Q$1)),_xll.BDH(config!$G$4,Q$1,WORKDAY($A330,-1,config_Holiday_Calendar_US),WORKDAY($A330,-1,config_Holiday_Calendar_US)),IF(ISNUMBER(_xll.BDH(config!$G$4,Q$1,$A330,$A330)),_xll.BDH(config!$G$4,Q$1,$A330,$A330),_xll.BDH(config!$G$5,Q$1,$A330,$A330))))</f>
        <v>40.11</v>
      </c>
      <c r="R330" s="8">
        <f>IF($A330="","",IF(ISNUMBER(FIND("IMPVOL",R$1)),_xll.BDH(config!$G$4,R$1,WORKDAY($A330,-1,config_Holiday_Calendar_US),WORKDAY($A330,-1,config_Holiday_Calendar_US)),IF(ISNUMBER(_xll.BDH(config!$G$4,R$1,$A330,$A330)),_xll.BDH(config!$G$4,R$1,$A330,$A330),_xll.BDH(config!$G$5,R$1,$A330,$A330))))</f>
        <v>36.409999999999997</v>
      </c>
      <c r="S330" s="8" t="str">
        <f>IF($A330="","",IF(ISNUMBER(FIND("IMPVOL",S$1)),_xll.BDH(config!$G$4,S$1,WORKDAY($A330,-1,config_Holiday_Calendar_US),WORKDAY($A330,-1,config_Holiday_Calendar_US)),IF(ISNUMBER(_xll.BDH(config!$G$4,S$1,$A330,$A330)),_xll.BDH(config!$G$4,S$1,$A330,$A330),_xll.BDH(config!$G$5,S$1,$A330,$A330))))</f>
        <v>#N/A Requesting Data...</v>
      </c>
      <c r="T330" s="8" t="str">
        <f>IF($A330="","",IF(ISNUMBER(FIND("IMPVOL",T$1)),_xll.BDH(config!$G$4,T$1,WORKDAY($A330,-1,config_Holiday_Calendar_US),WORKDAY($A330,-1,config_Holiday_Calendar_US)),IF(ISNUMBER(_xll.BDH(config!$G$4,T$1,$A330,$A330)),_xll.BDH(config!$G$4,T$1,$A330,$A330),_xll.BDH(config!$G$5,T$1,$A330,$A330))))</f>
        <v>#N/A Requesting Data...</v>
      </c>
      <c r="U330" s="8" t="str">
        <f>IF($A330="","",IF(ISNUMBER(FIND("IMPVOL",U$1)),_xll.BDH(config!$G$4,U$1,WORKDAY($A330,-1,config_Holiday_Calendar_US),WORKDAY($A330,-1,config_Holiday_Calendar_US)),IF(ISNUMBER(_xll.BDH(config!$G$4,U$1,$A330,$A330)),_xll.BDH(config!$G$4,U$1,$A330,$A330),_xll.BDH(config!$G$5,U$1,$A330,$A330))))</f>
        <v>#N/A Requesting Data...</v>
      </c>
      <c r="V330" s="8" t="str">
        <f>IF($A330="","",IF(ISNUMBER(FIND("IMPVOL",V$1)),_xll.BDH(config!$G$4,V$1,WORKDAY($A330,-1,config_Holiday_Calendar_US),WORKDAY($A330,-1,config_Holiday_Calendar_US)),IF(ISNUMBER(_xll.BDH(config!$G$4,V$1,$A330,$A330)),_xll.BDH(config!$G$4,V$1,$A330,$A330),_xll.BDH(config!$G$5,V$1,$A330,$A330))))</f>
        <v>#N/A Requesting Data...</v>
      </c>
      <c r="W330" s="8" t="str">
        <f>IF($A330="","",IF(ISNUMBER(FIND("IMPVOL",W$1)),_xll.BDH(config!$G$4,W$1,WORKDAY($A330,-1,config_Holiday_Calendar_US),WORKDAY($A330,-1,config_Holiday_Calendar_US)),IF(ISNUMBER(_xll.BDH(config!$G$4,W$1,$A330,$A330)),_xll.BDH(config!$G$4,W$1,$A330,$A330),_xll.BDH(config!$G$5,W$1,$A330,$A330))))</f>
        <v>#N/A Requesting Data...</v>
      </c>
    </row>
    <row r="331" spans="1:23" x14ac:dyDescent="0.2">
      <c r="A331" s="9">
        <f>IF(A330="","",IF(WORKDAY(A330,-1,config_Holiday_Calendar_US)&lt;config!$I$10,"",WORKDAY(A330,-1,config_Holiday_Calendar_US)))</f>
        <v>42349</v>
      </c>
      <c r="B331" s="8" t="e">
        <f t="shared" si="5"/>
        <v>#VALUE!</v>
      </c>
      <c r="C331" s="8" t="str">
        <f>IF(A331="","",_xll.BDH(config!$H$4,C$1,$A331,$A331))</f>
        <v>#N/A Requesting Data...</v>
      </c>
      <c r="D331" s="8" t="str">
        <f>IF($A331="","",_xll.BDH(config!$H$4,D$1,$A331,$A331))</f>
        <v>#N/A Requesting Data...</v>
      </c>
      <c r="E331" s="8">
        <f>IF($A331="","",IF(ISNUMBER(FIND("IMPVOL",E$1)),_xll.BDH(config!$G$4,E$1,WORKDAY($A331,-1,config_Holiday_Calendar_US),WORKDAY($A331,-1,config_Holiday_Calendar_US)),IF(ISNUMBER(_xll.BDH(config!$G$4,E$1,$A331,$A331)),_xll.BDH(config!$G$4,E$1,$A331,$A331),_xll.BDH(config!$G$5,E$1,$A331,$A331))))</f>
        <v>36.630000000000003</v>
      </c>
      <c r="F331" s="8">
        <f>IF($A331="","",IF(ISNUMBER(FIND("IMPVOL",F$1)),_xll.BDH(config!$G$4,F$1,WORKDAY($A331,-1,config_Holiday_Calendar_US),WORKDAY($A331,-1,config_Holiday_Calendar_US)),IF(ISNUMBER(_xll.BDH(config!$G$4,F$1,$A331,$A331)),_xll.BDH(config!$G$4,F$1,$A331,$A331),_xll.BDH(config!$G$5,F$1,$A331,$A331))))</f>
        <v>36.840000000000003</v>
      </c>
      <c r="G331" s="8">
        <f>IF($A331="","",IF(ISNUMBER(FIND("IMPVOL",G$1)),_xll.BDH(config!$G$4,G$1,WORKDAY($A331,-1,config_Holiday_Calendar_US),WORKDAY($A331,-1,config_Holiday_Calendar_US)),IF(ISNUMBER(_xll.BDH(config!$G$4,G$1,$A331,$A331)),_xll.BDH(config!$G$4,G$1,$A331,$A331),_xll.BDH(config!$G$5,G$1,$A331,$A331))))</f>
        <v>36.82</v>
      </c>
      <c r="H331" s="8">
        <f>IF($A331="","",IF(ISNUMBER(FIND("IMPVOL",H$1)),_xll.BDH(config!$G$4,H$1,WORKDAY($A331,-1,config_Holiday_Calendar_US),WORKDAY($A331,-1,config_Holiday_Calendar_US)),IF(ISNUMBER(_xll.BDH(config!$G$4,H$1,$A331,$A331)),_xll.BDH(config!$G$4,H$1,$A331,$A331),_xll.BDH(config!$G$5,H$1,$A331,$A331))))</f>
        <v>228159</v>
      </c>
      <c r="I331" s="8" t="str">
        <f>IF($A331="","",IF(ISNUMBER(FIND("IMPVOL",I$1)),_xll.BDH(config!$G$4,I$1,WORKDAY($A331,-1,config_Holiday_Calendar_US),WORKDAY($A331,-1,config_Holiday_Calendar_US)),IF(ISNUMBER(_xll.BDH(config!$G$4,I$1,$A331,$A331)),_xll.BDH(config!$G$4,I$1,$A331,$A331),_xll.BDH(config!$G$5,I$1,$A331,$A331))))</f>
        <v>#N/A Requesting Data...</v>
      </c>
      <c r="J331" s="8" t="str">
        <f>IF($A331="","",IF(ISNUMBER(FIND("IMPVOL",J$1)),_xll.BDH(config!$G$4,J$1,WORKDAY($A331,-1,config_Holiday_Calendar_US),WORKDAY($A331,-1,config_Holiday_Calendar_US)),IF(ISNUMBER(_xll.BDH(config!$G$4,J$1,$A331,$A331)),_xll.BDH(config!$G$4,J$1,$A331,$A331),_xll.BDH(config!$G$5,J$1,$A331,$A331))))</f>
        <v>#N/A Requesting Data...</v>
      </c>
      <c r="K331" s="8" t="str">
        <f>IF($A331="","",IF(ISNUMBER(FIND("IMPVOL",K$1)),_xll.BDH(config!$G$4,K$1,WORKDAY($A331,-1,config_Holiday_Calendar_US),WORKDAY($A331,-1,config_Holiday_Calendar_US)),IF(ISNUMBER(_xll.BDH(config!$G$4,K$1,$A331,$A331)),_xll.BDH(config!$G$4,K$1,$A331,$A331),_xll.BDH(config!$G$5,K$1,$A331,$A331))))</f>
        <v>#N/A Requesting Data...</v>
      </c>
      <c r="L331" s="8" t="str">
        <f>IF($A331="","",IF(ISNUMBER(FIND("IMPVOL",L$1)),_xll.BDH(config!$G$4,L$1,WORKDAY($A331,-1,config_Holiday_Calendar_US),WORKDAY($A331,-1,config_Holiday_Calendar_US)),IF(ISNUMBER(_xll.BDH(config!$G$4,L$1,$A331,$A331)),_xll.BDH(config!$G$4,L$1,$A331,$A331),_xll.BDH(config!$G$5,L$1,$A331,$A331))))</f>
        <v>#N/A Requesting Data...</v>
      </c>
      <c r="M331" s="8" t="str">
        <f>IF($A331="","",IF(ISNUMBER(FIND("IMPVOL",M$1)),_xll.BDH(config!$G$4,M$1,WORKDAY($A331,-1,config_Holiday_Calendar_US),WORKDAY($A331,-1,config_Holiday_Calendar_US)),IF(ISNUMBER(_xll.BDH(config!$G$4,M$1,$A331,$A331)),_xll.BDH(config!$G$4,M$1,$A331,$A331),_xll.BDH(config!$G$5,M$1,$A331,$A331))))</f>
        <v>#N/A Requesting Data...</v>
      </c>
      <c r="N331" s="8" t="str">
        <f>IF($A331="","",IF(ISNUMBER(FIND("IMPVOL",N$1)),_xll.BDH(config!$G$4,N$1,WORKDAY($A331,-1,config_Holiday_Calendar_US),WORKDAY($A331,-1,config_Holiday_Calendar_US)),IF(ISNUMBER(_xll.BDH(config!$G$4,N$1,$A331,$A331)),_xll.BDH(config!$G$4,N$1,$A331,$A331),_xll.BDH(config!$G$5,N$1,$A331,$A331))))</f>
        <v>#N/A Requesting Data...</v>
      </c>
      <c r="O331" s="8" t="str">
        <f>IF($A331="","",IF(ISNUMBER(FIND("IMPVOL",O$1)),_xll.BDH(config!$G$4,O$1,WORKDAY($A331,-1,config_Holiday_Calendar_US),WORKDAY($A331,-1,config_Holiday_Calendar_US)),IF(ISNUMBER(_xll.BDH(config!$G$4,O$1,$A331,$A331)),_xll.BDH(config!$G$4,O$1,$A331,$A331),_xll.BDH(config!$G$5,O$1,$A331,$A331))))</f>
        <v>#N/A Requesting Data...</v>
      </c>
      <c r="P331" s="8" t="str">
        <f>IF($A331="","",IF(ISNUMBER(FIND("IMPVOL",P$1)),_xll.BDH(config!$G$4,P$1,WORKDAY($A331,-1,config_Holiday_Calendar_US),WORKDAY($A331,-1,config_Holiday_Calendar_US)),IF(ISNUMBER(_xll.BDH(config!$G$4,P$1,$A331,$A331)),_xll.BDH(config!$G$4,P$1,$A331,$A331),_xll.BDH(config!$G$5,P$1,$A331,$A331))))</f>
        <v>#N/A Requesting Data...</v>
      </c>
      <c r="Q331" s="8">
        <f>IF($A331="","",IF(ISNUMBER(FIND("IMPVOL",Q$1)),_xll.BDH(config!$G$4,Q$1,WORKDAY($A331,-1,config_Holiday_Calendar_US),WORKDAY($A331,-1,config_Holiday_Calendar_US)),IF(ISNUMBER(_xll.BDH(config!$G$4,Q$1,$A331,$A331)),_xll.BDH(config!$G$4,Q$1,$A331,$A331),_xll.BDH(config!$G$5,Q$1,$A331,$A331))))</f>
        <v>39.119999999999997</v>
      </c>
      <c r="R331" s="8">
        <f>IF($A331="","",IF(ISNUMBER(FIND("IMPVOL",R$1)),_xll.BDH(config!$G$4,R$1,WORKDAY($A331,-1,config_Holiday_Calendar_US),WORKDAY($A331,-1,config_Holiday_Calendar_US)),IF(ISNUMBER(_xll.BDH(config!$G$4,R$1,$A331,$A331)),_xll.BDH(config!$G$4,R$1,$A331,$A331),_xll.BDH(config!$G$5,R$1,$A331,$A331))))</f>
        <v>36.020000000000003</v>
      </c>
      <c r="S331" s="8" t="str">
        <f>IF($A331="","",IF(ISNUMBER(FIND("IMPVOL",S$1)),_xll.BDH(config!$G$4,S$1,WORKDAY($A331,-1,config_Holiday_Calendar_US),WORKDAY($A331,-1,config_Holiday_Calendar_US)),IF(ISNUMBER(_xll.BDH(config!$G$4,S$1,$A331,$A331)),_xll.BDH(config!$G$4,S$1,$A331,$A331),_xll.BDH(config!$G$5,S$1,$A331,$A331))))</f>
        <v>#N/A Requesting Data...</v>
      </c>
      <c r="T331" s="8" t="str">
        <f>IF($A331="","",IF(ISNUMBER(FIND("IMPVOL",T$1)),_xll.BDH(config!$G$4,T$1,WORKDAY($A331,-1,config_Holiday_Calendar_US),WORKDAY($A331,-1,config_Holiday_Calendar_US)),IF(ISNUMBER(_xll.BDH(config!$G$4,T$1,$A331,$A331)),_xll.BDH(config!$G$4,T$1,$A331,$A331),_xll.BDH(config!$G$5,T$1,$A331,$A331))))</f>
        <v>#N/A Requesting Data...</v>
      </c>
      <c r="U331" s="8" t="str">
        <f>IF($A331="","",IF(ISNUMBER(FIND("IMPVOL",U$1)),_xll.BDH(config!$G$4,U$1,WORKDAY($A331,-1,config_Holiday_Calendar_US),WORKDAY($A331,-1,config_Holiday_Calendar_US)),IF(ISNUMBER(_xll.BDH(config!$G$4,U$1,$A331,$A331)),_xll.BDH(config!$G$4,U$1,$A331,$A331),_xll.BDH(config!$G$5,U$1,$A331,$A331))))</f>
        <v>#N/A Requesting Data...</v>
      </c>
      <c r="V331" s="8" t="str">
        <f>IF($A331="","",IF(ISNUMBER(FIND("IMPVOL",V$1)),_xll.BDH(config!$G$4,V$1,WORKDAY($A331,-1,config_Holiday_Calendar_US),WORKDAY($A331,-1,config_Holiday_Calendar_US)),IF(ISNUMBER(_xll.BDH(config!$G$4,V$1,$A331,$A331)),_xll.BDH(config!$G$4,V$1,$A331,$A331),_xll.BDH(config!$G$5,V$1,$A331,$A331))))</f>
        <v>#N/A Requesting Data...</v>
      </c>
      <c r="W331" s="8" t="str">
        <f>IF($A331="","",IF(ISNUMBER(FIND("IMPVOL",W$1)),_xll.BDH(config!$G$4,W$1,WORKDAY($A331,-1,config_Holiday_Calendar_US),WORKDAY($A331,-1,config_Holiday_Calendar_US)),IF(ISNUMBER(_xll.BDH(config!$G$4,W$1,$A331,$A331)),_xll.BDH(config!$G$4,W$1,$A331,$A331),_xll.BDH(config!$G$5,W$1,$A331,$A331))))</f>
        <v>#N/A Requesting Data...</v>
      </c>
    </row>
    <row r="332" spans="1:23" x14ac:dyDescent="0.2">
      <c r="A332" s="9">
        <f>IF(A331="","",IF(WORKDAY(A331,-1,config_Holiday_Calendar_US)&lt;config!$I$10,"",WORKDAY(A331,-1,config_Holiday_Calendar_US)))</f>
        <v>42348</v>
      </c>
      <c r="B332" s="8" t="e">
        <f t="shared" si="5"/>
        <v>#VALUE!</v>
      </c>
      <c r="C332" s="8" t="str">
        <f>IF(A332="","",_xll.BDH(config!$H$4,C$1,$A332,$A332))</f>
        <v>#N/A Requesting Data...</v>
      </c>
      <c r="D332" s="8" t="str">
        <f>IF($A332="","",_xll.BDH(config!$H$4,D$1,$A332,$A332))</f>
        <v>#N/A Requesting Data...</v>
      </c>
      <c r="E332" s="8">
        <f>IF($A332="","",IF(ISNUMBER(FIND("IMPVOL",E$1)),_xll.BDH(config!$G$4,E$1,WORKDAY($A332,-1,config_Holiday_Calendar_US),WORKDAY($A332,-1,config_Holiday_Calendar_US)),IF(ISNUMBER(_xll.BDH(config!$G$4,E$1,$A332,$A332)),_xll.BDH(config!$G$4,E$1,$A332,$A332),_xll.BDH(config!$G$5,E$1,$A332,$A332))))</f>
        <v>37.270000000000003</v>
      </c>
      <c r="F332" s="8">
        <f>IF($A332="","",IF(ISNUMBER(FIND("IMPVOL",F$1)),_xll.BDH(config!$G$4,F$1,WORKDAY($A332,-1,config_Holiday_Calendar_US),WORKDAY($A332,-1,config_Holiday_Calendar_US)),IF(ISNUMBER(_xll.BDH(config!$G$4,F$1,$A332,$A332)),_xll.BDH(config!$G$4,F$1,$A332,$A332),_xll.BDH(config!$G$5,F$1,$A332,$A332))))</f>
        <v>37.54</v>
      </c>
      <c r="G332" s="8">
        <f>IF($A332="","",IF(ISNUMBER(FIND("IMPVOL",G$1)),_xll.BDH(config!$G$4,G$1,WORKDAY($A332,-1,config_Holiday_Calendar_US),WORKDAY($A332,-1,config_Holiday_Calendar_US)),IF(ISNUMBER(_xll.BDH(config!$G$4,G$1,$A332,$A332)),_xll.BDH(config!$G$4,G$1,$A332,$A332),_xll.BDH(config!$G$5,G$1,$A332,$A332))))</f>
        <v>38.08</v>
      </c>
      <c r="H332" s="8">
        <f>IF($A332="","",IF(ISNUMBER(FIND("IMPVOL",H$1)),_xll.BDH(config!$G$4,H$1,WORKDAY($A332,-1,config_Holiday_Calendar_US),WORKDAY($A332,-1,config_Holiday_Calendar_US)),IF(ISNUMBER(_xll.BDH(config!$G$4,H$1,$A332,$A332)),_xll.BDH(config!$G$4,H$1,$A332,$A332),_xll.BDH(config!$G$5,H$1,$A332,$A332))))</f>
        <v>228071</v>
      </c>
      <c r="I332" s="8" t="str">
        <f>IF($A332="","",IF(ISNUMBER(FIND("IMPVOL",I$1)),_xll.BDH(config!$G$4,I$1,WORKDAY($A332,-1,config_Holiday_Calendar_US),WORKDAY($A332,-1,config_Holiday_Calendar_US)),IF(ISNUMBER(_xll.BDH(config!$G$4,I$1,$A332,$A332)),_xll.BDH(config!$G$4,I$1,$A332,$A332),_xll.BDH(config!$G$5,I$1,$A332,$A332))))</f>
        <v>#N/A Requesting Data...</v>
      </c>
      <c r="J332" s="8" t="str">
        <f>IF($A332="","",IF(ISNUMBER(FIND("IMPVOL",J$1)),_xll.BDH(config!$G$4,J$1,WORKDAY($A332,-1,config_Holiday_Calendar_US),WORKDAY($A332,-1,config_Holiday_Calendar_US)),IF(ISNUMBER(_xll.BDH(config!$G$4,J$1,$A332,$A332)),_xll.BDH(config!$G$4,J$1,$A332,$A332),_xll.BDH(config!$G$5,J$1,$A332,$A332))))</f>
        <v>#N/A Requesting Data...</v>
      </c>
      <c r="K332" s="8" t="str">
        <f>IF($A332="","",IF(ISNUMBER(FIND("IMPVOL",K$1)),_xll.BDH(config!$G$4,K$1,WORKDAY($A332,-1,config_Holiday_Calendar_US),WORKDAY($A332,-1,config_Holiday_Calendar_US)),IF(ISNUMBER(_xll.BDH(config!$G$4,K$1,$A332,$A332)),_xll.BDH(config!$G$4,K$1,$A332,$A332),_xll.BDH(config!$G$5,K$1,$A332,$A332))))</f>
        <v>#N/A Requesting Data...</v>
      </c>
      <c r="L332" s="8" t="str">
        <f>IF($A332="","",IF(ISNUMBER(FIND("IMPVOL",L$1)),_xll.BDH(config!$G$4,L$1,WORKDAY($A332,-1,config_Holiday_Calendar_US),WORKDAY($A332,-1,config_Holiday_Calendar_US)),IF(ISNUMBER(_xll.BDH(config!$G$4,L$1,$A332,$A332)),_xll.BDH(config!$G$4,L$1,$A332,$A332),_xll.BDH(config!$G$5,L$1,$A332,$A332))))</f>
        <v>#N/A Requesting Data...</v>
      </c>
      <c r="M332" s="8" t="str">
        <f>IF($A332="","",IF(ISNUMBER(FIND("IMPVOL",M$1)),_xll.BDH(config!$G$4,M$1,WORKDAY($A332,-1,config_Holiday_Calendar_US),WORKDAY($A332,-1,config_Holiday_Calendar_US)),IF(ISNUMBER(_xll.BDH(config!$G$4,M$1,$A332,$A332)),_xll.BDH(config!$G$4,M$1,$A332,$A332),_xll.BDH(config!$G$5,M$1,$A332,$A332))))</f>
        <v>#N/A Requesting Data...</v>
      </c>
      <c r="N332" s="8" t="str">
        <f>IF($A332="","",IF(ISNUMBER(FIND("IMPVOL",N$1)),_xll.BDH(config!$G$4,N$1,WORKDAY($A332,-1,config_Holiday_Calendar_US),WORKDAY($A332,-1,config_Holiday_Calendar_US)),IF(ISNUMBER(_xll.BDH(config!$G$4,N$1,$A332,$A332)),_xll.BDH(config!$G$4,N$1,$A332,$A332),_xll.BDH(config!$G$5,N$1,$A332,$A332))))</f>
        <v>#N/A Requesting Data...</v>
      </c>
      <c r="O332" s="8" t="str">
        <f>IF($A332="","",IF(ISNUMBER(FIND("IMPVOL",O$1)),_xll.BDH(config!$G$4,O$1,WORKDAY($A332,-1,config_Holiday_Calendar_US),WORKDAY($A332,-1,config_Holiday_Calendar_US)),IF(ISNUMBER(_xll.BDH(config!$G$4,O$1,$A332,$A332)),_xll.BDH(config!$G$4,O$1,$A332,$A332),_xll.BDH(config!$G$5,O$1,$A332,$A332))))</f>
        <v>#N/A Requesting Data...</v>
      </c>
      <c r="P332" s="8" t="str">
        <f>IF($A332="","",IF(ISNUMBER(FIND("IMPVOL",P$1)),_xll.BDH(config!$G$4,P$1,WORKDAY($A332,-1,config_Holiday_Calendar_US),WORKDAY($A332,-1,config_Holiday_Calendar_US)),IF(ISNUMBER(_xll.BDH(config!$G$4,P$1,$A332,$A332)),_xll.BDH(config!$G$4,P$1,$A332,$A332),_xll.BDH(config!$G$5,P$1,$A332,$A332))))</f>
        <v>#N/A Requesting Data...</v>
      </c>
      <c r="Q332" s="8">
        <f>IF($A332="","",IF(ISNUMBER(FIND("IMPVOL",Q$1)),_xll.BDH(config!$G$4,Q$1,WORKDAY($A332,-1,config_Holiday_Calendar_US),WORKDAY($A332,-1,config_Holiday_Calendar_US)),IF(ISNUMBER(_xll.BDH(config!$G$4,Q$1,$A332,$A332)),_xll.BDH(config!$G$4,Q$1,$A332,$A332),_xll.BDH(config!$G$5,Q$1,$A332,$A332))))</f>
        <v>38.520000000000003</v>
      </c>
      <c r="R332" s="8">
        <f>IF($A332="","",IF(ISNUMBER(FIND("IMPVOL",R$1)),_xll.BDH(config!$G$4,R$1,WORKDAY($A332,-1,config_Holiday_Calendar_US),WORKDAY($A332,-1,config_Holiday_Calendar_US)),IF(ISNUMBER(_xll.BDH(config!$G$4,R$1,$A332,$A332)),_xll.BDH(config!$G$4,R$1,$A332,$A332),_xll.BDH(config!$G$5,R$1,$A332,$A332))))</f>
        <v>35.799999999999997</v>
      </c>
      <c r="S332" s="8" t="str">
        <f>IF($A332="","",IF(ISNUMBER(FIND("IMPVOL",S$1)),_xll.BDH(config!$G$4,S$1,WORKDAY($A332,-1,config_Holiday_Calendar_US),WORKDAY($A332,-1,config_Holiday_Calendar_US)),IF(ISNUMBER(_xll.BDH(config!$G$4,S$1,$A332,$A332)),_xll.BDH(config!$G$4,S$1,$A332,$A332),_xll.BDH(config!$G$5,S$1,$A332,$A332))))</f>
        <v>#N/A Requesting Data...</v>
      </c>
      <c r="T332" s="8" t="str">
        <f>IF($A332="","",IF(ISNUMBER(FIND("IMPVOL",T$1)),_xll.BDH(config!$G$4,T$1,WORKDAY($A332,-1,config_Holiday_Calendar_US),WORKDAY($A332,-1,config_Holiday_Calendar_US)),IF(ISNUMBER(_xll.BDH(config!$G$4,T$1,$A332,$A332)),_xll.BDH(config!$G$4,T$1,$A332,$A332),_xll.BDH(config!$G$5,T$1,$A332,$A332))))</f>
        <v>#N/A Requesting Data...</v>
      </c>
      <c r="U332" s="8" t="str">
        <f>IF($A332="","",IF(ISNUMBER(FIND("IMPVOL",U$1)),_xll.BDH(config!$G$4,U$1,WORKDAY($A332,-1,config_Holiday_Calendar_US),WORKDAY($A332,-1,config_Holiday_Calendar_US)),IF(ISNUMBER(_xll.BDH(config!$G$4,U$1,$A332,$A332)),_xll.BDH(config!$G$4,U$1,$A332,$A332),_xll.BDH(config!$G$5,U$1,$A332,$A332))))</f>
        <v>#N/A Requesting Data...</v>
      </c>
      <c r="V332" s="8" t="str">
        <f>IF($A332="","",IF(ISNUMBER(FIND("IMPVOL",V$1)),_xll.BDH(config!$G$4,V$1,WORKDAY($A332,-1,config_Holiday_Calendar_US),WORKDAY($A332,-1,config_Holiday_Calendar_US)),IF(ISNUMBER(_xll.BDH(config!$G$4,V$1,$A332,$A332)),_xll.BDH(config!$G$4,V$1,$A332,$A332),_xll.BDH(config!$G$5,V$1,$A332,$A332))))</f>
        <v>#N/A Requesting Data...</v>
      </c>
      <c r="W332" s="8" t="str">
        <f>IF($A332="","",IF(ISNUMBER(FIND("IMPVOL",W$1)),_xll.BDH(config!$G$4,W$1,WORKDAY($A332,-1,config_Holiday_Calendar_US),WORKDAY($A332,-1,config_Holiday_Calendar_US)),IF(ISNUMBER(_xll.BDH(config!$G$4,W$1,$A332,$A332)),_xll.BDH(config!$G$4,W$1,$A332,$A332),_xll.BDH(config!$G$5,W$1,$A332,$A332))))</f>
        <v>#N/A Requesting Data...</v>
      </c>
    </row>
    <row r="333" spans="1:23" x14ac:dyDescent="0.2">
      <c r="A333" s="9">
        <f>IF(A332="","",IF(WORKDAY(A332,-1,config_Holiday_Calendar_US)&lt;config!$I$10,"",WORKDAY(A332,-1,config_Holiday_Calendar_US)))</f>
        <v>42347</v>
      </c>
      <c r="B333" s="8" t="e">
        <f t="shared" si="5"/>
        <v>#VALUE!</v>
      </c>
      <c r="C333" s="8" t="str">
        <f>IF(A333="","",_xll.BDH(config!$H$4,C$1,$A333,$A333))</f>
        <v>#N/A Requesting Data...</v>
      </c>
      <c r="D333" s="8" t="str">
        <f>IF($A333="","",_xll.BDH(config!$H$4,D$1,$A333,$A333))</f>
        <v>#N/A Requesting Data...</v>
      </c>
      <c r="E333" s="8">
        <f>IF($A333="","",IF(ISNUMBER(FIND("IMPVOL",E$1)),_xll.BDH(config!$G$4,E$1,WORKDAY($A333,-1,config_Holiday_Calendar_US),WORKDAY($A333,-1,config_Holiday_Calendar_US)),IF(ISNUMBER(_xll.BDH(config!$G$4,E$1,$A333,$A333)),_xll.BDH(config!$G$4,E$1,$A333,$A333),_xll.BDH(config!$G$5,E$1,$A333,$A333))))</f>
        <v>37.86</v>
      </c>
      <c r="F333" s="8">
        <f>IF($A333="","",IF(ISNUMBER(FIND("IMPVOL",F$1)),_xll.BDH(config!$G$4,F$1,WORKDAY($A333,-1,config_Holiday_Calendar_US),WORKDAY($A333,-1,config_Holiday_Calendar_US)),IF(ISNUMBER(_xll.BDH(config!$G$4,F$1,$A333,$A333)),_xll.BDH(config!$G$4,F$1,$A333,$A333),_xll.BDH(config!$G$5,F$1,$A333,$A333))))</f>
        <v>38.99</v>
      </c>
      <c r="G333" s="8">
        <f>IF($A333="","",IF(ISNUMBER(FIND("IMPVOL",G$1)),_xll.BDH(config!$G$4,G$1,WORKDAY($A333,-1,config_Holiday_Calendar_US),WORKDAY($A333,-1,config_Holiday_Calendar_US)),IF(ISNUMBER(_xll.BDH(config!$G$4,G$1,$A333,$A333)),_xll.BDH(config!$G$4,G$1,$A333,$A333),_xll.BDH(config!$G$5,G$1,$A333,$A333))))</f>
        <v>38.299999999999997</v>
      </c>
      <c r="H333" s="8">
        <f>IF($A333="","",IF(ISNUMBER(FIND("IMPVOL",H$1)),_xll.BDH(config!$G$4,H$1,WORKDAY($A333,-1,config_Holiday_Calendar_US),WORKDAY($A333,-1,config_Holiday_Calendar_US)),IF(ISNUMBER(_xll.BDH(config!$G$4,H$1,$A333,$A333)),_xll.BDH(config!$G$4,H$1,$A333,$A333),_xll.BDH(config!$G$5,H$1,$A333,$A333))))</f>
        <v>266971</v>
      </c>
      <c r="I333" s="8" t="str">
        <f>IF($A333="","",IF(ISNUMBER(FIND("IMPVOL",I$1)),_xll.BDH(config!$G$4,I$1,WORKDAY($A333,-1,config_Holiday_Calendar_US),WORKDAY($A333,-1,config_Holiday_Calendar_US)),IF(ISNUMBER(_xll.BDH(config!$G$4,I$1,$A333,$A333)),_xll.BDH(config!$G$4,I$1,$A333,$A333),_xll.BDH(config!$G$5,I$1,$A333,$A333))))</f>
        <v>#N/A Requesting Data...</v>
      </c>
      <c r="J333" s="8" t="str">
        <f>IF($A333="","",IF(ISNUMBER(FIND("IMPVOL",J$1)),_xll.BDH(config!$G$4,J$1,WORKDAY($A333,-1,config_Holiday_Calendar_US),WORKDAY($A333,-1,config_Holiday_Calendar_US)),IF(ISNUMBER(_xll.BDH(config!$G$4,J$1,$A333,$A333)),_xll.BDH(config!$G$4,J$1,$A333,$A333),_xll.BDH(config!$G$5,J$1,$A333,$A333))))</f>
        <v>#N/A Requesting Data...</v>
      </c>
      <c r="K333" s="8" t="str">
        <f>IF($A333="","",IF(ISNUMBER(FIND("IMPVOL",K$1)),_xll.BDH(config!$G$4,K$1,WORKDAY($A333,-1,config_Holiday_Calendar_US),WORKDAY($A333,-1,config_Holiday_Calendar_US)),IF(ISNUMBER(_xll.BDH(config!$G$4,K$1,$A333,$A333)),_xll.BDH(config!$G$4,K$1,$A333,$A333),_xll.BDH(config!$G$5,K$1,$A333,$A333))))</f>
        <v>#N/A Requesting Data...</v>
      </c>
      <c r="L333" s="8" t="str">
        <f>IF($A333="","",IF(ISNUMBER(FIND("IMPVOL",L$1)),_xll.BDH(config!$G$4,L$1,WORKDAY($A333,-1,config_Holiday_Calendar_US),WORKDAY($A333,-1,config_Holiday_Calendar_US)),IF(ISNUMBER(_xll.BDH(config!$G$4,L$1,$A333,$A333)),_xll.BDH(config!$G$4,L$1,$A333,$A333),_xll.BDH(config!$G$5,L$1,$A333,$A333))))</f>
        <v>#N/A Requesting Data...</v>
      </c>
      <c r="M333" s="8" t="str">
        <f>IF($A333="","",IF(ISNUMBER(FIND("IMPVOL",M$1)),_xll.BDH(config!$G$4,M$1,WORKDAY($A333,-1,config_Holiday_Calendar_US),WORKDAY($A333,-1,config_Holiday_Calendar_US)),IF(ISNUMBER(_xll.BDH(config!$G$4,M$1,$A333,$A333)),_xll.BDH(config!$G$4,M$1,$A333,$A333),_xll.BDH(config!$G$5,M$1,$A333,$A333))))</f>
        <v>#N/A Requesting Data...</v>
      </c>
      <c r="N333" s="8" t="str">
        <f>IF($A333="","",IF(ISNUMBER(FIND("IMPVOL",N$1)),_xll.BDH(config!$G$4,N$1,WORKDAY($A333,-1,config_Holiday_Calendar_US),WORKDAY($A333,-1,config_Holiday_Calendar_US)),IF(ISNUMBER(_xll.BDH(config!$G$4,N$1,$A333,$A333)),_xll.BDH(config!$G$4,N$1,$A333,$A333),_xll.BDH(config!$G$5,N$1,$A333,$A333))))</f>
        <v>#N/A Requesting Data...</v>
      </c>
      <c r="O333" s="8" t="str">
        <f>IF($A333="","",IF(ISNUMBER(FIND("IMPVOL",O$1)),_xll.BDH(config!$G$4,O$1,WORKDAY($A333,-1,config_Holiday_Calendar_US),WORKDAY($A333,-1,config_Holiday_Calendar_US)),IF(ISNUMBER(_xll.BDH(config!$G$4,O$1,$A333,$A333)),_xll.BDH(config!$G$4,O$1,$A333,$A333),_xll.BDH(config!$G$5,O$1,$A333,$A333))))</f>
        <v>#N/A Requesting Data...</v>
      </c>
      <c r="P333" s="8" t="str">
        <f>IF($A333="","",IF(ISNUMBER(FIND("IMPVOL",P$1)),_xll.BDH(config!$G$4,P$1,WORKDAY($A333,-1,config_Holiday_Calendar_US),WORKDAY($A333,-1,config_Holiday_Calendar_US)),IF(ISNUMBER(_xll.BDH(config!$G$4,P$1,$A333,$A333)),_xll.BDH(config!$G$4,P$1,$A333,$A333),_xll.BDH(config!$G$5,P$1,$A333,$A333))))</f>
        <v>#N/A Requesting Data...</v>
      </c>
      <c r="Q333" s="8">
        <f>IF($A333="","",IF(ISNUMBER(FIND("IMPVOL",Q$1)),_xll.BDH(config!$G$4,Q$1,WORKDAY($A333,-1,config_Holiday_Calendar_US),WORKDAY($A333,-1,config_Holiday_Calendar_US)),IF(ISNUMBER(_xll.BDH(config!$G$4,Q$1,$A333,$A333)),_xll.BDH(config!$G$4,Q$1,$A333,$A333),_xll.BDH(config!$G$5,Q$1,$A333,$A333))))</f>
        <v>39.479999999999997</v>
      </c>
      <c r="R333" s="8">
        <f>IF($A333="","",IF(ISNUMBER(FIND("IMPVOL",R$1)),_xll.BDH(config!$G$4,R$1,WORKDAY($A333,-1,config_Holiday_Calendar_US),WORKDAY($A333,-1,config_Holiday_Calendar_US)),IF(ISNUMBER(_xll.BDH(config!$G$4,R$1,$A333,$A333)),_xll.BDH(config!$G$4,R$1,$A333,$A333),_xll.BDH(config!$G$5,R$1,$A333,$A333))))</f>
        <v>35.9</v>
      </c>
      <c r="S333" s="8" t="str">
        <f>IF($A333="","",IF(ISNUMBER(FIND("IMPVOL",S$1)),_xll.BDH(config!$G$4,S$1,WORKDAY($A333,-1,config_Holiday_Calendar_US),WORKDAY($A333,-1,config_Holiday_Calendar_US)),IF(ISNUMBER(_xll.BDH(config!$G$4,S$1,$A333,$A333)),_xll.BDH(config!$G$4,S$1,$A333,$A333),_xll.BDH(config!$G$5,S$1,$A333,$A333))))</f>
        <v>#N/A Requesting Data...</v>
      </c>
      <c r="T333" s="8" t="str">
        <f>IF($A333="","",IF(ISNUMBER(FIND("IMPVOL",T$1)),_xll.BDH(config!$G$4,T$1,WORKDAY($A333,-1,config_Holiday_Calendar_US),WORKDAY($A333,-1,config_Holiday_Calendar_US)),IF(ISNUMBER(_xll.BDH(config!$G$4,T$1,$A333,$A333)),_xll.BDH(config!$G$4,T$1,$A333,$A333),_xll.BDH(config!$G$5,T$1,$A333,$A333))))</f>
        <v>#N/A Requesting Data...</v>
      </c>
      <c r="U333" s="8" t="str">
        <f>IF($A333="","",IF(ISNUMBER(FIND("IMPVOL",U$1)),_xll.BDH(config!$G$4,U$1,WORKDAY($A333,-1,config_Holiday_Calendar_US),WORKDAY($A333,-1,config_Holiday_Calendar_US)),IF(ISNUMBER(_xll.BDH(config!$G$4,U$1,$A333,$A333)),_xll.BDH(config!$G$4,U$1,$A333,$A333),_xll.BDH(config!$G$5,U$1,$A333,$A333))))</f>
        <v>#N/A Requesting Data...</v>
      </c>
      <c r="V333" s="8" t="str">
        <f>IF($A333="","",IF(ISNUMBER(FIND("IMPVOL",V$1)),_xll.BDH(config!$G$4,V$1,WORKDAY($A333,-1,config_Holiday_Calendar_US),WORKDAY($A333,-1,config_Holiday_Calendar_US)),IF(ISNUMBER(_xll.BDH(config!$G$4,V$1,$A333,$A333)),_xll.BDH(config!$G$4,V$1,$A333,$A333),_xll.BDH(config!$G$5,V$1,$A333,$A333))))</f>
        <v>#N/A Requesting Data...</v>
      </c>
      <c r="W333" s="8" t="str">
        <f>IF($A333="","",IF(ISNUMBER(FIND("IMPVOL",W$1)),_xll.BDH(config!$G$4,W$1,WORKDAY($A333,-1,config_Holiday_Calendar_US),WORKDAY($A333,-1,config_Holiday_Calendar_US)),IF(ISNUMBER(_xll.BDH(config!$G$4,W$1,$A333,$A333)),_xll.BDH(config!$G$4,W$1,$A333,$A333),_xll.BDH(config!$G$5,W$1,$A333,$A333))))</f>
        <v>#N/A Requesting Data...</v>
      </c>
    </row>
    <row r="334" spans="1:23" x14ac:dyDescent="0.2">
      <c r="A334" s="9">
        <f>IF(A333="","",IF(WORKDAY(A333,-1,config_Holiday_Calendar_US)&lt;config!$I$10,"",WORKDAY(A333,-1,config_Holiday_Calendar_US)))</f>
        <v>42346</v>
      </c>
      <c r="B334" s="8" t="e">
        <f t="shared" si="5"/>
        <v>#VALUE!</v>
      </c>
      <c r="C334" s="8" t="str">
        <f>IF(A334="","",_xll.BDH(config!$H$4,C$1,$A334,$A334))</f>
        <v>#N/A Requesting Data...</v>
      </c>
      <c r="D334" s="8" t="str">
        <f>IF($A334="","",_xll.BDH(config!$H$4,D$1,$A334,$A334))</f>
        <v>#N/A Requesting Data...</v>
      </c>
      <c r="E334" s="8">
        <f>IF($A334="","",IF(ISNUMBER(FIND("IMPVOL",E$1)),_xll.BDH(config!$G$4,E$1,WORKDAY($A334,-1,config_Holiday_Calendar_US),WORKDAY($A334,-1,config_Holiday_Calendar_US)),IF(ISNUMBER(_xll.BDH(config!$G$4,E$1,$A334,$A334)),_xll.BDH(config!$G$4,E$1,$A334,$A334),_xll.BDH(config!$G$5,E$1,$A334,$A334))))</f>
        <v>37.68</v>
      </c>
      <c r="F334" s="8">
        <f>IF($A334="","",IF(ISNUMBER(FIND("IMPVOL",F$1)),_xll.BDH(config!$G$4,F$1,WORKDAY($A334,-1,config_Holiday_Calendar_US),WORKDAY($A334,-1,config_Holiday_Calendar_US)),IF(ISNUMBER(_xll.BDH(config!$G$4,F$1,$A334,$A334)),_xll.BDH(config!$G$4,F$1,$A334,$A334),_xll.BDH(config!$G$5,F$1,$A334,$A334))))</f>
        <v>38.58</v>
      </c>
      <c r="G334" s="8">
        <f>IF($A334="","",IF(ISNUMBER(FIND("IMPVOL",G$1)),_xll.BDH(config!$G$4,G$1,WORKDAY($A334,-1,config_Holiday_Calendar_US),WORKDAY($A334,-1,config_Holiday_Calendar_US)),IF(ISNUMBER(_xll.BDH(config!$G$4,G$1,$A334,$A334)),_xll.BDH(config!$G$4,G$1,$A334,$A334),_xll.BDH(config!$G$5,G$1,$A334,$A334))))</f>
        <v>38.29</v>
      </c>
      <c r="H334" s="8">
        <f>IF($A334="","",IF(ISNUMBER(FIND("IMPVOL",H$1)),_xll.BDH(config!$G$4,H$1,WORKDAY($A334,-1,config_Holiday_Calendar_US),WORKDAY($A334,-1,config_Holiday_Calendar_US)),IF(ISNUMBER(_xll.BDH(config!$G$4,H$1,$A334,$A334)),_xll.BDH(config!$G$4,H$1,$A334,$A334),_xll.BDH(config!$G$5,H$1,$A334,$A334))))</f>
        <v>352770</v>
      </c>
      <c r="I334" s="8" t="str">
        <f>IF($A334="","",IF(ISNUMBER(FIND("IMPVOL",I$1)),_xll.BDH(config!$G$4,I$1,WORKDAY($A334,-1,config_Holiday_Calendar_US),WORKDAY($A334,-1,config_Holiday_Calendar_US)),IF(ISNUMBER(_xll.BDH(config!$G$4,I$1,$A334,$A334)),_xll.BDH(config!$G$4,I$1,$A334,$A334),_xll.BDH(config!$G$5,I$1,$A334,$A334))))</f>
        <v>#N/A Requesting Data...</v>
      </c>
      <c r="J334" s="8" t="str">
        <f>IF($A334="","",IF(ISNUMBER(FIND("IMPVOL",J$1)),_xll.BDH(config!$G$4,J$1,WORKDAY($A334,-1,config_Holiday_Calendar_US),WORKDAY($A334,-1,config_Holiday_Calendar_US)),IF(ISNUMBER(_xll.BDH(config!$G$4,J$1,$A334,$A334)),_xll.BDH(config!$G$4,J$1,$A334,$A334),_xll.BDH(config!$G$5,J$1,$A334,$A334))))</f>
        <v>#N/A Requesting Data...</v>
      </c>
      <c r="K334" s="8" t="str">
        <f>IF($A334="","",IF(ISNUMBER(FIND("IMPVOL",K$1)),_xll.BDH(config!$G$4,K$1,WORKDAY($A334,-1,config_Holiday_Calendar_US),WORKDAY($A334,-1,config_Holiday_Calendar_US)),IF(ISNUMBER(_xll.BDH(config!$G$4,K$1,$A334,$A334)),_xll.BDH(config!$G$4,K$1,$A334,$A334),_xll.BDH(config!$G$5,K$1,$A334,$A334))))</f>
        <v>#N/A Requesting Data...</v>
      </c>
      <c r="L334" s="8" t="str">
        <f>IF($A334="","",IF(ISNUMBER(FIND("IMPVOL",L$1)),_xll.BDH(config!$G$4,L$1,WORKDAY($A334,-1,config_Holiday_Calendar_US),WORKDAY($A334,-1,config_Holiday_Calendar_US)),IF(ISNUMBER(_xll.BDH(config!$G$4,L$1,$A334,$A334)),_xll.BDH(config!$G$4,L$1,$A334,$A334),_xll.BDH(config!$G$5,L$1,$A334,$A334))))</f>
        <v>#N/A Requesting Data...</v>
      </c>
      <c r="M334" s="8" t="str">
        <f>IF($A334="","",IF(ISNUMBER(FIND("IMPVOL",M$1)),_xll.BDH(config!$G$4,M$1,WORKDAY($A334,-1,config_Holiday_Calendar_US),WORKDAY($A334,-1,config_Holiday_Calendar_US)),IF(ISNUMBER(_xll.BDH(config!$G$4,M$1,$A334,$A334)),_xll.BDH(config!$G$4,M$1,$A334,$A334),_xll.BDH(config!$G$5,M$1,$A334,$A334))))</f>
        <v>#N/A Requesting Data...</v>
      </c>
      <c r="N334" s="8" t="str">
        <f>IF($A334="","",IF(ISNUMBER(FIND("IMPVOL",N$1)),_xll.BDH(config!$G$4,N$1,WORKDAY($A334,-1,config_Holiday_Calendar_US),WORKDAY($A334,-1,config_Holiday_Calendar_US)),IF(ISNUMBER(_xll.BDH(config!$G$4,N$1,$A334,$A334)),_xll.BDH(config!$G$4,N$1,$A334,$A334),_xll.BDH(config!$G$5,N$1,$A334,$A334))))</f>
        <v>#N/A Requesting Data...</v>
      </c>
      <c r="O334" s="8" t="str">
        <f>IF($A334="","",IF(ISNUMBER(FIND("IMPVOL",O$1)),_xll.BDH(config!$G$4,O$1,WORKDAY($A334,-1,config_Holiday_Calendar_US),WORKDAY($A334,-1,config_Holiday_Calendar_US)),IF(ISNUMBER(_xll.BDH(config!$G$4,O$1,$A334,$A334)),_xll.BDH(config!$G$4,O$1,$A334,$A334),_xll.BDH(config!$G$5,O$1,$A334,$A334))))</f>
        <v>#N/A Requesting Data...</v>
      </c>
      <c r="P334" s="8" t="str">
        <f>IF($A334="","",IF(ISNUMBER(FIND("IMPVOL",P$1)),_xll.BDH(config!$G$4,P$1,WORKDAY($A334,-1,config_Holiday_Calendar_US),WORKDAY($A334,-1,config_Holiday_Calendar_US)),IF(ISNUMBER(_xll.BDH(config!$G$4,P$1,$A334,$A334)),_xll.BDH(config!$G$4,P$1,$A334,$A334),_xll.BDH(config!$G$5,P$1,$A334,$A334))))</f>
        <v>#N/A Requesting Data...</v>
      </c>
      <c r="Q334" s="8">
        <f>IF($A334="","",IF(ISNUMBER(FIND("IMPVOL",Q$1)),_xll.BDH(config!$G$4,Q$1,WORKDAY($A334,-1,config_Holiday_Calendar_US),WORKDAY($A334,-1,config_Holiday_Calendar_US)),IF(ISNUMBER(_xll.BDH(config!$G$4,Q$1,$A334,$A334)),_xll.BDH(config!$G$4,Q$1,$A334,$A334),_xll.BDH(config!$G$5,Q$1,$A334,$A334))))</f>
        <v>40.32</v>
      </c>
      <c r="R334" s="8">
        <f>IF($A334="","",IF(ISNUMBER(FIND("IMPVOL",R$1)),_xll.BDH(config!$G$4,R$1,WORKDAY($A334,-1,config_Holiday_Calendar_US),WORKDAY($A334,-1,config_Holiday_Calendar_US)),IF(ISNUMBER(_xll.BDH(config!$G$4,R$1,$A334,$A334)),_xll.BDH(config!$G$4,R$1,$A334,$A334),_xll.BDH(config!$G$5,R$1,$A334,$A334))))</f>
        <v>40.96</v>
      </c>
      <c r="S334" s="8" t="str">
        <f>IF($A334="","",IF(ISNUMBER(FIND("IMPVOL",S$1)),_xll.BDH(config!$G$4,S$1,WORKDAY($A334,-1,config_Holiday_Calendar_US),WORKDAY($A334,-1,config_Holiday_Calendar_US)),IF(ISNUMBER(_xll.BDH(config!$G$4,S$1,$A334,$A334)),_xll.BDH(config!$G$4,S$1,$A334,$A334),_xll.BDH(config!$G$5,S$1,$A334,$A334))))</f>
        <v>#N/A Requesting Data...</v>
      </c>
      <c r="T334" s="8" t="str">
        <f>IF($A334="","",IF(ISNUMBER(FIND("IMPVOL",T$1)),_xll.BDH(config!$G$4,T$1,WORKDAY($A334,-1,config_Holiday_Calendar_US),WORKDAY($A334,-1,config_Holiday_Calendar_US)),IF(ISNUMBER(_xll.BDH(config!$G$4,T$1,$A334,$A334)),_xll.BDH(config!$G$4,T$1,$A334,$A334),_xll.BDH(config!$G$5,T$1,$A334,$A334))))</f>
        <v>#N/A Requesting Data...</v>
      </c>
      <c r="U334" s="8" t="str">
        <f>IF($A334="","",IF(ISNUMBER(FIND("IMPVOL",U$1)),_xll.BDH(config!$G$4,U$1,WORKDAY($A334,-1,config_Holiday_Calendar_US),WORKDAY($A334,-1,config_Holiday_Calendar_US)),IF(ISNUMBER(_xll.BDH(config!$G$4,U$1,$A334,$A334)),_xll.BDH(config!$G$4,U$1,$A334,$A334),_xll.BDH(config!$G$5,U$1,$A334,$A334))))</f>
        <v>#N/A Requesting Data...</v>
      </c>
      <c r="V334" s="8" t="str">
        <f>IF($A334="","",IF(ISNUMBER(FIND("IMPVOL",V$1)),_xll.BDH(config!$G$4,V$1,WORKDAY($A334,-1,config_Holiday_Calendar_US),WORKDAY($A334,-1,config_Holiday_Calendar_US)),IF(ISNUMBER(_xll.BDH(config!$G$4,V$1,$A334,$A334)),_xll.BDH(config!$G$4,V$1,$A334,$A334),_xll.BDH(config!$G$5,V$1,$A334,$A334))))</f>
        <v>#N/A Requesting Data...</v>
      </c>
      <c r="W334" s="8" t="str">
        <f>IF($A334="","",IF(ISNUMBER(FIND("IMPVOL",W$1)),_xll.BDH(config!$G$4,W$1,WORKDAY($A334,-1,config_Holiday_Calendar_US),WORKDAY($A334,-1,config_Holiday_Calendar_US)),IF(ISNUMBER(_xll.BDH(config!$G$4,W$1,$A334,$A334)),_xll.BDH(config!$G$4,W$1,$A334,$A334),_xll.BDH(config!$G$5,W$1,$A334,$A334))))</f>
        <v>#N/A Requesting Data...</v>
      </c>
    </row>
    <row r="335" spans="1:23" x14ac:dyDescent="0.2">
      <c r="A335" s="9">
        <f>IF(A334="","",IF(WORKDAY(A334,-1,config_Holiday_Calendar_US)&lt;config!$I$10,"",WORKDAY(A334,-1,config_Holiday_Calendar_US)))</f>
        <v>42345</v>
      </c>
      <c r="B335" s="8" t="e">
        <f t="shared" si="5"/>
        <v>#VALUE!</v>
      </c>
      <c r="C335" s="8" t="str">
        <f>IF(A335="","",_xll.BDH(config!$H$4,C$1,$A335,$A335))</f>
        <v>#N/A Requesting Data...</v>
      </c>
      <c r="D335" s="8" t="str">
        <f>IF($A335="","",_xll.BDH(config!$H$4,D$1,$A335,$A335))</f>
        <v>#N/A Requesting Data...</v>
      </c>
      <c r="E335" s="8">
        <f>IF($A335="","",IF(ISNUMBER(FIND("IMPVOL",E$1)),_xll.BDH(config!$G$4,E$1,WORKDAY($A335,-1,config_Holiday_Calendar_US),WORKDAY($A335,-1,config_Holiday_Calendar_US)),IF(ISNUMBER(_xll.BDH(config!$G$4,E$1,$A335,$A335)),_xll.BDH(config!$G$4,E$1,$A335,$A335),_xll.BDH(config!$G$5,E$1,$A335,$A335))))</f>
        <v>40.1</v>
      </c>
      <c r="F335" s="8">
        <f>IF($A335="","",IF(ISNUMBER(FIND("IMPVOL",F$1)),_xll.BDH(config!$G$4,F$1,WORKDAY($A335,-1,config_Holiday_Calendar_US),WORKDAY($A335,-1,config_Holiday_Calendar_US)),IF(ISNUMBER(_xll.BDH(config!$G$4,F$1,$A335,$A335)),_xll.BDH(config!$G$4,F$1,$A335,$A335),_xll.BDH(config!$G$5,F$1,$A335,$A335))))</f>
        <v>40.15</v>
      </c>
      <c r="G335" s="8">
        <f>IF($A335="","",IF(ISNUMBER(FIND("IMPVOL",G$1)),_xll.BDH(config!$G$4,G$1,WORKDAY($A335,-1,config_Holiday_Calendar_US),WORKDAY($A335,-1,config_Holiday_Calendar_US)),IF(ISNUMBER(_xll.BDH(config!$G$4,G$1,$A335,$A335)),_xll.BDH(config!$G$4,G$1,$A335,$A335),_xll.BDH(config!$G$5,G$1,$A335,$A335))))</f>
        <v>39.090000000000003</v>
      </c>
      <c r="H335" s="8">
        <f>IF($A335="","",IF(ISNUMBER(FIND("IMPVOL",H$1)),_xll.BDH(config!$G$4,H$1,WORKDAY($A335,-1,config_Holiday_Calendar_US),WORKDAY($A335,-1,config_Holiday_Calendar_US)),IF(ISNUMBER(_xll.BDH(config!$G$4,H$1,$A335,$A335)),_xll.BDH(config!$G$4,H$1,$A335,$A335),_xll.BDH(config!$G$5,H$1,$A335,$A335))))</f>
        <v>264152</v>
      </c>
      <c r="I335" s="8" t="str">
        <f>IF($A335="","",IF(ISNUMBER(FIND("IMPVOL",I$1)),_xll.BDH(config!$G$4,I$1,WORKDAY($A335,-1,config_Holiday_Calendar_US),WORKDAY($A335,-1,config_Holiday_Calendar_US)),IF(ISNUMBER(_xll.BDH(config!$G$4,I$1,$A335,$A335)),_xll.BDH(config!$G$4,I$1,$A335,$A335),_xll.BDH(config!$G$5,I$1,$A335,$A335))))</f>
        <v>#N/A Requesting Data...</v>
      </c>
      <c r="J335" s="8" t="str">
        <f>IF($A335="","",IF(ISNUMBER(FIND("IMPVOL",J$1)),_xll.BDH(config!$G$4,J$1,WORKDAY($A335,-1,config_Holiday_Calendar_US),WORKDAY($A335,-1,config_Holiday_Calendar_US)),IF(ISNUMBER(_xll.BDH(config!$G$4,J$1,$A335,$A335)),_xll.BDH(config!$G$4,J$1,$A335,$A335),_xll.BDH(config!$G$5,J$1,$A335,$A335))))</f>
        <v>#N/A Requesting Data...</v>
      </c>
      <c r="K335" s="8" t="str">
        <f>IF($A335="","",IF(ISNUMBER(FIND("IMPVOL",K$1)),_xll.BDH(config!$G$4,K$1,WORKDAY($A335,-1,config_Holiday_Calendar_US),WORKDAY($A335,-1,config_Holiday_Calendar_US)),IF(ISNUMBER(_xll.BDH(config!$G$4,K$1,$A335,$A335)),_xll.BDH(config!$G$4,K$1,$A335,$A335),_xll.BDH(config!$G$5,K$1,$A335,$A335))))</f>
        <v>#N/A Requesting Data...</v>
      </c>
      <c r="L335" s="8" t="str">
        <f>IF($A335="","",IF(ISNUMBER(FIND("IMPVOL",L$1)),_xll.BDH(config!$G$4,L$1,WORKDAY($A335,-1,config_Holiday_Calendar_US),WORKDAY($A335,-1,config_Holiday_Calendar_US)),IF(ISNUMBER(_xll.BDH(config!$G$4,L$1,$A335,$A335)),_xll.BDH(config!$G$4,L$1,$A335,$A335),_xll.BDH(config!$G$5,L$1,$A335,$A335))))</f>
        <v>#N/A Requesting Data...</v>
      </c>
      <c r="M335" s="8" t="str">
        <f>IF($A335="","",IF(ISNUMBER(FIND("IMPVOL",M$1)),_xll.BDH(config!$G$4,M$1,WORKDAY($A335,-1,config_Holiday_Calendar_US),WORKDAY($A335,-1,config_Holiday_Calendar_US)),IF(ISNUMBER(_xll.BDH(config!$G$4,M$1,$A335,$A335)),_xll.BDH(config!$G$4,M$1,$A335,$A335),_xll.BDH(config!$G$5,M$1,$A335,$A335))))</f>
        <v>#N/A Requesting Data...</v>
      </c>
      <c r="N335" s="8" t="str">
        <f>IF($A335="","",IF(ISNUMBER(FIND("IMPVOL",N$1)),_xll.BDH(config!$G$4,N$1,WORKDAY($A335,-1,config_Holiday_Calendar_US),WORKDAY($A335,-1,config_Holiday_Calendar_US)),IF(ISNUMBER(_xll.BDH(config!$G$4,N$1,$A335,$A335)),_xll.BDH(config!$G$4,N$1,$A335,$A335),_xll.BDH(config!$G$5,N$1,$A335,$A335))))</f>
        <v>#N/A Requesting Data...</v>
      </c>
      <c r="O335" s="8" t="str">
        <f>IF($A335="","",IF(ISNUMBER(FIND("IMPVOL",O$1)),_xll.BDH(config!$G$4,O$1,WORKDAY($A335,-1,config_Holiday_Calendar_US),WORKDAY($A335,-1,config_Holiday_Calendar_US)),IF(ISNUMBER(_xll.BDH(config!$G$4,O$1,$A335,$A335)),_xll.BDH(config!$G$4,O$1,$A335,$A335),_xll.BDH(config!$G$5,O$1,$A335,$A335))))</f>
        <v>#N/A Requesting Data...</v>
      </c>
      <c r="P335" s="8" t="str">
        <f>IF($A335="","",IF(ISNUMBER(FIND("IMPVOL",P$1)),_xll.BDH(config!$G$4,P$1,WORKDAY($A335,-1,config_Holiday_Calendar_US),WORKDAY($A335,-1,config_Holiday_Calendar_US)),IF(ISNUMBER(_xll.BDH(config!$G$4,P$1,$A335,$A335)),_xll.BDH(config!$G$4,P$1,$A335,$A335),_xll.BDH(config!$G$5,P$1,$A335,$A335))))</f>
        <v>#N/A Requesting Data...</v>
      </c>
      <c r="Q335" s="8">
        <f>IF($A335="","",IF(ISNUMBER(FIND("IMPVOL",Q$1)),_xll.BDH(config!$G$4,Q$1,WORKDAY($A335,-1,config_Holiday_Calendar_US),WORKDAY($A335,-1,config_Holiday_Calendar_US)),IF(ISNUMBER(_xll.BDH(config!$G$4,Q$1,$A335,$A335)),_xll.BDH(config!$G$4,Q$1,$A335,$A335),_xll.BDH(config!$G$5,Q$1,$A335,$A335))))</f>
        <v>46.03</v>
      </c>
      <c r="R335" s="8">
        <f>IF($A335="","",IF(ISNUMBER(FIND("IMPVOL",R$1)),_xll.BDH(config!$G$4,R$1,WORKDAY($A335,-1,config_Holiday_Calendar_US),WORKDAY($A335,-1,config_Holiday_Calendar_US)),IF(ISNUMBER(_xll.BDH(config!$G$4,R$1,$A335,$A335)),_xll.BDH(config!$G$4,R$1,$A335,$A335),_xll.BDH(config!$G$5,R$1,$A335,$A335))))</f>
        <v>41.15</v>
      </c>
      <c r="S335" s="8" t="str">
        <f>IF($A335="","",IF(ISNUMBER(FIND("IMPVOL",S$1)),_xll.BDH(config!$G$4,S$1,WORKDAY($A335,-1,config_Holiday_Calendar_US),WORKDAY($A335,-1,config_Holiday_Calendar_US)),IF(ISNUMBER(_xll.BDH(config!$G$4,S$1,$A335,$A335)),_xll.BDH(config!$G$4,S$1,$A335,$A335),_xll.BDH(config!$G$5,S$1,$A335,$A335))))</f>
        <v>#N/A Requesting Data...</v>
      </c>
      <c r="T335" s="8" t="str">
        <f>IF($A335="","",IF(ISNUMBER(FIND("IMPVOL",T$1)),_xll.BDH(config!$G$4,T$1,WORKDAY($A335,-1,config_Holiday_Calendar_US),WORKDAY($A335,-1,config_Holiday_Calendar_US)),IF(ISNUMBER(_xll.BDH(config!$G$4,T$1,$A335,$A335)),_xll.BDH(config!$G$4,T$1,$A335,$A335),_xll.BDH(config!$G$5,T$1,$A335,$A335))))</f>
        <v>#N/A Requesting Data...</v>
      </c>
      <c r="U335" s="8" t="str">
        <f>IF($A335="","",IF(ISNUMBER(FIND("IMPVOL",U$1)),_xll.BDH(config!$G$4,U$1,WORKDAY($A335,-1,config_Holiday_Calendar_US),WORKDAY($A335,-1,config_Holiday_Calendar_US)),IF(ISNUMBER(_xll.BDH(config!$G$4,U$1,$A335,$A335)),_xll.BDH(config!$G$4,U$1,$A335,$A335),_xll.BDH(config!$G$5,U$1,$A335,$A335))))</f>
        <v>#N/A Requesting Data...</v>
      </c>
      <c r="V335" s="8" t="str">
        <f>IF($A335="","",IF(ISNUMBER(FIND("IMPVOL",V$1)),_xll.BDH(config!$G$4,V$1,WORKDAY($A335,-1,config_Holiday_Calendar_US),WORKDAY($A335,-1,config_Holiday_Calendar_US)),IF(ISNUMBER(_xll.BDH(config!$G$4,V$1,$A335,$A335)),_xll.BDH(config!$G$4,V$1,$A335,$A335),_xll.BDH(config!$G$5,V$1,$A335,$A335))))</f>
        <v>#N/A Requesting Data...</v>
      </c>
      <c r="W335" s="8" t="str">
        <f>IF($A335="","",IF(ISNUMBER(FIND("IMPVOL",W$1)),_xll.BDH(config!$G$4,W$1,WORKDAY($A335,-1,config_Holiday_Calendar_US),WORKDAY($A335,-1,config_Holiday_Calendar_US)),IF(ISNUMBER(_xll.BDH(config!$G$4,W$1,$A335,$A335)),_xll.BDH(config!$G$4,W$1,$A335,$A335),_xll.BDH(config!$G$5,W$1,$A335,$A335))))</f>
        <v>#N/A Requesting Data...</v>
      </c>
    </row>
    <row r="336" spans="1:23" x14ac:dyDescent="0.2">
      <c r="A336" s="9">
        <f>IF(A335="","",IF(WORKDAY(A335,-1,config_Holiday_Calendar_US)&lt;config!$I$10,"",WORKDAY(A335,-1,config_Holiday_Calendar_US)))</f>
        <v>42342</v>
      </c>
      <c r="B336" s="8" t="e">
        <f t="shared" si="5"/>
        <v>#VALUE!</v>
      </c>
      <c r="C336" s="8" t="str">
        <f>IF(A336="","",_xll.BDH(config!$H$4,C$1,$A336,$A336))</f>
        <v>#N/A Requesting Data...</v>
      </c>
      <c r="D336" s="8" t="str">
        <f>IF($A336="","",_xll.BDH(config!$H$4,D$1,$A336,$A336))</f>
        <v>#N/A Requesting Data...</v>
      </c>
      <c r="E336" s="8">
        <f>IF($A336="","",IF(ISNUMBER(FIND("IMPVOL",E$1)),_xll.BDH(config!$G$4,E$1,WORKDAY($A336,-1,config_Holiday_Calendar_US),WORKDAY($A336,-1,config_Holiday_Calendar_US)),IF(ISNUMBER(_xll.BDH(config!$G$4,E$1,$A336,$A336)),_xll.BDH(config!$G$4,E$1,$A336,$A336),_xll.BDH(config!$G$5,E$1,$A336,$A336))))</f>
        <v>41.31</v>
      </c>
      <c r="F336" s="8">
        <f>IF($A336="","",IF(ISNUMBER(FIND("IMPVOL",F$1)),_xll.BDH(config!$G$4,F$1,WORKDAY($A336,-1,config_Holiday_Calendar_US),WORKDAY($A336,-1,config_Holiday_Calendar_US)),IF(ISNUMBER(_xll.BDH(config!$G$4,F$1,$A336,$A336)),_xll.BDH(config!$G$4,F$1,$A336,$A336),_xll.BDH(config!$G$5,F$1,$A336,$A336))))</f>
        <v>42</v>
      </c>
      <c r="G336" s="8">
        <f>IF($A336="","",IF(ISNUMBER(FIND("IMPVOL",G$1)),_xll.BDH(config!$G$4,G$1,WORKDAY($A336,-1,config_Holiday_Calendar_US),WORKDAY($A336,-1,config_Holiday_Calendar_US)),IF(ISNUMBER(_xll.BDH(config!$G$4,G$1,$A336,$A336)),_xll.BDH(config!$G$4,G$1,$A336,$A336),_xll.BDH(config!$G$5,G$1,$A336,$A336))))</f>
        <v>41.03</v>
      </c>
      <c r="H336" s="8">
        <f>IF($A336="","",IF(ISNUMBER(FIND("IMPVOL",H$1)),_xll.BDH(config!$G$4,H$1,WORKDAY($A336,-1,config_Holiday_Calendar_US),WORKDAY($A336,-1,config_Holiday_Calendar_US)),IF(ISNUMBER(_xll.BDH(config!$G$4,H$1,$A336,$A336)),_xll.BDH(config!$G$4,H$1,$A336,$A336),_xll.BDH(config!$G$5,H$1,$A336,$A336))))</f>
        <v>118057</v>
      </c>
      <c r="I336" s="8" t="str">
        <f>IF($A336="","",IF(ISNUMBER(FIND("IMPVOL",I$1)),_xll.BDH(config!$G$4,I$1,WORKDAY($A336,-1,config_Holiday_Calendar_US),WORKDAY($A336,-1,config_Holiday_Calendar_US)),IF(ISNUMBER(_xll.BDH(config!$G$4,I$1,$A336,$A336)),_xll.BDH(config!$G$4,I$1,$A336,$A336),_xll.BDH(config!$G$5,I$1,$A336,$A336))))</f>
        <v>#N/A Requesting Data...</v>
      </c>
      <c r="J336" s="8" t="str">
        <f>IF($A336="","",IF(ISNUMBER(FIND("IMPVOL",J$1)),_xll.BDH(config!$G$4,J$1,WORKDAY($A336,-1,config_Holiday_Calendar_US),WORKDAY($A336,-1,config_Holiday_Calendar_US)),IF(ISNUMBER(_xll.BDH(config!$G$4,J$1,$A336,$A336)),_xll.BDH(config!$G$4,J$1,$A336,$A336),_xll.BDH(config!$G$5,J$1,$A336,$A336))))</f>
        <v>#N/A Requesting Data...</v>
      </c>
      <c r="K336" s="8" t="str">
        <f>IF($A336="","",IF(ISNUMBER(FIND("IMPVOL",K$1)),_xll.BDH(config!$G$4,K$1,WORKDAY($A336,-1,config_Holiday_Calendar_US),WORKDAY($A336,-1,config_Holiday_Calendar_US)),IF(ISNUMBER(_xll.BDH(config!$G$4,K$1,$A336,$A336)),_xll.BDH(config!$G$4,K$1,$A336,$A336),_xll.BDH(config!$G$5,K$1,$A336,$A336))))</f>
        <v>#N/A Requesting Data...</v>
      </c>
      <c r="L336" s="8" t="str">
        <f>IF($A336="","",IF(ISNUMBER(FIND("IMPVOL",L$1)),_xll.BDH(config!$G$4,L$1,WORKDAY($A336,-1,config_Holiday_Calendar_US),WORKDAY($A336,-1,config_Holiday_Calendar_US)),IF(ISNUMBER(_xll.BDH(config!$G$4,L$1,$A336,$A336)),_xll.BDH(config!$G$4,L$1,$A336,$A336),_xll.BDH(config!$G$5,L$1,$A336,$A336))))</f>
        <v>#N/A Requesting Data...</v>
      </c>
      <c r="M336" s="8" t="str">
        <f>IF($A336="","",IF(ISNUMBER(FIND("IMPVOL",M$1)),_xll.BDH(config!$G$4,M$1,WORKDAY($A336,-1,config_Holiday_Calendar_US),WORKDAY($A336,-1,config_Holiday_Calendar_US)),IF(ISNUMBER(_xll.BDH(config!$G$4,M$1,$A336,$A336)),_xll.BDH(config!$G$4,M$1,$A336,$A336),_xll.BDH(config!$G$5,M$1,$A336,$A336))))</f>
        <v>#N/A Requesting Data...</v>
      </c>
      <c r="N336" s="8" t="str">
        <f>IF($A336="","",IF(ISNUMBER(FIND("IMPVOL",N$1)),_xll.BDH(config!$G$4,N$1,WORKDAY($A336,-1,config_Holiday_Calendar_US),WORKDAY($A336,-1,config_Holiday_Calendar_US)),IF(ISNUMBER(_xll.BDH(config!$G$4,N$1,$A336,$A336)),_xll.BDH(config!$G$4,N$1,$A336,$A336),_xll.BDH(config!$G$5,N$1,$A336,$A336))))</f>
        <v>#N/A Requesting Data...</v>
      </c>
      <c r="O336" s="8" t="str">
        <f>IF($A336="","",IF(ISNUMBER(FIND("IMPVOL",O$1)),_xll.BDH(config!$G$4,O$1,WORKDAY($A336,-1,config_Holiday_Calendar_US),WORKDAY($A336,-1,config_Holiday_Calendar_US)),IF(ISNUMBER(_xll.BDH(config!$G$4,O$1,$A336,$A336)),_xll.BDH(config!$G$4,O$1,$A336,$A336),_xll.BDH(config!$G$5,O$1,$A336,$A336))))</f>
        <v>#N/A Requesting Data...</v>
      </c>
      <c r="P336" s="8" t="str">
        <f>IF($A336="","",IF(ISNUMBER(FIND("IMPVOL",P$1)),_xll.BDH(config!$G$4,P$1,WORKDAY($A336,-1,config_Holiday_Calendar_US),WORKDAY($A336,-1,config_Holiday_Calendar_US)),IF(ISNUMBER(_xll.BDH(config!$G$4,P$1,$A336,$A336)),_xll.BDH(config!$G$4,P$1,$A336,$A336),_xll.BDH(config!$G$5,P$1,$A336,$A336))))</f>
        <v>#N/A Requesting Data...</v>
      </c>
      <c r="Q336" s="8">
        <f>IF($A336="","",IF(ISNUMBER(FIND("IMPVOL",Q$1)),_xll.BDH(config!$G$4,Q$1,WORKDAY($A336,-1,config_Holiday_Calendar_US),WORKDAY($A336,-1,config_Holiday_Calendar_US)),IF(ISNUMBER(_xll.BDH(config!$G$4,Q$1,$A336,$A336)),_xll.BDH(config!$G$4,Q$1,$A336,$A336),_xll.BDH(config!$G$5,Q$1,$A336,$A336))))</f>
        <v>42.86</v>
      </c>
      <c r="R336" s="8">
        <f>IF($A336="","",IF(ISNUMBER(FIND("IMPVOL",R$1)),_xll.BDH(config!$G$4,R$1,WORKDAY($A336,-1,config_Holiday_Calendar_US),WORKDAY($A336,-1,config_Holiday_Calendar_US)),IF(ISNUMBER(_xll.BDH(config!$G$4,R$1,$A336,$A336)),_xll.BDH(config!$G$4,R$1,$A336,$A336),_xll.BDH(config!$G$5,R$1,$A336,$A336))))</f>
        <v>38.56</v>
      </c>
      <c r="S336" s="8" t="str">
        <f>IF($A336="","",IF(ISNUMBER(FIND("IMPVOL",S$1)),_xll.BDH(config!$G$4,S$1,WORKDAY($A336,-1,config_Holiday_Calendar_US),WORKDAY($A336,-1,config_Holiday_Calendar_US)),IF(ISNUMBER(_xll.BDH(config!$G$4,S$1,$A336,$A336)),_xll.BDH(config!$G$4,S$1,$A336,$A336),_xll.BDH(config!$G$5,S$1,$A336,$A336))))</f>
        <v>#N/A Requesting Data...</v>
      </c>
      <c r="T336" s="8" t="str">
        <f>IF($A336="","",IF(ISNUMBER(FIND("IMPVOL",T$1)),_xll.BDH(config!$G$4,T$1,WORKDAY($A336,-1,config_Holiday_Calendar_US),WORKDAY($A336,-1,config_Holiday_Calendar_US)),IF(ISNUMBER(_xll.BDH(config!$G$4,T$1,$A336,$A336)),_xll.BDH(config!$G$4,T$1,$A336,$A336),_xll.BDH(config!$G$5,T$1,$A336,$A336))))</f>
        <v>#N/A Requesting Data...</v>
      </c>
      <c r="U336" s="8" t="str">
        <f>IF($A336="","",IF(ISNUMBER(FIND("IMPVOL",U$1)),_xll.BDH(config!$G$4,U$1,WORKDAY($A336,-1,config_Holiday_Calendar_US),WORKDAY($A336,-1,config_Holiday_Calendar_US)),IF(ISNUMBER(_xll.BDH(config!$G$4,U$1,$A336,$A336)),_xll.BDH(config!$G$4,U$1,$A336,$A336),_xll.BDH(config!$G$5,U$1,$A336,$A336))))</f>
        <v>#N/A Requesting Data...</v>
      </c>
      <c r="V336" s="8" t="str">
        <f>IF($A336="","",IF(ISNUMBER(FIND("IMPVOL",V$1)),_xll.BDH(config!$G$4,V$1,WORKDAY($A336,-1,config_Holiday_Calendar_US),WORKDAY($A336,-1,config_Holiday_Calendar_US)),IF(ISNUMBER(_xll.BDH(config!$G$4,V$1,$A336,$A336)),_xll.BDH(config!$G$4,V$1,$A336,$A336),_xll.BDH(config!$G$5,V$1,$A336,$A336))))</f>
        <v>#N/A Requesting Data...</v>
      </c>
      <c r="W336" s="8" t="str">
        <f>IF($A336="","",IF(ISNUMBER(FIND("IMPVOL",W$1)),_xll.BDH(config!$G$4,W$1,WORKDAY($A336,-1,config_Holiday_Calendar_US),WORKDAY($A336,-1,config_Holiday_Calendar_US)),IF(ISNUMBER(_xll.BDH(config!$G$4,W$1,$A336,$A336)),_xll.BDH(config!$G$4,W$1,$A336,$A336),_xll.BDH(config!$G$5,W$1,$A336,$A336))))</f>
        <v>#N/A Requesting Data...</v>
      </c>
    </row>
    <row r="337" spans="1:23" x14ac:dyDescent="0.2">
      <c r="A337" s="9">
        <f>IF(A336="","",IF(WORKDAY(A336,-1,config_Holiday_Calendar_US)&lt;config!$I$10,"",WORKDAY(A336,-1,config_Holiday_Calendar_US)))</f>
        <v>42341</v>
      </c>
      <c r="B337" s="8" t="e">
        <f t="shared" si="5"/>
        <v>#VALUE!</v>
      </c>
      <c r="C337" s="8" t="str">
        <f>IF(A337="","",_xll.BDH(config!$H$4,C$1,$A337,$A337))</f>
        <v>#N/A Requesting Data...</v>
      </c>
      <c r="D337" s="8" t="str">
        <f>IF($A337="","",_xll.BDH(config!$H$4,D$1,$A337,$A337))</f>
        <v>#N/A Requesting Data...</v>
      </c>
      <c r="E337" s="8">
        <f>IF($A337="","",IF(ISNUMBER(FIND("IMPVOL",E$1)),_xll.BDH(config!$G$4,E$1,WORKDAY($A337,-1,config_Holiday_Calendar_US),WORKDAY($A337,-1,config_Holiday_Calendar_US)),IF(ISNUMBER(_xll.BDH(config!$G$4,E$1,$A337,$A337)),_xll.BDH(config!$G$4,E$1,$A337,$A337),_xll.BDH(config!$G$5,E$1,$A337,$A337))))</f>
        <v>40.15</v>
      </c>
      <c r="F337" s="8">
        <f>IF($A337="","",IF(ISNUMBER(FIND("IMPVOL",F$1)),_xll.BDH(config!$G$4,F$1,WORKDAY($A337,-1,config_Holiday_Calendar_US),WORKDAY($A337,-1,config_Holiday_Calendar_US)),IF(ISNUMBER(_xll.BDH(config!$G$4,F$1,$A337,$A337)),_xll.BDH(config!$G$4,F$1,$A337,$A337),_xll.BDH(config!$G$5,F$1,$A337,$A337))))</f>
        <v>41.78</v>
      </c>
      <c r="G337" s="8">
        <f>IF($A337="","",IF(ISNUMBER(FIND("IMPVOL",G$1)),_xll.BDH(config!$G$4,G$1,WORKDAY($A337,-1,config_Holiday_Calendar_US),WORKDAY($A337,-1,config_Holiday_Calendar_US)),IF(ISNUMBER(_xll.BDH(config!$G$4,G$1,$A337,$A337)),_xll.BDH(config!$G$4,G$1,$A337,$A337),_xll.BDH(config!$G$5,G$1,$A337,$A337))))</f>
        <v>41.49</v>
      </c>
      <c r="H337" s="8">
        <f>IF($A337="","",IF(ISNUMBER(FIND("IMPVOL",H$1)),_xll.BDH(config!$G$4,H$1,WORKDAY($A337,-1,config_Holiday_Calendar_US),WORKDAY($A337,-1,config_Holiday_Calendar_US)),IF(ISNUMBER(_xll.BDH(config!$G$4,H$1,$A337,$A337)),_xll.BDH(config!$G$4,H$1,$A337,$A337),_xll.BDH(config!$G$5,H$1,$A337,$A337))))</f>
        <v>119418</v>
      </c>
      <c r="I337" s="8" t="str">
        <f>IF($A337="","",IF(ISNUMBER(FIND("IMPVOL",I$1)),_xll.BDH(config!$G$4,I$1,WORKDAY($A337,-1,config_Holiday_Calendar_US),WORKDAY($A337,-1,config_Holiday_Calendar_US)),IF(ISNUMBER(_xll.BDH(config!$G$4,I$1,$A337,$A337)),_xll.BDH(config!$G$4,I$1,$A337,$A337),_xll.BDH(config!$G$5,I$1,$A337,$A337))))</f>
        <v>#N/A Requesting Data...</v>
      </c>
      <c r="J337" s="8" t="str">
        <f>IF($A337="","",IF(ISNUMBER(FIND("IMPVOL",J$1)),_xll.BDH(config!$G$4,J$1,WORKDAY($A337,-1,config_Holiday_Calendar_US),WORKDAY($A337,-1,config_Holiday_Calendar_US)),IF(ISNUMBER(_xll.BDH(config!$G$4,J$1,$A337,$A337)),_xll.BDH(config!$G$4,J$1,$A337,$A337),_xll.BDH(config!$G$5,J$1,$A337,$A337))))</f>
        <v>#N/A Requesting Data...</v>
      </c>
      <c r="K337" s="8" t="str">
        <f>IF($A337="","",IF(ISNUMBER(FIND("IMPVOL",K$1)),_xll.BDH(config!$G$4,K$1,WORKDAY($A337,-1,config_Holiday_Calendar_US),WORKDAY($A337,-1,config_Holiday_Calendar_US)),IF(ISNUMBER(_xll.BDH(config!$G$4,K$1,$A337,$A337)),_xll.BDH(config!$G$4,K$1,$A337,$A337),_xll.BDH(config!$G$5,K$1,$A337,$A337))))</f>
        <v>#N/A Requesting Data...</v>
      </c>
      <c r="L337" s="8" t="str">
        <f>IF($A337="","",IF(ISNUMBER(FIND("IMPVOL",L$1)),_xll.BDH(config!$G$4,L$1,WORKDAY($A337,-1,config_Holiday_Calendar_US),WORKDAY($A337,-1,config_Holiday_Calendar_US)),IF(ISNUMBER(_xll.BDH(config!$G$4,L$1,$A337,$A337)),_xll.BDH(config!$G$4,L$1,$A337,$A337),_xll.BDH(config!$G$5,L$1,$A337,$A337))))</f>
        <v>#N/A Requesting Data...</v>
      </c>
      <c r="M337" s="8" t="str">
        <f>IF($A337="","",IF(ISNUMBER(FIND("IMPVOL",M$1)),_xll.BDH(config!$G$4,M$1,WORKDAY($A337,-1,config_Holiday_Calendar_US),WORKDAY($A337,-1,config_Holiday_Calendar_US)),IF(ISNUMBER(_xll.BDH(config!$G$4,M$1,$A337,$A337)),_xll.BDH(config!$G$4,M$1,$A337,$A337),_xll.BDH(config!$G$5,M$1,$A337,$A337))))</f>
        <v>#N/A Requesting Data...</v>
      </c>
      <c r="N337" s="8" t="str">
        <f>IF($A337="","",IF(ISNUMBER(FIND("IMPVOL",N$1)),_xll.BDH(config!$G$4,N$1,WORKDAY($A337,-1,config_Holiday_Calendar_US),WORKDAY($A337,-1,config_Holiday_Calendar_US)),IF(ISNUMBER(_xll.BDH(config!$G$4,N$1,$A337,$A337)),_xll.BDH(config!$G$4,N$1,$A337,$A337),_xll.BDH(config!$G$5,N$1,$A337,$A337))))</f>
        <v>#N/A Requesting Data...</v>
      </c>
      <c r="O337" s="8" t="str">
        <f>IF($A337="","",IF(ISNUMBER(FIND("IMPVOL",O$1)),_xll.BDH(config!$G$4,O$1,WORKDAY($A337,-1,config_Holiday_Calendar_US),WORKDAY($A337,-1,config_Holiday_Calendar_US)),IF(ISNUMBER(_xll.BDH(config!$G$4,O$1,$A337,$A337)),_xll.BDH(config!$G$4,O$1,$A337,$A337),_xll.BDH(config!$G$5,O$1,$A337,$A337))))</f>
        <v>#N/A Requesting Data...</v>
      </c>
      <c r="P337" s="8" t="str">
        <f>IF($A337="","",IF(ISNUMBER(FIND("IMPVOL",P$1)),_xll.BDH(config!$G$4,P$1,WORKDAY($A337,-1,config_Holiday_Calendar_US),WORKDAY($A337,-1,config_Holiday_Calendar_US)),IF(ISNUMBER(_xll.BDH(config!$G$4,P$1,$A337,$A337)),_xll.BDH(config!$G$4,P$1,$A337,$A337),_xll.BDH(config!$G$5,P$1,$A337,$A337))))</f>
        <v>#N/A Requesting Data...</v>
      </c>
      <c r="Q337" s="8">
        <f>IF($A337="","",IF(ISNUMBER(FIND("IMPVOL",Q$1)),_xll.BDH(config!$G$4,Q$1,WORKDAY($A337,-1,config_Holiday_Calendar_US),WORKDAY($A337,-1,config_Holiday_Calendar_US)),IF(ISNUMBER(_xll.BDH(config!$G$4,Q$1,$A337,$A337)),_xll.BDH(config!$G$4,Q$1,$A337,$A337),_xll.BDH(config!$G$5,Q$1,$A337,$A337))))</f>
        <v>40.11</v>
      </c>
      <c r="R337" s="8">
        <f>IF($A337="","",IF(ISNUMBER(FIND("IMPVOL",R$1)),_xll.BDH(config!$G$4,R$1,WORKDAY($A337,-1,config_Holiday_Calendar_US),WORKDAY($A337,-1,config_Holiday_Calendar_US)),IF(ISNUMBER(_xll.BDH(config!$G$4,R$1,$A337,$A337)),_xll.BDH(config!$G$4,R$1,$A337,$A337),_xll.BDH(config!$G$5,R$1,$A337,$A337))))</f>
        <v>38.049999999999997</v>
      </c>
      <c r="S337" s="8" t="str">
        <f>IF($A337="","",IF(ISNUMBER(FIND("IMPVOL",S$1)),_xll.BDH(config!$G$4,S$1,WORKDAY($A337,-1,config_Holiday_Calendar_US),WORKDAY($A337,-1,config_Holiday_Calendar_US)),IF(ISNUMBER(_xll.BDH(config!$G$4,S$1,$A337,$A337)),_xll.BDH(config!$G$4,S$1,$A337,$A337),_xll.BDH(config!$G$5,S$1,$A337,$A337))))</f>
        <v>#N/A Requesting Data...</v>
      </c>
      <c r="T337" s="8" t="str">
        <f>IF($A337="","",IF(ISNUMBER(FIND("IMPVOL",T$1)),_xll.BDH(config!$G$4,T$1,WORKDAY($A337,-1,config_Holiday_Calendar_US),WORKDAY($A337,-1,config_Holiday_Calendar_US)),IF(ISNUMBER(_xll.BDH(config!$G$4,T$1,$A337,$A337)),_xll.BDH(config!$G$4,T$1,$A337,$A337),_xll.BDH(config!$G$5,T$1,$A337,$A337))))</f>
        <v>#N/A Requesting Data...</v>
      </c>
      <c r="U337" s="8" t="str">
        <f>IF($A337="","",IF(ISNUMBER(FIND("IMPVOL",U$1)),_xll.BDH(config!$G$4,U$1,WORKDAY($A337,-1,config_Holiday_Calendar_US),WORKDAY($A337,-1,config_Holiday_Calendar_US)),IF(ISNUMBER(_xll.BDH(config!$G$4,U$1,$A337,$A337)),_xll.BDH(config!$G$4,U$1,$A337,$A337),_xll.BDH(config!$G$5,U$1,$A337,$A337))))</f>
        <v>#N/A Requesting Data...</v>
      </c>
      <c r="V337" s="8" t="str">
        <f>IF($A337="","",IF(ISNUMBER(FIND("IMPVOL",V$1)),_xll.BDH(config!$G$4,V$1,WORKDAY($A337,-1,config_Holiday_Calendar_US),WORKDAY($A337,-1,config_Holiday_Calendar_US)),IF(ISNUMBER(_xll.BDH(config!$G$4,V$1,$A337,$A337)),_xll.BDH(config!$G$4,V$1,$A337,$A337),_xll.BDH(config!$G$5,V$1,$A337,$A337))))</f>
        <v>#N/A Requesting Data...</v>
      </c>
      <c r="W337" s="8" t="str">
        <f>IF($A337="","",IF(ISNUMBER(FIND("IMPVOL",W$1)),_xll.BDH(config!$G$4,W$1,WORKDAY($A337,-1,config_Holiday_Calendar_US),WORKDAY($A337,-1,config_Holiday_Calendar_US)),IF(ISNUMBER(_xll.BDH(config!$G$4,W$1,$A337,$A337)),_xll.BDH(config!$G$4,W$1,$A337,$A337),_xll.BDH(config!$G$5,W$1,$A337,$A337))))</f>
        <v>#N/A Requesting Data...</v>
      </c>
    </row>
    <row r="338" spans="1:23" x14ac:dyDescent="0.2">
      <c r="A338" s="9">
        <f>IF(A337="","",IF(WORKDAY(A337,-1,config_Holiday_Calendar_US)&lt;config!$I$10,"",WORKDAY(A337,-1,config_Holiday_Calendar_US)))</f>
        <v>42340</v>
      </c>
      <c r="B338" s="8" t="e">
        <f t="shared" si="5"/>
        <v>#VALUE!</v>
      </c>
      <c r="C338" s="8" t="str">
        <f>IF(A338="","",_xll.BDH(config!$H$4,C$1,$A338,$A338))</f>
        <v>#N/A Requesting Data...</v>
      </c>
      <c r="D338" s="8" t="str">
        <f>IF($A338="","",_xll.BDH(config!$H$4,D$1,$A338,$A338))</f>
        <v>#N/A Requesting Data...</v>
      </c>
      <c r="E338" s="8">
        <f>IF($A338="","",IF(ISNUMBER(FIND("IMPVOL",E$1)),_xll.BDH(config!$G$4,E$1,WORKDAY($A338,-1,config_Holiday_Calendar_US),WORKDAY($A338,-1,config_Holiday_Calendar_US)),IF(ISNUMBER(_xll.BDH(config!$G$4,E$1,$A338,$A338)),_xll.BDH(config!$G$4,E$1,$A338,$A338),_xll.BDH(config!$G$5,E$1,$A338,$A338))))</f>
        <v>41.69</v>
      </c>
      <c r="F338" s="8">
        <f>IF($A338="","",IF(ISNUMBER(FIND("IMPVOL",F$1)),_xll.BDH(config!$G$4,F$1,WORKDAY($A338,-1,config_Holiday_Calendar_US),WORKDAY($A338,-1,config_Holiday_Calendar_US)),IF(ISNUMBER(_xll.BDH(config!$G$4,F$1,$A338,$A338)),_xll.BDH(config!$G$4,F$1,$A338,$A338),_xll.BDH(config!$G$5,F$1,$A338,$A338))))</f>
        <v>41.97</v>
      </c>
      <c r="G338" s="8">
        <f>IF($A338="","",IF(ISNUMBER(FIND("IMPVOL",G$1)),_xll.BDH(config!$G$4,G$1,WORKDAY($A338,-1,config_Holiday_Calendar_US),WORKDAY($A338,-1,config_Holiday_Calendar_US)),IF(ISNUMBER(_xll.BDH(config!$G$4,G$1,$A338,$A338)),_xll.BDH(config!$G$4,G$1,$A338,$A338),_xll.BDH(config!$G$5,G$1,$A338,$A338))))</f>
        <v>41.26</v>
      </c>
      <c r="H338" s="8">
        <f>IF($A338="","",IF(ISNUMBER(FIND("IMPVOL",H$1)),_xll.BDH(config!$G$4,H$1,WORKDAY($A338,-1,config_Holiday_Calendar_US),WORKDAY($A338,-1,config_Holiday_Calendar_US)),IF(ISNUMBER(_xll.BDH(config!$G$4,H$1,$A338,$A338)),_xll.BDH(config!$G$4,H$1,$A338,$A338),_xll.BDH(config!$G$5,H$1,$A338,$A338))))</f>
        <v>135013</v>
      </c>
      <c r="I338" s="8" t="str">
        <f>IF($A338="","",IF(ISNUMBER(FIND("IMPVOL",I$1)),_xll.BDH(config!$G$4,I$1,WORKDAY($A338,-1,config_Holiday_Calendar_US),WORKDAY($A338,-1,config_Holiday_Calendar_US)),IF(ISNUMBER(_xll.BDH(config!$G$4,I$1,$A338,$A338)),_xll.BDH(config!$G$4,I$1,$A338,$A338),_xll.BDH(config!$G$5,I$1,$A338,$A338))))</f>
        <v>#N/A Requesting Data...</v>
      </c>
      <c r="J338" s="8" t="str">
        <f>IF($A338="","",IF(ISNUMBER(FIND("IMPVOL",J$1)),_xll.BDH(config!$G$4,J$1,WORKDAY($A338,-1,config_Holiday_Calendar_US),WORKDAY($A338,-1,config_Holiday_Calendar_US)),IF(ISNUMBER(_xll.BDH(config!$G$4,J$1,$A338,$A338)),_xll.BDH(config!$G$4,J$1,$A338,$A338),_xll.BDH(config!$G$5,J$1,$A338,$A338))))</f>
        <v>#N/A Requesting Data...</v>
      </c>
      <c r="K338" s="8" t="str">
        <f>IF($A338="","",IF(ISNUMBER(FIND("IMPVOL",K$1)),_xll.BDH(config!$G$4,K$1,WORKDAY($A338,-1,config_Holiday_Calendar_US),WORKDAY($A338,-1,config_Holiday_Calendar_US)),IF(ISNUMBER(_xll.BDH(config!$G$4,K$1,$A338,$A338)),_xll.BDH(config!$G$4,K$1,$A338,$A338),_xll.BDH(config!$G$5,K$1,$A338,$A338))))</f>
        <v>#N/A Requesting Data...</v>
      </c>
      <c r="L338" s="8" t="str">
        <f>IF($A338="","",IF(ISNUMBER(FIND("IMPVOL",L$1)),_xll.BDH(config!$G$4,L$1,WORKDAY($A338,-1,config_Holiday_Calendar_US),WORKDAY($A338,-1,config_Holiday_Calendar_US)),IF(ISNUMBER(_xll.BDH(config!$G$4,L$1,$A338,$A338)),_xll.BDH(config!$G$4,L$1,$A338,$A338),_xll.BDH(config!$G$5,L$1,$A338,$A338))))</f>
        <v>#N/A Requesting Data...</v>
      </c>
      <c r="M338" s="8" t="str">
        <f>IF($A338="","",IF(ISNUMBER(FIND("IMPVOL",M$1)),_xll.BDH(config!$G$4,M$1,WORKDAY($A338,-1,config_Holiday_Calendar_US),WORKDAY($A338,-1,config_Holiday_Calendar_US)),IF(ISNUMBER(_xll.BDH(config!$G$4,M$1,$A338,$A338)),_xll.BDH(config!$G$4,M$1,$A338,$A338),_xll.BDH(config!$G$5,M$1,$A338,$A338))))</f>
        <v>#N/A Requesting Data...</v>
      </c>
      <c r="N338" s="8" t="str">
        <f>IF($A338="","",IF(ISNUMBER(FIND("IMPVOL",N$1)),_xll.BDH(config!$G$4,N$1,WORKDAY($A338,-1,config_Holiday_Calendar_US),WORKDAY($A338,-1,config_Holiday_Calendar_US)),IF(ISNUMBER(_xll.BDH(config!$G$4,N$1,$A338,$A338)),_xll.BDH(config!$G$4,N$1,$A338,$A338),_xll.BDH(config!$G$5,N$1,$A338,$A338))))</f>
        <v>#N/A Requesting Data...</v>
      </c>
      <c r="O338" s="8" t="str">
        <f>IF($A338="","",IF(ISNUMBER(FIND("IMPVOL",O$1)),_xll.BDH(config!$G$4,O$1,WORKDAY($A338,-1,config_Holiday_Calendar_US),WORKDAY($A338,-1,config_Holiday_Calendar_US)),IF(ISNUMBER(_xll.BDH(config!$G$4,O$1,$A338,$A338)),_xll.BDH(config!$G$4,O$1,$A338,$A338),_xll.BDH(config!$G$5,O$1,$A338,$A338))))</f>
        <v>#N/A Requesting Data...</v>
      </c>
      <c r="P338" s="8" t="str">
        <f>IF($A338="","",IF(ISNUMBER(FIND("IMPVOL",P$1)),_xll.BDH(config!$G$4,P$1,WORKDAY($A338,-1,config_Holiday_Calendar_US),WORKDAY($A338,-1,config_Holiday_Calendar_US)),IF(ISNUMBER(_xll.BDH(config!$G$4,P$1,$A338,$A338)),_xll.BDH(config!$G$4,P$1,$A338,$A338),_xll.BDH(config!$G$5,P$1,$A338,$A338))))</f>
        <v>#N/A Requesting Data...</v>
      </c>
      <c r="Q338" s="8">
        <f>IF($A338="","",IF(ISNUMBER(FIND("IMPVOL",Q$1)),_xll.BDH(config!$G$4,Q$1,WORKDAY($A338,-1,config_Holiday_Calendar_US),WORKDAY($A338,-1,config_Holiday_Calendar_US)),IF(ISNUMBER(_xll.BDH(config!$G$4,Q$1,$A338,$A338)),_xll.BDH(config!$G$4,Q$1,$A338,$A338),_xll.BDH(config!$G$5,Q$1,$A338,$A338))))</f>
        <v>37.31</v>
      </c>
      <c r="R338" s="8">
        <f>IF($A338="","",IF(ISNUMBER(FIND("IMPVOL",R$1)),_xll.BDH(config!$G$4,R$1,WORKDAY($A338,-1,config_Holiday_Calendar_US),WORKDAY($A338,-1,config_Holiday_Calendar_US)),IF(ISNUMBER(_xll.BDH(config!$G$4,R$1,$A338,$A338)),_xll.BDH(config!$G$4,R$1,$A338,$A338),_xll.BDH(config!$G$5,R$1,$A338,$A338))))</f>
        <v>37.01</v>
      </c>
      <c r="S338" s="8" t="str">
        <f>IF($A338="","",IF(ISNUMBER(FIND("IMPVOL",S$1)),_xll.BDH(config!$G$4,S$1,WORKDAY($A338,-1,config_Holiday_Calendar_US),WORKDAY($A338,-1,config_Holiday_Calendar_US)),IF(ISNUMBER(_xll.BDH(config!$G$4,S$1,$A338,$A338)),_xll.BDH(config!$G$4,S$1,$A338,$A338),_xll.BDH(config!$G$5,S$1,$A338,$A338))))</f>
        <v>#N/A Requesting Data...</v>
      </c>
      <c r="T338" s="8" t="str">
        <f>IF($A338="","",IF(ISNUMBER(FIND("IMPVOL",T$1)),_xll.BDH(config!$G$4,T$1,WORKDAY($A338,-1,config_Holiday_Calendar_US),WORKDAY($A338,-1,config_Holiday_Calendar_US)),IF(ISNUMBER(_xll.BDH(config!$G$4,T$1,$A338,$A338)),_xll.BDH(config!$G$4,T$1,$A338,$A338),_xll.BDH(config!$G$5,T$1,$A338,$A338))))</f>
        <v>#N/A Requesting Data...</v>
      </c>
      <c r="U338" s="8" t="str">
        <f>IF($A338="","",IF(ISNUMBER(FIND("IMPVOL",U$1)),_xll.BDH(config!$G$4,U$1,WORKDAY($A338,-1,config_Holiday_Calendar_US),WORKDAY($A338,-1,config_Holiday_Calendar_US)),IF(ISNUMBER(_xll.BDH(config!$G$4,U$1,$A338,$A338)),_xll.BDH(config!$G$4,U$1,$A338,$A338),_xll.BDH(config!$G$5,U$1,$A338,$A338))))</f>
        <v>#N/A Requesting Data...</v>
      </c>
      <c r="V338" s="8" t="str">
        <f>IF($A338="","",IF(ISNUMBER(FIND("IMPVOL",V$1)),_xll.BDH(config!$G$4,V$1,WORKDAY($A338,-1,config_Holiday_Calendar_US),WORKDAY($A338,-1,config_Holiday_Calendar_US)),IF(ISNUMBER(_xll.BDH(config!$G$4,V$1,$A338,$A338)),_xll.BDH(config!$G$4,V$1,$A338,$A338),_xll.BDH(config!$G$5,V$1,$A338,$A338))))</f>
        <v>#N/A Requesting Data...</v>
      </c>
      <c r="W338" s="8" t="str">
        <f>IF($A338="","",IF(ISNUMBER(FIND("IMPVOL",W$1)),_xll.BDH(config!$G$4,W$1,WORKDAY($A338,-1,config_Holiday_Calendar_US),WORKDAY($A338,-1,config_Holiday_Calendar_US)),IF(ISNUMBER(_xll.BDH(config!$G$4,W$1,$A338,$A338)),_xll.BDH(config!$G$4,W$1,$A338,$A338),_xll.BDH(config!$G$5,W$1,$A338,$A338))))</f>
        <v>#N/A Requesting Data...</v>
      </c>
    </row>
    <row r="339" spans="1:23" x14ac:dyDescent="0.2">
      <c r="A339" s="9">
        <f>IF(A338="","",IF(WORKDAY(A338,-1,config_Holiday_Calendar_US)&lt;config!$I$10,"",WORKDAY(A338,-1,config_Holiday_Calendar_US)))</f>
        <v>42339</v>
      </c>
      <c r="B339" s="8" t="e">
        <f t="shared" si="5"/>
        <v>#VALUE!</v>
      </c>
      <c r="C339" s="8" t="str">
        <f>IF(A339="","",_xll.BDH(config!$H$4,C$1,$A339,$A339))</f>
        <v>#N/A Requesting Data...</v>
      </c>
      <c r="D339" s="8" t="str">
        <f>IF($A339="","",_xll.BDH(config!$H$4,D$1,$A339,$A339))</f>
        <v>#N/A Requesting Data...</v>
      </c>
      <c r="E339" s="8">
        <f>IF($A339="","",IF(ISNUMBER(FIND("IMPVOL",E$1)),_xll.BDH(config!$G$4,E$1,WORKDAY($A339,-1,config_Holiday_Calendar_US),WORKDAY($A339,-1,config_Holiday_Calendar_US)),IF(ISNUMBER(_xll.BDH(config!$G$4,E$1,$A339,$A339)),_xll.BDH(config!$G$4,E$1,$A339,$A339),_xll.BDH(config!$G$5,E$1,$A339,$A339))))</f>
        <v>41.73</v>
      </c>
      <c r="F339" s="8">
        <f>IF($A339="","",IF(ISNUMBER(FIND("IMPVOL",F$1)),_xll.BDH(config!$G$4,F$1,WORKDAY($A339,-1,config_Holiday_Calendar_US),WORKDAY($A339,-1,config_Holiday_Calendar_US)),IF(ISNUMBER(_xll.BDH(config!$G$4,F$1,$A339,$A339)),_xll.BDH(config!$G$4,F$1,$A339,$A339),_xll.BDH(config!$G$5,F$1,$A339,$A339))))</f>
        <v>42.23</v>
      </c>
      <c r="G339" s="8">
        <f>IF($A339="","",IF(ISNUMBER(FIND("IMPVOL",G$1)),_xll.BDH(config!$G$4,G$1,WORKDAY($A339,-1,config_Holiday_Calendar_US),WORKDAY($A339,-1,config_Holiday_Calendar_US)),IF(ISNUMBER(_xll.BDH(config!$G$4,G$1,$A339,$A339)),_xll.BDH(config!$G$4,G$1,$A339,$A339),_xll.BDH(config!$G$5,G$1,$A339,$A339))))</f>
        <v>42.48</v>
      </c>
      <c r="H339" s="8">
        <f>IF($A339="","",IF(ISNUMBER(FIND("IMPVOL",H$1)),_xll.BDH(config!$G$4,H$1,WORKDAY($A339,-1,config_Holiday_Calendar_US),WORKDAY($A339,-1,config_Holiday_Calendar_US)),IF(ISNUMBER(_xll.BDH(config!$G$4,H$1,$A339,$A339)),_xll.BDH(config!$G$4,H$1,$A339,$A339),_xll.BDH(config!$G$5,H$1,$A339,$A339))))</f>
        <v>84065</v>
      </c>
      <c r="I339" s="8" t="str">
        <f>IF($A339="","",IF(ISNUMBER(FIND("IMPVOL",I$1)),_xll.BDH(config!$G$4,I$1,WORKDAY($A339,-1,config_Holiday_Calendar_US),WORKDAY($A339,-1,config_Holiday_Calendar_US)),IF(ISNUMBER(_xll.BDH(config!$G$4,I$1,$A339,$A339)),_xll.BDH(config!$G$4,I$1,$A339,$A339),_xll.BDH(config!$G$5,I$1,$A339,$A339))))</f>
        <v>#N/A Requesting Data...</v>
      </c>
      <c r="J339" s="8" t="str">
        <f>IF($A339="","",IF(ISNUMBER(FIND("IMPVOL",J$1)),_xll.BDH(config!$G$4,J$1,WORKDAY($A339,-1,config_Holiday_Calendar_US),WORKDAY($A339,-1,config_Holiday_Calendar_US)),IF(ISNUMBER(_xll.BDH(config!$G$4,J$1,$A339,$A339)),_xll.BDH(config!$G$4,J$1,$A339,$A339),_xll.BDH(config!$G$5,J$1,$A339,$A339))))</f>
        <v>#N/A Requesting Data...</v>
      </c>
      <c r="K339" s="8" t="str">
        <f>IF($A339="","",IF(ISNUMBER(FIND("IMPVOL",K$1)),_xll.BDH(config!$G$4,K$1,WORKDAY($A339,-1,config_Holiday_Calendar_US),WORKDAY($A339,-1,config_Holiday_Calendar_US)),IF(ISNUMBER(_xll.BDH(config!$G$4,K$1,$A339,$A339)),_xll.BDH(config!$G$4,K$1,$A339,$A339),_xll.BDH(config!$G$5,K$1,$A339,$A339))))</f>
        <v>#N/A Requesting Data...</v>
      </c>
      <c r="L339" s="8" t="str">
        <f>IF($A339="","",IF(ISNUMBER(FIND("IMPVOL",L$1)),_xll.BDH(config!$G$4,L$1,WORKDAY($A339,-1,config_Holiday_Calendar_US),WORKDAY($A339,-1,config_Holiday_Calendar_US)),IF(ISNUMBER(_xll.BDH(config!$G$4,L$1,$A339,$A339)),_xll.BDH(config!$G$4,L$1,$A339,$A339),_xll.BDH(config!$G$5,L$1,$A339,$A339))))</f>
        <v>#N/A Requesting Data...</v>
      </c>
      <c r="M339" s="8" t="str">
        <f>IF($A339="","",IF(ISNUMBER(FIND("IMPVOL",M$1)),_xll.BDH(config!$G$4,M$1,WORKDAY($A339,-1,config_Holiday_Calendar_US),WORKDAY($A339,-1,config_Holiday_Calendar_US)),IF(ISNUMBER(_xll.BDH(config!$G$4,M$1,$A339,$A339)),_xll.BDH(config!$G$4,M$1,$A339,$A339),_xll.BDH(config!$G$5,M$1,$A339,$A339))))</f>
        <v>#N/A Requesting Data...</v>
      </c>
      <c r="N339" s="8" t="str">
        <f>IF($A339="","",IF(ISNUMBER(FIND("IMPVOL",N$1)),_xll.BDH(config!$G$4,N$1,WORKDAY($A339,-1,config_Holiday_Calendar_US),WORKDAY($A339,-1,config_Holiday_Calendar_US)),IF(ISNUMBER(_xll.BDH(config!$G$4,N$1,$A339,$A339)),_xll.BDH(config!$G$4,N$1,$A339,$A339),_xll.BDH(config!$G$5,N$1,$A339,$A339))))</f>
        <v>#N/A Requesting Data...</v>
      </c>
      <c r="O339" s="8" t="str">
        <f>IF($A339="","",IF(ISNUMBER(FIND("IMPVOL",O$1)),_xll.BDH(config!$G$4,O$1,WORKDAY($A339,-1,config_Holiday_Calendar_US),WORKDAY($A339,-1,config_Holiday_Calendar_US)),IF(ISNUMBER(_xll.BDH(config!$G$4,O$1,$A339,$A339)),_xll.BDH(config!$G$4,O$1,$A339,$A339),_xll.BDH(config!$G$5,O$1,$A339,$A339))))</f>
        <v>#N/A Requesting Data...</v>
      </c>
      <c r="P339" s="8" t="str">
        <f>IF($A339="","",IF(ISNUMBER(FIND("IMPVOL",P$1)),_xll.BDH(config!$G$4,P$1,WORKDAY($A339,-1,config_Holiday_Calendar_US),WORKDAY($A339,-1,config_Holiday_Calendar_US)),IF(ISNUMBER(_xll.BDH(config!$G$4,P$1,$A339,$A339)),_xll.BDH(config!$G$4,P$1,$A339,$A339),_xll.BDH(config!$G$5,P$1,$A339,$A339))))</f>
        <v>#N/A Requesting Data...</v>
      </c>
      <c r="Q339" s="8">
        <f>IF($A339="","",IF(ISNUMBER(FIND("IMPVOL",Q$1)),_xll.BDH(config!$G$4,Q$1,WORKDAY($A339,-1,config_Holiday_Calendar_US),WORKDAY($A339,-1,config_Holiday_Calendar_US)),IF(ISNUMBER(_xll.BDH(config!$G$4,Q$1,$A339,$A339)),_xll.BDH(config!$G$4,Q$1,$A339,$A339),_xll.BDH(config!$G$5,Q$1,$A339,$A339))))</f>
        <v>28.49</v>
      </c>
      <c r="R339" s="8">
        <f>IF($A339="","",IF(ISNUMBER(FIND("IMPVOL",R$1)),_xll.BDH(config!$G$4,R$1,WORKDAY($A339,-1,config_Holiday_Calendar_US),WORKDAY($A339,-1,config_Holiday_Calendar_US)),IF(ISNUMBER(_xll.BDH(config!$G$4,R$1,$A339,$A339)),_xll.BDH(config!$G$4,R$1,$A339,$A339),_xll.BDH(config!$G$5,R$1,$A339,$A339))))</f>
        <v>35.15</v>
      </c>
      <c r="S339" s="8" t="str">
        <f>IF($A339="","",IF(ISNUMBER(FIND("IMPVOL",S$1)),_xll.BDH(config!$G$4,S$1,WORKDAY($A339,-1,config_Holiday_Calendar_US),WORKDAY($A339,-1,config_Holiday_Calendar_US)),IF(ISNUMBER(_xll.BDH(config!$G$4,S$1,$A339,$A339)),_xll.BDH(config!$G$4,S$1,$A339,$A339),_xll.BDH(config!$G$5,S$1,$A339,$A339))))</f>
        <v>#N/A Requesting Data...</v>
      </c>
      <c r="T339" s="8" t="str">
        <f>IF($A339="","",IF(ISNUMBER(FIND("IMPVOL",T$1)),_xll.BDH(config!$G$4,T$1,WORKDAY($A339,-1,config_Holiday_Calendar_US),WORKDAY($A339,-1,config_Holiday_Calendar_US)),IF(ISNUMBER(_xll.BDH(config!$G$4,T$1,$A339,$A339)),_xll.BDH(config!$G$4,T$1,$A339,$A339),_xll.BDH(config!$G$5,T$1,$A339,$A339))))</f>
        <v>#N/A Requesting Data...</v>
      </c>
      <c r="U339" s="8" t="str">
        <f>IF($A339="","",IF(ISNUMBER(FIND("IMPVOL",U$1)),_xll.BDH(config!$G$4,U$1,WORKDAY($A339,-1,config_Holiday_Calendar_US),WORKDAY($A339,-1,config_Holiday_Calendar_US)),IF(ISNUMBER(_xll.BDH(config!$G$4,U$1,$A339,$A339)),_xll.BDH(config!$G$4,U$1,$A339,$A339),_xll.BDH(config!$G$5,U$1,$A339,$A339))))</f>
        <v>#N/A Requesting Data...</v>
      </c>
      <c r="V339" s="8" t="str">
        <f>IF($A339="","",IF(ISNUMBER(FIND("IMPVOL",V$1)),_xll.BDH(config!$G$4,V$1,WORKDAY($A339,-1,config_Holiday_Calendar_US),WORKDAY($A339,-1,config_Holiday_Calendar_US)),IF(ISNUMBER(_xll.BDH(config!$G$4,V$1,$A339,$A339)),_xll.BDH(config!$G$4,V$1,$A339,$A339),_xll.BDH(config!$G$5,V$1,$A339,$A339))))</f>
        <v>#N/A Requesting Data...</v>
      </c>
      <c r="W339" s="8" t="str">
        <f>IF($A339="","",IF(ISNUMBER(FIND("IMPVOL",W$1)),_xll.BDH(config!$G$4,W$1,WORKDAY($A339,-1,config_Holiday_Calendar_US),WORKDAY($A339,-1,config_Holiday_Calendar_US)),IF(ISNUMBER(_xll.BDH(config!$G$4,W$1,$A339,$A339)),_xll.BDH(config!$G$4,W$1,$A339,$A339),_xll.BDH(config!$G$5,W$1,$A339,$A339))))</f>
        <v>#N/A Requesting Data...</v>
      </c>
    </row>
    <row r="340" spans="1:23" x14ac:dyDescent="0.2">
      <c r="A340" s="9">
        <f>IF(A339="","",IF(WORKDAY(A339,-1,config_Holiday_Calendar_US)&lt;config!$I$10,"",WORKDAY(A339,-1,config_Holiday_Calendar_US)))</f>
        <v>42338</v>
      </c>
      <c r="B340" s="8" t="e">
        <f t="shared" si="5"/>
        <v>#VALUE!</v>
      </c>
      <c r="C340" s="8" t="str">
        <f>IF(A340="","",_xll.BDH(config!$H$4,C$1,$A340,$A340))</f>
        <v>#N/A Requesting Data...</v>
      </c>
      <c r="D340" s="8" t="str">
        <f>IF($A340="","",_xll.BDH(config!$H$4,D$1,$A340,$A340))</f>
        <v>#N/A Requesting Data...</v>
      </c>
      <c r="E340" s="8">
        <f>IF($A340="","",IF(ISNUMBER(FIND("IMPVOL",E$1)),_xll.BDH(config!$G$4,E$1,WORKDAY($A340,-1,config_Holiday_Calendar_US),WORKDAY($A340,-1,config_Holiday_Calendar_US)),IF(ISNUMBER(_xll.BDH(config!$G$4,E$1,$A340,$A340)),_xll.BDH(config!$G$4,E$1,$A340,$A340),_xll.BDH(config!$G$5,E$1,$A340,$A340))))</f>
        <v>41.77</v>
      </c>
      <c r="F340" s="8">
        <f>IF($A340="","",IF(ISNUMBER(FIND("IMPVOL",F$1)),_xll.BDH(config!$G$4,F$1,WORKDAY($A340,-1,config_Holiday_Calendar_US),WORKDAY($A340,-1,config_Holiday_Calendar_US)),IF(ISNUMBER(_xll.BDH(config!$G$4,F$1,$A340,$A340)),_xll.BDH(config!$G$4,F$1,$A340,$A340),_xll.BDH(config!$G$5,F$1,$A340,$A340))))</f>
        <v>42.61</v>
      </c>
      <c r="G340" s="8">
        <f>IF($A340="","",IF(ISNUMBER(FIND("IMPVOL",G$1)),_xll.BDH(config!$G$4,G$1,WORKDAY($A340,-1,config_Holiday_Calendar_US),WORKDAY($A340,-1,config_Holiday_Calendar_US)),IF(ISNUMBER(_xll.BDH(config!$G$4,G$1,$A340,$A340)),_xll.BDH(config!$G$4,G$1,$A340,$A340),_xll.BDH(config!$G$5,G$1,$A340,$A340))))</f>
        <v>42.84</v>
      </c>
      <c r="H340" s="8">
        <f>IF($A340="","",IF(ISNUMBER(FIND("IMPVOL",H$1)),_xll.BDH(config!$G$4,H$1,WORKDAY($A340,-1,config_Holiday_Calendar_US),WORKDAY($A340,-1,config_Holiday_Calendar_US)),IF(ISNUMBER(_xll.BDH(config!$G$4,H$1,$A340,$A340)),_xll.BDH(config!$G$4,H$1,$A340,$A340),_xll.BDH(config!$G$5,H$1,$A340,$A340))))</f>
        <v>87776</v>
      </c>
      <c r="I340" s="8" t="str">
        <f>IF($A340="","",IF(ISNUMBER(FIND("IMPVOL",I$1)),_xll.BDH(config!$G$4,I$1,WORKDAY($A340,-1,config_Holiday_Calendar_US),WORKDAY($A340,-1,config_Holiday_Calendar_US)),IF(ISNUMBER(_xll.BDH(config!$G$4,I$1,$A340,$A340)),_xll.BDH(config!$G$4,I$1,$A340,$A340),_xll.BDH(config!$G$5,I$1,$A340,$A340))))</f>
        <v>#N/A Requesting Data...</v>
      </c>
      <c r="J340" s="8" t="str">
        <f>IF($A340="","",IF(ISNUMBER(FIND("IMPVOL",J$1)),_xll.BDH(config!$G$4,J$1,WORKDAY($A340,-1,config_Holiday_Calendar_US),WORKDAY($A340,-1,config_Holiday_Calendar_US)),IF(ISNUMBER(_xll.BDH(config!$G$4,J$1,$A340,$A340)),_xll.BDH(config!$G$4,J$1,$A340,$A340),_xll.BDH(config!$G$5,J$1,$A340,$A340))))</f>
        <v>#N/A Requesting Data...</v>
      </c>
      <c r="K340" s="8" t="str">
        <f>IF($A340="","",IF(ISNUMBER(FIND("IMPVOL",K$1)),_xll.BDH(config!$G$4,K$1,WORKDAY($A340,-1,config_Holiday_Calendar_US),WORKDAY($A340,-1,config_Holiday_Calendar_US)),IF(ISNUMBER(_xll.BDH(config!$G$4,K$1,$A340,$A340)),_xll.BDH(config!$G$4,K$1,$A340,$A340),_xll.BDH(config!$G$5,K$1,$A340,$A340))))</f>
        <v>#N/A Requesting Data...</v>
      </c>
      <c r="L340" s="8" t="str">
        <f>IF($A340="","",IF(ISNUMBER(FIND("IMPVOL",L$1)),_xll.BDH(config!$G$4,L$1,WORKDAY($A340,-1,config_Holiday_Calendar_US),WORKDAY($A340,-1,config_Holiday_Calendar_US)),IF(ISNUMBER(_xll.BDH(config!$G$4,L$1,$A340,$A340)),_xll.BDH(config!$G$4,L$1,$A340,$A340),_xll.BDH(config!$G$5,L$1,$A340,$A340))))</f>
        <v>#N/A Requesting Data...</v>
      </c>
      <c r="M340" s="8" t="str">
        <f>IF($A340="","",IF(ISNUMBER(FIND("IMPVOL",M$1)),_xll.BDH(config!$G$4,M$1,WORKDAY($A340,-1,config_Holiday_Calendar_US),WORKDAY($A340,-1,config_Holiday_Calendar_US)),IF(ISNUMBER(_xll.BDH(config!$G$4,M$1,$A340,$A340)),_xll.BDH(config!$G$4,M$1,$A340,$A340),_xll.BDH(config!$G$5,M$1,$A340,$A340))))</f>
        <v>#N/A Requesting Data...</v>
      </c>
      <c r="N340" s="8" t="str">
        <f>IF($A340="","",IF(ISNUMBER(FIND("IMPVOL",N$1)),_xll.BDH(config!$G$4,N$1,WORKDAY($A340,-1,config_Holiday_Calendar_US),WORKDAY($A340,-1,config_Holiday_Calendar_US)),IF(ISNUMBER(_xll.BDH(config!$G$4,N$1,$A340,$A340)),_xll.BDH(config!$G$4,N$1,$A340,$A340),_xll.BDH(config!$G$5,N$1,$A340,$A340))))</f>
        <v>#N/A Requesting Data...</v>
      </c>
      <c r="O340" s="8" t="str">
        <f>IF($A340="","",IF(ISNUMBER(FIND("IMPVOL",O$1)),_xll.BDH(config!$G$4,O$1,WORKDAY($A340,-1,config_Holiday_Calendar_US),WORKDAY($A340,-1,config_Holiday_Calendar_US)),IF(ISNUMBER(_xll.BDH(config!$G$4,O$1,$A340,$A340)),_xll.BDH(config!$G$4,O$1,$A340,$A340),_xll.BDH(config!$G$5,O$1,$A340,$A340))))</f>
        <v>#N/A Requesting Data...</v>
      </c>
      <c r="P340" s="8" t="str">
        <f>IF($A340="","",IF(ISNUMBER(FIND("IMPVOL",P$1)),_xll.BDH(config!$G$4,P$1,WORKDAY($A340,-1,config_Holiday_Calendar_US),WORKDAY($A340,-1,config_Holiday_Calendar_US)),IF(ISNUMBER(_xll.BDH(config!$G$4,P$1,$A340,$A340)),_xll.BDH(config!$G$4,P$1,$A340,$A340),_xll.BDH(config!$G$5,P$1,$A340,$A340))))</f>
        <v>#N/A Requesting Data...</v>
      </c>
      <c r="Q340" s="8">
        <f>IF($A340="","",IF(ISNUMBER(FIND("IMPVOL",Q$1)),_xll.BDH(config!$G$4,Q$1,WORKDAY($A340,-1,config_Holiday_Calendar_US),WORKDAY($A340,-1,config_Holiday_Calendar_US)),IF(ISNUMBER(_xll.BDH(config!$G$4,Q$1,$A340,$A340)),_xll.BDH(config!$G$4,Q$1,$A340,$A340),_xll.BDH(config!$G$5,Q$1,$A340,$A340))))</f>
        <v>32.54</v>
      </c>
      <c r="R340" s="8">
        <f>IF($A340="","",IF(ISNUMBER(FIND("IMPVOL",R$1)),_xll.BDH(config!$G$4,R$1,WORKDAY($A340,-1,config_Holiday_Calendar_US),WORKDAY($A340,-1,config_Holiday_Calendar_US)),IF(ISNUMBER(_xll.BDH(config!$G$4,R$1,$A340,$A340)),_xll.BDH(config!$G$4,R$1,$A340,$A340),_xll.BDH(config!$G$5,R$1,$A340,$A340))))</f>
        <v>35.1</v>
      </c>
      <c r="S340" s="8" t="str">
        <f>IF($A340="","",IF(ISNUMBER(FIND("IMPVOL",S$1)),_xll.BDH(config!$G$4,S$1,WORKDAY($A340,-1,config_Holiday_Calendar_US),WORKDAY($A340,-1,config_Holiday_Calendar_US)),IF(ISNUMBER(_xll.BDH(config!$G$4,S$1,$A340,$A340)),_xll.BDH(config!$G$4,S$1,$A340,$A340),_xll.BDH(config!$G$5,S$1,$A340,$A340))))</f>
        <v>#N/A Requesting Data...</v>
      </c>
      <c r="T340" s="8" t="str">
        <f>IF($A340="","",IF(ISNUMBER(FIND("IMPVOL",T$1)),_xll.BDH(config!$G$4,T$1,WORKDAY($A340,-1,config_Holiday_Calendar_US),WORKDAY($A340,-1,config_Holiday_Calendar_US)),IF(ISNUMBER(_xll.BDH(config!$G$4,T$1,$A340,$A340)),_xll.BDH(config!$G$4,T$1,$A340,$A340),_xll.BDH(config!$G$5,T$1,$A340,$A340))))</f>
        <v>#N/A Requesting Data...</v>
      </c>
      <c r="U340" s="8" t="str">
        <f>IF($A340="","",IF(ISNUMBER(FIND("IMPVOL",U$1)),_xll.BDH(config!$G$4,U$1,WORKDAY($A340,-1,config_Holiday_Calendar_US),WORKDAY($A340,-1,config_Holiday_Calendar_US)),IF(ISNUMBER(_xll.BDH(config!$G$4,U$1,$A340,$A340)),_xll.BDH(config!$G$4,U$1,$A340,$A340),_xll.BDH(config!$G$5,U$1,$A340,$A340))))</f>
        <v>#N/A Requesting Data...</v>
      </c>
      <c r="V340" s="8" t="str">
        <f>IF($A340="","",IF(ISNUMBER(FIND("IMPVOL",V$1)),_xll.BDH(config!$G$4,V$1,WORKDAY($A340,-1,config_Holiday_Calendar_US),WORKDAY($A340,-1,config_Holiday_Calendar_US)),IF(ISNUMBER(_xll.BDH(config!$G$4,V$1,$A340,$A340)),_xll.BDH(config!$G$4,V$1,$A340,$A340),_xll.BDH(config!$G$5,V$1,$A340,$A340))))</f>
        <v>#N/A Requesting Data...</v>
      </c>
      <c r="W340" s="8" t="str">
        <f>IF($A340="","",IF(ISNUMBER(FIND("IMPVOL",W$1)),_xll.BDH(config!$G$4,W$1,WORKDAY($A340,-1,config_Holiday_Calendar_US),WORKDAY($A340,-1,config_Holiday_Calendar_US)),IF(ISNUMBER(_xll.BDH(config!$G$4,W$1,$A340,$A340)),_xll.BDH(config!$G$4,W$1,$A340,$A340),_xll.BDH(config!$G$5,W$1,$A340,$A340))))</f>
        <v>#N/A Requesting Data...</v>
      </c>
    </row>
    <row r="341" spans="1:23" x14ac:dyDescent="0.2">
      <c r="A341" s="9">
        <f>IF(A340="","",IF(WORKDAY(A340,-1,config_Holiday_Calendar_US)&lt;config!$I$10,"",WORKDAY(A340,-1,config_Holiday_Calendar_US)))</f>
        <v>42335</v>
      </c>
      <c r="B341" s="8" t="e">
        <f t="shared" si="5"/>
        <v>#VALUE!</v>
      </c>
      <c r="C341" s="8" t="str">
        <f>IF(A341="","",_xll.BDH(config!$H$4,C$1,$A341,$A341))</f>
        <v>#N/A Requesting Data...</v>
      </c>
      <c r="D341" s="8" t="str">
        <f>IF($A341="","",_xll.BDH(config!$H$4,D$1,$A341,$A341))</f>
        <v>#N/A Requesting Data...</v>
      </c>
      <c r="E341" s="8">
        <f>IF($A341="","",IF(ISNUMBER(FIND("IMPVOL",E$1)),_xll.BDH(config!$G$4,E$1,WORKDAY($A341,-1,config_Holiday_Calendar_US),WORKDAY($A341,-1,config_Holiday_Calendar_US)),IF(ISNUMBER(_xll.BDH(config!$G$4,E$1,$A341,$A341)),_xll.BDH(config!$G$4,E$1,$A341,$A341),_xll.BDH(config!$G$5,E$1,$A341,$A341))))</f>
        <v>43.25</v>
      </c>
      <c r="F341" s="8">
        <f>IF($A341="","",IF(ISNUMBER(FIND("IMPVOL",F$1)),_xll.BDH(config!$G$4,F$1,WORKDAY($A341,-1,config_Holiday_Calendar_US),WORKDAY($A341,-1,config_Holiday_Calendar_US)),IF(ISNUMBER(_xll.BDH(config!$G$4,F$1,$A341,$A341)),_xll.BDH(config!$G$4,F$1,$A341,$A341),_xll.BDH(config!$G$5,F$1,$A341,$A341))))</f>
        <v>43.3</v>
      </c>
      <c r="G341" s="8">
        <f>IF($A341="","",IF(ISNUMBER(FIND("IMPVOL",G$1)),_xll.BDH(config!$G$4,G$1,WORKDAY($A341,-1,config_Holiday_Calendar_US),WORKDAY($A341,-1,config_Holiday_Calendar_US)),IF(ISNUMBER(_xll.BDH(config!$G$4,G$1,$A341,$A341)),_xll.BDH(config!$G$4,G$1,$A341,$A341),_xll.BDH(config!$G$5,G$1,$A341,$A341))))</f>
        <v>43.01</v>
      </c>
      <c r="H341" s="8">
        <f>IF($A341="","",IF(ISNUMBER(FIND("IMPVOL",H$1)),_xll.BDH(config!$G$4,H$1,WORKDAY($A341,-1,config_Holiday_Calendar_US),WORKDAY($A341,-1,config_Holiday_Calendar_US)),IF(ISNUMBER(_xll.BDH(config!$G$4,H$1,$A341,$A341)),_xll.BDH(config!$G$4,H$1,$A341,$A341),_xll.BDH(config!$G$5,H$1,$A341,$A341))))</f>
        <v>45492</v>
      </c>
      <c r="I341" s="8" t="str">
        <f>IF($A341="","",IF(ISNUMBER(FIND("IMPVOL",I$1)),_xll.BDH(config!$G$4,I$1,WORKDAY($A341,-1,config_Holiday_Calendar_US),WORKDAY($A341,-1,config_Holiday_Calendar_US)),IF(ISNUMBER(_xll.BDH(config!$G$4,I$1,$A341,$A341)),_xll.BDH(config!$G$4,I$1,$A341,$A341),_xll.BDH(config!$G$5,I$1,$A341,$A341))))</f>
        <v>#N/A Requesting Data...</v>
      </c>
      <c r="J341" s="8" t="str">
        <f>IF($A341="","",IF(ISNUMBER(FIND("IMPVOL",J$1)),_xll.BDH(config!$G$4,J$1,WORKDAY($A341,-1,config_Holiday_Calendar_US),WORKDAY($A341,-1,config_Holiday_Calendar_US)),IF(ISNUMBER(_xll.BDH(config!$G$4,J$1,$A341,$A341)),_xll.BDH(config!$G$4,J$1,$A341,$A341),_xll.BDH(config!$G$5,J$1,$A341,$A341))))</f>
        <v>#N/A Requesting Data...</v>
      </c>
      <c r="K341" s="8" t="str">
        <f>IF($A341="","",IF(ISNUMBER(FIND("IMPVOL",K$1)),_xll.BDH(config!$G$4,K$1,WORKDAY($A341,-1,config_Holiday_Calendar_US),WORKDAY($A341,-1,config_Holiday_Calendar_US)),IF(ISNUMBER(_xll.BDH(config!$G$4,K$1,$A341,$A341)),_xll.BDH(config!$G$4,K$1,$A341,$A341),_xll.BDH(config!$G$5,K$1,$A341,$A341))))</f>
        <v>#N/A Requesting Data...</v>
      </c>
      <c r="L341" s="8" t="str">
        <f>IF($A341="","",IF(ISNUMBER(FIND("IMPVOL",L$1)),_xll.BDH(config!$G$4,L$1,WORKDAY($A341,-1,config_Holiday_Calendar_US),WORKDAY($A341,-1,config_Holiday_Calendar_US)),IF(ISNUMBER(_xll.BDH(config!$G$4,L$1,$A341,$A341)),_xll.BDH(config!$G$4,L$1,$A341,$A341),_xll.BDH(config!$G$5,L$1,$A341,$A341))))</f>
        <v>#N/A Requesting Data...</v>
      </c>
      <c r="M341" s="8" t="str">
        <f>IF($A341="","",IF(ISNUMBER(FIND("IMPVOL",M$1)),_xll.BDH(config!$G$4,M$1,WORKDAY($A341,-1,config_Holiday_Calendar_US),WORKDAY($A341,-1,config_Holiday_Calendar_US)),IF(ISNUMBER(_xll.BDH(config!$G$4,M$1,$A341,$A341)),_xll.BDH(config!$G$4,M$1,$A341,$A341),_xll.BDH(config!$G$5,M$1,$A341,$A341))))</f>
        <v>#N/A Requesting Data...</v>
      </c>
      <c r="N341" s="8" t="str">
        <f>IF($A341="","",IF(ISNUMBER(FIND("IMPVOL",N$1)),_xll.BDH(config!$G$4,N$1,WORKDAY($A341,-1,config_Holiday_Calendar_US),WORKDAY($A341,-1,config_Holiday_Calendar_US)),IF(ISNUMBER(_xll.BDH(config!$G$4,N$1,$A341,$A341)),_xll.BDH(config!$G$4,N$1,$A341,$A341),_xll.BDH(config!$G$5,N$1,$A341,$A341))))</f>
        <v>#N/A Requesting Data...</v>
      </c>
      <c r="O341" s="8" t="str">
        <f>IF($A341="","",IF(ISNUMBER(FIND("IMPVOL",O$1)),_xll.BDH(config!$G$4,O$1,WORKDAY($A341,-1,config_Holiday_Calendar_US),WORKDAY($A341,-1,config_Holiday_Calendar_US)),IF(ISNUMBER(_xll.BDH(config!$G$4,O$1,$A341,$A341)),_xll.BDH(config!$G$4,O$1,$A341,$A341),_xll.BDH(config!$G$5,O$1,$A341,$A341))))</f>
        <v>#N/A Requesting Data...</v>
      </c>
      <c r="P341" s="8" t="str">
        <f>IF($A341="","",IF(ISNUMBER(FIND("IMPVOL",P$1)),_xll.BDH(config!$G$4,P$1,WORKDAY($A341,-1,config_Holiday_Calendar_US),WORKDAY($A341,-1,config_Holiday_Calendar_US)),IF(ISNUMBER(_xll.BDH(config!$G$4,P$1,$A341,$A341)),_xll.BDH(config!$G$4,P$1,$A341,$A341),_xll.BDH(config!$G$5,P$1,$A341,$A341))))</f>
        <v>#N/A Requesting Data...</v>
      </c>
      <c r="Q341" s="8">
        <f>IF($A341="","",IF(ISNUMBER(FIND("IMPVOL",Q$1)),_xll.BDH(config!$G$4,Q$1,WORKDAY($A341,-1,config_Holiday_Calendar_US),WORKDAY($A341,-1,config_Holiday_Calendar_US)),IF(ISNUMBER(_xll.BDH(config!$G$4,Q$1,$A341,$A341)),_xll.BDH(config!$G$4,Q$1,$A341,$A341),_xll.BDH(config!$G$5,Q$1,$A341,$A341))))</f>
        <v>33.880000000000003</v>
      </c>
      <c r="R341" s="8">
        <f>IF($A341="","",IF(ISNUMBER(FIND("IMPVOL",R$1)),_xll.BDH(config!$G$4,R$1,WORKDAY($A341,-1,config_Holiday_Calendar_US),WORKDAY($A341,-1,config_Holiday_Calendar_US)),IF(ISNUMBER(_xll.BDH(config!$G$4,R$1,$A341,$A341)),_xll.BDH(config!$G$4,R$1,$A341,$A341),_xll.BDH(config!$G$5,R$1,$A341,$A341))))</f>
        <v>36.090000000000003</v>
      </c>
      <c r="S341" s="8" t="str">
        <f>IF($A341="","",IF(ISNUMBER(FIND("IMPVOL",S$1)),_xll.BDH(config!$G$4,S$1,WORKDAY($A341,-1,config_Holiday_Calendar_US),WORKDAY($A341,-1,config_Holiday_Calendar_US)),IF(ISNUMBER(_xll.BDH(config!$G$4,S$1,$A341,$A341)),_xll.BDH(config!$G$4,S$1,$A341,$A341),_xll.BDH(config!$G$5,S$1,$A341,$A341))))</f>
        <v>#N/A Requesting Data...</v>
      </c>
      <c r="T341" s="8" t="str">
        <f>IF($A341="","",IF(ISNUMBER(FIND("IMPVOL",T$1)),_xll.BDH(config!$G$4,T$1,WORKDAY($A341,-1,config_Holiday_Calendar_US),WORKDAY($A341,-1,config_Holiday_Calendar_US)),IF(ISNUMBER(_xll.BDH(config!$G$4,T$1,$A341,$A341)),_xll.BDH(config!$G$4,T$1,$A341,$A341),_xll.BDH(config!$G$5,T$1,$A341,$A341))))</f>
        <v>#N/A Requesting Data...</v>
      </c>
      <c r="U341" s="8" t="str">
        <f>IF($A341="","",IF(ISNUMBER(FIND("IMPVOL",U$1)),_xll.BDH(config!$G$4,U$1,WORKDAY($A341,-1,config_Holiday_Calendar_US),WORKDAY($A341,-1,config_Holiday_Calendar_US)),IF(ISNUMBER(_xll.BDH(config!$G$4,U$1,$A341,$A341)),_xll.BDH(config!$G$4,U$1,$A341,$A341),_xll.BDH(config!$G$5,U$1,$A341,$A341))))</f>
        <v>#N/A Requesting Data...</v>
      </c>
      <c r="V341" s="8" t="str">
        <f>IF($A341="","",IF(ISNUMBER(FIND("IMPVOL",V$1)),_xll.BDH(config!$G$4,V$1,WORKDAY($A341,-1,config_Holiday_Calendar_US),WORKDAY($A341,-1,config_Holiday_Calendar_US)),IF(ISNUMBER(_xll.BDH(config!$G$4,V$1,$A341,$A341)),_xll.BDH(config!$G$4,V$1,$A341,$A341),_xll.BDH(config!$G$5,V$1,$A341,$A341))))</f>
        <v>#N/A Requesting Data...</v>
      </c>
      <c r="W341" s="8" t="str">
        <f>IF($A341="","",IF(ISNUMBER(FIND("IMPVOL",W$1)),_xll.BDH(config!$G$4,W$1,WORKDAY($A341,-1,config_Holiday_Calendar_US),WORKDAY($A341,-1,config_Holiday_Calendar_US)),IF(ISNUMBER(_xll.BDH(config!$G$4,W$1,$A341,$A341)),_xll.BDH(config!$G$4,W$1,$A341,$A341),_xll.BDH(config!$G$5,W$1,$A341,$A341))))</f>
        <v>#N/A Requesting Data...</v>
      </c>
    </row>
    <row r="342" spans="1:23" x14ac:dyDescent="0.2">
      <c r="A342" s="9">
        <f>IF(A341="","",IF(WORKDAY(A341,-1,config_Holiday_Calendar_US)&lt;config!$I$10,"",WORKDAY(A341,-1,config_Holiday_Calendar_US)))</f>
        <v>42333</v>
      </c>
      <c r="B342" s="8" t="e">
        <f t="shared" si="5"/>
        <v>#VALUE!</v>
      </c>
      <c r="C342" s="8" t="str">
        <f>IF(A342="","",_xll.BDH(config!$H$4,C$1,$A342,$A342))</f>
        <v>#N/A Requesting Data...</v>
      </c>
      <c r="D342" s="8" t="str">
        <f>IF($A342="","",_xll.BDH(config!$H$4,D$1,$A342,$A342))</f>
        <v>#N/A Requesting Data...</v>
      </c>
      <c r="E342" s="8">
        <f>IF($A342="","",IF(ISNUMBER(FIND("IMPVOL",E$1)),_xll.BDH(config!$G$4,E$1,WORKDAY($A342,-1,config_Holiday_Calendar_US),WORKDAY($A342,-1,config_Holiday_Calendar_US)),IF(ISNUMBER(_xll.BDH(config!$G$4,E$1,$A342,$A342)),_xll.BDH(config!$G$4,E$1,$A342,$A342),_xll.BDH(config!$G$5,E$1,$A342,$A342))))</f>
        <v>42.69</v>
      </c>
      <c r="F342" s="8">
        <f>IF($A342="","",IF(ISNUMBER(FIND("IMPVOL",F$1)),_xll.BDH(config!$G$4,F$1,WORKDAY($A342,-1,config_Holiday_Calendar_US),WORKDAY($A342,-1,config_Holiday_Calendar_US)),IF(ISNUMBER(_xll.BDH(config!$G$4,F$1,$A342,$A342)),_xll.BDH(config!$G$4,F$1,$A342,$A342),_xll.BDH(config!$G$5,F$1,$A342,$A342))))</f>
        <v>43.25</v>
      </c>
      <c r="G342" s="8">
        <f>IF($A342="","",IF(ISNUMBER(FIND("IMPVOL",G$1)),_xll.BDH(config!$G$4,G$1,WORKDAY($A342,-1,config_Holiday_Calendar_US),WORKDAY($A342,-1,config_Holiday_Calendar_US)),IF(ISNUMBER(_xll.BDH(config!$G$4,G$1,$A342,$A342)),_xll.BDH(config!$G$4,G$1,$A342,$A342),_xll.BDH(config!$G$5,G$1,$A342,$A342))))</f>
        <v>43.16</v>
      </c>
      <c r="H342" s="8">
        <f>IF($A342="","",IF(ISNUMBER(FIND("IMPVOL",H$1)),_xll.BDH(config!$G$4,H$1,WORKDAY($A342,-1,config_Holiday_Calendar_US),WORKDAY($A342,-1,config_Holiday_Calendar_US)),IF(ISNUMBER(_xll.BDH(config!$G$4,H$1,$A342,$A342)),_xll.BDH(config!$G$4,H$1,$A342,$A342),_xll.BDH(config!$G$5,H$1,$A342,$A342))))</f>
        <v>68617</v>
      </c>
      <c r="I342" s="8" t="str">
        <f>IF($A342="","",IF(ISNUMBER(FIND("IMPVOL",I$1)),_xll.BDH(config!$G$4,I$1,WORKDAY($A342,-1,config_Holiday_Calendar_US),WORKDAY($A342,-1,config_Holiday_Calendar_US)),IF(ISNUMBER(_xll.BDH(config!$G$4,I$1,$A342,$A342)),_xll.BDH(config!$G$4,I$1,$A342,$A342),_xll.BDH(config!$G$5,I$1,$A342,$A342))))</f>
        <v>#N/A Requesting Data...</v>
      </c>
      <c r="J342" s="8" t="str">
        <f>IF($A342="","",IF(ISNUMBER(FIND("IMPVOL",J$1)),_xll.BDH(config!$G$4,J$1,WORKDAY($A342,-1,config_Holiday_Calendar_US),WORKDAY($A342,-1,config_Holiday_Calendar_US)),IF(ISNUMBER(_xll.BDH(config!$G$4,J$1,$A342,$A342)),_xll.BDH(config!$G$4,J$1,$A342,$A342),_xll.BDH(config!$G$5,J$1,$A342,$A342))))</f>
        <v>#N/A Requesting Data...</v>
      </c>
      <c r="K342" s="8" t="str">
        <f>IF($A342="","",IF(ISNUMBER(FIND("IMPVOL",K$1)),_xll.BDH(config!$G$4,K$1,WORKDAY($A342,-1,config_Holiday_Calendar_US),WORKDAY($A342,-1,config_Holiday_Calendar_US)),IF(ISNUMBER(_xll.BDH(config!$G$4,K$1,$A342,$A342)),_xll.BDH(config!$G$4,K$1,$A342,$A342),_xll.BDH(config!$G$5,K$1,$A342,$A342))))</f>
        <v>#N/A Requesting Data...</v>
      </c>
      <c r="L342" s="8" t="str">
        <f>IF($A342="","",IF(ISNUMBER(FIND("IMPVOL",L$1)),_xll.BDH(config!$G$4,L$1,WORKDAY($A342,-1,config_Holiday_Calendar_US),WORKDAY($A342,-1,config_Holiday_Calendar_US)),IF(ISNUMBER(_xll.BDH(config!$G$4,L$1,$A342,$A342)),_xll.BDH(config!$G$4,L$1,$A342,$A342),_xll.BDH(config!$G$5,L$1,$A342,$A342))))</f>
        <v>#N/A Requesting Data...</v>
      </c>
      <c r="M342" s="8" t="str">
        <f>IF($A342="","",IF(ISNUMBER(FIND("IMPVOL",M$1)),_xll.BDH(config!$G$4,M$1,WORKDAY($A342,-1,config_Holiday_Calendar_US),WORKDAY($A342,-1,config_Holiday_Calendar_US)),IF(ISNUMBER(_xll.BDH(config!$G$4,M$1,$A342,$A342)),_xll.BDH(config!$G$4,M$1,$A342,$A342),_xll.BDH(config!$G$5,M$1,$A342,$A342))))</f>
        <v>#N/A Requesting Data...</v>
      </c>
      <c r="N342" s="8" t="str">
        <f>IF($A342="","",IF(ISNUMBER(FIND("IMPVOL",N$1)),_xll.BDH(config!$G$4,N$1,WORKDAY($A342,-1,config_Holiday_Calendar_US),WORKDAY($A342,-1,config_Holiday_Calendar_US)),IF(ISNUMBER(_xll.BDH(config!$G$4,N$1,$A342,$A342)),_xll.BDH(config!$G$4,N$1,$A342,$A342),_xll.BDH(config!$G$5,N$1,$A342,$A342))))</f>
        <v>#N/A Requesting Data...</v>
      </c>
      <c r="O342" s="8" t="str">
        <f>IF($A342="","",IF(ISNUMBER(FIND("IMPVOL",O$1)),_xll.BDH(config!$G$4,O$1,WORKDAY($A342,-1,config_Holiday_Calendar_US),WORKDAY($A342,-1,config_Holiday_Calendar_US)),IF(ISNUMBER(_xll.BDH(config!$G$4,O$1,$A342,$A342)),_xll.BDH(config!$G$4,O$1,$A342,$A342),_xll.BDH(config!$G$5,O$1,$A342,$A342))))</f>
        <v>#N/A Requesting Data...</v>
      </c>
      <c r="P342" s="8" t="str">
        <f>IF($A342="","",IF(ISNUMBER(FIND("IMPVOL",P$1)),_xll.BDH(config!$G$4,P$1,WORKDAY($A342,-1,config_Holiday_Calendar_US),WORKDAY($A342,-1,config_Holiday_Calendar_US)),IF(ISNUMBER(_xll.BDH(config!$G$4,P$1,$A342,$A342)),_xll.BDH(config!$G$4,P$1,$A342,$A342),_xll.BDH(config!$G$5,P$1,$A342,$A342))))</f>
        <v>#N/A Requesting Data...</v>
      </c>
      <c r="Q342" s="8">
        <f>IF($A342="","",IF(ISNUMBER(FIND("IMPVOL",Q$1)),_xll.BDH(config!$G$4,Q$1,WORKDAY($A342,-1,config_Holiday_Calendar_US),WORKDAY($A342,-1,config_Holiday_Calendar_US)),IF(ISNUMBER(_xll.BDH(config!$G$4,Q$1,$A342,$A342)),_xll.BDH(config!$G$4,Q$1,$A342,$A342),_xll.BDH(config!$G$5,Q$1,$A342,$A342))))</f>
        <v>32.03</v>
      </c>
      <c r="R342" s="8">
        <f>IF($A342="","",IF(ISNUMBER(FIND("IMPVOL",R$1)),_xll.BDH(config!$G$4,R$1,WORKDAY($A342,-1,config_Holiday_Calendar_US),WORKDAY($A342,-1,config_Holiday_Calendar_US)),IF(ISNUMBER(_xll.BDH(config!$G$4,R$1,$A342,$A342)),_xll.BDH(config!$G$4,R$1,$A342,$A342),_xll.BDH(config!$G$5,R$1,$A342,$A342))))</f>
        <v>35.65</v>
      </c>
      <c r="S342" s="8" t="str">
        <f>IF($A342="","",IF(ISNUMBER(FIND("IMPVOL",S$1)),_xll.BDH(config!$G$4,S$1,WORKDAY($A342,-1,config_Holiday_Calendar_US),WORKDAY($A342,-1,config_Holiday_Calendar_US)),IF(ISNUMBER(_xll.BDH(config!$G$4,S$1,$A342,$A342)),_xll.BDH(config!$G$4,S$1,$A342,$A342),_xll.BDH(config!$G$5,S$1,$A342,$A342))))</f>
        <v>#N/A Requesting Data...</v>
      </c>
      <c r="T342" s="8" t="str">
        <f>IF($A342="","",IF(ISNUMBER(FIND("IMPVOL",T$1)),_xll.BDH(config!$G$4,T$1,WORKDAY($A342,-1,config_Holiday_Calendar_US),WORKDAY($A342,-1,config_Holiday_Calendar_US)),IF(ISNUMBER(_xll.BDH(config!$G$4,T$1,$A342,$A342)),_xll.BDH(config!$G$4,T$1,$A342,$A342),_xll.BDH(config!$G$5,T$1,$A342,$A342))))</f>
        <v>#N/A Requesting Data...</v>
      </c>
      <c r="U342" s="8" t="str">
        <f>IF($A342="","",IF(ISNUMBER(FIND("IMPVOL",U$1)),_xll.BDH(config!$G$4,U$1,WORKDAY($A342,-1,config_Holiday_Calendar_US),WORKDAY($A342,-1,config_Holiday_Calendar_US)),IF(ISNUMBER(_xll.BDH(config!$G$4,U$1,$A342,$A342)),_xll.BDH(config!$G$4,U$1,$A342,$A342),_xll.BDH(config!$G$5,U$1,$A342,$A342))))</f>
        <v>#N/A Requesting Data...</v>
      </c>
      <c r="V342" s="8" t="str">
        <f>IF($A342="","",IF(ISNUMBER(FIND("IMPVOL",V$1)),_xll.BDH(config!$G$4,V$1,WORKDAY($A342,-1,config_Holiday_Calendar_US),WORKDAY($A342,-1,config_Holiday_Calendar_US)),IF(ISNUMBER(_xll.BDH(config!$G$4,V$1,$A342,$A342)),_xll.BDH(config!$G$4,V$1,$A342,$A342),_xll.BDH(config!$G$5,V$1,$A342,$A342))))</f>
        <v>#N/A Requesting Data...</v>
      </c>
      <c r="W342" s="8" t="str">
        <f>IF($A342="","",IF(ISNUMBER(FIND("IMPVOL",W$1)),_xll.BDH(config!$G$4,W$1,WORKDAY($A342,-1,config_Holiday_Calendar_US),WORKDAY($A342,-1,config_Holiday_Calendar_US)),IF(ISNUMBER(_xll.BDH(config!$G$4,W$1,$A342,$A342)),_xll.BDH(config!$G$4,W$1,$A342,$A342),_xll.BDH(config!$G$5,W$1,$A342,$A342))))</f>
        <v>#N/A Requesting Data...</v>
      </c>
    </row>
    <row r="343" spans="1:23" x14ac:dyDescent="0.2">
      <c r="A343" s="9">
        <f>IF(A342="","",IF(WORKDAY(A342,-1,config_Holiday_Calendar_US)&lt;config!$I$10,"",WORKDAY(A342,-1,config_Holiday_Calendar_US)))</f>
        <v>42332</v>
      </c>
      <c r="B343" s="8" t="e">
        <f t="shared" si="5"/>
        <v>#VALUE!</v>
      </c>
      <c r="C343" s="8" t="str">
        <f>IF(A343="","",_xll.BDH(config!$H$4,C$1,$A343,$A343))</f>
        <v>#N/A Requesting Data...</v>
      </c>
      <c r="D343" s="8" t="str">
        <f>IF($A343="","",_xll.BDH(config!$H$4,D$1,$A343,$A343))</f>
        <v>#N/A Requesting Data...</v>
      </c>
      <c r="E343" s="8">
        <f>IF($A343="","",IF(ISNUMBER(FIND("IMPVOL",E$1)),_xll.BDH(config!$G$4,E$1,WORKDAY($A343,-1,config_Holiday_Calendar_US),WORKDAY($A343,-1,config_Holiday_Calendar_US)),IF(ISNUMBER(_xll.BDH(config!$G$4,E$1,$A343,$A343)),_xll.BDH(config!$G$4,E$1,$A343,$A343),_xll.BDH(config!$G$5,E$1,$A343,$A343))))</f>
        <v>42.04</v>
      </c>
      <c r="F343" s="8">
        <f>IF($A343="","",IF(ISNUMBER(FIND("IMPVOL",F$1)),_xll.BDH(config!$G$4,F$1,WORKDAY($A343,-1,config_Holiday_Calendar_US),WORKDAY($A343,-1,config_Holiday_Calendar_US)),IF(ISNUMBER(_xll.BDH(config!$G$4,F$1,$A343,$A343)),_xll.BDH(config!$G$4,F$1,$A343,$A343),_xll.BDH(config!$G$5,F$1,$A343,$A343))))</f>
        <v>43.46</v>
      </c>
      <c r="G343" s="8">
        <f>IF($A343="","",IF(ISNUMBER(FIND("IMPVOL",G$1)),_xll.BDH(config!$G$4,G$1,WORKDAY($A343,-1,config_Holiday_Calendar_US),WORKDAY($A343,-1,config_Holiday_Calendar_US)),IF(ISNUMBER(_xll.BDH(config!$G$4,G$1,$A343,$A343)),_xll.BDH(config!$G$4,G$1,$A343,$A343),_xll.BDH(config!$G$5,G$1,$A343,$A343))))</f>
        <v>43.26</v>
      </c>
      <c r="H343" s="8">
        <f>IF($A343="","",IF(ISNUMBER(FIND("IMPVOL",H$1)),_xll.BDH(config!$G$4,H$1,WORKDAY($A343,-1,config_Holiday_Calendar_US),WORKDAY($A343,-1,config_Holiday_Calendar_US)),IF(ISNUMBER(_xll.BDH(config!$G$4,H$1,$A343,$A343)),_xll.BDH(config!$G$4,H$1,$A343,$A343),_xll.BDH(config!$G$5,H$1,$A343,$A343))))</f>
        <v>78637</v>
      </c>
      <c r="I343" s="8" t="str">
        <f>IF($A343="","",IF(ISNUMBER(FIND("IMPVOL",I$1)),_xll.BDH(config!$G$4,I$1,WORKDAY($A343,-1,config_Holiday_Calendar_US),WORKDAY($A343,-1,config_Holiday_Calendar_US)),IF(ISNUMBER(_xll.BDH(config!$G$4,I$1,$A343,$A343)),_xll.BDH(config!$G$4,I$1,$A343,$A343),_xll.BDH(config!$G$5,I$1,$A343,$A343))))</f>
        <v>#N/A Requesting Data...</v>
      </c>
      <c r="J343" s="8" t="str">
        <f>IF($A343="","",IF(ISNUMBER(FIND("IMPVOL",J$1)),_xll.BDH(config!$G$4,J$1,WORKDAY($A343,-1,config_Holiday_Calendar_US),WORKDAY($A343,-1,config_Holiday_Calendar_US)),IF(ISNUMBER(_xll.BDH(config!$G$4,J$1,$A343,$A343)),_xll.BDH(config!$G$4,J$1,$A343,$A343),_xll.BDH(config!$G$5,J$1,$A343,$A343))))</f>
        <v>#N/A Requesting Data...</v>
      </c>
      <c r="K343" s="8" t="str">
        <f>IF($A343="","",IF(ISNUMBER(FIND("IMPVOL",K$1)),_xll.BDH(config!$G$4,K$1,WORKDAY($A343,-1,config_Holiday_Calendar_US),WORKDAY($A343,-1,config_Holiday_Calendar_US)),IF(ISNUMBER(_xll.BDH(config!$G$4,K$1,$A343,$A343)),_xll.BDH(config!$G$4,K$1,$A343,$A343),_xll.BDH(config!$G$5,K$1,$A343,$A343))))</f>
        <v>#N/A Requesting Data...</v>
      </c>
      <c r="L343" s="8" t="str">
        <f>IF($A343="","",IF(ISNUMBER(FIND("IMPVOL",L$1)),_xll.BDH(config!$G$4,L$1,WORKDAY($A343,-1,config_Holiday_Calendar_US),WORKDAY($A343,-1,config_Holiday_Calendar_US)),IF(ISNUMBER(_xll.BDH(config!$G$4,L$1,$A343,$A343)),_xll.BDH(config!$G$4,L$1,$A343,$A343),_xll.BDH(config!$G$5,L$1,$A343,$A343))))</f>
        <v>#N/A Requesting Data...</v>
      </c>
      <c r="M343" s="8" t="str">
        <f>IF($A343="","",IF(ISNUMBER(FIND("IMPVOL",M$1)),_xll.BDH(config!$G$4,M$1,WORKDAY($A343,-1,config_Holiday_Calendar_US),WORKDAY($A343,-1,config_Holiday_Calendar_US)),IF(ISNUMBER(_xll.BDH(config!$G$4,M$1,$A343,$A343)),_xll.BDH(config!$G$4,M$1,$A343,$A343),_xll.BDH(config!$G$5,M$1,$A343,$A343))))</f>
        <v>#N/A Requesting Data...</v>
      </c>
      <c r="N343" s="8" t="str">
        <f>IF($A343="","",IF(ISNUMBER(FIND("IMPVOL",N$1)),_xll.BDH(config!$G$4,N$1,WORKDAY($A343,-1,config_Holiday_Calendar_US),WORKDAY($A343,-1,config_Holiday_Calendar_US)),IF(ISNUMBER(_xll.BDH(config!$G$4,N$1,$A343,$A343)),_xll.BDH(config!$G$4,N$1,$A343,$A343),_xll.BDH(config!$G$5,N$1,$A343,$A343))))</f>
        <v>#N/A Requesting Data...</v>
      </c>
      <c r="O343" s="8" t="str">
        <f>IF($A343="","",IF(ISNUMBER(FIND("IMPVOL",O$1)),_xll.BDH(config!$G$4,O$1,WORKDAY($A343,-1,config_Holiday_Calendar_US),WORKDAY($A343,-1,config_Holiday_Calendar_US)),IF(ISNUMBER(_xll.BDH(config!$G$4,O$1,$A343,$A343)),_xll.BDH(config!$G$4,O$1,$A343,$A343),_xll.BDH(config!$G$5,O$1,$A343,$A343))))</f>
        <v>#N/A Requesting Data...</v>
      </c>
      <c r="P343" s="8" t="str">
        <f>IF($A343="","",IF(ISNUMBER(FIND("IMPVOL",P$1)),_xll.BDH(config!$G$4,P$1,WORKDAY($A343,-1,config_Holiday_Calendar_US),WORKDAY($A343,-1,config_Holiday_Calendar_US)),IF(ISNUMBER(_xll.BDH(config!$G$4,P$1,$A343,$A343)),_xll.BDH(config!$G$4,P$1,$A343,$A343),_xll.BDH(config!$G$5,P$1,$A343,$A343))))</f>
        <v>#N/A Requesting Data...</v>
      </c>
      <c r="Q343" s="8">
        <f>IF($A343="","",IF(ISNUMBER(FIND("IMPVOL",Q$1)),_xll.BDH(config!$G$4,Q$1,WORKDAY($A343,-1,config_Holiday_Calendar_US),WORKDAY($A343,-1,config_Holiday_Calendar_US)),IF(ISNUMBER(_xll.BDH(config!$G$4,Q$1,$A343,$A343)),_xll.BDH(config!$G$4,Q$1,$A343,$A343),_xll.BDH(config!$G$5,Q$1,$A343,$A343))))</f>
        <v>35.97</v>
      </c>
      <c r="R343" s="8">
        <f>IF($A343="","",IF(ISNUMBER(FIND("IMPVOL",R$1)),_xll.BDH(config!$G$4,R$1,WORKDAY($A343,-1,config_Holiday_Calendar_US),WORKDAY($A343,-1,config_Holiday_Calendar_US)),IF(ISNUMBER(_xll.BDH(config!$G$4,R$1,$A343,$A343)),_xll.BDH(config!$G$4,R$1,$A343,$A343),_xll.BDH(config!$G$5,R$1,$A343,$A343))))</f>
        <v>35.659999999999997</v>
      </c>
      <c r="S343" s="8" t="str">
        <f>IF($A343="","",IF(ISNUMBER(FIND("IMPVOL",S$1)),_xll.BDH(config!$G$4,S$1,WORKDAY($A343,-1,config_Holiday_Calendar_US),WORKDAY($A343,-1,config_Holiday_Calendar_US)),IF(ISNUMBER(_xll.BDH(config!$G$4,S$1,$A343,$A343)),_xll.BDH(config!$G$4,S$1,$A343,$A343),_xll.BDH(config!$G$5,S$1,$A343,$A343))))</f>
        <v>#N/A Requesting Data...</v>
      </c>
      <c r="T343" s="8" t="str">
        <f>IF($A343="","",IF(ISNUMBER(FIND("IMPVOL",T$1)),_xll.BDH(config!$G$4,T$1,WORKDAY($A343,-1,config_Holiday_Calendar_US),WORKDAY($A343,-1,config_Holiday_Calendar_US)),IF(ISNUMBER(_xll.BDH(config!$G$4,T$1,$A343,$A343)),_xll.BDH(config!$G$4,T$1,$A343,$A343),_xll.BDH(config!$G$5,T$1,$A343,$A343))))</f>
        <v>#N/A Requesting Data...</v>
      </c>
      <c r="U343" s="8" t="str">
        <f>IF($A343="","",IF(ISNUMBER(FIND("IMPVOL",U$1)),_xll.BDH(config!$G$4,U$1,WORKDAY($A343,-1,config_Holiday_Calendar_US),WORKDAY($A343,-1,config_Holiday_Calendar_US)),IF(ISNUMBER(_xll.BDH(config!$G$4,U$1,$A343,$A343)),_xll.BDH(config!$G$4,U$1,$A343,$A343),_xll.BDH(config!$G$5,U$1,$A343,$A343))))</f>
        <v>#N/A Requesting Data...</v>
      </c>
      <c r="V343" s="8" t="str">
        <f>IF($A343="","",IF(ISNUMBER(FIND("IMPVOL",V$1)),_xll.BDH(config!$G$4,V$1,WORKDAY($A343,-1,config_Holiday_Calendar_US),WORKDAY($A343,-1,config_Holiday_Calendar_US)),IF(ISNUMBER(_xll.BDH(config!$G$4,V$1,$A343,$A343)),_xll.BDH(config!$G$4,V$1,$A343,$A343),_xll.BDH(config!$G$5,V$1,$A343,$A343))))</f>
        <v>#N/A Requesting Data...</v>
      </c>
      <c r="W343" s="8" t="str">
        <f>IF($A343="","",IF(ISNUMBER(FIND("IMPVOL",W$1)),_xll.BDH(config!$G$4,W$1,WORKDAY($A343,-1,config_Holiday_Calendar_US),WORKDAY($A343,-1,config_Holiday_Calendar_US)),IF(ISNUMBER(_xll.BDH(config!$G$4,W$1,$A343,$A343)),_xll.BDH(config!$G$4,W$1,$A343,$A343),_xll.BDH(config!$G$5,W$1,$A343,$A343))))</f>
        <v>#N/A Requesting Data...</v>
      </c>
    </row>
    <row r="344" spans="1:23" x14ac:dyDescent="0.2">
      <c r="A344" s="9">
        <f>IF(A343="","",IF(WORKDAY(A343,-1,config_Holiday_Calendar_US)&lt;config!$I$10,"",WORKDAY(A343,-1,config_Holiday_Calendar_US)))</f>
        <v>42331</v>
      </c>
      <c r="B344" s="8" t="e">
        <f t="shared" si="5"/>
        <v>#VALUE!</v>
      </c>
      <c r="C344" s="8" t="str">
        <f>IF(A344="","",_xll.BDH(config!$H$4,C$1,$A344,$A344))</f>
        <v>#N/A Requesting Data...</v>
      </c>
      <c r="D344" s="8" t="str">
        <f>IF($A344="","",_xll.BDH(config!$H$4,D$1,$A344,$A344))</f>
        <v>#N/A Requesting Data...</v>
      </c>
      <c r="E344" s="8">
        <f>IF($A344="","",IF(ISNUMBER(FIND("IMPVOL",E$1)),_xll.BDH(config!$G$4,E$1,WORKDAY($A344,-1,config_Holiday_Calendar_US),WORKDAY($A344,-1,config_Holiday_Calendar_US)),IF(ISNUMBER(_xll.BDH(config!$G$4,E$1,$A344,$A344)),_xll.BDH(config!$G$4,E$1,$A344,$A344),_xll.BDH(config!$G$5,E$1,$A344,$A344))))</f>
        <v>41.49</v>
      </c>
      <c r="F344" s="8">
        <f>IF($A344="","",IF(ISNUMBER(FIND("IMPVOL",F$1)),_xll.BDH(config!$G$4,F$1,WORKDAY($A344,-1,config_Holiday_Calendar_US),WORKDAY($A344,-1,config_Holiday_Calendar_US)),IF(ISNUMBER(_xll.BDH(config!$G$4,F$1,$A344,$A344)),_xll.BDH(config!$G$4,F$1,$A344,$A344),_xll.BDH(config!$G$5,F$1,$A344,$A344))))</f>
        <v>42.75</v>
      </c>
      <c r="G344" s="8">
        <f>IF($A344="","",IF(ISNUMBER(FIND("IMPVOL",G$1)),_xll.BDH(config!$G$4,G$1,WORKDAY($A344,-1,config_Holiday_Calendar_US),WORKDAY($A344,-1,config_Holiday_Calendar_US)),IF(ISNUMBER(_xll.BDH(config!$G$4,G$1,$A344,$A344)),_xll.BDH(config!$G$4,G$1,$A344,$A344),_xll.BDH(config!$G$5,G$1,$A344,$A344))))</f>
        <v>41.84</v>
      </c>
      <c r="H344" s="8">
        <f>IF($A344="","",IF(ISNUMBER(FIND("IMPVOL",H$1)),_xll.BDH(config!$G$4,H$1,WORKDAY($A344,-1,config_Holiday_Calendar_US),WORKDAY($A344,-1,config_Holiday_Calendar_US)),IF(ISNUMBER(_xll.BDH(config!$G$4,H$1,$A344,$A344)),_xll.BDH(config!$G$4,H$1,$A344,$A344),_xll.BDH(config!$G$5,H$1,$A344,$A344))))</f>
        <v>126149</v>
      </c>
      <c r="I344" s="8" t="str">
        <f>IF($A344="","",IF(ISNUMBER(FIND("IMPVOL",I$1)),_xll.BDH(config!$G$4,I$1,WORKDAY($A344,-1,config_Holiday_Calendar_US),WORKDAY($A344,-1,config_Holiday_Calendar_US)),IF(ISNUMBER(_xll.BDH(config!$G$4,I$1,$A344,$A344)),_xll.BDH(config!$G$4,I$1,$A344,$A344),_xll.BDH(config!$G$5,I$1,$A344,$A344))))</f>
        <v>#N/A Requesting Data...</v>
      </c>
      <c r="J344" s="8" t="str">
        <f>IF($A344="","",IF(ISNUMBER(FIND("IMPVOL",J$1)),_xll.BDH(config!$G$4,J$1,WORKDAY($A344,-1,config_Holiday_Calendar_US),WORKDAY($A344,-1,config_Holiday_Calendar_US)),IF(ISNUMBER(_xll.BDH(config!$G$4,J$1,$A344,$A344)),_xll.BDH(config!$G$4,J$1,$A344,$A344),_xll.BDH(config!$G$5,J$1,$A344,$A344))))</f>
        <v>#N/A Requesting Data...</v>
      </c>
      <c r="K344" s="8" t="str">
        <f>IF($A344="","",IF(ISNUMBER(FIND("IMPVOL",K$1)),_xll.BDH(config!$G$4,K$1,WORKDAY($A344,-1,config_Holiday_Calendar_US),WORKDAY($A344,-1,config_Holiday_Calendar_US)),IF(ISNUMBER(_xll.BDH(config!$G$4,K$1,$A344,$A344)),_xll.BDH(config!$G$4,K$1,$A344,$A344),_xll.BDH(config!$G$5,K$1,$A344,$A344))))</f>
        <v>#N/A Requesting Data...</v>
      </c>
      <c r="L344" s="8" t="str">
        <f>IF($A344="","",IF(ISNUMBER(FIND("IMPVOL",L$1)),_xll.BDH(config!$G$4,L$1,WORKDAY($A344,-1,config_Holiday_Calendar_US),WORKDAY($A344,-1,config_Holiday_Calendar_US)),IF(ISNUMBER(_xll.BDH(config!$G$4,L$1,$A344,$A344)),_xll.BDH(config!$G$4,L$1,$A344,$A344),_xll.BDH(config!$G$5,L$1,$A344,$A344))))</f>
        <v>#N/A Requesting Data...</v>
      </c>
      <c r="M344" s="8" t="str">
        <f>IF($A344="","",IF(ISNUMBER(FIND("IMPVOL",M$1)),_xll.BDH(config!$G$4,M$1,WORKDAY($A344,-1,config_Holiday_Calendar_US),WORKDAY($A344,-1,config_Holiday_Calendar_US)),IF(ISNUMBER(_xll.BDH(config!$G$4,M$1,$A344,$A344)),_xll.BDH(config!$G$4,M$1,$A344,$A344),_xll.BDH(config!$G$5,M$1,$A344,$A344))))</f>
        <v>#N/A Requesting Data...</v>
      </c>
      <c r="N344" s="8" t="str">
        <f>IF($A344="","",IF(ISNUMBER(FIND("IMPVOL",N$1)),_xll.BDH(config!$G$4,N$1,WORKDAY($A344,-1,config_Holiday_Calendar_US),WORKDAY($A344,-1,config_Holiday_Calendar_US)),IF(ISNUMBER(_xll.BDH(config!$G$4,N$1,$A344,$A344)),_xll.BDH(config!$G$4,N$1,$A344,$A344),_xll.BDH(config!$G$5,N$1,$A344,$A344))))</f>
        <v>#N/A Requesting Data...</v>
      </c>
      <c r="O344" s="8" t="str">
        <f>IF($A344="","",IF(ISNUMBER(FIND("IMPVOL",O$1)),_xll.BDH(config!$G$4,O$1,WORKDAY($A344,-1,config_Holiday_Calendar_US),WORKDAY($A344,-1,config_Holiday_Calendar_US)),IF(ISNUMBER(_xll.BDH(config!$G$4,O$1,$A344,$A344)),_xll.BDH(config!$G$4,O$1,$A344,$A344),_xll.BDH(config!$G$5,O$1,$A344,$A344))))</f>
        <v>#N/A Requesting Data...</v>
      </c>
      <c r="P344" s="8" t="str">
        <f>IF($A344="","",IF(ISNUMBER(FIND("IMPVOL",P$1)),_xll.BDH(config!$G$4,P$1,WORKDAY($A344,-1,config_Holiday_Calendar_US),WORKDAY($A344,-1,config_Holiday_Calendar_US)),IF(ISNUMBER(_xll.BDH(config!$G$4,P$1,$A344,$A344)),_xll.BDH(config!$G$4,P$1,$A344,$A344),_xll.BDH(config!$G$5,P$1,$A344,$A344))))</f>
        <v>#N/A Requesting Data...</v>
      </c>
      <c r="Q344" s="8">
        <f>IF($A344="","",IF(ISNUMBER(FIND("IMPVOL",Q$1)),_xll.BDH(config!$G$4,Q$1,WORKDAY($A344,-1,config_Holiday_Calendar_US),WORKDAY($A344,-1,config_Holiday_Calendar_US)),IF(ISNUMBER(_xll.BDH(config!$G$4,Q$1,$A344,$A344)),_xll.BDH(config!$G$4,Q$1,$A344,$A344),_xll.BDH(config!$G$5,Q$1,$A344,$A344))))</f>
        <v>34.78</v>
      </c>
      <c r="R344" s="8">
        <f>IF($A344="","",IF(ISNUMBER(FIND("IMPVOL",R$1)),_xll.BDH(config!$G$4,R$1,WORKDAY($A344,-1,config_Holiday_Calendar_US),WORKDAY($A344,-1,config_Holiday_Calendar_US)),IF(ISNUMBER(_xll.BDH(config!$G$4,R$1,$A344,$A344)),_xll.BDH(config!$G$4,R$1,$A344,$A344),_xll.BDH(config!$G$5,R$1,$A344,$A344))))</f>
        <v>34.51</v>
      </c>
      <c r="S344" s="8" t="str">
        <f>IF($A344="","",IF(ISNUMBER(FIND("IMPVOL",S$1)),_xll.BDH(config!$G$4,S$1,WORKDAY($A344,-1,config_Holiday_Calendar_US),WORKDAY($A344,-1,config_Holiday_Calendar_US)),IF(ISNUMBER(_xll.BDH(config!$G$4,S$1,$A344,$A344)),_xll.BDH(config!$G$4,S$1,$A344,$A344),_xll.BDH(config!$G$5,S$1,$A344,$A344))))</f>
        <v>#N/A Requesting Data...</v>
      </c>
      <c r="T344" s="8" t="str">
        <f>IF($A344="","",IF(ISNUMBER(FIND("IMPVOL",T$1)),_xll.BDH(config!$G$4,T$1,WORKDAY($A344,-1,config_Holiday_Calendar_US),WORKDAY($A344,-1,config_Holiday_Calendar_US)),IF(ISNUMBER(_xll.BDH(config!$G$4,T$1,$A344,$A344)),_xll.BDH(config!$G$4,T$1,$A344,$A344),_xll.BDH(config!$G$5,T$1,$A344,$A344))))</f>
        <v>#N/A Requesting Data...</v>
      </c>
      <c r="U344" s="8" t="str">
        <f>IF($A344="","",IF(ISNUMBER(FIND("IMPVOL",U$1)),_xll.BDH(config!$G$4,U$1,WORKDAY($A344,-1,config_Holiday_Calendar_US),WORKDAY($A344,-1,config_Holiday_Calendar_US)),IF(ISNUMBER(_xll.BDH(config!$G$4,U$1,$A344,$A344)),_xll.BDH(config!$G$4,U$1,$A344,$A344),_xll.BDH(config!$G$5,U$1,$A344,$A344))))</f>
        <v>#N/A Requesting Data...</v>
      </c>
      <c r="V344" s="8" t="str">
        <f>IF($A344="","",IF(ISNUMBER(FIND("IMPVOL",V$1)),_xll.BDH(config!$G$4,V$1,WORKDAY($A344,-1,config_Holiday_Calendar_US),WORKDAY($A344,-1,config_Holiday_Calendar_US)),IF(ISNUMBER(_xll.BDH(config!$G$4,V$1,$A344,$A344)),_xll.BDH(config!$G$4,V$1,$A344,$A344),_xll.BDH(config!$G$5,V$1,$A344,$A344))))</f>
        <v>#N/A Requesting Data...</v>
      </c>
      <c r="W344" s="8" t="str">
        <f>IF($A344="","",IF(ISNUMBER(FIND("IMPVOL",W$1)),_xll.BDH(config!$G$4,W$1,WORKDAY($A344,-1,config_Holiday_Calendar_US),WORKDAY($A344,-1,config_Holiday_Calendar_US)),IF(ISNUMBER(_xll.BDH(config!$G$4,W$1,$A344,$A344)),_xll.BDH(config!$G$4,W$1,$A344,$A344),_xll.BDH(config!$G$5,W$1,$A344,$A344))))</f>
        <v>#N/A Requesting Data...</v>
      </c>
    </row>
    <row r="345" spans="1:23" x14ac:dyDescent="0.2">
      <c r="A345" s="9">
        <f>IF(A344="","",IF(WORKDAY(A344,-1,config_Holiday_Calendar_US)&lt;config!$I$10,"",WORKDAY(A344,-1,config_Holiday_Calendar_US)))</f>
        <v>42328</v>
      </c>
      <c r="B345" s="8" t="e">
        <f t="shared" si="5"/>
        <v>#VALUE!</v>
      </c>
      <c r="C345" s="8" t="str">
        <f>IF(A345="","",_xll.BDH(config!$H$4,C$1,$A345,$A345))</f>
        <v>#N/A Requesting Data...</v>
      </c>
      <c r="D345" s="8" t="str">
        <f>IF($A345="","",_xll.BDH(config!$H$4,D$1,$A345,$A345))</f>
        <v>#N/A Requesting Data...</v>
      </c>
      <c r="E345" s="8">
        <f>IF($A345="","",IF(ISNUMBER(FIND("IMPVOL",E$1)),_xll.BDH(config!$G$4,E$1,WORKDAY($A345,-1,config_Holiday_Calendar_US),WORKDAY($A345,-1,config_Holiday_Calendar_US)),IF(ISNUMBER(_xll.BDH(config!$G$4,E$1,$A345,$A345)),_xll.BDH(config!$G$4,E$1,$A345,$A345),_xll.BDH(config!$G$5,E$1,$A345,$A345))))</f>
        <v>40.54</v>
      </c>
      <c r="F345" s="8">
        <f>IF($A345="","",IF(ISNUMBER(FIND("IMPVOL",F$1)),_xll.BDH(config!$G$4,F$1,WORKDAY($A345,-1,config_Holiday_Calendar_US),WORKDAY($A345,-1,config_Holiday_Calendar_US)),IF(ISNUMBER(_xll.BDH(config!$G$4,F$1,$A345,$A345)),_xll.BDH(config!$G$4,F$1,$A345,$A345),_xll.BDH(config!$G$5,F$1,$A345,$A345))))</f>
        <v>40.99</v>
      </c>
      <c r="G345" s="8">
        <f>IF($A345="","",IF(ISNUMBER(FIND("IMPVOL",G$1)),_xll.BDH(config!$G$4,G$1,WORKDAY($A345,-1,config_Holiday_Calendar_US),WORKDAY($A345,-1,config_Holiday_Calendar_US)),IF(ISNUMBER(_xll.BDH(config!$G$4,G$1,$A345,$A345)),_xll.BDH(config!$G$4,G$1,$A345,$A345),_xll.BDH(config!$G$5,G$1,$A345,$A345))))</f>
        <v>41.37</v>
      </c>
      <c r="H345" s="8">
        <f>IF($A345="","",IF(ISNUMBER(FIND("IMPVOL",H$1)),_xll.BDH(config!$G$4,H$1,WORKDAY($A345,-1,config_Holiday_Calendar_US),WORKDAY($A345,-1,config_Holiday_Calendar_US)),IF(ISNUMBER(_xll.BDH(config!$G$4,H$1,$A345,$A345)),_xll.BDH(config!$G$4,H$1,$A345,$A345),_xll.BDH(config!$G$5,H$1,$A345,$A345))))</f>
        <v>432642</v>
      </c>
      <c r="I345" s="8" t="str">
        <f>IF($A345="","",IF(ISNUMBER(FIND("IMPVOL",I$1)),_xll.BDH(config!$G$4,I$1,WORKDAY($A345,-1,config_Holiday_Calendar_US),WORKDAY($A345,-1,config_Holiday_Calendar_US)),IF(ISNUMBER(_xll.BDH(config!$G$4,I$1,$A345,$A345)),_xll.BDH(config!$G$4,I$1,$A345,$A345),_xll.BDH(config!$G$5,I$1,$A345,$A345))))</f>
        <v>#N/A Requesting Data...</v>
      </c>
      <c r="J345" s="8" t="str">
        <f>IF($A345="","",IF(ISNUMBER(FIND("IMPVOL",J$1)),_xll.BDH(config!$G$4,J$1,WORKDAY($A345,-1,config_Holiday_Calendar_US),WORKDAY($A345,-1,config_Holiday_Calendar_US)),IF(ISNUMBER(_xll.BDH(config!$G$4,J$1,$A345,$A345)),_xll.BDH(config!$G$4,J$1,$A345,$A345),_xll.BDH(config!$G$5,J$1,$A345,$A345))))</f>
        <v>#N/A Requesting Data...</v>
      </c>
      <c r="K345" s="8" t="str">
        <f>IF($A345="","",IF(ISNUMBER(FIND("IMPVOL",K$1)),_xll.BDH(config!$G$4,K$1,WORKDAY($A345,-1,config_Holiday_Calendar_US),WORKDAY($A345,-1,config_Holiday_Calendar_US)),IF(ISNUMBER(_xll.BDH(config!$G$4,K$1,$A345,$A345)),_xll.BDH(config!$G$4,K$1,$A345,$A345),_xll.BDH(config!$G$5,K$1,$A345,$A345))))</f>
        <v>#N/A Requesting Data...</v>
      </c>
      <c r="L345" s="8" t="str">
        <f>IF($A345="","",IF(ISNUMBER(FIND("IMPVOL",L$1)),_xll.BDH(config!$G$4,L$1,WORKDAY($A345,-1,config_Holiday_Calendar_US),WORKDAY($A345,-1,config_Holiday_Calendar_US)),IF(ISNUMBER(_xll.BDH(config!$G$4,L$1,$A345,$A345)),_xll.BDH(config!$G$4,L$1,$A345,$A345),_xll.BDH(config!$G$5,L$1,$A345,$A345))))</f>
        <v>#N/A Requesting Data...</v>
      </c>
      <c r="M345" s="8" t="str">
        <f>IF($A345="","",IF(ISNUMBER(FIND("IMPVOL",M$1)),_xll.BDH(config!$G$4,M$1,WORKDAY($A345,-1,config_Holiday_Calendar_US),WORKDAY($A345,-1,config_Holiday_Calendar_US)),IF(ISNUMBER(_xll.BDH(config!$G$4,M$1,$A345,$A345)),_xll.BDH(config!$G$4,M$1,$A345,$A345),_xll.BDH(config!$G$5,M$1,$A345,$A345))))</f>
        <v>#N/A Requesting Data...</v>
      </c>
      <c r="N345" s="8" t="str">
        <f>IF($A345="","",IF(ISNUMBER(FIND("IMPVOL",N$1)),_xll.BDH(config!$G$4,N$1,WORKDAY($A345,-1,config_Holiday_Calendar_US),WORKDAY($A345,-1,config_Holiday_Calendar_US)),IF(ISNUMBER(_xll.BDH(config!$G$4,N$1,$A345,$A345)),_xll.BDH(config!$G$4,N$1,$A345,$A345),_xll.BDH(config!$G$5,N$1,$A345,$A345))))</f>
        <v>#N/A Requesting Data...</v>
      </c>
      <c r="O345" s="8" t="str">
        <f>IF($A345="","",IF(ISNUMBER(FIND("IMPVOL",O$1)),_xll.BDH(config!$G$4,O$1,WORKDAY($A345,-1,config_Holiday_Calendar_US),WORKDAY($A345,-1,config_Holiday_Calendar_US)),IF(ISNUMBER(_xll.BDH(config!$G$4,O$1,$A345,$A345)),_xll.BDH(config!$G$4,O$1,$A345,$A345),_xll.BDH(config!$G$5,O$1,$A345,$A345))))</f>
        <v>#N/A Requesting Data...</v>
      </c>
      <c r="P345" s="8" t="str">
        <f>IF($A345="","",IF(ISNUMBER(FIND("IMPVOL",P$1)),_xll.BDH(config!$G$4,P$1,WORKDAY($A345,-1,config_Holiday_Calendar_US),WORKDAY($A345,-1,config_Holiday_Calendar_US)),IF(ISNUMBER(_xll.BDH(config!$G$4,P$1,$A345,$A345)),_xll.BDH(config!$G$4,P$1,$A345,$A345),_xll.BDH(config!$G$5,P$1,$A345,$A345))))</f>
        <v>#N/A Requesting Data...</v>
      </c>
      <c r="Q345" s="8">
        <f>IF($A345="","",IF(ISNUMBER(FIND("IMPVOL",Q$1)),_xll.BDH(config!$G$4,Q$1,WORKDAY($A345,-1,config_Holiday_Calendar_US),WORKDAY($A345,-1,config_Holiday_Calendar_US)),IF(ISNUMBER(_xll.BDH(config!$G$4,Q$1,$A345,$A345)),_xll.BDH(config!$G$4,Q$1,$A345,$A345),_xll.BDH(config!$G$5,Q$1,$A345,$A345))))</f>
        <v>29.04</v>
      </c>
      <c r="R345" s="8">
        <f>IF($A345="","",IF(ISNUMBER(FIND("IMPVOL",R$1)),_xll.BDH(config!$G$4,R$1,WORKDAY($A345,-1,config_Holiday_Calendar_US),WORKDAY($A345,-1,config_Holiday_Calendar_US)),IF(ISNUMBER(_xll.BDH(config!$G$4,R$1,$A345,$A345)),_xll.BDH(config!$G$4,R$1,$A345,$A345),_xll.BDH(config!$G$5,R$1,$A345,$A345))))</f>
        <v>33.049999999999997</v>
      </c>
      <c r="S345" s="8" t="str">
        <f>IF($A345="","",IF(ISNUMBER(FIND("IMPVOL",S$1)),_xll.BDH(config!$G$4,S$1,WORKDAY($A345,-1,config_Holiday_Calendar_US),WORKDAY($A345,-1,config_Holiday_Calendar_US)),IF(ISNUMBER(_xll.BDH(config!$G$4,S$1,$A345,$A345)),_xll.BDH(config!$G$4,S$1,$A345,$A345),_xll.BDH(config!$G$5,S$1,$A345,$A345))))</f>
        <v>#N/A Requesting Data...</v>
      </c>
      <c r="T345" s="8" t="str">
        <f>IF($A345="","",IF(ISNUMBER(FIND("IMPVOL",T$1)),_xll.BDH(config!$G$4,T$1,WORKDAY($A345,-1,config_Holiday_Calendar_US),WORKDAY($A345,-1,config_Holiday_Calendar_US)),IF(ISNUMBER(_xll.BDH(config!$G$4,T$1,$A345,$A345)),_xll.BDH(config!$G$4,T$1,$A345,$A345),_xll.BDH(config!$G$5,T$1,$A345,$A345))))</f>
        <v>#N/A Requesting Data...</v>
      </c>
      <c r="U345" s="8" t="str">
        <f>IF($A345="","",IF(ISNUMBER(FIND("IMPVOL",U$1)),_xll.BDH(config!$G$4,U$1,WORKDAY($A345,-1,config_Holiday_Calendar_US),WORKDAY($A345,-1,config_Holiday_Calendar_US)),IF(ISNUMBER(_xll.BDH(config!$G$4,U$1,$A345,$A345)),_xll.BDH(config!$G$4,U$1,$A345,$A345),_xll.BDH(config!$G$5,U$1,$A345,$A345))))</f>
        <v>#N/A Requesting Data...</v>
      </c>
      <c r="V345" s="8" t="str">
        <f>IF($A345="","",IF(ISNUMBER(FIND("IMPVOL",V$1)),_xll.BDH(config!$G$4,V$1,WORKDAY($A345,-1,config_Holiday_Calendar_US),WORKDAY($A345,-1,config_Holiday_Calendar_US)),IF(ISNUMBER(_xll.BDH(config!$G$4,V$1,$A345,$A345)),_xll.BDH(config!$G$4,V$1,$A345,$A345),_xll.BDH(config!$G$5,V$1,$A345,$A345))))</f>
        <v>#N/A Requesting Data...</v>
      </c>
      <c r="W345" s="8" t="str">
        <f>IF($A345="","",IF(ISNUMBER(FIND("IMPVOL",W$1)),_xll.BDH(config!$G$4,W$1,WORKDAY($A345,-1,config_Holiday_Calendar_US),WORKDAY($A345,-1,config_Holiday_Calendar_US)),IF(ISNUMBER(_xll.BDH(config!$G$4,W$1,$A345,$A345)),_xll.BDH(config!$G$4,W$1,$A345,$A345),_xll.BDH(config!$G$5,W$1,$A345,$A345))))</f>
        <v>#N/A Requesting Data...</v>
      </c>
    </row>
    <row r="346" spans="1:23" x14ac:dyDescent="0.2">
      <c r="A346" s="9">
        <f>IF(A345="","",IF(WORKDAY(A345,-1,config_Holiday_Calendar_US)&lt;config!$I$10,"",WORKDAY(A345,-1,config_Holiday_Calendar_US)))</f>
        <v>42327</v>
      </c>
      <c r="B346" s="8" t="e">
        <f t="shared" si="5"/>
        <v>#VALUE!</v>
      </c>
      <c r="C346" s="8" t="str">
        <f>IF(A346="","",_xll.BDH(config!$H$4,C$1,$A346,$A346))</f>
        <v>#N/A Requesting Data...</v>
      </c>
      <c r="D346" s="8" t="str">
        <f>IF($A346="","",_xll.BDH(config!$H$4,D$1,$A346,$A346))</f>
        <v>#N/A Requesting Data...</v>
      </c>
      <c r="E346" s="8">
        <f>IF($A346="","",IF(ISNUMBER(FIND("IMPVOL",E$1)),_xll.BDH(config!$G$4,E$1,WORKDAY($A346,-1,config_Holiday_Calendar_US),WORKDAY($A346,-1,config_Holiday_Calendar_US)),IF(ISNUMBER(_xll.BDH(config!$G$4,E$1,$A346,$A346)),_xll.BDH(config!$G$4,E$1,$A346,$A346),_xll.BDH(config!$G$5,E$1,$A346,$A346))))</f>
        <v>40.72</v>
      </c>
      <c r="F346" s="8">
        <f>IF($A346="","",IF(ISNUMBER(FIND("IMPVOL",F$1)),_xll.BDH(config!$G$4,F$1,WORKDAY($A346,-1,config_Holiday_Calendar_US),WORKDAY($A346,-1,config_Holiday_Calendar_US)),IF(ISNUMBER(_xll.BDH(config!$G$4,F$1,$A346,$A346)),_xll.BDH(config!$G$4,F$1,$A346,$A346),_xll.BDH(config!$G$5,F$1,$A346,$A346))))</f>
        <v>41.05</v>
      </c>
      <c r="G346" s="8">
        <f>IF($A346="","",IF(ISNUMBER(FIND("IMPVOL",G$1)),_xll.BDH(config!$G$4,G$1,WORKDAY($A346,-1,config_Holiday_Calendar_US),WORKDAY($A346,-1,config_Holiday_Calendar_US)),IF(ISNUMBER(_xll.BDH(config!$G$4,G$1,$A346,$A346)),_xll.BDH(config!$G$4,G$1,$A346,$A346),_xll.BDH(config!$G$5,G$1,$A346,$A346))))</f>
        <v>41.25</v>
      </c>
      <c r="H346" s="8">
        <f>IF($A346="","",IF(ISNUMBER(FIND("IMPVOL",H$1)),_xll.BDH(config!$G$4,H$1,WORKDAY($A346,-1,config_Holiday_Calendar_US),WORKDAY($A346,-1,config_Holiday_Calendar_US)),IF(ISNUMBER(_xll.BDH(config!$G$4,H$1,$A346,$A346)),_xll.BDH(config!$G$4,H$1,$A346,$A346),_xll.BDH(config!$G$5,H$1,$A346,$A346))))</f>
        <v>422086</v>
      </c>
      <c r="I346" s="8" t="str">
        <f>IF($A346="","",IF(ISNUMBER(FIND("IMPVOL",I$1)),_xll.BDH(config!$G$4,I$1,WORKDAY($A346,-1,config_Holiday_Calendar_US),WORKDAY($A346,-1,config_Holiday_Calendar_US)),IF(ISNUMBER(_xll.BDH(config!$G$4,I$1,$A346,$A346)),_xll.BDH(config!$G$4,I$1,$A346,$A346),_xll.BDH(config!$G$5,I$1,$A346,$A346))))</f>
        <v>#N/A Requesting Data...</v>
      </c>
      <c r="J346" s="8" t="str">
        <f>IF($A346="","",IF(ISNUMBER(FIND("IMPVOL",J$1)),_xll.BDH(config!$G$4,J$1,WORKDAY($A346,-1,config_Holiday_Calendar_US),WORKDAY($A346,-1,config_Holiday_Calendar_US)),IF(ISNUMBER(_xll.BDH(config!$G$4,J$1,$A346,$A346)),_xll.BDH(config!$G$4,J$1,$A346,$A346),_xll.BDH(config!$G$5,J$1,$A346,$A346))))</f>
        <v>#N/A Requesting Data...</v>
      </c>
      <c r="K346" s="8" t="str">
        <f>IF($A346="","",IF(ISNUMBER(FIND("IMPVOL",K$1)),_xll.BDH(config!$G$4,K$1,WORKDAY($A346,-1,config_Holiday_Calendar_US),WORKDAY($A346,-1,config_Holiday_Calendar_US)),IF(ISNUMBER(_xll.BDH(config!$G$4,K$1,$A346,$A346)),_xll.BDH(config!$G$4,K$1,$A346,$A346),_xll.BDH(config!$G$5,K$1,$A346,$A346))))</f>
        <v>#N/A Requesting Data...</v>
      </c>
      <c r="L346" s="8" t="str">
        <f>IF($A346="","",IF(ISNUMBER(FIND("IMPVOL",L$1)),_xll.BDH(config!$G$4,L$1,WORKDAY($A346,-1,config_Holiday_Calendar_US),WORKDAY($A346,-1,config_Holiday_Calendar_US)),IF(ISNUMBER(_xll.BDH(config!$G$4,L$1,$A346,$A346)),_xll.BDH(config!$G$4,L$1,$A346,$A346),_xll.BDH(config!$G$5,L$1,$A346,$A346))))</f>
        <v>#N/A Requesting Data...</v>
      </c>
      <c r="M346" s="8" t="str">
        <f>IF($A346="","",IF(ISNUMBER(FIND("IMPVOL",M$1)),_xll.BDH(config!$G$4,M$1,WORKDAY($A346,-1,config_Holiday_Calendar_US),WORKDAY($A346,-1,config_Holiday_Calendar_US)),IF(ISNUMBER(_xll.BDH(config!$G$4,M$1,$A346,$A346)),_xll.BDH(config!$G$4,M$1,$A346,$A346),_xll.BDH(config!$G$5,M$1,$A346,$A346))))</f>
        <v>#N/A Requesting Data...</v>
      </c>
      <c r="N346" s="8" t="str">
        <f>IF($A346="","",IF(ISNUMBER(FIND("IMPVOL",N$1)),_xll.BDH(config!$G$4,N$1,WORKDAY($A346,-1,config_Holiday_Calendar_US),WORKDAY($A346,-1,config_Holiday_Calendar_US)),IF(ISNUMBER(_xll.BDH(config!$G$4,N$1,$A346,$A346)),_xll.BDH(config!$G$4,N$1,$A346,$A346),_xll.BDH(config!$G$5,N$1,$A346,$A346))))</f>
        <v>#N/A Requesting Data...</v>
      </c>
      <c r="O346" s="8" t="str">
        <f>IF($A346="","",IF(ISNUMBER(FIND("IMPVOL",O$1)),_xll.BDH(config!$G$4,O$1,WORKDAY($A346,-1,config_Holiday_Calendar_US),WORKDAY($A346,-1,config_Holiday_Calendar_US)),IF(ISNUMBER(_xll.BDH(config!$G$4,O$1,$A346,$A346)),_xll.BDH(config!$G$4,O$1,$A346,$A346),_xll.BDH(config!$G$5,O$1,$A346,$A346))))</f>
        <v>#N/A Requesting Data...</v>
      </c>
      <c r="P346" s="8" t="str">
        <f>IF($A346="","",IF(ISNUMBER(FIND("IMPVOL",P$1)),_xll.BDH(config!$G$4,P$1,WORKDAY($A346,-1,config_Holiday_Calendar_US),WORKDAY($A346,-1,config_Holiday_Calendar_US)),IF(ISNUMBER(_xll.BDH(config!$G$4,P$1,$A346,$A346)),_xll.BDH(config!$G$4,P$1,$A346,$A346),_xll.BDH(config!$G$5,P$1,$A346,$A346))))</f>
        <v>#N/A Requesting Data...</v>
      </c>
      <c r="Q346" s="8">
        <f>IF($A346="","",IF(ISNUMBER(FIND("IMPVOL",Q$1)),_xll.BDH(config!$G$4,Q$1,WORKDAY($A346,-1,config_Holiday_Calendar_US),WORKDAY($A346,-1,config_Holiday_Calendar_US)),IF(ISNUMBER(_xll.BDH(config!$G$4,Q$1,$A346,$A346)),_xll.BDH(config!$G$4,Q$1,$A346,$A346),_xll.BDH(config!$G$5,Q$1,$A346,$A346))))</f>
        <v>28.06</v>
      </c>
      <c r="R346" s="8">
        <f>IF($A346="","",IF(ISNUMBER(FIND("IMPVOL",R$1)),_xll.BDH(config!$G$4,R$1,WORKDAY($A346,-1,config_Holiday_Calendar_US),WORKDAY($A346,-1,config_Holiday_Calendar_US)),IF(ISNUMBER(_xll.BDH(config!$G$4,R$1,$A346,$A346)),_xll.BDH(config!$G$4,R$1,$A346,$A346),_xll.BDH(config!$G$5,R$1,$A346,$A346))))</f>
        <v>35.83</v>
      </c>
      <c r="S346" s="8" t="str">
        <f>IF($A346="","",IF(ISNUMBER(FIND("IMPVOL",S$1)),_xll.BDH(config!$G$4,S$1,WORKDAY($A346,-1,config_Holiday_Calendar_US),WORKDAY($A346,-1,config_Holiday_Calendar_US)),IF(ISNUMBER(_xll.BDH(config!$G$4,S$1,$A346,$A346)),_xll.BDH(config!$G$4,S$1,$A346,$A346),_xll.BDH(config!$G$5,S$1,$A346,$A346))))</f>
        <v>#N/A Requesting Data...</v>
      </c>
      <c r="T346" s="8" t="str">
        <f>IF($A346="","",IF(ISNUMBER(FIND("IMPVOL",T$1)),_xll.BDH(config!$G$4,T$1,WORKDAY($A346,-1,config_Holiday_Calendar_US),WORKDAY($A346,-1,config_Holiday_Calendar_US)),IF(ISNUMBER(_xll.BDH(config!$G$4,T$1,$A346,$A346)),_xll.BDH(config!$G$4,T$1,$A346,$A346),_xll.BDH(config!$G$5,T$1,$A346,$A346))))</f>
        <v>#N/A Requesting Data...</v>
      </c>
      <c r="U346" s="8" t="str">
        <f>IF($A346="","",IF(ISNUMBER(FIND("IMPVOL",U$1)),_xll.BDH(config!$G$4,U$1,WORKDAY($A346,-1,config_Holiday_Calendar_US),WORKDAY($A346,-1,config_Holiday_Calendar_US)),IF(ISNUMBER(_xll.BDH(config!$G$4,U$1,$A346,$A346)),_xll.BDH(config!$G$4,U$1,$A346,$A346),_xll.BDH(config!$G$5,U$1,$A346,$A346))))</f>
        <v>#N/A Requesting Data...</v>
      </c>
      <c r="V346" s="8" t="str">
        <f>IF($A346="","",IF(ISNUMBER(FIND("IMPVOL",V$1)),_xll.BDH(config!$G$4,V$1,WORKDAY($A346,-1,config_Holiday_Calendar_US),WORKDAY($A346,-1,config_Holiday_Calendar_US)),IF(ISNUMBER(_xll.BDH(config!$G$4,V$1,$A346,$A346)),_xll.BDH(config!$G$4,V$1,$A346,$A346),_xll.BDH(config!$G$5,V$1,$A346,$A346))))</f>
        <v>#N/A Requesting Data...</v>
      </c>
      <c r="W346" s="8" t="str">
        <f>IF($A346="","",IF(ISNUMBER(FIND("IMPVOL",W$1)),_xll.BDH(config!$G$4,W$1,WORKDAY($A346,-1,config_Holiday_Calendar_US),WORKDAY($A346,-1,config_Holiday_Calendar_US)),IF(ISNUMBER(_xll.BDH(config!$G$4,W$1,$A346,$A346)),_xll.BDH(config!$G$4,W$1,$A346,$A346),_xll.BDH(config!$G$5,W$1,$A346,$A346))))</f>
        <v>#N/A Requesting Data...</v>
      </c>
    </row>
    <row r="347" spans="1:23" x14ac:dyDescent="0.2">
      <c r="A347" s="9">
        <f>IF(A346="","",IF(WORKDAY(A346,-1,config_Holiday_Calendar_US)&lt;config!$I$10,"",WORKDAY(A346,-1,config_Holiday_Calendar_US)))</f>
        <v>42326</v>
      </c>
      <c r="B347" s="8" t="e">
        <f t="shared" si="5"/>
        <v>#VALUE!</v>
      </c>
      <c r="C347" s="8" t="str">
        <f>IF(A347="","",_xll.BDH(config!$H$4,C$1,$A347,$A347))</f>
        <v>#N/A Requesting Data...</v>
      </c>
      <c r="D347" s="8" t="str">
        <f>IF($A347="","",_xll.BDH(config!$H$4,D$1,$A347,$A347))</f>
        <v>#N/A Requesting Data...</v>
      </c>
      <c r="E347" s="8">
        <f>IF($A347="","",IF(ISNUMBER(FIND("IMPVOL",E$1)),_xll.BDH(config!$G$4,E$1,WORKDAY($A347,-1,config_Holiday_Calendar_US),WORKDAY($A347,-1,config_Holiday_Calendar_US)),IF(ISNUMBER(_xll.BDH(config!$G$4,E$1,$A347,$A347)),_xll.BDH(config!$G$4,E$1,$A347,$A347),_xll.BDH(config!$G$5,E$1,$A347,$A347))))</f>
        <v>41.11</v>
      </c>
      <c r="F347" s="8">
        <f>IF($A347="","",IF(ISNUMBER(FIND("IMPVOL",F$1)),_xll.BDH(config!$G$4,F$1,WORKDAY($A347,-1,config_Holiday_Calendar_US),WORKDAY($A347,-1,config_Holiday_Calendar_US)),IF(ISNUMBER(_xll.BDH(config!$G$4,F$1,$A347,$A347)),_xll.BDH(config!$G$4,F$1,$A347,$A347),_xll.BDH(config!$G$5,F$1,$A347,$A347))))</f>
        <v>41.55</v>
      </c>
      <c r="G347" s="8">
        <f>IF($A347="","",IF(ISNUMBER(FIND("IMPVOL",G$1)),_xll.BDH(config!$G$4,G$1,WORKDAY($A347,-1,config_Holiday_Calendar_US),WORKDAY($A347,-1,config_Holiday_Calendar_US)),IF(ISNUMBER(_xll.BDH(config!$G$4,G$1,$A347,$A347)),_xll.BDH(config!$G$4,G$1,$A347,$A347),_xll.BDH(config!$G$5,G$1,$A347,$A347))))</f>
        <v>41.28</v>
      </c>
      <c r="H347" s="8">
        <f>IF($A347="","",IF(ISNUMBER(FIND("IMPVOL",H$1)),_xll.BDH(config!$G$4,H$1,WORKDAY($A347,-1,config_Holiday_Calendar_US),WORKDAY($A347,-1,config_Holiday_Calendar_US)),IF(ISNUMBER(_xll.BDH(config!$G$4,H$1,$A347,$A347)),_xll.BDH(config!$G$4,H$1,$A347,$A347),_xll.BDH(config!$G$5,H$1,$A347,$A347))))</f>
        <v>372472</v>
      </c>
      <c r="I347" s="8" t="str">
        <f>IF($A347="","",IF(ISNUMBER(FIND("IMPVOL",I$1)),_xll.BDH(config!$G$4,I$1,WORKDAY($A347,-1,config_Holiday_Calendar_US),WORKDAY($A347,-1,config_Holiday_Calendar_US)),IF(ISNUMBER(_xll.BDH(config!$G$4,I$1,$A347,$A347)),_xll.BDH(config!$G$4,I$1,$A347,$A347),_xll.BDH(config!$G$5,I$1,$A347,$A347))))</f>
        <v>#N/A Requesting Data...</v>
      </c>
      <c r="J347" s="8" t="str">
        <f>IF($A347="","",IF(ISNUMBER(FIND("IMPVOL",J$1)),_xll.BDH(config!$G$4,J$1,WORKDAY($A347,-1,config_Holiday_Calendar_US),WORKDAY($A347,-1,config_Holiday_Calendar_US)),IF(ISNUMBER(_xll.BDH(config!$G$4,J$1,$A347,$A347)),_xll.BDH(config!$G$4,J$1,$A347,$A347),_xll.BDH(config!$G$5,J$1,$A347,$A347))))</f>
        <v>#N/A Requesting Data...</v>
      </c>
      <c r="K347" s="8" t="str">
        <f>IF($A347="","",IF(ISNUMBER(FIND("IMPVOL",K$1)),_xll.BDH(config!$G$4,K$1,WORKDAY($A347,-1,config_Holiday_Calendar_US),WORKDAY($A347,-1,config_Holiday_Calendar_US)),IF(ISNUMBER(_xll.BDH(config!$G$4,K$1,$A347,$A347)),_xll.BDH(config!$G$4,K$1,$A347,$A347),_xll.BDH(config!$G$5,K$1,$A347,$A347))))</f>
        <v>#N/A Requesting Data...</v>
      </c>
      <c r="L347" s="8" t="str">
        <f>IF($A347="","",IF(ISNUMBER(FIND("IMPVOL",L$1)),_xll.BDH(config!$G$4,L$1,WORKDAY($A347,-1,config_Holiday_Calendar_US),WORKDAY($A347,-1,config_Holiday_Calendar_US)),IF(ISNUMBER(_xll.BDH(config!$G$4,L$1,$A347,$A347)),_xll.BDH(config!$G$4,L$1,$A347,$A347),_xll.BDH(config!$G$5,L$1,$A347,$A347))))</f>
        <v>#N/A Requesting Data...</v>
      </c>
      <c r="M347" s="8" t="str">
        <f>IF($A347="","",IF(ISNUMBER(FIND("IMPVOL",M$1)),_xll.BDH(config!$G$4,M$1,WORKDAY($A347,-1,config_Holiday_Calendar_US),WORKDAY($A347,-1,config_Holiday_Calendar_US)),IF(ISNUMBER(_xll.BDH(config!$G$4,M$1,$A347,$A347)),_xll.BDH(config!$G$4,M$1,$A347,$A347),_xll.BDH(config!$G$5,M$1,$A347,$A347))))</f>
        <v>#N/A Requesting Data...</v>
      </c>
      <c r="N347" s="8" t="str">
        <f>IF($A347="","",IF(ISNUMBER(FIND("IMPVOL",N$1)),_xll.BDH(config!$G$4,N$1,WORKDAY($A347,-1,config_Holiday_Calendar_US),WORKDAY($A347,-1,config_Holiday_Calendar_US)),IF(ISNUMBER(_xll.BDH(config!$G$4,N$1,$A347,$A347)),_xll.BDH(config!$G$4,N$1,$A347,$A347),_xll.BDH(config!$G$5,N$1,$A347,$A347))))</f>
        <v>#N/A Requesting Data...</v>
      </c>
      <c r="O347" s="8" t="str">
        <f>IF($A347="","",IF(ISNUMBER(FIND("IMPVOL",O$1)),_xll.BDH(config!$G$4,O$1,WORKDAY($A347,-1,config_Holiday_Calendar_US),WORKDAY($A347,-1,config_Holiday_Calendar_US)),IF(ISNUMBER(_xll.BDH(config!$G$4,O$1,$A347,$A347)),_xll.BDH(config!$G$4,O$1,$A347,$A347),_xll.BDH(config!$G$5,O$1,$A347,$A347))))</f>
        <v>#N/A Requesting Data...</v>
      </c>
      <c r="P347" s="8" t="str">
        <f>IF($A347="","",IF(ISNUMBER(FIND("IMPVOL",P$1)),_xll.BDH(config!$G$4,P$1,WORKDAY($A347,-1,config_Holiday_Calendar_US),WORKDAY($A347,-1,config_Holiday_Calendar_US)),IF(ISNUMBER(_xll.BDH(config!$G$4,P$1,$A347,$A347)),_xll.BDH(config!$G$4,P$1,$A347,$A347),_xll.BDH(config!$G$5,P$1,$A347,$A347))))</f>
        <v>#N/A Requesting Data...</v>
      </c>
      <c r="Q347" s="8">
        <f>IF($A347="","",IF(ISNUMBER(FIND("IMPVOL",Q$1)),_xll.BDH(config!$G$4,Q$1,WORKDAY($A347,-1,config_Holiday_Calendar_US),WORKDAY($A347,-1,config_Holiday_Calendar_US)),IF(ISNUMBER(_xll.BDH(config!$G$4,Q$1,$A347,$A347)),_xll.BDH(config!$G$4,Q$1,$A347,$A347),_xll.BDH(config!$G$5,Q$1,$A347,$A347))))</f>
        <v>28.18</v>
      </c>
      <c r="R347" s="8">
        <f>IF($A347="","",IF(ISNUMBER(FIND("IMPVOL",R$1)),_xll.BDH(config!$G$4,R$1,WORKDAY($A347,-1,config_Holiday_Calendar_US),WORKDAY($A347,-1,config_Holiday_Calendar_US)),IF(ISNUMBER(_xll.BDH(config!$G$4,R$1,$A347,$A347)),_xll.BDH(config!$G$4,R$1,$A347,$A347),_xll.BDH(config!$G$5,R$1,$A347,$A347))))</f>
        <v>35.93</v>
      </c>
      <c r="S347" s="8" t="str">
        <f>IF($A347="","",IF(ISNUMBER(FIND("IMPVOL",S$1)),_xll.BDH(config!$G$4,S$1,WORKDAY($A347,-1,config_Holiday_Calendar_US),WORKDAY($A347,-1,config_Holiday_Calendar_US)),IF(ISNUMBER(_xll.BDH(config!$G$4,S$1,$A347,$A347)),_xll.BDH(config!$G$4,S$1,$A347,$A347),_xll.BDH(config!$G$5,S$1,$A347,$A347))))</f>
        <v>#N/A Requesting Data...</v>
      </c>
      <c r="T347" s="8" t="str">
        <f>IF($A347="","",IF(ISNUMBER(FIND("IMPVOL",T$1)),_xll.BDH(config!$G$4,T$1,WORKDAY($A347,-1,config_Holiday_Calendar_US),WORKDAY($A347,-1,config_Holiday_Calendar_US)),IF(ISNUMBER(_xll.BDH(config!$G$4,T$1,$A347,$A347)),_xll.BDH(config!$G$4,T$1,$A347,$A347),_xll.BDH(config!$G$5,T$1,$A347,$A347))))</f>
        <v>#N/A Requesting Data...</v>
      </c>
      <c r="U347" s="8" t="str">
        <f>IF($A347="","",IF(ISNUMBER(FIND("IMPVOL",U$1)),_xll.BDH(config!$G$4,U$1,WORKDAY($A347,-1,config_Holiday_Calendar_US),WORKDAY($A347,-1,config_Holiday_Calendar_US)),IF(ISNUMBER(_xll.BDH(config!$G$4,U$1,$A347,$A347)),_xll.BDH(config!$G$4,U$1,$A347,$A347),_xll.BDH(config!$G$5,U$1,$A347,$A347))))</f>
        <v>#N/A Requesting Data...</v>
      </c>
      <c r="V347" s="8" t="str">
        <f>IF($A347="","",IF(ISNUMBER(FIND("IMPVOL",V$1)),_xll.BDH(config!$G$4,V$1,WORKDAY($A347,-1,config_Holiday_Calendar_US),WORKDAY($A347,-1,config_Holiday_Calendar_US)),IF(ISNUMBER(_xll.BDH(config!$G$4,V$1,$A347,$A347)),_xll.BDH(config!$G$4,V$1,$A347,$A347),_xll.BDH(config!$G$5,V$1,$A347,$A347))))</f>
        <v>#N/A Requesting Data...</v>
      </c>
      <c r="W347" s="8" t="str">
        <f>IF($A347="","",IF(ISNUMBER(FIND("IMPVOL",W$1)),_xll.BDH(config!$G$4,W$1,WORKDAY($A347,-1,config_Holiday_Calendar_US),WORKDAY($A347,-1,config_Holiday_Calendar_US)),IF(ISNUMBER(_xll.BDH(config!$G$4,W$1,$A347,$A347)),_xll.BDH(config!$G$4,W$1,$A347,$A347),_xll.BDH(config!$G$5,W$1,$A347,$A347))))</f>
        <v>#N/A Requesting Data...</v>
      </c>
    </row>
    <row r="348" spans="1:23" x14ac:dyDescent="0.2">
      <c r="A348" s="9">
        <f>IF(A347="","",IF(WORKDAY(A347,-1,config_Holiday_Calendar_US)&lt;config!$I$10,"",WORKDAY(A347,-1,config_Holiday_Calendar_US)))</f>
        <v>42325</v>
      </c>
      <c r="B348" s="8" t="e">
        <f t="shared" si="5"/>
        <v>#VALUE!</v>
      </c>
      <c r="C348" s="8" t="str">
        <f>IF(A348="","",_xll.BDH(config!$H$4,C$1,$A348,$A348))</f>
        <v>#N/A Requesting Data...</v>
      </c>
      <c r="D348" s="8" t="str">
        <f>IF($A348="","",_xll.BDH(config!$H$4,D$1,$A348,$A348))</f>
        <v>#N/A Requesting Data...</v>
      </c>
      <c r="E348" s="8">
        <f>IF($A348="","",IF(ISNUMBER(FIND("IMPVOL",E$1)),_xll.BDH(config!$G$4,E$1,WORKDAY($A348,-1,config_Holiday_Calendar_US),WORKDAY($A348,-1,config_Holiday_Calendar_US)),IF(ISNUMBER(_xll.BDH(config!$G$4,E$1,$A348,$A348)),_xll.BDH(config!$G$4,E$1,$A348,$A348),_xll.BDH(config!$G$5,E$1,$A348,$A348))))</f>
        <v>41.96</v>
      </c>
      <c r="F348" s="8">
        <f>IF($A348="","",IF(ISNUMBER(FIND("IMPVOL",F$1)),_xll.BDH(config!$G$4,F$1,WORKDAY($A348,-1,config_Holiday_Calendar_US),WORKDAY($A348,-1,config_Holiday_Calendar_US)),IF(ISNUMBER(_xll.BDH(config!$G$4,F$1,$A348,$A348)),_xll.BDH(config!$G$4,F$1,$A348,$A348),_xll.BDH(config!$G$5,F$1,$A348,$A348))))</f>
        <v>42.03</v>
      </c>
      <c r="G348" s="8">
        <f>IF($A348="","",IF(ISNUMBER(FIND("IMPVOL",G$1)),_xll.BDH(config!$G$4,G$1,WORKDAY($A348,-1,config_Holiday_Calendar_US),WORKDAY($A348,-1,config_Holiday_Calendar_US)),IF(ISNUMBER(_xll.BDH(config!$G$4,G$1,$A348,$A348)),_xll.BDH(config!$G$4,G$1,$A348,$A348),_xll.BDH(config!$G$5,G$1,$A348,$A348))))</f>
        <v>41.62</v>
      </c>
      <c r="H348" s="8">
        <f>IF($A348="","",IF(ISNUMBER(FIND("IMPVOL",H$1)),_xll.BDH(config!$G$4,H$1,WORKDAY($A348,-1,config_Holiday_Calendar_US),WORKDAY($A348,-1,config_Holiday_Calendar_US)),IF(ISNUMBER(_xll.BDH(config!$G$4,H$1,$A348,$A348)),_xll.BDH(config!$G$4,H$1,$A348,$A348),_xll.BDH(config!$G$5,H$1,$A348,$A348))))</f>
        <v>272900</v>
      </c>
      <c r="I348" s="8" t="str">
        <f>IF($A348="","",IF(ISNUMBER(FIND("IMPVOL",I$1)),_xll.BDH(config!$G$4,I$1,WORKDAY($A348,-1,config_Holiday_Calendar_US),WORKDAY($A348,-1,config_Holiday_Calendar_US)),IF(ISNUMBER(_xll.BDH(config!$G$4,I$1,$A348,$A348)),_xll.BDH(config!$G$4,I$1,$A348,$A348),_xll.BDH(config!$G$5,I$1,$A348,$A348))))</f>
        <v>#N/A Requesting Data...</v>
      </c>
      <c r="J348" s="8" t="str">
        <f>IF($A348="","",IF(ISNUMBER(FIND("IMPVOL",J$1)),_xll.BDH(config!$G$4,J$1,WORKDAY($A348,-1,config_Holiday_Calendar_US),WORKDAY($A348,-1,config_Holiday_Calendar_US)),IF(ISNUMBER(_xll.BDH(config!$G$4,J$1,$A348,$A348)),_xll.BDH(config!$G$4,J$1,$A348,$A348),_xll.BDH(config!$G$5,J$1,$A348,$A348))))</f>
        <v>#N/A Requesting Data...</v>
      </c>
      <c r="K348" s="8" t="str">
        <f>IF($A348="","",IF(ISNUMBER(FIND("IMPVOL",K$1)),_xll.BDH(config!$G$4,K$1,WORKDAY($A348,-1,config_Holiday_Calendar_US),WORKDAY($A348,-1,config_Holiday_Calendar_US)),IF(ISNUMBER(_xll.BDH(config!$G$4,K$1,$A348,$A348)),_xll.BDH(config!$G$4,K$1,$A348,$A348),_xll.BDH(config!$G$5,K$1,$A348,$A348))))</f>
        <v>#N/A Requesting Data...</v>
      </c>
      <c r="L348" s="8" t="str">
        <f>IF($A348="","",IF(ISNUMBER(FIND("IMPVOL",L$1)),_xll.BDH(config!$G$4,L$1,WORKDAY($A348,-1,config_Holiday_Calendar_US),WORKDAY($A348,-1,config_Holiday_Calendar_US)),IF(ISNUMBER(_xll.BDH(config!$G$4,L$1,$A348,$A348)),_xll.BDH(config!$G$4,L$1,$A348,$A348),_xll.BDH(config!$G$5,L$1,$A348,$A348))))</f>
        <v>#N/A Requesting Data...</v>
      </c>
      <c r="M348" s="8" t="str">
        <f>IF($A348="","",IF(ISNUMBER(FIND("IMPVOL",M$1)),_xll.BDH(config!$G$4,M$1,WORKDAY($A348,-1,config_Holiday_Calendar_US),WORKDAY($A348,-1,config_Holiday_Calendar_US)),IF(ISNUMBER(_xll.BDH(config!$G$4,M$1,$A348,$A348)),_xll.BDH(config!$G$4,M$1,$A348,$A348),_xll.BDH(config!$G$5,M$1,$A348,$A348))))</f>
        <v>#N/A Requesting Data...</v>
      </c>
      <c r="N348" s="8" t="str">
        <f>IF($A348="","",IF(ISNUMBER(FIND("IMPVOL",N$1)),_xll.BDH(config!$G$4,N$1,WORKDAY($A348,-1,config_Holiday_Calendar_US),WORKDAY($A348,-1,config_Holiday_Calendar_US)),IF(ISNUMBER(_xll.BDH(config!$G$4,N$1,$A348,$A348)),_xll.BDH(config!$G$4,N$1,$A348,$A348),_xll.BDH(config!$G$5,N$1,$A348,$A348))))</f>
        <v>#N/A Requesting Data...</v>
      </c>
      <c r="O348" s="8" t="str">
        <f>IF($A348="","",IF(ISNUMBER(FIND("IMPVOL",O$1)),_xll.BDH(config!$G$4,O$1,WORKDAY($A348,-1,config_Holiday_Calendar_US),WORKDAY($A348,-1,config_Holiday_Calendar_US)),IF(ISNUMBER(_xll.BDH(config!$G$4,O$1,$A348,$A348)),_xll.BDH(config!$G$4,O$1,$A348,$A348),_xll.BDH(config!$G$5,O$1,$A348,$A348))))</f>
        <v>#N/A Requesting Data...</v>
      </c>
      <c r="P348" s="8" t="str">
        <f>IF($A348="","",IF(ISNUMBER(FIND("IMPVOL",P$1)),_xll.BDH(config!$G$4,P$1,WORKDAY($A348,-1,config_Holiday_Calendar_US),WORKDAY($A348,-1,config_Holiday_Calendar_US)),IF(ISNUMBER(_xll.BDH(config!$G$4,P$1,$A348,$A348)),_xll.BDH(config!$G$4,P$1,$A348,$A348),_xll.BDH(config!$G$5,P$1,$A348,$A348))))</f>
        <v>#N/A Requesting Data...</v>
      </c>
      <c r="Q348" s="8">
        <f>IF($A348="","",IF(ISNUMBER(FIND("IMPVOL",Q$1)),_xll.BDH(config!$G$4,Q$1,WORKDAY($A348,-1,config_Holiday_Calendar_US),WORKDAY($A348,-1,config_Holiday_Calendar_US)),IF(ISNUMBER(_xll.BDH(config!$G$4,Q$1,$A348,$A348)),_xll.BDH(config!$G$4,Q$1,$A348,$A348),_xll.BDH(config!$G$5,Q$1,$A348,$A348))))</f>
        <v>26.68</v>
      </c>
      <c r="R348" s="8">
        <f>IF($A348="","",IF(ISNUMBER(FIND("IMPVOL",R$1)),_xll.BDH(config!$G$4,R$1,WORKDAY($A348,-1,config_Holiday_Calendar_US),WORKDAY($A348,-1,config_Holiday_Calendar_US)),IF(ISNUMBER(_xll.BDH(config!$G$4,R$1,$A348,$A348)),_xll.BDH(config!$G$4,R$1,$A348,$A348),_xll.BDH(config!$G$5,R$1,$A348,$A348))))</f>
        <v>37.61</v>
      </c>
      <c r="S348" s="8" t="str">
        <f>IF($A348="","",IF(ISNUMBER(FIND("IMPVOL",S$1)),_xll.BDH(config!$G$4,S$1,WORKDAY($A348,-1,config_Holiday_Calendar_US),WORKDAY($A348,-1,config_Holiday_Calendar_US)),IF(ISNUMBER(_xll.BDH(config!$G$4,S$1,$A348,$A348)),_xll.BDH(config!$G$4,S$1,$A348,$A348),_xll.BDH(config!$G$5,S$1,$A348,$A348))))</f>
        <v>#N/A Requesting Data...</v>
      </c>
      <c r="T348" s="8" t="str">
        <f>IF($A348="","",IF(ISNUMBER(FIND("IMPVOL",T$1)),_xll.BDH(config!$G$4,T$1,WORKDAY($A348,-1,config_Holiday_Calendar_US),WORKDAY($A348,-1,config_Holiday_Calendar_US)),IF(ISNUMBER(_xll.BDH(config!$G$4,T$1,$A348,$A348)),_xll.BDH(config!$G$4,T$1,$A348,$A348),_xll.BDH(config!$G$5,T$1,$A348,$A348))))</f>
        <v>#N/A Requesting Data...</v>
      </c>
      <c r="U348" s="8" t="str">
        <f>IF($A348="","",IF(ISNUMBER(FIND("IMPVOL",U$1)),_xll.BDH(config!$G$4,U$1,WORKDAY($A348,-1,config_Holiday_Calendar_US),WORKDAY($A348,-1,config_Holiday_Calendar_US)),IF(ISNUMBER(_xll.BDH(config!$G$4,U$1,$A348,$A348)),_xll.BDH(config!$G$4,U$1,$A348,$A348),_xll.BDH(config!$G$5,U$1,$A348,$A348))))</f>
        <v>#N/A Requesting Data...</v>
      </c>
      <c r="V348" s="8" t="str">
        <f>IF($A348="","",IF(ISNUMBER(FIND("IMPVOL",V$1)),_xll.BDH(config!$G$4,V$1,WORKDAY($A348,-1,config_Holiday_Calendar_US),WORKDAY($A348,-1,config_Holiday_Calendar_US)),IF(ISNUMBER(_xll.BDH(config!$G$4,V$1,$A348,$A348)),_xll.BDH(config!$G$4,V$1,$A348,$A348),_xll.BDH(config!$G$5,V$1,$A348,$A348))))</f>
        <v>#N/A Requesting Data...</v>
      </c>
      <c r="W348" s="8" t="str">
        <f>IF($A348="","",IF(ISNUMBER(FIND("IMPVOL",W$1)),_xll.BDH(config!$G$4,W$1,WORKDAY($A348,-1,config_Holiday_Calendar_US),WORKDAY($A348,-1,config_Holiday_Calendar_US)),IF(ISNUMBER(_xll.BDH(config!$G$4,W$1,$A348,$A348)),_xll.BDH(config!$G$4,W$1,$A348,$A348),_xll.BDH(config!$G$5,W$1,$A348,$A348))))</f>
        <v>#N/A Requesting Data...</v>
      </c>
    </row>
    <row r="349" spans="1:23" x14ac:dyDescent="0.2">
      <c r="A349" s="9">
        <f>IF(A348="","",IF(WORKDAY(A348,-1,config_Holiday_Calendar_US)&lt;config!$I$10,"",WORKDAY(A348,-1,config_Holiday_Calendar_US)))</f>
        <v>42324</v>
      </c>
      <c r="B349" s="8" t="e">
        <f t="shared" si="5"/>
        <v>#VALUE!</v>
      </c>
      <c r="C349" s="8" t="str">
        <f>IF(A349="","",_xll.BDH(config!$H$4,C$1,$A349,$A349))</f>
        <v>#N/A Requesting Data...</v>
      </c>
      <c r="D349" s="8" t="str">
        <f>IF($A349="","",_xll.BDH(config!$H$4,D$1,$A349,$A349))</f>
        <v>#N/A Requesting Data...</v>
      </c>
      <c r="E349" s="8">
        <f>IF($A349="","",IF(ISNUMBER(FIND("IMPVOL",E$1)),_xll.BDH(config!$G$4,E$1,WORKDAY($A349,-1,config_Holiday_Calendar_US),WORKDAY($A349,-1,config_Holiday_Calendar_US)),IF(ISNUMBER(_xll.BDH(config!$G$4,E$1,$A349,$A349)),_xll.BDH(config!$G$4,E$1,$A349,$A349),_xll.BDH(config!$G$5,E$1,$A349,$A349))))</f>
        <v>40.92</v>
      </c>
      <c r="F349" s="8">
        <f>IF($A349="","",IF(ISNUMBER(FIND("IMPVOL",F$1)),_xll.BDH(config!$G$4,F$1,WORKDAY($A349,-1,config_Holiday_Calendar_US),WORKDAY($A349,-1,config_Holiday_Calendar_US)),IF(ISNUMBER(_xll.BDH(config!$G$4,F$1,$A349,$A349)),_xll.BDH(config!$G$4,F$1,$A349,$A349),_xll.BDH(config!$G$5,F$1,$A349,$A349))))</f>
        <v>42.25</v>
      </c>
      <c r="G349" s="8">
        <f>IF($A349="","",IF(ISNUMBER(FIND("IMPVOL",G$1)),_xll.BDH(config!$G$4,G$1,WORKDAY($A349,-1,config_Holiday_Calendar_US),WORKDAY($A349,-1,config_Holiday_Calendar_US)),IF(ISNUMBER(_xll.BDH(config!$G$4,G$1,$A349,$A349)),_xll.BDH(config!$G$4,G$1,$A349,$A349),_xll.BDH(config!$G$5,G$1,$A349,$A349))))</f>
        <v>41.21</v>
      </c>
      <c r="H349" s="8">
        <f>IF($A349="","",IF(ISNUMBER(FIND("IMPVOL",H$1)),_xll.BDH(config!$G$4,H$1,WORKDAY($A349,-1,config_Holiday_Calendar_US),WORKDAY($A349,-1,config_Holiday_Calendar_US)),IF(ISNUMBER(_xll.BDH(config!$G$4,H$1,$A349,$A349)),_xll.BDH(config!$G$4,H$1,$A349,$A349),_xll.BDH(config!$G$5,H$1,$A349,$A349))))</f>
        <v>354422</v>
      </c>
      <c r="I349" s="8" t="str">
        <f>IF($A349="","",IF(ISNUMBER(FIND("IMPVOL",I$1)),_xll.BDH(config!$G$4,I$1,WORKDAY($A349,-1,config_Holiday_Calendar_US),WORKDAY($A349,-1,config_Holiday_Calendar_US)),IF(ISNUMBER(_xll.BDH(config!$G$4,I$1,$A349,$A349)),_xll.BDH(config!$G$4,I$1,$A349,$A349),_xll.BDH(config!$G$5,I$1,$A349,$A349))))</f>
        <v>#N/A Requesting Data...</v>
      </c>
      <c r="J349" s="8" t="str">
        <f>IF($A349="","",IF(ISNUMBER(FIND("IMPVOL",J$1)),_xll.BDH(config!$G$4,J$1,WORKDAY($A349,-1,config_Holiday_Calendar_US),WORKDAY($A349,-1,config_Holiday_Calendar_US)),IF(ISNUMBER(_xll.BDH(config!$G$4,J$1,$A349,$A349)),_xll.BDH(config!$G$4,J$1,$A349,$A349),_xll.BDH(config!$G$5,J$1,$A349,$A349))))</f>
        <v>#N/A Requesting Data...</v>
      </c>
      <c r="K349" s="8" t="str">
        <f>IF($A349="","",IF(ISNUMBER(FIND("IMPVOL",K$1)),_xll.BDH(config!$G$4,K$1,WORKDAY($A349,-1,config_Holiday_Calendar_US),WORKDAY($A349,-1,config_Holiday_Calendar_US)),IF(ISNUMBER(_xll.BDH(config!$G$4,K$1,$A349,$A349)),_xll.BDH(config!$G$4,K$1,$A349,$A349),_xll.BDH(config!$G$5,K$1,$A349,$A349))))</f>
        <v>#N/A Requesting Data...</v>
      </c>
      <c r="L349" s="8" t="str">
        <f>IF($A349="","",IF(ISNUMBER(FIND("IMPVOL",L$1)),_xll.BDH(config!$G$4,L$1,WORKDAY($A349,-1,config_Holiday_Calendar_US),WORKDAY($A349,-1,config_Holiday_Calendar_US)),IF(ISNUMBER(_xll.BDH(config!$G$4,L$1,$A349,$A349)),_xll.BDH(config!$G$4,L$1,$A349,$A349),_xll.BDH(config!$G$5,L$1,$A349,$A349))))</f>
        <v>#N/A Requesting Data...</v>
      </c>
      <c r="M349" s="8" t="str">
        <f>IF($A349="","",IF(ISNUMBER(FIND("IMPVOL",M$1)),_xll.BDH(config!$G$4,M$1,WORKDAY($A349,-1,config_Holiday_Calendar_US),WORKDAY($A349,-1,config_Holiday_Calendar_US)),IF(ISNUMBER(_xll.BDH(config!$G$4,M$1,$A349,$A349)),_xll.BDH(config!$G$4,M$1,$A349,$A349),_xll.BDH(config!$G$5,M$1,$A349,$A349))))</f>
        <v>#N/A Requesting Data...</v>
      </c>
      <c r="N349" s="8" t="str">
        <f>IF($A349="","",IF(ISNUMBER(FIND("IMPVOL",N$1)),_xll.BDH(config!$G$4,N$1,WORKDAY($A349,-1,config_Holiday_Calendar_US),WORKDAY($A349,-1,config_Holiday_Calendar_US)),IF(ISNUMBER(_xll.BDH(config!$G$4,N$1,$A349,$A349)),_xll.BDH(config!$G$4,N$1,$A349,$A349),_xll.BDH(config!$G$5,N$1,$A349,$A349))))</f>
        <v>#N/A Requesting Data...</v>
      </c>
      <c r="O349" s="8" t="str">
        <f>IF($A349="","",IF(ISNUMBER(FIND("IMPVOL",O$1)),_xll.BDH(config!$G$4,O$1,WORKDAY($A349,-1,config_Holiday_Calendar_US),WORKDAY($A349,-1,config_Holiday_Calendar_US)),IF(ISNUMBER(_xll.BDH(config!$G$4,O$1,$A349,$A349)),_xll.BDH(config!$G$4,O$1,$A349,$A349),_xll.BDH(config!$G$5,O$1,$A349,$A349))))</f>
        <v>#N/A Requesting Data...</v>
      </c>
      <c r="P349" s="8" t="str">
        <f>IF($A349="","",IF(ISNUMBER(FIND("IMPVOL",P$1)),_xll.BDH(config!$G$4,P$1,WORKDAY($A349,-1,config_Holiday_Calendar_US),WORKDAY($A349,-1,config_Holiday_Calendar_US)),IF(ISNUMBER(_xll.BDH(config!$G$4,P$1,$A349,$A349)),_xll.BDH(config!$G$4,P$1,$A349,$A349),_xll.BDH(config!$G$5,P$1,$A349,$A349))))</f>
        <v>#N/A Requesting Data...</v>
      </c>
      <c r="Q349" s="8">
        <f>IF($A349="","",IF(ISNUMBER(FIND("IMPVOL",Q$1)),_xll.BDH(config!$G$4,Q$1,WORKDAY($A349,-1,config_Holiday_Calendar_US),WORKDAY($A349,-1,config_Holiday_Calendar_US)),IF(ISNUMBER(_xll.BDH(config!$G$4,Q$1,$A349,$A349)),_xll.BDH(config!$G$4,Q$1,$A349,$A349),_xll.BDH(config!$G$5,Q$1,$A349,$A349))))</f>
        <v>28.05</v>
      </c>
      <c r="R349" s="8">
        <f>IF($A349="","",IF(ISNUMBER(FIND("IMPVOL",R$1)),_xll.BDH(config!$G$4,R$1,WORKDAY($A349,-1,config_Holiday_Calendar_US),WORKDAY($A349,-1,config_Holiday_Calendar_US)),IF(ISNUMBER(_xll.BDH(config!$G$4,R$1,$A349,$A349)),_xll.BDH(config!$G$4,R$1,$A349,$A349),_xll.BDH(config!$G$5,R$1,$A349,$A349))))</f>
        <v>37.15</v>
      </c>
      <c r="S349" s="8" t="str">
        <f>IF($A349="","",IF(ISNUMBER(FIND("IMPVOL",S$1)),_xll.BDH(config!$G$4,S$1,WORKDAY($A349,-1,config_Holiday_Calendar_US),WORKDAY($A349,-1,config_Holiday_Calendar_US)),IF(ISNUMBER(_xll.BDH(config!$G$4,S$1,$A349,$A349)),_xll.BDH(config!$G$4,S$1,$A349,$A349),_xll.BDH(config!$G$5,S$1,$A349,$A349))))</f>
        <v>#N/A Requesting Data...</v>
      </c>
      <c r="T349" s="8" t="str">
        <f>IF($A349="","",IF(ISNUMBER(FIND("IMPVOL",T$1)),_xll.BDH(config!$G$4,T$1,WORKDAY($A349,-1,config_Holiday_Calendar_US),WORKDAY($A349,-1,config_Holiday_Calendar_US)),IF(ISNUMBER(_xll.BDH(config!$G$4,T$1,$A349,$A349)),_xll.BDH(config!$G$4,T$1,$A349,$A349),_xll.BDH(config!$G$5,T$1,$A349,$A349))))</f>
        <v>#N/A Requesting Data...</v>
      </c>
      <c r="U349" s="8" t="str">
        <f>IF($A349="","",IF(ISNUMBER(FIND("IMPVOL",U$1)),_xll.BDH(config!$G$4,U$1,WORKDAY($A349,-1,config_Holiday_Calendar_US),WORKDAY($A349,-1,config_Holiday_Calendar_US)),IF(ISNUMBER(_xll.BDH(config!$G$4,U$1,$A349,$A349)),_xll.BDH(config!$G$4,U$1,$A349,$A349),_xll.BDH(config!$G$5,U$1,$A349,$A349))))</f>
        <v>#N/A Requesting Data...</v>
      </c>
      <c r="V349" s="8" t="str">
        <f>IF($A349="","",IF(ISNUMBER(FIND("IMPVOL",V$1)),_xll.BDH(config!$G$4,V$1,WORKDAY($A349,-1,config_Holiday_Calendar_US),WORKDAY($A349,-1,config_Holiday_Calendar_US)),IF(ISNUMBER(_xll.BDH(config!$G$4,V$1,$A349,$A349)),_xll.BDH(config!$G$4,V$1,$A349,$A349),_xll.BDH(config!$G$5,V$1,$A349,$A349))))</f>
        <v>#N/A Requesting Data...</v>
      </c>
      <c r="W349" s="8" t="str">
        <f>IF($A349="","",IF(ISNUMBER(FIND("IMPVOL",W$1)),_xll.BDH(config!$G$4,W$1,WORKDAY($A349,-1,config_Holiday_Calendar_US),WORKDAY($A349,-1,config_Holiday_Calendar_US)),IF(ISNUMBER(_xll.BDH(config!$G$4,W$1,$A349,$A349)),_xll.BDH(config!$G$4,W$1,$A349,$A349),_xll.BDH(config!$G$5,W$1,$A349,$A349))))</f>
        <v>#N/A Requesting Data...</v>
      </c>
    </row>
    <row r="350" spans="1:23" x14ac:dyDescent="0.2">
      <c r="A350" s="9">
        <f>IF(A349="","",IF(WORKDAY(A349,-1,config_Holiday_Calendar_US)&lt;config!$I$10,"",WORKDAY(A349,-1,config_Holiday_Calendar_US)))</f>
        <v>42321</v>
      </c>
      <c r="B350" s="8" t="e">
        <f t="shared" si="5"/>
        <v>#VALUE!</v>
      </c>
      <c r="C350" s="8" t="str">
        <f>IF(A350="","",_xll.BDH(config!$H$4,C$1,$A350,$A350))</f>
        <v>#N/A Requesting Data...</v>
      </c>
      <c r="D350" s="8" t="str">
        <f>IF($A350="","",_xll.BDH(config!$H$4,D$1,$A350,$A350))</f>
        <v>#N/A Requesting Data...</v>
      </c>
      <c r="E350" s="8">
        <f>IF($A350="","",IF(ISNUMBER(FIND("IMPVOL",E$1)),_xll.BDH(config!$G$4,E$1,WORKDAY($A350,-1,config_Holiday_Calendar_US),WORKDAY($A350,-1,config_Holiday_Calendar_US)),IF(ISNUMBER(_xll.BDH(config!$G$4,E$1,$A350,$A350)),_xll.BDH(config!$G$4,E$1,$A350,$A350),_xll.BDH(config!$G$5,E$1,$A350,$A350))))</f>
        <v>41.61</v>
      </c>
      <c r="F350" s="8">
        <f>IF($A350="","",IF(ISNUMBER(FIND("IMPVOL",F$1)),_xll.BDH(config!$G$4,F$1,WORKDAY($A350,-1,config_Holiday_Calendar_US),WORKDAY($A350,-1,config_Holiday_Calendar_US)),IF(ISNUMBER(_xll.BDH(config!$G$4,F$1,$A350,$A350)),_xll.BDH(config!$G$4,F$1,$A350,$A350),_xll.BDH(config!$G$5,F$1,$A350,$A350))))</f>
        <v>42.21</v>
      </c>
      <c r="G350" s="8">
        <f>IF($A350="","",IF(ISNUMBER(FIND("IMPVOL",G$1)),_xll.BDH(config!$G$4,G$1,WORKDAY($A350,-1,config_Holiday_Calendar_US),WORKDAY($A350,-1,config_Holiday_Calendar_US)),IF(ISNUMBER(_xll.BDH(config!$G$4,G$1,$A350,$A350)),_xll.BDH(config!$G$4,G$1,$A350,$A350),_xll.BDH(config!$G$5,G$1,$A350,$A350))))</f>
        <v>41.55</v>
      </c>
      <c r="H350" s="8">
        <f>IF($A350="","",IF(ISNUMBER(FIND("IMPVOL",H$1)),_xll.BDH(config!$G$4,H$1,WORKDAY($A350,-1,config_Holiday_Calendar_US),WORKDAY($A350,-1,config_Holiday_Calendar_US)),IF(ISNUMBER(_xll.BDH(config!$G$4,H$1,$A350,$A350)),_xll.BDH(config!$G$4,H$1,$A350,$A350),_xll.BDH(config!$G$5,H$1,$A350,$A350))))</f>
        <v>248589</v>
      </c>
      <c r="I350" s="8" t="str">
        <f>IF($A350="","",IF(ISNUMBER(FIND("IMPVOL",I$1)),_xll.BDH(config!$G$4,I$1,WORKDAY($A350,-1,config_Holiday_Calendar_US),WORKDAY($A350,-1,config_Holiday_Calendar_US)),IF(ISNUMBER(_xll.BDH(config!$G$4,I$1,$A350,$A350)),_xll.BDH(config!$G$4,I$1,$A350,$A350),_xll.BDH(config!$G$5,I$1,$A350,$A350))))</f>
        <v>#N/A Requesting Data...</v>
      </c>
      <c r="J350" s="8" t="str">
        <f>IF($A350="","",IF(ISNUMBER(FIND("IMPVOL",J$1)),_xll.BDH(config!$G$4,J$1,WORKDAY($A350,-1,config_Holiday_Calendar_US),WORKDAY($A350,-1,config_Holiday_Calendar_US)),IF(ISNUMBER(_xll.BDH(config!$G$4,J$1,$A350,$A350)),_xll.BDH(config!$G$4,J$1,$A350,$A350),_xll.BDH(config!$G$5,J$1,$A350,$A350))))</f>
        <v>#N/A Requesting Data...</v>
      </c>
      <c r="K350" s="8" t="str">
        <f>IF($A350="","",IF(ISNUMBER(FIND("IMPVOL",K$1)),_xll.BDH(config!$G$4,K$1,WORKDAY($A350,-1,config_Holiday_Calendar_US),WORKDAY($A350,-1,config_Holiday_Calendar_US)),IF(ISNUMBER(_xll.BDH(config!$G$4,K$1,$A350,$A350)),_xll.BDH(config!$G$4,K$1,$A350,$A350),_xll.BDH(config!$G$5,K$1,$A350,$A350))))</f>
        <v>#N/A Requesting Data...</v>
      </c>
      <c r="L350" s="8" t="str">
        <f>IF($A350="","",IF(ISNUMBER(FIND("IMPVOL",L$1)),_xll.BDH(config!$G$4,L$1,WORKDAY($A350,-1,config_Holiday_Calendar_US),WORKDAY($A350,-1,config_Holiday_Calendar_US)),IF(ISNUMBER(_xll.BDH(config!$G$4,L$1,$A350,$A350)),_xll.BDH(config!$G$4,L$1,$A350,$A350),_xll.BDH(config!$G$5,L$1,$A350,$A350))))</f>
        <v>#N/A Requesting Data...</v>
      </c>
      <c r="M350" s="8" t="str">
        <f>IF($A350="","",IF(ISNUMBER(FIND("IMPVOL",M$1)),_xll.BDH(config!$G$4,M$1,WORKDAY($A350,-1,config_Holiday_Calendar_US),WORKDAY($A350,-1,config_Holiday_Calendar_US)),IF(ISNUMBER(_xll.BDH(config!$G$4,M$1,$A350,$A350)),_xll.BDH(config!$G$4,M$1,$A350,$A350),_xll.BDH(config!$G$5,M$1,$A350,$A350))))</f>
        <v>#N/A Requesting Data...</v>
      </c>
      <c r="N350" s="8" t="str">
        <f>IF($A350="","",IF(ISNUMBER(FIND("IMPVOL",N$1)),_xll.BDH(config!$G$4,N$1,WORKDAY($A350,-1,config_Holiday_Calendar_US),WORKDAY($A350,-1,config_Holiday_Calendar_US)),IF(ISNUMBER(_xll.BDH(config!$G$4,N$1,$A350,$A350)),_xll.BDH(config!$G$4,N$1,$A350,$A350),_xll.BDH(config!$G$5,N$1,$A350,$A350))))</f>
        <v>#N/A Requesting Data...</v>
      </c>
      <c r="O350" s="8" t="str">
        <f>IF($A350="","",IF(ISNUMBER(FIND("IMPVOL",O$1)),_xll.BDH(config!$G$4,O$1,WORKDAY($A350,-1,config_Holiday_Calendar_US),WORKDAY($A350,-1,config_Holiday_Calendar_US)),IF(ISNUMBER(_xll.BDH(config!$G$4,O$1,$A350,$A350)),_xll.BDH(config!$G$4,O$1,$A350,$A350),_xll.BDH(config!$G$5,O$1,$A350,$A350))))</f>
        <v>#N/A Requesting Data...</v>
      </c>
      <c r="P350" s="8" t="str">
        <f>IF($A350="","",IF(ISNUMBER(FIND("IMPVOL",P$1)),_xll.BDH(config!$G$4,P$1,WORKDAY($A350,-1,config_Holiday_Calendar_US),WORKDAY($A350,-1,config_Holiday_Calendar_US)),IF(ISNUMBER(_xll.BDH(config!$G$4,P$1,$A350,$A350)),_xll.BDH(config!$G$4,P$1,$A350,$A350),_xll.BDH(config!$G$5,P$1,$A350,$A350))))</f>
        <v>#N/A Requesting Data...</v>
      </c>
      <c r="Q350" s="8">
        <f>IF($A350="","",IF(ISNUMBER(FIND("IMPVOL",Q$1)),_xll.BDH(config!$G$4,Q$1,WORKDAY($A350,-1,config_Holiday_Calendar_US),WORKDAY($A350,-1,config_Holiday_Calendar_US)),IF(ISNUMBER(_xll.BDH(config!$G$4,Q$1,$A350,$A350)),_xll.BDH(config!$G$4,Q$1,$A350,$A350),_xll.BDH(config!$G$5,Q$1,$A350,$A350))))</f>
        <v>35.67</v>
      </c>
      <c r="R350" s="8">
        <f>IF($A350="","",IF(ISNUMBER(FIND("IMPVOL",R$1)),_xll.BDH(config!$G$4,R$1,WORKDAY($A350,-1,config_Holiday_Calendar_US),WORKDAY($A350,-1,config_Holiday_Calendar_US)),IF(ISNUMBER(_xll.BDH(config!$G$4,R$1,$A350,$A350)),_xll.BDH(config!$G$4,R$1,$A350,$A350),_xll.BDH(config!$G$5,R$1,$A350,$A350))))</f>
        <v>39.74</v>
      </c>
      <c r="S350" s="8" t="str">
        <f>IF($A350="","",IF(ISNUMBER(FIND("IMPVOL",S$1)),_xll.BDH(config!$G$4,S$1,WORKDAY($A350,-1,config_Holiday_Calendar_US),WORKDAY($A350,-1,config_Holiday_Calendar_US)),IF(ISNUMBER(_xll.BDH(config!$G$4,S$1,$A350,$A350)),_xll.BDH(config!$G$4,S$1,$A350,$A350),_xll.BDH(config!$G$5,S$1,$A350,$A350))))</f>
        <v>#N/A Requesting Data...</v>
      </c>
      <c r="T350" s="8" t="str">
        <f>IF($A350="","",IF(ISNUMBER(FIND("IMPVOL",T$1)),_xll.BDH(config!$G$4,T$1,WORKDAY($A350,-1,config_Holiday_Calendar_US),WORKDAY($A350,-1,config_Holiday_Calendar_US)),IF(ISNUMBER(_xll.BDH(config!$G$4,T$1,$A350,$A350)),_xll.BDH(config!$G$4,T$1,$A350,$A350),_xll.BDH(config!$G$5,T$1,$A350,$A350))))</f>
        <v>#N/A Requesting Data...</v>
      </c>
      <c r="U350" s="8" t="str">
        <f>IF($A350="","",IF(ISNUMBER(FIND("IMPVOL",U$1)),_xll.BDH(config!$G$4,U$1,WORKDAY($A350,-1,config_Holiday_Calendar_US),WORKDAY($A350,-1,config_Holiday_Calendar_US)),IF(ISNUMBER(_xll.BDH(config!$G$4,U$1,$A350,$A350)),_xll.BDH(config!$G$4,U$1,$A350,$A350),_xll.BDH(config!$G$5,U$1,$A350,$A350))))</f>
        <v>#N/A Requesting Data...</v>
      </c>
      <c r="V350" s="8" t="str">
        <f>IF($A350="","",IF(ISNUMBER(FIND("IMPVOL",V$1)),_xll.BDH(config!$G$4,V$1,WORKDAY($A350,-1,config_Holiday_Calendar_US),WORKDAY($A350,-1,config_Holiday_Calendar_US)),IF(ISNUMBER(_xll.BDH(config!$G$4,V$1,$A350,$A350)),_xll.BDH(config!$G$4,V$1,$A350,$A350),_xll.BDH(config!$G$5,V$1,$A350,$A350))))</f>
        <v>#N/A Requesting Data...</v>
      </c>
      <c r="W350" s="8" t="str">
        <f>IF($A350="","",IF(ISNUMBER(FIND("IMPVOL",W$1)),_xll.BDH(config!$G$4,W$1,WORKDAY($A350,-1,config_Holiday_Calendar_US),WORKDAY($A350,-1,config_Holiday_Calendar_US)),IF(ISNUMBER(_xll.BDH(config!$G$4,W$1,$A350,$A350)),_xll.BDH(config!$G$4,W$1,$A350,$A350),_xll.BDH(config!$G$5,W$1,$A350,$A350))))</f>
        <v>#N/A Requesting Data...</v>
      </c>
    </row>
    <row r="351" spans="1:23" x14ac:dyDescent="0.2">
      <c r="A351" s="9">
        <f>IF(A350="","",IF(WORKDAY(A350,-1,config_Holiday_Calendar_US)&lt;config!$I$10,"",WORKDAY(A350,-1,config_Holiday_Calendar_US)))</f>
        <v>42320</v>
      </c>
      <c r="B351" s="8" t="e">
        <f t="shared" si="5"/>
        <v>#VALUE!</v>
      </c>
      <c r="C351" s="8" t="str">
        <f>IF(A351="","",_xll.BDH(config!$H$4,C$1,$A351,$A351))</f>
        <v>#N/A Requesting Data...</v>
      </c>
      <c r="D351" s="8" t="str">
        <f>IF($A351="","",_xll.BDH(config!$H$4,D$1,$A351,$A351))</f>
        <v>#N/A Requesting Data...</v>
      </c>
      <c r="E351" s="8">
        <f>IF($A351="","",IF(ISNUMBER(FIND("IMPVOL",E$1)),_xll.BDH(config!$G$4,E$1,WORKDAY($A351,-1,config_Holiday_Calendar_US),WORKDAY($A351,-1,config_Holiday_Calendar_US)),IF(ISNUMBER(_xll.BDH(config!$G$4,E$1,$A351,$A351)),_xll.BDH(config!$G$4,E$1,$A351,$A351),_xll.BDH(config!$G$5,E$1,$A351,$A351))))</f>
        <v>43.05</v>
      </c>
      <c r="F351" s="8">
        <f>IF($A351="","",IF(ISNUMBER(FIND("IMPVOL",F$1)),_xll.BDH(config!$G$4,F$1,WORKDAY($A351,-1,config_Holiday_Calendar_US),WORKDAY($A351,-1,config_Holiday_Calendar_US)),IF(ISNUMBER(_xll.BDH(config!$G$4,F$1,$A351,$A351)),_xll.BDH(config!$G$4,F$1,$A351,$A351),_xll.BDH(config!$G$5,F$1,$A351,$A351))))</f>
        <v>43.33</v>
      </c>
      <c r="G351" s="8">
        <f>IF($A351="","",IF(ISNUMBER(FIND("IMPVOL",G$1)),_xll.BDH(config!$G$4,G$1,WORKDAY($A351,-1,config_Holiday_Calendar_US),WORKDAY($A351,-1,config_Holiday_Calendar_US)),IF(ISNUMBER(_xll.BDH(config!$G$4,G$1,$A351,$A351)),_xll.BDH(config!$G$4,G$1,$A351,$A351),_xll.BDH(config!$G$5,G$1,$A351,$A351))))</f>
        <v>42.85</v>
      </c>
      <c r="H351" s="8">
        <f>IF($A351="","",IF(ISNUMBER(FIND("IMPVOL",H$1)),_xll.BDH(config!$G$4,H$1,WORKDAY($A351,-1,config_Holiday_Calendar_US),WORKDAY($A351,-1,config_Holiday_Calendar_US)),IF(ISNUMBER(_xll.BDH(config!$G$4,H$1,$A351,$A351)),_xll.BDH(config!$G$4,H$1,$A351,$A351),_xll.BDH(config!$G$5,H$1,$A351,$A351))))</f>
        <v>260264</v>
      </c>
      <c r="I351" s="8" t="str">
        <f>IF($A351="","",IF(ISNUMBER(FIND("IMPVOL",I$1)),_xll.BDH(config!$G$4,I$1,WORKDAY($A351,-1,config_Holiday_Calendar_US),WORKDAY($A351,-1,config_Holiday_Calendar_US)),IF(ISNUMBER(_xll.BDH(config!$G$4,I$1,$A351,$A351)),_xll.BDH(config!$G$4,I$1,$A351,$A351),_xll.BDH(config!$G$5,I$1,$A351,$A351))))</f>
        <v>#N/A Requesting Data...</v>
      </c>
      <c r="J351" s="8" t="str">
        <f>IF($A351="","",IF(ISNUMBER(FIND("IMPVOL",J$1)),_xll.BDH(config!$G$4,J$1,WORKDAY($A351,-1,config_Holiday_Calendar_US),WORKDAY($A351,-1,config_Holiday_Calendar_US)),IF(ISNUMBER(_xll.BDH(config!$G$4,J$1,$A351,$A351)),_xll.BDH(config!$G$4,J$1,$A351,$A351),_xll.BDH(config!$G$5,J$1,$A351,$A351))))</f>
        <v>#N/A Requesting Data...</v>
      </c>
      <c r="K351" s="8" t="str">
        <f>IF($A351="","",IF(ISNUMBER(FIND("IMPVOL",K$1)),_xll.BDH(config!$G$4,K$1,WORKDAY($A351,-1,config_Holiday_Calendar_US),WORKDAY($A351,-1,config_Holiday_Calendar_US)),IF(ISNUMBER(_xll.BDH(config!$G$4,K$1,$A351,$A351)),_xll.BDH(config!$G$4,K$1,$A351,$A351),_xll.BDH(config!$G$5,K$1,$A351,$A351))))</f>
        <v>#N/A Requesting Data...</v>
      </c>
      <c r="L351" s="8" t="str">
        <f>IF($A351="","",IF(ISNUMBER(FIND("IMPVOL",L$1)),_xll.BDH(config!$G$4,L$1,WORKDAY($A351,-1,config_Holiday_Calendar_US),WORKDAY($A351,-1,config_Holiday_Calendar_US)),IF(ISNUMBER(_xll.BDH(config!$G$4,L$1,$A351,$A351)),_xll.BDH(config!$G$4,L$1,$A351,$A351),_xll.BDH(config!$G$5,L$1,$A351,$A351))))</f>
        <v>#N/A Requesting Data...</v>
      </c>
      <c r="M351" s="8" t="str">
        <f>IF($A351="","",IF(ISNUMBER(FIND("IMPVOL",M$1)),_xll.BDH(config!$G$4,M$1,WORKDAY($A351,-1,config_Holiday_Calendar_US),WORKDAY($A351,-1,config_Holiday_Calendar_US)),IF(ISNUMBER(_xll.BDH(config!$G$4,M$1,$A351,$A351)),_xll.BDH(config!$G$4,M$1,$A351,$A351),_xll.BDH(config!$G$5,M$1,$A351,$A351))))</f>
        <v>#N/A Requesting Data...</v>
      </c>
      <c r="N351" s="8" t="str">
        <f>IF($A351="","",IF(ISNUMBER(FIND("IMPVOL",N$1)),_xll.BDH(config!$G$4,N$1,WORKDAY($A351,-1,config_Holiday_Calendar_US),WORKDAY($A351,-1,config_Holiday_Calendar_US)),IF(ISNUMBER(_xll.BDH(config!$G$4,N$1,$A351,$A351)),_xll.BDH(config!$G$4,N$1,$A351,$A351),_xll.BDH(config!$G$5,N$1,$A351,$A351))))</f>
        <v>#N/A Requesting Data...</v>
      </c>
      <c r="O351" s="8" t="str">
        <f>IF($A351="","",IF(ISNUMBER(FIND("IMPVOL",O$1)),_xll.BDH(config!$G$4,O$1,WORKDAY($A351,-1,config_Holiday_Calendar_US),WORKDAY($A351,-1,config_Holiday_Calendar_US)),IF(ISNUMBER(_xll.BDH(config!$G$4,O$1,$A351,$A351)),_xll.BDH(config!$G$4,O$1,$A351,$A351),_xll.BDH(config!$G$5,O$1,$A351,$A351))))</f>
        <v>#N/A Requesting Data...</v>
      </c>
      <c r="P351" s="8" t="str">
        <f>IF($A351="","",IF(ISNUMBER(FIND("IMPVOL",P$1)),_xll.BDH(config!$G$4,P$1,WORKDAY($A351,-1,config_Holiday_Calendar_US),WORKDAY($A351,-1,config_Holiday_Calendar_US)),IF(ISNUMBER(_xll.BDH(config!$G$4,P$1,$A351,$A351)),_xll.BDH(config!$G$4,P$1,$A351,$A351),_xll.BDH(config!$G$5,P$1,$A351,$A351))))</f>
        <v>#N/A Requesting Data...</v>
      </c>
      <c r="Q351" s="8">
        <f>IF($A351="","",IF(ISNUMBER(FIND("IMPVOL",Q$1)),_xll.BDH(config!$G$4,Q$1,WORKDAY($A351,-1,config_Holiday_Calendar_US),WORKDAY($A351,-1,config_Holiday_Calendar_US)),IF(ISNUMBER(_xll.BDH(config!$G$4,Q$1,$A351,$A351)),_xll.BDH(config!$G$4,Q$1,$A351,$A351),_xll.BDH(config!$G$5,Q$1,$A351,$A351))))</f>
        <v>34.979999999999997</v>
      </c>
      <c r="R351" s="8">
        <f>IF($A351="","",IF(ISNUMBER(FIND("IMPVOL",R$1)),_xll.BDH(config!$G$4,R$1,WORKDAY($A351,-1,config_Holiday_Calendar_US),WORKDAY($A351,-1,config_Holiday_Calendar_US)),IF(ISNUMBER(_xll.BDH(config!$G$4,R$1,$A351,$A351)),_xll.BDH(config!$G$4,R$1,$A351,$A351),_xll.BDH(config!$G$5,R$1,$A351,$A351))))</f>
        <v>39.64</v>
      </c>
      <c r="S351" s="8" t="str">
        <f>IF($A351="","",IF(ISNUMBER(FIND("IMPVOL",S$1)),_xll.BDH(config!$G$4,S$1,WORKDAY($A351,-1,config_Holiday_Calendar_US),WORKDAY($A351,-1,config_Holiday_Calendar_US)),IF(ISNUMBER(_xll.BDH(config!$G$4,S$1,$A351,$A351)),_xll.BDH(config!$G$4,S$1,$A351,$A351),_xll.BDH(config!$G$5,S$1,$A351,$A351))))</f>
        <v>#N/A Requesting Data...</v>
      </c>
      <c r="T351" s="8" t="str">
        <f>IF($A351="","",IF(ISNUMBER(FIND("IMPVOL",T$1)),_xll.BDH(config!$G$4,T$1,WORKDAY($A351,-1,config_Holiday_Calendar_US),WORKDAY($A351,-1,config_Holiday_Calendar_US)),IF(ISNUMBER(_xll.BDH(config!$G$4,T$1,$A351,$A351)),_xll.BDH(config!$G$4,T$1,$A351,$A351),_xll.BDH(config!$G$5,T$1,$A351,$A351))))</f>
        <v>#N/A Requesting Data...</v>
      </c>
      <c r="U351" s="8" t="str">
        <f>IF($A351="","",IF(ISNUMBER(FIND("IMPVOL",U$1)),_xll.BDH(config!$G$4,U$1,WORKDAY($A351,-1,config_Holiday_Calendar_US),WORKDAY($A351,-1,config_Holiday_Calendar_US)),IF(ISNUMBER(_xll.BDH(config!$G$4,U$1,$A351,$A351)),_xll.BDH(config!$G$4,U$1,$A351,$A351),_xll.BDH(config!$G$5,U$1,$A351,$A351))))</f>
        <v>#N/A Requesting Data...</v>
      </c>
      <c r="V351" s="8" t="str">
        <f>IF($A351="","",IF(ISNUMBER(FIND("IMPVOL",V$1)),_xll.BDH(config!$G$4,V$1,WORKDAY($A351,-1,config_Holiday_Calendar_US),WORKDAY($A351,-1,config_Holiday_Calendar_US)),IF(ISNUMBER(_xll.BDH(config!$G$4,V$1,$A351,$A351)),_xll.BDH(config!$G$4,V$1,$A351,$A351),_xll.BDH(config!$G$5,V$1,$A351,$A351))))</f>
        <v>#N/A Requesting Data...</v>
      </c>
      <c r="W351" s="8" t="str">
        <f>IF($A351="","",IF(ISNUMBER(FIND("IMPVOL",W$1)),_xll.BDH(config!$G$4,W$1,WORKDAY($A351,-1,config_Holiday_Calendar_US),WORKDAY($A351,-1,config_Holiday_Calendar_US)),IF(ISNUMBER(_xll.BDH(config!$G$4,W$1,$A351,$A351)),_xll.BDH(config!$G$4,W$1,$A351,$A351),_xll.BDH(config!$G$5,W$1,$A351,$A351))))</f>
        <v>#N/A Requesting Data...</v>
      </c>
    </row>
    <row r="352" spans="1:23" x14ac:dyDescent="0.2">
      <c r="A352" s="9">
        <f>IF(A351="","",IF(WORKDAY(A351,-1,config_Holiday_Calendar_US)&lt;config!$I$10,"",WORKDAY(A351,-1,config_Holiday_Calendar_US)))</f>
        <v>42318</v>
      </c>
      <c r="B352" s="8" t="e">
        <f t="shared" si="5"/>
        <v>#VALUE!</v>
      </c>
      <c r="C352" s="8" t="str">
        <f>IF(A352="","",_xll.BDH(config!$H$4,C$1,$A352,$A352))</f>
        <v>#N/A Requesting Data...</v>
      </c>
      <c r="D352" s="8" t="str">
        <f>IF($A352="","",_xll.BDH(config!$H$4,D$1,$A352,$A352))</f>
        <v>#N/A Requesting Data...</v>
      </c>
      <c r="E352" s="8">
        <f>IF($A352="","",IF(ISNUMBER(FIND("IMPVOL",E$1)),_xll.BDH(config!$G$4,E$1,WORKDAY($A352,-1,config_Holiday_Calendar_US),WORKDAY($A352,-1,config_Holiday_Calendar_US)),IF(ISNUMBER(_xll.BDH(config!$G$4,E$1,$A352,$A352)),_xll.BDH(config!$G$4,E$1,$A352,$A352),_xll.BDH(config!$G$5,E$1,$A352,$A352))))</f>
        <v>44.1</v>
      </c>
      <c r="F352" s="8">
        <f>IF($A352="","",IF(ISNUMBER(FIND("IMPVOL",F$1)),_xll.BDH(config!$G$4,F$1,WORKDAY($A352,-1,config_Holiday_Calendar_US),WORKDAY($A352,-1,config_Holiday_Calendar_US)),IF(ISNUMBER(_xll.BDH(config!$G$4,F$1,$A352,$A352)),_xll.BDH(config!$G$4,F$1,$A352,$A352),_xll.BDH(config!$G$5,F$1,$A352,$A352))))</f>
        <v>44.76</v>
      </c>
      <c r="G352" s="8">
        <f>IF($A352="","",IF(ISNUMBER(FIND("IMPVOL",G$1)),_xll.BDH(config!$G$4,G$1,WORKDAY($A352,-1,config_Holiday_Calendar_US),WORKDAY($A352,-1,config_Holiday_Calendar_US)),IF(ISNUMBER(_xll.BDH(config!$G$4,G$1,$A352,$A352)),_xll.BDH(config!$G$4,G$1,$A352,$A352),_xll.BDH(config!$G$5,G$1,$A352,$A352))))</f>
        <v>44.81</v>
      </c>
      <c r="H352" s="8">
        <f>IF($A352="","",IF(ISNUMBER(FIND("IMPVOL",H$1)),_xll.BDH(config!$G$4,H$1,WORKDAY($A352,-1,config_Holiday_Calendar_US),WORKDAY($A352,-1,config_Holiday_Calendar_US)),IF(ISNUMBER(_xll.BDH(config!$G$4,H$1,$A352,$A352)),_xll.BDH(config!$G$4,H$1,$A352,$A352),_xll.BDH(config!$G$5,H$1,$A352,$A352))))</f>
        <v>192357</v>
      </c>
      <c r="I352" s="8" t="str">
        <f>IF($A352="","",IF(ISNUMBER(FIND("IMPVOL",I$1)),_xll.BDH(config!$G$4,I$1,WORKDAY($A352,-1,config_Holiday_Calendar_US),WORKDAY($A352,-1,config_Holiday_Calendar_US)),IF(ISNUMBER(_xll.BDH(config!$G$4,I$1,$A352,$A352)),_xll.BDH(config!$G$4,I$1,$A352,$A352),_xll.BDH(config!$G$5,I$1,$A352,$A352))))</f>
        <v>#N/A Requesting Data...</v>
      </c>
      <c r="J352" s="8" t="str">
        <f>IF($A352="","",IF(ISNUMBER(FIND("IMPVOL",J$1)),_xll.BDH(config!$G$4,J$1,WORKDAY($A352,-1,config_Holiday_Calendar_US),WORKDAY($A352,-1,config_Holiday_Calendar_US)),IF(ISNUMBER(_xll.BDH(config!$G$4,J$1,$A352,$A352)),_xll.BDH(config!$G$4,J$1,$A352,$A352),_xll.BDH(config!$G$5,J$1,$A352,$A352))))</f>
        <v>#N/A Requesting Data...</v>
      </c>
      <c r="K352" s="8" t="str">
        <f>IF($A352="","",IF(ISNUMBER(FIND("IMPVOL",K$1)),_xll.BDH(config!$G$4,K$1,WORKDAY($A352,-1,config_Holiday_Calendar_US),WORKDAY($A352,-1,config_Holiday_Calendar_US)),IF(ISNUMBER(_xll.BDH(config!$G$4,K$1,$A352,$A352)),_xll.BDH(config!$G$4,K$1,$A352,$A352),_xll.BDH(config!$G$5,K$1,$A352,$A352))))</f>
        <v>#N/A Requesting Data...</v>
      </c>
      <c r="L352" s="8" t="str">
        <f>IF($A352="","",IF(ISNUMBER(FIND("IMPVOL",L$1)),_xll.BDH(config!$G$4,L$1,WORKDAY($A352,-1,config_Holiday_Calendar_US),WORKDAY($A352,-1,config_Holiday_Calendar_US)),IF(ISNUMBER(_xll.BDH(config!$G$4,L$1,$A352,$A352)),_xll.BDH(config!$G$4,L$1,$A352,$A352),_xll.BDH(config!$G$5,L$1,$A352,$A352))))</f>
        <v>#N/A Requesting Data...</v>
      </c>
      <c r="M352" s="8" t="str">
        <f>IF($A352="","",IF(ISNUMBER(FIND("IMPVOL",M$1)),_xll.BDH(config!$G$4,M$1,WORKDAY($A352,-1,config_Holiday_Calendar_US),WORKDAY($A352,-1,config_Holiday_Calendar_US)),IF(ISNUMBER(_xll.BDH(config!$G$4,M$1,$A352,$A352)),_xll.BDH(config!$G$4,M$1,$A352,$A352),_xll.BDH(config!$G$5,M$1,$A352,$A352))))</f>
        <v>#N/A Requesting Data...</v>
      </c>
      <c r="N352" s="8" t="str">
        <f>IF($A352="","",IF(ISNUMBER(FIND("IMPVOL",N$1)),_xll.BDH(config!$G$4,N$1,WORKDAY($A352,-1,config_Holiday_Calendar_US),WORKDAY($A352,-1,config_Holiday_Calendar_US)),IF(ISNUMBER(_xll.BDH(config!$G$4,N$1,$A352,$A352)),_xll.BDH(config!$G$4,N$1,$A352,$A352),_xll.BDH(config!$G$5,N$1,$A352,$A352))))</f>
        <v>#N/A Requesting Data...</v>
      </c>
      <c r="O352" s="8" t="str">
        <f>IF($A352="","",IF(ISNUMBER(FIND("IMPVOL",O$1)),_xll.BDH(config!$G$4,O$1,WORKDAY($A352,-1,config_Holiday_Calendar_US),WORKDAY($A352,-1,config_Holiday_Calendar_US)),IF(ISNUMBER(_xll.BDH(config!$G$4,O$1,$A352,$A352)),_xll.BDH(config!$G$4,O$1,$A352,$A352),_xll.BDH(config!$G$5,O$1,$A352,$A352))))</f>
        <v>#N/A Requesting Data...</v>
      </c>
      <c r="P352" s="8" t="str">
        <f>IF($A352="","",IF(ISNUMBER(FIND("IMPVOL",P$1)),_xll.BDH(config!$G$4,P$1,WORKDAY($A352,-1,config_Holiday_Calendar_US),WORKDAY($A352,-1,config_Holiday_Calendar_US)),IF(ISNUMBER(_xll.BDH(config!$G$4,P$1,$A352,$A352)),_xll.BDH(config!$G$4,P$1,$A352,$A352),_xll.BDH(config!$G$5,P$1,$A352,$A352))))</f>
        <v>#N/A Requesting Data...</v>
      </c>
      <c r="Q352" s="8">
        <f>IF($A352="","",IF(ISNUMBER(FIND("IMPVOL",Q$1)),_xll.BDH(config!$G$4,Q$1,WORKDAY($A352,-1,config_Holiday_Calendar_US),WORKDAY($A352,-1,config_Holiday_Calendar_US)),IF(ISNUMBER(_xll.BDH(config!$G$4,Q$1,$A352,$A352)),_xll.BDH(config!$G$4,Q$1,$A352,$A352),_xll.BDH(config!$G$5,Q$1,$A352,$A352))))</f>
        <v>33.25</v>
      </c>
      <c r="R352" s="8">
        <f>IF($A352="","",IF(ISNUMBER(FIND("IMPVOL",R$1)),_xll.BDH(config!$G$4,R$1,WORKDAY($A352,-1,config_Holiday_Calendar_US),WORKDAY($A352,-1,config_Holiday_Calendar_US)),IF(ISNUMBER(_xll.BDH(config!$G$4,R$1,$A352,$A352)),_xll.BDH(config!$G$4,R$1,$A352,$A352),_xll.BDH(config!$G$5,R$1,$A352,$A352))))</f>
        <v>38.47</v>
      </c>
      <c r="S352" s="8" t="str">
        <f>IF($A352="","",IF(ISNUMBER(FIND("IMPVOL",S$1)),_xll.BDH(config!$G$4,S$1,WORKDAY($A352,-1,config_Holiday_Calendar_US),WORKDAY($A352,-1,config_Holiday_Calendar_US)),IF(ISNUMBER(_xll.BDH(config!$G$4,S$1,$A352,$A352)),_xll.BDH(config!$G$4,S$1,$A352,$A352),_xll.BDH(config!$G$5,S$1,$A352,$A352))))</f>
        <v>#N/A Requesting Data...</v>
      </c>
      <c r="T352" s="8" t="str">
        <f>IF($A352="","",IF(ISNUMBER(FIND("IMPVOL",T$1)),_xll.BDH(config!$G$4,T$1,WORKDAY($A352,-1,config_Holiday_Calendar_US),WORKDAY($A352,-1,config_Holiday_Calendar_US)),IF(ISNUMBER(_xll.BDH(config!$G$4,T$1,$A352,$A352)),_xll.BDH(config!$G$4,T$1,$A352,$A352),_xll.BDH(config!$G$5,T$1,$A352,$A352))))</f>
        <v>#N/A Requesting Data...</v>
      </c>
      <c r="U352" s="8" t="str">
        <f>IF($A352="","",IF(ISNUMBER(FIND("IMPVOL",U$1)),_xll.BDH(config!$G$4,U$1,WORKDAY($A352,-1,config_Holiday_Calendar_US),WORKDAY($A352,-1,config_Holiday_Calendar_US)),IF(ISNUMBER(_xll.BDH(config!$G$4,U$1,$A352,$A352)),_xll.BDH(config!$G$4,U$1,$A352,$A352),_xll.BDH(config!$G$5,U$1,$A352,$A352))))</f>
        <v>#N/A Requesting Data...</v>
      </c>
      <c r="V352" s="8" t="str">
        <f>IF($A352="","",IF(ISNUMBER(FIND("IMPVOL",V$1)),_xll.BDH(config!$G$4,V$1,WORKDAY($A352,-1,config_Holiday_Calendar_US),WORKDAY($A352,-1,config_Holiday_Calendar_US)),IF(ISNUMBER(_xll.BDH(config!$G$4,V$1,$A352,$A352)),_xll.BDH(config!$G$4,V$1,$A352,$A352),_xll.BDH(config!$G$5,V$1,$A352,$A352))))</f>
        <v>#N/A Requesting Data...</v>
      </c>
      <c r="W352" s="8" t="str">
        <f>IF($A352="","",IF(ISNUMBER(FIND("IMPVOL",W$1)),_xll.BDH(config!$G$4,W$1,WORKDAY($A352,-1,config_Holiday_Calendar_US),WORKDAY($A352,-1,config_Holiday_Calendar_US)),IF(ISNUMBER(_xll.BDH(config!$G$4,W$1,$A352,$A352)),_xll.BDH(config!$G$4,W$1,$A352,$A352),_xll.BDH(config!$G$5,W$1,$A352,$A352))))</f>
        <v>#N/A Requesting Data...</v>
      </c>
    </row>
    <row r="353" spans="1:23" x14ac:dyDescent="0.2">
      <c r="A353" s="9">
        <f>IF(A352="","",IF(WORKDAY(A352,-1,config_Holiday_Calendar_US)&lt;config!$I$10,"",WORKDAY(A352,-1,config_Holiday_Calendar_US)))</f>
        <v>42317</v>
      </c>
      <c r="B353" s="8" t="e">
        <f t="shared" si="5"/>
        <v>#VALUE!</v>
      </c>
      <c r="C353" s="8" t="str">
        <f>IF(A353="","",_xll.BDH(config!$H$4,C$1,$A353,$A353))</f>
        <v>#N/A Requesting Data...</v>
      </c>
      <c r="D353" s="8" t="str">
        <f>IF($A353="","",_xll.BDH(config!$H$4,D$1,$A353,$A353))</f>
        <v>#N/A Requesting Data...</v>
      </c>
      <c r="E353" s="8">
        <f>IF($A353="","",IF(ISNUMBER(FIND("IMPVOL",E$1)),_xll.BDH(config!$G$4,E$1,WORKDAY($A353,-1,config_Holiday_Calendar_US),WORKDAY($A353,-1,config_Holiday_Calendar_US)),IF(ISNUMBER(_xll.BDH(config!$G$4,E$1,$A353,$A353)),_xll.BDH(config!$G$4,E$1,$A353,$A353),_xll.BDH(config!$G$5,E$1,$A353,$A353))))</f>
        <v>44.52</v>
      </c>
      <c r="F353" s="8">
        <f>IF($A353="","",IF(ISNUMBER(FIND("IMPVOL",F$1)),_xll.BDH(config!$G$4,F$1,WORKDAY($A353,-1,config_Holiday_Calendar_US),WORKDAY($A353,-1,config_Holiday_Calendar_US)),IF(ISNUMBER(_xll.BDH(config!$G$4,F$1,$A353,$A353)),_xll.BDH(config!$G$4,F$1,$A353,$A353),_xll.BDH(config!$G$5,F$1,$A353,$A353))))</f>
        <v>45.12</v>
      </c>
      <c r="G353" s="8">
        <f>IF($A353="","",IF(ISNUMBER(FIND("IMPVOL",G$1)),_xll.BDH(config!$G$4,G$1,WORKDAY($A353,-1,config_Holiday_Calendar_US),WORKDAY($A353,-1,config_Holiday_Calendar_US)),IF(ISNUMBER(_xll.BDH(config!$G$4,G$1,$A353,$A353)),_xll.BDH(config!$G$4,G$1,$A353,$A353),_xll.BDH(config!$G$5,G$1,$A353,$A353))))</f>
        <v>44.88</v>
      </c>
      <c r="H353" s="8">
        <f>IF($A353="","",IF(ISNUMBER(FIND("IMPVOL",H$1)),_xll.BDH(config!$G$4,H$1,WORKDAY($A353,-1,config_Holiday_Calendar_US),WORKDAY($A353,-1,config_Holiday_Calendar_US)),IF(ISNUMBER(_xll.BDH(config!$G$4,H$1,$A353,$A353)),_xll.BDH(config!$G$4,H$1,$A353,$A353),_xll.BDH(config!$G$5,H$1,$A353,$A353))))</f>
        <v>237590</v>
      </c>
      <c r="I353" s="8" t="str">
        <f>IF($A353="","",IF(ISNUMBER(FIND("IMPVOL",I$1)),_xll.BDH(config!$G$4,I$1,WORKDAY($A353,-1,config_Holiday_Calendar_US),WORKDAY($A353,-1,config_Holiday_Calendar_US)),IF(ISNUMBER(_xll.BDH(config!$G$4,I$1,$A353,$A353)),_xll.BDH(config!$G$4,I$1,$A353,$A353),_xll.BDH(config!$G$5,I$1,$A353,$A353))))</f>
        <v>#N/A Requesting Data...</v>
      </c>
      <c r="J353" s="8" t="str">
        <f>IF($A353="","",IF(ISNUMBER(FIND("IMPVOL",J$1)),_xll.BDH(config!$G$4,J$1,WORKDAY($A353,-1,config_Holiday_Calendar_US),WORKDAY($A353,-1,config_Holiday_Calendar_US)),IF(ISNUMBER(_xll.BDH(config!$G$4,J$1,$A353,$A353)),_xll.BDH(config!$G$4,J$1,$A353,$A353),_xll.BDH(config!$G$5,J$1,$A353,$A353))))</f>
        <v>#N/A Requesting Data...</v>
      </c>
      <c r="K353" s="8" t="str">
        <f>IF($A353="","",IF(ISNUMBER(FIND("IMPVOL",K$1)),_xll.BDH(config!$G$4,K$1,WORKDAY($A353,-1,config_Holiday_Calendar_US),WORKDAY($A353,-1,config_Holiday_Calendar_US)),IF(ISNUMBER(_xll.BDH(config!$G$4,K$1,$A353,$A353)),_xll.BDH(config!$G$4,K$1,$A353,$A353),_xll.BDH(config!$G$5,K$1,$A353,$A353))))</f>
        <v>#N/A Requesting Data...</v>
      </c>
      <c r="L353" s="8" t="str">
        <f>IF($A353="","",IF(ISNUMBER(FIND("IMPVOL",L$1)),_xll.BDH(config!$G$4,L$1,WORKDAY($A353,-1,config_Holiday_Calendar_US),WORKDAY($A353,-1,config_Holiday_Calendar_US)),IF(ISNUMBER(_xll.BDH(config!$G$4,L$1,$A353,$A353)),_xll.BDH(config!$G$4,L$1,$A353,$A353),_xll.BDH(config!$G$5,L$1,$A353,$A353))))</f>
        <v>#N/A Requesting Data...</v>
      </c>
      <c r="M353" s="8" t="str">
        <f>IF($A353="","",IF(ISNUMBER(FIND("IMPVOL",M$1)),_xll.BDH(config!$G$4,M$1,WORKDAY($A353,-1,config_Holiday_Calendar_US),WORKDAY($A353,-1,config_Holiday_Calendar_US)),IF(ISNUMBER(_xll.BDH(config!$G$4,M$1,$A353,$A353)),_xll.BDH(config!$G$4,M$1,$A353,$A353),_xll.BDH(config!$G$5,M$1,$A353,$A353))))</f>
        <v>#N/A Requesting Data...</v>
      </c>
      <c r="N353" s="8" t="str">
        <f>IF($A353="","",IF(ISNUMBER(FIND("IMPVOL",N$1)),_xll.BDH(config!$G$4,N$1,WORKDAY($A353,-1,config_Holiday_Calendar_US),WORKDAY($A353,-1,config_Holiday_Calendar_US)),IF(ISNUMBER(_xll.BDH(config!$G$4,N$1,$A353,$A353)),_xll.BDH(config!$G$4,N$1,$A353,$A353),_xll.BDH(config!$G$5,N$1,$A353,$A353))))</f>
        <v>#N/A Requesting Data...</v>
      </c>
      <c r="O353" s="8" t="str">
        <f>IF($A353="","",IF(ISNUMBER(FIND("IMPVOL",O$1)),_xll.BDH(config!$G$4,O$1,WORKDAY($A353,-1,config_Holiday_Calendar_US),WORKDAY($A353,-1,config_Holiday_Calendar_US)),IF(ISNUMBER(_xll.BDH(config!$G$4,O$1,$A353,$A353)),_xll.BDH(config!$G$4,O$1,$A353,$A353),_xll.BDH(config!$G$5,O$1,$A353,$A353))))</f>
        <v>#N/A Requesting Data...</v>
      </c>
      <c r="P353" s="8" t="str">
        <f>IF($A353="","",IF(ISNUMBER(FIND("IMPVOL",P$1)),_xll.BDH(config!$G$4,P$1,WORKDAY($A353,-1,config_Holiday_Calendar_US),WORKDAY($A353,-1,config_Holiday_Calendar_US)),IF(ISNUMBER(_xll.BDH(config!$G$4,P$1,$A353,$A353)),_xll.BDH(config!$G$4,P$1,$A353,$A353),_xll.BDH(config!$G$5,P$1,$A353,$A353))))</f>
        <v>#N/A Requesting Data...</v>
      </c>
      <c r="Q353" s="8">
        <f>IF($A353="","",IF(ISNUMBER(FIND("IMPVOL",Q$1)),_xll.BDH(config!$G$4,Q$1,WORKDAY($A353,-1,config_Holiday_Calendar_US),WORKDAY($A353,-1,config_Holiday_Calendar_US)),IF(ISNUMBER(_xll.BDH(config!$G$4,Q$1,$A353,$A353)),_xll.BDH(config!$G$4,Q$1,$A353,$A353),_xll.BDH(config!$G$5,Q$1,$A353,$A353))))</f>
        <v>47.43</v>
      </c>
      <c r="R353" s="8">
        <f>IF($A353="","",IF(ISNUMBER(FIND("IMPVOL",R$1)),_xll.BDH(config!$G$4,R$1,WORKDAY($A353,-1,config_Holiday_Calendar_US),WORKDAY($A353,-1,config_Holiday_Calendar_US)),IF(ISNUMBER(_xll.BDH(config!$G$4,R$1,$A353,$A353)),_xll.BDH(config!$G$4,R$1,$A353,$A353),_xll.BDH(config!$G$5,R$1,$A353,$A353))))</f>
        <v>38.409999999999997</v>
      </c>
      <c r="S353" s="8" t="str">
        <f>IF($A353="","",IF(ISNUMBER(FIND("IMPVOL",S$1)),_xll.BDH(config!$G$4,S$1,WORKDAY($A353,-1,config_Holiday_Calendar_US),WORKDAY($A353,-1,config_Holiday_Calendar_US)),IF(ISNUMBER(_xll.BDH(config!$G$4,S$1,$A353,$A353)),_xll.BDH(config!$G$4,S$1,$A353,$A353),_xll.BDH(config!$G$5,S$1,$A353,$A353))))</f>
        <v>#N/A Requesting Data...</v>
      </c>
      <c r="T353" s="8" t="str">
        <f>IF($A353="","",IF(ISNUMBER(FIND("IMPVOL",T$1)),_xll.BDH(config!$G$4,T$1,WORKDAY($A353,-1,config_Holiday_Calendar_US),WORKDAY($A353,-1,config_Holiday_Calendar_US)),IF(ISNUMBER(_xll.BDH(config!$G$4,T$1,$A353,$A353)),_xll.BDH(config!$G$4,T$1,$A353,$A353),_xll.BDH(config!$G$5,T$1,$A353,$A353))))</f>
        <v>#N/A Requesting Data...</v>
      </c>
      <c r="U353" s="8" t="str">
        <f>IF($A353="","",IF(ISNUMBER(FIND("IMPVOL",U$1)),_xll.BDH(config!$G$4,U$1,WORKDAY($A353,-1,config_Holiday_Calendar_US),WORKDAY($A353,-1,config_Holiday_Calendar_US)),IF(ISNUMBER(_xll.BDH(config!$G$4,U$1,$A353,$A353)),_xll.BDH(config!$G$4,U$1,$A353,$A353),_xll.BDH(config!$G$5,U$1,$A353,$A353))))</f>
        <v>#N/A Requesting Data...</v>
      </c>
      <c r="V353" s="8" t="str">
        <f>IF($A353="","",IF(ISNUMBER(FIND("IMPVOL",V$1)),_xll.BDH(config!$G$4,V$1,WORKDAY($A353,-1,config_Holiday_Calendar_US),WORKDAY($A353,-1,config_Holiday_Calendar_US)),IF(ISNUMBER(_xll.BDH(config!$G$4,V$1,$A353,$A353)),_xll.BDH(config!$G$4,V$1,$A353,$A353),_xll.BDH(config!$G$5,V$1,$A353,$A353))))</f>
        <v>#N/A Requesting Data...</v>
      </c>
      <c r="W353" s="8" t="str">
        <f>IF($A353="","",IF(ISNUMBER(FIND("IMPVOL",W$1)),_xll.BDH(config!$G$4,W$1,WORKDAY($A353,-1,config_Holiday_Calendar_US),WORKDAY($A353,-1,config_Holiday_Calendar_US)),IF(ISNUMBER(_xll.BDH(config!$G$4,W$1,$A353,$A353)),_xll.BDH(config!$G$4,W$1,$A353,$A353),_xll.BDH(config!$G$5,W$1,$A353,$A353))))</f>
        <v>#N/A Requesting Data...</v>
      </c>
    </row>
    <row r="354" spans="1:23" x14ac:dyDescent="0.2">
      <c r="A354" s="9">
        <f>IF(A353="","",IF(WORKDAY(A353,-1,config_Holiday_Calendar_US)&lt;config!$I$10,"",WORKDAY(A353,-1,config_Holiday_Calendar_US)))</f>
        <v>42314</v>
      </c>
      <c r="B354" s="8" t="e">
        <f t="shared" si="5"/>
        <v>#VALUE!</v>
      </c>
      <c r="C354" s="8" t="str">
        <f>IF(A354="","",_xll.BDH(config!$H$4,C$1,$A354,$A354))</f>
        <v>#N/A Requesting Data...</v>
      </c>
      <c r="D354" s="8" t="str">
        <f>IF($A354="","",_xll.BDH(config!$H$4,D$1,$A354,$A354))</f>
        <v>#N/A Requesting Data...</v>
      </c>
      <c r="E354" s="8">
        <f>IF($A354="","",IF(ISNUMBER(FIND("IMPVOL",E$1)),_xll.BDH(config!$G$4,E$1,WORKDAY($A354,-1,config_Holiday_Calendar_US),WORKDAY($A354,-1,config_Holiday_Calendar_US)),IF(ISNUMBER(_xll.BDH(config!$G$4,E$1,$A354,$A354)),_xll.BDH(config!$G$4,E$1,$A354,$A354),_xll.BDH(config!$G$5,E$1,$A354,$A354))))</f>
        <v>45.41</v>
      </c>
      <c r="F354" s="8">
        <f>IF($A354="","",IF(ISNUMBER(FIND("IMPVOL",F$1)),_xll.BDH(config!$G$4,F$1,WORKDAY($A354,-1,config_Holiday_Calendar_US),WORKDAY($A354,-1,config_Holiday_Calendar_US)),IF(ISNUMBER(_xll.BDH(config!$G$4,F$1,$A354,$A354)),_xll.BDH(config!$G$4,F$1,$A354,$A354),_xll.BDH(config!$G$5,F$1,$A354,$A354))))</f>
        <v>45.64</v>
      </c>
      <c r="G354" s="8">
        <f>IF($A354="","",IF(ISNUMBER(FIND("IMPVOL",G$1)),_xll.BDH(config!$G$4,G$1,WORKDAY($A354,-1,config_Holiday_Calendar_US),WORKDAY($A354,-1,config_Holiday_Calendar_US)),IF(ISNUMBER(_xll.BDH(config!$G$4,G$1,$A354,$A354)),_xll.BDH(config!$G$4,G$1,$A354,$A354),_xll.BDH(config!$G$5,G$1,$A354,$A354))))</f>
        <v>45.3</v>
      </c>
      <c r="H354" s="8">
        <f>IF($A354="","",IF(ISNUMBER(FIND("IMPVOL",H$1)),_xll.BDH(config!$G$4,H$1,WORKDAY($A354,-1,config_Holiday_Calendar_US),WORKDAY($A354,-1,config_Holiday_Calendar_US)),IF(ISNUMBER(_xll.BDH(config!$G$4,H$1,$A354,$A354)),_xll.BDH(config!$G$4,H$1,$A354,$A354),_xll.BDH(config!$G$5,H$1,$A354,$A354))))</f>
        <v>190627</v>
      </c>
      <c r="I354" s="8" t="str">
        <f>IF($A354="","",IF(ISNUMBER(FIND("IMPVOL",I$1)),_xll.BDH(config!$G$4,I$1,WORKDAY($A354,-1,config_Holiday_Calendar_US),WORKDAY($A354,-1,config_Holiday_Calendar_US)),IF(ISNUMBER(_xll.BDH(config!$G$4,I$1,$A354,$A354)),_xll.BDH(config!$G$4,I$1,$A354,$A354),_xll.BDH(config!$G$5,I$1,$A354,$A354))))</f>
        <v>#N/A Requesting Data...</v>
      </c>
      <c r="J354" s="8" t="str">
        <f>IF($A354="","",IF(ISNUMBER(FIND("IMPVOL",J$1)),_xll.BDH(config!$G$4,J$1,WORKDAY($A354,-1,config_Holiday_Calendar_US),WORKDAY($A354,-1,config_Holiday_Calendar_US)),IF(ISNUMBER(_xll.BDH(config!$G$4,J$1,$A354,$A354)),_xll.BDH(config!$G$4,J$1,$A354,$A354),_xll.BDH(config!$G$5,J$1,$A354,$A354))))</f>
        <v>#N/A Requesting Data...</v>
      </c>
      <c r="K354" s="8" t="str">
        <f>IF($A354="","",IF(ISNUMBER(FIND("IMPVOL",K$1)),_xll.BDH(config!$G$4,K$1,WORKDAY($A354,-1,config_Holiday_Calendar_US),WORKDAY($A354,-1,config_Holiday_Calendar_US)),IF(ISNUMBER(_xll.BDH(config!$G$4,K$1,$A354,$A354)),_xll.BDH(config!$G$4,K$1,$A354,$A354),_xll.BDH(config!$G$5,K$1,$A354,$A354))))</f>
        <v>#N/A Requesting Data...</v>
      </c>
      <c r="L354" s="8" t="str">
        <f>IF($A354="","",IF(ISNUMBER(FIND("IMPVOL",L$1)),_xll.BDH(config!$G$4,L$1,WORKDAY($A354,-1,config_Holiday_Calendar_US),WORKDAY($A354,-1,config_Holiday_Calendar_US)),IF(ISNUMBER(_xll.BDH(config!$G$4,L$1,$A354,$A354)),_xll.BDH(config!$G$4,L$1,$A354,$A354),_xll.BDH(config!$G$5,L$1,$A354,$A354))))</f>
        <v>#N/A Requesting Data...</v>
      </c>
      <c r="M354" s="8" t="str">
        <f>IF($A354="","",IF(ISNUMBER(FIND("IMPVOL",M$1)),_xll.BDH(config!$G$4,M$1,WORKDAY($A354,-1,config_Holiday_Calendar_US),WORKDAY($A354,-1,config_Holiday_Calendar_US)),IF(ISNUMBER(_xll.BDH(config!$G$4,M$1,$A354,$A354)),_xll.BDH(config!$G$4,M$1,$A354,$A354),_xll.BDH(config!$G$5,M$1,$A354,$A354))))</f>
        <v>#N/A Requesting Data...</v>
      </c>
      <c r="N354" s="8" t="str">
        <f>IF($A354="","",IF(ISNUMBER(FIND("IMPVOL",N$1)),_xll.BDH(config!$G$4,N$1,WORKDAY($A354,-1,config_Holiday_Calendar_US),WORKDAY($A354,-1,config_Holiday_Calendar_US)),IF(ISNUMBER(_xll.BDH(config!$G$4,N$1,$A354,$A354)),_xll.BDH(config!$G$4,N$1,$A354,$A354),_xll.BDH(config!$G$5,N$1,$A354,$A354))))</f>
        <v>#N/A Requesting Data...</v>
      </c>
      <c r="O354" s="8" t="str">
        <f>IF($A354="","",IF(ISNUMBER(FIND("IMPVOL",O$1)),_xll.BDH(config!$G$4,O$1,WORKDAY($A354,-1,config_Holiday_Calendar_US),WORKDAY($A354,-1,config_Holiday_Calendar_US)),IF(ISNUMBER(_xll.BDH(config!$G$4,O$1,$A354,$A354)),_xll.BDH(config!$G$4,O$1,$A354,$A354),_xll.BDH(config!$G$5,O$1,$A354,$A354))))</f>
        <v>#N/A Requesting Data...</v>
      </c>
      <c r="P354" s="8" t="str">
        <f>IF($A354="","",IF(ISNUMBER(FIND("IMPVOL",P$1)),_xll.BDH(config!$G$4,P$1,WORKDAY($A354,-1,config_Holiday_Calendar_US),WORKDAY($A354,-1,config_Holiday_Calendar_US)),IF(ISNUMBER(_xll.BDH(config!$G$4,P$1,$A354,$A354)),_xll.BDH(config!$G$4,P$1,$A354,$A354),_xll.BDH(config!$G$5,P$1,$A354,$A354))))</f>
        <v>#N/A Requesting Data...</v>
      </c>
      <c r="Q354" s="8">
        <f>IF($A354="","",IF(ISNUMBER(FIND("IMPVOL",Q$1)),_xll.BDH(config!$G$4,Q$1,WORKDAY($A354,-1,config_Holiday_Calendar_US),WORKDAY($A354,-1,config_Holiday_Calendar_US)),IF(ISNUMBER(_xll.BDH(config!$G$4,Q$1,$A354,$A354)),_xll.BDH(config!$G$4,Q$1,$A354,$A354),_xll.BDH(config!$G$5,Q$1,$A354,$A354))))</f>
        <v>48.4</v>
      </c>
      <c r="R354" s="8">
        <f>IF($A354="","",IF(ISNUMBER(FIND("IMPVOL",R$1)),_xll.BDH(config!$G$4,R$1,WORKDAY($A354,-1,config_Holiday_Calendar_US),WORKDAY($A354,-1,config_Holiday_Calendar_US)),IF(ISNUMBER(_xll.BDH(config!$G$4,R$1,$A354,$A354)),_xll.BDH(config!$G$4,R$1,$A354,$A354),_xll.BDH(config!$G$5,R$1,$A354,$A354))))</f>
        <v>38.69</v>
      </c>
      <c r="S354" s="8" t="str">
        <f>IF($A354="","",IF(ISNUMBER(FIND("IMPVOL",S$1)),_xll.BDH(config!$G$4,S$1,WORKDAY($A354,-1,config_Holiday_Calendar_US),WORKDAY($A354,-1,config_Holiday_Calendar_US)),IF(ISNUMBER(_xll.BDH(config!$G$4,S$1,$A354,$A354)),_xll.BDH(config!$G$4,S$1,$A354,$A354),_xll.BDH(config!$G$5,S$1,$A354,$A354))))</f>
        <v>#N/A Requesting Data...</v>
      </c>
      <c r="T354" s="8" t="str">
        <f>IF($A354="","",IF(ISNUMBER(FIND("IMPVOL",T$1)),_xll.BDH(config!$G$4,T$1,WORKDAY($A354,-1,config_Holiday_Calendar_US),WORKDAY($A354,-1,config_Holiday_Calendar_US)),IF(ISNUMBER(_xll.BDH(config!$G$4,T$1,$A354,$A354)),_xll.BDH(config!$G$4,T$1,$A354,$A354),_xll.BDH(config!$G$5,T$1,$A354,$A354))))</f>
        <v>#N/A Requesting Data...</v>
      </c>
      <c r="U354" s="8" t="str">
        <f>IF($A354="","",IF(ISNUMBER(FIND("IMPVOL",U$1)),_xll.BDH(config!$G$4,U$1,WORKDAY($A354,-1,config_Holiday_Calendar_US),WORKDAY($A354,-1,config_Holiday_Calendar_US)),IF(ISNUMBER(_xll.BDH(config!$G$4,U$1,$A354,$A354)),_xll.BDH(config!$G$4,U$1,$A354,$A354),_xll.BDH(config!$G$5,U$1,$A354,$A354))))</f>
        <v>#N/A Requesting Data...</v>
      </c>
      <c r="V354" s="8" t="str">
        <f>IF($A354="","",IF(ISNUMBER(FIND("IMPVOL",V$1)),_xll.BDH(config!$G$4,V$1,WORKDAY($A354,-1,config_Holiday_Calendar_US),WORKDAY($A354,-1,config_Holiday_Calendar_US)),IF(ISNUMBER(_xll.BDH(config!$G$4,V$1,$A354,$A354)),_xll.BDH(config!$G$4,V$1,$A354,$A354),_xll.BDH(config!$G$5,V$1,$A354,$A354))))</f>
        <v>#N/A Requesting Data...</v>
      </c>
      <c r="W354" s="8" t="str">
        <f>IF($A354="","",IF(ISNUMBER(FIND("IMPVOL",W$1)),_xll.BDH(config!$G$4,W$1,WORKDAY($A354,-1,config_Holiday_Calendar_US),WORKDAY($A354,-1,config_Holiday_Calendar_US)),IF(ISNUMBER(_xll.BDH(config!$G$4,W$1,$A354,$A354)),_xll.BDH(config!$G$4,W$1,$A354,$A354),_xll.BDH(config!$G$5,W$1,$A354,$A354))))</f>
        <v>#N/A Requesting Data...</v>
      </c>
    </row>
    <row r="355" spans="1:23" x14ac:dyDescent="0.2">
      <c r="A355" s="9">
        <f>IF(A354="","",IF(WORKDAY(A354,-1,config_Holiday_Calendar_US)&lt;config!$I$10,"",WORKDAY(A354,-1,config_Holiday_Calendar_US)))</f>
        <v>42313</v>
      </c>
      <c r="B355" s="8" t="e">
        <f t="shared" si="5"/>
        <v>#VALUE!</v>
      </c>
      <c r="C355" s="8" t="str">
        <f>IF(A355="","",_xll.BDH(config!$H$4,C$1,$A355,$A355))</f>
        <v>#N/A Requesting Data...</v>
      </c>
      <c r="D355" s="8" t="str">
        <f>IF($A355="","",_xll.BDH(config!$H$4,D$1,$A355,$A355))</f>
        <v>#N/A Requesting Data...</v>
      </c>
      <c r="E355" s="8">
        <f>IF($A355="","",IF(ISNUMBER(FIND("IMPVOL",E$1)),_xll.BDH(config!$G$4,E$1,WORKDAY($A355,-1,config_Holiday_Calendar_US),WORKDAY($A355,-1,config_Holiday_Calendar_US)),IF(ISNUMBER(_xll.BDH(config!$G$4,E$1,$A355,$A355)),_xll.BDH(config!$G$4,E$1,$A355,$A355),_xll.BDH(config!$G$5,E$1,$A355,$A355))))</f>
        <v>46.57</v>
      </c>
      <c r="F355" s="8">
        <f>IF($A355="","",IF(ISNUMBER(FIND("IMPVOL",F$1)),_xll.BDH(config!$G$4,F$1,WORKDAY($A355,-1,config_Holiday_Calendar_US),WORKDAY($A355,-1,config_Holiday_Calendar_US)),IF(ISNUMBER(_xll.BDH(config!$G$4,F$1,$A355,$A355)),_xll.BDH(config!$G$4,F$1,$A355,$A355),_xll.BDH(config!$G$5,F$1,$A355,$A355))))</f>
        <v>46.65</v>
      </c>
      <c r="G355" s="8">
        <f>IF($A355="","",IF(ISNUMBER(FIND("IMPVOL",G$1)),_xll.BDH(config!$G$4,G$1,WORKDAY($A355,-1,config_Holiday_Calendar_US),WORKDAY($A355,-1,config_Holiday_Calendar_US)),IF(ISNUMBER(_xll.BDH(config!$G$4,G$1,$A355,$A355)),_xll.BDH(config!$G$4,G$1,$A355,$A355),_xll.BDH(config!$G$5,G$1,$A355,$A355))))</f>
        <v>46.15</v>
      </c>
      <c r="H355" s="8">
        <f>IF($A355="","",IF(ISNUMBER(FIND("IMPVOL",H$1)),_xll.BDH(config!$G$4,H$1,WORKDAY($A355,-1,config_Holiday_Calendar_US),WORKDAY($A355,-1,config_Holiday_Calendar_US)),IF(ISNUMBER(_xll.BDH(config!$G$4,H$1,$A355,$A355)),_xll.BDH(config!$G$4,H$1,$A355,$A355),_xll.BDH(config!$G$5,H$1,$A355,$A355))))</f>
        <v>147577</v>
      </c>
      <c r="I355" s="8" t="str">
        <f>IF($A355="","",IF(ISNUMBER(FIND("IMPVOL",I$1)),_xll.BDH(config!$G$4,I$1,WORKDAY($A355,-1,config_Holiday_Calendar_US),WORKDAY($A355,-1,config_Holiday_Calendar_US)),IF(ISNUMBER(_xll.BDH(config!$G$4,I$1,$A355,$A355)),_xll.BDH(config!$G$4,I$1,$A355,$A355),_xll.BDH(config!$G$5,I$1,$A355,$A355))))</f>
        <v>#N/A Requesting Data...</v>
      </c>
      <c r="J355" s="8" t="str">
        <f>IF($A355="","",IF(ISNUMBER(FIND("IMPVOL",J$1)),_xll.BDH(config!$G$4,J$1,WORKDAY($A355,-1,config_Holiday_Calendar_US),WORKDAY($A355,-1,config_Holiday_Calendar_US)),IF(ISNUMBER(_xll.BDH(config!$G$4,J$1,$A355,$A355)),_xll.BDH(config!$G$4,J$1,$A355,$A355),_xll.BDH(config!$G$5,J$1,$A355,$A355))))</f>
        <v>#N/A Requesting Data...</v>
      </c>
      <c r="K355" s="8" t="str">
        <f>IF($A355="","",IF(ISNUMBER(FIND("IMPVOL",K$1)),_xll.BDH(config!$G$4,K$1,WORKDAY($A355,-1,config_Holiday_Calendar_US),WORKDAY($A355,-1,config_Holiday_Calendar_US)),IF(ISNUMBER(_xll.BDH(config!$G$4,K$1,$A355,$A355)),_xll.BDH(config!$G$4,K$1,$A355,$A355),_xll.BDH(config!$G$5,K$1,$A355,$A355))))</f>
        <v>#N/A Requesting Data...</v>
      </c>
      <c r="L355" s="8" t="str">
        <f>IF($A355="","",IF(ISNUMBER(FIND("IMPVOL",L$1)),_xll.BDH(config!$G$4,L$1,WORKDAY($A355,-1,config_Holiday_Calendar_US),WORKDAY($A355,-1,config_Holiday_Calendar_US)),IF(ISNUMBER(_xll.BDH(config!$G$4,L$1,$A355,$A355)),_xll.BDH(config!$G$4,L$1,$A355,$A355),_xll.BDH(config!$G$5,L$1,$A355,$A355))))</f>
        <v>#N/A Requesting Data...</v>
      </c>
      <c r="M355" s="8" t="str">
        <f>IF($A355="","",IF(ISNUMBER(FIND("IMPVOL",M$1)),_xll.BDH(config!$G$4,M$1,WORKDAY($A355,-1,config_Holiday_Calendar_US),WORKDAY($A355,-1,config_Holiday_Calendar_US)),IF(ISNUMBER(_xll.BDH(config!$G$4,M$1,$A355,$A355)),_xll.BDH(config!$G$4,M$1,$A355,$A355),_xll.BDH(config!$G$5,M$1,$A355,$A355))))</f>
        <v>#N/A Requesting Data...</v>
      </c>
      <c r="N355" s="8" t="str">
        <f>IF($A355="","",IF(ISNUMBER(FIND("IMPVOL",N$1)),_xll.BDH(config!$G$4,N$1,WORKDAY($A355,-1,config_Holiday_Calendar_US),WORKDAY($A355,-1,config_Holiday_Calendar_US)),IF(ISNUMBER(_xll.BDH(config!$G$4,N$1,$A355,$A355)),_xll.BDH(config!$G$4,N$1,$A355,$A355),_xll.BDH(config!$G$5,N$1,$A355,$A355))))</f>
        <v>#N/A Requesting Data...</v>
      </c>
      <c r="O355" s="8" t="str">
        <f>IF($A355="","",IF(ISNUMBER(FIND("IMPVOL",O$1)),_xll.BDH(config!$G$4,O$1,WORKDAY($A355,-1,config_Holiday_Calendar_US),WORKDAY($A355,-1,config_Holiday_Calendar_US)),IF(ISNUMBER(_xll.BDH(config!$G$4,O$1,$A355,$A355)),_xll.BDH(config!$G$4,O$1,$A355,$A355),_xll.BDH(config!$G$5,O$1,$A355,$A355))))</f>
        <v>#N/A Requesting Data...</v>
      </c>
      <c r="P355" s="8" t="str">
        <f>IF($A355="","",IF(ISNUMBER(FIND("IMPVOL",P$1)),_xll.BDH(config!$G$4,P$1,WORKDAY($A355,-1,config_Holiday_Calendar_US),WORKDAY($A355,-1,config_Holiday_Calendar_US)),IF(ISNUMBER(_xll.BDH(config!$G$4,P$1,$A355,$A355)),_xll.BDH(config!$G$4,P$1,$A355,$A355),_xll.BDH(config!$G$5,P$1,$A355,$A355))))</f>
        <v>#N/A Requesting Data...</v>
      </c>
      <c r="Q355" s="8">
        <f>IF($A355="","",IF(ISNUMBER(FIND("IMPVOL",Q$1)),_xll.BDH(config!$G$4,Q$1,WORKDAY($A355,-1,config_Holiday_Calendar_US),WORKDAY($A355,-1,config_Holiday_Calendar_US)),IF(ISNUMBER(_xll.BDH(config!$G$4,Q$1,$A355,$A355)),_xll.BDH(config!$G$4,Q$1,$A355,$A355),_xll.BDH(config!$G$5,Q$1,$A355,$A355))))</f>
        <v>47.94</v>
      </c>
      <c r="R355" s="8">
        <f>IF($A355="","",IF(ISNUMBER(FIND("IMPVOL",R$1)),_xll.BDH(config!$G$4,R$1,WORKDAY($A355,-1,config_Holiday_Calendar_US),WORKDAY($A355,-1,config_Holiday_Calendar_US)),IF(ISNUMBER(_xll.BDH(config!$G$4,R$1,$A355,$A355)),_xll.BDH(config!$G$4,R$1,$A355,$A355),_xll.BDH(config!$G$5,R$1,$A355,$A355))))</f>
        <v>39.36</v>
      </c>
      <c r="S355" s="8" t="str">
        <f>IF($A355="","",IF(ISNUMBER(FIND("IMPVOL",S$1)),_xll.BDH(config!$G$4,S$1,WORKDAY($A355,-1,config_Holiday_Calendar_US),WORKDAY($A355,-1,config_Holiday_Calendar_US)),IF(ISNUMBER(_xll.BDH(config!$G$4,S$1,$A355,$A355)),_xll.BDH(config!$G$4,S$1,$A355,$A355),_xll.BDH(config!$G$5,S$1,$A355,$A355))))</f>
        <v>#N/A Requesting Data...</v>
      </c>
      <c r="T355" s="8" t="str">
        <f>IF($A355="","",IF(ISNUMBER(FIND("IMPVOL",T$1)),_xll.BDH(config!$G$4,T$1,WORKDAY($A355,-1,config_Holiday_Calendar_US),WORKDAY($A355,-1,config_Holiday_Calendar_US)),IF(ISNUMBER(_xll.BDH(config!$G$4,T$1,$A355,$A355)),_xll.BDH(config!$G$4,T$1,$A355,$A355),_xll.BDH(config!$G$5,T$1,$A355,$A355))))</f>
        <v>#N/A Requesting Data...</v>
      </c>
      <c r="U355" s="8" t="str">
        <f>IF($A355="","",IF(ISNUMBER(FIND("IMPVOL",U$1)),_xll.BDH(config!$G$4,U$1,WORKDAY($A355,-1,config_Holiday_Calendar_US),WORKDAY($A355,-1,config_Holiday_Calendar_US)),IF(ISNUMBER(_xll.BDH(config!$G$4,U$1,$A355,$A355)),_xll.BDH(config!$G$4,U$1,$A355,$A355),_xll.BDH(config!$G$5,U$1,$A355,$A355))))</f>
        <v>#N/A Requesting Data...</v>
      </c>
      <c r="V355" s="8" t="str">
        <f>IF($A355="","",IF(ISNUMBER(FIND("IMPVOL",V$1)),_xll.BDH(config!$G$4,V$1,WORKDAY($A355,-1,config_Holiday_Calendar_US),WORKDAY($A355,-1,config_Holiday_Calendar_US)),IF(ISNUMBER(_xll.BDH(config!$G$4,V$1,$A355,$A355)),_xll.BDH(config!$G$4,V$1,$A355,$A355),_xll.BDH(config!$G$5,V$1,$A355,$A355))))</f>
        <v>#N/A Requesting Data...</v>
      </c>
      <c r="W355" s="8" t="str">
        <f>IF($A355="","",IF(ISNUMBER(FIND("IMPVOL",W$1)),_xll.BDH(config!$G$4,W$1,WORKDAY($A355,-1,config_Holiday_Calendar_US),WORKDAY($A355,-1,config_Holiday_Calendar_US)),IF(ISNUMBER(_xll.BDH(config!$G$4,W$1,$A355,$A355)),_xll.BDH(config!$G$4,W$1,$A355,$A355),_xll.BDH(config!$G$5,W$1,$A355,$A355))))</f>
        <v>#N/A Requesting Data...</v>
      </c>
    </row>
    <row r="356" spans="1:23" x14ac:dyDescent="0.2">
      <c r="A356" s="9">
        <f>IF(A355="","",IF(WORKDAY(A355,-1,config_Holiday_Calendar_US)&lt;config!$I$10,"",WORKDAY(A355,-1,config_Holiday_Calendar_US)))</f>
        <v>42312</v>
      </c>
      <c r="B356" s="8" t="e">
        <f t="shared" si="5"/>
        <v>#VALUE!</v>
      </c>
      <c r="C356" s="8" t="str">
        <f>IF(A356="","",_xll.BDH(config!$H$4,C$1,$A356,$A356))</f>
        <v>#N/A Requesting Data...</v>
      </c>
      <c r="D356" s="8" t="str">
        <f>IF($A356="","",_xll.BDH(config!$H$4,D$1,$A356,$A356))</f>
        <v>#N/A Requesting Data...</v>
      </c>
      <c r="E356" s="8">
        <f>IF($A356="","",IF(ISNUMBER(FIND("IMPVOL",E$1)),_xll.BDH(config!$G$4,E$1,WORKDAY($A356,-1,config_Holiday_Calendar_US),WORKDAY($A356,-1,config_Holiday_Calendar_US)),IF(ISNUMBER(_xll.BDH(config!$G$4,E$1,$A356,$A356)),_xll.BDH(config!$G$4,E$1,$A356,$A356),_xll.BDH(config!$G$5,E$1,$A356,$A356))))</f>
        <v>47.74</v>
      </c>
      <c r="F356" s="8">
        <f>IF($A356="","",IF(ISNUMBER(FIND("IMPVOL",F$1)),_xll.BDH(config!$G$4,F$1,WORKDAY($A356,-1,config_Holiday_Calendar_US),WORKDAY($A356,-1,config_Holiday_Calendar_US)),IF(ISNUMBER(_xll.BDH(config!$G$4,F$1,$A356,$A356)),_xll.BDH(config!$G$4,F$1,$A356,$A356),_xll.BDH(config!$G$5,F$1,$A356,$A356))))</f>
        <v>48.28</v>
      </c>
      <c r="G356" s="8">
        <f>IF($A356="","",IF(ISNUMBER(FIND("IMPVOL",G$1)),_xll.BDH(config!$G$4,G$1,WORKDAY($A356,-1,config_Holiday_Calendar_US),WORKDAY($A356,-1,config_Holiday_Calendar_US)),IF(ISNUMBER(_xll.BDH(config!$G$4,G$1,$A356,$A356)),_xll.BDH(config!$G$4,G$1,$A356,$A356),_xll.BDH(config!$G$5,G$1,$A356,$A356))))</f>
        <v>47.06</v>
      </c>
      <c r="H356" s="8">
        <f>IF($A356="","",IF(ISNUMBER(FIND("IMPVOL",H$1)),_xll.BDH(config!$G$4,H$1,WORKDAY($A356,-1,config_Holiday_Calendar_US),WORKDAY($A356,-1,config_Holiday_Calendar_US)),IF(ISNUMBER(_xll.BDH(config!$G$4,H$1,$A356,$A356)),_xll.BDH(config!$G$4,H$1,$A356,$A356),_xll.BDH(config!$G$5,H$1,$A356,$A356))))</f>
        <v>106894</v>
      </c>
      <c r="I356" s="8" t="str">
        <f>IF($A356="","",IF(ISNUMBER(FIND("IMPVOL",I$1)),_xll.BDH(config!$G$4,I$1,WORKDAY($A356,-1,config_Holiday_Calendar_US),WORKDAY($A356,-1,config_Holiday_Calendar_US)),IF(ISNUMBER(_xll.BDH(config!$G$4,I$1,$A356,$A356)),_xll.BDH(config!$G$4,I$1,$A356,$A356),_xll.BDH(config!$G$5,I$1,$A356,$A356))))</f>
        <v>#N/A Requesting Data...</v>
      </c>
      <c r="J356" s="8" t="str">
        <f>IF($A356="","",IF(ISNUMBER(FIND("IMPVOL",J$1)),_xll.BDH(config!$G$4,J$1,WORKDAY($A356,-1,config_Holiday_Calendar_US),WORKDAY($A356,-1,config_Holiday_Calendar_US)),IF(ISNUMBER(_xll.BDH(config!$G$4,J$1,$A356,$A356)),_xll.BDH(config!$G$4,J$1,$A356,$A356),_xll.BDH(config!$G$5,J$1,$A356,$A356))))</f>
        <v>#N/A Requesting Data...</v>
      </c>
      <c r="K356" s="8" t="str">
        <f>IF($A356="","",IF(ISNUMBER(FIND("IMPVOL",K$1)),_xll.BDH(config!$G$4,K$1,WORKDAY($A356,-1,config_Holiday_Calendar_US),WORKDAY($A356,-1,config_Holiday_Calendar_US)),IF(ISNUMBER(_xll.BDH(config!$G$4,K$1,$A356,$A356)),_xll.BDH(config!$G$4,K$1,$A356,$A356),_xll.BDH(config!$G$5,K$1,$A356,$A356))))</f>
        <v>#N/A Requesting Data...</v>
      </c>
      <c r="L356" s="8" t="str">
        <f>IF($A356="","",IF(ISNUMBER(FIND("IMPVOL",L$1)),_xll.BDH(config!$G$4,L$1,WORKDAY($A356,-1,config_Holiday_Calendar_US),WORKDAY($A356,-1,config_Holiday_Calendar_US)),IF(ISNUMBER(_xll.BDH(config!$G$4,L$1,$A356,$A356)),_xll.BDH(config!$G$4,L$1,$A356,$A356),_xll.BDH(config!$G$5,L$1,$A356,$A356))))</f>
        <v>#N/A Requesting Data...</v>
      </c>
      <c r="M356" s="8" t="str">
        <f>IF($A356="","",IF(ISNUMBER(FIND("IMPVOL",M$1)),_xll.BDH(config!$G$4,M$1,WORKDAY($A356,-1,config_Holiday_Calendar_US),WORKDAY($A356,-1,config_Holiday_Calendar_US)),IF(ISNUMBER(_xll.BDH(config!$G$4,M$1,$A356,$A356)),_xll.BDH(config!$G$4,M$1,$A356,$A356),_xll.BDH(config!$G$5,M$1,$A356,$A356))))</f>
        <v>#N/A Requesting Data...</v>
      </c>
      <c r="N356" s="8" t="str">
        <f>IF($A356="","",IF(ISNUMBER(FIND("IMPVOL",N$1)),_xll.BDH(config!$G$4,N$1,WORKDAY($A356,-1,config_Holiday_Calendar_US),WORKDAY($A356,-1,config_Holiday_Calendar_US)),IF(ISNUMBER(_xll.BDH(config!$G$4,N$1,$A356,$A356)),_xll.BDH(config!$G$4,N$1,$A356,$A356),_xll.BDH(config!$G$5,N$1,$A356,$A356))))</f>
        <v>#N/A Requesting Data...</v>
      </c>
      <c r="O356" s="8" t="str">
        <f>IF($A356="","",IF(ISNUMBER(FIND("IMPVOL",O$1)),_xll.BDH(config!$G$4,O$1,WORKDAY($A356,-1,config_Holiday_Calendar_US),WORKDAY($A356,-1,config_Holiday_Calendar_US)),IF(ISNUMBER(_xll.BDH(config!$G$4,O$1,$A356,$A356)),_xll.BDH(config!$G$4,O$1,$A356,$A356),_xll.BDH(config!$G$5,O$1,$A356,$A356))))</f>
        <v>#N/A Requesting Data...</v>
      </c>
      <c r="P356" s="8" t="str">
        <f>IF($A356="","",IF(ISNUMBER(FIND("IMPVOL",P$1)),_xll.BDH(config!$G$4,P$1,WORKDAY($A356,-1,config_Holiday_Calendar_US),WORKDAY($A356,-1,config_Holiday_Calendar_US)),IF(ISNUMBER(_xll.BDH(config!$G$4,P$1,$A356,$A356)),_xll.BDH(config!$G$4,P$1,$A356,$A356),_xll.BDH(config!$G$5,P$1,$A356,$A356))))</f>
        <v>#N/A Requesting Data...</v>
      </c>
      <c r="Q356" s="8">
        <f>IF($A356="","",IF(ISNUMBER(FIND("IMPVOL",Q$1)),_xll.BDH(config!$G$4,Q$1,WORKDAY($A356,-1,config_Holiday_Calendar_US),WORKDAY($A356,-1,config_Holiday_Calendar_US)),IF(ISNUMBER(_xll.BDH(config!$G$4,Q$1,$A356,$A356)),_xll.BDH(config!$G$4,Q$1,$A356,$A356),_xll.BDH(config!$G$5,Q$1,$A356,$A356))))</f>
        <v>47.06</v>
      </c>
      <c r="R356" s="8">
        <f>IF($A356="","",IF(ISNUMBER(FIND("IMPVOL",R$1)),_xll.BDH(config!$G$4,R$1,WORKDAY($A356,-1,config_Holiday_Calendar_US),WORKDAY($A356,-1,config_Holiday_Calendar_US)),IF(ISNUMBER(_xll.BDH(config!$G$4,R$1,$A356,$A356)),_xll.BDH(config!$G$4,R$1,$A356,$A356),_xll.BDH(config!$G$5,R$1,$A356,$A356))))</f>
        <v>39.08</v>
      </c>
      <c r="S356" s="8" t="str">
        <f>IF($A356="","",IF(ISNUMBER(FIND("IMPVOL",S$1)),_xll.BDH(config!$G$4,S$1,WORKDAY($A356,-1,config_Holiday_Calendar_US),WORKDAY($A356,-1,config_Holiday_Calendar_US)),IF(ISNUMBER(_xll.BDH(config!$G$4,S$1,$A356,$A356)),_xll.BDH(config!$G$4,S$1,$A356,$A356),_xll.BDH(config!$G$5,S$1,$A356,$A356))))</f>
        <v>#N/A Requesting Data...</v>
      </c>
      <c r="T356" s="8" t="str">
        <f>IF($A356="","",IF(ISNUMBER(FIND("IMPVOL",T$1)),_xll.BDH(config!$G$4,T$1,WORKDAY($A356,-1,config_Holiday_Calendar_US),WORKDAY($A356,-1,config_Holiday_Calendar_US)),IF(ISNUMBER(_xll.BDH(config!$G$4,T$1,$A356,$A356)),_xll.BDH(config!$G$4,T$1,$A356,$A356),_xll.BDH(config!$G$5,T$1,$A356,$A356))))</f>
        <v>#N/A Requesting Data...</v>
      </c>
      <c r="U356" s="8" t="str">
        <f>IF($A356="","",IF(ISNUMBER(FIND("IMPVOL",U$1)),_xll.BDH(config!$G$4,U$1,WORKDAY($A356,-1,config_Holiday_Calendar_US),WORKDAY($A356,-1,config_Holiday_Calendar_US)),IF(ISNUMBER(_xll.BDH(config!$G$4,U$1,$A356,$A356)),_xll.BDH(config!$G$4,U$1,$A356,$A356),_xll.BDH(config!$G$5,U$1,$A356,$A356))))</f>
        <v>#N/A Requesting Data...</v>
      </c>
      <c r="V356" s="8" t="str">
        <f>IF($A356="","",IF(ISNUMBER(FIND("IMPVOL",V$1)),_xll.BDH(config!$G$4,V$1,WORKDAY($A356,-1,config_Holiday_Calendar_US),WORKDAY($A356,-1,config_Holiday_Calendar_US)),IF(ISNUMBER(_xll.BDH(config!$G$4,V$1,$A356,$A356)),_xll.BDH(config!$G$4,V$1,$A356,$A356),_xll.BDH(config!$G$5,V$1,$A356,$A356))))</f>
        <v>#N/A Requesting Data...</v>
      </c>
      <c r="W356" s="8" t="str">
        <f>IF($A356="","",IF(ISNUMBER(FIND("IMPVOL",W$1)),_xll.BDH(config!$G$4,W$1,WORKDAY($A356,-1,config_Holiday_Calendar_US),WORKDAY($A356,-1,config_Holiday_Calendar_US)),IF(ISNUMBER(_xll.BDH(config!$G$4,W$1,$A356,$A356)),_xll.BDH(config!$G$4,W$1,$A356,$A356),_xll.BDH(config!$G$5,W$1,$A356,$A356))))</f>
        <v>#N/A Requesting Data...</v>
      </c>
    </row>
    <row r="357" spans="1:23" x14ac:dyDescent="0.2">
      <c r="A357" s="9">
        <f>IF(A356="","",IF(WORKDAY(A356,-1,config_Holiday_Calendar_US)&lt;config!$I$10,"",WORKDAY(A356,-1,config_Holiday_Calendar_US)))</f>
        <v>42311</v>
      </c>
      <c r="B357" s="8" t="e">
        <f t="shared" si="5"/>
        <v>#VALUE!</v>
      </c>
      <c r="C357" s="8" t="str">
        <f>IF(A357="","",_xll.BDH(config!$H$4,C$1,$A357,$A357))</f>
        <v>#N/A Requesting Data...</v>
      </c>
      <c r="D357" s="8" t="str">
        <f>IF($A357="","",_xll.BDH(config!$H$4,D$1,$A357,$A357))</f>
        <v>#N/A Requesting Data...</v>
      </c>
      <c r="E357" s="8">
        <f>IF($A357="","",IF(ISNUMBER(FIND("IMPVOL",E$1)),_xll.BDH(config!$G$4,E$1,WORKDAY($A357,-1,config_Holiday_Calendar_US),WORKDAY($A357,-1,config_Holiday_Calendar_US)),IF(ISNUMBER(_xll.BDH(config!$G$4,E$1,$A357,$A357)),_xll.BDH(config!$G$4,E$1,$A357,$A357),_xll.BDH(config!$G$5,E$1,$A357,$A357))))</f>
        <v>46.11</v>
      </c>
      <c r="F357" s="8">
        <f>IF($A357="","",IF(ISNUMBER(FIND("IMPVOL",F$1)),_xll.BDH(config!$G$4,F$1,WORKDAY($A357,-1,config_Holiday_Calendar_US),WORKDAY($A357,-1,config_Holiday_Calendar_US)),IF(ISNUMBER(_xll.BDH(config!$G$4,F$1,$A357,$A357)),_xll.BDH(config!$G$4,F$1,$A357,$A357),_xll.BDH(config!$G$5,F$1,$A357,$A357))))</f>
        <v>48.36</v>
      </c>
      <c r="G357" s="8">
        <f>IF($A357="","",IF(ISNUMBER(FIND("IMPVOL",G$1)),_xll.BDH(config!$G$4,G$1,WORKDAY($A357,-1,config_Holiday_Calendar_US),WORKDAY($A357,-1,config_Holiday_Calendar_US)),IF(ISNUMBER(_xll.BDH(config!$G$4,G$1,$A357,$A357)),_xll.BDH(config!$G$4,G$1,$A357,$A357),_xll.BDH(config!$G$5,G$1,$A357,$A357))))</f>
        <v>46.86</v>
      </c>
      <c r="H357" s="8">
        <f>IF($A357="","",IF(ISNUMBER(FIND("IMPVOL",H$1)),_xll.BDH(config!$G$4,H$1,WORKDAY($A357,-1,config_Holiday_Calendar_US),WORKDAY($A357,-1,config_Holiday_Calendar_US)),IF(ISNUMBER(_xll.BDH(config!$G$4,H$1,$A357,$A357)),_xll.BDH(config!$G$4,H$1,$A357,$A357),_xll.BDH(config!$G$5,H$1,$A357,$A357))))</f>
        <v>87734</v>
      </c>
      <c r="I357" s="8" t="str">
        <f>IF($A357="","",IF(ISNUMBER(FIND("IMPVOL",I$1)),_xll.BDH(config!$G$4,I$1,WORKDAY($A357,-1,config_Holiday_Calendar_US),WORKDAY($A357,-1,config_Holiday_Calendar_US)),IF(ISNUMBER(_xll.BDH(config!$G$4,I$1,$A357,$A357)),_xll.BDH(config!$G$4,I$1,$A357,$A357),_xll.BDH(config!$G$5,I$1,$A357,$A357))))</f>
        <v>#N/A Requesting Data...</v>
      </c>
      <c r="J357" s="8" t="str">
        <f>IF($A357="","",IF(ISNUMBER(FIND("IMPVOL",J$1)),_xll.BDH(config!$G$4,J$1,WORKDAY($A357,-1,config_Holiday_Calendar_US),WORKDAY($A357,-1,config_Holiday_Calendar_US)),IF(ISNUMBER(_xll.BDH(config!$G$4,J$1,$A357,$A357)),_xll.BDH(config!$G$4,J$1,$A357,$A357),_xll.BDH(config!$G$5,J$1,$A357,$A357))))</f>
        <v>#N/A Requesting Data...</v>
      </c>
      <c r="K357" s="8" t="str">
        <f>IF($A357="","",IF(ISNUMBER(FIND("IMPVOL",K$1)),_xll.BDH(config!$G$4,K$1,WORKDAY($A357,-1,config_Holiday_Calendar_US),WORKDAY($A357,-1,config_Holiday_Calendar_US)),IF(ISNUMBER(_xll.BDH(config!$G$4,K$1,$A357,$A357)),_xll.BDH(config!$G$4,K$1,$A357,$A357),_xll.BDH(config!$G$5,K$1,$A357,$A357))))</f>
        <v>#N/A Requesting Data...</v>
      </c>
      <c r="L357" s="8" t="str">
        <f>IF($A357="","",IF(ISNUMBER(FIND("IMPVOL",L$1)),_xll.BDH(config!$G$4,L$1,WORKDAY($A357,-1,config_Holiday_Calendar_US),WORKDAY($A357,-1,config_Holiday_Calendar_US)),IF(ISNUMBER(_xll.BDH(config!$G$4,L$1,$A357,$A357)),_xll.BDH(config!$G$4,L$1,$A357,$A357),_xll.BDH(config!$G$5,L$1,$A357,$A357))))</f>
        <v>#N/A Requesting Data...</v>
      </c>
      <c r="M357" s="8" t="str">
        <f>IF($A357="","",IF(ISNUMBER(FIND("IMPVOL",M$1)),_xll.BDH(config!$G$4,M$1,WORKDAY($A357,-1,config_Holiday_Calendar_US),WORKDAY($A357,-1,config_Holiday_Calendar_US)),IF(ISNUMBER(_xll.BDH(config!$G$4,M$1,$A357,$A357)),_xll.BDH(config!$G$4,M$1,$A357,$A357),_xll.BDH(config!$G$5,M$1,$A357,$A357))))</f>
        <v>#N/A Requesting Data...</v>
      </c>
      <c r="N357" s="8" t="str">
        <f>IF($A357="","",IF(ISNUMBER(FIND("IMPVOL",N$1)),_xll.BDH(config!$G$4,N$1,WORKDAY($A357,-1,config_Holiday_Calendar_US),WORKDAY($A357,-1,config_Holiday_Calendar_US)),IF(ISNUMBER(_xll.BDH(config!$G$4,N$1,$A357,$A357)),_xll.BDH(config!$G$4,N$1,$A357,$A357),_xll.BDH(config!$G$5,N$1,$A357,$A357))))</f>
        <v>#N/A Requesting Data...</v>
      </c>
      <c r="O357" s="8" t="str">
        <f>IF($A357="","",IF(ISNUMBER(FIND("IMPVOL",O$1)),_xll.BDH(config!$G$4,O$1,WORKDAY($A357,-1,config_Holiday_Calendar_US),WORKDAY($A357,-1,config_Holiday_Calendar_US)),IF(ISNUMBER(_xll.BDH(config!$G$4,O$1,$A357,$A357)),_xll.BDH(config!$G$4,O$1,$A357,$A357),_xll.BDH(config!$G$5,O$1,$A357,$A357))))</f>
        <v>#N/A Requesting Data...</v>
      </c>
      <c r="P357" s="8" t="str">
        <f>IF($A357="","",IF(ISNUMBER(FIND("IMPVOL",P$1)),_xll.BDH(config!$G$4,P$1,WORKDAY($A357,-1,config_Holiday_Calendar_US),WORKDAY($A357,-1,config_Holiday_Calendar_US)),IF(ISNUMBER(_xll.BDH(config!$G$4,P$1,$A357,$A357)),_xll.BDH(config!$G$4,P$1,$A357,$A357),_xll.BDH(config!$G$5,P$1,$A357,$A357))))</f>
        <v>#N/A Requesting Data...</v>
      </c>
      <c r="Q357" s="8">
        <f>IF($A357="","",IF(ISNUMBER(FIND("IMPVOL",Q$1)),_xll.BDH(config!$G$4,Q$1,WORKDAY($A357,-1,config_Holiday_Calendar_US),WORKDAY($A357,-1,config_Holiday_Calendar_US)),IF(ISNUMBER(_xll.BDH(config!$G$4,Q$1,$A357,$A357)),_xll.BDH(config!$G$4,Q$1,$A357,$A357),_xll.BDH(config!$G$5,Q$1,$A357,$A357))))</f>
        <v>41.83</v>
      </c>
      <c r="R357" s="8">
        <f>IF($A357="","",IF(ISNUMBER(FIND("IMPVOL",R$1)),_xll.BDH(config!$G$4,R$1,WORKDAY($A357,-1,config_Holiday_Calendar_US),WORKDAY($A357,-1,config_Holiday_Calendar_US)),IF(ISNUMBER(_xll.BDH(config!$G$4,R$1,$A357,$A357)),_xll.BDH(config!$G$4,R$1,$A357,$A357),_xll.BDH(config!$G$5,R$1,$A357,$A357))))</f>
        <v>37.630000000000003</v>
      </c>
      <c r="S357" s="8" t="str">
        <f>IF($A357="","",IF(ISNUMBER(FIND("IMPVOL",S$1)),_xll.BDH(config!$G$4,S$1,WORKDAY($A357,-1,config_Holiday_Calendar_US),WORKDAY($A357,-1,config_Holiday_Calendar_US)),IF(ISNUMBER(_xll.BDH(config!$G$4,S$1,$A357,$A357)),_xll.BDH(config!$G$4,S$1,$A357,$A357),_xll.BDH(config!$G$5,S$1,$A357,$A357))))</f>
        <v>#N/A Requesting Data...</v>
      </c>
      <c r="T357" s="8" t="str">
        <f>IF($A357="","",IF(ISNUMBER(FIND("IMPVOL",T$1)),_xll.BDH(config!$G$4,T$1,WORKDAY($A357,-1,config_Holiday_Calendar_US),WORKDAY($A357,-1,config_Holiday_Calendar_US)),IF(ISNUMBER(_xll.BDH(config!$G$4,T$1,$A357,$A357)),_xll.BDH(config!$G$4,T$1,$A357,$A357),_xll.BDH(config!$G$5,T$1,$A357,$A357))))</f>
        <v>#N/A Requesting Data...</v>
      </c>
      <c r="U357" s="8" t="str">
        <f>IF($A357="","",IF(ISNUMBER(FIND("IMPVOL",U$1)),_xll.BDH(config!$G$4,U$1,WORKDAY($A357,-1,config_Holiday_Calendar_US),WORKDAY($A357,-1,config_Holiday_Calendar_US)),IF(ISNUMBER(_xll.BDH(config!$G$4,U$1,$A357,$A357)),_xll.BDH(config!$G$4,U$1,$A357,$A357),_xll.BDH(config!$G$5,U$1,$A357,$A357))))</f>
        <v>#N/A Requesting Data...</v>
      </c>
      <c r="V357" s="8" t="str">
        <f>IF($A357="","",IF(ISNUMBER(FIND("IMPVOL",V$1)),_xll.BDH(config!$G$4,V$1,WORKDAY($A357,-1,config_Holiday_Calendar_US),WORKDAY($A357,-1,config_Holiday_Calendar_US)),IF(ISNUMBER(_xll.BDH(config!$G$4,V$1,$A357,$A357)),_xll.BDH(config!$G$4,V$1,$A357,$A357),_xll.BDH(config!$G$5,V$1,$A357,$A357))))</f>
        <v>#N/A Requesting Data...</v>
      </c>
      <c r="W357" s="8" t="str">
        <f>IF($A357="","",IF(ISNUMBER(FIND("IMPVOL",W$1)),_xll.BDH(config!$G$4,W$1,WORKDAY($A357,-1,config_Holiday_Calendar_US),WORKDAY($A357,-1,config_Holiday_Calendar_US)),IF(ISNUMBER(_xll.BDH(config!$G$4,W$1,$A357,$A357)),_xll.BDH(config!$G$4,W$1,$A357,$A357),_xll.BDH(config!$G$5,W$1,$A357,$A357))))</f>
        <v>#N/A Requesting Data...</v>
      </c>
    </row>
    <row r="358" spans="1:23" x14ac:dyDescent="0.2">
      <c r="A358" s="9">
        <f>IF(A357="","",IF(WORKDAY(A357,-1,config_Holiday_Calendar_US)&lt;config!$I$10,"",WORKDAY(A357,-1,config_Holiday_Calendar_US)))</f>
        <v>42310</v>
      </c>
      <c r="B358" s="8" t="e">
        <f t="shared" si="5"/>
        <v>#VALUE!</v>
      </c>
      <c r="C358" s="8" t="str">
        <f>IF(A358="","",_xll.BDH(config!$H$4,C$1,$A358,$A358))</f>
        <v>#N/A Requesting Data...</v>
      </c>
      <c r="D358" s="8" t="str">
        <f>IF($A358="","",_xll.BDH(config!$H$4,D$1,$A358,$A358))</f>
        <v>#N/A Requesting Data...</v>
      </c>
      <c r="E358" s="8">
        <f>IF($A358="","",IF(ISNUMBER(FIND("IMPVOL",E$1)),_xll.BDH(config!$G$4,E$1,WORKDAY($A358,-1,config_Holiday_Calendar_US),WORKDAY($A358,-1,config_Holiday_Calendar_US)),IF(ISNUMBER(_xll.BDH(config!$G$4,E$1,$A358,$A358)),_xll.BDH(config!$G$4,E$1,$A358,$A358),_xll.BDH(config!$G$5,E$1,$A358,$A358))))</f>
        <v>46.43</v>
      </c>
      <c r="F358" s="8">
        <f>IF($A358="","",IF(ISNUMBER(FIND("IMPVOL",F$1)),_xll.BDH(config!$G$4,F$1,WORKDAY($A358,-1,config_Holiday_Calendar_US),WORKDAY($A358,-1,config_Holiday_Calendar_US)),IF(ISNUMBER(_xll.BDH(config!$G$4,F$1,$A358,$A358)),_xll.BDH(config!$G$4,F$1,$A358,$A358),_xll.BDH(config!$G$5,F$1,$A358,$A358))))</f>
        <v>46.73</v>
      </c>
      <c r="G358" s="8">
        <f>IF($A358="","",IF(ISNUMBER(FIND("IMPVOL",G$1)),_xll.BDH(config!$G$4,G$1,WORKDAY($A358,-1,config_Holiday_Calendar_US),WORKDAY($A358,-1,config_Holiday_Calendar_US)),IF(ISNUMBER(_xll.BDH(config!$G$4,G$1,$A358,$A358)),_xll.BDH(config!$G$4,G$1,$A358,$A358),_xll.BDH(config!$G$5,G$1,$A358,$A358))))</f>
        <v>46.45</v>
      </c>
      <c r="H358" s="8">
        <f>IF($A358="","",IF(ISNUMBER(FIND("IMPVOL",H$1)),_xll.BDH(config!$G$4,H$1,WORKDAY($A358,-1,config_Holiday_Calendar_US),WORKDAY($A358,-1,config_Holiday_Calendar_US)),IF(ISNUMBER(_xll.BDH(config!$G$4,H$1,$A358,$A358)),_xll.BDH(config!$G$4,H$1,$A358,$A358),_xll.BDH(config!$G$5,H$1,$A358,$A358))))</f>
        <v>64618</v>
      </c>
      <c r="I358" s="8" t="str">
        <f>IF($A358="","",IF(ISNUMBER(FIND("IMPVOL",I$1)),_xll.BDH(config!$G$4,I$1,WORKDAY($A358,-1,config_Holiday_Calendar_US),WORKDAY($A358,-1,config_Holiday_Calendar_US)),IF(ISNUMBER(_xll.BDH(config!$G$4,I$1,$A358,$A358)),_xll.BDH(config!$G$4,I$1,$A358,$A358),_xll.BDH(config!$G$5,I$1,$A358,$A358))))</f>
        <v>#N/A Requesting Data...</v>
      </c>
      <c r="J358" s="8" t="str">
        <f>IF($A358="","",IF(ISNUMBER(FIND("IMPVOL",J$1)),_xll.BDH(config!$G$4,J$1,WORKDAY($A358,-1,config_Holiday_Calendar_US),WORKDAY($A358,-1,config_Holiday_Calendar_US)),IF(ISNUMBER(_xll.BDH(config!$G$4,J$1,$A358,$A358)),_xll.BDH(config!$G$4,J$1,$A358,$A358),_xll.BDH(config!$G$5,J$1,$A358,$A358))))</f>
        <v>#N/A Requesting Data...</v>
      </c>
      <c r="K358" s="8" t="str">
        <f>IF($A358="","",IF(ISNUMBER(FIND("IMPVOL",K$1)),_xll.BDH(config!$G$4,K$1,WORKDAY($A358,-1,config_Holiday_Calendar_US),WORKDAY($A358,-1,config_Holiday_Calendar_US)),IF(ISNUMBER(_xll.BDH(config!$G$4,K$1,$A358,$A358)),_xll.BDH(config!$G$4,K$1,$A358,$A358),_xll.BDH(config!$G$5,K$1,$A358,$A358))))</f>
        <v>#N/A Requesting Data...</v>
      </c>
      <c r="L358" s="8" t="str">
        <f>IF($A358="","",IF(ISNUMBER(FIND("IMPVOL",L$1)),_xll.BDH(config!$G$4,L$1,WORKDAY($A358,-1,config_Holiday_Calendar_US),WORKDAY($A358,-1,config_Holiday_Calendar_US)),IF(ISNUMBER(_xll.BDH(config!$G$4,L$1,$A358,$A358)),_xll.BDH(config!$G$4,L$1,$A358,$A358),_xll.BDH(config!$G$5,L$1,$A358,$A358))))</f>
        <v>#N/A Requesting Data...</v>
      </c>
      <c r="M358" s="8" t="str">
        <f>IF($A358="","",IF(ISNUMBER(FIND("IMPVOL",M$1)),_xll.BDH(config!$G$4,M$1,WORKDAY($A358,-1,config_Holiday_Calendar_US),WORKDAY($A358,-1,config_Holiday_Calendar_US)),IF(ISNUMBER(_xll.BDH(config!$G$4,M$1,$A358,$A358)),_xll.BDH(config!$G$4,M$1,$A358,$A358),_xll.BDH(config!$G$5,M$1,$A358,$A358))))</f>
        <v>#N/A Requesting Data...</v>
      </c>
      <c r="N358" s="8" t="str">
        <f>IF($A358="","",IF(ISNUMBER(FIND("IMPVOL",N$1)),_xll.BDH(config!$G$4,N$1,WORKDAY($A358,-1,config_Holiday_Calendar_US),WORKDAY($A358,-1,config_Holiday_Calendar_US)),IF(ISNUMBER(_xll.BDH(config!$G$4,N$1,$A358,$A358)),_xll.BDH(config!$G$4,N$1,$A358,$A358),_xll.BDH(config!$G$5,N$1,$A358,$A358))))</f>
        <v>#N/A Requesting Data...</v>
      </c>
      <c r="O358" s="8" t="str">
        <f>IF($A358="","",IF(ISNUMBER(FIND("IMPVOL",O$1)),_xll.BDH(config!$G$4,O$1,WORKDAY($A358,-1,config_Holiday_Calendar_US),WORKDAY($A358,-1,config_Holiday_Calendar_US)),IF(ISNUMBER(_xll.BDH(config!$G$4,O$1,$A358,$A358)),_xll.BDH(config!$G$4,O$1,$A358,$A358),_xll.BDH(config!$G$5,O$1,$A358,$A358))))</f>
        <v>#N/A Requesting Data...</v>
      </c>
      <c r="P358" s="8" t="str">
        <f>IF($A358="","",IF(ISNUMBER(FIND("IMPVOL",P$1)),_xll.BDH(config!$G$4,P$1,WORKDAY($A358,-1,config_Holiday_Calendar_US),WORKDAY($A358,-1,config_Holiday_Calendar_US)),IF(ISNUMBER(_xll.BDH(config!$G$4,P$1,$A358,$A358)),_xll.BDH(config!$G$4,P$1,$A358,$A358),_xll.BDH(config!$G$5,P$1,$A358,$A358))))</f>
        <v>#N/A Requesting Data...</v>
      </c>
      <c r="Q358" s="8">
        <f>IF($A358="","",IF(ISNUMBER(FIND("IMPVOL",Q$1)),_xll.BDH(config!$G$4,Q$1,WORKDAY($A358,-1,config_Holiday_Calendar_US),WORKDAY($A358,-1,config_Holiday_Calendar_US)),IF(ISNUMBER(_xll.BDH(config!$G$4,Q$1,$A358,$A358)),_xll.BDH(config!$G$4,Q$1,$A358,$A358),_xll.BDH(config!$G$5,Q$1,$A358,$A358))))</f>
        <v>38.17</v>
      </c>
      <c r="R358" s="8">
        <f>IF($A358="","",IF(ISNUMBER(FIND("IMPVOL",R$1)),_xll.BDH(config!$G$4,R$1,WORKDAY($A358,-1,config_Holiday_Calendar_US),WORKDAY($A358,-1,config_Holiday_Calendar_US)),IF(ISNUMBER(_xll.BDH(config!$G$4,R$1,$A358,$A358)),_xll.BDH(config!$G$4,R$1,$A358,$A358),_xll.BDH(config!$G$5,R$1,$A358,$A358))))</f>
        <v>37.159999999999997</v>
      </c>
      <c r="S358" s="8" t="str">
        <f>IF($A358="","",IF(ISNUMBER(FIND("IMPVOL",S$1)),_xll.BDH(config!$G$4,S$1,WORKDAY($A358,-1,config_Holiday_Calendar_US),WORKDAY($A358,-1,config_Holiday_Calendar_US)),IF(ISNUMBER(_xll.BDH(config!$G$4,S$1,$A358,$A358)),_xll.BDH(config!$G$4,S$1,$A358,$A358),_xll.BDH(config!$G$5,S$1,$A358,$A358))))</f>
        <v>#N/A Requesting Data...</v>
      </c>
      <c r="T358" s="8" t="str">
        <f>IF($A358="","",IF(ISNUMBER(FIND("IMPVOL",T$1)),_xll.BDH(config!$G$4,T$1,WORKDAY($A358,-1,config_Holiday_Calendar_US),WORKDAY($A358,-1,config_Holiday_Calendar_US)),IF(ISNUMBER(_xll.BDH(config!$G$4,T$1,$A358,$A358)),_xll.BDH(config!$G$4,T$1,$A358,$A358),_xll.BDH(config!$G$5,T$1,$A358,$A358))))</f>
        <v>#N/A Requesting Data...</v>
      </c>
      <c r="U358" s="8" t="str">
        <f>IF($A358="","",IF(ISNUMBER(FIND("IMPVOL",U$1)),_xll.BDH(config!$G$4,U$1,WORKDAY($A358,-1,config_Holiday_Calendar_US),WORKDAY($A358,-1,config_Holiday_Calendar_US)),IF(ISNUMBER(_xll.BDH(config!$G$4,U$1,$A358,$A358)),_xll.BDH(config!$G$4,U$1,$A358,$A358),_xll.BDH(config!$G$5,U$1,$A358,$A358))))</f>
        <v>#N/A Requesting Data...</v>
      </c>
      <c r="V358" s="8" t="str">
        <f>IF($A358="","",IF(ISNUMBER(FIND("IMPVOL",V$1)),_xll.BDH(config!$G$4,V$1,WORKDAY($A358,-1,config_Holiday_Calendar_US),WORKDAY($A358,-1,config_Holiday_Calendar_US)),IF(ISNUMBER(_xll.BDH(config!$G$4,V$1,$A358,$A358)),_xll.BDH(config!$G$4,V$1,$A358,$A358),_xll.BDH(config!$G$5,V$1,$A358,$A358))))</f>
        <v>#N/A Requesting Data...</v>
      </c>
      <c r="W358" s="8" t="str">
        <f>IF($A358="","",IF(ISNUMBER(FIND("IMPVOL",W$1)),_xll.BDH(config!$G$4,W$1,WORKDAY($A358,-1,config_Holiday_Calendar_US),WORKDAY($A358,-1,config_Holiday_Calendar_US)),IF(ISNUMBER(_xll.BDH(config!$G$4,W$1,$A358,$A358)),_xll.BDH(config!$G$4,W$1,$A358,$A358),_xll.BDH(config!$G$5,W$1,$A358,$A358))))</f>
        <v>#N/A Requesting Data...</v>
      </c>
    </row>
    <row r="359" spans="1:23" x14ac:dyDescent="0.2">
      <c r="A359" s="9">
        <f>IF(A358="","",IF(WORKDAY(A358,-1,config_Holiday_Calendar_US)&lt;config!$I$10,"",WORKDAY(A358,-1,config_Holiday_Calendar_US)))</f>
        <v>42307</v>
      </c>
      <c r="B359" s="8" t="e">
        <f t="shared" si="5"/>
        <v>#VALUE!</v>
      </c>
      <c r="C359" s="8" t="str">
        <f>IF(A359="","",_xll.BDH(config!$H$4,C$1,$A359,$A359))</f>
        <v>#N/A Requesting Data...</v>
      </c>
      <c r="D359" s="8" t="str">
        <f>IF($A359="","",_xll.BDH(config!$H$4,D$1,$A359,$A359))</f>
        <v>#N/A Requesting Data...</v>
      </c>
      <c r="E359" s="8">
        <f>IF($A359="","",IF(ISNUMBER(FIND("IMPVOL",E$1)),_xll.BDH(config!$G$4,E$1,WORKDAY($A359,-1,config_Holiday_Calendar_US),WORKDAY($A359,-1,config_Holiday_Calendar_US)),IF(ISNUMBER(_xll.BDH(config!$G$4,E$1,$A359,$A359)),_xll.BDH(config!$G$4,E$1,$A359,$A359),_xll.BDH(config!$G$5,E$1,$A359,$A359))))</f>
        <v>45.74</v>
      </c>
      <c r="F359" s="8">
        <f>IF($A359="","",IF(ISNUMBER(FIND("IMPVOL",F$1)),_xll.BDH(config!$G$4,F$1,WORKDAY($A359,-1,config_Holiday_Calendar_US),WORKDAY($A359,-1,config_Holiday_Calendar_US)),IF(ISNUMBER(_xll.BDH(config!$G$4,F$1,$A359,$A359)),_xll.BDH(config!$G$4,F$1,$A359,$A359),_xll.BDH(config!$G$5,F$1,$A359,$A359))))</f>
        <v>47.03</v>
      </c>
      <c r="G359" s="8">
        <f>IF($A359="","",IF(ISNUMBER(FIND("IMPVOL",G$1)),_xll.BDH(config!$G$4,G$1,WORKDAY($A359,-1,config_Holiday_Calendar_US),WORKDAY($A359,-1,config_Holiday_Calendar_US)),IF(ISNUMBER(_xll.BDH(config!$G$4,G$1,$A359,$A359)),_xll.BDH(config!$G$4,G$1,$A359,$A359),_xll.BDH(config!$G$5,G$1,$A359,$A359))))</f>
        <v>46.33</v>
      </c>
      <c r="H359" s="8">
        <f>IF($A359="","",IF(ISNUMBER(FIND("IMPVOL",H$1)),_xll.BDH(config!$G$4,H$1,WORKDAY($A359,-1,config_Holiday_Calendar_US),WORKDAY($A359,-1,config_Holiday_Calendar_US)),IF(ISNUMBER(_xll.BDH(config!$G$4,H$1,$A359,$A359)),_xll.BDH(config!$G$4,H$1,$A359,$A359),_xll.BDH(config!$G$5,H$1,$A359,$A359))))</f>
        <v>81093</v>
      </c>
      <c r="I359" s="8" t="str">
        <f>IF($A359="","",IF(ISNUMBER(FIND("IMPVOL",I$1)),_xll.BDH(config!$G$4,I$1,WORKDAY($A359,-1,config_Holiday_Calendar_US),WORKDAY($A359,-1,config_Holiday_Calendar_US)),IF(ISNUMBER(_xll.BDH(config!$G$4,I$1,$A359,$A359)),_xll.BDH(config!$G$4,I$1,$A359,$A359),_xll.BDH(config!$G$5,I$1,$A359,$A359))))</f>
        <v>#N/A Requesting Data...</v>
      </c>
      <c r="J359" s="8" t="str">
        <f>IF($A359="","",IF(ISNUMBER(FIND("IMPVOL",J$1)),_xll.BDH(config!$G$4,J$1,WORKDAY($A359,-1,config_Holiday_Calendar_US),WORKDAY($A359,-1,config_Holiday_Calendar_US)),IF(ISNUMBER(_xll.BDH(config!$G$4,J$1,$A359,$A359)),_xll.BDH(config!$G$4,J$1,$A359,$A359),_xll.BDH(config!$G$5,J$1,$A359,$A359))))</f>
        <v>#N/A Requesting Data...</v>
      </c>
      <c r="K359" s="8" t="str">
        <f>IF($A359="","",IF(ISNUMBER(FIND("IMPVOL",K$1)),_xll.BDH(config!$G$4,K$1,WORKDAY($A359,-1,config_Holiday_Calendar_US),WORKDAY($A359,-1,config_Holiday_Calendar_US)),IF(ISNUMBER(_xll.BDH(config!$G$4,K$1,$A359,$A359)),_xll.BDH(config!$G$4,K$1,$A359,$A359),_xll.BDH(config!$G$5,K$1,$A359,$A359))))</f>
        <v>#N/A Requesting Data...</v>
      </c>
      <c r="L359" s="8" t="str">
        <f>IF($A359="","",IF(ISNUMBER(FIND("IMPVOL",L$1)),_xll.BDH(config!$G$4,L$1,WORKDAY($A359,-1,config_Holiday_Calendar_US),WORKDAY($A359,-1,config_Holiday_Calendar_US)),IF(ISNUMBER(_xll.BDH(config!$G$4,L$1,$A359,$A359)),_xll.BDH(config!$G$4,L$1,$A359,$A359),_xll.BDH(config!$G$5,L$1,$A359,$A359))))</f>
        <v>#N/A Requesting Data...</v>
      </c>
      <c r="M359" s="8" t="str">
        <f>IF($A359="","",IF(ISNUMBER(FIND("IMPVOL",M$1)),_xll.BDH(config!$G$4,M$1,WORKDAY($A359,-1,config_Holiday_Calendar_US),WORKDAY($A359,-1,config_Holiday_Calendar_US)),IF(ISNUMBER(_xll.BDH(config!$G$4,M$1,$A359,$A359)),_xll.BDH(config!$G$4,M$1,$A359,$A359),_xll.BDH(config!$G$5,M$1,$A359,$A359))))</f>
        <v>#N/A Requesting Data...</v>
      </c>
      <c r="N359" s="8" t="str">
        <f>IF($A359="","",IF(ISNUMBER(FIND("IMPVOL",N$1)),_xll.BDH(config!$G$4,N$1,WORKDAY($A359,-1,config_Holiday_Calendar_US),WORKDAY($A359,-1,config_Holiday_Calendar_US)),IF(ISNUMBER(_xll.BDH(config!$G$4,N$1,$A359,$A359)),_xll.BDH(config!$G$4,N$1,$A359,$A359),_xll.BDH(config!$G$5,N$1,$A359,$A359))))</f>
        <v>#N/A Requesting Data...</v>
      </c>
      <c r="O359" s="8" t="str">
        <f>IF($A359="","",IF(ISNUMBER(FIND("IMPVOL",O$1)),_xll.BDH(config!$G$4,O$1,WORKDAY($A359,-1,config_Holiday_Calendar_US),WORKDAY($A359,-1,config_Holiday_Calendar_US)),IF(ISNUMBER(_xll.BDH(config!$G$4,O$1,$A359,$A359)),_xll.BDH(config!$G$4,O$1,$A359,$A359),_xll.BDH(config!$G$5,O$1,$A359,$A359))))</f>
        <v>#N/A Requesting Data...</v>
      </c>
      <c r="P359" s="8" t="str">
        <f>IF($A359="","",IF(ISNUMBER(FIND("IMPVOL",P$1)),_xll.BDH(config!$G$4,P$1,WORKDAY($A359,-1,config_Holiday_Calendar_US),WORKDAY($A359,-1,config_Holiday_Calendar_US)),IF(ISNUMBER(_xll.BDH(config!$G$4,P$1,$A359,$A359)),_xll.BDH(config!$G$4,P$1,$A359,$A359),_xll.BDH(config!$G$5,P$1,$A359,$A359))))</f>
        <v>#N/A Requesting Data...</v>
      </c>
      <c r="Q359" s="8">
        <f>IF($A359="","",IF(ISNUMBER(FIND("IMPVOL",Q$1)),_xll.BDH(config!$G$4,Q$1,WORKDAY($A359,-1,config_Holiday_Calendar_US),WORKDAY($A359,-1,config_Holiday_Calendar_US)),IF(ISNUMBER(_xll.BDH(config!$G$4,Q$1,$A359,$A359)),_xll.BDH(config!$G$4,Q$1,$A359,$A359),_xll.BDH(config!$G$5,Q$1,$A359,$A359))))</f>
        <v>37.630000000000003</v>
      </c>
      <c r="R359" s="8">
        <f>IF($A359="","",IF(ISNUMBER(FIND("IMPVOL",R$1)),_xll.BDH(config!$G$4,R$1,WORKDAY($A359,-1,config_Holiday_Calendar_US),WORKDAY($A359,-1,config_Holiday_Calendar_US)),IF(ISNUMBER(_xll.BDH(config!$G$4,R$1,$A359,$A359)),_xll.BDH(config!$G$4,R$1,$A359,$A359),_xll.BDH(config!$G$5,R$1,$A359,$A359))))</f>
        <v>37.26</v>
      </c>
      <c r="S359" s="8" t="str">
        <f>IF($A359="","",IF(ISNUMBER(FIND("IMPVOL",S$1)),_xll.BDH(config!$G$4,S$1,WORKDAY($A359,-1,config_Holiday_Calendar_US),WORKDAY($A359,-1,config_Holiday_Calendar_US)),IF(ISNUMBER(_xll.BDH(config!$G$4,S$1,$A359,$A359)),_xll.BDH(config!$G$4,S$1,$A359,$A359),_xll.BDH(config!$G$5,S$1,$A359,$A359))))</f>
        <v>#N/A Requesting Data...</v>
      </c>
      <c r="T359" s="8" t="str">
        <f>IF($A359="","",IF(ISNUMBER(FIND("IMPVOL",T$1)),_xll.BDH(config!$G$4,T$1,WORKDAY($A359,-1,config_Holiday_Calendar_US),WORKDAY($A359,-1,config_Holiday_Calendar_US)),IF(ISNUMBER(_xll.BDH(config!$G$4,T$1,$A359,$A359)),_xll.BDH(config!$G$4,T$1,$A359,$A359),_xll.BDH(config!$G$5,T$1,$A359,$A359))))</f>
        <v>#N/A Requesting Data...</v>
      </c>
      <c r="U359" s="8" t="str">
        <f>IF($A359="","",IF(ISNUMBER(FIND("IMPVOL",U$1)),_xll.BDH(config!$G$4,U$1,WORKDAY($A359,-1,config_Holiday_Calendar_US),WORKDAY($A359,-1,config_Holiday_Calendar_US)),IF(ISNUMBER(_xll.BDH(config!$G$4,U$1,$A359,$A359)),_xll.BDH(config!$G$4,U$1,$A359,$A359),_xll.BDH(config!$G$5,U$1,$A359,$A359))))</f>
        <v>#N/A Requesting Data...</v>
      </c>
      <c r="V359" s="8" t="str">
        <f>IF($A359="","",IF(ISNUMBER(FIND("IMPVOL",V$1)),_xll.BDH(config!$G$4,V$1,WORKDAY($A359,-1,config_Holiday_Calendar_US),WORKDAY($A359,-1,config_Holiday_Calendar_US)),IF(ISNUMBER(_xll.BDH(config!$G$4,V$1,$A359,$A359)),_xll.BDH(config!$G$4,V$1,$A359,$A359),_xll.BDH(config!$G$5,V$1,$A359,$A359))))</f>
        <v>#N/A Requesting Data...</v>
      </c>
      <c r="W359" s="8" t="str">
        <f>IF($A359="","",IF(ISNUMBER(FIND("IMPVOL",W$1)),_xll.BDH(config!$G$4,W$1,WORKDAY($A359,-1,config_Holiday_Calendar_US),WORKDAY($A359,-1,config_Holiday_Calendar_US)),IF(ISNUMBER(_xll.BDH(config!$G$4,W$1,$A359,$A359)),_xll.BDH(config!$G$4,W$1,$A359,$A359),_xll.BDH(config!$G$5,W$1,$A359,$A359))))</f>
        <v>#N/A Requesting Data...</v>
      </c>
    </row>
    <row r="360" spans="1:23" x14ac:dyDescent="0.2">
      <c r="A360" s="9">
        <f>IF(A359="","",IF(WORKDAY(A359,-1,config_Holiday_Calendar_US)&lt;config!$I$10,"",WORKDAY(A359,-1,config_Holiday_Calendar_US)))</f>
        <v>42306</v>
      </c>
      <c r="B360" s="8" t="e">
        <f t="shared" si="5"/>
        <v>#VALUE!</v>
      </c>
      <c r="C360" s="8" t="str">
        <f>IF(A360="","",_xll.BDH(config!$H$4,C$1,$A360,$A360))</f>
        <v>#N/A Requesting Data...</v>
      </c>
      <c r="D360" s="8" t="str">
        <f>IF($A360="","",_xll.BDH(config!$H$4,D$1,$A360,$A360))</f>
        <v>#N/A Requesting Data...</v>
      </c>
      <c r="E360" s="8">
        <f>IF($A360="","",IF(ISNUMBER(FIND("IMPVOL",E$1)),_xll.BDH(config!$G$4,E$1,WORKDAY($A360,-1,config_Holiday_Calendar_US),WORKDAY($A360,-1,config_Holiday_Calendar_US)),IF(ISNUMBER(_xll.BDH(config!$G$4,E$1,$A360,$A360)),_xll.BDH(config!$G$4,E$1,$A360,$A360),_xll.BDH(config!$G$5,E$1,$A360,$A360))))</f>
        <v>46.06</v>
      </c>
      <c r="F360" s="8">
        <f>IF($A360="","",IF(ISNUMBER(FIND("IMPVOL",F$1)),_xll.BDH(config!$G$4,F$1,WORKDAY($A360,-1,config_Holiday_Calendar_US),WORKDAY($A360,-1,config_Holiday_Calendar_US)),IF(ISNUMBER(_xll.BDH(config!$G$4,F$1,$A360,$A360)),_xll.BDH(config!$G$4,F$1,$A360,$A360),_xll.BDH(config!$G$5,F$1,$A360,$A360))))</f>
        <v>46.79</v>
      </c>
      <c r="G360" s="8">
        <f>IF($A360="","",IF(ISNUMBER(FIND("IMPVOL",G$1)),_xll.BDH(config!$G$4,G$1,WORKDAY($A360,-1,config_Holiday_Calendar_US),WORKDAY($A360,-1,config_Holiday_Calendar_US)),IF(ISNUMBER(_xll.BDH(config!$G$4,G$1,$A360,$A360)),_xll.BDH(config!$G$4,G$1,$A360,$A360),_xll.BDH(config!$G$5,G$1,$A360,$A360))))</f>
        <v>46.04</v>
      </c>
      <c r="H360" s="8">
        <f>IF($A360="","",IF(ISNUMBER(FIND("IMPVOL",H$1)),_xll.BDH(config!$G$4,H$1,WORKDAY($A360,-1,config_Holiday_Calendar_US),WORKDAY($A360,-1,config_Holiday_Calendar_US)),IF(ISNUMBER(_xll.BDH(config!$G$4,H$1,$A360,$A360)),_xll.BDH(config!$G$4,H$1,$A360,$A360),_xll.BDH(config!$G$5,H$1,$A360,$A360))))</f>
        <v>112802</v>
      </c>
      <c r="I360" s="8" t="str">
        <f>IF($A360="","",IF(ISNUMBER(FIND("IMPVOL",I$1)),_xll.BDH(config!$G$4,I$1,WORKDAY($A360,-1,config_Holiday_Calendar_US),WORKDAY($A360,-1,config_Holiday_Calendar_US)),IF(ISNUMBER(_xll.BDH(config!$G$4,I$1,$A360,$A360)),_xll.BDH(config!$G$4,I$1,$A360,$A360),_xll.BDH(config!$G$5,I$1,$A360,$A360))))</f>
        <v>#N/A Requesting Data...</v>
      </c>
      <c r="J360" s="8" t="str">
        <f>IF($A360="","",IF(ISNUMBER(FIND("IMPVOL",J$1)),_xll.BDH(config!$G$4,J$1,WORKDAY($A360,-1,config_Holiday_Calendar_US),WORKDAY($A360,-1,config_Holiday_Calendar_US)),IF(ISNUMBER(_xll.BDH(config!$G$4,J$1,$A360,$A360)),_xll.BDH(config!$G$4,J$1,$A360,$A360),_xll.BDH(config!$G$5,J$1,$A360,$A360))))</f>
        <v>#N/A Requesting Data...</v>
      </c>
      <c r="K360" s="8" t="str">
        <f>IF($A360="","",IF(ISNUMBER(FIND("IMPVOL",K$1)),_xll.BDH(config!$G$4,K$1,WORKDAY($A360,-1,config_Holiday_Calendar_US),WORKDAY($A360,-1,config_Holiday_Calendar_US)),IF(ISNUMBER(_xll.BDH(config!$G$4,K$1,$A360,$A360)),_xll.BDH(config!$G$4,K$1,$A360,$A360),_xll.BDH(config!$G$5,K$1,$A360,$A360))))</f>
        <v>#N/A Requesting Data...</v>
      </c>
      <c r="L360" s="8" t="str">
        <f>IF($A360="","",IF(ISNUMBER(FIND("IMPVOL",L$1)),_xll.BDH(config!$G$4,L$1,WORKDAY($A360,-1,config_Holiday_Calendar_US),WORKDAY($A360,-1,config_Holiday_Calendar_US)),IF(ISNUMBER(_xll.BDH(config!$G$4,L$1,$A360,$A360)),_xll.BDH(config!$G$4,L$1,$A360,$A360),_xll.BDH(config!$G$5,L$1,$A360,$A360))))</f>
        <v>#N/A Requesting Data...</v>
      </c>
      <c r="M360" s="8" t="str">
        <f>IF($A360="","",IF(ISNUMBER(FIND("IMPVOL",M$1)),_xll.BDH(config!$G$4,M$1,WORKDAY($A360,-1,config_Holiday_Calendar_US),WORKDAY($A360,-1,config_Holiday_Calendar_US)),IF(ISNUMBER(_xll.BDH(config!$G$4,M$1,$A360,$A360)),_xll.BDH(config!$G$4,M$1,$A360,$A360),_xll.BDH(config!$G$5,M$1,$A360,$A360))))</f>
        <v>#N/A Requesting Data...</v>
      </c>
      <c r="N360" s="8" t="str">
        <f>IF($A360="","",IF(ISNUMBER(FIND("IMPVOL",N$1)),_xll.BDH(config!$G$4,N$1,WORKDAY($A360,-1,config_Holiday_Calendar_US),WORKDAY($A360,-1,config_Holiday_Calendar_US)),IF(ISNUMBER(_xll.BDH(config!$G$4,N$1,$A360,$A360)),_xll.BDH(config!$G$4,N$1,$A360,$A360),_xll.BDH(config!$G$5,N$1,$A360,$A360))))</f>
        <v>#N/A Requesting Data...</v>
      </c>
      <c r="O360" s="8" t="str">
        <f>IF($A360="","",IF(ISNUMBER(FIND("IMPVOL",O$1)),_xll.BDH(config!$G$4,O$1,WORKDAY($A360,-1,config_Holiday_Calendar_US),WORKDAY($A360,-1,config_Holiday_Calendar_US)),IF(ISNUMBER(_xll.BDH(config!$G$4,O$1,$A360,$A360)),_xll.BDH(config!$G$4,O$1,$A360,$A360),_xll.BDH(config!$G$5,O$1,$A360,$A360))))</f>
        <v>#N/A Requesting Data...</v>
      </c>
      <c r="P360" s="8" t="str">
        <f>IF($A360="","",IF(ISNUMBER(FIND("IMPVOL",P$1)),_xll.BDH(config!$G$4,P$1,WORKDAY($A360,-1,config_Holiday_Calendar_US),WORKDAY($A360,-1,config_Holiday_Calendar_US)),IF(ISNUMBER(_xll.BDH(config!$G$4,P$1,$A360,$A360)),_xll.BDH(config!$G$4,P$1,$A360,$A360),_xll.BDH(config!$G$5,P$1,$A360,$A360))))</f>
        <v>#N/A Requesting Data...</v>
      </c>
      <c r="Q360" s="8">
        <f>IF($A360="","",IF(ISNUMBER(FIND("IMPVOL",Q$1)),_xll.BDH(config!$G$4,Q$1,WORKDAY($A360,-1,config_Holiday_Calendar_US),WORKDAY($A360,-1,config_Holiday_Calendar_US)),IF(ISNUMBER(_xll.BDH(config!$G$4,Q$1,$A360,$A360)),_xll.BDH(config!$G$4,Q$1,$A360,$A360),_xll.BDH(config!$G$5,Q$1,$A360,$A360))))</f>
        <v>41.06</v>
      </c>
      <c r="R360" s="8">
        <f>IF($A360="","",IF(ISNUMBER(FIND("IMPVOL",R$1)),_xll.BDH(config!$G$4,R$1,WORKDAY($A360,-1,config_Holiday_Calendar_US),WORKDAY($A360,-1,config_Holiday_Calendar_US)),IF(ISNUMBER(_xll.BDH(config!$G$4,R$1,$A360,$A360)),_xll.BDH(config!$G$4,R$1,$A360,$A360),_xll.BDH(config!$G$5,R$1,$A360,$A360))))</f>
        <v>39.18</v>
      </c>
      <c r="S360" s="8" t="str">
        <f>IF($A360="","",IF(ISNUMBER(FIND("IMPVOL",S$1)),_xll.BDH(config!$G$4,S$1,WORKDAY($A360,-1,config_Holiday_Calendar_US),WORKDAY($A360,-1,config_Holiday_Calendar_US)),IF(ISNUMBER(_xll.BDH(config!$G$4,S$1,$A360,$A360)),_xll.BDH(config!$G$4,S$1,$A360,$A360),_xll.BDH(config!$G$5,S$1,$A360,$A360))))</f>
        <v>#N/A Requesting Data...</v>
      </c>
      <c r="T360" s="8" t="str">
        <f>IF($A360="","",IF(ISNUMBER(FIND("IMPVOL",T$1)),_xll.BDH(config!$G$4,T$1,WORKDAY($A360,-1,config_Holiday_Calendar_US),WORKDAY($A360,-1,config_Holiday_Calendar_US)),IF(ISNUMBER(_xll.BDH(config!$G$4,T$1,$A360,$A360)),_xll.BDH(config!$G$4,T$1,$A360,$A360),_xll.BDH(config!$G$5,T$1,$A360,$A360))))</f>
        <v>#N/A Requesting Data...</v>
      </c>
      <c r="U360" s="8" t="str">
        <f>IF($A360="","",IF(ISNUMBER(FIND("IMPVOL",U$1)),_xll.BDH(config!$G$4,U$1,WORKDAY($A360,-1,config_Holiday_Calendar_US),WORKDAY($A360,-1,config_Holiday_Calendar_US)),IF(ISNUMBER(_xll.BDH(config!$G$4,U$1,$A360,$A360)),_xll.BDH(config!$G$4,U$1,$A360,$A360),_xll.BDH(config!$G$5,U$1,$A360,$A360))))</f>
        <v>#N/A Requesting Data...</v>
      </c>
      <c r="V360" s="8" t="str">
        <f>IF($A360="","",IF(ISNUMBER(FIND("IMPVOL",V$1)),_xll.BDH(config!$G$4,V$1,WORKDAY($A360,-1,config_Holiday_Calendar_US),WORKDAY($A360,-1,config_Holiday_Calendar_US)),IF(ISNUMBER(_xll.BDH(config!$G$4,V$1,$A360,$A360)),_xll.BDH(config!$G$4,V$1,$A360,$A360),_xll.BDH(config!$G$5,V$1,$A360,$A360))))</f>
        <v>#N/A Requesting Data...</v>
      </c>
      <c r="W360" s="8" t="str">
        <f>IF($A360="","",IF(ISNUMBER(FIND("IMPVOL",W$1)),_xll.BDH(config!$G$4,W$1,WORKDAY($A360,-1,config_Holiday_Calendar_US),WORKDAY($A360,-1,config_Holiday_Calendar_US)),IF(ISNUMBER(_xll.BDH(config!$G$4,W$1,$A360,$A360)),_xll.BDH(config!$G$4,W$1,$A360,$A360),_xll.BDH(config!$G$5,W$1,$A360,$A360))))</f>
        <v>#N/A Requesting Data...</v>
      </c>
    </row>
    <row r="361" spans="1:23" x14ac:dyDescent="0.2">
      <c r="A361" s="9">
        <f>IF(A360="","",IF(WORKDAY(A360,-1,config_Holiday_Calendar_US)&lt;config!$I$10,"",WORKDAY(A360,-1,config_Holiday_Calendar_US)))</f>
        <v>42305</v>
      </c>
      <c r="B361" s="8" t="e">
        <f t="shared" si="5"/>
        <v>#VALUE!</v>
      </c>
      <c r="C361" s="8" t="str">
        <f>IF(A361="","",_xll.BDH(config!$H$4,C$1,$A361,$A361))</f>
        <v>#N/A Requesting Data...</v>
      </c>
      <c r="D361" s="8" t="str">
        <f>IF($A361="","",_xll.BDH(config!$H$4,D$1,$A361,$A361))</f>
        <v>#N/A Requesting Data...</v>
      </c>
      <c r="E361" s="8">
        <f>IF($A361="","",IF(ISNUMBER(FIND("IMPVOL",E$1)),_xll.BDH(config!$G$4,E$1,WORKDAY($A361,-1,config_Holiday_Calendar_US),WORKDAY($A361,-1,config_Holiday_Calendar_US)),IF(ISNUMBER(_xll.BDH(config!$G$4,E$1,$A361,$A361)),_xll.BDH(config!$G$4,E$1,$A361,$A361),_xll.BDH(config!$G$5,E$1,$A361,$A361))))</f>
        <v>43.44</v>
      </c>
      <c r="F361" s="8">
        <f>IF($A361="","",IF(ISNUMBER(FIND("IMPVOL",F$1)),_xll.BDH(config!$G$4,F$1,WORKDAY($A361,-1,config_Holiday_Calendar_US),WORKDAY($A361,-1,config_Holiday_Calendar_US)),IF(ISNUMBER(_xll.BDH(config!$G$4,F$1,$A361,$A361)),_xll.BDH(config!$G$4,F$1,$A361,$A361),_xll.BDH(config!$G$5,F$1,$A361,$A361))))</f>
        <v>46.22</v>
      </c>
      <c r="G361" s="8">
        <f>IF($A361="","",IF(ISNUMBER(FIND("IMPVOL",G$1)),_xll.BDH(config!$G$4,G$1,WORKDAY($A361,-1,config_Holiday_Calendar_US),WORKDAY($A361,-1,config_Holiday_Calendar_US)),IF(ISNUMBER(_xll.BDH(config!$G$4,G$1,$A361,$A361)),_xll.BDH(config!$G$4,G$1,$A361,$A361),_xll.BDH(config!$G$5,G$1,$A361,$A361))))</f>
        <v>43.98</v>
      </c>
      <c r="H361" s="8">
        <f>IF($A361="","",IF(ISNUMBER(FIND("IMPVOL",H$1)),_xll.BDH(config!$G$4,H$1,WORKDAY($A361,-1,config_Holiday_Calendar_US),WORKDAY($A361,-1,config_Holiday_Calendar_US)),IF(ISNUMBER(_xll.BDH(config!$G$4,H$1,$A361,$A361)),_xll.BDH(config!$G$4,H$1,$A361,$A361),_xll.BDH(config!$G$5,H$1,$A361,$A361))))</f>
        <v>106680</v>
      </c>
      <c r="I361" s="8" t="str">
        <f>IF($A361="","",IF(ISNUMBER(FIND("IMPVOL",I$1)),_xll.BDH(config!$G$4,I$1,WORKDAY($A361,-1,config_Holiday_Calendar_US),WORKDAY($A361,-1,config_Holiday_Calendar_US)),IF(ISNUMBER(_xll.BDH(config!$G$4,I$1,$A361,$A361)),_xll.BDH(config!$G$4,I$1,$A361,$A361),_xll.BDH(config!$G$5,I$1,$A361,$A361))))</f>
        <v>#N/A Requesting Data...</v>
      </c>
      <c r="J361" s="8" t="str">
        <f>IF($A361="","",IF(ISNUMBER(FIND("IMPVOL",J$1)),_xll.BDH(config!$G$4,J$1,WORKDAY($A361,-1,config_Holiday_Calendar_US),WORKDAY($A361,-1,config_Holiday_Calendar_US)),IF(ISNUMBER(_xll.BDH(config!$G$4,J$1,$A361,$A361)),_xll.BDH(config!$G$4,J$1,$A361,$A361),_xll.BDH(config!$G$5,J$1,$A361,$A361))))</f>
        <v>#N/A Requesting Data...</v>
      </c>
      <c r="K361" s="8" t="str">
        <f>IF($A361="","",IF(ISNUMBER(FIND("IMPVOL",K$1)),_xll.BDH(config!$G$4,K$1,WORKDAY($A361,-1,config_Holiday_Calendar_US),WORKDAY($A361,-1,config_Holiday_Calendar_US)),IF(ISNUMBER(_xll.BDH(config!$G$4,K$1,$A361,$A361)),_xll.BDH(config!$G$4,K$1,$A361,$A361),_xll.BDH(config!$G$5,K$1,$A361,$A361))))</f>
        <v>#N/A Requesting Data...</v>
      </c>
      <c r="L361" s="8" t="str">
        <f>IF($A361="","",IF(ISNUMBER(FIND("IMPVOL",L$1)),_xll.BDH(config!$G$4,L$1,WORKDAY($A361,-1,config_Holiday_Calendar_US),WORKDAY($A361,-1,config_Holiday_Calendar_US)),IF(ISNUMBER(_xll.BDH(config!$G$4,L$1,$A361,$A361)),_xll.BDH(config!$G$4,L$1,$A361,$A361),_xll.BDH(config!$G$5,L$1,$A361,$A361))))</f>
        <v>#N/A Requesting Data...</v>
      </c>
      <c r="M361" s="8" t="str">
        <f>IF($A361="","",IF(ISNUMBER(FIND("IMPVOL",M$1)),_xll.BDH(config!$G$4,M$1,WORKDAY($A361,-1,config_Holiday_Calendar_US),WORKDAY($A361,-1,config_Holiday_Calendar_US)),IF(ISNUMBER(_xll.BDH(config!$G$4,M$1,$A361,$A361)),_xll.BDH(config!$G$4,M$1,$A361,$A361),_xll.BDH(config!$G$5,M$1,$A361,$A361))))</f>
        <v>#N/A Requesting Data...</v>
      </c>
      <c r="N361" s="8" t="str">
        <f>IF($A361="","",IF(ISNUMBER(FIND("IMPVOL",N$1)),_xll.BDH(config!$G$4,N$1,WORKDAY($A361,-1,config_Holiday_Calendar_US),WORKDAY($A361,-1,config_Holiday_Calendar_US)),IF(ISNUMBER(_xll.BDH(config!$G$4,N$1,$A361,$A361)),_xll.BDH(config!$G$4,N$1,$A361,$A361),_xll.BDH(config!$G$5,N$1,$A361,$A361))))</f>
        <v>#N/A Requesting Data...</v>
      </c>
      <c r="O361" s="8" t="str">
        <f>IF($A361="","",IF(ISNUMBER(FIND("IMPVOL",O$1)),_xll.BDH(config!$G$4,O$1,WORKDAY($A361,-1,config_Holiday_Calendar_US),WORKDAY($A361,-1,config_Holiday_Calendar_US)),IF(ISNUMBER(_xll.BDH(config!$G$4,O$1,$A361,$A361)),_xll.BDH(config!$G$4,O$1,$A361,$A361),_xll.BDH(config!$G$5,O$1,$A361,$A361))))</f>
        <v>#N/A Requesting Data...</v>
      </c>
      <c r="P361" s="8" t="str">
        <f>IF($A361="","",IF(ISNUMBER(FIND("IMPVOL",P$1)),_xll.BDH(config!$G$4,P$1,WORKDAY($A361,-1,config_Holiday_Calendar_US),WORKDAY($A361,-1,config_Holiday_Calendar_US)),IF(ISNUMBER(_xll.BDH(config!$G$4,P$1,$A361,$A361)),_xll.BDH(config!$G$4,P$1,$A361,$A361),_xll.BDH(config!$G$5,P$1,$A361,$A361))))</f>
        <v>#N/A Requesting Data...</v>
      </c>
      <c r="Q361" s="8">
        <f>IF($A361="","",IF(ISNUMBER(FIND("IMPVOL",Q$1)),_xll.BDH(config!$G$4,Q$1,WORKDAY($A361,-1,config_Holiday_Calendar_US),WORKDAY($A361,-1,config_Holiday_Calendar_US)),IF(ISNUMBER(_xll.BDH(config!$G$4,Q$1,$A361,$A361)),_xll.BDH(config!$G$4,Q$1,$A361,$A361),_xll.BDH(config!$G$5,Q$1,$A361,$A361))))</f>
        <v>42.44</v>
      </c>
      <c r="R361" s="8">
        <f>IF($A361="","",IF(ISNUMBER(FIND("IMPVOL",R$1)),_xll.BDH(config!$G$4,R$1,WORKDAY($A361,-1,config_Holiday_Calendar_US),WORKDAY($A361,-1,config_Holiday_Calendar_US)),IF(ISNUMBER(_xll.BDH(config!$G$4,R$1,$A361,$A361)),_xll.BDH(config!$G$4,R$1,$A361,$A361),_xll.BDH(config!$G$5,R$1,$A361,$A361))))</f>
        <v>41.81</v>
      </c>
      <c r="S361" s="8" t="str">
        <f>IF($A361="","",IF(ISNUMBER(FIND("IMPVOL",S$1)),_xll.BDH(config!$G$4,S$1,WORKDAY($A361,-1,config_Holiday_Calendar_US),WORKDAY($A361,-1,config_Holiday_Calendar_US)),IF(ISNUMBER(_xll.BDH(config!$G$4,S$1,$A361,$A361)),_xll.BDH(config!$G$4,S$1,$A361,$A361),_xll.BDH(config!$G$5,S$1,$A361,$A361))))</f>
        <v>#N/A Requesting Data...</v>
      </c>
      <c r="T361" s="8" t="str">
        <f>IF($A361="","",IF(ISNUMBER(FIND("IMPVOL",T$1)),_xll.BDH(config!$G$4,T$1,WORKDAY($A361,-1,config_Holiday_Calendar_US),WORKDAY($A361,-1,config_Holiday_Calendar_US)),IF(ISNUMBER(_xll.BDH(config!$G$4,T$1,$A361,$A361)),_xll.BDH(config!$G$4,T$1,$A361,$A361),_xll.BDH(config!$G$5,T$1,$A361,$A361))))</f>
        <v>#N/A Requesting Data...</v>
      </c>
      <c r="U361" s="8" t="str">
        <f>IF($A361="","",IF(ISNUMBER(FIND("IMPVOL",U$1)),_xll.BDH(config!$G$4,U$1,WORKDAY($A361,-1,config_Holiday_Calendar_US),WORKDAY($A361,-1,config_Holiday_Calendar_US)),IF(ISNUMBER(_xll.BDH(config!$G$4,U$1,$A361,$A361)),_xll.BDH(config!$G$4,U$1,$A361,$A361),_xll.BDH(config!$G$5,U$1,$A361,$A361))))</f>
        <v>#N/A Requesting Data...</v>
      </c>
      <c r="V361" s="8" t="str">
        <f>IF($A361="","",IF(ISNUMBER(FIND("IMPVOL",V$1)),_xll.BDH(config!$G$4,V$1,WORKDAY($A361,-1,config_Holiday_Calendar_US),WORKDAY($A361,-1,config_Holiday_Calendar_US)),IF(ISNUMBER(_xll.BDH(config!$G$4,V$1,$A361,$A361)),_xll.BDH(config!$G$4,V$1,$A361,$A361),_xll.BDH(config!$G$5,V$1,$A361,$A361))))</f>
        <v>#N/A Requesting Data...</v>
      </c>
      <c r="W361" s="8" t="str">
        <f>IF($A361="","",IF(ISNUMBER(FIND("IMPVOL",W$1)),_xll.BDH(config!$G$4,W$1,WORKDAY($A361,-1,config_Holiday_Calendar_US),WORKDAY($A361,-1,config_Holiday_Calendar_US)),IF(ISNUMBER(_xll.BDH(config!$G$4,W$1,$A361,$A361)),_xll.BDH(config!$G$4,W$1,$A361,$A361),_xll.BDH(config!$G$5,W$1,$A361,$A361))))</f>
        <v>#N/A Requesting Data...</v>
      </c>
    </row>
    <row r="362" spans="1:23" x14ac:dyDescent="0.2">
      <c r="A362" s="9">
        <f>IF(A361="","",IF(WORKDAY(A361,-1,config_Holiday_Calendar_US)&lt;config!$I$10,"",WORKDAY(A361,-1,config_Holiday_Calendar_US)))</f>
        <v>42304</v>
      </c>
      <c r="B362" s="8" t="e">
        <f t="shared" si="5"/>
        <v>#VALUE!</v>
      </c>
      <c r="C362" s="8" t="str">
        <f>IF(A362="","",_xll.BDH(config!$H$4,C$1,$A362,$A362))</f>
        <v>#N/A Requesting Data...</v>
      </c>
      <c r="D362" s="8" t="str">
        <f>IF($A362="","",_xll.BDH(config!$H$4,D$1,$A362,$A362))</f>
        <v>#N/A Requesting Data...</v>
      </c>
      <c r="E362" s="8">
        <f>IF($A362="","",IF(ISNUMBER(FIND("IMPVOL",E$1)),_xll.BDH(config!$G$4,E$1,WORKDAY($A362,-1,config_Holiday_Calendar_US),WORKDAY($A362,-1,config_Holiday_Calendar_US)),IF(ISNUMBER(_xll.BDH(config!$G$4,E$1,$A362,$A362)),_xll.BDH(config!$G$4,E$1,$A362,$A362),_xll.BDH(config!$G$5,E$1,$A362,$A362))))</f>
        <v>43.78</v>
      </c>
      <c r="F362" s="8">
        <f>IF($A362="","",IF(ISNUMBER(FIND("IMPVOL",F$1)),_xll.BDH(config!$G$4,F$1,WORKDAY($A362,-1,config_Holiday_Calendar_US),WORKDAY($A362,-1,config_Holiday_Calendar_US)),IF(ISNUMBER(_xll.BDH(config!$G$4,F$1,$A362,$A362)),_xll.BDH(config!$G$4,F$1,$A362,$A362),_xll.BDH(config!$G$5,F$1,$A362,$A362))))</f>
        <v>43.91</v>
      </c>
      <c r="G362" s="8">
        <f>IF($A362="","",IF(ISNUMBER(FIND("IMPVOL",G$1)),_xll.BDH(config!$G$4,G$1,WORKDAY($A362,-1,config_Holiday_Calendar_US),WORKDAY($A362,-1,config_Holiday_Calendar_US)),IF(ISNUMBER(_xll.BDH(config!$G$4,G$1,$A362,$A362)),_xll.BDH(config!$G$4,G$1,$A362,$A362),_xll.BDH(config!$G$5,G$1,$A362,$A362))))</f>
        <v>43.52</v>
      </c>
      <c r="H362" s="8">
        <f>IF($A362="","",IF(ISNUMBER(FIND("IMPVOL",H$1)),_xll.BDH(config!$G$4,H$1,WORKDAY($A362,-1,config_Holiday_Calendar_US),WORKDAY($A362,-1,config_Holiday_Calendar_US)),IF(ISNUMBER(_xll.BDH(config!$G$4,H$1,$A362,$A362)),_xll.BDH(config!$G$4,H$1,$A362,$A362),_xll.BDH(config!$G$5,H$1,$A362,$A362))))</f>
        <v>86545</v>
      </c>
      <c r="I362" s="8" t="str">
        <f>IF($A362="","",IF(ISNUMBER(FIND("IMPVOL",I$1)),_xll.BDH(config!$G$4,I$1,WORKDAY($A362,-1,config_Holiday_Calendar_US),WORKDAY($A362,-1,config_Holiday_Calendar_US)),IF(ISNUMBER(_xll.BDH(config!$G$4,I$1,$A362,$A362)),_xll.BDH(config!$G$4,I$1,$A362,$A362),_xll.BDH(config!$G$5,I$1,$A362,$A362))))</f>
        <v>#N/A Requesting Data...</v>
      </c>
      <c r="J362" s="8" t="str">
        <f>IF($A362="","",IF(ISNUMBER(FIND("IMPVOL",J$1)),_xll.BDH(config!$G$4,J$1,WORKDAY($A362,-1,config_Holiday_Calendar_US),WORKDAY($A362,-1,config_Holiday_Calendar_US)),IF(ISNUMBER(_xll.BDH(config!$G$4,J$1,$A362,$A362)),_xll.BDH(config!$G$4,J$1,$A362,$A362),_xll.BDH(config!$G$5,J$1,$A362,$A362))))</f>
        <v>#N/A Requesting Data...</v>
      </c>
      <c r="K362" s="8" t="str">
        <f>IF($A362="","",IF(ISNUMBER(FIND("IMPVOL",K$1)),_xll.BDH(config!$G$4,K$1,WORKDAY($A362,-1,config_Holiday_Calendar_US),WORKDAY($A362,-1,config_Holiday_Calendar_US)),IF(ISNUMBER(_xll.BDH(config!$G$4,K$1,$A362,$A362)),_xll.BDH(config!$G$4,K$1,$A362,$A362),_xll.BDH(config!$G$5,K$1,$A362,$A362))))</f>
        <v>#N/A Requesting Data...</v>
      </c>
      <c r="L362" s="8" t="str">
        <f>IF($A362="","",IF(ISNUMBER(FIND("IMPVOL",L$1)),_xll.BDH(config!$G$4,L$1,WORKDAY($A362,-1,config_Holiday_Calendar_US),WORKDAY($A362,-1,config_Holiday_Calendar_US)),IF(ISNUMBER(_xll.BDH(config!$G$4,L$1,$A362,$A362)),_xll.BDH(config!$G$4,L$1,$A362,$A362),_xll.BDH(config!$G$5,L$1,$A362,$A362))))</f>
        <v>#N/A Requesting Data...</v>
      </c>
      <c r="M362" s="8" t="str">
        <f>IF($A362="","",IF(ISNUMBER(FIND("IMPVOL",M$1)),_xll.BDH(config!$G$4,M$1,WORKDAY($A362,-1,config_Holiday_Calendar_US),WORKDAY($A362,-1,config_Holiday_Calendar_US)),IF(ISNUMBER(_xll.BDH(config!$G$4,M$1,$A362,$A362)),_xll.BDH(config!$G$4,M$1,$A362,$A362),_xll.BDH(config!$G$5,M$1,$A362,$A362))))</f>
        <v>#N/A Requesting Data...</v>
      </c>
      <c r="N362" s="8" t="str">
        <f>IF($A362="","",IF(ISNUMBER(FIND("IMPVOL",N$1)),_xll.BDH(config!$G$4,N$1,WORKDAY($A362,-1,config_Holiday_Calendar_US),WORKDAY($A362,-1,config_Holiday_Calendar_US)),IF(ISNUMBER(_xll.BDH(config!$G$4,N$1,$A362,$A362)),_xll.BDH(config!$G$4,N$1,$A362,$A362),_xll.BDH(config!$G$5,N$1,$A362,$A362))))</f>
        <v>#N/A Requesting Data...</v>
      </c>
      <c r="O362" s="8" t="str">
        <f>IF($A362="","",IF(ISNUMBER(FIND("IMPVOL",O$1)),_xll.BDH(config!$G$4,O$1,WORKDAY($A362,-1,config_Holiday_Calendar_US),WORKDAY($A362,-1,config_Holiday_Calendar_US)),IF(ISNUMBER(_xll.BDH(config!$G$4,O$1,$A362,$A362)),_xll.BDH(config!$G$4,O$1,$A362,$A362),_xll.BDH(config!$G$5,O$1,$A362,$A362))))</f>
        <v>#N/A Requesting Data...</v>
      </c>
      <c r="P362" s="8" t="str">
        <f>IF($A362="","",IF(ISNUMBER(FIND("IMPVOL",P$1)),_xll.BDH(config!$G$4,P$1,WORKDAY($A362,-1,config_Holiday_Calendar_US),WORKDAY($A362,-1,config_Holiday_Calendar_US)),IF(ISNUMBER(_xll.BDH(config!$G$4,P$1,$A362,$A362)),_xll.BDH(config!$G$4,P$1,$A362,$A362),_xll.BDH(config!$G$5,P$1,$A362,$A362))))</f>
        <v>#N/A Requesting Data...</v>
      </c>
      <c r="Q362" s="8">
        <f>IF($A362="","",IF(ISNUMBER(FIND("IMPVOL",Q$1)),_xll.BDH(config!$G$4,Q$1,WORKDAY($A362,-1,config_Holiday_Calendar_US),WORKDAY($A362,-1,config_Holiday_Calendar_US)),IF(ISNUMBER(_xll.BDH(config!$G$4,Q$1,$A362,$A362)),_xll.BDH(config!$G$4,Q$1,$A362,$A362),_xll.BDH(config!$G$5,Q$1,$A362,$A362))))</f>
        <v>22.5</v>
      </c>
      <c r="R362" s="8">
        <f>IF($A362="","",IF(ISNUMBER(FIND("IMPVOL",R$1)),_xll.BDH(config!$G$4,R$1,WORKDAY($A362,-1,config_Holiday_Calendar_US),WORKDAY($A362,-1,config_Holiday_Calendar_US)),IF(ISNUMBER(_xll.BDH(config!$G$4,R$1,$A362,$A362)),_xll.BDH(config!$G$4,R$1,$A362,$A362),_xll.BDH(config!$G$5,R$1,$A362,$A362))))</f>
        <v>37.51</v>
      </c>
      <c r="S362" s="8" t="str">
        <f>IF($A362="","",IF(ISNUMBER(FIND("IMPVOL",S$1)),_xll.BDH(config!$G$4,S$1,WORKDAY($A362,-1,config_Holiday_Calendar_US),WORKDAY($A362,-1,config_Holiday_Calendar_US)),IF(ISNUMBER(_xll.BDH(config!$G$4,S$1,$A362,$A362)),_xll.BDH(config!$G$4,S$1,$A362,$A362),_xll.BDH(config!$G$5,S$1,$A362,$A362))))</f>
        <v>#N/A Requesting Data...</v>
      </c>
      <c r="T362" s="8" t="str">
        <f>IF($A362="","",IF(ISNUMBER(FIND("IMPVOL",T$1)),_xll.BDH(config!$G$4,T$1,WORKDAY($A362,-1,config_Holiday_Calendar_US),WORKDAY($A362,-1,config_Holiday_Calendar_US)),IF(ISNUMBER(_xll.BDH(config!$G$4,T$1,$A362,$A362)),_xll.BDH(config!$G$4,T$1,$A362,$A362),_xll.BDH(config!$G$5,T$1,$A362,$A362))))</f>
        <v>#N/A Requesting Data...</v>
      </c>
      <c r="U362" s="8" t="str">
        <f>IF($A362="","",IF(ISNUMBER(FIND("IMPVOL",U$1)),_xll.BDH(config!$G$4,U$1,WORKDAY($A362,-1,config_Holiday_Calendar_US),WORKDAY($A362,-1,config_Holiday_Calendar_US)),IF(ISNUMBER(_xll.BDH(config!$G$4,U$1,$A362,$A362)),_xll.BDH(config!$G$4,U$1,$A362,$A362),_xll.BDH(config!$G$5,U$1,$A362,$A362))))</f>
        <v>#N/A Requesting Data...</v>
      </c>
      <c r="V362" s="8" t="str">
        <f>IF($A362="","",IF(ISNUMBER(FIND("IMPVOL",V$1)),_xll.BDH(config!$G$4,V$1,WORKDAY($A362,-1,config_Holiday_Calendar_US),WORKDAY($A362,-1,config_Holiday_Calendar_US)),IF(ISNUMBER(_xll.BDH(config!$G$4,V$1,$A362,$A362)),_xll.BDH(config!$G$4,V$1,$A362,$A362),_xll.BDH(config!$G$5,V$1,$A362,$A362))))</f>
        <v>#N/A Requesting Data...</v>
      </c>
      <c r="W362" s="8" t="str">
        <f>IF($A362="","",IF(ISNUMBER(FIND("IMPVOL",W$1)),_xll.BDH(config!$G$4,W$1,WORKDAY($A362,-1,config_Holiday_Calendar_US),WORKDAY($A362,-1,config_Holiday_Calendar_US)),IF(ISNUMBER(_xll.BDH(config!$G$4,W$1,$A362,$A362)),_xll.BDH(config!$G$4,W$1,$A362,$A362),_xll.BDH(config!$G$5,W$1,$A362,$A362))))</f>
        <v>#N/A Requesting Data...</v>
      </c>
    </row>
    <row r="363" spans="1:23" x14ac:dyDescent="0.2">
      <c r="A363" s="9">
        <f>IF(A362="","",IF(WORKDAY(A362,-1,config_Holiday_Calendar_US)&lt;config!$I$10,"",WORKDAY(A362,-1,config_Holiday_Calendar_US)))</f>
        <v>42303</v>
      </c>
      <c r="B363" s="8" t="e">
        <f t="shared" si="5"/>
        <v>#VALUE!</v>
      </c>
      <c r="C363" s="8" t="str">
        <f>IF(A363="","",_xll.BDH(config!$H$4,C$1,$A363,$A363))</f>
        <v>#N/A Requesting Data...</v>
      </c>
      <c r="D363" s="8" t="str">
        <f>IF($A363="","",_xll.BDH(config!$H$4,D$1,$A363,$A363))</f>
        <v>#N/A Requesting Data...</v>
      </c>
      <c r="E363" s="8">
        <f>IF($A363="","",IF(ISNUMBER(FIND("IMPVOL",E$1)),_xll.BDH(config!$G$4,E$1,WORKDAY($A363,-1,config_Holiday_Calendar_US),WORKDAY($A363,-1,config_Holiday_Calendar_US)),IF(ISNUMBER(_xll.BDH(config!$G$4,E$1,$A363,$A363)),_xll.BDH(config!$G$4,E$1,$A363,$A363),_xll.BDH(config!$G$5,E$1,$A363,$A363))))</f>
        <v>44.74</v>
      </c>
      <c r="F363" s="8">
        <f>IF($A363="","",IF(ISNUMBER(FIND("IMPVOL",F$1)),_xll.BDH(config!$G$4,F$1,WORKDAY($A363,-1,config_Holiday_Calendar_US),WORKDAY($A363,-1,config_Holiday_Calendar_US)),IF(ISNUMBER(_xll.BDH(config!$G$4,F$1,$A363,$A363)),_xll.BDH(config!$G$4,F$1,$A363,$A363),_xll.BDH(config!$G$5,F$1,$A363,$A363))))</f>
        <v>44.94</v>
      </c>
      <c r="G363" s="8">
        <f>IF($A363="","",IF(ISNUMBER(FIND("IMPVOL",G$1)),_xll.BDH(config!$G$4,G$1,WORKDAY($A363,-1,config_Holiday_Calendar_US),WORKDAY($A363,-1,config_Holiday_Calendar_US)),IF(ISNUMBER(_xll.BDH(config!$G$4,G$1,$A363,$A363)),_xll.BDH(config!$G$4,G$1,$A363,$A363),_xll.BDH(config!$G$5,G$1,$A363,$A363))))</f>
        <v>44.55</v>
      </c>
      <c r="H363" s="8">
        <f>IF($A363="","",IF(ISNUMBER(FIND("IMPVOL",H$1)),_xll.BDH(config!$G$4,H$1,WORKDAY($A363,-1,config_Holiday_Calendar_US),WORKDAY($A363,-1,config_Holiday_Calendar_US)),IF(ISNUMBER(_xll.BDH(config!$G$4,H$1,$A363,$A363)),_xll.BDH(config!$G$4,H$1,$A363,$A363),_xll.BDH(config!$G$5,H$1,$A363,$A363))))</f>
        <v>68537</v>
      </c>
      <c r="I363" s="8" t="str">
        <f>IF($A363="","",IF(ISNUMBER(FIND("IMPVOL",I$1)),_xll.BDH(config!$G$4,I$1,WORKDAY($A363,-1,config_Holiday_Calendar_US),WORKDAY($A363,-1,config_Holiday_Calendar_US)),IF(ISNUMBER(_xll.BDH(config!$G$4,I$1,$A363,$A363)),_xll.BDH(config!$G$4,I$1,$A363,$A363),_xll.BDH(config!$G$5,I$1,$A363,$A363))))</f>
        <v>#N/A Requesting Data...</v>
      </c>
      <c r="J363" s="8" t="str">
        <f>IF($A363="","",IF(ISNUMBER(FIND("IMPVOL",J$1)),_xll.BDH(config!$G$4,J$1,WORKDAY($A363,-1,config_Holiday_Calendar_US),WORKDAY($A363,-1,config_Holiday_Calendar_US)),IF(ISNUMBER(_xll.BDH(config!$G$4,J$1,$A363,$A363)),_xll.BDH(config!$G$4,J$1,$A363,$A363),_xll.BDH(config!$G$5,J$1,$A363,$A363))))</f>
        <v>#N/A Requesting Data...</v>
      </c>
      <c r="K363" s="8" t="str">
        <f>IF($A363="","",IF(ISNUMBER(FIND("IMPVOL",K$1)),_xll.BDH(config!$G$4,K$1,WORKDAY($A363,-1,config_Holiday_Calendar_US),WORKDAY($A363,-1,config_Holiday_Calendar_US)),IF(ISNUMBER(_xll.BDH(config!$G$4,K$1,$A363,$A363)),_xll.BDH(config!$G$4,K$1,$A363,$A363),_xll.BDH(config!$G$5,K$1,$A363,$A363))))</f>
        <v>#N/A Requesting Data...</v>
      </c>
      <c r="L363" s="8" t="str">
        <f>IF($A363="","",IF(ISNUMBER(FIND("IMPVOL",L$1)),_xll.BDH(config!$G$4,L$1,WORKDAY($A363,-1,config_Holiday_Calendar_US),WORKDAY($A363,-1,config_Holiday_Calendar_US)),IF(ISNUMBER(_xll.BDH(config!$G$4,L$1,$A363,$A363)),_xll.BDH(config!$G$4,L$1,$A363,$A363),_xll.BDH(config!$G$5,L$1,$A363,$A363))))</f>
        <v>#N/A Requesting Data...</v>
      </c>
      <c r="M363" s="8" t="str">
        <f>IF($A363="","",IF(ISNUMBER(FIND("IMPVOL",M$1)),_xll.BDH(config!$G$4,M$1,WORKDAY($A363,-1,config_Holiday_Calendar_US),WORKDAY($A363,-1,config_Holiday_Calendar_US)),IF(ISNUMBER(_xll.BDH(config!$G$4,M$1,$A363,$A363)),_xll.BDH(config!$G$4,M$1,$A363,$A363),_xll.BDH(config!$G$5,M$1,$A363,$A363))))</f>
        <v>#N/A Requesting Data...</v>
      </c>
      <c r="N363" s="8" t="str">
        <f>IF($A363="","",IF(ISNUMBER(FIND("IMPVOL",N$1)),_xll.BDH(config!$G$4,N$1,WORKDAY($A363,-1,config_Holiday_Calendar_US),WORKDAY($A363,-1,config_Holiday_Calendar_US)),IF(ISNUMBER(_xll.BDH(config!$G$4,N$1,$A363,$A363)),_xll.BDH(config!$G$4,N$1,$A363,$A363),_xll.BDH(config!$G$5,N$1,$A363,$A363))))</f>
        <v>#N/A Requesting Data...</v>
      </c>
      <c r="O363" s="8" t="str">
        <f>IF($A363="","",IF(ISNUMBER(FIND("IMPVOL",O$1)),_xll.BDH(config!$G$4,O$1,WORKDAY($A363,-1,config_Holiday_Calendar_US),WORKDAY($A363,-1,config_Holiday_Calendar_US)),IF(ISNUMBER(_xll.BDH(config!$G$4,O$1,$A363,$A363)),_xll.BDH(config!$G$4,O$1,$A363,$A363),_xll.BDH(config!$G$5,O$1,$A363,$A363))))</f>
        <v>#N/A Requesting Data...</v>
      </c>
      <c r="P363" s="8" t="str">
        <f>IF($A363="","",IF(ISNUMBER(FIND("IMPVOL",P$1)),_xll.BDH(config!$G$4,P$1,WORKDAY($A363,-1,config_Holiday_Calendar_US),WORKDAY($A363,-1,config_Holiday_Calendar_US)),IF(ISNUMBER(_xll.BDH(config!$G$4,P$1,$A363,$A363)),_xll.BDH(config!$G$4,P$1,$A363,$A363),_xll.BDH(config!$G$5,P$1,$A363,$A363))))</f>
        <v>#N/A Requesting Data...</v>
      </c>
      <c r="Q363" s="8">
        <f>IF($A363="","",IF(ISNUMBER(FIND("IMPVOL",Q$1)),_xll.BDH(config!$G$4,Q$1,WORKDAY($A363,-1,config_Holiday_Calendar_US),WORKDAY($A363,-1,config_Holiday_Calendar_US)),IF(ISNUMBER(_xll.BDH(config!$G$4,Q$1,$A363,$A363)),_xll.BDH(config!$G$4,Q$1,$A363,$A363),_xll.BDH(config!$G$5,Q$1,$A363,$A363))))</f>
        <v>21.92</v>
      </c>
      <c r="R363" s="8">
        <f>IF($A363="","",IF(ISNUMBER(FIND("IMPVOL",R$1)),_xll.BDH(config!$G$4,R$1,WORKDAY($A363,-1,config_Holiday_Calendar_US),WORKDAY($A363,-1,config_Holiday_Calendar_US)),IF(ISNUMBER(_xll.BDH(config!$G$4,R$1,$A363,$A363)),_xll.BDH(config!$G$4,R$1,$A363,$A363),_xll.BDH(config!$G$5,R$1,$A363,$A363))))</f>
        <v>40.86</v>
      </c>
      <c r="S363" s="8" t="str">
        <f>IF($A363="","",IF(ISNUMBER(FIND("IMPVOL",S$1)),_xll.BDH(config!$G$4,S$1,WORKDAY($A363,-1,config_Holiday_Calendar_US),WORKDAY($A363,-1,config_Holiday_Calendar_US)),IF(ISNUMBER(_xll.BDH(config!$G$4,S$1,$A363,$A363)),_xll.BDH(config!$G$4,S$1,$A363,$A363),_xll.BDH(config!$G$5,S$1,$A363,$A363))))</f>
        <v>#N/A Requesting Data...</v>
      </c>
      <c r="T363" s="8" t="str">
        <f>IF($A363="","",IF(ISNUMBER(FIND("IMPVOL",T$1)),_xll.BDH(config!$G$4,T$1,WORKDAY($A363,-1,config_Holiday_Calendar_US),WORKDAY($A363,-1,config_Holiday_Calendar_US)),IF(ISNUMBER(_xll.BDH(config!$G$4,T$1,$A363,$A363)),_xll.BDH(config!$G$4,T$1,$A363,$A363),_xll.BDH(config!$G$5,T$1,$A363,$A363))))</f>
        <v>#N/A Requesting Data...</v>
      </c>
      <c r="U363" s="8" t="str">
        <f>IF($A363="","",IF(ISNUMBER(FIND("IMPVOL",U$1)),_xll.BDH(config!$G$4,U$1,WORKDAY($A363,-1,config_Holiday_Calendar_US),WORKDAY($A363,-1,config_Holiday_Calendar_US)),IF(ISNUMBER(_xll.BDH(config!$G$4,U$1,$A363,$A363)),_xll.BDH(config!$G$4,U$1,$A363,$A363),_xll.BDH(config!$G$5,U$1,$A363,$A363))))</f>
        <v>#N/A Requesting Data...</v>
      </c>
      <c r="V363" s="8" t="str">
        <f>IF($A363="","",IF(ISNUMBER(FIND("IMPVOL",V$1)),_xll.BDH(config!$G$4,V$1,WORKDAY($A363,-1,config_Holiday_Calendar_US),WORKDAY($A363,-1,config_Holiday_Calendar_US)),IF(ISNUMBER(_xll.BDH(config!$G$4,V$1,$A363,$A363)),_xll.BDH(config!$G$4,V$1,$A363,$A363),_xll.BDH(config!$G$5,V$1,$A363,$A363))))</f>
        <v>#N/A Requesting Data...</v>
      </c>
      <c r="W363" s="8" t="str">
        <f>IF($A363="","",IF(ISNUMBER(FIND("IMPVOL",W$1)),_xll.BDH(config!$G$4,W$1,WORKDAY($A363,-1,config_Holiday_Calendar_US),WORKDAY($A363,-1,config_Holiday_Calendar_US)),IF(ISNUMBER(_xll.BDH(config!$G$4,W$1,$A363,$A363)),_xll.BDH(config!$G$4,W$1,$A363,$A363),_xll.BDH(config!$G$5,W$1,$A363,$A363))))</f>
        <v>#N/A Requesting Data...</v>
      </c>
    </row>
    <row r="364" spans="1:23" x14ac:dyDescent="0.2">
      <c r="A364" s="9">
        <f>IF(A363="","",IF(WORKDAY(A363,-1,config_Holiday_Calendar_US)&lt;config!$I$10,"",WORKDAY(A363,-1,config_Holiday_Calendar_US)))</f>
        <v>42300</v>
      </c>
      <c r="B364" s="8" t="e">
        <f t="shared" si="5"/>
        <v>#VALUE!</v>
      </c>
      <c r="C364" s="8" t="str">
        <f>IF(A364="","",_xll.BDH(config!$H$4,C$1,$A364,$A364))</f>
        <v>#N/A Requesting Data...</v>
      </c>
      <c r="D364" s="8" t="str">
        <f>IF($A364="","",_xll.BDH(config!$H$4,D$1,$A364,$A364))</f>
        <v>#N/A Requesting Data...</v>
      </c>
      <c r="E364" s="8">
        <f>IF($A364="","",IF(ISNUMBER(FIND("IMPVOL",E$1)),_xll.BDH(config!$G$4,E$1,WORKDAY($A364,-1,config_Holiday_Calendar_US),WORKDAY($A364,-1,config_Holiday_Calendar_US)),IF(ISNUMBER(_xll.BDH(config!$G$4,E$1,$A364,$A364)),_xll.BDH(config!$G$4,E$1,$A364,$A364),_xll.BDH(config!$G$5,E$1,$A364,$A364))))</f>
        <v>45.44</v>
      </c>
      <c r="F364" s="8">
        <f>IF($A364="","",IF(ISNUMBER(FIND("IMPVOL",F$1)),_xll.BDH(config!$G$4,F$1,WORKDAY($A364,-1,config_Holiday_Calendar_US),WORKDAY($A364,-1,config_Holiday_Calendar_US)),IF(ISNUMBER(_xll.BDH(config!$G$4,F$1,$A364,$A364)),_xll.BDH(config!$G$4,F$1,$A364,$A364),_xll.BDH(config!$G$5,F$1,$A364,$A364))))</f>
        <v>45.75</v>
      </c>
      <c r="G364" s="8">
        <f>IF($A364="","",IF(ISNUMBER(FIND("IMPVOL",G$1)),_xll.BDH(config!$G$4,G$1,WORKDAY($A364,-1,config_Holiday_Calendar_US),WORKDAY($A364,-1,config_Holiday_Calendar_US)),IF(ISNUMBER(_xll.BDH(config!$G$4,G$1,$A364,$A364)),_xll.BDH(config!$G$4,G$1,$A364,$A364),_xll.BDH(config!$G$5,G$1,$A364,$A364))))</f>
        <v>45.01</v>
      </c>
      <c r="H364" s="8">
        <f>IF($A364="","",IF(ISNUMBER(FIND("IMPVOL",H$1)),_xll.BDH(config!$G$4,H$1,WORKDAY($A364,-1,config_Holiday_Calendar_US),WORKDAY($A364,-1,config_Holiday_Calendar_US)),IF(ISNUMBER(_xll.BDH(config!$G$4,H$1,$A364,$A364)),_xll.BDH(config!$G$4,H$1,$A364,$A364),_xll.BDH(config!$G$5,H$1,$A364,$A364))))</f>
        <v>119697</v>
      </c>
      <c r="I364" s="8" t="str">
        <f>IF($A364="","",IF(ISNUMBER(FIND("IMPVOL",I$1)),_xll.BDH(config!$G$4,I$1,WORKDAY($A364,-1,config_Holiday_Calendar_US),WORKDAY($A364,-1,config_Holiday_Calendar_US)),IF(ISNUMBER(_xll.BDH(config!$G$4,I$1,$A364,$A364)),_xll.BDH(config!$G$4,I$1,$A364,$A364),_xll.BDH(config!$G$5,I$1,$A364,$A364))))</f>
        <v>#N/A Requesting Data...</v>
      </c>
      <c r="J364" s="8" t="str">
        <f>IF($A364="","",IF(ISNUMBER(FIND("IMPVOL",J$1)),_xll.BDH(config!$G$4,J$1,WORKDAY($A364,-1,config_Holiday_Calendar_US),WORKDAY($A364,-1,config_Holiday_Calendar_US)),IF(ISNUMBER(_xll.BDH(config!$G$4,J$1,$A364,$A364)),_xll.BDH(config!$G$4,J$1,$A364,$A364),_xll.BDH(config!$G$5,J$1,$A364,$A364))))</f>
        <v>#N/A Requesting Data...</v>
      </c>
      <c r="K364" s="8" t="str">
        <f>IF($A364="","",IF(ISNUMBER(FIND("IMPVOL",K$1)),_xll.BDH(config!$G$4,K$1,WORKDAY($A364,-1,config_Holiday_Calendar_US),WORKDAY($A364,-1,config_Holiday_Calendar_US)),IF(ISNUMBER(_xll.BDH(config!$G$4,K$1,$A364,$A364)),_xll.BDH(config!$G$4,K$1,$A364,$A364),_xll.BDH(config!$G$5,K$1,$A364,$A364))))</f>
        <v>#N/A Requesting Data...</v>
      </c>
      <c r="L364" s="8" t="str">
        <f>IF($A364="","",IF(ISNUMBER(FIND("IMPVOL",L$1)),_xll.BDH(config!$G$4,L$1,WORKDAY($A364,-1,config_Holiday_Calendar_US),WORKDAY($A364,-1,config_Holiday_Calendar_US)),IF(ISNUMBER(_xll.BDH(config!$G$4,L$1,$A364,$A364)),_xll.BDH(config!$G$4,L$1,$A364,$A364),_xll.BDH(config!$G$5,L$1,$A364,$A364))))</f>
        <v>#N/A Requesting Data...</v>
      </c>
      <c r="M364" s="8" t="str">
        <f>IF($A364="","",IF(ISNUMBER(FIND("IMPVOL",M$1)),_xll.BDH(config!$G$4,M$1,WORKDAY($A364,-1,config_Holiday_Calendar_US),WORKDAY($A364,-1,config_Holiday_Calendar_US)),IF(ISNUMBER(_xll.BDH(config!$G$4,M$1,$A364,$A364)),_xll.BDH(config!$G$4,M$1,$A364,$A364),_xll.BDH(config!$G$5,M$1,$A364,$A364))))</f>
        <v>#N/A Requesting Data...</v>
      </c>
      <c r="N364" s="8" t="str">
        <f>IF($A364="","",IF(ISNUMBER(FIND("IMPVOL",N$1)),_xll.BDH(config!$G$4,N$1,WORKDAY($A364,-1,config_Holiday_Calendar_US),WORKDAY($A364,-1,config_Holiday_Calendar_US)),IF(ISNUMBER(_xll.BDH(config!$G$4,N$1,$A364,$A364)),_xll.BDH(config!$G$4,N$1,$A364,$A364),_xll.BDH(config!$G$5,N$1,$A364,$A364))))</f>
        <v>#N/A Requesting Data...</v>
      </c>
      <c r="O364" s="8" t="str">
        <f>IF($A364="","",IF(ISNUMBER(FIND("IMPVOL",O$1)),_xll.BDH(config!$G$4,O$1,WORKDAY($A364,-1,config_Holiday_Calendar_US),WORKDAY($A364,-1,config_Holiday_Calendar_US)),IF(ISNUMBER(_xll.BDH(config!$G$4,O$1,$A364,$A364)),_xll.BDH(config!$G$4,O$1,$A364,$A364),_xll.BDH(config!$G$5,O$1,$A364,$A364))))</f>
        <v>#N/A Requesting Data...</v>
      </c>
      <c r="P364" s="8" t="str">
        <f>IF($A364="","",IF(ISNUMBER(FIND("IMPVOL",P$1)),_xll.BDH(config!$G$4,P$1,WORKDAY($A364,-1,config_Holiday_Calendar_US),WORKDAY($A364,-1,config_Holiday_Calendar_US)),IF(ISNUMBER(_xll.BDH(config!$G$4,P$1,$A364,$A364)),_xll.BDH(config!$G$4,P$1,$A364,$A364),_xll.BDH(config!$G$5,P$1,$A364,$A364))))</f>
        <v>#N/A Requesting Data...</v>
      </c>
      <c r="Q364" s="8">
        <f>IF($A364="","",IF(ISNUMBER(FIND("IMPVOL",Q$1)),_xll.BDH(config!$G$4,Q$1,WORKDAY($A364,-1,config_Holiday_Calendar_US),WORKDAY($A364,-1,config_Holiday_Calendar_US)),IF(ISNUMBER(_xll.BDH(config!$G$4,Q$1,$A364,$A364)),_xll.BDH(config!$G$4,Q$1,$A364,$A364),_xll.BDH(config!$G$5,Q$1,$A364,$A364))))</f>
        <v>21.66</v>
      </c>
      <c r="R364" s="8">
        <f>IF($A364="","",IF(ISNUMBER(FIND("IMPVOL",R$1)),_xll.BDH(config!$G$4,R$1,WORKDAY($A364,-1,config_Holiday_Calendar_US),WORKDAY($A364,-1,config_Holiday_Calendar_US)),IF(ISNUMBER(_xll.BDH(config!$G$4,R$1,$A364,$A364)),_xll.BDH(config!$G$4,R$1,$A364,$A364),_xll.BDH(config!$G$5,R$1,$A364,$A364))))</f>
        <v>40.840000000000003</v>
      </c>
      <c r="S364" s="8" t="str">
        <f>IF($A364="","",IF(ISNUMBER(FIND("IMPVOL",S$1)),_xll.BDH(config!$G$4,S$1,WORKDAY($A364,-1,config_Holiday_Calendar_US),WORKDAY($A364,-1,config_Holiday_Calendar_US)),IF(ISNUMBER(_xll.BDH(config!$G$4,S$1,$A364,$A364)),_xll.BDH(config!$G$4,S$1,$A364,$A364),_xll.BDH(config!$G$5,S$1,$A364,$A364))))</f>
        <v>#N/A Requesting Data...</v>
      </c>
      <c r="T364" s="8" t="str">
        <f>IF($A364="","",IF(ISNUMBER(FIND("IMPVOL",T$1)),_xll.BDH(config!$G$4,T$1,WORKDAY($A364,-1,config_Holiday_Calendar_US),WORKDAY($A364,-1,config_Holiday_Calendar_US)),IF(ISNUMBER(_xll.BDH(config!$G$4,T$1,$A364,$A364)),_xll.BDH(config!$G$4,T$1,$A364,$A364),_xll.BDH(config!$G$5,T$1,$A364,$A364))))</f>
        <v>#N/A Requesting Data...</v>
      </c>
      <c r="U364" s="8" t="str">
        <f>IF($A364="","",IF(ISNUMBER(FIND("IMPVOL",U$1)),_xll.BDH(config!$G$4,U$1,WORKDAY($A364,-1,config_Holiday_Calendar_US),WORKDAY($A364,-1,config_Holiday_Calendar_US)),IF(ISNUMBER(_xll.BDH(config!$G$4,U$1,$A364,$A364)),_xll.BDH(config!$G$4,U$1,$A364,$A364),_xll.BDH(config!$G$5,U$1,$A364,$A364))))</f>
        <v>#N/A Requesting Data...</v>
      </c>
      <c r="V364" s="8" t="str">
        <f>IF($A364="","",IF(ISNUMBER(FIND("IMPVOL",V$1)),_xll.BDH(config!$G$4,V$1,WORKDAY($A364,-1,config_Holiday_Calendar_US),WORKDAY($A364,-1,config_Holiday_Calendar_US)),IF(ISNUMBER(_xll.BDH(config!$G$4,V$1,$A364,$A364)),_xll.BDH(config!$G$4,V$1,$A364,$A364),_xll.BDH(config!$G$5,V$1,$A364,$A364))))</f>
        <v>#N/A Requesting Data...</v>
      </c>
      <c r="W364" s="8" t="str">
        <f>IF($A364="","",IF(ISNUMBER(FIND("IMPVOL",W$1)),_xll.BDH(config!$G$4,W$1,WORKDAY($A364,-1,config_Holiday_Calendar_US),WORKDAY($A364,-1,config_Holiday_Calendar_US)),IF(ISNUMBER(_xll.BDH(config!$G$4,W$1,$A364,$A364)),_xll.BDH(config!$G$4,W$1,$A364,$A364),_xll.BDH(config!$G$5,W$1,$A364,$A364))))</f>
        <v>#N/A Requesting Data...</v>
      </c>
    </row>
    <row r="365" spans="1:23" x14ac:dyDescent="0.2">
      <c r="A365" s="9">
        <f>IF(A364="","",IF(WORKDAY(A364,-1,config_Holiday_Calendar_US)&lt;config!$I$10,"",WORKDAY(A364,-1,config_Holiday_Calendar_US)))</f>
        <v>42299</v>
      </c>
      <c r="B365" s="8" t="e">
        <f t="shared" si="5"/>
        <v>#VALUE!</v>
      </c>
      <c r="C365" s="8" t="str">
        <f>IF(A365="","",_xll.BDH(config!$H$4,C$1,$A365,$A365))</f>
        <v>#N/A Requesting Data...</v>
      </c>
      <c r="D365" s="8" t="str">
        <f>IF($A365="","",_xll.BDH(config!$H$4,D$1,$A365,$A365))</f>
        <v>#N/A Requesting Data...</v>
      </c>
      <c r="E365" s="8">
        <f>IF($A365="","",IF(ISNUMBER(FIND("IMPVOL",E$1)),_xll.BDH(config!$G$4,E$1,WORKDAY($A365,-1,config_Holiday_Calendar_US),WORKDAY($A365,-1,config_Holiday_Calendar_US)),IF(ISNUMBER(_xll.BDH(config!$G$4,E$1,$A365,$A365)),_xll.BDH(config!$G$4,E$1,$A365,$A365),_xll.BDH(config!$G$5,E$1,$A365,$A365))))</f>
        <v>45.27</v>
      </c>
      <c r="F365" s="8">
        <f>IF($A365="","",IF(ISNUMBER(FIND("IMPVOL",F$1)),_xll.BDH(config!$G$4,F$1,WORKDAY($A365,-1,config_Holiday_Calendar_US),WORKDAY($A365,-1,config_Holiday_Calendar_US)),IF(ISNUMBER(_xll.BDH(config!$G$4,F$1,$A365,$A365)),_xll.BDH(config!$G$4,F$1,$A365,$A365),_xll.BDH(config!$G$5,F$1,$A365,$A365))))</f>
        <v>46.1</v>
      </c>
      <c r="G365" s="8">
        <f>IF($A365="","",IF(ISNUMBER(FIND("IMPVOL",G$1)),_xll.BDH(config!$G$4,G$1,WORKDAY($A365,-1,config_Holiday_Calendar_US),WORKDAY($A365,-1,config_Holiday_Calendar_US)),IF(ISNUMBER(_xll.BDH(config!$G$4,G$1,$A365,$A365)),_xll.BDH(config!$G$4,G$1,$A365,$A365),_xll.BDH(config!$G$5,G$1,$A365,$A365))))</f>
        <v>45.65</v>
      </c>
      <c r="H365" s="8">
        <f>IF($A365="","",IF(ISNUMBER(FIND("IMPVOL",H$1)),_xll.BDH(config!$G$4,H$1,WORKDAY($A365,-1,config_Holiday_Calendar_US),WORKDAY($A365,-1,config_Holiday_Calendar_US)),IF(ISNUMBER(_xll.BDH(config!$G$4,H$1,$A365,$A365)),_xll.BDH(config!$G$4,H$1,$A365,$A365),_xll.BDH(config!$G$5,H$1,$A365,$A365))))</f>
        <v>93438</v>
      </c>
      <c r="I365" s="8" t="str">
        <f>IF($A365="","",IF(ISNUMBER(FIND("IMPVOL",I$1)),_xll.BDH(config!$G$4,I$1,WORKDAY($A365,-1,config_Holiday_Calendar_US),WORKDAY($A365,-1,config_Holiday_Calendar_US)),IF(ISNUMBER(_xll.BDH(config!$G$4,I$1,$A365,$A365)),_xll.BDH(config!$G$4,I$1,$A365,$A365),_xll.BDH(config!$G$5,I$1,$A365,$A365))))</f>
        <v>#N/A Requesting Data...</v>
      </c>
      <c r="J365" s="8" t="str">
        <f>IF($A365="","",IF(ISNUMBER(FIND("IMPVOL",J$1)),_xll.BDH(config!$G$4,J$1,WORKDAY($A365,-1,config_Holiday_Calendar_US),WORKDAY($A365,-1,config_Holiday_Calendar_US)),IF(ISNUMBER(_xll.BDH(config!$G$4,J$1,$A365,$A365)),_xll.BDH(config!$G$4,J$1,$A365,$A365),_xll.BDH(config!$G$5,J$1,$A365,$A365))))</f>
        <v>#N/A Requesting Data...</v>
      </c>
      <c r="K365" s="8" t="str">
        <f>IF($A365="","",IF(ISNUMBER(FIND("IMPVOL",K$1)),_xll.BDH(config!$G$4,K$1,WORKDAY($A365,-1,config_Holiday_Calendar_US),WORKDAY($A365,-1,config_Holiday_Calendar_US)),IF(ISNUMBER(_xll.BDH(config!$G$4,K$1,$A365,$A365)),_xll.BDH(config!$G$4,K$1,$A365,$A365),_xll.BDH(config!$G$5,K$1,$A365,$A365))))</f>
        <v>#N/A Requesting Data...</v>
      </c>
      <c r="L365" s="8" t="str">
        <f>IF($A365="","",IF(ISNUMBER(FIND("IMPVOL",L$1)),_xll.BDH(config!$G$4,L$1,WORKDAY($A365,-1,config_Holiday_Calendar_US),WORKDAY($A365,-1,config_Holiday_Calendar_US)),IF(ISNUMBER(_xll.BDH(config!$G$4,L$1,$A365,$A365)),_xll.BDH(config!$G$4,L$1,$A365,$A365),_xll.BDH(config!$G$5,L$1,$A365,$A365))))</f>
        <v>#N/A Requesting Data...</v>
      </c>
      <c r="M365" s="8" t="str">
        <f>IF($A365="","",IF(ISNUMBER(FIND("IMPVOL",M$1)),_xll.BDH(config!$G$4,M$1,WORKDAY($A365,-1,config_Holiday_Calendar_US),WORKDAY($A365,-1,config_Holiday_Calendar_US)),IF(ISNUMBER(_xll.BDH(config!$G$4,M$1,$A365,$A365)),_xll.BDH(config!$G$4,M$1,$A365,$A365),_xll.BDH(config!$G$5,M$1,$A365,$A365))))</f>
        <v>#N/A Requesting Data...</v>
      </c>
      <c r="N365" s="8" t="str">
        <f>IF($A365="","",IF(ISNUMBER(FIND("IMPVOL",N$1)),_xll.BDH(config!$G$4,N$1,WORKDAY($A365,-1,config_Holiday_Calendar_US),WORKDAY($A365,-1,config_Holiday_Calendar_US)),IF(ISNUMBER(_xll.BDH(config!$G$4,N$1,$A365,$A365)),_xll.BDH(config!$G$4,N$1,$A365,$A365),_xll.BDH(config!$G$5,N$1,$A365,$A365))))</f>
        <v>#N/A Requesting Data...</v>
      </c>
      <c r="O365" s="8" t="str">
        <f>IF($A365="","",IF(ISNUMBER(FIND("IMPVOL",O$1)),_xll.BDH(config!$G$4,O$1,WORKDAY($A365,-1,config_Holiday_Calendar_US),WORKDAY($A365,-1,config_Holiday_Calendar_US)),IF(ISNUMBER(_xll.BDH(config!$G$4,O$1,$A365,$A365)),_xll.BDH(config!$G$4,O$1,$A365,$A365),_xll.BDH(config!$G$5,O$1,$A365,$A365))))</f>
        <v>#N/A Requesting Data...</v>
      </c>
      <c r="P365" s="8" t="str">
        <f>IF($A365="","",IF(ISNUMBER(FIND("IMPVOL",P$1)),_xll.BDH(config!$G$4,P$1,WORKDAY($A365,-1,config_Holiday_Calendar_US),WORKDAY($A365,-1,config_Holiday_Calendar_US)),IF(ISNUMBER(_xll.BDH(config!$G$4,P$1,$A365,$A365)),_xll.BDH(config!$G$4,P$1,$A365,$A365),_xll.BDH(config!$G$5,P$1,$A365,$A365))))</f>
        <v>#N/A Requesting Data...</v>
      </c>
      <c r="Q365" s="8">
        <f>IF($A365="","",IF(ISNUMBER(FIND("IMPVOL",Q$1)),_xll.BDH(config!$G$4,Q$1,WORKDAY($A365,-1,config_Holiday_Calendar_US),WORKDAY($A365,-1,config_Holiday_Calendar_US)),IF(ISNUMBER(_xll.BDH(config!$G$4,Q$1,$A365,$A365)),_xll.BDH(config!$G$4,Q$1,$A365,$A365),_xll.BDH(config!$G$5,Q$1,$A365,$A365))))</f>
        <v>33.15</v>
      </c>
      <c r="R365" s="8">
        <f>IF($A365="","",IF(ISNUMBER(FIND("IMPVOL",R$1)),_xll.BDH(config!$G$4,R$1,WORKDAY($A365,-1,config_Holiday_Calendar_US),WORKDAY($A365,-1,config_Holiday_Calendar_US)),IF(ISNUMBER(_xll.BDH(config!$G$4,R$1,$A365,$A365)),_xll.BDH(config!$G$4,R$1,$A365,$A365),_xll.BDH(config!$G$5,R$1,$A365,$A365))))</f>
        <v>40.92</v>
      </c>
      <c r="S365" s="8" t="str">
        <f>IF($A365="","",IF(ISNUMBER(FIND("IMPVOL",S$1)),_xll.BDH(config!$G$4,S$1,WORKDAY($A365,-1,config_Holiday_Calendar_US),WORKDAY($A365,-1,config_Holiday_Calendar_US)),IF(ISNUMBER(_xll.BDH(config!$G$4,S$1,$A365,$A365)),_xll.BDH(config!$G$4,S$1,$A365,$A365),_xll.BDH(config!$G$5,S$1,$A365,$A365))))</f>
        <v>#N/A Requesting Data...</v>
      </c>
      <c r="T365" s="8" t="str">
        <f>IF($A365="","",IF(ISNUMBER(FIND("IMPVOL",T$1)),_xll.BDH(config!$G$4,T$1,WORKDAY($A365,-1,config_Holiday_Calendar_US),WORKDAY($A365,-1,config_Holiday_Calendar_US)),IF(ISNUMBER(_xll.BDH(config!$G$4,T$1,$A365,$A365)),_xll.BDH(config!$G$4,T$1,$A365,$A365),_xll.BDH(config!$G$5,T$1,$A365,$A365))))</f>
        <v>#N/A Requesting Data...</v>
      </c>
      <c r="U365" s="8" t="str">
        <f>IF($A365="","",IF(ISNUMBER(FIND("IMPVOL",U$1)),_xll.BDH(config!$G$4,U$1,WORKDAY($A365,-1,config_Holiday_Calendar_US),WORKDAY($A365,-1,config_Holiday_Calendar_US)),IF(ISNUMBER(_xll.BDH(config!$G$4,U$1,$A365,$A365)),_xll.BDH(config!$G$4,U$1,$A365,$A365),_xll.BDH(config!$G$5,U$1,$A365,$A365))))</f>
        <v>#N/A Requesting Data...</v>
      </c>
      <c r="V365" s="8" t="str">
        <f>IF($A365="","",IF(ISNUMBER(FIND("IMPVOL",V$1)),_xll.BDH(config!$G$4,V$1,WORKDAY($A365,-1,config_Holiday_Calendar_US),WORKDAY($A365,-1,config_Holiday_Calendar_US)),IF(ISNUMBER(_xll.BDH(config!$G$4,V$1,$A365,$A365)),_xll.BDH(config!$G$4,V$1,$A365,$A365),_xll.BDH(config!$G$5,V$1,$A365,$A365))))</f>
        <v>#N/A Requesting Data...</v>
      </c>
      <c r="W365" s="8" t="str">
        <f>IF($A365="","",IF(ISNUMBER(FIND("IMPVOL",W$1)),_xll.BDH(config!$G$4,W$1,WORKDAY($A365,-1,config_Holiday_Calendar_US),WORKDAY($A365,-1,config_Holiday_Calendar_US)),IF(ISNUMBER(_xll.BDH(config!$G$4,W$1,$A365,$A365)),_xll.BDH(config!$G$4,W$1,$A365,$A365),_xll.BDH(config!$G$5,W$1,$A365,$A365))))</f>
        <v>#N/A Requesting Data...</v>
      </c>
    </row>
    <row r="366" spans="1:23" x14ac:dyDescent="0.2">
      <c r="A366" s="9">
        <f>IF(A365="","",IF(WORKDAY(A365,-1,config_Holiday_Calendar_US)&lt;config!$I$10,"",WORKDAY(A365,-1,config_Holiday_Calendar_US)))</f>
        <v>42298</v>
      </c>
      <c r="B366" s="8" t="e">
        <f t="shared" si="5"/>
        <v>#VALUE!</v>
      </c>
      <c r="C366" s="8" t="str">
        <f>IF(A366="","",_xll.BDH(config!$H$4,C$1,$A366,$A366))</f>
        <v>#N/A Requesting Data...</v>
      </c>
      <c r="D366" s="8" t="str">
        <f>IF($A366="","",_xll.BDH(config!$H$4,D$1,$A366,$A366))</f>
        <v>#N/A Requesting Data...</v>
      </c>
      <c r="E366" s="8">
        <f>IF($A366="","",IF(ISNUMBER(FIND("IMPVOL",E$1)),_xll.BDH(config!$G$4,E$1,WORKDAY($A366,-1,config_Holiday_Calendar_US),WORKDAY($A366,-1,config_Holiday_Calendar_US)),IF(ISNUMBER(_xll.BDH(config!$G$4,E$1,$A366,$A366)),_xll.BDH(config!$G$4,E$1,$A366,$A366),_xll.BDH(config!$G$5,E$1,$A366,$A366))))</f>
        <v>45.88</v>
      </c>
      <c r="F366" s="8">
        <f>IF($A366="","",IF(ISNUMBER(FIND("IMPVOL",F$1)),_xll.BDH(config!$G$4,F$1,WORKDAY($A366,-1,config_Holiday_Calendar_US),WORKDAY($A366,-1,config_Holiday_Calendar_US)),IF(ISNUMBER(_xll.BDH(config!$G$4,F$1,$A366,$A366)),_xll.BDH(config!$G$4,F$1,$A366,$A366),_xll.BDH(config!$G$5,F$1,$A366,$A366))))</f>
        <v>46.08</v>
      </c>
      <c r="G366" s="8">
        <f>IF($A366="","",IF(ISNUMBER(FIND("IMPVOL",G$1)),_xll.BDH(config!$G$4,G$1,WORKDAY($A366,-1,config_Holiday_Calendar_US),WORKDAY($A366,-1,config_Holiday_Calendar_US)),IF(ISNUMBER(_xll.BDH(config!$G$4,G$1,$A366,$A366)),_xll.BDH(config!$G$4,G$1,$A366,$A366),_xll.BDH(config!$G$5,G$1,$A366,$A366))))</f>
        <v>45.61</v>
      </c>
      <c r="H366" s="8">
        <f>IF($A366="","",IF(ISNUMBER(FIND("IMPVOL",H$1)),_xll.BDH(config!$G$4,H$1,WORKDAY($A366,-1,config_Holiday_Calendar_US),WORKDAY($A366,-1,config_Holiday_Calendar_US)),IF(ISNUMBER(_xll.BDH(config!$G$4,H$1,$A366,$A366)),_xll.BDH(config!$G$4,H$1,$A366,$A366),_xll.BDH(config!$G$5,H$1,$A366,$A366))))</f>
        <v>94433</v>
      </c>
      <c r="I366" s="8" t="str">
        <f>IF($A366="","",IF(ISNUMBER(FIND("IMPVOL",I$1)),_xll.BDH(config!$G$4,I$1,WORKDAY($A366,-1,config_Holiday_Calendar_US),WORKDAY($A366,-1,config_Holiday_Calendar_US)),IF(ISNUMBER(_xll.BDH(config!$G$4,I$1,$A366,$A366)),_xll.BDH(config!$G$4,I$1,$A366,$A366),_xll.BDH(config!$G$5,I$1,$A366,$A366))))</f>
        <v>#N/A Requesting Data...</v>
      </c>
      <c r="J366" s="8" t="str">
        <f>IF($A366="","",IF(ISNUMBER(FIND("IMPVOL",J$1)),_xll.BDH(config!$G$4,J$1,WORKDAY($A366,-1,config_Holiday_Calendar_US),WORKDAY($A366,-1,config_Holiday_Calendar_US)),IF(ISNUMBER(_xll.BDH(config!$G$4,J$1,$A366,$A366)),_xll.BDH(config!$G$4,J$1,$A366,$A366),_xll.BDH(config!$G$5,J$1,$A366,$A366))))</f>
        <v>#N/A Requesting Data...</v>
      </c>
      <c r="K366" s="8" t="str">
        <f>IF($A366="","",IF(ISNUMBER(FIND("IMPVOL",K$1)),_xll.BDH(config!$G$4,K$1,WORKDAY($A366,-1,config_Holiday_Calendar_US),WORKDAY($A366,-1,config_Holiday_Calendar_US)),IF(ISNUMBER(_xll.BDH(config!$G$4,K$1,$A366,$A366)),_xll.BDH(config!$G$4,K$1,$A366,$A366),_xll.BDH(config!$G$5,K$1,$A366,$A366))))</f>
        <v>#N/A Requesting Data...</v>
      </c>
      <c r="L366" s="8" t="str">
        <f>IF($A366="","",IF(ISNUMBER(FIND("IMPVOL",L$1)),_xll.BDH(config!$G$4,L$1,WORKDAY($A366,-1,config_Holiday_Calendar_US),WORKDAY($A366,-1,config_Holiday_Calendar_US)),IF(ISNUMBER(_xll.BDH(config!$G$4,L$1,$A366,$A366)),_xll.BDH(config!$G$4,L$1,$A366,$A366),_xll.BDH(config!$G$5,L$1,$A366,$A366))))</f>
        <v>#N/A Requesting Data...</v>
      </c>
      <c r="M366" s="8" t="str">
        <f>IF($A366="","",IF(ISNUMBER(FIND("IMPVOL",M$1)),_xll.BDH(config!$G$4,M$1,WORKDAY($A366,-1,config_Holiday_Calendar_US),WORKDAY($A366,-1,config_Holiday_Calendar_US)),IF(ISNUMBER(_xll.BDH(config!$G$4,M$1,$A366,$A366)),_xll.BDH(config!$G$4,M$1,$A366,$A366),_xll.BDH(config!$G$5,M$1,$A366,$A366))))</f>
        <v>#N/A Requesting Data...</v>
      </c>
      <c r="N366" s="8" t="str">
        <f>IF($A366="","",IF(ISNUMBER(FIND("IMPVOL",N$1)),_xll.BDH(config!$G$4,N$1,WORKDAY($A366,-1,config_Holiday_Calendar_US),WORKDAY($A366,-1,config_Holiday_Calendar_US)),IF(ISNUMBER(_xll.BDH(config!$G$4,N$1,$A366,$A366)),_xll.BDH(config!$G$4,N$1,$A366,$A366),_xll.BDH(config!$G$5,N$1,$A366,$A366))))</f>
        <v>#N/A Requesting Data...</v>
      </c>
      <c r="O366" s="8" t="str">
        <f>IF($A366="","",IF(ISNUMBER(FIND("IMPVOL",O$1)),_xll.BDH(config!$G$4,O$1,WORKDAY($A366,-1,config_Holiday_Calendar_US),WORKDAY($A366,-1,config_Holiday_Calendar_US)),IF(ISNUMBER(_xll.BDH(config!$G$4,O$1,$A366,$A366)),_xll.BDH(config!$G$4,O$1,$A366,$A366),_xll.BDH(config!$G$5,O$1,$A366,$A366))))</f>
        <v>#N/A Requesting Data...</v>
      </c>
      <c r="P366" s="8" t="str">
        <f>IF($A366="","",IF(ISNUMBER(FIND("IMPVOL",P$1)),_xll.BDH(config!$G$4,P$1,WORKDAY($A366,-1,config_Holiday_Calendar_US),WORKDAY($A366,-1,config_Holiday_Calendar_US)),IF(ISNUMBER(_xll.BDH(config!$G$4,P$1,$A366,$A366)),_xll.BDH(config!$G$4,P$1,$A366,$A366),_xll.BDH(config!$G$5,P$1,$A366,$A366))))</f>
        <v>#N/A Requesting Data...</v>
      </c>
      <c r="Q366" s="8">
        <f>IF($A366="","",IF(ISNUMBER(FIND("IMPVOL",Q$1)),_xll.BDH(config!$G$4,Q$1,WORKDAY($A366,-1,config_Holiday_Calendar_US),WORKDAY($A366,-1,config_Holiday_Calendar_US)),IF(ISNUMBER(_xll.BDH(config!$G$4,Q$1,$A366,$A366)),_xll.BDH(config!$G$4,Q$1,$A366,$A366),_xll.BDH(config!$G$5,Q$1,$A366,$A366))))</f>
        <v>32.96</v>
      </c>
      <c r="R366" s="8">
        <f>IF($A366="","",IF(ISNUMBER(FIND("IMPVOL",R$1)),_xll.BDH(config!$G$4,R$1,WORKDAY($A366,-1,config_Holiday_Calendar_US),WORKDAY($A366,-1,config_Holiday_Calendar_US)),IF(ISNUMBER(_xll.BDH(config!$G$4,R$1,$A366,$A366)),_xll.BDH(config!$G$4,R$1,$A366,$A366),_xll.BDH(config!$G$5,R$1,$A366,$A366))))</f>
        <v>41.79</v>
      </c>
      <c r="S366" s="8" t="str">
        <f>IF($A366="","",IF(ISNUMBER(FIND("IMPVOL",S$1)),_xll.BDH(config!$G$4,S$1,WORKDAY($A366,-1,config_Holiday_Calendar_US),WORKDAY($A366,-1,config_Holiday_Calendar_US)),IF(ISNUMBER(_xll.BDH(config!$G$4,S$1,$A366,$A366)),_xll.BDH(config!$G$4,S$1,$A366,$A366),_xll.BDH(config!$G$5,S$1,$A366,$A366))))</f>
        <v>#N/A Requesting Data...</v>
      </c>
      <c r="T366" s="8" t="str">
        <f>IF($A366="","",IF(ISNUMBER(FIND("IMPVOL",T$1)),_xll.BDH(config!$G$4,T$1,WORKDAY($A366,-1,config_Holiday_Calendar_US),WORKDAY($A366,-1,config_Holiday_Calendar_US)),IF(ISNUMBER(_xll.BDH(config!$G$4,T$1,$A366,$A366)),_xll.BDH(config!$G$4,T$1,$A366,$A366),_xll.BDH(config!$G$5,T$1,$A366,$A366))))</f>
        <v>#N/A Requesting Data...</v>
      </c>
      <c r="U366" s="8" t="str">
        <f>IF($A366="","",IF(ISNUMBER(FIND("IMPVOL",U$1)),_xll.BDH(config!$G$4,U$1,WORKDAY($A366,-1,config_Holiday_Calendar_US),WORKDAY($A366,-1,config_Holiday_Calendar_US)),IF(ISNUMBER(_xll.BDH(config!$G$4,U$1,$A366,$A366)),_xll.BDH(config!$G$4,U$1,$A366,$A366),_xll.BDH(config!$G$5,U$1,$A366,$A366))))</f>
        <v>#N/A Requesting Data...</v>
      </c>
      <c r="V366" s="8" t="str">
        <f>IF($A366="","",IF(ISNUMBER(FIND("IMPVOL",V$1)),_xll.BDH(config!$G$4,V$1,WORKDAY($A366,-1,config_Holiday_Calendar_US),WORKDAY($A366,-1,config_Holiday_Calendar_US)),IF(ISNUMBER(_xll.BDH(config!$G$4,V$1,$A366,$A366)),_xll.BDH(config!$G$4,V$1,$A366,$A366),_xll.BDH(config!$G$5,V$1,$A366,$A366))))</f>
        <v>#N/A Requesting Data...</v>
      </c>
      <c r="W366" s="8" t="str">
        <f>IF($A366="","",IF(ISNUMBER(FIND("IMPVOL",W$1)),_xll.BDH(config!$G$4,W$1,WORKDAY($A366,-1,config_Holiday_Calendar_US),WORKDAY($A366,-1,config_Holiday_Calendar_US)),IF(ISNUMBER(_xll.BDH(config!$G$4,W$1,$A366,$A366)),_xll.BDH(config!$G$4,W$1,$A366,$A366),_xll.BDH(config!$G$5,W$1,$A366,$A366))))</f>
        <v>#N/A Requesting Data...</v>
      </c>
    </row>
    <row r="367" spans="1:23" x14ac:dyDescent="0.2">
      <c r="A367" s="9">
        <f>IF(A366="","",IF(WORKDAY(A366,-1,config_Holiday_Calendar_US)&lt;config!$I$10,"",WORKDAY(A366,-1,config_Holiday_Calendar_US)))</f>
        <v>42297</v>
      </c>
      <c r="B367" s="8" t="e">
        <f t="shared" si="5"/>
        <v>#VALUE!</v>
      </c>
      <c r="C367" s="8" t="str">
        <f>IF(A367="","",_xll.BDH(config!$H$4,C$1,$A367,$A367))</f>
        <v>#N/A Requesting Data...</v>
      </c>
      <c r="D367" s="8" t="str">
        <f>IF($A367="","",_xll.BDH(config!$H$4,D$1,$A367,$A367))</f>
        <v>#N/A Requesting Data...</v>
      </c>
      <c r="E367" s="8">
        <f>IF($A367="","",IF(ISNUMBER(FIND("IMPVOL",E$1)),_xll.BDH(config!$G$4,E$1,WORKDAY($A367,-1,config_Holiday_Calendar_US),WORKDAY($A367,-1,config_Holiday_Calendar_US)),IF(ISNUMBER(_xll.BDH(config!$G$4,E$1,$A367,$A367)),_xll.BDH(config!$G$4,E$1,$A367,$A367),_xll.BDH(config!$G$5,E$1,$A367,$A367))))</f>
        <v>46.25</v>
      </c>
      <c r="F367" s="8">
        <f>IF($A367="","",IF(ISNUMBER(FIND("IMPVOL",F$1)),_xll.BDH(config!$G$4,F$1,WORKDAY($A367,-1,config_Holiday_Calendar_US),WORKDAY($A367,-1,config_Holiday_Calendar_US)),IF(ISNUMBER(_xll.BDH(config!$G$4,F$1,$A367,$A367)),_xll.BDH(config!$G$4,F$1,$A367,$A367),_xll.BDH(config!$G$5,F$1,$A367,$A367))))</f>
        <v>46.52</v>
      </c>
      <c r="G367" s="8">
        <f>IF($A367="","",IF(ISNUMBER(FIND("IMPVOL",G$1)),_xll.BDH(config!$G$4,G$1,WORKDAY($A367,-1,config_Holiday_Calendar_US),WORKDAY($A367,-1,config_Holiday_Calendar_US)),IF(ISNUMBER(_xll.BDH(config!$G$4,G$1,$A367,$A367)),_xll.BDH(config!$G$4,G$1,$A367,$A367),_xll.BDH(config!$G$5,G$1,$A367,$A367))))</f>
        <v>45.72</v>
      </c>
      <c r="H367" s="8">
        <f>IF($A367="","",IF(ISNUMBER(FIND("IMPVOL",H$1)),_xll.BDH(config!$G$4,H$1,WORKDAY($A367,-1,config_Holiday_Calendar_US),WORKDAY($A367,-1,config_Holiday_Calendar_US)),IF(ISNUMBER(_xll.BDH(config!$G$4,H$1,$A367,$A367)),_xll.BDH(config!$G$4,H$1,$A367,$A367),_xll.BDH(config!$G$5,H$1,$A367,$A367))))</f>
        <v>361314</v>
      </c>
      <c r="I367" s="8" t="str">
        <f>IF($A367="","",IF(ISNUMBER(FIND("IMPVOL",I$1)),_xll.BDH(config!$G$4,I$1,WORKDAY($A367,-1,config_Holiday_Calendar_US),WORKDAY($A367,-1,config_Holiday_Calendar_US)),IF(ISNUMBER(_xll.BDH(config!$G$4,I$1,$A367,$A367)),_xll.BDH(config!$G$4,I$1,$A367,$A367),_xll.BDH(config!$G$5,I$1,$A367,$A367))))</f>
        <v>#N/A Requesting Data...</v>
      </c>
      <c r="J367" s="8" t="str">
        <f>IF($A367="","",IF(ISNUMBER(FIND("IMPVOL",J$1)),_xll.BDH(config!$G$4,J$1,WORKDAY($A367,-1,config_Holiday_Calendar_US),WORKDAY($A367,-1,config_Holiday_Calendar_US)),IF(ISNUMBER(_xll.BDH(config!$G$4,J$1,$A367,$A367)),_xll.BDH(config!$G$4,J$1,$A367,$A367),_xll.BDH(config!$G$5,J$1,$A367,$A367))))</f>
        <v>#N/A Requesting Data...</v>
      </c>
      <c r="K367" s="8" t="str">
        <f>IF($A367="","",IF(ISNUMBER(FIND("IMPVOL",K$1)),_xll.BDH(config!$G$4,K$1,WORKDAY($A367,-1,config_Holiday_Calendar_US),WORKDAY($A367,-1,config_Holiday_Calendar_US)),IF(ISNUMBER(_xll.BDH(config!$G$4,K$1,$A367,$A367)),_xll.BDH(config!$G$4,K$1,$A367,$A367),_xll.BDH(config!$G$5,K$1,$A367,$A367))))</f>
        <v>#N/A Requesting Data...</v>
      </c>
      <c r="L367" s="8" t="str">
        <f>IF($A367="","",IF(ISNUMBER(FIND("IMPVOL",L$1)),_xll.BDH(config!$G$4,L$1,WORKDAY($A367,-1,config_Holiday_Calendar_US),WORKDAY($A367,-1,config_Holiday_Calendar_US)),IF(ISNUMBER(_xll.BDH(config!$G$4,L$1,$A367,$A367)),_xll.BDH(config!$G$4,L$1,$A367,$A367),_xll.BDH(config!$G$5,L$1,$A367,$A367))))</f>
        <v>#N/A Requesting Data...</v>
      </c>
      <c r="M367" s="8" t="str">
        <f>IF($A367="","",IF(ISNUMBER(FIND("IMPVOL",M$1)),_xll.BDH(config!$G$4,M$1,WORKDAY($A367,-1,config_Holiday_Calendar_US),WORKDAY($A367,-1,config_Holiday_Calendar_US)),IF(ISNUMBER(_xll.BDH(config!$G$4,M$1,$A367,$A367)),_xll.BDH(config!$G$4,M$1,$A367,$A367),_xll.BDH(config!$G$5,M$1,$A367,$A367))))</f>
        <v>#N/A Requesting Data...</v>
      </c>
      <c r="N367" s="8" t="str">
        <f>IF($A367="","",IF(ISNUMBER(FIND("IMPVOL",N$1)),_xll.BDH(config!$G$4,N$1,WORKDAY($A367,-1,config_Holiday_Calendar_US),WORKDAY($A367,-1,config_Holiday_Calendar_US)),IF(ISNUMBER(_xll.BDH(config!$G$4,N$1,$A367,$A367)),_xll.BDH(config!$G$4,N$1,$A367,$A367),_xll.BDH(config!$G$5,N$1,$A367,$A367))))</f>
        <v>#N/A Requesting Data...</v>
      </c>
      <c r="O367" s="8" t="str">
        <f>IF($A367="","",IF(ISNUMBER(FIND("IMPVOL",O$1)),_xll.BDH(config!$G$4,O$1,WORKDAY($A367,-1,config_Holiday_Calendar_US),WORKDAY($A367,-1,config_Holiday_Calendar_US)),IF(ISNUMBER(_xll.BDH(config!$G$4,O$1,$A367,$A367)),_xll.BDH(config!$G$4,O$1,$A367,$A367),_xll.BDH(config!$G$5,O$1,$A367,$A367))))</f>
        <v>#N/A Requesting Data...</v>
      </c>
      <c r="P367" s="8" t="str">
        <f>IF($A367="","",IF(ISNUMBER(FIND("IMPVOL",P$1)),_xll.BDH(config!$G$4,P$1,WORKDAY($A367,-1,config_Holiday_Calendar_US),WORKDAY($A367,-1,config_Holiday_Calendar_US)),IF(ISNUMBER(_xll.BDH(config!$G$4,P$1,$A367,$A367)),_xll.BDH(config!$G$4,P$1,$A367,$A367),_xll.BDH(config!$G$5,P$1,$A367,$A367))))</f>
        <v>#N/A Requesting Data...</v>
      </c>
      <c r="Q367" s="8">
        <f>IF($A367="","",IF(ISNUMBER(FIND("IMPVOL",Q$1)),_xll.BDH(config!$G$4,Q$1,WORKDAY($A367,-1,config_Holiday_Calendar_US),WORKDAY($A367,-1,config_Holiday_Calendar_US)),IF(ISNUMBER(_xll.BDH(config!$G$4,Q$1,$A367,$A367)),_xll.BDH(config!$G$4,Q$1,$A367,$A367),_xll.BDH(config!$G$5,Q$1,$A367,$A367))))</f>
        <v>39.99</v>
      </c>
      <c r="R367" s="8">
        <f>IF($A367="","",IF(ISNUMBER(FIND("IMPVOL",R$1)),_xll.BDH(config!$G$4,R$1,WORKDAY($A367,-1,config_Holiday_Calendar_US),WORKDAY($A367,-1,config_Holiday_Calendar_US)),IF(ISNUMBER(_xll.BDH(config!$G$4,R$1,$A367,$A367)),_xll.BDH(config!$G$4,R$1,$A367,$A367),_xll.BDH(config!$G$5,R$1,$A367,$A367))))</f>
        <v>43.09</v>
      </c>
      <c r="S367" s="8" t="str">
        <f>IF($A367="","",IF(ISNUMBER(FIND("IMPVOL",S$1)),_xll.BDH(config!$G$4,S$1,WORKDAY($A367,-1,config_Holiday_Calendar_US),WORKDAY($A367,-1,config_Holiday_Calendar_US)),IF(ISNUMBER(_xll.BDH(config!$G$4,S$1,$A367,$A367)),_xll.BDH(config!$G$4,S$1,$A367,$A367),_xll.BDH(config!$G$5,S$1,$A367,$A367))))</f>
        <v>#N/A Requesting Data...</v>
      </c>
      <c r="T367" s="8" t="str">
        <f>IF($A367="","",IF(ISNUMBER(FIND("IMPVOL",T$1)),_xll.BDH(config!$G$4,T$1,WORKDAY($A367,-1,config_Holiday_Calendar_US),WORKDAY($A367,-1,config_Holiday_Calendar_US)),IF(ISNUMBER(_xll.BDH(config!$G$4,T$1,$A367,$A367)),_xll.BDH(config!$G$4,T$1,$A367,$A367),_xll.BDH(config!$G$5,T$1,$A367,$A367))))</f>
        <v>#N/A Requesting Data...</v>
      </c>
      <c r="U367" s="8" t="str">
        <f>IF($A367="","",IF(ISNUMBER(FIND("IMPVOL",U$1)),_xll.BDH(config!$G$4,U$1,WORKDAY($A367,-1,config_Holiday_Calendar_US),WORKDAY($A367,-1,config_Holiday_Calendar_US)),IF(ISNUMBER(_xll.BDH(config!$G$4,U$1,$A367,$A367)),_xll.BDH(config!$G$4,U$1,$A367,$A367),_xll.BDH(config!$G$5,U$1,$A367,$A367))))</f>
        <v>#N/A Requesting Data...</v>
      </c>
      <c r="V367" s="8" t="str">
        <f>IF($A367="","",IF(ISNUMBER(FIND("IMPVOL",V$1)),_xll.BDH(config!$G$4,V$1,WORKDAY($A367,-1,config_Holiday_Calendar_US),WORKDAY($A367,-1,config_Holiday_Calendar_US)),IF(ISNUMBER(_xll.BDH(config!$G$4,V$1,$A367,$A367)),_xll.BDH(config!$G$4,V$1,$A367,$A367),_xll.BDH(config!$G$5,V$1,$A367,$A367))))</f>
        <v>#N/A Requesting Data...</v>
      </c>
      <c r="W367" s="8" t="str">
        <f>IF($A367="","",IF(ISNUMBER(FIND("IMPVOL",W$1)),_xll.BDH(config!$G$4,W$1,WORKDAY($A367,-1,config_Holiday_Calendar_US),WORKDAY($A367,-1,config_Holiday_Calendar_US)),IF(ISNUMBER(_xll.BDH(config!$G$4,W$1,$A367,$A367)),_xll.BDH(config!$G$4,W$1,$A367,$A367),_xll.BDH(config!$G$5,W$1,$A367,$A367))))</f>
        <v>#N/A Requesting Data...</v>
      </c>
    </row>
    <row r="368" spans="1:23" x14ac:dyDescent="0.2">
      <c r="A368" s="9">
        <f>IF(A367="","",IF(WORKDAY(A367,-1,config_Holiday_Calendar_US)&lt;config!$I$10,"",WORKDAY(A367,-1,config_Holiday_Calendar_US)))</f>
        <v>42296</v>
      </c>
      <c r="B368" s="8" t="e">
        <f t="shared" si="5"/>
        <v>#VALUE!</v>
      </c>
      <c r="C368" s="8" t="str">
        <f>IF(A368="","",_xll.BDH(config!$H$4,C$1,$A368,$A368))</f>
        <v>#N/A Requesting Data...</v>
      </c>
      <c r="D368" s="8" t="str">
        <f>IF($A368="","",_xll.BDH(config!$H$4,D$1,$A368,$A368))</f>
        <v>#N/A Requesting Data...</v>
      </c>
      <c r="E368" s="8">
        <f>IF($A368="","",IF(ISNUMBER(FIND("IMPVOL",E$1)),_xll.BDH(config!$G$4,E$1,WORKDAY($A368,-1,config_Holiday_Calendar_US),WORKDAY($A368,-1,config_Holiday_Calendar_US)),IF(ISNUMBER(_xll.BDH(config!$G$4,E$1,$A368,$A368)),_xll.BDH(config!$G$4,E$1,$A368,$A368),_xll.BDH(config!$G$5,E$1,$A368,$A368))))</f>
        <v>47.27</v>
      </c>
      <c r="F368" s="8">
        <f>IF($A368="","",IF(ISNUMBER(FIND("IMPVOL",F$1)),_xll.BDH(config!$G$4,F$1,WORKDAY($A368,-1,config_Holiday_Calendar_US),WORKDAY($A368,-1,config_Holiday_Calendar_US)),IF(ISNUMBER(_xll.BDH(config!$G$4,F$1,$A368,$A368)),_xll.BDH(config!$G$4,F$1,$A368,$A368),_xll.BDH(config!$G$5,F$1,$A368,$A368))))</f>
        <v>47.49</v>
      </c>
      <c r="G368" s="8">
        <f>IF($A368="","",IF(ISNUMBER(FIND("IMPVOL",G$1)),_xll.BDH(config!$G$4,G$1,WORKDAY($A368,-1,config_Holiday_Calendar_US),WORKDAY($A368,-1,config_Holiday_Calendar_US)),IF(ISNUMBER(_xll.BDH(config!$G$4,G$1,$A368,$A368)),_xll.BDH(config!$G$4,G$1,$A368,$A368),_xll.BDH(config!$G$5,G$1,$A368,$A368))))</f>
        <v>46.22</v>
      </c>
      <c r="H368" s="8">
        <f>IF($A368="","",IF(ISNUMBER(FIND("IMPVOL",H$1)),_xll.BDH(config!$G$4,H$1,WORKDAY($A368,-1,config_Holiday_Calendar_US),WORKDAY($A368,-1,config_Holiday_Calendar_US)),IF(ISNUMBER(_xll.BDH(config!$G$4,H$1,$A368,$A368)),_xll.BDH(config!$G$4,H$1,$A368,$A368),_xll.BDH(config!$G$5,H$1,$A368,$A368))))</f>
        <v>395602</v>
      </c>
      <c r="I368" s="8" t="str">
        <f>IF($A368="","",IF(ISNUMBER(FIND("IMPVOL",I$1)),_xll.BDH(config!$G$4,I$1,WORKDAY($A368,-1,config_Holiday_Calendar_US),WORKDAY($A368,-1,config_Holiday_Calendar_US)),IF(ISNUMBER(_xll.BDH(config!$G$4,I$1,$A368,$A368)),_xll.BDH(config!$G$4,I$1,$A368,$A368),_xll.BDH(config!$G$5,I$1,$A368,$A368))))</f>
        <v>#N/A Requesting Data...</v>
      </c>
      <c r="J368" s="8" t="str">
        <f>IF($A368="","",IF(ISNUMBER(FIND("IMPVOL",J$1)),_xll.BDH(config!$G$4,J$1,WORKDAY($A368,-1,config_Holiday_Calendar_US),WORKDAY($A368,-1,config_Holiday_Calendar_US)),IF(ISNUMBER(_xll.BDH(config!$G$4,J$1,$A368,$A368)),_xll.BDH(config!$G$4,J$1,$A368,$A368),_xll.BDH(config!$G$5,J$1,$A368,$A368))))</f>
        <v>#N/A Requesting Data...</v>
      </c>
      <c r="K368" s="8" t="str">
        <f>IF($A368="","",IF(ISNUMBER(FIND("IMPVOL",K$1)),_xll.BDH(config!$G$4,K$1,WORKDAY($A368,-1,config_Holiday_Calendar_US),WORKDAY($A368,-1,config_Holiday_Calendar_US)),IF(ISNUMBER(_xll.BDH(config!$G$4,K$1,$A368,$A368)),_xll.BDH(config!$G$4,K$1,$A368,$A368),_xll.BDH(config!$G$5,K$1,$A368,$A368))))</f>
        <v>#N/A Requesting Data...</v>
      </c>
      <c r="L368" s="8" t="str">
        <f>IF($A368="","",IF(ISNUMBER(FIND("IMPVOL",L$1)),_xll.BDH(config!$G$4,L$1,WORKDAY($A368,-1,config_Holiday_Calendar_US),WORKDAY($A368,-1,config_Holiday_Calendar_US)),IF(ISNUMBER(_xll.BDH(config!$G$4,L$1,$A368,$A368)),_xll.BDH(config!$G$4,L$1,$A368,$A368),_xll.BDH(config!$G$5,L$1,$A368,$A368))))</f>
        <v>#N/A Requesting Data...</v>
      </c>
      <c r="M368" s="8" t="str">
        <f>IF($A368="","",IF(ISNUMBER(FIND("IMPVOL",M$1)),_xll.BDH(config!$G$4,M$1,WORKDAY($A368,-1,config_Holiday_Calendar_US),WORKDAY($A368,-1,config_Holiday_Calendar_US)),IF(ISNUMBER(_xll.BDH(config!$G$4,M$1,$A368,$A368)),_xll.BDH(config!$G$4,M$1,$A368,$A368),_xll.BDH(config!$G$5,M$1,$A368,$A368))))</f>
        <v>#N/A Requesting Data...</v>
      </c>
      <c r="N368" s="8" t="str">
        <f>IF($A368="","",IF(ISNUMBER(FIND("IMPVOL",N$1)),_xll.BDH(config!$G$4,N$1,WORKDAY($A368,-1,config_Holiday_Calendar_US),WORKDAY($A368,-1,config_Holiday_Calendar_US)),IF(ISNUMBER(_xll.BDH(config!$G$4,N$1,$A368,$A368)),_xll.BDH(config!$G$4,N$1,$A368,$A368),_xll.BDH(config!$G$5,N$1,$A368,$A368))))</f>
        <v>#N/A Requesting Data...</v>
      </c>
      <c r="O368" s="8" t="str">
        <f>IF($A368="","",IF(ISNUMBER(FIND("IMPVOL",O$1)),_xll.BDH(config!$G$4,O$1,WORKDAY($A368,-1,config_Holiday_Calendar_US),WORKDAY($A368,-1,config_Holiday_Calendar_US)),IF(ISNUMBER(_xll.BDH(config!$G$4,O$1,$A368,$A368)),_xll.BDH(config!$G$4,O$1,$A368,$A368),_xll.BDH(config!$G$5,O$1,$A368,$A368))))</f>
        <v>#N/A Requesting Data...</v>
      </c>
      <c r="P368" s="8" t="str">
        <f>IF($A368="","",IF(ISNUMBER(FIND("IMPVOL",P$1)),_xll.BDH(config!$G$4,P$1,WORKDAY($A368,-1,config_Holiday_Calendar_US),WORKDAY($A368,-1,config_Holiday_Calendar_US)),IF(ISNUMBER(_xll.BDH(config!$G$4,P$1,$A368,$A368)),_xll.BDH(config!$G$4,P$1,$A368,$A368),_xll.BDH(config!$G$5,P$1,$A368,$A368))))</f>
        <v>#N/A Requesting Data...</v>
      </c>
      <c r="Q368" s="8">
        <f>IF($A368="","",IF(ISNUMBER(FIND("IMPVOL",Q$1)),_xll.BDH(config!$G$4,Q$1,WORKDAY($A368,-1,config_Holiday_Calendar_US),WORKDAY($A368,-1,config_Holiday_Calendar_US)),IF(ISNUMBER(_xll.BDH(config!$G$4,Q$1,$A368,$A368)),_xll.BDH(config!$G$4,Q$1,$A368,$A368),_xll.BDH(config!$G$5,Q$1,$A368,$A368))))</f>
        <v>40.049999999999997</v>
      </c>
      <c r="R368" s="8">
        <f>IF($A368="","",IF(ISNUMBER(FIND("IMPVOL",R$1)),_xll.BDH(config!$G$4,R$1,WORKDAY($A368,-1,config_Holiday_Calendar_US),WORKDAY($A368,-1,config_Holiday_Calendar_US)),IF(ISNUMBER(_xll.BDH(config!$G$4,R$1,$A368,$A368)),_xll.BDH(config!$G$4,R$1,$A368,$A368),_xll.BDH(config!$G$5,R$1,$A368,$A368))))</f>
        <v>44.75</v>
      </c>
      <c r="S368" s="8" t="str">
        <f>IF($A368="","",IF(ISNUMBER(FIND("IMPVOL",S$1)),_xll.BDH(config!$G$4,S$1,WORKDAY($A368,-1,config_Holiday_Calendar_US),WORKDAY($A368,-1,config_Holiday_Calendar_US)),IF(ISNUMBER(_xll.BDH(config!$G$4,S$1,$A368,$A368)),_xll.BDH(config!$G$4,S$1,$A368,$A368),_xll.BDH(config!$G$5,S$1,$A368,$A368))))</f>
        <v>#N/A Requesting Data...</v>
      </c>
      <c r="T368" s="8" t="str">
        <f>IF($A368="","",IF(ISNUMBER(FIND("IMPVOL",T$1)),_xll.BDH(config!$G$4,T$1,WORKDAY($A368,-1,config_Holiday_Calendar_US),WORKDAY($A368,-1,config_Holiday_Calendar_US)),IF(ISNUMBER(_xll.BDH(config!$G$4,T$1,$A368,$A368)),_xll.BDH(config!$G$4,T$1,$A368,$A368),_xll.BDH(config!$G$5,T$1,$A368,$A368))))</f>
        <v>#N/A Requesting Data...</v>
      </c>
      <c r="U368" s="8" t="str">
        <f>IF($A368="","",IF(ISNUMBER(FIND("IMPVOL",U$1)),_xll.BDH(config!$G$4,U$1,WORKDAY($A368,-1,config_Holiday_Calendar_US),WORKDAY($A368,-1,config_Holiday_Calendar_US)),IF(ISNUMBER(_xll.BDH(config!$G$4,U$1,$A368,$A368)),_xll.BDH(config!$G$4,U$1,$A368,$A368),_xll.BDH(config!$G$5,U$1,$A368,$A368))))</f>
        <v>#N/A Requesting Data...</v>
      </c>
      <c r="V368" s="8" t="str">
        <f>IF($A368="","",IF(ISNUMBER(FIND("IMPVOL",V$1)),_xll.BDH(config!$G$4,V$1,WORKDAY($A368,-1,config_Holiday_Calendar_US),WORKDAY($A368,-1,config_Holiday_Calendar_US)),IF(ISNUMBER(_xll.BDH(config!$G$4,V$1,$A368,$A368)),_xll.BDH(config!$G$4,V$1,$A368,$A368),_xll.BDH(config!$G$5,V$1,$A368,$A368))))</f>
        <v>#N/A Requesting Data...</v>
      </c>
      <c r="W368" s="8" t="str">
        <f>IF($A368="","",IF(ISNUMBER(FIND("IMPVOL",W$1)),_xll.BDH(config!$G$4,W$1,WORKDAY($A368,-1,config_Holiday_Calendar_US),WORKDAY($A368,-1,config_Holiday_Calendar_US)),IF(ISNUMBER(_xll.BDH(config!$G$4,W$1,$A368,$A368)),_xll.BDH(config!$G$4,W$1,$A368,$A368),_xll.BDH(config!$G$5,W$1,$A368,$A368))))</f>
        <v>#N/A Requesting Data...</v>
      </c>
    </row>
    <row r="369" spans="1:23" x14ac:dyDescent="0.2">
      <c r="A369" s="9">
        <f>IF(A368="","",IF(WORKDAY(A368,-1,config_Holiday_Calendar_US)&lt;config!$I$10,"",WORKDAY(A368,-1,config_Holiday_Calendar_US)))</f>
        <v>42293</v>
      </c>
      <c r="B369" s="8" t="e">
        <f t="shared" si="5"/>
        <v>#VALUE!</v>
      </c>
      <c r="C369" s="8" t="str">
        <f>IF(A369="","",_xll.BDH(config!$H$4,C$1,$A369,$A369))</f>
        <v>#N/A Requesting Data...</v>
      </c>
      <c r="D369" s="8" t="str">
        <f>IF($A369="","",_xll.BDH(config!$H$4,D$1,$A369,$A369))</f>
        <v>#N/A Requesting Data...</v>
      </c>
      <c r="E369" s="8">
        <f>IF($A369="","",IF(ISNUMBER(FIND("IMPVOL",E$1)),_xll.BDH(config!$G$4,E$1,WORKDAY($A369,-1,config_Holiday_Calendar_US),WORKDAY($A369,-1,config_Holiday_Calendar_US)),IF(ISNUMBER(_xll.BDH(config!$G$4,E$1,$A369,$A369)),_xll.BDH(config!$G$4,E$1,$A369,$A369),_xll.BDH(config!$G$5,E$1,$A369,$A369))))</f>
        <v>46.87</v>
      </c>
      <c r="F369" s="8">
        <f>IF($A369="","",IF(ISNUMBER(FIND("IMPVOL",F$1)),_xll.BDH(config!$G$4,F$1,WORKDAY($A369,-1,config_Holiday_Calendar_US),WORKDAY($A369,-1,config_Holiday_Calendar_US)),IF(ISNUMBER(_xll.BDH(config!$G$4,F$1,$A369,$A369)),_xll.BDH(config!$G$4,F$1,$A369,$A369),_xll.BDH(config!$G$5,F$1,$A369,$A369))))</f>
        <v>47.5</v>
      </c>
      <c r="G369" s="8">
        <f>IF($A369="","",IF(ISNUMBER(FIND("IMPVOL",G$1)),_xll.BDH(config!$G$4,G$1,WORKDAY($A369,-1,config_Holiday_Calendar_US),WORKDAY($A369,-1,config_Holiday_Calendar_US)),IF(ISNUMBER(_xll.BDH(config!$G$4,G$1,$A369,$A369)),_xll.BDH(config!$G$4,G$1,$A369,$A369),_xll.BDH(config!$G$5,G$1,$A369,$A369))))</f>
        <v>46.64</v>
      </c>
      <c r="H369" s="8">
        <f>IF($A369="","",IF(ISNUMBER(FIND("IMPVOL",H$1)),_xll.BDH(config!$G$4,H$1,WORKDAY($A369,-1,config_Holiday_Calendar_US),WORKDAY($A369,-1,config_Holiday_Calendar_US)),IF(ISNUMBER(_xll.BDH(config!$G$4,H$1,$A369,$A369)),_xll.BDH(config!$G$4,H$1,$A369,$A369),_xll.BDH(config!$G$5,H$1,$A369,$A369))))</f>
        <v>284312</v>
      </c>
      <c r="I369" s="8" t="str">
        <f>IF($A369="","",IF(ISNUMBER(FIND("IMPVOL",I$1)),_xll.BDH(config!$G$4,I$1,WORKDAY($A369,-1,config_Holiday_Calendar_US),WORKDAY($A369,-1,config_Holiday_Calendar_US)),IF(ISNUMBER(_xll.BDH(config!$G$4,I$1,$A369,$A369)),_xll.BDH(config!$G$4,I$1,$A369,$A369),_xll.BDH(config!$G$5,I$1,$A369,$A369))))</f>
        <v>#N/A Requesting Data...</v>
      </c>
      <c r="J369" s="8" t="str">
        <f>IF($A369="","",IF(ISNUMBER(FIND("IMPVOL",J$1)),_xll.BDH(config!$G$4,J$1,WORKDAY($A369,-1,config_Holiday_Calendar_US),WORKDAY($A369,-1,config_Holiday_Calendar_US)),IF(ISNUMBER(_xll.BDH(config!$G$4,J$1,$A369,$A369)),_xll.BDH(config!$G$4,J$1,$A369,$A369),_xll.BDH(config!$G$5,J$1,$A369,$A369))))</f>
        <v>#N/A Requesting Data...</v>
      </c>
      <c r="K369" s="8" t="str">
        <f>IF($A369="","",IF(ISNUMBER(FIND("IMPVOL",K$1)),_xll.BDH(config!$G$4,K$1,WORKDAY($A369,-1,config_Holiday_Calendar_US),WORKDAY($A369,-1,config_Holiday_Calendar_US)),IF(ISNUMBER(_xll.BDH(config!$G$4,K$1,$A369,$A369)),_xll.BDH(config!$G$4,K$1,$A369,$A369),_xll.BDH(config!$G$5,K$1,$A369,$A369))))</f>
        <v>#N/A Requesting Data...</v>
      </c>
      <c r="L369" s="8" t="str">
        <f>IF($A369="","",IF(ISNUMBER(FIND("IMPVOL",L$1)),_xll.BDH(config!$G$4,L$1,WORKDAY($A369,-1,config_Holiday_Calendar_US),WORKDAY($A369,-1,config_Holiday_Calendar_US)),IF(ISNUMBER(_xll.BDH(config!$G$4,L$1,$A369,$A369)),_xll.BDH(config!$G$4,L$1,$A369,$A369),_xll.BDH(config!$G$5,L$1,$A369,$A369))))</f>
        <v>#N/A Requesting Data...</v>
      </c>
      <c r="M369" s="8" t="str">
        <f>IF($A369="","",IF(ISNUMBER(FIND("IMPVOL",M$1)),_xll.BDH(config!$G$4,M$1,WORKDAY($A369,-1,config_Holiday_Calendar_US),WORKDAY($A369,-1,config_Holiday_Calendar_US)),IF(ISNUMBER(_xll.BDH(config!$G$4,M$1,$A369,$A369)),_xll.BDH(config!$G$4,M$1,$A369,$A369),_xll.BDH(config!$G$5,M$1,$A369,$A369))))</f>
        <v>#N/A Requesting Data...</v>
      </c>
      <c r="N369" s="8" t="str">
        <f>IF($A369="","",IF(ISNUMBER(FIND("IMPVOL",N$1)),_xll.BDH(config!$G$4,N$1,WORKDAY($A369,-1,config_Holiday_Calendar_US),WORKDAY($A369,-1,config_Holiday_Calendar_US)),IF(ISNUMBER(_xll.BDH(config!$G$4,N$1,$A369,$A369)),_xll.BDH(config!$G$4,N$1,$A369,$A369),_xll.BDH(config!$G$5,N$1,$A369,$A369))))</f>
        <v>#N/A Requesting Data...</v>
      </c>
      <c r="O369" s="8" t="str">
        <f>IF($A369="","",IF(ISNUMBER(FIND("IMPVOL",O$1)),_xll.BDH(config!$G$4,O$1,WORKDAY($A369,-1,config_Holiday_Calendar_US),WORKDAY($A369,-1,config_Holiday_Calendar_US)),IF(ISNUMBER(_xll.BDH(config!$G$4,O$1,$A369,$A369)),_xll.BDH(config!$G$4,O$1,$A369,$A369),_xll.BDH(config!$G$5,O$1,$A369,$A369))))</f>
        <v>#N/A Requesting Data...</v>
      </c>
      <c r="P369" s="8" t="str">
        <f>IF($A369="","",IF(ISNUMBER(FIND("IMPVOL",P$1)),_xll.BDH(config!$G$4,P$1,WORKDAY($A369,-1,config_Holiday_Calendar_US),WORKDAY($A369,-1,config_Holiday_Calendar_US)),IF(ISNUMBER(_xll.BDH(config!$G$4,P$1,$A369,$A369)),_xll.BDH(config!$G$4,P$1,$A369,$A369),_xll.BDH(config!$G$5,P$1,$A369,$A369))))</f>
        <v>#N/A Requesting Data...</v>
      </c>
      <c r="Q369" s="8">
        <f>IF($A369="","",IF(ISNUMBER(FIND("IMPVOL",Q$1)),_xll.BDH(config!$G$4,Q$1,WORKDAY($A369,-1,config_Holiday_Calendar_US),WORKDAY($A369,-1,config_Holiday_Calendar_US)),IF(ISNUMBER(_xll.BDH(config!$G$4,Q$1,$A369,$A369)),_xll.BDH(config!$G$4,Q$1,$A369,$A369),_xll.BDH(config!$G$5,Q$1,$A369,$A369))))</f>
        <v>46.19</v>
      </c>
      <c r="R369" s="8">
        <f>IF($A369="","",IF(ISNUMBER(FIND("IMPVOL",R$1)),_xll.BDH(config!$G$4,R$1,WORKDAY($A369,-1,config_Holiday_Calendar_US),WORKDAY($A369,-1,config_Holiday_Calendar_US)),IF(ISNUMBER(_xll.BDH(config!$G$4,R$1,$A369,$A369)),_xll.BDH(config!$G$4,R$1,$A369,$A369),_xll.BDH(config!$G$5,R$1,$A369,$A369))))</f>
        <v>43.75</v>
      </c>
      <c r="S369" s="8" t="str">
        <f>IF($A369="","",IF(ISNUMBER(FIND("IMPVOL",S$1)),_xll.BDH(config!$G$4,S$1,WORKDAY($A369,-1,config_Holiday_Calendar_US),WORKDAY($A369,-1,config_Holiday_Calendar_US)),IF(ISNUMBER(_xll.BDH(config!$G$4,S$1,$A369,$A369)),_xll.BDH(config!$G$4,S$1,$A369,$A369),_xll.BDH(config!$G$5,S$1,$A369,$A369))))</f>
        <v>#N/A Requesting Data...</v>
      </c>
      <c r="T369" s="8" t="str">
        <f>IF($A369="","",IF(ISNUMBER(FIND("IMPVOL",T$1)),_xll.BDH(config!$G$4,T$1,WORKDAY($A369,-1,config_Holiday_Calendar_US),WORKDAY($A369,-1,config_Holiday_Calendar_US)),IF(ISNUMBER(_xll.BDH(config!$G$4,T$1,$A369,$A369)),_xll.BDH(config!$G$4,T$1,$A369,$A369),_xll.BDH(config!$G$5,T$1,$A369,$A369))))</f>
        <v>#N/A Requesting Data...</v>
      </c>
      <c r="U369" s="8" t="str">
        <f>IF($A369="","",IF(ISNUMBER(FIND("IMPVOL",U$1)),_xll.BDH(config!$G$4,U$1,WORKDAY($A369,-1,config_Holiday_Calendar_US),WORKDAY($A369,-1,config_Holiday_Calendar_US)),IF(ISNUMBER(_xll.BDH(config!$G$4,U$1,$A369,$A369)),_xll.BDH(config!$G$4,U$1,$A369,$A369),_xll.BDH(config!$G$5,U$1,$A369,$A369))))</f>
        <v>#N/A Requesting Data...</v>
      </c>
      <c r="V369" s="8" t="str">
        <f>IF($A369="","",IF(ISNUMBER(FIND("IMPVOL",V$1)),_xll.BDH(config!$G$4,V$1,WORKDAY($A369,-1,config_Holiday_Calendar_US),WORKDAY($A369,-1,config_Holiday_Calendar_US)),IF(ISNUMBER(_xll.BDH(config!$G$4,V$1,$A369,$A369)),_xll.BDH(config!$G$4,V$1,$A369,$A369),_xll.BDH(config!$G$5,V$1,$A369,$A369))))</f>
        <v>#N/A Requesting Data...</v>
      </c>
      <c r="W369" s="8" t="str">
        <f>IF($A369="","",IF(ISNUMBER(FIND("IMPVOL",W$1)),_xll.BDH(config!$G$4,W$1,WORKDAY($A369,-1,config_Holiday_Calendar_US),WORKDAY($A369,-1,config_Holiday_Calendar_US)),IF(ISNUMBER(_xll.BDH(config!$G$4,W$1,$A369,$A369)),_xll.BDH(config!$G$4,W$1,$A369,$A369),_xll.BDH(config!$G$5,W$1,$A369,$A369))))</f>
        <v>#N/A Requesting Data...</v>
      </c>
    </row>
    <row r="370" spans="1:23" x14ac:dyDescent="0.2">
      <c r="A370" s="9">
        <f>IF(A369="","",IF(WORKDAY(A369,-1,config_Holiday_Calendar_US)&lt;config!$I$10,"",WORKDAY(A369,-1,config_Holiday_Calendar_US)))</f>
        <v>42292</v>
      </c>
      <c r="B370" s="8" t="e">
        <f t="shared" si="5"/>
        <v>#VALUE!</v>
      </c>
      <c r="C370" s="8" t="str">
        <f>IF(A370="","",_xll.BDH(config!$H$4,C$1,$A370,$A370))</f>
        <v>#N/A Requesting Data...</v>
      </c>
      <c r="D370" s="8" t="str">
        <f>IF($A370="","",_xll.BDH(config!$H$4,D$1,$A370,$A370))</f>
        <v>#N/A Requesting Data...</v>
      </c>
      <c r="E370" s="8">
        <f>IF($A370="","",IF(ISNUMBER(FIND("IMPVOL",E$1)),_xll.BDH(config!$G$4,E$1,WORKDAY($A370,-1,config_Holiday_Calendar_US),WORKDAY($A370,-1,config_Holiday_Calendar_US)),IF(ISNUMBER(_xll.BDH(config!$G$4,E$1,$A370,$A370)),_xll.BDH(config!$G$4,E$1,$A370,$A370),_xll.BDH(config!$G$5,E$1,$A370,$A370))))</f>
        <v>46.28</v>
      </c>
      <c r="F370" s="8">
        <f>IF($A370="","",IF(ISNUMBER(FIND("IMPVOL",F$1)),_xll.BDH(config!$G$4,F$1,WORKDAY($A370,-1,config_Holiday_Calendar_US),WORKDAY($A370,-1,config_Holiday_Calendar_US)),IF(ISNUMBER(_xll.BDH(config!$G$4,F$1,$A370,$A370)),_xll.BDH(config!$G$4,F$1,$A370,$A370),_xll.BDH(config!$G$5,F$1,$A370,$A370))))</f>
        <v>47.02</v>
      </c>
      <c r="G370" s="8">
        <f>IF($A370="","",IF(ISNUMBER(FIND("IMPVOL",G$1)),_xll.BDH(config!$G$4,G$1,WORKDAY($A370,-1,config_Holiday_Calendar_US),WORKDAY($A370,-1,config_Holiday_Calendar_US)),IF(ISNUMBER(_xll.BDH(config!$G$4,G$1,$A370,$A370)),_xll.BDH(config!$G$4,G$1,$A370,$A370),_xll.BDH(config!$G$5,G$1,$A370,$A370))))</f>
        <v>45.79</v>
      </c>
      <c r="H370" s="8">
        <f>IF($A370="","",IF(ISNUMBER(FIND("IMPVOL",H$1)),_xll.BDH(config!$G$4,H$1,WORKDAY($A370,-1,config_Holiday_Calendar_US),WORKDAY($A370,-1,config_Holiday_Calendar_US)),IF(ISNUMBER(_xll.BDH(config!$G$4,H$1,$A370,$A370)),_xll.BDH(config!$G$4,H$1,$A370,$A370),_xll.BDH(config!$G$5,H$1,$A370,$A370))))</f>
        <v>276935</v>
      </c>
      <c r="I370" s="8" t="str">
        <f>IF($A370="","",IF(ISNUMBER(FIND("IMPVOL",I$1)),_xll.BDH(config!$G$4,I$1,WORKDAY($A370,-1,config_Holiday_Calendar_US),WORKDAY($A370,-1,config_Holiday_Calendar_US)),IF(ISNUMBER(_xll.BDH(config!$G$4,I$1,$A370,$A370)),_xll.BDH(config!$G$4,I$1,$A370,$A370),_xll.BDH(config!$G$5,I$1,$A370,$A370))))</f>
        <v>#N/A Requesting Data...</v>
      </c>
      <c r="J370" s="8" t="str">
        <f>IF($A370="","",IF(ISNUMBER(FIND("IMPVOL",J$1)),_xll.BDH(config!$G$4,J$1,WORKDAY($A370,-1,config_Holiday_Calendar_US),WORKDAY($A370,-1,config_Holiday_Calendar_US)),IF(ISNUMBER(_xll.BDH(config!$G$4,J$1,$A370,$A370)),_xll.BDH(config!$G$4,J$1,$A370,$A370),_xll.BDH(config!$G$5,J$1,$A370,$A370))))</f>
        <v>#N/A Requesting Data...</v>
      </c>
      <c r="K370" s="8" t="str">
        <f>IF($A370="","",IF(ISNUMBER(FIND("IMPVOL",K$1)),_xll.BDH(config!$G$4,K$1,WORKDAY($A370,-1,config_Holiday_Calendar_US),WORKDAY($A370,-1,config_Holiday_Calendar_US)),IF(ISNUMBER(_xll.BDH(config!$G$4,K$1,$A370,$A370)),_xll.BDH(config!$G$4,K$1,$A370,$A370),_xll.BDH(config!$G$5,K$1,$A370,$A370))))</f>
        <v>#N/A Requesting Data...</v>
      </c>
      <c r="L370" s="8" t="str">
        <f>IF($A370="","",IF(ISNUMBER(FIND("IMPVOL",L$1)),_xll.BDH(config!$G$4,L$1,WORKDAY($A370,-1,config_Holiday_Calendar_US),WORKDAY($A370,-1,config_Holiday_Calendar_US)),IF(ISNUMBER(_xll.BDH(config!$G$4,L$1,$A370,$A370)),_xll.BDH(config!$G$4,L$1,$A370,$A370),_xll.BDH(config!$G$5,L$1,$A370,$A370))))</f>
        <v>#N/A Requesting Data...</v>
      </c>
      <c r="M370" s="8" t="str">
        <f>IF($A370="","",IF(ISNUMBER(FIND("IMPVOL",M$1)),_xll.BDH(config!$G$4,M$1,WORKDAY($A370,-1,config_Holiday_Calendar_US),WORKDAY($A370,-1,config_Holiday_Calendar_US)),IF(ISNUMBER(_xll.BDH(config!$G$4,M$1,$A370,$A370)),_xll.BDH(config!$G$4,M$1,$A370,$A370),_xll.BDH(config!$G$5,M$1,$A370,$A370))))</f>
        <v>#N/A Requesting Data...</v>
      </c>
      <c r="N370" s="8" t="str">
        <f>IF($A370="","",IF(ISNUMBER(FIND("IMPVOL",N$1)),_xll.BDH(config!$G$4,N$1,WORKDAY($A370,-1,config_Holiday_Calendar_US),WORKDAY($A370,-1,config_Holiday_Calendar_US)),IF(ISNUMBER(_xll.BDH(config!$G$4,N$1,$A370,$A370)),_xll.BDH(config!$G$4,N$1,$A370,$A370),_xll.BDH(config!$G$5,N$1,$A370,$A370))))</f>
        <v>#N/A Requesting Data...</v>
      </c>
      <c r="O370" s="8" t="str">
        <f>IF($A370="","",IF(ISNUMBER(FIND("IMPVOL",O$1)),_xll.BDH(config!$G$4,O$1,WORKDAY($A370,-1,config_Holiday_Calendar_US),WORKDAY($A370,-1,config_Holiday_Calendar_US)),IF(ISNUMBER(_xll.BDH(config!$G$4,O$1,$A370,$A370)),_xll.BDH(config!$G$4,O$1,$A370,$A370),_xll.BDH(config!$G$5,O$1,$A370,$A370))))</f>
        <v>#N/A Requesting Data...</v>
      </c>
      <c r="P370" s="8" t="str">
        <f>IF($A370="","",IF(ISNUMBER(FIND("IMPVOL",P$1)),_xll.BDH(config!$G$4,P$1,WORKDAY($A370,-1,config_Holiday_Calendar_US),WORKDAY($A370,-1,config_Holiday_Calendar_US)),IF(ISNUMBER(_xll.BDH(config!$G$4,P$1,$A370,$A370)),_xll.BDH(config!$G$4,P$1,$A370,$A370),_xll.BDH(config!$G$5,P$1,$A370,$A370))))</f>
        <v>#N/A Requesting Data...</v>
      </c>
      <c r="Q370" s="8">
        <f>IF($A370="","",IF(ISNUMBER(FIND("IMPVOL",Q$1)),_xll.BDH(config!$G$4,Q$1,WORKDAY($A370,-1,config_Holiday_Calendar_US),WORKDAY($A370,-1,config_Holiday_Calendar_US)),IF(ISNUMBER(_xll.BDH(config!$G$4,Q$1,$A370,$A370)),_xll.BDH(config!$G$4,Q$1,$A370,$A370),_xll.BDH(config!$G$5,Q$1,$A370,$A370))))</f>
        <v>46</v>
      </c>
      <c r="R370" s="8">
        <f>IF($A370="","",IF(ISNUMBER(FIND("IMPVOL",R$1)),_xll.BDH(config!$G$4,R$1,WORKDAY($A370,-1,config_Holiday_Calendar_US),WORKDAY($A370,-1,config_Holiday_Calendar_US)),IF(ISNUMBER(_xll.BDH(config!$G$4,R$1,$A370,$A370)),_xll.BDH(config!$G$4,R$1,$A370,$A370),_xll.BDH(config!$G$5,R$1,$A370,$A370))))</f>
        <v>43.65</v>
      </c>
      <c r="S370" s="8" t="str">
        <f>IF($A370="","",IF(ISNUMBER(FIND("IMPVOL",S$1)),_xll.BDH(config!$G$4,S$1,WORKDAY($A370,-1,config_Holiday_Calendar_US),WORKDAY($A370,-1,config_Holiday_Calendar_US)),IF(ISNUMBER(_xll.BDH(config!$G$4,S$1,$A370,$A370)),_xll.BDH(config!$G$4,S$1,$A370,$A370),_xll.BDH(config!$G$5,S$1,$A370,$A370))))</f>
        <v>#N/A Requesting Data...</v>
      </c>
      <c r="T370" s="8" t="str">
        <f>IF($A370="","",IF(ISNUMBER(FIND("IMPVOL",T$1)),_xll.BDH(config!$G$4,T$1,WORKDAY($A370,-1,config_Holiday_Calendar_US),WORKDAY($A370,-1,config_Holiday_Calendar_US)),IF(ISNUMBER(_xll.BDH(config!$G$4,T$1,$A370,$A370)),_xll.BDH(config!$G$4,T$1,$A370,$A370),_xll.BDH(config!$G$5,T$1,$A370,$A370))))</f>
        <v>#N/A Requesting Data...</v>
      </c>
      <c r="U370" s="8" t="str">
        <f>IF($A370="","",IF(ISNUMBER(FIND("IMPVOL",U$1)),_xll.BDH(config!$G$4,U$1,WORKDAY($A370,-1,config_Holiday_Calendar_US),WORKDAY($A370,-1,config_Holiday_Calendar_US)),IF(ISNUMBER(_xll.BDH(config!$G$4,U$1,$A370,$A370)),_xll.BDH(config!$G$4,U$1,$A370,$A370),_xll.BDH(config!$G$5,U$1,$A370,$A370))))</f>
        <v>#N/A Requesting Data...</v>
      </c>
      <c r="V370" s="8" t="str">
        <f>IF($A370="","",IF(ISNUMBER(FIND("IMPVOL",V$1)),_xll.BDH(config!$G$4,V$1,WORKDAY($A370,-1,config_Holiday_Calendar_US),WORKDAY($A370,-1,config_Holiday_Calendar_US)),IF(ISNUMBER(_xll.BDH(config!$G$4,V$1,$A370,$A370)),_xll.BDH(config!$G$4,V$1,$A370,$A370),_xll.BDH(config!$G$5,V$1,$A370,$A370))))</f>
        <v>#N/A Requesting Data...</v>
      </c>
      <c r="W370" s="8" t="str">
        <f>IF($A370="","",IF(ISNUMBER(FIND("IMPVOL",W$1)),_xll.BDH(config!$G$4,W$1,WORKDAY($A370,-1,config_Holiday_Calendar_US),WORKDAY($A370,-1,config_Holiday_Calendar_US)),IF(ISNUMBER(_xll.BDH(config!$G$4,W$1,$A370,$A370)),_xll.BDH(config!$G$4,W$1,$A370,$A370),_xll.BDH(config!$G$5,W$1,$A370,$A370))))</f>
        <v>#N/A Requesting Data...</v>
      </c>
    </row>
    <row r="371" spans="1:23" x14ac:dyDescent="0.2">
      <c r="A371" s="9">
        <f>IF(A370="","",IF(WORKDAY(A370,-1,config_Holiday_Calendar_US)&lt;config!$I$10,"",WORKDAY(A370,-1,config_Holiday_Calendar_US)))</f>
        <v>42291</v>
      </c>
      <c r="B371" s="8" t="e">
        <f t="shared" si="5"/>
        <v>#VALUE!</v>
      </c>
      <c r="C371" s="8" t="str">
        <f>IF(A371="","",_xll.BDH(config!$H$4,C$1,$A371,$A371))</f>
        <v>#N/A Requesting Data...</v>
      </c>
      <c r="D371" s="8" t="str">
        <f>IF($A371="","",_xll.BDH(config!$H$4,D$1,$A371,$A371))</f>
        <v>#N/A Requesting Data...</v>
      </c>
      <c r="E371" s="8">
        <f>IF($A371="","",IF(ISNUMBER(FIND("IMPVOL",E$1)),_xll.BDH(config!$G$4,E$1,WORKDAY($A371,-1,config_Holiday_Calendar_US),WORKDAY($A371,-1,config_Holiday_Calendar_US)),IF(ISNUMBER(_xll.BDH(config!$G$4,E$1,$A371,$A371)),_xll.BDH(config!$G$4,E$1,$A371,$A371),_xll.BDH(config!$G$5,E$1,$A371,$A371))))</f>
        <v>46.69</v>
      </c>
      <c r="F371" s="8">
        <f>IF($A371="","",IF(ISNUMBER(FIND("IMPVOL",F$1)),_xll.BDH(config!$G$4,F$1,WORKDAY($A371,-1,config_Holiday_Calendar_US),WORKDAY($A371,-1,config_Holiday_Calendar_US)),IF(ISNUMBER(_xll.BDH(config!$G$4,F$1,$A371,$A371)),_xll.BDH(config!$G$4,F$1,$A371,$A371),_xll.BDH(config!$G$5,F$1,$A371,$A371))))</f>
        <v>46.96</v>
      </c>
      <c r="G371" s="8">
        <f>IF($A371="","",IF(ISNUMBER(FIND("IMPVOL",G$1)),_xll.BDH(config!$G$4,G$1,WORKDAY($A371,-1,config_Holiday_Calendar_US),WORKDAY($A371,-1,config_Holiday_Calendar_US)),IF(ISNUMBER(_xll.BDH(config!$G$4,G$1,$A371,$A371)),_xll.BDH(config!$G$4,G$1,$A371,$A371),_xll.BDH(config!$G$5,G$1,$A371,$A371))))</f>
        <v>46.47</v>
      </c>
      <c r="H371" s="8">
        <f>IF($A371="","",IF(ISNUMBER(FIND("IMPVOL",H$1)),_xll.BDH(config!$G$4,H$1,WORKDAY($A371,-1,config_Holiday_Calendar_US),WORKDAY($A371,-1,config_Holiday_Calendar_US)),IF(ISNUMBER(_xll.BDH(config!$G$4,H$1,$A371,$A371)),_xll.BDH(config!$G$4,H$1,$A371,$A371),_xll.BDH(config!$G$5,H$1,$A371,$A371))))</f>
        <v>191873</v>
      </c>
      <c r="I371" s="8" t="str">
        <f>IF($A371="","",IF(ISNUMBER(FIND("IMPVOL",I$1)),_xll.BDH(config!$G$4,I$1,WORKDAY($A371,-1,config_Holiday_Calendar_US),WORKDAY($A371,-1,config_Holiday_Calendar_US)),IF(ISNUMBER(_xll.BDH(config!$G$4,I$1,$A371,$A371)),_xll.BDH(config!$G$4,I$1,$A371,$A371),_xll.BDH(config!$G$5,I$1,$A371,$A371))))</f>
        <v>#N/A Requesting Data...</v>
      </c>
      <c r="J371" s="8" t="str">
        <f>IF($A371="","",IF(ISNUMBER(FIND("IMPVOL",J$1)),_xll.BDH(config!$G$4,J$1,WORKDAY($A371,-1,config_Holiday_Calendar_US),WORKDAY($A371,-1,config_Holiday_Calendar_US)),IF(ISNUMBER(_xll.BDH(config!$G$4,J$1,$A371,$A371)),_xll.BDH(config!$G$4,J$1,$A371,$A371),_xll.BDH(config!$G$5,J$1,$A371,$A371))))</f>
        <v>#N/A Requesting Data...</v>
      </c>
      <c r="K371" s="8" t="str">
        <f>IF($A371="","",IF(ISNUMBER(FIND("IMPVOL",K$1)),_xll.BDH(config!$G$4,K$1,WORKDAY($A371,-1,config_Holiday_Calendar_US),WORKDAY($A371,-1,config_Holiday_Calendar_US)),IF(ISNUMBER(_xll.BDH(config!$G$4,K$1,$A371,$A371)),_xll.BDH(config!$G$4,K$1,$A371,$A371),_xll.BDH(config!$G$5,K$1,$A371,$A371))))</f>
        <v>#N/A Requesting Data...</v>
      </c>
      <c r="L371" s="8" t="str">
        <f>IF($A371="","",IF(ISNUMBER(FIND("IMPVOL",L$1)),_xll.BDH(config!$G$4,L$1,WORKDAY($A371,-1,config_Holiday_Calendar_US),WORKDAY($A371,-1,config_Holiday_Calendar_US)),IF(ISNUMBER(_xll.BDH(config!$G$4,L$1,$A371,$A371)),_xll.BDH(config!$G$4,L$1,$A371,$A371),_xll.BDH(config!$G$5,L$1,$A371,$A371))))</f>
        <v>#N/A Requesting Data...</v>
      </c>
      <c r="M371" s="8" t="str">
        <f>IF($A371="","",IF(ISNUMBER(FIND("IMPVOL",M$1)),_xll.BDH(config!$G$4,M$1,WORKDAY($A371,-1,config_Holiday_Calendar_US),WORKDAY($A371,-1,config_Holiday_Calendar_US)),IF(ISNUMBER(_xll.BDH(config!$G$4,M$1,$A371,$A371)),_xll.BDH(config!$G$4,M$1,$A371,$A371),_xll.BDH(config!$G$5,M$1,$A371,$A371))))</f>
        <v>#N/A Requesting Data...</v>
      </c>
      <c r="N371" s="8" t="str">
        <f>IF($A371="","",IF(ISNUMBER(FIND("IMPVOL",N$1)),_xll.BDH(config!$G$4,N$1,WORKDAY($A371,-1,config_Holiday_Calendar_US),WORKDAY($A371,-1,config_Holiday_Calendar_US)),IF(ISNUMBER(_xll.BDH(config!$G$4,N$1,$A371,$A371)),_xll.BDH(config!$G$4,N$1,$A371,$A371),_xll.BDH(config!$G$5,N$1,$A371,$A371))))</f>
        <v>#N/A Requesting Data...</v>
      </c>
      <c r="O371" s="8" t="str">
        <f>IF($A371="","",IF(ISNUMBER(FIND("IMPVOL",O$1)),_xll.BDH(config!$G$4,O$1,WORKDAY($A371,-1,config_Holiday_Calendar_US),WORKDAY($A371,-1,config_Holiday_Calendar_US)),IF(ISNUMBER(_xll.BDH(config!$G$4,O$1,$A371,$A371)),_xll.BDH(config!$G$4,O$1,$A371,$A371),_xll.BDH(config!$G$5,O$1,$A371,$A371))))</f>
        <v>#N/A Requesting Data...</v>
      </c>
      <c r="P371" s="8" t="str">
        <f>IF($A371="","",IF(ISNUMBER(FIND("IMPVOL",P$1)),_xll.BDH(config!$G$4,P$1,WORKDAY($A371,-1,config_Holiday_Calendar_US),WORKDAY($A371,-1,config_Holiday_Calendar_US)),IF(ISNUMBER(_xll.BDH(config!$G$4,P$1,$A371,$A371)),_xll.BDH(config!$G$4,P$1,$A371,$A371),_xll.BDH(config!$G$5,P$1,$A371,$A371))))</f>
        <v>#N/A Requesting Data...</v>
      </c>
      <c r="Q371" s="8">
        <f>IF($A371="","",IF(ISNUMBER(FIND("IMPVOL",Q$1)),_xll.BDH(config!$G$4,Q$1,WORKDAY($A371,-1,config_Holiday_Calendar_US),WORKDAY($A371,-1,config_Holiday_Calendar_US)),IF(ISNUMBER(_xll.BDH(config!$G$4,Q$1,$A371,$A371)),_xll.BDH(config!$G$4,Q$1,$A371,$A371),_xll.BDH(config!$G$5,Q$1,$A371,$A371))))</f>
        <v>46.34</v>
      </c>
      <c r="R371" s="8">
        <f>IF($A371="","",IF(ISNUMBER(FIND("IMPVOL",R$1)),_xll.BDH(config!$G$4,R$1,WORKDAY($A371,-1,config_Holiday_Calendar_US),WORKDAY($A371,-1,config_Holiday_Calendar_US)),IF(ISNUMBER(_xll.BDH(config!$G$4,R$1,$A371,$A371)),_xll.BDH(config!$G$4,R$1,$A371,$A371),_xll.BDH(config!$G$5,R$1,$A371,$A371))))</f>
        <v>43.72</v>
      </c>
      <c r="S371" s="8" t="str">
        <f>IF($A371="","",IF(ISNUMBER(FIND("IMPVOL",S$1)),_xll.BDH(config!$G$4,S$1,WORKDAY($A371,-1,config_Holiday_Calendar_US),WORKDAY($A371,-1,config_Holiday_Calendar_US)),IF(ISNUMBER(_xll.BDH(config!$G$4,S$1,$A371,$A371)),_xll.BDH(config!$G$4,S$1,$A371,$A371),_xll.BDH(config!$G$5,S$1,$A371,$A371))))</f>
        <v>#N/A Requesting Data...</v>
      </c>
      <c r="T371" s="8" t="str">
        <f>IF($A371="","",IF(ISNUMBER(FIND("IMPVOL",T$1)),_xll.BDH(config!$G$4,T$1,WORKDAY($A371,-1,config_Holiday_Calendar_US),WORKDAY($A371,-1,config_Holiday_Calendar_US)),IF(ISNUMBER(_xll.BDH(config!$G$4,T$1,$A371,$A371)),_xll.BDH(config!$G$4,T$1,$A371,$A371),_xll.BDH(config!$G$5,T$1,$A371,$A371))))</f>
        <v>#N/A Requesting Data...</v>
      </c>
      <c r="U371" s="8" t="str">
        <f>IF($A371="","",IF(ISNUMBER(FIND("IMPVOL",U$1)),_xll.BDH(config!$G$4,U$1,WORKDAY($A371,-1,config_Holiday_Calendar_US),WORKDAY($A371,-1,config_Holiday_Calendar_US)),IF(ISNUMBER(_xll.BDH(config!$G$4,U$1,$A371,$A371)),_xll.BDH(config!$G$4,U$1,$A371,$A371),_xll.BDH(config!$G$5,U$1,$A371,$A371))))</f>
        <v>#N/A Requesting Data...</v>
      </c>
      <c r="V371" s="8" t="str">
        <f>IF($A371="","",IF(ISNUMBER(FIND("IMPVOL",V$1)),_xll.BDH(config!$G$4,V$1,WORKDAY($A371,-1,config_Holiday_Calendar_US),WORKDAY($A371,-1,config_Holiday_Calendar_US)),IF(ISNUMBER(_xll.BDH(config!$G$4,V$1,$A371,$A371)),_xll.BDH(config!$G$4,V$1,$A371,$A371),_xll.BDH(config!$G$5,V$1,$A371,$A371))))</f>
        <v>#N/A Requesting Data...</v>
      </c>
      <c r="W371" s="8" t="str">
        <f>IF($A371="","",IF(ISNUMBER(FIND("IMPVOL",W$1)),_xll.BDH(config!$G$4,W$1,WORKDAY($A371,-1,config_Holiday_Calendar_US),WORKDAY($A371,-1,config_Holiday_Calendar_US)),IF(ISNUMBER(_xll.BDH(config!$G$4,W$1,$A371,$A371)),_xll.BDH(config!$G$4,W$1,$A371,$A371),_xll.BDH(config!$G$5,W$1,$A371,$A371))))</f>
        <v>#N/A Requesting Data...</v>
      </c>
    </row>
    <row r="372" spans="1:23" x14ac:dyDescent="0.2">
      <c r="A372" s="9">
        <f>IF(A371="","",IF(WORKDAY(A371,-1,config_Holiday_Calendar_US)&lt;config!$I$10,"",WORKDAY(A371,-1,config_Holiday_Calendar_US)))</f>
        <v>42290</v>
      </c>
      <c r="B372" s="8" t="e">
        <f t="shared" si="5"/>
        <v>#VALUE!</v>
      </c>
      <c r="C372" s="8" t="str">
        <f>IF(A372="","",_xll.BDH(config!$H$4,C$1,$A372,$A372))</f>
        <v>#N/A Requesting Data...</v>
      </c>
      <c r="D372" s="8" t="str">
        <f>IF($A372="","",_xll.BDH(config!$H$4,D$1,$A372,$A372))</f>
        <v>#N/A Requesting Data...</v>
      </c>
      <c r="E372" s="8">
        <f>IF($A372="","",IF(ISNUMBER(FIND("IMPVOL",E$1)),_xll.BDH(config!$G$4,E$1,WORKDAY($A372,-1,config_Holiday_Calendar_US),WORKDAY($A372,-1,config_Holiday_Calendar_US)),IF(ISNUMBER(_xll.BDH(config!$G$4,E$1,$A372,$A372)),_xll.BDH(config!$G$4,E$1,$A372,$A372),_xll.BDH(config!$G$5,E$1,$A372,$A372))))</f>
        <v>47.46</v>
      </c>
      <c r="F372" s="8">
        <f>IF($A372="","",IF(ISNUMBER(FIND("IMPVOL",F$1)),_xll.BDH(config!$G$4,F$1,WORKDAY($A372,-1,config_Holiday_Calendar_US),WORKDAY($A372,-1,config_Holiday_Calendar_US)),IF(ISNUMBER(_xll.BDH(config!$G$4,F$1,$A372,$A372)),_xll.BDH(config!$G$4,F$1,$A372,$A372),_xll.BDH(config!$G$5,F$1,$A372,$A372))))</f>
        <v>48.43</v>
      </c>
      <c r="G372" s="8">
        <f>IF($A372="","",IF(ISNUMBER(FIND("IMPVOL",G$1)),_xll.BDH(config!$G$4,G$1,WORKDAY($A372,-1,config_Holiday_Calendar_US),WORKDAY($A372,-1,config_Holiday_Calendar_US)),IF(ISNUMBER(_xll.BDH(config!$G$4,G$1,$A372,$A372)),_xll.BDH(config!$G$4,G$1,$A372,$A372),_xll.BDH(config!$G$5,G$1,$A372,$A372))))</f>
        <v>46.93</v>
      </c>
      <c r="H372" s="8">
        <f>IF($A372="","",IF(ISNUMBER(FIND("IMPVOL",H$1)),_xll.BDH(config!$G$4,H$1,WORKDAY($A372,-1,config_Holiday_Calendar_US),WORKDAY($A372,-1,config_Holiday_Calendar_US)),IF(ISNUMBER(_xll.BDH(config!$G$4,H$1,$A372,$A372)),_xll.BDH(config!$G$4,H$1,$A372,$A372),_xll.BDH(config!$G$5,H$1,$A372,$A372))))</f>
        <v>262780</v>
      </c>
      <c r="I372" s="8" t="str">
        <f>IF($A372="","",IF(ISNUMBER(FIND("IMPVOL",I$1)),_xll.BDH(config!$G$4,I$1,WORKDAY($A372,-1,config_Holiday_Calendar_US),WORKDAY($A372,-1,config_Holiday_Calendar_US)),IF(ISNUMBER(_xll.BDH(config!$G$4,I$1,$A372,$A372)),_xll.BDH(config!$G$4,I$1,$A372,$A372),_xll.BDH(config!$G$5,I$1,$A372,$A372))))</f>
        <v>#N/A Requesting Data...</v>
      </c>
      <c r="J372" s="8" t="str">
        <f>IF($A372="","",IF(ISNUMBER(FIND("IMPVOL",J$1)),_xll.BDH(config!$G$4,J$1,WORKDAY($A372,-1,config_Holiday_Calendar_US),WORKDAY($A372,-1,config_Holiday_Calendar_US)),IF(ISNUMBER(_xll.BDH(config!$G$4,J$1,$A372,$A372)),_xll.BDH(config!$G$4,J$1,$A372,$A372),_xll.BDH(config!$G$5,J$1,$A372,$A372))))</f>
        <v>#N/A Requesting Data...</v>
      </c>
      <c r="K372" s="8" t="str">
        <f>IF($A372="","",IF(ISNUMBER(FIND("IMPVOL",K$1)),_xll.BDH(config!$G$4,K$1,WORKDAY($A372,-1,config_Holiday_Calendar_US),WORKDAY($A372,-1,config_Holiday_Calendar_US)),IF(ISNUMBER(_xll.BDH(config!$G$4,K$1,$A372,$A372)),_xll.BDH(config!$G$4,K$1,$A372,$A372),_xll.BDH(config!$G$5,K$1,$A372,$A372))))</f>
        <v>#N/A Requesting Data...</v>
      </c>
      <c r="L372" s="8" t="str">
        <f>IF($A372="","",IF(ISNUMBER(FIND("IMPVOL",L$1)),_xll.BDH(config!$G$4,L$1,WORKDAY($A372,-1,config_Holiday_Calendar_US),WORKDAY($A372,-1,config_Holiday_Calendar_US)),IF(ISNUMBER(_xll.BDH(config!$G$4,L$1,$A372,$A372)),_xll.BDH(config!$G$4,L$1,$A372,$A372),_xll.BDH(config!$G$5,L$1,$A372,$A372))))</f>
        <v>#N/A Requesting Data...</v>
      </c>
      <c r="M372" s="8" t="str">
        <f>IF($A372="","",IF(ISNUMBER(FIND("IMPVOL",M$1)),_xll.BDH(config!$G$4,M$1,WORKDAY($A372,-1,config_Holiday_Calendar_US),WORKDAY($A372,-1,config_Holiday_Calendar_US)),IF(ISNUMBER(_xll.BDH(config!$G$4,M$1,$A372,$A372)),_xll.BDH(config!$G$4,M$1,$A372,$A372),_xll.BDH(config!$G$5,M$1,$A372,$A372))))</f>
        <v>#N/A Requesting Data...</v>
      </c>
      <c r="N372" s="8" t="str">
        <f>IF($A372="","",IF(ISNUMBER(FIND("IMPVOL",N$1)),_xll.BDH(config!$G$4,N$1,WORKDAY($A372,-1,config_Holiday_Calendar_US),WORKDAY($A372,-1,config_Holiday_Calendar_US)),IF(ISNUMBER(_xll.BDH(config!$G$4,N$1,$A372,$A372)),_xll.BDH(config!$G$4,N$1,$A372,$A372),_xll.BDH(config!$G$5,N$1,$A372,$A372))))</f>
        <v>#N/A Requesting Data...</v>
      </c>
      <c r="O372" s="8" t="str">
        <f>IF($A372="","",IF(ISNUMBER(FIND("IMPVOL",O$1)),_xll.BDH(config!$G$4,O$1,WORKDAY($A372,-1,config_Holiday_Calendar_US),WORKDAY($A372,-1,config_Holiday_Calendar_US)),IF(ISNUMBER(_xll.BDH(config!$G$4,O$1,$A372,$A372)),_xll.BDH(config!$G$4,O$1,$A372,$A372),_xll.BDH(config!$G$5,O$1,$A372,$A372))))</f>
        <v>#N/A Requesting Data...</v>
      </c>
      <c r="P372" s="8" t="str">
        <f>IF($A372="","",IF(ISNUMBER(FIND("IMPVOL",P$1)),_xll.BDH(config!$G$4,P$1,WORKDAY($A372,-1,config_Holiday_Calendar_US),WORKDAY($A372,-1,config_Holiday_Calendar_US)),IF(ISNUMBER(_xll.BDH(config!$G$4,P$1,$A372,$A372)),_xll.BDH(config!$G$4,P$1,$A372,$A372),_xll.BDH(config!$G$5,P$1,$A372,$A372))))</f>
        <v>#N/A Requesting Data...</v>
      </c>
      <c r="Q372" s="8">
        <f>IF($A372="","",IF(ISNUMBER(FIND("IMPVOL",Q$1)),_xll.BDH(config!$G$4,Q$1,WORKDAY($A372,-1,config_Holiday_Calendar_US),WORKDAY($A372,-1,config_Holiday_Calendar_US)),IF(ISNUMBER(_xll.BDH(config!$G$4,Q$1,$A372,$A372)),_xll.BDH(config!$G$4,Q$1,$A372,$A372),_xll.BDH(config!$G$5,Q$1,$A372,$A372))))</f>
        <v>46.77</v>
      </c>
      <c r="R372" s="8">
        <f>IF($A372="","",IF(ISNUMBER(FIND("IMPVOL",R$1)),_xll.BDH(config!$G$4,R$1,WORKDAY($A372,-1,config_Holiday_Calendar_US),WORKDAY($A372,-1,config_Holiday_Calendar_US)),IF(ISNUMBER(_xll.BDH(config!$G$4,R$1,$A372,$A372)),_xll.BDH(config!$G$4,R$1,$A372,$A372),_xll.BDH(config!$G$5,R$1,$A372,$A372))))</f>
        <v>44.04</v>
      </c>
      <c r="S372" s="8" t="str">
        <f>IF($A372="","",IF(ISNUMBER(FIND("IMPVOL",S$1)),_xll.BDH(config!$G$4,S$1,WORKDAY($A372,-1,config_Holiday_Calendar_US),WORKDAY($A372,-1,config_Holiday_Calendar_US)),IF(ISNUMBER(_xll.BDH(config!$G$4,S$1,$A372,$A372)),_xll.BDH(config!$G$4,S$1,$A372,$A372),_xll.BDH(config!$G$5,S$1,$A372,$A372))))</f>
        <v>#N/A Requesting Data...</v>
      </c>
      <c r="T372" s="8" t="str">
        <f>IF($A372="","",IF(ISNUMBER(FIND("IMPVOL",T$1)),_xll.BDH(config!$G$4,T$1,WORKDAY($A372,-1,config_Holiday_Calendar_US),WORKDAY($A372,-1,config_Holiday_Calendar_US)),IF(ISNUMBER(_xll.BDH(config!$G$4,T$1,$A372,$A372)),_xll.BDH(config!$G$4,T$1,$A372,$A372),_xll.BDH(config!$G$5,T$1,$A372,$A372))))</f>
        <v>#N/A Requesting Data...</v>
      </c>
      <c r="U372" s="8" t="str">
        <f>IF($A372="","",IF(ISNUMBER(FIND("IMPVOL",U$1)),_xll.BDH(config!$G$4,U$1,WORKDAY($A372,-1,config_Holiday_Calendar_US),WORKDAY($A372,-1,config_Holiday_Calendar_US)),IF(ISNUMBER(_xll.BDH(config!$G$4,U$1,$A372,$A372)),_xll.BDH(config!$G$4,U$1,$A372,$A372),_xll.BDH(config!$G$5,U$1,$A372,$A372))))</f>
        <v>#N/A Requesting Data...</v>
      </c>
      <c r="V372" s="8" t="str">
        <f>IF($A372="","",IF(ISNUMBER(FIND("IMPVOL",V$1)),_xll.BDH(config!$G$4,V$1,WORKDAY($A372,-1,config_Holiday_Calendar_US),WORKDAY($A372,-1,config_Holiday_Calendar_US)),IF(ISNUMBER(_xll.BDH(config!$G$4,V$1,$A372,$A372)),_xll.BDH(config!$G$4,V$1,$A372,$A372),_xll.BDH(config!$G$5,V$1,$A372,$A372))))</f>
        <v>#N/A Requesting Data...</v>
      </c>
      <c r="W372" s="8" t="str">
        <f>IF($A372="","",IF(ISNUMBER(FIND("IMPVOL",W$1)),_xll.BDH(config!$G$4,W$1,WORKDAY($A372,-1,config_Holiday_Calendar_US),WORKDAY($A372,-1,config_Holiday_Calendar_US)),IF(ISNUMBER(_xll.BDH(config!$G$4,W$1,$A372,$A372)),_xll.BDH(config!$G$4,W$1,$A372,$A372),_xll.BDH(config!$G$5,W$1,$A372,$A372))))</f>
        <v>#N/A Requesting Data...</v>
      </c>
    </row>
    <row r="373" spans="1:23" x14ac:dyDescent="0.2">
      <c r="A373" s="9">
        <f>IF(A372="","",IF(WORKDAY(A372,-1,config_Holiday_Calendar_US)&lt;config!$I$10,"",WORKDAY(A372,-1,config_Holiday_Calendar_US)))</f>
        <v>42286</v>
      </c>
      <c r="B373" s="8" t="e">
        <f t="shared" si="5"/>
        <v>#VALUE!</v>
      </c>
      <c r="C373" s="8" t="str">
        <f>IF(A373="","",_xll.BDH(config!$H$4,C$1,$A373,$A373))</f>
        <v>#N/A Requesting Data...</v>
      </c>
      <c r="D373" s="8" t="str">
        <f>IF($A373="","",_xll.BDH(config!$H$4,D$1,$A373,$A373))</f>
        <v>#N/A Requesting Data...</v>
      </c>
      <c r="E373" s="8">
        <f>IF($A373="","",IF(ISNUMBER(FIND("IMPVOL",E$1)),_xll.BDH(config!$G$4,E$1,WORKDAY($A373,-1,config_Holiday_Calendar_US),WORKDAY($A373,-1,config_Holiday_Calendar_US)),IF(ISNUMBER(_xll.BDH(config!$G$4,E$1,$A373,$A373)),_xll.BDH(config!$G$4,E$1,$A373,$A373),_xll.BDH(config!$G$5,E$1,$A373,$A373))))</f>
        <v>49.69</v>
      </c>
      <c r="F373" s="8">
        <f>IF($A373="","",IF(ISNUMBER(FIND("IMPVOL",F$1)),_xll.BDH(config!$G$4,F$1,WORKDAY($A373,-1,config_Holiday_Calendar_US),WORKDAY($A373,-1,config_Holiday_Calendar_US)),IF(ISNUMBER(_xll.BDH(config!$G$4,F$1,$A373,$A373)),_xll.BDH(config!$G$4,F$1,$A373,$A373),_xll.BDH(config!$G$5,F$1,$A373,$A373))))</f>
        <v>50.92</v>
      </c>
      <c r="G373" s="8">
        <f>IF($A373="","",IF(ISNUMBER(FIND("IMPVOL",G$1)),_xll.BDH(config!$G$4,G$1,WORKDAY($A373,-1,config_Holiday_Calendar_US),WORKDAY($A373,-1,config_Holiday_Calendar_US)),IF(ISNUMBER(_xll.BDH(config!$G$4,G$1,$A373,$A373)),_xll.BDH(config!$G$4,G$1,$A373,$A373),_xll.BDH(config!$G$5,G$1,$A373,$A373))))</f>
        <v>49.69</v>
      </c>
      <c r="H373" s="8">
        <f>IF($A373="","",IF(ISNUMBER(FIND("IMPVOL",H$1)),_xll.BDH(config!$G$4,H$1,WORKDAY($A373,-1,config_Holiday_Calendar_US),WORKDAY($A373,-1,config_Holiday_Calendar_US)),IF(ISNUMBER(_xll.BDH(config!$G$4,H$1,$A373,$A373)),_xll.BDH(config!$G$4,H$1,$A373,$A373),_xll.BDH(config!$G$5,H$1,$A373,$A373))))</f>
        <v>271679</v>
      </c>
      <c r="I373" s="8" t="str">
        <f>IF($A373="","",IF(ISNUMBER(FIND("IMPVOL",I$1)),_xll.BDH(config!$G$4,I$1,WORKDAY($A373,-1,config_Holiday_Calendar_US),WORKDAY($A373,-1,config_Holiday_Calendar_US)),IF(ISNUMBER(_xll.BDH(config!$G$4,I$1,$A373,$A373)),_xll.BDH(config!$G$4,I$1,$A373,$A373),_xll.BDH(config!$G$5,I$1,$A373,$A373))))</f>
        <v>#N/A Requesting Data...</v>
      </c>
      <c r="J373" s="8" t="str">
        <f>IF($A373="","",IF(ISNUMBER(FIND("IMPVOL",J$1)),_xll.BDH(config!$G$4,J$1,WORKDAY($A373,-1,config_Holiday_Calendar_US),WORKDAY($A373,-1,config_Holiday_Calendar_US)),IF(ISNUMBER(_xll.BDH(config!$G$4,J$1,$A373,$A373)),_xll.BDH(config!$G$4,J$1,$A373,$A373),_xll.BDH(config!$G$5,J$1,$A373,$A373))))</f>
        <v>#N/A Requesting Data...</v>
      </c>
      <c r="K373" s="8" t="str">
        <f>IF($A373="","",IF(ISNUMBER(FIND("IMPVOL",K$1)),_xll.BDH(config!$G$4,K$1,WORKDAY($A373,-1,config_Holiday_Calendar_US),WORKDAY($A373,-1,config_Holiday_Calendar_US)),IF(ISNUMBER(_xll.BDH(config!$G$4,K$1,$A373,$A373)),_xll.BDH(config!$G$4,K$1,$A373,$A373),_xll.BDH(config!$G$5,K$1,$A373,$A373))))</f>
        <v>#N/A Requesting Data...</v>
      </c>
      <c r="L373" s="8" t="str">
        <f>IF($A373="","",IF(ISNUMBER(FIND("IMPVOL",L$1)),_xll.BDH(config!$G$4,L$1,WORKDAY($A373,-1,config_Holiday_Calendar_US),WORKDAY($A373,-1,config_Holiday_Calendar_US)),IF(ISNUMBER(_xll.BDH(config!$G$4,L$1,$A373,$A373)),_xll.BDH(config!$G$4,L$1,$A373,$A373),_xll.BDH(config!$G$5,L$1,$A373,$A373))))</f>
        <v>#N/A Requesting Data...</v>
      </c>
      <c r="M373" s="8" t="str">
        <f>IF($A373="","",IF(ISNUMBER(FIND("IMPVOL",M$1)),_xll.BDH(config!$G$4,M$1,WORKDAY($A373,-1,config_Holiday_Calendar_US),WORKDAY($A373,-1,config_Holiday_Calendar_US)),IF(ISNUMBER(_xll.BDH(config!$G$4,M$1,$A373,$A373)),_xll.BDH(config!$G$4,M$1,$A373,$A373),_xll.BDH(config!$G$5,M$1,$A373,$A373))))</f>
        <v>#N/A Requesting Data...</v>
      </c>
      <c r="N373" s="8" t="str">
        <f>IF($A373="","",IF(ISNUMBER(FIND("IMPVOL",N$1)),_xll.BDH(config!$G$4,N$1,WORKDAY($A373,-1,config_Holiday_Calendar_US),WORKDAY($A373,-1,config_Holiday_Calendar_US)),IF(ISNUMBER(_xll.BDH(config!$G$4,N$1,$A373,$A373)),_xll.BDH(config!$G$4,N$1,$A373,$A373),_xll.BDH(config!$G$5,N$1,$A373,$A373))))</f>
        <v>#N/A Requesting Data...</v>
      </c>
      <c r="O373" s="8" t="str">
        <f>IF($A373="","",IF(ISNUMBER(FIND("IMPVOL",O$1)),_xll.BDH(config!$G$4,O$1,WORKDAY($A373,-1,config_Holiday_Calendar_US),WORKDAY($A373,-1,config_Holiday_Calendar_US)),IF(ISNUMBER(_xll.BDH(config!$G$4,O$1,$A373,$A373)),_xll.BDH(config!$G$4,O$1,$A373,$A373),_xll.BDH(config!$G$5,O$1,$A373,$A373))))</f>
        <v>#N/A Requesting Data...</v>
      </c>
      <c r="P373" s="8" t="str">
        <f>IF($A373="","",IF(ISNUMBER(FIND("IMPVOL",P$1)),_xll.BDH(config!$G$4,P$1,WORKDAY($A373,-1,config_Holiday_Calendar_US),WORKDAY($A373,-1,config_Holiday_Calendar_US)),IF(ISNUMBER(_xll.BDH(config!$G$4,P$1,$A373,$A373)),_xll.BDH(config!$G$4,P$1,$A373,$A373),_xll.BDH(config!$G$5,P$1,$A373,$A373))))</f>
        <v>#N/A Requesting Data...</v>
      </c>
      <c r="Q373" s="8">
        <f>IF($A373="","",IF(ISNUMBER(FIND("IMPVOL",Q$1)),_xll.BDH(config!$G$4,Q$1,WORKDAY($A373,-1,config_Holiday_Calendar_US),WORKDAY($A373,-1,config_Holiday_Calendar_US)),IF(ISNUMBER(_xll.BDH(config!$G$4,Q$1,$A373,$A373)),_xll.BDH(config!$G$4,Q$1,$A373,$A373),_xll.BDH(config!$G$5,Q$1,$A373,$A373))))</f>
        <v>31.27</v>
      </c>
      <c r="R373" s="8">
        <f>IF($A373="","",IF(ISNUMBER(FIND("IMPVOL",R$1)),_xll.BDH(config!$G$4,R$1,WORKDAY($A373,-1,config_Holiday_Calendar_US),WORKDAY($A373,-1,config_Holiday_Calendar_US)),IF(ISNUMBER(_xll.BDH(config!$G$4,R$1,$A373,$A373)),_xll.BDH(config!$G$4,R$1,$A373,$A373),_xll.BDH(config!$G$5,R$1,$A373,$A373))))</f>
        <v>53.93</v>
      </c>
      <c r="S373" s="8" t="str">
        <f>IF($A373="","",IF(ISNUMBER(FIND("IMPVOL",S$1)),_xll.BDH(config!$G$4,S$1,WORKDAY($A373,-1,config_Holiday_Calendar_US),WORKDAY($A373,-1,config_Holiday_Calendar_US)),IF(ISNUMBER(_xll.BDH(config!$G$4,S$1,$A373,$A373)),_xll.BDH(config!$G$4,S$1,$A373,$A373),_xll.BDH(config!$G$5,S$1,$A373,$A373))))</f>
        <v>#N/A Requesting Data...</v>
      </c>
      <c r="T373" s="8" t="str">
        <f>IF($A373="","",IF(ISNUMBER(FIND("IMPVOL",T$1)),_xll.BDH(config!$G$4,T$1,WORKDAY($A373,-1,config_Holiday_Calendar_US),WORKDAY($A373,-1,config_Holiday_Calendar_US)),IF(ISNUMBER(_xll.BDH(config!$G$4,T$1,$A373,$A373)),_xll.BDH(config!$G$4,T$1,$A373,$A373),_xll.BDH(config!$G$5,T$1,$A373,$A373))))</f>
        <v>#N/A Requesting Data...</v>
      </c>
      <c r="U373" s="8" t="str">
        <f>IF($A373="","",IF(ISNUMBER(FIND("IMPVOL",U$1)),_xll.BDH(config!$G$4,U$1,WORKDAY($A373,-1,config_Holiday_Calendar_US),WORKDAY($A373,-1,config_Holiday_Calendar_US)),IF(ISNUMBER(_xll.BDH(config!$G$4,U$1,$A373,$A373)),_xll.BDH(config!$G$4,U$1,$A373,$A373),_xll.BDH(config!$G$5,U$1,$A373,$A373))))</f>
        <v>#N/A Requesting Data...</v>
      </c>
      <c r="V373" s="8" t="str">
        <f>IF($A373="","",IF(ISNUMBER(FIND("IMPVOL",V$1)),_xll.BDH(config!$G$4,V$1,WORKDAY($A373,-1,config_Holiday_Calendar_US),WORKDAY($A373,-1,config_Holiday_Calendar_US)),IF(ISNUMBER(_xll.BDH(config!$G$4,V$1,$A373,$A373)),_xll.BDH(config!$G$4,V$1,$A373,$A373),_xll.BDH(config!$G$5,V$1,$A373,$A373))))</f>
        <v>#N/A Requesting Data...</v>
      </c>
      <c r="W373" s="8" t="str">
        <f>IF($A373="","",IF(ISNUMBER(FIND("IMPVOL",W$1)),_xll.BDH(config!$G$4,W$1,WORKDAY($A373,-1,config_Holiday_Calendar_US),WORKDAY($A373,-1,config_Holiday_Calendar_US)),IF(ISNUMBER(_xll.BDH(config!$G$4,W$1,$A373,$A373)),_xll.BDH(config!$G$4,W$1,$A373,$A373),_xll.BDH(config!$G$5,W$1,$A373,$A373))))</f>
        <v>#N/A Requesting Data...</v>
      </c>
    </row>
    <row r="374" spans="1:23" x14ac:dyDescent="0.2">
      <c r="A374" s="9">
        <f>IF(A373="","",IF(WORKDAY(A373,-1,config_Holiday_Calendar_US)&lt;config!$I$10,"",WORKDAY(A373,-1,config_Holiday_Calendar_US)))</f>
        <v>42285</v>
      </c>
      <c r="B374" s="8" t="e">
        <f t="shared" si="5"/>
        <v>#VALUE!</v>
      </c>
      <c r="C374" s="8" t="str">
        <f>IF(A374="","",_xll.BDH(config!$H$4,C$1,$A374,$A374))</f>
        <v>#N/A Requesting Data...</v>
      </c>
      <c r="D374" s="8" t="str">
        <f>IF($A374="","",_xll.BDH(config!$H$4,D$1,$A374,$A374))</f>
        <v>#N/A Requesting Data...</v>
      </c>
      <c r="E374" s="8">
        <f>IF($A374="","",IF(ISNUMBER(FIND("IMPVOL",E$1)),_xll.BDH(config!$G$4,E$1,WORKDAY($A374,-1,config_Holiday_Calendar_US),WORKDAY($A374,-1,config_Holiday_Calendar_US)),IF(ISNUMBER(_xll.BDH(config!$G$4,E$1,$A374,$A374)),_xll.BDH(config!$G$4,E$1,$A374,$A374),_xll.BDH(config!$G$5,E$1,$A374,$A374))))</f>
        <v>48.11</v>
      </c>
      <c r="F374" s="8">
        <f>IF($A374="","",IF(ISNUMBER(FIND("IMPVOL",F$1)),_xll.BDH(config!$G$4,F$1,WORKDAY($A374,-1,config_Holiday_Calendar_US),WORKDAY($A374,-1,config_Holiday_Calendar_US)),IF(ISNUMBER(_xll.BDH(config!$G$4,F$1,$A374,$A374)),_xll.BDH(config!$G$4,F$1,$A374,$A374),_xll.BDH(config!$G$5,F$1,$A374,$A374))))</f>
        <v>50.07</v>
      </c>
      <c r="G374" s="8">
        <f>IF($A374="","",IF(ISNUMBER(FIND("IMPVOL",G$1)),_xll.BDH(config!$G$4,G$1,WORKDAY($A374,-1,config_Holiday_Calendar_US),WORKDAY($A374,-1,config_Holiday_Calendar_US)),IF(ISNUMBER(_xll.BDH(config!$G$4,G$1,$A374,$A374)),_xll.BDH(config!$G$4,G$1,$A374,$A374),_xll.BDH(config!$G$5,G$1,$A374,$A374))))</f>
        <v>48.32</v>
      </c>
      <c r="H374" s="8">
        <f>IF($A374="","",IF(ISNUMBER(FIND("IMPVOL",H$1)),_xll.BDH(config!$G$4,H$1,WORKDAY($A374,-1,config_Holiday_Calendar_US),WORKDAY($A374,-1,config_Holiday_Calendar_US)),IF(ISNUMBER(_xll.BDH(config!$G$4,H$1,$A374,$A374)),_xll.BDH(config!$G$4,H$1,$A374,$A374),_xll.BDH(config!$G$5,H$1,$A374,$A374))))</f>
        <v>251310</v>
      </c>
      <c r="I374" s="8" t="str">
        <f>IF($A374="","",IF(ISNUMBER(FIND("IMPVOL",I$1)),_xll.BDH(config!$G$4,I$1,WORKDAY($A374,-1,config_Holiday_Calendar_US),WORKDAY($A374,-1,config_Holiday_Calendar_US)),IF(ISNUMBER(_xll.BDH(config!$G$4,I$1,$A374,$A374)),_xll.BDH(config!$G$4,I$1,$A374,$A374),_xll.BDH(config!$G$5,I$1,$A374,$A374))))</f>
        <v>#N/A Requesting Data...</v>
      </c>
      <c r="J374" s="8" t="str">
        <f>IF($A374="","",IF(ISNUMBER(FIND("IMPVOL",J$1)),_xll.BDH(config!$G$4,J$1,WORKDAY($A374,-1,config_Holiday_Calendar_US),WORKDAY($A374,-1,config_Holiday_Calendar_US)),IF(ISNUMBER(_xll.BDH(config!$G$4,J$1,$A374,$A374)),_xll.BDH(config!$G$4,J$1,$A374,$A374),_xll.BDH(config!$G$5,J$1,$A374,$A374))))</f>
        <v>#N/A Requesting Data...</v>
      </c>
      <c r="K374" s="8" t="str">
        <f>IF($A374="","",IF(ISNUMBER(FIND("IMPVOL",K$1)),_xll.BDH(config!$G$4,K$1,WORKDAY($A374,-1,config_Holiday_Calendar_US),WORKDAY($A374,-1,config_Holiday_Calendar_US)),IF(ISNUMBER(_xll.BDH(config!$G$4,K$1,$A374,$A374)),_xll.BDH(config!$G$4,K$1,$A374,$A374),_xll.BDH(config!$G$5,K$1,$A374,$A374))))</f>
        <v>#N/A Requesting Data...</v>
      </c>
      <c r="L374" s="8" t="str">
        <f>IF($A374="","",IF(ISNUMBER(FIND("IMPVOL",L$1)),_xll.BDH(config!$G$4,L$1,WORKDAY($A374,-1,config_Holiday_Calendar_US),WORKDAY($A374,-1,config_Holiday_Calendar_US)),IF(ISNUMBER(_xll.BDH(config!$G$4,L$1,$A374,$A374)),_xll.BDH(config!$G$4,L$1,$A374,$A374),_xll.BDH(config!$G$5,L$1,$A374,$A374))))</f>
        <v>#N/A Requesting Data...</v>
      </c>
      <c r="M374" s="8" t="str">
        <f>IF($A374="","",IF(ISNUMBER(FIND("IMPVOL",M$1)),_xll.BDH(config!$G$4,M$1,WORKDAY($A374,-1,config_Holiday_Calendar_US),WORKDAY($A374,-1,config_Holiday_Calendar_US)),IF(ISNUMBER(_xll.BDH(config!$G$4,M$1,$A374,$A374)),_xll.BDH(config!$G$4,M$1,$A374,$A374),_xll.BDH(config!$G$5,M$1,$A374,$A374))))</f>
        <v>#N/A Requesting Data...</v>
      </c>
      <c r="N374" s="8" t="str">
        <f>IF($A374="","",IF(ISNUMBER(FIND("IMPVOL",N$1)),_xll.BDH(config!$G$4,N$1,WORKDAY($A374,-1,config_Holiday_Calendar_US),WORKDAY($A374,-1,config_Holiday_Calendar_US)),IF(ISNUMBER(_xll.BDH(config!$G$4,N$1,$A374,$A374)),_xll.BDH(config!$G$4,N$1,$A374,$A374),_xll.BDH(config!$G$5,N$1,$A374,$A374))))</f>
        <v>#N/A Requesting Data...</v>
      </c>
      <c r="O374" s="8" t="str">
        <f>IF($A374="","",IF(ISNUMBER(FIND("IMPVOL",O$1)),_xll.BDH(config!$G$4,O$1,WORKDAY($A374,-1,config_Holiday_Calendar_US),WORKDAY($A374,-1,config_Holiday_Calendar_US)),IF(ISNUMBER(_xll.BDH(config!$G$4,O$1,$A374,$A374)),_xll.BDH(config!$G$4,O$1,$A374,$A374),_xll.BDH(config!$G$5,O$1,$A374,$A374))))</f>
        <v>#N/A Requesting Data...</v>
      </c>
      <c r="P374" s="8" t="str">
        <f>IF($A374="","",IF(ISNUMBER(FIND("IMPVOL",P$1)),_xll.BDH(config!$G$4,P$1,WORKDAY($A374,-1,config_Holiday_Calendar_US),WORKDAY($A374,-1,config_Holiday_Calendar_US)),IF(ISNUMBER(_xll.BDH(config!$G$4,P$1,$A374,$A374)),_xll.BDH(config!$G$4,P$1,$A374,$A374),_xll.BDH(config!$G$5,P$1,$A374,$A374))))</f>
        <v>#N/A Requesting Data...</v>
      </c>
      <c r="Q374" s="8">
        <f>IF($A374="","",IF(ISNUMBER(FIND("IMPVOL",Q$1)),_xll.BDH(config!$G$4,Q$1,WORKDAY($A374,-1,config_Holiday_Calendar_US),WORKDAY($A374,-1,config_Holiday_Calendar_US)),IF(ISNUMBER(_xll.BDH(config!$G$4,Q$1,$A374,$A374)),_xll.BDH(config!$G$4,Q$1,$A374,$A374),_xll.BDH(config!$G$5,Q$1,$A374,$A374))))</f>
        <v>38.299999999999997</v>
      </c>
      <c r="R374" s="8">
        <f>IF($A374="","",IF(ISNUMBER(FIND("IMPVOL",R$1)),_xll.BDH(config!$G$4,R$1,WORKDAY($A374,-1,config_Holiday_Calendar_US),WORKDAY($A374,-1,config_Holiday_Calendar_US)),IF(ISNUMBER(_xll.BDH(config!$G$4,R$1,$A374,$A374)),_xll.BDH(config!$G$4,R$1,$A374,$A374),_xll.BDH(config!$G$5,R$1,$A374,$A374))))</f>
        <v>56.42</v>
      </c>
      <c r="S374" s="8" t="str">
        <f>IF($A374="","",IF(ISNUMBER(FIND("IMPVOL",S$1)),_xll.BDH(config!$G$4,S$1,WORKDAY($A374,-1,config_Holiday_Calendar_US),WORKDAY($A374,-1,config_Holiday_Calendar_US)),IF(ISNUMBER(_xll.BDH(config!$G$4,S$1,$A374,$A374)),_xll.BDH(config!$G$4,S$1,$A374,$A374),_xll.BDH(config!$G$5,S$1,$A374,$A374))))</f>
        <v>#N/A Requesting Data...</v>
      </c>
      <c r="T374" s="8" t="str">
        <f>IF($A374="","",IF(ISNUMBER(FIND("IMPVOL",T$1)),_xll.BDH(config!$G$4,T$1,WORKDAY($A374,-1,config_Holiday_Calendar_US),WORKDAY($A374,-1,config_Holiday_Calendar_US)),IF(ISNUMBER(_xll.BDH(config!$G$4,T$1,$A374,$A374)),_xll.BDH(config!$G$4,T$1,$A374,$A374),_xll.BDH(config!$G$5,T$1,$A374,$A374))))</f>
        <v>#N/A Requesting Data...</v>
      </c>
      <c r="U374" s="8" t="str">
        <f>IF($A374="","",IF(ISNUMBER(FIND("IMPVOL",U$1)),_xll.BDH(config!$G$4,U$1,WORKDAY($A374,-1,config_Holiday_Calendar_US),WORKDAY($A374,-1,config_Holiday_Calendar_US)),IF(ISNUMBER(_xll.BDH(config!$G$4,U$1,$A374,$A374)),_xll.BDH(config!$G$4,U$1,$A374,$A374),_xll.BDH(config!$G$5,U$1,$A374,$A374))))</f>
        <v>#N/A Requesting Data...</v>
      </c>
      <c r="V374" s="8" t="str">
        <f>IF($A374="","",IF(ISNUMBER(FIND("IMPVOL",V$1)),_xll.BDH(config!$G$4,V$1,WORKDAY($A374,-1,config_Holiday_Calendar_US),WORKDAY($A374,-1,config_Holiday_Calendar_US)),IF(ISNUMBER(_xll.BDH(config!$G$4,V$1,$A374,$A374)),_xll.BDH(config!$G$4,V$1,$A374,$A374),_xll.BDH(config!$G$5,V$1,$A374,$A374))))</f>
        <v>#N/A Requesting Data...</v>
      </c>
      <c r="W374" s="8" t="str">
        <f>IF($A374="","",IF(ISNUMBER(FIND("IMPVOL",W$1)),_xll.BDH(config!$G$4,W$1,WORKDAY($A374,-1,config_Holiday_Calendar_US),WORKDAY($A374,-1,config_Holiday_Calendar_US)),IF(ISNUMBER(_xll.BDH(config!$G$4,W$1,$A374,$A374)),_xll.BDH(config!$G$4,W$1,$A374,$A374),_xll.BDH(config!$G$5,W$1,$A374,$A374))))</f>
        <v>#N/A Requesting Data...</v>
      </c>
    </row>
    <row r="375" spans="1:23" x14ac:dyDescent="0.2">
      <c r="A375" s="9">
        <f>IF(A374="","",IF(WORKDAY(A374,-1,config_Holiday_Calendar_US)&lt;config!$I$10,"",WORKDAY(A374,-1,config_Holiday_Calendar_US)))</f>
        <v>42284</v>
      </c>
      <c r="B375" s="8" t="e">
        <f t="shared" si="5"/>
        <v>#VALUE!</v>
      </c>
      <c r="C375" s="8" t="str">
        <f>IF(A375="","",_xll.BDH(config!$H$4,C$1,$A375,$A375))</f>
        <v>#N/A Requesting Data...</v>
      </c>
      <c r="D375" s="8" t="str">
        <f>IF($A375="","",_xll.BDH(config!$H$4,D$1,$A375,$A375))</f>
        <v>#N/A Requesting Data...</v>
      </c>
      <c r="E375" s="8">
        <f>IF($A375="","",IF(ISNUMBER(FIND("IMPVOL",E$1)),_xll.BDH(config!$G$4,E$1,WORKDAY($A375,-1,config_Holiday_Calendar_US),WORKDAY($A375,-1,config_Holiday_Calendar_US)),IF(ISNUMBER(_xll.BDH(config!$G$4,E$1,$A375,$A375)),_xll.BDH(config!$G$4,E$1,$A375,$A375),_xll.BDH(config!$G$5,E$1,$A375,$A375))))</f>
        <v>49</v>
      </c>
      <c r="F375" s="8">
        <f>IF($A375="","",IF(ISNUMBER(FIND("IMPVOL",F$1)),_xll.BDH(config!$G$4,F$1,WORKDAY($A375,-1,config_Holiday_Calendar_US),WORKDAY($A375,-1,config_Holiday_Calendar_US)),IF(ISNUMBER(_xll.BDH(config!$G$4,F$1,$A375,$A375)),_xll.BDH(config!$G$4,F$1,$A375,$A375),_xll.BDH(config!$G$5,F$1,$A375,$A375))))</f>
        <v>49.71</v>
      </c>
      <c r="G375" s="8">
        <f>IF($A375="","",IF(ISNUMBER(FIND("IMPVOL",G$1)),_xll.BDH(config!$G$4,G$1,WORKDAY($A375,-1,config_Holiday_Calendar_US),WORKDAY($A375,-1,config_Holiday_Calendar_US)),IF(ISNUMBER(_xll.BDH(config!$G$4,G$1,$A375,$A375)),_xll.BDH(config!$G$4,G$1,$A375,$A375),_xll.BDH(config!$G$5,G$1,$A375,$A375))))</f>
        <v>48.29</v>
      </c>
      <c r="H375" s="8">
        <f>IF($A375="","",IF(ISNUMBER(FIND("IMPVOL",H$1)),_xll.BDH(config!$G$4,H$1,WORKDAY($A375,-1,config_Holiday_Calendar_US),WORKDAY($A375,-1,config_Holiday_Calendar_US)),IF(ISNUMBER(_xll.BDH(config!$G$4,H$1,$A375,$A375)),_xll.BDH(config!$G$4,H$1,$A375,$A375),_xll.BDH(config!$G$5,H$1,$A375,$A375))))</f>
        <v>251003</v>
      </c>
      <c r="I375" s="8" t="str">
        <f>IF($A375="","",IF(ISNUMBER(FIND("IMPVOL",I$1)),_xll.BDH(config!$G$4,I$1,WORKDAY($A375,-1,config_Holiday_Calendar_US),WORKDAY($A375,-1,config_Holiday_Calendar_US)),IF(ISNUMBER(_xll.BDH(config!$G$4,I$1,$A375,$A375)),_xll.BDH(config!$G$4,I$1,$A375,$A375),_xll.BDH(config!$G$5,I$1,$A375,$A375))))</f>
        <v>#N/A Requesting Data...</v>
      </c>
      <c r="J375" s="8" t="str">
        <f>IF($A375="","",IF(ISNUMBER(FIND("IMPVOL",J$1)),_xll.BDH(config!$G$4,J$1,WORKDAY($A375,-1,config_Holiday_Calendar_US),WORKDAY($A375,-1,config_Holiday_Calendar_US)),IF(ISNUMBER(_xll.BDH(config!$G$4,J$1,$A375,$A375)),_xll.BDH(config!$G$4,J$1,$A375,$A375),_xll.BDH(config!$G$5,J$1,$A375,$A375))))</f>
        <v>#N/A Requesting Data...</v>
      </c>
      <c r="K375" s="8" t="str">
        <f>IF($A375="","",IF(ISNUMBER(FIND("IMPVOL",K$1)),_xll.BDH(config!$G$4,K$1,WORKDAY($A375,-1,config_Holiday_Calendar_US),WORKDAY($A375,-1,config_Holiday_Calendar_US)),IF(ISNUMBER(_xll.BDH(config!$G$4,K$1,$A375,$A375)),_xll.BDH(config!$G$4,K$1,$A375,$A375),_xll.BDH(config!$G$5,K$1,$A375,$A375))))</f>
        <v>#N/A Requesting Data...</v>
      </c>
      <c r="L375" s="8" t="str">
        <f>IF($A375="","",IF(ISNUMBER(FIND("IMPVOL",L$1)),_xll.BDH(config!$G$4,L$1,WORKDAY($A375,-1,config_Holiday_Calendar_US),WORKDAY($A375,-1,config_Holiday_Calendar_US)),IF(ISNUMBER(_xll.BDH(config!$G$4,L$1,$A375,$A375)),_xll.BDH(config!$G$4,L$1,$A375,$A375),_xll.BDH(config!$G$5,L$1,$A375,$A375))))</f>
        <v>#N/A Requesting Data...</v>
      </c>
      <c r="M375" s="8" t="str">
        <f>IF($A375="","",IF(ISNUMBER(FIND("IMPVOL",M$1)),_xll.BDH(config!$G$4,M$1,WORKDAY($A375,-1,config_Holiday_Calendar_US),WORKDAY($A375,-1,config_Holiday_Calendar_US)),IF(ISNUMBER(_xll.BDH(config!$G$4,M$1,$A375,$A375)),_xll.BDH(config!$G$4,M$1,$A375,$A375),_xll.BDH(config!$G$5,M$1,$A375,$A375))))</f>
        <v>#N/A Requesting Data...</v>
      </c>
      <c r="N375" s="8" t="str">
        <f>IF($A375="","",IF(ISNUMBER(FIND("IMPVOL",N$1)),_xll.BDH(config!$G$4,N$1,WORKDAY($A375,-1,config_Holiday_Calendar_US),WORKDAY($A375,-1,config_Holiday_Calendar_US)),IF(ISNUMBER(_xll.BDH(config!$G$4,N$1,$A375,$A375)),_xll.BDH(config!$G$4,N$1,$A375,$A375),_xll.BDH(config!$G$5,N$1,$A375,$A375))))</f>
        <v>#N/A Requesting Data...</v>
      </c>
      <c r="O375" s="8" t="str">
        <f>IF($A375="","",IF(ISNUMBER(FIND("IMPVOL",O$1)),_xll.BDH(config!$G$4,O$1,WORKDAY($A375,-1,config_Holiday_Calendar_US),WORKDAY($A375,-1,config_Holiday_Calendar_US)),IF(ISNUMBER(_xll.BDH(config!$G$4,O$1,$A375,$A375)),_xll.BDH(config!$G$4,O$1,$A375,$A375),_xll.BDH(config!$G$5,O$1,$A375,$A375))))</f>
        <v>#N/A Requesting Data...</v>
      </c>
      <c r="P375" s="8" t="str">
        <f>IF($A375="","",IF(ISNUMBER(FIND("IMPVOL",P$1)),_xll.BDH(config!$G$4,P$1,WORKDAY($A375,-1,config_Holiday_Calendar_US),WORKDAY($A375,-1,config_Holiday_Calendar_US)),IF(ISNUMBER(_xll.BDH(config!$G$4,P$1,$A375,$A375)),_xll.BDH(config!$G$4,P$1,$A375,$A375),_xll.BDH(config!$G$5,P$1,$A375,$A375))))</f>
        <v>#N/A Requesting Data...</v>
      </c>
      <c r="Q375" s="8">
        <f>IF($A375="","",IF(ISNUMBER(FIND("IMPVOL",Q$1)),_xll.BDH(config!$G$4,Q$1,WORKDAY($A375,-1,config_Holiday_Calendar_US),WORKDAY($A375,-1,config_Holiday_Calendar_US)),IF(ISNUMBER(_xll.BDH(config!$G$4,Q$1,$A375,$A375)),_xll.BDH(config!$G$4,Q$1,$A375,$A375),_xll.BDH(config!$G$5,Q$1,$A375,$A375))))</f>
        <v>35.89</v>
      </c>
      <c r="R375" s="8">
        <f>IF($A375="","",IF(ISNUMBER(FIND("IMPVOL",R$1)),_xll.BDH(config!$G$4,R$1,WORKDAY($A375,-1,config_Holiday_Calendar_US),WORKDAY($A375,-1,config_Holiday_Calendar_US)),IF(ISNUMBER(_xll.BDH(config!$G$4,R$1,$A375,$A375)),_xll.BDH(config!$G$4,R$1,$A375,$A375),_xll.BDH(config!$G$5,R$1,$A375,$A375))))</f>
        <v>62.32</v>
      </c>
      <c r="S375" s="8" t="str">
        <f>IF($A375="","",IF(ISNUMBER(FIND("IMPVOL",S$1)),_xll.BDH(config!$G$4,S$1,WORKDAY($A375,-1,config_Holiday_Calendar_US),WORKDAY($A375,-1,config_Holiday_Calendar_US)),IF(ISNUMBER(_xll.BDH(config!$G$4,S$1,$A375,$A375)),_xll.BDH(config!$G$4,S$1,$A375,$A375),_xll.BDH(config!$G$5,S$1,$A375,$A375))))</f>
        <v>#N/A Requesting Data...</v>
      </c>
      <c r="T375" s="8" t="str">
        <f>IF($A375="","",IF(ISNUMBER(FIND("IMPVOL",T$1)),_xll.BDH(config!$G$4,T$1,WORKDAY($A375,-1,config_Holiday_Calendar_US),WORKDAY($A375,-1,config_Holiday_Calendar_US)),IF(ISNUMBER(_xll.BDH(config!$G$4,T$1,$A375,$A375)),_xll.BDH(config!$G$4,T$1,$A375,$A375),_xll.BDH(config!$G$5,T$1,$A375,$A375))))</f>
        <v>#N/A Requesting Data...</v>
      </c>
      <c r="U375" s="8" t="str">
        <f>IF($A375="","",IF(ISNUMBER(FIND("IMPVOL",U$1)),_xll.BDH(config!$G$4,U$1,WORKDAY($A375,-1,config_Holiday_Calendar_US),WORKDAY($A375,-1,config_Holiday_Calendar_US)),IF(ISNUMBER(_xll.BDH(config!$G$4,U$1,$A375,$A375)),_xll.BDH(config!$G$4,U$1,$A375,$A375),_xll.BDH(config!$G$5,U$1,$A375,$A375))))</f>
        <v>#N/A Requesting Data...</v>
      </c>
      <c r="V375" s="8" t="str">
        <f>IF($A375="","",IF(ISNUMBER(FIND("IMPVOL",V$1)),_xll.BDH(config!$G$4,V$1,WORKDAY($A375,-1,config_Holiday_Calendar_US),WORKDAY($A375,-1,config_Holiday_Calendar_US)),IF(ISNUMBER(_xll.BDH(config!$G$4,V$1,$A375,$A375)),_xll.BDH(config!$G$4,V$1,$A375,$A375),_xll.BDH(config!$G$5,V$1,$A375,$A375))))</f>
        <v>#N/A Requesting Data...</v>
      </c>
      <c r="W375" s="8" t="str">
        <f>IF($A375="","",IF(ISNUMBER(FIND("IMPVOL",W$1)),_xll.BDH(config!$G$4,W$1,WORKDAY($A375,-1,config_Holiday_Calendar_US),WORKDAY($A375,-1,config_Holiday_Calendar_US)),IF(ISNUMBER(_xll.BDH(config!$G$4,W$1,$A375,$A375)),_xll.BDH(config!$G$4,W$1,$A375,$A375),_xll.BDH(config!$G$5,W$1,$A375,$A375))))</f>
        <v>#N/A Requesting Data...</v>
      </c>
    </row>
    <row r="376" spans="1:23" x14ac:dyDescent="0.2">
      <c r="A376" s="9">
        <f>IF(A375="","",IF(WORKDAY(A375,-1,config_Holiday_Calendar_US)&lt;config!$I$10,"",WORKDAY(A375,-1,config_Holiday_Calendar_US)))</f>
        <v>42283</v>
      </c>
      <c r="B376" s="8" t="e">
        <f t="shared" si="5"/>
        <v>#VALUE!</v>
      </c>
      <c r="C376" s="8" t="str">
        <f>IF(A376="","",_xll.BDH(config!$H$4,C$1,$A376,$A376))</f>
        <v>#N/A Requesting Data...</v>
      </c>
      <c r="D376" s="8" t="str">
        <f>IF($A376="","",_xll.BDH(config!$H$4,D$1,$A376,$A376))</f>
        <v>#N/A Requesting Data...</v>
      </c>
      <c r="E376" s="8">
        <f>IF($A376="","",IF(ISNUMBER(FIND("IMPVOL",E$1)),_xll.BDH(config!$G$4,E$1,WORKDAY($A376,-1,config_Holiday_Calendar_US),WORKDAY($A376,-1,config_Holiday_Calendar_US)),IF(ISNUMBER(_xll.BDH(config!$G$4,E$1,$A376,$A376)),_xll.BDH(config!$G$4,E$1,$A376,$A376),_xll.BDH(config!$G$5,E$1,$A376,$A376))))</f>
        <v>46.2</v>
      </c>
      <c r="F376" s="8">
        <f>IF($A376="","",IF(ISNUMBER(FIND("IMPVOL",F$1)),_xll.BDH(config!$G$4,F$1,WORKDAY($A376,-1,config_Holiday_Calendar_US),WORKDAY($A376,-1,config_Holiday_Calendar_US)),IF(ISNUMBER(_xll.BDH(config!$G$4,F$1,$A376,$A376)),_xll.BDH(config!$G$4,F$1,$A376,$A376),_xll.BDH(config!$G$5,F$1,$A376,$A376))))</f>
        <v>49.08</v>
      </c>
      <c r="G376" s="8">
        <f>IF($A376="","",IF(ISNUMBER(FIND("IMPVOL",G$1)),_xll.BDH(config!$G$4,G$1,WORKDAY($A376,-1,config_Holiday_Calendar_US),WORKDAY($A376,-1,config_Holiday_Calendar_US)),IF(ISNUMBER(_xll.BDH(config!$G$4,G$1,$A376,$A376)),_xll.BDH(config!$G$4,G$1,$A376,$A376),_xll.BDH(config!$G$5,G$1,$A376,$A376))))</f>
        <v>46.26</v>
      </c>
      <c r="H376" s="8">
        <f>IF($A376="","",IF(ISNUMBER(FIND("IMPVOL",H$1)),_xll.BDH(config!$G$4,H$1,WORKDAY($A376,-1,config_Holiday_Calendar_US),WORKDAY($A376,-1,config_Holiday_Calendar_US)),IF(ISNUMBER(_xll.BDH(config!$G$4,H$1,$A376,$A376)),_xll.BDH(config!$G$4,H$1,$A376,$A376),_xll.BDH(config!$G$5,H$1,$A376,$A376))))</f>
        <v>175112</v>
      </c>
      <c r="I376" s="8" t="str">
        <f>IF($A376="","",IF(ISNUMBER(FIND("IMPVOL",I$1)),_xll.BDH(config!$G$4,I$1,WORKDAY($A376,-1,config_Holiday_Calendar_US),WORKDAY($A376,-1,config_Holiday_Calendar_US)),IF(ISNUMBER(_xll.BDH(config!$G$4,I$1,$A376,$A376)),_xll.BDH(config!$G$4,I$1,$A376,$A376),_xll.BDH(config!$G$5,I$1,$A376,$A376))))</f>
        <v>#N/A Requesting Data...</v>
      </c>
      <c r="J376" s="8" t="str">
        <f>IF($A376="","",IF(ISNUMBER(FIND("IMPVOL",J$1)),_xll.BDH(config!$G$4,J$1,WORKDAY($A376,-1,config_Holiday_Calendar_US),WORKDAY($A376,-1,config_Holiday_Calendar_US)),IF(ISNUMBER(_xll.BDH(config!$G$4,J$1,$A376,$A376)),_xll.BDH(config!$G$4,J$1,$A376,$A376),_xll.BDH(config!$G$5,J$1,$A376,$A376))))</f>
        <v>#N/A Requesting Data...</v>
      </c>
      <c r="K376" s="8" t="str">
        <f>IF($A376="","",IF(ISNUMBER(FIND("IMPVOL",K$1)),_xll.BDH(config!$G$4,K$1,WORKDAY($A376,-1,config_Holiday_Calendar_US),WORKDAY($A376,-1,config_Holiday_Calendar_US)),IF(ISNUMBER(_xll.BDH(config!$G$4,K$1,$A376,$A376)),_xll.BDH(config!$G$4,K$1,$A376,$A376),_xll.BDH(config!$G$5,K$1,$A376,$A376))))</f>
        <v>#N/A Requesting Data...</v>
      </c>
      <c r="L376" s="8" t="str">
        <f>IF($A376="","",IF(ISNUMBER(FIND("IMPVOL",L$1)),_xll.BDH(config!$G$4,L$1,WORKDAY($A376,-1,config_Holiday_Calendar_US),WORKDAY($A376,-1,config_Holiday_Calendar_US)),IF(ISNUMBER(_xll.BDH(config!$G$4,L$1,$A376,$A376)),_xll.BDH(config!$G$4,L$1,$A376,$A376),_xll.BDH(config!$G$5,L$1,$A376,$A376))))</f>
        <v>#N/A Requesting Data...</v>
      </c>
      <c r="M376" s="8" t="str">
        <f>IF($A376="","",IF(ISNUMBER(FIND("IMPVOL",M$1)),_xll.BDH(config!$G$4,M$1,WORKDAY($A376,-1,config_Holiday_Calendar_US),WORKDAY($A376,-1,config_Holiday_Calendar_US)),IF(ISNUMBER(_xll.BDH(config!$G$4,M$1,$A376,$A376)),_xll.BDH(config!$G$4,M$1,$A376,$A376),_xll.BDH(config!$G$5,M$1,$A376,$A376))))</f>
        <v>#N/A Requesting Data...</v>
      </c>
      <c r="N376" s="8" t="str">
        <f>IF($A376="","",IF(ISNUMBER(FIND("IMPVOL",N$1)),_xll.BDH(config!$G$4,N$1,WORKDAY($A376,-1,config_Holiday_Calendar_US),WORKDAY($A376,-1,config_Holiday_Calendar_US)),IF(ISNUMBER(_xll.BDH(config!$G$4,N$1,$A376,$A376)),_xll.BDH(config!$G$4,N$1,$A376,$A376),_xll.BDH(config!$G$5,N$1,$A376,$A376))))</f>
        <v>#N/A Requesting Data...</v>
      </c>
      <c r="O376" s="8" t="str">
        <f>IF($A376="","",IF(ISNUMBER(FIND("IMPVOL",O$1)),_xll.BDH(config!$G$4,O$1,WORKDAY($A376,-1,config_Holiday_Calendar_US),WORKDAY($A376,-1,config_Holiday_Calendar_US)),IF(ISNUMBER(_xll.BDH(config!$G$4,O$1,$A376,$A376)),_xll.BDH(config!$G$4,O$1,$A376,$A376),_xll.BDH(config!$G$5,O$1,$A376,$A376))))</f>
        <v>#N/A Requesting Data...</v>
      </c>
      <c r="P376" s="8" t="str">
        <f>IF($A376="","",IF(ISNUMBER(FIND("IMPVOL",P$1)),_xll.BDH(config!$G$4,P$1,WORKDAY($A376,-1,config_Holiday_Calendar_US),WORKDAY($A376,-1,config_Holiday_Calendar_US)),IF(ISNUMBER(_xll.BDH(config!$G$4,P$1,$A376,$A376)),_xll.BDH(config!$G$4,P$1,$A376,$A376),_xll.BDH(config!$G$5,P$1,$A376,$A376))))</f>
        <v>#N/A Requesting Data...</v>
      </c>
      <c r="Q376" s="8">
        <f>IF($A376="","",IF(ISNUMBER(FIND("IMPVOL",Q$1)),_xll.BDH(config!$G$4,Q$1,WORKDAY($A376,-1,config_Holiday_Calendar_US),WORKDAY($A376,-1,config_Holiday_Calendar_US)),IF(ISNUMBER(_xll.BDH(config!$G$4,Q$1,$A376,$A376)),_xll.BDH(config!$G$4,Q$1,$A376,$A376),_xll.BDH(config!$G$5,Q$1,$A376,$A376))))</f>
        <v>33.869999999999997</v>
      </c>
      <c r="R376" s="8">
        <f>IF($A376="","",IF(ISNUMBER(FIND("IMPVOL",R$1)),_xll.BDH(config!$G$4,R$1,WORKDAY($A376,-1,config_Holiday_Calendar_US),WORKDAY($A376,-1,config_Holiday_Calendar_US)),IF(ISNUMBER(_xll.BDH(config!$G$4,R$1,$A376,$A376)),_xll.BDH(config!$G$4,R$1,$A376,$A376),_xll.BDH(config!$G$5,R$1,$A376,$A376))))</f>
        <v>62.37</v>
      </c>
      <c r="S376" s="8" t="str">
        <f>IF($A376="","",IF(ISNUMBER(FIND("IMPVOL",S$1)),_xll.BDH(config!$G$4,S$1,WORKDAY($A376,-1,config_Holiday_Calendar_US),WORKDAY($A376,-1,config_Holiday_Calendar_US)),IF(ISNUMBER(_xll.BDH(config!$G$4,S$1,$A376,$A376)),_xll.BDH(config!$G$4,S$1,$A376,$A376),_xll.BDH(config!$G$5,S$1,$A376,$A376))))</f>
        <v>#N/A Requesting Data...</v>
      </c>
      <c r="T376" s="8" t="str">
        <f>IF($A376="","",IF(ISNUMBER(FIND("IMPVOL",T$1)),_xll.BDH(config!$G$4,T$1,WORKDAY($A376,-1,config_Holiday_Calendar_US),WORKDAY($A376,-1,config_Holiday_Calendar_US)),IF(ISNUMBER(_xll.BDH(config!$G$4,T$1,$A376,$A376)),_xll.BDH(config!$G$4,T$1,$A376,$A376),_xll.BDH(config!$G$5,T$1,$A376,$A376))))</f>
        <v>#N/A Requesting Data...</v>
      </c>
      <c r="U376" s="8" t="str">
        <f>IF($A376="","",IF(ISNUMBER(FIND("IMPVOL",U$1)),_xll.BDH(config!$G$4,U$1,WORKDAY($A376,-1,config_Holiday_Calendar_US),WORKDAY($A376,-1,config_Holiday_Calendar_US)),IF(ISNUMBER(_xll.BDH(config!$G$4,U$1,$A376,$A376)),_xll.BDH(config!$G$4,U$1,$A376,$A376),_xll.BDH(config!$G$5,U$1,$A376,$A376))))</f>
        <v>#N/A Requesting Data...</v>
      </c>
      <c r="V376" s="8" t="str">
        <f>IF($A376="","",IF(ISNUMBER(FIND("IMPVOL",V$1)),_xll.BDH(config!$G$4,V$1,WORKDAY($A376,-1,config_Holiday_Calendar_US),WORKDAY($A376,-1,config_Holiday_Calendar_US)),IF(ISNUMBER(_xll.BDH(config!$G$4,V$1,$A376,$A376)),_xll.BDH(config!$G$4,V$1,$A376,$A376),_xll.BDH(config!$G$5,V$1,$A376,$A376))))</f>
        <v>#N/A Requesting Data...</v>
      </c>
      <c r="W376" s="8" t="str">
        <f>IF($A376="","",IF(ISNUMBER(FIND("IMPVOL",W$1)),_xll.BDH(config!$G$4,W$1,WORKDAY($A376,-1,config_Holiday_Calendar_US),WORKDAY($A376,-1,config_Holiday_Calendar_US)),IF(ISNUMBER(_xll.BDH(config!$G$4,W$1,$A376,$A376)),_xll.BDH(config!$G$4,W$1,$A376,$A376),_xll.BDH(config!$G$5,W$1,$A376,$A376))))</f>
        <v>#N/A Requesting Data...</v>
      </c>
    </row>
    <row r="377" spans="1:23" x14ac:dyDescent="0.2">
      <c r="A377" s="9">
        <f>IF(A376="","",IF(WORKDAY(A376,-1,config_Holiday_Calendar_US)&lt;config!$I$10,"",WORKDAY(A376,-1,config_Holiday_Calendar_US)))</f>
        <v>42282</v>
      </c>
      <c r="B377" s="8" t="e">
        <f t="shared" si="5"/>
        <v>#VALUE!</v>
      </c>
      <c r="C377" s="8" t="str">
        <f>IF(A377="","",_xll.BDH(config!$H$4,C$1,$A377,$A377))</f>
        <v>#N/A Requesting Data...</v>
      </c>
      <c r="D377" s="8" t="str">
        <f>IF($A377="","",_xll.BDH(config!$H$4,D$1,$A377,$A377))</f>
        <v>#N/A Requesting Data...</v>
      </c>
      <c r="E377" s="8">
        <f>IF($A377="","",IF(ISNUMBER(FIND("IMPVOL",E$1)),_xll.BDH(config!$G$4,E$1,WORKDAY($A377,-1,config_Holiday_Calendar_US),WORKDAY($A377,-1,config_Holiday_Calendar_US)),IF(ISNUMBER(_xll.BDH(config!$G$4,E$1,$A377,$A377)),_xll.BDH(config!$G$4,E$1,$A377,$A377),_xll.BDH(config!$G$5,E$1,$A377,$A377))))</f>
        <v>45.65</v>
      </c>
      <c r="F377" s="8">
        <f>IF($A377="","",IF(ISNUMBER(FIND("IMPVOL",F$1)),_xll.BDH(config!$G$4,F$1,WORKDAY($A377,-1,config_Holiday_Calendar_US),WORKDAY($A377,-1,config_Holiday_Calendar_US)),IF(ISNUMBER(_xll.BDH(config!$G$4,F$1,$A377,$A377)),_xll.BDH(config!$G$4,F$1,$A377,$A377),_xll.BDH(config!$G$5,F$1,$A377,$A377))))</f>
        <v>46.94</v>
      </c>
      <c r="G377" s="8">
        <f>IF($A377="","",IF(ISNUMBER(FIND("IMPVOL",G$1)),_xll.BDH(config!$G$4,G$1,WORKDAY($A377,-1,config_Holiday_Calendar_US),WORKDAY($A377,-1,config_Holiday_Calendar_US)),IF(ISNUMBER(_xll.BDH(config!$G$4,G$1,$A377,$A377)),_xll.BDH(config!$G$4,G$1,$A377,$A377),_xll.BDH(config!$G$5,G$1,$A377,$A377))))</f>
        <v>45.67</v>
      </c>
      <c r="H377" s="8">
        <f>IF($A377="","",IF(ISNUMBER(FIND("IMPVOL",H$1)),_xll.BDH(config!$G$4,H$1,WORKDAY($A377,-1,config_Holiday_Calendar_US),WORKDAY($A377,-1,config_Holiday_Calendar_US)),IF(ISNUMBER(_xll.BDH(config!$G$4,H$1,$A377,$A377)),_xll.BDH(config!$G$4,H$1,$A377,$A377),_xll.BDH(config!$G$5,H$1,$A377,$A377))))</f>
        <v>124845</v>
      </c>
      <c r="I377" s="8" t="str">
        <f>IF($A377="","",IF(ISNUMBER(FIND("IMPVOL",I$1)),_xll.BDH(config!$G$4,I$1,WORKDAY($A377,-1,config_Holiday_Calendar_US),WORKDAY($A377,-1,config_Holiday_Calendar_US)),IF(ISNUMBER(_xll.BDH(config!$G$4,I$1,$A377,$A377)),_xll.BDH(config!$G$4,I$1,$A377,$A377),_xll.BDH(config!$G$5,I$1,$A377,$A377))))</f>
        <v>#N/A Requesting Data...</v>
      </c>
      <c r="J377" s="8" t="str">
        <f>IF($A377="","",IF(ISNUMBER(FIND("IMPVOL",J$1)),_xll.BDH(config!$G$4,J$1,WORKDAY($A377,-1,config_Holiday_Calendar_US),WORKDAY($A377,-1,config_Holiday_Calendar_US)),IF(ISNUMBER(_xll.BDH(config!$G$4,J$1,$A377,$A377)),_xll.BDH(config!$G$4,J$1,$A377,$A377),_xll.BDH(config!$G$5,J$1,$A377,$A377))))</f>
        <v>#N/A Requesting Data...</v>
      </c>
      <c r="K377" s="8" t="str">
        <f>IF($A377="","",IF(ISNUMBER(FIND("IMPVOL",K$1)),_xll.BDH(config!$G$4,K$1,WORKDAY($A377,-1,config_Holiday_Calendar_US),WORKDAY($A377,-1,config_Holiday_Calendar_US)),IF(ISNUMBER(_xll.BDH(config!$G$4,K$1,$A377,$A377)),_xll.BDH(config!$G$4,K$1,$A377,$A377),_xll.BDH(config!$G$5,K$1,$A377,$A377))))</f>
        <v>#N/A Requesting Data...</v>
      </c>
      <c r="L377" s="8" t="str">
        <f>IF($A377="","",IF(ISNUMBER(FIND("IMPVOL",L$1)),_xll.BDH(config!$G$4,L$1,WORKDAY($A377,-1,config_Holiday_Calendar_US),WORKDAY($A377,-1,config_Holiday_Calendar_US)),IF(ISNUMBER(_xll.BDH(config!$G$4,L$1,$A377,$A377)),_xll.BDH(config!$G$4,L$1,$A377,$A377),_xll.BDH(config!$G$5,L$1,$A377,$A377))))</f>
        <v>#N/A Requesting Data...</v>
      </c>
      <c r="M377" s="8" t="str">
        <f>IF($A377="","",IF(ISNUMBER(FIND("IMPVOL",M$1)),_xll.BDH(config!$G$4,M$1,WORKDAY($A377,-1,config_Holiday_Calendar_US),WORKDAY($A377,-1,config_Holiday_Calendar_US)),IF(ISNUMBER(_xll.BDH(config!$G$4,M$1,$A377,$A377)),_xll.BDH(config!$G$4,M$1,$A377,$A377),_xll.BDH(config!$G$5,M$1,$A377,$A377))))</f>
        <v>#N/A Requesting Data...</v>
      </c>
      <c r="N377" s="8" t="str">
        <f>IF($A377="","",IF(ISNUMBER(FIND("IMPVOL",N$1)),_xll.BDH(config!$G$4,N$1,WORKDAY($A377,-1,config_Holiday_Calendar_US),WORKDAY($A377,-1,config_Holiday_Calendar_US)),IF(ISNUMBER(_xll.BDH(config!$G$4,N$1,$A377,$A377)),_xll.BDH(config!$G$4,N$1,$A377,$A377),_xll.BDH(config!$G$5,N$1,$A377,$A377))))</f>
        <v>#N/A Requesting Data...</v>
      </c>
      <c r="O377" s="8" t="str">
        <f>IF($A377="","",IF(ISNUMBER(FIND("IMPVOL",O$1)),_xll.BDH(config!$G$4,O$1,WORKDAY($A377,-1,config_Holiday_Calendar_US),WORKDAY($A377,-1,config_Holiday_Calendar_US)),IF(ISNUMBER(_xll.BDH(config!$G$4,O$1,$A377,$A377)),_xll.BDH(config!$G$4,O$1,$A377,$A377),_xll.BDH(config!$G$5,O$1,$A377,$A377))))</f>
        <v>#N/A Requesting Data...</v>
      </c>
      <c r="P377" s="8" t="str">
        <f>IF($A377="","",IF(ISNUMBER(FIND("IMPVOL",P$1)),_xll.BDH(config!$G$4,P$1,WORKDAY($A377,-1,config_Holiday_Calendar_US),WORKDAY($A377,-1,config_Holiday_Calendar_US)),IF(ISNUMBER(_xll.BDH(config!$G$4,P$1,$A377,$A377)),_xll.BDH(config!$G$4,P$1,$A377,$A377),_xll.BDH(config!$G$5,P$1,$A377,$A377))))</f>
        <v>#N/A Requesting Data...</v>
      </c>
      <c r="Q377" s="8">
        <f>IF($A377="","",IF(ISNUMBER(FIND("IMPVOL",Q$1)),_xll.BDH(config!$G$4,Q$1,WORKDAY($A377,-1,config_Holiday_Calendar_US),WORKDAY($A377,-1,config_Holiday_Calendar_US)),IF(ISNUMBER(_xll.BDH(config!$G$4,Q$1,$A377,$A377)),_xll.BDH(config!$G$4,Q$1,$A377,$A377),_xll.BDH(config!$G$5,Q$1,$A377,$A377))))</f>
        <v>30.19</v>
      </c>
      <c r="R377" s="8">
        <f>IF($A377="","",IF(ISNUMBER(FIND("IMPVOL",R$1)),_xll.BDH(config!$G$4,R$1,WORKDAY($A377,-1,config_Holiday_Calendar_US),WORKDAY($A377,-1,config_Holiday_Calendar_US)),IF(ISNUMBER(_xll.BDH(config!$G$4,R$1,$A377,$A377)),_xll.BDH(config!$G$4,R$1,$A377,$A377),_xll.BDH(config!$G$5,R$1,$A377,$A377))))</f>
        <v>61.41</v>
      </c>
      <c r="S377" s="8" t="str">
        <f>IF($A377="","",IF(ISNUMBER(FIND("IMPVOL",S$1)),_xll.BDH(config!$G$4,S$1,WORKDAY($A377,-1,config_Holiday_Calendar_US),WORKDAY($A377,-1,config_Holiday_Calendar_US)),IF(ISNUMBER(_xll.BDH(config!$G$4,S$1,$A377,$A377)),_xll.BDH(config!$G$4,S$1,$A377,$A377),_xll.BDH(config!$G$5,S$1,$A377,$A377))))</f>
        <v>#N/A Requesting Data...</v>
      </c>
      <c r="T377" s="8" t="str">
        <f>IF($A377="","",IF(ISNUMBER(FIND("IMPVOL",T$1)),_xll.BDH(config!$G$4,T$1,WORKDAY($A377,-1,config_Holiday_Calendar_US),WORKDAY($A377,-1,config_Holiday_Calendar_US)),IF(ISNUMBER(_xll.BDH(config!$G$4,T$1,$A377,$A377)),_xll.BDH(config!$G$4,T$1,$A377,$A377),_xll.BDH(config!$G$5,T$1,$A377,$A377))))</f>
        <v>#N/A Requesting Data...</v>
      </c>
      <c r="U377" s="8" t="str">
        <f>IF($A377="","",IF(ISNUMBER(FIND("IMPVOL",U$1)),_xll.BDH(config!$G$4,U$1,WORKDAY($A377,-1,config_Holiday_Calendar_US),WORKDAY($A377,-1,config_Holiday_Calendar_US)),IF(ISNUMBER(_xll.BDH(config!$G$4,U$1,$A377,$A377)),_xll.BDH(config!$G$4,U$1,$A377,$A377),_xll.BDH(config!$G$5,U$1,$A377,$A377))))</f>
        <v>#N/A Requesting Data...</v>
      </c>
      <c r="V377" s="8" t="str">
        <f>IF($A377="","",IF(ISNUMBER(FIND("IMPVOL",V$1)),_xll.BDH(config!$G$4,V$1,WORKDAY($A377,-1,config_Holiday_Calendar_US),WORKDAY($A377,-1,config_Holiday_Calendar_US)),IF(ISNUMBER(_xll.BDH(config!$G$4,V$1,$A377,$A377)),_xll.BDH(config!$G$4,V$1,$A377,$A377),_xll.BDH(config!$G$5,V$1,$A377,$A377))))</f>
        <v>#N/A Requesting Data...</v>
      </c>
      <c r="W377" s="8" t="str">
        <f>IF($A377="","",IF(ISNUMBER(FIND("IMPVOL",W$1)),_xll.BDH(config!$G$4,W$1,WORKDAY($A377,-1,config_Holiday_Calendar_US),WORKDAY($A377,-1,config_Holiday_Calendar_US)),IF(ISNUMBER(_xll.BDH(config!$G$4,W$1,$A377,$A377)),_xll.BDH(config!$G$4,W$1,$A377,$A377),_xll.BDH(config!$G$5,W$1,$A377,$A377))))</f>
        <v>#N/A Requesting Data...</v>
      </c>
    </row>
    <row r="378" spans="1:23" x14ac:dyDescent="0.2">
      <c r="A378" s="9">
        <f>IF(A377="","",IF(WORKDAY(A377,-1,config_Holiday_Calendar_US)&lt;config!$I$10,"",WORKDAY(A377,-1,config_Holiday_Calendar_US)))</f>
        <v>42279</v>
      </c>
      <c r="B378" s="8" t="e">
        <f t="shared" si="5"/>
        <v>#VALUE!</v>
      </c>
      <c r="C378" s="8" t="str">
        <f>IF(A378="","",_xll.BDH(config!$H$4,C$1,$A378,$A378))</f>
        <v>#N/A Requesting Data...</v>
      </c>
      <c r="D378" s="8" t="str">
        <f>IF($A378="","",_xll.BDH(config!$H$4,D$1,$A378,$A378))</f>
        <v>#N/A Requesting Data...</v>
      </c>
      <c r="E378" s="8">
        <f>IF($A378="","",IF(ISNUMBER(FIND("IMPVOL",E$1)),_xll.BDH(config!$G$4,E$1,WORKDAY($A378,-1,config_Holiday_Calendar_US),WORKDAY($A378,-1,config_Holiday_Calendar_US)),IF(ISNUMBER(_xll.BDH(config!$G$4,E$1,$A378,$A378)),_xll.BDH(config!$G$4,E$1,$A378,$A378),_xll.BDH(config!$G$5,E$1,$A378,$A378))))</f>
        <v>45.07</v>
      </c>
      <c r="F378" s="8">
        <f>IF($A378="","",IF(ISNUMBER(FIND("IMPVOL",F$1)),_xll.BDH(config!$G$4,F$1,WORKDAY($A378,-1,config_Holiday_Calendar_US),WORKDAY($A378,-1,config_Holiday_Calendar_US)),IF(ISNUMBER(_xll.BDH(config!$G$4,F$1,$A378,$A378)),_xll.BDH(config!$G$4,F$1,$A378,$A378),_xll.BDH(config!$G$5,F$1,$A378,$A378))))</f>
        <v>45.81</v>
      </c>
      <c r="G378" s="8">
        <f>IF($A378="","",IF(ISNUMBER(FIND("IMPVOL",G$1)),_xll.BDH(config!$G$4,G$1,WORKDAY($A378,-1,config_Holiday_Calendar_US),WORKDAY($A378,-1,config_Holiday_Calendar_US)),IF(ISNUMBER(_xll.BDH(config!$G$4,G$1,$A378,$A378)),_xll.BDH(config!$G$4,G$1,$A378,$A378),_xll.BDH(config!$G$5,G$1,$A378,$A378))))</f>
        <v>44.45</v>
      </c>
      <c r="H378" s="8">
        <f>IF($A378="","",IF(ISNUMBER(FIND("IMPVOL",H$1)),_xll.BDH(config!$G$4,H$1,WORKDAY($A378,-1,config_Holiday_Calendar_US),WORKDAY($A378,-1,config_Holiday_Calendar_US)),IF(ISNUMBER(_xll.BDH(config!$G$4,H$1,$A378,$A378)),_xll.BDH(config!$G$4,H$1,$A378,$A378),_xll.BDH(config!$G$5,H$1,$A378,$A378))))</f>
        <v>157132</v>
      </c>
      <c r="I378" s="8" t="str">
        <f>IF($A378="","",IF(ISNUMBER(FIND("IMPVOL",I$1)),_xll.BDH(config!$G$4,I$1,WORKDAY($A378,-1,config_Holiday_Calendar_US),WORKDAY($A378,-1,config_Holiday_Calendar_US)),IF(ISNUMBER(_xll.BDH(config!$G$4,I$1,$A378,$A378)),_xll.BDH(config!$G$4,I$1,$A378,$A378),_xll.BDH(config!$G$5,I$1,$A378,$A378))))</f>
        <v>#N/A Requesting Data...</v>
      </c>
      <c r="J378" s="8" t="str">
        <f>IF($A378="","",IF(ISNUMBER(FIND("IMPVOL",J$1)),_xll.BDH(config!$G$4,J$1,WORKDAY($A378,-1,config_Holiday_Calendar_US),WORKDAY($A378,-1,config_Holiday_Calendar_US)),IF(ISNUMBER(_xll.BDH(config!$G$4,J$1,$A378,$A378)),_xll.BDH(config!$G$4,J$1,$A378,$A378),_xll.BDH(config!$G$5,J$1,$A378,$A378))))</f>
        <v>#N/A Requesting Data...</v>
      </c>
      <c r="K378" s="8" t="str">
        <f>IF($A378="","",IF(ISNUMBER(FIND("IMPVOL",K$1)),_xll.BDH(config!$G$4,K$1,WORKDAY($A378,-1,config_Holiday_Calendar_US),WORKDAY($A378,-1,config_Holiday_Calendar_US)),IF(ISNUMBER(_xll.BDH(config!$G$4,K$1,$A378,$A378)),_xll.BDH(config!$G$4,K$1,$A378,$A378),_xll.BDH(config!$G$5,K$1,$A378,$A378))))</f>
        <v>#N/A Requesting Data...</v>
      </c>
      <c r="L378" s="8" t="str">
        <f>IF($A378="","",IF(ISNUMBER(FIND("IMPVOL",L$1)),_xll.BDH(config!$G$4,L$1,WORKDAY($A378,-1,config_Holiday_Calendar_US),WORKDAY($A378,-1,config_Holiday_Calendar_US)),IF(ISNUMBER(_xll.BDH(config!$G$4,L$1,$A378,$A378)),_xll.BDH(config!$G$4,L$1,$A378,$A378),_xll.BDH(config!$G$5,L$1,$A378,$A378))))</f>
        <v>#N/A Requesting Data...</v>
      </c>
      <c r="M378" s="8" t="str">
        <f>IF($A378="","",IF(ISNUMBER(FIND("IMPVOL",M$1)),_xll.BDH(config!$G$4,M$1,WORKDAY($A378,-1,config_Holiday_Calendar_US),WORKDAY($A378,-1,config_Holiday_Calendar_US)),IF(ISNUMBER(_xll.BDH(config!$G$4,M$1,$A378,$A378)),_xll.BDH(config!$G$4,M$1,$A378,$A378),_xll.BDH(config!$G$5,M$1,$A378,$A378))))</f>
        <v>#N/A Requesting Data...</v>
      </c>
      <c r="N378" s="8" t="str">
        <f>IF($A378="","",IF(ISNUMBER(FIND("IMPVOL",N$1)),_xll.BDH(config!$G$4,N$1,WORKDAY($A378,-1,config_Holiday_Calendar_US),WORKDAY($A378,-1,config_Holiday_Calendar_US)),IF(ISNUMBER(_xll.BDH(config!$G$4,N$1,$A378,$A378)),_xll.BDH(config!$G$4,N$1,$A378,$A378),_xll.BDH(config!$G$5,N$1,$A378,$A378))))</f>
        <v>#N/A Requesting Data...</v>
      </c>
      <c r="O378" s="8" t="str">
        <f>IF($A378="","",IF(ISNUMBER(FIND("IMPVOL",O$1)),_xll.BDH(config!$G$4,O$1,WORKDAY($A378,-1,config_Holiday_Calendar_US),WORKDAY($A378,-1,config_Holiday_Calendar_US)),IF(ISNUMBER(_xll.BDH(config!$G$4,O$1,$A378,$A378)),_xll.BDH(config!$G$4,O$1,$A378,$A378),_xll.BDH(config!$G$5,O$1,$A378,$A378))))</f>
        <v>#N/A Requesting Data...</v>
      </c>
      <c r="P378" s="8" t="str">
        <f>IF($A378="","",IF(ISNUMBER(FIND("IMPVOL",P$1)),_xll.BDH(config!$G$4,P$1,WORKDAY($A378,-1,config_Holiday_Calendar_US),WORKDAY($A378,-1,config_Holiday_Calendar_US)),IF(ISNUMBER(_xll.BDH(config!$G$4,P$1,$A378,$A378)),_xll.BDH(config!$G$4,P$1,$A378,$A378),_xll.BDH(config!$G$5,P$1,$A378,$A378))))</f>
        <v>#N/A Requesting Data...</v>
      </c>
      <c r="Q378" s="8">
        <f>IF($A378="","",IF(ISNUMBER(FIND("IMPVOL",Q$1)),_xll.BDH(config!$G$4,Q$1,WORKDAY($A378,-1,config_Holiday_Calendar_US),WORKDAY($A378,-1,config_Holiday_Calendar_US)),IF(ISNUMBER(_xll.BDH(config!$G$4,Q$1,$A378,$A378)),_xll.BDH(config!$G$4,Q$1,$A378,$A378),_xll.BDH(config!$G$5,Q$1,$A378,$A378))))</f>
        <v>29.45</v>
      </c>
      <c r="R378" s="8">
        <f>IF($A378="","",IF(ISNUMBER(FIND("IMPVOL",R$1)),_xll.BDH(config!$G$4,R$1,WORKDAY($A378,-1,config_Holiday_Calendar_US),WORKDAY($A378,-1,config_Holiday_Calendar_US)),IF(ISNUMBER(_xll.BDH(config!$G$4,R$1,$A378,$A378)),_xll.BDH(config!$G$4,R$1,$A378,$A378),_xll.BDH(config!$G$5,R$1,$A378,$A378))))</f>
        <v>64.11</v>
      </c>
      <c r="S378" s="8" t="str">
        <f>IF($A378="","",IF(ISNUMBER(FIND("IMPVOL",S$1)),_xll.BDH(config!$G$4,S$1,WORKDAY($A378,-1,config_Holiday_Calendar_US),WORKDAY($A378,-1,config_Holiday_Calendar_US)),IF(ISNUMBER(_xll.BDH(config!$G$4,S$1,$A378,$A378)),_xll.BDH(config!$G$4,S$1,$A378,$A378),_xll.BDH(config!$G$5,S$1,$A378,$A378))))</f>
        <v>#N/A Requesting Data...</v>
      </c>
      <c r="T378" s="8" t="str">
        <f>IF($A378="","",IF(ISNUMBER(FIND("IMPVOL",T$1)),_xll.BDH(config!$G$4,T$1,WORKDAY($A378,-1,config_Holiday_Calendar_US),WORKDAY($A378,-1,config_Holiday_Calendar_US)),IF(ISNUMBER(_xll.BDH(config!$G$4,T$1,$A378,$A378)),_xll.BDH(config!$G$4,T$1,$A378,$A378),_xll.BDH(config!$G$5,T$1,$A378,$A378))))</f>
        <v>#N/A Requesting Data...</v>
      </c>
      <c r="U378" s="8" t="str">
        <f>IF($A378="","",IF(ISNUMBER(FIND("IMPVOL",U$1)),_xll.BDH(config!$G$4,U$1,WORKDAY($A378,-1,config_Holiday_Calendar_US),WORKDAY($A378,-1,config_Holiday_Calendar_US)),IF(ISNUMBER(_xll.BDH(config!$G$4,U$1,$A378,$A378)),_xll.BDH(config!$G$4,U$1,$A378,$A378),_xll.BDH(config!$G$5,U$1,$A378,$A378))))</f>
        <v>#N/A Requesting Data...</v>
      </c>
      <c r="V378" s="8" t="str">
        <f>IF($A378="","",IF(ISNUMBER(FIND("IMPVOL",V$1)),_xll.BDH(config!$G$4,V$1,WORKDAY($A378,-1,config_Holiday_Calendar_US),WORKDAY($A378,-1,config_Holiday_Calendar_US)),IF(ISNUMBER(_xll.BDH(config!$G$4,V$1,$A378,$A378)),_xll.BDH(config!$G$4,V$1,$A378,$A378),_xll.BDH(config!$G$5,V$1,$A378,$A378))))</f>
        <v>#N/A Requesting Data...</v>
      </c>
      <c r="W378" s="8" t="str">
        <f>IF($A378="","",IF(ISNUMBER(FIND("IMPVOL",W$1)),_xll.BDH(config!$G$4,W$1,WORKDAY($A378,-1,config_Holiday_Calendar_US),WORKDAY($A378,-1,config_Holiday_Calendar_US)),IF(ISNUMBER(_xll.BDH(config!$G$4,W$1,$A378,$A378)),_xll.BDH(config!$G$4,W$1,$A378,$A378),_xll.BDH(config!$G$5,W$1,$A378,$A378))))</f>
        <v>#N/A Requesting Data...</v>
      </c>
    </row>
    <row r="379" spans="1:23" x14ac:dyDescent="0.2">
      <c r="A379" s="9">
        <f>IF(A378="","",IF(WORKDAY(A378,-1,config_Holiday_Calendar_US)&lt;config!$I$10,"",WORKDAY(A378,-1,config_Holiday_Calendar_US)))</f>
        <v>42278</v>
      </c>
      <c r="B379" s="8" t="e">
        <f t="shared" si="5"/>
        <v>#VALUE!</v>
      </c>
      <c r="C379" s="8" t="str">
        <f>IF(A379="","",_xll.BDH(config!$H$4,C$1,$A379,$A379))</f>
        <v>#N/A Requesting Data...</v>
      </c>
      <c r="D379" s="8" t="str">
        <f>IF($A379="","",_xll.BDH(config!$H$4,D$1,$A379,$A379))</f>
        <v>#N/A Requesting Data...</v>
      </c>
      <c r="E379" s="8">
        <f>IF($A379="","",IF(ISNUMBER(FIND("IMPVOL",E$1)),_xll.BDH(config!$G$4,E$1,WORKDAY($A379,-1,config_Holiday_Calendar_US),WORKDAY($A379,-1,config_Holiday_Calendar_US)),IF(ISNUMBER(_xll.BDH(config!$G$4,E$1,$A379,$A379)),_xll.BDH(config!$G$4,E$1,$A379,$A379),_xll.BDH(config!$G$5,E$1,$A379,$A379))))</f>
        <v>45.38</v>
      </c>
      <c r="F379" s="8">
        <f>IF($A379="","",IF(ISNUMBER(FIND("IMPVOL",F$1)),_xll.BDH(config!$G$4,F$1,WORKDAY($A379,-1,config_Holiday_Calendar_US),WORKDAY($A379,-1,config_Holiday_Calendar_US)),IF(ISNUMBER(_xll.BDH(config!$G$4,F$1,$A379,$A379)),_xll.BDH(config!$G$4,F$1,$A379,$A379),_xll.BDH(config!$G$5,F$1,$A379,$A379))))</f>
        <v>47.1</v>
      </c>
      <c r="G379" s="8">
        <f>IF($A379="","",IF(ISNUMBER(FIND("IMPVOL",G$1)),_xll.BDH(config!$G$4,G$1,WORKDAY($A379,-1,config_Holiday_Calendar_US),WORKDAY($A379,-1,config_Holiday_Calendar_US)),IF(ISNUMBER(_xll.BDH(config!$G$4,G$1,$A379,$A379)),_xll.BDH(config!$G$4,G$1,$A379,$A379),_xll.BDH(config!$G$5,G$1,$A379,$A379))))</f>
        <v>45.11</v>
      </c>
      <c r="H379" s="8">
        <f>IF($A379="","",IF(ISNUMBER(FIND("IMPVOL",H$1)),_xll.BDH(config!$G$4,H$1,WORKDAY($A379,-1,config_Holiday_Calendar_US),WORKDAY($A379,-1,config_Holiday_Calendar_US)),IF(ISNUMBER(_xll.BDH(config!$G$4,H$1,$A379,$A379)),_xll.BDH(config!$G$4,H$1,$A379,$A379),_xll.BDH(config!$G$5,H$1,$A379,$A379))))</f>
        <v>157451</v>
      </c>
      <c r="I379" s="8" t="str">
        <f>IF($A379="","",IF(ISNUMBER(FIND("IMPVOL",I$1)),_xll.BDH(config!$G$4,I$1,WORKDAY($A379,-1,config_Holiday_Calendar_US),WORKDAY($A379,-1,config_Holiday_Calendar_US)),IF(ISNUMBER(_xll.BDH(config!$G$4,I$1,$A379,$A379)),_xll.BDH(config!$G$4,I$1,$A379,$A379),_xll.BDH(config!$G$5,I$1,$A379,$A379))))</f>
        <v>#N/A Requesting Data...</v>
      </c>
      <c r="J379" s="8" t="str">
        <f>IF($A379="","",IF(ISNUMBER(FIND("IMPVOL",J$1)),_xll.BDH(config!$G$4,J$1,WORKDAY($A379,-1,config_Holiday_Calendar_US),WORKDAY($A379,-1,config_Holiday_Calendar_US)),IF(ISNUMBER(_xll.BDH(config!$G$4,J$1,$A379,$A379)),_xll.BDH(config!$G$4,J$1,$A379,$A379),_xll.BDH(config!$G$5,J$1,$A379,$A379))))</f>
        <v>#N/A Requesting Data...</v>
      </c>
      <c r="K379" s="8" t="str">
        <f>IF($A379="","",IF(ISNUMBER(FIND("IMPVOL",K$1)),_xll.BDH(config!$G$4,K$1,WORKDAY($A379,-1,config_Holiday_Calendar_US),WORKDAY($A379,-1,config_Holiday_Calendar_US)),IF(ISNUMBER(_xll.BDH(config!$G$4,K$1,$A379,$A379)),_xll.BDH(config!$G$4,K$1,$A379,$A379),_xll.BDH(config!$G$5,K$1,$A379,$A379))))</f>
        <v>#N/A Requesting Data...</v>
      </c>
      <c r="L379" s="8" t="str">
        <f>IF($A379="","",IF(ISNUMBER(FIND("IMPVOL",L$1)),_xll.BDH(config!$G$4,L$1,WORKDAY($A379,-1,config_Holiday_Calendar_US),WORKDAY($A379,-1,config_Holiday_Calendar_US)),IF(ISNUMBER(_xll.BDH(config!$G$4,L$1,$A379,$A379)),_xll.BDH(config!$G$4,L$1,$A379,$A379),_xll.BDH(config!$G$5,L$1,$A379,$A379))))</f>
        <v>#N/A Requesting Data...</v>
      </c>
      <c r="M379" s="8" t="str">
        <f>IF($A379="","",IF(ISNUMBER(FIND("IMPVOL",M$1)),_xll.BDH(config!$G$4,M$1,WORKDAY($A379,-1,config_Holiday_Calendar_US),WORKDAY($A379,-1,config_Holiday_Calendar_US)),IF(ISNUMBER(_xll.BDH(config!$G$4,M$1,$A379,$A379)),_xll.BDH(config!$G$4,M$1,$A379,$A379),_xll.BDH(config!$G$5,M$1,$A379,$A379))))</f>
        <v>#N/A Requesting Data...</v>
      </c>
      <c r="N379" s="8" t="str">
        <f>IF($A379="","",IF(ISNUMBER(FIND("IMPVOL",N$1)),_xll.BDH(config!$G$4,N$1,WORKDAY($A379,-1,config_Holiday_Calendar_US),WORKDAY($A379,-1,config_Holiday_Calendar_US)),IF(ISNUMBER(_xll.BDH(config!$G$4,N$1,$A379,$A379)),_xll.BDH(config!$G$4,N$1,$A379,$A379),_xll.BDH(config!$G$5,N$1,$A379,$A379))))</f>
        <v>#N/A Requesting Data...</v>
      </c>
      <c r="O379" s="8" t="str">
        <f>IF($A379="","",IF(ISNUMBER(FIND("IMPVOL",O$1)),_xll.BDH(config!$G$4,O$1,WORKDAY($A379,-1,config_Holiday_Calendar_US),WORKDAY($A379,-1,config_Holiday_Calendar_US)),IF(ISNUMBER(_xll.BDH(config!$G$4,O$1,$A379,$A379)),_xll.BDH(config!$G$4,O$1,$A379,$A379),_xll.BDH(config!$G$5,O$1,$A379,$A379))))</f>
        <v>#N/A Requesting Data...</v>
      </c>
      <c r="P379" s="8" t="str">
        <f>IF($A379="","",IF(ISNUMBER(FIND("IMPVOL",P$1)),_xll.BDH(config!$G$4,P$1,WORKDAY($A379,-1,config_Holiday_Calendar_US),WORKDAY($A379,-1,config_Holiday_Calendar_US)),IF(ISNUMBER(_xll.BDH(config!$G$4,P$1,$A379,$A379)),_xll.BDH(config!$G$4,P$1,$A379,$A379),_xll.BDH(config!$G$5,P$1,$A379,$A379))))</f>
        <v>#N/A Requesting Data...</v>
      </c>
      <c r="Q379" s="8">
        <f>IF($A379="","",IF(ISNUMBER(FIND("IMPVOL",Q$1)),_xll.BDH(config!$G$4,Q$1,WORKDAY($A379,-1,config_Holiday_Calendar_US),WORKDAY($A379,-1,config_Holiday_Calendar_US)),IF(ISNUMBER(_xll.BDH(config!$G$4,Q$1,$A379,$A379)),_xll.BDH(config!$G$4,Q$1,$A379,$A379),_xll.BDH(config!$G$5,Q$1,$A379,$A379))))</f>
        <v>36.96</v>
      </c>
      <c r="R379" s="8">
        <f>IF($A379="","",IF(ISNUMBER(FIND("IMPVOL",R$1)),_xll.BDH(config!$G$4,R$1,WORKDAY($A379,-1,config_Holiday_Calendar_US),WORKDAY($A379,-1,config_Holiday_Calendar_US)),IF(ISNUMBER(_xll.BDH(config!$G$4,R$1,$A379,$A379)),_xll.BDH(config!$G$4,R$1,$A379,$A379),_xll.BDH(config!$G$5,R$1,$A379,$A379))))</f>
        <v>64.010000000000005</v>
      </c>
      <c r="S379" s="8" t="str">
        <f>IF($A379="","",IF(ISNUMBER(FIND("IMPVOL",S$1)),_xll.BDH(config!$G$4,S$1,WORKDAY($A379,-1,config_Holiday_Calendar_US),WORKDAY($A379,-1,config_Holiday_Calendar_US)),IF(ISNUMBER(_xll.BDH(config!$G$4,S$1,$A379,$A379)),_xll.BDH(config!$G$4,S$1,$A379,$A379),_xll.BDH(config!$G$5,S$1,$A379,$A379))))</f>
        <v>#N/A Requesting Data...</v>
      </c>
      <c r="T379" s="8" t="str">
        <f>IF($A379="","",IF(ISNUMBER(FIND("IMPVOL",T$1)),_xll.BDH(config!$G$4,T$1,WORKDAY($A379,-1,config_Holiday_Calendar_US),WORKDAY($A379,-1,config_Holiday_Calendar_US)),IF(ISNUMBER(_xll.BDH(config!$G$4,T$1,$A379,$A379)),_xll.BDH(config!$G$4,T$1,$A379,$A379),_xll.BDH(config!$G$5,T$1,$A379,$A379))))</f>
        <v>#N/A Requesting Data...</v>
      </c>
      <c r="U379" s="8" t="str">
        <f>IF($A379="","",IF(ISNUMBER(FIND("IMPVOL",U$1)),_xll.BDH(config!$G$4,U$1,WORKDAY($A379,-1,config_Holiday_Calendar_US),WORKDAY($A379,-1,config_Holiday_Calendar_US)),IF(ISNUMBER(_xll.BDH(config!$G$4,U$1,$A379,$A379)),_xll.BDH(config!$G$4,U$1,$A379,$A379),_xll.BDH(config!$G$5,U$1,$A379,$A379))))</f>
        <v>#N/A Requesting Data...</v>
      </c>
      <c r="V379" s="8" t="str">
        <f>IF($A379="","",IF(ISNUMBER(FIND("IMPVOL",V$1)),_xll.BDH(config!$G$4,V$1,WORKDAY($A379,-1,config_Holiday_Calendar_US),WORKDAY($A379,-1,config_Holiday_Calendar_US)),IF(ISNUMBER(_xll.BDH(config!$G$4,V$1,$A379,$A379)),_xll.BDH(config!$G$4,V$1,$A379,$A379),_xll.BDH(config!$G$5,V$1,$A379,$A379))))</f>
        <v>#N/A Requesting Data...</v>
      </c>
      <c r="W379" s="8" t="str">
        <f>IF($A379="","",IF(ISNUMBER(FIND("IMPVOL",W$1)),_xll.BDH(config!$G$4,W$1,WORKDAY($A379,-1,config_Holiday_Calendar_US),WORKDAY($A379,-1,config_Holiday_Calendar_US)),IF(ISNUMBER(_xll.BDH(config!$G$4,W$1,$A379,$A379)),_xll.BDH(config!$G$4,W$1,$A379,$A379),_xll.BDH(config!$G$5,W$1,$A379,$A379))))</f>
        <v>#N/A Requesting Data...</v>
      </c>
    </row>
    <row r="380" spans="1:23" x14ac:dyDescent="0.2">
      <c r="A380" s="9">
        <f>IF(A379="","",IF(WORKDAY(A379,-1,config_Holiday_Calendar_US)&lt;config!$I$10,"",WORKDAY(A379,-1,config_Holiday_Calendar_US)))</f>
        <v>42277</v>
      </c>
      <c r="B380" s="8" t="e">
        <f t="shared" si="5"/>
        <v>#VALUE!</v>
      </c>
      <c r="C380" s="8" t="str">
        <f>IF(A380="","",_xll.BDH(config!$H$4,C$1,$A380,$A380))</f>
        <v>#N/A Requesting Data...</v>
      </c>
      <c r="D380" s="8" t="str">
        <f>IF($A380="","",_xll.BDH(config!$H$4,D$1,$A380,$A380))</f>
        <v>#N/A Requesting Data...</v>
      </c>
      <c r="E380" s="8">
        <f>IF($A380="","",IF(ISNUMBER(FIND("IMPVOL",E$1)),_xll.BDH(config!$G$4,E$1,WORKDAY($A380,-1,config_Holiday_Calendar_US),WORKDAY($A380,-1,config_Holiday_Calendar_US)),IF(ISNUMBER(_xll.BDH(config!$G$4,E$1,$A380,$A380)),_xll.BDH(config!$G$4,E$1,$A380,$A380),_xll.BDH(config!$G$5,E$1,$A380,$A380))))</f>
        <v>44.92</v>
      </c>
      <c r="F380" s="8">
        <f>IF($A380="","",IF(ISNUMBER(FIND("IMPVOL",F$1)),_xll.BDH(config!$G$4,F$1,WORKDAY($A380,-1,config_Holiday_Calendar_US),WORKDAY($A380,-1,config_Holiday_Calendar_US)),IF(ISNUMBER(_xll.BDH(config!$G$4,F$1,$A380,$A380)),_xll.BDH(config!$G$4,F$1,$A380,$A380),_xll.BDH(config!$G$5,F$1,$A380,$A380))))</f>
        <v>45.85</v>
      </c>
      <c r="G380" s="8">
        <f>IF($A380="","",IF(ISNUMBER(FIND("IMPVOL",G$1)),_xll.BDH(config!$G$4,G$1,WORKDAY($A380,-1,config_Holiday_Calendar_US),WORKDAY($A380,-1,config_Holiday_Calendar_US)),IF(ISNUMBER(_xll.BDH(config!$G$4,G$1,$A380,$A380)),_xll.BDH(config!$G$4,G$1,$A380,$A380),_xll.BDH(config!$G$5,G$1,$A380,$A380))))</f>
        <v>45.11</v>
      </c>
      <c r="H380" s="8">
        <f>IF($A380="","",IF(ISNUMBER(FIND("IMPVOL",H$1)),_xll.BDH(config!$G$4,H$1,WORKDAY($A380,-1,config_Holiday_Calendar_US),WORKDAY($A380,-1,config_Holiday_Calendar_US)),IF(ISNUMBER(_xll.BDH(config!$G$4,H$1,$A380,$A380)),_xll.BDH(config!$G$4,H$1,$A380,$A380),_xll.BDH(config!$G$5,H$1,$A380,$A380))))</f>
        <v>116681</v>
      </c>
      <c r="I380" s="8" t="str">
        <f>IF($A380="","",IF(ISNUMBER(FIND("IMPVOL",I$1)),_xll.BDH(config!$G$4,I$1,WORKDAY($A380,-1,config_Holiday_Calendar_US),WORKDAY($A380,-1,config_Holiday_Calendar_US)),IF(ISNUMBER(_xll.BDH(config!$G$4,I$1,$A380,$A380)),_xll.BDH(config!$G$4,I$1,$A380,$A380),_xll.BDH(config!$G$5,I$1,$A380,$A380))))</f>
        <v>#N/A Requesting Data...</v>
      </c>
      <c r="J380" s="8" t="str">
        <f>IF($A380="","",IF(ISNUMBER(FIND("IMPVOL",J$1)),_xll.BDH(config!$G$4,J$1,WORKDAY($A380,-1,config_Holiday_Calendar_US),WORKDAY($A380,-1,config_Holiday_Calendar_US)),IF(ISNUMBER(_xll.BDH(config!$G$4,J$1,$A380,$A380)),_xll.BDH(config!$G$4,J$1,$A380,$A380),_xll.BDH(config!$G$5,J$1,$A380,$A380))))</f>
        <v>#N/A Requesting Data...</v>
      </c>
      <c r="K380" s="8" t="str">
        <f>IF($A380="","",IF(ISNUMBER(FIND("IMPVOL",K$1)),_xll.BDH(config!$G$4,K$1,WORKDAY($A380,-1,config_Holiday_Calendar_US),WORKDAY($A380,-1,config_Holiday_Calendar_US)),IF(ISNUMBER(_xll.BDH(config!$G$4,K$1,$A380,$A380)),_xll.BDH(config!$G$4,K$1,$A380,$A380),_xll.BDH(config!$G$5,K$1,$A380,$A380))))</f>
        <v>#N/A Requesting Data...</v>
      </c>
      <c r="L380" s="8" t="str">
        <f>IF($A380="","",IF(ISNUMBER(FIND("IMPVOL",L$1)),_xll.BDH(config!$G$4,L$1,WORKDAY($A380,-1,config_Holiday_Calendar_US),WORKDAY($A380,-1,config_Holiday_Calendar_US)),IF(ISNUMBER(_xll.BDH(config!$G$4,L$1,$A380,$A380)),_xll.BDH(config!$G$4,L$1,$A380,$A380),_xll.BDH(config!$G$5,L$1,$A380,$A380))))</f>
        <v>#N/A Requesting Data...</v>
      </c>
      <c r="M380" s="8" t="str">
        <f>IF($A380="","",IF(ISNUMBER(FIND("IMPVOL",M$1)),_xll.BDH(config!$G$4,M$1,WORKDAY($A380,-1,config_Holiday_Calendar_US),WORKDAY($A380,-1,config_Holiday_Calendar_US)),IF(ISNUMBER(_xll.BDH(config!$G$4,M$1,$A380,$A380)),_xll.BDH(config!$G$4,M$1,$A380,$A380),_xll.BDH(config!$G$5,M$1,$A380,$A380))))</f>
        <v>#N/A Requesting Data...</v>
      </c>
      <c r="N380" s="8" t="str">
        <f>IF($A380="","",IF(ISNUMBER(FIND("IMPVOL",N$1)),_xll.BDH(config!$G$4,N$1,WORKDAY($A380,-1,config_Holiday_Calendar_US),WORKDAY($A380,-1,config_Holiday_Calendar_US)),IF(ISNUMBER(_xll.BDH(config!$G$4,N$1,$A380,$A380)),_xll.BDH(config!$G$4,N$1,$A380,$A380),_xll.BDH(config!$G$5,N$1,$A380,$A380))))</f>
        <v>#N/A Requesting Data...</v>
      </c>
      <c r="O380" s="8" t="str">
        <f>IF($A380="","",IF(ISNUMBER(FIND("IMPVOL",O$1)),_xll.BDH(config!$G$4,O$1,WORKDAY($A380,-1,config_Holiday_Calendar_US),WORKDAY($A380,-1,config_Holiday_Calendar_US)),IF(ISNUMBER(_xll.BDH(config!$G$4,O$1,$A380,$A380)),_xll.BDH(config!$G$4,O$1,$A380,$A380),_xll.BDH(config!$G$5,O$1,$A380,$A380))))</f>
        <v>#N/A Requesting Data...</v>
      </c>
      <c r="P380" s="8" t="str">
        <f>IF($A380="","",IF(ISNUMBER(FIND("IMPVOL",P$1)),_xll.BDH(config!$G$4,P$1,WORKDAY($A380,-1,config_Holiday_Calendar_US),WORKDAY($A380,-1,config_Holiday_Calendar_US)),IF(ISNUMBER(_xll.BDH(config!$G$4,P$1,$A380,$A380)),_xll.BDH(config!$G$4,P$1,$A380,$A380),_xll.BDH(config!$G$5,P$1,$A380,$A380))))</f>
        <v>#N/A Requesting Data...</v>
      </c>
      <c r="Q380" s="8">
        <f>IF($A380="","",IF(ISNUMBER(FIND("IMPVOL",Q$1)),_xll.BDH(config!$G$4,Q$1,WORKDAY($A380,-1,config_Holiday_Calendar_US),WORKDAY($A380,-1,config_Holiday_Calendar_US)),IF(ISNUMBER(_xll.BDH(config!$G$4,Q$1,$A380,$A380)),_xll.BDH(config!$G$4,Q$1,$A380,$A380),_xll.BDH(config!$G$5,Q$1,$A380,$A380))))</f>
        <v>45.05</v>
      </c>
      <c r="R380" s="8">
        <f>IF($A380="","",IF(ISNUMBER(FIND("IMPVOL",R$1)),_xll.BDH(config!$G$4,R$1,WORKDAY($A380,-1,config_Holiday_Calendar_US),WORKDAY($A380,-1,config_Holiday_Calendar_US)),IF(ISNUMBER(_xll.BDH(config!$G$4,R$1,$A380,$A380)),_xll.BDH(config!$G$4,R$1,$A380,$A380),_xll.BDH(config!$G$5,R$1,$A380,$A380))))</f>
        <v>63.93</v>
      </c>
      <c r="S380" s="8" t="str">
        <f>IF($A380="","",IF(ISNUMBER(FIND("IMPVOL",S$1)),_xll.BDH(config!$G$4,S$1,WORKDAY($A380,-1,config_Holiday_Calendar_US),WORKDAY($A380,-1,config_Holiday_Calendar_US)),IF(ISNUMBER(_xll.BDH(config!$G$4,S$1,$A380,$A380)),_xll.BDH(config!$G$4,S$1,$A380,$A380),_xll.BDH(config!$G$5,S$1,$A380,$A380))))</f>
        <v>#N/A Requesting Data...</v>
      </c>
      <c r="T380" s="8" t="str">
        <f>IF($A380="","",IF(ISNUMBER(FIND("IMPVOL",T$1)),_xll.BDH(config!$G$4,T$1,WORKDAY($A380,-1,config_Holiday_Calendar_US),WORKDAY($A380,-1,config_Holiday_Calendar_US)),IF(ISNUMBER(_xll.BDH(config!$G$4,T$1,$A380,$A380)),_xll.BDH(config!$G$4,T$1,$A380,$A380),_xll.BDH(config!$G$5,T$1,$A380,$A380))))</f>
        <v>#N/A Requesting Data...</v>
      </c>
      <c r="U380" s="8" t="str">
        <f>IF($A380="","",IF(ISNUMBER(FIND("IMPVOL",U$1)),_xll.BDH(config!$G$4,U$1,WORKDAY($A380,-1,config_Holiday_Calendar_US),WORKDAY($A380,-1,config_Holiday_Calendar_US)),IF(ISNUMBER(_xll.BDH(config!$G$4,U$1,$A380,$A380)),_xll.BDH(config!$G$4,U$1,$A380,$A380),_xll.BDH(config!$G$5,U$1,$A380,$A380))))</f>
        <v>#N/A Requesting Data...</v>
      </c>
      <c r="V380" s="8" t="str">
        <f>IF($A380="","",IF(ISNUMBER(FIND("IMPVOL",V$1)),_xll.BDH(config!$G$4,V$1,WORKDAY($A380,-1,config_Holiday_Calendar_US),WORKDAY($A380,-1,config_Holiday_Calendar_US)),IF(ISNUMBER(_xll.BDH(config!$G$4,V$1,$A380,$A380)),_xll.BDH(config!$G$4,V$1,$A380,$A380),_xll.BDH(config!$G$5,V$1,$A380,$A380))))</f>
        <v>#N/A Requesting Data...</v>
      </c>
      <c r="W380" s="8" t="str">
        <f>IF($A380="","",IF(ISNUMBER(FIND("IMPVOL",W$1)),_xll.BDH(config!$G$4,W$1,WORKDAY($A380,-1,config_Holiday_Calendar_US),WORKDAY($A380,-1,config_Holiday_Calendar_US)),IF(ISNUMBER(_xll.BDH(config!$G$4,W$1,$A380,$A380)),_xll.BDH(config!$G$4,W$1,$A380,$A380),_xll.BDH(config!$G$5,W$1,$A380,$A380))))</f>
        <v>#N/A Requesting Data...</v>
      </c>
    </row>
    <row r="381" spans="1:23" x14ac:dyDescent="0.2">
      <c r="A381" s="9">
        <f>IF(A380="","",IF(WORKDAY(A380,-1,config_Holiday_Calendar_US)&lt;config!$I$10,"",WORKDAY(A380,-1,config_Holiday_Calendar_US)))</f>
        <v>42276</v>
      </c>
      <c r="B381" s="8" t="e">
        <f t="shared" si="5"/>
        <v>#VALUE!</v>
      </c>
      <c r="C381" s="8" t="str">
        <f>IF(A381="","",_xll.BDH(config!$H$4,C$1,$A381,$A381))</f>
        <v>#N/A Requesting Data...</v>
      </c>
      <c r="D381" s="8" t="str">
        <f>IF($A381="","",_xll.BDH(config!$H$4,D$1,$A381,$A381))</f>
        <v>#N/A Requesting Data...</v>
      </c>
      <c r="E381" s="8">
        <f>IF($A381="","",IF(ISNUMBER(FIND("IMPVOL",E$1)),_xll.BDH(config!$G$4,E$1,WORKDAY($A381,-1,config_Holiday_Calendar_US),WORKDAY($A381,-1,config_Holiday_Calendar_US)),IF(ISNUMBER(_xll.BDH(config!$G$4,E$1,$A381,$A381)),_xll.BDH(config!$G$4,E$1,$A381,$A381),_xll.BDH(config!$G$5,E$1,$A381,$A381))))</f>
        <v>44.5</v>
      </c>
      <c r="F381" s="8">
        <f>IF($A381="","",IF(ISNUMBER(FIND("IMPVOL",F$1)),_xll.BDH(config!$G$4,F$1,WORKDAY($A381,-1,config_Holiday_Calendar_US),WORKDAY($A381,-1,config_Holiday_Calendar_US)),IF(ISNUMBER(_xll.BDH(config!$G$4,F$1,$A381,$A381)),_xll.BDH(config!$G$4,F$1,$A381,$A381),_xll.BDH(config!$G$5,F$1,$A381,$A381))))</f>
        <v>45.7</v>
      </c>
      <c r="G381" s="8">
        <f>IF($A381="","",IF(ISNUMBER(FIND("IMPVOL",G$1)),_xll.BDH(config!$G$4,G$1,WORKDAY($A381,-1,config_Holiday_Calendar_US),WORKDAY($A381,-1,config_Holiday_Calendar_US)),IF(ISNUMBER(_xll.BDH(config!$G$4,G$1,$A381,$A381)),_xll.BDH(config!$G$4,G$1,$A381,$A381),_xll.BDH(config!$G$5,G$1,$A381,$A381))))</f>
        <v>44.75</v>
      </c>
      <c r="H381" s="8">
        <f>IF($A381="","",IF(ISNUMBER(FIND("IMPVOL",H$1)),_xll.BDH(config!$G$4,H$1,WORKDAY($A381,-1,config_Holiday_Calendar_US),WORKDAY($A381,-1,config_Holiday_Calendar_US)),IF(ISNUMBER(_xll.BDH(config!$G$4,H$1,$A381,$A381)),_xll.BDH(config!$G$4,H$1,$A381,$A381),_xll.BDH(config!$G$5,H$1,$A381,$A381))))</f>
        <v>81160</v>
      </c>
      <c r="I381" s="8" t="str">
        <f>IF($A381="","",IF(ISNUMBER(FIND("IMPVOL",I$1)),_xll.BDH(config!$G$4,I$1,WORKDAY($A381,-1,config_Holiday_Calendar_US),WORKDAY($A381,-1,config_Holiday_Calendar_US)),IF(ISNUMBER(_xll.BDH(config!$G$4,I$1,$A381,$A381)),_xll.BDH(config!$G$4,I$1,$A381,$A381),_xll.BDH(config!$G$5,I$1,$A381,$A381))))</f>
        <v>#N/A Requesting Data...</v>
      </c>
      <c r="J381" s="8" t="str">
        <f>IF($A381="","",IF(ISNUMBER(FIND("IMPVOL",J$1)),_xll.BDH(config!$G$4,J$1,WORKDAY($A381,-1,config_Holiday_Calendar_US),WORKDAY($A381,-1,config_Holiday_Calendar_US)),IF(ISNUMBER(_xll.BDH(config!$G$4,J$1,$A381,$A381)),_xll.BDH(config!$G$4,J$1,$A381,$A381),_xll.BDH(config!$G$5,J$1,$A381,$A381))))</f>
        <v>#N/A Requesting Data...</v>
      </c>
      <c r="K381" s="8" t="str">
        <f>IF($A381="","",IF(ISNUMBER(FIND("IMPVOL",K$1)),_xll.BDH(config!$G$4,K$1,WORKDAY($A381,-1,config_Holiday_Calendar_US),WORKDAY($A381,-1,config_Holiday_Calendar_US)),IF(ISNUMBER(_xll.BDH(config!$G$4,K$1,$A381,$A381)),_xll.BDH(config!$G$4,K$1,$A381,$A381),_xll.BDH(config!$G$5,K$1,$A381,$A381))))</f>
        <v>#N/A Requesting Data...</v>
      </c>
      <c r="L381" s="8" t="str">
        <f>IF($A381="","",IF(ISNUMBER(FIND("IMPVOL",L$1)),_xll.BDH(config!$G$4,L$1,WORKDAY($A381,-1,config_Holiday_Calendar_US),WORKDAY($A381,-1,config_Holiday_Calendar_US)),IF(ISNUMBER(_xll.BDH(config!$G$4,L$1,$A381,$A381)),_xll.BDH(config!$G$4,L$1,$A381,$A381),_xll.BDH(config!$G$5,L$1,$A381,$A381))))</f>
        <v>#N/A Requesting Data...</v>
      </c>
      <c r="M381" s="8" t="str">
        <f>IF($A381="","",IF(ISNUMBER(FIND("IMPVOL",M$1)),_xll.BDH(config!$G$4,M$1,WORKDAY($A381,-1,config_Holiday_Calendar_US),WORKDAY($A381,-1,config_Holiday_Calendar_US)),IF(ISNUMBER(_xll.BDH(config!$G$4,M$1,$A381,$A381)),_xll.BDH(config!$G$4,M$1,$A381,$A381),_xll.BDH(config!$G$5,M$1,$A381,$A381))))</f>
        <v>#N/A Requesting Data...</v>
      </c>
      <c r="N381" s="8" t="str">
        <f>IF($A381="","",IF(ISNUMBER(FIND("IMPVOL",N$1)),_xll.BDH(config!$G$4,N$1,WORKDAY($A381,-1,config_Holiday_Calendar_US),WORKDAY($A381,-1,config_Holiday_Calendar_US)),IF(ISNUMBER(_xll.BDH(config!$G$4,N$1,$A381,$A381)),_xll.BDH(config!$G$4,N$1,$A381,$A381),_xll.BDH(config!$G$5,N$1,$A381,$A381))))</f>
        <v>#N/A Requesting Data...</v>
      </c>
      <c r="O381" s="8" t="str">
        <f>IF($A381="","",IF(ISNUMBER(FIND("IMPVOL",O$1)),_xll.BDH(config!$G$4,O$1,WORKDAY($A381,-1,config_Holiday_Calendar_US),WORKDAY($A381,-1,config_Holiday_Calendar_US)),IF(ISNUMBER(_xll.BDH(config!$G$4,O$1,$A381,$A381)),_xll.BDH(config!$G$4,O$1,$A381,$A381),_xll.BDH(config!$G$5,O$1,$A381,$A381))))</f>
        <v>#N/A Requesting Data...</v>
      </c>
      <c r="P381" s="8" t="str">
        <f>IF($A381="","",IF(ISNUMBER(FIND("IMPVOL",P$1)),_xll.BDH(config!$G$4,P$1,WORKDAY($A381,-1,config_Holiday_Calendar_US),WORKDAY($A381,-1,config_Holiday_Calendar_US)),IF(ISNUMBER(_xll.BDH(config!$G$4,P$1,$A381,$A381)),_xll.BDH(config!$G$4,P$1,$A381,$A381),_xll.BDH(config!$G$5,P$1,$A381,$A381))))</f>
        <v>#N/A Requesting Data...</v>
      </c>
      <c r="Q381" s="8">
        <f>IF($A381="","",IF(ISNUMBER(FIND("IMPVOL",Q$1)),_xll.BDH(config!$G$4,Q$1,WORKDAY($A381,-1,config_Holiday_Calendar_US),WORKDAY($A381,-1,config_Holiday_Calendar_US)),IF(ISNUMBER(_xll.BDH(config!$G$4,Q$1,$A381,$A381)),_xll.BDH(config!$G$4,Q$1,$A381,$A381),_xll.BDH(config!$G$5,Q$1,$A381,$A381))))</f>
        <v>45.05</v>
      </c>
      <c r="R381" s="8">
        <f>IF($A381="","",IF(ISNUMBER(FIND("IMPVOL",R$1)),_xll.BDH(config!$G$4,R$1,WORKDAY($A381,-1,config_Holiday_Calendar_US),WORKDAY($A381,-1,config_Holiday_Calendar_US)),IF(ISNUMBER(_xll.BDH(config!$G$4,R$1,$A381,$A381)),_xll.BDH(config!$G$4,R$1,$A381,$A381),_xll.BDH(config!$G$5,R$1,$A381,$A381))))</f>
        <v>65.47</v>
      </c>
      <c r="S381" s="8" t="str">
        <f>IF($A381="","",IF(ISNUMBER(FIND("IMPVOL",S$1)),_xll.BDH(config!$G$4,S$1,WORKDAY($A381,-1,config_Holiday_Calendar_US),WORKDAY($A381,-1,config_Holiday_Calendar_US)),IF(ISNUMBER(_xll.BDH(config!$G$4,S$1,$A381,$A381)),_xll.BDH(config!$G$4,S$1,$A381,$A381),_xll.BDH(config!$G$5,S$1,$A381,$A381))))</f>
        <v>#N/A Requesting Data...</v>
      </c>
      <c r="T381" s="8" t="str">
        <f>IF($A381="","",IF(ISNUMBER(FIND("IMPVOL",T$1)),_xll.BDH(config!$G$4,T$1,WORKDAY($A381,-1,config_Holiday_Calendar_US),WORKDAY($A381,-1,config_Holiday_Calendar_US)),IF(ISNUMBER(_xll.BDH(config!$G$4,T$1,$A381,$A381)),_xll.BDH(config!$G$4,T$1,$A381,$A381),_xll.BDH(config!$G$5,T$1,$A381,$A381))))</f>
        <v>#N/A Requesting Data...</v>
      </c>
      <c r="U381" s="8" t="str">
        <f>IF($A381="","",IF(ISNUMBER(FIND("IMPVOL",U$1)),_xll.BDH(config!$G$4,U$1,WORKDAY($A381,-1,config_Holiday_Calendar_US),WORKDAY($A381,-1,config_Holiday_Calendar_US)),IF(ISNUMBER(_xll.BDH(config!$G$4,U$1,$A381,$A381)),_xll.BDH(config!$G$4,U$1,$A381,$A381),_xll.BDH(config!$G$5,U$1,$A381,$A381))))</f>
        <v>#N/A Requesting Data...</v>
      </c>
      <c r="V381" s="8" t="str">
        <f>IF($A381="","",IF(ISNUMBER(FIND("IMPVOL",V$1)),_xll.BDH(config!$G$4,V$1,WORKDAY($A381,-1,config_Holiday_Calendar_US),WORKDAY($A381,-1,config_Holiday_Calendar_US)),IF(ISNUMBER(_xll.BDH(config!$G$4,V$1,$A381,$A381)),_xll.BDH(config!$G$4,V$1,$A381,$A381),_xll.BDH(config!$G$5,V$1,$A381,$A381))))</f>
        <v>#N/A Requesting Data...</v>
      </c>
      <c r="W381" s="8" t="str">
        <f>IF($A381="","",IF(ISNUMBER(FIND("IMPVOL",W$1)),_xll.BDH(config!$G$4,W$1,WORKDAY($A381,-1,config_Holiday_Calendar_US),WORKDAY($A381,-1,config_Holiday_Calendar_US)),IF(ISNUMBER(_xll.BDH(config!$G$4,W$1,$A381,$A381)),_xll.BDH(config!$G$4,W$1,$A381,$A381),_xll.BDH(config!$G$5,W$1,$A381,$A381))))</f>
        <v>#N/A Requesting Data...</v>
      </c>
    </row>
    <row r="382" spans="1:23" x14ac:dyDescent="0.2">
      <c r="A382" s="9">
        <f>IF(A381="","",IF(WORKDAY(A381,-1,config_Holiday_Calendar_US)&lt;config!$I$10,"",WORKDAY(A381,-1,config_Holiday_Calendar_US)))</f>
        <v>42275</v>
      </c>
      <c r="B382" s="8" t="e">
        <f t="shared" si="5"/>
        <v>#VALUE!</v>
      </c>
      <c r="C382" s="8" t="str">
        <f>IF(A382="","",_xll.BDH(config!$H$4,C$1,$A382,$A382))</f>
        <v>#N/A Requesting Data...</v>
      </c>
      <c r="D382" s="8" t="str">
        <f>IF($A382="","",_xll.BDH(config!$H$4,D$1,$A382,$A382))</f>
        <v>#N/A Requesting Data...</v>
      </c>
      <c r="E382" s="8">
        <f>IF($A382="","",IF(ISNUMBER(FIND("IMPVOL",E$1)),_xll.BDH(config!$G$4,E$1,WORKDAY($A382,-1,config_Holiday_Calendar_US),WORKDAY($A382,-1,config_Holiday_Calendar_US)),IF(ISNUMBER(_xll.BDH(config!$G$4,E$1,$A382,$A382)),_xll.BDH(config!$G$4,E$1,$A382,$A382),_xll.BDH(config!$G$5,E$1,$A382,$A382))))</f>
        <v>45.38</v>
      </c>
      <c r="F382" s="8">
        <f>IF($A382="","",IF(ISNUMBER(FIND("IMPVOL",F$1)),_xll.BDH(config!$G$4,F$1,WORKDAY($A382,-1,config_Holiday_Calendar_US),WORKDAY($A382,-1,config_Holiday_Calendar_US)),IF(ISNUMBER(_xll.BDH(config!$G$4,F$1,$A382,$A382)),_xll.BDH(config!$G$4,F$1,$A382,$A382),_xll.BDH(config!$G$5,F$1,$A382,$A382))))</f>
        <v>45.5</v>
      </c>
      <c r="G382" s="8">
        <f>IF($A382="","",IF(ISNUMBER(FIND("IMPVOL",G$1)),_xll.BDH(config!$G$4,G$1,WORKDAY($A382,-1,config_Holiday_Calendar_US),WORKDAY($A382,-1,config_Holiday_Calendar_US)),IF(ISNUMBER(_xll.BDH(config!$G$4,G$1,$A382,$A382)),_xll.BDH(config!$G$4,G$1,$A382,$A382),_xll.BDH(config!$G$5,G$1,$A382,$A382))))</f>
        <v>44.75</v>
      </c>
      <c r="H382" s="8">
        <f>IF($A382="","",IF(ISNUMBER(FIND("IMPVOL",H$1)),_xll.BDH(config!$G$4,H$1,WORKDAY($A382,-1,config_Holiday_Calendar_US),WORKDAY($A382,-1,config_Holiday_Calendar_US)),IF(ISNUMBER(_xll.BDH(config!$G$4,H$1,$A382,$A382)),_xll.BDH(config!$G$4,H$1,$A382,$A382),_xll.BDH(config!$G$5,H$1,$A382,$A382))))</f>
        <v>89078</v>
      </c>
      <c r="I382" s="8" t="str">
        <f>IF($A382="","",IF(ISNUMBER(FIND("IMPVOL",I$1)),_xll.BDH(config!$G$4,I$1,WORKDAY($A382,-1,config_Holiday_Calendar_US),WORKDAY($A382,-1,config_Holiday_Calendar_US)),IF(ISNUMBER(_xll.BDH(config!$G$4,I$1,$A382,$A382)),_xll.BDH(config!$G$4,I$1,$A382,$A382),_xll.BDH(config!$G$5,I$1,$A382,$A382))))</f>
        <v>#N/A Requesting Data...</v>
      </c>
      <c r="J382" s="8" t="str">
        <f>IF($A382="","",IF(ISNUMBER(FIND("IMPVOL",J$1)),_xll.BDH(config!$G$4,J$1,WORKDAY($A382,-1,config_Holiday_Calendar_US),WORKDAY($A382,-1,config_Holiday_Calendar_US)),IF(ISNUMBER(_xll.BDH(config!$G$4,J$1,$A382,$A382)),_xll.BDH(config!$G$4,J$1,$A382,$A382),_xll.BDH(config!$G$5,J$1,$A382,$A382))))</f>
        <v>#N/A Requesting Data...</v>
      </c>
      <c r="K382" s="8" t="str">
        <f>IF($A382="","",IF(ISNUMBER(FIND("IMPVOL",K$1)),_xll.BDH(config!$G$4,K$1,WORKDAY($A382,-1,config_Holiday_Calendar_US),WORKDAY($A382,-1,config_Holiday_Calendar_US)),IF(ISNUMBER(_xll.BDH(config!$G$4,K$1,$A382,$A382)),_xll.BDH(config!$G$4,K$1,$A382,$A382),_xll.BDH(config!$G$5,K$1,$A382,$A382))))</f>
        <v>#N/A Requesting Data...</v>
      </c>
      <c r="L382" s="8" t="str">
        <f>IF($A382="","",IF(ISNUMBER(FIND("IMPVOL",L$1)),_xll.BDH(config!$G$4,L$1,WORKDAY($A382,-1,config_Holiday_Calendar_US),WORKDAY($A382,-1,config_Holiday_Calendar_US)),IF(ISNUMBER(_xll.BDH(config!$G$4,L$1,$A382,$A382)),_xll.BDH(config!$G$4,L$1,$A382,$A382),_xll.BDH(config!$G$5,L$1,$A382,$A382))))</f>
        <v>#N/A Requesting Data...</v>
      </c>
      <c r="M382" s="8" t="str">
        <f>IF($A382="","",IF(ISNUMBER(FIND("IMPVOL",M$1)),_xll.BDH(config!$G$4,M$1,WORKDAY($A382,-1,config_Holiday_Calendar_US),WORKDAY($A382,-1,config_Holiday_Calendar_US)),IF(ISNUMBER(_xll.BDH(config!$G$4,M$1,$A382,$A382)),_xll.BDH(config!$G$4,M$1,$A382,$A382),_xll.BDH(config!$G$5,M$1,$A382,$A382))))</f>
        <v>#N/A Requesting Data...</v>
      </c>
      <c r="N382" s="8" t="str">
        <f>IF($A382="","",IF(ISNUMBER(FIND("IMPVOL",N$1)),_xll.BDH(config!$G$4,N$1,WORKDAY($A382,-1,config_Holiday_Calendar_US),WORKDAY($A382,-1,config_Holiday_Calendar_US)),IF(ISNUMBER(_xll.BDH(config!$G$4,N$1,$A382,$A382)),_xll.BDH(config!$G$4,N$1,$A382,$A382),_xll.BDH(config!$G$5,N$1,$A382,$A382))))</f>
        <v>#N/A Requesting Data...</v>
      </c>
      <c r="O382" s="8" t="str">
        <f>IF($A382="","",IF(ISNUMBER(FIND("IMPVOL",O$1)),_xll.BDH(config!$G$4,O$1,WORKDAY($A382,-1,config_Holiday_Calendar_US),WORKDAY($A382,-1,config_Holiday_Calendar_US)),IF(ISNUMBER(_xll.BDH(config!$G$4,O$1,$A382,$A382)),_xll.BDH(config!$G$4,O$1,$A382,$A382),_xll.BDH(config!$G$5,O$1,$A382,$A382))))</f>
        <v>#N/A Requesting Data...</v>
      </c>
      <c r="P382" s="8" t="str">
        <f>IF($A382="","",IF(ISNUMBER(FIND("IMPVOL",P$1)),_xll.BDH(config!$G$4,P$1,WORKDAY($A382,-1,config_Holiday_Calendar_US),WORKDAY($A382,-1,config_Holiday_Calendar_US)),IF(ISNUMBER(_xll.BDH(config!$G$4,P$1,$A382,$A382)),_xll.BDH(config!$G$4,P$1,$A382,$A382),_xll.BDH(config!$G$5,P$1,$A382,$A382))))</f>
        <v>#N/A Requesting Data...</v>
      </c>
      <c r="Q382" s="8">
        <f>IF($A382="","",IF(ISNUMBER(FIND("IMPVOL",Q$1)),_xll.BDH(config!$G$4,Q$1,WORKDAY($A382,-1,config_Holiday_Calendar_US),WORKDAY($A382,-1,config_Holiday_Calendar_US)),IF(ISNUMBER(_xll.BDH(config!$G$4,Q$1,$A382,$A382)),_xll.BDH(config!$G$4,Q$1,$A382,$A382),_xll.BDH(config!$G$5,Q$1,$A382,$A382))))</f>
        <v>54.32</v>
      </c>
      <c r="R382" s="8">
        <f>IF($A382="","",IF(ISNUMBER(FIND("IMPVOL",R$1)),_xll.BDH(config!$G$4,R$1,WORKDAY($A382,-1,config_Holiday_Calendar_US),WORKDAY($A382,-1,config_Holiday_Calendar_US)),IF(ISNUMBER(_xll.BDH(config!$G$4,R$1,$A382,$A382)),_xll.BDH(config!$G$4,R$1,$A382,$A382),_xll.BDH(config!$G$5,R$1,$A382,$A382))))</f>
        <v>65.459999999999994</v>
      </c>
      <c r="S382" s="8" t="str">
        <f>IF($A382="","",IF(ISNUMBER(FIND("IMPVOL",S$1)),_xll.BDH(config!$G$4,S$1,WORKDAY($A382,-1,config_Holiday_Calendar_US),WORKDAY($A382,-1,config_Holiday_Calendar_US)),IF(ISNUMBER(_xll.BDH(config!$G$4,S$1,$A382,$A382)),_xll.BDH(config!$G$4,S$1,$A382,$A382),_xll.BDH(config!$G$5,S$1,$A382,$A382))))</f>
        <v>#N/A Requesting Data...</v>
      </c>
      <c r="T382" s="8" t="str">
        <f>IF($A382="","",IF(ISNUMBER(FIND("IMPVOL",T$1)),_xll.BDH(config!$G$4,T$1,WORKDAY($A382,-1,config_Holiday_Calendar_US),WORKDAY($A382,-1,config_Holiday_Calendar_US)),IF(ISNUMBER(_xll.BDH(config!$G$4,T$1,$A382,$A382)),_xll.BDH(config!$G$4,T$1,$A382,$A382),_xll.BDH(config!$G$5,T$1,$A382,$A382))))</f>
        <v>#N/A Requesting Data...</v>
      </c>
      <c r="U382" s="8" t="str">
        <f>IF($A382="","",IF(ISNUMBER(FIND("IMPVOL",U$1)),_xll.BDH(config!$G$4,U$1,WORKDAY($A382,-1,config_Holiday_Calendar_US),WORKDAY($A382,-1,config_Holiday_Calendar_US)),IF(ISNUMBER(_xll.BDH(config!$G$4,U$1,$A382,$A382)),_xll.BDH(config!$G$4,U$1,$A382,$A382),_xll.BDH(config!$G$5,U$1,$A382,$A382))))</f>
        <v>#N/A Requesting Data...</v>
      </c>
      <c r="V382" s="8" t="str">
        <f>IF($A382="","",IF(ISNUMBER(FIND("IMPVOL",V$1)),_xll.BDH(config!$G$4,V$1,WORKDAY($A382,-1,config_Holiday_Calendar_US),WORKDAY($A382,-1,config_Holiday_Calendar_US)),IF(ISNUMBER(_xll.BDH(config!$G$4,V$1,$A382,$A382)),_xll.BDH(config!$G$4,V$1,$A382,$A382),_xll.BDH(config!$G$5,V$1,$A382,$A382))))</f>
        <v>#N/A Requesting Data...</v>
      </c>
      <c r="W382" s="8" t="str">
        <f>IF($A382="","",IF(ISNUMBER(FIND("IMPVOL",W$1)),_xll.BDH(config!$G$4,W$1,WORKDAY($A382,-1,config_Holiday_Calendar_US),WORKDAY($A382,-1,config_Holiday_Calendar_US)),IF(ISNUMBER(_xll.BDH(config!$G$4,W$1,$A382,$A382)),_xll.BDH(config!$G$4,W$1,$A382,$A382),_xll.BDH(config!$G$5,W$1,$A382,$A382))))</f>
        <v>#N/A Requesting Data...</v>
      </c>
    </row>
    <row r="383" spans="1:23" x14ac:dyDescent="0.2">
      <c r="A383" s="9">
        <f>IF(A382="","",IF(WORKDAY(A382,-1,config_Holiday_Calendar_US)&lt;config!$I$10,"",WORKDAY(A382,-1,config_Holiday_Calendar_US)))</f>
        <v>42272</v>
      </c>
      <c r="B383" s="8" t="e">
        <f t="shared" si="5"/>
        <v>#VALUE!</v>
      </c>
      <c r="C383" s="8" t="str">
        <f>IF(A383="","",_xll.BDH(config!$H$4,C$1,$A383,$A383))</f>
        <v>#N/A Requesting Data...</v>
      </c>
      <c r="D383" s="8" t="str">
        <f>IF($A383="","",_xll.BDH(config!$H$4,D$1,$A383,$A383))</f>
        <v>#N/A Requesting Data...</v>
      </c>
      <c r="E383" s="8">
        <f>IF($A383="","",IF(ISNUMBER(FIND("IMPVOL",E$1)),_xll.BDH(config!$G$4,E$1,WORKDAY($A383,-1,config_Holiday_Calendar_US),WORKDAY($A383,-1,config_Holiday_Calendar_US)),IF(ISNUMBER(_xll.BDH(config!$G$4,E$1,$A383,$A383)),_xll.BDH(config!$G$4,E$1,$A383,$A383),_xll.BDH(config!$G$5,E$1,$A383,$A383))))</f>
        <v>45.05</v>
      </c>
      <c r="F383" s="8">
        <f>IF($A383="","",IF(ISNUMBER(FIND("IMPVOL",F$1)),_xll.BDH(config!$G$4,F$1,WORKDAY($A383,-1,config_Holiday_Calendar_US),WORKDAY($A383,-1,config_Holiday_Calendar_US)),IF(ISNUMBER(_xll.BDH(config!$G$4,F$1,$A383,$A383)),_xll.BDH(config!$G$4,F$1,$A383,$A383),_xll.BDH(config!$G$5,F$1,$A383,$A383))))</f>
        <v>46.38</v>
      </c>
      <c r="G383" s="8">
        <f>IF($A383="","",IF(ISNUMBER(FIND("IMPVOL",G$1)),_xll.BDH(config!$G$4,G$1,WORKDAY($A383,-1,config_Holiday_Calendar_US),WORKDAY($A383,-1,config_Holiday_Calendar_US)),IF(ISNUMBER(_xll.BDH(config!$G$4,G$1,$A383,$A383)),_xll.BDH(config!$G$4,G$1,$A383,$A383),_xll.BDH(config!$G$5,G$1,$A383,$A383))))</f>
        <v>45.42</v>
      </c>
      <c r="H383" s="8">
        <f>IF($A383="","",IF(ISNUMBER(FIND("IMPVOL",H$1)),_xll.BDH(config!$G$4,H$1,WORKDAY($A383,-1,config_Holiday_Calendar_US),WORKDAY($A383,-1,config_Holiday_Calendar_US)),IF(ISNUMBER(_xll.BDH(config!$G$4,H$1,$A383,$A383)),_xll.BDH(config!$G$4,H$1,$A383,$A383),_xll.BDH(config!$G$5,H$1,$A383,$A383))))</f>
        <v>114882</v>
      </c>
      <c r="I383" s="8" t="str">
        <f>IF($A383="","",IF(ISNUMBER(FIND("IMPVOL",I$1)),_xll.BDH(config!$G$4,I$1,WORKDAY($A383,-1,config_Holiday_Calendar_US),WORKDAY($A383,-1,config_Holiday_Calendar_US)),IF(ISNUMBER(_xll.BDH(config!$G$4,I$1,$A383,$A383)),_xll.BDH(config!$G$4,I$1,$A383,$A383),_xll.BDH(config!$G$5,I$1,$A383,$A383))))</f>
        <v>#N/A Requesting Data...</v>
      </c>
      <c r="J383" s="8" t="str">
        <f>IF($A383="","",IF(ISNUMBER(FIND("IMPVOL",J$1)),_xll.BDH(config!$G$4,J$1,WORKDAY($A383,-1,config_Holiday_Calendar_US),WORKDAY($A383,-1,config_Holiday_Calendar_US)),IF(ISNUMBER(_xll.BDH(config!$G$4,J$1,$A383,$A383)),_xll.BDH(config!$G$4,J$1,$A383,$A383),_xll.BDH(config!$G$5,J$1,$A383,$A383))))</f>
        <v>#N/A Requesting Data...</v>
      </c>
      <c r="K383" s="8" t="str">
        <f>IF($A383="","",IF(ISNUMBER(FIND("IMPVOL",K$1)),_xll.BDH(config!$G$4,K$1,WORKDAY($A383,-1,config_Holiday_Calendar_US),WORKDAY($A383,-1,config_Holiday_Calendar_US)),IF(ISNUMBER(_xll.BDH(config!$G$4,K$1,$A383,$A383)),_xll.BDH(config!$G$4,K$1,$A383,$A383),_xll.BDH(config!$G$5,K$1,$A383,$A383))))</f>
        <v>#N/A Requesting Data...</v>
      </c>
      <c r="L383" s="8" t="str">
        <f>IF($A383="","",IF(ISNUMBER(FIND("IMPVOL",L$1)),_xll.BDH(config!$G$4,L$1,WORKDAY($A383,-1,config_Holiday_Calendar_US),WORKDAY($A383,-1,config_Holiday_Calendar_US)),IF(ISNUMBER(_xll.BDH(config!$G$4,L$1,$A383,$A383)),_xll.BDH(config!$G$4,L$1,$A383,$A383),_xll.BDH(config!$G$5,L$1,$A383,$A383))))</f>
        <v>#N/A Requesting Data...</v>
      </c>
      <c r="M383" s="8" t="str">
        <f>IF($A383="","",IF(ISNUMBER(FIND("IMPVOL",M$1)),_xll.BDH(config!$G$4,M$1,WORKDAY($A383,-1,config_Holiday_Calendar_US),WORKDAY($A383,-1,config_Holiday_Calendar_US)),IF(ISNUMBER(_xll.BDH(config!$G$4,M$1,$A383,$A383)),_xll.BDH(config!$G$4,M$1,$A383,$A383),_xll.BDH(config!$G$5,M$1,$A383,$A383))))</f>
        <v>#N/A Requesting Data...</v>
      </c>
      <c r="N383" s="8" t="str">
        <f>IF($A383="","",IF(ISNUMBER(FIND("IMPVOL",N$1)),_xll.BDH(config!$G$4,N$1,WORKDAY($A383,-1,config_Holiday_Calendar_US),WORKDAY($A383,-1,config_Holiday_Calendar_US)),IF(ISNUMBER(_xll.BDH(config!$G$4,N$1,$A383,$A383)),_xll.BDH(config!$G$4,N$1,$A383,$A383),_xll.BDH(config!$G$5,N$1,$A383,$A383))))</f>
        <v>#N/A Requesting Data...</v>
      </c>
      <c r="O383" s="8" t="str">
        <f>IF($A383="","",IF(ISNUMBER(FIND("IMPVOL",O$1)),_xll.BDH(config!$G$4,O$1,WORKDAY($A383,-1,config_Holiday_Calendar_US),WORKDAY($A383,-1,config_Holiday_Calendar_US)),IF(ISNUMBER(_xll.BDH(config!$G$4,O$1,$A383,$A383)),_xll.BDH(config!$G$4,O$1,$A383,$A383),_xll.BDH(config!$G$5,O$1,$A383,$A383))))</f>
        <v>#N/A Requesting Data...</v>
      </c>
      <c r="P383" s="8" t="str">
        <f>IF($A383="","",IF(ISNUMBER(FIND("IMPVOL",P$1)),_xll.BDH(config!$G$4,P$1,WORKDAY($A383,-1,config_Holiday_Calendar_US),WORKDAY($A383,-1,config_Holiday_Calendar_US)),IF(ISNUMBER(_xll.BDH(config!$G$4,P$1,$A383,$A383)),_xll.BDH(config!$G$4,P$1,$A383,$A383),_xll.BDH(config!$G$5,P$1,$A383,$A383))))</f>
        <v>#N/A Requesting Data...</v>
      </c>
      <c r="Q383" s="8">
        <f>IF($A383="","",IF(ISNUMBER(FIND("IMPVOL",Q$1)),_xll.BDH(config!$G$4,Q$1,WORKDAY($A383,-1,config_Holiday_Calendar_US),WORKDAY($A383,-1,config_Holiday_Calendar_US)),IF(ISNUMBER(_xll.BDH(config!$G$4,Q$1,$A383,$A383)),_xll.BDH(config!$G$4,Q$1,$A383,$A383),_xll.BDH(config!$G$5,Q$1,$A383,$A383))))</f>
        <v>51.73</v>
      </c>
      <c r="R383" s="8">
        <f>IF($A383="","",IF(ISNUMBER(FIND("IMPVOL",R$1)),_xll.BDH(config!$G$4,R$1,WORKDAY($A383,-1,config_Holiday_Calendar_US),WORKDAY($A383,-1,config_Holiday_Calendar_US)),IF(ISNUMBER(_xll.BDH(config!$G$4,R$1,$A383,$A383)),_xll.BDH(config!$G$4,R$1,$A383,$A383),_xll.BDH(config!$G$5,R$1,$A383,$A383))))</f>
        <v>65.010000000000005</v>
      </c>
      <c r="S383" s="8" t="str">
        <f>IF($A383="","",IF(ISNUMBER(FIND("IMPVOL",S$1)),_xll.BDH(config!$G$4,S$1,WORKDAY($A383,-1,config_Holiday_Calendar_US),WORKDAY($A383,-1,config_Holiday_Calendar_US)),IF(ISNUMBER(_xll.BDH(config!$G$4,S$1,$A383,$A383)),_xll.BDH(config!$G$4,S$1,$A383,$A383),_xll.BDH(config!$G$5,S$1,$A383,$A383))))</f>
        <v>#N/A Requesting Data...</v>
      </c>
      <c r="T383" s="8" t="str">
        <f>IF($A383="","",IF(ISNUMBER(FIND("IMPVOL",T$1)),_xll.BDH(config!$G$4,T$1,WORKDAY($A383,-1,config_Holiday_Calendar_US),WORKDAY($A383,-1,config_Holiday_Calendar_US)),IF(ISNUMBER(_xll.BDH(config!$G$4,T$1,$A383,$A383)),_xll.BDH(config!$G$4,T$1,$A383,$A383),_xll.BDH(config!$G$5,T$1,$A383,$A383))))</f>
        <v>#N/A Requesting Data...</v>
      </c>
      <c r="U383" s="8" t="str">
        <f>IF($A383="","",IF(ISNUMBER(FIND("IMPVOL",U$1)),_xll.BDH(config!$G$4,U$1,WORKDAY($A383,-1,config_Holiday_Calendar_US),WORKDAY($A383,-1,config_Holiday_Calendar_US)),IF(ISNUMBER(_xll.BDH(config!$G$4,U$1,$A383,$A383)),_xll.BDH(config!$G$4,U$1,$A383,$A383),_xll.BDH(config!$G$5,U$1,$A383,$A383))))</f>
        <v>#N/A Requesting Data...</v>
      </c>
      <c r="V383" s="8" t="str">
        <f>IF($A383="","",IF(ISNUMBER(FIND("IMPVOL",V$1)),_xll.BDH(config!$G$4,V$1,WORKDAY($A383,-1,config_Holiday_Calendar_US),WORKDAY($A383,-1,config_Holiday_Calendar_US)),IF(ISNUMBER(_xll.BDH(config!$G$4,V$1,$A383,$A383)),_xll.BDH(config!$G$4,V$1,$A383,$A383),_xll.BDH(config!$G$5,V$1,$A383,$A383))))</f>
        <v>#N/A Requesting Data...</v>
      </c>
      <c r="W383" s="8" t="str">
        <f>IF($A383="","",IF(ISNUMBER(FIND("IMPVOL",W$1)),_xll.BDH(config!$G$4,W$1,WORKDAY($A383,-1,config_Holiday_Calendar_US),WORKDAY($A383,-1,config_Holiday_Calendar_US)),IF(ISNUMBER(_xll.BDH(config!$G$4,W$1,$A383,$A383)),_xll.BDH(config!$G$4,W$1,$A383,$A383),_xll.BDH(config!$G$5,W$1,$A383,$A383))))</f>
        <v>#N/A Requesting Data...</v>
      </c>
    </row>
    <row r="384" spans="1:23" x14ac:dyDescent="0.2">
      <c r="A384" s="9">
        <f>IF(A383="","",IF(WORKDAY(A383,-1,config_Holiday_Calendar_US)&lt;config!$I$10,"",WORKDAY(A383,-1,config_Holiday_Calendar_US)))</f>
        <v>42271</v>
      </c>
      <c r="B384" s="8" t="e">
        <f t="shared" si="5"/>
        <v>#VALUE!</v>
      </c>
      <c r="C384" s="8" t="str">
        <f>IF(A384="","",_xll.BDH(config!$H$4,C$1,$A384,$A384))</f>
        <v>#N/A Requesting Data...</v>
      </c>
      <c r="D384" s="8" t="str">
        <f>IF($A384="","",_xll.BDH(config!$H$4,D$1,$A384,$A384))</f>
        <v>#N/A Requesting Data...</v>
      </c>
      <c r="E384" s="8">
        <f>IF($A384="","",IF(ISNUMBER(FIND("IMPVOL",E$1)),_xll.BDH(config!$G$4,E$1,WORKDAY($A384,-1,config_Holiday_Calendar_US),WORKDAY($A384,-1,config_Holiday_Calendar_US)),IF(ISNUMBER(_xll.BDH(config!$G$4,E$1,$A384,$A384)),_xll.BDH(config!$G$4,E$1,$A384,$A384),_xll.BDH(config!$G$5,E$1,$A384,$A384))))</f>
        <v>44.62</v>
      </c>
      <c r="F384" s="8">
        <f>IF($A384="","",IF(ISNUMBER(FIND("IMPVOL",F$1)),_xll.BDH(config!$G$4,F$1,WORKDAY($A384,-1,config_Holiday_Calendar_US),WORKDAY($A384,-1,config_Holiday_Calendar_US)),IF(ISNUMBER(_xll.BDH(config!$G$4,F$1,$A384,$A384)),_xll.BDH(config!$G$4,F$1,$A384,$A384),_xll.BDH(config!$G$5,F$1,$A384,$A384))))</f>
        <v>45.18</v>
      </c>
      <c r="G384" s="8">
        <f>IF($A384="","",IF(ISNUMBER(FIND("IMPVOL",G$1)),_xll.BDH(config!$G$4,G$1,WORKDAY($A384,-1,config_Holiday_Calendar_US),WORKDAY($A384,-1,config_Holiday_Calendar_US)),IF(ISNUMBER(_xll.BDH(config!$G$4,G$1,$A384,$A384)),_xll.BDH(config!$G$4,G$1,$A384,$A384),_xll.BDH(config!$G$5,G$1,$A384,$A384))))</f>
        <v>44.31</v>
      </c>
      <c r="H384" s="8">
        <f>IF($A384="","",IF(ISNUMBER(FIND("IMPVOL",H$1)),_xll.BDH(config!$G$4,H$1,WORKDAY($A384,-1,config_Holiday_Calendar_US),WORKDAY($A384,-1,config_Holiday_Calendar_US)),IF(ISNUMBER(_xll.BDH(config!$G$4,H$1,$A384,$A384)),_xll.BDH(config!$G$4,H$1,$A384,$A384),_xll.BDH(config!$G$5,H$1,$A384,$A384))))</f>
        <v>105247</v>
      </c>
      <c r="I384" s="8" t="str">
        <f>IF($A384="","",IF(ISNUMBER(FIND("IMPVOL",I$1)),_xll.BDH(config!$G$4,I$1,WORKDAY($A384,-1,config_Holiday_Calendar_US),WORKDAY($A384,-1,config_Holiday_Calendar_US)),IF(ISNUMBER(_xll.BDH(config!$G$4,I$1,$A384,$A384)),_xll.BDH(config!$G$4,I$1,$A384,$A384),_xll.BDH(config!$G$5,I$1,$A384,$A384))))</f>
        <v>#N/A Requesting Data...</v>
      </c>
      <c r="J384" s="8" t="str">
        <f>IF($A384="","",IF(ISNUMBER(FIND("IMPVOL",J$1)),_xll.BDH(config!$G$4,J$1,WORKDAY($A384,-1,config_Holiday_Calendar_US),WORKDAY($A384,-1,config_Holiday_Calendar_US)),IF(ISNUMBER(_xll.BDH(config!$G$4,J$1,$A384,$A384)),_xll.BDH(config!$G$4,J$1,$A384,$A384),_xll.BDH(config!$G$5,J$1,$A384,$A384))))</f>
        <v>#N/A Requesting Data...</v>
      </c>
      <c r="K384" s="8" t="str">
        <f>IF($A384="","",IF(ISNUMBER(FIND("IMPVOL",K$1)),_xll.BDH(config!$G$4,K$1,WORKDAY($A384,-1,config_Holiday_Calendar_US),WORKDAY($A384,-1,config_Holiday_Calendar_US)),IF(ISNUMBER(_xll.BDH(config!$G$4,K$1,$A384,$A384)),_xll.BDH(config!$G$4,K$1,$A384,$A384),_xll.BDH(config!$G$5,K$1,$A384,$A384))))</f>
        <v>#N/A Requesting Data...</v>
      </c>
      <c r="L384" s="8" t="str">
        <f>IF($A384="","",IF(ISNUMBER(FIND("IMPVOL",L$1)),_xll.BDH(config!$G$4,L$1,WORKDAY($A384,-1,config_Holiday_Calendar_US),WORKDAY($A384,-1,config_Holiday_Calendar_US)),IF(ISNUMBER(_xll.BDH(config!$G$4,L$1,$A384,$A384)),_xll.BDH(config!$G$4,L$1,$A384,$A384),_xll.BDH(config!$G$5,L$1,$A384,$A384))))</f>
        <v>#N/A Requesting Data...</v>
      </c>
      <c r="M384" s="8" t="str">
        <f>IF($A384="","",IF(ISNUMBER(FIND("IMPVOL",M$1)),_xll.BDH(config!$G$4,M$1,WORKDAY($A384,-1,config_Holiday_Calendar_US),WORKDAY($A384,-1,config_Holiday_Calendar_US)),IF(ISNUMBER(_xll.BDH(config!$G$4,M$1,$A384,$A384)),_xll.BDH(config!$G$4,M$1,$A384,$A384),_xll.BDH(config!$G$5,M$1,$A384,$A384))))</f>
        <v>#N/A Requesting Data...</v>
      </c>
      <c r="N384" s="8" t="str">
        <f>IF($A384="","",IF(ISNUMBER(FIND("IMPVOL",N$1)),_xll.BDH(config!$G$4,N$1,WORKDAY($A384,-1,config_Holiday_Calendar_US),WORKDAY($A384,-1,config_Holiday_Calendar_US)),IF(ISNUMBER(_xll.BDH(config!$G$4,N$1,$A384,$A384)),_xll.BDH(config!$G$4,N$1,$A384,$A384),_xll.BDH(config!$G$5,N$1,$A384,$A384))))</f>
        <v>#N/A Requesting Data...</v>
      </c>
      <c r="O384" s="8" t="str">
        <f>IF($A384="","",IF(ISNUMBER(FIND("IMPVOL",O$1)),_xll.BDH(config!$G$4,O$1,WORKDAY($A384,-1,config_Holiday_Calendar_US),WORKDAY($A384,-1,config_Holiday_Calendar_US)),IF(ISNUMBER(_xll.BDH(config!$G$4,O$1,$A384,$A384)),_xll.BDH(config!$G$4,O$1,$A384,$A384),_xll.BDH(config!$G$5,O$1,$A384,$A384))))</f>
        <v>#N/A Requesting Data...</v>
      </c>
      <c r="P384" s="8" t="str">
        <f>IF($A384="","",IF(ISNUMBER(FIND("IMPVOL",P$1)),_xll.BDH(config!$G$4,P$1,WORKDAY($A384,-1,config_Holiday_Calendar_US),WORKDAY($A384,-1,config_Holiday_Calendar_US)),IF(ISNUMBER(_xll.BDH(config!$G$4,P$1,$A384,$A384)),_xll.BDH(config!$G$4,P$1,$A384,$A384),_xll.BDH(config!$G$5,P$1,$A384,$A384))))</f>
        <v>#N/A Requesting Data...</v>
      </c>
      <c r="Q384" s="8">
        <f>IF($A384="","",IF(ISNUMBER(FIND("IMPVOL",Q$1)),_xll.BDH(config!$G$4,Q$1,WORKDAY($A384,-1,config_Holiday_Calendar_US),WORKDAY($A384,-1,config_Holiday_Calendar_US)),IF(ISNUMBER(_xll.BDH(config!$G$4,Q$1,$A384,$A384)),_xll.BDH(config!$G$4,Q$1,$A384,$A384),_xll.BDH(config!$G$5,Q$1,$A384,$A384))))</f>
        <v>52.32</v>
      </c>
      <c r="R384" s="8">
        <f>IF($A384="","",IF(ISNUMBER(FIND("IMPVOL",R$1)),_xll.BDH(config!$G$4,R$1,WORKDAY($A384,-1,config_Holiday_Calendar_US),WORKDAY($A384,-1,config_Holiday_Calendar_US)),IF(ISNUMBER(_xll.BDH(config!$G$4,R$1,$A384,$A384)),_xll.BDH(config!$G$4,R$1,$A384,$A384),_xll.BDH(config!$G$5,R$1,$A384,$A384))))</f>
        <v>64.89</v>
      </c>
      <c r="S384" s="8" t="str">
        <f>IF($A384="","",IF(ISNUMBER(FIND("IMPVOL",S$1)),_xll.BDH(config!$G$4,S$1,WORKDAY($A384,-1,config_Holiday_Calendar_US),WORKDAY($A384,-1,config_Holiday_Calendar_US)),IF(ISNUMBER(_xll.BDH(config!$G$4,S$1,$A384,$A384)),_xll.BDH(config!$G$4,S$1,$A384,$A384),_xll.BDH(config!$G$5,S$1,$A384,$A384))))</f>
        <v>#N/A Requesting Data...</v>
      </c>
      <c r="T384" s="8" t="str">
        <f>IF($A384="","",IF(ISNUMBER(FIND("IMPVOL",T$1)),_xll.BDH(config!$G$4,T$1,WORKDAY($A384,-1,config_Holiday_Calendar_US),WORKDAY($A384,-1,config_Holiday_Calendar_US)),IF(ISNUMBER(_xll.BDH(config!$G$4,T$1,$A384,$A384)),_xll.BDH(config!$G$4,T$1,$A384,$A384),_xll.BDH(config!$G$5,T$1,$A384,$A384))))</f>
        <v>#N/A Requesting Data...</v>
      </c>
      <c r="U384" s="8" t="str">
        <f>IF($A384="","",IF(ISNUMBER(FIND("IMPVOL",U$1)),_xll.BDH(config!$G$4,U$1,WORKDAY($A384,-1,config_Holiday_Calendar_US),WORKDAY($A384,-1,config_Holiday_Calendar_US)),IF(ISNUMBER(_xll.BDH(config!$G$4,U$1,$A384,$A384)),_xll.BDH(config!$G$4,U$1,$A384,$A384),_xll.BDH(config!$G$5,U$1,$A384,$A384))))</f>
        <v>#N/A Requesting Data...</v>
      </c>
      <c r="V384" s="8" t="str">
        <f>IF($A384="","",IF(ISNUMBER(FIND("IMPVOL",V$1)),_xll.BDH(config!$G$4,V$1,WORKDAY($A384,-1,config_Holiday_Calendar_US),WORKDAY($A384,-1,config_Holiday_Calendar_US)),IF(ISNUMBER(_xll.BDH(config!$G$4,V$1,$A384,$A384)),_xll.BDH(config!$G$4,V$1,$A384,$A384),_xll.BDH(config!$G$5,V$1,$A384,$A384))))</f>
        <v>#N/A Requesting Data...</v>
      </c>
      <c r="W384" s="8" t="str">
        <f>IF($A384="","",IF(ISNUMBER(FIND("IMPVOL",W$1)),_xll.BDH(config!$G$4,W$1,WORKDAY($A384,-1,config_Holiday_Calendar_US),WORKDAY($A384,-1,config_Holiday_Calendar_US)),IF(ISNUMBER(_xll.BDH(config!$G$4,W$1,$A384,$A384)),_xll.BDH(config!$G$4,W$1,$A384,$A384),_xll.BDH(config!$G$5,W$1,$A384,$A384))))</f>
        <v>#N/A Requesting Data...</v>
      </c>
    </row>
    <row r="385" spans="1:23" x14ac:dyDescent="0.2">
      <c r="A385" s="9">
        <f>IF(A384="","",IF(WORKDAY(A384,-1,config_Holiday_Calendar_US)&lt;config!$I$10,"",WORKDAY(A384,-1,config_Holiday_Calendar_US)))</f>
        <v>42270</v>
      </c>
      <c r="B385" s="8" t="e">
        <f t="shared" si="5"/>
        <v>#VALUE!</v>
      </c>
      <c r="C385" s="8" t="str">
        <f>IF(A385="","",_xll.BDH(config!$H$4,C$1,$A385,$A385))</f>
        <v>#N/A Requesting Data...</v>
      </c>
      <c r="D385" s="8" t="str">
        <f>IF($A385="","",_xll.BDH(config!$H$4,D$1,$A385,$A385))</f>
        <v>#N/A Requesting Data...</v>
      </c>
      <c r="E385" s="8">
        <f>IF($A385="","",IF(ISNUMBER(FIND("IMPVOL",E$1)),_xll.BDH(config!$G$4,E$1,WORKDAY($A385,-1,config_Holiday_Calendar_US),WORKDAY($A385,-1,config_Holiday_Calendar_US)),IF(ISNUMBER(_xll.BDH(config!$G$4,E$1,$A385,$A385)),_xll.BDH(config!$G$4,E$1,$A385,$A385),_xll.BDH(config!$G$5,E$1,$A385,$A385))))</f>
        <v>46.54</v>
      </c>
      <c r="F385" s="8">
        <f>IF($A385="","",IF(ISNUMBER(FIND("IMPVOL",F$1)),_xll.BDH(config!$G$4,F$1,WORKDAY($A385,-1,config_Holiday_Calendar_US),WORKDAY($A385,-1,config_Holiday_Calendar_US)),IF(ISNUMBER(_xll.BDH(config!$G$4,F$1,$A385,$A385)),_xll.BDH(config!$G$4,F$1,$A385,$A385),_xll.BDH(config!$G$5,F$1,$A385,$A385))))</f>
        <v>47.15</v>
      </c>
      <c r="G385" s="8">
        <f>IF($A385="","",IF(ISNUMBER(FIND("IMPVOL",G$1)),_xll.BDH(config!$G$4,G$1,WORKDAY($A385,-1,config_Holiday_Calendar_US),WORKDAY($A385,-1,config_Holiday_Calendar_US)),IF(ISNUMBER(_xll.BDH(config!$G$4,G$1,$A385,$A385)),_xll.BDH(config!$G$4,G$1,$A385,$A385),_xll.BDH(config!$G$5,G$1,$A385,$A385))))</f>
        <v>45.04</v>
      </c>
      <c r="H385" s="8">
        <f>IF($A385="","",IF(ISNUMBER(FIND("IMPVOL",H$1)),_xll.BDH(config!$G$4,H$1,WORKDAY($A385,-1,config_Holiday_Calendar_US),WORKDAY($A385,-1,config_Holiday_Calendar_US)),IF(ISNUMBER(_xll.BDH(config!$G$4,H$1,$A385,$A385)),_xll.BDH(config!$G$4,H$1,$A385,$A385),_xll.BDH(config!$G$5,H$1,$A385,$A385))))</f>
        <v>113848</v>
      </c>
      <c r="I385" s="8" t="str">
        <f>IF($A385="","",IF(ISNUMBER(FIND("IMPVOL",I$1)),_xll.BDH(config!$G$4,I$1,WORKDAY($A385,-1,config_Holiday_Calendar_US),WORKDAY($A385,-1,config_Holiday_Calendar_US)),IF(ISNUMBER(_xll.BDH(config!$G$4,I$1,$A385,$A385)),_xll.BDH(config!$G$4,I$1,$A385,$A385),_xll.BDH(config!$G$5,I$1,$A385,$A385))))</f>
        <v>#N/A Requesting Data...</v>
      </c>
      <c r="J385" s="8" t="str">
        <f>IF($A385="","",IF(ISNUMBER(FIND("IMPVOL",J$1)),_xll.BDH(config!$G$4,J$1,WORKDAY($A385,-1,config_Holiday_Calendar_US),WORKDAY($A385,-1,config_Holiday_Calendar_US)),IF(ISNUMBER(_xll.BDH(config!$G$4,J$1,$A385,$A385)),_xll.BDH(config!$G$4,J$1,$A385,$A385),_xll.BDH(config!$G$5,J$1,$A385,$A385))))</f>
        <v>#N/A Requesting Data...</v>
      </c>
      <c r="K385" s="8" t="str">
        <f>IF($A385="","",IF(ISNUMBER(FIND("IMPVOL",K$1)),_xll.BDH(config!$G$4,K$1,WORKDAY($A385,-1,config_Holiday_Calendar_US),WORKDAY($A385,-1,config_Holiday_Calendar_US)),IF(ISNUMBER(_xll.BDH(config!$G$4,K$1,$A385,$A385)),_xll.BDH(config!$G$4,K$1,$A385,$A385),_xll.BDH(config!$G$5,K$1,$A385,$A385))))</f>
        <v>#N/A Requesting Data...</v>
      </c>
      <c r="L385" s="8" t="str">
        <f>IF($A385="","",IF(ISNUMBER(FIND("IMPVOL",L$1)),_xll.BDH(config!$G$4,L$1,WORKDAY($A385,-1,config_Holiday_Calendar_US),WORKDAY($A385,-1,config_Holiday_Calendar_US)),IF(ISNUMBER(_xll.BDH(config!$G$4,L$1,$A385,$A385)),_xll.BDH(config!$G$4,L$1,$A385,$A385),_xll.BDH(config!$G$5,L$1,$A385,$A385))))</f>
        <v>#N/A Requesting Data...</v>
      </c>
      <c r="M385" s="8" t="str">
        <f>IF($A385="","",IF(ISNUMBER(FIND("IMPVOL",M$1)),_xll.BDH(config!$G$4,M$1,WORKDAY($A385,-1,config_Holiday_Calendar_US),WORKDAY($A385,-1,config_Holiday_Calendar_US)),IF(ISNUMBER(_xll.BDH(config!$G$4,M$1,$A385,$A385)),_xll.BDH(config!$G$4,M$1,$A385,$A385),_xll.BDH(config!$G$5,M$1,$A385,$A385))))</f>
        <v>#N/A Requesting Data...</v>
      </c>
      <c r="N385" s="8" t="str">
        <f>IF($A385="","",IF(ISNUMBER(FIND("IMPVOL",N$1)),_xll.BDH(config!$G$4,N$1,WORKDAY($A385,-1,config_Holiday_Calendar_US),WORKDAY($A385,-1,config_Holiday_Calendar_US)),IF(ISNUMBER(_xll.BDH(config!$G$4,N$1,$A385,$A385)),_xll.BDH(config!$G$4,N$1,$A385,$A385),_xll.BDH(config!$G$5,N$1,$A385,$A385))))</f>
        <v>#N/A Requesting Data...</v>
      </c>
      <c r="O385" s="8" t="str">
        <f>IF($A385="","",IF(ISNUMBER(FIND("IMPVOL",O$1)),_xll.BDH(config!$G$4,O$1,WORKDAY($A385,-1,config_Holiday_Calendar_US),WORKDAY($A385,-1,config_Holiday_Calendar_US)),IF(ISNUMBER(_xll.BDH(config!$G$4,O$1,$A385,$A385)),_xll.BDH(config!$G$4,O$1,$A385,$A385),_xll.BDH(config!$G$5,O$1,$A385,$A385))))</f>
        <v>#N/A Requesting Data...</v>
      </c>
      <c r="P385" s="8" t="str">
        <f>IF($A385="","",IF(ISNUMBER(FIND("IMPVOL",P$1)),_xll.BDH(config!$G$4,P$1,WORKDAY($A385,-1,config_Holiday_Calendar_US),WORKDAY($A385,-1,config_Holiday_Calendar_US)),IF(ISNUMBER(_xll.BDH(config!$G$4,P$1,$A385,$A385)),_xll.BDH(config!$G$4,P$1,$A385,$A385),_xll.BDH(config!$G$5,P$1,$A385,$A385))))</f>
        <v>#N/A Requesting Data...</v>
      </c>
      <c r="Q385" s="8">
        <f>IF($A385="","",IF(ISNUMBER(FIND("IMPVOL",Q$1)),_xll.BDH(config!$G$4,Q$1,WORKDAY($A385,-1,config_Holiday_Calendar_US),WORKDAY($A385,-1,config_Holiday_Calendar_US)),IF(ISNUMBER(_xll.BDH(config!$G$4,Q$1,$A385,$A385)),_xll.BDH(config!$G$4,Q$1,$A385,$A385),_xll.BDH(config!$G$5,Q$1,$A385,$A385))))</f>
        <v>54.21</v>
      </c>
      <c r="R385" s="8">
        <f>IF($A385="","",IF(ISNUMBER(FIND("IMPVOL",R$1)),_xll.BDH(config!$G$4,R$1,WORKDAY($A385,-1,config_Holiday_Calendar_US),WORKDAY($A385,-1,config_Holiday_Calendar_US)),IF(ISNUMBER(_xll.BDH(config!$G$4,R$1,$A385,$A385)),_xll.BDH(config!$G$4,R$1,$A385,$A385),_xll.BDH(config!$G$5,R$1,$A385,$A385))))</f>
        <v>65.3</v>
      </c>
      <c r="S385" s="8" t="str">
        <f>IF($A385="","",IF(ISNUMBER(FIND("IMPVOL",S$1)),_xll.BDH(config!$G$4,S$1,WORKDAY($A385,-1,config_Holiday_Calendar_US),WORKDAY($A385,-1,config_Holiday_Calendar_US)),IF(ISNUMBER(_xll.BDH(config!$G$4,S$1,$A385,$A385)),_xll.BDH(config!$G$4,S$1,$A385,$A385),_xll.BDH(config!$G$5,S$1,$A385,$A385))))</f>
        <v>#N/A Requesting Data...</v>
      </c>
      <c r="T385" s="8" t="str">
        <f>IF($A385="","",IF(ISNUMBER(FIND("IMPVOL",T$1)),_xll.BDH(config!$G$4,T$1,WORKDAY($A385,-1,config_Holiday_Calendar_US),WORKDAY($A385,-1,config_Holiday_Calendar_US)),IF(ISNUMBER(_xll.BDH(config!$G$4,T$1,$A385,$A385)),_xll.BDH(config!$G$4,T$1,$A385,$A385),_xll.BDH(config!$G$5,T$1,$A385,$A385))))</f>
        <v>#N/A Requesting Data...</v>
      </c>
      <c r="U385" s="8" t="str">
        <f>IF($A385="","",IF(ISNUMBER(FIND("IMPVOL",U$1)),_xll.BDH(config!$G$4,U$1,WORKDAY($A385,-1,config_Holiday_Calendar_US),WORKDAY($A385,-1,config_Holiday_Calendar_US)),IF(ISNUMBER(_xll.BDH(config!$G$4,U$1,$A385,$A385)),_xll.BDH(config!$G$4,U$1,$A385,$A385),_xll.BDH(config!$G$5,U$1,$A385,$A385))))</f>
        <v>#N/A Requesting Data...</v>
      </c>
      <c r="V385" s="8" t="str">
        <f>IF($A385="","",IF(ISNUMBER(FIND("IMPVOL",V$1)),_xll.BDH(config!$G$4,V$1,WORKDAY($A385,-1,config_Holiday_Calendar_US),WORKDAY($A385,-1,config_Holiday_Calendar_US)),IF(ISNUMBER(_xll.BDH(config!$G$4,V$1,$A385,$A385)),_xll.BDH(config!$G$4,V$1,$A385,$A385),_xll.BDH(config!$G$5,V$1,$A385,$A385))))</f>
        <v>#N/A Requesting Data...</v>
      </c>
      <c r="W385" s="8" t="str">
        <f>IF($A385="","",IF(ISNUMBER(FIND("IMPVOL",W$1)),_xll.BDH(config!$G$4,W$1,WORKDAY($A385,-1,config_Holiday_Calendar_US),WORKDAY($A385,-1,config_Holiday_Calendar_US)),IF(ISNUMBER(_xll.BDH(config!$G$4,W$1,$A385,$A385)),_xll.BDH(config!$G$4,W$1,$A385,$A385),_xll.BDH(config!$G$5,W$1,$A385,$A385))))</f>
        <v>#N/A Requesting Data...</v>
      </c>
    </row>
    <row r="386" spans="1:23" x14ac:dyDescent="0.2">
      <c r="A386" s="9">
        <f>IF(A385="","",IF(WORKDAY(A385,-1,config_Holiday_Calendar_US)&lt;config!$I$10,"",WORKDAY(A385,-1,config_Holiday_Calendar_US)))</f>
        <v>42269</v>
      </c>
      <c r="B386" s="8" t="e">
        <f t="shared" si="5"/>
        <v>#VALUE!</v>
      </c>
      <c r="C386" s="8" t="str">
        <f>IF(A386="","",_xll.BDH(config!$H$4,C$1,$A386,$A386))</f>
        <v>#N/A Requesting Data...</v>
      </c>
      <c r="D386" s="8" t="str">
        <f>IF($A386="","",_xll.BDH(config!$H$4,D$1,$A386,$A386))</f>
        <v>#N/A Requesting Data...</v>
      </c>
      <c r="E386" s="8">
        <f>IF($A386="","",IF(ISNUMBER(FIND("IMPVOL",E$1)),_xll.BDH(config!$G$4,E$1,WORKDAY($A386,-1,config_Holiday_Calendar_US),WORKDAY($A386,-1,config_Holiday_Calendar_US)),IF(ISNUMBER(_xll.BDH(config!$G$4,E$1,$A386,$A386)),_xll.BDH(config!$G$4,E$1,$A386,$A386),_xll.BDH(config!$G$5,E$1,$A386,$A386))))</f>
        <v>46.45</v>
      </c>
      <c r="F386" s="8">
        <f>IF($A386="","",IF(ISNUMBER(FIND("IMPVOL",F$1)),_xll.BDH(config!$G$4,F$1,WORKDAY($A386,-1,config_Holiday_Calendar_US),WORKDAY($A386,-1,config_Holiday_Calendar_US)),IF(ISNUMBER(_xll.BDH(config!$G$4,F$1,$A386,$A386)),_xll.BDH(config!$G$4,F$1,$A386,$A386),_xll.BDH(config!$G$5,F$1,$A386,$A386))))</f>
        <v>46.48</v>
      </c>
      <c r="G386" s="8">
        <f>IF($A386="","",IF(ISNUMBER(FIND("IMPVOL",G$1)),_xll.BDH(config!$G$4,G$1,WORKDAY($A386,-1,config_Holiday_Calendar_US),WORKDAY($A386,-1,config_Holiday_Calendar_US)),IF(ISNUMBER(_xll.BDH(config!$G$4,G$1,$A386,$A386)),_xll.BDH(config!$G$4,G$1,$A386,$A386),_xll.BDH(config!$G$5,G$1,$A386,$A386))))</f>
        <v>45.37</v>
      </c>
      <c r="H386" s="8">
        <f>IF($A386="","",IF(ISNUMBER(FIND("IMPVOL",H$1)),_xll.BDH(config!$G$4,H$1,WORKDAY($A386,-1,config_Holiday_Calendar_US),WORKDAY($A386,-1,config_Holiday_Calendar_US)),IF(ISNUMBER(_xll.BDH(config!$G$4,H$1,$A386,$A386)),_xll.BDH(config!$G$4,H$1,$A386,$A386),_xll.BDH(config!$G$5,H$1,$A386,$A386))))</f>
        <v>345875</v>
      </c>
      <c r="I386" s="8" t="str">
        <f>IF($A386="","",IF(ISNUMBER(FIND("IMPVOL",I$1)),_xll.BDH(config!$G$4,I$1,WORKDAY($A386,-1,config_Holiday_Calendar_US),WORKDAY($A386,-1,config_Holiday_Calendar_US)),IF(ISNUMBER(_xll.BDH(config!$G$4,I$1,$A386,$A386)),_xll.BDH(config!$G$4,I$1,$A386,$A386),_xll.BDH(config!$G$5,I$1,$A386,$A386))))</f>
        <v>#N/A Requesting Data...</v>
      </c>
      <c r="J386" s="8" t="str">
        <f>IF($A386="","",IF(ISNUMBER(FIND("IMPVOL",J$1)),_xll.BDH(config!$G$4,J$1,WORKDAY($A386,-1,config_Holiday_Calendar_US),WORKDAY($A386,-1,config_Holiday_Calendar_US)),IF(ISNUMBER(_xll.BDH(config!$G$4,J$1,$A386,$A386)),_xll.BDH(config!$G$4,J$1,$A386,$A386),_xll.BDH(config!$G$5,J$1,$A386,$A386))))</f>
        <v>#N/A Requesting Data...</v>
      </c>
      <c r="K386" s="8" t="str">
        <f>IF($A386="","",IF(ISNUMBER(FIND("IMPVOL",K$1)),_xll.BDH(config!$G$4,K$1,WORKDAY($A386,-1,config_Holiday_Calendar_US),WORKDAY($A386,-1,config_Holiday_Calendar_US)),IF(ISNUMBER(_xll.BDH(config!$G$4,K$1,$A386,$A386)),_xll.BDH(config!$G$4,K$1,$A386,$A386),_xll.BDH(config!$G$5,K$1,$A386,$A386))))</f>
        <v>#N/A Requesting Data...</v>
      </c>
      <c r="L386" s="8" t="str">
        <f>IF($A386="","",IF(ISNUMBER(FIND("IMPVOL",L$1)),_xll.BDH(config!$G$4,L$1,WORKDAY($A386,-1,config_Holiday_Calendar_US),WORKDAY($A386,-1,config_Holiday_Calendar_US)),IF(ISNUMBER(_xll.BDH(config!$G$4,L$1,$A386,$A386)),_xll.BDH(config!$G$4,L$1,$A386,$A386),_xll.BDH(config!$G$5,L$1,$A386,$A386))))</f>
        <v>#N/A Requesting Data...</v>
      </c>
      <c r="M386" s="8" t="str">
        <f>IF($A386="","",IF(ISNUMBER(FIND("IMPVOL",M$1)),_xll.BDH(config!$G$4,M$1,WORKDAY($A386,-1,config_Holiday_Calendar_US),WORKDAY($A386,-1,config_Holiday_Calendar_US)),IF(ISNUMBER(_xll.BDH(config!$G$4,M$1,$A386,$A386)),_xll.BDH(config!$G$4,M$1,$A386,$A386),_xll.BDH(config!$G$5,M$1,$A386,$A386))))</f>
        <v>#N/A Requesting Data...</v>
      </c>
      <c r="N386" s="8" t="str">
        <f>IF($A386="","",IF(ISNUMBER(FIND("IMPVOL",N$1)),_xll.BDH(config!$G$4,N$1,WORKDAY($A386,-1,config_Holiday_Calendar_US),WORKDAY($A386,-1,config_Holiday_Calendar_US)),IF(ISNUMBER(_xll.BDH(config!$G$4,N$1,$A386,$A386)),_xll.BDH(config!$G$4,N$1,$A386,$A386),_xll.BDH(config!$G$5,N$1,$A386,$A386))))</f>
        <v>#N/A Requesting Data...</v>
      </c>
      <c r="O386" s="8" t="str">
        <f>IF($A386="","",IF(ISNUMBER(FIND("IMPVOL",O$1)),_xll.BDH(config!$G$4,O$1,WORKDAY($A386,-1,config_Holiday_Calendar_US),WORKDAY($A386,-1,config_Holiday_Calendar_US)),IF(ISNUMBER(_xll.BDH(config!$G$4,O$1,$A386,$A386)),_xll.BDH(config!$G$4,O$1,$A386,$A386),_xll.BDH(config!$G$5,O$1,$A386,$A386))))</f>
        <v>#N/A Requesting Data...</v>
      </c>
      <c r="P386" s="8" t="str">
        <f>IF($A386="","",IF(ISNUMBER(FIND("IMPVOL",P$1)),_xll.BDH(config!$G$4,P$1,WORKDAY($A386,-1,config_Holiday_Calendar_US),WORKDAY($A386,-1,config_Holiday_Calendar_US)),IF(ISNUMBER(_xll.BDH(config!$G$4,P$1,$A386,$A386)),_xll.BDH(config!$G$4,P$1,$A386,$A386),_xll.BDH(config!$G$5,P$1,$A386,$A386))))</f>
        <v>#N/A Requesting Data...</v>
      </c>
      <c r="Q386" s="8">
        <f>IF($A386="","",IF(ISNUMBER(FIND("IMPVOL",Q$1)),_xll.BDH(config!$G$4,Q$1,WORKDAY($A386,-1,config_Holiday_Calendar_US),WORKDAY($A386,-1,config_Holiday_Calendar_US)),IF(ISNUMBER(_xll.BDH(config!$G$4,Q$1,$A386,$A386)),_xll.BDH(config!$G$4,Q$1,$A386,$A386),_xll.BDH(config!$G$5,Q$1,$A386,$A386))))</f>
        <v>55.69</v>
      </c>
      <c r="R386" s="8">
        <f>IF($A386="","",IF(ISNUMBER(FIND("IMPVOL",R$1)),_xll.BDH(config!$G$4,R$1,WORKDAY($A386,-1,config_Holiday_Calendar_US),WORKDAY($A386,-1,config_Holiday_Calendar_US)),IF(ISNUMBER(_xll.BDH(config!$G$4,R$1,$A386,$A386)),_xll.BDH(config!$G$4,R$1,$A386,$A386),_xll.BDH(config!$G$5,R$1,$A386,$A386))))</f>
        <v>64.7</v>
      </c>
      <c r="S386" s="8" t="str">
        <f>IF($A386="","",IF(ISNUMBER(FIND("IMPVOL",S$1)),_xll.BDH(config!$G$4,S$1,WORKDAY($A386,-1,config_Holiday_Calendar_US),WORKDAY($A386,-1,config_Holiday_Calendar_US)),IF(ISNUMBER(_xll.BDH(config!$G$4,S$1,$A386,$A386)),_xll.BDH(config!$G$4,S$1,$A386,$A386),_xll.BDH(config!$G$5,S$1,$A386,$A386))))</f>
        <v>#N/A Requesting Data...</v>
      </c>
      <c r="T386" s="8" t="str">
        <f>IF($A386="","",IF(ISNUMBER(FIND("IMPVOL",T$1)),_xll.BDH(config!$G$4,T$1,WORKDAY($A386,-1,config_Holiday_Calendar_US),WORKDAY($A386,-1,config_Holiday_Calendar_US)),IF(ISNUMBER(_xll.BDH(config!$G$4,T$1,$A386,$A386)),_xll.BDH(config!$G$4,T$1,$A386,$A386),_xll.BDH(config!$G$5,T$1,$A386,$A386))))</f>
        <v>#N/A Requesting Data...</v>
      </c>
      <c r="U386" s="8" t="str">
        <f>IF($A386="","",IF(ISNUMBER(FIND("IMPVOL",U$1)),_xll.BDH(config!$G$4,U$1,WORKDAY($A386,-1,config_Holiday_Calendar_US),WORKDAY($A386,-1,config_Holiday_Calendar_US)),IF(ISNUMBER(_xll.BDH(config!$G$4,U$1,$A386,$A386)),_xll.BDH(config!$G$4,U$1,$A386,$A386),_xll.BDH(config!$G$5,U$1,$A386,$A386))))</f>
        <v>#N/A Requesting Data...</v>
      </c>
      <c r="V386" s="8" t="str">
        <f>IF($A386="","",IF(ISNUMBER(FIND("IMPVOL",V$1)),_xll.BDH(config!$G$4,V$1,WORKDAY($A386,-1,config_Holiday_Calendar_US),WORKDAY($A386,-1,config_Holiday_Calendar_US)),IF(ISNUMBER(_xll.BDH(config!$G$4,V$1,$A386,$A386)),_xll.BDH(config!$G$4,V$1,$A386,$A386),_xll.BDH(config!$G$5,V$1,$A386,$A386))))</f>
        <v>#N/A Requesting Data...</v>
      </c>
      <c r="W386" s="8" t="str">
        <f>IF($A386="","",IF(ISNUMBER(FIND("IMPVOL",W$1)),_xll.BDH(config!$G$4,W$1,WORKDAY($A386,-1,config_Holiday_Calendar_US),WORKDAY($A386,-1,config_Holiday_Calendar_US)),IF(ISNUMBER(_xll.BDH(config!$G$4,W$1,$A386,$A386)),_xll.BDH(config!$G$4,W$1,$A386,$A386),_xll.BDH(config!$G$5,W$1,$A386,$A386))))</f>
        <v>#N/A Requesting Data...</v>
      </c>
    </row>
    <row r="387" spans="1:23" x14ac:dyDescent="0.2">
      <c r="A387" s="9">
        <f>IF(A386="","",IF(WORKDAY(A386,-1,config_Holiday_Calendar_US)&lt;config!$I$10,"",WORKDAY(A386,-1,config_Holiday_Calendar_US)))</f>
        <v>42268</v>
      </c>
      <c r="B387" s="8" t="e">
        <f t="shared" ref="B387:B450" si="6">IF(A387="","",IF(SIGN(C387)=1,1,0))</f>
        <v>#VALUE!</v>
      </c>
      <c r="C387" s="8" t="str">
        <f>IF(A387="","",_xll.BDH(config!$H$4,C$1,$A387,$A387))</f>
        <v>#N/A Requesting Data...</v>
      </c>
      <c r="D387" s="8" t="str">
        <f>IF($A387="","",_xll.BDH(config!$H$4,D$1,$A387,$A387))</f>
        <v>#N/A Requesting Data...</v>
      </c>
      <c r="E387" s="8">
        <f>IF($A387="","",IF(ISNUMBER(FIND("IMPVOL",E$1)),_xll.BDH(config!$G$4,E$1,WORKDAY($A387,-1,config_Holiday_Calendar_US),WORKDAY($A387,-1,config_Holiday_Calendar_US)),IF(ISNUMBER(_xll.BDH(config!$G$4,E$1,$A387,$A387)),_xll.BDH(config!$G$4,E$1,$A387,$A387),_xll.BDH(config!$G$5,E$1,$A387,$A387))))</f>
        <v>44.97</v>
      </c>
      <c r="F387" s="8">
        <f>IF($A387="","",IF(ISNUMBER(FIND("IMPVOL",F$1)),_xll.BDH(config!$G$4,F$1,WORKDAY($A387,-1,config_Holiday_Calendar_US),WORKDAY($A387,-1,config_Holiday_Calendar_US)),IF(ISNUMBER(_xll.BDH(config!$G$4,F$1,$A387,$A387)),_xll.BDH(config!$G$4,F$1,$A387,$A387),_xll.BDH(config!$G$5,F$1,$A387,$A387))))</f>
        <v>46.74</v>
      </c>
      <c r="G387" s="8">
        <f>IF($A387="","",IF(ISNUMBER(FIND("IMPVOL",G$1)),_xll.BDH(config!$G$4,G$1,WORKDAY($A387,-1,config_Holiday_Calendar_US),WORKDAY($A387,-1,config_Holiday_Calendar_US)),IF(ISNUMBER(_xll.BDH(config!$G$4,G$1,$A387,$A387)),_xll.BDH(config!$G$4,G$1,$A387,$A387),_xll.BDH(config!$G$5,G$1,$A387,$A387))))</f>
        <v>45.03</v>
      </c>
      <c r="H387" s="8">
        <f>IF($A387="","",IF(ISNUMBER(FIND("IMPVOL",H$1)),_xll.BDH(config!$G$4,H$1,WORKDAY($A387,-1,config_Holiday_Calendar_US),WORKDAY($A387,-1,config_Holiday_Calendar_US)),IF(ISNUMBER(_xll.BDH(config!$G$4,H$1,$A387,$A387)),_xll.BDH(config!$G$4,H$1,$A387,$A387),_xll.BDH(config!$G$5,H$1,$A387,$A387))))</f>
        <v>344190</v>
      </c>
      <c r="I387" s="8" t="str">
        <f>IF($A387="","",IF(ISNUMBER(FIND("IMPVOL",I$1)),_xll.BDH(config!$G$4,I$1,WORKDAY($A387,-1,config_Holiday_Calendar_US),WORKDAY($A387,-1,config_Holiday_Calendar_US)),IF(ISNUMBER(_xll.BDH(config!$G$4,I$1,$A387,$A387)),_xll.BDH(config!$G$4,I$1,$A387,$A387),_xll.BDH(config!$G$5,I$1,$A387,$A387))))</f>
        <v>#N/A Requesting Data...</v>
      </c>
      <c r="J387" s="8" t="str">
        <f>IF($A387="","",IF(ISNUMBER(FIND("IMPVOL",J$1)),_xll.BDH(config!$G$4,J$1,WORKDAY($A387,-1,config_Holiday_Calendar_US),WORKDAY($A387,-1,config_Holiday_Calendar_US)),IF(ISNUMBER(_xll.BDH(config!$G$4,J$1,$A387,$A387)),_xll.BDH(config!$G$4,J$1,$A387,$A387),_xll.BDH(config!$G$5,J$1,$A387,$A387))))</f>
        <v>#N/A Requesting Data...</v>
      </c>
      <c r="K387" s="8" t="str">
        <f>IF($A387="","",IF(ISNUMBER(FIND("IMPVOL",K$1)),_xll.BDH(config!$G$4,K$1,WORKDAY($A387,-1,config_Holiday_Calendar_US),WORKDAY($A387,-1,config_Holiday_Calendar_US)),IF(ISNUMBER(_xll.BDH(config!$G$4,K$1,$A387,$A387)),_xll.BDH(config!$G$4,K$1,$A387,$A387),_xll.BDH(config!$G$5,K$1,$A387,$A387))))</f>
        <v>#N/A Requesting Data...</v>
      </c>
      <c r="L387" s="8" t="str">
        <f>IF($A387="","",IF(ISNUMBER(FIND("IMPVOL",L$1)),_xll.BDH(config!$G$4,L$1,WORKDAY($A387,-1,config_Holiday_Calendar_US),WORKDAY($A387,-1,config_Holiday_Calendar_US)),IF(ISNUMBER(_xll.BDH(config!$G$4,L$1,$A387,$A387)),_xll.BDH(config!$G$4,L$1,$A387,$A387),_xll.BDH(config!$G$5,L$1,$A387,$A387))))</f>
        <v>#N/A Requesting Data...</v>
      </c>
      <c r="M387" s="8" t="str">
        <f>IF($A387="","",IF(ISNUMBER(FIND("IMPVOL",M$1)),_xll.BDH(config!$G$4,M$1,WORKDAY($A387,-1,config_Holiday_Calendar_US),WORKDAY($A387,-1,config_Holiday_Calendar_US)),IF(ISNUMBER(_xll.BDH(config!$G$4,M$1,$A387,$A387)),_xll.BDH(config!$G$4,M$1,$A387,$A387),_xll.BDH(config!$G$5,M$1,$A387,$A387))))</f>
        <v>#N/A Requesting Data...</v>
      </c>
      <c r="N387" s="8" t="str">
        <f>IF($A387="","",IF(ISNUMBER(FIND("IMPVOL",N$1)),_xll.BDH(config!$G$4,N$1,WORKDAY($A387,-1,config_Holiday_Calendar_US),WORKDAY($A387,-1,config_Holiday_Calendar_US)),IF(ISNUMBER(_xll.BDH(config!$G$4,N$1,$A387,$A387)),_xll.BDH(config!$G$4,N$1,$A387,$A387),_xll.BDH(config!$G$5,N$1,$A387,$A387))))</f>
        <v>#N/A Requesting Data...</v>
      </c>
      <c r="O387" s="8" t="str">
        <f>IF($A387="","",IF(ISNUMBER(FIND("IMPVOL",O$1)),_xll.BDH(config!$G$4,O$1,WORKDAY($A387,-1,config_Holiday_Calendar_US),WORKDAY($A387,-1,config_Holiday_Calendar_US)),IF(ISNUMBER(_xll.BDH(config!$G$4,O$1,$A387,$A387)),_xll.BDH(config!$G$4,O$1,$A387,$A387),_xll.BDH(config!$G$5,O$1,$A387,$A387))))</f>
        <v>#N/A Requesting Data...</v>
      </c>
      <c r="P387" s="8" t="str">
        <f>IF($A387="","",IF(ISNUMBER(FIND("IMPVOL",P$1)),_xll.BDH(config!$G$4,P$1,WORKDAY($A387,-1,config_Holiday_Calendar_US),WORKDAY($A387,-1,config_Holiday_Calendar_US)),IF(ISNUMBER(_xll.BDH(config!$G$4,P$1,$A387,$A387)),_xll.BDH(config!$G$4,P$1,$A387,$A387),_xll.BDH(config!$G$5,P$1,$A387,$A387))))</f>
        <v>#N/A Requesting Data...</v>
      </c>
      <c r="Q387" s="8">
        <f>IF($A387="","",IF(ISNUMBER(FIND("IMPVOL",Q$1)),_xll.BDH(config!$G$4,Q$1,WORKDAY($A387,-1,config_Holiday_Calendar_US),WORKDAY($A387,-1,config_Holiday_Calendar_US)),IF(ISNUMBER(_xll.BDH(config!$G$4,Q$1,$A387,$A387)),_xll.BDH(config!$G$4,Q$1,$A387,$A387),_xll.BDH(config!$G$5,Q$1,$A387,$A387))))</f>
        <v>59.89</v>
      </c>
      <c r="R387" s="8">
        <f>IF($A387="","",IF(ISNUMBER(FIND("IMPVOL",R$1)),_xll.BDH(config!$G$4,R$1,WORKDAY($A387,-1,config_Holiday_Calendar_US),WORKDAY($A387,-1,config_Holiday_Calendar_US)),IF(ISNUMBER(_xll.BDH(config!$G$4,R$1,$A387,$A387)),_xll.BDH(config!$G$4,R$1,$A387,$A387),_xll.BDH(config!$G$5,R$1,$A387,$A387))))</f>
        <v>65.78</v>
      </c>
      <c r="S387" s="8" t="str">
        <f>IF($A387="","",IF(ISNUMBER(FIND("IMPVOL",S$1)),_xll.BDH(config!$G$4,S$1,WORKDAY($A387,-1,config_Holiday_Calendar_US),WORKDAY($A387,-1,config_Holiday_Calendar_US)),IF(ISNUMBER(_xll.BDH(config!$G$4,S$1,$A387,$A387)),_xll.BDH(config!$G$4,S$1,$A387,$A387),_xll.BDH(config!$G$5,S$1,$A387,$A387))))</f>
        <v>#N/A Requesting Data...</v>
      </c>
      <c r="T387" s="8" t="str">
        <f>IF($A387="","",IF(ISNUMBER(FIND("IMPVOL",T$1)),_xll.BDH(config!$G$4,T$1,WORKDAY($A387,-1,config_Holiday_Calendar_US),WORKDAY($A387,-1,config_Holiday_Calendar_US)),IF(ISNUMBER(_xll.BDH(config!$G$4,T$1,$A387,$A387)),_xll.BDH(config!$G$4,T$1,$A387,$A387),_xll.BDH(config!$G$5,T$1,$A387,$A387))))</f>
        <v>#N/A Requesting Data...</v>
      </c>
      <c r="U387" s="8" t="str">
        <f>IF($A387="","",IF(ISNUMBER(FIND("IMPVOL",U$1)),_xll.BDH(config!$G$4,U$1,WORKDAY($A387,-1,config_Holiday_Calendar_US),WORKDAY($A387,-1,config_Holiday_Calendar_US)),IF(ISNUMBER(_xll.BDH(config!$G$4,U$1,$A387,$A387)),_xll.BDH(config!$G$4,U$1,$A387,$A387),_xll.BDH(config!$G$5,U$1,$A387,$A387))))</f>
        <v>#N/A Requesting Data...</v>
      </c>
      <c r="V387" s="8" t="str">
        <f>IF($A387="","",IF(ISNUMBER(FIND("IMPVOL",V$1)),_xll.BDH(config!$G$4,V$1,WORKDAY($A387,-1,config_Holiday_Calendar_US),WORKDAY($A387,-1,config_Holiday_Calendar_US)),IF(ISNUMBER(_xll.BDH(config!$G$4,V$1,$A387,$A387)),_xll.BDH(config!$G$4,V$1,$A387,$A387),_xll.BDH(config!$G$5,V$1,$A387,$A387))))</f>
        <v>#N/A Requesting Data...</v>
      </c>
      <c r="W387" s="8" t="str">
        <f>IF($A387="","",IF(ISNUMBER(FIND("IMPVOL",W$1)),_xll.BDH(config!$G$4,W$1,WORKDAY($A387,-1,config_Holiday_Calendar_US),WORKDAY($A387,-1,config_Holiday_Calendar_US)),IF(ISNUMBER(_xll.BDH(config!$G$4,W$1,$A387,$A387)),_xll.BDH(config!$G$4,W$1,$A387,$A387),_xll.BDH(config!$G$5,W$1,$A387,$A387))))</f>
        <v>#N/A Requesting Data...</v>
      </c>
    </row>
    <row r="388" spans="1:23" x14ac:dyDescent="0.2">
      <c r="A388" s="9">
        <f>IF(A387="","",IF(WORKDAY(A387,-1,config_Holiday_Calendar_US)&lt;config!$I$10,"",WORKDAY(A387,-1,config_Holiday_Calendar_US)))</f>
        <v>42265</v>
      </c>
      <c r="B388" s="8" t="e">
        <f t="shared" si="6"/>
        <v>#VALUE!</v>
      </c>
      <c r="C388" s="8" t="str">
        <f>IF(A388="","",_xll.BDH(config!$H$4,C$1,$A388,$A388))</f>
        <v>#N/A Requesting Data...</v>
      </c>
      <c r="D388" s="8" t="str">
        <f>IF($A388="","",_xll.BDH(config!$H$4,D$1,$A388,$A388))</f>
        <v>#N/A Requesting Data...</v>
      </c>
      <c r="E388" s="8">
        <f>IF($A388="","",IF(ISNUMBER(FIND("IMPVOL",E$1)),_xll.BDH(config!$G$4,E$1,WORKDAY($A388,-1,config_Holiday_Calendar_US),WORKDAY($A388,-1,config_Holiday_Calendar_US)),IF(ISNUMBER(_xll.BDH(config!$G$4,E$1,$A388,$A388)),_xll.BDH(config!$G$4,E$1,$A388,$A388),_xll.BDH(config!$G$5,E$1,$A388,$A388))))</f>
        <v>46.89</v>
      </c>
      <c r="F388" s="8">
        <f>IF($A388="","",IF(ISNUMBER(FIND("IMPVOL",F$1)),_xll.BDH(config!$G$4,F$1,WORKDAY($A388,-1,config_Holiday_Calendar_US),WORKDAY($A388,-1,config_Holiday_Calendar_US)),IF(ISNUMBER(_xll.BDH(config!$G$4,F$1,$A388,$A388)),_xll.BDH(config!$G$4,F$1,$A388,$A388),_xll.BDH(config!$G$5,F$1,$A388,$A388))))</f>
        <v>47.03</v>
      </c>
      <c r="G388" s="8">
        <f>IF($A388="","",IF(ISNUMBER(FIND("IMPVOL",G$1)),_xll.BDH(config!$G$4,G$1,WORKDAY($A388,-1,config_Holiday_Calendar_US),WORKDAY($A388,-1,config_Holiday_Calendar_US)),IF(ISNUMBER(_xll.BDH(config!$G$4,G$1,$A388,$A388)),_xll.BDH(config!$G$4,G$1,$A388,$A388),_xll.BDH(config!$G$5,G$1,$A388,$A388))))</f>
        <v>44.59</v>
      </c>
      <c r="H388" s="8">
        <f>IF($A388="","",IF(ISNUMBER(FIND("IMPVOL",H$1)),_xll.BDH(config!$G$4,H$1,WORKDAY($A388,-1,config_Holiday_Calendar_US),WORKDAY($A388,-1,config_Holiday_Calendar_US)),IF(ISNUMBER(_xll.BDH(config!$G$4,H$1,$A388,$A388)),_xll.BDH(config!$G$4,H$1,$A388,$A388),_xll.BDH(config!$G$5,H$1,$A388,$A388))))</f>
        <v>283487</v>
      </c>
      <c r="I388" s="8" t="str">
        <f>IF($A388="","",IF(ISNUMBER(FIND("IMPVOL",I$1)),_xll.BDH(config!$G$4,I$1,WORKDAY($A388,-1,config_Holiday_Calendar_US),WORKDAY($A388,-1,config_Holiday_Calendar_US)),IF(ISNUMBER(_xll.BDH(config!$G$4,I$1,$A388,$A388)),_xll.BDH(config!$G$4,I$1,$A388,$A388),_xll.BDH(config!$G$5,I$1,$A388,$A388))))</f>
        <v>#N/A Requesting Data...</v>
      </c>
      <c r="J388" s="8" t="str">
        <f>IF($A388="","",IF(ISNUMBER(FIND("IMPVOL",J$1)),_xll.BDH(config!$G$4,J$1,WORKDAY($A388,-1,config_Holiday_Calendar_US),WORKDAY($A388,-1,config_Holiday_Calendar_US)),IF(ISNUMBER(_xll.BDH(config!$G$4,J$1,$A388,$A388)),_xll.BDH(config!$G$4,J$1,$A388,$A388),_xll.BDH(config!$G$5,J$1,$A388,$A388))))</f>
        <v>#N/A Requesting Data...</v>
      </c>
      <c r="K388" s="8" t="str">
        <f>IF($A388="","",IF(ISNUMBER(FIND("IMPVOL",K$1)),_xll.BDH(config!$G$4,K$1,WORKDAY($A388,-1,config_Holiday_Calendar_US),WORKDAY($A388,-1,config_Holiday_Calendar_US)),IF(ISNUMBER(_xll.BDH(config!$G$4,K$1,$A388,$A388)),_xll.BDH(config!$G$4,K$1,$A388,$A388),_xll.BDH(config!$G$5,K$1,$A388,$A388))))</f>
        <v>#N/A Requesting Data...</v>
      </c>
      <c r="L388" s="8" t="str">
        <f>IF($A388="","",IF(ISNUMBER(FIND("IMPVOL",L$1)),_xll.BDH(config!$G$4,L$1,WORKDAY($A388,-1,config_Holiday_Calendar_US),WORKDAY($A388,-1,config_Holiday_Calendar_US)),IF(ISNUMBER(_xll.BDH(config!$G$4,L$1,$A388,$A388)),_xll.BDH(config!$G$4,L$1,$A388,$A388),_xll.BDH(config!$G$5,L$1,$A388,$A388))))</f>
        <v>#N/A Requesting Data...</v>
      </c>
      <c r="M388" s="8" t="str">
        <f>IF($A388="","",IF(ISNUMBER(FIND("IMPVOL",M$1)),_xll.BDH(config!$G$4,M$1,WORKDAY($A388,-1,config_Holiday_Calendar_US),WORKDAY($A388,-1,config_Holiday_Calendar_US)),IF(ISNUMBER(_xll.BDH(config!$G$4,M$1,$A388,$A388)),_xll.BDH(config!$G$4,M$1,$A388,$A388),_xll.BDH(config!$G$5,M$1,$A388,$A388))))</f>
        <v>#N/A Requesting Data...</v>
      </c>
      <c r="N388" s="8" t="str">
        <f>IF($A388="","",IF(ISNUMBER(FIND("IMPVOL",N$1)),_xll.BDH(config!$G$4,N$1,WORKDAY($A388,-1,config_Holiday_Calendar_US),WORKDAY($A388,-1,config_Holiday_Calendar_US)),IF(ISNUMBER(_xll.BDH(config!$G$4,N$1,$A388,$A388)),_xll.BDH(config!$G$4,N$1,$A388,$A388),_xll.BDH(config!$G$5,N$1,$A388,$A388))))</f>
        <v>#N/A Requesting Data...</v>
      </c>
      <c r="O388" s="8" t="str">
        <f>IF($A388="","",IF(ISNUMBER(FIND("IMPVOL",O$1)),_xll.BDH(config!$G$4,O$1,WORKDAY($A388,-1,config_Holiday_Calendar_US),WORKDAY($A388,-1,config_Holiday_Calendar_US)),IF(ISNUMBER(_xll.BDH(config!$G$4,O$1,$A388,$A388)),_xll.BDH(config!$G$4,O$1,$A388,$A388),_xll.BDH(config!$G$5,O$1,$A388,$A388))))</f>
        <v>#N/A Requesting Data...</v>
      </c>
      <c r="P388" s="8" t="str">
        <f>IF($A388="","",IF(ISNUMBER(FIND("IMPVOL",P$1)),_xll.BDH(config!$G$4,P$1,WORKDAY($A388,-1,config_Holiday_Calendar_US),WORKDAY($A388,-1,config_Holiday_Calendar_US)),IF(ISNUMBER(_xll.BDH(config!$G$4,P$1,$A388,$A388)),_xll.BDH(config!$G$4,P$1,$A388,$A388),_xll.BDH(config!$G$5,P$1,$A388,$A388))))</f>
        <v>#N/A Requesting Data...</v>
      </c>
      <c r="Q388" s="8">
        <f>IF($A388="","",IF(ISNUMBER(FIND("IMPVOL",Q$1)),_xll.BDH(config!$G$4,Q$1,WORKDAY($A388,-1,config_Holiday_Calendar_US),WORKDAY($A388,-1,config_Holiday_Calendar_US)),IF(ISNUMBER(_xll.BDH(config!$G$4,Q$1,$A388,$A388)),_xll.BDH(config!$G$4,Q$1,$A388,$A388),_xll.BDH(config!$G$5,Q$1,$A388,$A388))))</f>
        <v>54.46</v>
      </c>
      <c r="R388" s="8">
        <f>IF($A388="","",IF(ISNUMBER(FIND("IMPVOL",R$1)),_xll.BDH(config!$G$4,R$1,WORKDAY($A388,-1,config_Holiday_Calendar_US),WORKDAY($A388,-1,config_Holiday_Calendar_US)),IF(ISNUMBER(_xll.BDH(config!$G$4,R$1,$A388,$A388)),_xll.BDH(config!$G$4,R$1,$A388,$A388),_xll.BDH(config!$G$5,R$1,$A388,$A388))))</f>
        <v>65.12</v>
      </c>
      <c r="S388" s="8" t="str">
        <f>IF($A388="","",IF(ISNUMBER(FIND("IMPVOL",S$1)),_xll.BDH(config!$G$4,S$1,WORKDAY($A388,-1,config_Holiday_Calendar_US),WORKDAY($A388,-1,config_Holiday_Calendar_US)),IF(ISNUMBER(_xll.BDH(config!$G$4,S$1,$A388,$A388)),_xll.BDH(config!$G$4,S$1,$A388,$A388),_xll.BDH(config!$G$5,S$1,$A388,$A388))))</f>
        <v>#N/A Requesting Data...</v>
      </c>
      <c r="T388" s="8" t="str">
        <f>IF($A388="","",IF(ISNUMBER(FIND("IMPVOL",T$1)),_xll.BDH(config!$G$4,T$1,WORKDAY($A388,-1,config_Holiday_Calendar_US),WORKDAY($A388,-1,config_Holiday_Calendar_US)),IF(ISNUMBER(_xll.BDH(config!$G$4,T$1,$A388,$A388)),_xll.BDH(config!$G$4,T$1,$A388,$A388),_xll.BDH(config!$G$5,T$1,$A388,$A388))))</f>
        <v>#N/A Requesting Data...</v>
      </c>
      <c r="U388" s="8" t="str">
        <f>IF($A388="","",IF(ISNUMBER(FIND("IMPVOL",U$1)),_xll.BDH(config!$G$4,U$1,WORKDAY($A388,-1,config_Holiday_Calendar_US),WORKDAY($A388,-1,config_Holiday_Calendar_US)),IF(ISNUMBER(_xll.BDH(config!$G$4,U$1,$A388,$A388)),_xll.BDH(config!$G$4,U$1,$A388,$A388),_xll.BDH(config!$G$5,U$1,$A388,$A388))))</f>
        <v>#N/A Requesting Data...</v>
      </c>
      <c r="V388" s="8" t="str">
        <f>IF($A388="","",IF(ISNUMBER(FIND("IMPVOL",V$1)),_xll.BDH(config!$G$4,V$1,WORKDAY($A388,-1,config_Holiday_Calendar_US),WORKDAY($A388,-1,config_Holiday_Calendar_US)),IF(ISNUMBER(_xll.BDH(config!$G$4,V$1,$A388,$A388)),_xll.BDH(config!$G$4,V$1,$A388,$A388),_xll.BDH(config!$G$5,V$1,$A388,$A388))))</f>
        <v>#N/A Requesting Data...</v>
      </c>
      <c r="W388" s="8" t="str">
        <f>IF($A388="","",IF(ISNUMBER(FIND("IMPVOL",W$1)),_xll.BDH(config!$G$4,W$1,WORKDAY($A388,-1,config_Holiday_Calendar_US),WORKDAY($A388,-1,config_Holiday_Calendar_US)),IF(ISNUMBER(_xll.BDH(config!$G$4,W$1,$A388,$A388)),_xll.BDH(config!$G$4,W$1,$A388,$A388),_xll.BDH(config!$G$5,W$1,$A388,$A388))))</f>
        <v>#N/A Requesting Data...</v>
      </c>
    </row>
    <row r="389" spans="1:23" x14ac:dyDescent="0.2">
      <c r="A389" s="9">
        <f>IF(A388="","",IF(WORKDAY(A388,-1,config_Holiday_Calendar_US)&lt;config!$I$10,"",WORKDAY(A388,-1,config_Holiday_Calendar_US)))</f>
        <v>42264</v>
      </c>
      <c r="B389" s="8" t="e">
        <f t="shared" si="6"/>
        <v>#VALUE!</v>
      </c>
      <c r="C389" s="8" t="str">
        <f>IF(A389="","",_xll.BDH(config!$H$4,C$1,$A389,$A389))</f>
        <v>#N/A Requesting Data...</v>
      </c>
      <c r="D389" s="8" t="str">
        <f>IF($A389="","",_xll.BDH(config!$H$4,D$1,$A389,$A389))</f>
        <v>#N/A Requesting Data...</v>
      </c>
      <c r="E389" s="8">
        <f>IF($A389="","",IF(ISNUMBER(FIND("IMPVOL",E$1)),_xll.BDH(config!$G$4,E$1,WORKDAY($A389,-1,config_Holiday_Calendar_US),WORKDAY($A389,-1,config_Holiday_Calendar_US)),IF(ISNUMBER(_xll.BDH(config!$G$4,E$1,$A389,$A389)),_xll.BDH(config!$G$4,E$1,$A389,$A389),_xll.BDH(config!$G$5,E$1,$A389,$A389))))</f>
        <v>47.13</v>
      </c>
      <c r="F389" s="8">
        <f>IF($A389="","",IF(ISNUMBER(FIND("IMPVOL",F$1)),_xll.BDH(config!$G$4,F$1,WORKDAY($A389,-1,config_Holiday_Calendar_US),WORKDAY($A389,-1,config_Holiday_Calendar_US)),IF(ISNUMBER(_xll.BDH(config!$G$4,F$1,$A389,$A389)),_xll.BDH(config!$G$4,F$1,$A389,$A389),_xll.BDH(config!$G$5,F$1,$A389,$A389))))</f>
        <v>47.71</v>
      </c>
      <c r="G389" s="8">
        <f>IF($A389="","",IF(ISNUMBER(FIND("IMPVOL",G$1)),_xll.BDH(config!$G$4,G$1,WORKDAY($A389,-1,config_Holiday_Calendar_US),WORKDAY($A389,-1,config_Holiday_Calendar_US)),IF(ISNUMBER(_xll.BDH(config!$G$4,G$1,$A389,$A389)),_xll.BDH(config!$G$4,G$1,$A389,$A389),_xll.BDH(config!$G$5,G$1,$A389,$A389))))</f>
        <v>46.71</v>
      </c>
      <c r="H389" s="8">
        <f>IF($A389="","",IF(ISNUMBER(FIND("IMPVOL",H$1)),_xll.BDH(config!$G$4,H$1,WORKDAY($A389,-1,config_Holiday_Calendar_US),WORKDAY($A389,-1,config_Holiday_Calendar_US)),IF(ISNUMBER(_xll.BDH(config!$G$4,H$1,$A389,$A389)),_xll.BDH(config!$G$4,H$1,$A389,$A389),_xll.BDH(config!$G$5,H$1,$A389,$A389))))</f>
        <v>221847</v>
      </c>
      <c r="I389" s="8" t="str">
        <f>IF($A389="","",IF(ISNUMBER(FIND("IMPVOL",I$1)),_xll.BDH(config!$G$4,I$1,WORKDAY($A389,-1,config_Holiday_Calendar_US),WORKDAY($A389,-1,config_Holiday_Calendar_US)),IF(ISNUMBER(_xll.BDH(config!$G$4,I$1,$A389,$A389)),_xll.BDH(config!$G$4,I$1,$A389,$A389),_xll.BDH(config!$G$5,I$1,$A389,$A389))))</f>
        <v>#N/A Requesting Data...</v>
      </c>
      <c r="J389" s="8" t="str">
        <f>IF($A389="","",IF(ISNUMBER(FIND("IMPVOL",J$1)),_xll.BDH(config!$G$4,J$1,WORKDAY($A389,-1,config_Holiday_Calendar_US),WORKDAY($A389,-1,config_Holiday_Calendar_US)),IF(ISNUMBER(_xll.BDH(config!$G$4,J$1,$A389,$A389)),_xll.BDH(config!$G$4,J$1,$A389,$A389),_xll.BDH(config!$G$5,J$1,$A389,$A389))))</f>
        <v>#N/A Requesting Data...</v>
      </c>
      <c r="K389" s="8" t="str">
        <f>IF($A389="","",IF(ISNUMBER(FIND("IMPVOL",K$1)),_xll.BDH(config!$G$4,K$1,WORKDAY($A389,-1,config_Holiday_Calendar_US),WORKDAY($A389,-1,config_Holiday_Calendar_US)),IF(ISNUMBER(_xll.BDH(config!$G$4,K$1,$A389,$A389)),_xll.BDH(config!$G$4,K$1,$A389,$A389),_xll.BDH(config!$G$5,K$1,$A389,$A389))))</f>
        <v>#N/A Requesting Data...</v>
      </c>
      <c r="L389" s="8" t="str">
        <f>IF($A389="","",IF(ISNUMBER(FIND("IMPVOL",L$1)),_xll.BDH(config!$G$4,L$1,WORKDAY($A389,-1,config_Holiday_Calendar_US),WORKDAY($A389,-1,config_Holiday_Calendar_US)),IF(ISNUMBER(_xll.BDH(config!$G$4,L$1,$A389,$A389)),_xll.BDH(config!$G$4,L$1,$A389,$A389),_xll.BDH(config!$G$5,L$1,$A389,$A389))))</f>
        <v>#N/A Requesting Data...</v>
      </c>
      <c r="M389" s="8" t="str">
        <f>IF($A389="","",IF(ISNUMBER(FIND("IMPVOL",M$1)),_xll.BDH(config!$G$4,M$1,WORKDAY($A389,-1,config_Holiday_Calendar_US),WORKDAY($A389,-1,config_Holiday_Calendar_US)),IF(ISNUMBER(_xll.BDH(config!$G$4,M$1,$A389,$A389)),_xll.BDH(config!$G$4,M$1,$A389,$A389),_xll.BDH(config!$G$5,M$1,$A389,$A389))))</f>
        <v>#N/A Requesting Data...</v>
      </c>
      <c r="N389" s="8" t="str">
        <f>IF($A389="","",IF(ISNUMBER(FIND("IMPVOL",N$1)),_xll.BDH(config!$G$4,N$1,WORKDAY($A389,-1,config_Holiday_Calendar_US),WORKDAY($A389,-1,config_Holiday_Calendar_US)),IF(ISNUMBER(_xll.BDH(config!$G$4,N$1,$A389,$A389)),_xll.BDH(config!$G$4,N$1,$A389,$A389),_xll.BDH(config!$G$5,N$1,$A389,$A389))))</f>
        <v>#N/A Requesting Data...</v>
      </c>
      <c r="O389" s="8" t="str">
        <f>IF($A389="","",IF(ISNUMBER(FIND("IMPVOL",O$1)),_xll.BDH(config!$G$4,O$1,WORKDAY($A389,-1,config_Holiday_Calendar_US),WORKDAY($A389,-1,config_Holiday_Calendar_US)),IF(ISNUMBER(_xll.BDH(config!$G$4,O$1,$A389,$A389)),_xll.BDH(config!$G$4,O$1,$A389,$A389),_xll.BDH(config!$G$5,O$1,$A389,$A389))))</f>
        <v>#N/A Requesting Data...</v>
      </c>
      <c r="P389" s="8" t="str">
        <f>IF($A389="","",IF(ISNUMBER(FIND("IMPVOL",P$1)),_xll.BDH(config!$G$4,P$1,WORKDAY($A389,-1,config_Holiday_Calendar_US),WORKDAY($A389,-1,config_Holiday_Calendar_US)),IF(ISNUMBER(_xll.BDH(config!$G$4,P$1,$A389,$A389)),_xll.BDH(config!$G$4,P$1,$A389,$A389),_xll.BDH(config!$G$5,P$1,$A389,$A389))))</f>
        <v>#N/A Requesting Data...</v>
      </c>
      <c r="Q389" s="8">
        <f>IF($A389="","",IF(ISNUMBER(FIND("IMPVOL",Q$1)),_xll.BDH(config!$G$4,Q$1,WORKDAY($A389,-1,config_Holiday_Calendar_US),WORKDAY($A389,-1,config_Holiday_Calendar_US)),IF(ISNUMBER(_xll.BDH(config!$G$4,Q$1,$A389,$A389)),_xll.BDH(config!$G$4,Q$1,$A389,$A389),_xll.BDH(config!$G$5,Q$1,$A389,$A389))))</f>
        <v>48.51</v>
      </c>
      <c r="R389" s="8">
        <f>IF($A389="","",IF(ISNUMBER(FIND("IMPVOL",R$1)),_xll.BDH(config!$G$4,R$1,WORKDAY($A389,-1,config_Holiday_Calendar_US),WORKDAY($A389,-1,config_Holiday_Calendar_US)),IF(ISNUMBER(_xll.BDH(config!$G$4,R$1,$A389,$A389)),_xll.BDH(config!$G$4,R$1,$A389,$A389),_xll.BDH(config!$G$5,R$1,$A389,$A389))))</f>
        <v>63.66</v>
      </c>
      <c r="S389" s="8" t="str">
        <f>IF($A389="","",IF(ISNUMBER(FIND("IMPVOL",S$1)),_xll.BDH(config!$G$4,S$1,WORKDAY($A389,-1,config_Holiday_Calendar_US),WORKDAY($A389,-1,config_Holiday_Calendar_US)),IF(ISNUMBER(_xll.BDH(config!$G$4,S$1,$A389,$A389)),_xll.BDH(config!$G$4,S$1,$A389,$A389),_xll.BDH(config!$G$5,S$1,$A389,$A389))))</f>
        <v>#N/A Requesting Data...</v>
      </c>
      <c r="T389" s="8" t="str">
        <f>IF($A389="","",IF(ISNUMBER(FIND("IMPVOL",T$1)),_xll.BDH(config!$G$4,T$1,WORKDAY($A389,-1,config_Holiday_Calendar_US),WORKDAY($A389,-1,config_Holiday_Calendar_US)),IF(ISNUMBER(_xll.BDH(config!$G$4,T$1,$A389,$A389)),_xll.BDH(config!$G$4,T$1,$A389,$A389),_xll.BDH(config!$G$5,T$1,$A389,$A389))))</f>
        <v>#N/A Requesting Data...</v>
      </c>
      <c r="U389" s="8" t="str">
        <f>IF($A389="","",IF(ISNUMBER(FIND("IMPVOL",U$1)),_xll.BDH(config!$G$4,U$1,WORKDAY($A389,-1,config_Holiday_Calendar_US),WORKDAY($A389,-1,config_Holiday_Calendar_US)),IF(ISNUMBER(_xll.BDH(config!$G$4,U$1,$A389,$A389)),_xll.BDH(config!$G$4,U$1,$A389,$A389),_xll.BDH(config!$G$5,U$1,$A389,$A389))))</f>
        <v>#N/A Requesting Data...</v>
      </c>
      <c r="V389" s="8" t="str">
        <f>IF($A389="","",IF(ISNUMBER(FIND("IMPVOL",V$1)),_xll.BDH(config!$G$4,V$1,WORKDAY($A389,-1,config_Holiday_Calendar_US),WORKDAY($A389,-1,config_Holiday_Calendar_US)),IF(ISNUMBER(_xll.BDH(config!$G$4,V$1,$A389,$A389)),_xll.BDH(config!$G$4,V$1,$A389,$A389),_xll.BDH(config!$G$5,V$1,$A389,$A389))))</f>
        <v>#N/A Requesting Data...</v>
      </c>
      <c r="W389" s="8" t="str">
        <f>IF($A389="","",IF(ISNUMBER(FIND("IMPVOL",W$1)),_xll.BDH(config!$G$4,W$1,WORKDAY($A389,-1,config_Holiday_Calendar_US),WORKDAY($A389,-1,config_Holiday_Calendar_US)),IF(ISNUMBER(_xll.BDH(config!$G$4,W$1,$A389,$A389)),_xll.BDH(config!$G$4,W$1,$A389,$A389),_xll.BDH(config!$G$5,W$1,$A389,$A389))))</f>
        <v>#N/A Requesting Data...</v>
      </c>
    </row>
    <row r="390" spans="1:23" x14ac:dyDescent="0.2">
      <c r="A390" s="9">
        <f>IF(A389="","",IF(WORKDAY(A389,-1,config_Holiday_Calendar_US)&lt;config!$I$10,"",WORKDAY(A389,-1,config_Holiday_Calendar_US)))</f>
        <v>42263</v>
      </c>
      <c r="B390" s="8" t="e">
        <f t="shared" si="6"/>
        <v>#VALUE!</v>
      </c>
      <c r="C390" s="8" t="str">
        <f>IF(A390="","",_xll.BDH(config!$H$4,C$1,$A390,$A390))</f>
        <v>#N/A Requesting Data...</v>
      </c>
      <c r="D390" s="8" t="str">
        <f>IF($A390="","",_xll.BDH(config!$H$4,D$1,$A390,$A390))</f>
        <v>#N/A Requesting Data...</v>
      </c>
      <c r="E390" s="8">
        <f>IF($A390="","",IF(ISNUMBER(FIND("IMPVOL",E$1)),_xll.BDH(config!$G$4,E$1,WORKDAY($A390,-1,config_Holiday_Calendar_US),WORKDAY($A390,-1,config_Holiday_Calendar_US)),IF(ISNUMBER(_xll.BDH(config!$G$4,E$1,$A390,$A390)),_xll.BDH(config!$G$4,E$1,$A390,$A390),_xll.BDH(config!$G$5,E$1,$A390,$A390))))</f>
        <v>45.16</v>
      </c>
      <c r="F390" s="8">
        <f>IF($A390="","",IF(ISNUMBER(FIND("IMPVOL",F$1)),_xll.BDH(config!$G$4,F$1,WORKDAY($A390,-1,config_Holiday_Calendar_US),WORKDAY($A390,-1,config_Holiday_Calendar_US)),IF(ISNUMBER(_xll.BDH(config!$G$4,F$1,$A390,$A390)),_xll.BDH(config!$G$4,F$1,$A390,$A390),_xll.BDH(config!$G$5,F$1,$A390,$A390))))</f>
        <v>47.35</v>
      </c>
      <c r="G390" s="8">
        <f>IF($A390="","",IF(ISNUMBER(FIND("IMPVOL",G$1)),_xll.BDH(config!$G$4,G$1,WORKDAY($A390,-1,config_Holiday_Calendar_US),WORKDAY($A390,-1,config_Holiday_Calendar_US)),IF(ISNUMBER(_xll.BDH(config!$G$4,G$1,$A390,$A390)),_xll.BDH(config!$G$4,G$1,$A390,$A390),_xll.BDH(config!$G$5,G$1,$A390,$A390))))</f>
        <v>45.2</v>
      </c>
      <c r="H390" s="8">
        <f>IF($A390="","",IF(ISNUMBER(FIND("IMPVOL",H$1)),_xll.BDH(config!$G$4,H$1,WORKDAY($A390,-1,config_Holiday_Calendar_US),WORKDAY($A390,-1,config_Holiday_Calendar_US)),IF(ISNUMBER(_xll.BDH(config!$G$4,H$1,$A390,$A390)),_xll.BDH(config!$G$4,H$1,$A390,$A390),_xll.BDH(config!$G$5,H$1,$A390,$A390))))</f>
        <v>249589</v>
      </c>
      <c r="I390" s="8" t="str">
        <f>IF($A390="","",IF(ISNUMBER(FIND("IMPVOL",I$1)),_xll.BDH(config!$G$4,I$1,WORKDAY($A390,-1,config_Holiday_Calendar_US),WORKDAY($A390,-1,config_Holiday_Calendar_US)),IF(ISNUMBER(_xll.BDH(config!$G$4,I$1,$A390,$A390)),_xll.BDH(config!$G$4,I$1,$A390,$A390),_xll.BDH(config!$G$5,I$1,$A390,$A390))))</f>
        <v>#N/A Requesting Data...</v>
      </c>
      <c r="J390" s="8" t="str">
        <f>IF($A390="","",IF(ISNUMBER(FIND("IMPVOL",J$1)),_xll.BDH(config!$G$4,J$1,WORKDAY($A390,-1,config_Holiday_Calendar_US),WORKDAY($A390,-1,config_Holiday_Calendar_US)),IF(ISNUMBER(_xll.BDH(config!$G$4,J$1,$A390,$A390)),_xll.BDH(config!$G$4,J$1,$A390,$A390),_xll.BDH(config!$G$5,J$1,$A390,$A390))))</f>
        <v>#N/A Requesting Data...</v>
      </c>
      <c r="K390" s="8" t="str">
        <f>IF($A390="","",IF(ISNUMBER(FIND("IMPVOL",K$1)),_xll.BDH(config!$G$4,K$1,WORKDAY($A390,-1,config_Holiday_Calendar_US),WORKDAY($A390,-1,config_Holiday_Calendar_US)),IF(ISNUMBER(_xll.BDH(config!$G$4,K$1,$A390,$A390)),_xll.BDH(config!$G$4,K$1,$A390,$A390),_xll.BDH(config!$G$5,K$1,$A390,$A390))))</f>
        <v>#N/A Requesting Data...</v>
      </c>
      <c r="L390" s="8" t="str">
        <f>IF($A390="","",IF(ISNUMBER(FIND("IMPVOL",L$1)),_xll.BDH(config!$G$4,L$1,WORKDAY($A390,-1,config_Holiday_Calendar_US),WORKDAY($A390,-1,config_Holiday_Calendar_US)),IF(ISNUMBER(_xll.BDH(config!$G$4,L$1,$A390,$A390)),_xll.BDH(config!$G$4,L$1,$A390,$A390),_xll.BDH(config!$G$5,L$1,$A390,$A390))))</f>
        <v>#N/A Requesting Data...</v>
      </c>
      <c r="M390" s="8" t="str">
        <f>IF($A390="","",IF(ISNUMBER(FIND("IMPVOL",M$1)),_xll.BDH(config!$G$4,M$1,WORKDAY($A390,-1,config_Holiday_Calendar_US),WORKDAY($A390,-1,config_Holiday_Calendar_US)),IF(ISNUMBER(_xll.BDH(config!$G$4,M$1,$A390,$A390)),_xll.BDH(config!$G$4,M$1,$A390,$A390),_xll.BDH(config!$G$5,M$1,$A390,$A390))))</f>
        <v>#N/A Requesting Data...</v>
      </c>
      <c r="N390" s="8" t="str">
        <f>IF($A390="","",IF(ISNUMBER(FIND("IMPVOL",N$1)),_xll.BDH(config!$G$4,N$1,WORKDAY($A390,-1,config_Holiday_Calendar_US),WORKDAY($A390,-1,config_Holiday_Calendar_US)),IF(ISNUMBER(_xll.BDH(config!$G$4,N$1,$A390,$A390)),_xll.BDH(config!$G$4,N$1,$A390,$A390),_xll.BDH(config!$G$5,N$1,$A390,$A390))))</f>
        <v>#N/A Requesting Data...</v>
      </c>
      <c r="O390" s="8" t="str">
        <f>IF($A390="","",IF(ISNUMBER(FIND("IMPVOL",O$1)),_xll.BDH(config!$G$4,O$1,WORKDAY($A390,-1,config_Holiday_Calendar_US),WORKDAY($A390,-1,config_Holiday_Calendar_US)),IF(ISNUMBER(_xll.BDH(config!$G$4,O$1,$A390,$A390)),_xll.BDH(config!$G$4,O$1,$A390,$A390),_xll.BDH(config!$G$5,O$1,$A390,$A390))))</f>
        <v>#N/A Requesting Data...</v>
      </c>
      <c r="P390" s="8" t="str">
        <f>IF($A390="","",IF(ISNUMBER(FIND("IMPVOL",P$1)),_xll.BDH(config!$G$4,P$1,WORKDAY($A390,-1,config_Holiday_Calendar_US),WORKDAY($A390,-1,config_Holiday_Calendar_US)),IF(ISNUMBER(_xll.BDH(config!$G$4,P$1,$A390,$A390)),_xll.BDH(config!$G$4,P$1,$A390,$A390),_xll.BDH(config!$G$5,P$1,$A390,$A390))))</f>
        <v>#N/A Requesting Data...</v>
      </c>
      <c r="Q390" s="8">
        <f>IF($A390="","",IF(ISNUMBER(FIND("IMPVOL",Q$1)),_xll.BDH(config!$G$4,Q$1,WORKDAY($A390,-1,config_Holiday_Calendar_US),WORKDAY($A390,-1,config_Holiday_Calendar_US)),IF(ISNUMBER(_xll.BDH(config!$G$4,Q$1,$A390,$A390)),_xll.BDH(config!$G$4,Q$1,$A390,$A390),_xll.BDH(config!$G$5,Q$1,$A390,$A390))))</f>
        <v>48.62</v>
      </c>
      <c r="R390" s="8">
        <f>IF($A390="","",IF(ISNUMBER(FIND("IMPVOL",R$1)),_xll.BDH(config!$G$4,R$1,WORKDAY($A390,-1,config_Holiday_Calendar_US),WORKDAY($A390,-1,config_Holiday_Calendar_US)),IF(ISNUMBER(_xll.BDH(config!$G$4,R$1,$A390,$A390)),_xll.BDH(config!$G$4,R$1,$A390,$A390),_xll.BDH(config!$G$5,R$1,$A390,$A390))))</f>
        <v>63.71</v>
      </c>
      <c r="S390" s="8" t="str">
        <f>IF($A390="","",IF(ISNUMBER(FIND("IMPVOL",S$1)),_xll.BDH(config!$G$4,S$1,WORKDAY($A390,-1,config_Holiday_Calendar_US),WORKDAY($A390,-1,config_Holiday_Calendar_US)),IF(ISNUMBER(_xll.BDH(config!$G$4,S$1,$A390,$A390)),_xll.BDH(config!$G$4,S$1,$A390,$A390),_xll.BDH(config!$G$5,S$1,$A390,$A390))))</f>
        <v>#N/A Requesting Data...</v>
      </c>
      <c r="T390" s="8" t="str">
        <f>IF($A390="","",IF(ISNUMBER(FIND("IMPVOL",T$1)),_xll.BDH(config!$G$4,T$1,WORKDAY($A390,-1,config_Holiday_Calendar_US),WORKDAY($A390,-1,config_Holiday_Calendar_US)),IF(ISNUMBER(_xll.BDH(config!$G$4,T$1,$A390,$A390)),_xll.BDH(config!$G$4,T$1,$A390,$A390),_xll.BDH(config!$G$5,T$1,$A390,$A390))))</f>
        <v>#N/A Requesting Data...</v>
      </c>
      <c r="U390" s="8" t="str">
        <f>IF($A390="","",IF(ISNUMBER(FIND("IMPVOL",U$1)),_xll.BDH(config!$G$4,U$1,WORKDAY($A390,-1,config_Holiday_Calendar_US),WORKDAY($A390,-1,config_Holiday_Calendar_US)),IF(ISNUMBER(_xll.BDH(config!$G$4,U$1,$A390,$A390)),_xll.BDH(config!$G$4,U$1,$A390,$A390),_xll.BDH(config!$G$5,U$1,$A390,$A390))))</f>
        <v>#N/A Requesting Data...</v>
      </c>
      <c r="V390" s="8" t="str">
        <f>IF($A390="","",IF(ISNUMBER(FIND("IMPVOL",V$1)),_xll.BDH(config!$G$4,V$1,WORKDAY($A390,-1,config_Holiday_Calendar_US),WORKDAY($A390,-1,config_Holiday_Calendar_US)),IF(ISNUMBER(_xll.BDH(config!$G$4,V$1,$A390,$A390)),_xll.BDH(config!$G$4,V$1,$A390,$A390),_xll.BDH(config!$G$5,V$1,$A390,$A390))))</f>
        <v>#N/A Requesting Data...</v>
      </c>
      <c r="W390" s="8" t="str">
        <f>IF($A390="","",IF(ISNUMBER(FIND("IMPVOL",W$1)),_xll.BDH(config!$G$4,W$1,WORKDAY($A390,-1,config_Holiday_Calendar_US),WORKDAY($A390,-1,config_Holiday_Calendar_US)),IF(ISNUMBER(_xll.BDH(config!$G$4,W$1,$A390,$A390)),_xll.BDH(config!$G$4,W$1,$A390,$A390),_xll.BDH(config!$G$5,W$1,$A390,$A390))))</f>
        <v>#N/A Requesting Data...</v>
      </c>
    </row>
    <row r="391" spans="1:23" x14ac:dyDescent="0.2">
      <c r="A391" s="9">
        <f>IF(A390="","",IF(WORKDAY(A390,-1,config_Holiday_Calendar_US)&lt;config!$I$10,"",WORKDAY(A390,-1,config_Holiday_Calendar_US)))</f>
        <v>42262</v>
      </c>
      <c r="B391" s="8" t="e">
        <f t="shared" si="6"/>
        <v>#VALUE!</v>
      </c>
      <c r="C391" s="8" t="str">
        <f>IF(A391="","",_xll.BDH(config!$H$4,C$1,$A391,$A391))</f>
        <v>#N/A Requesting Data...</v>
      </c>
      <c r="D391" s="8" t="str">
        <f>IF($A391="","",_xll.BDH(config!$H$4,D$1,$A391,$A391))</f>
        <v>#N/A Requesting Data...</v>
      </c>
      <c r="E391" s="8">
        <f>IF($A391="","",IF(ISNUMBER(FIND("IMPVOL",E$1)),_xll.BDH(config!$G$4,E$1,WORKDAY($A391,-1,config_Holiday_Calendar_US),WORKDAY($A391,-1,config_Holiday_Calendar_US)),IF(ISNUMBER(_xll.BDH(config!$G$4,E$1,$A391,$A391)),_xll.BDH(config!$G$4,E$1,$A391,$A391),_xll.BDH(config!$G$5,E$1,$A391,$A391))))</f>
        <v>44.11</v>
      </c>
      <c r="F391" s="8">
        <f>IF($A391="","",IF(ISNUMBER(FIND("IMPVOL",F$1)),_xll.BDH(config!$G$4,F$1,WORKDAY($A391,-1,config_Holiday_Calendar_US),WORKDAY($A391,-1,config_Holiday_Calendar_US)),IF(ISNUMBER(_xll.BDH(config!$G$4,F$1,$A391,$A391)),_xll.BDH(config!$G$4,F$1,$A391,$A391),_xll.BDH(config!$G$5,F$1,$A391,$A391))))</f>
        <v>45.25</v>
      </c>
      <c r="G391" s="8">
        <f>IF($A391="","",IF(ISNUMBER(FIND("IMPVOL",G$1)),_xll.BDH(config!$G$4,G$1,WORKDAY($A391,-1,config_Holiday_Calendar_US),WORKDAY($A391,-1,config_Holiday_Calendar_US)),IF(ISNUMBER(_xll.BDH(config!$G$4,G$1,$A391,$A391)),_xll.BDH(config!$G$4,G$1,$A391,$A391),_xll.BDH(config!$G$5,G$1,$A391,$A391))))</f>
        <v>44.35</v>
      </c>
      <c r="H391" s="8">
        <f>IF($A391="","",IF(ISNUMBER(FIND("IMPVOL",H$1)),_xll.BDH(config!$G$4,H$1,WORKDAY($A391,-1,config_Holiday_Calendar_US),WORKDAY($A391,-1,config_Holiday_Calendar_US)),IF(ISNUMBER(_xll.BDH(config!$G$4,H$1,$A391,$A391)),_xll.BDH(config!$G$4,H$1,$A391,$A391),_xll.BDH(config!$G$5,H$1,$A391,$A391))))</f>
        <v>170349</v>
      </c>
      <c r="I391" s="8" t="str">
        <f>IF($A391="","",IF(ISNUMBER(FIND("IMPVOL",I$1)),_xll.BDH(config!$G$4,I$1,WORKDAY($A391,-1,config_Holiday_Calendar_US),WORKDAY($A391,-1,config_Holiday_Calendar_US)),IF(ISNUMBER(_xll.BDH(config!$G$4,I$1,$A391,$A391)),_xll.BDH(config!$G$4,I$1,$A391,$A391),_xll.BDH(config!$G$5,I$1,$A391,$A391))))</f>
        <v>#N/A Requesting Data...</v>
      </c>
      <c r="J391" s="8" t="str">
        <f>IF($A391="","",IF(ISNUMBER(FIND("IMPVOL",J$1)),_xll.BDH(config!$G$4,J$1,WORKDAY($A391,-1,config_Holiday_Calendar_US),WORKDAY($A391,-1,config_Holiday_Calendar_US)),IF(ISNUMBER(_xll.BDH(config!$G$4,J$1,$A391,$A391)),_xll.BDH(config!$G$4,J$1,$A391,$A391),_xll.BDH(config!$G$5,J$1,$A391,$A391))))</f>
        <v>#N/A Requesting Data...</v>
      </c>
      <c r="K391" s="8" t="str">
        <f>IF($A391="","",IF(ISNUMBER(FIND("IMPVOL",K$1)),_xll.BDH(config!$G$4,K$1,WORKDAY($A391,-1,config_Holiday_Calendar_US),WORKDAY($A391,-1,config_Holiday_Calendar_US)),IF(ISNUMBER(_xll.BDH(config!$G$4,K$1,$A391,$A391)),_xll.BDH(config!$G$4,K$1,$A391,$A391),_xll.BDH(config!$G$5,K$1,$A391,$A391))))</f>
        <v>#N/A Requesting Data...</v>
      </c>
      <c r="L391" s="8" t="str">
        <f>IF($A391="","",IF(ISNUMBER(FIND("IMPVOL",L$1)),_xll.BDH(config!$G$4,L$1,WORKDAY($A391,-1,config_Holiday_Calendar_US),WORKDAY($A391,-1,config_Holiday_Calendar_US)),IF(ISNUMBER(_xll.BDH(config!$G$4,L$1,$A391,$A391)),_xll.BDH(config!$G$4,L$1,$A391,$A391),_xll.BDH(config!$G$5,L$1,$A391,$A391))))</f>
        <v>#N/A Requesting Data...</v>
      </c>
      <c r="M391" s="8" t="str">
        <f>IF($A391="","",IF(ISNUMBER(FIND("IMPVOL",M$1)),_xll.BDH(config!$G$4,M$1,WORKDAY($A391,-1,config_Holiday_Calendar_US),WORKDAY($A391,-1,config_Holiday_Calendar_US)),IF(ISNUMBER(_xll.BDH(config!$G$4,M$1,$A391,$A391)),_xll.BDH(config!$G$4,M$1,$A391,$A391),_xll.BDH(config!$G$5,M$1,$A391,$A391))))</f>
        <v>#N/A Requesting Data...</v>
      </c>
      <c r="N391" s="8" t="str">
        <f>IF($A391="","",IF(ISNUMBER(FIND("IMPVOL",N$1)),_xll.BDH(config!$G$4,N$1,WORKDAY($A391,-1,config_Holiday_Calendar_US),WORKDAY($A391,-1,config_Holiday_Calendar_US)),IF(ISNUMBER(_xll.BDH(config!$G$4,N$1,$A391,$A391)),_xll.BDH(config!$G$4,N$1,$A391,$A391),_xll.BDH(config!$G$5,N$1,$A391,$A391))))</f>
        <v>#N/A Requesting Data...</v>
      </c>
      <c r="O391" s="8" t="str">
        <f>IF($A391="","",IF(ISNUMBER(FIND("IMPVOL",O$1)),_xll.BDH(config!$G$4,O$1,WORKDAY($A391,-1,config_Holiday_Calendar_US),WORKDAY($A391,-1,config_Holiday_Calendar_US)),IF(ISNUMBER(_xll.BDH(config!$G$4,O$1,$A391,$A391)),_xll.BDH(config!$G$4,O$1,$A391,$A391),_xll.BDH(config!$G$5,O$1,$A391,$A391))))</f>
        <v>#N/A Requesting Data...</v>
      </c>
      <c r="P391" s="8" t="str">
        <f>IF($A391="","",IF(ISNUMBER(FIND("IMPVOL",P$1)),_xll.BDH(config!$G$4,P$1,WORKDAY($A391,-1,config_Holiday_Calendar_US),WORKDAY($A391,-1,config_Holiday_Calendar_US)),IF(ISNUMBER(_xll.BDH(config!$G$4,P$1,$A391,$A391)),_xll.BDH(config!$G$4,P$1,$A391,$A391),_xll.BDH(config!$G$5,P$1,$A391,$A391))))</f>
        <v>#N/A Requesting Data...</v>
      </c>
      <c r="Q391" s="8">
        <f>IF($A391="","",IF(ISNUMBER(FIND("IMPVOL",Q$1)),_xll.BDH(config!$G$4,Q$1,WORKDAY($A391,-1,config_Holiday_Calendar_US),WORKDAY($A391,-1,config_Holiday_Calendar_US)),IF(ISNUMBER(_xll.BDH(config!$G$4,Q$1,$A391,$A391)),_xll.BDH(config!$G$4,Q$1,$A391,$A391),_xll.BDH(config!$G$5,Q$1,$A391,$A391))))</f>
        <v>38.75</v>
      </c>
      <c r="R391" s="8">
        <f>IF($A391="","",IF(ISNUMBER(FIND("IMPVOL",R$1)),_xll.BDH(config!$G$4,R$1,WORKDAY($A391,-1,config_Holiday_Calendar_US),WORKDAY($A391,-1,config_Holiday_Calendar_US)),IF(ISNUMBER(_xll.BDH(config!$G$4,R$1,$A391,$A391)),_xll.BDH(config!$G$4,R$1,$A391,$A391),_xll.BDH(config!$G$5,R$1,$A391,$A391))))</f>
        <v>61.67</v>
      </c>
      <c r="S391" s="8" t="str">
        <f>IF($A391="","",IF(ISNUMBER(FIND("IMPVOL",S$1)),_xll.BDH(config!$G$4,S$1,WORKDAY($A391,-1,config_Holiday_Calendar_US),WORKDAY($A391,-1,config_Holiday_Calendar_US)),IF(ISNUMBER(_xll.BDH(config!$G$4,S$1,$A391,$A391)),_xll.BDH(config!$G$4,S$1,$A391,$A391),_xll.BDH(config!$G$5,S$1,$A391,$A391))))</f>
        <v>#N/A Requesting Data...</v>
      </c>
      <c r="T391" s="8" t="str">
        <f>IF($A391="","",IF(ISNUMBER(FIND("IMPVOL",T$1)),_xll.BDH(config!$G$4,T$1,WORKDAY($A391,-1,config_Holiday_Calendar_US),WORKDAY($A391,-1,config_Holiday_Calendar_US)),IF(ISNUMBER(_xll.BDH(config!$G$4,T$1,$A391,$A391)),_xll.BDH(config!$G$4,T$1,$A391,$A391),_xll.BDH(config!$G$5,T$1,$A391,$A391))))</f>
        <v>#N/A Requesting Data...</v>
      </c>
      <c r="U391" s="8" t="str">
        <f>IF($A391="","",IF(ISNUMBER(FIND("IMPVOL",U$1)),_xll.BDH(config!$G$4,U$1,WORKDAY($A391,-1,config_Holiday_Calendar_US),WORKDAY($A391,-1,config_Holiday_Calendar_US)),IF(ISNUMBER(_xll.BDH(config!$G$4,U$1,$A391,$A391)),_xll.BDH(config!$G$4,U$1,$A391,$A391),_xll.BDH(config!$G$5,U$1,$A391,$A391))))</f>
        <v>#N/A Requesting Data...</v>
      </c>
      <c r="V391" s="8" t="str">
        <f>IF($A391="","",IF(ISNUMBER(FIND("IMPVOL",V$1)),_xll.BDH(config!$G$4,V$1,WORKDAY($A391,-1,config_Holiday_Calendar_US),WORKDAY($A391,-1,config_Holiday_Calendar_US)),IF(ISNUMBER(_xll.BDH(config!$G$4,V$1,$A391,$A391)),_xll.BDH(config!$G$4,V$1,$A391,$A391),_xll.BDH(config!$G$5,V$1,$A391,$A391))))</f>
        <v>#N/A Requesting Data...</v>
      </c>
      <c r="W391" s="8" t="str">
        <f>IF($A391="","",IF(ISNUMBER(FIND("IMPVOL",W$1)),_xll.BDH(config!$G$4,W$1,WORKDAY($A391,-1,config_Holiday_Calendar_US),WORKDAY($A391,-1,config_Holiday_Calendar_US)),IF(ISNUMBER(_xll.BDH(config!$G$4,W$1,$A391,$A391)),_xll.BDH(config!$G$4,W$1,$A391,$A391),_xll.BDH(config!$G$5,W$1,$A391,$A391))))</f>
        <v>#N/A Requesting Data...</v>
      </c>
    </row>
    <row r="392" spans="1:23" x14ac:dyDescent="0.2">
      <c r="A392" s="9">
        <f>IF(A391="","",IF(WORKDAY(A391,-1,config_Holiday_Calendar_US)&lt;config!$I$10,"",WORKDAY(A391,-1,config_Holiday_Calendar_US)))</f>
        <v>42261</v>
      </c>
      <c r="B392" s="8" t="e">
        <f t="shared" si="6"/>
        <v>#VALUE!</v>
      </c>
      <c r="C392" s="8" t="str">
        <f>IF(A392="","",_xll.BDH(config!$H$4,C$1,$A392,$A392))</f>
        <v>#N/A Requesting Data...</v>
      </c>
      <c r="D392" s="8" t="str">
        <f>IF($A392="","",_xll.BDH(config!$H$4,D$1,$A392,$A392))</f>
        <v>#N/A Requesting Data...</v>
      </c>
      <c r="E392" s="8">
        <f>IF($A392="","",IF(ISNUMBER(FIND("IMPVOL",E$1)),_xll.BDH(config!$G$4,E$1,WORKDAY($A392,-1,config_Holiday_Calendar_US),WORKDAY($A392,-1,config_Holiday_Calendar_US)),IF(ISNUMBER(_xll.BDH(config!$G$4,E$1,$A392,$A392)),_xll.BDH(config!$G$4,E$1,$A392,$A392),_xll.BDH(config!$G$5,E$1,$A392,$A392))))</f>
        <v>44.78</v>
      </c>
      <c r="F392" s="8">
        <f>IF($A392="","",IF(ISNUMBER(FIND("IMPVOL",F$1)),_xll.BDH(config!$G$4,F$1,WORKDAY($A392,-1,config_Holiday_Calendar_US),WORKDAY($A392,-1,config_Holiday_Calendar_US)),IF(ISNUMBER(_xll.BDH(config!$G$4,F$1,$A392,$A392)),_xll.BDH(config!$G$4,F$1,$A392,$A392),_xll.BDH(config!$G$5,F$1,$A392,$A392))))</f>
        <v>44.97</v>
      </c>
      <c r="G392" s="8">
        <f>IF($A392="","",IF(ISNUMBER(FIND("IMPVOL",G$1)),_xll.BDH(config!$G$4,G$1,WORKDAY($A392,-1,config_Holiday_Calendar_US),WORKDAY($A392,-1,config_Holiday_Calendar_US)),IF(ISNUMBER(_xll.BDH(config!$G$4,G$1,$A392,$A392)),_xll.BDH(config!$G$4,G$1,$A392,$A392),_xll.BDH(config!$G$5,G$1,$A392,$A392))))</f>
        <v>44.09</v>
      </c>
      <c r="H392" s="8">
        <f>IF($A392="","",IF(ISNUMBER(FIND("IMPVOL",H$1)),_xll.BDH(config!$G$4,H$1,WORKDAY($A392,-1,config_Holiday_Calendar_US),WORKDAY($A392,-1,config_Holiday_Calendar_US)),IF(ISNUMBER(_xll.BDH(config!$G$4,H$1,$A392,$A392)),_xll.BDH(config!$G$4,H$1,$A392,$A392),_xll.BDH(config!$G$5,H$1,$A392,$A392))))</f>
        <v>171247</v>
      </c>
      <c r="I392" s="8" t="str">
        <f>IF($A392="","",IF(ISNUMBER(FIND("IMPVOL",I$1)),_xll.BDH(config!$G$4,I$1,WORKDAY($A392,-1,config_Holiday_Calendar_US),WORKDAY($A392,-1,config_Holiday_Calendar_US)),IF(ISNUMBER(_xll.BDH(config!$G$4,I$1,$A392,$A392)),_xll.BDH(config!$G$4,I$1,$A392,$A392),_xll.BDH(config!$G$5,I$1,$A392,$A392))))</f>
        <v>#N/A Requesting Data...</v>
      </c>
      <c r="J392" s="8" t="str">
        <f>IF($A392="","",IF(ISNUMBER(FIND("IMPVOL",J$1)),_xll.BDH(config!$G$4,J$1,WORKDAY($A392,-1,config_Holiday_Calendar_US),WORKDAY($A392,-1,config_Holiday_Calendar_US)),IF(ISNUMBER(_xll.BDH(config!$G$4,J$1,$A392,$A392)),_xll.BDH(config!$G$4,J$1,$A392,$A392),_xll.BDH(config!$G$5,J$1,$A392,$A392))))</f>
        <v>#N/A Requesting Data...</v>
      </c>
      <c r="K392" s="8" t="str">
        <f>IF($A392="","",IF(ISNUMBER(FIND("IMPVOL",K$1)),_xll.BDH(config!$G$4,K$1,WORKDAY($A392,-1,config_Holiday_Calendar_US),WORKDAY($A392,-1,config_Holiday_Calendar_US)),IF(ISNUMBER(_xll.BDH(config!$G$4,K$1,$A392,$A392)),_xll.BDH(config!$G$4,K$1,$A392,$A392),_xll.BDH(config!$G$5,K$1,$A392,$A392))))</f>
        <v>#N/A Requesting Data...</v>
      </c>
      <c r="L392" s="8" t="str">
        <f>IF($A392="","",IF(ISNUMBER(FIND("IMPVOL",L$1)),_xll.BDH(config!$G$4,L$1,WORKDAY($A392,-1,config_Holiday_Calendar_US),WORKDAY($A392,-1,config_Holiday_Calendar_US)),IF(ISNUMBER(_xll.BDH(config!$G$4,L$1,$A392,$A392)),_xll.BDH(config!$G$4,L$1,$A392,$A392),_xll.BDH(config!$G$5,L$1,$A392,$A392))))</f>
        <v>#N/A Requesting Data...</v>
      </c>
      <c r="M392" s="8" t="str">
        <f>IF($A392="","",IF(ISNUMBER(FIND("IMPVOL",M$1)),_xll.BDH(config!$G$4,M$1,WORKDAY($A392,-1,config_Holiday_Calendar_US),WORKDAY($A392,-1,config_Holiday_Calendar_US)),IF(ISNUMBER(_xll.BDH(config!$G$4,M$1,$A392,$A392)),_xll.BDH(config!$G$4,M$1,$A392,$A392),_xll.BDH(config!$G$5,M$1,$A392,$A392))))</f>
        <v>#N/A Requesting Data...</v>
      </c>
      <c r="N392" s="8" t="str">
        <f>IF($A392="","",IF(ISNUMBER(FIND("IMPVOL",N$1)),_xll.BDH(config!$G$4,N$1,WORKDAY($A392,-1,config_Holiday_Calendar_US),WORKDAY($A392,-1,config_Holiday_Calendar_US)),IF(ISNUMBER(_xll.BDH(config!$G$4,N$1,$A392,$A392)),_xll.BDH(config!$G$4,N$1,$A392,$A392),_xll.BDH(config!$G$5,N$1,$A392,$A392))))</f>
        <v>#N/A Requesting Data...</v>
      </c>
      <c r="O392" s="8" t="str">
        <f>IF($A392="","",IF(ISNUMBER(FIND("IMPVOL",O$1)),_xll.BDH(config!$G$4,O$1,WORKDAY($A392,-1,config_Holiday_Calendar_US),WORKDAY($A392,-1,config_Holiday_Calendar_US)),IF(ISNUMBER(_xll.BDH(config!$G$4,O$1,$A392,$A392)),_xll.BDH(config!$G$4,O$1,$A392,$A392),_xll.BDH(config!$G$5,O$1,$A392,$A392))))</f>
        <v>#N/A Requesting Data...</v>
      </c>
      <c r="P392" s="8" t="str">
        <f>IF($A392="","",IF(ISNUMBER(FIND("IMPVOL",P$1)),_xll.BDH(config!$G$4,P$1,WORKDAY($A392,-1,config_Holiday_Calendar_US),WORKDAY($A392,-1,config_Holiday_Calendar_US)),IF(ISNUMBER(_xll.BDH(config!$G$4,P$1,$A392,$A392)),_xll.BDH(config!$G$4,P$1,$A392,$A392),_xll.BDH(config!$G$5,P$1,$A392,$A392))))</f>
        <v>#N/A Requesting Data...</v>
      </c>
      <c r="Q392" s="8">
        <f>IF($A392="","",IF(ISNUMBER(FIND("IMPVOL",Q$1)),_xll.BDH(config!$G$4,Q$1,WORKDAY($A392,-1,config_Holiday_Calendar_US),WORKDAY($A392,-1,config_Holiday_Calendar_US)),IF(ISNUMBER(_xll.BDH(config!$G$4,Q$1,$A392,$A392)),_xll.BDH(config!$G$4,Q$1,$A392,$A392),_xll.BDH(config!$G$5,Q$1,$A392,$A392))))</f>
        <v>56</v>
      </c>
      <c r="R392" s="8">
        <f>IF($A392="","",IF(ISNUMBER(FIND("IMPVOL",R$1)),_xll.BDH(config!$G$4,R$1,WORKDAY($A392,-1,config_Holiday_Calendar_US),WORKDAY($A392,-1,config_Holiday_Calendar_US)),IF(ISNUMBER(_xll.BDH(config!$G$4,R$1,$A392,$A392)),_xll.BDH(config!$G$4,R$1,$A392,$A392),_xll.BDH(config!$G$5,R$1,$A392,$A392))))</f>
        <v>61.67</v>
      </c>
      <c r="S392" s="8" t="str">
        <f>IF($A392="","",IF(ISNUMBER(FIND("IMPVOL",S$1)),_xll.BDH(config!$G$4,S$1,WORKDAY($A392,-1,config_Holiday_Calendar_US),WORKDAY($A392,-1,config_Holiday_Calendar_US)),IF(ISNUMBER(_xll.BDH(config!$G$4,S$1,$A392,$A392)),_xll.BDH(config!$G$4,S$1,$A392,$A392),_xll.BDH(config!$G$5,S$1,$A392,$A392))))</f>
        <v>#N/A Requesting Data...</v>
      </c>
      <c r="T392" s="8" t="str">
        <f>IF($A392="","",IF(ISNUMBER(FIND("IMPVOL",T$1)),_xll.BDH(config!$G$4,T$1,WORKDAY($A392,-1,config_Holiday_Calendar_US),WORKDAY($A392,-1,config_Holiday_Calendar_US)),IF(ISNUMBER(_xll.BDH(config!$G$4,T$1,$A392,$A392)),_xll.BDH(config!$G$4,T$1,$A392,$A392),_xll.BDH(config!$G$5,T$1,$A392,$A392))))</f>
        <v>#N/A Requesting Data...</v>
      </c>
      <c r="U392" s="8" t="str">
        <f>IF($A392="","",IF(ISNUMBER(FIND("IMPVOL",U$1)),_xll.BDH(config!$G$4,U$1,WORKDAY($A392,-1,config_Holiday_Calendar_US),WORKDAY($A392,-1,config_Holiday_Calendar_US)),IF(ISNUMBER(_xll.BDH(config!$G$4,U$1,$A392,$A392)),_xll.BDH(config!$G$4,U$1,$A392,$A392),_xll.BDH(config!$G$5,U$1,$A392,$A392))))</f>
        <v>#N/A Requesting Data...</v>
      </c>
      <c r="V392" s="8" t="str">
        <f>IF($A392="","",IF(ISNUMBER(FIND("IMPVOL",V$1)),_xll.BDH(config!$G$4,V$1,WORKDAY($A392,-1,config_Holiday_Calendar_US),WORKDAY($A392,-1,config_Holiday_Calendar_US)),IF(ISNUMBER(_xll.BDH(config!$G$4,V$1,$A392,$A392)),_xll.BDH(config!$G$4,V$1,$A392,$A392),_xll.BDH(config!$G$5,V$1,$A392,$A392))))</f>
        <v>#N/A Requesting Data...</v>
      </c>
      <c r="W392" s="8" t="str">
        <f>IF($A392="","",IF(ISNUMBER(FIND("IMPVOL",W$1)),_xll.BDH(config!$G$4,W$1,WORKDAY($A392,-1,config_Holiday_Calendar_US),WORKDAY($A392,-1,config_Holiday_Calendar_US)),IF(ISNUMBER(_xll.BDH(config!$G$4,W$1,$A392,$A392)),_xll.BDH(config!$G$4,W$1,$A392,$A392),_xll.BDH(config!$G$5,W$1,$A392,$A392))))</f>
        <v>#N/A Requesting Data...</v>
      </c>
    </row>
    <row r="393" spans="1:23" x14ac:dyDescent="0.2">
      <c r="A393" s="9">
        <f>IF(A392="","",IF(WORKDAY(A392,-1,config_Holiday_Calendar_US)&lt;config!$I$10,"",WORKDAY(A392,-1,config_Holiday_Calendar_US)))</f>
        <v>42258</v>
      </c>
      <c r="B393" s="8" t="e">
        <f t="shared" si="6"/>
        <v>#VALUE!</v>
      </c>
      <c r="C393" s="8" t="str">
        <f>IF(A393="","",_xll.BDH(config!$H$4,C$1,$A393,$A393))</f>
        <v>#N/A Requesting Data...</v>
      </c>
      <c r="D393" s="8" t="str">
        <f>IF($A393="","",_xll.BDH(config!$H$4,D$1,$A393,$A393))</f>
        <v>#N/A Requesting Data...</v>
      </c>
      <c r="E393" s="8">
        <f>IF($A393="","",IF(ISNUMBER(FIND("IMPVOL",E$1)),_xll.BDH(config!$G$4,E$1,WORKDAY($A393,-1,config_Holiday_Calendar_US),WORKDAY($A393,-1,config_Holiday_Calendar_US)),IF(ISNUMBER(_xll.BDH(config!$G$4,E$1,$A393,$A393)),_xll.BDH(config!$G$4,E$1,$A393,$A393),_xll.BDH(config!$G$5,E$1,$A393,$A393))))</f>
        <v>45.71</v>
      </c>
      <c r="F393" s="8">
        <f>IF($A393="","",IF(ISNUMBER(FIND("IMPVOL",F$1)),_xll.BDH(config!$G$4,F$1,WORKDAY($A393,-1,config_Holiday_Calendar_US),WORKDAY($A393,-1,config_Holiday_Calendar_US)),IF(ISNUMBER(_xll.BDH(config!$G$4,F$1,$A393,$A393)),_xll.BDH(config!$G$4,F$1,$A393,$A393),_xll.BDH(config!$G$5,F$1,$A393,$A393))))</f>
        <v>45.88</v>
      </c>
      <c r="G393" s="8">
        <f>IF($A393="","",IF(ISNUMBER(FIND("IMPVOL",G$1)),_xll.BDH(config!$G$4,G$1,WORKDAY($A393,-1,config_Holiday_Calendar_US),WORKDAY($A393,-1,config_Holiday_Calendar_US)),IF(ISNUMBER(_xll.BDH(config!$G$4,G$1,$A393,$A393)),_xll.BDH(config!$G$4,G$1,$A393,$A393),_xll.BDH(config!$G$5,G$1,$A393,$A393))))</f>
        <v>44.66</v>
      </c>
      <c r="H393" s="8">
        <f>IF($A393="","",IF(ISNUMBER(FIND("IMPVOL",H$1)),_xll.BDH(config!$G$4,H$1,WORKDAY($A393,-1,config_Holiday_Calendar_US),WORKDAY($A393,-1,config_Holiday_Calendar_US)),IF(ISNUMBER(_xll.BDH(config!$G$4,H$1,$A393,$A393)),_xll.BDH(config!$G$4,H$1,$A393,$A393),_xll.BDH(config!$G$5,H$1,$A393,$A393))))</f>
        <v>168383</v>
      </c>
      <c r="I393" s="8" t="str">
        <f>IF($A393="","",IF(ISNUMBER(FIND("IMPVOL",I$1)),_xll.BDH(config!$G$4,I$1,WORKDAY($A393,-1,config_Holiday_Calendar_US),WORKDAY($A393,-1,config_Holiday_Calendar_US)),IF(ISNUMBER(_xll.BDH(config!$G$4,I$1,$A393,$A393)),_xll.BDH(config!$G$4,I$1,$A393,$A393),_xll.BDH(config!$G$5,I$1,$A393,$A393))))</f>
        <v>#N/A Requesting Data...</v>
      </c>
      <c r="J393" s="8" t="str">
        <f>IF($A393="","",IF(ISNUMBER(FIND("IMPVOL",J$1)),_xll.BDH(config!$G$4,J$1,WORKDAY($A393,-1,config_Holiday_Calendar_US),WORKDAY($A393,-1,config_Holiday_Calendar_US)),IF(ISNUMBER(_xll.BDH(config!$G$4,J$1,$A393,$A393)),_xll.BDH(config!$G$4,J$1,$A393,$A393),_xll.BDH(config!$G$5,J$1,$A393,$A393))))</f>
        <v>#N/A Requesting Data...</v>
      </c>
      <c r="K393" s="8" t="str">
        <f>IF($A393="","",IF(ISNUMBER(FIND("IMPVOL",K$1)),_xll.BDH(config!$G$4,K$1,WORKDAY($A393,-1,config_Holiday_Calendar_US),WORKDAY($A393,-1,config_Holiday_Calendar_US)),IF(ISNUMBER(_xll.BDH(config!$G$4,K$1,$A393,$A393)),_xll.BDH(config!$G$4,K$1,$A393,$A393),_xll.BDH(config!$G$5,K$1,$A393,$A393))))</f>
        <v>#N/A Requesting Data...</v>
      </c>
      <c r="L393" s="8" t="str">
        <f>IF($A393="","",IF(ISNUMBER(FIND("IMPVOL",L$1)),_xll.BDH(config!$G$4,L$1,WORKDAY($A393,-1,config_Holiday_Calendar_US),WORKDAY($A393,-1,config_Holiday_Calendar_US)),IF(ISNUMBER(_xll.BDH(config!$G$4,L$1,$A393,$A393)),_xll.BDH(config!$G$4,L$1,$A393,$A393),_xll.BDH(config!$G$5,L$1,$A393,$A393))))</f>
        <v>#N/A Requesting Data...</v>
      </c>
      <c r="M393" s="8" t="str">
        <f>IF($A393="","",IF(ISNUMBER(FIND("IMPVOL",M$1)),_xll.BDH(config!$G$4,M$1,WORKDAY($A393,-1,config_Holiday_Calendar_US),WORKDAY($A393,-1,config_Holiday_Calendar_US)),IF(ISNUMBER(_xll.BDH(config!$G$4,M$1,$A393,$A393)),_xll.BDH(config!$G$4,M$1,$A393,$A393),_xll.BDH(config!$G$5,M$1,$A393,$A393))))</f>
        <v>#N/A Requesting Data...</v>
      </c>
      <c r="N393" s="8" t="str">
        <f>IF($A393="","",IF(ISNUMBER(FIND("IMPVOL",N$1)),_xll.BDH(config!$G$4,N$1,WORKDAY($A393,-1,config_Holiday_Calendar_US),WORKDAY($A393,-1,config_Holiday_Calendar_US)),IF(ISNUMBER(_xll.BDH(config!$G$4,N$1,$A393,$A393)),_xll.BDH(config!$G$4,N$1,$A393,$A393),_xll.BDH(config!$G$5,N$1,$A393,$A393))))</f>
        <v>#N/A Requesting Data...</v>
      </c>
      <c r="O393" s="8" t="str">
        <f>IF($A393="","",IF(ISNUMBER(FIND("IMPVOL",O$1)),_xll.BDH(config!$G$4,O$1,WORKDAY($A393,-1,config_Holiday_Calendar_US),WORKDAY($A393,-1,config_Holiday_Calendar_US)),IF(ISNUMBER(_xll.BDH(config!$G$4,O$1,$A393,$A393)),_xll.BDH(config!$G$4,O$1,$A393,$A393),_xll.BDH(config!$G$5,O$1,$A393,$A393))))</f>
        <v>#N/A Requesting Data...</v>
      </c>
      <c r="P393" s="8" t="str">
        <f>IF($A393="","",IF(ISNUMBER(FIND("IMPVOL",P$1)),_xll.BDH(config!$G$4,P$1,WORKDAY($A393,-1,config_Holiday_Calendar_US),WORKDAY($A393,-1,config_Holiday_Calendar_US)),IF(ISNUMBER(_xll.BDH(config!$G$4,P$1,$A393,$A393)),_xll.BDH(config!$G$4,P$1,$A393,$A393),_xll.BDH(config!$G$5,P$1,$A393,$A393))))</f>
        <v>#N/A Requesting Data...</v>
      </c>
      <c r="Q393" s="8">
        <f>IF($A393="","",IF(ISNUMBER(FIND("IMPVOL",Q$1)),_xll.BDH(config!$G$4,Q$1,WORKDAY($A393,-1,config_Holiday_Calendar_US),WORKDAY($A393,-1,config_Holiday_Calendar_US)),IF(ISNUMBER(_xll.BDH(config!$G$4,Q$1,$A393,$A393)),_xll.BDH(config!$G$4,Q$1,$A393,$A393),_xll.BDH(config!$G$5,Q$1,$A393,$A393))))</f>
        <v>75.75</v>
      </c>
      <c r="R393" s="8">
        <f>IF($A393="","",IF(ISNUMBER(FIND("IMPVOL",R$1)),_xll.BDH(config!$G$4,R$1,WORKDAY($A393,-1,config_Holiday_Calendar_US),WORKDAY($A393,-1,config_Holiday_Calendar_US)),IF(ISNUMBER(_xll.BDH(config!$G$4,R$1,$A393,$A393)),_xll.BDH(config!$G$4,R$1,$A393,$A393),_xll.BDH(config!$G$5,R$1,$A393,$A393))))</f>
        <v>62.76</v>
      </c>
      <c r="S393" s="8" t="str">
        <f>IF($A393="","",IF(ISNUMBER(FIND("IMPVOL",S$1)),_xll.BDH(config!$G$4,S$1,WORKDAY($A393,-1,config_Holiday_Calendar_US),WORKDAY($A393,-1,config_Holiday_Calendar_US)),IF(ISNUMBER(_xll.BDH(config!$G$4,S$1,$A393,$A393)),_xll.BDH(config!$G$4,S$1,$A393,$A393),_xll.BDH(config!$G$5,S$1,$A393,$A393))))</f>
        <v>#N/A Requesting Data...</v>
      </c>
      <c r="T393" s="8" t="str">
        <f>IF($A393="","",IF(ISNUMBER(FIND("IMPVOL",T$1)),_xll.BDH(config!$G$4,T$1,WORKDAY($A393,-1,config_Holiday_Calendar_US),WORKDAY($A393,-1,config_Holiday_Calendar_US)),IF(ISNUMBER(_xll.BDH(config!$G$4,T$1,$A393,$A393)),_xll.BDH(config!$G$4,T$1,$A393,$A393),_xll.BDH(config!$G$5,T$1,$A393,$A393))))</f>
        <v>#N/A Requesting Data...</v>
      </c>
      <c r="U393" s="8" t="str">
        <f>IF($A393="","",IF(ISNUMBER(FIND("IMPVOL",U$1)),_xll.BDH(config!$G$4,U$1,WORKDAY($A393,-1,config_Holiday_Calendar_US),WORKDAY($A393,-1,config_Holiday_Calendar_US)),IF(ISNUMBER(_xll.BDH(config!$G$4,U$1,$A393,$A393)),_xll.BDH(config!$G$4,U$1,$A393,$A393),_xll.BDH(config!$G$5,U$1,$A393,$A393))))</f>
        <v>#N/A Requesting Data...</v>
      </c>
      <c r="V393" s="8" t="str">
        <f>IF($A393="","",IF(ISNUMBER(FIND("IMPVOL",V$1)),_xll.BDH(config!$G$4,V$1,WORKDAY($A393,-1,config_Holiday_Calendar_US),WORKDAY($A393,-1,config_Holiday_Calendar_US)),IF(ISNUMBER(_xll.BDH(config!$G$4,V$1,$A393,$A393)),_xll.BDH(config!$G$4,V$1,$A393,$A393),_xll.BDH(config!$G$5,V$1,$A393,$A393))))</f>
        <v>#N/A Requesting Data...</v>
      </c>
      <c r="W393" s="8" t="str">
        <f>IF($A393="","",IF(ISNUMBER(FIND("IMPVOL",W$1)),_xll.BDH(config!$G$4,W$1,WORKDAY($A393,-1,config_Holiday_Calendar_US),WORKDAY($A393,-1,config_Holiday_Calendar_US)),IF(ISNUMBER(_xll.BDH(config!$G$4,W$1,$A393,$A393)),_xll.BDH(config!$G$4,W$1,$A393,$A393),_xll.BDH(config!$G$5,W$1,$A393,$A393))))</f>
        <v>#N/A Requesting Data...</v>
      </c>
    </row>
    <row r="394" spans="1:23" x14ac:dyDescent="0.2">
      <c r="A394" s="9">
        <f>IF(A393="","",IF(WORKDAY(A393,-1,config_Holiday_Calendar_US)&lt;config!$I$10,"",WORKDAY(A393,-1,config_Holiday_Calendar_US)))</f>
        <v>42257</v>
      </c>
      <c r="B394" s="8" t="e">
        <f t="shared" si="6"/>
        <v>#VALUE!</v>
      </c>
      <c r="C394" s="8" t="str">
        <f>IF(A394="","",_xll.BDH(config!$H$4,C$1,$A394,$A394))</f>
        <v>#N/A Requesting Data...</v>
      </c>
      <c r="D394" s="8" t="str">
        <f>IF($A394="","",_xll.BDH(config!$H$4,D$1,$A394,$A394))</f>
        <v>#N/A Requesting Data...</v>
      </c>
      <c r="E394" s="8">
        <f>IF($A394="","",IF(ISNUMBER(FIND("IMPVOL",E$1)),_xll.BDH(config!$G$4,E$1,WORKDAY($A394,-1,config_Holiday_Calendar_US),WORKDAY($A394,-1,config_Holiday_Calendar_US)),IF(ISNUMBER(_xll.BDH(config!$G$4,E$1,$A394,$A394)),_xll.BDH(config!$G$4,E$1,$A394,$A394),_xll.BDH(config!$G$5,E$1,$A394,$A394))))</f>
        <v>44.16</v>
      </c>
      <c r="F394" s="8">
        <f>IF($A394="","",IF(ISNUMBER(FIND("IMPVOL",F$1)),_xll.BDH(config!$G$4,F$1,WORKDAY($A394,-1,config_Holiday_Calendar_US),WORKDAY($A394,-1,config_Holiday_Calendar_US)),IF(ISNUMBER(_xll.BDH(config!$G$4,F$1,$A394,$A394)),_xll.BDH(config!$G$4,F$1,$A394,$A394),_xll.BDH(config!$G$5,F$1,$A394,$A394))))</f>
        <v>46.04</v>
      </c>
      <c r="G394" s="8">
        <f>IF($A394="","",IF(ISNUMBER(FIND("IMPVOL",G$1)),_xll.BDH(config!$G$4,G$1,WORKDAY($A394,-1,config_Holiday_Calendar_US),WORKDAY($A394,-1,config_Holiday_Calendar_US)),IF(ISNUMBER(_xll.BDH(config!$G$4,G$1,$A394,$A394)),_xll.BDH(config!$G$4,G$1,$A394,$A394),_xll.BDH(config!$G$5,G$1,$A394,$A394))))</f>
        <v>43.99</v>
      </c>
      <c r="H394" s="8">
        <f>IF($A394="","",IF(ISNUMBER(FIND("IMPVOL",H$1)),_xll.BDH(config!$G$4,H$1,WORKDAY($A394,-1,config_Holiday_Calendar_US),WORKDAY($A394,-1,config_Holiday_Calendar_US)),IF(ISNUMBER(_xll.BDH(config!$G$4,H$1,$A394,$A394)),_xll.BDH(config!$G$4,H$1,$A394,$A394),_xll.BDH(config!$G$5,H$1,$A394,$A394))))</f>
        <v>216751</v>
      </c>
      <c r="I394" s="8" t="str">
        <f>IF($A394="","",IF(ISNUMBER(FIND("IMPVOL",I$1)),_xll.BDH(config!$G$4,I$1,WORKDAY($A394,-1,config_Holiday_Calendar_US),WORKDAY($A394,-1,config_Holiday_Calendar_US)),IF(ISNUMBER(_xll.BDH(config!$G$4,I$1,$A394,$A394)),_xll.BDH(config!$G$4,I$1,$A394,$A394),_xll.BDH(config!$G$5,I$1,$A394,$A394))))</f>
        <v>#N/A Requesting Data...</v>
      </c>
      <c r="J394" s="8" t="str">
        <f>IF($A394="","",IF(ISNUMBER(FIND("IMPVOL",J$1)),_xll.BDH(config!$G$4,J$1,WORKDAY($A394,-1,config_Holiday_Calendar_US),WORKDAY($A394,-1,config_Holiday_Calendar_US)),IF(ISNUMBER(_xll.BDH(config!$G$4,J$1,$A394,$A394)),_xll.BDH(config!$G$4,J$1,$A394,$A394),_xll.BDH(config!$G$5,J$1,$A394,$A394))))</f>
        <v>#N/A Requesting Data...</v>
      </c>
      <c r="K394" s="8" t="str">
        <f>IF($A394="","",IF(ISNUMBER(FIND("IMPVOL",K$1)),_xll.BDH(config!$G$4,K$1,WORKDAY($A394,-1,config_Holiday_Calendar_US),WORKDAY($A394,-1,config_Holiday_Calendar_US)),IF(ISNUMBER(_xll.BDH(config!$G$4,K$1,$A394,$A394)),_xll.BDH(config!$G$4,K$1,$A394,$A394),_xll.BDH(config!$G$5,K$1,$A394,$A394))))</f>
        <v>#N/A Requesting Data...</v>
      </c>
      <c r="L394" s="8" t="str">
        <f>IF($A394="","",IF(ISNUMBER(FIND("IMPVOL",L$1)),_xll.BDH(config!$G$4,L$1,WORKDAY($A394,-1,config_Holiday_Calendar_US),WORKDAY($A394,-1,config_Holiday_Calendar_US)),IF(ISNUMBER(_xll.BDH(config!$G$4,L$1,$A394,$A394)),_xll.BDH(config!$G$4,L$1,$A394,$A394),_xll.BDH(config!$G$5,L$1,$A394,$A394))))</f>
        <v>#N/A Requesting Data...</v>
      </c>
      <c r="M394" s="8" t="str">
        <f>IF($A394="","",IF(ISNUMBER(FIND("IMPVOL",M$1)),_xll.BDH(config!$G$4,M$1,WORKDAY($A394,-1,config_Holiday_Calendar_US),WORKDAY($A394,-1,config_Holiday_Calendar_US)),IF(ISNUMBER(_xll.BDH(config!$G$4,M$1,$A394,$A394)),_xll.BDH(config!$G$4,M$1,$A394,$A394),_xll.BDH(config!$G$5,M$1,$A394,$A394))))</f>
        <v>#N/A Requesting Data...</v>
      </c>
      <c r="N394" s="8" t="str">
        <f>IF($A394="","",IF(ISNUMBER(FIND("IMPVOL",N$1)),_xll.BDH(config!$G$4,N$1,WORKDAY($A394,-1,config_Holiday_Calendar_US),WORKDAY($A394,-1,config_Holiday_Calendar_US)),IF(ISNUMBER(_xll.BDH(config!$G$4,N$1,$A394,$A394)),_xll.BDH(config!$G$4,N$1,$A394,$A394),_xll.BDH(config!$G$5,N$1,$A394,$A394))))</f>
        <v>#N/A Requesting Data...</v>
      </c>
      <c r="O394" s="8" t="str">
        <f>IF($A394="","",IF(ISNUMBER(FIND("IMPVOL",O$1)),_xll.BDH(config!$G$4,O$1,WORKDAY($A394,-1,config_Holiday_Calendar_US),WORKDAY($A394,-1,config_Holiday_Calendar_US)),IF(ISNUMBER(_xll.BDH(config!$G$4,O$1,$A394,$A394)),_xll.BDH(config!$G$4,O$1,$A394,$A394),_xll.BDH(config!$G$5,O$1,$A394,$A394))))</f>
        <v>#N/A Requesting Data...</v>
      </c>
      <c r="P394" s="8" t="str">
        <f>IF($A394="","",IF(ISNUMBER(FIND("IMPVOL",P$1)),_xll.BDH(config!$G$4,P$1,WORKDAY($A394,-1,config_Holiday_Calendar_US),WORKDAY($A394,-1,config_Holiday_Calendar_US)),IF(ISNUMBER(_xll.BDH(config!$G$4,P$1,$A394,$A394)),_xll.BDH(config!$G$4,P$1,$A394,$A394),_xll.BDH(config!$G$5,P$1,$A394,$A394))))</f>
        <v>#N/A Requesting Data...</v>
      </c>
      <c r="Q394" s="8">
        <f>IF($A394="","",IF(ISNUMBER(FIND("IMPVOL",Q$1)),_xll.BDH(config!$G$4,Q$1,WORKDAY($A394,-1,config_Holiday_Calendar_US),WORKDAY($A394,-1,config_Holiday_Calendar_US)),IF(ISNUMBER(_xll.BDH(config!$G$4,Q$1,$A394,$A394)),_xll.BDH(config!$G$4,Q$1,$A394,$A394),_xll.BDH(config!$G$5,Q$1,$A394,$A394))))</f>
        <v>80.23</v>
      </c>
      <c r="R394" s="8">
        <f>IF($A394="","",IF(ISNUMBER(FIND("IMPVOL",R$1)),_xll.BDH(config!$G$4,R$1,WORKDAY($A394,-1,config_Holiday_Calendar_US),WORKDAY($A394,-1,config_Holiday_Calendar_US)),IF(ISNUMBER(_xll.BDH(config!$G$4,R$1,$A394,$A394)),_xll.BDH(config!$G$4,R$1,$A394,$A394),_xll.BDH(config!$G$5,R$1,$A394,$A394))))</f>
        <v>62.78</v>
      </c>
      <c r="S394" s="8" t="str">
        <f>IF($A394="","",IF(ISNUMBER(FIND("IMPVOL",S$1)),_xll.BDH(config!$G$4,S$1,WORKDAY($A394,-1,config_Holiday_Calendar_US),WORKDAY($A394,-1,config_Holiday_Calendar_US)),IF(ISNUMBER(_xll.BDH(config!$G$4,S$1,$A394,$A394)),_xll.BDH(config!$G$4,S$1,$A394,$A394),_xll.BDH(config!$G$5,S$1,$A394,$A394))))</f>
        <v>#N/A Requesting Data...</v>
      </c>
      <c r="T394" s="8" t="str">
        <f>IF($A394="","",IF(ISNUMBER(FIND("IMPVOL",T$1)),_xll.BDH(config!$G$4,T$1,WORKDAY($A394,-1,config_Holiday_Calendar_US),WORKDAY($A394,-1,config_Holiday_Calendar_US)),IF(ISNUMBER(_xll.BDH(config!$G$4,T$1,$A394,$A394)),_xll.BDH(config!$G$4,T$1,$A394,$A394),_xll.BDH(config!$G$5,T$1,$A394,$A394))))</f>
        <v>#N/A Requesting Data...</v>
      </c>
      <c r="U394" s="8" t="str">
        <f>IF($A394="","",IF(ISNUMBER(FIND("IMPVOL",U$1)),_xll.BDH(config!$G$4,U$1,WORKDAY($A394,-1,config_Holiday_Calendar_US),WORKDAY($A394,-1,config_Holiday_Calendar_US)),IF(ISNUMBER(_xll.BDH(config!$G$4,U$1,$A394,$A394)),_xll.BDH(config!$G$4,U$1,$A394,$A394),_xll.BDH(config!$G$5,U$1,$A394,$A394))))</f>
        <v>#N/A Requesting Data...</v>
      </c>
      <c r="V394" s="8" t="str">
        <f>IF($A394="","",IF(ISNUMBER(FIND("IMPVOL",V$1)),_xll.BDH(config!$G$4,V$1,WORKDAY($A394,-1,config_Holiday_Calendar_US),WORKDAY($A394,-1,config_Holiday_Calendar_US)),IF(ISNUMBER(_xll.BDH(config!$G$4,V$1,$A394,$A394)),_xll.BDH(config!$G$4,V$1,$A394,$A394),_xll.BDH(config!$G$5,V$1,$A394,$A394))))</f>
        <v>#N/A Requesting Data...</v>
      </c>
      <c r="W394" s="8" t="str">
        <f>IF($A394="","",IF(ISNUMBER(FIND("IMPVOL",W$1)),_xll.BDH(config!$G$4,W$1,WORKDAY($A394,-1,config_Holiday_Calendar_US),WORKDAY($A394,-1,config_Holiday_Calendar_US)),IF(ISNUMBER(_xll.BDH(config!$G$4,W$1,$A394,$A394)),_xll.BDH(config!$G$4,W$1,$A394,$A394),_xll.BDH(config!$G$5,W$1,$A394,$A394))))</f>
        <v>#N/A Requesting Data...</v>
      </c>
    </row>
    <row r="395" spans="1:23" x14ac:dyDescent="0.2">
      <c r="A395" s="9">
        <f>IF(A394="","",IF(WORKDAY(A394,-1,config_Holiday_Calendar_US)&lt;config!$I$10,"",WORKDAY(A394,-1,config_Holiday_Calendar_US)))</f>
        <v>42256</v>
      </c>
      <c r="B395" s="8" t="e">
        <f t="shared" si="6"/>
        <v>#VALUE!</v>
      </c>
      <c r="C395" s="8" t="str">
        <f>IF(A395="","",_xll.BDH(config!$H$4,C$1,$A395,$A395))</f>
        <v>#N/A Requesting Data...</v>
      </c>
      <c r="D395" s="8" t="str">
        <f>IF($A395="","",_xll.BDH(config!$H$4,D$1,$A395,$A395))</f>
        <v>#N/A Requesting Data...</v>
      </c>
      <c r="E395" s="8">
        <f>IF($A395="","",IF(ISNUMBER(FIND("IMPVOL",E$1)),_xll.BDH(config!$G$4,E$1,WORKDAY($A395,-1,config_Holiday_Calendar_US),WORKDAY($A395,-1,config_Holiday_Calendar_US)),IF(ISNUMBER(_xll.BDH(config!$G$4,E$1,$A395,$A395)),_xll.BDH(config!$G$4,E$1,$A395,$A395),_xll.BDH(config!$G$5,E$1,$A395,$A395))))</f>
        <v>45.79</v>
      </c>
      <c r="F395" s="8">
        <f>IF($A395="","",IF(ISNUMBER(FIND("IMPVOL",F$1)),_xll.BDH(config!$G$4,F$1,WORKDAY($A395,-1,config_Holiday_Calendar_US),WORKDAY($A395,-1,config_Holiday_Calendar_US)),IF(ISNUMBER(_xll.BDH(config!$G$4,F$1,$A395,$A395)),_xll.BDH(config!$G$4,F$1,$A395,$A395),_xll.BDH(config!$G$5,F$1,$A395,$A395))))</f>
        <v>46.26</v>
      </c>
      <c r="G395" s="8">
        <f>IF($A395="","",IF(ISNUMBER(FIND("IMPVOL",G$1)),_xll.BDH(config!$G$4,G$1,WORKDAY($A395,-1,config_Holiday_Calendar_US),WORKDAY($A395,-1,config_Holiday_Calendar_US)),IF(ISNUMBER(_xll.BDH(config!$G$4,G$1,$A395,$A395)),_xll.BDH(config!$G$4,G$1,$A395,$A395),_xll.BDH(config!$G$5,G$1,$A395,$A395))))</f>
        <v>44.67</v>
      </c>
      <c r="H395" s="8">
        <f>IF($A395="","",IF(ISNUMBER(FIND("IMPVOL",H$1)),_xll.BDH(config!$G$4,H$1,WORKDAY($A395,-1,config_Holiday_Calendar_US),WORKDAY($A395,-1,config_Holiday_Calendar_US)),IF(ISNUMBER(_xll.BDH(config!$G$4,H$1,$A395,$A395)),_xll.BDH(config!$G$4,H$1,$A395,$A395),_xll.BDH(config!$G$5,H$1,$A395,$A395))))</f>
        <v>178022</v>
      </c>
      <c r="I395" s="8" t="str">
        <f>IF($A395="","",IF(ISNUMBER(FIND("IMPVOL",I$1)),_xll.BDH(config!$G$4,I$1,WORKDAY($A395,-1,config_Holiday_Calendar_US),WORKDAY($A395,-1,config_Holiday_Calendar_US)),IF(ISNUMBER(_xll.BDH(config!$G$4,I$1,$A395,$A395)),_xll.BDH(config!$G$4,I$1,$A395,$A395),_xll.BDH(config!$G$5,I$1,$A395,$A395))))</f>
        <v>#N/A Requesting Data...</v>
      </c>
      <c r="J395" s="8" t="str">
        <f>IF($A395="","",IF(ISNUMBER(FIND("IMPVOL",J$1)),_xll.BDH(config!$G$4,J$1,WORKDAY($A395,-1,config_Holiday_Calendar_US),WORKDAY($A395,-1,config_Holiday_Calendar_US)),IF(ISNUMBER(_xll.BDH(config!$G$4,J$1,$A395,$A395)),_xll.BDH(config!$G$4,J$1,$A395,$A395),_xll.BDH(config!$G$5,J$1,$A395,$A395))))</f>
        <v>#N/A Requesting Data...</v>
      </c>
      <c r="K395" s="8" t="str">
        <f>IF($A395="","",IF(ISNUMBER(FIND("IMPVOL",K$1)),_xll.BDH(config!$G$4,K$1,WORKDAY($A395,-1,config_Holiday_Calendar_US),WORKDAY($A395,-1,config_Holiday_Calendar_US)),IF(ISNUMBER(_xll.BDH(config!$G$4,K$1,$A395,$A395)),_xll.BDH(config!$G$4,K$1,$A395,$A395),_xll.BDH(config!$G$5,K$1,$A395,$A395))))</f>
        <v>#N/A Requesting Data...</v>
      </c>
      <c r="L395" s="8" t="str">
        <f>IF($A395="","",IF(ISNUMBER(FIND("IMPVOL",L$1)),_xll.BDH(config!$G$4,L$1,WORKDAY($A395,-1,config_Holiday_Calendar_US),WORKDAY($A395,-1,config_Holiday_Calendar_US)),IF(ISNUMBER(_xll.BDH(config!$G$4,L$1,$A395,$A395)),_xll.BDH(config!$G$4,L$1,$A395,$A395),_xll.BDH(config!$G$5,L$1,$A395,$A395))))</f>
        <v>#N/A Requesting Data...</v>
      </c>
      <c r="M395" s="8" t="str">
        <f>IF($A395="","",IF(ISNUMBER(FIND("IMPVOL",M$1)),_xll.BDH(config!$G$4,M$1,WORKDAY($A395,-1,config_Holiday_Calendar_US),WORKDAY($A395,-1,config_Holiday_Calendar_US)),IF(ISNUMBER(_xll.BDH(config!$G$4,M$1,$A395,$A395)),_xll.BDH(config!$G$4,M$1,$A395,$A395),_xll.BDH(config!$G$5,M$1,$A395,$A395))))</f>
        <v>#N/A Requesting Data...</v>
      </c>
      <c r="N395" s="8" t="str">
        <f>IF($A395="","",IF(ISNUMBER(FIND("IMPVOL",N$1)),_xll.BDH(config!$G$4,N$1,WORKDAY($A395,-1,config_Holiday_Calendar_US),WORKDAY($A395,-1,config_Holiday_Calendar_US)),IF(ISNUMBER(_xll.BDH(config!$G$4,N$1,$A395,$A395)),_xll.BDH(config!$G$4,N$1,$A395,$A395),_xll.BDH(config!$G$5,N$1,$A395,$A395))))</f>
        <v>#N/A Requesting Data...</v>
      </c>
      <c r="O395" s="8" t="str">
        <f>IF($A395="","",IF(ISNUMBER(FIND("IMPVOL",O$1)),_xll.BDH(config!$G$4,O$1,WORKDAY($A395,-1,config_Holiday_Calendar_US),WORKDAY($A395,-1,config_Holiday_Calendar_US)),IF(ISNUMBER(_xll.BDH(config!$G$4,O$1,$A395,$A395)),_xll.BDH(config!$G$4,O$1,$A395,$A395),_xll.BDH(config!$G$5,O$1,$A395,$A395))))</f>
        <v>#N/A Requesting Data...</v>
      </c>
      <c r="P395" s="8" t="str">
        <f>IF($A395="","",IF(ISNUMBER(FIND("IMPVOL",P$1)),_xll.BDH(config!$G$4,P$1,WORKDAY($A395,-1,config_Holiday_Calendar_US),WORKDAY($A395,-1,config_Holiday_Calendar_US)),IF(ISNUMBER(_xll.BDH(config!$G$4,P$1,$A395,$A395)),_xll.BDH(config!$G$4,P$1,$A395,$A395),_xll.BDH(config!$G$5,P$1,$A395,$A395))))</f>
        <v>#N/A Requesting Data...</v>
      </c>
      <c r="Q395" s="8">
        <f>IF($A395="","",IF(ISNUMBER(FIND("IMPVOL",Q$1)),_xll.BDH(config!$G$4,Q$1,WORKDAY($A395,-1,config_Holiday_Calendar_US),WORKDAY($A395,-1,config_Holiday_Calendar_US)),IF(ISNUMBER(_xll.BDH(config!$G$4,Q$1,$A395,$A395)),_xll.BDH(config!$G$4,Q$1,$A395,$A395),_xll.BDH(config!$G$5,Q$1,$A395,$A395))))</f>
        <v>92.87</v>
      </c>
      <c r="R395" s="8">
        <f>IF($A395="","",IF(ISNUMBER(FIND("IMPVOL",R$1)),_xll.BDH(config!$G$4,R$1,WORKDAY($A395,-1,config_Holiday_Calendar_US),WORKDAY($A395,-1,config_Holiday_Calendar_US)),IF(ISNUMBER(_xll.BDH(config!$G$4,R$1,$A395,$A395)),_xll.BDH(config!$G$4,R$1,$A395,$A395),_xll.BDH(config!$G$5,R$1,$A395,$A395))))</f>
        <v>61.68</v>
      </c>
      <c r="S395" s="8" t="str">
        <f>IF($A395="","",IF(ISNUMBER(FIND("IMPVOL",S$1)),_xll.BDH(config!$G$4,S$1,WORKDAY($A395,-1,config_Holiday_Calendar_US),WORKDAY($A395,-1,config_Holiday_Calendar_US)),IF(ISNUMBER(_xll.BDH(config!$G$4,S$1,$A395,$A395)),_xll.BDH(config!$G$4,S$1,$A395,$A395),_xll.BDH(config!$G$5,S$1,$A395,$A395))))</f>
        <v>#N/A Requesting Data...</v>
      </c>
      <c r="T395" s="8" t="str">
        <f>IF($A395="","",IF(ISNUMBER(FIND("IMPVOL",T$1)),_xll.BDH(config!$G$4,T$1,WORKDAY($A395,-1,config_Holiday_Calendar_US),WORKDAY($A395,-1,config_Holiday_Calendar_US)),IF(ISNUMBER(_xll.BDH(config!$G$4,T$1,$A395,$A395)),_xll.BDH(config!$G$4,T$1,$A395,$A395),_xll.BDH(config!$G$5,T$1,$A395,$A395))))</f>
        <v>#N/A Requesting Data...</v>
      </c>
      <c r="U395" s="8" t="str">
        <f>IF($A395="","",IF(ISNUMBER(FIND("IMPVOL",U$1)),_xll.BDH(config!$G$4,U$1,WORKDAY($A395,-1,config_Holiday_Calendar_US),WORKDAY($A395,-1,config_Holiday_Calendar_US)),IF(ISNUMBER(_xll.BDH(config!$G$4,U$1,$A395,$A395)),_xll.BDH(config!$G$4,U$1,$A395,$A395),_xll.BDH(config!$G$5,U$1,$A395,$A395))))</f>
        <v>#N/A Requesting Data...</v>
      </c>
      <c r="V395" s="8" t="str">
        <f>IF($A395="","",IF(ISNUMBER(FIND("IMPVOL",V$1)),_xll.BDH(config!$G$4,V$1,WORKDAY($A395,-1,config_Holiday_Calendar_US),WORKDAY($A395,-1,config_Holiday_Calendar_US)),IF(ISNUMBER(_xll.BDH(config!$G$4,V$1,$A395,$A395)),_xll.BDH(config!$G$4,V$1,$A395,$A395),_xll.BDH(config!$G$5,V$1,$A395,$A395))))</f>
        <v>#N/A Requesting Data...</v>
      </c>
      <c r="W395" s="8" t="str">
        <f>IF($A395="","",IF(ISNUMBER(FIND("IMPVOL",W$1)),_xll.BDH(config!$G$4,W$1,WORKDAY($A395,-1,config_Holiday_Calendar_US),WORKDAY($A395,-1,config_Holiday_Calendar_US)),IF(ISNUMBER(_xll.BDH(config!$G$4,W$1,$A395,$A395)),_xll.BDH(config!$G$4,W$1,$A395,$A395),_xll.BDH(config!$G$5,W$1,$A395,$A395))))</f>
        <v>#N/A Requesting Data...</v>
      </c>
    </row>
    <row r="396" spans="1:23" x14ac:dyDescent="0.2">
      <c r="A396" s="9">
        <f>IF(A395="","",IF(WORKDAY(A395,-1,config_Holiday_Calendar_US)&lt;config!$I$10,"",WORKDAY(A395,-1,config_Holiday_Calendar_US)))</f>
        <v>42255</v>
      </c>
      <c r="B396" s="8" t="e">
        <f t="shared" si="6"/>
        <v>#VALUE!</v>
      </c>
      <c r="C396" s="8" t="str">
        <f>IF(A396="","",_xll.BDH(config!$H$4,C$1,$A396,$A396))</f>
        <v>#N/A Requesting Data...</v>
      </c>
      <c r="D396" s="8" t="str">
        <f>IF($A396="","",_xll.BDH(config!$H$4,D$1,$A396,$A396))</f>
        <v>#N/A Requesting Data...</v>
      </c>
      <c r="E396" s="8">
        <f>IF($A396="","",IF(ISNUMBER(FIND("IMPVOL",E$1)),_xll.BDH(config!$G$4,E$1,WORKDAY($A396,-1,config_Holiday_Calendar_US),WORKDAY($A396,-1,config_Holiday_Calendar_US)),IF(ISNUMBER(_xll.BDH(config!$G$4,E$1,$A396,$A396)),_xll.BDH(config!$G$4,E$1,$A396,$A396),_xll.BDH(config!$G$5,E$1,$A396,$A396))))</f>
        <v>45.82</v>
      </c>
      <c r="F396" s="8">
        <f>IF($A396="","",IF(ISNUMBER(FIND("IMPVOL",F$1)),_xll.BDH(config!$G$4,F$1,WORKDAY($A396,-1,config_Holiday_Calendar_US),WORKDAY($A396,-1,config_Holiday_Calendar_US)),IF(ISNUMBER(_xll.BDH(config!$G$4,F$1,$A396,$A396)),_xll.BDH(config!$G$4,F$1,$A396,$A396),_xll.BDH(config!$G$5,F$1,$A396,$A396))))</f>
        <v>46.41</v>
      </c>
      <c r="G396" s="8">
        <f>IF($A396="","",IF(ISNUMBER(FIND("IMPVOL",G$1)),_xll.BDH(config!$G$4,G$1,WORKDAY($A396,-1,config_Holiday_Calendar_US),WORKDAY($A396,-1,config_Holiday_Calendar_US)),IF(ISNUMBER(_xll.BDH(config!$G$4,G$1,$A396,$A396)),_xll.BDH(config!$G$4,G$1,$A396,$A396),_xll.BDH(config!$G$5,G$1,$A396,$A396))))</f>
        <v>44.71</v>
      </c>
      <c r="H396" s="8">
        <f>IF($A396="","",IF(ISNUMBER(FIND("IMPVOL",H$1)),_xll.BDH(config!$G$4,H$1,WORKDAY($A396,-1,config_Holiday_Calendar_US),WORKDAY($A396,-1,config_Holiday_Calendar_US)),IF(ISNUMBER(_xll.BDH(config!$G$4,H$1,$A396,$A396)),_xll.BDH(config!$G$4,H$1,$A396,$A396),_xll.BDH(config!$G$5,H$1,$A396,$A396))))</f>
        <v>164181</v>
      </c>
      <c r="I396" s="8" t="str">
        <f>IF($A396="","",IF(ISNUMBER(FIND("IMPVOL",I$1)),_xll.BDH(config!$G$4,I$1,WORKDAY($A396,-1,config_Holiday_Calendar_US),WORKDAY($A396,-1,config_Holiday_Calendar_US)),IF(ISNUMBER(_xll.BDH(config!$G$4,I$1,$A396,$A396)),_xll.BDH(config!$G$4,I$1,$A396,$A396),_xll.BDH(config!$G$5,I$1,$A396,$A396))))</f>
        <v>#N/A Requesting Data...</v>
      </c>
      <c r="J396" s="8" t="str">
        <f>IF($A396="","",IF(ISNUMBER(FIND("IMPVOL",J$1)),_xll.BDH(config!$G$4,J$1,WORKDAY($A396,-1,config_Holiday_Calendar_US),WORKDAY($A396,-1,config_Holiday_Calendar_US)),IF(ISNUMBER(_xll.BDH(config!$G$4,J$1,$A396,$A396)),_xll.BDH(config!$G$4,J$1,$A396,$A396),_xll.BDH(config!$G$5,J$1,$A396,$A396))))</f>
        <v>#N/A Requesting Data...</v>
      </c>
      <c r="K396" s="8" t="str">
        <f>IF($A396="","",IF(ISNUMBER(FIND("IMPVOL",K$1)),_xll.BDH(config!$G$4,K$1,WORKDAY($A396,-1,config_Holiday_Calendar_US),WORKDAY($A396,-1,config_Holiday_Calendar_US)),IF(ISNUMBER(_xll.BDH(config!$G$4,K$1,$A396,$A396)),_xll.BDH(config!$G$4,K$1,$A396,$A396),_xll.BDH(config!$G$5,K$1,$A396,$A396))))</f>
        <v>#N/A Requesting Data...</v>
      </c>
      <c r="L396" s="8" t="str">
        <f>IF($A396="","",IF(ISNUMBER(FIND("IMPVOL",L$1)),_xll.BDH(config!$G$4,L$1,WORKDAY($A396,-1,config_Holiday_Calendar_US),WORKDAY($A396,-1,config_Holiday_Calendar_US)),IF(ISNUMBER(_xll.BDH(config!$G$4,L$1,$A396,$A396)),_xll.BDH(config!$G$4,L$1,$A396,$A396),_xll.BDH(config!$G$5,L$1,$A396,$A396))))</f>
        <v>#N/A Requesting Data...</v>
      </c>
      <c r="M396" s="8" t="str">
        <f>IF($A396="","",IF(ISNUMBER(FIND("IMPVOL",M$1)),_xll.BDH(config!$G$4,M$1,WORKDAY($A396,-1,config_Holiday_Calendar_US),WORKDAY($A396,-1,config_Holiday_Calendar_US)),IF(ISNUMBER(_xll.BDH(config!$G$4,M$1,$A396,$A396)),_xll.BDH(config!$G$4,M$1,$A396,$A396),_xll.BDH(config!$G$5,M$1,$A396,$A396))))</f>
        <v>#N/A Requesting Data...</v>
      </c>
      <c r="N396" s="8" t="str">
        <f>IF($A396="","",IF(ISNUMBER(FIND("IMPVOL",N$1)),_xll.BDH(config!$G$4,N$1,WORKDAY($A396,-1,config_Holiday_Calendar_US),WORKDAY($A396,-1,config_Holiday_Calendar_US)),IF(ISNUMBER(_xll.BDH(config!$G$4,N$1,$A396,$A396)),_xll.BDH(config!$G$4,N$1,$A396,$A396),_xll.BDH(config!$G$5,N$1,$A396,$A396))))</f>
        <v>#N/A Requesting Data...</v>
      </c>
      <c r="O396" s="8" t="str">
        <f>IF($A396="","",IF(ISNUMBER(FIND("IMPVOL",O$1)),_xll.BDH(config!$G$4,O$1,WORKDAY($A396,-1,config_Holiday_Calendar_US),WORKDAY($A396,-1,config_Holiday_Calendar_US)),IF(ISNUMBER(_xll.BDH(config!$G$4,O$1,$A396,$A396)),_xll.BDH(config!$G$4,O$1,$A396,$A396),_xll.BDH(config!$G$5,O$1,$A396,$A396))))</f>
        <v>#N/A Requesting Data...</v>
      </c>
      <c r="P396" s="8" t="str">
        <f>IF($A396="","",IF(ISNUMBER(FIND("IMPVOL",P$1)),_xll.BDH(config!$G$4,P$1,WORKDAY($A396,-1,config_Holiday_Calendar_US),WORKDAY($A396,-1,config_Holiday_Calendar_US)),IF(ISNUMBER(_xll.BDH(config!$G$4,P$1,$A396,$A396)),_xll.BDH(config!$G$4,P$1,$A396,$A396),_xll.BDH(config!$G$5,P$1,$A396,$A396))))</f>
        <v>#N/A Requesting Data...</v>
      </c>
      <c r="Q396" s="8">
        <f>IF($A396="","",IF(ISNUMBER(FIND("IMPVOL",Q$1)),_xll.BDH(config!$G$4,Q$1,WORKDAY($A396,-1,config_Holiday_Calendar_US),WORKDAY($A396,-1,config_Holiday_Calendar_US)),IF(ISNUMBER(_xll.BDH(config!$G$4,Q$1,$A396,$A396)),_xll.BDH(config!$G$4,Q$1,$A396,$A396),_xll.BDH(config!$G$5,Q$1,$A396,$A396))))</f>
        <v>89.14</v>
      </c>
      <c r="R396" s="8">
        <f>IF($A396="","",IF(ISNUMBER(FIND("IMPVOL",R$1)),_xll.BDH(config!$G$4,R$1,WORKDAY($A396,-1,config_Holiday_Calendar_US),WORKDAY($A396,-1,config_Holiday_Calendar_US)),IF(ISNUMBER(_xll.BDH(config!$G$4,R$1,$A396,$A396)),_xll.BDH(config!$G$4,R$1,$A396,$A396),_xll.BDH(config!$G$5,R$1,$A396,$A396))))</f>
        <v>60.89</v>
      </c>
      <c r="S396" s="8" t="str">
        <f>IF($A396="","",IF(ISNUMBER(FIND("IMPVOL",S$1)),_xll.BDH(config!$G$4,S$1,WORKDAY($A396,-1,config_Holiday_Calendar_US),WORKDAY($A396,-1,config_Holiday_Calendar_US)),IF(ISNUMBER(_xll.BDH(config!$G$4,S$1,$A396,$A396)),_xll.BDH(config!$G$4,S$1,$A396,$A396),_xll.BDH(config!$G$5,S$1,$A396,$A396))))</f>
        <v>#N/A Requesting Data...</v>
      </c>
      <c r="T396" s="8" t="str">
        <f>IF($A396="","",IF(ISNUMBER(FIND("IMPVOL",T$1)),_xll.BDH(config!$G$4,T$1,WORKDAY($A396,-1,config_Holiday_Calendar_US),WORKDAY($A396,-1,config_Holiday_Calendar_US)),IF(ISNUMBER(_xll.BDH(config!$G$4,T$1,$A396,$A396)),_xll.BDH(config!$G$4,T$1,$A396,$A396),_xll.BDH(config!$G$5,T$1,$A396,$A396))))</f>
        <v>#N/A Requesting Data...</v>
      </c>
      <c r="U396" s="8" t="str">
        <f>IF($A396="","",IF(ISNUMBER(FIND("IMPVOL",U$1)),_xll.BDH(config!$G$4,U$1,WORKDAY($A396,-1,config_Holiday_Calendar_US),WORKDAY($A396,-1,config_Holiday_Calendar_US)),IF(ISNUMBER(_xll.BDH(config!$G$4,U$1,$A396,$A396)),_xll.BDH(config!$G$4,U$1,$A396,$A396),_xll.BDH(config!$G$5,U$1,$A396,$A396))))</f>
        <v>#N/A Requesting Data...</v>
      </c>
      <c r="V396" s="8" t="str">
        <f>IF($A396="","",IF(ISNUMBER(FIND("IMPVOL",V$1)),_xll.BDH(config!$G$4,V$1,WORKDAY($A396,-1,config_Holiday_Calendar_US),WORKDAY($A396,-1,config_Holiday_Calendar_US)),IF(ISNUMBER(_xll.BDH(config!$G$4,V$1,$A396,$A396)),_xll.BDH(config!$G$4,V$1,$A396,$A396),_xll.BDH(config!$G$5,V$1,$A396,$A396))))</f>
        <v>#N/A Requesting Data...</v>
      </c>
      <c r="W396" s="8" t="str">
        <f>IF($A396="","",IF(ISNUMBER(FIND("IMPVOL",W$1)),_xll.BDH(config!$G$4,W$1,WORKDAY($A396,-1,config_Holiday_Calendar_US),WORKDAY($A396,-1,config_Holiday_Calendar_US)),IF(ISNUMBER(_xll.BDH(config!$G$4,W$1,$A396,$A396)),_xll.BDH(config!$G$4,W$1,$A396,$A396),_xll.BDH(config!$G$5,W$1,$A396,$A396))))</f>
        <v>#N/A Requesting Data...</v>
      </c>
    </row>
    <row r="397" spans="1:23" x14ac:dyDescent="0.2">
      <c r="A397" s="9">
        <f>IF(A396="","",IF(WORKDAY(A396,-1,config_Holiday_Calendar_US)&lt;config!$I$10,"",WORKDAY(A396,-1,config_Holiday_Calendar_US)))</f>
        <v>42251</v>
      </c>
      <c r="B397" s="8" t="e">
        <f t="shared" si="6"/>
        <v>#VALUE!</v>
      </c>
      <c r="C397" s="8" t="str">
        <f>IF(A397="","",_xll.BDH(config!$H$4,C$1,$A397,$A397))</f>
        <v>#N/A Requesting Data...</v>
      </c>
      <c r="D397" s="8" t="str">
        <f>IF($A397="","",_xll.BDH(config!$H$4,D$1,$A397,$A397))</f>
        <v>#N/A Requesting Data...</v>
      </c>
      <c r="E397" s="8">
        <f>IF($A397="","",IF(ISNUMBER(FIND("IMPVOL",E$1)),_xll.BDH(config!$G$4,E$1,WORKDAY($A397,-1,config_Holiday_Calendar_US),WORKDAY($A397,-1,config_Holiday_Calendar_US)),IF(ISNUMBER(_xll.BDH(config!$G$4,E$1,$A397,$A397)),_xll.BDH(config!$G$4,E$1,$A397,$A397),_xll.BDH(config!$G$5,E$1,$A397,$A397))))</f>
        <v>46.68</v>
      </c>
      <c r="F397" s="8">
        <f>IF($A397="","",IF(ISNUMBER(FIND("IMPVOL",F$1)),_xll.BDH(config!$G$4,F$1,WORKDAY($A397,-1,config_Holiday_Calendar_US),WORKDAY($A397,-1,config_Holiday_Calendar_US)),IF(ISNUMBER(_xll.BDH(config!$G$4,F$1,$A397,$A397)),_xll.BDH(config!$G$4,F$1,$A397,$A397),_xll.BDH(config!$G$5,F$1,$A397,$A397))))</f>
        <v>47.23</v>
      </c>
      <c r="G397" s="8">
        <f>IF($A397="","",IF(ISNUMBER(FIND("IMPVOL",G$1)),_xll.BDH(config!$G$4,G$1,WORKDAY($A397,-1,config_Holiday_Calendar_US),WORKDAY($A397,-1,config_Holiday_Calendar_US)),IF(ISNUMBER(_xll.BDH(config!$G$4,G$1,$A397,$A397)),_xll.BDH(config!$G$4,G$1,$A397,$A397),_xll.BDH(config!$G$5,G$1,$A397,$A397))))</f>
        <v>46.18</v>
      </c>
      <c r="H397" s="8">
        <f>IF($A397="","",IF(ISNUMBER(FIND("IMPVOL",H$1)),_xll.BDH(config!$G$4,H$1,WORKDAY($A397,-1,config_Holiday_Calendar_US),WORKDAY($A397,-1,config_Holiday_Calendar_US)),IF(ISNUMBER(_xll.BDH(config!$G$4,H$1,$A397,$A397)),_xll.BDH(config!$G$4,H$1,$A397,$A397),_xll.BDH(config!$G$5,H$1,$A397,$A397))))</f>
        <v>100450</v>
      </c>
      <c r="I397" s="8" t="str">
        <f>IF($A397="","",IF(ISNUMBER(FIND("IMPVOL",I$1)),_xll.BDH(config!$G$4,I$1,WORKDAY($A397,-1,config_Holiday_Calendar_US),WORKDAY($A397,-1,config_Holiday_Calendar_US)),IF(ISNUMBER(_xll.BDH(config!$G$4,I$1,$A397,$A397)),_xll.BDH(config!$G$4,I$1,$A397,$A397),_xll.BDH(config!$G$5,I$1,$A397,$A397))))</f>
        <v>#N/A Requesting Data...</v>
      </c>
      <c r="J397" s="8" t="str">
        <f>IF($A397="","",IF(ISNUMBER(FIND("IMPVOL",J$1)),_xll.BDH(config!$G$4,J$1,WORKDAY($A397,-1,config_Holiday_Calendar_US),WORKDAY($A397,-1,config_Holiday_Calendar_US)),IF(ISNUMBER(_xll.BDH(config!$G$4,J$1,$A397,$A397)),_xll.BDH(config!$G$4,J$1,$A397,$A397),_xll.BDH(config!$G$5,J$1,$A397,$A397))))</f>
        <v>#N/A Requesting Data...</v>
      </c>
      <c r="K397" s="8" t="str">
        <f>IF($A397="","",IF(ISNUMBER(FIND("IMPVOL",K$1)),_xll.BDH(config!$G$4,K$1,WORKDAY($A397,-1,config_Holiday_Calendar_US),WORKDAY($A397,-1,config_Holiday_Calendar_US)),IF(ISNUMBER(_xll.BDH(config!$G$4,K$1,$A397,$A397)),_xll.BDH(config!$G$4,K$1,$A397,$A397),_xll.BDH(config!$G$5,K$1,$A397,$A397))))</f>
        <v>#N/A Requesting Data...</v>
      </c>
      <c r="L397" s="8" t="str">
        <f>IF($A397="","",IF(ISNUMBER(FIND("IMPVOL",L$1)),_xll.BDH(config!$G$4,L$1,WORKDAY($A397,-1,config_Holiday_Calendar_US),WORKDAY($A397,-1,config_Holiday_Calendar_US)),IF(ISNUMBER(_xll.BDH(config!$G$4,L$1,$A397,$A397)),_xll.BDH(config!$G$4,L$1,$A397,$A397),_xll.BDH(config!$G$5,L$1,$A397,$A397))))</f>
        <v>#N/A Requesting Data...</v>
      </c>
      <c r="M397" s="8" t="str">
        <f>IF($A397="","",IF(ISNUMBER(FIND("IMPVOL",M$1)),_xll.BDH(config!$G$4,M$1,WORKDAY($A397,-1,config_Holiday_Calendar_US),WORKDAY($A397,-1,config_Holiday_Calendar_US)),IF(ISNUMBER(_xll.BDH(config!$G$4,M$1,$A397,$A397)),_xll.BDH(config!$G$4,M$1,$A397,$A397),_xll.BDH(config!$G$5,M$1,$A397,$A397))))</f>
        <v>#N/A Requesting Data...</v>
      </c>
      <c r="N397" s="8" t="str">
        <f>IF($A397="","",IF(ISNUMBER(FIND("IMPVOL",N$1)),_xll.BDH(config!$G$4,N$1,WORKDAY($A397,-1,config_Holiday_Calendar_US),WORKDAY($A397,-1,config_Holiday_Calendar_US)),IF(ISNUMBER(_xll.BDH(config!$G$4,N$1,$A397,$A397)),_xll.BDH(config!$G$4,N$1,$A397,$A397),_xll.BDH(config!$G$5,N$1,$A397,$A397))))</f>
        <v>#N/A Requesting Data...</v>
      </c>
      <c r="O397" s="8" t="str">
        <f>IF($A397="","",IF(ISNUMBER(FIND("IMPVOL",O$1)),_xll.BDH(config!$G$4,O$1,WORKDAY($A397,-1,config_Holiday_Calendar_US),WORKDAY($A397,-1,config_Holiday_Calendar_US)),IF(ISNUMBER(_xll.BDH(config!$G$4,O$1,$A397,$A397)),_xll.BDH(config!$G$4,O$1,$A397,$A397),_xll.BDH(config!$G$5,O$1,$A397,$A397))))</f>
        <v>#N/A Requesting Data...</v>
      </c>
      <c r="P397" s="8" t="str">
        <f>IF($A397="","",IF(ISNUMBER(FIND("IMPVOL",P$1)),_xll.BDH(config!$G$4,P$1,WORKDAY($A397,-1,config_Holiday_Calendar_US),WORKDAY($A397,-1,config_Holiday_Calendar_US)),IF(ISNUMBER(_xll.BDH(config!$G$4,P$1,$A397,$A397)),_xll.BDH(config!$G$4,P$1,$A397,$A397),_xll.BDH(config!$G$5,P$1,$A397,$A397))))</f>
        <v>#N/A Requesting Data...</v>
      </c>
      <c r="Q397" s="8">
        <f>IF($A397="","",IF(ISNUMBER(FIND("IMPVOL",Q$1)),_xll.BDH(config!$G$4,Q$1,WORKDAY($A397,-1,config_Holiday_Calendar_US),WORKDAY($A397,-1,config_Holiday_Calendar_US)),IF(ISNUMBER(_xll.BDH(config!$G$4,Q$1,$A397,$A397)),_xll.BDH(config!$G$4,Q$1,$A397,$A397),_xll.BDH(config!$G$5,Q$1,$A397,$A397))))</f>
        <v>88.54</v>
      </c>
      <c r="R397" s="8">
        <f>IF($A397="","",IF(ISNUMBER(FIND("IMPVOL",R$1)),_xll.BDH(config!$G$4,R$1,WORKDAY($A397,-1,config_Holiday_Calendar_US),WORKDAY($A397,-1,config_Holiday_Calendar_US)),IF(ISNUMBER(_xll.BDH(config!$G$4,R$1,$A397,$A397)),_xll.BDH(config!$G$4,R$1,$A397,$A397),_xll.BDH(config!$G$5,R$1,$A397,$A397))))</f>
        <v>61.01</v>
      </c>
      <c r="S397" s="8" t="str">
        <f>IF($A397="","",IF(ISNUMBER(FIND("IMPVOL",S$1)),_xll.BDH(config!$G$4,S$1,WORKDAY($A397,-1,config_Holiday_Calendar_US),WORKDAY($A397,-1,config_Holiday_Calendar_US)),IF(ISNUMBER(_xll.BDH(config!$G$4,S$1,$A397,$A397)),_xll.BDH(config!$G$4,S$1,$A397,$A397),_xll.BDH(config!$G$5,S$1,$A397,$A397))))</f>
        <v>#N/A Requesting Data...</v>
      </c>
      <c r="T397" s="8" t="str">
        <f>IF($A397="","",IF(ISNUMBER(FIND("IMPVOL",T$1)),_xll.BDH(config!$G$4,T$1,WORKDAY($A397,-1,config_Holiday_Calendar_US),WORKDAY($A397,-1,config_Holiday_Calendar_US)),IF(ISNUMBER(_xll.BDH(config!$G$4,T$1,$A397,$A397)),_xll.BDH(config!$G$4,T$1,$A397,$A397),_xll.BDH(config!$G$5,T$1,$A397,$A397))))</f>
        <v>#N/A Requesting Data...</v>
      </c>
      <c r="U397" s="8" t="str">
        <f>IF($A397="","",IF(ISNUMBER(FIND("IMPVOL",U$1)),_xll.BDH(config!$G$4,U$1,WORKDAY($A397,-1,config_Holiday_Calendar_US),WORKDAY($A397,-1,config_Holiday_Calendar_US)),IF(ISNUMBER(_xll.BDH(config!$G$4,U$1,$A397,$A397)),_xll.BDH(config!$G$4,U$1,$A397,$A397),_xll.BDH(config!$G$5,U$1,$A397,$A397))))</f>
        <v>#N/A Requesting Data...</v>
      </c>
      <c r="V397" s="8" t="str">
        <f>IF($A397="","",IF(ISNUMBER(FIND("IMPVOL",V$1)),_xll.BDH(config!$G$4,V$1,WORKDAY($A397,-1,config_Holiday_Calendar_US),WORKDAY($A397,-1,config_Holiday_Calendar_US)),IF(ISNUMBER(_xll.BDH(config!$G$4,V$1,$A397,$A397)),_xll.BDH(config!$G$4,V$1,$A397,$A397),_xll.BDH(config!$G$5,V$1,$A397,$A397))))</f>
        <v>#N/A Requesting Data...</v>
      </c>
      <c r="W397" s="8" t="str">
        <f>IF($A397="","",IF(ISNUMBER(FIND("IMPVOL",W$1)),_xll.BDH(config!$G$4,W$1,WORKDAY($A397,-1,config_Holiday_Calendar_US),WORKDAY($A397,-1,config_Holiday_Calendar_US)),IF(ISNUMBER(_xll.BDH(config!$G$4,W$1,$A397,$A397)),_xll.BDH(config!$G$4,W$1,$A397,$A397),_xll.BDH(config!$G$5,W$1,$A397,$A397))))</f>
        <v>#N/A Requesting Data...</v>
      </c>
    </row>
    <row r="398" spans="1:23" x14ac:dyDescent="0.2">
      <c r="A398" s="9">
        <f>IF(A397="","",IF(WORKDAY(A397,-1,config_Holiday_Calendar_US)&lt;config!$I$10,"",WORKDAY(A397,-1,config_Holiday_Calendar_US)))</f>
        <v>42250</v>
      </c>
      <c r="B398" s="8" t="e">
        <f t="shared" si="6"/>
        <v>#VALUE!</v>
      </c>
      <c r="C398" s="8" t="str">
        <f>IF(A398="","",_xll.BDH(config!$H$4,C$1,$A398,$A398))</f>
        <v>#N/A Requesting Data...</v>
      </c>
      <c r="D398" s="8" t="str">
        <f>IF($A398="","",_xll.BDH(config!$H$4,D$1,$A398,$A398))</f>
        <v>#N/A Requesting Data...</v>
      </c>
      <c r="E398" s="8">
        <f>IF($A398="","",IF(ISNUMBER(FIND("IMPVOL",E$1)),_xll.BDH(config!$G$4,E$1,WORKDAY($A398,-1,config_Holiday_Calendar_US),WORKDAY($A398,-1,config_Holiday_Calendar_US)),IF(ISNUMBER(_xll.BDH(config!$G$4,E$1,$A398,$A398)),_xll.BDH(config!$G$4,E$1,$A398,$A398),_xll.BDH(config!$G$5,E$1,$A398,$A398))))</f>
        <v>46.11</v>
      </c>
      <c r="F398" s="8">
        <f>IF($A398="","",IF(ISNUMBER(FIND("IMPVOL",F$1)),_xll.BDH(config!$G$4,F$1,WORKDAY($A398,-1,config_Holiday_Calendar_US),WORKDAY($A398,-1,config_Holiday_Calendar_US)),IF(ISNUMBER(_xll.BDH(config!$G$4,F$1,$A398,$A398)),_xll.BDH(config!$G$4,F$1,$A398,$A398),_xll.BDH(config!$G$5,F$1,$A398,$A398))))</f>
        <v>48.42</v>
      </c>
      <c r="G398" s="8">
        <f>IF($A398="","",IF(ISNUMBER(FIND("IMPVOL",G$1)),_xll.BDH(config!$G$4,G$1,WORKDAY($A398,-1,config_Holiday_Calendar_US),WORKDAY($A398,-1,config_Holiday_Calendar_US)),IF(ISNUMBER(_xll.BDH(config!$G$4,G$1,$A398,$A398)),_xll.BDH(config!$G$4,G$1,$A398,$A398),_xll.BDH(config!$G$5,G$1,$A398,$A398))))</f>
        <v>46.27</v>
      </c>
      <c r="H398" s="8">
        <f>IF($A398="","",IF(ISNUMBER(FIND("IMPVOL",H$1)),_xll.BDH(config!$G$4,H$1,WORKDAY($A398,-1,config_Holiday_Calendar_US),WORKDAY($A398,-1,config_Holiday_Calendar_US)),IF(ISNUMBER(_xll.BDH(config!$G$4,H$1,$A398,$A398)),_xll.BDH(config!$G$4,H$1,$A398,$A398),_xll.BDH(config!$G$5,H$1,$A398,$A398))))</f>
        <v>131868</v>
      </c>
      <c r="I398" s="8" t="str">
        <f>IF($A398="","",IF(ISNUMBER(FIND("IMPVOL",I$1)),_xll.BDH(config!$G$4,I$1,WORKDAY($A398,-1,config_Holiday_Calendar_US),WORKDAY($A398,-1,config_Holiday_Calendar_US)),IF(ISNUMBER(_xll.BDH(config!$G$4,I$1,$A398,$A398)),_xll.BDH(config!$G$4,I$1,$A398,$A398),_xll.BDH(config!$G$5,I$1,$A398,$A398))))</f>
        <v>#N/A Requesting Data...</v>
      </c>
      <c r="J398" s="8" t="str">
        <f>IF($A398="","",IF(ISNUMBER(FIND("IMPVOL",J$1)),_xll.BDH(config!$G$4,J$1,WORKDAY($A398,-1,config_Holiday_Calendar_US),WORKDAY($A398,-1,config_Holiday_Calendar_US)),IF(ISNUMBER(_xll.BDH(config!$G$4,J$1,$A398,$A398)),_xll.BDH(config!$G$4,J$1,$A398,$A398),_xll.BDH(config!$G$5,J$1,$A398,$A398))))</f>
        <v>#N/A Requesting Data...</v>
      </c>
      <c r="K398" s="8" t="str">
        <f>IF($A398="","",IF(ISNUMBER(FIND("IMPVOL",K$1)),_xll.BDH(config!$G$4,K$1,WORKDAY($A398,-1,config_Holiday_Calendar_US),WORKDAY($A398,-1,config_Holiday_Calendar_US)),IF(ISNUMBER(_xll.BDH(config!$G$4,K$1,$A398,$A398)),_xll.BDH(config!$G$4,K$1,$A398,$A398),_xll.BDH(config!$G$5,K$1,$A398,$A398))))</f>
        <v>#N/A Requesting Data...</v>
      </c>
      <c r="L398" s="8" t="str">
        <f>IF($A398="","",IF(ISNUMBER(FIND("IMPVOL",L$1)),_xll.BDH(config!$G$4,L$1,WORKDAY($A398,-1,config_Holiday_Calendar_US),WORKDAY($A398,-1,config_Holiday_Calendar_US)),IF(ISNUMBER(_xll.BDH(config!$G$4,L$1,$A398,$A398)),_xll.BDH(config!$G$4,L$1,$A398,$A398),_xll.BDH(config!$G$5,L$1,$A398,$A398))))</f>
        <v>#N/A Requesting Data...</v>
      </c>
      <c r="M398" s="8" t="str">
        <f>IF($A398="","",IF(ISNUMBER(FIND("IMPVOL",M$1)),_xll.BDH(config!$G$4,M$1,WORKDAY($A398,-1,config_Holiday_Calendar_US),WORKDAY($A398,-1,config_Holiday_Calendar_US)),IF(ISNUMBER(_xll.BDH(config!$G$4,M$1,$A398,$A398)),_xll.BDH(config!$G$4,M$1,$A398,$A398),_xll.BDH(config!$G$5,M$1,$A398,$A398))))</f>
        <v>#N/A Requesting Data...</v>
      </c>
      <c r="N398" s="8" t="str">
        <f>IF($A398="","",IF(ISNUMBER(FIND("IMPVOL",N$1)),_xll.BDH(config!$G$4,N$1,WORKDAY($A398,-1,config_Holiday_Calendar_US),WORKDAY($A398,-1,config_Holiday_Calendar_US)),IF(ISNUMBER(_xll.BDH(config!$G$4,N$1,$A398,$A398)),_xll.BDH(config!$G$4,N$1,$A398,$A398),_xll.BDH(config!$G$5,N$1,$A398,$A398))))</f>
        <v>#N/A Requesting Data...</v>
      </c>
      <c r="O398" s="8" t="str">
        <f>IF($A398="","",IF(ISNUMBER(FIND("IMPVOL",O$1)),_xll.BDH(config!$G$4,O$1,WORKDAY($A398,-1,config_Holiday_Calendar_US),WORKDAY($A398,-1,config_Holiday_Calendar_US)),IF(ISNUMBER(_xll.BDH(config!$G$4,O$1,$A398,$A398)),_xll.BDH(config!$G$4,O$1,$A398,$A398),_xll.BDH(config!$G$5,O$1,$A398,$A398))))</f>
        <v>#N/A Requesting Data...</v>
      </c>
      <c r="P398" s="8" t="str">
        <f>IF($A398="","",IF(ISNUMBER(FIND("IMPVOL",P$1)),_xll.BDH(config!$G$4,P$1,WORKDAY($A398,-1,config_Holiday_Calendar_US),WORKDAY($A398,-1,config_Holiday_Calendar_US)),IF(ISNUMBER(_xll.BDH(config!$G$4,P$1,$A398,$A398)),_xll.BDH(config!$G$4,P$1,$A398,$A398),_xll.BDH(config!$G$5,P$1,$A398,$A398))))</f>
        <v>#N/A Requesting Data...</v>
      </c>
      <c r="Q398" s="8">
        <f>IF($A398="","",IF(ISNUMBER(FIND("IMPVOL",Q$1)),_xll.BDH(config!$G$4,Q$1,WORKDAY($A398,-1,config_Holiday_Calendar_US),WORKDAY($A398,-1,config_Holiday_Calendar_US)),IF(ISNUMBER(_xll.BDH(config!$G$4,Q$1,$A398,$A398)),_xll.BDH(config!$G$4,Q$1,$A398,$A398),_xll.BDH(config!$G$5,Q$1,$A398,$A398))))</f>
        <v>96.36</v>
      </c>
      <c r="R398" s="8">
        <f>IF($A398="","",IF(ISNUMBER(FIND("IMPVOL",R$1)),_xll.BDH(config!$G$4,R$1,WORKDAY($A398,-1,config_Holiday_Calendar_US),WORKDAY($A398,-1,config_Holiday_Calendar_US)),IF(ISNUMBER(_xll.BDH(config!$G$4,R$1,$A398,$A398)),_xll.BDH(config!$G$4,R$1,$A398,$A398),_xll.BDH(config!$G$5,R$1,$A398,$A398))))</f>
        <v>61.03</v>
      </c>
      <c r="S398" s="8" t="str">
        <f>IF($A398="","",IF(ISNUMBER(FIND("IMPVOL",S$1)),_xll.BDH(config!$G$4,S$1,WORKDAY($A398,-1,config_Holiday_Calendar_US),WORKDAY($A398,-1,config_Holiday_Calendar_US)),IF(ISNUMBER(_xll.BDH(config!$G$4,S$1,$A398,$A398)),_xll.BDH(config!$G$4,S$1,$A398,$A398),_xll.BDH(config!$G$5,S$1,$A398,$A398))))</f>
        <v>#N/A Requesting Data...</v>
      </c>
      <c r="T398" s="8" t="str">
        <f>IF($A398="","",IF(ISNUMBER(FIND("IMPVOL",T$1)),_xll.BDH(config!$G$4,T$1,WORKDAY($A398,-1,config_Holiday_Calendar_US),WORKDAY($A398,-1,config_Holiday_Calendar_US)),IF(ISNUMBER(_xll.BDH(config!$G$4,T$1,$A398,$A398)),_xll.BDH(config!$G$4,T$1,$A398,$A398),_xll.BDH(config!$G$5,T$1,$A398,$A398))))</f>
        <v>#N/A Requesting Data...</v>
      </c>
      <c r="U398" s="8" t="str">
        <f>IF($A398="","",IF(ISNUMBER(FIND("IMPVOL",U$1)),_xll.BDH(config!$G$4,U$1,WORKDAY($A398,-1,config_Holiday_Calendar_US),WORKDAY($A398,-1,config_Holiday_Calendar_US)),IF(ISNUMBER(_xll.BDH(config!$G$4,U$1,$A398,$A398)),_xll.BDH(config!$G$4,U$1,$A398,$A398),_xll.BDH(config!$G$5,U$1,$A398,$A398))))</f>
        <v>#N/A Requesting Data...</v>
      </c>
      <c r="V398" s="8" t="str">
        <f>IF($A398="","",IF(ISNUMBER(FIND("IMPVOL",V$1)),_xll.BDH(config!$G$4,V$1,WORKDAY($A398,-1,config_Holiday_Calendar_US),WORKDAY($A398,-1,config_Holiday_Calendar_US)),IF(ISNUMBER(_xll.BDH(config!$G$4,V$1,$A398,$A398)),_xll.BDH(config!$G$4,V$1,$A398,$A398),_xll.BDH(config!$G$5,V$1,$A398,$A398))))</f>
        <v>#N/A Requesting Data...</v>
      </c>
      <c r="W398" s="8" t="str">
        <f>IF($A398="","",IF(ISNUMBER(FIND("IMPVOL",W$1)),_xll.BDH(config!$G$4,W$1,WORKDAY($A398,-1,config_Holiday_Calendar_US),WORKDAY($A398,-1,config_Holiday_Calendar_US)),IF(ISNUMBER(_xll.BDH(config!$G$4,W$1,$A398,$A398)),_xll.BDH(config!$G$4,W$1,$A398,$A398),_xll.BDH(config!$G$5,W$1,$A398,$A398))))</f>
        <v>#N/A Requesting Data...</v>
      </c>
    </row>
    <row r="399" spans="1:23" x14ac:dyDescent="0.2">
      <c r="A399" s="9">
        <f>IF(A398="","",IF(WORKDAY(A398,-1,config_Holiday_Calendar_US)&lt;config!$I$10,"",WORKDAY(A398,-1,config_Holiday_Calendar_US)))</f>
        <v>42249</v>
      </c>
      <c r="B399" s="8" t="e">
        <f t="shared" si="6"/>
        <v>#VALUE!</v>
      </c>
      <c r="C399" s="8" t="str">
        <f>IF(A399="","",_xll.BDH(config!$H$4,C$1,$A399,$A399))</f>
        <v>#N/A Requesting Data...</v>
      </c>
      <c r="D399" s="8" t="str">
        <f>IF($A399="","",_xll.BDH(config!$H$4,D$1,$A399,$A399))</f>
        <v>#N/A Requesting Data...</v>
      </c>
      <c r="E399" s="8">
        <f>IF($A399="","",IF(ISNUMBER(FIND("IMPVOL",E$1)),_xll.BDH(config!$G$4,E$1,WORKDAY($A399,-1,config_Holiday_Calendar_US),WORKDAY($A399,-1,config_Holiday_Calendar_US)),IF(ISNUMBER(_xll.BDH(config!$G$4,E$1,$A399,$A399)),_xll.BDH(config!$G$4,E$1,$A399,$A399),_xll.BDH(config!$G$5,E$1,$A399,$A399))))</f>
        <v>44.26</v>
      </c>
      <c r="F399" s="8">
        <f>IF($A399="","",IF(ISNUMBER(FIND("IMPVOL",F$1)),_xll.BDH(config!$G$4,F$1,WORKDAY($A399,-1,config_Holiday_Calendar_US),WORKDAY($A399,-1,config_Holiday_Calendar_US)),IF(ISNUMBER(_xll.BDH(config!$G$4,F$1,$A399,$A399)),_xll.BDH(config!$G$4,F$1,$A399,$A399),_xll.BDH(config!$G$5,F$1,$A399,$A399))))</f>
        <v>46.77</v>
      </c>
      <c r="G399" s="8">
        <f>IF($A399="","",IF(ISNUMBER(FIND("IMPVOL",G$1)),_xll.BDH(config!$G$4,G$1,WORKDAY($A399,-1,config_Holiday_Calendar_US),WORKDAY($A399,-1,config_Holiday_Calendar_US)),IF(ISNUMBER(_xll.BDH(config!$G$4,G$1,$A399,$A399)),_xll.BDH(config!$G$4,G$1,$A399,$A399),_xll.BDH(config!$G$5,G$1,$A399,$A399))))</f>
        <v>43.89</v>
      </c>
      <c r="H399" s="8">
        <f>IF($A399="","",IF(ISNUMBER(FIND("IMPVOL",H$1)),_xll.BDH(config!$G$4,H$1,WORKDAY($A399,-1,config_Holiday_Calendar_US),WORKDAY($A399,-1,config_Holiday_Calendar_US)),IF(ISNUMBER(_xll.BDH(config!$G$4,H$1,$A399,$A399)),_xll.BDH(config!$G$4,H$1,$A399,$A399),_xll.BDH(config!$G$5,H$1,$A399,$A399))))</f>
        <v>172548</v>
      </c>
      <c r="I399" s="8" t="str">
        <f>IF($A399="","",IF(ISNUMBER(FIND("IMPVOL",I$1)),_xll.BDH(config!$G$4,I$1,WORKDAY($A399,-1,config_Holiday_Calendar_US),WORKDAY($A399,-1,config_Holiday_Calendar_US)),IF(ISNUMBER(_xll.BDH(config!$G$4,I$1,$A399,$A399)),_xll.BDH(config!$G$4,I$1,$A399,$A399),_xll.BDH(config!$G$5,I$1,$A399,$A399))))</f>
        <v>#N/A Requesting Data...</v>
      </c>
      <c r="J399" s="8" t="str">
        <f>IF($A399="","",IF(ISNUMBER(FIND("IMPVOL",J$1)),_xll.BDH(config!$G$4,J$1,WORKDAY($A399,-1,config_Holiday_Calendar_US),WORKDAY($A399,-1,config_Holiday_Calendar_US)),IF(ISNUMBER(_xll.BDH(config!$G$4,J$1,$A399,$A399)),_xll.BDH(config!$G$4,J$1,$A399,$A399),_xll.BDH(config!$G$5,J$1,$A399,$A399))))</f>
        <v>#N/A Requesting Data...</v>
      </c>
      <c r="K399" s="8" t="str">
        <f>IF($A399="","",IF(ISNUMBER(FIND("IMPVOL",K$1)),_xll.BDH(config!$G$4,K$1,WORKDAY($A399,-1,config_Holiday_Calendar_US),WORKDAY($A399,-1,config_Holiday_Calendar_US)),IF(ISNUMBER(_xll.BDH(config!$G$4,K$1,$A399,$A399)),_xll.BDH(config!$G$4,K$1,$A399,$A399),_xll.BDH(config!$G$5,K$1,$A399,$A399))))</f>
        <v>#N/A Requesting Data...</v>
      </c>
      <c r="L399" s="8" t="str">
        <f>IF($A399="","",IF(ISNUMBER(FIND("IMPVOL",L$1)),_xll.BDH(config!$G$4,L$1,WORKDAY($A399,-1,config_Holiday_Calendar_US),WORKDAY($A399,-1,config_Holiday_Calendar_US)),IF(ISNUMBER(_xll.BDH(config!$G$4,L$1,$A399,$A399)),_xll.BDH(config!$G$4,L$1,$A399,$A399),_xll.BDH(config!$G$5,L$1,$A399,$A399))))</f>
        <v>#N/A Requesting Data...</v>
      </c>
      <c r="M399" s="8" t="str">
        <f>IF($A399="","",IF(ISNUMBER(FIND("IMPVOL",M$1)),_xll.BDH(config!$G$4,M$1,WORKDAY($A399,-1,config_Holiday_Calendar_US),WORKDAY($A399,-1,config_Holiday_Calendar_US)),IF(ISNUMBER(_xll.BDH(config!$G$4,M$1,$A399,$A399)),_xll.BDH(config!$G$4,M$1,$A399,$A399),_xll.BDH(config!$G$5,M$1,$A399,$A399))))</f>
        <v>#N/A Requesting Data...</v>
      </c>
      <c r="N399" s="8" t="str">
        <f>IF($A399="","",IF(ISNUMBER(FIND("IMPVOL",N$1)),_xll.BDH(config!$G$4,N$1,WORKDAY($A399,-1,config_Holiday_Calendar_US),WORKDAY($A399,-1,config_Holiday_Calendar_US)),IF(ISNUMBER(_xll.BDH(config!$G$4,N$1,$A399,$A399)),_xll.BDH(config!$G$4,N$1,$A399,$A399),_xll.BDH(config!$G$5,N$1,$A399,$A399))))</f>
        <v>#N/A Requesting Data...</v>
      </c>
      <c r="O399" s="8" t="str">
        <f>IF($A399="","",IF(ISNUMBER(FIND("IMPVOL",O$1)),_xll.BDH(config!$G$4,O$1,WORKDAY($A399,-1,config_Holiday_Calendar_US),WORKDAY($A399,-1,config_Holiday_Calendar_US)),IF(ISNUMBER(_xll.BDH(config!$G$4,O$1,$A399,$A399)),_xll.BDH(config!$G$4,O$1,$A399,$A399),_xll.BDH(config!$G$5,O$1,$A399,$A399))))</f>
        <v>#N/A Requesting Data...</v>
      </c>
      <c r="P399" s="8" t="str">
        <f>IF($A399="","",IF(ISNUMBER(FIND("IMPVOL",P$1)),_xll.BDH(config!$G$4,P$1,WORKDAY($A399,-1,config_Holiday_Calendar_US),WORKDAY($A399,-1,config_Holiday_Calendar_US)),IF(ISNUMBER(_xll.BDH(config!$G$4,P$1,$A399,$A399)),_xll.BDH(config!$G$4,P$1,$A399,$A399),_xll.BDH(config!$G$5,P$1,$A399,$A399))))</f>
        <v>#N/A Requesting Data...</v>
      </c>
      <c r="Q399" s="8">
        <f>IF($A399="","",IF(ISNUMBER(FIND("IMPVOL",Q$1)),_xll.BDH(config!$G$4,Q$1,WORKDAY($A399,-1,config_Holiday_Calendar_US),WORKDAY($A399,-1,config_Holiday_Calendar_US)),IF(ISNUMBER(_xll.BDH(config!$G$4,Q$1,$A399,$A399)),_xll.BDH(config!$G$4,Q$1,$A399,$A399),_xll.BDH(config!$G$5,Q$1,$A399,$A399))))</f>
        <v>96.86</v>
      </c>
      <c r="R399" s="8">
        <f>IF($A399="","",IF(ISNUMBER(FIND("IMPVOL",R$1)),_xll.BDH(config!$G$4,R$1,WORKDAY($A399,-1,config_Holiday_Calendar_US),WORKDAY($A399,-1,config_Holiday_Calendar_US)),IF(ISNUMBER(_xll.BDH(config!$G$4,R$1,$A399,$A399)),_xll.BDH(config!$G$4,R$1,$A399,$A399),_xll.BDH(config!$G$5,R$1,$A399,$A399))))</f>
        <v>60.96</v>
      </c>
      <c r="S399" s="8" t="str">
        <f>IF($A399="","",IF(ISNUMBER(FIND("IMPVOL",S$1)),_xll.BDH(config!$G$4,S$1,WORKDAY($A399,-1,config_Holiday_Calendar_US),WORKDAY($A399,-1,config_Holiday_Calendar_US)),IF(ISNUMBER(_xll.BDH(config!$G$4,S$1,$A399,$A399)),_xll.BDH(config!$G$4,S$1,$A399,$A399),_xll.BDH(config!$G$5,S$1,$A399,$A399))))</f>
        <v>#N/A Requesting Data...</v>
      </c>
      <c r="T399" s="8" t="str">
        <f>IF($A399="","",IF(ISNUMBER(FIND("IMPVOL",T$1)),_xll.BDH(config!$G$4,T$1,WORKDAY($A399,-1,config_Holiday_Calendar_US),WORKDAY($A399,-1,config_Holiday_Calendar_US)),IF(ISNUMBER(_xll.BDH(config!$G$4,T$1,$A399,$A399)),_xll.BDH(config!$G$4,T$1,$A399,$A399),_xll.BDH(config!$G$5,T$1,$A399,$A399))))</f>
        <v>#N/A Requesting Data...</v>
      </c>
      <c r="U399" s="8" t="str">
        <f>IF($A399="","",IF(ISNUMBER(FIND("IMPVOL",U$1)),_xll.BDH(config!$G$4,U$1,WORKDAY($A399,-1,config_Holiday_Calendar_US),WORKDAY($A399,-1,config_Holiday_Calendar_US)),IF(ISNUMBER(_xll.BDH(config!$G$4,U$1,$A399,$A399)),_xll.BDH(config!$G$4,U$1,$A399,$A399),_xll.BDH(config!$G$5,U$1,$A399,$A399))))</f>
        <v>#N/A Requesting Data...</v>
      </c>
      <c r="V399" s="8" t="str">
        <f>IF($A399="","",IF(ISNUMBER(FIND("IMPVOL",V$1)),_xll.BDH(config!$G$4,V$1,WORKDAY($A399,-1,config_Holiday_Calendar_US),WORKDAY($A399,-1,config_Holiday_Calendar_US)),IF(ISNUMBER(_xll.BDH(config!$G$4,V$1,$A399,$A399)),_xll.BDH(config!$G$4,V$1,$A399,$A399),_xll.BDH(config!$G$5,V$1,$A399,$A399))))</f>
        <v>#N/A Requesting Data...</v>
      </c>
      <c r="W399" s="8" t="str">
        <f>IF($A399="","",IF(ISNUMBER(FIND("IMPVOL",W$1)),_xll.BDH(config!$G$4,W$1,WORKDAY($A399,-1,config_Holiday_Calendar_US),WORKDAY($A399,-1,config_Holiday_Calendar_US)),IF(ISNUMBER(_xll.BDH(config!$G$4,W$1,$A399,$A399)),_xll.BDH(config!$G$4,W$1,$A399,$A399),_xll.BDH(config!$G$5,W$1,$A399,$A399))))</f>
        <v>#N/A Requesting Data...</v>
      </c>
    </row>
    <row r="400" spans="1:23" x14ac:dyDescent="0.2">
      <c r="A400" s="9">
        <f>IF(A399="","",IF(WORKDAY(A399,-1,config_Holiday_Calendar_US)&lt;config!$I$10,"",WORKDAY(A399,-1,config_Holiday_Calendar_US)))</f>
        <v>42248</v>
      </c>
      <c r="B400" s="8" t="e">
        <f t="shared" si="6"/>
        <v>#VALUE!</v>
      </c>
      <c r="C400" s="8" t="str">
        <f>IF(A400="","",_xll.BDH(config!$H$4,C$1,$A400,$A400))</f>
        <v>#N/A Requesting Data...</v>
      </c>
      <c r="D400" s="8" t="str">
        <f>IF($A400="","",_xll.BDH(config!$H$4,D$1,$A400,$A400))</f>
        <v>#N/A Requesting Data...</v>
      </c>
      <c r="E400" s="8">
        <f>IF($A400="","",IF(ISNUMBER(FIND("IMPVOL",E$1)),_xll.BDH(config!$G$4,E$1,WORKDAY($A400,-1,config_Holiday_Calendar_US),WORKDAY($A400,-1,config_Holiday_Calendar_US)),IF(ISNUMBER(_xll.BDH(config!$G$4,E$1,$A400,$A400)),_xll.BDH(config!$G$4,E$1,$A400,$A400),_xll.BDH(config!$G$5,E$1,$A400,$A400))))</f>
        <v>48.1</v>
      </c>
      <c r="F400" s="8">
        <f>IF($A400="","",IF(ISNUMBER(FIND("IMPVOL",F$1)),_xll.BDH(config!$G$4,F$1,WORKDAY($A400,-1,config_Holiday_Calendar_US),WORKDAY($A400,-1,config_Holiday_Calendar_US)),IF(ISNUMBER(_xll.BDH(config!$G$4,F$1,$A400,$A400)),_xll.BDH(config!$G$4,F$1,$A400,$A400),_xll.BDH(config!$G$5,F$1,$A400,$A400))))</f>
        <v>48.87</v>
      </c>
      <c r="G400" s="8">
        <f>IF($A400="","",IF(ISNUMBER(FIND("IMPVOL",G$1)),_xll.BDH(config!$G$4,G$1,WORKDAY($A400,-1,config_Holiday_Calendar_US),WORKDAY($A400,-1,config_Holiday_Calendar_US)),IF(ISNUMBER(_xll.BDH(config!$G$4,G$1,$A400,$A400)),_xll.BDH(config!$G$4,G$1,$A400,$A400),_xll.BDH(config!$G$5,G$1,$A400,$A400))))</f>
        <v>44.78</v>
      </c>
      <c r="H400" s="8">
        <f>IF($A400="","",IF(ISNUMBER(FIND("IMPVOL",H$1)),_xll.BDH(config!$G$4,H$1,WORKDAY($A400,-1,config_Holiday_Calendar_US),WORKDAY($A400,-1,config_Holiday_Calendar_US)),IF(ISNUMBER(_xll.BDH(config!$G$4,H$1,$A400,$A400)),_xll.BDH(config!$G$4,H$1,$A400,$A400),_xll.BDH(config!$G$5,H$1,$A400,$A400))))</f>
        <v>179758</v>
      </c>
      <c r="I400" s="8" t="str">
        <f>IF($A400="","",IF(ISNUMBER(FIND("IMPVOL",I$1)),_xll.BDH(config!$G$4,I$1,WORKDAY($A400,-1,config_Holiday_Calendar_US),WORKDAY($A400,-1,config_Holiday_Calendar_US)),IF(ISNUMBER(_xll.BDH(config!$G$4,I$1,$A400,$A400)),_xll.BDH(config!$G$4,I$1,$A400,$A400),_xll.BDH(config!$G$5,I$1,$A400,$A400))))</f>
        <v>#N/A Requesting Data...</v>
      </c>
      <c r="J400" s="8" t="str">
        <f>IF($A400="","",IF(ISNUMBER(FIND("IMPVOL",J$1)),_xll.BDH(config!$G$4,J$1,WORKDAY($A400,-1,config_Holiday_Calendar_US),WORKDAY($A400,-1,config_Holiday_Calendar_US)),IF(ISNUMBER(_xll.BDH(config!$G$4,J$1,$A400,$A400)),_xll.BDH(config!$G$4,J$1,$A400,$A400),_xll.BDH(config!$G$5,J$1,$A400,$A400))))</f>
        <v>#N/A Requesting Data...</v>
      </c>
      <c r="K400" s="8" t="str">
        <f>IF($A400="","",IF(ISNUMBER(FIND("IMPVOL",K$1)),_xll.BDH(config!$G$4,K$1,WORKDAY($A400,-1,config_Holiday_Calendar_US),WORKDAY($A400,-1,config_Holiday_Calendar_US)),IF(ISNUMBER(_xll.BDH(config!$G$4,K$1,$A400,$A400)),_xll.BDH(config!$G$4,K$1,$A400,$A400),_xll.BDH(config!$G$5,K$1,$A400,$A400))))</f>
        <v>#N/A Requesting Data...</v>
      </c>
      <c r="L400" s="8" t="str">
        <f>IF($A400="","",IF(ISNUMBER(FIND("IMPVOL",L$1)),_xll.BDH(config!$G$4,L$1,WORKDAY($A400,-1,config_Holiday_Calendar_US),WORKDAY($A400,-1,config_Holiday_Calendar_US)),IF(ISNUMBER(_xll.BDH(config!$G$4,L$1,$A400,$A400)),_xll.BDH(config!$G$4,L$1,$A400,$A400),_xll.BDH(config!$G$5,L$1,$A400,$A400))))</f>
        <v>#N/A Requesting Data...</v>
      </c>
      <c r="M400" s="8" t="str">
        <f>IF($A400="","",IF(ISNUMBER(FIND("IMPVOL",M$1)),_xll.BDH(config!$G$4,M$1,WORKDAY($A400,-1,config_Holiday_Calendar_US),WORKDAY($A400,-1,config_Holiday_Calendar_US)),IF(ISNUMBER(_xll.BDH(config!$G$4,M$1,$A400,$A400)),_xll.BDH(config!$G$4,M$1,$A400,$A400),_xll.BDH(config!$G$5,M$1,$A400,$A400))))</f>
        <v>#N/A Requesting Data...</v>
      </c>
      <c r="N400" s="8" t="str">
        <f>IF($A400="","",IF(ISNUMBER(FIND("IMPVOL",N$1)),_xll.BDH(config!$G$4,N$1,WORKDAY($A400,-1,config_Holiday_Calendar_US),WORKDAY($A400,-1,config_Holiday_Calendar_US)),IF(ISNUMBER(_xll.BDH(config!$G$4,N$1,$A400,$A400)),_xll.BDH(config!$G$4,N$1,$A400,$A400),_xll.BDH(config!$G$5,N$1,$A400,$A400))))</f>
        <v>#N/A Requesting Data...</v>
      </c>
      <c r="O400" s="8" t="str">
        <f>IF($A400="","",IF(ISNUMBER(FIND("IMPVOL",O$1)),_xll.BDH(config!$G$4,O$1,WORKDAY($A400,-1,config_Holiday_Calendar_US),WORKDAY($A400,-1,config_Holiday_Calendar_US)),IF(ISNUMBER(_xll.BDH(config!$G$4,O$1,$A400,$A400)),_xll.BDH(config!$G$4,O$1,$A400,$A400),_xll.BDH(config!$G$5,O$1,$A400,$A400))))</f>
        <v>#N/A Requesting Data...</v>
      </c>
      <c r="P400" s="8" t="str">
        <f>IF($A400="","",IF(ISNUMBER(FIND("IMPVOL",P$1)),_xll.BDH(config!$G$4,P$1,WORKDAY($A400,-1,config_Holiday_Calendar_US),WORKDAY($A400,-1,config_Holiday_Calendar_US)),IF(ISNUMBER(_xll.BDH(config!$G$4,P$1,$A400,$A400)),_xll.BDH(config!$G$4,P$1,$A400,$A400),_xll.BDH(config!$G$5,P$1,$A400,$A400))))</f>
        <v>#N/A Requesting Data...</v>
      </c>
      <c r="Q400" s="8">
        <f>IF($A400="","",IF(ISNUMBER(FIND("IMPVOL",Q$1)),_xll.BDH(config!$G$4,Q$1,WORKDAY($A400,-1,config_Holiday_Calendar_US),WORKDAY($A400,-1,config_Holiday_Calendar_US)),IF(ISNUMBER(_xll.BDH(config!$G$4,Q$1,$A400,$A400)),_xll.BDH(config!$G$4,Q$1,$A400,$A400),_xll.BDH(config!$G$5,Q$1,$A400,$A400))))</f>
        <v>97.05</v>
      </c>
      <c r="R400" s="8">
        <f>IF($A400="","",IF(ISNUMBER(FIND("IMPVOL",R$1)),_xll.BDH(config!$G$4,R$1,WORKDAY($A400,-1,config_Holiday_Calendar_US),WORKDAY($A400,-1,config_Holiday_Calendar_US)),IF(ISNUMBER(_xll.BDH(config!$G$4,R$1,$A400,$A400)),_xll.BDH(config!$G$4,R$1,$A400,$A400),_xll.BDH(config!$G$5,R$1,$A400,$A400))))</f>
        <v>60.79</v>
      </c>
      <c r="S400" s="8" t="str">
        <f>IF($A400="","",IF(ISNUMBER(FIND("IMPVOL",S$1)),_xll.BDH(config!$G$4,S$1,WORKDAY($A400,-1,config_Holiday_Calendar_US),WORKDAY($A400,-1,config_Holiday_Calendar_US)),IF(ISNUMBER(_xll.BDH(config!$G$4,S$1,$A400,$A400)),_xll.BDH(config!$G$4,S$1,$A400,$A400),_xll.BDH(config!$G$5,S$1,$A400,$A400))))</f>
        <v>#N/A Requesting Data...</v>
      </c>
      <c r="T400" s="8" t="str">
        <f>IF($A400="","",IF(ISNUMBER(FIND("IMPVOL",T$1)),_xll.BDH(config!$G$4,T$1,WORKDAY($A400,-1,config_Holiday_Calendar_US),WORKDAY($A400,-1,config_Holiday_Calendar_US)),IF(ISNUMBER(_xll.BDH(config!$G$4,T$1,$A400,$A400)),_xll.BDH(config!$G$4,T$1,$A400,$A400),_xll.BDH(config!$G$5,T$1,$A400,$A400))))</f>
        <v>#N/A Requesting Data...</v>
      </c>
      <c r="U400" s="8" t="str">
        <f>IF($A400="","",IF(ISNUMBER(FIND("IMPVOL",U$1)),_xll.BDH(config!$G$4,U$1,WORKDAY($A400,-1,config_Holiday_Calendar_US),WORKDAY($A400,-1,config_Holiday_Calendar_US)),IF(ISNUMBER(_xll.BDH(config!$G$4,U$1,$A400,$A400)),_xll.BDH(config!$G$4,U$1,$A400,$A400),_xll.BDH(config!$G$5,U$1,$A400,$A400))))</f>
        <v>#N/A Requesting Data...</v>
      </c>
      <c r="V400" s="8" t="str">
        <f>IF($A400="","",IF(ISNUMBER(FIND("IMPVOL",V$1)),_xll.BDH(config!$G$4,V$1,WORKDAY($A400,-1,config_Holiday_Calendar_US),WORKDAY($A400,-1,config_Holiday_Calendar_US)),IF(ISNUMBER(_xll.BDH(config!$G$4,V$1,$A400,$A400)),_xll.BDH(config!$G$4,V$1,$A400,$A400),_xll.BDH(config!$G$5,V$1,$A400,$A400))))</f>
        <v>#N/A Requesting Data...</v>
      </c>
      <c r="W400" s="8" t="str">
        <f>IF($A400="","",IF(ISNUMBER(FIND("IMPVOL",W$1)),_xll.BDH(config!$G$4,W$1,WORKDAY($A400,-1,config_Holiday_Calendar_US),WORKDAY($A400,-1,config_Holiday_Calendar_US)),IF(ISNUMBER(_xll.BDH(config!$G$4,W$1,$A400,$A400)),_xll.BDH(config!$G$4,W$1,$A400,$A400),_xll.BDH(config!$G$5,W$1,$A400,$A400))))</f>
        <v>#N/A Requesting Data...</v>
      </c>
    </row>
    <row r="401" spans="1:23" x14ac:dyDescent="0.2">
      <c r="A401" s="9">
        <f>IF(A400="","",IF(WORKDAY(A400,-1,config_Holiday_Calendar_US)&lt;config!$I$10,"",WORKDAY(A400,-1,config_Holiday_Calendar_US)))</f>
        <v>42247</v>
      </c>
      <c r="B401" s="8" t="e">
        <f t="shared" si="6"/>
        <v>#VALUE!</v>
      </c>
      <c r="C401" s="8" t="str">
        <f>IF(A401="","",_xll.BDH(config!$H$4,C$1,$A401,$A401))</f>
        <v>#N/A Requesting Data...</v>
      </c>
      <c r="D401" s="8" t="str">
        <f>IF($A401="","",_xll.BDH(config!$H$4,D$1,$A401,$A401))</f>
        <v>#N/A Requesting Data...</v>
      </c>
      <c r="E401" s="8">
        <f>IF($A401="","",IF(ISNUMBER(FIND("IMPVOL",E$1)),_xll.BDH(config!$G$4,E$1,WORKDAY($A401,-1,config_Holiday_Calendar_US),WORKDAY($A401,-1,config_Holiday_Calendar_US)),IF(ISNUMBER(_xll.BDH(config!$G$4,E$1,$A401,$A401)),_xll.BDH(config!$G$4,E$1,$A401,$A401),_xll.BDH(config!$G$5,E$1,$A401,$A401))))</f>
        <v>45</v>
      </c>
      <c r="F401" s="8">
        <f>IF($A401="","",IF(ISNUMBER(FIND("IMPVOL",F$1)),_xll.BDH(config!$G$4,F$1,WORKDAY($A401,-1,config_Holiday_Calendar_US),WORKDAY($A401,-1,config_Holiday_Calendar_US)),IF(ISNUMBER(_xll.BDH(config!$G$4,F$1,$A401,$A401)),_xll.BDH(config!$G$4,F$1,$A401,$A401),_xll.BDH(config!$G$5,F$1,$A401,$A401))))</f>
        <v>49.33</v>
      </c>
      <c r="G401" s="8">
        <f>IF($A401="","",IF(ISNUMBER(FIND("IMPVOL",G$1)),_xll.BDH(config!$G$4,G$1,WORKDAY($A401,-1,config_Holiday_Calendar_US),WORKDAY($A401,-1,config_Holiday_Calendar_US)),IF(ISNUMBER(_xll.BDH(config!$G$4,G$1,$A401,$A401)),_xll.BDH(config!$G$4,G$1,$A401,$A401),_xll.BDH(config!$G$5,G$1,$A401,$A401))))</f>
        <v>44.34</v>
      </c>
      <c r="H401" s="8">
        <f>IF($A401="","",IF(ISNUMBER(FIND("IMPVOL",H$1)),_xll.BDH(config!$G$4,H$1,WORKDAY($A401,-1,config_Holiday_Calendar_US),WORKDAY($A401,-1,config_Holiday_Calendar_US)),IF(ISNUMBER(_xll.BDH(config!$G$4,H$1,$A401,$A401)),_xll.BDH(config!$G$4,H$1,$A401,$A401),_xll.BDH(config!$G$5,H$1,$A401,$A401))))</f>
        <v>154921</v>
      </c>
      <c r="I401" s="8" t="str">
        <f>IF($A401="","",IF(ISNUMBER(FIND("IMPVOL",I$1)),_xll.BDH(config!$G$4,I$1,WORKDAY($A401,-1,config_Holiday_Calendar_US),WORKDAY($A401,-1,config_Holiday_Calendar_US)),IF(ISNUMBER(_xll.BDH(config!$G$4,I$1,$A401,$A401)),_xll.BDH(config!$G$4,I$1,$A401,$A401),_xll.BDH(config!$G$5,I$1,$A401,$A401))))</f>
        <v>#N/A Requesting Data...</v>
      </c>
      <c r="J401" s="8" t="str">
        <f>IF($A401="","",IF(ISNUMBER(FIND("IMPVOL",J$1)),_xll.BDH(config!$G$4,J$1,WORKDAY($A401,-1,config_Holiday_Calendar_US),WORKDAY($A401,-1,config_Holiday_Calendar_US)),IF(ISNUMBER(_xll.BDH(config!$G$4,J$1,$A401,$A401)),_xll.BDH(config!$G$4,J$1,$A401,$A401),_xll.BDH(config!$G$5,J$1,$A401,$A401))))</f>
        <v>#N/A Requesting Data...</v>
      </c>
      <c r="K401" s="8" t="str">
        <f>IF($A401="","",IF(ISNUMBER(FIND("IMPVOL",K$1)),_xll.BDH(config!$G$4,K$1,WORKDAY($A401,-1,config_Holiday_Calendar_US),WORKDAY($A401,-1,config_Holiday_Calendar_US)),IF(ISNUMBER(_xll.BDH(config!$G$4,K$1,$A401,$A401)),_xll.BDH(config!$G$4,K$1,$A401,$A401),_xll.BDH(config!$G$5,K$1,$A401,$A401))))</f>
        <v>#N/A Requesting Data...</v>
      </c>
      <c r="L401" s="8" t="str">
        <f>IF($A401="","",IF(ISNUMBER(FIND("IMPVOL",L$1)),_xll.BDH(config!$G$4,L$1,WORKDAY($A401,-1,config_Holiday_Calendar_US),WORKDAY($A401,-1,config_Holiday_Calendar_US)),IF(ISNUMBER(_xll.BDH(config!$G$4,L$1,$A401,$A401)),_xll.BDH(config!$G$4,L$1,$A401,$A401),_xll.BDH(config!$G$5,L$1,$A401,$A401))))</f>
        <v>#N/A Requesting Data...</v>
      </c>
      <c r="M401" s="8" t="str">
        <f>IF($A401="","",IF(ISNUMBER(FIND("IMPVOL",M$1)),_xll.BDH(config!$G$4,M$1,WORKDAY($A401,-1,config_Holiday_Calendar_US),WORKDAY($A401,-1,config_Holiday_Calendar_US)),IF(ISNUMBER(_xll.BDH(config!$G$4,M$1,$A401,$A401)),_xll.BDH(config!$G$4,M$1,$A401,$A401),_xll.BDH(config!$G$5,M$1,$A401,$A401))))</f>
        <v>#N/A Requesting Data...</v>
      </c>
      <c r="N401" s="8" t="str">
        <f>IF($A401="","",IF(ISNUMBER(FIND("IMPVOL",N$1)),_xll.BDH(config!$G$4,N$1,WORKDAY($A401,-1,config_Holiday_Calendar_US),WORKDAY($A401,-1,config_Holiday_Calendar_US)),IF(ISNUMBER(_xll.BDH(config!$G$4,N$1,$A401,$A401)),_xll.BDH(config!$G$4,N$1,$A401,$A401),_xll.BDH(config!$G$5,N$1,$A401,$A401))))</f>
        <v>#N/A Requesting Data...</v>
      </c>
      <c r="O401" s="8" t="str">
        <f>IF($A401="","",IF(ISNUMBER(FIND("IMPVOL",O$1)),_xll.BDH(config!$G$4,O$1,WORKDAY($A401,-1,config_Holiday_Calendar_US),WORKDAY($A401,-1,config_Holiday_Calendar_US)),IF(ISNUMBER(_xll.BDH(config!$G$4,O$1,$A401,$A401)),_xll.BDH(config!$G$4,O$1,$A401,$A401),_xll.BDH(config!$G$5,O$1,$A401,$A401))))</f>
        <v>#N/A Requesting Data...</v>
      </c>
      <c r="P401" s="8" t="str">
        <f>IF($A401="","",IF(ISNUMBER(FIND("IMPVOL",P$1)),_xll.BDH(config!$G$4,P$1,WORKDAY($A401,-1,config_Holiday_Calendar_US),WORKDAY($A401,-1,config_Holiday_Calendar_US)),IF(ISNUMBER(_xll.BDH(config!$G$4,P$1,$A401,$A401)),_xll.BDH(config!$G$4,P$1,$A401,$A401),_xll.BDH(config!$G$5,P$1,$A401,$A401))))</f>
        <v>#N/A Requesting Data...</v>
      </c>
      <c r="Q401" s="8">
        <f>IF($A401="","",IF(ISNUMBER(FIND("IMPVOL",Q$1)),_xll.BDH(config!$G$4,Q$1,WORKDAY($A401,-1,config_Holiday_Calendar_US),WORKDAY($A401,-1,config_Holiday_Calendar_US)),IF(ISNUMBER(_xll.BDH(config!$G$4,Q$1,$A401,$A401)),_xll.BDH(config!$G$4,Q$1,$A401,$A401),_xll.BDH(config!$G$5,Q$1,$A401,$A401))))</f>
        <v>86.8</v>
      </c>
      <c r="R401" s="8">
        <f>IF($A401="","",IF(ISNUMBER(FIND("IMPVOL",R$1)),_xll.BDH(config!$G$4,R$1,WORKDAY($A401,-1,config_Holiday_Calendar_US),WORKDAY($A401,-1,config_Holiday_Calendar_US)),IF(ISNUMBER(_xll.BDH(config!$G$4,R$1,$A401,$A401)),_xll.BDH(config!$G$4,R$1,$A401,$A401),_xll.BDH(config!$G$5,R$1,$A401,$A401))))</f>
        <v>56.1</v>
      </c>
      <c r="S401" s="8" t="str">
        <f>IF($A401="","",IF(ISNUMBER(FIND("IMPVOL",S$1)),_xll.BDH(config!$G$4,S$1,WORKDAY($A401,-1,config_Holiday_Calendar_US),WORKDAY($A401,-1,config_Holiday_Calendar_US)),IF(ISNUMBER(_xll.BDH(config!$G$4,S$1,$A401,$A401)),_xll.BDH(config!$G$4,S$1,$A401,$A401),_xll.BDH(config!$G$5,S$1,$A401,$A401))))</f>
        <v>#N/A Requesting Data...</v>
      </c>
      <c r="T401" s="8" t="str">
        <f>IF($A401="","",IF(ISNUMBER(FIND("IMPVOL",T$1)),_xll.BDH(config!$G$4,T$1,WORKDAY($A401,-1,config_Holiday_Calendar_US),WORKDAY($A401,-1,config_Holiday_Calendar_US)),IF(ISNUMBER(_xll.BDH(config!$G$4,T$1,$A401,$A401)),_xll.BDH(config!$G$4,T$1,$A401,$A401),_xll.BDH(config!$G$5,T$1,$A401,$A401))))</f>
        <v>#N/A Requesting Data...</v>
      </c>
      <c r="U401" s="8" t="str">
        <f>IF($A401="","",IF(ISNUMBER(FIND("IMPVOL",U$1)),_xll.BDH(config!$G$4,U$1,WORKDAY($A401,-1,config_Holiday_Calendar_US),WORKDAY($A401,-1,config_Holiday_Calendar_US)),IF(ISNUMBER(_xll.BDH(config!$G$4,U$1,$A401,$A401)),_xll.BDH(config!$G$4,U$1,$A401,$A401),_xll.BDH(config!$G$5,U$1,$A401,$A401))))</f>
        <v>#N/A Requesting Data...</v>
      </c>
      <c r="V401" s="8" t="str">
        <f>IF($A401="","",IF(ISNUMBER(FIND("IMPVOL",V$1)),_xll.BDH(config!$G$4,V$1,WORKDAY($A401,-1,config_Holiday_Calendar_US),WORKDAY($A401,-1,config_Holiday_Calendar_US)),IF(ISNUMBER(_xll.BDH(config!$G$4,V$1,$A401,$A401)),_xll.BDH(config!$G$4,V$1,$A401,$A401),_xll.BDH(config!$G$5,V$1,$A401,$A401))))</f>
        <v>#N/A Requesting Data...</v>
      </c>
      <c r="W401" s="8" t="str">
        <f>IF($A401="","",IF(ISNUMBER(FIND("IMPVOL",W$1)),_xll.BDH(config!$G$4,W$1,WORKDAY($A401,-1,config_Holiday_Calendar_US),WORKDAY($A401,-1,config_Holiday_Calendar_US)),IF(ISNUMBER(_xll.BDH(config!$G$4,W$1,$A401,$A401)),_xll.BDH(config!$G$4,W$1,$A401,$A401),_xll.BDH(config!$G$5,W$1,$A401,$A401))))</f>
        <v>#N/A Requesting Data...</v>
      </c>
    </row>
    <row r="402" spans="1:23" x14ac:dyDescent="0.2">
      <c r="A402" s="9">
        <f>IF(A401="","",IF(WORKDAY(A401,-1,config_Holiday_Calendar_US)&lt;config!$I$10,"",WORKDAY(A401,-1,config_Holiday_Calendar_US)))</f>
        <v>42244</v>
      </c>
      <c r="B402" s="8" t="e">
        <f t="shared" si="6"/>
        <v>#VALUE!</v>
      </c>
      <c r="C402" s="8" t="str">
        <f>IF(A402="","",_xll.BDH(config!$H$4,C$1,$A402,$A402))</f>
        <v>#N/A Requesting Data...</v>
      </c>
      <c r="D402" s="8" t="str">
        <f>IF($A402="","",_xll.BDH(config!$H$4,D$1,$A402,$A402))</f>
        <v>#N/A Requesting Data...</v>
      </c>
      <c r="E402" s="8">
        <f>IF($A402="","",IF(ISNUMBER(FIND("IMPVOL",E$1)),_xll.BDH(config!$G$4,E$1,WORKDAY($A402,-1,config_Holiday_Calendar_US),WORKDAY($A402,-1,config_Holiday_Calendar_US)),IF(ISNUMBER(_xll.BDH(config!$G$4,E$1,$A402,$A402)),_xll.BDH(config!$G$4,E$1,$A402,$A402),_xll.BDH(config!$G$5,E$1,$A402,$A402))))</f>
        <v>42.68</v>
      </c>
      <c r="F402" s="8">
        <f>IF($A402="","",IF(ISNUMBER(FIND("IMPVOL",F$1)),_xll.BDH(config!$G$4,F$1,WORKDAY($A402,-1,config_Holiday_Calendar_US),WORKDAY($A402,-1,config_Holiday_Calendar_US)),IF(ISNUMBER(_xll.BDH(config!$G$4,F$1,$A402,$A402)),_xll.BDH(config!$G$4,F$1,$A402,$A402),_xll.BDH(config!$G$5,F$1,$A402,$A402))))</f>
        <v>45.9</v>
      </c>
      <c r="G402" s="8">
        <f>IF($A402="","",IF(ISNUMBER(FIND("IMPVOL",G$1)),_xll.BDH(config!$G$4,G$1,WORKDAY($A402,-1,config_Holiday_Calendar_US),WORKDAY($A402,-1,config_Holiday_Calendar_US)),IF(ISNUMBER(_xll.BDH(config!$G$4,G$1,$A402,$A402)),_xll.BDH(config!$G$4,G$1,$A402,$A402),_xll.BDH(config!$G$5,G$1,$A402,$A402))))</f>
        <v>42.6</v>
      </c>
      <c r="H402" s="8">
        <f>IF($A402="","",IF(ISNUMBER(FIND("IMPVOL",H$1)),_xll.BDH(config!$G$4,H$1,WORKDAY($A402,-1,config_Holiday_Calendar_US),WORKDAY($A402,-1,config_Holiday_Calendar_US)),IF(ISNUMBER(_xll.BDH(config!$G$4,H$1,$A402,$A402)),_xll.BDH(config!$G$4,H$1,$A402,$A402),_xll.BDH(config!$G$5,H$1,$A402,$A402))))</f>
        <v>132863</v>
      </c>
      <c r="I402" s="8" t="str">
        <f>IF($A402="","",IF(ISNUMBER(FIND("IMPVOL",I$1)),_xll.BDH(config!$G$4,I$1,WORKDAY($A402,-1,config_Holiday_Calendar_US),WORKDAY($A402,-1,config_Holiday_Calendar_US)),IF(ISNUMBER(_xll.BDH(config!$G$4,I$1,$A402,$A402)),_xll.BDH(config!$G$4,I$1,$A402,$A402),_xll.BDH(config!$G$5,I$1,$A402,$A402))))</f>
        <v>#N/A Requesting Data...</v>
      </c>
      <c r="J402" s="8" t="str">
        <f>IF($A402="","",IF(ISNUMBER(FIND("IMPVOL",J$1)),_xll.BDH(config!$G$4,J$1,WORKDAY($A402,-1,config_Holiday_Calendar_US),WORKDAY($A402,-1,config_Holiday_Calendar_US)),IF(ISNUMBER(_xll.BDH(config!$G$4,J$1,$A402,$A402)),_xll.BDH(config!$G$4,J$1,$A402,$A402),_xll.BDH(config!$G$5,J$1,$A402,$A402))))</f>
        <v>#N/A Requesting Data...</v>
      </c>
      <c r="K402" s="8" t="str">
        <f>IF($A402="","",IF(ISNUMBER(FIND("IMPVOL",K$1)),_xll.BDH(config!$G$4,K$1,WORKDAY($A402,-1,config_Holiday_Calendar_US),WORKDAY($A402,-1,config_Holiday_Calendar_US)),IF(ISNUMBER(_xll.BDH(config!$G$4,K$1,$A402,$A402)),_xll.BDH(config!$G$4,K$1,$A402,$A402),_xll.BDH(config!$G$5,K$1,$A402,$A402))))</f>
        <v>#N/A Requesting Data...</v>
      </c>
      <c r="L402" s="8" t="str">
        <f>IF($A402="","",IF(ISNUMBER(FIND("IMPVOL",L$1)),_xll.BDH(config!$G$4,L$1,WORKDAY($A402,-1,config_Holiday_Calendar_US),WORKDAY($A402,-1,config_Holiday_Calendar_US)),IF(ISNUMBER(_xll.BDH(config!$G$4,L$1,$A402,$A402)),_xll.BDH(config!$G$4,L$1,$A402,$A402),_xll.BDH(config!$G$5,L$1,$A402,$A402))))</f>
        <v>#N/A Requesting Data...</v>
      </c>
      <c r="M402" s="8" t="str">
        <f>IF($A402="","",IF(ISNUMBER(FIND("IMPVOL",M$1)),_xll.BDH(config!$G$4,M$1,WORKDAY($A402,-1,config_Holiday_Calendar_US),WORKDAY($A402,-1,config_Holiday_Calendar_US)),IF(ISNUMBER(_xll.BDH(config!$G$4,M$1,$A402,$A402)),_xll.BDH(config!$G$4,M$1,$A402,$A402),_xll.BDH(config!$G$5,M$1,$A402,$A402))))</f>
        <v>#N/A Requesting Data...</v>
      </c>
      <c r="N402" s="8" t="str">
        <f>IF($A402="","",IF(ISNUMBER(FIND("IMPVOL",N$1)),_xll.BDH(config!$G$4,N$1,WORKDAY($A402,-1,config_Holiday_Calendar_US),WORKDAY($A402,-1,config_Holiday_Calendar_US)),IF(ISNUMBER(_xll.BDH(config!$G$4,N$1,$A402,$A402)),_xll.BDH(config!$G$4,N$1,$A402,$A402),_xll.BDH(config!$G$5,N$1,$A402,$A402))))</f>
        <v>#N/A Requesting Data...</v>
      </c>
      <c r="O402" s="8" t="str">
        <f>IF($A402="","",IF(ISNUMBER(FIND("IMPVOL",O$1)),_xll.BDH(config!$G$4,O$1,WORKDAY($A402,-1,config_Holiday_Calendar_US),WORKDAY($A402,-1,config_Holiday_Calendar_US)),IF(ISNUMBER(_xll.BDH(config!$G$4,O$1,$A402,$A402)),_xll.BDH(config!$G$4,O$1,$A402,$A402),_xll.BDH(config!$G$5,O$1,$A402,$A402))))</f>
        <v>#N/A Requesting Data...</v>
      </c>
      <c r="P402" s="8" t="str">
        <f>IF($A402="","",IF(ISNUMBER(FIND("IMPVOL",P$1)),_xll.BDH(config!$G$4,P$1,WORKDAY($A402,-1,config_Holiday_Calendar_US),WORKDAY($A402,-1,config_Holiday_Calendar_US)),IF(ISNUMBER(_xll.BDH(config!$G$4,P$1,$A402,$A402)),_xll.BDH(config!$G$4,P$1,$A402,$A402),_xll.BDH(config!$G$5,P$1,$A402,$A402))))</f>
        <v>#N/A Requesting Data...</v>
      </c>
      <c r="Q402" s="8">
        <f>IF($A402="","",IF(ISNUMBER(FIND("IMPVOL",Q$1)),_xll.BDH(config!$G$4,Q$1,WORKDAY($A402,-1,config_Holiday_Calendar_US),WORKDAY($A402,-1,config_Holiday_Calendar_US)),IF(ISNUMBER(_xll.BDH(config!$G$4,Q$1,$A402,$A402)),_xll.BDH(config!$G$4,Q$1,$A402,$A402),_xll.BDH(config!$G$5,Q$1,$A402,$A402))))</f>
        <v>77.180000000000007</v>
      </c>
      <c r="R402" s="8">
        <f>IF($A402="","",IF(ISNUMBER(FIND("IMPVOL",R$1)),_xll.BDH(config!$G$4,R$1,WORKDAY($A402,-1,config_Holiday_Calendar_US),WORKDAY($A402,-1,config_Holiday_Calendar_US)),IF(ISNUMBER(_xll.BDH(config!$G$4,R$1,$A402,$A402)),_xll.BDH(config!$G$4,R$1,$A402,$A402),_xll.BDH(config!$G$5,R$1,$A402,$A402))))</f>
        <v>49.96</v>
      </c>
      <c r="S402" s="8" t="str">
        <f>IF($A402="","",IF(ISNUMBER(FIND("IMPVOL",S$1)),_xll.BDH(config!$G$4,S$1,WORKDAY($A402,-1,config_Holiday_Calendar_US),WORKDAY($A402,-1,config_Holiday_Calendar_US)),IF(ISNUMBER(_xll.BDH(config!$G$4,S$1,$A402,$A402)),_xll.BDH(config!$G$4,S$1,$A402,$A402),_xll.BDH(config!$G$5,S$1,$A402,$A402))))</f>
        <v>#N/A Requesting Data...</v>
      </c>
      <c r="T402" s="8" t="str">
        <f>IF($A402="","",IF(ISNUMBER(FIND("IMPVOL",T$1)),_xll.BDH(config!$G$4,T$1,WORKDAY($A402,-1,config_Holiday_Calendar_US),WORKDAY($A402,-1,config_Holiday_Calendar_US)),IF(ISNUMBER(_xll.BDH(config!$G$4,T$1,$A402,$A402)),_xll.BDH(config!$G$4,T$1,$A402,$A402),_xll.BDH(config!$G$5,T$1,$A402,$A402))))</f>
        <v>#N/A Requesting Data...</v>
      </c>
      <c r="U402" s="8" t="str">
        <f>IF($A402="","",IF(ISNUMBER(FIND("IMPVOL",U$1)),_xll.BDH(config!$G$4,U$1,WORKDAY($A402,-1,config_Holiday_Calendar_US),WORKDAY($A402,-1,config_Holiday_Calendar_US)),IF(ISNUMBER(_xll.BDH(config!$G$4,U$1,$A402,$A402)),_xll.BDH(config!$G$4,U$1,$A402,$A402),_xll.BDH(config!$G$5,U$1,$A402,$A402))))</f>
        <v>#N/A Requesting Data...</v>
      </c>
      <c r="V402" s="8" t="str">
        <f>IF($A402="","",IF(ISNUMBER(FIND("IMPVOL",V$1)),_xll.BDH(config!$G$4,V$1,WORKDAY($A402,-1,config_Holiday_Calendar_US),WORKDAY($A402,-1,config_Holiday_Calendar_US)),IF(ISNUMBER(_xll.BDH(config!$G$4,V$1,$A402,$A402)),_xll.BDH(config!$G$4,V$1,$A402,$A402),_xll.BDH(config!$G$5,V$1,$A402,$A402))))</f>
        <v>#N/A Requesting Data...</v>
      </c>
      <c r="W402" s="8" t="str">
        <f>IF($A402="","",IF(ISNUMBER(FIND("IMPVOL",W$1)),_xll.BDH(config!$G$4,W$1,WORKDAY($A402,-1,config_Holiday_Calendar_US),WORKDAY($A402,-1,config_Holiday_Calendar_US)),IF(ISNUMBER(_xll.BDH(config!$G$4,W$1,$A402,$A402)),_xll.BDH(config!$G$4,W$1,$A402,$A402),_xll.BDH(config!$G$5,W$1,$A402,$A402))))</f>
        <v>#N/A Requesting Data...</v>
      </c>
    </row>
    <row r="403" spans="1:23" x14ac:dyDescent="0.2">
      <c r="A403" s="9">
        <f>IF(A402="","",IF(WORKDAY(A402,-1,config_Holiday_Calendar_US)&lt;config!$I$10,"",WORKDAY(A402,-1,config_Holiday_Calendar_US)))</f>
        <v>42243</v>
      </c>
      <c r="B403" s="8" t="e">
        <f t="shared" si="6"/>
        <v>#VALUE!</v>
      </c>
      <c r="C403" s="8" t="str">
        <f>IF(A403="","",_xll.BDH(config!$H$4,C$1,$A403,$A403))</f>
        <v>#N/A Requesting Data...</v>
      </c>
      <c r="D403" s="8" t="str">
        <f>IF($A403="","",_xll.BDH(config!$H$4,D$1,$A403,$A403))</f>
        <v>#N/A Requesting Data...</v>
      </c>
      <c r="E403" s="8">
        <f>IF($A403="","",IF(ISNUMBER(FIND("IMPVOL",E$1)),_xll.BDH(config!$G$4,E$1,WORKDAY($A403,-1,config_Holiday_Calendar_US),WORKDAY($A403,-1,config_Holiday_Calendar_US)),IF(ISNUMBER(_xll.BDH(config!$G$4,E$1,$A403,$A403)),_xll.BDH(config!$G$4,E$1,$A403,$A403),_xll.BDH(config!$G$5,E$1,$A403,$A403))))</f>
        <v>38.96</v>
      </c>
      <c r="F403" s="8">
        <f>IF($A403="","",IF(ISNUMBER(FIND("IMPVOL",F$1)),_xll.BDH(config!$G$4,F$1,WORKDAY($A403,-1,config_Holiday_Calendar_US),WORKDAY($A403,-1,config_Holiday_Calendar_US)),IF(ISNUMBER(_xll.BDH(config!$G$4,F$1,$A403,$A403)),_xll.BDH(config!$G$4,F$1,$A403,$A403),_xll.BDH(config!$G$5,F$1,$A403,$A403))))</f>
        <v>42.86</v>
      </c>
      <c r="G403" s="8">
        <f>IF($A403="","",IF(ISNUMBER(FIND("IMPVOL",G$1)),_xll.BDH(config!$G$4,G$1,WORKDAY($A403,-1,config_Holiday_Calendar_US),WORKDAY($A403,-1,config_Holiday_Calendar_US)),IF(ISNUMBER(_xll.BDH(config!$G$4,G$1,$A403,$A403)),_xll.BDH(config!$G$4,G$1,$A403,$A403),_xll.BDH(config!$G$5,G$1,$A403,$A403))))</f>
        <v>39.74</v>
      </c>
      <c r="H403" s="8">
        <f>IF($A403="","",IF(ISNUMBER(FIND("IMPVOL",H$1)),_xll.BDH(config!$G$4,H$1,WORKDAY($A403,-1,config_Holiday_Calendar_US),WORKDAY($A403,-1,config_Holiday_Calendar_US)),IF(ISNUMBER(_xll.BDH(config!$G$4,H$1,$A403,$A403)),_xll.BDH(config!$G$4,H$1,$A403,$A403),_xll.BDH(config!$G$5,H$1,$A403,$A403))))</f>
        <v>111693</v>
      </c>
      <c r="I403" s="8" t="str">
        <f>IF($A403="","",IF(ISNUMBER(FIND("IMPVOL",I$1)),_xll.BDH(config!$G$4,I$1,WORKDAY($A403,-1,config_Holiday_Calendar_US),WORKDAY($A403,-1,config_Holiday_Calendar_US)),IF(ISNUMBER(_xll.BDH(config!$G$4,I$1,$A403,$A403)),_xll.BDH(config!$G$4,I$1,$A403,$A403),_xll.BDH(config!$G$5,I$1,$A403,$A403))))</f>
        <v>#N/A Requesting Data...</v>
      </c>
      <c r="J403" s="8" t="str">
        <f>IF($A403="","",IF(ISNUMBER(FIND("IMPVOL",J$1)),_xll.BDH(config!$G$4,J$1,WORKDAY($A403,-1,config_Holiday_Calendar_US),WORKDAY($A403,-1,config_Holiday_Calendar_US)),IF(ISNUMBER(_xll.BDH(config!$G$4,J$1,$A403,$A403)),_xll.BDH(config!$G$4,J$1,$A403,$A403),_xll.BDH(config!$G$5,J$1,$A403,$A403))))</f>
        <v>#N/A Requesting Data...</v>
      </c>
      <c r="K403" s="8" t="str">
        <f>IF($A403="","",IF(ISNUMBER(FIND("IMPVOL",K$1)),_xll.BDH(config!$G$4,K$1,WORKDAY($A403,-1,config_Holiday_Calendar_US),WORKDAY($A403,-1,config_Holiday_Calendar_US)),IF(ISNUMBER(_xll.BDH(config!$G$4,K$1,$A403,$A403)),_xll.BDH(config!$G$4,K$1,$A403,$A403),_xll.BDH(config!$G$5,K$1,$A403,$A403))))</f>
        <v>#N/A Requesting Data...</v>
      </c>
      <c r="L403" s="8" t="str">
        <f>IF($A403="","",IF(ISNUMBER(FIND("IMPVOL",L$1)),_xll.BDH(config!$G$4,L$1,WORKDAY($A403,-1,config_Holiday_Calendar_US),WORKDAY($A403,-1,config_Holiday_Calendar_US)),IF(ISNUMBER(_xll.BDH(config!$G$4,L$1,$A403,$A403)),_xll.BDH(config!$G$4,L$1,$A403,$A403),_xll.BDH(config!$G$5,L$1,$A403,$A403))))</f>
        <v>#N/A Requesting Data...</v>
      </c>
      <c r="M403" s="8" t="str">
        <f>IF($A403="","",IF(ISNUMBER(FIND("IMPVOL",M$1)),_xll.BDH(config!$G$4,M$1,WORKDAY($A403,-1,config_Holiday_Calendar_US),WORKDAY($A403,-1,config_Holiday_Calendar_US)),IF(ISNUMBER(_xll.BDH(config!$G$4,M$1,$A403,$A403)),_xll.BDH(config!$G$4,M$1,$A403,$A403),_xll.BDH(config!$G$5,M$1,$A403,$A403))))</f>
        <v>#N/A Requesting Data...</v>
      </c>
      <c r="N403" s="8" t="str">
        <f>IF($A403="","",IF(ISNUMBER(FIND("IMPVOL",N$1)),_xll.BDH(config!$G$4,N$1,WORKDAY($A403,-1,config_Holiday_Calendar_US),WORKDAY($A403,-1,config_Holiday_Calendar_US)),IF(ISNUMBER(_xll.BDH(config!$G$4,N$1,$A403,$A403)),_xll.BDH(config!$G$4,N$1,$A403,$A403),_xll.BDH(config!$G$5,N$1,$A403,$A403))))</f>
        <v>#N/A Requesting Data...</v>
      </c>
      <c r="O403" s="8" t="str">
        <f>IF($A403="","",IF(ISNUMBER(FIND("IMPVOL",O$1)),_xll.BDH(config!$G$4,O$1,WORKDAY($A403,-1,config_Holiday_Calendar_US),WORKDAY($A403,-1,config_Holiday_Calendar_US)),IF(ISNUMBER(_xll.BDH(config!$G$4,O$1,$A403,$A403)),_xll.BDH(config!$G$4,O$1,$A403,$A403),_xll.BDH(config!$G$5,O$1,$A403,$A403))))</f>
        <v>#N/A Requesting Data...</v>
      </c>
      <c r="P403" s="8" t="str">
        <f>IF($A403="","",IF(ISNUMBER(FIND("IMPVOL",P$1)),_xll.BDH(config!$G$4,P$1,WORKDAY($A403,-1,config_Holiday_Calendar_US),WORKDAY($A403,-1,config_Holiday_Calendar_US)),IF(ISNUMBER(_xll.BDH(config!$G$4,P$1,$A403,$A403)),_xll.BDH(config!$G$4,P$1,$A403,$A403),_xll.BDH(config!$G$5,P$1,$A403,$A403))))</f>
        <v>#N/A Requesting Data...</v>
      </c>
      <c r="Q403" s="8">
        <f>IF($A403="","",IF(ISNUMBER(FIND("IMPVOL",Q$1)),_xll.BDH(config!$G$4,Q$1,WORKDAY($A403,-1,config_Holiday_Calendar_US),WORKDAY($A403,-1,config_Holiday_Calendar_US)),IF(ISNUMBER(_xll.BDH(config!$G$4,Q$1,$A403,$A403)),_xll.BDH(config!$G$4,Q$1,$A403,$A403),_xll.BDH(config!$G$5,Q$1,$A403,$A403))))</f>
        <v>71.900000000000006</v>
      </c>
      <c r="R403" s="8">
        <f>IF($A403="","",IF(ISNUMBER(FIND("IMPVOL",R$1)),_xll.BDH(config!$G$4,R$1,WORKDAY($A403,-1,config_Holiday_Calendar_US),WORKDAY($A403,-1,config_Holiday_Calendar_US)),IF(ISNUMBER(_xll.BDH(config!$G$4,R$1,$A403,$A403)),_xll.BDH(config!$G$4,R$1,$A403,$A403),_xll.BDH(config!$G$5,R$1,$A403,$A403))))</f>
        <v>46.26</v>
      </c>
      <c r="S403" s="8" t="str">
        <f>IF($A403="","",IF(ISNUMBER(FIND("IMPVOL",S$1)),_xll.BDH(config!$G$4,S$1,WORKDAY($A403,-1,config_Holiday_Calendar_US),WORKDAY($A403,-1,config_Holiday_Calendar_US)),IF(ISNUMBER(_xll.BDH(config!$G$4,S$1,$A403,$A403)),_xll.BDH(config!$G$4,S$1,$A403,$A403),_xll.BDH(config!$G$5,S$1,$A403,$A403))))</f>
        <v>#N/A Requesting Data...</v>
      </c>
      <c r="T403" s="8" t="str">
        <f>IF($A403="","",IF(ISNUMBER(FIND("IMPVOL",T$1)),_xll.BDH(config!$G$4,T$1,WORKDAY($A403,-1,config_Holiday_Calendar_US),WORKDAY($A403,-1,config_Holiday_Calendar_US)),IF(ISNUMBER(_xll.BDH(config!$G$4,T$1,$A403,$A403)),_xll.BDH(config!$G$4,T$1,$A403,$A403),_xll.BDH(config!$G$5,T$1,$A403,$A403))))</f>
        <v>#N/A Requesting Data...</v>
      </c>
      <c r="U403" s="8" t="str">
        <f>IF($A403="","",IF(ISNUMBER(FIND("IMPVOL",U$1)),_xll.BDH(config!$G$4,U$1,WORKDAY($A403,-1,config_Holiday_Calendar_US),WORKDAY($A403,-1,config_Holiday_Calendar_US)),IF(ISNUMBER(_xll.BDH(config!$G$4,U$1,$A403,$A403)),_xll.BDH(config!$G$4,U$1,$A403,$A403),_xll.BDH(config!$G$5,U$1,$A403,$A403))))</f>
        <v>#N/A Requesting Data...</v>
      </c>
      <c r="V403" s="8" t="str">
        <f>IF($A403="","",IF(ISNUMBER(FIND("IMPVOL",V$1)),_xll.BDH(config!$G$4,V$1,WORKDAY($A403,-1,config_Holiday_Calendar_US),WORKDAY($A403,-1,config_Holiday_Calendar_US)),IF(ISNUMBER(_xll.BDH(config!$G$4,V$1,$A403,$A403)),_xll.BDH(config!$G$4,V$1,$A403,$A403),_xll.BDH(config!$G$5,V$1,$A403,$A403))))</f>
        <v>#N/A Requesting Data...</v>
      </c>
      <c r="W403" s="8" t="str">
        <f>IF($A403="","",IF(ISNUMBER(FIND("IMPVOL",W$1)),_xll.BDH(config!$G$4,W$1,WORKDAY($A403,-1,config_Holiday_Calendar_US),WORKDAY($A403,-1,config_Holiday_Calendar_US)),IF(ISNUMBER(_xll.BDH(config!$G$4,W$1,$A403,$A403)),_xll.BDH(config!$G$4,W$1,$A403,$A403),_xll.BDH(config!$G$5,W$1,$A403,$A403))))</f>
        <v>#N/A Requesting Data...</v>
      </c>
    </row>
    <row r="404" spans="1:23" x14ac:dyDescent="0.2">
      <c r="A404" s="9">
        <f>IF(A403="","",IF(WORKDAY(A403,-1,config_Holiday_Calendar_US)&lt;config!$I$10,"",WORKDAY(A403,-1,config_Holiday_Calendar_US)))</f>
        <v>42242</v>
      </c>
      <c r="B404" s="8" t="e">
        <f t="shared" si="6"/>
        <v>#VALUE!</v>
      </c>
      <c r="C404" s="8" t="str">
        <f>IF(A404="","",_xll.BDH(config!$H$4,C$1,$A404,$A404))</f>
        <v>#N/A Requesting Data...</v>
      </c>
      <c r="D404" s="8" t="str">
        <f>IF($A404="","",_xll.BDH(config!$H$4,D$1,$A404,$A404))</f>
        <v>#N/A Requesting Data...</v>
      </c>
      <c r="E404" s="8">
        <f>IF($A404="","",IF(ISNUMBER(FIND("IMPVOL",E$1)),_xll.BDH(config!$G$4,E$1,WORKDAY($A404,-1,config_Holiday_Calendar_US),WORKDAY($A404,-1,config_Holiday_Calendar_US)),IF(ISNUMBER(_xll.BDH(config!$G$4,E$1,$A404,$A404)),_xll.BDH(config!$G$4,E$1,$A404,$A404),_xll.BDH(config!$G$5,E$1,$A404,$A404))))</f>
        <v>39.69</v>
      </c>
      <c r="F404" s="8">
        <f>IF($A404="","",IF(ISNUMBER(FIND("IMPVOL",F$1)),_xll.BDH(config!$G$4,F$1,WORKDAY($A404,-1,config_Holiday_Calendar_US),WORKDAY($A404,-1,config_Holiday_Calendar_US)),IF(ISNUMBER(_xll.BDH(config!$G$4,F$1,$A404,$A404)),_xll.BDH(config!$G$4,F$1,$A404,$A404),_xll.BDH(config!$G$5,F$1,$A404,$A404))))</f>
        <v>39.86</v>
      </c>
      <c r="G404" s="8">
        <f>IF($A404="","",IF(ISNUMBER(FIND("IMPVOL",G$1)),_xll.BDH(config!$G$4,G$1,WORKDAY($A404,-1,config_Holiday_Calendar_US),WORKDAY($A404,-1,config_Holiday_Calendar_US)),IF(ISNUMBER(_xll.BDH(config!$G$4,G$1,$A404,$A404)),_xll.BDH(config!$G$4,G$1,$A404,$A404),_xll.BDH(config!$G$5,G$1,$A404,$A404))))</f>
        <v>39.299999999999997</v>
      </c>
      <c r="H404" s="8">
        <f>IF($A404="","",IF(ISNUMBER(FIND("IMPVOL",H$1)),_xll.BDH(config!$G$4,H$1,WORKDAY($A404,-1,config_Holiday_Calendar_US),WORKDAY($A404,-1,config_Holiday_Calendar_US)),IF(ISNUMBER(_xll.BDH(config!$G$4,H$1,$A404,$A404)),_xll.BDH(config!$G$4,H$1,$A404,$A404),_xll.BDH(config!$G$5,H$1,$A404,$A404))))</f>
        <v>97690</v>
      </c>
      <c r="I404" s="8" t="str">
        <f>IF($A404="","",IF(ISNUMBER(FIND("IMPVOL",I$1)),_xll.BDH(config!$G$4,I$1,WORKDAY($A404,-1,config_Holiday_Calendar_US),WORKDAY($A404,-1,config_Holiday_Calendar_US)),IF(ISNUMBER(_xll.BDH(config!$G$4,I$1,$A404,$A404)),_xll.BDH(config!$G$4,I$1,$A404,$A404),_xll.BDH(config!$G$5,I$1,$A404,$A404))))</f>
        <v>#N/A Requesting Data...</v>
      </c>
      <c r="J404" s="8" t="str">
        <f>IF($A404="","",IF(ISNUMBER(FIND("IMPVOL",J$1)),_xll.BDH(config!$G$4,J$1,WORKDAY($A404,-1,config_Holiday_Calendar_US),WORKDAY($A404,-1,config_Holiday_Calendar_US)),IF(ISNUMBER(_xll.BDH(config!$G$4,J$1,$A404,$A404)),_xll.BDH(config!$G$4,J$1,$A404,$A404),_xll.BDH(config!$G$5,J$1,$A404,$A404))))</f>
        <v>#N/A Requesting Data...</v>
      </c>
      <c r="K404" s="8" t="str">
        <f>IF($A404="","",IF(ISNUMBER(FIND("IMPVOL",K$1)),_xll.BDH(config!$G$4,K$1,WORKDAY($A404,-1,config_Holiday_Calendar_US),WORKDAY($A404,-1,config_Holiday_Calendar_US)),IF(ISNUMBER(_xll.BDH(config!$G$4,K$1,$A404,$A404)),_xll.BDH(config!$G$4,K$1,$A404,$A404),_xll.BDH(config!$G$5,K$1,$A404,$A404))))</f>
        <v>#N/A Requesting Data...</v>
      </c>
      <c r="L404" s="8" t="str">
        <f>IF($A404="","",IF(ISNUMBER(FIND("IMPVOL",L$1)),_xll.BDH(config!$G$4,L$1,WORKDAY($A404,-1,config_Holiday_Calendar_US),WORKDAY($A404,-1,config_Holiday_Calendar_US)),IF(ISNUMBER(_xll.BDH(config!$G$4,L$1,$A404,$A404)),_xll.BDH(config!$G$4,L$1,$A404,$A404),_xll.BDH(config!$G$5,L$1,$A404,$A404))))</f>
        <v>#N/A Requesting Data...</v>
      </c>
      <c r="M404" s="8" t="str">
        <f>IF($A404="","",IF(ISNUMBER(FIND("IMPVOL",M$1)),_xll.BDH(config!$G$4,M$1,WORKDAY($A404,-1,config_Holiday_Calendar_US),WORKDAY($A404,-1,config_Holiday_Calendar_US)),IF(ISNUMBER(_xll.BDH(config!$G$4,M$1,$A404,$A404)),_xll.BDH(config!$G$4,M$1,$A404,$A404),_xll.BDH(config!$G$5,M$1,$A404,$A404))))</f>
        <v>#N/A Requesting Data...</v>
      </c>
      <c r="N404" s="8" t="str">
        <f>IF($A404="","",IF(ISNUMBER(FIND("IMPVOL",N$1)),_xll.BDH(config!$G$4,N$1,WORKDAY($A404,-1,config_Holiday_Calendar_US),WORKDAY($A404,-1,config_Holiday_Calendar_US)),IF(ISNUMBER(_xll.BDH(config!$G$4,N$1,$A404,$A404)),_xll.BDH(config!$G$4,N$1,$A404,$A404),_xll.BDH(config!$G$5,N$1,$A404,$A404))))</f>
        <v>#N/A Requesting Data...</v>
      </c>
      <c r="O404" s="8" t="str">
        <f>IF($A404="","",IF(ISNUMBER(FIND("IMPVOL",O$1)),_xll.BDH(config!$G$4,O$1,WORKDAY($A404,-1,config_Holiday_Calendar_US),WORKDAY($A404,-1,config_Holiday_Calendar_US)),IF(ISNUMBER(_xll.BDH(config!$G$4,O$1,$A404,$A404)),_xll.BDH(config!$G$4,O$1,$A404,$A404),_xll.BDH(config!$G$5,O$1,$A404,$A404))))</f>
        <v>#N/A Requesting Data...</v>
      </c>
      <c r="P404" s="8" t="str">
        <f>IF($A404="","",IF(ISNUMBER(FIND("IMPVOL",P$1)),_xll.BDH(config!$G$4,P$1,WORKDAY($A404,-1,config_Holiday_Calendar_US),WORKDAY($A404,-1,config_Holiday_Calendar_US)),IF(ISNUMBER(_xll.BDH(config!$G$4,P$1,$A404,$A404)),_xll.BDH(config!$G$4,P$1,$A404,$A404),_xll.BDH(config!$G$5,P$1,$A404,$A404))))</f>
        <v>#N/A Requesting Data...</v>
      </c>
      <c r="Q404" s="8">
        <f>IF($A404="","",IF(ISNUMBER(FIND("IMPVOL",Q$1)),_xll.BDH(config!$G$4,Q$1,WORKDAY($A404,-1,config_Holiday_Calendar_US),WORKDAY($A404,-1,config_Holiday_Calendar_US)),IF(ISNUMBER(_xll.BDH(config!$G$4,Q$1,$A404,$A404)),_xll.BDH(config!$G$4,Q$1,$A404,$A404),_xll.BDH(config!$G$5,Q$1,$A404,$A404))))</f>
        <v>43.04</v>
      </c>
      <c r="R404" s="8">
        <f>IF($A404="","",IF(ISNUMBER(FIND("IMPVOL",R$1)),_xll.BDH(config!$G$4,R$1,WORKDAY($A404,-1,config_Holiday_Calendar_US),WORKDAY($A404,-1,config_Holiday_Calendar_US)),IF(ISNUMBER(_xll.BDH(config!$G$4,R$1,$A404,$A404)),_xll.BDH(config!$G$4,R$1,$A404,$A404),_xll.BDH(config!$G$5,R$1,$A404,$A404))))</f>
        <v>33.71</v>
      </c>
      <c r="S404" s="8" t="str">
        <f>IF($A404="","",IF(ISNUMBER(FIND("IMPVOL",S$1)),_xll.BDH(config!$G$4,S$1,WORKDAY($A404,-1,config_Holiday_Calendar_US),WORKDAY($A404,-1,config_Holiday_Calendar_US)),IF(ISNUMBER(_xll.BDH(config!$G$4,S$1,$A404,$A404)),_xll.BDH(config!$G$4,S$1,$A404,$A404),_xll.BDH(config!$G$5,S$1,$A404,$A404))))</f>
        <v>#N/A Requesting Data...</v>
      </c>
      <c r="T404" s="8" t="str">
        <f>IF($A404="","",IF(ISNUMBER(FIND("IMPVOL",T$1)),_xll.BDH(config!$G$4,T$1,WORKDAY($A404,-1,config_Holiday_Calendar_US),WORKDAY($A404,-1,config_Holiday_Calendar_US)),IF(ISNUMBER(_xll.BDH(config!$G$4,T$1,$A404,$A404)),_xll.BDH(config!$G$4,T$1,$A404,$A404),_xll.BDH(config!$G$5,T$1,$A404,$A404))))</f>
        <v>#N/A Requesting Data...</v>
      </c>
      <c r="U404" s="8" t="str">
        <f>IF($A404="","",IF(ISNUMBER(FIND("IMPVOL",U$1)),_xll.BDH(config!$G$4,U$1,WORKDAY($A404,-1,config_Holiday_Calendar_US),WORKDAY($A404,-1,config_Holiday_Calendar_US)),IF(ISNUMBER(_xll.BDH(config!$G$4,U$1,$A404,$A404)),_xll.BDH(config!$G$4,U$1,$A404,$A404),_xll.BDH(config!$G$5,U$1,$A404,$A404))))</f>
        <v>#N/A Requesting Data...</v>
      </c>
      <c r="V404" s="8" t="str">
        <f>IF($A404="","",IF(ISNUMBER(FIND("IMPVOL",V$1)),_xll.BDH(config!$G$4,V$1,WORKDAY($A404,-1,config_Holiday_Calendar_US),WORKDAY($A404,-1,config_Holiday_Calendar_US)),IF(ISNUMBER(_xll.BDH(config!$G$4,V$1,$A404,$A404)),_xll.BDH(config!$G$4,V$1,$A404,$A404),_xll.BDH(config!$G$5,V$1,$A404,$A404))))</f>
        <v>#N/A Requesting Data...</v>
      </c>
      <c r="W404" s="8" t="str">
        <f>IF($A404="","",IF(ISNUMBER(FIND("IMPVOL",W$1)),_xll.BDH(config!$G$4,W$1,WORKDAY($A404,-1,config_Holiday_Calendar_US),WORKDAY($A404,-1,config_Holiday_Calendar_US)),IF(ISNUMBER(_xll.BDH(config!$G$4,W$1,$A404,$A404)),_xll.BDH(config!$G$4,W$1,$A404,$A404),_xll.BDH(config!$G$5,W$1,$A404,$A404))))</f>
        <v>#N/A Requesting Data...</v>
      </c>
    </row>
    <row r="405" spans="1:23" x14ac:dyDescent="0.2">
      <c r="A405" s="9">
        <f>IF(A404="","",IF(WORKDAY(A404,-1,config_Holiday_Calendar_US)&lt;config!$I$10,"",WORKDAY(A404,-1,config_Holiday_Calendar_US)))</f>
        <v>42241</v>
      </c>
      <c r="B405" s="8" t="e">
        <f t="shared" si="6"/>
        <v>#VALUE!</v>
      </c>
      <c r="C405" s="8" t="str">
        <f>IF(A405="","",_xll.BDH(config!$H$4,C$1,$A405,$A405))</f>
        <v>#N/A Requesting Data...</v>
      </c>
      <c r="D405" s="8" t="str">
        <f>IF($A405="","",_xll.BDH(config!$H$4,D$1,$A405,$A405))</f>
        <v>#N/A Requesting Data...</v>
      </c>
      <c r="E405" s="8">
        <f>IF($A405="","",IF(ISNUMBER(FIND("IMPVOL",E$1)),_xll.BDH(config!$G$4,E$1,WORKDAY($A405,-1,config_Holiday_Calendar_US),WORKDAY($A405,-1,config_Holiday_Calendar_US)),IF(ISNUMBER(_xll.BDH(config!$G$4,E$1,$A405,$A405)),_xll.BDH(config!$G$4,E$1,$A405,$A405),_xll.BDH(config!$G$5,E$1,$A405,$A405))))</f>
        <v>38.18</v>
      </c>
      <c r="F405" s="8">
        <f>IF($A405="","",IF(ISNUMBER(FIND("IMPVOL",F$1)),_xll.BDH(config!$G$4,F$1,WORKDAY($A405,-1,config_Holiday_Calendar_US),WORKDAY($A405,-1,config_Holiday_Calendar_US)),IF(ISNUMBER(_xll.BDH(config!$G$4,F$1,$A405,$A405)),_xll.BDH(config!$G$4,F$1,$A405,$A405),_xll.BDH(config!$G$5,F$1,$A405,$A405))))</f>
        <v>39.89</v>
      </c>
      <c r="G405" s="8">
        <f>IF($A405="","",IF(ISNUMBER(FIND("IMPVOL",G$1)),_xll.BDH(config!$G$4,G$1,WORKDAY($A405,-1,config_Holiday_Calendar_US),WORKDAY($A405,-1,config_Holiday_Calendar_US)),IF(ISNUMBER(_xll.BDH(config!$G$4,G$1,$A405,$A405)),_xll.BDH(config!$G$4,G$1,$A405,$A405),_xll.BDH(config!$G$5,G$1,$A405,$A405))))</f>
        <v>38.85</v>
      </c>
      <c r="H405" s="8">
        <f>IF($A405="","",IF(ISNUMBER(FIND("IMPVOL",H$1)),_xll.BDH(config!$G$4,H$1,WORKDAY($A405,-1,config_Holiday_Calendar_US),WORKDAY($A405,-1,config_Holiday_Calendar_US)),IF(ISNUMBER(_xll.BDH(config!$G$4,H$1,$A405,$A405)),_xll.BDH(config!$G$4,H$1,$A405,$A405),_xll.BDH(config!$G$5,H$1,$A405,$A405))))</f>
        <v>100996</v>
      </c>
      <c r="I405" s="8" t="str">
        <f>IF($A405="","",IF(ISNUMBER(FIND("IMPVOL",I$1)),_xll.BDH(config!$G$4,I$1,WORKDAY($A405,-1,config_Holiday_Calendar_US),WORKDAY($A405,-1,config_Holiday_Calendar_US)),IF(ISNUMBER(_xll.BDH(config!$G$4,I$1,$A405,$A405)),_xll.BDH(config!$G$4,I$1,$A405,$A405),_xll.BDH(config!$G$5,I$1,$A405,$A405))))</f>
        <v>#N/A Requesting Data...</v>
      </c>
      <c r="J405" s="8" t="str">
        <f>IF($A405="","",IF(ISNUMBER(FIND("IMPVOL",J$1)),_xll.BDH(config!$G$4,J$1,WORKDAY($A405,-1,config_Holiday_Calendar_US),WORKDAY($A405,-1,config_Holiday_Calendar_US)),IF(ISNUMBER(_xll.BDH(config!$G$4,J$1,$A405,$A405)),_xll.BDH(config!$G$4,J$1,$A405,$A405),_xll.BDH(config!$G$5,J$1,$A405,$A405))))</f>
        <v>#N/A Requesting Data...</v>
      </c>
      <c r="K405" s="8" t="str">
        <f>IF($A405="","",IF(ISNUMBER(FIND("IMPVOL",K$1)),_xll.BDH(config!$G$4,K$1,WORKDAY($A405,-1,config_Holiday_Calendar_US),WORKDAY($A405,-1,config_Holiday_Calendar_US)),IF(ISNUMBER(_xll.BDH(config!$G$4,K$1,$A405,$A405)),_xll.BDH(config!$G$4,K$1,$A405,$A405),_xll.BDH(config!$G$5,K$1,$A405,$A405))))</f>
        <v>#N/A Requesting Data...</v>
      </c>
      <c r="L405" s="8" t="str">
        <f>IF($A405="","",IF(ISNUMBER(FIND("IMPVOL",L$1)),_xll.BDH(config!$G$4,L$1,WORKDAY($A405,-1,config_Holiday_Calendar_US),WORKDAY($A405,-1,config_Holiday_Calendar_US)),IF(ISNUMBER(_xll.BDH(config!$G$4,L$1,$A405,$A405)),_xll.BDH(config!$G$4,L$1,$A405,$A405),_xll.BDH(config!$G$5,L$1,$A405,$A405))))</f>
        <v>#N/A Requesting Data...</v>
      </c>
      <c r="M405" s="8" t="str">
        <f>IF($A405="","",IF(ISNUMBER(FIND("IMPVOL",M$1)),_xll.BDH(config!$G$4,M$1,WORKDAY($A405,-1,config_Holiday_Calendar_US),WORKDAY($A405,-1,config_Holiday_Calendar_US)),IF(ISNUMBER(_xll.BDH(config!$G$4,M$1,$A405,$A405)),_xll.BDH(config!$G$4,M$1,$A405,$A405),_xll.BDH(config!$G$5,M$1,$A405,$A405))))</f>
        <v>#N/A Requesting Data...</v>
      </c>
      <c r="N405" s="8" t="str">
        <f>IF($A405="","",IF(ISNUMBER(FIND("IMPVOL",N$1)),_xll.BDH(config!$G$4,N$1,WORKDAY($A405,-1,config_Holiday_Calendar_US),WORKDAY($A405,-1,config_Holiday_Calendar_US)),IF(ISNUMBER(_xll.BDH(config!$G$4,N$1,$A405,$A405)),_xll.BDH(config!$G$4,N$1,$A405,$A405),_xll.BDH(config!$G$5,N$1,$A405,$A405))))</f>
        <v>#N/A Requesting Data...</v>
      </c>
      <c r="O405" s="8" t="str">
        <f>IF($A405="","",IF(ISNUMBER(FIND("IMPVOL",O$1)),_xll.BDH(config!$G$4,O$1,WORKDAY($A405,-1,config_Holiday_Calendar_US),WORKDAY($A405,-1,config_Holiday_Calendar_US)),IF(ISNUMBER(_xll.BDH(config!$G$4,O$1,$A405,$A405)),_xll.BDH(config!$G$4,O$1,$A405,$A405),_xll.BDH(config!$G$5,O$1,$A405,$A405))))</f>
        <v>#N/A Requesting Data...</v>
      </c>
      <c r="P405" s="8" t="str">
        <f>IF($A405="","",IF(ISNUMBER(FIND("IMPVOL",P$1)),_xll.BDH(config!$G$4,P$1,WORKDAY($A405,-1,config_Holiday_Calendar_US),WORKDAY($A405,-1,config_Holiday_Calendar_US)),IF(ISNUMBER(_xll.BDH(config!$G$4,P$1,$A405,$A405)),_xll.BDH(config!$G$4,P$1,$A405,$A405),_xll.BDH(config!$G$5,P$1,$A405,$A405))))</f>
        <v>#N/A Requesting Data...</v>
      </c>
      <c r="Q405" s="8">
        <f>IF($A405="","",IF(ISNUMBER(FIND("IMPVOL",Q$1)),_xll.BDH(config!$G$4,Q$1,WORKDAY($A405,-1,config_Holiday_Calendar_US),WORKDAY($A405,-1,config_Holiday_Calendar_US)),IF(ISNUMBER(_xll.BDH(config!$G$4,Q$1,$A405,$A405)),_xll.BDH(config!$G$4,Q$1,$A405,$A405),_xll.BDH(config!$G$5,Q$1,$A405,$A405))))</f>
        <v>43.64</v>
      </c>
      <c r="R405" s="8">
        <f>IF($A405="","",IF(ISNUMBER(FIND("IMPVOL",R$1)),_xll.BDH(config!$G$4,R$1,WORKDAY($A405,-1,config_Holiday_Calendar_US),WORKDAY($A405,-1,config_Holiday_Calendar_US)),IF(ISNUMBER(_xll.BDH(config!$G$4,R$1,$A405,$A405)),_xll.BDH(config!$G$4,R$1,$A405,$A405),_xll.BDH(config!$G$5,R$1,$A405,$A405))))</f>
        <v>33.67</v>
      </c>
      <c r="S405" s="8" t="str">
        <f>IF($A405="","",IF(ISNUMBER(FIND("IMPVOL",S$1)),_xll.BDH(config!$G$4,S$1,WORKDAY($A405,-1,config_Holiday_Calendar_US),WORKDAY($A405,-1,config_Holiday_Calendar_US)),IF(ISNUMBER(_xll.BDH(config!$G$4,S$1,$A405,$A405)),_xll.BDH(config!$G$4,S$1,$A405,$A405),_xll.BDH(config!$G$5,S$1,$A405,$A405))))</f>
        <v>#N/A Requesting Data...</v>
      </c>
      <c r="T405" s="8" t="str">
        <f>IF($A405="","",IF(ISNUMBER(FIND("IMPVOL",T$1)),_xll.BDH(config!$G$4,T$1,WORKDAY($A405,-1,config_Holiday_Calendar_US),WORKDAY($A405,-1,config_Holiday_Calendar_US)),IF(ISNUMBER(_xll.BDH(config!$G$4,T$1,$A405,$A405)),_xll.BDH(config!$G$4,T$1,$A405,$A405),_xll.BDH(config!$G$5,T$1,$A405,$A405))))</f>
        <v>#N/A Requesting Data...</v>
      </c>
      <c r="U405" s="8" t="str">
        <f>IF($A405="","",IF(ISNUMBER(FIND("IMPVOL",U$1)),_xll.BDH(config!$G$4,U$1,WORKDAY($A405,-1,config_Holiday_Calendar_US),WORKDAY($A405,-1,config_Holiday_Calendar_US)),IF(ISNUMBER(_xll.BDH(config!$G$4,U$1,$A405,$A405)),_xll.BDH(config!$G$4,U$1,$A405,$A405),_xll.BDH(config!$G$5,U$1,$A405,$A405))))</f>
        <v>#N/A Requesting Data...</v>
      </c>
      <c r="V405" s="8" t="str">
        <f>IF($A405="","",IF(ISNUMBER(FIND("IMPVOL",V$1)),_xll.BDH(config!$G$4,V$1,WORKDAY($A405,-1,config_Holiday_Calendar_US),WORKDAY($A405,-1,config_Holiday_Calendar_US)),IF(ISNUMBER(_xll.BDH(config!$G$4,V$1,$A405,$A405)),_xll.BDH(config!$G$4,V$1,$A405,$A405),_xll.BDH(config!$G$5,V$1,$A405,$A405))))</f>
        <v>#N/A Requesting Data...</v>
      </c>
      <c r="W405" s="8" t="str">
        <f>IF($A405="","",IF(ISNUMBER(FIND("IMPVOL",W$1)),_xll.BDH(config!$G$4,W$1,WORKDAY($A405,-1,config_Holiday_Calendar_US),WORKDAY($A405,-1,config_Holiday_Calendar_US)),IF(ISNUMBER(_xll.BDH(config!$G$4,W$1,$A405,$A405)),_xll.BDH(config!$G$4,W$1,$A405,$A405),_xll.BDH(config!$G$5,W$1,$A405,$A405))))</f>
        <v>#N/A Requesting Data...</v>
      </c>
    </row>
    <row r="406" spans="1:23" x14ac:dyDescent="0.2">
      <c r="A406" s="9">
        <f>IF(A405="","",IF(WORKDAY(A405,-1,config_Holiday_Calendar_US)&lt;config!$I$10,"",WORKDAY(A405,-1,config_Holiday_Calendar_US)))</f>
        <v>42240</v>
      </c>
      <c r="B406" s="8" t="e">
        <f t="shared" si="6"/>
        <v>#VALUE!</v>
      </c>
      <c r="C406" s="8" t="str">
        <f>IF(A406="","",_xll.BDH(config!$H$4,C$1,$A406,$A406))</f>
        <v>#N/A Requesting Data...</v>
      </c>
      <c r="D406" s="8" t="str">
        <f>IF($A406="","",_xll.BDH(config!$H$4,D$1,$A406,$A406))</f>
        <v>#N/A Requesting Data...</v>
      </c>
      <c r="E406" s="8">
        <f>IF($A406="","",IF(ISNUMBER(FIND("IMPVOL",E$1)),_xll.BDH(config!$G$4,E$1,WORKDAY($A406,-1,config_Holiday_Calendar_US),WORKDAY($A406,-1,config_Holiday_Calendar_US)),IF(ISNUMBER(_xll.BDH(config!$G$4,E$1,$A406,$A406)),_xll.BDH(config!$G$4,E$1,$A406,$A406),_xll.BDH(config!$G$5,E$1,$A406,$A406))))</f>
        <v>40.299999999999997</v>
      </c>
      <c r="F406" s="8">
        <f>IF($A406="","",IF(ISNUMBER(FIND("IMPVOL",F$1)),_xll.BDH(config!$G$4,F$1,WORKDAY($A406,-1,config_Holiday_Calendar_US),WORKDAY($A406,-1,config_Holiday_Calendar_US)),IF(ISNUMBER(_xll.BDH(config!$G$4,F$1,$A406,$A406)),_xll.BDH(config!$G$4,F$1,$A406,$A406),_xll.BDH(config!$G$5,F$1,$A406,$A406))))</f>
        <v>40.47</v>
      </c>
      <c r="G406" s="8">
        <f>IF($A406="","",IF(ISNUMBER(FIND("IMPVOL",G$1)),_xll.BDH(config!$G$4,G$1,WORKDAY($A406,-1,config_Holiday_Calendar_US),WORKDAY($A406,-1,config_Holiday_Calendar_US)),IF(ISNUMBER(_xll.BDH(config!$G$4,G$1,$A406,$A406)),_xll.BDH(config!$G$4,G$1,$A406,$A406),_xll.BDH(config!$G$5,G$1,$A406,$A406))))</f>
        <v>38.51</v>
      </c>
      <c r="H406" s="8">
        <f>IF($A406="","",IF(ISNUMBER(FIND("IMPVOL",H$1)),_xll.BDH(config!$G$4,H$1,WORKDAY($A406,-1,config_Holiday_Calendar_US),WORKDAY($A406,-1,config_Holiday_Calendar_US)),IF(ISNUMBER(_xll.BDH(config!$G$4,H$1,$A406,$A406)),_xll.BDH(config!$G$4,H$1,$A406,$A406),_xll.BDH(config!$G$5,H$1,$A406,$A406))))</f>
        <v>100016</v>
      </c>
      <c r="I406" s="8" t="str">
        <f>IF($A406="","",IF(ISNUMBER(FIND("IMPVOL",I$1)),_xll.BDH(config!$G$4,I$1,WORKDAY($A406,-1,config_Holiday_Calendar_US),WORKDAY($A406,-1,config_Holiday_Calendar_US)),IF(ISNUMBER(_xll.BDH(config!$G$4,I$1,$A406,$A406)),_xll.BDH(config!$G$4,I$1,$A406,$A406),_xll.BDH(config!$G$5,I$1,$A406,$A406))))</f>
        <v>#N/A Requesting Data...</v>
      </c>
      <c r="J406" s="8" t="str">
        <f>IF($A406="","",IF(ISNUMBER(FIND("IMPVOL",J$1)),_xll.BDH(config!$G$4,J$1,WORKDAY($A406,-1,config_Holiday_Calendar_US),WORKDAY($A406,-1,config_Holiday_Calendar_US)),IF(ISNUMBER(_xll.BDH(config!$G$4,J$1,$A406,$A406)),_xll.BDH(config!$G$4,J$1,$A406,$A406),_xll.BDH(config!$G$5,J$1,$A406,$A406))))</f>
        <v>#N/A Requesting Data...</v>
      </c>
      <c r="K406" s="8" t="str">
        <f>IF($A406="","",IF(ISNUMBER(FIND("IMPVOL",K$1)),_xll.BDH(config!$G$4,K$1,WORKDAY($A406,-1,config_Holiday_Calendar_US),WORKDAY($A406,-1,config_Holiday_Calendar_US)),IF(ISNUMBER(_xll.BDH(config!$G$4,K$1,$A406,$A406)),_xll.BDH(config!$G$4,K$1,$A406,$A406),_xll.BDH(config!$G$5,K$1,$A406,$A406))))</f>
        <v>#N/A Requesting Data...</v>
      </c>
      <c r="L406" s="8" t="str">
        <f>IF($A406="","",IF(ISNUMBER(FIND("IMPVOL",L$1)),_xll.BDH(config!$G$4,L$1,WORKDAY($A406,-1,config_Holiday_Calendar_US),WORKDAY($A406,-1,config_Holiday_Calendar_US)),IF(ISNUMBER(_xll.BDH(config!$G$4,L$1,$A406,$A406)),_xll.BDH(config!$G$4,L$1,$A406,$A406),_xll.BDH(config!$G$5,L$1,$A406,$A406))))</f>
        <v>#N/A Requesting Data...</v>
      </c>
      <c r="M406" s="8" t="str">
        <f>IF($A406="","",IF(ISNUMBER(FIND("IMPVOL",M$1)),_xll.BDH(config!$G$4,M$1,WORKDAY($A406,-1,config_Holiday_Calendar_US),WORKDAY($A406,-1,config_Holiday_Calendar_US)),IF(ISNUMBER(_xll.BDH(config!$G$4,M$1,$A406,$A406)),_xll.BDH(config!$G$4,M$1,$A406,$A406),_xll.BDH(config!$G$5,M$1,$A406,$A406))))</f>
        <v>#N/A Requesting Data...</v>
      </c>
      <c r="N406" s="8" t="str">
        <f>IF($A406="","",IF(ISNUMBER(FIND("IMPVOL",N$1)),_xll.BDH(config!$G$4,N$1,WORKDAY($A406,-1,config_Holiday_Calendar_US),WORKDAY($A406,-1,config_Holiday_Calendar_US)),IF(ISNUMBER(_xll.BDH(config!$G$4,N$1,$A406,$A406)),_xll.BDH(config!$G$4,N$1,$A406,$A406),_xll.BDH(config!$G$5,N$1,$A406,$A406))))</f>
        <v>#N/A Requesting Data...</v>
      </c>
      <c r="O406" s="8" t="str">
        <f>IF($A406="","",IF(ISNUMBER(FIND("IMPVOL",O$1)),_xll.BDH(config!$G$4,O$1,WORKDAY($A406,-1,config_Holiday_Calendar_US),WORKDAY($A406,-1,config_Holiday_Calendar_US)),IF(ISNUMBER(_xll.BDH(config!$G$4,O$1,$A406,$A406)),_xll.BDH(config!$G$4,O$1,$A406,$A406),_xll.BDH(config!$G$5,O$1,$A406,$A406))))</f>
        <v>#N/A Requesting Data...</v>
      </c>
      <c r="P406" s="8" t="str">
        <f>IF($A406="","",IF(ISNUMBER(FIND("IMPVOL",P$1)),_xll.BDH(config!$G$4,P$1,WORKDAY($A406,-1,config_Holiday_Calendar_US),WORKDAY($A406,-1,config_Holiday_Calendar_US)),IF(ISNUMBER(_xll.BDH(config!$G$4,P$1,$A406,$A406)),_xll.BDH(config!$G$4,P$1,$A406,$A406),_xll.BDH(config!$G$5,P$1,$A406,$A406))))</f>
        <v>#N/A Requesting Data...</v>
      </c>
      <c r="Q406" s="8">
        <f>IF($A406="","",IF(ISNUMBER(FIND("IMPVOL",Q$1)),_xll.BDH(config!$G$4,Q$1,WORKDAY($A406,-1,config_Holiday_Calendar_US),WORKDAY($A406,-1,config_Holiday_Calendar_US)),IF(ISNUMBER(_xll.BDH(config!$G$4,Q$1,$A406,$A406)),_xll.BDH(config!$G$4,Q$1,$A406,$A406),_xll.BDH(config!$G$5,Q$1,$A406,$A406))))</f>
        <v>38.9</v>
      </c>
      <c r="R406" s="8">
        <f>IF($A406="","",IF(ISNUMBER(FIND("IMPVOL",R$1)),_xll.BDH(config!$G$4,R$1,WORKDAY($A406,-1,config_Holiday_Calendar_US),WORKDAY($A406,-1,config_Holiday_Calendar_US)),IF(ISNUMBER(_xll.BDH(config!$G$4,R$1,$A406,$A406)),_xll.BDH(config!$G$4,R$1,$A406,$A406),_xll.BDH(config!$G$5,R$1,$A406,$A406))))</f>
        <v>32.56</v>
      </c>
      <c r="S406" s="8" t="str">
        <f>IF($A406="","",IF(ISNUMBER(FIND("IMPVOL",S$1)),_xll.BDH(config!$G$4,S$1,WORKDAY($A406,-1,config_Holiday_Calendar_US),WORKDAY($A406,-1,config_Holiday_Calendar_US)),IF(ISNUMBER(_xll.BDH(config!$G$4,S$1,$A406,$A406)),_xll.BDH(config!$G$4,S$1,$A406,$A406),_xll.BDH(config!$G$5,S$1,$A406,$A406))))</f>
        <v>#N/A Requesting Data...</v>
      </c>
      <c r="T406" s="8" t="str">
        <f>IF($A406="","",IF(ISNUMBER(FIND("IMPVOL",T$1)),_xll.BDH(config!$G$4,T$1,WORKDAY($A406,-1,config_Holiday_Calendar_US),WORKDAY($A406,-1,config_Holiday_Calendar_US)),IF(ISNUMBER(_xll.BDH(config!$G$4,T$1,$A406,$A406)),_xll.BDH(config!$G$4,T$1,$A406,$A406),_xll.BDH(config!$G$5,T$1,$A406,$A406))))</f>
        <v>#N/A Requesting Data...</v>
      </c>
      <c r="U406" s="8" t="str">
        <f>IF($A406="","",IF(ISNUMBER(FIND("IMPVOL",U$1)),_xll.BDH(config!$G$4,U$1,WORKDAY($A406,-1,config_Holiday_Calendar_US),WORKDAY($A406,-1,config_Holiday_Calendar_US)),IF(ISNUMBER(_xll.BDH(config!$G$4,U$1,$A406,$A406)),_xll.BDH(config!$G$4,U$1,$A406,$A406),_xll.BDH(config!$G$5,U$1,$A406,$A406))))</f>
        <v>#N/A Requesting Data...</v>
      </c>
      <c r="V406" s="8" t="str">
        <f>IF($A406="","",IF(ISNUMBER(FIND("IMPVOL",V$1)),_xll.BDH(config!$G$4,V$1,WORKDAY($A406,-1,config_Holiday_Calendar_US),WORKDAY($A406,-1,config_Holiday_Calendar_US)),IF(ISNUMBER(_xll.BDH(config!$G$4,V$1,$A406,$A406)),_xll.BDH(config!$G$4,V$1,$A406,$A406),_xll.BDH(config!$G$5,V$1,$A406,$A406))))</f>
        <v>#N/A Requesting Data...</v>
      </c>
      <c r="W406" s="8" t="str">
        <f>IF($A406="","",IF(ISNUMBER(FIND("IMPVOL",W$1)),_xll.BDH(config!$G$4,W$1,WORKDAY($A406,-1,config_Holiday_Calendar_US),WORKDAY($A406,-1,config_Holiday_Calendar_US)),IF(ISNUMBER(_xll.BDH(config!$G$4,W$1,$A406,$A406)),_xll.BDH(config!$G$4,W$1,$A406,$A406),_xll.BDH(config!$G$5,W$1,$A406,$A406))))</f>
        <v>#N/A Requesting Data...</v>
      </c>
    </row>
    <row r="407" spans="1:23" x14ac:dyDescent="0.2">
      <c r="A407" s="9">
        <f>IF(A406="","",IF(WORKDAY(A406,-1,config_Holiday_Calendar_US)&lt;config!$I$10,"",WORKDAY(A406,-1,config_Holiday_Calendar_US)))</f>
        <v>42237</v>
      </c>
      <c r="B407" s="8" t="e">
        <f t="shared" si="6"/>
        <v>#VALUE!</v>
      </c>
      <c r="C407" s="8" t="str">
        <f>IF(A407="","",_xll.BDH(config!$H$4,C$1,$A407,$A407))</f>
        <v>#N/A Requesting Data...</v>
      </c>
      <c r="D407" s="8" t="str">
        <f>IF($A407="","",_xll.BDH(config!$H$4,D$1,$A407,$A407))</f>
        <v>#N/A Requesting Data...</v>
      </c>
      <c r="E407" s="8">
        <f>IF($A407="","",IF(ISNUMBER(FIND("IMPVOL",E$1)),_xll.BDH(config!$G$4,E$1,WORKDAY($A407,-1,config_Holiday_Calendar_US),WORKDAY($A407,-1,config_Holiday_Calendar_US)),IF(ISNUMBER(_xll.BDH(config!$G$4,E$1,$A407,$A407)),_xll.BDH(config!$G$4,E$1,$A407,$A407),_xll.BDH(config!$G$5,E$1,$A407,$A407))))</f>
        <v>41.03</v>
      </c>
      <c r="F407" s="8">
        <f>IF($A407="","",IF(ISNUMBER(FIND("IMPVOL",F$1)),_xll.BDH(config!$G$4,F$1,WORKDAY($A407,-1,config_Holiday_Calendar_US),WORKDAY($A407,-1,config_Holiday_Calendar_US)),IF(ISNUMBER(_xll.BDH(config!$G$4,F$1,$A407,$A407)),_xll.BDH(config!$G$4,F$1,$A407,$A407),_xll.BDH(config!$G$5,F$1,$A407,$A407))))</f>
        <v>41.4</v>
      </c>
      <c r="G407" s="8">
        <f>IF($A407="","",IF(ISNUMBER(FIND("IMPVOL",G$1)),_xll.BDH(config!$G$4,G$1,WORKDAY($A407,-1,config_Holiday_Calendar_US),WORKDAY($A407,-1,config_Holiday_Calendar_US)),IF(ISNUMBER(_xll.BDH(config!$G$4,G$1,$A407,$A407)),_xll.BDH(config!$G$4,G$1,$A407,$A407),_xll.BDH(config!$G$5,G$1,$A407,$A407))))</f>
        <v>40.630000000000003</v>
      </c>
      <c r="H407" s="8">
        <f>IF($A407="","",IF(ISNUMBER(FIND("IMPVOL",H$1)),_xll.BDH(config!$G$4,H$1,WORKDAY($A407,-1,config_Holiday_Calendar_US),WORKDAY($A407,-1,config_Holiday_Calendar_US)),IF(ISNUMBER(_xll.BDH(config!$G$4,H$1,$A407,$A407)),_xll.BDH(config!$G$4,H$1,$A407,$A407),_xll.BDH(config!$G$5,H$1,$A407,$A407))))</f>
        <v>88859</v>
      </c>
      <c r="I407" s="8" t="str">
        <f>IF($A407="","",IF(ISNUMBER(FIND("IMPVOL",I$1)),_xll.BDH(config!$G$4,I$1,WORKDAY($A407,-1,config_Holiday_Calendar_US),WORKDAY($A407,-1,config_Holiday_Calendar_US)),IF(ISNUMBER(_xll.BDH(config!$G$4,I$1,$A407,$A407)),_xll.BDH(config!$G$4,I$1,$A407,$A407),_xll.BDH(config!$G$5,I$1,$A407,$A407))))</f>
        <v>#N/A Requesting Data...</v>
      </c>
      <c r="J407" s="8" t="str">
        <f>IF($A407="","",IF(ISNUMBER(FIND("IMPVOL",J$1)),_xll.BDH(config!$G$4,J$1,WORKDAY($A407,-1,config_Holiday_Calendar_US),WORKDAY($A407,-1,config_Holiday_Calendar_US)),IF(ISNUMBER(_xll.BDH(config!$G$4,J$1,$A407,$A407)),_xll.BDH(config!$G$4,J$1,$A407,$A407),_xll.BDH(config!$G$5,J$1,$A407,$A407))))</f>
        <v>#N/A Requesting Data...</v>
      </c>
      <c r="K407" s="8" t="str">
        <f>IF($A407="","",IF(ISNUMBER(FIND("IMPVOL",K$1)),_xll.BDH(config!$G$4,K$1,WORKDAY($A407,-1,config_Holiday_Calendar_US),WORKDAY($A407,-1,config_Holiday_Calendar_US)),IF(ISNUMBER(_xll.BDH(config!$G$4,K$1,$A407,$A407)),_xll.BDH(config!$G$4,K$1,$A407,$A407),_xll.BDH(config!$G$5,K$1,$A407,$A407))))</f>
        <v>#N/A Requesting Data...</v>
      </c>
      <c r="L407" s="8" t="str">
        <f>IF($A407="","",IF(ISNUMBER(FIND("IMPVOL",L$1)),_xll.BDH(config!$G$4,L$1,WORKDAY($A407,-1,config_Holiday_Calendar_US),WORKDAY($A407,-1,config_Holiday_Calendar_US)),IF(ISNUMBER(_xll.BDH(config!$G$4,L$1,$A407,$A407)),_xll.BDH(config!$G$4,L$1,$A407,$A407),_xll.BDH(config!$G$5,L$1,$A407,$A407))))</f>
        <v>#N/A Requesting Data...</v>
      </c>
      <c r="M407" s="8" t="str">
        <f>IF($A407="","",IF(ISNUMBER(FIND("IMPVOL",M$1)),_xll.BDH(config!$G$4,M$1,WORKDAY($A407,-1,config_Holiday_Calendar_US),WORKDAY($A407,-1,config_Holiday_Calendar_US)),IF(ISNUMBER(_xll.BDH(config!$G$4,M$1,$A407,$A407)),_xll.BDH(config!$G$4,M$1,$A407,$A407),_xll.BDH(config!$G$5,M$1,$A407,$A407))))</f>
        <v>#N/A Requesting Data...</v>
      </c>
      <c r="N407" s="8" t="str">
        <f>IF($A407="","",IF(ISNUMBER(FIND("IMPVOL",N$1)),_xll.BDH(config!$G$4,N$1,WORKDAY($A407,-1,config_Holiday_Calendar_US),WORKDAY($A407,-1,config_Holiday_Calendar_US)),IF(ISNUMBER(_xll.BDH(config!$G$4,N$1,$A407,$A407)),_xll.BDH(config!$G$4,N$1,$A407,$A407),_xll.BDH(config!$G$5,N$1,$A407,$A407))))</f>
        <v>#N/A Requesting Data...</v>
      </c>
      <c r="O407" s="8" t="str">
        <f>IF($A407="","",IF(ISNUMBER(FIND("IMPVOL",O$1)),_xll.BDH(config!$G$4,O$1,WORKDAY($A407,-1,config_Holiday_Calendar_US),WORKDAY($A407,-1,config_Holiday_Calendar_US)),IF(ISNUMBER(_xll.BDH(config!$G$4,O$1,$A407,$A407)),_xll.BDH(config!$G$4,O$1,$A407,$A407),_xll.BDH(config!$G$5,O$1,$A407,$A407))))</f>
        <v>#N/A Requesting Data...</v>
      </c>
      <c r="P407" s="8" t="str">
        <f>IF($A407="","",IF(ISNUMBER(FIND("IMPVOL",P$1)),_xll.BDH(config!$G$4,P$1,WORKDAY($A407,-1,config_Holiday_Calendar_US),WORKDAY($A407,-1,config_Holiday_Calendar_US)),IF(ISNUMBER(_xll.BDH(config!$G$4,P$1,$A407,$A407)),_xll.BDH(config!$G$4,P$1,$A407,$A407),_xll.BDH(config!$G$5,P$1,$A407,$A407))))</f>
        <v>#N/A Requesting Data...</v>
      </c>
      <c r="Q407" s="8">
        <f>IF($A407="","",IF(ISNUMBER(FIND("IMPVOL",Q$1)),_xll.BDH(config!$G$4,Q$1,WORKDAY($A407,-1,config_Holiday_Calendar_US),WORKDAY($A407,-1,config_Holiday_Calendar_US)),IF(ISNUMBER(_xll.BDH(config!$G$4,Q$1,$A407,$A407)),_xll.BDH(config!$G$4,Q$1,$A407,$A407),_xll.BDH(config!$G$5,Q$1,$A407,$A407))))</f>
        <v>33.619999999999997</v>
      </c>
      <c r="R407" s="8">
        <f>IF($A407="","",IF(ISNUMBER(FIND("IMPVOL",R$1)),_xll.BDH(config!$G$4,R$1,WORKDAY($A407,-1,config_Holiday_Calendar_US),WORKDAY($A407,-1,config_Holiday_Calendar_US)),IF(ISNUMBER(_xll.BDH(config!$G$4,R$1,$A407,$A407)),_xll.BDH(config!$G$4,R$1,$A407,$A407),_xll.BDH(config!$G$5,R$1,$A407,$A407))))</f>
        <v>30.2</v>
      </c>
      <c r="S407" s="8" t="str">
        <f>IF($A407="","",IF(ISNUMBER(FIND("IMPVOL",S$1)),_xll.BDH(config!$G$4,S$1,WORKDAY($A407,-1,config_Holiday_Calendar_US),WORKDAY($A407,-1,config_Holiday_Calendar_US)),IF(ISNUMBER(_xll.BDH(config!$G$4,S$1,$A407,$A407)),_xll.BDH(config!$G$4,S$1,$A407,$A407),_xll.BDH(config!$G$5,S$1,$A407,$A407))))</f>
        <v>#N/A Requesting Data...</v>
      </c>
      <c r="T407" s="8" t="str">
        <f>IF($A407="","",IF(ISNUMBER(FIND("IMPVOL",T$1)),_xll.BDH(config!$G$4,T$1,WORKDAY($A407,-1,config_Holiday_Calendar_US),WORKDAY($A407,-1,config_Holiday_Calendar_US)),IF(ISNUMBER(_xll.BDH(config!$G$4,T$1,$A407,$A407)),_xll.BDH(config!$G$4,T$1,$A407,$A407),_xll.BDH(config!$G$5,T$1,$A407,$A407))))</f>
        <v>#N/A Requesting Data...</v>
      </c>
      <c r="U407" s="8" t="str">
        <f>IF($A407="","",IF(ISNUMBER(FIND("IMPVOL",U$1)),_xll.BDH(config!$G$4,U$1,WORKDAY($A407,-1,config_Holiday_Calendar_US),WORKDAY($A407,-1,config_Holiday_Calendar_US)),IF(ISNUMBER(_xll.BDH(config!$G$4,U$1,$A407,$A407)),_xll.BDH(config!$G$4,U$1,$A407,$A407),_xll.BDH(config!$G$5,U$1,$A407,$A407))))</f>
        <v>#N/A Requesting Data...</v>
      </c>
      <c r="V407" s="8" t="str">
        <f>IF($A407="","",IF(ISNUMBER(FIND("IMPVOL",V$1)),_xll.BDH(config!$G$4,V$1,WORKDAY($A407,-1,config_Holiday_Calendar_US),WORKDAY($A407,-1,config_Holiday_Calendar_US)),IF(ISNUMBER(_xll.BDH(config!$G$4,V$1,$A407,$A407)),_xll.BDH(config!$G$4,V$1,$A407,$A407),_xll.BDH(config!$G$5,V$1,$A407,$A407))))</f>
        <v>#N/A Requesting Data...</v>
      </c>
      <c r="W407" s="8" t="str">
        <f>IF($A407="","",IF(ISNUMBER(FIND("IMPVOL",W$1)),_xll.BDH(config!$G$4,W$1,WORKDAY($A407,-1,config_Holiday_Calendar_US),WORKDAY($A407,-1,config_Holiday_Calendar_US)),IF(ISNUMBER(_xll.BDH(config!$G$4,W$1,$A407,$A407)),_xll.BDH(config!$G$4,W$1,$A407,$A407),_xll.BDH(config!$G$5,W$1,$A407,$A407))))</f>
        <v>#N/A Requesting Data...</v>
      </c>
    </row>
    <row r="408" spans="1:23" x14ac:dyDescent="0.2">
      <c r="A408" s="9">
        <f>IF(A407="","",IF(WORKDAY(A407,-1,config_Holiday_Calendar_US)&lt;config!$I$10,"",WORKDAY(A407,-1,config_Holiday_Calendar_US)))</f>
        <v>42236</v>
      </c>
      <c r="B408" s="8" t="e">
        <f t="shared" si="6"/>
        <v>#VALUE!</v>
      </c>
      <c r="C408" s="8" t="str">
        <f>IF(A408="","",_xll.BDH(config!$H$4,C$1,$A408,$A408))</f>
        <v>#N/A Requesting Data...</v>
      </c>
      <c r="D408" s="8" t="str">
        <f>IF($A408="","",_xll.BDH(config!$H$4,D$1,$A408,$A408))</f>
        <v>#N/A Requesting Data...</v>
      </c>
      <c r="E408" s="8">
        <f>IF($A408="","",IF(ISNUMBER(FIND("IMPVOL",E$1)),_xll.BDH(config!$G$4,E$1,WORKDAY($A408,-1,config_Holiday_Calendar_US),WORKDAY($A408,-1,config_Holiday_Calendar_US)),IF(ISNUMBER(_xll.BDH(config!$G$4,E$1,$A408,$A408)),_xll.BDH(config!$G$4,E$1,$A408,$A408),_xll.BDH(config!$G$5,E$1,$A408,$A408))))</f>
        <v>40.58</v>
      </c>
      <c r="F408" s="8">
        <f>IF($A408="","",IF(ISNUMBER(FIND("IMPVOL",F$1)),_xll.BDH(config!$G$4,F$1,WORKDAY($A408,-1,config_Holiday_Calendar_US),WORKDAY($A408,-1,config_Holiday_Calendar_US)),IF(ISNUMBER(_xll.BDH(config!$G$4,F$1,$A408,$A408)),_xll.BDH(config!$G$4,F$1,$A408,$A408),_xll.BDH(config!$G$5,F$1,$A408,$A408))))</f>
        <v>41.48</v>
      </c>
      <c r="G408" s="8">
        <f>IF($A408="","",IF(ISNUMBER(FIND("IMPVOL",G$1)),_xll.BDH(config!$G$4,G$1,WORKDAY($A408,-1,config_Holiday_Calendar_US),WORKDAY($A408,-1,config_Holiday_Calendar_US)),IF(ISNUMBER(_xll.BDH(config!$G$4,G$1,$A408,$A408)),_xll.BDH(config!$G$4,G$1,$A408,$A408),_xll.BDH(config!$G$5,G$1,$A408,$A408))))</f>
        <v>40.5</v>
      </c>
      <c r="H408" s="8">
        <f>IF($A408="","",IF(ISNUMBER(FIND("IMPVOL",H$1)),_xll.BDH(config!$G$4,H$1,WORKDAY($A408,-1,config_Holiday_Calendar_US),WORKDAY($A408,-1,config_Holiday_Calendar_US)),IF(ISNUMBER(_xll.BDH(config!$G$4,H$1,$A408,$A408)),_xll.BDH(config!$G$4,H$1,$A408,$A408),_xll.BDH(config!$G$5,H$1,$A408,$A408))))</f>
        <v>380433</v>
      </c>
      <c r="I408" s="8" t="str">
        <f>IF($A408="","",IF(ISNUMBER(FIND("IMPVOL",I$1)),_xll.BDH(config!$G$4,I$1,WORKDAY($A408,-1,config_Holiday_Calendar_US),WORKDAY($A408,-1,config_Holiday_Calendar_US)),IF(ISNUMBER(_xll.BDH(config!$G$4,I$1,$A408,$A408)),_xll.BDH(config!$G$4,I$1,$A408,$A408),_xll.BDH(config!$G$5,I$1,$A408,$A408))))</f>
        <v>#N/A Requesting Data...</v>
      </c>
      <c r="J408" s="8" t="str">
        <f>IF($A408="","",IF(ISNUMBER(FIND("IMPVOL",J$1)),_xll.BDH(config!$G$4,J$1,WORKDAY($A408,-1,config_Holiday_Calendar_US),WORKDAY($A408,-1,config_Holiday_Calendar_US)),IF(ISNUMBER(_xll.BDH(config!$G$4,J$1,$A408,$A408)),_xll.BDH(config!$G$4,J$1,$A408,$A408),_xll.BDH(config!$G$5,J$1,$A408,$A408))))</f>
        <v>#N/A Requesting Data...</v>
      </c>
      <c r="K408" s="8" t="str">
        <f>IF($A408="","",IF(ISNUMBER(FIND("IMPVOL",K$1)),_xll.BDH(config!$G$4,K$1,WORKDAY($A408,-1,config_Holiday_Calendar_US),WORKDAY($A408,-1,config_Holiday_Calendar_US)),IF(ISNUMBER(_xll.BDH(config!$G$4,K$1,$A408,$A408)),_xll.BDH(config!$G$4,K$1,$A408,$A408),_xll.BDH(config!$G$5,K$1,$A408,$A408))))</f>
        <v>#N/A Requesting Data...</v>
      </c>
      <c r="L408" s="8" t="str">
        <f>IF($A408="","",IF(ISNUMBER(FIND("IMPVOL",L$1)),_xll.BDH(config!$G$4,L$1,WORKDAY($A408,-1,config_Holiday_Calendar_US),WORKDAY($A408,-1,config_Holiday_Calendar_US)),IF(ISNUMBER(_xll.BDH(config!$G$4,L$1,$A408,$A408)),_xll.BDH(config!$G$4,L$1,$A408,$A408),_xll.BDH(config!$G$5,L$1,$A408,$A408))))</f>
        <v>#N/A Requesting Data...</v>
      </c>
      <c r="M408" s="8" t="str">
        <f>IF($A408="","",IF(ISNUMBER(FIND("IMPVOL",M$1)),_xll.BDH(config!$G$4,M$1,WORKDAY($A408,-1,config_Holiday_Calendar_US),WORKDAY($A408,-1,config_Holiday_Calendar_US)),IF(ISNUMBER(_xll.BDH(config!$G$4,M$1,$A408,$A408)),_xll.BDH(config!$G$4,M$1,$A408,$A408),_xll.BDH(config!$G$5,M$1,$A408,$A408))))</f>
        <v>#N/A Requesting Data...</v>
      </c>
      <c r="N408" s="8" t="str">
        <f>IF($A408="","",IF(ISNUMBER(FIND("IMPVOL",N$1)),_xll.BDH(config!$G$4,N$1,WORKDAY($A408,-1,config_Holiday_Calendar_US),WORKDAY($A408,-1,config_Holiday_Calendar_US)),IF(ISNUMBER(_xll.BDH(config!$G$4,N$1,$A408,$A408)),_xll.BDH(config!$G$4,N$1,$A408,$A408),_xll.BDH(config!$G$5,N$1,$A408,$A408))))</f>
        <v>#N/A Requesting Data...</v>
      </c>
      <c r="O408" s="8" t="str">
        <f>IF($A408="","",IF(ISNUMBER(FIND("IMPVOL",O$1)),_xll.BDH(config!$G$4,O$1,WORKDAY($A408,-1,config_Holiday_Calendar_US),WORKDAY($A408,-1,config_Holiday_Calendar_US)),IF(ISNUMBER(_xll.BDH(config!$G$4,O$1,$A408,$A408)),_xll.BDH(config!$G$4,O$1,$A408,$A408),_xll.BDH(config!$G$5,O$1,$A408,$A408))))</f>
        <v>#N/A Requesting Data...</v>
      </c>
      <c r="P408" s="8" t="str">
        <f>IF($A408="","",IF(ISNUMBER(FIND("IMPVOL",P$1)),_xll.BDH(config!$G$4,P$1,WORKDAY($A408,-1,config_Holiday_Calendar_US),WORKDAY($A408,-1,config_Holiday_Calendar_US)),IF(ISNUMBER(_xll.BDH(config!$G$4,P$1,$A408,$A408)),_xll.BDH(config!$G$4,P$1,$A408,$A408),_xll.BDH(config!$G$5,P$1,$A408,$A408))))</f>
        <v>#N/A Requesting Data...</v>
      </c>
      <c r="Q408" s="8">
        <f>IF($A408="","",IF(ISNUMBER(FIND("IMPVOL",Q$1)),_xll.BDH(config!$G$4,Q$1,WORKDAY($A408,-1,config_Holiday_Calendar_US),WORKDAY($A408,-1,config_Holiday_Calendar_US)),IF(ISNUMBER(_xll.BDH(config!$G$4,Q$1,$A408,$A408)),_xll.BDH(config!$G$4,Q$1,$A408,$A408),_xll.BDH(config!$G$5,Q$1,$A408,$A408))))</f>
        <v>39.99</v>
      </c>
      <c r="R408" s="8">
        <f>IF($A408="","",IF(ISNUMBER(FIND("IMPVOL",R$1)),_xll.BDH(config!$G$4,R$1,WORKDAY($A408,-1,config_Holiday_Calendar_US),WORKDAY($A408,-1,config_Holiday_Calendar_US)),IF(ISNUMBER(_xll.BDH(config!$G$4,R$1,$A408,$A408)),_xll.BDH(config!$G$4,R$1,$A408,$A408),_xll.BDH(config!$G$5,R$1,$A408,$A408))))</f>
        <v>30.16</v>
      </c>
      <c r="S408" s="8" t="str">
        <f>IF($A408="","",IF(ISNUMBER(FIND("IMPVOL",S$1)),_xll.BDH(config!$G$4,S$1,WORKDAY($A408,-1,config_Holiday_Calendar_US),WORKDAY($A408,-1,config_Holiday_Calendar_US)),IF(ISNUMBER(_xll.BDH(config!$G$4,S$1,$A408,$A408)),_xll.BDH(config!$G$4,S$1,$A408,$A408),_xll.BDH(config!$G$5,S$1,$A408,$A408))))</f>
        <v>#N/A Requesting Data...</v>
      </c>
      <c r="T408" s="8" t="str">
        <f>IF($A408="","",IF(ISNUMBER(FIND("IMPVOL",T$1)),_xll.BDH(config!$G$4,T$1,WORKDAY($A408,-1,config_Holiday_Calendar_US),WORKDAY($A408,-1,config_Holiday_Calendar_US)),IF(ISNUMBER(_xll.BDH(config!$G$4,T$1,$A408,$A408)),_xll.BDH(config!$G$4,T$1,$A408,$A408),_xll.BDH(config!$G$5,T$1,$A408,$A408))))</f>
        <v>#N/A Requesting Data...</v>
      </c>
      <c r="U408" s="8" t="str">
        <f>IF($A408="","",IF(ISNUMBER(FIND("IMPVOL",U$1)),_xll.BDH(config!$G$4,U$1,WORKDAY($A408,-1,config_Holiday_Calendar_US),WORKDAY($A408,-1,config_Holiday_Calendar_US)),IF(ISNUMBER(_xll.BDH(config!$G$4,U$1,$A408,$A408)),_xll.BDH(config!$G$4,U$1,$A408,$A408),_xll.BDH(config!$G$5,U$1,$A408,$A408))))</f>
        <v>#N/A Requesting Data...</v>
      </c>
      <c r="V408" s="8" t="str">
        <f>IF($A408="","",IF(ISNUMBER(FIND("IMPVOL",V$1)),_xll.BDH(config!$G$4,V$1,WORKDAY($A408,-1,config_Holiday_Calendar_US),WORKDAY($A408,-1,config_Holiday_Calendar_US)),IF(ISNUMBER(_xll.BDH(config!$G$4,V$1,$A408,$A408)),_xll.BDH(config!$G$4,V$1,$A408,$A408),_xll.BDH(config!$G$5,V$1,$A408,$A408))))</f>
        <v>#N/A Requesting Data...</v>
      </c>
      <c r="W408" s="8" t="str">
        <f>IF($A408="","",IF(ISNUMBER(FIND("IMPVOL",W$1)),_xll.BDH(config!$G$4,W$1,WORKDAY($A408,-1,config_Holiday_Calendar_US),WORKDAY($A408,-1,config_Holiday_Calendar_US)),IF(ISNUMBER(_xll.BDH(config!$G$4,W$1,$A408,$A408)),_xll.BDH(config!$G$4,W$1,$A408,$A408),_xll.BDH(config!$G$5,W$1,$A408,$A408))))</f>
        <v>#N/A Requesting Data...</v>
      </c>
    </row>
    <row r="409" spans="1:23" x14ac:dyDescent="0.2">
      <c r="A409" s="9">
        <f>IF(A408="","",IF(WORKDAY(A408,-1,config_Holiday_Calendar_US)&lt;config!$I$10,"",WORKDAY(A408,-1,config_Holiday_Calendar_US)))</f>
        <v>42235</v>
      </c>
      <c r="B409" s="8" t="e">
        <f t="shared" si="6"/>
        <v>#VALUE!</v>
      </c>
      <c r="C409" s="8" t="str">
        <f>IF(A409="","",_xll.BDH(config!$H$4,C$1,$A409,$A409))</f>
        <v>#N/A Requesting Data...</v>
      </c>
      <c r="D409" s="8" t="str">
        <f>IF($A409="","",_xll.BDH(config!$H$4,D$1,$A409,$A409))</f>
        <v>#N/A Requesting Data...</v>
      </c>
      <c r="E409" s="8">
        <f>IF($A409="","",IF(ISNUMBER(FIND("IMPVOL",E$1)),_xll.BDH(config!$G$4,E$1,WORKDAY($A409,-1,config_Holiday_Calendar_US),WORKDAY($A409,-1,config_Holiday_Calendar_US)),IF(ISNUMBER(_xll.BDH(config!$G$4,E$1,$A409,$A409)),_xll.BDH(config!$G$4,E$1,$A409,$A409),_xll.BDH(config!$G$5,E$1,$A409,$A409))))</f>
        <v>42.41</v>
      </c>
      <c r="F409" s="8">
        <f>IF($A409="","",IF(ISNUMBER(FIND("IMPVOL",F$1)),_xll.BDH(config!$G$4,F$1,WORKDAY($A409,-1,config_Holiday_Calendar_US),WORKDAY($A409,-1,config_Holiday_Calendar_US)),IF(ISNUMBER(_xll.BDH(config!$G$4,F$1,$A409,$A409)),_xll.BDH(config!$G$4,F$1,$A409,$A409),_xll.BDH(config!$G$5,F$1,$A409,$A409))))</f>
        <v>42.68</v>
      </c>
      <c r="G409" s="8">
        <f>IF($A409="","",IF(ISNUMBER(FIND("IMPVOL",G$1)),_xll.BDH(config!$G$4,G$1,WORKDAY($A409,-1,config_Holiday_Calendar_US),WORKDAY($A409,-1,config_Holiday_Calendar_US)),IF(ISNUMBER(_xll.BDH(config!$G$4,G$1,$A409,$A409)),_xll.BDH(config!$G$4,G$1,$A409,$A409),_xll.BDH(config!$G$5,G$1,$A409,$A409))))</f>
        <v>40.81</v>
      </c>
      <c r="H409" s="8">
        <f>IF($A409="","",IF(ISNUMBER(FIND("IMPVOL",H$1)),_xll.BDH(config!$G$4,H$1,WORKDAY($A409,-1,config_Holiday_Calendar_US),WORKDAY($A409,-1,config_Holiday_Calendar_US)),IF(ISNUMBER(_xll.BDH(config!$G$4,H$1,$A409,$A409)),_xll.BDH(config!$G$4,H$1,$A409,$A409),_xll.BDH(config!$G$5,H$1,$A409,$A409))))</f>
        <v>458073</v>
      </c>
      <c r="I409" s="8" t="str">
        <f>IF($A409="","",IF(ISNUMBER(FIND("IMPVOL",I$1)),_xll.BDH(config!$G$4,I$1,WORKDAY($A409,-1,config_Holiday_Calendar_US),WORKDAY($A409,-1,config_Holiday_Calendar_US)),IF(ISNUMBER(_xll.BDH(config!$G$4,I$1,$A409,$A409)),_xll.BDH(config!$G$4,I$1,$A409,$A409),_xll.BDH(config!$G$5,I$1,$A409,$A409))))</f>
        <v>#N/A Requesting Data...</v>
      </c>
      <c r="J409" s="8" t="str">
        <f>IF($A409="","",IF(ISNUMBER(FIND("IMPVOL",J$1)),_xll.BDH(config!$G$4,J$1,WORKDAY($A409,-1,config_Holiday_Calendar_US),WORKDAY($A409,-1,config_Holiday_Calendar_US)),IF(ISNUMBER(_xll.BDH(config!$G$4,J$1,$A409,$A409)),_xll.BDH(config!$G$4,J$1,$A409,$A409),_xll.BDH(config!$G$5,J$1,$A409,$A409))))</f>
        <v>#N/A Requesting Data...</v>
      </c>
      <c r="K409" s="8" t="str">
        <f>IF($A409="","",IF(ISNUMBER(FIND("IMPVOL",K$1)),_xll.BDH(config!$G$4,K$1,WORKDAY($A409,-1,config_Holiday_Calendar_US),WORKDAY($A409,-1,config_Holiday_Calendar_US)),IF(ISNUMBER(_xll.BDH(config!$G$4,K$1,$A409,$A409)),_xll.BDH(config!$G$4,K$1,$A409,$A409),_xll.BDH(config!$G$5,K$1,$A409,$A409))))</f>
        <v>#N/A Requesting Data...</v>
      </c>
      <c r="L409" s="8" t="str">
        <f>IF($A409="","",IF(ISNUMBER(FIND("IMPVOL",L$1)),_xll.BDH(config!$G$4,L$1,WORKDAY($A409,-1,config_Holiday_Calendar_US),WORKDAY($A409,-1,config_Holiday_Calendar_US)),IF(ISNUMBER(_xll.BDH(config!$G$4,L$1,$A409,$A409)),_xll.BDH(config!$G$4,L$1,$A409,$A409),_xll.BDH(config!$G$5,L$1,$A409,$A409))))</f>
        <v>#N/A Requesting Data...</v>
      </c>
      <c r="M409" s="8" t="str">
        <f>IF($A409="","",IF(ISNUMBER(FIND("IMPVOL",M$1)),_xll.BDH(config!$G$4,M$1,WORKDAY($A409,-1,config_Holiday_Calendar_US),WORKDAY($A409,-1,config_Holiday_Calendar_US)),IF(ISNUMBER(_xll.BDH(config!$G$4,M$1,$A409,$A409)),_xll.BDH(config!$G$4,M$1,$A409,$A409),_xll.BDH(config!$G$5,M$1,$A409,$A409))))</f>
        <v>#N/A Requesting Data...</v>
      </c>
      <c r="N409" s="8" t="str">
        <f>IF($A409="","",IF(ISNUMBER(FIND("IMPVOL",N$1)),_xll.BDH(config!$G$4,N$1,WORKDAY($A409,-1,config_Holiday_Calendar_US),WORKDAY($A409,-1,config_Holiday_Calendar_US)),IF(ISNUMBER(_xll.BDH(config!$G$4,N$1,$A409,$A409)),_xll.BDH(config!$G$4,N$1,$A409,$A409),_xll.BDH(config!$G$5,N$1,$A409,$A409))))</f>
        <v>#N/A Requesting Data...</v>
      </c>
      <c r="O409" s="8" t="str">
        <f>IF($A409="","",IF(ISNUMBER(FIND("IMPVOL",O$1)),_xll.BDH(config!$G$4,O$1,WORKDAY($A409,-1,config_Holiday_Calendar_US),WORKDAY($A409,-1,config_Holiday_Calendar_US)),IF(ISNUMBER(_xll.BDH(config!$G$4,O$1,$A409,$A409)),_xll.BDH(config!$G$4,O$1,$A409,$A409),_xll.BDH(config!$G$5,O$1,$A409,$A409))))</f>
        <v>#N/A Requesting Data...</v>
      </c>
      <c r="P409" s="8" t="str">
        <f>IF($A409="","",IF(ISNUMBER(FIND("IMPVOL",P$1)),_xll.BDH(config!$G$4,P$1,WORKDAY($A409,-1,config_Holiday_Calendar_US),WORKDAY($A409,-1,config_Holiday_Calendar_US)),IF(ISNUMBER(_xll.BDH(config!$G$4,P$1,$A409,$A409)),_xll.BDH(config!$G$4,P$1,$A409,$A409),_xll.BDH(config!$G$5,P$1,$A409,$A409))))</f>
        <v>#N/A Requesting Data...</v>
      </c>
      <c r="Q409" s="8">
        <f>IF($A409="","",IF(ISNUMBER(FIND("IMPVOL",Q$1)),_xll.BDH(config!$G$4,Q$1,WORKDAY($A409,-1,config_Holiday_Calendar_US),WORKDAY($A409,-1,config_Holiday_Calendar_US)),IF(ISNUMBER(_xll.BDH(config!$G$4,Q$1,$A409,$A409)),_xll.BDH(config!$G$4,Q$1,$A409,$A409),_xll.BDH(config!$G$5,Q$1,$A409,$A409))))</f>
        <v>39.81</v>
      </c>
      <c r="R409" s="8">
        <f>IF($A409="","",IF(ISNUMBER(FIND("IMPVOL",R$1)),_xll.BDH(config!$G$4,R$1,WORKDAY($A409,-1,config_Holiday_Calendar_US),WORKDAY($A409,-1,config_Holiday_Calendar_US)),IF(ISNUMBER(_xll.BDH(config!$G$4,R$1,$A409,$A409)),_xll.BDH(config!$G$4,R$1,$A409,$A409),_xll.BDH(config!$G$5,R$1,$A409,$A409))))</f>
        <v>30.12</v>
      </c>
      <c r="S409" s="8" t="str">
        <f>IF($A409="","",IF(ISNUMBER(FIND("IMPVOL",S$1)),_xll.BDH(config!$G$4,S$1,WORKDAY($A409,-1,config_Holiday_Calendar_US),WORKDAY($A409,-1,config_Holiday_Calendar_US)),IF(ISNUMBER(_xll.BDH(config!$G$4,S$1,$A409,$A409)),_xll.BDH(config!$G$4,S$1,$A409,$A409),_xll.BDH(config!$G$5,S$1,$A409,$A409))))</f>
        <v>#N/A Requesting Data...</v>
      </c>
      <c r="T409" s="8" t="str">
        <f>IF($A409="","",IF(ISNUMBER(FIND("IMPVOL",T$1)),_xll.BDH(config!$G$4,T$1,WORKDAY($A409,-1,config_Holiday_Calendar_US),WORKDAY($A409,-1,config_Holiday_Calendar_US)),IF(ISNUMBER(_xll.BDH(config!$G$4,T$1,$A409,$A409)),_xll.BDH(config!$G$4,T$1,$A409,$A409),_xll.BDH(config!$G$5,T$1,$A409,$A409))))</f>
        <v>#N/A Requesting Data...</v>
      </c>
      <c r="U409" s="8" t="str">
        <f>IF($A409="","",IF(ISNUMBER(FIND("IMPVOL",U$1)),_xll.BDH(config!$G$4,U$1,WORKDAY($A409,-1,config_Holiday_Calendar_US),WORKDAY($A409,-1,config_Holiday_Calendar_US)),IF(ISNUMBER(_xll.BDH(config!$G$4,U$1,$A409,$A409)),_xll.BDH(config!$G$4,U$1,$A409,$A409),_xll.BDH(config!$G$5,U$1,$A409,$A409))))</f>
        <v>#N/A Requesting Data...</v>
      </c>
      <c r="V409" s="8" t="str">
        <f>IF($A409="","",IF(ISNUMBER(FIND("IMPVOL",V$1)),_xll.BDH(config!$G$4,V$1,WORKDAY($A409,-1,config_Holiday_Calendar_US),WORKDAY($A409,-1,config_Holiday_Calendar_US)),IF(ISNUMBER(_xll.BDH(config!$G$4,V$1,$A409,$A409)),_xll.BDH(config!$G$4,V$1,$A409,$A409),_xll.BDH(config!$G$5,V$1,$A409,$A409))))</f>
        <v>#N/A Requesting Data...</v>
      </c>
      <c r="W409" s="8" t="str">
        <f>IF($A409="","",IF(ISNUMBER(FIND("IMPVOL",W$1)),_xll.BDH(config!$G$4,W$1,WORKDAY($A409,-1,config_Holiday_Calendar_US),WORKDAY($A409,-1,config_Holiday_Calendar_US)),IF(ISNUMBER(_xll.BDH(config!$G$4,W$1,$A409,$A409)),_xll.BDH(config!$G$4,W$1,$A409,$A409),_xll.BDH(config!$G$5,W$1,$A409,$A409))))</f>
        <v>#N/A Requesting Data...</v>
      </c>
    </row>
    <row r="410" spans="1:23" x14ac:dyDescent="0.2">
      <c r="A410" s="9">
        <f>IF(A409="","",IF(WORKDAY(A409,-1,config_Holiday_Calendar_US)&lt;config!$I$10,"",WORKDAY(A409,-1,config_Holiday_Calendar_US)))</f>
        <v>42234</v>
      </c>
      <c r="B410" s="8" t="e">
        <f t="shared" si="6"/>
        <v>#VALUE!</v>
      </c>
      <c r="C410" s="8" t="str">
        <f>IF(A410="","",_xll.BDH(config!$H$4,C$1,$A410,$A410))</f>
        <v>#N/A Requesting Data...</v>
      </c>
      <c r="D410" s="8" t="str">
        <f>IF($A410="","",_xll.BDH(config!$H$4,D$1,$A410,$A410))</f>
        <v>#N/A Requesting Data...</v>
      </c>
      <c r="E410" s="8">
        <f>IF($A410="","",IF(ISNUMBER(FIND("IMPVOL",E$1)),_xll.BDH(config!$G$4,E$1,WORKDAY($A410,-1,config_Holiday_Calendar_US),WORKDAY($A410,-1,config_Holiday_Calendar_US)),IF(ISNUMBER(_xll.BDH(config!$G$4,E$1,$A410,$A410)),_xll.BDH(config!$G$4,E$1,$A410,$A410),_xll.BDH(config!$G$5,E$1,$A410,$A410))))</f>
        <v>41.88</v>
      </c>
      <c r="F410" s="8">
        <f>IF($A410="","",IF(ISNUMBER(FIND("IMPVOL",F$1)),_xll.BDH(config!$G$4,F$1,WORKDAY($A410,-1,config_Holiday_Calendar_US),WORKDAY($A410,-1,config_Holiday_Calendar_US)),IF(ISNUMBER(_xll.BDH(config!$G$4,F$1,$A410,$A410)),_xll.BDH(config!$G$4,F$1,$A410,$A410),_xll.BDH(config!$G$5,F$1,$A410,$A410))))</f>
        <v>42.9</v>
      </c>
      <c r="G410" s="8">
        <f>IF($A410="","",IF(ISNUMBER(FIND("IMPVOL",G$1)),_xll.BDH(config!$G$4,G$1,WORKDAY($A410,-1,config_Holiday_Calendar_US),WORKDAY($A410,-1,config_Holiday_Calendar_US)),IF(ISNUMBER(_xll.BDH(config!$G$4,G$1,$A410,$A410)),_xll.BDH(config!$G$4,G$1,$A410,$A410),_xll.BDH(config!$G$5,G$1,$A410,$A410))))</f>
        <v>41.94</v>
      </c>
      <c r="H410" s="8">
        <f>IF($A410="","",IF(ISNUMBER(FIND("IMPVOL",H$1)),_xll.BDH(config!$G$4,H$1,WORKDAY($A410,-1,config_Holiday_Calendar_US),WORKDAY($A410,-1,config_Holiday_Calendar_US)),IF(ISNUMBER(_xll.BDH(config!$G$4,H$1,$A410,$A410)),_xll.BDH(config!$G$4,H$1,$A410,$A410),_xll.BDH(config!$G$5,H$1,$A410,$A410))))</f>
        <v>248262</v>
      </c>
      <c r="I410" s="8" t="str">
        <f>IF($A410="","",IF(ISNUMBER(FIND("IMPVOL",I$1)),_xll.BDH(config!$G$4,I$1,WORKDAY($A410,-1,config_Holiday_Calendar_US),WORKDAY($A410,-1,config_Holiday_Calendar_US)),IF(ISNUMBER(_xll.BDH(config!$G$4,I$1,$A410,$A410)),_xll.BDH(config!$G$4,I$1,$A410,$A410),_xll.BDH(config!$G$5,I$1,$A410,$A410))))</f>
        <v>#N/A Requesting Data...</v>
      </c>
      <c r="J410" s="8" t="str">
        <f>IF($A410="","",IF(ISNUMBER(FIND("IMPVOL",J$1)),_xll.BDH(config!$G$4,J$1,WORKDAY($A410,-1,config_Holiday_Calendar_US),WORKDAY($A410,-1,config_Holiday_Calendar_US)),IF(ISNUMBER(_xll.BDH(config!$G$4,J$1,$A410,$A410)),_xll.BDH(config!$G$4,J$1,$A410,$A410),_xll.BDH(config!$G$5,J$1,$A410,$A410))))</f>
        <v>#N/A Requesting Data...</v>
      </c>
      <c r="K410" s="8" t="str">
        <f>IF($A410="","",IF(ISNUMBER(FIND("IMPVOL",K$1)),_xll.BDH(config!$G$4,K$1,WORKDAY($A410,-1,config_Holiday_Calendar_US),WORKDAY($A410,-1,config_Holiday_Calendar_US)),IF(ISNUMBER(_xll.BDH(config!$G$4,K$1,$A410,$A410)),_xll.BDH(config!$G$4,K$1,$A410,$A410),_xll.BDH(config!$G$5,K$1,$A410,$A410))))</f>
        <v>#N/A Requesting Data...</v>
      </c>
      <c r="L410" s="8" t="str">
        <f>IF($A410="","",IF(ISNUMBER(FIND("IMPVOL",L$1)),_xll.BDH(config!$G$4,L$1,WORKDAY($A410,-1,config_Holiday_Calendar_US),WORKDAY($A410,-1,config_Holiday_Calendar_US)),IF(ISNUMBER(_xll.BDH(config!$G$4,L$1,$A410,$A410)),_xll.BDH(config!$G$4,L$1,$A410,$A410),_xll.BDH(config!$G$5,L$1,$A410,$A410))))</f>
        <v>#N/A Requesting Data...</v>
      </c>
      <c r="M410" s="8" t="str">
        <f>IF($A410="","",IF(ISNUMBER(FIND("IMPVOL",M$1)),_xll.BDH(config!$G$4,M$1,WORKDAY($A410,-1,config_Holiday_Calendar_US),WORKDAY($A410,-1,config_Holiday_Calendar_US)),IF(ISNUMBER(_xll.BDH(config!$G$4,M$1,$A410,$A410)),_xll.BDH(config!$G$4,M$1,$A410,$A410),_xll.BDH(config!$G$5,M$1,$A410,$A410))))</f>
        <v>#N/A Requesting Data...</v>
      </c>
      <c r="N410" s="8" t="str">
        <f>IF($A410="","",IF(ISNUMBER(FIND("IMPVOL",N$1)),_xll.BDH(config!$G$4,N$1,WORKDAY($A410,-1,config_Holiday_Calendar_US),WORKDAY($A410,-1,config_Holiday_Calendar_US)),IF(ISNUMBER(_xll.BDH(config!$G$4,N$1,$A410,$A410)),_xll.BDH(config!$G$4,N$1,$A410,$A410),_xll.BDH(config!$G$5,N$1,$A410,$A410))))</f>
        <v>#N/A Requesting Data...</v>
      </c>
      <c r="O410" s="8" t="str">
        <f>IF($A410="","",IF(ISNUMBER(FIND("IMPVOL",O$1)),_xll.BDH(config!$G$4,O$1,WORKDAY($A410,-1,config_Holiday_Calendar_US),WORKDAY($A410,-1,config_Holiday_Calendar_US)),IF(ISNUMBER(_xll.BDH(config!$G$4,O$1,$A410,$A410)),_xll.BDH(config!$G$4,O$1,$A410,$A410),_xll.BDH(config!$G$5,O$1,$A410,$A410))))</f>
        <v>#N/A Requesting Data...</v>
      </c>
      <c r="P410" s="8" t="str">
        <f>IF($A410="","",IF(ISNUMBER(FIND("IMPVOL",P$1)),_xll.BDH(config!$G$4,P$1,WORKDAY($A410,-1,config_Holiday_Calendar_US),WORKDAY($A410,-1,config_Holiday_Calendar_US)),IF(ISNUMBER(_xll.BDH(config!$G$4,P$1,$A410,$A410)),_xll.BDH(config!$G$4,P$1,$A410,$A410),_xll.BDH(config!$G$5,P$1,$A410,$A410))))</f>
        <v>#N/A Requesting Data...</v>
      </c>
      <c r="Q410" s="8">
        <f>IF($A410="","",IF(ISNUMBER(FIND("IMPVOL",Q$1)),_xll.BDH(config!$G$4,Q$1,WORKDAY($A410,-1,config_Holiday_Calendar_US),WORKDAY($A410,-1,config_Holiday_Calendar_US)),IF(ISNUMBER(_xll.BDH(config!$G$4,Q$1,$A410,$A410)),_xll.BDH(config!$G$4,Q$1,$A410,$A410),_xll.BDH(config!$G$5,Q$1,$A410,$A410))))</f>
        <v>34.17</v>
      </c>
      <c r="R410" s="8">
        <f>IF($A410="","",IF(ISNUMBER(FIND("IMPVOL",R$1)),_xll.BDH(config!$G$4,R$1,WORKDAY($A410,-1,config_Holiday_Calendar_US),WORKDAY($A410,-1,config_Holiday_Calendar_US)),IF(ISNUMBER(_xll.BDH(config!$G$4,R$1,$A410,$A410)),_xll.BDH(config!$G$4,R$1,$A410,$A410),_xll.BDH(config!$G$5,R$1,$A410,$A410))))</f>
        <v>29.41</v>
      </c>
      <c r="S410" s="8" t="str">
        <f>IF($A410="","",IF(ISNUMBER(FIND("IMPVOL",S$1)),_xll.BDH(config!$G$4,S$1,WORKDAY($A410,-1,config_Holiday_Calendar_US),WORKDAY($A410,-1,config_Holiday_Calendar_US)),IF(ISNUMBER(_xll.BDH(config!$G$4,S$1,$A410,$A410)),_xll.BDH(config!$G$4,S$1,$A410,$A410),_xll.BDH(config!$G$5,S$1,$A410,$A410))))</f>
        <v>#N/A Requesting Data...</v>
      </c>
      <c r="T410" s="8" t="str">
        <f>IF($A410="","",IF(ISNUMBER(FIND("IMPVOL",T$1)),_xll.BDH(config!$G$4,T$1,WORKDAY($A410,-1,config_Holiday_Calendar_US),WORKDAY($A410,-1,config_Holiday_Calendar_US)),IF(ISNUMBER(_xll.BDH(config!$G$4,T$1,$A410,$A410)),_xll.BDH(config!$G$4,T$1,$A410,$A410),_xll.BDH(config!$G$5,T$1,$A410,$A410))))</f>
        <v>#N/A Requesting Data...</v>
      </c>
      <c r="U410" s="8" t="str">
        <f>IF($A410="","",IF(ISNUMBER(FIND("IMPVOL",U$1)),_xll.BDH(config!$G$4,U$1,WORKDAY($A410,-1,config_Holiday_Calendar_US),WORKDAY($A410,-1,config_Holiday_Calendar_US)),IF(ISNUMBER(_xll.BDH(config!$G$4,U$1,$A410,$A410)),_xll.BDH(config!$G$4,U$1,$A410,$A410),_xll.BDH(config!$G$5,U$1,$A410,$A410))))</f>
        <v>#N/A Requesting Data...</v>
      </c>
      <c r="V410" s="8" t="str">
        <f>IF($A410="","",IF(ISNUMBER(FIND("IMPVOL",V$1)),_xll.BDH(config!$G$4,V$1,WORKDAY($A410,-1,config_Holiday_Calendar_US),WORKDAY($A410,-1,config_Holiday_Calendar_US)),IF(ISNUMBER(_xll.BDH(config!$G$4,V$1,$A410,$A410)),_xll.BDH(config!$G$4,V$1,$A410,$A410),_xll.BDH(config!$G$5,V$1,$A410,$A410))))</f>
        <v>#N/A Requesting Data...</v>
      </c>
      <c r="W410" s="8" t="str">
        <f>IF($A410="","",IF(ISNUMBER(FIND("IMPVOL",W$1)),_xll.BDH(config!$G$4,W$1,WORKDAY($A410,-1,config_Holiday_Calendar_US),WORKDAY($A410,-1,config_Holiday_Calendar_US)),IF(ISNUMBER(_xll.BDH(config!$G$4,W$1,$A410,$A410)),_xll.BDH(config!$G$4,W$1,$A410,$A410),_xll.BDH(config!$G$5,W$1,$A410,$A410))))</f>
        <v>#N/A Requesting Data...</v>
      </c>
    </row>
    <row r="411" spans="1:23" x14ac:dyDescent="0.2">
      <c r="A411" s="9">
        <f>IF(A410="","",IF(WORKDAY(A410,-1,config_Holiday_Calendar_US)&lt;config!$I$10,"",WORKDAY(A410,-1,config_Holiday_Calendar_US)))</f>
        <v>42233</v>
      </c>
      <c r="B411" s="8" t="e">
        <f t="shared" si="6"/>
        <v>#VALUE!</v>
      </c>
      <c r="C411" s="8" t="str">
        <f>IF(A411="","",_xll.BDH(config!$H$4,C$1,$A411,$A411))</f>
        <v>#N/A Requesting Data...</v>
      </c>
      <c r="D411" s="8" t="str">
        <f>IF($A411="","",_xll.BDH(config!$H$4,D$1,$A411,$A411))</f>
        <v>#N/A Requesting Data...</v>
      </c>
      <c r="E411" s="8">
        <f>IF($A411="","",IF(ISNUMBER(FIND("IMPVOL",E$1)),_xll.BDH(config!$G$4,E$1,WORKDAY($A411,-1,config_Holiday_Calendar_US),WORKDAY($A411,-1,config_Holiday_Calendar_US)),IF(ISNUMBER(_xll.BDH(config!$G$4,E$1,$A411,$A411)),_xll.BDH(config!$G$4,E$1,$A411,$A411),_xll.BDH(config!$G$5,E$1,$A411,$A411))))</f>
        <v>42.18</v>
      </c>
      <c r="F411" s="8">
        <f>IF($A411="","",IF(ISNUMBER(FIND("IMPVOL",F$1)),_xll.BDH(config!$G$4,F$1,WORKDAY($A411,-1,config_Holiday_Calendar_US),WORKDAY($A411,-1,config_Holiday_Calendar_US)),IF(ISNUMBER(_xll.BDH(config!$G$4,F$1,$A411,$A411)),_xll.BDH(config!$G$4,F$1,$A411,$A411),_xll.BDH(config!$G$5,F$1,$A411,$A411))))</f>
        <v>42.69</v>
      </c>
      <c r="G411" s="8">
        <f>IF($A411="","",IF(ISNUMBER(FIND("IMPVOL",G$1)),_xll.BDH(config!$G$4,G$1,WORKDAY($A411,-1,config_Holiday_Calendar_US),WORKDAY($A411,-1,config_Holiday_Calendar_US)),IF(ISNUMBER(_xll.BDH(config!$G$4,G$1,$A411,$A411)),_xll.BDH(config!$G$4,G$1,$A411,$A411),_xll.BDH(config!$G$5,G$1,$A411,$A411))))</f>
        <v>42.27</v>
      </c>
      <c r="H411" s="8">
        <f>IF($A411="","",IF(ISNUMBER(FIND("IMPVOL",H$1)),_xll.BDH(config!$G$4,H$1,WORKDAY($A411,-1,config_Holiday_Calendar_US),WORKDAY($A411,-1,config_Holiday_Calendar_US)),IF(ISNUMBER(_xll.BDH(config!$G$4,H$1,$A411,$A411)),_xll.BDH(config!$G$4,H$1,$A411,$A411),_xll.BDH(config!$G$5,H$1,$A411,$A411))))</f>
        <v>212805</v>
      </c>
      <c r="I411" s="8" t="str">
        <f>IF($A411="","",IF(ISNUMBER(FIND("IMPVOL",I$1)),_xll.BDH(config!$G$4,I$1,WORKDAY($A411,-1,config_Holiday_Calendar_US),WORKDAY($A411,-1,config_Holiday_Calendar_US)),IF(ISNUMBER(_xll.BDH(config!$G$4,I$1,$A411,$A411)),_xll.BDH(config!$G$4,I$1,$A411,$A411),_xll.BDH(config!$G$5,I$1,$A411,$A411))))</f>
        <v>#N/A Requesting Data...</v>
      </c>
      <c r="J411" s="8" t="str">
        <f>IF($A411="","",IF(ISNUMBER(FIND("IMPVOL",J$1)),_xll.BDH(config!$G$4,J$1,WORKDAY($A411,-1,config_Holiday_Calendar_US),WORKDAY($A411,-1,config_Holiday_Calendar_US)),IF(ISNUMBER(_xll.BDH(config!$G$4,J$1,$A411,$A411)),_xll.BDH(config!$G$4,J$1,$A411,$A411),_xll.BDH(config!$G$5,J$1,$A411,$A411))))</f>
        <v>#N/A Requesting Data...</v>
      </c>
      <c r="K411" s="8" t="str">
        <f>IF($A411="","",IF(ISNUMBER(FIND("IMPVOL",K$1)),_xll.BDH(config!$G$4,K$1,WORKDAY($A411,-1,config_Holiday_Calendar_US),WORKDAY($A411,-1,config_Holiday_Calendar_US)),IF(ISNUMBER(_xll.BDH(config!$G$4,K$1,$A411,$A411)),_xll.BDH(config!$G$4,K$1,$A411,$A411),_xll.BDH(config!$G$5,K$1,$A411,$A411))))</f>
        <v>#N/A Requesting Data...</v>
      </c>
      <c r="L411" s="8" t="str">
        <f>IF($A411="","",IF(ISNUMBER(FIND("IMPVOL",L$1)),_xll.BDH(config!$G$4,L$1,WORKDAY($A411,-1,config_Holiday_Calendar_US),WORKDAY($A411,-1,config_Holiday_Calendar_US)),IF(ISNUMBER(_xll.BDH(config!$G$4,L$1,$A411,$A411)),_xll.BDH(config!$G$4,L$1,$A411,$A411),_xll.BDH(config!$G$5,L$1,$A411,$A411))))</f>
        <v>#N/A Requesting Data...</v>
      </c>
      <c r="M411" s="8" t="str">
        <f>IF($A411="","",IF(ISNUMBER(FIND("IMPVOL",M$1)),_xll.BDH(config!$G$4,M$1,WORKDAY($A411,-1,config_Holiday_Calendar_US),WORKDAY($A411,-1,config_Holiday_Calendar_US)),IF(ISNUMBER(_xll.BDH(config!$G$4,M$1,$A411,$A411)),_xll.BDH(config!$G$4,M$1,$A411,$A411),_xll.BDH(config!$G$5,M$1,$A411,$A411))))</f>
        <v>#N/A Requesting Data...</v>
      </c>
      <c r="N411" s="8" t="str">
        <f>IF($A411="","",IF(ISNUMBER(FIND("IMPVOL",N$1)),_xll.BDH(config!$G$4,N$1,WORKDAY($A411,-1,config_Holiday_Calendar_US),WORKDAY($A411,-1,config_Holiday_Calendar_US)),IF(ISNUMBER(_xll.BDH(config!$G$4,N$1,$A411,$A411)),_xll.BDH(config!$G$4,N$1,$A411,$A411),_xll.BDH(config!$G$5,N$1,$A411,$A411))))</f>
        <v>#N/A Requesting Data...</v>
      </c>
      <c r="O411" s="8" t="str">
        <f>IF($A411="","",IF(ISNUMBER(FIND("IMPVOL",O$1)),_xll.BDH(config!$G$4,O$1,WORKDAY($A411,-1,config_Holiday_Calendar_US),WORKDAY($A411,-1,config_Holiday_Calendar_US)),IF(ISNUMBER(_xll.BDH(config!$G$4,O$1,$A411,$A411)),_xll.BDH(config!$G$4,O$1,$A411,$A411),_xll.BDH(config!$G$5,O$1,$A411,$A411))))</f>
        <v>#N/A Requesting Data...</v>
      </c>
      <c r="P411" s="8" t="str">
        <f>IF($A411="","",IF(ISNUMBER(FIND("IMPVOL",P$1)),_xll.BDH(config!$G$4,P$1,WORKDAY($A411,-1,config_Holiday_Calendar_US),WORKDAY($A411,-1,config_Holiday_Calendar_US)),IF(ISNUMBER(_xll.BDH(config!$G$4,P$1,$A411,$A411)),_xll.BDH(config!$G$4,P$1,$A411,$A411),_xll.BDH(config!$G$5,P$1,$A411,$A411))))</f>
        <v>#N/A Requesting Data...</v>
      </c>
      <c r="Q411" s="8">
        <f>IF($A411="","",IF(ISNUMBER(FIND("IMPVOL",Q$1)),_xll.BDH(config!$G$4,Q$1,WORKDAY($A411,-1,config_Holiday_Calendar_US),WORKDAY($A411,-1,config_Holiday_Calendar_US)),IF(ISNUMBER(_xll.BDH(config!$G$4,Q$1,$A411,$A411)),_xll.BDH(config!$G$4,Q$1,$A411,$A411),_xll.BDH(config!$G$5,Q$1,$A411,$A411))))</f>
        <v>31.36</v>
      </c>
      <c r="R411" s="8">
        <f>IF($A411="","",IF(ISNUMBER(FIND("IMPVOL",R$1)),_xll.BDH(config!$G$4,R$1,WORKDAY($A411,-1,config_Holiday_Calendar_US),WORKDAY($A411,-1,config_Holiday_Calendar_US)),IF(ISNUMBER(_xll.BDH(config!$G$4,R$1,$A411,$A411)),_xll.BDH(config!$G$4,R$1,$A411,$A411),_xll.BDH(config!$G$5,R$1,$A411,$A411))))</f>
        <v>28.55</v>
      </c>
      <c r="S411" s="8" t="str">
        <f>IF($A411="","",IF(ISNUMBER(FIND("IMPVOL",S$1)),_xll.BDH(config!$G$4,S$1,WORKDAY($A411,-1,config_Holiday_Calendar_US),WORKDAY($A411,-1,config_Holiday_Calendar_US)),IF(ISNUMBER(_xll.BDH(config!$G$4,S$1,$A411,$A411)),_xll.BDH(config!$G$4,S$1,$A411,$A411),_xll.BDH(config!$G$5,S$1,$A411,$A411))))</f>
        <v>#N/A Requesting Data...</v>
      </c>
      <c r="T411" s="8" t="str">
        <f>IF($A411="","",IF(ISNUMBER(FIND("IMPVOL",T$1)),_xll.BDH(config!$G$4,T$1,WORKDAY($A411,-1,config_Holiday_Calendar_US),WORKDAY($A411,-1,config_Holiday_Calendar_US)),IF(ISNUMBER(_xll.BDH(config!$G$4,T$1,$A411,$A411)),_xll.BDH(config!$G$4,T$1,$A411,$A411),_xll.BDH(config!$G$5,T$1,$A411,$A411))))</f>
        <v>#N/A Requesting Data...</v>
      </c>
      <c r="U411" s="8" t="str">
        <f>IF($A411="","",IF(ISNUMBER(FIND("IMPVOL",U$1)),_xll.BDH(config!$G$4,U$1,WORKDAY($A411,-1,config_Holiday_Calendar_US),WORKDAY($A411,-1,config_Holiday_Calendar_US)),IF(ISNUMBER(_xll.BDH(config!$G$4,U$1,$A411,$A411)),_xll.BDH(config!$G$4,U$1,$A411,$A411),_xll.BDH(config!$G$5,U$1,$A411,$A411))))</f>
        <v>#N/A Requesting Data...</v>
      </c>
      <c r="V411" s="8" t="str">
        <f>IF($A411="","",IF(ISNUMBER(FIND("IMPVOL",V$1)),_xll.BDH(config!$G$4,V$1,WORKDAY($A411,-1,config_Holiday_Calendar_US),WORKDAY($A411,-1,config_Holiday_Calendar_US)),IF(ISNUMBER(_xll.BDH(config!$G$4,V$1,$A411,$A411)),_xll.BDH(config!$G$4,V$1,$A411,$A411),_xll.BDH(config!$G$5,V$1,$A411,$A411))))</f>
        <v>#N/A Requesting Data...</v>
      </c>
      <c r="W411" s="8" t="str">
        <f>IF($A411="","",IF(ISNUMBER(FIND("IMPVOL",W$1)),_xll.BDH(config!$G$4,W$1,WORKDAY($A411,-1,config_Holiday_Calendar_US),WORKDAY($A411,-1,config_Holiday_Calendar_US)),IF(ISNUMBER(_xll.BDH(config!$G$4,W$1,$A411,$A411)),_xll.BDH(config!$G$4,W$1,$A411,$A411),_xll.BDH(config!$G$5,W$1,$A411,$A411))))</f>
        <v>#N/A Requesting Data...</v>
      </c>
    </row>
    <row r="412" spans="1:23" x14ac:dyDescent="0.2">
      <c r="A412" s="9">
        <f>IF(A411="","",IF(WORKDAY(A411,-1,config_Holiday_Calendar_US)&lt;config!$I$10,"",WORKDAY(A411,-1,config_Holiday_Calendar_US)))</f>
        <v>42230</v>
      </c>
      <c r="B412" s="8" t="e">
        <f t="shared" si="6"/>
        <v>#VALUE!</v>
      </c>
      <c r="C412" s="8" t="str">
        <f>IF(A412="","",_xll.BDH(config!$H$4,C$1,$A412,$A412))</f>
        <v>#N/A Requesting Data...</v>
      </c>
      <c r="D412" s="8" t="str">
        <f>IF($A412="","",_xll.BDH(config!$H$4,D$1,$A412,$A412))</f>
        <v>#N/A Requesting Data...</v>
      </c>
      <c r="E412" s="8">
        <f>IF($A412="","",IF(ISNUMBER(FIND("IMPVOL",E$1)),_xll.BDH(config!$G$4,E$1,WORKDAY($A412,-1,config_Holiday_Calendar_US),WORKDAY($A412,-1,config_Holiday_Calendar_US)),IF(ISNUMBER(_xll.BDH(config!$G$4,E$1,$A412,$A412)),_xll.BDH(config!$G$4,E$1,$A412,$A412),_xll.BDH(config!$G$5,E$1,$A412,$A412))))</f>
        <v>42.23</v>
      </c>
      <c r="F412" s="8">
        <f>IF($A412="","",IF(ISNUMBER(FIND("IMPVOL",F$1)),_xll.BDH(config!$G$4,F$1,WORKDAY($A412,-1,config_Holiday_Calendar_US),WORKDAY($A412,-1,config_Holiday_Calendar_US)),IF(ISNUMBER(_xll.BDH(config!$G$4,F$1,$A412,$A412)),_xll.BDH(config!$G$4,F$1,$A412,$A412),_xll.BDH(config!$G$5,F$1,$A412,$A412))))</f>
        <v>42.96</v>
      </c>
      <c r="G412" s="8">
        <f>IF($A412="","",IF(ISNUMBER(FIND("IMPVOL",G$1)),_xll.BDH(config!$G$4,G$1,WORKDAY($A412,-1,config_Holiday_Calendar_US),WORKDAY($A412,-1,config_Holiday_Calendar_US)),IF(ISNUMBER(_xll.BDH(config!$G$4,G$1,$A412,$A412)),_xll.BDH(config!$G$4,G$1,$A412,$A412),_xll.BDH(config!$G$5,G$1,$A412,$A412))))</f>
        <v>42.16</v>
      </c>
      <c r="H412" s="8">
        <f>IF($A412="","",IF(ISNUMBER(FIND("IMPVOL",H$1)),_xll.BDH(config!$G$4,H$1,WORKDAY($A412,-1,config_Holiday_Calendar_US),WORKDAY($A412,-1,config_Holiday_Calendar_US)),IF(ISNUMBER(_xll.BDH(config!$G$4,H$1,$A412,$A412)),_xll.BDH(config!$G$4,H$1,$A412,$A412),_xll.BDH(config!$G$5,H$1,$A412,$A412))))</f>
        <v>185423</v>
      </c>
      <c r="I412" s="8" t="str">
        <f>IF($A412="","",IF(ISNUMBER(FIND("IMPVOL",I$1)),_xll.BDH(config!$G$4,I$1,WORKDAY($A412,-1,config_Holiday_Calendar_US),WORKDAY($A412,-1,config_Holiday_Calendar_US)),IF(ISNUMBER(_xll.BDH(config!$G$4,I$1,$A412,$A412)),_xll.BDH(config!$G$4,I$1,$A412,$A412),_xll.BDH(config!$G$5,I$1,$A412,$A412))))</f>
        <v>#N/A Requesting Data...</v>
      </c>
      <c r="J412" s="8" t="str">
        <f>IF($A412="","",IF(ISNUMBER(FIND("IMPVOL",J$1)),_xll.BDH(config!$G$4,J$1,WORKDAY($A412,-1,config_Holiday_Calendar_US),WORKDAY($A412,-1,config_Holiday_Calendar_US)),IF(ISNUMBER(_xll.BDH(config!$G$4,J$1,$A412,$A412)),_xll.BDH(config!$G$4,J$1,$A412,$A412),_xll.BDH(config!$G$5,J$1,$A412,$A412))))</f>
        <v>#N/A Requesting Data...</v>
      </c>
      <c r="K412" s="8" t="str">
        <f>IF($A412="","",IF(ISNUMBER(FIND("IMPVOL",K$1)),_xll.BDH(config!$G$4,K$1,WORKDAY($A412,-1,config_Holiday_Calendar_US),WORKDAY($A412,-1,config_Holiday_Calendar_US)),IF(ISNUMBER(_xll.BDH(config!$G$4,K$1,$A412,$A412)),_xll.BDH(config!$G$4,K$1,$A412,$A412),_xll.BDH(config!$G$5,K$1,$A412,$A412))))</f>
        <v>#N/A Requesting Data...</v>
      </c>
      <c r="L412" s="8" t="str">
        <f>IF($A412="","",IF(ISNUMBER(FIND("IMPVOL",L$1)),_xll.BDH(config!$G$4,L$1,WORKDAY($A412,-1,config_Holiday_Calendar_US),WORKDAY($A412,-1,config_Holiday_Calendar_US)),IF(ISNUMBER(_xll.BDH(config!$G$4,L$1,$A412,$A412)),_xll.BDH(config!$G$4,L$1,$A412,$A412),_xll.BDH(config!$G$5,L$1,$A412,$A412))))</f>
        <v>#N/A Requesting Data...</v>
      </c>
      <c r="M412" s="8" t="str">
        <f>IF($A412="","",IF(ISNUMBER(FIND("IMPVOL",M$1)),_xll.BDH(config!$G$4,M$1,WORKDAY($A412,-1,config_Holiday_Calendar_US),WORKDAY($A412,-1,config_Holiday_Calendar_US)),IF(ISNUMBER(_xll.BDH(config!$G$4,M$1,$A412,$A412)),_xll.BDH(config!$G$4,M$1,$A412,$A412),_xll.BDH(config!$G$5,M$1,$A412,$A412))))</f>
        <v>#N/A Requesting Data...</v>
      </c>
      <c r="N412" s="8" t="str">
        <f>IF($A412="","",IF(ISNUMBER(FIND("IMPVOL",N$1)),_xll.BDH(config!$G$4,N$1,WORKDAY($A412,-1,config_Holiday_Calendar_US),WORKDAY($A412,-1,config_Holiday_Calendar_US)),IF(ISNUMBER(_xll.BDH(config!$G$4,N$1,$A412,$A412)),_xll.BDH(config!$G$4,N$1,$A412,$A412),_xll.BDH(config!$G$5,N$1,$A412,$A412))))</f>
        <v>#N/A Requesting Data...</v>
      </c>
      <c r="O412" s="8" t="str">
        <f>IF($A412="","",IF(ISNUMBER(FIND("IMPVOL",O$1)),_xll.BDH(config!$G$4,O$1,WORKDAY($A412,-1,config_Holiday_Calendar_US),WORKDAY($A412,-1,config_Holiday_Calendar_US)),IF(ISNUMBER(_xll.BDH(config!$G$4,O$1,$A412,$A412)),_xll.BDH(config!$G$4,O$1,$A412,$A412),_xll.BDH(config!$G$5,O$1,$A412,$A412))))</f>
        <v>#N/A Requesting Data...</v>
      </c>
      <c r="P412" s="8" t="str">
        <f>IF($A412="","",IF(ISNUMBER(FIND("IMPVOL",P$1)),_xll.BDH(config!$G$4,P$1,WORKDAY($A412,-1,config_Holiday_Calendar_US),WORKDAY($A412,-1,config_Holiday_Calendar_US)),IF(ISNUMBER(_xll.BDH(config!$G$4,P$1,$A412,$A412)),_xll.BDH(config!$G$4,P$1,$A412,$A412),_xll.BDH(config!$G$5,P$1,$A412,$A412))))</f>
        <v>#N/A Requesting Data...</v>
      </c>
      <c r="Q412" s="8">
        <f>IF($A412="","",IF(ISNUMBER(FIND("IMPVOL",Q$1)),_xll.BDH(config!$G$4,Q$1,WORKDAY($A412,-1,config_Holiday_Calendar_US),WORKDAY($A412,-1,config_Holiday_Calendar_US)),IF(ISNUMBER(_xll.BDH(config!$G$4,Q$1,$A412,$A412)),_xll.BDH(config!$G$4,Q$1,$A412,$A412),_xll.BDH(config!$G$5,Q$1,$A412,$A412))))</f>
        <v>33.04</v>
      </c>
      <c r="R412" s="8">
        <f>IF($A412="","",IF(ISNUMBER(FIND("IMPVOL",R$1)),_xll.BDH(config!$G$4,R$1,WORKDAY($A412,-1,config_Holiday_Calendar_US),WORKDAY($A412,-1,config_Holiday_Calendar_US)),IF(ISNUMBER(_xll.BDH(config!$G$4,R$1,$A412,$A412)),_xll.BDH(config!$G$4,R$1,$A412,$A412),_xll.BDH(config!$G$5,R$1,$A412,$A412))))</f>
        <v>28.46</v>
      </c>
      <c r="S412" s="8" t="str">
        <f>IF($A412="","",IF(ISNUMBER(FIND("IMPVOL",S$1)),_xll.BDH(config!$G$4,S$1,WORKDAY($A412,-1,config_Holiday_Calendar_US),WORKDAY($A412,-1,config_Holiday_Calendar_US)),IF(ISNUMBER(_xll.BDH(config!$G$4,S$1,$A412,$A412)),_xll.BDH(config!$G$4,S$1,$A412,$A412),_xll.BDH(config!$G$5,S$1,$A412,$A412))))</f>
        <v>#N/A Requesting Data...</v>
      </c>
      <c r="T412" s="8" t="str">
        <f>IF($A412="","",IF(ISNUMBER(FIND("IMPVOL",T$1)),_xll.BDH(config!$G$4,T$1,WORKDAY($A412,-1,config_Holiday_Calendar_US),WORKDAY($A412,-1,config_Holiday_Calendar_US)),IF(ISNUMBER(_xll.BDH(config!$G$4,T$1,$A412,$A412)),_xll.BDH(config!$G$4,T$1,$A412,$A412),_xll.BDH(config!$G$5,T$1,$A412,$A412))))</f>
        <v>#N/A Requesting Data...</v>
      </c>
      <c r="U412" s="8" t="str">
        <f>IF($A412="","",IF(ISNUMBER(FIND("IMPVOL",U$1)),_xll.BDH(config!$G$4,U$1,WORKDAY($A412,-1,config_Holiday_Calendar_US),WORKDAY($A412,-1,config_Holiday_Calendar_US)),IF(ISNUMBER(_xll.BDH(config!$G$4,U$1,$A412,$A412)),_xll.BDH(config!$G$4,U$1,$A412,$A412),_xll.BDH(config!$G$5,U$1,$A412,$A412))))</f>
        <v>#N/A Requesting Data...</v>
      </c>
      <c r="V412" s="8" t="str">
        <f>IF($A412="","",IF(ISNUMBER(FIND("IMPVOL",V$1)),_xll.BDH(config!$G$4,V$1,WORKDAY($A412,-1,config_Holiday_Calendar_US),WORKDAY($A412,-1,config_Holiday_Calendar_US)),IF(ISNUMBER(_xll.BDH(config!$G$4,V$1,$A412,$A412)),_xll.BDH(config!$G$4,V$1,$A412,$A412),_xll.BDH(config!$G$5,V$1,$A412,$A412))))</f>
        <v>#N/A Requesting Data...</v>
      </c>
      <c r="W412" s="8" t="str">
        <f>IF($A412="","",IF(ISNUMBER(FIND("IMPVOL",W$1)),_xll.BDH(config!$G$4,W$1,WORKDAY($A412,-1,config_Holiday_Calendar_US),WORKDAY($A412,-1,config_Holiday_Calendar_US)),IF(ISNUMBER(_xll.BDH(config!$G$4,W$1,$A412,$A412)),_xll.BDH(config!$G$4,W$1,$A412,$A412),_xll.BDH(config!$G$5,W$1,$A412,$A412))))</f>
        <v>#N/A Requesting Data...</v>
      </c>
    </row>
    <row r="413" spans="1:23" x14ac:dyDescent="0.2">
      <c r="A413" s="9">
        <f>IF(A412="","",IF(WORKDAY(A412,-1,config_Holiday_Calendar_US)&lt;config!$I$10,"",WORKDAY(A412,-1,config_Holiday_Calendar_US)))</f>
        <v>42229</v>
      </c>
      <c r="B413" s="8" t="e">
        <f t="shared" si="6"/>
        <v>#VALUE!</v>
      </c>
      <c r="C413" s="8" t="str">
        <f>IF(A413="","",_xll.BDH(config!$H$4,C$1,$A413,$A413))</f>
        <v>#N/A Requesting Data...</v>
      </c>
      <c r="D413" s="8" t="str">
        <f>IF($A413="","",_xll.BDH(config!$H$4,D$1,$A413,$A413))</f>
        <v>#N/A Requesting Data...</v>
      </c>
      <c r="E413" s="8">
        <f>IF($A413="","",IF(ISNUMBER(FIND("IMPVOL",E$1)),_xll.BDH(config!$G$4,E$1,WORKDAY($A413,-1,config_Holiday_Calendar_US),WORKDAY($A413,-1,config_Holiday_Calendar_US)),IF(ISNUMBER(_xll.BDH(config!$G$4,E$1,$A413,$A413)),_xll.BDH(config!$G$4,E$1,$A413,$A413),_xll.BDH(config!$G$5,E$1,$A413,$A413))))</f>
        <v>43.34</v>
      </c>
      <c r="F413" s="8">
        <f>IF($A413="","",IF(ISNUMBER(FIND("IMPVOL",F$1)),_xll.BDH(config!$G$4,F$1,WORKDAY($A413,-1,config_Holiday_Calendar_US),WORKDAY($A413,-1,config_Holiday_Calendar_US)),IF(ISNUMBER(_xll.BDH(config!$G$4,F$1,$A413,$A413)),_xll.BDH(config!$G$4,F$1,$A413,$A413),_xll.BDH(config!$G$5,F$1,$A413,$A413))))</f>
        <v>43.72</v>
      </c>
      <c r="G413" s="8">
        <f>IF($A413="","",IF(ISNUMBER(FIND("IMPVOL",G$1)),_xll.BDH(config!$G$4,G$1,WORKDAY($A413,-1,config_Holiday_Calendar_US),WORKDAY($A413,-1,config_Holiday_Calendar_US)),IF(ISNUMBER(_xll.BDH(config!$G$4,G$1,$A413,$A413)),_xll.BDH(config!$G$4,G$1,$A413,$A413),_xll.BDH(config!$G$5,G$1,$A413,$A413))))</f>
        <v>42.66</v>
      </c>
      <c r="H413" s="8">
        <f>IF($A413="","",IF(ISNUMBER(FIND("IMPVOL",H$1)),_xll.BDH(config!$G$4,H$1,WORKDAY($A413,-1,config_Holiday_Calendar_US),WORKDAY($A413,-1,config_Holiday_Calendar_US)),IF(ISNUMBER(_xll.BDH(config!$G$4,H$1,$A413,$A413)),_xll.BDH(config!$G$4,H$1,$A413,$A413),_xll.BDH(config!$G$5,H$1,$A413,$A413))))</f>
        <v>262886</v>
      </c>
      <c r="I413" s="8" t="str">
        <f>IF($A413="","",IF(ISNUMBER(FIND("IMPVOL",I$1)),_xll.BDH(config!$G$4,I$1,WORKDAY($A413,-1,config_Holiday_Calendar_US),WORKDAY($A413,-1,config_Holiday_Calendar_US)),IF(ISNUMBER(_xll.BDH(config!$G$4,I$1,$A413,$A413)),_xll.BDH(config!$G$4,I$1,$A413,$A413),_xll.BDH(config!$G$5,I$1,$A413,$A413))))</f>
        <v>#N/A Requesting Data...</v>
      </c>
      <c r="J413" s="8" t="str">
        <f>IF($A413="","",IF(ISNUMBER(FIND("IMPVOL",J$1)),_xll.BDH(config!$G$4,J$1,WORKDAY($A413,-1,config_Holiday_Calendar_US),WORKDAY($A413,-1,config_Holiday_Calendar_US)),IF(ISNUMBER(_xll.BDH(config!$G$4,J$1,$A413,$A413)),_xll.BDH(config!$G$4,J$1,$A413,$A413),_xll.BDH(config!$G$5,J$1,$A413,$A413))))</f>
        <v>#N/A Requesting Data...</v>
      </c>
      <c r="K413" s="8" t="str">
        <f>IF($A413="","",IF(ISNUMBER(FIND("IMPVOL",K$1)),_xll.BDH(config!$G$4,K$1,WORKDAY($A413,-1,config_Holiday_Calendar_US),WORKDAY($A413,-1,config_Holiday_Calendar_US)),IF(ISNUMBER(_xll.BDH(config!$G$4,K$1,$A413,$A413)),_xll.BDH(config!$G$4,K$1,$A413,$A413),_xll.BDH(config!$G$5,K$1,$A413,$A413))))</f>
        <v>#N/A Requesting Data...</v>
      </c>
      <c r="L413" s="8" t="str">
        <f>IF($A413="","",IF(ISNUMBER(FIND("IMPVOL",L$1)),_xll.BDH(config!$G$4,L$1,WORKDAY($A413,-1,config_Holiday_Calendar_US),WORKDAY($A413,-1,config_Holiday_Calendar_US)),IF(ISNUMBER(_xll.BDH(config!$G$4,L$1,$A413,$A413)),_xll.BDH(config!$G$4,L$1,$A413,$A413),_xll.BDH(config!$G$5,L$1,$A413,$A413))))</f>
        <v>#N/A Requesting Data...</v>
      </c>
      <c r="M413" s="8" t="str">
        <f>IF($A413="","",IF(ISNUMBER(FIND("IMPVOL",M$1)),_xll.BDH(config!$G$4,M$1,WORKDAY($A413,-1,config_Holiday_Calendar_US),WORKDAY($A413,-1,config_Holiday_Calendar_US)),IF(ISNUMBER(_xll.BDH(config!$G$4,M$1,$A413,$A413)),_xll.BDH(config!$G$4,M$1,$A413,$A413),_xll.BDH(config!$G$5,M$1,$A413,$A413))))</f>
        <v>#N/A Requesting Data...</v>
      </c>
      <c r="N413" s="8" t="str">
        <f>IF($A413="","",IF(ISNUMBER(FIND("IMPVOL",N$1)),_xll.BDH(config!$G$4,N$1,WORKDAY($A413,-1,config_Holiday_Calendar_US),WORKDAY($A413,-1,config_Holiday_Calendar_US)),IF(ISNUMBER(_xll.BDH(config!$G$4,N$1,$A413,$A413)),_xll.BDH(config!$G$4,N$1,$A413,$A413),_xll.BDH(config!$G$5,N$1,$A413,$A413))))</f>
        <v>#N/A Requesting Data...</v>
      </c>
      <c r="O413" s="8" t="str">
        <f>IF($A413="","",IF(ISNUMBER(FIND("IMPVOL",O$1)),_xll.BDH(config!$G$4,O$1,WORKDAY($A413,-1,config_Holiday_Calendar_US),WORKDAY($A413,-1,config_Holiday_Calendar_US)),IF(ISNUMBER(_xll.BDH(config!$G$4,O$1,$A413,$A413)),_xll.BDH(config!$G$4,O$1,$A413,$A413),_xll.BDH(config!$G$5,O$1,$A413,$A413))))</f>
        <v>#N/A Requesting Data...</v>
      </c>
      <c r="P413" s="8" t="str">
        <f>IF($A413="","",IF(ISNUMBER(FIND("IMPVOL",P$1)),_xll.BDH(config!$G$4,P$1,WORKDAY($A413,-1,config_Holiday_Calendar_US),WORKDAY($A413,-1,config_Holiday_Calendar_US)),IF(ISNUMBER(_xll.BDH(config!$G$4,P$1,$A413,$A413)),_xll.BDH(config!$G$4,P$1,$A413,$A413),_xll.BDH(config!$G$5,P$1,$A413,$A413))))</f>
        <v>#N/A Requesting Data...</v>
      </c>
      <c r="Q413" s="8">
        <f>IF($A413="","",IF(ISNUMBER(FIND("IMPVOL",Q$1)),_xll.BDH(config!$G$4,Q$1,WORKDAY($A413,-1,config_Holiday_Calendar_US),WORKDAY($A413,-1,config_Holiday_Calendar_US)),IF(ISNUMBER(_xll.BDH(config!$G$4,Q$1,$A413,$A413)),_xll.BDH(config!$G$4,Q$1,$A413,$A413),_xll.BDH(config!$G$5,Q$1,$A413,$A413))))</f>
        <v>37.619999999999997</v>
      </c>
      <c r="R413" s="8">
        <f>IF($A413="","",IF(ISNUMBER(FIND("IMPVOL",R$1)),_xll.BDH(config!$G$4,R$1,WORKDAY($A413,-1,config_Holiday_Calendar_US),WORKDAY($A413,-1,config_Holiday_Calendar_US)),IF(ISNUMBER(_xll.BDH(config!$G$4,R$1,$A413,$A413)),_xll.BDH(config!$G$4,R$1,$A413,$A413),_xll.BDH(config!$G$5,R$1,$A413,$A413))))</f>
        <v>35.869999999999997</v>
      </c>
      <c r="S413" s="8" t="str">
        <f>IF($A413="","",IF(ISNUMBER(FIND("IMPVOL",S$1)),_xll.BDH(config!$G$4,S$1,WORKDAY($A413,-1,config_Holiday_Calendar_US),WORKDAY($A413,-1,config_Holiday_Calendar_US)),IF(ISNUMBER(_xll.BDH(config!$G$4,S$1,$A413,$A413)),_xll.BDH(config!$G$4,S$1,$A413,$A413),_xll.BDH(config!$G$5,S$1,$A413,$A413))))</f>
        <v>#N/A Requesting Data...</v>
      </c>
      <c r="T413" s="8" t="str">
        <f>IF($A413="","",IF(ISNUMBER(FIND("IMPVOL",T$1)),_xll.BDH(config!$G$4,T$1,WORKDAY($A413,-1,config_Holiday_Calendar_US),WORKDAY($A413,-1,config_Holiday_Calendar_US)),IF(ISNUMBER(_xll.BDH(config!$G$4,T$1,$A413,$A413)),_xll.BDH(config!$G$4,T$1,$A413,$A413),_xll.BDH(config!$G$5,T$1,$A413,$A413))))</f>
        <v>#N/A Requesting Data...</v>
      </c>
      <c r="U413" s="8" t="str">
        <f>IF($A413="","",IF(ISNUMBER(FIND("IMPVOL",U$1)),_xll.BDH(config!$G$4,U$1,WORKDAY($A413,-1,config_Holiday_Calendar_US),WORKDAY($A413,-1,config_Holiday_Calendar_US)),IF(ISNUMBER(_xll.BDH(config!$G$4,U$1,$A413,$A413)),_xll.BDH(config!$G$4,U$1,$A413,$A413),_xll.BDH(config!$G$5,U$1,$A413,$A413))))</f>
        <v>#N/A Requesting Data...</v>
      </c>
      <c r="V413" s="8" t="str">
        <f>IF($A413="","",IF(ISNUMBER(FIND("IMPVOL",V$1)),_xll.BDH(config!$G$4,V$1,WORKDAY($A413,-1,config_Holiday_Calendar_US),WORKDAY($A413,-1,config_Holiday_Calendar_US)),IF(ISNUMBER(_xll.BDH(config!$G$4,V$1,$A413,$A413)),_xll.BDH(config!$G$4,V$1,$A413,$A413),_xll.BDH(config!$G$5,V$1,$A413,$A413))))</f>
        <v>#N/A Requesting Data...</v>
      </c>
      <c r="W413" s="8" t="str">
        <f>IF($A413="","",IF(ISNUMBER(FIND("IMPVOL",W$1)),_xll.BDH(config!$G$4,W$1,WORKDAY($A413,-1,config_Holiday_Calendar_US),WORKDAY($A413,-1,config_Holiday_Calendar_US)),IF(ISNUMBER(_xll.BDH(config!$G$4,W$1,$A413,$A413)),_xll.BDH(config!$G$4,W$1,$A413,$A413),_xll.BDH(config!$G$5,W$1,$A413,$A413))))</f>
        <v>#N/A Requesting Data...</v>
      </c>
    </row>
    <row r="414" spans="1:23" x14ac:dyDescent="0.2">
      <c r="A414" s="9">
        <f>IF(A413="","",IF(WORKDAY(A413,-1,config_Holiday_Calendar_US)&lt;config!$I$10,"",WORKDAY(A413,-1,config_Holiday_Calendar_US)))</f>
        <v>42228</v>
      </c>
      <c r="B414" s="8" t="e">
        <f t="shared" si="6"/>
        <v>#VALUE!</v>
      </c>
      <c r="C414" s="8" t="str">
        <f>IF(A414="","",_xll.BDH(config!$H$4,C$1,$A414,$A414))</f>
        <v>#N/A Requesting Data...</v>
      </c>
      <c r="D414" s="8" t="str">
        <f>IF($A414="","",_xll.BDH(config!$H$4,D$1,$A414,$A414))</f>
        <v>#N/A Requesting Data...</v>
      </c>
      <c r="E414" s="8">
        <f>IF($A414="","",IF(ISNUMBER(FIND("IMPVOL",E$1)),_xll.BDH(config!$G$4,E$1,WORKDAY($A414,-1,config_Holiday_Calendar_US),WORKDAY($A414,-1,config_Holiday_Calendar_US)),IF(ISNUMBER(_xll.BDH(config!$G$4,E$1,$A414,$A414)),_xll.BDH(config!$G$4,E$1,$A414,$A414),_xll.BDH(config!$G$5,E$1,$A414,$A414))))</f>
        <v>43.27</v>
      </c>
      <c r="F414" s="8">
        <f>IF($A414="","",IF(ISNUMBER(FIND("IMPVOL",F$1)),_xll.BDH(config!$G$4,F$1,WORKDAY($A414,-1,config_Holiday_Calendar_US),WORKDAY($A414,-1,config_Holiday_Calendar_US)),IF(ISNUMBER(_xll.BDH(config!$G$4,F$1,$A414,$A414)),_xll.BDH(config!$G$4,F$1,$A414,$A414),_xll.BDH(config!$G$5,F$1,$A414,$A414))))</f>
        <v>43.87</v>
      </c>
      <c r="G414" s="8">
        <f>IF($A414="","",IF(ISNUMBER(FIND("IMPVOL",G$1)),_xll.BDH(config!$G$4,G$1,WORKDAY($A414,-1,config_Holiday_Calendar_US),WORKDAY($A414,-1,config_Holiday_Calendar_US)),IF(ISNUMBER(_xll.BDH(config!$G$4,G$1,$A414,$A414)),_xll.BDH(config!$G$4,G$1,$A414,$A414),_xll.BDH(config!$G$5,G$1,$A414,$A414))))</f>
        <v>43.55</v>
      </c>
      <c r="H414" s="8">
        <f>IF($A414="","",IF(ISNUMBER(FIND("IMPVOL",H$1)),_xll.BDH(config!$G$4,H$1,WORKDAY($A414,-1,config_Holiday_Calendar_US),WORKDAY($A414,-1,config_Holiday_Calendar_US)),IF(ISNUMBER(_xll.BDH(config!$G$4,H$1,$A414,$A414)),_xll.BDH(config!$G$4,H$1,$A414,$A414),_xll.BDH(config!$G$5,H$1,$A414,$A414))))</f>
        <v>273263</v>
      </c>
      <c r="I414" s="8" t="str">
        <f>IF($A414="","",IF(ISNUMBER(FIND("IMPVOL",I$1)),_xll.BDH(config!$G$4,I$1,WORKDAY($A414,-1,config_Holiday_Calendar_US),WORKDAY($A414,-1,config_Holiday_Calendar_US)),IF(ISNUMBER(_xll.BDH(config!$G$4,I$1,$A414,$A414)),_xll.BDH(config!$G$4,I$1,$A414,$A414),_xll.BDH(config!$G$5,I$1,$A414,$A414))))</f>
        <v>#N/A Requesting Data...</v>
      </c>
      <c r="J414" s="8" t="str">
        <f>IF($A414="","",IF(ISNUMBER(FIND("IMPVOL",J$1)),_xll.BDH(config!$G$4,J$1,WORKDAY($A414,-1,config_Holiday_Calendar_US),WORKDAY($A414,-1,config_Holiday_Calendar_US)),IF(ISNUMBER(_xll.BDH(config!$G$4,J$1,$A414,$A414)),_xll.BDH(config!$G$4,J$1,$A414,$A414),_xll.BDH(config!$G$5,J$1,$A414,$A414))))</f>
        <v>#N/A Requesting Data...</v>
      </c>
      <c r="K414" s="8" t="str">
        <f>IF($A414="","",IF(ISNUMBER(FIND("IMPVOL",K$1)),_xll.BDH(config!$G$4,K$1,WORKDAY($A414,-1,config_Holiday_Calendar_US),WORKDAY($A414,-1,config_Holiday_Calendar_US)),IF(ISNUMBER(_xll.BDH(config!$G$4,K$1,$A414,$A414)),_xll.BDH(config!$G$4,K$1,$A414,$A414),_xll.BDH(config!$G$5,K$1,$A414,$A414))))</f>
        <v>#N/A Requesting Data...</v>
      </c>
      <c r="L414" s="8" t="str">
        <f>IF($A414="","",IF(ISNUMBER(FIND("IMPVOL",L$1)),_xll.BDH(config!$G$4,L$1,WORKDAY($A414,-1,config_Holiday_Calendar_US),WORKDAY($A414,-1,config_Holiday_Calendar_US)),IF(ISNUMBER(_xll.BDH(config!$G$4,L$1,$A414,$A414)),_xll.BDH(config!$G$4,L$1,$A414,$A414),_xll.BDH(config!$G$5,L$1,$A414,$A414))))</f>
        <v>#N/A Requesting Data...</v>
      </c>
      <c r="M414" s="8" t="str">
        <f>IF($A414="","",IF(ISNUMBER(FIND("IMPVOL",M$1)),_xll.BDH(config!$G$4,M$1,WORKDAY($A414,-1,config_Holiday_Calendar_US),WORKDAY($A414,-1,config_Holiday_Calendar_US)),IF(ISNUMBER(_xll.BDH(config!$G$4,M$1,$A414,$A414)),_xll.BDH(config!$G$4,M$1,$A414,$A414),_xll.BDH(config!$G$5,M$1,$A414,$A414))))</f>
        <v>#N/A Requesting Data...</v>
      </c>
      <c r="N414" s="8" t="str">
        <f>IF($A414="","",IF(ISNUMBER(FIND("IMPVOL",N$1)),_xll.BDH(config!$G$4,N$1,WORKDAY($A414,-1,config_Holiday_Calendar_US),WORKDAY($A414,-1,config_Holiday_Calendar_US)),IF(ISNUMBER(_xll.BDH(config!$G$4,N$1,$A414,$A414)),_xll.BDH(config!$G$4,N$1,$A414,$A414),_xll.BDH(config!$G$5,N$1,$A414,$A414))))</f>
        <v>#N/A Requesting Data...</v>
      </c>
      <c r="O414" s="8" t="str">
        <f>IF($A414="","",IF(ISNUMBER(FIND("IMPVOL",O$1)),_xll.BDH(config!$G$4,O$1,WORKDAY($A414,-1,config_Holiday_Calendar_US),WORKDAY($A414,-1,config_Holiday_Calendar_US)),IF(ISNUMBER(_xll.BDH(config!$G$4,O$1,$A414,$A414)),_xll.BDH(config!$G$4,O$1,$A414,$A414),_xll.BDH(config!$G$5,O$1,$A414,$A414))))</f>
        <v>#N/A Requesting Data...</v>
      </c>
      <c r="P414" s="8" t="str">
        <f>IF($A414="","",IF(ISNUMBER(FIND("IMPVOL",P$1)),_xll.BDH(config!$G$4,P$1,WORKDAY($A414,-1,config_Holiday_Calendar_US),WORKDAY($A414,-1,config_Holiday_Calendar_US)),IF(ISNUMBER(_xll.BDH(config!$G$4,P$1,$A414,$A414)),_xll.BDH(config!$G$4,P$1,$A414,$A414),_xll.BDH(config!$G$5,P$1,$A414,$A414))))</f>
        <v>#N/A Requesting Data...</v>
      </c>
      <c r="Q414" s="8">
        <f>IF($A414="","",IF(ISNUMBER(FIND("IMPVOL",Q$1)),_xll.BDH(config!$G$4,Q$1,WORKDAY($A414,-1,config_Holiday_Calendar_US),WORKDAY($A414,-1,config_Holiday_Calendar_US)),IF(ISNUMBER(_xll.BDH(config!$G$4,Q$1,$A414,$A414)),_xll.BDH(config!$G$4,Q$1,$A414,$A414),_xll.BDH(config!$G$5,Q$1,$A414,$A414))))</f>
        <v>38.25</v>
      </c>
      <c r="R414" s="8">
        <f>IF($A414="","",IF(ISNUMBER(FIND("IMPVOL",R$1)),_xll.BDH(config!$G$4,R$1,WORKDAY($A414,-1,config_Holiday_Calendar_US),WORKDAY($A414,-1,config_Holiday_Calendar_US)),IF(ISNUMBER(_xll.BDH(config!$G$4,R$1,$A414,$A414)),_xll.BDH(config!$G$4,R$1,$A414,$A414),_xll.BDH(config!$G$5,R$1,$A414,$A414))))</f>
        <v>35.700000000000003</v>
      </c>
      <c r="S414" s="8" t="str">
        <f>IF($A414="","",IF(ISNUMBER(FIND("IMPVOL",S$1)),_xll.BDH(config!$G$4,S$1,WORKDAY($A414,-1,config_Holiday_Calendar_US),WORKDAY($A414,-1,config_Holiday_Calendar_US)),IF(ISNUMBER(_xll.BDH(config!$G$4,S$1,$A414,$A414)),_xll.BDH(config!$G$4,S$1,$A414,$A414),_xll.BDH(config!$G$5,S$1,$A414,$A414))))</f>
        <v>#N/A Requesting Data...</v>
      </c>
      <c r="T414" s="8" t="str">
        <f>IF($A414="","",IF(ISNUMBER(FIND("IMPVOL",T$1)),_xll.BDH(config!$G$4,T$1,WORKDAY($A414,-1,config_Holiday_Calendar_US),WORKDAY($A414,-1,config_Holiday_Calendar_US)),IF(ISNUMBER(_xll.BDH(config!$G$4,T$1,$A414,$A414)),_xll.BDH(config!$G$4,T$1,$A414,$A414),_xll.BDH(config!$G$5,T$1,$A414,$A414))))</f>
        <v>#N/A Requesting Data...</v>
      </c>
      <c r="U414" s="8" t="str">
        <f>IF($A414="","",IF(ISNUMBER(FIND("IMPVOL",U$1)),_xll.BDH(config!$G$4,U$1,WORKDAY($A414,-1,config_Holiday_Calendar_US),WORKDAY($A414,-1,config_Holiday_Calendar_US)),IF(ISNUMBER(_xll.BDH(config!$G$4,U$1,$A414,$A414)),_xll.BDH(config!$G$4,U$1,$A414,$A414),_xll.BDH(config!$G$5,U$1,$A414,$A414))))</f>
        <v>#N/A Requesting Data...</v>
      </c>
      <c r="V414" s="8" t="str">
        <f>IF($A414="","",IF(ISNUMBER(FIND("IMPVOL",V$1)),_xll.BDH(config!$G$4,V$1,WORKDAY($A414,-1,config_Holiday_Calendar_US),WORKDAY($A414,-1,config_Holiday_Calendar_US)),IF(ISNUMBER(_xll.BDH(config!$G$4,V$1,$A414,$A414)),_xll.BDH(config!$G$4,V$1,$A414,$A414),_xll.BDH(config!$G$5,V$1,$A414,$A414))))</f>
        <v>#N/A Requesting Data...</v>
      </c>
      <c r="W414" s="8" t="str">
        <f>IF($A414="","",IF(ISNUMBER(FIND("IMPVOL",W$1)),_xll.BDH(config!$G$4,W$1,WORKDAY($A414,-1,config_Holiday_Calendar_US),WORKDAY($A414,-1,config_Holiday_Calendar_US)),IF(ISNUMBER(_xll.BDH(config!$G$4,W$1,$A414,$A414)),_xll.BDH(config!$G$4,W$1,$A414,$A414),_xll.BDH(config!$G$5,W$1,$A414,$A414))))</f>
        <v>#N/A Requesting Data...</v>
      </c>
    </row>
    <row r="415" spans="1:23" x14ac:dyDescent="0.2">
      <c r="A415" s="9">
        <f>IF(A414="","",IF(WORKDAY(A414,-1,config_Holiday_Calendar_US)&lt;config!$I$10,"",WORKDAY(A414,-1,config_Holiday_Calendar_US)))</f>
        <v>42227</v>
      </c>
      <c r="B415" s="8" t="e">
        <f t="shared" si="6"/>
        <v>#VALUE!</v>
      </c>
      <c r="C415" s="8" t="str">
        <f>IF(A415="","",_xll.BDH(config!$H$4,C$1,$A415,$A415))</f>
        <v>#N/A Requesting Data...</v>
      </c>
      <c r="D415" s="8" t="str">
        <f>IF($A415="","",_xll.BDH(config!$H$4,D$1,$A415,$A415))</f>
        <v>#N/A Requesting Data...</v>
      </c>
      <c r="E415" s="8">
        <f>IF($A415="","",IF(ISNUMBER(FIND("IMPVOL",E$1)),_xll.BDH(config!$G$4,E$1,WORKDAY($A415,-1,config_Holiday_Calendar_US),WORKDAY($A415,-1,config_Holiday_Calendar_US)),IF(ISNUMBER(_xll.BDH(config!$G$4,E$1,$A415,$A415)),_xll.BDH(config!$G$4,E$1,$A415,$A415),_xll.BDH(config!$G$5,E$1,$A415,$A415))))</f>
        <v>44.81</v>
      </c>
      <c r="F415" s="8">
        <f>IF($A415="","",IF(ISNUMBER(FIND("IMPVOL",F$1)),_xll.BDH(config!$G$4,F$1,WORKDAY($A415,-1,config_Holiday_Calendar_US),WORKDAY($A415,-1,config_Holiday_Calendar_US)),IF(ISNUMBER(_xll.BDH(config!$G$4,F$1,$A415,$A415)),_xll.BDH(config!$G$4,F$1,$A415,$A415),_xll.BDH(config!$G$5,F$1,$A415,$A415))))</f>
        <v>45.34</v>
      </c>
      <c r="G415" s="8">
        <f>IF($A415="","",IF(ISNUMBER(FIND("IMPVOL",G$1)),_xll.BDH(config!$G$4,G$1,WORKDAY($A415,-1,config_Holiday_Calendar_US),WORKDAY($A415,-1,config_Holiday_Calendar_US)),IF(ISNUMBER(_xll.BDH(config!$G$4,G$1,$A415,$A415)),_xll.BDH(config!$G$4,G$1,$A415,$A415),_xll.BDH(config!$G$5,G$1,$A415,$A415))))</f>
        <v>43.53</v>
      </c>
      <c r="H415" s="8">
        <f>IF($A415="","",IF(ISNUMBER(FIND("IMPVOL",H$1)),_xll.BDH(config!$G$4,H$1,WORKDAY($A415,-1,config_Holiday_Calendar_US),WORKDAY($A415,-1,config_Holiday_Calendar_US)),IF(ISNUMBER(_xll.BDH(config!$G$4,H$1,$A415,$A415)),_xll.BDH(config!$G$4,H$1,$A415,$A415),_xll.BDH(config!$G$5,H$1,$A415,$A415))))</f>
        <v>293755</v>
      </c>
      <c r="I415" s="8" t="str">
        <f>IF($A415="","",IF(ISNUMBER(FIND("IMPVOL",I$1)),_xll.BDH(config!$G$4,I$1,WORKDAY($A415,-1,config_Holiday_Calendar_US),WORKDAY($A415,-1,config_Holiday_Calendar_US)),IF(ISNUMBER(_xll.BDH(config!$G$4,I$1,$A415,$A415)),_xll.BDH(config!$G$4,I$1,$A415,$A415),_xll.BDH(config!$G$5,I$1,$A415,$A415))))</f>
        <v>#N/A Requesting Data...</v>
      </c>
      <c r="J415" s="8" t="str">
        <f>IF($A415="","",IF(ISNUMBER(FIND("IMPVOL",J$1)),_xll.BDH(config!$G$4,J$1,WORKDAY($A415,-1,config_Holiday_Calendar_US),WORKDAY($A415,-1,config_Holiday_Calendar_US)),IF(ISNUMBER(_xll.BDH(config!$G$4,J$1,$A415,$A415)),_xll.BDH(config!$G$4,J$1,$A415,$A415),_xll.BDH(config!$G$5,J$1,$A415,$A415))))</f>
        <v>#N/A Requesting Data...</v>
      </c>
      <c r="K415" s="8" t="str">
        <f>IF($A415="","",IF(ISNUMBER(FIND("IMPVOL",K$1)),_xll.BDH(config!$G$4,K$1,WORKDAY($A415,-1,config_Holiday_Calendar_US),WORKDAY($A415,-1,config_Holiday_Calendar_US)),IF(ISNUMBER(_xll.BDH(config!$G$4,K$1,$A415,$A415)),_xll.BDH(config!$G$4,K$1,$A415,$A415),_xll.BDH(config!$G$5,K$1,$A415,$A415))))</f>
        <v>#N/A Requesting Data...</v>
      </c>
      <c r="L415" s="8" t="str">
        <f>IF($A415="","",IF(ISNUMBER(FIND("IMPVOL",L$1)),_xll.BDH(config!$G$4,L$1,WORKDAY($A415,-1,config_Holiday_Calendar_US),WORKDAY($A415,-1,config_Holiday_Calendar_US)),IF(ISNUMBER(_xll.BDH(config!$G$4,L$1,$A415,$A415)),_xll.BDH(config!$G$4,L$1,$A415,$A415),_xll.BDH(config!$G$5,L$1,$A415,$A415))))</f>
        <v>#N/A Requesting Data...</v>
      </c>
      <c r="M415" s="8" t="str">
        <f>IF($A415="","",IF(ISNUMBER(FIND("IMPVOL",M$1)),_xll.BDH(config!$G$4,M$1,WORKDAY($A415,-1,config_Holiday_Calendar_US),WORKDAY($A415,-1,config_Holiday_Calendar_US)),IF(ISNUMBER(_xll.BDH(config!$G$4,M$1,$A415,$A415)),_xll.BDH(config!$G$4,M$1,$A415,$A415),_xll.BDH(config!$G$5,M$1,$A415,$A415))))</f>
        <v>#N/A Requesting Data...</v>
      </c>
      <c r="N415" s="8" t="str">
        <f>IF($A415="","",IF(ISNUMBER(FIND("IMPVOL",N$1)),_xll.BDH(config!$G$4,N$1,WORKDAY($A415,-1,config_Holiday_Calendar_US),WORKDAY($A415,-1,config_Holiday_Calendar_US)),IF(ISNUMBER(_xll.BDH(config!$G$4,N$1,$A415,$A415)),_xll.BDH(config!$G$4,N$1,$A415,$A415),_xll.BDH(config!$G$5,N$1,$A415,$A415))))</f>
        <v>#N/A Requesting Data...</v>
      </c>
      <c r="O415" s="8" t="str">
        <f>IF($A415="","",IF(ISNUMBER(FIND("IMPVOL",O$1)),_xll.BDH(config!$G$4,O$1,WORKDAY($A415,-1,config_Holiday_Calendar_US),WORKDAY($A415,-1,config_Holiday_Calendar_US)),IF(ISNUMBER(_xll.BDH(config!$G$4,O$1,$A415,$A415)),_xll.BDH(config!$G$4,O$1,$A415,$A415),_xll.BDH(config!$G$5,O$1,$A415,$A415))))</f>
        <v>#N/A Requesting Data...</v>
      </c>
      <c r="P415" s="8" t="str">
        <f>IF($A415="","",IF(ISNUMBER(FIND("IMPVOL",P$1)),_xll.BDH(config!$G$4,P$1,WORKDAY($A415,-1,config_Holiday_Calendar_US),WORKDAY($A415,-1,config_Holiday_Calendar_US)),IF(ISNUMBER(_xll.BDH(config!$G$4,P$1,$A415,$A415)),_xll.BDH(config!$G$4,P$1,$A415,$A415),_xll.BDH(config!$G$5,P$1,$A415,$A415))))</f>
        <v>#N/A Requesting Data...</v>
      </c>
      <c r="Q415" s="8">
        <f>IF($A415="","",IF(ISNUMBER(FIND("IMPVOL",Q$1)),_xll.BDH(config!$G$4,Q$1,WORKDAY($A415,-1,config_Holiday_Calendar_US),WORKDAY($A415,-1,config_Holiday_Calendar_US)),IF(ISNUMBER(_xll.BDH(config!$G$4,Q$1,$A415,$A415)),_xll.BDH(config!$G$4,Q$1,$A415,$A415),_xll.BDH(config!$G$5,Q$1,$A415,$A415))))</f>
        <v>37.450000000000003</v>
      </c>
      <c r="R415" s="8">
        <f>IF($A415="","",IF(ISNUMBER(FIND("IMPVOL",R$1)),_xll.BDH(config!$G$4,R$1,WORKDAY($A415,-1,config_Holiday_Calendar_US),WORKDAY($A415,-1,config_Holiday_Calendar_US)),IF(ISNUMBER(_xll.BDH(config!$G$4,R$1,$A415,$A415)),_xll.BDH(config!$G$4,R$1,$A415,$A415),_xll.BDH(config!$G$5,R$1,$A415,$A415))))</f>
        <v>36.79</v>
      </c>
      <c r="S415" s="8" t="str">
        <f>IF($A415="","",IF(ISNUMBER(FIND("IMPVOL",S$1)),_xll.BDH(config!$G$4,S$1,WORKDAY($A415,-1,config_Holiday_Calendar_US),WORKDAY($A415,-1,config_Holiday_Calendar_US)),IF(ISNUMBER(_xll.BDH(config!$G$4,S$1,$A415,$A415)),_xll.BDH(config!$G$4,S$1,$A415,$A415),_xll.BDH(config!$G$5,S$1,$A415,$A415))))</f>
        <v>#N/A Requesting Data...</v>
      </c>
      <c r="T415" s="8" t="str">
        <f>IF($A415="","",IF(ISNUMBER(FIND("IMPVOL",T$1)),_xll.BDH(config!$G$4,T$1,WORKDAY($A415,-1,config_Holiday_Calendar_US),WORKDAY($A415,-1,config_Holiday_Calendar_US)),IF(ISNUMBER(_xll.BDH(config!$G$4,T$1,$A415,$A415)),_xll.BDH(config!$G$4,T$1,$A415,$A415),_xll.BDH(config!$G$5,T$1,$A415,$A415))))</f>
        <v>#N/A Requesting Data...</v>
      </c>
      <c r="U415" s="8" t="str">
        <f>IF($A415="","",IF(ISNUMBER(FIND("IMPVOL",U$1)),_xll.BDH(config!$G$4,U$1,WORKDAY($A415,-1,config_Holiday_Calendar_US),WORKDAY($A415,-1,config_Holiday_Calendar_US)),IF(ISNUMBER(_xll.BDH(config!$G$4,U$1,$A415,$A415)),_xll.BDH(config!$G$4,U$1,$A415,$A415),_xll.BDH(config!$G$5,U$1,$A415,$A415))))</f>
        <v>#N/A Requesting Data...</v>
      </c>
      <c r="V415" s="8" t="str">
        <f>IF($A415="","",IF(ISNUMBER(FIND("IMPVOL",V$1)),_xll.BDH(config!$G$4,V$1,WORKDAY($A415,-1,config_Holiday_Calendar_US),WORKDAY($A415,-1,config_Holiday_Calendar_US)),IF(ISNUMBER(_xll.BDH(config!$G$4,V$1,$A415,$A415)),_xll.BDH(config!$G$4,V$1,$A415,$A415),_xll.BDH(config!$G$5,V$1,$A415,$A415))))</f>
        <v>#N/A Requesting Data...</v>
      </c>
      <c r="W415" s="8" t="str">
        <f>IF($A415="","",IF(ISNUMBER(FIND("IMPVOL",W$1)),_xll.BDH(config!$G$4,W$1,WORKDAY($A415,-1,config_Holiday_Calendar_US),WORKDAY($A415,-1,config_Holiday_Calendar_US)),IF(ISNUMBER(_xll.BDH(config!$G$4,W$1,$A415,$A415)),_xll.BDH(config!$G$4,W$1,$A415,$A415),_xll.BDH(config!$G$5,W$1,$A415,$A415))))</f>
        <v>#N/A Requesting Data...</v>
      </c>
    </row>
    <row r="416" spans="1:23" x14ac:dyDescent="0.2">
      <c r="A416" s="9">
        <f>IF(A415="","",IF(WORKDAY(A415,-1,config_Holiday_Calendar_US)&lt;config!$I$10,"",WORKDAY(A415,-1,config_Holiday_Calendar_US)))</f>
        <v>42226</v>
      </c>
      <c r="B416" s="8" t="e">
        <f t="shared" si="6"/>
        <v>#VALUE!</v>
      </c>
      <c r="C416" s="8" t="str">
        <f>IF(A416="","",_xll.BDH(config!$H$4,C$1,$A416,$A416))</f>
        <v>#N/A Requesting Data...</v>
      </c>
      <c r="D416" s="8" t="str">
        <f>IF($A416="","",_xll.BDH(config!$H$4,D$1,$A416,$A416))</f>
        <v>#N/A Requesting Data...</v>
      </c>
      <c r="E416" s="8">
        <f>IF($A416="","",IF(ISNUMBER(FIND("IMPVOL",E$1)),_xll.BDH(config!$G$4,E$1,WORKDAY($A416,-1,config_Holiday_Calendar_US),WORKDAY($A416,-1,config_Holiday_Calendar_US)),IF(ISNUMBER(_xll.BDH(config!$G$4,E$1,$A416,$A416)),_xll.BDH(config!$G$4,E$1,$A416,$A416),_xll.BDH(config!$G$5,E$1,$A416,$A416))))</f>
        <v>43.58</v>
      </c>
      <c r="F416" s="8">
        <f>IF($A416="","",IF(ISNUMBER(FIND("IMPVOL",F$1)),_xll.BDH(config!$G$4,F$1,WORKDAY($A416,-1,config_Holiday_Calendar_US),WORKDAY($A416,-1,config_Holiday_Calendar_US)),IF(ISNUMBER(_xll.BDH(config!$G$4,F$1,$A416,$A416)),_xll.BDH(config!$G$4,F$1,$A416,$A416),_xll.BDH(config!$G$5,F$1,$A416,$A416))))</f>
        <v>45.01</v>
      </c>
      <c r="G416" s="8">
        <f>IF($A416="","",IF(ISNUMBER(FIND("IMPVOL",G$1)),_xll.BDH(config!$G$4,G$1,WORKDAY($A416,-1,config_Holiday_Calendar_US),WORKDAY($A416,-1,config_Holiday_Calendar_US)),IF(ISNUMBER(_xll.BDH(config!$G$4,G$1,$A416,$A416)),_xll.BDH(config!$G$4,G$1,$A416,$A416),_xll.BDH(config!$G$5,G$1,$A416,$A416))))</f>
        <v>43.84</v>
      </c>
      <c r="H416" s="8">
        <f>IF($A416="","",IF(ISNUMBER(FIND("IMPVOL",H$1)),_xll.BDH(config!$G$4,H$1,WORKDAY($A416,-1,config_Holiday_Calendar_US),WORKDAY($A416,-1,config_Holiday_Calendar_US)),IF(ISNUMBER(_xll.BDH(config!$G$4,H$1,$A416,$A416)),_xll.BDH(config!$G$4,H$1,$A416,$A416),_xll.BDH(config!$G$5,H$1,$A416,$A416))))</f>
        <v>257563</v>
      </c>
      <c r="I416" s="8" t="str">
        <f>IF($A416="","",IF(ISNUMBER(FIND("IMPVOL",I$1)),_xll.BDH(config!$G$4,I$1,WORKDAY($A416,-1,config_Holiday_Calendar_US),WORKDAY($A416,-1,config_Holiday_Calendar_US)),IF(ISNUMBER(_xll.BDH(config!$G$4,I$1,$A416,$A416)),_xll.BDH(config!$G$4,I$1,$A416,$A416),_xll.BDH(config!$G$5,I$1,$A416,$A416))))</f>
        <v>#N/A Requesting Data...</v>
      </c>
      <c r="J416" s="8" t="str">
        <f>IF($A416="","",IF(ISNUMBER(FIND("IMPVOL",J$1)),_xll.BDH(config!$G$4,J$1,WORKDAY($A416,-1,config_Holiday_Calendar_US),WORKDAY($A416,-1,config_Holiday_Calendar_US)),IF(ISNUMBER(_xll.BDH(config!$G$4,J$1,$A416,$A416)),_xll.BDH(config!$G$4,J$1,$A416,$A416),_xll.BDH(config!$G$5,J$1,$A416,$A416))))</f>
        <v>#N/A Requesting Data...</v>
      </c>
      <c r="K416" s="8" t="str">
        <f>IF($A416="","",IF(ISNUMBER(FIND("IMPVOL",K$1)),_xll.BDH(config!$G$4,K$1,WORKDAY($A416,-1,config_Holiday_Calendar_US),WORKDAY($A416,-1,config_Holiday_Calendar_US)),IF(ISNUMBER(_xll.BDH(config!$G$4,K$1,$A416,$A416)),_xll.BDH(config!$G$4,K$1,$A416,$A416),_xll.BDH(config!$G$5,K$1,$A416,$A416))))</f>
        <v>#N/A Requesting Data...</v>
      </c>
      <c r="L416" s="8" t="str">
        <f>IF($A416="","",IF(ISNUMBER(FIND("IMPVOL",L$1)),_xll.BDH(config!$G$4,L$1,WORKDAY($A416,-1,config_Holiday_Calendar_US),WORKDAY($A416,-1,config_Holiday_Calendar_US)),IF(ISNUMBER(_xll.BDH(config!$G$4,L$1,$A416,$A416)),_xll.BDH(config!$G$4,L$1,$A416,$A416),_xll.BDH(config!$G$5,L$1,$A416,$A416))))</f>
        <v>#N/A Requesting Data...</v>
      </c>
      <c r="M416" s="8" t="str">
        <f>IF($A416="","",IF(ISNUMBER(FIND("IMPVOL",M$1)),_xll.BDH(config!$G$4,M$1,WORKDAY($A416,-1,config_Holiday_Calendar_US),WORKDAY($A416,-1,config_Holiday_Calendar_US)),IF(ISNUMBER(_xll.BDH(config!$G$4,M$1,$A416,$A416)),_xll.BDH(config!$G$4,M$1,$A416,$A416),_xll.BDH(config!$G$5,M$1,$A416,$A416))))</f>
        <v>#N/A Requesting Data...</v>
      </c>
      <c r="N416" s="8" t="str">
        <f>IF($A416="","",IF(ISNUMBER(FIND("IMPVOL",N$1)),_xll.BDH(config!$G$4,N$1,WORKDAY($A416,-1,config_Holiday_Calendar_US),WORKDAY($A416,-1,config_Holiday_Calendar_US)),IF(ISNUMBER(_xll.BDH(config!$G$4,N$1,$A416,$A416)),_xll.BDH(config!$G$4,N$1,$A416,$A416),_xll.BDH(config!$G$5,N$1,$A416,$A416))))</f>
        <v>#N/A Requesting Data...</v>
      </c>
      <c r="O416" s="8" t="str">
        <f>IF($A416="","",IF(ISNUMBER(FIND("IMPVOL",O$1)),_xll.BDH(config!$G$4,O$1,WORKDAY($A416,-1,config_Holiday_Calendar_US),WORKDAY($A416,-1,config_Holiday_Calendar_US)),IF(ISNUMBER(_xll.BDH(config!$G$4,O$1,$A416,$A416)),_xll.BDH(config!$G$4,O$1,$A416,$A416),_xll.BDH(config!$G$5,O$1,$A416,$A416))))</f>
        <v>#N/A Requesting Data...</v>
      </c>
      <c r="P416" s="8" t="str">
        <f>IF($A416="","",IF(ISNUMBER(FIND("IMPVOL",P$1)),_xll.BDH(config!$G$4,P$1,WORKDAY($A416,-1,config_Holiday_Calendar_US),WORKDAY($A416,-1,config_Holiday_Calendar_US)),IF(ISNUMBER(_xll.BDH(config!$G$4,P$1,$A416,$A416)),_xll.BDH(config!$G$4,P$1,$A416,$A416),_xll.BDH(config!$G$5,P$1,$A416,$A416))))</f>
        <v>#N/A Requesting Data...</v>
      </c>
      <c r="Q416" s="8">
        <f>IF($A416="","",IF(ISNUMBER(FIND("IMPVOL",Q$1)),_xll.BDH(config!$G$4,Q$1,WORKDAY($A416,-1,config_Holiday_Calendar_US),WORKDAY($A416,-1,config_Holiday_Calendar_US)),IF(ISNUMBER(_xll.BDH(config!$G$4,Q$1,$A416,$A416)),_xll.BDH(config!$G$4,Q$1,$A416,$A416),_xll.BDH(config!$G$5,Q$1,$A416,$A416))))</f>
        <v>36.11</v>
      </c>
      <c r="R416" s="8">
        <f>IF($A416="","",IF(ISNUMBER(FIND("IMPVOL",R$1)),_xll.BDH(config!$G$4,R$1,WORKDAY($A416,-1,config_Holiday_Calendar_US),WORKDAY($A416,-1,config_Holiday_Calendar_US)),IF(ISNUMBER(_xll.BDH(config!$G$4,R$1,$A416,$A416)),_xll.BDH(config!$G$4,R$1,$A416,$A416),_xll.BDH(config!$G$5,R$1,$A416,$A416))))</f>
        <v>36.700000000000003</v>
      </c>
      <c r="S416" s="8" t="str">
        <f>IF($A416="","",IF(ISNUMBER(FIND("IMPVOL",S$1)),_xll.BDH(config!$G$4,S$1,WORKDAY($A416,-1,config_Holiday_Calendar_US),WORKDAY($A416,-1,config_Holiday_Calendar_US)),IF(ISNUMBER(_xll.BDH(config!$G$4,S$1,$A416,$A416)),_xll.BDH(config!$G$4,S$1,$A416,$A416),_xll.BDH(config!$G$5,S$1,$A416,$A416))))</f>
        <v>#N/A Requesting Data...</v>
      </c>
      <c r="T416" s="8" t="str">
        <f>IF($A416="","",IF(ISNUMBER(FIND("IMPVOL",T$1)),_xll.BDH(config!$G$4,T$1,WORKDAY($A416,-1,config_Holiday_Calendar_US),WORKDAY($A416,-1,config_Holiday_Calendar_US)),IF(ISNUMBER(_xll.BDH(config!$G$4,T$1,$A416,$A416)),_xll.BDH(config!$G$4,T$1,$A416,$A416),_xll.BDH(config!$G$5,T$1,$A416,$A416))))</f>
        <v>#N/A Requesting Data...</v>
      </c>
      <c r="U416" s="8" t="str">
        <f>IF($A416="","",IF(ISNUMBER(FIND("IMPVOL",U$1)),_xll.BDH(config!$G$4,U$1,WORKDAY($A416,-1,config_Holiday_Calendar_US),WORKDAY($A416,-1,config_Holiday_Calendar_US)),IF(ISNUMBER(_xll.BDH(config!$G$4,U$1,$A416,$A416)),_xll.BDH(config!$G$4,U$1,$A416,$A416),_xll.BDH(config!$G$5,U$1,$A416,$A416))))</f>
        <v>#N/A Requesting Data...</v>
      </c>
      <c r="V416" s="8" t="str">
        <f>IF($A416="","",IF(ISNUMBER(FIND("IMPVOL",V$1)),_xll.BDH(config!$G$4,V$1,WORKDAY($A416,-1,config_Holiday_Calendar_US),WORKDAY($A416,-1,config_Holiday_Calendar_US)),IF(ISNUMBER(_xll.BDH(config!$G$4,V$1,$A416,$A416)),_xll.BDH(config!$G$4,V$1,$A416,$A416),_xll.BDH(config!$G$5,V$1,$A416,$A416))))</f>
        <v>#N/A Requesting Data...</v>
      </c>
      <c r="W416" s="8" t="str">
        <f>IF($A416="","",IF(ISNUMBER(FIND("IMPVOL",W$1)),_xll.BDH(config!$G$4,W$1,WORKDAY($A416,-1,config_Holiday_Calendar_US),WORKDAY($A416,-1,config_Holiday_Calendar_US)),IF(ISNUMBER(_xll.BDH(config!$G$4,W$1,$A416,$A416)),_xll.BDH(config!$G$4,W$1,$A416,$A416),_xll.BDH(config!$G$5,W$1,$A416,$A416))))</f>
        <v>#N/A Requesting Data...</v>
      </c>
    </row>
    <row r="417" spans="1:23" x14ac:dyDescent="0.2">
      <c r="A417" s="9">
        <f>IF(A416="","",IF(WORKDAY(A416,-1,config_Holiday_Calendar_US)&lt;config!$I$10,"",WORKDAY(A416,-1,config_Holiday_Calendar_US)))</f>
        <v>42223</v>
      </c>
      <c r="B417" s="8" t="e">
        <f t="shared" si="6"/>
        <v>#VALUE!</v>
      </c>
      <c r="C417" s="8" t="str">
        <f>IF(A417="","",_xll.BDH(config!$H$4,C$1,$A417,$A417))</f>
        <v>#N/A Requesting Data...</v>
      </c>
      <c r="D417" s="8" t="str">
        <f>IF($A417="","",_xll.BDH(config!$H$4,D$1,$A417,$A417))</f>
        <v>#N/A Requesting Data...</v>
      </c>
      <c r="E417" s="8">
        <f>IF($A417="","",IF(ISNUMBER(FIND("IMPVOL",E$1)),_xll.BDH(config!$G$4,E$1,WORKDAY($A417,-1,config_Holiday_Calendar_US),WORKDAY($A417,-1,config_Holiday_Calendar_US)),IF(ISNUMBER(_xll.BDH(config!$G$4,E$1,$A417,$A417)),_xll.BDH(config!$G$4,E$1,$A417,$A417),_xll.BDH(config!$G$5,E$1,$A417,$A417))))</f>
        <v>44.82</v>
      </c>
      <c r="F417" s="8">
        <f>IF($A417="","",IF(ISNUMBER(FIND("IMPVOL",F$1)),_xll.BDH(config!$G$4,F$1,WORKDAY($A417,-1,config_Holiday_Calendar_US),WORKDAY($A417,-1,config_Holiday_Calendar_US)),IF(ISNUMBER(_xll.BDH(config!$G$4,F$1,$A417,$A417)),_xll.BDH(config!$G$4,F$1,$A417,$A417),_xll.BDH(config!$G$5,F$1,$A417,$A417))))</f>
        <v>45.16</v>
      </c>
      <c r="G417" s="8">
        <f>IF($A417="","",IF(ISNUMBER(FIND("IMPVOL",G$1)),_xll.BDH(config!$G$4,G$1,WORKDAY($A417,-1,config_Holiday_Calendar_US),WORKDAY($A417,-1,config_Holiday_Calendar_US)),IF(ISNUMBER(_xll.BDH(config!$G$4,G$1,$A417,$A417)),_xll.BDH(config!$G$4,G$1,$A417,$A417),_xll.BDH(config!$G$5,G$1,$A417,$A417))))</f>
        <v>44.2</v>
      </c>
      <c r="H417" s="8">
        <f>IF($A417="","",IF(ISNUMBER(FIND("IMPVOL",H$1)),_xll.BDH(config!$G$4,H$1,WORKDAY($A417,-1,config_Holiday_Calendar_US),WORKDAY($A417,-1,config_Holiday_Calendar_US)),IF(ISNUMBER(_xll.BDH(config!$G$4,H$1,$A417,$A417)),_xll.BDH(config!$G$4,H$1,$A417,$A417),_xll.BDH(config!$G$5,H$1,$A417,$A417))))</f>
        <v>184851</v>
      </c>
      <c r="I417" s="8" t="str">
        <f>IF($A417="","",IF(ISNUMBER(FIND("IMPVOL",I$1)),_xll.BDH(config!$G$4,I$1,WORKDAY($A417,-1,config_Holiday_Calendar_US),WORKDAY($A417,-1,config_Holiday_Calendar_US)),IF(ISNUMBER(_xll.BDH(config!$G$4,I$1,$A417,$A417)),_xll.BDH(config!$G$4,I$1,$A417,$A417),_xll.BDH(config!$G$5,I$1,$A417,$A417))))</f>
        <v>#N/A Requesting Data...</v>
      </c>
      <c r="J417" s="8" t="str">
        <f>IF($A417="","",IF(ISNUMBER(FIND("IMPVOL",J$1)),_xll.BDH(config!$G$4,J$1,WORKDAY($A417,-1,config_Holiday_Calendar_US),WORKDAY($A417,-1,config_Holiday_Calendar_US)),IF(ISNUMBER(_xll.BDH(config!$G$4,J$1,$A417,$A417)),_xll.BDH(config!$G$4,J$1,$A417,$A417),_xll.BDH(config!$G$5,J$1,$A417,$A417))))</f>
        <v>#N/A Requesting Data...</v>
      </c>
      <c r="K417" s="8" t="str">
        <f>IF($A417="","",IF(ISNUMBER(FIND("IMPVOL",K$1)),_xll.BDH(config!$G$4,K$1,WORKDAY($A417,-1,config_Holiday_Calendar_US),WORKDAY($A417,-1,config_Holiday_Calendar_US)),IF(ISNUMBER(_xll.BDH(config!$G$4,K$1,$A417,$A417)),_xll.BDH(config!$G$4,K$1,$A417,$A417),_xll.BDH(config!$G$5,K$1,$A417,$A417))))</f>
        <v>#N/A Requesting Data...</v>
      </c>
      <c r="L417" s="8" t="str">
        <f>IF($A417="","",IF(ISNUMBER(FIND("IMPVOL",L$1)),_xll.BDH(config!$G$4,L$1,WORKDAY($A417,-1,config_Holiday_Calendar_US),WORKDAY($A417,-1,config_Holiday_Calendar_US)),IF(ISNUMBER(_xll.BDH(config!$G$4,L$1,$A417,$A417)),_xll.BDH(config!$G$4,L$1,$A417,$A417),_xll.BDH(config!$G$5,L$1,$A417,$A417))))</f>
        <v>#N/A Requesting Data...</v>
      </c>
      <c r="M417" s="8" t="str">
        <f>IF($A417="","",IF(ISNUMBER(FIND("IMPVOL",M$1)),_xll.BDH(config!$G$4,M$1,WORKDAY($A417,-1,config_Holiday_Calendar_US),WORKDAY($A417,-1,config_Holiday_Calendar_US)),IF(ISNUMBER(_xll.BDH(config!$G$4,M$1,$A417,$A417)),_xll.BDH(config!$G$4,M$1,$A417,$A417),_xll.BDH(config!$G$5,M$1,$A417,$A417))))</f>
        <v>#N/A Requesting Data...</v>
      </c>
      <c r="N417" s="8" t="str">
        <f>IF($A417="","",IF(ISNUMBER(FIND("IMPVOL",N$1)),_xll.BDH(config!$G$4,N$1,WORKDAY($A417,-1,config_Holiday_Calendar_US),WORKDAY($A417,-1,config_Holiday_Calendar_US)),IF(ISNUMBER(_xll.BDH(config!$G$4,N$1,$A417,$A417)),_xll.BDH(config!$G$4,N$1,$A417,$A417),_xll.BDH(config!$G$5,N$1,$A417,$A417))))</f>
        <v>#N/A Requesting Data...</v>
      </c>
      <c r="O417" s="8" t="str">
        <f>IF($A417="","",IF(ISNUMBER(FIND("IMPVOL",O$1)),_xll.BDH(config!$G$4,O$1,WORKDAY($A417,-1,config_Holiday_Calendar_US),WORKDAY($A417,-1,config_Holiday_Calendar_US)),IF(ISNUMBER(_xll.BDH(config!$G$4,O$1,$A417,$A417)),_xll.BDH(config!$G$4,O$1,$A417,$A417),_xll.BDH(config!$G$5,O$1,$A417,$A417))))</f>
        <v>#N/A Requesting Data...</v>
      </c>
      <c r="P417" s="8" t="str">
        <f>IF($A417="","",IF(ISNUMBER(FIND("IMPVOL",P$1)),_xll.BDH(config!$G$4,P$1,WORKDAY($A417,-1,config_Holiday_Calendar_US),WORKDAY($A417,-1,config_Holiday_Calendar_US)),IF(ISNUMBER(_xll.BDH(config!$G$4,P$1,$A417,$A417)),_xll.BDH(config!$G$4,P$1,$A417,$A417),_xll.BDH(config!$G$5,P$1,$A417,$A417))))</f>
        <v>#N/A Requesting Data...</v>
      </c>
      <c r="Q417" s="8">
        <f>IF($A417="","",IF(ISNUMBER(FIND("IMPVOL",Q$1)),_xll.BDH(config!$G$4,Q$1,WORKDAY($A417,-1,config_Holiday_Calendar_US),WORKDAY($A417,-1,config_Holiday_Calendar_US)),IF(ISNUMBER(_xll.BDH(config!$G$4,Q$1,$A417,$A417)),_xll.BDH(config!$G$4,Q$1,$A417,$A417),_xll.BDH(config!$G$5,Q$1,$A417,$A417))))</f>
        <v>31.51</v>
      </c>
      <c r="R417" s="8">
        <f>IF($A417="","",IF(ISNUMBER(FIND("IMPVOL",R$1)),_xll.BDH(config!$G$4,R$1,WORKDAY($A417,-1,config_Holiday_Calendar_US),WORKDAY($A417,-1,config_Holiday_Calendar_US)),IF(ISNUMBER(_xll.BDH(config!$G$4,R$1,$A417,$A417)),_xll.BDH(config!$G$4,R$1,$A417,$A417),_xll.BDH(config!$G$5,R$1,$A417,$A417))))</f>
        <v>34.979999999999997</v>
      </c>
      <c r="S417" s="8" t="str">
        <f>IF($A417="","",IF(ISNUMBER(FIND("IMPVOL",S$1)),_xll.BDH(config!$G$4,S$1,WORKDAY($A417,-1,config_Holiday_Calendar_US),WORKDAY($A417,-1,config_Holiday_Calendar_US)),IF(ISNUMBER(_xll.BDH(config!$G$4,S$1,$A417,$A417)),_xll.BDH(config!$G$4,S$1,$A417,$A417),_xll.BDH(config!$G$5,S$1,$A417,$A417))))</f>
        <v>#N/A Requesting Data...</v>
      </c>
      <c r="T417" s="8" t="str">
        <f>IF($A417="","",IF(ISNUMBER(FIND("IMPVOL",T$1)),_xll.BDH(config!$G$4,T$1,WORKDAY($A417,-1,config_Holiday_Calendar_US),WORKDAY($A417,-1,config_Holiday_Calendar_US)),IF(ISNUMBER(_xll.BDH(config!$G$4,T$1,$A417,$A417)),_xll.BDH(config!$G$4,T$1,$A417,$A417),_xll.BDH(config!$G$5,T$1,$A417,$A417))))</f>
        <v>#N/A Requesting Data...</v>
      </c>
      <c r="U417" s="8" t="str">
        <f>IF($A417="","",IF(ISNUMBER(FIND("IMPVOL",U$1)),_xll.BDH(config!$G$4,U$1,WORKDAY($A417,-1,config_Holiday_Calendar_US),WORKDAY($A417,-1,config_Holiday_Calendar_US)),IF(ISNUMBER(_xll.BDH(config!$G$4,U$1,$A417,$A417)),_xll.BDH(config!$G$4,U$1,$A417,$A417),_xll.BDH(config!$G$5,U$1,$A417,$A417))))</f>
        <v>#N/A Requesting Data...</v>
      </c>
      <c r="V417" s="8" t="str">
        <f>IF($A417="","",IF(ISNUMBER(FIND("IMPVOL",V$1)),_xll.BDH(config!$G$4,V$1,WORKDAY($A417,-1,config_Holiday_Calendar_US),WORKDAY($A417,-1,config_Holiday_Calendar_US)),IF(ISNUMBER(_xll.BDH(config!$G$4,V$1,$A417,$A417)),_xll.BDH(config!$G$4,V$1,$A417,$A417),_xll.BDH(config!$G$5,V$1,$A417,$A417))))</f>
        <v>#N/A Requesting Data...</v>
      </c>
      <c r="W417" s="8" t="str">
        <f>IF($A417="","",IF(ISNUMBER(FIND("IMPVOL",W$1)),_xll.BDH(config!$G$4,W$1,WORKDAY($A417,-1,config_Holiday_Calendar_US),WORKDAY($A417,-1,config_Holiday_Calendar_US)),IF(ISNUMBER(_xll.BDH(config!$G$4,W$1,$A417,$A417)),_xll.BDH(config!$G$4,W$1,$A417,$A417),_xll.BDH(config!$G$5,W$1,$A417,$A417))))</f>
        <v>#N/A Requesting Data...</v>
      </c>
    </row>
    <row r="418" spans="1:23" x14ac:dyDescent="0.2">
      <c r="A418" s="9">
        <f>IF(A417="","",IF(WORKDAY(A417,-1,config_Holiday_Calendar_US)&lt;config!$I$10,"",WORKDAY(A417,-1,config_Holiday_Calendar_US)))</f>
        <v>42222</v>
      </c>
      <c r="B418" s="8" t="e">
        <f t="shared" si="6"/>
        <v>#VALUE!</v>
      </c>
      <c r="C418" s="8" t="str">
        <f>IF(A418="","",_xll.BDH(config!$H$4,C$1,$A418,$A418))</f>
        <v>#N/A Requesting Data...</v>
      </c>
      <c r="D418" s="8" t="str">
        <f>IF($A418="","",_xll.BDH(config!$H$4,D$1,$A418,$A418))</f>
        <v>#N/A Requesting Data...</v>
      </c>
      <c r="E418" s="8">
        <f>IF($A418="","",IF(ISNUMBER(FIND("IMPVOL",E$1)),_xll.BDH(config!$G$4,E$1,WORKDAY($A418,-1,config_Holiday_Calendar_US),WORKDAY($A418,-1,config_Holiday_Calendar_US)),IF(ISNUMBER(_xll.BDH(config!$G$4,E$1,$A418,$A418)),_xll.BDH(config!$G$4,E$1,$A418,$A418),_xll.BDH(config!$G$5,E$1,$A418,$A418))))</f>
        <v>45.16</v>
      </c>
      <c r="F418" s="8">
        <f>IF($A418="","",IF(ISNUMBER(FIND("IMPVOL",F$1)),_xll.BDH(config!$G$4,F$1,WORKDAY($A418,-1,config_Holiday_Calendar_US),WORKDAY($A418,-1,config_Holiday_Calendar_US)),IF(ISNUMBER(_xll.BDH(config!$G$4,F$1,$A418,$A418)),_xll.BDH(config!$G$4,F$1,$A418,$A418),_xll.BDH(config!$G$5,F$1,$A418,$A418))))</f>
        <v>45.27</v>
      </c>
      <c r="G418" s="8">
        <f>IF($A418="","",IF(ISNUMBER(FIND("IMPVOL",G$1)),_xll.BDH(config!$G$4,G$1,WORKDAY($A418,-1,config_Holiday_Calendar_US),WORKDAY($A418,-1,config_Holiday_Calendar_US)),IF(ISNUMBER(_xll.BDH(config!$G$4,G$1,$A418,$A418)),_xll.BDH(config!$G$4,G$1,$A418,$A418),_xll.BDH(config!$G$5,G$1,$A418,$A418))))</f>
        <v>44.63</v>
      </c>
      <c r="H418" s="8">
        <f>IF($A418="","",IF(ISNUMBER(FIND("IMPVOL",H$1)),_xll.BDH(config!$G$4,H$1,WORKDAY($A418,-1,config_Holiday_Calendar_US),WORKDAY($A418,-1,config_Holiday_Calendar_US)),IF(ISNUMBER(_xll.BDH(config!$G$4,H$1,$A418,$A418)),_xll.BDH(config!$G$4,H$1,$A418,$A418),_xll.BDH(config!$G$5,H$1,$A418,$A418))))</f>
        <v>161457</v>
      </c>
      <c r="I418" s="8" t="str">
        <f>IF($A418="","",IF(ISNUMBER(FIND("IMPVOL",I$1)),_xll.BDH(config!$G$4,I$1,WORKDAY($A418,-1,config_Holiday_Calendar_US),WORKDAY($A418,-1,config_Holiday_Calendar_US)),IF(ISNUMBER(_xll.BDH(config!$G$4,I$1,$A418,$A418)),_xll.BDH(config!$G$4,I$1,$A418,$A418),_xll.BDH(config!$G$5,I$1,$A418,$A418))))</f>
        <v>#N/A Requesting Data...</v>
      </c>
      <c r="J418" s="8" t="str">
        <f>IF($A418="","",IF(ISNUMBER(FIND("IMPVOL",J$1)),_xll.BDH(config!$G$4,J$1,WORKDAY($A418,-1,config_Holiday_Calendar_US),WORKDAY($A418,-1,config_Holiday_Calendar_US)),IF(ISNUMBER(_xll.BDH(config!$G$4,J$1,$A418,$A418)),_xll.BDH(config!$G$4,J$1,$A418,$A418),_xll.BDH(config!$G$5,J$1,$A418,$A418))))</f>
        <v>#N/A Requesting Data...</v>
      </c>
      <c r="K418" s="8" t="str">
        <f>IF($A418="","",IF(ISNUMBER(FIND("IMPVOL",K$1)),_xll.BDH(config!$G$4,K$1,WORKDAY($A418,-1,config_Holiday_Calendar_US),WORKDAY($A418,-1,config_Holiday_Calendar_US)),IF(ISNUMBER(_xll.BDH(config!$G$4,K$1,$A418,$A418)),_xll.BDH(config!$G$4,K$1,$A418,$A418),_xll.BDH(config!$G$5,K$1,$A418,$A418))))</f>
        <v>#N/A Requesting Data...</v>
      </c>
      <c r="L418" s="8" t="str">
        <f>IF($A418="","",IF(ISNUMBER(FIND("IMPVOL",L$1)),_xll.BDH(config!$G$4,L$1,WORKDAY($A418,-1,config_Holiday_Calendar_US),WORKDAY($A418,-1,config_Holiday_Calendar_US)),IF(ISNUMBER(_xll.BDH(config!$G$4,L$1,$A418,$A418)),_xll.BDH(config!$G$4,L$1,$A418,$A418),_xll.BDH(config!$G$5,L$1,$A418,$A418))))</f>
        <v>#N/A Requesting Data...</v>
      </c>
      <c r="M418" s="8" t="str">
        <f>IF($A418="","",IF(ISNUMBER(FIND("IMPVOL",M$1)),_xll.BDH(config!$G$4,M$1,WORKDAY($A418,-1,config_Holiday_Calendar_US),WORKDAY($A418,-1,config_Holiday_Calendar_US)),IF(ISNUMBER(_xll.BDH(config!$G$4,M$1,$A418,$A418)),_xll.BDH(config!$G$4,M$1,$A418,$A418),_xll.BDH(config!$G$5,M$1,$A418,$A418))))</f>
        <v>#N/A Requesting Data...</v>
      </c>
      <c r="N418" s="8" t="str">
        <f>IF($A418="","",IF(ISNUMBER(FIND("IMPVOL",N$1)),_xll.BDH(config!$G$4,N$1,WORKDAY($A418,-1,config_Holiday_Calendar_US),WORKDAY($A418,-1,config_Holiday_Calendar_US)),IF(ISNUMBER(_xll.BDH(config!$G$4,N$1,$A418,$A418)),_xll.BDH(config!$G$4,N$1,$A418,$A418),_xll.BDH(config!$G$5,N$1,$A418,$A418))))</f>
        <v>#N/A Requesting Data...</v>
      </c>
      <c r="O418" s="8" t="str">
        <f>IF($A418="","",IF(ISNUMBER(FIND("IMPVOL",O$1)),_xll.BDH(config!$G$4,O$1,WORKDAY($A418,-1,config_Holiday_Calendar_US),WORKDAY($A418,-1,config_Holiday_Calendar_US)),IF(ISNUMBER(_xll.BDH(config!$G$4,O$1,$A418,$A418)),_xll.BDH(config!$G$4,O$1,$A418,$A418),_xll.BDH(config!$G$5,O$1,$A418,$A418))))</f>
        <v>#N/A Requesting Data...</v>
      </c>
      <c r="P418" s="8" t="str">
        <f>IF($A418="","",IF(ISNUMBER(FIND("IMPVOL",P$1)),_xll.BDH(config!$G$4,P$1,WORKDAY($A418,-1,config_Holiday_Calendar_US),WORKDAY($A418,-1,config_Holiday_Calendar_US)),IF(ISNUMBER(_xll.BDH(config!$G$4,P$1,$A418,$A418)),_xll.BDH(config!$G$4,P$1,$A418,$A418),_xll.BDH(config!$G$5,P$1,$A418,$A418))))</f>
        <v>#N/A Requesting Data...</v>
      </c>
      <c r="Q418" s="8">
        <f>IF($A418="","",IF(ISNUMBER(FIND("IMPVOL",Q$1)),_xll.BDH(config!$G$4,Q$1,WORKDAY($A418,-1,config_Holiday_Calendar_US),WORKDAY($A418,-1,config_Holiday_Calendar_US)),IF(ISNUMBER(_xll.BDH(config!$G$4,Q$1,$A418,$A418)),_xll.BDH(config!$G$4,Q$1,$A418,$A418),_xll.BDH(config!$G$5,Q$1,$A418,$A418))))</f>
        <v>31.47</v>
      </c>
      <c r="R418" s="8">
        <f>IF($A418="","",IF(ISNUMBER(FIND("IMPVOL",R$1)),_xll.BDH(config!$G$4,R$1,WORKDAY($A418,-1,config_Holiday_Calendar_US),WORKDAY($A418,-1,config_Holiday_Calendar_US)),IF(ISNUMBER(_xll.BDH(config!$G$4,R$1,$A418,$A418)),_xll.BDH(config!$G$4,R$1,$A418,$A418),_xll.BDH(config!$G$5,R$1,$A418,$A418))))</f>
        <v>35.06</v>
      </c>
      <c r="S418" s="8" t="str">
        <f>IF($A418="","",IF(ISNUMBER(FIND("IMPVOL",S$1)),_xll.BDH(config!$G$4,S$1,WORKDAY($A418,-1,config_Holiday_Calendar_US),WORKDAY($A418,-1,config_Holiday_Calendar_US)),IF(ISNUMBER(_xll.BDH(config!$G$4,S$1,$A418,$A418)),_xll.BDH(config!$G$4,S$1,$A418,$A418),_xll.BDH(config!$G$5,S$1,$A418,$A418))))</f>
        <v>#N/A Requesting Data...</v>
      </c>
      <c r="T418" s="8" t="str">
        <f>IF($A418="","",IF(ISNUMBER(FIND("IMPVOL",T$1)),_xll.BDH(config!$G$4,T$1,WORKDAY($A418,-1,config_Holiday_Calendar_US),WORKDAY($A418,-1,config_Holiday_Calendar_US)),IF(ISNUMBER(_xll.BDH(config!$G$4,T$1,$A418,$A418)),_xll.BDH(config!$G$4,T$1,$A418,$A418),_xll.BDH(config!$G$5,T$1,$A418,$A418))))</f>
        <v>#N/A Requesting Data...</v>
      </c>
      <c r="U418" s="8" t="str">
        <f>IF($A418="","",IF(ISNUMBER(FIND("IMPVOL",U$1)),_xll.BDH(config!$G$4,U$1,WORKDAY($A418,-1,config_Holiday_Calendar_US),WORKDAY($A418,-1,config_Holiday_Calendar_US)),IF(ISNUMBER(_xll.BDH(config!$G$4,U$1,$A418,$A418)),_xll.BDH(config!$G$4,U$1,$A418,$A418),_xll.BDH(config!$G$5,U$1,$A418,$A418))))</f>
        <v>#N/A Requesting Data...</v>
      </c>
      <c r="V418" s="8" t="str">
        <f>IF($A418="","",IF(ISNUMBER(FIND("IMPVOL",V$1)),_xll.BDH(config!$G$4,V$1,WORKDAY($A418,-1,config_Holiday_Calendar_US),WORKDAY($A418,-1,config_Holiday_Calendar_US)),IF(ISNUMBER(_xll.BDH(config!$G$4,V$1,$A418,$A418)),_xll.BDH(config!$G$4,V$1,$A418,$A418),_xll.BDH(config!$G$5,V$1,$A418,$A418))))</f>
        <v>#N/A Requesting Data...</v>
      </c>
      <c r="W418" s="8" t="str">
        <f>IF($A418="","",IF(ISNUMBER(FIND("IMPVOL",W$1)),_xll.BDH(config!$G$4,W$1,WORKDAY($A418,-1,config_Holiday_Calendar_US),WORKDAY($A418,-1,config_Holiday_Calendar_US)),IF(ISNUMBER(_xll.BDH(config!$G$4,W$1,$A418,$A418)),_xll.BDH(config!$G$4,W$1,$A418,$A418),_xll.BDH(config!$G$5,W$1,$A418,$A418))))</f>
        <v>#N/A Requesting Data...</v>
      </c>
    </row>
    <row r="419" spans="1:23" x14ac:dyDescent="0.2">
      <c r="A419" s="9">
        <f>IF(A418="","",IF(WORKDAY(A418,-1,config_Holiday_Calendar_US)&lt;config!$I$10,"",WORKDAY(A418,-1,config_Holiday_Calendar_US)))</f>
        <v>42221</v>
      </c>
      <c r="B419" s="8" t="e">
        <f t="shared" si="6"/>
        <v>#VALUE!</v>
      </c>
      <c r="C419" s="8" t="str">
        <f>IF(A419="","",_xll.BDH(config!$H$4,C$1,$A419,$A419))</f>
        <v>#N/A Requesting Data...</v>
      </c>
      <c r="D419" s="8" t="str">
        <f>IF($A419="","",_xll.BDH(config!$H$4,D$1,$A419,$A419))</f>
        <v>#N/A Requesting Data...</v>
      </c>
      <c r="E419" s="8">
        <f>IF($A419="","",IF(ISNUMBER(FIND("IMPVOL",E$1)),_xll.BDH(config!$G$4,E$1,WORKDAY($A419,-1,config_Holiday_Calendar_US),WORKDAY($A419,-1,config_Holiday_Calendar_US)),IF(ISNUMBER(_xll.BDH(config!$G$4,E$1,$A419,$A419)),_xll.BDH(config!$G$4,E$1,$A419,$A419),_xll.BDH(config!$G$5,E$1,$A419,$A419))))</f>
        <v>45.96</v>
      </c>
      <c r="F419" s="8">
        <f>IF($A419="","",IF(ISNUMBER(FIND("IMPVOL",F$1)),_xll.BDH(config!$G$4,F$1,WORKDAY($A419,-1,config_Holiday_Calendar_US),WORKDAY($A419,-1,config_Holiday_Calendar_US)),IF(ISNUMBER(_xll.BDH(config!$G$4,F$1,$A419,$A419)),_xll.BDH(config!$G$4,F$1,$A419,$A419),_xll.BDH(config!$G$5,F$1,$A419,$A419))))</f>
        <v>46.7</v>
      </c>
      <c r="G419" s="8" t="str">
        <f>IF($A419="","",IF(ISNUMBER(FIND("IMPVOL",G$1)),_xll.BDH(config!$G$4,G$1,WORKDAY($A419,-1,config_Holiday_Calendar_US),WORKDAY($A419,-1,config_Holiday_Calendar_US)),IF(ISNUMBER(_xll.BDH(config!$G$4,G$1,$A419,$A419)),_xll.BDH(config!$G$4,G$1,$A419,$A419),_xll.BDH(config!$G$5,G$1,$A419,$A419))))</f>
        <v>#N/A Requesting Data...</v>
      </c>
      <c r="H419" s="8" t="str">
        <f>IF($A419="","",IF(ISNUMBER(FIND("IMPVOL",H$1)),_xll.BDH(config!$G$4,H$1,WORKDAY($A419,-1,config_Holiday_Calendar_US),WORKDAY($A419,-1,config_Holiday_Calendar_US)),IF(ISNUMBER(_xll.BDH(config!$G$4,H$1,$A419,$A419)),_xll.BDH(config!$G$4,H$1,$A419,$A419),_xll.BDH(config!$G$5,H$1,$A419,$A419))))</f>
        <v>#N/A Requesting Data...</v>
      </c>
      <c r="I419" s="8" t="str">
        <f>IF($A419="","",IF(ISNUMBER(FIND("IMPVOL",I$1)),_xll.BDH(config!$G$4,I$1,WORKDAY($A419,-1,config_Holiday_Calendar_US),WORKDAY($A419,-1,config_Holiday_Calendar_US)),IF(ISNUMBER(_xll.BDH(config!$G$4,I$1,$A419,$A419)),_xll.BDH(config!$G$4,I$1,$A419,$A419),_xll.BDH(config!$G$5,I$1,$A419,$A419))))</f>
        <v>#N/A Requesting Data...</v>
      </c>
      <c r="J419" s="8" t="str">
        <f>IF($A419="","",IF(ISNUMBER(FIND("IMPVOL",J$1)),_xll.BDH(config!$G$4,J$1,WORKDAY($A419,-1,config_Holiday_Calendar_US),WORKDAY($A419,-1,config_Holiday_Calendar_US)),IF(ISNUMBER(_xll.BDH(config!$G$4,J$1,$A419,$A419)),_xll.BDH(config!$G$4,J$1,$A419,$A419),_xll.BDH(config!$G$5,J$1,$A419,$A419))))</f>
        <v>#N/A Requesting Data...</v>
      </c>
      <c r="K419" s="8" t="str">
        <f>IF($A419="","",IF(ISNUMBER(FIND("IMPVOL",K$1)),_xll.BDH(config!$G$4,K$1,WORKDAY($A419,-1,config_Holiday_Calendar_US),WORKDAY($A419,-1,config_Holiday_Calendar_US)),IF(ISNUMBER(_xll.BDH(config!$G$4,K$1,$A419,$A419)),_xll.BDH(config!$G$4,K$1,$A419,$A419),_xll.BDH(config!$G$5,K$1,$A419,$A419))))</f>
        <v>#N/A Requesting Data...</v>
      </c>
      <c r="L419" s="8" t="str">
        <f>IF($A419="","",IF(ISNUMBER(FIND("IMPVOL",L$1)),_xll.BDH(config!$G$4,L$1,WORKDAY($A419,-1,config_Holiday_Calendar_US),WORKDAY($A419,-1,config_Holiday_Calendar_US)),IF(ISNUMBER(_xll.BDH(config!$G$4,L$1,$A419,$A419)),_xll.BDH(config!$G$4,L$1,$A419,$A419),_xll.BDH(config!$G$5,L$1,$A419,$A419))))</f>
        <v>#N/A Requesting Data...</v>
      </c>
      <c r="M419" s="8" t="str">
        <f>IF($A419="","",IF(ISNUMBER(FIND("IMPVOL",M$1)),_xll.BDH(config!$G$4,M$1,WORKDAY($A419,-1,config_Holiday_Calendar_US),WORKDAY($A419,-1,config_Holiday_Calendar_US)),IF(ISNUMBER(_xll.BDH(config!$G$4,M$1,$A419,$A419)),_xll.BDH(config!$G$4,M$1,$A419,$A419),_xll.BDH(config!$G$5,M$1,$A419,$A419))))</f>
        <v>#N/A Requesting Data...</v>
      </c>
      <c r="N419" s="8" t="str">
        <f>IF($A419="","",IF(ISNUMBER(FIND("IMPVOL",N$1)),_xll.BDH(config!$G$4,N$1,WORKDAY($A419,-1,config_Holiday_Calendar_US),WORKDAY($A419,-1,config_Holiday_Calendar_US)),IF(ISNUMBER(_xll.BDH(config!$G$4,N$1,$A419,$A419)),_xll.BDH(config!$G$4,N$1,$A419,$A419),_xll.BDH(config!$G$5,N$1,$A419,$A419))))</f>
        <v>#N/A Requesting Data...</v>
      </c>
      <c r="O419" s="8" t="str">
        <f>IF($A419="","",IF(ISNUMBER(FIND("IMPVOL",O$1)),_xll.BDH(config!$G$4,O$1,WORKDAY($A419,-1,config_Holiday_Calendar_US),WORKDAY($A419,-1,config_Holiday_Calendar_US)),IF(ISNUMBER(_xll.BDH(config!$G$4,O$1,$A419,$A419)),_xll.BDH(config!$G$4,O$1,$A419,$A419),_xll.BDH(config!$G$5,O$1,$A419,$A419))))</f>
        <v>#N/A Requesting Data...</v>
      </c>
      <c r="P419" s="8" t="str">
        <f>IF($A419="","",IF(ISNUMBER(FIND("IMPVOL",P$1)),_xll.BDH(config!$G$4,P$1,WORKDAY($A419,-1,config_Holiday_Calendar_US),WORKDAY($A419,-1,config_Holiday_Calendar_US)),IF(ISNUMBER(_xll.BDH(config!$G$4,P$1,$A419,$A419)),_xll.BDH(config!$G$4,P$1,$A419,$A419),_xll.BDH(config!$G$5,P$1,$A419,$A419))))</f>
        <v>#N/A Requesting Data...</v>
      </c>
      <c r="Q419" s="8" t="str">
        <f>IF($A419="","",IF(ISNUMBER(FIND("IMPVOL",Q$1)),_xll.BDH(config!$G$4,Q$1,WORKDAY($A419,-1,config_Holiday_Calendar_US),WORKDAY($A419,-1,config_Holiday_Calendar_US)),IF(ISNUMBER(_xll.BDH(config!$G$4,Q$1,$A419,$A419)),_xll.BDH(config!$G$4,Q$1,$A419,$A419),_xll.BDH(config!$G$5,Q$1,$A419,$A419))))</f>
        <v>#N/A Requesting Data...</v>
      </c>
      <c r="R419" s="8" t="str">
        <f>IF($A419="","",IF(ISNUMBER(FIND("IMPVOL",R$1)),_xll.BDH(config!$G$4,R$1,WORKDAY($A419,-1,config_Holiday_Calendar_US),WORKDAY($A419,-1,config_Holiday_Calendar_US)),IF(ISNUMBER(_xll.BDH(config!$G$4,R$1,$A419,$A419)),_xll.BDH(config!$G$4,R$1,$A419,$A419),_xll.BDH(config!$G$5,R$1,$A419,$A419))))</f>
        <v>#N/A Requesting Data...</v>
      </c>
      <c r="S419" s="8" t="str">
        <f>IF($A419="","",IF(ISNUMBER(FIND("IMPVOL",S$1)),_xll.BDH(config!$G$4,S$1,WORKDAY($A419,-1,config_Holiday_Calendar_US),WORKDAY($A419,-1,config_Holiday_Calendar_US)),IF(ISNUMBER(_xll.BDH(config!$G$4,S$1,$A419,$A419)),_xll.BDH(config!$G$4,S$1,$A419,$A419),_xll.BDH(config!$G$5,S$1,$A419,$A419))))</f>
        <v>#N/A Requesting Data...</v>
      </c>
      <c r="T419" s="8" t="str">
        <f>IF($A419="","",IF(ISNUMBER(FIND("IMPVOL",T$1)),_xll.BDH(config!$G$4,T$1,WORKDAY($A419,-1,config_Holiday_Calendar_US),WORKDAY($A419,-1,config_Holiday_Calendar_US)),IF(ISNUMBER(_xll.BDH(config!$G$4,T$1,$A419,$A419)),_xll.BDH(config!$G$4,T$1,$A419,$A419),_xll.BDH(config!$G$5,T$1,$A419,$A419))))</f>
        <v>#N/A Requesting Data...</v>
      </c>
      <c r="U419" s="8" t="str">
        <f>IF($A419="","",IF(ISNUMBER(FIND("IMPVOL",U$1)),_xll.BDH(config!$G$4,U$1,WORKDAY($A419,-1,config_Holiday_Calendar_US),WORKDAY($A419,-1,config_Holiday_Calendar_US)),IF(ISNUMBER(_xll.BDH(config!$G$4,U$1,$A419,$A419)),_xll.BDH(config!$G$4,U$1,$A419,$A419),_xll.BDH(config!$G$5,U$1,$A419,$A419))))</f>
        <v>#N/A Requesting Data...</v>
      </c>
      <c r="V419" s="8" t="str">
        <f>IF($A419="","",IF(ISNUMBER(FIND("IMPVOL",V$1)),_xll.BDH(config!$G$4,V$1,WORKDAY($A419,-1,config_Holiday_Calendar_US),WORKDAY($A419,-1,config_Holiday_Calendar_US)),IF(ISNUMBER(_xll.BDH(config!$G$4,V$1,$A419,$A419)),_xll.BDH(config!$G$4,V$1,$A419,$A419),_xll.BDH(config!$G$5,V$1,$A419,$A419))))</f>
        <v>#N/A Requesting Data...</v>
      </c>
      <c r="W419" s="8" t="str">
        <f>IF($A419="","",IF(ISNUMBER(FIND("IMPVOL",W$1)),_xll.BDH(config!$G$4,W$1,WORKDAY($A419,-1,config_Holiday_Calendar_US),WORKDAY($A419,-1,config_Holiday_Calendar_US)),IF(ISNUMBER(_xll.BDH(config!$G$4,W$1,$A419,$A419)),_xll.BDH(config!$G$4,W$1,$A419,$A419),_xll.BDH(config!$G$5,W$1,$A419,$A419))))</f>
        <v>#N/A Requesting Data...</v>
      </c>
    </row>
    <row r="420" spans="1:23" x14ac:dyDescent="0.2">
      <c r="A420" s="9">
        <f>IF(A419="","",IF(WORKDAY(A419,-1,config_Holiday_Calendar_US)&lt;config!$I$10,"",WORKDAY(A419,-1,config_Holiday_Calendar_US)))</f>
        <v>42220</v>
      </c>
      <c r="B420" s="8" t="e">
        <f t="shared" si="6"/>
        <v>#VALUE!</v>
      </c>
      <c r="C420" s="8" t="str">
        <f>IF(A420="","",_xll.BDH(config!$H$4,C$1,$A420,$A420))</f>
        <v>#N/A Requesting Data...</v>
      </c>
      <c r="D420" s="8" t="str">
        <f>IF($A420="","",_xll.BDH(config!$H$4,D$1,$A420,$A420))</f>
        <v>#N/A Requesting Data...</v>
      </c>
      <c r="E420" s="8">
        <f>IF($A420="","",IF(ISNUMBER(FIND("IMPVOL",E$1)),_xll.BDH(config!$G$4,E$1,WORKDAY($A420,-1,config_Holiday_Calendar_US),WORKDAY($A420,-1,config_Holiday_Calendar_US)),IF(ISNUMBER(_xll.BDH(config!$G$4,E$1,$A420,$A420)),_xll.BDH(config!$G$4,E$1,$A420,$A420),_xll.BDH(config!$G$5,E$1,$A420,$A420))))</f>
        <v>45.35</v>
      </c>
      <c r="F420" s="8">
        <f>IF($A420="","",IF(ISNUMBER(FIND("IMPVOL",F$1)),_xll.BDH(config!$G$4,F$1,WORKDAY($A420,-1,config_Holiday_Calendar_US),WORKDAY($A420,-1,config_Holiday_Calendar_US)),IF(ISNUMBER(_xll.BDH(config!$G$4,F$1,$A420,$A420)),_xll.BDH(config!$G$4,F$1,$A420,$A420),_xll.BDH(config!$G$5,F$1,$A420,$A420))))</f>
        <v>46.23</v>
      </c>
      <c r="G420" s="8" t="str">
        <f>IF($A420="","",IF(ISNUMBER(FIND("IMPVOL",G$1)),_xll.BDH(config!$G$4,G$1,WORKDAY($A420,-1,config_Holiday_Calendar_US),WORKDAY($A420,-1,config_Holiday_Calendar_US)),IF(ISNUMBER(_xll.BDH(config!$G$4,G$1,$A420,$A420)),_xll.BDH(config!$G$4,G$1,$A420,$A420),_xll.BDH(config!$G$5,G$1,$A420,$A420))))</f>
        <v>#N/A Requesting Data...</v>
      </c>
      <c r="H420" s="8" t="str">
        <f>IF($A420="","",IF(ISNUMBER(FIND("IMPVOL",H$1)),_xll.BDH(config!$G$4,H$1,WORKDAY($A420,-1,config_Holiday_Calendar_US),WORKDAY($A420,-1,config_Holiday_Calendar_US)),IF(ISNUMBER(_xll.BDH(config!$G$4,H$1,$A420,$A420)),_xll.BDH(config!$G$4,H$1,$A420,$A420),_xll.BDH(config!$G$5,H$1,$A420,$A420))))</f>
        <v>#N/A Requesting Data...</v>
      </c>
      <c r="I420" s="8" t="str">
        <f>IF($A420="","",IF(ISNUMBER(FIND("IMPVOL",I$1)),_xll.BDH(config!$G$4,I$1,WORKDAY($A420,-1,config_Holiday_Calendar_US),WORKDAY($A420,-1,config_Holiday_Calendar_US)),IF(ISNUMBER(_xll.BDH(config!$G$4,I$1,$A420,$A420)),_xll.BDH(config!$G$4,I$1,$A420,$A420),_xll.BDH(config!$G$5,I$1,$A420,$A420))))</f>
        <v>#N/A Requesting Data...</v>
      </c>
      <c r="J420" s="8" t="str">
        <f>IF($A420="","",IF(ISNUMBER(FIND("IMPVOL",J$1)),_xll.BDH(config!$G$4,J$1,WORKDAY($A420,-1,config_Holiday_Calendar_US),WORKDAY($A420,-1,config_Holiday_Calendar_US)),IF(ISNUMBER(_xll.BDH(config!$G$4,J$1,$A420,$A420)),_xll.BDH(config!$G$4,J$1,$A420,$A420),_xll.BDH(config!$G$5,J$1,$A420,$A420))))</f>
        <v>#N/A Requesting Data...</v>
      </c>
      <c r="K420" s="8" t="str">
        <f>IF($A420="","",IF(ISNUMBER(FIND("IMPVOL",K$1)),_xll.BDH(config!$G$4,K$1,WORKDAY($A420,-1,config_Holiday_Calendar_US),WORKDAY($A420,-1,config_Holiday_Calendar_US)),IF(ISNUMBER(_xll.BDH(config!$G$4,K$1,$A420,$A420)),_xll.BDH(config!$G$4,K$1,$A420,$A420),_xll.BDH(config!$G$5,K$1,$A420,$A420))))</f>
        <v>#N/A Requesting Data...</v>
      </c>
      <c r="L420" s="8" t="str">
        <f>IF($A420="","",IF(ISNUMBER(FIND("IMPVOL",L$1)),_xll.BDH(config!$G$4,L$1,WORKDAY($A420,-1,config_Holiday_Calendar_US),WORKDAY($A420,-1,config_Holiday_Calendar_US)),IF(ISNUMBER(_xll.BDH(config!$G$4,L$1,$A420,$A420)),_xll.BDH(config!$G$4,L$1,$A420,$A420),_xll.BDH(config!$G$5,L$1,$A420,$A420))))</f>
        <v>#N/A Requesting Data...</v>
      </c>
      <c r="M420" s="8" t="str">
        <f>IF($A420="","",IF(ISNUMBER(FIND("IMPVOL",M$1)),_xll.BDH(config!$G$4,M$1,WORKDAY($A420,-1,config_Holiday_Calendar_US),WORKDAY($A420,-1,config_Holiday_Calendar_US)),IF(ISNUMBER(_xll.BDH(config!$G$4,M$1,$A420,$A420)),_xll.BDH(config!$G$4,M$1,$A420,$A420),_xll.BDH(config!$G$5,M$1,$A420,$A420))))</f>
        <v>#N/A Requesting Data...</v>
      </c>
      <c r="N420" s="8" t="str">
        <f>IF($A420="","",IF(ISNUMBER(FIND("IMPVOL",N$1)),_xll.BDH(config!$G$4,N$1,WORKDAY($A420,-1,config_Holiday_Calendar_US),WORKDAY($A420,-1,config_Holiday_Calendar_US)),IF(ISNUMBER(_xll.BDH(config!$G$4,N$1,$A420,$A420)),_xll.BDH(config!$G$4,N$1,$A420,$A420),_xll.BDH(config!$G$5,N$1,$A420,$A420))))</f>
        <v>#N/A Requesting Data...</v>
      </c>
      <c r="O420" s="8" t="str">
        <f>IF($A420="","",IF(ISNUMBER(FIND("IMPVOL",O$1)),_xll.BDH(config!$G$4,O$1,WORKDAY($A420,-1,config_Holiday_Calendar_US),WORKDAY($A420,-1,config_Holiday_Calendar_US)),IF(ISNUMBER(_xll.BDH(config!$G$4,O$1,$A420,$A420)),_xll.BDH(config!$G$4,O$1,$A420,$A420),_xll.BDH(config!$G$5,O$1,$A420,$A420))))</f>
        <v>#N/A Requesting Data...</v>
      </c>
      <c r="P420" s="8" t="str">
        <f>IF($A420="","",IF(ISNUMBER(FIND("IMPVOL",P$1)),_xll.BDH(config!$G$4,P$1,WORKDAY($A420,-1,config_Holiday_Calendar_US),WORKDAY($A420,-1,config_Holiday_Calendar_US)),IF(ISNUMBER(_xll.BDH(config!$G$4,P$1,$A420,$A420)),_xll.BDH(config!$G$4,P$1,$A420,$A420),_xll.BDH(config!$G$5,P$1,$A420,$A420))))</f>
        <v>#N/A Requesting Data...</v>
      </c>
      <c r="Q420" s="8" t="str">
        <f>IF($A420="","",IF(ISNUMBER(FIND("IMPVOL",Q$1)),_xll.BDH(config!$G$4,Q$1,WORKDAY($A420,-1,config_Holiday_Calendar_US),WORKDAY($A420,-1,config_Holiday_Calendar_US)),IF(ISNUMBER(_xll.BDH(config!$G$4,Q$1,$A420,$A420)),_xll.BDH(config!$G$4,Q$1,$A420,$A420),_xll.BDH(config!$G$5,Q$1,$A420,$A420))))</f>
        <v>#N/A Requesting Data...</v>
      </c>
      <c r="R420" s="8" t="str">
        <f>IF($A420="","",IF(ISNUMBER(FIND("IMPVOL",R$1)),_xll.BDH(config!$G$4,R$1,WORKDAY($A420,-1,config_Holiday_Calendar_US),WORKDAY($A420,-1,config_Holiday_Calendar_US)),IF(ISNUMBER(_xll.BDH(config!$G$4,R$1,$A420,$A420)),_xll.BDH(config!$G$4,R$1,$A420,$A420),_xll.BDH(config!$G$5,R$1,$A420,$A420))))</f>
        <v>#N/A Requesting Data...</v>
      </c>
      <c r="S420" s="8" t="str">
        <f>IF($A420="","",IF(ISNUMBER(FIND("IMPVOL",S$1)),_xll.BDH(config!$G$4,S$1,WORKDAY($A420,-1,config_Holiday_Calendar_US),WORKDAY($A420,-1,config_Holiday_Calendar_US)),IF(ISNUMBER(_xll.BDH(config!$G$4,S$1,$A420,$A420)),_xll.BDH(config!$G$4,S$1,$A420,$A420),_xll.BDH(config!$G$5,S$1,$A420,$A420))))</f>
        <v>#N/A Requesting Data...</v>
      </c>
      <c r="T420" s="8" t="str">
        <f>IF($A420="","",IF(ISNUMBER(FIND("IMPVOL",T$1)),_xll.BDH(config!$G$4,T$1,WORKDAY($A420,-1,config_Holiday_Calendar_US),WORKDAY($A420,-1,config_Holiday_Calendar_US)),IF(ISNUMBER(_xll.BDH(config!$G$4,T$1,$A420,$A420)),_xll.BDH(config!$G$4,T$1,$A420,$A420),_xll.BDH(config!$G$5,T$1,$A420,$A420))))</f>
        <v>#N/A Requesting Data...</v>
      </c>
      <c r="U420" s="8" t="str">
        <f>IF($A420="","",IF(ISNUMBER(FIND("IMPVOL",U$1)),_xll.BDH(config!$G$4,U$1,WORKDAY($A420,-1,config_Holiday_Calendar_US),WORKDAY($A420,-1,config_Holiday_Calendar_US)),IF(ISNUMBER(_xll.BDH(config!$G$4,U$1,$A420,$A420)),_xll.BDH(config!$G$4,U$1,$A420,$A420),_xll.BDH(config!$G$5,U$1,$A420,$A420))))</f>
        <v>#N/A Requesting Data...</v>
      </c>
      <c r="V420" s="8" t="str">
        <f>IF($A420="","",IF(ISNUMBER(FIND("IMPVOL",V$1)),_xll.BDH(config!$G$4,V$1,WORKDAY($A420,-1,config_Holiday_Calendar_US),WORKDAY($A420,-1,config_Holiday_Calendar_US)),IF(ISNUMBER(_xll.BDH(config!$G$4,V$1,$A420,$A420)),_xll.BDH(config!$G$4,V$1,$A420,$A420),_xll.BDH(config!$G$5,V$1,$A420,$A420))))</f>
        <v>#N/A Requesting Data...</v>
      </c>
      <c r="W420" s="8" t="str">
        <f>IF($A420="","",IF(ISNUMBER(FIND("IMPVOL",W$1)),_xll.BDH(config!$G$4,W$1,WORKDAY($A420,-1,config_Holiday_Calendar_US),WORKDAY($A420,-1,config_Holiday_Calendar_US)),IF(ISNUMBER(_xll.BDH(config!$G$4,W$1,$A420,$A420)),_xll.BDH(config!$G$4,W$1,$A420,$A420),_xll.BDH(config!$G$5,W$1,$A420,$A420))))</f>
        <v>#N/A Requesting Data...</v>
      </c>
    </row>
    <row r="421" spans="1:23" x14ac:dyDescent="0.2">
      <c r="A421" s="9">
        <f>IF(A420="","",IF(WORKDAY(A420,-1,config_Holiday_Calendar_US)&lt;config!$I$10,"",WORKDAY(A420,-1,config_Holiday_Calendar_US)))</f>
        <v>42219</v>
      </c>
      <c r="B421" s="8" t="e">
        <f t="shared" si="6"/>
        <v>#VALUE!</v>
      </c>
      <c r="C421" s="8" t="str">
        <f>IF(A421="","",_xll.BDH(config!$H$4,C$1,$A421,$A421))</f>
        <v>#N/A Requesting Data...</v>
      </c>
      <c r="D421" s="8" t="str">
        <f>IF($A421="","",_xll.BDH(config!$H$4,D$1,$A421,$A421))</f>
        <v>#N/A Requesting Data...</v>
      </c>
      <c r="E421" s="8">
        <f>IF($A421="","",IF(ISNUMBER(FIND("IMPVOL",E$1)),_xll.BDH(config!$G$4,E$1,WORKDAY($A421,-1,config_Holiday_Calendar_US),WORKDAY($A421,-1,config_Holiday_Calendar_US)),IF(ISNUMBER(_xll.BDH(config!$G$4,E$1,$A421,$A421)),_xll.BDH(config!$G$4,E$1,$A421,$A421),_xll.BDH(config!$G$5,E$1,$A421,$A421))))</f>
        <v>46.86</v>
      </c>
      <c r="F421" s="8">
        <f>IF($A421="","",IF(ISNUMBER(FIND("IMPVOL",F$1)),_xll.BDH(config!$G$4,F$1,WORKDAY($A421,-1,config_Holiday_Calendar_US),WORKDAY($A421,-1,config_Holiday_Calendar_US)),IF(ISNUMBER(_xll.BDH(config!$G$4,F$1,$A421,$A421)),_xll.BDH(config!$G$4,F$1,$A421,$A421),_xll.BDH(config!$G$5,F$1,$A421,$A421))))</f>
        <v>46.94</v>
      </c>
      <c r="G421" s="8" t="str">
        <f>IF($A421="","",IF(ISNUMBER(FIND("IMPVOL",G$1)),_xll.BDH(config!$G$4,G$1,WORKDAY($A421,-1,config_Holiday_Calendar_US),WORKDAY($A421,-1,config_Holiday_Calendar_US)),IF(ISNUMBER(_xll.BDH(config!$G$4,G$1,$A421,$A421)),_xll.BDH(config!$G$4,G$1,$A421,$A421),_xll.BDH(config!$G$5,G$1,$A421,$A421))))</f>
        <v>#N/A Requesting Data...</v>
      </c>
      <c r="H421" s="8" t="str">
        <f>IF($A421="","",IF(ISNUMBER(FIND("IMPVOL",H$1)),_xll.BDH(config!$G$4,H$1,WORKDAY($A421,-1,config_Holiday_Calendar_US),WORKDAY($A421,-1,config_Holiday_Calendar_US)),IF(ISNUMBER(_xll.BDH(config!$G$4,H$1,$A421,$A421)),_xll.BDH(config!$G$4,H$1,$A421,$A421),_xll.BDH(config!$G$5,H$1,$A421,$A421))))</f>
        <v>#N/A Requesting Data...</v>
      </c>
      <c r="I421" s="8" t="str">
        <f>IF($A421="","",IF(ISNUMBER(FIND("IMPVOL",I$1)),_xll.BDH(config!$G$4,I$1,WORKDAY($A421,-1,config_Holiday_Calendar_US),WORKDAY($A421,-1,config_Holiday_Calendar_US)),IF(ISNUMBER(_xll.BDH(config!$G$4,I$1,$A421,$A421)),_xll.BDH(config!$G$4,I$1,$A421,$A421),_xll.BDH(config!$G$5,I$1,$A421,$A421))))</f>
        <v>#N/A Requesting Data...</v>
      </c>
      <c r="J421" s="8" t="str">
        <f>IF($A421="","",IF(ISNUMBER(FIND("IMPVOL",J$1)),_xll.BDH(config!$G$4,J$1,WORKDAY($A421,-1,config_Holiday_Calendar_US),WORKDAY($A421,-1,config_Holiday_Calendar_US)),IF(ISNUMBER(_xll.BDH(config!$G$4,J$1,$A421,$A421)),_xll.BDH(config!$G$4,J$1,$A421,$A421),_xll.BDH(config!$G$5,J$1,$A421,$A421))))</f>
        <v>#N/A Requesting Data...</v>
      </c>
      <c r="K421" s="8" t="str">
        <f>IF($A421="","",IF(ISNUMBER(FIND("IMPVOL",K$1)),_xll.BDH(config!$G$4,K$1,WORKDAY($A421,-1,config_Holiday_Calendar_US),WORKDAY($A421,-1,config_Holiday_Calendar_US)),IF(ISNUMBER(_xll.BDH(config!$G$4,K$1,$A421,$A421)),_xll.BDH(config!$G$4,K$1,$A421,$A421),_xll.BDH(config!$G$5,K$1,$A421,$A421))))</f>
        <v>#N/A Requesting Data...</v>
      </c>
      <c r="L421" s="8" t="str">
        <f>IF($A421="","",IF(ISNUMBER(FIND("IMPVOL",L$1)),_xll.BDH(config!$G$4,L$1,WORKDAY($A421,-1,config_Holiday_Calendar_US),WORKDAY($A421,-1,config_Holiday_Calendar_US)),IF(ISNUMBER(_xll.BDH(config!$G$4,L$1,$A421,$A421)),_xll.BDH(config!$G$4,L$1,$A421,$A421),_xll.BDH(config!$G$5,L$1,$A421,$A421))))</f>
        <v>#N/A Requesting Data...</v>
      </c>
      <c r="M421" s="8" t="str">
        <f>IF($A421="","",IF(ISNUMBER(FIND("IMPVOL",M$1)),_xll.BDH(config!$G$4,M$1,WORKDAY($A421,-1,config_Holiday_Calendar_US),WORKDAY($A421,-1,config_Holiday_Calendar_US)),IF(ISNUMBER(_xll.BDH(config!$G$4,M$1,$A421,$A421)),_xll.BDH(config!$G$4,M$1,$A421,$A421),_xll.BDH(config!$G$5,M$1,$A421,$A421))))</f>
        <v>#N/A Requesting Data...</v>
      </c>
      <c r="N421" s="8" t="str">
        <f>IF($A421="","",IF(ISNUMBER(FIND("IMPVOL",N$1)),_xll.BDH(config!$G$4,N$1,WORKDAY($A421,-1,config_Holiday_Calendar_US),WORKDAY($A421,-1,config_Holiday_Calendar_US)),IF(ISNUMBER(_xll.BDH(config!$G$4,N$1,$A421,$A421)),_xll.BDH(config!$G$4,N$1,$A421,$A421),_xll.BDH(config!$G$5,N$1,$A421,$A421))))</f>
        <v>#N/A Requesting Data...</v>
      </c>
      <c r="O421" s="8" t="str">
        <f>IF($A421="","",IF(ISNUMBER(FIND("IMPVOL",O$1)),_xll.BDH(config!$G$4,O$1,WORKDAY($A421,-1,config_Holiday_Calendar_US),WORKDAY($A421,-1,config_Holiday_Calendar_US)),IF(ISNUMBER(_xll.BDH(config!$G$4,O$1,$A421,$A421)),_xll.BDH(config!$G$4,O$1,$A421,$A421),_xll.BDH(config!$G$5,O$1,$A421,$A421))))</f>
        <v>#N/A Requesting Data...</v>
      </c>
      <c r="P421" s="8" t="str">
        <f>IF($A421="","",IF(ISNUMBER(FIND("IMPVOL",P$1)),_xll.BDH(config!$G$4,P$1,WORKDAY($A421,-1,config_Holiday_Calendar_US),WORKDAY($A421,-1,config_Holiday_Calendar_US)),IF(ISNUMBER(_xll.BDH(config!$G$4,P$1,$A421,$A421)),_xll.BDH(config!$G$4,P$1,$A421,$A421),_xll.BDH(config!$G$5,P$1,$A421,$A421))))</f>
        <v>#N/A Requesting Data...</v>
      </c>
      <c r="Q421" s="8" t="str">
        <f>IF($A421="","",IF(ISNUMBER(FIND("IMPVOL",Q$1)),_xll.BDH(config!$G$4,Q$1,WORKDAY($A421,-1,config_Holiday_Calendar_US),WORKDAY($A421,-1,config_Holiday_Calendar_US)),IF(ISNUMBER(_xll.BDH(config!$G$4,Q$1,$A421,$A421)),_xll.BDH(config!$G$4,Q$1,$A421,$A421),_xll.BDH(config!$G$5,Q$1,$A421,$A421))))</f>
        <v>#N/A Requesting Data...</v>
      </c>
      <c r="R421" s="8" t="str">
        <f>IF($A421="","",IF(ISNUMBER(FIND("IMPVOL",R$1)),_xll.BDH(config!$G$4,R$1,WORKDAY($A421,-1,config_Holiday_Calendar_US),WORKDAY($A421,-1,config_Holiday_Calendar_US)),IF(ISNUMBER(_xll.BDH(config!$G$4,R$1,$A421,$A421)),_xll.BDH(config!$G$4,R$1,$A421,$A421),_xll.BDH(config!$G$5,R$1,$A421,$A421))))</f>
        <v>#N/A Requesting Data...</v>
      </c>
      <c r="S421" s="8" t="str">
        <f>IF($A421="","",IF(ISNUMBER(FIND("IMPVOL",S$1)),_xll.BDH(config!$G$4,S$1,WORKDAY($A421,-1,config_Holiday_Calendar_US),WORKDAY($A421,-1,config_Holiday_Calendar_US)),IF(ISNUMBER(_xll.BDH(config!$G$4,S$1,$A421,$A421)),_xll.BDH(config!$G$4,S$1,$A421,$A421),_xll.BDH(config!$G$5,S$1,$A421,$A421))))</f>
        <v>#N/A Requesting Data...</v>
      </c>
      <c r="T421" s="8" t="str">
        <f>IF($A421="","",IF(ISNUMBER(FIND("IMPVOL",T$1)),_xll.BDH(config!$G$4,T$1,WORKDAY($A421,-1,config_Holiday_Calendar_US),WORKDAY($A421,-1,config_Holiday_Calendar_US)),IF(ISNUMBER(_xll.BDH(config!$G$4,T$1,$A421,$A421)),_xll.BDH(config!$G$4,T$1,$A421,$A421),_xll.BDH(config!$G$5,T$1,$A421,$A421))))</f>
        <v>#N/A Requesting Data...</v>
      </c>
      <c r="U421" s="8" t="str">
        <f>IF($A421="","",IF(ISNUMBER(FIND("IMPVOL",U$1)),_xll.BDH(config!$G$4,U$1,WORKDAY($A421,-1,config_Holiday_Calendar_US),WORKDAY($A421,-1,config_Holiday_Calendar_US)),IF(ISNUMBER(_xll.BDH(config!$G$4,U$1,$A421,$A421)),_xll.BDH(config!$G$4,U$1,$A421,$A421),_xll.BDH(config!$G$5,U$1,$A421,$A421))))</f>
        <v>#N/A Requesting Data...</v>
      </c>
      <c r="V421" s="8" t="str">
        <f>IF($A421="","",IF(ISNUMBER(FIND("IMPVOL",V$1)),_xll.BDH(config!$G$4,V$1,WORKDAY($A421,-1,config_Holiday_Calendar_US),WORKDAY($A421,-1,config_Holiday_Calendar_US)),IF(ISNUMBER(_xll.BDH(config!$G$4,V$1,$A421,$A421)),_xll.BDH(config!$G$4,V$1,$A421,$A421),_xll.BDH(config!$G$5,V$1,$A421,$A421))))</f>
        <v>#N/A Requesting Data...</v>
      </c>
      <c r="W421" s="8" t="str">
        <f>IF($A421="","",IF(ISNUMBER(FIND("IMPVOL",W$1)),_xll.BDH(config!$G$4,W$1,WORKDAY($A421,-1,config_Holiday_Calendar_US),WORKDAY($A421,-1,config_Holiday_Calendar_US)),IF(ISNUMBER(_xll.BDH(config!$G$4,W$1,$A421,$A421)),_xll.BDH(config!$G$4,W$1,$A421,$A421),_xll.BDH(config!$G$5,W$1,$A421,$A421))))</f>
        <v>#N/A Requesting Data...</v>
      </c>
    </row>
    <row r="422" spans="1:23" x14ac:dyDescent="0.2">
      <c r="A422" s="9">
        <f>IF(A421="","",IF(WORKDAY(A421,-1,config_Holiday_Calendar_US)&lt;config!$I$10,"",WORKDAY(A421,-1,config_Holiday_Calendar_US)))</f>
        <v>42216</v>
      </c>
      <c r="B422" s="8" t="e">
        <f t="shared" si="6"/>
        <v>#VALUE!</v>
      </c>
      <c r="C422" s="8" t="str">
        <f>IF(A422="","",_xll.BDH(config!$H$4,C$1,$A422,$A422))</f>
        <v>#N/A Requesting Data...</v>
      </c>
      <c r="D422" s="8" t="str">
        <f>IF($A422="","",_xll.BDH(config!$H$4,D$1,$A422,$A422))</f>
        <v>#N/A Requesting Data...</v>
      </c>
      <c r="E422" s="8">
        <f>IF($A422="","",IF(ISNUMBER(FIND("IMPVOL",E$1)),_xll.BDH(config!$G$4,E$1,WORKDAY($A422,-1,config_Holiday_Calendar_US),WORKDAY($A422,-1,config_Holiday_Calendar_US)),IF(ISNUMBER(_xll.BDH(config!$G$4,E$1,$A422,$A422)),_xll.BDH(config!$G$4,E$1,$A422,$A422),_xll.BDH(config!$G$5,E$1,$A422,$A422))))</f>
        <v>48.47</v>
      </c>
      <c r="F422" s="8">
        <f>IF($A422="","",IF(ISNUMBER(FIND("IMPVOL",F$1)),_xll.BDH(config!$G$4,F$1,WORKDAY($A422,-1,config_Holiday_Calendar_US),WORKDAY($A422,-1,config_Holiday_Calendar_US)),IF(ISNUMBER(_xll.BDH(config!$G$4,F$1,$A422,$A422)),_xll.BDH(config!$G$4,F$1,$A422,$A422),_xll.BDH(config!$G$5,F$1,$A422,$A422))))</f>
        <v>48.62</v>
      </c>
      <c r="G422" s="8" t="str">
        <f>IF($A422="","",IF(ISNUMBER(FIND("IMPVOL",G$1)),_xll.BDH(config!$G$4,G$1,WORKDAY($A422,-1,config_Holiday_Calendar_US),WORKDAY($A422,-1,config_Holiday_Calendar_US)),IF(ISNUMBER(_xll.BDH(config!$G$4,G$1,$A422,$A422)),_xll.BDH(config!$G$4,G$1,$A422,$A422),_xll.BDH(config!$G$5,G$1,$A422,$A422))))</f>
        <v>#N/A Requesting Data...</v>
      </c>
      <c r="H422" s="8" t="str">
        <f>IF($A422="","",IF(ISNUMBER(FIND("IMPVOL",H$1)),_xll.BDH(config!$G$4,H$1,WORKDAY($A422,-1,config_Holiday_Calendar_US),WORKDAY($A422,-1,config_Holiday_Calendar_US)),IF(ISNUMBER(_xll.BDH(config!$G$4,H$1,$A422,$A422)),_xll.BDH(config!$G$4,H$1,$A422,$A422),_xll.BDH(config!$G$5,H$1,$A422,$A422))))</f>
        <v>#N/A Requesting Data...</v>
      </c>
      <c r="I422" s="8" t="str">
        <f>IF($A422="","",IF(ISNUMBER(FIND("IMPVOL",I$1)),_xll.BDH(config!$G$4,I$1,WORKDAY($A422,-1,config_Holiday_Calendar_US),WORKDAY($A422,-1,config_Holiday_Calendar_US)),IF(ISNUMBER(_xll.BDH(config!$G$4,I$1,$A422,$A422)),_xll.BDH(config!$G$4,I$1,$A422,$A422),_xll.BDH(config!$G$5,I$1,$A422,$A422))))</f>
        <v>#N/A Requesting Data...</v>
      </c>
      <c r="J422" s="8" t="str">
        <f>IF($A422="","",IF(ISNUMBER(FIND("IMPVOL",J$1)),_xll.BDH(config!$G$4,J$1,WORKDAY($A422,-1,config_Holiday_Calendar_US),WORKDAY($A422,-1,config_Holiday_Calendar_US)),IF(ISNUMBER(_xll.BDH(config!$G$4,J$1,$A422,$A422)),_xll.BDH(config!$G$4,J$1,$A422,$A422),_xll.BDH(config!$G$5,J$1,$A422,$A422))))</f>
        <v>#N/A Requesting Data...</v>
      </c>
      <c r="K422" s="8" t="str">
        <f>IF($A422="","",IF(ISNUMBER(FIND("IMPVOL",K$1)),_xll.BDH(config!$G$4,K$1,WORKDAY($A422,-1,config_Holiday_Calendar_US),WORKDAY($A422,-1,config_Holiday_Calendar_US)),IF(ISNUMBER(_xll.BDH(config!$G$4,K$1,$A422,$A422)),_xll.BDH(config!$G$4,K$1,$A422,$A422),_xll.BDH(config!$G$5,K$1,$A422,$A422))))</f>
        <v>#N/A Requesting Data...</v>
      </c>
      <c r="L422" s="8" t="str">
        <f>IF($A422="","",IF(ISNUMBER(FIND("IMPVOL",L$1)),_xll.BDH(config!$G$4,L$1,WORKDAY($A422,-1,config_Holiday_Calendar_US),WORKDAY($A422,-1,config_Holiday_Calendar_US)),IF(ISNUMBER(_xll.BDH(config!$G$4,L$1,$A422,$A422)),_xll.BDH(config!$G$4,L$1,$A422,$A422),_xll.BDH(config!$G$5,L$1,$A422,$A422))))</f>
        <v>#N/A Requesting Data...</v>
      </c>
      <c r="M422" s="8" t="str">
        <f>IF($A422="","",IF(ISNUMBER(FIND("IMPVOL",M$1)),_xll.BDH(config!$G$4,M$1,WORKDAY($A422,-1,config_Holiday_Calendar_US),WORKDAY($A422,-1,config_Holiday_Calendar_US)),IF(ISNUMBER(_xll.BDH(config!$G$4,M$1,$A422,$A422)),_xll.BDH(config!$G$4,M$1,$A422,$A422),_xll.BDH(config!$G$5,M$1,$A422,$A422))))</f>
        <v>#N/A Requesting Data...</v>
      </c>
      <c r="N422" s="8" t="str">
        <f>IF($A422="","",IF(ISNUMBER(FIND("IMPVOL",N$1)),_xll.BDH(config!$G$4,N$1,WORKDAY($A422,-1,config_Holiday_Calendar_US),WORKDAY($A422,-1,config_Holiday_Calendar_US)),IF(ISNUMBER(_xll.BDH(config!$G$4,N$1,$A422,$A422)),_xll.BDH(config!$G$4,N$1,$A422,$A422),_xll.BDH(config!$G$5,N$1,$A422,$A422))))</f>
        <v>#N/A Requesting Data...</v>
      </c>
      <c r="O422" s="8" t="str">
        <f>IF($A422="","",IF(ISNUMBER(FIND("IMPVOL",O$1)),_xll.BDH(config!$G$4,O$1,WORKDAY($A422,-1,config_Holiday_Calendar_US),WORKDAY($A422,-1,config_Holiday_Calendar_US)),IF(ISNUMBER(_xll.BDH(config!$G$4,O$1,$A422,$A422)),_xll.BDH(config!$G$4,O$1,$A422,$A422),_xll.BDH(config!$G$5,O$1,$A422,$A422))))</f>
        <v>#N/A Requesting Data...</v>
      </c>
      <c r="P422" s="8" t="str">
        <f>IF($A422="","",IF(ISNUMBER(FIND("IMPVOL",P$1)),_xll.BDH(config!$G$4,P$1,WORKDAY($A422,-1,config_Holiday_Calendar_US),WORKDAY($A422,-1,config_Holiday_Calendar_US)),IF(ISNUMBER(_xll.BDH(config!$G$4,P$1,$A422,$A422)),_xll.BDH(config!$G$4,P$1,$A422,$A422),_xll.BDH(config!$G$5,P$1,$A422,$A422))))</f>
        <v>#N/A Requesting Data...</v>
      </c>
      <c r="Q422" s="8" t="str">
        <f>IF($A422="","",IF(ISNUMBER(FIND("IMPVOL",Q$1)),_xll.BDH(config!$G$4,Q$1,WORKDAY($A422,-1,config_Holiday_Calendar_US),WORKDAY($A422,-1,config_Holiday_Calendar_US)),IF(ISNUMBER(_xll.BDH(config!$G$4,Q$1,$A422,$A422)),_xll.BDH(config!$G$4,Q$1,$A422,$A422),_xll.BDH(config!$G$5,Q$1,$A422,$A422))))</f>
        <v>#N/A Requesting Data...</v>
      </c>
      <c r="R422" s="8" t="str">
        <f>IF($A422="","",IF(ISNUMBER(FIND("IMPVOL",R$1)),_xll.BDH(config!$G$4,R$1,WORKDAY($A422,-1,config_Holiday_Calendar_US),WORKDAY($A422,-1,config_Holiday_Calendar_US)),IF(ISNUMBER(_xll.BDH(config!$G$4,R$1,$A422,$A422)),_xll.BDH(config!$G$4,R$1,$A422,$A422),_xll.BDH(config!$G$5,R$1,$A422,$A422))))</f>
        <v>#N/A Requesting Data...</v>
      </c>
      <c r="S422" s="8" t="str">
        <f>IF($A422="","",IF(ISNUMBER(FIND("IMPVOL",S$1)),_xll.BDH(config!$G$4,S$1,WORKDAY($A422,-1,config_Holiday_Calendar_US),WORKDAY($A422,-1,config_Holiday_Calendar_US)),IF(ISNUMBER(_xll.BDH(config!$G$4,S$1,$A422,$A422)),_xll.BDH(config!$G$4,S$1,$A422,$A422),_xll.BDH(config!$G$5,S$1,$A422,$A422))))</f>
        <v>#N/A Requesting Data...</v>
      </c>
      <c r="T422" s="8" t="str">
        <f>IF($A422="","",IF(ISNUMBER(FIND("IMPVOL",T$1)),_xll.BDH(config!$G$4,T$1,WORKDAY($A422,-1,config_Holiday_Calendar_US),WORKDAY($A422,-1,config_Holiday_Calendar_US)),IF(ISNUMBER(_xll.BDH(config!$G$4,T$1,$A422,$A422)),_xll.BDH(config!$G$4,T$1,$A422,$A422),_xll.BDH(config!$G$5,T$1,$A422,$A422))))</f>
        <v>#N/A Requesting Data...</v>
      </c>
      <c r="U422" s="8" t="str">
        <f>IF($A422="","",IF(ISNUMBER(FIND("IMPVOL",U$1)),_xll.BDH(config!$G$4,U$1,WORKDAY($A422,-1,config_Holiday_Calendar_US),WORKDAY($A422,-1,config_Holiday_Calendar_US)),IF(ISNUMBER(_xll.BDH(config!$G$4,U$1,$A422,$A422)),_xll.BDH(config!$G$4,U$1,$A422,$A422),_xll.BDH(config!$G$5,U$1,$A422,$A422))))</f>
        <v>#N/A Requesting Data...</v>
      </c>
      <c r="V422" s="8" t="str">
        <f>IF($A422="","",IF(ISNUMBER(FIND("IMPVOL",V$1)),_xll.BDH(config!$G$4,V$1,WORKDAY($A422,-1,config_Holiday_Calendar_US),WORKDAY($A422,-1,config_Holiday_Calendar_US)),IF(ISNUMBER(_xll.BDH(config!$G$4,V$1,$A422,$A422)),_xll.BDH(config!$G$4,V$1,$A422,$A422),_xll.BDH(config!$G$5,V$1,$A422,$A422))))</f>
        <v>#N/A Requesting Data...</v>
      </c>
      <c r="W422" s="8" t="str">
        <f>IF($A422="","",IF(ISNUMBER(FIND("IMPVOL",W$1)),_xll.BDH(config!$G$4,W$1,WORKDAY($A422,-1,config_Holiday_Calendar_US),WORKDAY($A422,-1,config_Holiday_Calendar_US)),IF(ISNUMBER(_xll.BDH(config!$G$4,W$1,$A422,$A422)),_xll.BDH(config!$G$4,W$1,$A422,$A422),_xll.BDH(config!$G$5,W$1,$A422,$A422))))</f>
        <v>#N/A Requesting Data...</v>
      </c>
    </row>
    <row r="423" spans="1:23" x14ac:dyDescent="0.2">
      <c r="A423" s="9">
        <f>IF(A422="","",IF(WORKDAY(A422,-1,config_Holiday_Calendar_US)&lt;config!$I$10,"",WORKDAY(A422,-1,config_Holiday_Calendar_US)))</f>
        <v>42215</v>
      </c>
      <c r="B423" s="8" t="e">
        <f t="shared" si="6"/>
        <v>#VALUE!</v>
      </c>
      <c r="C423" s="8" t="str">
        <f>IF(A423="","",_xll.BDH(config!$H$4,C$1,$A423,$A423))</f>
        <v>#N/A Requesting Data...</v>
      </c>
      <c r="D423" s="8" t="str">
        <f>IF($A423="","",_xll.BDH(config!$H$4,D$1,$A423,$A423))</f>
        <v>#N/A Requesting Data...</v>
      </c>
      <c r="E423" s="8">
        <f>IF($A423="","",IF(ISNUMBER(FIND("IMPVOL",E$1)),_xll.BDH(config!$G$4,E$1,WORKDAY($A423,-1,config_Holiday_Calendar_US),WORKDAY($A423,-1,config_Holiday_Calendar_US)),IF(ISNUMBER(_xll.BDH(config!$G$4,E$1,$A423,$A423)),_xll.BDH(config!$G$4,E$1,$A423,$A423),_xll.BDH(config!$G$5,E$1,$A423,$A423))))</f>
        <v>48.83</v>
      </c>
      <c r="F423" s="8">
        <f>IF($A423="","",IF(ISNUMBER(FIND("IMPVOL",F$1)),_xll.BDH(config!$G$4,F$1,WORKDAY($A423,-1,config_Holiday_Calendar_US),WORKDAY($A423,-1,config_Holiday_Calendar_US)),IF(ISNUMBER(_xll.BDH(config!$G$4,F$1,$A423,$A423)),_xll.BDH(config!$G$4,F$1,$A423,$A423),_xll.BDH(config!$G$5,F$1,$A423,$A423))))</f>
        <v>49.36</v>
      </c>
      <c r="G423" s="8" t="str">
        <f>IF($A423="","",IF(ISNUMBER(FIND("IMPVOL",G$1)),_xll.BDH(config!$G$4,G$1,WORKDAY($A423,-1,config_Holiday_Calendar_US),WORKDAY($A423,-1,config_Holiday_Calendar_US)),IF(ISNUMBER(_xll.BDH(config!$G$4,G$1,$A423,$A423)),_xll.BDH(config!$G$4,G$1,$A423,$A423),_xll.BDH(config!$G$5,G$1,$A423,$A423))))</f>
        <v>#N/A Requesting Data...</v>
      </c>
      <c r="H423" s="8" t="str">
        <f>IF($A423="","",IF(ISNUMBER(FIND("IMPVOL",H$1)),_xll.BDH(config!$G$4,H$1,WORKDAY($A423,-1,config_Holiday_Calendar_US),WORKDAY($A423,-1,config_Holiday_Calendar_US)),IF(ISNUMBER(_xll.BDH(config!$G$4,H$1,$A423,$A423)),_xll.BDH(config!$G$4,H$1,$A423,$A423),_xll.BDH(config!$G$5,H$1,$A423,$A423))))</f>
        <v>#N/A Requesting Data...</v>
      </c>
      <c r="I423" s="8" t="str">
        <f>IF($A423="","",IF(ISNUMBER(FIND("IMPVOL",I$1)),_xll.BDH(config!$G$4,I$1,WORKDAY($A423,-1,config_Holiday_Calendar_US),WORKDAY($A423,-1,config_Holiday_Calendar_US)),IF(ISNUMBER(_xll.BDH(config!$G$4,I$1,$A423,$A423)),_xll.BDH(config!$G$4,I$1,$A423,$A423),_xll.BDH(config!$G$5,I$1,$A423,$A423))))</f>
        <v>#N/A Requesting Data...</v>
      </c>
      <c r="J423" s="8" t="str">
        <f>IF($A423="","",IF(ISNUMBER(FIND("IMPVOL",J$1)),_xll.BDH(config!$G$4,J$1,WORKDAY($A423,-1,config_Holiday_Calendar_US),WORKDAY($A423,-1,config_Holiday_Calendar_US)),IF(ISNUMBER(_xll.BDH(config!$G$4,J$1,$A423,$A423)),_xll.BDH(config!$G$4,J$1,$A423,$A423),_xll.BDH(config!$G$5,J$1,$A423,$A423))))</f>
        <v>#N/A Requesting Data...</v>
      </c>
      <c r="K423" s="8" t="str">
        <f>IF($A423="","",IF(ISNUMBER(FIND("IMPVOL",K$1)),_xll.BDH(config!$G$4,K$1,WORKDAY($A423,-1,config_Holiday_Calendar_US),WORKDAY($A423,-1,config_Holiday_Calendar_US)),IF(ISNUMBER(_xll.BDH(config!$G$4,K$1,$A423,$A423)),_xll.BDH(config!$G$4,K$1,$A423,$A423),_xll.BDH(config!$G$5,K$1,$A423,$A423))))</f>
        <v>#N/A Requesting Data...</v>
      </c>
      <c r="L423" s="8" t="str">
        <f>IF($A423="","",IF(ISNUMBER(FIND("IMPVOL",L$1)),_xll.BDH(config!$G$4,L$1,WORKDAY($A423,-1,config_Holiday_Calendar_US),WORKDAY($A423,-1,config_Holiday_Calendar_US)),IF(ISNUMBER(_xll.BDH(config!$G$4,L$1,$A423,$A423)),_xll.BDH(config!$G$4,L$1,$A423,$A423),_xll.BDH(config!$G$5,L$1,$A423,$A423))))</f>
        <v>#N/A Requesting Data...</v>
      </c>
      <c r="M423" s="8" t="str">
        <f>IF($A423="","",IF(ISNUMBER(FIND("IMPVOL",M$1)),_xll.BDH(config!$G$4,M$1,WORKDAY($A423,-1,config_Holiday_Calendar_US),WORKDAY($A423,-1,config_Holiday_Calendar_US)),IF(ISNUMBER(_xll.BDH(config!$G$4,M$1,$A423,$A423)),_xll.BDH(config!$G$4,M$1,$A423,$A423),_xll.BDH(config!$G$5,M$1,$A423,$A423))))</f>
        <v>#N/A Requesting Data...</v>
      </c>
      <c r="N423" s="8" t="str">
        <f>IF($A423="","",IF(ISNUMBER(FIND("IMPVOL",N$1)),_xll.BDH(config!$G$4,N$1,WORKDAY($A423,-1,config_Holiday_Calendar_US),WORKDAY($A423,-1,config_Holiday_Calendar_US)),IF(ISNUMBER(_xll.BDH(config!$G$4,N$1,$A423,$A423)),_xll.BDH(config!$G$4,N$1,$A423,$A423),_xll.BDH(config!$G$5,N$1,$A423,$A423))))</f>
        <v>#N/A Requesting Data...</v>
      </c>
      <c r="O423" s="8" t="str">
        <f>IF($A423="","",IF(ISNUMBER(FIND("IMPVOL",O$1)),_xll.BDH(config!$G$4,O$1,WORKDAY($A423,-1,config_Holiday_Calendar_US),WORKDAY($A423,-1,config_Holiday_Calendar_US)),IF(ISNUMBER(_xll.BDH(config!$G$4,O$1,$A423,$A423)),_xll.BDH(config!$G$4,O$1,$A423,$A423),_xll.BDH(config!$G$5,O$1,$A423,$A423))))</f>
        <v>#N/A Requesting Data...</v>
      </c>
      <c r="P423" s="8" t="str">
        <f>IF($A423="","",IF(ISNUMBER(FIND("IMPVOL",P$1)),_xll.BDH(config!$G$4,P$1,WORKDAY($A423,-1,config_Holiday_Calendar_US),WORKDAY($A423,-1,config_Holiday_Calendar_US)),IF(ISNUMBER(_xll.BDH(config!$G$4,P$1,$A423,$A423)),_xll.BDH(config!$G$4,P$1,$A423,$A423),_xll.BDH(config!$G$5,P$1,$A423,$A423))))</f>
        <v>#N/A Requesting Data...</v>
      </c>
      <c r="Q423" s="8" t="str">
        <f>IF($A423="","",IF(ISNUMBER(FIND("IMPVOL",Q$1)),_xll.BDH(config!$G$4,Q$1,WORKDAY($A423,-1,config_Holiday_Calendar_US),WORKDAY($A423,-1,config_Holiday_Calendar_US)),IF(ISNUMBER(_xll.BDH(config!$G$4,Q$1,$A423,$A423)),_xll.BDH(config!$G$4,Q$1,$A423,$A423),_xll.BDH(config!$G$5,Q$1,$A423,$A423))))</f>
        <v>#N/A Requesting Data...</v>
      </c>
      <c r="R423" s="8" t="str">
        <f>IF($A423="","",IF(ISNUMBER(FIND("IMPVOL",R$1)),_xll.BDH(config!$G$4,R$1,WORKDAY($A423,-1,config_Holiday_Calendar_US),WORKDAY($A423,-1,config_Holiday_Calendar_US)),IF(ISNUMBER(_xll.BDH(config!$G$4,R$1,$A423,$A423)),_xll.BDH(config!$G$4,R$1,$A423,$A423),_xll.BDH(config!$G$5,R$1,$A423,$A423))))</f>
        <v>#N/A Requesting Data...</v>
      </c>
      <c r="S423" s="8" t="str">
        <f>IF($A423="","",IF(ISNUMBER(FIND("IMPVOL",S$1)),_xll.BDH(config!$G$4,S$1,WORKDAY($A423,-1,config_Holiday_Calendar_US),WORKDAY($A423,-1,config_Holiday_Calendar_US)),IF(ISNUMBER(_xll.BDH(config!$G$4,S$1,$A423,$A423)),_xll.BDH(config!$G$4,S$1,$A423,$A423),_xll.BDH(config!$G$5,S$1,$A423,$A423))))</f>
        <v>#N/A Requesting Data...</v>
      </c>
      <c r="T423" s="8" t="str">
        <f>IF($A423="","",IF(ISNUMBER(FIND("IMPVOL",T$1)),_xll.BDH(config!$G$4,T$1,WORKDAY($A423,-1,config_Holiday_Calendar_US),WORKDAY($A423,-1,config_Holiday_Calendar_US)),IF(ISNUMBER(_xll.BDH(config!$G$4,T$1,$A423,$A423)),_xll.BDH(config!$G$4,T$1,$A423,$A423),_xll.BDH(config!$G$5,T$1,$A423,$A423))))</f>
        <v>#N/A Requesting Data...</v>
      </c>
      <c r="U423" s="8" t="str">
        <f>IF($A423="","",IF(ISNUMBER(FIND("IMPVOL",U$1)),_xll.BDH(config!$G$4,U$1,WORKDAY($A423,-1,config_Holiday_Calendar_US),WORKDAY($A423,-1,config_Holiday_Calendar_US)),IF(ISNUMBER(_xll.BDH(config!$G$4,U$1,$A423,$A423)),_xll.BDH(config!$G$4,U$1,$A423,$A423),_xll.BDH(config!$G$5,U$1,$A423,$A423))))</f>
        <v>#N/A Requesting Data...</v>
      </c>
      <c r="V423" s="8" t="str">
        <f>IF($A423="","",IF(ISNUMBER(FIND("IMPVOL",V$1)),_xll.BDH(config!$G$4,V$1,WORKDAY($A423,-1,config_Holiday_Calendar_US),WORKDAY($A423,-1,config_Holiday_Calendar_US)),IF(ISNUMBER(_xll.BDH(config!$G$4,V$1,$A423,$A423)),_xll.BDH(config!$G$4,V$1,$A423,$A423),_xll.BDH(config!$G$5,V$1,$A423,$A423))))</f>
        <v>#N/A Requesting Data...</v>
      </c>
      <c r="W423" s="8" t="str">
        <f>IF($A423="","",IF(ISNUMBER(FIND("IMPVOL",W$1)),_xll.BDH(config!$G$4,W$1,WORKDAY($A423,-1,config_Holiday_Calendar_US),WORKDAY($A423,-1,config_Holiday_Calendar_US)),IF(ISNUMBER(_xll.BDH(config!$G$4,W$1,$A423,$A423)),_xll.BDH(config!$G$4,W$1,$A423,$A423),_xll.BDH(config!$G$5,W$1,$A423,$A423))))</f>
        <v>#N/A Requesting Data...</v>
      </c>
    </row>
    <row r="424" spans="1:23" x14ac:dyDescent="0.2">
      <c r="A424" s="9">
        <f>IF(A423="","",IF(WORKDAY(A423,-1,config_Holiday_Calendar_US)&lt;config!$I$10,"",WORKDAY(A423,-1,config_Holiday_Calendar_US)))</f>
        <v>42214</v>
      </c>
      <c r="B424" s="8" t="e">
        <f t="shared" si="6"/>
        <v>#VALUE!</v>
      </c>
      <c r="C424" s="8" t="str">
        <f>IF(A424="","",_xll.BDH(config!$H$4,C$1,$A424,$A424))</f>
        <v>#N/A Requesting Data...</v>
      </c>
      <c r="D424" s="8" t="str">
        <f>IF($A424="","",_xll.BDH(config!$H$4,D$1,$A424,$A424))</f>
        <v>#N/A Requesting Data...</v>
      </c>
      <c r="E424" s="8">
        <f>IF($A424="","",IF(ISNUMBER(FIND("IMPVOL",E$1)),_xll.BDH(config!$G$4,E$1,WORKDAY($A424,-1,config_Holiday_Calendar_US),WORKDAY($A424,-1,config_Holiday_Calendar_US)),IF(ISNUMBER(_xll.BDH(config!$G$4,E$1,$A424,$A424)),_xll.BDH(config!$G$4,E$1,$A424,$A424),_xll.BDH(config!$G$5,E$1,$A424,$A424))))</f>
        <v>47.81</v>
      </c>
      <c r="F424" s="8">
        <f>IF($A424="","",IF(ISNUMBER(FIND("IMPVOL",F$1)),_xll.BDH(config!$G$4,F$1,WORKDAY($A424,-1,config_Holiday_Calendar_US),WORKDAY($A424,-1,config_Holiday_Calendar_US)),IF(ISNUMBER(_xll.BDH(config!$G$4,F$1,$A424,$A424)),_xll.BDH(config!$G$4,F$1,$A424,$A424),_xll.BDH(config!$G$5,F$1,$A424,$A424))))</f>
        <v>49.52</v>
      </c>
      <c r="G424" s="8" t="str">
        <f>IF($A424="","",IF(ISNUMBER(FIND("IMPVOL",G$1)),_xll.BDH(config!$G$4,G$1,WORKDAY($A424,-1,config_Holiday_Calendar_US),WORKDAY($A424,-1,config_Holiday_Calendar_US)),IF(ISNUMBER(_xll.BDH(config!$G$4,G$1,$A424,$A424)),_xll.BDH(config!$G$4,G$1,$A424,$A424),_xll.BDH(config!$G$5,G$1,$A424,$A424))))</f>
        <v>#N/A Requesting Data...</v>
      </c>
      <c r="H424" s="8" t="str">
        <f>IF($A424="","",IF(ISNUMBER(FIND("IMPVOL",H$1)),_xll.BDH(config!$G$4,H$1,WORKDAY($A424,-1,config_Holiday_Calendar_US),WORKDAY($A424,-1,config_Holiday_Calendar_US)),IF(ISNUMBER(_xll.BDH(config!$G$4,H$1,$A424,$A424)),_xll.BDH(config!$G$4,H$1,$A424,$A424),_xll.BDH(config!$G$5,H$1,$A424,$A424))))</f>
        <v>#N/A Requesting Data...</v>
      </c>
      <c r="I424" s="8" t="str">
        <f>IF($A424="","",IF(ISNUMBER(FIND("IMPVOL",I$1)),_xll.BDH(config!$G$4,I$1,WORKDAY($A424,-1,config_Holiday_Calendar_US),WORKDAY($A424,-1,config_Holiday_Calendar_US)),IF(ISNUMBER(_xll.BDH(config!$G$4,I$1,$A424,$A424)),_xll.BDH(config!$G$4,I$1,$A424,$A424),_xll.BDH(config!$G$5,I$1,$A424,$A424))))</f>
        <v>#N/A Requesting Data...</v>
      </c>
      <c r="J424" s="8" t="str">
        <f>IF($A424="","",IF(ISNUMBER(FIND("IMPVOL",J$1)),_xll.BDH(config!$G$4,J$1,WORKDAY($A424,-1,config_Holiday_Calendar_US),WORKDAY($A424,-1,config_Holiday_Calendar_US)),IF(ISNUMBER(_xll.BDH(config!$G$4,J$1,$A424,$A424)),_xll.BDH(config!$G$4,J$1,$A424,$A424),_xll.BDH(config!$G$5,J$1,$A424,$A424))))</f>
        <v>#N/A Requesting Data...</v>
      </c>
      <c r="K424" s="8" t="str">
        <f>IF($A424="","",IF(ISNUMBER(FIND("IMPVOL",K$1)),_xll.BDH(config!$G$4,K$1,WORKDAY($A424,-1,config_Holiday_Calendar_US),WORKDAY($A424,-1,config_Holiday_Calendar_US)),IF(ISNUMBER(_xll.BDH(config!$G$4,K$1,$A424,$A424)),_xll.BDH(config!$G$4,K$1,$A424,$A424),_xll.BDH(config!$G$5,K$1,$A424,$A424))))</f>
        <v>#N/A Requesting Data...</v>
      </c>
      <c r="L424" s="8" t="str">
        <f>IF($A424="","",IF(ISNUMBER(FIND("IMPVOL",L$1)),_xll.BDH(config!$G$4,L$1,WORKDAY($A424,-1,config_Holiday_Calendar_US),WORKDAY($A424,-1,config_Holiday_Calendar_US)),IF(ISNUMBER(_xll.BDH(config!$G$4,L$1,$A424,$A424)),_xll.BDH(config!$G$4,L$1,$A424,$A424),_xll.BDH(config!$G$5,L$1,$A424,$A424))))</f>
        <v>#N/A Requesting Data...</v>
      </c>
      <c r="M424" s="8" t="str">
        <f>IF($A424="","",IF(ISNUMBER(FIND("IMPVOL",M$1)),_xll.BDH(config!$G$4,M$1,WORKDAY($A424,-1,config_Holiday_Calendar_US),WORKDAY($A424,-1,config_Holiday_Calendar_US)),IF(ISNUMBER(_xll.BDH(config!$G$4,M$1,$A424,$A424)),_xll.BDH(config!$G$4,M$1,$A424,$A424),_xll.BDH(config!$G$5,M$1,$A424,$A424))))</f>
        <v>#N/A Requesting Data...</v>
      </c>
      <c r="N424" s="8" t="str">
        <f>IF($A424="","",IF(ISNUMBER(FIND("IMPVOL",N$1)),_xll.BDH(config!$G$4,N$1,WORKDAY($A424,-1,config_Holiday_Calendar_US),WORKDAY($A424,-1,config_Holiday_Calendar_US)),IF(ISNUMBER(_xll.BDH(config!$G$4,N$1,$A424,$A424)),_xll.BDH(config!$G$4,N$1,$A424,$A424),_xll.BDH(config!$G$5,N$1,$A424,$A424))))</f>
        <v>#N/A Requesting Data...</v>
      </c>
      <c r="O424" s="8" t="str">
        <f>IF($A424="","",IF(ISNUMBER(FIND("IMPVOL",O$1)),_xll.BDH(config!$G$4,O$1,WORKDAY($A424,-1,config_Holiday_Calendar_US),WORKDAY($A424,-1,config_Holiday_Calendar_US)),IF(ISNUMBER(_xll.BDH(config!$G$4,O$1,$A424,$A424)),_xll.BDH(config!$G$4,O$1,$A424,$A424),_xll.BDH(config!$G$5,O$1,$A424,$A424))))</f>
        <v>#N/A Requesting Data...</v>
      </c>
      <c r="P424" s="8" t="str">
        <f>IF($A424="","",IF(ISNUMBER(FIND("IMPVOL",P$1)),_xll.BDH(config!$G$4,P$1,WORKDAY($A424,-1,config_Holiday_Calendar_US),WORKDAY($A424,-1,config_Holiday_Calendar_US)),IF(ISNUMBER(_xll.BDH(config!$G$4,P$1,$A424,$A424)),_xll.BDH(config!$G$4,P$1,$A424,$A424),_xll.BDH(config!$G$5,P$1,$A424,$A424))))</f>
        <v>#N/A Requesting Data...</v>
      </c>
      <c r="Q424" s="8" t="str">
        <f>IF($A424="","",IF(ISNUMBER(FIND("IMPVOL",Q$1)),_xll.BDH(config!$G$4,Q$1,WORKDAY($A424,-1,config_Holiday_Calendar_US),WORKDAY($A424,-1,config_Holiday_Calendar_US)),IF(ISNUMBER(_xll.BDH(config!$G$4,Q$1,$A424,$A424)),_xll.BDH(config!$G$4,Q$1,$A424,$A424),_xll.BDH(config!$G$5,Q$1,$A424,$A424))))</f>
        <v>#N/A Requesting Data...</v>
      </c>
      <c r="R424" s="8" t="str">
        <f>IF($A424="","",IF(ISNUMBER(FIND("IMPVOL",R$1)),_xll.BDH(config!$G$4,R$1,WORKDAY($A424,-1,config_Holiday_Calendar_US),WORKDAY($A424,-1,config_Holiday_Calendar_US)),IF(ISNUMBER(_xll.BDH(config!$G$4,R$1,$A424,$A424)),_xll.BDH(config!$G$4,R$1,$A424,$A424),_xll.BDH(config!$G$5,R$1,$A424,$A424))))</f>
        <v>#N/A Requesting Data...</v>
      </c>
      <c r="S424" s="8" t="str">
        <f>IF($A424="","",IF(ISNUMBER(FIND("IMPVOL",S$1)),_xll.BDH(config!$G$4,S$1,WORKDAY($A424,-1,config_Holiday_Calendar_US),WORKDAY($A424,-1,config_Holiday_Calendar_US)),IF(ISNUMBER(_xll.BDH(config!$G$4,S$1,$A424,$A424)),_xll.BDH(config!$G$4,S$1,$A424,$A424),_xll.BDH(config!$G$5,S$1,$A424,$A424))))</f>
        <v>#N/A Requesting Data...</v>
      </c>
      <c r="T424" s="8" t="str">
        <f>IF($A424="","",IF(ISNUMBER(FIND("IMPVOL",T$1)),_xll.BDH(config!$G$4,T$1,WORKDAY($A424,-1,config_Holiday_Calendar_US),WORKDAY($A424,-1,config_Holiday_Calendar_US)),IF(ISNUMBER(_xll.BDH(config!$G$4,T$1,$A424,$A424)),_xll.BDH(config!$G$4,T$1,$A424,$A424),_xll.BDH(config!$G$5,T$1,$A424,$A424))))</f>
        <v>#N/A Requesting Data...</v>
      </c>
      <c r="U424" s="8" t="str">
        <f>IF($A424="","",IF(ISNUMBER(FIND("IMPVOL",U$1)),_xll.BDH(config!$G$4,U$1,WORKDAY($A424,-1,config_Holiday_Calendar_US),WORKDAY($A424,-1,config_Holiday_Calendar_US)),IF(ISNUMBER(_xll.BDH(config!$G$4,U$1,$A424,$A424)),_xll.BDH(config!$G$4,U$1,$A424,$A424),_xll.BDH(config!$G$5,U$1,$A424,$A424))))</f>
        <v>#N/A Requesting Data...</v>
      </c>
      <c r="V424" s="8" t="str">
        <f>IF($A424="","",IF(ISNUMBER(FIND("IMPVOL",V$1)),_xll.BDH(config!$G$4,V$1,WORKDAY($A424,-1,config_Holiday_Calendar_US),WORKDAY($A424,-1,config_Holiday_Calendar_US)),IF(ISNUMBER(_xll.BDH(config!$G$4,V$1,$A424,$A424)),_xll.BDH(config!$G$4,V$1,$A424,$A424),_xll.BDH(config!$G$5,V$1,$A424,$A424))))</f>
        <v>#N/A Requesting Data...</v>
      </c>
      <c r="W424" s="8" t="str">
        <f>IF($A424="","",IF(ISNUMBER(FIND("IMPVOL",W$1)),_xll.BDH(config!$G$4,W$1,WORKDAY($A424,-1,config_Holiday_Calendar_US),WORKDAY($A424,-1,config_Holiday_Calendar_US)),IF(ISNUMBER(_xll.BDH(config!$G$4,W$1,$A424,$A424)),_xll.BDH(config!$G$4,W$1,$A424,$A424),_xll.BDH(config!$G$5,W$1,$A424,$A424))))</f>
        <v>#N/A Requesting Data...</v>
      </c>
    </row>
    <row r="425" spans="1:23" x14ac:dyDescent="0.2">
      <c r="A425" s="9">
        <f>IF(A424="","",IF(WORKDAY(A424,-1,config_Holiday_Calendar_US)&lt;config!$I$10,"",WORKDAY(A424,-1,config_Holiday_Calendar_US)))</f>
        <v>42213</v>
      </c>
      <c r="B425" s="8" t="e">
        <f t="shared" si="6"/>
        <v>#VALUE!</v>
      </c>
      <c r="C425" s="8" t="str">
        <f>IF(A425="","",_xll.BDH(config!$H$4,C$1,$A425,$A425))</f>
        <v>#N/A Requesting Data...</v>
      </c>
      <c r="D425" s="8" t="str">
        <f>IF($A425="","",_xll.BDH(config!$H$4,D$1,$A425,$A425))</f>
        <v>#N/A Requesting Data...</v>
      </c>
      <c r="E425" s="8">
        <f>IF($A425="","",IF(ISNUMBER(FIND("IMPVOL",E$1)),_xll.BDH(config!$G$4,E$1,WORKDAY($A425,-1,config_Holiday_Calendar_US),WORKDAY($A425,-1,config_Holiday_Calendar_US)),IF(ISNUMBER(_xll.BDH(config!$G$4,E$1,$A425,$A425)),_xll.BDH(config!$G$4,E$1,$A425,$A425),_xll.BDH(config!$G$5,E$1,$A425,$A425))))</f>
        <v>47.02</v>
      </c>
      <c r="F425" s="8">
        <f>IF($A425="","",IF(ISNUMBER(FIND("IMPVOL",F$1)),_xll.BDH(config!$G$4,F$1,WORKDAY($A425,-1,config_Holiday_Calendar_US),WORKDAY($A425,-1,config_Holiday_Calendar_US)),IF(ISNUMBER(_xll.BDH(config!$G$4,F$1,$A425,$A425)),_xll.BDH(config!$G$4,F$1,$A425,$A425),_xll.BDH(config!$G$5,F$1,$A425,$A425))))</f>
        <v>48.44</v>
      </c>
      <c r="G425" s="8" t="str">
        <f>IF($A425="","",IF(ISNUMBER(FIND("IMPVOL",G$1)),_xll.BDH(config!$G$4,G$1,WORKDAY($A425,-1,config_Holiday_Calendar_US),WORKDAY($A425,-1,config_Holiday_Calendar_US)),IF(ISNUMBER(_xll.BDH(config!$G$4,G$1,$A425,$A425)),_xll.BDH(config!$G$4,G$1,$A425,$A425),_xll.BDH(config!$G$5,G$1,$A425,$A425))))</f>
        <v>#N/A Requesting Data...</v>
      </c>
      <c r="H425" s="8" t="str">
        <f>IF($A425="","",IF(ISNUMBER(FIND("IMPVOL",H$1)),_xll.BDH(config!$G$4,H$1,WORKDAY($A425,-1,config_Holiday_Calendar_US),WORKDAY($A425,-1,config_Holiday_Calendar_US)),IF(ISNUMBER(_xll.BDH(config!$G$4,H$1,$A425,$A425)),_xll.BDH(config!$G$4,H$1,$A425,$A425),_xll.BDH(config!$G$5,H$1,$A425,$A425))))</f>
        <v>#N/A Requesting Data...</v>
      </c>
      <c r="I425" s="8" t="str">
        <f>IF($A425="","",IF(ISNUMBER(FIND("IMPVOL",I$1)),_xll.BDH(config!$G$4,I$1,WORKDAY($A425,-1,config_Holiday_Calendar_US),WORKDAY($A425,-1,config_Holiday_Calendar_US)),IF(ISNUMBER(_xll.BDH(config!$G$4,I$1,$A425,$A425)),_xll.BDH(config!$G$4,I$1,$A425,$A425),_xll.BDH(config!$G$5,I$1,$A425,$A425))))</f>
        <v>#N/A Requesting Data...</v>
      </c>
      <c r="J425" s="8" t="str">
        <f>IF($A425="","",IF(ISNUMBER(FIND("IMPVOL",J$1)),_xll.BDH(config!$G$4,J$1,WORKDAY($A425,-1,config_Holiday_Calendar_US),WORKDAY($A425,-1,config_Holiday_Calendar_US)),IF(ISNUMBER(_xll.BDH(config!$G$4,J$1,$A425,$A425)),_xll.BDH(config!$G$4,J$1,$A425,$A425),_xll.BDH(config!$G$5,J$1,$A425,$A425))))</f>
        <v>#N/A Requesting Data...</v>
      </c>
      <c r="K425" s="8" t="str">
        <f>IF($A425="","",IF(ISNUMBER(FIND("IMPVOL",K$1)),_xll.BDH(config!$G$4,K$1,WORKDAY($A425,-1,config_Holiday_Calendar_US),WORKDAY($A425,-1,config_Holiday_Calendar_US)),IF(ISNUMBER(_xll.BDH(config!$G$4,K$1,$A425,$A425)),_xll.BDH(config!$G$4,K$1,$A425,$A425),_xll.BDH(config!$G$5,K$1,$A425,$A425))))</f>
        <v>#N/A Requesting Data...</v>
      </c>
      <c r="L425" s="8" t="str">
        <f>IF($A425="","",IF(ISNUMBER(FIND("IMPVOL",L$1)),_xll.BDH(config!$G$4,L$1,WORKDAY($A425,-1,config_Holiday_Calendar_US),WORKDAY($A425,-1,config_Holiday_Calendar_US)),IF(ISNUMBER(_xll.BDH(config!$G$4,L$1,$A425,$A425)),_xll.BDH(config!$G$4,L$1,$A425,$A425),_xll.BDH(config!$G$5,L$1,$A425,$A425))))</f>
        <v>#N/A Requesting Data...</v>
      </c>
      <c r="M425" s="8" t="str">
        <f>IF($A425="","",IF(ISNUMBER(FIND("IMPVOL",M$1)),_xll.BDH(config!$G$4,M$1,WORKDAY($A425,-1,config_Holiday_Calendar_US),WORKDAY($A425,-1,config_Holiday_Calendar_US)),IF(ISNUMBER(_xll.BDH(config!$G$4,M$1,$A425,$A425)),_xll.BDH(config!$G$4,M$1,$A425,$A425),_xll.BDH(config!$G$5,M$1,$A425,$A425))))</f>
        <v>#N/A Requesting Data...</v>
      </c>
      <c r="N425" s="8" t="str">
        <f>IF($A425="","",IF(ISNUMBER(FIND("IMPVOL",N$1)),_xll.BDH(config!$G$4,N$1,WORKDAY($A425,-1,config_Holiday_Calendar_US),WORKDAY($A425,-1,config_Holiday_Calendar_US)),IF(ISNUMBER(_xll.BDH(config!$G$4,N$1,$A425,$A425)),_xll.BDH(config!$G$4,N$1,$A425,$A425),_xll.BDH(config!$G$5,N$1,$A425,$A425))))</f>
        <v>#N/A Requesting Data...</v>
      </c>
      <c r="O425" s="8" t="str">
        <f>IF($A425="","",IF(ISNUMBER(FIND("IMPVOL",O$1)),_xll.BDH(config!$G$4,O$1,WORKDAY($A425,-1,config_Holiday_Calendar_US),WORKDAY($A425,-1,config_Holiday_Calendar_US)),IF(ISNUMBER(_xll.BDH(config!$G$4,O$1,$A425,$A425)),_xll.BDH(config!$G$4,O$1,$A425,$A425),_xll.BDH(config!$G$5,O$1,$A425,$A425))))</f>
        <v>#N/A Requesting Data...</v>
      </c>
      <c r="P425" s="8" t="str">
        <f>IF($A425="","",IF(ISNUMBER(FIND("IMPVOL",P$1)),_xll.BDH(config!$G$4,P$1,WORKDAY($A425,-1,config_Holiday_Calendar_US),WORKDAY($A425,-1,config_Holiday_Calendar_US)),IF(ISNUMBER(_xll.BDH(config!$G$4,P$1,$A425,$A425)),_xll.BDH(config!$G$4,P$1,$A425,$A425),_xll.BDH(config!$G$5,P$1,$A425,$A425))))</f>
        <v>#N/A Requesting Data...</v>
      </c>
      <c r="Q425" s="8" t="str">
        <f>IF($A425="","",IF(ISNUMBER(FIND("IMPVOL",Q$1)),_xll.BDH(config!$G$4,Q$1,WORKDAY($A425,-1,config_Holiday_Calendar_US),WORKDAY($A425,-1,config_Holiday_Calendar_US)),IF(ISNUMBER(_xll.BDH(config!$G$4,Q$1,$A425,$A425)),_xll.BDH(config!$G$4,Q$1,$A425,$A425),_xll.BDH(config!$G$5,Q$1,$A425,$A425))))</f>
        <v>#N/A Requesting Data...</v>
      </c>
      <c r="R425" s="8" t="str">
        <f>IF($A425="","",IF(ISNUMBER(FIND("IMPVOL",R$1)),_xll.BDH(config!$G$4,R$1,WORKDAY($A425,-1,config_Holiday_Calendar_US),WORKDAY($A425,-1,config_Holiday_Calendar_US)),IF(ISNUMBER(_xll.BDH(config!$G$4,R$1,$A425,$A425)),_xll.BDH(config!$G$4,R$1,$A425,$A425),_xll.BDH(config!$G$5,R$1,$A425,$A425))))</f>
        <v>#N/A Requesting Data...</v>
      </c>
      <c r="S425" s="8" t="str">
        <f>IF($A425="","",IF(ISNUMBER(FIND("IMPVOL",S$1)),_xll.BDH(config!$G$4,S$1,WORKDAY($A425,-1,config_Holiday_Calendar_US),WORKDAY($A425,-1,config_Holiday_Calendar_US)),IF(ISNUMBER(_xll.BDH(config!$G$4,S$1,$A425,$A425)),_xll.BDH(config!$G$4,S$1,$A425,$A425),_xll.BDH(config!$G$5,S$1,$A425,$A425))))</f>
        <v>#N/A Requesting Data...</v>
      </c>
      <c r="T425" s="8" t="str">
        <f>IF($A425="","",IF(ISNUMBER(FIND("IMPVOL",T$1)),_xll.BDH(config!$G$4,T$1,WORKDAY($A425,-1,config_Holiday_Calendar_US),WORKDAY($A425,-1,config_Holiday_Calendar_US)),IF(ISNUMBER(_xll.BDH(config!$G$4,T$1,$A425,$A425)),_xll.BDH(config!$G$4,T$1,$A425,$A425),_xll.BDH(config!$G$5,T$1,$A425,$A425))))</f>
        <v>#N/A Requesting Data...</v>
      </c>
      <c r="U425" s="8" t="str">
        <f>IF($A425="","",IF(ISNUMBER(FIND("IMPVOL",U$1)),_xll.BDH(config!$G$4,U$1,WORKDAY($A425,-1,config_Holiday_Calendar_US),WORKDAY($A425,-1,config_Holiday_Calendar_US)),IF(ISNUMBER(_xll.BDH(config!$G$4,U$1,$A425,$A425)),_xll.BDH(config!$G$4,U$1,$A425,$A425),_xll.BDH(config!$G$5,U$1,$A425,$A425))))</f>
        <v>#N/A Requesting Data...</v>
      </c>
      <c r="V425" s="8" t="str">
        <f>IF($A425="","",IF(ISNUMBER(FIND("IMPVOL",V$1)),_xll.BDH(config!$G$4,V$1,WORKDAY($A425,-1,config_Holiday_Calendar_US),WORKDAY($A425,-1,config_Holiday_Calendar_US)),IF(ISNUMBER(_xll.BDH(config!$G$4,V$1,$A425,$A425)),_xll.BDH(config!$G$4,V$1,$A425,$A425),_xll.BDH(config!$G$5,V$1,$A425,$A425))))</f>
        <v>#N/A Requesting Data...</v>
      </c>
      <c r="W425" s="8" t="str">
        <f>IF($A425="","",IF(ISNUMBER(FIND("IMPVOL",W$1)),_xll.BDH(config!$G$4,W$1,WORKDAY($A425,-1,config_Holiday_Calendar_US),WORKDAY($A425,-1,config_Holiday_Calendar_US)),IF(ISNUMBER(_xll.BDH(config!$G$4,W$1,$A425,$A425)),_xll.BDH(config!$G$4,W$1,$A425,$A425),_xll.BDH(config!$G$5,W$1,$A425,$A425))))</f>
        <v>#N/A Requesting Data...</v>
      </c>
    </row>
    <row r="426" spans="1:23" x14ac:dyDescent="0.2">
      <c r="A426" s="9">
        <f>IF(A425="","",IF(WORKDAY(A425,-1,config_Holiday_Calendar_US)&lt;config!$I$10,"",WORKDAY(A425,-1,config_Holiday_Calendar_US)))</f>
        <v>42212</v>
      </c>
      <c r="B426" s="8" t="e">
        <f t="shared" si="6"/>
        <v>#VALUE!</v>
      </c>
      <c r="C426" s="8" t="str">
        <f>IF(A426="","",_xll.BDH(config!$H$4,C$1,$A426,$A426))</f>
        <v>#N/A Requesting Data...</v>
      </c>
      <c r="D426" s="8" t="str">
        <f>IF($A426="","",_xll.BDH(config!$H$4,D$1,$A426,$A426))</f>
        <v>#N/A Requesting Data...</v>
      </c>
      <c r="E426" s="8">
        <f>IF($A426="","",IF(ISNUMBER(FIND("IMPVOL",E$1)),_xll.BDH(config!$G$4,E$1,WORKDAY($A426,-1,config_Holiday_Calendar_US),WORKDAY($A426,-1,config_Holiday_Calendar_US)),IF(ISNUMBER(_xll.BDH(config!$G$4,E$1,$A426,$A426)),_xll.BDH(config!$G$4,E$1,$A426,$A426),_xll.BDH(config!$G$5,E$1,$A426,$A426))))</f>
        <v>48</v>
      </c>
      <c r="F426" s="8">
        <f>IF($A426="","",IF(ISNUMBER(FIND("IMPVOL",F$1)),_xll.BDH(config!$G$4,F$1,WORKDAY($A426,-1,config_Holiday_Calendar_US),WORKDAY($A426,-1,config_Holiday_Calendar_US)),IF(ISNUMBER(_xll.BDH(config!$G$4,F$1,$A426,$A426)),_xll.BDH(config!$G$4,F$1,$A426,$A426),_xll.BDH(config!$G$5,F$1,$A426,$A426))))</f>
        <v>48.2</v>
      </c>
      <c r="G426" s="8" t="str">
        <f>IF($A426="","",IF(ISNUMBER(FIND("IMPVOL",G$1)),_xll.BDH(config!$G$4,G$1,WORKDAY($A426,-1,config_Holiday_Calendar_US),WORKDAY($A426,-1,config_Holiday_Calendar_US)),IF(ISNUMBER(_xll.BDH(config!$G$4,G$1,$A426,$A426)),_xll.BDH(config!$G$4,G$1,$A426,$A426),_xll.BDH(config!$G$5,G$1,$A426,$A426))))</f>
        <v>#N/A Requesting Data...</v>
      </c>
      <c r="H426" s="8" t="str">
        <f>IF($A426="","",IF(ISNUMBER(FIND("IMPVOL",H$1)),_xll.BDH(config!$G$4,H$1,WORKDAY($A426,-1,config_Holiday_Calendar_US),WORKDAY($A426,-1,config_Holiday_Calendar_US)),IF(ISNUMBER(_xll.BDH(config!$G$4,H$1,$A426,$A426)),_xll.BDH(config!$G$4,H$1,$A426,$A426),_xll.BDH(config!$G$5,H$1,$A426,$A426))))</f>
        <v>#N/A Requesting Data...</v>
      </c>
      <c r="I426" s="8" t="str">
        <f>IF($A426="","",IF(ISNUMBER(FIND("IMPVOL",I$1)),_xll.BDH(config!$G$4,I$1,WORKDAY($A426,-1,config_Holiday_Calendar_US),WORKDAY($A426,-1,config_Holiday_Calendar_US)),IF(ISNUMBER(_xll.BDH(config!$G$4,I$1,$A426,$A426)),_xll.BDH(config!$G$4,I$1,$A426,$A426),_xll.BDH(config!$G$5,I$1,$A426,$A426))))</f>
        <v>#N/A Requesting Data...</v>
      </c>
      <c r="J426" s="8" t="str">
        <f>IF($A426="","",IF(ISNUMBER(FIND("IMPVOL",J$1)),_xll.BDH(config!$G$4,J$1,WORKDAY($A426,-1,config_Holiday_Calendar_US),WORKDAY($A426,-1,config_Holiday_Calendar_US)),IF(ISNUMBER(_xll.BDH(config!$G$4,J$1,$A426,$A426)),_xll.BDH(config!$G$4,J$1,$A426,$A426),_xll.BDH(config!$G$5,J$1,$A426,$A426))))</f>
        <v>#N/A Requesting Data...</v>
      </c>
      <c r="K426" s="8" t="str">
        <f>IF($A426="","",IF(ISNUMBER(FIND("IMPVOL",K$1)),_xll.BDH(config!$G$4,K$1,WORKDAY($A426,-1,config_Holiday_Calendar_US),WORKDAY($A426,-1,config_Holiday_Calendar_US)),IF(ISNUMBER(_xll.BDH(config!$G$4,K$1,$A426,$A426)),_xll.BDH(config!$G$4,K$1,$A426,$A426),_xll.BDH(config!$G$5,K$1,$A426,$A426))))</f>
        <v>#N/A Requesting Data...</v>
      </c>
      <c r="L426" s="8" t="str">
        <f>IF($A426="","",IF(ISNUMBER(FIND("IMPVOL",L$1)),_xll.BDH(config!$G$4,L$1,WORKDAY($A426,-1,config_Holiday_Calendar_US),WORKDAY($A426,-1,config_Holiday_Calendar_US)),IF(ISNUMBER(_xll.BDH(config!$G$4,L$1,$A426,$A426)),_xll.BDH(config!$G$4,L$1,$A426,$A426),_xll.BDH(config!$G$5,L$1,$A426,$A426))))</f>
        <v>#N/A Requesting Data...</v>
      </c>
      <c r="M426" s="8" t="str">
        <f>IF($A426="","",IF(ISNUMBER(FIND("IMPVOL",M$1)),_xll.BDH(config!$G$4,M$1,WORKDAY($A426,-1,config_Holiday_Calendar_US),WORKDAY($A426,-1,config_Holiday_Calendar_US)),IF(ISNUMBER(_xll.BDH(config!$G$4,M$1,$A426,$A426)),_xll.BDH(config!$G$4,M$1,$A426,$A426),_xll.BDH(config!$G$5,M$1,$A426,$A426))))</f>
        <v>#N/A Requesting Data...</v>
      </c>
      <c r="N426" s="8" t="str">
        <f>IF($A426="","",IF(ISNUMBER(FIND("IMPVOL",N$1)),_xll.BDH(config!$G$4,N$1,WORKDAY($A426,-1,config_Holiday_Calendar_US),WORKDAY($A426,-1,config_Holiday_Calendar_US)),IF(ISNUMBER(_xll.BDH(config!$G$4,N$1,$A426,$A426)),_xll.BDH(config!$G$4,N$1,$A426,$A426),_xll.BDH(config!$G$5,N$1,$A426,$A426))))</f>
        <v>#N/A Requesting Data...</v>
      </c>
      <c r="O426" s="8" t="str">
        <f>IF($A426="","",IF(ISNUMBER(FIND("IMPVOL",O$1)),_xll.BDH(config!$G$4,O$1,WORKDAY($A426,-1,config_Holiday_Calendar_US),WORKDAY($A426,-1,config_Holiday_Calendar_US)),IF(ISNUMBER(_xll.BDH(config!$G$4,O$1,$A426,$A426)),_xll.BDH(config!$G$4,O$1,$A426,$A426),_xll.BDH(config!$G$5,O$1,$A426,$A426))))</f>
        <v>#N/A Requesting Data...</v>
      </c>
      <c r="P426" s="8" t="str">
        <f>IF($A426="","",IF(ISNUMBER(FIND("IMPVOL",P$1)),_xll.BDH(config!$G$4,P$1,WORKDAY($A426,-1,config_Holiday_Calendar_US),WORKDAY($A426,-1,config_Holiday_Calendar_US)),IF(ISNUMBER(_xll.BDH(config!$G$4,P$1,$A426,$A426)),_xll.BDH(config!$G$4,P$1,$A426,$A426),_xll.BDH(config!$G$5,P$1,$A426,$A426))))</f>
        <v>#N/A Requesting Data...</v>
      </c>
      <c r="Q426" s="8" t="str">
        <f>IF($A426="","",IF(ISNUMBER(FIND("IMPVOL",Q$1)),_xll.BDH(config!$G$4,Q$1,WORKDAY($A426,-1,config_Holiday_Calendar_US),WORKDAY($A426,-1,config_Holiday_Calendar_US)),IF(ISNUMBER(_xll.BDH(config!$G$4,Q$1,$A426,$A426)),_xll.BDH(config!$G$4,Q$1,$A426,$A426),_xll.BDH(config!$G$5,Q$1,$A426,$A426))))</f>
        <v>#N/A Requesting Data...</v>
      </c>
      <c r="R426" s="8" t="str">
        <f>IF($A426="","",IF(ISNUMBER(FIND("IMPVOL",R$1)),_xll.BDH(config!$G$4,R$1,WORKDAY($A426,-1,config_Holiday_Calendar_US),WORKDAY($A426,-1,config_Holiday_Calendar_US)),IF(ISNUMBER(_xll.BDH(config!$G$4,R$1,$A426,$A426)),_xll.BDH(config!$G$4,R$1,$A426,$A426),_xll.BDH(config!$G$5,R$1,$A426,$A426))))</f>
        <v>#N/A Requesting Data...</v>
      </c>
      <c r="S426" s="8" t="str">
        <f>IF($A426="","",IF(ISNUMBER(FIND("IMPVOL",S$1)),_xll.BDH(config!$G$4,S$1,WORKDAY($A426,-1,config_Holiday_Calendar_US),WORKDAY($A426,-1,config_Holiday_Calendar_US)),IF(ISNUMBER(_xll.BDH(config!$G$4,S$1,$A426,$A426)),_xll.BDH(config!$G$4,S$1,$A426,$A426),_xll.BDH(config!$G$5,S$1,$A426,$A426))))</f>
        <v>#N/A Requesting Data...</v>
      </c>
      <c r="T426" s="8" t="str">
        <f>IF($A426="","",IF(ISNUMBER(FIND("IMPVOL",T$1)),_xll.BDH(config!$G$4,T$1,WORKDAY($A426,-1,config_Holiday_Calendar_US),WORKDAY($A426,-1,config_Holiday_Calendar_US)),IF(ISNUMBER(_xll.BDH(config!$G$4,T$1,$A426,$A426)),_xll.BDH(config!$G$4,T$1,$A426,$A426),_xll.BDH(config!$G$5,T$1,$A426,$A426))))</f>
        <v>#N/A Requesting Data...</v>
      </c>
      <c r="U426" s="8" t="str">
        <f>IF($A426="","",IF(ISNUMBER(FIND("IMPVOL",U$1)),_xll.BDH(config!$G$4,U$1,WORKDAY($A426,-1,config_Holiday_Calendar_US),WORKDAY($A426,-1,config_Holiday_Calendar_US)),IF(ISNUMBER(_xll.BDH(config!$G$4,U$1,$A426,$A426)),_xll.BDH(config!$G$4,U$1,$A426,$A426),_xll.BDH(config!$G$5,U$1,$A426,$A426))))</f>
        <v>#N/A Requesting Data...</v>
      </c>
      <c r="V426" s="8" t="str">
        <f>IF($A426="","",IF(ISNUMBER(FIND("IMPVOL",V$1)),_xll.BDH(config!$G$4,V$1,WORKDAY($A426,-1,config_Holiday_Calendar_US),WORKDAY($A426,-1,config_Holiday_Calendar_US)),IF(ISNUMBER(_xll.BDH(config!$G$4,V$1,$A426,$A426)),_xll.BDH(config!$G$4,V$1,$A426,$A426),_xll.BDH(config!$G$5,V$1,$A426,$A426))))</f>
        <v>#N/A Requesting Data...</v>
      </c>
      <c r="W426" s="8" t="str">
        <f>IF($A426="","",IF(ISNUMBER(FIND("IMPVOL",W$1)),_xll.BDH(config!$G$4,W$1,WORKDAY($A426,-1,config_Holiday_Calendar_US),WORKDAY($A426,-1,config_Holiday_Calendar_US)),IF(ISNUMBER(_xll.BDH(config!$G$4,W$1,$A426,$A426)),_xll.BDH(config!$G$4,W$1,$A426,$A426),_xll.BDH(config!$G$5,W$1,$A426,$A426))))</f>
        <v>#N/A Requesting Data...</v>
      </c>
    </row>
    <row r="427" spans="1:23" x14ac:dyDescent="0.2">
      <c r="A427" s="9">
        <f>IF(A426="","",IF(WORKDAY(A426,-1,config_Holiday_Calendar_US)&lt;config!$I$10,"",WORKDAY(A426,-1,config_Holiday_Calendar_US)))</f>
        <v>42209</v>
      </c>
      <c r="B427" s="8" t="e">
        <f t="shared" si="6"/>
        <v>#VALUE!</v>
      </c>
      <c r="C427" s="8" t="str">
        <f>IF(A427="","",_xll.BDH(config!$H$4,C$1,$A427,$A427))</f>
        <v>#N/A Requesting Data...</v>
      </c>
      <c r="D427" s="8" t="str">
        <f>IF($A427="","",_xll.BDH(config!$H$4,D$1,$A427,$A427))</f>
        <v>#N/A Requesting Data...</v>
      </c>
      <c r="E427" s="8">
        <f>IF($A427="","",IF(ISNUMBER(FIND("IMPVOL",E$1)),_xll.BDH(config!$G$4,E$1,WORKDAY($A427,-1,config_Holiday_Calendar_US),WORKDAY($A427,-1,config_Holiday_Calendar_US)),IF(ISNUMBER(_xll.BDH(config!$G$4,E$1,$A427,$A427)),_xll.BDH(config!$G$4,E$1,$A427,$A427),_xll.BDH(config!$G$5,E$1,$A427,$A427))))</f>
        <v>48.79</v>
      </c>
      <c r="F427" s="8">
        <f>IF($A427="","",IF(ISNUMBER(FIND("IMPVOL",F$1)),_xll.BDH(config!$G$4,F$1,WORKDAY($A427,-1,config_Holiday_Calendar_US),WORKDAY($A427,-1,config_Holiday_Calendar_US)),IF(ISNUMBER(_xll.BDH(config!$G$4,F$1,$A427,$A427)),_xll.BDH(config!$G$4,F$1,$A427,$A427),_xll.BDH(config!$G$5,F$1,$A427,$A427))))</f>
        <v>49.03</v>
      </c>
      <c r="G427" s="8" t="str">
        <f>IF($A427="","",IF(ISNUMBER(FIND("IMPVOL",G$1)),_xll.BDH(config!$G$4,G$1,WORKDAY($A427,-1,config_Holiday_Calendar_US),WORKDAY($A427,-1,config_Holiday_Calendar_US)),IF(ISNUMBER(_xll.BDH(config!$G$4,G$1,$A427,$A427)),_xll.BDH(config!$G$4,G$1,$A427,$A427),_xll.BDH(config!$G$5,G$1,$A427,$A427))))</f>
        <v>#N/A Requesting Data...</v>
      </c>
      <c r="H427" s="8" t="str">
        <f>IF($A427="","",IF(ISNUMBER(FIND("IMPVOL",H$1)),_xll.BDH(config!$G$4,H$1,WORKDAY($A427,-1,config_Holiday_Calendar_US),WORKDAY($A427,-1,config_Holiday_Calendar_US)),IF(ISNUMBER(_xll.BDH(config!$G$4,H$1,$A427,$A427)),_xll.BDH(config!$G$4,H$1,$A427,$A427),_xll.BDH(config!$G$5,H$1,$A427,$A427))))</f>
        <v>#N/A Requesting Data...</v>
      </c>
      <c r="I427" s="8" t="str">
        <f>IF($A427="","",IF(ISNUMBER(FIND("IMPVOL",I$1)),_xll.BDH(config!$G$4,I$1,WORKDAY($A427,-1,config_Holiday_Calendar_US),WORKDAY($A427,-1,config_Holiday_Calendar_US)),IF(ISNUMBER(_xll.BDH(config!$G$4,I$1,$A427,$A427)),_xll.BDH(config!$G$4,I$1,$A427,$A427),_xll.BDH(config!$G$5,I$1,$A427,$A427))))</f>
        <v>#N/A Requesting Data...</v>
      </c>
      <c r="J427" s="8" t="str">
        <f>IF($A427="","",IF(ISNUMBER(FIND("IMPVOL",J$1)),_xll.BDH(config!$G$4,J$1,WORKDAY($A427,-1,config_Holiday_Calendar_US),WORKDAY($A427,-1,config_Holiday_Calendar_US)),IF(ISNUMBER(_xll.BDH(config!$G$4,J$1,$A427,$A427)),_xll.BDH(config!$G$4,J$1,$A427,$A427),_xll.BDH(config!$G$5,J$1,$A427,$A427))))</f>
        <v>#N/A Requesting Data...</v>
      </c>
      <c r="K427" s="8" t="str">
        <f>IF($A427="","",IF(ISNUMBER(FIND("IMPVOL",K$1)),_xll.BDH(config!$G$4,K$1,WORKDAY($A427,-1,config_Holiday_Calendar_US),WORKDAY($A427,-1,config_Holiday_Calendar_US)),IF(ISNUMBER(_xll.BDH(config!$G$4,K$1,$A427,$A427)),_xll.BDH(config!$G$4,K$1,$A427,$A427),_xll.BDH(config!$G$5,K$1,$A427,$A427))))</f>
        <v>#N/A Requesting Data...</v>
      </c>
      <c r="L427" s="8" t="str">
        <f>IF($A427="","",IF(ISNUMBER(FIND("IMPVOL",L$1)),_xll.BDH(config!$G$4,L$1,WORKDAY($A427,-1,config_Holiday_Calendar_US),WORKDAY($A427,-1,config_Holiday_Calendar_US)),IF(ISNUMBER(_xll.BDH(config!$G$4,L$1,$A427,$A427)),_xll.BDH(config!$G$4,L$1,$A427,$A427),_xll.BDH(config!$G$5,L$1,$A427,$A427))))</f>
        <v>#N/A Requesting Data...</v>
      </c>
      <c r="M427" s="8" t="str">
        <f>IF($A427="","",IF(ISNUMBER(FIND("IMPVOL",M$1)),_xll.BDH(config!$G$4,M$1,WORKDAY($A427,-1,config_Holiday_Calendar_US),WORKDAY($A427,-1,config_Holiday_Calendar_US)),IF(ISNUMBER(_xll.BDH(config!$G$4,M$1,$A427,$A427)),_xll.BDH(config!$G$4,M$1,$A427,$A427),_xll.BDH(config!$G$5,M$1,$A427,$A427))))</f>
        <v>#N/A Requesting Data...</v>
      </c>
      <c r="N427" s="8" t="str">
        <f>IF($A427="","",IF(ISNUMBER(FIND("IMPVOL",N$1)),_xll.BDH(config!$G$4,N$1,WORKDAY($A427,-1,config_Holiday_Calendar_US),WORKDAY($A427,-1,config_Holiday_Calendar_US)),IF(ISNUMBER(_xll.BDH(config!$G$4,N$1,$A427,$A427)),_xll.BDH(config!$G$4,N$1,$A427,$A427),_xll.BDH(config!$G$5,N$1,$A427,$A427))))</f>
        <v>#N/A Requesting Data...</v>
      </c>
      <c r="O427" s="8" t="str">
        <f>IF($A427="","",IF(ISNUMBER(FIND("IMPVOL",O$1)),_xll.BDH(config!$G$4,O$1,WORKDAY($A427,-1,config_Holiday_Calendar_US),WORKDAY($A427,-1,config_Holiday_Calendar_US)),IF(ISNUMBER(_xll.BDH(config!$G$4,O$1,$A427,$A427)),_xll.BDH(config!$G$4,O$1,$A427,$A427),_xll.BDH(config!$G$5,O$1,$A427,$A427))))</f>
        <v>#N/A Requesting Data...</v>
      </c>
      <c r="P427" s="8" t="str">
        <f>IF($A427="","",IF(ISNUMBER(FIND("IMPVOL",P$1)),_xll.BDH(config!$G$4,P$1,WORKDAY($A427,-1,config_Holiday_Calendar_US),WORKDAY($A427,-1,config_Holiday_Calendar_US)),IF(ISNUMBER(_xll.BDH(config!$G$4,P$1,$A427,$A427)),_xll.BDH(config!$G$4,P$1,$A427,$A427),_xll.BDH(config!$G$5,P$1,$A427,$A427))))</f>
        <v>#N/A Requesting Data...</v>
      </c>
      <c r="Q427" s="8" t="str">
        <f>IF($A427="","",IF(ISNUMBER(FIND("IMPVOL",Q$1)),_xll.BDH(config!$G$4,Q$1,WORKDAY($A427,-1,config_Holiday_Calendar_US),WORKDAY($A427,-1,config_Holiday_Calendar_US)),IF(ISNUMBER(_xll.BDH(config!$G$4,Q$1,$A427,$A427)),_xll.BDH(config!$G$4,Q$1,$A427,$A427),_xll.BDH(config!$G$5,Q$1,$A427,$A427))))</f>
        <v>#N/A Requesting Data...</v>
      </c>
      <c r="R427" s="8" t="str">
        <f>IF($A427="","",IF(ISNUMBER(FIND("IMPVOL",R$1)),_xll.BDH(config!$G$4,R$1,WORKDAY($A427,-1,config_Holiday_Calendar_US),WORKDAY($A427,-1,config_Holiday_Calendar_US)),IF(ISNUMBER(_xll.BDH(config!$G$4,R$1,$A427,$A427)),_xll.BDH(config!$G$4,R$1,$A427,$A427),_xll.BDH(config!$G$5,R$1,$A427,$A427))))</f>
        <v>#N/A Requesting Data...</v>
      </c>
      <c r="S427" s="8" t="str">
        <f>IF($A427="","",IF(ISNUMBER(FIND("IMPVOL",S$1)),_xll.BDH(config!$G$4,S$1,WORKDAY($A427,-1,config_Holiday_Calendar_US),WORKDAY($A427,-1,config_Holiday_Calendar_US)),IF(ISNUMBER(_xll.BDH(config!$G$4,S$1,$A427,$A427)),_xll.BDH(config!$G$4,S$1,$A427,$A427),_xll.BDH(config!$G$5,S$1,$A427,$A427))))</f>
        <v>#N/A Requesting Data...</v>
      </c>
      <c r="T427" s="8" t="str">
        <f>IF($A427="","",IF(ISNUMBER(FIND("IMPVOL",T$1)),_xll.BDH(config!$G$4,T$1,WORKDAY($A427,-1,config_Holiday_Calendar_US),WORKDAY($A427,-1,config_Holiday_Calendar_US)),IF(ISNUMBER(_xll.BDH(config!$G$4,T$1,$A427,$A427)),_xll.BDH(config!$G$4,T$1,$A427,$A427),_xll.BDH(config!$G$5,T$1,$A427,$A427))))</f>
        <v>#N/A Requesting Data...</v>
      </c>
      <c r="U427" s="8" t="str">
        <f>IF($A427="","",IF(ISNUMBER(FIND("IMPVOL",U$1)),_xll.BDH(config!$G$4,U$1,WORKDAY($A427,-1,config_Holiday_Calendar_US),WORKDAY($A427,-1,config_Holiday_Calendar_US)),IF(ISNUMBER(_xll.BDH(config!$G$4,U$1,$A427,$A427)),_xll.BDH(config!$G$4,U$1,$A427,$A427),_xll.BDH(config!$G$5,U$1,$A427,$A427))))</f>
        <v>#N/A Requesting Data...</v>
      </c>
      <c r="V427" s="8" t="str">
        <f>IF($A427="","",IF(ISNUMBER(FIND("IMPVOL",V$1)),_xll.BDH(config!$G$4,V$1,WORKDAY($A427,-1,config_Holiday_Calendar_US),WORKDAY($A427,-1,config_Holiday_Calendar_US)),IF(ISNUMBER(_xll.BDH(config!$G$4,V$1,$A427,$A427)),_xll.BDH(config!$G$4,V$1,$A427,$A427),_xll.BDH(config!$G$5,V$1,$A427,$A427))))</f>
        <v>#N/A Requesting Data...</v>
      </c>
      <c r="W427" s="8" t="str">
        <f>IF($A427="","",IF(ISNUMBER(FIND("IMPVOL",W$1)),_xll.BDH(config!$G$4,W$1,WORKDAY($A427,-1,config_Holiday_Calendar_US),WORKDAY($A427,-1,config_Holiday_Calendar_US)),IF(ISNUMBER(_xll.BDH(config!$G$4,W$1,$A427,$A427)),_xll.BDH(config!$G$4,W$1,$A427,$A427),_xll.BDH(config!$G$5,W$1,$A427,$A427))))</f>
        <v>#N/A Requesting Data...</v>
      </c>
    </row>
    <row r="428" spans="1:23" x14ac:dyDescent="0.2">
      <c r="A428" s="9">
        <f>IF(A427="","",IF(WORKDAY(A427,-1,config_Holiday_Calendar_US)&lt;config!$I$10,"",WORKDAY(A427,-1,config_Holiday_Calendar_US)))</f>
        <v>42208</v>
      </c>
      <c r="B428" s="8" t="e">
        <f t="shared" si="6"/>
        <v>#VALUE!</v>
      </c>
      <c r="C428" s="8" t="str">
        <f>IF(A428="","",_xll.BDH(config!$H$4,C$1,$A428,$A428))</f>
        <v>#N/A Requesting Data...</v>
      </c>
      <c r="D428" s="8" t="str">
        <f>IF($A428="","",_xll.BDH(config!$H$4,D$1,$A428,$A428))</f>
        <v>#N/A Requesting Data...</v>
      </c>
      <c r="E428" s="8">
        <f>IF($A428="","",IF(ISNUMBER(FIND("IMPVOL",E$1)),_xll.BDH(config!$G$4,E$1,WORKDAY($A428,-1,config_Holiday_Calendar_US),WORKDAY($A428,-1,config_Holiday_Calendar_US)),IF(ISNUMBER(_xll.BDH(config!$G$4,E$1,$A428,$A428)),_xll.BDH(config!$G$4,E$1,$A428,$A428),_xll.BDH(config!$G$5,E$1,$A428,$A428))))</f>
        <v>49.23</v>
      </c>
      <c r="F428" s="8">
        <f>IF($A428="","",IF(ISNUMBER(FIND("IMPVOL",F$1)),_xll.BDH(config!$G$4,F$1,WORKDAY($A428,-1,config_Holiday_Calendar_US),WORKDAY($A428,-1,config_Holiday_Calendar_US)),IF(ISNUMBER(_xll.BDH(config!$G$4,F$1,$A428,$A428)),_xll.BDH(config!$G$4,F$1,$A428,$A428),_xll.BDH(config!$G$5,F$1,$A428,$A428))))</f>
        <v>49.63</v>
      </c>
      <c r="G428" s="8" t="str">
        <f>IF($A428="","",IF(ISNUMBER(FIND("IMPVOL",G$1)),_xll.BDH(config!$G$4,G$1,WORKDAY($A428,-1,config_Holiday_Calendar_US),WORKDAY($A428,-1,config_Holiday_Calendar_US)),IF(ISNUMBER(_xll.BDH(config!$G$4,G$1,$A428,$A428)),_xll.BDH(config!$G$4,G$1,$A428,$A428),_xll.BDH(config!$G$5,G$1,$A428,$A428))))</f>
        <v>#N/A Requesting Data...</v>
      </c>
      <c r="H428" s="8" t="str">
        <f>IF($A428="","",IF(ISNUMBER(FIND("IMPVOL",H$1)),_xll.BDH(config!$G$4,H$1,WORKDAY($A428,-1,config_Holiday_Calendar_US),WORKDAY($A428,-1,config_Holiday_Calendar_US)),IF(ISNUMBER(_xll.BDH(config!$G$4,H$1,$A428,$A428)),_xll.BDH(config!$G$4,H$1,$A428,$A428),_xll.BDH(config!$G$5,H$1,$A428,$A428))))</f>
        <v>#N/A Requesting Data...</v>
      </c>
      <c r="I428" s="8" t="str">
        <f>IF($A428="","",IF(ISNUMBER(FIND("IMPVOL",I$1)),_xll.BDH(config!$G$4,I$1,WORKDAY($A428,-1,config_Holiday_Calendar_US),WORKDAY($A428,-1,config_Holiday_Calendar_US)),IF(ISNUMBER(_xll.BDH(config!$G$4,I$1,$A428,$A428)),_xll.BDH(config!$G$4,I$1,$A428,$A428),_xll.BDH(config!$G$5,I$1,$A428,$A428))))</f>
        <v>#N/A Requesting Data...</v>
      </c>
      <c r="J428" s="8" t="str">
        <f>IF($A428="","",IF(ISNUMBER(FIND("IMPVOL",J$1)),_xll.BDH(config!$G$4,J$1,WORKDAY($A428,-1,config_Holiday_Calendar_US),WORKDAY($A428,-1,config_Holiday_Calendar_US)),IF(ISNUMBER(_xll.BDH(config!$G$4,J$1,$A428,$A428)),_xll.BDH(config!$G$4,J$1,$A428,$A428),_xll.BDH(config!$G$5,J$1,$A428,$A428))))</f>
        <v>#N/A Requesting Data...</v>
      </c>
      <c r="K428" s="8" t="str">
        <f>IF($A428="","",IF(ISNUMBER(FIND("IMPVOL",K$1)),_xll.BDH(config!$G$4,K$1,WORKDAY($A428,-1,config_Holiday_Calendar_US),WORKDAY($A428,-1,config_Holiday_Calendar_US)),IF(ISNUMBER(_xll.BDH(config!$G$4,K$1,$A428,$A428)),_xll.BDH(config!$G$4,K$1,$A428,$A428),_xll.BDH(config!$G$5,K$1,$A428,$A428))))</f>
        <v>#N/A Requesting Data...</v>
      </c>
      <c r="L428" s="8" t="str">
        <f>IF($A428="","",IF(ISNUMBER(FIND("IMPVOL",L$1)),_xll.BDH(config!$G$4,L$1,WORKDAY($A428,-1,config_Holiday_Calendar_US),WORKDAY($A428,-1,config_Holiday_Calendar_US)),IF(ISNUMBER(_xll.BDH(config!$G$4,L$1,$A428,$A428)),_xll.BDH(config!$G$4,L$1,$A428,$A428),_xll.BDH(config!$G$5,L$1,$A428,$A428))))</f>
        <v>#N/A Requesting Data...</v>
      </c>
      <c r="M428" s="8" t="str">
        <f>IF($A428="","",IF(ISNUMBER(FIND("IMPVOL",M$1)),_xll.BDH(config!$G$4,M$1,WORKDAY($A428,-1,config_Holiday_Calendar_US),WORKDAY($A428,-1,config_Holiday_Calendar_US)),IF(ISNUMBER(_xll.BDH(config!$G$4,M$1,$A428,$A428)),_xll.BDH(config!$G$4,M$1,$A428,$A428),_xll.BDH(config!$G$5,M$1,$A428,$A428))))</f>
        <v>#N/A Requesting Data...</v>
      </c>
      <c r="N428" s="8" t="str">
        <f>IF($A428="","",IF(ISNUMBER(FIND("IMPVOL",N$1)),_xll.BDH(config!$G$4,N$1,WORKDAY($A428,-1,config_Holiday_Calendar_US),WORKDAY($A428,-1,config_Holiday_Calendar_US)),IF(ISNUMBER(_xll.BDH(config!$G$4,N$1,$A428,$A428)),_xll.BDH(config!$G$4,N$1,$A428,$A428),_xll.BDH(config!$G$5,N$1,$A428,$A428))))</f>
        <v>#N/A Requesting Data...</v>
      </c>
      <c r="O428" s="8" t="str">
        <f>IF($A428="","",IF(ISNUMBER(FIND("IMPVOL",O$1)),_xll.BDH(config!$G$4,O$1,WORKDAY($A428,-1,config_Holiday_Calendar_US),WORKDAY($A428,-1,config_Holiday_Calendar_US)),IF(ISNUMBER(_xll.BDH(config!$G$4,O$1,$A428,$A428)),_xll.BDH(config!$G$4,O$1,$A428,$A428),_xll.BDH(config!$G$5,O$1,$A428,$A428))))</f>
        <v>#N/A Requesting Data...</v>
      </c>
      <c r="P428" s="8" t="str">
        <f>IF($A428="","",IF(ISNUMBER(FIND("IMPVOL",P$1)),_xll.BDH(config!$G$4,P$1,WORKDAY($A428,-1,config_Holiday_Calendar_US),WORKDAY($A428,-1,config_Holiday_Calendar_US)),IF(ISNUMBER(_xll.BDH(config!$G$4,P$1,$A428,$A428)),_xll.BDH(config!$G$4,P$1,$A428,$A428),_xll.BDH(config!$G$5,P$1,$A428,$A428))))</f>
        <v>#N/A Requesting Data...</v>
      </c>
      <c r="Q428" s="8" t="str">
        <f>IF($A428="","",IF(ISNUMBER(FIND("IMPVOL",Q$1)),_xll.BDH(config!$G$4,Q$1,WORKDAY($A428,-1,config_Holiday_Calendar_US),WORKDAY($A428,-1,config_Holiday_Calendar_US)),IF(ISNUMBER(_xll.BDH(config!$G$4,Q$1,$A428,$A428)),_xll.BDH(config!$G$4,Q$1,$A428,$A428),_xll.BDH(config!$G$5,Q$1,$A428,$A428))))</f>
        <v>#N/A Requesting Data...</v>
      </c>
      <c r="R428" s="8" t="str">
        <f>IF($A428="","",IF(ISNUMBER(FIND("IMPVOL",R$1)),_xll.BDH(config!$G$4,R$1,WORKDAY($A428,-1,config_Holiday_Calendar_US),WORKDAY($A428,-1,config_Holiday_Calendar_US)),IF(ISNUMBER(_xll.BDH(config!$G$4,R$1,$A428,$A428)),_xll.BDH(config!$G$4,R$1,$A428,$A428),_xll.BDH(config!$G$5,R$1,$A428,$A428))))</f>
        <v>#N/A Requesting Data...</v>
      </c>
      <c r="S428" s="8" t="str">
        <f>IF($A428="","",IF(ISNUMBER(FIND("IMPVOL",S$1)),_xll.BDH(config!$G$4,S$1,WORKDAY($A428,-1,config_Holiday_Calendar_US),WORKDAY($A428,-1,config_Holiday_Calendar_US)),IF(ISNUMBER(_xll.BDH(config!$G$4,S$1,$A428,$A428)),_xll.BDH(config!$G$4,S$1,$A428,$A428),_xll.BDH(config!$G$5,S$1,$A428,$A428))))</f>
        <v>#N/A Requesting Data...</v>
      </c>
      <c r="T428" s="8" t="str">
        <f>IF($A428="","",IF(ISNUMBER(FIND("IMPVOL",T$1)),_xll.BDH(config!$G$4,T$1,WORKDAY($A428,-1,config_Holiday_Calendar_US),WORKDAY($A428,-1,config_Holiday_Calendar_US)),IF(ISNUMBER(_xll.BDH(config!$G$4,T$1,$A428,$A428)),_xll.BDH(config!$G$4,T$1,$A428,$A428),_xll.BDH(config!$G$5,T$1,$A428,$A428))))</f>
        <v>#N/A Requesting Data...</v>
      </c>
      <c r="U428" s="8" t="str">
        <f>IF($A428="","",IF(ISNUMBER(FIND("IMPVOL",U$1)),_xll.BDH(config!$G$4,U$1,WORKDAY($A428,-1,config_Holiday_Calendar_US),WORKDAY($A428,-1,config_Holiday_Calendar_US)),IF(ISNUMBER(_xll.BDH(config!$G$4,U$1,$A428,$A428)),_xll.BDH(config!$G$4,U$1,$A428,$A428),_xll.BDH(config!$G$5,U$1,$A428,$A428))))</f>
        <v>#N/A Requesting Data...</v>
      </c>
      <c r="V428" s="8" t="str">
        <f>IF($A428="","",IF(ISNUMBER(FIND("IMPVOL",V$1)),_xll.BDH(config!$G$4,V$1,WORKDAY($A428,-1,config_Holiday_Calendar_US),WORKDAY($A428,-1,config_Holiday_Calendar_US)),IF(ISNUMBER(_xll.BDH(config!$G$4,V$1,$A428,$A428)),_xll.BDH(config!$G$4,V$1,$A428,$A428),_xll.BDH(config!$G$5,V$1,$A428,$A428))))</f>
        <v>#N/A Requesting Data...</v>
      </c>
      <c r="W428" s="8" t="str">
        <f>IF($A428="","",IF(ISNUMBER(FIND("IMPVOL",W$1)),_xll.BDH(config!$G$4,W$1,WORKDAY($A428,-1,config_Holiday_Calendar_US),WORKDAY($A428,-1,config_Holiday_Calendar_US)),IF(ISNUMBER(_xll.BDH(config!$G$4,W$1,$A428,$A428)),_xll.BDH(config!$G$4,W$1,$A428,$A428),_xll.BDH(config!$G$5,W$1,$A428,$A428))))</f>
        <v>#N/A Requesting Data...</v>
      </c>
    </row>
    <row r="429" spans="1:23" x14ac:dyDescent="0.2">
      <c r="A429" s="9">
        <f>IF(A428="","",IF(WORKDAY(A428,-1,config_Holiday_Calendar_US)&lt;config!$I$10,"",WORKDAY(A428,-1,config_Holiday_Calendar_US)))</f>
        <v>42207</v>
      </c>
      <c r="B429" s="8" t="e">
        <f t="shared" si="6"/>
        <v>#VALUE!</v>
      </c>
      <c r="C429" s="8" t="str">
        <f>IF(A429="","",_xll.BDH(config!$H$4,C$1,$A429,$A429))</f>
        <v>#N/A Requesting Data...</v>
      </c>
      <c r="D429" s="8" t="str">
        <f>IF($A429="","",_xll.BDH(config!$H$4,D$1,$A429,$A429))</f>
        <v>#N/A Requesting Data...</v>
      </c>
      <c r="E429" s="8">
        <f>IF($A429="","",IF(ISNUMBER(FIND("IMPVOL",E$1)),_xll.BDH(config!$G$4,E$1,WORKDAY($A429,-1,config_Holiday_Calendar_US),WORKDAY($A429,-1,config_Holiday_Calendar_US)),IF(ISNUMBER(_xll.BDH(config!$G$4,E$1,$A429,$A429)),_xll.BDH(config!$G$4,E$1,$A429,$A429),_xll.BDH(config!$G$5,E$1,$A429,$A429))))</f>
        <v>50.71</v>
      </c>
      <c r="F429" s="8">
        <f>IF($A429="","",IF(ISNUMBER(FIND("IMPVOL",F$1)),_xll.BDH(config!$G$4,F$1,WORKDAY($A429,-1,config_Holiday_Calendar_US),WORKDAY($A429,-1,config_Holiday_Calendar_US)),IF(ISNUMBER(_xll.BDH(config!$G$4,F$1,$A429,$A429)),_xll.BDH(config!$G$4,F$1,$A429,$A429),_xll.BDH(config!$G$5,F$1,$A429,$A429))))</f>
        <v>50.71</v>
      </c>
      <c r="G429" s="8" t="str">
        <f>IF($A429="","",IF(ISNUMBER(FIND("IMPVOL",G$1)),_xll.BDH(config!$G$4,G$1,WORKDAY($A429,-1,config_Holiday_Calendar_US),WORKDAY($A429,-1,config_Holiday_Calendar_US)),IF(ISNUMBER(_xll.BDH(config!$G$4,G$1,$A429,$A429)),_xll.BDH(config!$G$4,G$1,$A429,$A429),_xll.BDH(config!$G$5,G$1,$A429,$A429))))</f>
        <v>#N/A Requesting Data...</v>
      </c>
      <c r="H429" s="8" t="str">
        <f>IF($A429="","",IF(ISNUMBER(FIND("IMPVOL",H$1)),_xll.BDH(config!$G$4,H$1,WORKDAY($A429,-1,config_Holiday_Calendar_US),WORKDAY($A429,-1,config_Holiday_Calendar_US)),IF(ISNUMBER(_xll.BDH(config!$G$4,H$1,$A429,$A429)),_xll.BDH(config!$G$4,H$1,$A429,$A429),_xll.BDH(config!$G$5,H$1,$A429,$A429))))</f>
        <v>#N/A Requesting Data...</v>
      </c>
      <c r="I429" s="8" t="str">
        <f>IF($A429="","",IF(ISNUMBER(FIND("IMPVOL",I$1)),_xll.BDH(config!$G$4,I$1,WORKDAY($A429,-1,config_Holiday_Calendar_US),WORKDAY($A429,-1,config_Holiday_Calendar_US)),IF(ISNUMBER(_xll.BDH(config!$G$4,I$1,$A429,$A429)),_xll.BDH(config!$G$4,I$1,$A429,$A429),_xll.BDH(config!$G$5,I$1,$A429,$A429))))</f>
        <v>#N/A Requesting Data...</v>
      </c>
      <c r="J429" s="8" t="str">
        <f>IF($A429="","",IF(ISNUMBER(FIND("IMPVOL",J$1)),_xll.BDH(config!$G$4,J$1,WORKDAY($A429,-1,config_Holiday_Calendar_US),WORKDAY($A429,-1,config_Holiday_Calendar_US)),IF(ISNUMBER(_xll.BDH(config!$G$4,J$1,$A429,$A429)),_xll.BDH(config!$G$4,J$1,$A429,$A429),_xll.BDH(config!$G$5,J$1,$A429,$A429))))</f>
        <v>#N/A Requesting Data...</v>
      </c>
      <c r="K429" s="8" t="str">
        <f>IF($A429="","",IF(ISNUMBER(FIND("IMPVOL",K$1)),_xll.BDH(config!$G$4,K$1,WORKDAY($A429,-1,config_Holiday_Calendar_US),WORKDAY($A429,-1,config_Holiday_Calendar_US)),IF(ISNUMBER(_xll.BDH(config!$G$4,K$1,$A429,$A429)),_xll.BDH(config!$G$4,K$1,$A429,$A429),_xll.BDH(config!$G$5,K$1,$A429,$A429))))</f>
        <v>#N/A Requesting Data...</v>
      </c>
      <c r="L429" s="8" t="str">
        <f>IF($A429="","",IF(ISNUMBER(FIND("IMPVOL",L$1)),_xll.BDH(config!$G$4,L$1,WORKDAY($A429,-1,config_Holiday_Calendar_US),WORKDAY($A429,-1,config_Holiday_Calendar_US)),IF(ISNUMBER(_xll.BDH(config!$G$4,L$1,$A429,$A429)),_xll.BDH(config!$G$4,L$1,$A429,$A429),_xll.BDH(config!$G$5,L$1,$A429,$A429))))</f>
        <v>#N/A Requesting Data...</v>
      </c>
      <c r="M429" s="8" t="str">
        <f>IF($A429="","",IF(ISNUMBER(FIND("IMPVOL",M$1)),_xll.BDH(config!$G$4,M$1,WORKDAY($A429,-1,config_Holiday_Calendar_US),WORKDAY($A429,-1,config_Holiday_Calendar_US)),IF(ISNUMBER(_xll.BDH(config!$G$4,M$1,$A429,$A429)),_xll.BDH(config!$G$4,M$1,$A429,$A429),_xll.BDH(config!$G$5,M$1,$A429,$A429))))</f>
        <v>#N/A Requesting Data...</v>
      </c>
      <c r="N429" s="8" t="str">
        <f>IF($A429="","",IF(ISNUMBER(FIND("IMPVOL",N$1)),_xll.BDH(config!$G$4,N$1,WORKDAY($A429,-1,config_Holiday_Calendar_US),WORKDAY($A429,-1,config_Holiday_Calendar_US)),IF(ISNUMBER(_xll.BDH(config!$G$4,N$1,$A429,$A429)),_xll.BDH(config!$G$4,N$1,$A429,$A429),_xll.BDH(config!$G$5,N$1,$A429,$A429))))</f>
        <v>#N/A Requesting Data...</v>
      </c>
      <c r="O429" s="8" t="str">
        <f>IF($A429="","",IF(ISNUMBER(FIND("IMPVOL",O$1)),_xll.BDH(config!$G$4,O$1,WORKDAY($A429,-1,config_Holiday_Calendar_US),WORKDAY($A429,-1,config_Holiday_Calendar_US)),IF(ISNUMBER(_xll.BDH(config!$G$4,O$1,$A429,$A429)),_xll.BDH(config!$G$4,O$1,$A429,$A429),_xll.BDH(config!$G$5,O$1,$A429,$A429))))</f>
        <v>#N/A Requesting Data...</v>
      </c>
      <c r="P429" s="8" t="str">
        <f>IF($A429="","",IF(ISNUMBER(FIND("IMPVOL",P$1)),_xll.BDH(config!$G$4,P$1,WORKDAY($A429,-1,config_Holiday_Calendar_US),WORKDAY($A429,-1,config_Holiday_Calendar_US)),IF(ISNUMBER(_xll.BDH(config!$G$4,P$1,$A429,$A429)),_xll.BDH(config!$G$4,P$1,$A429,$A429),_xll.BDH(config!$G$5,P$1,$A429,$A429))))</f>
        <v>#N/A Requesting Data...</v>
      </c>
      <c r="Q429" s="8" t="str">
        <f>IF($A429="","",IF(ISNUMBER(FIND("IMPVOL",Q$1)),_xll.BDH(config!$G$4,Q$1,WORKDAY($A429,-1,config_Holiday_Calendar_US),WORKDAY($A429,-1,config_Holiday_Calendar_US)),IF(ISNUMBER(_xll.BDH(config!$G$4,Q$1,$A429,$A429)),_xll.BDH(config!$G$4,Q$1,$A429,$A429),_xll.BDH(config!$G$5,Q$1,$A429,$A429))))</f>
        <v>#N/A Requesting Data...</v>
      </c>
      <c r="R429" s="8" t="str">
        <f>IF($A429="","",IF(ISNUMBER(FIND("IMPVOL",R$1)),_xll.BDH(config!$G$4,R$1,WORKDAY($A429,-1,config_Holiday_Calendar_US),WORKDAY($A429,-1,config_Holiday_Calendar_US)),IF(ISNUMBER(_xll.BDH(config!$G$4,R$1,$A429,$A429)),_xll.BDH(config!$G$4,R$1,$A429,$A429),_xll.BDH(config!$G$5,R$1,$A429,$A429))))</f>
        <v>#N/A Requesting Data...</v>
      </c>
      <c r="S429" s="8" t="str">
        <f>IF($A429="","",IF(ISNUMBER(FIND("IMPVOL",S$1)),_xll.BDH(config!$G$4,S$1,WORKDAY($A429,-1,config_Holiday_Calendar_US),WORKDAY($A429,-1,config_Holiday_Calendar_US)),IF(ISNUMBER(_xll.BDH(config!$G$4,S$1,$A429,$A429)),_xll.BDH(config!$G$4,S$1,$A429,$A429),_xll.BDH(config!$G$5,S$1,$A429,$A429))))</f>
        <v>#N/A Requesting Data...</v>
      </c>
      <c r="T429" s="8" t="str">
        <f>IF($A429="","",IF(ISNUMBER(FIND("IMPVOL",T$1)),_xll.BDH(config!$G$4,T$1,WORKDAY($A429,-1,config_Holiday_Calendar_US),WORKDAY($A429,-1,config_Holiday_Calendar_US)),IF(ISNUMBER(_xll.BDH(config!$G$4,T$1,$A429,$A429)),_xll.BDH(config!$G$4,T$1,$A429,$A429),_xll.BDH(config!$G$5,T$1,$A429,$A429))))</f>
        <v>#N/A Requesting Data...</v>
      </c>
      <c r="U429" s="8" t="str">
        <f>IF($A429="","",IF(ISNUMBER(FIND("IMPVOL",U$1)),_xll.BDH(config!$G$4,U$1,WORKDAY($A429,-1,config_Holiday_Calendar_US),WORKDAY($A429,-1,config_Holiday_Calendar_US)),IF(ISNUMBER(_xll.BDH(config!$G$4,U$1,$A429,$A429)),_xll.BDH(config!$G$4,U$1,$A429,$A429),_xll.BDH(config!$G$5,U$1,$A429,$A429))))</f>
        <v>#N/A Requesting Data...</v>
      </c>
      <c r="V429" s="8" t="str">
        <f>IF($A429="","",IF(ISNUMBER(FIND("IMPVOL",V$1)),_xll.BDH(config!$G$4,V$1,WORKDAY($A429,-1,config_Holiday_Calendar_US),WORKDAY($A429,-1,config_Holiday_Calendar_US)),IF(ISNUMBER(_xll.BDH(config!$G$4,V$1,$A429,$A429)),_xll.BDH(config!$G$4,V$1,$A429,$A429),_xll.BDH(config!$G$5,V$1,$A429,$A429))))</f>
        <v>#N/A Requesting Data...</v>
      </c>
      <c r="W429" s="8" t="str">
        <f>IF($A429="","",IF(ISNUMBER(FIND("IMPVOL",W$1)),_xll.BDH(config!$G$4,W$1,WORKDAY($A429,-1,config_Holiday_Calendar_US),WORKDAY($A429,-1,config_Holiday_Calendar_US)),IF(ISNUMBER(_xll.BDH(config!$G$4,W$1,$A429,$A429)),_xll.BDH(config!$G$4,W$1,$A429,$A429),_xll.BDH(config!$G$5,W$1,$A429,$A429))))</f>
        <v>#N/A Requesting Data...</v>
      </c>
    </row>
    <row r="430" spans="1:23" x14ac:dyDescent="0.2">
      <c r="A430" s="9">
        <f>IF(A429="","",IF(WORKDAY(A429,-1,config_Holiday_Calendar_US)&lt;config!$I$10,"",WORKDAY(A429,-1,config_Holiday_Calendar_US)))</f>
        <v>42206</v>
      </c>
      <c r="B430" s="8" t="e">
        <f t="shared" si="6"/>
        <v>#VALUE!</v>
      </c>
      <c r="C430" s="8" t="str">
        <f>IF(A430="","",_xll.BDH(config!$H$4,C$1,$A430,$A430))</f>
        <v>#N/A Requesting Data...</v>
      </c>
      <c r="D430" s="8" t="str">
        <f>IF($A430="","",_xll.BDH(config!$H$4,D$1,$A430,$A430))</f>
        <v>#N/A Requesting Data...</v>
      </c>
      <c r="E430" s="8">
        <f>IF($A430="","",IF(ISNUMBER(FIND("IMPVOL",E$1)),_xll.BDH(config!$G$4,E$1,WORKDAY($A430,-1,config_Holiday_Calendar_US),WORKDAY($A430,-1,config_Holiday_Calendar_US)),IF(ISNUMBER(_xll.BDH(config!$G$4,E$1,$A430,$A430)),_xll.BDH(config!$G$4,E$1,$A430,$A430),_xll.BDH(config!$G$5,E$1,$A430,$A430))))</f>
        <v>49.95</v>
      </c>
      <c r="F430" s="8">
        <f>IF($A430="","",IF(ISNUMBER(FIND("IMPVOL",F$1)),_xll.BDH(config!$G$4,F$1,WORKDAY($A430,-1,config_Holiday_Calendar_US),WORKDAY($A430,-1,config_Holiday_Calendar_US)),IF(ISNUMBER(_xll.BDH(config!$G$4,F$1,$A430,$A430)),_xll.BDH(config!$G$4,F$1,$A430,$A430),_xll.BDH(config!$G$5,F$1,$A430,$A430))))</f>
        <v>51.02</v>
      </c>
      <c r="G430" s="8" t="str">
        <f>IF($A430="","",IF(ISNUMBER(FIND("IMPVOL",G$1)),_xll.BDH(config!$G$4,G$1,WORKDAY($A430,-1,config_Holiday_Calendar_US),WORKDAY($A430,-1,config_Holiday_Calendar_US)),IF(ISNUMBER(_xll.BDH(config!$G$4,G$1,$A430,$A430)),_xll.BDH(config!$G$4,G$1,$A430,$A430),_xll.BDH(config!$G$5,G$1,$A430,$A430))))</f>
        <v>#N/A Requesting Data...</v>
      </c>
      <c r="H430" s="8" t="str">
        <f>IF($A430="","",IF(ISNUMBER(FIND("IMPVOL",H$1)),_xll.BDH(config!$G$4,H$1,WORKDAY($A430,-1,config_Holiday_Calendar_US),WORKDAY($A430,-1,config_Holiday_Calendar_US)),IF(ISNUMBER(_xll.BDH(config!$G$4,H$1,$A430,$A430)),_xll.BDH(config!$G$4,H$1,$A430,$A430),_xll.BDH(config!$G$5,H$1,$A430,$A430))))</f>
        <v>#N/A Requesting Data...</v>
      </c>
      <c r="I430" s="8" t="str">
        <f>IF($A430="","",IF(ISNUMBER(FIND("IMPVOL",I$1)),_xll.BDH(config!$G$4,I$1,WORKDAY($A430,-1,config_Holiday_Calendar_US),WORKDAY($A430,-1,config_Holiday_Calendar_US)),IF(ISNUMBER(_xll.BDH(config!$G$4,I$1,$A430,$A430)),_xll.BDH(config!$G$4,I$1,$A430,$A430),_xll.BDH(config!$G$5,I$1,$A430,$A430))))</f>
        <v>#N/A Requesting Data...</v>
      </c>
      <c r="J430" s="8" t="str">
        <f>IF($A430="","",IF(ISNUMBER(FIND("IMPVOL",J$1)),_xll.BDH(config!$G$4,J$1,WORKDAY($A430,-1,config_Holiday_Calendar_US),WORKDAY($A430,-1,config_Holiday_Calendar_US)),IF(ISNUMBER(_xll.BDH(config!$G$4,J$1,$A430,$A430)),_xll.BDH(config!$G$4,J$1,$A430,$A430),_xll.BDH(config!$G$5,J$1,$A430,$A430))))</f>
        <v>#N/A Requesting Data...</v>
      </c>
      <c r="K430" s="8" t="str">
        <f>IF($A430="","",IF(ISNUMBER(FIND("IMPVOL",K$1)),_xll.BDH(config!$G$4,K$1,WORKDAY($A430,-1,config_Holiday_Calendar_US),WORKDAY($A430,-1,config_Holiday_Calendar_US)),IF(ISNUMBER(_xll.BDH(config!$G$4,K$1,$A430,$A430)),_xll.BDH(config!$G$4,K$1,$A430,$A430),_xll.BDH(config!$G$5,K$1,$A430,$A430))))</f>
        <v>#N/A Requesting Data...</v>
      </c>
      <c r="L430" s="8" t="str">
        <f>IF($A430="","",IF(ISNUMBER(FIND("IMPVOL",L$1)),_xll.BDH(config!$G$4,L$1,WORKDAY($A430,-1,config_Holiday_Calendar_US),WORKDAY($A430,-1,config_Holiday_Calendar_US)),IF(ISNUMBER(_xll.BDH(config!$G$4,L$1,$A430,$A430)),_xll.BDH(config!$G$4,L$1,$A430,$A430),_xll.BDH(config!$G$5,L$1,$A430,$A430))))</f>
        <v>#N/A Requesting Data...</v>
      </c>
      <c r="M430" s="8" t="str">
        <f>IF($A430="","",IF(ISNUMBER(FIND("IMPVOL",M$1)),_xll.BDH(config!$G$4,M$1,WORKDAY($A430,-1,config_Holiday_Calendar_US),WORKDAY($A430,-1,config_Holiday_Calendar_US)),IF(ISNUMBER(_xll.BDH(config!$G$4,M$1,$A430,$A430)),_xll.BDH(config!$G$4,M$1,$A430,$A430),_xll.BDH(config!$G$5,M$1,$A430,$A430))))</f>
        <v>#N/A Requesting Data...</v>
      </c>
      <c r="N430" s="8" t="str">
        <f>IF($A430="","",IF(ISNUMBER(FIND("IMPVOL",N$1)),_xll.BDH(config!$G$4,N$1,WORKDAY($A430,-1,config_Holiday_Calendar_US),WORKDAY($A430,-1,config_Holiday_Calendar_US)),IF(ISNUMBER(_xll.BDH(config!$G$4,N$1,$A430,$A430)),_xll.BDH(config!$G$4,N$1,$A430,$A430),_xll.BDH(config!$G$5,N$1,$A430,$A430))))</f>
        <v>#N/A Requesting Data...</v>
      </c>
      <c r="O430" s="8" t="str">
        <f>IF($A430="","",IF(ISNUMBER(FIND("IMPVOL",O$1)),_xll.BDH(config!$G$4,O$1,WORKDAY($A430,-1,config_Holiday_Calendar_US),WORKDAY($A430,-1,config_Holiday_Calendar_US)),IF(ISNUMBER(_xll.BDH(config!$G$4,O$1,$A430,$A430)),_xll.BDH(config!$G$4,O$1,$A430,$A430),_xll.BDH(config!$G$5,O$1,$A430,$A430))))</f>
        <v>#N/A Requesting Data...</v>
      </c>
      <c r="P430" s="8" t="str">
        <f>IF($A430="","",IF(ISNUMBER(FIND("IMPVOL",P$1)),_xll.BDH(config!$G$4,P$1,WORKDAY($A430,-1,config_Holiday_Calendar_US),WORKDAY($A430,-1,config_Holiday_Calendar_US)),IF(ISNUMBER(_xll.BDH(config!$G$4,P$1,$A430,$A430)),_xll.BDH(config!$G$4,P$1,$A430,$A430),_xll.BDH(config!$G$5,P$1,$A430,$A430))))</f>
        <v>#N/A Requesting Data...</v>
      </c>
      <c r="Q430" s="8" t="str">
        <f>IF($A430="","",IF(ISNUMBER(FIND("IMPVOL",Q$1)),_xll.BDH(config!$G$4,Q$1,WORKDAY($A430,-1,config_Holiday_Calendar_US),WORKDAY($A430,-1,config_Holiday_Calendar_US)),IF(ISNUMBER(_xll.BDH(config!$G$4,Q$1,$A430,$A430)),_xll.BDH(config!$G$4,Q$1,$A430,$A430),_xll.BDH(config!$G$5,Q$1,$A430,$A430))))</f>
        <v>#N/A Requesting Data...</v>
      </c>
      <c r="R430" s="8" t="str">
        <f>IF($A430="","",IF(ISNUMBER(FIND("IMPVOL",R$1)),_xll.BDH(config!$G$4,R$1,WORKDAY($A430,-1,config_Holiday_Calendar_US),WORKDAY($A430,-1,config_Holiday_Calendar_US)),IF(ISNUMBER(_xll.BDH(config!$G$4,R$1,$A430,$A430)),_xll.BDH(config!$G$4,R$1,$A430,$A430),_xll.BDH(config!$G$5,R$1,$A430,$A430))))</f>
        <v>#N/A Requesting Data...</v>
      </c>
      <c r="S430" s="8" t="str">
        <f>IF($A430="","",IF(ISNUMBER(FIND("IMPVOL",S$1)),_xll.BDH(config!$G$4,S$1,WORKDAY($A430,-1,config_Holiday_Calendar_US),WORKDAY($A430,-1,config_Holiday_Calendar_US)),IF(ISNUMBER(_xll.BDH(config!$G$4,S$1,$A430,$A430)),_xll.BDH(config!$G$4,S$1,$A430,$A430),_xll.BDH(config!$G$5,S$1,$A430,$A430))))</f>
        <v>#N/A Requesting Data...</v>
      </c>
      <c r="T430" s="8" t="str">
        <f>IF($A430="","",IF(ISNUMBER(FIND("IMPVOL",T$1)),_xll.BDH(config!$G$4,T$1,WORKDAY($A430,-1,config_Holiday_Calendar_US),WORKDAY($A430,-1,config_Holiday_Calendar_US)),IF(ISNUMBER(_xll.BDH(config!$G$4,T$1,$A430,$A430)),_xll.BDH(config!$G$4,T$1,$A430,$A430),_xll.BDH(config!$G$5,T$1,$A430,$A430))))</f>
        <v>#N/A Requesting Data...</v>
      </c>
      <c r="U430" s="8" t="str">
        <f>IF($A430="","",IF(ISNUMBER(FIND("IMPVOL",U$1)),_xll.BDH(config!$G$4,U$1,WORKDAY($A430,-1,config_Holiday_Calendar_US),WORKDAY($A430,-1,config_Holiday_Calendar_US)),IF(ISNUMBER(_xll.BDH(config!$G$4,U$1,$A430,$A430)),_xll.BDH(config!$G$4,U$1,$A430,$A430),_xll.BDH(config!$G$5,U$1,$A430,$A430))))</f>
        <v>#N/A Requesting Data...</v>
      </c>
      <c r="V430" s="8" t="str">
        <f>IF($A430="","",IF(ISNUMBER(FIND("IMPVOL",V$1)),_xll.BDH(config!$G$4,V$1,WORKDAY($A430,-1,config_Holiday_Calendar_US),WORKDAY($A430,-1,config_Holiday_Calendar_US)),IF(ISNUMBER(_xll.BDH(config!$G$4,V$1,$A430,$A430)),_xll.BDH(config!$G$4,V$1,$A430,$A430),_xll.BDH(config!$G$5,V$1,$A430,$A430))))</f>
        <v>#N/A Requesting Data...</v>
      </c>
      <c r="W430" s="8" t="str">
        <f>IF($A430="","",IF(ISNUMBER(FIND("IMPVOL",W$1)),_xll.BDH(config!$G$4,W$1,WORKDAY($A430,-1,config_Holiday_Calendar_US),WORKDAY($A430,-1,config_Holiday_Calendar_US)),IF(ISNUMBER(_xll.BDH(config!$G$4,W$1,$A430,$A430)),_xll.BDH(config!$G$4,W$1,$A430,$A430),_xll.BDH(config!$G$5,W$1,$A430,$A430))))</f>
        <v>#N/A Requesting Data...</v>
      </c>
    </row>
    <row r="431" spans="1:23" x14ac:dyDescent="0.2">
      <c r="A431" s="9">
        <f>IF(A430="","",IF(WORKDAY(A430,-1,config_Holiday_Calendar_US)&lt;config!$I$10,"",WORKDAY(A430,-1,config_Holiday_Calendar_US)))</f>
        <v>42205</v>
      </c>
      <c r="B431" s="8" t="e">
        <f t="shared" si="6"/>
        <v>#VALUE!</v>
      </c>
      <c r="C431" s="8" t="str">
        <f>IF(A431="","",_xll.BDH(config!$H$4,C$1,$A431,$A431))</f>
        <v>#N/A Requesting Data...</v>
      </c>
      <c r="D431" s="8" t="str">
        <f>IF($A431="","",_xll.BDH(config!$H$4,D$1,$A431,$A431))</f>
        <v>#N/A Requesting Data...</v>
      </c>
      <c r="E431" s="8">
        <f>IF($A431="","",IF(ISNUMBER(FIND("IMPVOL",E$1)),_xll.BDH(config!$G$4,E$1,WORKDAY($A431,-1,config_Holiday_Calendar_US),WORKDAY($A431,-1,config_Holiday_Calendar_US)),IF(ISNUMBER(_xll.BDH(config!$G$4,E$1,$A431,$A431)),_xll.BDH(config!$G$4,E$1,$A431,$A431),_xll.BDH(config!$G$5,E$1,$A431,$A431))))</f>
        <v>50.76</v>
      </c>
      <c r="F431" s="8">
        <f>IF($A431="","",IF(ISNUMBER(FIND("IMPVOL",F$1)),_xll.BDH(config!$G$4,F$1,WORKDAY($A431,-1,config_Holiday_Calendar_US),WORKDAY($A431,-1,config_Holiday_Calendar_US)),IF(ISNUMBER(_xll.BDH(config!$G$4,F$1,$A431,$A431)),_xll.BDH(config!$G$4,F$1,$A431,$A431),_xll.BDH(config!$G$5,F$1,$A431,$A431))))</f>
        <v>51.26</v>
      </c>
      <c r="G431" s="8" t="str">
        <f>IF($A431="","",IF(ISNUMBER(FIND("IMPVOL",G$1)),_xll.BDH(config!$G$4,G$1,WORKDAY($A431,-1,config_Holiday_Calendar_US),WORKDAY($A431,-1,config_Holiday_Calendar_US)),IF(ISNUMBER(_xll.BDH(config!$G$4,G$1,$A431,$A431)),_xll.BDH(config!$G$4,G$1,$A431,$A431),_xll.BDH(config!$G$5,G$1,$A431,$A431))))</f>
        <v>#N/A Requesting Data...</v>
      </c>
      <c r="H431" s="8" t="str">
        <f>IF($A431="","",IF(ISNUMBER(FIND("IMPVOL",H$1)),_xll.BDH(config!$G$4,H$1,WORKDAY($A431,-1,config_Holiday_Calendar_US),WORKDAY($A431,-1,config_Holiday_Calendar_US)),IF(ISNUMBER(_xll.BDH(config!$G$4,H$1,$A431,$A431)),_xll.BDH(config!$G$4,H$1,$A431,$A431),_xll.BDH(config!$G$5,H$1,$A431,$A431))))</f>
        <v>#N/A Requesting Data...</v>
      </c>
      <c r="I431" s="8" t="str">
        <f>IF($A431="","",IF(ISNUMBER(FIND("IMPVOL",I$1)),_xll.BDH(config!$G$4,I$1,WORKDAY($A431,-1,config_Holiday_Calendar_US),WORKDAY($A431,-1,config_Holiday_Calendar_US)),IF(ISNUMBER(_xll.BDH(config!$G$4,I$1,$A431,$A431)),_xll.BDH(config!$G$4,I$1,$A431,$A431),_xll.BDH(config!$G$5,I$1,$A431,$A431))))</f>
        <v>#N/A Requesting Data...</v>
      </c>
      <c r="J431" s="8" t="str">
        <f>IF($A431="","",IF(ISNUMBER(FIND("IMPVOL",J$1)),_xll.BDH(config!$G$4,J$1,WORKDAY($A431,-1,config_Holiday_Calendar_US),WORKDAY($A431,-1,config_Holiday_Calendar_US)),IF(ISNUMBER(_xll.BDH(config!$G$4,J$1,$A431,$A431)),_xll.BDH(config!$G$4,J$1,$A431,$A431),_xll.BDH(config!$G$5,J$1,$A431,$A431))))</f>
        <v>#N/A Requesting Data...</v>
      </c>
      <c r="K431" s="8" t="str">
        <f>IF($A431="","",IF(ISNUMBER(FIND("IMPVOL",K$1)),_xll.BDH(config!$G$4,K$1,WORKDAY($A431,-1,config_Holiday_Calendar_US),WORKDAY($A431,-1,config_Holiday_Calendar_US)),IF(ISNUMBER(_xll.BDH(config!$G$4,K$1,$A431,$A431)),_xll.BDH(config!$G$4,K$1,$A431,$A431),_xll.BDH(config!$G$5,K$1,$A431,$A431))))</f>
        <v>#N/A Requesting Data...</v>
      </c>
      <c r="L431" s="8" t="str">
        <f>IF($A431="","",IF(ISNUMBER(FIND("IMPVOL",L$1)),_xll.BDH(config!$G$4,L$1,WORKDAY($A431,-1,config_Holiday_Calendar_US),WORKDAY($A431,-1,config_Holiday_Calendar_US)),IF(ISNUMBER(_xll.BDH(config!$G$4,L$1,$A431,$A431)),_xll.BDH(config!$G$4,L$1,$A431,$A431),_xll.BDH(config!$G$5,L$1,$A431,$A431))))</f>
        <v>#N/A Requesting Data...</v>
      </c>
      <c r="M431" s="8" t="str">
        <f>IF($A431="","",IF(ISNUMBER(FIND("IMPVOL",M$1)),_xll.BDH(config!$G$4,M$1,WORKDAY($A431,-1,config_Holiday_Calendar_US),WORKDAY($A431,-1,config_Holiday_Calendar_US)),IF(ISNUMBER(_xll.BDH(config!$G$4,M$1,$A431,$A431)),_xll.BDH(config!$G$4,M$1,$A431,$A431),_xll.BDH(config!$G$5,M$1,$A431,$A431))))</f>
        <v>#N/A Requesting Data...</v>
      </c>
      <c r="N431" s="8" t="str">
        <f>IF($A431="","",IF(ISNUMBER(FIND("IMPVOL",N$1)),_xll.BDH(config!$G$4,N$1,WORKDAY($A431,-1,config_Holiday_Calendar_US),WORKDAY($A431,-1,config_Holiday_Calendar_US)),IF(ISNUMBER(_xll.BDH(config!$G$4,N$1,$A431,$A431)),_xll.BDH(config!$G$4,N$1,$A431,$A431),_xll.BDH(config!$G$5,N$1,$A431,$A431))))</f>
        <v>#N/A Requesting Data...</v>
      </c>
      <c r="O431" s="8" t="str">
        <f>IF($A431="","",IF(ISNUMBER(FIND("IMPVOL",O$1)),_xll.BDH(config!$G$4,O$1,WORKDAY($A431,-1,config_Holiday_Calendar_US),WORKDAY($A431,-1,config_Holiday_Calendar_US)),IF(ISNUMBER(_xll.BDH(config!$G$4,O$1,$A431,$A431)),_xll.BDH(config!$G$4,O$1,$A431,$A431),_xll.BDH(config!$G$5,O$1,$A431,$A431))))</f>
        <v>#N/A Requesting Data...</v>
      </c>
      <c r="P431" s="8" t="str">
        <f>IF($A431="","",IF(ISNUMBER(FIND("IMPVOL",P$1)),_xll.BDH(config!$G$4,P$1,WORKDAY($A431,-1,config_Holiday_Calendar_US),WORKDAY($A431,-1,config_Holiday_Calendar_US)),IF(ISNUMBER(_xll.BDH(config!$G$4,P$1,$A431,$A431)),_xll.BDH(config!$G$4,P$1,$A431,$A431),_xll.BDH(config!$G$5,P$1,$A431,$A431))))</f>
        <v>#N/A Requesting Data...</v>
      </c>
      <c r="Q431" s="8" t="str">
        <f>IF($A431="","",IF(ISNUMBER(FIND("IMPVOL",Q$1)),_xll.BDH(config!$G$4,Q$1,WORKDAY($A431,-1,config_Holiday_Calendar_US),WORKDAY($A431,-1,config_Holiday_Calendar_US)),IF(ISNUMBER(_xll.BDH(config!$G$4,Q$1,$A431,$A431)),_xll.BDH(config!$G$4,Q$1,$A431,$A431),_xll.BDH(config!$G$5,Q$1,$A431,$A431))))</f>
        <v>#N/A Requesting Data...</v>
      </c>
      <c r="R431" s="8" t="str">
        <f>IF($A431="","",IF(ISNUMBER(FIND("IMPVOL",R$1)),_xll.BDH(config!$G$4,R$1,WORKDAY($A431,-1,config_Holiday_Calendar_US),WORKDAY($A431,-1,config_Holiday_Calendar_US)),IF(ISNUMBER(_xll.BDH(config!$G$4,R$1,$A431,$A431)),_xll.BDH(config!$G$4,R$1,$A431,$A431),_xll.BDH(config!$G$5,R$1,$A431,$A431))))</f>
        <v>#N/A Requesting Data...</v>
      </c>
      <c r="S431" s="8" t="str">
        <f>IF($A431="","",IF(ISNUMBER(FIND("IMPVOL",S$1)),_xll.BDH(config!$G$4,S$1,WORKDAY($A431,-1,config_Holiday_Calendar_US),WORKDAY($A431,-1,config_Holiday_Calendar_US)),IF(ISNUMBER(_xll.BDH(config!$G$4,S$1,$A431,$A431)),_xll.BDH(config!$G$4,S$1,$A431,$A431),_xll.BDH(config!$G$5,S$1,$A431,$A431))))</f>
        <v>#N/A Requesting Data...</v>
      </c>
      <c r="T431" s="8" t="str">
        <f>IF($A431="","",IF(ISNUMBER(FIND("IMPVOL",T$1)),_xll.BDH(config!$G$4,T$1,WORKDAY($A431,-1,config_Holiday_Calendar_US),WORKDAY($A431,-1,config_Holiday_Calendar_US)),IF(ISNUMBER(_xll.BDH(config!$G$4,T$1,$A431,$A431)),_xll.BDH(config!$G$4,T$1,$A431,$A431),_xll.BDH(config!$G$5,T$1,$A431,$A431))))</f>
        <v>#N/A Requesting Data...</v>
      </c>
      <c r="U431" s="8" t="str">
        <f>IF($A431="","",IF(ISNUMBER(FIND("IMPVOL",U$1)),_xll.BDH(config!$G$4,U$1,WORKDAY($A431,-1,config_Holiday_Calendar_US),WORKDAY($A431,-1,config_Holiday_Calendar_US)),IF(ISNUMBER(_xll.BDH(config!$G$4,U$1,$A431,$A431)),_xll.BDH(config!$G$4,U$1,$A431,$A431),_xll.BDH(config!$G$5,U$1,$A431,$A431))))</f>
        <v>#N/A Requesting Data...</v>
      </c>
      <c r="V431" s="8" t="str">
        <f>IF($A431="","",IF(ISNUMBER(FIND("IMPVOL",V$1)),_xll.BDH(config!$G$4,V$1,WORKDAY($A431,-1,config_Holiday_Calendar_US),WORKDAY($A431,-1,config_Holiday_Calendar_US)),IF(ISNUMBER(_xll.BDH(config!$G$4,V$1,$A431,$A431)),_xll.BDH(config!$G$4,V$1,$A431,$A431),_xll.BDH(config!$G$5,V$1,$A431,$A431))))</f>
        <v>#N/A Requesting Data...</v>
      </c>
      <c r="W431" s="8" t="str">
        <f>IF($A431="","",IF(ISNUMBER(FIND("IMPVOL",W$1)),_xll.BDH(config!$G$4,W$1,WORKDAY($A431,-1,config_Holiday_Calendar_US),WORKDAY($A431,-1,config_Holiday_Calendar_US)),IF(ISNUMBER(_xll.BDH(config!$G$4,W$1,$A431,$A431)),_xll.BDH(config!$G$4,W$1,$A431,$A431),_xll.BDH(config!$G$5,W$1,$A431,$A431))))</f>
        <v>#N/A Requesting Data...</v>
      </c>
    </row>
    <row r="432" spans="1:23" x14ac:dyDescent="0.2">
      <c r="A432" s="9">
        <f>IF(A431="","",IF(WORKDAY(A431,-1,config_Holiday_Calendar_US)&lt;config!$I$10,"",WORKDAY(A431,-1,config_Holiday_Calendar_US)))</f>
        <v>42202</v>
      </c>
      <c r="B432" s="8" t="e">
        <f t="shared" si="6"/>
        <v>#VALUE!</v>
      </c>
      <c r="C432" s="8" t="str">
        <f>IF(A432="","",_xll.BDH(config!$H$4,C$1,$A432,$A432))</f>
        <v>#N/A Requesting Data...</v>
      </c>
      <c r="D432" s="8" t="str">
        <f>IF($A432="","",_xll.BDH(config!$H$4,D$1,$A432,$A432))</f>
        <v>#N/A Requesting Data...</v>
      </c>
      <c r="E432" s="8">
        <f>IF($A432="","",IF(ISNUMBER(FIND("IMPVOL",E$1)),_xll.BDH(config!$G$4,E$1,WORKDAY($A432,-1,config_Holiday_Calendar_US),WORKDAY($A432,-1,config_Holiday_Calendar_US)),IF(ISNUMBER(_xll.BDH(config!$G$4,E$1,$A432,$A432)),_xll.BDH(config!$G$4,E$1,$A432,$A432),_xll.BDH(config!$G$5,E$1,$A432,$A432))))</f>
        <v>50.91</v>
      </c>
      <c r="F432" s="8">
        <f>IF($A432="","",IF(ISNUMBER(FIND("IMPVOL",F$1)),_xll.BDH(config!$G$4,F$1,WORKDAY($A432,-1,config_Holiday_Calendar_US),WORKDAY($A432,-1,config_Holiday_Calendar_US)),IF(ISNUMBER(_xll.BDH(config!$G$4,F$1,$A432,$A432)),_xll.BDH(config!$G$4,F$1,$A432,$A432),_xll.BDH(config!$G$5,F$1,$A432,$A432))))</f>
        <v>51.23</v>
      </c>
      <c r="G432" s="8" t="str">
        <f>IF($A432="","",IF(ISNUMBER(FIND("IMPVOL",G$1)),_xll.BDH(config!$G$4,G$1,WORKDAY($A432,-1,config_Holiday_Calendar_US),WORKDAY($A432,-1,config_Holiday_Calendar_US)),IF(ISNUMBER(_xll.BDH(config!$G$4,G$1,$A432,$A432)),_xll.BDH(config!$G$4,G$1,$A432,$A432),_xll.BDH(config!$G$5,G$1,$A432,$A432))))</f>
        <v>#N/A Requesting Data...</v>
      </c>
      <c r="H432" s="8" t="str">
        <f>IF($A432="","",IF(ISNUMBER(FIND("IMPVOL",H$1)),_xll.BDH(config!$G$4,H$1,WORKDAY($A432,-1,config_Holiday_Calendar_US),WORKDAY($A432,-1,config_Holiday_Calendar_US)),IF(ISNUMBER(_xll.BDH(config!$G$4,H$1,$A432,$A432)),_xll.BDH(config!$G$4,H$1,$A432,$A432),_xll.BDH(config!$G$5,H$1,$A432,$A432))))</f>
        <v>#N/A Requesting Data...</v>
      </c>
      <c r="I432" s="8" t="str">
        <f>IF($A432="","",IF(ISNUMBER(FIND("IMPVOL",I$1)),_xll.BDH(config!$G$4,I$1,WORKDAY($A432,-1,config_Holiday_Calendar_US),WORKDAY($A432,-1,config_Holiday_Calendar_US)),IF(ISNUMBER(_xll.BDH(config!$G$4,I$1,$A432,$A432)),_xll.BDH(config!$G$4,I$1,$A432,$A432),_xll.BDH(config!$G$5,I$1,$A432,$A432))))</f>
        <v>#N/A Requesting Data...</v>
      </c>
      <c r="J432" s="8" t="str">
        <f>IF($A432="","",IF(ISNUMBER(FIND("IMPVOL",J$1)),_xll.BDH(config!$G$4,J$1,WORKDAY($A432,-1,config_Holiday_Calendar_US),WORKDAY($A432,-1,config_Holiday_Calendar_US)),IF(ISNUMBER(_xll.BDH(config!$G$4,J$1,$A432,$A432)),_xll.BDH(config!$G$4,J$1,$A432,$A432),_xll.BDH(config!$G$5,J$1,$A432,$A432))))</f>
        <v>#N/A Requesting Data...</v>
      </c>
      <c r="K432" s="8" t="str">
        <f>IF($A432="","",IF(ISNUMBER(FIND("IMPVOL",K$1)),_xll.BDH(config!$G$4,K$1,WORKDAY($A432,-1,config_Holiday_Calendar_US),WORKDAY($A432,-1,config_Holiday_Calendar_US)),IF(ISNUMBER(_xll.BDH(config!$G$4,K$1,$A432,$A432)),_xll.BDH(config!$G$4,K$1,$A432,$A432),_xll.BDH(config!$G$5,K$1,$A432,$A432))))</f>
        <v>#N/A Requesting Data...</v>
      </c>
      <c r="L432" s="8" t="str">
        <f>IF($A432="","",IF(ISNUMBER(FIND("IMPVOL",L$1)),_xll.BDH(config!$G$4,L$1,WORKDAY($A432,-1,config_Holiday_Calendar_US),WORKDAY($A432,-1,config_Holiday_Calendar_US)),IF(ISNUMBER(_xll.BDH(config!$G$4,L$1,$A432,$A432)),_xll.BDH(config!$G$4,L$1,$A432,$A432),_xll.BDH(config!$G$5,L$1,$A432,$A432))))</f>
        <v>#N/A Requesting Data...</v>
      </c>
      <c r="M432" s="8" t="str">
        <f>IF($A432="","",IF(ISNUMBER(FIND("IMPVOL",M$1)),_xll.BDH(config!$G$4,M$1,WORKDAY($A432,-1,config_Holiday_Calendar_US),WORKDAY($A432,-1,config_Holiday_Calendar_US)),IF(ISNUMBER(_xll.BDH(config!$G$4,M$1,$A432,$A432)),_xll.BDH(config!$G$4,M$1,$A432,$A432),_xll.BDH(config!$G$5,M$1,$A432,$A432))))</f>
        <v>#N/A Requesting Data...</v>
      </c>
      <c r="N432" s="8" t="str">
        <f>IF($A432="","",IF(ISNUMBER(FIND("IMPVOL",N$1)),_xll.BDH(config!$G$4,N$1,WORKDAY($A432,-1,config_Holiday_Calendar_US),WORKDAY($A432,-1,config_Holiday_Calendar_US)),IF(ISNUMBER(_xll.BDH(config!$G$4,N$1,$A432,$A432)),_xll.BDH(config!$G$4,N$1,$A432,$A432),_xll.BDH(config!$G$5,N$1,$A432,$A432))))</f>
        <v>#N/A Requesting Data...</v>
      </c>
      <c r="O432" s="8" t="str">
        <f>IF($A432="","",IF(ISNUMBER(FIND("IMPVOL",O$1)),_xll.BDH(config!$G$4,O$1,WORKDAY($A432,-1,config_Holiday_Calendar_US),WORKDAY($A432,-1,config_Holiday_Calendar_US)),IF(ISNUMBER(_xll.BDH(config!$G$4,O$1,$A432,$A432)),_xll.BDH(config!$G$4,O$1,$A432,$A432),_xll.BDH(config!$G$5,O$1,$A432,$A432))))</f>
        <v>#N/A Requesting Data...</v>
      </c>
      <c r="P432" s="8" t="str">
        <f>IF($A432="","",IF(ISNUMBER(FIND("IMPVOL",P$1)),_xll.BDH(config!$G$4,P$1,WORKDAY($A432,-1,config_Holiday_Calendar_US),WORKDAY($A432,-1,config_Holiday_Calendar_US)),IF(ISNUMBER(_xll.BDH(config!$G$4,P$1,$A432,$A432)),_xll.BDH(config!$G$4,P$1,$A432,$A432),_xll.BDH(config!$G$5,P$1,$A432,$A432))))</f>
        <v>#N/A Requesting Data...</v>
      </c>
      <c r="Q432" s="8" t="str">
        <f>IF($A432="","",IF(ISNUMBER(FIND("IMPVOL",Q$1)),_xll.BDH(config!$G$4,Q$1,WORKDAY($A432,-1,config_Holiday_Calendar_US),WORKDAY($A432,-1,config_Holiday_Calendar_US)),IF(ISNUMBER(_xll.BDH(config!$G$4,Q$1,$A432,$A432)),_xll.BDH(config!$G$4,Q$1,$A432,$A432),_xll.BDH(config!$G$5,Q$1,$A432,$A432))))</f>
        <v>#N/A Requesting Data...</v>
      </c>
      <c r="R432" s="8" t="str">
        <f>IF($A432="","",IF(ISNUMBER(FIND("IMPVOL",R$1)),_xll.BDH(config!$G$4,R$1,WORKDAY($A432,-1,config_Holiday_Calendar_US),WORKDAY($A432,-1,config_Holiday_Calendar_US)),IF(ISNUMBER(_xll.BDH(config!$G$4,R$1,$A432,$A432)),_xll.BDH(config!$G$4,R$1,$A432,$A432),_xll.BDH(config!$G$5,R$1,$A432,$A432))))</f>
        <v>#N/A Requesting Data...</v>
      </c>
      <c r="S432" s="8" t="str">
        <f>IF($A432="","",IF(ISNUMBER(FIND("IMPVOL",S$1)),_xll.BDH(config!$G$4,S$1,WORKDAY($A432,-1,config_Holiday_Calendar_US),WORKDAY($A432,-1,config_Holiday_Calendar_US)),IF(ISNUMBER(_xll.BDH(config!$G$4,S$1,$A432,$A432)),_xll.BDH(config!$G$4,S$1,$A432,$A432),_xll.BDH(config!$G$5,S$1,$A432,$A432))))</f>
        <v>#N/A Requesting Data...</v>
      </c>
      <c r="T432" s="8" t="str">
        <f>IF($A432="","",IF(ISNUMBER(FIND("IMPVOL",T$1)),_xll.BDH(config!$G$4,T$1,WORKDAY($A432,-1,config_Holiday_Calendar_US),WORKDAY($A432,-1,config_Holiday_Calendar_US)),IF(ISNUMBER(_xll.BDH(config!$G$4,T$1,$A432,$A432)),_xll.BDH(config!$G$4,T$1,$A432,$A432),_xll.BDH(config!$G$5,T$1,$A432,$A432))))</f>
        <v>#N/A Requesting Data...</v>
      </c>
      <c r="U432" s="8" t="str">
        <f>IF($A432="","",IF(ISNUMBER(FIND("IMPVOL",U$1)),_xll.BDH(config!$G$4,U$1,WORKDAY($A432,-1,config_Holiday_Calendar_US),WORKDAY($A432,-1,config_Holiday_Calendar_US)),IF(ISNUMBER(_xll.BDH(config!$G$4,U$1,$A432,$A432)),_xll.BDH(config!$G$4,U$1,$A432,$A432),_xll.BDH(config!$G$5,U$1,$A432,$A432))))</f>
        <v>#N/A Requesting Data...</v>
      </c>
      <c r="V432" s="8" t="str">
        <f>IF($A432="","",IF(ISNUMBER(FIND("IMPVOL",V$1)),_xll.BDH(config!$G$4,V$1,WORKDAY($A432,-1,config_Holiday_Calendar_US),WORKDAY($A432,-1,config_Holiday_Calendar_US)),IF(ISNUMBER(_xll.BDH(config!$G$4,V$1,$A432,$A432)),_xll.BDH(config!$G$4,V$1,$A432,$A432),_xll.BDH(config!$G$5,V$1,$A432,$A432))))</f>
        <v>#N/A Requesting Data...</v>
      </c>
      <c r="W432" s="8" t="str">
        <f>IF($A432="","",IF(ISNUMBER(FIND("IMPVOL",W$1)),_xll.BDH(config!$G$4,W$1,WORKDAY($A432,-1,config_Holiday_Calendar_US),WORKDAY($A432,-1,config_Holiday_Calendar_US)),IF(ISNUMBER(_xll.BDH(config!$G$4,W$1,$A432,$A432)),_xll.BDH(config!$G$4,W$1,$A432,$A432),_xll.BDH(config!$G$5,W$1,$A432,$A432))))</f>
        <v>#N/A Requesting Data...</v>
      </c>
    </row>
    <row r="433" spans="1:23" x14ac:dyDescent="0.2">
      <c r="A433" s="9">
        <f>IF(A432="","",IF(WORKDAY(A432,-1,config_Holiday_Calendar_US)&lt;config!$I$10,"",WORKDAY(A432,-1,config_Holiday_Calendar_US)))</f>
        <v>42201</v>
      </c>
      <c r="B433" s="8" t="e">
        <f t="shared" si="6"/>
        <v>#VALUE!</v>
      </c>
      <c r="C433" s="8" t="str">
        <f>IF(A433="","",_xll.BDH(config!$H$4,C$1,$A433,$A433))</f>
        <v>#N/A Requesting Data...</v>
      </c>
      <c r="D433" s="8" t="str">
        <f>IF($A433="","",_xll.BDH(config!$H$4,D$1,$A433,$A433))</f>
        <v>#N/A Requesting Data...</v>
      </c>
      <c r="E433" s="8">
        <f>IF($A433="","",IF(ISNUMBER(FIND("IMPVOL",E$1)),_xll.BDH(config!$G$4,E$1,WORKDAY($A433,-1,config_Holiday_Calendar_US),WORKDAY($A433,-1,config_Holiday_Calendar_US)),IF(ISNUMBER(_xll.BDH(config!$G$4,E$1,$A433,$A433)),_xll.BDH(config!$G$4,E$1,$A433,$A433),_xll.BDH(config!$G$5,E$1,$A433,$A433))))</f>
        <v>51.62</v>
      </c>
      <c r="F433" s="8">
        <f>IF($A433="","",IF(ISNUMBER(FIND("IMPVOL",F$1)),_xll.BDH(config!$G$4,F$1,WORKDAY($A433,-1,config_Holiday_Calendar_US),WORKDAY($A433,-1,config_Holiday_Calendar_US)),IF(ISNUMBER(_xll.BDH(config!$G$4,F$1,$A433,$A433)),_xll.BDH(config!$G$4,F$1,$A433,$A433),_xll.BDH(config!$G$5,F$1,$A433,$A433))))</f>
        <v>52.17</v>
      </c>
      <c r="G433" s="8" t="str">
        <f>IF($A433="","",IF(ISNUMBER(FIND("IMPVOL",G$1)),_xll.BDH(config!$G$4,G$1,WORKDAY($A433,-1,config_Holiday_Calendar_US),WORKDAY($A433,-1,config_Holiday_Calendar_US)),IF(ISNUMBER(_xll.BDH(config!$G$4,G$1,$A433,$A433)),_xll.BDH(config!$G$4,G$1,$A433,$A433),_xll.BDH(config!$G$5,G$1,$A433,$A433))))</f>
        <v>#N/A Requesting Data...</v>
      </c>
      <c r="H433" s="8" t="str">
        <f>IF($A433="","",IF(ISNUMBER(FIND("IMPVOL",H$1)),_xll.BDH(config!$G$4,H$1,WORKDAY($A433,-1,config_Holiday_Calendar_US),WORKDAY($A433,-1,config_Holiday_Calendar_US)),IF(ISNUMBER(_xll.BDH(config!$G$4,H$1,$A433,$A433)),_xll.BDH(config!$G$4,H$1,$A433,$A433),_xll.BDH(config!$G$5,H$1,$A433,$A433))))</f>
        <v>#N/A Requesting Data...</v>
      </c>
      <c r="I433" s="8" t="str">
        <f>IF($A433="","",IF(ISNUMBER(FIND("IMPVOL",I$1)),_xll.BDH(config!$G$4,I$1,WORKDAY($A433,-1,config_Holiday_Calendar_US),WORKDAY($A433,-1,config_Holiday_Calendar_US)),IF(ISNUMBER(_xll.BDH(config!$G$4,I$1,$A433,$A433)),_xll.BDH(config!$G$4,I$1,$A433,$A433),_xll.BDH(config!$G$5,I$1,$A433,$A433))))</f>
        <v>#N/A Requesting Data...</v>
      </c>
      <c r="J433" s="8" t="str">
        <f>IF($A433="","",IF(ISNUMBER(FIND("IMPVOL",J$1)),_xll.BDH(config!$G$4,J$1,WORKDAY($A433,-1,config_Holiday_Calendar_US),WORKDAY($A433,-1,config_Holiday_Calendar_US)),IF(ISNUMBER(_xll.BDH(config!$G$4,J$1,$A433,$A433)),_xll.BDH(config!$G$4,J$1,$A433,$A433),_xll.BDH(config!$G$5,J$1,$A433,$A433))))</f>
        <v>#N/A Requesting Data...</v>
      </c>
      <c r="K433" s="8" t="str">
        <f>IF($A433="","",IF(ISNUMBER(FIND("IMPVOL",K$1)),_xll.BDH(config!$G$4,K$1,WORKDAY($A433,-1,config_Holiday_Calendar_US),WORKDAY($A433,-1,config_Holiday_Calendar_US)),IF(ISNUMBER(_xll.BDH(config!$G$4,K$1,$A433,$A433)),_xll.BDH(config!$G$4,K$1,$A433,$A433),_xll.BDH(config!$G$5,K$1,$A433,$A433))))</f>
        <v>#N/A Requesting Data...</v>
      </c>
      <c r="L433" s="8" t="str">
        <f>IF($A433="","",IF(ISNUMBER(FIND("IMPVOL",L$1)),_xll.BDH(config!$G$4,L$1,WORKDAY($A433,-1,config_Holiday_Calendar_US),WORKDAY($A433,-1,config_Holiday_Calendar_US)),IF(ISNUMBER(_xll.BDH(config!$G$4,L$1,$A433,$A433)),_xll.BDH(config!$G$4,L$1,$A433,$A433),_xll.BDH(config!$G$5,L$1,$A433,$A433))))</f>
        <v>#N/A Requesting Data...</v>
      </c>
      <c r="M433" s="8" t="str">
        <f>IF($A433="","",IF(ISNUMBER(FIND("IMPVOL",M$1)),_xll.BDH(config!$G$4,M$1,WORKDAY($A433,-1,config_Holiday_Calendar_US),WORKDAY($A433,-1,config_Holiday_Calendar_US)),IF(ISNUMBER(_xll.BDH(config!$G$4,M$1,$A433,$A433)),_xll.BDH(config!$G$4,M$1,$A433,$A433),_xll.BDH(config!$G$5,M$1,$A433,$A433))))</f>
        <v>#N/A Requesting Data...</v>
      </c>
      <c r="N433" s="8" t="str">
        <f>IF($A433="","",IF(ISNUMBER(FIND("IMPVOL",N$1)),_xll.BDH(config!$G$4,N$1,WORKDAY($A433,-1,config_Holiday_Calendar_US),WORKDAY($A433,-1,config_Holiday_Calendar_US)),IF(ISNUMBER(_xll.BDH(config!$G$4,N$1,$A433,$A433)),_xll.BDH(config!$G$4,N$1,$A433,$A433),_xll.BDH(config!$G$5,N$1,$A433,$A433))))</f>
        <v>#N/A Requesting Data...</v>
      </c>
      <c r="O433" s="8" t="str">
        <f>IF($A433="","",IF(ISNUMBER(FIND("IMPVOL",O$1)),_xll.BDH(config!$G$4,O$1,WORKDAY($A433,-1,config_Holiday_Calendar_US),WORKDAY($A433,-1,config_Holiday_Calendar_US)),IF(ISNUMBER(_xll.BDH(config!$G$4,O$1,$A433,$A433)),_xll.BDH(config!$G$4,O$1,$A433,$A433),_xll.BDH(config!$G$5,O$1,$A433,$A433))))</f>
        <v>#N/A Requesting Data...</v>
      </c>
      <c r="P433" s="8" t="str">
        <f>IF($A433="","",IF(ISNUMBER(FIND("IMPVOL",P$1)),_xll.BDH(config!$G$4,P$1,WORKDAY($A433,-1,config_Holiday_Calendar_US),WORKDAY($A433,-1,config_Holiday_Calendar_US)),IF(ISNUMBER(_xll.BDH(config!$G$4,P$1,$A433,$A433)),_xll.BDH(config!$G$4,P$1,$A433,$A433),_xll.BDH(config!$G$5,P$1,$A433,$A433))))</f>
        <v>#N/A Requesting Data...</v>
      </c>
      <c r="Q433" s="8" t="str">
        <f>IF($A433="","",IF(ISNUMBER(FIND("IMPVOL",Q$1)),_xll.BDH(config!$G$4,Q$1,WORKDAY($A433,-1,config_Holiday_Calendar_US),WORKDAY($A433,-1,config_Holiday_Calendar_US)),IF(ISNUMBER(_xll.BDH(config!$G$4,Q$1,$A433,$A433)),_xll.BDH(config!$G$4,Q$1,$A433,$A433),_xll.BDH(config!$G$5,Q$1,$A433,$A433))))</f>
        <v>#N/A Requesting Data...</v>
      </c>
      <c r="R433" s="8" t="str">
        <f>IF($A433="","",IF(ISNUMBER(FIND("IMPVOL",R$1)),_xll.BDH(config!$G$4,R$1,WORKDAY($A433,-1,config_Holiday_Calendar_US),WORKDAY($A433,-1,config_Holiday_Calendar_US)),IF(ISNUMBER(_xll.BDH(config!$G$4,R$1,$A433,$A433)),_xll.BDH(config!$G$4,R$1,$A433,$A433),_xll.BDH(config!$G$5,R$1,$A433,$A433))))</f>
        <v>#N/A Requesting Data...</v>
      </c>
      <c r="S433" s="8" t="str">
        <f>IF($A433="","",IF(ISNUMBER(FIND("IMPVOL",S$1)),_xll.BDH(config!$G$4,S$1,WORKDAY($A433,-1,config_Holiday_Calendar_US),WORKDAY($A433,-1,config_Holiday_Calendar_US)),IF(ISNUMBER(_xll.BDH(config!$G$4,S$1,$A433,$A433)),_xll.BDH(config!$G$4,S$1,$A433,$A433),_xll.BDH(config!$G$5,S$1,$A433,$A433))))</f>
        <v>#N/A Requesting Data...</v>
      </c>
      <c r="T433" s="8" t="str">
        <f>IF($A433="","",IF(ISNUMBER(FIND("IMPVOL",T$1)),_xll.BDH(config!$G$4,T$1,WORKDAY($A433,-1,config_Holiday_Calendar_US),WORKDAY($A433,-1,config_Holiday_Calendar_US)),IF(ISNUMBER(_xll.BDH(config!$G$4,T$1,$A433,$A433)),_xll.BDH(config!$G$4,T$1,$A433,$A433),_xll.BDH(config!$G$5,T$1,$A433,$A433))))</f>
        <v>#N/A Requesting Data...</v>
      </c>
      <c r="U433" s="8" t="str">
        <f>IF($A433="","",IF(ISNUMBER(FIND("IMPVOL",U$1)),_xll.BDH(config!$G$4,U$1,WORKDAY($A433,-1,config_Holiday_Calendar_US),WORKDAY($A433,-1,config_Holiday_Calendar_US)),IF(ISNUMBER(_xll.BDH(config!$G$4,U$1,$A433,$A433)),_xll.BDH(config!$G$4,U$1,$A433,$A433),_xll.BDH(config!$G$5,U$1,$A433,$A433))))</f>
        <v>#N/A Requesting Data...</v>
      </c>
      <c r="V433" s="8" t="str">
        <f>IF($A433="","",IF(ISNUMBER(FIND("IMPVOL",V$1)),_xll.BDH(config!$G$4,V$1,WORKDAY($A433,-1,config_Holiday_Calendar_US),WORKDAY($A433,-1,config_Holiday_Calendar_US)),IF(ISNUMBER(_xll.BDH(config!$G$4,V$1,$A433,$A433)),_xll.BDH(config!$G$4,V$1,$A433,$A433),_xll.BDH(config!$G$5,V$1,$A433,$A433))))</f>
        <v>#N/A Requesting Data...</v>
      </c>
      <c r="W433" s="8" t="str">
        <f>IF($A433="","",IF(ISNUMBER(FIND("IMPVOL",W$1)),_xll.BDH(config!$G$4,W$1,WORKDAY($A433,-1,config_Holiday_Calendar_US),WORKDAY($A433,-1,config_Holiday_Calendar_US)),IF(ISNUMBER(_xll.BDH(config!$G$4,W$1,$A433,$A433)),_xll.BDH(config!$G$4,W$1,$A433,$A433),_xll.BDH(config!$G$5,W$1,$A433,$A433))))</f>
        <v>#N/A Requesting Data...</v>
      </c>
    </row>
    <row r="434" spans="1:23" x14ac:dyDescent="0.2">
      <c r="A434" s="9">
        <f>IF(A433="","",IF(WORKDAY(A433,-1,config_Holiday_Calendar_US)&lt;config!$I$10,"",WORKDAY(A433,-1,config_Holiday_Calendar_US)))</f>
        <v>42200</v>
      </c>
      <c r="B434" s="8" t="e">
        <f t="shared" si="6"/>
        <v>#VALUE!</v>
      </c>
      <c r="C434" s="8" t="str">
        <f>IF(A434="","",_xll.BDH(config!$H$4,C$1,$A434,$A434))</f>
        <v>#N/A Requesting Data...</v>
      </c>
      <c r="D434" s="8" t="str">
        <f>IF($A434="","",_xll.BDH(config!$H$4,D$1,$A434,$A434))</f>
        <v>#N/A Requesting Data...</v>
      </c>
      <c r="E434" s="8">
        <f>IF($A434="","",IF(ISNUMBER(FIND("IMPVOL",E$1)),_xll.BDH(config!$G$4,E$1,WORKDAY($A434,-1,config_Holiday_Calendar_US),WORKDAY($A434,-1,config_Holiday_Calendar_US)),IF(ISNUMBER(_xll.BDH(config!$G$4,E$1,$A434,$A434)),_xll.BDH(config!$G$4,E$1,$A434,$A434),_xll.BDH(config!$G$5,E$1,$A434,$A434))))</f>
        <v>53.4</v>
      </c>
      <c r="F434" s="8">
        <f>IF($A434="","",IF(ISNUMBER(FIND("IMPVOL",F$1)),_xll.BDH(config!$G$4,F$1,WORKDAY($A434,-1,config_Holiday_Calendar_US),WORKDAY($A434,-1,config_Holiday_Calendar_US)),IF(ISNUMBER(_xll.BDH(config!$G$4,F$1,$A434,$A434)),_xll.BDH(config!$G$4,F$1,$A434,$A434),_xll.BDH(config!$G$5,F$1,$A434,$A434))))</f>
        <v>53.5</v>
      </c>
      <c r="G434" s="8" t="str">
        <f>IF($A434="","",IF(ISNUMBER(FIND("IMPVOL",G$1)),_xll.BDH(config!$G$4,G$1,WORKDAY($A434,-1,config_Holiday_Calendar_US),WORKDAY($A434,-1,config_Holiday_Calendar_US)),IF(ISNUMBER(_xll.BDH(config!$G$4,G$1,$A434,$A434)),_xll.BDH(config!$G$4,G$1,$A434,$A434),_xll.BDH(config!$G$5,G$1,$A434,$A434))))</f>
        <v>#N/A Requesting Data...</v>
      </c>
      <c r="H434" s="8" t="str">
        <f>IF($A434="","",IF(ISNUMBER(FIND("IMPVOL",H$1)),_xll.BDH(config!$G$4,H$1,WORKDAY($A434,-1,config_Holiday_Calendar_US),WORKDAY($A434,-1,config_Holiday_Calendar_US)),IF(ISNUMBER(_xll.BDH(config!$G$4,H$1,$A434,$A434)),_xll.BDH(config!$G$4,H$1,$A434,$A434),_xll.BDH(config!$G$5,H$1,$A434,$A434))))</f>
        <v>#N/A Requesting Data...</v>
      </c>
      <c r="I434" s="8" t="str">
        <f>IF($A434="","",IF(ISNUMBER(FIND("IMPVOL",I$1)),_xll.BDH(config!$G$4,I$1,WORKDAY($A434,-1,config_Holiday_Calendar_US),WORKDAY($A434,-1,config_Holiday_Calendar_US)),IF(ISNUMBER(_xll.BDH(config!$G$4,I$1,$A434,$A434)),_xll.BDH(config!$G$4,I$1,$A434,$A434),_xll.BDH(config!$G$5,I$1,$A434,$A434))))</f>
        <v>#N/A Requesting Data...</v>
      </c>
      <c r="J434" s="8" t="str">
        <f>IF($A434="","",IF(ISNUMBER(FIND("IMPVOL",J$1)),_xll.BDH(config!$G$4,J$1,WORKDAY($A434,-1,config_Holiday_Calendar_US),WORKDAY($A434,-1,config_Holiday_Calendar_US)),IF(ISNUMBER(_xll.BDH(config!$G$4,J$1,$A434,$A434)),_xll.BDH(config!$G$4,J$1,$A434,$A434),_xll.BDH(config!$G$5,J$1,$A434,$A434))))</f>
        <v>#N/A Requesting Data...</v>
      </c>
      <c r="K434" s="8" t="str">
        <f>IF($A434="","",IF(ISNUMBER(FIND("IMPVOL",K$1)),_xll.BDH(config!$G$4,K$1,WORKDAY($A434,-1,config_Holiday_Calendar_US),WORKDAY($A434,-1,config_Holiday_Calendar_US)),IF(ISNUMBER(_xll.BDH(config!$G$4,K$1,$A434,$A434)),_xll.BDH(config!$G$4,K$1,$A434,$A434),_xll.BDH(config!$G$5,K$1,$A434,$A434))))</f>
        <v>#N/A Requesting Data...</v>
      </c>
      <c r="L434" s="8" t="str">
        <f>IF($A434="","",IF(ISNUMBER(FIND("IMPVOL",L$1)),_xll.BDH(config!$G$4,L$1,WORKDAY($A434,-1,config_Holiday_Calendar_US),WORKDAY($A434,-1,config_Holiday_Calendar_US)),IF(ISNUMBER(_xll.BDH(config!$G$4,L$1,$A434,$A434)),_xll.BDH(config!$G$4,L$1,$A434,$A434),_xll.BDH(config!$G$5,L$1,$A434,$A434))))</f>
        <v>#N/A Requesting Data...</v>
      </c>
      <c r="M434" s="8" t="str">
        <f>IF($A434="","",IF(ISNUMBER(FIND("IMPVOL",M$1)),_xll.BDH(config!$G$4,M$1,WORKDAY($A434,-1,config_Holiday_Calendar_US),WORKDAY($A434,-1,config_Holiday_Calendar_US)),IF(ISNUMBER(_xll.BDH(config!$G$4,M$1,$A434,$A434)),_xll.BDH(config!$G$4,M$1,$A434,$A434),_xll.BDH(config!$G$5,M$1,$A434,$A434))))</f>
        <v>#N/A Requesting Data...</v>
      </c>
      <c r="N434" s="8" t="str">
        <f>IF($A434="","",IF(ISNUMBER(FIND("IMPVOL",N$1)),_xll.BDH(config!$G$4,N$1,WORKDAY($A434,-1,config_Holiday_Calendar_US),WORKDAY($A434,-1,config_Holiday_Calendar_US)),IF(ISNUMBER(_xll.BDH(config!$G$4,N$1,$A434,$A434)),_xll.BDH(config!$G$4,N$1,$A434,$A434),_xll.BDH(config!$G$5,N$1,$A434,$A434))))</f>
        <v>#N/A Requesting Data...</v>
      </c>
      <c r="O434" s="8" t="str">
        <f>IF($A434="","",IF(ISNUMBER(FIND("IMPVOL",O$1)),_xll.BDH(config!$G$4,O$1,WORKDAY($A434,-1,config_Holiday_Calendar_US),WORKDAY($A434,-1,config_Holiday_Calendar_US)),IF(ISNUMBER(_xll.BDH(config!$G$4,O$1,$A434,$A434)),_xll.BDH(config!$G$4,O$1,$A434,$A434),_xll.BDH(config!$G$5,O$1,$A434,$A434))))</f>
        <v>#N/A Requesting Data...</v>
      </c>
      <c r="P434" s="8" t="str">
        <f>IF($A434="","",IF(ISNUMBER(FIND("IMPVOL",P$1)),_xll.BDH(config!$G$4,P$1,WORKDAY($A434,-1,config_Holiday_Calendar_US),WORKDAY($A434,-1,config_Holiday_Calendar_US)),IF(ISNUMBER(_xll.BDH(config!$G$4,P$1,$A434,$A434)),_xll.BDH(config!$G$4,P$1,$A434,$A434),_xll.BDH(config!$G$5,P$1,$A434,$A434))))</f>
        <v>#N/A Requesting Data...</v>
      </c>
      <c r="Q434" s="8" t="str">
        <f>IF($A434="","",IF(ISNUMBER(FIND("IMPVOL",Q$1)),_xll.BDH(config!$G$4,Q$1,WORKDAY($A434,-1,config_Holiday_Calendar_US),WORKDAY($A434,-1,config_Holiday_Calendar_US)),IF(ISNUMBER(_xll.BDH(config!$G$4,Q$1,$A434,$A434)),_xll.BDH(config!$G$4,Q$1,$A434,$A434),_xll.BDH(config!$G$5,Q$1,$A434,$A434))))</f>
        <v>#N/A Requesting Data...</v>
      </c>
      <c r="R434" s="8" t="str">
        <f>IF($A434="","",IF(ISNUMBER(FIND("IMPVOL",R$1)),_xll.BDH(config!$G$4,R$1,WORKDAY($A434,-1,config_Holiday_Calendar_US),WORKDAY($A434,-1,config_Holiday_Calendar_US)),IF(ISNUMBER(_xll.BDH(config!$G$4,R$1,$A434,$A434)),_xll.BDH(config!$G$4,R$1,$A434,$A434),_xll.BDH(config!$G$5,R$1,$A434,$A434))))</f>
        <v>#N/A Requesting Data...</v>
      </c>
      <c r="S434" s="8" t="str">
        <f>IF($A434="","",IF(ISNUMBER(FIND("IMPVOL",S$1)),_xll.BDH(config!$G$4,S$1,WORKDAY($A434,-1,config_Holiday_Calendar_US),WORKDAY($A434,-1,config_Holiday_Calendar_US)),IF(ISNUMBER(_xll.BDH(config!$G$4,S$1,$A434,$A434)),_xll.BDH(config!$G$4,S$1,$A434,$A434),_xll.BDH(config!$G$5,S$1,$A434,$A434))))</f>
        <v>#N/A Requesting Data...</v>
      </c>
      <c r="T434" s="8" t="str">
        <f>IF($A434="","",IF(ISNUMBER(FIND("IMPVOL",T$1)),_xll.BDH(config!$G$4,T$1,WORKDAY($A434,-1,config_Holiday_Calendar_US),WORKDAY($A434,-1,config_Holiday_Calendar_US)),IF(ISNUMBER(_xll.BDH(config!$G$4,T$1,$A434,$A434)),_xll.BDH(config!$G$4,T$1,$A434,$A434),_xll.BDH(config!$G$5,T$1,$A434,$A434))))</f>
        <v>#N/A Requesting Data...</v>
      </c>
      <c r="U434" s="8" t="str">
        <f>IF($A434="","",IF(ISNUMBER(FIND("IMPVOL",U$1)),_xll.BDH(config!$G$4,U$1,WORKDAY($A434,-1,config_Holiday_Calendar_US),WORKDAY($A434,-1,config_Holiday_Calendar_US)),IF(ISNUMBER(_xll.BDH(config!$G$4,U$1,$A434,$A434)),_xll.BDH(config!$G$4,U$1,$A434,$A434),_xll.BDH(config!$G$5,U$1,$A434,$A434))))</f>
        <v>#N/A Requesting Data...</v>
      </c>
      <c r="V434" s="8" t="str">
        <f>IF($A434="","",IF(ISNUMBER(FIND("IMPVOL",V$1)),_xll.BDH(config!$G$4,V$1,WORKDAY($A434,-1,config_Holiday_Calendar_US),WORKDAY($A434,-1,config_Holiday_Calendar_US)),IF(ISNUMBER(_xll.BDH(config!$G$4,V$1,$A434,$A434)),_xll.BDH(config!$G$4,V$1,$A434,$A434),_xll.BDH(config!$G$5,V$1,$A434,$A434))))</f>
        <v>#N/A Requesting Data...</v>
      </c>
      <c r="W434" s="8" t="str">
        <f>IF($A434="","",IF(ISNUMBER(FIND("IMPVOL",W$1)),_xll.BDH(config!$G$4,W$1,WORKDAY($A434,-1,config_Holiday_Calendar_US),WORKDAY($A434,-1,config_Holiday_Calendar_US)),IF(ISNUMBER(_xll.BDH(config!$G$4,W$1,$A434,$A434)),_xll.BDH(config!$G$4,W$1,$A434,$A434),_xll.BDH(config!$G$5,W$1,$A434,$A434))))</f>
        <v>#N/A Requesting Data...</v>
      </c>
    </row>
    <row r="435" spans="1:23" x14ac:dyDescent="0.2">
      <c r="A435" s="9">
        <f>IF(A434="","",IF(WORKDAY(A434,-1,config_Holiday_Calendar_US)&lt;config!$I$10,"",WORKDAY(A434,-1,config_Holiday_Calendar_US)))</f>
        <v>42199</v>
      </c>
      <c r="B435" s="8" t="e">
        <f t="shared" si="6"/>
        <v>#VALUE!</v>
      </c>
      <c r="C435" s="8" t="str">
        <f>IF(A435="","",_xll.BDH(config!$H$4,C$1,$A435,$A435))</f>
        <v>#N/A Requesting Data...</v>
      </c>
      <c r="D435" s="8" t="str">
        <f>IF($A435="","",_xll.BDH(config!$H$4,D$1,$A435,$A435))</f>
        <v>#N/A Requesting Data...</v>
      </c>
      <c r="E435" s="8">
        <f>IF($A435="","",IF(ISNUMBER(FIND("IMPVOL",E$1)),_xll.BDH(config!$G$4,E$1,WORKDAY($A435,-1,config_Holiday_Calendar_US),WORKDAY($A435,-1,config_Holiday_Calendar_US)),IF(ISNUMBER(_xll.BDH(config!$G$4,E$1,$A435,$A435)),_xll.BDH(config!$G$4,E$1,$A435,$A435),_xll.BDH(config!$G$5,E$1,$A435,$A435))))</f>
        <v>52</v>
      </c>
      <c r="F435" s="8">
        <f>IF($A435="","",IF(ISNUMBER(FIND("IMPVOL",F$1)),_xll.BDH(config!$G$4,F$1,WORKDAY($A435,-1,config_Holiday_Calendar_US),WORKDAY($A435,-1,config_Holiday_Calendar_US)),IF(ISNUMBER(_xll.BDH(config!$G$4,F$1,$A435,$A435)),_xll.BDH(config!$G$4,F$1,$A435,$A435),_xll.BDH(config!$G$5,F$1,$A435,$A435))))</f>
        <v>53.43</v>
      </c>
      <c r="G435" s="8" t="str">
        <f>IF($A435="","",IF(ISNUMBER(FIND("IMPVOL",G$1)),_xll.BDH(config!$G$4,G$1,WORKDAY($A435,-1,config_Holiday_Calendar_US),WORKDAY($A435,-1,config_Holiday_Calendar_US)),IF(ISNUMBER(_xll.BDH(config!$G$4,G$1,$A435,$A435)),_xll.BDH(config!$G$4,G$1,$A435,$A435),_xll.BDH(config!$G$5,G$1,$A435,$A435))))</f>
        <v>#N/A Requesting Data...</v>
      </c>
      <c r="H435" s="8" t="str">
        <f>IF($A435="","",IF(ISNUMBER(FIND("IMPVOL",H$1)),_xll.BDH(config!$G$4,H$1,WORKDAY($A435,-1,config_Holiday_Calendar_US),WORKDAY($A435,-1,config_Holiday_Calendar_US)),IF(ISNUMBER(_xll.BDH(config!$G$4,H$1,$A435,$A435)),_xll.BDH(config!$G$4,H$1,$A435,$A435),_xll.BDH(config!$G$5,H$1,$A435,$A435))))</f>
        <v>#N/A Requesting Data...</v>
      </c>
      <c r="I435" s="8" t="str">
        <f>IF($A435="","",IF(ISNUMBER(FIND("IMPVOL",I$1)),_xll.BDH(config!$G$4,I$1,WORKDAY($A435,-1,config_Holiday_Calendar_US),WORKDAY($A435,-1,config_Holiday_Calendar_US)),IF(ISNUMBER(_xll.BDH(config!$G$4,I$1,$A435,$A435)),_xll.BDH(config!$G$4,I$1,$A435,$A435),_xll.BDH(config!$G$5,I$1,$A435,$A435))))</f>
        <v>#N/A Requesting Data...</v>
      </c>
      <c r="J435" s="8" t="str">
        <f>IF($A435="","",IF(ISNUMBER(FIND("IMPVOL",J$1)),_xll.BDH(config!$G$4,J$1,WORKDAY($A435,-1,config_Holiday_Calendar_US),WORKDAY($A435,-1,config_Holiday_Calendar_US)),IF(ISNUMBER(_xll.BDH(config!$G$4,J$1,$A435,$A435)),_xll.BDH(config!$G$4,J$1,$A435,$A435),_xll.BDH(config!$G$5,J$1,$A435,$A435))))</f>
        <v>#N/A Requesting Data...</v>
      </c>
      <c r="K435" s="8" t="str">
        <f>IF($A435="","",IF(ISNUMBER(FIND("IMPVOL",K$1)),_xll.BDH(config!$G$4,K$1,WORKDAY($A435,-1,config_Holiday_Calendar_US),WORKDAY($A435,-1,config_Holiday_Calendar_US)),IF(ISNUMBER(_xll.BDH(config!$G$4,K$1,$A435,$A435)),_xll.BDH(config!$G$4,K$1,$A435,$A435),_xll.BDH(config!$G$5,K$1,$A435,$A435))))</f>
        <v>#N/A Requesting Data...</v>
      </c>
      <c r="L435" s="8" t="str">
        <f>IF($A435="","",IF(ISNUMBER(FIND("IMPVOL",L$1)),_xll.BDH(config!$G$4,L$1,WORKDAY($A435,-1,config_Holiday_Calendar_US),WORKDAY($A435,-1,config_Holiday_Calendar_US)),IF(ISNUMBER(_xll.BDH(config!$G$4,L$1,$A435,$A435)),_xll.BDH(config!$G$4,L$1,$A435,$A435),_xll.BDH(config!$G$5,L$1,$A435,$A435))))</f>
        <v>#N/A Requesting Data...</v>
      </c>
      <c r="M435" s="8" t="str">
        <f>IF($A435="","",IF(ISNUMBER(FIND("IMPVOL",M$1)),_xll.BDH(config!$G$4,M$1,WORKDAY($A435,-1,config_Holiday_Calendar_US),WORKDAY($A435,-1,config_Holiday_Calendar_US)),IF(ISNUMBER(_xll.BDH(config!$G$4,M$1,$A435,$A435)),_xll.BDH(config!$G$4,M$1,$A435,$A435),_xll.BDH(config!$G$5,M$1,$A435,$A435))))</f>
        <v>#N/A Requesting Data...</v>
      </c>
      <c r="N435" s="8" t="str">
        <f>IF($A435="","",IF(ISNUMBER(FIND("IMPVOL",N$1)),_xll.BDH(config!$G$4,N$1,WORKDAY($A435,-1,config_Holiday_Calendar_US),WORKDAY($A435,-1,config_Holiday_Calendar_US)),IF(ISNUMBER(_xll.BDH(config!$G$4,N$1,$A435,$A435)),_xll.BDH(config!$G$4,N$1,$A435,$A435),_xll.BDH(config!$G$5,N$1,$A435,$A435))))</f>
        <v>#N/A Requesting Data...</v>
      </c>
      <c r="O435" s="8" t="str">
        <f>IF($A435="","",IF(ISNUMBER(FIND("IMPVOL",O$1)),_xll.BDH(config!$G$4,O$1,WORKDAY($A435,-1,config_Holiday_Calendar_US),WORKDAY($A435,-1,config_Holiday_Calendar_US)),IF(ISNUMBER(_xll.BDH(config!$G$4,O$1,$A435,$A435)),_xll.BDH(config!$G$4,O$1,$A435,$A435),_xll.BDH(config!$G$5,O$1,$A435,$A435))))</f>
        <v>#N/A Requesting Data...</v>
      </c>
      <c r="P435" s="8" t="str">
        <f>IF($A435="","",IF(ISNUMBER(FIND("IMPVOL",P$1)),_xll.BDH(config!$G$4,P$1,WORKDAY($A435,-1,config_Holiday_Calendar_US),WORKDAY($A435,-1,config_Holiday_Calendar_US)),IF(ISNUMBER(_xll.BDH(config!$G$4,P$1,$A435,$A435)),_xll.BDH(config!$G$4,P$1,$A435,$A435),_xll.BDH(config!$G$5,P$1,$A435,$A435))))</f>
        <v>#N/A Requesting Data...</v>
      </c>
      <c r="Q435" s="8" t="str">
        <f>IF($A435="","",IF(ISNUMBER(FIND("IMPVOL",Q$1)),_xll.BDH(config!$G$4,Q$1,WORKDAY($A435,-1,config_Holiday_Calendar_US),WORKDAY($A435,-1,config_Holiday_Calendar_US)),IF(ISNUMBER(_xll.BDH(config!$G$4,Q$1,$A435,$A435)),_xll.BDH(config!$G$4,Q$1,$A435,$A435),_xll.BDH(config!$G$5,Q$1,$A435,$A435))))</f>
        <v>#N/A Requesting Data...</v>
      </c>
      <c r="R435" s="8" t="str">
        <f>IF($A435="","",IF(ISNUMBER(FIND("IMPVOL",R$1)),_xll.BDH(config!$G$4,R$1,WORKDAY($A435,-1,config_Holiday_Calendar_US),WORKDAY($A435,-1,config_Holiday_Calendar_US)),IF(ISNUMBER(_xll.BDH(config!$G$4,R$1,$A435,$A435)),_xll.BDH(config!$G$4,R$1,$A435,$A435),_xll.BDH(config!$G$5,R$1,$A435,$A435))))</f>
        <v>#N/A Requesting Data...</v>
      </c>
      <c r="S435" s="8" t="str">
        <f>IF($A435="","",IF(ISNUMBER(FIND("IMPVOL",S$1)),_xll.BDH(config!$G$4,S$1,WORKDAY($A435,-1,config_Holiday_Calendar_US),WORKDAY($A435,-1,config_Holiday_Calendar_US)),IF(ISNUMBER(_xll.BDH(config!$G$4,S$1,$A435,$A435)),_xll.BDH(config!$G$4,S$1,$A435,$A435),_xll.BDH(config!$G$5,S$1,$A435,$A435))))</f>
        <v>#N/A Requesting Data...</v>
      </c>
      <c r="T435" s="8" t="str">
        <f>IF($A435="","",IF(ISNUMBER(FIND("IMPVOL",T$1)),_xll.BDH(config!$G$4,T$1,WORKDAY($A435,-1,config_Holiday_Calendar_US),WORKDAY($A435,-1,config_Holiday_Calendar_US)),IF(ISNUMBER(_xll.BDH(config!$G$4,T$1,$A435,$A435)),_xll.BDH(config!$G$4,T$1,$A435,$A435),_xll.BDH(config!$G$5,T$1,$A435,$A435))))</f>
        <v>#N/A Requesting Data...</v>
      </c>
      <c r="U435" s="8" t="str">
        <f>IF($A435="","",IF(ISNUMBER(FIND("IMPVOL",U$1)),_xll.BDH(config!$G$4,U$1,WORKDAY($A435,-1,config_Holiday_Calendar_US),WORKDAY($A435,-1,config_Holiday_Calendar_US)),IF(ISNUMBER(_xll.BDH(config!$G$4,U$1,$A435,$A435)),_xll.BDH(config!$G$4,U$1,$A435,$A435),_xll.BDH(config!$G$5,U$1,$A435,$A435))))</f>
        <v>#N/A Requesting Data...</v>
      </c>
      <c r="V435" s="8" t="str">
        <f>IF($A435="","",IF(ISNUMBER(FIND("IMPVOL",V$1)),_xll.BDH(config!$G$4,V$1,WORKDAY($A435,-1,config_Holiday_Calendar_US),WORKDAY($A435,-1,config_Holiday_Calendar_US)),IF(ISNUMBER(_xll.BDH(config!$G$4,V$1,$A435,$A435)),_xll.BDH(config!$G$4,V$1,$A435,$A435),_xll.BDH(config!$G$5,V$1,$A435,$A435))))</f>
        <v>#N/A Requesting Data...</v>
      </c>
      <c r="W435" s="8" t="str">
        <f>IF($A435="","",IF(ISNUMBER(FIND("IMPVOL",W$1)),_xll.BDH(config!$G$4,W$1,WORKDAY($A435,-1,config_Holiday_Calendar_US),WORKDAY($A435,-1,config_Holiday_Calendar_US)),IF(ISNUMBER(_xll.BDH(config!$G$4,W$1,$A435,$A435)),_xll.BDH(config!$G$4,W$1,$A435,$A435),_xll.BDH(config!$G$5,W$1,$A435,$A435))))</f>
        <v>#N/A Requesting Data...</v>
      </c>
    </row>
    <row r="436" spans="1:23" x14ac:dyDescent="0.2">
      <c r="A436" s="9">
        <f>IF(A435="","",IF(WORKDAY(A435,-1,config_Holiday_Calendar_US)&lt;config!$I$10,"",WORKDAY(A435,-1,config_Holiday_Calendar_US)))</f>
        <v>42198</v>
      </c>
      <c r="B436" s="8" t="e">
        <f t="shared" si="6"/>
        <v>#VALUE!</v>
      </c>
      <c r="C436" s="8" t="str">
        <f>IF(A436="","",_xll.BDH(config!$H$4,C$1,$A436,$A436))</f>
        <v>#N/A Requesting Data...</v>
      </c>
      <c r="D436" s="8" t="str">
        <f>IF($A436="","",_xll.BDH(config!$H$4,D$1,$A436,$A436))</f>
        <v>#N/A Requesting Data...</v>
      </c>
      <c r="E436" s="8">
        <f>IF($A436="","",IF(ISNUMBER(FIND("IMPVOL",E$1)),_xll.BDH(config!$G$4,E$1,WORKDAY($A436,-1,config_Holiday_Calendar_US),WORKDAY($A436,-1,config_Holiday_Calendar_US)),IF(ISNUMBER(_xll.BDH(config!$G$4,E$1,$A436,$A436)),_xll.BDH(config!$G$4,E$1,$A436,$A436),_xll.BDH(config!$G$5,E$1,$A436,$A436))))</f>
        <v>52.15</v>
      </c>
      <c r="F436" s="8">
        <f>IF($A436="","",IF(ISNUMBER(FIND("IMPVOL",F$1)),_xll.BDH(config!$G$4,F$1,WORKDAY($A436,-1,config_Holiday_Calendar_US),WORKDAY($A436,-1,config_Holiday_Calendar_US)),IF(ISNUMBER(_xll.BDH(config!$G$4,F$1,$A436,$A436)),_xll.BDH(config!$G$4,F$1,$A436,$A436),_xll.BDH(config!$G$5,F$1,$A436,$A436))))</f>
        <v>53.17</v>
      </c>
      <c r="G436" s="8" t="str">
        <f>IF($A436="","",IF(ISNUMBER(FIND("IMPVOL",G$1)),_xll.BDH(config!$G$4,G$1,WORKDAY($A436,-1,config_Holiday_Calendar_US),WORKDAY($A436,-1,config_Holiday_Calendar_US)),IF(ISNUMBER(_xll.BDH(config!$G$4,G$1,$A436,$A436)),_xll.BDH(config!$G$4,G$1,$A436,$A436),_xll.BDH(config!$G$5,G$1,$A436,$A436))))</f>
        <v>#N/A Requesting Data...</v>
      </c>
      <c r="H436" s="8" t="str">
        <f>IF($A436="","",IF(ISNUMBER(FIND("IMPVOL",H$1)),_xll.BDH(config!$G$4,H$1,WORKDAY($A436,-1,config_Holiday_Calendar_US),WORKDAY($A436,-1,config_Holiday_Calendar_US)),IF(ISNUMBER(_xll.BDH(config!$G$4,H$1,$A436,$A436)),_xll.BDH(config!$G$4,H$1,$A436,$A436),_xll.BDH(config!$G$5,H$1,$A436,$A436))))</f>
        <v>#N/A Requesting Data...</v>
      </c>
      <c r="I436" s="8" t="str">
        <f>IF($A436="","",IF(ISNUMBER(FIND("IMPVOL",I$1)),_xll.BDH(config!$G$4,I$1,WORKDAY($A436,-1,config_Holiday_Calendar_US),WORKDAY($A436,-1,config_Holiday_Calendar_US)),IF(ISNUMBER(_xll.BDH(config!$G$4,I$1,$A436,$A436)),_xll.BDH(config!$G$4,I$1,$A436,$A436),_xll.BDH(config!$G$5,I$1,$A436,$A436))))</f>
        <v>#N/A Requesting Data...</v>
      </c>
      <c r="J436" s="8" t="str">
        <f>IF($A436="","",IF(ISNUMBER(FIND("IMPVOL",J$1)),_xll.BDH(config!$G$4,J$1,WORKDAY($A436,-1,config_Holiday_Calendar_US),WORKDAY($A436,-1,config_Holiday_Calendar_US)),IF(ISNUMBER(_xll.BDH(config!$G$4,J$1,$A436,$A436)),_xll.BDH(config!$G$4,J$1,$A436,$A436),_xll.BDH(config!$G$5,J$1,$A436,$A436))))</f>
        <v>#N/A Requesting Data...</v>
      </c>
      <c r="K436" s="8" t="str">
        <f>IF($A436="","",IF(ISNUMBER(FIND("IMPVOL",K$1)),_xll.BDH(config!$G$4,K$1,WORKDAY($A436,-1,config_Holiday_Calendar_US),WORKDAY($A436,-1,config_Holiday_Calendar_US)),IF(ISNUMBER(_xll.BDH(config!$G$4,K$1,$A436,$A436)),_xll.BDH(config!$G$4,K$1,$A436,$A436),_xll.BDH(config!$G$5,K$1,$A436,$A436))))</f>
        <v>#N/A Requesting Data...</v>
      </c>
      <c r="L436" s="8" t="str">
        <f>IF($A436="","",IF(ISNUMBER(FIND("IMPVOL",L$1)),_xll.BDH(config!$G$4,L$1,WORKDAY($A436,-1,config_Holiday_Calendar_US),WORKDAY($A436,-1,config_Holiday_Calendar_US)),IF(ISNUMBER(_xll.BDH(config!$G$4,L$1,$A436,$A436)),_xll.BDH(config!$G$4,L$1,$A436,$A436),_xll.BDH(config!$G$5,L$1,$A436,$A436))))</f>
        <v>#N/A Requesting Data...</v>
      </c>
      <c r="M436" s="8" t="str">
        <f>IF($A436="","",IF(ISNUMBER(FIND("IMPVOL",M$1)),_xll.BDH(config!$G$4,M$1,WORKDAY($A436,-1,config_Holiday_Calendar_US),WORKDAY($A436,-1,config_Holiday_Calendar_US)),IF(ISNUMBER(_xll.BDH(config!$G$4,M$1,$A436,$A436)),_xll.BDH(config!$G$4,M$1,$A436,$A436),_xll.BDH(config!$G$5,M$1,$A436,$A436))))</f>
        <v>#N/A Requesting Data...</v>
      </c>
      <c r="N436" s="8" t="str">
        <f>IF($A436="","",IF(ISNUMBER(FIND("IMPVOL",N$1)),_xll.BDH(config!$G$4,N$1,WORKDAY($A436,-1,config_Holiday_Calendar_US),WORKDAY($A436,-1,config_Holiday_Calendar_US)),IF(ISNUMBER(_xll.BDH(config!$G$4,N$1,$A436,$A436)),_xll.BDH(config!$G$4,N$1,$A436,$A436),_xll.BDH(config!$G$5,N$1,$A436,$A436))))</f>
        <v>#N/A Requesting Data...</v>
      </c>
      <c r="O436" s="8" t="str">
        <f>IF($A436="","",IF(ISNUMBER(FIND("IMPVOL",O$1)),_xll.BDH(config!$G$4,O$1,WORKDAY($A436,-1,config_Holiday_Calendar_US),WORKDAY($A436,-1,config_Holiday_Calendar_US)),IF(ISNUMBER(_xll.BDH(config!$G$4,O$1,$A436,$A436)),_xll.BDH(config!$G$4,O$1,$A436,$A436),_xll.BDH(config!$G$5,O$1,$A436,$A436))))</f>
        <v>#N/A Requesting Data...</v>
      </c>
      <c r="P436" s="8" t="str">
        <f>IF($A436="","",IF(ISNUMBER(FIND("IMPVOL",P$1)),_xll.BDH(config!$G$4,P$1,WORKDAY($A436,-1,config_Holiday_Calendar_US),WORKDAY($A436,-1,config_Holiday_Calendar_US)),IF(ISNUMBER(_xll.BDH(config!$G$4,P$1,$A436,$A436)),_xll.BDH(config!$G$4,P$1,$A436,$A436),_xll.BDH(config!$G$5,P$1,$A436,$A436))))</f>
        <v>#N/A Requesting Data...</v>
      </c>
      <c r="Q436" s="8" t="str">
        <f>IF($A436="","",IF(ISNUMBER(FIND("IMPVOL",Q$1)),_xll.BDH(config!$G$4,Q$1,WORKDAY($A436,-1,config_Holiday_Calendar_US),WORKDAY($A436,-1,config_Holiday_Calendar_US)),IF(ISNUMBER(_xll.BDH(config!$G$4,Q$1,$A436,$A436)),_xll.BDH(config!$G$4,Q$1,$A436,$A436),_xll.BDH(config!$G$5,Q$1,$A436,$A436))))</f>
        <v>#N/A Requesting Data...</v>
      </c>
      <c r="R436" s="8" t="str">
        <f>IF($A436="","",IF(ISNUMBER(FIND("IMPVOL",R$1)),_xll.BDH(config!$G$4,R$1,WORKDAY($A436,-1,config_Holiday_Calendar_US),WORKDAY($A436,-1,config_Holiday_Calendar_US)),IF(ISNUMBER(_xll.BDH(config!$G$4,R$1,$A436,$A436)),_xll.BDH(config!$G$4,R$1,$A436,$A436),_xll.BDH(config!$G$5,R$1,$A436,$A436))))</f>
        <v>#N/A Requesting Data...</v>
      </c>
      <c r="S436" s="8" t="str">
        <f>IF($A436="","",IF(ISNUMBER(FIND("IMPVOL",S$1)),_xll.BDH(config!$G$4,S$1,WORKDAY($A436,-1,config_Holiday_Calendar_US),WORKDAY($A436,-1,config_Holiday_Calendar_US)),IF(ISNUMBER(_xll.BDH(config!$G$4,S$1,$A436,$A436)),_xll.BDH(config!$G$4,S$1,$A436,$A436),_xll.BDH(config!$G$5,S$1,$A436,$A436))))</f>
        <v>#N/A Requesting Data...</v>
      </c>
      <c r="T436" s="8" t="str">
        <f>IF($A436="","",IF(ISNUMBER(FIND("IMPVOL",T$1)),_xll.BDH(config!$G$4,T$1,WORKDAY($A436,-1,config_Holiday_Calendar_US),WORKDAY($A436,-1,config_Holiday_Calendar_US)),IF(ISNUMBER(_xll.BDH(config!$G$4,T$1,$A436,$A436)),_xll.BDH(config!$G$4,T$1,$A436,$A436),_xll.BDH(config!$G$5,T$1,$A436,$A436))))</f>
        <v>#N/A Requesting Data...</v>
      </c>
      <c r="U436" s="8" t="str">
        <f>IF($A436="","",IF(ISNUMBER(FIND("IMPVOL",U$1)),_xll.BDH(config!$G$4,U$1,WORKDAY($A436,-1,config_Holiday_Calendar_US),WORKDAY($A436,-1,config_Holiday_Calendar_US)),IF(ISNUMBER(_xll.BDH(config!$G$4,U$1,$A436,$A436)),_xll.BDH(config!$G$4,U$1,$A436,$A436),_xll.BDH(config!$G$5,U$1,$A436,$A436))))</f>
        <v>#N/A Requesting Data...</v>
      </c>
      <c r="V436" s="8" t="str">
        <f>IF($A436="","",IF(ISNUMBER(FIND("IMPVOL",V$1)),_xll.BDH(config!$G$4,V$1,WORKDAY($A436,-1,config_Holiday_Calendar_US),WORKDAY($A436,-1,config_Holiday_Calendar_US)),IF(ISNUMBER(_xll.BDH(config!$G$4,V$1,$A436,$A436)),_xll.BDH(config!$G$4,V$1,$A436,$A436),_xll.BDH(config!$G$5,V$1,$A436,$A436))))</f>
        <v>#N/A Requesting Data...</v>
      </c>
      <c r="W436" s="8" t="str">
        <f>IF($A436="","",IF(ISNUMBER(FIND("IMPVOL",W$1)),_xll.BDH(config!$G$4,W$1,WORKDAY($A436,-1,config_Holiday_Calendar_US),WORKDAY($A436,-1,config_Holiday_Calendar_US)),IF(ISNUMBER(_xll.BDH(config!$G$4,W$1,$A436,$A436)),_xll.BDH(config!$G$4,W$1,$A436,$A436),_xll.BDH(config!$G$5,W$1,$A436,$A436))))</f>
        <v>#N/A Requesting Data...</v>
      </c>
    </row>
    <row r="437" spans="1:23" x14ac:dyDescent="0.2">
      <c r="A437" s="9">
        <f>IF(A436="","",IF(WORKDAY(A436,-1,config_Holiday_Calendar_US)&lt;config!$I$10,"",WORKDAY(A436,-1,config_Holiday_Calendar_US)))</f>
        <v>42195</v>
      </c>
      <c r="B437" s="8" t="e">
        <f t="shared" si="6"/>
        <v>#VALUE!</v>
      </c>
      <c r="C437" s="8" t="str">
        <f>IF(A437="","",_xll.BDH(config!$H$4,C$1,$A437,$A437))</f>
        <v>#N/A Requesting Data...</v>
      </c>
      <c r="D437" s="8" t="str">
        <f>IF($A437="","",_xll.BDH(config!$H$4,D$1,$A437,$A437))</f>
        <v>#N/A Requesting Data...</v>
      </c>
      <c r="E437" s="8">
        <f>IF($A437="","",IF(ISNUMBER(FIND("IMPVOL",E$1)),_xll.BDH(config!$G$4,E$1,WORKDAY($A437,-1,config_Holiday_Calendar_US),WORKDAY($A437,-1,config_Holiday_Calendar_US)),IF(ISNUMBER(_xll.BDH(config!$G$4,E$1,$A437,$A437)),_xll.BDH(config!$G$4,E$1,$A437,$A437),_xll.BDH(config!$G$5,E$1,$A437,$A437))))</f>
        <v>52.48</v>
      </c>
      <c r="F437" s="8">
        <f>IF($A437="","",IF(ISNUMBER(FIND("IMPVOL",F$1)),_xll.BDH(config!$G$4,F$1,WORKDAY($A437,-1,config_Holiday_Calendar_US),WORKDAY($A437,-1,config_Holiday_Calendar_US)),IF(ISNUMBER(_xll.BDH(config!$G$4,F$1,$A437,$A437)),_xll.BDH(config!$G$4,F$1,$A437,$A437),_xll.BDH(config!$G$5,F$1,$A437,$A437))))</f>
        <v>53.89</v>
      </c>
      <c r="G437" s="8" t="str">
        <f>IF($A437="","",IF(ISNUMBER(FIND("IMPVOL",G$1)),_xll.BDH(config!$G$4,G$1,WORKDAY($A437,-1,config_Holiday_Calendar_US),WORKDAY($A437,-1,config_Holiday_Calendar_US)),IF(ISNUMBER(_xll.BDH(config!$G$4,G$1,$A437,$A437)),_xll.BDH(config!$G$4,G$1,$A437,$A437),_xll.BDH(config!$G$5,G$1,$A437,$A437))))</f>
        <v>#N/A Requesting Data...</v>
      </c>
      <c r="H437" s="8" t="str">
        <f>IF($A437="","",IF(ISNUMBER(FIND("IMPVOL",H$1)),_xll.BDH(config!$G$4,H$1,WORKDAY($A437,-1,config_Holiday_Calendar_US),WORKDAY($A437,-1,config_Holiday_Calendar_US)),IF(ISNUMBER(_xll.BDH(config!$G$4,H$1,$A437,$A437)),_xll.BDH(config!$G$4,H$1,$A437,$A437),_xll.BDH(config!$G$5,H$1,$A437,$A437))))</f>
        <v>#N/A Requesting Data...</v>
      </c>
      <c r="I437" s="8" t="str">
        <f>IF($A437="","",IF(ISNUMBER(FIND("IMPVOL",I$1)),_xll.BDH(config!$G$4,I$1,WORKDAY($A437,-1,config_Holiday_Calendar_US),WORKDAY($A437,-1,config_Holiday_Calendar_US)),IF(ISNUMBER(_xll.BDH(config!$G$4,I$1,$A437,$A437)),_xll.BDH(config!$G$4,I$1,$A437,$A437),_xll.BDH(config!$G$5,I$1,$A437,$A437))))</f>
        <v>#N/A Requesting Data...</v>
      </c>
      <c r="J437" s="8" t="str">
        <f>IF($A437="","",IF(ISNUMBER(FIND("IMPVOL",J$1)),_xll.BDH(config!$G$4,J$1,WORKDAY($A437,-1,config_Holiday_Calendar_US),WORKDAY($A437,-1,config_Holiday_Calendar_US)),IF(ISNUMBER(_xll.BDH(config!$G$4,J$1,$A437,$A437)),_xll.BDH(config!$G$4,J$1,$A437,$A437),_xll.BDH(config!$G$5,J$1,$A437,$A437))))</f>
        <v>#N/A Requesting Data...</v>
      </c>
      <c r="K437" s="8" t="str">
        <f>IF($A437="","",IF(ISNUMBER(FIND("IMPVOL",K$1)),_xll.BDH(config!$G$4,K$1,WORKDAY($A437,-1,config_Holiday_Calendar_US),WORKDAY($A437,-1,config_Holiday_Calendar_US)),IF(ISNUMBER(_xll.BDH(config!$G$4,K$1,$A437,$A437)),_xll.BDH(config!$G$4,K$1,$A437,$A437),_xll.BDH(config!$G$5,K$1,$A437,$A437))))</f>
        <v>#N/A Requesting Data...</v>
      </c>
      <c r="L437" s="8" t="str">
        <f>IF($A437="","",IF(ISNUMBER(FIND("IMPVOL",L$1)),_xll.BDH(config!$G$4,L$1,WORKDAY($A437,-1,config_Holiday_Calendar_US),WORKDAY($A437,-1,config_Holiday_Calendar_US)),IF(ISNUMBER(_xll.BDH(config!$G$4,L$1,$A437,$A437)),_xll.BDH(config!$G$4,L$1,$A437,$A437),_xll.BDH(config!$G$5,L$1,$A437,$A437))))</f>
        <v>#N/A Requesting Data...</v>
      </c>
      <c r="M437" s="8" t="str">
        <f>IF($A437="","",IF(ISNUMBER(FIND("IMPVOL",M$1)),_xll.BDH(config!$G$4,M$1,WORKDAY($A437,-1,config_Holiday_Calendar_US),WORKDAY($A437,-1,config_Holiday_Calendar_US)),IF(ISNUMBER(_xll.BDH(config!$G$4,M$1,$A437,$A437)),_xll.BDH(config!$G$4,M$1,$A437,$A437),_xll.BDH(config!$G$5,M$1,$A437,$A437))))</f>
        <v>#N/A Requesting Data...</v>
      </c>
      <c r="N437" s="8" t="str">
        <f>IF($A437="","",IF(ISNUMBER(FIND("IMPVOL",N$1)),_xll.BDH(config!$G$4,N$1,WORKDAY($A437,-1,config_Holiday_Calendar_US),WORKDAY($A437,-1,config_Holiday_Calendar_US)),IF(ISNUMBER(_xll.BDH(config!$G$4,N$1,$A437,$A437)),_xll.BDH(config!$G$4,N$1,$A437,$A437),_xll.BDH(config!$G$5,N$1,$A437,$A437))))</f>
        <v>#N/A Requesting Data...</v>
      </c>
      <c r="O437" s="8" t="str">
        <f>IF($A437="","",IF(ISNUMBER(FIND("IMPVOL",O$1)),_xll.BDH(config!$G$4,O$1,WORKDAY($A437,-1,config_Holiday_Calendar_US),WORKDAY($A437,-1,config_Holiday_Calendar_US)),IF(ISNUMBER(_xll.BDH(config!$G$4,O$1,$A437,$A437)),_xll.BDH(config!$G$4,O$1,$A437,$A437),_xll.BDH(config!$G$5,O$1,$A437,$A437))))</f>
        <v>#N/A Requesting Data...</v>
      </c>
      <c r="P437" s="8" t="str">
        <f>IF($A437="","",IF(ISNUMBER(FIND("IMPVOL",P$1)),_xll.BDH(config!$G$4,P$1,WORKDAY($A437,-1,config_Holiday_Calendar_US),WORKDAY($A437,-1,config_Holiday_Calendar_US)),IF(ISNUMBER(_xll.BDH(config!$G$4,P$1,$A437,$A437)),_xll.BDH(config!$G$4,P$1,$A437,$A437),_xll.BDH(config!$G$5,P$1,$A437,$A437))))</f>
        <v>#N/A Requesting Data...</v>
      </c>
      <c r="Q437" s="8" t="str">
        <f>IF($A437="","",IF(ISNUMBER(FIND("IMPVOL",Q$1)),_xll.BDH(config!$G$4,Q$1,WORKDAY($A437,-1,config_Holiday_Calendar_US),WORKDAY($A437,-1,config_Holiday_Calendar_US)),IF(ISNUMBER(_xll.BDH(config!$G$4,Q$1,$A437,$A437)),_xll.BDH(config!$G$4,Q$1,$A437,$A437),_xll.BDH(config!$G$5,Q$1,$A437,$A437))))</f>
        <v>#N/A Requesting Data...</v>
      </c>
      <c r="R437" s="8" t="str">
        <f>IF($A437="","",IF(ISNUMBER(FIND("IMPVOL",R$1)),_xll.BDH(config!$G$4,R$1,WORKDAY($A437,-1,config_Holiday_Calendar_US),WORKDAY($A437,-1,config_Holiday_Calendar_US)),IF(ISNUMBER(_xll.BDH(config!$G$4,R$1,$A437,$A437)),_xll.BDH(config!$G$4,R$1,$A437,$A437),_xll.BDH(config!$G$5,R$1,$A437,$A437))))</f>
        <v>#N/A Requesting Data...</v>
      </c>
      <c r="S437" s="8" t="str">
        <f>IF($A437="","",IF(ISNUMBER(FIND("IMPVOL",S$1)),_xll.BDH(config!$G$4,S$1,WORKDAY($A437,-1,config_Holiday_Calendar_US),WORKDAY($A437,-1,config_Holiday_Calendar_US)),IF(ISNUMBER(_xll.BDH(config!$G$4,S$1,$A437,$A437)),_xll.BDH(config!$G$4,S$1,$A437,$A437),_xll.BDH(config!$G$5,S$1,$A437,$A437))))</f>
        <v>#N/A Requesting Data...</v>
      </c>
      <c r="T437" s="8" t="str">
        <f>IF($A437="","",IF(ISNUMBER(FIND("IMPVOL",T$1)),_xll.BDH(config!$G$4,T$1,WORKDAY($A437,-1,config_Holiday_Calendar_US),WORKDAY($A437,-1,config_Holiday_Calendar_US)),IF(ISNUMBER(_xll.BDH(config!$G$4,T$1,$A437,$A437)),_xll.BDH(config!$G$4,T$1,$A437,$A437),_xll.BDH(config!$G$5,T$1,$A437,$A437))))</f>
        <v>#N/A Requesting Data...</v>
      </c>
      <c r="U437" s="8" t="str">
        <f>IF($A437="","",IF(ISNUMBER(FIND("IMPVOL",U$1)),_xll.BDH(config!$G$4,U$1,WORKDAY($A437,-1,config_Holiday_Calendar_US),WORKDAY($A437,-1,config_Holiday_Calendar_US)),IF(ISNUMBER(_xll.BDH(config!$G$4,U$1,$A437,$A437)),_xll.BDH(config!$G$4,U$1,$A437,$A437),_xll.BDH(config!$G$5,U$1,$A437,$A437))))</f>
        <v>#N/A Requesting Data...</v>
      </c>
      <c r="V437" s="8" t="str">
        <f>IF($A437="","",IF(ISNUMBER(FIND("IMPVOL",V$1)),_xll.BDH(config!$G$4,V$1,WORKDAY($A437,-1,config_Holiday_Calendar_US),WORKDAY($A437,-1,config_Holiday_Calendar_US)),IF(ISNUMBER(_xll.BDH(config!$G$4,V$1,$A437,$A437)),_xll.BDH(config!$G$4,V$1,$A437,$A437),_xll.BDH(config!$G$5,V$1,$A437,$A437))))</f>
        <v>#N/A Requesting Data...</v>
      </c>
      <c r="W437" s="8" t="str">
        <f>IF($A437="","",IF(ISNUMBER(FIND("IMPVOL",W$1)),_xll.BDH(config!$G$4,W$1,WORKDAY($A437,-1,config_Holiday_Calendar_US),WORKDAY($A437,-1,config_Holiday_Calendar_US)),IF(ISNUMBER(_xll.BDH(config!$G$4,W$1,$A437,$A437)),_xll.BDH(config!$G$4,W$1,$A437,$A437),_xll.BDH(config!$G$5,W$1,$A437,$A437))))</f>
        <v>#N/A Requesting Data...</v>
      </c>
    </row>
    <row r="438" spans="1:23" x14ac:dyDescent="0.2">
      <c r="A438" s="9">
        <f>IF(A437="","",IF(WORKDAY(A437,-1,config_Holiday_Calendar_US)&lt;config!$I$10,"",WORKDAY(A437,-1,config_Holiday_Calendar_US)))</f>
        <v>42194</v>
      </c>
      <c r="B438" s="8" t="e">
        <f t="shared" si="6"/>
        <v>#VALUE!</v>
      </c>
      <c r="C438" s="8" t="str">
        <f>IF(A438="","",_xll.BDH(config!$H$4,C$1,$A438,$A438))</f>
        <v>#N/A Requesting Data...</v>
      </c>
      <c r="D438" s="8" t="str">
        <f>IF($A438="","",_xll.BDH(config!$H$4,D$1,$A438,$A438))</f>
        <v>#N/A Requesting Data...</v>
      </c>
      <c r="E438" s="8">
        <f>IF($A438="","",IF(ISNUMBER(FIND("IMPVOL",E$1)),_xll.BDH(config!$G$4,E$1,WORKDAY($A438,-1,config_Holiday_Calendar_US),WORKDAY($A438,-1,config_Holiday_Calendar_US)),IF(ISNUMBER(_xll.BDH(config!$G$4,E$1,$A438,$A438)),_xll.BDH(config!$G$4,E$1,$A438,$A438),_xll.BDH(config!$G$5,E$1,$A438,$A438))))</f>
        <v>51.83</v>
      </c>
      <c r="F438" s="8">
        <f>IF($A438="","",IF(ISNUMBER(FIND("IMPVOL",F$1)),_xll.BDH(config!$G$4,F$1,WORKDAY($A438,-1,config_Holiday_Calendar_US),WORKDAY($A438,-1,config_Holiday_Calendar_US)),IF(ISNUMBER(_xll.BDH(config!$G$4,F$1,$A438,$A438)),_xll.BDH(config!$G$4,F$1,$A438,$A438),_xll.BDH(config!$G$5,F$1,$A438,$A438))))</f>
        <v>53.54</v>
      </c>
      <c r="G438" s="8" t="str">
        <f>IF($A438="","",IF(ISNUMBER(FIND("IMPVOL",G$1)),_xll.BDH(config!$G$4,G$1,WORKDAY($A438,-1,config_Holiday_Calendar_US),WORKDAY($A438,-1,config_Holiday_Calendar_US)),IF(ISNUMBER(_xll.BDH(config!$G$4,G$1,$A438,$A438)),_xll.BDH(config!$G$4,G$1,$A438,$A438),_xll.BDH(config!$G$5,G$1,$A438,$A438))))</f>
        <v>#N/A Requesting Data...</v>
      </c>
      <c r="H438" s="8" t="str">
        <f>IF($A438="","",IF(ISNUMBER(FIND("IMPVOL",H$1)),_xll.BDH(config!$G$4,H$1,WORKDAY($A438,-1,config_Holiday_Calendar_US),WORKDAY($A438,-1,config_Holiday_Calendar_US)),IF(ISNUMBER(_xll.BDH(config!$G$4,H$1,$A438,$A438)),_xll.BDH(config!$G$4,H$1,$A438,$A438),_xll.BDH(config!$G$5,H$1,$A438,$A438))))</f>
        <v>#N/A Requesting Data...</v>
      </c>
      <c r="I438" s="8" t="str">
        <f>IF($A438="","",IF(ISNUMBER(FIND("IMPVOL",I$1)),_xll.BDH(config!$G$4,I$1,WORKDAY($A438,-1,config_Holiday_Calendar_US),WORKDAY($A438,-1,config_Holiday_Calendar_US)),IF(ISNUMBER(_xll.BDH(config!$G$4,I$1,$A438,$A438)),_xll.BDH(config!$G$4,I$1,$A438,$A438),_xll.BDH(config!$G$5,I$1,$A438,$A438))))</f>
        <v>#N/A Requesting Data...</v>
      </c>
      <c r="J438" s="8" t="str">
        <f>IF($A438="","",IF(ISNUMBER(FIND("IMPVOL",J$1)),_xll.BDH(config!$G$4,J$1,WORKDAY($A438,-1,config_Holiday_Calendar_US),WORKDAY($A438,-1,config_Holiday_Calendar_US)),IF(ISNUMBER(_xll.BDH(config!$G$4,J$1,$A438,$A438)),_xll.BDH(config!$G$4,J$1,$A438,$A438),_xll.BDH(config!$G$5,J$1,$A438,$A438))))</f>
        <v>#N/A Requesting Data...</v>
      </c>
      <c r="K438" s="8" t="str">
        <f>IF($A438="","",IF(ISNUMBER(FIND("IMPVOL",K$1)),_xll.BDH(config!$G$4,K$1,WORKDAY($A438,-1,config_Holiday_Calendar_US),WORKDAY($A438,-1,config_Holiday_Calendar_US)),IF(ISNUMBER(_xll.BDH(config!$G$4,K$1,$A438,$A438)),_xll.BDH(config!$G$4,K$1,$A438,$A438),_xll.BDH(config!$G$5,K$1,$A438,$A438))))</f>
        <v>#N/A Requesting Data...</v>
      </c>
      <c r="L438" s="8" t="str">
        <f>IF($A438="","",IF(ISNUMBER(FIND("IMPVOL",L$1)),_xll.BDH(config!$G$4,L$1,WORKDAY($A438,-1,config_Holiday_Calendar_US),WORKDAY($A438,-1,config_Holiday_Calendar_US)),IF(ISNUMBER(_xll.BDH(config!$G$4,L$1,$A438,$A438)),_xll.BDH(config!$G$4,L$1,$A438,$A438),_xll.BDH(config!$G$5,L$1,$A438,$A438))))</f>
        <v>#N/A Requesting Data...</v>
      </c>
      <c r="M438" s="8" t="str">
        <f>IF($A438="","",IF(ISNUMBER(FIND("IMPVOL",M$1)),_xll.BDH(config!$G$4,M$1,WORKDAY($A438,-1,config_Holiday_Calendar_US),WORKDAY($A438,-1,config_Holiday_Calendar_US)),IF(ISNUMBER(_xll.BDH(config!$G$4,M$1,$A438,$A438)),_xll.BDH(config!$G$4,M$1,$A438,$A438),_xll.BDH(config!$G$5,M$1,$A438,$A438))))</f>
        <v>#N/A Requesting Data...</v>
      </c>
      <c r="N438" s="8" t="str">
        <f>IF($A438="","",IF(ISNUMBER(FIND("IMPVOL",N$1)),_xll.BDH(config!$G$4,N$1,WORKDAY($A438,-1,config_Holiday_Calendar_US),WORKDAY($A438,-1,config_Holiday_Calendar_US)),IF(ISNUMBER(_xll.BDH(config!$G$4,N$1,$A438,$A438)),_xll.BDH(config!$G$4,N$1,$A438,$A438),_xll.BDH(config!$G$5,N$1,$A438,$A438))))</f>
        <v>#N/A Requesting Data...</v>
      </c>
      <c r="O438" s="8" t="str">
        <f>IF($A438="","",IF(ISNUMBER(FIND("IMPVOL",O$1)),_xll.BDH(config!$G$4,O$1,WORKDAY($A438,-1,config_Holiday_Calendar_US),WORKDAY($A438,-1,config_Holiday_Calendar_US)),IF(ISNUMBER(_xll.BDH(config!$G$4,O$1,$A438,$A438)),_xll.BDH(config!$G$4,O$1,$A438,$A438),_xll.BDH(config!$G$5,O$1,$A438,$A438))))</f>
        <v>#N/A Requesting Data...</v>
      </c>
      <c r="P438" s="8" t="str">
        <f>IF($A438="","",IF(ISNUMBER(FIND("IMPVOL",P$1)),_xll.BDH(config!$G$4,P$1,WORKDAY($A438,-1,config_Holiday_Calendar_US),WORKDAY($A438,-1,config_Holiday_Calendar_US)),IF(ISNUMBER(_xll.BDH(config!$G$4,P$1,$A438,$A438)),_xll.BDH(config!$G$4,P$1,$A438,$A438),_xll.BDH(config!$G$5,P$1,$A438,$A438))))</f>
        <v>#N/A Requesting Data...</v>
      </c>
      <c r="Q438" s="8" t="str">
        <f>IF($A438="","",IF(ISNUMBER(FIND("IMPVOL",Q$1)),_xll.BDH(config!$G$4,Q$1,WORKDAY($A438,-1,config_Holiday_Calendar_US),WORKDAY($A438,-1,config_Holiday_Calendar_US)),IF(ISNUMBER(_xll.BDH(config!$G$4,Q$1,$A438,$A438)),_xll.BDH(config!$G$4,Q$1,$A438,$A438),_xll.BDH(config!$G$5,Q$1,$A438,$A438))))</f>
        <v>#N/A Requesting Data...</v>
      </c>
      <c r="R438" s="8" t="str">
        <f>IF($A438="","",IF(ISNUMBER(FIND("IMPVOL",R$1)),_xll.BDH(config!$G$4,R$1,WORKDAY($A438,-1,config_Holiday_Calendar_US),WORKDAY($A438,-1,config_Holiday_Calendar_US)),IF(ISNUMBER(_xll.BDH(config!$G$4,R$1,$A438,$A438)),_xll.BDH(config!$G$4,R$1,$A438,$A438),_xll.BDH(config!$G$5,R$1,$A438,$A438))))</f>
        <v>#N/A Requesting Data...</v>
      </c>
      <c r="S438" s="8" t="str">
        <f>IF($A438="","",IF(ISNUMBER(FIND("IMPVOL",S$1)),_xll.BDH(config!$G$4,S$1,WORKDAY($A438,-1,config_Holiday_Calendar_US),WORKDAY($A438,-1,config_Holiday_Calendar_US)),IF(ISNUMBER(_xll.BDH(config!$G$4,S$1,$A438,$A438)),_xll.BDH(config!$G$4,S$1,$A438,$A438),_xll.BDH(config!$G$5,S$1,$A438,$A438))))</f>
        <v>#N/A Requesting Data...</v>
      </c>
      <c r="T438" s="8" t="str">
        <f>IF($A438="","",IF(ISNUMBER(FIND("IMPVOL",T$1)),_xll.BDH(config!$G$4,T$1,WORKDAY($A438,-1,config_Holiday_Calendar_US),WORKDAY($A438,-1,config_Holiday_Calendar_US)),IF(ISNUMBER(_xll.BDH(config!$G$4,T$1,$A438,$A438)),_xll.BDH(config!$G$4,T$1,$A438,$A438),_xll.BDH(config!$G$5,T$1,$A438,$A438))))</f>
        <v>#N/A Requesting Data...</v>
      </c>
      <c r="U438" s="8" t="str">
        <f>IF($A438="","",IF(ISNUMBER(FIND("IMPVOL",U$1)),_xll.BDH(config!$G$4,U$1,WORKDAY($A438,-1,config_Holiday_Calendar_US),WORKDAY($A438,-1,config_Holiday_Calendar_US)),IF(ISNUMBER(_xll.BDH(config!$G$4,U$1,$A438,$A438)),_xll.BDH(config!$G$4,U$1,$A438,$A438),_xll.BDH(config!$G$5,U$1,$A438,$A438))))</f>
        <v>#N/A Requesting Data...</v>
      </c>
      <c r="V438" s="8" t="str">
        <f>IF($A438="","",IF(ISNUMBER(FIND("IMPVOL",V$1)),_xll.BDH(config!$G$4,V$1,WORKDAY($A438,-1,config_Holiday_Calendar_US),WORKDAY($A438,-1,config_Holiday_Calendar_US)),IF(ISNUMBER(_xll.BDH(config!$G$4,V$1,$A438,$A438)),_xll.BDH(config!$G$4,V$1,$A438,$A438),_xll.BDH(config!$G$5,V$1,$A438,$A438))))</f>
        <v>#N/A Requesting Data...</v>
      </c>
      <c r="W438" s="8" t="str">
        <f>IF($A438="","",IF(ISNUMBER(FIND("IMPVOL",W$1)),_xll.BDH(config!$G$4,W$1,WORKDAY($A438,-1,config_Holiday_Calendar_US),WORKDAY($A438,-1,config_Holiday_Calendar_US)),IF(ISNUMBER(_xll.BDH(config!$G$4,W$1,$A438,$A438)),_xll.BDH(config!$G$4,W$1,$A438,$A438),_xll.BDH(config!$G$5,W$1,$A438,$A438))))</f>
        <v>#N/A Requesting Data...</v>
      </c>
    </row>
    <row r="439" spans="1:23" x14ac:dyDescent="0.2">
      <c r="A439" s="9">
        <f>IF(A438="","",IF(WORKDAY(A438,-1,config_Holiday_Calendar_US)&lt;config!$I$10,"",WORKDAY(A438,-1,config_Holiday_Calendar_US)))</f>
        <v>42193</v>
      </c>
      <c r="B439" s="8" t="e">
        <f t="shared" si="6"/>
        <v>#VALUE!</v>
      </c>
      <c r="C439" s="8" t="str">
        <f>IF(A439="","",_xll.BDH(config!$H$4,C$1,$A439,$A439))</f>
        <v>#N/A Requesting Data...</v>
      </c>
      <c r="D439" s="8" t="str">
        <f>IF($A439="","",_xll.BDH(config!$H$4,D$1,$A439,$A439))</f>
        <v>#N/A Requesting Data...</v>
      </c>
      <c r="E439" s="8">
        <f>IF($A439="","",IF(ISNUMBER(FIND("IMPVOL",E$1)),_xll.BDH(config!$G$4,E$1,WORKDAY($A439,-1,config_Holiday_Calendar_US),WORKDAY($A439,-1,config_Holiday_Calendar_US)),IF(ISNUMBER(_xll.BDH(config!$G$4,E$1,$A439,$A439)),_xll.BDH(config!$G$4,E$1,$A439,$A439),_xll.BDH(config!$G$5,E$1,$A439,$A439))))</f>
        <v>52.91</v>
      </c>
      <c r="F439" s="8">
        <f>IF($A439="","",IF(ISNUMBER(FIND("IMPVOL",F$1)),_xll.BDH(config!$G$4,F$1,WORKDAY($A439,-1,config_Holiday_Calendar_US),WORKDAY($A439,-1,config_Holiday_Calendar_US)),IF(ISNUMBER(_xll.BDH(config!$G$4,F$1,$A439,$A439)),_xll.BDH(config!$G$4,F$1,$A439,$A439),_xll.BDH(config!$G$5,F$1,$A439,$A439))))</f>
        <v>52.96</v>
      </c>
      <c r="G439" s="8" t="str">
        <f>IF($A439="","",IF(ISNUMBER(FIND("IMPVOL",G$1)),_xll.BDH(config!$G$4,G$1,WORKDAY($A439,-1,config_Holiday_Calendar_US),WORKDAY($A439,-1,config_Holiday_Calendar_US)),IF(ISNUMBER(_xll.BDH(config!$G$4,G$1,$A439,$A439)),_xll.BDH(config!$G$4,G$1,$A439,$A439),_xll.BDH(config!$G$5,G$1,$A439,$A439))))</f>
        <v>#N/A Requesting Data...</v>
      </c>
      <c r="H439" s="8" t="str">
        <f>IF($A439="","",IF(ISNUMBER(FIND("IMPVOL",H$1)),_xll.BDH(config!$G$4,H$1,WORKDAY($A439,-1,config_Holiday_Calendar_US),WORKDAY($A439,-1,config_Holiday_Calendar_US)),IF(ISNUMBER(_xll.BDH(config!$G$4,H$1,$A439,$A439)),_xll.BDH(config!$G$4,H$1,$A439,$A439),_xll.BDH(config!$G$5,H$1,$A439,$A439))))</f>
        <v>#N/A Requesting Data...</v>
      </c>
      <c r="I439" s="8" t="str">
        <f>IF($A439="","",IF(ISNUMBER(FIND("IMPVOL",I$1)),_xll.BDH(config!$G$4,I$1,WORKDAY($A439,-1,config_Holiday_Calendar_US),WORKDAY($A439,-1,config_Holiday_Calendar_US)),IF(ISNUMBER(_xll.BDH(config!$G$4,I$1,$A439,$A439)),_xll.BDH(config!$G$4,I$1,$A439,$A439),_xll.BDH(config!$G$5,I$1,$A439,$A439))))</f>
        <v>#N/A Requesting Data...</v>
      </c>
      <c r="J439" s="8" t="str">
        <f>IF($A439="","",IF(ISNUMBER(FIND("IMPVOL",J$1)),_xll.BDH(config!$G$4,J$1,WORKDAY($A439,-1,config_Holiday_Calendar_US),WORKDAY($A439,-1,config_Holiday_Calendar_US)),IF(ISNUMBER(_xll.BDH(config!$G$4,J$1,$A439,$A439)),_xll.BDH(config!$G$4,J$1,$A439,$A439),_xll.BDH(config!$G$5,J$1,$A439,$A439))))</f>
        <v>#N/A Requesting Data...</v>
      </c>
      <c r="K439" s="8" t="str">
        <f>IF($A439="","",IF(ISNUMBER(FIND("IMPVOL",K$1)),_xll.BDH(config!$G$4,K$1,WORKDAY($A439,-1,config_Holiday_Calendar_US),WORKDAY($A439,-1,config_Holiday_Calendar_US)),IF(ISNUMBER(_xll.BDH(config!$G$4,K$1,$A439,$A439)),_xll.BDH(config!$G$4,K$1,$A439,$A439),_xll.BDH(config!$G$5,K$1,$A439,$A439))))</f>
        <v>#N/A Requesting Data...</v>
      </c>
      <c r="L439" s="8" t="str">
        <f>IF($A439="","",IF(ISNUMBER(FIND("IMPVOL",L$1)),_xll.BDH(config!$G$4,L$1,WORKDAY($A439,-1,config_Holiday_Calendar_US),WORKDAY($A439,-1,config_Holiday_Calendar_US)),IF(ISNUMBER(_xll.BDH(config!$G$4,L$1,$A439,$A439)),_xll.BDH(config!$G$4,L$1,$A439,$A439),_xll.BDH(config!$G$5,L$1,$A439,$A439))))</f>
        <v>#N/A Requesting Data...</v>
      </c>
      <c r="M439" s="8" t="str">
        <f>IF($A439="","",IF(ISNUMBER(FIND("IMPVOL",M$1)),_xll.BDH(config!$G$4,M$1,WORKDAY($A439,-1,config_Holiday_Calendar_US),WORKDAY($A439,-1,config_Holiday_Calendar_US)),IF(ISNUMBER(_xll.BDH(config!$G$4,M$1,$A439,$A439)),_xll.BDH(config!$G$4,M$1,$A439,$A439),_xll.BDH(config!$G$5,M$1,$A439,$A439))))</f>
        <v>#N/A Requesting Data...</v>
      </c>
      <c r="N439" s="8" t="str">
        <f>IF($A439="","",IF(ISNUMBER(FIND("IMPVOL",N$1)),_xll.BDH(config!$G$4,N$1,WORKDAY($A439,-1,config_Holiday_Calendar_US),WORKDAY($A439,-1,config_Holiday_Calendar_US)),IF(ISNUMBER(_xll.BDH(config!$G$4,N$1,$A439,$A439)),_xll.BDH(config!$G$4,N$1,$A439,$A439),_xll.BDH(config!$G$5,N$1,$A439,$A439))))</f>
        <v>#N/A Requesting Data...</v>
      </c>
      <c r="O439" s="8" t="str">
        <f>IF($A439="","",IF(ISNUMBER(FIND("IMPVOL",O$1)),_xll.BDH(config!$G$4,O$1,WORKDAY($A439,-1,config_Holiday_Calendar_US),WORKDAY($A439,-1,config_Holiday_Calendar_US)),IF(ISNUMBER(_xll.BDH(config!$G$4,O$1,$A439,$A439)),_xll.BDH(config!$G$4,O$1,$A439,$A439),_xll.BDH(config!$G$5,O$1,$A439,$A439))))</f>
        <v>#N/A Requesting Data...</v>
      </c>
      <c r="P439" s="8" t="str">
        <f>IF($A439="","",IF(ISNUMBER(FIND("IMPVOL",P$1)),_xll.BDH(config!$G$4,P$1,WORKDAY($A439,-1,config_Holiday_Calendar_US),WORKDAY($A439,-1,config_Holiday_Calendar_US)),IF(ISNUMBER(_xll.BDH(config!$G$4,P$1,$A439,$A439)),_xll.BDH(config!$G$4,P$1,$A439,$A439),_xll.BDH(config!$G$5,P$1,$A439,$A439))))</f>
        <v>#N/A Requesting Data...</v>
      </c>
      <c r="Q439" s="8" t="str">
        <f>IF($A439="","",IF(ISNUMBER(FIND("IMPVOL",Q$1)),_xll.BDH(config!$G$4,Q$1,WORKDAY($A439,-1,config_Holiday_Calendar_US),WORKDAY($A439,-1,config_Holiday_Calendar_US)),IF(ISNUMBER(_xll.BDH(config!$G$4,Q$1,$A439,$A439)),_xll.BDH(config!$G$4,Q$1,$A439,$A439),_xll.BDH(config!$G$5,Q$1,$A439,$A439))))</f>
        <v>#N/A Requesting Data...</v>
      </c>
      <c r="R439" s="8" t="str">
        <f>IF($A439="","",IF(ISNUMBER(FIND("IMPVOL",R$1)),_xll.BDH(config!$G$4,R$1,WORKDAY($A439,-1,config_Holiday_Calendar_US),WORKDAY($A439,-1,config_Holiday_Calendar_US)),IF(ISNUMBER(_xll.BDH(config!$G$4,R$1,$A439,$A439)),_xll.BDH(config!$G$4,R$1,$A439,$A439),_xll.BDH(config!$G$5,R$1,$A439,$A439))))</f>
        <v>#N/A Requesting Data...</v>
      </c>
      <c r="S439" s="8" t="str">
        <f>IF($A439="","",IF(ISNUMBER(FIND("IMPVOL",S$1)),_xll.BDH(config!$G$4,S$1,WORKDAY($A439,-1,config_Holiday_Calendar_US),WORKDAY($A439,-1,config_Holiday_Calendar_US)),IF(ISNUMBER(_xll.BDH(config!$G$4,S$1,$A439,$A439)),_xll.BDH(config!$G$4,S$1,$A439,$A439),_xll.BDH(config!$G$5,S$1,$A439,$A439))))</f>
        <v>#N/A Requesting Data...</v>
      </c>
      <c r="T439" s="8" t="str">
        <f>IF($A439="","",IF(ISNUMBER(FIND("IMPVOL",T$1)),_xll.BDH(config!$G$4,T$1,WORKDAY($A439,-1,config_Holiday_Calendar_US),WORKDAY($A439,-1,config_Holiday_Calendar_US)),IF(ISNUMBER(_xll.BDH(config!$G$4,T$1,$A439,$A439)),_xll.BDH(config!$G$4,T$1,$A439,$A439),_xll.BDH(config!$G$5,T$1,$A439,$A439))))</f>
        <v>#N/A Requesting Data...</v>
      </c>
      <c r="U439" s="8" t="str">
        <f>IF($A439="","",IF(ISNUMBER(FIND("IMPVOL",U$1)),_xll.BDH(config!$G$4,U$1,WORKDAY($A439,-1,config_Holiday_Calendar_US),WORKDAY($A439,-1,config_Holiday_Calendar_US)),IF(ISNUMBER(_xll.BDH(config!$G$4,U$1,$A439,$A439)),_xll.BDH(config!$G$4,U$1,$A439,$A439),_xll.BDH(config!$G$5,U$1,$A439,$A439))))</f>
        <v>#N/A Requesting Data...</v>
      </c>
      <c r="V439" s="8" t="str">
        <f>IF($A439="","",IF(ISNUMBER(FIND("IMPVOL",V$1)),_xll.BDH(config!$G$4,V$1,WORKDAY($A439,-1,config_Holiday_Calendar_US),WORKDAY($A439,-1,config_Holiday_Calendar_US)),IF(ISNUMBER(_xll.BDH(config!$G$4,V$1,$A439,$A439)),_xll.BDH(config!$G$4,V$1,$A439,$A439),_xll.BDH(config!$G$5,V$1,$A439,$A439))))</f>
        <v>#N/A Requesting Data...</v>
      </c>
      <c r="W439" s="8" t="str">
        <f>IF($A439="","",IF(ISNUMBER(FIND("IMPVOL",W$1)),_xll.BDH(config!$G$4,W$1,WORKDAY($A439,-1,config_Holiday_Calendar_US),WORKDAY($A439,-1,config_Holiday_Calendar_US)),IF(ISNUMBER(_xll.BDH(config!$G$4,W$1,$A439,$A439)),_xll.BDH(config!$G$4,W$1,$A439,$A439),_xll.BDH(config!$G$5,W$1,$A439,$A439))))</f>
        <v>#N/A Requesting Data...</v>
      </c>
    </row>
    <row r="440" spans="1:23" x14ac:dyDescent="0.2">
      <c r="A440" s="9">
        <f>IF(A439="","",IF(WORKDAY(A439,-1,config_Holiday_Calendar_US)&lt;config!$I$10,"",WORKDAY(A439,-1,config_Holiday_Calendar_US)))</f>
        <v>42192</v>
      </c>
      <c r="B440" s="8" t="e">
        <f t="shared" si="6"/>
        <v>#VALUE!</v>
      </c>
      <c r="C440" s="8" t="str">
        <f>IF(A440="","",_xll.BDH(config!$H$4,C$1,$A440,$A440))</f>
        <v>#N/A Requesting Data...</v>
      </c>
      <c r="D440" s="8" t="str">
        <f>IF($A440="","",_xll.BDH(config!$H$4,D$1,$A440,$A440))</f>
        <v>#N/A Requesting Data...</v>
      </c>
      <c r="E440" s="8">
        <f>IF($A440="","",IF(ISNUMBER(FIND("IMPVOL",E$1)),_xll.BDH(config!$G$4,E$1,WORKDAY($A440,-1,config_Holiday_Calendar_US),WORKDAY($A440,-1,config_Holiday_Calendar_US)),IF(ISNUMBER(_xll.BDH(config!$G$4,E$1,$A440,$A440)),_xll.BDH(config!$G$4,E$1,$A440,$A440),_xll.BDH(config!$G$5,E$1,$A440,$A440))))</f>
        <v>52.75</v>
      </c>
      <c r="F440" s="8">
        <f>IF($A440="","",IF(ISNUMBER(FIND("IMPVOL",F$1)),_xll.BDH(config!$G$4,F$1,WORKDAY($A440,-1,config_Holiday_Calendar_US),WORKDAY($A440,-1,config_Holiday_Calendar_US)),IF(ISNUMBER(_xll.BDH(config!$G$4,F$1,$A440,$A440)),_xll.BDH(config!$G$4,F$1,$A440,$A440),_xll.BDH(config!$G$5,F$1,$A440,$A440))))</f>
        <v>53.43</v>
      </c>
      <c r="G440" s="8" t="str">
        <f>IF($A440="","",IF(ISNUMBER(FIND("IMPVOL",G$1)),_xll.BDH(config!$G$4,G$1,WORKDAY($A440,-1,config_Holiday_Calendar_US),WORKDAY($A440,-1,config_Holiday_Calendar_US)),IF(ISNUMBER(_xll.BDH(config!$G$4,G$1,$A440,$A440)),_xll.BDH(config!$G$4,G$1,$A440,$A440),_xll.BDH(config!$G$5,G$1,$A440,$A440))))</f>
        <v>#N/A Requesting Data...</v>
      </c>
      <c r="H440" s="8" t="str">
        <f>IF($A440="","",IF(ISNUMBER(FIND("IMPVOL",H$1)),_xll.BDH(config!$G$4,H$1,WORKDAY($A440,-1,config_Holiday_Calendar_US),WORKDAY($A440,-1,config_Holiday_Calendar_US)),IF(ISNUMBER(_xll.BDH(config!$G$4,H$1,$A440,$A440)),_xll.BDH(config!$G$4,H$1,$A440,$A440),_xll.BDH(config!$G$5,H$1,$A440,$A440))))</f>
        <v>#N/A Requesting Data...</v>
      </c>
      <c r="I440" s="8" t="str">
        <f>IF($A440="","",IF(ISNUMBER(FIND("IMPVOL",I$1)),_xll.BDH(config!$G$4,I$1,WORKDAY($A440,-1,config_Holiday_Calendar_US),WORKDAY($A440,-1,config_Holiday_Calendar_US)),IF(ISNUMBER(_xll.BDH(config!$G$4,I$1,$A440,$A440)),_xll.BDH(config!$G$4,I$1,$A440,$A440),_xll.BDH(config!$G$5,I$1,$A440,$A440))))</f>
        <v>#N/A Requesting Data...</v>
      </c>
      <c r="J440" s="8" t="str">
        <f>IF($A440="","",IF(ISNUMBER(FIND("IMPVOL",J$1)),_xll.BDH(config!$G$4,J$1,WORKDAY($A440,-1,config_Holiday_Calendar_US),WORKDAY($A440,-1,config_Holiday_Calendar_US)),IF(ISNUMBER(_xll.BDH(config!$G$4,J$1,$A440,$A440)),_xll.BDH(config!$G$4,J$1,$A440,$A440),_xll.BDH(config!$G$5,J$1,$A440,$A440))))</f>
        <v>#N/A Requesting Data...</v>
      </c>
      <c r="K440" s="8" t="str">
        <f>IF($A440="","",IF(ISNUMBER(FIND("IMPVOL",K$1)),_xll.BDH(config!$G$4,K$1,WORKDAY($A440,-1,config_Holiday_Calendar_US),WORKDAY($A440,-1,config_Holiday_Calendar_US)),IF(ISNUMBER(_xll.BDH(config!$G$4,K$1,$A440,$A440)),_xll.BDH(config!$G$4,K$1,$A440,$A440),_xll.BDH(config!$G$5,K$1,$A440,$A440))))</f>
        <v>#N/A Requesting Data...</v>
      </c>
      <c r="L440" s="8" t="str">
        <f>IF($A440="","",IF(ISNUMBER(FIND("IMPVOL",L$1)),_xll.BDH(config!$G$4,L$1,WORKDAY($A440,-1,config_Holiday_Calendar_US),WORKDAY($A440,-1,config_Holiday_Calendar_US)),IF(ISNUMBER(_xll.BDH(config!$G$4,L$1,$A440,$A440)),_xll.BDH(config!$G$4,L$1,$A440,$A440),_xll.BDH(config!$G$5,L$1,$A440,$A440))))</f>
        <v>#N/A Requesting Data...</v>
      </c>
      <c r="M440" s="8" t="str">
        <f>IF($A440="","",IF(ISNUMBER(FIND("IMPVOL",M$1)),_xll.BDH(config!$G$4,M$1,WORKDAY($A440,-1,config_Holiday_Calendar_US),WORKDAY($A440,-1,config_Holiday_Calendar_US)),IF(ISNUMBER(_xll.BDH(config!$G$4,M$1,$A440,$A440)),_xll.BDH(config!$G$4,M$1,$A440,$A440),_xll.BDH(config!$G$5,M$1,$A440,$A440))))</f>
        <v>#N/A Requesting Data...</v>
      </c>
      <c r="N440" s="8" t="str">
        <f>IF($A440="","",IF(ISNUMBER(FIND("IMPVOL",N$1)),_xll.BDH(config!$G$4,N$1,WORKDAY($A440,-1,config_Holiday_Calendar_US),WORKDAY($A440,-1,config_Holiday_Calendar_US)),IF(ISNUMBER(_xll.BDH(config!$G$4,N$1,$A440,$A440)),_xll.BDH(config!$G$4,N$1,$A440,$A440),_xll.BDH(config!$G$5,N$1,$A440,$A440))))</f>
        <v>#N/A Requesting Data...</v>
      </c>
      <c r="O440" s="8" t="str">
        <f>IF($A440="","",IF(ISNUMBER(FIND("IMPVOL",O$1)),_xll.BDH(config!$G$4,O$1,WORKDAY($A440,-1,config_Holiday_Calendar_US),WORKDAY($A440,-1,config_Holiday_Calendar_US)),IF(ISNUMBER(_xll.BDH(config!$G$4,O$1,$A440,$A440)),_xll.BDH(config!$G$4,O$1,$A440,$A440),_xll.BDH(config!$G$5,O$1,$A440,$A440))))</f>
        <v>#N/A Requesting Data...</v>
      </c>
      <c r="P440" s="8" t="str">
        <f>IF($A440="","",IF(ISNUMBER(FIND("IMPVOL",P$1)),_xll.BDH(config!$G$4,P$1,WORKDAY($A440,-1,config_Holiday_Calendar_US),WORKDAY($A440,-1,config_Holiday_Calendar_US)),IF(ISNUMBER(_xll.BDH(config!$G$4,P$1,$A440,$A440)),_xll.BDH(config!$G$4,P$1,$A440,$A440),_xll.BDH(config!$G$5,P$1,$A440,$A440))))</f>
        <v>#N/A Requesting Data...</v>
      </c>
      <c r="Q440" s="8" t="str">
        <f>IF($A440="","",IF(ISNUMBER(FIND("IMPVOL",Q$1)),_xll.BDH(config!$G$4,Q$1,WORKDAY($A440,-1,config_Holiday_Calendar_US),WORKDAY($A440,-1,config_Holiday_Calendar_US)),IF(ISNUMBER(_xll.BDH(config!$G$4,Q$1,$A440,$A440)),_xll.BDH(config!$G$4,Q$1,$A440,$A440),_xll.BDH(config!$G$5,Q$1,$A440,$A440))))</f>
        <v>#N/A Requesting Data...</v>
      </c>
      <c r="R440" s="8" t="str">
        <f>IF($A440="","",IF(ISNUMBER(FIND("IMPVOL",R$1)),_xll.BDH(config!$G$4,R$1,WORKDAY($A440,-1,config_Holiday_Calendar_US),WORKDAY($A440,-1,config_Holiday_Calendar_US)),IF(ISNUMBER(_xll.BDH(config!$G$4,R$1,$A440,$A440)),_xll.BDH(config!$G$4,R$1,$A440,$A440),_xll.BDH(config!$G$5,R$1,$A440,$A440))))</f>
        <v>#N/A Requesting Data...</v>
      </c>
      <c r="S440" s="8" t="str">
        <f>IF($A440="","",IF(ISNUMBER(FIND("IMPVOL",S$1)),_xll.BDH(config!$G$4,S$1,WORKDAY($A440,-1,config_Holiday_Calendar_US),WORKDAY($A440,-1,config_Holiday_Calendar_US)),IF(ISNUMBER(_xll.BDH(config!$G$4,S$1,$A440,$A440)),_xll.BDH(config!$G$4,S$1,$A440,$A440),_xll.BDH(config!$G$5,S$1,$A440,$A440))))</f>
        <v>#N/A Requesting Data...</v>
      </c>
      <c r="T440" s="8" t="str">
        <f>IF($A440="","",IF(ISNUMBER(FIND("IMPVOL",T$1)),_xll.BDH(config!$G$4,T$1,WORKDAY($A440,-1,config_Holiday_Calendar_US),WORKDAY($A440,-1,config_Holiday_Calendar_US)),IF(ISNUMBER(_xll.BDH(config!$G$4,T$1,$A440,$A440)),_xll.BDH(config!$G$4,T$1,$A440,$A440),_xll.BDH(config!$G$5,T$1,$A440,$A440))))</f>
        <v>#N/A Requesting Data...</v>
      </c>
      <c r="U440" s="8" t="str">
        <f>IF($A440="","",IF(ISNUMBER(FIND("IMPVOL",U$1)),_xll.BDH(config!$G$4,U$1,WORKDAY($A440,-1,config_Holiday_Calendar_US),WORKDAY($A440,-1,config_Holiday_Calendar_US)),IF(ISNUMBER(_xll.BDH(config!$G$4,U$1,$A440,$A440)),_xll.BDH(config!$G$4,U$1,$A440,$A440),_xll.BDH(config!$G$5,U$1,$A440,$A440))))</f>
        <v>#N/A Requesting Data...</v>
      </c>
      <c r="V440" s="8" t="str">
        <f>IF($A440="","",IF(ISNUMBER(FIND("IMPVOL",V$1)),_xll.BDH(config!$G$4,V$1,WORKDAY($A440,-1,config_Holiday_Calendar_US),WORKDAY($A440,-1,config_Holiday_Calendar_US)),IF(ISNUMBER(_xll.BDH(config!$G$4,V$1,$A440,$A440)),_xll.BDH(config!$G$4,V$1,$A440,$A440),_xll.BDH(config!$G$5,V$1,$A440,$A440))))</f>
        <v>#N/A Requesting Data...</v>
      </c>
      <c r="W440" s="8" t="str">
        <f>IF($A440="","",IF(ISNUMBER(FIND("IMPVOL",W$1)),_xll.BDH(config!$G$4,W$1,WORKDAY($A440,-1,config_Holiday_Calendar_US),WORKDAY($A440,-1,config_Holiday_Calendar_US)),IF(ISNUMBER(_xll.BDH(config!$G$4,W$1,$A440,$A440)),_xll.BDH(config!$G$4,W$1,$A440,$A440),_xll.BDH(config!$G$5,W$1,$A440,$A440))))</f>
        <v>#N/A Requesting Data...</v>
      </c>
    </row>
    <row r="441" spans="1:23" x14ac:dyDescent="0.2">
      <c r="A441" s="9">
        <f>IF(A440="","",IF(WORKDAY(A440,-1,config_Holiday_Calendar_US)&lt;config!$I$10,"",WORKDAY(A440,-1,config_Holiday_Calendar_US)))</f>
        <v>42191</v>
      </c>
      <c r="B441" s="8" t="e">
        <f t="shared" si="6"/>
        <v>#VALUE!</v>
      </c>
      <c r="C441" s="8" t="str">
        <f>IF(A441="","",_xll.BDH(config!$H$4,C$1,$A441,$A441))</f>
        <v>#N/A Requesting Data...</v>
      </c>
      <c r="D441" s="8" t="str">
        <f>IF($A441="","",_xll.BDH(config!$H$4,D$1,$A441,$A441))</f>
        <v>#N/A Requesting Data...</v>
      </c>
      <c r="E441" s="8">
        <f>IF($A441="","",IF(ISNUMBER(FIND("IMPVOL",E$1)),_xll.BDH(config!$G$4,E$1,WORKDAY($A441,-1,config_Holiday_Calendar_US),WORKDAY($A441,-1,config_Holiday_Calendar_US)),IF(ISNUMBER(_xll.BDH(config!$G$4,E$1,$A441,$A441)),_xll.BDH(config!$G$4,E$1,$A441,$A441),_xll.BDH(config!$G$5,E$1,$A441,$A441))))</f>
        <v>56.42</v>
      </c>
      <c r="F441" s="8">
        <f>IF($A441="","",IF(ISNUMBER(FIND("IMPVOL",F$1)),_xll.BDH(config!$G$4,F$1,WORKDAY($A441,-1,config_Holiday_Calendar_US),WORKDAY($A441,-1,config_Holiday_Calendar_US)),IF(ISNUMBER(_xll.BDH(config!$G$4,F$1,$A441,$A441)),_xll.BDH(config!$G$4,F$1,$A441,$A441),_xll.BDH(config!$G$5,F$1,$A441,$A441))))</f>
        <v>55.34</v>
      </c>
      <c r="G441" s="8" t="str">
        <f>IF($A441="","",IF(ISNUMBER(FIND("IMPVOL",G$1)),_xll.BDH(config!$G$4,G$1,WORKDAY($A441,-1,config_Holiday_Calendar_US),WORKDAY($A441,-1,config_Holiday_Calendar_US)),IF(ISNUMBER(_xll.BDH(config!$G$4,G$1,$A441,$A441)),_xll.BDH(config!$G$4,G$1,$A441,$A441),_xll.BDH(config!$G$5,G$1,$A441,$A441))))</f>
        <v>#N/A Requesting Data...</v>
      </c>
      <c r="H441" s="8" t="str">
        <f>IF($A441="","",IF(ISNUMBER(FIND("IMPVOL",H$1)),_xll.BDH(config!$G$4,H$1,WORKDAY($A441,-1,config_Holiday_Calendar_US),WORKDAY($A441,-1,config_Holiday_Calendar_US)),IF(ISNUMBER(_xll.BDH(config!$G$4,H$1,$A441,$A441)),_xll.BDH(config!$G$4,H$1,$A441,$A441),_xll.BDH(config!$G$5,H$1,$A441,$A441))))</f>
        <v>#N/A Requesting Data...</v>
      </c>
      <c r="I441" s="8" t="str">
        <f>IF($A441="","",IF(ISNUMBER(FIND("IMPVOL",I$1)),_xll.BDH(config!$G$4,I$1,WORKDAY($A441,-1,config_Holiday_Calendar_US),WORKDAY($A441,-1,config_Holiday_Calendar_US)),IF(ISNUMBER(_xll.BDH(config!$G$4,I$1,$A441,$A441)),_xll.BDH(config!$G$4,I$1,$A441,$A441),_xll.BDH(config!$G$5,I$1,$A441,$A441))))</f>
        <v>#N/A Requesting Data...</v>
      </c>
      <c r="J441" s="8" t="str">
        <f>IF($A441="","",IF(ISNUMBER(FIND("IMPVOL",J$1)),_xll.BDH(config!$G$4,J$1,WORKDAY($A441,-1,config_Holiday_Calendar_US),WORKDAY($A441,-1,config_Holiday_Calendar_US)),IF(ISNUMBER(_xll.BDH(config!$G$4,J$1,$A441,$A441)),_xll.BDH(config!$G$4,J$1,$A441,$A441),_xll.BDH(config!$G$5,J$1,$A441,$A441))))</f>
        <v>#N/A Requesting Data...</v>
      </c>
      <c r="K441" s="8" t="str">
        <f>IF($A441="","",IF(ISNUMBER(FIND("IMPVOL",K$1)),_xll.BDH(config!$G$4,K$1,WORKDAY($A441,-1,config_Holiday_Calendar_US),WORKDAY($A441,-1,config_Holiday_Calendar_US)),IF(ISNUMBER(_xll.BDH(config!$G$4,K$1,$A441,$A441)),_xll.BDH(config!$G$4,K$1,$A441,$A441),_xll.BDH(config!$G$5,K$1,$A441,$A441))))</f>
        <v>#N/A Requesting Data...</v>
      </c>
      <c r="L441" s="8" t="str">
        <f>IF($A441="","",IF(ISNUMBER(FIND("IMPVOL",L$1)),_xll.BDH(config!$G$4,L$1,WORKDAY($A441,-1,config_Holiday_Calendar_US),WORKDAY($A441,-1,config_Holiday_Calendar_US)),IF(ISNUMBER(_xll.BDH(config!$G$4,L$1,$A441,$A441)),_xll.BDH(config!$G$4,L$1,$A441,$A441),_xll.BDH(config!$G$5,L$1,$A441,$A441))))</f>
        <v>#N/A Requesting Data...</v>
      </c>
      <c r="M441" s="8" t="str">
        <f>IF($A441="","",IF(ISNUMBER(FIND("IMPVOL",M$1)),_xll.BDH(config!$G$4,M$1,WORKDAY($A441,-1,config_Holiday_Calendar_US),WORKDAY($A441,-1,config_Holiday_Calendar_US)),IF(ISNUMBER(_xll.BDH(config!$G$4,M$1,$A441,$A441)),_xll.BDH(config!$G$4,M$1,$A441,$A441),_xll.BDH(config!$G$5,M$1,$A441,$A441))))</f>
        <v>#N/A Requesting Data...</v>
      </c>
      <c r="N441" s="8" t="str">
        <f>IF($A441="","",IF(ISNUMBER(FIND("IMPVOL",N$1)),_xll.BDH(config!$G$4,N$1,WORKDAY($A441,-1,config_Holiday_Calendar_US),WORKDAY($A441,-1,config_Holiday_Calendar_US)),IF(ISNUMBER(_xll.BDH(config!$G$4,N$1,$A441,$A441)),_xll.BDH(config!$G$4,N$1,$A441,$A441),_xll.BDH(config!$G$5,N$1,$A441,$A441))))</f>
        <v>#N/A Requesting Data...</v>
      </c>
      <c r="O441" s="8" t="str">
        <f>IF($A441="","",IF(ISNUMBER(FIND("IMPVOL",O$1)),_xll.BDH(config!$G$4,O$1,WORKDAY($A441,-1,config_Holiday_Calendar_US),WORKDAY($A441,-1,config_Holiday_Calendar_US)),IF(ISNUMBER(_xll.BDH(config!$G$4,O$1,$A441,$A441)),_xll.BDH(config!$G$4,O$1,$A441,$A441),_xll.BDH(config!$G$5,O$1,$A441,$A441))))</f>
        <v>#N/A Requesting Data...</v>
      </c>
      <c r="P441" s="8" t="str">
        <f>IF($A441="","",IF(ISNUMBER(FIND("IMPVOL",P$1)),_xll.BDH(config!$G$4,P$1,WORKDAY($A441,-1,config_Holiday_Calendar_US),WORKDAY($A441,-1,config_Holiday_Calendar_US)),IF(ISNUMBER(_xll.BDH(config!$G$4,P$1,$A441,$A441)),_xll.BDH(config!$G$4,P$1,$A441,$A441),_xll.BDH(config!$G$5,P$1,$A441,$A441))))</f>
        <v>#N/A Requesting Data...</v>
      </c>
      <c r="Q441" s="8" t="str">
        <f>IF($A441="","",IF(ISNUMBER(FIND("IMPVOL",Q$1)),_xll.BDH(config!$G$4,Q$1,WORKDAY($A441,-1,config_Holiday_Calendar_US),WORKDAY($A441,-1,config_Holiday_Calendar_US)),IF(ISNUMBER(_xll.BDH(config!$G$4,Q$1,$A441,$A441)),_xll.BDH(config!$G$4,Q$1,$A441,$A441),_xll.BDH(config!$G$5,Q$1,$A441,$A441))))</f>
        <v>#N/A Requesting Data...</v>
      </c>
      <c r="R441" s="8" t="str">
        <f>IF($A441="","",IF(ISNUMBER(FIND("IMPVOL",R$1)),_xll.BDH(config!$G$4,R$1,WORKDAY($A441,-1,config_Holiday_Calendar_US),WORKDAY($A441,-1,config_Holiday_Calendar_US)),IF(ISNUMBER(_xll.BDH(config!$G$4,R$1,$A441,$A441)),_xll.BDH(config!$G$4,R$1,$A441,$A441),_xll.BDH(config!$G$5,R$1,$A441,$A441))))</f>
        <v>#N/A Requesting Data...</v>
      </c>
      <c r="S441" s="8" t="str">
        <f>IF($A441="","",IF(ISNUMBER(FIND("IMPVOL",S$1)),_xll.BDH(config!$G$4,S$1,WORKDAY($A441,-1,config_Holiday_Calendar_US),WORKDAY($A441,-1,config_Holiday_Calendar_US)),IF(ISNUMBER(_xll.BDH(config!$G$4,S$1,$A441,$A441)),_xll.BDH(config!$G$4,S$1,$A441,$A441),_xll.BDH(config!$G$5,S$1,$A441,$A441))))</f>
        <v>#N/A Requesting Data...</v>
      </c>
      <c r="T441" s="8" t="str">
        <f>IF($A441="","",IF(ISNUMBER(FIND("IMPVOL",T$1)),_xll.BDH(config!$G$4,T$1,WORKDAY($A441,-1,config_Holiday_Calendar_US),WORKDAY($A441,-1,config_Holiday_Calendar_US)),IF(ISNUMBER(_xll.BDH(config!$G$4,T$1,$A441,$A441)),_xll.BDH(config!$G$4,T$1,$A441,$A441),_xll.BDH(config!$G$5,T$1,$A441,$A441))))</f>
        <v>#N/A Requesting Data...</v>
      </c>
      <c r="U441" s="8" t="str">
        <f>IF($A441="","",IF(ISNUMBER(FIND("IMPVOL",U$1)),_xll.BDH(config!$G$4,U$1,WORKDAY($A441,-1,config_Holiday_Calendar_US),WORKDAY($A441,-1,config_Holiday_Calendar_US)),IF(ISNUMBER(_xll.BDH(config!$G$4,U$1,$A441,$A441)),_xll.BDH(config!$G$4,U$1,$A441,$A441),_xll.BDH(config!$G$5,U$1,$A441,$A441))))</f>
        <v>#N/A Requesting Data...</v>
      </c>
      <c r="V441" s="8" t="str">
        <f>IF($A441="","",IF(ISNUMBER(FIND("IMPVOL",V$1)),_xll.BDH(config!$G$4,V$1,WORKDAY($A441,-1,config_Holiday_Calendar_US),WORKDAY($A441,-1,config_Holiday_Calendar_US)),IF(ISNUMBER(_xll.BDH(config!$G$4,V$1,$A441,$A441)),_xll.BDH(config!$G$4,V$1,$A441,$A441),_xll.BDH(config!$G$5,V$1,$A441,$A441))))</f>
        <v>#N/A Requesting Data...</v>
      </c>
      <c r="W441" s="8" t="str">
        <f>IF($A441="","",IF(ISNUMBER(FIND("IMPVOL",W$1)),_xll.BDH(config!$G$4,W$1,WORKDAY($A441,-1,config_Holiday_Calendar_US),WORKDAY($A441,-1,config_Holiday_Calendar_US)),IF(ISNUMBER(_xll.BDH(config!$G$4,W$1,$A441,$A441)),_xll.BDH(config!$G$4,W$1,$A441,$A441),_xll.BDH(config!$G$5,W$1,$A441,$A441))))</f>
        <v>#N/A Requesting Data...</v>
      </c>
    </row>
    <row r="442" spans="1:23" x14ac:dyDescent="0.2">
      <c r="A442" s="9">
        <f>IF(A441="","",IF(WORKDAY(A441,-1,config_Holiday_Calendar_US)&lt;config!$I$10,"",WORKDAY(A441,-1,config_Holiday_Calendar_US)))</f>
        <v>42187</v>
      </c>
      <c r="B442" s="8" t="e">
        <f t="shared" si="6"/>
        <v>#VALUE!</v>
      </c>
      <c r="C442" s="8" t="str">
        <f>IF(A442="","",_xll.BDH(config!$H$4,C$1,$A442,$A442))</f>
        <v>#N/A Requesting Data...</v>
      </c>
      <c r="D442" s="8" t="str">
        <f>IF($A442="","",_xll.BDH(config!$H$4,D$1,$A442,$A442))</f>
        <v>#N/A Requesting Data...</v>
      </c>
      <c r="E442" s="8">
        <f>IF($A442="","",IF(ISNUMBER(FIND("IMPVOL",E$1)),_xll.BDH(config!$G$4,E$1,WORKDAY($A442,-1,config_Holiday_Calendar_US),WORKDAY($A442,-1,config_Holiday_Calendar_US)),IF(ISNUMBER(_xll.BDH(config!$G$4,E$1,$A442,$A442)),_xll.BDH(config!$G$4,E$1,$A442,$A442),_xll.BDH(config!$G$5,E$1,$A442,$A442))))</f>
        <v>56.87</v>
      </c>
      <c r="F442" s="8">
        <f>IF($A442="","",IF(ISNUMBER(FIND("IMPVOL",F$1)),_xll.BDH(config!$G$4,F$1,WORKDAY($A442,-1,config_Holiday_Calendar_US),WORKDAY($A442,-1,config_Holiday_Calendar_US)),IF(ISNUMBER(_xll.BDH(config!$G$4,F$1,$A442,$A442)),_xll.BDH(config!$G$4,F$1,$A442,$A442),_xll.BDH(config!$G$5,F$1,$A442,$A442))))</f>
        <v>57.95</v>
      </c>
      <c r="G442" s="8" t="str">
        <f>IF($A442="","",IF(ISNUMBER(FIND("IMPVOL",G$1)),_xll.BDH(config!$G$4,G$1,WORKDAY($A442,-1,config_Holiday_Calendar_US),WORKDAY($A442,-1,config_Holiday_Calendar_US)),IF(ISNUMBER(_xll.BDH(config!$G$4,G$1,$A442,$A442)),_xll.BDH(config!$G$4,G$1,$A442,$A442),_xll.BDH(config!$G$5,G$1,$A442,$A442))))</f>
        <v>#N/A Requesting Data...</v>
      </c>
      <c r="H442" s="8" t="str">
        <f>IF($A442="","",IF(ISNUMBER(FIND("IMPVOL",H$1)),_xll.BDH(config!$G$4,H$1,WORKDAY($A442,-1,config_Holiday_Calendar_US),WORKDAY($A442,-1,config_Holiday_Calendar_US)),IF(ISNUMBER(_xll.BDH(config!$G$4,H$1,$A442,$A442)),_xll.BDH(config!$G$4,H$1,$A442,$A442),_xll.BDH(config!$G$5,H$1,$A442,$A442))))</f>
        <v>#N/A Requesting Data...</v>
      </c>
      <c r="I442" s="8" t="str">
        <f>IF($A442="","",IF(ISNUMBER(FIND("IMPVOL",I$1)),_xll.BDH(config!$G$4,I$1,WORKDAY($A442,-1,config_Holiday_Calendar_US),WORKDAY($A442,-1,config_Holiday_Calendar_US)),IF(ISNUMBER(_xll.BDH(config!$G$4,I$1,$A442,$A442)),_xll.BDH(config!$G$4,I$1,$A442,$A442),_xll.BDH(config!$G$5,I$1,$A442,$A442))))</f>
        <v>#N/A Requesting Data...</v>
      </c>
      <c r="J442" s="8" t="str">
        <f>IF($A442="","",IF(ISNUMBER(FIND("IMPVOL",J$1)),_xll.BDH(config!$G$4,J$1,WORKDAY($A442,-1,config_Holiday_Calendar_US),WORKDAY($A442,-1,config_Holiday_Calendar_US)),IF(ISNUMBER(_xll.BDH(config!$G$4,J$1,$A442,$A442)),_xll.BDH(config!$G$4,J$1,$A442,$A442),_xll.BDH(config!$G$5,J$1,$A442,$A442))))</f>
        <v>#N/A Requesting Data...</v>
      </c>
      <c r="K442" s="8" t="str">
        <f>IF($A442="","",IF(ISNUMBER(FIND("IMPVOL",K$1)),_xll.BDH(config!$G$4,K$1,WORKDAY($A442,-1,config_Holiday_Calendar_US),WORKDAY($A442,-1,config_Holiday_Calendar_US)),IF(ISNUMBER(_xll.BDH(config!$G$4,K$1,$A442,$A442)),_xll.BDH(config!$G$4,K$1,$A442,$A442),_xll.BDH(config!$G$5,K$1,$A442,$A442))))</f>
        <v>#N/A Requesting Data...</v>
      </c>
      <c r="L442" s="8" t="str">
        <f>IF($A442="","",IF(ISNUMBER(FIND("IMPVOL",L$1)),_xll.BDH(config!$G$4,L$1,WORKDAY($A442,-1,config_Holiday_Calendar_US),WORKDAY($A442,-1,config_Holiday_Calendar_US)),IF(ISNUMBER(_xll.BDH(config!$G$4,L$1,$A442,$A442)),_xll.BDH(config!$G$4,L$1,$A442,$A442),_xll.BDH(config!$G$5,L$1,$A442,$A442))))</f>
        <v>#N/A Requesting Data...</v>
      </c>
      <c r="M442" s="8" t="str">
        <f>IF($A442="","",IF(ISNUMBER(FIND("IMPVOL",M$1)),_xll.BDH(config!$G$4,M$1,WORKDAY($A442,-1,config_Holiday_Calendar_US),WORKDAY($A442,-1,config_Holiday_Calendar_US)),IF(ISNUMBER(_xll.BDH(config!$G$4,M$1,$A442,$A442)),_xll.BDH(config!$G$4,M$1,$A442,$A442),_xll.BDH(config!$G$5,M$1,$A442,$A442))))</f>
        <v>#N/A Requesting Data...</v>
      </c>
      <c r="N442" s="8" t="str">
        <f>IF($A442="","",IF(ISNUMBER(FIND("IMPVOL",N$1)),_xll.BDH(config!$G$4,N$1,WORKDAY($A442,-1,config_Holiday_Calendar_US),WORKDAY($A442,-1,config_Holiday_Calendar_US)),IF(ISNUMBER(_xll.BDH(config!$G$4,N$1,$A442,$A442)),_xll.BDH(config!$G$4,N$1,$A442,$A442),_xll.BDH(config!$G$5,N$1,$A442,$A442))))</f>
        <v>#N/A Requesting Data...</v>
      </c>
      <c r="O442" s="8" t="str">
        <f>IF($A442="","",IF(ISNUMBER(FIND("IMPVOL",O$1)),_xll.BDH(config!$G$4,O$1,WORKDAY($A442,-1,config_Holiday_Calendar_US),WORKDAY($A442,-1,config_Holiday_Calendar_US)),IF(ISNUMBER(_xll.BDH(config!$G$4,O$1,$A442,$A442)),_xll.BDH(config!$G$4,O$1,$A442,$A442),_xll.BDH(config!$G$5,O$1,$A442,$A442))))</f>
        <v>#N/A Requesting Data...</v>
      </c>
      <c r="P442" s="8" t="str">
        <f>IF($A442="","",IF(ISNUMBER(FIND("IMPVOL",P$1)),_xll.BDH(config!$G$4,P$1,WORKDAY($A442,-1,config_Holiday_Calendar_US),WORKDAY($A442,-1,config_Holiday_Calendar_US)),IF(ISNUMBER(_xll.BDH(config!$G$4,P$1,$A442,$A442)),_xll.BDH(config!$G$4,P$1,$A442,$A442),_xll.BDH(config!$G$5,P$1,$A442,$A442))))</f>
        <v>#N/A Requesting Data...</v>
      </c>
      <c r="Q442" s="8" t="str">
        <f>IF($A442="","",IF(ISNUMBER(FIND("IMPVOL",Q$1)),_xll.BDH(config!$G$4,Q$1,WORKDAY($A442,-1,config_Holiday_Calendar_US),WORKDAY($A442,-1,config_Holiday_Calendar_US)),IF(ISNUMBER(_xll.BDH(config!$G$4,Q$1,$A442,$A442)),_xll.BDH(config!$G$4,Q$1,$A442,$A442),_xll.BDH(config!$G$5,Q$1,$A442,$A442))))</f>
        <v>#N/A Requesting Data...</v>
      </c>
      <c r="R442" s="8" t="str">
        <f>IF($A442="","",IF(ISNUMBER(FIND("IMPVOL",R$1)),_xll.BDH(config!$G$4,R$1,WORKDAY($A442,-1,config_Holiday_Calendar_US),WORKDAY($A442,-1,config_Holiday_Calendar_US)),IF(ISNUMBER(_xll.BDH(config!$G$4,R$1,$A442,$A442)),_xll.BDH(config!$G$4,R$1,$A442,$A442),_xll.BDH(config!$G$5,R$1,$A442,$A442))))</f>
        <v>#N/A Requesting Data...</v>
      </c>
      <c r="S442" s="8" t="str">
        <f>IF($A442="","",IF(ISNUMBER(FIND("IMPVOL",S$1)),_xll.BDH(config!$G$4,S$1,WORKDAY($A442,-1,config_Holiday_Calendar_US),WORKDAY($A442,-1,config_Holiday_Calendar_US)),IF(ISNUMBER(_xll.BDH(config!$G$4,S$1,$A442,$A442)),_xll.BDH(config!$G$4,S$1,$A442,$A442),_xll.BDH(config!$G$5,S$1,$A442,$A442))))</f>
        <v>#N/A Requesting Data...</v>
      </c>
      <c r="T442" s="8" t="str">
        <f>IF($A442="","",IF(ISNUMBER(FIND("IMPVOL",T$1)),_xll.BDH(config!$G$4,T$1,WORKDAY($A442,-1,config_Holiday_Calendar_US),WORKDAY($A442,-1,config_Holiday_Calendar_US)),IF(ISNUMBER(_xll.BDH(config!$G$4,T$1,$A442,$A442)),_xll.BDH(config!$G$4,T$1,$A442,$A442),_xll.BDH(config!$G$5,T$1,$A442,$A442))))</f>
        <v>#N/A Requesting Data...</v>
      </c>
      <c r="U442" s="8" t="str">
        <f>IF($A442="","",IF(ISNUMBER(FIND("IMPVOL",U$1)),_xll.BDH(config!$G$4,U$1,WORKDAY($A442,-1,config_Holiday_Calendar_US),WORKDAY($A442,-1,config_Holiday_Calendar_US)),IF(ISNUMBER(_xll.BDH(config!$G$4,U$1,$A442,$A442)),_xll.BDH(config!$G$4,U$1,$A442,$A442),_xll.BDH(config!$G$5,U$1,$A442,$A442))))</f>
        <v>#N/A Requesting Data...</v>
      </c>
      <c r="V442" s="8" t="str">
        <f>IF($A442="","",IF(ISNUMBER(FIND("IMPVOL",V$1)),_xll.BDH(config!$G$4,V$1,WORKDAY($A442,-1,config_Holiday_Calendar_US),WORKDAY($A442,-1,config_Holiday_Calendar_US)),IF(ISNUMBER(_xll.BDH(config!$G$4,V$1,$A442,$A442)),_xll.BDH(config!$G$4,V$1,$A442,$A442),_xll.BDH(config!$G$5,V$1,$A442,$A442))))</f>
        <v>#N/A Requesting Data...</v>
      </c>
      <c r="W442" s="8" t="str">
        <f>IF($A442="","",IF(ISNUMBER(FIND("IMPVOL",W$1)),_xll.BDH(config!$G$4,W$1,WORKDAY($A442,-1,config_Holiday_Calendar_US),WORKDAY($A442,-1,config_Holiday_Calendar_US)),IF(ISNUMBER(_xll.BDH(config!$G$4,W$1,$A442,$A442)),_xll.BDH(config!$G$4,W$1,$A442,$A442),_xll.BDH(config!$G$5,W$1,$A442,$A442))))</f>
        <v>#N/A Requesting Data...</v>
      </c>
    </row>
    <row r="443" spans="1:23" x14ac:dyDescent="0.2">
      <c r="A443" s="9">
        <f>IF(A442="","",IF(WORKDAY(A442,-1,config_Holiday_Calendar_US)&lt;config!$I$10,"",WORKDAY(A442,-1,config_Holiday_Calendar_US)))</f>
        <v>42186</v>
      </c>
      <c r="B443" s="8" t="e">
        <f t="shared" si="6"/>
        <v>#VALUE!</v>
      </c>
      <c r="C443" s="8" t="str">
        <f>IF(A443="","",_xll.BDH(config!$H$4,C$1,$A443,$A443))</f>
        <v>#N/A Requesting Data...</v>
      </c>
      <c r="D443" s="8" t="str">
        <f>IF($A443="","",_xll.BDH(config!$H$4,D$1,$A443,$A443))</f>
        <v>#N/A Requesting Data...</v>
      </c>
      <c r="E443" s="8">
        <f>IF($A443="","",IF(ISNUMBER(FIND("IMPVOL",E$1)),_xll.BDH(config!$G$4,E$1,WORKDAY($A443,-1,config_Holiday_Calendar_US),WORKDAY($A443,-1,config_Holiday_Calendar_US)),IF(ISNUMBER(_xll.BDH(config!$G$4,E$1,$A443,$A443)),_xll.BDH(config!$G$4,E$1,$A443,$A443),_xll.BDH(config!$G$5,E$1,$A443,$A443))))</f>
        <v>58.98</v>
      </c>
      <c r="F443" s="8">
        <f>IF($A443="","",IF(ISNUMBER(FIND("IMPVOL",F$1)),_xll.BDH(config!$G$4,F$1,WORKDAY($A443,-1,config_Holiday_Calendar_US),WORKDAY($A443,-1,config_Holiday_Calendar_US)),IF(ISNUMBER(_xll.BDH(config!$G$4,F$1,$A443,$A443)),_xll.BDH(config!$G$4,F$1,$A443,$A443),_xll.BDH(config!$G$5,F$1,$A443,$A443))))</f>
        <v>58.98</v>
      </c>
      <c r="G443" s="8" t="str">
        <f>IF($A443="","",IF(ISNUMBER(FIND("IMPVOL",G$1)),_xll.BDH(config!$G$4,G$1,WORKDAY($A443,-1,config_Holiday_Calendar_US),WORKDAY($A443,-1,config_Holiday_Calendar_US)),IF(ISNUMBER(_xll.BDH(config!$G$4,G$1,$A443,$A443)),_xll.BDH(config!$G$4,G$1,$A443,$A443),_xll.BDH(config!$G$5,G$1,$A443,$A443))))</f>
        <v>#N/A Requesting Data...</v>
      </c>
      <c r="H443" s="8" t="str">
        <f>IF($A443="","",IF(ISNUMBER(FIND("IMPVOL",H$1)),_xll.BDH(config!$G$4,H$1,WORKDAY($A443,-1,config_Holiday_Calendar_US),WORKDAY($A443,-1,config_Holiday_Calendar_US)),IF(ISNUMBER(_xll.BDH(config!$G$4,H$1,$A443,$A443)),_xll.BDH(config!$G$4,H$1,$A443,$A443),_xll.BDH(config!$G$5,H$1,$A443,$A443))))</f>
        <v>#N/A Requesting Data...</v>
      </c>
      <c r="I443" s="8" t="str">
        <f>IF($A443="","",IF(ISNUMBER(FIND("IMPVOL",I$1)),_xll.BDH(config!$G$4,I$1,WORKDAY($A443,-1,config_Holiday_Calendar_US),WORKDAY($A443,-1,config_Holiday_Calendar_US)),IF(ISNUMBER(_xll.BDH(config!$G$4,I$1,$A443,$A443)),_xll.BDH(config!$G$4,I$1,$A443,$A443),_xll.BDH(config!$G$5,I$1,$A443,$A443))))</f>
        <v>#N/A Requesting Data...</v>
      </c>
      <c r="J443" s="8" t="str">
        <f>IF($A443="","",IF(ISNUMBER(FIND("IMPVOL",J$1)),_xll.BDH(config!$G$4,J$1,WORKDAY($A443,-1,config_Holiday_Calendar_US),WORKDAY($A443,-1,config_Holiday_Calendar_US)),IF(ISNUMBER(_xll.BDH(config!$G$4,J$1,$A443,$A443)),_xll.BDH(config!$G$4,J$1,$A443,$A443),_xll.BDH(config!$G$5,J$1,$A443,$A443))))</f>
        <v>#N/A Requesting Data...</v>
      </c>
      <c r="K443" s="8" t="str">
        <f>IF($A443="","",IF(ISNUMBER(FIND("IMPVOL",K$1)),_xll.BDH(config!$G$4,K$1,WORKDAY($A443,-1,config_Holiday_Calendar_US),WORKDAY($A443,-1,config_Holiday_Calendar_US)),IF(ISNUMBER(_xll.BDH(config!$G$4,K$1,$A443,$A443)),_xll.BDH(config!$G$4,K$1,$A443,$A443),_xll.BDH(config!$G$5,K$1,$A443,$A443))))</f>
        <v>#N/A Requesting Data...</v>
      </c>
      <c r="L443" s="8" t="str">
        <f>IF($A443="","",IF(ISNUMBER(FIND("IMPVOL",L$1)),_xll.BDH(config!$G$4,L$1,WORKDAY($A443,-1,config_Holiday_Calendar_US),WORKDAY($A443,-1,config_Holiday_Calendar_US)),IF(ISNUMBER(_xll.BDH(config!$G$4,L$1,$A443,$A443)),_xll.BDH(config!$G$4,L$1,$A443,$A443),_xll.BDH(config!$G$5,L$1,$A443,$A443))))</f>
        <v>#N/A Requesting Data...</v>
      </c>
      <c r="M443" s="8" t="str">
        <f>IF($A443="","",IF(ISNUMBER(FIND("IMPVOL",M$1)),_xll.BDH(config!$G$4,M$1,WORKDAY($A443,-1,config_Holiday_Calendar_US),WORKDAY($A443,-1,config_Holiday_Calendar_US)),IF(ISNUMBER(_xll.BDH(config!$G$4,M$1,$A443,$A443)),_xll.BDH(config!$G$4,M$1,$A443,$A443),_xll.BDH(config!$G$5,M$1,$A443,$A443))))</f>
        <v>#N/A Requesting Data...</v>
      </c>
      <c r="N443" s="8" t="str">
        <f>IF($A443="","",IF(ISNUMBER(FIND("IMPVOL",N$1)),_xll.BDH(config!$G$4,N$1,WORKDAY($A443,-1,config_Holiday_Calendar_US),WORKDAY($A443,-1,config_Holiday_Calendar_US)),IF(ISNUMBER(_xll.BDH(config!$G$4,N$1,$A443,$A443)),_xll.BDH(config!$G$4,N$1,$A443,$A443),_xll.BDH(config!$G$5,N$1,$A443,$A443))))</f>
        <v>#N/A Requesting Data...</v>
      </c>
      <c r="O443" s="8" t="str">
        <f>IF($A443="","",IF(ISNUMBER(FIND("IMPVOL",O$1)),_xll.BDH(config!$G$4,O$1,WORKDAY($A443,-1,config_Holiday_Calendar_US),WORKDAY($A443,-1,config_Holiday_Calendar_US)),IF(ISNUMBER(_xll.BDH(config!$G$4,O$1,$A443,$A443)),_xll.BDH(config!$G$4,O$1,$A443,$A443),_xll.BDH(config!$G$5,O$1,$A443,$A443))))</f>
        <v>#N/A Requesting Data...</v>
      </c>
      <c r="P443" s="8" t="str">
        <f>IF($A443="","",IF(ISNUMBER(FIND("IMPVOL",P$1)),_xll.BDH(config!$G$4,P$1,WORKDAY($A443,-1,config_Holiday_Calendar_US),WORKDAY($A443,-1,config_Holiday_Calendar_US)),IF(ISNUMBER(_xll.BDH(config!$G$4,P$1,$A443,$A443)),_xll.BDH(config!$G$4,P$1,$A443,$A443),_xll.BDH(config!$G$5,P$1,$A443,$A443))))</f>
        <v>#N/A Requesting Data...</v>
      </c>
      <c r="Q443" s="8" t="str">
        <f>IF($A443="","",IF(ISNUMBER(FIND("IMPVOL",Q$1)),_xll.BDH(config!$G$4,Q$1,WORKDAY($A443,-1,config_Holiday_Calendar_US),WORKDAY($A443,-1,config_Holiday_Calendar_US)),IF(ISNUMBER(_xll.BDH(config!$G$4,Q$1,$A443,$A443)),_xll.BDH(config!$G$4,Q$1,$A443,$A443),_xll.BDH(config!$G$5,Q$1,$A443,$A443))))</f>
        <v>#N/A Requesting Data...</v>
      </c>
      <c r="R443" s="8" t="str">
        <f>IF($A443="","",IF(ISNUMBER(FIND("IMPVOL",R$1)),_xll.BDH(config!$G$4,R$1,WORKDAY($A443,-1,config_Holiday_Calendar_US),WORKDAY($A443,-1,config_Holiday_Calendar_US)),IF(ISNUMBER(_xll.BDH(config!$G$4,R$1,$A443,$A443)),_xll.BDH(config!$G$4,R$1,$A443,$A443),_xll.BDH(config!$G$5,R$1,$A443,$A443))))</f>
        <v>#N/A Requesting Data...</v>
      </c>
      <c r="S443" s="8" t="str">
        <f>IF($A443="","",IF(ISNUMBER(FIND("IMPVOL",S$1)),_xll.BDH(config!$G$4,S$1,WORKDAY($A443,-1,config_Holiday_Calendar_US),WORKDAY($A443,-1,config_Holiday_Calendar_US)),IF(ISNUMBER(_xll.BDH(config!$G$4,S$1,$A443,$A443)),_xll.BDH(config!$G$4,S$1,$A443,$A443),_xll.BDH(config!$G$5,S$1,$A443,$A443))))</f>
        <v>#N/A Requesting Data...</v>
      </c>
      <c r="T443" s="8" t="str">
        <f>IF($A443="","",IF(ISNUMBER(FIND("IMPVOL",T$1)),_xll.BDH(config!$G$4,T$1,WORKDAY($A443,-1,config_Holiday_Calendar_US),WORKDAY($A443,-1,config_Holiday_Calendar_US)),IF(ISNUMBER(_xll.BDH(config!$G$4,T$1,$A443,$A443)),_xll.BDH(config!$G$4,T$1,$A443,$A443),_xll.BDH(config!$G$5,T$1,$A443,$A443))))</f>
        <v>#N/A Requesting Data...</v>
      </c>
      <c r="U443" s="8" t="str">
        <f>IF($A443="","",IF(ISNUMBER(FIND("IMPVOL",U$1)),_xll.BDH(config!$G$4,U$1,WORKDAY($A443,-1,config_Holiday_Calendar_US),WORKDAY($A443,-1,config_Holiday_Calendar_US)),IF(ISNUMBER(_xll.BDH(config!$G$4,U$1,$A443,$A443)),_xll.BDH(config!$G$4,U$1,$A443,$A443),_xll.BDH(config!$G$5,U$1,$A443,$A443))))</f>
        <v>#N/A Requesting Data...</v>
      </c>
      <c r="V443" s="8" t="str">
        <f>IF($A443="","",IF(ISNUMBER(FIND("IMPVOL",V$1)),_xll.BDH(config!$G$4,V$1,WORKDAY($A443,-1,config_Holiday_Calendar_US),WORKDAY($A443,-1,config_Holiday_Calendar_US)),IF(ISNUMBER(_xll.BDH(config!$G$4,V$1,$A443,$A443)),_xll.BDH(config!$G$4,V$1,$A443,$A443),_xll.BDH(config!$G$5,V$1,$A443,$A443))))</f>
        <v>#N/A Requesting Data...</v>
      </c>
      <c r="W443" s="8" t="str">
        <f>IF($A443="","",IF(ISNUMBER(FIND("IMPVOL",W$1)),_xll.BDH(config!$G$4,W$1,WORKDAY($A443,-1,config_Holiday_Calendar_US),WORKDAY($A443,-1,config_Holiday_Calendar_US)),IF(ISNUMBER(_xll.BDH(config!$G$4,W$1,$A443,$A443)),_xll.BDH(config!$G$4,W$1,$A443,$A443),_xll.BDH(config!$G$5,W$1,$A443,$A443))))</f>
        <v>#N/A Requesting Data...</v>
      </c>
    </row>
    <row r="444" spans="1:23" x14ac:dyDescent="0.2">
      <c r="A444" s="9">
        <f>IF(A443="","",IF(WORKDAY(A443,-1,config_Holiday_Calendar_US)&lt;config!$I$10,"",WORKDAY(A443,-1,config_Holiday_Calendar_US)))</f>
        <v>42185</v>
      </c>
      <c r="B444" s="8" t="e">
        <f t="shared" si="6"/>
        <v>#VALUE!</v>
      </c>
      <c r="C444" s="8" t="str">
        <f>IF(A444="","",_xll.BDH(config!$H$4,C$1,$A444,$A444))</f>
        <v>#N/A Requesting Data...</v>
      </c>
      <c r="D444" s="8" t="str">
        <f>IF($A444="","",_xll.BDH(config!$H$4,D$1,$A444,$A444))</f>
        <v>#N/A Requesting Data...</v>
      </c>
      <c r="E444" s="8">
        <f>IF($A444="","",IF(ISNUMBER(FIND("IMPVOL",E$1)),_xll.BDH(config!$G$4,E$1,WORKDAY($A444,-1,config_Holiday_Calendar_US),WORKDAY($A444,-1,config_Holiday_Calendar_US)),IF(ISNUMBER(_xll.BDH(config!$G$4,E$1,$A444,$A444)),_xll.BDH(config!$G$4,E$1,$A444,$A444),_xll.BDH(config!$G$5,E$1,$A444,$A444))))</f>
        <v>58.27</v>
      </c>
      <c r="F444" s="8">
        <f>IF($A444="","",IF(ISNUMBER(FIND("IMPVOL",F$1)),_xll.BDH(config!$G$4,F$1,WORKDAY($A444,-1,config_Holiday_Calendar_US),WORKDAY($A444,-1,config_Holiday_Calendar_US)),IF(ISNUMBER(_xll.BDH(config!$G$4,F$1,$A444,$A444)),_xll.BDH(config!$G$4,F$1,$A444,$A444),_xll.BDH(config!$G$5,F$1,$A444,$A444))))</f>
        <v>59.69</v>
      </c>
      <c r="G444" s="8" t="str">
        <f>IF($A444="","",IF(ISNUMBER(FIND("IMPVOL",G$1)),_xll.BDH(config!$G$4,G$1,WORKDAY($A444,-1,config_Holiday_Calendar_US),WORKDAY($A444,-1,config_Holiday_Calendar_US)),IF(ISNUMBER(_xll.BDH(config!$G$4,G$1,$A444,$A444)),_xll.BDH(config!$G$4,G$1,$A444,$A444),_xll.BDH(config!$G$5,G$1,$A444,$A444))))</f>
        <v>#N/A Requesting Data...</v>
      </c>
      <c r="H444" s="8" t="str">
        <f>IF($A444="","",IF(ISNUMBER(FIND("IMPVOL",H$1)),_xll.BDH(config!$G$4,H$1,WORKDAY($A444,-1,config_Holiday_Calendar_US),WORKDAY($A444,-1,config_Holiday_Calendar_US)),IF(ISNUMBER(_xll.BDH(config!$G$4,H$1,$A444,$A444)),_xll.BDH(config!$G$4,H$1,$A444,$A444),_xll.BDH(config!$G$5,H$1,$A444,$A444))))</f>
        <v>#N/A Requesting Data...</v>
      </c>
      <c r="I444" s="8" t="str">
        <f>IF($A444="","",IF(ISNUMBER(FIND("IMPVOL",I$1)),_xll.BDH(config!$G$4,I$1,WORKDAY($A444,-1,config_Holiday_Calendar_US),WORKDAY($A444,-1,config_Holiday_Calendar_US)),IF(ISNUMBER(_xll.BDH(config!$G$4,I$1,$A444,$A444)),_xll.BDH(config!$G$4,I$1,$A444,$A444),_xll.BDH(config!$G$5,I$1,$A444,$A444))))</f>
        <v>#N/A Requesting Data...</v>
      </c>
      <c r="J444" s="8" t="str">
        <f>IF($A444="","",IF(ISNUMBER(FIND("IMPVOL",J$1)),_xll.BDH(config!$G$4,J$1,WORKDAY($A444,-1,config_Holiday_Calendar_US),WORKDAY($A444,-1,config_Holiday_Calendar_US)),IF(ISNUMBER(_xll.BDH(config!$G$4,J$1,$A444,$A444)),_xll.BDH(config!$G$4,J$1,$A444,$A444),_xll.BDH(config!$G$5,J$1,$A444,$A444))))</f>
        <v>#N/A Requesting Data...</v>
      </c>
      <c r="K444" s="8" t="str">
        <f>IF($A444="","",IF(ISNUMBER(FIND("IMPVOL",K$1)),_xll.BDH(config!$G$4,K$1,WORKDAY($A444,-1,config_Holiday_Calendar_US),WORKDAY($A444,-1,config_Holiday_Calendar_US)),IF(ISNUMBER(_xll.BDH(config!$G$4,K$1,$A444,$A444)),_xll.BDH(config!$G$4,K$1,$A444,$A444),_xll.BDH(config!$G$5,K$1,$A444,$A444))))</f>
        <v>#N/A Requesting Data...</v>
      </c>
      <c r="L444" s="8" t="str">
        <f>IF($A444="","",IF(ISNUMBER(FIND("IMPVOL",L$1)),_xll.BDH(config!$G$4,L$1,WORKDAY($A444,-1,config_Holiday_Calendar_US),WORKDAY($A444,-1,config_Holiday_Calendar_US)),IF(ISNUMBER(_xll.BDH(config!$G$4,L$1,$A444,$A444)),_xll.BDH(config!$G$4,L$1,$A444,$A444),_xll.BDH(config!$G$5,L$1,$A444,$A444))))</f>
        <v>#N/A Requesting Data...</v>
      </c>
      <c r="M444" s="8" t="str">
        <f>IF($A444="","",IF(ISNUMBER(FIND("IMPVOL",M$1)),_xll.BDH(config!$G$4,M$1,WORKDAY($A444,-1,config_Holiday_Calendar_US),WORKDAY($A444,-1,config_Holiday_Calendar_US)),IF(ISNUMBER(_xll.BDH(config!$G$4,M$1,$A444,$A444)),_xll.BDH(config!$G$4,M$1,$A444,$A444),_xll.BDH(config!$G$5,M$1,$A444,$A444))))</f>
        <v>#N/A Requesting Data...</v>
      </c>
      <c r="N444" s="8" t="str">
        <f>IF($A444="","",IF(ISNUMBER(FIND("IMPVOL",N$1)),_xll.BDH(config!$G$4,N$1,WORKDAY($A444,-1,config_Holiday_Calendar_US),WORKDAY($A444,-1,config_Holiday_Calendar_US)),IF(ISNUMBER(_xll.BDH(config!$G$4,N$1,$A444,$A444)),_xll.BDH(config!$G$4,N$1,$A444,$A444),_xll.BDH(config!$G$5,N$1,$A444,$A444))))</f>
        <v>#N/A Requesting Data...</v>
      </c>
      <c r="O444" s="8" t="str">
        <f>IF($A444="","",IF(ISNUMBER(FIND("IMPVOL",O$1)),_xll.BDH(config!$G$4,O$1,WORKDAY($A444,-1,config_Holiday_Calendar_US),WORKDAY($A444,-1,config_Holiday_Calendar_US)),IF(ISNUMBER(_xll.BDH(config!$G$4,O$1,$A444,$A444)),_xll.BDH(config!$G$4,O$1,$A444,$A444),_xll.BDH(config!$G$5,O$1,$A444,$A444))))</f>
        <v>#N/A Requesting Data...</v>
      </c>
      <c r="P444" s="8" t="str">
        <f>IF($A444="","",IF(ISNUMBER(FIND("IMPVOL",P$1)),_xll.BDH(config!$G$4,P$1,WORKDAY($A444,-1,config_Holiday_Calendar_US),WORKDAY($A444,-1,config_Holiday_Calendar_US)),IF(ISNUMBER(_xll.BDH(config!$G$4,P$1,$A444,$A444)),_xll.BDH(config!$G$4,P$1,$A444,$A444),_xll.BDH(config!$G$5,P$1,$A444,$A444))))</f>
        <v>#N/A Requesting Data...</v>
      </c>
      <c r="Q444" s="8" t="str">
        <f>IF($A444="","",IF(ISNUMBER(FIND("IMPVOL",Q$1)),_xll.BDH(config!$G$4,Q$1,WORKDAY($A444,-1,config_Holiday_Calendar_US),WORKDAY($A444,-1,config_Holiday_Calendar_US)),IF(ISNUMBER(_xll.BDH(config!$G$4,Q$1,$A444,$A444)),_xll.BDH(config!$G$4,Q$1,$A444,$A444),_xll.BDH(config!$G$5,Q$1,$A444,$A444))))</f>
        <v>#N/A Requesting Data...</v>
      </c>
      <c r="R444" s="8" t="str">
        <f>IF($A444="","",IF(ISNUMBER(FIND("IMPVOL",R$1)),_xll.BDH(config!$G$4,R$1,WORKDAY($A444,-1,config_Holiday_Calendar_US),WORKDAY($A444,-1,config_Holiday_Calendar_US)),IF(ISNUMBER(_xll.BDH(config!$G$4,R$1,$A444,$A444)),_xll.BDH(config!$G$4,R$1,$A444,$A444),_xll.BDH(config!$G$5,R$1,$A444,$A444))))</f>
        <v>#N/A Requesting Data...</v>
      </c>
      <c r="S444" s="8" t="str">
        <f>IF($A444="","",IF(ISNUMBER(FIND("IMPVOL",S$1)),_xll.BDH(config!$G$4,S$1,WORKDAY($A444,-1,config_Holiday_Calendar_US),WORKDAY($A444,-1,config_Holiday_Calendar_US)),IF(ISNUMBER(_xll.BDH(config!$G$4,S$1,$A444,$A444)),_xll.BDH(config!$G$4,S$1,$A444,$A444),_xll.BDH(config!$G$5,S$1,$A444,$A444))))</f>
        <v>#N/A Requesting Data...</v>
      </c>
      <c r="T444" s="8" t="str">
        <f>IF($A444="","",IF(ISNUMBER(FIND("IMPVOL",T$1)),_xll.BDH(config!$G$4,T$1,WORKDAY($A444,-1,config_Holiday_Calendar_US),WORKDAY($A444,-1,config_Holiday_Calendar_US)),IF(ISNUMBER(_xll.BDH(config!$G$4,T$1,$A444,$A444)),_xll.BDH(config!$G$4,T$1,$A444,$A444),_xll.BDH(config!$G$5,T$1,$A444,$A444))))</f>
        <v>#N/A Requesting Data...</v>
      </c>
      <c r="U444" s="8" t="str">
        <f>IF($A444="","",IF(ISNUMBER(FIND("IMPVOL",U$1)),_xll.BDH(config!$G$4,U$1,WORKDAY($A444,-1,config_Holiday_Calendar_US),WORKDAY($A444,-1,config_Holiday_Calendar_US)),IF(ISNUMBER(_xll.BDH(config!$G$4,U$1,$A444,$A444)),_xll.BDH(config!$G$4,U$1,$A444,$A444),_xll.BDH(config!$G$5,U$1,$A444,$A444))))</f>
        <v>#N/A Requesting Data...</v>
      </c>
      <c r="V444" s="8" t="str">
        <f>IF($A444="","",IF(ISNUMBER(FIND("IMPVOL",V$1)),_xll.BDH(config!$G$4,V$1,WORKDAY($A444,-1,config_Holiday_Calendar_US),WORKDAY($A444,-1,config_Holiday_Calendar_US)),IF(ISNUMBER(_xll.BDH(config!$G$4,V$1,$A444,$A444)),_xll.BDH(config!$G$4,V$1,$A444,$A444),_xll.BDH(config!$G$5,V$1,$A444,$A444))))</f>
        <v>#N/A Requesting Data...</v>
      </c>
      <c r="W444" s="8" t="str">
        <f>IF($A444="","",IF(ISNUMBER(FIND("IMPVOL",W$1)),_xll.BDH(config!$G$4,W$1,WORKDAY($A444,-1,config_Holiday_Calendar_US),WORKDAY($A444,-1,config_Holiday_Calendar_US)),IF(ISNUMBER(_xll.BDH(config!$G$4,W$1,$A444,$A444)),_xll.BDH(config!$G$4,W$1,$A444,$A444),_xll.BDH(config!$G$5,W$1,$A444,$A444))))</f>
        <v>#N/A Requesting Data...</v>
      </c>
    </row>
    <row r="445" spans="1:23" x14ac:dyDescent="0.2">
      <c r="A445" s="9">
        <f>IF(A444="","",IF(WORKDAY(A444,-1,config_Holiday_Calendar_US)&lt;config!$I$10,"",WORKDAY(A444,-1,config_Holiday_Calendar_US)))</f>
        <v>42184</v>
      </c>
      <c r="B445" s="8" t="e">
        <f t="shared" si="6"/>
        <v>#VALUE!</v>
      </c>
      <c r="C445" s="8" t="str">
        <f>IF(A445="","",_xll.BDH(config!$H$4,C$1,$A445,$A445))</f>
        <v>#N/A Requesting Data...</v>
      </c>
      <c r="D445" s="8" t="str">
        <f>IF($A445="","",_xll.BDH(config!$H$4,D$1,$A445,$A445))</f>
        <v>#N/A Requesting Data...</v>
      </c>
      <c r="E445" s="8">
        <f>IF($A445="","",IF(ISNUMBER(FIND("IMPVOL",E$1)),_xll.BDH(config!$G$4,E$1,WORKDAY($A445,-1,config_Holiday_Calendar_US),WORKDAY($A445,-1,config_Holiday_Calendar_US)),IF(ISNUMBER(_xll.BDH(config!$G$4,E$1,$A445,$A445)),_xll.BDH(config!$G$4,E$1,$A445,$A445),_xll.BDH(config!$G$5,E$1,$A445,$A445))))</f>
        <v>58.84</v>
      </c>
      <c r="F445" s="8">
        <f>IF($A445="","",IF(ISNUMBER(FIND("IMPVOL",F$1)),_xll.BDH(config!$G$4,F$1,WORKDAY($A445,-1,config_Holiday_Calendar_US),WORKDAY($A445,-1,config_Holiday_Calendar_US)),IF(ISNUMBER(_xll.BDH(config!$G$4,F$1,$A445,$A445)),_xll.BDH(config!$G$4,F$1,$A445,$A445),_xll.BDH(config!$G$5,F$1,$A445,$A445))))</f>
        <v>59.27</v>
      </c>
      <c r="G445" s="8" t="str">
        <f>IF($A445="","",IF(ISNUMBER(FIND("IMPVOL",G$1)),_xll.BDH(config!$G$4,G$1,WORKDAY($A445,-1,config_Holiday_Calendar_US),WORKDAY($A445,-1,config_Holiday_Calendar_US)),IF(ISNUMBER(_xll.BDH(config!$G$4,G$1,$A445,$A445)),_xll.BDH(config!$G$4,G$1,$A445,$A445),_xll.BDH(config!$G$5,G$1,$A445,$A445))))</f>
        <v>#N/A Requesting Data...</v>
      </c>
      <c r="H445" s="8" t="str">
        <f>IF($A445="","",IF(ISNUMBER(FIND("IMPVOL",H$1)),_xll.BDH(config!$G$4,H$1,WORKDAY($A445,-1,config_Holiday_Calendar_US),WORKDAY($A445,-1,config_Holiday_Calendar_US)),IF(ISNUMBER(_xll.BDH(config!$G$4,H$1,$A445,$A445)),_xll.BDH(config!$G$4,H$1,$A445,$A445),_xll.BDH(config!$G$5,H$1,$A445,$A445))))</f>
        <v>#N/A Requesting Data...</v>
      </c>
      <c r="I445" s="8" t="str">
        <f>IF($A445="","",IF(ISNUMBER(FIND("IMPVOL",I$1)),_xll.BDH(config!$G$4,I$1,WORKDAY($A445,-1,config_Holiday_Calendar_US),WORKDAY($A445,-1,config_Holiday_Calendar_US)),IF(ISNUMBER(_xll.BDH(config!$G$4,I$1,$A445,$A445)),_xll.BDH(config!$G$4,I$1,$A445,$A445),_xll.BDH(config!$G$5,I$1,$A445,$A445))))</f>
        <v>#N/A Requesting Data...</v>
      </c>
      <c r="J445" s="8" t="str">
        <f>IF($A445="","",IF(ISNUMBER(FIND("IMPVOL",J$1)),_xll.BDH(config!$G$4,J$1,WORKDAY($A445,-1,config_Holiday_Calendar_US),WORKDAY($A445,-1,config_Holiday_Calendar_US)),IF(ISNUMBER(_xll.BDH(config!$G$4,J$1,$A445,$A445)),_xll.BDH(config!$G$4,J$1,$A445,$A445),_xll.BDH(config!$G$5,J$1,$A445,$A445))))</f>
        <v>#N/A Requesting Data...</v>
      </c>
      <c r="K445" s="8" t="str">
        <f>IF($A445="","",IF(ISNUMBER(FIND("IMPVOL",K$1)),_xll.BDH(config!$G$4,K$1,WORKDAY($A445,-1,config_Holiday_Calendar_US),WORKDAY($A445,-1,config_Holiday_Calendar_US)),IF(ISNUMBER(_xll.BDH(config!$G$4,K$1,$A445,$A445)),_xll.BDH(config!$G$4,K$1,$A445,$A445),_xll.BDH(config!$G$5,K$1,$A445,$A445))))</f>
        <v>#N/A Requesting Data...</v>
      </c>
      <c r="L445" s="8" t="str">
        <f>IF($A445="","",IF(ISNUMBER(FIND("IMPVOL",L$1)),_xll.BDH(config!$G$4,L$1,WORKDAY($A445,-1,config_Holiday_Calendar_US),WORKDAY($A445,-1,config_Holiday_Calendar_US)),IF(ISNUMBER(_xll.BDH(config!$G$4,L$1,$A445,$A445)),_xll.BDH(config!$G$4,L$1,$A445,$A445),_xll.BDH(config!$G$5,L$1,$A445,$A445))))</f>
        <v>#N/A Requesting Data...</v>
      </c>
      <c r="M445" s="8" t="str">
        <f>IF($A445="","",IF(ISNUMBER(FIND("IMPVOL",M$1)),_xll.BDH(config!$G$4,M$1,WORKDAY($A445,-1,config_Holiday_Calendar_US),WORKDAY($A445,-1,config_Holiday_Calendar_US)),IF(ISNUMBER(_xll.BDH(config!$G$4,M$1,$A445,$A445)),_xll.BDH(config!$G$4,M$1,$A445,$A445),_xll.BDH(config!$G$5,M$1,$A445,$A445))))</f>
        <v>#N/A Requesting Data...</v>
      </c>
      <c r="N445" s="8" t="str">
        <f>IF($A445="","",IF(ISNUMBER(FIND("IMPVOL",N$1)),_xll.BDH(config!$G$4,N$1,WORKDAY($A445,-1,config_Holiday_Calendar_US),WORKDAY($A445,-1,config_Holiday_Calendar_US)),IF(ISNUMBER(_xll.BDH(config!$G$4,N$1,$A445,$A445)),_xll.BDH(config!$G$4,N$1,$A445,$A445),_xll.BDH(config!$G$5,N$1,$A445,$A445))))</f>
        <v>#N/A Requesting Data...</v>
      </c>
      <c r="O445" s="8" t="str">
        <f>IF($A445="","",IF(ISNUMBER(FIND("IMPVOL",O$1)),_xll.BDH(config!$G$4,O$1,WORKDAY($A445,-1,config_Holiday_Calendar_US),WORKDAY($A445,-1,config_Holiday_Calendar_US)),IF(ISNUMBER(_xll.BDH(config!$G$4,O$1,$A445,$A445)),_xll.BDH(config!$G$4,O$1,$A445,$A445),_xll.BDH(config!$G$5,O$1,$A445,$A445))))</f>
        <v>#N/A Requesting Data...</v>
      </c>
      <c r="P445" s="8" t="str">
        <f>IF($A445="","",IF(ISNUMBER(FIND("IMPVOL",P$1)),_xll.BDH(config!$G$4,P$1,WORKDAY($A445,-1,config_Holiday_Calendar_US),WORKDAY($A445,-1,config_Holiday_Calendar_US)),IF(ISNUMBER(_xll.BDH(config!$G$4,P$1,$A445,$A445)),_xll.BDH(config!$G$4,P$1,$A445,$A445),_xll.BDH(config!$G$5,P$1,$A445,$A445))))</f>
        <v>#N/A Requesting Data...</v>
      </c>
      <c r="Q445" s="8" t="str">
        <f>IF($A445="","",IF(ISNUMBER(FIND("IMPVOL",Q$1)),_xll.BDH(config!$G$4,Q$1,WORKDAY($A445,-1,config_Holiday_Calendar_US),WORKDAY($A445,-1,config_Holiday_Calendar_US)),IF(ISNUMBER(_xll.BDH(config!$G$4,Q$1,$A445,$A445)),_xll.BDH(config!$G$4,Q$1,$A445,$A445),_xll.BDH(config!$G$5,Q$1,$A445,$A445))))</f>
        <v>#N/A Requesting Data...</v>
      </c>
      <c r="R445" s="8" t="str">
        <f>IF($A445="","",IF(ISNUMBER(FIND("IMPVOL",R$1)),_xll.BDH(config!$G$4,R$1,WORKDAY($A445,-1,config_Holiday_Calendar_US),WORKDAY($A445,-1,config_Holiday_Calendar_US)),IF(ISNUMBER(_xll.BDH(config!$G$4,R$1,$A445,$A445)),_xll.BDH(config!$G$4,R$1,$A445,$A445),_xll.BDH(config!$G$5,R$1,$A445,$A445))))</f>
        <v>#N/A Requesting Data...</v>
      </c>
      <c r="S445" s="8" t="str">
        <f>IF($A445="","",IF(ISNUMBER(FIND("IMPVOL",S$1)),_xll.BDH(config!$G$4,S$1,WORKDAY($A445,-1,config_Holiday_Calendar_US),WORKDAY($A445,-1,config_Holiday_Calendar_US)),IF(ISNUMBER(_xll.BDH(config!$G$4,S$1,$A445,$A445)),_xll.BDH(config!$G$4,S$1,$A445,$A445),_xll.BDH(config!$G$5,S$1,$A445,$A445))))</f>
        <v>#N/A Requesting Data...</v>
      </c>
      <c r="T445" s="8" t="str">
        <f>IF($A445="","",IF(ISNUMBER(FIND("IMPVOL",T$1)),_xll.BDH(config!$G$4,T$1,WORKDAY($A445,-1,config_Holiday_Calendar_US),WORKDAY($A445,-1,config_Holiday_Calendar_US)),IF(ISNUMBER(_xll.BDH(config!$G$4,T$1,$A445,$A445)),_xll.BDH(config!$G$4,T$1,$A445,$A445),_xll.BDH(config!$G$5,T$1,$A445,$A445))))</f>
        <v>#N/A Requesting Data...</v>
      </c>
      <c r="U445" s="8" t="str">
        <f>IF($A445="","",IF(ISNUMBER(FIND("IMPVOL",U$1)),_xll.BDH(config!$G$4,U$1,WORKDAY($A445,-1,config_Holiday_Calendar_US),WORKDAY($A445,-1,config_Holiday_Calendar_US)),IF(ISNUMBER(_xll.BDH(config!$G$4,U$1,$A445,$A445)),_xll.BDH(config!$G$4,U$1,$A445,$A445),_xll.BDH(config!$G$5,U$1,$A445,$A445))))</f>
        <v>#N/A Requesting Data...</v>
      </c>
      <c r="V445" s="8" t="str">
        <f>IF($A445="","",IF(ISNUMBER(FIND("IMPVOL",V$1)),_xll.BDH(config!$G$4,V$1,WORKDAY($A445,-1,config_Holiday_Calendar_US),WORKDAY($A445,-1,config_Holiday_Calendar_US)),IF(ISNUMBER(_xll.BDH(config!$G$4,V$1,$A445,$A445)),_xll.BDH(config!$G$4,V$1,$A445,$A445),_xll.BDH(config!$G$5,V$1,$A445,$A445))))</f>
        <v>#N/A Requesting Data...</v>
      </c>
      <c r="W445" s="8" t="str">
        <f>IF($A445="","",IF(ISNUMBER(FIND("IMPVOL",W$1)),_xll.BDH(config!$G$4,W$1,WORKDAY($A445,-1,config_Holiday_Calendar_US),WORKDAY($A445,-1,config_Holiday_Calendar_US)),IF(ISNUMBER(_xll.BDH(config!$G$4,W$1,$A445,$A445)),_xll.BDH(config!$G$4,W$1,$A445,$A445),_xll.BDH(config!$G$5,W$1,$A445,$A445))))</f>
        <v>#N/A Requesting Data...</v>
      </c>
    </row>
    <row r="446" spans="1:23" x14ac:dyDescent="0.2">
      <c r="A446" s="9">
        <f>IF(A445="","",IF(WORKDAY(A445,-1,config_Holiday_Calendar_US)&lt;config!$I$10,"",WORKDAY(A445,-1,config_Holiday_Calendar_US)))</f>
        <v>42181</v>
      </c>
      <c r="B446" s="8" t="e">
        <f t="shared" si="6"/>
        <v>#VALUE!</v>
      </c>
      <c r="C446" s="8" t="str">
        <f>IF(A446="","",_xll.BDH(config!$H$4,C$1,$A446,$A446))</f>
        <v>#N/A Requesting Data...</v>
      </c>
      <c r="D446" s="8" t="str">
        <f>IF($A446="","",_xll.BDH(config!$H$4,D$1,$A446,$A446))</f>
        <v>#N/A Requesting Data...</v>
      </c>
      <c r="E446" s="8">
        <f>IF($A446="","",IF(ISNUMBER(FIND("IMPVOL",E$1)),_xll.BDH(config!$G$4,E$1,WORKDAY($A446,-1,config_Holiday_Calendar_US),WORKDAY($A446,-1,config_Holiday_Calendar_US)),IF(ISNUMBER(_xll.BDH(config!$G$4,E$1,$A446,$A446)),_xll.BDH(config!$G$4,E$1,$A446,$A446),_xll.BDH(config!$G$5,E$1,$A446,$A446))))</f>
        <v>59.66</v>
      </c>
      <c r="F446" s="8">
        <f>IF($A446="","",IF(ISNUMBER(FIND("IMPVOL",F$1)),_xll.BDH(config!$G$4,F$1,WORKDAY($A446,-1,config_Holiday_Calendar_US),WORKDAY($A446,-1,config_Holiday_Calendar_US)),IF(ISNUMBER(_xll.BDH(config!$G$4,F$1,$A446,$A446)),_xll.BDH(config!$G$4,F$1,$A446,$A446),_xll.BDH(config!$G$5,F$1,$A446,$A446))))</f>
        <v>59.96</v>
      </c>
      <c r="G446" s="8" t="str">
        <f>IF($A446="","",IF(ISNUMBER(FIND("IMPVOL",G$1)),_xll.BDH(config!$G$4,G$1,WORKDAY($A446,-1,config_Holiday_Calendar_US),WORKDAY($A446,-1,config_Holiday_Calendar_US)),IF(ISNUMBER(_xll.BDH(config!$G$4,G$1,$A446,$A446)),_xll.BDH(config!$G$4,G$1,$A446,$A446),_xll.BDH(config!$G$5,G$1,$A446,$A446))))</f>
        <v>#N/A Requesting Data...</v>
      </c>
      <c r="H446" s="8" t="str">
        <f>IF($A446="","",IF(ISNUMBER(FIND("IMPVOL",H$1)),_xll.BDH(config!$G$4,H$1,WORKDAY($A446,-1,config_Holiday_Calendar_US),WORKDAY($A446,-1,config_Holiday_Calendar_US)),IF(ISNUMBER(_xll.BDH(config!$G$4,H$1,$A446,$A446)),_xll.BDH(config!$G$4,H$1,$A446,$A446),_xll.BDH(config!$G$5,H$1,$A446,$A446))))</f>
        <v>#N/A Requesting Data...</v>
      </c>
      <c r="I446" s="8" t="str">
        <f>IF($A446="","",IF(ISNUMBER(FIND("IMPVOL",I$1)),_xll.BDH(config!$G$4,I$1,WORKDAY($A446,-1,config_Holiday_Calendar_US),WORKDAY($A446,-1,config_Holiday_Calendar_US)),IF(ISNUMBER(_xll.BDH(config!$G$4,I$1,$A446,$A446)),_xll.BDH(config!$G$4,I$1,$A446,$A446),_xll.BDH(config!$G$5,I$1,$A446,$A446))))</f>
        <v>#N/A Requesting Data...</v>
      </c>
      <c r="J446" s="8" t="str">
        <f>IF($A446="","",IF(ISNUMBER(FIND("IMPVOL",J$1)),_xll.BDH(config!$G$4,J$1,WORKDAY($A446,-1,config_Holiday_Calendar_US),WORKDAY($A446,-1,config_Holiday_Calendar_US)),IF(ISNUMBER(_xll.BDH(config!$G$4,J$1,$A446,$A446)),_xll.BDH(config!$G$4,J$1,$A446,$A446),_xll.BDH(config!$G$5,J$1,$A446,$A446))))</f>
        <v>#N/A Requesting Data...</v>
      </c>
      <c r="K446" s="8" t="str">
        <f>IF($A446="","",IF(ISNUMBER(FIND("IMPVOL",K$1)),_xll.BDH(config!$G$4,K$1,WORKDAY($A446,-1,config_Holiday_Calendar_US),WORKDAY($A446,-1,config_Holiday_Calendar_US)),IF(ISNUMBER(_xll.BDH(config!$G$4,K$1,$A446,$A446)),_xll.BDH(config!$G$4,K$1,$A446,$A446),_xll.BDH(config!$G$5,K$1,$A446,$A446))))</f>
        <v>#N/A Requesting Data...</v>
      </c>
      <c r="L446" s="8" t="str">
        <f>IF($A446="","",IF(ISNUMBER(FIND("IMPVOL",L$1)),_xll.BDH(config!$G$4,L$1,WORKDAY($A446,-1,config_Holiday_Calendar_US),WORKDAY($A446,-1,config_Holiday_Calendar_US)),IF(ISNUMBER(_xll.BDH(config!$G$4,L$1,$A446,$A446)),_xll.BDH(config!$G$4,L$1,$A446,$A446),_xll.BDH(config!$G$5,L$1,$A446,$A446))))</f>
        <v>#N/A Requesting Data...</v>
      </c>
      <c r="M446" s="8" t="str">
        <f>IF($A446="","",IF(ISNUMBER(FIND("IMPVOL",M$1)),_xll.BDH(config!$G$4,M$1,WORKDAY($A446,-1,config_Holiday_Calendar_US),WORKDAY($A446,-1,config_Holiday_Calendar_US)),IF(ISNUMBER(_xll.BDH(config!$G$4,M$1,$A446,$A446)),_xll.BDH(config!$G$4,M$1,$A446,$A446),_xll.BDH(config!$G$5,M$1,$A446,$A446))))</f>
        <v>#N/A Requesting Data...</v>
      </c>
      <c r="N446" s="8" t="str">
        <f>IF($A446="","",IF(ISNUMBER(FIND("IMPVOL",N$1)),_xll.BDH(config!$G$4,N$1,WORKDAY($A446,-1,config_Holiday_Calendar_US),WORKDAY($A446,-1,config_Holiday_Calendar_US)),IF(ISNUMBER(_xll.BDH(config!$G$4,N$1,$A446,$A446)),_xll.BDH(config!$G$4,N$1,$A446,$A446),_xll.BDH(config!$G$5,N$1,$A446,$A446))))</f>
        <v>#N/A Requesting Data...</v>
      </c>
      <c r="O446" s="8" t="str">
        <f>IF($A446="","",IF(ISNUMBER(FIND("IMPVOL",O$1)),_xll.BDH(config!$G$4,O$1,WORKDAY($A446,-1,config_Holiday_Calendar_US),WORKDAY($A446,-1,config_Holiday_Calendar_US)),IF(ISNUMBER(_xll.BDH(config!$G$4,O$1,$A446,$A446)),_xll.BDH(config!$G$4,O$1,$A446,$A446),_xll.BDH(config!$G$5,O$1,$A446,$A446))))</f>
        <v>#N/A Requesting Data...</v>
      </c>
      <c r="P446" s="8" t="str">
        <f>IF($A446="","",IF(ISNUMBER(FIND("IMPVOL",P$1)),_xll.BDH(config!$G$4,P$1,WORKDAY($A446,-1,config_Holiday_Calendar_US),WORKDAY($A446,-1,config_Holiday_Calendar_US)),IF(ISNUMBER(_xll.BDH(config!$G$4,P$1,$A446,$A446)),_xll.BDH(config!$G$4,P$1,$A446,$A446),_xll.BDH(config!$G$5,P$1,$A446,$A446))))</f>
        <v>#N/A Requesting Data...</v>
      </c>
      <c r="Q446" s="8" t="str">
        <f>IF($A446="","",IF(ISNUMBER(FIND("IMPVOL",Q$1)),_xll.BDH(config!$G$4,Q$1,WORKDAY($A446,-1,config_Holiday_Calendar_US),WORKDAY($A446,-1,config_Holiday_Calendar_US)),IF(ISNUMBER(_xll.BDH(config!$G$4,Q$1,$A446,$A446)),_xll.BDH(config!$G$4,Q$1,$A446,$A446),_xll.BDH(config!$G$5,Q$1,$A446,$A446))))</f>
        <v>#N/A Requesting Data...</v>
      </c>
      <c r="R446" s="8" t="str">
        <f>IF($A446="","",IF(ISNUMBER(FIND("IMPVOL",R$1)),_xll.BDH(config!$G$4,R$1,WORKDAY($A446,-1,config_Holiday_Calendar_US),WORKDAY($A446,-1,config_Holiday_Calendar_US)),IF(ISNUMBER(_xll.BDH(config!$G$4,R$1,$A446,$A446)),_xll.BDH(config!$G$4,R$1,$A446,$A446),_xll.BDH(config!$G$5,R$1,$A446,$A446))))</f>
        <v>#N/A Requesting Data...</v>
      </c>
      <c r="S446" s="8" t="str">
        <f>IF($A446="","",IF(ISNUMBER(FIND("IMPVOL",S$1)),_xll.BDH(config!$G$4,S$1,WORKDAY($A446,-1,config_Holiday_Calendar_US),WORKDAY($A446,-1,config_Holiday_Calendar_US)),IF(ISNUMBER(_xll.BDH(config!$G$4,S$1,$A446,$A446)),_xll.BDH(config!$G$4,S$1,$A446,$A446),_xll.BDH(config!$G$5,S$1,$A446,$A446))))</f>
        <v>#N/A Requesting Data...</v>
      </c>
      <c r="T446" s="8" t="str">
        <f>IF($A446="","",IF(ISNUMBER(FIND("IMPVOL",T$1)),_xll.BDH(config!$G$4,T$1,WORKDAY($A446,-1,config_Holiday_Calendar_US),WORKDAY($A446,-1,config_Holiday_Calendar_US)),IF(ISNUMBER(_xll.BDH(config!$G$4,T$1,$A446,$A446)),_xll.BDH(config!$G$4,T$1,$A446,$A446),_xll.BDH(config!$G$5,T$1,$A446,$A446))))</f>
        <v>#N/A Requesting Data...</v>
      </c>
      <c r="U446" s="8" t="str">
        <f>IF($A446="","",IF(ISNUMBER(FIND("IMPVOL",U$1)),_xll.BDH(config!$G$4,U$1,WORKDAY($A446,-1,config_Holiday_Calendar_US),WORKDAY($A446,-1,config_Holiday_Calendar_US)),IF(ISNUMBER(_xll.BDH(config!$G$4,U$1,$A446,$A446)),_xll.BDH(config!$G$4,U$1,$A446,$A446),_xll.BDH(config!$G$5,U$1,$A446,$A446))))</f>
        <v>#N/A Requesting Data...</v>
      </c>
      <c r="V446" s="8" t="str">
        <f>IF($A446="","",IF(ISNUMBER(FIND("IMPVOL",V$1)),_xll.BDH(config!$G$4,V$1,WORKDAY($A446,-1,config_Holiday_Calendar_US),WORKDAY($A446,-1,config_Holiday_Calendar_US)),IF(ISNUMBER(_xll.BDH(config!$G$4,V$1,$A446,$A446)),_xll.BDH(config!$G$4,V$1,$A446,$A446),_xll.BDH(config!$G$5,V$1,$A446,$A446))))</f>
        <v>#N/A Requesting Data...</v>
      </c>
      <c r="W446" s="8" t="str">
        <f>IF($A446="","",IF(ISNUMBER(FIND("IMPVOL",W$1)),_xll.BDH(config!$G$4,W$1,WORKDAY($A446,-1,config_Holiday_Calendar_US),WORKDAY($A446,-1,config_Holiday_Calendar_US)),IF(ISNUMBER(_xll.BDH(config!$G$4,W$1,$A446,$A446)),_xll.BDH(config!$G$4,W$1,$A446,$A446),_xll.BDH(config!$G$5,W$1,$A446,$A446))))</f>
        <v>#N/A Requesting Data...</v>
      </c>
    </row>
    <row r="447" spans="1:23" x14ac:dyDescent="0.2">
      <c r="A447" s="9">
        <f>IF(A446="","",IF(WORKDAY(A446,-1,config_Holiday_Calendar_US)&lt;config!$I$10,"",WORKDAY(A446,-1,config_Holiday_Calendar_US)))</f>
        <v>42180</v>
      </c>
      <c r="B447" s="8" t="e">
        <f t="shared" si="6"/>
        <v>#VALUE!</v>
      </c>
      <c r="C447" s="8" t="str">
        <f>IF(A447="","",_xll.BDH(config!$H$4,C$1,$A447,$A447))</f>
        <v>#N/A Requesting Data...</v>
      </c>
      <c r="D447" s="8" t="str">
        <f>IF($A447="","",_xll.BDH(config!$H$4,D$1,$A447,$A447))</f>
        <v>#N/A Requesting Data...</v>
      </c>
      <c r="E447" s="8">
        <f>IF($A447="","",IF(ISNUMBER(FIND("IMPVOL",E$1)),_xll.BDH(config!$G$4,E$1,WORKDAY($A447,-1,config_Holiday_Calendar_US),WORKDAY($A447,-1,config_Holiday_Calendar_US)),IF(ISNUMBER(_xll.BDH(config!$G$4,E$1,$A447,$A447)),_xll.BDH(config!$G$4,E$1,$A447,$A447),_xll.BDH(config!$G$5,E$1,$A447,$A447))))</f>
        <v>60.22</v>
      </c>
      <c r="F447" s="8">
        <f>IF($A447="","",IF(ISNUMBER(FIND("IMPVOL",F$1)),_xll.BDH(config!$G$4,F$1,WORKDAY($A447,-1,config_Holiday_Calendar_US),WORKDAY($A447,-1,config_Holiday_Calendar_US)),IF(ISNUMBER(_xll.BDH(config!$G$4,F$1,$A447,$A447)),_xll.BDH(config!$G$4,F$1,$A447,$A447),_xll.BDH(config!$G$5,F$1,$A447,$A447))))</f>
        <v>60.46</v>
      </c>
      <c r="G447" s="8" t="str">
        <f>IF($A447="","",IF(ISNUMBER(FIND("IMPVOL",G$1)),_xll.BDH(config!$G$4,G$1,WORKDAY($A447,-1,config_Holiday_Calendar_US),WORKDAY($A447,-1,config_Holiday_Calendar_US)),IF(ISNUMBER(_xll.BDH(config!$G$4,G$1,$A447,$A447)),_xll.BDH(config!$G$4,G$1,$A447,$A447),_xll.BDH(config!$G$5,G$1,$A447,$A447))))</f>
        <v>#N/A Requesting Data...</v>
      </c>
      <c r="H447" s="8" t="str">
        <f>IF($A447="","",IF(ISNUMBER(FIND("IMPVOL",H$1)),_xll.BDH(config!$G$4,H$1,WORKDAY($A447,-1,config_Holiday_Calendar_US),WORKDAY($A447,-1,config_Holiday_Calendar_US)),IF(ISNUMBER(_xll.BDH(config!$G$4,H$1,$A447,$A447)),_xll.BDH(config!$G$4,H$1,$A447,$A447),_xll.BDH(config!$G$5,H$1,$A447,$A447))))</f>
        <v>#N/A Requesting Data...</v>
      </c>
      <c r="I447" s="8" t="str">
        <f>IF($A447="","",IF(ISNUMBER(FIND("IMPVOL",I$1)),_xll.BDH(config!$G$4,I$1,WORKDAY($A447,-1,config_Holiday_Calendar_US),WORKDAY($A447,-1,config_Holiday_Calendar_US)),IF(ISNUMBER(_xll.BDH(config!$G$4,I$1,$A447,$A447)),_xll.BDH(config!$G$4,I$1,$A447,$A447),_xll.BDH(config!$G$5,I$1,$A447,$A447))))</f>
        <v>#N/A Requesting Data...</v>
      </c>
      <c r="J447" s="8" t="str">
        <f>IF($A447="","",IF(ISNUMBER(FIND("IMPVOL",J$1)),_xll.BDH(config!$G$4,J$1,WORKDAY($A447,-1,config_Holiday_Calendar_US),WORKDAY($A447,-1,config_Holiday_Calendar_US)),IF(ISNUMBER(_xll.BDH(config!$G$4,J$1,$A447,$A447)),_xll.BDH(config!$G$4,J$1,$A447,$A447),_xll.BDH(config!$G$5,J$1,$A447,$A447))))</f>
        <v>#N/A Requesting Data...</v>
      </c>
      <c r="K447" s="8" t="str">
        <f>IF($A447="","",IF(ISNUMBER(FIND("IMPVOL",K$1)),_xll.BDH(config!$G$4,K$1,WORKDAY($A447,-1,config_Holiday_Calendar_US),WORKDAY($A447,-1,config_Holiday_Calendar_US)),IF(ISNUMBER(_xll.BDH(config!$G$4,K$1,$A447,$A447)),_xll.BDH(config!$G$4,K$1,$A447,$A447),_xll.BDH(config!$G$5,K$1,$A447,$A447))))</f>
        <v>#N/A Requesting Data...</v>
      </c>
      <c r="L447" s="8" t="str">
        <f>IF($A447="","",IF(ISNUMBER(FIND("IMPVOL",L$1)),_xll.BDH(config!$G$4,L$1,WORKDAY($A447,-1,config_Holiday_Calendar_US),WORKDAY($A447,-1,config_Holiday_Calendar_US)),IF(ISNUMBER(_xll.BDH(config!$G$4,L$1,$A447,$A447)),_xll.BDH(config!$G$4,L$1,$A447,$A447),_xll.BDH(config!$G$5,L$1,$A447,$A447))))</f>
        <v>#N/A Requesting Data...</v>
      </c>
      <c r="M447" s="8" t="str">
        <f>IF($A447="","",IF(ISNUMBER(FIND("IMPVOL",M$1)),_xll.BDH(config!$G$4,M$1,WORKDAY($A447,-1,config_Holiday_Calendar_US),WORKDAY($A447,-1,config_Holiday_Calendar_US)),IF(ISNUMBER(_xll.BDH(config!$G$4,M$1,$A447,$A447)),_xll.BDH(config!$G$4,M$1,$A447,$A447),_xll.BDH(config!$G$5,M$1,$A447,$A447))))</f>
        <v>#N/A Requesting Data...</v>
      </c>
      <c r="N447" s="8" t="str">
        <f>IF($A447="","",IF(ISNUMBER(FIND("IMPVOL",N$1)),_xll.BDH(config!$G$4,N$1,WORKDAY($A447,-1,config_Holiday_Calendar_US),WORKDAY($A447,-1,config_Holiday_Calendar_US)),IF(ISNUMBER(_xll.BDH(config!$G$4,N$1,$A447,$A447)),_xll.BDH(config!$G$4,N$1,$A447,$A447),_xll.BDH(config!$G$5,N$1,$A447,$A447))))</f>
        <v>#N/A Requesting Data...</v>
      </c>
      <c r="O447" s="8" t="str">
        <f>IF($A447="","",IF(ISNUMBER(FIND("IMPVOL",O$1)),_xll.BDH(config!$G$4,O$1,WORKDAY($A447,-1,config_Holiday_Calendar_US),WORKDAY($A447,-1,config_Holiday_Calendar_US)),IF(ISNUMBER(_xll.BDH(config!$G$4,O$1,$A447,$A447)),_xll.BDH(config!$G$4,O$1,$A447,$A447),_xll.BDH(config!$G$5,O$1,$A447,$A447))))</f>
        <v>#N/A Requesting Data...</v>
      </c>
      <c r="P447" s="8" t="str">
        <f>IF($A447="","",IF(ISNUMBER(FIND("IMPVOL",P$1)),_xll.BDH(config!$G$4,P$1,WORKDAY($A447,-1,config_Holiday_Calendar_US),WORKDAY($A447,-1,config_Holiday_Calendar_US)),IF(ISNUMBER(_xll.BDH(config!$G$4,P$1,$A447,$A447)),_xll.BDH(config!$G$4,P$1,$A447,$A447),_xll.BDH(config!$G$5,P$1,$A447,$A447))))</f>
        <v>#N/A Requesting Data...</v>
      </c>
      <c r="Q447" s="8" t="str">
        <f>IF($A447="","",IF(ISNUMBER(FIND("IMPVOL",Q$1)),_xll.BDH(config!$G$4,Q$1,WORKDAY($A447,-1,config_Holiday_Calendar_US),WORKDAY($A447,-1,config_Holiday_Calendar_US)),IF(ISNUMBER(_xll.BDH(config!$G$4,Q$1,$A447,$A447)),_xll.BDH(config!$G$4,Q$1,$A447,$A447),_xll.BDH(config!$G$5,Q$1,$A447,$A447))))</f>
        <v>#N/A Requesting Data...</v>
      </c>
      <c r="R447" s="8" t="str">
        <f>IF($A447="","",IF(ISNUMBER(FIND("IMPVOL",R$1)),_xll.BDH(config!$G$4,R$1,WORKDAY($A447,-1,config_Holiday_Calendar_US),WORKDAY($A447,-1,config_Holiday_Calendar_US)),IF(ISNUMBER(_xll.BDH(config!$G$4,R$1,$A447,$A447)),_xll.BDH(config!$G$4,R$1,$A447,$A447),_xll.BDH(config!$G$5,R$1,$A447,$A447))))</f>
        <v>#N/A Requesting Data...</v>
      </c>
      <c r="S447" s="8" t="str">
        <f>IF($A447="","",IF(ISNUMBER(FIND("IMPVOL",S$1)),_xll.BDH(config!$G$4,S$1,WORKDAY($A447,-1,config_Holiday_Calendar_US),WORKDAY($A447,-1,config_Holiday_Calendar_US)),IF(ISNUMBER(_xll.BDH(config!$G$4,S$1,$A447,$A447)),_xll.BDH(config!$G$4,S$1,$A447,$A447),_xll.BDH(config!$G$5,S$1,$A447,$A447))))</f>
        <v>#N/A Requesting Data...</v>
      </c>
      <c r="T447" s="8" t="str">
        <f>IF($A447="","",IF(ISNUMBER(FIND("IMPVOL",T$1)),_xll.BDH(config!$G$4,T$1,WORKDAY($A447,-1,config_Holiday_Calendar_US),WORKDAY($A447,-1,config_Holiday_Calendar_US)),IF(ISNUMBER(_xll.BDH(config!$G$4,T$1,$A447,$A447)),_xll.BDH(config!$G$4,T$1,$A447,$A447),_xll.BDH(config!$G$5,T$1,$A447,$A447))))</f>
        <v>#N/A Requesting Data...</v>
      </c>
      <c r="U447" s="8" t="str">
        <f>IF($A447="","",IF(ISNUMBER(FIND("IMPVOL",U$1)),_xll.BDH(config!$G$4,U$1,WORKDAY($A447,-1,config_Holiday_Calendar_US),WORKDAY($A447,-1,config_Holiday_Calendar_US)),IF(ISNUMBER(_xll.BDH(config!$G$4,U$1,$A447,$A447)),_xll.BDH(config!$G$4,U$1,$A447,$A447),_xll.BDH(config!$G$5,U$1,$A447,$A447))))</f>
        <v>#N/A Requesting Data...</v>
      </c>
      <c r="V447" s="8" t="str">
        <f>IF($A447="","",IF(ISNUMBER(FIND("IMPVOL",V$1)),_xll.BDH(config!$G$4,V$1,WORKDAY($A447,-1,config_Holiday_Calendar_US),WORKDAY($A447,-1,config_Holiday_Calendar_US)),IF(ISNUMBER(_xll.BDH(config!$G$4,V$1,$A447,$A447)),_xll.BDH(config!$G$4,V$1,$A447,$A447),_xll.BDH(config!$G$5,V$1,$A447,$A447))))</f>
        <v>#N/A Requesting Data...</v>
      </c>
      <c r="W447" s="8" t="str">
        <f>IF($A447="","",IF(ISNUMBER(FIND("IMPVOL",W$1)),_xll.BDH(config!$G$4,W$1,WORKDAY($A447,-1,config_Holiday_Calendar_US),WORKDAY($A447,-1,config_Holiday_Calendar_US)),IF(ISNUMBER(_xll.BDH(config!$G$4,W$1,$A447,$A447)),_xll.BDH(config!$G$4,W$1,$A447,$A447),_xll.BDH(config!$G$5,W$1,$A447,$A447))))</f>
        <v>#N/A Requesting Data...</v>
      </c>
    </row>
    <row r="448" spans="1:23" x14ac:dyDescent="0.2">
      <c r="A448" s="9">
        <f>IF(A447="","",IF(WORKDAY(A447,-1,config_Holiday_Calendar_US)&lt;config!$I$10,"",WORKDAY(A447,-1,config_Holiday_Calendar_US)))</f>
        <v>42179</v>
      </c>
      <c r="B448" s="8" t="e">
        <f t="shared" si="6"/>
        <v>#VALUE!</v>
      </c>
      <c r="C448" s="8" t="str">
        <f>IF(A448="","",_xll.BDH(config!$H$4,C$1,$A448,$A448))</f>
        <v>#N/A Requesting Data...</v>
      </c>
      <c r="D448" s="8" t="str">
        <f>IF($A448="","",_xll.BDH(config!$H$4,D$1,$A448,$A448))</f>
        <v>#N/A Requesting Data...</v>
      </c>
      <c r="E448" s="8">
        <f>IF($A448="","",IF(ISNUMBER(FIND("IMPVOL",E$1)),_xll.BDH(config!$G$4,E$1,WORKDAY($A448,-1,config_Holiday_Calendar_US),WORKDAY($A448,-1,config_Holiday_Calendar_US)),IF(ISNUMBER(_xll.BDH(config!$G$4,E$1,$A448,$A448)),_xll.BDH(config!$G$4,E$1,$A448,$A448),_xll.BDH(config!$G$5,E$1,$A448,$A448))))</f>
        <v>61.14</v>
      </c>
      <c r="F448" s="8">
        <f>IF($A448="","",IF(ISNUMBER(FIND("IMPVOL",F$1)),_xll.BDH(config!$G$4,F$1,WORKDAY($A448,-1,config_Holiday_Calendar_US),WORKDAY($A448,-1,config_Holiday_Calendar_US)),IF(ISNUMBER(_xll.BDH(config!$G$4,F$1,$A448,$A448)),_xll.BDH(config!$G$4,F$1,$A448,$A448),_xll.BDH(config!$G$5,F$1,$A448,$A448))))</f>
        <v>61.57</v>
      </c>
      <c r="G448" s="8" t="str">
        <f>IF($A448="","",IF(ISNUMBER(FIND("IMPVOL",G$1)),_xll.BDH(config!$G$4,G$1,WORKDAY($A448,-1,config_Holiday_Calendar_US),WORKDAY($A448,-1,config_Holiday_Calendar_US)),IF(ISNUMBER(_xll.BDH(config!$G$4,G$1,$A448,$A448)),_xll.BDH(config!$G$4,G$1,$A448,$A448),_xll.BDH(config!$G$5,G$1,$A448,$A448))))</f>
        <v>#N/A Requesting Data...</v>
      </c>
      <c r="H448" s="8" t="str">
        <f>IF($A448="","",IF(ISNUMBER(FIND("IMPVOL",H$1)),_xll.BDH(config!$G$4,H$1,WORKDAY($A448,-1,config_Holiday_Calendar_US),WORKDAY($A448,-1,config_Holiday_Calendar_US)),IF(ISNUMBER(_xll.BDH(config!$G$4,H$1,$A448,$A448)),_xll.BDH(config!$G$4,H$1,$A448,$A448),_xll.BDH(config!$G$5,H$1,$A448,$A448))))</f>
        <v>#N/A Requesting Data...</v>
      </c>
      <c r="I448" s="8" t="str">
        <f>IF($A448="","",IF(ISNUMBER(FIND("IMPVOL",I$1)),_xll.BDH(config!$G$4,I$1,WORKDAY($A448,-1,config_Holiday_Calendar_US),WORKDAY($A448,-1,config_Holiday_Calendar_US)),IF(ISNUMBER(_xll.BDH(config!$G$4,I$1,$A448,$A448)),_xll.BDH(config!$G$4,I$1,$A448,$A448),_xll.BDH(config!$G$5,I$1,$A448,$A448))))</f>
        <v>#N/A Requesting Data...</v>
      </c>
      <c r="J448" s="8" t="str">
        <f>IF($A448="","",IF(ISNUMBER(FIND("IMPVOL",J$1)),_xll.BDH(config!$G$4,J$1,WORKDAY($A448,-1,config_Holiday_Calendar_US),WORKDAY($A448,-1,config_Holiday_Calendar_US)),IF(ISNUMBER(_xll.BDH(config!$G$4,J$1,$A448,$A448)),_xll.BDH(config!$G$4,J$1,$A448,$A448),_xll.BDH(config!$G$5,J$1,$A448,$A448))))</f>
        <v>#N/A Requesting Data...</v>
      </c>
      <c r="K448" s="8" t="str">
        <f>IF($A448="","",IF(ISNUMBER(FIND("IMPVOL",K$1)),_xll.BDH(config!$G$4,K$1,WORKDAY($A448,-1,config_Holiday_Calendar_US),WORKDAY($A448,-1,config_Holiday_Calendar_US)),IF(ISNUMBER(_xll.BDH(config!$G$4,K$1,$A448,$A448)),_xll.BDH(config!$G$4,K$1,$A448,$A448),_xll.BDH(config!$G$5,K$1,$A448,$A448))))</f>
        <v>#N/A Requesting Data...</v>
      </c>
      <c r="L448" s="8" t="str">
        <f>IF($A448="","",IF(ISNUMBER(FIND("IMPVOL",L$1)),_xll.BDH(config!$G$4,L$1,WORKDAY($A448,-1,config_Holiday_Calendar_US),WORKDAY($A448,-1,config_Holiday_Calendar_US)),IF(ISNUMBER(_xll.BDH(config!$G$4,L$1,$A448,$A448)),_xll.BDH(config!$G$4,L$1,$A448,$A448),_xll.BDH(config!$G$5,L$1,$A448,$A448))))</f>
        <v>#N/A Requesting Data...</v>
      </c>
      <c r="M448" s="8" t="str">
        <f>IF($A448="","",IF(ISNUMBER(FIND("IMPVOL",M$1)),_xll.BDH(config!$G$4,M$1,WORKDAY($A448,-1,config_Holiday_Calendar_US),WORKDAY($A448,-1,config_Holiday_Calendar_US)),IF(ISNUMBER(_xll.BDH(config!$G$4,M$1,$A448,$A448)),_xll.BDH(config!$G$4,M$1,$A448,$A448),_xll.BDH(config!$G$5,M$1,$A448,$A448))))</f>
        <v>#N/A Requesting Data...</v>
      </c>
      <c r="N448" s="8" t="str">
        <f>IF($A448="","",IF(ISNUMBER(FIND("IMPVOL",N$1)),_xll.BDH(config!$G$4,N$1,WORKDAY($A448,-1,config_Holiday_Calendar_US),WORKDAY($A448,-1,config_Holiday_Calendar_US)),IF(ISNUMBER(_xll.BDH(config!$G$4,N$1,$A448,$A448)),_xll.BDH(config!$G$4,N$1,$A448,$A448),_xll.BDH(config!$G$5,N$1,$A448,$A448))))</f>
        <v>#N/A Requesting Data...</v>
      </c>
      <c r="O448" s="8" t="str">
        <f>IF($A448="","",IF(ISNUMBER(FIND("IMPVOL",O$1)),_xll.BDH(config!$G$4,O$1,WORKDAY($A448,-1,config_Holiday_Calendar_US),WORKDAY($A448,-1,config_Holiday_Calendar_US)),IF(ISNUMBER(_xll.BDH(config!$G$4,O$1,$A448,$A448)),_xll.BDH(config!$G$4,O$1,$A448,$A448),_xll.BDH(config!$G$5,O$1,$A448,$A448))))</f>
        <v>#N/A Requesting Data...</v>
      </c>
      <c r="P448" s="8" t="str">
        <f>IF($A448="","",IF(ISNUMBER(FIND("IMPVOL",P$1)),_xll.BDH(config!$G$4,P$1,WORKDAY($A448,-1,config_Holiday_Calendar_US),WORKDAY($A448,-1,config_Holiday_Calendar_US)),IF(ISNUMBER(_xll.BDH(config!$G$4,P$1,$A448,$A448)),_xll.BDH(config!$G$4,P$1,$A448,$A448),_xll.BDH(config!$G$5,P$1,$A448,$A448))))</f>
        <v>#N/A Requesting Data...</v>
      </c>
      <c r="Q448" s="8" t="str">
        <f>IF($A448="","",IF(ISNUMBER(FIND("IMPVOL",Q$1)),_xll.BDH(config!$G$4,Q$1,WORKDAY($A448,-1,config_Holiday_Calendar_US),WORKDAY($A448,-1,config_Holiday_Calendar_US)),IF(ISNUMBER(_xll.BDH(config!$G$4,Q$1,$A448,$A448)),_xll.BDH(config!$G$4,Q$1,$A448,$A448),_xll.BDH(config!$G$5,Q$1,$A448,$A448))))</f>
        <v>#N/A Requesting Data...</v>
      </c>
      <c r="R448" s="8" t="str">
        <f>IF($A448="","",IF(ISNUMBER(FIND("IMPVOL",R$1)),_xll.BDH(config!$G$4,R$1,WORKDAY($A448,-1,config_Holiday_Calendar_US),WORKDAY($A448,-1,config_Holiday_Calendar_US)),IF(ISNUMBER(_xll.BDH(config!$G$4,R$1,$A448,$A448)),_xll.BDH(config!$G$4,R$1,$A448,$A448),_xll.BDH(config!$G$5,R$1,$A448,$A448))))</f>
        <v>#N/A Requesting Data...</v>
      </c>
      <c r="S448" s="8" t="str">
        <f>IF($A448="","",IF(ISNUMBER(FIND("IMPVOL",S$1)),_xll.BDH(config!$G$4,S$1,WORKDAY($A448,-1,config_Holiday_Calendar_US),WORKDAY($A448,-1,config_Holiday_Calendar_US)),IF(ISNUMBER(_xll.BDH(config!$G$4,S$1,$A448,$A448)),_xll.BDH(config!$G$4,S$1,$A448,$A448),_xll.BDH(config!$G$5,S$1,$A448,$A448))))</f>
        <v>#N/A Requesting Data...</v>
      </c>
      <c r="T448" s="8" t="str">
        <f>IF($A448="","",IF(ISNUMBER(FIND("IMPVOL",T$1)),_xll.BDH(config!$G$4,T$1,WORKDAY($A448,-1,config_Holiday_Calendar_US),WORKDAY($A448,-1,config_Holiday_Calendar_US)),IF(ISNUMBER(_xll.BDH(config!$G$4,T$1,$A448,$A448)),_xll.BDH(config!$G$4,T$1,$A448,$A448),_xll.BDH(config!$G$5,T$1,$A448,$A448))))</f>
        <v>#N/A Requesting Data...</v>
      </c>
      <c r="U448" s="8" t="str">
        <f>IF($A448="","",IF(ISNUMBER(FIND("IMPVOL",U$1)),_xll.BDH(config!$G$4,U$1,WORKDAY($A448,-1,config_Holiday_Calendar_US),WORKDAY($A448,-1,config_Holiday_Calendar_US)),IF(ISNUMBER(_xll.BDH(config!$G$4,U$1,$A448,$A448)),_xll.BDH(config!$G$4,U$1,$A448,$A448),_xll.BDH(config!$G$5,U$1,$A448,$A448))))</f>
        <v>#N/A Requesting Data...</v>
      </c>
      <c r="V448" s="8" t="str">
        <f>IF($A448="","",IF(ISNUMBER(FIND("IMPVOL",V$1)),_xll.BDH(config!$G$4,V$1,WORKDAY($A448,-1,config_Holiday_Calendar_US),WORKDAY($A448,-1,config_Holiday_Calendar_US)),IF(ISNUMBER(_xll.BDH(config!$G$4,V$1,$A448,$A448)),_xll.BDH(config!$G$4,V$1,$A448,$A448),_xll.BDH(config!$G$5,V$1,$A448,$A448))))</f>
        <v>#N/A Requesting Data...</v>
      </c>
      <c r="W448" s="8" t="str">
        <f>IF($A448="","",IF(ISNUMBER(FIND("IMPVOL",W$1)),_xll.BDH(config!$G$4,W$1,WORKDAY($A448,-1,config_Holiday_Calendar_US),WORKDAY($A448,-1,config_Holiday_Calendar_US)),IF(ISNUMBER(_xll.BDH(config!$G$4,W$1,$A448,$A448)),_xll.BDH(config!$G$4,W$1,$A448,$A448),_xll.BDH(config!$G$5,W$1,$A448,$A448))))</f>
        <v>#N/A Requesting Data...</v>
      </c>
    </row>
    <row r="449" spans="1:23" x14ac:dyDescent="0.2">
      <c r="A449" s="9">
        <f>IF(A448="","",IF(WORKDAY(A448,-1,config_Holiday_Calendar_US)&lt;config!$I$10,"",WORKDAY(A448,-1,config_Holiday_Calendar_US)))</f>
        <v>42178</v>
      </c>
      <c r="B449" s="8" t="e">
        <f t="shared" si="6"/>
        <v>#VALUE!</v>
      </c>
      <c r="C449" s="8" t="str">
        <f>IF(A449="","",_xll.BDH(config!$H$4,C$1,$A449,$A449))</f>
        <v>#N/A Requesting Data...</v>
      </c>
      <c r="D449" s="8" t="str">
        <f>IF($A449="","",_xll.BDH(config!$H$4,D$1,$A449,$A449))</f>
        <v>#N/A Requesting Data...</v>
      </c>
      <c r="E449" s="8">
        <f>IF($A449="","",IF(ISNUMBER(FIND("IMPVOL",E$1)),_xll.BDH(config!$G$4,E$1,WORKDAY($A449,-1,config_Holiday_Calendar_US),WORKDAY($A449,-1,config_Holiday_Calendar_US)),IF(ISNUMBER(_xll.BDH(config!$G$4,E$1,$A449,$A449)),_xll.BDH(config!$G$4,E$1,$A449,$A449),_xll.BDH(config!$G$5,E$1,$A449,$A449))))</f>
        <v>60.21</v>
      </c>
      <c r="F449" s="8">
        <f>IF($A449="","",IF(ISNUMBER(FIND("IMPVOL",F$1)),_xll.BDH(config!$G$4,F$1,WORKDAY($A449,-1,config_Holiday_Calendar_US),WORKDAY($A449,-1,config_Holiday_Calendar_US)),IF(ISNUMBER(_xll.BDH(config!$G$4,F$1,$A449,$A449)),_xll.BDH(config!$G$4,F$1,$A449,$A449),_xll.BDH(config!$G$5,F$1,$A449,$A449))))</f>
        <v>61.49</v>
      </c>
      <c r="G449" s="8" t="str">
        <f>IF($A449="","",IF(ISNUMBER(FIND("IMPVOL",G$1)),_xll.BDH(config!$G$4,G$1,WORKDAY($A449,-1,config_Holiday_Calendar_US),WORKDAY($A449,-1,config_Holiday_Calendar_US)),IF(ISNUMBER(_xll.BDH(config!$G$4,G$1,$A449,$A449)),_xll.BDH(config!$G$4,G$1,$A449,$A449),_xll.BDH(config!$G$5,G$1,$A449,$A449))))</f>
        <v>#N/A Requesting Data...</v>
      </c>
      <c r="H449" s="8" t="str">
        <f>IF($A449="","",IF(ISNUMBER(FIND("IMPVOL",H$1)),_xll.BDH(config!$G$4,H$1,WORKDAY($A449,-1,config_Holiday_Calendar_US),WORKDAY($A449,-1,config_Holiday_Calendar_US)),IF(ISNUMBER(_xll.BDH(config!$G$4,H$1,$A449,$A449)),_xll.BDH(config!$G$4,H$1,$A449,$A449),_xll.BDH(config!$G$5,H$1,$A449,$A449))))</f>
        <v>#N/A Requesting Data...</v>
      </c>
      <c r="I449" s="8" t="str">
        <f>IF($A449="","",IF(ISNUMBER(FIND("IMPVOL",I$1)),_xll.BDH(config!$G$4,I$1,WORKDAY($A449,-1,config_Holiday_Calendar_US),WORKDAY($A449,-1,config_Holiday_Calendar_US)),IF(ISNUMBER(_xll.BDH(config!$G$4,I$1,$A449,$A449)),_xll.BDH(config!$G$4,I$1,$A449,$A449),_xll.BDH(config!$G$5,I$1,$A449,$A449))))</f>
        <v>#N/A Requesting Data...</v>
      </c>
      <c r="J449" s="8" t="str">
        <f>IF($A449="","",IF(ISNUMBER(FIND("IMPVOL",J$1)),_xll.BDH(config!$G$4,J$1,WORKDAY($A449,-1,config_Holiday_Calendar_US),WORKDAY($A449,-1,config_Holiday_Calendar_US)),IF(ISNUMBER(_xll.BDH(config!$G$4,J$1,$A449,$A449)),_xll.BDH(config!$G$4,J$1,$A449,$A449),_xll.BDH(config!$G$5,J$1,$A449,$A449))))</f>
        <v>#N/A Requesting Data...</v>
      </c>
      <c r="K449" s="8" t="str">
        <f>IF($A449="","",IF(ISNUMBER(FIND("IMPVOL",K$1)),_xll.BDH(config!$G$4,K$1,WORKDAY($A449,-1,config_Holiday_Calendar_US),WORKDAY($A449,-1,config_Holiday_Calendar_US)),IF(ISNUMBER(_xll.BDH(config!$G$4,K$1,$A449,$A449)),_xll.BDH(config!$G$4,K$1,$A449,$A449),_xll.BDH(config!$G$5,K$1,$A449,$A449))))</f>
        <v>#N/A Requesting Data...</v>
      </c>
      <c r="L449" s="8" t="str">
        <f>IF($A449="","",IF(ISNUMBER(FIND("IMPVOL",L$1)),_xll.BDH(config!$G$4,L$1,WORKDAY($A449,-1,config_Holiday_Calendar_US),WORKDAY($A449,-1,config_Holiday_Calendar_US)),IF(ISNUMBER(_xll.BDH(config!$G$4,L$1,$A449,$A449)),_xll.BDH(config!$G$4,L$1,$A449,$A449),_xll.BDH(config!$G$5,L$1,$A449,$A449))))</f>
        <v>#N/A Requesting Data...</v>
      </c>
      <c r="M449" s="8" t="str">
        <f>IF($A449="","",IF(ISNUMBER(FIND("IMPVOL",M$1)),_xll.BDH(config!$G$4,M$1,WORKDAY($A449,-1,config_Holiday_Calendar_US),WORKDAY($A449,-1,config_Holiday_Calendar_US)),IF(ISNUMBER(_xll.BDH(config!$G$4,M$1,$A449,$A449)),_xll.BDH(config!$G$4,M$1,$A449,$A449),_xll.BDH(config!$G$5,M$1,$A449,$A449))))</f>
        <v>#N/A Requesting Data...</v>
      </c>
      <c r="N449" s="8" t="str">
        <f>IF($A449="","",IF(ISNUMBER(FIND("IMPVOL",N$1)),_xll.BDH(config!$G$4,N$1,WORKDAY($A449,-1,config_Holiday_Calendar_US),WORKDAY($A449,-1,config_Holiday_Calendar_US)),IF(ISNUMBER(_xll.BDH(config!$G$4,N$1,$A449,$A449)),_xll.BDH(config!$G$4,N$1,$A449,$A449),_xll.BDH(config!$G$5,N$1,$A449,$A449))))</f>
        <v>#N/A Requesting Data...</v>
      </c>
      <c r="O449" s="8" t="str">
        <f>IF($A449="","",IF(ISNUMBER(FIND("IMPVOL",O$1)),_xll.BDH(config!$G$4,O$1,WORKDAY($A449,-1,config_Holiday_Calendar_US),WORKDAY($A449,-1,config_Holiday_Calendar_US)),IF(ISNUMBER(_xll.BDH(config!$G$4,O$1,$A449,$A449)),_xll.BDH(config!$G$4,O$1,$A449,$A449),_xll.BDH(config!$G$5,O$1,$A449,$A449))))</f>
        <v>#N/A Requesting Data...</v>
      </c>
      <c r="P449" s="8" t="str">
        <f>IF($A449="","",IF(ISNUMBER(FIND("IMPVOL",P$1)),_xll.BDH(config!$G$4,P$1,WORKDAY($A449,-1,config_Holiday_Calendar_US),WORKDAY($A449,-1,config_Holiday_Calendar_US)),IF(ISNUMBER(_xll.BDH(config!$G$4,P$1,$A449,$A449)),_xll.BDH(config!$G$4,P$1,$A449,$A449),_xll.BDH(config!$G$5,P$1,$A449,$A449))))</f>
        <v>#N/A Requesting Data...</v>
      </c>
      <c r="Q449" s="8" t="str">
        <f>IF($A449="","",IF(ISNUMBER(FIND("IMPVOL",Q$1)),_xll.BDH(config!$G$4,Q$1,WORKDAY($A449,-1,config_Holiday_Calendar_US),WORKDAY($A449,-1,config_Holiday_Calendar_US)),IF(ISNUMBER(_xll.BDH(config!$G$4,Q$1,$A449,$A449)),_xll.BDH(config!$G$4,Q$1,$A449,$A449),_xll.BDH(config!$G$5,Q$1,$A449,$A449))))</f>
        <v>#N/A Requesting Data...</v>
      </c>
      <c r="R449" s="8" t="str">
        <f>IF($A449="","",IF(ISNUMBER(FIND("IMPVOL",R$1)),_xll.BDH(config!$G$4,R$1,WORKDAY($A449,-1,config_Holiday_Calendar_US),WORKDAY($A449,-1,config_Holiday_Calendar_US)),IF(ISNUMBER(_xll.BDH(config!$G$4,R$1,$A449,$A449)),_xll.BDH(config!$G$4,R$1,$A449,$A449),_xll.BDH(config!$G$5,R$1,$A449,$A449))))</f>
        <v>#N/A Requesting Data...</v>
      </c>
      <c r="S449" s="8" t="str">
        <f>IF($A449="","",IF(ISNUMBER(FIND("IMPVOL",S$1)),_xll.BDH(config!$G$4,S$1,WORKDAY($A449,-1,config_Holiday_Calendar_US),WORKDAY($A449,-1,config_Holiday_Calendar_US)),IF(ISNUMBER(_xll.BDH(config!$G$4,S$1,$A449,$A449)),_xll.BDH(config!$G$4,S$1,$A449,$A449),_xll.BDH(config!$G$5,S$1,$A449,$A449))))</f>
        <v>#N/A Requesting Data...</v>
      </c>
      <c r="T449" s="8" t="str">
        <f>IF($A449="","",IF(ISNUMBER(FIND("IMPVOL",T$1)),_xll.BDH(config!$G$4,T$1,WORKDAY($A449,-1,config_Holiday_Calendar_US),WORKDAY($A449,-1,config_Holiday_Calendar_US)),IF(ISNUMBER(_xll.BDH(config!$G$4,T$1,$A449,$A449)),_xll.BDH(config!$G$4,T$1,$A449,$A449),_xll.BDH(config!$G$5,T$1,$A449,$A449))))</f>
        <v>#N/A Requesting Data...</v>
      </c>
      <c r="U449" s="8" t="str">
        <f>IF($A449="","",IF(ISNUMBER(FIND("IMPVOL",U$1)),_xll.BDH(config!$G$4,U$1,WORKDAY($A449,-1,config_Holiday_Calendar_US),WORKDAY($A449,-1,config_Holiday_Calendar_US)),IF(ISNUMBER(_xll.BDH(config!$G$4,U$1,$A449,$A449)),_xll.BDH(config!$G$4,U$1,$A449,$A449),_xll.BDH(config!$G$5,U$1,$A449,$A449))))</f>
        <v>#N/A Requesting Data...</v>
      </c>
      <c r="V449" s="8" t="str">
        <f>IF($A449="","",IF(ISNUMBER(FIND("IMPVOL",V$1)),_xll.BDH(config!$G$4,V$1,WORKDAY($A449,-1,config_Holiday_Calendar_US),WORKDAY($A449,-1,config_Holiday_Calendar_US)),IF(ISNUMBER(_xll.BDH(config!$G$4,V$1,$A449,$A449)),_xll.BDH(config!$G$4,V$1,$A449,$A449),_xll.BDH(config!$G$5,V$1,$A449,$A449))))</f>
        <v>#N/A Requesting Data...</v>
      </c>
      <c r="W449" s="8" t="str">
        <f>IF($A449="","",IF(ISNUMBER(FIND("IMPVOL",W$1)),_xll.BDH(config!$G$4,W$1,WORKDAY($A449,-1,config_Holiday_Calendar_US),WORKDAY($A449,-1,config_Holiday_Calendar_US)),IF(ISNUMBER(_xll.BDH(config!$G$4,W$1,$A449,$A449)),_xll.BDH(config!$G$4,W$1,$A449,$A449),_xll.BDH(config!$G$5,W$1,$A449,$A449))))</f>
        <v>#N/A Requesting Data...</v>
      </c>
    </row>
    <row r="450" spans="1:23" x14ac:dyDescent="0.2">
      <c r="A450" s="9">
        <f>IF(A449="","",IF(WORKDAY(A449,-1,config_Holiday_Calendar_US)&lt;config!$I$10,"",WORKDAY(A449,-1,config_Holiday_Calendar_US)))</f>
        <v>42177</v>
      </c>
      <c r="B450" s="8" t="e">
        <f t="shared" si="6"/>
        <v>#VALUE!</v>
      </c>
      <c r="C450" s="8" t="str">
        <f>IF(A450="","",_xll.BDH(config!$H$4,C$1,$A450,$A450))</f>
        <v>#N/A Requesting Data...</v>
      </c>
      <c r="D450" s="8" t="str">
        <f>IF($A450="","",_xll.BDH(config!$H$4,D$1,$A450,$A450))</f>
        <v>#N/A Requesting Data...</v>
      </c>
      <c r="E450" s="8">
        <f>IF($A450="","",IF(ISNUMBER(FIND("IMPVOL",E$1)),_xll.BDH(config!$G$4,E$1,WORKDAY($A450,-1,config_Holiday_Calendar_US),WORKDAY($A450,-1,config_Holiday_Calendar_US)),IF(ISNUMBER(_xll.BDH(config!$G$4,E$1,$A450,$A450)),_xll.BDH(config!$G$4,E$1,$A450,$A450),_xll.BDH(config!$G$5,E$1,$A450,$A450))))</f>
        <v>59.44</v>
      </c>
      <c r="F450" s="8">
        <f>IF($A450="","",IF(ISNUMBER(FIND("IMPVOL",F$1)),_xll.BDH(config!$G$4,F$1,WORKDAY($A450,-1,config_Holiday_Calendar_US),WORKDAY($A450,-1,config_Holiday_Calendar_US)),IF(ISNUMBER(_xll.BDH(config!$G$4,F$1,$A450,$A450)),_xll.BDH(config!$G$4,F$1,$A450,$A450),_xll.BDH(config!$G$5,F$1,$A450,$A450))))</f>
        <v>60.3</v>
      </c>
      <c r="G450" s="8" t="str">
        <f>IF($A450="","",IF(ISNUMBER(FIND("IMPVOL",G$1)),_xll.BDH(config!$G$4,G$1,WORKDAY($A450,-1,config_Holiday_Calendar_US),WORKDAY($A450,-1,config_Holiday_Calendar_US)),IF(ISNUMBER(_xll.BDH(config!$G$4,G$1,$A450,$A450)),_xll.BDH(config!$G$4,G$1,$A450,$A450),_xll.BDH(config!$G$5,G$1,$A450,$A450))))</f>
        <v>#N/A Requesting Data...</v>
      </c>
      <c r="H450" s="8" t="str">
        <f>IF($A450="","",IF(ISNUMBER(FIND("IMPVOL",H$1)),_xll.BDH(config!$G$4,H$1,WORKDAY($A450,-1,config_Holiday_Calendar_US),WORKDAY($A450,-1,config_Holiday_Calendar_US)),IF(ISNUMBER(_xll.BDH(config!$G$4,H$1,$A450,$A450)),_xll.BDH(config!$G$4,H$1,$A450,$A450),_xll.BDH(config!$G$5,H$1,$A450,$A450))))</f>
        <v>#N/A Requesting Data...</v>
      </c>
      <c r="I450" s="8" t="str">
        <f>IF($A450="","",IF(ISNUMBER(FIND("IMPVOL",I$1)),_xll.BDH(config!$G$4,I$1,WORKDAY($A450,-1,config_Holiday_Calendar_US),WORKDAY($A450,-1,config_Holiday_Calendar_US)),IF(ISNUMBER(_xll.BDH(config!$G$4,I$1,$A450,$A450)),_xll.BDH(config!$G$4,I$1,$A450,$A450),_xll.BDH(config!$G$5,I$1,$A450,$A450))))</f>
        <v>#N/A Requesting Data...</v>
      </c>
      <c r="J450" s="8" t="str">
        <f>IF($A450="","",IF(ISNUMBER(FIND("IMPVOL",J$1)),_xll.BDH(config!$G$4,J$1,WORKDAY($A450,-1,config_Holiday_Calendar_US),WORKDAY($A450,-1,config_Holiday_Calendar_US)),IF(ISNUMBER(_xll.BDH(config!$G$4,J$1,$A450,$A450)),_xll.BDH(config!$G$4,J$1,$A450,$A450),_xll.BDH(config!$G$5,J$1,$A450,$A450))))</f>
        <v>#N/A Requesting Data...</v>
      </c>
      <c r="K450" s="8" t="str">
        <f>IF($A450="","",IF(ISNUMBER(FIND("IMPVOL",K$1)),_xll.BDH(config!$G$4,K$1,WORKDAY($A450,-1,config_Holiday_Calendar_US),WORKDAY($A450,-1,config_Holiday_Calendar_US)),IF(ISNUMBER(_xll.BDH(config!$G$4,K$1,$A450,$A450)),_xll.BDH(config!$G$4,K$1,$A450,$A450),_xll.BDH(config!$G$5,K$1,$A450,$A450))))</f>
        <v>#N/A Requesting Data...</v>
      </c>
      <c r="L450" s="8" t="str">
        <f>IF($A450="","",IF(ISNUMBER(FIND("IMPVOL",L$1)),_xll.BDH(config!$G$4,L$1,WORKDAY($A450,-1,config_Holiday_Calendar_US),WORKDAY($A450,-1,config_Holiday_Calendar_US)),IF(ISNUMBER(_xll.BDH(config!$G$4,L$1,$A450,$A450)),_xll.BDH(config!$G$4,L$1,$A450,$A450),_xll.BDH(config!$G$5,L$1,$A450,$A450))))</f>
        <v>#N/A Requesting Data...</v>
      </c>
      <c r="M450" s="8" t="str">
        <f>IF($A450="","",IF(ISNUMBER(FIND("IMPVOL",M$1)),_xll.BDH(config!$G$4,M$1,WORKDAY($A450,-1,config_Holiday_Calendar_US),WORKDAY($A450,-1,config_Holiday_Calendar_US)),IF(ISNUMBER(_xll.BDH(config!$G$4,M$1,$A450,$A450)),_xll.BDH(config!$G$4,M$1,$A450,$A450),_xll.BDH(config!$G$5,M$1,$A450,$A450))))</f>
        <v>#N/A Requesting Data...</v>
      </c>
      <c r="N450" s="8" t="str">
        <f>IF($A450="","",IF(ISNUMBER(FIND("IMPVOL",N$1)),_xll.BDH(config!$G$4,N$1,WORKDAY($A450,-1,config_Holiday_Calendar_US),WORKDAY($A450,-1,config_Holiday_Calendar_US)),IF(ISNUMBER(_xll.BDH(config!$G$4,N$1,$A450,$A450)),_xll.BDH(config!$G$4,N$1,$A450,$A450),_xll.BDH(config!$G$5,N$1,$A450,$A450))))</f>
        <v>#N/A Requesting Data...</v>
      </c>
      <c r="O450" s="8" t="str">
        <f>IF($A450="","",IF(ISNUMBER(FIND("IMPVOL",O$1)),_xll.BDH(config!$G$4,O$1,WORKDAY($A450,-1,config_Holiday_Calendar_US),WORKDAY($A450,-1,config_Holiday_Calendar_US)),IF(ISNUMBER(_xll.BDH(config!$G$4,O$1,$A450,$A450)),_xll.BDH(config!$G$4,O$1,$A450,$A450),_xll.BDH(config!$G$5,O$1,$A450,$A450))))</f>
        <v>#N/A Requesting Data...</v>
      </c>
      <c r="P450" s="8" t="str">
        <f>IF($A450="","",IF(ISNUMBER(FIND("IMPVOL",P$1)),_xll.BDH(config!$G$4,P$1,WORKDAY($A450,-1,config_Holiday_Calendar_US),WORKDAY($A450,-1,config_Holiday_Calendar_US)),IF(ISNUMBER(_xll.BDH(config!$G$4,P$1,$A450,$A450)),_xll.BDH(config!$G$4,P$1,$A450,$A450),_xll.BDH(config!$G$5,P$1,$A450,$A450))))</f>
        <v>#N/A Requesting Data...</v>
      </c>
      <c r="Q450" s="8" t="str">
        <f>IF($A450="","",IF(ISNUMBER(FIND("IMPVOL",Q$1)),_xll.BDH(config!$G$4,Q$1,WORKDAY($A450,-1,config_Holiday_Calendar_US),WORKDAY($A450,-1,config_Holiday_Calendar_US)),IF(ISNUMBER(_xll.BDH(config!$G$4,Q$1,$A450,$A450)),_xll.BDH(config!$G$4,Q$1,$A450,$A450),_xll.BDH(config!$G$5,Q$1,$A450,$A450))))</f>
        <v>#N/A Requesting Data...</v>
      </c>
      <c r="R450" s="8" t="str">
        <f>IF($A450="","",IF(ISNUMBER(FIND("IMPVOL",R$1)),_xll.BDH(config!$G$4,R$1,WORKDAY($A450,-1,config_Holiday_Calendar_US),WORKDAY($A450,-1,config_Holiday_Calendar_US)),IF(ISNUMBER(_xll.BDH(config!$G$4,R$1,$A450,$A450)),_xll.BDH(config!$G$4,R$1,$A450,$A450),_xll.BDH(config!$G$5,R$1,$A450,$A450))))</f>
        <v>#N/A Requesting Data...</v>
      </c>
      <c r="S450" s="8" t="str">
        <f>IF($A450="","",IF(ISNUMBER(FIND("IMPVOL",S$1)),_xll.BDH(config!$G$4,S$1,WORKDAY($A450,-1,config_Holiday_Calendar_US),WORKDAY($A450,-1,config_Holiday_Calendar_US)),IF(ISNUMBER(_xll.BDH(config!$G$4,S$1,$A450,$A450)),_xll.BDH(config!$G$4,S$1,$A450,$A450),_xll.BDH(config!$G$5,S$1,$A450,$A450))))</f>
        <v>#N/A Requesting Data...</v>
      </c>
      <c r="T450" s="8" t="str">
        <f>IF($A450="","",IF(ISNUMBER(FIND("IMPVOL",T$1)),_xll.BDH(config!$G$4,T$1,WORKDAY($A450,-1,config_Holiday_Calendar_US),WORKDAY($A450,-1,config_Holiday_Calendar_US)),IF(ISNUMBER(_xll.BDH(config!$G$4,T$1,$A450,$A450)),_xll.BDH(config!$G$4,T$1,$A450,$A450),_xll.BDH(config!$G$5,T$1,$A450,$A450))))</f>
        <v>#N/A Requesting Data...</v>
      </c>
      <c r="U450" s="8" t="str">
        <f>IF($A450="","",IF(ISNUMBER(FIND("IMPVOL",U$1)),_xll.BDH(config!$G$4,U$1,WORKDAY($A450,-1,config_Holiday_Calendar_US),WORKDAY($A450,-1,config_Holiday_Calendar_US)),IF(ISNUMBER(_xll.BDH(config!$G$4,U$1,$A450,$A450)),_xll.BDH(config!$G$4,U$1,$A450,$A450),_xll.BDH(config!$G$5,U$1,$A450,$A450))))</f>
        <v>#N/A Requesting Data...</v>
      </c>
      <c r="V450" s="8" t="str">
        <f>IF($A450="","",IF(ISNUMBER(FIND("IMPVOL",V$1)),_xll.BDH(config!$G$4,V$1,WORKDAY($A450,-1,config_Holiday_Calendar_US),WORKDAY($A450,-1,config_Holiday_Calendar_US)),IF(ISNUMBER(_xll.BDH(config!$G$4,V$1,$A450,$A450)),_xll.BDH(config!$G$4,V$1,$A450,$A450),_xll.BDH(config!$G$5,V$1,$A450,$A450))))</f>
        <v>#N/A Requesting Data...</v>
      </c>
      <c r="W450" s="8" t="str">
        <f>IF($A450="","",IF(ISNUMBER(FIND("IMPVOL",W$1)),_xll.BDH(config!$G$4,W$1,WORKDAY($A450,-1,config_Holiday_Calendar_US),WORKDAY($A450,-1,config_Holiday_Calendar_US)),IF(ISNUMBER(_xll.BDH(config!$G$4,W$1,$A450,$A450)),_xll.BDH(config!$G$4,W$1,$A450,$A450),_xll.BDH(config!$G$5,W$1,$A450,$A450))))</f>
        <v>#N/A Requesting Data...</v>
      </c>
    </row>
    <row r="451" spans="1:23" x14ac:dyDescent="0.2">
      <c r="A451" s="9">
        <f>IF(A450="","",IF(WORKDAY(A450,-1,config_Holiday_Calendar_US)&lt;config!$I$10,"",WORKDAY(A450,-1,config_Holiday_Calendar_US)))</f>
        <v>42174</v>
      </c>
      <c r="B451" s="8" t="e">
        <f t="shared" ref="B451:B514" si="7">IF(A451="","",IF(SIGN(C451)=1,1,0))</f>
        <v>#VALUE!</v>
      </c>
      <c r="C451" s="8" t="str">
        <f>IF(A451="","",_xll.BDH(config!$H$4,C$1,$A451,$A451))</f>
        <v>#N/A Requesting Data...</v>
      </c>
      <c r="D451" s="8" t="str">
        <f>IF($A451="","",_xll.BDH(config!$H$4,D$1,$A451,$A451))</f>
        <v>#N/A Requesting Data...</v>
      </c>
      <c r="E451" s="8">
        <f>IF($A451="","",IF(ISNUMBER(FIND("IMPVOL",E$1)),_xll.BDH(config!$G$4,E$1,WORKDAY($A451,-1,config_Holiday_Calendar_US),WORKDAY($A451,-1,config_Holiday_Calendar_US)),IF(ISNUMBER(_xll.BDH(config!$G$4,E$1,$A451,$A451)),_xll.BDH(config!$G$4,E$1,$A451,$A451),_xll.BDH(config!$G$5,E$1,$A451,$A451))))</f>
        <v>60.5</v>
      </c>
      <c r="F451" s="8">
        <f>IF($A451="","",IF(ISNUMBER(FIND("IMPVOL",F$1)),_xll.BDH(config!$G$4,F$1,WORKDAY($A451,-1,config_Holiday_Calendar_US),WORKDAY($A451,-1,config_Holiday_Calendar_US)),IF(ISNUMBER(_xll.BDH(config!$G$4,F$1,$A451,$A451)),_xll.BDH(config!$G$4,F$1,$A451,$A451),_xll.BDH(config!$G$5,F$1,$A451,$A451))))</f>
        <v>60.56</v>
      </c>
      <c r="G451" s="8" t="str">
        <f>IF($A451="","",IF(ISNUMBER(FIND("IMPVOL",G$1)),_xll.BDH(config!$G$4,G$1,WORKDAY($A451,-1,config_Holiday_Calendar_US),WORKDAY($A451,-1,config_Holiday_Calendar_US)),IF(ISNUMBER(_xll.BDH(config!$G$4,G$1,$A451,$A451)),_xll.BDH(config!$G$4,G$1,$A451,$A451),_xll.BDH(config!$G$5,G$1,$A451,$A451))))</f>
        <v>#N/A Requesting Data...</v>
      </c>
      <c r="H451" s="8" t="str">
        <f>IF($A451="","",IF(ISNUMBER(FIND("IMPVOL",H$1)),_xll.BDH(config!$G$4,H$1,WORKDAY($A451,-1,config_Holiday_Calendar_US),WORKDAY($A451,-1,config_Holiday_Calendar_US)),IF(ISNUMBER(_xll.BDH(config!$G$4,H$1,$A451,$A451)),_xll.BDH(config!$G$4,H$1,$A451,$A451),_xll.BDH(config!$G$5,H$1,$A451,$A451))))</f>
        <v>#N/A Requesting Data...</v>
      </c>
      <c r="I451" s="8" t="str">
        <f>IF($A451="","",IF(ISNUMBER(FIND("IMPVOL",I$1)),_xll.BDH(config!$G$4,I$1,WORKDAY($A451,-1,config_Holiday_Calendar_US),WORKDAY($A451,-1,config_Holiday_Calendar_US)),IF(ISNUMBER(_xll.BDH(config!$G$4,I$1,$A451,$A451)),_xll.BDH(config!$G$4,I$1,$A451,$A451),_xll.BDH(config!$G$5,I$1,$A451,$A451))))</f>
        <v>#N/A Requesting Data...</v>
      </c>
      <c r="J451" s="8" t="str">
        <f>IF($A451="","",IF(ISNUMBER(FIND("IMPVOL",J$1)),_xll.BDH(config!$G$4,J$1,WORKDAY($A451,-1,config_Holiday_Calendar_US),WORKDAY($A451,-1,config_Holiday_Calendar_US)),IF(ISNUMBER(_xll.BDH(config!$G$4,J$1,$A451,$A451)),_xll.BDH(config!$G$4,J$1,$A451,$A451),_xll.BDH(config!$G$5,J$1,$A451,$A451))))</f>
        <v>#N/A Requesting Data...</v>
      </c>
      <c r="K451" s="8" t="str">
        <f>IF($A451="","",IF(ISNUMBER(FIND("IMPVOL",K$1)),_xll.BDH(config!$G$4,K$1,WORKDAY($A451,-1,config_Holiday_Calendar_US),WORKDAY($A451,-1,config_Holiday_Calendar_US)),IF(ISNUMBER(_xll.BDH(config!$G$4,K$1,$A451,$A451)),_xll.BDH(config!$G$4,K$1,$A451,$A451),_xll.BDH(config!$G$5,K$1,$A451,$A451))))</f>
        <v>#N/A Requesting Data...</v>
      </c>
      <c r="L451" s="8" t="str">
        <f>IF($A451="","",IF(ISNUMBER(FIND("IMPVOL",L$1)),_xll.BDH(config!$G$4,L$1,WORKDAY($A451,-1,config_Holiday_Calendar_US),WORKDAY($A451,-1,config_Holiday_Calendar_US)),IF(ISNUMBER(_xll.BDH(config!$G$4,L$1,$A451,$A451)),_xll.BDH(config!$G$4,L$1,$A451,$A451),_xll.BDH(config!$G$5,L$1,$A451,$A451))))</f>
        <v>#N/A Requesting Data...</v>
      </c>
      <c r="M451" s="8" t="str">
        <f>IF($A451="","",IF(ISNUMBER(FIND("IMPVOL",M$1)),_xll.BDH(config!$G$4,M$1,WORKDAY($A451,-1,config_Holiday_Calendar_US),WORKDAY($A451,-1,config_Holiday_Calendar_US)),IF(ISNUMBER(_xll.BDH(config!$G$4,M$1,$A451,$A451)),_xll.BDH(config!$G$4,M$1,$A451,$A451),_xll.BDH(config!$G$5,M$1,$A451,$A451))))</f>
        <v>#N/A Requesting Data...</v>
      </c>
      <c r="N451" s="8" t="str">
        <f>IF($A451="","",IF(ISNUMBER(FIND("IMPVOL",N$1)),_xll.BDH(config!$G$4,N$1,WORKDAY($A451,-1,config_Holiday_Calendar_US),WORKDAY($A451,-1,config_Holiday_Calendar_US)),IF(ISNUMBER(_xll.BDH(config!$G$4,N$1,$A451,$A451)),_xll.BDH(config!$G$4,N$1,$A451,$A451),_xll.BDH(config!$G$5,N$1,$A451,$A451))))</f>
        <v>#N/A Requesting Data...</v>
      </c>
      <c r="O451" s="8" t="str">
        <f>IF($A451="","",IF(ISNUMBER(FIND("IMPVOL",O$1)),_xll.BDH(config!$G$4,O$1,WORKDAY($A451,-1,config_Holiday_Calendar_US),WORKDAY($A451,-1,config_Holiday_Calendar_US)),IF(ISNUMBER(_xll.BDH(config!$G$4,O$1,$A451,$A451)),_xll.BDH(config!$G$4,O$1,$A451,$A451),_xll.BDH(config!$G$5,O$1,$A451,$A451))))</f>
        <v>#N/A Requesting Data...</v>
      </c>
      <c r="P451" s="8" t="str">
        <f>IF($A451="","",IF(ISNUMBER(FIND("IMPVOL",P$1)),_xll.BDH(config!$G$4,P$1,WORKDAY($A451,-1,config_Holiday_Calendar_US),WORKDAY($A451,-1,config_Holiday_Calendar_US)),IF(ISNUMBER(_xll.BDH(config!$G$4,P$1,$A451,$A451)),_xll.BDH(config!$G$4,P$1,$A451,$A451),_xll.BDH(config!$G$5,P$1,$A451,$A451))))</f>
        <v>#N/A Requesting Data...</v>
      </c>
      <c r="Q451" s="8" t="str">
        <f>IF($A451="","",IF(ISNUMBER(FIND("IMPVOL",Q$1)),_xll.BDH(config!$G$4,Q$1,WORKDAY($A451,-1,config_Holiday_Calendar_US),WORKDAY($A451,-1,config_Holiday_Calendar_US)),IF(ISNUMBER(_xll.BDH(config!$G$4,Q$1,$A451,$A451)),_xll.BDH(config!$G$4,Q$1,$A451,$A451),_xll.BDH(config!$G$5,Q$1,$A451,$A451))))</f>
        <v>#N/A Requesting Data...</v>
      </c>
      <c r="R451" s="8" t="str">
        <f>IF($A451="","",IF(ISNUMBER(FIND("IMPVOL",R$1)),_xll.BDH(config!$G$4,R$1,WORKDAY($A451,-1,config_Holiday_Calendar_US),WORKDAY($A451,-1,config_Holiday_Calendar_US)),IF(ISNUMBER(_xll.BDH(config!$G$4,R$1,$A451,$A451)),_xll.BDH(config!$G$4,R$1,$A451,$A451),_xll.BDH(config!$G$5,R$1,$A451,$A451))))</f>
        <v>#N/A Requesting Data...</v>
      </c>
      <c r="S451" s="8" t="str">
        <f>IF($A451="","",IF(ISNUMBER(FIND("IMPVOL",S$1)),_xll.BDH(config!$G$4,S$1,WORKDAY($A451,-1,config_Holiday_Calendar_US),WORKDAY($A451,-1,config_Holiday_Calendar_US)),IF(ISNUMBER(_xll.BDH(config!$G$4,S$1,$A451,$A451)),_xll.BDH(config!$G$4,S$1,$A451,$A451),_xll.BDH(config!$G$5,S$1,$A451,$A451))))</f>
        <v>#N/A Requesting Data...</v>
      </c>
      <c r="T451" s="8" t="str">
        <f>IF($A451="","",IF(ISNUMBER(FIND("IMPVOL",T$1)),_xll.BDH(config!$G$4,T$1,WORKDAY($A451,-1,config_Holiday_Calendar_US),WORKDAY($A451,-1,config_Holiday_Calendar_US)),IF(ISNUMBER(_xll.BDH(config!$G$4,T$1,$A451,$A451)),_xll.BDH(config!$G$4,T$1,$A451,$A451),_xll.BDH(config!$G$5,T$1,$A451,$A451))))</f>
        <v>#N/A Requesting Data...</v>
      </c>
      <c r="U451" s="8" t="str">
        <f>IF($A451="","",IF(ISNUMBER(FIND("IMPVOL",U$1)),_xll.BDH(config!$G$4,U$1,WORKDAY($A451,-1,config_Holiday_Calendar_US),WORKDAY($A451,-1,config_Holiday_Calendar_US)),IF(ISNUMBER(_xll.BDH(config!$G$4,U$1,$A451,$A451)),_xll.BDH(config!$G$4,U$1,$A451,$A451),_xll.BDH(config!$G$5,U$1,$A451,$A451))))</f>
        <v>#N/A Requesting Data...</v>
      </c>
      <c r="V451" s="8" t="str">
        <f>IF($A451="","",IF(ISNUMBER(FIND("IMPVOL",V$1)),_xll.BDH(config!$G$4,V$1,WORKDAY($A451,-1,config_Holiday_Calendar_US),WORKDAY($A451,-1,config_Holiday_Calendar_US)),IF(ISNUMBER(_xll.BDH(config!$G$4,V$1,$A451,$A451)),_xll.BDH(config!$G$4,V$1,$A451,$A451),_xll.BDH(config!$G$5,V$1,$A451,$A451))))</f>
        <v>#N/A Requesting Data...</v>
      </c>
      <c r="W451" s="8" t="str">
        <f>IF($A451="","",IF(ISNUMBER(FIND("IMPVOL",W$1)),_xll.BDH(config!$G$4,W$1,WORKDAY($A451,-1,config_Holiday_Calendar_US),WORKDAY($A451,-1,config_Holiday_Calendar_US)),IF(ISNUMBER(_xll.BDH(config!$G$4,W$1,$A451,$A451)),_xll.BDH(config!$G$4,W$1,$A451,$A451),_xll.BDH(config!$G$5,W$1,$A451,$A451))))</f>
        <v>#N/A Requesting Data...</v>
      </c>
    </row>
    <row r="452" spans="1:23" x14ac:dyDescent="0.2">
      <c r="A452" s="9">
        <f>IF(A451="","",IF(WORKDAY(A451,-1,config_Holiday_Calendar_US)&lt;config!$I$10,"",WORKDAY(A451,-1,config_Holiday_Calendar_US)))</f>
        <v>42173</v>
      </c>
      <c r="B452" s="8" t="e">
        <f t="shared" si="7"/>
        <v>#VALUE!</v>
      </c>
      <c r="C452" s="8" t="str">
        <f>IF(A452="","",_xll.BDH(config!$H$4,C$1,$A452,$A452))</f>
        <v>#N/A Requesting Data...</v>
      </c>
      <c r="D452" s="8" t="str">
        <f>IF($A452="","",_xll.BDH(config!$H$4,D$1,$A452,$A452))</f>
        <v>#N/A Requesting Data...</v>
      </c>
      <c r="E452" s="8">
        <f>IF($A452="","",IF(ISNUMBER(FIND("IMPVOL",E$1)),_xll.BDH(config!$G$4,E$1,WORKDAY($A452,-1,config_Holiday_Calendar_US),WORKDAY($A452,-1,config_Holiday_Calendar_US)),IF(ISNUMBER(_xll.BDH(config!$G$4,E$1,$A452,$A452)),_xll.BDH(config!$G$4,E$1,$A452,$A452),_xll.BDH(config!$G$5,E$1,$A452,$A452))))</f>
        <v>59.78</v>
      </c>
      <c r="F452" s="8">
        <f>IF($A452="","",IF(ISNUMBER(FIND("IMPVOL",F$1)),_xll.BDH(config!$G$4,F$1,WORKDAY($A452,-1,config_Holiday_Calendar_US),WORKDAY($A452,-1,config_Holiday_Calendar_US)),IF(ISNUMBER(_xll.BDH(config!$G$4,F$1,$A452,$A452)),_xll.BDH(config!$G$4,F$1,$A452,$A452),_xll.BDH(config!$G$5,F$1,$A452,$A452))))</f>
        <v>60.89</v>
      </c>
      <c r="G452" s="8" t="str">
        <f>IF($A452="","",IF(ISNUMBER(FIND("IMPVOL",G$1)),_xll.BDH(config!$G$4,G$1,WORKDAY($A452,-1,config_Holiday_Calendar_US),WORKDAY($A452,-1,config_Holiday_Calendar_US)),IF(ISNUMBER(_xll.BDH(config!$G$4,G$1,$A452,$A452)),_xll.BDH(config!$G$4,G$1,$A452,$A452),_xll.BDH(config!$G$5,G$1,$A452,$A452))))</f>
        <v>#N/A Requesting Data...</v>
      </c>
      <c r="H452" s="8" t="str">
        <f>IF($A452="","",IF(ISNUMBER(FIND("IMPVOL",H$1)),_xll.BDH(config!$G$4,H$1,WORKDAY($A452,-1,config_Holiday_Calendar_US),WORKDAY($A452,-1,config_Holiday_Calendar_US)),IF(ISNUMBER(_xll.BDH(config!$G$4,H$1,$A452,$A452)),_xll.BDH(config!$G$4,H$1,$A452,$A452),_xll.BDH(config!$G$5,H$1,$A452,$A452))))</f>
        <v>#N/A Requesting Data...</v>
      </c>
      <c r="I452" s="8" t="str">
        <f>IF($A452="","",IF(ISNUMBER(FIND("IMPVOL",I$1)),_xll.BDH(config!$G$4,I$1,WORKDAY($A452,-1,config_Holiday_Calendar_US),WORKDAY($A452,-1,config_Holiday_Calendar_US)),IF(ISNUMBER(_xll.BDH(config!$G$4,I$1,$A452,$A452)),_xll.BDH(config!$G$4,I$1,$A452,$A452),_xll.BDH(config!$G$5,I$1,$A452,$A452))))</f>
        <v>#N/A Requesting Data...</v>
      </c>
      <c r="J452" s="8" t="str">
        <f>IF($A452="","",IF(ISNUMBER(FIND("IMPVOL",J$1)),_xll.BDH(config!$G$4,J$1,WORKDAY($A452,-1,config_Holiday_Calendar_US),WORKDAY($A452,-1,config_Holiday_Calendar_US)),IF(ISNUMBER(_xll.BDH(config!$G$4,J$1,$A452,$A452)),_xll.BDH(config!$G$4,J$1,$A452,$A452),_xll.BDH(config!$G$5,J$1,$A452,$A452))))</f>
        <v>#N/A Requesting Data...</v>
      </c>
      <c r="K452" s="8" t="str">
        <f>IF($A452="","",IF(ISNUMBER(FIND("IMPVOL",K$1)),_xll.BDH(config!$G$4,K$1,WORKDAY($A452,-1,config_Holiday_Calendar_US),WORKDAY($A452,-1,config_Holiday_Calendar_US)),IF(ISNUMBER(_xll.BDH(config!$G$4,K$1,$A452,$A452)),_xll.BDH(config!$G$4,K$1,$A452,$A452),_xll.BDH(config!$G$5,K$1,$A452,$A452))))</f>
        <v>#N/A Requesting Data...</v>
      </c>
      <c r="L452" s="8" t="str">
        <f>IF($A452="","",IF(ISNUMBER(FIND("IMPVOL",L$1)),_xll.BDH(config!$G$4,L$1,WORKDAY($A452,-1,config_Holiday_Calendar_US),WORKDAY($A452,-1,config_Holiday_Calendar_US)),IF(ISNUMBER(_xll.BDH(config!$G$4,L$1,$A452,$A452)),_xll.BDH(config!$G$4,L$1,$A452,$A452),_xll.BDH(config!$G$5,L$1,$A452,$A452))))</f>
        <v>#N/A Requesting Data...</v>
      </c>
      <c r="M452" s="8" t="str">
        <f>IF($A452="","",IF(ISNUMBER(FIND("IMPVOL",M$1)),_xll.BDH(config!$G$4,M$1,WORKDAY($A452,-1,config_Holiday_Calendar_US),WORKDAY($A452,-1,config_Holiday_Calendar_US)),IF(ISNUMBER(_xll.BDH(config!$G$4,M$1,$A452,$A452)),_xll.BDH(config!$G$4,M$1,$A452,$A452),_xll.BDH(config!$G$5,M$1,$A452,$A452))))</f>
        <v>#N/A Requesting Data...</v>
      </c>
      <c r="N452" s="8" t="str">
        <f>IF($A452="","",IF(ISNUMBER(FIND("IMPVOL",N$1)),_xll.BDH(config!$G$4,N$1,WORKDAY($A452,-1,config_Holiday_Calendar_US),WORKDAY($A452,-1,config_Holiday_Calendar_US)),IF(ISNUMBER(_xll.BDH(config!$G$4,N$1,$A452,$A452)),_xll.BDH(config!$G$4,N$1,$A452,$A452),_xll.BDH(config!$G$5,N$1,$A452,$A452))))</f>
        <v>#N/A Requesting Data...</v>
      </c>
      <c r="O452" s="8" t="str">
        <f>IF($A452="","",IF(ISNUMBER(FIND("IMPVOL",O$1)),_xll.BDH(config!$G$4,O$1,WORKDAY($A452,-1,config_Holiday_Calendar_US),WORKDAY($A452,-1,config_Holiday_Calendar_US)),IF(ISNUMBER(_xll.BDH(config!$G$4,O$1,$A452,$A452)),_xll.BDH(config!$G$4,O$1,$A452,$A452),_xll.BDH(config!$G$5,O$1,$A452,$A452))))</f>
        <v>#N/A Requesting Data...</v>
      </c>
      <c r="P452" s="8" t="str">
        <f>IF($A452="","",IF(ISNUMBER(FIND("IMPVOL",P$1)),_xll.BDH(config!$G$4,P$1,WORKDAY($A452,-1,config_Holiday_Calendar_US),WORKDAY($A452,-1,config_Holiday_Calendar_US)),IF(ISNUMBER(_xll.BDH(config!$G$4,P$1,$A452,$A452)),_xll.BDH(config!$G$4,P$1,$A452,$A452),_xll.BDH(config!$G$5,P$1,$A452,$A452))))</f>
        <v>#N/A Requesting Data...</v>
      </c>
      <c r="Q452" s="8" t="str">
        <f>IF($A452="","",IF(ISNUMBER(FIND("IMPVOL",Q$1)),_xll.BDH(config!$G$4,Q$1,WORKDAY($A452,-1,config_Holiday_Calendar_US),WORKDAY($A452,-1,config_Holiday_Calendar_US)),IF(ISNUMBER(_xll.BDH(config!$G$4,Q$1,$A452,$A452)),_xll.BDH(config!$G$4,Q$1,$A452,$A452),_xll.BDH(config!$G$5,Q$1,$A452,$A452))))</f>
        <v>#N/A Requesting Data...</v>
      </c>
      <c r="R452" s="8" t="str">
        <f>IF($A452="","",IF(ISNUMBER(FIND("IMPVOL",R$1)),_xll.BDH(config!$G$4,R$1,WORKDAY($A452,-1,config_Holiday_Calendar_US),WORKDAY($A452,-1,config_Holiday_Calendar_US)),IF(ISNUMBER(_xll.BDH(config!$G$4,R$1,$A452,$A452)),_xll.BDH(config!$G$4,R$1,$A452,$A452),_xll.BDH(config!$G$5,R$1,$A452,$A452))))</f>
        <v>#N/A Requesting Data...</v>
      </c>
      <c r="S452" s="8" t="str">
        <f>IF($A452="","",IF(ISNUMBER(FIND("IMPVOL",S$1)),_xll.BDH(config!$G$4,S$1,WORKDAY($A452,-1,config_Holiday_Calendar_US),WORKDAY($A452,-1,config_Holiday_Calendar_US)),IF(ISNUMBER(_xll.BDH(config!$G$4,S$1,$A452,$A452)),_xll.BDH(config!$G$4,S$1,$A452,$A452),_xll.BDH(config!$G$5,S$1,$A452,$A452))))</f>
        <v>#N/A Requesting Data...</v>
      </c>
      <c r="T452" s="8" t="str">
        <f>IF($A452="","",IF(ISNUMBER(FIND("IMPVOL",T$1)),_xll.BDH(config!$G$4,T$1,WORKDAY($A452,-1,config_Holiday_Calendar_US),WORKDAY($A452,-1,config_Holiday_Calendar_US)),IF(ISNUMBER(_xll.BDH(config!$G$4,T$1,$A452,$A452)),_xll.BDH(config!$G$4,T$1,$A452,$A452),_xll.BDH(config!$G$5,T$1,$A452,$A452))))</f>
        <v>#N/A Requesting Data...</v>
      </c>
      <c r="U452" s="8" t="str">
        <f>IF($A452="","",IF(ISNUMBER(FIND("IMPVOL",U$1)),_xll.BDH(config!$G$4,U$1,WORKDAY($A452,-1,config_Holiday_Calendar_US),WORKDAY($A452,-1,config_Holiday_Calendar_US)),IF(ISNUMBER(_xll.BDH(config!$G$4,U$1,$A452,$A452)),_xll.BDH(config!$G$4,U$1,$A452,$A452),_xll.BDH(config!$G$5,U$1,$A452,$A452))))</f>
        <v>#N/A Requesting Data...</v>
      </c>
      <c r="V452" s="8" t="str">
        <f>IF($A452="","",IF(ISNUMBER(FIND("IMPVOL",V$1)),_xll.BDH(config!$G$4,V$1,WORKDAY($A452,-1,config_Holiday_Calendar_US),WORKDAY($A452,-1,config_Holiday_Calendar_US)),IF(ISNUMBER(_xll.BDH(config!$G$4,V$1,$A452,$A452)),_xll.BDH(config!$G$4,V$1,$A452,$A452),_xll.BDH(config!$G$5,V$1,$A452,$A452))))</f>
        <v>#N/A Requesting Data...</v>
      </c>
      <c r="W452" s="8" t="str">
        <f>IF($A452="","",IF(ISNUMBER(FIND("IMPVOL",W$1)),_xll.BDH(config!$G$4,W$1,WORKDAY($A452,-1,config_Holiday_Calendar_US),WORKDAY($A452,-1,config_Holiday_Calendar_US)),IF(ISNUMBER(_xll.BDH(config!$G$4,W$1,$A452,$A452)),_xll.BDH(config!$G$4,W$1,$A452,$A452),_xll.BDH(config!$G$5,W$1,$A452,$A452))))</f>
        <v>#N/A Requesting Data...</v>
      </c>
    </row>
    <row r="453" spans="1:23" x14ac:dyDescent="0.2">
      <c r="A453" s="9">
        <f>IF(A452="","",IF(WORKDAY(A452,-1,config_Holiday_Calendar_US)&lt;config!$I$10,"",WORKDAY(A452,-1,config_Holiday_Calendar_US)))</f>
        <v>42172</v>
      </c>
      <c r="B453" s="8" t="e">
        <f t="shared" si="7"/>
        <v>#VALUE!</v>
      </c>
      <c r="C453" s="8" t="str">
        <f>IF(A453="","",_xll.BDH(config!$H$4,C$1,$A453,$A453))</f>
        <v>#N/A Requesting Data...</v>
      </c>
      <c r="D453" s="8" t="str">
        <f>IF($A453="","",_xll.BDH(config!$H$4,D$1,$A453,$A453))</f>
        <v>#N/A Requesting Data...</v>
      </c>
      <c r="E453" s="8">
        <f>IF($A453="","",IF(ISNUMBER(FIND("IMPVOL",E$1)),_xll.BDH(config!$G$4,E$1,WORKDAY($A453,-1,config_Holiday_Calendar_US),WORKDAY($A453,-1,config_Holiday_Calendar_US)),IF(ISNUMBER(_xll.BDH(config!$G$4,E$1,$A453,$A453)),_xll.BDH(config!$G$4,E$1,$A453,$A453),_xll.BDH(config!$G$5,E$1,$A453,$A453))))</f>
        <v>60.03</v>
      </c>
      <c r="F453" s="8">
        <f>IF($A453="","",IF(ISNUMBER(FIND("IMPVOL",F$1)),_xll.BDH(config!$G$4,F$1,WORKDAY($A453,-1,config_Holiday_Calendar_US),WORKDAY($A453,-1,config_Holiday_Calendar_US)),IF(ISNUMBER(_xll.BDH(config!$G$4,F$1,$A453,$A453)),_xll.BDH(config!$G$4,F$1,$A453,$A453),_xll.BDH(config!$G$5,F$1,$A453,$A453))))</f>
        <v>61.38</v>
      </c>
      <c r="G453" s="8" t="str">
        <f>IF($A453="","",IF(ISNUMBER(FIND("IMPVOL",G$1)),_xll.BDH(config!$G$4,G$1,WORKDAY($A453,-1,config_Holiday_Calendar_US),WORKDAY($A453,-1,config_Holiday_Calendar_US)),IF(ISNUMBER(_xll.BDH(config!$G$4,G$1,$A453,$A453)),_xll.BDH(config!$G$4,G$1,$A453,$A453),_xll.BDH(config!$G$5,G$1,$A453,$A453))))</f>
        <v>#N/A Requesting Data...</v>
      </c>
      <c r="H453" s="8" t="str">
        <f>IF($A453="","",IF(ISNUMBER(FIND("IMPVOL",H$1)),_xll.BDH(config!$G$4,H$1,WORKDAY($A453,-1,config_Holiday_Calendar_US),WORKDAY($A453,-1,config_Holiday_Calendar_US)),IF(ISNUMBER(_xll.BDH(config!$G$4,H$1,$A453,$A453)),_xll.BDH(config!$G$4,H$1,$A453,$A453),_xll.BDH(config!$G$5,H$1,$A453,$A453))))</f>
        <v>#N/A Requesting Data...</v>
      </c>
      <c r="I453" s="8" t="str">
        <f>IF($A453="","",IF(ISNUMBER(FIND("IMPVOL",I$1)),_xll.BDH(config!$G$4,I$1,WORKDAY($A453,-1,config_Holiday_Calendar_US),WORKDAY($A453,-1,config_Holiday_Calendar_US)),IF(ISNUMBER(_xll.BDH(config!$G$4,I$1,$A453,$A453)),_xll.BDH(config!$G$4,I$1,$A453,$A453),_xll.BDH(config!$G$5,I$1,$A453,$A453))))</f>
        <v>#N/A Requesting Data...</v>
      </c>
      <c r="J453" s="8" t="str">
        <f>IF($A453="","",IF(ISNUMBER(FIND("IMPVOL",J$1)),_xll.BDH(config!$G$4,J$1,WORKDAY($A453,-1,config_Holiday_Calendar_US),WORKDAY($A453,-1,config_Holiday_Calendar_US)),IF(ISNUMBER(_xll.BDH(config!$G$4,J$1,$A453,$A453)),_xll.BDH(config!$G$4,J$1,$A453,$A453),_xll.BDH(config!$G$5,J$1,$A453,$A453))))</f>
        <v>#N/A Requesting Data...</v>
      </c>
      <c r="K453" s="8" t="str">
        <f>IF($A453="","",IF(ISNUMBER(FIND("IMPVOL",K$1)),_xll.BDH(config!$G$4,K$1,WORKDAY($A453,-1,config_Holiday_Calendar_US),WORKDAY($A453,-1,config_Holiday_Calendar_US)),IF(ISNUMBER(_xll.BDH(config!$G$4,K$1,$A453,$A453)),_xll.BDH(config!$G$4,K$1,$A453,$A453),_xll.BDH(config!$G$5,K$1,$A453,$A453))))</f>
        <v>#N/A Requesting Data...</v>
      </c>
      <c r="L453" s="8" t="str">
        <f>IF($A453="","",IF(ISNUMBER(FIND("IMPVOL",L$1)),_xll.BDH(config!$G$4,L$1,WORKDAY($A453,-1,config_Holiday_Calendar_US),WORKDAY($A453,-1,config_Holiday_Calendar_US)),IF(ISNUMBER(_xll.BDH(config!$G$4,L$1,$A453,$A453)),_xll.BDH(config!$G$4,L$1,$A453,$A453),_xll.BDH(config!$G$5,L$1,$A453,$A453))))</f>
        <v>#N/A Requesting Data...</v>
      </c>
      <c r="M453" s="8" t="str">
        <f>IF($A453="","",IF(ISNUMBER(FIND("IMPVOL",M$1)),_xll.BDH(config!$G$4,M$1,WORKDAY($A453,-1,config_Holiday_Calendar_US),WORKDAY($A453,-1,config_Holiday_Calendar_US)),IF(ISNUMBER(_xll.BDH(config!$G$4,M$1,$A453,$A453)),_xll.BDH(config!$G$4,M$1,$A453,$A453),_xll.BDH(config!$G$5,M$1,$A453,$A453))))</f>
        <v>#N/A Requesting Data...</v>
      </c>
      <c r="N453" s="8" t="str">
        <f>IF($A453="","",IF(ISNUMBER(FIND("IMPVOL",N$1)),_xll.BDH(config!$G$4,N$1,WORKDAY($A453,-1,config_Holiday_Calendar_US),WORKDAY($A453,-1,config_Holiday_Calendar_US)),IF(ISNUMBER(_xll.BDH(config!$G$4,N$1,$A453,$A453)),_xll.BDH(config!$G$4,N$1,$A453,$A453),_xll.BDH(config!$G$5,N$1,$A453,$A453))))</f>
        <v>#N/A Requesting Data...</v>
      </c>
      <c r="O453" s="8" t="str">
        <f>IF($A453="","",IF(ISNUMBER(FIND("IMPVOL",O$1)),_xll.BDH(config!$G$4,O$1,WORKDAY($A453,-1,config_Holiday_Calendar_US),WORKDAY($A453,-1,config_Holiday_Calendar_US)),IF(ISNUMBER(_xll.BDH(config!$G$4,O$1,$A453,$A453)),_xll.BDH(config!$G$4,O$1,$A453,$A453),_xll.BDH(config!$G$5,O$1,$A453,$A453))))</f>
        <v>#N/A Requesting Data...</v>
      </c>
      <c r="P453" s="8" t="str">
        <f>IF($A453="","",IF(ISNUMBER(FIND("IMPVOL",P$1)),_xll.BDH(config!$G$4,P$1,WORKDAY($A453,-1,config_Holiday_Calendar_US),WORKDAY($A453,-1,config_Holiday_Calendar_US)),IF(ISNUMBER(_xll.BDH(config!$G$4,P$1,$A453,$A453)),_xll.BDH(config!$G$4,P$1,$A453,$A453),_xll.BDH(config!$G$5,P$1,$A453,$A453))))</f>
        <v>#N/A Requesting Data...</v>
      </c>
      <c r="Q453" s="8" t="str">
        <f>IF($A453="","",IF(ISNUMBER(FIND("IMPVOL",Q$1)),_xll.BDH(config!$G$4,Q$1,WORKDAY($A453,-1,config_Holiday_Calendar_US),WORKDAY($A453,-1,config_Holiday_Calendar_US)),IF(ISNUMBER(_xll.BDH(config!$G$4,Q$1,$A453,$A453)),_xll.BDH(config!$G$4,Q$1,$A453,$A453),_xll.BDH(config!$G$5,Q$1,$A453,$A453))))</f>
        <v>#N/A Requesting Data...</v>
      </c>
      <c r="R453" s="8" t="str">
        <f>IF($A453="","",IF(ISNUMBER(FIND("IMPVOL",R$1)),_xll.BDH(config!$G$4,R$1,WORKDAY($A453,-1,config_Holiday_Calendar_US),WORKDAY($A453,-1,config_Holiday_Calendar_US)),IF(ISNUMBER(_xll.BDH(config!$G$4,R$1,$A453,$A453)),_xll.BDH(config!$G$4,R$1,$A453,$A453),_xll.BDH(config!$G$5,R$1,$A453,$A453))))</f>
        <v>#N/A Requesting Data...</v>
      </c>
      <c r="S453" s="8" t="str">
        <f>IF($A453="","",IF(ISNUMBER(FIND("IMPVOL",S$1)),_xll.BDH(config!$G$4,S$1,WORKDAY($A453,-1,config_Holiday_Calendar_US),WORKDAY($A453,-1,config_Holiday_Calendar_US)),IF(ISNUMBER(_xll.BDH(config!$G$4,S$1,$A453,$A453)),_xll.BDH(config!$G$4,S$1,$A453,$A453),_xll.BDH(config!$G$5,S$1,$A453,$A453))))</f>
        <v>#N/A Requesting Data...</v>
      </c>
      <c r="T453" s="8" t="str">
        <f>IF($A453="","",IF(ISNUMBER(FIND("IMPVOL",T$1)),_xll.BDH(config!$G$4,T$1,WORKDAY($A453,-1,config_Holiday_Calendar_US),WORKDAY($A453,-1,config_Holiday_Calendar_US)),IF(ISNUMBER(_xll.BDH(config!$G$4,T$1,$A453,$A453)),_xll.BDH(config!$G$4,T$1,$A453,$A453),_xll.BDH(config!$G$5,T$1,$A453,$A453))))</f>
        <v>#N/A Requesting Data...</v>
      </c>
      <c r="U453" s="8" t="str">
        <f>IF($A453="","",IF(ISNUMBER(FIND("IMPVOL",U$1)),_xll.BDH(config!$G$4,U$1,WORKDAY($A453,-1,config_Holiday_Calendar_US),WORKDAY($A453,-1,config_Holiday_Calendar_US)),IF(ISNUMBER(_xll.BDH(config!$G$4,U$1,$A453,$A453)),_xll.BDH(config!$G$4,U$1,$A453,$A453),_xll.BDH(config!$G$5,U$1,$A453,$A453))))</f>
        <v>#N/A Requesting Data...</v>
      </c>
      <c r="V453" s="8" t="str">
        <f>IF($A453="","",IF(ISNUMBER(FIND("IMPVOL",V$1)),_xll.BDH(config!$G$4,V$1,WORKDAY($A453,-1,config_Holiday_Calendar_US),WORKDAY($A453,-1,config_Holiday_Calendar_US)),IF(ISNUMBER(_xll.BDH(config!$G$4,V$1,$A453,$A453)),_xll.BDH(config!$G$4,V$1,$A453,$A453),_xll.BDH(config!$G$5,V$1,$A453,$A453))))</f>
        <v>#N/A Requesting Data...</v>
      </c>
      <c r="W453" s="8" t="str">
        <f>IF($A453="","",IF(ISNUMBER(FIND("IMPVOL",W$1)),_xll.BDH(config!$G$4,W$1,WORKDAY($A453,-1,config_Holiday_Calendar_US),WORKDAY($A453,-1,config_Holiday_Calendar_US)),IF(ISNUMBER(_xll.BDH(config!$G$4,W$1,$A453,$A453)),_xll.BDH(config!$G$4,W$1,$A453,$A453),_xll.BDH(config!$G$5,W$1,$A453,$A453))))</f>
        <v>#N/A Requesting Data...</v>
      </c>
    </row>
    <row r="454" spans="1:23" x14ac:dyDescent="0.2">
      <c r="A454" s="9">
        <f>IF(A453="","",IF(WORKDAY(A453,-1,config_Holiday_Calendar_US)&lt;config!$I$10,"",WORKDAY(A453,-1,config_Holiday_Calendar_US)))</f>
        <v>42171</v>
      </c>
      <c r="B454" s="8" t="e">
        <f t="shared" si="7"/>
        <v>#VALUE!</v>
      </c>
      <c r="C454" s="8" t="str">
        <f>IF(A454="","",_xll.BDH(config!$H$4,C$1,$A454,$A454))</f>
        <v>#N/A Requesting Data...</v>
      </c>
      <c r="D454" s="8" t="str">
        <f>IF($A454="","",_xll.BDH(config!$H$4,D$1,$A454,$A454))</f>
        <v>#N/A Requesting Data...</v>
      </c>
      <c r="E454" s="8">
        <f>IF($A454="","",IF(ISNUMBER(FIND("IMPVOL",E$1)),_xll.BDH(config!$G$4,E$1,WORKDAY($A454,-1,config_Holiday_Calendar_US),WORKDAY($A454,-1,config_Holiday_Calendar_US)),IF(ISNUMBER(_xll.BDH(config!$G$4,E$1,$A454,$A454)),_xll.BDH(config!$G$4,E$1,$A454,$A454),_xll.BDH(config!$G$5,E$1,$A454,$A454))))</f>
        <v>59.6</v>
      </c>
      <c r="F454" s="8">
        <f>IF($A454="","",IF(ISNUMBER(FIND("IMPVOL",F$1)),_xll.BDH(config!$G$4,F$1,WORKDAY($A454,-1,config_Holiday_Calendar_US),WORKDAY($A454,-1,config_Holiday_Calendar_US)),IF(ISNUMBER(_xll.BDH(config!$G$4,F$1,$A454,$A454)),_xll.BDH(config!$G$4,F$1,$A454,$A454),_xll.BDH(config!$G$5,F$1,$A454,$A454))))</f>
        <v>60.37</v>
      </c>
      <c r="G454" s="8" t="str">
        <f>IF($A454="","",IF(ISNUMBER(FIND("IMPVOL",G$1)),_xll.BDH(config!$G$4,G$1,WORKDAY($A454,-1,config_Holiday_Calendar_US),WORKDAY($A454,-1,config_Holiday_Calendar_US)),IF(ISNUMBER(_xll.BDH(config!$G$4,G$1,$A454,$A454)),_xll.BDH(config!$G$4,G$1,$A454,$A454),_xll.BDH(config!$G$5,G$1,$A454,$A454))))</f>
        <v>#N/A Requesting Data...</v>
      </c>
      <c r="H454" s="8" t="str">
        <f>IF($A454="","",IF(ISNUMBER(FIND("IMPVOL",H$1)),_xll.BDH(config!$G$4,H$1,WORKDAY($A454,-1,config_Holiday_Calendar_US),WORKDAY($A454,-1,config_Holiday_Calendar_US)),IF(ISNUMBER(_xll.BDH(config!$G$4,H$1,$A454,$A454)),_xll.BDH(config!$G$4,H$1,$A454,$A454),_xll.BDH(config!$G$5,H$1,$A454,$A454))))</f>
        <v>#N/A Requesting Data...</v>
      </c>
      <c r="I454" s="8" t="str">
        <f>IF($A454="","",IF(ISNUMBER(FIND("IMPVOL",I$1)),_xll.BDH(config!$G$4,I$1,WORKDAY($A454,-1,config_Holiday_Calendar_US),WORKDAY($A454,-1,config_Holiday_Calendar_US)),IF(ISNUMBER(_xll.BDH(config!$G$4,I$1,$A454,$A454)),_xll.BDH(config!$G$4,I$1,$A454,$A454),_xll.BDH(config!$G$5,I$1,$A454,$A454))))</f>
        <v>#N/A Requesting Data...</v>
      </c>
      <c r="J454" s="8" t="str">
        <f>IF($A454="","",IF(ISNUMBER(FIND("IMPVOL",J$1)),_xll.BDH(config!$G$4,J$1,WORKDAY($A454,-1,config_Holiday_Calendar_US),WORKDAY($A454,-1,config_Holiday_Calendar_US)),IF(ISNUMBER(_xll.BDH(config!$G$4,J$1,$A454,$A454)),_xll.BDH(config!$G$4,J$1,$A454,$A454),_xll.BDH(config!$G$5,J$1,$A454,$A454))))</f>
        <v>#N/A Requesting Data...</v>
      </c>
      <c r="K454" s="8" t="str">
        <f>IF($A454="","",IF(ISNUMBER(FIND("IMPVOL",K$1)),_xll.BDH(config!$G$4,K$1,WORKDAY($A454,-1,config_Holiday_Calendar_US),WORKDAY($A454,-1,config_Holiday_Calendar_US)),IF(ISNUMBER(_xll.BDH(config!$G$4,K$1,$A454,$A454)),_xll.BDH(config!$G$4,K$1,$A454,$A454),_xll.BDH(config!$G$5,K$1,$A454,$A454))))</f>
        <v>#N/A Requesting Data...</v>
      </c>
      <c r="L454" s="8" t="str">
        <f>IF($A454="","",IF(ISNUMBER(FIND("IMPVOL",L$1)),_xll.BDH(config!$G$4,L$1,WORKDAY($A454,-1,config_Holiday_Calendar_US),WORKDAY($A454,-1,config_Holiday_Calendar_US)),IF(ISNUMBER(_xll.BDH(config!$G$4,L$1,$A454,$A454)),_xll.BDH(config!$G$4,L$1,$A454,$A454),_xll.BDH(config!$G$5,L$1,$A454,$A454))))</f>
        <v>#N/A Requesting Data...</v>
      </c>
      <c r="M454" s="8" t="str">
        <f>IF($A454="","",IF(ISNUMBER(FIND("IMPVOL",M$1)),_xll.BDH(config!$G$4,M$1,WORKDAY($A454,-1,config_Holiday_Calendar_US),WORKDAY($A454,-1,config_Holiday_Calendar_US)),IF(ISNUMBER(_xll.BDH(config!$G$4,M$1,$A454,$A454)),_xll.BDH(config!$G$4,M$1,$A454,$A454),_xll.BDH(config!$G$5,M$1,$A454,$A454))))</f>
        <v>#N/A Requesting Data...</v>
      </c>
      <c r="N454" s="8" t="str">
        <f>IF($A454="","",IF(ISNUMBER(FIND("IMPVOL",N$1)),_xll.BDH(config!$G$4,N$1,WORKDAY($A454,-1,config_Holiday_Calendar_US),WORKDAY($A454,-1,config_Holiday_Calendar_US)),IF(ISNUMBER(_xll.BDH(config!$G$4,N$1,$A454,$A454)),_xll.BDH(config!$G$4,N$1,$A454,$A454),_xll.BDH(config!$G$5,N$1,$A454,$A454))))</f>
        <v>#N/A Requesting Data...</v>
      </c>
      <c r="O454" s="8" t="str">
        <f>IF($A454="","",IF(ISNUMBER(FIND("IMPVOL",O$1)),_xll.BDH(config!$G$4,O$1,WORKDAY($A454,-1,config_Holiday_Calendar_US),WORKDAY($A454,-1,config_Holiday_Calendar_US)),IF(ISNUMBER(_xll.BDH(config!$G$4,O$1,$A454,$A454)),_xll.BDH(config!$G$4,O$1,$A454,$A454),_xll.BDH(config!$G$5,O$1,$A454,$A454))))</f>
        <v>#N/A Requesting Data...</v>
      </c>
      <c r="P454" s="8" t="str">
        <f>IF($A454="","",IF(ISNUMBER(FIND("IMPVOL",P$1)),_xll.BDH(config!$G$4,P$1,WORKDAY($A454,-1,config_Holiday_Calendar_US),WORKDAY($A454,-1,config_Holiday_Calendar_US)),IF(ISNUMBER(_xll.BDH(config!$G$4,P$1,$A454,$A454)),_xll.BDH(config!$G$4,P$1,$A454,$A454),_xll.BDH(config!$G$5,P$1,$A454,$A454))))</f>
        <v>#N/A Requesting Data...</v>
      </c>
      <c r="Q454" s="8" t="str">
        <f>IF($A454="","",IF(ISNUMBER(FIND("IMPVOL",Q$1)),_xll.BDH(config!$G$4,Q$1,WORKDAY($A454,-1,config_Holiday_Calendar_US),WORKDAY($A454,-1,config_Holiday_Calendar_US)),IF(ISNUMBER(_xll.BDH(config!$G$4,Q$1,$A454,$A454)),_xll.BDH(config!$G$4,Q$1,$A454,$A454),_xll.BDH(config!$G$5,Q$1,$A454,$A454))))</f>
        <v>#N/A Requesting Data...</v>
      </c>
      <c r="R454" s="8" t="str">
        <f>IF($A454="","",IF(ISNUMBER(FIND("IMPVOL",R$1)),_xll.BDH(config!$G$4,R$1,WORKDAY($A454,-1,config_Holiday_Calendar_US),WORKDAY($A454,-1,config_Holiday_Calendar_US)),IF(ISNUMBER(_xll.BDH(config!$G$4,R$1,$A454,$A454)),_xll.BDH(config!$G$4,R$1,$A454,$A454),_xll.BDH(config!$G$5,R$1,$A454,$A454))))</f>
        <v>#N/A Requesting Data...</v>
      </c>
      <c r="S454" s="8" t="str">
        <f>IF($A454="","",IF(ISNUMBER(FIND("IMPVOL",S$1)),_xll.BDH(config!$G$4,S$1,WORKDAY($A454,-1,config_Holiday_Calendar_US),WORKDAY($A454,-1,config_Holiday_Calendar_US)),IF(ISNUMBER(_xll.BDH(config!$G$4,S$1,$A454,$A454)),_xll.BDH(config!$G$4,S$1,$A454,$A454),_xll.BDH(config!$G$5,S$1,$A454,$A454))))</f>
        <v>#N/A Requesting Data...</v>
      </c>
      <c r="T454" s="8" t="str">
        <f>IF($A454="","",IF(ISNUMBER(FIND("IMPVOL",T$1)),_xll.BDH(config!$G$4,T$1,WORKDAY($A454,-1,config_Holiday_Calendar_US),WORKDAY($A454,-1,config_Holiday_Calendar_US)),IF(ISNUMBER(_xll.BDH(config!$G$4,T$1,$A454,$A454)),_xll.BDH(config!$G$4,T$1,$A454,$A454),_xll.BDH(config!$G$5,T$1,$A454,$A454))))</f>
        <v>#N/A Requesting Data...</v>
      </c>
      <c r="U454" s="8" t="str">
        <f>IF($A454="","",IF(ISNUMBER(FIND("IMPVOL",U$1)),_xll.BDH(config!$G$4,U$1,WORKDAY($A454,-1,config_Holiday_Calendar_US),WORKDAY($A454,-1,config_Holiday_Calendar_US)),IF(ISNUMBER(_xll.BDH(config!$G$4,U$1,$A454,$A454)),_xll.BDH(config!$G$4,U$1,$A454,$A454),_xll.BDH(config!$G$5,U$1,$A454,$A454))))</f>
        <v>#N/A Requesting Data...</v>
      </c>
      <c r="V454" s="8" t="str">
        <f>IF($A454="","",IF(ISNUMBER(FIND("IMPVOL",V$1)),_xll.BDH(config!$G$4,V$1,WORKDAY($A454,-1,config_Holiday_Calendar_US),WORKDAY($A454,-1,config_Holiday_Calendar_US)),IF(ISNUMBER(_xll.BDH(config!$G$4,V$1,$A454,$A454)),_xll.BDH(config!$G$4,V$1,$A454,$A454),_xll.BDH(config!$G$5,V$1,$A454,$A454))))</f>
        <v>#N/A Requesting Data...</v>
      </c>
      <c r="W454" s="8" t="str">
        <f>IF($A454="","",IF(ISNUMBER(FIND("IMPVOL",W$1)),_xll.BDH(config!$G$4,W$1,WORKDAY($A454,-1,config_Holiday_Calendar_US),WORKDAY($A454,-1,config_Holiday_Calendar_US)),IF(ISNUMBER(_xll.BDH(config!$G$4,W$1,$A454,$A454)),_xll.BDH(config!$G$4,W$1,$A454,$A454),_xll.BDH(config!$G$5,W$1,$A454,$A454))))</f>
        <v>#N/A Requesting Data...</v>
      </c>
    </row>
    <row r="455" spans="1:23" x14ac:dyDescent="0.2">
      <c r="A455" s="9">
        <f>IF(A454="","",IF(WORKDAY(A454,-1,config_Holiday_Calendar_US)&lt;config!$I$10,"",WORKDAY(A454,-1,config_Holiday_Calendar_US)))</f>
        <v>42170</v>
      </c>
      <c r="B455" s="8" t="e">
        <f t="shared" si="7"/>
        <v>#VALUE!</v>
      </c>
      <c r="C455" s="8" t="str">
        <f>IF(A455="","",_xll.BDH(config!$H$4,C$1,$A455,$A455))</f>
        <v>#N/A Requesting Data...</v>
      </c>
      <c r="D455" s="8" t="str">
        <f>IF($A455="","",_xll.BDH(config!$H$4,D$1,$A455,$A455))</f>
        <v>#N/A Requesting Data...</v>
      </c>
      <c r="E455" s="8">
        <f>IF($A455="","",IF(ISNUMBER(FIND("IMPVOL",E$1)),_xll.BDH(config!$G$4,E$1,WORKDAY($A455,-1,config_Holiday_Calendar_US),WORKDAY($A455,-1,config_Holiday_Calendar_US)),IF(ISNUMBER(_xll.BDH(config!$G$4,E$1,$A455,$A455)),_xll.BDH(config!$G$4,E$1,$A455,$A455),_xll.BDH(config!$G$5,E$1,$A455,$A455))))</f>
        <v>59.9</v>
      </c>
      <c r="F455" s="8">
        <f>IF($A455="","",IF(ISNUMBER(FIND("IMPVOL",F$1)),_xll.BDH(config!$G$4,F$1,WORKDAY($A455,-1,config_Holiday_Calendar_US),WORKDAY($A455,-1,config_Holiday_Calendar_US)),IF(ISNUMBER(_xll.BDH(config!$G$4,F$1,$A455,$A455)),_xll.BDH(config!$G$4,F$1,$A455,$A455),_xll.BDH(config!$G$5,F$1,$A455,$A455))))</f>
        <v>59.98</v>
      </c>
      <c r="G455" s="8" t="str">
        <f>IF($A455="","",IF(ISNUMBER(FIND("IMPVOL",G$1)),_xll.BDH(config!$G$4,G$1,WORKDAY($A455,-1,config_Holiday_Calendar_US),WORKDAY($A455,-1,config_Holiday_Calendar_US)),IF(ISNUMBER(_xll.BDH(config!$G$4,G$1,$A455,$A455)),_xll.BDH(config!$G$4,G$1,$A455,$A455),_xll.BDH(config!$G$5,G$1,$A455,$A455))))</f>
        <v>#N/A Requesting Data...</v>
      </c>
      <c r="H455" s="8" t="str">
        <f>IF($A455="","",IF(ISNUMBER(FIND("IMPVOL",H$1)),_xll.BDH(config!$G$4,H$1,WORKDAY($A455,-1,config_Holiday_Calendar_US),WORKDAY($A455,-1,config_Holiday_Calendar_US)),IF(ISNUMBER(_xll.BDH(config!$G$4,H$1,$A455,$A455)),_xll.BDH(config!$G$4,H$1,$A455,$A455),_xll.BDH(config!$G$5,H$1,$A455,$A455))))</f>
        <v>#N/A Requesting Data...</v>
      </c>
      <c r="I455" s="8" t="str">
        <f>IF($A455="","",IF(ISNUMBER(FIND("IMPVOL",I$1)),_xll.BDH(config!$G$4,I$1,WORKDAY($A455,-1,config_Holiday_Calendar_US),WORKDAY($A455,-1,config_Holiday_Calendar_US)),IF(ISNUMBER(_xll.BDH(config!$G$4,I$1,$A455,$A455)),_xll.BDH(config!$G$4,I$1,$A455,$A455),_xll.BDH(config!$G$5,I$1,$A455,$A455))))</f>
        <v>#N/A Requesting Data...</v>
      </c>
      <c r="J455" s="8" t="str">
        <f>IF($A455="","",IF(ISNUMBER(FIND("IMPVOL",J$1)),_xll.BDH(config!$G$4,J$1,WORKDAY($A455,-1,config_Holiday_Calendar_US),WORKDAY($A455,-1,config_Holiday_Calendar_US)),IF(ISNUMBER(_xll.BDH(config!$G$4,J$1,$A455,$A455)),_xll.BDH(config!$G$4,J$1,$A455,$A455),_xll.BDH(config!$G$5,J$1,$A455,$A455))))</f>
        <v>#N/A Requesting Data...</v>
      </c>
      <c r="K455" s="8" t="str">
        <f>IF($A455="","",IF(ISNUMBER(FIND("IMPVOL",K$1)),_xll.BDH(config!$G$4,K$1,WORKDAY($A455,-1,config_Holiday_Calendar_US),WORKDAY($A455,-1,config_Holiday_Calendar_US)),IF(ISNUMBER(_xll.BDH(config!$G$4,K$1,$A455,$A455)),_xll.BDH(config!$G$4,K$1,$A455,$A455),_xll.BDH(config!$G$5,K$1,$A455,$A455))))</f>
        <v>#N/A Requesting Data...</v>
      </c>
      <c r="L455" s="8" t="str">
        <f>IF($A455="","",IF(ISNUMBER(FIND("IMPVOL",L$1)),_xll.BDH(config!$G$4,L$1,WORKDAY($A455,-1,config_Holiday_Calendar_US),WORKDAY($A455,-1,config_Holiday_Calendar_US)),IF(ISNUMBER(_xll.BDH(config!$G$4,L$1,$A455,$A455)),_xll.BDH(config!$G$4,L$1,$A455,$A455),_xll.BDH(config!$G$5,L$1,$A455,$A455))))</f>
        <v>#N/A Requesting Data...</v>
      </c>
      <c r="M455" s="8" t="str">
        <f>IF($A455="","",IF(ISNUMBER(FIND("IMPVOL",M$1)),_xll.BDH(config!$G$4,M$1,WORKDAY($A455,-1,config_Holiday_Calendar_US),WORKDAY($A455,-1,config_Holiday_Calendar_US)),IF(ISNUMBER(_xll.BDH(config!$G$4,M$1,$A455,$A455)),_xll.BDH(config!$G$4,M$1,$A455,$A455),_xll.BDH(config!$G$5,M$1,$A455,$A455))))</f>
        <v>#N/A Requesting Data...</v>
      </c>
      <c r="N455" s="8" t="str">
        <f>IF($A455="","",IF(ISNUMBER(FIND("IMPVOL",N$1)),_xll.BDH(config!$G$4,N$1,WORKDAY($A455,-1,config_Holiday_Calendar_US),WORKDAY($A455,-1,config_Holiday_Calendar_US)),IF(ISNUMBER(_xll.BDH(config!$G$4,N$1,$A455,$A455)),_xll.BDH(config!$G$4,N$1,$A455,$A455),_xll.BDH(config!$G$5,N$1,$A455,$A455))))</f>
        <v>#N/A Requesting Data...</v>
      </c>
      <c r="O455" s="8" t="str">
        <f>IF($A455="","",IF(ISNUMBER(FIND("IMPVOL",O$1)),_xll.BDH(config!$G$4,O$1,WORKDAY($A455,-1,config_Holiday_Calendar_US),WORKDAY($A455,-1,config_Holiday_Calendar_US)),IF(ISNUMBER(_xll.BDH(config!$G$4,O$1,$A455,$A455)),_xll.BDH(config!$G$4,O$1,$A455,$A455),_xll.BDH(config!$G$5,O$1,$A455,$A455))))</f>
        <v>#N/A Requesting Data...</v>
      </c>
      <c r="P455" s="8" t="str">
        <f>IF($A455="","",IF(ISNUMBER(FIND("IMPVOL",P$1)),_xll.BDH(config!$G$4,P$1,WORKDAY($A455,-1,config_Holiday_Calendar_US),WORKDAY($A455,-1,config_Holiday_Calendar_US)),IF(ISNUMBER(_xll.BDH(config!$G$4,P$1,$A455,$A455)),_xll.BDH(config!$G$4,P$1,$A455,$A455),_xll.BDH(config!$G$5,P$1,$A455,$A455))))</f>
        <v>#N/A Requesting Data...</v>
      </c>
      <c r="Q455" s="8" t="str">
        <f>IF($A455="","",IF(ISNUMBER(FIND("IMPVOL",Q$1)),_xll.BDH(config!$G$4,Q$1,WORKDAY($A455,-1,config_Holiday_Calendar_US),WORKDAY($A455,-1,config_Holiday_Calendar_US)),IF(ISNUMBER(_xll.BDH(config!$G$4,Q$1,$A455,$A455)),_xll.BDH(config!$G$4,Q$1,$A455,$A455),_xll.BDH(config!$G$5,Q$1,$A455,$A455))))</f>
        <v>#N/A Requesting Data...</v>
      </c>
      <c r="R455" s="8" t="str">
        <f>IF($A455="","",IF(ISNUMBER(FIND("IMPVOL",R$1)),_xll.BDH(config!$G$4,R$1,WORKDAY($A455,-1,config_Holiday_Calendar_US),WORKDAY($A455,-1,config_Holiday_Calendar_US)),IF(ISNUMBER(_xll.BDH(config!$G$4,R$1,$A455,$A455)),_xll.BDH(config!$G$4,R$1,$A455,$A455),_xll.BDH(config!$G$5,R$1,$A455,$A455))))</f>
        <v>#N/A Requesting Data...</v>
      </c>
      <c r="S455" s="8" t="str">
        <f>IF($A455="","",IF(ISNUMBER(FIND("IMPVOL",S$1)),_xll.BDH(config!$G$4,S$1,WORKDAY($A455,-1,config_Holiday_Calendar_US),WORKDAY($A455,-1,config_Holiday_Calendar_US)),IF(ISNUMBER(_xll.BDH(config!$G$4,S$1,$A455,$A455)),_xll.BDH(config!$G$4,S$1,$A455,$A455),_xll.BDH(config!$G$5,S$1,$A455,$A455))))</f>
        <v>#N/A Requesting Data...</v>
      </c>
      <c r="T455" s="8" t="str">
        <f>IF($A455="","",IF(ISNUMBER(FIND("IMPVOL",T$1)),_xll.BDH(config!$G$4,T$1,WORKDAY($A455,-1,config_Holiday_Calendar_US),WORKDAY($A455,-1,config_Holiday_Calendar_US)),IF(ISNUMBER(_xll.BDH(config!$G$4,T$1,$A455,$A455)),_xll.BDH(config!$G$4,T$1,$A455,$A455),_xll.BDH(config!$G$5,T$1,$A455,$A455))))</f>
        <v>#N/A Requesting Data...</v>
      </c>
      <c r="U455" s="8" t="str">
        <f>IF($A455="","",IF(ISNUMBER(FIND("IMPVOL",U$1)),_xll.BDH(config!$G$4,U$1,WORKDAY($A455,-1,config_Holiday_Calendar_US),WORKDAY($A455,-1,config_Holiday_Calendar_US)),IF(ISNUMBER(_xll.BDH(config!$G$4,U$1,$A455,$A455)),_xll.BDH(config!$G$4,U$1,$A455,$A455),_xll.BDH(config!$G$5,U$1,$A455,$A455))))</f>
        <v>#N/A Requesting Data...</v>
      </c>
      <c r="V455" s="8" t="str">
        <f>IF($A455="","",IF(ISNUMBER(FIND("IMPVOL",V$1)),_xll.BDH(config!$G$4,V$1,WORKDAY($A455,-1,config_Holiday_Calendar_US),WORKDAY($A455,-1,config_Holiday_Calendar_US)),IF(ISNUMBER(_xll.BDH(config!$G$4,V$1,$A455,$A455)),_xll.BDH(config!$G$4,V$1,$A455,$A455),_xll.BDH(config!$G$5,V$1,$A455,$A455))))</f>
        <v>#N/A Requesting Data...</v>
      </c>
      <c r="W455" s="8" t="str">
        <f>IF($A455="","",IF(ISNUMBER(FIND("IMPVOL",W$1)),_xll.BDH(config!$G$4,W$1,WORKDAY($A455,-1,config_Holiday_Calendar_US),WORKDAY($A455,-1,config_Holiday_Calendar_US)),IF(ISNUMBER(_xll.BDH(config!$G$4,W$1,$A455,$A455)),_xll.BDH(config!$G$4,W$1,$A455,$A455),_xll.BDH(config!$G$5,W$1,$A455,$A455))))</f>
        <v>#N/A Requesting Data...</v>
      </c>
    </row>
    <row r="456" spans="1:23" x14ac:dyDescent="0.2">
      <c r="A456" s="9">
        <f>IF(A455="","",IF(WORKDAY(A455,-1,config_Holiday_Calendar_US)&lt;config!$I$10,"",WORKDAY(A455,-1,config_Holiday_Calendar_US)))</f>
        <v>42167</v>
      </c>
      <c r="B456" s="8" t="e">
        <f t="shared" si="7"/>
        <v>#VALUE!</v>
      </c>
      <c r="C456" s="8" t="str">
        <f>IF(A456="","",_xll.BDH(config!$H$4,C$1,$A456,$A456))</f>
        <v>#N/A Requesting Data...</v>
      </c>
      <c r="D456" s="8" t="str">
        <f>IF($A456="","",_xll.BDH(config!$H$4,D$1,$A456,$A456))</f>
        <v>#N/A Requesting Data...</v>
      </c>
      <c r="E456" s="8">
        <f>IF($A456="","",IF(ISNUMBER(FIND("IMPVOL",E$1)),_xll.BDH(config!$G$4,E$1,WORKDAY($A456,-1,config_Holiday_Calendar_US),WORKDAY($A456,-1,config_Holiday_Calendar_US)),IF(ISNUMBER(_xll.BDH(config!$G$4,E$1,$A456,$A456)),_xll.BDH(config!$G$4,E$1,$A456,$A456),_xll.BDH(config!$G$5,E$1,$A456,$A456))))</f>
        <v>60.55</v>
      </c>
      <c r="F456" s="8">
        <f>IF($A456="","",IF(ISNUMBER(FIND("IMPVOL",F$1)),_xll.BDH(config!$G$4,F$1,WORKDAY($A456,-1,config_Holiday_Calendar_US),WORKDAY($A456,-1,config_Holiday_Calendar_US)),IF(ISNUMBER(_xll.BDH(config!$G$4,F$1,$A456,$A456)),_xll.BDH(config!$G$4,F$1,$A456,$A456),_xll.BDH(config!$G$5,F$1,$A456,$A456))))</f>
        <v>60.63</v>
      </c>
      <c r="G456" s="8" t="str">
        <f>IF($A456="","",IF(ISNUMBER(FIND("IMPVOL",G$1)),_xll.BDH(config!$G$4,G$1,WORKDAY($A456,-1,config_Holiday_Calendar_US),WORKDAY($A456,-1,config_Holiday_Calendar_US)),IF(ISNUMBER(_xll.BDH(config!$G$4,G$1,$A456,$A456)),_xll.BDH(config!$G$4,G$1,$A456,$A456),_xll.BDH(config!$G$5,G$1,$A456,$A456))))</f>
        <v>#N/A Requesting Data...</v>
      </c>
      <c r="H456" s="8" t="str">
        <f>IF($A456="","",IF(ISNUMBER(FIND("IMPVOL",H$1)),_xll.BDH(config!$G$4,H$1,WORKDAY($A456,-1,config_Holiday_Calendar_US),WORKDAY($A456,-1,config_Holiday_Calendar_US)),IF(ISNUMBER(_xll.BDH(config!$G$4,H$1,$A456,$A456)),_xll.BDH(config!$G$4,H$1,$A456,$A456),_xll.BDH(config!$G$5,H$1,$A456,$A456))))</f>
        <v>#N/A Requesting Data...</v>
      </c>
      <c r="I456" s="8" t="str">
        <f>IF($A456="","",IF(ISNUMBER(FIND("IMPVOL",I$1)),_xll.BDH(config!$G$4,I$1,WORKDAY($A456,-1,config_Holiday_Calendar_US),WORKDAY($A456,-1,config_Holiday_Calendar_US)),IF(ISNUMBER(_xll.BDH(config!$G$4,I$1,$A456,$A456)),_xll.BDH(config!$G$4,I$1,$A456,$A456),_xll.BDH(config!$G$5,I$1,$A456,$A456))))</f>
        <v>#N/A Requesting Data...</v>
      </c>
      <c r="J456" s="8" t="str">
        <f>IF($A456="","",IF(ISNUMBER(FIND("IMPVOL",J$1)),_xll.BDH(config!$G$4,J$1,WORKDAY($A456,-1,config_Holiday_Calendar_US),WORKDAY($A456,-1,config_Holiday_Calendar_US)),IF(ISNUMBER(_xll.BDH(config!$G$4,J$1,$A456,$A456)),_xll.BDH(config!$G$4,J$1,$A456,$A456),_xll.BDH(config!$G$5,J$1,$A456,$A456))))</f>
        <v>#N/A Requesting Data...</v>
      </c>
      <c r="K456" s="8" t="str">
        <f>IF($A456="","",IF(ISNUMBER(FIND("IMPVOL",K$1)),_xll.BDH(config!$G$4,K$1,WORKDAY($A456,-1,config_Holiday_Calendar_US),WORKDAY($A456,-1,config_Holiday_Calendar_US)),IF(ISNUMBER(_xll.BDH(config!$G$4,K$1,$A456,$A456)),_xll.BDH(config!$G$4,K$1,$A456,$A456),_xll.BDH(config!$G$5,K$1,$A456,$A456))))</f>
        <v>#N/A Requesting Data...</v>
      </c>
      <c r="L456" s="8" t="str">
        <f>IF($A456="","",IF(ISNUMBER(FIND("IMPVOL",L$1)),_xll.BDH(config!$G$4,L$1,WORKDAY($A456,-1,config_Holiday_Calendar_US),WORKDAY($A456,-1,config_Holiday_Calendar_US)),IF(ISNUMBER(_xll.BDH(config!$G$4,L$1,$A456,$A456)),_xll.BDH(config!$G$4,L$1,$A456,$A456),_xll.BDH(config!$G$5,L$1,$A456,$A456))))</f>
        <v>#N/A Requesting Data...</v>
      </c>
      <c r="M456" s="8" t="str">
        <f>IF($A456="","",IF(ISNUMBER(FIND("IMPVOL",M$1)),_xll.BDH(config!$G$4,M$1,WORKDAY($A456,-1,config_Holiday_Calendar_US),WORKDAY($A456,-1,config_Holiday_Calendar_US)),IF(ISNUMBER(_xll.BDH(config!$G$4,M$1,$A456,$A456)),_xll.BDH(config!$G$4,M$1,$A456,$A456),_xll.BDH(config!$G$5,M$1,$A456,$A456))))</f>
        <v>#N/A Requesting Data...</v>
      </c>
      <c r="N456" s="8" t="str">
        <f>IF($A456="","",IF(ISNUMBER(FIND("IMPVOL",N$1)),_xll.BDH(config!$G$4,N$1,WORKDAY($A456,-1,config_Holiday_Calendar_US),WORKDAY($A456,-1,config_Holiday_Calendar_US)),IF(ISNUMBER(_xll.BDH(config!$G$4,N$1,$A456,$A456)),_xll.BDH(config!$G$4,N$1,$A456,$A456),_xll.BDH(config!$G$5,N$1,$A456,$A456))))</f>
        <v>#N/A Requesting Data...</v>
      </c>
      <c r="O456" s="8" t="str">
        <f>IF($A456="","",IF(ISNUMBER(FIND("IMPVOL",O$1)),_xll.BDH(config!$G$4,O$1,WORKDAY($A456,-1,config_Holiday_Calendar_US),WORKDAY($A456,-1,config_Holiday_Calendar_US)),IF(ISNUMBER(_xll.BDH(config!$G$4,O$1,$A456,$A456)),_xll.BDH(config!$G$4,O$1,$A456,$A456),_xll.BDH(config!$G$5,O$1,$A456,$A456))))</f>
        <v>#N/A Requesting Data...</v>
      </c>
      <c r="P456" s="8" t="str">
        <f>IF($A456="","",IF(ISNUMBER(FIND("IMPVOL",P$1)),_xll.BDH(config!$G$4,P$1,WORKDAY($A456,-1,config_Holiday_Calendar_US),WORKDAY($A456,-1,config_Holiday_Calendar_US)),IF(ISNUMBER(_xll.BDH(config!$G$4,P$1,$A456,$A456)),_xll.BDH(config!$G$4,P$1,$A456,$A456),_xll.BDH(config!$G$5,P$1,$A456,$A456))))</f>
        <v>#N/A Requesting Data...</v>
      </c>
      <c r="Q456" s="8" t="str">
        <f>IF($A456="","",IF(ISNUMBER(FIND("IMPVOL",Q$1)),_xll.BDH(config!$G$4,Q$1,WORKDAY($A456,-1,config_Holiday_Calendar_US),WORKDAY($A456,-1,config_Holiday_Calendar_US)),IF(ISNUMBER(_xll.BDH(config!$G$4,Q$1,$A456,$A456)),_xll.BDH(config!$G$4,Q$1,$A456,$A456),_xll.BDH(config!$G$5,Q$1,$A456,$A456))))</f>
        <v>#N/A Requesting Data...</v>
      </c>
      <c r="R456" s="8" t="str">
        <f>IF($A456="","",IF(ISNUMBER(FIND("IMPVOL",R$1)),_xll.BDH(config!$G$4,R$1,WORKDAY($A456,-1,config_Holiday_Calendar_US),WORKDAY($A456,-1,config_Holiday_Calendar_US)),IF(ISNUMBER(_xll.BDH(config!$G$4,R$1,$A456,$A456)),_xll.BDH(config!$G$4,R$1,$A456,$A456),_xll.BDH(config!$G$5,R$1,$A456,$A456))))</f>
        <v>#N/A Requesting Data...</v>
      </c>
      <c r="S456" s="8" t="str">
        <f>IF($A456="","",IF(ISNUMBER(FIND("IMPVOL",S$1)),_xll.BDH(config!$G$4,S$1,WORKDAY($A456,-1,config_Holiday_Calendar_US),WORKDAY($A456,-1,config_Holiday_Calendar_US)),IF(ISNUMBER(_xll.BDH(config!$G$4,S$1,$A456,$A456)),_xll.BDH(config!$G$4,S$1,$A456,$A456),_xll.BDH(config!$G$5,S$1,$A456,$A456))))</f>
        <v>#N/A Requesting Data...</v>
      </c>
      <c r="T456" s="8" t="str">
        <f>IF($A456="","",IF(ISNUMBER(FIND("IMPVOL",T$1)),_xll.BDH(config!$G$4,T$1,WORKDAY($A456,-1,config_Holiday_Calendar_US),WORKDAY($A456,-1,config_Holiday_Calendar_US)),IF(ISNUMBER(_xll.BDH(config!$G$4,T$1,$A456,$A456)),_xll.BDH(config!$G$4,T$1,$A456,$A456),_xll.BDH(config!$G$5,T$1,$A456,$A456))))</f>
        <v>#N/A Requesting Data...</v>
      </c>
      <c r="U456" s="8" t="str">
        <f>IF($A456="","",IF(ISNUMBER(FIND("IMPVOL",U$1)),_xll.BDH(config!$G$4,U$1,WORKDAY($A456,-1,config_Holiday_Calendar_US),WORKDAY($A456,-1,config_Holiday_Calendar_US)),IF(ISNUMBER(_xll.BDH(config!$G$4,U$1,$A456,$A456)),_xll.BDH(config!$G$4,U$1,$A456,$A456),_xll.BDH(config!$G$5,U$1,$A456,$A456))))</f>
        <v>#N/A Requesting Data...</v>
      </c>
      <c r="V456" s="8" t="str">
        <f>IF($A456="","",IF(ISNUMBER(FIND("IMPVOL",V$1)),_xll.BDH(config!$G$4,V$1,WORKDAY($A456,-1,config_Holiday_Calendar_US),WORKDAY($A456,-1,config_Holiday_Calendar_US)),IF(ISNUMBER(_xll.BDH(config!$G$4,V$1,$A456,$A456)),_xll.BDH(config!$G$4,V$1,$A456,$A456),_xll.BDH(config!$G$5,V$1,$A456,$A456))))</f>
        <v>#N/A Requesting Data...</v>
      </c>
      <c r="W456" s="8" t="str">
        <f>IF($A456="","",IF(ISNUMBER(FIND("IMPVOL",W$1)),_xll.BDH(config!$G$4,W$1,WORKDAY($A456,-1,config_Holiday_Calendar_US),WORKDAY($A456,-1,config_Holiday_Calendar_US)),IF(ISNUMBER(_xll.BDH(config!$G$4,W$1,$A456,$A456)),_xll.BDH(config!$G$4,W$1,$A456,$A456),_xll.BDH(config!$G$5,W$1,$A456,$A456))))</f>
        <v>#N/A Requesting Data...</v>
      </c>
    </row>
    <row r="457" spans="1:23" x14ac:dyDescent="0.2">
      <c r="A457" s="9">
        <f>IF(A456="","",IF(WORKDAY(A456,-1,config_Holiday_Calendar_US)&lt;config!$I$10,"",WORKDAY(A456,-1,config_Holiday_Calendar_US)))</f>
        <v>42166</v>
      </c>
      <c r="B457" s="8" t="e">
        <f t="shared" si="7"/>
        <v>#VALUE!</v>
      </c>
      <c r="C457" s="8" t="str">
        <f>IF(A457="","",_xll.BDH(config!$H$4,C$1,$A457,$A457))</f>
        <v>#N/A Requesting Data...</v>
      </c>
      <c r="D457" s="8" t="str">
        <f>IF($A457="","",_xll.BDH(config!$H$4,D$1,$A457,$A457))</f>
        <v>#N/A Requesting Data...</v>
      </c>
      <c r="E457" s="8">
        <f>IF($A457="","",IF(ISNUMBER(FIND("IMPVOL",E$1)),_xll.BDH(config!$G$4,E$1,WORKDAY($A457,-1,config_Holiday_Calendar_US),WORKDAY($A457,-1,config_Holiday_Calendar_US)),IF(ISNUMBER(_xll.BDH(config!$G$4,E$1,$A457,$A457)),_xll.BDH(config!$G$4,E$1,$A457,$A457),_xll.BDH(config!$G$5,E$1,$A457,$A457))))</f>
        <v>61.14</v>
      </c>
      <c r="F457" s="8">
        <f>IF($A457="","",IF(ISNUMBER(FIND("IMPVOL",F$1)),_xll.BDH(config!$G$4,F$1,WORKDAY($A457,-1,config_Holiday_Calendar_US),WORKDAY($A457,-1,config_Holiday_Calendar_US)),IF(ISNUMBER(_xll.BDH(config!$G$4,F$1,$A457,$A457)),_xll.BDH(config!$G$4,F$1,$A457,$A457),_xll.BDH(config!$G$5,F$1,$A457,$A457))))</f>
        <v>61.53</v>
      </c>
      <c r="G457" s="8" t="str">
        <f>IF($A457="","",IF(ISNUMBER(FIND("IMPVOL",G$1)),_xll.BDH(config!$G$4,G$1,WORKDAY($A457,-1,config_Holiday_Calendar_US),WORKDAY($A457,-1,config_Holiday_Calendar_US)),IF(ISNUMBER(_xll.BDH(config!$G$4,G$1,$A457,$A457)),_xll.BDH(config!$G$4,G$1,$A457,$A457),_xll.BDH(config!$G$5,G$1,$A457,$A457))))</f>
        <v>#N/A Requesting Data...</v>
      </c>
      <c r="H457" s="8" t="str">
        <f>IF($A457="","",IF(ISNUMBER(FIND("IMPVOL",H$1)),_xll.BDH(config!$G$4,H$1,WORKDAY($A457,-1,config_Holiday_Calendar_US),WORKDAY($A457,-1,config_Holiday_Calendar_US)),IF(ISNUMBER(_xll.BDH(config!$G$4,H$1,$A457,$A457)),_xll.BDH(config!$G$4,H$1,$A457,$A457),_xll.BDH(config!$G$5,H$1,$A457,$A457))))</f>
        <v>#N/A Requesting Data...</v>
      </c>
      <c r="I457" s="8" t="str">
        <f>IF($A457="","",IF(ISNUMBER(FIND("IMPVOL",I$1)),_xll.BDH(config!$G$4,I$1,WORKDAY($A457,-1,config_Holiday_Calendar_US),WORKDAY($A457,-1,config_Holiday_Calendar_US)),IF(ISNUMBER(_xll.BDH(config!$G$4,I$1,$A457,$A457)),_xll.BDH(config!$G$4,I$1,$A457,$A457),_xll.BDH(config!$G$5,I$1,$A457,$A457))))</f>
        <v>#N/A Requesting Data...</v>
      </c>
      <c r="J457" s="8" t="str">
        <f>IF($A457="","",IF(ISNUMBER(FIND("IMPVOL",J$1)),_xll.BDH(config!$G$4,J$1,WORKDAY($A457,-1,config_Holiday_Calendar_US),WORKDAY($A457,-1,config_Holiday_Calendar_US)),IF(ISNUMBER(_xll.BDH(config!$G$4,J$1,$A457,$A457)),_xll.BDH(config!$G$4,J$1,$A457,$A457),_xll.BDH(config!$G$5,J$1,$A457,$A457))))</f>
        <v>#N/A Requesting Data...</v>
      </c>
      <c r="K457" s="8" t="str">
        <f>IF($A457="","",IF(ISNUMBER(FIND("IMPVOL",K$1)),_xll.BDH(config!$G$4,K$1,WORKDAY($A457,-1,config_Holiday_Calendar_US),WORKDAY($A457,-1,config_Holiday_Calendar_US)),IF(ISNUMBER(_xll.BDH(config!$G$4,K$1,$A457,$A457)),_xll.BDH(config!$G$4,K$1,$A457,$A457),_xll.BDH(config!$G$5,K$1,$A457,$A457))))</f>
        <v>#N/A Requesting Data...</v>
      </c>
      <c r="L457" s="8" t="str">
        <f>IF($A457="","",IF(ISNUMBER(FIND("IMPVOL",L$1)),_xll.BDH(config!$G$4,L$1,WORKDAY($A457,-1,config_Holiday_Calendar_US),WORKDAY($A457,-1,config_Holiday_Calendar_US)),IF(ISNUMBER(_xll.BDH(config!$G$4,L$1,$A457,$A457)),_xll.BDH(config!$G$4,L$1,$A457,$A457),_xll.BDH(config!$G$5,L$1,$A457,$A457))))</f>
        <v>#N/A Requesting Data...</v>
      </c>
      <c r="M457" s="8" t="str">
        <f>IF($A457="","",IF(ISNUMBER(FIND("IMPVOL",M$1)),_xll.BDH(config!$G$4,M$1,WORKDAY($A457,-1,config_Holiday_Calendar_US),WORKDAY($A457,-1,config_Holiday_Calendar_US)),IF(ISNUMBER(_xll.BDH(config!$G$4,M$1,$A457,$A457)),_xll.BDH(config!$G$4,M$1,$A457,$A457),_xll.BDH(config!$G$5,M$1,$A457,$A457))))</f>
        <v>#N/A Requesting Data...</v>
      </c>
      <c r="N457" s="8" t="str">
        <f>IF($A457="","",IF(ISNUMBER(FIND("IMPVOL",N$1)),_xll.BDH(config!$G$4,N$1,WORKDAY($A457,-1,config_Holiday_Calendar_US),WORKDAY($A457,-1,config_Holiday_Calendar_US)),IF(ISNUMBER(_xll.BDH(config!$G$4,N$1,$A457,$A457)),_xll.BDH(config!$G$4,N$1,$A457,$A457),_xll.BDH(config!$G$5,N$1,$A457,$A457))))</f>
        <v>#N/A Requesting Data...</v>
      </c>
      <c r="O457" s="8" t="str">
        <f>IF($A457="","",IF(ISNUMBER(FIND("IMPVOL",O$1)),_xll.BDH(config!$G$4,O$1,WORKDAY($A457,-1,config_Holiday_Calendar_US),WORKDAY($A457,-1,config_Holiday_Calendar_US)),IF(ISNUMBER(_xll.BDH(config!$G$4,O$1,$A457,$A457)),_xll.BDH(config!$G$4,O$1,$A457,$A457),_xll.BDH(config!$G$5,O$1,$A457,$A457))))</f>
        <v>#N/A Requesting Data...</v>
      </c>
      <c r="P457" s="8" t="str">
        <f>IF($A457="","",IF(ISNUMBER(FIND("IMPVOL",P$1)),_xll.BDH(config!$G$4,P$1,WORKDAY($A457,-1,config_Holiday_Calendar_US),WORKDAY($A457,-1,config_Holiday_Calendar_US)),IF(ISNUMBER(_xll.BDH(config!$G$4,P$1,$A457,$A457)),_xll.BDH(config!$G$4,P$1,$A457,$A457),_xll.BDH(config!$G$5,P$1,$A457,$A457))))</f>
        <v>#N/A Requesting Data...</v>
      </c>
      <c r="Q457" s="8" t="str">
        <f>IF($A457="","",IF(ISNUMBER(FIND("IMPVOL",Q$1)),_xll.BDH(config!$G$4,Q$1,WORKDAY($A457,-1,config_Holiday_Calendar_US),WORKDAY($A457,-1,config_Holiday_Calendar_US)),IF(ISNUMBER(_xll.BDH(config!$G$4,Q$1,$A457,$A457)),_xll.BDH(config!$G$4,Q$1,$A457,$A457),_xll.BDH(config!$G$5,Q$1,$A457,$A457))))</f>
        <v>#N/A Requesting Data...</v>
      </c>
      <c r="R457" s="8" t="str">
        <f>IF($A457="","",IF(ISNUMBER(FIND("IMPVOL",R$1)),_xll.BDH(config!$G$4,R$1,WORKDAY($A457,-1,config_Holiday_Calendar_US),WORKDAY($A457,-1,config_Holiday_Calendar_US)),IF(ISNUMBER(_xll.BDH(config!$G$4,R$1,$A457,$A457)),_xll.BDH(config!$G$4,R$1,$A457,$A457),_xll.BDH(config!$G$5,R$1,$A457,$A457))))</f>
        <v>#N/A Requesting Data...</v>
      </c>
      <c r="S457" s="8" t="str">
        <f>IF($A457="","",IF(ISNUMBER(FIND("IMPVOL",S$1)),_xll.BDH(config!$G$4,S$1,WORKDAY($A457,-1,config_Holiday_Calendar_US),WORKDAY($A457,-1,config_Holiday_Calendar_US)),IF(ISNUMBER(_xll.BDH(config!$G$4,S$1,$A457,$A457)),_xll.BDH(config!$G$4,S$1,$A457,$A457),_xll.BDH(config!$G$5,S$1,$A457,$A457))))</f>
        <v>#N/A Requesting Data...</v>
      </c>
      <c r="T457" s="8" t="str">
        <f>IF($A457="","",IF(ISNUMBER(FIND("IMPVOL",T$1)),_xll.BDH(config!$G$4,T$1,WORKDAY($A457,-1,config_Holiday_Calendar_US),WORKDAY($A457,-1,config_Holiday_Calendar_US)),IF(ISNUMBER(_xll.BDH(config!$G$4,T$1,$A457,$A457)),_xll.BDH(config!$G$4,T$1,$A457,$A457),_xll.BDH(config!$G$5,T$1,$A457,$A457))))</f>
        <v>#N/A Requesting Data...</v>
      </c>
      <c r="U457" s="8" t="str">
        <f>IF($A457="","",IF(ISNUMBER(FIND("IMPVOL",U$1)),_xll.BDH(config!$G$4,U$1,WORKDAY($A457,-1,config_Holiday_Calendar_US),WORKDAY($A457,-1,config_Holiday_Calendar_US)),IF(ISNUMBER(_xll.BDH(config!$G$4,U$1,$A457,$A457)),_xll.BDH(config!$G$4,U$1,$A457,$A457),_xll.BDH(config!$G$5,U$1,$A457,$A457))))</f>
        <v>#N/A Requesting Data...</v>
      </c>
      <c r="V457" s="8" t="str">
        <f>IF($A457="","",IF(ISNUMBER(FIND("IMPVOL",V$1)),_xll.BDH(config!$G$4,V$1,WORKDAY($A457,-1,config_Holiday_Calendar_US),WORKDAY($A457,-1,config_Holiday_Calendar_US)),IF(ISNUMBER(_xll.BDH(config!$G$4,V$1,$A457,$A457)),_xll.BDH(config!$G$4,V$1,$A457,$A457),_xll.BDH(config!$G$5,V$1,$A457,$A457))))</f>
        <v>#N/A Requesting Data...</v>
      </c>
      <c r="W457" s="8" t="str">
        <f>IF($A457="","",IF(ISNUMBER(FIND("IMPVOL",W$1)),_xll.BDH(config!$G$4,W$1,WORKDAY($A457,-1,config_Holiday_Calendar_US),WORKDAY($A457,-1,config_Holiday_Calendar_US)),IF(ISNUMBER(_xll.BDH(config!$G$4,W$1,$A457,$A457)),_xll.BDH(config!$G$4,W$1,$A457,$A457),_xll.BDH(config!$G$5,W$1,$A457,$A457))))</f>
        <v>#N/A Requesting Data...</v>
      </c>
    </row>
    <row r="458" spans="1:23" x14ac:dyDescent="0.2">
      <c r="A458" s="9">
        <f>IF(A457="","",IF(WORKDAY(A457,-1,config_Holiday_Calendar_US)&lt;config!$I$10,"",WORKDAY(A457,-1,config_Holiday_Calendar_US)))</f>
        <v>42165</v>
      </c>
      <c r="B458" s="8" t="e">
        <f t="shared" si="7"/>
        <v>#VALUE!</v>
      </c>
      <c r="C458" s="8" t="str">
        <f>IF(A458="","",_xll.BDH(config!$H$4,C$1,$A458,$A458))</f>
        <v>#N/A Requesting Data...</v>
      </c>
      <c r="D458" s="8" t="str">
        <f>IF($A458="","",_xll.BDH(config!$H$4,D$1,$A458,$A458))</f>
        <v>#N/A Requesting Data...</v>
      </c>
      <c r="E458" s="8">
        <f>IF($A458="","",IF(ISNUMBER(FIND("IMPVOL",E$1)),_xll.BDH(config!$G$4,E$1,WORKDAY($A458,-1,config_Holiday_Calendar_US),WORKDAY($A458,-1,config_Holiday_Calendar_US)),IF(ISNUMBER(_xll.BDH(config!$G$4,E$1,$A458,$A458)),_xll.BDH(config!$G$4,E$1,$A458,$A458),_xll.BDH(config!$G$5,E$1,$A458,$A458))))</f>
        <v>60.58</v>
      </c>
      <c r="F458" s="8">
        <f>IF($A458="","",IF(ISNUMBER(FIND("IMPVOL",F$1)),_xll.BDH(config!$G$4,F$1,WORKDAY($A458,-1,config_Holiday_Calendar_US),WORKDAY($A458,-1,config_Holiday_Calendar_US)),IF(ISNUMBER(_xll.BDH(config!$G$4,F$1,$A458,$A458)),_xll.BDH(config!$G$4,F$1,$A458,$A458),_xll.BDH(config!$G$5,F$1,$A458,$A458))))</f>
        <v>61.82</v>
      </c>
      <c r="G458" s="8" t="str">
        <f>IF($A458="","",IF(ISNUMBER(FIND("IMPVOL",G$1)),_xll.BDH(config!$G$4,G$1,WORKDAY($A458,-1,config_Holiday_Calendar_US),WORKDAY($A458,-1,config_Holiday_Calendar_US)),IF(ISNUMBER(_xll.BDH(config!$G$4,G$1,$A458,$A458)),_xll.BDH(config!$G$4,G$1,$A458,$A458),_xll.BDH(config!$G$5,G$1,$A458,$A458))))</f>
        <v>#N/A Requesting Data...</v>
      </c>
      <c r="H458" s="8" t="str">
        <f>IF($A458="","",IF(ISNUMBER(FIND("IMPVOL",H$1)),_xll.BDH(config!$G$4,H$1,WORKDAY($A458,-1,config_Holiday_Calendar_US),WORKDAY($A458,-1,config_Holiday_Calendar_US)),IF(ISNUMBER(_xll.BDH(config!$G$4,H$1,$A458,$A458)),_xll.BDH(config!$G$4,H$1,$A458,$A458),_xll.BDH(config!$G$5,H$1,$A458,$A458))))</f>
        <v>#N/A Requesting Data...</v>
      </c>
      <c r="I458" s="8" t="str">
        <f>IF($A458="","",IF(ISNUMBER(FIND("IMPVOL",I$1)),_xll.BDH(config!$G$4,I$1,WORKDAY($A458,-1,config_Holiday_Calendar_US),WORKDAY($A458,-1,config_Holiday_Calendar_US)),IF(ISNUMBER(_xll.BDH(config!$G$4,I$1,$A458,$A458)),_xll.BDH(config!$G$4,I$1,$A458,$A458),_xll.BDH(config!$G$5,I$1,$A458,$A458))))</f>
        <v>#N/A Requesting Data...</v>
      </c>
      <c r="J458" s="8" t="str">
        <f>IF($A458="","",IF(ISNUMBER(FIND("IMPVOL",J$1)),_xll.BDH(config!$G$4,J$1,WORKDAY($A458,-1,config_Holiday_Calendar_US),WORKDAY($A458,-1,config_Holiday_Calendar_US)),IF(ISNUMBER(_xll.BDH(config!$G$4,J$1,$A458,$A458)),_xll.BDH(config!$G$4,J$1,$A458,$A458),_xll.BDH(config!$G$5,J$1,$A458,$A458))))</f>
        <v>#N/A Requesting Data...</v>
      </c>
      <c r="K458" s="8" t="str">
        <f>IF($A458="","",IF(ISNUMBER(FIND("IMPVOL",K$1)),_xll.BDH(config!$G$4,K$1,WORKDAY($A458,-1,config_Holiday_Calendar_US),WORKDAY($A458,-1,config_Holiday_Calendar_US)),IF(ISNUMBER(_xll.BDH(config!$G$4,K$1,$A458,$A458)),_xll.BDH(config!$G$4,K$1,$A458,$A458),_xll.BDH(config!$G$5,K$1,$A458,$A458))))</f>
        <v>#N/A Requesting Data...</v>
      </c>
      <c r="L458" s="8" t="str">
        <f>IF($A458="","",IF(ISNUMBER(FIND("IMPVOL",L$1)),_xll.BDH(config!$G$4,L$1,WORKDAY($A458,-1,config_Holiday_Calendar_US),WORKDAY($A458,-1,config_Holiday_Calendar_US)),IF(ISNUMBER(_xll.BDH(config!$G$4,L$1,$A458,$A458)),_xll.BDH(config!$G$4,L$1,$A458,$A458),_xll.BDH(config!$G$5,L$1,$A458,$A458))))</f>
        <v>#N/A Requesting Data...</v>
      </c>
      <c r="M458" s="8" t="str">
        <f>IF($A458="","",IF(ISNUMBER(FIND("IMPVOL",M$1)),_xll.BDH(config!$G$4,M$1,WORKDAY($A458,-1,config_Holiday_Calendar_US),WORKDAY($A458,-1,config_Holiday_Calendar_US)),IF(ISNUMBER(_xll.BDH(config!$G$4,M$1,$A458,$A458)),_xll.BDH(config!$G$4,M$1,$A458,$A458),_xll.BDH(config!$G$5,M$1,$A458,$A458))))</f>
        <v>#N/A Requesting Data...</v>
      </c>
      <c r="N458" s="8" t="str">
        <f>IF($A458="","",IF(ISNUMBER(FIND("IMPVOL",N$1)),_xll.BDH(config!$G$4,N$1,WORKDAY($A458,-1,config_Holiday_Calendar_US),WORKDAY($A458,-1,config_Holiday_Calendar_US)),IF(ISNUMBER(_xll.BDH(config!$G$4,N$1,$A458,$A458)),_xll.BDH(config!$G$4,N$1,$A458,$A458),_xll.BDH(config!$G$5,N$1,$A458,$A458))))</f>
        <v>#N/A Requesting Data...</v>
      </c>
      <c r="O458" s="8" t="str">
        <f>IF($A458="","",IF(ISNUMBER(FIND("IMPVOL",O$1)),_xll.BDH(config!$G$4,O$1,WORKDAY($A458,-1,config_Holiday_Calendar_US),WORKDAY($A458,-1,config_Holiday_Calendar_US)),IF(ISNUMBER(_xll.BDH(config!$G$4,O$1,$A458,$A458)),_xll.BDH(config!$G$4,O$1,$A458,$A458),_xll.BDH(config!$G$5,O$1,$A458,$A458))))</f>
        <v>#N/A Requesting Data...</v>
      </c>
      <c r="P458" s="8" t="str">
        <f>IF($A458="","",IF(ISNUMBER(FIND("IMPVOL",P$1)),_xll.BDH(config!$G$4,P$1,WORKDAY($A458,-1,config_Holiday_Calendar_US),WORKDAY($A458,-1,config_Holiday_Calendar_US)),IF(ISNUMBER(_xll.BDH(config!$G$4,P$1,$A458,$A458)),_xll.BDH(config!$G$4,P$1,$A458,$A458),_xll.BDH(config!$G$5,P$1,$A458,$A458))))</f>
        <v>#N/A Requesting Data...</v>
      </c>
      <c r="Q458" s="8" t="str">
        <f>IF($A458="","",IF(ISNUMBER(FIND("IMPVOL",Q$1)),_xll.BDH(config!$G$4,Q$1,WORKDAY($A458,-1,config_Holiday_Calendar_US),WORKDAY($A458,-1,config_Holiday_Calendar_US)),IF(ISNUMBER(_xll.BDH(config!$G$4,Q$1,$A458,$A458)),_xll.BDH(config!$G$4,Q$1,$A458,$A458),_xll.BDH(config!$G$5,Q$1,$A458,$A458))))</f>
        <v>#N/A Requesting Data...</v>
      </c>
      <c r="R458" s="8" t="str">
        <f>IF($A458="","",IF(ISNUMBER(FIND("IMPVOL",R$1)),_xll.BDH(config!$G$4,R$1,WORKDAY($A458,-1,config_Holiday_Calendar_US),WORKDAY($A458,-1,config_Holiday_Calendar_US)),IF(ISNUMBER(_xll.BDH(config!$G$4,R$1,$A458,$A458)),_xll.BDH(config!$G$4,R$1,$A458,$A458),_xll.BDH(config!$G$5,R$1,$A458,$A458))))</f>
        <v>#N/A Requesting Data...</v>
      </c>
      <c r="S458" s="8" t="str">
        <f>IF($A458="","",IF(ISNUMBER(FIND("IMPVOL",S$1)),_xll.BDH(config!$G$4,S$1,WORKDAY($A458,-1,config_Holiday_Calendar_US),WORKDAY($A458,-1,config_Holiday_Calendar_US)),IF(ISNUMBER(_xll.BDH(config!$G$4,S$1,$A458,$A458)),_xll.BDH(config!$G$4,S$1,$A458,$A458),_xll.BDH(config!$G$5,S$1,$A458,$A458))))</f>
        <v>#N/A Requesting Data...</v>
      </c>
      <c r="T458" s="8" t="str">
        <f>IF($A458="","",IF(ISNUMBER(FIND("IMPVOL",T$1)),_xll.BDH(config!$G$4,T$1,WORKDAY($A458,-1,config_Holiday_Calendar_US),WORKDAY($A458,-1,config_Holiday_Calendar_US)),IF(ISNUMBER(_xll.BDH(config!$G$4,T$1,$A458,$A458)),_xll.BDH(config!$G$4,T$1,$A458,$A458),_xll.BDH(config!$G$5,T$1,$A458,$A458))))</f>
        <v>#N/A Requesting Data...</v>
      </c>
      <c r="U458" s="8" t="str">
        <f>IF($A458="","",IF(ISNUMBER(FIND("IMPVOL",U$1)),_xll.BDH(config!$G$4,U$1,WORKDAY($A458,-1,config_Holiday_Calendar_US),WORKDAY($A458,-1,config_Holiday_Calendar_US)),IF(ISNUMBER(_xll.BDH(config!$G$4,U$1,$A458,$A458)),_xll.BDH(config!$G$4,U$1,$A458,$A458),_xll.BDH(config!$G$5,U$1,$A458,$A458))))</f>
        <v>#N/A Requesting Data...</v>
      </c>
      <c r="V458" s="8" t="str">
        <f>IF($A458="","",IF(ISNUMBER(FIND("IMPVOL",V$1)),_xll.BDH(config!$G$4,V$1,WORKDAY($A458,-1,config_Holiday_Calendar_US),WORKDAY($A458,-1,config_Holiday_Calendar_US)),IF(ISNUMBER(_xll.BDH(config!$G$4,V$1,$A458,$A458)),_xll.BDH(config!$G$4,V$1,$A458,$A458),_xll.BDH(config!$G$5,V$1,$A458,$A458))))</f>
        <v>#N/A Requesting Data...</v>
      </c>
      <c r="W458" s="8" t="str">
        <f>IF($A458="","",IF(ISNUMBER(FIND("IMPVOL",W$1)),_xll.BDH(config!$G$4,W$1,WORKDAY($A458,-1,config_Holiday_Calendar_US),WORKDAY($A458,-1,config_Holiday_Calendar_US)),IF(ISNUMBER(_xll.BDH(config!$G$4,W$1,$A458,$A458)),_xll.BDH(config!$G$4,W$1,$A458,$A458),_xll.BDH(config!$G$5,W$1,$A458,$A458))))</f>
        <v>#N/A Requesting Data...</v>
      </c>
    </row>
    <row r="459" spans="1:23" x14ac:dyDescent="0.2">
      <c r="A459" s="9">
        <f>IF(A458="","",IF(WORKDAY(A458,-1,config_Holiday_Calendar_US)&lt;config!$I$10,"",WORKDAY(A458,-1,config_Holiday_Calendar_US)))</f>
        <v>42164</v>
      </c>
      <c r="B459" s="8" t="e">
        <f t="shared" si="7"/>
        <v>#VALUE!</v>
      </c>
      <c r="C459" s="8" t="str">
        <f>IF(A459="","",_xll.BDH(config!$H$4,C$1,$A459,$A459))</f>
        <v>#N/A Requesting Data...</v>
      </c>
      <c r="D459" s="8" t="str">
        <f>IF($A459="","",_xll.BDH(config!$H$4,D$1,$A459,$A459))</f>
        <v>#N/A Requesting Data...</v>
      </c>
      <c r="E459" s="8">
        <f>IF($A459="","",IF(ISNUMBER(FIND("IMPVOL",E$1)),_xll.BDH(config!$G$4,E$1,WORKDAY($A459,-1,config_Holiday_Calendar_US),WORKDAY($A459,-1,config_Holiday_Calendar_US)),IF(ISNUMBER(_xll.BDH(config!$G$4,E$1,$A459,$A459)),_xll.BDH(config!$G$4,E$1,$A459,$A459),_xll.BDH(config!$G$5,E$1,$A459,$A459))))</f>
        <v>58.31</v>
      </c>
      <c r="F459" s="8">
        <f>IF($A459="","",IF(ISNUMBER(FIND("IMPVOL",F$1)),_xll.BDH(config!$G$4,F$1,WORKDAY($A459,-1,config_Holiday_Calendar_US),WORKDAY($A459,-1,config_Holiday_Calendar_US)),IF(ISNUMBER(_xll.BDH(config!$G$4,F$1,$A459,$A459)),_xll.BDH(config!$G$4,F$1,$A459,$A459),_xll.BDH(config!$G$5,F$1,$A459,$A459))))</f>
        <v>60.68</v>
      </c>
      <c r="G459" s="8" t="str">
        <f>IF($A459="","",IF(ISNUMBER(FIND("IMPVOL",G$1)),_xll.BDH(config!$G$4,G$1,WORKDAY($A459,-1,config_Holiday_Calendar_US),WORKDAY($A459,-1,config_Holiday_Calendar_US)),IF(ISNUMBER(_xll.BDH(config!$G$4,G$1,$A459,$A459)),_xll.BDH(config!$G$4,G$1,$A459,$A459),_xll.BDH(config!$G$5,G$1,$A459,$A459))))</f>
        <v>#N/A Requesting Data...</v>
      </c>
      <c r="H459" s="8" t="str">
        <f>IF($A459="","",IF(ISNUMBER(FIND("IMPVOL",H$1)),_xll.BDH(config!$G$4,H$1,WORKDAY($A459,-1,config_Holiday_Calendar_US),WORKDAY($A459,-1,config_Holiday_Calendar_US)),IF(ISNUMBER(_xll.BDH(config!$G$4,H$1,$A459,$A459)),_xll.BDH(config!$G$4,H$1,$A459,$A459),_xll.BDH(config!$G$5,H$1,$A459,$A459))))</f>
        <v>#N/A Requesting Data...</v>
      </c>
      <c r="I459" s="8" t="str">
        <f>IF($A459="","",IF(ISNUMBER(FIND("IMPVOL",I$1)),_xll.BDH(config!$G$4,I$1,WORKDAY($A459,-1,config_Holiday_Calendar_US),WORKDAY($A459,-1,config_Holiday_Calendar_US)),IF(ISNUMBER(_xll.BDH(config!$G$4,I$1,$A459,$A459)),_xll.BDH(config!$G$4,I$1,$A459,$A459),_xll.BDH(config!$G$5,I$1,$A459,$A459))))</f>
        <v>#N/A Requesting Data...</v>
      </c>
      <c r="J459" s="8" t="str">
        <f>IF($A459="","",IF(ISNUMBER(FIND("IMPVOL",J$1)),_xll.BDH(config!$G$4,J$1,WORKDAY($A459,-1,config_Holiday_Calendar_US),WORKDAY($A459,-1,config_Holiday_Calendar_US)),IF(ISNUMBER(_xll.BDH(config!$G$4,J$1,$A459,$A459)),_xll.BDH(config!$G$4,J$1,$A459,$A459),_xll.BDH(config!$G$5,J$1,$A459,$A459))))</f>
        <v>#N/A Requesting Data...</v>
      </c>
      <c r="K459" s="8" t="str">
        <f>IF($A459="","",IF(ISNUMBER(FIND("IMPVOL",K$1)),_xll.BDH(config!$G$4,K$1,WORKDAY($A459,-1,config_Holiday_Calendar_US),WORKDAY($A459,-1,config_Holiday_Calendar_US)),IF(ISNUMBER(_xll.BDH(config!$G$4,K$1,$A459,$A459)),_xll.BDH(config!$G$4,K$1,$A459,$A459),_xll.BDH(config!$G$5,K$1,$A459,$A459))))</f>
        <v>#N/A Requesting Data...</v>
      </c>
      <c r="L459" s="8" t="str">
        <f>IF($A459="","",IF(ISNUMBER(FIND("IMPVOL",L$1)),_xll.BDH(config!$G$4,L$1,WORKDAY($A459,-1,config_Holiday_Calendar_US),WORKDAY($A459,-1,config_Holiday_Calendar_US)),IF(ISNUMBER(_xll.BDH(config!$G$4,L$1,$A459,$A459)),_xll.BDH(config!$G$4,L$1,$A459,$A459),_xll.BDH(config!$G$5,L$1,$A459,$A459))))</f>
        <v>#N/A Requesting Data...</v>
      </c>
      <c r="M459" s="8" t="str">
        <f>IF($A459="","",IF(ISNUMBER(FIND("IMPVOL",M$1)),_xll.BDH(config!$G$4,M$1,WORKDAY($A459,-1,config_Holiday_Calendar_US),WORKDAY($A459,-1,config_Holiday_Calendar_US)),IF(ISNUMBER(_xll.BDH(config!$G$4,M$1,$A459,$A459)),_xll.BDH(config!$G$4,M$1,$A459,$A459),_xll.BDH(config!$G$5,M$1,$A459,$A459))))</f>
        <v>#N/A Requesting Data...</v>
      </c>
      <c r="N459" s="8" t="str">
        <f>IF($A459="","",IF(ISNUMBER(FIND("IMPVOL",N$1)),_xll.BDH(config!$G$4,N$1,WORKDAY($A459,-1,config_Holiday_Calendar_US),WORKDAY($A459,-1,config_Holiday_Calendar_US)),IF(ISNUMBER(_xll.BDH(config!$G$4,N$1,$A459,$A459)),_xll.BDH(config!$G$4,N$1,$A459,$A459),_xll.BDH(config!$G$5,N$1,$A459,$A459))))</f>
        <v>#N/A Requesting Data...</v>
      </c>
      <c r="O459" s="8" t="str">
        <f>IF($A459="","",IF(ISNUMBER(FIND("IMPVOL",O$1)),_xll.BDH(config!$G$4,O$1,WORKDAY($A459,-1,config_Holiday_Calendar_US),WORKDAY($A459,-1,config_Holiday_Calendar_US)),IF(ISNUMBER(_xll.BDH(config!$G$4,O$1,$A459,$A459)),_xll.BDH(config!$G$4,O$1,$A459,$A459),_xll.BDH(config!$G$5,O$1,$A459,$A459))))</f>
        <v>#N/A Requesting Data...</v>
      </c>
      <c r="P459" s="8" t="str">
        <f>IF($A459="","",IF(ISNUMBER(FIND("IMPVOL",P$1)),_xll.BDH(config!$G$4,P$1,WORKDAY($A459,-1,config_Holiday_Calendar_US),WORKDAY($A459,-1,config_Holiday_Calendar_US)),IF(ISNUMBER(_xll.BDH(config!$G$4,P$1,$A459,$A459)),_xll.BDH(config!$G$4,P$1,$A459,$A459),_xll.BDH(config!$G$5,P$1,$A459,$A459))))</f>
        <v>#N/A Requesting Data...</v>
      </c>
      <c r="Q459" s="8" t="str">
        <f>IF($A459="","",IF(ISNUMBER(FIND("IMPVOL",Q$1)),_xll.BDH(config!$G$4,Q$1,WORKDAY($A459,-1,config_Holiday_Calendar_US),WORKDAY($A459,-1,config_Holiday_Calendar_US)),IF(ISNUMBER(_xll.BDH(config!$G$4,Q$1,$A459,$A459)),_xll.BDH(config!$G$4,Q$1,$A459,$A459),_xll.BDH(config!$G$5,Q$1,$A459,$A459))))</f>
        <v>#N/A Requesting Data...</v>
      </c>
      <c r="R459" s="8" t="str">
        <f>IF($A459="","",IF(ISNUMBER(FIND("IMPVOL",R$1)),_xll.BDH(config!$G$4,R$1,WORKDAY($A459,-1,config_Holiday_Calendar_US),WORKDAY($A459,-1,config_Holiday_Calendar_US)),IF(ISNUMBER(_xll.BDH(config!$G$4,R$1,$A459,$A459)),_xll.BDH(config!$G$4,R$1,$A459,$A459),_xll.BDH(config!$G$5,R$1,$A459,$A459))))</f>
        <v>#N/A Requesting Data...</v>
      </c>
      <c r="S459" s="8" t="str">
        <f>IF($A459="","",IF(ISNUMBER(FIND("IMPVOL",S$1)),_xll.BDH(config!$G$4,S$1,WORKDAY($A459,-1,config_Holiday_Calendar_US),WORKDAY($A459,-1,config_Holiday_Calendar_US)),IF(ISNUMBER(_xll.BDH(config!$G$4,S$1,$A459,$A459)),_xll.BDH(config!$G$4,S$1,$A459,$A459),_xll.BDH(config!$G$5,S$1,$A459,$A459))))</f>
        <v>#N/A Requesting Data...</v>
      </c>
      <c r="T459" s="8" t="str">
        <f>IF($A459="","",IF(ISNUMBER(FIND("IMPVOL",T$1)),_xll.BDH(config!$G$4,T$1,WORKDAY($A459,-1,config_Holiday_Calendar_US),WORKDAY($A459,-1,config_Holiday_Calendar_US)),IF(ISNUMBER(_xll.BDH(config!$G$4,T$1,$A459,$A459)),_xll.BDH(config!$G$4,T$1,$A459,$A459),_xll.BDH(config!$G$5,T$1,$A459,$A459))))</f>
        <v>#N/A Requesting Data...</v>
      </c>
      <c r="U459" s="8" t="str">
        <f>IF($A459="","",IF(ISNUMBER(FIND("IMPVOL",U$1)),_xll.BDH(config!$G$4,U$1,WORKDAY($A459,-1,config_Holiday_Calendar_US),WORKDAY($A459,-1,config_Holiday_Calendar_US)),IF(ISNUMBER(_xll.BDH(config!$G$4,U$1,$A459,$A459)),_xll.BDH(config!$G$4,U$1,$A459,$A459),_xll.BDH(config!$G$5,U$1,$A459,$A459))))</f>
        <v>#N/A Requesting Data...</v>
      </c>
      <c r="V459" s="8" t="str">
        <f>IF($A459="","",IF(ISNUMBER(FIND("IMPVOL",V$1)),_xll.BDH(config!$G$4,V$1,WORKDAY($A459,-1,config_Holiday_Calendar_US),WORKDAY($A459,-1,config_Holiday_Calendar_US)),IF(ISNUMBER(_xll.BDH(config!$G$4,V$1,$A459,$A459)),_xll.BDH(config!$G$4,V$1,$A459,$A459),_xll.BDH(config!$G$5,V$1,$A459,$A459))))</f>
        <v>#N/A Requesting Data...</v>
      </c>
      <c r="W459" s="8" t="str">
        <f>IF($A459="","",IF(ISNUMBER(FIND("IMPVOL",W$1)),_xll.BDH(config!$G$4,W$1,WORKDAY($A459,-1,config_Holiday_Calendar_US),WORKDAY($A459,-1,config_Holiday_Calendar_US)),IF(ISNUMBER(_xll.BDH(config!$G$4,W$1,$A459,$A459)),_xll.BDH(config!$G$4,W$1,$A459,$A459),_xll.BDH(config!$G$5,W$1,$A459,$A459))))</f>
        <v>#N/A Requesting Data...</v>
      </c>
    </row>
    <row r="460" spans="1:23" x14ac:dyDescent="0.2">
      <c r="A460" s="9">
        <f>IF(A459="","",IF(WORKDAY(A459,-1,config_Holiday_Calendar_US)&lt;config!$I$10,"",WORKDAY(A459,-1,config_Holiday_Calendar_US)))</f>
        <v>42163</v>
      </c>
      <c r="B460" s="8" t="e">
        <f t="shared" si="7"/>
        <v>#VALUE!</v>
      </c>
      <c r="C460" s="8" t="str">
        <f>IF(A460="","",_xll.BDH(config!$H$4,C$1,$A460,$A460))</f>
        <v>#N/A Requesting Data...</v>
      </c>
      <c r="D460" s="8" t="str">
        <f>IF($A460="","",_xll.BDH(config!$H$4,D$1,$A460,$A460))</f>
        <v>#N/A Requesting Data...</v>
      </c>
      <c r="E460" s="8">
        <f>IF($A460="","",IF(ISNUMBER(FIND("IMPVOL",E$1)),_xll.BDH(config!$G$4,E$1,WORKDAY($A460,-1,config_Holiday_Calendar_US),WORKDAY($A460,-1,config_Holiday_Calendar_US)),IF(ISNUMBER(_xll.BDH(config!$G$4,E$1,$A460,$A460)),_xll.BDH(config!$G$4,E$1,$A460,$A460),_xll.BDH(config!$G$5,E$1,$A460,$A460))))</f>
        <v>58.96</v>
      </c>
      <c r="F460" s="8">
        <f>IF($A460="","",IF(ISNUMBER(FIND("IMPVOL",F$1)),_xll.BDH(config!$G$4,F$1,WORKDAY($A460,-1,config_Holiday_Calendar_US),WORKDAY($A460,-1,config_Holiday_Calendar_US)),IF(ISNUMBER(_xll.BDH(config!$G$4,F$1,$A460,$A460)),_xll.BDH(config!$G$4,F$1,$A460,$A460),_xll.BDH(config!$G$5,F$1,$A460,$A460))))</f>
        <v>59.13</v>
      </c>
      <c r="G460" s="8" t="str">
        <f>IF($A460="","",IF(ISNUMBER(FIND("IMPVOL",G$1)),_xll.BDH(config!$G$4,G$1,WORKDAY($A460,-1,config_Holiday_Calendar_US),WORKDAY($A460,-1,config_Holiday_Calendar_US)),IF(ISNUMBER(_xll.BDH(config!$G$4,G$1,$A460,$A460)),_xll.BDH(config!$G$4,G$1,$A460,$A460),_xll.BDH(config!$G$5,G$1,$A460,$A460))))</f>
        <v>#N/A Requesting Data...</v>
      </c>
      <c r="H460" s="8" t="str">
        <f>IF($A460="","",IF(ISNUMBER(FIND("IMPVOL",H$1)),_xll.BDH(config!$G$4,H$1,WORKDAY($A460,-1,config_Holiday_Calendar_US),WORKDAY($A460,-1,config_Holiday_Calendar_US)),IF(ISNUMBER(_xll.BDH(config!$G$4,H$1,$A460,$A460)),_xll.BDH(config!$G$4,H$1,$A460,$A460),_xll.BDH(config!$G$5,H$1,$A460,$A460))))</f>
        <v>#N/A Requesting Data...</v>
      </c>
      <c r="I460" s="8" t="str">
        <f>IF($A460="","",IF(ISNUMBER(FIND("IMPVOL",I$1)),_xll.BDH(config!$G$4,I$1,WORKDAY($A460,-1,config_Holiday_Calendar_US),WORKDAY($A460,-1,config_Holiday_Calendar_US)),IF(ISNUMBER(_xll.BDH(config!$G$4,I$1,$A460,$A460)),_xll.BDH(config!$G$4,I$1,$A460,$A460),_xll.BDH(config!$G$5,I$1,$A460,$A460))))</f>
        <v>#N/A Requesting Data...</v>
      </c>
      <c r="J460" s="8" t="str">
        <f>IF($A460="","",IF(ISNUMBER(FIND("IMPVOL",J$1)),_xll.BDH(config!$G$4,J$1,WORKDAY($A460,-1,config_Holiday_Calendar_US),WORKDAY($A460,-1,config_Holiday_Calendar_US)),IF(ISNUMBER(_xll.BDH(config!$G$4,J$1,$A460,$A460)),_xll.BDH(config!$G$4,J$1,$A460,$A460),_xll.BDH(config!$G$5,J$1,$A460,$A460))))</f>
        <v>#N/A Requesting Data...</v>
      </c>
      <c r="K460" s="8" t="str">
        <f>IF($A460="","",IF(ISNUMBER(FIND("IMPVOL",K$1)),_xll.BDH(config!$G$4,K$1,WORKDAY($A460,-1,config_Holiday_Calendar_US),WORKDAY($A460,-1,config_Holiday_Calendar_US)),IF(ISNUMBER(_xll.BDH(config!$G$4,K$1,$A460,$A460)),_xll.BDH(config!$G$4,K$1,$A460,$A460),_xll.BDH(config!$G$5,K$1,$A460,$A460))))</f>
        <v>#N/A Requesting Data...</v>
      </c>
      <c r="L460" s="8" t="str">
        <f>IF($A460="","",IF(ISNUMBER(FIND("IMPVOL",L$1)),_xll.BDH(config!$G$4,L$1,WORKDAY($A460,-1,config_Holiday_Calendar_US),WORKDAY($A460,-1,config_Holiday_Calendar_US)),IF(ISNUMBER(_xll.BDH(config!$G$4,L$1,$A460,$A460)),_xll.BDH(config!$G$4,L$1,$A460,$A460),_xll.BDH(config!$G$5,L$1,$A460,$A460))))</f>
        <v>#N/A Requesting Data...</v>
      </c>
      <c r="M460" s="8" t="str">
        <f>IF($A460="","",IF(ISNUMBER(FIND("IMPVOL",M$1)),_xll.BDH(config!$G$4,M$1,WORKDAY($A460,-1,config_Holiday_Calendar_US),WORKDAY($A460,-1,config_Holiday_Calendar_US)),IF(ISNUMBER(_xll.BDH(config!$G$4,M$1,$A460,$A460)),_xll.BDH(config!$G$4,M$1,$A460,$A460),_xll.BDH(config!$G$5,M$1,$A460,$A460))))</f>
        <v>#N/A Requesting Data...</v>
      </c>
      <c r="N460" s="8" t="str">
        <f>IF($A460="","",IF(ISNUMBER(FIND("IMPVOL",N$1)),_xll.BDH(config!$G$4,N$1,WORKDAY($A460,-1,config_Holiday_Calendar_US),WORKDAY($A460,-1,config_Holiday_Calendar_US)),IF(ISNUMBER(_xll.BDH(config!$G$4,N$1,$A460,$A460)),_xll.BDH(config!$G$4,N$1,$A460,$A460),_xll.BDH(config!$G$5,N$1,$A460,$A460))))</f>
        <v>#N/A Requesting Data...</v>
      </c>
      <c r="O460" s="8" t="str">
        <f>IF($A460="","",IF(ISNUMBER(FIND("IMPVOL",O$1)),_xll.BDH(config!$G$4,O$1,WORKDAY($A460,-1,config_Holiday_Calendar_US),WORKDAY($A460,-1,config_Holiday_Calendar_US)),IF(ISNUMBER(_xll.BDH(config!$G$4,O$1,$A460,$A460)),_xll.BDH(config!$G$4,O$1,$A460,$A460),_xll.BDH(config!$G$5,O$1,$A460,$A460))))</f>
        <v>#N/A Requesting Data...</v>
      </c>
      <c r="P460" s="8" t="str">
        <f>IF($A460="","",IF(ISNUMBER(FIND("IMPVOL",P$1)),_xll.BDH(config!$G$4,P$1,WORKDAY($A460,-1,config_Holiday_Calendar_US),WORKDAY($A460,-1,config_Holiday_Calendar_US)),IF(ISNUMBER(_xll.BDH(config!$G$4,P$1,$A460,$A460)),_xll.BDH(config!$G$4,P$1,$A460,$A460),_xll.BDH(config!$G$5,P$1,$A460,$A460))))</f>
        <v>#N/A Requesting Data...</v>
      </c>
      <c r="Q460" s="8" t="str">
        <f>IF($A460="","",IF(ISNUMBER(FIND("IMPVOL",Q$1)),_xll.BDH(config!$G$4,Q$1,WORKDAY($A460,-1,config_Holiday_Calendar_US),WORKDAY($A460,-1,config_Holiday_Calendar_US)),IF(ISNUMBER(_xll.BDH(config!$G$4,Q$1,$A460,$A460)),_xll.BDH(config!$G$4,Q$1,$A460,$A460),_xll.BDH(config!$G$5,Q$1,$A460,$A460))))</f>
        <v>#N/A Requesting Data...</v>
      </c>
      <c r="R460" s="8" t="str">
        <f>IF($A460="","",IF(ISNUMBER(FIND("IMPVOL",R$1)),_xll.BDH(config!$G$4,R$1,WORKDAY($A460,-1,config_Holiday_Calendar_US),WORKDAY($A460,-1,config_Holiday_Calendar_US)),IF(ISNUMBER(_xll.BDH(config!$G$4,R$1,$A460,$A460)),_xll.BDH(config!$G$4,R$1,$A460,$A460),_xll.BDH(config!$G$5,R$1,$A460,$A460))))</f>
        <v>#N/A Requesting Data...</v>
      </c>
      <c r="S460" s="8" t="str">
        <f>IF($A460="","",IF(ISNUMBER(FIND("IMPVOL",S$1)),_xll.BDH(config!$G$4,S$1,WORKDAY($A460,-1,config_Holiday_Calendar_US),WORKDAY($A460,-1,config_Holiday_Calendar_US)),IF(ISNUMBER(_xll.BDH(config!$G$4,S$1,$A460,$A460)),_xll.BDH(config!$G$4,S$1,$A460,$A460),_xll.BDH(config!$G$5,S$1,$A460,$A460))))</f>
        <v>#N/A Requesting Data...</v>
      </c>
      <c r="T460" s="8" t="str">
        <f>IF($A460="","",IF(ISNUMBER(FIND("IMPVOL",T$1)),_xll.BDH(config!$G$4,T$1,WORKDAY($A460,-1,config_Holiday_Calendar_US),WORKDAY($A460,-1,config_Holiday_Calendar_US)),IF(ISNUMBER(_xll.BDH(config!$G$4,T$1,$A460,$A460)),_xll.BDH(config!$G$4,T$1,$A460,$A460),_xll.BDH(config!$G$5,T$1,$A460,$A460))))</f>
        <v>#N/A Requesting Data...</v>
      </c>
      <c r="U460" s="8" t="str">
        <f>IF($A460="","",IF(ISNUMBER(FIND("IMPVOL",U$1)),_xll.BDH(config!$G$4,U$1,WORKDAY($A460,-1,config_Holiday_Calendar_US),WORKDAY($A460,-1,config_Holiday_Calendar_US)),IF(ISNUMBER(_xll.BDH(config!$G$4,U$1,$A460,$A460)),_xll.BDH(config!$G$4,U$1,$A460,$A460),_xll.BDH(config!$G$5,U$1,$A460,$A460))))</f>
        <v>#N/A Requesting Data...</v>
      </c>
      <c r="V460" s="8" t="str">
        <f>IF($A460="","",IF(ISNUMBER(FIND("IMPVOL",V$1)),_xll.BDH(config!$G$4,V$1,WORKDAY($A460,-1,config_Holiday_Calendar_US),WORKDAY($A460,-1,config_Holiday_Calendar_US)),IF(ISNUMBER(_xll.BDH(config!$G$4,V$1,$A460,$A460)),_xll.BDH(config!$G$4,V$1,$A460,$A460),_xll.BDH(config!$G$5,V$1,$A460,$A460))))</f>
        <v>#N/A Requesting Data...</v>
      </c>
      <c r="W460" s="8" t="str">
        <f>IF($A460="","",IF(ISNUMBER(FIND("IMPVOL",W$1)),_xll.BDH(config!$G$4,W$1,WORKDAY($A460,-1,config_Holiday_Calendar_US),WORKDAY($A460,-1,config_Holiday_Calendar_US)),IF(ISNUMBER(_xll.BDH(config!$G$4,W$1,$A460,$A460)),_xll.BDH(config!$G$4,W$1,$A460,$A460),_xll.BDH(config!$G$5,W$1,$A460,$A460))))</f>
        <v>#N/A Requesting Data...</v>
      </c>
    </row>
    <row r="461" spans="1:23" x14ac:dyDescent="0.2">
      <c r="A461" s="9">
        <f>IF(A460="","",IF(WORKDAY(A460,-1,config_Holiday_Calendar_US)&lt;config!$I$10,"",WORKDAY(A460,-1,config_Holiday_Calendar_US)))</f>
        <v>42160</v>
      </c>
      <c r="B461" s="8" t="e">
        <f t="shared" si="7"/>
        <v>#VALUE!</v>
      </c>
      <c r="C461" s="8" t="str">
        <f>IF(A461="","",_xll.BDH(config!$H$4,C$1,$A461,$A461))</f>
        <v>#N/A Requesting Data...</v>
      </c>
      <c r="D461" s="8" t="str">
        <f>IF($A461="","",_xll.BDH(config!$H$4,D$1,$A461,$A461))</f>
        <v>#N/A Requesting Data...</v>
      </c>
      <c r="E461" s="8">
        <f>IF($A461="","",IF(ISNUMBER(FIND("IMPVOL",E$1)),_xll.BDH(config!$G$4,E$1,WORKDAY($A461,-1,config_Holiday_Calendar_US),WORKDAY($A461,-1,config_Holiday_Calendar_US)),IF(ISNUMBER(_xll.BDH(config!$G$4,E$1,$A461,$A461)),_xll.BDH(config!$G$4,E$1,$A461,$A461),_xll.BDH(config!$G$5,E$1,$A461,$A461))))</f>
        <v>57.99</v>
      </c>
      <c r="F461" s="8">
        <f>IF($A461="","",IF(ISNUMBER(FIND("IMPVOL",F$1)),_xll.BDH(config!$G$4,F$1,WORKDAY($A461,-1,config_Holiday_Calendar_US),WORKDAY($A461,-1,config_Holiday_Calendar_US)),IF(ISNUMBER(_xll.BDH(config!$G$4,F$1,$A461,$A461)),_xll.BDH(config!$G$4,F$1,$A461,$A461),_xll.BDH(config!$G$5,F$1,$A461,$A461))))</f>
        <v>59.23</v>
      </c>
      <c r="G461" s="8" t="str">
        <f>IF($A461="","",IF(ISNUMBER(FIND("IMPVOL",G$1)),_xll.BDH(config!$G$4,G$1,WORKDAY($A461,-1,config_Holiday_Calendar_US),WORKDAY($A461,-1,config_Holiday_Calendar_US)),IF(ISNUMBER(_xll.BDH(config!$G$4,G$1,$A461,$A461)),_xll.BDH(config!$G$4,G$1,$A461,$A461),_xll.BDH(config!$G$5,G$1,$A461,$A461))))</f>
        <v>#N/A Requesting Data...</v>
      </c>
      <c r="H461" s="8" t="str">
        <f>IF($A461="","",IF(ISNUMBER(FIND("IMPVOL",H$1)),_xll.BDH(config!$G$4,H$1,WORKDAY($A461,-1,config_Holiday_Calendar_US),WORKDAY($A461,-1,config_Holiday_Calendar_US)),IF(ISNUMBER(_xll.BDH(config!$G$4,H$1,$A461,$A461)),_xll.BDH(config!$G$4,H$1,$A461,$A461),_xll.BDH(config!$G$5,H$1,$A461,$A461))))</f>
        <v>#N/A Requesting Data...</v>
      </c>
      <c r="I461" s="8" t="str">
        <f>IF($A461="","",IF(ISNUMBER(FIND("IMPVOL",I$1)),_xll.BDH(config!$G$4,I$1,WORKDAY($A461,-1,config_Holiday_Calendar_US),WORKDAY($A461,-1,config_Holiday_Calendar_US)),IF(ISNUMBER(_xll.BDH(config!$G$4,I$1,$A461,$A461)),_xll.BDH(config!$G$4,I$1,$A461,$A461),_xll.BDH(config!$G$5,I$1,$A461,$A461))))</f>
        <v>#N/A Requesting Data...</v>
      </c>
      <c r="J461" s="8" t="str">
        <f>IF($A461="","",IF(ISNUMBER(FIND("IMPVOL",J$1)),_xll.BDH(config!$G$4,J$1,WORKDAY($A461,-1,config_Holiday_Calendar_US),WORKDAY($A461,-1,config_Holiday_Calendar_US)),IF(ISNUMBER(_xll.BDH(config!$G$4,J$1,$A461,$A461)),_xll.BDH(config!$G$4,J$1,$A461,$A461),_xll.BDH(config!$G$5,J$1,$A461,$A461))))</f>
        <v>#N/A Requesting Data...</v>
      </c>
      <c r="K461" s="8" t="str">
        <f>IF($A461="","",IF(ISNUMBER(FIND("IMPVOL",K$1)),_xll.BDH(config!$G$4,K$1,WORKDAY($A461,-1,config_Holiday_Calendar_US),WORKDAY($A461,-1,config_Holiday_Calendar_US)),IF(ISNUMBER(_xll.BDH(config!$G$4,K$1,$A461,$A461)),_xll.BDH(config!$G$4,K$1,$A461,$A461),_xll.BDH(config!$G$5,K$1,$A461,$A461))))</f>
        <v>#N/A Requesting Data...</v>
      </c>
      <c r="L461" s="8" t="str">
        <f>IF($A461="","",IF(ISNUMBER(FIND("IMPVOL",L$1)),_xll.BDH(config!$G$4,L$1,WORKDAY($A461,-1,config_Holiday_Calendar_US),WORKDAY($A461,-1,config_Holiday_Calendar_US)),IF(ISNUMBER(_xll.BDH(config!$G$4,L$1,$A461,$A461)),_xll.BDH(config!$G$4,L$1,$A461,$A461),_xll.BDH(config!$G$5,L$1,$A461,$A461))))</f>
        <v>#N/A Requesting Data...</v>
      </c>
      <c r="M461" s="8" t="str">
        <f>IF($A461="","",IF(ISNUMBER(FIND("IMPVOL",M$1)),_xll.BDH(config!$G$4,M$1,WORKDAY($A461,-1,config_Holiday_Calendar_US),WORKDAY($A461,-1,config_Holiday_Calendar_US)),IF(ISNUMBER(_xll.BDH(config!$G$4,M$1,$A461,$A461)),_xll.BDH(config!$G$4,M$1,$A461,$A461),_xll.BDH(config!$G$5,M$1,$A461,$A461))))</f>
        <v>#N/A Requesting Data...</v>
      </c>
      <c r="N461" s="8" t="str">
        <f>IF($A461="","",IF(ISNUMBER(FIND("IMPVOL",N$1)),_xll.BDH(config!$G$4,N$1,WORKDAY($A461,-1,config_Holiday_Calendar_US),WORKDAY($A461,-1,config_Holiday_Calendar_US)),IF(ISNUMBER(_xll.BDH(config!$G$4,N$1,$A461,$A461)),_xll.BDH(config!$G$4,N$1,$A461,$A461),_xll.BDH(config!$G$5,N$1,$A461,$A461))))</f>
        <v>#N/A Requesting Data...</v>
      </c>
      <c r="O461" s="8" t="str">
        <f>IF($A461="","",IF(ISNUMBER(FIND("IMPVOL",O$1)),_xll.BDH(config!$G$4,O$1,WORKDAY($A461,-1,config_Holiday_Calendar_US),WORKDAY($A461,-1,config_Holiday_Calendar_US)),IF(ISNUMBER(_xll.BDH(config!$G$4,O$1,$A461,$A461)),_xll.BDH(config!$G$4,O$1,$A461,$A461),_xll.BDH(config!$G$5,O$1,$A461,$A461))))</f>
        <v>#N/A Requesting Data...</v>
      </c>
      <c r="P461" s="8" t="str">
        <f>IF($A461="","",IF(ISNUMBER(FIND("IMPVOL",P$1)),_xll.BDH(config!$G$4,P$1,WORKDAY($A461,-1,config_Holiday_Calendar_US),WORKDAY($A461,-1,config_Holiday_Calendar_US)),IF(ISNUMBER(_xll.BDH(config!$G$4,P$1,$A461,$A461)),_xll.BDH(config!$G$4,P$1,$A461,$A461),_xll.BDH(config!$G$5,P$1,$A461,$A461))))</f>
        <v>#N/A Requesting Data...</v>
      </c>
      <c r="Q461" s="8" t="str">
        <f>IF($A461="","",IF(ISNUMBER(FIND("IMPVOL",Q$1)),_xll.BDH(config!$G$4,Q$1,WORKDAY($A461,-1,config_Holiday_Calendar_US),WORKDAY($A461,-1,config_Holiday_Calendar_US)),IF(ISNUMBER(_xll.BDH(config!$G$4,Q$1,$A461,$A461)),_xll.BDH(config!$G$4,Q$1,$A461,$A461),_xll.BDH(config!$G$5,Q$1,$A461,$A461))))</f>
        <v>#N/A Requesting Data...</v>
      </c>
      <c r="R461" s="8" t="str">
        <f>IF($A461="","",IF(ISNUMBER(FIND("IMPVOL",R$1)),_xll.BDH(config!$G$4,R$1,WORKDAY($A461,-1,config_Holiday_Calendar_US),WORKDAY($A461,-1,config_Holiday_Calendar_US)),IF(ISNUMBER(_xll.BDH(config!$G$4,R$1,$A461,$A461)),_xll.BDH(config!$G$4,R$1,$A461,$A461),_xll.BDH(config!$G$5,R$1,$A461,$A461))))</f>
        <v>#N/A Requesting Data...</v>
      </c>
      <c r="S461" s="8" t="str">
        <f>IF($A461="","",IF(ISNUMBER(FIND("IMPVOL",S$1)),_xll.BDH(config!$G$4,S$1,WORKDAY($A461,-1,config_Holiday_Calendar_US),WORKDAY($A461,-1,config_Holiday_Calendar_US)),IF(ISNUMBER(_xll.BDH(config!$G$4,S$1,$A461,$A461)),_xll.BDH(config!$G$4,S$1,$A461,$A461),_xll.BDH(config!$G$5,S$1,$A461,$A461))))</f>
        <v>#N/A Requesting Data...</v>
      </c>
      <c r="T461" s="8" t="str">
        <f>IF($A461="","",IF(ISNUMBER(FIND("IMPVOL",T$1)),_xll.BDH(config!$G$4,T$1,WORKDAY($A461,-1,config_Holiday_Calendar_US),WORKDAY($A461,-1,config_Holiday_Calendar_US)),IF(ISNUMBER(_xll.BDH(config!$G$4,T$1,$A461,$A461)),_xll.BDH(config!$G$4,T$1,$A461,$A461),_xll.BDH(config!$G$5,T$1,$A461,$A461))))</f>
        <v>#N/A Requesting Data...</v>
      </c>
      <c r="U461" s="8" t="str">
        <f>IF($A461="","",IF(ISNUMBER(FIND("IMPVOL",U$1)),_xll.BDH(config!$G$4,U$1,WORKDAY($A461,-1,config_Holiday_Calendar_US),WORKDAY($A461,-1,config_Holiday_Calendar_US)),IF(ISNUMBER(_xll.BDH(config!$G$4,U$1,$A461,$A461)),_xll.BDH(config!$G$4,U$1,$A461,$A461),_xll.BDH(config!$G$5,U$1,$A461,$A461))))</f>
        <v>#N/A Requesting Data...</v>
      </c>
      <c r="V461" s="8" t="str">
        <f>IF($A461="","",IF(ISNUMBER(FIND("IMPVOL",V$1)),_xll.BDH(config!$G$4,V$1,WORKDAY($A461,-1,config_Holiday_Calendar_US),WORKDAY($A461,-1,config_Holiday_Calendar_US)),IF(ISNUMBER(_xll.BDH(config!$G$4,V$1,$A461,$A461)),_xll.BDH(config!$G$4,V$1,$A461,$A461),_xll.BDH(config!$G$5,V$1,$A461,$A461))))</f>
        <v>#N/A Requesting Data...</v>
      </c>
      <c r="W461" s="8" t="str">
        <f>IF($A461="","",IF(ISNUMBER(FIND("IMPVOL",W$1)),_xll.BDH(config!$G$4,W$1,WORKDAY($A461,-1,config_Holiday_Calendar_US),WORKDAY($A461,-1,config_Holiday_Calendar_US)),IF(ISNUMBER(_xll.BDH(config!$G$4,W$1,$A461,$A461)),_xll.BDH(config!$G$4,W$1,$A461,$A461),_xll.BDH(config!$G$5,W$1,$A461,$A461))))</f>
        <v>#N/A Requesting Data...</v>
      </c>
    </row>
    <row r="462" spans="1:23" x14ac:dyDescent="0.2">
      <c r="A462" s="9">
        <f>IF(A461="","",IF(WORKDAY(A461,-1,config_Holiday_Calendar_US)&lt;config!$I$10,"",WORKDAY(A461,-1,config_Holiday_Calendar_US)))</f>
        <v>42159</v>
      </c>
      <c r="B462" s="8" t="e">
        <f t="shared" si="7"/>
        <v>#VALUE!</v>
      </c>
      <c r="C462" s="8" t="str">
        <f>IF(A462="","",_xll.BDH(config!$H$4,C$1,$A462,$A462))</f>
        <v>#N/A Requesting Data...</v>
      </c>
      <c r="D462" s="8" t="str">
        <f>IF($A462="","",_xll.BDH(config!$H$4,D$1,$A462,$A462))</f>
        <v>#N/A Requesting Data...</v>
      </c>
      <c r="E462" s="8">
        <f>IF($A462="","",IF(ISNUMBER(FIND("IMPVOL",E$1)),_xll.BDH(config!$G$4,E$1,WORKDAY($A462,-1,config_Holiday_Calendar_US),WORKDAY($A462,-1,config_Holiday_Calendar_US)),IF(ISNUMBER(_xll.BDH(config!$G$4,E$1,$A462,$A462)),_xll.BDH(config!$G$4,E$1,$A462,$A462),_xll.BDH(config!$G$5,E$1,$A462,$A462))))</f>
        <v>59.57</v>
      </c>
      <c r="F462" s="8">
        <f>IF($A462="","",IF(ISNUMBER(FIND("IMPVOL",F$1)),_xll.BDH(config!$G$4,F$1,WORKDAY($A462,-1,config_Holiday_Calendar_US),WORKDAY($A462,-1,config_Holiday_Calendar_US)),IF(ISNUMBER(_xll.BDH(config!$G$4,F$1,$A462,$A462)),_xll.BDH(config!$G$4,F$1,$A462,$A462),_xll.BDH(config!$G$5,F$1,$A462,$A462))))</f>
        <v>59.94</v>
      </c>
      <c r="G462" s="8" t="str">
        <f>IF($A462="","",IF(ISNUMBER(FIND("IMPVOL",G$1)),_xll.BDH(config!$G$4,G$1,WORKDAY($A462,-1,config_Holiday_Calendar_US),WORKDAY($A462,-1,config_Holiday_Calendar_US)),IF(ISNUMBER(_xll.BDH(config!$G$4,G$1,$A462,$A462)),_xll.BDH(config!$G$4,G$1,$A462,$A462),_xll.BDH(config!$G$5,G$1,$A462,$A462))))</f>
        <v>#N/A Requesting Data...</v>
      </c>
      <c r="H462" s="8" t="str">
        <f>IF($A462="","",IF(ISNUMBER(FIND("IMPVOL",H$1)),_xll.BDH(config!$G$4,H$1,WORKDAY($A462,-1,config_Holiday_Calendar_US),WORKDAY($A462,-1,config_Holiday_Calendar_US)),IF(ISNUMBER(_xll.BDH(config!$G$4,H$1,$A462,$A462)),_xll.BDH(config!$G$4,H$1,$A462,$A462),_xll.BDH(config!$G$5,H$1,$A462,$A462))))</f>
        <v>#N/A Requesting Data...</v>
      </c>
      <c r="I462" s="8" t="str">
        <f>IF($A462="","",IF(ISNUMBER(FIND("IMPVOL",I$1)),_xll.BDH(config!$G$4,I$1,WORKDAY($A462,-1,config_Holiday_Calendar_US),WORKDAY($A462,-1,config_Holiday_Calendar_US)),IF(ISNUMBER(_xll.BDH(config!$G$4,I$1,$A462,$A462)),_xll.BDH(config!$G$4,I$1,$A462,$A462),_xll.BDH(config!$G$5,I$1,$A462,$A462))))</f>
        <v>#N/A Requesting Data...</v>
      </c>
      <c r="J462" s="8" t="str">
        <f>IF($A462="","",IF(ISNUMBER(FIND("IMPVOL",J$1)),_xll.BDH(config!$G$4,J$1,WORKDAY($A462,-1,config_Holiday_Calendar_US),WORKDAY($A462,-1,config_Holiday_Calendar_US)),IF(ISNUMBER(_xll.BDH(config!$G$4,J$1,$A462,$A462)),_xll.BDH(config!$G$4,J$1,$A462,$A462),_xll.BDH(config!$G$5,J$1,$A462,$A462))))</f>
        <v>#N/A Requesting Data...</v>
      </c>
      <c r="K462" s="8" t="str">
        <f>IF($A462="","",IF(ISNUMBER(FIND("IMPVOL",K$1)),_xll.BDH(config!$G$4,K$1,WORKDAY($A462,-1,config_Holiday_Calendar_US),WORKDAY($A462,-1,config_Holiday_Calendar_US)),IF(ISNUMBER(_xll.BDH(config!$G$4,K$1,$A462,$A462)),_xll.BDH(config!$G$4,K$1,$A462,$A462),_xll.BDH(config!$G$5,K$1,$A462,$A462))))</f>
        <v>#N/A Requesting Data...</v>
      </c>
      <c r="L462" s="8" t="str">
        <f>IF($A462="","",IF(ISNUMBER(FIND("IMPVOL",L$1)),_xll.BDH(config!$G$4,L$1,WORKDAY($A462,-1,config_Holiday_Calendar_US),WORKDAY($A462,-1,config_Holiday_Calendar_US)),IF(ISNUMBER(_xll.BDH(config!$G$4,L$1,$A462,$A462)),_xll.BDH(config!$G$4,L$1,$A462,$A462),_xll.BDH(config!$G$5,L$1,$A462,$A462))))</f>
        <v>#N/A Requesting Data...</v>
      </c>
      <c r="M462" s="8" t="str">
        <f>IF($A462="","",IF(ISNUMBER(FIND("IMPVOL",M$1)),_xll.BDH(config!$G$4,M$1,WORKDAY($A462,-1,config_Holiday_Calendar_US),WORKDAY($A462,-1,config_Holiday_Calendar_US)),IF(ISNUMBER(_xll.BDH(config!$G$4,M$1,$A462,$A462)),_xll.BDH(config!$G$4,M$1,$A462,$A462),_xll.BDH(config!$G$5,M$1,$A462,$A462))))</f>
        <v>#N/A Requesting Data...</v>
      </c>
      <c r="N462" s="8" t="str">
        <f>IF($A462="","",IF(ISNUMBER(FIND("IMPVOL",N$1)),_xll.BDH(config!$G$4,N$1,WORKDAY($A462,-1,config_Holiday_Calendar_US),WORKDAY($A462,-1,config_Holiday_Calendar_US)),IF(ISNUMBER(_xll.BDH(config!$G$4,N$1,$A462,$A462)),_xll.BDH(config!$G$4,N$1,$A462,$A462),_xll.BDH(config!$G$5,N$1,$A462,$A462))))</f>
        <v>#N/A Requesting Data...</v>
      </c>
      <c r="O462" s="8" t="str">
        <f>IF($A462="","",IF(ISNUMBER(FIND("IMPVOL",O$1)),_xll.BDH(config!$G$4,O$1,WORKDAY($A462,-1,config_Holiday_Calendar_US),WORKDAY($A462,-1,config_Holiday_Calendar_US)),IF(ISNUMBER(_xll.BDH(config!$G$4,O$1,$A462,$A462)),_xll.BDH(config!$G$4,O$1,$A462,$A462),_xll.BDH(config!$G$5,O$1,$A462,$A462))))</f>
        <v>#N/A Requesting Data...</v>
      </c>
      <c r="P462" s="8" t="str">
        <f>IF($A462="","",IF(ISNUMBER(FIND("IMPVOL",P$1)),_xll.BDH(config!$G$4,P$1,WORKDAY($A462,-1,config_Holiday_Calendar_US),WORKDAY($A462,-1,config_Holiday_Calendar_US)),IF(ISNUMBER(_xll.BDH(config!$G$4,P$1,$A462,$A462)),_xll.BDH(config!$G$4,P$1,$A462,$A462),_xll.BDH(config!$G$5,P$1,$A462,$A462))))</f>
        <v>#N/A Requesting Data...</v>
      </c>
      <c r="Q462" s="8" t="str">
        <f>IF($A462="","",IF(ISNUMBER(FIND("IMPVOL",Q$1)),_xll.BDH(config!$G$4,Q$1,WORKDAY($A462,-1,config_Holiday_Calendar_US),WORKDAY($A462,-1,config_Holiday_Calendar_US)),IF(ISNUMBER(_xll.BDH(config!$G$4,Q$1,$A462,$A462)),_xll.BDH(config!$G$4,Q$1,$A462,$A462),_xll.BDH(config!$G$5,Q$1,$A462,$A462))))</f>
        <v>#N/A Requesting Data...</v>
      </c>
      <c r="R462" s="8" t="str">
        <f>IF($A462="","",IF(ISNUMBER(FIND("IMPVOL",R$1)),_xll.BDH(config!$G$4,R$1,WORKDAY($A462,-1,config_Holiday_Calendar_US),WORKDAY($A462,-1,config_Holiday_Calendar_US)),IF(ISNUMBER(_xll.BDH(config!$G$4,R$1,$A462,$A462)),_xll.BDH(config!$G$4,R$1,$A462,$A462),_xll.BDH(config!$G$5,R$1,$A462,$A462))))</f>
        <v>#N/A Requesting Data...</v>
      </c>
      <c r="S462" s="8" t="str">
        <f>IF($A462="","",IF(ISNUMBER(FIND("IMPVOL",S$1)),_xll.BDH(config!$G$4,S$1,WORKDAY($A462,-1,config_Holiday_Calendar_US),WORKDAY($A462,-1,config_Holiday_Calendar_US)),IF(ISNUMBER(_xll.BDH(config!$G$4,S$1,$A462,$A462)),_xll.BDH(config!$G$4,S$1,$A462,$A462),_xll.BDH(config!$G$5,S$1,$A462,$A462))))</f>
        <v>#N/A Requesting Data...</v>
      </c>
      <c r="T462" s="8" t="str">
        <f>IF($A462="","",IF(ISNUMBER(FIND("IMPVOL",T$1)),_xll.BDH(config!$G$4,T$1,WORKDAY($A462,-1,config_Holiday_Calendar_US),WORKDAY($A462,-1,config_Holiday_Calendar_US)),IF(ISNUMBER(_xll.BDH(config!$G$4,T$1,$A462,$A462)),_xll.BDH(config!$G$4,T$1,$A462,$A462),_xll.BDH(config!$G$5,T$1,$A462,$A462))))</f>
        <v>#N/A Requesting Data...</v>
      </c>
      <c r="U462" s="8" t="str">
        <f>IF($A462="","",IF(ISNUMBER(FIND("IMPVOL",U$1)),_xll.BDH(config!$G$4,U$1,WORKDAY($A462,-1,config_Holiday_Calendar_US),WORKDAY($A462,-1,config_Holiday_Calendar_US)),IF(ISNUMBER(_xll.BDH(config!$G$4,U$1,$A462,$A462)),_xll.BDH(config!$G$4,U$1,$A462,$A462),_xll.BDH(config!$G$5,U$1,$A462,$A462))))</f>
        <v>#N/A Requesting Data...</v>
      </c>
      <c r="V462" s="8" t="str">
        <f>IF($A462="","",IF(ISNUMBER(FIND("IMPVOL",V$1)),_xll.BDH(config!$G$4,V$1,WORKDAY($A462,-1,config_Holiday_Calendar_US),WORKDAY($A462,-1,config_Holiday_Calendar_US)),IF(ISNUMBER(_xll.BDH(config!$G$4,V$1,$A462,$A462)),_xll.BDH(config!$G$4,V$1,$A462,$A462),_xll.BDH(config!$G$5,V$1,$A462,$A462))))</f>
        <v>#N/A Requesting Data...</v>
      </c>
      <c r="W462" s="8" t="str">
        <f>IF($A462="","",IF(ISNUMBER(FIND("IMPVOL",W$1)),_xll.BDH(config!$G$4,W$1,WORKDAY($A462,-1,config_Holiday_Calendar_US),WORKDAY($A462,-1,config_Holiday_Calendar_US)),IF(ISNUMBER(_xll.BDH(config!$G$4,W$1,$A462,$A462)),_xll.BDH(config!$G$4,W$1,$A462,$A462),_xll.BDH(config!$G$5,W$1,$A462,$A462))))</f>
        <v>#N/A Requesting Data...</v>
      </c>
    </row>
    <row r="463" spans="1:23" x14ac:dyDescent="0.2">
      <c r="A463" s="9">
        <f>IF(A462="","",IF(WORKDAY(A462,-1,config_Holiday_Calendar_US)&lt;config!$I$10,"",WORKDAY(A462,-1,config_Holiday_Calendar_US)))</f>
        <v>42158</v>
      </c>
      <c r="B463" s="8" t="e">
        <f t="shared" si="7"/>
        <v>#VALUE!</v>
      </c>
      <c r="C463" s="8" t="str">
        <f>IF(A463="","",_xll.BDH(config!$H$4,C$1,$A463,$A463))</f>
        <v>#N/A Requesting Data...</v>
      </c>
      <c r="D463" s="8" t="str">
        <f>IF($A463="","",_xll.BDH(config!$H$4,D$1,$A463,$A463))</f>
        <v>#N/A Requesting Data...</v>
      </c>
      <c r="E463" s="8">
        <f>IF($A463="","",IF(ISNUMBER(FIND("IMPVOL",E$1)),_xll.BDH(config!$G$4,E$1,WORKDAY($A463,-1,config_Holiday_Calendar_US),WORKDAY($A463,-1,config_Holiday_Calendar_US)),IF(ISNUMBER(_xll.BDH(config!$G$4,E$1,$A463,$A463)),_xll.BDH(config!$G$4,E$1,$A463,$A463),_xll.BDH(config!$G$5,E$1,$A463,$A463))))</f>
        <v>61.02</v>
      </c>
      <c r="F463" s="8">
        <f>IF($A463="","",IF(ISNUMBER(FIND("IMPVOL",F$1)),_xll.BDH(config!$G$4,F$1,WORKDAY($A463,-1,config_Holiday_Calendar_US),WORKDAY($A463,-1,config_Holiday_Calendar_US)),IF(ISNUMBER(_xll.BDH(config!$G$4,F$1,$A463,$A463)),_xll.BDH(config!$G$4,F$1,$A463,$A463),_xll.BDH(config!$G$5,F$1,$A463,$A463))))</f>
        <v>61.43</v>
      </c>
      <c r="G463" s="8" t="str">
        <f>IF($A463="","",IF(ISNUMBER(FIND("IMPVOL",G$1)),_xll.BDH(config!$G$4,G$1,WORKDAY($A463,-1,config_Holiday_Calendar_US),WORKDAY($A463,-1,config_Holiday_Calendar_US)),IF(ISNUMBER(_xll.BDH(config!$G$4,G$1,$A463,$A463)),_xll.BDH(config!$G$4,G$1,$A463,$A463),_xll.BDH(config!$G$5,G$1,$A463,$A463))))</f>
        <v>#N/A Requesting Data...</v>
      </c>
      <c r="H463" s="8" t="str">
        <f>IF($A463="","",IF(ISNUMBER(FIND("IMPVOL",H$1)),_xll.BDH(config!$G$4,H$1,WORKDAY($A463,-1,config_Holiday_Calendar_US),WORKDAY($A463,-1,config_Holiday_Calendar_US)),IF(ISNUMBER(_xll.BDH(config!$G$4,H$1,$A463,$A463)),_xll.BDH(config!$G$4,H$1,$A463,$A463),_xll.BDH(config!$G$5,H$1,$A463,$A463))))</f>
        <v>#N/A Requesting Data...</v>
      </c>
      <c r="I463" s="8" t="str">
        <f>IF($A463="","",IF(ISNUMBER(FIND("IMPVOL",I$1)),_xll.BDH(config!$G$4,I$1,WORKDAY($A463,-1,config_Holiday_Calendar_US),WORKDAY($A463,-1,config_Holiday_Calendar_US)),IF(ISNUMBER(_xll.BDH(config!$G$4,I$1,$A463,$A463)),_xll.BDH(config!$G$4,I$1,$A463,$A463),_xll.BDH(config!$G$5,I$1,$A463,$A463))))</f>
        <v>#N/A Requesting Data...</v>
      </c>
      <c r="J463" s="8" t="str">
        <f>IF($A463="","",IF(ISNUMBER(FIND("IMPVOL",J$1)),_xll.BDH(config!$G$4,J$1,WORKDAY($A463,-1,config_Holiday_Calendar_US),WORKDAY($A463,-1,config_Holiday_Calendar_US)),IF(ISNUMBER(_xll.BDH(config!$G$4,J$1,$A463,$A463)),_xll.BDH(config!$G$4,J$1,$A463,$A463),_xll.BDH(config!$G$5,J$1,$A463,$A463))))</f>
        <v>#N/A Requesting Data...</v>
      </c>
      <c r="K463" s="8" t="str">
        <f>IF($A463="","",IF(ISNUMBER(FIND("IMPVOL",K$1)),_xll.BDH(config!$G$4,K$1,WORKDAY($A463,-1,config_Holiday_Calendar_US),WORKDAY($A463,-1,config_Holiday_Calendar_US)),IF(ISNUMBER(_xll.BDH(config!$G$4,K$1,$A463,$A463)),_xll.BDH(config!$G$4,K$1,$A463,$A463),_xll.BDH(config!$G$5,K$1,$A463,$A463))))</f>
        <v>#N/A Requesting Data...</v>
      </c>
      <c r="L463" s="8" t="str">
        <f>IF($A463="","",IF(ISNUMBER(FIND("IMPVOL",L$1)),_xll.BDH(config!$G$4,L$1,WORKDAY($A463,-1,config_Holiday_Calendar_US),WORKDAY($A463,-1,config_Holiday_Calendar_US)),IF(ISNUMBER(_xll.BDH(config!$G$4,L$1,$A463,$A463)),_xll.BDH(config!$G$4,L$1,$A463,$A463),_xll.BDH(config!$G$5,L$1,$A463,$A463))))</f>
        <v>#N/A Requesting Data...</v>
      </c>
      <c r="M463" s="8" t="str">
        <f>IF($A463="","",IF(ISNUMBER(FIND("IMPVOL",M$1)),_xll.BDH(config!$G$4,M$1,WORKDAY($A463,-1,config_Holiday_Calendar_US),WORKDAY($A463,-1,config_Holiday_Calendar_US)),IF(ISNUMBER(_xll.BDH(config!$G$4,M$1,$A463,$A463)),_xll.BDH(config!$G$4,M$1,$A463,$A463),_xll.BDH(config!$G$5,M$1,$A463,$A463))))</f>
        <v>#N/A Requesting Data...</v>
      </c>
      <c r="N463" s="8" t="str">
        <f>IF($A463="","",IF(ISNUMBER(FIND("IMPVOL",N$1)),_xll.BDH(config!$G$4,N$1,WORKDAY($A463,-1,config_Holiday_Calendar_US),WORKDAY($A463,-1,config_Holiday_Calendar_US)),IF(ISNUMBER(_xll.BDH(config!$G$4,N$1,$A463,$A463)),_xll.BDH(config!$G$4,N$1,$A463,$A463),_xll.BDH(config!$G$5,N$1,$A463,$A463))))</f>
        <v>#N/A Requesting Data...</v>
      </c>
      <c r="O463" s="8" t="str">
        <f>IF($A463="","",IF(ISNUMBER(FIND("IMPVOL",O$1)),_xll.BDH(config!$G$4,O$1,WORKDAY($A463,-1,config_Holiday_Calendar_US),WORKDAY($A463,-1,config_Holiday_Calendar_US)),IF(ISNUMBER(_xll.BDH(config!$G$4,O$1,$A463,$A463)),_xll.BDH(config!$G$4,O$1,$A463,$A463),_xll.BDH(config!$G$5,O$1,$A463,$A463))))</f>
        <v>#N/A Requesting Data...</v>
      </c>
      <c r="P463" s="8" t="str">
        <f>IF($A463="","",IF(ISNUMBER(FIND("IMPVOL",P$1)),_xll.BDH(config!$G$4,P$1,WORKDAY($A463,-1,config_Holiday_Calendar_US),WORKDAY($A463,-1,config_Holiday_Calendar_US)),IF(ISNUMBER(_xll.BDH(config!$G$4,P$1,$A463,$A463)),_xll.BDH(config!$G$4,P$1,$A463,$A463),_xll.BDH(config!$G$5,P$1,$A463,$A463))))</f>
        <v>#N/A Requesting Data...</v>
      </c>
      <c r="Q463" s="8" t="str">
        <f>IF($A463="","",IF(ISNUMBER(FIND("IMPVOL",Q$1)),_xll.BDH(config!$G$4,Q$1,WORKDAY($A463,-1,config_Holiday_Calendar_US),WORKDAY($A463,-1,config_Holiday_Calendar_US)),IF(ISNUMBER(_xll.BDH(config!$G$4,Q$1,$A463,$A463)),_xll.BDH(config!$G$4,Q$1,$A463,$A463),_xll.BDH(config!$G$5,Q$1,$A463,$A463))))</f>
        <v>#N/A Requesting Data...</v>
      </c>
      <c r="R463" s="8" t="str">
        <f>IF($A463="","",IF(ISNUMBER(FIND("IMPVOL",R$1)),_xll.BDH(config!$G$4,R$1,WORKDAY($A463,-1,config_Holiday_Calendar_US),WORKDAY($A463,-1,config_Holiday_Calendar_US)),IF(ISNUMBER(_xll.BDH(config!$G$4,R$1,$A463,$A463)),_xll.BDH(config!$G$4,R$1,$A463,$A463),_xll.BDH(config!$G$5,R$1,$A463,$A463))))</f>
        <v>#N/A Requesting Data...</v>
      </c>
      <c r="S463" s="8" t="str">
        <f>IF($A463="","",IF(ISNUMBER(FIND("IMPVOL",S$1)),_xll.BDH(config!$G$4,S$1,WORKDAY($A463,-1,config_Holiday_Calendar_US),WORKDAY($A463,-1,config_Holiday_Calendar_US)),IF(ISNUMBER(_xll.BDH(config!$G$4,S$1,$A463,$A463)),_xll.BDH(config!$G$4,S$1,$A463,$A463),_xll.BDH(config!$G$5,S$1,$A463,$A463))))</f>
        <v>#N/A Requesting Data...</v>
      </c>
      <c r="T463" s="8" t="str">
        <f>IF($A463="","",IF(ISNUMBER(FIND("IMPVOL",T$1)),_xll.BDH(config!$G$4,T$1,WORKDAY($A463,-1,config_Holiday_Calendar_US),WORKDAY($A463,-1,config_Holiday_Calendar_US)),IF(ISNUMBER(_xll.BDH(config!$G$4,T$1,$A463,$A463)),_xll.BDH(config!$G$4,T$1,$A463,$A463),_xll.BDH(config!$G$5,T$1,$A463,$A463))))</f>
        <v>#N/A Requesting Data...</v>
      </c>
      <c r="U463" s="8" t="str">
        <f>IF($A463="","",IF(ISNUMBER(FIND("IMPVOL",U$1)),_xll.BDH(config!$G$4,U$1,WORKDAY($A463,-1,config_Holiday_Calendar_US),WORKDAY($A463,-1,config_Holiday_Calendar_US)),IF(ISNUMBER(_xll.BDH(config!$G$4,U$1,$A463,$A463)),_xll.BDH(config!$G$4,U$1,$A463,$A463),_xll.BDH(config!$G$5,U$1,$A463,$A463))))</f>
        <v>#N/A Requesting Data...</v>
      </c>
      <c r="V463" s="8" t="str">
        <f>IF($A463="","",IF(ISNUMBER(FIND("IMPVOL",V$1)),_xll.BDH(config!$G$4,V$1,WORKDAY($A463,-1,config_Holiday_Calendar_US),WORKDAY($A463,-1,config_Holiday_Calendar_US)),IF(ISNUMBER(_xll.BDH(config!$G$4,V$1,$A463,$A463)),_xll.BDH(config!$G$4,V$1,$A463,$A463),_xll.BDH(config!$G$5,V$1,$A463,$A463))))</f>
        <v>#N/A Requesting Data...</v>
      </c>
      <c r="W463" s="8" t="str">
        <f>IF($A463="","",IF(ISNUMBER(FIND("IMPVOL",W$1)),_xll.BDH(config!$G$4,W$1,WORKDAY($A463,-1,config_Holiday_Calendar_US),WORKDAY($A463,-1,config_Holiday_Calendar_US)),IF(ISNUMBER(_xll.BDH(config!$G$4,W$1,$A463,$A463)),_xll.BDH(config!$G$4,W$1,$A463,$A463),_xll.BDH(config!$G$5,W$1,$A463,$A463))))</f>
        <v>#N/A Requesting Data...</v>
      </c>
    </row>
    <row r="464" spans="1:23" x14ac:dyDescent="0.2">
      <c r="A464" s="9">
        <f>IF(A463="","",IF(WORKDAY(A463,-1,config_Holiday_Calendar_US)&lt;config!$I$10,"",WORKDAY(A463,-1,config_Holiday_Calendar_US)))</f>
        <v>42157</v>
      </c>
      <c r="B464" s="8" t="e">
        <f t="shared" si="7"/>
        <v>#VALUE!</v>
      </c>
      <c r="C464" s="8" t="str">
        <f>IF(A464="","",_xll.BDH(config!$H$4,C$1,$A464,$A464))</f>
        <v>#N/A Requesting Data...</v>
      </c>
      <c r="D464" s="8" t="str">
        <f>IF($A464="","",_xll.BDH(config!$H$4,D$1,$A464,$A464))</f>
        <v>#N/A Requesting Data...</v>
      </c>
      <c r="E464" s="8">
        <f>IF($A464="","",IF(ISNUMBER(FIND("IMPVOL",E$1)),_xll.BDH(config!$G$4,E$1,WORKDAY($A464,-1,config_Holiday_Calendar_US),WORKDAY($A464,-1,config_Holiday_Calendar_US)),IF(ISNUMBER(_xll.BDH(config!$G$4,E$1,$A464,$A464)),_xll.BDH(config!$G$4,E$1,$A464,$A464),_xll.BDH(config!$G$5,E$1,$A464,$A464))))</f>
        <v>60.18</v>
      </c>
      <c r="F464" s="8">
        <f>IF($A464="","",IF(ISNUMBER(FIND("IMPVOL",F$1)),_xll.BDH(config!$G$4,F$1,WORKDAY($A464,-1,config_Holiday_Calendar_US),WORKDAY($A464,-1,config_Holiday_Calendar_US)),IF(ISNUMBER(_xll.BDH(config!$G$4,F$1,$A464,$A464)),_xll.BDH(config!$G$4,F$1,$A464,$A464),_xll.BDH(config!$G$5,F$1,$A464,$A464))))</f>
        <v>61.58</v>
      </c>
      <c r="G464" s="8" t="str">
        <f>IF($A464="","",IF(ISNUMBER(FIND("IMPVOL",G$1)),_xll.BDH(config!$G$4,G$1,WORKDAY($A464,-1,config_Holiday_Calendar_US),WORKDAY($A464,-1,config_Holiday_Calendar_US)),IF(ISNUMBER(_xll.BDH(config!$G$4,G$1,$A464,$A464)),_xll.BDH(config!$G$4,G$1,$A464,$A464),_xll.BDH(config!$G$5,G$1,$A464,$A464))))</f>
        <v>#N/A Requesting Data...</v>
      </c>
      <c r="H464" s="8" t="str">
        <f>IF($A464="","",IF(ISNUMBER(FIND("IMPVOL",H$1)),_xll.BDH(config!$G$4,H$1,WORKDAY($A464,-1,config_Holiday_Calendar_US),WORKDAY($A464,-1,config_Holiday_Calendar_US)),IF(ISNUMBER(_xll.BDH(config!$G$4,H$1,$A464,$A464)),_xll.BDH(config!$G$4,H$1,$A464,$A464),_xll.BDH(config!$G$5,H$1,$A464,$A464))))</f>
        <v>#N/A Requesting Data...</v>
      </c>
      <c r="I464" s="8" t="str">
        <f>IF($A464="","",IF(ISNUMBER(FIND("IMPVOL",I$1)),_xll.BDH(config!$G$4,I$1,WORKDAY($A464,-1,config_Holiday_Calendar_US),WORKDAY($A464,-1,config_Holiday_Calendar_US)),IF(ISNUMBER(_xll.BDH(config!$G$4,I$1,$A464,$A464)),_xll.BDH(config!$G$4,I$1,$A464,$A464),_xll.BDH(config!$G$5,I$1,$A464,$A464))))</f>
        <v>#N/A Requesting Data...</v>
      </c>
      <c r="J464" s="8" t="str">
        <f>IF($A464="","",IF(ISNUMBER(FIND("IMPVOL",J$1)),_xll.BDH(config!$G$4,J$1,WORKDAY($A464,-1,config_Holiday_Calendar_US),WORKDAY($A464,-1,config_Holiday_Calendar_US)),IF(ISNUMBER(_xll.BDH(config!$G$4,J$1,$A464,$A464)),_xll.BDH(config!$G$4,J$1,$A464,$A464),_xll.BDH(config!$G$5,J$1,$A464,$A464))))</f>
        <v>#N/A Requesting Data...</v>
      </c>
      <c r="K464" s="8" t="str">
        <f>IF($A464="","",IF(ISNUMBER(FIND("IMPVOL",K$1)),_xll.BDH(config!$G$4,K$1,WORKDAY($A464,-1,config_Holiday_Calendar_US),WORKDAY($A464,-1,config_Holiday_Calendar_US)),IF(ISNUMBER(_xll.BDH(config!$G$4,K$1,$A464,$A464)),_xll.BDH(config!$G$4,K$1,$A464,$A464),_xll.BDH(config!$G$5,K$1,$A464,$A464))))</f>
        <v>#N/A Requesting Data...</v>
      </c>
      <c r="L464" s="8" t="str">
        <f>IF($A464="","",IF(ISNUMBER(FIND("IMPVOL",L$1)),_xll.BDH(config!$G$4,L$1,WORKDAY($A464,-1,config_Holiday_Calendar_US),WORKDAY($A464,-1,config_Holiday_Calendar_US)),IF(ISNUMBER(_xll.BDH(config!$G$4,L$1,$A464,$A464)),_xll.BDH(config!$G$4,L$1,$A464,$A464),_xll.BDH(config!$G$5,L$1,$A464,$A464))))</f>
        <v>#N/A Requesting Data...</v>
      </c>
      <c r="M464" s="8" t="str">
        <f>IF($A464="","",IF(ISNUMBER(FIND("IMPVOL",M$1)),_xll.BDH(config!$G$4,M$1,WORKDAY($A464,-1,config_Holiday_Calendar_US),WORKDAY($A464,-1,config_Holiday_Calendar_US)),IF(ISNUMBER(_xll.BDH(config!$G$4,M$1,$A464,$A464)),_xll.BDH(config!$G$4,M$1,$A464,$A464),_xll.BDH(config!$G$5,M$1,$A464,$A464))))</f>
        <v>#N/A Requesting Data...</v>
      </c>
      <c r="N464" s="8" t="str">
        <f>IF($A464="","",IF(ISNUMBER(FIND("IMPVOL",N$1)),_xll.BDH(config!$G$4,N$1,WORKDAY($A464,-1,config_Holiday_Calendar_US),WORKDAY($A464,-1,config_Holiday_Calendar_US)),IF(ISNUMBER(_xll.BDH(config!$G$4,N$1,$A464,$A464)),_xll.BDH(config!$G$4,N$1,$A464,$A464),_xll.BDH(config!$G$5,N$1,$A464,$A464))))</f>
        <v>#N/A Requesting Data...</v>
      </c>
      <c r="O464" s="8" t="str">
        <f>IF($A464="","",IF(ISNUMBER(FIND("IMPVOL",O$1)),_xll.BDH(config!$G$4,O$1,WORKDAY($A464,-1,config_Holiday_Calendar_US),WORKDAY($A464,-1,config_Holiday_Calendar_US)),IF(ISNUMBER(_xll.BDH(config!$G$4,O$1,$A464,$A464)),_xll.BDH(config!$G$4,O$1,$A464,$A464),_xll.BDH(config!$G$5,O$1,$A464,$A464))))</f>
        <v>#N/A Requesting Data...</v>
      </c>
      <c r="P464" s="8" t="str">
        <f>IF($A464="","",IF(ISNUMBER(FIND("IMPVOL",P$1)),_xll.BDH(config!$G$4,P$1,WORKDAY($A464,-1,config_Holiday_Calendar_US),WORKDAY($A464,-1,config_Holiday_Calendar_US)),IF(ISNUMBER(_xll.BDH(config!$G$4,P$1,$A464,$A464)),_xll.BDH(config!$G$4,P$1,$A464,$A464),_xll.BDH(config!$G$5,P$1,$A464,$A464))))</f>
        <v>#N/A Requesting Data...</v>
      </c>
      <c r="Q464" s="8" t="str">
        <f>IF($A464="","",IF(ISNUMBER(FIND("IMPVOL",Q$1)),_xll.BDH(config!$G$4,Q$1,WORKDAY($A464,-1,config_Holiday_Calendar_US),WORKDAY($A464,-1,config_Holiday_Calendar_US)),IF(ISNUMBER(_xll.BDH(config!$G$4,Q$1,$A464,$A464)),_xll.BDH(config!$G$4,Q$1,$A464,$A464),_xll.BDH(config!$G$5,Q$1,$A464,$A464))))</f>
        <v>#N/A Requesting Data...</v>
      </c>
      <c r="R464" s="8" t="str">
        <f>IF($A464="","",IF(ISNUMBER(FIND("IMPVOL",R$1)),_xll.BDH(config!$G$4,R$1,WORKDAY($A464,-1,config_Holiday_Calendar_US),WORKDAY($A464,-1,config_Holiday_Calendar_US)),IF(ISNUMBER(_xll.BDH(config!$G$4,R$1,$A464,$A464)),_xll.BDH(config!$G$4,R$1,$A464,$A464),_xll.BDH(config!$G$5,R$1,$A464,$A464))))</f>
        <v>#N/A Requesting Data...</v>
      </c>
      <c r="S464" s="8" t="str">
        <f>IF($A464="","",IF(ISNUMBER(FIND("IMPVOL",S$1)),_xll.BDH(config!$G$4,S$1,WORKDAY($A464,-1,config_Holiday_Calendar_US),WORKDAY($A464,-1,config_Holiday_Calendar_US)),IF(ISNUMBER(_xll.BDH(config!$G$4,S$1,$A464,$A464)),_xll.BDH(config!$G$4,S$1,$A464,$A464),_xll.BDH(config!$G$5,S$1,$A464,$A464))))</f>
        <v>#N/A Requesting Data...</v>
      </c>
      <c r="T464" s="8" t="str">
        <f>IF($A464="","",IF(ISNUMBER(FIND("IMPVOL",T$1)),_xll.BDH(config!$G$4,T$1,WORKDAY($A464,-1,config_Holiday_Calendar_US),WORKDAY($A464,-1,config_Holiday_Calendar_US)),IF(ISNUMBER(_xll.BDH(config!$G$4,T$1,$A464,$A464)),_xll.BDH(config!$G$4,T$1,$A464,$A464),_xll.BDH(config!$G$5,T$1,$A464,$A464))))</f>
        <v>#N/A Requesting Data...</v>
      </c>
      <c r="U464" s="8" t="str">
        <f>IF($A464="","",IF(ISNUMBER(FIND("IMPVOL",U$1)),_xll.BDH(config!$G$4,U$1,WORKDAY($A464,-1,config_Holiday_Calendar_US),WORKDAY($A464,-1,config_Holiday_Calendar_US)),IF(ISNUMBER(_xll.BDH(config!$G$4,U$1,$A464,$A464)),_xll.BDH(config!$G$4,U$1,$A464,$A464),_xll.BDH(config!$G$5,U$1,$A464,$A464))))</f>
        <v>#N/A Requesting Data...</v>
      </c>
      <c r="V464" s="8" t="str">
        <f>IF($A464="","",IF(ISNUMBER(FIND("IMPVOL",V$1)),_xll.BDH(config!$G$4,V$1,WORKDAY($A464,-1,config_Holiday_Calendar_US),WORKDAY($A464,-1,config_Holiday_Calendar_US)),IF(ISNUMBER(_xll.BDH(config!$G$4,V$1,$A464,$A464)),_xll.BDH(config!$G$4,V$1,$A464,$A464),_xll.BDH(config!$G$5,V$1,$A464,$A464))))</f>
        <v>#N/A Requesting Data...</v>
      </c>
      <c r="W464" s="8" t="str">
        <f>IF($A464="","",IF(ISNUMBER(FIND("IMPVOL",W$1)),_xll.BDH(config!$G$4,W$1,WORKDAY($A464,-1,config_Holiday_Calendar_US),WORKDAY($A464,-1,config_Holiday_Calendar_US)),IF(ISNUMBER(_xll.BDH(config!$G$4,W$1,$A464,$A464)),_xll.BDH(config!$G$4,W$1,$A464,$A464),_xll.BDH(config!$G$5,W$1,$A464,$A464))))</f>
        <v>#N/A Requesting Data...</v>
      </c>
    </row>
    <row r="465" spans="1:23" x14ac:dyDescent="0.2">
      <c r="A465" s="9">
        <f>IF(A464="","",IF(WORKDAY(A464,-1,config_Holiday_Calendar_US)&lt;config!$I$10,"",WORKDAY(A464,-1,config_Holiday_Calendar_US)))</f>
        <v>42156</v>
      </c>
      <c r="B465" s="8" t="e">
        <f t="shared" si="7"/>
        <v>#VALUE!</v>
      </c>
      <c r="C465" s="8" t="str">
        <f>IF(A465="","",_xll.BDH(config!$H$4,C$1,$A465,$A465))</f>
        <v>#N/A Requesting Data...</v>
      </c>
      <c r="D465" s="8" t="str">
        <f>IF($A465="","",_xll.BDH(config!$H$4,D$1,$A465,$A465))</f>
        <v>#N/A Requesting Data...</v>
      </c>
      <c r="E465" s="8">
        <f>IF($A465="","",IF(ISNUMBER(FIND("IMPVOL",E$1)),_xll.BDH(config!$G$4,E$1,WORKDAY($A465,-1,config_Holiday_Calendar_US),WORKDAY($A465,-1,config_Holiday_Calendar_US)),IF(ISNUMBER(_xll.BDH(config!$G$4,E$1,$A465,$A465)),_xll.BDH(config!$G$4,E$1,$A465,$A465),_xll.BDH(config!$G$5,E$1,$A465,$A465))))</f>
        <v>60.29</v>
      </c>
      <c r="F465" s="8">
        <f>IF($A465="","",IF(ISNUMBER(FIND("IMPVOL",F$1)),_xll.BDH(config!$G$4,F$1,WORKDAY($A465,-1,config_Holiday_Calendar_US),WORKDAY($A465,-1,config_Holiday_Calendar_US)),IF(ISNUMBER(_xll.BDH(config!$G$4,F$1,$A465,$A465)),_xll.BDH(config!$G$4,F$1,$A465,$A465),_xll.BDH(config!$G$5,F$1,$A465,$A465))))</f>
        <v>60.64</v>
      </c>
      <c r="G465" s="8" t="str">
        <f>IF($A465="","",IF(ISNUMBER(FIND("IMPVOL",G$1)),_xll.BDH(config!$G$4,G$1,WORKDAY($A465,-1,config_Holiday_Calendar_US),WORKDAY($A465,-1,config_Holiday_Calendar_US)),IF(ISNUMBER(_xll.BDH(config!$G$4,G$1,$A465,$A465)),_xll.BDH(config!$G$4,G$1,$A465,$A465),_xll.BDH(config!$G$5,G$1,$A465,$A465))))</f>
        <v>#N/A Requesting Data...</v>
      </c>
      <c r="H465" s="8" t="str">
        <f>IF($A465="","",IF(ISNUMBER(FIND("IMPVOL",H$1)),_xll.BDH(config!$G$4,H$1,WORKDAY($A465,-1,config_Holiday_Calendar_US),WORKDAY($A465,-1,config_Holiday_Calendar_US)),IF(ISNUMBER(_xll.BDH(config!$G$4,H$1,$A465,$A465)),_xll.BDH(config!$G$4,H$1,$A465,$A465),_xll.BDH(config!$G$5,H$1,$A465,$A465))))</f>
        <v>#N/A Requesting Data...</v>
      </c>
      <c r="I465" s="8" t="str">
        <f>IF($A465="","",IF(ISNUMBER(FIND("IMPVOL",I$1)),_xll.BDH(config!$G$4,I$1,WORKDAY($A465,-1,config_Holiday_Calendar_US),WORKDAY($A465,-1,config_Holiday_Calendar_US)),IF(ISNUMBER(_xll.BDH(config!$G$4,I$1,$A465,$A465)),_xll.BDH(config!$G$4,I$1,$A465,$A465),_xll.BDH(config!$G$5,I$1,$A465,$A465))))</f>
        <v>#N/A Requesting Data...</v>
      </c>
      <c r="J465" s="8" t="str">
        <f>IF($A465="","",IF(ISNUMBER(FIND("IMPVOL",J$1)),_xll.BDH(config!$G$4,J$1,WORKDAY($A465,-1,config_Holiday_Calendar_US),WORKDAY($A465,-1,config_Holiday_Calendar_US)),IF(ISNUMBER(_xll.BDH(config!$G$4,J$1,$A465,$A465)),_xll.BDH(config!$G$4,J$1,$A465,$A465),_xll.BDH(config!$G$5,J$1,$A465,$A465))))</f>
        <v>#N/A Requesting Data...</v>
      </c>
      <c r="K465" s="8" t="str">
        <f>IF($A465="","",IF(ISNUMBER(FIND("IMPVOL",K$1)),_xll.BDH(config!$G$4,K$1,WORKDAY($A465,-1,config_Holiday_Calendar_US),WORKDAY($A465,-1,config_Holiday_Calendar_US)),IF(ISNUMBER(_xll.BDH(config!$G$4,K$1,$A465,$A465)),_xll.BDH(config!$G$4,K$1,$A465,$A465),_xll.BDH(config!$G$5,K$1,$A465,$A465))))</f>
        <v>#N/A Requesting Data...</v>
      </c>
      <c r="L465" s="8" t="str">
        <f>IF($A465="","",IF(ISNUMBER(FIND("IMPVOL",L$1)),_xll.BDH(config!$G$4,L$1,WORKDAY($A465,-1,config_Holiday_Calendar_US),WORKDAY($A465,-1,config_Holiday_Calendar_US)),IF(ISNUMBER(_xll.BDH(config!$G$4,L$1,$A465,$A465)),_xll.BDH(config!$G$4,L$1,$A465,$A465),_xll.BDH(config!$G$5,L$1,$A465,$A465))))</f>
        <v>#N/A Requesting Data...</v>
      </c>
      <c r="M465" s="8" t="str">
        <f>IF($A465="","",IF(ISNUMBER(FIND("IMPVOL",M$1)),_xll.BDH(config!$G$4,M$1,WORKDAY($A465,-1,config_Holiday_Calendar_US),WORKDAY($A465,-1,config_Holiday_Calendar_US)),IF(ISNUMBER(_xll.BDH(config!$G$4,M$1,$A465,$A465)),_xll.BDH(config!$G$4,M$1,$A465,$A465),_xll.BDH(config!$G$5,M$1,$A465,$A465))))</f>
        <v>#N/A Requesting Data...</v>
      </c>
      <c r="N465" s="8" t="str">
        <f>IF($A465="","",IF(ISNUMBER(FIND("IMPVOL",N$1)),_xll.BDH(config!$G$4,N$1,WORKDAY($A465,-1,config_Holiday_Calendar_US),WORKDAY($A465,-1,config_Holiday_Calendar_US)),IF(ISNUMBER(_xll.BDH(config!$G$4,N$1,$A465,$A465)),_xll.BDH(config!$G$4,N$1,$A465,$A465),_xll.BDH(config!$G$5,N$1,$A465,$A465))))</f>
        <v>#N/A Requesting Data...</v>
      </c>
      <c r="O465" s="8" t="str">
        <f>IF($A465="","",IF(ISNUMBER(FIND("IMPVOL",O$1)),_xll.BDH(config!$G$4,O$1,WORKDAY($A465,-1,config_Holiday_Calendar_US),WORKDAY($A465,-1,config_Holiday_Calendar_US)),IF(ISNUMBER(_xll.BDH(config!$G$4,O$1,$A465,$A465)),_xll.BDH(config!$G$4,O$1,$A465,$A465),_xll.BDH(config!$G$5,O$1,$A465,$A465))))</f>
        <v>#N/A Requesting Data...</v>
      </c>
      <c r="P465" s="8" t="str">
        <f>IF($A465="","",IF(ISNUMBER(FIND("IMPVOL",P$1)),_xll.BDH(config!$G$4,P$1,WORKDAY($A465,-1,config_Holiday_Calendar_US),WORKDAY($A465,-1,config_Holiday_Calendar_US)),IF(ISNUMBER(_xll.BDH(config!$G$4,P$1,$A465,$A465)),_xll.BDH(config!$G$4,P$1,$A465,$A465),_xll.BDH(config!$G$5,P$1,$A465,$A465))))</f>
        <v>#N/A Requesting Data...</v>
      </c>
      <c r="Q465" s="8" t="str">
        <f>IF($A465="","",IF(ISNUMBER(FIND("IMPVOL",Q$1)),_xll.BDH(config!$G$4,Q$1,WORKDAY($A465,-1,config_Holiday_Calendar_US),WORKDAY($A465,-1,config_Holiday_Calendar_US)),IF(ISNUMBER(_xll.BDH(config!$G$4,Q$1,$A465,$A465)),_xll.BDH(config!$G$4,Q$1,$A465,$A465),_xll.BDH(config!$G$5,Q$1,$A465,$A465))))</f>
        <v>#N/A Requesting Data...</v>
      </c>
      <c r="R465" s="8" t="str">
        <f>IF($A465="","",IF(ISNUMBER(FIND("IMPVOL",R$1)),_xll.BDH(config!$G$4,R$1,WORKDAY($A465,-1,config_Holiday_Calendar_US),WORKDAY($A465,-1,config_Holiday_Calendar_US)),IF(ISNUMBER(_xll.BDH(config!$G$4,R$1,$A465,$A465)),_xll.BDH(config!$G$4,R$1,$A465,$A465),_xll.BDH(config!$G$5,R$1,$A465,$A465))))</f>
        <v>#N/A Requesting Data...</v>
      </c>
      <c r="S465" s="8" t="str">
        <f>IF($A465="","",IF(ISNUMBER(FIND("IMPVOL",S$1)),_xll.BDH(config!$G$4,S$1,WORKDAY($A465,-1,config_Holiday_Calendar_US),WORKDAY($A465,-1,config_Holiday_Calendar_US)),IF(ISNUMBER(_xll.BDH(config!$G$4,S$1,$A465,$A465)),_xll.BDH(config!$G$4,S$1,$A465,$A465),_xll.BDH(config!$G$5,S$1,$A465,$A465))))</f>
        <v>#N/A Requesting Data...</v>
      </c>
      <c r="T465" s="8" t="str">
        <f>IF($A465="","",IF(ISNUMBER(FIND("IMPVOL",T$1)),_xll.BDH(config!$G$4,T$1,WORKDAY($A465,-1,config_Holiday_Calendar_US),WORKDAY($A465,-1,config_Holiday_Calendar_US)),IF(ISNUMBER(_xll.BDH(config!$G$4,T$1,$A465,$A465)),_xll.BDH(config!$G$4,T$1,$A465,$A465),_xll.BDH(config!$G$5,T$1,$A465,$A465))))</f>
        <v>#N/A Requesting Data...</v>
      </c>
      <c r="U465" s="8" t="str">
        <f>IF($A465="","",IF(ISNUMBER(FIND("IMPVOL",U$1)),_xll.BDH(config!$G$4,U$1,WORKDAY($A465,-1,config_Holiday_Calendar_US),WORKDAY($A465,-1,config_Holiday_Calendar_US)),IF(ISNUMBER(_xll.BDH(config!$G$4,U$1,$A465,$A465)),_xll.BDH(config!$G$4,U$1,$A465,$A465),_xll.BDH(config!$G$5,U$1,$A465,$A465))))</f>
        <v>#N/A Requesting Data...</v>
      </c>
      <c r="V465" s="8" t="str">
        <f>IF($A465="","",IF(ISNUMBER(FIND("IMPVOL",V$1)),_xll.BDH(config!$G$4,V$1,WORKDAY($A465,-1,config_Holiday_Calendar_US),WORKDAY($A465,-1,config_Holiday_Calendar_US)),IF(ISNUMBER(_xll.BDH(config!$G$4,V$1,$A465,$A465)),_xll.BDH(config!$G$4,V$1,$A465,$A465),_xll.BDH(config!$G$5,V$1,$A465,$A465))))</f>
        <v>#N/A Requesting Data...</v>
      </c>
      <c r="W465" s="8" t="str">
        <f>IF($A465="","",IF(ISNUMBER(FIND("IMPVOL",W$1)),_xll.BDH(config!$G$4,W$1,WORKDAY($A465,-1,config_Holiday_Calendar_US),WORKDAY($A465,-1,config_Holiday_Calendar_US)),IF(ISNUMBER(_xll.BDH(config!$G$4,W$1,$A465,$A465)),_xll.BDH(config!$G$4,W$1,$A465,$A465),_xll.BDH(config!$G$5,W$1,$A465,$A465))))</f>
        <v>#N/A Requesting Data...</v>
      </c>
    </row>
    <row r="466" spans="1:23" x14ac:dyDescent="0.2">
      <c r="A466" s="9">
        <f>IF(A465="","",IF(WORKDAY(A465,-1,config_Holiday_Calendar_US)&lt;config!$I$10,"",WORKDAY(A465,-1,config_Holiday_Calendar_US)))</f>
        <v>42153</v>
      </c>
      <c r="B466" s="8" t="e">
        <f t="shared" si="7"/>
        <v>#VALUE!</v>
      </c>
      <c r="C466" s="8" t="str">
        <f>IF(A466="","",_xll.BDH(config!$H$4,C$1,$A466,$A466))</f>
        <v>#N/A Requesting Data...</v>
      </c>
      <c r="D466" s="8" t="str">
        <f>IF($A466="","",_xll.BDH(config!$H$4,D$1,$A466,$A466))</f>
        <v>#N/A Requesting Data...</v>
      </c>
      <c r="E466" s="8">
        <f>IF($A466="","",IF(ISNUMBER(FIND("IMPVOL",E$1)),_xll.BDH(config!$G$4,E$1,WORKDAY($A466,-1,config_Holiday_Calendar_US),WORKDAY($A466,-1,config_Holiday_Calendar_US)),IF(ISNUMBER(_xll.BDH(config!$G$4,E$1,$A466,$A466)),_xll.BDH(config!$G$4,E$1,$A466,$A466),_xll.BDH(config!$G$5,E$1,$A466,$A466))))</f>
        <v>57.97</v>
      </c>
      <c r="F466" s="8">
        <f>IF($A466="","",IF(ISNUMBER(FIND("IMPVOL",F$1)),_xll.BDH(config!$G$4,F$1,WORKDAY($A466,-1,config_Holiday_Calendar_US),WORKDAY($A466,-1,config_Holiday_Calendar_US)),IF(ISNUMBER(_xll.BDH(config!$G$4,F$1,$A466,$A466)),_xll.BDH(config!$G$4,F$1,$A466,$A466),_xll.BDH(config!$G$5,F$1,$A466,$A466))))</f>
        <v>60.7</v>
      </c>
      <c r="G466" s="8" t="str">
        <f>IF($A466="","",IF(ISNUMBER(FIND("IMPVOL",G$1)),_xll.BDH(config!$G$4,G$1,WORKDAY($A466,-1,config_Holiday_Calendar_US),WORKDAY($A466,-1,config_Holiday_Calendar_US)),IF(ISNUMBER(_xll.BDH(config!$G$4,G$1,$A466,$A466)),_xll.BDH(config!$G$4,G$1,$A466,$A466),_xll.BDH(config!$G$5,G$1,$A466,$A466))))</f>
        <v>#N/A Requesting Data...</v>
      </c>
      <c r="H466" s="8" t="str">
        <f>IF($A466="","",IF(ISNUMBER(FIND("IMPVOL",H$1)),_xll.BDH(config!$G$4,H$1,WORKDAY($A466,-1,config_Holiday_Calendar_US),WORKDAY($A466,-1,config_Holiday_Calendar_US)),IF(ISNUMBER(_xll.BDH(config!$G$4,H$1,$A466,$A466)),_xll.BDH(config!$G$4,H$1,$A466,$A466),_xll.BDH(config!$G$5,H$1,$A466,$A466))))</f>
        <v>#N/A Requesting Data...</v>
      </c>
      <c r="I466" s="8" t="str">
        <f>IF($A466="","",IF(ISNUMBER(FIND("IMPVOL",I$1)),_xll.BDH(config!$G$4,I$1,WORKDAY($A466,-1,config_Holiday_Calendar_US),WORKDAY($A466,-1,config_Holiday_Calendar_US)),IF(ISNUMBER(_xll.BDH(config!$G$4,I$1,$A466,$A466)),_xll.BDH(config!$G$4,I$1,$A466,$A466),_xll.BDH(config!$G$5,I$1,$A466,$A466))))</f>
        <v>#N/A Requesting Data...</v>
      </c>
      <c r="J466" s="8" t="str">
        <f>IF($A466="","",IF(ISNUMBER(FIND("IMPVOL",J$1)),_xll.BDH(config!$G$4,J$1,WORKDAY($A466,-1,config_Holiday_Calendar_US),WORKDAY($A466,-1,config_Holiday_Calendar_US)),IF(ISNUMBER(_xll.BDH(config!$G$4,J$1,$A466,$A466)),_xll.BDH(config!$G$4,J$1,$A466,$A466),_xll.BDH(config!$G$5,J$1,$A466,$A466))))</f>
        <v>#N/A Requesting Data...</v>
      </c>
      <c r="K466" s="8" t="str">
        <f>IF($A466="","",IF(ISNUMBER(FIND("IMPVOL",K$1)),_xll.BDH(config!$G$4,K$1,WORKDAY($A466,-1,config_Holiday_Calendar_US),WORKDAY($A466,-1,config_Holiday_Calendar_US)),IF(ISNUMBER(_xll.BDH(config!$G$4,K$1,$A466,$A466)),_xll.BDH(config!$G$4,K$1,$A466,$A466),_xll.BDH(config!$G$5,K$1,$A466,$A466))))</f>
        <v>#N/A Requesting Data...</v>
      </c>
      <c r="L466" s="8" t="str">
        <f>IF($A466="","",IF(ISNUMBER(FIND("IMPVOL",L$1)),_xll.BDH(config!$G$4,L$1,WORKDAY($A466,-1,config_Holiday_Calendar_US),WORKDAY($A466,-1,config_Holiday_Calendar_US)),IF(ISNUMBER(_xll.BDH(config!$G$4,L$1,$A466,$A466)),_xll.BDH(config!$G$4,L$1,$A466,$A466),_xll.BDH(config!$G$5,L$1,$A466,$A466))))</f>
        <v>#N/A Requesting Data...</v>
      </c>
      <c r="M466" s="8" t="str">
        <f>IF($A466="","",IF(ISNUMBER(FIND("IMPVOL",M$1)),_xll.BDH(config!$G$4,M$1,WORKDAY($A466,-1,config_Holiday_Calendar_US),WORKDAY($A466,-1,config_Holiday_Calendar_US)),IF(ISNUMBER(_xll.BDH(config!$G$4,M$1,$A466,$A466)),_xll.BDH(config!$G$4,M$1,$A466,$A466),_xll.BDH(config!$G$5,M$1,$A466,$A466))))</f>
        <v>#N/A Requesting Data...</v>
      </c>
      <c r="N466" s="8" t="str">
        <f>IF($A466="","",IF(ISNUMBER(FIND("IMPVOL",N$1)),_xll.BDH(config!$G$4,N$1,WORKDAY($A466,-1,config_Holiday_Calendar_US),WORKDAY($A466,-1,config_Holiday_Calendar_US)),IF(ISNUMBER(_xll.BDH(config!$G$4,N$1,$A466,$A466)),_xll.BDH(config!$G$4,N$1,$A466,$A466),_xll.BDH(config!$G$5,N$1,$A466,$A466))))</f>
        <v>#N/A Requesting Data...</v>
      </c>
      <c r="O466" s="8" t="str">
        <f>IF($A466="","",IF(ISNUMBER(FIND("IMPVOL",O$1)),_xll.BDH(config!$G$4,O$1,WORKDAY($A466,-1,config_Holiday_Calendar_US),WORKDAY($A466,-1,config_Holiday_Calendar_US)),IF(ISNUMBER(_xll.BDH(config!$G$4,O$1,$A466,$A466)),_xll.BDH(config!$G$4,O$1,$A466,$A466),_xll.BDH(config!$G$5,O$1,$A466,$A466))))</f>
        <v>#N/A Requesting Data...</v>
      </c>
      <c r="P466" s="8" t="str">
        <f>IF($A466="","",IF(ISNUMBER(FIND("IMPVOL",P$1)),_xll.BDH(config!$G$4,P$1,WORKDAY($A466,-1,config_Holiday_Calendar_US),WORKDAY($A466,-1,config_Holiday_Calendar_US)),IF(ISNUMBER(_xll.BDH(config!$G$4,P$1,$A466,$A466)),_xll.BDH(config!$G$4,P$1,$A466,$A466),_xll.BDH(config!$G$5,P$1,$A466,$A466))))</f>
        <v>#N/A Requesting Data...</v>
      </c>
      <c r="Q466" s="8" t="str">
        <f>IF($A466="","",IF(ISNUMBER(FIND("IMPVOL",Q$1)),_xll.BDH(config!$G$4,Q$1,WORKDAY($A466,-1,config_Holiday_Calendar_US),WORKDAY($A466,-1,config_Holiday_Calendar_US)),IF(ISNUMBER(_xll.BDH(config!$G$4,Q$1,$A466,$A466)),_xll.BDH(config!$G$4,Q$1,$A466,$A466),_xll.BDH(config!$G$5,Q$1,$A466,$A466))))</f>
        <v>#N/A Requesting Data...</v>
      </c>
      <c r="R466" s="8" t="str">
        <f>IF($A466="","",IF(ISNUMBER(FIND("IMPVOL",R$1)),_xll.BDH(config!$G$4,R$1,WORKDAY($A466,-1,config_Holiday_Calendar_US),WORKDAY($A466,-1,config_Holiday_Calendar_US)),IF(ISNUMBER(_xll.BDH(config!$G$4,R$1,$A466,$A466)),_xll.BDH(config!$G$4,R$1,$A466,$A466),_xll.BDH(config!$G$5,R$1,$A466,$A466))))</f>
        <v>#N/A Requesting Data...</v>
      </c>
      <c r="S466" s="8" t="str">
        <f>IF($A466="","",IF(ISNUMBER(FIND("IMPVOL",S$1)),_xll.BDH(config!$G$4,S$1,WORKDAY($A466,-1,config_Holiday_Calendar_US),WORKDAY($A466,-1,config_Holiday_Calendar_US)),IF(ISNUMBER(_xll.BDH(config!$G$4,S$1,$A466,$A466)),_xll.BDH(config!$G$4,S$1,$A466,$A466),_xll.BDH(config!$G$5,S$1,$A466,$A466))))</f>
        <v>#N/A Requesting Data...</v>
      </c>
      <c r="T466" s="8" t="str">
        <f>IF($A466="","",IF(ISNUMBER(FIND("IMPVOL",T$1)),_xll.BDH(config!$G$4,T$1,WORKDAY($A466,-1,config_Holiday_Calendar_US),WORKDAY($A466,-1,config_Holiday_Calendar_US)),IF(ISNUMBER(_xll.BDH(config!$G$4,T$1,$A466,$A466)),_xll.BDH(config!$G$4,T$1,$A466,$A466),_xll.BDH(config!$G$5,T$1,$A466,$A466))))</f>
        <v>#N/A Requesting Data...</v>
      </c>
      <c r="U466" s="8" t="str">
        <f>IF($A466="","",IF(ISNUMBER(FIND("IMPVOL",U$1)),_xll.BDH(config!$G$4,U$1,WORKDAY($A466,-1,config_Holiday_Calendar_US),WORKDAY($A466,-1,config_Holiday_Calendar_US)),IF(ISNUMBER(_xll.BDH(config!$G$4,U$1,$A466,$A466)),_xll.BDH(config!$G$4,U$1,$A466,$A466),_xll.BDH(config!$G$5,U$1,$A466,$A466))))</f>
        <v>#N/A Requesting Data...</v>
      </c>
      <c r="V466" s="8" t="str">
        <f>IF($A466="","",IF(ISNUMBER(FIND("IMPVOL",V$1)),_xll.BDH(config!$G$4,V$1,WORKDAY($A466,-1,config_Holiday_Calendar_US),WORKDAY($A466,-1,config_Holiday_Calendar_US)),IF(ISNUMBER(_xll.BDH(config!$G$4,V$1,$A466,$A466)),_xll.BDH(config!$G$4,V$1,$A466,$A466),_xll.BDH(config!$G$5,V$1,$A466,$A466))))</f>
        <v>#N/A Requesting Data...</v>
      </c>
      <c r="W466" s="8" t="str">
        <f>IF($A466="","",IF(ISNUMBER(FIND("IMPVOL",W$1)),_xll.BDH(config!$G$4,W$1,WORKDAY($A466,-1,config_Holiday_Calendar_US),WORKDAY($A466,-1,config_Holiday_Calendar_US)),IF(ISNUMBER(_xll.BDH(config!$G$4,W$1,$A466,$A466)),_xll.BDH(config!$G$4,W$1,$A466,$A466),_xll.BDH(config!$G$5,W$1,$A466,$A466))))</f>
        <v>#N/A Requesting Data...</v>
      </c>
    </row>
    <row r="467" spans="1:23" x14ac:dyDescent="0.2">
      <c r="A467" s="9">
        <f>IF(A466="","",IF(WORKDAY(A466,-1,config_Holiday_Calendar_US)&lt;config!$I$10,"",WORKDAY(A466,-1,config_Holiday_Calendar_US)))</f>
        <v>42152</v>
      </c>
      <c r="B467" s="8" t="e">
        <f t="shared" si="7"/>
        <v>#VALUE!</v>
      </c>
      <c r="C467" s="8" t="str">
        <f>IF(A467="","",_xll.BDH(config!$H$4,C$1,$A467,$A467))</f>
        <v>#N/A Requesting Data...</v>
      </c>
      <c r="D467" s="8" t="str">
        <f>IF($A467="","",_xll.BDH(config!$H$4,D$1,$A467,$A467))</f>
        <v>#N/A Requesting Data...</v>
      </c>
      <c r="E467" s="8">
        <f>IF($A467="","",IF(ISNUMBER(FIND("IMPVOL",E$1)),_xll.BDH(config!$G$4,E$1,WORKDAY($A467,-1,config_Holiday_Calendar_US),WORKDAY($A467,-1,config_Holiday_Calendar_US)),IF(ISNUMBER(_xll.BDH(config!$G$4,E$1,$A467,$A467)),_xll.BDH(config!$G$4,E$1,$A467,$A467),_xll.BDH(config!$G$5,E$1,$A467,$A467))))</f>
        <v>57.63</v>
      </c>
      <c r="F467" s="8">
        <f>IF($A467="","",IF(ISNUMBER(FIND("IMPVOL",F$1)),_xll.BDH(config!$G$4,F$1,WORKDAY($A467,-1,config_Holiday_Calendar_US),WORKDAY($A467,-1,config_Holiday_Calendar_US)),IF(ISNUMBER(_xll.BDH(config!$G$4,F$1,$A467,$A467)),_xll.BDH(config!$G$4,F$1,$A467,$A467),_xll.BDH(config!$G$5,F$1,$A467,$A467))))</f>
        <v>58.07</v>
      </c>
      <c r="G467" s="8" t="str">
        <f>IF($A467="","",IF(ISNUMBER(FIND("IMPVOL",G$1)),_xll.BDH(config!$G$4,G$1,WORKDAY($A467,-1,config_Holiday_Calendar_US),WORKDAY($A467,-1,config_Holiday_Calendar_US)),IF(ISNUMBER(_xll.BDH(config!$G$4,G$1,$A467,$A467)),_xll.BDH(config!$G$4,G$1,$A467,$A467),_xll.BDH(config!$G$5,G$1,$A467,$A467))))</f>
        <v>#N/A Requesting Data...</v>
      </c>
      <c r="H467" s="8" t="str">
        <f>IF($A467="","",IF(ISNUMBER(FIND("IMPVOL",H$1)),_xll.BDH(config!$G$4,H$1,WORKDAY($A467,-1,config_Holiday_Calendar_US),WORKDAY($A467,-1,config_Holiday_Calendar_US)),IF(ISNUMBER(_xll.BDH(config!$G$4,H$1,$A467,$A467)),_xll.BDH(config!$G$4,H$1,$A467,$A467),_xll.BDH(config!$G$5,H$1,$A467,$A467))))</f>
        <v>#N/A Requesting Data...</v>
      </c>
      <c r="I467" s="8" t="str">
        <f>IF($A467="","",IF(ISNUMBER(FIND("IMPVOL",I$1)),_xll.BDH(config!$G$4,I$1,WORKDAY($A467,-1,config_Holiday_Calendar_US),WORKDAY($A467,-1,config_Holiday_Calendar_US)),IF(ISNUMBER(_xll.BDH(config!$G$4,I$1,$A467,$A467)),_xll.BDH(config!$G$4,I$1,$A467,$A467),_xll.BDH(config!$G$5,I$1,$A467,$A467))))</f>
        <v>#N/A Requesting Data...</v>
      </c>
      <c r="J467" s="8" t="str">
        <f>IF($A467="","",IF(ISNUMBER(FIND("IMPVOL",J$1)),_xll.BDH(config!$G$4,J$1,WORKDAY($A467,-1,config_Holiday_Calendar_US),WORKDAY($A467,-1,config_Holiday_Calendar_US)),IF(ISNUMBER(_xll.BDH(config!$G$4,J$1,$A467,$A467)),_xll.BDH(config!$G$4,J$1,$A467,$A467),_xll.BDH(config!$G$5,J$1,$A467,$A467))))</f>
        <v>#N/A Requesting Data...</v>
      </c>
      <c r="K467" s="8" t="str">
        <f>IF($A467="","",IF(ISNUMBER(FIND("IMPVOL",K$1)),_xll.BDH(config!$G$4,K$1,WORKDAY($A467,-1,config_Holiday_Calendar_US),WORKDAY($A467,-1,config_Holiday_Calendar_US)),IF(ISNUMBER(_xll.BDH(config!$G$4,K$1,$A467,$A467)),_xll.BDH(config!$G$4,K$1,$A467,$A467),_xll.BDH(config!$G$5,K$1,$A467,$A467))))</f>
        <v>#N/A Requesting Data...</v>
      </c>
      <c r="L467" s="8" t="str">
        <f>IF($A467="","",IF(ISNUMBER(FIND("IMPVOL",L$1)),_xll.BDH(config!$G$4,L$1,WORKDAY($A467,-1,config_Holiday_Calendar_US),WORKDAY($A467,-1,config_Holiday_Calendar_US)),IF(ISNUMBER(_xll.BDH(config!$G$4,L$1,$A467,$A467)),_xll.BDH(config!$G$4,L$1,$A467,$A467),_xll.BDH(config!$G$5,L$1,$A467,$A467))))</f>
        <v>#N/A Requesting Data...</v>
      </c>
      <c r="M467" s="8" t="str">
        <f>IF($A467="","",IF(ISNUMBER(FIND("IMPVOL",M$1)),_xll.BDH(config!$G$4,M$1,WORKDAY($A467,-1,config_Holiday_Calendar_US),WORKDAY($A467,-1,config_Holiday_Calendar_US)),IF(ISNUMBER(_xll.BDH(config!$G$4,M$1,$A467,$A467)),_xll.BDH(config!$G$4,M$1,$A467,$A467),_xll.BDH(config!$G$5,M$1,$A467,$A467))))</f>
        <v>#N/A Requesting Data...</v>
      </c>
      <c r="N467" s="8" t="str">
        <f>IF($A467="","",IF(ISNUMBER(FIND("IMPVOL",N$1)),_xll.BDH(config!$G$4,N$1,WORKDAY($A467,-1,config_Holiday_Calendar_US),WORKDAY($A467,-1,config_Holiday_Calendar_US)),IF(ISNUMBER(_xll.BDH(config!$G$4,N$1,$A467,$A467)),_xll.BDH(config!$G$4,N$1,$A467,$A467),_xll.BDH(config!$G$5,N$1,$A467,$A467))))</f>
        <v>#N/A Requesting Data...</v>
      </c>
      <c r="O467" s="8" t="str">
        <f>IF($A467="","",IF(ISNUMBER(FIND("IMPVOL",O$1)),_xll.BDH(config!$G$4,O$1,WORKDAY($A467,-1,config_Holiday_Calendar_US),WORKDAY($A467,-1,config_Holiday_Calendar_US)),IF(ISNUMBER(_xll.BDH(config!$G$4,O$1,$A467,$A467)),_xll.BDH(config!$G$4,O$1,$A467,$A467),_xll.BDH(config!$G$5,O$1,$A467,$A467))))</f>
        <v>#N/A Requesting Data...</v>
      </c>
      <c r="P467" s="8" t="str">
        <f>IF($A467="","",IF(ISNUMBER(FIND("IMPVOL",P$1)),_xll.BDH(config!$G$4,P$1,WORKDAY($A467,-1,config_Holiday_Calendar_US),WORKDAY($A467,-1,config_Holiday_Calendar_US)),IF(ISNUMBER(_xll.BDH(config!$G$4,P$1,$A467,$A467)),_xll.BDH(config!$G$4,P$1,$A467,$A467),_xll.BDH(config!$G$5,P$1,$A467,$A467))))</f>
        <v>#N/A Requesting Data...</v>
      </c>
      <c r="Q467" s="8" t="str">
        <f>IF($A467="","",IF(ISNUMBER(FIND("IMPVOL",Q$1)),_xll.BDH(config!$G$4,Q$1,WORKDAY($A467,-1,config_Holiday_Calendar_US),WORKDAY($A467,-1,config_Holiday_Calendar_US)),IF(ISNUMBER(_xll.BDH(config!$G$4,Q$1,$A467,$A467)),_xll.BDH(config!$G$4,Q$1,$A467,$A467),_xll.BDH(config!$G$5,Q$1,$A467,$A467))))</f>
        <v>#N/A Requesting Data...</v>
      </c>
      <c r="R467" s="8" t="str">
        <f>IF($A467="","",IF(ISNUMBER(FIND("IMPVOL",R$1)),_xll.BDH(config!$G$4,R$1,WORKDAY($A467,-1,config_Holiday_Calendar_US),WORKDAY($A467,-1,config_Holiday_Calendar_US)),IF(ISNUMBER(_xll.BDH(config!$G$4,R$1,$A467,$A467)),_xll.BDH(config!$G$4,R$1,$A467,$A467),_xll.BDH(config!$G$5,R$1,$A467,$A467))))</f>
        <v>#N/A Requesting Data...</v>
      </c>
      <c r="S467" s="8" t="str">
        <f>IF($A467="","",IF(ISNUMBER(FIND("IMPVOL",S$1)),_xll.BDH(config!$G$4,S$1,WORKDAY($A467,-1,config_Holiday_Calendar_US),WORKDAY($A467,-1,config_Holiday_Calendar_US)),IF(ISNUMBER(_xll.BDH(config!$G$4,S$1,$A467,$A467)),_xll.BDH(config!$G$4,S$1,$A467,$A467),_xll.BDH(config!$G$5,S$1,$A467,$A467))))</f>
        <v>#N/A Requesting Data...</v>
      </c>
      <c r="T467" s="8" t="str">
        <f>IF($A467="","",IF(ISNUMBER(FIND("IMPVOL",T$1)),_xll.BDH(config!$G$4,T$1,WORKDAY($A467,-1,config_Holiday_Calendar_US),WORKDAY($A467,-1,config_Holiday_Calendar_US)),IF(ISNUMBER(_xll.BDH(config!$G$4,T$1,$A467,$A467)),_xll.BDH(config!$G$4,T$1,$A467,$A467),_xll.BDH(config!$G$5,T$1,$A467,$A467))))</f>
        <v>#N/A Requesting Data...</v>
      </c>
      <c r="U467" s="8" t="str">
        <f>IF($A467="","",IF(ISNUMBER(FIND("IMPVOL",U$1)),_xll.BDH(config!$G$4,U$1,WORKDAY($A467,-1,config_Holiday_Calendar_US),WORKDAY($A467,-1,config_Holiday_Calendar_US)),IF(ISNUMBER(_xll.BDH(config!$G$4,U$1,$A467,$A467)),_xll.BDH(config!$G$4,U$1,$A467,$A467),_xll.BDH(config!$G$5,U$1,$A467,$A467))))</f>
        <v>#N/A Requesting Data...</v>
      </c>
      <c r="V467" s="8" t="str">
        <f>IF($A467="","",IF(ISNUMBER(FIND("IMPVOL",V$1)),_xll.BDH(config!$G$4,V$1,WORKDAY($A467,-1,config_Holiday_Calendar_US),WORKDAY($A467,-1,config_Holiday_Calendar_US)),IF(ISNUMBER(_xll.BDH(config!$G$4,V$1,$A467,$A467)),_xll.BDH(config!$G$4,V$1,$A467,$A467),_xll.BDH(config!$G$5,V$1,$A467,$A467))))</f>
        <v>#N/A Requesting Data...</v>
      </c>
      <c r="W467" s="8" t="str">
        <f>IF($A467="","",IF(ISNUMBER(FIND("IMPVOL",W$1)),_xll.BDH(config!$G$4,W$1,WORKDAY($A467,-1,config_Holiday_Calendar_US),WORKDAY($A467,-1,config_Holiday_Calendar_US)),IF(ISNUMBER(_xll.BDH(config!$G$4,W$1,$A467,$A467)),_xll.BDH(config!$G$4,W$1,$A467,$A467),_xll.BDH(config!$G$5,W$1,$A467,$A467))))</f>
        <v>#N/A Requesting Data...</v>
      </c>
    </row>
    <row r="468" spans="1:23" x14ac:dyDescent="0.2">
      <c r="A468" s="9">
        <f>IF(A467="","",IF(WORKDAY(A467,-1,config_Holiday_Calendar_US)&lt;config!$I$10,"",WORKDAY(A467,-1,config_Holiday_Calendar_US)))</f>
        <v>42151</v>
      </c>
      <c r="B468" s="8" t="e">
        <f t="shared" si="7"/>
        <v>#VALUE!</v>
      </c>
      <c r="C468" s="8" t="str">
        <f>IF(A468="","",_xll.BDH(config!$H$4,C$1,$A468,$A468))</f>
        <v>#N/A Requesting Data...</v>
      </c>
      <c r="D468" s="8" t="str">
        <f>IF($A468="","",_xll.BDH(config!$H$4,D$1,$A468,$A468))</f>
        <v>#N/A Requesting Data...</v>
      </c>
      <c r="E468" s="8">
        <f>IF($A468="","",IF(ISNUMBER(FIND("IMPVOL",E$1)),_xll.BDH(config!$G$4,E$1,WORKDAY($A468,-1,config_Holiday_Calendar_US),WORKDAY($A468,-1,config_Holiday_Calendar_US)),IF(ISNUMBER(_xll.BDH(config!$G$4,E$1,$A468,$A468)),_xll.BDH(config!$G$4,E$1,$A468,$A468),_xll.BDH(config!$G$5,E$1,$A468,$A468))))</f>
        <v>58.32</v>
      </c>
      <c r="F468" s="8">
        <f>IF($A468="","",IF(ISNUMBER(FIND("IMPVOL",F$1)),_xll.BDH(config!$G$4,F$1,WORKDAY($A468,-1,config_Holiday_Calendar_US),WORKDAY($A468,-1,config_Holiday_Calendar_US)),IF(ISNUMBER(_xll.BDH(config!$G$4,F$1,$A468,$A468)),_xll.BDH(config!$G$4,F$1,$A468,$A468),_xll.BDH(config!$G$5,F$1,$A468,$A468))))</f>
        <v>58.95</v>
      </c>
      <c r="G468" s="8" t="str">
        <f>IF($A468="","",IF(ISNUMBER(FIND("IMPVOL",G$1)),_xll.BDH(config!$G$4,G$1,WORKDAY($A468,-1,config_Holiday_Calendar_US),WORKDAY($A468,-1,config_Holiday_Calendar_US)),IF(ISNUMBER(_xll.BDH(config!$G$4,G$1,$A468,$A468)),_xll.BDH(config!$G$4,G$1,$A468,$A468),_xll.BDH(config!$G$5,G$1,$A468,$A468))))</f>
        <v>#N/A Requesting Data...</v>
      </c>
      <c r="H468" s="8" t="str">
        <f>IF($A468="","",IF(ISNUMBER(FIND("IMPVOL",H$1)),_xll.BDH(config!$G$4,H$1,WORKDAY($A468,-1,config_Holiday_Calendar_US),WORKDAY($A468,-1,config_Holiday_Calendar_US)),IF(ISNUMBER(_xll.BDH(config!$G$4,H$1,$A468,$A468)),_xll.BDH(config!$G$4,H$1,$A468,$A468),_xll.BDH(config!$G$5,H$1,$A468,$A468))))</f>
        <v>#N/A Requesting Data...</v>
      </c>
      <c r="I468" s="8" t="str">
        <f>IF($A468="","",IF(ISNUMBER(FIND("IMPVOL",I$1)),_xll.BDH(config!$G$4,I$1,WORKDAY($A468,-1,config_Holiday_Calendar_US),WORKDAY($A468,-1,config_Holiday_Calendar_US)),IF(ISNUMBER(_xll.BDH(config!$G$4,I$1,$A468,$A468)),_xll.BDH(config!$G$4,I$1,$A468,$A468),_xll.BDH(config!$G$5,I$1,$A468,$A468))))</f>
        <v>#N/A Requesting Data...</v>
      </c>
      <c r="J468" s="8" t="str">
        <f>IF($A468="","",IF(ISNUMBER(FIND("IMPVOL",J$1)),_xll.BDH(config!$G$4,J$1,WORKDAY($A468,-1,config_Holiday_Calendar_US),WORKDAY($A468,-1,config_Holiday_Calendar_US)),IF(ISNUMBER(_xll.BDH(config!$G$4,J$1,$A468,$A468)),_xll.BDH(config!$G$4,J$1,$A468,$A468),_xll.BDH(config!$G$5,J$1,$A468,$A468))))</f>
        <v>#N/A Requesting Data...</v>
      </c>
      <c r="K468" s="8" t="str">
        <f>IF($A468="","",IF(ISNUMBER(FIND("IMPVOL",K$1)),_xll.BDH(config!$G$4,K$1,WORKDAY($A468,-1,config_Holiday_Calendar_US),WORKDAY($A468,-1,config_Holiday_Calendar_US)),IF(ISNUMBER(_xll.BDH(config!$G$4,K$1,$A468,$A468)),_xll.BDH(config!$G$4,K$1,$A468,$A468),_xll.BDH(config!$G$5,K$1,$A468,$A468))))</f>
        <v>#N/A Requesting Data...</v>
      </c>
      <c r="L468" s="8" t="str">
        <f>IF($A468="","",IF(ISNUMBER(FIND("IMPVOL",L$1)),_xll.BDH(config!$G$4,L$1,WORKDAY($A468,-1,config_Holiday_Calendar_US),WORKDAY($A468,-1,config_Holiday_Calendar_US)),IF(ISNUMBER(_xll.BDH(config!$G$4,L$1,$A468,$A468)),_xll.BDH(config!$G$4,L$1,$A468,$A468),_xll.BDH(config!$G$5,L$1,$A468,$A468))))</f>
        <v>#N/A Requesting Data...</v>
      </c>
      <c r="M468" s="8" t="str">
        <f>IF($A468="","",IF(ISNUMBER(FIND("IMPVOL",M$1)),_xll.BDH(config!$G$4,M$1,WORKDAY($A468,-1,config_Holiday_Calendar_US),WORKDAY($A468,-1,config_Holiday_Calendar_US)),IF(ISNUMBER(_xll.BDH(config!$G$4,M$1,$A468,$A468)),_xll.BDH(config!$G$4,M$1,$A468,$A468),_xll.BDH(config!$G$5,M$1,$A468,$A468))))</f>
        <v>#N/A Requesting Data...</v>
      </c>
      <c r="N468" s="8" t="str">
        <f>IF($A468="","",IF(ISNUMBER(FIND("IMPVOL",N$1)),_xll.BDH(config!$G$4,N$1,WORKDAY($A468,-1,config_Holiday_Calendar_US),WORKDAY($A468,-1,config_Holiday_Calendar_US)),IF(ISNUMBER(_xll.BDH(config!$G$4,N$1,$A468,$A468)),_xll.BDH(config!$G$4,N$1,$A468,$A468),_xll.BDH(config!$G$5,N$1,$A468,$A468))))</f>
        <v>#N/A Requesting Data...</v>
      </c>
      <c r="O468" s="8" t="str">
        <f>IF($A468="","",IF(ISNUMBER(FIND("IMPVOL",O$1)),_xll.BDH(config!$G$4,O$1,WORKDAY($A468,-1,config_Holiday_Calendar_US),WORKDAY($A468,-1,config_Holiday_Calendar_US)),IF(ISNUMBER(_xll.BDH(config!$G$4,O$1,$A468,$A468)),_xll.BDH(config!$G$4,O$1,$A468,$A468),_xll.BDH(config!$G$5,O$1,$A468,$A468))))</f>
        <v>#N/A Requesting Data...</v>
      </c>
      <c r="P468" s="8" t="str">
        <f>IF($A468="","",IF(ISNUMBER(FIND("IMPVOL",P$1)),_xll.BDH(config!$G$4,P$1,WORKDAY($A468,-1,config_Holiday_Calendar_US),WORKDAY($A468,-1,config_Holiday_Calendar_US)),IF(ISNUMBER(_xll.BDH(config!$G$4,P$1,$A468,$A468)),_xll.BDH(config!$G$4,P$1,$A468,$A468),_xll.BDH(config!$G$5,P$1,$A468,$A468))))</f>
        <v>#N/A Requesting Data...</v>
      </c>
      <c r="Q468" s="8" t="str">
        <f>IF($A468="","",IF(ISNUMBER(FIND("IMPVOL",Q$1)),_xll.BDH(config!$G$4,Q$1,WORKDAY($A468,-1,config_Holiday_Calendar_US),WORKDAY($A468,-1,config_Holiday_Calendar_US)),IF(ISNUMBER(_xll.BDH(config!$G$4,Q$1,$A468,$A468)),_xll.BDH(config!$G$4,Q$1,$A468,$A468),_xll.BDH(config!$G$5,Q$1,$A468,$A468))))</f>
        <v>#N/A Requesting Data...</v>
      </c>
      <c r="R468" s="8" t="str">
        <f>IF($A468="","",IF(ISNUMBER(FIND("IMPVOL",R$1)),_xll.BDH(config!$G$4,R$1,WORKDAY($A468,-1,config_Holiday_Calendar_US),WORKDAY($A468,-1,config_Holiday_Calendar_US)),IF(ISNUMBER(_xll.BDH(config!$G$4,R$1,$A468,$A468)),_xll.BDH(config!$G$4,R$1,$A468,$A468),_xll.BDH(config!$G$5,R$1,$A468,$A468))))</f>
        <v>#N/A Requesting Data...</v>
      </c>
      <c r="S468" s="8" t="str">
        <f>IF($A468="","",IF(ISNUMBER(FIND("IMPVOL",S$1)),_xll.BDH(config!$G$4,S$1,WORKDAY($A468,-1,config_Holiday_Calendar_US),WORKDAY($A468,-1,config_Holiday_Calendar_US)),IF(ISNUMBER(_xll.BDH(config!$G$4,S$1,$A468,$A468)),_xll.BDH(config!$G$4,S$1,$A468,$A468),_xll.BDH(config!$G$5,S$1,$A468,$A468))))</f>
        <v>#N/A Requesting Data...</v>
      </c>
      <c r="T468" s="8" t="str">
        <f>IF($A468="","",IF(ISNUMBER(FIND("IMPVOL",T$1)),_xll.BDH(config!$G$4,T$1,WORKDAY($A468,-1,config_Holiday_Calendar_US),WORKDAY($A468,-1,config_Holiday_Calendar_US)),IF(ISNUMBER(_xll.BDH(config!$G$4,T$1,$A468,$A468)),_xll.BDH(config!$G$4,T$1,$A468,$A468),_xll.BDH(config!$G$5,T$1,$A468,$A468))))</f>
        <v>#N/A Requesting Data...</v>
      </c>
      <c r="U468" s="8" t="str">
        <f>IF($A468="","",IF(ISNUMBER(FIND("IMPVOL",U$1)),_xll.BDH(config!$G$4,U$1,WORKDAY($A468,-1,config_Holiday_Calendar_US),WORKDAY($A468,-1,config_Holiday_Calendar_US)),IF(ISNUMBER(_xll.BDH(config!$G$4,U$1,$A468,$A468)),_xll.BDH(config!$G$4,U$1,$A468,$A468),_xll.BDH(config!$G$5,U$1,$A468,$A468))))</f>
        <v>#N/A Requesting Data...</v>
      </c>
      <c r="V468" s="8" t="str">
        <f>IF($A468="","",IF(ISNUMBER(FIND("IMPVOL",V$1)),_xll.BDH(config!$G$4,V$1,WORKDAY($A468,-1,config_Holiday_Calendar_US),WORKDAY($A468,-1,config_Holiday_Calendar_US)),IF(ISNUMBER(_xll.BDH(config!$G$4,V$1,$A468,$A468)),_xll.BDH(config!$G$4,V$1,$A468,$A468),_xll.BDH(config!$G$5,V$1,$A468,$A468))))</f>
        <v>#N/A Requesting Data...</v>
      </c>
      <c r="W468" s="8" t="str">
        <f>IF($A468="","",IF(ISNUMBER(FIND("IMPVOL",W$1)),_xll.BDH(config!$G$4,W$1,WORKDAY($A468,-1,config_Holiday_Calendar_US),WORKDAY($A468,-1,config_Holiday_Calendar_US)),IF(ISNUMBER(_xll.BDH(config!$G$4,W$1,$A468,$A468)),_xll.BDH(config!$G$4,W$1,$A468,$A468),_xll.BDH(config!$G$5,W$1,$A468,$A468))))</f>
        <v>#N/A Requesting Data...</v>
      </c>
    </row>
    <row r="469" spans="1:23" x14ac:dyDescent="0.2">
      <c r="A469" s="9">
        <f>IF(A468="","",IF(WORKDAY(A468,-1,config_Holiday_Calendar_US)&lt;config!$I$10,"",WORKDAY(A468,-1,config_Holiday_Calendar_US)))</f>
        <v>42150</v>
      </c>
      <c r="B469" s="8" t="e">
        <f t="shared" si="7"/>
        <v>#VALUE!</v>
      </c>
      <c r="C469" s="8" t="str">
        <f>IF(A469="","",_xll.BDH(config!$H$4,C$1,$A469,$A469))</f>
        <v>#N/A Requesting Data...</v>
      </c>
      <c r="D469" s="8" t="str">
        <f>IF($A469="","",_xll.BDH(config!$H$4,D$1,$A469,$A469))</f>
        <v>#N/A Requesting Data...</v>
      </c>
      <c r="E469" s="8">
        <f>IF($A469="","",IF(ISNUMBER(FIND("IMPVOL",E$1)),_xll.BDH(config!$G$4,E$1,WORKDAY($A469,-1,config_Holiday_Calendar_US),WORKDAY($A469,-1,config_Holiday_Calendar_US)),IF(ISNUMBER(_xll.BDH(config!$G$4,E$1,$A469,$A469)),_xll.BDH(config!$G$4,E$1,$A469,$A469),_xll.BDH(config!$G$5,E$1,$A469,$A469))))</f>
        <v>60.05</v>
      </c>
      <c r="F469" s="8">
        <f>IF($A469="","",IF(ISNUMBER(FIND("IMPVOL",F$1)),_xll.BDH(config!$G$4,F$1,WORKDAY($A469,-1,config_Holiday_Calendar_US),WORKDAY($A469,-1,config_Holiday_Calendar_US)),IF(ISNUMBER(_xll.BDH(config!$G$4,F$1,$A469,$A469)),_xll.BDH(config!$G$4,F$1,$A469,$A469),_xll.BDH(config!$G$5,F$1,$A469,$A469))))</f>
        <v>60.25</v>
      </c>
      <c r="G469" s="8" t="str">
        <f>IF($A469="","",IF(ISNUMBER(FIND("IMPVOL",G$1)),_xll.BDH(config!$G$4,G$1,WORKDAY($A469,-1,config_Holiday_Calendar_US),WORKDAY($A469,-1,config_Holiday_Calendar_US)),IF(ISNUMBER(_xll.BDH(config!$G$4,G$1,$A469,$A469)),_xll.BDH(config!$G$4,G$1,$A469,$A469),_xll.BDH(config!$G$5,G$1,$A469,$A469))))</f>
        <v>#N/A Requesting Data...</v>
      </c>
      <c r="H469" s="8" t="str">
        <f>IF($A469="","",IF(ISNUMBER(FIND("IMPVOL",H$1)),_xll.BDH(config!$G$4,H$1,WORKDAY($A469,-1,config_Holiday_Calendar_US),WORKDAY($A469,-1,config_Holiday_Calendar_US)),IF(ISNUMBER(_xll.BDH(config!$G$4,H$1,$A469,$A469)),_xll.BDH(config!$G$4,H$1,$A469,$A469),_xll.BDH(config!$G$5,H$1,$A469,$A469))))</f>
        <v>#N/A Requesting Data...</v>
      </c>
      <c r="I469" s="8" t="str">
        <f>IF($A469="","",IF(ISNUMBER(FIND("IMPVOL",I$1)),_xll.BDH(config!$G$4,I$1,WORKDAY($A469,-1,config_Holiday_Calendar_US),WORKDAY($A469,-1,config_Holiday_Calendar_US)),IF(ISNUMBER(_xll.BDH(config!$G$4,I$1,$A469,$A469)),_xll.BDH(config!$G$4,I$1,$A469,$A469),_xll.BDH(config!$G$5,I$1,$A469,$A469))))</f>
        <v>#N/A Requesting Data...</v>
      </c>
      <c r="J469" s="8" t="str">
        <f>IF($A469="","",IF(ISNUMBER(FIND("IMPVOL",J$1)),_xll.BDH(config!$G$4,J$1,WORKDAY($A469,-1,config_Holiday_Calendar_US),WORKDAY($A469,-1,config_Holiday_Calendar_US)),IF(ISNUMBER(_xll.BDH(config!$G$4,J$1,$A469,$A469)),_xll.BDH(config!$G$4,J$1,$A469,$A469),_xll.BDH(config!$G$5,J$1,$A469,$A469))))</f>
        <v>#N/A Requesting Data...</v>
      </c>
      <c r="K469" s="8" t="str">
        <f>IF($A469="","",IF(ISNUMBER(FIND("IMPVOL",K$1)),_xll.BDH(config!$G$4,K$1,WORKDAY($A469,-1,config_Holiday_Calendar_US),WORKDAY($A469,-1,config_Holiday_Calendar_US)),IF(ISNUMBER(_xll.BDH(config!$G$4,K$1,$A469,$A469)),_xll.BDH(config!$G$4,K$1,$A469,$A469),_xll.BDH(config!$G$5,K$1,$A469,$A469))))</f>
        <v>#N/A Requesting Data...</v>
      </c>
      <c r="L469" s="8" t="str">
        <f>IF($A469="","",IF(ISNUMBER(FIND("IMPVOL",L$1)),_xll.BDH(config!$G$4,L$1,WORKDAY($A469,-1,config_Holiday_Calendar_US),WORKDAY($A469,-1,config_Holiday_Calendar_US)),IF(ISNUMBER(_xll.BDH(config!$G$4,L$1,$A469,$A469)),_xll.BDH(config!$G$4,L$1,$A469,$A469),_xll.BDH(config!$G$5,L$1,$A469,$A469))))</f>
        <v>#N/A Requesting Data...</v>
      </c>
      <c r="M469" s="8" t="str">
        <f>IF($A469="","",IF(ISNUMBER(FIND("IMPVOL",M$1)),_xll.BDH(config!$G$4,M$1,WORKDAY($A469,-1,config_Holiday_Calendar_US),WORKDAY($A469,-1,config_Holiday_Calendar_US)),IF(ISNUMBER(_xll.BDH(config!$G$4,M$1,$A469,$A469)),_xll.BDH(config!$G$4,M$1,$A469,$A469),_xll.BDH(config!$G$5,M$1,$A469,$A469))))</f>
        <v>#N/A Requesting Data...</v>
      </c>
      <c r="N469" s="8" t="str">
        <f>IF($A469="","",IF(ISNUMBER(FIND("IMPVOL",N$1)),_xll.BDH(config!$G$4,N$1,WORKDAY($A469,-1,config_Holiday_Calendar_US),WORKDAY($A469,-1,config_Holiday_Calendar_US)),IF(ISNUMBER(_xll.BDH(config!$G$4,N$1,$A469,$A469)),_xll.BDH(config!$G$4,N$1,$A469,$A469),_xll.BDH(config!$G$5,N$1,$A469,$A469))))</f>
        <v>#N/A Requesting Data...</v>
      </c>
      <c r="O469" s="8" t="str">
        <f>IF($A469="","",IF(ISNUMBER(FIND("IMPVOL",O$1)),_xll.BDH(config!$G$4,O$1,WORKDAY($A469,-1,config_Holiday_Calendar_US),WORKDAY($A469,-1,config_Holiday_Calendar_US)),IF(ISNUMBER(_xll.BDH(config!$G$4,O$1,$A469,$A469)),_xll.BDH(config!$G$4,O$1,$A469,$A469),_xll.BDH(config!$G$5,O$1,$A469,$A469))))</f>
        <v>#N/A Requesting Data...</v>
      </c>
      <c r="P469" s="8" t="str">
        <f>IF($A469="","",IF(ISNUMBER(FIND("IMPVOL",P$1)),_xll.BDH(config!$G$4,P$1,WORKDAY($A469,-1,config_Holiday_Calendar_US),WORKDAY($A469,-1,config_Holiday_Calendar_US)),IF(ISNUMBER(_xll.BDH(config!$G$4,P$1,$A469,$A469)),_xll.BDH(config!$G$4,P$1,$A469,$A469),_xll.BDH(config!$G$5,P$1,$A469,$A469))))</f>
        <v>#N/A Requesting Data...</v>
      </c>
      <c r="Q469" s="8" t="str">
        <f>IF($A469="","",IF(ISNUMBER(FIND("IMPVOL",Q$1)),_xll.BDH(config!$G$4,Q$1,WORKDAY($A469,-1,config_Holiday_Calendar_US),WORKDAY($A469,-1,config_Holiday_Calendar_US)),IF(ISNUMBER(_xll.BDH(config!$G$4,Q$1,$A469,$A469)),_xll.BDH(config!$G$4,Q$1,$A469,$A469),_xll.BDH(config!$G$5,Q$1,$A469,$A469))))</f>
        <v>#N/A Requesting Data...</v>
      </c>
      <c r="R469" s="8" t="str">
        <f>IF($A469="","",IF(ISNUMBER(FIND("IMPVOL",R$1)),_xll.BDH(config!$G$4,R$1,WORKDAY($A469,-1,config_Holiday_Calendar_US),WORKDAY($A469,-1,config_Holiday_Calendar_US)),IF(ISNUMBER(_xll.BDH(config!$G$4,R$1,$A469,$A469)),_xll.BDH(config!$G$4,R$1,$A469,$A469),_xll.BDH(config!$G$5,R$1,$A469,$A469))))</f>
        <v>#N/A Requesting Data...</v>
      </c>
      <c r="S469" s="8" t="str">
        <f>IF($A469="","",IF(ISNUMBER(FIND("IMPVOL",S$1)),_xll.BDH(config!$G$4,S$1,WORKDAY($A469,-1,config_Holiday_Calendar_US),WORKDAY($A469,-1,config_Holiday_Calendar_US)),IF(ISNUMBER(_xll.BDH(config!$G$4,S$1,$A469,$A469)),_xll.BDH(config!$G$4,S$1,$A469,$A469),_xll.BDH(config!$G$5,S$1,$A469,$A469))))</f>
        <v>#N/A Requesting Data...</v>
      </c>
      <c r="T469" s="8" t="str">
        <f>IF($A469="","",IF(ISNUMBER(FIND("IMPVOL",T$1)),_xll.BDH(config!$G$4,T$1,WORKDAY($A469,-1,config_Holiday_Calendar_US),WORKDAY($A469,-1,config_Holiday_Calendar_US)),IF(ISNUMBER(_xll.BDH(config!$G$4,T$1,$A469,$A469)),_xll.BDH(config!$G$4,T$1,$A469,$A469),_xll.BDH(config!$G$5,T$1,$A469,$A469))))</f>
        <v>#N/A Requesting Data...</v>
      </c>
      <c r="U469" s="8" t="str">
        <f>IF($A469="","",IF(ISNUMBER(FIND("IMPVOL",U$1)),_xll.BDH(config!$G$4,U$1,WORKDAY($A469,-1,config_Holiday_Calendar_US),WORKDAY($A469,-1,config_Holiday_Calendar_US)),IF(ISNUMBER(_xll.BDH(config!$G$4,U$1,$A469,$A469)),_xll.BDH(config!$G$4,U$1,$A469,$A469),_xll.BDH(config!$G$5,U$1,$A469,$A469))))</f>
        <v>#N/A Requesting Data...</v>
      </c>
      <c r="V469" s="8" t="str">
        <f>IF($A469="","",IF(ISNUMBER(FIND("IMPVOL",V$1)),_xll.BDH(config!$G$4,V$1,WORKDAY($A469,-1,config_Holiday_Calendar_US),WORKDAY($A469,-1,config_Holiday_Calendar_US)),IF(ISNUMBER(_xll.BDH(config!$G$4,V$1,$A469,$A469)),_xll.BDH(config!$G$4,V$1,$A469,$A469),_xll.BDH(config!$G$5,V$1,$A469,$A469))))</f>
        <v>#N/A Requesting Data...</v>
      </c>
      <c r="W469" s="8" t="str">
        <f>IF($A469="","",IF(ISNUMBER(FIND("IMPVOL",W$1)),_xll.BDH(config!$G$4,W$1,WORKDAY($A469,-1,config_Holiday_Calendar_US),WORKDAY($A469,-1,config_Holiday_Calendar_US)),IF(ISNUMBER(_xll.BDH(config!$G$4,W$1,$A469,$A469)),_xll.BDH(config!$G$4,W$1,$A469,$A469),_xll.BDH(config!$G$5,W$1,$A469,$A469))))</f>
        <v>#N/A Requesting Data...</v>
      </c>
    </row>
    <row r="470" spans="1:23" x14ac:dyDescent="0.2">
      <c r="A470" s="9">
        <f>IF(A469="","",IF(WORKDAY(A469,-1,config_Holiday_Calendar_US)&lt;config!$I$10,"",WORKDAY(A469,-1,config_Holiday_Calendar_US)))</f>
        <v>42146</v>
      </c>
      <c r="B470" s="8" t="e">
        <f t="shared" si="7"/>
        <v>#VALUE!</v>
      </c>
      <c r="C470" s="8" t="str">
        <f>IF(A470="","",_xll.BDH(config!$H$4,C$1,$A470,$A470))</f>
        <v>#N/A Requesting Data...</v>
      </c>
      <c r="D470" s="8" t="str">
        <f>IF($A470="","",_xll.BDH(config!$H$4,D$1,$A470,$A470))</f>
        <v>#N/A Requesting Data...</v>
      </c>
      <c r="E470" s="8">
        <f>IF($A470="","",IF(ISNUMBER(FIND("IMPVOL",E$1)),_xll.BDH(config!$G$4,E$1,WORKDAY($A470,-1,config_Holiday_Calendar_US),WORKDAY($A470,-1,config_Holiday_Calendar_US)),IF(ISNUMBER(_xll.BDH(config!$G$4,E$1,$A470,$A470)),_xll.BDH(config!$G$4,E$1,$A470,$A470),_xll.BDH(config!$G$5,E$1,$A470,$A470))))</f>
        <v>60.66</v>
      </c>
      <c r="F470" s="8">
        <f>IF($A470="","",IF(ISNUMBER(FIND("IMPVOL",F$1)),_xll.BDH(config!$G$4,F$1,WORKDAY($A470,-1,config_Holiday_Calendar_US),WORKDAY($A470,-1,config_Holiday_Calendar_US)),IF(ISNUMBER(_xll.BDH(config!$G$4,F$1,$A470,$A470)),_xll.BDH(config!$G$4,F$1,$A470,$A470),_xll.BDH(config!$G$5,F$1,$A470,$A470))))</f>
        <v>60.8</v>
      </c>
      <c r="G470" s="8" t="str">
        <f>IF($A470="","",IF(ISNUMBER(FIND("IMPVOL",G$1)),_xll.BDH(config!$G$4,G$1,WORKDAY($A470,-1,config_Holiday_Calendar_US),WORKDAY($A470,-1,config_Holiday_Calendar_US)),IF(ISNUMBER(_xll.BDH(config!$G$4,G$1,$A470,$A470)),_xll.BDH(config!$G$4,G$1,$A470,$A470),_xll.BDH(config!$G$5,G$1,$A470,$A470))))</f>
        <v>#N/A Requesting Data...</v>
      </c>
      <c r="H470" s="8" t="str">
        <f>IF($A470="","",IF(ISNUMBER(FIND("IMPVOL",H$1)),_xll.BDH(config!$G$4,H$1,WORKDAY($A470,-1,config_Holiday_Calendar_US),WORKDAY($A470,-1,config_Holiday_Calendar_US)),IF(ISNUMBER(_xll.BDH(config!$G$4,H$1,$A470,$A470)),_xll.BDH(config!$G$4,H$1,$A470,$A470),_xll.BDH(config!$G$5,H$1,$A470,$A470))))</f>
        <v>#N/A Requesting Data...</v>
      </c>
      <c r="I470" s="8" t="str">
        <f>IF($A470="","",IF(ISNUMBER(FIND("IMPVOL",I$1)),_xll.BDH(config!$G$4,I$1,WORKDAY($A470,-1,config_Holiday_Calendar_US),WORKDAY($A470,-1,config_Holiday_Calendar_US)),IF(ISNUMBER(_xll.BDH(config!$G$4,I$1,$A470,$A470)),_xll.BDH(config!$G$4,I$1,$A470,$A470),_xll.BDH(config!$G$5,I$1,$A470,$A470))))</f>
        <v>#N/A Requesting Data...</v>
      </c>
      <c r="J470" s="8" t="str">
        <f>IF($A470="","",IF(ISNUMBER(FIND("IMPVOL",J$1)),_xll.BDH(config!$G$4,J$1,WORKDAY($A470,-1,config_Holiday_Calendar_US),WORKDAY($A470,-1,config_Holiday_Calendar_US)),IF(ISNUMBER(_xll.BDH(config!$G$4,J$1,$A470,$A470)),_xll.BDH(config!$G$4,J$1,$A470,$A470),_xll.BDH(config!$G$5,J$1,$A470,$A470))))</f>
        <v>#N/A Requesting Data...</v>
      </c>
      <c r="K470" s="8" t="str">
        <f>IF($A470="","",IF(ISNUMBER(FIND("IMPVOL",K$1)),_xll.BDH(config!$G$4,K$1,WORKDAY($A470,-1,config_Holiday_Calendar_US),WORKDAY($A470,-1,config_Holiday_Calendar_US)),IF(ISNUMBER(_xll.BDH(config!$G$4,K$1,$A470,$A470)),_xll.BDH(config!$G$4,K$1,$A470,$A470),_xll.BDH(config!$G$5,K$1,$A470,$A470))))</f>
        <v>#N/A Requesting Data...</v>
      </c>
      <c r="L470" s="8" t="str">
        <f>IF($A470="","",IF(ISNUMBER(FIND("IMPVOL",L$1)),_xll.BDH(config!$G$4,L$1,WORKDAY($A470,-1,config_Holiday_Calendar_US),WORKDAY($A470,-1,config_Holiday_Calendar_US)),IF(ISNUMBER(_xll.BDH(config!$G$4,L$1,$A470,$A470)),_xll.BDH(config!$G$4,L$1,$A470,$A470),_xll.BDH(config!$G$5,L$1,$A470,$A470))))</f>
        <v>#N/A Requesting Data...</v>
      </c>
      <c r="M470" s="8" t="str">
        <f>IF($A470="","",IF(ISNUMBER(FIND("IMPVOL",M$1)),_xll.BDH(config!$G$4,M$1,WORKDAY($A470,-1,config_Holiday_Calendar_US),WORKDAY($A470,-1,config_Holiday_Calendar_US)),IF(ISNUMBER(_xll.BDH(config!$G$4,M$1,$A470,$A470)),_xll.BDH(config!$G$4,M$1,$A470,$A470),_xll.BDH(config!$G$5,M$1,$A470,$A470))))</f>
        <v>#N/A Requesting Data...</v>
      </c>
      <c r="N470" s="8" t="str">
        <f>IF($A470="","",IF(ISNUMBER(FIND("IMPVOL",N$1)),_xll.BDH(config!$G$4,N$1,WORKDAY($A470,-1,config_Holiday_Calendar_US),WORKDAY($A470,-1,config_Holiday_Calendar_US)),IF(ISNUMBER(_xll.BDH(config!$G$4,N$1,$A470,$A470)),_xll.BDH(config!$G$4,N$1,$A470,$A470),_xll.BDH(config!$G$5,N$1,$A470,$A470))))</f>
        <v>#N/A Requesting Data...</v>
      </c>
      <c r="O470" s="8" t="str">
        <f>IF($A470="","",IF(ISNUMBER(FIND("IMPVOL",O$1)),_xll.BDH(config!$G$4,O$1,WORKDAY($A470,-1,config_Holiday_Calendar_US),WORKDAY($A470,-1,config_Holiday_Calendar_US)),IF(ISNUMBER(_xll.BDH(config!$G$4,O$1,$A470,$A470)),_xll.BDH(config!$G$4,O$1,$A470,$A470),_xll.BDH(config!$G$5,O$1,$A470,$A470))))</f>
        <v>#N/A Requesting Data...</v>
      </c>
      <c r="P470" s="8" t="str">
        <f>IF($A470="","",IF(ISNUMBER(FIND("IMPVOL",P$1)),_xll.BDH(config!$G$4,P$1,WORKDAY($A470,-1,config_Holiday_Calendar_US),WORKDAY($A470,-1,config_Holiday_Calendar_US)),IF(ISNUMBER(_xll.BDH(config!$G$4,P$1,$A470,$A470)),_xll.BDH(config!$G$4,P$1,$A470,$A470),_xll.BDH(config!$G$5,P$1,$A470,$A470))))</f>
        <v>#N/A Requesting Data...</v>
      </c>
      <c r="Q470" s="8" t="str">
        <f>IF($A470="","",IF(ISNUMBER(FIND("IMPVOL",Q$1)),_xll.BDH(config!$G$4,Q$1,WORKDAY($A470,-1,config_Holiday_Calendar_US),WORKDAY($A470,-1,config_Holiday_Calendar_US)),IF(ISNUMBER(_xll.BDH(config!$G$4,Q$1,$A470,$A470)),_xll.BDH(config!$G$4,Q$1,$A470,$A470),_xll.BDH(config!$G$5,Q$1,$A470,$A470))))</f>
        <v>#N/A Requesting Data...</v>
      </c>
      <c r="R470" s="8" t="str">
        <f>IF($A470="","",IF(ISNUMBER(FIND("IMPVOL",R$1)),_xll.BDH(config!$G$4,R$1,WORKDAY($A470,-1,config_Holiday_Calendar_US),WORKDAY($A470,-1,config_Holiday_Calendar_US)),IF(ISNUMBER(_xll.BDH(config!$G$4,R$1,$A470,$A470)),_xll.BDH(config!$G$4,R$1,$A470,$A470),_xll.BDH(config!$G$5,R$1,$A470,$A470))))</f>
        <v>#N/A Requesting Data...</v>
      </c>
      <c r="S470" s="8" t="str">
        <f>IF($A470="","",IF(ISNUMBER(FIND("IMPVOL",S$1)),_xll.BDH(config!$G$4,S$1,WORKDAY($A470,-1,config_Holiday_Calendar_US),WORKDAY($A470,-1,config_Holiday_Calendar_US)),IF(ISNUMBER(_xll.BDH(config!$G$4,S$1,$A470,$A470)),_xll.BDH(config!$G$4,S$1,$A470,$A470),_xll.BDH(config!$G$5,S$1,$A470,$A470))))</f>
        <v>#N/A Requesting Data...</v>
      </c>
      <c r="T470" s="8" t="str">
        <f>IF($A470="","",IF(ISNUMBER(FIND("IMPVOL",T$1)),_xll.BDH(config!$G$4,T$1,WORKDAY($A470,-1,config_Holiday_Calendar_US),WORKDAY($A470,-1,config_Holiday_Calendar_US)),IF(ISNUMBER(_xll.BDH(config!$G$4,T$1,$A470,$A470)),_xll.BDH(config!$G$4,T$1,$A470,$A470),_xll.BDH(config!$G$5,T$1,$A470,$A470))))</f>
        <v>#N/A Requesting Data...</v>
      </c>
      <c r="U470" s="8" t="str">
        <f>IF($A470="","",IF(ISNUMBER(FIND("IMPVOL",U$1)),_xll.BDH(config!$G$4,U$1,WORKDAY($A470,-1,config_Holiday_Calendar_US),WORKDAY($A470,-1,config_Holiday_Calendar_US)),IF(ISNUMBER(_xll.BDH(config!$G$4,U$1,$A470,$A470)),_xll.BDH(config!$G$4,U$1,$A470,$A470),_xll.BDH(config!$G$5,U$1,$A470,$A470))))</f>
        <v>#N/A Requesting Data...</v>
      </c>
      <c r="V470" s="8" t="str">
        <f>IF($A470="","",IF(ISNUMBER(FIND("IMPVOL",V$1)),_xll.BDH(config!$G$4,V$1,WORKDAY($A470,-1,config_Holiday_Calendar_US),WORKDAY($A470,-1,config_Holiday_Calendar_US)),IF(ISNUMBER(_xll.BDH(config!$G$4,V$1,$A470,$A470)),_xll.BDH(config!$G$4,V$1,$A470,$A470),_xll.BDH(config!$G$5,V$1,$A470,$A470))))</f>
        <v>#N/A Requesting Data...</v>
      </c>
      <c r="W470" s="8" t="str">
        <f>IF($A470="","",IF(ISNUMBER(FIND("IMPVOL",W$1)),_xll.BDH(config!$G$4,W$1,WORKDAY($A470,-1,config_Holiday_Calendar_US),WORKDAY($A470,-1,config_Holiday_Calendar_US)),IF(ISNUMBER(_xll.BDH(config!$G$4,W$1,$A470,$A470)),_xll.BDH(config!$G$4,W$1,$A470,$A470),_xll.BDH(config!$G$5,W$1,$A470,$A470))))</f>
        <v>#N/A Requesting Data...</v>
      </c>
    </row>
    <row r="471" spans="1:23" x14ac:dyDescent="0.2">
      <c r="A471" s="9">
        <f>IF(A470="","",IF(WORKDAY(A470,-1,config_Holiday_Calendar_US)&lt;config!$I$10,"",WORKDAY(A470,-1,config_Holiday_Calendar_US)))</f>
        <v>42145</v>
      </c>
      <c r="B471" s="8" t="e">
        <f t="shared" si="7"/>
        <v>#VALUE!</v>
      </c>
      <c r="C471" s="8" t="str">
        <f>IF(A471="","",_xll.BDH(config!$H$4,C$1,$A471,$A471))</f>
        <v>#N/A Requesting Data...</v>
      </c>
      <c r="D471" s="8" t="str">
        <f>IF($A471="","",_xll.BDH(config!$H$4,D$1,$A471,$A471))</f>
        <v>#N/A Requesting Data...</v>
      </c>
      <c r="E471" s="8">
        <f>IF($A471="","",IF(ISNUMBER(FIND("IMPVOL",E$1)),_xll.BDH(config!$G$4,E$1,WORKDAY($A471,-1,config_Holiday_Calendar_US),WORKDAY($A471,-1,config_Holiday_Calendar_US)),IF(ISNUMBER(_xll.BDH(config!$G$4,E$1,$A471,$A471)),_xll.BDH(config!$G$4,E$1,$A471,$A471),_xll.BDH(config!$G$5,E$1,$A471,$A471))))</f>
        <v>58.81</v>
      </c>
      <c r="F471" s="8">
        <f>IF($A471="","",IF(ISNUMBER(FIND("IMPVOL",F$1)),_xll.BDH(config!$G$4,F$1,WORKDAY($A471,-1,config_Holiday_Calendar_US),WORKDAY($A471,-1,config_Holiday_Calendar_US)),IF(ISNUMBER(_xll.BDH(config!$G$4,F$1,$A471,$A471)),_xll.BDH(config!$G$4,F$1,$A471,$A471),_xll.BDH(config!$G$5,F$1,$A471,$A471))))</f>
        <v>60.94</v>
      </c>
      <c r="G471" s="8" t="str">
        <f>IF($A471="","",IF(ISNUMBER(FIND("IMPVOL",G$1)),_xll.BDH(config!$G$4,G$1,WORKDAY($A471,-1,config_Holiday_Calendar_US),WORKDAY($A471,-1,config_Holiday_Calendar_US)),IF(ISNUMBER(_xll.BDH(config!$G$4,G$1,$A471,$A471)),_xll.BDH(config!$G$4,G$1,$A471,$A471),_xll.BDH(config!$G$5,G$1,$A471,$A471))))</f>
        <v>#N/A Requesting Data...</v>
      </c>
      <c r="H471" s="8" t="str">
        <f>IF($A471="","",IF(ISNUMBER(FIND("IMPVOL",H$1)),_xll.BDH(config!$G$4,H$1,WORKDAY($A471,-1,config_Holiday_Calendar_US),WORKDAY($A471,-1,config_Holiday_Calendar_US)),IF(ISNUMBER(_xll.BDH(config!$G$4,H$1,$A471,$A471)),_xll.BDH(config!$G$4,H$1,$A471,$A471),_xll.BDH(config!$G$5,H$1,$A471,$A471))))</f>
        <v>#N/A Requesting Data...</v>
      </c>
      <c r="I471" s="8" t="str">
        <f>IF($A471="","",IF(ISNUMBER(FIND("IMPVOL",I$1)),_xll.BDH(config!$G$4,I$1,WORKDAY($A471,-1,config_Holiday_Calendar_US),WORKDAY($A471,-1,config_Holiday_Calendar_US)),IF(ISNUMBER(_xll.BDH(config!$G$4,I$1,$A471,$A471)),_xll.BDH(config!$G$4,I$1,$A471,$A471),_xll.BDH(config!$G$5,I$1,$A471,$A471))))</f>
        <v>#N/A Requesting Data...</v>
      </c>
      <c r="J471" s="8" t="str">
        <f>IF($A471="","",IF(ISNUMBER(FIND("IMPVOL",J$1)),_xll.BDH(config!$G$4,J$1,WORKDAY($A471,-1,config_Holiday_Calendar_US),WORKDAY($A471,-1,config_Holiday_Calendar_US)),IF(ISNUMBER(_xll.BDH(config!$G$4,J$1,$A471,$A471)),_xll.BDH(config!$G$4,J$1,$A471,$A471),_xll.BDH(config!$G$5,J$1,$A471,$A471))))</f>
        <v>#N/A Requesting Data...</v>
      </c>
      <c r="K471" s="8" t="str">
        <f>IF($A471="","",IF(ISNUMBER(FIND("IMPVOL",K$1)),_xll.BDH(config!$G$4,K$1,WORKDAY($A471,-1,config_Holiday_Calendar_US),WORKDAY($A471,-1,config_Holiday_Calendar_US)),IF(ISNUMBER(_xll.BDH(config!$G$4,K$1,$A471,$A471)),_xll.BDH(config!$G$4,K$1,$A471,$A471),_xll.BDH(config!$G$5,K$1,$A471,$A471))))</f>
        <v>#N/A Requesting Data...</v>
      </c>
      <c r="L471" s="8" t="str">
        <f>IF($A471="","",IF(ISNUMBER(FIND("IMPVOL",L$1)),_xll.BDH(config!$G$4,L$1,WORKDAY($A471,-1,config_Holiday_Calendar_US),WORKDAY($A471,-1,config_Holiday_Calendar_US)),IF(ISNUMBER(_xll.BDH(config!$G$4,L$1,$A471,$A471)),_xll.BDH(config!$G$4,L$1,$A471,$A471),_xll.BDH(config!$G$5,L$1,$A471,$A471))))</f>
        <v>#N/A Requesting Data...</v>
      </c>
      <c r="M471" s="8" t="str">
        <f>IF($A471="","",IF(ISNUMBER(FIND("IMPVOL",M$1)),_xll.BDH(config!$G$4,M$1,WORKDAY($A471,-1,config_Holiday_Calendar_US),WORKDAY($A471,-1,config_Holiday_Calendar_US)),IF(ISNUMBER(_xll.BDH(config!$G$4,M$1,$A471,$A471)),_xll.BDH(config!$G$4,M$1,$A471,$A471),_xll.BDH(config!$G$5,M$1,$A471,$A471))))</f>
        <v>#N/A Requesting Data...</v>
      </c>
      <c r="N471" s="8" t="str">
        <f>IF($A471="","",IF(ISNUMBER(FIND("IMPVOL",N$1)),_xll.BDH(config!$G$4,N$1,WORKDAY($A471,-1,config_Holiday_Calendar_US),WORKDAY($A471,-1,config_Holiday_Calendar_US)),IF(ISNUMBER(_xll.BDH(config!$G$4,N$1,$A471,$A471)),_xll.BDH(config!$G$4,N$1,$A471,$A471),_xll.BDH(config!$G$5,N$1,$A471,$A471))))</f>
        <v>#N/A Requesting Data...</v>
      </c>
      <c r="O471" s="8" t="str">
        <f>IF($A471="","",IF(ISNUMBER(FIND("IMPVOL",O$1)),_xll.BDH(config!$G$4,O$1,WORKDAY($A471,-1,config_Holiday_Calendar_US),WORKDAY($A471,-1,config_Holiday_Calendar_US)),IF(ISNUMBER(_xll.BDH(config!$G$4,O$1,$A471,$A471)),_xll.BDH(config!$G$4,O$1,$A471,$A471),_xll.BDH(config!$G$5,O$1,$A471,$A471))))</f>
        <v>#N/A Requesting Data...</v>
      </c>
      <c r="P471" s="8" t="str">
        <f>IF($A471="","",IF(ISNUMBER(FIND("IMPVOL",P$1)),_xll.BDH(config!$G$4,P$1,WORKDAY($A471,-1,config_Holiday_Calendar_US),WORKDAY($A471,-1,config_Holiday_Calendar_US)),IF(ISNUMBER(_xll.BDH(config!$G$4,P$1,$A471,$A471)),_xll.BDH(config!$G$4,P$1,$A471,$A471),_xll.BDH(config!$G$5,P$1,$A471,$A471))))</f>
        <v>#N/A Requesting Data...</v>
      </c>
      <c r="Q471" s="8" t="str">
        <f>IF($A471="","",IF(ISNUMBER(FIND("IMPVOL",Q$1)),_xll.BDH(config!$G$4,Q$1,WORKDAY($A471,-1,config_Holiday_Calendar_US),WORKDAY($A471,-1,config_Holiday_Calendar_US)),IF(ISNUMBER(_xll.BDH(config!$G$4,Q$1,$A471,$A471)),_xll.BDH(config!$G$4,Q$1,$A471,$A471),_xll.BDH(config!$G$5,Q$1,$A471,$A471))))</f>
        <v>#N/A Requesting Data...</v>
      </c>
      <c r="R471" s="8" t="str">
        <f>IF($A471="","",IF(ISNUMBER(FIND("IMPVOL",R$1)),_xll.BDH(config!$G$4,R$1,WORKDAY($A471,-1,config_Holiday_Calendar_US),WORKDAY($A471,-1,config_Holiday_Calendar_US)),IF(ISNUMBER(_xll.BDH(config!$G$4,R$1,$A471,$A471)),_xll.BDH(config!$G$4,R$1,$A471,$A471),_xll.BDH(config!$G$5,R$1,$A471,$A471))))</f>
        <v>#N/A Requesting Data...</v>
      </c>
      <c r="S471" s="8" t="str">
        <f>IF($A471="","",IF(ISNUMBER(FIND("IMPVOL",S$1)),_xll.BDH(config!$G$4,S$1,WORKDAY($A471,-1,config_Holiday_Calendar_US),WORKDAY($A471,-1,config_Holiday_Calendar_US)),IF(ISNUMBER(_xll.BDH(config!$G$4,S$1,$A471,$A471)),_xll.BDH(config!$G$4,S$1,$A471,$A471),_xll.BDH(config!$G$5,S$1,$A471,$A471))))</f>
        <v>#N/A Requesting Data...</v>
      </c>
      <c r="T471" s="8" t="str">
        <f>IF($A471="","",IF(ISNUMBER(FIND("IMPVOL",T$1)),_xll.BDH(config!$G$4,T$1,WORKDAY($A471,-1,config_Holiday_Calendar_US),WORKDAY($A471,-1,config_Holiday_Calendar_US)),IF(ISNUMBER(_xll.BDH(config!$G$4,T$1,$A471,$A471)),_xll.BDH(config!$G$4,T$1,$A471,$A471),_xll.BDH(config!$G$5,T$1,$A471,$A471))))</f>
        <v>#N/A Requesting Data...</v>
      </c>
      <c r="U471" s="8" t="str">
        <f>IF($A471="","",IF(ISNUMBER(FIND("IMPVOL",U$1)),_xll.BDH(config!$G$4,U$1,WORKDAY($A471,-1,config_Holiday_Calendar_US),WORKDAY($A471,-1,config_Holiday_Calendar_US)),IF(ISNUMBER(_xll.BDH(config!$G$4,U$1,$A471,$A471)),_xll.BDH(config!$G$4,U$1,$A471,$A471),_xll.BDH(config!$G$5,U$1,$A471,$A471))))</f>
        <v>#N/A Requesting Data...</v>
      </c>
      <c r="V471" s="8" t="str">
        <f>IF($A471="","",IF(ISNUMBER(FIND("IMPVOL",V$1)),_xll.BDH(config!$G$4,V$1,WORKDAY($A471,-1,config_Holiday_Calendar_US),WORKDAY($A471,-1,config_Holiday_Calendar_US)),IF(ISNUMBER(_xll.BDH(config!$G$4,V$1,$A471,$A471)),_xll.BDH(config!$G$4,V$1,$A471,$A471),_xll.BDH(config!$G$5,V$1,$A471,$A471))))</f>
        <v>#N/A Requesting Data...</v>
      </c>
      <c r="W471" s="8" t="str">
        <f>IF($A471="","",IF(ISNUMBER(FIND("IMPVOL",W$1)),_xll.BDH(config!$G$4,W$1,WORKDAY($A471,-1,config_Holiday_Calendar_US),WORKDAY($A471,-1,config_Holiday_Calendar_US)),IF(ISNUMBER(_xll.BDH(config!$G$4,W$1,$A471,$A471)),_xll.BDH(config!$G$4,W$1,$A471,$A471),_xll.BDH(config!$G$5,W$1,$A471,$A471))))</f>
        <v>#N/A Requesting Data...</v>
      </c>
    </row>
    <row r="472" spans="1:23" x14ac:dyDescent="0.2">
      <c r="A472" s="9">
        <f>IF(A471="","",IF(WORKDAY(A471,-1,config_Holiday_Calendar_US)&lt;config!$I$10,"",WORKDAY(A471,-1,config_Holiday_Calendar_US)))</f>
        <v>42144</v>
      </c>
      <c r="B472" s="8" t="e">
        <f t="shared" si="7"/>
        <v>#VALUE!</v>
      </c>
      <c r="C472" s="8" t="str">
        <f>IF(A472="","",_xll.BDH(config!$H$4,C$1,$A472,$A472))</f>
        <v>#N/A Requesting Data...</v>
      </c>
      <c r="D472" s="8" t="str">
        <f>IF($A472="","",_xll.BDH(config!$H$4,D$1,$A472,$A472))</f>
        <v>#N/A Requesting Data...</v>
      </c>
      <c r="E472" s="8">
        <f>IF($A472="","",IF(ISNUMBER(FIND("IMPVOL",E$1)),_xll.BDH(config!$G$4,E$1,WORKDAY($A472,-1,config_Holiday_Calendar_US),WORKDAY($A472,-1,config_Holiday_Calendar_US)),IF(ISNUMBER(_xll.BDH(config!$G$4,E$1,$A472,$A472)),_xll.BDH(config!$G$4,E$1,$A472,$A472),_xll.BDH(config!$G$5,E$1,$A472,$A472))))</f>
        <v>58.32</v>
      </c>
      <c r="F472" s="8">
        <f>IF($A472="","",IF(ISNUMBER(FIND("IMPVOL",F$1)),_xll.BDH(config!$G$4,F$1,WORKDAY($A472,-1,config_Holiday_Calendar_US),WORKDAY($A472,-1,config_Holiday_Calendar_US)),IF(ISNUMBER(_xll.BDH(config!$G$4,F$1,$A472,$A472)),_xll.BDH(config!$G$4,F$1,$A472,$A472),_xll.BDH(config!$G$5,F$1,$A472,$A472))))</f>
        <v>59.04</v>
      </c>
      <c r="G472" s="8" t="str">
        <f>IF($A472="","",IF(ISNUMBER(FIND("IMPVOL",G$1)),_xll.BDH(config!$G$4,G$1,WORKDAY($A472,-1,config_Holiday_Calendar_US),WORKDAY($A472,-1,config_Holiday_Calendar_US)),IF(ISNUMBER(_xll.BDH(config!$G$4,G$1,$A472,$A472)),_xll.BDH(config!$G$4,G$1,$A472,$A472),_xll.BDH(config!$G$5,G$1,$A472,$A472))))</f>
        <v>#N/A Requesting Data...</v>
      </c>
      <c r="H472" s="8" t="str">
        <f>IF($A472="","",IF(ISNUMBER(FIND("IMPVOL",H$1)),_xll.BDH(config!$G$4,H$1,WORKDAY($A472,-1,config_Holiday_Calendar_US),WORKDAY($A472,-1,config_Holiday_Calendar_US)),IF(ISNUMBER(_xll.BDH(config!$G$4,H$1,$A472,$A472)),_xll.BDH(config!$G$4,H$1,$A472,$A472),_xll.BDH(config!$G$5,H$1,$A472,$A472))))</f>
        <v>#N/A Requesting Data...</v>
      </c>
      <c r="I472" s="8" t="str">
        <f>IF($A472="","",IF(ISNUMBER(FIND("IMPVOL",I$1)),_xll.BDH(config!$G$4,I$1,WORKDAY($A472,-1,config_Holiday_Calendar_US),WORKDAY($A472,-1,config_Holiday_Calendar_US)),IF(ISNUMBER(_xll.BDH(config!$G$4,I$1,$A472,$A472)),_xll.BDH(config!$G$4,I$1,$A472,$A472),_xll.BDH(config!$G$5,I$1,$A472,$A472))))</f>
        <v>#N/A Requesting Data...</v>
      </c>
      <c r="J472" s="8" t="str">
        <f>IF($A472="","",IF(ISNUMBER(FIND("IMPVOL",J$1)),_xll.BDH(config!$G$4,J$1,WORKDAY($A472,-1,config_Holiday_Calendar_US),WORKDAY($A472,-1,config_Holiday_Calendar_US)),IF(ISNUMBER(_xll.BDH(config!$G$4,J$1,$A472,$A472)),_xll.BDH(config!$G$4,J$1,$A472,$A472),_xll.BDH(config!$G$5,J$1,$A472,$A472))))</f>
        <v>#N/A Requesting Data...</v>
      </c>
      <c r="K472" s="8" t="str">
        <f>IF($A472="","",IF(ISNUMBER(FIND("IMPVOL",K$1)),_xll.BDH(config!$G$4,K$1,WORKDAY($A472,-1,config_Holiday_Calendar_US),WORKDAY($A472,-1,config_Holiday_Calendar_US)),IF(ISNUMBER(_xll.BDH(config!$G$4,K$1,$A472,$A472)),_xll.BDH(config!$G$4,K$1,$A472,$A472),_xll.BDH(config!$G$5,K$1,$A472,$A472))))</f>
        <v>#N/A Requesting Data...</v>
      </c>
      <c r="L472" s="8" t="str">
        <f>IF($A472="","",IF(ISNUMBER(FIND("IMPVOL",L$1)),_xll.BDH(config!$G$4,L$1,WORKDAY($A472,-1,config_Holiday_Calendar_US),WORKDAY($A472,-1,config_Holiday_Calendar_US)),IF(ISNUMBER(_xll.BDH(config!$G$4,L$1,$A472,$A472)),_xll.BDH(config!$G$4,L$1,$A472,$A472),_xll.BDH(config!$G$5,L$1,$A472,$A472))))</f>
        <v>#N/A Requesting Data...</v>
      </c>
      <c r="M472" s="8" t="str">
        <f>IF($A472="","",IF(ISNUMBER(FIND("IMPVOL",M$1)),_xll.BDH(config!$G$4,M$1,WORKDAY($A472,-1,config_Holiday_Calendar_US),WORKDAY($A472,-1,config_Holiday_Calendar_US)),IF(ISNUMBER(_xll.BDH(config!$G$4,M$1,$A472,$A472)),_xll.BDH(config!$G$4,M$1,$A472,$A472),_xll.BDH(config!$G$5,M$1,$A472,$A472))))</f>
        <v>#N/A Requesting Data...</v>
      </c>
      <c r="N472" s="8" t="str">
        <f>IF($A472="","",IF(ISNUMBER(FIND("IMPVOL",N$1)),_xll.BDH(config!$G$4,N$1,WORKDAY($A472,-1,config_Holiday_Calendar_US),WORKDAY($A472,-1,config_Holiday_Calendar_US)),IF(ISNUMBER(_xll.BDH(config!$G$4,N$1,$A472,$A472)),_xll.BDH(config!$G$4,N$1,$A472,$A472),_xll.BDH(config!$G$5,N$1,$A472,$A472))))</f>
        <v>#N/A Requesting Data...</v>
      </c>
      <c r="O472" s="8" t="str">
        <f>IF($A472="","",IF(ISNUMBER(FIND("IMPVOL",O$1)),_xll.BDH(config!$G$4,O$1,WORKDAY($A472,-1,config_Holiday_Calendar_US),WORKDAY($A472,-1,config_Holiday_Calendar_US)),IF(ISNUMBER(_xll.BDH(config!$G$4,O$1,$A472,$A472)),_xll.BDH(config!$G$4,O$1,$A472,$A472),_xll.BDH(config!$G$5,O$1,$A472,$A472))))</f>
        <v>#N/A Requesting Data...</v>
      </c>
      <c r="P472" s="8" t="str">
        <f>IF($A472="","",IF(ISNUMBER(FIND("IMPVOL",P$1)),_xll.BDH(config!$G$4,P$1,WORKDAY($A472,-1,config_Holiday_Calendar_US),WORKDAY($A472,-1,config_Holiday_Calendar_US)),IF(ISNUMBER(_xll.BDH(config!$G$4,P$1,$A472,$A472)),_xll.BDH(config!$G$4,P$1,$A472,$A472),_xll.BDH(config!$G$5,P$1,$A472,$A472))))</f>
        <v>#N/A Requesting Data...</v>
      </c>
      <c r="Q472" s="8" t="str">
        <f>IF($A472="","",IF(ISNUMBER(FIND("IMPVOL",Q$1)),_xll.BDH(config!$G$4,Q$1,WORKDAY($A472,-1,config_Holiday_Calendar_US),WORKDAY($A472,-1,config_Holiday_Calendar_US)),IF(ISNUMBER(_xll.BDH(config!$G$4,Q$1,$A472,$A472)),_xll.BDH(config!$G$4,Q$1,$A472,$A472),_xll.BDH(config!$G$5,Q$1,$A472,$A472))))</f>
        <v>#N/A Requesting Data...</v>
      </c>
      <c r="R472" s="8" t="str">
        <f>IF($A472="","",IF(ISNUMBER(FIND("IMPVOL",R$1)),_xll.BDH(config!$G$4,R$1,WORKDAY($A472,-1,config_Holiday_Calendar_US),WORKDAY($A472,-1,config_Holiday_Calendar_US)),IF(ISNUMBER(_xll.BDH(config!$G$4,R$1,$A472,$A472)),_xll.BDH(config!$G$4,R$1,$A472,$A472),_xll.BDH(config!$G$5,R$1,$A472,$A472))))</f>
        <v>#N/A Requesting Data...</v>
      </c>
      <c r="S472" s="8" t="str">
        <f>IF($A472="","",IF(ISNUMBER(FIND("IMPVOL",S$1)),_xll.BDH(config!$G$4,S$1,WORKDAY($A472,-1,config_Holiday_Calendar_US),WORKDAY($A472,-1,config_Holiday_Calendar_US)),IF(ISNUMBER(_xll.BDH(config!$G$4,S$1,$A472,$A472)),_xll.BDH(config!$G$4,S$1,$A472,$A472),_xll.BDH(config!$G$5,S$1,$A472,$A472))))</f>
        <v>#N/A Requesting Data...</v>
      </c>
      <c r="T472" s="8" t="str">
        <f>IF($A472="","",IF(ISNUMBER(FIND("IMPVOL",T$1)),_xll.BDH(config!$G$4,T$1,WORKDAY($A472,-1,config_Holiday_Calendar_US),WORKDAY($A472,-1,config_Holiday_Calendar_US)),IF(ISNUMBER(_xll.BDH(config!$G$4,T$1,$A472,$A472)),_xll.BDH(config!$G$4,T$1,$A472,$A472),_xll.BDH(config!$G$5,T$1,$A472,$A472))))</f>
        <v>#N/A Requesting Data...</v>
      </c>
      <c r="U472" s="8" t="str">
        <f>IF($A472="","",IF(ISNUMBER(FIND("IMPVOL",U$1)),_xll.BDH(config!$G$4,U$1,WORKDAY($A472,-1,config_Holiday_Calendar_US),WORKDAY($A472,-1,config_Holiday_Calendar_US)),IF(ISNUMBER(_xll.BDH(config!$G$4,U$1,$A472,$A472)),_xll.BDH(config!$G$4,U$1,$A472,$A472),_xll.BDH(config!$G$5,U$1,$A472,$A472))))</f>
        <v>#N/A Requesting Data...</v>
      </c>
      <c r="V472" s="8" t="str">
        <f>IF($A472="","",IF(ISNUMBER(FIND("IMPVOL",V$1)),_xll.BDH(config!$G$4,V$1,WORKDAY($A472,-1,config_Holiday_Calendar_US),WORKDAY($A472,-1,config_Holiday_Calendar_US)),IF(ISNUMBER(_xll.BDH(config!$G$4,V$1,$A472,$A472)),_xll.BDH(config!$G$4,V$1,$A472,$A472),_xll.BDH(config!$G$5,V$1,$A472,$A472))))</f>
        <v>#N/A Requesting Data...</v>
      </c>
      <c r="W472" s="8" t="str">
        <f>IF($A472="","",IF(ISNUMBER(FIND("IMPVOL",W$1)),_xll.BDH(config!$G$4,W$1,WORKDAY($A472,-1,config_Holiday_Calendar_US),WORKDAY($A472,-1,config_Holiday_Calendar_US)),IF(ISNUMBER(_xll.BDH(config!$G$4,W$1,$A472,$A472)),_xll.BDH(config!$G$4,W$1,$A472,$A472),_xll.BDH(config!$G$5,W$1,$A472,$A472))))</f>
        <v>#N/A Requesting Data...</v>
      </c>
    </row>
    <row r="473" spans="1:23" x14ac:dyDescent="0.2">
      <c r="A473" s="9">
        <f>IF(A472="","",IF(WORKDAY(A472,-1,config_Holiday_Calendar_US)&lt;config!$I$10,"",WORKDAY(A472,-1,config_Holiday_Calendar_US)))</f>
        <v>42143</v>
      </c>
      <c r="B473" s="8" t="e">
        <f t="shared" si="7"/>
        <v>#VALUE!</v>
      </c>
      <c r="C473" s="8" t="str">
        <f>IF(A473="","",_xll.BDH(config!$H$4,C$1,$A473,$A473))</f>
        <v>#N/A Requesting Data...</v>
      </c>
      <c r="D473" s="8" t="str">
        <f>IF($A473="","",_xll.BDH(config!$H$4,D$1,$A473,$A473))</f>
        <v>#N/A Requesting Data...</v>
      </c>
      <c r="E473" s="8">
        <f>IF($A473="","",IF(ISNUMBER(FIND("IMPVOL",E$1)),_xll.BDH(config!$G$4,E$1,WORKDAY($A473,-1,config_Holiday_Calendar_US),WORKDAY($A473,-1,config_Holiday_Calendar_US)),IF(ISNUMBER(_xll.BDH(config!$G$4,E$1,$A473,$A473)),_xll.BDH(config!$G$4,E$1,$A473,$A473),_xll.BDH(config!$G$5,E$1,$A473,$A473))))</f>
        <v>59.54</v>
      </c>
      <c r="F473" s="8">
        <f>IF($A473="","",IF(ISNUMBER(FIND("IMPVOL",F$1)),_xll.BDH(config!$G$4,F$1,WORKDAY($A473,-1,config_Holiday_Calendar_US),WORKDAY($A473,-1,config_Holiday_Calendar_US)),IF(ISNUMBER(_xll.BDH(config!$G$4,F$1,$A473,$A473)),_xll.BDH(config!$G$4,F$1,$A473,$A473),_xll.BDH(config!$G$5,F$1,$A473,$A473))))</f>
        <v>59.63</v>
      </c>
      <c r="G473" s="8" t="str">
        <f>IF($A473="","",IF(ISNUMBER(FIND("IMPVOL",G$1)),_xll.BDH(config!$G$4,G$1,WORKDAY($A473,-1,config_Holiday_Calendar_US),WORKDAY($A473,-1,config_Holiday_Calendar_US)),IF(ISNUMBER(_xll.BDH(config!$G$4,G$1,$A473,$A473)),_xll.BDH(config!$G$4,G$1,$A473,$A473),_xll.BDH(config!$G$5,G$1,$A473,$A473))))</f>
        <v>#N/A Requesting Data...</v>
      </c>
      <c r="H473" s="8" t="str">
        <f>IF($A473="","",IF(ISNUMBER(FIND("IMPVOL",H$1)),_xll.BDH(config!$G$4,H$1,WORKDAY($A473,-1,config_Holiday_Calendar_US),WORKDAY($A473,-1,config_Holiday_Calendar_US)),IF(ISNUMBER(_xll.BDH(config!$G$4,H$1,$A473,$A473)),_xll.BDH(config!$G$4,H$1,$A473,$A473),_xll.BDH(config!$G$5,H$1,$A473,$A473))))</f>
        <v>#N/A Requesting Data...</v>
      </c>
      <c r="I473" s="8" t="str">
        <f>IF($A473="","",IF(ISNUMBER(FIND("IMPVOL",I$1)),_xll.BDH(config!$G$4,I$1,WORKDAY($A473,-1,config_Holiday_Calendar_US),WORKDAY($A473,-1,config_Holiday_Calendar_US)),IF(ISNUMBER(_xll.BDH(config!$G$4,I$1,$A473,$A473)),_xll.BDH(config!$G$4,I$1,$A473,$A473),_xll.BDH(config!$G$5,I$1,$A473,$A473))))</f>
        <v>#N/A Requesting Data...</v>
      </c>
      <c r="J473" s="8" t="str">
        <f>IF($A473="","",IF(ISNUMBER(FIND("IMPVOL",J$1)),_xll.BDH(config!$G$4,J$1,WORKDAY($A473,-1,config_Holiday_Calendar_US),WORKDAY($A473,-1,config_Holiday_Calendar_US)),IF(ISNUMBER(_xll.BDH(config!$G$4,J$1,$A473,$A473)),_xll.BDH(config!$G$4,J$1,$A473,$A473),_xll.BDH(config!$G$5,J$1,$A473,$A473))))</f>
        <v>#N/A Requesting Data...</v>
      </c>
      <c r="K473" s="8" t="str">
        <f>IF($A473="","",IF(ISNUMBER(FIND("IMPVOL",K$1)),_xll.BDH(config!$G$4,K$1,WORKDAY($A473,-1,config_Holiday_Calendar_US),WORKDAY($A473,-1,config_Holiday_Calendar_US)),IF(ISNUMBER(_xll.BDH(config!$G$4,K$1,$A473,$A473)),_xll.BDH(config!$G$4,K$1,$A473,$A473),_xll.BDH(config!$G$5,K$1,$A473,$A473))))</f>
        <v>#N/A Requesting Data...</v>
      </c>
      <c r="L473" s="8" t="str">
        <f>IF($A473="","",IF(ISNUMBER(FIND("IMPVOL",L$1)),_xll.BDH(config!$G$4,L$1,WORKDAY($A473,-1,config_Holiday_Calendar_US),WORKDAY($A473,-1,config_Holiday_Calendar_US)),IF(ISNUMBER(_xll.BDH(config!$G$4,L$1,$A473,$A473)),_xll.BDH(config!$G$4,L$1,$A473,$A473),_xll.BDH(config!$G$5,L$1,$A473,$A473))))</f>
        <v>#N/A Requesting Data...</v>
      </c>
      <c r="M473" s="8" t="str">
        <f>IF($A473="","",IF(ISNUMBER(FIND("IMPVOL",M$1)),_xll.BDH(config!$G$4,M$1,WORKDAY($A473,-1,config_Holiday_Calendar_US),WORKDAY($A473,-1,config_Holiday_Calendar_US)),IF(ISNUMBER(_xll.BDH(config!$G$4,M$1,$A473,$A473)),_xll.BDH(config!$G$4,M$1,$A473,$A473),_xll.BDH(config!$G$5,M$1,$A473,$A473))))</f>
        <v>#N/A Requesting Data...</v>
      </c>
      <c r="N473" s="8" t="str">
        <f>IF($A473="","",IF(ISNUMBER(FIND("IMPVOL",N$1)),_xll.BDH(config!$G$4,N$1,WORKDAY($A473,-1,config_Holiday_Calendar_US),WORKDAY($A473,-1,config_Holiday_Calendar_US)),IF(ISNUMBER(_xll.BDH(config!$G$4,N$1,$A473,$A473)),_xll.BDH(config!$G$4,N$1,$A473,$A473),_xll.BDH(config!$G$5,N$1,$A473,$A473))))</f>
        <v>#N/A Requesting Data...</v>
      </c>
      <c r="O473" s="8" t="str">
        <f>IF($A473="","",IF(ISNUMBER(FIND("IMPVOL",O$1)),_xll.BDH(config!$G$4,O$1,WORKDAY($A473,-1,config_Holiday_Calendar_US),WORKDAY($A473,-1,config_Holiday_Calendar_US)),IF(ISNUMBER(_xll.BDH(config!$G$4,O$1,$A473,$A473)),_xll.BDH(config!$G$4,O$1,$A473,$A473),_xll.BDH(config!$G$5,O$1,$A473,$A473))))</f>
        <v>#N/A Requesting Data...</v>
      </c>
      <c r="P473" s="8" t="str">
        <f>IF($A473="","",IF(ISNUMBER(FIND("IMPVOL",P$1)),_xll.BDH(config!$G$4,P$1,WORKDAY($A473,-1,config_Holiday_Calendar_US),WORKDAY($A473,-1,config_Holiday_Calendar_US)),IF(ISNUMBER(_xll.BDH(config!$G$4,P$1,$A473,$A473)),_xll.BDH(config!$G$4,P$1,$A473,$A473),_xll.BDH(config!$G$5,P$1,$A473,$A473))))</f>
        <v>#N/A Requesting Data...</v>
      </c>
      <c r="Q473" s="8" t="str">
        <f>IF($A473="","",IF(ISNUMBER(FIND("IMPVOL",Q$1)),_xll.BDH(config!$G$4,Q$1,WORKDAY($A473,-1,config_Holiday_Calendar_US),WORKDAY($A473,-1,config_Holiday_Calendar_US)),IF(ISNUMBER(_xll.BDH(config!$G$4,Q$1,$A473,$A473)),_xll.BDH(config!$G$4,Q$1,$A473,$A473),_xll.BDH(config!$G$5,Q$1,$A473,$A473))))</f>
        <v>#N/A Requesting Data...</v>
      </c>
      <c r="R473" s="8" t="str">
        <f>IF($A473="","",IF(ISNUMBER(FIND("IMPVOL",R$1)),_xll.BDH(config!$G$4,R$1,WORKDAY($A473,-1,config_Holiday_Calendar_US),WORKDAY($A473,-1,config_Holiday_Calendar_US)),IF(ISNUMBER(_xll.BDH(config!$G$4,R$1,$A473,$A473)),_xll.BDH(config!$G$4,R$1,$A473,$A473),_xll.BDH(config!$G$5,R$1,$A473,$A473))))</f>
        <v>#N/A Requesting Data...</v>
      </c>
      <c r="S473" s="8" t="str">
        <f>IF($A473="","",IF(ISNUMBER(FIND("IMPVOL",S$1)),_xll.BDH(config!$G$4,S$1,WORKDAY($A473,-1,config_Holiday_Calendar_US),WORKDAY($A473,-1,config_Holiday_Calendar_US)),IF(ISNUMBER(_xll.BDH(config!$G$4,S$1,$A473,$A473)),_xll.BDH(config!$G$4,S$1,$A473,$A473),_xll.BDH(config!$G$5,S$1,$A473,$A473))))</f>
        <v>#N/A Requesting Data...</v>
      </c>
      <c r="T473" s="8" t="str">
        <f>IF($A473="","",IF(ISNUMBER(FIND("IMPVOL",T$1)),_xll.BDH(config!$G$4,T$1,WORKDAY($A473,-1,config_Holiday_Calendar_US),WORKDAY($A473,-1,config_Holiday_Calendar_US)),IF(ISNUMBER(_xll.BDH(config!$G$4,T$1,$A473,$A473)),_xll.BDH(config!$G$4,T$1,$A473,$A473),_xll.BDH(config!$G$5,T$1,$A473,$A473))))</f>
        <v>#N/A Requesting Data...</v>
      </c>
      <c r="U473" s="8" t="str">
        <f>IF($A473="","",IF(ISNUMBER(FIND("IMPVOL",U$1)),_xll.BDH(config!$G$4,U$1,WORKDAY($A473,-1,config_Holiday_Calendar_US),WORKDAY($A473,-1,config_Holiday_Calendar_US)),IF(ISNUMBER(_xll.BDH(config!$G$4,U$1,$A473,$A473)),_xll.BDH(config!$G$4,U$1,$A473,$A473),_xll.BDH(config!$G$5,U$1,$A473,$A473))))</f>
        <v>#N/A Requesting Data...</v>
      </c>
      <c r="V473" s="8" t="str">
        <f>IF($A473="","",IF(ISNUMBER(FIND("IMPVOL",V$1)),_xll.BDH(config!$G$4,V$1,WORKDAY($A473,-1,config_Holiday_Calendar_US),WORKDAY($A473,-1,config_Holiday_Calendar_US)),IF(ISNUMBER(_xll.BDH(config!$G$4,V$1,$A473,$A473)),_xll.BDH(config!$G$4,V$1,$A473,$A473),_xll.BDH(config!$G$5,V$1,$A473,$A473))))</f>
        <v>#N/A Requesting Data...</v>
      </c>
      <c r="W473" s="8" t="str">
        <f>IF($A473="","",IF(ISNUMBER(FIND("IMPVOL",W$1)),_xll.BDH(config!$G$4,W$1,WORKDAY($A473,-1,config_Holiday_Calendar_US),WORKDAY($A473,-1,config_Holiday_Calendar_US)),IF(ISNUMBER(_xll.BDH(config!$G$4,W$1,$A473,$A473)),_xll.BDH(config!$G$4,W$1,$A473,$A473),_xll.BDH(config!$G$5,W$1,$A473,$A473))))</f>
        <v>#N/A Requesting Data...</v>
      </c>
    </row>
    <row r="474" spans="1:23" x14ac:dyDescent="0.2">
      <c r="A474" s="9">
        <f>IF(A473="","",IF(WORKDAY(A473,-1,config_Holiday_Calendar_US)&lt;config!$I$10,"",WORKDAY(A473,-1,config_Holiday_Calendar_US)))</f>
        <v>42142</v>
      </c>
      <c r="B474" s="8" t="e">
        <f t="shared" si="7"/>
        <v>#VALUE!</v>
      </c>
      <c r="C474" s="8" t="str">
        <f>IF(A474="","",_xll.BDH(config!$H$4,C$1,$A474,$A474))</f>
        <v>#N/A Requesting Data...</v>
      </c>
      <c r="D474" s="8" t="str">
        <f>IF($A474="","",_xll.BDH(config!$H$4,D$1,$A474,$A474))</f>
        <v>#N/A Requesting Data...</v>
      </c>
      <c r="E474" s="8">
        <f>IF($A474="","",IF(ISNUMBER(FIND("IMPVOL",E$1)),_xll.BDH(config!$G$4,E$1,WORKDAY($A474,-1,config_Holiday_Calendar_US),WORKDAY($A474,-1,config_Holiday_Calendar_US)),IF(ISNUMBER(_xll.BDH(config!$G$4,E$1,$A474,$A474)),_xll.BDH(config!$G$4,E$1,$A474,$A474),_xll.BDH(config!$G$5,E$1,$A474,$A474))))</f>
        <v>59.85</v>
      </c>
      <c r="F474" s="8">
        <f>IF($A474="","",IF(ISNUMBER(FIND("IMPVOL",F$1)),_xll.BDH(config!$G$4,F$1,WORKDAY($A474,-1,config_Holiday_Calendar_US),WORKDAY($A474,-1,config_Holiday_Calendar_US)),IF(ISNUMBER(_xll.BDH(config!$G$4,F$1,$A474,$A474)),_xll.BDH(config!$G$4,F$1,$A474,$A474),_xll.BDH(config!$G$5,F$1,$A474,$A474))))</f>
        <v>60.88</v>
      </c>
      <c r="G474" s="8" t="str">
        <f>IF($A474="","",IF(ISNUMBER(FIND("IMPVOL",G$1)),_xll.BDH(config!$G$4,G$1,WORKDAY($A474,-1,config_Holiday_Calendar_US),WORKDAY($A474,-1,config_Holiday_Calendar_US)),IF(ISNUMBER(_xll.BDH(config!$G$4,G$1,$A474,$A474)),_xll.BDH(config!$G$4,G$1,$A474,$A474),_xll.BDH(config!$G$5,G$1,$A474,$A474))))</f>
        <v>#N/A Requesting Data...</v>
      </c>
      <c r="H474" s="8" t="str">
        <f>IF($A474="","",IF(ISNUMBER(FIND("IMPVOL",H$1)),_xll.BDH(config!$G$4,H$1,WORKDAY($A474,-1,config_Holiday_Calendar_US),WORKDAY($A474,-1,config_Holiday_Calendar_US)),IF(ISNUMBER(_xll.BDH(config!$G$4,H$1,$A474,$A474)),_xll.BDH(config!$G$4,H$1,$A474,$A474),_xll.BDH(config!$G$5,H$1,$A474,$A474))))</f>
        <v>#N/A Requesting Data...</v>
      </c>
      <c r="I474" s="8" t="str">
        <f>IF($A474="","",IF(ISNUMBER(FIND("IMPVOL",I$1)),_xll.BDH(config!$G$4,I$1,WORKDAY($A474,-1,config_Holiday_Calendar_US),WORKDAY($A474,-1,config_Holiday_Calendar_US)),IF(ISNUMBER(_xll.BDH(config!$G$4,I$1,$A474,$A474)),_xll.BDH(config!$G$4,I$1,$A474,$A474),_xll.BDH(config!$G$5,I$1,$A474,$A474))))</f>
        <v>#N/A Requesting Data...</v>
      </c>
      <c r="J474" s="8" t="str">
        <f>IF($A474="","",IF(ISNUMBER(FIND("IMPVOL",J$1)),_xll.BDH(config!$G$4,J$1,WORKDAY($A474,-1,config_Holiday_Calendar_US),WORKDAY($A474,-1,config_Holiday_Calendar_US)),IF(ISNUMBER(_xll.BDH(config!$G$4,J$1,$A474,$A474)),_xll.BDH(config!$G$4,J$1,$A474,$A474),_xll.BDH(config!$G$5,J$1,$A474,$A474))))</f>
        <v>#N/A Requesting Data...</v>
      </c>
      <c r="K474" s="8" t="str">
        <f>IF($A474="","",IF(ISNUMBER(FIND("IMPVOL",K$1)),_xll.BDH(config!$G$4,K$1,WORKDAY($A474,-1,config_Holiday_Calendar_US),WORKDAY($A474,-1,config_Holiday_Calendar_US)),IF(ISNUMBER(_xll.BDH(config!$G$4,K$1,$A474,$A474)),_xll.BDH(config!$G$4,K$1,$A474,$A474),_xll.BDH(config!$G$5,K$1,$A474,$A474))))</f>
        <v>#N/A Requesting Data...</v>
      </c>
      <c r="L474" s="8" t="str">
        <f>IF($A474="","",IF(ISNUMBER(FIND("IMPVOL",L$1)),_xll.BDH(config!$G$4,L$1,WORKDAY($A474,-1,config_Holiday_Calendar_US),WORKDAY($A474,-1,config_Holiday_Calendar_US)),IF(ISNUMBER(_xll.BDH(config!$G$4,L$1,$A474,$A474)),_xll.BDH(config!$G$4,L$1,$A474,$A474),_xll.BDH(config!$G$5,L$1,$A474,$A474))))</f>
        <v>#N/A Requesting Data...</v>
      </c>
      <c r="M474" s="8" t="str">
        <f>IF($A474="","",IF(ISNUMBER(FIND("IMPVOL",M$1)),_xll.BDH(config!$G$4,M$1,WORKDAY($A474,-1,config_Holiday_Calendar_US),WORKDAY($A474,-1,config_Holiday_Calendar_US)),IF(ISNUMBER(_xll.BDH(config!$G$4,M$1,$A474,$A474)),_xll.BDH(config!$G$4,M$1,$A474,$A474),_xll.BDH(config!$G$5,M$1,$A474,$A474))))</f>
        <v>#N/A Requesting Data...</v>
      </c>
      <c r="N474" s="8" t="str">
        <f>IF($A474="","",IF(ISNUMBER(FIND("IMPVOL",N$1)),_xll.BDH(config!$G$4,N$1,WORKDAY($A474,-1,config_Holiday_Calendar_US),WORKDAY($A474,-1,config_Holiday_Calendar_US)),IF(ISNUMBER(_xll.BDH(config!$G$4,N$1,$A474,$A474)),_xll.BDH(config!$G$4,N$1,$A474,$A474),_xll.BDH(config!$G$5,N$1,$A474,$A474))))</f>
        <v>#N/A Requesting Data...</v>
      </c>
      <c r="O474" s="8" t="str">
        <f>IF($A474="","",IF(ISNUMBER(FIND("IMPVOL",O$1)),_xll.BDH(config!$G$4,O$1,WORKDAY($A474,-1,config_Holiday_Calendar_US),WORKDAY($A474,-1,config_Holiday_Calendar_US)),IF(ISNUMBER(_xll.BDH(config!$G$4,O$1,$A474,$A474)),_xll.BDH(config!$G$4,O$1,$A474,$A474),_xll.BDH(config!$G$5,O$1,$A474,$A474))))</f>
        <v>#N/A Requesting Data...</v>
      </c>
      <c r="P474" s="8" t="str">
        <f>IF($A474="","",IF(ISNUMBER(FIND("IMPVOL",P$1)),_xll.BDH(config!$G$4,P$1,WORKDAY($A474,-1,config_Holiday_Calendar_US),WORKDAY($A474,-1,config_Holiday_Calendar_US)),IF(ISNUMBER(_xll.BDH(config!$G$4,P$1,$A474,$A474)),_xll.BDH(config!$G$4,P$1,$A474,$A474),_xll.BDH(config!$G$5,P$1,$A474,$A474))))</f>
        <v>#N/A Requesting Data...</v>
      </c>
      <c r="Q474" s="8" t="str">
        <f>IF($A474="","",IF(ISNUMBER(FIND("IMPVOL",Q$1)),_xll.BDH(config!$G$4,Q$1,WORKDAY($A474,-1,config_Holiday_Calendar_US),WORKDAY($A474,-1,config_Holiday_Calendar_US)),IF(ISNUMBER(_xll.BDH(config!$G$4,Q$1,$A474,$A474)),_xll.BDH(config!$G$4,Q$1,$A474,$A474),_xll.BDH(config!$G$5,Q$1,$A474,$A474))))</f>
        <v>#N/A Requesting Data...</v>
      </c>
      <c r="R474" s="8" t="str">
        <f>IF($A474="","",IF(ISNUMBER(FIND("IMPVOL",R$1)),_xll.BDH(config!$G$4,R$1,WORKDAY($A474,-1,config_Holiday_Calendar_US),WORKDAY($A474,-1,config_Holiday_Calendar_US)),IF(ISNUMBER(_xll.BDH(config!$G$4,R$1,$A474,$A474)),_xll.BDH(config!$G$4,R$1,$A474,$A474),_xll.BDH(config!$G$5,R$1,$A474,$A474))))</f>
        <v>#N/A Requesting Data...</v>
      </c>
      <c r="S474" s="8" t="str">
        <f>IF($A474="","",IF(ISNUMBER(FIND("IMPVOL",S$1)),_xll.BDH(config!$G$4,S$1,WORKDAY($A474,-1,config_Holiday_Calendar_US),WORKDAY($A474,-1,config_Holiday_Calendar_US)),IF(ISNUMBER(_xll.BDH(config!$G$4,S$1,$A474,$A474)),_xll.BDH(config!$G$4,S$1,$A474,$A474),_xll.BDH(config!$G$5,S$1,$A474,$A474))))</f>
        <v>#N/A Requesting Data...</v>
      </c>
      <c r="T474" s="8" t="str">
        <f>IF($A474="","",IF(ISNUMBER(FIND("IMPVOL",T$1)),_xll.BDH(config!$G$4,T$1,WORKDAY($A474,-1,config_Holiday_Calendar_US),WORKDAY($A474,-1,config_Holiday_Calendar_US)),IF(ISNUMBER(_xll.BDH(config!$G$4,T$1,$A474,$A474)),_xll.BDH(config!$G$4,T$1,$A474,$A474),_xll.BDH(config!$G$5,T$1,$A474,$A474))))</f>
        <v>#N/A Requesting Data...</v>
      </c>
      <c r="U474" s="8" t="str">
        <f>IF($A474="","",IF(ISNUMBER(FIND("IMPVOL",U$1)),_xll.BDH(config!$G$4,U$1,WORKDAY($A474,-1,config_Holiday_Calendar_US),WORKDAY($A474,-1,config_Holiday_Calendar_US)),IF(ISNUMBER(_xll.BDH(config!$G$4,U$1,$A474,$A474)),_xll.BDH(config!$G$4,U$1,$A474,$A474),_xll.BDH(config!$G$5,U$1,$A474,$A474))))</f>
        <v>#N/A Requesting Data...</v>
      </c>
      <c r="V474" s="8" t="str">
        <f>IF($A474="","",IF(ISNUMBER(FIND("IMPVOL",V$1)),_xll.BDH(config!$G$4,V$1,WORKDAY($A474,-1,config_Holiday_Calendar_US),WORKDAY($A474,-1,config_Holiday_Calendar_US)),IF(ISNUMBER(_xll.BDH(config!$G$4,V$1,$A474,$A474)),_xll.BDH(config!$G$4,V$1,$A474,$A474),_xll.BDH(config!$G$5,V$1,$A474,$A474))))</f>
        <v>#N/A Requesting Data...</v>
      </c>
      <c r="W474" s="8" t="str">
        <f>IF($A474="","",IF(ISNUMBER(FIND("IMPVOL",W$1)),_xll.BDH(config!$G$4,W$1,WORKDAY($A474,-1,config_Holiday_Calendar_US),WORKDAY($A474,-1,config_Holiday_Calendar_US)),IF(ISNUMBER(_xll.BDH(config!$G$4,W$1,$A474,$A474)),_xll.BDH(config!$G$4,W$1,$A474,$A474),_xll.BDH(config!$G$5,W$1,$A474,$A474))))</f>
        <v>#N/A Requesting Data...</v>
      </c>
    </row>
    <row r="475" spans="1:23" x14ac:dyDescent="0.2">
      <c r="A475" s="9">
        <f>IF(A474="","",IF(WORKDAY(A474,-1,config_Holiday_Calendar_US)&lt;config!$I$10,"",WORKDAY(A474,-1,config_Holiday_Calendar_US)))</f>
        <v>42139</v>
      </c>
      <c r="B475" s="8" t="e">
        <f t="shared" si="7"/>
        <v>#VALUE!</v>
      </c>
      <c r="C475" s="8" t="str">
        <f>IF(A475="","",_xll.BDH(config!$H$4,C$1,$A475,$A475))</f>
        <v>#N/A Requesting Data...</v>
      </c>
      <c r="D475" s="8" t="str">
        <f>IF($A475="","",_xll.BDH(config!$H$4,D$1,$A475,$A475))</f>
        <v>#N/A Requesting Data...</v>
      </c>
      <c r="E475" s="8">
        <f>IF($A475="","",IF(ISNUMBER(FIND("IMPVOL",E$1)),_xll.BDH(config!$G$4,E$1,WORKDAY($A475,-1,config_Holiday_Calendar_US),WORKDAY($A475,-1,config_Holiday_Calendar_US)),IF(ISNUMBER(_xll.BDH(config!$G$4,E$1,$A475,$A475)),_xll.BDH(config!$G$4,E$1,$A475,$A475),_xll.BDH(config!$G$5,E$1,$A475,$A475))))</f>
        <v>59.67</v>
      </c>
      <c r="F475" s="8">
        <f>IF($A475="","",IF(ISNUMBER(FIND("IMPVOL",F$1)),_xll.BDH(config!$G$4,F$1,WORKDAY($A475,-1,config_Holiday_Calendar_US),WORKDAY($A475,-1,config_Holiday_Calendar_US)),IF(ISNUMBER(_xll.BDH(config!$G$4,F$1,$A475,$A475)),_xll.BDH(config!$G$4,F$1,$A475,$A475),_xll.BDH(config!$G$5,F$1,$A475,$A475))))</f>
        <v>59.97</v>
      </c>
      <c r="G475" s="8" t="str">
        <f>IF($A475="","",IF(ISNUMBER(FIND("IMPVOL",G$1)),_xll.BDH(config!$G$4,G$1,WORKDAY($A475,-1,config_Holiday_Calendar_US),WORKDAY($A475,-1,config_Holiday_Calendar_US)),IF(ISNUMBER(_xll.BDH(config!$G$4,G$1,$A475,$A475)),_xll.BDH(config!$G$4,G$1,$A475,$A475),_xll.BDH(config!$G$5,G$1,$A475,$A475))))</f>
        <v>#N/A Requesting Data...</v>
      </c>
      <c r="H475" s="8" t="str">
        <f>IF($A475="","",IF(ISNUMBER(FIND("IMPVOL",H$1)),_xll.BDH(config!$G$4,H$1,WORKDAY($A475,-1,config_Holiday_Calendar_US),WORKDAY($A475,-1,config_Holiday_Calendar_US)),IF(ISNUMBER(_xll.BDH(config!$G$4,H$1,$A475,$A475)),_xll.BDH(config!$G$4,H$1,$A475,$A475),_xll.BDH(config!$G$5,H$1,$A475,$A475))))</f>
        <v>#N/A Requesting Data...</v>
      </c>
      <c r="I475" s="8" t="str">
        <f>IF($A475="","",IF(ISNUMBER(FIND("IMPVOL",I$1)),_xll.BDH(config!$G$4,I$1,WORKDAY($A475,-1,config_Holiday_Calendar_US),WORKDAY($A475,-1,config_Holiday_Calendar_US)),IF(ISNUMBER(_xll.BDH(config!$G$4,I$1,$A475,$A475)),_xll.BDH(config!$G$4,I$1,$A475,$A475),_xll.BDH(config!$G$5,I$1,$A475,$A475))))</f>
        <v>#N/A Requesting Data...</v>
      </c>
      <c r="J475" s="8" t="str">
        <f>IF($A475="","",IF(ISNUMBER(FIND("IMPVOL",J$1)),_xll.BDH(config!$G$4,J$1,WORKDAY($A475,-1,config_Holiday_Calendar_US),WORKDAY($A475,-1,config_Holiday_Calendar_US)),IF(ISNUMBER(_xll.BDH(config!$G$4,J$1,$A475,$A475)),_xll.BDH(config!$G$4,J$1,$A475,$A475),_xll.BDH(config!$G$5,J$1,$A475,$A475))))</f>
        <v>#N/A Requesting Data...</v>
      </c>
      <c r="K475" s="8" t="str">
        <f>IF($A475="","",IF(ISNUMBER(FIND("IMPVOL",K$1)),_xll.BDH(config!$G$4,K$1,WORKDAY($A475,-1,config_Holiday_Calendar_US),WORKDAY($A475,-1,config_Holiday_Calendar_US)),IF(ISNUMBER(_xll.BDH(config!$G$4,K$1,$A475,$A475)),_xll.BDH(config!$G$4,K$1,$A475,$A475),_xll.BDH(config!$G$5,K$1,$A475,$A475))))</f>
        <v>#N/A Requesting Data...</v>
      </c>
      <c r="L475" s="8" t="str">
        <f>IF($A475="","",IF(ISNUMBER(FIND("IMPVOL",L$1)),_xll.BDH(config!$G$4,L$1,WORKDAY($A475,-1,config_Holiday_Calendar_US),WORKDAY($A475,-1,config_Holiday_Calendar_US)),IF(ISNUMBER(_xll.BDH(config!$G$4,L$1,$A475,$A475)),_xll.BDH(config!$G$4,L$1,$A475,$A475),_xll.BDH(config!$G$5,L$1,$A475,$A475))))</f>
        <v>#N/A Requesting Data...</v>
      </c>
      <c r="M475" s="8" t="str">
        <f>IF($A475="","",IF(ISNUMBER(FIND("IMPVOL",M$1)),_xll.BDH(config!$G$4,M$1,WORKDAY($A475,-1,config_Holiday_Calendar_US),WORKDAY($A475,-1,config_Holiday_Calendar_US)),IF(ISNUMBER(_xll.BDH(config!$G$4,M$1,$A475,$A475)),_xll.BDH(config!$G$4,M$1,$A475,$A475),_xll.BDH(config!$G$5,M$1,$A475,$A475))))</f>
        <v>#N/A Requesting Data...</v>
      </c>
      <c r="N475" s="8" t="str">
        <f>IF($A475="","",IF(ISNUMBER(FIND("IMPVOL",N$1)),_xll.BDH(config!$G$4,N$1,WORKDAY($A475,-1,config_Holiday_Calendar_US),WORKDAY($A475,-1,config_Holiday_Calendar_US)),IF(ISNUMBER(_xll.BDH(config!$G$4,N$1,$A475,$A475)),_xll.BDH(config!$G$4,N$1,$A475,$A475),_xll.BDH(config!$G$5,N$1,$A475,$A475))))</f>
        <v>#N/A Requesting Data...</v>
      </c>
      <c r="O475" s="8" t="str">
        <f>IF($A475="","",IF(ISNUMBER(FIND("IMPVOL",O$1)),_xll.BDH(config!$G$4,O$1,WORKDAY($A475,-1,config_Holiday_Calendar_US),WORKDAY($A475,-1,config_Holiday_Calendar_US)),IF(ISNUMBER(_xll.BDH(config!$G$4,O$1,$A475,$A475)),_xll.BDH(config!$G$4,O$1,$A475,$A475),_xll.BDH(config!$G$5,O$1,$A475,$A475))))</f>
        <v>#N/A Requesting Data...</v>
      </c>
      <c r="P475" s="8" t="str">
        <f>IF($A475="","",IF(ISNUMBER(FIND("IMPVOL",P$1)),_xll.BDH(config!$G$4,P$1,WORKDAY($A475,-1,config_Holiday_Calendar_US),WORKDAY($A475,-1,config_Holiday_Calendar_US)),IF(ISNUMBER(_xll.BDH(config!$G$4,P$1,$A475,$A475)),_xll.BDH(config!$G$4,P$1,$A475,$A475),_xll.BDH(config!$G$5,P$1,$A475,$A475))))</f>
        <v>#N/A Requesting Data...</v>
      </c>
      <c r="Q475" s="8" t="str">
        <f>IF($A475="","",IF(ISNUMBER(FIND("IMPVOL",Q$1)),_xll.BDH(config!$G$4,Q$1,WORKDAY($A475,-1,config_Holiday_Calendar_US),WORKDAY($A475,-1,config_Holiday_Calendar_US)),IF(ISNUMBER(_xll.BDH(config!$G$4,Q$1,$A475,$A475)),_xll.BDH(config!$G$4,Q$1,$A475,$A475),_xll.BDH(config!$G$5,Q$1,$A475,$A475))))</f>
        <v>#N/A Requesting Data...</v>
      </c>
      <c r="R475" s="8" t="str">
        <f>IF($A475="","",IF(ISNUMBER(FIND("IMPVOL",R$1)),_xll.BDH(config!$G$4,R$1,WORKDAY($A475,-1,config_Holiday_Calendar_US),WORKDAY($A475,-1,config_Holiday_Calendar_US)),IF(ISNUMBER(_xll.BDH(config!$G$4,R$1,$A475,$A475)),_xll.BDH(config!$G$4,R$1,$A475,$A475),_xll.BDH(config!$G$5,R$1,$A475,$A475))))</f>
        <v>#N/A Requesting Data...</v>
      </c>
      <c r="S475" s="8" t="str">
        <f>IF($A475="","",IF(ISNUMBER(FIND("IMPVOL",S$1)),_xll.BDH(config!$G$4,S$1,WORKDAY($A475,-1,config_Holiday_Calendar_US),WORKDAY($A475,-1,config_Holiday_Calendar_US)),IF(ISNUMBER(_xll.BDH(config!$G$4,S$1,$A475,$A475)),_xll.BDH(config!$G$4,S$1,$A475,$A475),_xll.BDH(config!$G$5,S$1,$A475,$A475))))</f>
        <v>#N/A Requesting Data...</v>
      </c>
      <c r="T475" s="8" t="str">
        <f>IF($A475="","",IF(ISNUMBER(FIND("IMPVOL",T$1)),_xll.BDH(config!$G$4,T$1,WORKDAY($A475,-1,config_Holiday_Calendar_US),WORKDAY($A475,-1,config_Holiday_Calendar_US)),IF(ISNUMBER(_xll.BDH(config!$G$4,T$1,$A475,$A475)),_xll.BDH(config!$G$4,T$1,$A475,$A475),_xll.BDH(config!$G$5,T$1,$A475,$A475))))</f>
        <v>#N/A Requesting Data...</v>
      </c>
      <c r="U475" s="8" t="str">
        <f>IF($A475="","",IF(ISNUMBER(FIND("IMPVOL",U$1)),_xll.BDH(config!$G$4,U$1,WORKDAY($A475,-1,config_Holiday_Calendar_US),WORKDAY($A475,-1,config_Holiday_Calendar_US)),IF(ISNUMBER(_xll.BDH(config!$G$4,U$1,$A475,$A475)),_xll.BDH(config!$G$4,U$1,$A475,$A475),_xll.BDH(config!$G$5,U$1,$A475,$A475))))</f>
        <v>#N/A Requesting Data...</v>
      </c>
      <c r="V475" s="8" t="str">
        <f>IF($A475="","",IF(ISNUMBER(FIND("IMPVOL",V$1)),_xll.BDH(config!$G$4,V$1,WORKDAY($A475,-1,config_Holiday_Calendar_US),WORKDAY($A475,-1,config_Holiday_Calendar_US)),IF(ISNUMBER(_xll.BDH(config!$G$4,V$1,$A475,$A475)),_xll.BDH(config!$G$4,V$1,$A475,$A475),_xll.BDH(config!$G$5,V$1,$A475,$A475))))</f>
        <v>#N/A Requesting Data...</v>
      </c>
      <c r="W475" s="8" t="str">
        <f>IF($A475="","",IF(ISNUMBER(FIND("IMPVOL",W$1)),_xll.BDH(config!$G$4,W$1,WORKDAY($A475,-1,config_Holiday_Calendar_US),WORKDAY($A475,-1,config_Holiday_Calendar_US)),IF(ISNUMBER(_xll.BDH(config!$G$4,W$1,$A475,$A475)),_xll.BDH(config!$G$4,W$1,$A475,$A475),_xll.BDH(config!$G$5,W$1,$A475,$A475))))</f>
        <v>#N/A Requesting Data...</v>
      </c>
    </row>
    <row r="476" spans="1:23" x14ac:dyDescent="0.2">
      <c r="A476" s="9">
        <f>IF(A475="","",IF(WORKDAY(A475,-1,config_Holiday_Calendar_US)&lt;config!$I$10,"",WORKDAY(A475,-1,config_Holiday_Calendar_US)))</f>
        <v>42138</v>
      </c>
      <c r="B476" s="8" t="e">
        <f t="shared" si="7"/>
        <v>#VALUE!</v>
      </c>
      <c r="C476" s="8" t="str">
        <f>IF(A476="","",_xll.BDH(config!$H$4,C$1,$A476,$A476))</f>
        <v>#N/A Requesting Data...</v>
      </c>
      <c r="D476" s="8" t="str">
        <f>IF($A476="","",_xll.BDH(config!$H$4,D$1,$A476,$A476))</f>
        <v>#N/A Requesting Data...</v>
      </c>
      <c r="E476" s="8">
        <f>IF($A476="","",IF(ISNUMBER(FIND("IMPVOL",E$1)),_xll.BDH(config!$G$4,E$1,WORKDAY($A476,-1,config_Holiday_Calendar_US),WORKDAY($A476,-1,config_Holiday_Calendar_US)),IF(ISNUMBER(_xll.BDH(config!$G$4,E$1,$A476,$A476)),_xll.BDH(config!$G$4,E$1,$A476,$A476),_xll.BDH(config!$G$5,E$1,$A476,$A476))))</f>
        <v>60.1</v>
      </c>
      <c r="F476" s="8">
        <f>IF($A476="","",IF(ISNUMBER(FIND("IMPVOL",F$1)),_xll.BDH(config!$G$4,F$1,WORKDAY($A476,-1,config_Holiday_Calendar_US),WORKDAY($A476,-1,config_Holiday_Calendar_US)),IF(ISNUMBER(_xll.BDH(config!$G$4,F$1,$A476,$A476)),_xll.BDH(config!$G$4,F$1,$A476,$A476),_xll.BDH(config!$G$5,F$1,$A476,$A476))))</f>
        <v>60.84</v>
      </c>
      <c r="G476" s="8" t="str">
        <f>IF($A476="","",IF(ISNUMBER(FIND("IMPVOL",G$1)),_xll.BDH(config!$G$4,G$1,WORKDAY($A476,-1,config_Holiday_Calendar_US),WORKDAY($A476,-1,config_Holiday_Calendar_US)),IF(ISNUMBER(_xll.BDH(config!$G$4,G$1,$A476,$A476)),_xll.BDH(config!$G$4,G$1,$A476,$A476),_xll.BDH(config!$G$5,G$1,$A476,$A476))))</f>
        <v>#N/A Requesting Data...</v>
      </c>
      <c r="H476" s="8" t="str">
        <f>IF($A476="","",IF(ISNUMBER(FIND("IMPVOL",H$1)),_xll.BDH(config!$G$4,H$1,WORKDAY($A476,-1,config_Holiday_Calendar_US),WORKDAY($A476,-1,config_Holiday_Calendar_US)),IF(ISNUMBER(_xll.BDH(config!$G$4,H$1,$A476,$A476)),_xll.BDH(config!$G$4,H$1,$A476,$A476),_xll.BDH(config!$G$5,H$1,$A476,$A476))))</f>
        <v>#N/A Requesting Data...</v>
      </c>
      <c r="I476" s="8" t="str">
        <f>IF($A476="","",IF(ISNUMBER(FIND("IMPVOL",I$1)),_xll.BDH(config!$G$4,I$1,WORKDAY($A476,-1,config_Holiday_Calendar_US),WORKDAY($A476,-1,config_Holiday_Calendar_US)),IF(ISNUMBER(_xll.BDH(config!$G$4,I$1,$A476,$A476)),_xll.BDH(config!$G$4,I$1,$A476,$A476),_xll.BDH(config!$G$5,I$1,$A476,$A476))))</f>
        <v>#N/A Requesting Data...</v>
      </c>
      <c r="J476" s="8" t="str">
        <f>IF($A476="","",IF(ISNUMBER(FIND("IMPVOL",J$1)),_xll.BDH(config!$G$4,J$1,WORKDAY($A476,-1,config_Holiday_Calendar_US),WORKDAY($A476,-1,config_Holiday_Calendar_US)),IF(ISNUMBER(_xll.BDH(config!$G$4,J$1,$A476,$A476)),_xll.BDH(config!$G$4,J$1,$A476,$A476),_xll.BDH(config!$G$5,J$1,$A476,$A476))))</f>
        <v>#N/A Requesting Data...</v>
      </c>
      <c r="K476" s="8" t="str">
        <f>IF($A476="","",IF(ISNUMBER(FIND("IMPVOL",K$1)),_xll.BDH(config!$G$4,K$1,WORKDAY($A476,-1,config_Holiday_Calendar_US),WORKDAY($A476,-1,config_Holiday_Calendar_US)),IF(ISNUMBER(_xll.BDH(config!$G$4,K$1,$A476,$A476)),_xll.BDH(config!$G$4,K$1,$A476,$A476),_xll.BDH(config!$G$5,K$1,$A476,$A476))))</f>
        <v>#N/A Requesting Data...</v>
      </c>
      <c r="L476" s="8" t="str">
        <f>IF($A476="","",IF(ISNUMBER(FIND("IMPVOL",L$1)),_xll.BDH(config!$G$4,L$1,WORKDAY($A476,-1,config_Holiday_Calendar_US),WORKDAY($A476,-1,config_Holiday_Calendar_US)),IF(ISNUMBER(_xll.BDH(config!$G$4,L$1,$A476,$A476)),_xll.BDH(config!$G$4,L$1,$A476,$A476),_xll.BDH(config!$G$5,L$1,$A476,$A476))))</f>
        <v>#N/A Requesting Data...</v>
      </c>
      <c r="M476" s="8" t="str">
        <f>IF($A476="","",IF(ISNUMBER(FIND("IMPVOL",M$1)),_xll.BDH(config!$G$4,M$1,WORKDAY($A476,-1,config_Holiday_Calendar_US),WORKDAY($A476,-1,config_Holiday_Calendar_US)),IF(ISNUMBER(_xll.BDH(config!$G$4,M$1,$A476,$A476)),_xll.BDH(config!$G$4,M$1,$A476,$A476),_xll.BDH(config!$G$5,M$1,$A476,$A476))))</f>
        <v>#N/A Requesting Data...</v>
      </c>
      <c r="N476" s="8" t="str">
        <f>IF($A476="","",IF(ISNUMBER(FIND("IMPVOL",N$1)),_xll.BDH(config!$G$4,N$1,WORKDAY($A476,-1,config_Holiday_Calendar_US),WORKDAY($A476,-1,config_Holiday_Calendar_US)),IF(ISNUMBER(_xll.BDH(config!$G$4,N$1,$A476,$A476)),_xll.BDH(config!$G$4,N$1,$A476,$A476),_xll.BDH(config!$G$5,N$1,$A476,$A476))))</f>
        <v>#N/A Requesting Data...</v>
      </c>
      <c r="O476" s="8" t="str">
        <f>IF($A476="","",IF(ISNUMBER(FIND("IMPVOL",O$1)),_xll.BDH(config!$G$4,O$1,WORKDAY($A476,-1,config_Holiday_Calendar_US),WORKDAY($A476,-1,config_Holiday_Calendar_US)),IF(ISNUMBER(_xll.BDH(config!$G$4,O$1,$A476,$A476)),_xll.BDH(config!$G$4,O$1,$A476,$A476),_xll.BDH(config!$G$5,O$1,$A476,$A476))))</f>
        <v>#N/A Requesting Data...</v>
      </c>
      <c r="P476" s="8" t="str">
        <f>IF($A476="","",IF(ISNUMBER(FIND("IMPVOL",P$1)),_xll.BDH(config!$G$4,P$1,WORKDAY($A476,-1,config_Holiday_Calendar_US),WORKDAY($A476,-1,config_Holiday_Calendar_US)),IF(ISNUMBER(_xll.BDH(config!$G$4,P$1,$A476,$A476)),_xll.BDH(config!$G$4,P$1,$A476,$A476),_xll.BDH(config!$G$5,P$1,$A476,$A476))))</f>
        <v>#N/A Requesting Data...</v>
      </c>
      <c r="Q476" s="8" t="str">
        <f>IF($A476="","",IF(ISNUMBER(FIND("IMPVOL",Q$1)),_xll.BDH(config!$G$4,Q$1,WORKDAY($A476,-1,config_Holiday_Calendar_US),WORKDAY($A476,-1,config_Holiday_Calendar_US)),IF(ISNUMBER(_xll.BDH(config!$G$4,Q$1,$A476,$A476)),_xll.BDH(config!$G$4,Q$1,$A476,$A476),_xll.BDH(config!$G$5,Q$1,$A476,$A476))))</f>
        <v>#N/A Requesting Data...</v>
      </c>
      <c r="R476" s="8" t="str">
        <f>IF($A476="","",IF(ISNUMBER(FIND("IMPVOL",R$1)),_xll.BDH(config!$G$4,R$1,WORKDAY($A476,-1,config_Holiday_Calendar_US),WORKDAY($A476,-1,config_Holiday_Calendar_US)),IF(ISNUMBER(_xll.BDH(config!$G$4,R$1,$A476,$A476)),_xll.BDH(config!$G$4,R$1,$A476,$A476),_xll.BDH(config!$G$5,R$1,$A476,$A476))))</f>
        <v>#N/A Requesting Data...</v>
      </c>
      <c r="S476" s="8" t="str">
        <f>IF($A476="","",IF(ISNUMBER(FIND("IMPVOL",S$1)),_xll.BDH(config!$G$4,S$1,WORKDAY($A476,-1,config_Holiday_Calendar_US),WORKDAY($A476,-1,config_Holiday_Calendar_US)),IF(ISNUMBER(_xll.BDH(config!$G$4,S$1,$A476,$A476)),_xll.BDH(config!$G$4,S$1,$A476,$A476),_xll.BDH(config!$G$5,S$1,$A476,$A476))))</f>
        <v>#N/A Requesting Data...</v>
      </c>
      <c r="T476" s="8" t="str">
        <f>IF($A476="","",IF(ISNUMBER(FIND("IMPVOL",T$1)),_xll.BDH(config!$G$4,T$1,WORKDAY($A476,-1,config_Holiday_Calendar_US),WORKDAY($A476,-1,config_Holiday_Calendar_US)),IF(ISNUMBER(_xll.BDH(config!$G$4,T$1,$A476,$A476)),_xll.BDH(config!$G$4,T$1,$A476,$A476),_xll.BDH(config!$G$5,T$1,$A476,$A476))))</f>
        <v>#N/A Requesting Data...</v>
      </c>
      <c r="U476" s="8" t="str">
        <f>IF($A476="","",IF(ISNUMBER(FIND("IMPVOL",U$1)),_xll.BDH(config!$G$4,U$1,WORKDAY($A476,-1,config_Holiday_Calendar_US),WORKDAY($A476,-1,config_Holiday_Calendar_US)),IF(ISNUMBER(_xll.BDH(config!$G$4,U$1,$A476,$A476)),_xll.BDH(config!$G$4,U$1,$A476,$A476),_xll.BDH(config!$G$5,U$1,$A476,$A476))))</f>
        <v>#N/A Requesting Data...</v>
      </c>
      <c r="V476" s="8" t="str">
        <f>IF($A476="","",IF(ISNUMBER(FIND("IMPVOL",V$1)),_xll.BDH(config!$G$4,V$1,WORKDAY($A476,-1,config_Holiday_Calendar_US),WORKDAY($A476,-1,config_Holiday_Calendar_US)),IF(ISNUMBER(_xll.BDH(config!$G$4,V$1,$A476,$A476)),_xll.BDH(config!$G$4,V$1,$A476,$A476),_xll.BDH(config!$G$5,V$1,$A476,$A476))))</f>
        <v>#N/A Requesting Data...</v>
      </c>
      <c r="W476" s="8" t="str">
        <f>IF($A476="","",IF(ISNUMBER(FIND("IMPVOL",W$1)),_xll.BDH(config!$G$4,W$1,WORKDAY($A476,-1,config_Holiday_Calendar_US),WORKDAY($A476,-1,config_Holiday_Calendar_US)),IF(ISNUMBER(_xll.BDH(config!$G$4,W$1,$A476,$A476)),_xll.BDH(config!$G$4,W$1,$A476,$A476),_xll.BDH(config!$G$5,W$1,$A476,$A476))))</f>
        <v>#N/A Requesting Data...</v>
      </c>
    </row>
    <row r="477" spans="1:23" x14ac:dyDescent="0.2">
      <c r="A477" s="9">
        <f>IF(A476="","",IF(WORKDAY(A476,-1,config_Holiday_Calendar_US)&lt;config!$I$10,"",WORKDAY(A476,-1,config_Holiday_Calendar_US)))</f>
        <v>42137</v>
      </c>
      <c r="B477" s="8" t="e">
        <f t="shared" si="7"/>
        <v>#VALUE!</v>
      </c>
      <c r="C477" s="8" t="str">
        <f>IF(A477="","",_xll.BDH(config!$H$4,C$1,$A477,$A477))</f>
        <v>#N/A Requesting Data...</v>
      </c>
      <c r="D477" s="8" t="str">
        <f>IF($A477="","",_xll.BDH(config!$H$4,D$1,$A477,$A477))</f>
        <v>#N/A Requesting Data...</v>
      </c>
      <c r="E477" s="8">
        <f>IF($A477="","",IF(ISNUMBER(FIND("IMPVOL",E$1)),_xll.BDH(config!$G$4,E$1,WORKDAY($A477,-1,config_Holiday_Calendar_US),WORKDAY($A477,-1,config_Holiday_Calendar_US)),IF(ISNUMBER(_xll.BDH(config!$G$4,E$1,$A477,$A477)),_xll.BDH(config!$G$4,E$1,$A477,$A477),_xll.BDH(config!$G$5,E$1,$A477,$A477))))</f>
        <v>61.23</v>
      </c>
      <c r="F477" s="8">
        <f>IF($A477="","",IF(ISNUMBER(FIND("IMPVOL",F$1)),_xll.BDH(config!$G$4,F$1,WORKDAY($A477,-1,config_Holiday_Calendar_US),WORKDAY($A477,-1,config_Holiday_Calendar_US)),IF(ISNUMBER(_xll.BDH(config!$G$4,F$1,$A477,$A477)),_xll.BDH(config!$G$4,F$1,$A477,$A477),_xll.BDH(config!$G$5,F$1,$A477,$A477))))</f>
        <v>61.85</v>
      </c>
      <c r="G477" s="8" t="str">
        <f>IF($A477="","",IF(ISNUMBER(FIND("IMPVOL",G$1)),_xll.BDH(config!$G$4,G$1,WORKDAY($A477,-1,config_Holiday_Calendar_US),WORKDAY($A477,-1,config_Holiday_Calendar_US)),IF(ISNUMBER(_xll.BDH(config!$G$4,G$1,$A477,$A477)),_xll.BDH(config!$G$4,G$1,$A477,$A477),_xll.BDH(config!$G$5,G$1,$A477,$A477))))</f>
        <v>#N/A Requesting Data...</v>
      </c>
      <c r="H477" s="8" t="str">
        <f>IF($A477="","",IF(ISNUMBER(FIND("IMPVOL",H$1)),_xll.BDH(config!$G$4,H$1,WORKDAY($A477,-1,config_Holiday_Calendar_US),WORKDAY($A477,-1,config_Holiday_Calendar_US)),IF(ISNUMBER(_xll.BDH(config!$G$4,H$1,$A477,$A477)),_xll.BDH(config!$G$4,H$1,$A477,$A477),_xll.BDH(config!$G$5,H$1,$A477,$A477))))</f>
        <v>#N/A Requesting Data...</v>
      </c>
      <c r="I477" s="8" t="str">
        <f>IF($A477="","",IF(ISNUMBER(FIND("IMPVOL",I$1)),_xll.BDH(config!$G$4,I$1,WORKDAY($A477,-1,config_Holiday_Calendar_US),WORKDAY($A477,-1,config_Holiday_Calendar_US)),IF(ISNUMBER(_xll.BDH(config!$G$4,I$1,$A477,$A477)),_xll.BDH(config!$G$4,I$1,$A477,$A477),_xll.BDH(config!$G$5,I$1,$A477,$A477))))</f>
        <v>#N/A Requesting Data...</v>
      </c>
      <c r="J477" s="8" t="str">
        <f>IF($A477="","",IF(ISNUMBER(FIND("IMPVOL",J$1)),_xll.BDH(config!$G$4,J$1,WORKDAY($A477,-1,config_Holiday_Calendar_US),WORKDAY($A477,-1,config_Holiday_Calendar_US)),IF(ISNUMBER(_xll.BDH(config!$G$4,J$1,$A477,$A477)),_xll.BDH(config!$G$4,J$1,$A477,$A477),_xll.BDH(config!$G$5,J$1,$A477,$A477))))</f>
        <v>#N/A Requesting Data...</v>
      </c>
      <c r="K477" s="8" t="str">
        <f>IF($A477="","",IF(ISNUMBER(FIND("IMPVOL",K$1)),_xll.BDH(config!$G$4,K$1,WORKDAY($A477,-1,config_Holiday_Calendar_US),WORKDAY($A477,-1,config_Holiday_Calendar_US)),IF(ISNUMBER(_xll.BDH(config!$G$4,K$1,$A477,$A477)),_xll.BDH(config!$G$4,K$1,$A477,$A477),_xll.BDH(config!$G$5,K$1,$A477,$A477))))</f>
        <v>#N/A Requesting Data...</v>
      </c>
      <c r="L477" s="8" t="str">
        <f>IF($A477="","",IF(ISNUMBER(FIND("IMPVOL",L$1)),_xll.BDH(config!$G$4,L$1,WORKDAY($A477,-1,config_Holiday_Calendar_US),WORKDAY($A477,-1,config_Holiday_Calendar_US)),IF(ISNUMBER(_xll.BDH(config!$G$4,L$1,$A477,$A477)),_xll.BDH(config!$G$4,L$1,$A477,$A477),_xll.BDH(config!$G$5,L$1,$A477,$A477))))</f>
        <v>#N/A Requesting Data...</v>
      </c>
      <c r="M477" s="8" t="str">
        <f>IF($A477="","",IF(ISNUMBER(FIND("IMPVOL",M$1)),_xll.BDH(config!$G$4,M$1,WORKDAY($A477,-1,config_Holiday_Calendar_US),WORKDAY($A477,-1,config_Holiday_Calendar_US)),IF(ISNUMBER(_xll.BDH(config!$G$4,M$1,$A477,$A477)),_xll.BDH(config!$G$4,M$1,$A477,$A477),_xll.BDH(config!$G$5,M$1,$A477,$A477))))</f>
        <v>#N/A Requesting Data...</v>
      </c>
      <c r="N477" s="8" t="str">
        <f>IF($A477="","",IF(ISNUMBER(FIND("IMPVOL",N$1)),_xll.BDH(config!$G$4,N$1,WORKDAY($A477,-1,config_Holiday_Calendar_US),WORKDAY($A477,-1,config_Holiday_Calendar_US)),IF(ISNUMBER(_xll.BDH(config!$G$4,N$1,$A477,$A477)),_xll.BDH(config!$G$4,N$1,$A477,$A477),_xll.BDH(config!$G$5,N$1,$A477,$A477))))</f>
        <v>#N/A Requesting Data...</v>
      </c>
      <c r="O477" s="8" t="str">
        <f>IF($A477="","",IF(ISNUMBER(FIND("IMPVOL",O$1)),_xll.BDH(config!$G$4,O$1,WORKDAY($A477,-1,config_Holiday_Calendar_US),WORKDAY($A477,-1,config_Holiday_Calendar_US)),IF(ISNUMBER(_xll.BDH(config!$G$4,O$1,$A477,$A477)),_xll.BDH(config!$G$4,O$1,$A477,$A477),_xll.BDH(config!$G$5,O$1,$A477,$A477))))</f>
        <v>#N/A Requesting Data...</v>
      </c>
      <c r="P477" s="8" t="str">
        <f>IF($A477="","",IF(ISNUMBER(FIND("IMPVOL",P$1)),_xll.BDH(config!$G$4,P$1,WORKDAY($A477,-1,config_Holiday_Calendar_US),WORKDAY($A477,-1,config_Holiday_Calendar_US)),IF(ISNUMBER(_xll.BDH(config!$G$4,P$1,$A477,$A477)),_xll.BDH(config!$G$4,P$1,$A477,$A477),_xll.BDH(config!$G$5,P$1,$A477,$A477))))</f>
        <v>#N/A Requesting Data...</v>
      </c>
      <c r="Q477" s="8" t="str">
        <f>IF($A477="","",IF(ISNUMBER(FIND("IMPVOL",Q$1)),_xll.BDH(config!$G$4,Q$1,WORKDAY($A477,-1,config_Holiday_Calendar_US),WORKDAY($A477,-1,config_Holiday_Calendar_US)),IF(ISNUMBER(_xll.BDH(config!$G$4,Q$1,$A477,$A477)),_xll.BDH(config!$G$4,Q$1,$A477,$A477),_xll.BDH(config!$G$5,Q$1,$A477,$A477))))</f>
        <v>#N/A Requesting Data...</v>
      </c>
      <c r="R477" s="8" t="str">
        <f>IF($A477="","",IF(ISNUMBER(FIND("IMPVOL",R$1)),_xll.BDH(config!$G$4,R$1,WORKDAY($A477,-1,config_Holiday_Calendar_US),WORKDAY($A477,-1,config_Holiday_Calendar_US)),IF(ISNUMBER(_xll.BDH(config!$G$4,R$1,$A477,$A477)),_xll.BDH(config!$G$4,R$1,$A477,$A477),_xll.BDH(config!$G$5,R$1,$A477,$A477))))</f>
        <v>#N/A Requesting Data...</v>
      </c>
      <c r="S477" s="8" t="str">
        <f>IF($A477="","",IF(ISNUMBER(FIND("IMPVOL",S$1)),_xll.BDH(config!$G$4,S$1,WORKDAY($A477,-1,config_Holiday_Calendar_US),WORKDAY($A477,-1,config_Holiday_Calendar_US)),IF(ISNUMBER(_xll.BDH(config!$G$4,S$1,$A477,$A477)),_xll.BDH(config!$G$4,S$1,$A477,$A477),_xll.BDH(config!$G$5,S$1,$A477,$A477))))</f>
        <v>#N/A Requesting Data...</v>
      </c>
      <c r="T477" s="8" t="str">
        <f>IF($A477="","",IF(ISNUMBER(FIND("IMPVOL",T$1)),_xll.BDH(config!$G$4,T$1,WORKDAY($A477,-1,config_Holiday_Calendar_US),WORKDAY($A477,-1,config_Holiday_Calendar_US)),IF(ISNUMBER(_xll.BDH(config!$G$4,T$1,$A477,$A477)),_xll.BDH(config!$G$4,T$1,$A477,$A477),_xll.BDH(config!$G$5,T$1,$A477,$A477))))</f>
        <v>#N/A Requesting Data...</v>
      </c>
      <c r="U477" s="8" t="str">
        <f>IF($A477="","",IF(ISNUMBER(FIND("IMPVOL",U$1)),_xll.BDH(config!$G$4,U$1,WORKDAY($A477,-1,config_Holiday_Calendar_US),WORKDAY($A477,-1,config_Holiday_Calendar_US)),IF(ISNUMBER(_xll.BDH(config!$G$4,U$1,$A477,$A477)),_xll.BDH(config!$G$4,U$1,$A477,$A477),_xll.BDH(config!$G$5,U$1,$A477,$A477))))</f>
        <v>#N/A Requesting Data...</v>
      </c>
      <c r="V477" s="8" t="str">
        <f>IF($A477="","",IF(ISNUMBER(FIND("IMPVOL",V$1)),_xll.BDH(config!$G$4,V$1,WORKDAY($A477,-1,config_Holiday_Calendar_US),WORKDAY($A477,-1,config_Holiday_Calendar_US)),IF(ISNUMBER(_xll.BDH(config!$G$4,V$1,$A477,$A477)),_xll.BDH(config!$G$4,V$1,$A477,$A477),_xll.BDH(config!$G$5,V$1,$A477,$A477))))</f>
        <v>#N/A Requesting Data...</v>
      </c>
      <c r="W477" s="8" t="str">
        <f>IF($A477="","",IF(ISNUMBER(FIND("IMPVOL",W$1)),_xll.BDH(config!$G$4,W$1,WORKDAY($A477,-1,config_Holiday_Calendar_US),WORKDAY($A477,-1,config_Holiday_Calendar_US)),IF(ISNUMBER(_xll.BDH(config!$G$4,W$1,$A477,$A477)),_xll.BDH(config!$G$4,W$1,$A477,$A477),_xll.BDH(config!$G$5,W$1,$A477,$A477))))</f>
        <v>#N/A Requesting Data...</v>
      </c>
    </row>
    <row r="478" spans="1:23" x14ac:dyDescent="0.2">
      <c r="A478" s="9">
        <f>IF(A477="","",IF(WORKDAY(A477,-1,config_Holiday_Calendar_US)&lt;config!$I$10,"",WORKDAY(A477,-1,config_Holiday_Calendar_US)))</f>
        <v>42136</v>
      </c>
      <c r="B478" s="8" t="e">
        <f t="shared" si="7"/>
        <v>#VALUE!</v>
      </c>
      <c r="C478" s="8" t="str">
        <f>IF(A478="","",_xll.BDH(config!$H$4,C$1,$A478,$A478))</f>
        <v>#N/A Requesting Data...</v>
      </c>
      <c r="D478" s="8" t="str">
        <f>IF($A478="","",_xll.BDH(config!$H$4,D$1,$A478,$A478))</f>
        <v>#N/A Requesting Data...</v>
      </c>
      <c r="E478" s="8">
        <f>IF($A478="","",IF(ISNUMBER(FIND("IMPVOL",E$1)),_xll.BDH(config!$G$4,E$1,WORKDAY($A478,-1,config_Holiday_Calendar_US),WORKDAY($A478,-1,config_Holiday_Calendar_US)),IF(ISNUMBER(_xll.BDH(config!$G$4,E$1,$A478,$A478)),_xll.BDH(config!$G$4,E$1,$A478,$A478),_xll.BDH(config!$G$5,E$1,$A478,$A478))))</f>
        <v>59.27</v>
      </c>
      <c r="F478" s="8">
        <f>IF($A478="","",IF(ISNUMBER(FIND("IMPVOL",F$1)),_xll.BDH(config!$G$4,F$1,WORKDAY($A478,-1,config_Holiday_Calendar_US),WORKDAY($A478,-1,config_Holiday_Calendar_US)),IF(ISNUMBER(_xll.BDH(config!$G$4,F$1,$A478,$A478)),_xll.BDH(config!$G$4,F$1,$A478,$A478),_xll.BDH(config!$G$5,F$1,$A478,$A478))))</f>
        <v>61.36</v>
      </c>
      <c r="G478" s="8" t="str">
        <f>IF($A478="","",IF(ISNUMBER(FIND("IMPVOL",G$1)),_xll.BDH(config!$G$4,G$1,WORKDAY($A478,-1,config_Holiday_Calendar_US),WORKDAY($A478,-1,config_Holiday_Calendar_US)),IF(ISNUMBER(_xll.BDH(config!$G$4,G$1,$A478,$A478)),_xll.BDH(config!$G$4,G$1,$A478,$A478),_xll.BDH(config!$G$5,G$1,$A478,$A478))))</f>
        <v>#N/A Requesting Data...</v>
      </c>
      <c r="H478" s="8" t="str">
        <f>IF($A478="","",IF(ISNUMBER(FIND("IMPVOL",H$1)),_xll.BDH(config!$G$4,H$1,WORKDAY($A478,-1,config_Holiday_Calendar_US),WORKDAY($A478,-1,config_Holiday_Calendar_US)),IF(ISNUMBER(_xll.BDH(config!$G$4,H$1,$A478,$A478)),_xll.BDH(config!$G$4,H$1,$A478,$A478),_xll.BDH(config!$G$5,H$1,$A478,$A478))))</f>
        <v>#N/A Requesting Data...</v>
      </c>
      <c r="I478" s="8" t="str">
        <f>IF($A478="","",IF(ISNUMBER(FIND("IMPVOL",I$1)),_xll.BDH(config!$G$4,I$1,WORKDAY($A478,-1,config_Holiday_Calendar_US),WORKDAY($A478,-1,config_Holiday_Calendar_US)),IF(ISNUMBER(_xll.BDH(config!$G$4,I$1,$A478,$A478)),_xll.BDH(config!$G$4,I$1,$A478,$A478),_xll.BDH(config!$G$5,I$1,$A478,$A478))))</f>
        <v>#N/A Requesting Data...</v>
      </c>
      <c r="J478" s="8" t="str">
        <f>IF($A478="","",IF(ISNUMBER(FIND("IMPVOL",J$1)),_xll.BDH(config!$G$4,J$1,WORKDAY($A478,-1,config_Holiday_Calendar_US),WORKDAY($A478,-1,config_Holiday_Calendar_US)),IF(ISNUMBER(_xll.BDH(config!$G$4,J$1,$A478,$A478)),_xll.BDH(config!$G$4,J$1,$A478,$A478),_xll.BDH(config!$G$5,J$1,$A478,$A478))))</f>
        <v>#N/A Requesting Data...</v>
      </c>
      <c r="K478" s="8" t="str">
        <f>IF($A478="","",IF(ISNUMBER(FIND("IMPVOL",K$1)),_xll.BDH(config!$G$4,K$1,WORKDAY($A478,-1,config_Holiday_Calendar_US),WORKDAY($A478,-1,config_Holiday_Calendar_US)),IF(ISNUMBER(_xll.BDH(config!$G$4,K$1,$A478,$A478)),_xll.BDH(config!$G$4,K$1,$A478,$A478),_xll.BDH(config!$G$5,K$1,$A478,$A478))))</f>
        <v>#N/A Requesting Data...</v>
      </c>
      <c r="L478" s="8" t="str">
        <f>IF($A478="","",IF(ISNUMBER(FIND("IMPVOL",L$1)),_xll.BDH(config!$G$4,L$1,WORKDAY($A478,-1,config_Holiday_Calendar_US),WORKDAY($A478,-1,config_Holiday_Calendar_US)),IF(ISNUMBER(_xll.BDH(config!$G$4,L$1,$A478,$A478)),_xll.BDH(config!$G$4,L$1,$A478,$A478),_xll.BDH(config!$G$5,L$1,$A478,$A478))))</f>
        <v>#N/A Requesting Data...</v>
      </c>
      <c r="M478" s="8" t="str">
        <f>IF($A478="","",IF(ISNUMBER(FIND("IMPVOL",M$1)),_xll.BDH(config!$G$4,M$1,WORKDAY($A478,-1,config_Holiday_Calendar_US),WORKDAY($A478,-1,config_Holiday_Calendar_US)),IF(ISNUMBER(_xll.BDH(config!$G$4,M$1,$A478,$A478)),_xll.BDH(config!$G$4,M$1,$A478,$A478),_xll.BDH(config!$G$5,M$1,$A478,$A478))))</f>
        <v>#N/A Requesting Data...</v>
      </c>
      <c r="N478" s="8" t="str">
        <f>IF($A478="","",IF(ISNUMBER(FIND("IMPVOL",N$1)),_xll.BDH(config!$G$4,N$1,WORKDAY($A478,-1,config_Holiday_Calendar_US),WORKDAY($A478,-1,config_Holiday_Calendar_US)),IF(ISNUMBER(_xll.BDH(config!$G$4,N$1,$A478,$A478)),_xll.BDH(config!$G$4,N$1,$A478,$A478),_xll.BDH(config!$G$5,N$1,$A478,$A478))))</f>
        <v>#N/A Requesting Data...</v>
      </c>
      <c r="O478" s="8" t="str">
        <f>IF($A478="","",IF(ISNUMBER(FIND("IMPVOL",O$1)),_xll.BDH(config!$G$4,O$1,WORKDAY($A478,-1,config_Holiday_Calendar_US),WORKDAY($A478,-1,config_Holiday_Calendar_US)),IF(ISNUMBER(_xll.BDH(config!$G$4,O$1,$A478,$A478)),_xll.BDH(config!$G$4,O$1,$A478,$A478),_xll.BDH(config!$G$5,O$1,$A478,$A478))))</f>
        <v>#N/A Requesting Data...</v>
      </c>
      <c r="P478" s="8" t="str">
        <f>IF($A478="","",IF(ISNUMBER(FIND("IMPVOL",P$1)),_xll.BDH(config!$G$4,P$1,WORKDAY($A478,-1,config_Holiday_Calendar_US),WORKDAY($A478,-1,config_Holiday_Calendar_US)),IF(ISNUMBER(_xll.BDH(config!$G$4,P$1,$A478,$A478)),_xll.BDH(config!$G$4,P$1,$A478,$A478),_xll.BDH(config!$G$5,P$1,$A478,$A478))))</f>
        <v>#N/A Requesting Data...</v>
      </c>
      <c r="Q478" s="8" t="str">
        <f>IF($A478="","",IF(ISNUMBER(FIND("IMPVOL",Q$1)),_xll.BDH(config!$G$4,Q$1,WORKDAY($A478,-1,config_Holiday_Calendar_US),WORKDAY($A478,-1,config_Holiday_Calendar_US)),IF(ISNUMBER(_xll.BDH(config!$G$4,Q$1,$A478,$A478)),_xll.BDH(config!$G$4,Q$1,$A478,$A478),_xll.BDH(config!$G$5,Q$1,$A478,$A478))))</f>
        <v>#N/A Requesting Data...</v>
      </c>
      <c r="R478" s="8" t="str">
        <f>IF($A478="","",IF(ISNUMBER(FIND("IMPVOL",R$1)),_xll.BDH(config!$G$4,R$1,WORKDAY($A478,-1,config_Holiday_Calendar_US),WORKDAY($A478,-1,config_Holiday_Calendar_US)),IF(ISNUMBER(_xll.BDH(config!$G$4,R$1,$A478,$A478)),_xll.BDH(config!$G$4,R$1,$A478,$A478),_xll.BDH(config!$G$5,R$1,$A478,$A478))))</f>
        <v>#N/A Requesting Data...</v>
      </c>
      <c r="S478" s="8" t="str">
        <f>IF($A478="","",IF(ISNUMBER(FIND("IMPVOL",S$1)),_xll.BDH(config!$G$4,S$1,WORKDAY($A478,-1,config_Holiday_Calendar_US),WORKDAY($A478,-1,config_Holiday_Calendar_US)),IF(ISNUMBER(_xll.BDH(config!$G$4,S$1,$A478,$A478)),_xll.BDH(config!$G$4,S$1,$A478,$A478),_xll.BDH(config!$G$5,S$1,$A478,$A478))))</f>
        <v>#N/A Requesting Data...</v>
      </c>
      <c r="T478" s="8" t="str">
        <f>IF($A478="","",IF(ISNUMBER(FIND("IMPVOL",T$1)),_xll.BDH(config!$G$4,T$1,WORKDAY($A478,-1,config_Holiday_Calendar_US),WORKDAY($A478,-1,config_Holiday_Calendar_US)),IF(ISNUMBER(_xll.BDH(config!$G$4,T$1,$A478,$A478)),_xll.BDH(config!$G$4,T$1,$A478,$A478),_xll.BDH(config!$G$5,T$1,$A478,$A478))))</f>
        <v>#N/A Requesting Data...</v>
      </c>
      <c r="U478" s="8" t="str">
        <f>IF($A478="","",IF(ISNUMBER(FIND("IMPVOL",U$1)),_xll.BDH(config!$G$4,U$1,WORKDAY($A478,-1,config_Holiday_Calendar_US),WORKDAY($A478,-1,config_Holiday_Calendar_US)),IF(ISNUMBER(_xll.BDH(config!$G$4,U$1,$A478,$A478)),_xll.BDH(config!$G$4,U$1,$A478,$A478),_xll.BDH(config!$G$5,U$1,$A478,$A478))))</f>
        <v>#N/A Requesting Data...</v>
      </c>
      <c r="V478" s="8" t="str">
        <f>IF($A478="","",IF(ISNUMBER(FIND("IMPVOL",V$1)),_xll.BDH(config!$G$4,V$1,WORKDAY($A478,-1,config_Holiday_Calendar_US),WORKDAY($A478,-1,config_Holiday_Calendar_US)),IF(ISNUMBER(_xll.BDH(config!$G$4,V$1,$A478,$A478)),_xll.BDH(config!$G$4,V$1,$A478,$A478),_xll.BDH(config!$G$5,V$1,$A478,$A478))))</f>
        <v>#N/A Requesting Data...</v>
      </c>
      <c r="W478" s="8" t="str">
        <f>IF($A478="","",IF(ISNUMBER(FIND("IMPVOL",W$1)),_xll.BDH(config!$G$4,W$1,WORKDAY($A478,-1,config_Holiday_Calendar_US),WORKDAY($A478,-1,config_Holiday_Calendar_US)),IF(ISNUMBER(_xll.BDH(config!$G$4,W$1,$A478,$A478)),_xll.BDH(config!$G$4,W$1,$A478,$A478),_xll.BDH(config!$G$5,W$1,$A478,$A478))))</f>
        <v>#N/A Requesting Data...</v>
      </c>
    </row>
    <row r="479" spans="1:23" x14ac:dyDescent="0.2">
      <c r="A479" s="9">
        <f>IF(A478="","",IF(WORKDAY(A478,-1,config_Holiday_Calendar_US)&lt;config!$I$10,"",WORKDAY(A478,-1,config_Holiday_Calendar_US)))</f>
        <v>42135</v>
      </c>
      <c r="B479" s="8" t="e">
        <f t="shared" si="7"/>
        <v>#VALUE!</v>
      </c>
      <c r="C479" s="8" t="str">
        <f>IF(A479="","",_xll.BDH(config!$H$4,C$1,$A479,$A479))</f>
        <v>#N/A Requesting Data...</v>
      </c>
      <c r="D479" s="8" t="str">
        <f>IF($A479="","",_xll.BDH(config!$H$4,D$1,$A479,$A479))</f>
        <v>#N/A Requesting Data...</v>
      </c>
      <c r="E479" s="8">
        <f>IF($A479="","",IF(ISNUMBER(FIND("IMPVOL",E$1)),_xll.BDH(config!$G$4,E$1,WORKDAY($A479,-1,config_Holiday_Calendar_US),WORKDAY($A479,-1,config_Holiday_Calendar_US)),IF(ISNUMBER(_xll.BDH(config!$G$4,E$1,$A479,$A479)),_xll.BDH(config!$G$4,E$1,$A479,$A479),_xll.BDH(config!$G$5,E$1,$A479,$A479))))</f>
        <v>59.43</v>
      </c>
      <c r="F479" s="8">
        <f>IF($A479="","",IF(ISNUMBER(FIND("IMPVOL",F$1)),_xll.BDH(config!$G$4,F$1,WORKDAY($A479,-1,config_Holiday_Calendar_US),WORKDAY($A479,-1,config_Holiday_Calendar_US)),IF(ISNUMBER(_xll.BDH(config!$G$4,F$1,$A479,$A479)),_xll.BDH(config!$G$4,F$1,$A479,$A479),_xll.BDH(config!$G$5,F$1,$A479,$A479))))</f>
        <v>59.85</v>
      </c>
      <c r="G479" s="8" t="str">
        <f>IF($A479="","",IF(ISNUMBER(FIND("IMPVOL",G$1)),_xll.BDH(config!$G$4,G$1,WORKDAY($A479,-1,config_Holiday_Calendar_US),WORKDAY($A479,-1,config_Holiday_Calendar_US)),IF(ISNUMBER(_xll.BDH(config!$G$4,G$1,$A479,$A479)),_xll.BDH(config!$G$4,G$1,$A479,$A479),_xll.BDH(config!$G$5,G$1,$A479,$A479))))</f>
        <v>#N/A Requesting Data...</v>
      </c>
      <c r="H479" s="8" t="str">
        <f>IF($A479="","",IF(ISNUMBER(FIND("IMPVOL",H$1)),_xll.BDH(config!$G$4,H$1,WORKDAY($A479,-1,config_Holiday_Calendar_US),WORKDAY($A479,-1,config_Holiday_Calendar_US)),IF(ISNUMBER(_xll.BDH(config!$G$4,H$1,$A479,$A479)),_xll.BDH(config!$G$4,H$1,$A479,$A479),_xll.BDH(config!$G$5,H$1,$A479,$A479))))</f>
        <v>#N/A Requesting Data...</v>
      </c>
      <c r="I479" s="8" t="str">
        <f>IF($A479="","",IF(ISNUMBER(FIND("IMPVOL",I$1)),_xll.BDH(config!$G$4,I$1,WORKDAY($A479,-1,config_Holiday_Calendar_US),WORKDAY($A479,-1,config_Holiday_Calendar_US)),IF(ISNUMBER(_xll.BDH(config!$G$4,I$1,$A479,$A479)),_xll.BDH(config!$G$4,I$1,$A479,$A479),_xll.BDH(config!$G$5,I$1,$A479,$A479))))</f>
        <v>#N/A Requesting Data...</v>
      </c>
      <c r="J479" s="8" t="str">
        <f>IF($A479="","",IF(ISNUMBER(FIND("IMPVOL",J$1)),_xll.BDH(config!$G$4,J$1,WORKDAY($A479,-1,config_Holiday_Calendar_US),WORKDAY($A479,-1,config_Holiday_Calendar_US)),IF(ISNUMBER(_xll.BDH(config!$G$4,J$1,$A479,$A479)),_xll.BDH(config!$G$4,J$1,$A479,$A479),_xll.BDH(config!$G$5,J$1,$A479,$A479))))</f>
        <v>#N/A Requesting Data...</v>
      </c>
      <c r="K479" s="8" t="str">
        <f>IF($A479="","",IF(ISNUMBER(FIND("IMPVOL",K$1)),_xll.BDH(config!$G$4,K$1,WORKDAY($A479,-1,config_Holiday_Calendar_US),WORKDAY($A479,-1,config_Holiday_Calendar_US)),IF(ISNUMBER(_xll.BDH(config!$G$4,K$1,$A479,$A479)),_xll.BDH(config!$G$4,K$1,$A479,$A479),_xll.BDH(config!$G$5,K$1,$A479,$A479))))</f>
        <v>#N/A Requesting Data...</v>
      </c>
      <c r="L479" s="8" t="str">
        <f>IF($A479="","",IF(ISNUMBER(FIND("IMPVOL",L$1)),_xll.BDH(config!$G$4,L$1,WORKDAY($A479,-1,config_Holiday_Calendar_US),WORKDAY($A479,-1,config_Holiday_Calendar_US)),IF(ISNUMBER(_xll.BDH(config!$G$4,L$1,$A479,$A479)),_xll.BDH(config!$G$4,L$1,$A479,$A479),_xll.BDH(config!$G$5,L$1,$A479,$A479))))</f>
        <v>#N/A Requesting Data...</v>
      </c>
      <c r="M479" s="8" t="str">
        <f>IF($A479="","",IF(ISNUMBER(FIND("IMPVOL",M$1)),_xll.BDH(config!$G$4,M$1,WORKDAY($A479,-1,config_Holiday_Calendar_US),WORKDAY($A479,-1,config_Holiday_Calendar_US)),IF(ISNUMBER(_xll.BDH(config!$G$4,M$1,$A479,$A479)),_xll.BDH(config!$G$4,M$1,$A479,$A479),_xll.BDH(config!$G$5,M$1,$A479,$A479))))</f>
        <v>#N/A Requesting Data...</v>
      </c>
      <c r="N479" s="8" t="str">
        <f>IF($A479="","",IF(ISNUMBER(FIND("IMPVOL",N$1)),_xll.BDH(config!$G$4,N$1,WORKDAY($A479,-1,config_Holiday_Calendar_US),WORKDAY($A479,-1,config_Holiday_Calendar_US)),IF(ISNUMBER(_xll.BDH(config!$G$4,N$1,$A479,$A479)),_xll.BDH(config!$G$4,N$1,$A479,$A479),_xll.BDH(config!$G$5,N$1,$A479,$A479))))</f>
        <v>#N/A Requesting Data...</v>
      </c>
      <c r="O479" s="8" t="str">
        <f>IF($A479="","",IF(ISNUMBER(FIND("IMPVOL",O$1)),_xll.BDH(config!$G$4,O$1,WORKDAY($A479,-1,config_Holiday_Calendar_US),WORKDAY($A479,-1,config_Holiday_Calendar_US)),IF(ISNUMBER(_xll.BDH(config!$G$4,O$1,$A479,$A479)),_xll.BDH(config!$G$4,O$1,$A479,$A479),_xll.BDH(config!$G$5,O$1,$A479,$A479))))</f>
        <v>#N/A Requesting Data...</v>
      </c>
      <c r="P479" s="8" t="str">
        <f>IF($A479="","",IF(ISNUMBER(FIND("IMPVOL",P$1)),_xll.BDH(config!$G$4,P$1,WORKDAY($A479,-1,config_Holiday_Calendar_US),WORKDAY($A479,-1,config_Holiday_Calendar_US)),IF(ISNUMBER(_xll.BDH(config!$G$4,P$1,$A479,$A479)),_xll.BDH(config!$G$4,P$1,$A479,$A479),_xll.BDH(config!$G$5,P$1,$A479,$A479))))</f>
        <v>#N/A Requesting Data...</v>
      </c>
      <c r="Q479" s="8" t="str">
        <f>IF($A479="","",IF(ISNUMBER(FIND("IMPVOL",Q$1)),_xll.BDH(config!$G$4,Q$1,WORKDAY($A479,-1,config_Holiday_Calendar_US),WORKDAY($A479,-1,config_Holiday_Calendar_US)),IF(ISNUMBER(_xll.BDH(config!$G$4,Q$1,$A479,$A479)),_xll.BDH(config!$G$4,Q$1,$A479,$A479),_xll.BDH(config!$G$5,Q$1,$A479,$A479))))</f>
        <v>#N/A Requesting Data...</v>
      </c>
      <c r="R479" s="8" t="str">
        <f>IF($A479="","",IF(ISNUMBER(FIND("IMPVOL",R$1)),_xll.BDH(config!$G$4,R$1,WORKDAY($A479,-1,config_Holiday_Calendar_US),WORKDAY($A479,-1,config_Holiday_Calendar_US)),IF(ISNUMBER(_xll.BDH(config!$G$4,R$1,$A479,$A479)),_xll.BDH(config!$G$4,R$1,$A479,$A479),_xll.BDH(config!$G$5,R$1,$A479,$A479))))</f>
        <v>#N/A Requesting Data...</v>
      </c>
      <c r="S479" s="8" t="str">
        <f>IF($A479="","",IF(ISNUMBER(FIND("IMPVOL",S$1)),_xll.BDH(config!$G$4,S$1,WORKDAY($A479,-1,config_Holiday_Calendar_US),WORKDAY($A479,-1,config_Holiday_Calendar_US)),IF(ISNUMBER(_xll.BDH(config!$G$4,S$1,$A479,$A479)),_xll.BDH(config!$G$4,S$1,$A479,$A479),_xll.BDH(config!$G$5,S$1,$A479,$A479))))</f>
        <v>#N/A Requesting Data...</v>
      </c>
      <c r="T479" s="8" t="str">
        <f>IF($A479="","",IF(ISNUMBER(FIND("IMPVOL",T$1)),_xll.BDH(config!$G$4,T$1,WORKDAY($A479,-1,config_Holiday_Calendar_US),WORKDAY($A479,-1,config_Holiday_Calendar_US)),IF(ISNUMBER(_xll.BDH(config!$G$4,T$1,$A479,$A479)),_xll.BDH(config!$G$4,T$1,$A479,$A479),_xll.BDH(config!$G$5,T$1,$A479,$A479))))</f>
        <v>#N/A Requesting Data...</v>
      </c>
      <c r="U479" s="8" t="str">
        <f>IF($A479="","",IF(ISNUMBER(FIND("IMPVOL",U$1)),_xll.BDH(config!$G$4,U$1,WORKDAY($A479,-1,config_Holiday_Calendar_US),WORKDAY($A479,-1,config_Holiday_Calendar_US)),IF(ISNUMBER(_xll.BDH(config!$G$4,U$1,$A479,$A479)),_xll.BDH(config!$G$4,U$1,$A479,$A479),_xll.BDH(config!$G$5,U$1,$A479,$A479))))</f>
        <v>#N/A Requesting Data...</v>
      </c>
      <c r="V479" s="8" t="str">
        <f>IF($A479="","",IF(ISNUMBER(FIND("IMPVOL",V$1)),_xll.BDH(config!$G$4,V$1,WORKDAY($A479,-1,config_Holiday_Calendar_US),WORKDAY($A479,-1,config_Holiday_Calendar_US)),IF(ISNUMBER(_xll.BDH(config!$G$4,V$1,$A479,$A479)),_xll.BDH(config!$G$4,V$1,$A479,$A479),_xll.BDH(config!$G$5,V$1,$A479,$A479))))</f>
        <v>#N/A Requesting Data...</v>
      </c>
      <c r="W479" s="8" t="str">
        <f>IF($A479="","",IF(ISNUMBER(FIND("IMPVOL",W$1)),_xll.BDH(config!$G$4,W$1,WORKDAY($A479,-1,config_Holiday_Calendar_US),WORKDAY($A479,-1,config_Holiday_Calendar_US)),IF(ISNUMBER(_xll.BDH(config!$G$4,W$1,$A479,$A479)),_xll.BDH(config!$G$4,W$1,$A479,$A479),_xll.BDH(config!$G$5,W$1,$A479,$A479))))</f>
        <v>#N/A Requesting Data...</v>
      </c>
    </row>
    <row r="480" spans="1:23" x14ac:dyDescent="0.2">
      <c r="A480" s="9">
        <f>IF(A479="","",IF(WORKDAY(A479,-1,config_Holiday_Calendar_US)&lt;config!$I$10,"",WORKDAY(A479,-1,config_Holiday_Calendar_US)))</f>
        <v>42132</v>
      </c>
      <c r="B480" s="8" t="e">
        <f t="shared" si="7"/>
        <v>#VALUE!</v>
      </c>
      <c r="C480" s="8" t="str">
        <f>IF(A480="","",_xll.BDH(config!$H$4,C$1,$A480,$A480))</f>
        <v>#N/A Requesting Data...</v>
      </c>
      <c r="D480" s="8" t="str">
        <f>IF($A480="","",_xll.BDH(config!$H$4,D$1,$A480,$A480))</f>
        <v>#N/A Requesting Data...</v>
      </c>
      <c r="E480" s="8">
        <f>IF($A480="","",IF(ISNUMBER(FIND("IMPVOL",E$1)),_xll.BDH(config!$G$4,E$1,WORKDAY($A480,-1,config_Holiday_Calendar_US),WORKDAY($A480,-1,config_Holiday_Calendar_US)),IF(ISNUMBER(_xll.BDH(config!$G$4,E$1,$A480,$A480)),_xll.BDH(config!$G$4,E$1,$A480,$A480),_xll.BDH(config!$G$5,E$1,$A480,$A480))))</f>
        <v>59.02</v>
      </c>
      <c r="F480" s="8">
        <f>IF($A480="","",IF(ISNUMBER(FIND("IMPVOL",F$1)),_xll.BDH(config!$G$4,F$1,WORKDAY($A480,-1,config_Holiday_Calendar_US),WORKDAY($A480,-1,config_Holiday_Calendar_US)),IF(ISNUMBER(_xll.BDH(config!$G$4,F$1,$A480,$A480)),_xll.BDH(config!$G$4,F$1,$A480,$A480),_xll.BDH(config!$G$5,F$1,$A480,$A480))))</f>
        <v>59.9</v>
      </c>
      <c r="G480" s="8" t="str">
        <f>IF($A480="","",IF(ISNUMBER(FIND("IMPVOL",G$1)),_xll.BDH(config!$G$4,G$1,WORKDAY($A480,-1,config_Holiday_Calendar_US),WORKDAY($A480,-1,config_Holiday_Calendar_US)),IF(ISNUMBER(_xll.BDH(config!$G$4,G$1,$A480,$A480)),_xll.BDH(config!$G$4,G$1,$A480,$A480),_xll.BDH(config!$G$5,G$1,$A480,$A480))))</f>
        <v>#N/A Requesting Data...</v>
      </c>
      <c r="H480" s="8" t="str">
        <f>IF($A480="","",IF(ISNUMBER(FIND("IMPVOL",H$1)),_xll.BDH(config!$G$4,H$1,WORKDAY($A480,-1,config_Holiday_Calendar_US),WORKDAY($A480,-1,config_Holiday_Calendar_US)),IF(ISNUMBER(_xll.BDH(config!$G$4,H$1,$A480,$A480)),_xll.BDH(config!$G$4,H$1,$A480,$A480),_xll.BDH(config!$G$5,H$1,$A480,$A480))))</f>
        <v>#N/A Requesting Data...</v>
      </c>
      <c r="I480" s="8" t="str">
        <f>IF($A480="","",IF(ISNUMBER(FIND("IMPVOL",I$1)),_xll.BDH(config!$G$4,I$1,WORKDAY($A480,-1,config_Holiday_Calendar_US),WORKDAY($A480,-1,config_Holiday_Calendar_US)),IF(ISNUMBER(_xll.BDH(config!$G$4,I$1,$A480,$A480)),_xll.BDH(config!$G$4,I$1,$A480,$A480),_xll.BDH(config!$G$5,I$1,$A480,$A480))))</f>
        <v>#N/A Requesting Data...</v>
      </c>
      <c r="J480" s="8" t="str">
        <f>IF($A480="","",IF(ISNUMBER(FIND("IMPVOL",J$1)),_xll.BDH(config!$G$4,J$1,WORKDAY($A480,-1,config_Holiday_Calendar_US),WORKDAY($A480,-1,config_Holiday_Calendar_US)),IF(ISNUMBER(_xll.BDH(config!$G$4,J$1,$A480,$A480)),_xll.BDH(config!$G$4,J$1,$A480,$A480),_xll.BDH(config!$G$5,J$1,$A480,$A480))))</f>
        <v>#N/A Requesting Data...</v>
      </c>
      <c r="K480" s="8" t="str">
        <f>IF($A480="","",IF(ISNUMBER(FIND("IMPVOL",K$1)),_xll.BDH(config!$G$4,K$1,WORKDAY($A480,-1,config_Holiday_Calendar_US),WORKDAY($A480,-1,config_Holiday_Calendar_US)),IF(ISNUMBER(_xll.BDH(config!$G$4,K$1,$A480,$A480)),_xll.BDH(config!$G$4,K$1,$A480,$A480),_xll.BDH(config!$G$5,K$1,$A480,$A480))))</f>
        <v>#N/A Requesting Data...</v>
      </c>
      <c r="L480" s="8" t="str">
        <f>IF($A480="","",IF(ISNUMBER(FIND("IMPVOL",L$1)),_xll.BDH(config!$G$4,L$1,WORKDAY($A480,-1,config_Holiday_Calendar_US),WORKDAY($A480,-1,config_Holiday_Calendar_US)),IF(ISNUMBER(_xll.BDH(config!$G$4,L$1,$A480,$A480)),_xll.BDH(config!$G$4,L$1,$A480,$A480),_xll.BDH(config!$G$5,L$1,$A480,$A480))))</f>
        <v>#N/A Requesting Data...</v>
      </c>
      <c r="M480" s="8" t="str">
        <f>IF($A480="","",IF(ISNUMBER(FIND("IMPVOL",M$1)),_xll.BDH(config!$G$4,M$1,WORKDAY($A480,-1,config_Holiday_Calendar_US),WORKDAY($A480,-1,config_Holiday_Calendar_US)),IF(ISNUMBER(_xll.BDH(config!$G$4,M$1,$A480,$A480)),_xll.BDH(config!$G$4,M$1,$A480,$A480),_xll.BDH(config!$G$5,M$1,$A480,$A480))))</f>
        <v>#N/A Requesting Data...</v>
      </c>
      <c r="N480" s="8" t="str">
        <f>IF($A480="","",IF(ISNUMBER(FIND("IMPVOL",N$1)),_xll.BDH(config!$G$4,N$1,WORKDAY($A480,-1,config_Holiday_Calendar_US),WORKDAY($A480,-1,config_Holiday_Calendar_US)),IF(ISNUMBER(_xll.BDH(config!$G$4,N$1,$A480,$A480)),_xll.BDH(config!$G$4,N$1,$A480,$A480),_xll.BDH(config!$G$5,N$1,$A480,$A480))))</f>
        <v>#N/A Requesting Data...</v>
      </c>
      <c r="O480" s="8" t="str">
        <f>IF($A480="","",IF(ISNUMBER(FIND("IMPVOL",O$1)),_xll.BDH(config!$G$4,O$1,WORKDAY($A480,-1,config_Holiday_Calendar_US),WORKDAY($A480,-1,config_Holiday_Calendar_US)),IF(ISNUMBER(_xll.BDH(config!$G$4,O$1,$A480,$A480)),_xll.BDH(config!$G$4,O$1,$A480,$A480),_xll.BDH(config!$G$5,O$1,$A480,$A480))))</f>
        <v>#N/A Requesting Data...</v>
      </c>
      <c r="P480" s="8" t="str">
        <f>IF($A480="","",IF(ISNUMBER(FIND("IMPVOL",P$1)),_xll.BDH(config!$G$4,P$1,WORKDAY($A480,-1,config_Holiday_Calendar_US),WORKDAY($A480,-1,config_Holiday_Calendar_US)),IF(ISNUMBER(_xll.BDH(config!$G$4,P$1,$A480,$A480)),_xll.BDH(config!$G$4,P$1,$A480,$A480),_xll.BDH(config!$G$5,P$1,$A480,$A480))))</f>
        <v>#N/A Requesting Data...</v>
      </c>
      <c r="Q480" s="8" t="str">
        <f>IF($A480="","",IF(ISNUMBER(FIND("IMPVOL",Q$1)),_xll.BDH(config!$G$4,Q$1,WORKDAY($A480,-1,config_Holiday_Calendar_US),WORKDAY($A480,-1,config_Holiday_Calendar_US)),IF(ISNUMBER(_xll.BDH(config!$G$4,Q$1,$A480,$A480)),_xll.BDH(config!$G$4,Q$1,$A480,$A480),_xll.BDH(config!$G$5,Q$1,$A480,$A480))))</f>
        <v>#N/A Requesting Data...</v>
      </c>
      <c r="R480" s="8" t="str">
        <f>IF($A480="","",IF(ISNUMBER(FIND("IMPVOL",R$1)),_xll.BDH(config!$G$4,R$1,WORKDAY($A480,-1,config_Holiday_Calendar_US),WORKDAY($A480,-1,config_Holiday_Calendar_US)),IF(ISNUMBER(_xll.BDH(config!$G$4,R$1,$A480,$A480)),_xll.BDH(config!$G$4,R$1,$A480,$A480),_xll.BDH(config!$G$5,R$1,$A480,$A480))))</f>
        <v>#N/A Requesting Data...</v>
      </c>
      <c r="S480" s="8" t="str">
        <f>IF($A480="","",IF(ISNUMBER(FIND("IMPVOL",S$1)),_xll.BDH(config!$G$4,S$1,WORKDAY($A480,-1,config_Holiday_Calendar_US),WORKDAY($A480,-1,config_Holiday_Calendar_US)),IF(ISNUMBER(_xll.BDH(config!$G$4,S$1,$A480,$A480)),_xll.BDH(config!$G$4,S$1,$A480,$A480),_xll.BDH(config!$G$5,S$1,$A480,$A480))))</f>
        <v>#N/A Requesting Data...</v>
      </c>
      <c r="T480" s="8" t="str">
        <f>IF($A480="","",IF(ISNUMBER(FIND("IMPVOL",T$1)),_xll.BDH(config!$G$4,T$1,WORKDAY($A480,-1,config_Holiday_Calendar_US),WORKDAY($A480,-1,config_Holiday_Calendar_US)),IF(ISNUMBER(_xll.BDH(config!$G$4,T$1,$A480,$A480)),_xll.BDH(config!$G$4,T$1,$A480,$A480),_xll.BDH(config!$G$5,T$1,$A480,$A480))))</f>
        <v>#N/A Requesting Data...</v>
      </c>
      <c r="U480" s="8" t="str">
        <f>IF($A480="","",IF(ISNUMBER(FIND("IMPVOL",U$1)),_xll.BDH(config!$G$4,U$1,WORKDAY($A480,-1,config_Holiday_Calendar_US),WORKDAY($A480,-1,config_Holiday_Calendar_US)),IF(ISNUMBER(_xll.BDH(config!$G$4,U$1,$A480,$A480)),_xll.BDH(config!$G$4,U$1,$A480,$A480),_xll.BDH(config!$G$5,U$1,$A480,$A480))))</f>
        <v>#N/A Requesting Data...</v>
      </c>
      <c r="V480" s="8" t="str">
        <f>IF($A480="","",IF(ISNUMBER(FIND("IMPVOL",V$1)),_xll.BDH(config!$G$4,V$1,WORKDAY($A480,-1,config_Holiday_Calendar_US),WORKDAY($A480,-1,config_Holiday_Calendar_US)),IF(ISNUMBER(_xll.BDH(config!$G$4,V$1,$A480,$A480)),_xll.BDH(config!$G$4,V$1,$A480,$A480),_xll.BDH(config!$G$5,V$1,$A480,$A480))))</f>
        <v>#N/A Requesting Data...</v>
      </c>
      <c r="W480" s="8" t="str">
        <f>IF($A480="","",IF(ISNUMBER(FIND("IMPVOL",W$1)),_xll.BDH(config!$G$4,W$1,WORKDAY($A480,-1,config_Holiday_Calendar_US),WORKDAY($A480,-1,config_Holiday_Calendar_US)),IF(ISNUMBER(_xll.BDH(config!$G$4,W$1,$A480,$A480)),_xll.BDH(config!$G$4,W$1,$A480,$A480),_xll.BDH(config!$G$5,W$1,$A480,$A480))))</f>
        <v>#N/A Requesting Data...</v>
      </c>
    </row>
    <row r="481" spans="1:23" x14ac:dyDescent="0.2">
      <c r="A481" s="9">
        <f>IF(A480="","",IF(WORKDAY(A480,-1,config_Holiday_Calendar_US)&lt;config!$I$10,"",WORKDAY(A480,-1,config_Holiday_Calendar_US)))</f>
        <v>42131</v>
      </c>
      <c r="B481" s="8" t="e">
        <f t="shared" si="7"/>
        <v>#VALUE!</v>
      </c>
      <c r="C481" s="8" t="str">
        <f>IF(A481="","",_xll.BDH(config!$H$4,C$1,$A481,$A481))</f>
        <v>#N/A Requesting Data...</v>
      </c>
      <c r="D481" s="8" t="str">
        <f>IF($A481="","",_xll.BDH(config!$H$4,D$1,$A481,$A481))</f>
        <v>#N/A Requesting Data...</v>
      </c>
      <c r="E481" s="8">
        <f>IF($A481="","",IF(ISNUMBER(FIND("IMPVOL",E$1)),_xll.BDH(config!$G$4,E$1,WORKDAY($A481,-1,config_Holiday_Calendar_US),WORKDAY($A481,-1,config_Holiday_Calendar_US)),IF(ISNUMBER(_xll.BDH(config!$G$4,E$1,$A481,$A481)),_xll.BDH(config!$G$4,E$1,$A481,$A481),_xll.BDH(config!$G$5,E$1,$A481,$A481))))</f>
        <v>60.69</v>
      </c>
      <c r="F481" s="8">
        <f>IF($A481="","",IF(ISNUMBER(FIND("IMPVOL",F$1)),_xll.BDH(config!$G$4,F$1,WORKDAY($A481,-1,config_Holiday_Calendar_US),WORKDAY($A481,-1,config_Holiday_Calendar_US)),IF(ISNUMBER(_xll.BDH(config!$G$4,F$1,$A481,$A481)),_xll.BDH(config!$G$4,F$1,$A481,$A481),_xll.BDH(config!$G$5,F$1,$A481,$A481))))</f>
        <v>61.31</v>
      </c>
      <c r="G481" s="8" t="str">
        <f>IF($A481="","",IF(ISNUMBER(FIND("IMPVOL",G$1)),_xll.BDH(config!$G$4,G$1,WORKDAY($A481,-1,config_Holiday_Calendar_US),WORKDAY($A481,-1,config_Holiday_Calendar_US)),IF(ISNUMBER(_xll.BDH(config!$G$4,G$1,$A481,$A481)),_xll.BDH(config!$G$4,G$1,$A481,$A481),_xll.BDH(config!$G$5,G$1,$A481,$A481))))</f>
        <v>#N/A Requesting Data...</v>
      </c>
      <c r="H481" s="8" t="str">
        <f>IF($A481="","",IF(ISNUMBER(FIND("IMPVOL",H$1)),_xll.BDH(config!$G$4,H$1,WORKDAY($A481,-1,config_Holiday_Calendar_US),WORKDAY($A481,-1,config_Holiday_Calendar_US)),IF(ISNUMBER(_xll.BDH(config!$G$4,H$1,$A481,$A481)),_xll.BDH(config!$G$4,H$1,$A481,$A481),_xll.BDH(config!$G$5,H$1,$A481,$A481))))</f>
        <v>#N/A Requesting Data...</v>
      </c>
      <c r="I481" s="8" t="str">
        <f>IF($A481="","",IF(ISNUMBER(FIND("IMPVOL",I$1)),_xll.BDH(config!$G$4,I$1,WORKDAY($A481,-1,config_Holiday_Calendar_US),WORKDAY($A481,-1,config_Holiday_Calendar_US)),IF(ISNUMBER(_xll.BDH(config!$G$4,I$1,$A481,$A481)),_xll.BDH(config!$G$4,I$1,$A481,$A481),_xll.BDH(config!$G$5,I$1,$A481,$A481))))</f>
        <v>#N/A Requesting Data...</v>
      </c>
      <c r="J481" s="8" t="str">
        <f>IF($A481="","",IF(ISNUMBER(FIND("IMPVOL",J$1)),_xll.BDH(config!$G$4,J$1,WORKDAY($A481,-1,config_Holiday_Calendar_US),WORKDAY($A481,-1,config_Holiday_Calendar_US)),IF(ISNUMBER(_xll.BDH(config!$G$4,J$1,$A481,$A481)),_xll.BDH(config!$G$4,J$1,$A481,$A481),_xll.BDH(config!$G$5,J$1,$A481,$A481))))</f>
        <v>#N/A Requesting Data...</v>
      </c>
      <c r="K481" s="8" t="str">
        <f>IF($A481="","",IF(ISNUMBER(FIND("IMPVOL",K$1)),_xll.BDH(config!$G$4,K$1,WORKDAY($A481,-1,config_Holiday_Calendar_US),WORKDAY($A481,-1,config_Holiday_Calendar_US)),IF(ISNUMBER(_xll.BDH(config!$G$4,K$1,$A481,$A481)),_xll.BDH(config!$G$4,K$1,$A481,$A481),_xll.BDH(config!$G$5,K$1,$A481,$A481))))</f>
        <v>#N/A Requesting Data...</v>
      </c>
      <c r="L481" s="8" t="str">
        <f>IF($A481="","",IF(ISNUMBER(FIND("IMPVOL",L$1)),_xll.BDH(config!$G$4,L$1,WORKDAY($A481,-1,config_Holiday_Calendar_US),WORKDAY($A481,-1,config_Holiday_Calendar_US)),IF(ISNUMBER(_xll.BDH(config!$G$4,L$1,$A481,$A481)),_xll.BDH(config!$G$4,L$1,$A481,$A481),_xll.BDH(config!$G$5,L$1,$A481,$A481))))</f>
        <v>#N/A Requesting Data...</v>
      </c>
      <c r="M481" s="8" t="str">
        <f>IF($A481="","",IF(ISNUMBER(FIND("IMPVOL",M$1)),_xll.BDH(config!$G$4,M$1,WORKDAY($A481,-1,config_Holiday_Calendar_US),WORKDAY($A481,-1,config_Holiday_Calendar_US)),IF(ISNUMBER(_xll.BDH(config!$G$4,M$1,$A481,$A481)),_xll.BDH(config!$G$4,M$1,$A481,$A481),_xll.BDH(config!$G$5,M$1,$A481,$A481))))</f>
        <v>#N/A Requesting Data...</v>
      </c>
      <c r="N481" s="8" t="str">
        <f>IF($A481="","",IF(ISNUMBER(FIND("IMPVOL",N$1)),_xll.BDH(config!$G$4,N$1,WORKDAY($A481,-1,config_Holiday_Calendar_US),WORKDAY($A481,-1,config_Holiday_Calendar_US)),IF(ISNUMBER(_xll.BDH(config!$G$4,N$1,$A481,$A481)),_xll.BDH(config!$G$4,N$1,$A481,$A481),_xll.BDH(config!$G$5,N$1,$A481,$A481))))</f>
        <v>#N/A Requesting Data...</v>
      </c>
      <c r="O481" s="8" t="str">
        <f>IF($A481="","",IF(ISNUMBER(FIND("IMPVOL",O$1)),_xll.BDH(config!$G$4,O$1,WORKDAY($A481,-1,config_Holiday_Calendar_US),WORKDAY($A481,-1,config_Holiday_Calendar_US)),IF(ISNUMBER(_xll.BDH(config!$G$4,O$1,$A481,$A481)),_xll.BDH(config!$G$4,O$1,$A481,$A481),_xll.BDH(config!$G$5,O$1,$A481,$A481))))</f>
        <v>#N/A Requesting Data...</v>
      </c>
      <c r="P481" s="8" t="str">
        <f>IF($A481="","",IF(ISNUMBER(FIND("IMPVOL",P$1)),_xll.BDH(config!$G$4,P$1,WORKDAY($A481,-1,config_Holiday_Calendar_US),WORKDAY($A481,-1,config_Holiday_Calendar_US)),IF(ISNUMBER(_xll.BDH(config!$G$4,P$1,$A481,$A481)),_xll.BDH(config!$G$4,P$1,$A481,$A481),_xll.BDH(config!$G$5,P$1,$A481,$A481))))</f>
        <v>#N/A Requesting Data...</v>
      </c>
      <c r="Q481" s="8" t="str">
        <f>IF($A481="","",IF(ISNUMBER(FIND("IMPVOL",Q$1)),_xll.BDH(config!$G$4,Q$1,WORKDAY($A481,-1,config_Holiday_Calendar_US),WORKDAY($A481,-1,config_Holiday_Calendar_US)),IF(ISNUMBER(_xll.BDH(config!$G$4,Q$1,$A481,$A481)),_xll.BDH(config!$G$4,Q$1,$A481,$A481),_xll.BDH(config!$G$5,Q$1,$A481,$A481))))</f>
        <v>#N/A Requesting Data...</v>
      </c>
      <c r="R481" s="8" t="str">
        <f>IF($A481="","",IF(ISNUMBER(FIND("IMPVOL",R$1)),_xll.BDH(config!$G$4,R$1,WORKDAY($A481,-1,config_Holiday_Calendar_US),WORKDAY($A481,-1,config_Holiday_Calendar_US)),IF(ISNUMBER(_xll.BDH(config!$G$4,R$1,$A481,$A481)),_xll.BDH(config!$G$4,R$1,$A481,$A481),_xll.BDH(config!$G$5,R$1,$A481,$A481))))</f>
        <v>#N/A Requesting Data...</v>
      </c>
      <c r="S481" s="8" t="str">
        <f>IF($A481="","",IF(ISNUMBER(FIND("IMPVOL",S$1)),_xll.BDH(config!$G$4,S$1,WORKDAY($A481,-1,config_Holiday_Calendar_US),WORKDAY($A481,-1,config_Holiday_Calendar_US)),IF(ISNUMBER(_xll.BDH(config!$G$4,S$1,$A481,$A481)),_xll.BDH(config!$G$4,S$1,$A481,$A481),_xll.BDH(config!$G$5,S$1,$A481,$A481))))</f>
        <v>#N/A Requesting Data...</v>
      </c>
      <c r="T481" s="8" t="str">
        <f>IF($A481="","",IF(ISNUMBER(FIND("IMPVOL",T$1)),_xll.BDH(config!$G$4,T$1,WORKDAY($A481,-1,config_Holiday_Calendar_US),WORKDAY($A481,-1,config_Holiday_Calendar_US)),IF(ISNUMBER(_xll.BDH(config!$G$4,T$1,$A481,$A481)),_xll.BDH(config!$G$4,T$1,$A481,$A481),_xll.BDH(config!$G$5,T$1,$A481,$A481))))</f>
        <v>#N/A Requesting Data...</v>
      </c>
      <c r="U481" s="8" t="str">
        <f>IF($A481="","",IF(ISNUMBER(FIND("IMPVOL",U$1)),_xll.BDH(config!$G$4,U$1,WORKDAY($A481,-1,config_Holiday_Calendar_US),WORKDAY($A481,-1,config_Holiday_Calendar_US)),IF(ISNUMBER(_xll.BDH(config!$G$4,U$1,$A481,$A481)),_xll.BDH(config!$G$4,U$1,$A481,$A481),_xll.BDH(config!$G$5,U$1,$A481,$A481))))</f>
        <v>#N/A Requesting Data...</v>
      </c>
      <c r="V481" s="8" t="str">
        <f>IF($A481="","",IF(ISNUMBER(FIND("IMPVOL",V$1)),_xll.BDH(config!$G$4,V$1,WORKDAY($A481,-1,config_Holiday_Calendar_US),WORKDAY($A481,-1,config_Holiday_Calendar_US)),IF(ISNUMBER(_xll.BDH(config!$G$4,V$1,$A481,$A481)),_xll.BDH(config!$G$4,V$1,$A481,$A481),_xll.BDH(config!$G$5,V$1,$A481,$A481))))</f>
        <v>#N/A Requesting Data...</v>
      </c>
      <c r="W481" s="8" t="str">
        <f>IF($A481="","",IF(ISNUMBER(FIND("IMPVOL",W$1)),_xll.BDH(config!$G$4,W$1,WORKDAY($A481,-1,config_Holiday_Calendar_US),WORKDAY($A481,-1,config_Holiday_Calendar_US)),IF(ISNUMBER(_xll.BDH(config!$G$4,W$1,$A481,$A481)),_xll.BDH(config!$G$4,W$1,$A481,$A481),_xll.BDH(config!$G$5,W$1,$A481,$A481))))</f>
        <v>#N/A Requesting Data...</v>
      </c>
    </row>
    <row r="482" spans="1:23" x14ac:dyDescent="0.2">
      <c r="A482" s="9">
        <f>IF(A481="","",IF(WORKDAY(A481,-1,config_Holiday_Calendar_US)&lt;config!$I$10,"",WORKDAY(A481,-1,config_Holiday_Calendar_US)))</f>
        <v>42130</v>
      </c>
      <c r="B482" s="8" t="e">
        <f t="shared" si="7"/>
        <v>#VALUE!</v>
      </c>
      <c r="C482" s="8" t="str">
        <f>IF(A482="","",_xll.BDH(config!$H$4,C$1,$A482,$A482))</f>
        <v>#N/A Requesting Data...</v>
      </c>
      <c r="D482" s="8" t="str">
        <f>IF($A482="","",_xll.BDH(config!$H$4,D$1,$A482,$A482))</f>
        <v>#N/A Requesting Data...</v>
      </c>
      <c r="E482" s="8">
        <f>IF($A482="","",IF(ISNUMBER(FIND("IMPVOL",E$1)),_xll.BDH(config!$G$4,E$1,WORKDAY($A482,-1,config_Holiday_Calendar_US),WORKDAY($A482,-1,config_Holiday_Calendar_US)),IF(ISNUMBER(_xll.BDH(config!$G$4,E$1,$A482,$A482)),_xll.BDH(config!$G$4,E$1,$A482,$A482),_xll.BDH(config!$G$5,E$1,$A482,$A482))))</f>
        <v>60.72</v>
      </c>
      <c r="F482" s="8">
        <f>IF($A482="","",IF(ISNUMBER(FIND("IMPVOL",F$1)),_xll.BDH(config!$G$4,F$1,WORKDAY($A482,-1,config_Holiday_Calendar_US),WORKDAY($A482,-1,config_Holiday_Calendar_US)),IF(ISNUMBER(_xll.BDH(config!$G$4,F$1,$A482,$A482)),_xll.BDH(config!$G$4,F$1,$A482,$A482),_xll.BDH(config!$G$5,F$1,$A482,$A482))))</f>
        <v>62.58</v>
      </c>
      <c r="G482" s="8" t="str">
        <f>IF($A482="","",IF(ISNUMBER(FIND("IMPVOL",G$1)),_xll.BDH(config!$G$4,G$1,WORKDAY($A482,-1,config_Holiday_Calendar_US),WORKDAY($A482,-1,config_Holiday_Calendar_US)),IF(ISNUMBER(_xll.BDH(config!$G$4,G$1,$A482,$A482)),_xll.BDH(config!$G$4,G$1,$A482,$A482),_xll.BDH(config!$G$5,G$1,$A482,$A482))))</f>
        <v>#N/A Requesting Data...</v>
      </c>
      <c r="H482" s="8" t="str">
        <f>IF($A482="","",IF(ISNUMBER(FIND("IMPVOL",H$1)),_xll.BDH(config!$G$4,H$1,WORKDAY($A482,-1,config_Holiday_Calendar_US),WORKDAY($A482,-1,config_Holiday_Calendar_US)),IF(ISNUMBER(_xll.BDH(config!$G$4,H$1,$A482,$A482)),_xll.BDH(config!$G$4,H$1,$A482,$A482),_xll.BDH(config!$G$5,H$1,$A482,$A482))))</f>
        <v>#N/A Requesting Data...</v>
      </c>
      <c r="I482" s="8" t="str">
        <f>IF($A482="","",IF(ISNUMBER(FIND("IMPVOL",I$1)),_xll.BDH(config!$G$4,I$1,WORKDAY($A482,-1,config_Holiday_Calendar_US),WORKDAY($A482,-1,config_Holiday_Calendar_US)),IF(ISNUMBER(_xll.BDH(config!$G$4,I$1,$A482,$A482)),_xll.BDH(config!$G$4,I$1,$A482,$A482),_xll.BDH(config!$G$5,I$1,$A482,$A482))))</f>
        <v>#N/A Requesting Data...</v>
      </c>
      <c r="J482" s="8" t="str">
        <f>IF($A482="","",IF(ISNUMBER(FIND("IMPVOL",J$1)),_xll.BDH(config!$G$4,J$1,WORKDAY($A482,-1,config_Holiday_Calendar_US),WORKDAY($A482,-1,config_Holiday_Calendar_US)),IF(ISNUMBER(_xll.BDH(config!$G$4,J$1,$A482,$A482)),_xll.BDH(config!$G$4,J$1,$A482,$A482),_xll.BDH(config!$G$5,J$1,$A482,$A482))))</f>
        <v>#N/A Requesting Data...</v>
      </c>
      <c r="K482" s="8" t="str">
        <f>IF($A482="","",IF(ISNUMBER(FIND("IMPVOL",K$1)),_xll.BDH(config!$G$4,K$1,WORKDAY($A482,-1,config_Holiday_Calendar_US),WORKDAY($A482,-1,config_Holiday_Calendar_US)),IF(ISNUMBER(_xll.BDH(config!$G$4,K$1,$A482,$A482)),_xll.BDH(config!$G$4,K$1,$A482,$A482),_xll.BDH(config!$G$5,K$1,$A482,$A482))))</f>
        <v>#N/A Requesting Data...</v>
      </c>
      <c r="L482" s="8" t="str">
        <f>IF($A482="","",IF(ISNUMBER(FIND("IMPVOL",L$1)),_xll.BDH(config!$G$4,L$1,WORKDAY($A482,-1,config_Holiday_Calendar_US),WORKDAY($A482,-1,config_Holiday_Calendar_US)),IF(ISNUMBER(_xll.BDH(config!$G$4,L$1,$A482,$A482)),_xll.BDH(config!$G$4,L$1,$A482,$A482),_xll.BDH(config!$G$5,L$1,$A482,$A482))))</f>
        <v>#N/A Requesting Data...</v>
      </c>
      <c r="M482" s="8" t="str">
        <f>IF($A482="","",IF(ISNUMBER(FIND("IMPVOL",M$1)),_xll.BDH(config!$G$4,M$1,WORKDAY($A482,-1,config_Holiday_Calendar_US),WORKDAY($A482,-1,config_Holiday_Calendar_US)),IF(ISNUMBER(_xll.BDH(config!$G$4,M$1,$A482,$A482)),_xll.BDH(config!$G$4,M$1,$A482,$A482),_xll.BDH(config!$G$5,M$1,$A482,$A482))))</f>
        <v>#N/A Requesting Data...</v>
      </c>
      <c r="N482" s="8" t="str">
        <f>IF($A482="","",IF(ISNUMBER(FIND("IMPVOL",N$1)),_xll.BDH(config!$G$4,N$1,WORKDAY($A482,-1,config_Holiday_Calendar_US),WORKDAY($A482,-1,config_Holiday_Calendar_US)),IF(ISNUMBER(_xll.BDH(config!$G$4,N$1,$A482,$A482)),_xll.BDH(config!$G$4,N$1,$A482,$A482),_xll.BDH(config!$G$5,N$1,$A482,$A482))))</f>
        <v>#N/A Requesting Data...</v>
      </c>
      <c r="O482" s="8" t="str">
        <f>IF($A482="","",IF(ISNUMBER(FIND("IMPVOL",O$1)),_xll.BDH(config!$G$4,O$1,WORKDAY($A482,-1,config_Holiday_Calendar_US),WORKDAY($A482,-1,config_Holiday_Calendar_US)),IF(ISNUMBER(_xll.BDH(config!$G$4,O$1,$A482,$A482)),_xll.BDH(config!$G$4,O$1,$A482,$A482),_xll.BDH(config!$G$5,O$1,$A482,$A482))))</f>
        <v>#N/A Requesting Data...</v>
      </c>
      <c r="P482" s="8" t="str">
        <f>IF($A482="","",IF(ISNUMBER(FIND("IMPVOL",P$1)),_xll.BDH(config!$G$4,P$1,WORKDAY($A482,-1,config_Holiday_Calendar_US),WORKDAY($A482,-1,config_Holiday_Calendar_US)),IF(ISNUMBER(_xll.BDH(config!$G$4,P$1,$A482,$A482)),_xll.BDH(config!$G$4,P$1,$A482,$A482),_xll.BDH(config!$G$5,P$1,$A482,$A482))))</f>
        <v>#N/A Requesting Data...</v>
      </c>
      <c r="Q482" s="8" t="str">
        <f>IF($A482="","",IF(ISNUMBER(FIND("IMPVOL",Q$1)),_xll.BDH(config!$G$4,Q$1,WORKDAY($A482,-1,config_Holiday_Calendar_US),WORKDAY($A482,-1,config_Holiday_Calendar_US)),IF(ISNUMBER(_xll.BDH(config!$G$4,Q$1,$A482,$A482)),_xll.BDH(config!$G$4,Q$1,$A482,$A482),_xll.BDH(config!$G$5,Q$1,$A482,$A482))))</f>
        <v>#N/A Requesting Data...</v>
      </c>
      <c r="R482" s="8" t="str">
        <f>IF($A482="","",IF(ISNUMBER(FIND("IMPVOL",R$1)),_xll.BDH(config!$G$4,R$1,WORKDAY($A482,-1,config_Holiday_Calendar_US),WORKDAY($A482,-1,config_Holiday_Calendar_US)),IF(ISNUMBER(_xll.BDH(config!$G$4,R$1,$A482,$A482)),_xll.BDH(config!$G$4,R$1,$A482,$A482),_xll.BDH(config!$G$5,R$1,$A482,$A482))))</f>
        <v>#N/A Requesting Data...</v>
      </c>
      <c r="S482" s="8" t="str">
        <f>IF($A482="","",IF(ISNUMBER(FIND("IMPVOL",S$1)),_xll.BDH(config!$G$4,S$1,WORKDAY($A482,-1,config_Holiday_Calendar_US),WORKDAY($A482,-1,config_Holiday_Calendar_US)),IF(ISNUMBER(_xll.BDH(config!$G$4,S$1,$A482,$A482)),_xll.BDH(config!$G$4,S$1,$A482,$A482),_xll.BDH(config!$G$5,S$1,$A482,$A482))))</f>
        <v>#N/A Requesting Data...</v>
      </c>
      <c r="T482" s="8" t="str">
        <f>IF($A482="","",IF(ISNUMBER(FIND("IMPVOL",T$1)),_xll.BDH(config!$G$4,T$1,WORKDAY($A482,-1,config_Holiday_Calendar_US),WORKDAY($A482,-1,config_Holiday_Calendar_US)),IF(ISNUMBER(_xll.BDH(config!$G$4,T$1,$A482,$A482)),_xll.BDH(config!$G$4,T$1,$A482,$A482),_xll.BDH(config!$G$5,T$1,$A482,$A482))))</f>
        <v>#N/A Requesting Data...</v>
      </c>
      <c r="U482" s="8" t="str">
        <f>IF($A482="","",IF(ISNUMBER(FIND("IMPVOL",U$1)),_xll.BDH(config!$G$4,U$1,WORKDAY($A482,-1,config_Holiday_Calendar_US),WORKDAY($A482,-1,config_Holiday_Calendar_US)),IF(ISNUMBER(_xll.BDH(config!$G$4,U$1,$A482,$A482)),_xll.BDH(config!$G$4,U$1,$A482,$A482),_xll.BDH(config!$G$5,U$1,$A482,$A482))))</f>
        <v>#N/A Requesting Data...</v>
      </c>
      <c r="V482" s="8" t="str">
        <f>IF($A482="","",IF(ISNUMBER(FIND("IMPVOL",V$1)),_xll.BDH(config!$G$4,V$1,WORKDAY($A482,-1,config_Holiday_Calendar_US),WORKDAY($A482,-1,config_Holiday_Calendar_US)),IF(ISNUMBER(_xll.BDH(config!$G$4,V$1,$A482,$A482)),_xll.BDH(config!$G$4,V$1,$A482,$A482),_xll.BDH(config!$G$5,V$1,$A482,$A482))))</f>
        <v>#N/A Requesting Data...</v>
      </c>
      <c r="W482" s="8" t="str">
        <f>IF($A482="","",IF(ISNUMBER(FIND("IMPVOL",W$1)),_xll.BDH(config!$G$4,W$1,WORKDAY($A482,-1,config_Holiday_Calendar_US),WORKDAY($A482,-1,config_Holiday_Calendar_US)),IF(ISNUMBER(_xll.BDH(config!$G$4,W$1,$A482,$A482)),_xll.BDH(config!$G$4,W$1,$A482,$A482),_xll.BDH(config!$G$5,W$1,$A482,$A482))))</f>
        <v>#N/A Requesting Data...</v>
      </c>
    </row>
    <row r="483" spans="1:23" x14ac:dyDescent="0.2">
      <c r="A483" s="9">
        <f>IF(A482="","",IF(WORKDAY(A482,-1,config_Holiday_Calendar_US)&lt;config!$I$10,"",WORKDAY(A482,-1,config_Holiday_Calendar_US)))</f>
        <v>42129</v>
      </c>
      <c r="B483" s="8" t="e">
        <f t="shared" si="7"/>
        <v>#VALUE!</v>
      </c>
      <c r="C483" s="8" t="str">
        <f>IF(A483="","",_xll.BDH(config!$H$4,C$1,$A483,$A483))</f>
        <v>#N/A Requesting Data...</v>
      </c>
      <c r="D483" s="8" t="str">
        <f>IF($A483="","",_xll.BDH(config!$H$4,D$1,$A483,$A483))</f>
        <v>#N/A Requesting Data...</v>
      </c>
      <c r="E483" s="8">
        <f>IF($A483="","",IF(ISNUMBER(FIND("IMPVOL",E$1)),_xll.BDH(config!$G$4,E$1,WORKDAY($A483,-1,config_Holiday_Calendar_US),WORKDAY($A483,-1,config_Holiday_Calendar_US)),IF(ISNUMBER(_xll.BDH(config!$G$4,E$1,$A483,$A483)),_xll.BDH(config!$G$4,E$1,$A483,$A483),_xll.BDH(config!$G$5,E$1,$A483,$A483))))</f>
        <v>58.95</v>
      </c>
      <c r="F483" s="8">
        <f>IF($A483="","",IF(ISNUMBER(FIND("IMPVOL",F$1)),_xll.BDH(config!$G$4,F$1,WORKDAY($A483,-1,config_Holiday_Calendar_US),WORKDAY($A483,-1,config_Holiday_Calendar_US)),IF(ISNUMBER(_xll.BDH(config!$G$4,F$1,$A483,$A483)),_xll.BDH(config!$G$4,F$1,$A483,$A483),_xll.BDH(config!$G$5,F$1,$A483,$A483))))</f>
        <v>61.1</v>
      </c>
      <c r="G483" s="8" t="str">
        <f>IF($A483="","",IF(ISNUMBER(FIND("IMPVOL",G$1)),_xll.BDH(config!$G$4,G$1,WORKDAY($A483,-1,config_Holiday_Calendar_US),WORKDAY($A483,-1,config_Holiday_Calendar_US)),IF(ISNUMBER(_xll.BDH(config!$G$4,G$1,$A483,$A483)),_xll.BDH(config!$G$4,G$1,$A483,$A483),_xll.BDH(config!$G$5,G$1,$A483,$A483))))</f>
        <v>#N/A Requesting Data...</v>
      </c>
      <c r="H483" s="8" t="str">
        <f>IF($A483="","",IF(ISNUMBER(FIND("IMPVOL",H$1)),_xll.BDH(config!$G$4,H$1,WORKDAY($A483,-1,config_Holiday_Calendar_US),WORKDAY($A483,-1,config_Holiday_Calendar_US)),IF(ISNUMBER(_xll.BDH(config!$G$4,H$1,$A483,$A483)),_xll.BDH(config!$G$4,H$1,$A483,$A483),_xll.BDH(config!$G$5,H$1,$A483,$A483))))</f>
        <v>#N/A Requesting Data...</v>
      </c>
      <c r="I483" s="8" t="str">
        <f>IF($A483="","",IF(ISNUMBER(FIND("IMPVOL",I$1)),_xll.BDH(config!$G$4,I$1,WORKDAY($A483,-1,config_Holiday_Calendar_US),WORKDAY($A483,-1,config_Holiday_Calendar_US)),IF(ISNUMBER(_xll.BDH(config!$G$4,I$1,$A483,$A483)),_xll.BDH(config!$G$4,I$1,$A483,$A483),_xll.BDH(config!$G$5,I$1,$A483,$A483))))</f>
        <v>#N/A Requesting Data...</v>
      </c>
      <c r="J483" s="8" t="str">
        <f>IF($A483="","",IF(ISNUMBER(FIND("IMPVOL",J$1)),_xll.BDH(config!$G$4,J$1,WORKDAY($A483,-1,config_Holiday_Calendar_US),WORKDAY($A483,-1,config_Holiday_Calendar_US)),IF(ISNUMBER(_xll.BDH(config!$G$4,J$1,$A483,$A483)),_xll.BDH(config!$G$4,J$1,$A483,$A483),_xll.BDH(config!$G$5,J$1,$A483,$A483))))</f>
        <v>#N/A Requesting Data...</v>
      </c>
      <c r="K483" s="8" t="str">
        <f>IF($A483="","",IF(ISNUMBER(FIND("IMPVOL",K$1)),_xll.BDH(config!$G$4,K$1,WORKDAY($A483,-1,config_Holiday_Calendar_US),WORKDAY($A483,-1,config_Holiday_Calendar_US)),IF(ISNUMBER(_xll.BDH(config!$G$4,K$1,$A483,$A483)),_xll.BDH(config!$G$4,K$1,$A483,$A483),_xll.BDH(config!$G$5,K$1,$A483,$A483))))</f>
        <v>#N/A Requesting Data...</v>
      </c>
      <c r="L483" s="8" t="str">
        <f>IF($A483="","",IF(ISNUMBER(FIND("IMPVOL",L$1)),_xll.BDH(config!$G$4,L$1,WORKDAY($A483,-1,config_Holiday_Calendar_US),WORKDAY($A483,-1,config_Holiday_Calendar_US)),IF(ISNUMBER(_xll.BDH(config!$G$4,L$1,$A483,$A483)),_xll.BDH(config!$G$4,L$1,$A483,$A483),_xll.BDH(config!$G$5,L$1,$A483,$A483))))</f>
        <v>#N/A Requesting Data...</v>
      </c>
      <c r="M483" s="8" t="str">
        <f>IF($A483="","",IF(ISNUMBER(FIND("IMPVOL",M$1)),_xll.BDH(config!$G$4,M$1,WORKDAY($A483,-1,config_Holiday_Calendar_US),WORKDAY($A483,-1,config_Holiday_Calendar_US)),IF(ISNUMBER(_xll.BDH(config!$G$4,M$1,$A483,$A483)),_xll.BDH(config!$G$4,M$1,$A483,$A483),_xll.BDH(config!$G$5,M$1,$A483,$A483))))</f>
        <v>#N/A Requesting Data...</v>
      </c>
      <c r="N483" s="8" t="str">
        <f>IF($A483="","",IF(ISNUMBER(FIND("IMPVOL",N$1)),_xll.BDH(config!$G$4,N$1,WORKDAY($A483,-1,config_Holiday_Calendar_US),WORKDAY($A483,-1,config_Holiday_Calendar_US)),IF(ISNUMBER(_xll.BDH(config!$G$4,N$1,$A483,$A483)),_xll.BDH(config!$G$4,N$1,$A483,$A483),_xll.BDH(config!$G$5,N$1,$A483,$A483))))</f>
        <v>#N/A Requesting Data...</v>
      </c>
      <c r="O483" s="8" t="str">
        <f>IF($A483="","",IF(ISNUMBER(FIND("IMPVOL",O$1)),_xll.BDH(config!$G$4,O$1,WORKDAY($A483,-1,config_Holiday_Calendar_US),WORKDAY($A483,-1,config_Holiday_Calendar_US)),IF(ISNUMBER(_xll.BDH(config!$G$4,O$1,$A483,$A483)),_xll.BDH(config!$G$4,O$1,$A483,$A483),_xll.BDH(config!$G$5,O$1,$A483,$A483))))</f>
        <v>#N/A Requesting Data...</v>
      </c>
      <c r="P483" s="8" t="str">
        <f>IF($A483="","",IF(ISNUMBER(FIND("IMPVOL",P$1)),_xll.BDH(config!$G$4,P$1,WORKDAY($A483,-1,config_Holiday_Calendar_US),WORKDAY($A483,-1,config_Holiday_Calendar_US)),IF(ISNUMBER(_xll.BDH(config!$G$4,P$1,$A483,$A483)),_xll.BDH(config!$G$4,P$1,$A483,$A483),_xll.BDH(config!$G$5,P$1,$A483,$A483))))</f>
        <v>#N/A Requesting Data...</v>
      </c>
      <c r="Q483" s="8" t="str">
        <f>IF($A483="","",IF(ISNUMBER(FIND("IMPVOL",Q$1)),_xll.BDH(config!$G$4,Q$1,WORKDAY($A483,-1,config_Holiday_Calendar_US),WORKDAY($A483,-1,config_Holiday_Calendar_US)),IF(ISNUMBER(_xll.BDH(config!$G$4,Q$1,$A483,$A483)),_xll.BDH(config!$G$4,Q$1,$A483,$A483),_xll.BDH(config!$G$5,Q$1,$A483,$A483))))</f>
        <v>#N/A Requesting Data...</v>
      </c>
      <c r="R483" s="8" t="str">
        <f>IF($A483="","",IF(ISNUMBER(FIND("IMPVOL",R$1)),_xll.BDH(config!$G$4,R$1,WORKDAY($A483,-1,config_Holiday_Calendar_US),WORKDAY($A483,-1,config_Holiday_Calendar_US)),IF(ISNUMBER(_xll.BDH(config!$G$4,R$1,$A483,$A483)),_xll.BDH(config!$G$4,R$1,$A483,$A483),_xll.BDH(config!$G$5,R$1,$A483,$A483))))</f>
        <v>#N/A Requesting Data...</v>
      </c>
      <c r="S483" s="8" t="str">
        <f>IF($A483="","",IF(ISNUMBER(FIND("IMPVOL",S$1)),_xll.BDH(config!$G$4,S$1,WORKDAY($A483,-1,config_Holiday_Calendar_US),WORKDAY($A483,-1,config_Holiday_Calendar_US)),IF(ISNUMBER(_xll.BDH(config!$G$4,S$1,$A483,$A483)),_xll.BDH(config!$G$4,S$1,$A483,$A483),_xll.BDH(config!$G$5,S$1,$A483,$A483))))</f>
        <v>#N/A Requesting Data...</v>
      </c>
      <c r="T483" s="8" t="str">
        <f>IF($A483="","",IF(ISNUMBER(FIND("IMPVOL",T$1)),_xll.BDH(config!$G$4,T$1,WORKDAY($A483,-1,config_Holiday_Calendar_US),WORKDAY($A483,-1,config_Holiday_Calendar_US)),IF(ISNUMBER(_xll.BDH(config!$G$4,T$1,$A483,$A483)),_xll.BDH(config!$G$4,T$1,$A483,$A483),_xll.BDH(config!$G$5,T$1,$A483,$A483))))</f>
        <v>#N/A Requesting Data...</v>
      </c>
      <c r="U483" s="8" t="str">
        <f>IF($A483="","",IF(ISNUMBER(FIND("IMPVOL",U$1)),_xll.BDH(config!$G$4,U$1,WORKDAY($A483,-1,config_Holiday_Calendar_US),WORKDAY($A483,-1,config_Holiday_Calendar_US)),IF(ISNUMBER(_xll.BDH(config!$G$4,U$1,$A483,$A483)),_xll.BDH(config!$G$4,U$1,$A483,$A483),_xll.BDH(config!$G$5,U$1,$A483,$A483))))</f>
        <v>#N/A Requesting Data...</v>
      </c>
      <c r="V483" s="8" t="str">
        <f>IF($A483="","",IF(ISNUMBER(FIND("IMPVOL",V$1)),_xll.BDH(config!$G$4,V$1,WORKDAY($A483,-1,config_Holiday_Calendar_US),WORKDAY($A483,-1,config_Holiday_Calendar_US)),IF(ISNUMBER(_xll.BDH(config!$G$4,V$1,$A483,$A483)),_xll.BDH(config!$G$4,V$1,$A483,$A483),_xll.BDH(config!$G$5,V$1,$A483,$A483))))</f>
        <v>#N/A Requesting Data...</v>
      </c>
      <c r="W483" s="8" t="str">
        <f>IF($A483="","",IF(ISNUMBER(FIND("IMPVOL",W$1)),_xll.BDH(config!$G$4,W$1,WORKDAY($A483,-1,config_Holiday_Calendar_US),WORKDAY($A483,-1,config_Holiday_Calendar_US)),IF(ISNUMBER(_xll.BDH(config!$G$4,W$1,$A483,$A483)),_xll.BDH(config!$G$4,W$1,$A483,$A483),_xll.BDH(config!$G$5,W$1,$A483,$A483))))</f>
        <v>#N/A Requesting Data...</v>
      </c>
    </row>
    <row r="484" spans="1:23" x14ac:dyDescent="0.2">
      <c r="A484" s="9">
        <f>IF(A483="","",IF(WORKDAY(A483,-1,config_Holiday_Calendar_US)&lt;config!$I$10,"",WORKDAY(A483,-1,config_Holiday_Calendar_US)))</f>
        <v>42128</v>
      </c>
      <c r="B484" s="8" t="e">
        <f t="shared" si="7"/>
        <v>#VALUE!</v>
      </c>
      <c r="C484" s="8" t="str">
        <f>IF(A484="","",_xll.BDH(config!$H$4,C$1,$A484,$A484))</f>
        <v>#N/A Requesting Data...</v>
      </c>
      <c r="D484" s="8" t="str">
        <f>IF($A484="","",_xll.BDH(config!$H$4,D$1,$A484,$A484))</f>
        <v>#N/A Requesting Data...</v>
      </c>
      <c r="E484" s="8">
        <f>IF($A484="","",IF(ISNUMBER(FIND("IMPVOL",E$1)),_xll.BDH(config!$G$4,E$1,WORKDAY($A484,-1,config_Holiday_Calendar_US),WORKDAY($A484,-1,config_Holiday_Calendar_US)),IF(ISNUMBER(_xll.BDH(config!$G$4,E$1,$A484,$A484)),_xll.BDH(config!$G$4,E$1,$A484,$A484),_xll.BDH(config!$G$5,E$1,$A484,$A484))))</f>
        <v>59.3</v>
      </c>
      <c r="F484" s="8">
        <f>IF($A484="","",IF(ISNUMBER(FIND("IMPVOL",F$1)),_xll.BDH(config!$G$4,F$1,WORKDAY($A484,-1,config_Holiday_Calendar_US),WORKDAY($A484,-1,config_Holiday_Calendar_US)),IF(ISNUMBER(_xll.BDH(config!$G$4,F$1,$A484,$A484)),_xll.BDH(config!$G$4,F$1,$A484,$A484),_xll.BDH(config!$G$5,F$1,$A484,$A484))))</f>
        <v>59.73</v>
      </c>
      <c r="G484" s="8" t="str">
        <f>IF($A484="","",IF(ISNUMBER(FIND("IMPVOL",G$1)),_xll.BDH(config!$G$4,G$1,WORKDAY($A484,-1,config_Holiday_Calendar_US),WORKDAY($A484,-1,config_Holiday_Calendar_US)),IF(ISNUMBER(_xll.BDH(config!$G$4,G$1,$A484,$A484)),_xll.BDH(config!$G$4,G$1,$A484,$A484),_xll.BDH(config!$G$5,G$1,$A484,$A484))))</f>
        <v>#N/A Requesting Data...</v>
      </c>
      <c r="H484" s="8" t="str">
        <f>IF($A484="","",IF(ISNUMBER(FIND("IMPVOL",H$1)),_xll.BDH(config!$G$4,H$1,WORKDAY($A484,-1,config_Holiday_Calendar_US),WORKDAY($A484,-1,config_Holiday_Calendar_US)),IF(ISNUMBER(_xll.BDH(config!$G$4,H$1,$A484,$A484)),_xll.BDH(config!$G$4,H$1,$A484,$A484),_xll.BDH(config!$G$5,H$1,$A484,$A484))))</f>
        <v>#N/A Requesting Data...</v>
      </c>
      <c r="I484" s="8" t="str">
        <f>IF($A484="","",IF(ISNUMBER(FIND("IMPVOL",I$1)),_xll.BDH(config!$G$4,I$1,WORKDAY($A484,-1,config_Holiday_Calendar_US),WORKDAY($A484,-1,config_Holiday_Calendar_US)),IF(ISNUMBER(_xll.BDH(config!$G$4,I$1,$A484,$A484)),_xll.BDH(config!$G$4,I$1,$A484,$A484),_xll.BDH(config!$G$5,I$1,$A484,$A484))))</f>
        <v>#N/A Requesting Data...</v>
      </c>
      <c r="J484" s="8" t="str">
        <f>IF($A484="","",IF(ISNUMBER(FIND("IMPVOL",J$1)),_xll.BDH(config!$G$4,J$1,WORKDAY($A484,-1,config_Holiday_Calendar_US),WORKDAY($A484,-1,config_Holiday_Calendar_US)),IF(ISNUMBER(_xll.BDH(config!$G$4,J$1,$A484,$A484)),_xll.BDH(config!$G$4,J$1,$A484,$A484),_xll.BDH(config!$G$5,J$1,$A484,$A484))))</f>
        <v>#N/A Requesting Data...</v>
      </c>
      <c r="K484" s="8" t="str">
        <f>IF($A484="","",IF(ISNUMBER(FIND("IMPVOL",K$1)),_xll.BDH(config!$G$4,K$1,WORKDAY($A484,-1,config_Holiday_Calendar_US),WORKDAY($A484,-1,config_Holiday_Calendar_US)),IF(ISNUMBER(_xll.BDH(config!$G$4,K$1,$A484,$A484)),_xll.BDH(config!$G$4,K$1,$A484,$A484),_xll.BDH(config!$G$5,K$1,$A484,$A484))))</f>
        <v>#N/A Requesting Data...</v>
      </c>
      <c r="L484" s="8" t="str">
        <f>IF($A484="","",IF(ISNUMBER(FIND("IMPVOL",L$1)),_xll.BDH(config!$G$4,L$1,WORKDAY($A484,-1,config_Holiday_Calendar_US),WORKDAY($A484,-1,config_Holiday_Calendar_US)),IF(ISNUMBER(_xll.BDH(config!$G$4,L$1,$A484,$A484)),_xll.BDH(config!$G$4,L$1,$A484,$A484),_xll.BDH(config!$G$5,L$1,$A484,$A484))))</f>
        <v>#N/A Requesting Data...</v>
      </c>
      <c r="M484" s="8" t="str">
        <f>IF($A484="","",IF(ISNUMBER(FIND("IMPVOL",M$1)),_xll.BDH(config!$G$4,M$1,WORKDAY($A484,-1,config_Holiday_Calendar_US),WORKDAY($A484,-1,config_Holiday_Calendar_US)),IF(ISNUMBER(_xll.BDH(config!$G$4,M$1,$A484,$A484)),_xll.BDH(config!$G$4,M$1,$A484,$A484),_xll.BDH(config!$G$5,M$1,$A484,$A484))))</f>
        <v>#N/A Requesting Data...</v>
      </c>
      <c r="N484" s="8" t="str">
        <f>IF($A484="","",IF(ISNUMBER(FIND("IMPVOL",N$1)),_xll.BDH(config!$G$4,N$1,WORKDAY($A484,-1,config_Holiday_Calendar_US),WORKDAY($A484,-1,config_Holiday_Calendar_US)),IF(ISNUMBER(_xll.BDH(config!$G$4,N$1,$A484,$A484)),_xll.BDH(config!$G$4,N$1,$A484,$A484),_xll.BDH(config!$G$5,N$1,$A484,$A484))))</f>
        <v>#N/A Requesting Data...</v>
      </c>
      <c r="O484" s="8" t="str">
        <f>IF($A484="","",IF(ISNUMBER(FIND("IMPVOL",O$1)),_xll.BDH(config!$G$4,O$1,WORKDAY($A484,-1,config_Holiday_Calendar_US),WORKDAY($A484,-1,config_Holiday_Calendar_US)),IF(ISNUMBER(_xll.BDH(config!$G$4,O$1,$A484,$A484)),_xll.BDH(config!$G$4,O$1,$A484,$A484),_xll.BDH(config!$G$5,O$1,$A484,$A484))))</f>
        <v>#N/A Requesting Data...</v>
      </c>
      <c r="P484" s="8" t="str">
        <f>IF($A484="","",IF(ISNUMBER(FIND("IMPVOL",P$1)),_xll.BDH(config!$G$4,P$1,WORKDAY($A484,-1,config_Holiday_Calendar_US),WORKDAY($A484,-1,config_Holiday_Calendar_US)),IF(ISNUMBER(_xll.BDH(config!$G$4,P$1,$A484,$A484)),_xll.BDH(config!$G$4,P$1,$A484,$A484),_xll.BDH(config!$G$5,P$1,$A484,$A484))))</f>
        <v>#N/A Requesting Data...</v>
      </c>
      <c r="Q484" s="8" t="str">
        <f>IF($A484="","",IF(ISNUMBER(FIND("IMPVOL",Q$1)),_xll.BDH(config!$G$4,Q$1,WORKDAY($A484,-1,config_Holiday_Calendar_US),WORKDAY($A484,-1,config_Holiday_Calendar_US)),IF(ISNUMBER(_xll.BDH(config!$G$4,Q$1,$A484,$A484)),_xll.BDH(config!$G$4,Q$1,$A484,$A484),_xll.BDH(config!$G$5,Q$1,$A484,$A484))))</f>
        <v>#N/A Requesting Data...</v>
      </c>
      <c r="R484" s="8" t="str">
        <f>IF($A484="","",IF(ISNUMBER(FIND("IMPVOL",R$1)),_xll.BDH(config!$G$4,R$1,WORKDAY($A484,-1,config_Holiday_Calendar_US),WORKDAY($A484,-1,config_Holiday_Calendar_US)),IF(ISNUMBER(_xll.BDH(config!$G$4,R$1,$A484,$A484)),_xll.BDH(config!$G$4,R$1,$A484,$A484),_xll.BDH(config!$G$5,R$1,$A484,$A484))))</f>
        <v>#N/A Requesting Data...</v>
      </c>
      <c r="S484" s="8" t="str">
        <f>IF($A484="","",IF(ISNUMBER(FIND("IMPVOL",S$1)),_xll.BDH(config!$G$4,S$1,WORKDAY($A484,-1,config_Holiday_Calendar_US),WORKDAY($A484,-1,config_Holiday_Calendar_US)),IF(ISNUMBER(_xll.BDH(config!$G$4,S$1,$A484,$A484)),_xll.BDH(config!$G$4,S$1,$A484,$A484),_xll.BDH(config!$G$5,S$1,$A484,$A484))))</f>
        <v>#N/A Requesting Data...</v>
      </c>
      <c r="T484" s="8" t="str">
        <f>IF($A484="","",IF(ISNUMBER(FIND("IMPVOL",T$1)),_xll.BDH(config!$G$4,T$1,WORKDAY($A484,-1,config_Holiday_Calendar_US),WORKDAY($A484,-1,config_Holiday_Calendar_US)),IF(ISNUMBER(_xll.BDH(config!$G$4,T$1,$A484,$A484)),_xll.BDH(config!$G$4,T$1,$A484,$A484),_xll.BDH(config!$G$5,T$1,$A484,$A484))))</f>
        <v>#N/A Requesting Data...</v>
      </c>
      <c r="U484" s="8" t="str">
        <f>IF($A484="","",IF(ISNUMBER(FIND("IMPVOL",U$1)),_xll.BDH(config!$G$4,U$1,WORKDAY($A484,-1,config_Holiday_Calendar_US),WORKDAY($A484,-1,config_Holiday_Calendar_US)),IF(ISNUMBER(_xll.BDH(config!$G$4,U$1,$A484,$A484)),_xll.BDH(config!$G$4,U$1,$A484,$A484),_xll.BDH(config!$G$5,U$1,$A484,$A484))))</f>
        <v>#N/A Requesting Data...</v>
      </c>
      <c r="V484" s="8" t="str">
        <f>IF($A484="","",IF(ISNUMBER(FIND("IMPVOL",V$1)),_xll.BDH(config!$G$4,V$1,WORKDAY($A484,-1,config_Holiday_Calendar_US),WORKDAY($A484,-1,config_Holiday_Calendar_US)),IF(ISNUMBER(_xll.BDH(config!$G$4,V$1,$A484,$A484)),_xll.BDH(config!$G$4,V$1,$A484,$A484),_xll.BDH(config!$G$5,V$1,$A484,$A484))))</f>
        <v>#N/A Requesting Data...</v>
      </c>
      <c r="W484" s="8" t="str">
        <f>IF($A484="","",IF(ISNUMBER(FIND("IMPVOL",W$1)),_xll.BDH(config!$G$4,W$1,WORKDAY($A484,-1,config_Holiday_Calendar_US),WORKDAY($A484,-1,config_Holiday_Calendar_US)),IF(ISNUMBER(_xll.BDH(config!$G$4,W$1,$A484,$A484)),_xll.BDH(config!$G$4,W$1,$A484,$A484),_xll.BDH(config!$G$5,W$1,$A484,$A484))))</f>
        <v>#N/A Requesting Data...</v>
      </c>
    </row>
    <row r="485" spans="1:23" x14ac:dyDescent="0.2">
      <c r="A485" s="9">
        <f>IF(A484="","",IF(WORKDAY(A484,-1,config_Holiday_Calendar_US)&lt;config!$I$10,"",WORKDAY(A484,-1,config_Holiday_Calendar_US)))</f>
        <v>42125</v>
      </c>
      <c r="B485" s="8" t="e">
        <f t="shared" si="7"/>
        <v>#VALUE!</v>
      </c>
      <c r="C485" s="8" t="str">
        <f>IF(A485="","",_xll.BDH(config!$H$4,C$1,$A485,$A485))</f>
        <v>#N/A Requesting Data...</v>
      </c>
      <c r="D485" s="8" t="str">
        <f>IF($A485="","",_xll.BDH(config!$H$4,D$1,$A485,$A485))</f>
        <v>#N/A Requesting Data...</v>
      </c>
      <c r="E485" s="8">
        <f>IF($A485="","",IF(ISNUMBER(FIND("IMPVOL",E$1)),_xll.BDH(config!$G$4,E$1,WORKDAY($A485,-1,config_Holiday_Calendar_US),WORKDAY($A485,-1,config_Holiday_Calendar_US)),IF(ISNUMBER(_xll.BDH(config!$G$4,E$1,$A485,$A485)),_xll.BDH(config!$G$4,E$1,$A485,$A485),_xll.BDH(config!$G$5,E$1,$A485,$A485))))</f>
        <v>59.79</v>
      </c>
      <c r="F485" s="8">
        <f>IF($A485="","",IF(ISNUMBER(FIND("IMPVOL",F$1)),_xll.BDH(config!$G$4,F$1,WORKDAY($A485,-1,config_Holiday_Calendar_US),WORKDAY($A485,-1,config_Holiday_Calendar_US)),IF(ISNUMBER(_xll.BDH(config!$G$4,F$1,$A485,$A485)),_xll.BDH(config!$G$4,F$1,$A485,$A485),_xll.BDH(config!$G$5,F$1,$A485,$A485))))</f>
        <v>59.9</v>
      </c>
      <c r="G485" s="8" t="str">
        <f>IF($A485="","",IF(ISNUMBER(FIND("IMPVOL",G$1)),_xll.BDH(config!$G$4,G$1,WORKDAY($A485,-1,config_Holiday_Calendar_US),WORKDAY($A485,-1,config_Holiday_Calendar_US)),IF(ISNUMBER(_xll.BDH(config!$G$4,G$1,$A485,$A485)),_xll.BDH(config!$G$4,G$1,$A485,$A485),_xll.BDH(config!$G$5,G$1,$A485,$A485))))</f>
        <v>#N/A Requesting Data...</v>
      </c>
      <c r="H485" s="8" t="str">
        <f>IF($A485="","",IF(ISNUMBER(FIND("IMPVOL",H$1)),_xll.BDH(config!$G$4,H$1,WORKDAY($A485,-1,config_Holiday_Calendar_US),WORKDAY($A485,-1,config_Holiday_Calendar_US)),IF(ISNUMBER(_xll.BDH(config!$G$4,H$1,$A485,$A485)),_xll.BDH(config!$G$4,H$1,$A485,$A485),_xll.BDH(config!$G$5,H$1,$A485,$A485))))</f>
        <v>#N/A Requesting Data...</v>
      </c>
      <c r="I485" s="8" t="str">
        <f>IF($A485="","",IF(ISNUMBER(FIND("IMPVOL",I$1)),_xll.BDH(config!$G$4,I$1,WORKDAY($A485,-1,config_Holiday_Calendar_US),WORKDAY($A485,-1,config_Holiday_Calendar_US)),IF(ISNUMBER(_xll.BDH(config!$G$4,I$1,$A485,$A485)),_xll.BDH(config!$G$4,I$1,$A485,$A485),_xll.BDH(config!$G$5,I$1,$A485,$A485))))</f>
        <v>#N/A Requesting Data...</v>
      </c>
      <c r="J485" s="8" t="str">
        <f>IF($A485="","",IF(ISNUMBER(FIND("IMPVOL",J$1)),_xll.BDH(config!$G$4,J$1,WORKDAY($A485,-1,config_Holiday_Calendar_US),WORKDAY($A485,-1,config_Holiday_Calendar_US)),IF(ISNUMBER(_xll.BDH(config!$G$4,J$1,$A485,$A485)),_xll.BDH(config!$G$4,J$1,$A485,$A485),_xll.BDH(config!$G$5,J$1,$A485,$A485))))</f>
        <v>#N/A Requesting Data...</v>
      </c>
      <c r="K485" s="8" t="str">
        <f>IF($A485="","",IF(ISNUMBER(FIND("IMPVOL",K$1)),_xll.BDH(config!$G$4,K$1,WORKDAY($A485,-1,config_Holiday_Calendar_US),WORKDAY($A485,-1,config_Holiday_Calendar_US)),IF(ISNUMBER(_xll.BDH(config!$G$4,K$1,$A485,$A485)),_xll.BDH(config!$G$4,K$1,$A485,$A485),_xll.BDH(config!$G$5,K$1,$A485,$A485))))</f>
        <v>#N/A Requesting Data...</v>
      </c>
      <c r="L485" s="8" t="str">
        <f>IF($A485="","",IF(ISNUMBER(FIND("IMPVOL",L$1)),_xll.BDH(config!$G$4,L$1,WORKDAY($A485,-1,config_Holiday_Calendar_US),WORKDAY($A485,-1,config_Holiday_Calendar_US)),IF(ISNUMBER(_xll.BDH(config!$G$4,L$1,$A485,$A485)),_xll.BDH(config!$G$4,L$1,$A485,$A485),_xll.BDH(config!$G$5,L$1,$A485,$A485))))</f>
        <v>#N/A Requesting Data...</v>
      </c>
      <c r="M485" s="8" t="str">
        <f>IF($A485="","",IF(ISNUMBER(FIND("IMPVOL",M$1)),_xll.BDH(config!$G$4,M$1,WORKDAY($A485,-1,config_Holiday_Calendar_US),WORKDAY($A485,-1,config_Holiday_Calendar_US)),IF(ISNUMBER(_xll.BDH(config!$G$4,M$1,$A485,$A485)),_xll.BDH(config!$G$4,M$1,$A485,$A485),_xll.BDH(config!$G$5,M$1,$A485,$A485))))</f>
        <v>#N/A Requesting Data...</v>
      </c>
      <c r="N485" s="8" t="str">
        <f>IF($A485="","",IF(ISNUMBER(FIND("IMPVOL",N$1)),_xll.BDH(config!$G$4,N$1,WORKDAY($A485,-1,config_Holiday_Calendar_US),WORKDAY($A485,-1,config_Holiday_Calendar_US)),IF(ISNUMBER(_xll.BDH(config!$G$4,N$1,$A485,$A485)),_xll.BDH(config!$G$4,N$1,$A485,$A485),_xll.BDH(config!$G$5,N$1,$A485,$A485))))</f>
        <v>#N/A Requesting Data...</v>
      </c>
      <c r="O485" s="8" t="str">
        <f>IF($A485="","",IF(ISNUMBER(FIND("IMPVOL",O$1)),_xll.BDH(config!$G$4,O$1,WORKDAY($A485,-1,config_Holiday_Calendar_US),WORKDAY($A485,-1,config_Holiday_Calendar_US)),IF(ISNUMBER(_xll.BDH(config!$G$4,O$1,$A485,$A485)),_xll.BDH(config!$G$4,O$1,$A485,$A485),_xll.BDH(config!$G$5,O$1,$A485,$A485))))</f>
        <v>#N/A Requesting Data...</v>
      </c>
      <c r="P485" s="8" t="str">
        <f>IF($A485="","",IF(ISNUMBER(FIND("IMPVOL",P$1)),_xll.BDH(config!$G$4,P$1,WORKDAY($A485,-1,config_Holiday_Calendar_US),WORKDAY($A485,-1,config_Holiday_Calendar_US)),IF(ISNUMBER(_xll.BDH(config!$G$4,P$1,$A485,$A485)),_xll.BDH(config!$G$4,P$1,$A485,$A485),_xll.BDH(config!$G$5,P$1,$A485,$A485))))</f>
        <v>#N/A Requesting Data...</v>
      </c>
      <c r="Q485" s="8" t="str">
        <f>IF($A485="","",IF(ISNUMBER(FIND("IMPVOL",Q$1)),_xll.BDH(config!$G$4,Q$1,WORKDAY($A485,-1,config_Holiday_Calendar_US),WORKDAY($A485,-1,config_Holiday_Calendar_US)),IF(ISNUMBER(_xll.BDH(config!$G$4,Q$1,$A485,$A485)),_xll.BDH(config!$G$4,Q$1,$A485,$A485),_xll.BDH(config!$G$5,Q$1,$A485,$A485))))</f>
        <v>#N/A Requesting Data...</v>
      </c>
      <c r="R485" s="8" t="str">
        <f>IF($A485="","",IF(ISNUMBER(FIND("IMPVOL",R$1)),_xll.BDH(config!$G$4,R$1,WORKDAY($A485,-1,config_Holiday_Calendar_US),WORKDAY($A485,-1,config_Holiday_Calendar_US)),IF(ISNUMBER(_xll.BDH(config!$G$4,R$1,$A485,$A485)),_xll.BDH(config!$G$4,R$1,$A485,$A485),_xll.BDH(config!$G$5,R$1,$A485,$A485))))</f>
        <v>#N/A Requesting Data...</v>
      </c>
      <c r="S485" s="8" t="str">
        <f>IF($A485="","",IF(ISNUMBER(FIND("IMPVOL",S$1)),_xll.BDH(config!$G$4,S$1,WORKDAY($A485,-1,config_Holiday_Calendar_US),WORKDAY($A485,-1,config_Holiday_Calendar_US)),IF(ISNUMBER(_xll.BDH(config!$G$4,S$1,$A485,$A485)),_xll.BDH(config!$G$4,S$1,$A485,$A485),_xll.BDH(config!$G$5,S$1,$A485,$A485))))</f>
        <v>#N/A Requesting Data...</v>
      </c>
      <c r="T485" s="8" t="str">
        <f>IF($A485="","",IF(ISNUMBER(FIND("IMPVOL",T$1)),_xll.BDH(config!$G$4,T$1,WORKDAY($A485,-1,config_Holiday_Calendar_US),WORKDAY($A485,-1,config_Holiday_Calendar_US)),IF(ISNUMBER(_xll.BDH(config!$G$4,T$1,$A485,$A485)),_xll.BDH(config!$G$4,T$1,$A485,$A485),_xll.BDH(config!$G$5,T$1,$A485,$A485))))</f>
        <v>#N/A Requesting Data...</v>
      </c>
      <c r="U485" s="8" t="str">
        <f>IF($A485="","",IF(ISNUMBER(FIND("IMPVOL",U$1)),_xll.BDH(config!$G$4,U$1,WORKDAY($A485,-1,config_Holiday_Calendar_US),WORKDAY($A485,-1,config_Holiday_Calendar_US)),IF(ISNUMBER(_xll.BDH(config!$G$4,U$1,$A485,$A485)),_xll.BDH(config!$G$4,U$1,$A485,$A485),_xll.BDH(config!$G$5,U$1,$A485,$A485))))</f>
        <v>#N/A Requesting Data...</v>
      </c>
      <c r="V485" s="8" t="str">
        <f>IF($A485="","",IF(ISNUMBER(FIND("IMPVOL",V$1)),_xll.BDH(config!$G$4,V$1,WORKDAY($A485,-1,config_Holiday_Calendar_US),WORKDAY($A485,-1,config_Holiday_Calendar_US)),IF(ISNUMBER(_xll.BDH(config!$G$4,V$1,$A485,$A485)),_xll.BDH(config!$G$4,V$1,$A485,$A485),_xll.BDH(config!$G$5,V$1,$A485,$A485))))</f>
        <v>#N/A Requesting Data...</v>
      </c>
      <c r="W485" s="8" t="str">
        <f>IF($A485="","",IF(ISNUMBER(FIND("IMPVOL",W$1)),_xll.BDH(config!$G$4,W$1,WORKDAY($A485,-1,config_Holiday_Calendar_US),WORKDAY($A485,-1,config_Holiday_Calendar_US)),IF(ISNUMBER(_xll.BDH(config!$G$4,W$1,$A485,$A485)),_xll.BDH(config!$G$4,W$1,$A485,$A485),_xll.BDH(config!$G$5,W$1,$A485,$A485))))</f>
        <v>#N/A Requesting Data...</v>
      </c>
    </row>
    <row r="486" spans="1:23" x14ac:dyDescent="0.2">
      <c r="A486" s="9">
        <f>IF(A485="","",IF(WORKDAY(A485,-1,config_Holiday_Calendar_US)&lt;config!$I$10,"",WORKDAY(A485,-1,config_Holiday_Calendar_US)))</f>
        <v>42124</v>
      </c>
      <c r="B486" s="8" t="e">
        <f t="shared" si="7"/>
        <v>#VALUE!</v>
      </c>
      <c r="C486" s="8" t="str">
        <f>IF(A486="","",_xll.BDH(config!$H$4,C$1,$A486,$A486))</f>
        <v>#N/A Requesting Data...</v>
      </c>
      <c r="D486" s="8" t="str">
        <f>IF($A486="","",_xll.BDH(config!$H$4,D$1,$A486,$A486))</f>
        <v>#N/A Requesting Data...</v>
      </c>
      <c r="E486" s="8">
        <f>IF($A486="","",IF(ISNUMBER(FIND("IMPVOL",E$1)),_xll.BDH(config!$G$4,E$1,WORKDAY($A486,-1,config_Holiday_Calendar_US),WORKDAY($A486,-1,config_Holiday_Calendar_US)),IF(ISNUMBER(_xll.BDH(config!$G$4,E$1,$A486,$A486)),_xll.BDH(config!$G$4,E$1,$A486,$A486),_xll.BDH(config!$G$5,E$1,$A486,$A486))))</f>
        <v>58.55</v>
      </c>
      <c r="F486" s="8">
        <f>IF($A486="","",IF(ISNUMBER(FIND("IMPVOL",F$1)),_xll.BDH(config!$G$4,F$1,WORKDAY($A486,-1,config_Holiday_Calendar_US),WORKDAY($A486,-1,config_Holiday_Calendar_US)),IF(ISNUMBER(_xll.BDH(config!$G$4,F$1,$A486,$A486)),_xll.BDH(config!$G$4,F$1,$A486,$A486),_xll.BDH(config!$G$5,F$1,$A486,$A486))))</f>
        <v>59.85</v>
      </c>
      <c r="G486" s="8" t="str">
        <f>IF($A486="","",IF(ISNUMBER(FIND("IMPVOL",G$1)),_xll.BDH(config!$G$4,G$1,WORKDAY($A486,-1,config_Holiday_Calendar_US),WORKDAY($A486,-1,config_Holiday_Calendar_US)),IF(ISNUMBER(_xll.BDH(config!$G$4,G$1,$A486,$A486)),_xll.BDH(config!$G$4,G$1,$A486,$A486),_xll.BDH(config!$G$5,G$1,$A486,$A486))))</f>
        <v>#N/A Requesting Data...</v>
      </c>
      <c r="H486" s="8" t="str">
        <f>IF($A486="","",IF(ISNUMBER(FIND("IMPVOL",H$1)),_xll.BDH(config!$G$4,H$1,WORKDAY($A486,-1,config_Holiday_Calendar_US),WORKDAY($A486,-1,config_Holiday_Calendar_US)),IF(ISNUMBER(_xll.BDH(config!$G$4,H$1,$A486,$A486)),_xll.BDH(config!$G$4,H$1,$A486,$A486),_xll.BDH(config!$G$5,H$1,$A486,$A486))))</f>
        <v>#N/A Requesting Data...</v>
      </c>
      <c r="I486" s="8" t="str">
        <f>IF($A486="","",IF(ISNUMBER(FIND("IMPVOL",I$1)),_xll.BDH(config!$G$4,I$1,WORKDAY($A486,-1,config_Holiday_Calendar_US),WORKDAY($A486,-1,config_Holiday_Calendar_US)),IF(ISNUMBER(_xll.BDH(config!$G$4,I$1,$A486,$A486)),_xll.BDH(config!$G$4,I$1,$A486,$A486),_xll.BDH(config!$G$5,I$1,$A486,$A486))))</f>
        <v>#N/A Requesting Data...</v>
      </c>
      <c r="J486" s="8" t="str">
        <f>IF($A486="","",IF(ISNUMBER(FIND("IMPVOL",J$1)),_xll.BDH(config!$G$4,J$1,WORKDAY($A486,-1,config_Holiday_Calendar_US),WORKDAY($A486,-1,config_Holiday_Calendar_US)),IF(ISNUMBER(_xll.BDH(config!$G$4,J$1,$A486,$A486)),_xll.BDH(config!$G$4,J$1,$A486,$A486),_xll.BDH(config!$G$5,J$1,$A486,$A486))))</f>
        <v>#N/A Requesting Data...</v>
      </c>
      <c r="K486" s="8" t="str">
        <f>IF($A486="","",IF(ISNUMBER(FIND("IMPVOL",K$1)),_xll.BDH(config!$G$4,K$1,WORKDAY($A486,-1,config_Holiday_Calendar_US),WORKDAY($A486,-1,config_Holiday_Calendar_US)),IF(ISNUMBER(_xll.BDH(config!$G$4,K$1,$A486,$A486)),_xll.BDH(config!$G$4,K$1,$A486,$A486),_xll.BDH(config!$G$5,K$1,$A486,$A486))))</f>
        <v>#N/A Requesting Data...</v>
      </c>
      <c r="L486" s="8" t="str">
        <f>IF($A486="","",IF(ISNUMBER(FIND("IMPVOL",L$1)),_xll.BDH(config!$G$4,L$1,WORKDAY($A486,-1,config_Holiday_Calendar_US),WORKDAY($A486,-1,config_Holiday_Calendar_US)),IF(ISNUMBER(_xll.BDH(config!$G$4,L$1,$A486,$A486)),_xll.BDH(config!$G$4,L$1,$A486,$A486),_xll.BDH(config!$G$5,L$1,$A486,$A486))))</f>
        <v>#N/A Requesting Data...</v>
      </c>
      <c r="M486" s="8" t="str">
        <f>IF($A486="","",IF(ISNUMBER(FIND("IMPVOL",M$1)),_xll.BDH(config!$G$4,M$1,WORKDAY($A486,-1,config_Holiday_Calendar_US),WORKDAY($A486,-1,config_Holiday_Calendar_US)),IF(ISNUMBER(_xll.BDH(config!$G$4,M$1,$A486,$A486)),_xll.BDH(config!$G$4,M$1,$A486,$A486),_xll.BDH(config!$G$5,M$1,$A486,$A486))))</f>
        <v>#N/A Requesting Data...</v>
      </c>
      <c r="N486" s="8" t="str">
        <f>IF($A486="","",IF(ISNUMBER(FIND("IMPVOL",N$1)),_xll.BDH(config!$G$4,N$1,WORKDAY($A486,-1,config_Holiday_Calendar_US),WORKDAY($A486,-1,config_Holiday_Calendar_US)),IF(ISNUMBER(_xll.BDH(config!$G$4,N$1,$A486,$A486)),_xll.BDH(config!$G$4,N$1,$A486,$A486),_xll.BDH(config!$G$5,N$1,$A486,$A486))))</f>
        <v>#N/A Requesting Data...</v>
      </c>
      <c r="O486" s="8" t="str">
        <f>IF($A486="","",IF(ISNUMBER(FIND("IMPVOL",O$1)),_xll.BDH(config!$G$4,O$1,WORKDAY($A486,-1,config_Holiday_Calendar_US),WORKDAY($A486,-1,config_Holiday_Calendar_US)),IF(ISNUMBER(_xll.BDH(config!$G$4,O$1,$A486,$A486)),_xll.BDH(config!$G$4,O$1,$A486,$A486),_xll.BDH(config!$G$5,O$1,$A486,$A486))))</f>
        <v>#N/A Requesting Data...</v>
      </c>
      <c r="P486" s="8" t="str">
        <f>IF($A486="","",IF(ISNUMBER(FIND("IMPVOL",P$1)),_xll.BDH(config!$G$4,P$1,WORKDAY($A486,-1,config_Holiday_Calendar_US),WORKDAY($A486,-1,config_Holiday_Calendar_US)),IF(ISNUMBER(_xll.BDH(config!$G$4,P$1,$A486,$A486)),_xll.BDH(config!$G$4,P$1,$A486,$A486),_xll.BDH(config!$G$5,P$1,$A486,$A486))))</f>
        <v>#N/A Requesting Data...</v>
      </c>
      <c r="Q486" s="8" t="str">
        <f>IF($A486="","",IF(ISNUMBER(FIND("IMPVOL",Q$1)),_xll.BDH(config!$G$4,Q$1,WORKDAY($A486,-1,config_Holiday_Calendar_US),WORKDAY($A486,-1,config_Holiday_Calendar_US)),IF(ISNUMBER(_xll.BDH(config!$G$4,Q$1,$A486,$A486)),_xll.BDH(config!$G$4,Q$1,$A486,$A486),_xll.BDH(config!$G$5,Q$1,$A486,$A486))))</f>
        <v>#N/A Requesting Data...</v>
      </c>
      <c r="R486" s="8" t="str">
        <f>IF($A486="","",IF(ISNUMBER(FIND("IMPVOL",R$1)),_xll.BDH(config!$G$4,R$1,WORKDAY($A486,-1,config_Holiday_Calendar_US),WORKDAY($A486,-1,config_Holiday_Calendar_US)),IF(ISNUMBER(_xll.BDH(config!$G$4,R$1,$A486,$A486)),_xll.BDH(config!$G$4,R$1,$A486,$A486),_xll.BDH(config!$G$5,R$1,$A486,$A486))))</f>
        <v>#N/A Requesting Data...</v>
      </c>
      <c r="S486" s="8" t="str">
        <f>IF($A486="","",IF(ISNUMBER(FIND("IMPVOL",S$1)),_xll.BDH(config!$G$4,S$1,WORKDAY($A486,-1,config_Holiday_Calendar_US),WORKDAY($A486,-1,config_Holiday_Calendar_US)),IF(ISNUMBER(_xll.BDH(config!$G$4,S$1,$A486,$A486)),_xll.BDH(config!$G$4,S$1,$A486,$A486),_xll.BDH(config!$G$5,S$1,$A486,$A486))))</f>
        <v>#N/A Requesting Data...</v>
      </c>
      <c r="T486" s="8" t="str">
        <f>IF($A486="","",IF(ISNUMBER(FIND("IMPVOL",T$1)),_xll.BDH(config!$G$4,T$1,WORKDAY($A486,-1,config_Holiday_Calendar_US),WORKDAY($A486,-1,config_Holiday_Calendar_US)),IF(ISNUMBER(_xll.BDH(config!$G$4,T$1,$A486,$A486)),_xll.BDH(config!$G$4,T$1,$A486,$A486),_xll.BDH(config!$G$5,T$1,$A486,$A486))))</f>
        <v>#N/A Requesting Data...</v>
      </c>
      <c r="U486" s="8" t="str">
        <f>IF($A486="","",IF(ISNUMBER(FIND("IMPVOL",U$1)),_xll.BDH(config!$G$4,U$1,WORKDAY($A486,-1,config_Holiday_Calendar_US),WORKDAY($A486,-1,config_Holiday_Calendar_US)),IF(ISNUMBER(_xll.BDH(config!$G$4,U$1,$A486,$A486)),_xll.BDH(config!$G$4,U$1,$A486,$A486),_xll.BDH(config!$G$5,U$1,$A486,$A486))))</f>
        <v>#N/A Requesting Data...</v>
      </c>
      <c r="V486" s="8" t="str">
        <f>IF($A486="","",IF(ISNUMBER(FIND("IMPVOL",V$1)),_xll.BDH(config!$G$4,V$1,WORKDAY($A486,-1,config_Holiday_Calendar_US),WORKDAY($A486,-1,config_Holiday_Calendar_US)),IF(ISNUMBER(_xll.BDH(config!$G$4,V$1,$A486,$A486)),_xll.BDH(config!$G$4,V$1,$A486,$A486),_xll.BDH(config!$G$5,V$1,$A486,$A486))))</f>
        <v>#N/A Requesting Data...</v>
      </c>
      <c r="W486" s="8" t="str">
        <f>IF($A486="","",IF(ISNUMBER(FIND("IMPVOL",W$1)),_xll.BDH(config!$G$4,W$1,WORKDAY($A486,-1,config_Holiday_Calendar_US),WORKDAY($A486,-1,config_Holiday_Calendar_US)),IF(ISNUMBER(_xll.BDH(config!$G$4,W$1,$A486,$A486)),_xll.BDH(config!$G$4,W$1,$A486,$A486),_xll.BDH(config!$G$5,W$1,$A486,$A486))))</f>
        <v>#N/A Requesting Data...</v>
      </c>
    </row>
    <row r="487" spans="1:23" x14ac:dyDescent="0.2">
      <c r="A487" s="9">
        <f>IF(A486="","",IF(WORKDAY(A486,-1,config_Holiday_Calendar_US)&lt;config!$I$10,"",WORKDAY(A486,-1,config_Holiday_Calendar_US)))</f>
        <v>42123</v>
      </c>
      <c r="B487" s="8" t="e">
        <f t="shared" si="7"/>
        <v>#VALUE!</v>
      </c>
      <c r="C487" s="8" t="str">
        <f>IF(A487="","",_xll.BDH(config!$H$4,C$1,$A487,$A487))</f>
        <v>#N/A Requesting Data...</v>
      </c>
      <c r="D487" s="8" t="str">
        <f>IF($A487="","",_xll.BDH(config!$H$4,D$1,$A487,$A487))</f>
        <v>#N/A Requesting Data...</v>
      </c>
      <c r="E487" s="8">
        <f>IF($A487="","",IF(ISNUMBER(FIND("IMPVOL",E$1)),_xll.BDH(config!$G$4,E$1,WORKDAY($A487,-1,config_Holiday_Calendar_US),WORKDAY($A487,-1,config_Holiday_Calendar_US)),IF(ISNUMBER(_xll.BDH(config!$G$4,E$1,$A487,$A487)),_xll.BDH(config!$G$4,E$1,$A487,$A487),_xll.BDH(config!$G$5,E$1,$A487,$A487))))</f>
        <v>56.93</v>
      </c>
      <c r="F487" s="8">
        <f>IF($A487="","",IF(ISNUMBER(FIND("IMPVOL",F$1)),_xll.BDH(config!$G$4,F$1,WORKDAY($A487,-1,config_Holiday_Calendar_US),WORKDAY($A487,-1,config_Holiday_Calendar_US)),IF(ISNUMBER(_xll.BDH(config!$G$4,F$1,$A487,$A487)),_xll.BDH(config!$G$4,F$1,$A487,$A487),_xll.BDH(config!$G$5,F$1,$A487,$A487))))</f>
        <v>59.33</v>
      </c>
      <c r="G487" s="8" t="str">
        <f>IF($A487="","",IF(ISNUMBER(FIND("IMPVOL",G$1)),_xll.BDH(config!$G$4,G$1,WORKDAY($A487,-1,config_Holiday_Calendar_US),WORKDAY($A487,-1,config_Holiday_Calendar_US)),IF(ISNUMBER(_xll.BDH(config!$G$4,G$1,$A487,$A487)),_xll.BDH(config!$G$4,G$1,$A487,$A487),_xll.BDH(config!$G$5,G$1,$A487,$A487))))</f>
        <v>#N/A Requesting Data...</v>
      </c>
      <c r="H487" s="8" t="str">
        <f>IF($A487="","",IF(ISNUMBER(FIND("IMPVOL",H$1)),_xll.BDH(config!$G$4,H$1,WORKDAY($A487,-1,config_Holiday_Calendar_US),WORKDAY($A487,-1,config_Holiday_Calendar_US)),IF(ISNUMBER(_xll.BDH(config!$G$4,H$1,$A487,$A487)),_xll.BDH(config!$G$4,H$1,$A487,$A487),_xll.BDH(config!$G$5,H$1,$A487,$A487))))</f>
        <v>#N/A Requesting Data...</v>
      </c>
      <c r="I487" s="8" t="str">
        <f>IF($A487="","",IF(ISNUMBER(FIND("IMPVOL",I$1)),_xll.BDH(config!$G$4,I$1,WORKDAY($A487,-1,config_Holiday_Calendar_US),WORKDAY($A487,-1,config_Holiday_Calendar_US)),IF(ISNUMBER(_xll.BDH(config!$G$4,I$1,$A487,$A487)),_xll.BDH(config!$G$4,I$1,$A487,$A487),_xll.BDH(config!$G$5,I$1,$A487,$A487))))</f>
        <v>#N/A Requesting Data...</v>
      </c>
      <c r="J487" s="8" t="str">
        <f>IF($A487="","",IF(ISNUMBER(FIND("IMPVOL",J$1)),_xll.BDH(config!$G$4,J$1,WORKDAY($A487,-1,config_Holiday_Calendar_US),WORKDAY($A487,-1,config_Holiday_Calendar_US)),IF(ISNUMBER(_xll.BDH(config!$G$4,J$1,$A487,$A487)),_xll.BDH(config!$G$4,J$1,$A487,$A487),_xll.BDH(config!$G$5,J$1,$A487,$A487))))</f>
        <v>#N/A Requesting Data...</v>
      </c>
      <c r="K487" s="8" t="str">
        <f>IF($A487="","",IF(ISNUMBER(FIND("IMPVOL",K$1)),_xll.BDH(config!$G$4,K$1,WORKDAY($A487,-1,config_Holiday_Calendar_US),WORKDAY($A487,-1,config_Holiday_Calendar_US)),IF(ISNUMBER(_xll.BDH(config!$G$4,K$1,$A487,$A487)),_xll.BDH(config!$G$4,K$1,$A487,$A487),_xll.BDH(config!$G$5,K$1,$A487,$A487))))</f>
        <v>#N/A Requesting Data...</v>
      </c>
      <c r="L487" s="8" t="str">
        <f>IF($A487="","",IF(ISNUMBER(FIND("IMPVOL",L$1)),_xll.BDH(config!$G$4,L$1,WORKDAY($A487,-1,config_Holiday_Calendar_US),WORKDAY($A487,-1,config_Holiday_Calendar_US)),IF(ISNUMBER(_xll.BDH(config!$G$4,L$1,$A487,$A487)),_xll.BDH(config!$G$4,L$1,$A487,$A487),_xll.BDH(config!$G$5,L$1,$A487,$A487))))</f>
        <v>#N/A Requesting Data...</v>
      </c>
      <c r="M487" s="8" t="str">
        <f>IF($A487="","",IF(ISNUMBER(FIND("IMPVOL",M$1)),_xll.BDH(config!$G$4,M$1,WORKDAY($A487,-1,config_Holiday_Calendar_US),WORKDAY($A487,-1,config_Holiday_Calendar_US)),IF(ISNUMBER(_xll.BDH(config!$G$4,M$1,$A487,$A487)),_xll.BDH(config!$G$4,M$1,$A487,$A487),_xll.BDH(config!$G$5,M$1,$A487,$A487))))</f>
        <v>#N/A Requesting Data...</v>
      </c>
      <c r="N487" s="8" t="str">
        <f>IF($A487="","",IF(ISNUMBER(FIND("IMPVOL",N$1)),_xll.BDH(config!$G$4,N$1,WORKDAY($A487,-1,config_Holiday_Calendar_US),WORKDAY($A487,-1,config_Holiday_Calendar_US)),IF(ISNUMBER(_xll.BDH(config!$G$4,N$1,$A487,$A487)),_xll.BDH(config!$G$4,N$1,$A487,$A487),_xll.BDH(config!$G$5,N$1,$A487,$A487))))</f>
        <v>#N/A Requesting Data...</v>
      </c>
      <c r="O487" s="8" t="str">
        <f>IF($A487="","",IF(ISNUMBER(FIND("IMPVOL",O$1)),_xll.BDH(config!$G$4,O$1,WORKDAY($A487,-1,config_Holiday_Calendar_US),WORKDAY($A487,-1,config_Holiday_Calendar_US)),IF(ISNUMBER(_xll.BDH(config!$G$4,O$1,$A487,$A487)),_xll.BDH(config!$G$4,O$1,$A487,$A487),_xll.BDH(config!$G$5,O$1,$A487,$A487))))</f>
        <v>#N/A Requesting Data...</v>
      </c>
      <c r="P487" s="8" t="str">
        <f>IF($A487="","",IF(ISNUMBER(FIND("IMPVOL",P$1)),_xll.BDH(config!$G$4,P$1,WORKDAY($A487,-1,config_Holiday_Calendar_US),WORKDAY($A487,-1,config_Holiday_Calendar_US)),IF(ISNUMBER(_xll.BDH(config!$G$4,P$1,$A487,$A487)),_xll.BDH(config!$G$4,P$1,$A487,$A487),_xll.BDH(config!$G$5,P$1,$A487,$A487))))</f>
        <v>#N/A Requesting Data...</v>
      </c>
      <c r="Q487" s="8" t="str">
        <f>IF($A487="","",IF(ISNUMBER(FIND("IMPVOL",Q$1)),_xll.BDH(config!$G$4,Q$1,WORKDAY($A487,-1,config_Holiday_Calendar_US),WORKDAY($A487,-1,config_Holiday_Calendar_US)),IF(ISNUMBER(_xll.BDH(config!$G$4,Q$1,$A487,$A487)),_xll.BDH(config!$G$4,Q$1,$A487,$A487),_xll.BDH(config!$G$5,Q$1,$A487,$A487))))</f>
        <v>#N/A Requesting Data...</v>
      </c>
      <c r="R487" s="8" t="str">
        <f>IF($A487="","",IF(ISNUMBER(FIND("IMPVOL",R$1)),_xll.BDH(config!$G$4,R$1,WORKDAY($A487,-1,config_Holiday_Calendar_US),WORKDAY($A487,-1,config_Holiday_Calendar_US)),IF(ISNUMBER(_xll.BDH(config!$G$4,R$1,$A487,$A487)),_xll.BDH(config!$G$4,R$1,$A487,$A487),_xll.BDH(config!$G$5,R$1,$A487,$A487))))</f>
        <v>#N/A Requesting Data...</v>
      </c>
      <c r="S487" s="8" t="str">
        <f>IF($A487="","",IF(ISNUMBER(FIND("IMPVOL",S$1)),_xll.BDH(config!$G$4,S$1,WORKDAY($A487,-1,config_Holiday_Calendar_US),WORKDAY($A487,-1,config_Holiday_Calendar_US)),IF(ISNUMBER(_xll.BDH(config!$G$4,S$1,$A487,$A487)),_xll.BDH(config!$G$4,S$1,$A487,$A487),_xll.BDH(config!$G$5,S$1,$A487,$A487))))</f>
        <v>#N/A Requesting Data...</v>
      </c>
      <c r="T487" s="8" t="str">
        <f>IF($A487="","",IF(ISNUMBER(FIND("IMPVOL",T$1)),_xll.BDH(config!$G$4,T$1,WORKDAY($A487,-1,config_Holiday_Calendar_US),WORKDAY($A487,-1,config_Holiday_Calendar_US)),IF(ISNUMBER(_xll.BDH(config!$G$4,T$1,$A487,$A487)),_xll.BDH(config!$G$4,T$1,$A487,$A487),_xll.BDH(config!$G$5,T$1,$A487,$A487))))</f>
        <v>#N/A Requesting Data...</v>
      </c>
      <c r="U487" s="8" t="str">
        <f>IF($A487="","",IF(ISNUMBER(FIND("IMPVOL",U$1)),_xll.BDH(config!$G$4,U$1,WORKDAY($A487,-1,config_Holiday_Calendar_US),WORKDAY($A487,-1,config_Holiday_Calendar_US)),IF(ISNUMBER(_xll.BDH(config!$G$4,U$1,$A487,$A487)),_xll.BDH(config!$G$4,U$1,$A487,$A487),_xll.BDH(config!$G$5,U$1,$A487,$A487))))</f>
        <v>#N/A Requesting Data...</v>
      </c>
      <c r="V487" s="8" t="str">
        <f>IF($A487="","",IF(ISNUMBER(FIND("IMPVOL",V$1)),_xll.BDH(config!$G$4,V$1,WORKDAY($A487,-1,config_Holiday_Calendar_US),WORKDAY($A487,-1,config_Holiday_Calendar_US)),IF(ISNUMBER(_xll.BDH(config!$G$4,V$1,$A487,$A487)),_xll.BDH(config!$G$4,V$1,$A487,$A487),_xll.BDH(config!$G$5,V$1,$A487,$A487))))</f>
        <v>#N/A Requesting Data...</v>
      </c>
      <c r="W487" s="8" t="str">
        <f>IF($A487="","",IF(ISNUMBER(FIND("IMPVOL",W$1)),_xll.BDH(config!$G$4,W$1,WORKDAY($A487,-1,config_Holiday_Calendar_US),WORKDAY($A487,-1,config_Holiday_Calendar_US)),IF(ISNUMBER(_xll.BDH(config!$G$4,W$1,$A487,$A487)),_xll.BDH(config!$G$4,W$1,$A487,$A487),_xll.BDH(config!$G$5,W$1,$A487,$A487))))</f>
        <v>#N/A Requesting Data...</v>
      </c>
    </row>
    <row r="488" spans="1:23" x14ac:dyDescent="0.2">
      <c r="A488" s="9">
        <f>IF(A487="","",IF(WORKDAY(A487,-1,config_Holiday_Calendar_US)&lt;config!$I$10,"",WORKDAY(A487,-1,config_Holiday_Calendar_US)))</f>
        <v>42122</v>
      </c>
      <c r="B488" s="8" t="e">
        <f t="shared" si="7"/>
        <v>#VALUE!</v>
      </c>
      <c r="C488" s="8" t="str">
        <f>IF(A488="","",_xll.BDH(config!$H$4,C$1,$A488,$A488))</f>
        <v>#N/A Requesting Data...</v>
      </c>
      <c r="D488" s="8" t="str">
        <f>IF($A488="","",_xll.BDH(config!$H$4,D$1,$A488,$A488))</f>
        <v>#N/A Requesting Data...</v>
      </c>
      <c r="E488" s="8">
        <f>IF($A488="","",IF(ISNUMBER(FIND("IMPVOL",E$1)),_xll.BDH(config!$G$4,E$1,WORKDAY($A488,-1,config_Holiday_Calendar_US),WORKDAY($A488,-1,config_Holiday_Calendar_US)),IF(ISNUMBER(_xll.BDH(config!$G$4,E$1,$A488,$A488)),_xll.BDH(config!$G$4,E$1,$A488,$A488),_xll.BDH(config!$G$5,E$1,$A488,$A488))))</f>
        <v>56.65</v>
      </c>
      <c r="F488" s="8">
        <f>IF($A488="","",IF(ISNUMBER(FIND("IMPVOL",F$1)),_xll.BDH(config!$G$4,F$1,WORKDAY($A488,-1,config_Holiday_Calendar_US),WORKDAY($A488,-1,config_Holiday_Calendar_US)),IF(ISNUMBER(_xll.BDH(config!$G$4,F$1,$A488,$A488)),_xll.BDH(config!$G$4,F$1,$A488,$A488),_xll.BDH(config!$G$5,F$1,$A488,$A488))))</f>
        <v>57.83</v>
      </c>
      <c r="G488" s="8" t="str">
        <f>IF($A488="","",IF(ISNUMBER(FIND("IMPVOL",G$1)),_xll.BDH(config!$G$4,G$1,WORKDAY($A488,-1,config_Holiday_Calendar_US),WORKDAY($A488,-1,config_Holiday_Calendar_US)),IF(ISNUMBER(_xll.BDH(config!$G$4,G$1,$A488,$A488)),_xll.BDH(config!$G$4,G$1,$A488,$A488),_xll.BDH(config!$G$5,G$1,$A488,$A488))))</f>
        <v>#N/A Requesting Data...</v>
      </c>
      <c r="H488" s="8" t="str">
        <f>IF($A488="","",IF(ISNUMBER(FIND("IMPVOL",H$1)),_xll.BDH(config!$G$4,H$1,WORKDAY($A488,-1,config_Holiday_Calendar_US),WORKDAY($A488,-1,config_Holiday_Calendar_US)),IF(ISNUMBER(_xll.BDH(config!$G$4,H$1,$A488,$A488)),_xll.BDH(config!$G$4,H$1,$A488,$A488),_xll.BDH(config!$G$5,H$1,$A488,$A488))))</f>
        <v>#N/A Requesting Data...</v>
      </c>
      <c r="I488" s="8" t="str">
        <f>IF($A488="","",IF(ISNUMBER(FIND("IMPVOL",I$1)),_xll.BDH(config!$G$4,I$1,WORKDAY($A488,-1,config_Holiday_Calendar_US),WORKDAY($A488,-1,config_Holiday_Calendar_US)),IF(ISNUMBER(_xll.BDH(config!$G$4,I$1,$A488,$A488)),_xll.BDH(config!$G$4,I$1,$A488,$A488),_xll.BDH(config!$G$5,I$1,$A488,$A488))))</f>
        <v>#N/A Requesting Data...</v>
      </c>
      <c r="J488" s="8" t="str">
        <f>IF($A488="","",IF(ISNUMBER(FIND("IMPVOL",J$1)),_xll.BDH(config!$G$4,J$1,WORKDAY($A488,-1,config_Holiday_Calendar_US),WORKDAY($A488,-1,config_Holiday_Calendar_US)),IF(ISNUMBER(_xll.BDH(config!$G$4,J$1,$A488,$A488)),_xll.BDH(config!$G$4,J$1,$A488,$A488),_xll.BDH(config!$G$5,J$1,$A488,$A488))))</f>
        <v>#N/A Requesting Data...</v>
      </c>
      <c r="K488" s="8" t="str">
        <f>IF($A488="","",IF(ISNUMBER(FIND("IMPVOL",K$1)),_xll.BDH(config!$G$4,K$1,WORKDAY($A488,-1,config_Holiday_Calendar_US),WORKDAY($A488,-1,config_Holiday_Calendar_US)),IF(ISNUMBER(_xll.BDH(config!$G$4,K$1,$A488,$A488)),_xll.BDH(config!$G$4,K$1,$A488,$A488),_xll.BDH(config!$G$5,K$1,$A488,$A488))))</f>
        <v>#N/A Requesting Data...</v>
      </c>
      <c r="L488" s="8" t="str">
        <f>IF($A488="","",IF(ISNUMBER(FIND("IMPVOL",L$1)),_xll.BDH(config!$G$4,L$1,WORKDAY($A488,-1,config_Holiday_Calendar_US),WORKDAY($A488,-1,config_Holiday_Calendar_US)),IF(ISNUMBER(_xll.BDH(config!$G$4,L$1,$A488,$A488)),_xll.BDH(config!$G$4,L$1,$A488,$A488),_xll.BDH(config!$G$5,L$1,$A488,$A488))))</f>
        <v>#N/A Requesting Data...</v>
      </c>
      <c r="M488" s="8" t="str">
        <f>IF($A488="","",IF(ISNUMBER(FIND("IMPVOL",M$1)),_xll.BDH(config!$G$4,M$1,WORKDAY($A488,-1,config_Holiday_Calendar_US),WORKDAY($A488,-1,config_Holiday_Calendar_US)),IF(ISNUMBER(_xll.BDH(config!$G$4,M$1,$A488,$A488)),_xll.BDH(config!$G$4,M$1,$A488,$A488),_xll.BDH(config!$G$5,M$1,$A488,$A488))))</f>
        <v>#N/A Requesting Data...</v>
      </c>
      <c r="N488" s="8" t="str">
        <f>IF($A488="","",IF(ISNUMBER(FIND("IMPVOL",N$1)),_xll.BDH(config!$G$4,N$1,WORKDAY($A488,-1,config_Holiday_Calendar_US),WORKDAY($A488,-1,config_Holiday_Calendar_US)),IF(ISNUMBER(_xll.BDH(config!$G$4,N$1,$A488,$A488)),_xll.BDH(config!$G$4,N$1,$A488,$A488),_xll.BDH(config!$G$5,N$1,$A488,$A488))))</f>
        <v>#N/A Requesting Data...</v>
      </c>
      <c r="O488" s="8" t="str">
        <f>IF($A488="","",IF(ISNUMBER(FIND("IMPVOL",O$1)),_xll.BDH(config!$G$4,O$1,WORKDAY($A488,-1,config_Holiday_Calendar_US),WORKDAY($A488,-1,config_Holiday_Calendar_US)),IF(ISNUMBER(_xll.BDH(config!$G$4,O$1,$A488,$A488)),_xll.BDH(config!$G$4,O$1,$A488,$A488),_xll.BDH(config!$G$5,O$1,$A488,$A488))))</f>
        <v>#N/A Requesting Data...</v>
      </c>
      <c r="P488" s="8" t="str">
        <f>IF($A488="","",IF(ISNUMBER(FIND("IMPVOL",P$1)),_xll.BDH(config!$G$4,P$1,WORKDAY($A488,-1,config_Holiday_Calendar_US),WORKDAY($A488,-1,config_Holiday_Calendar_US)),IF(ISNUMBER(_xll.BDH(config!$G$4,P$1,$A488,$A488)),_xll.BDH(config!$G$4,P$1,$A488,$A488),_xll.BDH(config!$G$5,P$1,$A488,$A488))))</f>
        <v>#N/A Requesting Data...</v>
      </c>
      <c r="Q488" s="8" t="str">
        <f>IF($A488="","",IF(ISNUMBER(FIND("IMPVOL",Q$1)),_xll.BDH(config!$G$4,Q$1,WORKDAY($A488,-1,config_Holiday_Calendar_US),WORKDAY($A488,-1,config_Holiday_Calendar_US)),IF(ISNUMBER(_xll.BDH(config!$G$4,Q$1,$A488,$A488)),_xll.BDH(config!$G$4,Q$1,$A488,$A488),_xll.BDH(config!$G$5,Q$1,$A488,$A488))))</f>
        <v>#N/A Requesting Data...</v>
      </c>
      <c r="R488" s="8" t="str">
        <f>IF($A488="","",IF(ISNUMBER(FIND("IMPVOL",R$1)),_xll.BDH(config!$G$4,R$1,WORKDAY($A488,-1,config_Holiday_Calendar_US),WORKDAY($A488,-1,config_Holiday_Calendar_US)),IF(ISNUMBER(_xll.BDH(config!$G$4,R$1,$A488,$A488)),_xll.BDH(config!$G$4,R$1,$A488,$A488),_xll.BDH(config!$G$5,R$1,$A488,$A488))))</f>
        <v>#N/A Requesting Data...</v>
      </c>
      <c r="S488" s="8" t="str">
        <f>IF($A488="","",IF(ISNUMBER(FIND("IMPVOL",S$1)),_xll.BDH(config!$G$4,S$1,WORKDAY($A488,-1,config_Holiday_Calendar_US),WORKDAY($A488,-1,config_Holiday_Calendar_US)),IF(ISNUMBER(_xll.BDH(config!$G$4,S$1,$A488,$A488)),_xll.BDH(config!$G$4,S$1,$A488,$A488),_xll.BDH(config!$G$5,S$1,$A488,$A488))))</f>
        <v>#N/A Requesting Data...</v>
      </c>
      <c r="T488" s="8" t="str">
        <f>IF($A488="","",IF(ISNUMBER(FIND("IMPVOL",T$1)),_xll.BDH(config!$G$4,T$1,WORKDAY($A488,-1,config_Holiday_Calendar_US),WORKDAY($A488,-1,config_Holiday_Calendar_US)),IF(ISNUMBER(_xll.BDH(config!$G$4,T$1,$A488,$A488)),_xll.BDH(config!$G$4,T$1,$A488,$A488),_xll.BDH(config!$G$5,T$1,$A488,$A488))))</f>
        <v>#N/A Requesting Data...</v>
      </c>
      <c r="U488" s="8" t="str">
        <f>IF($A488="","",IF(ISNUMBER(FIND("IMPVOL",U$1)),_xll.BDH(config!$G$4,U$1,WORKDAY($A488,-1,config_Holiday_Calendar_US),WORKDAY($A488,-1,config_Holiday_Calendar_US)),IF(ISNUMBER(_xll.BDH(config!$G$4,U$1,$A488,$A488)),_xll.BDH(config!$G$4,U$1,$A488,$A488),_xll.BDH(config!$G$5,U$1,$A488,$A488))))</f>
        <v>#N/A Requesting Data...</v>
      </c>
      <c r="V488" s="8" t="str">
        <f>IF($A488="","",IF(ISNUMBER(FIND("IMPVOL",V$1)),_xll.BDH(config!$G$4,V$1,WORKDAY($A488,-1,config_Holiday_Calendar_US),WORKDAY($A488,-1,config_Holiday_Calendar_US)),IF(ISNUMBER(_xll.BDH(config!$G$4,V$1,$A488,$A488)),_xll.BDH(config!$G$4,V$1,$A488,$A488),_xll.BDH(config!$G$5,V$1,$A488,$A488))))</f>
        <v>#N/A Requesting Data...</v>
      </c>
      <c r="W488" s="8" t="str">
        <f>IF($A488="","",IF(ISNUMBER(FIND("IMPVOL",W$1)),_xll.BDH(config!$G$4,W$1,WORKDAY($A488,-1,config_Holiday_Calendar_US),WORKDAY($A488,-1,config_Holiday_Calendar_US)),IF(ISNUMBER(_xll.BDH(config!$G$4,W$1,$A488,$A488)),_xll.BDH(config!$G$4,W$1,$A488,$A488),_xll.BDH(config!$G$5,W$1,$A488,$A488))))</f>
        <v>#N/A Requesting Data...</v>
      </c>
    </row>
    <row r="489" spans="1:23" x14ac:dyDescent="0.2">
      <c r="A489" s="9">
        <f>IF(A488="","",IF(WORKDAY(A488,-1,config_Holiday_Calendar_US)&lt;config!$I$10,"",WORKDAY(A488,-1,config_Holiday_Calendar_US)))</f>
        <v>42121</v>
      </c>
      <c r="B489" s="8" t="e">
        <f t="shared" si="7"/>
        <v>#VALUE!</v>
      </c>
      <c r="C489" s="8" t="str">
        <f>IF(A489="","",_xll.BDH(config!$H$4,C$1,$A489,$A489))</f>
        <v>#N/A Requesting Data...</v>
      </c>
      <c r="D489" s="8" t="str">
        <f>IF($A489="","",_xll.BDH(config!$H$4,D$1,$A489,$A489))</f>
        <v>#N/A Requesting Data...</v>
      </c>
      <c r="E489" s="8">
        <f>IF($A489="","",IF(ISNUMBER(FIND("IMPVOL",E$1)),_xll.BDH(config!$G$4,E$1,WORKDAY($A489,-1,config_Holiday_Calendar_US),WORKDAY($A489,-1,config_Holiday_Calendar_US)),IF(ISNUMBER(_xll.BDH(config!$G$4,E$1,$A489,$A489)),_xll.BDH(config!$G$4,E$1,$A489,$A489),_xll.BDH(config!$G$5,E$1,$A489,$A489))))</f>
        <v>57.3</v>
      </c>
      <c r="F489" s="8">
        <f>IF($A489="","",IF(ISNUMBER(FIND("IMPVOL",F$1)),_xll.BDH(config!$G$4,F$1,WORKDAY($A489,-1,config_Holiday_Calendar_US),WORKDAY($A489,-1,config_Holiday_Calendar_US)),IF(ISNUMBER(_xll.BDH(config!$G$4,F$1,$A489,$A489)),_xll.BDH(config!$G$4,F$1,$A489,$A489),_xll.BDH(config!$G$5,F$1,$A489,$A489))))</f>
        <v>57.89</v>
      </c>
      <c r="G489" s="8" t="str">
        <f>IF($A489="","",IF(ISNUMBER(FIND("IMPVOL",G$1)),_xll.BDH(config!$G$4,G$1,WORKDAY($A489,-1,config_Holiday_Calendar_US),WORKDAY($A489,-1,config_Holiday_Calendar_US)),IF(ISNUMBER(_xll.BDH(config!$G$4,G$1,$A489,$A489)),_xll.BDH(config!$G$4,G$1,$A489,$A489),_xll.BDH(config!$G$5,G$1,$A489,$A489))))</f>
        <v>#N/A Requesting Data...</v>
      </c>
      <c r="H489" s="8" t="str">
        <f>IF($A489="","",IF(ISNUMBER(FIND("IMPVOL",H$1)),_xll.BDH(config!$G$4,H$1,WORKDAY($A489,-1,config_Holiday_Calendar_US),WORKDAY($A489,-1,config_Holiday_Calendar_US)),IF(ISNUMBER(_xll.BDH(config!$G$4,H$1,$A489,$A489)),_xll.BDH(config!$G$4,H$1,$A489,$A489),_xll.BDH(config!$G$5,H$1,$A489,$A489))))</f>
        <v>#N/A Requesting Data...</v>
      </c>
      <c r="I489" s="8" t="str">
        <f>IF($A489="","",IF(ISNUMBER(FIND("IMPVOL",I$1)),_xll.BDH(config!$G$4,I$1,WORKDAY($A489,-1,config_Holiday_Calendar_US),WORKDAY($A489,-1,config_Holiday_Calendar_US)),IF(ISNUMBER(_xll.BDH(config!$G$4,I$1,$A489,$A489)),_xll.BDH(config!$G$4,I$1,$A489,$A489),_xll.BDH(config!$G$5,I$1,$A489,$A489))))</f>
        <v>#N/A Requesting Data...</v>
      </c>
      <c r="J489" s="8" t="str">
        <f>IF($A489="","",IF(ISNUMBER(FIND("IMPVOL",J$1)),_xll.BDH(config!$G$4,J$1,WORKDAY($A489,-1,config_Holiday_Calendar_US),WORKDAY($A489,-1,config_Holiday_Calendar_US)),IF(ISNUMBER(_xll.BDH(config!$G$4,J$1,$A489,$A489)),_xll.BDH(config!$G$4,J$1,$A489,$A489),_xll.BDH(config!$G$5,J$1,$A489,$A489))))</f>
        <v>#N/A Requesting Data...</v>
      </c>
      <c r="K489" s="8" t="str">
        <f>IF($A489="","",IF(ISNUMBER(FIND("IMPVOL",K$1)),_xll.BDH(config!$G$4,K$1,WORKDAY($A489,-1,config_Holiday_Calendar_US),WORKDAY($A489,-1,config_Holiday_Calendar_US)),IF(ISNUMBER(_xll.BDH(config!$G$4,K$1,$A489,$A489)),_xll.BDH(config!$G$4,K$1,$A489,$A489),_xll.BDH(config!$G$5,K$1,$A489,$A489))))</f>
        <v>#N/A Requesting Data...</v>
      </c>
      <c r="L489" s="8" t="str">
        <f>IF($A489="","",IF(ISNUMBER(FIND("IMPVOL",L$1)),_xll.BDH(config!$G$4,L$1,WORKDAY($A489,-1,config_Holiday_Calendar_US),WORKDAY($A489,-1,config_Holiday_Calendar_US)),IF(ISNUMBER(_xll.BDH(config!$G$4,L$1,$A489,$A489)),_xll.BDH(config!$G$4,L$1,$A489,$A489),_xll.BDH(config!$G$5,L$1,$A489,$A489))))</f>
        <v>#N/A Requesting Data...</v>
      </c>
      <c r="M489" s="8" t="str">
        <f>IF($A489="","",IF(ISNUMBER(FIND("IMPVOL",M$1)),_xll.BDH(config!$G$4,M$1,WORKDAY($A489,-1,config_Holiday_Calendar_US),WORKDAY($A489,-1,config_Holiday_Calendar_US)),IF(ISNUMBER(_xll.BDH(config!$G$4,M$1,$A489,$A489)),_xll.BDH(config!$G$4,M$1,$A489,$A489),_xll.BDH(config!$G$5,M$1,$A489,$A489))))</f>
        <v>#N/A Requesting Data...</v>
      </c>
      <c r="N489" s="8" t="str">
        <f>IF($A489="","",IF(ISNUMBER(FIND("IMPVOL",N$1)),_xll.BDH(config!$G$4,N$1,WORKDAY($A489,-1,config_Holiday_Calendar_US),WORKDAY($A489,-1,config_Holiday_Calendar_US)),IF(ISNUMBER(_xll.BDH(config!$G$4,N$1,$A489,$A489)),_xll.BDH(config!$G$4,N$1,$A489,$A489),_xll.BDH(config!$G$5,N$1,$A489,$A489))))</f>
        <v>#N/A Requesting Data...</v>
      </c>
      <c r="O489" s="8" t="str">
        <f>IF($A489="","",IF(ISNUMBER(FIND("IMPVOL",O$1)),_xll.BDH(config!$G$4,O$1,WORKDAY($A489,-1,config_Holiday_Calendar_US),WORKDAY($A489,-1,config_Holiday_Calendar_US)),IF(ISNUMBER(_xll.BDH(config!$G$4,O$1,$A489,$A489)),_xll.BDH(config!$G$4,O$1,$A489,$A489),_xll.BDH(config!$G$5,O$1,$A489,$A489))))</f>
        <v>#N/A Requesting Data...</v>
      </c>
      <c r="P489" s="8" t="str">
        <f>IF($A489="","",IF(ISNUMBER(FIND("IMPVOL",P$1)),_xll.BDH(config!$G$4,P$1,WORKDAY($A489,-1,config_Holiday_Calendar_US),WORKDAY($A489,-1,config_Holiday_Calendar_US)),IF(ISNUMBER(_xll.BDH(config!$G$4,P$1,$A489,$A489)),_xll.BDH(config!$G$4,P$1,$A489,$A489),_xll.BDH(config!$G$5,P$1,$A489,$A489))))</f>
        <v>#N/A Requesting Data...</v>
      </c>
      <c r="Q489" s="8" t="str">
        <f>IF($A489="","",IF(ISNUMBER(FIND("IMPVOL",Q$1)),_xll.BDH(config!$G$4,Q$1,WORKDAY($A489,-1,config_Holiday_Calendar_US),WORKDAY($A489,-1,config_Holiday_Calendar_US)),IF(ISNUMBER(_xll.BDH(config!$G$4,Q$1,$A489,$A489)),_xll.BDH(config!$G$4,Q$1,$A489,$A489),_xll.BDH(config!$G$5,Q$1,$A489,$A489))))</f>
        <v>#N/A Requesting Data...</v>
      </c>
      <c r="R489" s="8" t="str">
        <f>IF($A489="","",IF(ISNUMBER(FIND("IMPVOL",R$1)),_xll.BDH(config!$G$4,R$1,WORKDAY($A489,-1,config_Holiday_Calendar_US),WORKDAY($A489,-1,config_Holiday_Calendar_US)),IF(ISNUMBER(_xll.BDH(config!$G$4,R$1,$A489,$A489)),_xll.BDH(config!$G$4,R$1,$A489,$A489),_xll.BDH(config!$G$5,R$1,$A489,$A489))))</f>
        <v>#N/A Requesting Data...</v>
      </c>
      <c r="S489" s="8" t="str">
        <f>IF($A489="","",IF(ISNUMBER(FIND("IMPVOL",S$1)),_xll.BDH(config!$G$4,S$1,WORKDAY($A489,-1,config_Holiday_Calendar_US),WORKDAY($A489,-1,config_Holiday_Calendar_US)),IF(ISNUMBER(_xll.BDH(config!$G$4,S$1,$A489,$A489)),_xll.BDH(config!$G$4,S$1,$A489,$A489),_xll.BDH(config!$G$5,S$1,$A489,$A489))))</f>
        <v>#N/A Requesting Data...</v>
      </c>
      <c r="T489" s="8" t="str">
        <f>IF($A489="","",IF(ISNUMBER(FIND("IMPVOL",T$1)),_xll.BDH(config!$G$4,T$1,WORKDAY($A489,-1,config_Holiday_Calendar_US),WORKDAY($A489,-1,config_Holiday_Calendar_US)),IF(ISNUMBER(_xll.BDH(config!$G$4,T$1,$A489,$A489)),_xll.BDH(config!$G$4,T$1,$A489,$A489),_xll.BDH(config!$G$5,T$1,$A489,$A489))))</f>
        <v>#N/A Requesting Data...</v>
      </c>
      <c r="U489" s="8" t="str">
        <f>IF($A489="","",IF(ISNUMBER(FIND("IMPVOL",U$1)),_xll.BDH(config!$G$4,U$1,WORKDAY($A489,-1,config_Holiday_Calendar_US),WORKDAY($A489,-1,config_Holiday_Calendar_US)),IF(ISNUMBER(_xll.BDH(config!$G$4,U$1,$A489,$A489)),_xll.BDH(config!$G$4,U$1,$A489,$A489),_xll.BDH(config!$G$5,U$1,$A489,$A489))))</f>
        <v>#N/A Requesting Data...</v>
      </c>
      <c r="V489" s="8" t="str">
        <f>IF($A489="","",IF(ISNUMBER(FIND("IMPVOL",V$1)),_xll.BDH(config!$G$4,V$1,WORKDAY($A489,-1,config_Holiday_Calendar_US),WORKDAY($A489,-1,config_Holiday_Calendar_US)),IF(ISNUMBER(_xll.BDH(config!$G$4,V$1,$A489,$A489)),_xll.BDH(config!$G$4,V$1,$A489,$A489),_xll.BDH(config!$G$5,V$1,$A489,$A489))))</f>
        <v>#N/A Requesting Data...</v>
      </c>
      <c r="W489" s="8" t="str">
        <f>IF($A489="","",IF(ISNUMBER(FIND("IMPVOL",W$1)),_xll.BDH(config!$G$4,W$1,WORKDAY($A489,-1,config_Holiday_Calendar_US),WORKDAY($A489,-1,config_Holiday_Calendar_US)),IF(ISNUMBER(_xll.BDH(config!$G$4,W$1,$A489,$A489)),_xll.BDH(config!$G$4,W$1,$A489,$A489),_xll.BDH(config!$G$5,W$1,$A489,$A489))))</f>
        <v>#N/A Requesting Data...</v>
      </c>
    </row>
    <row r="490" spans="1:23" x14ac:dyDescent="0.2">
      <c r="A490" s="9">
        <f>IF(A489="","",IF(WORKDAY(A489,-1,config_Holiday_Calendar_US)&lt;config!$I$10,"",WORKDAY(A489,-1,config_Holiday_Calendar_US)))</f>
        <v>42118</v>
      </c>
      <c r="B490" s="8" t="e">
        <f t="shared" si="7"/>
        <v>#VALUE!</v>
      </c>
      <c r="C490" s="8" t="str">
        <f>IF(A490="","",_xll.BDH(config!$H$4,C$1,$A490,$A490))</f>
        <v>#N/A Requesting Data...</v>
      </c>
      <c r="D490" s="8" t="str">
        <f>IF($A490="","",_xll.BDH(config!$H$4,D$1,$A490,$A490))</f>
        <v>#N/A Requesting Data...</v>
      </c>
      <c r="E490" s="8">
        <f>IF($A490="","",IF(ISNUMBER(FIND("IMPVOL",E$1)),_xll.BDH(config!$G$4,E$1,WORKDAY($A490,-1,config_Holiday_Calendar_US),WORKDAY($A490,-1,config_Holiday_Calendar_US)),IF(ISNUMBER(_xll.BDH(config!$G$4,E$1,$A490,$A490)),_xll.BDH(config!$G$4,E$1,$A490,$A490),_xll.BDH(config!$G$5,E$1,$A490,$A490))))</f>
        <v>57.53</v>
      </c>
      <c r="F490" s="8">
        <f>IF($A490="","",IF(ISNUMBER(FIND("IMPVOL",F$1)),_xll.BDH(config!$G$4,F$1,WORKDAY($A490,-1,config_Holiday_Calendar_US),WORKDAY($A490,-1,config_Holiday_Calendar_US)),IF(ISNUMBER(_xll.BDH(config!$G$4,F$1,$A490,$A490)),_xll.BDH(config!$G$4,F$1,$A490,$A490),_xll.BDH(config!$G$5,F$1,$A490,$A490))))</f>
        <v>57.95</v>
      </c>
      <c r="G490" s="8" t="str">
        <f>IF($A490="","",IF(ISNUMBER(FIND("IMPVOL",G$1)),_xll.BDH(config!$G$4,G$1,WORKDAY($A490,-1,config_Holiday_Calendar_US),WORKDAY($A490,-1,config_Holiday_Calendar_US)),IF(ISNUMBER(_xll.BDH(config!$G$4,G$1,$A490,$A490)),_xll.BDH(config!$G$4,G$1,$A490,$A490),_xll.BDH(config!$G$5,G$1,$A490,$A490))))</f>
        <v>#N/A Requesting Data...</v>
      </c>
      <c r="H490" s="8" t="str">
        <f>IF($A490="","",IF(ISNUMBER(FIND("IMPVOL",H$1)),_xll.BDH(config!$G$4,H$1,WORKDAY($A490,-1,config_Holiday_Calendar_US),WORKDAY($A490,-1,config_Holiday_Calendar_US)),IF(ISNUMBER(_xll.BDH(config!$G$4,H$1,$A490,$A490)),_xll.BDH(config!$G$4,H$1,$A490,$A490),_xll.BDH(config!$G$5,H$1,$A490,$A490))))</f>
        <v>#N/A Requesting Data...</v>
      </c>
      <c r="I490" s="8" t="str">
        <f>IF($A490="","",IF(ISNUMBER(FIND("IMPVOL",I$1)),_xll.BDH(config!$G$4,I$1,WORKDAY($A490,-1,config_Holiday_Calendar_US),WORKDAY($A490,-1,config_Holiday_Calendar_US)),IF(ISNUMBER(_xll.BDH(config!$G$4,I$1,$A490,$A490)),_xll.BDH(config!$G$4,I$1,$A490,$A490),_xll.BDH(config!$G$5,I$1,$A490,$A490))))</f>
        <v>#N/A Requesting Data...</v>
      </c>
      <c r="J490" s="8" t="str">
        <f>IF($A490="","",IF(ISNUMBER(FIND("IMPVOL",J$1)),_xll.BDH(config!$G$4,J$1,WORKDAY($A490,-1,config_Holiday_Calendar_US),WORKDAY($A490,-1,config_Holiday_Calendar_US)),IF(ISNUMBER(_xll.BDH(config!$G$4,J$1,$A490,$A490)),_xll.BDH(config!$G$4,J$1,$A490,$A490),_xll.BDH(config!$G$5,J$1,$A490,$A490))))</f>
        <v>#N/A Requesting Data...</v>
      </c>
      <c r="K490" s="8" t="str">
        <f>IF($A490="","",IF(ISNUMBER(FIND("IMPVOL",K$1)),_xll.BDH(config!$G$4,K$1,WORKDAY($A490,-1,config_Holiday_Calendar_US),WORKDAY($A490,-1,config_Holiday_Calendar_US)),IF(ISNUMBER(_xll.BDH(config!$G$4,K$1,$A490,$A490)),_xll.BDH(config!$G$4,K$1,$A490,$A490),_xll.BDH(config!$G$5,K$1,$A490,$A490))))</f>
        <v>#N/A Requesting Data...</v>
      </c>
      <c r="L490" s="8" t="str">
        <f>IF($A490="","",IF(ISNUMBER(FIND("IMPVOL",L$1)),_xll.BDH(config!$G$4,L$1,WORKDAY($A490,-1,config_Holiday_Calendar_US),WORKDAY($A490,-1,config_Holiday_Calendar_US)),IF(ISNUMBER(_xll.BDH(config!$G$4,L$1,$A490,$A490)),_xll.BDH(config!$G$4,L$1,$A490,$A490),_xll.BDH(config!$G$5,L$1,$A490,$A490))))</f>
        <v>#N/A Requesting Data...</v>
      </c>
      <c r="M490" s="8" t="str">
        <f>IF($A490="","",IF(ISNUMBER(FIND("IMPVOL",M$1)),_xll.BDH(config!$G$4,M$1,WORKDAY($A490,-1,config_Holiday_Calendar_US),WORKDAY($A490,-1,config_Holiday_Calendar_US)),IF(ISNUMBER(_xll.BDH(config!$G$4,M$1,$A490,$A490)),_xll.BDH(config!$G$4,M$1,$A490,$A490),_xll.BDH(config!$G$5,M$1,$A490,$A490))))</f>
        <v>#N/A Requesting Data...</v>
      </c>
      <c r="N490" s="8" t="str">
        <f>IF($A490="","",IF(ISNUMBER(FIND("IMPVOL",N$1)),_xll.BDH(config!$G$4,N$1,WORKDAY($A490,-1,config_Holiday_Calendar_US),WORKDAY($A490,-1,config_Holiday_Calendar_US)),IF(ISNUMBER(_xll.BDH(config!$G$4,N$1,$A490,$A490)),_xll.BDH(config!$G$4,N$1,$A490,$A490),_xll.BDH(config!$G$5,N$1,$A490,$A490))))</f>
        <v>#N/A Requesting Data...</v>
      </c>
      <c r="O490" s="8" t="str">
        <f>IF($A490="","",IF(ISNUMBER(FIND("IMPVOL",O$1)),_xll.BDH(config!$G$4,O$1,WORKDAY($A490,-1,config_Holiday_Calendar_US),WORKDAY($A490,-1,config_Holiday_Calendar_US)),IF(ISNUMBER(_xll.BDH(config!$G$4,O$1,$A490,$A490)),_xll.BDH(config!$G$4,O$1,$A490,$A490),_xll.BDH(config!$G$5,O$1,$A490,$A490))))</f>
        <v>#N/A Requesting Data...</v>
      </c>
      <c r="P490" s="8" t="str">
        <f>IF($A490="","",IF(ISNUMBER(FIND("IMPVOL",P$1)),_xll.BDH(config!$G$4,P$1,WORKDAY($A490,-1,config_Holiday_Calendar_US),WORKDAY($A490,-1,config_Holiday_Calendar_US)),IF(ISNUMBER(_xll.BDH(config!$G$4,P$1,$A490,$A490)),_xll.BDH(config!$G$4,P$1,$A490,$A490),_xll.BDH(config!$G$5,P$1,$A490,$A490))))</f>
        <v>#N/A Requesting Data...</v>
      </c>
      <c r="Q490" s="8" t="str">
        <f>IF($A490="","",IF(ISNUMBER(FIND("IMPVOL",Q$1)),_xll.BDH(config!$G$4,Q$1,WORKDAY($A490,-1,config_Holiday_Calendar_US),WORKDAY($A490,-1,config_Holiday_Calendar_US)),IF(ISNUMBER(_xll.BDH(config!$G$4,Q$1,$A490,$A490)),_xll.BDH(config!$G$4,Q$1,$A490,$A490),_xll.BDH(config!$G$5,Q$1,$A490,$A490))))</f>
        <v>#N/A Requesting Data...</v>
      </c>
      <c r="R490" s="8" t="str">
        <f>IF($A490="","",IF(ISNUMBER(FIND("IMPVOL",R$1)),_xll.BDH(config!$G$4,R$1,WORKDAY($A490,-1,config_Holiday_Calendar_US),WORKDAY($A490,-1,config_Holiday_Calendar_US)),IF(ISNUMBER(_xll.BDH(config!$G$4,R$1,$A490,$A490)),_xll.BDH(config!$G$4,R$1,$A490,$A490),_xll.BDH(config!$G$5,R$1,$A490,$A490))))</f>
        <v>#N/A Requesting Data...</v>
      </c>
      <c r="S490" s="8" t="str">
        <f>IF($A490="","",IF(ISNUMBER(FIND("IMPVOL",S$1)),_xll.BDH(config!$G$4,S$1,WORKDAY($A490,-1,config_Holiday_Calendar_US),WORKDAY($A490,-1,config_Holiday_Calendar_US)),IF(ISNUMBER(_xll.BDH(config!$G$4,S$1,$A490,$A490)),_xll.BDH(config!$G$4,S$1,$A490,$A490),_xll.BDH(config!$G$5,S$1,$A490,$A490))))</f>
        <v>#N/A Requesting Data...</v>
      </c>
      <c r="T490" s="8" t="str">
        <f>IF($A490="","",IF(ISNUMBER(FIND("IMPVOL",T$1)),_xll.BDH(config!$G$4,T$1,WORKDAY($A490,-1,config_Holiday_Calendar_US),WORKDAY($A490,-1,config_Holiday_Calendar_US)),IF(ISNUMBER(_xll.BDH(config!$G$4,T$1,$A490,$A490)),_xll.BDH(config!$G$4,T$1,$A490,$A490),_xll.BDH(config!$G$5,T$1,$A490,$A490))))</f>
        <v>#N/A Requesting Data...</v>
      </c>
      <c r="U490" s="8" t="str">
        <f>IF($A490="","",IF(ISNUMBER(FIND("IMPVOL",U$1)),_xll.BDH(config!$G$4,U$1,WORKDAY($A490,-1,config_Holiday_Calendar_US),WORKDAY($A490,-1,config_Holiday_Calendar_US)),IF(ISNUMBER(_xll.BDH(config!$G$4,U$1,$A490,$A490)),_xll.BDH(config!$G$4,U$1,$A490,$A490),_xll.BDH(config!$G$5,U$1,$A490,$A490))))</f>
        <v>#N/A Requesting Data...</v>
      </c>
      <c r="V490" s="8" t="str">
        <f>IF($A490="","",IF(ISNUMBER(FIND("IMPVOL",V$1)),_xll.BDH(config!$G$4,V$1,WORKDAY($A490,-1,config_Holiday_Calendar_US),WORKDAY($A490,-1,config_Holiday_Calendar_US)),IF(ISNUMBER(_xll.BDH(config!$G$4,V$1,$A490,$A490)),_xll.BDH(config!$G$4,V$1,$A490,$A490),_xll.BDH(config!$G$5,V$1,$A490,$A490))))</f>
        <v>#N/A Requesting Data...</v>
      </c>
      <c r="W490" s="8" t="str">
        <f>IF($A490="","",IF(ISNUMBER(FIND("IMPVOL",W$1)),_xll.BDH(config!$G$4,W$1,WORKDAY($A490,-1,config_Holiday_Calendar_US),WORKDAY($A490,-1,config_Holiday_Calendar_US)),IF(ISNUMBER(_xll.BDH(config!$G$4,W$1,$A490,$A490)),_xll.BDH(config!$G$4,W$1,$A490,$A490),_xll.BDH(config!$G$5,W$1,$A490,$A490))))</f>
        <v>#N/A Requesting Data...</v>
      </c>
    </row>
    <row r="491" spans="1:23" x14ac:dyDescent="0.2">
      <c r="A491" s="9">
        <f>IF(A490="","",IF(WORKDAY(A490,-1,config_Holiday_Calendar_US)&lt;config!$I$10,"",WORKDAY(A490,-1,config_Holiday_Calendar_US)))</f>
        <v>42117</v>
      </c>
      <c r="B491" s="8" t="e">
        <f t="shared" si="7"/>
        <v>#VALUE!</v>
      </c>
      <c r="C491" s="8" t="str">
        <f>IF(A491="","",_xll.BDH(config!$H$4,C$1,$A491,$A491))</f>
        <v>#N/A Requesting Data...</v>
      </c>
      <c r="D491" s="8" t="str">
        <f>IF($A491="","",_xll.BDH(config!$H$4,D$1,$A491,$A491))</f>
        <v>#N/A Requesting Data...</v>
      </c>
      <c r="E491" s="8">
        <f>IF($A491="","",IF(ISNUMBER(FIND("IMPVOL",E$1)),_xll.BDH(config!$G$4,E$1,WORKDAY($A491,-1,config_Holiday_Calendar_US),WORKDAY($A491,-1,config_Holiday_Calendar_US)),IF(ISNUMBER(_xll.BDH(config!$G$4,E$1,$A491,$A491)),_xll.BDH(config!$G$4,E$1,$A491,$A491),_xll.BDH(config!$G$5,E$1,$A491,$A491))))</f>
        <v>56.28</v>
      </c>
      <c r="F491" s="8">
        <f>IF($A491="","",IF(ISNUMBER(FIND("IMPVOL",F$1)),_xll.BDH(config!$G$4,F$1,WORKDAY($A491,-1,config_Holiday_Calendar_US),WORKDAY($A491,-1,config_Holiday_Calendar_US)),IF(ISNUMBER(_xll.BDH(config!$G$4,F$1,$A491,$A491)),_xll.BDH(config!$G$4,F$1,$A491,$A491),_xll.BDH(config!$G$5,F$1,$A491,$A491))))</f>
        <v>58.41</v>
      </c>
      <c r="G491" s="8" t="str">
        <f>IF($A491="","",IF(ISNUMBER(FIND("IMPVOL",G$1)),_xll.BDH(config!$G$4,G$1,WORKDAY($A491,-1,config_Holiday_Calendar_US),WORKDAY($A491,-1,config_Holiday_Calendar_US)),IF(ISNUMBER(_xll.BDH(config!$G$4,G$1,$A491,$A491)),_xll.BDH(config!$G$4,G$1,$A491,$A491),_xll.BDH(config!$G$5,G$1,$A491,$A491))))</f>
        <v>#N/A Requesting Data...</v>
      </c>
      <c r="H491" s="8" t="str">
        <f>IF($A491="","",IF(ISNUMBER(FIND("IMPVOL",H$1)),_xll.BDH(config!$G$4,H$1,WORKDAY($A491,-1,config_Holiday_Calendar_US),WORKDAY($A491,-1,config_Holiday_Calendar_US)),IF(ISNUMBER(_xll.BDH(config!$G$4,H$1,$A491,$A491)),_xll.BDH(config!$G$4,H$1,$A491,$A491),_xll.BDH(config!$G$5,H$1,$A491,$A491))))</f>
        <v>#N/A Requesting Data...</v>
      </c>
      <c r="I491" s="8" t="str">
        <f>IF($A491="","",IF(ISNUMBER(FIND("IMPVOL",I$1)),_xll.BDH(config!$G$4,I$1,WORKDAY($A491,-1,config_Holiday_Calendar_US),WORKDAY($A491,-1,config_Holiday_Calendar_US)),IF(ISNUMBER(_xll.BDH(config!$G$4,I$1,$A491,$A491)),_xll.BDH(config!$G$4,I$1,$A491,$A491),_xll.BDH(config!$G$5,I$1,$A491,$A491))))</f>
        <v>#N/A Requesting Data...</v>
      </c>
      <c r="J491" s="8" t="str">
        <f>IF($A491="","",IF(ISNUMBER(FIND("IMPVOL",J$1)),_xll.BDH(config!$G$4,J$1,WORKDAY($A491,-1,config_Holiday_Calendar_US),WORKDAY($A491,-1,config_Holiday_Calendar_US)),IF(ISNUMBER(_xll.BDH(config!$G$4,J$1,$A491,$A491)),_xll.BDH(config!$G$4,J$1,$A491,$A491),_xll.BDH(config!$G$5,J$1,$A491,$A491))))</f>
        <v>#N/A Requesting Data...</v>
      </c>
      <c r="K491" s="8" t="str">
        <f>IF($A491="","",IF(ISNUMBER(FIND("IMPVOL",K$1)),_xll.BDH(config!$G$4,K$1,WORKDAY($A491,-1,config_Holiday_Calendar_US),WORKDAY($A491,-1,config_Holiday_Calendar_US)),IF(ISNUMBER(_xll.BDH(config!$G$4,K$1,$A491,$A491)),_xll.BDH(config!$G$4,K$1,$A491,$A491),_xll.BDH(config!$G$5,K$1,$A491,$A491))))</f>
        <v>#N/A Requesting Data...</v>
      </c>
      <c r="L491" s="8" t="str">
        <f>IF($A491="","",IF(ISNUMBER(FIND("IMPVOL",L$1)),_xll.BDH(config!$G$4,L$1,WORKDAY($A491,-1,config_Holiday_Calendar_US),WORKDAY($A491,-1,config_Holiday_Calendar_US)),IF(ISNUMBER(_xll.BDH(config!$G$4,L$1,$A491,$A491)),_xll.BDH(config!$G$4,L$1,$A491,$A491),_xll.BDH(config!$G$5,L$1,$A491,$A491))))</f>
        <v>#N/A Requesting Data...</v>
      </c>
      <c r="M491" s="8" t="str">
        <f>IF($A491="","",IF(ISNUMBER(FIND("IMPVOL",M$1)),_xll.BDH(config!$G$4,M$1,WORKDAY($A491,-1,config_Holiday_Calendar_US),WORKDAY($A491,-1,config_Holiday_Calendar_US)),IF(ISNUMBER(_xll.BDH(config!$G$4,M$1,$A491,$A491)),_xll.BDH(config!$G$4,M$1,$A491,$A491),_xll.BDH(config!$G$5,M$1,$A491,$A491))))</f>
        <v>#N/A Requesting Data...</v>
      </c>
      <c r="N491" s="8" t="str">
        <f>IF($A491="","",IF(ISNUMBER(FIND("IMPVOL",N$1)),_xll.BDH(config!$G$4,N$1,WORKDAY($A491,-1,config_Holiday_Calendar_US),WORKDAY($A491,-1,config_Holiday_Calendar_US)),IF(ISNUMBER(_xll.BDH(config!$G$4,N$1,$A491,$A491)),_xll.BDH(config!$G$4,N$1,$A491,$A491),_xll.BDH(config!$G$5,N$1,$A491,$A491))))</f>
        <v>#N/A Requesting Data...</v>
      </c>
      <c r="O491" s="8" t="str">
        <f>IF($A491="","",IF(ISNUMBER(FIND("IMPVOL",O$1)),_xll.BDH(config!$G$4,O$1,WORKDAY($A491,-1,config_Holiday_Calendar_US),WORKDAY($A491,-1,config_Holiday_Calendar_US)),IF(ISNUMBER(_xll.BDH(config!$G$4,O$1,$A491,$A491)),_xll.BDH(config!$G$4,O$1,$A491,$A491),_xll.BDH(config!$G$5,O$1,$A491,$A491))))</f>
        <v>#N/A Requesting Data...</v>
      </c>
      <c r="P491" s="8" t="str">
        <f>IF($A491="","",IF(ISNUMBER(FIND("IMPVOL",P$1)),_xll.BDH(config!$G$4,P$1,WORKDAY($A491,-1,config_Holiday_Calendar_US),WORKDAY($A491,-1,config_Holiday_Calendar_US)),IF(ISNUMBER(_xll.BDH(config!$G$4,P$1,$A491,$A491)),_xll.BDH(config!$G$4,P$1,$A491,$A491),_xll.BDH(config!$G$5,P$1,$A491,$A491))))</f>
        <v>#N/A Requesting Data...</v>
      </c>
      <c r="Q491" s="8" t="str">
        <f>IF($A491="","",IF(ISNUMBER(FIND("IMPVOL",Q$1)),_xll.BDH(config!$G$4,Q$1,WORKDAY($A491,-1,config_Holiday_Calendar_US),WORKDAY($A491,-1,config_Holiday_Calendar_US)),IF(ISNUMBER(_xll.BDH(config!$G$4,Q$1,$A491,$A491)),_xll.BDH(config!$G$4,Q$1,$A491,$A491),_xll.BDH(config!$G$5,Q$1,$A491,$A491))))</f>
        <v>#N/A Requesting Data...</v>
      </c>
      <c r="R491" s="8" t="str">
        <f>IF($A491="","",IF(ISNUMBER(FIND("IMPVOL",R$1)),_xll.BDH(config!$G$4,R$1,WORKDAY($A491,-1,config_Holiday_Calendar_US),WORKDAY($A491,-1,config_Holiday_Calendar_US)),IF(ISNUMBER(_xll.BDH(config!$G$4,R$1,$A491,$A491)),_xll.BDH(config!$G$4,R$1,$A491,$A491),_xll.BDH(config!$G$5,R$1,$A491,$A491))))</f>
        <v>#N/A Requesting Data...</v>
      </c>
      <c r="S491" s="8" t="str">
        <f>IF($A491="","",IF(ISNUMBER(FIND("IMPVOL",S$1)),_xll.BDH(config!$G$4,S$1,WORKDAY($A491,-1,config_Holiday_Calendar_US),WORKDAY($A491,-1,config_Holiday_Calendar_US)),IF(ISNUMBER(_xll.BDH(config!$G$4,S$1,$A491,$A491)),_xll.BDH(config!$G$4,S$1,$A491,$A491),_xll.BDH(config!$G$5,S$1,$A491,$A491))))</f>
        <v>#N/A Requesting Data...</v>
      </c>
      <c r="T491" s="8" t="str">
        <f>IF($A491="","",IF(ISNUMBER(FIND("IMPVOL",T$1)),_xll.BDH(config!$G$4,T$1,WORKDAY($A491,-1,config_Holiday_Calendar_US),WORKDAY($A491,-1,config_Holiday_Calendar_US)),IF(ISNUMBER(_xll.BDH(config!$G$4,T$1,$A491,$A491)),_xll.BDH(config!$G$4,T$1,$A491,$A491),_xll.BDH(config!$G$5,T$1,$A491,$A491))))</f>
        <v>#N/A Requesting Data...</v>
      </c>
      <c r="U491" s="8" t="str">
        <f>IF($A491="","",IF(ISNUMBER(FIND("IMPVOL",U$1)),_xll.BDH(config!$G$4,U$1,WORKDAY($A491,-1,config_Holiday_Calendar_US),WORKDAY($A491,-1,config_Holiday_Calendar_US)),IF(ISNUMBER(_xll.BDH(config!$G$4,U$1,$A491,$A491)),_xll.BDH(config!$G$4,U$1,$A491,$A491),_xll.BDH(config!$G$5,U$1,$A491,$A491))))</f>
        <v>#N/A Requesting Data...</v>
      </c>
      <c r="V491" s="8" t="str">
        <f>IF($A491="","",IF(ISNUMBER(FIND("IMPVOL",V$1)),_xll.BDH(config!$G$4,V$1,WORKDAY($A491,-1,config_Holiday_Calendar_US),WORKDAY($A491,-1,config_Holiday_Calendar_US)),IF(ISNUMBER(_xll.BDH(config!$G$4,V$1,$A491,$A491)),_xll.BDH(config!$G$4,V$1,$A491,$A491),_xll.BDH(config!$G$5,V$1,$A491,$A491))))</f>
        <v>#N/A Requesting Data...</v>
      </c>
      <c r="W491" s="8" t="str">
        <f>IF($A491="","",IF(ISNUMBER(FIND("IMPVOL",W$1)),_xll.BDH(config!$G$4,W$1,WORKDAY($A491,-1,config_Holiday_Calendar_US),WORKDAY($A491,-1,config_Holiday_Calendar_US)),IF(ISNUMBER(_xll.BDH(config!$G$4,W$1,$A491,$A491)),_xll.BDH(config!$G$4,W$1,$A491,$A491),_xll.BDH(config!$G$5,W$1,$A491,$A491))))</f>
        <v>#N/A Requesting Data...</v>
      </c>
    </row>
    <row r="492" spans="1:23" x14ac:dyDescent="0.2">
      <c r="A492" s="9">
        <f>IF(A491="","",IF(WORKDAY(A491,-1,config_Holiday_Calendar_US)&lt;config!$I$10,"",WORKDAY(A491,-1,config_Holiday_Calendar_US)))</f>
        <v>42116</v>
      </c>
      <c r="B492" s="8" t="e">
        <f t="shared" si="7"/>
        <v>#VALUE!</v>
      </c>
      <c r="C492" s="8" t="str">
        <f>IF(A492="","",_xll.BDH(config!$H$4,C$1,$A492,$A492))</f>
        <v>#N/A Requesting Data...</v>
      </c>
      <c r="D492" s="8" t="str">
        <f>IF($A492="","",_xll.BDH(config!$H$4,D$1,$A492,$A492))</f>
        <v>#N/A Requesting Data...</v>
      </c>
      <c r="E492" s="8">
        <f>IF($A492="","",IF(ISNUMBER(FIND("IMPVOL",E$1)),_xll.BDH(config!$G$4,E$1,WORKDAY($A492,-1,config_Holiday_Calendar_US),WORKDAY($A492,-1,config_Holiday_Calendar_US)),IF(ISNUMBER(_xll.BDH(config!$G$4,E$1,$A492,$A492)),_xll.BDH(config!$G$4,E$1,$A492,$A492),_xll.BDH(config!$G$5,E$1,$A492,$A492))))</f>
        <v>56.34</v>
      </c>
      <c r="F492" s="8">
        <f>IF($A492="","",IF(ISNUMBER(FIND("IMPVOL",F$1)),_xll.BDH(config!$G$4,F$1,WORKDAY($A492,-1,config_Holiday_Calendar_US),WORKDAY($A492,-1,config_Holiday_Calendar_US)),IF(ISNUMBER(_xll.BDH(config!$G$4,F$1,$A492,$A492)),_xll.BDH(config!$G$4,F$1,$A492,$A492),_xll.BDH(config!$G$5,F$1,$A492,$A492))))</f>
        <v>57.19</v>
      </c>
      <c r="G492" s="8" t="str">
        <f>IF($A492="","",IF(ISNUMBER(FIND("IMPVOL",G$1)),_xll.BDH(config!$G$4,G$1,WORKDAY($A492,-1,config_Holiday_Calendar_US),WORKDAY($A492,-1,config_Holiday_Calendar_US)),IF(ISNUMBER(_xll.BDH(config!$G$4,G$1,$A492,$A492)),_xll.BDH(config!$G$4,G$1,$A492,$A492),_xll.BDH(config!$G$5,G$1,$A492,$A492))))</f>
        <v>#N/A Requesting Data...</v>
      </c>
      <c r="H492" s="8" t="str">
        <f>IF($A492="","",IF(ISNUMBER(FIND("IMPVOL",H$1)),_xll.BDH(config!$G$4,H$1,WORKDAY($A492,-1,config_Holiday_Calendar_US),WORKDAY($A492,-1,config_Holiday_Calendar_US)),IF(ISNUMBER(_xll.BDH(config!$G$4,H$1,$A492,$A492)),_xll.BDH(config!$G$4,H$1,$A492,$A492),_xll.BDH(config!$G$5,H$1,$A492,$A492))))</f>
        <v>#N/A Requesting Data...</v>
      </c>
      <c r="I492" s="8" t="str">
        <f>IF($A492="","",IF(ISNUMBER(FIND("IMPVOL",I$1)),_xll.BDH(config!$G$4,I$1,WORKDAY($A492,-1,config_Holiday_Calendar_US),WORKDAY($A492,-1,config_Holiday_Calendar_US)),IF(ISNUMBER(_xll.BDH(config!$G$4,I$1,$A492,$A492)),_xll.BDH(config!$G$4,I$1,$A492,$A492),_xll.BDH(config!$G$5,I$1,$A492,$A492))))</f>
        <v>#N/A Requesting Data...</v>
      </c>
      <c r="J492" s="8" t="str">
        <f>IF($A492="","",IF(ISNUMBER(FIND("IMPVOL",J$1)),_xll.BDH(config!$G$4,J$1,WORKDAY($A492,-1,config_Holiday_Calendar_US),WORKDAY($A492,-1,config_Holiday_Calendar_US)),IF(ISNUMBER(_xll.BDH(config!$G$4,J$1,$A492,$A492)),_xll.BDH(config!$G$4,J$1,$A492,$A492),_xll.BDH(config!$G$5,J$1,$A492,$A492))))</f>
        <v>#N/A Requesting Data...</v>
      </c>
      <c r="K492" s="8" t="str">
        <f>IF($A492="","",IF(ISNUMBER(FIND("IMPVOL",K$1)),_xll.BDH(config!$G$4,K$1,WORKDAY($A492,-1,config_Holiday_Calendar_US),WORKDAY($A492,-1,config_Holiday_Calendar_US)),IF(ISNUMBER(_xll.BDH(config!$G$4,K$1,$A492,$A492)),_xll.BDH(config!$G$4,K$1,$A492,$A492),_xll.BDH(config!$G$5,K$1,$A492,$A492))))</f>
        <v>#N/A Requesting Data...</v>
      </c>
      <c r="L492" s="8" t="str">
        <f>IF($A492="","",IF(ISNUMBER(FIND("IMPVOL",L$1)),_xll.BDH(config!$G$4,L$1,WORKDAY($A492,-1,config_Holiday_Calendar_US),WORKDAY($A492,-1,config_Holiday_Calendar_US)),IF(ISNUMBER(_xll.BDH(config!$G$4,L$1,$A492,$A492)),_xll.BDH(config!$G$4,L$1,$A492,$A492),_xll.BDH(config!$G$5,L$1,$A492,$A492))))</f>
        <v>#N/A Requesting Data...</v>
      </c>
      <c r="M492" s="8" t="str">
        <f>IF($A492="","",IF(ISNUMBER(FIND("IMPVOL",M$1)),_xll.BDH(config!$G$4,M$1,WORKDAY($A492,-1,config_Holiday_Calendar_US),WORKDAY($A492,-1,config_Holiday_Calendar_US)),IF(ISNUMBER(_xll.BDH(config!$G$4,M$1,$A492,$A492)),_xll.BDH(config!$G$4,M$1,$A492,$A492),_xll.BDH(config!$G$5,M$1,$A492,$A492))))</f>
        <v>#N/A Requesting Data...</v>
      </c>
      <c r="N492" s="8" t="str">
        <f>IF($A492="","",IF(ISNUMBER(FIND("IMPVOL",N$1)),_xll.BDH(config!$G$4,N$1,WORKDAY($A492,-1,config_Holiday_Calendar_US),WORKDAY($A492,-1,config_Holiday_Calendar_US)),IF(ISNUMBER(_xll.BDH(config!$G$4,N$1,$A492,$A492)),_xll.BDH(config!$G$4,N$1,$A492,$A492),_xll.BDH(config!$G$5,N$1,$A492,$A492))))</f>
        <v>#N/A Requesting Data...</v>
      </c>
      <c r="O492" s="8" t="str">
        <f>IF($A492="","",IF(ISNUMBER(FIND("IMPVOL",O$1)),_xll.BDH(config!$G$4,O$1,WORKDAY($A492,-1,config_Holiday_Calendar_US),WORKDAY($A492,-1,config_Holiday_Calendar_US)),IF(ISNUMBER(_xll.BDH(config!$G$4,O$1,$A492,$A492)),_xll.BDH(config!$G$4,O$1,$A492,$A492),_xll.BDH(config!$G$5,O$1,$A492,$A492))))</f>
        <v>#N/A Requesting Data...</v>
      </c>
      <c r="P492" s="8" t="str">
        <f>IF($A492="","",IF(ISNUMBER(FIND("IMPVOL",P$1)),_xll.BDH(config!$G$4,P$1,WORKDAY($A492,-1,config_Holiday_Calendar_US),WORKDAY($A492,-1,config_Holiday_Calendar_US)),IF(ISNUMBER(_xll.BDH(config!$G$4,P$1,$A492,$A492)),_xll.BDH(config!$G$4,P$1,$A492,$A492),_xll.BDH(config!$G$5,P$1,$A492,$A492))))</f>
        <v>#N/A Requesting Data...</v>
      </c>
      <c r="Q492" s="8" t="str">
        <f>IF($A492="","",IF(ISNUMBER(FIND("IMPVOL",Q$1)),_xll.BDH(config!$G$4,Q$1,WORKDAY($A492,-1,config_Holiday_Calendar_US),WORKDAY($A492,-1,config_Holiday_Calendar_US)),IF(ISNUMBER(_xll.BDH(config!$G$4,Q$1,$A492,$A492)),_xll.BDH(config!$G$4,Q$1,$A492,$A492),_xll.BDH(config!$G$5,Q$1,$A492,$A492))))</f>
        <v>#N/A Requesting Data...</v>
      </c>
      <c r="R492" s="8" t="str">
        <f>IF($A492="","",IF(ISNUMBER(FIND("IMPVOL",R$1)),_xll.BDH(config!$G$4,R$1,WORKDAY($A492,-1,config_Holiday_Calendar_US),WORKDAY($A492,-1,config_Holiday_Calendar_US)),IF(ISNUMBER(_xll.BDH(config!$G$4,R$1,$A492,$A492)),_xll.BDH(config!$G$4,R$1,$A492,$A492),_xll.BDH(config!$G$5,R$1,$A492,$A492))))</f>
        <v>#N/A Requesting Data...</v>
      </c>
      <c r="S492" s="8" t="str">
        <f>IF($A492="","",IF(ISNUMBER(FIND("IMPVOL",S$1)),_xll.BDH(config!$G$4,S$1,WORKDAY($A492,-1,config_Holiday_Calendar_US),WORKDAY($A492,-1,config_Holiday_Calendar_US)),IF(ISNUMBER(_xll.BDH(config!$G$4,S$1,$A492,$A492)),_xll.BDH(config!$G$4,S$1,$A492,$A492),_xll.BDH(config!$G$5,S$1,$A492,$A492))))</f>
        <v>#N/A Requesting Data...</v>
      </c>
      <c r="T492" s="8" t="str">
        <f>IF($A492="","",IF(ISNUMBER(FIND("IMPVOL",T$1)),_xll.BDH(config!$G$4,T$1,WORKDAY($A492,-1,config_Holiday_Calendar_US),WORKDAY($A492,-1,config_Holiday_Calendar_US)),IF(ISNUMBER(_xll.BDH(config!$G$4,T$1,$A492,$A492)),_xll.BDH(config!$G$4,T$1,$A492,$A492),_xll.BDH(config!$G$5,T$1,$A492,$A492))))</f>
        <v>#N/A Requesting Data...</v>
      </c>
      <c r="U492" s="8" t="str">
        <f>IF($A492="","",IF(ISNUMBER(FIND("IMPVOL",U$1)),_xll.BDH(config!$G$4,U$1,WORKDAY($A492,-1,config_Holiday_Calendar_US),WORKDAY($A492,-1,config_Holiday_Calendar_US)),IF(ISNUMBER(_xll.BDH(config!$G$4,U$1,$A492,$A492)),_xll.BDH(config!$G$4,U$1,$A492,$A492),_xll.BDH(config!$G$5,U$1,$A492,$A492))))</f>
        <v>#N/A Requesting Data...</v>
      </c>
      <c r="V492" s="8" t="str">
        <f>IF($A492="","",IF(ISNUMBER(FIND("IMPVOL",V$1)),_xll.BDH(config!$G$4,V$1,WORKDAY($A492,-1,config_Holiday_Calendar_US),WORKDAY($A492,-1,config_Holiday_Calendar_US)),IF(ISNUMBER(_xll.BDH(config!$G$4,V$1,$A492,$A492)),_xll.BDH(config!$G$4,V$1,$A492,$A492),_xll.BDH(config!$G$5,V$1,$A492,$A492))))</f>
        <v>#N/A Requesting Data...</v>
      </c>
      <c r="W492" s="8" t="str">
        <f>IF($A492="","",IF(ISNUMBER(FIND("IMPVOL",W$1)),_xll.BDH(config!$G$4,W$1,WORKDAY($A492,-1,config_Holiday_Calendar_US),WORKDAY($A492,-1,config_Holiday_Calendar_US)),IF(ISNUMBER(_xll.BDH(config!$G$4,W$1,$A492,$A492)),_xll.BDH(config!$G$4,W$1,$A492,$A492),_xll.BDH(config!$G$5,W$1,$A492,$A492))))</f>
        <v>#N/A Requesting Data...</v>
      </c>
    </row>
    <row r="493" spans="1:23" x14ac:dyDescent="0.2">
      <c r="A493" s="9">
        <f>IF(A492="","",IF(WORKDAY(A492,-1,config_Holiday_Calendar_US)&lt;config!$I$10,"",WORKDAY(A492,-1,config_Holiday_Calendar_US)))</f>
        <v>42115</v>
      </c>
      <c r="B493" s="8" t="e">
        <f t="shared" si="7"/>
        <v>#VALUE!</v>
      </c>
      <c r="C493" s="8" t="str">
        <f>IF(A493="","",_xll.BDH(config!$H$4,C$1,$A493,$A493))</f>
        <v>#N/A Requesting Data...</v>
      </c>
      <c r="D493" s="8" t="str">
        <f>IF($A493="","",_xll.BDH(config!$H$4,D$1,$A493,$A493))</f>
        <v>#N/A Requesting Data...</v>
      </c>
      <c r="E493" s="8">
        <f>IF($A493="","",IF(ISNUMBER(FIND("IMPVOL",E$1)),_xll.BDH(config!$G$4,E$1,WORKDAY($A493,-1,config_Holiday_Calendar_US),WORKDAY($A493,-1,config_Holiday_Calendar_US)),IF(ISNUMBER(_xll.BDH(config!$G$4,E$1,$A493,$A493)),_xll.BDH(config!$G$4,E$1,$A493,$A493),_xll.BDH(config!$G$5,E$1,$A493,$A493))))</f>
        <v>56.41</v>
      </c>
      <c r="F493" s="8">
        <f>IF($A493="","",IF(ISNUMBER(FIND("IMPVOL",F$1)),_xll.BDH(config!$G$4,F$1,WORKDAY($A493,-1,config_Holiday_Calendar_US),WORKDAY($A493,-1,config_Holiday_Calendar_US)),IF(ISNUMBER(_xll.BDH(config!$G$4,F$1,$A493,$A493)),_xll.BDH(config!$G$4,F$1,$A493,$A493),_xll.BDH(config!$G$5,F$1,$A493,$A493))))</f>
        <v>56.91</v>
      </c>
      <c r="G493" s="8" t="str">
        <f>IF($A493="","",IF(ISNUMBER(FIND("IMPVOL",G$1)),_xll.BDH(config!$G$4,G$1,WORKDAY($A493,-1,config_Holiday_Calendar_US),WORKDAY($A493,-1,config_Holiday_Calendar_US)),IF(ISNUMBER(_xll.BDH(config!$G$4,G$1,$A493,$A493)),_xll.BDH(config!$G$4,G$1,$A493,$A493),_xll.BDH(config!$G$5,G$1,$A493,$A493))))</f>
        <v>#N/A Requesting Data...</v>
      </c>
      <c r="H493" s="8" t="str">
        <f>IF($A493="","",IF(ISNUMBER(FIND("IMPVOL",H$1)),_xll.BDH(config!$G$4,H$1,WORKDAY($A493,-1,config_Holiday_Calendar_US),WORKDAY($A493,-1,config_Holiday_Calendar_US)),IF(ISNUMBER(_xll.BDH(config!$G$4,H$1,$A493,$A493)),_xll.BDH(config!$G$4,H$1,$A493,$A493),_xll.BDH(config!$G$5,H$1,$A493,$A493))))</f>
        <v>#N/A Requesting Data...</v>
      </c>
      <c r="I493" s="8" t="str">
        <f>IF($A493="","",IF(ISNUMBER(FIND("IMPVOL",I$1)),_xll.BDH(config!$G$4,I$1,WORKDAY($A493,-1,config_Holiday_Calendar_US),WORKDAY($A493,-1,config_Holiday_Calendar_US)),IF(ISNUMBER(_xll.BDH(config!$G$4,I$1,$A493,$A493)),_xll.BDH(config!$G$4,I$1,$A493,$A493),_xll.BDH(config!$G$5,I$1,$A493,$A493))))</f>
        <v>#N/A Requesting Data...</v>
      </c>
      <c r="J493" s="8" t="str">
        <f>IF($A493="","",IF(ISNUMBER(FIND("IMPVOL",J$1)),_xll.BDH(config!$G$4,J$1,WORKDAY($A493,-1,config_Holiday_Calendar_US),WORKDAY($A493,-1,config_Holiday_Calendar_US)),IF(ISNUMBER(_xll.BDH(config!$G$4,J$1,$A493,$A493)),_xll.BDH(config!$G$4,J$1,$A493,$A493),_xll.BDH(config!$G$5,J$1,$A493,$A493))))</f>
        <v>#N/A Requesting Data...</v>
      </c>
      <c r="K493" s="8" t="str">
        <f>IF($A493="","",IF(ISNUMBER(FIND("IMPVOL",K$1)),_xll.BDH(config!$G$4,K$1,WORKDAY($A493,-1,config_Holiday_Calendar_US),WORKDAY($A493,-1,config_Holiday_Calendar_US)),IF(ISNUMBER(_xll.BDH(config!$G$4,K$1,$A493,$A493)),_xll.BDH(config!$G$4,K$1,$A493,$A493),_xll.BDH(config!$G$5,K$1,$A493,$A493))))</f>
        <v>#N/A Requesting Data...</v>
      </c>
      <c r="L493" s="8" t="str">
        <f>IF($A493="","",IF(ISNUMBER(FIND("IMPVOL",L$1)),_xll.BDH(config!$G$4,L$1,WORKDAY($A493,-1,config_Holiday_Calendar_US),WORKDAY($A493,-1,config_Holiday_Calendar_US)),IF(ISNUMBER(_xll.BDH(config!$G$4,L$1,$A493,$A493)),_xll.BDH(config!$G$4,L$1,$A493,$A493),_xll.BDH(config!$G$5,L$1,$A493,$A493))))</f>
        <v>#N/A Requesting Data...</v>
      </c>
      <c r="M493" s="8" t="str">
        <f>IF($A493="","",IF(ISNUMBER(FIND("IMPVOL",M$1)),_xll.BDH(config!$G$4,M$1,WORKDAY($A493,-1,config_Holiday_Calendar_US),WORKDAY($A493,-1,config_Holiday_Calendar_US)),IF(ISNUMBER(_xll.BDH(config!$G$4,M$1,$A493,$A493)),_xll.BDH(config!$G$4,M$1,$A493,$A493),_xll.BDH(config!$G$5,M$1,$A493,$A493))))</f>
        <v>#N/A Requesting Data...</v>
      </c>
      <c r="N493" s="8" t="str">
        <f>IF($A493="","",IF(ISNUMBER(FIND("IMPVOL",N$1)),_xll.BDH(config!$G$4,N$1,WORKDAY($A493,-1,config_Holiday_Calendar_US),WORKDAY($A493,-1,config_Holiday_Calendar_US)),IF(ISNUMBER(_xll.BDH(config!$G$4,N$1,$A493,$A493)),_xll.BDH(config!$G$4,N$1,$A493,$A493),_xll.BDH(config!$G$5,N$1,$A493,$A493))))</f>
        <v>#N/A Requesting Data...</v>
      </c>
      <c r="O493" s="8" t="str">
        <f>IF($A493="","",IF(ISNUMBER(FIND("IMPVOL",O$1)),_xll.BDH(config!$G$4,O$1,WORKDAY($A493,-1,config_Holiday_Calendar_US),WORKDAY($A493,-1,config_Holiday_Calendar_US)),IF(ISNUMBER(_xll.BDH(config!$G$4,O$1,$A493,$A493)),_xll.BDH(config!$G$4,O$1,$A493,$A493),_xll.BDH(config!$G$5,O$1,$A493,$A493))))</f>
        <v>#N/A Requesting Data...</v>
      </c>
      <c r="P493" s="8" t="str">
        <f>IF($A493="","",IF(ISNUMBER(FIND("IMPVOL",P$1)),_xll.BDH(config!$G$4,P$1,WORKDAY($A493,-1,config_Holiday_Calendar_US),WORKDAY($A493,-1,config_Holiday_Calendar_US)),IF(ISNUMBER(_xll.BDH(config!$G$4,P$1,$A493,$A493)),_xll.BDH(config!$G$4,P$1,$A493,$A493),_xll.BDH(config!$G$5,P$1,$A493,$A493))))</f>
        <v>#N/A Requesting Data...</v>
      </c>
      <c r="Q493" s="8" t="str">
        <f>IF($A493="","",IF(ISNUMBER(FIND("IMPVOL",Q$1)),_xll.BDH(config!$G$4,Q$1,WORKDAY($A493,-1,config_Holiday_Calendar_US),WORKDAY($A493,-1,config_Holiday_Calendar_US)),IF(ISNUMBER(_xll.BDH(config!$G$4,Q$1,$A493,$A493)),_xll.BDH(config!$G$4,Q$1,$A493,$A493),_xll.BDH(config!$G$5,Q$1,$A493,$A493))))</f>
        <v>#N/A Requesting Data...</v>
      </c>
      <c r="R493" s="8" t="str">
        <f>IF($A493="","",IF(ISNUMBER(FIND("IMPVOL",R$1)),_xll.BDH(config!$G$4,R$1,WORKDAY($A493,-1,config_Holiday_Calendar_US),WORKDAY($A493,-1,config_Holiday_Calendar_US)),IF(ISNUMBER(_xll.BDH(config!$G$4,R$1,$A493,$A493)),_xll.BDH(config!$G$4,R$1,$A493,$A493),_xll.BDH(config!$G$5,R$1,$A493,$A493))))</f>
        <v>#N/A Requesting Data...</v>
      </c>
      <c r="S493" s="8" t="str">
        <f>IF($A493="","",IF(ISNUMBER(FIND("IMPVOL",S$1)),_xll.BDH(config!$G$4,S$1,WORKDAY($A493,-1,config_Holiday_Calendar_US),WORKDAY($A493,-1,config_Holiday_Calendar_US)),IF(ISNUMBER(_xll.BDH(config!$G$4,S$1,$A493,$A493)),_xll.BDH(config!$G$4,S$1,$A493,$A493),_xll.BDH(config!$G$5,S$1,$A493,$A493))))</f>
        <v>#N/A Requesting Data...</v>
      </c>
      <c r="T493" s="8" t="str">
        <f>IF($A493="","",IF(ISNUMBER(FIND("IMPVOL",T$1)),_xll.BDH(config!$G$4,T$1,WORKDAY($A493,-1,config_Holiday_Calendar_US),WORKDAY($A493,-1,config_Holiday_Calendar_US)),IF(ISNUMBER(_xll.BDH(config!$G$4,T$1,$A493,$A493)),_xll.BDH(config!$G$4,T$1,$A493,$A493),_xll.BDH(config!$G$5,T$1,$A493,$A493))))</f>
        <v>#N/A Requesting Data...</v>
      </c>
      <c r="U493" s="8" t="str">
        <f>IF($A493="","",IF(ISNUMBER(FIND("IMPVOL",U$1)),_xll.BDH(config!$G$4,U$1,WORKDAY($A493,-1,config_Holiday_Calendar_US),WORKDAY($A493,-1,config_Holiday_Calendar_US)),IF(ISNUMBER(_xll.BDH(config!$G$4,U$1,$A493,$A493)),_xll.BDH(config!$G$4,U$1,$A493,$A493),_xll.BDH(config!$G$5,U$1,$A493,$A493))))</f>
        <v>#N/A Requesting Data...</v>
      </c>
      <c r="V493" s="8" t="str">
        <f>IF($A493="","",IF(ISNUMBER(FIND("IMPVOL",V$1)),_xll.BDH(config!$G$4,V$1,WORKDAY($A493,-1,config_Holiday_Calendar_US),WORKDAY($A493,-1,config_Holiday_Calendar_US)),IF(ISNUMBER(_xll.BDH(config!$G$4,V$1,$A493,$A493)),_xll.BDH(config!$G$4,V$1,$A493,$A493),_xll.BDH(config!$G$5,V$1,$A493,$A493))))</f>
        <v>#N/A Requesting Data...</v>
      </c>
      <c r="W493" s="8" t="str">
        <f>IF($A493="","",IF(ISNUMBER(FIND("IMPVOL",W$1)),_xll.BDH(config!$G$4,W$1,WORKDAY($A493,-1,config_Holiday_Calendar_US),WORKDAY($A493,-1,config_Holiday_Calendar_US)),IF(ISNUMBER(_xll.BDH(config!$G$4,W$1,$A493,$A493)),_xll.BDH(config!$G$4,W$1,$A493,$A493),_xll.BDH(config!$G$5,W$1,$A493,$A493))))</f>
        <v>#N/A Requesting Data...</v>
      </c>
    </row>
    <row r="494" spans="1:23" x14ac:dyDescent="0.2">
      <c r="A494" s="9">
        <f>IF(A493="","",IF(WORKDAY(A493,-1,config_Holiday_Calendar_US)&lt;config!$I$10,"",WORKDAY(A493,-1,config_Holiday_Calendar_US)))</f>
        <v>42114</v>
      </c>
      <c r="B494" s="8" t="e">
        <f t="shared" si="7"/>
        <v>#VALUE!</v>
      </c>
      <c r="C494" s="8" t="str">
        <f>IF(A494="","",_xll.BDH(config!$H$4,C$1,$A494,$A494))</f>
        <v>#N/A Requesting Data...</v>
      </c>
      <c r="D494" s="8" t="str">
        <f>IF($A494="","",_xll.BDH(config!$H$4,D$1,$A494,$A494))</f>
        <v>#N/A Requesting Data...</v>
      </c>
      <c r="E494" s="8">
        <f>IF($A494="","",IF(ISNUMBER(FIND("IMPVOL",E$1)),_xll.BDH(config!$G$4,E$1,WORKDAY($A494,-1,config_Holiday_Calendar_US),WORKDAY($A494,-1,config_Holiday_Calendar_US)),IF(ISNUMBER(_xll.BDH(config!$G$4,E$1,$A494,$A494)),_xll.BDH(config!$G$4,E$1,$A494,$A494),_xll.BDH(config!$G$5,E$1,$A494,$A494))))</f>
        <v>56.16</v>
      </c>
      <c r="F494" s="8">
        <f>IF($A494="","",IF(ISNUMBER(FIND("IMPVOL",F$1)),_xll.BDH(config!$G$4,F$1,WORKDAY($A494,-1,config_Holiday_Calendar_US),WORKDAY($A494,-1,config_Holiday_Calendar_US)),IF(ISNUMBER(_xll.BDH(config!$G$4,F$1,$A494,$A494)),_xll.BDH(config!$G$4,F$1,$A494,$A494),_xll.BDH(config!$G$5,F$1,$A494,$A494))))</f>
        <v>57.17</v>
      </c>
      <c r="G494" s="8" t="str">
        <f>IF($A494="","",IF(ISNUMBER(FIND("IMPVOL",G$1)),_xll.BDH(config!$G$4,G$1,WORKDAY($A494,-1,config_Holiday_Calendar_US),WORKDAY($A494,-1,config_Holiday_Calendar_US)),IF(ISNUMBER(_xll.BDH(config!$G$4,G$1,$A494,$A494)),_xll.BDH(config!$G$4,G$1,$A494,$A494),_xll.BDH(config!$G$5,G$1,$A494,$A494))))</f>
        <v>#N/A Requesting Data...</v>
      </c>
      <c r="H494" s="8" t="str">
        <f>IF($A494="","",IF(ISNUMBER(FIND("IMPVOL",H$1)),_xll.BDH(config!$G$4,H$1,WORKDAY($A494,-1,config_Holiday_Calendar_US),WORKDAY($A494,-1,config_Holiday_Calendar_US)),IF(ISNUMBER(_xll.BDH(config!$G$4,H$1,$A494,$A494)),_xll.BDH(config!$G$4,H$1,$A494,$A494),_xll.BDH(config!$G$5,H$1,$A494,$A494))))</f>
        <v>#N/A Requesting Data...</v>
      </c>
      <c r="I494" s="8" t="str">
        <f>IF($A494="","",IF(ISNUMBER(FIND("IMPVOL",I$1)),_xll.BDH(config!$G$4,I$1,WORKDAY($A494,-1,config_Holiday_Calendar_US),WORKDAY($A494,-1,config_Holiday_Calendar_US)),IF(ISNUMBER(_xll.BDH(config!$G$4,I$1,$A494,$A494)),_xll.BDH(config!$G$4,I$1,$A494,$A494),_xll.BDH(config!$G$5,I$1,$A494,$A494))))</f>
        <v>#N/A Requesting Data...</v>
      </c>
      <c r="J494" s="8" t="str">
        <f>IF($A494="","",IF(ISNUMBER(FIND("IMPVOL",J$1)),_xll.BDH(config!$G$4,J$1,WORKDAY($A494,-1,config_Holiday_Calendar_US),WORKDAY($A494,-1,config_Holiday_Calendar_US)),IF(ISNUMBER(_xll.BDH(config!$G$4,J$1,$A494,$A494)),_xll.BDH(config!$G$4,J$1,$A494,$A494),_xll.BDH(config!$G$5,J$1,$A494,$A494))))</f>
        <v>#N/A Requesting Data...</v>
      </c>
      <c r="K494" s="8" t="str">
        <f>IF($A494="","",IF(ISNUMBER(FIND("IMPVOL",K$1)),_xll.BDH(config!$G$4,K$1,WORKDAY($A494,-1,config_Holiday_Calendar_US),WORKDAY($A494,-1,config_Holiday_Calendar_US)),IF(ISNUMBER(_xll.BDH(config!$G$4,K$1,$A494,$A494)),_xll.BDH(config!$G$4,K$1,$A494,$A494),_xll.BDH(config!$G$5,K$1,$A494,$A494))))</f>
        <v>#N/A Requesting Data...</v>
      </c>
      <c r="L494" s="8" t="str">
        <f>IF($A494="","",IF(ISNUMBER(FIND("IMPVOL",L$1)),_xll.BDH(config!$G$4,L$1,WORKDAY($A494,-1,config_Holiday_Calendar_US),WORKDAY($A494,-1,config_Holiday_Calendar_US)),IF(ISNUMBER(_xll.BDH(config!$G$4,L$1,$A494,$A494)),_xll.BDH(config!$G$4,L$1,$A494,$A494),_xll.BDH(config!$G$5,L$1,$A494,$A494))))</f>
        <v>#N/A Requesting Data...</v>
      </c>
      <c r="M494" s="8" t="str">
        <f>IF($A494="","",IF(ISNUMBER(FIND("IMPVOL",M$1)),_xll.BDH(config!$G$4,M$1,WORKDAY($A494,-1,config_Holiday_Calendar_US),WORKDAY($A494,-1,config_Holiday_Calendar_US)),IF(ISNUMBER(_xll.BDH(config!$G$4,M$1,$A494,$A494)),_xll.BDH(config!$G$4,M$1,$A494,$A494),_xll.BDH(config!$G$5,M$1,$A494,$A494))))</f>
        <v>#N/A Requesting Data...</v>
      </c>
      <c r="N494" s="8" t="str">
        <f>IF($A494="","",IF(ISNUMBER(FIND("IMPVOL",N$1)),_xll.BDH(config!$G$4,N$1,WORKDAY($A494,-1,config_Holiday_Calendar_US),WORKDAY($A494,-1,config_Holiday_Calendar_US)),IF(ISNUMBER(_xll.BDH(config!$G$4,N$1,$A494,$A494)),_xll.BDH(config!$G$4,N$1,$A494,$A494),_xll.BDH(config!$G$5,N$1,$A494,$A494))))</f>
        <v>#N/A Requesting Data...</v>
      </c>
      <c r="O494" s="8" t="str">
        <f>IF($A494="","",IF(ISNUMBER(FIND("IMPVOL",O$1)),_xll.BDH(config!$G$4,O$1,WORKDAY($A494,-1,config_Holiday_Calendar_US),WORKDAY($A494,-1,config_Holiday_Calendar_US)),IF(ISNUMBER(_xll.BDH(config!$G$4,O$1,$A494,$A494)),_xll.BDH(config!$G$4,O$1,$A494,$A494),_xll.BDH(config!$G$5,O$1,$A494,$A494))))</f>
        <v>#N/A Requesting Data...</v>
      </c>
      <c r="P494" s="8" t="str">
        <f>IF($A494="","",IF(ISNUMBER(FIND("IMPVOL",P$1)),_xll.BDH(config!$G$4,P$1,WORKDAY($A494,-1,config_Holiday_Calendar_US),WORKDAY($A494,-1,config_Holiday_Calendar_US)),IF(ISNUMBER(_xll.BDH(config!$G$4,P$1,$A494,$A494)),_xll.BDH(config!$G$4,P$1,$A494,$A494),_xll.BDH(config!$G$5,P$1,$A494,$A494))))</f>
        <v>#N/A Requesting Data...</v>
      </c>
      <c r="Q494" s="8" t="str">
        <f>IF($A494="","",IF(ISNUMBER(FIND("IMPVOL",Q$1)),_xll.BDH(config!$G$4,Q$1,WORKDAY($A494,-1,config_Holiday_Calendar_US),WORKDAY($A494,-1,config_Holiday_Calendar_US)),IF(ISNUMBER(_xll.BDH(config!$G$4,Q$1,$A494,$A494)),_xll.BDH(config!$G$4,Q$1,$A494,$A494),_xll.BDH(config!$G$5,Q$1,$A494,$A494))))</f>
        <v>#N/A Requesting Data...</v>
      </c>
      <c r="R494" s="8" t="str">
        <f>IF($A494="","",IF(ISNUMBER(FIND("IMPVOL",R$1)),_xll.BDH(config!$G$4,R$1,WORKDAY($A494,-1,config_Holiday_Calendar_US),WORKDAY($A494,-1,config_Holiday_Calendar_US)),IF(ISNUMBER(_xll.BDH(config!$G$4,R$1,$A494,$A494)),_xll.BDH(config!$G$4,R$1,$A494,$A494),_xll.BDH(config!$G$5,R$1,$A494,$A494))))</f>
        <v>#N/A Requesting Data...</v>
      </c>
      <c r="S494" s="8" t="str">
        <f>IF($A494="","",IF(ISNUMBER(FIND("IMPVOL",S$1)),_xll.BDH(config!$G$4,S$1,WORKDAY($A494,-1,config_Holiday_Calendar_US),WORKDAY($A494,-1,config_Holiday_Calendar_US)),IF(ISNUMBER(_xll.BDH(config!$G$4,S$1,$A494,$A494)),_xll.BDH(config!$G$4,S$1,$A494,$A494),_xll.BDH(config!$G$5,S$1,$A494,$A494))))</f>
        <v>#N/A Requesting Data...</v>
      </c>
      <c r="T494" s="8" t="str">
        <f>IF($A494="","",IF(ISNUMBER(FIND("IMPVOL",T$1)),_xll.BDH(config!$G$4,T$1,WORKDAY($A494,-1,config_Holiday_Calendar_US),WORKDAY($A494,-1,config_Holiday_Calendar_US)),IF(ISNUMBER(_xll.BDH(config!$G$4,T$1,$A494,$A494)),_xll.BDH(config!$G$4,T$1,$A494,$A494),_xll.BDH(config!$G$5,T$1,$A494,$A494))))</f>
        <v>#N/A Requesting Data...</v>
      </c>
      <c r="U494" s="8" t="str">
        <f>IF($A494="","",IF(ISNUMBER(FIND("IMPVOL",U$1)),_xll.BDH(config!$G$4,U$1,WORKDAY($A494,-1,config_Holiday_Calendar_US),WORKDAY($A494,-1,config_Holiday_Calendar_US)),IF(ISNUMBER(_xll.BDH(config!$G$4,U$1,$A494,$A494)),_xll.BDH(config!$G$4,U$1,$A494,$A494),_xll.BDH(config!$G$5,U$1,$A494,$A494))))</f>
        <v>#N/A Requesting Data...</v>
      </c>
      <c r="V494" s="8" t="str">
        <f>IF($A494="","",IF(ISNUMBER(FIND("IMPVOL",V$1)),_xll.BDH(config!$G$4,V$1,WORKDAY($A494,-1,config_Holiday_Calendar_US),WORKDAY($A494,-1,config_Holiday_Calendar_US)),IF(ISNUMBER(_xll.BDH(config!$G$4,V$1,$A494,$A494)),_xll.BDH(config!$G$4,V$1,$A494,$A494),_xll.BDH(config!$G$5,V$1,$A494,$A494))))</f>
        <v>#N/A Requesting Data...</v>
      </c>
      <c r="W494" s="8" t="str">
        <f>IF($A494="","",IF(ISNUMBER(FIND("IMPVOL",W$1)),_xll.BDH(config!$G$4,W$1,WORKDAY($A494,-1,config_Holiday_Calendar_US),WORKDAY($A494,-1,config_Holiday_Calendar_US)),IF(ISNUMBER(_xll.BDH(config!$G$4,W$1,$A494,$A494)),_xll.BDH(config!$G$4,W$1,$A494,$A494),_xll.BDH(config!$G$5,W$1,$A494,$A494))))</f>
        <v>#N/A Requesting Data...</v>
      </c>
    </row>
    <row r="495" spans="1:23" x14ac:dyDescent="0.2">
      <c r="A495" s="9">
        <f>IF(A494="","",IF(WORKDAY(A494,-1,config_Holiday_Calendar_US)&lt;config!$I$10,"",WORKDAY(A494,-1,config_Holiday_Calendar_US)))</f>
        <v>42111</v>
      </c>
      <c r="B495" s="8" t="e">
        <f t="shared" si="7"/>
        <v>#VALUE!</v>
      </c>
      <c r="C495" s="8" t="str">
        <f>IF(A495="","",_xll.BDH(config!$H$4,C$1,$A495,$A495))</f>
        <v>#N/A Requesting Data...</v>
      </c>
      <c r="D495" s="8" t="str">
        <f>IF($A495="","",_xll.BDH(config!$H$4,D$1,$A495,$A495))</f>
        <v>#N/A Requesting Data...</v>
      </c>
      <c r="E495" s="8">
        <f>IF($A495="","",IF(ISNUMBER(FIND("IMPVOL",E$1)),_xll.BDH(config!$G$4,E$1,WORKDAY($A495,-1,config_Holiday_Calendar_US),WORKDAY($A495,-1,config_Holiday_Calendar_US)),IF(ISNUMBER(_xll.BDH(config!$G$4,E$1,$A495,$A495)),_xll.BDH(config!$G$4,E$1,$A495,$A495),_xll.BDH(config!$G$5,E$1,$A495,$A495))))</f>
        <v>56.56</v>
      </c>
      <c r="F495" s="8">
        <f>IF($A495="","",IF(ISNUMBER(FIND("IMPVOL",F$1)),_xll.BDH(config!$G$4,F$1,WORKDAY($A495,-1,config_Holiday_Calendar_US),WORKDAY($A495,-1,config_Holiday_Calendar_US)),IF(ISNUMBER(_xll.BDH(config!$G$4,F$1,$A495,$A495)),_xll.BDH(config!$G$4,F$1,$A495,$A495),_xll.BDH(config!$G$5,F$1,$A495,$A495))))</f>
        <v>56.88</v>
      </c>
      <c r="G495" s="8" t="str">
        <f>IF($A495="","",IF(ISNUMBER(FIND("IMPVOL",G$1)),_xll.BDH(config!$G$4,G$1,WORKDAY($A495,-1,config_Holiday_Calendar_US),WORKDAY($A495,-1,config_Holiday_Calendar_US)),IF(ISNUMBER(_xll.BDH(config!$G$4,G$1,$A495,$A495)),_xll.BDH(config!$G$4,G$1,$A495,$A495),_xll.BDH(config!$G$5,G$1,$A495,$A495))))</f>
        <v>#N/A Requesting Data...</v>
      </c>
      <c r="H495" s="8" t="str">
        <f>IF($A495="","",IF(ISNUMBER(FIND("IMPVOL",H$1)),_xll.BDH(config!$G$4,H$1,WORKDAY($A495,-1,config_Holiday_Calendar_US),WORKDAY($A495,-1,config_Holiday_Calendar_US)),IF(ISNUMBER(_xll.BDH(config!$G$4,H$1,$A495,$A495)),_xll.BDH(config!$G$4,H$1,$A495,$A495),_xll.BDH(config!$G$5,H$1,$A495,$A495))))</f>
        <v>#N/A Requesting Data...</v>
      </c>
      <c r="I495" s="8" t="str">
        <f>IF($A495="","",IF(ISNUMBER(FIND("IMPVOL",I$1)),_xll.BDH(config!$G$4,I$1,WORKDAY($A495,-1,config_Holiday_Calendar_US),WORKDAY($A495,-1,config_Holiday_Calendar_US)),IF(ISNUMBER(_xll.BDH(config!$G$4,I$1,$A495,$A495)),_xll.BDH(config!$G$4,I$1,$A495,$A495),_xll.BDH(config!$G$5,I$1,$A495,$A495))))</f>
        <v>#N/A Requesting Data...</v>
      </c>
      <c r="J495" s="8" t="str">
        <f>IF($A495="","",IF(ISNUMBER(FIND("IMPVOL",J$1)),_xll.BDH(config!$G$4,J$1,WORKDAY($A495,-1,config_Holiday_Calendar_US),WORKDAY($A495,-1,config_Holiday_Calendar_US)),IF(ISNUMBER(_xll.BDH(config!$G$4,J$1,$A495,$A495)),_xll.BDH(config!$G$4,J$1,$A495,$A495),_xll.BDH(config!$G$5,J$1,$A495,$A495))))</f>
        <v>#N/A Requesting Data...</v>
      </c>
      <c r="K495" s="8" t="str">
        <f>IF($A495="","",IF(ISNUMBER(FIND("IMPVOL",K$1)),_xll.BDH(config!$G$4,K$1,WORKDAY($A495,-1,config_Holiday_Calendar_US),WORKDAY($A495,-1,config_Holiday_Calendar_US)),IF(ISNUMBER(_xll.BDH(config!$G$4,K$1,$A495,$A495)),_xll.BDH(config!$G$4,K$1,$A495,$A495),_xll.BDH(config!$G$5,K$1,$A495,$A495))))</f>
        <v>#N/A Requesting Data...</v>
      </c>
      <c r="L495" s="8" t="str">
        <f>IF($A495="","",IF(ISNUMBER(FIND("IMPVOL",L$1)),_xll.BDH(config!$G$4,L$1,WORKDAY($A495,-1,config_Holiday_Calendar_US),WORKDAY($A495,-1,config_Holiday_Calendar_US)),IF(ISNUMBER(_xll.BDH(config!$G$4,L$1,$A495,$A495)),_xll.BDH(config!$G$4,L$1,$A495,$A495),_xll.BDH(config!$G$5,L$1,$A495,$A495))))</f>
        <v>#N/A Requesting Data...</v>
      </c>
      <c r="M495" s="8" t="str">
        <f>IF($A495="","",IF(ISNUMBER(FIND("IMPVOL",M$1)),_xll.BDH(config!$G$4,M$1,WORKDAY($A495,-1,config_Holiday_Calendar_US),WORKDAY($A495,-1,config_Holiday_Calendar_US)),IF(ISNUMBER(_xll.BDH(config!$G$4,M$1,$A495,$A495)),_xll.BDH(config!$G$4,M$1,$A495,$A495),_xll.BDH(config!$G$5,M$1,$A495,$A495))))</f>
        <v>#N/A Requesting Data...</v>
      </c>
      <c r="N495" s="8" t="str">
        <f>IF($A495="","",IF(ISNUMBER(FIND("IMPVOL",N$1)),_xll.BDH(config!$G$4,N$1,WORKDAY($A495,-1,config_Holiday_Calendar_US),WORKDAY($A495,-1,config_Holiday_Calendar_US)),IF(ISNUMBER(_xll.BDH(config!$G$4,N$1,$A495,$A495)),_xll.BDH(config!$G$4,N$1,$A495,$A495),_xll.BDH(config!$G$5,N$1,$A495,$A495))))</f>
        <v>#N/A Requesting Data...</v>
      </c>
      <c r="O495" s="8" t="str">
        <f>IF($A495="","",IF(ISNUMBER(FIND("IMPVOL",O$1)),_xll.BDH(config!$G$4,O$1,WORKDAY($A495,-1,config_Holiday_Calendar_US),WORKDAY($A495,-1,config_Holiday_Calendar_US)),IF(ISNUMBER(_xll.BDH(config!$G$4,O$1,$A495,$A495)),_xll.BDH(config!$G$4,O$1,$A495,$A495),_xll.BDH(config!$G$5,O$1,$A495,$A495))))</f>
        <v>#N/A Requesting Data...</v>
      </c>
      <c r="P495" s="8" t="str">
        <f>IF($A495="","",IF(ISNUMBER(FIND("IMPVOL",P$1)),_xll.BDH(config!$G$4,P$1,WORKDAY($A495,-1,config_Holiday_Calendar_US),WORKDAY($A495,-1,config_Holiday_Calendar_US)),IF(ISNUMBER(_xll.BDH(config!$G$4,P$1,$A495,$A495)),_xll.BDH(config!$G$4,P$1,$A495,$A495),_xll.BDH(config!$G$5,P$1,$A495,$A495))))</f>
        <v>#N/A Requesting Data...</v>
      </c>
      <c r="Q495" s="8" t="str">
        <f>IF($A495="","",IF(ISNUMBER(FIND("IMPVOL",Q$1)),_xll.BDH(config!$G$4,Q$1,WORKDAY($A495,-1,config_Holiday_Calendar_US),WORKDAY($A495,-1,config_Holiday_Calendar_US)),IF(ISNUMBER(_xll.BDH(config!$G$4,Q$1,$A495,$A495)),_xll.BDH(config!$G$4,Q$1,$A495,$A495),_xll.BDH(config!$G$5,Q$1,$A495,$A495))))</f>
        <v>#N/A Requesting Data...</v>
      </c>
      <c r="R495" s="8" t="str">
        <f>IF($A495="","",IF(ISNUMBER(FIND("IMPVOL",R$1)),_xll.BDH(config!$G$4,R$1,WORKDAY($A495,-1,config_Holiday_Calendar_US),WORKDAY($A495,-1,config_Holiday_Calendar_US)),IF(ISNUMBER(_xll.BDH(config!$G$4,R$1,$A495,$A495)),_xll.BDH(config!$G$4,R$1,$A495,$A495),_xll.BDH(config!$G$5,R$1,$A495,$A495))))</f>
        <v>#N/A Requesting Data...</v>
      </c>
      <c r="S495" s="8" t="str">
        <f>IF($A495="","",IF(ISNUMBER(FIND("IMPVOL",S$1)),_xll.BDH(config!$G$4,S$1,WORKDAY($A495,-1,config_Holiday_Calendar_US),WORKDAY($A495,-1,config_Holiday_Calendar_US)),IF(ISNUMBER(_xll.BDH(config!$G$4,S$1,$A495,$A495)),_xll.BDH(config!$G$4,S$1,$A495,$A495),_xll.BDH(config!$G$5,S$1,$A495,$A495))))</f>
        <v>#N/A Requesting Data...</v>
      </c>
      <c r="T495" s="8" t="str">
        <f>IF($A495="","",IF(ISNUMBER(FIND("IMPVOL",T$1)),_xll.BDH(config!$G$4,T$1,WORKDAY($A495,-1,config_Holiday_Calendar_US),WORKDAY($A495,-1,config_Holiday_Calendar_US)),IF(ISNUMBER(_xll.BDH(config!$G$4,T$1,$A495,$A495)),_xll.BDH(config!$G$4,T$1,$A495,$A495),_xll.BDH(config!$G$5,T$1,$A495,$A495))))</f>
        <v>#N/A Requesting Data...</v>
      </c>
      <c r="U495" s="8" t="str">
        <f>IF($A495="","",IF(ISNUMBER(FIND("IMPVOL",U$1)),_xll.BDH(config!$G$4,U$1,WORKDAY($A495,-1,config_Holiday_Calendar_US),WORKDAY($A495,-1,config_Holiday_Calendar_US)),IF(ISNUMBER(_xll.BDH(config!$G$4,U$1,$A495,$A495)),_xll.BDH(config!$G$4,U$1,$A495,$A495),_xll.BDH(config!$G$5,U$1,$A495,$A495))))</f>
        <v>#N/A Requesting Data...</v>
      </c>
      <c r="V495" s="8" t="str">
        <f>IF($A495="","",IF(ISNUMBER(FIND("IMPVOL",V$1)),_xll.BDH(config!$G$4,V$1,WORKDAY($A495,-1,config_Holiday_Calendar_US),WORKDAY($A495,-1,config_Holiday_Calendar_US)),IF(ISNUMBER(_xll.BDH(config!$G$4,V$1,$A495,$A495)),_xll.BDH(config!$G$4,V$1,$A495,$A495),_xll.BDH(config!$G$5,V$1,$A495,$A495))))</f>
        <v>#N/A Requesting Data...</v>
      </c>
      <c r="W495" s="8" t="str">
        <f>IF($A495="","",IF(ISNUMBER(FIND("IMPVOL",W$1)),_xll.BDH(config!$G$4,W$1,WORKDAY($A495,-1,config_Holiday_Calendar_US),WORKDAY($A495,-1,config_Holiday_Calendar_US)),IF(ISNUMBER(_xll.BDH(config!$G$4,W$1,$A495,$A495)),_xll.BDH(config!$G$4,W$1,$A495,$A495),_xll.BDH(config!$G$5,W$1,$A495,$A495))))</f>
        <v>#N/A Requesting Data...</v>
      </c>
    </row>
    <row r="496" spans="1:23" x14ac:dyDescent="0.2">
      <c r="A496" s="9">
        <f>IF(A495="","",IF(WORKDAY(A495,-1,config_Holiday_Calendar_US)&lt;config!$I$10,"",WORKDAY(A495,-1,config_Holiday_Calendar_US)))</f>
        <v>42110</v>
      </c>
      <c r="B496" s="8" t="e">
        <f t="shared" si="7"/>
        <v>#VALUE!</v>
      </c>
      <c r="C496" s="8" t="str">
        <f>IF(A496="","",_xll.BDH(config!$H$4,C$1,$A496,$A496))</f>
        <v>#N/A Requesting Data...</v>
      </c>
      <c r="D496" s="8" t="str">
        <f>IF($A496="","",_xll.BDH(config!$H$4,D$1,$A496,$A496))</f>
        <v>#N/A Requesting Data...</v>
      </c>
      <c r="E496" s="8">
        <f>IF($A496="","",IF(ISNUMBER(FIND("IMPVOL",E$1)),_xll.BDH(config!$G$4,E$1,WORKDAY($A496,-1,config_Holiday_Calendar_US),WORKDAY($A496,-1,config_Holiday_Calendar_US)),IF(ISNUMBER(_xll.BDH(config!$G$4,E$1,$A496,$A496)),_xll.BDH(config!$G$4,E$1,$A496,$A496),_xll.BDH(config!$G$5,E$1,$A496,$A496))))</f>
        <v>55.92</v>
      </c>
      <c r="F496" s="8">
        <f>IF($A496="","",IF(ISNUMBER(FIND("IMPVOL",F$1)),_xll.BDH(config!$G$4,F$1,WORKDAY($A496,-1,config_Holiday_Calendar_US),WORKDAY($A496,-1,config_Holiday_Calendar_US)),IF(ISNUMBER(_xll.BDH(config!$G$4,F$1,$A496,$A496)),_xll.BDH(config!$G$4,F$1,$A496,$A496),_xll.BDH(config!$G$5,F$1,$A496,$A496))))</f>
        <v>57.42</v>
      </c>
      <c r="G496" s="8" t="str">
        <f>IF($A496="","",IF(ISNUMBER(FIND("IMPVOL",G$1)),_xll.BDH(config!$G$4,G$1,WORKDAY($A496,-1,config_Holiday_Calendar_US),WORKDAY($A496,-1,config_Holiday_Calendar_US)),IF(ISNUMBER(_xll.BDH(config!$G$4,G$1,$A496,$A496)),_xll.BDH(config!$G$4,G$1,$A496,$A496),_xll.BDH(config!$G$5,G$1,$A496,$A496))))</f>
        <v>#N/A Requesting Data...</v>
      </c>
      <c r="H496" s="8" t="str">
        <f>IF($A496="","",IF(ISNUMBER(FIND("IMPVOL",H$1)),_xll.BDH(config!$G$4,H$1,WORKDAY($A496,-1,config_Holiday_Calendar_US),WORKDAY($A496,-1,config_Holiday_Calendar_US)),IF(ISNUMBER(_xll.BDH(config!$G$4,H$1,$A496,$A496)),_xll.BDH(config!$G$4,H$1,$A496,$A496),_xll.BDH(config!$G$5,H$1,$A496,$A496))))</f>
        <v>#N/A Requesting Data...</v>
      </c>
      <c r="I496" s="8" t="str">
        <f>IF($A496="","",IF(ISNUMBER(FIND("IMPVOL",I$1)),_xll.BDH(config!$G$4,I$1,WORKDAY($A496,-1,config_Holiday_Calendar_US),WORKDAY($A496,-1,config_Holiday_Calendar_US)),IF(ISNUMBER(_xll.BDH(config!$G$4,I$1,$A496,$A496)),_xll.BDH(config!$G$4,I$1,$A496,$A496),_xll.BDH(config!$G$5,I$1,$A496,$A496))))</f>
        <v>#N/A Requesting Data...</v>
      </c>
      <c r="J496" s="8" t="str">
        <f>IF($A496="","",IF(ISNUMBER(FIND("IMPVOL",J$1)),_xll.BDH(config!$G$4,J$1,WORKDAY($A496,-1,config_Holiday_Calendar_US),WORKDAY($A496,-1,config_Holiday_Calendar_US)),IF(ISNUMBER(_xll.BDH(config!$G$4,J$1,$A496,$A496)),_xll.BDH(config!$G$4,J$1,$A496,$A496),_xll.BDH(config!$G$5,J$1,$A496,$A496))))</f>
        <v>#N/A Requesting Data...</v>
      </c>
      <c r="K496" s="8" t="str">
        <f>IF($A496="","",IF(ISNUMBER(FIND("IMPVOL",K$1)),_xll.BDH(config!$G$4,K$1,WORKDAY($A496,-1,config_Holiday_Calendar_US),WORKDAY($A496,-1,config_Holiday_Calendar_US)),IF(ISNUMBER(_xll.BDH(config!$G$4,K$1,$A496,$A496)),_xll.BDH(config!$G$4,K$1,$A496,$A496),_xll.BDH(config!$G$5,K$1,$A496,$A496))))</f>
        <v>#N/A Requesting Data...</v>
      </c>
      <c r="L496" s="8" t="str">
        <f>IF($A496="","",IF(ISNUMBER(FIND("IMPVOL",L$1)),_xll.BDH(config!$G$4,L$1,WORKDAY($A496,-1,config_Holiday_Calendar_US),WORKDAY($A496,-1,config_Holiday_Calendar_US)),IF(ISNUMBER(_xll.BDH(config!$G$4,L$1,$A496,$A496)),_xll.BDH(config!$G$4,L$1,$A496,$A496),_xll.BDH(config!$G$5,L$1,$A496,$A496))))</f>
        <v>#N/A Requesting Data...</v>
      </c>
      <c r="M496" s="8" t="str">
        <f>IF($A496="","",IF(ISNUMBER(FIND("IMPVOL",M$1)),_xll.BDH(config!$G$4,M$1,WORKDAY($A496,-1,config_Holiday_Calendar_US),WORKDAY($A496,-1,config_Holiday_Calendar_US)),IF(ISNUMBER(_xll.BDH(config!$G$4,M$1,$A496,$A496)),_xll.BDH(config!$G$4,M$1,$A496,$A496),_xll.BDH(config!$G$5,M$1,$A496,$A496))))</f>
        <v>#N/A Requesting Data...</v>
      </c>
      <c r="N496" s="8" t="str">
        <f>IF($A496="","",IF(ISNUMBER(FIND("IMPVOL",N$1)),_xll.BDH(config!$G$4,N$1,WORKDAY($A496,-1,config_Holiday_Calendar_US),WORKDAY($A496,-1,config_Holiday_Calendar_US)),IF(ISNUMBER(_xll.BDH(config!$G$4,N$1,$A496,$A496)),_xll.BDH(config!$G$4,N$1,$A496,$A496),_xll.BDH(config!$G$5,N$1,$A496,$A496))))</f>
        <v>#N/A Requesting Data...</v>
      </c>
      <c r="O496" s="8" t="str">
        <f>IF($A496="","",IF(ISNUMBER(FIND("IMPVOL",O$1)),_xll.BDH(config!$G$4,O$1,WORKDAY($A496,-1,config_Holiday_Calendar_US),WORKDAY($A496,-1,config_Holiday_Calendar_US)),IF(ISNUMBER(_xll.BDH(config!$G$4,O$1,$A496,$A496)),_xll.BDH(config!$G$4,O$1,$A496,$A496),_xll.BDH(config!$G$5,O$1,$A496,$A496))))</f>
        <v>#N/A Requesting Data...</v>
      </c>
      <c r="P496" s="8" t="str">
        <f>IF($A496="","",IF(ISNUMBER(FIND("IMPVOL",P$1)),_xll.BDH(config!$G$4,P$1,WORKDAY($A496,-1,config_Holiday_Calendar_US),WORKDAY($A496,-1,config_Holiday_Calendar_US)),IF(ISNUMBER(_xll.BDH(config!$G$4,P$1,$A496,$A496)),_xll.BDH(config!$G$4,P$1,$A496,$A496),_xll.BDH(config!$G$5,P$1,$A496,$A496))))</f>
        <v>#N/A Requesting Data...</v>
      </c>
      <c r="Q496" s="8" t="str">
        <f>IF($A496="","",IF(ISNUMBER(FIND("IMPVOL",Q$1)),_xll.BDH(config!$G$4,Q$1,WORKDAY($A496,-1,config_Holiday_Calendar_US),WORKDAY($A496,-1,config_Holiday_Calendar_US)),IF(ISNUMBER(_xll.BDH(config!$G$4,Q$1,$A496,$A496)),_xll.BDH(config!$G$4,Q$1,$A496,$A496),_xll.BDH(config!$G$5,Q$1,$A496,$A496))))</f>
        <v>#N/A Requesting Data...</v>
      </c>
      <c r="R496" s="8" t="str">
        <f>IF($A496="","",IF(ISNUMBER(FIND("IMPVOL",R$1)),_xll.BDH(config!$G$4,R$1,WORKDAY($A496,-1,config_Holiday_Calendar_US),WORKDAY($A496,-1,config_Holiday_Calendar_US)),IF(ISNUMBER(_xll.BDH(config!$G$4,R$1,$A496,$A496)),_xll.BDH(config!$G$4,R$1,$A496,$A496),_xll.BDH(config!$G$5,R$1,$A496,$A496))))</f>
        <v>#N/A Requesting Data...</v>
      </c>
      <c r="S496" s="8" t="str">
        <f>IF($A496="","",IF(ISNUMBER(FIND("IMPVOL",S$1)),_xll.BDH(config!$G$4,S$1,WORKDAY($A496,-1,config_Holiday_Calendar_US),WORKDAY($A496,-1,config_Holiday_Calendar_US)),IF(ISNUMBER(_xll.BDH(config!$G$4,S$1,$A496,$A496)),_xll.BDH(config!$G$4,S$1,$A496,$A496),_xll.BDH(config!$G$5,S$1,$A496,$A496))))</f>
        <v>#N/A Requesting Data...</v>
      </c>
      <c r="T496" s="8" t="str">
        <f>IF($A496="","",IF(ISNUMBER(FIND("IMPVOL",T$1)),_xll.BDH(config!$G$4,T$1,WORKDAY($A496,-1,config_Holiday_Calendar_US),WORKDAY($A496,-1,config_Holiday_Calendar_US)),IF(ISNUMBER(_xll.BDH(config!$G$4,T$1,$A496,$A496)),_xll.BDH(config!$G$4,T$1,$A496,$A496),_xll.BDH(config!$G$5,T$1,$A496,$A496))))</f>
        <v>#N/A Requesting Data...</v>
      </c>
      <c r="U496" s="8" t="str">
        <f>IF($A496="","",IF(ISNUMBER(FIND("IMPVOL",U$1)),_xll.BDH(config!$G$4,U$1,WORKDAY($A496,-1,config_Holiday_Calendar_US),WORKDAY($A496,-1,config_Holiday_Calendar_US)),IF(ISNUMBER(_xll.BDH(config!$G$4,U$1,$A496,$A496)),_xll.BDH(config!$G$4,U$1,$A496,$A496),_xll.BDH(config!$G$5,U$1,$A496,$A496))))</f>
        <v>#N/A Requesting Data...</v>
      </c>
      <c r="V496" s="8" t="str">
        <f>IF($A496="","",IF(ISNUMBER(FIND("IMPVOL",V$1)),_xll.BDH(config!$G$4,V$1,WORKDAY($A496,-1,config_Holiday_Calendar_US),WORKDAY($A496,-1,config_Holiday_Calendar_US)),IF(ISNUMBER(_xll.BDH(config!$G$4,V$1,$A496,$A496)),_xll.BDH(config!$G$4,V$1,$A496,$A496),_xll.BDH(config!$G$5,V$1,$A496,$A496))))</f>
        <v>#N/A Requesting Data...</v>
      </c>
      <c r="W496" s="8" t="str">
        <f>IF($A496="","",IF(ISNUMBER(FIND("IMPVOL",W$1)),_xll.BDH(config!$G$4,W$1,WORKDAY($A496,-1,config_Holiday_Calendar_US),WORKDAY($A496,-1,config_Holiday_Calendar_US)),IF(ISNUMBER(_xll.BDH(config!$G$4,W$1,$A496,$A496)),_xll.BDH(config!$G$4,W$1,$A496,$A496),_xll.BDH(config!$G$5,W$1,$A496,$A496))))</f>
        <v>#N/A Requesting Data...</v>
      </c>
    </row>
    <row r="497" spans="1:23" x14ac:dyDescent="0.2">
      <c r="A497" s="9">
        <f>IF(A496="","",IF(WORKDAY(A496,-1,config_Holiday_Calendar_US)&lt;config!$I$10,"",WORKDAY(A496,-1,config_Holiday_Calendar_US)))</f>
        <v>42109</v>
      </c>
      <c r="B497" s="8" t="e">
        <f t="shared" si="7"/>
        <v>#VALUE!</v>
      </c>
      <c r="C497" s="8" t="str">
        <f>IF(A497="","",_xll.BDH(config!$H$4,C$1,$A497,$A497))</f>
        <v>#N/A Requesting Data...</v>
      </c>
      <c r="D497" s="8" t="str">
        <f>IF($A497="","",_xll.BDH(config!$H$4,D$1,$A497,$A497))</f>
        <v>#N/A Requesting Data...</v>
      </c>
      <c r="E497" s="8">
        <f>IF($A497="","",IF(ISNUMBER(FIND("IMPVOL",E$1)),_xll.BDH(config!$G$4,E$1,WORKDAY($A497,-1,config_Holiday_Calendar_US),WORKDAY($A497,-1,config_Holiday_Calendar_US)),IF(ISNUMBER(_xll.BDH(config!$G$4,E$1,$A497,$A497)),_xll.BDH(config!$G$4,E$1,$A497,$A497),_xll.BDH(config!$G$5,E$1,$A497,$A497))))</f>
        <v>53.55</v>
      </c>
      <c r="F497" s="8">
        <f>IF($A497="","",IF(ISNUMBER(FIND("IMPVOL",F$1)),_xll.BDH(config!$G$4,F$1,WORKDAY($A497,-1,config_Holiday_Calendar_US),WORKDAY($A497,-1,config_Holiday_Calendar_US)),IF(ISNUMBER(_xll.BDH(config!$G$4,F$1,$A497,$A497)),_xll.BDH(config!$G$4,F$1,$A497,$A497),_xll.BDH(config!$G$5,F$1,$A497,$A497))))</f>
        <v>56.69</v>
      </c>
      <c r="G497" s="8" t="str">
        <f>IF($A497="","",IF(ISNUMBER(FIND("IMPVOL",G$1)),_xll.BDH(config!$G$4,G$1,WORKDAY($A497,-1,config_Holiday_Calendar_US),WORKDAY($A497,-1,config_Holiday_Calendar_US)),IF(ISNUMBER(_xll.BDH(config!$G$4,G$1,$A497,$A497)),_xll.BDH(config!$G$4,G$1,$A497,$A497),_xll.BDH(config!$G$5,G$1,$A497,$A497))))</f>
        <v>#N/A Requesting Data...</v>
      </c>
      <c r="H497" s="8" t="str">
        <f>IF($A497="","",IF(ISNUMBER(FIND("IMPVOL",H$1)),_xll.BDH(config!$G$4,H$1,WORKDAY($A497,-1,config_Holiday_Calendar_US),WORKDAY($A497,-1,config_Holiday_Calendar_US)),IF(ISNUMBER(_xll.BDH(config!$G$4,H$1,$A497,$A497)),_xll.BDH(config!$G$4,H$1,$A497,$A497),_xll.BDH(config!$G$5,H$1,$A497,$A497))))</f>
        <v>#N/A Requesting Data...</v>
      </c>
      <c r="I497" s="8" t="str">
        <f>IF($A497="","",IF(ISNUMBER(FIND("IMPVOL",I$1)),_xll.BDH(config!$G$4,I$1,WORKDAY($A497,-1,config_Holiday_Calendar_US),WORKDAY($A497,-1,config_Holiday_Calendar_US)),IF(ISNUMBER(_xll.BDH(config!$G$4,I$1,$A497,$A497)),_xll.BDH(config!$G$4,I$1,$A497,$A497),_xll.BDH(config!$G$5,I$1,$A497,$A497))))</f>
        <v>#N/A Requesting Data...</v>
      </c>
      <c r="J497" s="8" t="str">
        <f>IF($A497="","",IF(ISNUMBER(FIND("IMPVOL",J$1)),_xll.BDH(config!$G$4,J$1,WORKDAY($A497,-1,config_Holiday_Calendar_US),WORKDAY($A497,-1,config_Holiday_Calendar_US)),IF(ISNUMBER(_xll.BDH(config!$G$4,J$1,$A497,$A497)),_xll.BDH(config!$G$4,J$1,$A497,$A497),_xll.BDH(config!$G$5,J$1,$A497,$A497))))</f>
        <v>#N/A Requesting Data...</v>
      </c>
      <c r="K497" s="8" t="str">
        <f>IF($A497="","",IF(ISNUMBER(FIND("IMPVOL",K$1)),_xll.BDH(config!$G$4,K$1,WORKDAY($A497,-1,config_Holiday_Calendar_US),WORKDAY($A497,-1,config_Holiday_Calendar_US)),IF(ISNUMBER(_xll.BDH(config!$G$4,K$1,$A497,$A497)),_xll.BDH(config!$G$4,K$1,$A497,$A497),_xll.BDH(config!$G$5,K$1,$A497,$A497))))</f>
        <v>#N/A Requesting Data...</v>
      </c>
      <c r="L497" s="8" t="str">
        <f>IF($A497="","",IF(ISNUMBER(FIND("IMPVOL",L$1)),_xll.BDH(config!$G$4,L$1,WORKDAY($A497,-1,config_Holiday_Calendar_US),WORKDAY($A497,-1,config_Holiday_Calendar_US)),IF(ISNUMBER(_xll.BDH(config!$G$4,L$1,$A497,$A497)),_xll.BDH(config!$G$4,L$1,$A497,$A497),_xll.BDH(config!$G$5,L$1,$A497,$A497))))</f>
        <v>#N/A Requesting Data...</v>
      </c>
      <c r="M497" s="8" t="str">
        <f>IF($A497="","",IF(ISNUMBER(FIND("IMPVOL",M$1)),_xll.BDH(config!$G$4,M$1,WORKDAY($A497,-1,config_Holiday_Calendar_US),WORKDAY($A497,-1,config_Holiday_Calendar_US)),IF(ISNUMBER(_xll.BDH(config!$G$4,M$1,$A497,$A497)),_xll.BDH(config!$G$4,M$1,$A497,$A497),_xll.BDH(config!$G$5,M$1,$A497,$A497))))</f>
        <v>#N/A Requesting Data...</v>
      </c>
      <c r="N497" s="8" t="str">
        <f>IF($A497="","",IF(ISNUMBER(FIND("IMPVOL",N$1)),_xll.BDH(config!$G$4,N$1,WORKDAY($A497,-1,config_Holiday_Calendar_US),WORKDAY($A497,-1,config_Holiday_Calendar_US)),IF(ISNUMBER(_xll.BDH(config!$G$4,N$1,$A497,$A497)),_xll.BDH(config!$G$4,N$1,$A497,$A497),_xll.BDH(config!$G$5,N$1,$A497,$A497))))</f>
        <v>#N/A Requesting Data...</v>
      </c>
      <c r="O497" s="8" t="str">
        <f>IF($A497="","",IF(ISNUMBER(FIND("IMPVOL",O$1)),_xll.BDH(config!$G$4,O$1,WORKDAY($A497,-1,config_Holiday_Calendar_US),WORKDAY($A497,-1,config_Holiday_Calendar_US)),IF(ISNUMBER(_xll.BDH(config!$G$4,O$1,$A497,$A497)),_xll.BDH(config!$G$4,O$1,$A497,$A497),_xll.BDH(config!$G$5,O$1,$A497,$A497))))</f>
        <v>#N/A Requesting Data...</v>
      </c>
      <c r="P497" s="8" t="str">
        <f>IF($A497="","",IF(ISNUMBER(FIND("IMPVOL",P$1)),_xll.BDH(config!$G$4,P$1,WORKDAY($A497,-1,config_Holiday_Calendar_US),WORKDAY($A497,-1,config_Holiday_Calendar_US)),IF(ISNUMBER(_xll.BDH(config!$G$4,P$1,$A497,$A497)),_xll.BDH(config!$G$4,P$1,$A497,$A497),_xll.BDH(config!$G$5,P$1,$A497,$A497))))</f>
        <v>#N/A Requesting Data...</v>
      </c>
      <c r="Q497" s="8" t="str">
        <f>IF($A497="","",IF(ISNUMBER(FIND("IMPVOL",Q$1)),_xll.BDH(config!$G$4,Q$1,WORKDAY($A497,-1,config_Holiday_Calendar_US),WORKDAY($A497,-1,config_Holiday_Calendar_US)),IF(ISNUMBER(_xll.BDH(config!$G$4,Q$1,$A497,$A497)),_xll.BDH(config!$G$4,Q$1,$A497,$A497),_xll.BDH(config!$G$5,Q$1,$A497,$A497))))</f>
        <v>#N/A Requesting Data...</v>
      </c>
      <c r="R497" s="8" t="str">
        <f>IF($A497="","",IF(ISNUMBER(FIND("IMPVOL",R$1)),_xll.BDH(config!$G$4,R$1,WORKDAY($A497,-1,config_Holiday_Calendar_US),WORKDAY($A497,-1,config_Holiday_Calendar_US)),IF(ISNUMBER(_xll.BDH(config!$G$4,R$1,$A497,$A497)),_xll.BDH(config!$G$4,R$1,$A497,$A497),_xll.BDH(config!$G$5,R$1,$A497,$A497))))</f>
        <v>#N/A Requesting Data...</v>
      </c>
      <c r="S497" s="8" t="str">
        <f>IF($A497="","",IF(ISNUMBER(FIND("IMPVOL",S$1)),_xll.BDH(config!$G$4,S$1,WORKDAY($A497,-1,config_Holiday_Calendar_US),WORKDAY($A497,-1,config_Holiday_Calendar_US)),IF(ISNUMBER(_xll.BDH(config!$G$4,S$1,$A497,$A497)),_xll.BDH(config!$G$4,S$1,$A497,$A497),_xll.BDH(config!$G$5,S$1,$A497,$A497))))</f>
        <v>#N/A Requesting Data...</v>
      </c>
      <c r="T497" s="8" t="str">
        <f>IF($A497="","",IF(ISNUMBER(FIND("IMPVOL",T$1)),_xll.BDH(config!$G$4,T$1,WORKDAY($A497,-1,config_Holiday_Calendar_US),WORKDAY($A497,-1,config_Holiday_Calendar_US)),IF(ISNUMBER(_xll.BDH(config!$G$4,T$1,$A497,$A497)),_xll.BDH(config!$G$4,T$1,$A497,$A497),_xll.BDH(config!$G$5,T$1,$A497,$A497))))</f>
        <v>#N/A Requesting Data...</v>
      </c>
      <c r="U497" s="8" t="str">
        <f>IF($A497="","",IF(ISNUMBER(FIND("IMPVOL",U$1)),_xll.BDH(config!$G$4,U$1,WORKDAY($A497,-1,config_Holiday_Calendar_US),WORKDAY($A497,-1,config_Holiday_Calendar_US)),IF(ISNUMBER(_xll.BDH(config!$G$4,U$1,$A497,$A497)),_xll.BDH(config!$G$4,U$1,$A497,$A497),_xll.BDH(config!$G$5,U$1,$A497,$A497))))</f>
        <v>#N/A Requesting Data...</v>
      </c>
      <c r="V497" s="8" t="str">
        <f>IF($A497="","",IF(ISNUMBER(FIND("IMPVOL",V$1)),_xll.BDH(config!$G$4,V$1,WORKDAY($A497,-1,config_Holiday_Calendar_US),WORKDAY($A497,-1,config_Holiday_Calendar_US)),IF(ISNUMBER(_xll.BDH(config!$G$4,V$1,$A497,$A497)),_xll.BDH(config!$G$4,V$1,$A497,$A497),_xll.BDH(config!$G$5,V$1,$A497,$A497))))</f>
        <v>#N/A Requesting Data...</v>
      </c>
      <c r="W497" s="8" t="str">
        <f>IF($A497="","",IF(ISNUMBER(FIND("IMPVOL",W$1)),_xll.BDH(config!$G$4,W$1,WORKDAY($A497,-1,config_Holiday_Calendar_US),WORKDAY($A497,-1,config_Holiday_Calendar_US)),IF(ISNUMBER(_xll.BDH(config!$G$4,W$1,$A497,$A497)),_xll.BDH(config!$G$4,W$1,$A497,$A497),_xll.BDH(config!$G$5,W$1,$A497,$A497))))</f>
        <v>#N/A Requesting Data...</v>
      </c>
    </row>
    <row r="498" spans="1:23" x14ac:dyDescent="0.2">
      <c r="A498" s="9">
        <f>IF(A497="","",IF(WORKDAY(A497,-1,config_Holiday_Calendar_US)&lt;config!$I$10,"",WORKDAY(A497,-1,config_Holiday_Calendar_US)))</f>
        <v>42108</v>
      </c>
      <c r="B498" s="8" t="e">
        <f t="shared" si="7"/>
        <v>#VALUE!</v>
      </c>
      <c r="C498" s="8" t="str">
        <f>IF(A498="","",_xll.BDH(config!$H$4,C$1,$A498,$A498))</f>
        <v>#N/A Requesting Data...</v>
      </c>
      <c r="D498" s="8" t="str">
        <f>IF($A498="","",_xll.BDH(config!$H$4,D$1,$A498,$A498))</f>
        <v>#N/A Requesting Data...</v>
      </c>
      <c r="E498" s="8">
        <f>IF($A498="","",IF(ISNUMBER(FIND("IMPVOL",E$1)),_xll.BDH(config!$G$4,E$1,WORKDAY($A498,-1,config_Holiday_Calendar_US),WORKDAY($A498,-1,config_Holiday_Calendar_US)),IF(ISNUMBER(_xll.BDH(config!$G$4,E$1,$A498,$A498)),_xll.BDH(config!$G$4,E$1,$A498,$A498),_xll.BDH(config!$G$5,E$1,$A498,$A498))))</f>
        <v>52.05</v>
      </c>
      <c r="F498" s="8">
        <f>IF($A498="","",IF(ISNUMBER(FIND("IMPVOL",F$1)),_xll.BDH(config!$G$4,F$1,WORKDAY($A498,-1,config_Holiday_Calendar_US),WORKDAY($A498,-1,config_Holiday_Calendar_US)),IF(ISNUMBER(_xll.BDH(config!$G$4,F$1,$A498,$A498)),_xll.BDH(config!$G$4,F$1,$A498,$A498),_xll.BDH(config!$G$5,F$1,$A498,$A498))))</f>
        <v>53.79</v>
      </c>
      <c r="G498" s="8" t="str">
        <f>IF($A498="","",IF(ISNUMBER(FIND("IMPVOL",G$1)),_xll.BDH(config!$G$4,G$1,WORKDAY($A498,-1,config_Holiday_Calendar_US),WORKDAY($A498,-1,config_Holiday_Calendar_US)),IF(ISNUMBER(_xll.BDH(config!$G$4,G$1,$A498,$A498)),_xll.BDH(config!$G$4,G$1,$A498,$A498),_xll.BDH(config!$G$5,G$1,$A498,$A498))))</f>
        <v>#N/A Requesting Data...</v>
      </c>
      <c r="H498" s="8" t="str">
        <f>IF($A498="","",IF(ISNUMBER(FIND("IMPVOL",H$1)),_xll.BDH(config!$G$4,H$1,WORKDAY($A498,-1,config_Holiday_Calendar_US),WORKDAY($A498,-1,config_Holiday_Calendar_US)),IF(ISNUMBER(_xll.BDH(config!$G$4,H$1,$A498,$A498)),_xll.BDH(config!$G$4,H$1,$A498,$A498),_xll.BDH(config!$G$5,H$1,$A498,$A498))))</f>
        <v>#N/A Requesting Data...</v>
      </c>
      <c r="I498" s="8" t="str">
        <f>IF($A498="","",IF(ISNUMBER(FIND("IMPVOL",I$1)),_xll.BDH(config!$G$4,I$1,WORKDAY($A498,-1,config_Holiday_Calendar_US),WORKDAY($A498,-1,config_Holiday_Calendar_US)),IF(ISNUMBER(_xll.BDH(config!$G$4,I$1,$A498,$A498)),_xll.BDH(config!$G$4,I$1,$A498,$A498),_xll.BDH(config!$G$5,I$1,$A498,$A498))))</f>
        <v>#N/A Requesting Data...</v>
      </c>
      <c r="J498" s="8" t="str">
        <f>IF($A498="","",IF(ISNUMBER(FIND("IMPVOL",J$1)),_xll.BDH(config!$G$4,J$1,WORKDAY($A498,-1,config_Holiday_Calendar_US),WORKDAY($A498,-1,config_Holiday_Calendar_US)),IF(ISNUMBER(_xll.BDH(config!$G$4,J$1,$A498,$A498)),_xll.BDH(config!$G$4,J$1,$A498,$A498),_xll.BDH(config!$G$5,J$1,$A498,$A498))))</f>
        <v>#N/A Requesting Data...</v>
      </c>
      <c r="K498" s="8" t="str">
        <f>IF($A498="","",IF(ISNUMBER(FIND("IMPVOL",K$1)),_xll.BDH(config!$G$4,K$1,WORKDAY($A498,-1,config_Holiday_Calendar_US),WORKDAY($A498,-1,config_Holiday_Calendar_US)),IF(ISNUMBER(_xll.BDH(config!$G$4,K$1,$A498,$A498)),_xll.BDH(config!$G$4,K$1,$A498,$A498),_xll.BDH(config!$G$5,K$1,$A498,$A498))))</f>
        <v>#N/A Requesting Data...</v>
      </c>
      <c r="L498" s="8" t="str">
        <f>IF($A498="","",IF(ISNUMBER(FIND("IMPVOL",L$1)),_xll.BDH(config!$G$4,L$1,WORKDAY($A498,-1,config_Holiday_Calendar_US),WORKDAY($A498,-1,config_Holiday_Calendar_US)),IF(ISNUMBER(_xll.BDH(config!$G$4,L$1,$A498,$A498)),_xll.BDH(config!$G$4,L$1,$A498,$A498),_xll.BDH(config!$G$5,L$1,$A498,$A498))))</f>
        <v>#N/A Requesting Data...</v>
      </c>
      <c r="M498" s="8" t="str">
        <f>IF($A498="","",IF(ISNUMBER(FIND("IMPVOL",M$1)),_xll.BDH(config!$G$4,M$1,WORKDAY($A498,-1,config_Holiday_Calendar_US),WORKDAY($A498,-1,config_Holiday_Calendar_US)),IF(ISNUMBER(_xll.BDH(config!$G$4,M$1,$A498,$A498)),_xll.BDH(config!$G$4,M$1,$A498,$A498),_xll.BDH(config!$G$5,M$1,$A498,$A498))))</f>
        <v>#N/A Requesting Data...</v>
      </c>
      <c r="N498" s="8" t="str">
        <f>IF($A498="","",IF(ISNUMBER(FIND("IMPVOL",N$1)),_xll.BDH(config!$G$4,N$1,WORKDAY($A498,-1,config_Holiday_Calendar_US),WORKDAY($A498,-1,config_Holiday_Calendar_US)),IF(ISNUMBER(_xll.BDH(config!$G$4,N$1,$A498,$A498)),_xll.BDH(config!$G$4,N$1,$A498,$A498),_xll.BDH(config!$G$5,N$1,$A498,$A498))))</f>
        <v>#N/A Requesting Data...</v>
      </c>
      <c r="O498" s="8" t="str">
        <f>IF($A498="","",IF(ISNUMBER(FIND("IMPVOL",O$1)),_xll.BDH(config!$G$4,O$1,WORKDAY($A498,-1,config_Holiday_Calendar_US),WORKDAY($A498,-1,config_Holiday_Calendar_US)),IF(ISNUMBER(_xll.BDH(config!$G$4,O$1,$A498,$A498)),_xll.BDH(config!$G$4,O$1,$A498,$A498),_xll.BDH(config!$G$5,O$1,$A498,$A498))))</f>
        <v>#N/A Requesting Data...</v>
      </c>
      <c r="P498" s="8" t="str">
        <f>IF($A498="","",IF(ISNUMBER(FIND("IMPVOL",P$1)),_xll.BDH(config!$G$4,P$1,WORKDAY($A498,-1,config_Holiday_Calendar_US),WORKDAY($A498,-1,config_Holiday_Calendar_US)),IF(ISNUMBER(_xll.BDH(config!$G$4,P$1,$A498,$A498)),_xll.BDH(config!$G$4,P$1,$A498,$A498),_xll.BDH(config!$G$5,P$1,$A498,$A498))))</f>
        <v>#N/A Requesting Data...</v>
      </c>
      <c r="Q498" s="8" t="str">
        <f>IF($A498="","",IF(ISNUMBER(FIND("IMPVOL",Q$1)),_xll.BDH(config!$G$4,Q$1,WORKDAY($A498,-1,config_Holiday_Calendar_US),WORKDAY($A498,-1,config_Holiday_Calendar_US)),IF(ISNUMBER(_xll.BDH(config!$G$4,Q$1,$A498,$A498)),_xll.BDH(config!$G$4,Q$1,$A498,$A498),_xll.BDH(config!$G$5,Q$1,$A498,$A498))))</f>
        <v>#N/A Requesting Data...</v>
      </c>
      <c r="R498" s="8" t="str">
        <f>IF($A498="","",IF(ISNUMBER(FIND("IMPVOL",R$1)),_xll.BDH(config!$G$4,R$1,WORKDAY($A498,-1,config_Holiday_Calendar_US),WORKDAY($A498,-1,config_Holiday_Calendar_US)),IF(ISNUMBER(_xll.BDH(config!$G$4,R$1,$A498,$A498)),_xll.BDH(config!$G$4,R$1,$A498,$A498),_xll.BDH(config!$G$5,R$1,$A498,$A498))))</f>
        <v>#N/A Requesting Data...</v>
      </c>
      <c r="S498" s="8" t="str">
        <f>IF($A498="","",IF(ISNUMBER(FIND("IMPVOL",S$1)),_xll.BDH(config!$G$4,S$1,WORKDAY($A498,-1,config_Holiday_Calendar_US),WORKDAY($A498,-1,config_Holiday_Calendar_US)),IF(ISNUMBER(_xll.BDH(config!$G$4,S$1,$A498,$A498)),_xll.BDH(config!$G$4,S$1,$A498,$A498),_xll.BDH(config!$G$5,S$1,$A498,$A498))))</f>
        <v>#N/A Requesting Data...</v>
      </c>
      <c r="T498" s="8" t="str">
        <f>IF($A498="","",IF(ISNUMBER(FIND("IMPVOL",T$1)),_xll.BDH(config!$G$4,T$1,WORKDAY($A498,-1,config_Holiday_Calendar_US),WORKDAY($A498,-1,config_Holiday_Calendar_US)),IF(ISNUMBER(_xll.BDH(config!$G$4,T$1,$A498,$A498)),_xll.BDH(config!$G$4,T$1,$A498,$A498),_xll.BDH(config!$G$5,T$1,$A498,$A498))))</f>
        <v>#N/A Requesting Data...</v>
      </c>
      <c r="U498" s="8" t="str">
        <f>IF($A498="","",IF(ISNUMBER(FIND("IMPVOL",U$1)),_xll.BDH(config!$G$4,U$1,WORKDAY($A498,-1,config_Holiday_Calendar_US),WORKDAY($A498,-1,config_Holiday_Calendar_US)),IF(ISNUMBER(_xll.BDH(config!$G$4,U$1,$A498,$A498)),_xll.BDH(config!$G$4,U$1,$A498,$A498),_xll.BDH(config!$G$5,U$1,$A498,$A498))))</f>
        <v>#N/A Requesting Data...</v>
      </c>
      <c r="V498" s="8" t="str">
        <f>IF($A498="","",IF(ISNUMBER(FIND("IMPVOL",V$1)),_xll.BDH(config!$G$4,V$1,WORKDAY($A498,-1,config_Holiday_Calendar_US),WORKDAY($A498,-1,config_Holiday_Calendar_US)),IF(ISNUMBER(_xll.BDH(config!$G$4,V$1,$A498,$A498)),_xll.BDH(config!$G$4,V$1,$A498,$A498),_xll.BDH(config!$G$5,V$1,$A498,$A498))))</f>
        <v>#N/A Requesting Data...</v>
      </c>
      <c r="W498" s="8" t="str">
        <f>IF($A498="","",IF(ISNUMBER(FIND("IMPVOL",W$1)),_xll.BDH(config!$G$4,W$1,WORKDAY($A498,-1,config_Holiday_Calendar_US),WORKDAY($A498,-1,config_Holiday_Calendar_US)),IF(ISNUMBER(_xll.BDH(config!$G$4,W$1,$A498,$A498)),_xll.BDH(config!$G$4,W$1,$A498,$A498),_xll.BDH(config!$G$5,W$1,$A498,$A498))))</f>
        <v>#N/A Requesting Data...</v>
      </c>
    </row>
    <row r="499" spans="1:23" x14ac:dyDescent="0.2">
      <c r="A499" s="9">
        <f>IF(A498="","",IF(WORKDAY(A498,-1,config_Holiday_Calendar_US)&lt;config!$I$10,"",WORKDAY(A498,-1,config_Holiday_Calendar_US)))</f>
        <v>42107</v>
      </c>
      <c r="B499" s="8" t="e">
        <f t="shared" si="7"/>
        <v>#VALUE!</v>
      </c>
      <c r="C499" s="8" t="str">
        <f>IF(A499="","",_xll.BDH(config!$H$4,C$1,$A499,$A499))</f>
        <v>#N/A Requesting Data...</v>
      </c>
      <c r="D499" s="8" t="str">
        <f>IF($A499="","",_xll.BDH(config!$H$4,D$1,$A499,$A499))</f>
        <v>#N/A Requesting Data...</v>
      </c>
      <c r="E499" s="8">
        <f>IF($A499="","",IF(ISNUMBER(FIND("IMPVOL",E$1)),_xll.BDH(config!$G$4,E$1,WORKDAY($A499,-1,config_Holiday_Calendar_US),WORKDAY($A499,-1,config_Holiday_Calendar_US)),IF(ISNUMBER(_xll.BDH(config!$G$4,E$1,$A499,$A499)),_xll.BDH(config!$G$4,E$1,$A499,$A499),_xll.BDH(config!$G$5,E$1,$A499,$A499))))</f>
        <v>51.81</v>
      </c>
      <c r="F499" s="8">
        <f>IF($A499="","",IF(ISNUMBER(FIND("IMPVOL",F$1)),_xll.BDH(config!$G$4,F$1,WORKDAY($A499,-1,config_Holiday_Calendar_US),WORKDAY($A499,-1,config_Holiday_Calendar_US)),IF(ISNUMBER(_xll.BDH(config!$G$4,F$1,$A499,$A499)),_xll.BDH(config!$G$4,F$1,$A499,$A499),_xll.BDH(config!$G$5,F$1,$A499,$A499))))</f>
        <v>53.1</v>
      </c>
      <c r="G499" s="8" t="str">
        <f>IF($A499="","",IF(ISNUMBER(FIND("IMPVOL",G$1)),_xll.BDH(config!$G$4,G$1,WORKDAY($A499,-1,config_Holiday_Calendar_US),WORKDAY($A499,-1,config_Holiday_Calendar_US)),IF(ISNUMBER(_xll.BDH(config!$G$4,G$1,$A499,$A499)),_xll.BDH(config!$G$4,G$1,$A499,$A499),_xll.BDH(config!$G$5,G$1,$A499,$A499))))</f>
        <v>#N/A Requesting Data...</v>
      </c>
      <c r="H499" s="8" t="str">
        <f>IF($A499="","",IF(ISNUMBER(FIND("IMPVOL",H$1)),_xll.BDH(config!$G$4,H$1,WORKDAY($A499,-1,config_Holiday_Calendar_US),WORKDAY($A499,-1,config_Holiday_Calendar_US)),IF(ISNUMBER(_xll.BDH(config!$G$4,H$1,$A499,$A499)),_xll.BDH(config!$G$4,H$1,$A499,$A499),_xll.BDH(config!$G$5,H$1,$A499,$A499))))</f>
        <v>#N/A Requesting Data...</v>
      </c>
      <c r="I499" s="8" t="str">
        <f>IF($A499="","",IF(ISNUMBER(FIND("IMPVOL",I$1)),_xll.BDH(config!$G$4,I$1,WORKDAY($A499,-1,config_Holiday_Calendar_US),WORKDAY($A499,-1,config_Holiday_Calendar_US)),IF(ISNUMBER(_xll.BDH(config!$G$4,I$1,$A499,$A499)),_xll.BDH(config!$G$4,I$1,$A499,$A499),_xll.BDH(config!$G$5,I$1,$A499,$A499))))</f>
        <v>#N/A Requesting Data...</v>
      </c>
      <c r="J499" s="8" t="str">
        <f>IF($A499="","",IF(ISNUMBER(FIND("IMPVOL",J$1)),_xll.BDH(config!$G$4,J$1,WORKDAY($A499,-1,config_Holiday_Calendar_US),WORKDAY($A499,-1,config_Holiday_Calendar_US)),IF(ISNUMBER(_xll.BDH(config!$G$4,J$1,$A499,$A499)),_xll.BDH(config!$G$4,J$1,$A499,$A499),_xll.BDH(config!$G$5,J$1,$A499,$A499))))</f>
        <v>#N/A Requesting Data...</v>
      </c>
      <c r="K499" s="8" t="str">
        <f>IF($A499="","",IF(ISNUMBER(FIND("IMPVOL",K$1)),_xll.BDH(config!$G$4,K$1,WORKDAY($A499,-1,config_Holiday_Calendar_US),WORKDAY($A499,-1,config_Holiday_Calendar_US)),IF(ISNUMBER(_xll.BDH(config!$G$4,K$1,$A499,$A499)),_xll.BDH(config!$G$4,K$1,$A499,$A499),_xll.BDH(config!$G$5,K$1,$A499,$A499))))</f>
        <v>#N/A Requesting Data...</v>
      </c>
      <c r="L499" s="8" t="str">
        <f>IF($A499="","",IF(ISNUMBER(FIND("IMPVOL",L$1)),_xll.BDH(config!$G$4,L$1,WORKDAY($A499,-1,config_Holiday_Calendar_US),WORKDAY($A499,-1,config_Holiday_Calendar_US)),IF(ISNUMBER(_xll.BDH(config!$G$4,L$1,$A499,$A499)),_xll.BDH(config!$G$4,L$1,$A499,$A499),_xll.BDH(config!$G$5,L$1,$A499,$A499))))</f>
        <v>#N/A Requesting Data...</v>
      </c>
      <c r="M499" s="8" t="str">
        <f>IF($A499="","",IF(ISNUMBER(FIND("IMPVOL",M$1)),_xll.BDH(config!$G$4,M$1,WORKDAY($A499,-1,config_Holiday_Calendar_US),WORKDAY($A499,-1,config_Holiday_Calendar_US)),IF(ISNUMBER(_xll.BDH(config!$G$4,M$1,$A499,$A499)),_xll.BDH(config!$G$4,M$1,$A499,$A499),_xll.BDH(config!$G$5,M$1,$A499,$A499))))</f>
        <v>#N/A Requesting Data...</v>
      </c>
      <c r="N499" s="8" t="str">
        <f>IF($A499="","",IF(ISNUMBER(FIND("IMPVOL",N$1)),_xll.BDH(config!$G$4,N$1,WORKDAY($A499,-1,config_Holiday_Calendar_US),WORKDAY($A499,-1,config_Holiday_Calendar_US)),IF(ISNUMBER(_xll.BDH(config!$G$4,N$1,$A499,$A499)),_xll.BDH(config!$G$4,N$1,$A499,$A499),_xll.BDH(config!$G$5,N$1,$A499,$A499))))</f>
        <v>#N/A Requesting Data...</v>
      </c>
      <c r="O499" s="8" t="str">
        <f>IF($A499="","",IF(ISNUMBER(FIND("IMPVOL",O$1)),_xll.BDH(config!$G$4,O$1,WORKDAY($A499,-1,config_Holiday_Calendar_US),WORKDAY($A499,-1,config_Holiday_Calendar_US)),IF(ISNUMBER(_xll.BDH(config!$G$4,O$1,$A499,$A499)),_xll.BDH(config!$G$4,O$1,$A499,$A499),_xll.BDH(config!$G$5,O$1,$A499,$A499))))</f>
        <v>#N/A Requesting Data...</v>
      </c>
      <c r="P499" s="8" t="str">
        <f>IF($A499="","",IF(ISNUMBER(FIND("IMPVOL",P$1)),_xll.BDH(config!$G$4,P$1,WORKDAY($A499,-1,config_Holiday_Calendar_US),WORKDAY($A499,-1,config_Holiday_Calendar_US)),IF(ISNUMBER(_xll.BDH(config!$G$4,P$1,$A499,$A499)),_xll.BDH(config!$G$4,P$1,$A499,$A499),_xll.BDH(config!$G$5,P$1,$A499,$A499))))</f>
        <v>#N/A Requesting Data...</v>
      </c>
      <c r="Q499" s="8" t="str">
        <f>IF($A499="","",IF(ISNUMBER(FIND("IMPVOL",Q$1)),_xll.BDH(config!$G$4,Q$1,WORKDAY($A499,-1,config_Holiday_Calendar_US),WORKDAY($A499,-1,config_Holiday_Calendar_US)),IF(ISNUMBER(_xll.BDH(config!$G$4,Q$1,$A499,$A499)),_xll.BDH(config!$G$4,Q$1,$A499,$A499),_xll.BDH(config!$G$5,Q$1,$A499,$A499))))</f>
        <v>#N/A Requesting Data...</v>
      </c>
      <c r="R499" s="8" t="str">
        <f>IF($A499="","",IF(ISNUMBER(FIND("IMPVOL",R$1)),_xll.BDH(config!$G$4,R$1,WORKDAY($A499,-1,config_Holiday_Calendar_US),WORKDAY($A499,-1,config_Holiday_Calendar_US)),IF(ISNUMBER(_xll.BDH(config!$G$4,R$1,$A499,$A499)),_xll.BDH(config!$G$4,R$1,$A499,$A499),_xll.BDH(config!$G$5,R$1,$A499,$A499))))</f>
        <v>#N/A Requesting Data...</v>
      </c>
      <c r="S499" s="8" t="str">
        <f>IF($A499="","",IF(ISNUMBER(FIND("IMPVOL",S$1)),_xll.BDH(config!$G$4,S$1,WORKDAY($A499,-1,config_Holiday_Calendar_US),WORKDAY($A499,-1,config_Holiday_Calendar_US)),IF(ISNUMBER(_xll.BDH(config!$G$4,S$1,$A499,$A499)),_xll.BDH(config!$G$4,S$1,$A499,$A499),_xll.BDH(config!$G$5,S$1,$A499,$A499))))</f>
        <v>#N/A Requesting Data...</v>
      </c>
      <c r="T499" s="8" t="str">
        <f>IF($A499="","",IF(ISNUMBER(FIND("IMPVOL",T$1)),_xll.BDH(config!$G$4,T$1,WORKDAY($A499,-1,config_Holiday_Calendar_US),WORKDAY($A499,-1,config_Holiday_Calendar_US)),IF(ISNUMBER(_xll.BDH(config!$G$4,T$1,$A499,$A499)),_xll.BDH(config!$G$4,T$1,$A499,$A499),_xll.BDH(config!$G$5,T$1,$A499,$A499))))</f>
        <v>#N/A Requesting Data...</v>
      </c>
      <c r="U499" s="8" t="str">
        <f>IF($A499="","",IF(ISNUMBER(FIND("IMPVOL",U$1)),_xll.BDH(config!$G$4,U$1,WORKDAY($A499,-1,config_Holiday_Calendar_US),WORKDAY($A499,-1,config_Holiday_Calendar_US)),IF(ISNUMBER(_xll.BDH(config!$G$4,U$1,$A499,$A499)),_xll.BDH(config!$G$4,U$1,$A499,$A499),_xll.BDH(config!$G$5,U$1,$A499,$A499))))</f>
        <v>#N/A Requesting Data...</v>
      </c>
      <c r="V499" s="8" t="str">
        <f>IF($A499="","",IF(ISNUMBER(FIND("IMPVOL",V$1)),_xll.BDH(config!$G$4,V$1,WORKDAY($A499,-1,config_Holiday_Calendar_US),WORKDAY($A499,-1,config_Holiday_Calendar_US)),IF(ISNUMBER(_xll.BDH(config!$G$4,V$1,$A499,$A499)),_xll.BDH(config!$G$4,V$1,$A499,$A499),_xll.BDH(config!$G$5,V$1,$A499,$A499))))</f>
        <v>#N/A Requesting Data...</v>
      </c>
      <c r="W499" s="8" t="str">
        <f>IF($A499="","",IF(ISNUMBER(FIND("IMPVOL",W$1)),_xll.BDH(config!$G$4,W$1,WORKDAY($A499,-1,config_Holiday_Calendar_US),WORKDAY($A499,-1,config_Holiday_Calendar_US)),IF(ISNUMBER(_xll.BDH(config!$G$4,W$1,$A499,$A499)),_xll.BDH(config!$G$4,W$1,$A499,$A499),_xll.BDH(config!$G$5,W$1,$A499,$A499))))</f>
        <v>#N/A Requesting Data...</v>
      </c>
    </row>
    <row r="500" spans="1:23" x14ac:dyDescent="0.2">
      <c r="A500" s="9">
        <f>IF(A499="","",IF(WORKDAY(A499,-1,config_Holiday_Calendar_US)&lt;config!$I$10,"",WORKDAY(A499,-1,config_Holiday_Calendar_US)))</f>
        <v>42104</v>
      </c>
      <c r="B500" s="8" t="e">
        <f t="shared" si="7"/>
        <v>#VALUE!</v>
      </c>
      <c r="C500" s="8" t="str">
        <f>IF(A500="","",_xll.BDH(config!$H$4,C$1,$A500,$A500))</f>
        <v>#N/A Requesting Data...</v>
      </c>
      <c r="D500" s="8" t="str">
        <f>IF($A500="","",_xll.BDH(config!$H$4,D$1,$A500,$A500))</f>
        <v>#N/A Requesting Data...</v>
      </c>
      <c r="E500" s="8">
        <f>IF($A500="","",IF(ISNUMBER(FIND("IMPVOL",E$1)),_xll.BDH(config!$G$4,E$1,WORKDAY($A500,-1,config_Holiday_Calendar_US),WORKDAY($A500,-1,config_Holiday_Calendar_US)),IF(ISNUMBER(_xll.BDH(config!$G$4,E$1,$A500,$A500)),_xll.BDH(config!$G$4,E$1,$A500,$A500),_xll.BDH(config!$G$5,E$1,$A500,$A500))))</f>
        <v>50.73</v>
      </c>
      <c r="F500" s="8">
        <f>IF($A500="","",IF(ISNUMBER(FIND("IMPVOL",F$1)),_xll.BDH(config!$G$4,F$1,WORKDAY($A500,-1,config_Holiday_Calendar_US),WORKDAY($A500,-1,config_Holiday_Calendar_US)),IF(ISNUMBER(_xll.BDH(config!$G$4,F$1,$A500,$A500)),_xll.BDH(config!$G$4,F$1,$A500,$A500),_xll.BDH(config!$G$5,F$1,$A500,$A500))))</f>
        <v>51.93</v>
      </c>
      <c r="G500" s="8" t="str">
        <f>IF($A500="","",IF(ISNUMBER(FIND("IMPVOL",G$1)),_xll.BDH(config!$G$4,G$1,WORKDAY($A500,-1,config_Holiday_Calendar_US),WORKDAY($A500,-1,config_Holiday_Calendar_US)),IF(ISNUMBER(_xll.BDH(config!$G$4,G$1,$A500,$A500)),_xll.BDH(config!$G$4,G$1,$A500,$A500),_xll.BDH(config!$G$5,G$1,$A500,$A500))))</f>
        <v>#N/A Requesting Data...</v>
      </c>
      <c r="H500" s="8" t="str">
        <f>IF($A500="","",IF(ISNUMBER(FIND("IMPVOL",H$1)),_xll.BDH(config!$G$4,H$1,WORKDAY($A500,-1,config_Holiday_Calendar_US),WORKDAY($A500,-1,config_Holiday_Calendar_US)),IF(ISNUMBER(_xll.BDH(config!$G$4,H$1,$A500,$A500)),_xll.BDH(config!$G$4,H$1,$A500,$A500),_xll.BDH(config!$G$5,H$1,$A500,$A500))))</f>
        <v>#N/A Requesting Data...</v>
      </c>
      <c r="I500" s="8" t="str">
        <f>IF($A500="","",IF(ISNUMBER(FIND("IMPVOL",I$1)),_xll.BDH(config!$G$4,I$1,WORKDAY($A500,-1,config_Holiday_Calendar_US),WORKDAY($A500,-1,config_Holiday_Calendar_US)),IF(ISNUMBER(_xll.BDH(config!$G$4,I$1,$A500,$A500)),_xll.BDH(config!$G$4,I$1,$A500,$A500),_xll.BDH(config!$G$5,I$1,$A500,$A500))))</f>
        <v>#N/A Requesting Data...</v>
      </c>
      <c r="J500" s="8" t="str">
        <f>IF($A500="","",IF(ISNUMBER(FIND("IMPVOL",J$1)),_xll.BDH(config!$G$4,J$1,WORKDAY($A500,-1,config_Holiday_Calendar_US),WORKDAY($A500,-1,config_Holiday_Calendar_US)),IF(ISNUMBER(_xll.BDH(config!$G$4,J$1,$A500,$A500)),_xll.BDH(config!$G$4,J$1,$A500,$A500),_xll.BDH(config!$G$5,J$1,$A500,$A500))))</f>
        <v>#N/A Requesting Data...</v>
      </c>
      <c r="K500" s="8" t="str">
        <f>IF($A500="","",IF(ISNUMBER(FIND("IMPVOL",K$1)),_xll.BDH(config!$G$4,K$1,WORKDAY($A500,-1,config_Holiday_Calendar_US),WORKDAY($A500,-1,config_Holiday_Calendar_US)),IF(ISNUMBER(_xll.BDH(config!$G$4,K$1,$A500,$A500)),_xll.BDH(config!$G$4,K$1,$A500,$A500),_xll.BDH(config!$G$5,K$1,$A500,$A500))))</f>
        <v>#N/A Requesting Data...</v>
      </c>
      <c r="L500" s="8" t="str">
        <f>IF($A500="","",IF(ISNUMBER(FIND("IMPVOL",L$1)),_xll.BDH(config!$G$4,L$1,WORKDAY($A500,-1,config_Holiday_Calendar_US),WORKDAY($A500,-1,config_Holiday_Calendar_US)),IF(ISNUMBER(_xll.BDH(config!$G$4,L$1,$A500,$A500)),_xll.BDH(config!$G$4,L$1,$A500,$A500),_xll.BDH(config!$G$5,L$1,$A500,$A500))))</f>
        <v>#N/A Requesting Data...</v>
      </c>
      <c r="M500" s="8" t="str">
        <f>IF($A500="","",IF(ISNUMBER(FIND("IMPVOL",M$1)),_xll.BDH(config!$G$4,M$1,WORKDAY($A500,-1,config_Holiday_Calendar_US),WORKDAY($A500,-1,config_Holiday_Calendar_US)),IF(ISNUMBER(_xll.BDH(config!$G$4,M$1,$A500,$A500)),_xll.BDH(config!$G$4,M$1,$A500,$A500),_xll.BDH(config!$G$5,M$1,$A500,$A500))))</f>
        <v>#N/A Requesting Data...</v>
      </c>
      <c r="N500" s="8" t="str">
        <f>IF($A500="","",IF(ISNUMBER(FIND("IMPVOL",N$1)),_xll.BDH(config!$G$4,N$1,WORKDAY($A500,-1,config_Holiday_Calendar_US),WORKDAY($A500,-1,config_Holiday_Calendar_US)),IF(ISNUMBER(_xll.BDH(config!$G$4,N$1,$A500,$A500)),_xll.BDH(config!$G$4,N$1,$A500,$A500),_xll.BDH(config!$G$5,N$1,$A500,$A500))))</f>
        <v>#N/A Requesting Data...</v>
      </c>
      <c r="O500" s="8" t="str">
        <f>IF($A500="","",IF(ISNUMBER(FIND("IMPVOL",O$1)),_xll.BDH(config!$G$4,O$1,WORKDAY($A500,-1,config_Holiday_Calendar_US),WORKDAY($A500,-1,config_Holiday_Calendar_US)),IF(ISNUMBER(_xll.BDH(config!$G$4,O$1,$A500,$A500)),_xll.BDH(config!$G$4,O$1,$A500,$A500),_xll.BDH(config!$G$5,O$1,$A500,$A500))))</f>
        <v>#N/A Requesting Data...</v>
      </c>
      <c r="P500" s="8" t="str">
        <f>IF($A500="","",IF(ISNUMBER(FIND("IMPVOL",P$1)),_xll.BDH(config!$G$4,P$1,WORKDAY($A500,-1,config_Holiday_Calendar_US),WORKDAY($A500,-1,config_Holiday_Calendar_US)),IF(ISNUMBER(_xll.BDH(config!$G$4,P$1,$A500,$A500)),_xll.BDH(config!$G$4,P$1,$A500,$A500),_xll.BDH(config!$G$5,P$1,$A500,$A500))))</f>
        <v>#N/A Requesting Data...</v>
      </c>
      <c r="Q500" s="8" t="str">
        <f>IF($A500="","",IF(ISNUMBER(FIND("IMPVOL",Q$1)),_xll.BDH(config!$G$4,Q$1,WORKDAY($A500,-1,config_Holiday_Calendar_US),WORKDAY($A500,-1,config_Holiday_Calendar_US)),IF(ISNUMBER(_xll.BDH(config!$G$4,Q$1,$A500,$A500)),_xll.BDH(config!$G$4,Q$1,$A500,$A500),_xll.BDH(config!$G$5,Q$1,$A500,$A500))))</f>
        <v>#N/A Requesting Data...</v>
      </c>
      <c r="R500" s="8" t="str">
        <f>IF($A500="","",IF(ISNUMBER(FIND("IMPVOL",R$1)),_xll.BDH(config!$G$4,R$1,WORKDAY($A500,-1,config_Holiday_Calendar_US),WORKDAY($A500,-1,config_Holiday_Calendar_US)),IF(ISNUMBER(_xll.BDH(config!$G$4,R$1,$A500,$A500)),_xll.BDH(config!$G$4,R$1,$A500,$A500),_xll.BDH(config!$G$5,R$1,$A500,$A500))))</f>
        <v>#N/A Requesting Data...</v>
      </c>
      <c r="S500" s="8" t="str">
        <f>IF($A500="","",IF(ISNUMBER(FIND("IMPVOL",S$1)),_xll.BDH(config!$G$4,S$1,WORKDAY($A500,-1,config_Holiday_Calendar_US),WORKDAY($A500,-1,config_Holiday_Calendar_US)),IF(ISNUMBER(_xll.BDH(config!$G$4,S$1,$A500,$A500)),_xll.BDH(config!$G$4,S$1,$A500,$A500),_xll.BDH(config!$G$5,S$1,$A500,$A500))))</f>
        <v>#N/A Requesting Data...</v>
      </c>
      <c r="T500" s="8" t="str">
        <f>IF($A500="","",IF(ISNUMBER(FIND("IMPVOL",T$1)),_xll.BDH(config!$G$4,T$1,WORKDAY($A500,-1,config_Holiday_Calendar_US),WORKDAY($A500,-1,config_Holiday_Calendar_US)),IF(ISNUMBER(_xll.BDH(config!$G$4,T$1,$A500,$A500)),_xll.BDH(config!$G$4,T$1,$A500,$A500),_xll.BDH(config!$G$5,T$1,$A500,$A500))))</f>
        <v>#N/A Requesting Data...</v>
      </c>
      <c r="U500" s="8" t="str">
        <f>IF($A500="","",IF(ISNUMBER(FIND("IMPVOL",U$1)),_xll.BDH(config!$G$4,U$1,WORKDAY($A500,-1,config_Holiday_Calendar_US),WORKDAY($A500,-1,config_Holiday_Calendar_US)),IF(ISNUMBER(_xll.BDH(config!$G$4,U$1,$A500,$A500)),_xll.BDH(config!$G$4,U$1,$A500,$A500),_xll.BDH(config!$G$5,U$1,$A500,$A500))))</f>
        <v>#N/A Requesting Data...</v>
      </c>
      <c r="V500" s="8" t="str">
        <f>IF($A500="","",IF(ISNUMBER(FIND("IMPVOL",V$1)),_xll.BDH(config!$G$4,V$1,WORKDAY($A500,-1,config_Holiday_Calendar_US),WORKDAY($A500,-1,config_Holiday_Calendar_US)),IF(ISNUMBER(_xll.BDH(config!$G$4,V$1,$A500,$A500)),_xll.BDH(config!$G$4,V$1,$A500,$A500),_xll.BDH(config!$G$5,V$1,$A500,$A500))))</f>
        <v>#N/A Requesting Data...</v>
      </c>
      <c r="W500" s="8" t="str">
        <f>IF($A500="","",IF(ISNUMBER(FIND("IMPVOL",W$1)),_xll.BDH(config!$G$4,W$1,WORKDAY($A500,-1,config_Holiday_Calendar_US),WORKDAY($A500,-1,config_Holiday_Calendar_US)),IF(ISNUMBER(_xll.BDH(config!$G$4,W$1,$A500,$A500)),_xll.BDH(config!$G$4,W$1,$A500,$A500),_xll.BDH(config!$G$5,W$1,$A500,$A500))))</f>
        <v>#N/A Requesting Data...</v>
      </c>
    </row>
    <row r="501" spans="1:23" x14ac:dyDescent="0.2">
      <c r="A501" s="9" t="str">
        <f>IF(A500="","",IF(WORKDAY(A500,-1,config_Holiday_Calendar_US)&lt;config!$I$10,"",WORKDAY(A500,-1,config_Holiday_Calendar_US)))</f>
        <v/>
      </c>
      <c r="B501" s="8" t="str">
        <f t="shared" si="7"/>
        <v/>
      </c>
      <c r="C501" s="8" t="str">
        <f>IF(A501="","",_xll.BDH(config!$H$4,C$1,$A501,$A501))</f>
        <v/>
      </c>
      <c r="D501" s="8" t="str">
        <f>IF($A501="","",_xll.BDH(config!$H$4,D$1,$A501,$A501))</f>
        <v/>
      </c>
      <c r="E501" s="8" t="str">
        <f>IF($A501="","",IF(ISNUMBER(FIND("IMPVOL",E$1)),_xll.BDH(config!$G$4,E$1,WORKDAY($A501,-1,config_Holiday_Calendar_US),WORKDAY($A501,-1,config_Holiday_Calendar_US)),IF(ISNUMBER(_xll.BDH(config!$G$4,E$1,$A501,$A501)),_xll.BDH(config!$G$4,E$1,$A501,$A501),_xll.BDH(config!$G$5,E$1,$A501,$A501))))</f>
        <v/>
      </c>
      <c r="F501" s="8" t="str">
        <f>IF($A501="","",IF(ISNUMBER(FIND("IMPVOL",F$1)),_xll.BDH(config!$G$4,F$1,WORKDAY($A501,-1,config_Holiday_Calendar_US),WORKDAY($A501,-1,config_Holiday_Calendar_US)),IF(ISNUMBER(_xll.BDH(config!$G$4,F$1,$A501,$A501)),_xll.BDH(config!$G$4,F$1,$A501,$A501),_xll.BDH(config!$G$5,F$1,$A501,$A501))))</f>
        <v/>
      </c>
      <c r="G501" s="8" t="str">
        <f>IF($A501="","",IF(ISNUMBER(FIND("IMPVOL",G$1)),_xll.BDH(config!$G$4,G$1,WORKDAY($A501,-1,config_Holiday_Calendar_US),WORKDAY($A501,-1,config_Holiday_Calendar_US)),IF(ISNUMBER(_xll.BDH(config!$G$4,G$1,$A501,$A501)),_xll.BDH(config!$G$4,G$1,$A501,$A501),_xll.BDH(config!$G$5,G$1,$A501,$A501))))</f>
        <v/>
      </c>
      <c r="H501" s="8" t="str">
        <f>IF($A501="","",IF(ISNUMBER(FIND("IMPVOL",H$1)),_xll.BDH(config!$G$4,H$1,WORKDAY($A501,-1,config_Holiday_Calendar_US),WORKDAY($A501,-1,config_Holiday_Calendar_US)),IF(ISNUMBER(_xll.BDH(config!$G$4,H$1,$A501,$A501)),_xll.BDH(config!$G$4,H$1,$A501,$A501),_xll.BDH(config!$G$5,H$1,$A501,$A501))))</f>
        <v/>
      </c>
      <c r="I501" s="8" t="str">
        <f>IF($A501="","",IF(ISNUMBER(FIND("IMPVOL",I$1)),_xll.BDH(config!$G$4,I$1,WORKDAY($A501,-1,config_Holiday_Calendar_US),WORKDAY($A501,-1,config_Holiday_Calendar_US)),IF(ISNUMBER(_xll.BDH(config!$G$4,I$1,$A501,$A501)),_xll.BDH(config!$G$4,I$1,$A501,$A501),_xll.BDH(config!$G$5,I$1,$A501,$A501))))</f>
        <v/>
      </c>
      <c r="J501" s="8" t="str">
        <f>IF($A501="","",IF(ISNUMBER(FIND("IMPVOL",J$1)),_xll.BDH(config!$G$4,J$1,WORKDAY($A501,-1,config_Holiday_Calendar_US),WORKDAY($A501,-1,config_Holiday_Calendar_US)),IF(ISNUMBER(_xll.BDH(config!$G$4,J$1,$A501,$A501)),_xll.BDH(config!$G$4,J$1,$A501,$A501),_xll.BDH(config!$G$5,J$1,$A501,$A501))))</f>
        <v/>
      </c>
      <c r="K501" s="8" t="str">
        <f>IF($A501="","",IF(ISNUMBER(FIND("IMPVOL",K$1)),_xll.BDH(config!$G$4,K$1,WORKDAY($A501,-1,config_Holiday_Calendar_US),WORKDAY($A501,-1,config_Holiday_Calendar_US)),IF(ISNUMBER(_xll.BDH(config!$G$4,K$1,$A501,$A501)),_xll.BDH(config!$G$4,K$1,$A501,$A501),_xll.BDH(config!$G$5,K$1,$A501,$A501))))</f>
        <v/>
      </c>
      <c r="L501" s="8" t="str">
        <f>IF($A501="","",IF(ISNUMBER(FIND("IMPVOL",L$1)),_xll.BDH(config!$G$4,L$1,WORKDAY($A501,-1,config_Holiday_Calendar_US),WORKDAY($A501,-1,config_Holiday_Calendar_US)),IF(ISNUMBER(_xll.BDH(config!$G$4,L$1,$A501,$A501)),_xll.BDH(config!$G$4,L$1,$A501,$A501),_xll.BDH(config!$G$5,L$1,$A501,$A501))))</f>
        <v/>
      </c>
      <c r="M501" s="8" t="str">
        <f>IF($A501="","",IF(ISNUMBER(FIND("IMPVOL",M$1)),_xll.BDH(config!$G$4,M$1,WORKDAY($A501,-1,config_Holiday_Calendar_US),WORKDAY($A501,-1,config_Holiday_Calendar_US)),IF(ISNUMBER(_xll.BDH(config!$G$4,M$1,$A501,$A501)),_xll.BDH(config!$G$4,M$1,$A501,$A501),_xll.BDH(config!$G$5,M$1,$A501,$A501))))</f>
        <v/>
      </c>
      <c r="N501" s="8" t="str">
        <f>IF($A501="","",IF(ISNUMBER(FIND("IMPVOL",N$1)),_xll.BDH(config!$G$4,N$1,WORKDAY($A501,-1,config_Holiday_Calendar_US),WORKDAY($A501,-1,config_Holiday_Calendar_US)),IF(ISNUMBER(_xll.BDH(config!$G$4,N$1,$A501,$A501)),_xll.BDH(config!$G$4,N$1,$A501,$A501),_xll.BDH(config!$G$5,N$1,$A501,$A501))))</f>
        <v/>
      </c>
      <c r="O501" s="8" t="str">
        <f>IF($A501="","",IF(ISNUMBER(FIND("IMPVOL",O$1)),_xll.BDH(config!$G$4,O$1,WORKDAY($A501,-1,config_Holiday_Calendar_US),WORKDAY($A501,-1,config_Holiday_Calendar_US)),IF(ISNUMBER(_xll.BDH(config!$G$4,O$1,$A501,$A501)),_xll.BDH(config!$G$4,O$1,$A501,$A501),_xll.BDH(config!$G$5,O$1,$A501,$A501))))</f>
        <v/>
      </c>
      <c r="P501" s="8" t="str">
        <f>IF($A501="","",IF(ISNUMBER(FIND("IMPVOL",P$1)),_xll.BDH(config!$G$4,P$1,WORKDAY($A501,-1,config_Holiday_Calendar_US),WORKDAY($A501,-1,config_Holiday_Calendar_US)),IF(ISNUMBER(_xll.BDH(config!$G$4,P$1,$A501,$A501)),_xll.BDH(config!$G$4,P$1,$A501,$A501),_xll.BDH(config!$G$5,P$1,$A501,$A501))))</f>
        <v/>
      </c>
      <c r="Q501" s="8" t="str">
        <f>IF($A501="","",IF(ISNUMBER(FIND("IMPVOL",Q$1)),_xll.BDH(config!$G$4,Q$1,WORKDAY($A501,-1,config_Holiday_Calendar_US),WORKDAY($A501,-1,config_Holiday_Calendar_US)),IF(ISNUMBER(_xll.BDH(config!$G$4,Q$1,$A501,$A501)),_xll.BDH(config!$G$4,Q$1,$A501,$A501),_xll.BDH(config!$G$5,Q$1,$A501,$A501))))</f>
        <v/>
      </c>
      <c r="R501" s="8" t="str">
        <f>IF($A501="","",IF(ISNUMBER(FIND("IMPVOL",R$1)),_xll.BDH(config!$G$4,R$1,WORKDAY($A501,-1,config_Holiday_Calendar_US),WORKDAY($A501,-1,config_Holiday_Calendar_US)),IF(ISNUMBER(_xll.BDH(config!$G$4,R$1,$A501,$A501)),_xll.BDH(config!$G$4,R$1,$A501,$A501),_xll.BDH(config!$G$5,R$1,$A501,$A501))))</f>
        <v/>
      </c>
      <c r="S501" s="8" t="str">
        <f>IF($A501="","",IF(ISNUMBER(FIND("IMPVOL",S$1)),_xll.BDH(config!$G$4,S$1,WORKDAY($A501,-1,config_Holiday_Calendar_US),WORKDAY($A501,-1,config_Holiday_Calendar_US)),IF(ISNUMBER(_xll.BDH(config!$G$4,S$1,$A501,$A501)),_xll.BDH(config!$G$4,S$1,$A501,$A501),_xll.BDH(config!$G$5,S$1,$A501,$A501))))</f>
        <v/>
      </c>
      <c r="T501" s="8" t="str">
        <f>IF($A501="","",IF(ISNUMBER(FIND("IMPVOL",T$1)),_xll.BDH(config!$G$4,T$1,WORKDAY($A501,-1,config_Holiday_Calendar_US),WORKDAY($A501,-1,config_Holiday_Calendar_US)),IF(ISNUMBER(_xll.BDH(config!$G$4,T$1,$A501,$A501)),_xll.BDH(config!$G$4,T$1,$A501,$A501),_xll.BDH(config!$G$5,T$1,$A501,$A501))))</f>
        <v/>
      </c>
      <c r="U501" s="8" t="str">
        <f>IF($A501="","",IF(ISNUMBER(FIND("IMPVOL",U$1)),_xll.BDH(config!$G$4,U$1,WORKDAY($A501,-1,config_Holiday_Calendar_US),WORKDAY($A501,-1,config_Holiday_Calendar_US)),IF(ISNUMBER(_xll.BDH(config!$G$4,U$1,$A501,$A501)),_xll.BDH(config!$G$4,U$1,$A501,$A501),_xll.BDH(config!$G$5,U$1,$A501,$A501))))</f>
        <v/>
      </c>
      <c r="V501" s="8" t="str">
        <f>IF($A501="","",IF(ISNUMBER(FIND("IMPVOL",V$1)),_xll.BDH(config!$G$4,V$1,WORKDAY($A501,-1,config_Holiday_Calendar_US),WORKDAY($A501,-1,config_Holiday_Calendar_US)),IF(ISNUMBER(_xll.BDH(config!$G$4,V$1,$A501,$A501)),_xll.BDH(config!$G$4,V$1,$A501,$A501),_xll.BDH(config!$G$5,V$1,$A501,$A501))))</f>
        <v/>
      </c>
      <c r="W501" s="8" t="str">
        <f>IF($A501="","",IF(ISNUMBER(FIND("IMPVOL",W$1)),_xll.BDH(config!$G$4,W$1,WORKDAY($A501,-1,config_Holiday_Calendar_US),WORKDAY($A501,-1,config_Holiday_Calendar_US)),IF(ISNUMBER(_xll.BDH(config!$G$4,W$1,$A501,$A501)),_xll.BDH(config!$G$4,W$1,$A501,$A501),_xll.BDH(config!$G$5,W$1,$A501,$A501))))</f>
        <v/>
      </c>
    </row>
    <row r="502" spans="1:23" x14ac:dyDescent="0.2">
      <c r="A502" s="9" t="str">
        <f>IF(A501="","",IF(WORKDAY(A501,-1,config_Holiday_Calendar_US)&lt;config!$I$10,"",WORKDAY(A501,-1,config_Holiday_Calendar_US)))</f>
        <v/>
      </c>
      <c r="B502" s="8" t="str">
        <f t="shared" si="7"/>
        <v/>
      </c>
      <c r="C502" s="8" t="str">
        <f>IF(A502="","",_xll.BDH(config!$H$4,C$1,$A502,$A502))</f>
        <v/>
      </c>
      <c r="D502" s="8" t="str">
        <f>IF($A502="","",_xll.BDH(config!$H$4,D$1,$A502,$A502))</f>
        <v/>
      </c>
      <c r="E502" s="8" t="str">
        <f>IF($A502="","",IF(ISNUMBER(FIND("IMPVOL",E$1)),_xll.BDH(config!$G$4,E$1,WORKDAY($A502,-1,config_Holiday_Calendar_US),WORKDAY($A502,-1,config_Holiday_Calendar_US)),IF(ISNUMBER(_xll.BDH(config!$G$4,E$1,$A502,$A502)),_xll.BDH(config!$G$4,E$1,$A502,$A502),_xll.BDH(config!$G$5,E$1,$A502,$A502))))</f>
        <v/>
      </c>
      <c r="F502" s="8" t="str">
        <f>IF($A502="","",IF(ISNUMBER(FIND("IMPVOL",F$1)),_xll.BDH(config!$G$4,F$1,WORKDAY($A502,-1,config_Holiday_Calendar_US),WORKDAY($A502,-1,config_Holiday_Calendar_US)),IF(ISNUMBER(_xll.BDH(config!$G$4,F$1,$A502,$A502)),_xll.BDH(config!$G$4,F$1,$A502,$A502),_xll.BDH(config!$G$5,F$1,$A502,$A502))))</f>
        <v/>
      </c>
      <c r="G502" s="8" t="str">
        <f>IF($A502="","",IF(ISNUMBER(FIND("IMPVOL",G$1)),_xll.BDH(config!$G$4,G$1,WORKDAY($A502,-1,config_Holiday_Calendar_US),WORKDAY($A502,-1,config_Holiday_Calendar_US)),IF(ISNUMBER(_xll.BDH(config!$G$4,G$1,$A502,$A502)),_xll.BDH(config!$G$4,G$1,$A502,$A502),_xll.BDH(config!$G$5,G$1,$A502,$A502))))</f>
        <v/>
      </c>
      <c r="H502" s="8" t="str">
        <f>IF($A502="","",IF(ISNUMBER(FIND("IMPVOL",H$1)),_xll.BDH(config!$G$4,H$1,WORKDAY($A502,-1,config_Holiday_Calendar_US),WORKDAY($A502,-1,config_Holiday_Calendar_US)),IF(ISNUMBER(_xll.BDH(config!$G$4,H$1,$A502,$A502)),_xll.BDH(config!$G$4,H$1,$A502,$A502),_xll.BDH(config!$G$5,H$1,$A502,$A502))))</f>
        <v/>
      </c>
      <c r="I502" s="8" t="str">
        <f>IF($A502="","",IF(ISNUMBER(FIND("IMPVOL",I$1)),_xll.BDH(config!$G$4,I$1,WORKDAY($A502,-1,config_Holiday_Calendar_US),WORKDAY($A502,-1,config_Holiday_Calendar_US)),IF(ISNUMBER(_xll.BDH(config!$G$4,I$1,$A502,$A502)),_xll.BDH(config!$G$4,I$1,$A502,$A502),_xll.BDH(config!$G$5,I$1,$A502,$A502))))</f>
        <v/>
      </c>
      <c r="J502" s="8" t="str">
        <f>IF($A502="","",IF(ISNUMBER(FIND("IMPVOL",J$1)),_xll.BDH(config!$G$4,J$1,WORKDAY($A502,-1,config_Holiday_Calendar_US),WORKDAY($A502,-1,config_Holiday_Calendar_US)),IF(ISNUMBER(_xll.BDH(config!$G$4,J$1,$A502,$A502)),_xll.BDH(config!$G$4,J$1,$A502,$A502),_xll.BDH(config!$G$5,J$1,$A502,$A502))))</f>
        <v/>
      </c>
      <c r="K502" s="8" t="str">
        <f>IF($A502="","",IF(ISNUMBER(FIND("IMPVOL",K$1)),_xll.BDH(config!$G$4,K$1,WORKDAY($A502,-1,config_Holiday_Calendar_US),WORKDAY($A502,-1,config_Holiday_Calendar_US)),IF(ISNUMBER(_xll.BDH(config!$G$4,K$1,$A502,$A502)),_xll.BDH(config!$G$4,K$1,$A502,$A502),_xll.BDH(config!$G$5,K$1,$A502,$A502))))</f>
        <v/>
      </c>
      <c r="L502" s="8" t="str">
        <f>IF($A502="","",IF(ISNUMBER(FIND("IMPVOL",L$1)),_xll.BDH(config!$G$4,L$1,WORKDAY($A502,-1,config_Holiday_Calendar_US),WORKDAY($A502,-1,config_Holiday_Calendar_US)),IF(ISNUMBER(_xll.BDH(config!$G$4,L$1,$A502,$A502)),_xll.BDH(config!$G$4,L$1,$A502,$A502),_xll.BDH(config!$G$5,L$1,$A502,$A502))))</f>
        <v/>
      </c>
      <c r="M502" s="8" t="str">
        <f>IF($A502="","",IF(ISNUMBER(FIND("IMPVOL",M$1)),_xll.BDH(config!$G$4,M$1,WORKDAY($A502,-1,config_Holiday_Calendar_US),WORKDAY($A502,-1,config_Holiday_Calendar_US)),IF(ISNUMBER(_xll.BDH(config!$G$4,M$1,$A502,$A502)),_xll.BDH(config!$G$4,M$1,$A502,$A502),_xll.BDH(config!$G$5,M$1,$A502,$A502))))</f>
        <v/>
      </c>
      <c r="N502" s="8" t="str">
        <f>IF($A502="","",IF(ISNUMBER(FIND("IMPVOL",N$1)),_xll.BDH(config!$G$4,N$1,WORKDAY($A502,-1,config_Holiday_Calendar_US),WORKDAY($A502,-1,config_Holiday_Calendar_US)),IF(ISNUMBER(_xll.BDH(config!$G$4,N$1,$A502,$A502)),_xll.BDH(config!$G$4,N$1,$A502,$A502),_xll.BDH(config!$G$5,N$1,$A502,$A502))))</f>
        <v/>
      </c>
      <c r="O502" s="8" t="str">
        <f>IF($A502="","",IF(ISNUMBER(FIND("IMPVOL",O$1)),_xll.BDH(config!$G$4,O$1,WORKDAY($A502,-1,config_Holiday_Calendar_US),WORKDAY($A502,-1,config_Holiday_Calendar_US)),IF(ISNUMBER(_xll.BDH(config!$G$4,O$1,$A502,$A502)),_xll.BDH(config!$G$4,O$1,$A502,$A502),_xll.BDH(config!$G$5,O$1,$A502,$A502))))</f>
        <v/>
      </c>
      <c r="P502" s="8" t="str">
        <f>IF($A502="","",IF(ISNUMBER(FIND("IMPVOL",P$1)),_xll.BDH(config!$G$4,P$1,WORKDAY($A502,-1,config_Holiday_Calendar_US),WORKDAY($A502,-1,config_Holiday_Calendar_US)),IF(ISNUMBER(_xll.BDH(config!$G$4,P$1,$A502,$A502)),_xll.BDH(config!$G$4,P$1,$A502,$A502),_xll.BDH(config!$G$5,P$1,$A502,$A502))))</f>
        <v/>
      </c>
      <c r="Q502" s="8" t="str">
        <f>IF($A502="","",IF(ISNUMBER(FIND("IMPVOL",Q$1)),_xll.BDH(config!$G$4,Q$1,WORKDAY($A502,-1,config_Holiday_Calendar_US),WORKDAY($A502,-1,config_Holiday_Calendar_US)),IF(ISNUMBER(_xll.BDH(config!$G$4,Q$1,$A502,$A502)),_xll.BDH(config!$G$4,Q$1,$A502,$A502),_xll.BDH(config!$G$5,Q$1,$A502,$A502))))</f>
        <v/>
      </c>
      <c r="R502" s="8" t="str">
        <f>IF($A502="","",IF(ISNUMBER(FIND("IMPVOL",R$1)),_xll.BDH(config!$G$4,R$1,WORKDAY($A502,-1,config_Holiday_Calendar_US),WORKDAY($A502,-1,config_Holiday_Calendar_US)),IF(ISNUMBER(_xll.BDH(config!$G$4,R$1,$A502,$A502)),_xll.BDH(config!$G$4,R$1,$A502,$A502),_xll.BDH(config!$G$5,R$1,$A502,$A502))))</f>
        <v/>
      </c>
      <c r="S502" s="8" t="str">
        <f>IF($A502="","",IF(ISNUMBER(FIND("IMPVOL",S$1)),_xll.BDH(config!$G$4,S$1,WORKDAY($A502,-1,config_Holiday_Calendar_US),WORKDAY($A502,-1,config_Holiday_Calendar_US)),IF(ISNUMBER(_xll.BDH(config!$G$4,S$1,$A502,$A502)),_xll.BDH(config!$G$4,S$1,$A502,$A502),_xll.BDH(config!$G$5,S$1,$A502,$A502))))</f>
        <v/>
      </c>
      <c r="T502" s="8" t="str">
        <f>IF($A502="","",IF(ISNUMBER(FIND("IMPVOL",T$1)),_xll.BDH(config!$G$4,T$1,WORKDAY($A502,-1,config_Holiday_Calendar_US),WORKDAY($A502,-1,config_Holiday_Calendar_US)),IF(ISNUMBER(_xll.BDH(config!$G$4,T$1,$A502,$A502)),_xll.BDH(config!$G$4,T$1,$A502,$A502),_xll.BDH(config!$G$5,T$1,$A502,$A502))))</f>
        <v/>
      </c>
      <c r="U502" s="8" t="str">
        <f>IF($A502="","",IF(ISNUMBER(FIND("IMPVOL",U$1)),_xll.BDH(config!$G$4,U$1,WORKDAY($A502,-1,config_Holiday_Calendar_US),WORKDAY($A502,-1,config_Holiday_Calendar_US)),IF(ISNUMBER(_xll.BDH(config!$G$4,U$1,$A502,$A502)),_xll.BDH(config!$G$4,U$1,$A502,$A502),_xll.BDH(config!$G$5,U$1,$A502,$A502))))</f>
        <v/>
      </c>
      <c r="V502" s="8" t="str">
        <f>IF($A502="","",IF(ISNUMBER(FIND("IMPVOL",V$1)),_xll.BDH(config!$G$4,V$1,WORKDAY($A502,-1,config_Holiday_Calendar_US),WORKDAY($A502,-1,config_Holiday_Calendar_US)),IF(ISNUMBER(_xll.BDH(config!$G$4,V$1,$A502,$A502)),_xll.BDH(config!$G$4,V$1,$A502,$A502),_xll.BDH(config!$G$5,V$1,$A502,$A502))))</f>
        <v/>
      </c>
      <c r="W502" s="8" t="str">
        <f>IF($A502="","",IF(ISNUMBER(FIND("IMPVOL",W$1)),_xll.BDH(config!$G$4,W$1,WORKDAY($A502,-1,config_Holiday_Calendar_US),WORKDAY($A502,-1,config_Holiday_Calendar_US)),IF(ISNUMBER(_xll.BDH(config!$G$4,W$1,$A502,$A502)),_xll.BDH(config!$G$4,W$1,$A502,$A502),_xll.BDH(config!$G$5,W$1,$A502,$A502))))</f>
        <v/>
      </c>
    </row>
    <row r="503" spans="1:23" x14ac:dyDescent="0.2">
      <c r="A503" s="9" t="str">
        <f>IF(A502="","",IF(WORKDAY(A502,-1,config_Holiday_Calendar_US)&lt;config!$I$10,"",WORKDAY(A502,-1,config_Holiday_Calendar_US)))</f>
        <v/>
      </c>
      <c r="B503" s="8" t="str">
        <f t="shared" si="7"/>
        <v/>
      </c>
      <c r="C503" s="8" t="str">
        <f>IF(A503="","",_xll.BDH(config!$H$4,C$1,$A503,$A503))</f>
        <v/>
      </c>
      <c r="D503" s="8" t="str">
        <f>IF($A503="","",_xll.BDH(config!$H$4,D$1,$A503,$A503))</f>
        <v/>
      </c>
      <c r="E503" s="8" t="str">
        <f>IF($A503="","",IF(ISNUMBER(FIND("IMPVOL",E$1)),_xll.BDH(config!$G$4,E$1,WORKDAY($A503,-1,config_Holiday_Calendar_US),WORKDAY($A503,-1,config_Holiday_Calendar_US)),IF(ISNUMBER(_xll.BDH(config!$G$4,E$1,$A503,$A503)),_xll.BDH(config!$G$4,E$1,$A503,$A503),_xll.BDH(config!$G$5,E$1,$A503,$A503))))</f>
        <v/>
      </c>
      <c r="F503" s="8" t="str">
        <f>IF($A503="","",IF(ISNUMBER(FIND("IMPVOL",F$1)),_xll.BDH(config!$G$4,F$1,WORKDAY($A503,-1,config_Holiday_Calendar_US),WORKDAY($A503,-1,config_Holiday_Calendar_US)),IF(ISNUMBER(_xll.BDH(config!$G$4,F$1,$A503,$A503)),_xll.BDH(config!$G$4,F$1,$A503,$A503),_xll.BDH(config!$G$5,F$1,$A503,$A503))))</f>
        <v/>
      </c>
      <c r="G503" s="8" t="str">
        <f>IF($A503="","",IF(ISNUMBER(FIND("IMPVOL",G$1)),_xll.BDH(config!$G$4,G$1,WORKDAY($A503,-1,config_Holiday_Calendar_US),WORKDAY($A503,-1,config_Holiday_Calendar_US)),IF(ISNUMBER(_xll.BDH(config!$G$4,G$1,$A503,$A503)),_xll.BDH(config!$G$4,G$1,$A503,$A503),_xll.BDH(config!$G$5,G$1,$A503,$A503))))</f>
        <v/>
      </c>
      <c r="H503" s="8" t="str">
        <f>IF($A503="","",IF(ISNUMBER(FIND("IMPVOL",H$1)),_xll.BDH(config!$G$4,H$1,WORKDAY($A503,-1,config_Holiday_Calendar_US),WORKDAY($A503,-1,config_Holiday_Calendar_US)),IF(ISNUMBER(_xll.BDH(config!$G$4,H$1,$A503,$A503)),_xll.BDH(config!$G$4,H$1,$A503,$A503),_xll.BDH(config!$G$5,H$1,$A503,$A503))))</f>
        <v/>
      </c>
      <c r="I503" s="8" t="str">
        <f>IF($A503="","",IF(ISNUMBER(FIND("IMPVOL",I$1)),_xll.BDH(config!$G$4,I$1,WORKDAY($A503,-1,config_Holiday_Calendar_US),WORKDAY($A503,-1,config_Holiday_Calendar_US)),IF(ISNUMBER(_xll.BDH(config!$G$4,I$1,$A503,$A503)),_xll.BDH(config!$G$4,I$1,$A503,$A503),_xll.BDH(config!$G$5,I$1,$A503,$A503))))</f>
        <v/>
      </c>
      <c r="J503" s="8" t="str">
        <f>IF($A503="","",IF(ISNUMBER(FIND("IMPVOL",J$1)),_xll.BDH(config!$G$4,J$1,WORKDAY($A503,-1,config_Holiday_Calendar_US),WORKDAY($A503,-1,config_Holiday_Calendar_US)),IF(ISNUMBER(_xll.BDH(config!$G$4,J$1,$A503,$A503)),_xll.BDH(config!$G$4,J$1,$A503,$A503),_xll.BDH(config!$G$5,J$1,$A503,$A503))))</f>
        <v/>
      </c>
      <c r="K503" s="8" t="str">
        <f>IF($A503="","",IF(ISNUMBER(FIND("IMPVOL",K$1)),_xll.BDH(config!$G$4,K$1,WORKDAY($A503,-1,config_Holiday_Calendar_US),WORKDAY($A503,-1,config_Holiday_Calendar_US)),IF(ISNUMBER(_xll.BDH(config!$G$4,K$1,$A503,$A503)),_xll.BDH(config!$G$4,K$1,$A503,$A503),_xll.BDH(config!$G$5,K$1,$A503,$A503))))</f>
        <v/>
      </c>
      <c r="L503" s="8" t="str">
        <f>IF($A503="","",IF(ISNUMBER(FIND("IMPVOL",L$1)),_xll.BDH(config!$G$4,L$1,WORKDAY($A503,-1,config_Holiday_Calendar_US),WORKDAY($A503,-1,config_Holiday_Calendar_US)),IF(ISNUMBER(_xll.BDH(config!$G$4,L$1,$A503,$A503)),_xll.BDH(config!$G$4,L$1,$A503,$A503),_xll.BDH(config!$G$5,L$1,$A503,$A503))))</f>
        <v/>
      </c>
      <c r="M503" s="8" t="str">
        <f>IF($A503="","",IF(ISNUMBER(FIND("IMPVOL",M$1)),_xll.BDH(config!$G$4,M$1,WORKDAY($A503,-1,config_Holiday_Calendar_US),WORKDAY($A503,-1,config_Holiday_Calendar_US)),IF(ISNUMBER(_xll.BDH(config!$G$4,M$1,$A503,$A503)),_xll.BDH(config!$G$4,M$1,$A503,$A503),_xll.BDH(config!$G$5,M$1,$A503,$A503))))</f>
        <v/>
      </c>
      <c r="N503" s="8" t="str">
        <f>IF($A503="","",IF(ISNUMBER(FIND("IMPVOL",N$1)),_xll.BDH(config!$G$4,N$1,WORKDAY($A503,-1,config_Holiday_Calendar_US),WORKDAY($A503,-1,config_Holiday_Calendar_US)),IF(ISNUMBER(_xll.BDH(config!$G$4,N$1,$A503,$A503)),_xll.BDH(config!$G$4,N$1,$A503,$A503),_xll.BDH(config!$G$5,N$1,$A503,$A503))))</f>
        <v/>
      </c>
      <c r="O503" s="8" t="str">
        <f>IF($A503="","",IF(ISNUMBER(FIND("IMPVOL",O$1)),_xll.BDH(config!$G$4,O$1,WORKDAY($A503,-1,config_Holiday_Calendar_US),WORKDAY($A503,-1,config_Holiday_Calendar_US)),IF(ISNUMBER(_xll.BDH(config!$G$4,O$1,$A503,$A503)),_xll.BDH(config!$G$4,O$1,$A503,$A503),_xll.BDH(config!$G$5,O$1,$A503,$A503))))</f>
        <v/>
      </c>
      <c r="P503" s="8" t="str">
        <f>IF($A503="","",IF(ISNUMBER(FIND("IMPVOL",P$1)),_xll.BDH(config!$G$4,P$1,WORKDAY($A503,-1,config_Holiday_Calendar_US),WORKDAY($A503,-1,config_Holiday_Calendar_US)),IF(ISNUMBER(_xll.BDH(config!$G$4,P$1,$A503,$A503)),_xll.BDH(config!$G$4,P$1,$A503,$A503),_xll.BDH(config!$G$5,P$1,$A503,$A503))))</f>
        <v/>
      </c>
      <c r="Q503" s="8" t="str">
        <f>IF($A503="","",IF(ISNUMBER(FIND("IMPVOL",Q$1)),_xll.BDH(config!$G$4,Q$1,WORKDAY($A503,-1,config_Holiday_Calendar_US),WORKDAY($A503,-1,config_Holiday_Calendar_US)),IF(ISNUMBER(_xll.BDH(config!$G$4,Q$1,$A503,$A503)),_xll.BDH(config!$G$4,Q$1,$A503,$A503),_xll.BDH(config!$G$5,Q$1,$A503,$A503))))</f>
        <v/>
      </c>
      <c r="R503" s="8" t="str">
        <f>IF($A503="","",IF(ISNUMBER(FIND("IMPVOL",R$1)),_xll.BDH(config!$G$4,R$1,WORKDAY($A503,-1,config_Holiday_Calendar_US),WORKDAY($A503,-1,config_Holiday_Calendar_US)),IF(ISNUMBER(_xll.BDH(config!$G$4,R$1,$A503,$A503)),_xll.BDH(config!$G$4,R$1,$A503,$A503),_xll.BDH(config!$G$5,R$1,$A503,$A503))))</f>
        <v/>
      </c>
      <c r="S503" s="8" t="str">
        <f>IF($A503="","",IF(ISNUMBER(FIND("IMPVOL",S$1)),_xll.BDH(config!$G$4,S$1,WORKDAY($A503,-1,config_Holiday_Calendar_US),WORKDAY($A503,-1,config_Holiday_Calendar_US)),IF(ISNUMBER(_xll.BDH(config!$G$4,S$1,$A503,$A503)),_xll.BDH(config!$G$4,S$1,$A503,$A503),_xll.BDH(config!$G$5,S$1,$A503,$A503))))</f>
        <v/>
      </c>
      <c r="T503" s="8" t="str">
        <f>IF($A503="","",IF(ISNUMBER(FIND("IMPVOL",T$1)),_xll.BDH(config!$G$4,T$1,WORKDAY($A503,-1,config_Holiday_Calendar_US),WORKDAY($A503,-1,config_Holiday_Calendar_US)),IF(ISNUMBER(_xll.BDH(config!$G$4,T$1,$A503,$A503)),_xll.BDH(config!$G$4,T$1,$A503,$A503),_xll.BDH(config!$G$5,T$1,$A503,$A503))))</f>
        <v/>
      </c>
      <c r="U503" s="8" t="str">
        <f>IF($A503="","",IF(ISNUMBER(FIND("IMPVOL",U$1)),_xll.BDH(config!$G$4,U$1,WORKDAY($A503,-1,config_Holiday_Calendar_US),WORKDAY($A503,-1,config_Holiday_Calendar_US)),IF(ISNUMBER(_xll.BDH(config!$G$4,U$1,$A503,$A503)),_xll.BDH(config!$G$4,U$1,$A503,$A503),_xll.BDH(config!$G$5,U$1,$A503,$A503))))</f>
        <v/>
      </c>
      <c r="V503" s="8" t="str">
        <f>IF($A503="","",IF(ISNUMBER(FIND("IMPVOL",V$1)),_xll.BDH(config!$G$4,V$1,WORKDAY($A503,-1,config_Holiday_Calendar_US),WORKDAY($A503,-1,config_Holiday_Calendar_US)),IF(ISNUMBER(_xll.BDH(config!$G$4,V$1,$A503,$A503)),_xll.BDH(config!$G$4,V$1,$A503,$A503),_xll.BDH(config!$G$5,V$1,$A503,$A503))))</f>
        <v/>
      </c>
      <c r="W503" s="8" t="str">
        <f>IF($A503="","",IF(ISNUMBER(FIND("IMPVOL",W$1)),_xll.BDH(config!$G$4,W$1,WORKDAY($A503,-1,config_Holiday_Calendar_US),WORKDAY($A503,-1,config_Holiday_Calendar_US)),IF(ISNUMBER(_xll.BDH(config!$G$4,W$1,$A503,$A503)),_xll.BDH(config!$G$4,W$1,$A503,$A503),_xll.BDH(config!$G$5,W$1,$A503,$A503))))</f>
        <v/>
      </c>
    </row>
    <row r="504" spans="1:23" x14ac:dyDescent="0.2">
      <c r="A504" s="9" t="str">
        <f>IF(A503="","",IF(WORKDAY(A503,-1,config_Holiday_Calendar_US)&lt;config!$I$10,"",WORKDAY(A503,-1,config_Holiday_Calendar_US)))</f>
        <v/>
      </c>
      <c r="B504" s="8" t="str">
        <f t="shared" si="7"/>
        <v/>
      </c>
      <c r="C504" s="8" t="str">
        <f>IF(A504="","",_xll.BDH(config!$H$4,C$1,$A504,$A504))</f>
        <v/>
      </c>
      <c r="D504" s="8" t="str">
        <f>IF($A504="","",_xll.BDH(config!$H$4,D$1,$A504,$A504))</f>
        <v/>
      </c>
      <c r="E504" s="8" t="str">
        <f>IF($A504="","",IF(ISNUMBER(FIND("IMPVOL",E$1)),_xll.BDH(config!$G$4,E$1,WORKDAY($A504,-1,config_Holiday_Calendar_US),WORKDAY($A504,-1,config_Holiday_Calendar_US)),IF(ISNUMBER(_xll.BDH(config!$G$4,E$1,$A504,$A504)),_xll.BDH(config!$G$4,E$1,$A504,$A504),_xll.BDH(config!$G$5,E$1,$A504,$A504))))</f>
        <v/>
      </c>
      <c r="F504" s="8" t="str">
        <f>IF($A504="","",IF(ISNUMBER(FIND("IMPVOL",F$1)),_xll.BDH(config!$G$4,F$1,WORKDAY($A504,-1,config_Holiday_Calendar_US),WORKDAY($A504,-1,config_Holiday_Calendar_US)),IF(ISNUMBER(_xll.BDH(config!$G$4,F$1,$A504,$A504)),_xll.BDH(config!$G$4,F$1,$A504,$A504),_xll.BDH(config!$G$5,F$1,$A504,$A504))))</f>
        <v/>
      </c>
      <c r="G504" s="8" t="str">
        <f>IF($A504="","",IF(ISNUMBER(FIND("IMPVOL",G$1)),_xll.BDH(config!$G$4,G$1,WORKDAY($A504,-1,config_Holiday_Calendar_US),WORKDAY($A504,-1,config_Holiday_Calendar_US)),IF(ISNUMBER(_xll.BDH(config!$G$4,G$1,$A504,$A504)),_xll.BDH(config!$G$4,G$1,$A504,$A504),_xll.BDH(config!$G$5,G$1,$A504,$A504))))</f>
        <v/>
      </c>
      <c r="H504" s="8" t="str">
        <f>IF($A504="","",IF(ISNUMBER(FIND("IMPVOL",H$1)),_xll.BDH(config!$G$4,H$1,WORKDAY($A504,-1,config_Holiday_Calendar_US),WORKDAY($A504,-1,config_Holiday_Calendar_US)),IF(ISNUMBER(_xll.BDH(config!$G$4,H$1,$A504,$A504)),_xll.BDH(config!$G$4,H$1,$A504,$A504),_xll.BDH(config!$G$5,H$1,$A504,$A504))))</f>
        <v/>
      </c>
      <c r="I504" s="8" t="str">
        <f>IF($A504="","",IF(ISNUMBER(FIND("IMPVOL",I$1)),_xll.BDH(config!$G$4,I$1,WORKDAY($A504,-1,config_Holiday_Calendar_US),WORKDAY($A504,-1,config_Holiday_Calendar_US)),IF(ISNUMBER(_xll.BDH(config!$G$4,I$1,$A504,$A504)),_xll.BDH(config!$G$4,I$1,$A504,$A504),_xll.BDH(config!$G$5,I$1,$A504,$A504))))</f>
        <v/>
      </c>
      <c r="J504" s="8" t="str">
        <f>IF($A504="","",IF(ISNUMBER(FIND("IMPVOL",J$1)),_xll.BDH(config!$G$4,J$1,WORKDAY($A504,-1,config_Holiday_Calendar_US),WORKDAY($A504,-1,config_Holiday_Calendar_US)),IF(ISNUMBER(_xll.BDH(config!$G$4,J$1,$A504,$A504)),_xll.BDH(config!$G$4,J$1,$A504,$A504),_xll.BDH(config!$G$5,J$1,$A504,$A504))))</f>
        <v/>
      </c>
      <c r="K504" s="8" t="str">
        <f>IF($A504="","",IF(ISNUMBER(FIND("IMPVOL",K$1)),_xll.BDH(config!$G$4,K$1,WORKDAY($A504,-1,config_Holiday_Calendar_US),WORKDAY($A504,-1,config_Holiday_Calendar_US)),IF(ISNUMBER(_xll.BDH(config!$G$4,K$1,$A504,$A504)),_xll.BDH(config!$G$4,K$1,$A504,$A504),_xll.BDH(config!$G$5,K$1,$A504,$A504))))</f>
        <v/>
      </c>
      <c r="L504" s="8" t="str">
        <f>IF($A504="","",IF(ISNUMBER(FIND("IMPVOL",L$1)),_xll.BDH(config!$G$4,L$1,WORKDAY($A504,-1,config_Holiday_Calendar_US),WORKDAY($A504,-1,config_Holiday_Calendar_US)),IF(ISNUMBER(_xll.BDH(config!$G$4,L$1,$A504,$A504)),_xll.BDH(config!$G$4,L$1,$A504,$A504),_xll.BDH(config!$G$5,L$1,$A504,$A504))))</f>
        <v/>
      </c>
      <c r="M504" s="8" t="str">
        <f>IF($A504="","",IF(ISNUMBER(FIND("IMPVOL",M$1)),_xll.BDH(config!$G$4,M$1,WORKDAY($A504,-1,config_Holiday_Calendar_US),WORKDAY($A504,-1,config_Holiday_Calendar_US)),IF(ISNUMBER(_xll.BDH(config!$G$4,M$1,$A504,$A504)),_xll.BDH(config!$G$4,M$1,$A504,$A504),_xll.BDH(config!$G$5,M$1,$A504,$A504))))</f>
        <v/>
      </c>
      <c r="N504" s="8" t="str">
        <f>IF($A504="","",IF(ISNUMBER(FIND("IMPVOL",N$1)),_xll.BDH(config!$G$4,N$1,WORKDAY($A504,-1,config_Holiday_Calendar_US),WORKDAY($A504,-1,config_Holiday_Calendar_US)),IF(ISNUMBER(_xll.BDH(config!$G$4,N$1,$A504,$A504)),_xll.BDH(config!$G$4,N$1,$A504,$A504),_xll.BDH(config!$G$5,N$1,$A504,$A504))))</f>
        <v/>
      </c>
      <c r="O504" s="8" t="str">
        <f>IF($A504="","",IF(ISNUMBER(FIND("IMPVOL",O$1)),_xll.BDH(config!$G$4,O$1,WORKDAY($A504,-1,config_Holiday_Calendar_US),WORKDAY($A504,-1,config_Holiday_Calendar_US)),IF(ISNUMBER(_xll.BDH(config!$G$4,O$1,$A504,$A504)),_xll.BDH(config!$G$4,O$1,$A504,$A504),_xll.BDH(config!$G$5,O$1,$A504,$A504))))</f>
        <v/>
      </c>
      <c r="P504" s="8" t="str">
        <f>IF($A504="","",IF(ISNUMBER(FIND("IMPVOL",P$1)),_xll.BDH(config!$G$4,P$1,WORKDAY($A504,-1,config_Holiday_Calendar_US),WORKDAY($A504,-1,config_Holiday_Calendar_US)),IF(ISNUMBER(_xll.BDH(config!$G$4,P$1,$A504,$A504)),_xll.BDH(config!$G$4,P$1,$A504,$A504),_xll.BDH(config!$G$5,P$1,$A504,$A504))))</f>
        <v/>
      </c>
      <c r="Q504" s="8" t="str">
        <f>IF($A504="","",IF(ISNUMBER(FIND("IMPVOL",Q$1)),_xll.BDH(config!$G$4,Q$1,WORKDAY($A504,-1,config_Holiday_Calendar_US),WORKDAY($A504,-1,config_Holiday_Calendar_US)),IF(ISNUMBER(_xll.BDH(config!$G$4,Q$1,$A504,$A504)),_xll.BDH(config!$G$4,Q$1,$A504,$A504),_xll.BDH(config!$G$5,Q$1,$A504,$A504))))</f>
        <v/>
      </c>
      <c r="R504" s="8" t="str">
        <f>IF($A504="","",IF(ISNUMBER(FIND("IMPVOL",R$1)),_xll.BDH(config!$G$4,R$1,WORKDAY($A504,-1,config_Holiday_Calendar_US),WORKDAY($A504,-1,config_Holiday_Calendar_US)),IF(ISNUMBER(_xll.BDH(config!$G$4,R$1,$A504,$A504)),_xll.BDH(config!$G$4,R$1,$A504,$A504),_xll.BDH(config!$G$5,R$1,$A504,$A504))))</f>
        <v/>
      </c>
      <c r="S504" s="8" t="str">
        <f>IF($A504="","",IF(ISNUMBER(FIND("IMPVOL",S$1)),_xll.BDH(config!$G$4,S$1,WORKDAY($A504,-1,config_Holiday_Calendar_US),WORKDAY($A504,-1,config_Holiday_Calendar_US)),IF(ISNUMBER(_xll.BDH(config!$G$4,S$1,$A504,$A504)),_xll.BDH(config!$G$4,S$1,$A504,$A504),_xll.BDH(config!$G$5,S$1,$A504,$A504))))</f>
        <v/>
      </c>
      <c r="T504" s="8" t="str">
        <f>IF($A504="","",IF(ISNUMBER(FIND("IMPVOL",T$1)),_xll.BDH(config!$G$4,T$1,WORKDAY($A504,-1,config_Holiday_Calendar_US),WORKDAY($A504,-1,config_Holiday_Calendar_US)),IF(ISNUMBER(_xll.BDH(config!$G$4,T$1,$A504,$A504)),_xll.BDH(config!$G$4,T$1,$A504,$A504),_xll.BDH(config!$G$5,T$1,$A504,$A504))))</f>
        <v/>
      </c>
      <c r="U504" s="8" t="str">
        <f>IF($A504="","",IF(ISNUMBER(FIND("IMPVOL",U$1)),_xll.BDH(config!$G$4,U$1,WORKDAY($A504,-1,config_Holiday_Calendar_US),WORKDAY($A504,-1,config_Holiday_Calendar_US)),IF(ISNUMBER(_xll.BDH(config!$G$4,U$1,$A504,$A504)),_xll.BDH(config!$G$4,U$1,$A504,$A504),_xll.BDH(config!$G$5,U$1,$A504,$A504))))</f>
        <v/>
      </c>
      <c r="V504" s="8" t="str">
        <f>IF($A504="","",IF(ISNUMBER(FIND("IMPVOL",V$1)),_xll.BDH(config!$G$4,V$1,WORKDAY($A504,-1,config_Holiday_Calendar_US),WORKDAY($A504,-1,config_Holiday_Calendar_US)),IF(ISNUMBER(_xll.BDH(config!$G$4,V$1,$A504,$A504)),_xll.BDH(config!$G$4,V$1,$A504,$A504),_xll.BDH(config!$G$5,V$1,$A504,$A504))))</f>
        <v/>
      </c>
      <c r="W504" s="8" t="str">
        <f>IF($A504="","",IF(ISNUMBER(FIND("IMPVOL",W$1)),_xll.BDH(config!$G$4,W$1,WORKDAY($A504,-1,config_Holiday_Calendar_US),WORKDAY($A504,-1,config_Holiday_Calendar_US)),IF(ISNUMBER(_xll.BDH(config!$G$4,W$1,$A504,$A504)),_xll.BDH(config!$G$4,W$1,$A504,$A504),_xll.BDH(config!$G$5,W$1,$A504,$A504))))</f>
        <v/>
      </c>
    </row>
    <row r="505" spans="1:23" x14ac:dyDescent="0.2">
      <c r="A505" s="9" t="str">
        <f>IF(A504="","",IF(WORKDAY(A504,-1,config_Holiday_Calendar_US)&lt;config!$I$10,"",WORKDAY(A504,-1,config_Holiday_Calendar_US)))</f>
        <v/>
      </c>
      <c r="B505" s="8" t="str">
        <f t="shared" si="7"/>
        <v/>
      </c>
      <c r="C505" s="8" t="str">
        <f>IF(A505="","",_xll.BDH(config!$H$4,C$1,$A505,$A505))</f>
        <v/>
      </c>
      <c r="D505" s="8" t="str">
        <f>IF($A505="","",_xll.BDH(config!$H$4,D$1,$A505,$A505))</f>
        <v/>
      </c>
      <c r="E505" s="8" t="str">
        <f>IF($A505="","",IF(ISNUMBER(FIND("IMPVOL",E$1)),_xll.BDH(config!$G$4,E$1,WORKDAY($A505,-1,config_Holiday_Calendar_US),WORKDAY($A505,-1,config_Holiday_Calendar_US)),IF(ISNUMBER(_xll.BDH(config!$G$4,E$1,$A505,$A505)),_xll.BDH(config!$G$4,E$1,$A505,$A505),_xll.BDH(config!$G$5,E$1,$A505,$A505))))</f>
        <v/>
      </c>
      <c r="F505" s="8" t="str">
        <f>IF($A505="","",IF(ISNUMBER(FIND("IMPVOL",F$1)),_xll.BDH(config!$G$4,F$1,WORKDAY($A505,-1,config_Holiday_Calendar_US),WORKDAY($A505,-1,config_Holiday_Calendar_US)),IF(ISNUMBER(_xll.BDH(config!$G$4,F$1,$A505,$A505)),_xll.BDH(config!$G$4,F$1,$A505,$A505),_xll.BDH(config!$G$5,F$1,$A505,$A505))))</f>
        <v/>
      </c>
      <c r="G505" s="8" t="str">
        <f>IF($A505="","",IF(ISNUMBER(FIND("IMPVOL",G$1)),_xll.BDH(config!$G$4,G$1,WORKDAY($A505,-1,config_Holiday_Calendar_US),WORKDAY($A505,-1,config_Holiday_Calendar_US)),IF(ISNUMBER(_xll.BDH(config!$G$4,G$1,$A505,$A505)),_xll.BDH(config!$G$4,G$1,$A505,$A505),_xll.BDH(config!$G$5,G$1,$A505,$A505))))</f>
        <v/>
      </c>
      <c r="H505" s="8" t="str">
        <f>IF($A505="","",IF(ISNUMBER(FIND("IMPVOL",H$1)),_xll.BDH(config!$G$4,H$1,WORKDAY($A505,-1,config_Holiday_Calendar_US),WORKDAY($A505,-1,config_Holiday_Calendar_US)),IF(ISNUMBER(_xll.BDH(config!$G$4,H$1,$A505,$A505)),_xll.BDH(config!$G$4,H$1,$A505,$A505),_xll.BDH(config!$G$5,H$1,$A505,$A505))))</f>
        <v/>
      </c>
      <c r="I505" s="8" t="str">
        <f>IF($A505="","",IF(ISNUMBER(FIND("IMPVOL",I$1)),_xll.BDH(config!$G$4,I$1,WORKDAY($A505,-1,config_Holiday_Calendar_US),WORKDAY($A505,-1,config_Holiday_Calendar_US)),IF(ISNUMBER(_xll.BDH(config!$G$4,I$1,$A505,$A505)),_xll.BDH(config!$G$4,I$1,$A505,$A505),_xll.BDH(config!$G$5,I$1,$A505,$A505))))</f>
        <v/>
      </c>
      <c r="J505" s="8" t="str">
        <f>IF($A505="","",IF(ISNUMBER(FIND("IMPVOL",J$1)),_xll.BDH(config!$G$4,J$1,WORKDAY($A505,-1,config_Holiday_Calendar_US),WORKDAY($A505,-1,config_Holiday_Calendar_US)),IF(ISNUMBER(_xll.BDH(config!$G$4,J$1,$A505,$A505)),_xll.BDH(config!$G$4,J$1,$A505,$A505),_xll.BDH(config!$G$5,J$1,$A505,$A505))))</f>
        <v/>
      </c>
      <c r="K505" s="8" t="str">
        <f>IF($A505="","",IF(ISNUMBER(FIND("IMPVOL",K$1)),_xll.BDH(config!$G$4,K$1,WORKDAY($A505,-1,config_Holiday_Calendar_US),WORKDAY($A505,-1,config_Holiday_Calendar_US)),IF(ISNUMBER(_xll.BDH(config!$G$4,K$1,$A505,$A505)),_xll.BDH(config!$G$4,K$1,$A505,$A505),_xll.BDH(config!$G$5,K$1,$A505,$A505))))</f>
        <v/>
      </c>
      <c r="L505" s="8" t="str">
        <f>IF($A505="","",IF(ISNUMBER(FIND("IMPVOL",L$1)),_xll.BDH(config!$G$4,L$1,WORKDAY($A505,-1,config_Holiday_Calendar_US),WORKDAY($A505,-1,config_Holiday_Calendar_US)),IF(ISNUMBER(_xll.BDH(config!$G$4,L$1,$A505,$A505)),_xll.BDH(config!$G$4,L$1,$A505,$A505),_xll.BDH(config!$G$5,L$1,$A505,$A505))))</f>
        <v/>
      </c>
      <c r="M505" s="8" t="str">
        <f>IF($A505="","",IF(ISNUMBER(FIND("IMPVOL",M$1)),_xll.BDH(config!$G$4,M$1,WORKDAY($A505,-1,config_Holiday_Calendar_US),WORKDAY($A505,-1,config_Holiday_Calendar_US)),IF(ISNUMBER(_xll.BDH(config!$G$4,M$1,$A505,$A505)),_xll.BDH(config!$G$4,M$1,$A505,$A505),_xll.BDH(config!$G$5,M$1,$A505,$A505))))</f>
        <v/>
      </c>
      <c r="N505" s="8" t="str">
        <f>IF($A505="","",IF(ISNUMBER(FIND("IMPVOL",N$1)),_xll.BDH(config!$G$4,N$1,WORKDAY($A505,-1,config_Holiday_Calendar_US),WORKDAY($A505,-1,config_Holiday_Calendar_US)),IF(ISNUMBER(_xll.BDH(config!$G$4,N$1,$A505,$A505)),_xll.BDH(config!$G$4,N$1,$A505,$A505),_xll.BDH(config!$G$5,N$1,$A505,$A505))))</f>
        <v/>
      </c>
      <c r="O505" s="8" t="str">
        <f>IF($A505="","",IF(ISNUMBER(FIND("IMPVOL",O$1)),_xll.BDH(config!$G$4,O$1,WORKDAY($A505,-1,config_Holiday_Calendar_US),WORKDAY($A505,-1,config_Holiday_Calendar_US)),IF(ISNUMBER(_xll.BDH(config!$G$4,O$1,$A505,$A505)),_xll.BDH(config!$G$4,O$1,$A505,$A505),_xll.BDH(config!$G$5,O$1,$A505,$A505))))</f>
        <v/>
      </c>
      <c r="P505" s="8" t="str">
        <f>IF($A505="","",IF(ISNUMBER(FIND("IMPVOL",P$1)),_xll.BDH(config!$G$4,P$1,WORKDAY($A505,-1,config_Holiday_Calendar_US),WORKDAY($A505,-1,config_Holiday_Calendar_US)),IF(ISNUMBER(_xll.BDH(config!$G$4,P$1,$A505,$A505)),_xll.BDH(config!$G$4,P$1,$A505,$A505),_xll.BDH(config!$G$5,P$1,$A505,$A505))))</f>
        <v/>
      </c>
      <c r="Q505" s="8" t="str">
        <f>IF($A505="","",IF(ISNUMBER(FIND("IMPVOL",Q$1)),_xll.BDH(config!$G$4,Q$1,WORKDAY($A505,-1,config_Holiday_Calendar_US),WORKDAY($A505,-1,config_Holiday_Calendar_US)),IF(ISNUMBER(_xll.BDH(config!$G$4,Q$1,$A505,$A505)),_xll.BDH(config!$G$4,Q$1,$A505,$A505),_xll.BDH(config!$G$5,Q$1,$A505,$A505))))</f>
        <v/>
      </c>
      <c r="R505" s="8" t="str">
        <f>IF($A505="","",IF(ISNUMBER(FIND("IMPVOL",R$1)),_xll.BDH(config!$G$4,R$1,WORKDAY($A505,-1,config_Holiday_Calendar_US),WORKDAY($A505,-1,config_Holiday_Calendar_US)),IF(ISNUMBER(_xll.BDH(config!$G$4,R$1,$A505,$A505)),_xll.BDH(config!$G$4,R$1,$A505,$A505),_xll.BDH(config!$G$5,R$1,$A505,$A505))))</f>
        <v/>
      </c>
      <c r="S505" s="8" t="str">
        <f>IF($A505="","",IF(ISNUMBER(FIND("IMPVOL",S$1)),_xll.BDH(config!$G$4,S$1,WORKDAY($A505,-1,config_Holiday_Calendar_US),WORKDAY($A505,-1,config_Holiday_Calendar_US)),IF(ISNUMBER(_xll.BDH(config!$G$4,S$1,$A505,$A505)),_xll.BDH(config!$G$4,S$1,$A505,$A505),_xll.BDH(config!$G$5,S$1,$A505,$A505))))</f>
        <v/>
      </c>
      <c r="T505" s="8" t="str">
        <f>IF($A505="","",IF(ISNUMBER(FIND("IMPVOL",T$1)),_xll.BDH(config!$G$4,T$1,WORKDAY($A505,-1,config_Holiday_Calendar_US),WORKDAY($A505,-1,config_Holiday_Calendar_US)),IF(ISNUMBER(_xll.BDH(config!$G$4,T$1,$A505,$A505)),_xll.BDH(config!$G$4,T$1,$A505,$A505),_xll.BDH(config!$G$5,T$1,$A505,$A505))))</f>
        <v/>
      </c>
      <c r="U505" s="8" t="str">
        <f>IF($A505="","",IF(ISNUMBER(FIND("IMPVOL",U$1)),_xll.BDH(config!$G$4,U$1,WORKDAY($A505,-1,config_Holiday_Calendar_US),WORKDAY($A505,-1,config_Holiday_Calendar_US)),IF(ISNUMBER(_xll.BDH(config!$G$4,U$1,$A505,$A505)),_xll.BDH(config!$G$4,U$1,$A505,$A505),_xll.BDH(config!$G$5,U$1,$A505,$A505))))</f>
        <v/>
      </c>
      <c r="V505" s="8" t="str">
        <f>IF($A505="","",IF(ISNUMBER(FIND("IMPVOL",V$1)),_xll.BDH(config!$G$4,V$1,WORKDAY($A505,-1,config_Holiday_Calendar_US),WORKDAY($A505,-1,config_Holiday_Calendar_US)),IF(ISNUMBER(_xll.BDH(config!$G$4,V$1,$A505,$A505)),_xll.BDH(config!$G$4,V$1,$A505,$A505),_xll.BDH(config!$G$5,V$1,$A505,$A505))))</f>
        <v/>
      </c>
      <c r="W505" s="8" t="str">
        <f>IF($A505="","",IF(ISNUMBER(FIND("IMPVOL",W$1)),_xll.BDH(config!$G$4,W$1,WORKDAY($A505,-1,config_Holiday_Calendar_US),WORKDAY($A505,-1,config_Holiday_Calendar_US)),IF(ISNUMBER(_xll.BDH(config!$G$4,W$1,$A505,$A505)),_xll.BDH(config!$G$4,W$1,$A505,$A505),_xll.BDH(config!$G$5,W$1,$A505,$A505))))</f>
        <v/>
      </c>
    </row>
    <row r="506" spans="1:23" x14ac:dyDescent="0.2">
      <c r="A506" s="9" t="str">
        <f>IF(A505="","",IF(WORKDAY(A505,-1,config_Holiday_Calendar_US)&lt;config!$I$10,"",WORKDAY(A505,-1,config_Holiday_Calendar_US)))</f>
        <v/>
      </c>
      <c r="B506" s="8" t="str">
        <f t="shared" si="7"/>
        <v/>
      </c>
      <c r="C506" s="8" t="str">
        <f>IF(A506="","",_xll.BDH(config!$H$4,C$1,$A506,$A506))</f>
        <v/>
      </c>
      <c r="D506" s="8" t="str">
        <f>IF($A506="","",_xll.BDH(config!$H$4,D$1,$A506,$A506))</f>
        <v/>
      </c>
      <c r="E506" s="8" t="str">
        <f>IF($A506="","",IF(ISNUMBER(FIND("IMPVOL",E$1)),_xll.BDH(config!$G$4,E$1,WORKDAY($A506,-1,config_Holiday_Calendar_US),WORKDAY($A506,-1,config_Holiday_Calendar_US)),IF(ISNUMBER(_xll.BDH(config!$G$4,E$1,$A506,$A506)),_xll.BDH(config!$G$4,E$1,$A506,$A506),_xll.BDH(config!$G$5,E$1,$A506,$A506))))</f>
        <v/>
      </c>
      <c r="F506" s="8" t="str">
        <f>IF($A506="","",IF(ISNUMBER(FIND("IMPVOL",F$1)),_xll.BDH(config!$G$4,F$1,WORKDAY($A506,-1,config_Holiday_Calendar_US),WORKDAY($A506,-1,config_Holiday_Calendar_US)),IF(ISNUMBER(_xll.BDH(config!$G$4,F$1,$A506,$A506)),_xll.BDH(config!$G$4,F$1,$A506,$A506),_xll.BDH(config!$G$5,F$1,$A506,$A506))))</f>
        <v/>
      </c>
      <c r="G506" s="8" t="str">
        <f>IF($A506="","",IF(ISNUMBER(FIND("IMPVOL",G$1)),_xll.BDH(config!$G$4,G$1,WORKDAY($A506,-1,config_Holiday_Calendar_US),WORKDAY($A506,-1,config_Holiday_Calendar_US)),IF(ISNUMBER(_xll.BDH(config!$G$4,G$1,$A506,$A506)),_xll.BDH(config!$G$4,G$1,$A506,$A506),_xll.BDH(config!$G$5,G$1,$A506,$A506))))</f>
        <v/>
      </c>
      <c r="H506" s="8" t="str">
        <f>IF($A506="","",IF(ISNUMBER(FIND("IMPVOL",H$1)),_xll.BDH(config!$G$4,H$1,WORKDAY($A506,-1,config_Holiday_Calendar_US),WORKDAY($A506,-1,config_Holiday_Calendar_US)),IF(ISNUMBER(_xll.BDH(config!$G$4,H$1,$A506,$A506)),_xll.BDH(config!$G$4,H$1,$A506,$A506),_xll.BDH(config!$G$5,H$1,$A506,$A506))))</f>
        <v/>
      </c>
      <c r="I506" s="8" t="str">
        <f>IF($A506="","",IF(ISNUMBER(FIND("IMPVOL",I$1)),_xll.BDH(config!$G$4,I$1,WORKDAY($A506,-1,config_Holiday_Calendar_US),WORKDAY($A506,-1,config_Holiday_Calendar_US)),IF(ISNUMBER(_xll.BDH(config!$G$4,I$1,$A506,$A506)),_xll.BDH(config!$G$4,I$1,$A506,$A506),_xll.BDH(config!$G$5,I$1,$A506,$A506))))</f>
        <v/>
      </c>
      <c r="J506" s="8" t="str">
        <f>IF($A506="","",IF(ISNUMBER(FIND("IMPVOL",J$1)),_xll.BDH(config!$G$4,J$1,WORKDAY($A506,-1,config_Holiday_Calendar_US),WORKDAY($A506,-1,config_Holiday_Calendar_US)),IF(ISNUMBER(_xll.BDH(config!$G$4,J$1,$A506,$A506)),_xll.BDH(config!$G$4,J$1,$A506,$A506),_xll.BDH(config!$G$5,J$1,$A506,$A506))))</f>
        <v/>
      </c>
      <c r="K506" s="8" t="str">
        <f>IF($A506="","",IF(ISNUMBER(FIND("IMPVOL",K$1)),_xll.BDH(config!$G$4,K$1,WORKDAY($A506,-1,config_Holiday_Calendar_US),WORKDAY($A506,-1,config_Holiday_Calendar_US)),IF(ISNUMBER(_xll.BDH(config!$G$4,K$1,$A506,$A506)),_xll.BDH(config!$G$4,K$1,$A506,$A506),_xll.BDH(config!$G$5,K$1,$A506,$A506))))</f>
        <v/>
      </c>
      <c r="L506" s="8" t="str">
        <f>IF($A506="","",IF(ISNUMBER(FIND("IMPVOL",L$1)),_xll.BDH(config!$G$4,L$1,WORKDAY($A506,-1,config_Holiday_Calendar_US),WORKDAY($A506,-1,config_Holiday_Calendar_US)),IF(ISNUMBER(_xll.BDH(config!$G$4,L$1,$A506,$A506)),_xll.BDH(config!$G$4,L$1,$A506,$A506),_xll.BDH(config!$G$5,L$1,$A506,$A506))))</f>
        <v/>
      </c>
      <c r="M506" s="8" t="str">
        <f>IF($A506="","",IF(ISNUMBER(FIND("IMPVOL",M$1)),_xll.BDH(config!$G$4,M$1,WORKDAY($A506,-1,config_Holiday_Calendar_US),WORKDAY($A506,-1,config_Holiday_Calendar_US)),IF(ISNUMBER(_xll.BDH(config!$G$4,M$1,$A506,$A506)),_xll.BDH(config!$G$4,M$1,$A506,$A506),_xll.BDH(config!$G$5,M$1,$A506,$A506))))</f>
        <v/>
      </c>
      <c r="N506" s="8" t="str">
        <f>IF($A506="","",IF(ISNUMBER(FIND("IMPVOL",N$1)),_xll.BDH(config!$G$4,N$1,WORKDAY($A506,-1,config_Holiday_Calendar_US),WORKDAY($A506,-1,config_Holiday_Calendar_US)),IF(ISNUMBER(_xll.BDH(config!$G$4,N$1,$A506,$A506)),_xll.BDH(config!$G$4,N$1,$A506,$A506),_xll.BDH(config!$G$5,N$1,$A506,$A506))))</f>
        <v/>
      </c>
      <c r="O506" s="8" t="str">
        <f>IF($A506="","",IF(ISNUMBER(FIND("IMPVOL",O$1)),_xll.BDH(config!$G$4,O$1,WORKDAY($A506,-1,config_Holiday_Calendar_US),WORKDAY($A506,-1,config_Holiday_Calendar_US)),IF(ISNUMBER(_xll.BDH(config!$G$4,O$1,$A506,$A506)),_xll.BDH(config!$G$4,O$1,$A506,$A506),_xll.BDH(config!$G$5,O$1,$A506,$A506))))</f>
        <v/>
      </c>
      <c r="P506" s="8" t="str">
        <f>IF($A506="","",IF(ISNUMBER(FIND("IMPVOL",P$1)),_xll.BDH(config!$G$4,P$1,WORKDAY($A506,-1,config_Holiday_Calendar_US),WORKDAY($A506,-1,config_Holiday_Calendar_US)),IF(ISNUMBER(_xll.BDH(config!$G$4,P$1,$A506,$A506)),_xll.BDH(config!$G$4,P$1,$A506,$A506),_xll.BDH(config!$G$5,P$1,$A506,$A506))))</f>
        <v/>
      </c>
      <c r="Q506" s="8" t="str">
        <f>IF($A506="","",IF(ISNUMBER(FIND("IMPVOL",Q$1)),_xll.BDH(config!$G$4,Q$1,WORKDAY($A506,-1,config_Holiday_Calendar_US),WORKDAY($A506,-1,config_Holiday_Calendar_US)),IF(ISNUMBER(_xll.BDH(config!$G$4,Q$1,$A506,$A506)),_xll.BDH(config!$G$4,Q$1,$A506,$A506),_xll.BDH(config!$G$5,Q$1,$A506,$A506))))</f>
        <v/>
      </c>
      <c r="R506" s="8" t="str">
        <f>IF($A506="","",IF(ISNUMBER(FIND("IMPVOL",R$1)),_xll.BDH(config!$G$4,R$1,WORKDAY($A506,-1,config_Holiday_Calendar_US),WORKDAY($A506,-1,config_Holiday_Calendar_US)),IF(ISNUMBER(_xll.BDH(config!$G$4,R$1,$A506,$A506)),_xll.BDH(config!$G$4,R$1,$A506,$A506),_xll.BDH(config!$G$5,R$1,$A506,$A506))))</f>
        <v/>
      </c>
      <c r="S506" s="8" t="str">
        <f>IF($A506="","",IF(ISNUMBER(FIND("IMPVOL",S$1)),_xll.BDH(config!$G$4,S$1,WORKDAY($A506,-1,config_Holiday_Calendar_US),WORKDAY($A506,-1,config_Holiday_Calendar_US)),IF(ISNUMBER(_xll.BDH(config!$G$4,S$1,$A506,$A506)),_xll.BDH(config!$G$4,S$1,$A506,$A506),_xll.BDH(config!$G$5,S$1,$A506,$A506))))</f>
        <v/>
      </c>
      <c r="T506" s="8" t="str">
        <f>IF($A506="","",IF(ISNUMBER(FIND("IMPVOL",T$1)),_xll.BDH(config!$G$4,T$1,WORKDAY($A506,-1,config_Holiday_Calendar_US),WORKDAY($A506,-1,config_Holiday_Calendar_US)),IF(ISNUMBER(_xll.BDH(config!$G$4,T$1,$A506,$A506)),_xll.BDH(config!$G$4,T$1,$A506,$A506),_xll.BDH(config!$G$5,T$1,$A506,$A506))))</f>
        <v/>
      </c>
      <c r="U506" s="8" t="str">
        <f>IF($A506="","",IF(ISNUMBER(FIND("IMPVOL",U$1)),_xll.BDH(config!$G$4,U$1,WORKDAY($A506,-1,config_Holiday_Calendar_US),WORKDAY($A506,-1,config_Holiday_Calendar_US)),IF(ISNUMBER(_xll.BDH(config!$G$4,U$1,$A506,$A506)),_xll.BDH(config!$G$4,U$1,$A506,$A506),_xll.BDH(config!$G$5,U$1,$A506,$A506))))</f>
        <v/>
      </c>
      <c r="V506" s="8" t="str">
        <f>IF($A506="","",IF(ISNUMBER(FIND("IMPVOL",V$1)),_xll.BDH(config!$G$4,V$1,WORKDAY($A506,-1,config_Holiday_Calendar_US),WORKDAY($A506,-1,config_Holiday_Calendar_US)),IF(ISNUMBER(_xll.BDH(config!$G$4,V$1,$A506,$A506)),_xll.BDH(config!$G$4,V$1,$A506,$A506),_xll.BDH(config!$G$5,V$1,$A506,$A506))))</f>
        <v/>
      </c>
      <c r="W506" s="8" t="str">
        <f>IF($A506="","",IF(ISNUMBER(FIND("IMPVOL",W$1)),_xll.BDH(config!$G$4,W$1,WORKDAY($A506,-1,config_Holiday_Calendar_US),WORKDAY($A506,-1,config_Holiday_Calendar_US)),IF(ISNUMBER(_xll.BDH(config!$G$4,W$1,$A506,$A506)),_xll.BDH(config!$G$4,W$1,$A506,$A506),_xll.BDH(config!$G$5,W$1,$A506,$A506))))</f>
        <v/>
      </c>
    </row>
    <row r="507" spans="1:23" x14ac:dyDescent="0.2">
      <c r="A507" s="9" t="str">
        <f>IF(A506="","",IF(WORKDAY(A506,-1,config_Holiday_Calendar_US)&lt;config!$I$10,"",WORKDAY(A506,-1,config_Holiday_Calendar_US)))</f>
        <v/>
      </c>
      <c r="B507" s="8" t="str">
        <f t="shared" si="7"/>
        <v/>
      </c>
      <c r="C507" s="8" t="str">
        <f>IF(A507="","",_xll.BDH(config!$H$4,C$1,$A507,$A507))</f>
        <v/>
      </c>
      <c r="D507" s="8" t="str">
        <f>IF($A507="","",_xll.BDH(config!$H$4,D$1,$A507,$A507))</f>
        <v/>
      </c>
      <c r="E507" s="8" t="str">
        <f>IF($A507="","",IF(ISNUMBER(FIND("IMPVOL",E$1)),_xll.BDH(config!$G$4,E$1,WORKDAY($A507,-1,config_Holiday_Calendar_US),WORKDAY($A507,-1,config_Holiday_Calendar_US)),IF(ISNUMBER(_xll.BDH(config!$G$4,E$1,$A507,$A507)),_xll.BDH(config!$G$4,E$1,$A507,$A507),_xll.BDH(config!$G$5,E$1,$A507,$A507))))</f>
        <v/>
      </c>
      <c r="F507" s="8" t="str">
        <f>IF($A507="","",IF(ISNUMBER(FIND("IMPVOL",F$1)),_xll.BDH(config!$G$4,F$1,WORKDAY($A507,-1,config_Holiday_Calendar_US),WORKDAY($A507,-1,config_Holiday_Calendar_US)),IF(ISNUMBER(_xll.BDH(config!$G$4,F$1,$A507,$A507)),_xll.BDH(config!$G$4,F$1,$A507,$A507),_xll.BDH(config!$G$5,F$1,$A507,$A507))))</f>
        <v/>
      </c>
      <c r="G507" s="8" t="str">
        <f>IF($A507="","",IF(ISNUMBER(FIND("IMPVOL",G$1)),_xll.BDH(config!$G$4,G$1,WORKDAY($A507,-1,config_Holiday_Calendar_US),WORKDAY($A507,-1,config_Holiday_Calendar_US)),IF(ISNUMBER(_xll.BDH(config!$G$4,G$1,$A507,$A507)),_xll.BDH(config!$G$4,G$1,$A507,$A507),_xll.BDH(config!$G$5,G$1,$A507,$A507))))</f>
        <v/>
      </c>
      <c r="H507" s="8" t="str">
        <f>IF($A507="","",IF(ISNUMBER(FIND("IMPVOL",H$1)),_xll.BDH(config!$G$4,H$1,WORKDAY($A507,-1,config_Holiday_Calendar_US),WORKDAY($A507,-1,config_Holiday_Calendar_US)),IF(ISNUMBER(_xll.BDH(config!$G$4,H$1,$A507,$A507)),_xll.BDH(config!$G$4,H$1,$A507,$A507),_xll.BDH(config!$G$5,H$1,$A507,$A507))))</f>
        <v/>
      </c>
      <c r="I507" s="8" t="str">
        <f>IF($A507="","",IF(ISNUMBER(FIND("IMPVOL",I$1)),_xll.BDH(config!$G$4,I$1,WORKDAY($A507,-1,config_Holiday_Calendar_US),WORKDAY($A507,-1,config_Holiday_Calendar_US)),IF(ISNUMBER(_xll.BDH(config!$G$4,I$1,$A507,$A507)),_xll.BDH(config!$G$4,I$1,$A507,$A507),_xll.BDH(config!$G$5,I$1,$A507,$A507))))</f>
        <v/>
      </c>
      <c r="J507" s="8" t="str">
        <f>IF($A507="","",IF(ISNUMBER(FIND("IMPVOL",J$1)),_xll.BDH(config!$G$4,J$1,WORKDAY($A507,-1,config_Holiday_Calendar_US),WORKDAY($A507,-1,config_Holiday_Calendar_US)),IF(ISNUMBER(_xll.BDH(config!$G$4,J$1,$A507,$A507)),_xll.BDH(config!$G$4,J$1,$A507,$A507),_xll.BDH(config!$G$5,J$1,$A507,$A507))))</f>
        <v/>
      </c>
      <c r="K507" s="8" t="str">
        <f>IF($A507="","",IF(ISNUMBER(FIND("IMPVOL",K$1)),_xll.BDH(config!$G$4,K$1,WORKDAY($A507,-1,config_Holiday_Calendar_US),WORKDAY($A507,-1,config_Holiday_Calendar_US)),IF(ISNUMBER(_xll.BDH(config!$G$4,K$1,$A507,$A507)),_xll.BDH(config!$G$4,K$1,$A507,$A507),_xll.BDH(config!$G$5,K$1,$A507,$A507))))</f>
        <v/>
      </c>
      <c r="L507" s="8" t="str">
        <f>IF($A507="","",IF(ISNUMBER(FIND("IMPVOL",L$1)),_xll.BDH(config!$G$4,L$1,WORKDAY($A507,-1,config_Holiday_Calendar_US),WORKDAY($A507,-1,config_Holiday_Calendar_US)),IF(ISNUMBER(_xll.BDH(config!$G$4,L$1,$A507,$A507)),_xll.BDH(config!$G$4,L$1,$A507,$A507),_xll.BDH(config!$G$5,L$1,$A507,$A507))))</f>
        <v/>
      </c>
      <c r="M507" s="8" t="str">
        <f>IF($A507="","",IF(ISNUMBER(FIND("IMPVOL",M$1)),_xll.BDH(config!$G$4,M$1,WORKDAY($A507,-1,config_Holiday_Calendar_US),WORKDAY($A507,-1,config_Holiday_Calendar_US)),IF(ISNUMBER(_xll.BDH(config!$G$4,M$1,$A507,$A507)),_xll.BDH(config!$G$4,M$1,$A507,$A507),_xll.BDH(config!$G$5,M$1,$A507,$A507))))</f>
        <v/>
      </c>
      <c r="N507" s="8" t="str">
        <f>IF($A507="","",IF(ISNUMBER(FIND("IMPVOL",N$1)),_xll.BDH(config!$G$4,N$1,WORKDAY($A507,-1,config_Holiday_Calendar_US),WORKDAY($A507,-1,config_Holiday_Calendar_US)),IF(ISNUMBER(_xll.BDH(config!$G$4,N$1,$A507,$A507)),_xll.BDH(config!$G$4,N$1,$A507,$A507),_xll.BDH(config!$G$5,N$1,$A507,$A507))))</f>
        <v/>
      </c>
      <c r="O507" s="8" t="str">
        <f>IF($A507="","",IF(ISNUMBER(FIND("IMPVOL",O$1)),_xll.BDH(config!$G$4,O$1,WORKDAY($A507,-1,config_Holiday_Calendar_US),WORKDAY($A507,-1,config_Holiday_Calendar_US)),IF(ISNUMBER(_xll.BDH(config!$G$4,O$1,$A507,$A507)),_xll.BDH(config!$G$4,O$1,$A507,$A507),_xll.BDH(config!$G$5,O$1,$A507,$A507))))</f>
        <v/>
      </c>
      <c r="P507" s="8" t="str">
        <f>IF($A507="","",IF(ISNUMBER(FIND("IMPVOL",P$1)),_xll.BDH(config!$G$4,P$1,WORKDAY($A507,-1,config_Holiday_Calendar_US),WORKDAY($A507,-1,config_Holiday_Calendar_US)),IF(ISNUMBER(_xll.BDH(config!$G$4,P$1,$A507,$A507)),_xll.BDH(config!$G$4,P$1,$A507,$A507),_xll.BDH(config!$G$5,P$1,$A507,$A507))))</f>
        <v/>
      </c>
      <c r="Q507" s="8" t="str">
        <f>IF($A507="","",IF(ISNUMBER(FIND("IMPVOL",Q$1)),_xll.BDH(config!$G$4,Q$1,WORKDAY($A507,-1,config_Holiday_Calendar_US),WORKDAY($A507,-1,config_Holiday_Calendar_US)),IF(ISNUMBER(_xll.BDH(config!$G$4,Q$1,$A507,$A507)),_xll.BDH(config!$G$4,Q$1,$A507,$A507),_xll.BDH(config!$G$5,Q$1,$A507,$A507))))</f>
        <v/>
      </c>
      <c r="R507" s="8" t="str">
        <f>IF($A507="","",IF(ISNUMBER(FIND("IMPVOL",R$1)),_xll.BDH(config!$G$4,R$1,WORKDAY($A507,-1,config_Holiday_Calendar_US),WORKDAY($A507,-1,config_Holiday_Calendar_US)),IF(ISNUMBER(_xll.BDH(config!$G$4,R$1,$A507,$A507)),_xll.BDH(config!$G$4,R$1,$A507,$A507),_xll.BDH(config!$G$5,R$1,$A507,$A507))))</f>
        <v/>
      </c>
      <c r="S507" s="8" t="str">
        <f>IF($A507="","",IF(ISNUMBER(FIND("IMPVOL",S$1)),_xll.BDH(config!$G$4,S$1,WORKDAY($A507,-1,config_Holiday_Calendar_US),WORKDAY($A507,-1,config_Holiday_Calendar_US)),IF(ISNUMBER(_xll.BDH(config!$G$4,S$1,$A507,$A507)),_xll.BDH(config!$G$4,S$1,$A507,$A507),_xll.BDH(config!$G$5,S$1,$A507,$A507))))</f>
        <v/>
      </c>
      <c r="T507" s="8" t="str">
        <f>IF($A507="","",IF(ISNUMBER(FIND("IMPVOL",T$1)),_xll.BDH(config!$G$4,T$1,WORKDAY($A507,-1,config_Holiday_Calendar_US),WORKDAY($A507,-1,config_Holiday_Calendar_US)),IF(ISNUMBER(_xll.BDH(config!$G$4,T$1,$A507,$A507)),_xll.BDH(config!$G$4,T$1,$A507,$A507),_xll.BDH(config!$G$5,T$1,$A507,$A507))))</f>
        <v/>
      </c>
      <c r="U507" s="8" t="str">
        <f>IF($A507="","",IF(ISNUMBER(FIND("IMPVOL",U$1)),_xll.BDH(config!$G$4,U$1,WORKDAY($A507,-1,config_Holiday_Calendar_US),WORKDAY($A507,-1,config_Holiday_Calendar_US)),IF(ISNUMBER(_xll.BDH(config!$G$4,U$1,$A507,$A507)),_xll.BDH(config!$G$4,U$1,$A507,$A507),_xll.BDH(config!$G$5,U$1,$A507,$A507))))</f>
        <v/>
      </c>
      <c r="V507" s="8" t="str">
        <f>IF($A507="","",IF(ISNUMBER(FIND("IMPVOL",V$1)),_xll.BDH(config!$G$4,V$1,WORKDAY($A507,-1,config_Holiday_Calendar_US),WORKDAY($A507,-1,config_Holiday_Calendar_US)),IF(ISNUMBER(_xll.BDH(config!$G$4,V$1,$A507,$A507)),_xll.BDH(config!$G$4,V$1,$A507,$A507),_xll.BDH(config!$G$5,V$1,$A507,$A507))))</f>
        <v/>
      </c>
      <c r="W507" s="8" t="str">
        <f>IF($A507="","",IF(ISNUMBER(FIND("IMPVOL",W$1)),_xll.BDH(config!$G$4,W$1,WORKDAY($A507,-1,config_Holiday_Calendar_US),WORKDAY($A507,-1,config_Holiday_Calendar_US)),IF(ISNUMBER(_xll.BDH(config!$G$4,W$1,$A507,$A507)),_xll.BDH(config!$G$4,W$1,$A507,$A507),_xll.BDH(config!$G$5,W$1,$A507,$A507))))</f>
        <v/>
      </c>
    </row>
    <row r="508" spans="1:23" x14ac:dyDescent="0.2">
      <c r="A508" s="9" t="str">
        <f>IF(A507="","",IF(WORKDAY(A507,-1,config_Holiday_Calendar_US)&lt;config!$I$10,"",WORKDAY(A507,-1,config_Holiday_Calendar_US)))</f>
        <v/>
      </c>
      <c r="B508" s="8" t="str">
        <f t="shared" si="7"/>
        <v/>
      </c>
      <c r="C508" s="8" t="str">
        <f>IF(A508="","",_xll.BDH(config!$H$4,C$1,$A508,$A508))</f>
        <v/>
      </c>
      <c r="D508" s="8" t="str">
        <f>IF($A508="","",_xll.BDH(config!$H$4,D$1,$A508,$A508))</f>
        <v/>
      </c>
      <c r="E508" s="8" t="str">
        <f>IF($A508="","",IF(ISNUMBER(FIND("IMPVOL",E$1)),_xll.BDH(config!$G$4,E$1,WORKDAY($A508,-1,config_Holiday_Calendar_US),WORKDAY($A508,-1,config_Holiday_Calendar_US)),IF(ISNUMBER(_xll.BDH(config!$G$4,E$1,$A508,$A508)),_xll.BDH(config!$G$4,E$1,$A508,$A508),_xll.BDH(config!$G$5,E$1,$A508,$A508))))</f>
        <v/>
      </c>
      <c r="F508" s="8" t="str">
        <f>IF($A508="","",IF(ISNUMBER(FIND("IMPVOL",F$1)),_xll.BDH(config!$G$4,F$1,WORKDAY($A508,-1,config_Holiday_Calendar_US),WORKDAY($A508,-1,config_Holiday_Calendar_US)),IF(ISNUMBER(_xll.BDH(config!$G$4,F$1,$A508,$A508)),_xll.BDH(config!$G$4,F$1,$A508,$A508),_xll.BDH(config!$G$5,F$1,$A508,$A508))))</f>
        <v/>
      </c>
      <c r="G508" s="8" t="str">
        <f>IF($A508="","",IF(ISNUMBER(FIND("IMPVOL",G$1)),_xll.BDH(config!$G$4,G$1,WORKDAY($A508,-1,config_Holiday_Calendar_US),WORKDAY($A508,-1,config_Holiday_Calendar_US)),IF(ISNUMBER(_xll.BDH(config!$G$4,G$1,$A508,$A508)),_xll.BDH(config!$G$4,G$1,$A508,$A508),_xll.BDH(config!$G$5,G$1,$A508,$A508))))</f>
        <v/>
      </c>
      <c r="H508" s="8" t="str">
        <f>IF($A508="","",IF(ISNUMBER(FIND("IMPVOL",H$1)),_xll.BDH(config!$G$4,H$1,WORKDAY($A508,-1,config_Holiday_Calendar_US),WORKDAY($A508,-1,config_Holiday_Calendar_US)),IF(ISNUMBER(_xll.BDH(config!$G$4,H$1,$A508,$A508)),_xll.BDH(config!$G$4,H$1,$A508,$A508),_xll.BDH(config!$G$5,H$1,$A508,$A508))))</f>
        <v/>
      </c>
      <c r="I508" s="8" t="str">
        <f>IF($A508="","",IF(ISNUMBER(FIND("IMPVOL",I$1)),_xll.BDH(config!$G$4,I$1,WORKDAY($A508,-1,config_Holiday_Calendar_US),WORKDAY($A508,-1,config_Holiday_Calendar_US)),IF(ISNUMBER(_xll.BDH(config!$G$4,I$1,$A508,$A508)),_xll.BDH(config!$G$4,I$1,$A508,$A508),_xll.BDH(config!$G$5,I$1,$A508,$A508))))</f>
        <v/>
      </c>
      <c r="J508" s="8" t="str">
        <f>IF($A508="","",IF(ISNUMBER(FIND("IMPVOL",J$1)),_xll.BDH(config!$G$4,J$1,WORKDAY($A508,-1,config_Holiday_Calendar_US),WORKDAY($A508,-1,config_Holiday_Calendar_US)),IF(ISNUMBER(_xll.BDH(config!$G$4,J$1,$A508,$A508)),_xll.BDH(config!$G$4,J$1,$A508,$A508),_xll.BDH(config!$G$5,J$1,$A508,$A508))))</f>
        <v/>
      </c>
      <c r="K508" s="8" t="str">
        <f>IF($A508="","",IF(ISNUMBER(FIND("IMPVOL",K$1)),_xll.BDH(config!$G$4,K$1,WORKDAY($A508,-1,config_Holiday_Calendar_US),WORKDAY($A508,-1,config_Holiday_Calendar_US)),IF(ISNUMBER(_xll.BDH(config!$G$4,K$1,$A508,$A508)),_xll.BDH(config!$G$4,K$1,$A508,$A508),_xll.BDH(config!$G$5,K$1,$A508,$A508))))</f>
        <v/>
      </c>
      <c r="L508" s="8" t="str">
        <f>IF($A508="","",IF(ISNUMBER(FIND("IMPVOL",L$1)),_xll.BDH(config!$G$4,L$1,WORKDAY($A508,-1,config_Holiday_Calendar_US),WORKDAY($A508,-1,config_Holiday_Calendar_US)),IF(ISNUMBER(_xll.BDH(config!$G$4,L$1,$A508,$A508)),_xll.BDH(config!$G$4,L$1,$A508,$A508),_xll.BDH(config!$G$5,L$1,$A508,$A508))))</f>
        <v/>
      </c>
      <c r="M508" s="8" t="str">
        <f>IF($A508="","",IF(ISNUMBER(FIND("IMPVOL",M$1)),_xll.BDH(config!$G$4,M$1,WORKDAY($A508,-1,config_Holiday_Calendar_US),WORKDAY($A508,-1,config_Holiday_Calendar_US)),IF(ISNUMBER(_xll.BDH(config!$G$4,M$1,$A508,$A508)),_xll.BDH(config!$G$4,M$1,$A508,$A508),_xll.BDH(config!$G$5,M$1,$A508,$A508))))</f>
        <v/>
      </c>
      <c r="N508" s="8" t="str">
        <f>IF($A508="","",IF(ISNUMBER(FIND("IMPVOL",N$1)),_xll.BDH(config!$G$4,N$1,WORKDAY($A508,-1,config_Holiday_Calendar_US),WORKDAY($A508,-1,config_Holiday_Calendar_US)),IF(ISNUMBER(_xll.BDH(config!$G$4,N$1,$A508,$A508)),_xll.BDH(config!$G$4,N$1,$A508,$A508),_xll.BDH(config!$G$5,N$1,$A508,$A508))))</f>
        <v/>
      </c>
      <c r="O508" s="8" t="str">
        <f>IF($A508="","",IF(ISNUMBER(FIND("IMPVOL",O$1)),_xll.BDH(config!$G$4,O$1,WORKDAY($A508,-1,config_Holiday_Calendar_US),WORKDAY($A508,-1,config_Holiday_Calendar_US)),IF(ISNUMBER(_xll.BDH(config!$G$4,O$1,$A508,$A508)),_xll.BDH(config!$G$4,O$1,$A508,$A508),_xll.BDH(config!$G$5,O$1,$A508,$A508))))</f>
        <v/>
      </c>
      <c r="P508" s="8" t="str">
        <f>IF($A508="","",IF(ISNUMBER(FIND("IMPVOL",P$1)),_xll.BDH(config!$G$4,P$1,WORKDAY($A508,-1,config_Holiday_Calendar_US),WORKDAY($A508,-1,config_Holiday_Calendar_US)),IF(ISNUMBER(_xll.BDH(config!$G$4,P$1,$A508,$A508)),_xll.BDH(config!$G$4,P$1,$A508,$A508),_xll.BDH(config!$G$5,P$1,$A508,$A508))))</f>
        <v/>
      </c>
      <c r="Q508" s="8" t="str">
        <f>IF($A508="","",IF(ISNUMBER(FIND("IMPVOL",Q$1)),_xll.BDH(config!$G$4,Q$1,WORKDAY($A508,-1,config_Holiday_Calendar_US),WORKDAY($A508,-1,config_Holiday_Calendar_US)),IF(ISNUMBER(_xll.BDH(config!$G$4,Q$1,$A508,$A508)),_xll.BDH(config!$G$4,Q$1,$A508,$A508),_xll.BDH(config!$G$5,Q$1,$A508,$A508))))</f>
        <v/>
      </c>
      <c r="R508" s="8" t="str">
        <f>IF($A508="","",IF(ISNUMBER(FIND("IMPVOL",R$1)),_xll.BDH(config!$G$4,R$1,WORKDAY($A508,-1,config_Holiday_Calendar_US),WORKDAY($A508,-1,config_Holiday_Calendar_US)),IF(ISNUMBER(_xll.BDH(config!$G$4,R$1,$A508,$A508)),_xll.BDH(config!$G$4,R$1,$A508,$A508),_xll.BDH(config!$G$5,R$1,$A508,$A508))))</f>
        <v/>
      </c>
      <c r="S508" s="8" t="str">
        <f>IF($A508="","",IF(ISNUMBER(FIND("IMPVOL",S$1)),_xll.BDH(config!$G$4,S$1,WORKDAY($A508,-1,config_Holiday_Calendar_US),WORKDAY($A508,-1,config_Holiday_Calendar_US)),IF(ISNUMBER(_xll.BDH(config!$G$4,S$1,$A508,$A508)),_xll.BDH(config!$G$4,S$1,$A508,$A508),_xll.BDH(config!$G$5,S$1,$A508,$A508))))</f>
        <v/>
      </c>
      <c r="T508" s="8" t="str">
        <f>IF($A508="","",IF(ISNUMBER(FIND("IMPVOL",T$1)),_xll.BDH(config!$G$4,T$1,WORKDAY($A508,-1,config_Holiday_Calendar_US),WORKDAY($A508,-1,config_Holiday_Calendar_US)),IF(ISNUMBER(_xll.BDH(config!$G$4,T$1,$A508,$A508)),_xll.BDH(config!$G$4,T$1,$A508,$A508),_xll.BDH(config!$G$5,T$1,$A508,$A508))))</f>
        <v/>
      </c>
      <c r="U508" s="8" t="str">
        <f>IF($A508="","",IF(ISNUMBER(FIND("IMPVOL",U$1)),_xll.BDH(config!$G$4,U$1,WORKDAY($A508,-1,config_Holiday_Calendar_US),WORKDAY($A508,-1,config_Holiday_Calendar_US)),IF(ISNUMBER(_xll.BDH(config!$G$4,U$1,$A508,$A508)),_xll.BDH(config!$G$4,U$1,$A508,$A508),_xll.BDH(config!$G$5,U$1,$A508,$A508))))</f>
        <v/>
      </c>
      <c r="V508" s="8" t="str">
        <f>IF($A508="","",IF(ISNUMBER(FIND("IMPVOL",V$1)),_xll.BDH(config!$G$4,V$1,WORKDAY($A508,-1,config_Holiday_Calendar_US),WORKDAY($A508,-1,config_Holiday_Calendar_US)),IF(ISNUMBER(_xll.BDH(config!$G$4,V$1,$A508,$A508)),_xll.BDH(config!$G$4,V$1,$A508,$A508),_xll.BDH(config!$G$5,V$1,$A508,$A508))))</f>
        <v/>
      </c>
      <c r="W508" s="8" t="str">
        <f>IF($A508="","",IF(ISNUMBER(FIND("IMPVOL",W$1)),_xll.BDH(config!$G$4,W$1,WORKDAY($A508,-1,config_Holiday_Calendar_US),WORKDAY($A508,-1,config_Holiday_Calendar_US)),IF(ISNUMBER(_xll.BDH(config!$G$4,W$1,$A508,$A508)),_xll.BDH(config!$G$4,W$1,$A508,$A508),_xll.BDH(config!$G$5,W$1,$A508,$A508))))</f>
        <v/>
      </c>
    </row>
    <row r="509" spans="1:23" x14ac:dyDescent="0.2">
      <c r="A509" s="9" t="str">
        <f>IF(A508="","",IF(WORKDAY(A508,-1,config_Holiday_Calendar_US)&lt;config!$I$10,"",WORKDAY(A508,-1,config_Holiday_Calendar_US)))</f>
        <v/>
      </c>
      <c r="B509" s="8" t="str">
        <f t="shared" si="7"/>
        <v/>
      </c>
      <c r="C509" s="8" t="str">
        <f>IF(A509="","",_xll.BDH(config!$H$4,C$1,$A509,$A509))</f>
        <v/>
      </c>
      <c r="D509" s="8" t="str">
        <f>IF($A509="","",_xll.BDH(config!$H$4,D$1,$A509,$A509))</f>
        <v/>
      </c>
      <c r="E509" s="8" t="str">
        <f>IF($A509="","",IF(ISNUMBER(FIND("IMPVOL",E$1)),_xll.BDH(config!$G$4,E$1,WORKDAY($A509,-1,config_Holiday_Calendar_US),WORKDAY($A509,-1,config_Holiday_Calendar_US)),IF(ISNUMBER(_xll.BDH(config!$G$4,E$1,$A509,$A509)),_xll.BDH(config!$G$4,E$1,$A509,$A509),_xll.BDH(config!$G$5,E$1,$A509,$A509))))</f>
        <v/>
      </c>
      <c r="F509" s="8" t="str">
        <f>IF($A509="","",IF(ISNUMBER(FIND("IMPVOL",F$1)),_xll.BDH(config!$G$4,F$1,WORKDAY($A509,-1,config_Holiday_Calendar_US),WORKDAY($A509,-1,config_Holiday_Calendar_US)),IF(ISNUMBER(_xll.BDH(config!$G$4,F$1,$A509,$A509)),_xll.BDH(config!$G$4,F$1,$A509,$A509),_xll.BDH(config!$G$5,F$1,$A509,$A509))))</f>
        <v/>
      </c>
      <c r="G509" s="8" t="str">
        <f>IF($A509="","",IF(ISNUMBER(FIND("IMPVOL",G$1)),_xll.BDH(config!$G$4,G$1,WORKDAY($A509,-1,config_Holiday_Calendar_US),WORKDAY($A509,-1,config_Holiday_Calendar_US)),IF(ISNUMBER(_xll.BDH(config!$G$4,G$1,$A509,$A509)),_xll.BDH(config!$G$4,G$1,$A509,$A509),_xll.BDH(config!$G$5,G$1,$A509,$A509))))</f>
        <v/>
      </c>
      <c r="H509" s="8" t="str">
        <f>IF($A509="","",IF(ISNUMBER(FIND("IMPVOL",H$1)),_xll.BDH(config!$G$4,H$1,WORKDAY($A509,-1,config_Holiday_Calendar_US),WORKDAY($A509,-1,config_Holiday_Calendar_US)),IF(ISNUMBER(_xll.BDH(config!$G$4,H$1,$A509,$A509)),_xll.BDH(config!$G$4,H$1,$A509,$A509),_xll.BDH(config!$G$5,H$1,$A509,$A509))))</f>
        <v/>
      </c>
      <c r="I509" s="8" t="str">
        <f>IF($A509="","",IF(ISNUMBER(FIND("IMPVOL",I$1)),_xll.BDH(config!$G$4,I$1,WORKDAY($A509,-1,config_Holiday_Calendar_US),WORKDAY($A509,-1,config_Holiday_Calendar_US)),IF(ISNUMBER(_xll.BDH(config!$G$4,I$1,$A509,$A509)),_xll.BDH(config!$G$4,I$1,$A509,$A509),_xll.BDH(config!$G$5,I$1,$A509,$A509))))</f>
        <v/>
      </c>
      <c r="J509" s="8" t="str">
        <f>IF($A509="","",IF(ISNUMBER(FIND("IMPVOL",J$1)),_xll.BDH(config!$G$4,J$1,WORKDAY($A509,-1,config_Holiday_Calendar_US),WORKDAY($A509,-1,config_Holiday_Calendar_US)),IF(ISNUMBER(_xll.BDH(config!$G$4,J$1,$A509,$A509)),_xll.BDH(config!$G$4,J$1,$A509,$A509),_xll.BDH(config!$G$5,J$1,$A509,$A509))))</f>
        <v/>
      </c>
      <c r="K509" s="8" t="str">
        <f>IF($A509="","",IF(ISNUMBER(FIND("IMPVOL",K$1)),_xll.BDH(config!$G$4,K$1,WORKDAY($A509,-1,config_Holiday_Calendar_US),WORKDAY($A509,-1,config_Holiday_Calendar_US)),IF(ISNUMBER(_xll.BDH(config!$G$4,K$1,$A509,$A509)),_xll.BDH(config!$G$4,K$1,$A509,$A509),_xll.BDH(config!$G$5,K$1,$A509,$A509))))</f>
        <v/>
      </c>
      <c r="L509" s="8" t="str">
        <f>IF($A509="","",IF(ISNUMBER(FIND("IMPVOL",L$1)),_xll.BDH(config!$G$4,L$1,WORKDAY($A509,-1,config_Holiday_Calendar_US),WORKDAY($A509,-1,config_Holiday_Calendar_US)),IF(ISNUMBER(_xll.BDH(config!$G$4,L$1,$A509,$A509)),_xll.BDH(config!$G$4,L$1,$A509,$A509),_xll.BDH(config!$G$5,L$1,$A509,$A509))))</f>
        <v/>
      </c>
      <c r="M509" s="8" t="str">
        <f>IF($A509="","",IF(ISNUMBER(FIND("IMPVOL",M$1)),_xll.BDH(config!$G$4,M$1,WORKDAY($A509,-1,config_Holiday_Calendar_US),WORKDAY($A509,-1,config_Holiday_Calendar_US)),IF(ISNUMBER(_xll.BDH(config!$G$4,M$1,$A509,$A509)),_xll.BDH(config!$G$4,M$1,$A509,$A509),_xll.BDH(config!$G$5,M$1,$A509,$A509))))</f>
        <v/>
      </c>
      <c r="N509" s="8" t="str">
        <f>IF($A509="","",IF(ISNUMBER(FIND("IMPVOL",N$1)),_xll.BDH(config!$G$4,N$1,WORKDAY($A509,-1,config_Holiday_Calendar_US),WORKDAY($A509,-1,config_Holiday_Calendar_US)),IF(ISNUMBER(_xll.BDH(config!$G$4,N$1,$A509,$A509)),_xll.BDH(config!$G$4,N$1,$A509,$A509),_xll.BDH(config!$G$5,N$1,$A509,$A509))))</f>
        <v/>
      </c>
      <c r="O509" s="8" t="str">
        <f>IF($A509="","",IF(ISNUMBER(FIND("IMPVOL",O$1)),_xll.BDH(config!$G$4,O$1,WORKDAY($A509,-1,config_Holiday_Calendar_US),WORKDAY($A509,-1,config_Holiday_Calendar_US)),IF(ISNUMBER(_xll.BDH(config!$G$4,O$1,$A509,$A509)),_xll.BDH(config!$G$4,O$1,$A509,$A509),_xll.BDH(config!$G$5,O$1,$A509,$A509))))</f>
        <v/>
      </c>
      <c r="P509" s="8" t="str">
        <f>IF($A509="","",IF(ISNUMBER(FIND("IMPVOL",P$1)),_xll.BDH(config!$G$4,P$1,WORKDAY($A509,-1,config_Holiday_Calendar_US),WORKDAY($A509,-1,config_Holiday_Calendar_US)),IF(ISNUMBER(_xll.BDH(config!$G$4,P$1,$A509,$A509)),_xll.BDH(config!$G$4,P$1,$A509,$A509),_xll.BDH(config!$G$5,P$1,$A509,$A509))))</f>
        <v/>
      </c>
      <c r="Q509" s="8" t="str">
        <f>IF($A509="","",IF(ISNUMBER(FIND("IMPVOL",Q$1)),_xll.BDH(config!$G$4,Q$1,WORKDAY($A509,-1,config_Holiday_Calendar_US),WORKDAY($A509,-1,config_Holiday_Calendar_US)),IF(ISNUMBER(_xll.BDH(config!$G$4,Q$1,$A509,$A509)),_xll.BDH(config!$G$4,Q$1,$A509,$A509),_xll.BDH(config!$G$5,Q$1,$A509,$A509))))</f>
        <v/>
      </c>
      <c r="R509" s="8" t="str">
        <f>IF($A509="","",IF(ISNUMBER(FIND("IMPVOL",R$1)),_xll.BDH(config!$G$4,R$1,WORKDAY($A509,-1,config_Holiday_Calendar_US),WORKDAY($A509,-1,config_Holiday_Calendar_US)),IF(ISNUMBER(_xll.BDH(config!$G$4,R$1,$A509,$A509)),_xll.BDH(config!$G$4,R$1,$A509,$A509),_xll.BDH(config!$G$5,R$1,$A509,$A509))))</f>
        <v/>
      </c>
      <c r="S509" s="8" t="str">
        <f>IF($A509="","",IF(ISNUMBER(FIND("IMPVOL",S$1)),_xll.BDH(config!$G$4,S$1,WORKDAY($A509,-1,config_Holiday_Calendar_US),WORKDAY($A509,-1,config_Holiday_Calendar_US)),IF(ISNUMBER(_xll.BDH(config!$G$4,S$1,$A509,$A509)),_xll.BDH(config!$G$4,S$1,$A509,$A509),_xll.BDH(config!$G$5,S$1,$A509,$A509))))</f>
        <v/>
      </c>
      <c r="T509" s="8" t="str">
        <f>IF($A509="","",IF(ISNUMBER(FIND("IMPVOL",T$1)),_xll.BDH(config!$G$4,T$1,WORKDAY($A509,-1,config_Holiday_Calendar_US),WORKDAY($A509,-1,config_Holiday_Calendar_US)),IF(ISNUMBER(_xll.BDH(config!$G$4,T$1,$A509,$A509)),_xll.BDH(config!$G$4,T$1,$A509,$A509),_xll.BDH(config!$G$5,T$1,$A509,$A509))))</f>
        <v/>
      </c>
      <c r="U509" s="8" t="str">
        <f>IF($A509="","",IF(ISNUMBER(FIND("IMPVOL",U$1)),_xll.BDH(config!$G$4,U$1,WORKDAY($A509,-1,config_Holiday_Calendar_US),WORKDAY($A509,-1,config_Holiday_Calendar_US)),IF(ISNUMBER(_xll.BDH(config!$G$4,U$1,$A509,$A509)),_xll.BDH(config!$G$4,U$1,$A509,$A509),_xll.BDH(config!$G$5,U$1,$A509,$A509))))</f>
        <v/>
      </c>
      <c r="V509" s="8" t="str">
        <f>IF($A509="","",IF(ISNUMBER(FIND("IMPVOL",V$1)),_xll.BDH(config!$G$4,V$1,WORKDAY($A509,-1,config_Holiday_Calendar_US),WORKDAY($A509,-1,config_Holiday_Calendar_US)),IF(ISNUMBER(_xll.BDH(config!$G$4,V$1,$A509,$A509)),_xll.BDH(config!$G$4,V$1,$A509,$A509),_xll.BDH(config!$G$5,V$1,$A509,$A509))))</f>
        <v/>
      </c>
      <c r="W509" s="8" t="str">
        <f>IF($A509="","",IF(ISNUMBER(FIND("IMPVOL",W$1)),_xll.BDH(config!$G$4,W$1,WORKDAY($A509,-1,config_Holiday_Calendar_US),WORKDAY($A509,-1,config_Holiday_Calendar_US)),IF(ISNUMBER(_xll.BDH(config!$G$4,W$1,$A509,$A509)),_xll.BDH(config!$G$4,W$1,$A509,$A509),_xll.BDH(config!$G$5,W$1,$A509,$A509))))</f>
        <v/>
      </c>
    </row>
    <row r="510" spans="1:23" x14ac:dyDescent="0.2">
      <c r="A510" s="9" t="str">
        <f>IF(A509="","",IF(WORKDAY(A509,-1,config_Holiday_Calendar_US)&lt;config!$I$10,"",WORKDAY(A509,-1,config_Holiday_Calendar_US)))</f>
        <v/>
      </c>
      <c r="B510" s="8" t="str">
        <f t="shared" si="7"/>
        <v/>
      </c>
      <c r="C510" s="8" t="str">
        <f>IF(A510="","",_xll.BDH(config!$H$4,C$1,$A510,$A510))</f>
        <v/>
      </c>
      <c r="D510" s="8" t="str">
        <f>IF($A510="","",_xll.BDH(config!$H$4,D$1,$A510,$A510))</f>
        <v/>
      </c>
      <c r="E510" s="8" t="str">
        <f>IF($A510="","",IF(ISNUMBER(FIND("IMPVOL",E$1)),_xll.BDH(config!$G$4,E$1,WORKDAY($A510,-1,config_Holiday_Calendar_US),WORKDAY($A510,-1,config_Holiday_Calendar_US)),IF(ISNUMBER(_xll.BDH(config!$G$4,E$1,$A510,$A510)),_xll.BDH(config!$G$4,E$1,$A510,$A510),_xll.BDH(config!$G$5,E$1,$A510,$A510))))</f>
        <v/>
      </c>
      <c r="F510" s="8" t="str">
        <f>IF($A510="","",IF(ISNUMBER(FIND("IMPVOL",F$1)),_xll.BDH(config!$G$4,F$1,WORKDAY($A510,-1,config_Holiday_Calendar_US),WORKDAY($A510,-1,config_Holiday_Calendar_US)),IF(ISNUMBER(_xll.BDH(config!$G$4,F$1,$A510,$A510)),_xll.BDH(config!$G$4,F$1,$A510,$A510),_xll.BDH(config!$G$5,F$1,$A510,$A510))))</f>
        <v/>
      </c>
      <c r="G510" s="8" t="str">
        <f>IF($A510="","",IF(ISNUMBER(FIND("IMPVOL",G$1)),_xll.BDH(config!$G$4,G$1,WORKDAY($A510,-1,config_Holiday_Calendar_US),WORKDAY($A510,-1,config_Holiday_Calendar_US)),IF(ISNUMBER(_xll.BDH(config!$G$4,G$1,$A510,$A510)),_xll.BDH(config!$G$4,G$1,$A510,$A510),_xll.BDH(config!$G$5,G$1,$A510,$A510))))</f>
        <v/>
      </c>
      <c r="H510" s="8" t="str">
        <f>IF($A510="","",IF(ISNUMBER(FIND("IMPVOL",H$1)),_xll.BDH(config!$G$4,H$1,WORKDAY($A510,-1,config_Holiday_Calendar_US),WORKDAY($A510,-1,config_Holiday_Calendar_US)),IF(ISNUMBER(_xll.BDH(config!$G$4,H$1,$A510,$A510)),_xll.BDH(config!$G$4,H$1,$A510,$A510),_xll.BDH(config!$G$5,H$1,$A510,$A510))))</f>
        <v/>
      </c>
      <c r="I510" s="8" t="str">
        <f>IF($A510="","",IF(ISNUMBER(FIND("IMPVOL",I$1)),_xll.BDH(config!$G$4,I$1,WORKDAY($A510,-1,config_Holiday_Calendar_US),WORKDAY($A510,-1,config_Holiday_Calendar_US)),IF(ISNUMBER(_xll.BDH(config!$G$4,I$1,$A510,$A510)),_xll.BDH(config!$G$4,I$1,$A510,$A510),_xll.BDH(config!$G$5,I$1,$A510,$A510))))</f>
        <v/>
      </c>
      <c r="J510" s="8" t="str">
        <f>IF($A510="","",IF(ISNUMBER(FIND("IMPVOL",J$1)),_xll.BDH(config!$G$4,J$1,WORKDAY($A510,-1,config_Holiday_Calendar_US),WORKDAY($A510,-1,config_Holiday_Calendar_US)),IF(ISNUMBER(_xll.BDH(config!$G$4,J$1,$A510,$A510)),_xll.BDH(config!$G$4,J$1,$A510,$A510),_xll.BDH(config!$G$5,J$1,$A510,$A510))))</f>
        <v/>
      </c>
      <c r="K510" s="8" t="str">
        <f>IF($A510="","",IF(ISNUMBER(FIND("IMPVOL",K$1)),_xll.BDH(config!$G$4,K$1,WORKDAY($A510,-1,config_Holiday_Calendar_US),WORKDAY($A510,-1,config_Holiday_Calendar_US)),IF(ISNUMBER(_xll.BDH(config!$G$4,K$1,$A510,$A510)),_xll.BDH(config!$G$4,K$1,$A510,$A510),_xll.BDH(config!$G$5,K$1,$A510,$A510))))</f>
        <v/>
      </c>
      <c r="L510" s="8" t="str">
        <f>IF($A510="","",IF(ISNUMBER(FIND("IMPVOL",L$1)),_xll.BDH(config!$G$4,L$1,WORKDAY($A510,-1,config_Holiday_Calendar_US),WORKDAY($A510,-1,config_Holiday_Calendar_US)),IF(ISNUMBER(_xll.BDH(config!$G$4,L$1,$A510,$A510)),_xll.BDH(config!$G$4,L$1,$A510,$A510),_xll.BDH(config!$G$5,L$1,$A510,$A510))))</f>
        <v/>
      </c>
      <c r="M510" s="8" t="str">
        <f>IF($A510="","",IF(ISNUMBER(FIND("IMPVOL",M$1)),_xll.BDH(config!$G$4,M$1,WORKDAY($A510,-1,config_Holiday_Calendar_US),WORKDAY($A510,-1,config_Holiday_Calendar_US)),IF(ISNUMBER(_xll.BDH(config!$G$4,M$1,$A510,$A510)),_xll.BDH(config!$G$4,M$1,$A510,$A510),_xll.BDH(config!$G$5,M$1,$A510,$A510))))</f>
        <v/>
      </c>
      <c r="N510" s="8" t="str">
        <f>IF($A510="","",IF(ISNUMBER(FIND("IMPVOL",N$1)),_xll.BDH(config!$G$4,N$1,WORKDAY($A510,-1,config_Holiday_Calendar_US),WORKDAY($A510,-1,config_Holiday_Calendar_US)),IF(ISNUMBER(_xll.BDH(config!$G$4,N$1,$A510,$A510)),_xll.BDH(config!$G$4,N$1,$A510,$A510),_xll.BDH(config!$G$5,N$1,$A510,$A510))))</f>
        <v/>
      </c>
      <c r="O510" s="8" t="str">
        <f>IF($A510="","",IF(ISNUMBER(FIND("IMPVOL",O$1)),_xll.BDH(config!$G$4,O$1,WORKDAY($A510,-1,config_Holiday_Calendar_US),WORKDAY($A510,-1,config_Holiday_Calendar_US)),IF(ISNUMBER(_xll.BDH(config!$G$4,O$1,$A510,$A510)),_xll.BDH(config!$G$4,O$1,$A510,$A510),_xll.BDH(config!$G$5,O$1,$A510,$A510))))</f>
        <v/>
      </c>
      <c r="P510" s="8" t="str">
        <f>IF($A510="","",IF(ISNUMBER(FIND("IMPVOL",P$1)),_xll.BDH(config!$G$4,P$1,WORKDAY($A510,-1,config_Holiday_Calendar_US),WORKDAY($A510,-1,config_Holiday_Calendar_US)),IF(ISNUMBER(_xll.BDH(config!$G$4,P$1,$A510,$A510)),_xll.BDH(config!$G$4,P$1,$A510,$A510),_xll.BDH(config!$G$5,P$1,$A510,$A510))))</f>
        <v/>
      </c>
      <c r="Q510" s="8" t="str">
        <f>IF($A510="","",IF(ISNUMBER(FIND("IMPVOL",Q$1)),_xll.BDH(config!$G$4,Q$1,WORKDAY($A510,-1,config_Holiday_Calendar_US),WORKDAY($A510,-1,config_Holiday_Calendar_US)),IF(ISNUMBER(_xll.BDH(config!$G$4,Q$1,$A510,$A510)),_xll.BDH(config!$G$4,Q$1,$A510,$A510),_xll.BDH(config!$G$5,Q$1,$A510,$A510))))</f>
        <v/>
      </c>
      <c r="R510" s="8" t="str">
        <f>IF($A510="","",IF(ISNUMBER(FIND("IMPVOL",R$1)),_xll.BDH(config!$G$4,R$1,WORKDAY($A510,-1,config_Holiday_Calendar_US),WORKDAY($A510,-1,config_Holiday_Calendar_US)),IF(ISNUMBER(_xll.BDH(config!$G$4,R$1,$A510,$A510)),_xll.BDH(config!$G$4,R$1,$A510,$A510),_xll.BDH(config!$G$5,R$1,$A510,$A510))))</f>
        <v/>
      </c>
      <c r="S510" s="8" t="str">
        <f>IF($A510="","",IF(ISNUMBER(FIND("IMPVOL",S$1)),_xll.BDH(config!$G$4,S$1,WORKDAY($A510,-1,config_Holiday_Calendar_US),WORKDAY($A510,-1,config_Holiday_Calendar_US)),IF(ISNUMBER(_xll.BDH(config!$G$4,S$1,$A510,$A510)),_xll.BDH(config!$G$4,S$1,$A510,$A510),_xll.BDH(config!$G$5,S$1,$A510,$A510))))</f>
        <v/>
      </c>
      <c r="T510" s="8" t="str">
        <f>IF($A510="","",IF(ISNUMBER(FIND("IMPVOL",T$1)),_xll.BDH(config!$G$4,T$1,WORKDAY($A510,-1,config_Holiday_Calendar_US),WORKDAY($A510,-1,config_Holiday_Calendar_US)),IF(ISNUMBER(_xll.BDH(config!$G$4,T$1,$A510,$A510)),_xll.BDH(config!$G$4,T$1,$A510,$A510),_xll.BDH(config!$G$5,T$1,$A510,$A510))))</f>
        <v/>
      </c>
      <c r="U510" s="8" t="str">
        <f>IF($A510="","",IF(ISNUMBER(FIND("IMPVOL",U$1)),_xll.BDH(config!$G$4,U$1,WORKDAY($A510,-1,config_Holiday_Calendar_US),WORKDAY($A510,-1,config_Holiday_Calendar_US)),IF(ISNUMBER(_xll.BDH(config!$G$4,U$1,$A510,$A510)),_xll.BDH(config!$G$4,U$1,$A510,$A510),_xll.BDH(config!$G$5,U$1,$A510,$A510))))</f>
        <v/>
      </c>
      <c r="V510" s="8" t="str">
        <f>IF($A510="","",IF(ISNUMBER(FIND("IMPVOL",V$1)),_xll.BDH(config!$G$4,V$1,WORKDAY($A510,-1,config_Holiday_Calendar_US),WORKDAY($A510,-1,config_Holiday_Calendar_US)),IF(ISNUMBER(_xll.BDH(config!$G$4,V$1,$A510,$A510)),_xll.BDH(config!$G$4,V$1,$A510,$A510),_xll.BDH(config!$G$5,V$1,$A510,$A510))))</f>
        <v/>
      </c>
      <c r="W510" s="8" t="str">
        <f>IF($A510="","",IF(ISNUMBER(FIND("IMPVOL",W$1)),_xll.BDH(config!$G$4,W$1,WORKDAY($A510,-1,config_Holiday_Calendar_US),WORKDAY($A510,-1,config_Holiday_Calendar_US)),IF(ISNUMBER(_xll.BDH(config!$G$4,W$1,$A510,$A510)),_xll.BDH(config!$G$4,W$1,$A510,$A510),_xll.BDH(config!$G$5,W$1,$A510,$A510))))</f>
        <v/>
      </c>
    </row>
    <row r="511" spans="1:23" x14ac:dyDescent="0.2">
      <c r="A511" s="9" t="str">
        <f>IF(A510="","",IF(WORKDAY(A510,-1,config_Holiday_Calendar_US)&lt;config!$I$10,"",WORKDAY(A510,-1,config_Holiday_Calendar_US)))</f>
        <v/>
      </c>
      <c r="B511" s="8" t="str">
        <f t="shared" si="7"/>
        <v/>
      </c>
      <c r="C511" s="8" t="str">
        <f>IF(A511="","",_xll.BDH(config!$H$4,C$1,$A511,$A511))</f>
        <v/>
      </c>
      <c r="D511" s="8" t="str">
        <f>IF($A511="","",_xll.BDH(config!$H$4,D$1,$A511,$A511))</f>
        <v/>
      </c>
      <c r="E511" s="8" t="str">
        <f>IF($A511="","",IF(ISNUMBER(FIND("IMPVOL",E$1)),_xll.BDH(config!$G$4,E$1,WORKDAY($A511,-1,config_Holiday_Calendar_US),WORKDAY($A511,-1,config_Holiday_Calendar_US)),IF(ISNUMBER(_xll.BDH(config!$G$4,E$1,$A511,$A511)),_xll.BDH(config!$G$4,E$1,$A511,$A511),_xll.BDH(config!$G$5,E$1,$A511,$A511))))</f>
        <v/>
      </c>
      <c r="F511" s="8" t="str">
        <f>IF($A511="","",IF(ISNUMBER(FIND("IMPVOL",F$1)),_xll.BDH(config!$G$4,F$1,WORKDAY($A511,-1,config_Holiday_Calendar_US),WORKDAY($A511,-1,config_Holiday_Calendar_US)),IF(ISNUMBER(_xll.BDH(config!$G$4,F$1,$A511,$A511)),_xll.BDH(config!$G$4,F$1,$A511,$A511),_xll.BDH(config!$G$5,F$1,$A511,$A511))))</f>
        <v/>
      </c>
      <c r="G511" s="8" t="str">
        <f>IF($A511="","",IF(ISNUMBER(FIND("IMPVOL",G$1)),_xll.BDH(config!$G$4,G$1,WORKDAY($A511,-1,config_Holiday_Calendar_US),WORKDAY($A511,-1,config_Holiday_Calendar_US)),IF(ISNUMBER(_xll.BDH(config!$G$4,G$1,$A511,$A511)),_xll.BDH(config!$G$4,G$1,$A511,$A511),_xll.BDH(config!$G$5,G$1,$A511,$A511))))</f>
        <v/>
      </c>
      <c r="H511" s="8" t="str">
        <f>IF($A511="","",IF(ISNUMBER(FIND("IMPVOL",H$1)),_xll.BDH(config!$G$4,H$1,WORKDAY($A511,-1,config_Holiday_Calendar_US),WORKDAY($A511,-1,config_Holiday_Calendar_US)),IF(ISNUMBER(_xll.BDH(config!$G$4,H$1,$A511,$A511)),_xll.BDH(config!$G$4,H$1,$A511,$A511),_xll.BDH(config!$G$5,H$1,$A511,$A511))))</f>
        <v/>
      </c>
      <c r="I511" s="8" t="str">
        <f>IF($A511="","",IF(ISNUMBER(FIND("IMPVOL",I$1)),_xll.BDH(config!$G$4,I$1,WORKDAY($A511,-1,config_Holiday_Calendar_US),WORKDAY($A511,-1,config_Holiday_Calendar_US)),IF(ISNUMBER(_xll.BDH(config!$G$4,I$1,$A511,$A511)),_xll.BDH(config!$G$4,I$1,$A511,$A511),_xll.BDH(config!$G$5,I$1,$A511,$A511))))</f>
        <v/>
      </c>
      <c r="J511" s="8" t="str">
        <f>IF($A511="","",IF(ISNUMBER(FIND("IMPVOL",J$1)),_xll.BDH(config!$G$4,J$1,WORKDAY($A511,-1,config_Holiday_Calendar_US),WORKDAY($A511,-1,config_Holiday_Calendar_US)),IF(ISNUMBER(_xll.BDH(config!$G$4,J$1,$A511,$A511)),_xll.BDH(config!$G$4,J$1,$A511,$A511),_xll.BDH(config!$G$5,J$1,$A511,$A511))))</f>
        <v/>
      </c>
      <c r="K511" s="8" t="str">
        <f>IF($A511="","",IF(ISNUMBER(FIND("IMPVOL",K$1)),_xll.BDH(config!$G$4,K$1,WORKDAY($A511,-1,config_Holiday_Calendar_US),WORKDAY($A511,-1,config_Holiday_Calendar_US)),IF(ISNUMBER(_xll.BDH(config!$G$4,K$1,$A511,$A511)),_xll.BDH(config!$G$4,K$1,$A511,$A511),_xll.BDH(config!$G$5,K$1,$A511,$A511))))</f>
        <v/>
      </c>
      <c r="L511" s="8" t="str">
        <f>IF($A511="","",IF(ISNUMBER(FIND("IMPVOL",L$1)),_xll.BDH(config!$G$4,L$1,WORKDAY($A511,-1,config_Holiday_Calendar_US),WORKDAY($A511,-1,config_Holiday_Calendar_US)),IF(ISNUMBER(_xll.BDH(config!$G$4,L$1,$A511,$A511)),_xll.BDH(config!$G$4,L$1,$A511,$A511),_xll.BDH(config!$G$5,L$1,$A511,$A511))))</f>
        <v/>
      </c>
      <c r="M511" s="8" t="str">
        <f>IF($A511="","",IF(ISNUMBER(FIND("IMPVOL",M$1)),_xll.BDH(config!$G$4,M$1,WORKDAY($A511,-1,config_Holiday_Calendar_US),WORKDAY($A511,-1,config_Holiday_Calendar_US)),IF(ISNUMBER(_xll.BDH(config!$G$4,M$1,$A511,$A511)),_xll.BDH(config!$G$4,M$1,$A511,$A511),_xll.BDH(config!$G$5,M$1,$A511,$A511))))</f>
        <v/>
      </c>
      <c r="N511" s="8" t="str">
        <f>IF($A511="","",IF(ISNUMBER(FIND("IMPVOL",N$1)),_xll.BDH(config!$G$4,N$1,WORKDAY($A511,-1,config_Holiday_Calendar_US),WORKDAY($A511,-1,config_Holiday_Calendar_US)),IF(ISNUMBER(_xll.BDH(config!$G$4,N$1,$A511,$A511)),_xll.BDH(config!$G$4,N$1,$A511,$A511),_xll.BDH(config!$G$5,N$1,$A511,$A511))))</f>
        <v/>
      </c>
      <c r="O511" s="8" t="str">
        <f>IF($A511="","",IF(ISNUMBER(FIND("IMPVOL",O$1)),_xll.BDH(config!$G$4,O$1,WORKDAY($A511,-1,config_Holiday_Calendar_US),WORKDAY($A511,-1,config_Holiday_Calendar_US)),IF(ISNUMBER(_xll.BDH(config!$G$4,O$1,$A511,$A511)),_xll.BDH(config!$G$4,O$1,$A511,$A511),_xll.BDH(config!$G$5,O$1,$A511,$A511))))</f>
        <v/>
      </c>
      <c r="P511" s="8" t="str">
        <f>IF($A511="","",IF(ISNUMBER(FIND("IMPVOL",P$1)),_xll.BDH(config!$G$4,P$1,WORKDAY($A511,-1,config_Holiday_Calendar_US),WORKDAY($A511,-1,config_Holiday_Calendar_US)),IF(ISNUMBER(_xll.BDH(config!$G$4,P$1,$A511,$A511)),_xll.BDH(config!$G$4,P$1,$A511,$A511),_xll.BDH(config!$G$5,P$1,$A511,$A511))))</f>
        <v/>
      </c>
      <c r="Q511" s="8" t="str">
        <f>IF($A511="","",IF(ISNUMBER(FIND("IMPVOL",Q$1)),_xll.BDH(config!$G$4,Q$1,WORKDAY($A511,-1,config_Holiday_Calendar_US),WORKDAY($A511,-1,config_Holiday_Calendar_US)),IF(ISNUMBER(_xll.BDH(config!$G$4,Q$1,$A511,$A511)),_xll.BDH(config!$G$4,Q$1,$A511,$A511),_xll.BDH(config!$G$5,Q$1,$A511,$A511))))</f>
        <v/>
      </c>
      <c r="R511" s="8" t="str">
        <f>IF($A511="","",IF(ISNUMBER(FIND("IMPVOL",R$1)),_xll.BDH(config!$G$4,R$1,WORKDAY($A511,-1,config_Holiday_Calendar_US),WORKDAY($A511,-1,config_Holiday_Calendar_US)),IF(ISNUMBER(_xll.BDH(config!$G$4,R$1,$A511,$A511)),_xll.BDH(config!$G$4,R$1,$A511,$A511),_xll.BDH(config!$G$5,R$1,$A511,$A511))))</f>
        <v/>
      </c>
      <c r="S511" s="8" t="str">
        <f>IF($A511="","",IF(ISNUMBER(FIND("IMPVOL",S$1)),_xll.BDH(config!$G$4,S$1,WORKDAY($A511,-1,config_Holiday_Calendar_US),WORKDAY($A511,-1,config_Holiday_Calendar_US)),IF(ISNUMBER(_xll.BDH(config!$G$4,S$1,$A511,$A511)),_xll.BDH(config!$G$4,S$1,$A511,$A511),_xll.BDH(config!$G$5,S$1,$A511,$A511))))</f>
        <v/>
      </c>
      <c r="T511" s="8" t="str">
        <f>IF($A511="","",IF(ISNUMBER(FIND("IMPVOL",T$1)),_xll.BDH(config!$G$4,T$1,WORKDAY($A511,-1,config_Holiday_Calendar_US),WORKDAY($A511,-1,config_Holiday_Calendar_US)),IF(ISNUMBER(_xll.BDH(config!$G$4,T$1,$A511,$A511)),_xll.BDH(config!$G$4,T$1,$A511,$A511),_xll.BDH(config!$G$5,T$1,$A511,$A511))))</f>
        <v/>
      </c>
      <c r="U511" s="8" t="str">
        <f>IF($A511="","",IF(ISNUMBER(FIND("IMPVOL",U$1)),_xll.BDH(config!$G$4,U$1,WORKDAY($A511,-1,config_Holiday_Calendar_US),WORKDAY($A511,-1,config_Holiday_Calendar_US)),IF(ISNUMBER(_xll.BDH(config!$G$4,U$1,$A511,$A511)),_xll.BDH(config!$G$4,U$1,$A511,$A511),_xll.BDH(config!$G$5,U$1,$A511,$A511))))</f>
        <v/>
      </c>
      <c r="V511" s="8" t="str">
        <f>IF($A511="","",IF(ISNUMBER(FIND("IMPVOL",V$1)),_xll.BDH(config!$G$4,V$1,WORKDAY($A511,-1,config_Holiday_Calendar_US),WORKDAY($A511,-1,config_Holiday_Calendar_US)),IF(ISNUMBER(_xll.BDH(config!$G$4,V$1,$A511,$A511)),_xll.BDH(config!$G$4,V$1,$A511,$A511),_xll.BDH(config!$G$5,V$1,$A511,$A511))))</f>
        <v/>
      </c>
      <c r="W511" s="8" t="str">
        <f>IF($A511="","",IF(ISNUMBER(FIND("IMPVOL",W$1)),_xll.BDH(config!$G$4,W$1,WORKDAY($A511,-1,config_Holiday_Calendar_US),WORKDAY($A511,-1,config_Holiday_Calendar_US)),IF(ISNUMBER(_xll.BDH(config!$G$4,W$1,$A511,$A511)),_xll.BDH(config!$G$4,W$1,$A511,$A511),_xll.BDH(config!$G$5,W$1,$A511,$A511))))</f>
        <v/>
      </c>
    </row>
    <row r="512" spans="1:23" x14ac:dyDescent="0.2">
      <c r="A512" s="9" t="str">
        <f>IF(A511="","",IF(WORKDAY(A511,-1,config_Holiday_Calendar_US)&lt;config!$I$10,"",WORKDAY(A511,-1,config_Holiday_Calendar_US)))</f>
        <v/>
      </c>
      <c r="B512" s="8" t="str">
        <f t="shared" si="7"/>
        <v/>
      </c>
      <c r="C512" s="8" t="str">
        <f>IF(A512="","",_xll.BDH(config!$H$4,C$1,$A512,$A512))</f>
        <v/>
      </c>
      <c r="D512" s="8" t="str">
        <f>IF($A512="","",_xll.BDH(config!$H$4,D$1,$A512,$A512))</f>
        <v/>
      </c>
      <c r="E512" s="8" t="str">
        <f>IF($A512="","",IF(ISNUMBER(FIND("IMPVOL",E$1)),_xll.BDH(config!$G$4,E$1,WORKDAY($A512,-1,config_Holiday_Calendar_US),WORKDAY($A512,-1,config_Holiday_Calendar_US)),IF(ISNUMBER(_xll.BDH(config!$G$4,E$1,$A512,$A512)),_xll.BDH(config!$G$4,E$1,$A512,$A512),_xll.BDH(config!$G$5,E$1,$A512,$A512))))</f>
        <v/>
      </c>
      <c r="F512" s="8" t="str">
        <f>IF($A512="","",IF(ISNUMBER(FIND("IMPVOL",F$1)),_xll.BDH(config!$G$4,F$1,WORKDAY($A512,-1,config_Holiday_Calendar_US),WORKDAY($A512,-1,config_Holiday_Calendar_US)),IF(ISNUMBER(_xll.BDH(config!$G$4,F$1,$A512,$A512)),_xll.BDH(config!$G$4,F$1,$A512,$A512),_xll.BDH(config!$G$5,F$1,$A512,$A512))))</f>
        <v/>
      </c>
      <c r="G512" s="8" t="str">
        <f>IF($A512="","",IF(ISNUMBER(FIND("IMPVOL",G$1)),_xll.BDH(config!$G$4,G$1,WORKDAY($A512,-1,config_Holiday_Calendar_US),WORKDAY($A512,-1,config_Holiday_Calendar_US)),IF(ISNUMBER(_xll.BDH(config!$G$4,G$1,$A512,$A512)),_xll.BDH(config!$G$4,G$1,$A512,$A512),_xll.BDH(config!$G$5,G$1,$A512,$A512))))</f>
        <v/>
      </c>
      <c r="H512" s="8" t="str">
        <f>IF($A512="","",IF(ISNUMBER(FIND("IMPVOL",H$1)),_xll.BDH(config!$G$4,H$1,WORKDAY($A512,-1,config_Holiday_Calendar_US),WORKDAY($A512,-1,config_Holiday_Calendar_US)),IF(ISNUMBER(_xll.BDH(config!$G$4,H$1,$A512,$A512)),_xll.BDH(config!$G$4,H$1,$A512,$A512),_xll.BDH(config!$G$5,H$1,$A512,$A512))))</f>
        <v/>
      </c>
      <c r="I512" s="8" t="str">
        <f>IF($A512="","",IF(ISNUMBER(FIND("IMPVOL",I$1)),_xll.BDH(config!$G$4,I$1,WORKDAY($A512,-1,config_Holiday_Calendar_US),WORKDAY($A512,-1,config_Holiday_Calendar_US)),IF(ISNUMBER(_xll.BDH(config!$G$4,I$1,$A512,$A512)),_xll.BDH(config!$G$4,I$1,$A512,$A512),_xll.BDH(config!$G$5,I$1,$A512,$A512))))</f>
        <v/>
      </c>
      <c r="J512" s="8" t="str">
        <f>IF($A512="","",IF(ISNUMBER(FIND("IMPVOL",J$1)),_xll.BDH(config!$G$4,J$1,WORKDAY($A512,-1,config_Holiday_Calendar_US),WORKDAY($A512,-1,config_Holiday_Calendar_US)),IF(ISNUMBER(_xll.BDH(config!$G$4,J$1,$A512,$A512)),_xll.BDH(config!$G$4,J$1,$A512,$A512),_xll.BDH(config!$G$5,J$1,$A512,$A512))))</f>
        <v/>
      </c>
      <c r="K512" s="8" t="str">
        <f>IF($A512="","",IF(ISNUMBER(FIND("IMPVOL",K$1)),_xll.BDH(config!$G$4,K$1,WORKDAY($A512,-1,config_Holiday_Calendar_US),WORKDAY($A512,-1,config_Holiday_Calendar_US)),IF(ISNUMBER(_xll.BDH(config!$G$4,K$1,$A512,$A512)),_xll.BDH(config!$G$4,K$1,$A512,$A512),_xll.BDH(config!$G$5,K$1,$A512,$A512))))</f>
        <v/>
      </c>
      <c r="L512" s="8" t="str">
        <f>IF($A512="","",IF(ISNUMBER(FIND("IMPVOL",L$1)),_xll.BDH(config!$G$4,L$1,WORKDAY($A512,-1,config_Holiday_Calendar_US),WORKDAY($A512,-1,config_Holiday_Calendar_US)),IF(ISNUMBER(_xll.BDH(config!$G$4,L$1,$A512,$A512)),_xll.BDH(config!$G$4,L$1,$A512,$A512),_xll.BDH(config!$G$5,L$1,$A512,$A512))))</f>
        <v/>
      </c>
      <c r="M512" s="8" t="str">
        <f>IF($A512="","",IF(ISNUMBER(FIND("IMPVOL",M$1)),_xll.BDH(config!$G$4,M$1,WORKDAY($A512,-1,config_Holiday_Calendar_US),WORKDAY($A512,-1,config_Holiday_Calendar_US)),IF(ISNUMBER(_xll.BDH(config!$G$4,M$1,$A512,$A512)),_xll.BDH(config!$G$4,M$1,$A512,$A512),_xll.BDH(config!$G$5,M$1,$A512,$A512))))</f>
        <v/>
      </c>
      <c r="N512" s="8" t="str">
        <f>IF($A512="","",IF(ISNUMBER(FIND("IMPVOL",N$1)),_xll.BDH(config!$G$4,N$1,WORKDAY($A512,-1,config_Holiday_Calendar_US),WORKDAY($A512,-1,config_Holiday_Calendar_US)),IF(ISNUMBER(_xll.BDH(config!$G$4,N$1,$A512,$A512)),_xll.BDH(config!$G$4,N$1,$A512,$A512),_xll.BDH(config!$G$5,N$1,$A512,$A512))))</f>
        <v/>
      </c>
      <c r="O512" s="8" t="str">
        <f>IF($A512="","",IF(ISNUMBER(FIND("IMPVOL",O$1)),_xll.BDH(config!$G$4,O$1,WORKDAY($A512,-1,config_Holiday_Calendar_US),WORKDAY($A512,-1,config_Holiday_Calendar_US)),IF(ISNUMBER(_xll.BDH(config!$G$4,O$1,$A512,$A512)),_xll.BDH(config!$G$4,O$1,$A512,$A512),_xll.BDH(config!$G$5,O$1,$A512,$A512))))</f>
        <v/>
      </c>
      <c r="P512" s="8" t="str">
        <f>IF($A512="","",IF(ISNUMBER(FIND("IMPVOL",P$1)),_xll.BDH(config!$G$4,P$1,WORKDAY($A512,-1,config_Holiday_Calendar_US),WORKDAY($A512,-1,config_Holiday_Calendar_US)),IF(ISNUMBER(_xll.BDH(config!$G$4,P$1,$A512,$A512)),_xll.BDH(config!$G$4,P$1,$A512,$A512),_xll.BDH(config!$G$5,P$1,$A512,$A512))))</f>
        <v/>
      </c>
      <c r="Q512" s="8" t="str">
        <f>IF($A512="","",IF(ISNUMBER(FIND("IMPVOL",Q$1)),_xll.BDH(config!$G$4,Q$1,WORKDAY($A512,-1,config_Holiday_Calendar_US),WORKDAY($A512,-1,config_Holiday_Calendar_US)),IF(ISNUMBER(_xll.BDH(config!$G$4,Q$1,$A512,$A512)),_xll.BDH(config!$G$4,Q$1,$A512,$A512),_xll.BDH(config!$G$5,Q$1,$A512,$A512))))</f>
        <v/>
      </c>
      <c r="R512" s="8" t="str">
        <f>IF($A512="","",IF(ISNUMBER(FIND("IMPVOL",R$1)),_xll.BDH(config!$G$4,R$1,WORKDAY($A512,-1,config_Holiday_Calendar_US),WORKDAY($A512,-1,config_Holiday_Calendar_US)),IF(ISNUMBER(_xll.BDH(config!$G$4,R$1,$A512,$A512)),_xll.BDH(config!$G$4,R$1,$A512,$A512),_xll.BDH(config!$G$5,R$1,$A512,$A512))))</f>
        <v/>
      </c>
      <c r="S512" s="8" t="str">
        <f>IF($A512="","",IF(ISNUMBER(FIND("IMPVOL",S$1)),_xll.BDH(config!$G$4,S$1,WORKDAY($A512,-1,config_Holiday_Calendar_US),WORKDAY($A512,-1,config_Holiday_Calendar_US)),IF(ISNUMBER(_xll.BDH(config!$G$4,S$1,$A512,$A512)),_xll.BDH(config!$G$4,S$1,$A512,$A512),_xll.BDH(config!$G$5,S$1,$A512,$A512))))</f>
        <v/>
      </c>
      <c r="T512" s="8" t="str">
        <f>IF($A512="","",IF(ISNUMBER(FIND("IMPVOL",T$1)),_xll.BDH(config!$G$4,T$1,WORKDAY($A512,-1,config_Holiday_Calendar_US),WORKDAY($A512,-1,config_Holiday_Calendar_US)),IF(ISNUMBER(_xll.BDH(config!$G$4,T$1,$A512,$A512)),_xll.BDH(config!$G$4,T$1,$A512,$A512),_xll.BDH(config!$G$5,T$1,$A512,$A512))))</f>
        <v/>
      </c>
      <c r="U512" s="8" t="str">
        <f>IF($A512="","",IF(ISNUMBER(FIND("IMPVOL",U$1)),_xll.BDH(config!$G$4,U$1,WORKDAY($A512,-1,config_Holiday_Calendar_US),WORKDAY($A512,-1,config_Holiday_Calendar_US)),IF(ISNUMBER(_xll.BDH(config!$G$4,U$1,$A512,$A512)),_xll.BDH(config!$G$4,U$1,$A512,$A512),_xll.BDH(config!$G$5,U$1,$A512,$A512))))</f>
        <v/>
      </c>
      <c r="V512" s="8" t="str">
        <f>IF($A512="","",IF(ISNUMBER(FIND("IMPVOL",V$1)),_xll.BDH(config!$G$4,V$1,WORKDAY($A512,-1,config_Holiday_Calendar_US),WORKDAY($A512,-1,config_Holiday_Calendar_US)),IF(ISNUMBER(_xll.BDH(config!$G$4,V$1,$A512,$A512)),_xll.BDH(config!$G$4,V$1,$A512,$A512),_xll.BDH(config!$G$5,V$1,$A512,$A512))))</f>
        <v/>
      </c>
      <c r="W512" s="8" t="str">
        <f>IF($A512="","",IF(ISNUMBER(FIND("IMPVOL",W$1)),_xll.BDH(config!$G$4,W$1,WORKDAY($A512,-1,config_Holiday_Calendar_US),WORKDAY($A512,-1,config_Holiday_Calendar_US)),IF(ISNUMBER(_xll.BDH(config!$G$4,W$1,$A512,$A512)),_xll.BDH(config!$G$4,W$1,$A512,$A512),_xll.BDH(config!$G$5,W$1,$A512,$A512))))</f>
        <v/>
      </c>
    </row>
    <row r="513" spans="1:23" x14ac:dyDescent="0.2">
      <c r="A513" s="9" t="str">
        <f>IF(A512="","",IF(WORKDAY(A512,-1,config_Holiday_Calendar_US)&lt;config!$I$10,"",WORKDAY(A512,-1,config_Holiday_Calendar_US)))</f>
        <v/>
      </c>
      <c r="B513" s="8" t="str">
        <f t="shared" si="7"/>
        <v/>
      </c>
      <c r="C513" s="8" t="str">
        <f>IF(A513="","",_xll.BDH(config!$H$4,C$1,$A513,$A513))</f>
        <v/>
      </c>
      <c r="D513" s="8" t="str">
        <f>IF($A513="","",_xll.BDH(config!$H$4,D$1,$A513,$A513))</f>
        <v/>
      </c>
      <c r="E513" s="8" t="str">
        <f>IF($A513="","",IF(ISNUMBER(FIND("IMPVOL",E$1)),_xll.BDH(config!$G$4,E$1,WORKDAY($A513,-1,config_Holiday_Calendar_US),WORKDAY($A513,-1,config_Holiday_Calendar_US)),IF(ISNUMBER(_xll.BDH(config!$G$4,E$1,$A513,$A513)),_xll.BDH(config!$G$4,E$1,$A513,$A513),_xll.BDH(config!$G$5,E$1,$A513,$A513))))</f>
        <v/>
      </c>
      <c r="F513" s="8" t="str">
        <f>IF($A513="","",IF(ISNUMBER(FIND("IMPVOL",F$1)),_xll.BDH(config!$G$4,F$1,WORKDAY($A513,-1,config_Holiday_Calendar_US),WORKDAY($A513,-1,config_Holiday_Calendar_US)),IF(ISNUMBER(_xll.BDH(config!$G$4,F$1,$A513,$A513)),_xll.BDH(config!$G$4,F$1,$A513,$A513),_xll.BDH(config!$G$5,F$1,$A513,$A513))))</f>
        <v/>
      </c>
      <c r="G513" s="8" t="str">
        <f>IF($A513="","",IF(ISNUMBER(FIND("IMPVOL",G$1)),_xll.BDH(config!$G$4,G$1,WORKDAY($A513,-1,config_Holiday_Calendar_US),WORKDAY($A513,-1,config_Holiday_Calendar_US)),IF(ISNUMBER(_xll.BDH(config!$G$4,G$1,$A513,$A513)),_xll.BDH(config!$G$4,G$1,$A513,$A513),_xll.BDH(config!$G$5,G$1,$A513,$A513))))</f>
        <v/>
      </c>
      <c r="H513" s="8" t="str">
        <f>IF($A513="","",IF(ISNUMBER(FIND("IMPVOL",H$1)),_xll.BDH(config!$G$4,H$1,WORKDAY($A513,-1,config_Holiday_Calendar_US),WORKDAY($A513,-1,config_Holiday_Calendar_US)),IF(ISNUMBER(_xll.BDH(config!$G$4,H$1,$A513,$A513)),_xll.BDH(config!$G$4,H$1,$A513,$A513),_xll.BDH(config!$G$5,H$1,$A513,$A513))))</f>
        <v/>
      </c>
      <c r="I513" s="8" t="str">
        <f>IF($A513="","",IF(ISNUMBER(FIND("IMPVOL",I$1)),_xll.BDH(config!$G$4,I$1,WORKDAY($A513,-1,config_Holiday_Calendar_US),WORKDAY($A513,-1,config_Holiday_Calendar_US)),IF(ISNUMBER(_xll.BDH(config!$G$4,I$1,$A513,$A513)),_xll.BDH(config!$G$4,I$1,$A513,$A513),_xll.BDH(config!$G$5,I$1,$A513,$A513))))</f>
        <v/>
      </c>
      <c r="J513" s="8" t="str">
        <f>IF($A513="","",IF(ISNUMBER(FIND("IMPVOL",J$1)),_xll.BDH(config!$G$4,J$1,WORKDAY($A513,-1,config_Holiday_Calendar_US),WORKDAY($A513,-1,config_Holiday_Calendar_US)),IF(ISNUMBER(_xll.BDH(config!$G$4,J$1,$A513,$A513)),_xll.BDH(config!$G$4,J$1,$A513,$A513),_xll.BDH(config!$G$5,J$1,$A513,$A513))))</f>
        <v/>
      </c>
      <c r="K513" s="8" t="str">
        <f>IF($A513="","",IF(ISNUMBER(FIND("IMPVOL",K$1)),_xll.BDH(config!$G$4,K$1,WORKDAY($A513,-1,config_Holiday_Calendar_US),WORKDAY($A513,-1,config_Holiday_Calendar_US)),IF(ISNUMBER(_xll.BDH(config!$G$4,K$1,$A513,$A513)),_xll.BDH(config!$G$4,K$1,$A513,$A513),_xll.BDH(config!$G$5,K$1,$A513,$A513))))</f>
        <v/>
      </c>
      <c r="L513" s="8" t="str">
        <f>IF($A513="","",IF(ISNUMBER(FIND("IMPVOL",L$1)),_xll.BDH(config!$G$4,L$1,WORKDAY($A513,-1,config_Holiday_Calendar_US),WORKDAY($A513,-1,config_Holiday_Calendar_US)),IF(ISNUMBER(_xll.BDH(config!$G$4,L$1,$A513,$A513)),_xll.BDH(config!$G$4,L$1,$A513,$A513),_xll.BDH(config!$G$5,L$1,$A513,$A513))))</f>
        <v/>
      </c>
      <c r="M513" s="8" t="str">
        <f>IF($A513="","",IF(ISNUMBER(FIND("IMPVOL",M$1)),_xll.BDH(config!$G$4,M$1,WORKDAY($A513,-1,config_Holiday_Calendar_US),WORKDAY($A513,-1,config_Holiday_Calendar_US)),IF(ISNUMBER(_xll.BDH(config!$G$4,M$1,$A513,$A513)),_xll.BDH(config!$G$4,M$1,$A513,$A513),_xll.BDH(config!$G$5,M$1,$A513,$A513))))</f>
        <v/>
      </c>
      <c r="N513" s="8" t="str">
        <f>IF($A513="","",IF(ISNUMBER(FIND("IMPVOL",N$1)),_xll.BDH(config!$G$4,N$1,WORKDAY($A513,-1,config_Holiday_Calendar_US),WORKDAY($A513,-1,config_Holiday_Calendar_US)),IF(ISNUMBER(_xll.BDH(config!$G$4,N$1,$A513,$A513)),_xll.BDH(config!$G$4,N$1,$A513,$A513),_xll.BDH(config!$G$5,N$1,$A513,$A513))))</f>
        <v/>
      </c>
      <c r="O513" s="8" t="str">
        <f>IF($A513="","",IF(ISNUMBER(FIND("IMPVOL",O$1)),_xll.BDH(config!$G$4,O$1,WORKDAY($A513,-1,config_Holiday_Calendar_US),WORKDAY($A513,-1,config_Holiday_Calendar_US)),IF(ISNUMBER(_xll.BDH(config!$G$4,O$1,$A513,$A513)),_xll.BDH(config!$G$4,O$1,$A513,$A513),_xll.BDH(config!$G$5,O$1,$A513,$A513))))</f>
        <v/>
      </c>
      <c r="P513" s="8" t="str">
        <f>IF($A513="","",IF(ISNUMBER(FIND("IMPVOL",P$1)),_xll.BDH(config!$G$4,P$1,WORKDAY($A513,-1,config_Holiday_Calendar_US),WORKDAY($A513,-1,config_Holiday_Calendar_US)),IF(ISNUMBER(_xll.BDH(config!$G$4,P$1,$A513,$A513)),_xll.BDH(config!$G$4,P$1,$A513,$A513),_xll.BDH(config!$G$5,P$1,$A513,$A513))))</f>
        <v/>
      </c>
      <c r="Q513" s="8" t="str">
        <f>IF($A513="","",IF(ISNUMBER(FIND("IMPVOL",Q$1)),_xll.BDH(config!$G$4,Q$1,WORKDAY($A513,-1,config_Holiday_Calendar_US),WORKDAY($A513,-1,config_Holiday_Calendar_US)),IF(ISNUMBER(_xll.BDH(config!$G$4,Q$1,$A513,$A513)),_xll.BDH(config!$G$4,Q$1,$A513,$A513),_xll.BDH(config!$G$5,Q$1,$A513,$A513))))</f>
        <v/>
      </c>
      <c r="R513" s="8" t="str">
        <f>IF($A513="","",IF(ISNUMBER(FIND("IMPVOL",R$1)),_xll.BDH(config!$G$4,R$1,WORKDAY($A513,-1,config_Holiday_Calendar_US),WORKDAY($A513,-1,config_Holiday_Calendar_US)),IF(ISNUMBER(_xll.BDH(config!$G$4,R$1,$A513,$A513)),_xll.BDH(config!$G$4,R$1,$A513,$A513),_xll.BDH(config!$G$5,R$1,$A513,$A513))))</f>
        <v/>
      </c>
      <c r="S513" s="8" t="str">
        <f>IF($A513="","",IF(ISNUMBER(FIND("IMPVOL",S$1)),_xll.BDH(config!$G$4,S$1,WORKDAY($A513,-1,config_Holiday_Calendar_US),WORKDAY($A513,-1,config_Holiday_Calendar_US)),IF(ISNUMBER(_xll.BDH(config!$G$4,S$1,$A513,$A513)),_xll.BDH(config!$G$4,S$1,$A513,$A513),_xll.BDH(config!$G$5,S$1,$A513,$A513))))</f>
        <v/>
      </c>
      <c r="T513" s="8" t="str">
        <f>IF($A513="","",IF(ISNUMBER(FIND("IMPVOL",T$1)),_xll.BDH(config!$G$4,T$1,WORKDAY($A513,-1,config_Holiday_Calendar_US),WORKDAY($A513,-1,config_Holiday_Calendar_US)),IF(ISNUMBER(_xll.BDH(config!$G$4,T$1,$A513,$A513)),_xll.BDH(config!$G$4,T$1,$A513,$A513),_xll.BDH(config!$G$5,T$1,$A513,$A513))))</f>
        <v/>
      </c>
      <c r="U513" s="8" t="str">
        <f>IF($A513="","",IF(ISNUMBER(FIND("IMPVOL",U$1)),_xll.BDH(config!$G$4,U$1,WORKDAY($A513,-1,config_Holiday_Calendar_US),WORKDAY($A513,-1,config_Holiday_Calendar_US)),IF(ISNUMBER(_xll.BDH(config!$G$4,U$1,$A513,$A513)),_xll.BDH(config!$G$4,U$1,$A513,$A513),_xll.BDH(config!$G$5,U$1,$A513,$A513))))</f>
        <v/>
      </c>
      <c r="V513" s="8" t="str">
        <f>IF($A513="","",IF(ISNUMBER(FIND("IMPVOL",V$1)),_xll.BDH(config!$G$4,V$1,WORKDAY($A513,-1,config_Holiday_Calendar_US),WORKDAY($A513,-1,config_Holiday_Calendar_US)),IF(ISNUMBER(_xll.BDH(config!$G$4,V$1,$A513,$A513)),_xll.BDH(config!$G$4,V$1,$A513,$A513),_xll.BDH(config!$G$5,V$1,$A513,$A513))))</f>
        <v/>
      </c>
      <c r="W513" s="8" t="str">
        <f>IF($A513="","",IF(ISNUMBER(FIND("IMPVOL",W$1)),_xll.BDH(config!$G$4,W$1,WORKDAY($A513,-1,config_Holiday_Calendar_US),WORKDAY($A513,-1,config_Holiday_Calendar_US)),IF(ISNUMBER(_xll.BDH(config!$G$4,W$1,$A513,$A513)),_xll.BDH(config!$G$4,W$1,$A513,$A513),_xll.BDH(config!$G$5,W$1,$A513,$A513))))</f>
        <v/>
      </c>
    </row>
    <row r="514" spans="1:23" x14ac:dyDescent="0.2">
      <c r="A514" s="9" t="str">
        <f>IF(A513="","",IF(WORKDAY(A513,-1,config_Holiday_Calendar_US)&lt;config!$I$10,"",WORKDAY(A513,-1,config_Holiday_Calendar_US)))</f>
        <v/>
      </c>
      <c r="B514" s="8" t="str">
        <f t="shared" si="7"/>
        <v/>
      </c>
      <c r="C514" s="8" t="str">
        <f>IF(A514="","",_xll.BDH(config!$H$4,C$1,$A514,$A514))</f>
        <v/>
      </c>
      <c r="D514" s="8" t="str">
        <f>IF($A514="","",_xll.BDH(config!$H$4,D$1,$A514,$A514))</f>
        <v/>
      </c>
      <c r="E514" s="8" t="str">
        <f>IF($A514="","",IF(ISNUMBER(FIND("IMPVOL",E$1)),_xll.BDH(config!$G$4,E$1,WORKDAY($A514,-1,config_Holiday_Calendar_US),WORKDAY($A514,-1,config_Holiday_Calendar_US)),IF(ISNUMBER(_xll.BDH(config!$G$4,E$1,$A514,$A514)),_xll.BDH(config!$G$4,E$1,$A514,$A514),_xll.BDH(config!$G$5,E$1,$A514,$A514))))</f>
        <v/>
      </c>
      <c r="F514" s="8" t="str">
        <f>IF($A514="","",IF(ISNUMBER(FIND("IMPVOL",F$1)),_xll.BDH(config!$G$4,F$1,WORKDAY($A514,-1,config_Holiday_Calendar_US),WORKDAY($A514,-1,config_Holiday_Calendar_US)),IF(ISNUMBER(_xll.BDH(config!$G$4,F$1,$A514,$A514)),_xll.BDH(config!$G$4,F$1,$A514,$A514),_xll.BDH(config!$G$5,F$1,$A514,$A514))))</f>
        <v/>
      </c>
      <c r="G514" s="8" t="str">
        <f>IF($A514="","",IF(ISNUMBER(FIND("IMPVOL",G$1)),_xll.BDH(config!$G$4,G$1,WORKDAY($A514,-1,config_Holiday_Calendar_US),WORKDAY($A514,-1,config_Holiday_Calendar_US)),IF(ISNUMBER(_xll.BDH(config!$G$4,G$1,$A514,$A514)),_xll.BDH(config!$G$4,G$1,$A514,$A514),_xll.BDH(config!$G$5,G$1,$A514,$A514))))</f>
        <v/>
      </c>
      <c r="H514" s="8" t="str">
        <f>IF($A514="","",IF(ISNUMBER(FIND("IMPVOL",H$1)),_xll.BDH(config!$G$4,H$1,WORKDAY($A514,-1,config_Holiday_Calendar_US),WORKDAY($A514,-1,config_Holiday_Calendar_US)),IF(ISNUMBER(_xll.BDH(config!$G$4,H$1,$A514,$A514)),_xll.BDH(config!$G$4,H$1,$A514,$A514),_xll.BDH(config!$G$5,H$1,$A514,$A514))))</f>
        <v/>
      </c>
      <c r="I514" s="8" t="str">
        <f>IF($A514="","",IF(ISNUMBER(FIND("IMPVOL",I$1)),_xll.BDH(config!$G$4,I$1,WORKDAY($A514,-1,config_Holiday_Calendar_US),WORKDAY($A514,-1,config_Holiday_Calendar_US)),IF(ISNUMBER(_xll.BDH(config!$G$4,I$1,$A514,$A514)),_xll.BDH(config!$G$4,I$1,$A514,$A514),_xll.BDH(config!$G$5,I$1,$A514,$A514))))</f>
        <v/>
      </c>
      <c r="J514" s="8" t="str">
        <f>IF($A514="","",IF(ISNUMBER(FIND("IMPVOL",J$1)),_xll.BDH(config!$G$4,J$1,WORKDAY($A514,-1,config_Holiday_Calendar_US),WORKDAY($A514,-1,config_Holiday_Calendar_US)),IF(ISNUMBER(_xll.BDH(config!$G$4,J$1,$A514,$A514)),_xll.BDH(config!$G$4,J$1,$A514,$A514),_xll.BDH(config!$G$5,J$1,$A514,$A514))))</f>
        <v/>
      </c>
      <c r="K514" s="8" t="str">
        <f>IF($A514="","",IF(ISNUMBER(FIND("IMPVOL",K$1)),_xll.BDH(config!$G$4,K$1,WORKDAY($A514,-1,config_Holiday_Calendar_US),WORKDAY($A514,-1,config_Holiday_Calendar_US)),IF(ISNUMBER(_xll.BDH(config!$G$4,K$1,$A514,$A514)),_xll.BDH(config!$G$4,K$1,$A514,$A514),_xll.BDH(config!$G$5,K$1,$A514,$A514))))</f>
        <v/>
      </c>
      <c r="L514" s="8" t="str">
        <f>IF($A514="","",IF(ISNUMBER(FIND("IMPVOL",L$1)),_xll.BDH(config!$G$4,L$1,WORKDAY($A514,-1,config_Holiday_Calendar_US),WORKDAY($A514,-1,config_Holiday_Calendar_US)),IF(ISNUMBER(_xll.BDH(config!$G$4,L$1,$A514,$A514)),_xll.BDH(config!$G$4,L$1,$A514,$A514),_xll.BDH(config!$G$5,L$1,$A514,$A514))))</f>
        <v/>
      </c>
      <c r="M514" s="8" t="str">
        <f>IF($A514="","",IF(ISNUMBER(FIND("IMPVOL",M$1)),_xll.BDH(config!$G$4,M$1,WORKDAY($A514,-1,config_Holiday_Calendar_US),WORKDAY($A514,-1,config_Holiday_Calendar_US)),IF(ISNUMBER(_xll.BDH(config!$G$4,M$1,$A514,$A514)),_xll.BDH(config!$G$4,M$1,$A514,$A514),_xll.BDH(config!$G$5,M$1,$A514,$A514))))</f>
        <v/>
      </c>
      <c r="N514" s="8" t="str">
        <f>IF($A514="","",IF(ISNUMBER(FIND("IMPVOL",N$1)),_xll.BDH(config!$G$4,N$1,WORKDAY($A514,-1,config_Holiday_Calendar_US),WORKDAY($A514,-1,config_Holiday_Calendar_US)),IF(ISNUMBER(_xll.BDH(config!$G$4,N$1,$A514,$A514)),_xll.BDH(config!$G$4,N$1,$A514,$A514),_xll.BDH(config!$G$5,N$1,$A514,$A514))))</f>
        <v/>
      </c>
      <c r="O514" s="8" t="str">
        <f>IF($A514="","",IF(ISNUMBER(FIND("IMPVOL",O$1)),_xll.BDH(config!$G$4,O$1,WORKDAY($A514,-1,config_Holiday_Calendar_US),WORKDAY($A514,-1,config_Holiday_Calendar_US)),IF(ISNUMBER(_xll.BDH(config!$G$4,O$1,$A514,$A514)),_xll.BDH(config!$G$4,O$1,$A514,$A514),_xll.BDH(config!$G$5,O$1,$A514,$A514))))</f>
        <v/>
      </c>
      <c r="P514" s="8" t="str">
        <f>IF($A514="","",IF(ISNUMBER(FIND("IMPVOL",P$1)),_xll.BDH(config!$G$4,P$1,WORKDAY($A514,-1,config_Holiday_Calendar_US),WORKDAY($A514,-1,config_Holiday_Calendar_US)),IF(ISNUMBER(_xll.BDH(config!$G$4,P$1,$A514,$A514)),_xll.BDH(config!$G$4,P$1,$A514,$A514),_xll.BDH(config!$G$5,P$1,$A514,$A514))))</f>
        <v/>
      </c>
      <c r="Q514" s="8" t="str">
        <f>IF($A514="","",IF(ISNUMBER(FIND("IMPVOL",Q$1)),_xll.BDH(config!$G$4,Q$1,WORKDAY($A514,-1,config_Holiday_Calendar_US),WORKDAY($A514,-1,config_Holiday_Calendar_US)),IF(ISNUMBER(_xll.BDH(config!$G$4,Q$1,$A514,$A514)),_xll.BDH(config!$G$4,Q$1,$A514,$A514),_xll.BDH(config!$G$5,Q$1,$A514,$A514))))</f>
        <v/>
      </c>
      <c r="R514" s="8" t="str">
        <f>IF($A514="","",IF(ISNUMBER(FIND("IMPVOL",R$1)),_xll.BDH(config!$G$4,R$1,WORKDAY($A514,-1,config_Holiday_Calendar_US),WORKDAY($A514,-1,config_Holiday_Calendar_US)),IF(ISNUMBER(_xll.BDH(config!$G$4,R$1,$A514,$A514)),_xll.BDH(config!$G$4,R$1,$A514,$A514),_xll.BDH(config!$G$5,R$1,$A514,$A514))))</f>
        <v/>
      </c>
      <c r="S514" s="8" t="str">
        <f>IF($A514="","",IF(ISNUMBER(FIND("IMPVOL",S$1)),_xll.BDH(config!$G$4,S$1,WORKDAY($A514,-1,config_Holiday_Calendar_US),WORKDAY($A514,-1,config_Holiday_Calendar_US)),IF(ISNUMBER(_xll.BDH(config!$G$4,S$1,$A514,$A514)),_xll.BDH(config!$G$4,S$1,$A514,$A514),_xll.BDH(config!$G$5,S$1,$A514,$A514))))</f>
        <v/>
      </c>
      <c r="T514" s="8" t="str">
        <f>IF($A514="","",IF(ISNUMBER(FIND("IMPVOL",T$1)),_xll.BDH(config!$G$4,T$1,WORKDAY($A514,-1,config_Holiday_Calendar_US),WORKDAY($A514,-1,config_Holiday_Calendar_US)),IF(ISNUMBER(_xll.BDH(config!$G$4,T$1,$A514,$A514)),_xll.BDH(config!$G$4,T$1,$A514,$A514),_xll.BDH(config!$G$5,T$1,$A514,$A514))))</f>
        <v/>
      </c>
      <c r="U514" s="8" t="str">
        <f>IF($A514="","",IF(ISNUMBER(FIND("IMPVOL",U$1)),_xll.BDH(config!$G$4,U$1,WORKDAY($A514,-1,config_Holiday_Calendar_US),WORKDAY($A514,-1,config_Holiday_Calendar_US)),IF(ISNUMBER(_xll.BDH(config!$G$4,U$1,$A514,$A514)),_xll.BDH(config!$G$4,U$1,$A514,$A514),_xll.BDH(config!$G$5,U$1,$A514,$A514))))</f>
        <v/>
      </c>
      <c r="V514" s="8" t="str">
        <f>IF($A514="","",IF(ISNUMBER(FIND("IMPVOL",V$1)),_xll.BDH(config!$G$4,V$1,WORKDAY($A514,-1,config_Holiday_Calendar_US),WORKDAY($A514,-1,config_Holiday_Calendar_US)),IF(ISNUMBER(_xll.BDH(config!$G$4,V$1,$A514,$A514)),_xll.BDH(config!$G$4,V$1,$A514,$A514),_xll.BDH(config!$G$5,V$1,$A514,$A514))))</f>
        <v/>
      </c>
      <c r="W514" s="8" t="str">
        <f>IF($A514="","",IF(ISNUMBER(FIND("IMPVOL",W$1)),_xll.BDH(config!$G$4,W$1,WORKDAY($A514,-1,config_Holiday_Calendar_US),WORKDAY($A514,-1,config_Holiday_Calendar_US)),IF(ISNUMBER(_xll.BDH(config!$G$4,W$1,$A514,$A514)),_xll.BDH(config!$G$4,W$1,$A514,$A514),_xll.BDH(config!$G$5,W$1,$A514,$A514))))</f>
        <v/>
      </c>
    </row>
    <row r="515" spans="1:23" x14ac:dyDescent="0.2">
      <c r="A515" s="9" t="str">
        <f>IF(A514="","",IF(WORKDAY(A514,-1,config_Holiday_Calendar_US)&lt;config!$I$10,"",WORKDAY(A514,-1,config_Holiday_Calendar_US)))</f>
        <v/>
      </c>
      <c r="B515" s="8" t="str">
        <f t="shared" ref="B515:B578" si="8">IF(A515="","",IF(SIGN(C515)=1,1,0))</f>
        <v/>
      </c>
      <c r="C515" s="8" t="str">
        <f>IF(A515="","",_xll.BDH(config!$H$4,C$1,$A515,$A515))</f>
        <v/>
      </c>
      <c r="D515" s="8" t="str">
        <f>IF($A515="","",_xll.BDH(config!$H$4,D$1,$A515,$A515))</f>
        <v/>
      </c>
      <c r="E515" s="8" t="str">
        <f>IF($A515="","",IF(ISNUMBER(FIND("IMPVOL",E$1)),_xll.BDH(config!$G$4,E$1,WORKDAY($A515,-1,config_Holiday_Calendar_US),WORKDAY($A515,-1,config_Holiday_Calendar_US)),IF(ISNUMBER(_xll.BDH(config!$G$4,E$1,$A515,$A515)),_xll.BDH(config!$G$4,E$1,$A515,$A515),_xll.BDH(config!$G$5,E$1,$A515,$A515))))</f>
        <v/>
      </c>
      <c r="F515" s="8" t="str">
        <f>IF($A515="","",IF(ISNUMBER(FIND("IMPVOL",F$1)),_xll.BDH(config!$G$4,F$1,WORKDAY($A515,-1,config_Holiday_Calendar_US),WORKDAY($A515,-1,config_Holiday_Calendar_US)),IF(ISNUMBER(_xll.BDH(config!$G$4,F$1,$A515,$A515)),_xll.BDH(config!$G$4,F$1,$A515,$A515),_xll.BDH(config!$G$5,F$1,$A515,$A515))))</f>
        <v/>
      </c>
      <c r="G515" s="8" t="str">
        <f>IF($A515="","",IF(ISNUMBER(FIND("IMPVOL",G$1)),_xll.BDH(config!$G$4,G$1,WORKDAY($A515,-1,config_Holiday_Calendar_US),WORKDAY($A515,-1,config_Holiday_Calendar_US)),IF(ISNUMBER(_xll.BDH(config!$G$4,G$1,$A515,$A515)),_xll.BDH(config!$G$4,G$1,$A515,$A515),_xll.BDH(config!$G$5,G$1,$A515,$A515))))</f>
        <v/>
      </c>
      <c r="H515" s="8" t="str">
        <f>IF($A515="","",IF(ISNUMBER(FIND("IMPVOL",H$1)),_xll.BDH(config!$G$4,H$1,WORKDAY($A515,-1,config_Holiday_Calendar_US),WORKDAY($A515,-1,config_Holiday_Calendar_US)),IF(ISNUMBER(_xll.BDH(config!$G$4,H$1,$A515,$A515)),_xll.BDH(config!$G$4,H$1,$A515,$A515),_xll.BDH(config!$G$5,H$1,$A515,$A515))))</f>
        <v/>
      </c>
      <c r="I515" s="8" t="str">
        <f>IF($A515="","",IF(ISNUMBER(FIND("IMPVOL",I$1)),_xll.BDH(config!$G$4,I$1,WORKDAY($A515,-1,config_Holiday_Calendar_US),WORKDAY($A515,-1,config_Holiday_Calendar_US)),IF(ISNUMBER(_xll.BDH(config!$G$4,I$1,$A515,$A515)),_xll.BDH(config!$G$4,I$1,$A515,$A515),_xll.BDH(config!$G$5,I$1,$A515,$A515))))</f>
        <v/>
      </c>
      <c r="J515" s="8" t="str">
        <f>IF($A515="","",IF(ISNUMBER(FIND("IMPVOL",J$1)),_xll.BDH(config!$G$4,J$1,WORKDAY($A515,-1,config_Holiday_Calendar_US),WORKDAY($A515,-1,config_Holiday_Calendar_US)),IF(ISNUMBER(_xll.BDH(config!$G$4,J$1,$A515,$A515)),_xll.BDH(config!$G$4,J$1,$A515,$A515),_xll.BDH(config!$G$5,J$1,$A515,$A515))))</f>
        <v/>
      </c>
      <c r="K515" s="8" t="str">
        <f>IF($A515="","",IF(ISNUMBER(FIND("IMPVOL",K$1)),_xll.BDH(config!$G$4,K$1,WORKDAY($A515,-1,config_Holiday_Calendar_US),WORKDAY($A515,-1,config_Holiday_Calendar_US)),IF(ISNUMBER(_xll.BDH(config!$G$4,K$1,$A515,$A515)),_xll.BDH(config!$G$4,K$1,$A515,$A515),_xll.BDH(config!$G$5,K$1,$A515,$A515))))</f>
        <v/>
      </c>
      <c r="L515" s="8" t="str">
        <f>IF($A515="","",IF(ISNUMBER(FIND("IMPVOL",L$1)),_xll.BDH(config!$G$4,L$1,WORKDAY($A515,-1,config_Holiday_Calendar_US),WORKDAY($A515,-1,config_Holiday_Calendar_US)),IF(ISNUMBER(_xll.BDH(config!$G$4,L$1,$A515,$A515)),_xll.BDH(config!$G$4,L$1,$A515,$A515),_xll.BDH(config!$G$5,L$1,$A515,$A515))))</f>
        <v/>
      </c>
      <c r="M515" s="8" t="str">
        <f>IF($A515="","",IF(ISNUMBER(FIND("IMPVOL",M$1)),_xll.BDH(config!$G$4,M$1,WORKDAY($A515,-1,config_Holiday_Calendar_US),WORKDAY($A515,-1,config_Holiday_Calendar_US)),IF(ISNUMBER(_xll.BDH(config!$G$4,M$1,$A515,$A515)),_xll.BDH(config!$G$4,M$1,$A515,$A515),_xll.BDH(config!$G$5,M$1,$A515,$A515))))</f>
        <v/>
      </c>
      <c r="N515" s="8" t="str">
        <f>IF($A515="","",IF(ISNUMBER(FIND("IMPVOL",N$1)),_xll.BDH(config!$G$4,N$1,WORKDAY($A515,-1,config_Holiday_Calendar_US),WORKDAY($A515,-1,config_Holiday_Calendar_US)),IF(ISNUMBER(_xll.BDH(config!$G$4,N$1,$A515,$A515)),_xll.BDH(config!$G$4,N$1,$A515,$A515),_xll.BDH(config!$G$5,N$1,$A515,$A515))))</f>
        <v/>
      </c>
      <c r="O515" s="8" t="str">
        <f>IF($A515="","",IF(ISNUMBER(FIND("IMPVOL",O$1)),_xll.BDH(config!$G$4,O$1,WORKDAY($A515,-1,config_Holiday_Calendar_US),WORKDAY($A515,-1,config_Holiday_Calendar_US)),IF(ISNUMBER(_xll.BDH(config!$G$4,O$1,$A515,$A515)),_xll.BDH(config!$G$4,O$1,$A515,$A515),_xll.BDH(config!$G$5,O$1,$A515,$A515))))</f>
        <v/>
      </c>
      <c r="P515" s="8" t="str">
        <f>IF($A515="","",IF(ISNUMBER(FIND("IMPVOL",P$1)),_xll.BDH(config!$G$4,P$1,WORKDAY($A515,-1,config_Holiday_Calendar_US),WORKDAY($A515,-1,config_Holiday_Calendar_US)),IF(ISNUMBER(_xll.BDH(config!$G$4,P$1,$A515,$A515)),_xll.BDH(config!$G$4,P$1,$A515,$A515),_xll.BDH(config!$G$5,P$1,$A515,$A515))))</f>
        <v/>
      </c>
      <c r="Q515" s="8" t="str">
        <f>IF($A515="","",IF(ISNUMBER(FIND("IMPVOL",Q$1)),_xll.BDH(config!$G$4,Q$1,WORKDAY($A515,-1,config_Holiday_Calendar_US),WORKDAY($A515,-1,config_Holiday_Calendar_US)),IF(ISNUMBER(_xll.BDH(config!$G$4,Q$1,$A515,$A515)),_xll.BDH(config!$G$4,Q$1,$A515,$A515),_xll.BDH(config!$G$5,Q$1,$A515,$A515))))</f>
        <v/>
      </c>
      <c r="R515" s="8" t="str">
        <f>IF($A515="","",IF(ISNUMBER(FIND("IMPVOL",R$1)),_xll.BDH(config!$G$4,R$1,WORKDAY($A515,-1,config_Holiday_Calendar_US),WORKDAY($A515,-1,config_Holiday_Calendar_US)),IF(ISNUMBER(_xll.BDH(config!$G$4,R$1,$A515,$A515)),_xll.BDH(config!$G$4,R$1,$A515,$A515),_xll.BDH(config!$G$5,R$1,$A515,$A515))))</f>
        <v/>
      </c>
      <c r="S515" s="8" t="str">
        <f>IF($A515="","",IF(ISNUMBER(FIND("IMPVOL",S$1)),_xll.BDH(config!$G$4,S$1,WORKDAY($A515,-1,config_Holiday_Calendar_US),WORKDAY($A515,-1,config_Holiday_Calendar_US)),IF(ISNUMBER(_xll.BDH(config!$G$4,S$1,$A515,$A515)),_xll.BDH(config!$G$4,S$1,$A515,$A515),_xll.BDH(config!$G$5,S$1,$A515,$A515))))</f>
        <v/>
      </c>
      <c r="T515" s="8" t="str">
        <f>IF($A515="","",IF(ISNUMBER(FIND("IMPVOL",T$1)),_xll.BDH(config!$G$4,T$1,WORKDAY($A515,-1,config_Holiday_Calendar_US),WORKDAY($A515,-1,config_Holiday_Calendar_US)),IF(ISNUMBER(_xll.BDH(config!$G$4,T$1,$A515,$A515)),_xll.BDH(config!$G$4,T$1,$A515,$A515),_xll.BDH(config!$G$5,T$1,$A515,$A515))))</f>
        <v/>
      </c>
      <c r="U515" s="8" t="str">
        <f>IF($A515="","",IF(ISNUMBER(FIND("IMPVOL",U$1)),_xll.BDH(config!$G$4,U$1,WORKDAY($A515,-1,config_Holiday_Calendar_US),WORKDAY($A515,-1,config_Holiday_Calendar_US)),IF(ISNUMBER(_xll.BDH(config!$G$4,U$1,$A515,$A515)),_xll.BDH(config!$G$4,U$1,$A515,$A515),_xll.BDH(config!$G$5,U$1,$A515,$A515))))</f>
        <v/>
      </c>
      <c r="V515" s="8" t="str">
        <f>IF($A515="","",IF(ISNUMBER(FIND("IMPVOL",V$1)),_xll.BDH(config!$G$4,V$1,WORKDAY($A515,-1,config_Holiday_Calendar_US),WORKDAY($A515,-1,config_Holiday_Calendar_US)),IF(ISNUMBER(_xll.BDH(config!$G$4,V$1,$A515,$A515)),_xll.BDH(config!$G$4,V$1,$A515,$A515),_xll.BDH(config!$G$5,V$1,$A515,$A515))))</f>
        <v/>
      </c>
      <c r="W515" s="8" t="str">
        <f>IF($A515="","",IF(ISNUMBER(FIND("IMPVOL",W$1)),_xll.BDH(config!$G$4,W$1,WORKDAY($A515,-1,config_Holiday_Calendar_US),WORKDAY($A515,-1,config_Holiday_Calendar_US)),IF(ISNUMBER(_xll.BDH(config!$G$4,W$1,$A515,$A515)),_xll.BDH(config!$G$4,W$1,$A515,$A515),_xll.BDH(config!$G$5,W$1,$A515,$A515))))</f>
        <v/>
      </c>
    </row>
    <row r="516" spans="1:23" x14ac:dyDescent="0.2">
      <c r="A516" s="9" t="str">
        <f>IF(A515="","",IF(WORKDAY(A515,-1,config_Holiday_Calendar_US)&lt;config!$I$10,"",WORKDAY(A515,-1,config_Holiday_Calendar_US)))</f>
        <v/>
      </c>
      <c r="B516" s="8" t="str">
        <f t="shared" si="8"/>
        <v/>
      </c>
      <c r="C516" s="8" t="str">
        <f>IF(A516="","",_xll.BDH(config!$H$4,C$1,$A516,$A516))</f>
        <v/>
      </c>
      <c r="D516" s="8" t="str">
        <f>IF($A516="","",_xll.BDH(config!$H$4,D$1,$A516,$A516))</f>
        <v/>
      </c>
      <c r="E516" s="8" t="str">
        <f>IF($A516="","",IF(ISNUMBER(FIND("IMPVOL",E$1)),_xll.BDH(config!$G$4,E$1,WORKDAY($A516,-1,config_Holiday_Calendar_US),WORKDAY($A516,-1,config_Holiday_Calendar_US)),IF(ISNUMBER(_xll.BDH(config!$G$4,E$1,$A516,$A516)),_xll.BDH(config!$G$4,E$1,$A516,$A516),_xll.BDH(config!$G$5,E$1,$A516,$A516))))</f>
        <v/>
      </c>
      <c r="F516" s="8" t="str">
        <f>IF($A516="","",IF(ISNUMBER(FIND("IMPVOL",F$1)),_xll.BDH(config!$G$4,F$1,WORKDAY($A516,-1,config_Holiday_Calendar_US),WORKDAY($A516,-1,config_Holiday_Calendar_US)),IF(ISNUMBER(_xll.BDH(config!$G$4,F$1,$A516,$A516)),_xll.BDH(config!$G$4,F$1,$A516,$A516),_xll.BDH(config!$G$5,F$1,$A516,$A516))))</f>
        <v/>
      </c>
      <c r="G516" s="8" t="str">
        <f>IF($A516="","",IF(ISNUMBER(FIND("IMPVOL",G$1)),_xll.BDH(config!$G$4,G$1,WORKDAY($A516,-1,config_Holiday_Calendar_US),WORKDAY($A516,-1,config_Holiday_Calendar_US)),IF(ISNUMBER(_xll.BDH(config!$G$4,G$1,$A516,$A516)),_xll.BDH(config!$G$4,G$1,$A516,$A516),_xll.BDH(config!$G$5,G$1,$A516,$A516))))</f>
        <v/>
      </c>
      <c r="H516" s="8" t="str">
        <f>IF($A516="","",IF(ISNUMBER(FIND("IMPVOL",H$1)),_xll.BDH(config!$G$4,H$1,WORKDAY($A516,-1,config_Holiday_Calendar_US),WORKDAY($A516,-1,config_Holiday_Calendar_US)),IF(ISNUMBER(_xll.BDH(config!$G$4,H$1,$A516,$A516)),_xll.BDH(config!$G$4,H$1,$A516,$A516),_xll.BDH(config!$G$5,H$1,$A516,$A516))))</f>
        <v/>
      </c>
      <c r="I516" s="8" t="str">
        <f>IF($A516="","",IF(ISNUMBER(FIND("IMPVOL",I$1)),_xll.BDH(config!$G$4,I$1,WORKDAY($A516,-1,config_Holiday_Calendar_US),WORKDAY($A516,-1,config_Holiday_Calendar_US)),IF(ISNUMBER(_xll.BDH(config!$G$4,I$1,$A516,$A516)),_xll.BDH(config!$G$4,I$1,$A516,$A516),_xll.BDH(config!$G$5,I$1,$A516,$A516))))</f>
        <v/>
      </c>
      <c r="J516" s="8" t="str">
        <f>IF($A516="","",IF(ISNUMBER(FIND("IMPVOL",J$1)),_xll.BDH(config!$G$4,J$1,WORKDAY($A516,-1,config_Holiday_Calendar_US),WORKDAY($A516,-1,config_Holiday_Calendar_US)),IF(ISNUMBER(_xll.BDH(config!$G$4,J$1,$A516,$A516)),_xll.BDH(config!$G$4,J$1,$A516,$A516),_xll.BDH(config!$G$5,J$1,$A516,$A516))))</f>
        <v/>
      </c>
      <c r="K516" s="8" t="str">
        <f>IF($A516="","",IF(ISNUMBER(FIND("IMPVOL",K$1)),_xll.BDH(config!$G$4,K$1,WORKDAY($A516,-1,config_Holiday_Calendar_US),WORKDAY($A516,-1,config_Holiday_Calendar_US)),IF(ISNUMBER(_xll.BDH(config!$G$4,K$1,$A516,$A516)),_xll.BDH(config!$G$4,K$1,$A516,$A516),_xll.BDH(config!$G$5,K$1,$A516,$A516))))</f>
        <v/>
      </c>
      <c r="L516" s="8" t="str">
        <f>IF($A516="","",IF(ISNUMBER(FIND("IMPVOL",L$1)),_xll.BDH(config!$G$4,L$1,WORKDAY($A516,-1,config_Holiday_Calendar_US),WORKDAY($A516,-1,config_Holiday_Calendar_US)),IF(ISNUMBER(_xll.BDH(config!$G$4,L$1,$A516,$A516)),_xll.BDH(config!$G$4,L$1,$A516,$A516),_xll.BDH(config!$G$5,L$1,$A516,$A516))))</f>
        <v/>
      </c>
      <c r="M516" s="8" t="str">
        <f>IF($A516="","",IF(ISNUMBER(FIND("IMPVOL",M$1)),_xll.BDH(config!$G$4,M$1,WORKDAY($A516,-1,config_Holiday_Calendar_US),WORKDAY($A516,-1,config_Holiday_Calendar_US)),IF(ISNUMBER(_xll.BDH(config!$G$4,M$1,$A516,$A516)),_xll.BDH(config!$G$4,M$1,$A516,$A516),_xll.BDH(config!$G$5,M$1,$A516,$A516))))</f>
        <v/>
      </c>
      <c r="N516" s="8" t="str">
        <f>IF($A516="","",IF(ISNUMBER(FIND("IMPVOL",N$1)),_xll.BDH(config!$G$4,N$1,WORKDAY($A516,-1,config_Holiday_Calendar_US),WORKDAY($A516,-1,config_Holiday_Calendar_US)),IF(ISNUMBER(_xll.BDH(config!$G$4,N$1,$A516,$A516)),_xll.BDH(config!$G$4,N$1,$A516,$A516),_xll.BDH(config!$G$5,N$1,$A516,$A516))))</f>
        <v/>
      </c>
      <c r="O516" s="8" t="str">
        <f>IF($A516="","",IF(ISNUMBER(FIND("IMPVOL",O$1)),_xll.BDH(config!$G$4,O$1,WORKDAY($A516,-1,config_Holiday_Calendar_US),WORKDAY($A516,-1,config_Holiday_Calendar_US)),IF(ISNUMBER(_xll.BDH(config!$G$4,O$1,$A516,$A516)),_xll.BDH(config!$G$4,O$1,$A516,$A516),_xll.BDH(config!$G$5,O$1,$A516,$A516))))</f>
        <v/>
      </c>
      <c r="P516" s="8" t="str">
        <f>IF($A516="","",IF(ISNUMBER(FIND("IMPVOL",P$1)),_xll.BDH(config!$G$4,P$1,WORKDAY($A516,-1,config_Holiday_Calendar_US),WORKDAY($A516,-1,config_Holiday_Calendar_US)),IF(ISNUMBER(_xll.BDH(config!$G$4,P$1,$A516,$A516)),_xll.BDH(config!$G$4,P$1,$A516,$A516),_xll.BDH(config!$G$5,P$1,$A516,$A516))))</f>
        <v/>
      </c>
      <c r="Q516" s="8" t="str">
        <f>IF($A516="","",IF(ISNUMBER(FIND("IMPVOL",Q$1)),_xll.BDH(config!$G$4,Q$1,WORKDAY($A516,-1,config_Holiday_Calendar_US),WORKDAY($A516,-1,config_Holiday_Calendar_US)),IF(ISNUMBER(_xll.BDH(config!$G$4,Q$1,$A516,$A516)),_xll.BDH(config!$G$4,Q$1,$A516,$A516),_xll.BDH(config!$G$5,Q$1,$A516,$A516))))</f>
        <v/>
      </c>
      <c r="R516" s="8" t="str">
        <f>IF($A516="","",IF(ISNUMBER(FIND("IMPVOL",R$1)),_xll.BDH(config!$G$4,R$1,WORKDAY($A516,-1,config_Holiday_Calendar_US),WORKDAY($A516,-1,config_Holiday_Calendar_US)),IF(ISNUMBER(_xll.BDH(config!$G$4,R$1,$A516,$A516)),_xll.BDH(config!$G$4,R$1,$A516,$A516),_xll.BDH(config!$G$5,R$1,$A516,$A516))))</f>
        <v/>
      </c>
      <c r="S516" s="8" t="str">
        <f>IF($A516="","",IF(ISNUMBER(FIND("IMPVOL",S$1)),_xll.BDH(config!$G$4,S$1,WORKDAY($A516,-1,config_Holiday_Calendar_US),WORKDAY($A516,-1,config_Holiday_Calendar_US)),IF(ISNUMBER(_xll.BDH(config!$G$4,S$1,$A516,$A516)),_xll.BDH(config!$G$4,S$1,$A516,$A516),_xll.BDH(config!$G$5,S$1,$A516,$A516))))</f>
        <v/>
      </c>
      <c r="T516" s="8" t="str">
        <f>IF($A516="","",IF(ISNUMBER(FIND("IMPVOL",T$1)),_xll.BDH(config!$G$4,T$1,WORKDAY($A516,-1,config_Holiday_Calendar_US),WORKDAY($A516,-1,config_Holiday_Calendar_US)),IF(ISNUMBER(_xll.BDH(config!$G$4,T$1,$A516,$A516)),_xll.BDH(config!$G$4,T$1,$A516,$A516),_xll.BDH(config!$G$5,T$1,$A516,$A516))))</f>
        <v/>
      </c>
      <c r="U516" s="8" t="str">
        <f>IF($A516="","",IF(ISNUMBER(FIND("IMPVOL",U$1)),_xll.BDH(config!$G$4,U$1,WORKDAY($A516,-1,config_Holiday_Calendar_US),WORKDAY($A516,-1,config_Holiday_Calendar_US)),IF(ISNUMBER(_xll.BDH(config!$G$4,U$1,$A516,$A516)),_xll.BDH(config!$G$4,U$1,$A516,$A516),_xll.BDH(config!$G$5,U$1,$A516,$A516))))</f>
        <v/>
      </c>
      <c r="V516" s="8" t="str">
        <f>IF($A516="","",IF(ISNUMBER(FIND("IMPVOL",V$1)),_xll.BDH(config!$G$4,V$1,WORKDAY($A516,-1,config_Holiday_Calendar_US),WORKDAY($A516,-1,config_Holiday_Calendar_US)),IF(ISNUMBER(_xll.BDH(config!$G$4,V$1,$A516,$A516)),_xll.BDH(config!$G$4,V$1,$A516,$A516),_xll.BDH(config!$G$5,V$1,$A516,$A516))))</f>
        <v/>
      </c>
      <c r="W516" s="8" t="str">
        <f>IF($A516="","",IF(ISNUMBER(FIND("IMPVOL",W$1)),_xll.BDH(config!$G$4,W$1,WORKDAY($A516,-1,config_Holiday_Calendar_US),WORKDAY($A516,-1,config_Holiday_Calendar_US)),IF(ISNUMBER(_xll.BDH(config!$G$4,W$1,$A516,$A516)),_xll.BDH(config!$G$4,W$1,$A516,$A516),_xll.BDH(config!$G$5,W$1,$A516,$A516))))</f>
        <v/>
      </c>
    </row>
    <row r="517" spans="1:23" x14ac:dyDescent="0.2">
      <c r="A517" s="9" t="str">
        <f>IF(A516="","",IF(WORKDAY(A516,-1,config_Holiday_Calendar_US)&lt;config!$I$10,"",WORKDAY(A516,-1,config_Holiday_Calendar_US)))</f>
        <v/>
      </c>
      <c r="B517" s="8" t="str">
        <f t="shared" si="8"/>
        <v/>
      </c>
      <c r="C517" s="8" t="str">
        <f>IF(A517="","",_xll.BDH(config!$H$4,C$1,$A517,$A517))</f>
        <v/>
      </c>
      <c r="D517" s="8" t="str">
        <f>IF($A517="","",_xll.BDH(config!$H$4,D$1,$A517,$A517))</f>
        <v/>
      </c>
      <c r="E517" s="8" t="str">
        <f>IF($A517="","",IF(ISNUMBER(FIND("IMPVOL",E$1)),_xll.BDH(config!$G$4,E$1,WORKDAY($A517,-1,config_Holiday_Calendar_US),WORKDAY($A517,-1,config_Holiday_Calendar_US)),IF(ISNUMBER(_xll.BDH(config!$G$4,E$1,$A517,$A517)),_xll.BDH(config!$G$4,E$1,$A517,$A517),_xll.BDH(config!$G$5,E$1,$A517,$A517))))</f>
        <v/>
      </c>
      <c r="F517" s="8" t="str">
        <f>IF($A517="","",IF(ISNUMBER(FIND("IMPVOL",F$1)),_xll.BDH(config!$G$4,F$1,WORKDAY($A517,-1,config_Holiday_Calendar_US),WORKDAY($A517,-1,config_Holiday_Calendar_US)),IF(ISNUMBER(_xll.BDH(config!$G$4,F$1,$A517,$A517)),_xll.BDH(config!$G$4,F$1,$A517,$A517),_xll.BDH(config!$G$5,F$1,$A517,$A517))))</f>
        <v/>
      </c>
      <c r="G517" s="8" t="str">
        <f>IF($A517="","",IF(ISNUMBER(FIND("IMPVOL",G$1)),_xll.BDH(config!$G$4,G$1,WORKDAY($A517,-1,config_Holiday_Calendar_US),WORKDAY($A517,-1,config_Holiday_Calendar_US)),IF(ISNUMBER(_xll.BDH(config!$G$4,G$1,$A517,$A517)),_xll.BDH(config!$G$4,G$1,$A517,$A517),_xll.BDH(config!$G$5,G$1,$A517,$A517))))</f>
        <v/>
      </c>
      <c r="H517" s="8" t="str">
        <f>IF($A517="","",IF(ISNUMBER(FIND("IMPVOL",H$1)),_xll.BDH(config!$G$4,H$1,WORKDAY($A517,-1,config_Holiday_Calendar_US),WORKDAY($A517,-1,config_Holiday_Calendar_US)),IF(ISNUMBER(_xll.BDH(config!$G$4,H$1,$A517,$A517)),_xll.BDH(config!$G$4,H$1,$A517,$A517),_xll.BDH(config!$G$5,H$1,$A517,$A517))))</f>
        <v/>
      </c>
      <c r="I517" s="8" t="str">
        <f>IF($A517="","",IF(ISNUMBER(FIND("IMPVOL",I$1)),_xll.BDH(config!$G$4,I$1,WORKDAY($A517,-1,config_Holiday_Calendar_US),WORKDAY($A517,-1,config_Holiday_Calendar_US)),IF(ISNUMBER(_xll.BDH(config!$G$4,I$1,$A517,$A517)),_xll.BDH(config!$G$4,I$1,$A517,$A517),_xll.BDH(config!$G$5,I$1,$A517,$A517))))</f>
        <v/>
      </c>
      <c r="J517" s="8" t="str">
        <f>IF($A517="","",IF(ISNUMBER(FIND("IMPVOL",J$1)),_xll.BDH(config!$G$4,J$1,WORKDAY($A517,-1,config_Holiday_Calendar_US),WORKDAY($A517,-1,config_Holiday_Calendar_US)),IF(ISNUMBER(_xll.BDH(config!$G$4,J$1,$A517,$A517)),_xll.BDH(config!$G$4,J$1,$A517,$A517),_xll.BDH(config!$G$5,J$1,$A517,$A517))))</f>
        <v/>
      </c>
      <c r="K517" s="8" t="str">
        <f>IF($A517="","",IF(ISNUMBER(FIND("IMPVOL",K$1)),_xll.BDH(config!$G$4,K$1,WORKDAY($A517,-1,config_Holiday_Calendar_US),WORKDAY($A517,-1,config_Holiday_Calendar_US)),IF(ISNUMBER(_xll.BDH(config!$G$4,K$1,$A517,$A517)),_xll.BDH(config!$G$4,K$1,$A517,$A517),_xll.BDH(config!$G$5,K$1,$A517,$A517))))</f>
        <v/>
      </c>
      <c r="L517" s="8" t="str">
        <f>IF($A517="","",IF(ISNUMBER(FIND("IMPVOL",L$1)),_xll.BDH(config!$G$4,L$1,WORKDAY($A517,-1,config_Holiday_Calendar_US),WORKDAY($A517,-1,config_Holiday_Calendar_US)),IF(ISNUMBER(_xll.BDH(config!$G$4,L$1,$A517,$A517)),_xll.BDH(config!$G$4,L$1,$A517,$A517),_xll.BDH(config!$G$5,L$1,$A517,$A517))))</f>
        <v/>
      </c>
      <c r="M517" s="8" t="str">
        <f>IF($A517="","",IF(ISNUMBER(FIND("IMPVOL",M$1)),_xll.BDH(config!$G$4,M$1,WORKDAY($A517,-1,config_Holiday_Calendar_US),WORKDAY($A517,-1,config_Holiday_Calendar_US)),IF(ISNUMBER(_xll.BDH(config!$G$4,M$1,$A517,$A517)),_xll.BDH(config!$G$4,M$1,$A517,$A517),_xll.BDH(config!$G$5,M$1,$A517,$A517))))</f>
        <v/>
      </c>
      <c r="N517" s="8" t="str">
        <f>IF($A517="","",IF(ISNUMBER(FIND("IMPVOL",N$1)),_xll.BDH(config!$G$4,N$1,WORKDAY($A517,-1,config_Holiday_Calendar_US),WORKDAY($A517,-1,config_Holiday_Calendar_US)),IF(ISNUMBER(_xll.BDH(config!$G$4,N$1,$A517,$A517)),_xll.BDH(config!$G$4,N$1,$A517,$A517),_xll.BDH(config!$G$5,N$1,$A517,$A517))))</f>
        <v/>
      </c>
      <c r="O517" s="8" t="str">
        <f>IF($A517="","",IF(ISNUMBER(FIND("IMPVOL",O$1)),_xll.BDH(config!$G$4,O$1,WORKDAY($A517,-1,config_Holiday_Calendar_US),WORKDAY($A517,-1,config_Holiday_Calendar_US)),IF(ISNUMBER(_xll.BDH(config!$G$4,O$1,$A517,$A517)),_xll.BDH(config!$G$4,O$1,$A517,$A517),_xll.BDH(config!$G$5,O$1,$A517,$A517))))</f>
        <v/>
      </c>
      <c r="P517" s="8" t="str">
        <f>IF($A517="","",IF(ISNUMBER(FIND("IMPVOL",P$1)),_xll.BDH(config!$G$4,P$1,WORKDAY($A517,-1,config_Holiday_Calendar_US),WORKDAY($A517,-1,config_Holiday_Calendar_US)),IF(ISNUMBER(_xll.BDH(config!$G$4,P$1,$A517,$A517)),_xll.BDH(config!$G$4,P$1,$A517,$A517),_xll.BDH(config!$G$5,P$1,$A517,$A517))))</f>
        <v/>
      </c>
      <c r="Q517" s="8" t="str">
        <f>IF($A517="","",IF(ISNUMBER(FIND("IMPVOL",Q$1)),_xll.BDH(config!$G$4,Q$1,WORKDAY($A517,-1,config_Holiday_Calendar_US),WORKDAY($A517,-1,config_Holiday_Calendar_US)),IF(ISNUMBER(_xll.BDH(config!$G$4,Q$1,$A517,$A517)),_xll.BDH(config!$G$4,Q$1,$A517,$A517),_xll.BDH(config!$G$5,Q$1,$A517,$A517))))</f>
        <v/>
      </c>
      <c r="R517" s="8" t="str">
        <f>IF($A517="","",IF(ISNUMBER(FIND("IMPVOL",R$1)),_xll.BDH(config!$G$4,R$1,WORKDAY($A517,-1,config_Holiday_Calendar_US),WORKDAY($A517,-1,config_Holiday_Calendar_US)),IF(ISNUMBER(_xll.BDH(config!$G$4,R$1,$A517,$A517)),_xll.BDH(config!$G$4,R$1,$A517,$A517),_xll.BDH(config!$G$5,R$1,$A517,$A517))))</f>
        <v/>
      </c>
      <c r="S517" s="8" t="str">
        <f>IF($A517="","",IF(ISNUMBER(FIND("IMPVOL",S$1)),_xll.BDH(config!$G$4,S$1,WORKDAY($A517,-1,config_Holiday_Calendar_US),WORKDAY($A517,-1,config_Holiday_Calendar_US)),IF(ISNUMBER(_xll.BDH(config!$G$4,S$1,$A517,$A517)),_xll.BDH(config!$G$4,S$1,$A517,$A517),_xll.BDH(config!$G$5,S$1,$A517,$A517))))</f>
        <v/>
      </c>
      <c r="T517" s="8" t="str">
        <f>IF($A517="","",IF(ISNUMBER(FIND("IMPVOL",T$1)),_xll.BDH(config!$G$4,T$1,WORKDAY($A517,-1,config_Holiday_Calendar_US),WORKDAY($A517,-1,config_Holiday_Calendar_US)),IF(ISNUMBER(_xll.BDH(config!$G$4,T$1,$A517,$A517)),_xll.BDH(config!$G$4,T$1,$A517,$A517),_xll.BDH(config!$G$5,T$1,$A517,$A517))))</f>
        <v/>
      </c>
      <c r="U517" s="8" t="str">
        <f>IF($A517="","",IF(ISNUMBER(FIND("IMPVOL",U$1)),_xll.BDH(config!$G$4,U$1,WORKDAY($A517,-1,config_Holiday_Calendar_US),WORKDAY($A517,-1,config_Holiday_Calendar_US)),IF(ISNUMBER(_xll.BDH(config!$G$4,U$1,$A517,$A517)),_xll.BDH(config!$G$4,U$1,$A517,$A517),_xll.BDH(config!$G$5,U$1,$A517,$A517))))</f>
        <v/>
      </c>
      <c r="V517" s="8" t="str">
        <f>IF($A517="","",IF(ISNUMBER(FIND("IMPVOL",V$1)),_xll.BDH(config!$G$4,V$1,WORKDAY($A517,-1,config_Holiday_Calendar_US),WORKDAY($A517,-1,config_Holiday_Calendar_US)),IF(ISNUMBER(_xll.BDH(config!$G$4,V$1,$A517,$A517)),_xll.BDH(config!$G$4,V$1,$A517,$A517),_xll.BDH(config!$G$5,V$1,$A517,$A517))))</f>
        <v/>
      </c>
      <c r="W517" s="8" t="str">
        <f>IF($A517="","",IF(ISNUMBER(FIND("IMPVOL",W$1)),_xll.BDH(config!$G$4,W$1,WORKDAY($A517,-1,config_Holiday_Calendar_US),WORKDAY($A517,-1,config_Holiday_Calendar_US)),IF(ISNUMBER(_xll.BDH(config!$G$4,W$1,$A517,$A517)),_xll.BDH(config!$G$4,W$1,$A517,$A517),_xll.BDH(config!$G$5,W$1,$A517,$A517))))</f>
        <v/>
      </c>
    </row>
    <row r="518" spans="1:23" x14ac:dyDescent="0.2">
      <c r="A518" s="9" t="str">
        <f>IF(A517="","",IF(WORKDAY(A517,-1,config_Holiday_Calendar_US)&lt;config!$I$10,"",WORKDAY(A517,-1,config_Holiday_Calendar_US)))</f>
        <v/>
      </c>
      <c r="B518" s="8" t="str">
        <f t="shared" si="8"/>
        <v/>
      </c>
      <c r="C518" s="8" t="str">
        <f>IF(A518="","",_xll.BDH(config!$H$4,C$1,$A518,$A518))</f>
        <v/>
      </c>
      <c r="D518" s="8" t="str">
        <f>IF($A518="","",_xll.BDH(config!$H$4,D$1,$A518,$A518))</f>
        <v/>
      </c>
      <c r="E518" s="8" t="str">
        <f>IF($A518="","",IF(ISNUMBER(FIND("IMPVOL",E$1)),_xll.BDH(config!$G$4,E$1,WORKDAY($A518,-1,config_Holiday_Calendar_US),WORKDAY($A518,-1,config_Holiday_Calendar_US)),IF(ISNUMBER(_xll.BDH(config!$G$4,E$1,$A518,$A518)),_xll.BDH(config!$G$4,E$1,$A518,$A518),_xll.BDH(config!$G$5,E$1,$A518,$A518))))</f>
        <v/>
      </c>
      <c r="F518" s="8" t="str">
        <f>IF($A518="","",IF(ISNUMBER(FIND("IMPVOL",F$1)),_xll.BDH(config!$G$4,F$1,WORKDAY($A518,-1,config_Holiday_Calendar_US),WORKDAY($A518,-1,config_Holiday_Calendar_US)),IF(ISNUMBER(_xll.BDH(config!$G$4,F$1,$A518,$A518)),_xll.BDH(config!$G$4,F$1,$A518,$A518),_xll.BDH(config!$G$5,F$1,$A518,$A518))))</f>
        <v/>
      </c>
      <c r="G518" s="8" t="str">
        <f>IF($A518="","",IF(ISNUMBER(FIND("IMPVOL",G$1)),_xll.BDH(config!$G$4,G$1,WORKDAY($A518,-1,config_Holiday_Calendar_US),WORKDAY($A518,-1,config_Holiday_Calendar_US)),IF(ISNUMBER(_xll.BDH(config!$G$4,G$1,$A518,$A518)),_xll.BDH(config!$G$4,G$1,$A518,$A518),_xll.BDH(config!$G$5,G$1,$A518,$A518))))</f>
        <v/>
      </c>
      <c r="H518" s="8" t="str">
        <f>IF($A518="","",IF(ISNUMBER(FIND("IMPVOL",H$1)),_xll.BDH(config!$G$4,H$1,WORKDAY($A518,-1,config_Holiday_Calendar_US),WORKDAY($A518,-1,config_Holiday_Calendar_US)),IF(ISNUMBER(_xll.BDH(config!$G$4,H$1,$A518,$A518)),_xll.BDH(config!$G$4,H$1,$A518,$A518),_xll.BDH(config!$G$5,H$1,$A518,$A518))))</f>
        <v/>
      </c>
      <c r="I518" s="8" t="str">
        <f>IF($A518="","",IF(ISNUMBER(FIND("IMPVOL",I$1)),_xll.BDH(config!$G$4,I$1,WORKDAY($A518,-1,config_Holiday_Calendar_US),WORKDAY($A518,-1,config_Holiday_Calendar_US)),IF(ISNUMBER(_xll.BDH(config!$G$4,I$1,$A518,$A518)),_xll.BDH(config!$G$4,I$1,$A518,$A518),_xll.BDH(config!$G$5,I$1,$A518,$A518))))</f>
        <v/>
      </c>
      <c r="J518" s="8" t="str">
        <f>IF($A518="","",IF(ISNUMBER(FIND("IMPVOL",J$1)),_xll.BDH(config!$G$4,J$1,WORKDAY($A518,-1,config_Holiday_Calendar_US),WORKDAY($A518,-1,config_Holiday_Calendar_US)),IF(ISNUMBER(_xll.BDH(config!$G$4,J$1,$A518,$A518)),_xll.BDH(config!$G$4,J$1,$A518,$A518),_xll.BDH(config!$G$5,J$1,$A518,$A518))))</f>
        <v/>
      </c>
      <c r="K518" s="8" t="str">
        <f>IF($A518="","",IF(ISNUMBER(FIND("IMPVOL",K$1)),_xll.BDH(config!$G$4,K$1,WORKDAY($A518,-1,config_Holiday_Calendar_US),WORKDAY($A518,-1,config_Holiday_Calendar_US)),IF(ISNUMBER(_xll.BDH(config!$G$4,K$1,$A518,$A518)),_xll.BDH(config!$G$4,K$1,$A518,$A518),_xll.BDH(config!$G$5,K$1,$A518,$A518))))</f>
        <v/>
      </c>
      <c r="L518" s="8" t="str">
        <f>IF($A518="","",IF(ISNUMBER(FIND("IMPVOL",L$1)),_xll.BDH(config!$G$4,L$1,WORKDAY($A518,-1,config_Holiday_Calendar_US),WORKDAY($A518,-1,config_Holiday_Calendar_US)),IF(ISNUMBER(_xll.BDH(config!$G$4,L$1,$A518,$A518)),_xll.BDH(config!$G$4,L$1,$A518,$A518),_xll.BDH(config!$G$5,L$1,$A518,$A518))))</f>
        <v/>
      </c>
      <c r="M518" s="8" t="str">
        <f>IF($A518="","",IF(ISNUMBER(FIND("IMPVOL",M$1)),_xll.BDH(config!$G$4,M$1,WORKDAY($A518,-1,config_Holiday_Calendar_US),WORKDAY($A518,-1,config_Holiday_Calendar_US)),IF(ISNUMBER(_xll.BDH(config!$G$4,M$1,$A518,$A518)),_xll.BDH(config!$G$4,M$1,$A518,$A518),_xll.BDH(config!$G$5,M$1,$A518,$A518))))</f>
        <v/>
      </c>
      <c r="N518" s="8" t="str">
        <f>IF($A518="","",IF(ISNUMBER(FIND("IMPVOL",N$1)),_xll.BDH(config!$G$4,N$1,WORKDAY($A518,-1,config_Holiday_Calendar_US),WORKDAY($A518,-1,config_Holiday_Calendar_US)),IF(ISNUMBER(_xll.BDH(config!$G$4,N$1,$A518,$A518)),_xll.BDH(config!$G$4,N$1,$A518,$A518),_xll.BDH(config!$G$5,N$1,$A518,$A518))))</f>
        <v/>
      </c>
      <c r="O518" s="8" t="str">
        <f>IF($A518="","",IF(ISNUMBER(FIND("IMPVOL",O$1)),_xll.BDH(config!$G$4,O$1,WORKDAY($A518,-1,config_Holiday_Calendar_US),WORKDAY($A518,-1,config_Holiday_Calendar_US)),IF(ISNUMBER(_xll.BDH(config!$G$4,O$1,$A518,$A518)),_xll.BDH(config!$G$4,O$1,$A518,$A518),_xll.BDH(config!$G$5,O$1,$A518,$A518))))</f>
        <v/>
      </c>
      <c r="P518" s="8" t="str">
        <f>IF($A518="","",IF(ISNUMBER(FIND("IMPVOL",P$1)),_xll.BDH(config!$G$4,P$1,WORKDAY($A518,-1,config_Holiday_Calendar_US),WORKDAY($A518,-1,config_Holiday_Calendar_US)),IF(ISNUMBER(_xll.BDH(config!$G$4,P$1,$A518,$A518)),_xll.BDH(config!$G$4,P$1,$A518,$A518),_xll.BDH(config!$G$5,P$1,$A518,$A518))))</f>
        <v/>
      </c>
      <c r="Q518" s="8" t="str">
        <f>IF($A518="","",IF(ISNUMBER(FIND("IMPVOL",Q$1)),_xll.BDH(config!$G$4,Q$1,WORKDAY($A518,-1,config_Holiday_Calendar_US),WORKDAY($A518,-1,config_Holiday_Calendar_US)),IF(ISNUMBER(_xll.BDH(config!$G$4,Q$1,$A518,$A518)),_xll.BDH(config!$G$4,Q$1,$A518,$A518),_xll.BDH(config!$G$5,Q$1,$A518,$A518))))</f>
        <v/>
      </c>
      <c r="R518" s="8" t="str">
        <f>IF($A518="","",IF(ISNUMBER(FIND("IMPVOL",R$1)),_xll.BDH(config!$G$4,R$1,WORKDAY($A518,-1,config_Holiday_Calendar_US),WORKDAY($A518,-1,config_Holiday_Calendar_US)),IF(ISNUMBER(_xll.BDH(config!$G$4,R$1,$A518,$A518)),_xll.BDH(config!$G$4,R$1,$A518,$A518),_xll.BDH(config!$G$5,R$1,$A518,$A518))))</f>
        <v/>
      </c>
      <c r="S518" s="8" t="str">
        <f>IF($A518="","",IF(ISNUMBER(FIND("IMPVOL",S$1)),_xll.BDH(config!$G$4,S$1,WORKDAY($A518,-1,config_Holiday_Calendar_US),WORKDAY($A518,-1,config_Holiday_Calendar_US)),IF(ISNUMBER(_xll.BDH(config!$G$4,S$1,$A518,$A518)),_xll.BDH(config!$G$4,S$1,$A518,$A518),_xll.BDH(config!$G$5,S$1,$A518,$A518))))</f>
        <v/>
      </c>
      <c r="T518" s="8" t="str">
        <f>IF($A518="","",IF(ISNUMBER(FIND("IMPVOL",T$1)),_xll.BDH(config!$G$4,T$1,WORKDAY($A518,-1,config_Holiday_Calendar_US),WORKDAY($A518,-1,config_Holiday_Calendar_US)),IF(ISNUMBER(_xll.BDH(config!$G$4,T$1,$A518,$A518)),_xll.BDH(config!$G$4,T$1,$A518,$A518),_xll.BDH(config!$G$5,T$1,$A518,$A518))))</f>
        <v/>
      </c>
      <c r="U518" s="8" t="str">
        <f>IF($A518="","",IF(ISNUMBER(FIND("IMPVOL",U$1)),_xll.BDH(config!$G$4,U$1,WORKDAY($A518,-1,config_Holiday_Calendar_US),WORKDAY($A518,-1,config_Holiday_Calendar_US)),IF(ISNUMBER(_xll.BDH(config!$G$4,U$1,$A518,$A518)),_xll.BDH(config!$G$4,U$1,$A518,$A518),_xll.BDH(config!$G$5,U$1,$A518,$A518))))</f>
        <v/>
      </c>
      <c r="V518" s="8" t="str">
        <f>IF($A518="","",IF(ISNUMBER(FIND("IMPVOL",V$1)),_xll.BDH(config!$G$4,V$1,WORKDAY($A518,-1,config_Holiday_Calendar_US),WORKDAY($A518,-1,config_Holiday_Calendar_US)),IF(ISNUMBER(_xll.BDH(config!$G$4,V$1,$A518,$A518)),_xll.BDH(config!$G$4,V$1,$A518,$A518),_xll.BDH(config!$G$5,V$1,$A518,$A518))))</f>
        <v/>
      </c>
      <c r="W518" s="8" t="str">
        <f>IF($A518="","",IF(ISNUMBER(FIND("IMPVOL",W$1)),_xll.BDH(config!$G$4,W$1,WORKDAY($A518,-1,config_Holiday_Calendar_US),WORKDAY($A518,-1,config_Holiday_Calendar_US)),IF(ISNUMBER(_xll.BDH(config!$G$4,W$1,$A518,$A518)),_xll.BDH(config!$G$4,W$1,$A518,$A518),_xll.BDH(config!$G$5,W$1,$A518,$A518))))</f>
        <v/>
      </c>
    </row>
    <row r="519" spans="1:23" x14ac:dyDescent="0.2">
      <c r="A519" s="9" t="str">
        <f>IF(A518="","",IF(WORKDAY(A518,-1,config_Holiday_Calendar_US)&lt;config!$I$10,"",WORKDAY(A518,-1,config_Holiday_Calendar_US)))</f>
        <v/>
      </c>
      <c r="B519" s="8" t="str">
        <f t="shared" si="8"/>
        <v/>
      </c>
      <c r="C519" s="8" t="str">
        <f>IF(A519="","",_xll.BDH(config!$H$4,C$1,$A519,$A519))</f>
        <v/>
      </c>
      <c r="D519" s="8" t="str">
        <f>IF($A519="","",_xll.BDH(config!$H$4,D$1,$A519,$A519))</f>
        <v/>
      </c>
      <c r="E519" s="8" t="str">
        <f>IF($A519="","",IF(ISNUMBER(FIND("IMPVOL",E$1)),_xll.BDH(config!$G$4,E$1,WORKDAY($A519,-1,config_Holiday_Calendar_US),WORKDAY($A519,-1,config_Holiday_Calendar_US)),IF(ISNUMBER(_xll.BDH(config!$G$4,E$1,$A519,$A519)),_xll.BDH(config!$G$4,E$1,$A519,$A519),_xll.BDH(config!$G$5,E$1,$A519,$A519))))</f>
        <v/>
      </c>
      <c r="F519" s="8" t="str">
        <f>IF($A519="","",IF(ISNUMBER(FIND("IMPVOL",F$1)),_xll.BDH(config!$G$4,F$1,WORKDAY($A519,-1,config_Holiday_Calendar_US),WORKDAY($A519,-1,config_Holiday_Calendar_US)),IF(ISNUMBER(_xll.BDH(config!$G$4,F$1,$A519,$A519)),_xll.BDH(config!$G$4,F$1,$A519,$A519),_xll.BDH(config!$G$5,F$1,$A519,$A519))))</f>
        <v/>
      </c>
      <c r="G519" s="8" t="str">
        <f>IF($A519="","",IF(ISNUMBER(FIND("IMPVOL",G$1)),_xll.BDH(config!$G$4,G$1,WORKDAY($A519,-1,config_Holiday_Calendar_US),WORKDAY($A519,-1,config_Holiday_Calendar_US)),IF(ISNUMBER(_xll.BDH(config!$G$4,G$1,$A519,$A519)),_xll.BDH(config!$G$4,G$1,$A519,$A519),_xll.BDH(config!$G$5,G$1,$A519,$A519))))</f>
        <v/>
      </c>
      <c r="H519" s="8" t="str">
        <f>IF($A519="","",IF(ISNUMBER(FIND("IMPVOL",H$1)),_xll.BDH(config!$G$4,H$1,WORKDAY($A519,-1,config_Holiday_Calendar_US),WORKDAY($A519,-1,config_Holiday_Calendar_US)),IF(ISNUMBER(_xll.BDH(config!$G$4,H$1,$A519,$A519)),_xll.BDH(config!$G$4,H$1,$A519,$A519),_xll.BDH(config!$G$5,H$1,$A519,$A519))))</f>
        <v/>
      </c>
      <c r="I519" s="8" t="str">
        <f>IF($A519="","",IF(ISNUMBER(FIND("IMPVOL",I$1)),_xll.BDH(config!$G$4,I$1,WORKDAY($A519,-1,config_Holiday_Calendar_US),WORKDAY($A519,-1,config_Holiday_Calendar_US)),IF(ISNUMBER(_xll.BDH(config!$G$4,I$1,$A519,$A519)),_xll.BDH(config!$G$4,I$1,$A519,$A519),_xll.BDH(config!$G$5,I$1,$A519,$A519))))</f>
        <v/>
      </c>
      <c r="J519" s="8" t="str">
        <f>IF($A519="","",IF(ISNUMBER(FIND("IMPVOL",J$1)),_xll.BDH(config!$G$4,J$1,WORKDAY($A519,-1,config_Holiday_Calendar_US),WORKDAY($A519,-1,config_Holiday_Calendar_US)),IF(ISNUMBER(_xll.BDH(config!$G$4,J$1,$A519,$A519)),_xll.BDH(config!$G$4,J$1,$A519,$A519),_xll.BDH(config!$G$5,J$1,$A519,$A519))))</f>
        <v/>
      </c>
      <c r="K519" s="8" t="str">
        <f>IF($A519="","",IF(ISNUMBER(FIND("IMPVOL",K$1)),_xll.BDH(config!$G$4,K$1,WORKDAY($A519,-1,config_Holiday_Calendar_US),WORKDAY($A519,-1,config_Holiday_Calendar_US)),IF(ISNUMBER(_xll.BDH(config!$G$4,K$1,$A519,$A519)),_xll.BDH(config!$G$4,K$1,$A519,$A519),_xll.BDH(config!$G$5,K$1,$A519,$A519))))</f>
        <v/>
      </c>
      <c r="L519" s="8" t="str">
        <f>IF($A519="","",IF(ISNUMBER(FIND("IMPVOL",L$1)),_xll.BDH(config!$G$4,L$1,WORKDAY($A519,-1,config_Holiday_Calendar_US),WORKDAY($A519,-1,config_Holiday_Calendar_US)),IF(ISNUMBER(_xll.BDH(config!$G$4,L$1,$A519,$A519)),_xll.BDH(config!$G$4,L$1,$A519,$A519),_xll.BDH(config!$G$5,L$1,$A519,$A519))))</f>
        <v/>
      </c>
      <c r="M519" s="8" t="str">
        <f>IF($A519="","",IF(ISNUMBER(FIND("IMPVOL",M$1)),_xll.BDH(config!$G$4,M$1,WORKDAY($A519,-1,config_Holiday_Calendar_US),WORKDAY($A519,-1,config_Holiday_Calendar_US)),IF(ISNUMBER(_xll.BDH(config!$G$4,M$1,$A519,$A519)),_xll.BDH(config!$G$4,M$1,$A519,$A519),_xll.BDH(config!$G$5,M$1,$A519,$A519))))</f>
        <v/>
      </c>
      <c r="N519" s="8" t="str">
        <f>IF($A519="","",IF(ISNUMBER(FIND("IMPVOL",N$1)),_xll.BDH(config!$G$4,N$1,WORKDAY($A519,-1,config_Holiday_Calendar_US),WORKDAY($A519,-1,config_Holiday_Calendar_US)),IF(ISNUMBER(_xll.BDH(config!$G$4,N$1,$A519,$A519)),_xll.BDH(config!$G$4,N$1,$A519,$A519),_xll.BDH(config!$G$5,N$1,$A519,$A519))))</f>
        <v/>
      </c>
      <c r="O519" s="8" t="str">
        <f>IF($A519="","",IF(ISNUMBER(FIND("IMPVOL",O$1)),_xll.BDH(config!$G$4,O$1,WORKDAY($A519,-1,config_Holiday_Calendar_US),WORKDAY($A519,-1,config_Holiday_Calendar_US)),IF(ISNUMBER(_xll.BDH(config!$G$4,O$1,$A519,$A519)),_xll.BDH(config!$G$4,O$1,$A519,$A519),_xll.BDH(config!$G$5,O$1,$A519,$A519))))</f>
        <v/>
      </c>
      <c r="P519" s="8" t="str">
        <f>IF($A519="","",IF(ISNUMBER(FIND("IMPVOL",P$1)),_xll.BDH(config!$G$4,P$1,WORKDAY($A519,-1,config_Holiday_Calendar_US),WORKDAY($A519,-1,config_Holiday_Calendar_US)),IF(ISNUMBER(_xll.BDH(config!$G$4,P$1,$A519,$A519)),_xll.BDH(config!$G$4,P$1,$A519,$A519),_xll.BDH(config!$G$5,P$1,$A519,$A519))))</f>
        <v/>
      </c>
      <c r="Q519" s="8" t="str">
        <f>IF($A519="","",IF(ISNUMBER(FIND("IMPVOL",Q$1)),_xll.BDH(config!$G$4,Q$1,WORKDAY($A519,-1,config_Holiday_Calendar_US),WORKDAY($A519,-1,config_Holiday_Calendar_US)),IF(ISNUMBER(_xll.BDH(config!$G$4,Q$1,$A519,$A519)),_xll.BDH(config!$G$4,Q$1,$A519,$A519),_xll.BDH(config!$G$5,Q$1,$A519,$A519))))</f>
        <v/>
      </c>
      <c r="R519" s="8" t="str">
        <f>IF($A519="","",IF(ISNUMBER(FIND("IMPVOL",R$1)),_xll.BDH(config!$G$4,R$1,WORKDAY($A519,-1,config_Holiday_Calendar_US),WORKDAY($A519,-1,config_Holiday_Calendar_US)),IF(ISNUMBER(_xll.BDH(config!$G$4,R$1,$A519,$A519)),_xll.BDH(config!$G$4,R$1,$A519,$A519),_xll.BDH(config!$G$5,R$1,$A519,$A519))))</f>
        <v/>
      </c>
      <c r="S519" s="8" t="str">
        <f>IF($A519="","",IF(ISNUMBER(FIND("IMPVOL",S$1)),_xll.BDH(config!$G$4,S$1,WORKDAY($A519,-1,config_Holiday_Calendar_US),WORKDAY($A519,-1,config_Holiday_Calendar_US)),IF(ISNUMBER(_xll.BDH(config!$G$4,S$1,$A519,$A519)),_xll.BDH(config!$G$4,S$1,$A519,$A519),_xll.BDH(config!$G$5,S$1,$A519,$A519))))</f>
        <v/>
      </c>
      <c r="T519" s="8" t="str">
        <f>IF($A519="","",IF(ISNUMBER(FIND("IMPVOL",T$1)),_xll.BDH(config!$G$4,T$1,WORKDAY($A519,-1,config_Holiday_Calendar_US),WORKDAY($A519,-1,config_Holiday_Calendar_US)),IF(ISNUMBER(_xll.BDH(config!$G$4,T$1,$A519,$A519)),_xll.BDH(config!$G$4,T$1,$A519,$A519),_xll.BDH(config!$G$5,T$1,$A519,$A519))))</f>
        <v/>
      </c>
      <c r="U519" s="8" t="str">
        <f>IF($A519="","",IF(ISNUMBER(FIND("IMPVOL",U$1)),_xll.BDH(config!$G$4,U$1,WORKDAY($A519,-1,config_Holiday_Calendar_US),WORKDAY($A519,-1,config_Holiday_Calendar_US)),IF(ISNUMBER(_xll.BDH(config!$G$4,U$1,$A519,$A519)),_xll.BDH(config!$G$4,U$1,$A519,$A519),_xll.BDH(config!$G$5,U$1,$A519,$A519))))</f>
        <v/>
      </c>
      <c r="V519" s="8" t="str">
        <f>IF($A519="","",IF(ISNUMBER(FIND("IMPVOL",V$1)),_xll.BDH(config!$G$4,V$1,WORKDAY($A519,-1,config_Holiday_Calendar_US),WORKDAY($A519,-1,config_Holiday_Calendar_US)),IF(ISNUMBER(_xll.BDH(config!$G$4,V$1,$A519,$A519)),_xll.BDH(config!$G$4,V$1,$A519,$A519),_xll.BDH(config!$G$5,V$1,$A519,$A519))))</f>
        <v/>
      </c>
      <c r="W519" s="8" t="str">
        <f>IF($A519="","",IF(ISNUMBER(FIND("IMPVOL",W$1)),_xll.BDH(config!$G$4,W$1,WORKDAY($A519,-1,config_Holiday_Calendar_US),WORKDAY($A519,-1,config_Holiday_Calendar_US)),IF(ISNUMBER(_xll.BDH(config!$G$4,W$1,$A519,$A519)),_xll.BDH(config!$G$4,W$1,$A519,$A519),_xll.BDH(config!$G$5,W$1,$A519,$A519))))</f>
        <v/>
      </c>
    </row>
    <row r="520" spans="1:23" x14ac:dyDescent="0.2">
      <c r="A520" s="9" t="str">
        <f>IF(A519="","",IF(WORKDAY(A519,-1,config_Holiday_Calendar_US)&lt;config!$I$10,"",WORKDAY(A519,-1,config_Holiday_Calendar_US)))</f>
        <v/>
      </c>
      <c r="B520" s="8" t="str">
        <f t="shared" si="8"/>
        <v/>
      </c>
      <c r="C520" s="8" t="str">
        <f>IF(A520="","",_xll.BDH(config!$H$4,C$1,$A520,$A520))</f>
        <v/>
      </c>
      <c r="D520" s="8" t="str">
        <f>IF($A520="","",_xll.BDH(config!$H$4,D$1,$A520,$A520))</f>
        <v/>
      </c>
      <c r="E520" s="8" t="str">
        <f>IF($A520="","",IF(ISNUMBER(FIND("IMPVOL",E$1)),_xll.BDH(config!$G$4,E$1,WORKDAY($A520,-1,config_Holiday_Calendar_US),WORKDAY($A520,-1,config_Holiday_Calendar_US)),IF(ISNUMBER(_xll.BDH(config!$G$4,E$1,$A520,$A520)),_xll.BDH(config!$G$4,E$1,$A520,$A520),_xll.BDH(config!$G$5,E$1,$A520,$A520))))</f>
        <v/>
      </c>
      <c r="F520" s="8" t="str">
        <f>IF($A520="","",IF(ISNUMBER(FIND("IMPVOL",F$1)),_xll.BDH(config!$G$4,F$1,WORKDAY($A520,-1,config_Holiday_Calendar_US),WORKDAY($A520,-1,config_Holiday_Calendar_US)),IF(ISNUMBER(_xll.BDH(config!$G$4,F$1,$A520,$A520)),_xll.BDH(config!$G$4,F$1,$A520,$A520),_xll.BDH(config!$G$5,F$1,$A520,$A520))))</f>
        <v/>
      </c>
      <c r="G520" s="8" t="str">
        <f>IF($A520="","",IF(ISNUMBER(FIND("IMPVOL",G$1)),_xll.BDH(config!$G$4,G$1,WORKDAY($A520,-1,config_Holiday_Calendar_US),WORKDAY($A520,-1,config_Holiday_Calendar_US)),IF(ISNUMBER(_xll.BDH(config!$G$4,G$1,$A520,$A520)),_xll.BDH(config!$G$4,G$1,$A520,$A520),_xll.BDH(config!$G$5,G$1,$A520,$A520))))</f>
        <v/>
      </c>
      <c r="H520" s="8" t="str">
        <f>IF($A520="","",IF(ISNUMBER(FIND("IMPVOL",H$1)),_xll.BDH(config!$G$4,H$1,WORKDAY($A520,-1,config_Holiday_Calendar_US),WORKDAY($A520,-1,config_Holiday_Calendar_US)),IF(ISNUMBER(_xll.BDH(config!$G$4,H$1,$A520,$A520)),_xll.BDH(config!$G$4,H$1,$A520,$A520),_xll.BDH(config!$G$5,H$1,$A520,$A520))))</f>
        <v/>
      </c>
      <c r="I520" s="8" t="str">
        <f>IF($A520="","",IF(ISNUMBER(FIND("IMPVOL",I$1)),_xll.BDH(config!$G$4,I$1,WORKDAY($A520,-1,config_Holiday_Calendar_US),WORKDAY($A520,-1,config_Holiday_Calendar_US)),IF(ISNUMBER(_xll.BDH(config!$G$4,I$1,$A520,$A520)),_xll.BDH(config!$G$4,I$1,$A520,$A520),_xll.BDH(config!$G$5,I$1,$A520,$A520))))</f>
        <v/>
      </c>
      <c r="J520" s="8" t="str">
        <f>IF($A520="","",IF(ISNUMBER(FIND("IMPVOL",J$1)),_xll.BDH(config!$G$4,J$1,WORKDAY($A520,-1,config_Holiday_Calendar_US),WORKDAY($A520,-1,config_Holiday_Calendar_US)),IF(ISNUMBER(_xll.BDH(config!$G$4,J$1,$A520,$A520)),_xll.BDH(config!$G$4,J$1,$A520,$A520),_xll.BDH(config!$G$5,J$1,$A520,$A520))))</f>
        <v/>
      </c>
      <c r="K520" s="8" t="str">
        <f>IF($A520="","",IF(ISNUMBER(FIND("IMPVOL",K$1)),_xll.BDH(config!$G$4,K$1,WORKDAY($A520,-1,config_Holiday_Calendar_US),WORKDAY($A520,-1,config_Holiday_Calendar_US)),IF(ISNUMBER(_xll.BDH(config!$G$4,K$1,$A520,$A520)),_xll.BDH(config!$G$4,K$1,$A520,$A520),_xll.BDH(config!$G$5,K$1,$A520,$A520))))</f>
        <v/>
      </c>
      <c r="L520" s="8" t="str">
        <f>IF($A520="","",IF(ISNUMBER(FIND("IMPVOL",L$1)),_xll.BDH(config!$G$4,L$1,WORKDAY($A520,-1,config_Holiday_Calendar_US),WORKDAY($A520,-1,config_Holiday_Calendar_US)),IF(ISNUMBER(_xll.BDH(config!$G$4,L$1,$A520,$A520)),_xll.BDH(config!$G$4,L$1,$A520,$A520),_xll.BDH(config!$G$5,L$1,$A520,$A520))))</f>
        <v/>
      </c>
      <c r="M520" s="8" t="str">
        <f>IF($A520="","",IF(ISNUMBER(FIND("IMPVOL",M$1)),_xll.BDH(config!$G$4,M$1,WORKDAY($A520,-1,config_Holiday_Calendar_US),WORKDAY($A520,-1,config_Holiday_Calendar_US)),IF(ISNUMBER(_xll.BDH(config!$G$4,M$1,$A520,$A520)),_xll.BDH(config!$G$4,M$1,$A520,$A520),_xll.BDH(config!$G$5,M$1,$A520,$A520))))</f>
        <v/>
      </c>
      <c r="N520" s="8" t="str">
        <f>IF($A520="","",IF(ISNUMBER(FIND("IMPVOL",N$1)),_xll.BDH(config!$G$4,N$1,WORKDAY($A520,-1,config_Holiday_Calendar_US),WORKDAY($A520,-1,config_Holiday_Calendar_US)),IF(ISNUMBER(_xll.BDH(config!$G$4,N$1,$A520,$A520)),_xll.BDH(config!$G$4,N$1,$A520,$A520),_xll.BDH(config!$G$5,N$1,$A520,$A520))))</f>
        <v/>
      </c>
      <c r="O520" s="8" t="str">
        <f>IF($A520="","",IF(ISNUMBER(FIND("IMPVOL",O$1)),_xll.BDH(config!$G$4,O$1,WORKDAY($A520,-1,config_Holiday_Calendar_US),WORKDAY($A520,-1,config_Holiday_Calendar_US)),IF(ISNUMBER(_xll.BDH(config!$G$4,O$1,$A520,$A520)),_xll.BDH(config!$G$4,O$1,$A520,$A520),_xll.BDH(config!$G$5,O$1,$A520,$A520))))</f>
        <v/>
      </c>
      <c r="P520" s="8" t="str">
        <f>IF($A520="","",IF(ISNUMBER(FIND("IMPVOL",P$1)),_xll.BDH(config!$G$4,P$1,WORKDAY($A520,-1,config_Holiday_Calendar_US),WORKDAY($A520,-1,config_Holiday_Calendar_US)),IF(ISNUMBER(_xll.BDH(config!$G$4,P$1,$A520,$A520)),_xll.BDH(config!$G$4,P$1,$A520,$A520),_xll.BDH(config!$G$5,P$1,$A520,$A520))))</f>
        <v/>
      </c>
      <c r="Q520" s="8" t="str">
        <f>IF($A520="","",IF(ISNUMBER(FIND("IMPVOL",Q$1)),_xll.BDH(config!$G$4,Q$1,WORKDAY($A520,-1,config_Holiday_Calendar_US),WORKDAY($A520,-1,config_Holiday_Calendar_US)),IF(ISNUMBER(_xll.BDH(config!$G$4,Q$1,$A520,$A520)),_xll.BDH(config!$G$4,Q$1,$A520,$A520),_xll.BDH(config!$G$5,Q$1,$A520,$A520))))</f>
        <v/>
      </c>
      <c r="R520" s="8" t="str">
        <f>IF($A520="","",IF(ISNUMBER(FIND("IMPVOL",R$1)),_xll.BDH(config!$G$4,R$1,WORKDAY($A520,-1,config_Holiday_Calendar_US),WORKDAY($A520,-1,config_Holiday_Calendar_US)),IF(ISNUMBER(_xll.BDH(config!$G$4,R$1,$A520,$A520)),_xll.BDH(config!$G$4,R$1,$A520,$A520),_xll.BDH(config!$G$5,R$1,$A520,$A520))))</f>
        <v/>
      </c>
      <c r="S520" s="8" t="str">
        <f>IF($A520="","",IF(ISNUMBER(FIND("IMPVOL",S$1)),_xll.BDH(config!$G$4,S$1,WORKDAY($A520,-1,config_Holiday_Calendar_US),WORKDAY($A520,-1,config_Holiday_Calendar_US)),IF(ISNUMBER(_xll.BDH(config!$G$4,S$1,$A520,$A520)),_xll.BDH(config!$G$4,S$1,$A520,$A520),_xll.BDH(config!$G$5,S$1,$A520,$A520))))</f>
        <v/>
      </c>
      <c r="T520" s="8" t="str">
        <f>IF($A520="","",IF(ISNUMBER(FIND("IMPVOL",T$1)),_xll.BDH(config!$G$4,T$1,WORKDAY($A520,-1,config_Holiday_Calendar_US),WORKDAY($A520,-1,config_Holiday_Calendar_US)),IF(ISNUMBER(_xll.BDH(config!$G$4,T$1,$A520,$A520)),_xll.BDH(config!$G$4,T$1,$A520,$A520),_xll.BDH(config!$G$5,T$1,$A520,$A520))))</f>
        <v/>
      </c>
      <c r="U520" s="8" t="str">
        <f>IF($A520="","",IF(ISNUMBER(FIND("IMPVOL",U$1)),_xll.BDH(config!$G$4,U$1,WORKDAY($A520,-1,config_Holiday_Calendar_US),WORKDAY($A520,-1,config_Holiday_Calendar_US)),IF(ISNUMBER(_xll.BDH(config!$G$4,U$1,$A520,$A520)),_xll.BDH(config!$G$4,U$1,$A520,$A520),_xll.BDH(config!$G$5,U$1,$A520,$A520))))</f>
        <v/>
      </c>
      <c r="V520" s="8" t="str">
        <f>IF($A520="","",IF(ISNUMBER(FIND("IMPVOL",V$1)),_xll.BDH(config!$G$4,V$1,WORKDAY($A520,-1,config_Holiday_Calendar_US),WORKDAY($A520,-1,config_Holiday_Calendar_US)),IF(ISNUMBER(_xll.BDH(config!$G$4,V$1,$A520,$A520)),_xll.BDH(config!$G$4,V$1,$A520,$A520),_xll.BDH(config!$G$5,V$1,$A520,$A520))))</f>
        <v/>
      </c>
      <c r="W520" s="8" t="str">
        <f>IF($A520="","",IF(ISNUMBER(FIND("IMPVOL",W$1)),_xll.BDH(config!$G$4,W$1,WORKDAY($A520,-1,config_Holiday_Calendar_US),WORKDAY($A520,-1,config_Holiday_Calendar_US)),IF(ISNUMBER(_xll.BDH(config!$G$4,W$1,$A520,$A520)),_xll.BDH(config!$G$4,W$1,$A520,$A520),_xll.BDH(config!$G$5,W$1,$A520,$A520))))</f>
        <v/>
      </c>
    </row>
    <row r="521" spans="1:23" x14ac:dyDescent="0.2">
      <c r="A521" s="9" t="str">
        <f>IF(A520="","",IF(WORKDAY(A520,-1,config_Holiday_Calendar_US)&lt;config!$I$10,"",WORKDAY(A520,-1,config_Holiday_Calendar_US)))</f>
        <v/>
      </c>
      <c r="B521" s="8" t="str">
        <f t="shared" si="8"/>
        <v/>
      </c>
      <c r="C521" s="8" t="str">
        <f>IF(A521="","",_xll.BDH(config!$H$4,C$1,$A521,$A521))</f>
        <v/>
      </c>
      <c r="D521" s="8" t="str">
        <f>IF($A521="","",_xll.BDH(config!$H$4,D$1,$A521,$A521))</f>
        <v/>
      </c>
      <c r="E521" s="8" t="str">
        <f>IF($A521="","",IF(ISNUMBER(FIND("IMPVOL",E$1)),_xll.BDH(config!$G$4,E$1,WORKDAY($A521,-1,config_Holiday_Calendar_US),WORKDAY($A521,-1,config_Holiday_Calendar_US)),IF(ISNUMBER(_xll.BDH(config!$G$4,E$1,$A521,$A521)),_xll.BDH(config!$G$4,E$1,$A521,$A521),_xll.BDH(config!$G$5,E$1,$A521,$A521))))</f>
        <v/>
      </c>
      <c r="F521" s="8" t="str">
        <f>IF($A521="","",IF(ISNUMBER(FIND("IMPVOL",F$1)),_xll.BDH(config!$G$4,F$1,WORKDAY($A521,-1,config_Holiday_Calendar_US),WORKDAY($A521,-1,config_Holiday_Calendar_US)),IF(ISNUMBER(_xll.BDH(config!$G$4,F$1,$A521,$A521)),_xll.BDH(config!$G$4,F$1,$A521,$A521),_xll.BDH(config!$G$5,F$1,$A521,$A521))))</f>
        <v/>
      </c>
      <c r="G521" s="8" t="str">
        <f>IF($A521="","",IF(ISNUMBER(FIND("IMPVOL",G$1)),_xll.BDH(config!$G$4,G$1,WORKDAY($A521,-1,config_Holiday_Calendar_US),WORKDAY($A521,-1,config_Holiday_Calendar_US)),IF(ISNUMBER(_xll.BDH(config!$G$4,G$1,$A521,$A521)),_xll.BDH(config!$G$4,G$1,$A521,$A521),_xll.BDH(config!$G$5,G$1,$A521,$A521))))</f>
        <v/>
      </c>
      <c r="H521" s="8" t="str">
        <f>IF($A521="","",IF(ISNUMBER(FIND("IMPVOL",H$1)),_xll.BDH(config!$G$4,H$1,WORKDAY($A521,-1,config_Holiday_Calendar_US),WORKDAY($A521,-1,config_Holiday_Calendar_US)),IF(ISNUMBER(_xll.BDH(config!$G$4,H$1,$A521,$A521)),_xll.BDH(config!$G$4,H$1,$A521,$A521),_xll.BDH(config!$G$5,H$1,$A521,$A521))))</f>
        <v/>
      </c>
      <c r="I521" s="8" t="str">
        <f>IF($A521="","",IF(ISNUMBER(FIND("IMPVOL",I$1)),_xll.BDH(config!$G$4,I$1,WORKDAY($A521,-1,config_Holiday_Calendar_US),WORKDAY($A521,-1,config_Holiday_Calendar_US)),IF(ISNUMBER(_xll.BDH(config!$G$4,I$1,$A521,$A521)),_xll.BDH(config!$G$4,I$1,$A521,$A521),_xll.BDH(config!$G$5,I$1,$A521,$A521))))</f>
        <v/>
      </c>
      <c r="J521" s="8" t="str">
        <f>IF($A521="","",IF(ISNUMBER(FIND("IMPVOL",J$1)),_xll.BDH(config!$G$4,J$1,WORKDAY($A521,-1,config_Holiday_Calendar_US),WORKDAY($A521,-1,config_Holiday_Calendar_US)),IF(ISNUMBER(_xll.BDH(config!$G$4,J$1,$A521,$A521)),_xll.BDH(config!$G$4,J$1,$A521,$A521),_xll.BDH(config!$G$5,J$1,$A521,$A521))))</f>
        <v/>
      </c>
      <c r="K521" s="8" t="str">
        <f>IF($A521="","",IF(ISNUMBER(FIND("IMPVOL",K$1)),_xll.BDH(config!$G$4,K$1,WORKDAY($A521,-1,config_Holiday_Calendar_US),WORKDAY($A521,-1,config_Holiday_Calendar_US)),IF(ISNUMBER(_xll.BDH(config!$G$4,K$1,$A521,$A521)),_xll.BDH(config!$G$4,K$1,$A521,$A521),_xll.BDH(config!$G$5,K$1,$A521,$A521))))</f>
        <v/>
      </c>
      <c r="L521" s="8" t="str">
        <f>IF($A521="","",IF(ISNUMBER(FIND("IMPVOL",L$1)),_xll.BDH(config!$G$4,L$1,WORKDAY($A521,-1,config_Holiday_Calendar_US),WORKDAY($A521,-1,config_Holiday_Calendar_US)),IF(ISNUMBER(_xll.BDH(config!$G$4,L$1,$A521,$A521)),_xll.BDH(config!$G$4,L$1,$A521,$A521),_xll.BDH(config!$G$5,L$1,$A521,$A521))))</f>
        <v/>
      </c>
      <c r="M521" s="8" t="str">
        <f>IF($A521="","",IF(ISNUMBER(FIND("IMPVOL",M$1)),_xll.BDH(config!$G$4,M$1,WORKDAY($A521,-1,config_Holiday_Calendar_US),WORKDAY($A521,-1,config_Holiday_Calendar_US)),IF(ISNUMBER(_xll.BDH(config!$G$4,M$1,$A521,$A521)),_xll.BDH(config!$G$4,M$1,$A521,$A521),_xll.BDH(config!$G$5,M$1,$A521,$A521))))</f>
        <v/>
      </c>
      <c r="N521" s="8" t="str">
        <f>IF($A521="","",IF(ISNUMBER(FIND("IMPVOL",N$1)),_xll.BDH(config!$G$4,N$1,WORKDAY($A521,-1,config_Holiday_Calendar_US),WORKDAY($A521,-1,config_Holiday_Calendar_US)),IF(ISNUMBER(_xll.BDH(config!$G$4,N$1,$A521,$A521)),_xll.BDH(config!$G$4,N$1,$A521,$A521),_xll.BDH(config!$G$5,N$1,$A521,$A521))))</f>
        <v/>
      </c>
      <c r="O521" s="8" t="str">
        <f>IF($A521="","",IF(ISNUMBER(FIND("IMPVOL",O$1)),_xll.BDH(config!$G$4,O$1,WORKDAY($A521,-1,config_Holiday_Calendar_US),WORKDAY($A521,-1,config_Holiday_Calendar_US)),IF(ISNUMBER(_xll.BDH(config!$G$4,O$1,$A521,$A521)),_xll.BDH(config!$G$4,O$1,$A521,$A521),_xll.BDH(config!$G$5,O$1,$A521,$A521))))</f>
        <v/>
      </c>
      <c r="P521" s="8" t="str">
        <f>IF($A521="","",IF(ISNUMBER(FIND("IMPVOL",P$1)),_xll.BDH(config!$G$4,P$1,WORKDAY($A521,-1,config_Holiday_Calendar_US),WORKDAY($A521,-1,config_Holiday_Calendar_US)),IF(ISNUMBER(_xll.BDH(config!$G$4,P$1,$A521,$A521)),_xll.BDH(config!$G$4,P$1,$A521,$A521),_xll.BDH(config!$G$5,P$1,$A521,$A521))))</f>
        <v/>
      </c>
      <c r="Q521" s="8" t="str">
        <f>IF($A521="","",IF(ISNUMBER(FIND("IMPVOL",Q$1)),_xll.BDH(config!$G$4,Q$1,WORKDAY($A521,-1,config_Holiday_Calendar_US),WORKDAY($A521,-1,config_Holiday_Calendar_US)),IF(ISNUMBER(_xll.BDH(config!$G$4,Q$1,$A521,$A521)),_xll.BDH(config!$G$4,Q$1,$A521,$A521),_xll.BDH(config!$G$5,Q$1,$A521,$A521))))</f>
        <v/>
      </c>
      <c r="R521" s="8" t="str">
        <f>IF($A521="","",IF(ISNUMBER(FIND("IMPVOL",R$1)),_xll.BDH(config!$G$4,R$1,WORKDAY($A521,-1,config_Holiday_Calendar_US),WORKDAY($A521,-1,config_Holiday_Calendar_US)),IF(ISNUMBER(_xll.BDH(config!$G$4,R$1,$A521,$A521)),_xll.BDH(config!$G$4,R$1,$A521,$A521),_xll.BDH(config!$G$5,R$1,$A521,$A521))))</f>
        <v/>
      </c>
      <c r="S521" s="8" t="str">
        <f>IF($A521="","",IF(ISNUMBER(FIND("IMPVOL",S$1)),_xll.BDH(config!$G$4,S$1,WORKDAY($A521,-1,config_Holiday_Calendar_US),WORKDAY($A521,-1,config_Holiday_Calendar_US)),IF(ISNUMBER(_xll.BDH(config!$G$4,S$1,$A521,$A521)),_xll.BDH(config!$G$4,S$1,$A521,$A521),_xll.BDH(config!$G$5,S$1,$A521,$A521))))</f>
        <v/>
      </c>
      <c r="T521" s="8" t="str">
        <f>IF($A521="","",IF(ISNUMBER(FIND("IMPVOL",T$1)),_xll.BDH(config!$G$4,T$1,WORKDAY($A521,-1,config_Holiday_Calendar_US),WORKDAY($A521,-1,config_Holiday_Calendar_US)),IF(ISNUMBER(_xll.BDH(config!$G$4,T$1,$A521,$A521)),_xll.BDH(config!$G$4,T$1,$A521,$A521),_xll.BDH(config!$G$5,T$1,$A521,$A521))))</f>
        <v/>
      </c>
      <c r="U521" s="8" t="str">
        <f>IF($A521="","",IF(ISNUMBER(FIND("IMPVOL",U$1)),_xll.BDH(config!$G$4,U$1,WORKDAY($A521,-1,config_Holiday_Calendar_US),WORKDAY($A521,-1,config_Holiday_Calendar_US)),IF(ISNUMBER(_xll.BDH(config!$G$4,U$1,$A521,$A521)),_xll.BDH(config!$G$4,U$1,$A521,$A521),_xll.BDH(config!$G$5,U$1,$A521,$A521))))</f>
        <v/>
      </c>
      <c r="V521" s="8" t="str">
        <f>IF($A521="","",IF(ISNUMBER(FIND("IMPVOL",V$1)),_xll.BDH(config!$G$4,V$1,WORKDAY($A521,-1,config_Holiday_Calendar_US),WORKDAY($A521,-1,config_Holiday_Calendar_US)),IF(ISNUMBER(_xll.BDH(config!$G$4,V$1,$A521,$A521)),_xll.BDH(config!$G$4,V$1,$A521,$A521),_xll.BDH(config!$G$5,V$1,$A521,$A521))))</f>
        <v/>
      </c>
      <c r="W521" s="8" t="str">
        <f>IF($A521="","",IF(ISNUMBER(FIND("IMPVOL",W$1)),_xll.BDH(config!$G$4,W$1,WORKDAY($A521,-1,config_Holiday_Calendar_US),WORKDAY($A521,-1,config_Holiday_Calendar_US)),IF(ISNUMBER(_xll.BDH(config!$G$4,W$1,$A521,$A521)),_xll.BDH(config!$G$4,W$1,$A521,$A521),_xll.BDH(config!$G$5,W$1,$A521,$A521))))</f>
        <v/>
      </c>
    </row>
    <row r="522" spans="1:23" x14ac:dyDescent="0.2">
      <c r="A522" s="9" t="str">
        <f>IF(A521="","",IF(WORKDAY(A521,-1,config_Holiday_Calendar_US)&lt;config!$I$10,"",WORKDAY(A521,-1,config_Holiday_Calendar_US)))</f>
        <v/>
      </c>
      <c r="B522" s="8" t="str">
        <f t="shared" si="8"/>
        <v/>
      </c>
      <c r="C522" s="8" t="str">
        <f>IF(A522="","",_xll.BDH(config!$H$4,C$1,$A522,$A522))</f>
        <v/>
      </c>
      <c r="D522" s="8" t="str">
        <f>IF($A522="","",_xll.BDH(config!$H$4,D$1,$A522,$A522))</f>
        <v/>
      </c>
      <c r="E522" s="8" t="str">
        <f>IF($A522="","",IF(ISNUMBER(FIND("IMPVOL",E$1)),_xll.BDH(config!$G$4,E$1,WORKDAY($A522,-1,config_Holiday_Calendar_US),WORKDAY($A522,-1,config_Holiday_Calendar_US)),IF(ISNUMBER(_xll.BDH(config!$G$4,E$1,$A522,$A522)),_xll.BDH(config!$G$4,E$1,$A522,$A522),_xll.BDH(config!$G$5,E$1,$A522,$A522))))</f>
        <v/>
      </c>
      <c r="F522" s="8" t="str">
        <f>IF($A522="","",IF(ISNUMBER(FIND("IMPVOL",F$1)),_xll.BDH(config!$G$4,F$1,WORKDAY($A522,-1,config_Holiday_Calendar_US),WORKDAY($A522,-1,config_Holiday_Calendar_US)),IF(ISNUMBER(_xll.BDH(config!$G$4,F$1,$A522,$A522)),_xll.BDH(config!$G$4,F$1,$A522,$A522),_xll.BDH(config!$G$5,F$1,$A522,$A522))))</f>
        <v/>
      </c>
      <c r="G522" s="8" t="str">
        <f>IF($A522="","",IF(ISNUMBER(FIND("IMPVOL",G$1)),_xll.BDH(config!$G$4,G$1,WORKDAY($A522,-1,config_Holiday_Calendar_US),WORKDAY($A522,-1,config_Holiday_Calendar_US)),IF(ISNUMBER(_xll.BDH(config!$G$4,G$1,$A522,$A522)),_xll.BDH(config!$G$4,G$1,$A522,$A522),_xll.BDH(config!$G$5,G$1,$A522,$A522))))</f>
        <v/>
      </c>
      <c r="H522" s="8" t="str">
        <f>IF($A522="","",IF(ISNUMBER(FIND("IMPVOL",H$1)),_xll.BDH(config!$G$4,H$1,WORKDAY($A522,-1,config_Holiday_Calendar_US),WORKDAY($A522,-1,config_Holiday_Calendar_US)),IF(ISNUMBER(_xll.BDH(config!$G$4,H$1,$A522,$A522)),_xll.BDH(config!$G$4,H$1,$A522,$A522),_xll.BDH(config!$G$5,H$1,$A522,$A522))))</f>
        <v/>
      </c>
      <c r="I522" s="8" t="str">
        <f>IF($A522="","",IF(ISNUMBER(FIND("IMPVOL",I$1)),_xll.BDH(config!$G$4,I$1,WORKDAY($A522,-1,config_Holiday_Calendar_US),WORKDAY($A522,-1,config_Holiday_Calendar_US)),IF(ISNUMBER(_xll.BDH(config!$G$4,I$1,$A522,$A522)),_xll.BDH(config!$G$4,I$1,$A522,$A522),_xll.BDH(config!$G$5,I$1,$A522,$A522))))</f>
        <v/>
      </c>
      <c r="J522" s="8" t="str">
        <f>IF($A522="","",IF(ISNUMBER(FIND("IMPVOL",J$1)),_xll.BDH(config!$G$4,J$1,WORKDAY($A522,-1,config_Holiday_Calendar_US),WORKDAY($A522,-1,config_Holiday_Calendar_US)),IF(ISNUMBER(_xll.BDH(config!$G$4,J$1,$A522,$A522)),_xll.BDH(config!$G$4,J$1,$A522,$A522),_xll.BDH(config!$G$5,J$1,$A522,$A522))))</f>
        <v/>
      </c>
      <c r="K522" s="8" t="str">
        <f>IF($A522="","",IF(ISNUMBER(FIND("IMPVOL",K$1)),_xll.BDH(config!$G$4,K$1,WORKDAY($A522,-1,config_Holiday_Calendar_US),WORKDAY($A522,-1,config_Holiday_Calendar_US)),IF(ISNUMBER(_xll.BDH(config!$G$4,K$1,$A522,$A522)),_xll.BDH(config!$G$4,K$1,$A522,$A522),_xll.BDH(config!$G$5,K$1,$A522,$A522))))</f>
        <v/>
      </c>
      <c r="L522" s="8" t="str">
        <f>IF($A522="","",IF(ISNUMBER(FIND("IMPVOL",L$1)),_xll.BDH(config!$G$4,L$1,WORKDAY($A522,-1,config_Holiday_Calendar_US),WORKDAY($A522,-1,config_Holiday_Calendar_US)),IF(ISNUMBER(_xll.BDH(config!$G$4,L$1,$A522,$A522)),_xll.BDH(config!$G$4,L$1,$A522,$A522),_xll.BDH(config!$G$5,L$1,$A522,$A522))))</f>
        <v/>
      </c>
      <c r="M522" s="8" t="str">
        <f>IF($A522="","",IF(ISNUMBER(FIND("IMPVOL",M$1)),_xll.BDH(config!$G$4,M$1,WORKDAY($A522,-1,config_Holiday_Calendar_US),WORKDAY($A522,-1,config_Holiday_Calendar_US)),IF(ISNUMBER(_xll.BDH(config!$G$4,M$1,$A522,$A522)),_xll.BDH(config!$G$4,M$1,$A522,$A522),_xll.BDH(config!$G$5,M$1,$A522,$A522))))</f>
        <v/>
      </c>
      <c r="N522" s="8" t="str">
        <f>IF($A522="","",IF(ISNUMBER(FIND("IMPVOL",N$1)),_xll.BDH(config!$G$4,N$1,WORKDAY($A522,-1,config_Holiday_Calendar_US),WORKDAY($A522,-1,config_Holiday_Calendar_US)),IF(ISNUMBER(_xll.BDH(config!$G$4,N$1,$A522,$A522)),_xll.BDH(config!$G$4,N$1,$A522,$A522),_xll.BDH(config!$G$5,N$1,$A522,$A522))))</f>
        <v/>
      </c>
      <c r="O522" s="8" t="str">
        <f>IF($A522="","",IF(ISNUMBER(FIND("IMPVOL",O$1)),_xll.BDH(config!$G$4,O$1,WORKDAY($A522,-1,config_Holiday_Calendar_US),WORKDAY($A522,-1,config_Holiday_Calendar_US)),IF(ISNUMBER(_xll.BDH(config!$G$4,O$1,$A522,$A522)),_xll.BDH(config!$G$4,O$1,$A522,$A522),_xll.BDH(config!$G$5,O$1,$A522,$A522))))</f>
        <v/>
      </c>
      <c r="P522" s="8" t="str">
        <f>IF($A522="","",IF(ISNUMBER(FIND("IMPVOL",P$1)),_xll.BDH(config!$G$4,P$1,WORKDAY($A522,-1,config_Holiday_Calendar_US),WORKDAY($A522,-1,config_Holiday_Calendar_US)),IF(ISNUMBER(_xll.BDH(config!$G$4,P$1,$A522,$A522)),_xll.BDH(config!$G$4,P$1,$A522,$A522),_xll.BDH(config!$G$5,P$1,$A522,$A522))))</f>
        <v/>
      </c>
      <c r="Q522" s="8" t="str">
        <f>IF($A522="","",IF(ISNUMBER(FIND("IMPVOL",Q$1)),_xll.BDH(config!$G$4,Q$1,WORKDAY($A522,-1,config_Holiday_Calendar_US),WORKDAY($A522,-1,config_Holiday_Calendar_US)),IF(ISNUMBER(_xll.BDH(config!$G$4,Q$1,$A522,$A522)),_xll.BDH(config!$G$4,Q$1,$A522,$A522),_xll.BDH(config!$G$5,Q$1,$A522,$A522))))</f>
        <v/>
      </c>
      <c r="R522" s="8" t="str">
        <f>IF($A522="","",IF(ISNUMBER(FIND("IMPVOL",R$1)),_xll.BDH(config!$G$4,R$1,WORKDAY($A522,-1,config_Holiday_Calendar_US),WORKDAY($A522,-1,config_Holiday_Calendar_US)),IF(ISNUMBER(_xll.BDH(config!$G$4,R$1,$A522,$A522)),_xll.BDH(config!$G$4,R$1,$A522,$A522),_xll.BDH(config!$G$5,R$1,$A522,$A522))))</f>
        <v/>
      </c>
      <c r="S522" s="8" t="str">
        <f>IF($A522="","",IF(ISNUMBER(FIND("IMPVOL",S$1)),_xll.BDH(config!$G$4,S$1,WORKDAY($A522,-1,config_Holiday_Calendar_US),WORKDAY($A522,-1,config_Holiday_Calendar_US)),IF(ISNUMBER(_xll.BDH(config!$G$4,S$1,$A522,$A522)),_xll.BDH(config!$G$4,S$1,$A522,$A522),_xll.BDH(config!$G$5,S$1,$A522,$A522))))</f>
        <v/>
      </c>
      <c r="T522" s="8" t="str">
        <f>IF($A522="","",IF(ISNUMBER(FIND("IMPVOL",T$1)),_xll.BDH(config!$G$4,T$1,WORKDAY($A522,-1,config_Holiday_Calendar_US),WORKDAY($A522,-1,config_Holiday_Calendar_US)),IF(ISNUMBER(_xll.BDH(config!$G$4,T$1,$A522,$A522)),_xll.BDH(config!$G$4,T$1,$A522,$A522),_xll.BDH(config!$G$5,T$1,$A522,$A522))))</f>
        <v/>
      </c>
      <c r="U522" s="8" t="str">
        <f>IF($A522="","",IF(ISNUMBER(FIND("IMPVOL",U$1)),_xll.BDH(config!$G$4,U$1,WORKDAY($A522,-1,config_Holiday_Calendar_US),WORKDAY($A522,-1,config_Holiday_Calendar_US)),IF(ISNUMBER(_xll.BDH(config!$G$4,U$1,$A522,$A522)),_xll.BDH(config!$G$4,U$1,$A522,$A522),_xll.BDH(config!$G$5,U$1,$A522,$A522))))</f>
        <v/>
      </c>
      <c r="V522" s="8" t="str">
        <f>IF($A522="","",IF(ISNUMBER(FIND("IMPVOL",V$1)),_xll.BDH(config!$G$4,V$1,WORKDAY($A522,-1,config_Holiday_Calendar_US),WORKDAY($A522,-1,config_Holiday_Calendar_US)),IF(ISNUMBER(_xll.BDH(config!$G$4,V$1,$A522,$A522)),_xll.BDH(config!$G$4,V$1,$A522,$A522),_xll.BDH(config!$G$5,V$1,$A522,$A522))))</f>
        <v/>
      </c>
      <c r="W522" s="8" t="str">
        <f>IF($A522="","",IF(ISNUMBER(FIND("IMPVOL",W$1)),_xll.BDH(config!$G$4,W$1,WORKDAY($A522,-1,config_Holiday_Calendar_US),WORKDAY($A522,-1,config_Holiday_Calendar_US)),IF(ISNUMBER(_xll.BDH(config!$G$4,W$1,$A522,$A522)),_xll.BDH(config!$G$4,W$1,$A522,$A522),_xll.BDH(config!$G$5,W$1,$A522,$A522))))</f>
        <v/>
      </c>
    </row>
    <row r="523" spans="1:23" x14ac:dyDescent="0.2">
      <c r="A523" s="9" t="str">
        <f>IF(A522="","",IF(WORKDAY(A522,-1,config_Holiday_Calendar_US)&lt;config!$I$10,"",WORKDAY(A522,-1,config_Holiday_Calendar_US)))</f>
        <v/>
      </c>
      <c r="B523" s="8" t="str">
        <f t="shared" si="8"/>
        <v/>
      </c>
      <c r="C523" s="8" t="str">
        <f>IF(A523="","",_xll.BDH(config!$H$4,C$1,$A523,$A523))</f>
        <v/>
      </c>
      <c r="D523" s="8" t="str">
        <f>IF($A523="","",_xll.BDH(config!$H$4,D$1,$A523,$A523))</f>
        <v/>
      </c>
      <c r="E523" s="8" t="str">
        <f>IF($A523="","",IF(ISNUMBER(FIND("IMPVOL",E$1)),_xll.BDH(config!$G$4,E$1,WORKDAY($A523,-1,config_Holiday_Calendar_US),WORKDAY($A523,-1,config_Holiday_Calendar_US)),IF(ISNUMBER(_xll.BDH(config!$G$4,E$1,$A523,$A523)),_xll.BDH(config!$G$4,E$1,$A523,$A523),_xll.BDH(config!$G$5,E$1,$A523,$A523))))</f>
        <v/>
      </c>
      <c r="F523" s="8" t="str">
        <f>IF($A523="","",IF(ISNUMBER(FIND("IMPVOL",F$1)),_xll.BDH(config!$G$4,F$1,WORKDAY($A523,-1,config_Holiday_Calendar_US),WORKDAY($A523,-1,config_Holiday_Calendar_US)),IF(ISNUMBER(_xll.BDH(config!$G$4,F$1,$A523,$A523)),_xll.BDH(config!$G$4,F$1,$A523,$A523),_xll.BDH(config!$G$5,F$1,$A523,$A523))))</f>
        <v/>
      </c>
      <c r="G523" s="8" t="str">
        <f>IF($A523="","",IF(ISNUMBER(FIND("IMPVOL",G$1)),_xll.BDH(config!$G$4,G$1,WORKDAY($A523,-1,config_Holiday_Calendar_US),WORKDAY($A523,-1,config_Holiday_Calendar_US)),IF(ISNUMBER(_xll.BDH(config!$G$4,G$1,$A523,$A523)),_xll.BDH(config!$G$4,G$1,$A523,$A523),_xll.BDH(config!$G$5,G$1,$A523,$A523))))</f>
        <v/>
      </c>
      <c r="H523" s="8" t="str">
        <f>IF($A523="","",IF(ISNUMBER(FIND("IMPVOL",H$1)),_xll.BDH(config!$G$4,H$1,WORKDAY($A523,-1,config_Holiday_Calendar_US),WORKDAY($A523,-1,config_Holiday_Calendar_US)),IF(ISNUMBER(_xll.BDH(config!$G$4,H$1,$A523,$A523)),_xll.BDH(config!$G$4,H$1,$A523,$A523),_xll.BDH(config!$G$5,H$1,$A523,$A523))))</f>
        <v/>
      </c>
      <c r="I523" s="8" t="str">
        <f>IF($A523="","",IF(ISNUMBER(FIND("IMPVOL",I$1)),_xll.BDH(config!$G$4,I$1,WORKDAY($A523,-1,config_Holiday_Calendar_US),WORKDAY($A523,-1,config_Holiday_Calendar_US)),IF(ISNUMBER(_xll.BDH(config!$G$4,I$1,$A523,$A523)),_xll.BDH(config!$G$4,I$1,$A523,$A523),_xll.BDH(config!$G$5,I$1,$A523,$A523))))</f>
        <v/>
      </c>
      <c r="J523" s="8" t="str">
        <f>IF($A523="","",IF(ISNUMBER(FIND("IMPVOL",J$1)),_xll.BDH(config!$G$4,J$1,WORKDAY($A523,-1,config_Holiday_Calendar_US),WORKDAY($A523,-1,config_Holiday_Calendar_US)),IF(ISNUMBER(_xll.BDH(config!$G$4,J$1,$A523,$A523)),_xll.BDH(config!$G$4,J$1,$A523,$A523),_xll.BDH(config!$G$5,J$1,$A523,$A523))))</f>
        <v/>
      </c>
      <c r="K523" s="8" t="str">
        <f>IF($A523="","",IF(ISNUMBER(FIND("IMPVOL",K$1)),_xll.BDH(config!$G$4,K$1,WORKDAY($A523,-1,config_Holiday_Calendar_US),WORKDAY($A523,-1,config_Holiday_Calendar_US)),IF(ISNUMBER(_xll.BDH(config!$G$4,K$1,$A523,$A523)),_xll.BDH(config!$G$4,K$1,$A523,$A523),_xll.BDH(config!$G$5,K$1,$A523,$A523))))</f>
        <v/>
      </c>
      <c r="L523" s="8" t="str">
        <f>IF($A523="","",IF(ISNUMBER(FIND("IMPVOL",L$1)),_xll.BDH(config!$G$4,L$1,WORKDAY($A523,-1,config_Holiday_Calendar_US),WORKDAY($A523,-1,config_Holiday_Calendar_US)),IF(ISNUMBER(_xll.BDH(config!$G$4,L$1,$A523,$A523)),_xll.BDH(config!$G$4,L$1,$A523,$A523),_xll.BDH(config!$G$5,L$1,$A523,$A523))))</f>
        <v/>
      </c>
      <c r="M523" s="8" t="str">
        <f>IF($A523="","",IF(ISNUMBER(FIND("IMPVOL",M$1)),_xll.BDH(config!$G$4,M$1,WORKDAY($A523,-1,config_Holiday_Calendar_US),WORKDAY($A523,-1,config_Holiday_Calendar_US)),IF(ISNUMBER(_xll.BDH(config!$G$4,M$1,$A523,$A523)),_xll.BDH(config!$G$4,M$1,$A523,$A523),_xll.BDH(config!$G$5,M$1,$A523,$A523))))</f>
        <v/>
      </c>
      <c r="N523" s="8" t="str">
        <f>IF($A523="","",IF(ISNUMBER(FIND("IMPVOL",N$1)),_xll.BDH(config!$G$4,N$1,WORKDAY($A523,-1,config_Holiday_Calendar_US),WORKDAY($A523,-1,config_Holiday_Calendar_US)),IF(ISNUMBER(_xll.BDH(config!$G$4,N$1,$A523,$A523)),_xll.BDH(config!$G$4,N$1,$A523,$A523),_xll.BDH(config!$G$5,N$1,$A523,$A523))))</f>
        <v/>
      </c>
      <c r="O523" s="8" t="str">
        <f>IF($A523="","",IF(ISNUMBER(FIND("IMPVOL",O$1)),_xll.BDH(config!$G$4,O$1,WORKDAY($A523,-1,config_Holiday_Calendar_US),WORKDAY($A523,-1,config_Holiday_Calendar_US)),IF(ISNUMBER(_xll.BDH(config!$G$4,O$1,$A523,$A523)),_xll.BDH(config!$G$4,O$1,$A523,$A523),_xll.BDH(config!$G$5,O$1,$A523,$A523))))</f>
        <v/>
      </c>
      <c r="P523" s="8" t="str">
        <f>IF($A523="","",IF(ISNUMBER(FIND("IMPVOL",P$1)),_xll.BDH(config!$G$4,P$1,WORKDAY($A523,-1,config_Holiday_Calendar_US),WORKDAY($A523,-1,config_Holiday_Calendar_US)),IF(ISNUMBER(_xll.BDH(config!$G$4,P$1,$A523,$A523)),_xll.BDH(config!$G$4,P$1,$A523,$A523),_xll.BDH(config!$G$5,P$1,$A523,$A523))))</f>
        <v/>
      </c>
      <c r="Q523" s="8" t="str">
        <f>IF($A523="","",IF(ISNUMBER(FIND("IMPVOL",Q$1)),_xll.BDH(config!$G$4,Q$1,WORKDAY($A523,-1,config_Holiday_Calendar_US),WORKDAY($A523,-1,config_Holiday_Calendar_US)),IF(ISNUMBER(_xll.BDH(config!$G$4,Q$1,$A523,$A523)),_xll.BDH(config!$G$4,Q$1,$A523,$A523),_xll.BDH(config!$G$5,Q$1,$A523,$A523))))</f>
        <v/>
      </c>
      <c r="R523" s="8" t="str">
        <f>IF($A523="","",IF(ISNUMBER(FIND("IMPVOL",R$1)),_xll.BDH(config!$G$4,R$1,WORKDAY($A523,-1,config_Holiday_Calendar_US),WORKDAY($A523,-1,config_Holiday_Calendar_US)),IF(ISNUMBER(_xll.BDH(config!$G$4,R$1,$A523,$A523)),_xll.BDH(config!$G$4,R$1,$A523,$A523),_xll.BDH(config!$G$5,R$1,$A523,$A523))))</f>
        <v/>
      </c>
      <c r="S523" s="8" t="str">
        <f>IF($A523="","",IF(ISNUMBER(FIND("IMPVOL",S$1)),_xll.BDH(config!$G$4,S$1,WORKDAY($A523,-1,config_Holiday_Calendar_US),WORKDAY($A523,-1,config_Holiday_Calendar_US)),IF(ISNUMBER(_xll.BDH(config!$G$4,S$1,$A523,$A523)),_xll.BDH(config!$G$4,S$1,$A523,$A523),_xll.BDH(config!$G$5,S$1,$A523,$A523))))</f>
        <v/>
      </c>
      <c r="T523" s="8" t="str">
        <f>IF($A523="","",IF(ISNUMBER(FIND("IMPVOL",T$1)),_xll.BDH(config!$G$4,T$1,WORKDAY($A523,-1,config_Holiday_Calendar_US),WORKDAY($A523,-1,config_Holiday_Calendar_US)),IF(ISNUMBER(_xll.BDH(config!$G$4,T$1,$A523,$A523)),_xll.BDH(config!$G$4,T$1,$A523,$A523),_xll.BDH(config!$G$5,T$1,$A523,$A523))))</f>
        <v/>
      </c>
      <c r="U523" s="8" t="str">
        <f>IF($A523="","",IF(ISNUMBER(FIND("IMPVOL",U$1)),_xll.BDH(config!$G$4,U$1,WORKDAY($A523,-1,config_Holiday_Calendar_US),WORKDAY($A523,-1,config_Holiday_Calendar_US)),IF(ISNUMBER(_xll.BDH(config!$G$4,U$1,$A523,$A523)),_xll.BDH(config!$G$4,U$1,$A523,$A523),_xll.BDH(config!$G$5,U$1,$A523,$A523))))</f>
        <v/>
      </c>
      <c r="V523" s="8" t="str">
        <f>IF($A523="","",IF(ISNUMBER(FIND("IMPVOL",V$1)),_xll.BDH(config!$G$4,V$1,WORKDAY($A523,-1,config_Holiday_Calendar_US),WORKDAY($A523,-1,config_Holiday_Calendar_US)),IF(ISNUMBER(_xll.BDH(config!$G$4,V$1,$A523,$A523)),_xll.BDH(config!$G$4,V$1,$A523,$A523),_xll.BDH(config!$G$5,V$1,$A523,$A523))))</f>
        <v/>
      </c>
      <c r="W523" s="8" t="str">
        <f>IF($A523="","",IF(ISNUMBER(FIND("IMPVOL",W$1)),_xll.BDH(config!$G$4,W$1,WORKDAY($A523,-1,config_Holiday_Calendar_US),WORKDAY($A523,-1,config_Holiday_Calendar_US)),IF(ISNUMBER(_xll.BDH(config!$G$4,W$1,$A523,$A523)),_xll.BDH(config!$G$4,W$1,$A523,$A523),_xll.BDH(config!$G$5,W$1,$A523,$A523))))</f>
        <v/>
      </c>
    </row>
    <row r="524" spans="1:23" x14ac:dyDescent="0.2">
      <c r="A524" s="9" t="str">
        <f>IF(A523="","",IF(WORKDAY(A523,-1,config_Holiday_Calendar_US)&lt;config!$I$10,"",WORKDAY(A523,-1,config_Holiday_Calendar_US)))</f>
        <v/>
      </c>
      <c r="B524" s="8" t="str">
        <f t="shared" si="8"/>
        <v/>
      </c>
      <c r="C524" s="8" t="str">
        <f>IF(A524="","",_xll.BDH(config!$H$4,C$1,$A524,$A524))</f>
        <v/>
      </c>
      <c r="D524" s="8" t="str">
        <f>IF($A524="","",_xll.BDH(config!$H$4,D$1,$A524,$A524))</f>
        <v/>
      </c>
      <c r="E524" s="8" t="str">
        <f>IF($A524="","",IF(ISNUMBER(FIND("IMPVOL",E$1)),_xll.BDH(config!$G$4,E$1,WORKDAY($A524,-1,config_Holiday_Calendar_US),WORKDAY($A524,-1,config_Holiday_Calendar_US)),IF(ISNUMBER(_xll.BDH(config!$G$4,E$1,$A524,$A524)),_xll.BDH(config!$G$4,E$1,$A524,$A524),_xll.BDH(config!$G$5,E$1,$A524,$A524))))</f>
        <v/>
      </c>
      <c r="F524" s="8" t="str">
        <f>IF($A524="","",IF(ISNUMBER(FIND("IMPVOL",F$1)),_xll.BDH(config!$G$4,F$1,WORKDAY($A524,-1,config_Holiday_Calendar_US),WORKDAY($A524,-1,config_Holiday_Calendar_US)),IF(ISNUMBER(_xll.BDH(config!$G$4,F$1,$A524,$A524)),_xll.BDH(config!$G$4,F$1,$A524,$A524),_xll.BDH(config!$G$5,F$1,$A524,$A524))))</f>
        <v/>
      </c>
      <c r="G524" s="8" t="str">
        <f>IF($A524="","",IF(ISNUMBER(FIND("IMPVOL",G$1)),_xll.BDH(config!$G$4,G$1,WORKDAY($A524,-1,config_Holiday_Calendar_US),WORKDAY($A524,-1,config_Holiday_Calendar_US)),IF(ISNUMBER(_xll.BDH(config!$G$4,G$1,$A524,$A524)),_xll.BDH(config!$G$4,G$1,$A524,$A524),_xll.BDH(config!$G$5,G$1,$A524,$A524))))</f>
        <v/>
      </c>
      <c r="H524" s="8" t="str">
        <f>IF($A524="","",IF(ISNUMBER(FIND("IMPVOL",H$1)),_xll.BDH(config!$G$4,H$1,WORKDAY($A524,-1,config_Holiday_Calendar_US),WORKDAY($A524,-1,config_Holiday_Calendar_US)),IF(ISNUMBER(_xll.BDH(config!$G$4,H$1,$A524,$A524)),_xll.BDH(config!$G$4,H$1,$A524,$A524),_xll.BDH(config!$G$5,H$1,$A524,$A524))))</f>
        <v/>
      </c>
      <c r="I524" s="8" t="str">
        <f>IF($A524="","",IF(ISNUMBER(FIND("IMPVOL",I$1)),_xll.BDH(config!$G$4,I$1,WORKDAY($A524,-1,config_Holiday_Calendar_US),WORKDAY($A524,-1,config_Holiday_Calendar_US)),IF(ISNUMBER(_xll.BDH(config!$G$4,I$1,$A524,$A524)),_xll.BDH(config!$G$4,I$1,$A524,$A524),_xll.BDH(config!$G$5,I$1,$A524,$A524))))</f>
        <v/>
      </c>
      <c r="J524" s="8" t="str">
        <f>IF($A524="","",IF(ISNUMBER(FIND("IMPVOL",J$1)),_xll.BDH(config!$G$4,J$1,WORKDAY($A524,-1,config_Holiday_Calendar_US),WORKDAY($A524,-1,config_Holiday_Calendar_US)),IF(ISNUMBER(_xll.BDH(config!$G$4,J$1,$A524,$A524)),_xll.BDH(config!$G$4,J$1,$A524,$A524),_xll.BDH(config!$G$5,J$1,$A524,$A524))))</f>
        <v/>
      </c>
      <c r="K524" s="8" t="str">
        <f>IF($A524="","",IF(ISNUMBER(FIND("IMPVOL",K$1)),_xll.BDH(config!$G$4,K$1,WORKDAY($A524,-1,config_Holiday_Calendar_US),WORKDAY($A524,-1,config_Holiday_Calendar_US)),IF(ISNUMBER(_xll.BDH(config!$G$4,K$1,$A524,$A524)),_xll.BDH(config!$G$4,K$1,$A524,$A524),_xll.BDH(config!$G$5,K$1,$A524,$A524))))</f>
        <v/>
      </c>
      <c r="L524" s="8" t="str">
        <f>IF($A524="","",IF(ISNUMBER(FIND("IMPVOL",L$1)),_xll.BDH(config!$G$4,L$1,WORKDAY($A524,-1,config_Holiday_Calendar_US),WORKDAY($A524,-1,config_Holiday_Calendar_US)),IF(ISNUMBER(_xll.BDH(config!$G$4,L$1,$A524,$A524)),_xll.BDH(config!$G$4,L$1,$A524,$A524),_xll.BDH(config!$G$5,L$1,$A524,$A524))))</f>
        <v/>
      </c>
      <c r="M524" s="8" t="str">
        <f>IF($A524="","",IF(ISNUMBER(FIND("IMPVOL",M$1)),_xll.BDH(config!$G$4,M$1,WORKDAY($A524,-1,config_Holiday_Calendar_US),WORKDAY($A524,-1,config_Holiday_Calendar_US)),IF(ISNUMBER(_xll.BDH(config!$G$4,M$1,$A524,$A524)),_xll.BDH(config!$G$4,M$1,$A524,$A524),_xll.BDH(config!$G$5,M$1,$A524,$A524))))</f>
        <v/>
      </c>
      <c r="N524" s="8" t="str">
        <f>IF($A524="","",IF(ISNUMBER(FIND("IMPVOL",N$1)),_xll.BDH(config!$G$4,N$1,WORKDAY($A524,-1,config_Holiday_Calendar_US),WORKDAY($A524,-1,config_Holiday_Calendar_US)),IF(ISNUMBER(_xll.BDH(config!$G$4,N$1,$A524,$A524)),_xll.BDH(config!$G$4,N$1,$A524,$A524),_xll.BDH(config!$G$5,N$1,$A524,$A524))))</f>
        <v/>
      </c>
      <c r="O524" s="8" t="str">
        <f>IF($A524="","",IF(ISNUMBER(FIND("IMPVOL",O$1)),_xll.BDH(config!$G$4,O$1,WORKDAY($A524,-1,config_Holiday_Calendar_US),WORKDAY($A524,-1,config_Holiday_Calendar_US)),IF(ISNUMBER(_xll.BDH(config!$G$4,O$1,$A524,$A524)),_xll.BDH(config!$G$4,O$1,$A524,$A524),_xll.BDH(config!$G$5,O$1,$A524,$A524))))</f>
        <v/>
      </c>
      <c r="P524" s="8" t="str">
        <f>IF($A524="","",IF(ISNUMBER(FIND("IMPVOL",P$1)),_xll.BDH(config!$G$4,P$1,WORKDAY($A524,-1,config_Holiday_Calendar_US),WORKDAY($A524,-1,config_Holiday_Calendar_US)),IF(ISNUMBER(_xll.BDH(config!$G$4,P$1,$A524,$A524)),_xll.BDH(config!$G$4,P$1,$A524,$A524),_xll.BDH(config!$G$5,P$1,$A524,$A524))))</f>
        <v/>
      </c>
      <c r="Q524" s="8" t="str">
        <f>IF($A524="","",IF(ISNUMBER(FIND("IMPVOL",Q$1)),_xll.BDH(config!$G$4,Q$1,WORKDAY($A524,-1,config_Holiday_Calendar_US),WORKDAY($A524,-1,config_Holiday_Calendar_US)),IF(ISNUMBER(_xll.BDH(config!$G$4,Q$1,$A524,$A524)),_xll.BDH(config!$G$4,Q$1,$A524,$A524),_xll.BDH(config!$G$5,Q$1,$A524,$A524))))</f>
        <v/>
      </c>
      <c r="R524" s="8" t="str">
        <f>IF($A524="","",IF(ISNUMBER(FIND("IMPVOL",R$1)),_xll.BDH(config!$G$4,R$1,WORKDAY($A524,-1,config_Holiday_Calendar_US),WORKDAY($A524,-1,config_Holiday_Calendar_US)),IF(ISNUMBER(_xll.BDH(config!$G$4,R$1,$A524,$A524)),_xll.BDH(config!$G$4,R$1,$A524,$A524),_xll.BDH(config!$G$5,R$1,$A524,$A524))))</f>
        <v/>
      </c>
      <c r="S524" s="8" t="str">
        <f>IF($A524="","",IF(ISNUMBER(FIND("IMPVOL",S$1)),_xll.BDH(config!$G$4,S$1,WORKDAY($A524,-1,config_Holiday_Calendar_US),WORKDAY($A524,-1,config_Holiday_Calendar_US)),IF(ISNUMBER(_xll.BDH(config!$G$4,S$1,$A524,$A524)),_xll.BDH(config!$G$4,S$1,$A524,$A524),_xll.BDH(config!$G$5,S$1,$A524,$A524))))</f>
        <v/>
      </c>
      <c r="T524" s="8" t="str">
        <f>IF($A524="","",IF(ISNUMBER(FIND("IMPVOL",T$1)),_xll.BDH(config!$G$4,T$1,WORKDAY($A524,-1,config_Holiday_Calendar_US),WORKDAY($A524,-1,config_Holiday_Calendar_US)),IF(ISNUMBER(_xll.BDH(config!$G$4,T$1,$A524,$A524)),_xll.BDH(config!$G$4,T$1,$A524,$A524),_xll.BDH(config!$G$5,T$1,$A524,$A524))))</f>
        <v/>
      </c>
      <c r="U524" s="8" t="str">
        <f>IF($A524="","",IF(ISNUMBER(FIND("IMPVOL",U$1)),_xll.BDH(config!$G$4,U$1,WORKDAY($A524,-1,config_Holiday_Calendar_US),WORKDAY($A524,-1,config_Holiday_Calendar_US)),IF(ISNUMBER(_xll.BDH(config!$G$4,U$1,$A524,$A524)),_xll.BDH(config!$G$4,U$1,$A524,$A524),_xll.BDH(config!$G$5,U$1,$A524,$A524))))</f>
        <v/>
      </c>
      <c r="V524" s="8" t="str">
        <f>IF($A524="","",IF(ISNUMBER(FIND("IMPVOL",V$1)),_xll.BDH(config!$G$4,V$1,WORKDAY($A524,-1,config_Holiday_Calendar_US),WORKDAY($A524,-1,config_Holiday_Calendar_US)),IF(ISNUMBER(_xll.BDH(config!$G$4,V$1,$A524,$A524)),_xll.BDH(config!$G$4,V$1,$A524,$A524),_xll.BDH(config!$G$5,V$1,$A524,$A524))))</f>
        <v/>
      </c>
      <c r="W524" s="8" t="str">
        <f>IF($A524="","",IF(ISNUMBER(FIND("IMPVOL",W$1)),_xll.BDH(config!$G$4,W$1,WORKDAY($A524,-1,config_Holiday_Calendar_US),WORKDAY($A524,-1,config_Holiday_Calendar_US)),IF(ISNUMBER(_xll.BDH(config!$G$4,W$1,$A524,$A524)),_xll.BDH(config!$G$4,W$1,$A524,$A524),_xll.BDH(config!$G$5,W$1,$A524,$A524))))</f>
        <v/>
      </c>
    </row>
    <row r="525" spans="1:23" x14ac:dyDescent="0.2">
      <c r="A525" s="9" t="str">
        <f>IF(A524="","",IF(WORKDAY(A524,-1,config_Holiday_Calendar_US)&lt;config!$I$10,"",WORKDAY(A524,-1,config_Holiday_Calendar_US)))</f>
        <v/>
      </c>
      <c r="B525" s="8" t="str">
        <f t="shared" si="8"/>
        <v/>
      </c>
      <c r="C525" s="8" t="str">
        <f>IF(A525="","",_xll.BDH(config!$H$4,C$1,$A525,$A525))</f>
        <v/>
      </c>
      <c r="D525" s="8" t="str">
        <f>IF($A525="","",_xll.BDH(config!$H$4,D$1,$A525,$A525))</f>
        <v/>
      </c>
      <c r="E525" s="8" t="str">
        <f>IF($A525="","",IF(ISNUMBER(FIND("IMPVOL",E$1)),_xll.BDH(config!$G$4,E$1,WORKDAY($A525,-1,config_Holiday_Calendar_US),WORKDAY($A525,-1,config_Holiday_Calendar_US)),IF(ISNUMBER(_xll.BDH(config!$G$4,E$1,$A525,$A525)),_xll.BDH(config!$G$4,E$1,$A525,$A525),_xll.BDH(config!$G$5,E$1,$A525,$A525))))</f>
        <v/>
      </c>
      <c r="F525" s="8" t="str">
        <f>IF($A525="","",IF(ISNUMBER(FIND("IMPVOL",F$1)),_xll.BDH(config!$G$4,F$1,WORKDAY($A525,-1,config_Holiday_Calendar_US),WORKDAY($A525,-1,config_Holiday_Calendar_US)),IF(ISNUMBER(_xll.BDH(config!$G$4,F$1,$A525,$A525)),_xll.BDH(config!$G$4,F$1,$A525,$A525),_xll.BDH(config!$G$5,F$1,$A525,$A525))))</f>
        <v/>
      </c>
      <c r="G525" s="8" t="str">
        <f>IF($A525="","",IF(ISNUMBER(FIND("IMPVOL",G$1)),_xll.BDH(config!$G$4,G$1,WORKDAY($A525,-1,config_Holiday_Calendar_US),WORKDAY($A525,-1,config_Holiday_Calendar_US)),IF(ISNUMBER(_xll.BDH(config!$G$4,G$1,$A525,$A525)),_xll.BDH(config!$G$4,G$1,$A525,$A525),_xll.BDH(config!$G$5,G$1,$A525,$A525))))</f>
        <v/>
      </c>
      <c r="H525" s="8" t="str">
        <f>IF($A525="","",IF(ISNUMBER(FIND("IMPVOL",H$1)),_xll.BDH(config!$G$4,H$1,WORKDAY($A525,-1,config_Holiday_Calendar_US),WORKDAY($A525,-1,config_Holiday_Calendar_US)),IF(ISNUMBER(_xll.BDH(config!$G$4,H$1,$A525,$A525)),_xll.BDH(config!$G$4,H$1,$A525,$A525),_xll.BDH(config!$G$5,H$1,$A525,$A525))))</f>
        <v/>
      </c>
      <c r="I525" s="8" t="str">
        <f>IF($A525="","",IF(ISNUMBER(FIND("IMPVOL",I$1)),_xll.BDH(config!$G$4,I$1,WORKDAY($A525,-1,config_Holiday_Calendar_US),WORKDAY($A525,-1,config_Holiday_Calendar_US)),IF(ISNUMBER(_xll.BDH(config!$G$4,I$1,$A525,$A525)),_xll.BDH(config!$G$4,I$1,$A525,$A525),_xll.BDH(config!$G$5,I$1,$A525,$A525))))</f>
        <v/>
      </c>
      <c r="J525" s="8" t="str">
        <f>IF($A525="","",IF(ISNUMBER(FIND("IMPVOL",J$1)),_xll.BDH(config!$G$4,J$1,WORKDAY($A525,-1,config_Holiday_Calendar_US),WORKDAY($A525,-1,config_Holiday_Calendar_US)),IF(ISNUMBER(_xll.BDH(config!$G$4,J$1,$A525,$A525)),_xll.BDH(config!$G$4,J$1,$A525,$A525),_xll.BDH(config!$G$5,J$1,$A525,$A525))))</f>
        <v/>
      </c>
      <c r="K525" s="8" t="str">
        <f>IF($A525="","",IF(ISNUMBER(FIND("IMPVOL",K$1)),_xll.BDH(config!$G$4,K$1,WORKDAY($A525,-1,config_Holiday_Calendar_US),WORKDAY($A525,-1,config_Holiday_Calendar_US)),IF(ISNUMBER(_xll.BDH(config!$G$4,K$1,$A525,$A525)),_xll.BDH(config!$G$4,K$1,$A525,$A525),_xll.BDH(config!$G$5,K$1,$A525,$A525))))</f>
        <v/>
      </c>
      <c r="L525" s="8" t="str">
        <f>IF($A525="","",IF(ISNUMBER(FIND("IMPVOL",L$1)),_xll.BDH(config!$G$4,L$1,WORKDAY($A525,-1,config_Holiday_Calendar_US),WORKDAY($A525,-1,config_Holiday_Calendar_US)),IF(ISNUMBER(_xll.BDH(config!$G$4,L$1,$A525,$A525)),_xll.BDH(config!$G$4,L$1,$A525,$A525),_xll.BDH(config!$G$5,L$1,$A525,$A525))))</f>
        <v/>
      </c>
      <c r="M525" s="8" t="str">
        <f>IF($A525="","",IF(ISNUMBER(FIND("IMPVOL",M$1)),_xll.BDH(config!$G$4,M$1,WORKDAY($A525,-1,config_Holiday_Calendar_US),WORKDAY($A525,-1,config_Holiday_Calendar_US)),IF(ISNUMBER(_xll.BDH(config!$G$4,M$1,$A525,$A525)),_xll.BDH(config!$G$4,M$1,$A525,$A525),_xll.BDH(config!$G$5,M$1,$A525,$A525))))</f>
        <v/>
      </c>
      <c r="N525" s="8" t="str">
        <f>IF($A525="","",IF(ISNUMBER(FIND("IMPVOL",N$1)),_xll.BDH(config!$G$4,N$1,WORKDAY($A525,-1,config_Holiday_Calendar_US),WORKDAY($A525,-1,config_Holiday_Calendar_US)),IF(ISNUMBER(_xll.BDH(config!$G$4,N$1,$A525,$A525)),_xll.BDH(config!$G$4,N$1,$A525,$A525),_xll.BDH(config!$G$5,N$1,$A525,$A525))))</f>
        <v/>
      </c>
      <c r="O525" s="8" t="str">
        <f>IF($A525="","",IF(ISNUMBER(FIND("IMPVOL",O$1)),_xll.BDH(config!$G$4,O$1,WORKDAY($A525,-1,config_Holiday_Calendar_US),WORKDAY($A525,-1,config_Holiday_Calendar_US)),IF(ISNUMBER(_xll.BDH(config!$G$4,O$1,$A525,$A525)),_xll.BDH(config!$G$4,O$1,$A525,$A525),_xll.BDH(config!$G$5,O$1,$A525,$A525))))</f>
        <v/>
      </c>
      <c r="P525" s="8" t="str">
        <f>IF($A525="","",IF(ISNUMBER(FIND("IMPVOL",P$1)),_xll.BDH(config!$G$4,P$1,WORKDAY($A525,-1,config_Holiday_Calendar_US),WORKDAY($A525,-1,config_Holiday_Calendar_US)),IF(ISNUMBER(_xll.BDH(config!$G$4,P$1,$A525,$A525)),_xll.BDH(config!$G$4,P$1,$A525,$A525),_xll.BDH(config!$G$5,P$1,$A525,$A525))))</f>
        <v/>
      </c>
      <c r="Q525" s="8" t="str">
        <f>IF($A525="","",IF(ISNUMBER(FIND("IMPVOL",Q$1)),_xll.BDH(config!$G$4,Q$1,WORKDAY($A525,-1,config_Holiday_Calendar_US),WORKDAY($A525,-1,config_Holiday_Calendar_US)),IF(ISNUMBER(_xll.BDH(config!$G$4,Q$1,$A525,$A525)),_xll.BDH(config!$G$4,Q$1,$A525,$A525),_xll.BDH(config!$G$5,Q$1,$A525,$A525))))</f>
        <v/>
      </c>
      <c r="R525" s="8" t="str">
        <f>IF($A525="","",IF(ISNUMBER(FIND("IMPVOL",R$1)),_xll.BDH(config!$G$4,R$1,WORKDAY($A525,-1,config_Holiday_Calendar_US),WORKDAY($A525,-1,config_Holiday_Calendar_US)),IF(ISNUMBER(_xll.BDH(config!$G$4,R$1,$A525,$A525)),_xll.BDH(config!$G$4,R$1,$A525,$A525),_xll.BDH(config!$G$5,R$1,$A525,$A525))))</f>
        <v/>
      </c>
      <c r="S525" s="8" t="str">
        <f>IF($A525="","",IF(ISNUMBER(FIND("IMPVOL",S$1)),_xll.BDH(config!$G$4,S$1,WORKDAY($A525,-1,config_Holiday_Calendar_US),WORKDAY($A525,-1,config_Holiday_Calendar_US)),IF(ISNUMBER(_xll.BDH(config!$G$4,S$1,$A525,$A525)),_xll.BDH(config!$G$4,S$1,$A525,$A525),_xll.BDH(config!$G$5,S$1,$A525,$A525))))</f>
        <v/>
      </c>
      <c r="T525" s="8" t="str">
        <f>IF($A525="","",IF(ISNUMBER(FIND("IMPVOL",T$1)),_xll.BDH(config!$G$4,T$1,WORKDAY($A525,-1,config_Holiday_Calendar_US),WORKDAY($A525,-1,config_Holiday_Calendar_US)),IF(ISNUMBER(_xll.BDH(config!$G$4,T$1,$A525,$A525)),_xll.BDH(config!$G$4,T$1,$A525,$A525),_xll.BDH(config!$G$5,T$1,$A525,$A525))))</f>
        <v/>
      </c>
      <c r="U525" s="8" t="str">
        <f>IF($A525="","",IF(ISNUMBER(FIND("IMPVOL",U$1)),_xll.BDH(config!$G$4,U$1,WORKDAY($A525,-1,config_Holiday_Calendar_US),WORKDAY($A525,-1,config_Holiday_Calendar_US)),IF(ISNUMBER(_xll.BDH(config!$G$4,U$1,$A525,$A525)),_xll.BDH(config!$G$4,U$1,$A525,$A525),_xll.BDH(config!$G$5,U$1,$A525,$A525))))</f>
        <v/>
      </c>
      <c r="V525" s="8" t="str">
        <f>IF($A525="","",IF(ISNUMBER(FIND("IMPVOL",V$1)),_xll.BDH(config!$G$4,V$1,WORKDAY($A525,-1,config_Holiday_Calendar_US),WORKDAY($A525,-1,config_Holiday_Calendar_US)),IF(ISNUMBER(_xll.BDH(config!$G$4,V$1,$A525,$A525)),_xll.BDH(config!$G$4,V$1,$A525,$A525),_xll.BDH(config!$G$5,V$1,$A525,$A525))))</f>
        <v/>
      </c>
      <c r="W525" s="8" t="str">
        <f>IF($A525="","",IF(ISNUMBER(FIND("IMPVOL",W$1)),_xll.BDH(config!$G$4,W$1,WORKDAY($A525,-1,config_Holiday_Calendar_US),WORKDAY($A525,-1,config_Holiday_Calendar_US)),IF(ISNUMBER(_xll.BDH(config!$G$4,W$1,$A525,$A525)),_xll.BDH(config!$G$4,W$1,$A525,$A525),_xll.BDH(config!$G$5,W$1,$A525,$A525))))</f>
        <v/>
      </c>
    </row>
    <row r="526" spans="1:23" x14ac:dyDescent="0.2">
      <c r="A526" s="9" t="str">
        <f>IF(A525="","",IF(WORKDAY(A525,-1,config_Holiday_Calendar_US)&lt;config!$I$10,"",WORKDAY(A525,-1,config_Holiday_Calendar_US)))</f>
        <v/>
      </c>
      <c r="B526" s="8" t="str">
        <f t="shared" si="8"/>
        <v/>
      </c>
      <c r="C526" s="8" t="str">
        <f>IF(A526="","",_xll.BDH(config!$H$4,C$1,$A526,$A526))</f>
        <v/>
      </c>
      <c r="D526" s="8" t="str">
        <f>IF($A526="","",_xll.BDH(config!$H$4,D$1,$A526,$A526))</f>
        <v/>
      </c>
      <c r="E526" s="8" t="str">
        <f>IF($A526="","",IF(ISNUMBER(FIND("IMPVOL",E$1)),_xll.BDH(config!$G$4,E$1,WORKDAY($A526,-1,config_Holiday_Calendar_US),WORKDAY($A526,-1,config_Holiday_Calendar_US)),IF(ISNUMBER(_xll.BDH(config!$G$4,E$1,$A526,$A526)),_xll.BDH(config!$G$4,E$1,$A526,$A526),_xll.BDH(config!$G$5,E$1,$A526,$A526))))</f>
        <v/>
      </c>
      <c r="F526" s="8" t="str">
        <f>IF($A526="","",IF(ISNUMBER(FIND("IMPVOL",F$1)),_xll.BDH(config!$G$4,F$1,WORKDAY($A526,-1,config_Holiday_Calendar_US),WORKDAY($A526,-1,config_Holiday_Calendar_US)),IF(ISNUMBER(_xll.BDH(config!$G$4,F$1,$A526,$A526)),_xll.BDH(config!$G$4,F$1,$A526,$A526),_xll.BDH(config!$G$5,F$1,$A526,$A526))))</f>
        <v/>
      </c>
      <c r="G526" s="8" t="str">
        <f>IF($A526="","",IF(ISNUMBER(FIND("IMPVOL",G$1)),_xll.BDH(config!$G$4,G$1,WORKDAY($A526,-1,config_Holiday_Calendar_US),WORKDAY($A526,-1,config_Holiday_Calendar_US)),IF(ISNUMBER(_xll.BDH(config!$G$4,G$1,$A526,$A526)),_xll.BDH(config!$G$4,G$1,$A526,$A526),_xll.BDH(config!$G$5,G$1,$A526,$A526))))</f>
        <v/>
      </c>
      <c r="H526" s="8" t="str">
        <f>IF($A526="","",IF(ISNUMBER(FIND("IMPVOL",H$1)),_xll.BDH(config!$G$4,H$1,WORKDAY($A526,-1,config_Holiday_Calendar_US),WORKDAY($A526,-1,config_Holiday_Calendar_US)),IF(ISNUMBER(_xll.BDH(config!$G$4,H$1,$A526,$A526)),_xll.BDH(config!$G$4,H$1,$A526,$A526),_xll.BDH(config!$G$5,H$1,$A526,$A526))))</f>
        <v/>
      </c>
      <c r="I526" s="8" t="str">
        <f>IF($A526="","",IF(ISNUMBER(FIND("IMPVOL",I$1)),_xll.BDH(config!$G$4,I$1,WORKDAY($A526,-1,config_Holiday_Calendar_US),WORKDAY($A526,-1,config_Holiday_Calendar_US)),IF(ISNUMBER(_xll.BDH(config!$G$4,I$1,$A526,$A526)),_xll.BDH(config!$G$4,I$1,$A526,$A526),_xll.BDH(config!$G$5,I$1,$A526,$A526))))</f>
        <v/>
      </c>
      <c r="J526" s="8" t="str">
        <f>IF($A526="","",IF(ISNUMBER(FIND("IMPVOL",J$1)),_xll.BDH(config!$G$4,J$1,WORKDAY($A526,-1,config_Holiday_Calendar_US),WORKDAY($A526,-1,config_Holiday_Calendar_US)),IF(ISNUMBER(_xll.BDH(config!$G$4,J$1,$A526,$A526)),_xll.BDH(config!$G$4,J$1,$A526,$A526),_xll.BDH(config!$G$5,J$1,$A526,$A526))))</f>
        <v/>
      </c>
      <c r="K526" s="8" t="str">
        <f>IF($A526="","",IF(ISNUMBER(FIND("IMPVOL",K$1)),_xll.BDH(config!$G$4,K$1,WORKDAY($A526,-1,config_Holiday_Calendar_US),WORKDAY($A526,-1,config_Holiday_Calendar_US)),IF(ISNUMBER(_xll.BDH(config!$G$4,K$1,$A526,$A526)),_xll.BDH(config!$G$4,K$1,$A526,$A526),_xll.BDH(config!$G$5,K$1,$A526,$A526))))</f>
        <v/>
      </c>
      <c r="L526" s="8" t="str">
        <f>IF($A526="","",IF(ISNUMBER(FIND("IMPVOL",L$1)),_xll.BDH(config!$G$4,L$1,WORKDAY($A526,-1,config_Holiday_Calendar_US),WORKDAY($A526,-1,config_Holiday_Calendar_US)),IF(ISNUMBER(_xll.BDH(config!$G$4,L$1,$A526,$A526)),_xll.BDH(config!$G$4,L$1,$A526,$A526),_xll.BDH(config!$G$5,L$1,$A526,$A526))))</f>
        <v/>
      </c>
      <c r="M526" s="8" t="str">
        <f>IF($A526="","",IF(ISNUMBER(FIND("IMPVOL",M$1)),_xll.BDH(config!$G$4,M$1,WORKDAY($A526,-1,config_Holiday_Calendar_US),WORKDAY($A526,-1,config_Holiday_Calendar_US)),IF(ISNUMBER(_xll.BDH(config!$G$4,M$1,$A526,$A526)),_xll.BDH(config!$G$4,M$1,$A526,$A526),_xll.BDH(config!$G$5,M$1,$A526,$A526))))</f>
        <v/>
      </c>
      <c r="N526" s="8" t="str">
        <f>IF($A526="","",IF(ISNUMBER(FIND("IMPVOL",N$1)),_xll.BDH(config!$G$4,N$1,WORKDAY($A526,-1,config_Holiday_Calendar_US),WORKDAY($A526,-1,config_Holiday_Calendar_US)),IF(ISNUMBER(_xll.BDH(config!$G$4,N$1,$A526,$A526)),_xll.BDH(config!$G$4,N$1,$A526,$A526),_xll.BDH(config!$G$5,N$1,$A526,$A526))))</f>
        <v/>
      </c>
      <c r="O526" s="8" t="str">
        <f>IF($A526="","",IF(ISNUMBER(FIND("IMPVOL",O$1)),_xll.BDH(config!$G$4,O$1,WORKDAY($A526,-1,config_Holiday_Calendar_US),WORKDAY($A526,-1,config_Holiday_Calendar_US)),IF(ISNUMBER(_xll.BDH(config!$G$4,O$1,$A526,$A526)),_xll.BDH(config!$G$4,O$1,$A526,$A526),_xll.BDH(config!$G$5,O$1,$A526,$A526))))</f>
        <v/>
      </c>
      <c r="P526" s="8" t="str">
        <f>IF($A526="","",IF(ISNUMBER(FIND("IMPVOL",P$1)),_xll.BDH(config!$G$4,P$1,WORKDAY($A526,-1,config_Holiday_Calendar_US),WORKDAY($A526,-1,config_Holiday_Calendar_US)),IF(ISNUMBER(_xll.BDH(config!$G$4,P$1,$A526,$A526)),_xll.BDH(config!$G$4,P$1,$A526,$A526),_xll.BDH(config!$G$5,P$1,$A526,$A526))))</f>
        <v/>
      </c>
      <c r="Q526" s="8" t="str">
        <f>IF($A526="","",IF(ISNUMBER(FIND("IMPVOL",Q$1)),_xll.BDH(config!$G$4,Q$1,WORKDAY($A526,-1,config_Holiday_Calendar_US),WORKDAY($A526,-1,config_Holiday_Calendar_US)),IF(ISNUMBER(_xll.BDH(config!$G$4,Q$1,$A526,$A526)),_xll.BDH(config!$G$4,Q$1,$A526,$A526),_xll.BDH(config!$G$5,Q$1,$A526,$A526))))</f>
        <v/>
      </c>
      <c r="R526" s="8" t="str">
        <f>IF($A526="","",IF(ISNUMBER(FIND("IMPVOL",R$1)),_xll.BDH(config!$G$4,R$1,WORKDAY($A526,-1,config_Holiday_Calendar_US),WORKDAY($A526,-1,config_Holiday_Calendar_US)),IF(ISNUMBER(_xll.BDH(config!$G$4,R$1,$A526,$A526)),_xll.BDH(config!$G$4,R$1,$A526,$A526),_xll.BDH(config!$G$5,R$1,$A526,$A526))))</f>
        <v/>
      </c>
      <c r="S526" s="8" t="str">
        <f>IF($A526="","",IF(ISNUMBER(FIND("IMPVOL",S$1)),_xll.BDH(config!$G$4,S$1,WORKDAY($A526,-1,config_Holiday_Calendar_US),WORKDAY($A526,-1,config_Holiday_Calendar_US)),IF(ISNUMBER(_xll.BDH(config!$G$4,S$1,$A526,$A526)),_xll.BDH(config!$G$4,S$1,$A526,$A526),_xll.BDH(config!$G$5,S$1,$A526,$A526))))</f>
        <v/>
      </c>
      <c r="T526" s="8" t="str">
        <f>IF($A526="","",IF(ISNUMBER(FIND("IMPVOL",T$1)),_xll.BDH(config!$G$4,T$1,WORKDAY($A526,-1,config_Holiday_Calendar_US),WORKDAY($A526,-1,config_Holiday_Calendar_US)),IF(ISNUMBER(_xll.BDH(config!$G$4,T$1,$A526,$A526)),_xll.BDH(config!$G$4,T$1,$A526,$A526),_xll.BDH(config!$G$5,T$1,$A526,$A526))))</f>
        <v/>
      </c>
      <c r="U526" s="8" t="str">
        <f>IF($A526="","",IF(ISNUMBER(FIND("IMPVOL",U$1)),_xll.BDH(config!$G$4,U$1,WORKDAY($A526,-1,config_Holiday_Calendar_US),WORKDAY($A526,-1,config_Holiday_Calendar_US)),IF(ISNUMBER(_xll.BDH(config!$G$4,U$1,$A526,$A526)),_xll.BDH(config!$G$4,U$1,$A526,$A526),_xll.BDH(config!$G$5,U$1,$A526,$A526))))</f>
        <v/>
      </c>
      <c r="V526" s="8" t="str">
        <f>IF($A526="","",IF(ISNUMBER(FIND("IMPVOL",V$1)),_xll.BDH(config!$G$4,V$1,WORKDAY($A526,-1,config_Holiday_Calendar_US),WORKDAY($A526,-1,config_Holiday_Calendar_US)),IF(ISNUMBER(_xll.BDH(config!$G$4,V$1,$A526,$A526)),_xll.BDH(config!$G$4,V$1,$A526,$A526),_xll.BDH(config!$G$5,V$1,$A526,$A526))))</f>
        <v/>
      </c>
      <c r="W526" s="8" t="str">
        <f>IF($A526="","",IF(ISNUMBER(FIND("IMPVOL",W$1)),_xll.BDH(config!$G$4,W$1,WORKDAY($A526,-1,config_Holiday_Calendar_US),WORKDAY($A526,-1,config_Holiday_Calendar_US)),IF(ISNUMBER(_xll.BDH(config!$G$4,W$1,$A526,$A526)),_xll.BDH(config!$G$4,W$1,$A526,$A526),_xll.BDH(config!$G$5,W$1,$A526,$A526))))</f>
        <v/>
      </c>
    </row>
    <row r="527" spans="1:23" x14ac:dyDescent="0.2">
      <c r="A527" s="9" t="str">
        <f>IF(A526="","",IF(WORKDAY(A526,-1,config_Holiday_Calendar_US)&lt;config!$I$10,"",WORKDAY(A526,-1,config_Holiday_Calendar_US)))</f>
        <v/>
      </c>
      <c r="B527" s="8" t="str">
        <f t="shared" si="8"/>
        <v/>
      </c>
      <c r="C527" s="8" t="str">
        <f>IF(A527="","",_xll.BDH(config!$H$4,C$1,$A527,$A527))</f>
        <v/>
      </c>
      <c r="D527" s="8" t="str">
        <f>IF($A527="","",_xll.BDH(config!$H$4,D$1,$A527,$A527))</f>
        <v/>
      </c>
      <c r="E527" s="8" t="str">
        <f>IF($A527="","",IF(ISNUMBER(FIND("IMPVOL",E$1)),_xll.BDH(config!$G$4,E$1,WORKDAY($A527,-1,config_Holiday_Calendar_US),WORKDAY($A527,-1,config_Holiday_Calendar_US)),IF(ISNUMBER(_xll.BDH(config!$G$4,E$1,$A527,$A527)),_xll.BDH(config!$G$4,E$1,$A527,$A527),_xll.BDH(config!$G$5,E$1,$A527,$A527))))</f>
        <v/>
      </c>
      <c r="F527" s="8" t="str">
        <f>IF($A527="","",IF(ISNUMBER(FIND("IMPVOL",F$1)),_xll.BDH(config!$G$4,F$1,WORKDAY($A527,-1,config_Holiday_Calendar_US),WORKDAY($A527,-1,config_Holiday_Calendar_US)),IF(ISNUMBER(_xll.BDH(config!$G$4,F$1,$A527,$A527)),_xll.BDH(config!$G$4,F$1,$A527,$A527),_xll.BDH(config!$G$5,F$1,$A527,$A527))))</f>
        <v/>
      </c>
      <c r="G527" s="8" t="str">
        <f>IF($A527="","",IF(ISNUMBER(FIND("IMPVOL",G$1)),_xll.BDH(config!$G$4,G$1,WORKDAY($A527,-1,config_Holiday_Calendar_US),WORKDAY($A527,-1,config_Holiday_Calendar_US)),IF(ISNUMBER(_xll.BDH(config!$G$4,G$1,$A527,$A527)),_xll.BDH(config!$G$4,G$1,$A527,$A527),_xll.BDH(config!$G$5,G$1,$A527,$A527))))</f>
        <v/>
      </c>
      <c r="H527" s="8" t="str">
        <f>IF($A527="","",IF(ISNUMBER(FIND("IMPVOL",H$1)),_xll.BDH(config!$G$4,H$1,WORKDAY($A527,-1,config_Holiday_Calendar_US),WORKDAY($A527,-1,config_Holiday_Calendar_US)),IF(ISNUMBER(_xll.BDH(config!$G$4,H$1,$A527,$A527)),_xll.BDH(config!$G$4,H$1,$A527,$A527),_xll.BDH(config!$G$5,H$1,$A527,$A527))))</f>
        <v/>
      </c>
      <c r="I527" s="8" t="str">
        <f>IF($A527="","",IF(ISNUMBER(FIND("IMPVOL",I$1)),_xll.BDH(config!$G$4,I$1,WORKDAY($A527,-1,config_Holiday_Calendar_US),WORKDAY($A527,-1,config_Holiday_Calendar_US)),IF(ISNUMBER(_xll.BDH(config!$G$4,I$1,$A527,$A527)),_xll.BDH(config!$G$4,I$1,$A527,$A527),_xll.BDH(config!$G$5,I$1,$A527,$A527))))</f>
        <v/>
      </c>
      <c r="J527" s="8" t="str">
        <f>IF($A527="","",IF(ISNUMBER(FIND("IMPVOL",J$1)),_xll.BDH(config!$G$4,J$1,WORKDAY($A527,-1,config_Holiday_Calendar_US),WORKDAY($A527,-1,config_Holiday_Calendar_US)),IF(ISNUMBER(_xll.BDH(config!$G$4,J$1,$A527,$A527)),_xll.BDH(config!$G$4,J$1,$A527,$A527),_xll.BDH(config!$G$5,J$1,$A527,$A527))))</f>
        <v/>
      </c>
      <c r="K527" s="8" t="str">
        <f>IF($A527="","",IF(ISNUMBER(FIND("IMPVOL",K$1)),_xll.BDH(config!$G$4,K$1,WORKDAY($A527,-1,config_Holiday_Calendar_US),WORKDAY($A527,-1,config_Holiday_Calendar_US)),IF(ISNUMBER(_xll.BDH(config!$G$4,K$1,$A527,$A527)),_xll.BDH(config!$G$4,K$1,$A527,$A527),_xll.BDH(config!$G$5,K$1,$A527,$A527))))</f>
        <v/>
      </c>
      <c r="L527" s="8" t="str">
        <f>IF($A527="","",IF(ISNUMBER(FIND("IMPVOL",L$1)),_xll.BDH(config!$G$4,L$1,WORKDAY($A527,-1,config_Holiday_Calendar_US),WORKDAY($A527,-1,config_Holiday_Calendar_US)),IF(ISNUMBER(_xll.BDH(config!$G$4,L$1,$A527,$A527)),_xll.BDH(config!$G$4,L$1,$A527,$A527),_xll.BDH(config!$G$5,L$1,$A527,$A527))))</f>
        <v/>
      </c>
      <c r="M527" s="8" t="str">
        <f>IF($A527="","",IF(ISNUMBER(FIND("IMPVOL",M$1)),_xll.BDH(config!$G$4,M$1,WORKDAY($A527,-1,config_Holiday_Calendar_US),WORKDAY($A527,-1,config_Holiday_Calendar_US)),IF(ISNUMBER(_xll.BDH(config!$G$4,M$1,$A527,$A527)),_xll.BDH(config!$G$4,M$1,$A527,$A527),_xll.BDH(config!$G$5,M$1,$A527,$A527))))</f>
        <v/>
      </c>
      <c r="N527" s="8" t="str">
        <f>IF($A527="","",IF(ISNUMBER(FIND("IMPVOL",N$1)),_xll.BDH(config!$G$4,N$1,WORKDAY($A527,-1,config_Holiday_Calendar_US),WORKDAY($A527,-1,config_Holiday_Calendar_US)),IF(ISNUMBER(_xll.BDH(config!$G$4,N$1,$A527,$A527)),_xll.BDH(config!$G$4,N$1,$A527,$A527),_xll.BDH(config!$G$5,N$1,$A527,$A527))))</f>
        <v/>
      </c>
      <c r="O527" s="8" t="str">
        <f>IF($A527="","",IF(ISNUMBER(FIND("IMPVOL",O$1)),_xll.BDH(config!$G$4,O$1,WORKDAY($A527,-1,config_Holiday_Calendar_US),WORKDAY($A527,-1,config_Holiday_Calendar_US)),IF(ISNUMBER(_xll.BDH(config!$G$4,O$1,$A527,$A527)),_xll.BDH(config!$G$4,O$1,$A527,$A527),_xll.BDH(config!$G$5,O$1,$A527,$A527))))</f>
        <v/>
      </c>
      <c r="P527" s="8" t="str">
        <f>IF($A527="","",IF(ISNUMBER(FIND("IMPVOL",P$1)),_xll.BDH(config!$G$4,P$1,WORKDAY($A527,-1,config_Holiday_Calendar_US),WORKDAY($A527,-1,config_Holiday_Calendar_US)),IF(ISNUMBER(_xll.BDH(config!$G$4,P$1,$A527,$A527)),_xll.BDH(config!$G$4,P$1,$A527,$A527),_xll.BDH(config!$G$5,P$1,$A527,$A527))))</f>
        <v/>
      </c>
      <c r="Q527" s="8" t="str">
        <f>IF($A527="","",IF(ISNUMBER(FIND("IMPVOL",Q$1)),_xll.BDH(config!$G$4,Q$1,WORKDAY($A527,-1,config_Holiday_Calendar_US),WORKDAY($A527,-1,config_Holiday_Calendar_US)),IF(ISNUMBER(_xll.BDH(config!$G$4,Q$1,$A527,$A527)),_xll.BDH(config!$G$4,Q$1,$A527,$A527),_xll.BDH(config!$G$5,Q$1,$A527,$A527))))</f>
        <v/>
      </c>
      <c r="R527" s="8" t="str">
        <f>IF($A527="","",IF(ISNUMBER(FIND("IMPVOL",R$1)),_xll.BDH(config!$G$4,R$1,WORKDAY($A527,-1,config_Holiday_Calendar_US),WORKDAY($A527,-1,config_Holiday_Calendar_US)),IF(ISNUMBER(_xll.BDH(config!$G$4,R$1,$A527,$A527)),_xll.BDH(config!$G$4,R$1,$A527,$A527),_xll.BDH(config!$G$5,R$1,$A527,$A527))))</f>
        <v/>
      </c>
      <c r="S527" s="8" t="str">
        <f>IF($A527="","",IF(ISNUMBER(FIND("IMPVOL",S$1)),_xll.BDH(config!$G$4,S$1,WORKDAY($A527,-1,config_Holiday_Calendar_US),WORKDAY($A527,-1,config_Holiday_Calendar_US)),IF(ISNUMBER(_xll.BDH(config!$G$4,S$1,$A527,$A527)),_xll.BDH(config!$G$4,S$1,$A527,$A527),_xll.BDH(config!$G$5,S$1,$A527,$A527))))</f>
        <v/>
      </c>
      <c r="T527" s="8" t="str">
        <f>IF($A527="","",IF(ISNUMBER(FIND("IMPVOL",T$1)),_xll.BDH(config!$G$4,T$1,WORKDAY($A527,-1,config_Holiday_Calendar_US),WORKDAY($A527,-1,config_Holiday_Calendar_US)),IF(ISNUMBER(_xll.BDH(config!$G$4,T$1,$A527,$A527)),_xll.BDH(config!$G$4,T$1,$A527,$A527),_xll.BDH(config!$G$5,T$1,$A527,$A527))))</f>
        <v/>
      </c>
      <c r="U527" s="8" t="str">
        <f>IF($A527="","",IF(ISNUMBER(FIND("IMPVOL",U$1)),_xll.BDH(config!$G$4,U$1,WORKDAY($A527,-1,config_Holiday_Calendar_US),WORKDAY($A527,-1,config_Holiday_Calendar_US)),IF(ISNUMBER(_xll.BDH(config!$G$4,U$1,$A527,$A527)),_xll.BDH(config!$G$4,U$1,$A527,$A527),_xll.BDH(config!$G$5,U$1,$A527,$A527))))</f>
        <v/>
      </c>
      <c r="V527" s="8" t="str">
        <f>IF($A527="","",IF(ISNUMBER(FIND("IMPVOL",V$1)),_xll.BDH(config!$G$4,V$1,WORKDAY($A527,-1,config_Holiday_Calendar_US),WORKDAY($A527,-1,config_Holiday_Calendar_US)),IF(ISNUMBER(_xll.BDH(config!$G$4,V$1,$A527,$A527)),_xll.BDH(config!$G$4,V$1,$A527,$A527),_xll.BDH(config!$G$5,V$1,$A527,$A527))))</f>
        <v/>
      </c>
      <c r="W527" s="8" t="str">
        <f>IF($A527="","",IF(ISNUMBER(FIND("IMPVOL",W$1)),_xll.BDH(config!$G$4,W$1,WORKDAY($A527,-1,config_Holiday_Calendar_US),WORKDAY($A527,-1,config_Holiday_Calendar_US)),IF(ISNUMBER(_xll.BDH(config!$G$4,W$1,$A527,$A527)),_xll.BDH(config!$G$4,W$1,$A527,$A527),_xll.BDH(config!$G$5,W$1,$A527,$A527))))</f>
        <v/>
      </c>
    </row>
    <row r="528" spans="1:23" x14ac:dyDescent="0.2">
      <c r="A528" s="9" t="str">
        <f>IF(A527="","",IF(WORKDAY(A527,-1,config_Holiday_Calendar_US)&lt;config!$I$10,"",WORKDAY(A527,-1,config_Holiday_Calendar_US)))</f>
        <v/>
      </c>
      <c r="B528" s="8" t="str">
        <f t="shared" si="8"/>
        <v/>
      </c>
      <c r="C528" s="8" t="str">
        <f>IF(A528="","",_xll.BDH(config!$H$4,C$1,$A528,$A528))</f>
        <v/>
      </c>
      <c r="D528" s="8" t="str">
        <f>IF($A528="","",_xll.BDH(config!$H$4,D$1,$A528,$A528))</f>
        <v/>
      </c>
      <c r="E528" s="8" t="str">
        <f>IF($A528="","",IF(ISNUMBER(FIND("IMPVOL",E$1)),_xll.BDH(config!$G$4,E$1,WORKDAY($A528,-1,config_Holiday_Calendar_US),WORKDAY($A528,-1,config_Holiday_Calendar_US)),IF(ISNUMBER(_xll.BDH(config!$G$4,E$1,$A528,$A528)),_xll.BDH(config!$G$4,E$1,$A528,$A528),_xll.BDH(config!$G$5,E$1,$A528,$A528))))</f>
        <v/>
      </c>
      <c r="F528" s="8" t="str">
        <f>IF($A528="","",IF(ISNUMBER(FIND("IMPVOL",F$1)),_xll.BDH(config!$G$4,F$1,WORKDAY($A528,-1,config_Holiday_Calendar_US),WORKDAY($A528,-1,config_Holiday_Calendar_US)),IF(ISNUMBER(_xll.BDH(config!$G$4,F$1,$A528,$A528)),_xll.BDH(config!$G$4,F$1,$A528,$A528),_xll.BDH(config!$G$5,F$1,$A528,$A528))))</f>
        <v/>
      </c>
      <c r="G528" s="8" t="str">
        <f>IF($A528="","",IF(ISNUMBER(FIND("IMPVOL",G$1)),_xll.BDH(config!$G$4,G$1,WORKDAY($A528,-1,config_Holiday_Calendar_US),WORKDAY($A528,-1,config_Holiday_Calendar_US)),IF(ISNUMBER(_xll.BDH(config!$G$4,G$1,$A528,$A528)),_xll.BDH(config!$G$4,G$1,$A528,$A528),_xll.BDH(config!$G$5,G$1,$A528,$A528))))</f>
        <v/>
      </c>
      <c r="H528" s="8" t="str">
        <f>IF($A528="","",IF(ISNUMBER(FIND("IMPVOL",H$1)),_xll.BDH(config!$G$4,H$1,WORKDAY($A528,-1,config_Holiday_Calendar_US),WORKDAY($A528,-1,config_Holiday_Calendar_US)),IF(ISNUMBER(_xll.BDH(config!$G$4,H$1,$A528,$A528)),_xll.BDH(config!$G$4,H$1,$A528,$A528),_xll.BDH(config!$G$5,H$1,$A528,$A528))))</f>
        <v/>
      </c>
      <c r="I528" s="8" t="str">
        <f>IF($A528="","",IF(ISNUMBER(FIND("IMPVOL",I$1)),_xll.BDH(config!$G$4,I$1,WORKDAY($A528,-1,config_Holiday_Calendar_US),WORKDAY($A528,-1,config_Holiday_Calendar_US)),IF(ISNUMBER(_xll.BDH(config!$G$4,I$1,$A528,$A528)),_xll.BDH(config!$G$4,I$1,$A528,$A528),_xll.BDH(config!$G$5,I$1,$A528,$A528))))</f>
        <v/>
      </c>
      <c r="J528" s="8" t="str">
        <f>IF($A528="","",IF(ISNUMBER(FIND("IMPVOL",J$1)),_xll.BDH(config!$G$4,J$1,WORKDAY($A528,-1,config_Holiday_Calendar_US),WORKDAY($A528,-1,config_Holiday_Calendar_US)),IF(ISNUMBER(_xll.BDH(config!$G$4,J$1,$A528,$A528)),_xll.BDH(config!$G$4,J$1,$A528,$A528),_xll.BDH(config!$G$5,J$1,$A528,$A528))))</f>
        <v/>
      </c>
      <c r="K528" s="8" t="str">
        <f>IF($A528="","",IF(ISNUMBER(FIND("IMPVOL",K$1)),_xll.BDH(config!$G$4,K$1,WORKDAY($A528,-1,config_Holiday_Calendar_US),WORKDAY($A528,-1,config_Holiday_Calendar_US)),IF(ISNUMBER(_xll.BDH(config!$G$4,K$1,$A528,$A528)),_xll.BDH(config!$G$4,K$1,$A528,$A528),_xll.BDH(config!$G$5,K$1,$A528,$A528))))</f>
        <v/>
      </c>
      <c r="L528" s="8" t="str">
        <f>IF($A528="","",IF(ISNUMBER(FIND("IMPVOL",L$1)),_xll.BDH(config!$G$4,L$1,WORKDAY($A528,-1,config_Holiday_Calendar_US),WORKDAY($A528,-1,config_Holiday_Calendar_US)),IF(ISNUMBER(_xll.BDH(config!$G$4,L$1,$A528,$A528)),_xll.BDH(config!$G$4,L$1,$A528,$A528),_xll.BDH(config!$G$5,L$1,$A528,$A528))))</f>
        <v/>
      </c>
      <c r="M528" s="8" t="str">
        <f>IF($A528="","",IF(ISNUMBER(FIND("IMPVOL",M$1)),_xll.BDH(config!$G$4,M$1,WORKDAY($A528,-1,config_Holiday_Calendar_US),WORKDAY($A528,-1,config_Holiday_Calendar_US)),IF(ISNUMBER(_xll.BDH(config!$G$4,M$1,$A528,$A528)),_xll.BDH(config!$G$4,M$1,$A528,$A528),_xll.BDH(config!$G$5,M$1,$A528,$A528))))</f>
        <v/>
      </c>
      <c r="N528" s="8" t="str">
        <f>IF($A528="","",IF(ISNUMBER(FIND("IMPVOL",N$1)),_xll.BDH(config!$G$4,N$1,WORKDAY($A528,-1,config_Holiday_Calendar_US),WORKDAY($A528,-1,config_Holiday_Calendar_US)),IF(ISNUMBER(_xll.BDH(config!$G$4,N$1,$A528,$A528)),_xll.BDH(config!$G$4,N$1,$A528,$A528),_xll.BDH(config!$G$5,N$1,$A528,$A528))))</f>
        <v/>
      </c>
      <c r="O528" s="8" t="str">
        <f>IF($A528="","",IF(ISNUMBER(FIND("IMPVOL",O$1)),_xll.BDH(config!$G$4,O$1,WORKDAY($A528,-1,config_Holiday_Calendar_US),WORKDAY($A528,-1,config_Holiday_Calendar_US)),IF(ISNUMBER(_xll.BDH(config!$G$4,O$1,$A528,$A528)),_xll.BDH(config!$G$4,O$1,$A528,$A528),_xll.BDH(config!$G$5,O$1,$A528,$A528))))</f>
        <v/>
      </c>
      <c r="P528" s="8" t="str">
        <f>IF($A528="","",IF(ISNUMBER(FIND("IMPVOL",P$1)),_xll.BDH(config!$G$4,P$1,WORKDAY($A528,-1,config_Holiday_Calendar_US),WORKDAY($A528,-1,config_Holiday_Calendar_US)),IF(ISNUMBER(_xll.BDH(config!$G$4,P$1,$A528,$A528)),_xll.BDH(config!$G$4,P$1,$A528,$A528),_xll.BDH(config!$G$5,P$1,$A528,$A528))))</f>
        <v/>
      </c>
      <c r="Q528" s="8" t="str">
        <f>IF($A528="","",IF(ISNUMBER(FIND("IMPVOL",Q$1)),_xll.BDH(config!$G$4,Q$1,WORKDAY($A528,-1,config_Holiday_Calendar_US),WORKDAY($A528,-1,config_Holiday_Calendar_US)),IF(ISNUMBER(_xll.BDH(config!$G$4,Q$1,$A528,$A528)),_xll.BDH(config!$G$4,Q$1,$A528,$A528),_xll.BDH(config!$G$5,Q$1,$A528,$A528))))</f>
        <v/>
      </c>
      <c r="R528" s="8" t="str">
        <f>IF($A528="","",IF(ISNUMBER(FIND("IMPVOL",R$1)),_xll.BDH(config!$G$4,R$1,WORKDAY($A528,-1,config_Holiday_Calendar_US),WORKDAY($A528,-1,config_Holiday_Calendar_US)),IF(ISNUMBER(_xll.BDH(config!$G$4,R$1,$A528,$A528)),_xll.BDH(config!$G$4,R$1,$A528,$A528),_xll.BDH(config!$G$5,R$1,$A528,$A528))))</f>
        <v/>
      </c>
      <c r="S528" s="8" t="str">
        <f>IF($A528="","",IF(ISNUMBER(FIND("IMPVOL",S$1)),_xll.BDH(config!$G$4,S$1,WORKDAY($A528,-1,config_Holiday_Calendar_US),WORKDAY($A528,-1,config_Holiday_Calendar_US)),IF(ISNUMBER(_xll.BDH(config!$G$4,S$1,$A528,$A528)),_xll.BDH(config!$G$4,S$1,$A528,$A528),_xll.BDH(config!$G$5,S$1,$A528,$A528))))</f>
        <v/>
      </c>
      <c r="T528" s="8" t="str">
        <f>IF($A528="","",IF(ISNUMBER(FIND("IMPVOL",T$1)),_xll.BDH(config!$G$4,T$1,WORKDAY($A528,-1,config_Holiday_Calendar_US),WORKDAY($A528,-1,config_Holiday_Calendar_US)),IF(ISNUMBER(_xll.BDH(config!$G$4,T$1,$A528,$A528)),_xll.BDH(config!$G$4,T$1,$A528,$A528),_xll.BDH(config!$G$5,T$1,$A528,$A528))))</f>
        <v/>
      </c>
      <c r="U528" s="8" t="str">
        <f>IF($A528="","",IF(ISNUMBER(FIND("IMPVOL",U$1)),_xll.BDH(config!$G$4,U$1,WORKDAY($A528,-1,config_Holiday_Calendar_US),WORKDAY($A528,-1,config_Holiday_Calendar_US)),IF(ISNUMBER(_xll.BDH(config!$G$4,U$1,$A528,$A528)),_xll.BDH(config!$G$4,U$1,$A528,$A528),_xll.BDH(config!$G$5,U$1,$A528,$A528))))</f>
        <v/>
      </c>
      <c r="V528" s="8" t="str">
        <f>IF($A528="","",IF(ISNUMBER(FIND("IMPVOL",V$1)),_xll.BDH(config!$G$4,V$1,WORKDAY($A528,-1,config_Holiday_Calendar_US),WORKDAY($A528,-1,config_Holiday_Calendar_US)),IF(ISNUMBER(_xll.BDH(config!$G$4,V$1,$A528,$A528)),_xll.BDH(config!$G$4,V$1,$A528,$A528),_xll.BDH(config!$G$5,V$1,$A528,$A528))))</f>
        <v/>
      </c>
      <c r="W528" s="8" t="str">
        <f>IF($A528="","",IF(ISNUMBER(FIND("IMPVOL",W$1)),_xll.BDH(config!$G$4,W$1,WORKDAY($A528,-1,config_Holiday_Calendar_US),WORKDAY($A528,-1,config_Holiday_Calendar_US)),IF(ISNUMBER(_xll.BDH(config!$G$4,W$1,$A528,$A528)),_xll.BDH(config!$G$4,W$1,$A528,$A528),_xll.BDH(config!$G$5,W$1,$A528,$A528))))</f>
        <v/>
      </c>
    </row>
    <row r="529" spans="1:23" x14ac:dyDescent="0.2">
      <c r="A529" s="9" t="str">
        <f>IF(A528="","",IF(WORKDAY(A528,-1,config_Holiday_Calendar_US)&lt;config!$I$10,"",WORKDAY(A528,-1,config_Holiday_Calendar_US)))</f>
        <v/>
      </c>
      <c r="B529" s="8" t="str">
        <f t="shared" si="8"/>
        <v/>
      </c>
      <c r="C529" s="8" t="str">
        <f>IF(A529="","",_xll.BDH(config!$H$4,C$1,$A529,$A529))</f>
        <v/>
      </c>
      <c r="D529" s="8" t="str">
        <f>IF($A529="","",_xll.BDH(config!$H$4,D$1,$A529,$A529))</f>
        <v/>
      </c>
      <c r="E529" s="8" t="str">
        <f>IF($A529="","",IF(ISNUMBER(FIND("IMPVOL",E$1)),_xll.BDH(config!$G$4,E$1,WORKDAY($A529,-1,config_Holiday_Calendar_US),WORKDAY($A529,-1,config_Holiday_Calendar_US)),IF(ISNUMBER(_xll.BDH(config!$G$4,E$1,$A529,$A529)),_xll.BDH(config!$G$4,E$1,$A529,$A529),_xll.BDH(config!$G$5,E$1,$A529,$A529))))</f>
        <v/>
      </c>
      <c r="F529" s="8" t="str">
        <f>IF($A529="","",IF(ISNUMBER(FIND("IMPVOL",F$1)),_xll.BDH(config!$G$4,F$1,WORKDAY($A529,-1,config_Holiday_Calendar_US),WORKDAY($A529,-1,config_Holiday_Calendar_US)),IF(ISNUMBER(_xll.BDH(config!$G$4,F$1,$A529,$A529)),_xll.BDH(config!$G$4,F$1,$A529,$A529),_xll.BDH(config!$G$5,F$1,$A529,$A529))))</f>
        <v/>
      </c>
      <c r="G529" s="8" t="str">
        <f>IF($A529="","",IF(ISNUMBER(FIND("IMPVOL",G$1)),_xll.BDH(config!$G$4,G$1,WORKDAY($A529,-1,config_Holiday_Calendar_US),WORKDAY($A529,-1,config_Holiday_Calendar_US)),IF(ISNUMBER(_xll.BDH(config!$G$4,G$1,$A529,$A529)),_xll.BDH(config!$G$4,G$1,$A529,$A529),_xll.BDH(config!$G$5,G$1,$A529,$A529))))</f>
        <v/>
      </c>
      <c r="H529" s="8" t="str">
        <f>IF($A529="","",IF(ISNUMBER(FIND("IMPVOL",H$1)),_xll.BDH(config!$G$4,H$1,WORKDAY($A529,-1,config_Holiday_Calendar_US),WORKDAY($A529,-1,config_Holiday_Calendar_US)),IF(ISNUMBER(_xll.BDH(config!$G$4,H$1,$A529,$A529)),_xll.BDH(config!$G$4,H$1,$A529,$A529),_xll.BDH(config!$G$5,H$1,$A529,$A529))))</f>
        <v/>
      </c>
      <c r="I529" s="8" t="str">
        <f>IF($A529="","",IF(ISNUMBER(FIND("IMPVOL",I$1)),_xll.BDH(config!$G$4,I$1,WORKDAY($A529,-1,config_Holiday_Calendar_US),WORKDAY($A529,-1,config_Holiday_Calendar_US)),IF(ISNUMBER(_xll.BDH(config!$G$4,I$1,$A529,$A529)),_xll.BDH(config!$G$4,I$1,$A529,$A529),_xll.BDH(config!$G$5,I$1,$A529,$A529))))</f>
        <v/>
      </c>
      <c r="J529" s="8" t="str">
        <f>IF($A529="","",IF(ISNUMBER(FIND("IMPVOL",J$1)),_xll.BDH(config!$G$4,J$1,WORKDAY($A529,-1,config_Holiday_Calendar_US),WORKDAY($A529,-1,config_Holiday_Calendar_US)),IF(ISNUMBER(_xll.BDH(config!$G$4,J$1,$A529,$A529)),_xll.BDH(config!$G$4,J$1,$A529,$A529),_xll.BDH(config!$G$5,J$1,$A529,$A529))))</f>
        <v/>
      </c>
      <c r="K529" s="8" t="str">
        <f>IF($A529="","",IF(ISNUMBER(FIND("IMPVOL",K$1)),_xll.BDH(config!$G$4,K$1,WORKDAY($A529,-1,config_Holiday_Calendar_US),WORKDAY($A529,-1,config_Holiday_Calendar_US)),IF(ISNUMBER(_xll.BDH(config!$G$4,K$1,$A529,$A529)),_xll.BDH(config!$G$4,K$1,$A529,$A529),_xll.BDH(config!$G$5,K$1,$A529,$A529))))</f>
        <v/>
      </c>
      <c r="L529" s="8" t="str">
        <f>IF($A529="","",IF(ISNUMBER(FIND("IMPVOL",L$1)),_xll.BDH(config!$G$4,L$1,WORKDAY($A529,-1,config_Holiday_Calendar_US),WORKDAY($A529,-1,config_Holiday_Calendar_US)),IF(ISNUMBER(_xll.BDH(config!$G$4,L$1,$A529,$A529)),_xll.BDH(config!$G$4,L$1,$A529,$A529),_xll.BDH(config!$G$5,L$1,$A529,$A529))))</f>
        <v/>
      </c>
      <c r="M529" s="8" t="str">
        <f>IF($A529="","",IF(ISNUMBER(FIND("IMPVOL",M$1)),_xll.BDH(config!$G$4,M$1,WORKDAY($A529,-1,config_Holiday_Calendar_US),WORKDAY($A529,-1,config_Holiday_Calendar_US)),IF(ISNUMBER(_xll.BDH(config!$G$4,M$1,$A529,$A529)),_xll.BDH(config!$G$4,M$1,$A529,$A529),_xll.BDH(config!$G$5,M$1,$A529,$A529))))</f>
        <v/>
      </c>
      <c r="N529" s="8" t="str">
        <f>IF($A529="","",IF(ISNUMBER(FIND("IMPVOL",N$1)),_xll.BDH(config!$G$4,N$1,WORKDAY($A529,-1,config_Holiday_Calendar_US),WORKDAY($A529,-1,config_Holiday_Calendar_US)),IF(ISNUMBER(_xll.BDH(config!$G$4,N$1,$A529,$A529)),_xll.BDH(config!$G$4,N$1,$A529,$A529),_xll.BDH(config!$G$5,N$1,$A529,$A529))))</f>
        <v/>
      </c>
      <c r="O529" s="8" t="str">
        <f>IF($A529="","",IF(ISNUMBER(FIND("IMPVOL",O$1)),_xll.BDH(config!$G$4,O$1,WORKDAY($A529,-1,config_Holiday_Calendar_US),WORKDAY($A529,-1,config_Holiday_Calendar_US)),IF(ISNUMBER(_xll.BDH(config!$G$4,O$1,$A529,$A529)),_xll.BDH(config!$G$4,O$1,$A529,$A529),_xll.BDH(config!$G$5,O$1,$A529,$A529))))</f>
        <v/>
      </c>
      <c r="P529" s="8" t="str">
        <f>IF($A529="","",IF(ISNUMBER(FIND("IMPVOL",P$1)),_xll.BDH(config!$G$4,P$1,WORKDAY($A529,-1,config_Holiday_Calendar_US),WORKDAY($A529,-1,config_Holiday_Calendar_US)),IF(ISNUMBER(_xll.BDH(config!$G$4,P$1,$A529,$A529)),_xll.BDH(config!$G$4,P$1,$A529,$A529),_xll.BDH(config!$G$5,P$1,$A529,$A529))))</f>
        <v/>
      </c>
      <c r="Q529" s="8" t="str">
        <f>IF($A529="","",IF(ISNUMBER(FIND("IMPVOL",Q$1)),_xll.BDH(config!$G$4,Q$1,WORKDAY($A529,-1,config_Holiday_Calendar_US),WORKDAY($A529,-1,config_Holiday_Calendar_US)),IF(ISNUMBER(_xll.BDH(config!$G$4,Q$1,$A529,$A529)),_xll.BDH(config!$G$4,Q$1,$A529,$A529),_xll.BDH(config!$G$5,Q$1,$A529,$A529))))</f>
        <v/>
      </c>
      <c r="R529" s="8" t="str">
        <f>IF($A529="","",IF(ISNUMBER(FIND("IMPVOL",R$1)),_xll.BDH(config!$G$4,R$1,WORKDAY($A529,-1,config_Holiday_Calendar_US),WORKDAY($A529,-1,config_Holiday_Calendar_US)),IF(ISNUMBER(_xll.BDH(config!$G$4,R$1,$A529,$A529)),_xll.BDH(config!$G$4,R$1,$A529,$A529),_xll.BDH(config!$G$5,R$1,$A529,$A529))))</f>
        <v/>
      </c>
      <c r="S529" s="8" t="str">
        <f>IF($A529="","",IF(ISNUMBER(FIND("IMPVOL",S$1)),_xll.BDH(config!$G$4,S$1,WORKDAY($A529,-1,config_Holiday_Calendar_US),WORKDAY($A529,-1,config_Holiday_Calendar_US)),IF(ISNUMBER(_xll.BDH(config!$G$4,S$1,$A529,$A529)),_xll.BDH(config!$G$4,S$1,$A529,$A529),_xll.BDH(config!$G$5,S$1,$A529,$A529))))</f>
        <v/>
      </c>
      <c r="T529" s="8" t="str">
        <f>IF($A529="","",IF(ISNUMBER(FIND("IMPVOL",T$1)),_xll.BDH(config!$G$4,T$1,WORKDAY($A529,-1,config_Holiday_Calendar_US),WORKDAY($A529,-1,config_Holiday_Calendar_US)),IF(ISNUMBER(_xll.BDH(config!$G$4,T$1,$A529,$A529)),_xll.BDH(config!$G$4,T$1,$A529,$A529),_xll.BDH(config!$G$5,T$1,$A529,$A529))))</f>
        <v/>
      </c>
      <c r="U529" s="8" t="str">
        <f>IF($A529="","",IF(ISNUMBER(FIND("IMPVOL",U$1)),_xll.BDH(config!$G$4,U$1,WORKDAY($A529,-1,config_Holiday_Calendar_US),WORKDAY($A529,-1,config_Holiday_Calendar_US)),IF(ISNUMBER(_xll.BDH(config!$G$4,U$1,$A529,$A529)),_xll.BDH(config!$G$4,U$1,$A529,$A529),_xll.BDH(config!$G$5,U$1,$A529,$A529))))</f>
        <v/>
      </c>
      <c r="V529" s="8" t="str">
        <f>IF($A529="","",IF(ISNUMBER(FIND("IMPVOL",V$1)),_xll.BDH(config!$G$4,V$1,WORKDAY($A529,-1,config_Holiday_Calendar_US),WORKDAY($A529,-1,config_Holiday_Calendar_US)),IF(ISNUMBER(_xll.BDH(config!$G$4,V$1,$A529,$A529)),_xll.BDH(config!$G$4,V$1,$A529,$A529),_xll.BDH(config!$G$5,V$1,$A529,$A529))))</f>
        <v/>
      </c>
      <c r="W529" s="8" t="str">
        <f>IF($A529="","",IF(ISNUMBER(FIND("IMPVOL",W$1)),_xll.BDH(config!$G$4,W$1,WORKDAY($A529,-1,config_Holiday_Calendar_US),WORKDAY($A529,-1,config_Holiday_Calendar_US)),IF(ISNUMBER(_xll.BDH(config!$G$4,W$1,$A529,$A529)),_xll.BDH(config!$G$4,W$1,$A529,$A529),_xll.BDH(config!$G$5,W$1,$A529,$A529))))</f>
        <v/>
      </c>
    </row>
    <row r="530" spans="1:23" x14ac:dyDescent="0.2">
      <c r="A530" s="9" t="str">
        <f>IF(A529="","",IF(WORKDAY(A529,-1,config_Holiday_Calendar_US)&lt;config!$I$10,"",WORKDAY(A529,-1,config_Holiday_Calendar_US)))</f>
        <v/>
      </c>
      <c r="B530" s="8" t="str">
        <f t="shared" si="8"/>
        <v/>
      </c>
      <c r="C530" s="8" t="str">
        <f>IF(A530="","",_xll.BDH(config!$H$4,C$1,$A530,$A530))</f>
        <v/>
      </c>
      <c r="D530" s="8" t="str">
        <f>IF($A530="","",_xll.BDH(config!$H$4,D$1,$A530,$A530))</f>
        <v/>
      </c>
      <c r="E530" s="8" t="str">
        <f>IF($A530="","",IF(ISNUMBER(FIND("IMPVOL",E$1)),_xll.BDH(config!$G$4,E$1,WORKDAY($A530,-1,config_Holiday_Calendar_US),WORKDAY($A530,-1,config_Holiday_Calendar_US)),IF(ISNUMBER(_xll.BDH(config!$G$4,E$1,$A530,$A530)),_xll.BDH(config!$G$4,E$1,$A530,$A530),_xll.BDH(config!$G$5,E$1,$A530,$A530))))</f>
        <v/>
      </c>
      <c r="F530" s="8" t="str">
        <f>IF($A530="","",IF(ISNUMBER(FIND("IMPVOL",F$1)),_xll.BDH(config!$G$4,F$1,WORKDAY($A530,-1,config_Holiday_Calendar_US),WORKDAY($A530,-1,config_Holiday_Calendar_US)),IF(ISNUMBER(_xll.BDH(config!$G$4,F$1,$A530,$A530)),_xll.BDH(config!$G$4,F$1,$A530,$A530),_xll.BDH(config!$G$5,F$1,$A530,$A530))))</f>
        <v/>
      </c>
      <c r="G530" s="8" t="str">
        <f>IF($A530="","",IF(ISNUMBER(FIND("IMPVOL",G$1)),_xll.BDH(config!$G$4,G$1,WORKDAY($A530,-1,config_Holiday_Calendar_US),WORKDAY($A530,-1,config_Holiday_Calendar_US)),IF(ISNUMBER(_xll.BDH(config!$G$4,G$1,$A530,$A530)),_xll.BDH(config!$G$4,G$1,$A530,$A530),_xll.BDH(config!$G$5,G$1,$A530,$A530))))</f>
        <v/>
      </c>
      <c r="H530" s="8" t="str">
        <f>IF($A530="","",IF(ISNUMBER(FIND("IMPVOL",H$1)),_xll.BDH(config!$G$4,H$1,WORKDAY($A530,-1,config_Holiday_Calendar_US),WORKDAY($A530,-1,config_Holiday_Calendar_US)),IF(ISNUMBER(_xll.BDH(config!$G$4,H$1,$A530,$A530)),_xll.BDH(config!$G$4,H$1,$A530,$A530),_xll.BDH(config!$G$5,H$1,$A530,$A530))))</f>
        <v/>
      </c>
      <c r="I530" s="8" t="str">
        <f>IF($A530="","",IF(ISNUMBER(FIND("IMPVOL",I$1)),_xll.BDH(config!$G$4,I$1,WORKDAY($A530,-1,config_Holiday_Calendar_US),WORKDAY($A530,-1,config_Holiday_Calendar_US)),IF(ISNUMBER(_xll.BDH(config!$G$4,I$1,$A530,$A530)),_xll.BDH(config!$G$4,I$1,$A530,$A530),_xll.BDH(config!$G$5,I$1,$A530,$A530))))</f>
        <v/>
      </c>
      <c r="J530" s="8" t="str">
        <f>IF($A530="","",IF(ISNUMBER(FIND("IMPVOL",J$1)),_xll.BDH(config!$G$4,J$1,WORKDAY($A530,-1,config_Holiday_Calendar_US),WORKDAY($A530,-1,config_Holiday_Calendar_US)),IF(ISNUMBER(_xll.BDH(config!$G$4,J$1,$A530,$A530)),_xll.BDH(config!$G$4,J$1,$A530,$A530),_xll.BDH(config!$G$5,J$1,$A530,$A530))))</f>
        <v/>
      </c>
      <c r="K530" s="8" t="str">
        <f>IF($A530="","",IF(ISNUMBER(FIND("IMPVOL",K$1)),_xll.BDH(config!$G$4,K$1,WORKDAY($A530,-1,config_Holiday_Calendar_US),WORKDAY($A530,-1,config_Holiday_Calendar_US)),IF(ISNUMBER(_xll.BDH(config!$G$4,K$1,$A530,$A530)),_xll.BDH(config!$G$4,K$1,$A530,$A530),_xll.BDH(config!$G$5,K$1,$A530,$A530))))</f>
        <v/>
      </c>
      <c r="L530" s="8" t="str">
        <f>IF($A530="","",IF(ISNUMBER(FIND("IMPVOL",L$1)),_xll.BDH(config!$G$4,L$1,WORKDAY($A530,-1,config_Holiday_Calendar_US),WORKDAY($A530,-1,config_Holiday_Calendar_US)),IF(ISNUMBER(_xll.BDH(config!$G$4,L$1,$A530,$A530)),_xll.BDH(config!$G$4,L$1,$A530,$A530),_xll.BDH(config!$G$5,L$1,$A530,$A530))))</f>
        <v/>
      </c>
      <c r="M530" s="8" t="str">
        <f>IF($A530="","",IF(ISNUMBER(FIND("IMPVOL",M$1)),_xll.BDH(config!$G$4,M$1,WORKDAY($A530,-1,config_Holiday_Calendar_US),WORKDAY($A530,-1,config_Holiday_Calendar_US)),IF(ISNUMBER(_xll.BDH(config!$G$4,M$1,$A530,$A530)),_xll.BDH(config!$G$4,M$1,$A530,$A530),_xll.BDH(config!$G$5,M$1,$A530,$A530))))</f>
        <v/>
      </c>
      <c r="N530" s="8" t="str">
        <f>IF($A530="","",IF(ISNUMBER(FIND("IMPVOL",N$1)),_xll.BDH(config!$G$4,N$1,WORKDAY($A530,-1,config_Holiday_Calendar_US),WORKDAY($A530,-1,config_Holiday_Calendar_US)),IF(ISNUMBER(_xll.BDH(config!$G$4,N$1,$A530,$A530)),_xll.BDH(config!$G$4,N$1,$A530,$A530),_xll.BDH(config!$G$5,N$1,$A530,$A530))))</f>
        <v/>
      </c>
      <c r="O530" s="8" t="str">
        <f>IF($A530="","",IF(ISNUMBER(FIND("IMPVOL",O$1)),_xll.BDH(config!$G$4,O$1,WORKDAY($A530,-1,config_Holiday_Calendar_US),WORKDAY($A530,-1,config_Holiday_Calendar_US)),IF(ISNUMBER(_xll.BDH(config!$G$4,O$1,$A530,$A530)),_xll.BDH(config!$G$4,O$1,$A530,$A530),_xll.BDH(config!$G$5,O$1,$A530,$A530))))</f>
        <v/>
      </c>
      <c r="P530" s="8" t="str">
        <f>IF($A530="","",IF(ISNUMBER(FIND("IMPVOL",P$1)),_xll.BDH(config!$G$4,P$1,WORKDAY($A530,-1,config_Holiday_Calendar_US),WORKDAY($A530,-1,config_Holiday_Calendar_US)),IF(ISNUMBER(_xll.BDH(config!$G$4,P$1,$A530,$A530)),_xll.BDH(config!$G$4,P$1,$A530,$A530),_xll.BDH(config!$G$5,P$1,$A530,$A530))))</f>
        <v/>
      </c>
      <c r="Q530" s="8" t="str">
        <f>IF($A530="","",IF(ISNUMBER(FIND("IMPVOL",Q$1)),_xll.BDH(config!$G$4,Q$1,WORKDAY($A530,-1,config_Holiday_Calendar_US),WORKDAY($A530,-1,config_Holiday_Calendar_US)),IF(ISNUMBER(_xll.BDH(config!$G$4,Q$1,$A530,$A530)),_xll.BDH(config!$G$4,Q$1,$A530,$A530),_xll.BDH(config!$G$5,Q$1,$A530,$A530))))</f>
        <v/>
      </c>
      <c r="R530" s="8" t="str">
        <f>IF($A530="","",IF(ISNUMBER(FIND("IMPVOL",R$1)),_xll.BDH(config!$G$4,R$1,WORKDAY($A530,-1,config_Holiday_Calendar_US),WORKDAY($A530,-1,config_Holiday_Calendar_US)),IF(ISNUMBER(_xll.BDH(config!$G$4,R$1,$A530,$A530)),_xll.BDH(config!$G$4,R$1,$A530,$A530),_xll.BDH(config!$G$5,R$1,$A530,$A530))))</f>
        <v/>
      </c>
      <c r="S530" s="8" t="str">
        <f>IF($A530="","",IF(ISNUMBER(FIND("IMPVOL",S$1)),_xll.BDH(config!$G$4,S$1,WORKDAY($A530,-1,config_Holiday_Calendar_US),WORKDAY($A530,-1,config_Holiday_Calendar_US)),IF(ISNUMBER(_xll.BDH(config!$G$4,S$1,$A530,$A530)),_xll.BDH(config!$G$4,S$1,$A530,$A530),_xll.BDH(config!$G$5,S$1,$A530,$A530))))</f>
        <v/>
      </c>
      <c r="T530" s="8" t="str">
        <f>IF($A530="","",IF(ISNUMBER(FIND("IMPVOL",T$1)),_xll.BDH(config!$G$4,T$1,WORKDAY($A530,-1,config_Holiday_Calendar_US),WORKDAY($A530,-1,config_Holiday_Calendar_US)),IF(ISNUMBER(_xll.BDH(config!$G$4,T$1,$A530,$A530)),_xll.BDH(config!$G$4,T$1,$A530,$A530),_xll.BDH(config!$G$5,T$1,$A530,$A530))))</f>
        <v/>
      </c>
      <c r="U530" s="8" t="str">
        <f>IF($A530="","",IF(ISNUMBER(FIND("IMPVOL",U$1)),_xll.BDH(config!$G$4,U$1,WORKDAY($A530,-1,config_Holiday_Calendar_US),WORKDAY($A530,-1,config_Holiday_Calendar_US)),IF(ISNUMBER(_xll.BDH(config!$G$4,U$1,$A530,$A530)),_xll.BDH(config!$G$4,U$1,$A530,$A530),_xll.BDH(config!$G$5,U$1,$A530,$A530))))</f>
        <v/>
      </c>
      <c r="V530" s="8" t="str">
        <f>IF($A530="","",IF(ISNUMBER(FIND("IMPVOL",V$1)),_xll.BDH(config!$G$4,V$1,WORKDAY($A530,-1,config_Holiday_Calendar_US),WORKDAY($A530,-1,config_Holiday_Calendar_US)),IF(ISNUMBER(_xll.BDH(config!$G$4,V$1,$A530,$A530)),_xll.BDH(config!$G$4,V$1,$A530,$A530),_xll.BDH(config!$G$5,V$1,$A530,$A530))))</f>
        <v/>
      </c>
      <c r="W530" s="8" t="str">
        <f>IF($A530="","",IF(ISNUMBER(FIND("IMPVOL",W$1)),_xll.BDH(config!$G$4,W$1,WORKDAY($A530,-1,config_Holiday_Calendar_US),WORKDAY($A530,-1,config_Holiday_Calendar_US)),IF(ISNUMBER(_xll.BDH(config!$G$4,W$1,$A530,$A530)),_xll.BDH(config!$G$4,W$1,$A530,$A530),_xll.BDH(config!$G$5,W$1,$A530,$A530))))</f>
        <v/>
      </c>
    </row>
    <row r="531" spans="1:23" x14ac:dyDescent="0.2">
      <c r="A531" s="9" t="str">
        <f>IF(A530="","",IF(WORKDAY(A530,-1,config_Holiday_Calendar_US)&lt;config!$I$10,"",WORKDAY(A530,-1,config_Holiday_Calendar_US)))</f>
        <v/>
      </c>
      <c r="B531" s="8" t="str">
        <f t="shared" si="8"/>
        <v/>
      </c>
      <c r="C531" s="8" t="str">
        <f>IF(A531="","",_xll.BDH(config!$H$4,C$1,$A531,$A531))</f>
        <v/>
      </c>
      <c r="D531" s="8" t="str">
        <f>IF($A531="","",_xll.BDH(config!$H$4,D$1,$A531,$A531))</f>
        <v/>
      </c>
      <c r="E531" s="8" t="str">
        <f>IF($A531="","",IF(ISNUMBER(FIND("IMPVOL",E$1)),_xll.BDH(config!$G$4,E$1,WORKDAY($A531,-1,config_Holiday_Calendar_US),WORKDAY($A531,-1,config_Holiday_Calendar_US)),IF(ISNUMBER(_xll.BDH(config!$G$4,E$1,$A531,$A531)),_xll.BDH(config!$G$4,E$1,$A531,$A531),_xll.BDH(config!$G$5,E$1,$A531,$A531))))</f>
        <v/>
      </c>
      <c r="F531" s="8" t="str">
        <f>IF($A531="","",IF(ISNUMBER(FIND("IMPVOL",F$1)),_xll.BDH(config!$G$4,F$1,WORKDAY($A531,-1,config_Holiday_Calendar_US),WORKDAY($A531,-1,config_Holiday_Calendar_US)),IF(ISNUMBER(_xll.BDH(config!$G$4,F$1,$A531,$A531)),_xll.BDH(config!$G$4,F$1,$A531,$A531),_xll.BDH(config!$G$5,F$1,$A531,$A531))))</f>
        <v/>
      </c>
      <c r="G531" s="8" t="str">
        <f>IF($A531="","",IF(ISNUMBER(FIND("IMPVOL",G$1)),_xll.BDH(config!$G$4,G$1,WORKDAY($A531,-1,config_Holiday_Calendar_US),WORKDAY($A531,-1,config_Holiday_Calendar_US)),IF(ISNUMBER(_xll.BDH(config!$G$4,G$1,$A531,$A531)),_xll.BDH(config!$G$4,G$1,$A531,$A531),_xll.BDH(config!$G$5,G$1,$A531,$A531))))</f>
        <v/>
      </c>
      <c r="H531" s="8" t="str">
        <f>IF($A531="","",IF(ISNUMBER(FIND("IMPVOL",H$1)),_xll.BDH(config!$G$4,H$1,WORKDAY($A531,-1,config_Holiday_Calendar_US),WORKDAY($A531,-1,config_Holiday_Calendar_US)),IF(ISNUMBER(_xll.BDH(config!$G$4,H$1,$A531,$A531)),_xll.BDH(config!$G$4,H$1,$A531,$A531),_xll.BDH(config!$G$5,H$1,$A531,$A531))))</f>
        <v/>
      </c>
      <c r="I531" s="8" t="str">
        <f>IF($A531="","",IF(ISNUMBER(FIND("IMPVOL",I$1)),_xll.BDH(config!$G$4,I$1,WORKDAY($A531,-1,config_Holiday_Calendar_US),WORKDAY($A531,-1,config_Holiday_Calendar_US)),IF(ISNUMBER(_xll.BDH(config!$G$4,I$1,$A531,$A531)),_xll.BDH(config!$G$4,I$1,$A531,$A531),_xll.BDH(config!$G$5,I$1,$A531,$A531))))</f>
        <v/>
      </c>
      <c r="J531" s="8" t="str">
        <f>IF($A531="","",IF(ISNUMBER(FIND("IMPVOL",J$1)),_xll.BDH(config!$G$4,J$1,WORKDAY($A531,-1,config_Holiday_Calendar_US),WORKDAY($A531,-1,config_Holiday_Calendar_US)),IF(ISNUMBER(_xll.BDH(config!$G$4,J$1,$A531,$A531)),_xll.BDH(config!$G$4,J$1,$A531,$A531),_xll.BDH(config!$G$5,J$1,$A531,$A531))))</f>
        <v/>
      </c>
      <c r="K531" s="8" t="str">
        <f>IF($A531="","",IF(ISNUMBER(FIND("IMPVOL",K$1)),_xll.BDH(config!$G$4,K$1,WORKDAY($A531,-1,config_Holiday_Calendar_US),WORKDAY($A531,-1,config_Holiday_Calendar_US)),IF(ISNUMBER(_xll.BDH(config!$G$4,K$1,$A531,$A531)),_xll.BDH(config!$G$4,K$1,$A531,$A531),_xll.BDH(config!$G$5,K$1,$A531,$A531))))</f>
        <v/>
      </c>
      <c r="L531" s="8" t="str">
        <f>IF($A531="","",IF(ISNUMBER(FIND("IMPVOL",L$1)),_xll.BDH(config!$G$4,L$1,WORKDAY($A531,-1,config_Holiday_Calendar_US),WORKDAY($A531,-1,config_Holiday_Calendar_US)),IF(ISNUMBER(_xll.BDH(config!$G$4,L$1,$A531,$A531)),_xll.BDH(config!$G$4,L$1,$A531,$A531),_xll.BDH(config!$G$5,L$1,$A531,$A531))))</f>
        <v/>
      </c>
      <c r="M531" s="8" t="str">
        <f>IF($A531="","",IF(ISNUMBER(FIND("IMPVOL",M$1)),_xll.BDH(config!$G$4,M$1,WORKDAY($A531,-1,config_Holiday_Calendar_US),WORKDAY($A531,-1,config_Holiday_Calendar_US)),IF(ISNUMBER(_xll.BDH(config!$G$4,M$1,$A531,$A531)),_xll.BDH(config!$G$4,M$1,$A531,$A531),_xll.BDH(config!$G$5,M$1,$A531,$A531))))</f>
        <v/>
      </c>
      <c r="N531" s="8" t="str">
        <f>IF($A531="","",IF(ISNUMBER(FIND("IMPVOL",N$1)),_xll.BDH(config!$G$4,N$1,WORKDAY($A531,-1,config_Holiday_Calendar_US),WORKDAY($A531,-1,config_Holiday_Calendar_US)),IF(ISNUMBER(_xll.BDH(config!$G$4,N$1,$A531,$A531)),_xll.BDH(config!$G$4,N$1,$A531,$A531),_xll.BDH(config!$G$5,N$1,$A531,$A531))))</f>
        <v/>
      </c>
      <c r="O531" s="8" t="str">
        <f>IF($A531="","",IF(ISNUMBER(FIND("IMPVOL",O$1)),_xll.BDH(config!$G$4,O$1,WORKDAY($A531,-1,config_Holiday_Calendar_US),WORKDAY($A531,-1,config_Holiday_Calendar_US)),IF(ISNUMBER(_xll.BDH(config!$G$4,O$1,$A531,$A531)),_xll.BDH(config!$G$4,O$1,$A531,$A531),_xll.BDH(config!$G$5,O$1,$A531,$A531))))</f>
        <v/>
      </c>
      <c r="P531" s="8" t="str">
        <f>IF($A531="","",IF(ISNUMBER(FIND("IMPVOL",P$1)),_xll.BDH(config!$G$4,P$1,WORKDAY($A531,-1,config_Holiday_Calendar_US),WORKDAY($A531,-1,config_Holiday_Calendar_US)),IF(ISNUMBER(_xll.BDH(config!$G$4,P$1,$A531,$A531)),_xll.BDH(config!$G$4,P$1,$A531,$A531),_xll.BDH(config!$G$5,P$1,$A531,$A531))))</f>
        <v/>
      </c>
      <c r="Q531" s="8" t="str">
        <f>IF($A531="","",IF(ISNUMBER(FIND("IMPVOL",Q$1)),_xll.BDH(config!$G$4,Q$1,WORKDAY($A531,-1,config_Holiday_Calendar_US),WORKDAY($A531,-1,config_Holiday_Calendar_US)),IF(ISNUMBER(_xll.BDH(config!$G$4,Q$1,$A531,$A531)),_xll.BDH(config!$G$4,Q$1,$A531,$A531),_xll.BDH(config!$G$5,Q$1,$A531,$A531))))</f>
        <v/>
      </c>
      <c r="R531" s="8" t="str">
        <f>IF($A531="","",IF(ISNUMBER(FIND("IMPVOL",R$1)),_xll.BDH(config!$G$4,R$1,WORKDAY($A531,-1,config_Holiday_Calendar_US),WORKDAY($A531,-1,config_Holiday_Calendar_US)),IF(ISNUMBER(_xll.BDH(config!$G$4,R$1,$A531,$A531)),_xll.BDH(config!$G$4,R$1,$A531,$A531),_xll.BDH(config!$G$5,R$1,$A531,$A531))))</f>
        <v/>
      </c>
      <c r="S531" s="8" t="str">
        <f>IF($A531="","",IF(ISNUMBER(FIND("IMPVOL",S$1)),_xll.BDH(config!$G$4,S$1,WORKDAY($A531,-1,config_Holiday_Calendar_US),WORKDAY($A531,-1,config_Holiday_Calendar_US)),IF(ISNUMBER(_xll.BDH(config!$G$4,S$1,$A531,$A531)),_xll.BDH(config!$G$4,S$1,$A531,$A531),_xll.BDH(config!$G$5,S$1,$A531,$A531))))</f>
        <v/>
      </c>
      <c r="T531" s="8" t="str">
        <f>IF($A531="","",IF(ISNUMBER(FIND("IMPVOL",T$1)),_xll.BDH(config!$G$4,T$1,WORKDAY($A531,-1,config_Holiday_Calendar_US),WORKDAY($A531,-1,config_Holiday_Calendar_US)),IF(ISNUMBER(_xll.BDH(config!$G$4,T$1,$A531,$A531)),_xll.BDH(config!$G$4,T$1,$A531,$A531),_xll.BDH(config!$G$5,T$1,$A531,$A531))))</f>
        <v/>
      </c>
      <c r="U531" s="8" t="str">
        <f>IF($A531="","",IF(ISNUMBER(FIND("IMPVOL",U$1)),_xll.BDH(config!$G$4,U$1,WORKDAY($A531,-1,config_Holiday_Calendar_US),WORKDAY($A531,-1,config_Holiday_Calendar_US)),IF(ISNUMBER(_xll.BDH(config!$G$4,U$1,$A531,$A531)),_xll.BDH(config!$G$4,U$1,$A531,$A531),_xll.BDH(config!$G$5,U$1,$A531,$A531))))</f>
        <v/>
      </c>
      <c r="V531" s="8" t="str">
        <f>IF($A531="","",IF(ISNUMBER(FIND("IMPVOL",V$1)),_xll.BDH(config!$G$4,V$1,WORKDAY($A531,-1,config_Holiday_Calendar_US),WORKDAY($A531,-1,config_Holiday_Calendar_US)),IF(ISNUMBER(_xll.BDH(config!$G$4,V$1,$A531,$A531)),_xll.BDH(config!$G$4,V$1,$A531,$A531),_xll.BDH(config!$G$5,V$1,$A531,$A531))))</f>
        <v/>
      </c>
      <c r="W531" s="8" t="str">
        <f>IF($A531="","",IF(ISNUMBER(FIND("IMPVOL",W$1)),_xll.BDH(config!$G$4,W$1,WORKDAY($A531,-1,config_Holiday_Calendar_US),WORKDAY($A531,-1,config_Holiday_Calendar_US)),IF(ISNUMBER(_xll.BDH(config!$G$4,W$1,$A531,$A531)),_xll.BDH(config!$G$4,W$1,$A531,$A531),_xll.BDH(config!$G$5,W$1,$A531,$A531))))</f>
        <v/>
      </c>
    </row>
    <row r="532" spans="1:23" x14ac:dyDescent="0.2">
      <c r="A532" s="9" t="str">
        <f>IF(A531="","",IF(WORKDAY(A531,-1,config_Holiday_Calendar_US)&lt;config!$I$10,"",WORKDAY(A531,-1,config_Holiday_Calendar_US)))</f>
        <v/>
      </c>
      <c r="B532" s="8" t="str">
        <f t="shared" si="8"/>
        <v/>
      </c>
      <c r="C532" s="8" t="str">
        <f>IF(A532="","",_xll.BDH(config!$H$4,C$1,$A532,$A532))</f>
        <v/>
      </c>
      <c r="D532" s="8" t="str">
        <f>IF($A532="","",_xll.BDH(config!$H$4,D$1,$A532,$A532))</f>
        <v/>
      </c>
      <c r="E532" s="8" t="str">
        <f>IF($A532="","",IF(ISNUMBER(FIND("IMPVOL",E$1)),_xll.BDH(config!$G$4,E$1,WORKDAY($A532,-1,config_Holiday_Calendar_US),WORKDAY($A532,-1,config_Holiday_Calendar_US)),IF(ISNUMBER(_xll.BDH(config!$G$4,E$1,$A532,$A532)),_xll.BDH(config!$G$4,E$1,$A532,$A532),_xll.BDH(config!$G$5,E$1,$A532,$A532))))</f>
        <v/>
      </c>
      <c r="F532" s="8" t="str">
        <f>IF($A532="","",IF(ISNUMBER(FIND("IMPVOL",F$1)),_xll.BDH(config!$G$4,F$1,WORKDAY($A532,-1,config_Holiday_Calendar_US),WORKDAY($A532,-1,config_Holiday_Calendar_US)),IF(ISNUMBER(_xll.BDH(config!$G$4,F$1,$A532,$A532)),_xll.BDH(config!$G$4,F$1,$A532,$A532),_xll.BDH(config!$G$5,F$1,$A532,$A532))))</f>
        <v/>
      </c>
      <c r="G532" s="8" t="str">
        <f>IF($A532="","",IF(ISNUMBER(FIND("IMPVOL",G$1)),_xll.BDH(config!$G$4,G$1,WORKDAY($A532,-1,config_Holiday_Calendar_US),WORKDAY($A532,-1,config_Holiday_Calendar_US)),IF(ISNUMBER(_xll.BDH(config!$G$4,G$1,$A532,$A532)),_xll.BDH(config!$G$4,G$1,$A532,$A532),_xll.BDH(config!$G$5,G$1,$A532,$A532))))</f>
        <v/>
      </c>
      <c r="H532" s="8" t="str">
        <f>IF($A532="","",IF(ISNUMBER(FIND("IMPVOL",H$1)),_xll.BDH(config!$G$4,H$1,WORKDAY($A532,-1,config_Holiday_Calendar_US),WORKDAY($A532,-1,config_Holiday_Calendar_US)),IF(ISNUMBER(_xll.BDH(config!$G$4,H$1,$A532,$A532)),_xll.BDH(config!$G$4,H$1,$A532,$A532),_xll.BDH(config!$G$5,H$1,$A532,$A532))))</f>
        <v/>
      </c>
      <c r="I532" s="8" t="str">
        <f>IF($A532="","",IF(ISNUMBER(FIND("IMPVOL",I$1)),_xll.BDH(config!$G$4,I$1,WORKDAY($A532,-1,config_Holiday_Calendar_US),WORKDAY($A532,-1,config_Holiday_Calendar_US)),IF(ISNUMBER(_xll.BDH(config!$G$4,I$1,$A532,$A532)),_xll.BDH(config!$G$4,I$1,$A532,$A532),_xll.BDH(config!$G$5,I$1,$A532,$A532))))</f>
        <v/>
      </c>
      <c r="J532" s="8" t="str">
        <f>IF($A532="","",IF(ISNUMBER(FIND("IMPVOL",J$1)),_xll.BDH(config!$G$4,J$1,WORKDAY($A532,-1,config_Holiday_Calendar_US),WORKDAY($A532,-1,config_Holiday_Calendar_US)),IF(ISNUMBER(_xll.BDH(config!$G$4,J$1,$A532,$A532)),_xll.BDH(config!$G$4,J$1,$A532,$A532),_xll.BDH(config!$G$5,J$1,$A532,$A532))))</f>
        <v/>
      </c>
      <c r="K532" s="8" t="str">
        <f>IF($A532="","",IF(ISNUMBER(FIND("IMPVOL",K$1)),_xll.BDH(config!$G$4,K$1,WORKDAY($A532,-1,config_Holiday_Calendar_US),WORKDAY($A532,-1,config_Holiday_Calendar_US)),IF(ISNUMBER(_xll.BDH(config!$G$4,K$1,$A532,$A532)),_xll.BDH(config!$G$4,K$1,$A532,$A532),_xll.BDH(config!$G$5,K$1,$A532,$A532))))</f>
        <v/>
      </c>
      <c r="L532" s="8" t="str">
        <f>IF($A532="","",IF(ISNUMBER(FIND("IMPVOL",L$1)),_xll.BDH(config!$G$4,L$1,WORKDAY($A532,-1,config_Holiday_Calendar_US),WORKDAY($A532,-1,config_Holiday_Calendar_US)),IF(ISNUMBER(_xll.BDH(config!$G$4,L$1,$A532,$A532)),_xll.BDH(config!$G$4,L$1,$A532,$A532),_xll.BDH(config!$G$5,L$1,$A532,$A532))))</f>
        <v/>
      </c>
      <c r="M532" s="8" t="str">
        <f>IF($A532="","",IF(ISNUMBER(FIND("IMPVOL",M$1)),_xll.BDH(config!$G$4,M$1,WORKDAY($A532,-1,config_Holiday_Calendar_US),WORKDAY($A532,-1,config_Holiday_Calendar_US)),IF(ISNUMBER(_xll.BDH(config!$G$4,M$1,$A532,$A532)),_xll.BDH(config!$G$4,M$1,$A532,$A532),_xll.BDH(config!$G$5,M$1,$A532,$A532))))</f>
        <v/>
      </c>
      <c r="N532" s="8" t="str">
        <f>IF($A532="","",IF(ISNUMBER(FIND("IMPVOL",N$1)),_xll.BDH(config!$G$4,N$1,WORKDAY($A532,-1,config_Holiday_Calendar_US),WORKDAY($A532,-1,config_Holiday_Calendar_US)),IF(ISNUMBER(_xll.BDH(config!$G$4,N$1,$A532,$A532)),_xll.BDH(config!$G$4,N$1,$A532,$A532),_xll.BDH(config!$G$5,N$1,$A532,$A532))))</f>
        <v/>
      </c>
      <c r="O532" s="8" t="str">
        <f>IF($A532="","",IF(ISNUMBER(FIND("IMPVOL",O$1)),_xll.BDH(config!$G$4,O$1,WORKDAY($A532,-1,config_Holiday_Calendar_US),WORKDAY($A532,-1,config_Holiday_Calendar_US)),IF(ISNUMBER(_xll.BDH(config!$G$4,O$1,$A532,$A532)),_xll.BDH(config!$G$4,O$1,$A532,$A532),_xll.BDH(config!$G$5,O$1,$A532,$A532))))</f>
        <v/>
      </c>
      <c r="P532" s="8" t="str">
        <f>IF($A532="","",IF(ISNUMBER(FIND("IMPVOL",P$1)),_xll.BDH(config!$G$4,P$1,WORKDAY($A532,-1,config_Holiday_Calendar_US),WORKDAY($A532,-1,config_Holiday_Calendar_US)),IF(ISNUMBER(_xll.BDH(config!$G$4,P$1,$A532,$A532)),_xll.BDH(config!$G$4,P$1,$A532,$A532),_xll.BDH(config!$G$5,P$1,$A532,$A532))))</f>
        <v/>
      </c>
      <c r="Q532" s="8" t="str">
        <f>IF($A532="","",IF(ISNUMBER(FIND("IMPVOL",Q$1)),_xll.BDH(config!$G$4,Q$1,WORKDAY($A532,-1,config_Holiday_Calendar_US),WORKDAY($A532,-1,config_Holiday_Calendar_US)),IF(ISNUMBER(_xll.BDH(config!$G$4,Q$1,$A532,$A532)),_xll.BDH(config!$G$4,Q$1,$A532,$A532),_xll.BDH(config!$G$5,Q$1,$A532,$A532))))</f>
        <v/>
      </c>
      <c r="R532" s="8" t="str">
        <f>IF($A532="","",IF(ISNUMBER(FIND("IMPVOL",R$1)),_xll.BDH(config!$G$4,R$1,WORKDAY($A532,-1,config_Holiday_Calendar_US),WORKDAY($A532,-1,config_Holiday_Calendar_US)),IF(ISNUMBER(_xll.BDH(config!$G$4,R$1,$A532,$A532)),_xll.BDH(config!$G$4,R$1,$A532,$A532),_xll.BDH(config!$G$5,R$1,$A532,$A532))))</f>
        <v/>
      </c>
      <c r="S532" s="8" t="str">
        <f>IF($A532="","",IF(ISNUMBER(FIND("IMPVOL",S$1)),_xll.BDH(config!$G$4,S$1,WORKDAY($A532,-1,config_Holiday_Calendar_US),WORKDAY($A532,-1,config_Holiday_Calendar_US)),IF(ISNUMBER(_xll.BDH(config!$G$4,S$1,$A532,$A532)),_xll.BDH(config!$G$4,S$1,$A532,$A532),_xll.BDH(config!$G$5,S$1,$A532,$A532))))</f>
        <v/>
      </c>
      <c r="T532" s="8" t="str">
        <f>IF($A532="","",IF(ISNUMBER(FIND("IMPVOL",T$1)),_xll.BDH(config!$G$4,T$1,WORKDAY($A532,-1,config_Holiday_Calendar_US),WORKDAY($A532,-1,config_Holiday_Calendar_US)),IF(ISNUMBER(_xll.BDH(config!$G$4,T$1,$A532,$A532)),_xll.BDH(config!$G$4,T$1,$A532,$A532),_xll.BDH(config!$G$5,T$1,$A532,$A532))))</f>
        <v/>
      </c>
      <c r="U532" s="8" t="str">
        <f>IF($A532="","",IF(ISNUMBER(FIND("IMPVOL",U$1)),_xll.BDH(config!$G$4,U$1,WORKDAY($A532,-1,config_Holiday_Calendar_US),WORKDAY($A532,-1,config_Holiday_Calendar_US)),IF(ISNUMBER(_xll.BDH(config!$G$4,U$1,$A532,$A532)),_xll.BDH(config!$G$4,U$1,$A532,$A532),_xll.BDH(config!$G$5,U$1,$A532,$A532))))</f>
        <v/>
      </c>
      <c r="V532" s="8" t="str">
        <f>IF($A532="","",IF(ISNUMBER(FIND("IMPVOL",V$1)),_xll.BDH(config!$G$4,V$1,WORKDAY($A532,-1,config_Holiday_Calendar_US),WORKDAY($A532,-1,config_Holiday_Calendar_US)),IF(ISNUMBER(_xll.BDH(config!$G$4,V$1,$A532,$A532)),_xll.BDH(config!$G$4,V$1,$A532,$A532),_xll.BDH(config!$G$5,V$1,$A532,$A532))))</f>
        <v/>
      </c>
      <c r="W532" s="8" t="str">
        <f>IF($A532="","",IF(ISNUMBER(FIND("IMPVOL",W$1)),_xll.BDH(config!$G$4,W$1,WORKDAY($A532,-1,config_Holiday_Calendar_US),WORKDAY($A532,-1,config_Holiday_Calendar_US)),IF(ISNUMBER(_xll.BDH(config!$G$4,W$1,$A532,$A532)),_xll.BDH(config!$G$4,W$1,$A532,$A532),_xll.BDH(config!$G$5,W$1,$A532,$A532))))</f>
        <v/>
      </c>
    </row>
    <row r="533" spans="1:23" x14ac:dyDescent="0.2">
      <c r="A533" s="9" t="str">
        <f>IF(A532="","",IF(WORKDAY(A532,-1,config_Holiday_Calendar_US)&lt;config!$I$10,"",WORKDAY(A532,-1,config_Holiday_Calendar_US)))</f>
        <v/>
      </c>
      <c r="B533" s="8" t="str">
        <f t="shared" si="8"/>
        <v/>
      </c>
      <c r="C533" s="8" t="str">
        <f>IF(A533="","",_xll.BDH(config!$H$4,C$1,$A533,$A533))</f>
        <v/>
      </c>
      <c r="D533" s="8" t="str">
        <f>IF($A533="","",_xll.BDH(config!$H$4,D$1,$A533,$A533))</f>
        <v/>
      </c>
      <c r="E533" s="8" t="str">
        <f>IF($A533="","",IF(ISNUMBER(FIND("IMPVOL",E$1)),_xll.BDH(config!$G$4,E$1,WORKDAY($A533,-1,config_Holiday_Calendar_US),WORKDAY($A533,-1,config_Holiday_Calendar_US)),IF(ISNUMBER(_xll.BDH(config!$G$4,E$1,$A533,$A533)),_xll.BDH(config!$G$4,E$1,$A533,$A533),_xll.BDH(config!$G$5,E$1,$A533,$A533))))</f>
        <v/>
      </c>
      <c r="F533" s="8" t="str">
        <f>IF($A533="","",IF(ISNUMBER(FIND("IMPVOL",F$1)),_xll.BDH(config!$G$4,F$1,WORKDAY($A533,-1,config_Holiday_Calendar_US),WORKDAY($A533,-1,config_Holiday_Calendar_US)),IF(ISNUMBER(_xll.BDH(config!$G$4,F$1,$A533,$A533)),_xll.BDH(config!$G$4,F$1,$A533,$A533),_xll.BDH(config!$G$5,F$1,$A533,$A533))))</f>
        <v/>
      </c>
      <c r="G533" s="8" t="str">
        <f>IF($A533="","",IF(ISNUMBER(FIND("IMPVOL",G$1)),_xll.BDH(config!$G$4,G$1,WORKDAY($A533,-1,config_Holiday_Calendar_US),WORKDAY($A533,-1,config_Holiday_Calendar_US)),IF(ISNUMBER(_xll.BDH(config!$G$4,G$1,$A533,$A533)),_xll.BDH(config!$G$4,G$1,$A533,$A533),_xll.BDH(config!$G$5,G$1,$A533,$A533))))</f>
        <v/>
      </c>
      <c r="H533" s="8" t="str">
        <f>IF($A533="","",IF(ISNUMBER(FIND("IMPVOL",H$1)),_xll.BDH(config!$G$4,H$1,WORKDAY($A533,-1,config_Holiday_Calendar_US),WORKDAY($A533,-1,config_Holiday_Calendar_US)),IF(ISNUMBER(_xll.BDH(config!$G$4,H$1,$A533,$A533)),_xll.BDH(config!$G$4,H$1,$A533,$A533),_xll.BDH(config!$G$5,H$1,$A533,$A533))))</f>
        <v/>
      </c>
      <c r="I533" s="8" t="str">
        <f>IF($A533="","",IF(ISNUMBER(FIND("IMPVOL",I$1)),_xll.BDH(config!$G$4,I$1,WORKDAY($A533,-1,config_Holiday_Calendar_US),WORKDAY($A533,-1,config_Holiday_Calendar_US)),IF(ISNUMBER(_xll.BDH(config!$G$4,I$1,$A533,$A533)),_xll.BDH(config!$G$4,I$1,$A533,$A533),_xll.BDH(config!$G$5,I$1,$A533,$A533))))</f>
        <v/>
      </c>
      <c r="J533" s="8" t="str">
        <f>IF($A533="","",IF(ISNUMBER(FIND("IMPVOL",J$1)),_xll.BDH(config!$G$4,J$1,WORKDAY($A533,-1,config_Holiday_Calendar_US),WORKDAY($A533,-1,config_Holiday_Calendar_US)),IF(ISNUMBER(_xll.BDH(config!$G$4,J$1,$A533,$A533)),_xll.BDH(config!$G$4,J$1,$A533,$A533),_xll.BDH(config!$G$5,J$1,$A533,$A533))))</f>
        <v/>
      </c>
      <c r="K533" s="8" t="str">
        <f>IF($A533="","",IF(ISNUMBER(FIND("IMPVOL",K$1)),_xll.BDH(config!$G$4,K$1,WORKDAY($A533,-1,config_Holiday_Calendar_US),WORKDAY($A533,-1,config_Holiday_Calendar_US)),IF(ISNUMBER(_xll.BDH(config!$G$4,K$1,$A533,$A533)),_xll.BDH(config!$G$4,K$1,$A533,$A533),_xll.BDH(config!$G$5,K$1,$A533,$A533))))</f>
        <v/>
      </c>
      <c r="L533" s="8" t="str">
        <f>IF($A533="","",IF(ISNUMBER(FIND("IMPVOL",L$1)),_xll.BDH(config!$G$4,L$1,WORKDAY($A533,-1,config_Holiday_Calendar_US),WORKDAY($A533,-1,config_Holiday_Calendar_US)),IF(ISNUMBER(_xll.BDH(config!$G$4,L$1,$A533,$A533)),_xll.BDH(config!$G$4,L$1,$A533,$A533),_xll.BDH(config!$G$5,L$1,$A533,$A533))))</f>
        <v/>
      </c>
      <c r="M533" s="8" t="str">
        <f>IF($A533="","",IF(ISNUMBER(FIND("IMPVOL",M$1)),_xll.BDH(config!$G$4,M$1,WORKDAY($A533,-1,config_Holiday_Calendar_US),WORKDAY($A533,-1,config_Holiday_Calendar_US)),IF(ISNUMBER(_xll.BDH(config!$G$4,M$1,$A533,$A533)),_xll.BDH(config!$G$4,M$1,$A533,$A533),_xll.BDH(config!$G$5,M$1,$A533,$A533))))</f>
        <v/>
      </c>
      <c r="N533" s="8" t="str">
        <f>IF($A533="","",IF(ISNUMBER(FIND("IMPVOL",N$1)),_xll.BDH(config!$G$4,N$1,WORKDAY($A533,-1,config_Holiday_Calendar_US),WORKDAY($A533,-1,config_Holiday_Calendar_US)),IF(ISNUMBER(_xll.BDH(config!$G$4,N$1,$A533,$A533)),_xll.BDH(config!$G$4,N$1,$A533,$A533),_xll.BDH(config!$G$5,N$1,$A533,$A533))))</f>
        <v/>
      </c>
      <c r="O533" s="8" t="str">
        <f>IF($A533="","",IF(ISNUMBER(FIND("IMPVOL",O$1)),_xll.BDH(config!$G$4,O$1,WORKDAY($A533,-1,config_Holiday_Calendar_US),WORKDAY($A533,-1,config_Holiday_Calendar_US)),IF(ISNUMBER(_xll.BDH(config!$G$4,O$1,$A533,$A533)),_xll.BDH(config!$G$4,O$1,$A533,$A533),_xll.BDH(config!$G$5,O$1,$A533,$A533))))</f>
        <v/>
      </c>
      <c r="P533" s="8" t="str">
        <f>IF($A533="","",IF(ISNUMBER(FIND("IMPVOL",P$1)),_xll.BDH(config!$G$4,P$1,WORKDAY($A533,-1,config_Holiday_Calendar_US),WORKDAY($A533,-1,config_Holiday_Calendar_US)),IF(ISNUMBER(_xll.BDH(config!$G$4,P$1,$A533,$A533)),_xll.BDH(config!$G$4,P$1,$A533,$A533),_xll.BDH(config!$G$5,P$1,$A533,$A533))))</f>
        <v/>
      </c>
      <c r="Q533" s="8" t="str">
        <f>IF($A533="","",IF(ISNUMBER(FIND("IMPVOL",Q$1)),_xll.BDH(config!$G$4,Q$1,WORKDAY($A533,-1,config_Holiday_Calendar_US),WORKDAY($A533,-1,config_Holiday_Calendar_US)),IF(ISNUMBER(_xll.BDH(config!$G$4,Q$1,$A533,$A533)),_xll.BDH(config!$G$4,Q$1,$A533,$A533),_xll.BDH(config!$G$5,Q$1,$A533,$A533))))</f>
        <v/>
      </c>
      <c r="R533" s="8" t="str">
        <f>IF($A533="","",IF(ISNUMBER(FIND("IMPVOL",R$1)),_xll.BDH(config!$G$4,R$1,WORKDAY($A533,-1,config_Holiday_Calendar_US),WORKDAY($A533,-1,config_Holiday_Calendar_US)),IF(ISNUMBER(_xll.BDH(config!$G$4,R$1,$A533,$A533)),_xll.BDH(config!$G$4,R$1,$A533,$A533),_xll.BDH(config!$G$5,R$1,$A533,$A533))))</f>
        <v/>
      </c>
      <c r="S533" s="8" t="str">
        <f>IF($A533="","",IF(ISNUMBER(FIND("IMPVOL",S$1)),_xll.BDH(config!$G$4,S$1,WORKDAY($A533,-1,config_Holiday_Calendar_US),WORKDAY($A533,-1,config_Holiday_Calendar_US)),IF(ISNUMBER(_xll.BDH(config!$G$4,S$1,$A533,$A533)),_xll.BDH(config!$G$4,S$1,$A533,$A533),_xll.BDH(config!$G$5,S$1,$A533,$A533))))</f>
        <v/>
      </c>
      <c r="T533" s="8" t="str">
        <f>IF($A533="","",IF(ISNUMBER(FIND("IMPVOL",T$1)),_xll.BDH(config!$G$4,T$1,WORKDAY($A533,-1,config_Holiday_Calendar_US),WORKDAY($A533,-1,config_Holiday_Calendar_US)),IF(ISNUMBER(_xll.BDH(config!$G$4,T$1,$A533,$A533)),_xll.BDH(config!$G$4,T$1,$A533,$A533),_xll.BDH(config!$G$5,T$1,$A533,$A533))))</f>
        <v/>
      </c>
      <c r="U533" s="8" t="str">
        <f>IF($A533="","",IF(ISNUMBER(FIND("IMPVOL",U$1)),_xll.BDH(config!$G$4,U$1,WORKDAY($A533,-1,config_Holiday_Calendar_US),WORKDAY($A533,-1,config_Holiday_Calendar_US)),IF(ISNUMBER(_xll.BDH(config!$G$4,U$1,$A533,$A533)),_xll.BDH(config!$G$4,U$1,$A533,$A533),_xll.BDH(config!$G$5,U$1,$A533,$A533))))</f>
        <v/>
      </c>
      <c r="V533" s="8" t="str">
        <f>IF($A533="","",IF(ISNUMBER(FIND("IMPVOL",V$1)),_xll.BDH(config!$G$4,V$1,WORKDAY($A533,-1,config_Holiday_Calendar_US),WORKDAY($A533,-1,config_Holiday_Calendar_US)),IF(ISNUMBER(_xll.BDH(config!$G$4,V$1,$A533,$A533)),_xll.BDH(config!$G$4,V$1,$A533,$A533),_xll.BDH(config!$G$5,V$1,$A533,$A533))))</f>
        <v/>
      </c>
      <c r="W533" s="8" t="str">
        <f>IF($A533="","",IF(ISNUMBER(FIND("IMPVOL",W$1)),_xll.BDH(config!$G$4,W$1,WORKDAY($A533,-1,config_Holiday_Calendar_US),WORKDAY($A533,-1,config_Holiday_Calendar_US)),IF(ISNUMBER(_xll.BDH(config!$G$4,W$1,$A533,$A533)),_xll.BDH(config!$G$4,W$1,$A533,$A533),_xll.BDH(config!$G$5,W$1,$A533,$A533))))</f>
        <v/>
      </c>
    </row>
    <row r="534" spans="1:23" x14ac:dyDescent="0.2">
      <c r="A534" s="9" t="str">
        <f>IF(A533="","",IF(WORKDAY(A533,-1,config_Holiday_Calendar_US)&lt;config!$I$10,"",WORKDAY(A533,-1,config_Holiday_Calendar_US)))</f>
        <v/>
      </c>
      <c r="B534" s="8" t="str">
        <f t="shared" si="8"/>
        <v/>
      </c>
      <c r="C534" s="8" t="str">
        <f>IF(A534="","",_xll.BDH(config!$H$4,C$1,$A534,$A534))</f>
        <v/>
      </c>
      <c r="D534" s="8" t="str">
        <f>IF($A534="","",_xll.BDH(config!$H$4,D$1,$A534,$A534))</f>
        <v/>
      </c>
      <c r="E534" s="8" t="str">
        <f>IF($A534="","",IF(ISNUMBER(FIND("IMPVOL",E$1)),_xll.BDH(config!$G$4,E$1,WORKDAY($A534,-1,config_Holiday_Calendar_US),WORKDAY($A534,-1,config_Holiday_Calendar_US)),IF(ISNUMBER(_xll.BDH(config!$G$4,E$1,$A534,$A534)),_xll.BDH(config!$G$4,E$1,$A534,$A534),_xll.BDH(config!$G$5,E$1,$A534,$A534))))</f>
        <v/>
      </c>
      <c r="F534" s="8" t="str">
        <f>IF($A534="","",IF(ISNUMBER(FIND("IMPVOL",F$1)),_xll.BDH(config!$G$4,F$1,WORKDAY($A534,-1,config_Holiday_Calendar_US),WORKDAY($A534,-1,config_Holiday_Calendar_US)),IF(ISNUMBER(_xll.BDH(config!$G$4,F$1,$A534,$A534)),_xll.BDH(config!$G$4,F$1,$A534,$A534),_xll.BDH(config!$G$5,F$1,$A534,$A534))))</f>
        <v/>
      </c>
      <c r="G534" s="8" t="str">
        <f>IF($A534="","",IF(ISNUMBER(FIND("IMPVOL",G$1)),_xll.BDH(config!$G$4,G$1,WORKDAY($A534,-1,config_Holiday_Calendar_US),WORKDAY($A534,-1,config_Holiday_Calendar_US)),IF(ISNUMBER(_xll.BDH(config!$G$4,G$1,$A534,$A534)),_xll.BDH(config!$G$4,G$1,$A534,$A534),_xll.BDH(config!$G$5,G$1,$A534,$A534))))</f>
        <v/>
      </c>
      <c r="H534" s="8" t="str">
        <f>IF($A534="","",IF(ISNUMBER(FIND("IMPVOL",H$1)),_xll.BDH(config!$G$4,H$1,WORKDAY($A534,-1,config_Holiday_Calendar_US),WORKDAY($A534,-1,config_Holiday_Calendar_US)),IF(ISNUMBER(_xll.BDH(config!$G$4,H$1,$A534,$A534)),_xll.BDH(config!$G$4,H$1,$A534,$A534),_xll.BDH(config!$G$5,H$1,$A534,$A534))))</f>
        <v/>
      </c>
      <c r="I534" s="8" t="str">
        <f>IF($A534="","",IF(ISNUMBER(FIND("IMPVOL",I$1)),_xll.BDH(config!$G$4,I$1,WORKDAY($A534,-1,config_Holiday_Calendar_US),WORKDAY($A534,-1,config_Holiday_Calendar_US)),IF(ISNUMBER(_xll.BDH(config!$G$4,I$1,$A534,$A534)),_xll.BDH(config!$G$4,I$1,$A534,$A534),_xll.BDH(config!$G$5,I$1,$A534,$A534))))</f>
        <v/>
      </c>
      <c r="J534" s="8" t="str">
        <f>IF($A534="","",IF(ISNUMBER(FIND("IMPVOL",J$1)),_xll.BDH(config!$G$4,J$1,WORKDAY($A534,-1,config_Holiday_Calendar_US),WORKDAY($A534,-1,config_Holiday_Calendar_US)),IF(ISNUMBER(_xll.BDH(config!$G$4,J$1,$A534,$A534)),_xll.BDH(config!$G$4,J$1,$A534,$A534),_xll.BDH(config!$G$5,J$1,$A534,$A534))))</f>
        <v/>
      </c>
      <c r="K534" s="8" t="str">
        <f>IF($A534="","",IF(ISNUMBER(FIND("IMPVOL",K$1)),_xll.BDH(config!$G$4,K$1,WORKDAY($A534,-1,config_Holiday_Calendar_US),WORKDAY($A534,-1,config_Holiday_Calendar_US)),IF(ISNUMBER(_xll.BDH(config!$G$4,K$1,$A534,$A534)),_xll.BDH(config!$G$4,K$1,$A534,$A534),_xll.BDH(config!$G$5,K$1,$A534,$A534))))</f>
        <v/>
      </c>
      <c r="L534" s="8" t="str">
        <f>IF($A534="","",IF(ISNUMBER(FIND("IMPVOL",L$1)),_xll.BDH(config!$G$4,L$1,WORKDAY($A534,-1,config_Holiday_Calendar_US),WORKDAY($A534,-1,config_Holiday_Calendar_US)),IF(ISNUMBER(_xll.BDH(config!$G$4,L$1,$A534,$A534)),_xll.BDH(config!$G$4,L$1,$A534,$A534),_xll.BDH(config!$G$5,L$1,$A534,$A534))))</f>
        <v/>
      </c>
      <c r="M534" s="8" t="str">
        <f>IF($A534="","",IF(ISNUMBER(FIND("IMPVOL",M$1)),_xll.BDH(config!$G$4,M$1,WORKDAY($A534,-1,config_Holiday_Calendar_US),WORKDAY($A534,-1,config_Holiday_Calendar_US)),IF(ISNUMBER(_xll.BDH(config!$G$4,M$1,$A534,$A534)),_xll.BDH(config!$G$4,M$1,$A534,$A534),_xll.BDH(config!$G$5,M$1,$A534,$A534))))</f>
        <v/>
      </c>
      <c r="N534" s="8" t="str">
        <f>IF($A534="","",IF(ISNUMBER(FIND("IMPVOL",N$1)),_xll.BDH(config!$G$4,N$1,WORKDAY($A534,-1,config_Holiday_Calendar_US),WORKDAY($A534,-1,config_Holiday_Calendar_US)),IF(ISNUMBER(_xll.BDH(config!$G$4,N$1,$A534,$A534)),_xll.BDH(config!$G$4,N$1,$A534,$A534),_xll.BDH(config!$G$5,N$1,$A534,$A534))))</f>
        <v/>
      </c>
      <c r="O534" s="8" t="str">
        <f>IF($A534="","",IF(ISNUMBER(FIND("IMPVOL",O$1)),_xll.BDH(config!$G$4,O$1,WORKDAY($A534,-1,config_Holiday_Calendar_US),WORKDAY($A534,-1,config_Holiday_Calendar_US)),IF(ISNUMBER(_xll.BDH(config!$G$4,O$1,$A534,$A534)),_xll.BDH(config!$G$4,O$1,$A534,$A534),_xll.BDH(config!$G$5,O$1,$A534,$A534))))</f>
        <v/>
      </c>
      <c r="P534" s="8" t="str">
        <f>IF($A534="","",IF(ISNUMBER(FIND("IMPVOL",P$1)),_xll.BDH(config!$G$4,P$1,WORKDAY($A534,-1,config_Holiday_Calendar_US),WORKDAY($A534,-1,config_Holiday_Calendar_US)),IF(ISNUMBER(_xll.BDH(config!$G$4,P$1,$A534,$A534)),_xll.BDH(config!$G$4,P$1,$A534,$A534),_xll.BDH(config!$G$5,P$1,$A534,$A534))))</f>
        <v/>
      </c>
      <c r="Q534" s="8" t="str">
        <f>IF($A534="","",IF(ISNUMBER(FIND("IMPVOL",Q$1)),_xll.BDH(config!$G$4,Q$1,WORKDAY($A534,-1,config_Holiday_Calendar_US),WORKDAY($A534,-1,config_Holiday_Calendar_US)),IF(ISNUMBER(_xll.BDH(config!$G$4,Q$1,$A534,$A534)),_xll.BDH(config!$G$4,Q$1,$A534,$A534),_xll.BDH(config!$G$5,Q$1,$A534,$A534))))</f>
        <v/>
      </c>
      <c r="R534" s="8" t="str">
        <f>IF($A534="","",IF(ISNUMBER(FIND("IMPVOL",R$1)),_xll.BDH(config!$G$4,R$1,WORKDAY($A534,-1,config_Holiday_Calendar_US),WORKDAY($A534,-1,config_Holiday_Calendar_US)),IF(ISNUMBER(_xll.BDH(config!$G$4,R$1,$A534,$A534)),_xll.BDH(config!$G$4,R$1,$A534,$A534),_xll.BDH(config!$G$5,R$1,$A534,$A534))))</f>
        <v/>
      </c>
      <c r="S534" s="8" t="str">
        <f>IF($A534="","",IF(ISNUMBER(FIND("IMPVOL",S$1)),_xll.BDH(config!$G$4,S$1,WORKDAY($A534,-1,config_Holiday_Calendar_US),WORKDAY($A534,-1,config_Holiday_Calendar_US)),IF(ISNUMBER(_xll.BDH(config!$G$4,S$1,$A534,$A534)),_xll.BDH(config!$G$4,S$1,$A534,$A534),_xll.BDH(config!$G$5,S$1,$A534,$A534))))</f>
        <v/>
      </c>
      <c r="T534" s="8" t="str">
        <f>IF($A534="","",IF(ISNUMBER(FIND("IMPVOL",T$1)),_xll.BDH(config!$G$4,T$1,WORKDAY($A534,-1,config_Holiday_Calendar_US),WORKDAY($A534,-1,config_Holiday_Calendar_US)),IF(ISNUMBER(_xll.BDH(config!$G$4,T$1,$A534,$A534)),_xll.BDH(config!$G$4,T$1,$A534,$A534),_xll.BDH(config!$G$5,T$1,$A534,$A534))))</f>
        <v/>
      </c>
      <c r="U534" s="8" t="str">
        <f>IF($A534="","",IF(ISNUMBER(FIND("IMPVOL",U$1)),_xll.BDH(config!$G$4,U$1,WORKDAY($A534,-1,config_Holiday_Calendar_US),WORKDAY($A534,-1,config_Holiday_Calendar_US)),IF(ISNUMBER(_xll.BDH(config!$G$4,U$1,$A534,$A534)),_xll.BDH(config!$G$4,U$1,$A534,$A534),_xll.BDH(config!$G$5,U$1,$A534,$A534))))</f>
        <v/>
      </c>
      <c r="V534" s="8" t="str">
        <f>IF($A534="","",IF(ISNUMBER(FIND("IMPVOL",V$1)),_xll.BDH(config!$G$4,V$1,WORKDAY($A534,-1,config_Holiday_Calendar_US),WORKDAY($A534,-1,config_Holiday_Calendar_US)),IF(ISNUMBER(_xll.BDH(config!$G$4,V$1,$A534,$A534)),_xll.BDH(config!$G$4,V$1,$A534,$A534),_xll.BDH(config!$G$5,V$1,$A534,$A534))))</f>
        <v/>
      </c>
      <c r="W534" s="8" t="str">
        <f>IF($A534="","",IF(ISNUMBER(FIND("IMPVOL",W$1)),_xll.BDH(config!$G$4,W$1,WORKDAY($A534,-1,config_Holiday_Calendar_US),WORKDAY($A534,-1,config_Holiday_Calendar_US)),IF(ISNUMBER(_xll.BDH(config!$G$4,W$1,$A534,$A534)),_xll.BDH(config!$G$4,W$1,$A534,$A534),_xll.BDH(config!$G$5,W$1,$A534,$A534))))</f>
        <v/>
      </c>
    </row>
    <row r="535" spans="1:23" x14ac:dyDescent="0.2">
      <c r="A535" s="9" t="str">
        <f>IF(A534="","",IF(WORKDAY(A534,-1,config_Holiday_Calendar_US)&lt;config!$I$10,"",WORKDAY(A534,-1,config_Holiday_Calendar_US)))</f>
        <v/>
      </c>
      <c r="B535" s="8" t="str">
        <f t="shared" si="8"/>
        <v/>
      </c>
      <c r="C535" s="8" t="str">
        <f>IF(A535="","",_xll.BDH(config!$H$4,C$1,$A535,$A535))</f>
        <v/>
      </c>
      <c r="D535" s="8" t="str">
        <f>IF($A535="","",_xll.BDH(config!$H$4,D$1,$A535,$A535))</f>
        <v/>
      </c>
      <c r="E535" s="8" t="str">
        <f>IF($A535="","",IF(ISNUMBER(FIND("IMPVOL",E$1)),_xll.BDH(config!$G$4,E$1,WORKDAY($A535,-1,config_Holiday_Calendar_US),WORKDAY($A535,-1,config_Holiday_Calendar_US)),IF(ISNUMBER(_xll.BDH(config!$G$4,E$1,$A535,$A535)),_xll.BDH(config!$G$4,E$1,$A535,$A535),_xll.BDH(config!$G$5,E$1,$A535,$A535))))</f>
        <v/>
      </c>
      <c r="F535" s="8" t="str">
        <f>IF($A535="","",IF(ISNUMBER(FIND("IMPVOL",F$1)),_xll.BDH(config!$G$4,F$1,WORKDAY($A535,-1,config_Holiday_Calendar_US),WORKDAY($A535,-1,config_Holiday_Calendar_US)),IF(ISNUMBER(_xll.BDH(config!$G$4,F$1,$A535,$A535)),_xll.BDH(config!$G$4,F$1,$A535,$A535),_xll.BDH(config!$G$5,F$1,$A535,$A535))))</f>
        <v/>
      </c>
      <c r="G535" s="8" t="str">
        <f>IF($A535="","",IF(ISNUMBER(FIND("IMPVOL",G$1)),_xll.BDH(config!$G$4,G$1,WORKDAY($A535,-1,config_Holiday_Calendar_US),WORKDAY($A535,-1,config_Holiday_Calendar_US)),IF(ISNUMBER(_xll.BDH(config!$G$4,G$1,$A535,$A535)),_xll.BDH(config!$G$4,G$1,$A535,$A535),_xll.BDH(config!$G$5,G$1,$A535,$A535))))</f>
        <v/>
      </c>
      <c r="H535" s="8" t="str">
        <f>IF($A535="","",IF(ISNUMBER(FIND("IMPVOL",H$1)),_xll.BDH(config!$G$4,H$1,WORKDAY($A535,-1,config_Holiday_Calendar_US),WORKDAY($A535,-1,config_Holiday_Calendar_US)),IF(ISNUMBER(_xll.BDH(config!$G$4,H$1,$A535,$A535)),_xll.BDH(config!$G$4,H$1,$A535,$A535),_xll.BDH(config!$G$5,H$1,$A535,$A535))))</f>
        <v/>
      </c>
      <c r="I535" s="8" t="str">
        <f>IF($A535="","",IF(ISNUMBER(FIND("IMPVOL",I$1)),_xll.BDH(config!$G$4,I$1,WORKDAY($A535,-1,config_Holiday_Calendar_US),WORKDAY($A535,-1,config_Holiday_Calendar_US)),IF(ISNUMBER(_xll.BDH(config!$G$4,I$1,$A535,$A535)),_xll.BDH(config!$G$4,I$1,$A535,$A535),_xll.BDH(config!$G$5,I$1,$A535,$A535))))</f>
        <v/>
      </c>
      <c r="J535" s="8" t="str">
        <f>IF($A535="","",IF(ISNUMBER(FIND("IMPVOL",J$1)),_xll.BDH(config!$G$4,J$1,WORKDAY($A535,-1,config_Holiday_Calendar_US),WORKDAY($A535,-1,config_Holiday_Calendar_US)),IF(ISNUMBER(_xll.BDH(config!$G$4,J$1,$A535,$A535)),_xll.BDH(config!$G$4,J$1,$A535,$A535),_xll.BDH(config!$G$5,J$1,$A535,$A535))))</f>
        <v/>
      </c>
      <c r="K535" s="8" t="str">
        <f>IF($A535="","",IF(ISNUMBER(FIND("IMPVOL",K$1)),_xll.BDH(config!$G$4,K$1,WORKDAY($A535,-1,config_Holiday_Calendar_US),WORKDAY($A535,-1,config_Holiday_Calendar_US)),IF(ISNUMBER(_xll.BDH(config!$G$4,K$1,$A535,$A535)),_xll.BDH(config!$G$4,K$1,$A535,$A535),_xll.BDH(config!$G$5,K$1,$A535,$A535))))</f>
        <v/>
      </c>
      <c r="L535" s="8" t="str">
        <f>IF($A535="","",IF(ISNUMBER(FIND("IMPVOL",L$1)),_xll.BDH(config!$G$4,L$1,WORKDAY($A535,-1,config_Holiday_Calendar_US),WORKDAY($A535,-1,config_Holiday_Calendar_US)),IF(ISNUMBER(_xll.BDH(config!$G$4,L$1,$A535,$A535)),_xll.BDH(config!$G$4,L$1,$A535,$A535),_xll.BDH(config!$G$5,L$1,$A535,$A535))))</f>
        <v/>
      </c>
      <c r="M535" s="8" t="str">
        <f>IF($A535="","",IF(ISNUMBER(FIND("IMPVOL",M$1)),_xll.BDH(config!$G$4,M$1,WORKDAY($A535,-1,config_Holiday_Calendar_US),WORKDAY($A535,-1,config_Holiday_Calendar_US)),IF(ISNUMBER(_xll.BDH(config!$G$4,M$1,$A535,$A535)),_xll.BDH(config!$G$4,M$1,$A535,$A535),_xll.BDH(config!$G$5,M$1,$A535,$A535))))</f>
        <v/>
      </c>
      <c r="N535" s="8" t="str">
        <f>IF($A535="","",IF(ISNUMBER(FIND("IMPVOL",N$1)),_xll.BDH(config!$G$4,N$1,WORKDAY($A535,-1,config_Holiday_Calendar_US),WORKDAY($A535,-1,config_Holiday_Calendar_US)),IF(ISNUMBER(_xll.BDH(config!$G$4,N$1,$A535,$A535)),_xll.BDH(config!$G$4,N$1,$A535,$A535),_xll.BDH(config!$G$5,N$1,$A535,$A535))))</f>
        <v/>
      </c>
      <c r="O535" s="8" t="str">
        <f>IF($A535="","",IF(ISNUMBER(FIND("IMPVOL",O$1)),_xll.BDH(config!$G$4,O$1,WORKDAY($A535,-1,config_Holiday_Calendar_US),WORKDAY($A535,-1,config_Holiday_Calendar_US)),IF(ISNUMBER(_xll.BDH(config!$G$4,O$1,$A535,$A535)),_xll.BDH(config!$G$4,O$1,$A535,$A535),_xll.BDH(config!$G$5,O$1,$A535,$A535))))</f>
        <v/>
      </c>
      <c r="P535" s="8" t="str">
        <f>IF($A535="","",IF(ISNUMBER(FIND("IMPVOL",P$1)),_xll.BDH(config!$G$4,P$1,WORKDAY($A535,-1,config_Holiday_Calendar_US),WORKDAY($A535,-1,config_Holiday_Calendar_US)),IF(ISNUMBER(_xll.BDH(config!$G$4,P$1,$A535,$A535)),_xll.BDH(config!$G$4,P$1,$A535,$A535),_xll.BDH(config!$G$5,P$1,$A535,$A535))))</f>
        <v/>
      </c>
      <c r="Q535" s="8" t="str">
        <f>IF($A535="","",IF(ISNUMBER(FIND("IMPVOL",Q$1)),_xll.BDH(config!$G$4,Q$1,WORKDAY($A535,-1,config_Holiday_Calendar_US),WORKDAY($A535,-1,config_Holiday_Calendar_US)),IF(ISNUMBER(_xll.BDH(config!$G$4,Q$1,$A535,$A535)),_xll.BDH(config!$G$4,Q$1,$A535,$A535),_xll.BDH(config!$G$5,Q$1,$A535,$A535))))</f>
        <v/>
      </c>
      <c r="R535" s="8" t="str">
        <f>IF($A535="","",IF(ISNUMBER(FIND("IMPVOL",R$1)),_xll.BDH(config!$G$4,R$1,WORKDAY($A535,-1,config_Holiday_Calendar_US),WORKDAY($A535,-1,config_Holiday_Calendar_US)),IF(ISNUMBER(_xll.BDH(config!$G$4,R$1,$A535,$A535)),_xll.BDH(config!$G$4,R$1,$A535,$A535),_xll.BDH(config!$G$5,R$1,$A535,$A535))))</f>
        <v/>
      </c>
      <c r="S535" s="8" t="str">
        <f>IF($A535="","",IF(ISNUMBER(FIND("IMPVOL",S$1)),_xll.BDH(config!$G$4,S$1,WORKDAY($A535,-1,config_Holiday_Calendar_US),WORKDAY($A535,-1,config_Holiday_Calendar_US)),IF(ISNUMBER(_xll.BDH(config!$G$4,S$1,$A535,$A535)),_xll.BDH(config!$G$4,S$1,$A535,$A535),_xll.BDH(config!$G$5,S$1,$A535,$A535))))</f>
        <v/>
      </c>
      <c r="T535" s="8" t="str">
        <f>IF($A535="","",IF(ISNUMBER(FIND("IMPVOL",T$1)),_xll.BDH(config!$G$4,T$1,WORKDAY($A535,-1,config_Holiday_Calendar_US),WORKDAY($A535,-1,config_Holiday_Calendar_US)),IF(ISNUMBER(_xll.BDH(config!$G$4,T$1,$A535,$A535)),_xll.BDH(config!$G$4,T$1,$A535,$A535),_xll.BDH(config!$G$5,T$1,$A535,$A535))))</f>
        <v/>
      </c>
      <c r="U535" s="8" t="str">
        <f>IF($A535="","",IF(ISNUMBER(FIND("IMPVOL",U$1)),_xll.BDH(config!$G$4,U$1,WORKDAY($A535,-1,config_Holiday_Calendar_US),WORKDAY($A535,-1,config_Holiday_Calendar_US)),IF(ISNUMBER(_xll.BDH(config!$G$4,U$1,$A535,$A535)),_xll.BDH(config!$G$4,U$1,$A535,$A535),_xll.BDH(config!$G$5,U$1,$A535,$A535))))</f>
        <v/>
      </c>
      <c r="V535" s="8" t="str">
        <f>IF($A535="","",IF(ISNUMBER(FIND("IMPVOL",V$1)),_xll.BDH(config!$G$4,V$1,WORKDAY($A535,-1,config_Holiday_Calendar_US),WORKDAY($A535,-1,config_Holiday_Calendar_US)),IF(ISNUMBER(_xll.BDH(config!$G$4,V$1,$A535,$A535)),_xll.BDH(config!$G$4,V$1,$A535,$A535),_xll.BDH(config!$G$5,V$1,$A535,$A535))))</f>
        <v/>
      </c>
      <c r="W535" s="8" t="str">
        <f>IF($A535="","",IF(ISNUMBER(FIND("IMPVOL",W$1)),_xll.BDH(config!$G$4,W$1,WORKDAY($A535,-1,config_Holiday_Calendar_US),WORKDAY($A535,-1,config_Holiday_Calendar_US)),IF(ISNUMBER(_xll.BDH(config!$G$4,W$1,$A535,$A535)),_xll.BDH(config!$G$4,W$1,$A535,$A535),_xll.BDH(config!$G$5,W$1,$A535,$A535))))</f>
        <v/>
      </c>
    </row>
    <row r="536" spans="1:23" x14ac:dyDescent="0.2">
      <c r="A536" s="9" t="str">
        <f>IF(A535="","",IF(WORKDAY(A535,-1,config_Holiday_Calendar_US)&lt;config!$I$10,"",WORKDAY(A535,-1,config_Holiday_Calendar_US)))</f>
        <v/>
      </c>
      <c r="B536" s="8" t="str">
        <f t="shared" si="8"/>
        <v/>
      </c>
      <c r="C536" s="8" t="str">
        <f>IF(A536="","",_xll.BDH(config!$H$4,C$1,$A536,$A536))</f>
        <v/>
      </c>
      <c r="D536" s="8" t="str">
        <f>IF($A536="","",_xll.BDH(config!$H$4,D$1,$A536,$A536))</f>
        <v/>
      </c>
      <c r="E536" s="8" t="str">
        <f>IF($A536="","",IF(ISNUMBER(FIND("IMPVOL",E$1)),_xll.BDH(config!$G$4,E$1,WORKDAY($A536,-1,config_Holiday_Calendar_US),WORKDAY($A536,-1,config_Holiday_Calendar_US)),IF(ISNUMBER(_xll.BDH(config!$G$4,E$1,$A536,$A536)),_xll.BDH(config!$G$4,E$1,$A536,$A536),_xll.BDH(config!$G$5,E$1,$A536,$A536))))</f>
        <v/>
      </c>
      <c r="F536" s="8" t="str">
        <f>IF($A536="","",IF(ISNUMBER(FIND("IMPVOL",F$1)),_xll.BDH(config!$G$4,F$1,WORKDAY($A536,-1,config_Holiday_Calendar_US),WORKDAY($A536,-1,config_Holiday_Calendar_US)),IF(ISNUMBER(_xll.BDH(config!$G$4,F$1,$A536,$A536)),_xll.BDH(config!$G$4,F$1,$A536,$A536),_xll.BDH(config!$G$5,F$1,$A536,$A536))))</f>
        <v/>
      </c>
      <c r="G536" s="8" t="str">
        <f>IF($A536="","",IF(ISNUMBER(FIND("IMPVOL",G$1)),_xll.BDH(config!$G$4,G$1,WORKDAY($A536,-1,config_Holiday_Calendar_US),WORKDAY($A536,-1,config_Holiday_Calendar_US)),IF(ISNUMBER(_xll.BDH(config!$G$4,G$1,$A536,$A536)),_xll.BDH(config!$G$4,G$1,$A536,$A536),_xll.BDH(config!$G$5,G$1,$A536,$A536))))</f>
        <v/>
      </c>
      <c r="H536" s="8" t="str">
        <f>IF($A536="","",IF(ISNUMBER(FIND("IMPVOL",H$1)),_xll.BDH(config!$G$4,H$1,WORKDAY($A536,-1,config_Holiday_Calendar_US),WORKDAY($A536,-1,config_Holiday_Calendar_US)),IF(ISNUMBER(_xll.BDH(config!$G$4,H$1,$A536,$A536)),_xll.BDH(config!$G$4,H$1,$A536,$A536),_xll.BDH(config!$G$5,H$1,$A536,$A536))))</f>
        <v/>
      </c>
      <c r="I536" s="8" t="str">
        <f>IF($A536="","",IF(ISNUMBER(FIND("IMPVOL",I$1)),_xll.BDH(config!$G$4,I$1,WORKDAY($A536,-1,config_Holiday_Calendar_US),WORKDAY($A536,-1,config_Holiday_Calendar_US)),IF(ISNUMBER(_xll.BDH(config!$G$4,I$1,$A536,$A536)),_xll.BDH(config!$G$4,I$1,$A536,$A536),_xll.BDH(config!$G$5,I$1,$A536,$A536))))</f>
        <v/>
      </c>
      <c r="J536" s="8" t="str">
        <f>IF($A536="","",IF(ISNUMBER(FIND("IMPVOL",J$1)),_xll.BDH(config!$G$4,J$1,WORKDAY($A536,-1,config_Holiday_Calendar_US),WORKDAY($A536,-1,config_Holiday_Calendar_US)),IF(ISNUMBER(_xll.BDH(config!$G$4,J$1,$A536,$A536)),_xll.BDH(config!$G$4,J$1,$A536,$A536),_xll.BDH(config!$G$5,J$1,$A536,$A536))))</f>
        <v/>
      </c>
      <c r="K536" s="8" t="str">
        <f>IF($A536="","",IF(ISNUMBER(FIND("IMPVOL",K$1)),_xll.BDH(config!$G$4,K$1,WORKDAY($A536,-1,config_Holiday_Calendar_US),WORKDAY($A536,-1,config_Holiday_Calendar_US)),IF(ISNUMBER(_xll.BDH(config!$G$4,K$1,$A536,$A536)),_xll.BDH(config!$G$4,K$1,$A536,$A536),_xll.BDH(config!$G$5,K$1,$A536,$A536))))</f>
        <v/>
      </c>
      <c r="L536" s="8" t="str">
        <f>IF($A536="","",IF(ISNUMBER(FIND("IMPVOL",L$1)),_xll.BDH(config!$G$4,L$1,WORKDAY($A536,-1,config_Holiday_Calendar_US),WORKDAY($A536,-1,config_Holiday_Calendar_US)),IF(ISNUMBER(_xll.BDH(config!$G$4,L$1,$A536,$A536)),_xll.BDH(config!$G$4,L$1,$A536,$A536),_xll.BDH(config!$G$5,L$1,$A536,$A536))))</f>
        <v/>
      </c>
      <c r="M536" s="8" t="str">
        <f>IF($A536="","",IF(ISNUMBER(FIND("IMPVOL",M$1)),_xll.BDH(config!$G$4,M$1,WORKDAY($A536,-1,config_Holiday_Calendar_US),WORKDAY($A536,-1,config_Holiday_Calendar_US)),IF(ISNUMBER(_xll.BDH(config!$G$4,M$1,$A536,$A536)),_xll.BDH(config!$G$4,M$1,$A536,$A536),_xll.BDH(config!$G$5,M$1,$A536,$A536))))</f>
        <v/>
      </c>
      <c r="N536" s="8" t="str">
        <f>IF($A536="","",IF(ISNUMBER(FIND("IMPVOL",N$1)),_xll.BDH(config!$G$4,N$1,WORKDAY($A536,-1,config_Holiday_Calendar_US),WORKDAY($A536,-1,config_Holiday_Calendar_US)),IF(ISNUMBER(_xll.BDH(config!$G$4,N$1,$A536,$A536)),_xll.BDH(config!$G$4,N$1,$A536,$A536),_xll.BDH(config!$G$5,N$1,$A536,$A536))))</f>
        <v/>
      </c>
      <c r="O536" s="8" t="str">
        <f>IF($A536="","",IF(ISNUMBER(FIND("IMPVOL",O$1)),_xll.BDH(config!$G$4,O$1,WORKDAY($A536,-1,config_Holiday_Calendar_US),WORKDAY($A536,-1,config_Holiday_Calendar_US)),IF(ISNUMBER(_xll.BDH(config!$G$4,O$1,$A536,$A536)),_xll.BDH(config!$G$4,O$1,$A536,$A536),_xll.BDH(config!$G$5,O$1,$A536,$A536))))</f>
        <v/>
      </c>
      <c r="P536" s="8" t="str">
        <f>IF($A536="","",IF(ISNUMBER(FIND("IMPVOL",P$1)),_xll.BDH(config!$G$4,P$1,WORKDAY($A536,-1,config_Holiday_Calendar_US),WORKDAY($A536,-1,config_Holiday_Calendar_US)),IF(ISNUMBER(_xll.BDH(config!$G$4,P$1,$A536,$A536)),_xll.BDH(config!$G$4,P$1,$A536,$A536),_xll.BDH(config!$G$5,P$1,$A536,$A536))))</f>
        <v/>
      </c>
      <c r="Q536" s="8" t="str">
        <f>IF($A536="","",IF(ISNUMBER(FIND("IMPVOL",Q$1)),_xll.BDH(config!$G$4,Q$1,WORKDAY($A536,-1,config_Holiday_Calendar_US),WORKDAY($A536,-1,config_Holiday_Calendar_US)),IF(ISNUMBER(_xll.BDH(config!$G$4,Q$1,$A536,$A536)),_xll.BDH(config!$G$4,Q$1,$A536,$A536),_xll.BDH(config!$G$5,Q$1,$A536,$A536))))</f>
        <v/>
      </c>
      <c r="R536" s="8" t="str">
        <f>IF($A536="","",IF(ISNUMBER(FIND("IMPVOL",R$1)),_xll.BDH(config!$G$4,R$1,WORKDAY($A536,-1,config_Holiday_Calendar_US),WORKDAY($A536,-1,config_Holiday_Calendar_US)),IF(ISNUMBER(_xll.BDH(config!$G$4,R$1,$A536,$A536)),_xll.BDH(config!$G$4,R$1,$A536,$A536),_xll.BDH(config!$G$5,R$1,$A536,$A536))))</f>
        <v/>
      </c>
      <c r="S536" s="8" t="str">
        <f>IF($A536="","",IF(ISNUMBER(FIND("IMPVOL",S$1)),_xll.BDH(config!$G$4,S$1,WORKDAY($A536,-1,config_Holiday_Calendar_US),WORKDAY($A536,-1,config_Holiday_Calendar_US)),IF(ISNUMBER(_xll.BDH(config!$G$4,S$1,$A536,$A536)),_xll.BDH(config!$G$4,S$1,$A536,$A536),_xll.BDH(config!$G$5,S$1,$A536,$A536))))</f>
        <v/>
      </c>
      <c r="T536" s="8" t="str">
        <f>IF($A536="","",IF(ISNUMBER(FIND("IMPVOL",T$1)),_xll.BDH(config!$G$4,T$1,WORKDAY($A536,-1,config_Holiday_Calendar_US),WORKDAY($A536,-1,config_Holiday_Calendar_US)),IF(ISNUMBER(_xll.BDH(config!$G$4,T$1,$A536,$A536)),_xll.BDH(config!$G$4,T$1,$A536,$A536),_xll.BDH(config!$G$5,T$1,$A536,$A536))))</f>
        <v/>
      </c>
      <c r="U536" s="8" t="str">
        <f>IF($A536="","",IF(ISNUMBER(FIND("IMPVOL",U$1)),_xll.BDH(config!$G$4,U$1,WORKDAY($A536,-1,config_Holiday_Calendar_US),WORKDAY($A536,-1,config_Holiday_Calendar_US)),IF(ISNUMBER(_xll.BDH(config!$G$4,U$1,$A536,$A536)),_xll.BDH(config!$G$4,U$1,$A536,$A536),_xll.BDH(config!$G$5,U$1,$A536,$A536))))</f>
        <v/>
      </c>
      <c r="V536" s="8" t="str">
        <f>IF($A536="","",IF(ISNUMBER(FIND("IMPVOL",V$1)),_xll.BDH(config!$G$4,V$1,WORKDAY($A536,-1,config_Holiday_Calendar_US),WORKDAY($A536,-1,config_Holiday_Calendar_US)),IF(ISNUMBER(_xll.BDH(config!$G$4,V$1,$A536,$A536)),_xll.BDH(config!$G$4,V$1,$A536,$A536),_xll.BDH(config!$G$5,V$1,$A536,$A536))))</f>
        <v/>
      </c>
      <c r="W536" s="8" t="str">
        <f>IF($A536="","",IF(ISNUMBER(FIND("IMPVOL",W$1)),_xll.BDH(config!$G$4,W$1,WORKDAY($A536,-1,config_Holiday_Calendar_US),WORKDAY($A536,-1,config_Holiday_Calendar_US)),IF(ISNUMBER(_xll.BDH(config!$G$4,W$1,$A536,$A536)),_xll.BDH(config!$G$4,W$1,$A536,$A536),_xll.BDH(config!$G$5,W$1,$A536,$A536))))</f>
        <v/>
      </c>
    </row>
    <row r="537" spans="1:23" x14ac:dyDescent="0.2">
      <c r="A537" s="9" t="str">
        <f>IF(A536="","",IF(WORKDAY(A536,-1,config_Holiday_Calendar_US)&lt;config!$I$10,"",WORKDAY(A536,-1,config_Holiday_Calendar_US)))</f>
        <v/>
      </c>
      <c r="B537" s="8" t="str">
        <f t="shared" si="8"/>
        <v/>
      </c>
      <c r="C537" s="8" t="str">
        <f>IF(A537="","",_xll.BDH(config!$H$4,C$1,$A537,$A537))</f>
        <v/>
      </c>
      <c r="D537" s="8" t="str">
        <f>IF($A537="","",_xll.BDH(config!$H$4,D$1,$A537,$A537))</f>
        <v/>
      </c>
      <c r="E537" s="8" t="str">
        <f>IF($A537="","",IF(ISNUMBER(FIND("IMPVOL",E$1)),_xll.BDH(config!$G$4,E$1,WORKDAY($A537,-1,config_Holiday_Calendar_US),WORKDAY($A537,-1,config_Holiday_Calendar_US)),IF(ISNUMBER(_xll.BDH(config!$G$4,E$1,$A537,$A537)),_xll.BDH(config!$G$4,E$1,$A537,$A537),_xll.BDH(config!$G$5,E$1,$A537,$A537))))</f>
        <v/>
      </c>
      <c r="F537" s="8" t="str">
        <f>IF($A537="","",IF(ISNUMBER(FIND("IMPVOL",F$1)),_xll.BDH(config!$G$4,F$1,WORKDAY($A537,-1,config_Holiday_Calendar_US),WORKDAY($A537,-1,config_Holiday_Calendar_US)),IF(ISNUMBER(_xll.BDH(config!$G$4,F$1,$A537,$A537)),_xll.BDH(config!$G$4,F$1,$A537,$A537),_xll.BDH(config!$G$5,F$1,$A537,$A537))))</f>
        <v/>
      </c>
      <c r="G537" s="8" t="str">
        <f>IF($A537="","",IF(ISNUMBER(FIND("IMPVOL",G$1)),_xll.BDH(config!$G$4,G$1,WORKDAY($A537,-1,config_Holiday_Calendar_US),WORKDAY($A537,-1,config_Holiday_Calendar_US)),IF(ISNUMBER(_xll.BDH(config!$G$4,G$1,$A537,$A537)),_xll.BDH(config!$G$4,G$1,$A537,$A537),_xll.BDH(config!$G$5,G$1,$A537,$A537))))</f>
        <v/>
      </c>
      <c r="H537" s="8" t="str">
        <f>IF($A537="","",IF(ISNUMBER(FIND("IMPVOL",H$1)),_xll.BDH(config!$G$4,H$1,WORKDAY($A537,-1,config_Holiday_Calendar_US),WORKDAY($A537,-1,config_Holiday_Calendar_US)),IF(ISNUMBER(_xll.BDH(config!$G$4,H$1,$A537,$A537)),_xll.BDH(config!$G$4,H$1,$A537,$A537),_xll.BDH(config!$G$5,H$1,$A537,$A537))))</f>
        <v/>
      </c>
      <c r="I537" s="8" t="str">
        <f>IF($A537="","",IF(ISNUMBER(FIND("IMPVOL",I$1)),_xll.BDH(config!$G$4,I$1,WORKDAY($A537,-1,config_Holiday_Calendar_US),WORKDAY($A537,-1,config_Holiday_Calendar_US)),IF(ISNUMBER(_xll.BDH(config!$G$4,I$1,$A537,$A537)),_xll.BDH(config!$G$4,I$1,$A537,$A537),_xll.BDH(config!$G$5,I$1,$A537,$A537))))</f>
        <v/>
      </c>
      <c r="J537" s="8" t="str">
        <f>IF($A537="","",IF(ISNUMBER(FIND("IMPVOL",J$1)),_xll.BDH(config!$G$4,J$1,WORKDAY($A537,-1,config_Holiday_Calendar_US),WORKDAY($A537,-1,config_Holiday_Calendar_US)),IF(ISNUMBER(_xll.BDH(config!$G$4,J$1,$A537,$A537)),_xll.BDH(config!$G$4,J$1,$A537,$A537),_xll.BDH(config!$G$5,J$1,$A537,$A537))))</f>
        <v/>
      </c>
      <c r="K537" s="8" t="str">
        <f>IF($A537="","",IF(ISNUMBER(FIND("IMPVOL",K$1)),_xll.BDH(config!$G$4,K$1,WORKDAY($A537,-1,config_Holiday_Calendar_US),WORKDAY($A537,-1,config_Holiday_Calendar_US)),IF(ISNUMBER(_xll.BDH(config!$G$4,K$1,$A537,$A537)),_xll.BDH(config!$G$4,K$1,$A537,$A537),_xll.BDH(config!$G$5,K$1,$A537,$A537))))</f>
        <v/>
      </c>
      <c r="L537" s="8" t="str">
        <f>IF($A537="","",IF(ISNUMBER(FIND("IMPVOL",L$1)),_xll.BDH(config!$G$4,L$1,WORKDAY($A537,-1,config_Holiday_Calendar_US),WORKDAY($A537,-1,config_Holiday_Calendar_US)),IF(ISNUMBER(_xll.BDH(config!$G$4,L$1,$A537,$A537)),_xll.BDH(config!$G$4,L$1,$A537,$A537),_xll.BDH(config!$G$5,L$1,$A537,$A537))))</f>
        <v/>
      </c>
      <c r="M537" s="8" t="str">
        <f>IF($A537="","",IF(ISNUMBER(FIND("IMPVOL",M$1)),_xll.BDH(config!$G$4,M$1,WORKDAY($A537,-1,config_Holiday_Calendar_US),WORKDAY($A537,-1,config_Holiday_Calendar_US)),IF(ISNUMBER(_xll.BDH(config!$G$4,M$1,$A537,$A537)),_xll.BDH(config!$G$4,M$1,$A537,$A537),_xll.BDH(config!$G$5,M$1,$A537,$A537))))</f>
        <v/>
      </c>
      <c r="N537" s="8" t="str">
        <f>IF($A537="","",IF(ISNUMBER(FIND("IMPVOL",N$1)),_xll.BDH(config!$G$4,N$1,WORKDAY($A537,-1,config_Holiday_Calendar_US),WORKDAY($A537,-1,config_Holiday_Calendar_US)),IF(ISNUMBER(_xll.BDH(config!$G$4,N$1,$A537,$A537)),_xll.BDH(config!$G$4,N$1,$A537,$A537),_xll.BDH(config!$G$5,N$1,$A537,$A537))))</f>
        <v/>
      </c>
      <c r="O537" s="8" t="str">
        <f>IF($A537="","",IF(ISNUMBER(FIND("IMPVOL",O$1)),_xll.BDH(config!$G$4,O$1,WORKDAY($A537,-1,config_Holiday_Calendar_US),WORKDAY($A537,-1,config_Holiday_Calendar_US)),IF(ISNUMBER(_xll.BDH(config!$G$4,O$1,$A537,$A537)),_xll.BDH(config!$G$4,O$1,$A537,$A537),_xll.BDH(config!$G$5,O$1,$A537,$A537))))</f>
        <v/>
      </c>
      <c r="P537" s="8" t="str">
        <f>IF($A537="","",IF(ISNUMBER(FIND("IMPVOL",P$1)),_xll.BDH(config!$G$4,P$1,WORKDAY($A537,-1,config_Holiday_Calendar_US),WORKDAY($A537,-1,config_Holiday_Calendar_US)),IF(ISNUMBER(_xll.BDH(config!$G$4,P$1,$A537,$A537)),_xll.BDH(config!$G$4,P$1,$A537,$A537),_xll.BDH(config!$G$5,P$1,$A537,$A537))))</f>
        <v/>
      </c>
      <c r="Q537" s="8" t="str">
        <f>IF($A537="","",IF(ISNUMBER(FIND("IMPVOL",Q$1)),_xll.BDH(config!$G$4,Q$1,WORKDAY($A537,-1,config_Holiday_Calendar_US),WORKDAY($A537,-1,config_Holiday_Calendar_US)),IF(ISNUMBER(_xll.BDH(config!$G$4,Q$1,$A537,$A537)),_xll.BDH(config!$G$4,Q$1,$A537,$A537),_xll.BDH(config!$G$5,Q$1,$A537,$A537))))</f>
        <v/>
      </c>
      <c r="R537" s="8" t="str">
        <f>IF($A537="","",IF(ISNUMBER(FIND("IMPVOL",R$1)),_xll.BDH(config!$G$4,R$1,WORKDAY($A537,-1,config_Holiday_Calendar_US),WORKDAY($A537,-1,config_Holiday_Calendar_US)),IF(ISNUMBER(_xll.BDH(config!$G$4,R$1,$A537,$A537)),_xll.BDH(config!$G$4,R$1,$A537,$A537),_xll.BDH(config!$G$5,R$1,$A537,$A537))))</f>
        <v/>
      </c>
      <c r="S537" s="8" t="str">
        <f>IF($A537="","",IF(ISNUMBER(FIND("IMPVOL",S$1)),_xll.BDH(config!$G$4,S$1,WORKDAY($A537,-1,config_Holiday_Calendar_US),WORKDAY($A537,-1,config_Holiday_Calendar_US)),IF(ISNUMBER(_xll.BDH(config!$G$4,S$1,$A537,$A537)),_xll.BDH(config!$G$4,S$1,$A537,$A537),_xll.BDH(config!$G$5,S$1,$A537,$A537))))</f>
        <v/>
      </c>
      <c r="T537" s="8" t="str">
        <f>IF($A537="","",IF(ISNUMBER(FIND("IMPVOL",T$1)),_xll.BDH(config!$G$4,T$1,WORKDAY($A537,-1,config_Holiday_Calendar_US),WORKDAY($A537,-1,config_Holiday_Calendar_US)),IF(ISNUMBER(_xll.BDH(config!$G$4,T$1,$A537,$A537)),_xll.BDH(config!$G$4,T$1,$A537,$A537),_xll.BDH(config!$G$5,T$1,$A537,$A537))))</f>
        <v/>
      </c>
      <c r="U537" s="8" t="str">
        <f>IF($A537="","",IF(ISNUMBER(FIND("IMPVOL",U$1)),_xll.BDH(config!$G$4,U$1,WORKDAY($A537,-1,config_Holiday_Calendar_US),WORKDAY($A537,-1,config_Holiday_Calendar_US)),IF(ISNUMBER(_xll.BDH(config!$G$4,U$1,$A537,$A537)),_xll.BDH(config!$G$4,U$1,$A537,$A537),_xll.BDH(config!$G$5,U$1,$A537,$A537))))</f>
        <v/>
      </c>
      <c r="V537" s="8" t="str">
        <f>IF($A537="","",IF(ISNUMBER(FIND("IMPVOL",V$1)),_xll.BDH(config!$G$4,V$1,WORKDAY($A537,-1,config_Holiday_Calendar_US),WORKDAY($A537,-1,config_Holiday_Calendar_US)),IF(ISNUMBER(_xll.BDH(config!$G$4,V$1,$A537,$A537)),_xll.BDH(config!$G$4,V$1,$A537,$A537),_xll.BDH(config!$G$5,V$1,$A537,$A537))))</f>
        <v/>
      </c>
      <c r="W537" s="8" t="str">
        <f>IF($A537="","",IF(ISNUMBER(FIND("IMPVOL",W$1)),_xll.BDH(config!$G$4,W$1,WORKDAY($A537,-1,config_Holiday_Calendar_US),WORKDAY($A537,-1,config_Holiday_Calendar_US)),IF(ISNUMBER(_xll.BDH(config!$G$4,W$1,$A537,$A537)),_xll.BDH(config!$G$4,W$1,$A537,$A537),_xll.BDH(config!$G$5,W$1,$A537,$A537))))</f>
        <v/>
      </c>
    </row>
    <row r="538" spans="1:23" x14ac:dyDescent="0.2">
      <c r="A538" s="9" t="str">
        <f>IF(A537="","",IF(WORKDAY(A537,-1,config_Holiday_Calendar_US)&lt;config!$I$10,"",WORKDAY(A537,-1,config_Holiday_Calendar_US)))</f>
        <v/>
      </c>
      <c r="B538" s="8" t="str">
        <f t="shared" si="8"/>
        <v/>
      </c>
      <c r="C538" s="8" t="str">
        <f>IF(A538="","",_xll.BDH(config!$H$4,C$1,$A538,$A538))</f>
        <v/>
      </c>
      <c r="D538" s="8" t="str">
        <f>IF($A538="","",_xll.BDH(config!$H$4,D$1,$A538,$A538))</f>
        <v/>
      </c>
      <c r="E538" s="8" t="str">
        <f>IF($A538="","",IF(ISNUMBER(FIND("IMPVOL",E$1)),_xll.BDH(config!$G$4,E$1,WORKDAY($A538,-1,config_Holiday_Calendar_US),WORKDAY($A538,-1,config_Holiday_Calendar_US)),IF(ISNUMBER(_xll.BDH(config!$G$4,E$1,$A538,$A538)),_xll.BDH(config!$G$4,E$1,$A538,$A538),_xll.BDH(config!$G$5,E$1,$A538,$A538))))</f>
        <v/>
      </c>
      <c r="F538" s="8" t="str">
        <f>IF($A538="","",IF(ISNUMBER(FIND("IMPVOL",F$1)),_xll.BDH(config!$G$4,F$1,WORKDAY($A538,-1,config_Holiday_Calendar_US),WORKDAY($A538,-1,config_Holiday_Calendar_US)),IF(ISNUMBER(_xll.BDH(config!$G$4,F$1,$A538,$A538)),_xll.BDH(config!$G$4,F$1,$A538,$A538),_xll.BDH(config!$G$5,F$1,$A538,$A538))))</f>
        <v/>
      </c>
      <c r="G538" s="8" t="str">
        <f>IF($A538="","",IF(ISNUMBER(FIND("IMPVOL",G$1)),_xll.BDH(config!$G$4,G$1,WORKDAY($A538,-1,config_Holiday_Calendar_US),WORKDAY($A538,-1,config_Holiday_Calendar_US)),IF(ISNUMBER(_xll.BDH(config!$G$4,G$1,$A538,$A538)),_xll.BDH(config!$G$4,G$1,$A538,$A538),_xll.BDH(config!$G$5,G$1,$A538,$A538))))</f>
        <v/>
      </c>
      <c r="H538" s="8" t="str">
        <f>IF($A538="","",IF(ISNUMBER(FIND("IMPVOL",H$1)),_xll.BDH(config!$G$4,H$1,WORKDAY($A538,-1,config_Holiday_Calendar_US),WORKDAY($A538,-1,config_Holiday_Calendar_US)),IF(ISNUMBER(_xll.BDH(config!$G$4,H$1,$A538,$A538)),_xll.BDH(config!$G$4,H$1,$A538,$A538),_xll.BDH(config!$G$5,H$1,$A538,$A538))))</f>
        <v/>
      </c>
      <c r="I538" s="8" t="str">
        <f>IF($A538="","",IF(ISNUMBER(FIND("IMPVOL",I$1)),_xll.BDH(config!$G$4,I$1,WORKDAY($A538,-1,config_Holiday_Calendar_US),WORKDAY($A538,-1,config_Holiday_Calendar_US)),IF(ISNUMBER(_xll.BDH(config!$G$4,I$1,$A538,$A538)),_xll.BDH(config!$G$4,I$1,$A538,$A538),_xll.BDH(config!$G$5,I$1,$A538,$A538))))</f>
        <v/>
      </c>
      <c r="J538" s="8" t="str">
        <f>IF($A538="","",IF(ISNUMBER(FIND("IMPVOL",J$1)),_xll.BDH(config!$G$4,J$1,WORKDAY($A538,-1,config_Holiday_Calendar_US),WORKDAY($A538,-1,config_Holiday_Calendar_US)),IF(ISNUMBER(_xll.BDH(config!$G$4,J$1,$A538,$A538)),_xll.BDH(config!$G$4,J$1,$A538,$A538),_xll.BDH(config!$G$5,J$1,$A538,$A538))))</f>
        <v/>
      </c>
      <c r="K538" s="8" t="str">
        <f>IF($A538="","",IF(ISNUMBER(FIND("IMPVOL",K$1)),_xll.BDH(config!$G$4,K$1,WORKDAY($A538,-1,config_Holiday_Calendar_US),WORKDAY($A538,-1,config_Holiday_Calendar_US)),IF(ISNUMBER(_xll.BDH(config!$G$4,K$1,$A538,$A538)),_xll.BDH(config!$G$4,K$1,$A538,$A538),_xll.BDH(config!$G$5,K$1,$A538,$A538))))</f>
        <v/>
      </c>
      <c r="L538" s="8" t="str">
        <f>IF($A538="","",IF(ISNUMBER(FIND("IMPVOL",L$1)),_xll.BDH(config!$G$4,L$1,WORKDAY($A538,-1,config_Holiday_Calendar_US),WORKDAY($A538,-1,config_Holiday_Calendar_US)),IF(ISNUMBER(_xll.BDH(config!$G$4,L$1,$A538,$A538)),_xll.BDH(config!$G$4,L$1,$A538,$A538),_xll.BDH(config!$G$5,L$1,$A538,$A538))))</f>
        <v/>
      </c>
      <c r="M538" s="8" t="str">
        <f>IF($A538="","",IF(ISNUMBER(FIND("IMPVOL",M$1)),_xll.BDH(config!$G$4,M$1,WORKDAY($A538,-1,config_Holiday_Calendar_US),WORKDAY($A538,-1,config_Holiday_Calendar_US)),IF(ISNUMBER(_xll.BDH(config!$G$4,M$1,$A538,$A538)),_xll.BDH(config!$G$4,M$1,$A538,$A538),_xll.BDH(config!$G$5,M$1,$A538,$A538))))</f>
        <v/>
      </c>
      <c r="N538" s="8" t="str">
        <f>IF($A538="","",IF(ISNUMBER(FIND("IMPVOL",N$1)),_xll.BDH(config!$G$4,N$1,WORKDAY($A538,-1,config_Holiday_Calendar_US),WORKDAY($A538,-1,config_Holiday_Calendar_US)),IF(ISNUMBER(_xll.BDH(config!$G$4,N$1,$A538,$A538)),_xll.BDH(config!$G$4,N$1,$A538,$A538),_xll.BDH(config!$G$5,N$1,$A538,$A538))))</f>
        <v/>
      </c>
      <c r="O538" s="8" t="str">
        <f>IF($A538="","",IF(ISNUMBER(FIND("IMPVOL",O$1)),_xll.BDH(config!$G$4,O$1,WORKDAY($A538,-1,config_Holiday_Calendar_US),WORKDAY($A538,-1,config_Holiday_Calendar_US)),IF(ISNUMBER(_xll.BDH(config!$G$4,O$1,$A538,$A538)),_xll.BDH(config!$G$4,O$1,$A538,$A538),_xll.BDH(config!$G$5,O$1,$A538,$A538))))</f>
        <v/>
      </c>
      <c r="P538" s="8" t="str">
        <f>IF($A538="","",IF(ISNUMBER(FIND("IMPVOL",P$1)),_xll.BDH(config!$G$4,P$1,WORKDAY($A538,-1,config_Holiday_Calendar_US),WORKDAY($A538,-1,config_Holiday_Calendar_US)),IF(ISNUMBER(_xll.BDH(config!$G$4,P$1,$A538,$A538)),_xll.BDH(config!$G$4,P$1,$A538,$A538),_xll.BDH(config!$G$5,P$1,$A538,$A538))))</f>
        <v/>
      </c>
      <c r="Q538" s="8" t="str">
        <f>IF($A538="","",IF(ISNUMBER(FIND("IMPVOL",Q$1)),_xll.BDH(config!$G$4,Q$1,WORKDAY($A538,-1,config_Holiday_Calendar_US),WORKDAY($A538,-1,config_Holiday_Calendar_US)),IF(ISNUMBER(_xll.BDH(config!$G$4,Q$1,$A538,$A538)),_xll.BDH(config!$G$4,Q$1,$A538,$A538),_xll.BDH(config!$G$5,Q$1,$A538,$A538))))</f>
        <v/>
      </c>
      <c r="R538" s="8" t="str">
        <f>IF($A538="","",IF(ISNUMBER(FIND("IMPVOL",R$1)),_xll.BDH(config!$G$4,R$1,WORKDAY($A538,-1,config_Holiday_Calendar_US),WORKDAY($A538,-1,config_Holiday_Calendar_US)),IF(ISNUMBER(_xll.BDH(config!$G$4,R$1,$A538,$A538)),_xll.BDH(config!$G$4,R$1,$A538,$A538),_xll.BDH(config!$G$5,R$1,$A538,$A538))))</f>
        <v/>
      </c>
      <c r="S538" s="8" t="str">
        <f>IF($A538="","",IF(ISNUMBER(FIND("IMPVOL",S$1)),_xll.BDH(config!$G$4,S$1,WORKDAY($A538,-1,config_Holiday_Calendar_US),WORKDAY($A538,-1,config_Holiday_Calendar_US)),IF(ISNUMBER(_xll.BDH(config!$G$4,S$1,$A538,$A538)),_xll.BDH(config!$G$4,S$1,$A538,$A538),_xll.BDH(config!$G$5,S$1,$A538,$A538))))</f>
        <v/>
      </c>
      <c r="T538" s="8" t="str">
        <f>IF($A538="","",IF(ISNUMBER(FIND("IMPVOL",T$1)),_xll.BDH(config!$G$4,T$1,WORKDAY($A538,-1,config_Holiday_Calendar_US),WORKDAY($A538,-1,config_Holiday_Calendar_US)),IF(ISNUMBER(_xll.BDH(config!$G$4,T$1,$A538,$A538)),_xll.BDH(config!$G$4,T$1,$A538,$A538),_xll.BDH(config!$G$5,T$1,$A538,$A538))))</f>
        <v/>
      </c>
      <c r="U538" s="8" t="str">
        <f>IF($A538="","",IF(ISNUMBER(FIND("IMPVOL",U$1)),_xll.BDH(config!$G$4,U$1,WORKDAY($A538,-1,config_Holiday_Calendar_US),WORKDAY($A538,-1,config_Holiday_Calendar_US)),IF(ISNUMBER(_xll.BDH(config!$G$4,U$1,$A538,$A538)),_xll.BDH(config!$G$4,U$1,$A538,$A538),_xll.BDH(config!$G$5,U$1,$A538,$A538))))</f>
        <v/>
      </c>
      <c r="V538" s="8" t="str">
        <f>IF($A538="","",IF(ISNUMBER(FIND("IMPVOL",V$1)),_xll.BDH(config!$G$4,V$1,WORKDAY($A538,-1,config_Holiday_Calendar_US),WORKDAY($A538,-1,config_Holiday_Calendar_US)),IF(ISNUMBER(_xll.BDH(config!$G$4,V$1,$A538,$A538)),_xll.BDH(config!$G$4,V$1,$A538,$A538),_xll.BDH(config!$G$5,V$1,$A538,$A538))))</f>
        <v/>
      </c>
      <c r="W538" s="8" t="str">
        <f>IF($A538="","",IF(ISNUMBER(FIND("IMPVOL",W$1)),_xll.BDH(config!$G$4,W$1,WORKDAY($A538,-1,config_Holiday_Calendar_US),WORKDAY($A538,-1,config_Holiday_Calendar_US)),IF(ISNUMBER(_xll.BDH(config!$G$4,W$1,$A538,$A538)),_xll.BDH(config!$G$4,W$1,$A538,$A538),_xll.BDH(config!$G$5,W$1,$A538,$A538))))</f>
        <v/>
      </c>
    </row>
    <row r="539" spans="1:23" x14ac:dyDescent="0.2">
      <c r="A539" s="9" t="str">
        <f>IF(A538="","",IF(WORKDAY(A538,-1,config_Holiday_Calendar_US)&lt;config!$I$10,"",WORKDAY(A538,-1,config_Holiday_Calendar_US)))</f>
        <v/>
      </c>
      <c r="B539" s="8" t="str">
        <f t="shared" si="8"/>
        <v/>
      </c>
      <c r="C539" s="8" t="str">
        <f>IF(A539="","",_xll.BDH(config!$H$4,C$1,$A539,$A539))</f>
        <v/>
      </c>
      <c r="D539" s="8" t="str">
        <f>IF($A539="","",_xll.BDH(config!$H$4,D$1,$A539,$A539))</f>
        <v/>
      </c>
      <c r="E539" s="8" t="str">
        <f>IF($A539="","",IF(ISNUMBER(FIND("IMPVOL",E$1)),_xll.BDH(config!$G$4,E$1,WORKDAY($A539,-1,config_Holiday_Calendar_US),WORKDAY($A539,-1,config_Holiday_Calendar_US)),IF(ISNUMBER(_xll.BDH(config!$G$4,E$1,$A539,$A539)),_xll.BDH(config!$G$4,E$1,$A539,$A539),_xll.BDH(config!$G$5,E$1,$A539,$A539))))</f>
        <v/>
      </c>
      <c r="F539" s="8" t="str">
        <f>IF($A539="","",IF(ISNUMBER(FIND("IMPVOL",F$1)),_xll.BDH(config!$G$4,F$1,WORKDAY($A539,-1,config_Holiday_Calendar_US),WORKDAY($A539,-1,config_Holiday_Calendar_US)),IF(ISNUMBER(_xll.BDH(config!$G$4,F$1,$A539,$A539)),_xll.BDH(config!$G$4,F$1,$A539,$A539),_xll.BDH(config!$G$5,F$1,$A539,$A539))))</f>
        <v/>
      </c>
      <c r="G539" s="8" t="str">
        <f>IF($A539="","",IF(ISNUMBER(FIND("IMPVOL",G$1)),_xll.BDH(config!$G$4,G$1,WORKDAY($A539,-1,config_Holiday_Calendar_US),WORKDAY($A539,-1,config_Holiday_Calendar_US)),IF(ISNUMBER(_xll.BDH(config!$G$4,G$1,$A539,$A539)),_xll.BDH(config!$G$4,G$1,$A539,$A539),_xll.BDH(config!$G$5,G$1,$A539,$A539))))</f>
        <v/>
      </c>
      <c r="H539" s="8" t="str">
        <f>IF($A539="","",IF(ISNUMBER(FIND("IMPVOL",H$1)),_xll.BDH(config!$G$4,H$1,WORKDAY($A539,-1,config_Holiday_Calendar_US),WORKDAY($A539,-1,config_Holiday_Calendar_US)),IF(ISNUMBER(_xll.BDH(config!$G$4,H$1,$A539,$A539)),_xll.BDH(config!$G$4,H$1,$A539,$A539),_xll.BDH(config!$G$5,H$1,$A539,$A539))))</f>
        <v/>
      </c>
      <c r="I539" s="8" t="str">
        <f>IF($A539="","",IF(ISNUMBER(FIND("IMPVOL",I$1)),_xll.BDH(config!$G$4,I$1,WORKDAY($A539,-1,config_Holiday_Calendar_US),WORKDAY($A539,-1,config_Holiday_Calendar_US)),IF(ISNUMBER(_xll.BDH(config!$G$4,I$1,$A539,$A539)),_xll.BDH(config!$G$4,I$1,$A539,$A539),_xll.BDH(config!$G$5,I$1,$A539,$A539))))</f>
        <v/>
      </c>
      <c r="J539" s="8" t="str">
        <f>IF($A539="","",IF(ISNUMBER(FIND("IMPVOL",J$1)),_xll.BDH(config!$G$4,J$1,WORKDAY($A539,-1,config_Holiday_Calendar_US),WORKDAY($A539,-1,config_Holiday_Calendar_US)),IF(ISNUMBER(_xll.BDH(config!$G$4,J$1,$A539,$A539)),_xll.BDH(config!$G$4,J$1,$A539,$A539),_xll.BDH(config!$G$5,J$1,$A539,$A539))))</f>
        <v/>
      </c>
      <c r="K539" s="8" t="str">
        <f>IF($A539="","",IF(ISNUMBER(FIND("IMPVOL",K$1)),_xll.BDH(config!$G$4,K$1,WORKDAY($A539,-1,config_Holiday_Calendar_US),WORKDAY($A539,-1,config_Holiday_Calendar_US)),IF(ISNUMBER(_xll.BDH(config!$G$4,K$1,$A539,$A539)),_xll.BDH(config!$G$4,K$1,$A539,$A539),_xll.BDH(config!$G$5,K$1,$A539,$A539))))</f>
        <v/>
      </c>
      <c r="L539" s="8" t="str">
        <f>IF($A539="","",IF(ISNUMBER(FIND("IMPVOL",L$1)),_xll.BDH(config!$G$4,L$1,WORKDAY($A539,-1,config_Holiday_Calendar_US),WORKDAY($A539,-1,config_Holiday_Calendar_US)),IF(ISNUMBER(_xll.BDH(config!$G$4,L$1,$A539,$A539)),_xll.BDH(config!$G$4,L$1,$A539,$A539),_xll.BDH(config!$G$5,L$1,$A539,$A539))))</f>
        <v/>
      </c>
      <c r="M539" s="8" t="str">
        <f>IF($A539="","",IF(ISNUMBER(FIND("IMPVOL",M$1)),_xll.BDH(config!$G$4,M$1,WORKDAY($A539,-1,config_Holiday_Calendar_US),WORKDAY($A539,-1,config_Holiday_Calendar_US)),IF(ISNUMBER(_xll.BDH(config!$G$4,M$1,$A539,$A539)),_xll.BDH(config!$G$4,M$1,$A539,$A539),_xll.BDH(config!$G$5,M$1,$A539,$A539))))</f>
        <v/>
      </c>
      <c r="N539" s="8" t="str">
        <f>IF($A539="","",IF(ISNUMBER(FIND("IMPVOL",N$1)),_xll.BDH(config!$G$4,N$1,WORKDAY($A539,-1,config_Holiday_Calendar_US),WORKDAY($A539,-1,config_Holiday_Calendar_US)),IF(ISNUMBER(_xll.BDH(config!$G$4,N$1,$A539,$A539)),_xll.BDH(config!$G$4,N$1,$A539,$A539),_xll.BDH(config!$G$5,N$1,$A539,$A539))))</f>
        <v/>
      </c>
      <c r="O539" s="8" t="str">
        <f>IF($A539="","",IF(ISNUMBER(FIND("IMPVOL",O$1)),_xll.BDH(config!$G$4,O$1,WORKDAY($A539,-1,config_Holiday_Calendar_US),WORKDAY($A539,-1,config_Holiday_Calendar_US)),IF(ISNUMBER(_xll.BDH(config!$G$4,O$1,$A539,$A539)),_xll.BDH(config!$G$4,O$1,$A539,$A539),_xll.BDH(config!$G$5,O$1,$A539,$A539))))</f>
        <v/>
      </c>
      <c r="P539" s="8" t="str">
        <f>IF($A539="","",IF(ISNUMBER(FIND("IMPVOL",P$1)),_xll.BDH(config!$G$4,P$1,WORKDAY($A539,-1,config_Holiday_Calendar_US),WORKDAY($A539,-1,config_Holiday_Calendar_US)),IF(ISNUMBER(_xll.BDH(config!$G$4,P$1,$A539,$A539)),_xll.BDH(config!$G$4,P$1,$A539,$A539),_xll.BDH(config!$G$5,P$1,$A539,$A539))))</f>
        <v/>
      </c>
      <c r="Q539" s="8" t="str">
        <f>IF($A539="","",IF(ISNUMBER(FIND("IMPVOL",Q$1)),_xll.BDH(config!$G$4,Q$1,WORKDAY($A539,-1,config_Holiday_Calendar_US),WORKDAY($A539,-1,config_Holiday_Calendar_US)),IF(ISNUMBER(_xll.BDH(config!$G$4,Q$1,$A539,$A539)),_xll.BDH(config!$G$4,Q$1,$A539,$A539),_xll.BDH(config!$G$5,Q$1,$A539,$A539))))</f>
        <v/>
      </c>
      <c r="R539" s="8" t="str">
        <f>IF($A539="","",IF(ISNUMBER(FIND("IMPVOL",R$1)),_xll.BDH(config!$G$4,R$1,WORKDAY($A539,-1,config_Holiday_Calendar_US),WORKDAY($A539,-1,config_Holiday_Calendar_US)),IF(ISNUMBER(_xll.BDH(config!$G$4,R$1,$A539,$A539)),_xll.BDH(config!$G$4,R$1,$A539,$A539),_xll.BDH(config!$G$5,R$1,$A539,$A539))))</f>
        <v/>
      </c>
      <c r="S539" s="8" t="str">
        <f>IF($A539="","",IF(ISNUMBER(FIND("IMPVOL",S$1)),_xll.BDH(config!$G$4,S$1,WORKDAY($A539,-1,config_Holiday_Calendar_US),WORKDAY($A539,-1,config_Holiday_Calendar_US)),IF(ISNUMBER(_xll.BDH(config!$G$4,S$1,$A539,$A539)),_xll.BDH(config!$G$4,S$1,$A539,$A539),_xll.BDH(config!$G$5,S$1,$A539,$A539))))</f>
        <v/>
      </c>
      <c r="T539" s="8" t="str">
        <f>IF($A539="","",IF(ISNUMBER(FIND("IMPVOL",T$1)),_xll.BDH(config!$G$4,T$1,WORKDAY($A539,-1,config_Holiday_Calendar_US),WORKDAY($A539,-1,config_Holiday_Calendar_US)),IF(ISNUMBER(_xll.BDH(config!$G$4,T$1,$A539,$A539)),_xll.BDH(config!$G$4,T$1,$A539,$A539),_xll.BDH(config!$G$5,T$1,$A539,$A539))))</f>
        <v/>
      </c>
      <c r="U539" s="8" t="str">
        <f>IF($A539="","",IF(ISNUMBER(FIND("IMPVOL",U$1)),_xll.BDH(config!$G$4,U$1,WORKDAY($A539,-1,config_Holiday_Calendar_US),WORKDAY($A539,-1,config_Holiday_Calendar_US)),IF(ISNUMBER(_xll.BDH(config!$G$4,U$1,$A539,$A539)),_xll.BDH(config!$G$4,U$1,$A539,$A539),_xll.BDH(config!$G$5,U$1,$A539,$A539))))</f>
        <v/>
      </c>
      <c r="V539" s="8" t="str">
        <f>IF($A539="","",IF(ISNUMBER(FIND("IMPVOL",V$1)),_xll.BDH(config!$G$4,V$1,WORKDAY($A539,-1,config_Holiday_Calendar_US),WORKDAY($A539,-1,config_Holiday_Calendar_US)),IF(ISNUMBER(_xll.BDH(config!$G$4,V$1,$A539,$A539)),_xll.BDH(config!$G$4,V$1,$A539,$A539),_xll.BDH(config!$G$5,V$1,$A539,$A539))))</f>
        <v/>
      </c>
      <c r="W539" s="8" t="str">
        <f>IF($A539="","",IF(ISNUMBER(FIND("IMPVOL",W$1)),_xll.BDH(config!$G$4,W$1,WORKDAY($A539,-1,config_Holiday_Calendar_US),WORKDAY($A539,-1,config_Holiday_Calendar_US)),IF(ISNUMBER(_xll.BDH(config!$G$4,W$1,$A539,$A539)),_xll.BDH(config!$G$4,W$1,$A539,$A539),_xll.BDH(config!$G$5,W$1,$A539,$A539))))</f>
        <v/>
      </c>
    </row>
    <row r="540" spans="1:23" x14ac:dyDescent="0.2">
      <c r="A540" s="9" t="str">
        <f>IF(A539="","",IF(WORKDAY(A539,-1,config_Holiday_Calendar_US)&lt;config!$I$10,"",WORKDAY(A539,-1,config_Holiday_Calendar_US)))</f>
        <v/>
      </c>
      <c r="B540" s="8" t="str">
        <f t="shared" si="8"/>
        <v/>
      </c>
      <c r="C540" s="8" t="str">
        <f>IF(A540="","",_xll.BDH(config!$H$4,C$1,$A540,$A540))</f>
        <v/>
      </c>
      <c r="D540" s="8" t="str">
        <f>IF($A540="","",_xll.BDH(config!$H$4,D$1,$A540,$A540))</f>
        <v/>
      </c>
      <c r="E540" s="8" t="str">
        <f>IF($A540="","",IF(ISNUMBER(FIND("IMPVOL",E$1)),_xll.BDH(config!$G$4,E$1,WORKDAY($A540,-1,config_Holiday_Calendar_US),WORKDAY($A540,-1,config_Holiday_Calendar_US)),IF(ISNUMBER(_xll.BDH(config!$G$4,E$1,$A540,$A540)),_xll.BDH(config!$G$4,E$1,$A540,$A540),_xll.BDH(config!$G$5,E$1,$A540,$A540))))</f>
        <v/>
      </c>
      <c r="F540" s="8" t="str">
        <f>IF($A540="","",IF(ISNUMBER(FIND("IMPVOL",F$1)),_xll.BDH(config!$G$4,F$1,WORKDAY($A540,-1,config_Holiday_Calendar_US),WORKDAY($A540,-1,config_Holiday_Calendar_US)),IF(ISNUMBER(_xll.BDH(config!$G$4,F$1,$A540,$A540)),_xll.BDH(config!$G$4,F$1,$A540,$A540),_xll.BDH(config!$G$5,F$1,$A540,$A540))))</f>
        <v/>
      </c>
      <c r="G540" s="8" t="str">
        <f>IF($A540="","",IF(ISNUMBER(FIND("IMPVOL",G$1)),_xll.BDH(config!$G$4,G$1,WORKDAY($A540,-1,config_Holiday_Calendar_US),WORKDAY($A540,-1,config_Holiday_Calendar_US)),IF(ISNUMBER(_xll.BDH(config!$G$4,G$1,$A540,$A540)),_xll.BDH(config!$G$4,G$1,$A540,$A540),_xll.BDH(config!$G$5,G$1,$A540,$A540))))</f>
        <v/>
      </c>
      <c r="H540" s="8" t="str">
        <f>IF($A540="","",IF(ISNUMBER(FIND("IMPVOL",H$1)),_xll.BDH(config!$G$4,H$1,WORKDAY($A540,-1,config_Holiday_Calendar_US),WORKDAY($A540,-1,config_Holiday_Calendar_US)),IF(ISNUMBER(_xll.BDH(config!$G$4,H$1,$A540,$A540)),_xll.BDH(config!$G$4,H$1,$A540,$A540),_xll.BDH(config!$G$5,H$1,$A540,$A540))))</f>
        <v/>
      </c>
      <c r="I540" s="8" t="str">
        <f>IF($A540="","",IF(ISNUMBER(FIND("IMPVOL",I$1)),_xll.BDH(config!$G$4,I$1,WORKDAY($A540,-1,config_Holiday_Calendar_US),WORKDAY($A540,-1,config_Holiday_Calendar_US)),IF(ISNUMBER(_xll.BDH(config!$G$4,I$1,$A540,$A540)),_xll.BDH(config!$G$4,I$1,$A540,$A540),_xll.BDH(config!$G$5,I$1,$A540,$A540))))</f>
        <v/>
      </c>
      <c r="J540" s="8" t="str">
        <f>IF($A540="","",IF(ISNUMBER(FIND("IMPVOL",J$1)),_xll.BDH(config!$G$4,J$1,WORKDAY($A540,-1,config_Holiday_Calendar_US),WORKDAY($A540,-1,config_Holiday_Calendar_US)),IF(ISNUMBER(_xll.BDH(config!$G$4,J$1,$A540,$A540)),_xll.BDH(config!$G$4,J$1,$A540,$A540),_xll.BDH(config!$G$5,J$1,$A540,$A540))))</f>
        <v/>
      </c>
      <c r="K540" s="8" t="str">
        <f>IF($A540="","",IF(ISNUMBER(FIND("IMPVOL",K$1)),_xll.BDH(config!$G$4,K$1,WORKDAY($A540,-1,config_Holiday_Calendar_US),WORKDAY($A540,-1,config_Holiday_Calendar_US)),IF(ISNUMBER(_xll.BDH(config!$G$4,K$1,$A540,$A540)),_xll.BDH(config!$G$4,K$1,$A540,$A540),_xll.BDH(config!$G$5,K$1,$A540,$A540))))</f>
        <v/>
      </c>
      <c r="L540" s="8" t="str">
        <f>IF($A540="","",IF(ISNUMBER(FIND("IMPVOL",L$1)),_xll.BDH(config!$G$4,L$1,WORKDAY($A540,-1,config_Holiday_Calendar_US),WORKDAY($A540,-1,config_Holiday_Calendar_US)),IF(ISNUMBER(_xll.BDH(config!$G$4,L$1,$A540,$A540)),_xll.BDH(config!$G$4,L$1,$A540,$A540),_xll.BDH(config!$G$5,L$1,$A540,$A540))))</f>
        <v/>
      </c>
      <c r="M540" s="8" t="str">
        <f>IF($A540="","",IF(ISNUMBER(FIND("IMPVOL",M$1)),_xll.BDH(config!$G$4,M$1,WORKDAY($A540,-1,config_Holiday_Calendar_US),WORKDAY($A540,-1,config_Holiday_Calendar_US)),IF(ISNUMBER(_xll.BDH(config!$G$4,M$1,$A540,$A540)),_xll.BDH(config!$G$4,M$1,$A540,$A540),_xll.BDH(config!$G$5,M$1,$A540,$A540))))</f>
        <v/>
      </c>
      <c r="N540" s="8" t="str">
        <f>IF($A540="","",IF(ISNUMBER(FIND("IMPVOL",N$1)),_xll.BDH(config!$G$4,N$1,WORKDAY($A540,-1,config_Holiday_Calendar_US),WORKDAY($A540,-1,config_Holiday_Calendar_US)),IF(ISNUMBER(_xll.BDH(config!$G$4,N$1,$A540,$A540)),_xll.BDH(config!$G$4,N$1,$A540,$A540),_xll.BDH(config!$G$5,N$1,$A540,$A540))))</f>
        <v/>
      </c>
      <c r="O540" s="8" t="str">
        <f>IF($A540="","",IF(ISNUMBER(FIND("IMPVOL",O$1)),_xll.BDH(config!$G$4,O$1,WORKDAY($A540,-1,config_Holiday_Calendar_US),WORKDAY($A540,-1,config_Holiday_Calendar_US)),IF(ISNUMBER(_xll.BDH(config!$G$4,O$1,$A540,$A540)),_xll.BDH(config!$G$4,O$1,$A540,$A540),_xll.BDH(config!$G$5,O$1,$A540,$A540))))</f>
        <v/>
      </c>
      <c r="P540" s="8" t="str">
        <f>IF($A540="","",IF(ISNUMBER(FIND("IMPVOL",P$1)),_xll.BDH(config!$G$4,P$1,WORKDAY($A540,-1,config_Holiday_Calendar_US),WORKDAY($A540,-1,config_Holiday_Calendar_US)),IF(ISNUMBER(_xll.BDH(config!$G$4,P$1,$A540,$A540)),_xll.BDH(config!$G$4,P$1,$A540,$A540),_xll.BDH(config!$G$5,P$1,$A540,$A540))))</f>
        <v/>
      </c>
      <c r="Q540" s="8" t="str">
        <f>IF($A540="","",IF(ISNUMBER(FIND("IMPVOL",Q$1)),_xll.BDH(config!$G$4,Q$1,WORKDAY($A540,-1,config_Holiday_Calendar_US),WORKDAY($A540,-1,config_Holiday_Calendar_US)),IF(ISNUMBER(_xll.BDH(config!$G$4,Q$1,$A540,$A540)),_xll.BDH(config!$G$4,Q$1,$A540,$A540),_xll.BDH(config!$G$5,Q$1,$A540,$A540))))</f>
        <v/>
      </c>
      <c r="R540" s="8" t="str">
        <f>IF($A540="","",IF(ISNUMBER(FIND("IMPVOL",R$1)),_xll.BDH(config!$G$4,R$1,WORKDAY($A540,-1,config_Holiday_Calendar_US),WORKDAY($A540,-1,config_Holiday_Calendar_US)),IF(ISNUMBER(_xll.BDH(config!$G$4,R$1,$A540,$A540)),_xll.BDH(config!$G$4,R$1,$A540,$A540),_xll.BDH(config!$G$5,R$1,$A540,$A540))))</f>
        <v/>
      </c>
      <c r="S540" s="8" t="str">
        <f>IF($A540="","",IF(ISNUMBER(FIND("IMPVOL",S$1)),_xll.BDH(config!$G$4,S$1,WORKDAY($A540,-1,config_Holiday_Calendar_US),WORKDAY($A540,-1,config_Holiday_Calendar_US)),IF(ISNUMBER(_xll.BDH(config!$G$4,S$1,$A540,$A540)),_xll.BDH(config!$G$4,S$1,$A540,$A540),_xll.BDH(config!$G$5,S$1,$A540,$A540))))</f>
        <v/>
      </c>
      <c r="T540" s="8" t="str">
        <f>IF($A540="","",IF(ISNUMBER(FIND("IMPVOL",T$1)),_xll.BDH(config!$G$4,T$1,WORKDAY($A540,-1,config_Holiday_Calendar_US),WORKDAY($A540,-1,config_Holiday_Calendar_US)),IF(ISNUMBER(_xll.BDH(config!$G$4,T$1,$A540,$A540)),_xll.BDH(config!$G$4,T$1,$A540,$A540),_xll.BDH(config!$G$5,T$1,$A540,$A540))))</f>
        <v/>
      </c>
      <c r="U540" s="8" t="str">
        <f>IF($A540="","",IF(ISNUMBER(FIND("IMPVOL",U$1)),_xll.BDH(config!$G$4,U$1,WORKDAY($A540,-1,config_Holiday_Calendar_US),WORKDAY($A540,-1,config_Holiday_Calendar_US)),IF(ISNUMBER(_xll.BDH(config!$G$4,U$1,$A540,$A540)),_xll.BDH(config!$G$4,U$1,$A540,$A540),_xll.BDH(config!$G$5,U$1,$A540,$A540))))</f>
        <v/>
      </c>
      <c r="V540" s="8" t="str">
        <f>IF($A540="","",IF(ISNUMBER(FIND("IMPVOL",V$1)),_xll.BDH(config!$G$4,V$1,WORKDAY($A540,-1,config_Holiday_Calendar_US),WORKDAY($A540,-1,config_Holiday_Calendar_US)),IF(ISNUMBER(_xll.BDH(config!$G$4,V$1,$A540,$A540)),_xll.BDH(config!$G$4,V$1,$A540,$A540),_xll.BDH(config!$G$5,V$1,$A540,$A540))))</f>
        <v/>
      </c>
      <c r="W540" s="8" t="str">
        <f>IF($A540="","",IF(ISNUMBER(FIND("IMPVOL",W$1)),_xll.BDH(config!$G$4,W$1,WORKDAY($A540,-1,config_Holiday_Calendar_US),WORKDAY($A540,-1,config_Holiday_Calendar_US)),IF(ISNUMBER(_xll.BDH(config!$G$4,W$1,$A540,$A540)),_xll.BDH(config!$G$4,W$1,$A540,$A540),_xll.BDH(config!$G$5,W$1,$A540,$A540))))</f>
        <v/>
      </c>
    </row>
    <row r="541" spans="1:23" x14ac:dyDescent="0.2">
      <c r="A541" s="9" t="str">
        <f>IF(A540="","",IF(WORKDAY(A540,-1,config_Holiday_Calendar_US)&lt;config!$I$10,"",WORKDAY(A540,-1,config_Holiday_Calendar_US)))</f>
        <v/>
      </c>
      <c r="B541" s="8" t="str">
        <f t="shared" si="8"/>
        <v/>
      </c>
      <c r="C541" s="8" t="str">
        <f>IF(A541="","",_xll.BDH(config!$H$4,C$1,$A541,$A541))</f>
        <v/>
      </c>
      <c r="D541" s="8" t="str">
        <f>IF($A541="","",_xll.BDH(config!$H$4,D$1,$A541,$A541))</f>
        <v/>
      </c>
      <c r="E541" s="8" t="str">
        <f>IF($A541="","",IF(ISNUMBER(FIND("IMPVOL",E$1)),_xll.BDH(config!$G$4,E$1,WORKDAY($A541,-1,config_Holiday_Calendar_US),WORKDAY($A541,-1,config_Holiday_Calendar_US)),IF(ISNUMBER(_xll.BDH(config!$G$4,E$1,$A541,$A541)),_xll.BDH(config!$G$4,E$1,$A541,$A541),_xll.BDH(config!$G$5,E$1,$A541,$A541))))</f>
        <v/>
      </c>
      <c r="F541" s="8" t="str">
        <f>IF($A541="","",IF(ISNUMBER(FIND("IMPVOL",F$1)),_xll.BDH(config!$G$4,F$1,WORKDAY($A541,-1,config_Holiday_Calendar_US),WORKDAY($A541,-1,config_Holiday_Calendar_US)),IF(ISNUMBER(_xll.BDH(config!$G$4,F$1,$A541,$A541)),_xll.BDH(config!$G$4,F$1,$A541,$A541),_xll.BDH(config!$G$5,F$1,$A541,$A541))))</f>
        <v/>
      </c>
      <c r="G541" s="8" t="str">
        <f>IF($A541="","",IF(ISNUMBER(FIND("IMPVOL",G$1)),_xll.BDH(config!$G$4,G$1,WORKDAY($A541,-1,config_Holiday_Calendar_US),WORKDAY($A541,-1,config_Holiday_Calendar_US)),IF(ISNUMBER(_xll.BDH(config!$G$4,G$1,$A541,$A541)),_xll.BDH(config!$G$4,G$1,$A541,$A541),_xll.BDH(config!$G$5,G$1,$A541,$A541))))</f>
        <v/>
      </c>
      <c r="H541" s="8" t="str">
        <f>IF($A541="","",IF(ISNUMBER(FIND("IMPVOL",H$1)),_xll.BDH(config!$G$4,H$1,WORKDAY($A541,-1,config_Holiday_Calendar_US),WORKDAY($A541,-1,config_Holiday_Calendar_US)),IF(ISNUMBER(_xll.BDH(config!$G$4,H$1,$A541,$A541)),_xll.BDH(config!$G$4,H$1,$A541,$A541),_xll.BDH(config!$G$5,H$1,$A541,$A541))))</f>
        <v/>
      </c>
      <c r="I541" s="8" t="str">
        <f>IF($A541="","",IF(ISNUMBER(FIND("IMPVOL",I$1)),_xll.BDH(config!$G$4,I$1,WORKDAY($A541,-1,config_Holiday_Calendar_US),WORKDAY($A541,-1,config_Holiday_Calendar_US)),IF(ISNUMBER(_xll.BDH(config!$G$4,I$1,$A541,$A541)),_xll.BDH(config!$G$4,I$1,$A541,$A541),_xll.BDH(config!$G$5,I$1,$A541,$A541))))</f>
        <v/>
      </c>
      <c r="J541" s="8" t="str">
        <f>IF($A541="","",IF(ISNUMBER(FIND("IMPVOL",J$1)),_xll.BDH(config!$G$4,J$1,WORKDAY($A541,-1,config_Holiday_Calendar_US),WORKDAY($A541,-1,config_Holiday_Calendar_US)),IF(ISNUMBER(_xll.BDH(config!$G$4,J$1,$A541,$A541)),_xll.BDH(config!$G$4,J$1,$A541,$A541),_xll.BDH(config!$G$5,J$1,$A541,$A541))))</f>
        <v/>
      </c>
      <c r="K541" s="8" t="str">
        <f>IF($A541="","",IF(ISNUMBER(FIND("IMPVOL",K$1)),_xll.BDH(config!$G$4,K$1,WORKDAY($A541,-1,config_Holiday_Calendar_US),WORKDAY($A541,-1,config_Holiday_Calendar_US)),IF(ISNUMBER(_xll.BDH(config!$G$4,K$1,$A541,$A541)),_xll.BDH(config!$G$4,K$1,$A541,$A541),_xll.BDH(config!$G$5,K$1,$A541,$A541))))</f>
        <v/>
      </c>
      <c r="L541" s="8" t="str">
        <f>IF($A541="","",IF(ISNUMBER(FIND("IMPVOL",L$1)),_xll.BDH(config!$G$4,L$1,WORKDAY($A541,-1,config_Holiday_Calendar_US),WORKDAY($A541,-1,config_Holiday_Calendar_US)),IF(ISNUMBER(_xll.BDH(config!$G$4,L$1,$A541,$A541)),_xll.BDH(config!$G$4,L$1,$A541,$A541),_xll.BDH(config!$G$5,L$1,$A541,$A541))))</f>
        <v/>
      </c>
      <c r="M541" s="8" t="str">
        <f>IF($A541="","",IF(ISNUMBER(FIND("IMPVOL",M$1)),_xll.BDH(config!$G$4,M$1,WORKDAY($A541,-1,config_Holiday_Calendar_US),WORKDAY($A541,-1,config_Holiday_Calendar_US)),IF(ISNUMBER(_xll.BDH(config!$G$4,M$1,$A541,$A541)),_xll.BDH(config!$G$4,M$1,$A541,$A541),_xll.BDH(config!$G$5,M$1,$A541,$A541))))</f>
        <v/>
      </c>
      <c r="N541" s="8" t="str">
        <f>IF($A541="","",IF(ISNUMBER(FIND("IMPVOL",N$1)),_xll.BDH(config!$G$4,N$1,WORKDAY($A541,-1,config_Holiday_Calendar_US),WORKDAY($A541,-1,config_Holiday_Calendar_US)),IF(ISNUMBER(_xll.BDH(config!$G$4,N$1,$A541,$A541)),_xll.BDH(config!$G$4,N$1,$A541,$A541),_xll.BDH(config!$G$5,N$1,$A541,$A541))))</f>
        <v/>
      </c>
      <c r="O541" s="8" t="str">
        <f>IF($A541="","",IF(ISNUMBER(FIND("IMPVOL",O$1)),_xll.BDH(config!$G$4,O$1,WORKDAY($A541,-1,config_Holiday_Calendar_US),WORKDAY($A541,-1,config_Holiday_Calendar_US)),IF(ISNUMBER(_xll.BDH(config!$G$4,O$1,$A541,$A541)),_xll.BDH(config!$G$4,O$1,$A541,$A541),_xll.BDH(config!$G$5,O$1,$A541,$A541))))</f>
        <v/>
      </c>
      <c r="P541" s="8" t="str">
        <f>IF($A541="","",IF(ISNUMBER(FIND("IMPVOL",P$1)),_xll.BDH(config!$G$4,P$1,WORKDAY($A541,-1,config_Holiday_Calendar_US),WORKDAY($A541,-1,config_Holiday_Calendar_US)),IF(ISNUMBER(_xll.BDH(config!$G$4,P$1,$A541,$A541)),_xll.BDH(config!$G$4,P$1,$A541,$A541),_xll.BDH(config!$G$5,P$1,$A541,$A541))))</f>
        <v/>
      </c>
      <c r="Q541" s="8" t="str">
        <f>IF($A541="","",IF(ISNUMBER(FIND("IMPVOL",Q$1)),_xll.BDH(config!$G$4,Q$1,WORKDAY($A541,-1,config_Holiday_Calendar_US),WORKDAY($A541,-1,config_Holiday_Calendar_US)),IF(ISNUMBER(_xll.BDH(config!$G$4,Q$1,$A541,$A541)),_xll.BDH(config!$G$4,Q$1,$A541,$A541),_xll.BDH(config!$G$5,Q$1,$A541,$A541))))</f>
        <v/>
      </c>
      <c r="R541" s="8" t="str">
        <f>IF($A541="","",IF(ISNUMBER(FIND("IMPVOL",R$1)),_xll.BDH(config!$G$4,R$1,WORKDAY($A541,-1,config_Holiday_Calendar_US),WORKDAY($A541,-1,config_Holiday_Calendar_US)),IF(ISNUMBER(_xll.BDH(config!$G$4,R$1,$A541,$A541)),_xll.BDH(config!$G$4,R$1,$A541,$A541),_xll.BDH(config!$G$5,R$1,$A541,$A541))))</f>
        <v/>
      </c>
      <c r="S541" s="8" t="str">
        <f>IF($A541="","",IF(ISNUMBER(FIND("IMPVOL",S$1)),_xll.BDH(config!$G$4,S$1,WORKDAY($A541,-1,config_Holiday_Calendar_US),WORKDAY($A541,-1,config_Holiday_Calendar_US)),IF(ISNUMBER(_xll.BDH(config!$G$4,S$1,$A541,$A541)),_xll.BDH(config!$G$4,S$1,$A541,$A541),_xll.BDH(config!$G$5,S$1,$A541,$A541))))</f>
        <v/>
      </c>
      <c r="T541" s="8" t="str">
        <f>IF($A541="","",IF(ISNUMBER(FIND("IMPVOL",T$1)),_xll.BDH(config!$G$4,T$1,WORKDAY($A541,-1,config_Holiday_Calendar_US),WORKDAY($A541,-1,config_Holiday_Calendar_US)),IF(ISNUMBER(_xll.BDH(config!$G$4,T$1,$A541,$A541)),_xll.BDH(config!$G$4,T$1,$A541,$A541),_xll.BDH(config!$G$5,T$1,$A541,$A541))))</f>
        <v/>
      </c>
      <c r="U541" s="8" t="str">
        <f>IF($A541="","",IF(ISNUMBER(FIND("IMPVOL",U$1)),_xll.BDH(config!$G$4,U$1,WORKDAY($A541,-1,config_Holiday_Calendar_US),WORKDAY($A541,-1,config_Holiday_Calendar_US)),IF(ISNUMBER(_xll.BDH(config!$G$4,U$1,$A541,$A541)),_xll.BDH(config!$G$4,U$1,$A541,$A541),_xll.BDH(config!$G$5,U$1,$A541,$A541))))</f>
        <v/>
      </c>
      <c r="V541" s="8" t="str">
        <f>IF($A541="","",IF(ISNUMBER(FIND("IMPVOL",V$1)),_xll.BDH(config!$G$4,V$1,WORKDAY($A541,-1,config_Holiday_Calendar_US),WORKDAY($A541,-1,config_Holiday_Calendar_US)),IF(ISNUMBER(_xll.BDH(config!$G$4,V$1,$A541,$A541)),_xll.BDH(config!$G$4,V$1,$A541,$A541),_xll.BDH(config!$G$5,V$1,$A541,$A541))))</f>
        <v/>
      </c>
      <c r="W541" s="8" t="str">
        <f>IF($A541="","",IF(ISNUMBER(FIND("IMPVOL",W$1)),_xll.BDH(config!$G$4,W$1,WORKDAY($A541,-1,config_Holiday_Calendar_US),WORKDAY($A541,-1,config_Holiday_Calendar_US)),IF(ISNUMBER(_xll.BDH(config!$G$4,W$1,$A541,$A541)),_xll.BDH(config!$G$4,W$1,$A541,$A541),_xll.BDH(config!$G$5,W$1,$A541,$A541))))</f>
        <v/>
      </c>
    </row>
    <row r="542" spans="1:23" x14ac:dyDescent="0.2">
      <c r="A542" s="9" t="str">
        <f>IF(A541="","",IF(WORKDAY(A541,-1,config_Holiday_Calendar_US)&lt;config!$I$10,"",WORKDAY(A541,-1,config_Holiday_Calendar_US)))</f>
        <v/>
      </c>
      <c r="B542" s="8" t="str">
        <f t="shared" si="8"/>
        <v/>
      </c>
      <c r="C542" s="8" t="str">
        <f>IF(A542="","",_xll.BDH(config!$H$4,C$1,$A542,$A542))</f>
        <v/>
      </c>
      <c r="D542" s="8" t="str">
        <f>IF($A542="","",_xll.BDH(config!$H$4,D$1,$A542,$A542))</f>
        <v/>
      </c>
      <c r="E542" s="8" t="str">
        <f>IF($A542="","",IF(ISNUMBER(FIND("IMPVOL",E$1)),_xll.BDH(config!$G$4,E$1,WORKDAY($A542,-1,config_Holiday_Calendar_US),WORKDAY($A542,-1,config_Holiday_Calendar_US)),IF(ISNUMBER(_xll.BDH(config!$G$4,E$1,$A542,$A542)),_xll.BDH(config!$G$4,E$1,$A542,$A542),_xll.BDH(config!$G$5,E$1,$A542,$A542))))</f>
        <v/>
      </c>
      <c r="F542" s="8" t="str">
        <f>IF($A542="","",IF(ISNUMBER(FIND("IMPVOL",F$1)),_xll.BDH(config!$G$4,F$1,WORKDAY($A542,-1,config_Holiday_Calendar_US),WORKDAY($A542,-1,config_Holiday_Calendar_US)),IF(ISNUMBER(_xll.BDH(config!$G$4,F$1,$A542,$A542)),_xll.BDH(config!$G$4,F$1,$A542,$A542),_xll.BDH(config!$G$5,F$1,$A542,$A542))))</f>
        <v/>
      </c>
      <c r="G542" s="8" t="str">
        <f>IF($A542="","",IF(ISNUMBER(FIND("IMPVOL",G$1)),_xll.BDH(config!$G$4,G$1,WORKDAY($A542,-1,config_Holiday_Calendar_US),WORKDAY($A542,-1,config_Holiday_Calendar_US)),IF(ISNUMBER(_xll.BDH(config!$G$4,G$1,$A542,$A542)),_xll.BDH(config!$G$4,G$1,$A542,$A542),_xll.BDH(config!$G$5,G$1,$A542,$A542))))</f>
        <v/>
      </c>
      <c r="H542" s="8" t="str">
        <f>IF($A542="","",IF(ISNUMBER(FIND("IMPVOL",H$1)),_xll.BDH(config!$G$4,H$1,WORKDAY($A542,-1,config_Holiday_Calendar_US),WORKDAY($A542,-1,config_Holiday_Calendar_US)),IF(ISNUMBER(_xll.BDH(config!$G$4,H$1,$A542,$A542)),_xll.BDH(config!$G$4,H$1,$A542,$A542),_xll.BDH(config!$G$5,H$1,$A542,$A542))))</f>
        <v/>
      </c>
      <c r="I542" s="8" t="str">
        <f>IF($A542="","",IF(ISNUMBER(FIND("IMPVOL",I$1)),_xll.BDH(config!$G$4,I$1,WORKDAY($A542,-1,config_Holiday_Calendar_US),WORKDAY($A542,-1,config_Holiday_Calendar_US)),IF(ISNUMBER(_xll.BDH(config!$G$4,I$1,$A542,$A542)),_xll.BDH(config!$G$4,I$1,$A542,$A542),_xll.BDH(config!$G$5,I$1,$A542,$A542))))</f>
        <v/>
      </c>
      <c r="J542" s="8" t="str">
        <f>IF($A542="","",IF(ISNUMBER(FIND("IMPVOL",J$1)),_xll.BDH(config!$G$4,J$1,WORKDAY($A542,-1,config_Holiday_Calendar_US),WORKDAY($A542,-1,config_Holiday_Calendar_US)),IF(ISNUMBER(_xll.BDH(config!$G$4,J$1,$A542,$A542)),_xll.BDH(config!$G$4,J$1,$A542,$A542),_xll.BDH(config!$G$5,J$1,$A542,$A542))))</f>
        <v/>
      </c>
      <c r="K542" s="8" t="str">
        <f>IF($A542="","",IF(ISNUMBER(FIND("IMPVOL",K$1)),_xll.BDH(config!$G$4,K$1,WORKDAY($A542,-1,config_Holiday_Calendar_US),WORKDAY($A542,-1,config_Holiday_Calendar_US)),IF(ISNUMBER(_xll.BDH(config!$G$4,K$1,$A542,$A542)),_xll.BDH(config!$G$4,K$1,$A542,$A542),_xll.BDH(config!$G$5,K$1,$A542,$A542))))</f>
        <v/>
      </c>
      <c r="L542" s="8" t="str">
        <f>IF($A542="","",IF(ISNUMBER(FIND("IMPVOL",L$1)),_xll.BDH(config!$G$4,L$1,WORKDAY($A542,-1,config_Holiday_Calendar_US),WORKDAY($A542,-1,config_Holiday_Calendar_US)),IF(ISNUMBER(_xll.BDH(config!$G$4,L$1,$A542,$A542)),_xll.BDH(config!$G$4,L$1,$A542,$A542),_xll.BDH(config!$G$5,L$1,$A542,$A542))))</f>
        <v/>
      </c>
      <c r="M542" s="8" t="str">
        <f>IF($A542="","",IF(ISNUMBER(FIND("IMPVOL",M$1)),_xll.BDH(config!$G$4,M$1,WORKDAY($A542,-1,config_Holiday_Calendar_US),WORKDAY($A542,-1,config_Holiday_Calendar_US)),IF(ISNUMBER(_xll.BDH(config!$G$4,M$1,$A542,$A542)),_xll.BDH(config!$G$4,M$1,$A542,$A542),_xll.BDH(config!$G$5,M$1,$A542,$A542))))</f>
        <v/>
      </c>
      <c r="N542" s="8" t="str">
        <f>IF($A542="","",IF(ISNUMBER(FIND("IMPVOL",N$1)),_xll.BDH(config!$G$4,N$1,WORKDAY($A542,-1,config_Holiday_Calendar_US),WORKDAY($A542,-1,config_Holiday_Calendar_US)),IF(ISNUMBER(_xll.BDH(config!$G$4,N$1,$A542,$A542)),_xll.BDH(config!$G$4,N$1,$A542,$A542),_xll.BDH(config!$G$5,N$1,$A542,$A542))))</f>
        <v/>
      </c>
      <c r="O542" s="8" t="str">
        <f>IF($A542="","",IF(ISNUMBER(FIND("IMPVOL",O$1)),_xll.BDH(config!$G$4,O$1,WORKDAY($A542,-1,config_Holiday_Calendar_US),WORKDAY($A542,-1,config_Holiday_Calendar_US)),IF(ISNUMBER(_xll.BDH(config!$G$4,O$1,$A542,$A542)),_xll.BDH(config!$G$4,O$1,$A542,$A542),_xll.BDH(config!$G$5,O$1,$A542,$A542))))</f>
        <v/>
      </c>
      <c r="P542" s="8" t="str">
        <f>IF($A542="","",IF(ISNUMBER(FIND("IMPVOL",P$1)),_xll.BDH(config!$G$4,P$1,WORKDAY($A542,-1,config_Holiday_Calendar_US),WORKDAY($A542,-1,config_Holiday_Calendar_US)),IF(ISNUMBER(_xll.BDH(config!$G$4,P$1,$A542,$A542)),_xll.BDH(config!$G$4,P$1,$A542,$A542),_xll.BDH(config!$G$5,P$1,$A542,$A542))))</f>
        <v/>
      </c>
      <c r="Q542" s="8" t="str">
        <f>IF($A542="","",IF(ISNUMBER(FIND("IMPVOL",Q$1)),_xll.BDH(config!$G$4,Q$1,WORKDAY($A542,-1,config_Holiday_Calendar_US),WORKDAY($A542,-1,config_Holiday_Calendar_US)),IF(ISNUMBER(_xll.BDH(config!$G$4,Q$1,$A542,$A542)),_xll.BDH(config!$G$4,Q$1,$A542,$A542),_xll.BDH(config!$G$5,Q$1,$A542,$A542))))</f>
        <v/>
      </c>
      <c r="R542" s="8" t="str">
        <f>IF($A542="","",IF(ISNUMBER(FIND("IMPVOL",R$1)),_xll.BDH(config!$G$4,R$1,WORKDAY($A542,-1,config_Holiday_Calendar_US),WORKDAY($A542,-1,config_Holiday_Calendar_US)),IF(ISNUMBER(_xll.BDH(config!$G$4,R$1,$A542,$A542)),_xll.BDH(config!$G$4,R$1,$A542,$A542),_xll.BDH(config!$G$5,R$1,$A542,$A542))))</f>
        <v/>
      </c>
      <c r="S542" s="8" t="str">
        <f>IF($A542="","",IF(ISNUMBER(FIND("IMPVOL",S$1)),_xll.BDH(config!$G$4,S$1,WORKDAY($A542,-1,config_Holiday_Calendar_US),WORKDAY($A542,-1,config_Holiday_Calendar_US)),IF(ISNUMBER(_xll.BDH(config!$G$4,S$1,$A542,$A542)),_xll.BDH(config!$G$4,S$1,$A542,$A542),_xll.BDH(config!$G$5,S$1,$A542,$A542))))</f>
        <v/>
      </c>
      <c r="T542" s="8" t="str">
        <f>IF($A542="","",IF(ISNUMBER(FIND("IMPVOL",T$1)),_xll.BDH(config!$G$4,T$1,WORKDAY($A542,-1,config_Holiday_Calendar_US),WORKDAY($A542,-1,config_Holiday_Calendar_US)),IF(ISNUMBER(_xll.BDH(config!$G$4,T$1,$A542,$A542)),_xll.BDH(config!$G$4,T$1,$A542,$A542),_xll.BDH(config!$G$5,T$1,$A542,$A542))))</f>
        <v/>
      </c>
      <c r="U542" s="8" t="str">
        <f>IF($A542="","",IF(ISNUMBER(FIND("IMPVOL",U$1)),_xll.BDH(config!$G$4,U$1,WORKDAY($A542,-1,config_Holiday_Calendar_US),WORKDAY($A542,-1,config_Holiday_Calendar_US)),IF(ISNUMBER(_xll.BDH(config!$G$4,U$1,$A542,$A542)),_xll.BDH(config!$G$4,U$1,$A542,$A542),_xll.BDH(config!$G$5,U$1,$A542,$A542))))</f>
        <v/>
      </c>
      <c r="V542" s="8" t="str">
        <f>IF($A542="","",IF(ISNUMBER(FIND("IMPVOL",V$1)),_xll.BDH(config!$G$4,V$1,WORKDAY($A542,-1,config_Holiday_Calendar_US),WORKDAY($A542,-1,config_Holiday_Calendar_US)),IF(ISNUMBER(_xll.BDH(config!$G$4,V$1,$A542,$A542)),_xll.BDH(config!$G$4,V$1,$A542,$A542),_xll.BDH(config!$G$5,V$1,$A542,$A542))))</f>
        <v/>
      </c>
      <c r="W542" s="8" t="str">
        <f>IF($A542="","",IF(ISNUMBER(FIND("IMPVOL",W$1)),_xll.BDH(config!$G$4,W$1,WORKDAY($A542,-1,config_Holiday_Calendar_US),WORKDAY($A542,-1,config_Holiday_Calendar_US)),IF(ISNUMBER(_xll.BDH(config!$G$4,W$1,$A542,$A542)),_xll.BDH(config!$G$4,W$1,$A542,$A542),_xll.BDH(config!$G$5,W$1,$A542,$A542))))</f>
        <v/>
      </c>
    </row>
    <row r="543" spans="1:23" x14ac:dyDescent="0.2">
      <c r="A543" s="9" t="str">
        <f>IF(A542="","",IF(WORKDAY(A542,-1,config_Holiday_Calendar_US)&lt;config!$I$10,"",WORKDAY(A542,-1,config_Holiday_Calendar_US)))</f>
        <v/>
      </c>
      <c r="B543" s="8" t="str">
        <f t="shared" si="8"/>
        <v/>
      </c>
      <c r="C543" s="8" t="str">
        <f>IF(A543="","",_xll.BDH(config!$H$4,C$1,$A543,$A543))</f>
        <v/>
      </c>
      <c r="D543" s="8" t="str">
        <f>IF($A543="","",_xll.BDH(config!$H$4,D$1,$A543,$A543))</f>
        <v/>
      </c>
      <c r="E543" s="8" t="str">
        <f>IF($A543="","",IF(ISNUMBER(FIND("IMPVOL",E$1)),_xll.BDH(config!$G$4,E$1,WORKDAY($A543,-1,config_Holiday_Calendar_US),WORKDAY($A543,-1,config_Holiday_Calendar_US)),IF(ISNUMBER(_xll.BDH(config!$G$4,E$1,$A543,$A543)),_xll.BDH(config!$G$4,E$1,$A543,$A543),_xll.BDH(config!$G$5,E$1,$A543,$A543))))</f>
        <v/>
      </c>
      <c r="F543" s="8" t="str">
        <f>IF($A543="","",IF(ISNUMBER(FIND("IMPVOL",F$1)),_xll.BDH(config!$G$4,F$1,WORKDAY($A543,-1,config_Holiday_Calendar_US),WORKDAY($A543,-1,config_Holiday_Calendar_US)),IF(ISNUMBER(_xll.BDH(config!$G$4,F$1,$A543,$A543)),_xll.BDH(config!$G$4,F$1,$A543,$A543),_xll.BDH(config!$G$5,F$1,$A543,$A543))))</f>
        <v/>
      </c>
      <c r="G543" s="8" t="str">
        <f>IF($A543="","",IF(ISNUMBER(FIND("IMPVOL",G$1)),_xll.BDH(config!$G$4,G$1,WORKDAY($A543,-1,config_Holiday_Calendar_US),WORKDAY($A543,-1,config_Holiday_Calendar_US)),IF(ISNUMBER(_xll.BDH(config!$G$4,G$1,$A543,$A543)),_xll.BDH(config!$G$4,G$1,$A543,$A543),_xll.BDH(config!$G$5,G$1,$A543,$A543))))</f>
        <v/>
      </c>
      <c r="H543" s="8" t="str">
        <f>IF($A543="","",IF(ISNUMBER(FIND("IMPVOL",H$1)),_xll.BDH(config!$G$4,H$1,WORKDAY($A543,-1,config_Holiday_Calendar_US),WORKDAY($A543,-1,config_Holiday_Calendar_US)),IF(ISNUMBER(_xll.BDH(config!$G$4,H$1,$A543,$A543)),_xll.BDH(config!$G$4,H$1,$A543,$A543),_xll.BDH(config!$G$5,H$1,$A543,$A543))))</f>
        <v/>
      </c>
      <c r="I543" s="8" t="str">
        <f>IF($A543="","",IF(ISNUMBER(FIND("IMPVOL",I$1)),_xll.BDH(config!$G$4,I$1,WORKDAY($A543,-1,config_Holiday_Calendar_US),WORKDAY($A543,-1,config_Holiday_Calendar_US)),IF(ISNUMBER(_xll.BDH(config!$G$4,I$1,$A543,$A543)),_xll.BDH(config!$G$4,I$1,$A543,$A543),_xll.BDH(config!$G$5,I$1,$A543,$A543))))</f>
        <v/>
      </c>
      <c r="J543" s="8" t="str">
        <f>IF($A543="","",IF(ISNUMBER(FIND("IMPVOL",J$1)),_xll.BDH(config!$G$4,J$1,WORKDAY($A543,-1,config_Holiday_Calendar_US),WORKDAY($A543,-1,config_Holiday_Calendar_US)),IF(ISNUMBER(_xll.BDH(config!$G$4,J$1,$A543,$A543)),_xll.BDH(config!$G$4,J$1,$A543,$A543),_xll.BDH(config!$G$5,J$1,$A543,$A543))))</f>
        <v/>
      </c>
      <c r="K543" s="8" t="str">
        <f>IF($A543="","",IF(ISNUMBER(FIND("IMPVOL",K$1)),_xll.BDH(config!$G$4,K$1,WORKDAY($A543,-1,config_Holiday_Calendar_US),WORKDAY($A543,-1,config_Holiday_Calendar_US)),IF(ISNUMBER(_xll.BDH(config!$G$4,K$1,$A543,$A543)),_xll.BDH(config!$G$4,K$1,$A543,$A543),_xll.BDH(config!$G$5,K$1,$A543,$A543))))</f>
        <v/>
      </c>
      <c r="L543" s="8" t="str">
        <f>IF($A543="","",IF(ISNUMBER(FIND("IMPVOL",L$1)),_xll.BDH(config!$G$4,L$1,WORKDAY($A543,-1,config_Holiday_Calendar_US),WORKDAY($A543,-1,config_Holiday_Calendar_US)),IF(ISNUMBER(_xll.BDH(config!$G$4,L$1,$A543,$A543)),_xll.BDH(config!$G$4,L$1,$A543,$A543),_xll.BDH(config!$G$5,L$1,$A543,$A543))))</f>
        <v/>
      </c>
      <c r="M543" s="8" t="str">
        <f>IF($A543="","",IF(ISNUMBER(FIND("IMPVOL",M$1)),_xll.BDH(config!$G$4,M$1,WORKDAY($A543,-1,config_Holiday_Calendar_US),WORKDAY($A543,-1,config_Holiday_Calendar_US)),IF(ISNUMBER(_xll.BDH(config!$G$4,M$1,$A543,$A543)),_xll.BDH(config!$G$4,M$1,$A543,$A543),_xll.BDH(config!$G$5,M$1,$A543,$A543))))</f>
        <v/>
      </c>
      <c r="N543" s="8" t="str">
        <f>IF($A543="","",IF(ISNUMBER(FIND("IMPVOL",N$1)),_xll.BDH(config!$G$4,N$1,WORKDAY($A543,-1,config_Holiday_Calendar_US),WORKDAY($A543,-1,config_Holiday_Calendar_US)),IF(ISNUMBER(_xll.BDH(config!$G$4,N$1,$A543,$A543)),_xll.BDH(config!$G$4,N$1,$A543,$A543),_xll.BDH(config!$G$5,N$1,$A543,$A543))))</f>
        <v/>
      </c>
      <c r="O543" s="8" t="str">
        <f>IF($A543="","",IF(ISNUMBER(FIND("IMPVOL",O$1)),_xll.BDH(config!$G$4,O$1,WORKDAY($A543,-1,config_Holiday_Calendar_US),WORKDAY($A543,-1,config_Holiday_Calendar_US)),IF(ISNUMBER(_xll.BDH(config!$G$4,O$1,$A543,$A543)),_xll.BDH(config!$G$4,O$1,$A543,$A543),_xll.BDH(config!$G$5,O$1,$A543,$A543))))</f>
        <v/>
      </c>
      <c r="P543" s="8" t="str">
        <f>IF($A543="","",IF(ISNUMBER(FIND("IMPVOL",P$1)),_xll.BDH(config!$G$4,P$1,WORKDAY($A543,-1,config_Holiday_Calendar_US),WORKDAY($A543,-1,config_Holiday_Calendar_US)),IF(ISNUMBER(_xll.BDH(config!$G$4,P$1,$A543,$A543)),_xll.BDH(config!$G$4,P$1,$A543,$A543),_xll.BDH(config!$G$5,P$1,$A543,$A543))))</f>
        <v/>
      </c>
      <c r="Q543" s="8" t="str">
        <f>IF($A543="","",IF(ISNUMBER(FIND("IMPVOL",Q$1)),_xll.BDH(config!$G$4,Q$1,WORKDAY($A543,-1,config_Holiday_Calendar_US),WORKDAY($A543,-1,config_Holiday_Calendar_US)),IF(ISNUMBER(_xll.BDH(config!$G$4,Q$1,$A543,$A543)),_xll.BDH(config!$G$4,Q$1,$A543,$A543),_xll.BDH(config!$G$5,Q$1,$A543,$A543))))</f>
        <v/>
      </c>
      <c r="R543" s="8" t="str">
        <f>IF($A543="","",IF(ISNUMBER(FIND("IMPVOL",R$1)),_xll.BDH(config!$G$4,R$1,WORKDAY($A543,-1,config_Holiday_Calendar_US),WORKDAY($A543,-1,config_Holiday_Calendar_US)),IF(ISNUMBER(_xll.BDH(config!$G$4,R$1,$A543,$A543)),_xll.BDH(config!$G$4,R$1,$A543,$A543),_xll.BDH(config!$G$5,R$1,$A543,$A543))))</f>
        <v/>
      </c>
      <c r="S543" s="8" t="str">
        <f>IF($A543="","",IF(ISNUMBER(FIND("IMPVOL",S$1)),_xll.BDH(config!$G$4,S$1,WORKDAY($A543,-1,config_Holiday_Calendar_US),WORKDAY($A543,-1,config_Holiday_Calendar_US)),IF(ISNUMBER(_xll.BDH(config!$G$4,S$1,$A543,$A543)),_xll.BDH(config!$G$4,S$1,$A543,$A543),_xll.BDH(config!$G$5,S$1,$A543,$A543))))</f>
        <v/>
      </c>
      <c r="T543" s="8" t="str">
        <f>IF($A543="","",IF(ISNUMBER(FIND("IMPVOL",T$1)),_xll.BDH(config!$G$4,T$1,WORKDAY($A543,-1,config_Holiday_Calendar_US),WORKDAY($A543,-1,config_Holiday_Calendar_US)),IF(ISNUMBER(_xll.BDH(config!$G$4,T$1,$A543,$A543)),_xll.BDH(config!$G$4,T$1,$A543,$A543),_xll.BDH(config!$G$5,T$1,$A543,$A543))))</f>
        <v/>
      </c>
      <c r="U543" s="8" t="str">
        <f>IF($A543="","",IF(ISNUMBER(FIND("IMPVOL",U$1)),_xll.BDH(config!$G$4,U$1,WORKDAY($A543,-1,config_Holiday_Calendar_US),WORKDAY($A543,-1,config_Holiday_Calendar_US)),IF(ISNUMBER(_xll.BDH(config!$G$4,U$1,$A543,$A543)),_xll.BDH(config!$G$4,U$1,$A543,$A543),_xll.BDH(config!$G$5,U$1,$A543,$A543))))</f>
        <v/>
      </c>
      <c r="V543" s="8" t="str">
        <f>IF($A543="","",IF(ISNUMBER(FIND("IMPVOL",V$1)),_xll.BDH(config!$G$4,V$1,WORKDAY($A543,-1,config_Holiday_Calendar_US),WORKDAY($A543,-1,config_Holiday_Calendar_US)),IF(ISNUMBER(_xll.BDH(config!$G$4,V$1,$A543,$A543)),_xll.BDH(config!$G$4,V$1,$A543,$A543),_xll.BDH(config!$G$5,V$1,$A543,$A543))))</f>
        <v/>
      </c>
      <c r="W543" s="8" t="str">
        <f>IF($A543="","",IF(ISNUMBER(FIND("IMPVOL",W$1)),_xll.BDH(config!$G$4,W$1,WORKDAY($A543,-1,config_Holiday_Calendar_US),WORKDAY($A543,-1,config_Holiday_Calendar_US)),IF(ISNUMBER(_xll.BDH(config!$G$4,W$1,$A543,$A543)),_xll.BDH(config!$G$4,W$1,$A543,$A543),_xll.BDH(config!$G$5,W$1,$A543,$A543))))</f>
        <v/>
      </c>
    </row>
    <row r="544" spans="1:23" x14ac:dyDescent="0.2">
      <c r="A544" s="9" t="str">
        <f>IF(A543="","",IF(WORKDAY(A543,-1,config_Holiday_Calendar_US)&lt;config!$I$10,"",WORKDAY(A543,-1,config_Holiday_Calendar_US)))</f>
        <v/>
      </c>
      <c r="B544" s="8" t="str">
        <f t="shared" si="8"/>
        <v/>
      </c>
      <c r="C544" s="8" t="str">
        <f>IF(A544="","",_xll.BDH(config!$H$4,C$1,$A544,$A544))</f>
        <v/>
      </c>
      <c r="D544" s="8" t="str">
        <f>IF($A544="","",_xll.BDH(config!$H$4,D$1,$A544,$A544))</f>
        <v/>
      </c>
      <c r="E544" s="8" t="str">
        <f>IF($A544="","",IF(ISNUMBER(FIND("IMPVOL",E$1)),_xll.BDH(config!$G$4,E$1,WORKDAY($A544,-1,config_Holiday_Calendar_US),WORKDAY($A544,-1,config_Holiday_Calendar_US)),IF(ISNUMBER(_xll.BDH(config!$G$4,E$1,$A544,$A544)),_xll.BDH(config!$G$4,E$1,$A544,$A544),_xll.BDH(config!$G$5,E$1,$A544,$A544))))</f>
        <v/>
      </c>
      <c r="F544" s="8" t="str">
        <f>IF($A544="","",IF(ISNUMBER(FIND("IMPVOL",F$1)),_xll.BDH(config!$G$4,F$1,WORKDAY($A544,-1,config_Holiday_Calendar_US),WORKDAY($A544,-1,config_Holiday_Calendar_US)),IF(ISNUMBER(_xll.BDH(config!$G$4,F$1,$A544,$A544)),_xll.BDH(config!$G$4,F$1,$A544,$A544),_xll.BDH(config!$G$5,F$1,$A544,$A544))))</f>
        <v/>
      </c>
      <c r="G544" s="8" t="str">
        <f>IF($A544="","",IF(ISNUMBER(FIND("IMPVOL",G$1)),_xll.BDH(config!$G$4,G$1,WORKDAY($A544,-1,config_Holiday_Calendar_US),WORKDAY($A544,-1,config_Holiday_Calendar_US)),IF(ISNUMBER(_xll.BDH(config!$G$4,G$1,$A544,$A544)),_xll.BDH(config!$G$4,G$1,$A544,$A544),_xll.BDH(config!$G$5,G$1,$A544,$A544))))</f>
        <v/>
      </c>
      <c r="H544" s="8" t="str">
        <f>IF($A544="","",IF(ISNUMBER(FIND("IMPVOL",H$1)),_xll.BDH(config!$G$4,H$1,WORKDAY($A544,-1,config_Holiday_Calendar_US),WORKDAY($A544,-1,config_Holiday_Calendar_US)),IF(ISNUMBER(_xll.BDH(config!$G$4,H$1,$A544,$A544)),_xll.BDH(config!$G$4,H$1,$A544,$A544),_xll.BDH(config!$G$5,H$1,$A544,$A544))))</f>
        <v/>
      </c>
      <c r="I544" s="8" t="str">
        <f>IF($A544="","",IF(ISNUMBER(FIND("IMPVOL",I$1)),_xll.BDH(config!$G$4,I$1,WORKDAY($A544,-1,config_Holiday_Calendar_US),WORKDAY($A544,-1,config_Holiday_Calendar_US)),IF(ISNUMBER(_xll.BDH(config!$G$4,I$1,$A544,$A544)),_xll.BDH(config!$G$4,I$1,$A544,$A544),_xll.BDH(config!$G$5,I$1,$A544,$A544))))</f>
        <v/>
      </c>
      <c r="J544" s="8" t="str">
        <f>IF($A544="","",IF(ISNUMBER(FIND("IMPVOL",J$1)),_xll.BDH(config!$G$4,J$1,WORKDAY($A544,-1,config_Holiday_Calendar_US),WORKDAY($A544,-1,config_Holiday_Calendar_US)),IF(ISNUMBER(_xll.BDH(config!$G$4,J$1,$A544,$A544)),_xll.BDH(config!$G$4,J$1,$A544,$A544),_xll.BDH(config!$G$5,J$1,$A544,$A544))))</f>
        <v/>
      </c>
      <c r="K544" s="8" t="str">
        <f>IF($A544="","",IF(ISNUMBER(FIND("IMPVOL",K$1)),_xll.BDH(config!$G$4,K$1,WORKDAY($A544,-1,config_Holiday_Calendar_US),WORKDAY($A544,-1,config_Holiday_Calendar_US)),IF(ISNUMBER(_xll.BDH(config!$G$4,K$1,$A544,$A544)),_xll.BDH(config!$G$4,K$1,$A544,$A544),_xll.BDH(config!$G$5,K$1,$A544,$A544))))</f>
        <v/>
      </c>
      <c r="L544" s="8" t="str">
        <f>IF($A544="","",IF(ISNUMBER(FIND("IMPVOL",L$1)),_xll.BDH(config!$G$4,L$1,WORKDAY($A544,-1,config_Holiday_Calendar_US),WORKDAY($A544,-1,config_Holiday_Calendar_US)),IF(ISNUMBER(_xll.BDH(config!$G$4,L$1,$A544,$A544)),_xll.BDH(config!$G$4,L$1,$A544,$A544),_xll.BDH(config!$G$5,L$1,$A544,$A544))))</f>
        <v/>
      </c>
      <c r="M544" s="8" t="str">
        <f>IF($A544="","",IF(ISNUMBER(FIND("IMPVOL",M$1)),_xll.BDH(config!$G$4,M$1,WORKDAY($A544,-1,config_Holiday_Calendar_US),WORKDAY($A544,-1,config_Holiday_Calendar_US)),IF(ISNUMBER(_xll.BDH(config!$G$4,M$1,$A544,$A544)),_xll.BDH(config!$G$4,M$1,$A544,$A544),_xll.BDH(config!$G$5,M$1,$A544,$A544))))</f>
        <v/>
      </c>
      <c r="N544" s="8" t="str">
        <f>IF($A544="","",IF(ISNUMBER(FIND("IMPVOL",N$1)),_xll.BDH(config!$G$4,N$1,WORKDAY($A544,-1,config_Holiday_Calendar_US),WORKDAY($A544,-1,config_Holiday_Calendar_US)),IF(ISNUMBER(_xll.BDH(config!$G$4,N$1,$A544,$A544)),_xll.BDH(config!$G$4,N$1,$A544,$A544),_xll.BDH(config!$G$5,N$1,$A544,$A544))))</f>
        <v/>
      </c>
      <c r="O544" s="8" t="str">
        <f>IF($A544="","",IF(ISNUMBER(FIND("IMPVOL",O$1)),_xll.BDH(config!$G$4,O$1,WORKDAY($A544,-1,config_Holiday_Calendar_US),WORKDAY($A544,-1,config_Holiday_Calendar_US)),IF(ISNUMBER(_xll.BDH(config!$G$4,O$1,$A544,$A544)),_xll.BDH(config!$G$4,O$1,$A544,$A544),_xll.BDH(config!$G$5,O$1,$A544,$A544))))</f>
        <v/>
      </c>
      <c r="P544" s="8" t="str">
        <f>IF($A544="","",IF(ISNUMBER(FIND("IMPVOL",P$1)),_xll.BDH(config!$G$4,P$1,WORKDAY($A544,-1,config_Holiday_Calendar_US),WORKDAY($A544,-1,config_Holiday_Calendar_US)),IF(ISNUMBER(_xll.BDH(config!$G$4,P$1,$A544,$A544)),_xll.BDH(config!$G$4,P$1,$A544,$A544),_xll.BDH(config!$G$5,P$1,$A544,$A544))))</f>
        <v/>
      </c>
      <c r="Q544" s="8" t="str">
        <f>IF($A544="","",IF(ISNUMBER(FIND("IMPVOL",Q$1)),_xll.BDH(config!$G$4,Q$1,WORKDAY($A544,-1,config_Holiday_Calendar_US),WORKDAY($A544,-1,config_Holiday_Calendar_US)),IF(ISNUMBER(_xll.BDH(config!$G$4,Q$1,$A544,$A544)),_xll.BDH(config!$G$4,Q$1,$A544,$A544),_xll.BDH(config!$G$5,Q$1,$A544,$A544))))</f>
        <v/>
      </c>
      <c r="R544" s="8" t="str">
        <f>IF($A544="","",IF(ISNUMBER(FIND("IMPVOL",R$1)),_xll.BDH(config!$G$4,R$1,WORKDAY($A544,-1,config_Holiday_Calendar_US),WORKDAY($A544,-1,config_Holiday_Calendar_US)),IF(ISNUMBER(_xll.BDH(config!$G$4,R$1,$A544,$A544)),_xll.BDH(config!$G$4,R$1,$A544,$A544),_xll.BDH(config!$G$5,R$1,$A544,$A544))))</f>
        <v/>
      </c>
      <c r="S544" s="8" t="str">
        <f>IF($A544="","",IF(ISNUMBER(FIND("IMPVOL",S$1)),_xll.BDH(config!$G$4,S$1,WORKDAY($A544,-1,config_Holiday_Calendar_US),WORKDAY($A544,-1,config_Holiday_Calendar_US)),IF(ISNUMBER(_xll.BDH(config!$G$4,S$1,$A544,$A544)),_xll.BDH(config!$G$4,S$1,$A544,$A544),_xll.BDH(config!$G$5,S$1,$A544,$A544))))</f>
        <v/>
      </c>
      <c r="T544" s="8" t="str">
        <f>IF($A544="","",IF(ISNUMBER(FIND("IMPVOL",T$1)),_xll.BDH(config!$G$4,T$1,WORKDAY($A544,-1,config_Holiday_Calendar_US),WORKDAY($A544,-1,config_Holiday_Calendar_US)),IF(ISNUMBER(_xll.BDH(config!$G$4,T$1,$A544,$A544)),_xll.BDH(config!$G$4,T$1,$A544,$A544),_xll.BDH(config!$G$5,T$1,$A544,$A544))))</f>
        <v/>
      </c>
      <c r="U544" s="8" t="str">
        <f>IF($A544="","",IF(ISNUMBER(FIND("IMPVOL",U$1)),_xll.BDH(config!$G$4,U$1,WORKDAY($A544,-1,config_Holiday_Calendar_US),WORKDAY($A544,-1,config_Holiday_Calendar_US)),IF(ISNUMBER(_xll.BDH(config!$G$4,U$1,$A544,$A544)),_xll.BDH(config!$G$4,U$1,$A544,$A544),_xll.BDH(config!$G$5,U$1,$A544,$A544))))</f>
        <v/>
      </c>
      <c r="V544" s="8" t="str">
        <f>IF($A544="","",IF(ISNUMBER(FIND("IMPVOL",V$1)),_xll.BDH(config!$G$4,V$1,WORKDAY($A544,-1,config_Holiday_Calendar_US),WORKDAY($A544,-1,config_Holiday_Calendar_US)),IF(ISNUMBER(_xll.BDH(config!$G$4,V$1,$A544,$A544)),_xll.BDH(config!$G$4,V$1,$A544,$A544),_xll.BDH(config!$G$5,V$1,$A544,$A544))))</f>
        <v/>
      </c>
      <c r="W544" s="8" t="str">
        <f>IF($A544="","",IF(ISNUMBER(FIND("IMPVOL",W$1)),_xll.BDH(config!$G$4,W$1,WORKDAY($A544,-1,config_Holiday_Calendar_US),WORKDAY($A544,-1,config_Holiday_Calendar_US)),IF(ISNUMBER(_xll.BDH(config!$G$4,W$1,$A544,$A544)),_xll.BDH(config!$G$4,W$1,$A544,$A544),_xll.BDH(config!$G$5,W$1,$A544,$A544))))</f>
        <v/>
      </c>
    </row>
    <row r="545" spans="1:23" x14ac:dyDescent="0.2">
      <c r="A545" s="9" t="str">
        <f>IF(A544="","",IF(WORKDAY(A544,-1,config_Holiday_Calendar_US)&lt;config!$I$10,"",WORKDAY(A544,-1,config_Holiday_Calendar_US)))</f>
        <v/>
      </c>
      <c r="B545" s="8" t="str">
        <f t="shared" si="8"/>
        <v/>
      </c>
      <c r="C545" s="8" t="str">
        <f>IF(A545="","",_xll.BDH(config!$H$4,C$1,$A545,$A545))</f>
        <v/>
      </c>
      <c r="D545" s="8" t="str">
        <f>IF($A545="","",_xll.BDH(config!$H$4,D$1,$A545,$A545))</f>
        <v/>
      </c>
      <c r="E545" s="8" t="str">
        <f>IF($A545="","",IF(ISNUMBER(FIND("IMPVOL",E$1)),_xll.BDH(config!$G$4,E$1,WORKDAY($A545,-1,config_Holiday_Calendar_US),WORKDAY($A545,-1,config_Holiday_Calendar_US)),IF(ISNUMBER(_xll.BDH(config!$G$4,E$1,$A545,$A545)),_xll.BDH(config!$G$4,E$1,$A545,$A545),_xll.BDH(config!$G$5,E$1,$A545,$A545))))</f>
        <v/>
      </c>
      <c r="F545" s="8" t="str">
        <f>IF($A545="","",IF(ISNUMBER(FIND("IMPVOL",F$1)),_xll.BDH(config!$G$4,F$1,WORKDAY($A545,-1,config_Holiday_Calendar_US),WORKDAY($A545,-1,config_Holiday_Calendar_US)),IF(ISNUMBER(_xll.BDH(config!$G$4,F$1,$A545,$A545)),_xll.BDH(config!$G$4,F$1,$A545,$A545),_xll.BDH(config!$G$5,F$1,$A545,$A545))))</f>
        <v/>
      </c>
      <c r="G545" s="8" t="str">
        <f>IF($A545="","",IF(ISNUMBER(FIND("IMPVOL",G$1)),_xll.BDH(config!$G$4,G$1,WORKDAY($A545,-1,config_Holiday_Calendar_US),WORKDAY($A545,-1,config_Holiday_Calendar_US)),IF(ISNUMBER(_xll.BDH(config!$G$4,G$1,$A545,$A545)),_xll.BDH(config!$G$4,G$1,$A545,$A545),_xll.BDH(config!$G$5,G$1,$A545,$A545))))</f>
        <v/>
      </c>
      <c r="H545" s="8" t="str">
        <f>IF($A545="","",IF(ISNUMBER(FIND("IMPVOL",H$1)),_xll.BDH(config!$G$4,H$1,WORKDAY($A545,-1,config_Holiday_Calendar_US),WORKDAY($A545,-1,config_Holiday_Calendar_US)),IF(ISNUMBER(_xll.BDH(config!$G$4,H$1,$A545,$A545)),_xll.BDH(config!$G$4,H$1,$A545,$A545),_xll.BDH(config!$G$5,H$1,$A545,$A545))))</f>
        <v/>
      </c>
      <c r="I545" s="8" t="str">
        <f>IF($A545="","",IF(ISNUMBER(FIND("IMPVOL",I$1)),_xll.BDH(config!$G$4,I$1,WORKDAY($A545,-1,config_Holiday_Calendar_US),WORKDAY($A545,-1,config_Holiday_Calendar_US)),IF(ISNUMBER(_xll.BDH(config!$G$4,I$1,$A545,$A545)),_xll.BDH(config!$G$4,I$1,$A545,$A545),_xll.BDH(config!$G$5,I$1,$A545,$A545))))</f>
        <v/>
      </c>
      <c r="J545" s="8" t="str">
        <f>IF($A545="","",IF(ISNUMBER(FIND("IMPVOL",J$1)),_xll.BDH(config!$G$4,J$1,WORKDAY($A545,-1,config_Holiday_Calendar_US),WORKDAY($A545,-1,config_Holiday_Calendar_US)),IF(ISNUMBER(_xll.BDH(config!$G$4,J$1,$A545,$A545)),_xll.BDH(config!$G$4,J$1,$A545,$A545),_xll.BDH(config!$G$5,J$1,$A545,$A545))))</f>
        <v/>
      </c>
      <c r="K545" s="8" t="str">
        <f>IF($A545="","",IF(ISNUMBER(FIND("IMPVOL",K$1)),_xll.BDH(config!$G$4,K$1,WORKDAY($A545,-1,config_Holiday_Calendar_US),WORKDAY($A545,-1,config_Holiday_Calendar_US)),IF(ISNUMBER(_xll.BDH(config!$G$4,K$1,$A545,$A545)),_xll.BDH(config!$G$4,K$1,$A545,$A545),_xll.BDH(config!$G$5,K$1,$A545,$A545))))</f>
        <v/>
      </c>
      <c r="L545" s="8" t="str">
        <f>IF($A545="","",IF(ISNUMBER(FIND("IMPVOL",L$1)),_xll.BDH(config!$G$4,L$1,WORKDAY($A545,-1,config_Holiday_Calendar_US),WORKDAY($A545,-1,config_Holiday_Calendar_US)),IF(ISNUMBER(_xll.BDH(config!$G$4,L$1,$A545,$A545)),_xll.BDH(config!$G$4,L$1,$A545,$A545),_xll.BDH(config!$G$5,L$1,$A545,$A545))))</f>
        <v/>
      </c>
      <c r="M545" s="8" t="str">
        <f>IF($A545="","",IF(ISNUMBER(FIND("IMPVOL",M$1)),_xll.BDH(config!$G$4,M$1,WORKDAY($A545,-1,config_Holiday_Calendar_US),WORKDAY($A545,-1,config_Holiday_Calendar_US)),IF(ISNUMBER(_xll.BDH(config!$G$4,M$1,$A545,$A545)),_xll.BDH(config!$G$4,M$1,$A545,$A545),_xll.BDH(config!$G$5,M$1,$A545,$A545))))</f>
        <v/>
      </c>
      <c r="N545" s="8" t="str">
        <f>IF($A545="","",IF(ISNUMBER(FIND("IMPVOL",N$1)),_xll.BDH(config!$G$4,N$1,WORKDAY($A545,-1,config_Holiday_Calendar_US),WORKDAY($A545,-1,config_Holiday_Calendar_US)),IF(ISNUMBER(_xll.BDH(config!$G$4,N$1,$A545,$A545)),_xll.BDH(config!$G$4,N$1,$A545,$A545),_xll.BDH(config!$G$5,N$1,$A545,$A545))))</f>
        <v/>
      </c>
      <c r="O545" s="8" t="str">
        <f>IF($A545="","",IF(ISNUMBER(FIND("IMPVOL",O$1)),_xll.BDH(config!$G$4,O$1,WORKDAY($A545,-1,config_Holiday_Calendar_US),WORKDAY($A545,-1,config_Holiday_Calendar_US)),IF(ISNUMBER(_xll.BDH(config!$G$4,O$1,$A545,$A545)),_xll.BDH(config!$G$4,O$1,$A545,$A545),_xll.BDH(config!$G$5,O$1,$A545,$A545))))</f>
        <v/>
      </c>
      <c r="P545" s="8" t="str">
        <f>IF($A545="","",IF(ISNUMBER(FIND("IMPVOL",P$1)),_xll.BDH(config!$G$4,P$1,WORKDAY($A545,-1,config_Holiday_Calendar_US),WORKDAY($A545,-1,config_Holiday_Calendar_US)),IF(ISNUMBER(_xll.BDH(config!$G$4,P$1,$A545,$A545)),_xll.BDH(config!$G$4,P$1,$A545,$A545),_xll.BDH(config!$G$5,P$1,$A545,$A545))))</f>
        <v/>
      </c>
      <c r="Q545" s="8" t="str">
        <f>IF($A545="","",IF(ISNUMBER(FIND("IMPVOL",Q$1)),_xll.BDH(config!$G$4,Q$1,WORKDAY($A545,-1,config_Holiday_Calendar_US),WORKDAY($A545,-1,config_Holiday_Calendar_US)),IF(ISNUMBER(_xll.BDH(config!$G$4,Q$1,$A545,$A545)),_xll.BDH(config!$G$4,Q$1,$A545,$A545),_xll.BDH(config!$G$5,Q$1,$A545,$A545))))</f>
        <v/>
      </c>
      <c r="R545" s="8" t="str">
        <f>IF($A545="","",IF(ISNUMBER(FIND("IMPVOL",R$1)),_xll.BDH(config!$G$4,R$1,WORKDAY($A545,-1,config_Holiday_Calendar_US),WORKDAY($A545,-1,config_Holiday_Calendar_US)),IF(ISNUMBER(_xll.BDH(config!$G$4,R$1,$A545,$A545)),_xll.BDH(config!$G$4,R$1,$A545,$A545),_xll.BDH(config!$G$5,R$1,$A545,$A545))))</f>
        <v/>
      </c>
      <c r="S545" s="8" t="str">
        <f>IF($A545="","",IF(ISNUMBER(FIND("IMPVOL",S$1)),_xll.BDH(config!$G$4,S$1,WORKDAY($A545,-1,config_Holiday_Calendar_US),WORKDAY($A545,-1,config_Holiday_Calendar_US)),IF(ISNUMBER(_xll.BDH(config!$G$4,S$1,$A545,$A545)),_xll.BDH(config!$G$4,S$1,$A545,$A545),_xll.BDH(config!$G$5,S$1,$A545,$A545))))</f>
        <v/>
      </c>
      <c r="T545" s="8" t="str">
        <f>IF($A545="","",IF(ISNUMBER(FIND("IMPVOL",T$1)),_xll.BDH(config!$G$4,T$1,WORKDAY($A545,-1,config_Holiday_Calendar_US),WORKDAY($A545,-1,config_Holiday_Calendar_US)),IF(ISNUMBER(_xll.BDH(config!$G$4,T$1,$A545,$A545)),_xll.BDH(config!$G$4,T$1,$A545,$A545),_xll.BDH(config!$G$5,T$1,$A545,$A545))))</f>
        <v/>
      </c>
      <c r="U545" s="8" t="str">
        <f>IF($A545="","",IF(ISNUMBER(FIND("IMPVOL",U$1)),_xll.BDH(config!$G$4,U$1,WORKDAY($A545,-1,config_Holiday_Calendar_US),WORKDAY($A545,-1,config_Holiday_Calendar_US)),IF(ISNUMBER(_xll.BDH(config!$G$4,U$1,$A545,$A545)),_xll.BDH(config!$G$4,U$1,$A545,$A545),_xll.BDH(config!$G$5,U$1,$A545,$A545))))</f>
        <v/>
      </c>
      <c r="V545" s="8" t="str">
        <f>IF($A545="","",IF(ISNUMBER(FIND("IMPVOL",V$1)),_xll.BDH(config!$G$4,V$1,WORKDAY($A545,-1,config_Holiday_Calendar_US),WORKDAY($A545,-1,config_Holiday_Calendar_US)),IF(ISNUMBER(_xll.BDH(config!$G$4,V$1,$A545,$A545)),_xll.BDH(config!$G$4,V$1,$A545,$A545),_xll.BDH(config!$G$5,V$1,$A545,$A545))))</f>
        <v/>
      </c>
      <c r="W545" s="8" t="str">
        <f>IF($A545="","",IF(ISNUMBER(FIND("IMPVOL",W$1)),_xll.BDH(config!$G$4,W$1,WORKDAY($A545,-1,config_Holiday_Calendar_US),WORKDAY($A545,-1,config_Holiday_Calendar_US)),IF(ISNUMBER(_xll.BDH(config!$G$4,W$1,$A545,$A545)),_xll.BDH(config!$G$4,W$1,$A545,$A545),_xll.BDH(config!$G$5,W$1,$A545,$A545))))</f>
        <v/>
      </c>
    </row>
    <row r="546" spans="1:23" x14ac:dyDescent="0.2">
      <c r="A546" s="9" t="str">
        <f>IF(A545="","",IF(WORKDAY(A545,-1,config_Holiday_Calendar_US)&lt;config!$I$10,"",WORKDAY(A545,-1,config_Holiday_Calendar_US)))</f>
        <v/>
      </c>
      <c r="B546" s="8" t="str">
        <f t="shared" si="8"/>
        <v/>
      </c>
      <c r="C546" s="8" t="str">
        <f>IF(A546="","",_xll.BDH(config!$H$4,C$1,$A546,$A546))</f>
        <v/>
      </c>
      <c r="D546" s="8" t="str">
        <f>IF($A546="","",_xll.BDH(config!$H$4,D$1,$A546,$A546))</f>
        <v/>
      </c>
      <c r="E546" s="8" t="str">
        <f>IF($A546="","",IF(ISNUMBER(FIND("IMPVOL",E$1)),_xll.BDH(config!$G$4,E$1,WORKDAY($A546,-1,config_Holiday_Calendar_US),WORKDAY($A546,-1,config_Holiday_Calendar_US)),IF(ISNUMBER(_xll.BDH(config!$G$4,E$1,$A546,$A546)),_xll.BDH(config!$G$4,E$1,$A546,$A546),_xll.BDH(config!$G$5,E$1,$A546,$A546))))</f>
        <v/>
      </c>
      <c r="F546" s="8" t="str">
        <f>IF($A546="","",IF(ISNUMBER(FIND("IMPVOL",F$1)),_xll.BDH(config!$G$4,F$1,WORKDAY($A546,-1,config_Holiday_Calendar_US),WORKDAY($A546,-1,config_Holiday_Calendar_US)),IF(ISNUMBER(_xll.BDH(config!$G$4,F$1,$A546,$A546)),_xll.BDH(config!$G$4,F$1,$A546,$A546),_xll.BDH(config!$G$5,F$1,$A546,$A546))))</f>
        <v/>
      </c>
      <c r="G546" s="8" t="str">
        <f>IF($A546="","",IF(ISNUMBER(FIND("IMPVOL",G$1)),_xll.BDH(config!$G$4,G$1,WORKDAY($A546,-1,config_Holiday_Calendar_US),WORKDAY($A546,-1,config_Holiday_Calendar_US)),IF(ISNUMBER(_xll.BDH(config!$G$4,G$1,$A546,$A546)),_xll.BDH(config!$G$4,G$1,$A546,$A546),_xll.BDH(config!$G$5,G$1,$A546,$A546))))</f>
        <v/>
      </c>
      <c r="H546" s="8" t="str">
        <f>IF($A546="","",IF(ISNUMBER(FIND("IMPVOL",H$1)),_xll.BDH(config!$G$4,H$1,WORKDAY($A546,-1,config_Holiday_Calendar_US),WORKDAY($A546,-1,config_Holiday_Calendar_US)),IF(ISNUMBER(_xll.BDH(config!$G$4,H$1,$A546,$A546)),_xll.BDH(config!$G$4,H$1,$A546,$A546),_xll.BDH(config!$G$5,H$1,$A546,$A546))))</f>
        <v/>
      </c>
      <c r="I546" s="8" t="str">
        <f>IF($A546="","",IF(ISNUMBER(FIND("IMPVOL",I$1)),_xll.BDH(config!$G$4,I$1,WORKDAY($A546,-1,config_Holiday_Calendar_US),WORKDAY($A546,-1,config_Holiday_Calendar_US)),IF(ISNUMBER(_xll.BDH(config!$G$4,I$1,$A546,$A546)),_xll.BDH(config!$G$4,I$1,$A546,$A546),_xll.BDH(config!$G$5,I$1,$A546,$A546))))</f>
        <v/>
      </c>
      <c r="J546" s="8" t="str">
        <f>IF($A546="","",IF(ISNUMBER(FIND("IMPVOL",J$1)),_xll.BDH(config!$G$4,J$1,WORKDAY($A546,-1,config_Holiday_Calendar_US),WORKDAY($A546,-1,config_Holiday_Calendar_US)),IF(ISNUMBER(_xll.BDH(config!$G$4,J$1,$A546,$A546)),_xll.BDH(config!$G$4,J$1,$A546,$A546),_xll.BDH(config!$G$5,J$1,$A546,$A546))))</f>
        <v/>
      </c>
      <c r="K546" s="8" t="str">
        <f>IF($A546="","",IF(ISNUMBER(FIND("IMPVOL",K$1)),_xll.BDH(config!$G$4,K$1,WORKDAY($A546,-1,config_Holiday_Calendar_US),WORKDAY($A546,-1,config_Holiday_Calendar_US)),IF(ISNUMBER(_xll.BDH(config!$G$4,K$1,$A546,$A546)),_xll.BDH(config!$G$4,K$1,$A546,$A546),_xll.BDH(config!$G$5,K$1,$A546,$A546))))</f>
        <v/>
      </c>
      <c r="L546" s="8" t="str">
        <f>IF($A546="","",IF(ISNUMBER(FIND("IMPVOL",L$1)),_xll.BDH(config!$G$4,L$1,WORKDAY($A546,-1,config_Holiday_Calendar_US),WORKDAY($A546,-1,config_Holiday_Calendar_US)),IF(ISNUMBER(_xll.BDH(config!$G$4,L$1,$A546,$A546)),_xll.BDH(config!$G$4,L$1,$A546,$A546),_xll.BDH(config!$G$5,L$1,$A546,$A546))))</f>
        <v/>
      </c>
      <c r="M546" s="8" t="str">
        <f>IF($A546="","",IF(ISNUMBER(FIND("IMPVOL",M$1)),_xll.BDH(config!$G$4,M$1,WORKDAY($A546,-1,config_Holiday_Calendar_US),WORKDAY($A546,-1,config_Holiday_Calendar_US)),IF(ISNUMBER(_xll.BDH(config!$G$4,M$1,$A546,$A546)),_xll.BDH(config!$G$4,M$1,$A546,$A546),_xll.BDH(config!$G$5,M$1,$A546,$A546))))</f>
        <v/>
      </c>
      <c r="N546" s="8" t="str">
        <f>IF($A546="","",IF(ISNUMBER(FIND("IMPVOL",N$1)),_xll.BDH(config!$G$4,N$1,WORKDAY($A546,-1,config_Holiday_Calendar_US),WORKDAY($A546,-1,config_Holiday_Calendar_US)),IF(ISNUMBER(_xll.BDH(config!$G$4,N$1,$A546,$A546)),_xll.BDH(config!$G$4,N$1,$A546,$A546),_xll.BDH(config!$G$5,N$1,$A546,$A546))))</f>
        <v/>
      </c>
      <c r="O546" s="8" t="str">
        <f>IF($A546="","",IF(ISNUMBER(FIND("IMPVOL",O$1)),_xll.BDH(config!$G$4,O$1,WORKDAY($A546,-1,config_Holiday_Calendar_US),WORKDAY($A546,-1,config_Holiday_Calendar_US)),IF(ISNUMBER(_xll.BDH(config!$G$4,O$1,$A546,$A546)),_xll.BDH(config!$G$4,O$1,$A546,$A546),_xll.BDH(config!$G$5,O$1,$A546,$A546))))</f>
        <v/>
      </c>
      <c r="P546" s="8" t="str">
        <f>IF($A546="","",IF(ISNUMBER(FIND("IMPVOL",P$1)),_xll.BDH(config!$G$4,P$1,WORKDAY($A546,-1,config_Holiday_Calendar_US),WORKDAY($A546,-1,config_Holiday_Calendar_US)),IF(ISNUMBER(_xll.BDH(config!$G$4,P$1,$A546,$A546)),_xll.BDH(config!$G$4,P$1,$A546,$A546),_xll.BDH(config!$G$5,P$1,$A546,$A546))))</f>
        <v/>
      </c>
      <c r="Q546" s="8" t="str">
        <f>IF($A546="","",IF(ISNUMBER(FIND("IMPVOL",Q$1)),_xll.BDH(config!$G$4,Q$1,WORKDAY($A546,-1,config_Holiday_Calendar_US),WORKDAY($A546,-1,config_Holiday_Calendar_US)),IF(ISNUMBER(_xll.BDH(config!$G$4,Q$1,$A546,$A546)),_xll.BDH(config!$G$4,Q$1,$A546,$A546),_xll.BDH(config!$G$5,Q$1,$A546,$A546))))</f>
        <v/>
      </c>
      <c r="R546" s="8" t="str">
        <f>IF($A546="","",IF(ISNUMBER(FIND("IMPVOL",R$1)),_xll.BDH(config!$G$4,R$1,WORKDAY($A546,-1,config_Holiday_Calendar_US),WORKDAY($A546,-1,config_Holiday_Calendar_US)),IF(ISNUMBER(_xll.BDH(config!$G$4,R$1,$A546,$A546)),_xll.BDH(config!$G$4,R$1,$A546,$A546),_xll.BDH(config!$G$5,R$1,$A546,$A546))))</f>
        <v/>
      </c>
      <c r="S546" s="8" t="str">
        <f>IF($A546="","",IF(ISNUMBER(FIND("IMPVOL",S$1)),_xll.BDH(config!$G$4,S$1,WORKDAY($A546,-1,config_Holiday_Calendar_US),WORKDAY($A546,-1,config_Holiday_Calendar_US)),IF(ISNUMBER(_xll.BDH(config!$G$4,S$1,$A546,$A546)),_xll.BDH(config!$G$4,S$1,$A546,$A546),_xll.BDH(config!$G$5,S$1,$A546,$A546))))</f>
        <v/>
      </c>
      <c r="T546" s="8" t="str">
        <f>IF($A546="","",IF(ISNUMBER(FIND("IMPVOL",T$1)),_xll.BDH(config!$G$4,T$1,WORKDAY($A546,-1,config_Holiday_Calendar_US),WORKDAY($A546,-1,config_Holiday_Calendar_US)),IF(ISNUMBER(_xll.BDH(config!$G$4,T$1,$A546,$A546)),_xll.BDH(config!$G$4,T$1,$A546,$A546),_xll.BDH(config!$G$5,T$1,$A546,$A546))))</f>
        <v/>
      </c>
      <c r="U546" s="8" t="str">
        <f>IF($A546="","",IF(ISNUMBER(FIND("IMPVOL",U$1)),_xll.BDH(config!$G$4,U$1,WORKDAY($A546,-1,config_Holiday_Calendar_US),WORKDAY($A546,-1,config_Holiday_Calendar_US)),IF(ISNUMBER(_xll.BDH(config!$G$4,U$1,$A546,$A546)),_xll.BDH(config!$G$4,U$1,$A546,$A546),_xll.BDH(config!$G$5,U$1,$A546,$A546))))</f>
        <v/>
      </c>
      <c r="V546" s="8" t="str">
        <f>IF($A546="","",IF(ISNUMBER(FIND("IMPVOL",V$1)),_xll.BDH(config!$G$4,V$1,WORKDAY($A546,-1,config_Holiday_Calendar_US),WORKDAY($A546,-1,config_Holiday_Calendar_US)),IF(ISNUMBER(_xll.BDH(config!$G$4,V$1,$A546,$A546)),_xll.BDH(config!$G$4,V$1,$A546,$A546),_xll.BDH(config!$G$5,V$1,$A546,$A546))))</f>
        <v/>
      </c>
      <c r="W546" s="8" t="str">
        <f>IF($A546="","",IF(ISNUMBER(FIND("IMPVOL",W$1)),_xll.BDH(config!$G$4,W$1,WORKDAY($A546,-1,config_Holiday_Calendar_US),WORKDAY($A546,-1,config_Holiday_Calendar_US)),IF(ISNUMBER(_xll.BDH(config!$G$4,W$1,$A546,$A546)),_xll.BDH(config!$G$4,W$1,$A546,$A546),_xll.BDH(config!$G$5,W$1,$A546,$A546))))</f>
        <v/>
      </c>
    </row>
    <row r="547" spans="1:23" x14ac:dyDescent="0.2">
      <c r="A547" s="9" t="str">
        <f>IF(A546="","",IF(WORKDAY(A546,-1,config_Holiday_Calendar_US)&lt;config!$I$10,"",WORKDAY(A546,-1,config_Holiday_Calendar_US)))</f>
        <v/>
      </c>
      <c r="B547" s="8" t="str">
        <f t="shared" si="8"/>
        <v/>
      </c>
      <c r="C547" s="8" t="str">
        <f>IF(A547="","",_xll.BDH(config!$H$4,C$1,$A547,$A547))</f>
        <v/>
      </c>
      <c r="D547" s="8" t="str">
        <f>IF($A547="","",_xll.BDH(config!$H$4,D$1,$A547,$A547))</f>
        <v/>
      </c>
      <c r="E547" s="8" t="str">
        <f>IF($A547="","",IF(ISNUMBER(FIND("IMPVOL",E$1)),_xll.BDH(config!$G$4,E$1,WORKDAY($A547,-1,config_Holiday_Calendar_US),WORKDAY($A547,-1,config_Holiday_Calendar_US)),IF(ISNUMBER(_xll.BDH(config!$G$4,E$1,$A547,$A547)),_xll.BDH(config!$G$4,E$1,$A547,$A547),_xll.BDH(config!$G$5,E$1,$A547,$A547))))</f>
        <v/>
      </c>
      <c r="F547" s="8" t="str">
        <f>IF($A547="","",IF(ISNUMBER(FIND("IMPVOL",F$1)),_xll.BDH(config!$G$4,F$1,WORKDAY($A547,-1,config_Holiday_Calendar_US),WORKDAY($A547,-1,config_Holiday_Calendar_US)),IF(ISNUMBER(_xll.BDH(config!$G$4,F$1,$A547,$A547)),_xll.BDH(config!$G$4,F$1,$A547,$A547),_xll.BDH(config!$G$5,F$1,$A547,$A547))))</f>
        <v/>
      </c>
      <c r="G547" s="8" t="str">
        <f>IF($A547="","",IF(ISNUMBER(FIND("IMPVOL",G$1)),_xll.BDH(config!$G$4,G$1,WORKDAY($A547,-1,config_Holiday_Calendar_US),WORKDAY($A547,-1,config_Holiday_Calendar_US)),IF(ISNUMBER(_xll.BDH(config!$G$4,G$1,$A547,$A547)),_xll.BDH(config!$G$4,G$1,$A547,$A547),_xll.BDH(config!$G$5,G$1,$A547,$A547))))</f>
        <v/>
      </c>
      <c r="H547" s="8" t="str">
        <f>IF($A547="","",IF(ISNUMBER(FIND("IMPVOL",H$1)),_xll.BDH(config!$G$4,H$1,WORKDAY($A547,-1,config_Holiday_Calendar_US),WORKDAY($A547,-1,config_Holiday_Calendar_US)),IF(ISNUMBER(_xll.BDH(config!$G$4,H$1,$A547,$A547)),_xll.BDH(config!$G$4,H$1,$A547,$A547),_xll.BDH(config!$G$5,H$1,$A547,$A547))))</f>
        <v/>
      </c>
      <c r="I547" s="8" t="str">
        <f>IF($A547="","",IF(ISNUMBER(FIND("IMPVOL",I$1)),_xll.BDH(config!$G$4,I$1,WORKDAY($A547,-1,config_Holiday_Calendar_US),WORKDAY($A547,-1,config_Holiday_Calendar_US)),IF(ISNUMBER(_xll.BDH(config!$G$4,I$1,$A547,$A547)),_xll.BDH(config!$G$4,I$1,$A547,$A547),_xll.BDH(config!$G$5,I$1,$A547,$A547))))</f>
        <v/>
      </c>
      <c r="J547" s="8" t="str">
        <f>IF($A547="","",IF(ISNUMBER(FIND("IMPVOL",J$1)),_xll.BDH(config!$G$4,J$1,WORKDAY($A547,-1,config_Holiday_Calendar_US),WORKDAY($A547,-1,config_Holiday_Calendar_US)),IF(ISNUMBER(_xll.BDH(config!$G$4,J$1,$A547,$A547)),_xll.BDH(config!$G$4,J$1,$A547,$A547),_xll.BDH(config!$G$5,J$1,$A547,$A547))))</f>
        <v/>
      </c>
      <c r="K547" s="8" t="str">
        <f>IF($A547="","",IF(ISNUMBER(FIND("IMPVOL",K$1)),_xll.BDH(config!$G$4,K$1,WORKDAY($A547,-1,config_Holiday_Calendar_US),WORKDAY($A547,-1,config_Holiday_Calendar_US)),IF(ISNUMBER(_xll.BDH(config!$G$4,K$1,$A547,$A547)),_xll.BDH(config!$G$4,K$1,$A547,$A547),_xll.BDH(config!$G$5,K$1,$A547,$A547))))</f>
        <v/>
      </c>
      <c r="L547" s="8" t="str">
        <f>IF($A547="","",IF(ISNUMBER(FIND("IMPVOL",L$1)),_xll.BDH(config!$G$4,L$1,WORKDAY($A547,-1,config_Holiday_Calendar_US),WORKDAY($A547,-1,config_Holiday_Calendar_US)),IF(ISNUMBER(_xll.BDH(config!$G$4,L$1,$A547,$A547)),_xll.BDH(config!$G$4,L$1,$A547,$A547),_xll.BDH(config!$G$5,L$1,$A547,$A547))))</f>
        <v/>
      </c>
      <c r="M547" s="8" t="str">
        <f>IF($A547="","",IF(ISNUMBER(FIND("IMPVOL",M$1)),_xll.BDH(config!$G$4,M$1,WORKDAY($A547,-1,config_Holiday_Calendar_US),WORKDAY($A547,-1,config_Holiday_Calendar_US)),IF(ISNUMBER(_xll.BDH(config!$G$4,M$1,$A547,$A547)),_xll.BDH(config!$G$4,M$1,$A547,$A547),_xll.BDH(config!$G$5,M$1,$A547,$A547))))</f>
        <v/>
      </c>
      <c r="N547" s="8" t="str">
        <f>IF($A547="","",IF(ISNUMBER(FIND("IMPVOL",N$1)),_xll.BDH(config!$G$4,N$1,WORKDAY($A547,-1,config_Holiday_Calendar_US),WORKDAY($A547,-1,config_Holiday_Calendar_US)),IF(ISNUMBER(_xll.BDH(config!$G$4,N$1,$A547,$A547)),_xll.BDH(config!$G$4,N$1,$A547,$A547),_xll.BDH(config!$G$5,N$1,$A547,$A547))))</f>
        <v/>
      </c>
      <c r="O547" s="8" t="str">
        <f>IF($A547="","",IF(ISNUMBER(FIND("IMPVOL",O$1)),_xll.BDH(config!$G$4,O$1,WORKDAY($A547,-1,config_Holiday_Calendar_US),WORKDAY($A547,-1,config_Holiday_Calendar_US)),IF(ISNUMBER(_xll.BDH(config!$G$4,O$1,$A547,$A547)),_xll.BDH(config!$G$4,O$1,$A547,$A547),_xll.BDH(config!$G$5,O$1,$A547,$A547))))</f>
        <v/>
      </c>
      <c r="P547" s="8" t="str">
        <f>IF($A547="","",IF(ISNUMBER(FIND("IMPVOL",P$1)),_xll.BDH(config!$G$4,P$1,WORKDAY($A547,-1,config_Holiday_Calendar_US),WORKDAY($A547,-1,config_Holiday_Calendar_US)),IF(ISNUMBER(_xll.BDH(config!$G$4,P$1,$A547,$A547)),_xll.BDH(config!$G$4,P$1,$A547,$A547),_xll.BDH(config!$G$5,P$1,$A547,$A547))))</f>
        <v/>
      </c>
      <c r="Q547" s="8" t="str">
        <f>IF($A547="","",IF(ISNUMBER(FIND("IMPVOL",Q$1)),_xll.BDH(config!$G$4,Q$1,WORKDAY($A547,-1,config_Holiday_Calendar_US),WORKDAY($A547,-1,config_Holiday_Calendar_US)),IF(ISNUMBER(_xll.BDH(config!$G$4,Q$1,$A547,$A547)),_xll.BDH(config!$G$4,Q$1,$A547,$A547),_xll.BDH(config!$G$5,Q$1,$A547,$A547))))</f>
        <v/>
      </c>
      <c r="R547" s="8" t="str">
        <f>IF($A547="","",IF(ISNUMBER(FIND("IMPVOL",R$1)),_xll.BDH(config!$G$4,R$1,WORKDAY($A547,-1,config_Holiday_Calendar_US),WORKDAY($A547,-1,config_Holiday_Calendar_US)),IF(ISNUMBER(_xll.BDH(config!$G$4,R$1,$A547,$A547)),_xll.BDH(config!$G$4,R$1,$A547,$A547),_xll.BDH(config!$G$5,R$1,$A547,$A547))))</f>
        <v/>
      </c>
      <c r="S547" s="8" t="str">
        <f>IF($A547="","",IF(ISNUMBER(FIND("IMPVOL",S$1)),_xll.BDH(config!$G$4,S$1,WORKDAY($A547,-1,config_Holiday_Calendar_US),WORKDAY($A547,-1,config_Holiday_Calendar_US)),IF(ISNUMBER(_xll.BDH(config!$G$4,S$1,$A547,$A547)),_xll.BDH(config!$G$4,S$1,$A547,$A547),_xll.BDH(config!$G$5,S$1,$A547,$A547))))</f>
        <v/>
      </c>
      <c r="T547" s="8" t="str">
        <f>IF($A547="","",IF(ISNUMBER(FIND("IMPVOL",T$1)),_xll.BDH(config!$G$4,T$1,WORKDAY($A547,-1,config_Holiday_Calendar_US),WORKDAY($A547,-1,config_Holiday_Calendar_US)),IF(ISNUMBER(_xll.BDH(config!$G$4,T$1,$A547,$A547)),_xll.BDH(config!$G$4,T$1,$A547,$A547),_xll.BDH(config!$G$5,T$1,$A547,$A547))))</f>
        <v/>
      </c>
      <c r="U547" s="8" t="str">
        <f>IF($A547="","",IF(ISNUMBER(FIND("IMPVOL",U$1)),_xll.BDH(config!$G$4,U$1,WORKDAY($A547,-1,config_Holiday_Calendar_US),WORKDAY($A547,-1,config_Holiday_Calendar_US)),IF(ISNUMBER(_xll.BDH(config!$G$4,U$1,$A547,$A547)),_xll.BDH(config!$G$4,U$1,$A547,$A547),_xll.BDH(config!$G$5,U$1,$A547,$A547))))</f>
        <v/>
      </c>
      <c r="V547" s="8" t="str">
        <f>IF($A547="","",IF(ISNUMBER(FIND("IMPVOL",V$1)),_xll.BDH(config!$G$4,V$1,WORKDAY($A547,-1,config_Holiday_Calendar_US),WORKDAY($A547,-1,config_Holiday_Calendar_US)),IF(ISNUMBER(_xll.BDH(config!$G$4,V$1,$A547,$A547)),_xll.BDH(config!$G$4,V$1,$A547,$A547),_xll.BDH(config!$G$5,V$1,$A547,$A547))))</f>
        <v/>
      </c>
      <c r="W547" s="8" t="str">
        <f>IF($A547="","",IF(ISNUMBER(FIND("IMPVOL",W$1)),_xll.BDH(config!$G$4,W$1,WORKDAY($A547,-1,config_Holiday_Calendar_US),WORKDAY($A547,-1,config_Holiday_Calendar_US)),IF(ISNUMBER(_xll.BDH(config!$G$4,W$1,$A547,$A547)),_xll.BDH(config!$G$4,W$1,$A547,$A547),_xll.BDH(config!$G$5,W$1,$A547,$A547))))</f>
        <v/>
      </c>
    </row>
    <row r="548" spans="1:23" x14ac:dyDescent="0.2">
      <c r="A548" s="9" t="str">
        <f>IF(A547="","",IF(WORKDAY(A547,-1,config_Holiday_Calendar_US)&lt;config!$I$10,"",WORKDAY(A547,-1,config_Holiday_Calendar_US)))</f>
        <v/>
      </c>
      <c r="B548" s="8" t="str">
        <f t="shared" si="8"/>
        <v/>
      </c>
      <c r="C548" s="8" t="str">
        <f>IF(A548="","",_xll.BDH(config!$H$4,C$1,$A548,$A548))</f>
        <v/>
      </c>
      <c r="D548" s="8" t="str">
        <f>IF($A548="","",_xll.BDH(config!$H$4,D$1,$A548,$A548))</f>
        <v/>
      </c>
      <c r="E548" s="8" t="str">
        <f>IF($A548="","",IF(ISNUMBER(FIND("IMPVOL",E$1)),_xll.BDH(config!$G$4,E$1,WORKDAY($A548,-1,config_Holiday_Calendar_US),WORKDAY($A548,-1,config_Holiday_Calendar_US)),IF(ISNUMBER(_xll.BDH(config!$G$4,E$1,$A548,$A548)),_xll.BDH(config!$G$4,E$1,$A548,$A548),_xll.BDH(config!$G$5,E$1,$A548,$A548))))</f>
        <v/>
      </c>
      <c r="F548" s="8" t="str">
        <f>IF($A548="","",IF(ISNUMBER(FIND("IMPVOL",F$1)),_xll.BDH(config!$G$4,F$1,WORKDAY($A548,-1,config_Holiday_Calendar_US),WORKDAY($A548,-1,config_Holiday_Calendar_US)),IF(ISNUMBER(_xll.BDH(config!$G$4,F$1,$A548,$A548)),_xll.BDH(config!$G$4,F$1,$A548,$A548),_xll.BDH(config!$G$5,F$1,$A548,$A548))))</f>
        <v/>
      </c>
      <c r="G548" s="8" t="str">
        <f>IF($A548="","",IF(ISNUMBER(FIND("IMPVOL",G$1)),_xll.BDH(config!$G$4,G$1,WORKDAY($A548,-1,config_Holiday_Calendar_US),WORKDAY($A548,-1,config_Holiday_Calendar_US)),IF(ISNUMBER(_xll.BDH(config!$G$4,G$1,$A548,$A548)),_xll.BDH(config!$G$4,G$1,$A548,$A548),_xll.BDH(config!$G$5,G$1,$A548,$A548))))</f>
        <v/>
      </c>
      <c r="H548" s="8" t="str">
        <f>IF($A548="","",IF(ISNUMBER(FIND("IMPVOL",H$1)),_xll.BDH(config!$G$4,H$1,WORKDAY($A548,-1,config_Holiday_Calendar_US),WORKDAY($A548,-1,config_Holiday_Calendar_US)),IF(ISNUMBER(_xll.BDH(config!$G$4,H$1,$A548,$A548)),_xll.BDH(config!$G$4,H$1,$A548,$A548),_xll.BDH(config!$G$5,H$1,$A548,$A548))))</f>
        <v/>
      </c>
      <c r="I548" s="8" t="str">
        <f>IF($A548="","",IF(ISNUMBER(FIND("IMPVOL",I$1)),_xll.BDH(config!$G$4,I$1,WORKDAY($A548,-1,config_Holiday_Calendar_US),WORKDAY($A548,-1,config_Holiday_Calendar_US)),IF(ISNUMBER(_xll.BDH(config!$G$4,I$1,$A548,$A548)),_xll.BDH(config!$G$4,I$1,$A548,$A548),_xll.BDH(config!$G$5,I$1,$A548,$A548))))</f>
        <v/>
      </c>
      <c r="J548" s="8" t="str">
        <f>IF($A548="","",IF(ISNUMBER(FIND("IMPVOL",J$1)),_xll.BDH(config!$G$4,J$1,WORKDAY($A548,-1,config_Holiday_Calendar_US),WORKDAY($A548,-1,config_Holiday_Calendar_US)),IF(ISNUMBER(_xll.BDH(config!$G$4,J$1,$A548,$A548)),_xll.BDH(config!$G$4,J$1,$A548,$A548),_xll.BDH(config!$G$5,J$1,$A548,$A548))))</f>
        <v/>
      </c>
      <c r="K548" s="8" t="str">
        <f>IF($A548="","",IF(ISNUMBER(FIND("IMPVOL",K$1)),_xll.BDH(config!$G$4,K$1,WORKDAY($A548,-1,config_Holiday_Calendar_US),WORKDAY($A548,-1,config_Holiday_Calendar_US)),IF(ISNUMBER(_xll.BDH(config!$G$4,K$1,$A548,$A548)),_xll.BDH(config!$G$4,K$1,$A548,$A548),_xll.BDH(config!$G$5,K$1,$A548,$A548))))</f>
        <v/>
      </c>
      <c r="L548" s="8" t="str">
        <f>IF($A548="","",IF(ISNUMBER(FIND("IMPVOL",L$1)),_xll.BDH(config!$G$4,L$1,WORKDAY($A548,-1,config_Holiday_Calendar_US),WORKDAY($A548,-1,config_Holiday_Calendar_US)),IF(ISNUMBER(_xll.BDH(config!$G$4,L$1,$A548,$A548)),_xll.BDH(config!$G$4,L$1,$A548,$A548),_xll.BDH(config!$G$5,L$1,$A548,$A548))))</f>
        <v/>
      </c>
      <c r="M548" s="8" t="str">
        <f>IF($A548="","",IF(ISNUMBER(FIND("IMPVOL",M$1)),_xll.BDH(config!$G$4,M$1,WORKDAY($A548,-1,config_Holiday_Calendar_US),WORKDAY($A548,-1,config_Holiday_Calendar_US)),IF(ISNUMBER(_xll.BDH(config!$G$4,M$1,$A548,$A548)),_xll.BDH(config!$G$4,M$1,$A548,$A548),_xll.BDH(config!$G$5,M$1,$A548,$A548))))</f>
        <v/>
      </c>
      <c r="N548" s="8" t="str">
        <f>IF($A548="","",IF(ISNUMBER(FIND("IMPVOL",N$1)),_xll.BDH(config!$G$4,N$1,WORKDAY($A548,-1,config_Holiday_Calendar_US),WORKDAY($A548,-1,config_Holiday_Calendar_US)),IF(ISNUMBER(_xll.BDH(config!$G$4,N$1,$A548,$A548)),_xll.BDH(config!$G$4,N$1,$A548,$A548),_xll.BDH(config!$G$5,N$1,$A548,$A548))))</f>
        <v/>
      </c>
      <c r="O548" s="8" t="str">
        <f>IF($A548="","",IF(ISNUMBER(FIND("IMPVOL",O$1)),_xll.BDH(config!$G$4,O$1,WORKDAY($A548,-1,config_Holiday_Calendar_US),WORKDAY($A548,-1,config_Holiday_Calendar_US)),IF(ISNUMBER(_xll.BDH(config!$G$4,O$1,$A548,$A548)),_xll.BDH(config!$G$4,O$1,$A548,$A548),_xll.BDH(config!$G$5,O$1,$A548,$A548))))</f>
        <v/>
      </c>
      <c r="P548" s="8" t="str">
        <f>IF($A548="","",IF(ISNUMBER(FIND("IMPVOL",P$1)),_xll.BDH(config!$G$4,P$1,WORKDAY($A548,-1,config_Holiday_Calendar_US),WORKDAY($A548,-1,config_Holiday_Calendar_US)),IF(ISNUMBER(_xll.BDH(config!$G$4,P$1,$A548,$A548)),_xll.BDH(config!$G$4,P$1,$A548,$A548),_xll.BDH(config!$G$5,P$1,$A548,$A548))))</f>
        <v/>
      </c>
      <c r="Q548" s="8" t="str">
        <f>IF($A548="","",IF(ISNUMBER(FIND("IMPVOL",Q$1)),_xll.BDH(config!$G$4,Q$1,WORKDAY($A548,-1,config_Holiday_Calendar_US),WORKDAY($A548,-1,config_Holiday_Calendar_US)),IF(ISNUMBER(_xll.BDH(config!$G$4,Q$1,$A548,$A548)),_xll.BDH(config!$G$4,Q$1,$A548,$A548),_xll.BDH(config!$G$5,Q$1,$A548,$A548))))</f>
        <v/>
      </c>
      <c r="R548" s="8" t="str">
        <f>IF($A548="","",IF(ISNUMBER(FIND("IMPVOL",R$1)),_xll.BDH(config!$G$4,R$1,WORKDAY($A548,-1,config_Holiday_Calendar_US),WORKDAY($A548,-1,config_Holiday_Calendar_US)),IF(ISNUMBER(_xll.BDH(config!$G$4,R$1,$A548,$A548)),_xll.BDH(config!$G$4,R$1,$A548,$A548),_xll.BDH(config!$G$5,R$1,$A548,$A548))))</f>
        <v/>
      </c>
      <c r="S548" s="8" t="str">
        <f>IF($A548="","",IF(ISNUMBER(FIND("IMPVOL",S$1)),_xll.BDH(config!$G$4,S$1,WORKDAY($A548,-1,config_Holiday_Calendar_US),WORKDAY($A548,-1,config_Holiday_Calendar_US)),IF(ISNUMBER(_xll.BDH(config!$G$4,S$1,$A548,$A548)),_xll.BDH(config!$G$4,S$1,$A548,$A548),_xll.BDH(config!$G$5,S$1,$A548,$A548))))</f>
        <v/>
      </c>
      <c r="T548" s="8" t="str">
        <f>IF($A548="","",IF(ISNUMBER(FIND("IMPVOL",T$1)),_xll.BDH(config!$G$4,T$1,WORKDAY($A548,-1,config_Holiday_Calendar_US),WORKDAY($A548,-1,config_Holiday_Calendar_US)),IF(ISNUMBER(_xll.BDH(config!$G$4,T$1,$A548,$A548)),_xll.BDH(config!$G$4,T$1,$A548,$A548),_xll.BDH(config!$G$5,T$1,$A548,$A548))))</f>
        <v/>
      </c>
      <c r="U548" s="8" t="str">
        <f>IF($A548="","",IF(ISNUMBER(FIND("IMPVOL",U$1)),_xll.BDH(config!$G$4,U$1,WORKDAY($A548,-1,config_Holiday_Calendar_US),WORKDAY($A548,-1,config_Holiday_Calendar_US)),IF(ISNUMBER(_xll.BDH(config!$G$4,U$1,$A548,$A548)),_xll.BDH(config!$G$4,U$1,$A548,$A548),_xll.BDH(config!$G$5,U$1,$A548,$A548))))</f>
        <v/>
      </c>
      <c r="V548" s="8" t="str">
        <f>IF($A548="","",IF(ISNUMBER(FIND("IMPVOL",V$1)),_xll.BDH(config!$G$4,V$1,WORKDAY($A548,-1,config_Holiday_Calendar_US),WORKDAY($A548,-1,config_Holiday_Calendar_US)),IF(ISNUMBER(_xll.BDH(config!$G$4,V$1,$A548,$A548)),_xll.BDH(config!$G$4,V$1,$A548,$A548),_xll.BDH(config!$G$5,V$1,$A548,$A548))))</f>
        <v/>
      </c>
      <c r="W548" s="8" t="str">
        <f>IF($A548="","",IF(ISNUMBER(FIND("IMPVOL",W$1)),_xll.BDH(config!$G$4,W$1,WORKDAY($A548,-1,config_Holiday_Calendar_US),WORKDAY($A548,-1,config_Holiday_Calendar_US)),IF(ISNUMBER(_xll.BDH(config!$G$4,W$1,$A548,$A548)),_xll.BDH(config!$G$4,W$1,$A548,$A548),_xll.BDH(config!$G$5,W$1,$A548,$A548))))</f>
        <v/>
      </c>
    </row>
    <row r="549" spans="1:23" x14ac:dyDescent="0.2">
      <c r="A549" s="9" t="str">
        <f>IF(A548="","",IF(WORKDAY(A548,-1,config_Holiday_Calendar_US)&lt;config!$I$10,"",WORKDAY(A548,-1,config_Holiday_Calendar_US)))</f>
        <v/>
      </c>
      <c r="B549" s="8" t="str">
        <f t="shared" si="8"/>
        <v/>
      </c>
      <c r="C549" s="8" t="str">
        <f>IF(A549="","",_xll.BDH(config!$H$4,C$1,$A549,$A549))</f>
        <v/>
      </c>
      <c r="D549" s="8" t="str">
        <f>IF($A549="","",_xll.BDH(config!$H$4,D$1,$A549,$A549))</f>
        <v/>
      </c>
      <c r="E549" s="8" t="str">
        <f>IF($A549="","",IF(ISNUMBER(FIND("IMPVOL",E$1)),_xll.BDH(config!$G$4,E$1,WORKDAY($A549,-1,config_Holiday_Calendar_US),WORKDAY($A549,-1,config_Holiday_Calendar_US)),IF(ISNUMBER(_xll.BDH(config!$G$4,E$1,$A549,$A549)),_xll.BDH(config!$G$4,E$1,$A549,$A549),_xll.BDH(config!$G$5,E$1,$A549,$A549))))</f>
        <v/>
      </c>
      <c r="F549" s="8" t="str">
        <f>IF($A549="","",IF(ISNUMBER(FIND("IMPVOL",F$1)),_xll.BDH(config!$G$4,F$1,WORKDAY($A549,-1,config_Holiday_Calendar_US),WORKDAY($A549,-1,config_Holiday_Calendar_US)),IF(ISNUMBER(_xll.BDH(config!$G$4,F$1,$A549,$A549)),_xll.BDH(config!$G$4,F$1,$A549,$A549),_xll.BDH(config!$G$5,F$1,$A549,$A549))))</f>
        <v/>
      </c>
      <c r="G549" s="8" t="str">
        <f>IF($A549="","",IF(ISNUMBER(FIND("IMPVOL",G$1)),_xll.BDH(config!$G$4,G$1,WORKDAY($A549,-1,config_Holiday_Calendar_US),WORKDAY($A549,-1,config_Holiday_Calendar_US)),IF(ISNUMBER(_xll.BDH(config!$G$4,G$1,$A549,$A549)),_xll.BDH(config!$G$4,G$1,$A549,$A549),_xll.BDH(config!$G$5,G$1,$A549,$A549))))</f>
        <v/>
      </c>
      <c r="H549" s="8" t="str">
        <f>IF($A549="","",IF(ISNUMBER(FIND("IMPVOL",H$1)),_xll.BDH(config!$G$4,H$1,WORKDAY($A549,-1,config_Holiday_Calendar_US),WORKDAY($A549,-1,config_Holiday_Calendar_US)),IF(ISNUMBER(_xll.BDH(config!$G$4,H$1,$A549,$A549)),_xll.BDH(config!$G$4,H$1,$A549,$A549),_xll.BDH(config!$G$5,H$1,$A549,$A549))))</f>
        <v/>
      </c>
      <c r="I549" s="8" t="str">
        <f>IF($A549="","",IF(ISNUMBER(FIND("IMPVOL",I$1)),_xll.BDH(config!$G$4,I$1,WORKDAY($A549,-1,config_Holiday_Calendar_US),WORKDAY($A549,-1,config_Holiday_Calendar_US)),IF(ISNUMBER(_xll.BDH(config!$G$4,I$1,$A549,$A549)),_xll.BDH(config!$G$4,I$1,$A549,$A549),_xll.BDH(config!$G$5,I$1,$A549,$A549))))</f>
        <v/>
      </c>
      <c r="J549" s="8" t="str">
        <f>IF($A549="","",IF(ISNUMBER(FIND("IMPVOL",J$1)),_xll.BDH(config!$G$4,J$1,WORKDAY($A549,-1,config_Holiday_Calendar_US),WORKDAY($A549,-1,config_Holiday_Calendar_US)),IF(ISNUMBER(_xll.BDH(config!$G$4,J$1,$A549,$A549)),_xll.BDH(config!$G$4,J$1,$A549,$A549),_xll.BDH(config!$G$5,J$1,$A549,$A549))))</f>
        <v/>
      </c>
      <c r="K549" s="8" t="str">
        <f>IF($A549="","",IF(ISNUMBER(FIND("IMPVOL",K$1)),_xll.BDH(config!$G$4,K$1,WORKDAY($A549,-1,config_Holiday_Calendar_US),WORKDAY($A549,-1,config_Holiday_Calendar_US)),IF(ISNUMBER(_xll.BDH(config!$G$4,K$1,$A549,$A549)),_xll.BDH(config!$G$4,K$1,$A549,$A549),_xll.BDH(config!$G$5,K$1,$A549,$A549))))</f>
        <v/>
      </c>
      <c r="L549" s="8" t="str">
        <f>IF($A549="","",IF(ISNUMBER(FIND("IMPVOL",L$1)),_xll.BDH(config!$G$4,L$1,WORKDAY($A549,-1,config_Holiday_Calendar_US),WORKDAY($A549,-1,config_Holiday_Calendar_US)),IF(ISNUMBER(_xll.BDH(config!$G$4,L$1,$A549,$A549)),_xll.BDH(config!$G$4,L$1,$A549,$A549),_xll.BDH(config!$G$5,L$1,$A549,$A549))))</f>
        <v/>
      </c>
      <c r="M549" s="8" t="str">
        <f>IF($A549="","",IF(ISNUMBER(FIND("IMPVOL",M$1)),_xll.BDH(config!$G$4,M$1,WORKDAY($A549,-1,config_Holiday_Calendar_US),WORKDAY($A549,-1,config_Holiday_Calendar_US)),IF(ISNUMBER(_xll.BDH(config!$G$4,M$1,$A549,$A549)),_xll.BDH(config!$G$4,M$1,$A549,$A549),_xll.BDH(config!$G$5,M$1,$A549,$A549))))</f>
        <v/>
      </c>
      <c r="N549" s="8" t="str">
        <f>IF($A549="","",IF(ISNUMBER(FIND("IMPVOL",N$1)),_xll.BDH(config!$G$4,N$1,WORKDAY($A549,-1,config_Holiday_Calendar_US),WORKDAY($A549,-1,config_Holiday_Calendar_US)),IF(ISNUMBER(_xll.BDH(config!$G$4,N$1,$A549,$A549)),_xll.BDH(config!$G$4,N$1,$A549,$A549),_xll.BDH(config!$G$5,N$1,$A549,$A549))))</f>
        <v/>
      </c>
      <c r="O549" s="8" t="str">
        <f>IF($A549="","",IF(ISNUMBER(FIND("IMPVOL",O$1)),_xll.BDH(config!$G$4,O$1,WORKDAY($A549,-1,config_Holiday_Calendar_US),WORKDAY($A549,-1,config_Holiday_Calendar_US)),IF(ISNUMBER(_xll.BDH(config!$G$4,O$1,$A549,$A549)),_xll.BDH(config!$G$4,O$1,$A549,$A549),_xll.BDH(config!$G$5,O$1,$A549,$A549))))</f>
        <v/>
      </c>
      <c r="P549" s="8" t="str">
        <f>IF($A549="","",IF(ISNUMBER(FIND("IMPVOL",P$1)),_xll.BDH(config!$G$4,P$1,WORKDAY($A549,-1,config_Holiday_Calendar_US),WORKDAY($A549,-1,config_Holiday_Calendar_US)),IF(ISNUMBER(_xll.BDH(config!$G$4,P$1,$A549,$A549)),_xll.BDH(config!$G$4,P$1,$A549,$A549),_xll.BDH(config!$G$5,P$1,$A549,$A549))))</f>
        <v/>
      </c>
      <c r="Q549" s="8" t="str">
        <f>IF($A549="","",IF(ISNUMBER(FIND("IMPVOL",Q$1)),_xll.BDH(config!$G$4,Q$1,WORKDAY($A549,-1,config_Holiday_Calendar_US),WORKDAY($A549,-1,config_Holiday_Calendar_US)),IF(ISNUMBER(_xll.BDH(config!$G$4,Q$1,$A549,$A549)),_xll.BDH(config!$G$4,Q$1,$A549,$A549),_xll.BDH(config!$G$5,Q$1,$A549,$A549))))</f>
        <v/>
      </c>
      <c r="R549" s="8" t="str">
        <f>IF($A549="","",IF(ISNUMBER(FIND("IMPVOL",R$1)),_xll.BDH(config!$G$4,R$1,WORKDAY($A549,-1,config_Holiday_Calendar_US),WORKDAY($A549,-1,config_Holiday_Calendar_US)),IF(ISNUMBER(_xll.BDH(config!$G$4,R$1,$A549,$A549)),_xll.BDH(config!$G$4,R$1,$A549,$A549),_xll.BDH(config!$G$5,R$1,$A549,$A549))))</f>
        <v/>
      </c>
      <c r="S549" s="8" t="str">
        <f>IF($A549="","",IF(ISNUMBER(FIND("IMPVOL",S$1)),_xll.BDH(config!$G$4,S$1,WORKDAY($A549,-1,config_Holiday_Calendar_US),WORKDAY($A549,-1,config_Holiday_Calendar_US)),IF(ISNUMBER(_xll.BDH(config!$G$4,S$1,$A549,$A549)),_xll.BDH(config!$G$4,S$1,$A549,$A549),_xll.BDH(config!$G$5,S$1,$A549,$A549))))</f>
        <v/>
      </c>
      <c r="T549" s="8" t="str">
        <f>IF($A549="","",IF(ISNUMBER(FIND("IMPVOL",T$1)),_xll.BDH(config!$G$4,T$1,WORKDAY($A549,-1,config_Holiday_Calendar_US),WORKDAY($A549,-1,config_Holiday_Calendar_US)),IF(ISNUMBER(_xll.BDH(config!$G$4,T$1,$A549,$A549)),_xll.BDH(config!$G$4,T$1,$A549,$A549),_xll.BDH(config!$G$5,T$1,$A549,$A549))))</f>
        <v/>
      </c>
      <c r="U549" s="8" t="str">
        <f>IF($A549="","",IF(ISNUMBER(FIND("IMPVOL",U$1)),_xll.BDH(config!$G$4,U$1,WORKDAY($A549,-1,config_Holiday_Calendar_US),WORKDAY($A549,-1,config_Holiday_Calendar_US)),IF(ISNUMBER(_xll.BDH(config!$G$4,U$1,$A549,$A549)),_xll.BDH(config!$G$4,U$1,$A549,$A549),_xll.BDH(config!$G$5,U$1,$A549,$A549))))</f>
        <v/>
      </c>
      <c r="V549" s="8" t="str">
        <f>IF($A549="","",IF(ISNUMBER(FIND("IMPVOL",V$1)),_xll.BDH(config!$G$4,V$1,WORKDAY($A549,-1,config_Holiday_Calendar_US),WORKDAY($A549,-1,config_Holiday_Calendar_US)),IF(ISNUMBER(_xll.BDH(config!$G$4,V$1,$A549,$A549)),_xll.BDH(config!$G$4,V$1,$A549,$A549),_xll.BDH(config!$G$5,V$1,$A549,$A549))))</f>
        <v/>
      </c>
      <c r="W549" s="8" t="str">
        <f>IF($A549="","",IF(ISNUMBER(FIND("IMPVOL",W$1)),_xll.BDH(config!$G$4,W$1,WORKDAY($A549,-1,config_Holiday_Calendar_US),WORKDAY($A549,-1,config_Holiday_Calendar_US)),IF(ISNUMBER(_xll.BDH(config!$G$4,W$1,$A549,$A549)),_xll.BDH(config!$G$4,W$1,$A549,$A549),_xll.BDH(config!$G$5,W$1,$A549,$A549))))</f>
        <v/>
      </c>
    </row>
    <row r="550" spans="1:23" x14ac:dyDescent="0.2">
      <c r="A550" s="9" t="str">
        <f>IF(A549="","",IF(WORKDAY(A549,-1,config_Holiday_Calendar_US)&lt;config!$I$10,"",WORKDAY(A549,-1,config_Holiday_Calendar_US)))</f>
        <v/>
      </c>
      <c r="B550" s="8" t="str">
        <f t="shared" si="8"/>
        <v/>
      </c>
      <c r="C550" s="8" t="str">
        <f>IF(A550="","",_xll.BDH(config!$H$4,C$1,$A550,$A550))</f>
        <v/>
      </c>
      <c r="D550" s="8" t="str">
        <f>IF($A550="","",_xll.BDH(config!$H$4,D$1,$A550,$A550))</f>
        <v/>
      </c>
      <c r="E550" s="8" t="str">
        <f>IF($A550="","",IF(ISNUMBER(FIND("IMPVOL",E$1)),_xll.BDH(config!$G$4,E$1,WORKDAY($A550,-1,config_Holiday_Calendar_US),WORKDAY($A550,-1,config_Holiday_Calendar_US)),IF(ISNUMBER(_xll.BDH(config!$G$4,E$1,$A550,$A550)),_xll.BDH(config!$G$4,E$1,$A550,$A550),_xll.BDH(config!$G$5,E$1,$A550,$A550))))</f>
        <v/>
      </c>
      <c r="F550" s="8" t="str">
        <f>IF($A550="","",IF(ISNUMBER(FIND("IMPVOL",F$1)),_xll.BDH(config!$G$4,F$1,WORKDAY($A550,-1,config_Holiday_Calendar_US),WORKDAY($A550,-1,config_Holiday_Calendar_US)),IF(ISNUMBER(_xll.BDH(config!$G$4,F$1,$A550,$A550)),_xll.BDH(config!$G$4,F$1,$A550,$A550),_xll.BDH(config!$G$5,F$1,$A550,$A550))))</f>
        <v/>
      </c>
      <c r="G550" s="8" t="str">
        <f>IF($A550="","",IF(ISNUMBER(FIND("IMPVOL",G$1)),_xll.BDH(config!$G$4,G$1,WORKDAY($A550,-1,config_Holiday_Calendar_US),WORKDAY($A550,-1,config_Holiday_Calendar_US)),IF(ISNUMBER(_xll.BDH(config!$G$4,G$1,$A550,$A550)),_xll.BDH(config!$G$4,G$1,$A550,$A550),_xll.BDH(config!$G$5,G$1,$A550,$A550))))</f>
        <v/>
      </c>
      <c r="H550" s="8" t="str">
        <f>IF($A550="","",IF(ISNUMBER(FIND("IMPVOL",H$1)),_xll.BDH(config!$G$4,H$1,WORKDAY($A550,-1,config_Holiday_Calendar_US),WORKDAY($A550,-1,config_Holiday_Calendar_US)),IF(ISNUMBER(_xll.BDH(config!$G$4,H$1,$A550,$A550)),_xll.BDH(config!$G$4,H$1,$A550,$A550),_xll.BDH(config!$G$5,H$1,$A550,$A550))))</f>
        <v/>
      </c>
      <c r="I550" s="8" t="str">
        <f>IF($A550="","",IF(ISNUMBER(FIND("IMPVOL",I$1)),_xll.BDH(config!$G$4,I$1,WORKDAY($A550,-1,config_Holiday_Calendar_US),WORKDAY($A550,-1,config_Holiday_Calendar_US)),IF(ISNUMBER(_xll.BDH(config!$G$4,I$1,$A550,$A550)),_xll.BDH(config!$G$4,I$1,$A550,$A550),_xll.BDH(config!$G$5,I$1,$A550,$A550))))</f>
        <v/>
      </c>
      <c r="J550" s="8" t="str">
        <f>IF($A550="","",IF(ISNUMBER(FIND("IMPVOL",J$1)),_xll.BDH(config!$G$4,J$1,WORKDAY($A550,-1,config_Holiday_Calendar_US),WORKDAY($A550,-1,config_Holiday_Calendar_US)),IF(ISNUMBER(_xll.BDH(config!$G$4,J$1,$A550,$A550)),_xll.BDH(config!$G$4,J$1,$A550,$A550),_xll.BDH(config!$G$5,J$1,$A550,$A550))))</f>
        <v/>
      </c>
      <c r="K550" s="8" t="str">
        <f>IF($A550="","",IF(ISNUMBER(FIND("IMPVOL",K$1)),_xll.BDH(config!$G$4,K$1,WORKDAY($A550,-1,config_Holiday_Calendar_US),WORKDAY($A550,-1,config_Holiday_Calendar_US)),IF(ISNUMBER(_xll.BDH(config!$G$4,K$1,$A550,$A550)),_xll.BDH(config!$G$4,K$1,$A550,$A550),_xll.BDH(config!$G$5,K$1,$A550,$A550))))</f>
        <v/>
      </c>
      <c r="L550" s="8" t="str">
        <f>IF($A550="","",IF(ISNUMBER(FIND("IMPVOL",L$1)),_xll.BDH(config!$G$4,L$1,WORKDAY($A550,-1,config_Holiday_Calendar_US),WORKDAY($A550,-1,config_Holiday_Calendar_US)),IF(ISNUMBER(_xll.BDH(config!$G$4,L$1,$A550,$A550)),_xll.BDH(config!$G$4,L$1,$A550,$A550),_xll.BDH(config!$G$5,L$1,$A550,$A550))))</f>
        <v/>
      </c>
      <c r="M550" s="8" t="str">
        <f>IF($A550="","",IF(ISNUMBER(FIND("IMPVOL",M$1)),_xll.BDH(config!$G$4,M$1,WORKDAY($A550,-1,config_Holiday_Calendar_US),WORKDAY($A550,-1,config_Holiday_Calendar_US)),IF(ISNUMBER(_xll.BDH(config!$G$4,M$1,$A550,$A550)),_xll.BDH(config!$G$4,M$1,$A550,$A550),_xll.BDH(config!$G$5,M$1,$A550,$A550))))</f>
        <v/>
      </c>
      <c r="N550" s="8" t="str">
        <f>IF($A550="","",IF(ISNUMBER(FIND("IMPVOL",N$1)),_xll.BDH(config!$G$4,N$1,WORKDAY($A550,-1,config_Holiday_Calendar_US),WORKDAY($A550,-1,config_Holiday_Calendar_US)),IF(ISNUMBER(_xll.BDH(config!$G$4,N$1,$A550,$A550)),_xll.BDH(config!$G$4,N$1,$A550,$A550),_xll.BDH(config!$G$5,N$1,$A550,$A550))))</f>
        <v/>
      </c>
      <c r="O550" s="8" t="str">
        <f>IF($A550="","",IF(ISNUMBER(FIND("IMPVOL",O$1)),_xll.BDH(config!$G$4,O$1,WORKDAY($A550,-1,config_Holiday_Calendar_US),WORKDAY($A550,-1,config_Holiday_Calendar_US)),IF(ISNUMBER(_xll.BDH(config!$G$4,O$1,$A550,$A550)),_xll.BDH(config!$G$4,O$1,$A550,$A550),_xll.BDH(config!$G$5,O$1,$A550,$A550))))</f>
        <v/>
      </c>
      <c r="P550" s="8" t="str">
        <f>IF($A550="","",IF(ISNUMBER(FIND("IMPVOL",P$1)),_xll.BDH(config!$G$4,P$1,WORKDAY($A550,-1,config_Holiday_Calendar_US),WORKDAY($A550,-1,config_Holiday_Calendar_US)),IF(ISNUMBER(_xll.BDH(config!$G$4,P$1,$A550,$A550)),_xll.BDH(config!$G$4,P$1,$A550,$A550),_xll.BDH(config!$G$5,P$1,$A550,$A550))))</f>
        <v/>
      </c>
      <c r="Q550" s="8" t="str">
        <f>IF($A550="","",IF(ISNUMBER(FIND("IMPVOL",Q$1)),_xll.BDH(config!$G$4,Q$1,WORKDAY($A550,-1,config_Holiday_Calendar_US),WORKDAY($A550,-1,config_Holiday_Calendar_US)),IF(ISNUMBER(_xll.BDH(config!$G$4,Q$1,$A550,$A550)),_xll.BDH(config!$G$4,Q$1,$A550,$A550),_xll.BDH(config!$G$5,Q$1,$A550,$A550))))</f>
        <v/>
      </c>
      <c r="R550" s="8" t="str">
        <f>IF($A550="","",IF(ISNUMBER(FIND("IMPVOL",R$1)),_xll.BDH(config!$G$4,R$1,WORKDAY($A550,-1,config_Holiday_Calendar_US),WORKDAY($A550,-1,config_Holiday_Calendar_US)),IF(ISNUMBER(_xll.BDH(config!$G$4,R$1,$A550,$A550)),_xll.BDH(config!$G$4,R$1,$A550,$A550),_xll.BDH(config!$G$5,R$1,$A550,$A550))))</f>
        <v/>
      </c>
      <c r="S550" s="8" t="str">
        <f>IF($A550="","",IF(ISNUMBER(FIND("IMPVOL",S$1)),_xll.BDH(config!$G$4,S$1,WORKDAY($A550,-1,config_Holiday_Calendar_US),WORKDAY($A550,-1,config_Holiday_Calendar_US)),IF(ISNUMBER(_xll.BDH(config!$G$4,S$1,$A550,$A550)),_xll.BDH(config!$G$4,S$1,$A550,$A550),_xll.BDH(config!$G$5,S$1,$A550,$A550))))</f>
        <v/>
      </c>
      <c r="T550" s="8" t="str">
        <f>IF($A550="","",IF(ISNUMBER(FIND("IMPVOL",T$1)),_xll.BDH(config!$G$4,T$1,WORKDAY($A550,-1,config_Holiday_Calendar_US),WORKDAY($A550,-1,config_Holiday_Calendar_US)),IF(ISNUMBER(_xll.BDH(config!$G$4,T$1,$A550,$A550)),_xll.BDH(config!$G$4,T$1,$A550,$A550),_xll.BDH(config!$G$5,T$1,$A550,$A550))))</f>
        <v/>
      </c>
      <c r="U550" s="8" t="str">
        <f>IF($A550="","",IF(ISNUMBER(FIND("IMPVOL",U$1)),_xll.BDH(config!$G$4,U$1,WORKDAY($A550,-1,config_Holiday_Calendar_US),WORKDAY($A550,-1,config_Holiday_Calendar_US)),IF(ISNUMBER(_xll.BDH(config!$G$4,U$1,$A550,$A550)),_xll.BDH(config!$G$4,U$1,$A550,$A550),_xll.BDH(config!$G$5,U$1,$A550,$A550))))</f>
        <v/>
      </c>
      <c r="V550" s="8" t="str">
        <f>IF($A550="","",IF(ISNUMBER(FIND("IMPVOL",V$1)),_xll.BDH(config!$G$4,V$1,WORKDAY($A550,-1,config_Holiday_Calendar_US),WORKDAY($A550,-1,config_Holiday_Calendar_US)),IF(ISNUMBER(_xll.BDH(config!$G$4,V$1,$A550,$A550)),_xll.BDH(config!$G$4,V$1,$A550,$A550),_xll.BDH(config!$G$5,V$1,$A550,$A550))))</f>
        <v/>
      </c>
      <c r="W550" s="8" t="str">
        <f>IF($A550="","",IF(ISNUMBER(FIND("IMPVOL",W$1)),_xll.BDH(config!$G$4,W$1,WORKDAY($A550,-1,config_Holiday_Calendar_US),WORKDAY($A550,-1,config_Holiday_Calendar_US)),IF(ISNUMBER(_xll.BDH(config!$G$4,W$1,$A550,$A550)),_xll.BDH(config!$G$4,W$1,$A550,$A550),_xll.BDH(config!$G$5,W$1,$A550,$A550))))</f>
        <v/>
      </c>
    </row>
    <row r="551" spans="1:23" x14ac:dyDescent="0.2">
      <c r="A551" s="9" t="str">
        <f>IF(A550="","",IF(WORKDAY(A550,-1,config_Holiday_Calendar_US)&lt;config!$I$10,"",WORKDAY(A550,-1,config_Holiday_Calendar_US)))</f>
        <v/>
      </c>
      <c r="B551" s="8" t="str">
        <f t="shared" si="8"/>
        <v/>
      </c>
      <c r="C551" s="8" t="str">
        <f>IF(A551="","",_xll.BDH(config!$H$4,C$1,$A551,$A551))</f>
        <v/>
      </c>
      <c r="D551" s="8" t="str">
        <f>IF($A551="","",_xll.BDH(config!$H$4,D$1,$A551,$A551))</f>
        <v/>
      </c>
      <c r="E551" s="8" t="str">
        <f>IF($A551="","",IF(ISNUMBER(FIND("IMPVOL",E$1)),_xll.BDH(config!$G$4,E$1,WORKDAY($A551,-1,config_Holiday_Calendar_US),WORKDAY($A551,-1,config_Holiday_Calendar_US)),IF(ISNUMBER(_xll.BDH(config!$G$4,E$1,$A551,$A551)),_xll.BDH(config!$G$4,E$1,$A551,$A551),_xll.BDH(config!$G$5,E$1,$A551,$A551))))</f>
        <v/>
      </c>
      <c r="F551" s="8" t="str">
        <f>IF($A551="","",IF(ISNUMBER(FIND("IMPVOL",F$1)),_xll.BDH(config!$G$4,F$1,WORKDAY($A551,-1,config_Holiday_Calendar_US),WORKDAY($A551,-1,config_Holiday_Calendar_US)),IF(ISNUMBER(_xll.BDH(config!$G$4,F$1,$A551,$A551)),_xll.BDH(config!$G$4,F$1,$A551,$A551),_xll.BDH(config!$G$5,F$1,$A551,$A551))))</f>
        <v/>
      </c>
      <c r="G551" s="8" t="str">
        <f>IF($A551="","",IF(ISNUMBER(FIND("IMPVOL",G$1)),_xll.BDH(config!$G$4,G$1,WORKDAY($A551,-1,config_Holiday_Calendar_US),WORKDAY($A551,-1,config_Holiday_Calendar_US)),IF(ISNUMBER(_xll.BDH(config!$G$4,G$1,$A551,$A551)),_xll.BDH(config!$G$4,G$1,$A551,$A551),_xll.BDH(config!$G$5,G$1,$A551,$A551))))</f>
        <v/>
      </c>
      <c r="H551" s="8" t="str">
        <f>IF($A551="","",IF(ISNUMBER(FIND("IMPVOL",H$1)),_xll.BDH(config!$G$4,H$1,WORKDAY($A551,-1,config_Holiday_Calendar_US),WORKDAY($A551,-1,config_Holiday_Calendar_US)),IF(ISNUMBER(_xll.BDH(config!$G$4,H$1,$A551,$A551)),_xll.BDH(config!$G$4,H$1,$A551,$A551),_xll.BDH(config!$G$5,H$1,$A551,$A551))))</f>
        <v/>
      </c>
      <c r="I551" s="8" t="str">
        <f>IF($A551="","",IF(ISNUMBER(FIND("IMPVOL",I$1)),_xll.BDH(config!$G$4,I$1,WORKDAY($A551,-1,config_Holiday_Calendar_US),WORKDAY($A551,-1,config_Holiday_Calendar_US)),IF(ISNUMBER(_xll.BDH(config!$G$4,I$1,$A551,$A551)),_xll.BDH(config!$G$4,I$1,$A551,$A551),_xll.BDH(config!$G$5,I$1,$A551,$A551))))</f>
        <v/>
      </c>
      <c r="J551" s="8" t="str">
        <f>IF($A551="","",IF(ISNUMBER(FIND("IMPVOL",J$1)),_xll.BDH(config!$G$4,J$1,WORKDAY($A551,-1,config_Holiday_Calendar_US),WORKDAY($A551,-1,config_Holiday_Calendar_US)),IF(ISNUMBER(_xll.BDH(config!$G$4,J$1,$A551,$A551)),_xll.BDH(config!$G$4,J$1,$A551,$A551),_xll.BDH(config!$G$5,J$1,$A551,$A551))))</f>
        <v/>
      </c>
      <c r="K551" s="8" t="str">
        <f>IF($A551="","",IF(ISNUMBER(FIND("IMPVOL",K$1)),_xll.BDH(config!$G$4,K$1,WORKDAY($A551,-1,config_Holiday_Calendar_US),WORKDAY($A551,-1,config_Holiday_Calendar_US)),IF(ISNUMBER(_xll.BDH(config!$G$4,K$1,$A551,$A551)),_xll.BDH(config!$G$4,K$1,$A551,$A551),_xll.BDH(config!$G$5,K$1,$A551,$A551))))</f>
        <v/>
      </c>
      <c r="L551" s="8" t="str">
        <f>IF($A551="","",IF(ISNUMBER(FIND("IMPVOL",L$1)),_xll.BDH(config!$G$4,L$1,WORKDAY($A551,-1,config_Holiday_Calendar_US),WORKDAY($A551,-1,config_Holiday_Calendar_US)),IF(ISNUMBER(_xll.BDH(config!$G$4,L$1,$A551,$A551)),_xll.BDH(config!$G$4,L$1,$A551,$A551),_xll.BDH(config!$G$5,L$1,$A551,$A551))))</f>
        <v/>
      </c>
      <c r="M551" s="8" t="str">
        <f>IF($A551="","",IF(ISNUMBER(FIND("IMPVOL",M$1)),_xll.BDH(config!$G$4,M$1,WORKDAY($A551,-1,config_Holiday_Calendar_US),WORKDAY($A551,-1,config_Holiday_Calendar_US)),IF(ISNUMBER(_xll.BDH(config!$G$4,M$1,$A551,$A551)),_xll.BDH(config!$G$4,M$1,$A551,$A551),_xll.BDH(config!$G$5,M$1,$A551,$A551))))</f>
        <v/>
      </c>
      <c r="N551" s="8" t="str">
        <f>IF($A551="","",IF(ISNUMBER(FIND("IMPVOL",N$1)),_xll.BDH(config!$G$4,N$1,WORKDAY($A551,-1,config_Holiday_Calendar_US),WORKDAY($A551,-1,config_Holiday_Calendar_US)),IF(ISNUMBER(_xll.BDH(config!$G$4,N$1,$A551,$A551)),_xll.BDH(config!$G$4,N$1,$A551,$A551),_xll.BDH(config!$G$5,N$1,$A551,$A551))))</f>
        <v/>
      </c>
      <c r="O551" s="8" t="str">
        <f>IF($A551="","",IF(ISNUMBER(FIND("IMPVOL",O$1)),_xll.BDH(config!$G$4,O$1,WORKDAY($A551,-1,config_Holiday_Calendar_US),WORKDAY($A551,-1,config_Holiday_Calendar_US)),IF(ISNUMBER(_xll.BDH(config!$G$4,O$1,$A551,$A551)),_xll.BDH(config!$G$4,O$1,$A551,$A551),_xll.BDH(config!$G$5,O$1,$A551,$A551))))</f>
        <v/>
      </c>
      <c r="P551" s="8" t="str">
        <f>IF($A551="","",IF(ISNUMBER(FIND("IMPVOL",P$1)),_xll.BDH(config!$G$4,P$1,WORKDAY($A551,-1,config_Holiday_Calendar_US),WORKDAY($A551,-1,config_Holiday_Calendar_US)),IF(ISNUMBER(_xll.BDH(config!$G$4,P$1,$A551,$A551)),_xll.BDH(config!$G$4,P$1,$A551,$A551),_xll.BDH(config!$G$5,P$1,$A551,$A551))))</f>
        <v/>
      </c>
      <c r="Q551" s="8" t="str">
        <f>IF($A551="","",IF(ISNUMBER(FIND("IMPVOL",Q$1)),_xll.BDH(config!$G$4,Q$1,WORKDAY($A551,-1,config_Holiday_Calendar_US),WORKDAY($A551,-1,config_Holiday_Calendar_US)),IF(ISNUMBER(_xll.BDH(config!$G$4,Q$1,$A551,$A551)),_xll.BDH(config!$G$4,Q$1,$A551,$A551),_xll.BDH(config!$G$5,Q$1,$A551,$A551))))</f>
        <v/>
      </c>
      <c r="R551" s="8" t="str">
        <f>IF($A551="","",IF(ISNUMBER(FIND("IMPVOL",R$1)),_xll.BDH(config!$G$4,R$1,WORKDAY($A551,-1,config_Holiday_Calendar_US),WORKDAY($A551,-1,config_Holiday_Calendar_US)),IF(ISNUMBER(_xll.BDH(config!$G$4,R$1,$A551,$A551)),_xll.BDH(config!$G$4,R$1,$A551,$A551),_xll.BDH(config!$G$5,R$1,$A551,$A551))))</f>
        <v/>
      </c>
      <c r="S551" s="8" t="str">
        <f>IF($A551="","",IF(ISNUMBER(FIND("IMPVOL",S$1)),_xll.BDH(config!$G$4,S$1,WORKDAY($A551,-1,config_Holiday_Calendar_US),WORKDAY($A551,-1,config_Holiday_Calendar_US)),IF(ISNUMBER(_xll.BDH(config!$G$4,S$1,$A551,$A551)),_xll.BDH(config!$G$4,S$1,$A551,$A551),_xll.BDH(config!$G$5,S$1,$A551,$A551))))</f>
        <v/>
      </c>
      <c r="T551" s="8" t="str">
        <f>IF($A551="","",IF(ISNUMBER(FIND("IMPVOL",T$1)),_xll.BDH(config!$G$4,T$1,WORKDAY($A551,-1,config_Holiday_Calendar_US),WORKDAY($A551,-1,config_Holiday_Calendar_US)),IF(ISNUMBER(_xll.BDH(config!$G$4,T$1,$A551,$A551)),_xll.BDH(config!$G$4,T$1,$A551,$A551),_xll.BDH(config!$G$5,T$1,$A551,$A551))))</f>
        <v/>
      </c>
      <c r="U551" s="8" t="str">
        <f>IF($A551="","",IF(ISNUMBER(FIND("IMPVOL",U$1)),_xll.BDH(config!$G$4,U$1,WORKDAY($A551,-1,config_Holiday_Calendar_US),WORKDAY($A551,-1,config_Holiday_Calendar_US)),IF(ISNUMBER(_xll.BDH(config!$G$4,U$1,$A551,$A551)),_xll.BDH(config!$G$4,U$1,$A551,$A551),_xll.BDH(config!$G$5,U$1,$A551,$A551))))</f>
        <v/>
      </c>
      <c r="V551" s="8" t="str">
        <f>IF($A551="","",IF(ISNUMBER(FIND("IMPVOL",V$1)),_xll.BDH(config!$G$4,V$1,WORKDAY($A551,-1,config_Holiday_Calendar_US),WORKDAY($A551,-1,config_Holiday_Calendar_US)),IF(ISNUMBER(_xll.BDH(config!$G$4,V$1,$A551,$A551)),_xll.BDH(config!$G$4,V$1,$A551,$A551),_xll.BDH(config!$G$5,V$1,$A551,$A551))))</f>
        <v/>
      </c>
      <c r="W551" s="8" t="str">
        <f>IF($A551="","",IF(ISNUMBER(FIND("IMPVOL",W$1)),_xll.BDH(config!$G$4,W$1,WORKDAY($A551,-1,config_Holiday_Calendar_US),WORKDAY($A551,-1,config_Holiday_Calendar_US)),IF(ISNUMBER(_xll.BDH(config!$G$4,W$1,$A551,$A551)),_xll.BDH(config!$G$4,W$1,$A551,$A551),_xll.BDH(config!$G$5,W$1,$A551,$A551))))</f>
        <v/>
      </c>
    </row>
    <row r="552" spans="1:23" x14ac:dyDescent="0.2">
      <c r="A552" s="9" t="str">
        <f>IF(A551="","",IF(WORKDAY(A551,-1,config_Holiday_Calendar_US)&lt;config!$I$10,"",WORKDAY(A551,-1,config_Holiday_Calendar_US)))</f>
        <v/>
      </c>
      <c r="B552" s="8" t="str">
        <f t="shared" si="8"/>
        <v/>
      </c>
      <c r="C552" s="8" t="str">
        <f>IF(A552="","",_xll.BDH(config!$H$4,C$1,$A552,$A552))</f>
        <v/>
      </c>
      <c r="D552" s="8" t="str">
        <f>IF($A552="","",_xll.BDH(config!$H$4,D$1,$A552,$A552))</f>
        <v/>
      </c>
      <c r="E552" s="8" t="str">
        <f>IF($A552="","",IF(ISNUMBER(FIND("IMPVOL",E$1)),_xll.BDH(config!$G$4,E$1,WORKDAY($A552,-1,config_Holiday_Calendar_US),WORKDAY($A552,-1,config_Holiday_Calendar_US)),IF(ISNUMBER(_xll.BDH(config!$G$4,E$1,$A552,$A552)),_xll.BDH(config!$G$4,E$1,$A552,$A552),_xll.BDH(config!$G$5,E$1,$A552,$A552))))</f>
        <v/>
      </c>
      <c r="F552" s="8" t="str">
        <f>IF($A552="","",IF(ISNUMBER(FIND("IMPVOL",F$1)),_xll.BDH(config!$G$4,F$1,WORKDAY($A552,-1,config_Holiday_Calendar_US),WORKDAY($A552,-1,config_Holiday_Calendar_US)),IF(ISNUMBER(_xll.BDH(config!$G$4,F$1,$A552,$A552)),_xll.BDH(config!$G$4,F$1,$A552,$A552),_xll.BDH(config!$G$5,F$1,$A552,$A552))))</f>
        <v/>
      </c>
      <c r="G552" s="8" t="str">
        <f>IF($A552="","",IF(ISNUMBER(FIND("IMPVOL",G$1)),_xll.BDH(config!$G$4,G$1,WORKDAY($A552,-1,config_Holiday_Calendar_US),WORKDAY($A552,-1,config_Holiday_Calendar_US)),IF(ISNUMBER(_xll.BDH(config!$G$4,G$1,$A552,$A552)),_xll.BDH(config!$G$4,G$1,$A552,$A552),_xll.BDH(config!$G$5,G$1,$A552,$A552))))</f>
        <v/>
      </c>
      <c r="H552" s="8" t="str">
        <f>IF($A552="","",IF(ISNUMBER(FIND("IMPVOL",H$1)),_xll.BDH(config!$G$4,H$1,WORKDAY($A552,-1,config_Holiday_Calendar_US),WORKDAY($A552,-1,config_Holiday_Calendar_US)),IF(ISNUMBER(_xll.BDH(config!$G$4,H$1,$A552,$A552)),_xll.BDH(config!$G$4,H$1,$A552,$A552),_xll.BDH(config!$G$5,H$1,$A552,$A552))))</f>
        <v/>
      </c>
      <c r="I552" s="8" t="str">
        <f>IF($A552="","",IF(ISNUMBER(FIND("IMPVOL",I$1)),_xll.BDH(config!$G$4,I$1,WORKDAY($A552,-1,config_Holiday_Calendar_US),WORKDAY($A552,-1,config_Holiday_Calendar_US)),IF(ISNUMBER(_xll.BDH(config!$G$4,I$1,$A552,$A552)),_xll.BDH(config!$G$4,I$1,$A552,$A552),_xll.BDH(config!$G$5,I$1,$A552,$A552))))</f>
        <v/>
      </c>
      <c r="J552" s="8" t="str">
        <f>IF($A552="","",IF(ISNUMBER(FIND("IMPVOL",J$1)),_xll.BDH(config!$G$4,J$1,WORKDAY($A552,-1,config_Holiday_Calendar_US),WORKDAY($A552,-1,config_Holiday_Calendar_US)),IF(ISNUMBER(_xll.BDH(config!$G$4,J$1,$A552,$A552)),_xll.BDH(config!$G$4,J$1,$A552,$A552),_xll.BDH(config!$G$5,J$1,$A552,$A552))))</f>
        <v/>
      </c>
      <c r="K552" s="8" t="str">
        <f>IF($A552="","",IF(ISNUMBER(FIND("IMPVOL",K$1)),_xll.BDH(config!$G$4,K$1,WORKDAY($A552,-1,config_Holiday_Calendar_US),WORKDAY($A552,-1,config_Holiday_Calendar_US)),IF(ISNUMBER(_xll.BDH(config!$G$4,K$1,$A552,$A552)),_xll.BDH(config!$G$4,K$1,$A552,$A552),_xll.BDH(config!$G$5,K$1,$A552,$A552))))</f>
        <v/>
      </c>
      <c r="L552" s="8" t="str">
        <f>IF($A552="","",IF(ISNUMBER(FIND("IMPVOL",L$1)),_xll.BDH(config!$G$4,L$1,WORKDAY($A552,-1,config_Holiday_Calendar_US),WORKDAY($A552,-1,config_Holiday_Calendar_US)),IF(ISNUMBER(_xll.BDH(config!$G$4,L$1,$A552,$A552)),_xll.BDH(config!$G$4,L$1,$A552,$A552),_xll.BDH(config!$G$5,L$1,$A552,$A552))))</f>
        <v/>
      </c>
      <c r="M552" s="8" t="str">
        <f>IF($A552="","",IF(ISNUMBER(FIND("IMPVOL",M$1)),_xll.BDH(config!$G$4,M$1,WORKDAY($A552,-1,config_Holiday_Calendar_US),WORKDAY($A552,-1,config_Holiday_Calendar_US)),IF(ISNUMBER(_xll.BDH(config!$G$4,M$1,$A552,$A552)),_xll.BDH(config!$G$4,M$1,$A552,$A552),_xll.BDH(config!$G$5,M$1,$A552,$A552))))</f>
        <v/>
      </c>
      <c r="N552" s="8" t="str">
        <f>IF($A552="","",IF(ISNUMBER(FIND("IMPVOL",N$1)),_xll.BDH(config!$G$4,N$1,WORKDAY($A552,-1,config_Holiday_Calendar_US),WORKDAY($A552,-1,config_Holiday_Calendar_US)),IF(ISNUMBER(_xll.BDH(config!$G$4,N$1,$A552,$A552)),_xll.BDH(config!$G$4,N$1,$A552,$A552),_xll.BDH(config!$G$5,N$1,$A552,$A552))))</f>
        <v/>
      </c>
      <c r="O552" s="8" t="str">
        <f>IF($A552="","",IF(ISNUMBER(FIND("IMPVOL",O$1)),_xll.BDH(config!$G$4,O$1,WORKDAY($A552,-1,config_Holiday_Calendar_US),WORKDAY($A552,-1,config_Holiday_Calendar_US)),IF(ISNUMBER(_xll.BDH(config!$G$4,O$1,$A552,$A552)),_xll.BDH(config!$G$4,O$1,$A552,$A552),_xll.BDH(config!$G$5,O$1,$A552,$A552))))</f>
        <v/>
      </c>
      <c r="P552" s="8" t="str">
        <f>IF($A552="","",IF(ISNUMBER(FIND("IMPVOL",P$1)),_xll.BDH(config!$G$4,P$1,WORKDAY($A552,-1,config_Holiday_Calendar_US),WORKDAY($A552,-1,config_Holiday_Calendar_US)),IF(ISNUMBER(_xll.BDH(config!$G$4,P$1,$A552,$A552)),_xll.BDH(config!$G$4,P$1,$A552,$A552),_xll.BDH(config!$G$5,P$1,$A552,$A552))))</f>
        <v/>
      </c>
      <c r="Q552" s="8" t="str">
        <f>IF($A552="","",IF(ISNUMBER(FIND("IMPVOL",Q$1)),_xll.BDH(config!$G$4,Q$1,WORKDAY($A552,-1,config_Holiday_Calendar_US),WORKDAY($A552,-1,config_Holiday_Calendar_US)),IF(ISNUMBER(_xll.BDH(config!$G$4,Q$1,$A552,$A552)),_xll.BDH(config!$G$4,Q$1,$A552,$A552),_xll.BDH(config!$G$5,Q$1,$A552,$A552))))</f>
        <v/>
      </c>
      <c r="R552" s="8" t="str">
        <f>IF($A552="","",IF(ISNUMBER(FIND("IMPVOL",R$1)),_xll.BDH(config!$G$4,R$1,WORKDAY($A552,-1,config_Holiday_Calendar_US),WORKDAY($A552,-1,config_Holiday_Calendar_US)),IF(ISNUMBER(_xll.BDH(config!$G$4,R$1,$A552,$A552)),_xll.BDH(config!$G$4,R$1,$A552,$A552),_xll.BDH(config!$G$5,R$1,$A552,$A552))))</f>
        <v/>
      </c>
      <c r="S552" s="8" t="str">
        <f>IF($A552="","",IF(ISNUMBER(FIND("IMPVOL",S$1)),_xll.BDH(config!$G$4,S$1,WORKDAY($A552,-1,config_Holiday_Calendar_US),WORKDAY($A552,-1,config_Holiday_Calendar_US)),IF(ISNUMBER(_xll.BDH(config!$G$4,S$1,$A552,$A552)),_xll.BDH(config!$G$4,S$1,$A552,$A552),_xll.BDH(config!$G$5,S$1,$A552,$A552))))</f>
        <v/>
      </c>
      <c r="T552" s="8" t="str">
        <f>IF($A552="","",IF(ISNUMBER(FIND("IMPVOL",T$1)),_xll.BDH(config!$G$4,T$1,WORKDAY($A552,-1,config_Holiday_Calendar_US),WORKDAY($A552,-1,config_Holiday_Calendar_US)),IF(ISNUMBER(_xll.BDH(config!$G$4,T$1,$A552,$A552)),_xll.BDH(config!$G$4,T$1,$A552,$A552),_xll.BDH(config!$G$5,T$1,$A552,$A552))))</f>
        <v/>
      </c>
      <c r="U552" s="8" t="str">
        <f>IF($A552="","",IF(ISNUMBER(FIND("IMPVOL",U$1)),_xll.BDH(config!$G$4,U$1,WORKDAY($A552,-1,config_Holiday_Calendar_US),WORKDAY($A552,-1,config_Holiday_Calendar_US)),IF(ISNUMBER(_xll.BDH(config!$G$4,U$1,$A552,$A552)),_xll.BDH(config!$G$4,U$1,$A552,$A552),_xll.BDH(config!$G$5,U$1,$A552,$A552))))</f>
        <v/>
      </c>
      <c r="V552" s="8" t="str">
        <f>IF($A552="","",IF(ISNUMBER(FIND("IMPVOL",V$1)),_xll.BDH(config!$G$4,V$1,WORKDAY($A552,-1,config_Holiday_Calendar_US),WORKDAY($A552,-1,config_Holiday_Calendar_US)),IF(ISNUMBER(_xll.BDH(config!$G$4,V$1,$A552,$A552)),_xll.BDH(config!$G$4,V$1,$A552,$A552),_xll.BDH(config!$G$5,V$1,$A552,$A552))))</f>
        <v/>
      </c>
      <c r="W552" s="8" t="str">
        <f>IF($A552="","",IF(ISNUMBER(FIND("IMPVOL",W$1)),_xll.BDH(config!$G$4,W$1,WORKDAY($A552,-1,config_Holiday_Calendar_US),WORKDAY($A552,-1,config_Holiday_Calendar_US)),IF(ISNUMBER(_xll.BDH(config!$G$4,W$1,$A552,$A552)),_xll.BDH(config!$G$4,W$1,$A552,$A552),_xll.BDH(config!$G$5,W$1,$A552,$A552))))</f>
        <v/>
      </c>
    </row>
    <row r="553" spans="1:23" x14ac:dyDescent="0.2">
      <c r="A553" s="9" t="str">
        <f>IF(A552="","",IF(WORKDAY(A552,-1,config_Holiday_Calendar_US)&lt;config!$I$10,"",WORKDAY(A552,-1,config_Holiday_Calendar_US)))</f>
        <v/>
      </c>
      <c r="B553" s="8" t="str">
        <f t="shared" si="8"/>
        <v/>
      </c>
      <c r="C553" s="8" t="str">
        <f>IF(A553="","",_xll.BDH(config!$H$4,C$1,$A553,$A553))</f>
        <v/>
      </c>
      <c r="D553" s="8" t="str">
        <f>IF($A553="","",_xll.BDH(config!$H$4,D$1,$A553,$A553))</f>
        <v/>
      </c>
      <c r="E553" s="8" t="str">
        <f>IF($A553="","",IF(ISNUMBER(FIND("IMPVOL",E$1)),_xll.BDH(config!$G$4,E$1,WORKDAY($A553,-1,config_Holiday_Calendar_US),WORKDAY($A553,-1,config_Holiday_Calendar_US)),IF(ISNUMBER(_xll.BDH(config!$G$4,E$1,$A553,$A553)),_xll.BDH(config!$G$4,E$1,$A553,$A553),_xll.BDH(config!$G$5,E$1,$A553,$A553))))</f>
        <v/>
      </c>
      <c r="F553" s="8" t="str">
        <f>IF($A553="","",IF(ISNUMBER(FIND("IMPVOL",F$1)),_xll.BDH(config!$G$4,F$1,WORKDAY($A553,-1,config_Holiday_Calendar_US),WORKDAY($A553,-1,config_Holiday_Calendar_US)),IF(ISNUMBER(_xll.BDH(config!$G$4,F$1,$A553,$A553)),_xll.BDH(config!$G$4,F$1,$A553,$A553),_xll.BDH(config!$G$5,F$1,$A553,$A553))))</f>
        <v/>
      </c>
      <c r="G553" s="8" t="str">
        <f>IF($A553="","",IF(ISNUMBER(FIND("IMPVOL",G$1)),_xll.BDH(config!$G$4,G$1,WORKDAY($A553,-1,config_Holiday_Calendar_US),WORKDAY($A553,-1,config_Holiday_Calendar_US)),IF(ISNUMBER(_xll.BDH(config!$G$4,G$1,$A553,$A553)),_xll.BDH(config!$G$4,G$1,$A553,$A553),_xll.BDH(config!$G$5,G$1,$A553,$A553))))</f>
        <v/>
      </c>
      <c r="H553" s="8" t="str">
        <f>IF($A553="","",IF(ISNUMBER(FIND("IMPVOL",H$1)),_xll.BDH(config!$G$4,H$1,WORKDAY($A553,-1,config_Holiday_Calendar_US),WORKDAY($A553,-1,config_Holiday_Calendar_US)),IF(ISNUMBER(_xll.BDH(config!$G$4,H$1,$A553,$A553)),_xll.BDH(config!$G$4,H$1,$A553,$A553),_xll.BDH(config!$G$5,H$1,$A553,$A553))))</f>
        <v/>
      </c>
      <c r="I553" s="8" t="str">
        <f>IF($A553="","",IF(ISNUMBER(FIND("IMPVOL",I$1)),_xll.BDH(config!$G$4,I$1,WORKDAY($A553,-1,config_Holiday_Calendar_US),WORKDAY($A553,-1,config_Holiday_Calendar_US)),IF(ISNUMBER(_xll.BDH(config!$G$4,I$1,$A553,$A553)),_xll.BDH(config!$G$4,I$1,$A553,$A553),_xll.BDH(config!$G$5,I$1,$A553,$A553))))</f>
        <v/>
      </c>
      <c r="J553" s="8" t="str">
        <f>IF($A553="","",IF(ISNUMBER(FIND("IMPVOL",J$1)),_xll.BDH(config!$G$4,J$1,WORKDAY($A553,-1,config_Holiday_Calendar_US),WORKDAY($A553,-1,config_Holiday_Calendar_US)),IF(ISNUMBER(_xll.BDH(config!$G$4,J$1,$A553,$A553)),_xll.BDH(config!$G$4,J$1,$A553,$A553),_xll.BDH(config!$G$5,J$1,$A553,$A553))))</f>
        <v/>
      </c>
      <c r="K553" s="8" t="str">
        <f>IF($A553="","",IF(ISNUMBER(FIND("IMPVOL",K$1)),_xll.BDH(config!$G$4,K$1,WORKDAY($A553,-1,config_Holiday_Calendar_US),WORKDAY($A553,-1,config_Holiday_Calendar_US)),IF(ISNUMBER(_xll.BDH(config!$G$4,K$1,$A553,$A553)),_xll.BDH(config!$G$4,K$1,$A553,$A553),_xll.BDH(config!$G$5,K$1,$A553,$A553))))</f>
        <v/>
      </c>
      <c r="L553" s="8" t="str">
        <f>IF($A553="","",IF(ISNUMBER(FIND("IMPVOL",L$1)),_xll.BDH(config!$G$4,L$1,WORKDAY($A553,-1,config_Holiday_Calendar_US),WORKDAY($A553,-1,config_Holiday_Calendar_US)),IF(ISNUMBER(_xll.BDH(config!$G$4,L$1,$A553,$A553)),_xll.BDH(config!$G$4,L$1,$A553,$A553),_xll.BDH(config!$G$5,L$1,$A553,$A553))))</f>
        <v/>
      </c>
      <c r="M553" s="8" t="str">
        <f>IF($A553="","",IF(ISNUMBER(FIND("IMPVOL",M$1)),_xll.BDH(config!$G$4,M$1,WORKDAY($A553,-1,config_Holiday_Calendar_US),WORKDAY($A553,-1,config_Holiday_Calendar_US)),IF(ISNUMBER(_xll.BDH(config!$G$4,M$1,$A553,$A553)),_xll.BDH(config!$G$4,M$1,$A553,$A553),_xll.BDH(config!$G$5,M$1,$A553,$A553))))</f>
        <v/>
      </c>
      <c r="N553" s="8" t="str">
        <f>IF($A553="","",IF(ISNUMBER(FIND("IMPVOL",N$1)),_xll.BDH(config!$G$4,N$1,WORKDAY($A553,-1,config_Holiday_Calendar_US),WORKDAY($A553,-1,config_Holiday_Calendar_US)),IF(ISNUMBER(_xll.BDH(config!$G$4,N$1,$A553,$A553)),_xll.BDH(config!$G$4,N$1,$A553,$A553),_xll.BDH(config!$G$5,N$1,$A553,$A553))))</f>
        <v/>
      </c>
      <c r="O553" s="8" t="str">
        <f>IF($A553="","",IF(ISNUMBER(FIND("IMPVOL",O$1)),_xll.BDH(config!$G$4,O$1,WORKDAY($A553,-1,config_Holiday_Calendar_US),WORKDAY($A553,-1,config_Holiday_Calendar_US)),IF(ISNUMBER(_xll.BDH(config!$G$4,O$1,$A553,$A553)),_xll.BDH(config!$G$4,O$1,$A553,$A553),_xll.BDH(config!$G$5,O$1,$A553,$A553))))</f>
        <v/>
      </c>
      <c r="P553" s="8" t="str">
        <f>IF($A553="","",IF(ISNUMBER(FIND("IMPVOL",P$1)),_xll.BDH(config!$G$4,P$1,WORKDAY($A553,-1,config_Holiday_Calendar_US),WORKDAY($A553,-1,config_Holiday_Calendar_US)),IF(ISNUMBER(_xll.BDH(config!$G$4,P$1,$A553,$A553)),_xll.BDH(config!$G$4,P$1,$A553,$A553),_xll.BDH(config!$G$5,P$1,$A553,$A553))))</f>
        <v/>
      </c>
      <c r="Q553" s="8" t="str">
        <f>IF($A553="","",IF(ISNUMBER(FIND("IMPVOL",Q$1)),_xll.BDH(config!$G$4,Q$1,WORKDAY($A553,-1,config_Holiday_Calendar_US),WORKDAY($A553,-1,config_Holiday_Calendar_US)),IF(ISNUMBER(_xll.BDH(config!$G$4,Q$1,$A553,$A553)),_xll.BDH(config!$G$4,Q$1,$A553,$A553),_xll.BDH(config!$G$5,Q$1,$A553,$A553))))</f>
        <v/>
      </c>
      <c r="R553" s="8" t="str">
        <f>IF($A553="","",IF(ISNUMBER(FIND("IMPVOL",R$1)),_xll.BDH(config!$G$4,R$1,WORKDAY($A553,-1,config_Holiday_Calendar_US),WORKDAY($A553,-1,config_Holiday_Calendar_US)),IF(ISNUMBER(_xll.BDH(config!$G$4,R$1,$A553,$A553)),_xll.BDH(config!$G$4,R$1,$A553,$A553),_xll.BDH(config!$G$5,R$1,$A553,$A553))))</f>
        <v/>
      </c>
      <c r="S553" s="8" t="str">
        <f>IF($A553="","",IF(ISNUMBER(FIND("IMPVOL",S$1)),_xll.BDH(config!$G$4,S$1,WORKDAY($A553,-1,config_Holiday_Calendar_US),WORKDAY($A553,-1,config_Holiday_Calendar_US)),IF(ISNUMBER(_xll.BDH(config!$G$4,S$1,$A553,$A553)),_xll.BDH(config!$G$4,S$1,$A553,$A553),_xll.BDH(config!$G$5,S$1,$A553,$A553))))</f>
        <v/>
      </c>
      <c r="T553" s="8" t="str">
        <f>IF($A553="","",IF(ISNUMBER(FIND("IMPVOL",T$1)),_xll.BDH(config!$G$4,T$1,WORKDAY($A553,-1,config_Holiday_Calendar_US),WORKDAY($A553,-1,config_Holiday_Calendar_US)),IF(ISNUMBER(_xll.BDH(config!$G$4,T$1,$A553,$A553)),_xll.BDH(config!$G$4,T$1,$A553,$A553),_xll.BDH(config!$G$5,T$1,$A553,$A553))))</f>
        <v/>
      </c>
      <c r="U553" s="8" t="str">
        <f>IF($A553="","",IF(ISNUMBER(FIND("IMPVOL",U$1)),_xll.BDH(config!$G$4,U$1,WORKDAY($A553,-1,config_Holiday_Calendar_US),WORKDAY($A553,-1,config_Holiday_Calendar_US)),IF(ISNUMBER(_xll.BDH(config!$G$4,U$1,$A553,$A553)),_xll.BDH(config!$G$4,U$1,$A553,$A553),_xll.BDH(config!$G$5,U$1,$A553,$A553))))</f>
        <v/>
      </c>
      <c r="V553" s="8" t="str">
        <f>IF($A553="","",IF(ISNUMBER(FIND("IMPVOL",V$1)),_xll.BDH(config!$G$4,V$1,WORKDAY($A553,-1,config_Holiday_Calendar_US),WORKDAY($A553,-1,config_Holiday_Calendar_US)),IF(ISNUMBER(_xll.BDH(config!$G$4,V$1,$A553,$A553)),_xll.BDH(config!$G$4,V$1,$A553,$A553),_xll.BDH(config!$G$5,V$1,$A553,$A553))))</f>
        <v/>
      </c>
      <c r="W553" s="8" t="str">
        <f>IF($A553="","",IF(ISNUMBER(FIND("IMPVOL",W$1)),_xll.BDH(config!$G$4,W$1,WORKDAY($A553,-1,config_Holiday_Calendar_US),WORKDAY($A553,-1,config_Holiday_Calendar_US)),IF(ISNUMBER(_xll.BDH(config!$G$4,W$1,$A553,$A553)),_xll.BDH(config!$G$4,W$1,$A553,$A553),_xll.BDH(config!$G$5,W$1,$A553,$A553))))</f>
        <v/>
      </c>
    </row>
    <row r="554" spans="1:23" x14ac:dyDescent="0.2">
      <c r="A554" s="9" t="str">
        <f>IF(A553="","",IF(WORKDAY(A553,-1,config_Holiday_Calendar_US)&lt;config!$I$10,"",WORKDAY(A553,-1,config_Holiday_Calendar_US)))</f>
        <v/>
      </c>
      <c r="B554" s="8" t="str">
        <f t="shared" si="8"/>
        <v/>
      </c>
      <c r="C554" s="8" t="str">
        <f>IF(A554="","",_xll.BDH(config!$H$4,C$1,$A554,$A554))</f>
        <v/>
      </c>
      <c r="D554" s="8" t="str">
        <f>IF($A554="","",_xll.BDH(config!$H$4,D$1,$A554,$A554))</f>
        <v/>
      </c>
      <c r="E554" s="8" t="str">
        <f>IF($A554="","",IF(ISNUMBER(FIND("IMPVOL",E$1)),_xll.BDH(config!$G$4,E$1,WORKDAY($A554,-1,config_Holiday_Calendar_US),WORKDAY($A554,-1,config_Holiday_Calendar_US)),IF(ISNUMBER(_xll.BDH(config!$G$4,E$1,$A554,$A554)),_xll.BDH(config!$G$4,E$1,$A554,$A554),_xll.BDH(config!$G$5,E$1,$A554,$A554))))</f>
        <v/>
      </c>
      <c r="F554" s="8" t="str">
        <f>IF($A554="","",IF(ISNUMBER(FIND("IMPVOL",F$1)),_xll.BDH(config!$G$4,F$1,WORKDAY($A554,-1,config_Holiday_Calendar_US),WORKDAY($A554,-1,config_Holiday_Calendar_US)),IF(ISNUMBER(_xll.BDH(config!$G$4,F$1,$A554,$A554)),_xll.BDH(config!$G$4,F$1,$A554,$A554),_xll.BDH(config!$G$5,F$1,$A554,$A554))))</f>
        <v/>
      </c>
      <c r="G554" s="8" t="str">
        <f>IF($A554="","",IF(ISNUMBER(FIND("IMPVOL",G$1)),_xll.BDH(config!$G$4,G$1,WORKDAY($A554,-1,config_Holiday_Calendar_US),WORKDAY($A554,-1,config_Holiday_Calendar_US)),IF(ISNUMBER(_xll.BDH(config!$G$4,G$1,$A554,$A554)),_xll.BDH(config!$G$4,G$1,$A554,$A554),_xll.BDH(config!$G$5,G$1,$A554,$A554))))</f>
        <v/>
      </c>
      <c r="H554" s="8" t="str">
        <f>IF($A554="","",IF(ISNUMBER(FIND("IMPVOL",H$1)),_xll.BDH(config!$G$4,H$1,WORKDAY($A554,-1,config_Holiday_Calendar_US),WORKDAY($A554,-1,config_Holiday_Calendar_US)),IF(ISNUMBER(_xll.BDH(config!$G$4,H$1,$A554,$A554)),_xll.BDH(config!$G$4,H$1,$A554,$A554),_xll.BDH(config!$G$5,H$1,$A554,$A554))))</f>
        <v/>
      </c>
      <c r="I554" s="8" t="str">
        <f>IF($A554="","",IF(ISNUMBER(FIND("IMPVOL",I$1)),_xll.BDH(config!$G$4,I$1,WORKDAY($A554,-1,config_Holiday_Calendar_US),WORKDAY($A554,-1,config_Holiday_Calendar_US)),IF(ISNUMBER(_xll.BDH(config!$G$4,I$1,$A554,$A554)),_xll.BDH(config!$G$4,I$1,$A554,$A554),_xll.BDH(config!$G$5,I$1,$A554,$A554))))</f>
        <v/>
      </c>
      <c r="J554" s="8" t="str">
        <f>IF($A554="","",IF(ISNUMBER(FIND("IMPVOL",J$1)),_xll.BDH(config!$G$4,J$1,WORKDAY($A554,-1,config_Holiday_Calendar_US),WORKDAY($A554,-1,config_Holiday_Calendar_US)),IF(ISNUMBER(_xll.BDH(config!$G$4,J$1,$A554,$A554)),_xll.BDH(config!$G$4,J$1,$A554,$A554),_xll.BDH(config!$G$5,J$1,$A554,$A554))))</f>
        <v/>
      </c>
      <c r="K554" s="8" t="str">
        <f>IF($A554="","",IF(ISNUMBER(FIND("IMPVOL",K$1)),_xll.BDH(config!$G$4,K$1,WORKDAY($A554,-1,config_Holiday_Calendar_US),WORKDAY($A554,-1,config_Holiday_Calendar_US)),IF(ISNUMBER(_xll.BDH(config!$G$4,K$1,$A554,$A554)),_xll.BDH(config!$G$4,K$1,$A554,$A554),_xll.BDH(config!$G$5,K$1,$A554,$A554))))</f>
        <v/>
      </c>
      <c r="L554" s="8" t="str">
        <f>IF($A554="","",IF(ISNUMBER(FIND("IMPVOL",L$1)),_xll.BDH(config!$G$4,L$1,WORKDAY($A554,-1,config_Holiday_Calendar_US),WORKDAY($A554,-1,config_Holiday_Calendar_US)),IF(ISNUMBER(_xll.BDH(config!$G$4,L$1,$A554,$A554)),_xll.BDH(config!$G$4,L$1,$A554,$A554),_xll.BDH(config!$G$5,L$1,$A554,$A554))))</f>
        <v/>
      </c>
      <c r="M554" s="8" t="str">
        <f>IF($A554="","",IF(ISNUMBER(FIND("IMPVOL",M$1)),_xll.BDH(config!$G$4,M$1,WORKDAY($A554,-1,config_Holiday_Calendar_US),WORKDAY($A554,-1,config_Holiday_Calendar_US)),IF(ISNUMBER(_xll.BDH(config!$G$4,M$1,$A554,$A554)),_xll.BDH(config!$G$4,M$1,$A554,$A554),_xll.BDH(config!$G$5,M$1,$A554,$A554))))</f>
        <v/>
      </c>
      <c r="N554" s="8" t="str">
        <f>IF($A554="","",IF(ISNUMBER(FIND("IMPVOL",N$1)),_xll.BDH(config!$G$4,N$1,WORKDAY($A554,-1,config_Holiday_Calendar_US),WORKDAY($A554,-1,config_Holiday_Calendar_US)),IF(ISNUMBER(_xll.BDH(config!$G$4,N$1,$A554,$A554)),_xll.BDH(config!$G$4,N$1,$A554,$A554),_xll.BDH(config!$G$5,N$1,$A554,$A554))))</f>
        <v/>
      </c>
      <c r="O554" s="8" t="str">
        <f>IF($A554="","",IF(ISNUMBER(FIND("IMPVOL",O$1)),_xll.BDH(config!$G$4,O$1,WORKDAY($A554,-1,config_Holiday_Calendar_US),WORKDAY($A554,-1,config_Holiday_Calendar_US)),IF(ISNUMBER(_xll.BDH(config!$G$4,O$1,$A554,$A554)),_xll.BDH(config!$G$4,O$1,$A554,$A554),_xll.BDH(config!$G$5,O$1,$A554,$A554))))</f>
        <v/>
      </c>
      <c r="P554" s="8" t="str">
        <f>IF($A554="","",IF(ISNUMBER(FIND("IMPVOL",P$1)),_xll.BDH(config!$G$4,P$1,WORKDAY($A554,-1,config_Holiday_Calendar_US),WORKDAY($A554,-1,config_Holiday_Calendar_US)),IF(ISNUMBER(_xll.BDH(config!$G$4,P$1,$A554,$A554)),_xll.BDH(config!$G$4,P$1,$A554,$A554),_xll.BDH(config!$G$5,P$1,$A554,$A554))))</f>
        <v/>
      </c>
      <c r="Q554" s="8" t="str">
        <f>IF($A554="","",IF(ISNUMBER(FIND("IMPVOL",Q$1)),_xll.BDH(config!$G$4,Q$1,WORKDAY($A554,-1,config_Holiday_Calendar_US),WORKDAY($A554,-1,config_Holiday_Calendar_US)),IF(ISNUMBER(_xll.BDH(config!$G$4,Q$1,$A554,$A554)),_xll.BDH(config!$G$4,Q$1,$A554,$A554),_xll.BDH(config!$G$5,Q$1,$A554,$A554))))</f>
        <v/>
      </c>
      <c r="R554" s="8" t="str">
        <f>IF($A554="","",IF(ISNUMBER(FIND("IMPVOL",R$1)),_xll.BDH(config!$G$4,R$1,WORKDAY($A554,-1,config_Holiday_Calendar_US),WORKDAY($A554,-1,config_Holiday_Calendar_US)),IF(ISNUMBER(_xll.BDH(config!$G$4,R$1,$A554,$A554)),_xll.BDH(config!$G$4,R$1,$A554,$A554),_xll.BDH(config!$G$5,R$1,$A554,$A554))))</f>
        <v/>
      </c>
      <c r="S554" s="8" t="str">
        <f>IF($A554="","",IF(ISNUMBER(FIND("IMPVOL",S$1)),_xll.BDH(config!$G$4,S$1,WORKDAY($A554,-1,config_Holiday_Calendar_US),WORKDAY($A554,-1,config_Holiday_Calendar_US)),IF(ISNUMBER(_xll.BDH(config!$G$4,S$1,$A554,$A554)),_xll.BDH(config!$G$4,S$1,$A554,$A554),_xll.BDH(config!$G$5,S$1,$A554,$A554))))</f>
        <v/>
      </c>
      <c r="T554" s="8" t="str">
        <f>IF($A554="","",IF(ISNUMBER(FIND("IMPVOL",T$1)),_xll.BDH(config!$G$4,T$1,WORKDAY($A554,-1,config_Holiday_Calendar_US),WORKDAY($A554,-1,config_Holiday_Calendar_US)),IF(ISNUMBER(_xll.BDH(config!$G$4,T$1,$A554,$A554)),_xll.BDH(config!$G$4,T$1,$A554,$A554),_xll.BDH(config!$G$5,T$1,$A554,$A554))))</f>
        <v/>
      </c>
      <c r="U554" s="8" t="str">
        <f>IF($A554="","",IF(ISNUMBER(FIND("IMPVOL",U$1)),_xll.BDH(config!$G$4,U$1,WORKDAY($A554,-1,config_Holiday_Calendar_US),WORKDAY($A554,-1,config_Holiday_Calendar_US)),IF(ISNUMBER(_xll.BDH(config!$G$4,U$1,$A554,$A554)),_xll.BDH(config!$G$4,U$1,$A554,$A554),_xll.BDH(config!$G$5,U$1,$A554,$A554))))</f>
        <v/>
      </c>
      <c r="V554" s="8" t="str">
        <f>IF($A554="","",IF(ISNUMBER(FIND("IMPVOL",V$1)),_xll.BDH(config!$G$4,V$1,WORKDAY($A554,-1,config_Holiday_Calendar_US),WORKDAY($A554,-1,config_Holiday_Calendar_US)),IF(ISNUMBER(_xll.BDH(config!$G$4,V$1,$A554,$A554)),_xll.BDH(config!$G$4,V$1,$A554,$A554),_xll.BDH(config!$G$5,V$1,$A554,$A554))))</f>
        <v/>
      </c>
      <c r="W554" s="8" t="str">
        <f>IF($A554="","",IF(ISNUMBER(FIND("IMPVOL",W$1)),_xll.BDH(config!$G$4,W$1,WORKDAY($A554,-1,config_Holiday_Calendar_US),WORKDAY($A554,-1,config_Holiday_Calendar_US)),IF(ISNUMBER(_xll.BDH(config!$G$4,W$1,$A554,$A554)),_xll.BDH(config!$G$4,W$1,$A554,$A554),_xll.BDH(config!$G$5,W$1,$A554,$A554))))</f>
        <v/>
      </c>
    </row>
    <row r="555" spans="1:23" x14ac:dyDescent="0.2">
      <c r="A555" s="9" t="str">
        <f>IF(A554="","",IF(WORKDAY(A554,-1,config_Holiday_Calendar_US)&lt;config!$I$10,"",WORKDAY(A554,-1,config_Holiday_Calendar_US)))</f>
        <v/>
      </c>
      <c r="B555" s="8" t="str">
        <f t="shared" si="8"/>
        <v/>
      </c>
      <c r="C555" s="8" t="str">
        <f>IF(A555="","",_xll.BDH(config!$H$4,C$1,$A555,$A555))</f>
        <v/>
      </c>
      <c r="D555" s="8" t="str">
        <f>IF($A555="","",_xll.BDH(config!$H$4,D$1,$A555,$A555))</f>
        <v/>
      </c>
      <c r="E555" s="8" t="str">
        <f>IF($A555="","",IF(ISNUMBER(FIND("IMPVOL",E$1)),_xll.BDH(config!$G$4,E$1,WORKDAY($A555,-1,config_Holiday_Calendar_US),WORKDAY($A555,-1,config_Holiday_Calendar_US)),IF(ISNUMBER(_xll.BDH(config!$G$4,E$1,$A555,$A555)),_xll.BDH(config!$G$4,E$1,$A555,$A555),_xll.BDH(config!$G$5,E$1,$A555,$A555))))</f>
        <v/>
      </c>
      <c r="F555" s="8" t="str">
        <f>IF($A555="","",IF(ISNUMBER(FIND("IMPVOL",F$1)),_xll.BDH(config!$G$4,F$1,WORKDAY($A555,-1,config_Holiday_Calendar_US),WORKDAY($A555,-1,config_Holiday_Calendar_US)),IF(ISNUMBER(_xll.BDH(config!$G$4,F$1,$A555,$A555)),_xll.BDH(config!$G$4,F$1,$A555,$A555),_xll.BDH(config!$G$5,F$1,$A555,$A555))))</f>
        <v/>
      </c>
      <c r="G555" s="8" t="str">
        <f>IF($A555="","",IF(ISNUMBER(FIND("IMPVOL",G$1)),_xll.BDH(config!$G$4,G$1,WORKDAY($A555,-1,config_Holiday_Calendar_US),WORKDAY($A555,-1,config_Holiday_Calendar_US)),IF(ISNUMBER(_xll.BDH(config!$G$4,G$1,$A555,$A555)),_xll.BDH(config!$G$4,G$1,$A555,$A555),_xll.BDH(config!$G$5,G$1,$A555,$A555))))</f>
        <v/>
      </c>
      <c r="H555" s="8" t="str">
        <f>IF($A555="","",IF(ISNUMBER(FIND("IMPVOL",H$1)),_xll.BDH(config!$G$4,H$1,WORKDAY($A555,-1,config_Holiday_Calendar_US),WORKDAY($A555,-1,config_Holiday_Calendar_US)),IF(ISNUMBER(_xll.BDH(config!$G$4,H$1,$A555,$A555)),_xll.BDH(config!$G$4,H$1,$A555,$A555),_xll.BDH(config!$G$5,H$1,$A555,$A555))))</f>
        <v/>
      </c>
      <c r="I555" s="8" t="str">
        <f>IF($A555="","",IF(ISNUMBER(FIND("IMPVOL",I$1)),_xll.BDH(config!$G$4,I$1,WORKDAY($A555,-1,config_Holiday_Calendar_US),WORKDAY($A555,-1,config_Holiday_Calendar_US)),IF(ISNUMBER(_xll.BDH(config!$G$4,I$1,$A555,$A555)),_xll.BDH(config!$G$4,I$1,$A555,$A555),_xll.BDH(config!$G$5,I$1,$A555,$A555))))</f>
        <v/>
      </c>
      <c r="J555" s="8" t="str">
        <f>IF($A555="","",IF(ISNUMBER(FIND("IMPVOL",J$1)),_xll.BDH(config!$G$4,J$1,WORKDAY($A555,-1,config_Holiday_Calendar_US),WORKDAY($A555,-1,config_Holiday_Calendar_US)),IF(ISNUMBER(_xll.BDH(config!$G$4,J$1,$A555,$A555)),_xll.BDH(config!$G$4,J$1,$A555,$A555),_xll.BDH(config!$G$5,J$1,$A555,$A555))))</f>
        <v/>
      </c>
      <c r="K555" s="8" t="str">
        <f>IF($A555="","",IF(ISNUMBER(FIND("IMPVOL",K$1)),_xll.BDH(config!$G$4,K$1,WORKDAY($A555,-1,config_Holiday_Calendar_US),WORKDAY($A555,-1,config_Holiday_Calendar_US)),IF(ISNUMBER(_xll.BDH(config!$G$4,K$1,$A555,$A555)),_xll.BDH(config!$G$4,K$1,$A555,$A555),_xll.BDH(config!$G$5,K$1,$A555,$A555))))</f>
        <v/>
      </c>
      <c r="L555" s="8" t="str">
        <f>IF($A555="","",IF(ISNUMBER(FIND("IMPVOL",L$1)),_xll.BDH(config!$G$4,L$1,WORKDAY($A555,-1,config_Holiday_Calendar_US),WORKDAY($A555,-1,config_Holiday_Calendar_US)),IF(ISNUMBER(_xll.BDH(config!$G$4,L$1,$A555,$A555)),_xll.BDH(config!$G$4,L$1,$A555,$A555),_xll.BDH(config!$G$5,L$1,$A555,$A555))))</f>
        <v/>
      </c>
      <c r="M555" s="8" t="str">
        <f>IF($A555="","",IF(ISNUMBER(FIND("IMPVOL",M$1)),_xll.BDH(config!$G$4,M$1,WORKDAY($A555,-1,config_Holiday_Calendar_US),WORKDAY($A555,-1,config_Holiday_Calendar_US)),IF(ISNUMBER(_xll.BDH(config!$G$4,M$1,$A555,$A555)),_xll.BDH(config!$G$4,M$1,$A555,$A555),_xll.BDH(config!$G$5,M$1,$A555,$A555))))</f>
        <v/>
      </c>
      <c r="N555" s="8" t="str">
        <f>IF($A555="","",IF(ISNUMBER(FIND("IMPVOL",N$1)),_xll.BDH(config!$G$4,N$1,WORKDAY($A555,-1,config_Holiday_Calendar_US),WORKDAY($A555,-1,config_Holiday_Calendar_US)),IF(ISNUMBER(_xll.BDH(config!$G$4,N$1,$A555,$A555)),_xll.BDH(config!$G$4,N$1,$A555,$A555),_xll.BDH(config!$G$5,N$1,$A555,$A555))))</f>
        <v/>
      </c>
      <c r="O555" s="8" t="str">
        <f>IF($A555="","",IF(ISNUMBER(FIND("IMPVOL",O$1)),_xll.BDH(config!$G$4,O$1,WORKDAY($A555,-1,config_Holiday_Calendar_US),WORKDAY($A555,-1,config_Holiday_Calendar_US)),IF(ISNUMBER(_xll.BDH(config!$G$4,O$1,$A555,$A555)),_xll.BDH(config!$G$4,O$1,$A555,$A555),_xll.BDH(config!$G$5,O$1,$A555,$A555))))</f>
        <v/>
      </c>
      <c r="P555" s="8" t="str">
        <f>IF($A555="","",IF(ISNUMBER(FIND("IMPVOL",P$1)),_xll.BDH(config!$G$4,P$1,WORKDAY($A555,-1,config_Holiday_Calendar_US),WORKDAY($A555,-1,config_Holiday_Calendar_US)),IF(ISNUMBER(_xll.BDH(config!$G$4,P$1,$A555,$A555)),_xll.BDH(config!$G$4,P$1,$A555,$A555),_xll.BDH(config!$G$5,P$1,$A555,$A555))))</f>
        <v/>
      </c>
      <c r="Q555" s="8" t="str">
        <f>IF($A555="","",IF(ISNUMBER(FIND("IMPVOL",Q$1)),_xll.BDH(config!$G$4,Q$1,WORKDAY($A555,-1,config_Holiday_Calendar_US),WORKDAY($A555,-1,config_Holiday_Calendar_US)),IF(ISNUMBER(_xll.BDH(config!$G$4,Q$1,$A555,$A555)),_xll.BDH(config!$G$4,Q$1,$A555,$A555),_xll.BDH(config!$G$5,Q$1,$A555,$A555))))</f>
        <v/>
      </c>
      <c r="R555" s="8" t="str">
        <f>IF($A555="","",IF(ISNUMBER(FIND("IMPVOL",R$1)),_xll.BDH(config!$G$4,R$1,WORKDAY($A555,-1,config_Holiday_Calendar_US),WORKDAY($A555,-1,config_Holiday_Calendar_US)),IF(ISNUMBER(_xll.BDH(config!$G$4,R$1,$A555,$A555)),_xll.BDH(config!$G$4,R$1,$A555,$A555),_xll.BDH(config!$G$5,R$1,$A555,$A555))))</f>
        <v/>
      </c>
      <c r="S555" s="8" t="str">
        <f>IF($A555="","",IF(ISNUMBER(FIND("IMPVOL",S$1)),_xll.BDH(config!$G$4,S$1,WORKDAY($A555,-1,config_Holiday_Calendar_US),WORKDAY($A555,-1,config_Holiday_Calendar_US)),IF(ISNUMBER(_xll.BDH(config!$G$4,S$1,$A555,$A555)),_xll.BDH(config!$G$4,S$1,$A555,$A555),_xll.BDH(config!$G$5,S$1,$A555,$A555))))</f>
        <v/>
      </c>
      <c r="T555" s="8" t="str">
        <f>IF($A555="","",IF(ISNUMBER(FIND("IMPVOL",T$1)),_xll.BDH(config!$G$4,T$1,WORKDAY($A555,-1,config_Holiday_Calendar_US),WORKDAY($A555,-1,config_Holiday_Calendar_US)),IF(ISNUMBER(_xll.BDH(config!$G$4,T$1,$A555,$A555)),_xll.BDH(config!$G$4,T$1,$A555,$A555),_xll.BDH(config!$G$5,T$1,$A555,$A555))))</f>
        <v/>
      </c>
      <c r="U555" s="8" t="str">
        <f>IF($A555="","",IF(ISNUMBER(FIND("IMPVOL",U$1)),_xll.BDH(config!$G$4,U$1,WORKDAY($A555,-1,config_Holiday_Calendar_US),WORKDAY($A555,-1,config_Holiday_Calendar_US)),IF(ISNUMBER(_xll.BDH(config!$G$4,U$1,$A555,$A555)),_xll.BDH(config!$G$4,U$1,$A555,$A555),_xll.BDH(config!$G$5,U$1,$A555,$A555))))</f>
        <v/>
      </c>
      <c r="V555" s="8" t="str">
        <f>IF($A555="","",IF(ISNUMBER(FIND("IMPVOL",V$1)),_xll.BDH(config!$G$4,V$1,WORKDAY($A555,-1,config_Holiday_Calendar_US),WORKDAY($A555,-1,config_Holiday_Calendar_US)),IF(ISNUMBER(_xll.BDH(config!$G$4,V$1,$A555,$A555)),_xll.BDH(config!$G$4,V$1,$A555,$A555),_xll.BDH(config!$G$5,V$1,$A555,$A555))))</f>
        <v/>
      </c>
      <c r="W555" s="8" t="str">
        <f>IF($A555="","",IF(ISNUMBER(FIND("IMPVOL",W$1)),_xll.BDH(config!$G$4,W$1,WORKDAY($A555,-1,config_Holiday_Calendar_US),WORKDAY($A555,-1,config_Holiday_Calendar_US)),IF(ISNUMBER(_xll.BDH(config!$G$4,W$1,$A555,$A555)),_xll.BDH(config!$G$4,W$1,$A555,$A555),_xll.BDH(config!$G$5,W$1,$A555,$A555))))</f>
        <v/>
      </c>
    </row>
    <row r="556" spans="1:23" x14ac:dyDescent="0.2">
      <c r="A556" s="9" t="str">
        <f>IF(A555="","",IF(WORKDAY(A555,-1,config_Holiday_Calendar_US)&lt;config!$I$10,"",WORKDAY(A555,-1,config_Holiday_Calendar_US)))</f>
        <v/>
      </c>
      <c r="B556" s="8" t="str">
        <f t="shared" si="8"/>
        <v/>
      </c>
      <c r="C556" s="8" t="str">
        <f>IF(A556="","",_xll.BDH(config!$H$4,C$1,$A556,$A556))</f>
        <v/>
      </c>
      <c r="D556" s="8" t="str">
        <f>IF($A556="","",_xll.BDH(config!$H$4,D$1,$A556,$A556))</f>
        <v/>
      </c>
      <c r="E556" s="8" t="str">
        <f>IF($A556="","",IF(ISNUMBER(FIND("IMPVOL",E$1)),_xll.BDH(config!$G$4,E$1,WORKDAY($A556,-1,config_Holiday_Calendar_US),WORKDAY($A556,-1,config_Holiday_Calendar_US)),IF(ISNUMBER(_xll.BDH(config!$G$4,E$1,$A556,$A556)),_xll.BDH(config!$G$4,E$1,$A556,$A556),_xll.BDH(config!$G$5,E$1,$A556,$A556))))</f>
        <v/>
      </c>
      <c r="F556" s="8" t="str">
        <f>IF($A556="","",IF(ISNUMBER(FIND("IMPVOL",F$1)),_xll.BDH(config!$G$4,F$1,WORKDAY($A556,-1,config_Holiday_Calendar_US),WORKDAY($A556,-1,config_Holiday_Calendar_US)),IF(ISNUMBER(_xll.BDH(config!$G$4,F$1,$A556,$A556)),_xll.BDH(config!$G$4,F$1,$A556,$A556),_xll.BDH(config!$G$5,F$1,$A556,$A556))))</f>
        <v/>
      </c>
      <c r="G556" s="8" t="str">
        <f>IF($A556="","",IF(ISNUMBER(FIND("IMPVOL",G$1)),_xll.BDH(config!$G$4,G$1,WORKDAY($A556,-1,config_Holiday_Calendar_US),WORKDAY($A556,-1,config_Holiday_Calendar_US)),IF(ISNUMBER(_xll.BDH(config!$G$4,G$1,$A556,$A556)),_xll.BDH(config!$G$4,G$1,$A556,$A556),_xll.BDH(config!$G$5,G$1,$A556,$A556))))</f>
        <v/>
      </c>
      <c r="H556" s="8" t="str">
        <f>IF($A556="","",IF(ISNUMBER(FIND("IMPVOL",H$1)),_xll.BDH(config!$G$4,H$1,WORKDAY($A556,-1,config_Holiday_Calendar_US),WORKDAY($A556,-1,config_Holiday_Calendar_US)),IF(ISNUMBER(_xll.BDH(config!$G$4,H$1,$A556,$A556)),_xll.BDH(config!$G$4,H$1,$A556,$A556),_xll.BDH(config!$G$5,H$1,$A556,$A556))))</f>
        <v/>
      </c>
      <c r="I556" s="8" t="str">
        <f>IF($A556="","",IF(ISNUMBER(FIND("IMPVOL",I$1)),_xll.BDH(config!$G$4,I$1,WORKDAY($A556,-1,config_Holiday_Calendar_US),WORKDAY($A556,-1,config_Holiday_Calendar_US)),IF(ISNUMBER(_xll.BDH(config!$G$4,I$1,$A556,$A556)),_xll.BDH(config!$G$4,I$1,$A556,$A556),_xll.BDH(config!$G$5,I$1,$A556,$A556))))</f>
        <v/>
      </c>
      <c r="J556" s="8" t="str">
        <f>IF($A556="","",IF(ISNUMBER(FIND("IMPVOL",J$1)),_xll.BDH(config!$G$4,J$1,WORKDAY($A556,-1,config_Holiday_Calendar_US),WORKDAY($A556,-1,config_Holiday_Calendar_US)),IF(ISNUMBER(_xll.BDH(config!$G$4,J$1,$A556,$A556)),_xll.BDH(config!$G$4,J$1,$A556,$A556),_xll.BDH(config!$G$5,J$1,$A556,$A556))))</f>
        <v/>
      </c>
      <c r="K556" s="8" t="str">
        <f>IF($A556="","",IF(ISNUMBER(FIND("IMPVOL",K$1)),_xll.BDH(config!$G$4,K$1,WORKDAY($A556,-1,config_Holiday_Calendar_US),WORKDAY($A556,-1,config_Holiday_Calendar_US)),IF(ISNUMBER(_xll.BDH(config!$G$4,K$1,$A556,$A556)),_xll.BDH(config!$G$4,K$1,$A556,$A556),_xll.BDH(config!$G$5,K$1,$A556,$A556))))</f>
        <v/>
      </c>
      <c r="L556" s="8" t="str">
        <f>IF($A556="","",IF(ISNUMBER(FIND("IMPVOL",L$1)),_xll.BDH(config!$G$4,L$1,WORKDAY($A556,-1,config_Holiday_Calendar_US),WORKDAY($A556,-1,config_Holiday_Calendar_US)),IF(ISNUMBER(_xll.BDH(config!$G$4,L$1,$A556,$A556)),_xll.BDH(config!$G$4,L$1,$A556,$A556),_xll.BDH(config!$G$5,L$1,$A556,$A556))))</f>
        <v/>
      </c>
      <c r="M556" s="8" t="str">
        <f>IF($A556="","",IF(ISNUMBER(FIND("IMPVOL",M$1)),_xll.BDH(config!$G$4,M$1,WORKDAY($A556,-1,config_Holiday_Calendar_US),WORKDAY($A556,-1,config_Holiday_Calendar_US)),IF(ISNUMBER(_xll.BDH(config!$G$4,M$1,$A556,$A556)),_xll.BDH(config!$G$4,M$1,$A556,$A556),_xll.BDH(config!$G$5,M$1,$A556,$A556))))</f>
        <v/>
      </c>
      <c r="N556" s="8" t="str">
        <f>IF($A556="","",IF(ISNUMBER(FIND("IMPVOL",N$1)),_xll.BDH(config!$G$4,N$1,WORKDAY($A556,-1,config_Holiday_Calendar_US),WORKDAY($A556,-1,config_Holiday_Calendar_US)),IF(ISNUMBER(_xll.BDH(config!$G$4,N$1,$A556,$A556)),_xll.BDH(config!$G$4,N$1,$A556,$A556),_xll.BDH(config!$G$5,N$1,$A556,$A556))))</f>
        <v/>
      </c>
      <c r="O556" s="8" t="str">
        <f>IF($A556="","",IF(ISNUMBER(FIND("IMPVOL",O$1)),_xll.BDH(config!$G$4,O$1,WORKDAY($A556,-1,config_Holiday_Calendar_US),WORKDAY($A556,-1,config_Holiday_Calendar_US)),IF(ISNUMBER(_xll.BDH(config!$G$4,O$1,$A556,$A556)),_xll.BDH(config!$G$4,O$1,$A556,$A556),_xll.BDH(config!$G$5,O$1,$A556,$A556))))</f>
        <v/>
      </c>
      <c r="P556" s="8" t="str">
        <f>IF($A556="","",IF(ISNUMBER(FIND("IMPVOL",P$1)),_xll.BDH(config!$G$4,P$1,WORKDAY($A556,-1,config_Holiday_Calendar_US),WORKDAY($A556,-1,config_Holiday_Calendar_US)),IF(ISNUMBER(_xll.BDH(config!$G$4,P$1,$A556,$A556)),_xll.BDH(config!$G$4,P$1,$A556,$A556),_xll.BDH(config!$G$5,P$1,$A556,$A556))))</f>
        <v/>
      </c>
      <c r="Q556" s="8" t="str">
        <f>IF($A556="","",IF(ISNUMBER(FIND("IMPVOL",Q$1)),_xll.BDH(config!$G$4,Q$1,WORKDAY($A556,-1,config_Holiday_Calendar_US),WORKDAY($A556,-1,config_Holiday_Calendar_US)),IF(ISNUMBER(_xll.BDH(config!$G$4,Q$1,$A556,$A556)),_xll.BDH(config!$G$4,Q$1,$A556,$A556),_xll.BDH(config!$G$5,Q$1,$A556,$A556))))</f>
        <v/>
      </c>
      <c r="R556" s="8" t="str">
        <f>IF($A556="","",IF(ISNUMBER(FIND("IMPVOL",R$1)),_xll.BDH(config!$G$4,R$1,WORKDAY($A556,-1,config_Holiday_Calendar_US),WORKDAY($A556,-1,config_Holiday_Calendar_US)),IF(ISNUMBER(_xll.BDH(config!$G$4,R$1,$A556,$A556)),_xll.BDH(config!$G$4,R$1,$A556,$A556),_xll.BDH(config!$G$5,R$1,$A556,$A556))))</f>
        <v/>
      </c>
      <c r="S556" s="8" t="str">
        <f>IF($A556="","",IF(ISNUMBER(FIND("IMPVOL",S$1)),_xll.BDH(config!$G$4,S$1,WORKDAY($A556,-1,config_Holiday_Calendar_US),WORKDAY($A556,-1,config_Holiday_Calendar_US)),IF(ISNUMBER(_xll.BDH(config!$G$4,S$1,$A556,$A556)),_xll.BDH(config!$G$4,S$1,$A556,$A556),_xll.BDH(config!$G$5,S$1,$A556,$A556))))</f>
        <v/>
      </c>
      <c r="T556" s="8" t="str">
        <f>IF($A556="","",IF(ISNUMBER(FIND("IMPVOL",T$1)),_xll.BDH(config!$G$4,T$1,WORKDAY($A556,-1,config_Holiday_Calendar_US),WORKDAY($A556,-1,config_Holiday_Calendar_US)),IF(ISNUMBER(_xll.BDH(config!$G$4,T$1,$A556,$A556)),_xll.BDH(config!$G$4,T$1,$A556,$A556),_xll.BDH(config!$G$5,T$1,$A556,$A556))))</f>
        <v/>
      </c>
      <c r="U556" s="8" t="str">
        <f>IF($A556="","",IF(ISNUMBER(FIND("IMPVOL",U$1)),_xll.BDH(config!$G$4,U$1,WORKDAY($A556,-1,config_Holiday_Calendar_US),WORKDAY($A556,-1,config_Holiday_Calendar_US)),IF(ISNUMBER(_xll.BDH(config!$G$4,U$1,$A556,$A556)),_xll.BDH(config!$G$4,U$1,$A556,$A556),_xll.BDH(config!$G$5,U$1,$A556,$A556))))</f>
        <v/>
      </c>
      <c r="V556" s="8" t="str">
        <f>IF($A556="","",IF(ISNUMBER(FIND("IMPVOL",V$1)),_xll.BDH(config!$G$4,V$1,WORKDAY($A556,-1,config_Holiday_Calendar_US),WORKDAY($A556,-1,config_Holiday_Calendar_US)),IF(ISNUMBER(_xll.BDH(config!$G$4,V$1,$A556,$A556)),_xll.BDH(config!$G$4,V$1,$A556,$A556),_xll.BDH(config!$G$5,V$1,$A556,$A556))))</f>
        <v/>
      </c>
      <c r="W556" s="8" t="str">
        <f>IF($A556="","",IF(ISNUMBER(FIND("IMPVOL",W$1)),_xll.BDH(config!$G$4,W$1,WORKDAY($A556,-1,config_Holiday_Calendar_US),WORKDAY($A556,-1,config_Holiday_Calendar_US)),IF(ISNUMBER(_xll.BDH(config!$G$4,W$1,$A556,$A556)),_xll.BDH(config!$G$4,W$1,$A556,$A556),_xll.BDH(config!$G$5,W$1,$A556,$A556))))</f>
        <v/>
      </c>
    </row>
    <row r="557" spans="1:23" x14ac:dyDescent="0.2">
      <c r="A557" s="9" t="str">
        <f>IF(A556="","",IF(WORKDAY(A556,-1,config_Holiday_Calendar_US)&lt;config!$I$10,"",WORKDAY(A556,-1,config_Holiday_Calendar_US)))</f>
        <v/>
      </c>
      <c r="B557" s="8" t="str">
        <f t="shared" si="8"/>
        <v/>
      </c>
      <c r="C557" s="8" t="str">
        <f>IF(A557="","",_xll.BDH(config!$H$4,C$1,$A557,$A557))</f>
        <v/>
      </c>
      <c r="D557" s="8" t="str">
        <f>IF($A557="","",_xll.BDH(config!$H$4,D$1,$A557,$A557))</f>
        <v/>
      </c>
      <c r="E557" s="8" t="str">
        <f>IF($A557="","",IF(ISNUMBER(FIND("IMPVOL",E$1)),_xll.BDH(config!$G$4,E$1,WORKDAY($A557,-1,config_Holiday_Calendar_US),WORKDAY($A557,-1,config_Holiday_Calendar_US)),IF(ISNUMBER(_xll.BDH(config!$G$4,E$1,$A557,$A557)),_xll.BDH(config!$G$4,E$1,$A557,$A557),_xll.BDH(config!$G$5,E$1,$A557,$A557))))</f>
        <v/>
      </c>
      <c r="F557" s="8" t="str">
        <f>IF($A557="","",IF(ISNUMBER(FIND("IMPVOL",F$1)),_xll.BDH(config!$G$4,F$1,WORKDAY($A557,-1,config_Holiday_Calendar_US),WORKDAY($A557,-1,config_Holiday_Calendar_US)),IF(ISNUMBER(_xll.BDH(config!$G$4,F$1,$A557,$A557)),_xll.BDH(config!$G$4,F$1,$A557,$A557),_xll.BDH(config!$G$5,F$1,$A557,$A557))))</f>
        <v/>
      </c>
      <c r="G557" s="8" t="str">
        <f>IF($A557="","",IF(ISNUMBER(FIND("IMPVOL",G$1)),_xll.BDH(config!$G$4,G$1,WORKDAY($A557,-1,config_Holiday_Calendar_US),WORKDAY($A557,-1,config_Holiday_Calendar_US)),IF(ISNUMBER(_xll.BDH(config!$G$4,G$1,$A557,$A557)),_xll.BDH(config!$G$4,G$1,$A557,$A557),_xll.BDH(config!$G$5,G$1,$A557,$A557))))</f>
        <v/>
      </c>
      <c r="H557" s="8" t="str">
        <f>IF($A557="","",IF(ISNUMBER(FIND("IMPVOL",H$1)),_xll.BDH(config!$G$4,H$1,WORKDAY($A557,-1,config_Holiday_Calendar_US),WORKDAY($A557,-1,config_Holiday_Calendar_US)),IF(ISNUMBER(_xll.BDH(config!$G$4,H$1,$A557,$A557)),_xll.BDH(config!$G$4,H$1,$A557,$A557),_xll.BDH(config!$G$5,H$1,$A557,$A557))))</f>
        <v/>
      </c>
      <c r="I557" s="8" t="str">
        <f>IF($A557="","",IF(ISNUMBER(FIND("IMPVOL",I$1)),_xll.BDH(config!$G$4,I$1,WORKDAY($A557,-1,config_Holiday_Calendar_US),WORKDAY($A557,-1,config_Holiday_Calendar_US)),IF(ISNUMBER(_xll.BDH(config!$G$4,I$1,$A557,$A557)),_xll.BDH(config!$G$4,I$1,$A557,$A557),_xll.BDH(config!$G$5,I$1,$A557,$A557))))</f>
        <v/>
      </c>
      <c r="J557" s="8" t="str">
        <f>IF($A557="","",IF(ISNUMBER(FIND("IMPVOL",J$1)),_xll.BDH(config!$G$4,J$1,WORKDAY($A557,-1,config_Holiday_Calendar_US),WORKDAY($A557,-1,config_Holiday_Calendar_US)),IF(ISNUMBER(_xll.BDH(config!$G$4,J$1,$A557,$A557)),_xll.BDH(config!$G$4,J$1,$A557,$A557),_xll.BDH(config!$G$5,J$1,$A557,$A557))))</f>
        <v/>
      </c>
      <c r="K557" s="8" t="str">
        <f>IF($A557="","",IF(ISNUMBER(FIND("IMPVOL",K$1)),_xll.BDH(config!$G$4,K$1,WORKDAY($A557,-1,config_Holiday_Calendar_US),WORKDAY($A557,-1,config_Holiday_Calendar_US)),IF(ISNUMBER(_xll.BDH(config!$G$4,K$1,$A557,$A557)),_xll.BDH(config!$G$4,K$1,$A557,$A557),_xll.BDH(config!$G$5,K$1,$A557,$A557))))</f>
        <v/>
      </c>
      <c r="L557" s="8" t="str">
        <f>IF($A557="","",IF(ISNUMBER(FIND("IMPVOL",L$1)),_xll.BDH(config!$G$4,L$1,WORKDAY($A557,-1,config_Holiday_Calendar_US),WORKDAY($A557,-1,config_Holiday_Calendar_US)),IF(ISNUMBER(_xll.BDH(config!$G$4,L$1,$A557,$A557)),_xll.BDH(config!$G$4,L$1,$A557,$A557),_xll.BDH(config!$G$5,L$1,$A557,$A557))))</f>
        <v/>
      </c>
      <c r="M557" s="8" t="str">
        <f>IF($A557="","",IF(ISNUMBER(FIND("IMPVOL",M$1)),_xll.BDH(config!$G$4,M$1,WORKDAY($A557,-1,config_Holiday_Calendar_US),WORKDAY($A557,-1,config_Holiday_Calendar_US)),IF(ISNUMBER(_xll.BDH(config!$G$4,M$1,$A557,$A557)),_xll.BDH(config!$G$4,M$1,$A557,$A557),_xll.BDH(config!$G$5,M$1,$A557,$A557))))</f>
        <v/>
      </c>
      <c r="N557" s="8" t="str">
        <f>IF($A557="","",IF(ISNUMBER(FIND("IMPVOL",N$1)),_xll.BDH(config!$G$4,N$1,WORKDAY($A557,-1,config_Holiday_Calendar_US),WORKDAY($A557,-1,config_Holiday_Calendar_US)),IF(ISNUMBER(_xll.BDH(config!$G$4,N$1,$A557,$A557)),_xll.BDH(config!$G$4,N$1,$A557,$A557),_xll.BDH(config!$G$5,N$1,$A557,$A557))))</f>
        <v/>
      </c>
      <c r="O557" s="8" t="str">
        <f>IF($A557="","",IF(ISNUMBER(FIND("IMPVOL",O$1)),_xll.BDH(config!$G$4,O$1,WORKDAY($A557,-1,config_Holiday_Calendar_US),WORKDAY($A557,-1,config_Holiday_Calendar_US)),IF(ISNUMBER(_xll.BDH(config!$G$4,O$1,$A557,$A557)),_xll.BDH(config!$G$4,O$1,$A557,$A557),_xll.BDH(config!$G$5,O$1,$A557,$A557))))</f>
        <v/>
      </c>
      <c r="P557" s="8" t="str">
        <f>IF($A557="","",IF(ISNUMBER(FIND("IMPVOL",P$1)),_xll.BDH(config!$G$4,P$1,WORKDAY($A557,-1,config_Holiday_Calendar_US),WORKDAY($A557,-1,config_Holiday_Calendar_US)),IF(ISNUMBER(_xll.BDH(config!$G$4,P$1,$A557,$A557)),_xll.BDH(config!$G$4,P$1,$A557,$A557),_xll.BDH(config!$G$5,P$1,$A557,$A557))))</f>
        <v/>
      </c>
      <c r="Q557" s="8" t="str">
        <f>IF($A557="","",IF(ISNUMBER(FIND("IMPVOL",Q$1)),_xll.BDH(config!$G$4,Q$1,WORKDAY($A557,-1,config_Holiday_Calendar_US),WORKDAY($A557,-1,config_Holiday_Calendar_US)),IF(ISNUMBER(_xll.BDH(config!$G$4,Q$1,$A557,$A557)),_xll.BDH(config!$G$4,Q$1,$A557,$A557),_xll.BDH(config!$G$5,Q$1,$A557,$A557))))</f>
        <v/>
      </c>
      <c r="R557" s="8" t="str">
        <f>IF($A557="","",IF(ISNUMBER(FIND("IMPVOL",R$1)),_xll.BDH(config!$G$4,R$1,WORKDAY($A557,-1,config_Holiday_Calendar_US),WORKDAY($A557,-1,config_Holiday_Calendar_US)),IF(ISNUMBER(_xll.BDH(config!$G$4,R$1,$A557,$A557)),_xll.BDH(config!$G$4,R$1,$A557,$A557),_xll.BDH(config!$G$5,R$1,$A557,$A557))))</f>
        <v/>
      </c>
      <c r="S557" s="8" t="str">
        <f>IF($A557="","",IF(ISNUMBER(FIND("IMPVOL",S$1)),_xll.BDH(config!$G$4,S$1,WORKDAY($A557,-1,config_Holiday_Calendar_US),WORKDAY($A557,-1,config_Holiday_Calendar_US)),IF(ISNUMBER(_xll.BDH(config!$G$4,S$1,$A557,$A557)),_xll.BDH(config!$G$4,S$1,$A557,$A557),_xll.BDH(config!$G$5,S$1,$A557,$A557))))</f>
        <v/>
      </c>
      <c r="T557" s="8" t="str">
        <f>IF($A557="","",IF(ISNUMBER(FIND("IMPVOL",T$1)),_xll.BDH(config!$G$4,T$1,WORKDAY($A557,-1,config_Holiday_Calendar_US),WORKDAY($A557,-1,config_Holiday_Calendar_US)),IF(ISNUMBER(_xll.BDH(config!$G$4,T$1,$A557,$A557)),_xll.BDH(config!$G$4,T$1,$A557,$A557),_xll.BDH(config!$G$5,T$1,$A557,$A557))))</f>
        <v/>
      </c>
      <c r="U557" s="8" t="str">
        <f>IF($A557="","",IF(ISNUMBER(FIND("IMPVOL",U$1)),_xll.BDH(config!$G$4,U$1,WORKDAY($A557,-1,config_Holiday_Calendar_US),WORKDAY($A557,-1,config_Holiday_Calendar_US)),IF(ISNUMBER(_xll.BDH(config!$G$4,U$1,$A557,$A557)),_xll.BDH(config!$G$4,U$1,$A557,$A557),_xll.BDH(config!$G$5,U$1,$A557,$A557))))</f>
        <v/>
      </c>
      <c r="V557" s="8" t="str">
        <f>IF($A557="","",IF(ISNUMBER(FIND("IMPVOL",V$1)),_xll.BDH(config!$G$4,V$1,WORKDAY($A557,-1,config_Holiday_Calendar_US),WORKDAY($A557,-1,config_Holiday_Calendar_US)),IF(ISNUMBER(_xll.BDH(config!$G$4,V$1,$A557,$A557)),_xll.BDH(config!$G$4,V$1,$A557,$A557),_xll.BDH(config!$G$5,V$1,$A557,$A557))))</f>
        <v/>
      </c>
      <c r="W557" s="8" t="str">
        <f>IF($A557="","",IF(ISNUMBER(FIND("IMPVOL",W$1)),_xll.BDH(config!$G$4,W$1,WORKDAY($A557,-1,config_Holiday_Calendar_US),WORKDAY($A557,-1,config_Holiday_Calendar_US)),IF(ISNUMBER(_xll.BDH(config!$G$4,W$1,$A557,$A557)),_xll.BDH(config!$G$4,W$1,$A557,$A557),_xll.BDH(config!$G$5,W$1,$A557,$A557))))</f>
        <v/>
      </c>
    </row>
    <row r="558" spans="1:23" x14ac:dyDescent="0.2">
      <c r="A558" s="9" t="str">
        <f>IF(A557="","",IF(WORKDAY(A557,-1,config_Holiday_Calendar_US)&lt;config!$I$10,"",WORKDAY(A557,-1,config_Holiday_Calendar_US)))</f>
        <v/>
      </c>
      <c r="B558" s="8" t="str">
        <f t="shared" si="8"/>
        <v/>
      </c>
      <c r="C558" s="8" t="str">
        <f>IF(A558="","",_xll.BDH(config!$H$4,C$1,$A558,$A558))</f>
        <v/>
      </c>
      <c r="D558" s="8" t="str">
        <f>IF($A558="","",_xll.BDH(config!$H$4,D$1,$A558,$A558))</f>
        <v/>
      </c>
      <c r="E558" s="8" t="str">
        <f>IF($A558="","",IF(ISNUMBER(FIND("IMPVOL",E$1)),_xll.BDH(config!$G$4,E$1,WORKDAY($A558,-1,config_Holiday_Calendar_US),WORKDAY($A558,-1,config_Holiday_Calendar_US)),IF(ISNUMBER(_xll.BDH(config!$G$4,E$1,$A558,$A558)),_xll.BDH(config!$G$4,E$1,$A558,$A558),_xll.BDH(config!$G$5,E$1,$A558,$A558))))</f>
        <v/>
      </c>
      <c r="F558" s="8" t="str">
        <f>IF($A558="","",IF(ISNUMBER(FIND("IMPVOL",F$1)),_xll.BDH(config!$G$4,F$1,WORKDAY($A558,-1,config_Holiday_Calendar_US),WORKDAY($A558,-1,config_Holiday_Calendar_US)),IF(ISNUMBER(_xll.BDH(config!$G$4,F$1,$A558,$A558)),_xll.BDH(config!$G$4,F$1,$A558,$A558),_xll.BDH(config!$G$5,F$1,$A558,$A558))))</f>
        <v/>
      </c>
      <c r="G558" s="8" t="str">
        <f>IF($A558="","",IF(ISNUMBER(FIND("IMPVOL",G$1)),_xll.BDH(config!$G$4,G$1,WORKDAY($A558,-1,config_Holiday_Calendar_US),WORKDAY($A558,-1,config_Holiday_Calendar_US)),IF(ISNUMBER(_xll.BDH(config!$G$4,G$1,$A558,$A558)),_xll.BDH(config!$G$4,G$1,$A558,$A558),_xll.BDH(config!$G$5,G$1,$A558,$A558))))</f>
        <v/>
      </c>
      <c r="H558" s="8" t="str">
        <f>IF($A558="","",IF(ISNUMBER(FIND("IMPVOL",H$1)),_xll.BDH(config!$G$4,H$1,WORKDAY($A558,-1,config_Holiday_Calendar_US),WORKDAY($A558,-1,config_Holiday_Calendar_US)),IF(ISNUMBER(_xll.BDH(config!$G$4,H$1,$A558,$A558)),_xll.BDH(config!$G$4,H$1,$A558,$A558),_xll.BDH(config!$G$5,H$1,$A558,$A558))))</f>
        <v/>
      </c>
      <c r="I558" s="8" t="str">
        <f>IF($A558="","",IF(ISNUMBER(FIND("IMPVOL",I$1)),_xll.BDH(config!$G$4,I$1,WORKDAY($A558,-1,config_Holiday_Calendar_US),WORKDAY($A558,-1,config_Holiday_Calendar_US)),IF(ISNUMBER(_xll.BDH(config!$G$4,I$1,$A558,$A558)),_xll.BDH(config!$G$4,I$1,$A558,$A558),_xll.BDH(config!$G$5,I$1,$A558,$A558))))</f>
        <v/>
      </c>
      <c r="J558" s="8" t="str">
        <f>IF($A558="","",IF(ISNUMBER(FIND("IMPVOL",J$1)),_xll.BDH(config!$G$4,J$1,WORKDAY($A558,-1,config_Holiday_Calendar_US),WORKDAY($A558,-1,config_Holiday_Calendar_US)),IF(ISNUMBER(_xll.BDH(config!$G$4,J$1,$A558,$A558)),_xll.BDH(config!$G$4,J$1,$A558,$A558),_xll.BDH(config!$G$5,J$1,$A558,$A558))))</f>
        <v/>
      </c>
      <c r="K558" s="8" t="str">
        <f>IF($A558="","",IF(ISNUMBER(FIND("IMPVOL",K$1)),_xll.BDH(config!$G$4,K$1,WORKDAY($A558,-1,config_Holiday_Calendar_US),WORKDAY($A558,-1,config_Holiday_Calendar_US)),IF(ISNUMBER(_xll.BDH(config!$G$4,K$1,$A558,$A558)),_xll.BDH(config!$G$4,K$1,$A558,$A558),_xll.BDH(config!$G$5,K$1,$A558,$A558))))</f>
        <v/>
      </c>
      <c r="L558" s="8" t="str">
        <f>IF($A558="","",IF(ISNUMBER(FIND("IMPVOL",L$1)),_xll.BDH(config!$G$4,L$1,WORKDAY($A558,-1,config_Holiday_Calendar_US),WORKDAY($A558,-1,config_Holiday_Calendar_US)),IF(ISNUMBER(_xll.BDH(config!$G$4,L$1,$A558,$A558)),_xll.BDH(config!$G$4,L$1,$A558,$A558),_xll.BDH(config!$G$5,L$1,$A558,$A558))))</f>
        <v/>
      </c>
      <c r="M558" s="8" t="str">
        <f>IF($A558="","",IF(ISNUMBER(FIND("IMPVOL",M$1)),_xll.BDH(config!$G$4,M$1,WORKDAY($A558,-1,config_Holiday_Calendar_US),WORKDAY($A558,-1,config_Holiday_Calendar_US)),IF(ISNUMBER(_xll.BDH(config!$G$4,M$1,$A558,$A558)),_xll.BDH(config!$G$4,M$1,$A558,$A558),_xll.BDH(config!$G$5,M$1,$A558,$A558))))</f>
        <v/>
      </c>
      <c r="N558" s="8" t="str">
        <f>IF($A558="","",IF(ISNUMBER(FIND("IMPVOL",N$1)),_xll.BDH(config!$G$4,N$1,WORKDAY($A558,-1,config_Holiday_Calendar_US),WORKDAY($A558,-1,config_Holiday_Calendar_US)),IF(ISNUMBER(_xll.BDH(config!$G$4,N$1,$A558,$A558)),_xll.BDH(config!$G$4,N$1,$A558,$A558),_xll.BDH(config!$G$5,N$1,$A558,$A558))))</f>
        <v/>
      </c>
      <c r="O558" s="8" t="str">
        <f>IF($A558="","",IF(ISNUMBER(FIND("IMPVOL",O$1)),_xll.BDH(config!$G$4,O$1,WORKDAY($A558,-1,config_Holiday_Calendar_US),WORKDAY($A558,-1,config_Holiday_Calendar_US)),IF(ISNUMBER(_xll.BDH(config!$G$4,O$1,$A558,$A558)),_xll.BDH(config!$G$4,O$1,$A558,$A558),_xll.BDH(config!$G$5,O$1,$A558,$A558))))</f>
        <v/>
      </c>
      <c r="P558" s="8" t="str">
        <f>IF($A558="","",IF(ISNUMBER(FIND("IMPVOL",P$1)),_xll.BDH(config!$G$4,P$1,WORKDAY($A558,-1,config_Holiday_Calendar_US),WORKDAY($A558,-1,config_Holiday_Calendar_US)),IF(ISNUMBER(_xll.BDH(config!$G$4,P$1,$A558,$A558)),_xll.BDH(config!$G$4,P$1,$A558,$A558),_xll.BDH(config!$G$5,P$1,$A558,$A558))))</f>
        <v/>
      </c>
      <c r="Q558" s="8" t="str">
        <f>IF($A558="","",IF(ISNUMBER(FIND("IMPVOL",Q$1)),_xll.BDH(config!$G$4,Q$1,WORKDAY($A558,-1,config_Holiday_Calendar_US),WORKDAY($A558,-1,config_Holiday_Calendar_US)),IF(ISNUMBER(_xll.BDH(config!$G$4,Q$1,$A558,$A558)),_xll.BDH(config!$G$4,Q$1,$A558,$A558),_xll.BDH(config!$G$5,Q$1,$A558,$A558))))</f>
        <v/>
      </c>
      <c r="R558" s="8" t="str">
        <f>IF($A558="","",IF(ISNUMBER(FIND("IMPVOL",R$1)),_xll.BDH(config!$G$4,R$1,WORKDAY($A558,-1,config_Holiday_Calendar_US),WORKDAY($A558,-1,config_Holiday_Calendar_US)),IF(ISNUMBER(_xll.BDH(config!$G$4,R$1,$A558,$A558)),_xll.BDH(config!$G$4,R$1,$A558,$A558),_xll.BDH(config!$G$5,R$1,$A558,$A558))))</f>
        <v/>
      </c>
      <c r="S558" s="8" t="str">
        <f>IF($A558="","",IF(ISNUMBER(FIND("IMPVOL",S$1)),_xll.BDH(config!$G$4,S$1,WORKDAY($A558,-1,config_Holiday_Calendar_US),WORKDAY($A558,-1,config_Holiday_Calendar_US)),IF(ISNUMBER(_xll.BDH(config!$G$4,S$1,$A558,$A558)),_xll.BDH(config!$G$4,S$1,$A558,$A558),_xll.BDH(config!$G$5,S$1,$A558,$A558))))</f>
        <v/>
      </c>
      <c r="T558" s="8" t="str">
        <f>IF($A558="","",IF(ISNUMBER(FIND("IMPVOL",T$1)),_xll.BDH(config!$G$4,T$1,WORKDAY($A558,-1,config_Holiday_Calendar_US),WORKDAY($A558,-1,config_Holiday_Calendar_US)),IF(ISNUMBER(_xll.BDH(config!$G$4,T$1,$A558,$A558)),_xll.BDH(config!$G$4,T$1,$A558,$A558),_xll.BDH(config!$G$5,T$1,$A558,$A558))))</f>
        <v/>
      </c>
      <c r="U558" s="8" t="str">
        <f>IF($A558="","",IF(ISNUMBER(FIND("IMPVOL",U$1)),_xll.BDH(config!$G$4,U$1,WORKDAY($A558,-1,config_Holiday_Calendar_US),WORKDAY($A558,-1,config_Holiday_Calendar_US)),IF(ISNUMBER(_xll.BDH(config!$G$4,U$1,$A558,$A558)),_xll.BDH(config!$G$4,U$1,$A558,$A558),_xll.BDH(config!$G$5,U$1,$A558,$A558))))</f>
        <v/>
      </c>
      <c r="V558" s="8" t="str">
        <f>IF($A558="","",IF(ISNUMBER(FIND("IMPVOL",V$1)),_xll.BDH(config!$G$4,V$1,WORKDAY($A558,-1,config_Holiday_Calendar_US),WORKDAY($A558,-1,config_Holiday_Calendar_US)),IF(ISNUMBER(_xll.BDH(config!$G$4,V$1,$A558,$A558)),_xll.BDH(config!$G$4,V$1,$A558,$A558),_xll.BDH(config!$G$5,V$1,$A558,$A558))))</f>
        <v/>
      </c>
      <c r="W558" s="8" t="str">
        <f>IF($A558="","",IF(ISNUMBER(FIND("IMPVOL",W$1)),_xll.BDH(config!$G$4,W$1,WORKDAY($A558,-1,config_Holiday_Calendar_US),WORKDAY($A558,-1,config_Holiday_Calendar_US)),IF(ISNUMBER(_xll.BDH(config!$G$4,W$1,$A558,$A558)),_xll.BDH(config!$G$4,W$1,$A558,$A558),_xll.BDH(config!$G$5,W$1,$A558,$A558))))</f>
        <v/>
      </c>
    </row>
    <row r="559" spans="1:23" x14ac:dyDescent="0.2">
      <c r="A559" s="9" t="str">
        <f>IF(A558="","",IF(WORKDAY(A558,-1,config_Holiday_Calendar_US)&lt;config!$I$10,"",WORKDAY(A558,-1,config_Holiday_Calendar_US)))</f>
        <v/>
      </c>
      <c r="B559" s="8" t="str">
        <f t="shared" si="8"/>
        <v/>
      </c>
      <c r="C559" s="8" t="str">
        <f>IF(A559="","",_xll.BDH(config!$H$4,C$1,$A559,$A559))</f>
        <v/>
      </c>
      <c r="D559" s="8" t="str">
        <f>IF($A559="","",_xll.BDH(config!$H$4,D$1,$A559,$A559))</f>
        <v/>
      </c>
      <c r="E559" s="8" t="str">
        <f>IF($A559="","",IF(ISNUMBER(FIND("IMPVOL",E$1)),_xll.BDH(config!$G$4,E$1,WORKDAY($A559,-1,config_Holiday_Calendar_US),WORKDAY($A559,-1,config_Holiday_Calendar_US)),IF(ISNUMBER(_xll.BDH(config!$G$4,E$1,$A559,$A559)),_xll.BDH(config!$G$4,E$1,$A559,$A559),_xll.BDH(config!$G$5,E$1,$A559,$A559))))</f>
        <v/>
      </c>
      <c r="F559" s="8" t="str">
        <f>IF($A559="","",IF(ISNUMBER(FIND("IMPVOL",F$1)),_xll.BDH(config!$G$4,F$1,WORKDAY($A559,-1,config_Holiday_Calendar_US),WORKDAY($A559,-1,config_Holiday_Calendar_US)),IF(ISNUMBER(_xll.BDH(config!$G$4,F$1,$A559,$A559)),_xll.BDH(config!$G$4,F$1,$A559,$A559),_xll.BDH(config!$G$5,F$1,$A559,$A559))))</f>
        <v/>
      </c>
      <c r="G559" s="8" t="str">
        <f>IF($A559="","",IF(ISNUMBER(FIND("IMPVOL",G$1)),_xll.BDH(config!$G$4,G$1,WORKDAY($A559,-1,config_Holiday_Calendar_US),WORKDAY($A559,-1,config_Holiday_Calendar_US)),IF(ISNUMBER(_xll.BDH(config!$G$4,G$1,$A559,$A559)),_xll.BDH(config!$G$4,G$1,$A559,$A559),_xll.BDH(config!$G$5,G$1,$A559,$A559))))</f>
        <v/>
      </c>
      <c r="H559" s="8" t="str">
        <f>IF($A559="","",IF(ISNUMBER(FIND("IMPVOL",H$1)),_xll.BDH(config!$G$4,H$1,WORKDAY($A559,-1,config_Holiday_Calendar_US),WORKDAY($A559,-1,config_Holiday_Calendar_US)),IF(ISNUMBER(_xll.BDH(config!$G$4,H$1,$A559,$A559)),_xll.BDH(config!$G$4,H$1,$A559,$A559),_xll.BDH(config!$G$5,H$1,$A559,$A559))))</f>
        <v/>
      </c>
      <c r="I559" s="8" t="str">
        <f>IF($A559="","",IF(ISNUMBER(FIND("IMPVOL",I$1)),_xll.BDH(config!$G$4,I$1,WORKDAY($A559,-1,config_Holiday_Calendar_US),WORKDAY($A559,-1,config_Holiday_Calendar_US)),IF(ISNUMBER(_xll.BDH(config!$G$4,I$1,$A559,$A559)),_xll.BDH(config!$G$4,I$1,$A559,$A559),_xll.BDH(config!$G$5,I$1,$A559,$A559))))</f>
        <v/>
      </c>
      <c r="J559" s="8" t="str">
        <f>IF($A559="","",IF(ISNUMBER(FIND("IMPVOL",J$1)),_xll.BDH(config!$G$4,J$1,WORKDAY($A559,-1,config_Holiday_Calendar_US),WORKDAY($A559,-1,config_Holiday_Calendar_US)),IF(ISNUMBER(_xll.BDH(config!$G$4,J$1,$A559,$A559)),_xll.BDH(config!$G$4,J$1,$A559,$A559),_xll.BDH(config!$G$5,J$1,$A559,$A559))))</f>
        <v/>
      </c>
      <c r="K559" s="8" t="str">
        <f>IF($A559="","",IF(ISNUMBER(FIND("IMPVOL",K$1)),_xll.BDH(config!$G$4,K$1,WORKDAY($A559,-1,config_Holiday_Calendar_US),WORKDAY($A559,-1,config_Holiday_Calendar_US)),IF(ISNUMBER(_xll.BDH(config!$G$4,K$1,$A559,$A559)),_xll.BDH(config!$G$4,K$1,$A559,$A559),_xll.BDH(config!$G$5,K$1,$A559,$A559))))</f>
        <v/>
      </c>
      <c r="L559" s="8" t="str">
        <f>IF($A559="","",IF(ISNUMBER(FIND("IMPVOL",L$1)),_xll.BDH(config!$G$4,L$1,WORKDAY($A559,-1,config_Holiday_Calendar_US),WORKDAY($A559,-1,config_Holiday_Calendar_US)),IF(ISNUMBER(_xll.BDH(config!$G$4,L$1,$A559,$A559)),_xll.BDH(config!$G$4,L$1,$A559,$A559),_xll.BDH(config!$G$5,L$1,$A559,$A559))))</f>
        <v/>
      </c>
      <c r="M559" s="8" t="str">
        <f>IF($A559="","",IF(ISNUMBER(FIND("IMPVOL",M$1)),_xll.BDH(config!$G$4,M$1,WORKDAY($A559,-1,config_Holiday_Calendar_US),WORKDAY($A559,-1,config_Holiday_Calendar_US)),IF(ISNUMBER(_xll.BDH(config!$G$4,M$1,$A559,$A559)),_xll.BDH(config!$G$4,M$1,$A559,$A559),_xll.BDH(config!$G$5,M$1,$A559,$A559))))</f>
        <v/>
      </c>
      <c r="N559" s="8" t="str">
        <f>IF($A559="","",IF(ISNUMBER(FIND("IMPVOL",N$1)),_xll.BDH(config!$G$4,N$1,WORKDAY($A559,-1,config_Holiday_Calendar_US),WORKDAY($A559,-1,config_Holiday_Calendar_US)),IF(ISNUMBER(_xll.BDH(config!$G$4,N$1,$A559,$A559)),_xll.BDH(config!$G$4,N$1,$A559,$A559),_xll.BDH(config!$G$5,N$1,$A559,$A559))))</f>
        <v/>
      </c>
      <c r="O559" s="8" t="str">
        <f>IF($A559="","",IF(ISNUMBER(FIND("IMPVOL",O$1)),_xll.BDH(config!$G$4,O$1,WORKDAY($A559,-1,config_Holiday_Calendar_US),WORKDAY($A559,-1,config_Holiday_Calendar_US)),IF(ISNUMBER(_xll.BDH(config!$G$4,O$1,$A559,$A559)),_xll.BDH(config!$G$4,O$1,$A559,$A559),_xll.BDH(config!$G$5,O$1,$A559,$A559))))</f>
        <v/>
      </c>
      <c r="P559" s="8" t="str">
        <f>IF($A559="","",IF(ISNUMBER(FIND("IMPVOL",P$1)),_xll.BDH(config!$G$4,P$1,WORKDAY($A559,-1,config_Holiday_Calendar_US),WORKDAY($A559,-1,config_Holiday_Calendar_US)),IF(ISNUMBER(_xll.BDH(config!$G$4,P$1,$A559,$A559)),_xll.BDH(config!$G$4,P$1,$A559,$A559),_xll.BDH(config!$G$5,P$1,$A559,$A559))))</f>
        <v/>
      </c>
      <c r="Q559" s="8" t="str">
        <f>IF($A559="","",IF(ISNUMBER(FIND("IMPVOL",Q$1)),_xll.BDH(config!$G$4,Q$1,WORKDAY($A559,-1,config_Holiday_Calendar_US),WORKDAY($A559,-1,config_Holiday_Calendar_US)),IF(ISNUMBER(_xll.BDH(config!$G$4,Q$1,$A559,$A559)),_xll.BDH(config!$G$4,Q$1,$A559,$A559),_xll.BDH(config!$G$5,Q$1,$A559,$A559))))</f>
        <v/>
      </c>
      <c r="R559" s="8" t="str">
        <f>IF($A559="","",IF(ISNUMBER(FIND("IMPVOL",R$1)),_xll.BDH(config!$G$4,R$1,WORKDAY($A559,-1,config_Holiday_Calendar_US),WORKDAY($A559,-1,config_Holiday_Calendar_US)),IF(ISNUMBER(_xll.BDH(config!$G$4,R$1,$A559,$A559)),_xll.BDH(config!$G$4,R$1,$A559,$A559),_xll.BDH(config!$G$5,R$1,$A559,$A559))))</f>
        <v/>
      </c>
      <c r="S559" s="8" t="str">
        <f>IF($A559="","",IF(ISNUMBER(FIND("IMPVOL",S$1)),_xll.BDH(config!$G$4,S$1,WORKDAY($A559,-1,config_Holiday_Calendar_US),WORKDAY($A559,-1,config_Holiday_Calendar_US)),IF(ISNUMBER(_xll.BDH(config!$G$4,S$1,$A559,$A559)),_xll.BDH(config!$G$4,S$1,$A559,$A559),_xll.BDH(config!$G$5,S$1,$A559,$A559))))</f>
        <v/>
      </c>
      <c r="T559" s="8" t="str">
        <f>IF($A559="","",IF(ISNUMBER(FIND("IMPVOL",T$1)),_xll.BDH(config!$G$4,T$1,WORKDAY($A559,-1,config_Holiday_Calendar_US),WORKDAY($A559,-1,config_Holiday_Calendar_US)),IF(ISNUMBER(_xll.BDH(config!$G$4,T$1,$A559,$A559)),_xll.BDH(config!$G$4,T$1,$A559,$A559),_xll.BDH(config!$G$5,T$1,$A559,$A559))))</f>
        <v/>
      </c>
      <c r="U559" s="8" t="str">
        <f>IF($A559="","",IF(ISNUMBER(FIND("IMPVOL",U$1)),_xll.BDH(config!$G$4,U$1,WORKDAY($A559,-1,config_Holiday_Calendar_US),WORKDAY($A559,-1,config_Holiday_Calendar_US)),IF(ISNUMBER(_xll.BDH(config!$G$4,U$1,$A559,$A559)),_xll.BDH(config!$G$4,U$1,$A559,$A559),_xll.BDH(config!$G$5,U$1,$A559,$A559))))</f>
        <v/>
      </c>
      <c r="V559" s="8" t="str">
        <f>IF($A559="","",IF(ISNUMBER(FIND("IMPVOL",V$1)),_xll.BDH(config!$G$4,V$1,WORKDAY($A559,-1,config_Holiday_Calendar_US),WORKDAY($A559,-1,config_Holiday_Calendar_US)),IF(ISNUMBER(_xll.BDH(config!$G$4,V$1,$A559,$A559)),_xll.BDH(config!$G$4,V$1,$A559,$A559),_xll.BDH(config!$G$5,V$1,$A559,$A559))))</f>
        <v/>
      </c>
      <c r="W559" s="8" t="str">
        <f>IF($A559="","",IF(ISNUMBER(FIND("IMPVOL",W$1)),_xll.BDH(config!$G$4,W$1,WORKDAY($A559,-1,config_Holiday_Calendar_US),WORKDAY($A559,-1,config_Holiday_Calendar_US)),IF(ISNUMBER(_xll.BDH(config!$G$4,W$1,$A559,$A559)),_xll.BDH(config!$G$4,W$1,$A559,$A559),_xll.BDH(config!$G$5,W$1,$A559,$A559))))</f>
        <v/>
      </c>
    </row>
    <row r="560" spans="1:23" x14ac:dyDescent="0.2">
      <c r="A560" s="9" t="str">
        <f>IF(A559="","",IF(WORKDAY(A559,-1,config_Holiday_Calendar_US)&lt;config!$I$10,"",WORKDAY(A559,-1,config_Holiday_Calendar_US)))</f>
        <v/>
      </c>
      <c r="B560" s="8" t="str">
        <f t="shared" si="8"/>
        <v/>
      </c>
      <c r="C560" s="8" t="str">
        <f>IF(A560="","",_xll.BDH(config!$H$4,C$1,$A560,$A560))</f>
        <v/>
      </c>
      <c r="D560" s="8" t="str">
        <f>IF($A560="","",_xll.BDH(config!$H$4,D$1,$A560,$A560))</f>
        <v/>
      </c>
      <c r="E560" s="8" t="str">
        <f>IF($A560="","",IF(ISNUMBER(FIND("IMPVOL",E$1)),_xll.BDH(config!$G$4,E$1,WORKDAY($A560,-1,config_Holiday_Calendar_US),WORKDAY($A560,-1,config_Holiday_Calendar_US)),IF(ISNUMBER(_xll.BDH(config!$G$4,E$1,$A560,$A560)),_xll.BDH(config!$G$4,E$1,$A560,$A560),_xll.BDH(config!$G$5,E$1,$A560,$A560))))</f>
        <v/>
      </c>
      <c r="F560" s="8" t="str">
        <f>IF($A560="","",IF(ISNUMBER(FIND("IMPVOL",F$1)),_xll.BDH(config!$G$4,F$1,WORKDAY($A560,-1,config_Holiday_Calendar_US),WORKDAY($A560,-1,config_Holiday_Calendar_US)),IF(ISNUMBER(_xll.BDH(config!$G$4,F$1,$A560,$A560)),_xll.BDH(config!$G$4,F$1,$A560,$A560),_xll.BDH(config!$G$5,F$1,$A560,$A560))))</f>
        <v/>
      </c>
      <c r="G560" s="8" t="str">
        <f>IF($A560="","",IF(ISNUMBER(FIND("IMPVOL",G$1)),_xll.BDH(config!$G$4,G$1,WORKDAY($A560,-1,config_Holiday_Calendar_US),WORKDAY($A560,-1,config_Holiday_Calendar_US)),IF(ISNUMBER(_xll.BDH(config!$G$4,G$1,$A560,$A560)),_xll.BDH(config!$G$4,G$1,$A560,$A560),_xll.BDH(config!$G$5,G$1,$A560,$A560))))</f>
        <v/>
      </c>
      <c r="H560" s="8" t="str">
        <f>IF($A560="","",IF(ISNUMBER(FIND("IMPVOL",H$1)),_xll.BDH(config!$G$4,H$1,WORKDAY($A560,-1,config_Holiday_Calendar_US),WORKDAY($A560,-1,config_Holiday_Calendar_US)),IF(ISNUMBER(_xll.BDH(config!$G$4,H$1,$A560,$A560)),_xll.BDH(config!$G$4,H$1,$A560,$A560),_xll.BDH(config!$G$5,H$1,$A560,$A560))))</f>
        <v/>
      </c>
      <c r="I560" s="8" t="str">
        <f>IF($A560="","",IF(ISNUMBER(FIND("IMPVOL",I$1)),_xll.BDH(config!$G$4,I$1,WORKDAY($A560,-1,config_Holiday_Calendar_US),WORKDAY($A560,-1,config_Holiday_Calendar_US)),IF(ISNUMBER(_xll.BDH(config!$G$4,I$1,$A560,$A560)),_xll.BDH(config!$G$4,I$1,$A560,$A560),_xll.BDH(config!$G$5,I$1,$A560,$A560))))</f>
        <v/>
      </c>
      <c r="J560" s="8" t="str">
        <f>IF($A560="","",IF(ISNUMBER(FIND("IMPVOL",J$1)),_xll.BDH(config!$G$4,J$1,WORKDAY($A560,-1,config_Holiday_Calendar_US),WORKDAY($A560,-1,config_Holiday_Calendar_US)),IF(ISNUMBER(_xll.BDH(config!$G$4,J$1,$A560,$A560)),_xll.BDH(config!$G$4,J$1,$A560,$A560),_xll.BDH(config!$G$5,J$1,$A560,$A560))))</f>
        <v/>
      </c>
      <c r="K560" s="8" t="str">
        <f>IF($A560="","",IF(ISNUMBER(FIND("IMPVOL",K$1)),_xll.BDH(config!$G$4,K$1,WORKDAY($A560,-1,config_Holiday_Calendar_US),WORKDAY($A560,-1,config_Holiday_Calendar_US)),IF(ISNUMBER(_xll.BDH(config!$G$4,K$1,$A560,$A560)),_xll.BDH(config!$G$4,K$1,$A560,$A560),_xll.BDH(config!$G$5,K$1,$A560,$A560))))</f>
        <v/>
      </c>
      <c r="L560" s="8" t="str">
        <f>IF($A560="","",IF(ISNUMBER(FIND("IMPVOL",L$1)),_xll.BDH(config!$G$4,L$1,WORKDAY($A560,-1,config_Holiday_Calendar_US),WORKDAY($A560,-1,config_Holiday_Calendar_US)),IF(ISNUMBER(_xll.BDH(config!$G$4,L$1,$A560,$A560)),_xll.BDH(config!$G$4,L$1,$A560,$A560),_xll.BDH(config!$G$5,L$1,$A560,$A560))))</f>
        <v/>
      </c>
      <c r="M560" s="8" t="str">
        <f>IF($A560="","",IF(ISNUMBER(FIND("IMPVOL",M$1)),_xll.BDH(config!$G$4,M$1,WORKDAY($A560,-1,config_Holiday_Calendar_US),WORKDAY($A560,-1,config_Holiday_Calendar_US)),IF(ISNUMBER(_xll.BDH(config!$G$4,M$1,$A560,$A560)),_xll.BDH(config!$G$4,M$1,$A560,$A560),_xll.BDH(config!$G$5,M$1,$A560,$A560))))</f>
        <v/>
      </c>
      <c r="N560" s="8" t="str">
        <f>IF($A560="","",IF(ISNUMBER(FIND("IMPVOL",N$1)),_xll.BDH(config!$G$4,N$1,WORKDAY($A560,-1,config_Holiday_Calendar_US),WORKDAY($A560,-1,config_Holiday_Calendar_US)),IF(ISNUMBER(_xll.BDH(config!$G$4,N$1,$A560,$A560)),_xll.BDH(config!$G$4,N$1,$A560,$A560),_xll.BDH(config!$G$5,N$1,$A560,$A560))))</f>
        <v/>
      </c>
      <c r="O560" s="8" t="str">
        <f>IF($A560="","",IF(ISNUMBER(FIND("IMPVOL",O$1)),_xll.BDH(config!$G$4,O$1,WORKDAY($A560,-1,config_Holiday_Calendar_US),WORKDAY($A560,-1,config_Holiday_Calendar_US)),IF(ISNUMBER(_xll.BDH(config!$G$4,O$1,$A560,$A560)),_xll.BDH(config!$G$4,O$1,$A560,$A560),_xll.BDH(config!$G$5,O$1,$A560,$A560))))</f>
        <v/>
      </c>
      <c r="P560" s="8" t="str">
        <f>IF($A560="","",IF(ISNUMBER(FIND("IMPVOL",P$1)),_xll.BDH(config!$G$4,P$1,WORKDAY($A560,-1,config_Holiday_Calendar_US),WORKDAY($A560,-1,config_Holiday_Calendar_US)),IF(ISNUMBER(_xll.BDH(config!$G$4,P$1,$A560,$A560)),_xll.BDH(config!$G$4,P$1,$A560,$A560),_xll.BDH(config!$G$5,P$1,$A560,$A560))))</f>
        <v/>
      </c>
      <c r="Q560" s="8" t="str">
        <f>IF($A560="","",IF(ISNUMBER(FIND("IMPVOL",Q$1)),_xll.BDH(config!$G$4,Q$1,WORKDAY($A560,-1,config_Holiday_Calendar_US),WORKDAY($A560,-1,config_Holiday_Calendar_US)),IF(ISNUMBER(_xll.BDH(config!$G$4,Q$1,$A560,$A560)),_xll.BDH(config!$G$4,Q$1,$A560,$A560),_xll.BDH(config!$G$5,Q$1,$A560,$A560))))</f>
        <v/>
      </c>
      <c r="R560" s="8" t="str">
        <f>IF($A560="","",IF(ISNUMBER(FIND("IMPVOL",R$1)),_xll.BDH(config!$G$4,R$1,WORKDAY($A560,-1,config_Holiday_Calendar_US),WORKDAY($A560,-1,config_Holiday_Calendar_US)),IF(ISNUMBER(_xll.BDH(config!$G$4,R$1,$A560,$A560)),_xll.BDH(config!$G$4,R$1,$A560,$A560),_xll.BDH(config!$G$5,R$1,$A560,$A560))))</f>
        <v/>
      </c>
      <c r="S560" s="8" t="str">
        <f>IF($A560="","",IF(ISNUMBER(FIND("IMPVOL",S$1)),_xll.BDH(config!$G$4,S$1,WORKDAY($A560,-1,config_Holiday_Calendar_US),WORKDAY($A560,-1,config_Holiday_Calendar_US)),IF(ISNUMBER(_xll.BDH(config!$G$4,S$1,$A560,$A560)),_xll.BDH(config!$G$4,S$1,$A560,$A560),_xll.BDH(config!$G$5,S$1,$A560,$A560))))</f>
        <v/>
      </c>
      <c r="T560" s="8" t="str">
        <f>IF($A560="","",IF(ISNUMBER(FIND("IMPVOL",T$1)),_xll.BDH(config!$G$4,T$1,WORKDAY($A560,-1,config_Holiday_Calendar_US),WORKDAY($A560,-1,config_Holiday_Calendar_US)),IF(ISNUMBER(_xll.BDH(config!$G$4,T$1,$A560,$A560)),_xll.BDH(config!$G$4,T$1,$A560,$A560),_xll.BDH(config!$G$5,T$1,$A560,$A560))))</f>
        <v/>
      </c>
      <c r="U560" s="8" t="str">
        <f>IF($A560="","",IF(ISNUMBER(FIND("IMPVOL",U$1)),_xll.BDH(config!$G$4,U$1,WORKDAY($A560,-1,config_Holiday_Calendar_US),WORKDAY($A560,-1,config_Holiday_Calendar_US)),IF(ISNUMBER(_xll.BDH(config!$G$4,U$1,$A560,$A560)),_xll.BDH(config!$G$4,U$1,$A560,$A560),_xll.BDH(config!$G$5,U$1,$A560,$A560))))</f>
        <v/>
      </c>
      <c r="V560" s="8" t="str">
        <f>IF($A560="","",IF(ISNUMBER(FIND("IMPVOL",V$1)),_xll.BDH(config!$G$4,V$1,WORKDAY($A560,-1,config_Holiday_Calendar_US),WORKDAY($A560,-1,config_Holiday_Calendar_US)),IF(ISNUMBER(_xll.BDH(config!$G$4,V$1,$A560,$A560)),_xll.BDH(config!$G$4,V$1,$A560,$A560),_xll.BDH(config!$G$5,V$1,$A560,$A560))))</f>
        <v/>
      </c>
      <c r="W560" s="8" t="str">
        <f>IF($A560="","",IF(ISNUMBER(FIND("IMPVOL",W$1)),_xll.BDH(config!$G$4,W$1,WORKDAY($A560,-1,config_Holiday_Calendar_US),WORKDAY($A560,-1,config_Holiday_Calendar_US)),IF(ISNUMBER(_xll.BDH(config!$G$4,W$1,$A560,$A560)),_xll.BDH(config!$G$4,W$1,$A560,$A560),_xll.BDH(config!$G$5,W$1,$A560,$A560))))</f>
        <v/>
      </c>
    </row>
    <row r="561" spans="1:23" x14ac:dyDescent="0.2">
      <c r="A561" s="9" t="str">
        <f>IF(A560="","",IF(WORKDAY(A560,-1,config_Holiday_Calendar_US)&lt;config!$I$10,"",WORKDAY(A560,-1,config_Holiday_Calendar_US)))</f>
        <v/>
      </c>
      <c r="B561" s="8" t="str">
        <f t="shared" si="8"/>
        <v/>
      </c>
      <c r="C561" s="8" t="str">
        <f>IF(A561="","",_xll.BDH(config!$H$4,C$1,$A561,$A561))</f>
        <v/>
      </c>
      <c r="D561" s="8" t="str">
        <f>IF($A561="","",_xll.BDH(config!$H$4,D$1,$A561,$A561))</f>
        <v/>
      </c>
      <c r="E561" s="8" t="str">
        <f>IF($A561="","",IF(ISNUMBER(FIND("IMPVOL",E$1)),_xll.BDH(config!$G$4,E$1,WORKDAY($A561,-1,config_Holiday_Calendar_US),WORKDAY($A561,-1,config_Holiday_Calendar_US)),IF(ISNUMBER(_xll.BDH(config!$G$4,E$1,$A561,$A561)),_xll.BDH(config!$G$4,E$1,$A561,$A561),_xll.BDH(config!$G$5,E$1,$A561,$A561))))</f>
        <v/>
      </c>
      <c r="F561" s="8" t="str">
        <f>IF($A561="","",IF(ISNUMBER(FIND("IMPVOL",F$1)),_xll.BDH(config!$G$4,F$1,WORKDAY($A561,-1,config_Holiday_Calendar_US),WORKDAY($A561,-1,config_Holiday_Calendar_US)),IF(ISNUMBER(_xll.BDH(config!$G$4,F$1,$A561,$A561)),_xll.BDH(config!$G$4,F$1,$A561,$A561),_xll.BDH(config!$G$5,F$1,$A561,$A561))))</f>
        <v/>
      </c>
      <c r="G561" s="8" t="str">
        <f>IF($A561="","",IF(ISNUMBER(FIND("IMPVOL",G$1)),_xll.BDH(config!$G$4,G$1,WORKDAY($A561,-1,config_Holiday_Calendar_US),WORKDAY($A561,-1,config_Holiday_Calendar_US)),IF(ISNUMBER(_xll.BDH(config!$G$4,G$1,$A561,$A561)),_xll.BDH(config!$G$4,G$1,$A561,$A561),_xll.BDH(config!$G$5,G$1,$A561,$A561))))</f>
        <v/>
      </c>
      <c r="H561" s="8" t="str">
        <f>IF($A561="","",IF(ISNUMBER(FIND("IMPVOL",H$1)),_xll.BDH(config!$G$4,H$1,WORKDAY($A561,-1,config_Holiday_Calendar_US),WORKDAY($A561,-1,config_Holiday_Calendar_US)),IF(ISNUMBER(_xll.BDH(config!$G$4,H$1,$A561,$A561)),_xll.BDH(config!$G$4,H$1,$A561,$A561),_xll.BDH(config!$G$5,H$1,$A561,$A561))))</f>
        <v/>
      </c>
      <c r="I561" s="8" t="str">
        <f>IF($A561="","",IF(ISNUMBER(FIND("IMPVOL",I$1)),_xll.BDH(config!$G$4,I$1,WORKDAY($A561,-1,config_Holiday_Calendar_US),WORKDAY($A561,-1,config_Holiday_Calendar_US)),IF(ISNUMBER(_xll.BDH(config!$G$4,I$1,$A561,$A561)),_xll.BDH(config!$G$4,I$1,$A561,$A561),_xll.BDH(config!$G$5,I$1,$A561,$A561))))</f>
        <v/>
      </c>
      <c r="J561" s="8" t="str">
        <f>IF($A561="","",IF(ISNUMBER(FIND("IMPVOL",J$1)),_xll.BDH(config!$G$4,J$1,WORKDAY($A561,-1,config_Holiday_Calendar_US),WORKDAY($A561,-1,config_Holiday_Calendar_US)),IF(ISNUMBER(_xll.BDH(config!$G$4,J$1,$A561,$A561)),_xll.BDH(config!$G$4,J$1,$A561,$A561),_xll.BDH(config!$G$5,J$1,$A561,$A561))))</f>
        <v/>
      </c>
      <c r="K561" s="8" t="str">
        <f>IF($A561="","",IF(ISNUMBER(FIND("IMPVOL",K$1)),_xll.BDH(config!$G$4,K$1,WORKDAY($A561,-1,config_Holiday_Calendar_US),WORKDAY($A561,-1,config_Holiday_Calendar_US)),IF(ISNUMBER(_xll.BDH(config!$G$4,K$1,$A561,$A561)),_xll.BDH(config!$G$4,K$1,$A561,$A561),_xll.BDH(config!$G$5,K$1,$A561,$A561))))</f>
        <v/>
      </c>
      <c r="L561" s="8" t="str">
        <f>IF($A561="","",IF(ISNUMBER(FIND("IMPVOL",L$1)),_xll.BDH(config!$G$4,L$1,WORKDAY($A561,-1,config_Holiday_Calendar_US),WORKDAY($A561,-1,config_Holiday_Calendar_US)),IF(ISNUMBER(_xll.BDH(config!$G$4,L$1,$A561,$A561)),_xll.BDH(config!$G$4,L$1,$A561,$A561),_xll.BDH(config!$G$5,L$1,$A561,$A561))))</f>
        <v/>
      </c>
      <c r="M561" s="8" t="str">
        <f>IF($A561="","",IF(ISNUMBER(FIND("IMPVOL",M$1)),_xll.BDH(config!$G$4,M$1,WORKDAY($A561,-1,config_Holiday_Calendar_US),WORKDAY($A561,-1,config_Holiday_Calendar_US)),IF(ISNUMBER(_xll.BDH(config!$G$4,M$1,$A561,$A561)),_xll.BDH(config!$G$4,M$1,$A561,$A561),_xll.BDH(config!$G$5,M$1,$A561,$A561))))</f>
        <v/>
      </c>
      <c r="N561" s="8" t="str">
        <f>IF($A561="","",IF(ISNUMBER(FIND("IMPVOL",N$1)),_xll.BDH(config!$G$4,N$1,WORKDAY($A561,-1,config_Holiday_Calendar_US),WORKDAY($A561,-1,config_Holiday_Calendar_US)),IF(ISNUMBER(_xll.BDH(config!$G$4,N$1,$A561,$A561)),_xll.BDH(config!$G$4,N$1,$A561,$A561),_xll.BDH(config!$G$5,N$1,$A561,$A561))))</f>
        <v/>
      </c>
      <c r="O561" s="8" t="str">
        <f>IF($A561="","",IF(ISNUMBER(FIND("IMPVOL",O$1)),_xll.BDH(config!$G$4,O$1,WORKDAY($A561,-1,config_Holiday_Calendar_US),WORKDAY($A561,-1,config_Holiday_Calendar_US)),IF(ISNUMBER(_xll.BDH(config!$G$4,O$1,$A561,$A561)),_xll.BDH(config!$G$4,O$1,$A561,$A561),_xll.BDH(config!$G$5,O$1,$A561,$A561))))</f>
        <v/>
      </c>
      <c r="P561" s="8" t="str">
        <f>IF($A561="","",IF(ISNUMBER(FIND("IMPVOL",P$1)),_xll.BDH(config!$G$4,P$1,WORKDAY($A561,-1,config_Holiday_Calendar_US),WORKDAY($A561,-1,config_Holiday_Calendar_US)),IF(ISNUMBER(_xll.BDH(config!$G$4,P$1,$A561,$A561)),_xll.BDH(config!$G$4,P$1,$A561,$A561),_xll.BDH(config!$G$5,P$1,$A561,$A561))))</f>
        <v/>
      </c>
      <c r="Q561" s="8" t="str">
        <f>IF($A561="","",IF(ISNUMBER(FIND("IMPVOL",Q$1)),_xll.BDH(config!$G$4,Q$1,WORKDAY($A561,-1,config_Holiday_Calendar_US),WORKDAY($A561,-1,config_Holiday_Calendar_US)),IF(ISNUMBER(_xll.BDH(config!$G$4,Q$1,$A561,$A561)),_xll.BDH(config!$G$4,Q$1,$A561,$A561),_xll.BDH(config!$G$5,Q$1,$A561,$A561))))</f>
        <v/>
      </c>
      <c r="R561" s="8" t="str">
        <f>IF($A561="","",IF(ISNUMBER(FIND("IMPVOL",R$1)),_xll.BDH(config!$G$4,R$1,WORKDAY($A561,-1,config_Holiday_Calendar_US),WORKDAY($A561,-1,config_Holiday_Calendar_US)),IF(ISNUMBER(_xll.BDH(config!$G$4,R$1,$A561,$A561)),_xll.BDH(config!$G$4,R$1,$A561,$A561),_xll.BDH(config!$G$5,R$1,$A561,$A561))))</f>
        <v/>
      </c>
      <c r="S561" s="8" t="str">
        <f>IF($A561="","",IF(ISNUMBER(FIND("IMPVOL",S$1)),_xll.BDH(config!$G$4,S$1,WORKDAY($A561,-1,config_Holiday_Calendar_US),WORKDAY($A561,-1,config_Holiday_Calendar_US)),IF(ISNUMBER(_xll.BDH(config!$G$4,S$1,$A561,$A561)),_xll.BDH(config!$G$4,S$1,$A561,$A561),_xll.BDH(config!$G$5,S$1,$A561,$A561))))</f>
        <v/>
      </c>
      <c r="T561" s="8" t="str">
        <f>IF($A561="","",IF(ISNUMBER(FIND("IMPVOL",T$1)),_xll.BDH(config!$G$4,T$1,WORKDAY($A561,-1,config_Holiday_Calendar_US),WORKDAY($A561,-1,config_Holiday_Calendar_US)),IF(ISNUMBER(_xll.BDH(config!$G$4,T$1,$A561,$A561)),_xll.BDH(config!$G$4,T$1,$A561,$A561),_xll.BDH(config!$G$5,T$1,$A561,$A561))))</f>
        <v/>
      </c>
      <c r="U561" s="8" t="str">
        <f>IF($A561="","",IF(ISNUMBER(FIND("IMPVOL",U$1)),_xll.BDH(config!$G$4,U$1,WORKDAY($A561,-1,config_Holiday_Calendar_US),WORKDAY($A561,-1,config_Holiday_Calendar_US)),IF(ISNUMBER(_xll.BDH(config!$G$4,U$1,$A561,$A561)),_xll.BDH(config!$G$4,U$1,$A561,$A561),_xll.BDH(config!$G$5,U$1,$A561,$A561))))</f>
        <v/>
      </c>
      <c r="V561" s="8" t="str">
        <f>IF($A561="","",IF(ISNUMBER(FIND("IMPVOL",V$1)),_xll.BDH(config!$G$4,V$1,WORKDAY($A561,-1,config_Holiday_Calendar_US),WORKDAY($A561,-1,config_Holiday_Calendar_US)),IF(ISNUMBER(_xll.BDH(config!$G$4,V$1,$A561,$A561)),_xll.BDH(config!$G$4,V$1,$A561,$A561),_xll.BDH(config!$G$5,V$1,$A561,$A561))))</f>
        <v/>
      </c>
      <c r="W561" s="8" t="str">
        <f>IF($A561="","",IF(ISNUMBER(FIND("IMPVOL",W$1)),_xll.BDH(config!$G$4,W$1,WORKDAY($A561,-1,config_Holiday_Calendar_US),WORKDAY($A561,-1,config_Holiday_Calendar_US)),IF(ISNUMBER(_xll.BDH(config!$G$4,W$1,$A561,$A561)),_xll.BDH(config!$G$4,W$1,$A561,$A561),_xll.BDH(config!$G$5,W$1,$A561,$A561))))</f>
        <v/>
      </c>
    </row>
    <row r="562" spans="1:23" x14ac:dyDescent="0.2">
      <c r="A562" s="9" t="str">
        <f>IF(A561="","",IF(WORKDAY(A561,-1,config_Holiday_Calendar_US)&lt;config!$I$10,"",WORKDAY(A561,-1,config_Holiday_Calendar_US)))</f>
        <v/>
      </c>
      <c r="B562" s="8" t="str">
        <f t="shared" si="8"/>
        <v/>
      </c>
      <c r="C562" s="8" t="str">
        <f>IF(A562="","",_xll.BDH(config!$H$4,C$1,$A562,$A562))</f>
        <v/>
      </c>
      <c r="D562" s="8" t="str">
        <f>IF($A562="","",_xll.BDH(config!$H$4,D$1,$A562,$A562))</f>
        <v/>
      </c>
      <c r="E562" s="8" t="str">
        <f>IF($A562="","",IF(ISNUMBER(FIND("IMPVOL",E$1)),_xll.BDH(config!$G$4,E$1,WORKDAY($A562,-1,config_Holiday_Calendar_US),WORKDAY($A562,-1,config_Holiday_Calendar_US)),IF(ISNUMBER(_xll.BDH(config!$G$4,E$1,$A562,$A562)),_xll.BDH(config!$G$4,E$1,$A562,$A562),_xll.BDH(config!$G$5,E$1,$A562,$A562))))</f>
        <v/>
      </c>
      <c r="F562" s="8" t="str">
        <f>IF($A562="","",IF(ISNUMBER(FIND("IMPVOL",F$1)),_xll.BDH(config!$G$4,F$1,WORKDAY($A562,-1,config_Holiday_Calendar_US),WORKDAY($A562,-1,config_Holiday_Calendar_US)),IF(ISNUMBER(_xll.BDH(config!$G$4,F$1,$A562,$A562)),_xll.BDH(config!$G$4,F$1,$A562,$A562),_xll.BDH(config!$G$5,F$1,$A562,$A562))))</f>
        <v/>
      </c>
      <c r="G562" s="8" t="str">
        <f>IF($A562="","",IF(ISNUMBER(FIND("IMPVOL",G$1)),_xll.BDH(config!$G$4,G$1,WORKDAY($A562,-1,config_Holiday_Calendar_US),WORKDAY($A562,-1,config_Holiday_Calendar_US)),IF(ISNUMBER(_xll.BDH(config!$G$4,G$1,$A562,$A562)),_xll.BDH(config!$G$4,G$1,$A562,$A562),_xll.BDH(config!$G$5,G$1,$A562,$A562))))</f>
        <v/>
      </c>
      <c r="H562" s="8" t="str">
        <f>IF($A562="","",IF(ISNUMBER(FIND("IMPVOL",H$1)),_xll.BDH(config!$G$4,H$1,WORKDAY($A562,-1,config_Holiday_Calendar_US),WORKDAY($A562,-1,config_Holiday_Calendar_US)),IF(ISNUMBER(_xll.BDH(config!$G$4,H$1,$A562,$A562)),_xll.BDH(config!$G$4,H$1,$A562,$A562),_xll.BDH(config!$G$5,H$1,$A562,$A562))))</f>
        <v/>
      </c>
      <c r="I562" s="8" t="str">
        <f>IF($A562="","",IF(ISNUMBER(FIND("IMPVOL",I$1)),_xll.BDH(config!$G$4,I$1,WORKDAY($A562,-1,config_Holiday_Calendar_US),WORKDAY($A562,-1,config_Holiday_Calendar_US)),IF(ISNUMBER(_xll.BDH(config!$G$4,I$1,$A562,$A562)),_xll.BDH(config!$G$4,I$1,$A562,$A562),_xll.BDH(config!$G$5,I$1,$A562,$A562))))</f>
        <v/>
      </c>
      <c r="J562" s="8" t="str">
        <f>IF($A562="","",IF(ISNUMBER(FIND("IMPVOL",J$1)),_xll.BDH(config!$G$4,J$1,WORKDAY($A562,-1,config_Holiday_Calendar_US),WORKDAY($A562,-1,config_Holiday_Calendar_US)),IF(ISNUMBER(_xll.BDH(config!$G$4,J$1,$A562,$A562)),_xll.BDH(config!$G$4,J$1,$A562,$A562),_xll.BDH(config!$G$5,J$1,$A562,$A562))))</f>
        <v/>
      </c>
      <c r="K562" s="8" t="str">
        <f>IF($A562="","",IF(ISNUMBER(FIND("IMPVOL",K$1)),_xll.BDH(config!$G$4,K$1,WORKDAY($A562,-1,config_Holiday_Calendar_US),WORKDAY($A562,-1,config_Holiday_Calendar_US)),IF(ISNUMBER(_xll.BDH(config!$G$4,K$1,$A562,$A562)),_xll.BDH(config!$G$4,K$1,$A562,$A562),_xll.BDH(config!$G$5,K$1,$A562,$A562))))</f>
        <v/>
      </c>
      <c r="L562" s="8" t="str">
        <f>IF($A562="","",IF(ISNUMBER(FIND("IMPVOL",L$1)),_xll.BDH(config!$G$4,L$1,WORKDAY($A562,-1,config_Holiday_Calendar_US),WORKDAY($A562,-1,config_Holiday_Calendar_US)),IF(ISNUMBER(_xll.BDH(config!$G$4,L$1,$A562,$A562)),_xll.BDH(config!$G$4,L$1,$A562,$A562),_xll.BDH(config!$G$5,L$1,$A562,$A562))))</f>
        <v/>
      </c>
      <c r="M562" s="8" t="str">
        <f>IF($A562="","",IF(ISNUMBER(FIND("IMPVOL",M$1)),_xll.BDH(config!$G$4,M$1,WORKDAY($A562,-1,config_Holiday_Calendar_US),WORKDAY($A562,-1,config_Holiday_Calendar_US)),IF(ISNUMBER(_xll.BDH(config!$G$4,M$1,$A562,$A562)),_xll.BDH(config!$G$4,M$1,$A562,$A562),_xll.BDH(config!$G$5,M$1,$A562,$A562))))</f>
        <v/>
      </c>
      <c r="N562" s="8" t="str">
        <f>IF($A562="","",IF(ISNUMBER(FIND("IMPVOL",N$1)),_xll.BDH(config!$G$4,N$1,WORKDAY($A562,-1,config_Holiday_Calendar_US),WORKDAY($A562,-1,config_Holiday_Calendar_US)),IF(ISNUMBER(_xll.BDH(config!$G$4,N$1,$A562,$A562)),_xll.BDH(config!$G$4,N$1,$A562,$A562),_xll.BDH(config!$G$5,N$1,$A562,$A562))))</f>
        <v/>
      </c>
      <c r="O562" s="8" t="str">
        <f>IF($A562="","",IF(ISNUMBER(FIND("IMPVOL",O$1)),_xll.BDH(config!$G$4,O$1,WORKDAY($A562,-1,config_Holiday_Calendar_US),WORKDAY($A562,-1,config_Holiday_Calendar_US)),IF(ISNUMBER(_xll.BDH(config!$G$4,O$1,$A562,$A562)),_xll.BDH(config!$G$4,O$1,$A562,$A562),_xll.BDH(config!$G$5,O$1,$A562,$A562))))</f>
        <v/>
      </c>
      <c r="P562" s="8" t="str">
        <f>IF($A562="","",IF(ISNUMBER(FIND("IMPVOL",P$1)),_xll.BDH(config!$G$4,P$1,WORKDAY($A562,-1,config_Holiday_Calendar_US),WORKDAY($A562,-1,config_Holiday_Calendar_US)),IF(ISNUMBER(_xll.BDH(config!$G$4,P$1,$A562,$A562)),_xll.BDH(config!$G$4,P$1,$A562,$A562),_xll.BDH(config!$G$5,P$1,$A562,$A562))))</f>
        <v/>
      </c>
      <c r="Q562" s="8" t="str">
        <f>IF($A562="","",IF(ISNUMBER(FIND("IMPVOL",Q$1)),_xll.BDH(config!$G$4,Q$1,WORKDAY($A562,-1,config_Holiday_Calendar_US),WORKDAY($A562,-1,config_Holiday_Calendar_US)),IF(ISNUMBER(_xll.BDH(config!$G$4,Q$1,$A562,$A562)),_xll.BDH(config!$G$4,Q$1,$A562,$A562),_xll.BDH(config!$G$5,Q$1,$A562,$A562))))</f>
        <v/>
      </c>
      <c r="R562" s="8" t="str">
        <f>IF($A562="","",IF(ISNUMBER(FIND("IMPVOL",R$1)),_xll.BDH(config!$G$4,R$1,WORKDAY($A562,-1,config_Holiday_Calendar_US),WORKDAY($A562,-1,config_Holiday_Calendar_US)),IF(ISNUMBER(_xll.BDH(config!$G$4,R$1,$A562,$A562)),_xll.BDH(config!$G$4,R$1,$A562,$A562),_xll.BDH(config!$G$5,R$1,$A562,$A562))))</f>
        <v/>
      </c>
      <c r="S562" s="8" t="str">
        <f>IF($A562="","",IF(ISNUMBER(FIND("IMPVOL",S$1)),_xll.BDH(config!$G$4,S$1,WORKDAY($A562,-1,config_Holiday_Calendar_US),WORKDAY($A562,-1,config_Holiday_Calendar_US)),IF(ISNUMBER(_xll.BDH(config!$G$4,S$1,$A562,$A562)),_xll.BDH(config!$G$4,S$1,$A562,$A562),_xll.BDH(config!$G$5,S$1,$A562,$A562))))</f>
        <v/>
      </c>
      <c r="T562" s="8" t="str">
        <f>IF($A562="","",IF(ISNUMBER(FIND("IMPVOL",T$1)),_xll.BDH(config!$G$4,T$1,WORKDAY($A562,-1,config_Holiday_Calendar_US),WORKDAY($A562,-1,config_Holiday_Calendar_US)),IF(ISNUMBER(_xll.BDH(config!$G$4,T$1,$A562,$A562)),_xll.BDH(config!$G$4,T$1,$A562,$A562),_xll.BDH(config!$G$5,T$1,$A562,$A562))))</f>
        <v/>
      </c>
      <c r="U562" s="8" t="str">
        <f>IF($A562="","",IF(ISNUMBER(FIND("IMPVOL",U$1)),_xll.BDH(config!$G$4,U$1,WORKDAY($A562,-1,config_Holiday_Calendar_US),WORKDAY($A562,-1,config_Holiday_Calendar_US)),IF(ISNUMBER(_xll.BDH(config!$G$4,U$1,$A562,$A562)),_xll.BDH(config!$G$4,U$1,$A562,$A562),_xll.BDH(config!$G$5,U$1,$A562,$A562))))</f>
        <v/>
      </c>
      <c r="V562" s="8" t="str">
        <f>IF($A562="","",IF(ISNUMBER(FIND("IMPVOL",V$1)),_xll.BDH(config!$G$4,V$1,WORKDAY($A562,-1,config_Holiday_Calendar_US),WORKDAY($A562,-1,config_Holiday_Calendar_US)),IF(ISNUMBER(_xll.BDH(config!$G$4,V$1,$A562,$A562)),_xll.BDH(config!$G$4,V$1,$A562,$A562),_xll.BDH(config!$G$5,V$1,$A562,$A562))))</f>
        <v/>
      </c>
      <c r="W562" s="8" t="str">
        <f>IF($A562="","",IF(ISNUMBER(FIND("IMPVOL",W$1)),_xll.BDH(config!$G$4,W$1,WORKDAY($A562,-1,config_Holiday_Calendar_US),WORKDAY($A562,-1,config_Holiday_Calendar_US)),IF(ISNUMBER(_xll.BDH(config!$G$4,W$1,$A562,$A562)),_xll.BDH(config!$G$4,W$1,$A562,$A562),_xll.BDH(config!$G$5,W$1,$A562,$A562))))</f>
        <v/>
      </c>
    </row>
    <row r="563" spans="1:23" x14ac:dyDescent="0.2">
      <c r="A563" s="9" t="str">
        <f>IF(A562="","",IF(WORKDAY(A562,-1,config_Holiday_Calendar_US)&lt;config!$I$10,"",WORKDAY(A562,-1,config_Holiday_Calendar_US)))</f>
        <v/>
      </c>
      <c r="B563" s="8" t="str">
        <f t="shared" si="8"/>
        <v/>
      </c>
      <c r="C563" s="8" t="str">
        <f>IF(A563="","",_xll.BDH(config!$H$4,C$1,$A563,$A563))</f>
        <v/>
      </c>
      <c r="D563" s="8" t="str">
        <f>IF($A563="","",_xll.BDH(config!$H$4,D$1,$A563,$A563))</f>
        <v/>
      </c>
      <c r="E563" s="8" t="str">
        <f>IF($A563="","",IF(ISNUMBER(FIND("IMPVOL",E$1)),_xll.BDH(config!$G$4,E$1,WORKDAY($A563,-1,config_Holiday_Calendar_US),WORKDAY($A563,-1,config_Holiday_Calendar_US)),IF(ISNUMBER(_xll.BDH(config!$G$4,E$1,$A563,$A563)),_xll.BDH(config!$G$4,E$1,$A563,$A563),_xll.BDH(config!$G$5,E$1,$A563,$A563))))</f>
        <v/>
      </c>
      <c r="F563" s="8" t="str">
        <f>IF($A563="","",IF(ISNUMBER(FIND("IMPVOL",F$1)),_xll.BDH(config!$G$4,F$1,WORKDAY($A563,-1,config_Holiday_Calendar_US),WORKDAY($A563,-1,config_Holiday_Calendar_US)),IF(ISNUMBER(_xll.BDH(config!$G$4,F$1,$A563,$A563)),_xll.BDH(config!$G$4,F$1,$A563,$A563),_xll.BDH(config!$G$5,F$1,$A563,$A563))))</f>
        <v/>
      </c>
      <c r="G563" s="8" t="str">
        <f>IF($A563="","",IF(ISNUMBER(FIND("IMPVOL",G$1)),_xll.BDH(config!$G$4,G$1,WORKDAY($A563,-1,config_Holiday_Calendar_US),WORKDAY($A563,-1,config_Holiday_Calendar_US)),IF(ISNUMBER(_xll.BDH(config!$G$4,G$1,$A563,$A563)),_xll.BDH(config!$G$4,G$1,$A563,$A563),_xll.BDH(config!$G$5,G$1,$A563,$A563))))</f>
        <v/>
      </c>
      <c r="H563" s="8" t="str">
        <f>IF($A563="","",IF(ISNUMBER(FIND("IMPVOL",H$1)),_xll.BDH(config!$G$4,H$1,WORKDAY($A563,-1,config_Holiday_Calendar_US),WORKDAY($A563,-1,config_Holiday_Calendar_US)),IF(ISNUMBER(_xll.BDH(config!$G$4,H$1,$A563,$A563)),_xll.BDH(config!$G$4,H$1,$A563,$A563),_xll.BDH(config!$G$5,H$1,$A563,$A563))))</f>
        <v/>
      </c>
      <c r="I563" s="8" t="str">
        <f>IF($A563="","",IF(ISNUMBER(FIND("IMPVOL",I$1)),_xll.BDH(config!$G$4,I$1,WORKDAY($A563,-1,config_Holiday_Calendar_US),WORKDAY($A563,-1,config_Holiday_Calendar_US)),IF(ISNUMBER(_xll.BDH(config!$G$4,I$1,$A563,$A563)),_xll.BDH(config!$G$4,I$1,$A563,$A563),_xll.BDH(config!$G$5,I$1,$A563,$A563))))</f>
        <v/>
      </c>
      <c r="J563" s="8" t="str">
        <f>IF($A563="","",IF(ISNUMBER(FIND("IMPVOL",J$1)),_xll.BDH(config!$G$4,J$1,WORKDAY($A563,-1,config_Holiday_Calendar_US),WORKDAY($A563,-1,config_Holiday_Calendar_US)),IF(ISNUMBER(_xll.BDH(config!$G$4,J$1,$A563,$A563)),_xll.BDH(config!$G$4,J$1,$A563,$A563),_xll.BDH(config!$G$5,J$1,$A563,$A563))))</f>
        <v/>
      </c>
      <c r="K563" s="8" t="str">
        <f>IF($A563="","",IF(ISNUMBER(FIND("IMPVOL",K$1)),_xll.BDH(config!$G$4,K$1,WORKDAY($A563,-1,config_Holiday_Calendar_US),WORKDAY($A563,-1,config_Holiday_Calendar_US)),IF(ISNUMBER(_xll.BDH(config!$G$4,K$1,$A563,$A563)),_xll.BDH(config!$G$4,K$1,$A563,$A563),_xll.BDH(config!$G$5,K$1,$A563,$A563))))</f>
        <v/>
      </c>
      <c r="L563" s="8" t="str">
        <f>IF($A563="","",IF(ISNUMBER(FIND("IMPVOL",L$1)),_xll.BDH(config!$G$4,L$1,WORKDAY($A563,-1,config_Holiday_Calendar_US),WORKDAY($A563,-1,config_Holiday_Calendar_US)),IF(ISNUMBER(_xll.BDH(config!$G$4,L$1,$A563,$A563)),_xll.BDH(config!$G$4,L$1,$A563,$A563),_xll.BDH(config!$G$5,L$1,$A563,$A563))))</f>
        <v/>
      </c>
      <c r="M563" s="8" t="str">
        <f>IF($A563="","",IF(ISNUMBER(FIND("IMPVOL",M$1)),_xll.BDH(config!$G$4,M$1,WORKDAY($A563,-1,config_Holiday_Calendar_US),WORKDAY($A563,-1,config_Holiday_Calendar_US)),IF(ISNUMBER(_xll.BDH(config!$G$4,M$1,$A563,$A563)),_xll.BDH(config!$G$4,M$1,$A563,$A563),_xll.BDH(config!$G$5,M$1,$A563,$A563))))</f>
        <v/>
      </c>
      <c r="N563" s="8" t="str">
        <f>IF($A563="","",IF(ISNUMBER(FIND("IMPVOL",N$1)),_xll.BDH(config!$G$4,N$1,WORKDAY($A563,-1,config_Holiday_Calendar_US),WORKDAY($A563,-1,config_Holiday_Calendar_US)),IF(ISNUMBER(_xll.BDH(config!$G$4,N$1,$A563,$A563)),_xll.BDH(config!$G$4,N$1,$A563,$A563),_xll.BDH(config!$G$5,N$1,$A563,$A563))))</f>
        <v/>
      </c>
      <c r="O563" s="8" t="str">
        <f>IF($A563="","",IF(ISNUMBER(FIND("IMPVOL",O$1)),_xll.BDH(config!$G$4,O$1,WORKDAY($A563,-1,config_Holiday_Calendar_US),WORKDAY($A563,-1,config_Holiday_Calendar_US)),IF(ISNUMBER(_xll.BDH(config!$G$4,O$1,$A563,$A563)),_xll.BDH(config!$G$4,O$1,$A563,$A563),_xll.BDH(config!$G$5,O$1,$A563,$A563))))</f>
        <v/>
      </c>
      <c r="P563" s="8" t="str">
        <f>IF($A563="","",IF(ISNUMBER(FIND("IMPVOL",P$1)),_xll.BDH(config!$G$4,P$1,WORKDAY($A563,-1,config_Holiday_Calendar_US),WORKDAY($A563,-1,config_Holiday_Calendar_US)),IF(ISNUMBER(_xll.BDH(config!$G$4,P$1,$A563,$A563)),_xll.BDH(config!$G$4,P$1,$A563,$A563),_xll.BDH(config!$G$5,P$1,$A563,$A563))))</f>
        <v/>
      </c>
      <c r="Q563" s="8" t="str">
        <f>IF($A563="","",IF(ISNUMBER(FIND("IMPVOL",Q$1)),_xll.BDH(config!$G$4,Q$1,WORKDAY($A563,-1,config_Holiday_Calendar_US),WORKDAY($A563,-1,config_Holiday_Calendar_US)),IF(ISNUMBER(_xll.BDH(config!$G$4,Q$1,$A563,$A563)),_xll.BDH(config!$G$4,Q$1,$A563,$A563),_xll.BDH(config!$G$5,Q$1,$A563,$A563))))</f>
        <v/>
      </c>
      <c r="R563" s="8" t="str">
        <f>IF($A563="","",IF(ISNUMBER(FIND("IMPVOL",R$1)),_xll.BDH(config!$G$4,R$1,WORKDAY($A563,-1,config_Holiday_Calendar_US),WORKDAY($A563,-1,config_Holiday_Calendar_US)),IF(ISNUMBER(_xll.BDH(config!$G$4,R$1,$A563,$A563)),_xll.BDH(config!$G$4,R$1,$A563,$A563),_xll.BDH(config!$G$5,R$1,$A563,$A563))))</f>
        <v/>
      </c>
      <c r="S563" s="8" t="str">
        <f>IF($A563="","",IF(ISNUMBER(FIND("IMPVOL",S$1)),_xll.BDH(config!$G$4,S$1,WORKDAY($A563,-1,config_Holiday_Calendar_US),WORKDAY($A563,-1,config_Holiday_Calendar_US)),IF(ISNUMBER(_xll.BDH(config!$G$4,S$1,$A563,$A563)),_xll.BDH(config!$G$4,S$1,$A563,$A563),_xll.BDH(config!$G$5,S$1,$A563,$A563))))</f>
        <v/>
      </c>
      <c r="T563" s="8" t="str">
        <f>IF($A563="","",IF(ISNUMBER(FIND("IMPVOL",T$1)),_xll.BDH(config!$G$4,T$1,WORKDAY($A563,-1,config_Holiday_Calendar_US),WORKDAY($A563,-1,config_Holiday_Calendar_US)),IF(ISNUMBER(_xll.BDH(config!$G$4,T$1,$A563,$A563)),_xll.BDH(config!$G$4,T$1,$A563,$A563),_xll.BDH(config!$G$5,T$1,$A563,$A563))))</f>
        <v/>
      </c>
      <c r="U563" s="8" t="str">
        <f>IF($A563="","",IF(ISNUMBER(FIND("IMPVOL",U$1)),_xll.BDH(config!$G$4,U$1,WORKDAY($A563,-1,config_Holiday_Calendar_US),WORKDAY($A563,-1,config_Holiday_Calendar_US)),IF(ISNUMBER(_xll.BDH(config!$G$4,U$1,$A563,$A563)),_xll.BDH(config!$G$4,U$1,$A563,$A563),_xll.BDH(config!$G$5,U$1,$A563,$A563))))</f>
        <v/>
      </c>
      <c r="V563" s="8" t="str">
        <f>IF($A563="","",IF(ISNUMBER(FIND("IMPVOL",V$1)),_xll.BDH(config!$G$4,V$1,WORKDAY($A563,-1,config_Holiday_Calendar_US),WORKDAY($A563,-1,config_Holiday_Calendar_US)),IF(ISNUMBER(_xll.BDH(config!$G$4,V$1,$A563,$A563)),_xll.BDH(config!$G$4,V$1,$A563,$A563),_xll.BDH(config!$G$5,V$1,$A563,$A563))))</f>
        <v/>
      </c>
      <c r="W563" s="8" t="str">
        <f>IF($A563="","",IF(ISNUMBER(FIND("IMPVOL",W$1)),_xll.BDH(config!$G$4,W$1,WORKDAY($A563,-1,config_Holiday_Calendar_US),WORKDAY($A563,-1,config_Holiday_Calendar_US)),IF(ISNUMBER(_xll.BDH(config!$G$4,W$1,$A563,$A563)),_xll.BDH(config!$G$4,W$1,$A563,$A563),_xll.BDH(config!$G$5,W$1,$A563,$A563))))</f>
        <v/>
      </c>
    </row>
    <row r="564" spans="1:23" x14ac:dyDescent="0.2">
      <c r="A564" s="9" t="str">
        <f>IF(A563="","",IF(WORKDAY(A563,-1,config_Holiday_Calendar_US)&lt;config!$I$10,"",WORKDAY(A563,-1,config_Holiday_Calendar_US)))</f>
        <v/>
      </c>
      <c r="B564" s="8" t="str">
        <f t="shared" si="8"/>
        <v/>
      </c>
      <c r="C564" s="8" t="str">
        <f>IF(A564="","",_xll.BDH(config!$H$4,C$1,$A564,$A564))</f>
        <v/>
      </c>
      <c r="D564" s="8" t="str">
        <f>IF($A564="","",_xll.BDH(config!$H$4,D$1,$A564,$A564))</f>
        <v/>
      </c>
      <c r="E564" s="8" t="str">
        <f>IF($A564="","",IF(ISNUMBER(FIND("IMPVOL",E$1)),_xll.BDH(config!$G$4,E$1,WORKDAY($A564,-1,config_Holiday_Calendar_US),WORKDAY($A564,-1,config_Holiday_Calendar_US)),IF(ISNUMBER(_xll.BDH(config!$G$4,E$1,$A564,$A564)),_xll.BDH(config!$G$4,E$1,$A564,$A564),_xll.BDH(config!$G$5,E$1,$A564,$A564))))</f>
        <v/>
      </c>
      <c r="F564" s="8" t="str">
        <f>IF($A564="","",IF(ISNUMBER(FIND("IMPVOL",F$1)),_xll.BDH(config!$G$4,F$1,WORKDAY($A564,-1,config_Holiday_Calendar_US),WORKDAY($A564,-1,config_Holiday_Calendar_US)),IF(ISNUMBER(_xll.BDH(config!$G$4,F$1,$A564,$A564)),_xll.BDH(config!$G$4,F$1,$A564,$A564),_xll.BDH(config!$G$5,F$1,$A564,$A564))))</f>
        <v/>
      </c>
      <c r="G564" s="8" t="str">
        <f>IF($A564="","",IF(ISNUMBER(FIND("IMPVOL",G$1)),_xll.BDH(config!$G$4,G$1,WORKDAY($A564,-1,config_Holiday_Calendar_US),WORKDAY($A564,-1,config_Holiday_Calendar_US)),IF(ISNUMBER(_xll.BDH(config!$G$4,G$1,$A564,$A564)),_xll.BDH(config!$G$4,G$1,$A564,$A564),_xll.BDH(config!$G$5,G$1,$A564,$A564))))</f>
        <v/>
      </c>
      <c r="H564" s="8" t="str">
        <f>IF($A564="","",IF(ISNUMBER(FIND("IMPVOL",H$1)),_xll.BDH(config!$G$4,H$1,WORKDAY($A564,-1,config_Holiday_Calendar_US),WORKDAY($A564,-1,config_Holiday_Calendar_US)),IF(ISNUMBER(_xll.BDH(config!$G$4,H$1,$A564,$A564)),_xll.BDH(config!$G$4,H$1,$A564,$A564),_xll.BDH(config!$G$5,H$1,$A564,$A564))))</f>
        <v/>
      </c>
      <c r="I564" s="8" t="str">
        <f>IF($A564="","",IF(ISNUMBER(FIND("IMPVOL",I$1)),_xll.BDH(config!$G$4,I$1,WORKDAY($A564,-1,config_Holiday_Calendar_US),WORKDAY($A564,-1,config_Holiday_Calendar_US)),IF(ISNUMBER(_xll.BDH(config!$G$4,I$1,$A564,$A564)),_xll.BDH(config!$G$4,I$1,$A564,$A564),_xll.BDH(config!$G$5,I$1,$A564,$A564))))</f>
        <v/>
      </c>
      <c r="J564" s="8" t="str">
        <f>IF($A564="","",IF(ISNUMBER(FIND("IMPVOL",J$1)),_xll.BDH(config!$G$4,J$1,WORKDAY($A564,-1,config_Holiday_Calendar_US),WORKDAY($A564,-1,config_Holiday_Calendar_US)),IF(ISNUMBER(_xll.BDH(config!$G$4,J$1,$A564,$A564)),_xll.BDH(config!$G$4,J$1,$A564,$A564),_xll.BDH(config!$G$5,J$1,$A564,$A564))))</f>
        <v/>
      </c>
      <c r="K564" s="8" t="str">
        <f>IF($A564="","",IF(ISNUMBER(FIND("IMPVOL",K$1)),_xll.BDH(config!$G$4,K$1,WORKDAY($A564,-1,config_Holiday_Calendar_US),WORKDAY($A564,-1,config_Holiday_Calendar_US)),IF(ISNUMBER(_xll.BDH(config!$G$4,K$1,$A564,$A564)),_xll.BDH(config!$G$4,K$1,$A564,$A564),_xll.BDH(config!$G$5,K$1,$A564,$A564))))</f>
        <v/>
      </c>
      <c r="L564" s="8" t="str">
        <f>IF($A564="","",IF(ISNUMBER(FIND("IMPVOL",L$1)),_xll.BDH(config!$G$4,L$1,WORKDAY($A564,-1,config_Holiday_Calendar_US),WORKDAY($A564,-1,config_Holiday_Calendar_US)),IF(ISNUMBER(_xll.BDH(config!$G$4,L$1,$A564,$A564)),_xll.BDH(config!$G$4,L$1,$A564,$A564),_xll.BDH(config!$G$5,L$1,$A564,$A564))))</f>
        <v/>
      </c>
      <c r="M564" s="8" t="str">
        <f>IF($A564="","",IF(ISNUMBER(FIND("IMPVOL",M$1)),_xll.BDH(config!$G$4,M$1,WORKDAY($A564,-1,config_Holiday_Calendar_US),WORKDAY($A564,-1,config_Holiday_Calendar_US)),IF(ISNUMBER(_xll.BDH(config!$G$4,M$1,$A564,$A564)),_xll.BDH(config!$G$4,M$1,$A564,$A564),_xll.BDH(config!$G$5,M$1,$A564,$A564))))</f>
        <v/>
      </c>
      <c r="N564" s="8" t="str">
        <f>IF($A564="","",IF(ISNUMBER(FIND("IMPVOL",N$1)),_xll.BDH(config!$G$4,N$1,WORKDAY($A564,-1,config_Holiday_Calendar_US),WORKDAY($A564,-1,config_Holiday_Calendar_US)),IF(ISNUMBER(_xll.BDH(config!$G$4,N$1,$A564,$A564)),_xll.BDH(config!$G$4,N$1,$A564,$A564),_xll.BDH(config!$G$5,N$1,$A564,$A564))))</f>
        <v/>
      </c>
      <c r="O564" s="8" t="str">
        <f>IF($A564="","",IF(ISNUMBER(FIND("IMPVOL",O$1)),_xll.BDH(config!$G$4,O$1,WORKDAY($A564,-1,config_Holiday_Calendar_US),WORKDAY($A564,-1,config_Holiday_Calendar_US)),IF(ISNUMBER(_xll.BDH(config!$G$4,O$1,$A564,$A564)),_xll.BDH(config!$G$4,O$1,$A564,$A564),_xll.BDH(config!$G$5,O$1,$A564,$A564))))</f>
        <v/>
      </c>
      <c r="P564" s="8" t="str">
        <f>IF($A564="","",IF(ISNUMBER(FIND("IMPVOL",P$1)),_xll.BDH(config!$G$4,P$1,WORKDAY($A564,-1,config_Holiday_Calendar_US),WORKDAY($A564,-1,config_Holiday_Calendar_US)),IF(ISNUMBER(_xll.BDH(config!$G$4,P$1,$A564,$A564)),_xll.BDH(config!$G$4,P$1,$A564,$A564),_xll.BDH(config!$G$5,P$1,$A564,$A564))))</f>
        <v/>
      </c>
      <c r="Q564" s="8" t="str">
        <f>IF($A564="","",IF(ISNUMBER(FIND("IMPVOL",Q$1)),_xll.BDH(config!$G$4,Q$1,WORKDAY($A564,-1,config_Holiday_Calendar_US),WORKDAY($A564,-1,config_Holiday_Calendar_US)),IF(ISNUMBER(_xll.BDH(config!$G$4,Q$1,$A564,$A564)),_xll.BDH(config!$G$4,Q$1,$A564,$A564),_xll.BDH(config!$G$5,Q$1,$A564,$A564))))</f>
        <v/>
      </c>
      <c r="R564" s="8" t="str">
        <f>IF($A564="","",IF(ISNUMBER(FIND("IMPVOL",R$1)),_xll.BDH(config!$G$4,R$1,WORKDAY($A564,-1,config_Holiday_Calendar_US),WORKDAY($A564,-1,config_Holiday_Calendar_US)),IF(ISNUMBER(_xll.BDH(config!$G$4,R$1,$A564,$A564)),_xll.BDH(config!$G$4,R$1,$A564,$A564),_xll.BDH(config!$G$5,R$1,$A564,$A564))))</f>
        <v/>
      </c>
      <c r="S564" s="8" t="str">
        <f>IF($A564="","",IF(ISNUMBER(FIND("IMPVOL",S$1)),_xll.BDH(config!$G$4,S$1,WORKDAY($A564,-1,config_Holiday_Calendar_US),WORKDAY($A564,-1,config_Holiday_Calendar_US)),IF(ISNUMBER(_xll.BDH(config!$G$4,S$1,$A564,$A564)),_xll.BDH(config!$G$4,S$1,$A564,$A564),_xll.BDH(config!$G$5,S$1,$A564,$A564))))</f>
        <v/>
      </c>
      <c r="T564" s="8" t="str">
        <f>IF($A564="","",IF(ISNUMBER(FIND("IMPVOL",T$1)),_xll.BDH(config!$G$4,T$1,WORKDAY($A564,-1,config_Holiday_Calendar_US),WORKDAY($A564,-1,config_Holiday_Calendar_US)),IF(ISNUMBER(_xll.BDH(config!$G$4,T$1,$A564,$A564)),_xll.BDH(config!$G$4,T$1,$A564,$A564),_xll.BDH(config!$G$5,T$1,$A564,$A564))))</f>
        <v/>
      </c>
      <c r="U564" s="8" t="str">
        <f>IF($A564="","",IF(ISNUMBER(FIND("IMPVOL",U$1)),_xll.BDH(config!$G$4,U$1,WORKDAY($A564,-1,config_Holiday_Calendar_US),WORKDAY($A564,-1,config_Holiday_Calendar_US)),IF(ISNUMBER(_xll.BDH(config!$G$4,U$1,$A564,$A564)),_xll.BDH(config!$G$4,U$1,$A564,$A564),_xll.BDH(config!$G$5,U$1,$A564,$A564))))</f>
        <v/>
      </c>
      <c r="V564" s="8" t="str">
        <f>IF($A564="","",IF(ISNUMBER(FIND("IMPVOL",V$1)),_xll.BDH(config!$G$4,V$1,WORKDAY($A564,-1,config_Holiday_Calendar_US),WORKDAY($A564,-1,config_Holiday_Calendar_US)),IF(ISNUMBER(_xll.BDH(config!$G$4,V$1,$A564,$A564)),_xll.BDH(config!$G$4,V$1,$A564,$A564),_xll.BDH(config!$G$5,V$1,$A564,$A564))))</f>
        <v/>
      </c>
      <c r="W564" s="8" t="str">
        <f>IF($A564="","",IF(ISNUMBER(FIND("IMPVOL",W$1)),_xll.BDH(config!$G$4,W$1,WORKDAY($A564,-1,config_Holiday_Calendar_US),WORKDAY($A564,-1,config_Holiday_Calendar_US)),IF(ISNUMBER(_xll.BDH(config!$G$4,W$1,$A564,$A564)),_xll.BDH(config!$G$4,W$1,$A564,$A564),_xll.BDH(config!$G$5,W$1,$A564,$A564))))</f>
        <v/>
      </c>
    </row>
    <row r="565" spans="1:23" x14ac:dyDescent="0.2">
      <c r="A565" s="9" t="str">
        <f>IF(A564="","",IF(WORKDAY(A564,-1,config_Holiday_Calendar_US)&lt;config!$I$10,"",WORKDAY(A564,-1,config_Holiday_Calendar_US)))</f>
        <v/>
      </c>
      <c r="B565" s="8" t="str">
        <f t="shared" si="8"/>
        <v/>
      </c>
      <c r="C565" s="8" t="str">
        <f>IF(A565="","",_xll.BDH(config!$H$4,C$1,$A565,$A565))</f>
        <v/>
      </c>
      <c r="D565" s="8" t="str">
        <f>IF($A565="","",_xll.BDH(config!$H$4,D$1,$A565,$A565))</f>
        <v/>
      </c>
      <c r="E565" s="8" t="str">
        <f>IF($A565="","",IF(ISNUMBER(FIND("IMPVOL",E$1)),_xll.BDH(config!$G$4,E$1,WORKDAY($A565,-1,config_Holiday_Calendar_US),WORKDAY($A565,-1,config_Holiday_Calendar_US)),IF(ISNUMBER(_xll.BDH(config!$G$4,E$1,$A565,$A565)),_xll.BDH(config!$G$4,E$1,$A565,$A565),_xll.BDH(config!$G$5,E$1,$A565,$A565))))</f>
        <v/>
      </c>
      <c r="F565" s="8" t="str">
        <f>IF($A565="","",IF(ISNUMBER(FIND("IMPVOL",F$1)),_xll.BDH(config!$G$4,F$1,WORKDAY($A565,-1,config_Holiday_Calendar_US),WORKDAY($A565,-1,config_Holiday_Calendar_US)),IF(ISNUMBER(_xll.BDH(config!$G$4,F$1,$A565,$A565)),_xll.BDH(config!$G$4,F$1,$A565,$A565),_xll.BDH(config!$G$5,F$1,$A565,$A565))))</f>
        <v/>
      </c>
      <c r="G565" s="8" t="str">
        <f>IF($A565="","",IF(ISNUMBER(FIND("IMPVOL",G$1)),_xll.BDH(config!$G$4,G$1,WORKDAY($A565,-1,config_Holiday_Calendar_US),WORKDAY($A565,-1,config_Holiday_Calendar_US)),IF(ISNUMBER(_xll.BDH(config!$G$4,G$1,$A565,$A565)),_xll.BDH(config!$G$4,G$1,$A565,$A565),_xll.BDH(config!$G$5,G$1,$A565,$A565))))</f>
        <v/>
      </c>
      <c r="H565" s="8" t="str">
        <f>IF($A565="","",IF(ISNUMBER(FIND("IMPVOL",H$1)),_xll.BDH(config!$G$4,H$1,WORKDAY($A565,-1,config_Holiday_Calendar_US),WORKDAY($A565,-1,config_Holiday_Calendar_US)),IF(ISNUMBER(_xll.BDH(config!$G$4,H$1,$A565,$A565)),_xll.BDH(config!$G$4,H$1,$A565,$A565),_xll.BDH(config!$G$5,H$1,$A565,$A565))))</f>
        <v/>
      </c>
      <c r="I565" s="8" t="str">
        <f>IF($A565="","",IF(ISNUMBER(FIND("IMPVOL",I$1)),_xll.BDH(config!$G$4,I$1,WORKDAY($A565,-1,config_Holiday_Calendar_US),WORKDAY($A565,-1,config_Holiday_Calendar_US)),IF(ISNUMBER(_xll.BDH(config!$G$4,I$1,$A565,$A565)),_xll.BDH(config!$G$4,I$1,$A565,$A565),_xll.BDH(config!$G$5,I$1,$A565,$A565))))</f>
        <v/>
      </c>
      <c r="J565" s="8" t="str">
        <f>IF($A565="","",IF(ISNUMBER(FIND("IMPVOL",J$1)),_xll.BDH(config!$G$4,J$1,WORKDAY($A565,-1,config_Holiday_Calendar_US),WORKDAY($A565,-1,config_Holiday_Calendar_US)),IF(ISNUMBER(_xll.BDH(config!$G$4,J$1,$A565,$A565)),_xll.BDH(config!$G$4,J$1,$A565,$A565),_xll.BDH(config!$G$5,J$1,$A565,$A565))))</f>
        <v/>
      </c>
      <c r="K565" s="8" t="str">
        <f>IF($A565="","",IF(ISNUMBER(FIND("IMPVOL",K$1)),_xll.BDH(config!$G$4,K$1,WORKDAY($A565,-1,config_Holiday_Calendar_US),WORKDAY($A565,-1,config_Holiday_Calendar_US)),IF(ISNUMBER(_xll.BDH(config!$G$4,K$1,$A565,$A565)),_xll.BDH(config!$G$4,K$1,$A565,$A565),_xll.BDH(config!$G$5,K$1,$A565,$A565))))</f>
        <v/>
      </c>
      <c r="L565" s="8" t="str">
        <f>IF($A565="","",IF(ISNUMBER(FIND("IMPVOL",L$1)),_xll.BDH(config!$G$4,L$1,WORKDAY($A565,-1,config_Holiday_Calendar_US),WORKDAY($A565,-1,config_Holiday_Calendar_US)),IF(ISNUMBER(_xll.BDH(config!$G$4,L$1,$A565,$A565)),_xll.BDH(config!$G$4,L$1,$A565,$A565),_xll.BDH(config!$G$5,L$1,$A565,$A565))))</f>
        <v/>
      </c>
      <c r="M565" s="8" t="str">
        <f>IF($A565="","",IF(ISNUMBER(FIND("IMPVOL",M$1)),_xll.BDH(config!$G$4,M$1,WORKDAY($A565,-1,config_Holiday_Calendar_US),WORKDAY($A565,-1,config_Holiday_Calendar_US)),IF(ISNUMBER(_xll.BDH(config!$G$4,M$1,$A565,$A565)),_xll.BDH(config!$G$4,M$1,$A565,$A565),_xll.BDH(config!$G$5,M$1,$A565,$A565))))</f>
        <v/>
      </c>
      <c r="N565" s="8" t="str">
        <f>IF($A565="","",IF(ISNUMBER(FIND("IMPVOL",N$1)),_xll.BDH(config!$G$4,N$1,WORKDAY($A565,-1,config_Holiday_Calendar_US),WORKDAY($A565,-1,config_Holiday_Calendar_US)),IF(ISNUMBER(_xll.BDH(config!$G$4,N$1,$A565,$A565)),_xll.BDH(config!$G$4,N$1,$A565,$A565),_xll.BDH(config!$G$5,N$1,$A565,$A565))))</f>
        <v/>
      </c>
      <c r="O565" s="8" t="str">
        <f>IF($A565="","",IF(ISNUMBER(FIND("IMPVOL",O$1)),_xll.BDH(config!$G$4,O$1,WORKDAY($A565,-1,config_Holiday_Calendar_US),WORKDAY($A565,-1,config_Holiday_Calendar_US)),IF(ISNUMBER(_xll.BDH(config!$G$4,O$1,$A565,$A565)),_xll.BDH(config!$G$4,O$1,$A565,$A565),_xll.BDH(config!$G$5,O$1,$A565,$A565))))</f>
        <v/>
      </c>
      <c r="P565" s="8" t="str">
        <f>IF($A565="","",IF(ISNUMBER(FIND("IMPVOL",P$1)),_xll.BDH(config!$G$4,P$1,WORKDAY($A565,-1,config_Holiday_Calendar_US),WORKDAY($A565,-1,config_Holiday_Calendar_US)),IF(ISNUMBER(_xll.BDH(config!$G$4,P$1,$A565,$A565)),_xll.BDH(config!$G$4,P$1,$A565,$A565),_xll.BDH(config!$G$5,P$1,$A565,$A565))))</f>
        <v/>
      </c>
      <c r="Q565" s="8" t="str">
        <f>IF($A565="","",IF(ISNUMBER(FIND("IMPVOL",Q$1)),_xll.BDH(config!$G$4,Q$1,WORKDAY($A565,-1,config_Holiday_Calendar_US),WORKDAY($A565,-1,config_Holiday_Calendar_US)),IF(ISNUMBER(_xll.BDH(config!$G$4,Q$1,$A565,$A565)),_xll.BDH(config!$G$4,Q$1,$A565,$A565),_xll.BDH(config!$G$5,Q$1,$A565,$A565))))</f>
        <v/>
      </c>
      <c r="R565" s="8" t="str">
        <f>IF($A565="","",IF(ISNUMBER(FIND("IMPVOL",R$1)),_xll.BDH(config!$G$4,R$1,WORKDAY($A565,-1,config_Holiday_Calendar_US),WORKDAY($A565,-1,config_Holiday_Calendar_US)),IF(ISNUMBER(_xll.BDH(config!$G$4,R$1,$A565,$A565)),_xll.BDH(config!$G$4,R$1,$A565,$A565),_xll.BDH(config!$G$5,R$1,$A565,$A565))))</f>
        <v/>
      </c>
      <c r="S565" s="8" t="str">
        <f>IF($A565="","",IF(ISNUMBER(FIND("IMPVOL",S$1)),_xll.BDH(config!$G$4,S$1,WORKDAY($A565,-1,config_Holiday_Calendar_US),WORKDAY($A565,-1,config_Holiday_Calendar_US)),IF(ISNUMBER(_xll.BDH(config!$G$4,S$1,$A565,$A565)),_xll.BDH(config!$G$4,S$1,$A565,$A565),_xll.BDH(config!$G$5,S$1,$A565,$A565))))</f>
        <v/>
      </c>
      <c r="T565" s="8" t="str">
        <f>IF($A565="","",IF(ISNUMBER(FIND("IMPVOL",T$1)),_xll.BDH(config!$G$4,T$1,WORKDAY($A565,-1,config_Holiday_Calendar_US),WORKDAY($A565,-1,config_Holiday_Calendar_US)),IF(ISNUMBER(_xll.BDH(config!$G$4,T$1,$A565,$A565)),_xll.BDH(config!$G$4,T$1,$A565,$A565),_xll.BDH(config!$G$5,T$1,$A565,$A565))))</f>
        <v/>
      </c>
      <c r="U565" s="8" t="str">
        <f>IF($A565="","",IF(ISNUMBER(FIND("IMPVOL",U$1)),_xll.BDH(config!$G$4,U$1,WORKDAY($A565,-1,config_Holiday_Calendar_US),WORKDAY($A565,-1,config_Holiday_Calendar_US)),IF(ISNUMBER(_xll.BDH(config!$G$4,U$1,$A565,$A565)),_xll.BDH(config!$G$4,U$1,$A565,$A565),_xll.BDH(config!$G$5,U$1,$A565,$A565))))</f>
        <v/>
      </c>
      <c r="V565" s="8" t="str">
        <f>IF($A565="","",IF(ISNUMBER(FIND("IMPVOL",V$1)),_xll.BDH(config!$G$4,V$1,WORKDAY($A565,-1,config_Holiday_Calendar_US),WORKDAY($A565,-1,config_Holiday_Calendar_US)),IF(ISNUMBER(_xll.BDH(config!$G$4,V$1,$A565,$A565)),_xll.BDH(config!$G$4,V$1,$A565,$A565),_xll.BDH(config!$G$5,V$1,$A565,$A565))))</f>
        <v/>
      </c>
      <c r="W565" s="8" t="str">
        <f>IF($A565="","",IF(ISNUMBER(FIND("IMPVOL",W$1)),_xll.BDH(config!$G$4,W$1,WORKDAY($A565,-1,config_Holiday_Calendar_US),WORKDAY($A565,-1,config_Holiday_Calendar_US)),IF(ISNUMBER(_xll.BDH(config!$G$4,W$1,$A565,$A565)),_xll.BDH(config!$G$4,W$1,$A565,$A565),_xll.BDH(config!$G$5,W$1,$A565,$A565))))</f>
        <v/>
      </c>
    </row>
    <row r="566" spans="1:23" x14ac:dyDescent="0.2">
      <c r="A566" s="9" t="str">
        <f>IF(A565="","",IF(WORKDAY(A565,-1,config_Holiday_Calendar_US)&lt;config!$I$10,"",WORKDAY(A565,-1,config_Holiday_Calendar_US)))</f>
        <v/>
      </c>
      <c r="B566" s="8" t="str">
        <f t="shared" si="8"/>
        <v/>
      </c>
      <c r="C566" s="8" t="str">
        <f>IF(A566="","",_xll.BDH(config!$H$4,C$1,$A566,$A566))</f>
        <v/>
      </c>
      <c r="D566" s="8" t="str">
        <f>IF($A566="","",_xll.BDH(config!$H$4,D$1,$A566,$A566))</f>
        <v/>
      </c>
      <c r="E566" s="8" t="str">
        <f>IF($A566="","",IF(ISNUMBER(FIND("IMPVOL",E$1)),_xll.BDH(config!$G$4,E$1,WORKDAY($A566,-1,config_Holiday_Calendar_US),WORKDAY($A566,-1,config_Holiday_Calendar_US)),IF(ISNUMBER(_xll.BDH(config!$G$4,E$1,$A566,$A566)),_xll.BDH(config!$G$4,E$1,$A566,$A566),_xll.BDH(config!$G$5,E$1,$A566,$A566))))</f>
        <v/>
      </c>
      <c r="F566" s="8" t="str">
        <f>IF($A566="","",IF(ISNUMBER(FIND("IMPVOL",F$1)),_xll.BDH(config!$G$4,F$1,WORKDAY($A566,-1,config_Holiday_Calendar_US),WORKDAY($A566,-1,config_Holiday_Calendar_US)),IF(ISNUMBER(_xll.BDH(config!$G$4,F$1,$A566,$A566)),_xll.BDH(config!$G$4,F$1,$A566,$A566),_xll.BDH(config!$G$5,F$1,$A566,$A566))))</f>
        <v/>
      </c>
      <c r="G566" s="8" t="str">
        <f>IF($A566="","",IF(ISNUMBER(FIND("IMPVOL",G$1)),_xll.BDH(config!$G$4,G$1,WORKDAY($A566,-1,config_Holiday_Calendar_US),WORKDAY($A566,-1,config_Holiday_Calendar_US)),IF(ISNUMBER(_xll.BDH(config!$G$4,G$1,$A566,$A566)),_xll.BDH(config!$G$4,G$1,$A566,$A566),_xll.BDH(config!$G$5,G$1,$A566,$A566))))</f>
        <v/>
      </c>
      <c r="H566" s="8" t="str">
        <f>IF($A566="","",IF(ISNUMBER(FIND("IMPVOL",H$1)),_xll.BDH(config!$G$4,H$1,WORKDAY($A566,-1,config_Holiday_Calendar_US),WORKDAY($A566,-1,config_Holiday_Calendar_US)),IF(ISNUMBER(_xll.BDH(config!$G$4,H$1,$A566,$A566)),_xll.BDH(config!$G$4,H$1,$A566,$A566),_xll.BDH(config!$G$5,H$1,$A566,$A566))))</f>
        <v/>
      </c>
      <c r="I566" s="8" t="str">
        <f>IF($A566="","",IF(ISNUMBER(FIND("IMPVOL",I$1)),_xll.BDH(config!$G$4,I$1,WORKDAY($A566,-1,config_Holiday_Calendar_US),WORKDAY($A566,-1,config_Holiday_Calendar_US)),IF(ISNUMBER(_xll.BDH(config!$G$4,I$1,$A566,$A566)),_xll.BDH(config!$G$4,I$1,$A566,$A566),_xll.BDH(config!$G$5,I$1,$A566,$A566))))</f>
        <v/>
      </c>
      <c r="J566" s="8" t="str">
        <f>IF($A566="","",IF(ISNUMBER(FIND("IMPVOL",J$1)),_xll.BDH(config!$G$4,J$1,WORKDAY($A566,-1,config_Holiday_Calendar_US),WORKDAY($A566,-1,config_Holiday_Calendar_US)),IF(ISNUMBER(_xll.BDH(config!$G$4,J$1,$A566,$A566)),_xll.BDH(config!$G$4,J$1,$A566,$A566),_xll.BDH(config!$G$5,J$1,$A566,$A566))))</f>
        <v/>
      </c>
      <c r="K566" s="8" t="str">
        <f>IF($A566="","",IF(ISNUMBER(FIND("IMPVOL",K$1)),_xll.BDH(config!$G$4,K$1,WORKDAY($A566,-1,config_Holiday_Calendar_US),WORKDAY($A566,-1,config_Holiday_Calendar_US)),IF(ISNUMBER(_xll.BDH(config!$G$4,K$1,$A566,$A566)),_xll.BDH(config!$G$4,K$1,$A566,$A566),_xll.BDH(config!$G$5,K$1,$A566,$A566))))</f>
        <v/>
      </c>
      <c r="L566" s="8" t="str">
        <f>IF($A566="","",IF(ISNUMBER(FIND("IMPVOL",L$1)),_xll.BDH(config!$G$4,L$1,WORKDAY($A566,-1,config_Holiday_Calendar_US),WORKDAY($A566,-1,config_Holiday_Calendar_US)),IF(ISNUMBER(_xll.BDH(config!$G$4,L$1,$A566,$A566)),_xll.BDH(config!$G$4,L$1,$A566,$A566),_xll.BDH(config!$G$5,L$1,$A566,$A566))))</f>
        <v/>
      </c>
      <c r="M566" s="8" t="str">
        <f>IF($A566="","",IF(ISNUMBER(FIND("IMPVOL",M$1)),_xll.BDH(config!$G$4,M$1,WORKDAY($A566,-1,config_Holiday_Calendar_US),WORKDAY($A566,-1,config_Holiday_Calendar_US)),IF(ISNUMBER(_xll.BDH(config!$G$4,M$1,$A566,$A566)),_xll.BDH(config!$G$4,M$1,$A566,$A566),_xll.BDH(config!$G$5,M$1,$A566,$A566))))</f>
        <v/>
      </c>
      <c r="N566" s="8" t="str">
        <f>IF($A566="","",IF(ISNUMBER(FIND("IMPVOL",N$1)),_xll.BDH(config!$G$4,N$1,WORKDAY($A566,-1,config_Holiday_Calendar_US),WORKDAY($A566,-1,config_Holiday_Calendar_US)),IF(ISNUMBER(_xll.BDH(config!$G$4,N$1,$A566,$A566)),_xll.BDH(config!$G$4,N$1,$A566,$A566),_xll.BDH(config!$G$5,N$1,$A566,$A566))))</f>
        <v/>
      </c>
      <c r="O566" s="8" t="str">
        <f>IF($A566="","",IF(ISNUMBER(FIND("IMPVOL",O$1)),_xll.BDH(config!$G$4,O$1,WORKDAY($A566,-1,config_Holiday_Calendar_US),WORKDAY($A566,-1,config_Holiday_Calendar_US)),IF(ISNUMBER(_xll.BDH(config!$G$4,O$1,$A566,$A566)),_xll.BDH(config!$G$4,O$1,$A566,$A566),_xll.BDH(config!$G$5,O$1,$A566,$A566))))</f>
        <v/>
      </c>
      <c r="P566" s="8" t="str">
        <f>IF($A566="","",IF(ISNUMBER(FIND("IMPVOL",P$1)),_xll.BDH(config!$G$4,P$1,WORKDAY($A566,-1,config_Holiday_Calendar_US),WORKDAY($A566,-1,config_Holiday_Calendar_US)),IF(ISNUMBER(_xll.BDH(config!$G$4,P$1,$A566,$A566)),_xll.BDH(config!$G$4,P$1,$A566,$A566),_xll.BDH(config!$G$5,P$1,$A566,$A566))))</f>
        <v/>
      </c>
      <c r="Q566" s="8" t="str">
        <f>IF($A566="","",IF(ISNUMBER(FIND("IMPVOL",Q$1)),_xll.BDH(config!$G$4,Q$1,WORKDAY($A566,-1,config_Holiday_Calendar_US),WORKDAY($A566,-1,config_Holiday_Calendar_US)),IF(ISNUMBER(_xll.BDH(config!$G$4,Q$1,$A566,$A566)),_xll.BDH(config!$G$4,Q$1,$A566,$A566),_xll.BDH(config!$G$5,Q$1,$A566,$A566))))</f>
        <v/>
      </c>
      <c r="R566" s="8" t="str">
        <f>IF($A566="","",IF(ISNUMBER(FIND("IMPVOL",R$1)),_xll.BDH(config!$G$4,R$1,WORKDAY($A566,-1,config_Holiday_Calendar_US),WORKDAY($A566,-1,config_Holiday_Calendar_US)),IF(ISNUMBER(_xll.BDH(config!$G$4,R$1,$A566,$A566)),_xll.BDH(config!$G$4,R$1,$A566,$A566),_xll.BDH(config!$G$5,R$1,$A566,$A566))))</f>
        <v/>
      </c>
      <c r="S566" s="8" t="str">
        <f>IF($A566="","",IF(ISNUMBER(FIND("IMPVOL",S$1)),_xll.BDH(config!$G$4,S$1,WORKDAY($A566,-1,config_Holiday_Calendar_US),WORKDAY($A566,-1,config_Holiday_Calendar_US)),IF(ISNUMBER(_xll.BDH(config!$G$4,S$1,$A566,$A566)),_xll.BDH(config!$G$4,S$1,$A566,$A566),_xll.BDH(config!$G$5,S$1,$A566,$A566))))</f>
        <v/>
      </c>
      <c r="T566" s="8" t="str">
        <f>IF($A566="","",IF(ISNUMBER(FIND("IMPVOL",T$1)),_xll.BDH(config!$G$4,T$1,WORKDAY($A566,-1,config_Holiday_Calendar_US),WORKDAY($A566,-1,config_Holiday_Calendar_US)),IF(ISNUMBER(_xll.BDH(config!$G$4,T$1,$A566,$A566)),_xll.BDH(config!$G$4,T$1,$A566,$A566),_xll.BDH(config!$G$5,T$1,$A566,$A566))))</f>
        <v/>
      </c>
      <c r="U566" s="8" t="str">
        <f>IF($A566="","",IF(ISNUMBER(FIND("IMPVOL",U$1)),_xll.BDH(config!$G$4,U$1,WORKDAY($A566,-1,config_Holiday_Calendar_US),WORKDAY($A566,-1,config_Holiday_Calendar_US)),IF(ISNUMBER(_xll.BDH(config!$G$4,U$1,$A566,$A566)),_xll.BDH(config!$G$4,U$1,$A566,$A566),_xll.BDH(config!$G$5,U$1,$A566,$A566))))</f>
        <v/>
      </c>
      <c r="V566" s="8" t="str">
        <f>IF($A566="","",IF(ISNUMBER(FIND("IMPVOL",V$1)),_xll.BDH(config!$G$4,V$1,WORKDAY($A566,-1,config_Holiday_Calendar_US),WORKDAY($A566,-1,config_Holiday_Calendar_US)),IF(ISNUMBER(_xll.BDH(config!$G$4,V$1,$A566,$A566)),_xll.BDH(config!$G$4,V$1,$A566,$A566),_xll.BDH(config!$G$5,V$1,$A566,$A566))))</f>
        <v/>
      </c>
      <c r="W566" s="8" t="str">
        <f>IF($A566="","",IF(ISNUMBER(FIND("IMPVOL",W$1)),_xll.BDH(config!$G$4,W$1,WORKDAY($A566,-1,config_Holiday_Calendar_US),WORKDAY($A566,-1,config_Holiday_Calendar_US)),IF(ISNUMBER(_xll.BDH(config!$G$4,W$1,$A566,$A566)),_xll.BDH(config!$G$4,W$1,$A566,$A566),_xll.BDH(config!$G$5,W$1,$A566,$A566))))</f>
        <v/>
      </c>
    </row>
    <row r="567" spans="1:23" x14ac:dyDescent="0.2">
      <c r="A567" s="9" t="str">
        <f>IF(A566="","",IF(WORKDAY(A566,-1,config_Holiday_Calendar_US)&lt;config!$I$10,"",WORKDAY(A566,-1,config_Holiday_Calendar_US)))</f>
        <v/>
      </c>
      <c r="B567" s="8" t="str">
        <f t="shared" si="8"/>
        <v/>
      </c>
      <c r="C567" s="8" t="str">
        <f>IF(A567="","",_xll.BDH(config!$H$4,C$1,$A567,$A567))</f>
        <v/>
      </c>
      <c r="D567" s="8" t="str">
        <f>IF($A567="","",_xll.BDH(config!$H$4,D$1,$A567,$A567))</f>
        <v/>
      </c>
      <c r="E567" s="8" t="str">
        <f>IF($A567="","",IF(ISNUMBER(FIND("IMPVOL",E$1)),_xll.BDH(config!$G$4,E$1,WORKDAY($A567,-1,config_Holiday_Calendar_US),WORKDAY($A567,-1,config_Holiday_Calendar_US)),IF(ISNUMBER(_xll.BDH(config!$G$4,E$1,$A567,$A567)),_xll.BDH(config!$G$4,E$1,$A567,$A567),_xll.BDH(config!$G$5,E$1,$A567,$A567))))</f>
        <v/>
      </c>
      <c r="F567" s="8" t="str">
        <f>IF($A567="","",IF(ISNUMBER(FIND("IMPVOL",F$1)),_xll.BDH(config!$G$4,F$1,WORKDAY($A567,-1,config_Holiday_Calendar_US),WORKDAY($A567,-1,config_Holiday_Calendar_US)),IF(ISNUMBER(_xll.BDH(config!$G$4,F$1,$A567,$A567)),_xll.BDH(config!$G$4,F$1,$A567,$A567),_xll.BDH(config!$G$5,F$1,$A567,$A567))))</f>
        <v/>
      </c>
      <c r="G567" s="8" t="str">
        <f>IF($A567="","",IF(ISNUMBER(FIND("IMPVOL",G$1)),_xll.BDH(config!$G$4,G$1,WORKDAY($A567,-1,config_Holiday_Calendar_US),WORKDAY($A567,-1,config_Holiday_Calendar_US)),IF(ISNUMBER(_xll.BDH(config!$G$4,G$1,$A567,$A567)),_xll.BDH(config!$G$4,G$1,$A567,$A567),_xll.BDH(config!$G$5,G$1,$A567,$A567))))</f>
        <v/>
      </c>
      <c r="H567" s="8" t="str">
        <f>IF($A567="","",IF(ISNUMBER(FIND("IMPVOL",H$1)),_xll.BDH(config!$G$4,H$1,WORKDAY($A567,-1,config_Holiday_Calendar_US),WORKDAY($A567,-1,config_Holiday_Calendar_US)),IF(ISNUMBER(_xll.BDH(config!$G$4,H$1,$A567,$A567)),_xll.BDH(config!$G$4,H$1,$A567,$A567),_xll.BDH(config!$G$5,H$1,$A567,$A567))))</f>
        <v/>
      </c>
      <c r="I567" s="8" t="str">
        <f>IF($A567="","",IF(ISNUMBER(FIND("IMPVOL",I$1)),_xll.BDH(config!$G$4,I$1,WORKDAY($A567,-1,config_Holiday_Calendar_US),WORKDAY($A567,-1,config_Holiday_Calendar_US)),IF(ISNUMBER(_xll.BDH(config!$G$4,I$1,$A567,$A567)),_xll.BDH(config!$G$4,I$1,$A567,$A567),_xll.BDH(config!$G$5,I$1,$A567,$A567))))</f>
        <v/>
      </c>
      <c r="J567" s="8" t="str">
        <f>IF($A567="","",IF(ISNUMBER(FIND("IMPVOL",J$1)),_xll.BDH(config!$G$4,J$1,WORKDAY($A567,-1,config_Holiday_Calendar_US),WORKDAY($A567,-1,config_Holiday_Calendar_US)),IF(ISNUMBER(_xll.BDH(config!$G$4,J$1,$A567,$A567)),_xll.BDH(config!$G$4,J$1,$A567,$A567),_xll.BDH(config!$G$5,J$1,$A567,$A567))))</f>
        <v/>
      </c>
      <c r="K567" s="8" t="str">
        <f>IF($A567="","",IF(ISNUMBER(FIND("IMPVOL",K$1)),_xll.BDH(config!$G$4,K$1,WORKDAY($A567,-1,config_Holiday_Calendar_US),WORKDAY($A567,-1,config_Holiday_Calendar_US)),IF(ISNUMBER(_xll.BDH(config!$G$4,K$1,$A567,$A567)),_xll.BDH(config!$G$4,K$1,$A567,$A567),_xll.BDH(config!$G$5,K$1,$A567,$A567))))</f>
        <v/>
      </c>
      <c r="L567" s="8" t="str">
        <f>IF($A567="","",IF(ISNUMBER(FIND("IMPVOL",L$1)),_xll.BDH(config!$G$4,L$1,WORKDAY($A567,-1,config_Holiday_Calendar_US),WORKDAY($A567,-1,config_Holiday_Calendar_US)),IF(ISNUMBER(_xll.BDH(config!$G$4,L$1,$A567,$A567)),_xll.BDH(config!$G$4,L$1,$A567,$A567),_xll.BDH(config!$G$5,L$1,$A567,$A567))))</f>
        <v/>
      </c>
      <c r="M567" s="8" t="str">
        <f>IF($A567="","",IF(ISNUMBER(FIND("IMPVOL",M$1)),_xll.BDH(config!$G$4,M$1,WORKDAY($A567,-1,config_Holiday_Calendar_US),WORKDAY($A567,-1,config_Holiday_Calendar_US)),IF(ISNUMBER(_xll.BDH(config!$G$4,M$1,$A567,$A567)),_xll.BDH(config!$G$4,M$1,$A567,$A567),_xll.BDH(config!$G$5,M$1,$A567,$A567))))</f>
        <v/>
      </c>
      <c r="N567" s="8" t="str">
        <f>IF($A567="","",IF(ISNUMBER(FIND("IMPVOL",N$1)),_xll.BDH(config!$G$4,N$1,WORKDAY($A567,-1,config_Holiday_Calendar_US),WORKDAY($A567,-1,config_Holiday_Calendar_US)),IF(ISNUMBER(_xll.BDH(config!$G$4,N$1,$A567,$A567)),_xll.BDH(config!$G$4,N$1,$A567,$A567),_xll.BDH(config!$G$5,N$1,$A567,$A567))))</f>
        <v/>
      </c>
      <c r="O567" s="8" t="str">
        <f>IF($A567="","",IF(ISNUMBER(FIND("IMPVOL",O$1)),_xll.BDH(config!$G$4,O$1,WORKDAY($A567,-1,config_Holiday_Calendar_US),WORKDAY($A567,-1,config_Holiday_Calendar_US)),IF(ISNUMBER(_xll.BDH(config!$G$4,O$1,$A567,$A567)),_xll.BDH(config!$G$4,O$1,$A567,$A567),_xll.BDH(config!$G$5,O$1,$A567,$A567))))</f>
        <v/>
      </c>
      <c r="P567" s="8" t="str">
        <f>IF($A567="","",IF(ISNUMBER(FIND("IMPVOL",P$1)),_xll.BDH(config!$G$4,P$1,WORKDAY($A567,-1,config_Holiday_Calendar_US),WORKDAY($A567,-1,config_Holiday_Calendar_US)),IF(ISNUMBER(_xll.BDH(config!$G$4,P$1,$A567,$A567)),_xll.BDH(config!$G$4,P$1,$A567,$A567),_xll.BDH(config!$G$5,P$1,$A567,$A567))))</f>
        <v/>
      </c>
      <c r="Q567" s="8" t="str">
        <f>IF($A567="","",IF(ISNUMBER(FIND("IMPVOL",Q$1)),_xll.BDH(config!$G$4,Q$1,WORKDAY($A567,-1,config_Holiday_Calendar_US),WORKDAY($A567,-1,config_Holiday_Calendar_US)),IF(ISNUMBER(_xll.BDH(config!$G$4,Q$1,$A567,$A567)),_xll.BDH(config!$G$4,Q$1,$A567,$A567),_xll.BDH(config!$G$5,Q$1,$A567,$A567))))</f>
        <v/>
      </c>
      <c r="R567" s="8" t="str">
        <f>IF($A567="","",IF(ISNUMBER(FIND("IMPVOL",R$1)),_xll.BDH(config!$G$4,R$1,WORKDAY($A567,-1,config_Holiday_Calendar_US),WORKDAY($A567,-1,config_Holiday_Calendar_US)),IF(ISNUMBER(_xll.BDH(config!$G$4,R$1,$A567,$A567)),_xll.BDH(config!$G$4,R$1,$A567,$A567),_xll.BDH(config!$G$5,R$1,$A567,$A567))))</f>
        <v/>
      </c>
      <c r="S567" s="8" t="str">
        <f>IF($A567="","",IF(ISNUMBER(FIND("IMPVOL",S$1)),_xll.BDH(config!$G$4,S$1,WORKDAY($A567,-1,config_Holiday_Calendar_US),WORKDAY($A567,-1,config_Holiday_Calendar_US)),IF(ISNUMBER(_xll.BDH(config!$G$4,S$1,$A567,$A567)),_xll.BDH(config!$G$4,S$1,$A567,$A567),_xll.BDH(config!$G$5,S$1,$A567,$A567))))</f>
        <v/>
      </c>
      <c r="T567" s="8" t="str">
        <f>IF($A567="","",IF(ISNUMBER(FIND("IMPVOL",T$1)),_xll.BDH(config!$G$4,T$1,WORKDAY($A567,-1,config_Holiday_Calendar_US),WORKDAY($A567,-1,config_Holiday_Calendar_US)),IF(ISNUMBER(_xll.BDH(config!$G$4,T$1,$A567,$A567)),_xll.BDH(config!$G$4,T$1,$A567,$A567),_xll.BDH(config!$G$5,T$1,$A567,$A567))))</f>
        <v/>
      </c>
      <c r="U567" s="8" t="str">
        <f>IF($A567="","",IF(ISNUMBER(FIND("IMPVOL",U$1)),_xll.BDH(config!$G$4,U$1,WORKDAY($A567,-1,config_Holiday_Calendar_US),WORKDAY($A567,-1,config_Holiday_Calendar_US)),IF(ISNUMBER(_xll.BDH(config!$G$4,U$1,$A567,$A567)),_xll.BDH(config!$G$4,U$1,$A567,$A567),_xll.BDH(config!$G$5,U$1,$A567,$A567))))</f>
        <v/>
      </c>
      <c r="V567" s="8" t="str">
        <f>IF($A567="","",IF(ISNUMBER(FIND("IMPVOL",V$1)),_xll.BDH(config!$G$4,V$1,WORKDAY($A567,-1,config_Holiday_Calendar_US),WORKDAY($A567,-1,config_Holiday_Calendar_US)),IF(ISNUMBER(_xll.BDH(config!$G$4,V$1,$A567,$A567)),_xll.BDH(config!$G$4,V$1,$A567,$A567),_xll.BDH(config!$G$5,V$1,$A567,$A567))))</f>
        <v/>
      </c>
      <c r="W567" s="8" t="str">
        <f>IF($A567="","",IF(ISNUMBER(FIND("IMPVOL",W$1)),_xll.BDH(config!$G$4,W$1,WORKDAY($A567,-1,config_Holiday_Calendar_US),WORKDAY($A567,-1,config_Holiday_Calendar_US)),IF(ISNUMBER(_xll.BDH(config!$G$4,W$1,$A567,$A567)),_xll.BDH(config!$G$4,W$1,$A567,$A567),_xll.BDH(config!$G$5,W$1,$A567,$A567))))</f>
        <v/>
      </c>
    </row>
    <row r="568" spans="1:23" x14ac:dyDescent="0.2">
      <c r="A568" s="9" t="str">
        <f>IF(A567="","",IF(WORKDAY(A567,-1,config_Holiday_Calendar_US)&lt;config!$I$10,"",WORKDAY(A567,-1,config_Holiday_Calendar_US)))</f>
        <v/>
      </c>
      <c r="B568" s="8" t="str">
        <f t="shared" si="8"/>
        <v/>
      </c>
      <c r="C568" s="8" t="str">
        <f>IF(A568="","",_xll.BDH(config!$H$4,C$1,$A568,$A568))</f>
        <v/>
      </c>
      <c r="D568" s="8" t="str">
        <f>IF($A568="","",_xll.BDH(config!$H$4,D$1,$A568,$A568))</f>
        <v/>
      </c>
      <c r="E568" s="8" t="str">
        <f>IF($A568="","",IF(ISNUMBER(FIND("IMPVOL",E$1)),_xll.BDH(config!$G$4,E$1,WORKDAY($A568,-1,config_Holiday_Calendar_US),WORKDAY($A568,-1,config_Holiday_Calendar_US)),IF(ISNUMBER(_xll.BDH(config!$G$4,E$1,$A568,$A568)),_xll.BDH(config!$G$4,E$1,$A568,$A568),_xll.BDH(config!$G$5,E$1,$A568,$A568))))</f>
        <v/>
      </c>
      <c r="F568" s="8" t="str">
        <f>IF($A568="","",IF(ISNUMBER(FIND("IMPVOL",F$1)),_xll.BDH(config!$G$4,F$1,WORKDAY($A568,-1,config_Holiday_Calendar_US),WORKDAY($A568,-1,config_Holiday_Calendar_US)),IF(ISNUMBER(_xll.BDH(config!$G$4,F$1,$A568,$A568)),_xll.BDH(config!$G$4,F$1,$A568,$A568),_xll.BDH(config!$G$5,F$1,$A568,$A568))))</f>
        <v/>
      </c>
      <c r="G568" s="8" t="str">
        <f>IF($A568="","",IF(ISNUMBER(FIND("IMPVOL",G$1)),_xll.BDH(config!$G$4,G$1,WORKDAY($A568,-1,config_Holiday_Calendar_US),WORKDAY($A568,-1,config_Holiday_Calendar_US)),IF(ISNUMBER(_xll.BDH(config!$G$4,G$1,$A568,$A568)),_xll.BDH(config!$G$4,G$1,$A568,$A568),_xll.BDH(config!$G$5,G$1,$A568,$A568))))</f>
        <v/>
      </c>
      <c r="H568" s="8" t="str">
        <f>IF($A568="","",IF(ISNUMBER(FIND("IMPVOL",H$1)),_xll.BDH(config!$G$4,H$1,WORKDAY($A568,-1,config_Holiday_Calendar_US),WORKDAY($A568,-1,config_Holiday_Calendar_US)),IF(ISNUMBER(_xll.BDH(config!$G$4,H$1,$A568,$A568)),_xll.BDH(config!$G$4,H$1,$A568,$A568),_xll.BDH(config!$G$5,H$1,$A568,$A568))))</f>
        <v/>
      </c>
      <c r="I568" s="8" t="str">
        <f>IF($A568="","",IF(ISNUMBER(FIND("IMPVOL",I$1)),_xll.BDH(config!$G$4,I$1,WORKDAY($A568,-1,config_Holiday_Calendar_US),WORKDAY($A568,-1,config_Holiday_Calendar_US)),IF(ISNUMBER(_xll.BDH(config!$G$4,I$1,$A568,$A568)),_xll.BDH(config!$G$4,I$1,$A568,$A568),_xll.BDH(config!$G$5,I$1,$A568,$A568))))</f>
        <v/>
      </c>
      <c r="J568" s="8" t="str">
        <f>IF($A568="","",IF(ISNUMBER(FIND("IMPVOL",J$1)),_xll.BDH(config!$G$4,J$1,WORKDAY($A568,-1,config_Holiday_Calendar_US),WORKDAY($A568,-1,config_Holiday_Calendar_US)),IF(ISNUMBER(_xll.BDH(config!$G$4,J$1,$A568,$A568)),_xll.BDH(config!$G$4,J$1,$A568,$A568),_xll.BDH(config!$G$5,J$1,$A568,$A568))))</f>
        <v/>
      </c>
      <c r="K568" s="8" t="str">
        <f>IF($A568="","",IF(ISNUMBER(FIND("IMPVOL",K$1)),_xll.BDH(config!$G$4,K$1,WORKDAY($A568,-1,config_Holiday_Calendar_US),WORKDAY($A568,-1,config_Holiday_Calendar_US)),IF(ISNUMBER(_xll.BDH(config!$G$4,K$1,$A568,$A568)),_xll.BDH(config!$G$4,K$1,$A568,$A568),_xll.BDH(config!$G$5,K$1,$A568,$A568))))</f>
        <v/>
      </c>
      <c r="L568" s="8" t="str">
        <f>IF($A568="","",IF(ISNUMBER(FIND("IMPVOL",L$1)),_xll.BDH(config!$G$4,L$1,WORKDAY($A568,-1,config_Holiday_Calendar_US),WORKDAY($A568,-1,config_Holiday_Calendar_US)),IF(ISNUMBER(_xll.BDH(config!$G$4,L$1,$A568,$A568)),_xll.BDH(config!$G$4,L$1,$A568,$A568),_xll.BDH(config!$G$5,L$1,$A568,$A568))))</f>
        <v/>
      </c>
      <c r="M568" s="8" t="str">
        <f>IF($A568="","",IF(ISNUMBER(FIND("IMPVOL",M$1)),_xll.BDH(config!$G$4,M$1,WORKDAY($A568,-1,config_Holiday_Calendar_US),WORKDAY($A568,-1,config_Holiday_Calendar_US)),IF(ISNUMBER(_xll.BDH(config!$G$4,M$1,$A568,$A568)),_xll.BDH(config!$G$4,M$1,$A568,$A568),_xll.BDH(config!$G$5,M$1,$A568,$A568))))</f>
        <v/>
      </c>
      <c r="N568" s="8" t="str">
        <f>IF($A568="","",IF(ISNUMBER(FIND("IMPVOL",N$1)),_xll.BDH(config!$G$4,N$1,WORKDAY($A568,-1,config_Holiday_Calendar_US),WORKDAY($A568,-1,config_Holiday_Calendar_US)),IF(ISNUMBER(_xll.BDH(config!$G$4,N$1,$A568,$A568)),_xll.BDH(config!$G$4,N$1,$A568,$A568),_xll.BDH(config!$G$5,N$1,$A568,$A568))))</f>
        <v/>
      </c>
      <c r="O568" s="8" t="str">
        <f>IF($A568="","",IF(ISNUMBER(FIND("IMPVOL",O$1)),_xll.BDH(config!$G$4,O$1,WORKDAY($A568,-1,config_Holiday_Calendar_US),WORKDAY($A568,-1,config_Holiday_Calendar_US)),IF(ISNUMBER(_xll.BDH(config!$G$4,O$1,$A568,$A568)),_xll.BDH(config!$G$4,O$1,$A568,$A568),_xll.BDH(config!$G$5,O$1,$A568,$A568))))</f>
        <v/>
      </c>
      <c r="P568" s="8" t="str">
        <f>IF($A568="","",IF(ISNUMBER(FIND("IMPVOL",P$1)),_xll.BDH(config!$G$4,P$1,WORKDAY($A568,-1,config_Holiday_Calendar_US),WORKDAY($A568,-1,config_Holiday_Calendar_US)),IF(ISNUMBER(_xll.BDH(config!$G$4,P$1,$A568,$A568)),_xll.BDH(config!$G$4,P$1,$A568,$A568),_xll.BDH(config!$G$5,P$1,$A568,$A568))))</f>
        <v/>
      </c>
      <c r="Q568" s="8" t="str">
        <f>IF($A568="","",IF(ISNUMBER(FIND("IMPVOL",Q$1)),_xll.BDH(config!$G$4,Q$1,WORKDAY($A568,-1,config_Holiday_Calendar_US),WORKDAY($A568,-1,config_Holiday_Calendar_US)),IF(ISNUMBER(_xll.BDH(config!$G$4,Q$1,$A568,$A568)),_xll.BDH(config!$G$4,Q$1,$A568,$A568),_xll.BDH(config!$G$5,Q$1,$A568,$A568))))</f>
        <v/>
      </c>
      <c r="R568" s="8" t="str">
        <f>IF($A568="","",IF(ISNUMBER(FIND("IMPVOL",R$1)),_xll.BDH(config!$G$4,R$1,WORKDAY($A568,-1,config_Holiday_Calendar_US),WORKDAY($A568,-1,config_Holiday_Calendar_US)),IF(ISNUMBER(_xll.BDH(config!$G$4,R$1,$A568,$A568)),_xll.BDH(config!$G$4,R$1,$A568,$A568),_xll.BDH(config!$G$5,R$1,$A568,$A568))))</f>
        <v/>
      </c>
      <c r="S568" s="8" t="str">
        <f>IF($A568="","",IF(ISNUMBER(FIND("IMPVOL",S$1)),_xll.BDH(config!$G$4,S$1,WORKDAY($A568,-1,config_Holiday_Calendar_US),WORKDAY($A568,-1,config_Holiday_Calendar_US)),IF(ISNUMBER(_xll.BDH(config!$G$4,S$1,$A568,$A568)),_xll.BDH(config!$G$4,S$1,$A568,$A568),_xll.BDH(config!$G$5,S$1,$A568,$A568))))</f>
        <v/>
      </c>
      <c r="T568" s="8" t="str">
        <f>IF($A568="","",IF(ISNUMBER(FIND("IMPVOL",T$1)),_xll.BDH(config!$G$4,T$1,WORKDAY($A568,-1,config_Holiday_Calendar_US),WORKDAY($A568,-1,config_Holiday_Calendar_US)),IF(ISNUMBER(_xll.BDH(config!$G$4,T$1,$A568,$A568)),_xll.BDH(config!$G$4,T$1,$A568,$A568),_xll.BDH(config!$G$5,T$1,$A568,$A568))))</f>
        <v/>
      </c>
      <c r="U568" s="8" t="str">
        <f>IF($A568="","",IF(ISNUMBER(FIND("IMPVOL",U$1)),_xll.BDH(config!$G$4,U$1,WORKDAY($A568,-1,config_Holiday_Calendar_US),WORKDAY($A568,-1,config_Holiday_Calendar_US)),IF(ISNUMBER(_xll.BDH(config!$G$4,U$1,$A568,$A568)),_xll.BDH(config!$G$4,U$1,$A568,$A568),_xll.BDH(config!$G$5,U$1,$A568,$A568))))</f>
        <v/>
      </c>
      <c r="V568" s="8" t="str">
        <f>IF($A568="","",IF(ISNUMBER(FIND("IMPVOL",V$1)),_xll.BDH(config!$G$4,V$1,WORKDAY($A568,-1,config_Holiday_Calendar_US),WORKDAY($A568,-1,config_Holiday_Calendar_US)),IF(ISNUMBER(_xll.BDH(config!$G$4,V$1,$A568,$A568)),_xll.BDH(config!$G$4,V$1,$A568,$A568),_xll.BDH(config!$G$5,V$1,$A568,$A568))))</f>
        <v/>
      </c>
      <c r="W568" s="8" t="str">
        <f>IF($A568="","",IF(ISNUMBER(FIND("IMPVOL",W$1)),_xll.BDH(config!$G$4,W$1,WORKDAY($A568,-1,config_Holiday_Calendar_US),WORKDAY($A568,-1,config_Holiday_Calendar_US)),IF(ISNUMBER(_xll.BDH(config!$G$4,W$1,$A568,$A568)),_xll.BDH(config!$G$4,W$1,$A568,$A568),_xll.BDH(config!$G$5,W$1,$A568,$A568))))</f>
        <v/>
      </c>
    </row>
    <row r="569" spans="1:23" x14ac:dyDescent="0.2">
      <c r="A569" s="9" t="str">
        <f>IF(A568="","",IF(WORKDAY(A568,-1,config_Holiday_Calendar_US)&lt;config!$I$10,"",WORKDAY(A568,-1,config_Holiday_Calendar_US)))</f>
        <v/>
      </c>
      <c r="B569" s="8" t="str">
        <f t="shared" si="8"/>
        <v/>
      </c>
      <c r="C569" s="8" t="str">
        <f>IF(A569="","",_xll.BDH(config!$H$4,C$1,$A569,$A569))</f>
        <v/>
      </c>
      <c r="D569" s="8" t="str">
        <f>IF($A569="","",_xll.BDH(config!$H$4,D$1,$A569,$A569))</f>
        <v/>
      </c>
      <c r="E569" s="8" t="str">
        <f>IF($A569="","",IF(ISNUMBER(FIND("IMPVOL",E$1)),_xll.BDH(config!$G$4,E$1,WORKDAY($A569,-1,config_Holiday_Calendar_US),WORKDAY($A569,-1,config_Holiday_Calendar_US)),IF(ISNUMBER(_xll.BDH(config!$G$4,E$1,$A569,$A569)),_xll.BDH(config!$G$4,E$1,$A569,$A569),_xll.BDH(config!$G$5,E$1,$A569,$A569))))</f>
        <v/>
      </c>
      <c r="F569" s="8" t="str">
        <f>IF($A569="","",IF(ISNUMBER(FIND("IMPVOL",F$1)),_xll.BDH(config!$G$4,F$1,WORKDAY($A569,-1,config_Holiday_Calendar_US),WORKDAY($A569,-1,config_Holiday_Calendar_US)),IF(ISNUMBER(_xll.BDH(config!$G$4,F$1,$A569,$A569)),_xll.BDH(config!$G$4,F$1,$A569,$A569),_xll.BDH(config!$G$5,F$1,$A569,$A569))))</f>
        <v/>
      </c>
      <c r="G569" s="8" t="str">
        <f>IF($A569="","",IF(ISNUMBER(FIND("IMPVOL",G$1)),_xll.BDH(config!$G$4,G$1,WORKDAY($A569,-1,config_Holiday_Calendar_US),WORKDAY($A569,-1,config_Holiday_Calendar_US)),IF(ISNUMBER(_xll.BDH(config!$G$4,G$1,$A569,$A569)),_xll.BDH(config!$G$4,G$1,$A569,$A569),_xll.BDH(config!$G$5,G$1,$A569,$A569))))</f>
        <v/>
      </c>
      <c r="H569" s="8" t="str">
        <f>IF($A569="","",IF(ISNUMBER(FIND("IMPVOL",H$1)),_xll.BDH(config!$G$4,H$1,WORKDAY($A569,-1,config_Holiday_Calendar_US),WORKDAY($A569,-1,config_Holiday_Calendar_US)),IF(ISNUMBER(_xll.BDH(config!$G$4,H$1,$A569,$A569)),_xll.BDH(config!$G$4,H$1,$A569,$A569),_xll.BDH(config!$G$5,H$1,$A569,$A569))))</f>
        <v/>
      </c>
      <c r="I569" s="8" t="str">
        <f>IF($A569="","",IF(ISNUMBER(FIND("IMPVOL",I$1)),_xll.BDH(config!$G$4,I$1,WORKDAY($A569,-1,config_Holiday_Calendar_US),WORKDAY($A569,-1,config_Holiday_Calendar_US)),IF(ISNUMBER(_xll.BDH(config!$G$4,I$1,$A569,$A569)),_xll.BDH(config!$G$4,I$1,$A569,$A569),_xll.BDH(config!$G$5,I$1,$A569,$A569))))</f>
        <v/>
      </c>
      <c r="J569" s="8" t="str">
        <f>IF($A569="","",IF(ISNUMBER(FIND("IMPVOL",J$1)),_xll.BDH(config!$G$4,J$1,WORKDAY($A569,-1,config_Holiday_Calendar_US),WORKDAY($A569,-1,config_Holiday_Calendar_US)),IF(ISNUMBER(_xll.BDH(config!$G$4,J$1,$A569,$A569)),_xll.BDH(config!$G$4,J$1,$A569,$A569),_xll.BDH(config!$G$5,J$1,$A569,$A569))))</f>
        <v/>
      </c>
      <c r="K569" s="8" t="str">
        <f>IF($A569="","",IF(ISNUMBER(FIND("IMPVOL",K$1)),_xll.BDH(config!$G$4,K$1,WORKDAY($A569,-1,config_Holiday_Calendar_US),WORKDAY($A569,-1,config_Holiday_Calendar_US)),IF(ISNUMBER(_xll.BDH(config!$G$4,K$1,$A569,$A569)),_xll.BDH(config!$G$4,K$1,$A569,$A569),_xll.BDH(config!$G$5,K$1,$A569,$A569))))</f>
        <v/>
      </c>
      <c r="L569" s="8" t="str">
        <f>IF($A569="","",IF(ISNUMBER(FIND("IMPVOL",L$1)),_xll.BDH(config!$G$4,L$1,WORKDAY($A569,-1,config_Holiday_Calendar_US),WORKDAY($A569,-1,config_Holiday_Calendar_US)),IF(ISNUMBER(_xll.BDH(config!$G$4,L$1,$A569,$A569)),_xll.BDH(config!$G$4,L$1,$A569,$A569),_xll.BDH(config!$G$5,L$1,$A569,$A569))))</f>
        <v/>
      </c>
      <c r="M569" s="8" t="str">
        <f>IF($A569="","",IF(ISNUMBER(FIND("IMPVOL",M$1)),_xll.BDH(config!$G$4,M$1,WORKDAY($A569,-1,config_Holiday_Calendar_US),WORKDAY($A569,-1,config_Holiday_Calendar_US)),IF(ISNUMBER(_xll.BDH(config!$G$4,M$1,$A569,$A569)),_xll.BDH(config!$G$4,M$1,$A569,$A569),_xll.BDH(config!$G$5,M$1,$A569,$A569))))</f>
        <v/>
      </c>
      <c r="N569" s="8" t="str">
        <f>IF($A569="","",IF(ISNUMBER(FIND("IMPVOL",N$1)),_xll.BDH(config!$G$4,N$1,WORKDAY($A569,-1,config_Holiday_Calendar_US),WORKDAY($A569,-1,config_Holiday_Calendar_US)),IF(ISNUMBER(_xll.BDH(config!$G$4,N$1,$A569,$A569)),_xll.BDH(config!$G$4,N$1,$A569,$A569),_xll.BDH(config!$G$5,N$1,$A569,$A569))))</f>
        <v/>
      </c>
      <c r="O569" s="8" t="str">
        <f>IF($A569="","",IF(ISNUMBER(FIND("IMPVOL",O$1)),_xll.BDH(config!$G$4,O$1,WORKDAY($A569,-1,config_Holiday_Calendar_US),WORKDAY($A569,-1,config_Holiday_Calendar_US)),IF(ISNUMBER(_xll.BDH(config!$G$4,O$1,$A569,$A569)),_xll.BDH(config!$G$4,O$1,$A569,$A569),_xll.BDH(config!$G$5,O$1,$A569,$A569))))</f>
        <v/>
      </c>
      <c r="P569" s="8" t="str">
        <f>IF($A569="","",IF(ISNUMBER(FIND("IMPVOL",P$1)),_xll.BDH(config!$G$4,P$1,WORKDAY($A569,-1,config_Holiday_Calendar_US),WORKDAY($A569,-1,config_Holiday_Calendar_US)),IF(ISNUMBER(_xll.BDH(config!$G$4,P$1,$A569,$A569)),_xll.BDH(config!$G$4,P$1,$A569,$A569),_xll.BDH(config!$G$5,P$1,$A569,$A569))))</f>
        <v/>
      </c>
      <c r="Q569" s="8" t="str">
        <f>IF($A569="","",IF(ISNUMBER(FIND("IMPVOL",Q$1)),_xll.BDH(config!$G$4,Q$1,WORKDAY($A569,-1,config_Holiday_Calendar_US),WORKDAY($A569,-1,config_Holiday_Calendar_US)),IF(ISNUMBER(_xll.BDH(config!$G$4,Q$1,$A569,$A569)),_xll.BDH(config!$G$4,Q$1,$A569,$A569),_xll.BDH(config!$G$5,Q$1,$A569,$A569))))</f>
        <v/>
      </c>
      <c r="R569" s="8" t="str">
        <f>IF($A569="","",IF(ISNUMBER(FIND("IMPVOL",R$1)),_xll.BDH(config!$G$4,R$1,WORKDAY($A569,-1,config_Holiday_Calendar_US),WORKDAY($A569,-1,config_Holiday_Calendar_US)),IF(ISNUMBER(_xll.BDH(config!$G$4,R$1,$A569,$A569)),_xll.BDH(config!$G$4,R$1,$A569,$A569),_xll.BDH(config!$G$5,R$1,$A569,$A569))))</f>
        <v/>
      </c>
      <c r="S569" s="8" t="str">
        <f>IF($A569="","",IF(ISNUMBER(FIND("IMPVOL",S$1)),_xll.BDH(config!$G$4,S$1,WORKDAY($A569,-1,config_Holiday_Calendar_US),WORKDAY($A569,-1,config_Holiday_Calendar_US)),IF(ISNUMBER(_xll.BDH(config!$G$4,S$1,$A569,$A569)),_xll.BDH(config!$G$4,S$1,$A569,$A569),_xll.BDH(config!$G$5,S$1,$A569,$A569))))</f>
        <v/>
      </c>
      <c r="T569" s="8" t="str">
        <f>IF($A569="","",IF(ISNUMBER(FIND("IMPVOL",T$1)),_xll.BDH(config!$G$4,T$1,WORKDAY($A569,-1,config_Holiday_Calendar_US),WORKDAY($A569,-1,config_Holiday_Calendar_US)),IF(ISNUMBER(_xll.BDH(config!$G$4,T$1,$A569,$A569)),_xll.BDH(config!$G$4,T$1,$A569,$A569),_xll.BDH(config!$G$5,T$1,$A569,$A569))))</f>
        <v/>
      </c>
      <c r="U569" s="8" t="str">
        <f>IF($A569="","",IF(ISNUMBER(FIND("IMPVOL",U$1)),_xll.BDH(config!$G$4,U$1,WORKDAY($A569,-1,config_Holiday_Calendar_US),WORKDAY($A569,-1,config_Holiday_Calendar_US)),IF(ISNUMBER(_xll.BDH(config!$G$4,U$1,$A569,$A569)),_xll.BDH(config!$G$4,U$1,$A569,$A569),_xll.BDH(config!$G$5,U$1,$A569,$A569))))</f>
        <v/>
      </c>
      <c r="V569" s="8" t="str">
        <f>IF($A569="","",IF(ISNUMBER(FIND("IMPVOL",V$1)),_xll.BDH(config!$G$4,V$1,WORKDAY($A569,-1,config_Holiday_Calendar_US),WORKDAY($A569,-1,config_Holiday_Calendar_US)),IF(ISNUMBER(_xll.BDH(config!$G$4,V$1,$A569,$A569)),_xll.BDH(config!$G$4,V$1,$A569,$A569),_xll.BDH(config!$G$5,V$1,$A569,$A569))))</f>
        <v/>
      </c>
      <c r="W569" s="8" t="str">
        <f>IF($A569="","",IF(ISNUMBER(FIND("IMPVOL",W$1)),_xll.BDH(config!$G$4,W$1,WORKDAY($A569,-1,config_Holiday_Calendar_US),WORKDAY($A569,-1,config_Holiday_Calendar_US)),IF(ISNUMBER(_xll.BDH(config!$G$4,W$1,$A569,$A569)),_xll.BDH(config!$G$4,W$1,$A569,$A569),_xll.BDH(config!$G$5,W$1,$A569,$A569))))</f>
        <v/>
      </c>
    </row>
    <row r="570" spans="1:23" x14ac:dyDescent="0.2">
      <c r="A570" s="9" t="str">
        <f>IF(A569="","",IF(WORKDAY(A569,-1,config_Holiday_Calendar_US)&lt;config!$I$10,"",WORKDAY(A569,-1,config_Holiday_Calendar_US)))</f>
        <v/>
      </c>
      <c r="B570" s="8" t="str">
        <f t="shared" si="8"/>
        <v/>
      </c>
      <c r="C570" s="8" t="str">
        <f>IF(A570="","",_xll.BDH(config!$H$4,C$1,$A570,$A570))</f>
        <v/>
      </c>
      <c r="D570" s="8" t="str">
        <f>IF($A570="","",_xll.BDH(config!$H$4,D$1,$A570,$A570))</f>
        <v/>
      </c>
      <c r="E570" s="8" t="str">
        <f>IF($A570="","",IF(ISNUMBER(FIND("IMPVOL",E$1)),_xll.BDH(config!$G$4,E$1,WORKDAY($A570,-1,config_Holiday_Calendar_US),WORKDAY($A570,-1,config_Holiday_Calendar_US)),IF(ISNUMBER(_xll.BDH(config!$G$4,E$1,$A570,$A570)),_xll.BDH(config!$G$4,E$1,$A570,$A570),_xll.BDH(config!$G$5,E$1,$A570,$A570))))</f>
        <v/>
      </c>
      <c r="F570" s="8" t="str">
        <f>IF($A570="","",IF(ISNUMBER(FIND("IMPVOL",F$1)),_xll.BDH(config!$G$4,F$1,WORKDAY($A570,-1,config_Holiday_Calendar_US),WORKDAY($A570,-1,config_Holiday_Calendar_US)),IF(ISNUMBER(_xll.BDH(config!$G$4,F$1,$A570,$A570)),_xll.BDH(config!$G$4,F$1,$A570,$A570),_xll.BDH(config!$G$5,F$1,$A570,$A570))))</f>
        <v/>
      </c>
      <c r="G570" s="8" t="str">
        <f>IF($A570="","",IF(ISNUMBER(FIND("IMPVOL",G$1)),_xll.BDH(config!$G$4,G$1,WORKDAY($A570,-1,config_Holiday_Calendar_US),WORKDAY($A570,-1,config_Holiday_Calendar_US)),IF(ISNUMBER(_xll.BDH(config!$G$4,G$1,$A570,$A570)),_xll.BDH(config!$G$4,G$1,$A570,$A570),_xll.BDH(config!$G$5,G$1,$A570,$A570))))</f>
        <v/>
      </c>
      <c r="H570" s="8" t="str">
        <f>IF($A570="","",IF(ISNUMBER(FIND("IMPVOL",H$1)),_xll.BDH(config!$G$4,H$1,WORKDAY($A570,-1,config_Holiday_Calendar_US),WORKDAY($A570,-1,config_Holiday_Calendar_US)),IF(ISNUMBER(_xll.BDH(config!$G$4,H$1,$A570,$A570)),_xll.BDH(config!$G$4,H$1,$A570,$A570),_xll.BDH(config!$G$5,H$1,$A570,$A570))))</f>
        <v/>
      </c>
      <c r="I570" s="8" t="str">
        <f>IF($A570="","",IF(ISNUMBER(FIND("IMPVOL",I$1)),_xll.BDH(config!$G$4,I$1,WORKDAY($A570,-1,config_Holiday_Calendar_US),WORKDAY($A570,-1,config_Holiday_Calendar_US)),IF(ISNUMBER(_xll.BDH(config!$G$4,I$1,$A570,$A570)),_xll.BDH(config!$G$4,I$1,$A570,$A570),_xll.BDH(config!$G$5,I$1,$A570,$A570))))</f>
        <v/>
      </c>
      <c r="J570" s="8" t="str">
        <f>IF($A570="","",IF(ISNUMBER(FIND("IMPVOL",J$1)),_xll.BDH(config!$G$4,J$1,WORKDAY($A570,-1,config_Holiday_Calendar_US),WORKDAY($A570,-1,config_Holiday_Calendar_US)),IF(ISNUMBER(_xll.BDH(config!$G$4,J$1,$A570,$A570)),_xll.BDH(config!$G$4,J$1,$A570,$A570),_xll.BDH(config!$G$5,J$1,$A570,$A570))))</f>
        <v/>
      </c>
      <c r="K570" s="8" t="str">
        <f>IF($A570="","",IF(ISNUMBER(FIND("IMPVOL",K$1)),_xll.BDH(config!$G$4,K$1,WORKDAY($A570,-1,config_Holiday_Calendar_US),WORKDAY($A570,-1,config_Holiday_Calendar_US)),IF(ISNUMBER(_xll.BDH(config!$G$4,K$1,$A570,$A570)),_xll.BDH(config!$G$4,K$1,$A570,$A570),_xll.BDH(config!$G$5,K$1,$A570,$A570))))</f>
        <v/>
      </c>
      <c r="L570" s="8" t="str">
        <f>IF($A570="","",IF(ISNUMBER(FIND("IMPVOL",L$1)),_xll.BDH(config!$G$4,L$1,WORKDAY($A570,-1,config_Holiday_Calendar_US),WORKDAY($A570,-1,config_Holiday_Calendar_US)),IF(ISNUMBER(_xll.BDH(config!$G$4,L$1,$A570,$A570)),_xll.BDH(config!$G$4,L$1,$A570,$A570),_xll.BDH(config!$G$5,L$1,$A570,$A570))))</f>
        <v/>
      </c>
      <c r="M570" s="8" t="str">
        <f>IF($A570="","",IF(ISNUMBER(FIND("IMPVOL",M$1)),_xll.BDH(config!$G$4,M$1,WORKDAY($A570,-1,config_Holiday_Calendar_US),WORKDAY($A570,-1,config_Holiday_Calendar_US)),IF(ISNUMBER(_xll.BDH(config!$G$4,M$1,$A570,$A570)),_xll.BDH(config!$G$4,M$1,$A570,$A570),_xll.BDH(config!$G$5,M$1,$A570,$A570))))</f>
        <v/>
      </c>
      <c r="N570" s="8" t="str">
        <f>IF($A570="","",IF(ISNUMBER(FIND("IMPVOL",N$1)),_xll.BDH(config!$G$4,N$1,WORKDAY($A570,-1,config_Holiday_Calendar_US),WORKDAY($A570,-1,config_Holiday_Calendar_US)),IF(ISNUMBER(_xll.BDH(config!$G$4,N$1,$A570,$A570)),_xll.BDH(config!$G$4,N$1,$A570,$A570),_xll.BDH(config!$G$5,N$1,$A570,$A570))))</f>
        <v/>
      </c>
      <c r="O570" s="8" t="str">
        <f>IF($A570="","",IF(ISNUMBER(FIND("IMPVOL",O$1)),_xll.BDH(config!$G$4,O$1,WORKDAY($A570,-1,config_Holiday_Calendar_US),WORKDAY($A570,-1,config_Holiday_Calendar_US)),IF(ISNUMBER(_xll.BDH(config!$G$4,O$1,$A570,$A570)),_xll.BDH(config!$G$4,O$1,$A570,$A570),_xll.BDH(config!$G$5,O$1,$A570,$A570))))</f>
        <v/>
      </c>
      <c r="P570" s="8" t="str">
        <f>IF($A570="","",IF(ISNUMBER(FIND("IMPVOL",P$1)),_xll.BDH(config!$G$4,P$1,WORKDAY($A570,-1,config_Holiday_Calendar_US),WORKDAY($A570,-1,config_Holiday_Calendar_US)),IF(ISNUMBER(_xll.BDH(config!$G$4,P$1,$A570,$A570)),_xll.BDH(config!$G$4,P$1,$A570,$A570),_xll.BDH(config!$G$5,P$1,$A570,$A570))))</f>
        <v/>
      </c>
      <c r="Q570" s="8" t="str">
        <f>IF($A570="","",IF(ISNUMBER(FIND("IMPVOL",Q$1)),_xll.BDH(config!$G$4,Q$1,WORKDAY($A570,-1,config_Holiday_Calendar_US),WORKDAY($A570,-1,config_Holiday_Calendar_US)),IF(ISNUMBER(_xll.BDH(config!$G$4,Q$1,$A570,$A570)),_xll.BDH(config!$G$4,Q$1,$A570,$A570),_xll.BDH(config!$G$5,Q$1,$A570,$A570))))</f>
        <v/>
      </c>
      <c r="R570" s="8" t="str">
        <f>IF($A570="","",IF(ISNUMBER(FIND("IMPVOL",R$1)),_xll.BDH(config!$G$4,R$1,WORKDAY($A570,-1,config_Holiday_Calendar_US),WORKDAY($A570,-1,config_Holiday_Calendar_US)),IF(ISNUMBER(_xll.BDH(config!$G$4,R$1,$A570,$A570)),_xll.BDH(config!$G$4,R$1,$A570,$A570),_xll.BDH(config!$G$5,R$1,$A570,$A570))))</f>
        <v/>
      </c>
      <c r="S570" s="8" t="str">
        <f>IF($A570="","",IF(ISNUMBER(FIND("IMPVOL",S$1)),_xll.BDH(config!$G$4,S$1,WORKDAY($A570,-1,config_Holiday_Calendar_US),WORKDAY($A570,-1,config_Holiday_Calendar_US)),IF(ISNUMBER(_xll.BDH(config!$G$4,S$1,$A570,$A570)),_xll.BDH(config!$G$4,S$1,$A570,$A570),_xll.BDH(config!$G$5,S$1,$A570,$A570))))</f>
        <v/>
      </c>
      <c r="T570" s="8" t="str">
        <f>IF($A570="","",IF(ISNUMBER(FIND("IMPVOL",T$1)),_xll.BDH(config!$G$4,T$1,WORKDAY($A570,-1,config_Holiday_Calendar_US),WORKDAY($A570,-1,config_Holiday_Calendar_US)),IF(ISNUMBER(_xll.BDH(config!$G$4,T$1,$A570,$A570)),_xll.BDH(config!$G$4,T$1,$A570,$A570),_xll.BDH(config!$G$5,T$1,$A570,$A570))))</f>
        <v/>
      </c>
      <c r="U570" s="8" t="str">
        <f>IF($A570="","",IF(ISNUMBER(FIND("IMPVOL",U$1)),_xll.BDH(config!$G$4,U$1,WORKDAY($A570,-1,config_Holiday_Calendar_US),WORKDAY($A570,-1,config_Holiday_Calendar_US)),IF(ISNUMBER(_xll.BDH(config!$G$4,U$1,$A570,$A570)),_xll.BDH(config!$G$4,U$1,$A570,$A570),_xll.BDH(config!$G$5,U$1,$A570,$A570))))</f>
        <v/>
      </c>
      <c r="V570" s="8" t="str">
        <f>IF($A570="","",IF(ISNUMBER(FIND("IMPVOL",V$1)),_xll.BDH(config!$G$4,V$1,WORKDAY($A570,-1,config_Holiday_Calendar_US),WORKDAY($A570,-1,config_Holiday_Calendar_US)),IF(ISNUMBER(_xll.BDH(config!$G$4,V$1,$A570,$A570)),_xll.BDH(config!$G$4,V$1,$A570,$A570),_xll.BDH(config!$G$5,V$1,$A570,$A570))))</f>
        <v/>
      </c>
      <c r="W570" s="8" t="str">
        <f>IF($A570="","",IF(ISNUMBER(FIND("IMPVOL",W$1)),_xll.BDH(config!$G$4,W$1,WORKDAY($A570,-1,config_Holiday_Calendar_US),WORKDAY($A570,-1,config_Holiday_Calendar_US)),IF(ISNUMBER(_xll.BDH(config!$G$4,W$1,$A570,$A570)),_xll.BDH(config!$G$4,W$1,$A570,$A570),_xll.BDH(config!$G$5,W$1,$A570,$A570))))</f>
        <v/>
      </c>
    </row>
    <row r="571" spans="1:23" x14ac:dyDescent="0.2">
      <c r="A571" s="9" t="str">
        <f>IF(A570="","",IF(WORKDAY(A570,-1,config_Holiday_Calendar_US)&lt;config!$I$10,"",WORKDAY(A570,-1,config_Holiday_Calendar_US)))</f>
        <v/>
      </c>
      <c r="B571" s="8" t="str">
        <f t="shared" si="8"/>
        <v/>
      </c>
      <c r="C571" s="8" t="str">
        <f>IF(A571="","",_xll.BDH(config!$H$4,C$1,$A571,$A571))</f>
        <v/>
      </c>
      <c r="D571" s="8" t="str">
        <f>IF($A571="","",_xll.BDH(config!$H$4,D$1,$A571,$A571))</f>
        <v/>
      </c>
      <c r="E571" s="8" t="str">
        <f>IF($A571="","",IF(ISNUMBER(FIND("IMPVOL",E$1)),_xll.BDH(config!$G$4,E$1,WORKDAY($A571,-1,config_Holiday_Calendar_US),WORKDAY($A571,-1,config_Holiday_Calendar_US)),IF(ISNUMBER(_xll.BDH(config!$G$4,E$1,$A571,$A571)),_xll.BDH(config!$G$4,E$1,$A571,$A571),_xll.BDH(config!$G$5,E$1,$A571,$A571))))</f>
        <v/>
      </c>
      <c r="F571" s="8" t="str">
        <f>IF($A571="","",IF(ISNUMBER(FIND("IMPVOL",F$1)),_xll.BDH(config!$G$4,F$1,WORKDAY($A571,-1,config_Holiday_Calendar_US),WORKDAY($A571,-1,config_Holiday_Calendar_US)),IF(ISNUMBER(_xll.BDH(config!$G$4,F$1,$A571,$A571)),_xll.BDH(config!$G$4,F$1,$A571,$A571),_xll.BDH(config!$G$5,F$1,$A571,$A571))))</f>
        <v/>
      </c>
      <c r="G571" s="8" t="str">
        <f>IF($A571="","",IF(ISNUMBER(FIND("IMPVOL",G$1)),_xll.BDH(config!$G$4,G$1,WORKDAY($A571,-1,config_Holiday_Calendar_US),WORKDAY($A571,-1,config_Holiday_Calendar_US)),IF(ISNUMBER(_xll.BDH(config!$G$4,G$1,$A571,$A571)),_xll.BDH(config!$G$4,G$1,$A571,$A571),_xll.BDH(config!$G$5,G$1,$A571,$A571))))</f>
        <v/>
      </c>
      <c r="H571" s="8" t="str">
        <f>IF($A571="","",IF(ISNUMBER(FIND("IMPVOL",H$1)),_xll.BDH(config!$G$4,H$1,WORKDAY($A571,-1,config_Holiday_Calendar_US),WORKDAY($A571,-1,config_Holiday_Calendar_US)),IF(ISNUMBER(_xll.BDH(config!$G$4,H$1,$A571,$A571)),_xll.BDH(config!$G$4,H$1,$A571,$A571),_xll.BDH(config!$G$5,H$1,$A571,$A571))))</f>
        <v/>
      </c>
      <c r="I571" s="8" t="str">
        <f>IF($A571="","",IF(ISNUMBER(FIND("IMPVOL",I$1)),_xll.BDH(config!$G$4,I$1,WORKDAY($A571,-1,config_Holiday_Calendar_US),WORKDAY($A571,-1,config_Holiday_Calendar_US)),IF(ISNUMBER(_xll.BDH(config!$G$4,I$1,$A571,$A571)),_xll.BDH(config!$G$4,I$1,$A571,$A571),_xll.BDH(config!$G$5,I$1,$A571,$A571))))</f>
        <v/>
      </c>
      <c r="J571" s="8" t="str">
        <f>IF($A571="","",IF(ISNUMBER(FIND("IMPVOL",J$1)),_xll.BDH(config!$G$4,J$1,WORKDAY($A571,-1,config_Holiday_Calendar_US),WORKDAY($A571,-1,config_Holiday_Calendar_US)),IF(ISNUMBER(_xll.BDH(config!$G$4,J$1,$A571,$A571)),_xll.BDH(config!$G$4,J$1,$A571,$A571),_xll.BDH(config!$G$5,J$1,$A571,$A571))))</f>
        <v/>
      </c>
      <c r="K571" s="8" t="str">
        <f>IF($A571="","",IF(ISNUMBER(FIND("IMPVOL",K$1)),_xll.BDH(config!$G$4,K$1,WORKDAY($A571,-1,config_Holiday_Calendar_US),WORKDAY($A571,-1,config_Holiday_Calendar_US)),IF(ISNUMBER(_xll.BDH(config!$G$4,K$1,$A571,$A571)),_xll.BDH(config!$G$4,K$1,$A571,$A571),_xll.BDH(config!$G$5,K$1,$A571,$A571))))</f>
        <v/>
      </c>
      <c r="L571" s="8" t="str">
        <f>IF($A571="","",IF(ISNUMBER(FIND("IMPVOL",L$1)),_xll.BDH(config!$G$4,L$1,WORKDAY($A571,-1,config_Holiday_Calendar_US),WORKDAY($A571,-1,config_Holiday_Calendar_US)),IF(ISNUMBER(_xll.BDH(config!$G$4,L$1,$A571,$A571)),_xll.BDH(config!$G$4,L$1,$A571,$A571),_xll.BDH(config!$G$5,L$1,$A571,$A571))))</f>
        <v/>
      </c>
      <c r="M571" s="8" t="str">
        <f>IF($A571="","",IF(ISNUMBER(FIND("IMPVOL",M$1)),_xll.BDH(config!$G$4,M$1,WORKDAY($A571,-1,config_Holiday_Calendar_US),WORKDAY($A571,-1,config_Holiday_Calendar_US)),IF(ISNUMBER(_xll.BDH(config!$G$4,M$1,$A571,$A571)),_xll.BDH(config!$G$4,M$1,$A571,$A571),_xll.BDH(config!$G$5,M$1,$A571,$A571))))</f>
        <v/>
      </c>
      <c r="N571" s="8" t="str">
        <f>IF($A571="","",IF(ISNUMBER(FIND("IMPVOL",N$1)),_xll.BDH(config!$G$4,N$1,WORKDAY($A571,-1,config_Holiday_Calendar_US),WORKDAY($A571,-1,config_Holiday_Calendar_US)),IF(ISNUMBER(_xll.BDH(config!$G$4,N$1,$A571,$A571)),_xll.BDH(config!$G$4,N$1,$A571,$A571),_xll.BDH(config!$G$5,N$1,$A571,$A571))))</f>
        <v/>
      </c>
      <c r="O571" s="8" t="str">
        <f>IF($A571="","",IF(ISNUMBER(FIND("IMPVOL",O$1)),_xll.BDH(config!$G$4,O$1,WORKDAY($A571,-1,config_Holiday_Calendar_US),WORKDAY($A571,-1,config_Holiday_Calendar_US)),IF(ISNUMBER(_xll.BDH(config!$G$4,O$1,$A571,$A571)),_xll.BDH(config!$G$4,O$1,$A571,$A571),_xll.BDH(config!$G$5,O$1,$A571,$A571))))</f>
        <v/>
      </c>
      <c r="P571" s="8" t="str">
        <f>IF($A571="","",IF(ISNUMBER(FIND("IMPVOL",P$1)),_xll.BDH(config!$G$4,P$1,WORKDAY($A571,-1,config_Holiday_Calendar_US),WORKDAY($A571,-1,config_Holiday_Calendar_US)),IF(ISNUMBER(_xll.BDH(config!$G$4,P$1,$A571,$A571)),_xll.BDH(config!$G$4,P$1,$A571,$A571),_xll.BDH(config!$G$5,P$1,$A571,$A571))))</f>
        <v/>
      </c>
      <c r="Q571" s="8" t="str">
        <f>IF($A571="","",IF(ISNUMBER(FIND("IMPVOL",Q$1)),_xll.BDH(config!$G$4,Q$1,WORKDAY($A571,-1,config_Holiday_Calendar_US),WORKDAY($A571,-1,config_Holiday_Calendar_US)),IF(ISNUMBER(_xll.BDH(config!$G$4,Q$1,$A571,$A571)),_xll.BDH(config!$G$4,Q$1,$A571,$A571),_xll.BDH(config!$G$5,Q$1,$A571,$A571))))</f>
        <v/>
      </c>
      <c r="R571" s="8" t="str">
        <f>IF($A571="","",IF(ISNUMBER(FIND("IMPVOL",R$1)),_xll.BDH(config!$G$4,R$1,WORKDAY($A571,-1,config_Holiday_Calendar_US),WORKDAY($A571,-1,config_Holiday_Calendar_US)),IF(ISNUMBER(_xll.BDH(config!$G$4,R$1,$A571,$A571)),_xll.BDH(config!$G$4,R$1,$A571,$A571),_xll.BDH(config!$G$5,R$1,$A571,$A571))))</f>
        <v/>
      </c>
      <c r="S571" s="8" t="str">
        <f>IF($A571="","",IF(ISNUMBER(FIND("IMPVOL",S$1)),_xll.BDH(config!$G$4,S$1,WORKDAY($A571,-1,config_Holiday_Calendar_US),WORKDAY($A571,-1,config_Holiday_Calendar_US)),IF(ISNUMBER(_xll.BDH(config!$G$4,S$1,$A571,$A571)),_xll.BDH(config!$G$4,S$1,$A571,$A571),_xll.BDH(config!$G$5,S$1,$A571,$A571))))</f>
        <v/>
      </c>
      <c r="T571" s="8" t="str">
        <f>IF($A571="","",IF(ISNUMBER(FIND("IMPVOL",T$1)),_xll.BDH(config!$G$4,T$1,WORKDAY($A571,-1,config_Holiday_Calendar_US),WORKDAY($A571,-1,config_Holiday_Calendar_US)),IF(ISNUMBER(_xll.BDH(config!$G$4,T$1,$A571,$A571)),_xll.BDH(config!$G$4,T$1,$A571,$A571),_xll.BDH(config!$G$5,T$1,$A571,$A571))))</f>
        <v/>
      </c>
      <c r="U571" s="8" t="str">
        <f>IF($A571="","",IF(ISNUMBER(FIND("IMPVOL",U$1)),_xll.BDH(config!$G$4,U$1,WORKDAY($A571,-1,config_Holiday_Calendar_US),WORKDAY($A571,-1,config_Holiday_Calendar_US)),IF(ISNUMBER(_xll.BDH(config!$G$4,U$1,$A571,$A571)),_xll.BDH(config!$G$4,U$1,$A571,$A571),_xll.BDH(config!$G$5,U$1,$A571,$A571))))</f>
        <v/>
      </c>
      <c r="V571" s="8" t="str">
        <f>IF($A571="","",IF(ISNUMBER(FIND("IMPVOL",V$1)),_xll.BDH(config!$G$4,V$1,WORKDAY($A571,-1,config_Holiday_Calendar_US),WORKDAY($A571,-1,config_Holiday_Calendar_US)),IF(ISNUMBER(_xll.BDH(config!$G$4,V$1,$A571,$A571)),_xll.BDH(config!$G$4,V$1,$A571,$A571),_xll.BDH(config!$G$5,V$1,$A571,$A571))))</f>
        <v/>
      </c>
      <c r="W571" s="8" t="str">
        <f>IF($A571="","",IF(ISNUMBER(FIND("IMPVOL",W$1)),_xll.BDH(config!$G$4,W$1,WORKDAY($A571,-1,config_Holiday_Calendar_US),WORKDAY($A571,-1,config_Holiday_Calendar_US)),IF(ISNUMBER(_xll.BDH(config!$G$4,W$1,$A571,$A571)),_xll.BDH(config!$G$4,W$1,$A571,$A571),_xll.BDH(config!$G$5,W$1,$A571,$A571))))</f>
        <v/>
      </c>
    </row>
    <row r="572" spans="1:23" x14ac:dyDescent="0.2">
      <c r="A572" s="9" t="str">
        <f>IF(A571="","",IF(WORKDAY(A571,-1,config_Holiday_Calendar_US)&lt;config!$I$10,"",WORKDAY(A571,-1,config_Holiday_Calendar_US)))</f>
        <v/>
      </c>
      <c r="B572" s="8" t="str">
        <f t="shared" si="8"/>
        <v/>
      </c>
      <c r="C572" s="8" t="str">
        <f>IF(A572="","",_xll.BDH(config!$H$4,C$1,$A572,$A572))</f>
        <v/>
      </c>
      <c r="D572" s="8" t="str">
        <f>IF($A572="","",_xll.BDH(config!$H$4,D$1,$A572,$A572))</f>
        <v/>
      </c>
      <c r="E572" s="8" t="str">
        <f>IF($A572="","",IF(ISNUMBER(FIND("IMPVOL",E$1)),_xll.BDH(config!$G$4,E$1,WORKDAY($A572,-1,config_Holiday_Calendar_US),WORKDAY($A572,-1,config_Holiday_Calendar_US)),IF(ISNUMBER(_xll.BDH(config!$G$4,E$1,$A572,$A572)),_xll.BDH(config!$G$4,E$1,$A572,$A572),_xll.BDH(config!$G$5,E$1,$A572,$A572))))</f>
        <v/>
      </c>
      <c r="F572" s="8" t="str">
        <f>IF($A572="","",IF(ISNUMBER(FIND("IMPVOL",F$1)),_xll.BDH(config!$G$4,F$1,WORKDAY($A572,-1,config_Holiday_Calendar_US),WORKDAY($A572,-1,config_Holiday_Calendar_US)),IF(ISNUMBER(_xll.BDH(config!$G$4,F$1,$A572,$A572)),_xll.BDH(config!$G$4,F$1,$A572,$A572),_xll.BDH(config!$G$5,F$1,$A572,$A572))))</f>
        <v/>
      </c>
      <c r="G572" s="8" t="str">
        <f>IF($A572="","",IF(ISNUMBER(FIND("IMPVOL",G$1)),_xll.BDH(config!$G$4,G$1,WORKDAY($A572,-1,config_Holiday_Calendar_US),WORKDAY($A572,-1,config_Holiday_Calendar_US)),IF(ISNUMBER(_xll.BDH(config!$G$4,G$1,$A572,$A572)),_xll.BDH(config!$G$4,G$1,$A572,$A572),_xll.BDH(config!$G$5,G$1,$A572,$A572))))</f>
        <v/>
      </c>
      <c r="H572" s="8" t="str">
        <f>IF($A572="","",IF(ISNUMBER(FIND("IMPVOL",H$1)),_xll.BDH(config!$G$4,H$1,WORKDAY($A572,-1,config_Holiday_Calendar_US),WORKDAY($A572,-1,config_Holiday_Calendar_US)),IF(ISNUMBER(_xll.BDH(config!$G$4,H$1,$A572,$A572)),_xll.BDH(config!$G$4,H$1,$A572,$A572),_xll.BDH(config!$G$5,H$1,$A572,$A572))))</f>
        <v/>
      </c>
      <c r="I572" s="8" t="str">
        <f>IF($A572="","",IF(ISNUMBER(FIND("IMPVOL",I$1)),_xll.BDH(config!$G$4,I$1,WORKDAY($A572,-1,config_Holiday_Calendar_US),WORKDAY($A572,-1,config_Holiday_Calendar_US)),IF(ISNUMBER(_xll.BDH(config!$G$4,I$1,$A572,$A572)),_xll.BDH(config!$G$4,I$1,$A572,$A572),_xll.BDH(config!$G$5,I$1,$A572,$A572))))</f>
        <v/>
      </c>
      <c r="J572" s="8" t="str">
        <f>IF($A572="","",IF(ISNUMBER(FIND("IMPVOL",J$1)),_xll.BDH(config!$G$4,J$1,WORKDAY($A572,-1,config_Holiday_Calendar_US),WORKDAY($A572,-1,config_Holiday_Calendar_US)),IF(ISNUMBER(_xll.BDH(config!$G$4,J$1,$A572,$A572)),_xll.BDH(config!$G$4,J$1,$A572,$A572),_xll.BDH(config!$G$5,J$1,$A572,$A572))))</f>
        <v/>
      </c>
      <c r="K572" s="8" t="str">
        <f>IF($A572="","",IF(ISNUMBER(FIND("IMPVOL",K$1)),_xll.BDH(config!$G$4,K$1,WORKDAY($A572,-1,config_Holiday_Calendar_US),WORKDAY($A572,-1,config_Holiday_Calendar_US)),IF(ISNUMBER(_xll.BDH(config!$G$4,K$1,$A572,$A572)),_xll.BDH(config!$G$4,K$1,$A572,$A572),_xll.BDH(config!$G$5,K$1,$A572,$A572))))</f>
        <v/>
      </c>
      <c r="L572" s="8" t="str">
        <f>IF($A572="","",IF(ISNUMBER(FIND("IMPVOL",L$1)),_xll.BDH(config!$G$4,L$1,WORKDAY($A572,-1,config_Holiday_Calendar_US),WORKDAY($A572,-1,config_Holiday_Calendar_US)),IF(ISNUMBER(_xll.BDH(config!$G$4,L$1,$A572,$A572)),_xll.BDH(config!$G$4,L$1,$A572,$A572),_xll.BDH(config!$G$5,L$1,$A572,$A572))))</f>
        <v/>
      </c>
      <c r="M572" s="8" t="str">
        <f>IF($A572="","",IF(ISNUMBER(FIND("IMPVOL",M$1)),_xll.BDH(config!$G$4,M$1,WORKDAY($A572,-1,config_Holiday_Calendar_US),WORKDAY($A572,-1,config_Holiday_Calendar_US)),IF(ISNUMBER(_xll.BDH(config!$G$4,M$1,$A572,$A572)),_xll.BDH(config!$G$4,M$1,$A572,$A572),_xll.BDH(config!$G$5,M$1,$A572,$A572))))</f>
        <v/>
      </c>
      <c r="N572" s="8" t="str">
        <f>IF($A572="","",IF(ISNUMBER(FIND("IMPVOL",N$1)),_xll.BDH(config!$G$4,N$1,WORKDAY($A572,-1,config_Holiday_Calendar_US),WORKDAY($A572,-1,config_Holiday_Calendar_US)),IF(ISNUMBER(_xll.BDH(config!$G$4,N$1,$A572,$A572)),_xll.BDH(config!$G$4,N$1,$A572,$A572),_xll.BDH(config!$G$5,N$1,$A572,$A572))))</f>
        <v/>
      </c>
      <c r="O572" s="8" t="str">
        <f>IF($A572="","",IF(ISNUMBER(FIND("IMPVOL",O$1)),_xll.BDH(config!$G$4,O$1,WORKDAY($A572,-1,config_Holiday_Calendar_US),WORKDAY($A572,-1,config_Holiday_Calendar_US)),IF(ISNUMBER(_xll.BDH(config!$G$4,O$1,$A572,$A572)),_xll.BDH(config!$G$4,O$1,$A572,$A572),_xll.BDH(config!$G$5,O$1,$A572,$A572))))</f>
        <v/>
      </c>
      <c r="P572" s="8" t="str">
        <f>IF($A572="","",IF(ISNUMBER(FIND("IMPVOL",P$1)),_xll.BDH(config!$G$4,P$1,WORKDAY($A572,-1,config_Holiday_Calendar_US),WORKDAY($A572,-1,config_Holiday_Calendar_US)),IF(ISNUMBER(_xll.BDH(config!$G$4,P$1,$A572,$A572)),_xll.BDH(config!$G$4,P$1,$A572,$A572),_xll.BDH(config!$G$5,P$1,$A572,$A572))))</f>
        <v/>
      </c>
      <c r="Q572" s="8" t="str">
        <f>IF($A572="","",IF(ISNUMBER(FIND("IMPVOL",Q$1)),_xll.BDH(config!$G$4,Q$1,WORKDAY($A572,-1,config_Holiday_Calendar_US),WORKDAY($A572,-1,config_Holiday_Calendar_US)),IF(ISNUMBER(_xll.BDH(config!$G$4,Q$1,$A572,$A572)),_xll.BDH(config!$G$4,Q$1,$A572,$A572),_xll.BDH(config!$G$5,Q$1,$A572,$A572))))</f>
        <v/>
      </c>
      <c r="R572" s="8" t="str">
        <f>IF($A572="","",IF(ISNUMBER(FIND("IMPVOL",R$1)),_xll.BDH(config!$G$4,R$1,WORKDAY($A572,-1,config_Holiday_Calendar_US),WORKDAY($A572,-1,config_Holiday_Calendar_US)),IF(ISNUMBER(_xll.BDH(config!$G$4,R$1,$A572,$A572)),_xll.BDH(config!$G$4,R$1,$A572,$A572),_xll.BDH(config!$G$5,R$1,$A572,$A572))))</f>
        <v/>
      </c>
      <c r="S572" s="8" t="str">
        <f>IF($A572="","",IF(ISNUMBER(FIND("IMPVOL",S$1)),_xll.BDH(config!$G$4,S$1,WORKDAY($A572,-1,config_Holiday_Calendar_US),WORKDAY($A572,-1,config_Holiday_Calendar_US)),IF(ISNUMBER(_xll.BDH(config!$G$4,S$1,$A572,$A572)),_xll.BDH(config!$G$4,S$1,$A572,$A572),_xll.BDH(config!$G$5,S$1,$A572,$A572))))</f>
        <v/>
      </c>
      <c r="T572" s="8" t="str">
        <f>IF($A572="","",IF(ISNUMBER(FIND("IMPVOL",T$1)),_xll.BDH(config!$G$4,T$1,WORKDAY($A572,-1,config_Holiday_Calendar_US),WORKDAY($A572,-1,config_Holiday_Calendar_US)),IF(ISNUMBER(_xll.BDH(config!$G$4,T$1,$A572,$A572)),_xll.BDH(config!$G$4,T$1,$A572,$A572),_xll.BDH(config!$G$5,T$1,$A572,$A572))))</f>
        <v/>
      </c>
      <c r="U572" s="8" t="str">
        <f>IF($A572="","",IF(ISNUMBER(FIND("IMPVOL",U$1)),_xll.BDH(config!$G$4,U$1,WORKDAY($A572,-1,config_Holiday_Calendar_US),WORKDAY($A572,-1,config_Holiday_Calendar_US)),IF(ISNUMBER(_xll.BDH(config!$G$4,U$1,$A572,$A572)),_xll.BDH(config!$G$4,U$1,$A572,$A572),_xll.BDH(config!$G$5,U$1,$A572,$A572))))</f>
        <v/>
      </c>
      <c r="V572" s="8" t="str">
        <f>IF($A572="","",IF(ISNUMBER(FIND("IMPVOL",V$1)),_xll.BDH(config!$G$4,V$1,WORKDAY($A572,-1,config_Holiday_Calendar_US),WORKDAY($A572,-1,config_Holiday_Calendar_US)),IF(ISNUMBER(_xll.BDH(config!$G$4,V$1,$A572,$A572)),_xll.BDH(config!$G$4,V$1,$A572,$A572),_xll.BDH(config!$G$5,V$1,$A572,$A572))))</f>
        <v/>
      </c>
      <c r="W572" s="8" t="str">
        <f>IF($A572="","",IF(ISNUMBER(FIND("IMPVOL",W$1)),_xll.BDH(config!$G$4,W$1,WORKDAY($A572,-1,config_Holiday_Calendar_US),WORKDAY($A572,-1,config_Holiday_Calendar_US)),IF(ISNUMBER(_xll.BDH(config!$G$4,W$1,$A572,$A572)),_xll.BDH(config!$G$4,W$1,$A572,$A572),_xll.BDH(config!$G$5,W$1,$A572,$A572))))</f>
        <v/>
      </c>
    </row>
    <row r="573" spans="1:23" x14ac:dyDescent="0.2">
      <c r="A573" s="9" t="str">
        <f>IF(A572="","",IF(WORKDAY(A572,-1,config_Holiday_Calendar_US)&lt;config!$I$10,"",WORKDAY(A572,-1,config_Holiday_Calendar_US)))</f>
        <v/>
      </c>
      <c r="B573" s="8" t="str">
        <f t="shared" si="8"/>
        <v/>
      </c>
      <c r="C573" s="8" t="str">
        <f>IF(A573="","",_xll.BDH(config!$H$4,C$1,$A573,$A573))</f>
        <v/>
      </c>
      <c r="D573" s="8" t="str">
        <f>IF($A573="","",_xll.BDH(config!$H$4,D$1,$A573,$A573))</f>
        <v/>
      </c>
      <c r="E573" s="8" t="str">
        <f>IF($A573="","",IF(ISNUMBER(FIND("IMPVOL",E$1)),_xll.BDH(config!$G$4,E$1,WORKDAY($A573,-1,config_Holiday_Calendar_US),WORKDAY($A573,-1,config_Holiday_Calendar_US)),IF(ISNUMBER(_xll.BDH(config!$G$4,E$1,$A573,$A573)),_xll.BDH(config!$G$4,E$1,$A573,$A573),_xll.BDH(config!$G$5,E$1,$A573,$A573))))</f>
        <v/>
      </c>
      <c r="F573" s="8" t="str">
        <f>IF($A573="","",IF(ISNUMBER(FIND("IMPVOL",F$1)),_xll.BDH(config!$G$4,F$1,WORKDAY($A573,-1,config_Holiday_Calendar_US),WORKDAY($A573,-1,config_Holiday_Calendar_US)),IF(ISNUMBER(_xll.BDH(config!$G$4,F$1,$A573,$A573)),_xll.BDH(config!$G$4,F$1,$A573,$A573),_xll.BDH(config!$G$5,F$1,$A573,$A573))))</f>
        <v/>
      </c>
      <c r="G573" s="8" t="str">
        <f>IF($A573="","",IF(ISNUMBER(FIND("IMPVOL",G$1)),_xll.BDH(config!$G$4,G$1,WORKDAY($A573,-1,config_Holiday_Calendar_US),WORKDAY($A573,-1,config_Holiday_Calendar_US)),IF(ISNUMBER(_xll.BDH(config!$G$4,G$1,$A573,$A573)),_xll.BDH(config!$G$4,G$1,$A573,$A573),_xll.BDH(config!$G$5,G$1,$A573,$A573))))</f>
        <v/>
      </c>
      <c r="H573" s="8" t="str">
        <f>IF($A573="","",IF(ISNUMBER(FIND("IMPVOL",H$1)),_xll.BDH(config!$G$4,H$1,WORKDAY($A573,-1,config_Holiday_Calendar_US),WORKDAY($A573,-1,config_Holiday_Calendar_US)),IF(ISNUMBER(_xll.BDH(config!$G$4,H$1,$A573,$A573)),_xll.BDH(config!$G$4,H$1,$A573,$A573),_xll.BDH(config!$G$5,H$1,$A573,$A573))))</f>
        <v/>
      </c>
      <c r="I573" s="8" t="str">
        <f>IF($A573="","",IF(ISNUMBER(FIND("IMPVOL",I$1)),_xll.BDH(config!$G$4,I$1,WORKDAY($A573,-1,config_Holiday_Calendar_US),WORKDAY($A573,-1,config_Holiday_Calendar_US)),IF(ISNUMBER(_xll.BDH(config!$G$4,I$1,$A573,$A573)),_xll.BDH(config!$G$4,I$1,$A573,$A573),_xll.BDH(config!$G$5,I$1,$A573,$A573))))</f>
        <v/>
      </c>
      <c r="J573" s="8" t="str">
        <f>IF($A573="","",IF(ISNUMBER(FIND("IMPVOL",J$1)),_xll.BDH(config!$G$4,J$1,WORKDAY($A573,-1,config_Holiday_Calendar_US),WORKDAY($A573,-1,config_Holiday_Calendar_US)),IF(ISNUMBER(_xll.BDH(config!$G$4,J$1,$A573,$A573)),_xll.BDH(config!$G$4,J$1,$A573,$A573),_xll.BDH(config!$G$5,J$1,$A573,$A573))))</f>
        <v/>
      </c>
      <c r="K573" s="8" t="str">
        <f>IF($A573="","",IF(ISNUMBER(FIND("IMPVOL",K$1)),_xll.BDH(config!$G$4,K$1,WORKDAY($A573,-1,config_Holiday_Calendar_US),WORKDAY($A573,-1,config_Holiday_Calendar_US)),IF(ISNUMBER(_xll.BDH(config!$G$4,K$1,$A573,$A573)),_xll.BDH(config!$G$4,K$1,$A573,$A573),_xll.BDH(config!$G$5,K$1,$A573,$A573))))</f>
        <v/>
      </c>
      <c r="L573" s="8" t="str">
        <f>IF($A573="","",IF(ISNUMBER(FIND("IMPVOL",L$1)),_xll.BDH(config!$G$4,L$1,WORKDAY($A573,-1,config_Holiday_Calendar_US),WORKDAY($A573,-1,config_Holiday_Calendar_US)),IF(ISNUMBER(_xll.BDH(config!$G$4,L$1,$A573,$A573)),_xll.BDH(config!$G$4,L$1,$A573,$A573),_xll.BDH(config!$G$5,L$1,$A573,$A573))))</f>
        <v/>
      </c>
      <c r="M573" s="8" t="str">
        <f>IF($A573="","",IF(ISNUMBER(FIND("IMPVOL",M$1)),_xll.BDH(config!$G$4,M$1,WORKDAY($A573,-1,config_Holiday_Calendar_US),WORKDAY($A573,-1,config_Holiday_Calendar_US)),IF(ISNUMBER(_xll.BDH(config!$G$4,M$1,$A573,$A573)),_xll.BDH(config!$G$4,M$1,$A573,$A573),_xll.BDH(config!$G$5,M$1,$A573,$A573))))</f>
        <v/>
      </c>
      <c r="N573" s="8" t="str">
        <f>IF($A573="","",IF(ISNUMBER(FIND("IMPVOL",N$1)),_xll.BDH(config!$G$4,N$1,WORKDAY($A573,-1,config_Holiday_Calendar_US),WORKDAY($A573,-1,config_Holiday_Calendar_US)),IF(ISNUMBER(_xll.BDH(config!$G$4,N$1,$A573,$A573)),_xll.BDH(config!$G$4,N$1,$A573,$A573),_xll.BDH(config!$G$5,N$1,$A573,$A573))))</f>
        <v/>
      </c>
      <c r="O573" s="8" t="str">
        <f>IF($A573="","",IF(ISNUMBER(FIND("IMPVOL",O$1)),_xll.BDH(config!$G$4,O$1,WORKDAY($A573,-1,config_Holiday_Calendar_US),WORKDAY($A573,-1,config_Holiday_Calendar_US)),IF(ISNUMBER(_xll.BDH(config!$G$4,O$1,$A573,$A573)),_xll.BDH(config!$G$4,O$1,$A573,$A573),_xll.BDH(config!$G$5,O$1,$A573,$A573))))</f>
        <v/>
      </c>
      <c r="P573" s="8" t="str">
        <f>IF($A573="","",IF(ISNUMBER(FIND("IMPVOL",P$1)),_xll.BDH(config!$G$4,P$1,WORKDAY($A573,-1,config_Holiday_Calendar_US),WORKDAY($A573,-1,config_Holiday_Calendar_US)),IF(ISNUMBER(_xll.BDH(config!$G$4,P$1,$A573,$A573)),_xll.BDH(config!$G$4,P$1,$A573,$A573),_xll.BDH(config!$G$5,P$1,$A573,$A573))))</f>
        <v/>
      </c>
      <c r="Q573" s="8" t="str">
        <f>IF($A573="","",IF(ISNUMBER(FIND("IMPVOL",Q$1)),_xll.BDH(config!$G$4,Q$1,WORKDAY($A573,-1,config_Holiday_Calendar_US),WORKDAY($A573,-1,config_Holiday_Calendar_US)),IF(ISNUMBER(_xll.BDH(config!$G$4,Q$1,$A573,$A573)),_xll.BDH(config!$G$4,Q$1,$A573,$A573),_xll.BDH(config!$G$5,Q$1,$A573,$A573))))</f>
        <v/>
      </c>
      <c r="R573" s="8" t="str">
        <f>IF($A573="","",IF(ISNUMBER(FIND("IMPVOL",R$1)),_xll.BDH(config!$G$4,R$1,WORKDAY($A573,-1,config_Holiday_Calendar_US),WORKDAY($A573,-1,config_Holiday_Calendar_US)),IF(ISNUMBER(_xll.BDH(config!$G$4,R$1,$A573,$A573)),_xll.BDH(config!$G$4,R$1,$A573,$A573),_xll.BDH(config!$G$5,R$1,$A573,$A573))))</f>
        <v/>
      </c>
      <c r="S573" s="8" t="str">
        <f>IF($A573="","",IF(ISNUMBER(FIND("IMPVOL",S$1)),_xll.BDH(config!$G$4,S$1,WORKDAY($A573,-1,config_Holiday_Calendar_US),WORKDAY($A573,-1,config_Holiday_Calendar_US)),IF(ISNUMBER(_xll.BDH(config!$G$4,S$1,$A573,$A573)),_xll.BDH(config!$G$4,S$1,$A573,$A573),_xll.BDH(config!$G$5,S$1,$A573,$A573))))</f>
        <v/>
      </c>
      <c r="T573" s="8" t="str">
        <f>IF($A573="","",IF(ISNUMBER(FIND("IMPVOL",T$1)),_xll.BDH(config!$G$4,T$1,WORKDAY($A573,-1,config_Holiday_Calendar_US),WORKDAY($A573,-1,config_Holiday_Calendar_US)),IF(ISNUMBER(_xll.BDH(config!$G$4,T$1,$A573,$A573)),_xll.BDH(config!$G$4,T$1,$A573,$A573),_xll.BDH(config!$G$5,T$1,$A573,$A573))))</f>
        <v/>
      </c>
      <c r="U573" s="8" t="str">
        <f>IF($A573="","",IF(ISNUMBER(FIND("IMPVOL",U$1)),_xll.BDH(config!$G$4,U$1,WORKDAY($A573,-1,config_Holiday_Calendar_US),WORKDAY($A573,-1,config_Holiday_Calendar_US)),IF(ISNUMBER(_xll.BDH(config!$G$4,U$1,$A573,$A573)),_xll.BDH(config!$G$4,U$1,$A573,$A573),_xll.BDH(config!$G$5,U$1,$A573,$A573))))</f>
        <v/>
      </c>
      <c r="V573" s="8" t="str">
        <f>IF($A573="","",IF(ISNUMBER(FIND("IMPVOL",V$1)),_xll.BDH(config!$G$4,V$1,WORKDAY($A573,-1,config_Holiday_Calendar_US),WORKDAY($A573,-1,config_Holiday_Calendar_US)),IF(ISNUMBER(_xll.BDH(config!$G$4,V$1,$A573,$A573)),_xll.BDH(config!$G$4,V$1,$A573,$A573),_xll.BDH(config!$G$5,V$1,$A573,$A573))))</f>
        <v/>
      </c>
      <c r="W573" s="8" t="str">
        <f>IF($A573="","",IF(ISNUMBER(FIND("IMPVOL",W$1)),_xll.BDH(config!$G$4,W$1,WORKDAY($A573,-1,config_Holiday_Calendar_US),WORKDAY($A573,-1,config_Holiday_Calendar_US)),IF(ISNUMBER(_xll.BDH(config!$G$4,W$1,$A573,$A573)),_xll.BDH(config!$G$4,W$1,$A573,$A573),_xll.BDH(config!$G$5,W$1,$A573,$A573))))</f>
        <v/>
      </c>
    </row>
    <row r="574" spans="1:23" x14ac:dyDescent="0.2">
      <c r="A574" s="9" t="str">
        <f>IF(A573="","",IF(WORKDAY(A573,-1,config_Holiday_Calendar_US)&lt;config!$I$10,"",WORKDAY(A573,-1,config_Holiday_Calendar_US)))</f>
        <v/>
      </c>
      <c r="B574" s="8" t="str">
        <f t="shared" si="8"/>
        <v/>
      </c>
      <c r="C574" s="8" t="str">
        <f>IF(A574="","",_xll.BDH(config!$H$4,C$1,$A574,$A574))</f>
        <v/>
      </c>
      <c r="D574" s="8" t="str">
        <f>IF($A574="","",_xll.BDH(config!$H$4,D$1,$A574,$A574))</f>
        <v/>
      </c>
      <c r="E574" s="8" t="str">
        <f>IF($A574="","",IF(ISNUMBER(FIND("IMPVOL",E$1)),_xll.BDH(config!$G$4,E$1,WORKDAY($A574,-1,config_Holiday_Calendar_US),WORKDAY($A574,-1,config_Holiday_Calendar_US)),IF(ISNUMBER(_xll.BDH(config!$G$4,E$1,$A574,$A574)),_xll.BDH(config!$G$4,E$1,$A574,$A574),_xll.BDH(config!$G$5,E$1,$A574,$A574))))</f>
        <v/>
      </c>
      <c r="F574" s="8" t="str">
        <f>IF($A574="","",IF(ISNUMBER(FIND("IMPVOL",F$1)),_xll.BDH(config!$G$4,F$1,WORKDAY($A574,-1,config_Holiday_Calendar_US),WORKDAY($A574,-1,config_Holiday_Calendar_US)),IF(ISNUMBER(_xll.BDH(config!$G$4,F$1,$A574,$A574)),_xll.BDH(config!$G$4,F$1,$A574,$A574),_xll.BDH(config!$G$5,F$1,$A574,$A574))))</f>
        <v/>
      </c>
      <c r="G574" s="8" t="str">
        <f>IF($A574="","",IF(ISNUMBER(FIND("IMPVOL",G$1)),_xll.BDH(config!$G$4,G$1,WORKDAY($A574,-1,config_Holiday_Calendar_US),WORKDAY($A574,-1,config_Holiday_Calendar_US)),IF(ISNUMBER(_xll.BDH(config!$G$4,G$1,$A574,$A574)),_xll.BDH(config!$G$4,G$1,$A574,$A574),_xll.BDH(config!$G$5,G$1,$A574,$A574))))</f>
        <v/>
      </c>
      <c r="H574" s="8" t="str">
        <f>IF($A574="","",IF(ISNUMBER(FIND("IMPVOL",H$1)),_xll.BDH(config!$G$4,H$1,WORKDAY($A574,-1,config_Holiday_Calendar_US),WORKDAY($A574,-1,config_Holiday_Calendar_US)),IF(ISNUMBER(_xll.BDH(config!$G$4,H$1,$A574,$A574)),_xll.BDH(config!$G$4,H$1,$A574,$A574),_xll.BDH(config!$G$5,H$1,$A574,$A574))))</f>
        <v/>
      </c>
      <c r="I574" s="8" t="str">
        <f>IF($A574="","",IF(ISNUMBER(FIND("IMPVOL",I$1)),_xll.BDH(config!$G$4,I$1,WORKDAY($A574,-1,config_Holiday_Calendar_US),WORKDAY($A574,-1,config_Holiday_Calendar_US)),IF(ISNUMBER(_xll.BDH(config!$G$4,I$1,$A574,$A574)),_xll.BDH(config!$G$4,I$1,$A574,$A574),_xll.BDH(config!$G$5,I$1,$A574,$A574))))</f>
        <v/>
      </c>
      <c r="J574" s="8" t="str">
        <f>IF($A574="","",IF(ISNUMBER(FIND("IMPVOL",J$1)),_xll.BDH(config!$G$4,J$1,WORKDAY($A574,-1,config_Holiday_Calendar_US),WORKDAY($A574,-1,config_Holiday_Calendar_US)),IF(ISNUMBER(_xll.BDH(config!$G$4,J$1,$A574,$A574)),_xll.BDH(config!$G$4,J$1,$A574,$A574),_xll.BDH(config!$G$5,J$1,$A574,$A574))))</f>
        <v/>
      </c>
      <c r="K574" s="8" t="str">
        <f>IF($A574="","",IF(ISNUMBER(FIND("IMPVOL",K$1)),_xll.BDH(config!$G$4,K$1,WORKDAY($A574,-1,config_Holiday_Calendar_US),WORKDAY($A574,-1,config_Holiday_Calendar_US)),IF(ISNUMBER(_xll.BDH(config!$G$4,K$1,$A574,$A574)),_xll.BDH(config!$G$4,K$1,$A574,$A574),_xll.BDH(config!$G$5,K$1,$A574,$A574))))</f>
        <v/>
      </c>
      <c r="L574" s="8" t="str">
        <f>IF($A574="","",IF(ISNUMBER(FIND("IMPVOL",L$1)),_xll.BDH(config!$G$4,L$1,WORKDAY($A574,-1,config_Holiday_Calendar_US),WORKDAY($A574,-1,config_Holiday_Calendar_US)),IF(ISNUMBER(_xll.BDH(config!$G$4,L$1,$A574,$A574)),_xll.BDH(config!$G$4,L$1,$A574,$A574),_xll.BDH(config!$G$5,L$1,$A574,$A574))))</f>
        <v/>
      </c>
      <c r="M574" s="8" t="str">
        <f>IF($A574="","",IF(ISNUMBER(FIND("IMPVOL",M$1)),_xll.BDH(config!$G$4,M$1,WORKDAY($A574,-1,config_Holiday_Calendar_US),WORKDAY($A574,-1,config_Holiday_Calendar_US)),IF(ISNUMBER(_xll.BDH(config!$G$4,M$1,$A574,$A574)),_xll.BDH(config!$G$4,M$1,$A574,$A574),_xll.BDH(config!$G$5,M$1,$A574,$A574))))</f>
        <v/>
      </c>
      <c r="N574" s="8" t="str">
        <f>IF($A574="","",IF(ISNUMBER(FIND("IMPVOL",N$1)),_xll.BDH(config!$G$4,N$1,WORKDAY($A574,-1,config_Holiday_Calendar_US),WORKDAY($A574,-1,config_Holiday_Calendar_US)),IF(ISNUMBER(_xll.BDH(config!$G$4,N$1,$A574,$A574)),_xll.BDH(config!$G$4,N$1,$A574,$A574),_xll.BDH(config!$G$5,N$1,$A574,$A574))))</f>
        <v/>
      </c>
      <c r="O574" s="8" t="str">
        <f>IF($A574="","",IF(ISNUMBER(FIND("IMPVOL",O$1)),_xll.BDH(config!$G$4,O$1,WORKDAY($A574,-1,config_Holiday_Calendar_US),WORKDAY($A574,-1,config_Holiday_Calendar_US)),IF(ISNUMBER(_xll.BDH(config!$G$4,O$1,$A574,$A574)),_xll.BDH(config!$G$4,O$1,$A574,$A574),_xll.BDH(config!$G$5,O$1,$A574,$A574))))</f>
        <v/>
      </c>
      <c r="P574" s="8" t="str">
        <f>IF($A574="","",IF(ISNUMBER(FIND("IMPVOL",P$1)),_xll.BDH(config!$G$4,P$1,WORKDAY($A574,-1,config_Holiday_Calendar_US),WORKDAY($A574,-1,config_Holiday_Calendar_US)),IF(ISNUMBER(_xll.BDH(config!$G$4,P$1,$A574,$A574)),_xll.BDH(config!$G$4,P$1,$A574,$A574),_xll.BDH(config!$G$5,P$1,$A574,$A574))))</f>
        <v/>
      </c>
      <c r="Q574" s="8" t="str">
        <f>IF($A574="","",IF(ISNUMBER(FIND("IMPVOL",Q$1)),_xll.BDH(config!$G$4,Q$1,WORKDAY($A574,-1,config_Holiday_Calendar_US),WORKDAY($A574,-1,config_Holiday_Calendar_US)),IF(ISNUMBER(_xll.BDH(config!$G$4,Q$1,$A574,$A574)),_xll.BDH(config!$G$4,Q$1,$A574,$A574),_xll.BDH(config!$G$5,Q$1,$A574,$A574))))</f>
        <v/>
      </c>
      <c r="R574" s="8" t="str">
        <f>IF($A574="","",IF(ISNUMBER(FIND("IMPVOL",R$1)),_xll.BDH(config!$G$4,R$1,WORKDAY($A574,-1,config_Holiday_Calendar_US),WORKDAY($A574,-1,config_Holiday_Calendar_US)),IF(ISNUMBER(_xll.BDH(config!$G$4,R$1,$A574,$A574)),_xll.BDH(config!$G$4,R$1,$A574,$A574),_xll.BDH(config!$G$5,R$1,$A574,$A574))))</f>
        <v/>
      </c>
      <c r="S574" s="8" t="str">
        <f>IF($A574="","",IF(ISNUMBER(FIND("IMPVOL",S$1)),_xll.BDH(config!$G$4,S$1,WORKDAY($A574,-1,config_Holiday_Calendar_US),WORKDAY($A574,-1,config_Holiday_Calendar_US)),IF(ISNUMBER(_xll.BDH(config!$G$4,S$1,$A574,$A574)),_xll.BDH(config!$G$4,S$1,$A574,$A574),_xll.BDH(config!$G$5,S$1,$A574,$A574))))</f>
        <v/>
      </c>
      <c r="T574" s="8" t="str">
        <f>IF($A574="","",IF(ISNUMBER(FIND("IMPVOL",T$1)),_xll.BDH(config!$G$4,T$1,WORKDAY($A574,-1,config_Holiday_Calendar_US),WORKDAY($A574,-1,config_Holiday_Calendar_US)),IF(ISNUMBER(_xll.BDH(config!$G$4,T$1,$A574,$A574)),_xll.BDH(config!$G$4,T$1,$A574,$A574),_xll.BDH(config!$G$5,T$1,$A574,$A574))))</f>
        <v/>
      </c>
      <c r="U574" s="8" t="str">
        <f>IF($A574="","",IF(ISNUMBER(FIND("IMPVOL",U$1)),_xll.BDH(config!$G$4,U$1,WORKDAY($A574,-1,config_Holiday_Calendar_US),WORKDAY($A574,-1,config_Holiday_Calendar_US)),IF(ISNUMBER(_xll.BDH(config!$G$4,U$1,$A574,$A574)),_xll.BDH(config!$G$4,U$1,$A574,$A574),_xll.BDH(config!$G$5,U$1,$A574,$A574))))</f>
        <v/>
      </c>
      <c r="V574" s="8" t="str">
        <f>IF($A574="","",IF(ISNUMBER(FIND("IMPVOL",V$1)),_xll.BDH(config!$G$4,V$1,WORKDAY($A574,-1,config_Holiday_Calendar_US),WORKDAY($A574,-1,config_Holiday_Calendar_US)),IF(ISNUMBER(_xll.BDH(config!$G$4,V$1,$A574,$A574)),_xll.BDH(config!$G$4,V$1,$A574,$A574),_xll.BDH(config!$G$5,V$1,$A574,$A574))))</f>
        <v/>
      </c>
      <c r="W574" s="8" t="str">
        <f>IF($A574="","",IF(ISNUMBER(FIND("IMPVOL",W$1)),_xll.BDH(config!$G$4,W$1,WORKDAY($A574,-1,config_Holiday_Calendar_US),WORKDAY($A574,-1,config_Holiday_Calendar_US)),IF(ISNUMBER(_xll.BDH(config!$G$4,W$1,$A574,$A574)),_xll.BDH(config!$G$4,W$1,$A574,$A574),_xll.BDH(config!$G$5,W$1,$A574,$A574))))</f>
        <v/>
      </c>
    </row>
    <row r="575" spans="1:23" x14ac:dyDescent="0.2">
      <c r="A575" s="9" t="str">
        <f>IF(A574="","",IF(WORKDAY(A574,-1,config_Holiday_Calendar_US)&lt;config!$I$10,"",WORKDAY(A574,-1,config_Holiday_Calendar_US)))</f>
        <v/>
      </c>
      <c r="B575" s="8" t="str">
        <f t="shared" si="8"/>
        <v/>
      </c>
      <c r="C575" s="8" t="str">
        <f>IF(A575="","",_xll.BDH(config!$H$4,C$1,$A575,$A575))</f>
        <v/>
      </c>
      <c r="D575" s="8" t="str">
        <f>IF($A575="","",_xll.BDH(config!$H$4,D$1,$A575,$A575))</f>
        <v/>
      </c>
      <c r="E575" s="8" t="str">
        <f>IF($A575="","",IF(ISNUMBER(FIND("IMPVOL",E$1)),_xll.BDH(config!$G$4,E$1,WORKDAY($A575,-1,config_Holiday_Calendar_US),WORKDAY($A575,-1,config_Holiday_Calendar_US)),IF(ISNUMBER(_xll.BDH(config!$G$4,E$1,$A575,$A575)),_xll.BDH(config!$G$4,E$1,$A575,$A575),_xll.BDH(config!$G$5,E$1,$A575,$A575))))</f>
        <v/>
      </c>
      <c r="F575" s="8" t="str">
        <f>IF($A575="","",IF(ISNUMBER(FIND("IMPVOL",F$1)),_xll.BDH(config!$G$4,F$1,WORKDAY($A575,-1,config_Holiday_Calendar_US),WORKDAY($A575,-1,config_Holiday_Calendar_US)),IF(ISNUMBER(_xll.BDH(config!$G$4,F$1,$A575,$A575)),_xll.BDH(config!$G$4,F$1,$A575,$A575),_xll.BDH(config!$G$5,F$1,$A575,$A575))))</f>
        <v/>
      </c>
      <c r="G575" s="8" t="str">
        <f>IF($A575="","",IF(ISNUMBER(FIND("IMPVOL",G$1)),_xll.BDH(config!$G$4,G$1,WORKDAY($A575,-1,config_Holiday_Calendar_US),WORKDAY($A575,-1,config_Holiday_Calendar_US)),IF(ISNUMBER(_xll.BDH(config!$G$4,G$1,$A575,$A575)),_xll.BDH(config!$G$4,G$1,$A575,$A575),_xll.BDH(config!$G$5,G$1,$A575,$A575))))</f>
        <v/>
      </c>
      <c r="H575" s="8" t="str">
        <f>IF($A575="","",IF(ISNUMBER(FIND("IMPVOL",H$1)),_xll.BDH(config!$G$4,H$1,WORKDAY($A575,-1,config_Holiday_Calendar_US),WORKDAY($A575,-1,config_Holiday_Calendar_US)),IF(ISNUMBER(_xll.BDH(config!$G$4,H$1,$A575,$A575)),_xll.BDH(config!$G$4,H$1,$A575,$A575),_xll.BDH(config!$G$5,H$1,$A575,$A575))))</f>
        <v/>
      </c>
      <c r="I575" s="8" t="str">
        <f>IF($A575="","",IF(ISNUMBER(FIND("IMPVOL",I$1)),_xll.BDH(config!$G$4,I$1,WORKDAY($A575,-1,config_Holiday_Calendar_US),WORKDAY($A575,-1,config_Holiday_Calendar_US)),IF(ISNUMBER(_xll.BDH(config!$G$4,I$1,$A575,$A575)),_xll.BDH(config!$G$4,I$1,$A575,$A575),_xll.BDH(config!$G$5,I$1,$A575,$A575))))</f>
        <v/>
      </c>
      <c r="J575" s="8" t="str">
        <f>IF($A575="","",IF(ISNUMBER(FIND("IMPVOL",J$1)),_xll.BDH(config!$G$4,J$1,WORKDAY($A575,-1,config_Holiday_Calendar_US),WORKDAY($A575,-1,config_Holiday_Calendar_US)),IF(ISNUMBER(_xll.BDH(config!$G$4,J$1,$A575,$A575)),_xll.BDH(config!$G$4,J$1,$A575,$A575),_xll.BDH(config!$G$5,J$1,$A575,$A575))))</f>
        <v/>
      </c>
      <c r="K575" s="8" t="str">
        <f>IF($A575="","",IF(ISNUMBER(FIND("IMPVOL",K$1)),_xll.BDH(config!$G$4,K$1,WORKDAY($A575,-1,config_Holiday_Calendar_US),WORKDAY($A575,-1,config_Holiday_Calendar_US)),IF(ISNUMBER(_xll.BDH(config!$G$4,K$1,$A575,$A575)),_xll.BDH(config!$G$4,K$1,$A575,$A575),_xll.BDH(config!$G$5,K$1,$A575,$A575))))</f>
        <v/>
      </c>
      <c r="L575" s="8" t="str">
        <f>IF($A575="","",IF(ISNUMBER(FIND("IMPVOL",L$1)),_xll.BDH(config!$G$4,L$1,WORKDAY($A575,-1,config_Holiday_Calendar_US),WORKDAY($A575,-1,config_Holiday_Calendar_US)),IF(ISNUMBER(_xll.BDH(config!$G$4,L$1,$A575,$A575)),_xll.BDH(config!$G$4,L$1,$A575,$A575),_xll.BDH(config!$G$5,L$1,$A575,$A575))))</f>
        <v/>
      </c>
      <c r="M575" s="8" t="str">
        <f>IF($A575="","",IF(ISNUMBER(FIND("IMPVOL",M$1)),_xll.BDH(config!$G$4,M$1,WORKDAY($A575,-1,config_Holiday_Calendar_US),WORKDAY($A575,-1,config_Holiday_Calendar_US)),IF(ISNUMBER(_xll.BDH(config!$G$4,M$1,$A575,$A575)),_xll.BDH(config!$G$4,M$1,$A575,$A575),_xll.BDH(config!$G$5,M$1,$A575,$A575))))</f>
        <v/>
      </c>
      <c r="N575" s="8" t="str">
        <f>IF($A575="","",IF(ISNUMBER(FIND("IMPVOL",N$1)),_xll.BDH(config!$G$4,N$1,WORKDAY($A575,-1,config_Holiday_Calendar_US),WORKDAY($A575,-1,config_Holiday_Calendar_US)),IF(ISNUMBER(_xll.BDH(config!$G$4,N$1,$A575,$A575)),_xll.BDH(config!$G$4,N$1,$A575,$A575),_xll.BDH(config!$G$5,N$1,$A575,$A575))))</f>
        <v/>
      </c>
      <c r="O575" s="8" t="str">
        <f>IF($A575="","",IF(ISNUMBER(FIND("IMPVOL",O$1)),_xll.BDH(config!$G$4,O$1,WORKDAY($A575,-1,config_Holiday_Calendar_US),WORKDAY($A575,-1,config_Holiday_Calendar_US)),IF(ISNUMBER(_xll.BDH(config!$G$4,O$1,$A575,$A575)),_xll.BDH(config!$G$4,O$1,$A575,$A575),_xll.BDH(config!$G$5,O$1,$A575,$A575))))</f>
        <v/>
      </c>
      <c r="P575" s="8" t="str">
        <f>IF($A575="","",IF(ISNUMBER(FIND("IMPVOL",P$1)),_xll.BDH(config!$G$4,P$1,WORKDAY($A575,-1,config_Holiday_Calendar_US),WORKDAY($A575,-1,config_Holiday_Calendar_US)),IF(ISNUMBER(_xll.BDH(config!$G$4,P$1,$A575,$A575)),_xll.BDH(config!$G$4,P$1,$A575,$A575),_xll.BDH(config!$G$5,P$1,$A575,$A575))))</f>
        <v/>
      </c>
      <c r="Q575" s="8" t="str">
        <f>IF($A575="","",IF(ISNUMBER(FIND("IMPVOL",Q$1)),_xll.BDH(config!$G$4,Q$1,WORKDAY($A575,-1,config_Holiday_Calendar_US),WORKDAY($A575,-1,config_Holiday_Calendar_US)),IF(ISNUMBER(_xll.BDH(config!$G$4,Q$1,$A575,$A575)),_xll.BDH(config!$G$4,Q$1,$A575,$A575),_xll.BDH(config!$G$5,Q$1,$A575,$A575))))</f>
        <v/>
      </c>
      <c r="R575" s="8" t="str">
        <f>IF($A575="","",IF(ISNUMBER(FIND("IMPVOL",R$1)),_xll.BDH(config!$G$4,R$1,WORKDAY($A575,-1,config_Holiday_Calendar_US),WORKDAY($A575,-1,config_Holiday_Calendar_US)),IF(ISNUMBER(_xll.BDH(config!$G$4,R$1,$A575,$A575)),_xll.BDH(config!$G$4,R$1,$A575,$A575),_xll.BDH(config!$G$5,R$1,$A575,$A575))))</f>
        <v/>
      </c>
      <c r="S575" s="8" t="str">
        <f>IF($A575="","",IF(ISNUMBER(FIND("IMPVOL",S$1)),_xll.BDH(config!$G$4,S$1,WORKDAY($A575,-1,config_Holiday_Calendar_US),WORKDAY($A575,-1,config_Holiday_Calendar_US)),IF(ISNUMBER(_xll.BDH(config!$G$4,S$1,$A575,$A575)),_xll.BDH(config!$G$4,S$1,$A575,$A575),_xll.BDH(config!$G$5,S$1,$A575,$A575))))</f>
        <v/>
      </c>
      <c r="T575" s="8" t="str">
        <f>IF($A575="","",IF(ISNUMBER(FIND("IMPVOL",T$1)),_xll.BDH(config!$G$4,T$1,WORKDAY($A575,-1,config_Holiday_Calendar_US),WORKDAY($A575,-1,config_Holiday_Calendar_US)),IF(ISNUMBER(_xll.BDH(config!$G$4,T$1,$A575,$A575)),_xll.BDH(config!$G$4,T$1,$A575,$A575),_xll.BDH(config!$G$5,T$1,$A575,$A575))))</f>
        <v/>
      </c>
      <c r="U575" s="8" t="str">
        <f>IF($A575="","",IF(ISNUMBER(FIND("IMPVOL",U$1)),_xll.BDH(config!$G$4,U$1,WORKDAY($A575,-1,config_Holiday_Calendar_US),WORKDAY($A575,-1,config_Holiday_Calendar_US)),IF(ISNUMBER(_xll.BDH(config!$G$4,U$1,$A575,$A575)),_xll.BDH(config!$G$4,U$1,$A575,$A575),_xll.BDH(config!$G$5,U$1,$A575,$A575))))</f>
        <v/>
      </c>
      <c r="V575" s="8" t="str">
        <f>IF($A575="","",IF(ISNUMBER(FIND("IMPVOL",V$1)),_xll.BDH(config!$G$4,V$1,WORKDAY($A575,-1,config_Holiday_Calendar_US),WORKDAY($A575,-1,config_Holiday_Calendar_US)),IF(ISNUMBER(_xll.BDH(config!$G$4,V$1,$A575,$A575)),_xll.BDH(config!$G$4,V$1,$A575,$A575),_xll.BDH(config!$G$5,V$1,$A575,$A575))))</f>
        <v/>
      </c>
      <c r="W575" s="8" t="str">
        <f>IF($A575="","",IF(ISNUMBER(FIND("IMPVOL",W$1)),_xll.BDH(config!$G$4,W$1,WORKDAY($A575,-1,config_Holiday_Calendar_US),WORKDAY($A575,-1,config_Holiday_Calendar_US)),IF(ISNUMBER(_xll.BDH(config!$G$4,W$1,$A575,$A575)),_xll.BDH(config!$G$4,W$1,$A575,$A575),_xll.BDH(config!$G$5,W$1,$A575,$A575))))</f>
        <v/>
      </c>
    </row>
    <row r="576" spans="1:23" x14ac:dyDescent="0.2">
      <c r="A576" s="9" t="str">
        <f>IF(A575="","",IF(WORKDAY(A575,-1,config_Holiday_Calendar_US)&lt;config!$I$10,"",WORKDAY(A575,-1,config_Holiday_Calendar_US)))</f>
        <v/>
      </c>
      <c r="B576" s="8" t="str">
        <f t="shared" si="8"/>
        <v/>
      </c>
      <c r="C576" s="8" t="str">
        <f>IF(A576="","",_xll.BDH(config!$H$4,C$1,$A576,$A576))</f>
        <v/>
      </c>
      <c r="D576" s="8" t="str">
        <f>IF($A576="","",_xll.BDH(config!$H$4,D$1,$A576,$A576))</f>
        <v/>
      </c>
      <c r="E576" s="8" t="str">
        <f>IF($A576="","",IF(ISNUMBER(FIND("IMPVOL",E$1)),_xll.BDH(config!$G$4,E$1,WORKDAY($A576,-1,config_Holiday_Calendar_US),WORKDAY($A576,-1,config_Holiday_Calendar_US)),IF(ISNUMBER(_xll.BDH(config!$G$4,E$1,$A576,$A576)),_xll.BDH(config!$G$4,E$1,$A576,$A576),_xll.BDH(config!$G$5,E$1,$A576,$A576))))</f>
        <v/>
      </c>
      <c r="F576" s="8" t="str">
        <f>IF($A576="","",IF(ISNUMBER(FIND("IMPVOL",F$1)),_xll.BDH(config!$G$4,F$1,WORKDAY($A576,-1,config_Holiday_Calendar_US),WORKDAY($A576,-1,config_Holiday_Calendar_US)),IF(ISNUMBER(_xll.BDH(config!$G$4,F$1,$A576,$A576)),_xll.BDH(config!$G$4,F$1,$A576,$A576),_xll.BDH(config!$G$5,F$1,$A576,$A576))))</f>
        <v/>
      </c>
      <c r="G576" s="8" t="str">
        <f>IF($A576="","",IF(ISNUMBER(FIND("IMPVOL",G$1)),_xll.BDH(config!$G$4,G$1,WORKDAY($A576,-1,config_Holiday_Calendar_US),WORKDAY($A576,-1,config_Holiday_Calendar_US)),IF(ISNUMBER(_xll.BDH(config!$G$4,G$1,$A576,$A576)),_xll.BDH(config!$G$4,G$1,$A576,$A576),_xll.BDH(config!$G$5,G$1,$A576,$A576))))</f>
        <v/>
      </c>
      <c r="H576" s="8" t="str">
        <f>IF($A576="","",IF(ISNUMBER(FIND("IMPVOL",H$1)),_xll.BDH(config!$G$4,H$1,WORKDAY($A576,-1,config_Holiday_Calendar_US),WORKDAY($A576,-1,config_Holiday_Calendar_US)),IF(ISNUMBER(_xll.BDH(config!$G$4,H$1,$A576,$A576)),_xll.BDH(config!$G$4,H$1,$A576,$A576),_xll.BDH(config!$G$5,H$1,$A576,$A576))))</f>
        <v/>
      </c>
      <c r="I576" s="8" t="str">
        <f>IF($A576="","",IF(ISNUMBER(FIND("IMPVOL",I$1)),_xll.BDH(config!$G$4,I$1,WORKDAY($A576,-1,config_Holiday_Calendar_US),WORKDAY($A576,-1,config_Holiday_Calendar_US)),IF(ISNUMBER(_xll.BDH(config!$G$4,I$1,$A576,$A576)),_xll.BDH(config!$G$4,I$1,$A576,$A576),_xll.BDH(config!$G$5,I$1,$A576,$A576))))</f>
        <v/>
      </c>
      <c r="J576" s="8" t="str">
        <f>IF($A576="","",IF(ISNUMBER(FIND("IMPVOL",J$1)),_xll.BDH(config!$G$4,J$1,WORKDAY($A576,-1,config_Holiday_Calendar_US),WORKDAY($A576,-1,config_Holiday_Calendar_US)),IF(ISNUMBER(_xll.BDH(config!$G$4,J$1,$A576,$A576)),_xll.BDH(config!$G$4,J$1,$A576,$A576),_xll.BDH(config!$G$5,J$1,$A576,$A576))))</f>
        <v/>
      </c>
      <c r="K576" s="8" t="str">
        <f>IF($A576="","",IF(ISNUMBER(FIND("IMPVOL",K$1)),_xll.BDH(config!$G$4,K$1,WORKDAY($A576,-1,config_Holiday_Calendar_US),WORKDAY($A576,-1,config_Holiday_Calendar_US)),IF(ISNUMBER(_xll.BDH(config!$G$4,K$1,$A576,$A576)),_xll.BDH(config!$G$4,K$1,$A576,$A576),_xll.BDH(config!$G$5,K$1,$A576,$A576))))</f>
        <v/>
      </c>
      <c r="L576" s="8" t="str">
        <f>IF($A576="","",IF(ISNUMBER(FIND("IMPVOL",L$1)),_xll.BDH(config!$G$4,L$1,WORKDAY($A576,-1,config_Holiday_Calendar_US),WORKDAY($A576,-1,config_Holiday_Calendar_US)),IF(ISNUMBER(_xll.BDH(config!$G$4,L$1,$A576,$A576)),_xll.BDH(config!$G$4,L$1,$A576,$A576),_xll.BDH(config!$G$5,L$1,$A576,$A576))))</f>
        <v/>
      </c>
      <c r="M576" s="8" t="str">
        <f>IF($A576="","",IF(ISNUMBER(FIND("IMPVOL",M$1)),_xll.BDH(config!$G$4,M$1,WORKDAY($A576,-1,config_Holiday_Calendar_US),WORKDAY($A576,-1,config_Holiday_Calendar_US)),IF(ISNUMBER(_xll.BDH(config!$G$4,M$1,$A576,$A576)),_xll.BDH(config!$G$4,M$1,$A576,$A576),_xll.BDH(config!$G$5,M$1,$A576,$A576))))</f>
        <v/>
      </c>
      <c r="N576" s="8" t="str">
        <f>IF($A576="","",IF(ISNUMBER(FIND("IMPVOL",N$1)),_xll.BDH(config!$G$4,N$1,WORKDAY($A576,-1,config_Holiday_Calendar_US),WORKDAY($A576,-1,config_Holiday_Calendar_US)),IF(ISNUMBER(_xll.BDH(config!$G$4,N$1,$A576,$A576)),_xll.BDH(config!$G$4,N$1,$A576,$A576),_xll.BDH(config!$G$5,N$1,$A576,$A576))))</f>
        <v/>
      </c>
      <c r="O576" s="8" t="str">
        <f>IF($A576="","",IF(ISNUMBER(FIND("IMPVOL",O$1)),_xll.BDH(config!$G$4,O$1,WORKDAY($A576,-1,config_Holiday_Calendar_US),WORKDAY($A576,-1,config_Holiday_Calendar_US)),IF(ISNUMBER(_xll.BDH(config!$G$4,O$1,$A576,$A576)),_xll.BDH(config!$G$4,O$1,$A576,$A576),_xll.BDH(config!$G$5,O$1,$A576,$A576))))</f>
        <v/>
      </c>
      <c r="P576" s="8" t="str">
        <f>IF($A576="","",IF(ISNUMBER(FIND("IMPVOL",P$1)),_xll.BDH(config!$G$4,P$1,WORKDAY($A576,-1,config_Holiday_Calendar_US),WORKDAY($A576,-1,config_Holiday_Calendar_US)),IF(ISNUMBER(_xll.BDH(config!$G$4,P$1,$A576,$A576)),_xll.BDH(config!$G$4,P$1,$A576,$A576),_xll.BDH(config!$G$5,P$1,$A576,$A576))))</f>
        <v/>
      </c>
      <c r="Q576" s="8" t="str">
        <f>IF($A576="","",IF(ISNUMBER(FIND("IMPVOL",Q$1)),_xll.BDH(config!$G$4,Q$1,WORKDAY($A576,-1,config_Holiday_Calendar_US),WORKDAY($A576,-1,config_Holiday_Calendar_US)),IF(ISNUMBER(_xll.BDH(config!$G$4,Q$1,$A576,$A576)),_xll.BDH(config!$G$4,Q$1,$A576,$A576),_xll.BDH(config!$G$5,Q$1,$A576,$A576))))</f>
        <v/>
      </c>
      <c r="R576" s="8" t="str">
        <f>IF($A576="","",IF(ISNUMBER(FIND("IMPVOL",R$1)),_xll.BDH(config!$G$4,R$1,WORKDAY($A576,-1,config_Holiday_Calendar_US),WORKDAY($A576,-1,config_Holiday_Calendar_US)),IF(ISNUMBER(_xll.BDH(config!$G$4,R$1,$A576,$A576)),_xll.BDH(config!$G$4,R$1,$A576,$A576),_xll.BDH(config!$G$5,R$1,$A576,$A576))))</f>
        <v/>
      </c>
      <c r="S576" s="8" t="str">
        <f>IF($A576="","",IF(ISNUMBER(FIND("IMPVOL",S$1)),_xll.BDH(config!$G$4,S$1,WORKDAY($A576,-1,config_Holiday_Calendar_US),WORKDAY($A576,-1,config_Holiday_Calendar_US)),IF(ISNUMBER(_xll.BDH(config!$G$4,S$1,$A576,$A576)),_xll.BDH(config!$G$4,S$1,$A576,$A576),_xll.BDH(config!$G$5,S$1,$A576,$A576))))</f>
        <v/>
      </c>
      <c r="T576" s="8" t="str">
        <f>IF($A576="","",IF(ISNUMBER(FIND("IMPVOL",T$1)),_xll.BDH(config!$G$4,T$1,WORKDAY($A576,-1,config_Holiday_Calendar_US),WORKDAY($A576,-1,config_Holiday_Calendar_US)),IF(ISNUMBER(_xll.BDH(config!$G$4,T$1,$A576,$A576)),_xll.BDH(config!$G$4,T$1,$A576,$A576),_xll.BDH(config!$G$5,T$1,$A576,$A576))))</f>
        <v/>
      </c>
      <c r="U576" s="8" t="str">
        <f>IF($A576="","",IF(ISNUMBER(FIND("IMPVOL",U$1)),_xll.BDH(config!$G$4,U$1,WORKDAY($A576,-1,config_Holiday_Calendar_US),WORKDAY($A576,-1,config_Holiday_Calendar_US)),IF(ISNUMBER(_xll.BDH(config!$G$4,U$1,$A576,$A576)),_xll.BDH(config!$G$4,U$1,$A576,$A576),_xll.BDH(config!$G$5,U$1,$A576,$A576))))</f>
        <v/>
      </c>
      <c r="V576" s="8" t="str">
        <f>IF($A576="","",IF(ISNUMBER(FIND("IMPVOL",V$1)),_xll.BDH(config!$G$4,V$1,WORKDAY($A576,-1,config_Holiday_Calendar_US),WORKDAY($A576,-1,config_Holiday_Calendar_US)),IF(ISNUMBER(_xll.BDH(config!$G$4,V$1,$A576,$A576)),_xll.BDH(config!$G$4,V$1,$A576,$A576),_xll.BDH(config!$G$5,V$1,$A576,$A576))))</f>
        <v/>
      </c>
      <c r="W576" s="8" t="str">
        <f>IF($A576="","",IF(ISNUMBER(FIND("IMPVOL",W$1)),_xll.BDH(config!$G$4,W$1,WORKDAY($A576,-1,config_Holiday_Calendar_US),WORKDAY($A576,-1,config_Holiday_Calendar_US)),IF(ISNUMBER(_xll.BDH(config!$G$4,W$1,$A576,$A576)),_xll.BDH(config!$G$4,W$1,$A576,$A576),_xll.BDH(config!$G$5,W$1,$A576,$A576))))</f>
        <v/>
      </c>
    </row>
    <row r="577" spans="1:23" x14ac:dyDescent="0.2">
      <c r="A577" s="9" t="str">
        <f>IF(A576="","",IF(WORKDAY(A576,-1,config_Holiday_Calendar_US)&lt;config!$I$10,"",WORKDAY(A576,-1,config_Holiday_Calendar_US)))</f>
        <v/>
      </c>
      <c r="B577" s="8" t="str">
        <f t="shared" si="8"/>
        <v/>
      </c>
      <c r="C577" s="8" t="str">
        <f>IF(A577="","",_xll.BDH(config!$H$4,C$1,$A577,$A577))</f>
        <v/>
      </c>
      <c r="D577" s="8" t="str">
        <f>IF($A577="","",_xll.BDH(config!$H$4,D$1,$A577,$A577))</f>
        <v/>
      </c>
      <c r="E577" s="8" t="str">
        <f>IF($A577="","",IF(ISNUMBER(FIND("IMPVOL",E$1)),_xll.BDH(config!$G$4,E$1,WORKDAY($A577,-1,config_Holiday_Calendar_US),WORKDAY($A577,-1,config_Holiday_Calendar_US)),IF(ISNUMBER(_xll.BDH(config!$G$4,E$1,$A577,$A577)),_xll.BDH(config!$G$4,E$1,$A577,$A577),_xll.BDH(config!$G$5,E$1,$A577,$A577))))</f>
        <v/>
      </c>
      <c r="F577" s="8" t="str">
        <f>IF($A577="","",IF(ISNUMBER(FIND("IMPVOL",F$1)),_xll.BDH(config!$G$4,F$1,WORKDAY($A577,-1,config_Holiday_Calendar_US),WORKDAY($A577,-1,config_Holiday_Calendar_US)),IF(ISNUMBER(_xll.BDH(config!$G$4,F$1,$A577,$A577)),_xll.BDH(config!$G$4,F$1,$A577,$A577),_xll.BDH(config!$G$5,F$1,$A577,$A577))))</f>
        <v/>
      </c>
      <c r="G577" s="8" t="str">
        <f>IF($A577="","",IF(ISNUMBER(FIND("IMPVOL",G$1)),_xll.BDH(config!$G$4,G$1,WORKDAY($A577,-1,config_Holiday_Calendar_US),WORKDAY($A577,-1,config_Holiday_Calendar_US)),IF(ISNUMBER(_xll.BDH(config!$G$4,G$1,$A577,$A577)),_xll.BDH(config!$G$4,G$1,$A577,$A577),_xll.BDH(config!$G$5,G$1,$A577,$A577))))</f>
        <v/>
      </c>
      <c r="H577" s="8" t="str">
        <f>IF($A577="","",IF(ISNUMBER(FIND("IMPVOL",H$1)),_xll.BDH(config!$G$4,H$1,WORKDAY($A577,-1,config_Holiday_Calendar_US),WORKDAY($A577,-1,config_Holiday_Calendar_US)),IF(ISNUMBER(_xll.BDH(config!$G$4,H$1,$A577,$A577)),_xll.BDH(config!$G$4,H$1,$A577,$A577),_xll.BDH(config!$G$5,H$1,$A577,$A577))))</f>
        <v/>
      </c>
      <c r="I577" s="8" t="str">
        <f>IF($A577="","",IF(ISNUMBER(FIND("IMPVOL",I$1)),_xll.BDH(config!$G$4,I$1,WORKDAY($A577,-1,config_Holiday_Calendar_US),WORKDAY($A577,-1,config_Holiday_Calendar_US)),IF(ISNUMBER(_xll.BDH(config!$G$4,I$1,$A577,$A577)),_xll.BDH(config!$G$4,I$1,$A577,$A577),_xll.BDH(config!$G$5,I$1,$A577,$A577))))</f>
        <v/>
      </c>
      <c r="J577" s="8" t="str">
        <f>IF($A577="","",IF(ISNUMBER(FIND("IMPVOL",J$1)),_xll.BDH(config!$G$4,J$1,WORKDAY($A577,-1,config_Holiday_Calendar_US),WORKDAY($A577,-1,config_Holiday_Calendar_US)),IF(ISNUMBER(_xll.BDH(config!$G$4,J$1,$A577,$A577)),_xll.BDH(config!$G$4,J$1,$A577,$A577),_xll.BDH(config!$G$5,J$1,$A577,$A577))))</f>
        <v/>
      </c>
      <c r="K577" s="8" t="str">
        <f>IF($A577="","",IF(ISNUMBER(FIND("IMPVOL",K$1)),_xll.BDH(config!$G$4,K$1,WORKDAY($A577,-1,config_Holiday_Calendar_US),WORKDAY($A577,-1,config_Holiday_Calendar_US)),IF(ISNUMBER(_xll.BDH(config!$G$4,K$1,$A577,$A577)),_xll.BDH(config!$G$4,K$1,$A577,$A577),_xll.BDH(config!$G$5,K$1,$A577,$A577))))</f>
        <v/>
      </c>
      <c r="L577" s="8" t="str">
        <f>IF($A577="","",IF(ISNUMBER(FIND("IMPVOL",L$1)),_xll.BDH(config!$G$4,L$1,WORKDAY($A577,-1,config_Holiday_Calendar_US),WORKDAY($A577,-1,config_Holiday_Calendar_US)),IF(ISNUMBER(_xll.BDH(config!$G$4,L$1,$A577,$A577)),_xll.BDH(config!$G$4,L$1,$A577,$A577),_xll.BDH(config!$G$5,L$1,$A577,$A577))))</f>
        <v/>
      </c>
      <c r="M577" s="8" t="str">
        <f>IF($A577="","",IF(ISNUMBER(FIND("IMPVOL",M$1)),_xll.BDH(config!$G$4,M$1,WORKDAY($A577,-1,config_Holiday_Calendar_US),WORKDAY($A577,-1,config_Holiday_Calendar_US)),IF(ISNUMBER(_xll.BDH(config!$G$4,M$1,$A577,$A577)),_xll.BDH(config!$G$4,M$1,$A577,$A577),_xll.BDH(config!$G$5,M$1,$A577,$A577))))</f>
        <v/>
      </c>
      <c r="N577" s="8" t="str">
        <f>IF($A577="","",IF(ISNUMBER(FIND("IMPVOL",N$1)),_xll.BDH(config!$G$4,N$1,WORKDAY($A577,-1,config_Holiday_Calendar_US),WORKDAY($A577,-1,config_Holiday_Calendar_US)),IF(ISNUMBER(_xll.BDH(config!$G$4,N$1,$A577,$A577)),_xll.BDH(config!$G$4,N$1,$A577,$A577),_xll.BDH(config!$G$5,N$1,$A577,$A577))))</f>
        <v/>
      </c>
      <c r="O577" s="8" t="str">
        <f>IF($A577="","",IF(ISNUMBER(FIND("IMPVOL",O$1)),_xll.BDH(config!$G$4,O$1,WORKDAY($A577,-1,config_Holiday_Calendar_US),WORKDAY($A577,-1,config_Holiday_Calendar_US)),IF(ISNUMBER(_xll.BDH(config!$G$4,O$1,$A577,$A577)),_xll.BDH(config!$G$4,O$1,$A577,$A577),_xll.BDH(config!$G$5,O$1,$A577,$A577))))</f>
        <v/>
      </c>
      <c r="P577" s="8" t="str">
        <f>IF($A577="","",IF(ISNUMBER(FIND("IMPVOL",P$1)),_xll.BDH(config!$G$4,P$1,WORKDAY($A577,-1,config_Holiday_Calendar_US),WORKDAY($A577,-1,config_Holiday_Calendar_US)),IF(ISNUMBER(_xll.BDH(config!$G$4,P$1,$A577,$A577)),_xll.BDH(config!$G$4,P$1,$A577,$A577),_xll.BDH(config!$G$5,P$1,$A577,$A577))))</f>
        <v/>
      </c>
      <c r="Q577" s="8" t="str">
        <f>IF($A577="","",IF(ISNUMBER(FIND("IMPVOL",Q$1)),_xll.BDH(config!$G$4,Q$1,WORKDAY($A577,-1,config_Holiday_Calendar_US),WORKDAY($A577,-1,config_Holiday_Calendar_US)),IF(ISNUMBER(_xll.BDH(config!$G$4,Q$1,$A577,$A577)),_xll.BDH(config!$G$4,Q$1,$A577,$A577),_xll.BDH(config!$G$5,Q$1,$A577,$A577))))</f>
        <v/>
      </c>
      <c r="R577" s="8" t="str">
        <f>IF($A577="","",IF(ISNUMBER(FIND("IMPVOL",R$1)),_xll.BDH(config!$G$4,R$1,WORKDAY($A577,-1,config_Holiday_Calendar_US),WORKDAY($A577,-1,config_Holiday_Calendar_US)),IF(ISNUMBER(_xll.BDH(config!$G$4,R$1,$A577,$A577)),_xll.BDH(config!$G$4,R$1,$A577,$A577),_xll.BDH(config!$G$5,R$1,$A577,$A577))))</f>
        <v/>
      </c>
      <c r="S577" s="8" t="str">
        <f>IF($A577="","",IF(ISNUMBER(FIND("IMPVOL",S$1)),_xll.BDH(config!$G$4,S$1,WORKDAY($A577,-1,config_Holiday_Calendar_US),WORKDAY($A577,-1,config_Holiday_Calendar_US)),IF(ISNUMBER(_xll.BDH(config!$G$4,S$1,$A577,$A577)),_xll.BDH(config!$G$4,S$1,$A577,$A577),_xll.BDH(config!$G$5,S$1,$A577,$A577))))</f>
        <v/>
      </c>
      <c r="T577" s="8" t="str">
        <f>IF($A577="","",IF(ISNUMBER(FIND("IMPVOL",T$1)),_xll.BDH(config!$G$4,T$1,WORKDAY($A577,-1,config_Holiday_Calendar_US),WORKDAY($A577,-1,config_Holiday_Calendar_US)),IF(ISNUMBER(_xll.BDH(config!$G$4,T$1,$A577,$A577)),_xll.BDH(config!$G$4,T$1,$A577,$A577),_xll.BDH(config!$G$5,T$1,$A577,$A577))))</f>
        <v/>
      </c>
      <c r="U577" s="8" t="str">
        <f>IF($A577="","",IF(ISNUMBER(FIND("IMPVOL",U$1)),_xll.BDH(config!$G$4,U$1,WORKDAY($A577,-1,config_Holiday_Calendar_US),WORKDAY($A577,-1,config_Holiday_Calendar_US)),IF(ISNUMBER(_xll.BDH(config!$G$4,U$1,$A577,$A577)),_xll.BDH(config!$G$4,U$1,$A577,$A577),_xll.BDH(config!$G$5,U$1,$A577,$A577))))</f>
        <v/>
      </c>
      <c r="V577" s="8" t="str">
        <f>IF($A577="","",IF(ISNUMBER(FIND("IMPVOL",V$1)),_xll.BDH(config!$G$4,V$1,WORKDAY($A577,-1,config_Holiday_Calendar_US),WORKDAY($A577,-1,config_Holiday_Calendar_US)),IF(ISNUMBER(_xll.BDH(config!$G$4,V$1,$A577,$A577)),_xll.BDH(config!$G$4,V$1,$A577,$A577),_xll.BDH(config!$G$5,V$1,$A577,$A577))))</f>
        <v/>
      </c>
      <c r="W577" s="8" t="str">
        <f>IF($A577="","",IF(ISNUMBER(FIND("IMPVOL",W$1)),_xll.BDH(config!$G$4,W$1,WORKDAY($A577,-1,config_Holiday_Calendar_US),WORKDAY($A577,-1,config_Holiday_Calendar_US)),IF(ISNUMBER(_xll.BDH(config!$G$4,W$1,$A577,$A577)),_xll.BDH(config!$G$4,W$1,$A577,$A577),_xll.BDH(config!$G$5,W$1,$A577,$A577))))</f>
        <v/>
      </c>
    </row>
    <row r="578" spans="1:23" x14ac:dyDescent="0.2">
      <c r="A578" s="9" t="str">
        <f>IF(A577="","",IF(WORKDAY(A577,-1,config_Holiday_Calendar_US)&lt;config!$I$10,"",WORKDAY(A577,-1,config_Holiday_Calendar_US)))</f>
        <v/>
      </c>
      <c r="B578" s="8" t="str">
        <f t="shared" si="8"/>
        <v/>
      </c>
      <c r="C578" s="8" t="str">
        <f>IF(A578="","",_xll.BDH(config!$H$4,C$1,$A578,$A578))</f>
        <v/>
      </c>
      <c r="D578" s="8" t="str">
        <f>IF($A578="","",_xll.BDH(config!$H$4,D$1,$A578,$A578))</f>
        <v/>
      </c>
      <c r="E578" s="8" t="str">
        <f>IF($A578="","",IF(ISNUMBER(FIND("IMPVOL",E$1)),_xll.BDH(config!$G$4,E$1,WORKDAY($A578,-1,config_Holiday_Calendar_US),WORKDAY($A578,-1,config_Holiday_Calendar_US)),IF(ISNUMBER(_xll.BDH(config!$G$4,E$1,$A578,$A578)),_xll.BDH(config!$G$4,E$1,$A578,$A578),_xll.BDH(config!$G$5,E$1,$A578,$A578))))</f>
        <v/>
      </c>
      <c r="F578" s="8" t="str">
        <f>IF($A578="","",IF(ISNUMBER(FIND("IMPVOL",F$1)),_xll.BDH(config!$G$4,F$1,WORKDAY($A578,-1,config_Holiday_Calendar_US),WORKDAY($A578,-1,config_Holiday_Calendar_US)),IF(ISNUMBER(_xll.BDH(config!$G$4,F$1,$A578,$A578)),_xll.BDH(config!$G$4,F$1,$A578,$A578),_xll.BDH(config!$G$5,F$1,$A578,$A578))))</f>
        <v/>
      </c>
      <c r="G578" s="8" t="str">
        <f>IF($A578="","",IF(ISNUMBER(FIND("IMPVOL",G$1)),_xll.BDH(config!$G$4,G$1,WORKDAY($A578,-1,config_Holiday_Calendar_US),WORKDAY($A578,-1,config_Holiday_Calendar_US)),IF(ISNUMBER(_xll.BDH(config!$G$4,G$1,$A578,$A578)),_xll.BDH(config!$G$4,G$1,$A578,$A578),_xll.BDH(config!$G$5,G$1,$A578,$A578))))</f>
        <v/>
      </c>
      <c r="H578" s="8" t="str">
        <f>IF($A578="","",IF(ISNUMBER(FIND("IMPVOL",H$1)),_xll.BDH(config!$G$4,H$1,WORKDAY($A578,-1,config_Holiday_Calendar_US),WORKDAY($A578,-1,config_Holiday_Calendar_US)),IF(ISNUMBER(_xll.BDH(config!$G$4,H$1,$A578,$A578)),_xll.BDH(config!$G$4,H$1,$A578,$A578),_xll.BDH(config!$G$5,H$1,$A578,$A578))))</f>
        <v/>
      </c>
      <c r="I578" s="8" t="str">
        <f>IF($A578="","",IF(ISNUMBER(FIND("IMPVOL",I$1)),_xll.BDH(config!$G$4,I$1,WORKDAY($A578,-1,config_Holiday_Calendar_US),WORKDAY($A578,-1,config_Holiday_Calendar_US)),IF(ISNUMBER(_xll.BDH(config!$G$4,I$1,$A578,$A578)),_xll.BDH(config!$G$4,I$1,$A578,$A578),_xll.BDH(config!$G$5,I$1,$A578,$A578))))</f>
        <v/>
      </c>
      <c r="J578" s="8" t="str">
        <f>IF($A578="","",IF(ISNUMBER(FIND("IMPVOL",J$1)),_xll.BDH(config!$G$4,J$1,WORKDAY($A578,-1,config_Holiday_Calendar_US),WORKDAY($A578,-1,config_Holiday_Calendar_US)),IF(ISNUMBER(_xll.BDH(config!$G$4,J$1,$A578,$A578)),_xll.BDH(config!$G$4,J$1,$A578,$A578),_xll.BDH(config!$G$5,J$1,$A578,$A578))))</f>
        <v/>
      </c>
      <c r="K578" s="8" t="str">
        <f>IF($A578="","",IF(ISNUMBER(FIND("IMPVOL",K$1)),_xll.BDH(config!$G$4,K$1,WORKDAY($A578,-1,config_Holiday_Calendar_US),WORKDAY($A578,-1,config_Holiday_Calendar_US)),IF(ISNUMBER(_xll.BDH(config!$G$4,K$1,$A578,$A578)),_xll.BDH(config!$G$4,K$1,$A578,$A578),_xll.BDH(config!$G$5,K$1,$A578,$A578))))</f>
        <v/>
      </c>
      <c r="L578" s="8" t="str">
        <f>IF($A578="","",IF(ISNUMBER(FIND("IMPVOL",L$1)),_xll.BDH(config!$G$4,L$1,WORKDAY($A578,-1,config_Holiday_Calendar_US),WORKDAY($A578,-1,config_Holiday_Calendar_US)),IF(ISNUMBER(_xll.BDH(config!$G$4,L$1,$A578,$A578)),_xll.BDH(config!$G$4,L$1,$A578,$A578),_xll.BDH(config!$G$5,L$1,$A578,$A578))))</f>
        <v/>
      </c>
      <c r="M578" s="8" t="str">
        <f>IF($A578="","",IF(ISNUMBER(FIND("IMPVOL",M$1)),_xll.BDH(config!$G$4,M$1,WORKDAY($A578,-1,config_Holiday_Calendar_US),WORKDAY($A578,-1,config_Holiday_Calendar_US)),IF(ISNUMBER(_xll.BDH(config!$G$4,M$1,$A578,$A578)),_xll.BDH(config!$G$4,M$1,$A578,$A578),_xll.BDH(config!$G$5,M$1,$A578,$A578))))</f>
        <v/>
      </c>
      <c r="N578" s="8" t="str">
        <f>IF($A578="","",IF(ISNUMBER(FIND("IMPVOL",N$1)),_xll.BDH(config!$G$4,N$1,WORKDAY($A578,-1,config_Holiday_Calendar_US),WORKDAY($A578,-1,config_Holiday_Calendar_US)),IF(ISNUMBER(_xll.BDH(config!$G$4,N$1,$A578,$A578)),_xll.BDH(config!$G$4,N$1,$A578,$A578),_xll.BDH(config!$G$5,N$1,$A578,$A578))))</f>
        <v/>
      </c>
      <c r="O578" s="8" t="str">
        <f>IF($A578="","",IF(ISNUMBER(FIND("IMPVOL",O$1)),_xll.BDH(config!$G$4,O$1,WORKDAY($A578,-1,config_Holiday_Calendar_US),WORKDAY($A578,-1,config_Holiday_Calendar_US)),IF(ISNUMBER(_xll.BDH(config!$G$4,O$1,$A578,$A578)),_xll.BDH(config!$G$4,O$1,$A578,$A578),_xll.BDH(config!$G$5,O$1,$A578,$A578))))</f>
        <v/>
      </c>
      <c r="P578" s="8" t="str">
        <f>IF($A578="","",IF(ISNUMBER(FIND("IMPVOL",P$1)),_xll.BDH(config!$G$4,P$1,WORKDAY($A578,-1,config_Holiday_Calendar_US),WORKDAY($A578,-1,config_Holiday_Calendar_US)),IF(ISNUMBER(_xll.BDH(config!$G$4,P$1,$A578,$A578)),_xll.BDH(config!$G$4,P$1,$A578,$A578),_xll.BDH(config!$G$5,P$1,$A578,$A578))))</f>
        <v/>
      </c>
      <c r="Q578" s="8" t="str">
        <f>IF($A578="","",IF(ISNUMBER(FIND("IMPVOL",Q$1)),_xll.BDH(config!$G$4,Q$1,WORKDAY($A578,-1,config_Holiday_Calendar_US),WORKDAY($A578,-1,config_Holiday_Calendar_US)),IF(ISNUMBER(_xll.BDH(config!$G$4,Q$1,$A578,$A578)),_xll.BDH(config!$G$4,Q$1,$A578,$A578),_xll.BDH(config!$G$5,Q$1,$A578,$A578))))</f>
        <v/>
      </c>
      <c r="R578" s="8" t="str">
        <f>IF($A578="","",IF(ISNUMBER(FIND("IMPVOL",R$1)),_xll.BDH(config!$G$4,R$1,WORKDAY($A578,-1,config_Holiday_Calendar_US),WORKDAY($A578,-1,config_Holiday_Calendar_US)),IF(ISNUMBER(_xll.BDH(config!$G$4,R$1,$A578,$A578)),_xll.BDH(config!$G$4,R$1,$A578,$A578),_xll.BDH(config!$G$5,R$1,$A578,$A578))))</f>
        <v/>
      </c>
      <c r="S578" s="8" t="str">
        <f>IF($A578="","",IF(ISNUMBER(FIND("IMPVOL",S$1)),_xll.BDH(config!$G$4,S$1,WORKDAY($A578,-1,config_Holiday_Calendar_US),WORKDAY($A578,-1,config_Holiday_Calendar_US)),IF(ISNUMBER(_xll.BDH(config!$G$4,S$1,$A578,$A578)),_xll.BDH(config!$G$4,S$1,$A578,$A578),_xll.BDH(config!$G$5,S$1,$A578,$A578))))</f>
        <v/>
      </c>
      <c r="T578" s="8" t="str">
        <f>IF($A578="","",IF(ISNUMBER(FIND("IMPVOL",T$1)),_xll.BDH(config!$G$4,T$1,WORKDAY($A578,-1,config_Holiday_Calendar_US),WORKDAY($A578,-1,config_Holiday_Calendar_US)),IF(ISNUMBER(_xll.BDH(config!$G$4,T$1,$A578,$A578)),_xll.BDH(config!$G$4,T$1,$A578,$A578),_xll.BDH(config!$G$5,T$1,$A578,$A578))))</f>
        <v/>
      </c>
      <c r="U578" s="8" t="str">
        <f>IF($A578="","",IF(ISNUMBER(FIND("IMPVOL",U$1)),_xll.BDH(config!$G$4,U$1,WORKDAY($A578,-1,config_Holiday_Calendar_US),WORKDAY($A578,-1,config_Holiday_Calendar_US)),IF(ISNUMBER(_xll.BDH(config!$G$4,U$1,$A578,$A578)),_xll.BDH(config!$G$4,U$1,$A578,$A578),_xll.BDH(config!$G$5,U$1,$A578,$A578))))</f>
        <v/>
      </c>
      <c r="V578" s="8" t="str">
        <f>IF($A578="","",IF(ISNUMBER(FIND("IMPVOL",V$1)),_xll.BDH(config!$G$4,V$1,WORKDAY($A578,-1,config_Holiday_Calendar_US),WORKDAY($A578,-1,config_Holiday_Calendar_US)),IF(ISNUMBER(_xll.BDH(config!$G$4,V$1,$A578,$A578)),_xll.BDH(config!$G$4,V$1,$A578,$A578),_xll.BDH(config!$G$5,V$1,$A578,$A578))))</f>
        <v/>
      </c>
      <c r="W578" s="8" t="str">
        <f>IF($A578="","",IF(ISNUMBER(FIND("IMPVOL",W$1)),_xll.BDH(config!$G$4,W$1,WORKDAY($A578,-1,config_Holiday_Calendar_US),WORKDAY($A578,-1,config_Holiday_Calendar_US)),IF(ISNUMBER(_xll.BDH(config!$G$4,W$1,$A578,$A578)),_xll.BDH(config!$G$4,W$1,$A578,$A578),_xll.BDH(config!$G$5,W$1,$A578,$A578))))</f>
        <v/>
      </c>
    </row>
    <row r="579" spans="1:23" x14ac:dyDescent="0.2">
      <c r="A579" s="9" t="str">
        <f>IF(A578="","",IF(WORKDAY(A578,-1,config_Holiday_Calendar_US)&lt;config!$I$10,"",WORKDAY(A578,-1,config_Holiday_Calendar_US)))</f>
        <v/>
      </c>
      <c r="B579" s="8" t="str">
        <f t="shared" ref="B579:B642" si="9">IF(A579="","",IF(SIGN(C579)=1,1,0))</f>
        <v/>
      </c>
      <c r="C579" s="8" t="str">
        <f>IF(A579="","",_xll.BDH(config!$H$4,C$1,$A579,$A579))</f>
        <v/>
      </c>
      <c r="D579" s="8" t="str">
        <f>IF($A579="","",_xll.BDH(config!$H$4,D$1,$A579,$A579))</f>
        <v/>
      </c>
      <c r="E579" s="8" t="str">
        <f>IF($A579="","",IF(ISNUMBER(FIND("IMPVOL",E$1)),_xll.BDH(config!$G$4,E$1,WORKDAY($A579,-1,config_Holiday_Calendar_US),WORKDAY($A579,-1,config_Holiday_Calendar_US)),IF(ISNUMBER(_xll.BDH(config!$G$4,E$1,$A579,$A579)),_xll.BDH(config!$G$4,E$1,$A579,$A579),_xll.BDH(config!$G$5,E$1,$A579,$A579))))</f>
        <v/>
      </c>
      <c r="F579" s="8" t="str">
        <f>IF($A579="","",IF(ISNUMBER(FIND("IMPVOL",F$1)),_xll.BDH(config!$G$4,F$1,WORKDAY($A579,-1,config_Holiday_Calendar_US),WORKDAY($A579,-1,config_Holiday_Calendar_US)),IF(ISNUMBER(_xll.BDH(config!$G$4,F$1,$A579,$A579)),_xll.BDH(config!$G$4,F$1,$A579,$A579),_xll.BDH(config!$G$5,F$1,$A579,$A579))))</f>
        <v/>
      </c>
      <c r="G579" s="8" t="str">
        <f>IF($A579="","",IF(ISNUMBER(FIND("IMPVOL",G$1)),_xll.BDH(config!$G$4,G$1,WORKDAY($A579,-1,config_Holiday_Calendar_US),WORKDAY($A579,-1,config_Holiday_Calendar_US)),IF(ISNUMBER(_xll.BDH(config!$G$4,G$1,$A579,$A579)),_xll.BDH(config!$G$4,G$1,$A579,$A579),_xll.BDH(config!$G$5,G$1,$A579,$A579))))</f>
        <v/>
      </c>
      <c r="H579" s="8" t="str">
        <f>IF($A579="","",IF(ISNUMBER(FIND("IMPVOL",H$1)),_xll.BDH(config!$G$4,H$1,WORKDAY($A579,-1,config_Holiday_Calendar_US),WORKDAY($A579,-1,config_Holiday_Calendar_US)),IF(ISNUMBER(_xll.BDH(config!$G$4,H$1,$A579,$A579)),_xll.BDH(config!$G$4,H$1,$A579,$A579),_xll.BDH(config!$G$5,H$1,$A579,$A579))))</f>
        <v/>
      </c>
      <c r="I579" s="8" t="str">
        <f>IF($A579="","",IF(ISNUMBER(FIND("IMPVOL",I$1)),_xll.BDH(config!$G$4,I$1,WORKDAY($A579,-1,config_Holiday_Calendar_US),WORKDAY($A579,-1,config_Holiday_Calendar_US)),IF(ISNUMBER(_xll.BDH(config!$G$4,I$1,$A579,$A579)),_xll.BDH(config!$G$4,I$1,$A579,$A579),_xll.BDH(config!$G$5,I$1,$A579,$A579))))</f>
        <v/>
      </c>
      <c r="J579" s="8" t="str">
        <f>IF($A579="","",IF(ISNUMBER(FIND("IMPVOL",J$1)),_xll.BDH(config!$G$4,J$1,WORKDAY($A579,-1,config_Holiday_Calendar_US),WORKDAY($A579,-1,config_Holiday_Calendar_US)),IF(ISNUMBER(_xll.BDH(config!$G$4,J$1,$A579,$A579)),_xll.BDH(config!$G$4,J$1,$A579,$A579),_xll.BDH(config!$G$5,J$1,$A579,$A579))))</f>
        <v/>
      </c>
      <c r="K579" s="8" t="str">
        <f>IF($A579="","",IF(ISNUMBER(FIND("IMPVOL",K$1)),_xll.BDH(config!$G$4,K$1,WORKDAY($A579,-1,config_Holiday_Calendar_US),WORKDAY($A579,-1,config_Holiday_Calendar_US)),IF(ISNUMBER(_xll.BDH(config!$G$4,K$1,$A579,$A579)),_xll.BDH(config!$G$4,K$1,$A579,$A579),_xll.BDH(config!$G$5,K$1,$A579,$A579))))</f>
        <v/>
      </c>
      <c r="L579" s="8" t="str">
        <f>IF($A579="","",IF(ISNUMBER(FIND("IMPVOL",L$1)),_xll.BDH(config!$G$4,L$1,WORKDAY($A579,-1,config_Holiday_Calendar_US),WORKDAY($A579,-1,config_Holiday_Calendar_US)),IF(ISNUMBER(_xll.BDH(config!$G$4,L$1,$A579,$A579)),_xll.BDH(config!$G$4,L$1,$A579,$A579),_xll.BDH(config!$G$5,L$1,$A579,$A579))))</f>
        <v/>
      </c>
      <c r="M579" s="8" t="str">
        <f>IF($A579="","",IF(ISNUMBER(FIND("IMPVOL",M$1)),_xll.BDH(config!$G$4,M$1,WORKDAY($A579,-1,config_Holiday_Calendar_US),WORKDAY($A579,-1,config_Holiday_Calendar_US)),IF(ISNUMBER(_xll.BDH(config!$G$4,M$1,$A579,$A579)),_xll.BDH(config!$G$4,M$1,$A579,$A579),_xll.BDH(config!$G$5,M$1,$A579,$A579))))</f>
        <v/>
      </c>
      <c r="N579" s="8" t="str">
        <f>IF($A579="","",IF(ISNUMBER(FIND("IMPVOL",N$1)),_xll.BDH(config!$G$4,N$1,WORKDAY($A579,-1,config_Holiday_Calendar_US),WORKDAY($A579,-1,config_Holiday_Calendar_US)),IF(ISNUMBER(_xll.BDH(config!$G$4,N$1,$A579,$A579)),_xll.BDH(config!$G$4,N$1,$A579,$A579),_xll.BDH(config!$G$5,N$1,$A579,$A579))))</f>
        <v/>
      </c>
      <c r="O579" s="8" t="str">
        <f>IF($A579="","",IF(ISNUMBER(FIND("IMPVOL",O$1)),_xll.BDH(config!$G$4,O$1,WORKDAY($A579,-1,config_Holiday_Calendar_US),WORKDAY($A579,-1,config_Holiday_Calendar_US)),IF(ISNUMBER(_xll.BDH(config!$G$4,O$1,$A579,$A579)),_xll.BDH(config!$G$4,O$1,$A579,$A579),_xll.BDH(config!$G$5,O$1,$A579,$A579))))</f>
        <v/>
      </c>
      <c r="P579" s="8" t="str">
        <f>IF($A579="","",IF(ISNUMBER(FIND("IMPVOL",P$1)),_xll.BDH(config!$G$4,P$1,WORKDAY($A579,-1,config_Holiday_Calendar_US),WORKDAY($A579,-1,config_Holiday_Calendar_US)),IF(ISNUMBER(_xll.BDH(config!$G$4,P$1,$A579,$A579)),_xll.BDH(config!$G$4,P$1,$A579,$A579),_xll.BDH(config!$G$5,P$1,$A579,$A579))))</f>
        <v/>
      </c>
      <c r="Q579" s="8" t="str">
        <f>IF($A579="","",IF(ISNUMBER(FIND("IMPVOL",Q$1)),_xll.BDH(config!$G$4,Q$1,WORKDAY($A579,-1,config_Holiday_Calendar_US),WORKDAY($A579,-1,config_Holiday_Calendar_US)),IF(ISNUMBER(_xll.BDH(config!$G$4,Q$1,$A579,$A579)),_xll.BDH(config!$G$4,Q$1,$A579,$A579),_xll.BDH(config!$G$5,Q$1,$A579,$A579))))</f>
        <v/>
      </c>
      <c r="R579" s="8" t="str">
        <f>IF($A579="","",IF(ISNUMBER(FIND("IMPVOL",R$1)),_xll.BDH(config!$G$4,R$1,WORKDAY($A579,-1,config_Holiday_Calendar_US),WORKDAY($A579,-1,config_Holiday_Calendar_US)),IF(ISNUMBER(_xll.BDH(config!$G$4,R$1,$A579,$A579)),_xll.BDH(config!$G$4,R$1,$A579,$A579),_xll.BDH(config!$G$5,R$1,$A579,$A579))))</f>
        <v/>
      </c>
      <c r="S579" s="8" t="str">
        <f>IF($A579="","",IF(ISNUMBER(FIND("IMPVOL",S$1)),_xll.BDH(config!$G$4,S$1,WORKDAY($A579,-1,config_Holiday_Calendar_US),WORKDAY($A579,-1,config_Holiday_Calendar_US)),IF(ISNUMBER(_xll.BDH(config!$G$4,S$1,$A579,$A579)),_xll.BDH(config!$G$4,S$1,$A579,$A579),_xll.BDH(config!$G$5,S$1,$A579,$A579))))</f>
        <v/>
      </c>
      <c r="T579" s="8" t="str">
        <f>IF($A579="","",IF(ISNUMBER(FIND("IMPVOL",T$1)),_xll.BDH(config!$G$4,T$1,WORKDAY($A579,-1,config_Holiday_Calendar_US),WORKDAY($A579,-1,config_Holiday_Calendar_US)),IF(ISNUMBER(_xll.BDH(config!$G$4,T$1,$A579,$A579)),_xll.BDH(config!$G$4,T$1,$A579,$A579),_xll.BDH(config!$G$5,T$1,$A579,$A579))))</f>
        <v/>
      </c>
      <c r="U579" s="8" t="str">
        <f>IF($A579="","",IF(ISNUMBER(FIND("IMPVOL",U$1)),_xll.BDH(config!$G$4,U$1,WORKDAY($A579,-1,config_Holiday_Calendar_US),WORKDAY($A579,-1,config_Holiday_Calendar_US)),IF(ISNUMBER(_xll.BDH(config!$G$4,U$1,$A579,$A579)),_xll.BDH(config!$G$4,U$1,$A579,$A579),_xll.BDH(config!$G$5,U$1,$A579,$A579))))</f>
        <v/>
      </c>
      <c r="V579" s="8" t="str">
        <f>IF($A579="","",IF(ISNUMBER(FIND("IMPVOL",V$1)),_xll.BDH(config!$G$4,V$1,WORKDAY($A579,-1,config_Holiday_Calendar_US),WORKDAY($A579,-1,config_Holiday_Calendar_US)),IF(ISNUMBER(_xll.BDH(config!$G$4,V$1,$A579,$A579)),_xll.BDH(config!$G$4,V$1,$A579,$A579),_xll.BDH(config!$G$5,V$1,$A579,$A579))))</f>
        <v/>
      </c>
      <c r="W579" s="8" t="str">
        <f>IF($A579="","",IF(ISNUMBER(FIND("IMPVOL",W$1)),_xll.BDH(config!$G$4,W$1,WORKDAY($A579,-1,config_Holiday_Calendar_US),WORKDAY($A579,-1,config_Holiday_Calendar_US)),IF(ISNUMBER(_xll.BDH(config!$G$4,W$1,$A579,$A579)),_xll.BDH(config!$G$4,W$1,$A579,$A579),_xll.BDH(config!$G$5,W$1,$A579,$A579))))</f>
        <v/>
      </c>
    </row>
    <row r="580" spans="1:23" x14ac:dyDescent="0.2">
      <c r="A580" s="9" t="str">
        <f>IF(A579="","",IF(WORKDAY(A579,-1,config_Holiday_Calendar_US)&lt;config!$I$10,"",WORKDAY(A579,-1,config_Holiday_Calendar_US)))</f>
        <v/>
      </c>
      <c r="B580" s="8" t="str">
        <f t="shared" si="9"/>
        <v/>
      </c>
      <c r="C580" s="8" t="str">
        <f>IF(A580="","",_xll.BDH(config!$H$4,C$1,$A580,$A580))</f>
        <v/>
      </c>
      <c r="D580" s="8" t="str">
        <f>IF($A580="","",_xll.BDH(config!$H$4,D$1,$A580,$A580))</f>
        <v/>
      </c>
      <c r="E580" s="8" t="str">
        <f>IF($A580="","",IF(ISNUMBER(FIND("IMPVOL",E$1)),_xll.BDH(config!$G$4,E$1,WORKDAY($A580,-1,config_Holiday_Calendar_US),WORKDAY($A580,-1,config_Holiday_Calendar_US)),IF(ISNUMBER(_xll.BDH(config!$G$4,E$1,$A580,$A580)),_xll.BDH(config!$G$4,E$1,$A580,$A580),_xll.BDH(config!$G$5,E$1,$A580,$A580))))</f>
        <v/>
      </c>
      <c r="F580" s="8" t="str">
        <f>IF($A580="","",IF(ISNUMBER(FIND("IMPVOL",F$1)),_xll.BDH(config!$G$4,F$1,WORKDAY($A580,-1,config_Holiday_Calendar_US),WORKDAY($A580,-1,config_Holiday_Calendar_US)),IF(ISNUMBER(_xll.BDH(config!$G$4,F$1,$A580,$A580)),_xll.BDH(config!$G$4,F$1,$A580,$A580),_xll.BDH(config!$G$5,F$1,$A580,$A580))))</f>
        <v/>
      </c>
      <c r="G580" s="8" t="str">
        <f>IF($A580="","",IF(ISNUMBER(FIND("IMPVOL",G$1)),_xll.BDH(config!$G$4,G$1,WORKDAY($A580,-1,config_Holiday_Calendar_US),WORKDAY($A580,-1,config_Holiday_Calendar_US)),IF(ISNUMBER(_xll.BDH(config!$G$4,G$1,$A580,$A580)),_xll.BDH(config!$G$4,G$1,$A580,$A580),_xll.BDH(config!$G$5,G$1,$A580,$A580))))</f>
        <v/>
      </c>
      <c r="H580" s="8" t="str">
        <f>IF($A580="","",IF(ISNUMBER(FIND("IMPVOL",H$1)),_xll.BDH(config!$G$4,H$1,WORKDAY($A580,-1,config_Holiday_Calendar_US),WORKDAY($A580,-1,config_Holiday_Calendar_US)),IF(ISNUMBER(_xll.BDH(config!$G$4,H$1,$A580,$A580)),_xll.BDH(config!$G$4,H$1,$A580,$A580),_xll.BDH(config!$G$5,H$1,$A580,$A580))))</f>
        <v/>
      </c>
      <c r="I580" s="8" t="str">
        <f>IF($A580="","",IF(ISNUMBER(FIND("IMPVOL",I$1)),_xll.BDH(config!$G$4,I$1,WORKDAY($A580,-1,config_Holiday_Calendar_US),WORKDAY($A580,-1,config_Holiday_Calendar_US)),IF(ISNUMBER(_xll.BDH(config!$G$4,I$1,$A580,$A580)),_xll.BDH(config!$G$4,I$1,$A580,$A580),_xll.BDH(config!$G$5,I$1,$A580,$A580))))</f>
        <v/>
      </c>
      <c r="J580" s="8" t="str">
        <f>IF($A580="","",IF(ISNUMBER(FIND("IMPVOL",J$1)),_xll.BDH(config!$G$4,J$1,WORKDAY($A580,-1,config_Holiday_Calendar_US),WORKDAY($A580,-1,config_Holiday_Calendar_US)),IF(ISNUMBER(_xll.BDH(config!$G$4,J$1,$A580,$A580)),_xll.BDH(config!$G$4,J$1,$A580,$A580),_xll.BDH(config!$G$5,J$1,$A580,$A580))))</f>
        <v/>
      </c>
      <c r="K580" s="8" t="str">
        <f>IF($A580="","",IF(ISNUMBER(FIND("IMPVOL",K$1)),_xll.BDH(config!$G$4,K$1,WORKDAY($A580,-1,config_Holiday_Calendar_US),WORKDAY($A580,-1,config_Holiday_Calendar_US)),IF(ISNUMBER(_xll.BDH(config!$G$4,K$1,$A580,$A580)),_xll.BDH(config!$G$4,K$1,$A580,$A580),_xll.BDH(config!$G$5,K$1,$A580,$A580))))</f>
        <v/>
      </c>
      <c r="L580" s="8" t="str">
        <f>IF($A580="","",IF(ISNUMBER(FIND("IMPVOL",L$1)),_xll.BDH(config!$G$4,L$1,WORKDAY($A580,-1,config_Holiday_Calendar_US),WORKDAY($A580,-1,config_Holiday_Calendar_US)),IF(ISNUMBER(_xll.BDH(config!$G$4,L$1,$A580,$A580)),_xll.BDH(config!$G$4,L$1,$A580,$A580),_xll.BDH(config!$G$5,L$1,$A580,$A580))))</f>
        <v/>
      </c>
      <c r="M580" s="8" t="str">
        <f>IF($A580="","",IF(ISNUMBER(FIND("IMPVOL",M$1)),_xll.BDH(config!$G$4,M$1,WORKDAY($A580,-1,config_Holiday_Calendar_US),WORKDAY($A580,-1,config_Holiday_Calendar_US)),IF(ISNUMBER(_xll.BDH(config!$G$4,M$1,$A580,$A580)),_xll.BDH(config!$G$4,M$1,$A580,$A580),_xll.BDH(config!$G$5,M$1,$A580,$A580))))</f>
        <v/>
      </c>
      <c r="N580" s="8" t="str">
        <f>IF($A580="","",IF(ISNUMBER(FIND("IMPVOL",N$1)),_xll.BDH(config!$G$4,N$1,WORKDAY($A580,-1,config_Holiday_Calendar_US),WORKDAY($A580,-1,config_Holiday_Calendar_US)),IF(ISNUMBER(_xll.BDH(config!$G$4,N$1,$A580,$A580)),_xll.BDH(config!$G$4,N$1,$A580,$A580),_xll.BDH(config!$G$5,N$1,$A580,$A580))))</f>
        <v/>
      </c>
      <c r="O580" s="8" t="str">
        <f>IF($A580="","",IF(ISNUMBER(FIND("IMPVOL",O$1)),_xll.BDH(config!$G$4,O$1,WORKDAY($A580,-1,config_Holiday_Calendar_US),WORKDAY($A580,-1,config_Holiday_Calendar_US)),IF(ISNUMBER(_xll.BDH(config!$G$4,O$1,$A580,$A580)),_xll.BDH(config!$G$4,O$1,$A580,$A580),_xll.BDH(config!$G$5,O$1,$A580,$A580))))</f>
        <v/>
      </c>
      <c r="P580" s="8" t="str">
        <f>IF($A580="","",IF(ISNUMBER(FIND("IMPVOL",P$1)),_xll.BDH(config!$G$4,P$1,WORKDAY($A580,-1,config_Holiday_Calendar_US),WORKDAY($A580,-1,config_Holiday_Calendar_US)),IF(ISNUMBER(_xll.BDH(config!$G$4,P$1,$A580,$A580)),_xll.BDH(config!$G$4,P$1,$A580,$A580),_xll.BDH(config!$G$5,P$1,$A580,$A580))))</f>
        <v/>
      </c>
      <c r="Q580" s="8" t="str">
        <f>IF($A580="","",IF(ISNUMBER(FIND("IMPVOL",Q$1)),_xll.BDH(config!$G$4,Q$1,WORKDAY($A580,-1,config_Holiday_Calendar_US),WORKDAY($A580,-1,config_Holiday_Calendar_US)),IF(ISNUMBER(_xll.BDH(config!$G$4,Q$1,$A580,$A580)),_xll.BDH(config!$G$4,Q$1,$A580,$A580),_xll.BDH(config!$G$5,Q$1,$A580,$A580))))</f>
        <v/>
      </c>
      <c r="R580" s="8" t="str">
        <f>IF($A580="","",IF(ISNUMBER(FIND("IMPVOL",R$1)),_xll.BDH(config!$G$4,R$1,WORKDAY($A580,-1,config_Holiday_Calendar_US),WORKDAY($A580,-1,config_Holiday_Calendar_US)),IF(ISNUMBER(_xll.BDH(config!$G$4,R$1,$A580,$A580)),_xll.BDH(config!$G$4,R$1,$A580,$A580),_xll.BDH(config!$G$5,R$1,$A580,$A580))))</f>
        <v/>
      </c>
      <c r="S580" s="8" t="str">
        <f>IF($A580="","",IF(ISNUMBER(FIND("IMPVOL",S$1)),_xll.BDH(config!$G$4,S$1,WORKDAY($A580,-1,config_Holiday_Calendar_US),WORKDAY($A580,-1,config_Holiday_Calendar_US)),IF(ISNUMBER(_xll.BDH(config!$G$4,S$1,$A580,$A580)),_xll.BDH(config!$G$4,S$1,$A580,$A580),_xll.BDH(config!$G$5,S$1,$A580,$A580))))</f>
        <v/>
      </c>
      <c r="T580" s="8" t="str">
        <f>IF($A580="","",IF(ISNUMBER(FIND("IMPVOL",T$1)),_xll.BDH(config!$G$4,T$1,WORKDAY($A580,-1,config_Holiday_Calendar_US),WORKDAY($A580,-1,config_Holiday_Calendar_US)),IF(ISNUMBER(_xll.BDH(config!$G$4,T$1,$A580,$A580)),_xll.BDH(config!$G$4,T$1,$A580,$A580),_xll.BDH(config!$G$5,T$1,$A580,$A580))))</f>
        <v/>
      </c>
      <c r="U580" s="8" t="str">
        <f>IF($A580="","",IF(ISNUMBER(FIND("IMPVOL",U$1)),_xll.BDH(config!$G$4,U$1,WORKDAY($A580,-1,config_Holiday_Calendar_US),WORKDAY($A580,-1,config_Holiday_Calendar_US)),IF(ISNUMBER(_xll.BDH(config!$G$4,U$1,$A580,$A580)),_xll.BDH(config!$G$4,U$1,$A580,$A580),_xll.BDH(config!$G$5,U$1,$A580,$A580))))</f>
        <v/>
      </c>
      <c r="V580" s="8" t="str">
        <f>IF($A580="","",IF(ISNUMBER(FIND("IMPVOL",V$1)),_xll.BDH(config!$G$4,V$1,WORKDAY($A580,-1,config_Holiday_Calendar_US),WORKDAY($A580,-1,config_Holiday_Calendar_US)),IF(ISNUMBER(_xll.BDH(config!$G$4,V$1,$A580,$A580)),_xll.BDH(config!$G$4,V$1,$A580,$A580),_xll.BDH(config!$G$5,V$1,$A580,$A580))))</f>
        <v/>
      </c>
      <c r="W580" s="8" t="str">
        <f>IF($A580="","",IF(ISNUMBER(FIND("IMPVOL",W$1)),_xll.BDH(config!$G$4,W$1,WORKDAY($A580,-1,config_Holiday_Calendar_US),WORKDAY($A580,-1,config_Holiday_Calendar_US)),IF(ISNUMBER(_xll.BDH(config!$G$4,W$1,$A580,$A580)),_xll.BDH(config!$G$4,W$1,$A580,$A580),_xll.BDH(config!$G$5,W$1,$A580,$A580))))</f>
        <v/>
      </c>
    </row>
    <row r="581" spans="1:23" x14ac:dyDescent="0.2">
      <c r="A581" s="9" t="str">
        <f>IF(A580="","",IF(WORKDAY(A580,-1,config_Holiday_Calendar_US)&lt;config!$I$10,"",WORKDAY(A580,-1,config_Holiday_Calendar_US)))</f>
        <v/>
      </c>
      <c r="B581" s="8" t="str">
        <f t="shared" si="9"/>
        <v/>
      </c>
      <c r="C581" s="8" t="str">
        <f>IF(A581="","",_xll.BDH(config!$H$4,C$1,$A581,$A581))</f>
        <v/>
      </c>
      <c r="D581" s="8" t="str">
        <f>IF($A581="","",_xll.BDH(config!$H$4,D$1,$A581,$A581))</f>
        <v/>
      </c>
      <c r="E581" s="8" t="str">
        <f>IF($A581="","",IF(ISNUMBER(FIND("IMPVOL",E$1)),_xll.BDH(config!$G$4,E$1,WORKDAY($A581,-1,config_Holiday_Calendar_US),WORKDAY($A581,-1,config_Holiday_Calendar_US)),IF(ISNUMBER(_xll.BDH(config!$G$4,E$1,$A581,$A581)),_xll.BDH(config!$G$4,E$1,$A581,$A581),_xll.BDH(config!$G$5,E$1,$A581,$A581))))</f>
        <v/>
      </c>
      <c r="F581" s="8" t="str">
        <f>IF($A581="","",IF(ISNUMBER(FIND("IMPVOL",F$1)),_xll.BDH(config!$G$4,F$1,WORKDAY($A581,-1,config_Holiday_Calendar_US),WORKDAY($A581,-1,config_Holiday_Calendar_US)),IF(ISNUMBER(_xll.BDH(config!$G$4,F$1,$A581,$A581)),_xll.BDH(config!$G$4,F$1,$A581,$A581),_xll.BDH(config!$G$5,F$1,$A581,$A581))))</f>
        <v/>
      </c>
      <c r="G581" s="8" t="str">
        <f>IF($A581="","",IF(ISNUMBER(FIND("IMPVOL",G$1)),_xll.BDH(config!$G$4,G$1,WORKDAY($A581,-1,config_Holiday_Calendar_US),WORKDAY($A581,-1,config_Holiday_Calendar_US)),IF(ISNUMBER(_xll.BDH(config!$G$4,G$1,$A581,$A581)),_xll.BDH(config!$G$4,G$1,$A581,$A581),_xll.BDH(config!$G$5,G$1,$A581,$A581))))</f>
        <v/>
      </c>
      <c r="H581" s="8" t="str">
        <f>IF($A581="","",IF(ISNUMBER(FIND("IMPVOL",H$1)),_xll.BDH(config!$G$4,H$1,WORKDAY($A581,-1,config_Holiday_Calendar_US),WORKDAY($A581,-1,config_Holiday_Calendar_US)),IF(ISNUMBER(_xll.BDH(config!$G$4,H$1,$A581,$A581)),_xll.BDH(config!$G$4,H$1,$A581,$A581),_xll.BDH(config!$G$5,H$1,$A581,$A581))))</f>
        <v/>
      </c>
      <c r="I581" s="8" t="str">
        <f>IF($A581="","",IF(ISNUMBER(FIND("IMPVOL",I$1)),_xll.BDH(config!$G$4,I$1,WORKDAY($A581,-1,config_Holiday_Calendar_US),WORKDAY($A581,-1,config_Holiday_Calendar_US)),IF(ISNUMBER(_xll.BDH(config!$G$4,I$1,$A581,$A581)),_xll.BDH(config!$G$4,I$1,$A581,$A581),_xll.BDH(config!$G$5,I$1,$A581,$A581))))</f>
        <v/>
      </c>
      <c r="J581" s="8" t="str">
        <f>IF($A581="","",IF(ISNUMBER(FIND("IMPVOL",J$1)),_xll.BDH(config!$G$4,J$1,WORKDAY($A581,-1,config_Holiday_Calendar_US),WORKDAY($A581,-1,config_Holiday_Calendar_US)),IF(ISNUMBER(_xll.BDH(config!$G$4,J$1,$A581,$A581)),_xll.BDH(config!$G$4,J$1,$A581,$A581),_xll.BDH(config!$G$5,J$1,$A581,$A581))))</f>
        <v/>
      </c>
      <c r="K581" s="8" t="str">
        <f>IF($A581="","",IF(ISNUMBER(FIND("IMPVOL",K$1)),_xll.BDH(config!$G$4,K$1,WORKDAY($A581,-1,config_Holiday_Calendar_US),WORKDAY($A581,-1,config_Holiday_Calendar_US)),IF(ISNUMBER(_xll.BDH(config!$G$4,K$1,$A581,$A581)),_xll.BDH(config!$G$4,K$1,$A581,$A581),_xll.BDH(config!$G$5,K$1,$A581,$A581))))</f>
        <v/>
      </c>
      <c r="L581" s="8" t="str">
        <f>IF($A581="","",IF(ISNUMBER(FIND("IMPVOL",L$1)),_xll.BDH(config!$G$4,L$1,WORKDAY($A581,-1,config_Holiday_Calendar_US),WORKDAY($A581,-1,config_Holiday_Calendar_US)),IF(ISNUMBER(_xll.BDH(config!$G$4,L$1,$A581,$A581)),_xll.BDH(config!$G$4,L$1,$A581,$A581),_xll.BDH(config!$G$5,L$1,$A581,$A581))))</f>
        <v/>
      </c>
      <c r="M581" s="8" t="str">
        <f>IF($A581="","",IF(ISNUMBER(FIND("IMPVOL",M$1)),_xll.BDH(config!$G$4,M$1,WORKDAY($A581,-1,config_Holiday_Calendar_US),WORKDAY($A581,-1,config_Holiday_Calendar_US)),IF(ISNUMBER(_xll.BDH(config!$G$4,M$1,$A581,$A581)),_xll.BDH(config!$G$4,M$1,$A581,$A581),_xll.BDH(config!$G$5,M$1,$A581,$A581))))</f>
        <v/>
      </c>
      <c r="N581" s="8" t="str">
        <f>IF($A581="","",IF(ISNUMBER(FIND("IMPVOL",N$1)),_xll.BDH(config!$G$4,N$1,WORKDAY($A581,-1,config_Holiday_Calendar_US),WORKDAY($A581,-1,config_Holiday_Calendar_US)),IF(ISNUMBER(_xll.BDH(config!$G$4,N$1,$A581,$A581)),_xll.BDH(config!$G$4,N$1,$A581,$A581),_xll.BDH(config!$G$5,N$1,$A581,$A581))))</f>
        <v/>
      </c>
      <c r="O581" s="8" t="str">
        <f>IF($A581="","",IF(ISNUMBER(FIND("IMPVOL",O$1)),_xll.BDH(config!$G$4,O$1,WORKDAY($A581,-1,config_Holiday_Calendar_US),WORKDAY($A581,-1,config_Holiday_Calendar_US)),IF(ISNUMBER(_xll.BDH(config!$G$4,O$1,$A581,$A581)),_xll.BDH(config!$G$4,O$1,$A581,$A581),_xll.BDH(config!$G$5,O$1,$A581,$A581))))</f>
        <v/>
      </c>
      <c r="P581" s="8" t="str">
        <f>IF($A581="","",IF(ISNUMBER(FIND("IMPVOL",P$1)),_xll.BDH(config!$G$4,P$1,WORKDAY($A581,-1,config_Holiday_Calendar_US),WORKDAY($A581,-1,config_Holiday_Calendar_US)),IF(ISNUMBER(_xll.BDH(config!$G$4,P$1,$A581,$A581)),_xll.BDH(config!$G$4,P$1,$A581,$A581),_xll.BDH(config!$G$5,P$1,$A581,$A581))))</f>
        <v/>
      </c>
      <c r="Q581" s="8" t="str">
        <f>IF($A581="","",IF(ISNUMBER(FIND("IMPVOL",Q$1)),_xll.BDH(config!$G$4,Q$1,WORKDAY($A581,-1,config_Holiday_Calendar_US),WORKDAY($A581,-1,config_Holiday_Calendar_US)),IF(ISNUMBER(_xll.BDH(config!$G$4,Q$1,$A581,$A581)),_xll.BDH(config!$G$4,Q$1,$A581,$A581),_xll.BDH(config!$G$5,Q$1,$A581,$A581))))</f>
        <v/>
      </c>
      <c r="R581" s="8" t="str">
        <f>IF($A581="","",IF(ISNUMBER(FIND("IMPVOL",R$1)),_xll.BDH(config!$G$4,R$1,WORKDAY($A581,-1,config_Holiday_Calendar_US),WORKDAY($A581,-1,config_Holiday_Calendar_US)),IF(ISNUMBER(_xll.BDH(config!$G$4,R$1,$A581,$A581)),_xll.BDH(config!$G$4,R$1,$A581,$A581),_xll.BDH(config!$G$5,R$1,$A581,$A581))))</f>
        <v/>
      </c>
      <c r="S581" s="8" t="str">
        <f>IF($A581="","",IF(ISNUMBER(FIND("IMPVOL",S$1)),_xll.BDH(config!$G$4,S$1,WORKDAY($A581,-1,config_Holiday_Calendar_US),WORKDAY($A581,-1,config_Holiday_Calendar_US)),IF(ISNUMBER(_xll.BDH(config!$G$4,S$1,$A581,$A581)),_xll.BDH(config!$G$4,S$1,$A581,$A581),_xll.BDH(config!$G$5,S$1,$A581,$A581))))</f>
        <v/>
      </c>
      <c r="T581" s="8" t="str">
        <f>IF($A581="","",IF(ISNUMBER(FIND("IMPVOL",T$1)),_xll.BDH(config!$G$4,T$1,WORKDAY($A581,-1,config_Holiday_Calendar_US),WORKDAY($A581,-1,config_Holiday_Calendar_US)),IF(ISNUMBER(_xll.BDH(config!$G$4,T$1,$A581,$A581)),_xll.BDH(config!$G$4,T$1,$A581,$A581),_xll.BDH(config!$G$5,T$1,$A581,$A581))))</f>
        <v/>
      </c>
      <c r="U581" s="8" t="str">
        <f>IF($A581="","",IF(ISNUMBER(FIND("IMPVOL",U$1)),_xll.BDH(config!$G$4,U$1,WORKDAY($A581,-1,config_Holiday_Calendar_US),WORKDAY($A581,-1,config_Holiday_Calendar_US)),IF(ISNUMBER(_xll.BDH(config!$G$4,U$1,$A581,$A581)),_xll.BDH(config!$G$4,U$1,$A581,$A581),_xll.BDH(config!$G$5,U$1,$A581,$A581))))</f>
        <v/>
      </c>
      <c r="V581" s="8" t="str">
        <f>IF($A581="","",IF(ISNUMBER(FIND("IMPVOL",V$1)),_xll.BDH(config!$G$4,V$1,WORKDAY($A581,-1,config_Holiday_Calendar_US),WORKDAY($A581,-1,config_Holiday_Calendar_US)),IF(ISNUMBER(_xll.BDH(config!$G$4,V$1,$A581,$A581)),_xll.BDH(config!$G$4,V$1,$A581,$A581),_xll.BDH(config!$G$5,V$1,$A581,$A581))))</f>
        <v/>
      </c>
      <c r="W581" s="8" t="str">
        <f>IF($A581="","",IF(ISNUMBER(FIND("IMPVOL",W$1)),_xll.BDH(config!$G$4,W$1,WORKDAY($A581,-1,config_Holiday_Calendar_US),WORKDAY($A581,-1,config_Holiday_Calendar_US)),IF(ISNUMBER(_xll.BDH(config!$G$4,W$1,$A581,$A581)),_xll.BDH(config!$G$4,W$1,$A581,$A581),_xll.BDH(config!$G$5,W$1,$A581,$A581))))</f>
        <v/>
      </c>
    </row>
    <row r="582" spans="1:23" x14ac:dyDescent="0.2">
      <c r="A582" s="9" t="str">
        <f>IF(A581="","",IF(WORKDAY(A581,-1,config_Holiday_Calendar_US)&lt;config!$I$10,"",WORKDAY(A581,-1,config_Holiday_Calendar_US)))</f>
        <v/>
      </c>
      <c r="B582" s="8" t="str">
        <f t="shared" si="9"/>
        <v/>
      </c>
      <c r="C582" s="8" t="str">
        <f>IF(A582="","",_xll.BDH(config!$H$4,C$1,$A582,$A582))</f>
        <v/>
      </c>
      <c r="D582" s="8" t="str">
        <f>IF($A582="","",_xll.BDH(config!$H$4,D$1,$A582,$A582))</f>
        <v/>
      </c>
      <c r="E582" s="8" t="str">
        <f>IF($A582="","",IF(ISNUMBER(FIND("IMPVOL",E$1)),_xll.BDH(config!$G$4,E$1,WORKDAY($A582,-1,config_Holiday_Calendar_US),WORKDAY($A582,-1,config_Holiday_Calendar_US)),IF(ISNUMBER(_xll.BDH(config!$G$4,E$1,$A582,$A582)),_xll.BDH(config!$G$4,E$1,$A582,$A582),_xll.BDH(config!$G$5,E$1,$A582,$A582))))</f>
        <v/>
      </c>
      <c r="F582" s="8" t="str">
        <f>IF($A582="","",IF(ISNUMBER(FIND("IMPVOL",F$1)),_xll.BDH(config!$G$4,F$1,WORKDAY($A582,-1,config_Holiday_Calendar_US),WORKDAY($A582,-1,config_Holiday_Calendar_US)),IF(ISNUMBER(_xll.BDH(config!$G$4,F$1,$A582,$A582)),_xll.BDH(config!$G$4,F$1,$A582,$A582),_xll.BDH(config!$G$5,F$1,$A582,$A582))))</f>
        <v/>
      </c>
      <c r="G582" s="8" t="str">
        <f>IF($A582="","",IF(ISNUMBER(FIND("IMPVOL",G$1)),_xll.BDH(config!$G$4,G$1,WORKDAY($A582,-1,config_Holiday_Calendar_US),WORKDAY($A582,-1,config_Holiday_Calendar_US)),IF(ISNUMBER(_xll.BDH(config!$G$4,G$1,$A582,$A582)),_xll.BDH(config!$G$4,G$1,$A582,$A582),_xll.BDH(config!$G$5,G$1,$A582,$A582))))</f>
        <v/>
      </c>
      <c r="H582" s="8" t="str">
        <f>IF($A582="","",IF(ISNUMBER(FIND("IMPVOL",H$1)),_xll.BDH(config!$G$4,H$1,WORKDAY($A582,-1,config_Holiday_Calendar_US),WORKDAY($A582,-1,config_Holiday_Calendar_US)),IF(ISNUMBER(_xll.BDH(config!$G$4,H$1,$A582,$A582)),_xll.BDH(config!$G$4,H$1,$A582,$A582),_xll.BDH(config!$G$5,H$1,$A582,$A582))))</f>
        <v/>
      </c>
      <c r="I582" s="8" t="str">
        <f>IF($A582="","",IF(ISNUMBER(FIND("IMPVOL",I$1)),_xll.BDH(config!$G$4,I$1,WORKDAY($A582,-1,config_Holiday_Calendar_US),WORKDAY($A582,-1,config_Holiday_Calendar_US)),IF(ISNUMBER(_xll.BDH(config!$G$4,I$1,$A582,$A582)),_xll.BDH(config!$G$4,I$1,$A582,$A582),_xll.BDH(config!$G$5,I$1,$A582,$A582))))</f>
        <v/>
      </c>
      <c r="J582" s="8" t="str">
        <f>IF($A582="","",IF(ISNUMBER(FIND("IMPVOL",J$1)),_xll.BDH(config!$G$4,J$1,WORKDAY($A582,-1,config_Holiday_Calendar_US),WORKDAY($A582,-1,config_Holiday_Calendar_US)),IF(ISNUMBER(_xll.BDH(config!$G$4,J$1,$A582,$A582)),_xll.BDH(config!$G$4,J$1,$A582,$A582),_xll.BDH(config!$G$5,J$1,$A582,$A582))))</f>
        <v/>
      </c>
      <c r="K582" s="8" t="str">
        <f>IF($A582="","",IF(ISNUMBER(FIND("IMPVOL",K$1)),_xll.BDH(config!$G$4,K$1,WORKDAY($A582,-1,config_Holiday_Calendar_US),WORKDAY($A582,-1,config_Holiday_Calendar_US)),IF(ISNUMBER(_xll.BDH(config!$G$4,K$1,$A582,$A582)),_xll.BDH(config!$G$4,K$1,$A582,$A582),_xll.BDH(config!$G$5,K$1,$A582,$A582))))</f>
        <v/>
      </c>
      <c r="L582" s="8" t="str">
        <f>IF($A582="","",IF(ISNUMBER(FIND("IMPVOL",L$1)),_xll.BDH(config!$G$4,L$1,WORKDAY($A582,-1,config_Holiday_Calendar_US),WORKDAY($A582,-1,config_Holiday_Calendar_US)),IF(ISNUMBER(_xll.BDH(config!$G$4,L$1,$A582,$A582)),_xll.BDH(config!$G$4,L$1,$A582,$A582),_xll.BDH(config!$G$5,L$1,$A582,$A582))))</f>
        <v/>
      </c>
      <c r="M582" s="8" t="str">
        <f>IF($A582="","",IF(ISNUMBER(FIND("IMPVOL",M$1)),_xll.BDH(config!$G$4,M$1,WORKDAY($A582,-1,config_Holiday_Calendar_US),WORKDAY($A582,-1,config_Holiday_Calendar_US)),IF(ISNUMBER(_xll.BDH(config!$G$4,M$1,$A582,$A582)),_xll.BDH(config!$G$4,M$1,$A582,$A582),_xll.BDH(config!$G$5,M$1,$A582,$A582))))</f>
        <v/>
      </c>
      <c r="N582" s="8" t="str">
        <f>IF($A582="","",IF(ISNUMBER(FIND("IMPVOL",N$1)),_xll.BDH(config!$G$4,N$1,WORKDAY($A582,-1,config_Holiday_Calendar_US),WORKDAY($A582,-1,config_Holiday_Calendar_US)),IF(ISNUMBER(_xll.BDH(config!$G$4,N$1,$A582,$A582)),_xll.BDH(config!$G$4,N$1,$A582,$A582),_xll.BDH(config!$G$5,N$1,$A582,$A582))))</f>
        <v/>
      </c>
      <c r="O582" s="8" t="str">
        <f>IF($A582="","",IF(ISNUMBER(FIND("IMPVOL",O$1)),_xll.BDH(config!$G$4,O$1,WORKDAY($A582,-1,config_Holiday_Calendar_US),WORKDAY($A582,-1,config_Holiday_Calendar_US)),IF(ISNUMBER(_xll.BDH(config!$G$4,O$1,$A582,$A582)),_xll.BDH(config!$G$4,O$1,$A582,$A582),_xll.BDH(config!$G$5,O$1,$A582,$A582))))</f>
        <v/>
      </c>
      <c r="P582" s="8" t="str">
        <f>IF($A582="","",IF(ISNUMBER(FIND("IMPVOL",P$1)),_xll.BDH(config!$G$4,P$1,WORKDAY($A582,-1,config_Holiday_Calendar_US),WORKDAY($A582,-1,config_Holiday_Calendar_US)),IF(ISNUMBER(_xll.BDH(config!$G$4,P$1,$A582,$A582)),_xll.BDH(config!$G$4,P$1,$A582,$A582),_xll.BDH(config!$G$5,P$1,$A582,$A582))))</f>
        <v/>
      </c>
      <c r="Q582" s="8" t="str">
        <f>IF($A582="","",IF(ISNUMBER(FIND("IMPVOL",Q$1)),_xll.BDH(config!$G$4,Q$1,WORKDAY($A582,-1,config_Holiday_Calendar_US),WORKDAY($A582,-1,config_Holiday_Calendar_US)),IF(ISNUMBER(_xll.BDH(config!$G$4,Q$1,$A582,$A582)),_xll.BDH(config!$G$4,Q$1,$A582,$A582),_xll.BDH(config!$G$5,Q$1,$A582,$A582))))</f>
        <v/>
      </c>
      <c r="R582" s="8" t="str">
        <f>IF($A582="","",IF(ISNUMBER(FIND("IMPVOL",R$1)),_xll.BDH(config!$G$4,R$1,WORKDAY($A582,-1,config_Holiday_Calendar_US),WORKDAY($A582,-1,config_Holiday_Calendar_US)),IF(ISNUMBER(_xll.BDH(config!$G$4,R$1,$A582,$A582)),_xll.BDH(config!$G$4,R$1,$A582,$A582),_xll.BDH(config!$G$5,R$1,$A582,$A582))))</f>
        <v/>
      </c>
      <c r="S582" s="8" t="str">
        <f>IF($A582="","",IF(ISNUMBER(FIND("IMPVOL",S$1)),_xll.BDH(config!$G$4,S$1,WORKDAY($A582,-1,config_Holiday_Calendar_US),WORKDAY($A582,-1,config_Holiday_Calendar_US)),IF(ISNUMBER(_xll.BDH(config!$G$4,S$1,$A582,$A582)),_xll.BDH(config!$G$4,S$1,$A582,$A582),_xll.BDH(config!$G$5,S$1,$A582,$A582))))</f>
        <v/>
      </c>
      <c r="T582" s="8" t="str">
        <f>IF($A582="","",IF(ISNUMBER(FIND("IMPVOL",T$1)),_xll.BDH(config!$G$4,T$1,WORKDAY($A582,-1,config_Holiday_Calendar_US),WORKDAY($A582,-1,config_Holiday_Calendar_US)),IF(ISNUMBER(_xll.BDH(config!$G$4,T$1,$A582,$A582)),_xll.BDH(config!$G$4,T$1,$A582,$A582),_xll.BDH(config!$G$5,T$1,$A582,$A582))))</f>
        <v/>
      </c>
      <c r="U582" s="8" t="str">
        <f>IF($A582="","",IF(ISNUMBER(FIND("IMPVOL",U$1)),_xll.BDH(config!$G$4,U$1,WORKDAY($A582,-1,config_Holiday_Calendar_US),WORKDAY($A582,-1,config_Holiday_Calendar_US)),IF(ISNUMBER(_xll.BDH(config!$G$4,U$1,$A582,$A582)),_xll.BDH(config!$G$4,U$1,$A582,$A582),_xll.BDH(config!$G$5,U$1,$A582,$A582))))</f>
        <v/>
      </c>
      <c r="V582" s="8" t="str">
        <f>IF($A582="","",IF(ISNUMBER(FIND("IMPVOL",V$1)),_xll.BDH(config!$G$4,V$1,WORKDAY($A582,-1,config_Holiday_Calendar_US),WORKDAY($A582,-1,config_Holiday_Calendar_US)),IF(ISNUMBER(_xll.BDH(config!$G$4,V$1,$A582,$A582)),_xll.BDH(config!$G$4,V$1,$A582,$A582),_xll.BDH(config!$G$5,V$1,$A582,$A582))))</f>
        <v/>
      </c>
      <c r="W582" s="8" t="str">
        <f>IF($A582="","",IF(ISNUMBER(FIND("IMPVOL",W$1)),_xll.BDH(config!$G$4,W$1,WORKDAY($A582,-1,config_Holiday_Calendar_US),WORKDAY($A582,-1,config_Holiday_Calendar_US)),IF(ISNUMBER(_xll.BDH(config!$G$4,W$1,$A582,$A582)),_xll.BDH(config!$G$4,W$1,$A582,$A582),_xll.BDH(config!$G$5,W$1,$A582,$A582))))</f>
        <v/>
      </c>
    </row>
    <row r="583" spans="1:23" x14ac:dyDescent="0.2">
      <c r="A583" s="9" t="str">
        <f>IF(A582="","",IF(WORKDAY(A582,-1,config_Holiday_Calendar_US)&lt;config!$I$10,"",WORKDAY(A582,-1,config_Holiday_Calendar_US)))</f>
        <v/>
      </c>
      <c r="B583" s="8" t="str">
        <f t="shared" si="9"/>
        <v/>
      </c>
      <c r="C583" s="8" t="str">
        <f>IF(A583="","",_xll.BDH(config!$H$4,C$1,$A583,$A583))</f>
        <v/>
      </c>
      <c r="D583" s="8" t="str">
        <f>IF($A583="","",_xll.BDH(config!$H$4,D$1,$A583,$A583))</f>
        <v/>
      </c>
      <c r="E583" s="8" t="str">
        <f>IF($A583="","",IF(ISNUMBER(FIND("IMPVOL",E$1)),_xll.BDH(config!$G$4,E$1,WORKDAY($A583,-1,config_Holiday_Calendar_US),WORKDAY($A583,-1,config_Holiday_Calendar_US)),IF(ISNUMBER(_xll.BDH(config!$G$4,E$1,$A583,$A583)),_xll.BDH(config!$G$4,E$1,$A583,$A583),_xll.BDH(config!$G$5,E$1,$A583,$A583))))</f>
        <v/>
      </c>
      <c r="F583" s="8" t="str">
        <f>IF($A583="","",IF(ISNUMBER(FIND("IMPVOL",F$1)),_xll.BDH(config!$G$4,F$1,WORKDAY($A583,-1,config_Holiday_Calendar_US),WORKDAY($A583,-1,config_Holiday_Calendar_US)),IF(ISNUMBER(_xll.BDH(config!$G$4,F$1,$A583,$A583)),_xll.BDH(config!$G$4,F$1,$A583,$A583),_xll.BDH(config!$G$5,F$1,$A583,$A583))))</f>
        <v/>
      </c>
      <c r="G583" s="8" t="str">
        <f>IF($A583="","",IF(ISNUMBER(FIND("IMPVOL",G$1)),_xll.BDH(config!$G$4,G$1,WORKDAY($A583,-1,config_Holiday_Calendar_US),WORKDAY($A583,-1,config_Holiday_Calendar_US)),IF(ISNUMBER(_xll.BDH(config!$G$4,G$1,$A583,$A583)),_xll.BDH(config!$G$4,G$1,$A583,$A583),_xll.BDH(config!$G$5,G$1,$A583,$A583))))</f>
        <v/>
      </c>
      <c r="H583" s="8" t="str">
        <f>IF($A583="","",IF(ISNUMBER(FIND("IMPVOL",H$1)),_xll.BDH(config!$G$4,H$1,WORKDAY($A583,-1,config_Holiday_Calendar_US),WORKDAY($A583,-1,config_Holiday_Calendar_US)),IF(ISNUMBER(_xll.BDH(config!$G$4,H$1,$A583,$A583)),_xll.BDH(config!$G$4,H$1,$A583,$A583),_xll.BDH(config!$G$5,H$1,$A583,$A583))))</f>
        <v/>
      </c>
      <c r="I583" s="8" t="str">
        <f>IF($A583="","",IF(ISNUMBER(FIND("IMPVOL",I$1)),_xll.BDH(config!$G$4,I$1,WORKDAY($A583,-1,config_Holiday_Calendar_US),WORKDAY($A583,-1,config_Holiday_Calendar_US)),IF(ISNUMBER(_xll.BDH(config!$G$4,I$1,$A583,$A583)),_xll.BDH(config!$G$4,I$1,$A583,$A583),_xll.BDH(config!$G$5,I$1,$A583,$A583))))</f>
        <v/>
      </c>
      <c r="J583" s="8" t="str">
        <f>IF($A583="","",IF(ISNUMBER(FIND("IMPVOL",J$1)),_xll.BDH(config!$G$4,J$1,WORKDAY($A583,-1,config_Holiday_Calendar_US),WORKDAY($A583,-1,config_Holiday_Calendar_US)),IF(ISNUMBER(_xll.BDH(config!$G$4,J$1,$A583,$A583)),_xll.BDH(config!$G$4,J$1,$A583,$A583),_xll.BDH(config!$G$5,J$1,$A583,$A583))))</f>
        <v/>
      </c>
      <c r="K583" s="8" t="str">
        <f>IF($A583="","",IF(ISNUMBER(FIND("IMPVOL",K$1)),_xll.BDH(config!$G$4,K$1,WORKDAY($A583,-1,config_Holiday_Calendar_US),WORKDAY($A583,-1,config_Holiday_Calendar_US)),IF(ISNUMBER(_xll.BDH(config!$G$4,K$1,$A583,$A583)),_xll.BDH(config!$G$4,K$1,$A583,$A583),_xll.BDH(config!$G$5,K$1,$A583,$A583))))</f>
        <v/>
      </c>
      <c r="L583" s="8" t="str">
        <f>IF($A583="","",IF(ISNUMBER(FIND("IMPVOL",L$1)),_xll.BDH(config!$G$4,L$1,WORKDAY($A583,-1,config_Holiday_Calendar_US),WORKDAY($A583,-1,config_Holiday_Calendar_US)),IF(ISNUMBER(_xll.BDH(config!$G$4,L$1,$A583,$A583)),_xll.BDH(config!$G$4,L$1,$A583,$A583),_xll.BDH(config!$G$5,L$1,$A583,$A583))))</f>
        <v/>
      </c>
      <c r="M583" s="8" t="str">
        <f>IF($A583="","",IF(ISNUMBER(FIND("IMPVOL",M$1)),_xll.BDH(config!$G$4,M$1,WORKDAY($A583,-1,config_Holiday_Calendar_US),WORKDAY($A583,-1,config_Holiday_Calendar_US)),IF(ISNUMBER(_xll.BDH(config!$G$4,M$1,$A583,$A583)),_xll.BDH(config!$G$4,M$1,$A583,$A583),_xll.BDH(config!$G$5,M$1,$A583,$A583))))</f>
        <v/>
      </c>
      <c r="N583" s="8" t="str">
        <f>IF($A583="","",IF(ISNUMBER(FIND("IMPVOL",N$1)),_xll.BDH(config!$G$4,N$1,WORKDAY($A583,-1,config_Holiday_Calendar_US),WORKDAY($A583,-1,config_Holiday_Calendar_US)),IF(ISNUMBER(_xll.BDH(config!$G$4,N$1,$A583,$A583)),_xll.BDH(config!$G$4,N$1,$A583,$A583),_xll.BDH(config!$G$5,N$1,$A583,$A583))))</f>
        <v/>
      </c>
      <c r="O583" s="8" t="str">
        <f>IF($A583="","",IF(ISNUMBER(FIND("IMPVOL",O$1)),_xll.BDH(config!$G$4,O$1,WORKDAY($A583,-1,config_Holiday_Calendar_US),WORKDAY($A583,-1,config_Holiday_Calendar_US)),IF(ISNUMBER(_xll.BDH(config!$G$4,O$1,$A583,$A583)),_xll.BDH(config!$G$4,O$1,$A583,$A583),_xll.BDH(config!$G$5,O$1,$A583,$A583))))</f>
        <v/>
      </c>
      <c r="P583" s="8" t="str">
        <f>IF($A583="","",IF(ISNUMBER(FIND("IMPVOL",P$1)),_xll.BDH(config!$G$4,P$1,WORKDAY($A583,-1,config_Holiday_Calendar_US),WORKDAY($A583,-1,config_Holiday_Calendar_US)),IF(ISNUMBER(_xll.BDH(config!$G$4,P$1,$A583,$A583)),_xll.BDH(config!$G$4,P$1,$A583,$A583),_xll.BDH(config!$G$5,P$1,$A583,$A583))))</f>
        <v/>
      </c>
      <c r="Q583" s="8" t="str">
        <f>IF($A583="","",IF(ISNUMBER(FIND("IMPVOL",Q$1)),_xll.BDH(config!$G$4,Q$1,WORKDAY($A583,-1,config_Holiday_Calendar_US),WORKDAY($A583,-1,config_Holiday_Calendar_US)),IF(ISNUMBER(_xll.BDH(config!$G$4,Q$1,$A583,$A583)),_xll.BDH(config!$G$4,Q$1,$A583,$A583),_xll.BDH(config!$G$5,Q$1,$A583,$A583))))</f>
        <v/>
      </c>
      <c r="R583" s="8" t="str">
        <f>IF($A583="","",IF(ISNUMBER(FIND("IMPVOL",R$1)),_xll.BDH(config!$G$4,R$1,WORKDAY($A583,-1,config_Holiday_Calendar_US),WORKDAY($A583,-1,config_Holiday_Calendar_US)),IF(ISNUMBER(_xll.BDH(config!$G$4,R$1,$A583,$A583)),_xll.BDH(config!$G$4,R$1,$A583,$A583),_xll.BDH(config!$G$5,R$1,$A583,$A583))))</f>
        <v/>
      </c>
      <c r="S583" s="8" t="str">
        <f>IF($A583="","",IF(ISNUMBER(FIND("IMPVOL",S$1)),_xll.BDH(config!$G$4,S$1,WORKDAY($A583,-1,config_Holiday_Calendar_US),WORKDAY($A583,-1,config_Holiday_Calendar_US)),IF(ISNUMBER(_xll.BDH(config!$G$4,S$1,$A583,$A583)),_xll.BDH(config!$G$4,S$1,$A583,$A583),_xll.BDH(config!$G$5,S$1,$A583,$A583))))</f>
        <v/>
      </c>
      <c r="T583" s="8" t="str">
        <f>IF($A583="","",IF(ISNUMBER(FIND("IMPVOL",T$1)),_xll.BDH(config!$G$4,T$1,WORKDAY($A583,-1,config_Holiday_Calendar_US),WORKDAY($A583,-1,config_Holiday_Calendar_US)),IF(ISNUMBER(_xll.BDH(config!$G$4,T$1,$A583,$A583)),_xll.BDH(config!$G$4,T$1,$A583,$A583),_xll.BDH(config!$G$5,T$1,$A583,$A583))))</f>
        <v/>
      </c>
      <c r="U583" s="8" t="str">
        <f>IF($A583="","",IF(ISNUMBER(FIND("IMPVOL",U$1)),_xll.BDH(config!$G$4,U$1,WORKDAY($A583,-1,config_Holiday_Calendar_US),WORKDAY($A583,-1,config_Holiday_Calendar_US)),IF(ISNUMBER(_xll.BDH(config!$G$4,U$1,$A583,$A583)),_xll.BDH(config!$G$4,U$1,$A583,$A583),_xll.BDH(config!$G$5,U$1,$A583,$A583))))</f>
        <v/>
      </c>
      <c r="V583" s="8" t="str">
        <f>IF($A583="","",IF(ISNUMBER(FIND("IMPVOL",V$1)),_xll.BDH(config!$G$4,V$1,WORKDAY($A583,-1,config_Holiday_Calendar_US),WORKDAY($A583,-1,config_Holiday_Calendar_US)),IF(ISNUMBER(_xll.BDH(config!$G$4,V$1,$A583,$A583)),_xll.BDH(config!$G$4,V$1,$A583,$A583),_xll.BDH(config!$G$5,V$1,$A583,$A583))))</f>
        <v/>
      </c>
      <c r="W583" s="8" t="str">
        <f>IF($A583="","",IF(ISNUMBER(FIND("IMPVOL",W$1)),_xll.BDH(config!$G$4,W$1,WORKDAY($A583,-1,config_Holiday_Calendar_US),WORKDAY($A583,-1,config_Holiday_Calendar_US)),IF(ISNUMBER(_xll.BDH(config!$G$4,W$1,$A583,$A583)),_xll.BDH(config!$G$4,W$1,$A583,$A583),_xll.BDH(config!$G$5,W$1,$A583,$A583))))</f>
        <v/>
      </c>
    </row>
    <row r="584" spans="1:23" x14ac:dyDescent="0.2">
      <c r="A584" s="9" t="str">
        <f>IF(A583="","",IF(WORKDAY(A583,-1,config_Holiday_Calendar_US)&lt;config!$I$10,"",WORKDAY(A583,-1,config_Holiday_Calendar_US)))</f>
        <v/>
      </c>
      <c r="B584" s="8" t="str">
        <f t="shared" si="9"/>
        <v/>
      </c>
      <c r="C584" s="8" t="str">
        <f>IF(A584="","",_xll.BDH(config!$H$4,C$1,$A584,$A584))</f>
        <v/>
      </c>
      <c r="D584" s="8" t="str">
        <f>IF($A584="","",_xll.BDH(config!$H$4,D$1,$A584,$A584))</f>
        <v/>
      </c>
      <c r="E584" s="8" t="str">
        <f>IF($A584="","",IF(ISNUMBER(FIND("IMPVOL",E$1)),_xll.BDH(config!$G$4,E$1,WORKDAY($A584,-1,config_Holiday_Calendar_US),WORKDAY($A584,-1,config_Holiday_Calendar_US)),IF(ISNUMBER(_xll.BDH(config!$G$4,E$1,$A584,$A584)),_xll.BDH(config!$G$4,E$1,$A584,$A584),_xll.BDH(config!$G$5,E$1,$A584,$A584))))</f>
        <v/>
      </c>
      <c r="F584" s="8" t="str">
        <f>IF($A584="","",IF(ISNUMBER(FIND("IMPVOL",F$1)),_xll.BDH(config!$G$4,F$1,WORKDAY($A584,-1,config_Holiday_Calendar_US),WORKDAY($A584,-1,config_Holiday_Calendar_US)),IF(ISNUMBER(_xll.BDH(config!$G$4,F$1,$A584,$A584)),_xll.BDH(config!$G$4,F$1,$A584,$A584),_xll.BDH(config!$G$5,F$1,$A584,$A584))))</f>
        <v/>
      </c>
      <c r="G584" s="8" t="str">
        <f>IF($A584="","",IF(ISNUMBER(FIND("IMPVOL",G$1)),_xll.BDH(config!$G$4,G$1,WORKDAY($A584,-1,config_Holiday_Calendar_US),WORKDAY($A584,-1,config_Holiday_Calendar_US)),IF(ISNUMBER(_xll.BDH(config!$G$4,G$1,$A584,$A584)),_xll.BDH(config!$G$4,G$1,$A584,$A584),_xll.BDH(config!$G$5,G$1,$A584,$A584))))</f>
        <v/>
      </c>
      <c r="H584" s="8" t="str">
        <f>IF($A584="","",IF(ISNUMBER(FIND("IMPVOL",H$1)),_xll.BDH(config!$G$4,H$1,WORKDAY($A584,-1,config_Holiday_Calendar_US),WORKDAY($A584,-1,config_Holiday_Calendar_US)),IF(ISNUMBER(_xll.BDH(config!$G$4,H$1,$A584,$A584)),_xll.BDH(config!$G$4,H$1,$A584,$A584),_xll.BDH(config!$G$5,H$1,$A584,$A584))))</f>
        <v/>
      </c>
      <c r="I584" s="8" t="str">
        <f>IF($A584="","",IF(ISNUMBER(FIND("IMPVOL",I$1)),_xll.BDH(config!$G$4,I$1,WORKDAY($A584,-1,config_Holiday_Calendar_US),WORKDAY($A584,-1,config_Holiday_Calendar_US)),IF(ISNUMBER(_xll.BDH(config!$G$4,I$1,$A584,$A584)),_xll.BDH(config!$G$4,I$1,$A584,$A584),_xll.BDH(config!$G$5,I$1,$A584,$A584))))</f>
        <v/>
      </c>
      <c r="J584" s="8" t="str">
        <f>IF($A584="","",IF(ISNUMBER(FIND("IMPVOL",J$1)),_xll.BDH(config!$G$4,J$1,WORKDAY($A584,-1,config_Holiday_Calendar_US),WORKDAY($A584,-1,config_Holiday_Calendar_US)),IF(ISNUMBER(_xll.BDH(config!$G$4,J$1,$A584,$A584)),_xll.BDH(config!$G$4,J$1,$A584,$A584),_xll.BDH(config!$G$5,J$1,$A584,$A584))))</f>
        <v/>
      </c>
      <c r="K584" s="8" t="str">
        <f>IF($A584="","",IF(ISNUMBER(FIND("IMPVOL",K$1)),_xll.BDH(config!$G$4,K$1,WORKDAY($A584,-1,config_Holiday_Calendar_US),WORKDAY($A584,-1,config_Holiday_Calendar_US)),IF(ISNUMBER(_xll.BDH(config!$G$4,K$1,$A584,$A584)),_xll.BDH(config!$G$4,K$1,$A584,$A584),_xll.BDH(config!$G$5,K$1,$A584,$A584))))</f>
        <v/>
      </c>
      <c r="L584" s="8" t="str">
        <f>IF($A584="","",IF(ISNUMBER(FIND("IMPVOL",L$1)),_xll.BDH(config!$G$4,L$1,WORKDAY($A584,-1,config_Holiday_Calendar_US),WORKDAY($A584,-1,config_Holiday_Calendar_US)),IF(ISNUMBER(_xll.BDH(config!$G$4,L$1,$A584,$A584)),_xll.BDH(config!$G$4,L$1,$A584,$A584),_xll.BDH(config!$G$5,L$1,$A584,$A584))))</f>
        <v/>
      </c>
      <c r="M584" s="8" t="str">
        <f>IF($A584="","",IF(ISNUMBER(FIND("IMPVOL",M$1)),_xll.BDH(config!$G$4,M$1,WORKDAY($A584,-1,config_Holiday_Calendar_US),WORKDAY($A584,-1,config_Holiday_Calendar_US)),IF(ISNUMBER(_xll.BDH(config!$G$4,M$1,$A584,$A584)),_xll.BDH(config!$G$4,M$1,$A584,$A584),_xll.BDH(config!$G$5,M$1,$A584,$A584))))</f>
        <v/>
      </c>
      <c r="N584" s="8" t="str">
        <f>IF($A584="","",IF(ISNUMBER(FIND("IMPVOL",N$1)),_xll.BDH(config!$G$4,N$1,WORKDAY($A584,-1,config_Holiday_Calendar_US),WORKDAY($A584,-1,config_Holiday_Calendar_US)),IF(ISNUMBER(_xll.BDH(config!$G$4,N$1,$A584,$A584)),_xll.BDH(config!$G$4,N$1,$A584,$A584),_xll.BDH(config!$G$5,N$1,$A584,$A584))))</f>
        <v/>
      </c>
      <c r="O584" s="8" t="str">
        <f>IF($A584="","",IF(ISNUMBER(FIND("IMPVOL",O$1)),_xll.BDH(config!$G$4,O$1,WORKDAY($A584,-1,config_Holiday_Calendar_US),WORKDAY($A584,-1,config_Holiday_Calendar_US)),IF(ISNUMBER(_xll.BDH(config!$G$4,O$1,$A584,$A584)),_xll.BDH(config!$G$4,O$1,$A584,$A584),_xll.BDH(config!$G$5,O$1,$A584,$A584))))</f>
        <v/>
      </c>
      <c r="P584" s="8" t="str">
        <f>IF($A584="","",IF(ISNUMBER(FIND("IMPVOL",P$1)),_xll.BDH(config!$G$4,P$1,WORKDAY($A584,-1,config_Holiday_Calendar_US),WORKDAY($A584,-1,config_Holiday_Calendar_US)),IF(ISNUMBER(_xll.BDH(config!$G$4,P$1,$A584,$A584)),_xll.BDH(config!$G$4,P$1,$A584,$A584),_xll.BDH(config!$G$5,P$1,$A584,$A584))))</f>
        <v/>
      </c>
      <c r="Q584" s="8" t="str">
        <f>IF($A584="","",IF(ISNUMBER(FIND("IMPVOL",Q$1)),_xll.BDH(config!$G$4,Q$1,WORKDAY($A584,-1,config_Holiday_Calendar_US),WORKDAY($A584,-1,config_Holiday_Calendar_US)),IF(ISNUMBER(_xll.BDH(config!$G$4,Q$1,$A584,$A584)),_xll.BDH(config!$G$4,Q$1,$A584,$A584),_xll.BDH(config!$G$5,Q$1,$A584,$A584))))</f>
        <v/>
      </c>
      <c r="R584" s="8" t="str">
        <f>IF($A584="","",IF(ISNUMBER(FIND("IMPVOL",R$1)),_xll.BDH(config!$G$4,R$1,WORKDAY($A584,-1,config_Holiday_Calendar_US),WORKDAY($A584,-1,config_Holiday_Calendar_US)),IF(ISNUMBER(_xll.BDH(config!$G$4,R$1,$A584,$A584)),_xll.BDH(config!$G$4,R$1,$A584,$A584),_xll.BDH(config!$G$5,R$1,$A584,$A584))))</f>
        <v/>
      </c>
      <c r="S584" s="8" t="str">
        <f>IF($A584="","",IF(ISNUMBER(FIND("IMPVOL",S$1)),_xll.BDH(config!$G$4,S$1,WORKDAY($A584,-1,config_Holiday_Calendar_US),WORKDAY($A584,-1,config_Holiday_Calendar_US)),IF(ISNUMBER(_xll.BDH(config!$G$4,S$1,$A584,$A584)),_xll.BDH(config!$G$4,S$1,$A584,$A584),_xll.BDH(config!$G$5,S$1,$A584,$A584))))</f>
        <v/>
      </c>
      <c r="T584" s="8" t="str">
        <f>IF($A584="","",IF(ISNUMBER(FIND("IMPVOL",T$1)),_xll.BDH(config!$G$4,T$1,WORKDAY($A584,-1,config_Holiday_Calendar_US),WORKDAY($A584,-1,config_Holiday_Calendar_US)),IF(ISNUMBER(_xll.BDH(config!$G$4,T$1,$A584,$A584)),_xll.BDH(config!$G$4,T$1,$A584,$A584),_xll.BDH(config!$G$5,T$1,$A584,$A584))))</f>
        <v/>
      </c>
      <c r="U584" s="8" t="str">
        <f>IF($A584="","",IF(ISNUMBER(FIND("IMPVOL",U$1)),_xll.BDH(config!$G$4,U$1,WORKDAY($A584,-1,config_Holiday_Calendar_US),WORKDAY($A584,-1,config_Holiday_Calendar_US)),IF(ISNUMBER(_xll.BDH(config!$G$4,U$1,$A584,$A584)),_xll.BDH(config!$G$4,U$1,$A584,$A584),_xll.BDH(config!$G$5,U$1,$A584,$A584))))</f>
        <v/>
      </c>
      <c r="V584" s="8" t="str">
        <f>IF($A584="","",IF(ISNUMBER(FIND("IMPVOL",V$1)),_xll.BDH(config!$G$4,V$1,WORKDAY($A584,-1,config_Holiday_Calendar_US),WORKDAY($A584,-1,config_Holiday_Calendar_US)),IF(ISNUMBER(_xll.BDH(config!$G$4,V$1,$A584,$A584)),_xll.BDH(config!$G$4,V$1,$A584,$A584),_xll.BDH(config!$G$5,V$1,$A584,$A584))))</f>
        <v/>
      </c>
      <c r="W584" s="8" t="str">
        <f>IF($A584="","",IF(ISNUMBER(FIND("IMPVOL",W$1)),_xll.BDH(config!$G$4,W$1,WORKDAY($A584,-1,config_Holiday_Calendar_US),WORKDAY($A584,-1,config_Holiday_Calendar_US)),IF(ISNUMBER(_xll.BDH(config!$G$4,W$1,$A584,$A584)),_xll.BDH(config!$G$4,W$1,$A584,$A584),_xll.BDH(config!$G$5,W$1,$A584,$A584))))</f>
        <v/>
      </c>
    </row>
    <row r="585" spans="1:23" x14ac:dyDescent="0.2">
      <c r="A585" s="9" t="str">
        <f>IF(A584="","",IF(WORKDAY(A584,-1,config_Holiday_Calendar_US)&lt;config!$I$10,"",WORKDAY(A584,-1,config_Holiday_Calendar_US)))</f>
        <v/>
      </c>
      <c r="B585" s="8" t="str">
        <f t="shared" si="9"/>
        <v/>
      </c>
      <c r="C585" s="8" t="str">
        <f>IF(A585="","",_xll.BDH(config!$H$4,C$1,$A585,$A585))</f>
        <v/>
      </c>
      <c r="D585" s="8" t="str">
        <f>IF($A585="","",_xll.BDH(config!$H$4,D$1,$A585,$A585))</f>
        <v/>
      </c>
      <c r="E585" s="8" t="str">
        <f>IF($A585="","",IF(ISNUMBER(FIND("IMPVOL",E$1)),_xll.BDH(config!$G$4,E$1,WORKDAY($A585,-1,config_Holiday_Calendar_US),WORKDAY($A585,-1,config_Holiday_Calendar_US)),IF(ISNUMBER(_xll.BDH(config!$G$4,E$1,$A585,$A585)),_xll.BDH(config!$G$4,E$1,$A585,$A585),_xll.BDH(config!$G$5,E$1,$A585,$A585))))</f>
        <v/>
      </c>
      <c r="F585" s="8" t="str">
        <f>IF($A585="","",IF(ISNUMBER(FIND("IMPVOL",F$1)),_xll.BDH(config!$G$4,F$1,WORKDAY($A585,-1,config_Holiday_Calendar_US),WORKDAY($A585,-1,config_Holiday_Calendar_US)),IF(ISNUMBER(_xll.BDH(config!$G$4,F$1,$A585,$A585)),_xll.BDH(config!$G$4,F$1,$A585,$A585),_xll.BDH(config!$G$5,F$1,$A585,$A585))))</f>
        <v/>
      </c>
      <c r="G585" s="8" t="str">
        <f>IF($A585="","",IF(ISNUMBER(FIND("IMPVOL",G$1)),_xll.BDH(config!$G$4,G$1,WORKDAY($A585,-1,config_Holiday_Calendar_US),WORKDAY($A585,-1,config_Holiday_Calendar_US)),IF(ISNUMBER(_xll.BDH(config!$G$4,G$1,$A585,$A585)),_xll.BDH(config!$G$4,G$1,$A585,$A585),_xll.BDH(config!$G$5,G$1,$A585,$A585))))</f>
        <v/>
      </c>
      <c r="H585" s="8" t="str">
        <f>IF($A585="","",IF(ISNUMBER(FIND("IMPVOL",H$1)),_xll.BDH(config!$G$4,H$1,WORKDAY($A585,-1,config_Holiday_Calendar_US),WORKDAY($A585,-1,config_Holiday_Calendar_US)),IF(ISNUMBER(_xll.BDH(config!$G$4,H$1,$A585,$A585)),_xll.BDH(config!$G$4,H$1,$A585,$A585),_xll.BDH(config!$G$5,H$1,$A585,$A585))))</f>
        <v/>
      </c>
      <c r="I585" s="8" t="str">
        <f>IF($A585="","",IF(ISNUMBER(FIND("IMPVOL",I$1)),_xll.BDH(config!$G$4,I$1,WORKDAY($A585,-1,config_Holiday_Calendar_US),WORKDAY($A585,-1,config_Holiday_Calendar_US)),IF(ISNUMBER(_xll.BDH(config!$G$4,I$1,$A585,$A585)),_xll.BDH(config!$G$4,I$1,$A585,$A585),_xll.BDH(config!$G$5,I$1,$A585,$A585))))</f>
        <v/>
      </c>
      <c r="J585" s="8" t="str">
        <f>IF($A585="","",IF(ISNUMBER(FIND("IMPVOL",J$1)),_xll.BDH(config!$G$4,J$1,WORKDAY($A585,-1,config_Holiday_Calendar_US),WORKDAY($A585,-1,config_Holiday_Calendar_US)),IF(ISNUMBER(_xll.BDH(config!$G$4,J$1,$A585,$A585)),_xll.BDH(config!$G$4,J$1,$A585,$A585),_xll.BDH(config!$G$5,J$1,$A585,$A585))))</f>
        <v/>
      </c>
      <c r="K585" s="8" t="str">
        <f>IF($A585="","",IF(ISNUMBER(FIND("IMPVOL",K$1)),_xll.BDH(config!$G$4,K$1,WORKDAY($A585,-1,config_Holiday_Calendar_US),WORKDAY($A585,-1,config_Holiday_Calendar_US)),IF(ISNUMBER(_xll.BDH(config!$G$4,K$1,$A585,$A585)),_xll.BDH(config!$G$4,K$1,$A585,$A585),_xll.BDH(config!$G$5,K$1,$A585,$A585))))</f>
        <v/>
      </c>
      <c r="L585" s="8" t="str">
        <f>IF($A585="","",IF(ISNUMBER(FIND("IMPVOL",L$1)),_xll.BDH(config!$G$4,L$1,WORKDAY($A585,-1,config_Holiday_Calendar_US),WORKDAY($A585,-1,config_Holiday_Calendar_US)),IF(ISNUMBER(_xll.BDH(config!$G$4,L$1,$A585,$A585)),_xll.BDH(config!$G$4,L$1,$A585,$A585),_xll.BDH(config!$G$5,L$1,$A585,$A585))))</f>
        <v/>
      </c>
      <c r="M585" s="8" t="str">
        <f>IF($A585="","",IF(ISNUMBER(FIND("IMPVOL",M$1)),_xll.BDH(config!$G$4,M$1,WORKDAY($A585,-1,config_Holiday_Calendar_US),WORKDAY($A585,-1,config_Holiday_Calendar_US)),IF(ISNUMBER(_xll.BDH(config!$G$4,M$1,$A585,$A585)),_xll.BDH(config!$G$4,M$1,$A585,$A585),_xll.BDH(config!$G$5,M$1,$A585,$A585))))</f>
        <v/>
      </c>
      <c r="N585" s="8" t="str">
        <f>IF($A585="","",IF(ISNUMBER(FIND("IMPVOL",N$1)),_xll.BDH(config!$G$4,N$1,WORKDAY($A585,-1,config_Holiday_Calendar_US),WORKDAY($A585,-1,config_Holiday_Calendar_US)),IF(ISNUMBER(_xll.BDH(config!$G$4,N$1,$A585,$A585)),_xll.BDH(config!$G$4,N$1,$A585,$A585),_xll.BDH(config!$G$5,N$1,$A585,$A585))))</f>
        <v/>
      </c>
      <c r="O585" s="8" t="str">
        <f>IF($A585="","",IF(ISNUMBER(FIND("IMPVOL",O$1)),_xll.BDH(config!$G$4,O$1,WORKDAY($A585,-1,config_Holiday_Calendar_US),WORKDAY($A585,-1,config_Holiday_Calendar_US)),IF(ISNUMBER(_xll.BDH(config!$G$4,O$1,$A585,$A585)),_xll.BDH(config!$G$4,O$1,$A585,$A585),_xll.BDH(config!$G$5,O$1,$A585,$A585))))</f>
        <v/>
      </c>
      <c r="P585" s="8" t="str">
        <f>IF($A585="","",IF(ISNUMBER(FIND("IMPVOL",P$1)),_xll.BDH(config!$G$4,P$1,WORKDAY($A585,-1,config_Holiday_Calendar_US),WORKDAY($A585,-1,config_Holiday_Calendar_US)),IF(ISNUMBER(_xll.BDH(config!$G$4,P$1,$A585,$A585)),_xll.BDH(config!$G$4,P$1,$A585,$A585),_xll.BDH(config!$G$5,P$1,$A585,$A585))))</f>
        <v/>
      </c>
      <c r="Q585" s="8" t="str">
        <f>IF($A585="","",IF(ISNUMBER(FIND("IMPVOL",Q$1)),_xll.BDH(config!$G$4,Q$1,WORKDAY($A585,-1,config_Holiday_Calendar_US),WORKDAY($A585,-1,config_Holiday_Calendar_US)),IF(ISNUMBER(_xll.BDH(config!$G$4,Q$1,$A585,$A585)),_xll.BDH(config!$G$4,Q$1,$A585,$A585),_xll.BDH(config!$G$5,Q$1,$A585,$A585))))</f>
        <v/>
      </c>
      <c r="R585" s="8" t="str">
        <f>IF($A585="","",IF(ISNUMBER(FIND("IMPVOL",R$1)),_xll.BDH(config!$G$4,R$1,WORKDAY($A585,-1,config_Holiday_Calendar_US),WORKDAY($A585,-1,config_Holiday_Calendar_US)),IF(ISNUMBER(_xll.BDH(config!$G$4,R$1,$A585,$A585)),_xll.BDH(config!$G$4,R$1,$A585,$A585),_xll.BDH(config!$G$5,R$1,$A585,$A585))))</f>
        <v/>
      </c>
      <c r="S585" s="8" t="str">
        <f>IF($A585="","",IF(ISNUMBER(FIND("IMPVOL",S$1)),_xll.BDH(config!$G$4,S$1,WORKDAY($A585,-1,config_Holiday_Calendar_US),WORKDAY($A585,-1,config_Holiday_Calendar_US)),IF(ISNUMBER(_xll.BDH(config!$G$4,S$1,$A585,$A585)),_xll.BDH(config!$G$4,S$1,$A585,$A585),_xll.BDH(config!$G$5,S$1,$A585,$A585))))</f>
        <v/>
      </c>
      <c r="T585" s="8" t="str">
        <f>IF($A585="","",IF(ISNUMBER(FIND("IMPVOL",T$1)),_xll.BDH(config!$G$4,T$1,WORKDAY($A585,-1,config_Holiday_Calendar_US),WORKDAY($A585,-1,config_Holiday_Calendar_US)),IF(ISNUMBER(_xll.BDH(config!$G$4,T$1,$A585,$A585)),_xll.BDH(config!$G$4,T$1,$A585,$A585),_xll.BDH(config!$G$5,T$1,$A585,$A585))))</f>
        <v/>
      </c>
      <c r="U585" s="8" t="str">
        <f>IF($A585="","",IF(ISNUMBER(FIND("IMPVOL",U$1)),_xll.BDH(config!$G$4,U$1,WORKDAY($A585,-1,config_Holiday_Calendar_US),WORKDAY($A585,-1,config_Holiday_Calendar_US)),IF(ISNUMBER(_xll.BDH(config!$G$4,U$1,$A585,$A585)),_xll.BDH(config!$G$4,U$1,$A585,$A585),_xll.BDH(config!$G$5,U$1,$A585,$A585))))</f>
        <v/>
      </c>
      <c r="V585" s="8" t="str">
        <f>IF($A585="","",IF(ISNUMBER(FIND("IMPVOL",V$1)),_xll.BDH(config!$G$4,V$1,WORKDAY($A585,-1,config_Holiday_Calendar_US),WORKDAY($A585,-1,config_Holiday_Calendar_US)),IF(ISNUMBER(_xll.BDH(config!$G$4,V$1,$A585,$A585)),_xll.BDH(config!$G$4,V$1,$A585,$A585),_xll.BDH(config!$G$5,V$1,$A585,$A585))))</f>
        <v/>
      </c>
      <c r="W585" s="8" t="str">
        <f>IF($A585="","",IF(ISNUMBER(FIND("IMPVOL",W$1)),_xll.BDH(config!$G$4,W$1,WORKDAY($A585,-1,config_Holiday_Calendar_US),WORKDAY($A585,-1,config_Holiday_Calendar_US)),IF(ISNUMBER(_xll.BDH(config!$G$4,W$1,$A585,$A585)),_xll.BDH(config!$G$4,W$1,$A585,$A585),_xll.BDH(config!$G$5,W$1,$A585,$A585))))</f>
        <v/>
      </c>
    </row>
    <row r="586" spans="1:23" x14ac:dyDescent="0.2">
      <c r="A586" s="9" t="str">
        <f>IF(A585="","",IF(WORKDAY(A585,-1,config_Holiday_Calendar_US)&lt;config!$I$10,"",WORKDAY(A585,-1,config_Holiday_Calendar_US)))</f>
        <v/>
      </c>
      <c r="B586" s="8" t="str">
        <f t="shared" si="9"/>
        <v/>
      </c>
      <c r="C586" s="8" t="str">
        <f>IF(A586="","",_xll.BDH(config!$H$4,C$1,$A586,$A586))</f>
        <v/>
      </c>
      <c r="D586" s="8" t="str">
        <f>IF($A586="","",_xll.BDH(config!$H$4,D$1,$A586,$A586))</f>
        <v/>
      </c>
      <c r="E586" s="8" t="str">
        <f>IF($A586="","",IF(ISNUMBER(FIND("IMPVOL",E$1)),_xll.BDH(config!$G$4,E$1,WORKDAY($A586,-1,config_Holiday_Calendar_US),WORKDAY($A586,-1,config_Holiday_Calendar_US)),IF(ISNUMBER(_xll.BDH(config!$G$4,E$1,$A586,$A586)),_xll.BDH(config!$G$4,E$1,$A586,$A586),_xll.BDH(config!$G$5,E$1,$A586,$A586))))</f>
        <v/>
      </c>
      <c r="F586" s="8" t="str">
        <f>IF($A586="","",IF(ISNUMBER(FIND("IMPVOL",F$1)),_xll.BDH(config!$G$4,F$1,WORKDAY($A586,-1,config_Holiday_Calendar_US),WORKDAY($A586,-1,config_Holiday_Calendar_US)),IF(ISNUMBER(_xll.BDH(config!$G$4,F$1,$A586,$A586)),_xll.BDH(config!$G$4,F$1,$A586,$A586),_xll.BDH(config!$G$5,F$1,$A586,$A586))))</f>
        <v/>
      </c>
      <c r="G586" s="8" t="str">
        <f>IF($A586="","",IF(ISNUMBER(FIND("IMPVOL",G$1)),_xll.BDH(config!$G$4,G$1,WORKDAY($A586,-1,config_Holiday_Calendar_US),WORKDAY($A586,-1,config_Holiday_Calendar_US)),IF(ISNUMBER(_xll.BDH(config!$G$4,G$1,$A586,$A586)),_xll.BDH(config!$G$4,G$1,$A586,$A586),_xll.BDH(config!$G$5,G$1,$A586,$A586))))</f>
        <v/>
      </c>
      <c r="H586" s="8" t="str">
        <f>IF($A586="","",IF(ISNUMBER(FIND("IMPVOL",H$1)),_xll.BDH(config!$G$4,H$1,WORKDAY($A586,-1,config_Holiday_Calendar_US),WORKDAY($A586,-1,config_Holiday_Calendar_US)),IF(ISNUMBER(_xll.BDH(config!$G$4,H$1,$A586,$A586)),_xll.BDH(config!$G$4,H$1,$A586,$A586),_xll.BDH(config!$G$5,H$1,$A586,$A586))))</f>
        <v/>
      </c>
      <c r="I586" s="8" t="str">
        <f>IF($A586="","",IF(ISNUMBER(FIND("IMPVOL",I$1)),_xll.BDH(config!$G$4,I$1,WORKDAY($A586,-1,config_Holiday_Calendar_US),WORKDAY($A586,-1,config_Holiday_Calendar_US)),IF(ISNUMBER(_xll.BDH(config!$G$4,I$1,$A586,$A586)),_xll.BDH(config!$G$4,I$1,$A586,$A586),_xll.BDH(config!$G$5,I$1,$A586,$A586))))</f>
        <v/>
      </c>
      <c r="J586" s="8" t="str">
        <f>IF($A586="","",IF(ISNUMBER(FIND("IMPVOL",J$1)),_xll.BDH(config!$G$4,J$1,WORKDAY($A586,-1,config_Holiday_Calendar_US),WORKDAY($A586,-1,config_Holiday_Calendar_US)),IF(ISNUMBER(_xll.BDH(config!$G$4,J$1,$A586,$A586)),_xll.BDH(config!$G$4,J$1,$A586,$A586),_xll.BDH(config!$G$5,J$1,$A586,$A586))))</f>
        <v/>
      </c>
      <c r="K586" s="8" t="str">
        <f>IF($A586="","",IF(ISNUMBER(FIND("IMPVOL",K$1)),_xll.BDH(config!$G$4,K$1,WORKDAY($A586,-1,config_Holiday_Calendar_US),WORKDAY($A586,-1,config_Holiday_Calendar_US)),IF(ISNUMBER(_xll.BDH(config!$G$4,K$1,$A586,$A586)),_xll.BDH(config!$G$4,K$1,$A586,$A586),_xll.BDH(config!$G$5,K$1,$A586,$A586))))</f>
        <v/>
      </c>
      <c r="L586" s="8" t="str">
        <f>IF($A586="","",IF(ISNUMBER(FIND("IMPVOL",L$1)),_xll.BDH(config!$G$4,L$1,WORKDAY($A586,-1,config_Holiday_Calendar_US),WORKDAY($A586,-1,config_Holiday_Calendar_US)),IF(ISNUMBER(_xll.BDH(config!$G$4,L$1,$A586,$A586)),_xll.BDH(config!$G$4,L$1,$A586,$A586),_xll.BDH(config!$G$5,L$1,$A586,$A586))))</f>
        <v/>
      </c>
      <c r="M586" s="8" t="str">
        <f>IF($A586="","",IF(ISNUMBER(FIND("IMPVOL",M$1)),_xll.BDH(config!$G$4,M$1,WORKDAY($A586,-1,config_Holiday_Calendar_US),WORKDAY($A586,-1,config_Holiday_Calendar_US)),IF(ISNUMBER(_xll.BDH(config!$G$4,M$1,$A586,$A586)),_xll.BDH(config!$G$4,M$1,$A586,$A586),_xll.BDH(config!$G$5,M$1,$A586,$A586))))</f>
        <v/>
      </c>
      <c r="N586" s="8" t="str">
        <f>IF($A586="","",IF(ISNUMBER(FIND("IMPVOL",N$1)),_xll.BDH(config!$G$4,N$1,WORKDAY($A586,-1,config_Holiday_Calendar_US),WORKDAY($A586,-1,config_Holiday_Calendar_US)),IF(ISNUMBER(_xll.BDH(config!$G$4,N$1,$A586,$A586)),_xll.BDH(config!$G$4,N$1,$A586,$A586),_xll.BDH(config!$G$5,N$1,$A586,$A586))))</f>
        <v/>
      </c>
      <c r="O586" s="8" t="str">
        <f>IF($A586="","",IF(ISNUMBER(FIND("IMPVOL",O$1)),_xll.BDH(config!$G$4,O$1,WORKDAY($A586,-1,config_Holiday_Calendar_US),WORKDAY($A586,-1,config_Holiday_Calendar_US)),IF(ISNUMBER(_xll.BDH(config!$G$4,O$1,$A586,$A586)),_xll.BDH(config!$G$4,O$1,$A586,$A586),_xll.BDH(config!$G$5,O$1,$A586,$A586))))</f>
        <v/>
      </c>
      <c r="P586" s="8" t="str">
        <f>IF($A586="","",IF(ISNUMBER(FIND("IMPVOL",P$1)),_xll.BDH(config!$G$4,P$1,WORKDAY($A586,-1,config_Holiday_Calendar_US),WORKDAY($A586,-1,config_Holiday_Calendar_US)),IF(ISNUMBER(_xll.BDH(config!$G$4,P$1,$A586,$A586)),_xll.BDH(config!$G$4,P$1,$A586,$A586),_xll.BDH(config!$G$5,P$1,$A586,$A586))))</f>
        <v/>
      </c>
      <c r="Q586" s="8" t="str">
        <f>IF($A586="","",IF(ISNUMBER(FIND("IMPVOL",Q$1)),_xll.BDH(config!$G$4,Q$1,WORKDAY($A586,-1,config_Holiday_Calendar_US),WORKDAY($A586,-1,config_Holiday_Calendar_US)),IF(ISNUMBER(_xll.BDH(config!$G$4,Q$1,$A586,$A586)),_xll.BDH(config!$G$4,Q$1,$A586,$A586),_xll.BDH(config!$G$5,Q$1,$A586,$A586))))</f>
        <v/>
      </c>
      <c r="R586" s="8" t="str">
        <f>IF($A586="","",IF(ISNUMBER(FIND("IMPVOL",R$1)),_xll.BDH(config!$G$4,R$1,WORKDAY($A586,-1,config_Holiday_Calendar_US),WORKDAY($A586,-1,config_Holiday_Calendar_US)),IF(ISNUMBER(_xll.BDH(config!$G$4,R$1,$A586,$A586)),_xll.BDH(config!$G$4,R$1,$A586,$A586),_xll.BDH(config!$G$5,R$1,$A586,$A586))))</f>
        <v/>
      </c>
      <c r="S586" s="8" t="str">
        <f>IF($A586="","",IF(ISNUMBER(FIND("IMPVOL",S$1)),_xll.BDH(config!$G$4,S$1,WORKDAY($A586,-1,config_Holiday_Calendar_US),WORKDAY($A586,-1,config_Holiday_Calendar_US)),IF(ISNUMBER(_xll.BDH(config!$G$4,S$1,$A586,$A586)),_xll.BDH(config!$G$4,S$1,$A586,$A586),_xll.BDH(config!$G$5,S$1,$A586,$A586))))</f>
        <v/>
      </c>
      <c r="T586" s="8" t="str">
        <f>IF($A586="","",IF(ISNUMBER(FIND("IMPVOL",T$1)),_xll.BDH(config!$G$4,T$1,WORKDAY($A586,-1,config_Holiday_Calendar_US),WORKDAY($A586,-1,config_Holiday_Calendar_US)),IF(ISNUMBER(_xll.BDH(config!$G$4,T$1,$A586,$A586)),_xll.BDH(config!$G$4,T$1,$A586,$A586),_xll.BDH(config!$G$5,T$1,$A586,$A586))))</f>
        <v/>
      </c>
      <c r="U586" s="8" t="str">
        <f>IF($A586="","",IF(ISNUMBER(FIND("IMPVOL",U$1)),_xll.BDH(config!$G$4,U$1,WORKDAY($A586,-1,config_Holiday_Calendar_US),WORKDAY($A586,-1,config_Holiday_Calendar_US)),IF(ISNUMBER(_xll.BDH(config!$G$4,U$1,$A586,$A586)),_xll.BDH(config!$G$4,U$1,$A586,$A586),_xll.BDH(config!$G$5,U$1,$A586,$A586))))</f>
        <v/>
      </c>
      <c r="V586" s="8" t="str">
        <f>IF($A586="","",IF(ISNUMBER(FIND("IMPVOL",V$1)),_xll.BDH(config!$G$4,V$1,WORKDAY($A586,-1,config_Holiday_Calendar_US),WORKDAY($A586,-1,config_Holiday_Calendar_US)),IF(ISNUMBER(_xll.BDH(config!$G$4,V$1,$A586,$A586)),_xll.BDH(config!$G$4,V$1,$A586,$A586),_xll.BDH(config!$G$5,V$1,$A586,$A586))))</f>
        <v/>
      </c>
      <c r="W586" s="8" t="str">
        <f>IF($A586="","",IF(ISNUMBER(FIND("IMPVOL",W$1)),_xll.BDH(config!$G$4,W$1,WORKDAY($A586,-1,config_Holiday_Calendar_US),WORKDAY($A586,-1,config_Holiday_Calendar_US)),IF(ISNUMBER(_xll.BDH(config!$G$4,W$1,$A586,$A586)),_xll.BDH(config!$G$4,W$1,$A586,$A586),_xll.BDH(config!$G$5,W$1,$A586,$A586))))</f>
        <v/>
      </c>
    </row>
    <row r="587" spans="1:23" x14ac:dyDescent="0.2">
      <c r="A587" s="9" t="str">
        <f>IF(A586="","",IF(WORKDAY(A586,-1,config_Holiday_Calendar_US)&lt;config!$I$10,"",WORKDAY(A586,-1,config_Holiday_Calendar_US)))</f>
        <v/>
      </c>
      <c r="B587" s="8" t="str">
        <f t="shared" si="9"/>
        <v/>
      </c>
      <c r="C587" s="8" t="str">
        <f>IF(A587="","",_xll.BDH(config!$H$4,C$1,$A587,$A587))</f>
        <v/>
      </c>
      <c r="D587" s="8" t="str">
        <f>IF($A587="","",_xll.BDH(config!$H$4,D$1,$A587,$A587))</f>
        <v/>
      </c>
      <c r="E587" s="8" t="str">
        <f>IF($A587="","",IF(ISNUMBER(FIND("IMPVOL",E$1)),_xll.BDH(config!$G$4,E$1,WORKDAY($A587,-1,config_Holiday_Calendar_US),WORKDAY($A587,-1,config_Holiday_Calendar_US)),IF(ISNUMBER(_xll.BDH(config!$G$4,E$1,$A587,$A587)),_xll.BDH(config!$G$4,E$1,$A587,$A587),_xll.BDH(config!$G$5,E$1,$A587,$A587))))</f>
        <v/>
      </c>
      <c r="F587" s="8" t="str">
        <f>IF($A587="","",IF(ISNUMBER(FIND("IMPVOL",F$1)),_xll.BDH(config!$G$4,F$1,WORKDAY($A587,-1,config_Holiday_Calendar_US),WORKDAY($A587,-1,config_Holiday_Calendar_US)),IF(ISNUMBER(_xll.BDH(config!$G$4,F$1,$A587,$A587)),_xll.BDH(config!$G$4,F$1,$A587,$A587),_xll.BDH(config!$G$5,F$1,$A587,$A587))))</f>
        <v/>
      </c>
      <c r="G587" s="8" t="str">
        <f>IF($A587="","",IF(ISNUMBER(FIND("IMPVOL",G$1)),_xll.BDH(config!$G$4,G$1,WORKDAY($A587,-1,config_Holiday_Calendar_US),WORKDAY($A587,-1,config_Holiday_Calendar_US)),IF(ISNUMBER(_xll.BDH(config!$G$4,G$1,$A587,$A587)),_xll.BDH(config!$G$4,G$1,$A587,$A587),_xll.BDH(config!$G$5,G$1,$A587,$A587))))</f>
        <v/>
      </c>
      <c r="H587" s="8" t="str">
        <f>IF($A587="","",IF(ISNUMBER(FIND("IMPVOL",H$1)),_xll.BDH(config!$G$4,H$1,WORKDAY($A587,-1,config_Holiday_Calendar_US),WORKDAY($A587,-1,config_Holiday_Calendar_US)),IF(ISNUMBER(_xll.BDH(config!$G$4,H$1,$A587,$A587)),_xll.BDH(config!$G$4,H$1,$A587,$A587),_xll.BDH(config!$G$5,H$1,$A587,$A587))))</f>
        <v/>
      </c>
      <c r="I587" s="8" t="str">
        <f>IF($A587="","",IF(ISNUMBER(FIND("IMPVOL",I$1)),_xll.BDH(config!$G$4,I$1,WORKDAY($A587,-1,config_Holiday_Calendar_US),WORKDAY($A587,-1,config_Holiday_Calendar_US)),IF(ISNUMBER(_xll.BDH(config!$G$4,I$1,$A587,$A587)),_xll.BDH(config!$G$4,I$1,$A587,$A587),_xll.BDH(config!$G$5,I$1,$A587,$A587))))</f>
        <v/>
      </c>
      <c r="J587" s="8" t="str">
        <f>IF($A587="","",IF(ISNUMBER(FIND("IMPVOL",J$1)),_xll.BDH(config!$G$4,J$1,WORKDAY($A587,-1,config_Holiday_Calendar_US),WORKDAY($A587,-1,config_Holiday_Calendar_US)),IF(ISNUMBER(_xll.BDH(config!$G$4,J$1,$A587,$A587)),_xll.BDH(config!$G$4,J$1,$A587,$A587),_xll.BDH(config!$G$5,J$1,$A587,$A587))))</f>
        <v/>
      </c>
      <c r="K587" s="8" t="str">
        <f>IF($A587="","",IF(ISNUMBER(FIND("IMPVOL",K$1)),_xll.BDH(config!$G$4,K$1,WORKDAY($A587,-1,config_Holiday_Calendar_US),WORKDAY($A587,-1,config_Holiday_Calendar_US)),IF(ISNUMBER(_xll.BDH(config!$G$4,K$1,$A587,$A587)),_xll.BDH(config!$G$4,K$1,$A587,$A587),_xll.BDH(config!$G$5,K$1,$A587,$A587))))</f>
        <v/>
      </c>
      <c r="L587" s="8" t="str">
        <f>IF($A587="","",IF(ISNUMBER(FIND("IMPVOL",L$1)),_xll.BDH(config!$G$4,L$1,WORKDAY($A587,-1,config_Holiday_Calendar_US),WORKDAY($A587,-1,config_Holiday_Calendar_US)),IF(ISNUMBER(_xll.BDH(config!$G$4,L$1,$A587,$A587)),_xll.BDH(config!$G$4,L$1,$A587,$A587),_xll.BDH(config!$G$5,L$1,$A587,$A587))))</f>
        <v/>
      </c>
      <c r="M587" s="8" t="str">
        <f>IF($A587="","",IF(ISNUMBER(FIND("IMPVOL",M$1)),_xll.BDH(config!$G$4,M$1,WORKDAY($A587,-1,config_Holiday_Calendar_US),WORKDAY($A587,-1,config_Holiday_Calendar_US)),IF(ISNUMBER(_xll.BDH(config!$G$4,M$1,$A587,$A587)),_xll.BDH(config!$G$4,M$1,$A587,$A587),_xll.BDH(config!$G$5,M$1,$A587,$A587))))</f>
        <v/>
      </c>
      <c r="N587" s="8" t="str">
        <f>IF($A587="","",IF(ISNUMBER(FIND("IMPVOL",N$1)),_xll.BDH(config!$G$4,N$1,WORKDAY($A587,-1,config_Holiday_Calendar_US),WORKDAY($A587,-1,config_Holiday_Calendar_US)),IF(ISNUMBER(_xll.BDH(config!$G$4,N$1,$A587,$A587)),_xll.BDH(config!$G$4,N$1,$A587,$A587),_xll.BDH(config!$G$5,N$1,$A587,$A587))))</f>
        <v/>
      </c>
      <c r="O587" s="8" t="str">
        <f>IF($A587="","",IF(ISNUMBER(FIND("IMPVOL",O$1)),_xll.BDH(config!$G$4,O$1,WORKDAY($A587,-1,config_Holiday_Calendar_US),WORKDAY($A587,-1,config_Holiday_Calendar_US)),IF(ISNUMBER(_xll.BDH(config!$G$4,O$1,$A587,$A587)),_xll.BDH(config!$G$4,O$1,$A587,$A587),_xll.BDH(config!$G$5,O$1,$A587,$A587))))</f>
        <v/>
      </c>
      <c r="P587" s="8" t="str">
        <f>IF($A587="","",IF(ISNUMBER(FIND("IMPVOL",P$1)),_xll.BDH(config!$G$4,P$1,WORKDAY($A587,-1,config_Holiday_Calendar_US),WORKDAY($A587,-1,config_Holiday_Calendar_US)),IF(ISNUMBER(_xll.BDH(config!$G$4,P$1,$A587,$A587)),_xll.BDH(config!$G$4,P$1,$A587,$A587),_xll.BDH(config!$G$5,P$1,$A587,$A587))))</f>
        <v/>
      </c>
      <c r="Q587" s="8" t="str">
        <f>IF($A587="","",IF(ISNUMBER(FIND("IMPVOL",Q$1)),_xll.BDH(config!$G$4,Q$1,WORKDAY($A587,-1,config_Holiday_Calendar_US),WORKDAY($A587,-1,config_Holiday_Calendar_US)),IF(ISNUMBER(_xll.BDH(config!$G$4,Q$1,$A587,$A587)),_xll.BDH(config!$G$4,Q$1,$A587,$A587),_xll.BDH(config!$G$5,Q$1,$A587,$A587))))</f>
        <v/>
      </c>
      <c r="R587" s="8" t="str">
        <f>IF($A587="","",IF(ISNUMBER(FIND("IMPVOL",R$1)),_xll.BDH(config!$G$4,R$1,WORKDAY($A587,-1,config_Holiday_Calendar_US),WORKDAY($A587,-1,config_Holiday_Calendar_US)),IF(ISNUMBER(_xll.BDH(config!$G$4,R$1,$A587,$A587)),_xll.BDH(config!$G$4,R$1,$A587,$A587),_xll.BDH(config!$G$5,R$1,$A587,$A587))))</f>
        <v/>
      </c>
      <c r="S587" s="8" t="str">
        <f>IF($A587="","",IF(ISNUMBER(FIND("IMPVOL",S$1)),_xll.BDH(config!$G$4,S$1,WORKDAY($A587,-1,config_Holiday_Calendar_US),WORKDAY($A587,-1,config_Holiday_Calendar_US)),IF(ISNUMBER(_xll.BDH(config!$G$4,S$1,$A587,$A587)),_xll.BDH(config!$G$4,S$1,$A587,$A587),_xll.BDH(config!$G$5,S$1,$A587,$A587))))</f>
        <v/>
      </c>
      <c r="T587" s="8" t="str">
        <f>IF($A587="","",IF(ISNUMBER(FIND("IMPVOL",T$1)),_xll.BDH(config!$G$4,T$1,WORKDAY($A587,-1,config_Holiday_Calendar_US),WORKDAY($A587,-1,config_Holiday_Calendar_US)),IF(ISNUMBER(_xll.BDH(config!$G$4,T$1,$A587,$A587)),_xll.BDH(config!$G$4,T$1,$A587,$A587),_xll.BDH(config!$G$5,T$1,$A587,$A587))))</f>
        <v/>
      </c>
      <c r="U587" s="8" t="str">
        <f>IF($A587="","",IF(ISNUMBER(FIND("IMPVOL",U$1)),_xll.BDH(config!$G$4,U$1,WORKDAY($A587,-1,config_Holiday_Calendar_US),WORKDAY($A587,-1,config_Holiday_Calendar_US)),IF(ISNUMBER(_xll.BDH(config!$G$4,U$1,$A587,$A587)),_xll.BDH(config!$G$4,U$1,$A587,$A587),_xll.BDH(config!$G$5,U$1,$A587,$A587))))</f>
        <v/>
      </c>
      <c r="V587" s="8" t="str">
        <f>IF($A587="","",IF(ISNUMBER(FIND("IMPVOL",V$1)),_xll.BDH(config!$G$4,V$1,WORKDAY($A587,-1,config_Holiday_Calendar_US),WORKDAY($A587,-1,config_Holiday_Calendar_US)),IF(ISNUMBER(_xll.BDH(config!$G$4,V$1,$A587,$A587)),_xll.BDH(config!$G$4,V$1,$A587,$A587),_xll.BDH(config!$G$5,V$1,$A587,$A587))))</f>
        <v/>
      </c>
      <c r="W587" s="8" t="str">
        <f>IF($A587="","",IF(ISNUMBER(FIND("IMPVOL",W$1)),_xll.BDH(config!$G$4,W$1,WORKDAY($A587,-1,config_Holiday_Calendar_US),WORKDAY($A587,-1,config_Holiday_Calendar_US)),IF(ISNUMBER(_xll.BDH(config!$G$4,W$1,$A587,$A587)),_xll.BDH(config!$G$4,W$1,$A587,$A587),_xll.BDH(config!$G$5,W$1,$A587,$A587))))</f>
        <v/>
      </c>
    </row>
    <row r="588" spans="1:23" x14ac:dyDescent="0.2">
      <c r="A588" s="9" t="str">
        <f>IF(A587="","",IF(WORKDAY(A587,-1,config_Holiday_Calendar_US)&lt;config!$I$10,"",WORKDAY(A587,-1,config_Holiday_Calendar_US)))</f>
        <v/>
      </c>
      <c r="B588" s="8" t="str">
        <f t="shared" si="9"/>
        <v/>
      </c>
      <c r="C588" s="8" t="str">
        <f>IF(A588="","",_xll.BDH(config!$H$4,C$1,$A588,$A588))</f>
        <v/>
      </c>
      <c r="D588" s="8" t="str">
        <f>IF($A588="","",_xll.BDH(config!$H$4,D$1,$A588,$A588))</f>
        <v/>
      </c>
      <c r="E588" s="8" t="str">
        <f>IF($A588="","",IF(ISNUMBER(FIND("IMPVOL",E$1)),_xll.BDH(config!$G$4,E$1,WORKDAY($A588,-1,config_Holiday_Calendar_US),WORKDAY($A588,-1,config_Holiday_Calendar_US)),IF(ISNUMBER(_xll.BDH(config!$G$4,E$1,$A588,$A588)),_xll.BDH(config!$G$4,E$1,$A588,$A588),_xll.BDH(config!$G$5,E$1,$A588,$A588))))</f>
        <v/>
      </c>
      <c r="F588" s="8" t="str">
        <f>IF($A588="","",IF(ISNUMBER(FIND("IMPVOL",F$1)),_xll.BDH(config!$G$4,F$1,WORKDAY($A588,-1,config_Holiday_Calendar_US),WORKDAY($A588,-1,config_Holiday_Calendar_US)),IF(ISNUMBER(_xll.BDH(config!$G$4,F$1,$A588,$A588)),_xll.BDH(config!$G$4,F$1,$A588,$A588),_xll.BDH(config!$G$5,F$1,$A588,$A588))))</f>
        <v/>
      </c>
      <c r="G588" s="8" t="str">
        <f>IF($A588="","",IF(ISNUMBER(FIND("IMPVOL",G$1)),_xll.BDH(config!$G$4,G$1,WORKDAY($A588,-1,config_Holiday_Calendar_US),WORKDAY($A588,-1,config_Holiday_Calendar_US)),IF(ISNUMBER(_xll.BDH(config!$G$4,G$1,$A588,$A588)),_xll.BDH(config!$G$4,G$1,$A588,$A588),_xll.BDH(config!$G$5,G$1,$A588,$A588))))</f>
        <v/>
      </c>
      <c r="H588" s="8" t="str">
        <f>IF($A588="","",IF(ISNUMBER(FIND("IMPVOL",H$1)),_xll.BDH(config!$G$4,H$1,WORKDAY($A588,-1,config_Holiday_Calendar_US),WORKDAY($A588,-1,config_Holiday_Calendar_US)),IF(ISNUMBER(_xll.BDH(config!$G$4,H$1,$A588,$A588)),_xll.BDH(config!$G$4,H$1,$A588,$A588),_xll.BDH(config!$G$5,H$1,$A588,$A588))))</f>
        <v/>
      </c>
      <c r="I588" s="8" t="str">
        <f>IF($A588="","",IF(ISNUMBER(FIND("IMPVOL",I$1)),_xll.BDH(config!$G$4,I$1,WORKDAY($A588,-1,config_Holiday_Calendar_US),WORKDAY($A588,-1,config_Holiday_Calendar_US)),IF(ISNUMBER(_xll.BDH(config!$G$4,I$1,$A588,$A588)),_xll.BDH(config!$G$4,I$1,$A588,$A588),_xll.BDH(config!$G$5,I$1,$A588,$A588))))</f>
        <v/>
      </c>
      <c r="J588" s="8" t="str">
        <f>IF($A588="","",IF(ISNUMBER(FIND("IMPVOL",J$1)),_xll.BDH(config!$G$4,J$1,WORKDAY($A588,-1,config_Holiday_Calendar_US),WORKDAY($A588,-1,config_Holiday_Calendar_US)),IF(ISNUMBER(_xll.BDH(config!$G$4,J$1,$A588,$A588)),_xll.BDH(config!$G$4,J$1,$A588,$A588),_xll.BDH(config!$G$5,J$1,$A588,$A588))))</f>
        <v/>
      </c>
      <c r="K588" s="8" t="str">
        <f>IF($A588="","",IF(ISNUMBER(FIND("IMPVOL",K$1)),_xll.BDH(config!$G$4,K$1,WORKDAY($A588,-1,config_Holiday_Calendar_US),WORKDAY($A588,-1,config_Holiday_Calendar_US)),IF(ISNUMBER(_xll.BDH(config!$G$4,K$1,$A588,$A588)),_xll.BDH(config!$G$4,K$1,$A588,$A588),_xll.BDH(config!$G$5,K$1,$A588,$A588))))</f>
        <v/>
      </c>
      <c r="L588" s="8" t="str">
        <f>IF($A588="","",IF(ISNUMBER(FIND("IMPVOL",L$1)),_xll.BDH(config!$G$4,L$1,WORKDAY($A588,-1,config_Holiday_Calendar_US),WORKDAY($A588,-1,config_Holiday_Calendar_US)),IF(ISNUMBER(_xll.BDH(config!$G$4,L$1,$A588,$A588)),_xll.BDH(config!$G$4,L$1,$A588,$A588),_xll.BDH(config!$G$5,L$1,$A588,$A588))))</f>
        <v/>
      </c>
      <c r="M588" s="8" t="str">
        <f>IF($A588="","",IF(ISNUMBER(FIND("IMPVOL",M$1)),_xll.BDH(config!$G$4,M$1,WORKDAY($A588,-1,config_Holiday_Calendar_US),WORKDAY($A588,-1,config_Holiday_Calendar_US)),IF(ISNUMBER(_xll.BDH(config!$G$4,M$1,$A588,$A588)),_xll.BDH(config!$G$4,M$1,$A588,$A588),_xll.BDH(config!$G$5,M$1,$A588,$A588))))</f>
        <v/>
      </c>
      <c r="N588" s="8" t="str">
        <f>IF($A588="","",IF(ISNUMBER(FIND("IMPVOL",N$1)),_xll.BDH(config!$G$4,N$1,WORKDAY($A588,-1,config_Holiday_Calendar_US),WORKDAY($A588,-1,config_Holiday_Calendar_US)),IF(ISNUMBER(_xll.BDH(config!$G$4,N$1,$A588,$A588)),_xll.BDH(config!$G$4,N$1,$A588,$A588),_xll.BDH(config!$G$5,N$1,$A588,$A588))))</f>
        <v/>
      </c>
      <c r="O588" s="8" t="str">
        <f>IF($A588="","",IF(ISNUMBER(FIND("IMPVOL",O$1)),_xll.BDH(config!$G$4,O$1,WORKDAY($A588,-1,config_Holiday_Calendar_US),WORKDAY($A588,-1,config_Holiday_Calendar_US)),IF(ISNUMBER(_xll.BDH(config!$G$4,O$1,$A588,$A588)),_xll.BDH(config!$G$4,O$1,$A588,$A588),_xll.BDH(config!$G$5,O$1,$A588,$A588))))</f>
        <v/>
      </c>
      <c r="P588" s="8" t="str">
        <f>IF($A588="","",IF(ISNUMBER(FIND("IMPVOL",P$1)),_xll.BDH(config!$G$4,P$1,WORKDAY($A588,-1,config_Holiday_Calendar_US),WORKDAY($A588,-1,config_Holiday_Calendar_US)),IF(ISNUMBER(_xll.BDH(config!$G$4,P$1,$A588,$A588)),_xll.BDH(config!$G$4,P$1,$A588,$A588),_xll.BDH(config!$G$5,P$1,$A588,$A588))))</f>
        <v/>
      </c>
      <c r="Q588" s="8" t="str">
        <f>IF($A588="","",IF(ISNUMBER(FIND("IMPVOL",Q$1)),_xll.BDH(config!$G$4,Q$1,WORKDAY($A588,-1,config_Holiday_Calendar_US),WORKDAY($A588,-1,config_Holiday_Calendar_US)),IF(ISNUMBER(_xll.BDH(config!$G$4,Q$1,$A588,$A588)),_xll.BDH(config!$G$4,Q$1,$A588,$A588),_xll.BDH(config!$G$5,Q$1,$A588,$A588))))</f>
        <v/>
      </c>
      <c r="R588" s="8" t="str">
        <f>IF($A588="","",IF(ISNUMBER(FIND("IMPVOL",R$1)),_xll.BDH(config!$G$4,R$1,WORKDAY($A588,-1,config_Holiday_Calendar_US),WORKDAY($A588,-1,config_Holiday_Calendar_US)),IF(ISNUMBER(_xll.BDH(config!$G$4,R$1,$A588,$A588)),_xll.BDH(config!$G$4,R$1,$A588,$A588),_xll.BDH(config!$G$5,R$1,$A588,$A588))))</f>
        <v/>
      </c>
      <c r="S588" s="8" t="str">
        <f>IF($A588="","",IF(ISNUMBER(FIND("IMPVOL",S$1)),_xll.BDH(config!$G$4,S$1,WORKDAY($A588,-1,config_Holiday_Calendar_US),WORKDAY($A588,-1,config_Holiday_Calendar_US)),IF(ISNUMBER(_xll.BDH(config!$G$4,S$1,$A588,$A588)),_xll.BDH(config!$G$4,S$1,$A588,$A588),_xll.BDH(config!$G$5,S$1,$A588,$A588))))</f>
        <v/>
      </c>
      <c r="T588" s="8" t="str">
        <f>IF($A588="","",IF(ISNUMBER(FIND("IMPVOL",T$1)),_xll.BDH(config!$G$4,T$1,WORKDAY($A588,-1,config_Holiday_Calendar_US),WORKDAY($A588,-1,config_Holiday_Calendar_US)),IF(ISNUMBER(_xll.BDH(config!$G$4,T$1,$A588,$A588)),_xll.BDH(config!$G$4,T$1,$A588,$A588),_xll.BDH(config!$G$5,T$1,$A588,$A588))))</f>
        <v/>
      </c>
      <c r="U588" s="8" t="str">
        <f>IF($A588="","",IF(ISNUMBER(FIND("IMPVOL",U$1)),_xll.BDH(config!$G$4,U$1,WORKDAY($A588,-1,config_Holiday_Calendar_US),WORKDAY($A588,-1,config_Holiday_Calendar_US)),IF(ISNUMBER(_xll.BDH(config!$G$4,U$1,$A588,$A588)),_xll.BDH(config!$G$4,U$1,$A588,$A588),_xll.BDH(config!$G$5,U$1,$A588,$A588))))</f>
        <v/>
      </c>
      <c r="V588" s="8" t="str">
        <f>IF($A588="","",IF(ISNUMBER(FIND("IMPVOL",V$1)),_xll.BDH(config!$G$4,V$1,WORKDAY($A588,-1,config_Holiday_Calendar_US),WORKDAY($A588,-1,config_Holiday_Calendar_US)),IF(ISNUMBER(_xll.BDH(config!$G$4,V$1,$A588,$A588)),_xll.BDH(config!$G$4,V$1,$A588,$A588),_xll.BDH(config!$G$5,V$1,$A588,$A588))))</f>
        <v/>
      </c>
      <c r="W588" s="8" t="str">
        <f>IF($A588="","",IF(ISNUMBER(FIND("IMPVOL",W$1)),_xll.BDH(config!$G$4,W$1,WORKDAY($A588,-1,config_Holiday_Calendar_US),WORKDAY($A588,-1,config_Holiday_Calendar_US)),IF(ISNUMBER(_xll.BDH(config!$G$4,W$1,$A588,$A588)),_xll.BDH(config!$G$4,W$1,$A588,$A588),_xll.BDH(config!$G$5,W$1,$A588,$A588))))</f>
        <v/>
      </c>
    </row>
    <row r="589" spans="1:23" x14ac:dyDescent="0.2">
      <c r="A589" s="9" t="str">
        <f>IF(A588="","",IF(WORKDAY(A588,-1,config_Holiday_Calendar_US)&lt;config!$I$10,"",WORKDAY(A588,-1,config_Holiday_Calendar_US)))</f>
        <v/>
      </c>
      <c r="B589" s="8" t="str">
        <f t="shared" si="9"/>
        <v/>
      </c>
      <c r="C589" s="8" t="str">
        <f>IF(A589="","",_xll.BDH(config!$H$4,C$1,$A589,$A589))</f>
        <v/>
      </c>
      <c r="D589" s="8" t="str">
        <f>IF($A589="","",_xll.BDH(config!$H$4,D$1,$A589,$A589))</f>
        <v/>
      </c>
      <c r="E589" s="8" t="str">
        <f>IF($A589="","",IF(ISNUMBER(FIND("IMPVOL",E$1)),_xll.BDH(config!$G$4,E$1,WORKDAY($A589,-1,config_Holiday_Calendar_US),WORKDAY($A589,-1,config_Holiday_Calendar_US)),IF(ISNUMBER(_xll.BDH(config!$G$4,E$1,$A589,$A589)),_xll.BDH(config!$G$4,E$1,$A589,$A589),_xll.BDH(config!$G$5,E$1,$A589,$A589))))</f>
        <v/>
      </c>
      <c r="F589" s="8" t="str">
        <f>IF($A589="","",IF(ISNUMBER(FIND("IMPVOL",F$1)),_xll.BDH(config!$G$4,F$1,WORKDAY($A589,-1,config_Holiday_Calendar_US),WORKDAY($A589,-1,config_Holiday_Calendar_US)),IF(ISNUMBER(_xll.BDH(config!$G$4,F$1,$A589,$A589)),_xll.BDH(config!$G$4,F$1,$A589,$A589),_xll.BDH(config!$G$5,F$1,$A589,$A589))))</f>
        <v/>
      </c>
      <c r="G589" s="8" t="str">
        <f>IF($A589="","",IF(ISNUMBER(FIND("IMPVOL",G$1)),_xll.BDH(config!$G$4,G$1,WORKDAY($A589,-1,config_Holiday_Calendar_US),WORKDAY($A589,-1,config_Holiday_Calendar_US)),IF(ISNUMBER(_xll.BDH(config!$G$4,G$1,$A589,$A589)),_xll.BDH(config!$G$4,G$1,$A589,$A589),_xll.BDH(config!$G$5,G$1,$A589,$A589))))</f>
        <v/>
      </c>
      <c r="H589" s="8" t="str">
        <f>IF($A589="","",IF(ISNUMBER(FIND("IMPVOL",H$1)),_xll.BDH(config!$G$4,H$1,WORKDAY($A589,-1,config_Holiday_Calendar_US),WORKDAY($A589,-1,config_Holiday_Calendar_US)),IF(ISNUMBER(_xll.BDH(config!$G$4,H$1,$A589,$A589)),_xll.BDH(config!$G$4,H$1,$A589,$A589),_xll.BDH(config!$G$5,H$1,$A589,$A589))))</f>
        <v/>
      </c>
      <c r="I589" s="8" t="str">
        <f>IF($A589="","",IF(ISNUMBER(FIND("IMPVOL",I$1)),_xll.BDH(config!$G$4,I$1,WORKDAY($A589,-1,config_Holiday_Calendar_US),WORKDAY($A589,-1,config_Holiday_Calendar_US)),IF(ISNUMBER(_xll.BDH(config!$G$4,I$1,$A589,$A589)),_xll.BDH(config!$G$4,I$1,$A589,$A589),_xll.BDH(config!$G$5,I$1,$A589,$A589))))</f>
        <v/>
      </c>
      <c r="J589" s="8" t="str">
        <f>IF($A589="","",IF(ISNUMBER(FIND("IMPVOL",J$1)),_xll.BDH(config!$G$4,J$1,WORKDAY($A589,-1,config_Holiday_Calendar_US),WORKDAY($A589,-1,config_Holiday_Calendar_US)),IF(ISNUMBER(_xll.BDH(config!$G$4,J$1,$A589,$A589)),_xll.BDH(config!$G$4,J$1,$A589,$A589),_xll.BDH(config!$G$5,J$1,$A589,$A589))))</f>
        <v/>
      </c>
      <c r="K589" s="8" t="str">
        <f>IF($A589="","",IF(ISNUMBER(FIND("IMPVOL",K$1)),_xll.BDH(config!$G$4,K$1,WORKDAY($A589,-1,config_Holiday_Calendar_US),WORKDAY($A589,-1,config_Holiday_Calendar_US)),IF(ISNUMBER(_xll.BDH(config!$G$4,K$1,$A589,$A589)),_xll.BDH(config!$G$4,K$1,$A589,$A589),_xll.BDH(config!$G$5,K$1,$A589,$A589))))</f>
        <v/>
      </c>
      <c r="L589" s="8" t="str">
        <f>IF($A589="","",IF(ISNUMBER(FIND("IMPVOL",L$1)),_xll.BDH(config!$G$4,L$1,WORKDAY($A589,-1,config_Holiday_Calendar_US),WORKDAY($A589,-1,config_Holiday_Calendar_US)),IF(ISNUMBER(_xll.BDH(config!$G$4,L$1,$A589,$A589)),_xll.BDH(config!$G$4,L$1,$A589,$A589),_xll.BDH(config!$G$5,L$1,$A589,$A589))))</f>
        <v/>
      </c>
      <c r="M589" s="8" t="str">
        <f>IF($A589="","",IF(ISNUMBER(FIND("IMPVOL",M$1)),_xll.BDH(config!$G$4,M$1,WORKDAY($A589,-1,config_Holiday_Calendar_US),WORKDAY($A589,-1,config_Holiday_Calendar_US)),IF(ISNUMBER(_xll.BDH(config!$G$4,M$1,$A589,$A589)),_xll.BDH(config!$G$4,M$1,$A589,$A589),_xll.BDH(config!$G$5,M$1,$A589,$A589))))</f>
        <v/>
      </c>
      <c r="N589" s="8" t="str">
        <f>IF($A589="","",IF(ISNUMBER(FIND("IMPVOL",N$1)),_xll.BDH(config!$G$4,N$1,WORKDAY($A589,-1,config_Holiday_Calendar_US),WORKDAY($A589,-1,config_Holiday_Calendar_US)),IF(ISNUMBER(_xll.BDH(config!$G$4,N$1,$A589,$A589)),_xll.BDH(config!$G$4,N$1,$A589,$A589),_xll.BDH(config!$G$5,N$1,$A589,$A589))))</f>
        <v/>
      </c>
      <c r="O589" s="8" t="str">
        <f>IF($A589="","",IF(ISNUMBER(FIND("IMPVOL",O$1)),_xll.BDH(config!$G$4,O$1,WORKDAY($A589,-1,config_Holiday_Calendar_US),WORKDAY($A589,-1,config_Holiday_Calendar_US)),IF(ISNUMBER(_xll.BDH(config!$G$4,O$1,$A589,$A589)),_xll.BDH(config!$G$4,O$1,$A589,$A589),_xll.BDH(config!$G$5,O$1,$A589,$A589))))</f>
        <v/>
      </c>
      <c r="P589" s="8" t="str">
        <f>IF($A589="","",IF(ISNUMBER(FIND("IMPVOL",P$1)),_xll.BDH(config!$G$4,P$1,WORKDAY($A589,-1,config_Holiday_Calendar_US),WORKDAY($A589,-1,config_Holiday_Calendar_US)),IF(ISNUMBER(_xll.BDH(config!$G$4,P$1,$A589,$A589)),_xll.BDH(config!$G$4,P$1,$A589,$A589),_xll.BDH(config!$G$5,P$1,$A589,$A589))))</f>
        <v/>
      </c>
      <c r="Q589" s="8" t="str">
        <f>IF($A589="","",IF(ISNUMBER(FIND("IMPVOL",Q$1)),_xll.BDH(config!$G$4,Q$1,WORKDAY($A589,-1,config_Holiday_Calendar_US),WORKDAY($A589,-1,config_Holiday_Calendar_US)),IF(ISNUMBER(_xll.BDH(config!$G$4,Q$1,$A589,$A589)),_xll.BDH(config!$G$4,Q$1,$A589,$A589),_xll.BDH(config!$G$5,Q$1,$A589,$A589))))</f>
        <v/>
      </c>
      <c r="R589" s="8" t="str">
        <f>IF($A589="","",IF(ISNUMBER(FIND("IMPVOL",R$1)),_xll.BDH(config!$G$4,R$1,WORKDAY($A589,-1,config_Holiday_Calendar_US),WORKDAY($A589,-1,config_Holiday_Calendar_US)),IF(ISNUMBER(_xll.BDH(config!$G$4,R$1,$A589,$A589)),_xll.BDH(config!$G$4,R$1,$A589,$A589),_xll.BDH(config!$G$5,R$1,$A589,$A589))))</f>
        <v/>
      </c>
      <c r="S589" s="8" t="str">
        <f>IF($A589="","",IF(ISNUMBER(FIND("IMPVOL",S$1)),_xll.BDH(config!$G$4,S$1,WORKDAY($A589,-1,config_Holiday_Calendar_US),WORKDAY($A589,-1,config_Holiday_Calendar_US)),IF(ISNUMBER(_xll.BDH(config!$G$4,S$1,$A589,$A589)),_xll.BDH(config!$G$4,S$1,$A589,$A589),_xll.BDH(config!$G$5,S$1,$A589,$A589))))</f>
        <v/>
      </c>
      <c r="T589" s="8" t="str">
        <f>IF($A589="","",IF(ISNUMBER(FIND("IMPVOL",T$1)),_xll.BDH(config!$G$4,T$1,WORKDAY($A589,-1,config_Holiday_Calendar_US),WORKDAY($A589,-1,config_Holiday_Calendar_US)),IF(ISNUMBER(_xll.BDH(config!$G$4,T$1,$A589,$A589)),_xll.BDH(config!$G$4,T$1,$A589,$A589),_xll.BDH(config!$G$5,T$1,$A589,$A589))))</f>
        <v/>
      </c>
      <c r="U589" s="8" t="str">
        <f>IF($A589="","",IF(ISNUMBER(FIND("IMPVOL",U$1)),_xll.BDH(config!$G$4,U$1,WORKDAY($A589,-1,config_Holiday_Calendar_US),WORKDAY($A589,-1,config_Holiday_Calendar_US)),IF(ISNUMBER(_xll.BDH(config!$G$4,U$1,$A589,$A589)),_xll.BDH(config!$G$4,U$1,$A589,$A589),_xll.BDH(config!$G$5,U$1,$A589,$A589))))</f>
        <v/>
      </c>
      <c r="V589" s="8" t="str">
        <f>IF($A589="","",IF(ISNUMBER(FIND("IMPVOL",V$1)),_xll.BDH(config!$G$4,V$1,WORKDAY($A589,-1,config_Holiday_Calendar_US),WORKDAY($A589,-1,config_Holiday_Calendar_US)),IF(ISNUMBER(_xll.BDH(config!$G$4,V$1,$A589,$A589)),_xll.BDH(config!$G$4,V$1,$A589,$A589),_xll.BDH(config!$G$5,V$1,$A589,$A589))))</f>
        <v/>
      </c>
      <c r="W589" s="8" t="str">
        <f>IF($A589="","",IF(ISNUMBER(FIND("IMPVOL",W$1)),_xll.BDH(config!$G$4,W$1,WORKDAY($A589,-1,config_Holiday_Calendar_US),WORKDAY($A589,-1,config_Holiday_Calendar_US)),IF(ISNUMBER(_xll.BDH(config!$G$4,W$1,$A589,$A589)),_xll.BDH(config!$G$4,W$1,$A589,$A589),_xll.BDH(config!$G$5,W$1,$A589,$A589))))</f>
        <v/>
      </c>
    </row>
    <row r="590" spans="1:23" x14ac:dyDescent="0.2">
      <c r="A590" s="9" t="str">
        <f>IF(A589="","",IF(WORKDAY(A589,-1,config_Holiday_Calendar_US)&lt;config!$I$10,"",WORKDAY(A589,-1,config_Holiday_Calendar_US)))</f>
        <v/>
      </c>
      <c r="B590" s="8" t="str">
        <f t="shared" si="9"/>
        <v/>
      </c>
      <c r="C590" s="8" t="str">
        <f>IF(A590="","",_xll.BDH(config!$H$4,C$1,$A590,$A590))</f>
        <v/>
      </c>
      <c r="D590" s="8" t="str">
        <f>IF($A590="","",_xll.BDH(config!$H$4,D$1,$A590,$A590))</f>
        <v/>
      </c>
      <c r="E590" s="8" t="str">
        <f>IF($A590="","",IF(ISNUMBER(FIND("IMPVOL",E$1)),_xll.BDH(config!$G$4,E$1,WORKDAY($A590,-1,config_Holiday_Calendar_US),WORKDAY($A590,-1,config_Holiday_Calendar_US)),IF(ISNUMBER(_xll.BDH(config!$G$4,E$1,$A590,$A590)),_xll.BDH(config!$G$4,E$1,$A590,$A590),_xll.BDH(config!$G$5,E$1,$A590,$A590))))</f>
        <v/>
      </c>
      <c r="F590" s="8" t="str">
        <f>IF($A590="","",IF(ISNUMBER(FIND("IMPVOL",F$1)),_xll.BDH(config!$G$4,F$1,WORKDAY($A590,-1,config_Holiday_Calendar_US),WORKDAY($A590,-1,config_Holiday_Calendar_US)),IF(ISNUMBER(_xll.BDH(config!$G$4,F$1,$A590,$A590)),_xll.BDH(config!$G$4,F$1,$A590,$A590),_xll.BDH(config!$G$5,F$1,$A590,$A590))))</f>
        <v/>
      </c>
      <c r="G590" s="8" t="str">
        <f>IF($A590="","",IF(ISNUMBER(FIND("IMPVOL",G$1)),_xll.BDH(config!$G$4,G$1,WORKDAY($A590,-1,config_Holiday_Calendar_US),WORKDAY($A590,-1,config_Holiday_Calendar_US)),IF(ISNUMBER(_xll.BDH(config!$G$4,G$1,$A590,$A590)),_xll.BDH(config!$G$4,G$1,$A590,$A590),_xll.BDH(config!$G$5,G$1,$A590,$A590))))</f>
        <v/>
      </c>
      <c r="H590" s="8" t="str">
        <f>IF($A590="","",IF(ISNUMBER(FIND("IMPVOL",H$1)),_xll.BDH(config!$G$4,H$1,WORKDAY($A590,-1,config_Holiday_Calendar_US),WORKDAY($A590,-1,config_Holiday_Calendar_US)),IF(ISNUMBER(_xll.BDH(config!$G$4,H$1,$A590,$A590)),_xll.BDH(config!$G$4,H$1,$A590,$A590),_xll.BDH(config!$G$5,H$1,$A590,$A590))))</f>
        <v/>
      </c>
      <c r="I590" s="8" t="str">
        <f>IF($A590="","",IF(ISNUMBER(FIND("IMPVOL",I$1)),_xll.BDH(config!$G$4,I$1,WORKDAY($A590,-1,config_Holiday_Calendar_US),WORKDAY($A590,-1,config_Holiday_Calendar_US)),IF(ISNUMBER(_xll.BDH(config!$G$4,I$1,$A590,$A590)),_xll.BDH(config!$G$4,I$1,$A590,$A590),_xll.BDH(config!$G$5,I$1,$A590,$A590))))</f>
        <v/>
      </c>
      <c r="J590" s="8" t="str">
        <f>IF($A590="","",IF(ISNUMBER(FIND("IMPVOL",J$1)),_xll.BDH(config!$G$4,J$1,WORKDAY($A590,-1,config_Holiday_Calendar_US),WORKDAY($A590,-1,config_Holiday_Calendar_US)),IF(ISNUMBER(_xll.BDH(config!$G$4,J$1,$A590,$A590)),_xll.BDH(config!$G$4,J$1,$A590,$A590),_xll.BDH(config!$G$5,J$1,$A590,$A590))))</f>
        <v/>
      </c>
      <c r="K590" s="8" t="str">
        <f>IF($A590="","",IF(ISNUMBER(FIND("IMPVOL",K$1)),_xll.BDH(config!$G$4,K$1,WORKDAY($A590,-1,config_Holiday_Calendar_US),WORKDAY($A590,-1,config_Holiday_Calendar_US)),IF(ISNUMBER(_xll.BDH(config!$G$4,K$1,$A590,$A590)),_xll.BDH(config!$G$4,K$1,$A590,$A590),_xll.BDH(config!$G$5,K$1,$A590,$A590))))</f>
        <v/>
      </c>
      <c r="L590" s="8" t="str">
        <f>IF($A590="","",IF(ISNUMBER(FIND("IMPVOL",L$1)),_xll.BDH(config!$G$4,L$1,WORKDAY($A590,-1,config_Holiday_Calendar_US),WORKDAY($A590,-1,config_Holiday_Calendar_US)),IF(ISNUMBER(_xll.BDH(config!$G$4,L$1,$A590,$A590)),_xll.BDH(config!$G$4,L$1,$A590,$A590),_xll.BDH(config!$G$5,L$1,$A590,$A590))))</f>
        <v/>
      </c>
      <c r="M590" s="8" t="str">
        <f>IF($A590="","",IF(ISNUMBER(FIND("IMPVOL",M$1)),_xll.BDH(config!$G$4,M$1,WORKDAY($A590,-1,config_Holiday_Calendar_US),WORKDAY($A590,-1,config_Holiday_Calendar_US)),IF(ISNUMBER(_xll.BDH(config!$G$4,M$1,$A590,$A590)),_xll.BDH(config!$G$4,M$1,$A590,$A590),_xll.BDH(config!$G$5,M$1,$A590,$A590))))</f>
        <v/>
      </c>
      <c r="N590" s="8" t="str">
        <f>IF($A590="","",IF(ISNUMBER(FIND("IMPVOL",N$1)),_xll.BDH(config!$G$4,N$1,WORKDAY($A590,-1,config_Holiday_Calendar_US),WORKDAY($A590,-1,config_Holiday_Calendar_US)),IF(ISNUMBER(_xll.BDH(config!$G$4,N$1,$A590,$A590)),_xll.BDH(config!$G$4,N$1,$A590,$A590),_xll.BDH(config!$G$5,N$1,$A590,$A590))))</f>
        <v/>
      </c>
      <c r="O590" s="8" t="str">
        <f>IF($A590="","",IF(ISNUMBER(FIND("IMPVOL",O$1)),_xll.BDH(config!$G$4,O$1,WORKDAY($A590,-1,config_Holiday_Calendar_US),WORKDAY($A590,-1,config_Holiday_Calendar_US)),IF(ISNUMBER(_xll.BDH(config!$G$4,O$1,$A590,$A590)),_xll.BDH(config!$G$4,O$1,$A590,$A590),_xll.BDH(config!$G$5,O$1,$A590,$A590))))</f>
        <v/>
      </c>
      <c r="P590" s="8" t="str">
        <f>IF($A590="","",IF(ISNUMBER(FIND("IMPVOL",P$1)),_xll.BDH(config!$G$4,P$1,WORKDAY($A590,-1,config_Holiday_Calendar_US),WORKDAY($A590,-1,config_Holiday_Calendar_US)),IF(ISNUMBER(_xll.BDH(config!$G$4,P$1,$A590,$A590)),_xll.BDH(config!$G$4,P$1,$A590,$A590),_xll.BDH(config!$G$5,P$1,$A590,$A590))))</f>
        <v/>
      </c>
      <c r="Q590" s="8" t="str">
        <f>IF($A590="","",IF(ISNUMBER(FIND("IMPVOL",Q$1)),_xll.BDH(config!$G$4,Q$1,WORKDAY($A590,-1,config_Holiday_Calendar_US),WORKDAY($A590,-1,config_Holiday_Calendar_US)),IF(ISNUMBER(_xll.BDH(config!$G$4,Q$1,$A590,$A590)),_xll.BDH(config!$G$4,Q$1,$A590,$A590),_xll.BDH(config!$G$5,Q$1,$A590,$A590))))</f>
        <v/>
      </c>
      <c r="R590" s="8" t="str">
        <f>IF($A590="","",IF(ISNUMBER(FIND("IMPVOL",R$1)),_xll.BDH(config!$G$4,R$1,WORKDAY($A590,-1,config_Holiday_Calendar_US),WORKDAY($A590,-1,config_Holiday_Calendar_US)),IF(ISNUMBER(_xll.BDH(config!$G$4,R$1,$A590,$A590)),_xll.BDH(config!$G$4,R$1,$A590,$A590),_xll.BDH(config!$G$5,R$1,$A590,$A590))))</f>
        <v/>
      </c>
      <c r="S590" s="8" t="str">
        <f>IF($A590="","",IF(ISNUMBER(FIND("IMPVOL",S$1)),_xll.BDH(config!$G$4,S$1,WORKDAY($A590,-1,config_Holiday_Calendar_US),WORKDAY($A590,-1,config_Holiday_Calendar_US)),IF(ISNUMBER(_xll.BDH(config!$G$4,S$1,$A590,$A590)),_xll.BDH(config!$G$4,S$1,$A590,$A590),_xll.BDH(config!$G$5,S$1,$A590,$A590))))</f>
        <v/>
      </c>
      <c r="T590" s="8" t="str">
        <f>IF($A590="","",IF(ISNUMBER(FIND("IMPVOL",T$1)),_xll.BDH(config!$G$4,T$1,WORKDAY($A590,-1,config_Holiday_Calendar_US),WORKDAY($A590,-1,config_Holiday_Calendar_US)),IF(ISNUMBER(_xll.BDH(config!$G$4,T$1,$A590,$A590)),_xll.BDH(config!$G$4,T$1,$A590,$A590),_xll.BDH(config!$G$5,T$1,$A590,$A590))))</f>
        <v/>
      </c>
      <c r="U590" s="8" t="str">
        <f>IF($A590="","",IF(ISNUMBER(FIND("IMPVOL",U$1)),_xll.BDH(config!$G$4,U$1,WORKDAY($A590,-1,config_Holiday_Calendar_US),WORKDAY($A590,-1,config_Holiday_Calendar_US)),IF(ISNUMBER(_xll.BDH(config!$G$4,U$1,$A590,$A590)),_xll.BDH(config!$G$4,U$1,$A590,$A590),_xll.BDH(config!$G$5,U$1,$A590,$A590))))</f>
        <v/>
      </c>
      <c r="V590" s="8" t="str">
        <f>IF($A590="","",IF(ISNUMBER(FIND("IMPVOL",V$1)),_xll.BDH(config!$G$4,V$1,WORKDAY($A590,-1,config_Holiday_Calendar_US),WORKDAY($A590,-1,config_Holiday_Calendar_US)),IF(ISNUMBER(_xll.BDH(config!$G$4,V$1,$A590,$A590)),_xll.BDH(config!$G$4,V$1,$A590,$A590),_xll.BDH(config!$G$5,V$1,$A590,$A590))))</f>
        <v/>
      </c>
      <c r="W590" s="8" t="str">
        <f>IF($A590="","",IF(ISNUMBER(FIND("IMPVOL",W$1)),_xll.BDH(config!$G$4,W$1,WORKDAY($A590,-1,config_Holiday_Calendar_US),WORKDAY($A590,-1,config_Holiday_Calendar_US)),IF(ISNUMBER(_xll.BDH(config!$G$4,W$1,$A590,$A590)),_xll.BDH(config!$G$4,W$1,$A590,$A590),_xll.BDH(config!$G$5,W$1,$A590,$A590))))</f>
        <v/>
      </c>
    </row>
    <row r="591" spans="1:23" x14ac:dyDescent="0.2">
      <c r="A591" s="9" t="str">
        <f>IF(A590="","",IF(WORKDAY(A590,-1,config_Holiday_Calendar_US)&lt;config!$I$10,"",WORKDAY(A590,-1,config_Holiday_Calendar_US)))</f>
        <v/>
      </c>
      <c r="B591" s="8" t="str">
        <f t="shared" si="9"/>
        <v/>
      </c>
      <c r="C591" s="8" t="str">
        <f>IF(A591="","",_xll.BDH(config!$H$4,C$1,$A591,$A591))</f>
        <v/>
      </c>
      <c r="D591" s="8" t="str">
        <f>IF($A591="","",_xll.BDH(config!$H$4,D$1,$A591,$A591))</f>
        <v/>
      </c>
      <c r="E591" s="8" t="str">
        <f>IF($A591="","",IF(ISNUMBER(FIND("IMPVOL",E$1)),_xll.BDH(config!$G$4,E$1,WORKDAY($A591,-1,config_Holiday_Calendar_US),WORKDAY($A591,-1,config_Holiday_Calendar_US)),IF(ISNUMBER(_xll.BDH(config!$G$4,E$1,$A591,$A591)),_xll.BDH(config!$G$4,E$1,$A591,$A591),_xll.BDH(config!$G$5,E$1,$A591,$A591))))</f>
        <v/>
      </c>
      <c r="F591" s="8" t="str">
        <f>IF($A591="","",IF(ISNUMBER(FIND("IMPVOL",F$1)),_xll.BDH(config!$G$4,F$1,WORKDAY($A591,-1,config_Holiday_Calendar_US),WORKDAY($A591,-1,config_Holiday_Calendar_US)),IF(ISNUMBER(_xll.BDH(config!$G$4,F$1,$A591,$A591)),_xll.BDH(config!$G$4,F$1,$A591,$A591),_xll.BDH(config!$G$5,F$1,$A591,$A591))))</f>
        <v/>
      </c>
      <c r="G591" s="8" t="str">
        <f>IF($A591="","",IF(ISNUMBER(FIND("IMPVOL",G$1)),_xll.BDH(config!$G$4,G$1,WORKDAY($A591,-1,config_Holiday_Calendar_US),WORKDAY($A591,-1,config_Holiday_Calendar_US)),IF(ISNUMBER(_xll.BDH(config!$G$4,G$1,$A591,$A591)),_xll.BDH(config!$G$4,G$1,$A591,$A591),_xll.BDH(config!$G$5,G$1,$A591,$A591))))</f>
        <v/>
      </c>
      <c r="H591" s="8" t="str">
        <f>IF($A591="","",IF(ISNUMBER(FIND("IMPVOL",H$1)),_xll.BDH(config!$G$4,H$1,WORKDAY($A591,-1,config_Holiday_Calendar_US),WORKDAY($A591,-1,config_Holiday_Calendar_US)),IF(ISNUMBER(_xll.BDH(config!$G$4,H$1,$A591,$A591)),_xll.BDH(config!$G$4,H$1,$A591,$A591),_xll.BDH(config!$G$5,H$1,$A591,$A591))))</f>
        <v/>
      </c>
      <c r="I591" s="8" t="str">
        <f>IF($A591="","",IF(ISNUMBER(FIND("IMPVOL",I$1)),_xll.BDH(config!$G$4,I$1,WORKDAY($A591,-1,config_Holiday_Calendar_US),WORKDAY($A591,-1,config_Holiday_Calendar_US)),IF(ISNUMBER(_xll.BDH(config!$G$4,I$1,$A591,$A591)),_xll.BDH(config!$G$4,I$1,$A591,$A591),_xll.BDH(config!$G$5,I$1,$A591,$A591))))</f>
        <v/>
      </c>
      <c r="J591" s="8" t="str">
        <f>IF($A591="","",IF(ISNUMBER(FIND("IMPVOL",J$1)),_xll.BDH(config!$G$4,J$1,WORKDAY($A591,-1,config_Holiday_Calendar_US),WORKDAY($A591,-1,config_Holiday_Calendar_US)),IF(ISNUMBER(_xll.BDH(config!$G$4,J$1,$A591,$A591)),_xll.BDH(config!$G$4,J$1,$A591,$A591),_xll.BDH(config!$G$5,J$1,$A591,$A591))))</f>
        <v/>
      </c>
      <c r="K591" s="8" t="str">
        <f>IF($A591="","",IF(ISNUMBER(FIND("IMPVOL",K$1)),_xll.BDH(config!$G$4,K$1,WORKDAY($A591,-1,config_Holiday_Calendar_US),WORKDAY($A591,-1,config_Holiday_Calendar_US)),IF(ISNUMBER(_xll.BDH(config!$G$4,K$1,$A591,$A591)),_xll.BDH(config!$G$4,K$1,$A591,$A591),_xll.BDH(config!$G$5,K$1,$A591,$A591))))</f>
        <v/>
      </c>
      <c r="L591" s="8" t="str">
        <f>IF($A591="","",IF(ISNUMBER(FIND("IMPVOL",L$1)),_xll.BDH(config!$G$4,L$1,WORKDAY($A591,-1,config_Holiday_Calendar_US),WORKDAY($A591,-1,config_Holiday_Calendar_US)),IF(ISNUMBER(_xll.BDH(config!$G$4,L$1,$A591,$A591)),_xll.BDH(config!$G$4,L$1,$A591,$A591),_xll.BDH(config!$G$5,L$1,$A591,$A591))))</f>
        <v/>
      </c>
      <c r="M591" s="8" t="str">
        <f>IF($A591="","",IF(ISNUMBER(FIND("IMPVOL",M$1)),_xll.BDH(config!$G$4,M$1,WORKDAY($A591,-1,config_Holiday_Calendar_US),WORKDAY($A591,-1,config_Holiday_Calendar_US)),IF(ISNUMBER(_xll.BDH(config!$G$4,M$1,$A591,$A591)),_xll.BDH(config!$G$4,M$1,$A591,$A591),_xll.BDH(config!$G$5,M$1,$A591,$A591))))</f>
        <v/>
      </c>
      <c r="N591" s="8" t="str">
        <f>IF($A591="","",IF(ISNUMBER(FIND("IMPVOL",N$1)),_xll.BDH(config!$G$4,N$1,WORKDAY($A591,-1,config_Holiday_Calendar_US),WORKDAY($A591,-1,config_Holiday_Calendar_US)),IF(ISNUMBER(_xll.BDH(config!$G$4,N$1,$A591,$A591)),_xll.BDH(config!$G$4,N$1,$A591,$A591),_xll.BDH(config!$G$5,N$1,$A591,$A591))))</f>
        <v/>
      </c>
      <c r="O591" s="8" t="str">
        <f>IF($A591="","",IF(ISNUMBER(FIND("IMPVOL",O$1)),_xll.BDH(config!$G$4,O$1,WORKDAY($A591,-1,config_Holiday_Calendar_US),WORKDAY($A591,-1,config_Holiday_Calendar_US)),IF(ISNUMBER(_xll.BDH(config!$G$4,O$1,$A591,$A591)),_xll.BDH(config!$G$4,O$1,$A591,$A591),_xll.BDH(config!$G$5,O$1,$A591,$A591))))</f>
        <v/>
      </c>
      <c r="P591" s="8" t="str">
        <f>IF($A591="","",IF(ISNUMBER(FIND("IMPVOL",P$1)),_xll.BDH(config!$G$4,P$1,WORKDAY($A591,-1,config_Holiday_Calendar_US),WORKDAY($A591,-1,config_Holiday_Calendar_US)),IF(ISNUMBER(_xll.BDH(config!$G$4,P$1,$A591,$A591)),_xll.BDH(config!$G$4,P$1,$A591,$A591),_xll.BDH(config!$G$5,P$1,$A591,$A591))))</f>
        <v/>
      </c>
      <c r="Q591" s="8" t="str">
        <f>IF($A591="","",IF(ISNUMBER(FIND("IMPVOL",Q$1)),_xll.BDH(config!$G$4,Q$1,WORKDAY($A591,-1,config_Holiday_Calendar_US),WORKDAY($A591,-1,config_Holiday_Calendar_US)),IF(ISNUMBER(_xll.BDH(config!$G$4,Q$1,$A591,$A591)),_xll.BDH(config!$G$4,Q$1,$A591,$A591),_xll.BDH(config!$G$5,Q$1,$A591,$A591))))</f>
        <v/>
      </c>
      <c r="R591" s="8" t="str">
        <f>IF($A591="","",IF(ISNUMBER(FIND("IMPVOL",R$1)),_xll.BDH(config!$G$4,R$1,WORKDAY($A591,-1,config_Holiday_Calendar_US),WORKDAY($A591,-1,config_Holiday_Calendar_US)),IF(ISNUMBER(_xll.BDH(config!$G$4,R$1,$A591,$A591)),_xll.BDH(config!$G$4,R$1,$A591,$A591),_xll.BDH(config!$G$5,R$1,$A591,$A591))))</f>
        <v/>
      </c>
      <c r="S591" s="8" t="str">
        <f>IF($A591="","",IF(ISNUMBER(FIND("IMPVOL",S$1)),_xll.BDH(config!$G$4,S$1,WORKDAY($A591,-1,config_Holiday_Calendar_US),WORKDAY($A591,-1,config_Holiday_Calendar_US)),IF(ISNUMBER(_xll.BDH(config!$G$4,S$1,$A591,$A591)),_xll.BDH(config!$G$4,S$1,$A591,$A591),_xll.BDH(config!$G$5,S$1,$A591,$A591))))</f>
        <v/>
      </c>
      <c r="T591" s="8" t="str">
        <f>IF($A591="","",IF(ISNUMBER(FIND("IMPVOL",T$1)),_xll.BDH(config!$G$4,T$1,WORKDAY($A591,-1,config_Holiday_Calendar_US),WORKDAY($A591,-1,config_Holiday_Calendar_US)),IF(ISNUMBER(_xll.BDH(config!$G$4,T$1,$A591,$A591)),_xll.BDH(config!$G$4,T$1,$A591,$A591),_xll.BDH(config!$G$5,T$1,$A591,$A591))))</f>
        <v/>
      </c>
      <c r="U591" s="8" t="str">
        <f>IF($A591="","",IF(ISNUMBER(FIND("IMPVOL",U$1)),_xll.BDH(config!$G$4,U$1,WORKDAY($A591,-1,config_Holiday_Calendar_US),WORKDAY($A591,-1,config_Holiday_Calendar_US)),IF(ISNUMBER(_xll.BDH(config!$G$4,U$1,$A591,$A591)),_xll.BDH(config!$G$4,U$1,$A591,$A591),_xll.BDH(config!$G$5,U$1,$A591,$A591))))</f>
        <v/>
      </c>
      <c r="V591" s="8" t="str">
        <f>IF($A591="","",IF(ISNUMBER(FIND("IMPVOL",V$1)),_xll.BDH(config!$G$4,V$1,WORKDAY($A591,-1,config_Holiday_Calendar_US),WORKDAY($A591,-1,config_Holiday_Calendar_US)),IF(ISNUMBER(_xll.BDH(config!$G$4,V$1,$A591,$A591)),_xll.BDH(config!$G$4,V$1,$A591,$A591),_xll.BDH(config!$G$5,V$1,$A591,$A591))))</f>
        <v/>
      </c>
      <c r="W591" s="8" t="str">
        <f>IF($A591="","",IF(ISNUMBER(FIND("IMPVOL",W$1)),_xll.BDH(config!$G$4,W$1,WORKDAY($A591,-1,config_Holiday_Calendar_US),WORKDAY($A591,-1,config_Holiday_Calendar_US)),IF(ISNUMBER(_xll.BDH(config!$G$4,W$1,$A591,$A591)),_xll.BDH(config!$G$4,W$1,$A591,$A591),_xll.BDH(config!$G$5,W$1,$A591,$A591))))</f>
        <v/>
      </c>
    </row>
    <row r="592" spans="1:23" x14ac:dyDescent="0.2">
      <c r="A592" s="9" t="str">
        <f>IF(A591="","",IF(WORKDAY(A591,-1,config_Holiday_Calendar_US)&lt;config!$I$10,"",WORKDAY(A591,-1,config_Holiday_Calendar_US)))</f>
        <v/>
      </c>
      <c r="B592" s="8" t="str">
        <f t="shared" si="9"/>
        <v/>
      </c>
      <c r="C592" s="8" t="str">
        <f>IF(A592="","",_xll.BDH(config!$H$4,C$1,$A592,$A592))</f>
        <v/>
      </c>
      <c r="D592" s="8" t="str">
        <f>IF($A592="","",_xll.BDH(config!$H$4,D$1,$A592,$A592))</f>
        <v/>
      </c>
      <c r="E592" s="8" t="str">
        <f>IF($A592="","",IF(ISNUMBER(FIND("IMPVOL",E$1)),_xll.BDH(config!$G$4,E$1,WORKDAY($A592,-1,config_Holiday_Calendar_US),WORKDAY($A592,-1,config_Holiday_Calendar_US)),IF(ISNUMBER(_xll.BDH(config!$G$4,E$1,$A592,$A592)),_xll.BDH(config!$G$4,E$1,$A592,$A592),_xll.BDH(config!$G$5,E$1,$A592,$A592))))</f>
        <v/>
      </c>
      <c r="F592" s="8" t="str">
        <f>IF($A592="","",IF(ISNUMBER(FIND("IMPVOL",F$1)),_xll.BDH(config!$G$4,F$1,WORKDAY($A592,-1,config_Holiday_Calendar_US),WORKDAY($A592,-1,config_Holiday_Calendar_US)),IF(ISNUMBER(_xll.BDH(config!$G$4,F$1,$A592,$A592)),_xll.BDH(config!$G$4,F$1,$A592,$A592),_xll.BDH(config!$G$5,F$1,$A592,$A592))))</f>
        <v/>
      </c>
      <c r="G592" s="8" t="str">
        <f>IF($A592="","",IF(ISNUMBER(FIND("IMPVOL",G$1)),_xll.BDH(config!$G$4,G$1,WORKDAY($A592,-1,config_Holiday_Calendar_US),WORKDAY($A592,-1,config_Holiday_Calendar_US)),IF(ISNUMBER(_xll.BDH(config!$G$4,G$1,$A592,$A592)),_xll.BDH(config!$G$4,G$1,$A592,$A592),_xll.BDH(config!$G$5,G$1,$A592,$A592))))</f>
        <v/>
      </c>
      <c r="H592" s="8" t="str">
        <f>IF($A592="","",IF(ISNUMBER(FIND("IMPVOL",H$1)),_xll.BDH(config!$G$4,H$1,WORKDAY($A592,-1,config_Holiday_Calendar_US),WORKDAY($A592,-1,config_Holiday_Calendar_US)),IF(ISNUMBER(_xll.BDH(config!$G$4,H$1,$A592,$A592)),_xll.BDH(config!$G$4,H$1,$A592,$A592),_xll.BDH(config!$G$5,H$1,$A592,$A592))))</f>
        <v/>
      </c>
      <c r="I592" s="8" t="str">
        <f>IF($A592="","",IF(ISNUMBER(FIND("IMPVOL",I$1)),_xll.BDH(config!$G$4,I$1,WORKDAY($A592,-1,config_Holiday_Calendar_US),WORKDAY($A592,-1,config_Holiday_Calendar_US)),IF(ISNUMBER(_xll.BDH(config!$G$4,I$1,$A592,$A592)),_xll.BDH(config!$G$4,I$1,$A592,$A592),_xll.BDH(config!$G$5,I$1,$A592,$A592))))</f>
        <v/>
      </c>
      <c r="J592" s="8" t="str">
        <f>IF($A592="","",IF(ISNUMBER(FIND("IMPVOL",J$1)),_xll.BDH(config!$G$4,J$1,WORKDAY($A592,-1,config_Holiday_Calendar_US),WORKDAY($A592,-1,config_Holiday_Calendar_US)),IF(ISNUMBER(_xll.BDH(config!$G$4,J$1,$A592,$A592)),_xll.BDH(config!$G$4,J$1,$A592,$A592),_xll.BDH(config!$G$5,J$1,$A592,$A592))))</f>
        <v/>
      </c>
      <c r="K592" s="8" t="str">
        <f>IF($A592="","",IF(ISNUMBER(FIND("IMPVOL",K$1)),_xll.BDH(config!$G$4,K$1,WORKDAY($A592,-1,config_Holiday_Calendar_US),WORKDAY($A592,-1,config_Holiday_Calendar_US)),IF(ISNUMBER(_xll.BDH(config!$G$4,K$1,$A592,$A592)),_xll.BDH(config!$G$4,K$1,$A592,$A592),_xll.BDH(config!$G$5,K$1,$A592,$A592))))</f>
        <v/>
      </c>
      <c r="L592" s="8" t="str">
        <f>IF($A592="","",IF(ISNUMBER(FIND("IMPVOL",L$1)),_xll.BDH(config!$G$4,L$1,WORKDAY($A592,-1,config_Holiday_Calendar_US),WORKDAY($A592,-1,config_Holiday_Calendar_US)),IF(ISNUMBER(_xll.BDH(config!$G$4,L$1,$A592,$A592)),_xll.BDH(config!$G$4,L$1,$A592,$A592),_xll.BDH(config!$G$5,L$1,$A592,$A592))))</f>
        <v/>
      </c>
      <c r="M592" s="8" t="str">
        <f>IF($A592="","",IF(ISNUMBER(FIND("IMPVOL",M$1)),_xll.BDH(config!$G$4,M$1,WORKDAY($A592,-1,config_Holiday_Calendar_US),WORKDAY($A592,-1,config_Holiday_Calendar_US)),IF(ISNUMBER(_xll.BDH(config!$G$4,M$1,$A592,$A592)),_xll.BDH(config!$G$4,M$1,$A592,$A592),_xll.BDH(config!$G$5,M$1,$A592,$A592))))</f>
        <v/>
      </c>
      <c r="N592" s="8" t="str">
        <f>IF($A592="","",IF(ISNUMBER(FIND("IMPVOL",N$1)),_xll.BDH(config!$G$4,N$1,WORKDAY($A592,-1,config_Holiday_Calendar_US),WORKDAY($A592,-1,config_Holiday_Calendar_US)),IF(ISNUMBER(_xll.BDH(config!$G$4,N$1,$A592,$A592)),_xll.BDH(config!$G$4,N$1,$A592,$A592),_xll.BDH(config!$G$5,N$1,$A592,$A592))))</f>
        <v/>
      </c>
      <c r="O592" s="8" t="str">
        <f>IF($A592="","",IF(ISNUMBER(FIND("IMPVOL",O$1)),_xll.BDH(config!$G$4,O$1,WORKDAY($A592,-1,config_Holiday_Calendar_US),WORKDAY($A592,-1,config_Holiday_Calendar_US)),IF(ISNUMBER(_xll.BDH(config!$G$4,O$1,$A592,$A592)),_xll.BDH(config!$G$4,O$1,$A592,$A592),_xll.BDH(config!$G$5,O$1,$A592,$A592))))</f>
        <v/>
      </c>
      <c r="P592" s="8" t="str">
        <f>IF($A592="","",IF(ISNUMBER(FIND("IMPVOL",P$1)),_xll.BDH(config!$G$4,P$1,WORKDAY($A592,-1,config_Holiday_Calendar_US),WORKDAY($A592,-1,config_Holiday_Calendar_US)),IF(ISNUMBER(_xll.BDH(config!$G$4,P$1,$A592,$A592)),_xll.BDH(config!$G$4,P$1,$A592,$A592),_xll.BDH(config!$G$5,P$1,$A592,$A592))))</f>
        <v/>
      </c>
      <c r="Q592" s="8" t="str">
        <f>IF($A592="","",IF(ISNUMBER(FIND("IMPVOL",Q$1)),_xll.BDH(config!$G$4,Q$1,WORKDAY($A592,-1,config_Holiday_Calendar_US),WORKDAY($A592,-1,config_Holiday_Calendar_US)),IF(ISNUMBER(_xll.BDH(config!$G$4,Q$1,$A592,$A592)),_xll.BDH(config!$G$4,Q$1,$A592,$A592),_xll.BDH(config!$G$5,Q$1,$A592,$A592))))</f>
        <v/>
      </c>
      <c r="R592" s="8" t="str">
        <f>IF($A592="","",IF(ISNUMBER(FIND("IMPVOL",R$1)),_xll.BDH(config!$G$4,R$1,WORKDAY($A592,-1,config_Holiday_Calendar_US),WORKDAY($A592,-1,config_Holiday_Calendar_US)),IF(ISNUMBER(_xll.BDH(config!$G$4,R$1,$A592,$A592)),_xll.BDH(config!$G$4,R$1,$A592,$A592),_xll.BDH(config!$G$5,R$1,$A592,$A592))))</f>
        <v/>
      </c>
      <c r="S592" s="8" t="str">
        <f>IF($A592="","",IF(ISNUMBER(FIND("IMPVOL",S$1)),_xll.BDH(config!$G$4,S$1,WORKDAY($A592,-1,config_Holiday_Calendar_US),WORKDAY($A592,-1,config_Holiday_Calendar_US)),IF(ISNUMBER(_xll.BDH(config!$G$4,S$1,$A592,$A592)),_xll.BDH(config!$G$4,S$1,$A592,$A592),_xll.BDH(config!$G$5,S$1,$A592,$A592))))</f>
        <v/>
      </c>
      <c r="T592" s="8" t="str">
        <f>IF($A592="","",IF(ISNUMBER(FIND("IMPVOL",T$1)),_xll.BDH(config!$G$4,T$1,WORKDAY($A592,-1,config_Holiday_Calendar_US),WORKDAY($A592,-1,config_Holiday_Calendar_US)),IF(ISNUMBER(_xll.BDH(config!$G$4,T$1,$A592,$A592)),_xll.BDH(config!$G$4,T$1,$A592,$A592),_xll.BDH(config!$G$5,T$1,$A592,$A592))))</f>
        <v/>
      </c>
      <c r="U592" s="8" t="str">
        <f>IF($A592="","",IF(ISNUMBER(FIND("IMPVOL",U$1)),_xll.BDH(config!$G$4,U$1,WORKDAY($A592,-1,config_Holiday_Calendar_US),WORKDAY($A592,-1,config_Holiday_Calendar_US)),IF(ISNUMBER(_xll.BDH(config!$G$4,U$1,$A592,$A592)),_xll.BDH(config!$G$4,U$1,$A592,$A592),_xll.BDH(config!$G$5,U$1,$A592,$A592))))</f>
        <v/>
      </c>
      <c r="V592" s="8" t="str">
        <f>IF($A592="","",IF(ISNUMBER(FIND("IMPVOL",V$1)),_xll.BDH(config!$G$4,V$1,WORKDAY($A592,-1,config_Holiday_Calendar_US),WORKDAY($A592,-1,config_Holiday_Calendar_US)),IF(ISNUMBER(_xll.BDH(config!$G$4,V$1,$A592,$A592)),_xll.BDH(config!$G$4,V$1,$A592,$A592),_xll.BDH(config!$G$5,V$1,$A592,$A592))))</f>
        <v/>
      </c>
      <c r="W592" s="8" t="str">
        <f>IF($A592="","",IF(ISNUMBER(FIND("IMPVOL",W$1)),_xll.BDH(config!$G$4,W$1,WORKDAY($A592,-1,config_Holiday_Calendar_US),WORKDAY($A592,-1,config_Holiday_Calendar_US)),IF(ISNUMBER(_xll.BDH(config!$G$4,W$1,$A592,$A592)),_xll.BDH(config!$G$4,W$1,$A592,$A592),_xll.BDH(config!$G$5,W$1,$A592,$A592))))</f>
        <v/>
      </c>
    </row>
    <row r="593" spans="1:23" x14ac:dyDescent="0.2">
      <c r="A593" s="9" t="str">
        <f>IF(A592="","",IF(WORKDAY(A592,-1,config_Holiday_Calendar_US)&lt;config!$I$10,"",WORKDAY(A592,-1,config_Holiday_Calendar_US)))</f>
        <v/>
      </c>
      <c r="B593" s="8" t="str">
        <f t="shared" si="9"/>
        <v/>
      </c>
      <c r="C593" s="8" t="str">
        <f>IF(A593="","",_xll.BDH(config!$H$4,C$1,$A593,$A593))</f>
        <v/>
      </c>
      <c r="D593" s="8" t="str">
        <f>IF($A593="","",_xll.BDH(config!$H$4,D$1,$A593,$A593))</f>
        <v/>
      </c>
      <c r="E593" s="8" t="str">
        <f>IF($A593="","",IF(ISNUMBER(FIND("IMPVOL",E$1)),_xll.BDH(config!$G$4,E$1,WORKDAY($A593,-1,config_Holiday_Calendar_US),WORKDAY($A593,-1,config_Holiday_Calendar_US)),IF(ISNUMBER(_xll.BDH(config!$G$4,E$1,$A593,$A593)),_xll.BDH(config!$G$4,E$1,$A593,$A593),_xll.BDH(config!$G$5,E$1,$A593,$A593))))</f>
        <v/>
      </c>
      <c r="F593" s="8" t="str">
        <f>IF($A593="","",IF(ISNUMBER(FIND("IMPVOL",F$1)),_xll.BDH(config!$G$4,F$1,WORKDAY($A593,-1,config_Holiday_Calendar_US),WORKDAY($A593,-1,config_Holiday_Calendar_US)),IF(ISNUMBER(_xll.BDH(config!$G$4,F$1,$A593,$A593)),_xll.BDH(config!$G$4,F$1,$A593,$A593),_xll.BDH(config!$G$5,F$1,$A593,$A593))))</f>
        <v/>
      </c>
      <c r="G593" s="8" t="str">
        <f>IF($A593="","",IF(ISNUMBER(FIND("IMPVOL",G$1)),_xll.BDH(config!$G$4,G$1,WORKDAY($A593,-1,config_Holiday_Calendar_US),WORKDAY($A593,-1,config_Holiday_Calendar_US)),IF(ISNUMBER(_xll.BDH(config!$G$4,G$1,$A593,$A593)),_xll.BDH(config!$G$4,G$1,$A593,$A593),_xll.BDH(config!$G$5,G$1,$A593,$A593))))</f>
        <v/>
      </c>
      <c r="H593" s="8" t="str">
        <f>IF($A593="","",IF(ISNUMBER(FIND("IMPVOL",H$1)),_xll.BDH(config!$G$4,H$1,WORKDAY($A593,-1,config_Holiday_Calendar_US),WORKDAY($A593,-1,config_Holiday_Calendar_US)),IF(ISNUMBER(_xll.BDH(config!$G$4,H$1,$A593,$A593)),_xll.BDH(config!$G$4,H$1,$A593,$A593),_xll.BDH(config!$G$5,H$1,$A593,$A593))))</f>
        <v/>
      </c>
      <c r="I593" s="8" t="str">
        <f>IF($A593="","",IF(ISNUMBER(FIND("IMPVOL",I$1)),_xll.BDH(config!$G$4,I$1,WORKDAY($A593,-1,config_Holiday_Calendar_US),WORKDAY($A593,-1,config_Holiday_Calendar_US)),IF(ISNUMBER(_xll.BDH(config!$G$4,I$1,$A593,$A593)),_xll.BDH(config!$G$4,I$1,$A593,$A593),_xll.BDH(config!$G$5,I$1,$A593,$A593))))</f>
        <v/>
      </c>
      <c r="J593" s="8" t="str">
        <f>IF($A593="","",IF(ISNUMBER(FIND("IMPVOL",J$1)),_xll.BDH(config!$G$4,J$1,WORKDAY($A593,-1,config_Holiday_Calendar_US),WORKDAY($A593,-1,config_Holiday_Calendar_US)),IF(ISNUMBER(_xll.BDH(config!$G$4,J$1,$A593,$A593)),_xll.BDH(config!$G$4,J$1,$A593,$A593),_xll.BDH(config!$G$5,J$1,$A593,$A593))))</f>
        <v/>
      </c>
      <c r="K593" s="8" t="str">
        <f>IF($A593="","",IF(ISNUMBER(FIND("IMPVOL",K$1)),_xll.BDH(config!$G$4,K$1,WORKDAY($A593,-1,config_Holiday_Calendar_US),WORKDAY($A593,-1,config_Holiday_Calendar_US)),IF(ISNUMBER(_xll.BDH(config!$G$4,K$1,$A593,$A593)),_xll.BDH(config!$G$4,K$1,$A593,$A593),_xll.BDH(config!$G$5,K$1,$A593,$A593))))</f>
        <v/>
      </c>
      <c r="L593" s="8" t="str">
        <f>IF($A593="","",IF(ISNUMBER(FIND("IMPVOL",L$1)),_xll.BDH(config!$G$4,L$1,WORKDAY($A593,-1,config_Holiday_Calendar_US),WORKDAY($A593,-1,config_Holiday_Calendar_US)),IF(ISNUMBER(_xll.BDH(config!$G$4,L$1,$A593,$A593)),_xll.BDH(config!$G$4,L$1,$A593,$A593),_xll.BDH(config!$G$5,L$1,$A593,$A593))))</f>
        <v/>
      </c>
      <c r="M593" s="8" t="str">
        <f>IF($A593="","",IF(ISNUMBER(FIND("IMPVOL",M$1)),_xll.BDH(config!$G$4,M$1,WORKDAY($A593,-1,config_Holiday_Calendar_US),WORKDAY($A593,-1,config_Holiday_Calendar_US)),IF(ISNUMBER(_xll.BDH(config!$G$4,M$1,$A593,$A593)),_xll.BDH(config!$G$4,M$1,$A593,$A593),_xll.BDH(config!$G$5,M$1,$A593,$A593))))</f>
        <v/>
      </c>
      <c r="N593" s="8" t="str">
        <f>IF($A593="","",IF(ISNUMBER(FIND("IMPVOL",N$1)),_xll.BDH(config!$G$4,N$1,WORKDAY($A593,-1,config_Holiday_Calendar_US),WORKDAY($A593,-1,config_Holiday_Calendar_US)),IF(ISNUMBER(_xll.BDH(config!$G$4,N$1,$A593,$A593)),_xll.BDH(config!$G$4,N$1,$A593,$A593),_xll.BDH(config!$G$5,N$1,$A593,$A593))))</f>
        <v/>
      </c>
      <c r="O593" s="8" t="str">
        <f>IF($A593="","",IF(ISNUMBER(FIND("IMPVOL",O$1)),_xll.BDH(config!$G$4,O$1,WORKDAY($A593,-1,config_Holiday_Calendar_US),WORKDAY($A593,-1,config_Holiday_Calendar_US)),IF(ISNUMBER(_xll.BDH(config!$G$4,O$1,$A593,$A593)),_xll.BDH(config!$G$4,O$1,$A593,$A593),_xll.BDH(config!$G$5,O$1,$A593,$A593))))</f>
        <v/>
      </c>
      <c r="P593" s="8" t="str">
        <f>IF($A593="","",IF(ISNUMBER(FIND("IMPVOL",P$1)),_xll.BDH(config!$G$4,P$1,WORKDAY($A593,-1,config_Holiday_Calendar_US),WORKDAY($A593,-1,config_Holiday_Calendar_US)),IF(ISNUMBER(_xll.BDH(config!$G$4,P$1,$A593,$A593)),_xll.BDH(config!$G$4,P$1,$A593,$A593),_xll.BDH(config!$G$5,P$1,$A593,$A593))))</f>
        <v/>
      </c>
      <c r="Q593" s="8" t="str">
        <f>IF($A593="","",IF(ISNUMBER(FIND("IMPVOL",Q$1)),_xll.BDH(config!$G$4,Q$1,WORKDAY($A593,-1,config_Holiday_Calendar_US),WORKDAY($A593,-1,config_Holiday_Calendar_US)),IF(ISNUMBER(_xll.BDH(config!$G$4,Q$1,$A593,$A593)),_xll.BDH(config!$G$4,Q$1,$A593,$A593),_xll.BDH(config!$G$5,Q$1,$A593,$A593))))</f>
        <v/>
      </c>
      <c r="R593" s="8" t="str">
        <f>IF($A593="","",IF(ISNUMBER(FIND("IMPVOL",R$1)),_xll.BDH(config!$G$4,R$1,WORKDAY($A593,-1,config_Holiday_Calendar_US),WORKDAY($A593,-1,config_Holiday_Calendar_US)),IF(ISNUMBER(_xll.BDH(config!$G$4,R$1,$A593,$A593)),_xll.BDH(config!$G$4,R$1,$A593,$A593),_xll.BDH(config!$G$5,R$1,$A593,$A593))))</f>
        <v/>
      </c>
      <c r="S593" s="8" t="str">
        <f>IF($A593="","",IF(ISNUMBER(FIND("IMPVOL",S$1)),_xll.BDH(config!$G$4,S$1,WORKDAY($A593,-1,config_Holiday_Calendar_US),WORKDAY($A593,-1,config_Holiday_Calendar_US)),IF(ISNUMBER(_xll.BDH(config!$G$4,S$1,$A593,$A593)),_xll.BDH(config!$G$4,S$1,$A593,$A593),_xll.BDH(config!$G$5,S$1,$A593,$A593))))</f>
        <v/>
      </c>
      <c r="T593" s="8" t="str">
        <f>IF($A593="","",IF(ISNUMBER(FIND("IMPVOL",T$1)),_xll.BDH(config!$G$4,T$1,WORKDAY($A593,-1,config_Holiday_Calendar_US),WORKDAY($A593,-1,config_Holiday_Calendar_US)),IF(ISNUMBER(_xll.BDH(config!$G$4,T$1,$A593,$A593)),_xll.BDH(config!$G$4,T$1,$A593,$A593),_xll.BDH(config!$G$5,T$1,$A593,$A593))))</f>
        <v/>
      </c>
      <c r="U593" s="8" t="str">
        <f>IF($A593="","",IF(ISNUMBER(FIND("IMPVOL",U$1)),_xll.BDH(config!$G$4,U$1,WORKDAY($A593,-1,config_Holiday_Calendar_US),WORKDAY($A593,-1,config_Holiday_Calendar_US)),IF(ISNUMBER(_xll.BDH(config!$G$4,U$1,$A593,$A593)),_xll.BDH(config!$G$4,U$1,$A593,$A593),_xll.BDH(config!$G$5,U$1,$A593,$A593))))</f>
        <v/>
      </c>
      <c r="V593" s="8" t="str">
        <f>IF($A593="","",IF(ISNUMBER(FIND("IMPVOL",V$1)),_xll.BDH(config!$G$4,V$1,WORKDAY($A593,-1,config_Holiday_Calendar_US),WORKDAY($A593,-1,config_Holiday_Calendar_US)),IF(ISNUMBER(_xll.BDH(config!$G$4,V$1,$A593,$A593)),_xll.BDH(config!$G$4,V$1,$A593,$A593),_xll.BDH(config!$G$5,V$1,$A593,$A593))))</f>
        <v/>
      </c>
      <c r="W593" s="8" t="str">
        <f>IF($A593="","",IF(ISNUMBER(FIND("IMPVOL",W$1)),_xll.BDH(config!$G$4,W$1,WORKDAY($A593,-1,config_Holiday_Calendar_US),WORKDAY($A593,-1,config_Holiday_Calendar_US)),IF(ISNUMBER(_xll.BDH(config!$G$4,W$1,$A593,$A593)),_xll.BDH(config!$G$4,W$1,$A593,$A593),_xll.BDH(config!$G$5,W$1,$A593,$A593))))</f>
        <v/>
      </c>
    </row>
    <row r="594" spans="1:23" x14ac:dyDescent="0.2">
      <c r="A594" s="9" t="str">
        <f>IF(A593="","",IF(WORKDAY(A593,-1,config_Holiday_Calendar_US)&lt;config!$I$10,"",WORKDAY(A593,-1,config_Holiday_Calendar_US)))</f>
        <v/>
      </c>
      <c r="B594" s="8" t="str">
        <f t="shared" si="9"/>
        <v/>
      </c>
      <c r="C594" s="8" t="str">
        <f>IF(A594="","",_xll.BDH(config!$H$4,C$1,$A594,$A594))</f>
        <v/>
      </c>
      <c r="D594" s="8" t="str">
        <f>IF($A594="","",_xll.BDH(config!$H$4,D$1,$A594,$A594))</f>
        <v/>
      </c>
      <c r="E594" s="8" t="str">
        <f>IF($A594="","",IF(ISNUMBER(FIND("IMPVOL",E$1)),_xll.BDH(config!$G$4,E$1,WORKDAY($A594,-1,config_Holiday_Calendar_US),WORKDAY($A594,-1,config_Holiday_Calendar_US)),IF(ISNUMBER(_xll.BDH(config!$G$4,E$1,$A594,$A594)),_xll.BDH(config!$G$4,E$1,$A594,$A594),_xll.BDH(config!$G$5,E$1,$A594,$A594))))</f>
        <v/>
      </c>
      <c r="F594" s="8" t="str">
        <f>IF($A594="","",IF(ISNUMBER(FIND("IMPVOL",F$1)),_xll.BDH(config!$G$4,F$1,WORKDAY($A594,-1,config_Holiday_Calendar_US),WORKDAY($A594,-1,config_Holiday_Calendar_US)),IF(ISNUMBER(_xll.BDH(config!$G$4,F$1,$A594,$A594)),_xll.BDH(config!$G$4,F$1,$A594,$A594),_xll.BDH(config!$G$5,F$1,$A594,$A594))))</f>
        <v/>
      </c>
      <c r="G594" s="8" t="str">
        <f>IF($A594="","",IF(ISNUMBER(FIND("IMPVOL",G$1)),_xll.BDH(config!$G$4,G$1,WORKDAY($A594,-1,config_Holiday_Calendar_US),WORKDAY($A594,-1,config_Holiday_Calendar_US)),IF(ISNUMBER(_xll.BDH(config!$G$4,G$1,$A594,$A594)),_xll.BDH(config!$G$4,G$1,$A594,$A594),_xll.BDH(config!$G$5,G$1,$A594,$A594))))</f>
        <v/>
      </c>
      <c r="H594" s="8" t="str">
        <f>IF($A594="","",IF(ISNUMBER(FIND("IMPVOL",H$1)),_xll.BDH(config!$G$4,H$1,WORKDAY($A594,-1,config_Holiday_Calendar_US),WORKDAY($A594,-1,config_Holiday_Calendar_US)),IF(ISNUMBER(_xll.BDH(config!$G$4,H$1,$A594,$A594)),_xll.BDH(config!$G$4,H$1,$A594,$A594),_xll.BDH(config!$G$5,H$1,$A594,$A594))))</f>
        <v/>
      </c>
      <c r="I594" s="8" t="str">
        <f>IF($A594="","",IF(ISNUMBER(FIND("IMPVOL",I$1)),_xll.BDH(config!$G$4,I$1,WORKDAY($A594,-1,config_Holiday_Calendar_US),WORKDAY($A594,-1,config_Holiday_Calendar_US)),IF(ISNUMBER(_xll.BDH(config!$G$4,I$1,$A594,$A594)),_xll.BDH(config!$G$4,I$1,$A594,$A594),_xll.BDH(config!$G$5,I$1,$A594,$A594))))</f>
        <v/>
      </c>
      <c r="J594" s="8" t="str">
        <f>IF($A594="","",IF(ISNUMBER(FIND("IMPVOL",J$1)),_xll.BDH(config!$G$4,J$1,WORKDAY($A594,-1,config_Holiday_Calendar_US),WORKDAY($A594,-1,config_Holiday_Calendar_US)),IF(ISNUMBER(_xll.BDH(config!$G$4,J$1,$A594,$A594)),_xll.BDH(config!$G$4,J$1,$A594,$A594),_xll.BDH(config!$G$5,J$1,$A594,$A594))))</f>
        <v/>
      </c>
      <c r="K594" s="8" t="str">
        <f>IF($A594="","",IF(ISNUMBER(FIND("IMPVOL",K$1)),_xll.BDH(config!$G$4,K$1,WORKDAY($A594,-1,config_Holiday_Calendar_US),WORKDAY($A594,-1,config_Holiday_Calendar_US)),IF(ISNUMBER(_xll.BDH(config!$G$4,K$1,$A594,$A594)),_xll.BDH(config!$G$4,K$1,$A594,$A594),_xll.BDH(config!$G$5,K$1,$A594,$A594))))</f>
        <v/>
      </c>
      <c r="L594" s="8" t="str">
        <f>IF($A594="","",IF(ISNUMBER(FIND("IMPVOL",L$1)),_xll.BDH(config!$G$4,L$1,WORKDAY($A594,-1,config_Holiday_Calendar_US),WORKDAY($A594,-1,config_Holiday_Calendar_US)),IF(ISNUMBER(_xll.BDH(config!$G$4,L$1,$A594,$A594)),_xll.BDH(config!$G$4,L$1,$A594,$A594),_xll.BDH(config!$G$5,L$1,$A594,$A594))))</f>
        <v/>
      </c>
      <c r="M594" s="8" t="str">
        <f>IF($A594="","",IF(ISNUMBER(FIND("IMPVOL",M$1)),_xll.BDH(config!$G$4,M$1,WORKDAY($A594,-1,config_Holiday_Calendar_US),WORKDAY($A594,-1,config_Holiday_Calendar_US)),IF(ISNUMBER(_xll.BDH(config!$G$4,M$1,$A594,$A594)),_xll.BDH(config!$G$4,M$1,$A594,$A594),_xll.BDH(config!$G$5,M$1,$A594,$A594))))</f>
        <v/>
      </c>
      <c r="N594" s="8" t="str">
        <f>IF($A594="","",IF(ISNUMBER(FIND("IMPVOL",N$1)),_xll.BDH(config!$G$4,N$1,WORKDAY($A594,-1,config_Holiday_Calendar_US),WORKDAY($A594,-1,config_Holiday_Calendar_US)),IF(ISNUMBER(_xll.BDH(config!$G$4,N$1,$A594,$A594)),_xll.BDH(config!$G$4,N$1,$A594,$A594),_xll.BDH(config!$G$5,N$1,$A594,$A594))))</f>
        <v/>
      </c>
      <c r="O594" s="8" t="str">
        <f>IF($A594="","",IF(ISNUMBER(FIND("IMPVOL",O$1)),_xll.BDH(config!$G$4,O$1,WORKDAY($A594,-1,config_Holiday_Calendar_US),WORKDAY($A594,-1,config_Holiday_Calendar_US)),IF(ISNUMBER(_xll.BDH(config!$G$4,O$1,$A594,$A594)),_xll.BDH(config!$G$4,O$1,$A594,$A594),_xll.BDH(config!$G$5,O$1,$A594,$A594))))</f>
        <v/>
      </c>
      <c r="P594" s="8" t="str">
        <f>IF($A594="","",IF(ISNUMBER(FIND("IMPVOL",P$1)),_xll.BDH(config!$G$4,P$1,WORKDAY($A594,-1,config_Holiday_Calendar_US),WORKDAY($A594,-1,config_Holiday_Calendar_US)),IF(ISNUMBER(_xll.BDH(config!$G$4,P$1,$A594,$A594)),_xll.BDH(config!$G$4,P$1,$A594,$A594),_xll.BDH(config!$G$5,P$1,$A594,$A594))))</f>
        <v/>
      </c>
      <c r="Q594" s="8" t="str">
        <f>IF($A594="","",IF(ISNUMBER(FIND("IMPVOL",Q$1)),_xll.BDH(config!$G$4,Q$1,WORKDAY($A594,-1,config_Holiday_Calendar_US),WORKDAY($A594,-1,config_Holiday_Calendar_US)),IF(ISNUMBER(_xll.BDH(config!$G$4,Q$1,$A594,$A594)),_xll.BDH(config!$G$4,Q$1,$A594,$A594),_xll.BDH(config!$G$5,Q$1,$A594,$A594))))</f>
        <v/>
      </c>
      <c r="R594" s="8" t="str">
        <f>IF($A594="","",IF(ISNUMBER(FIND("IMPVOL",R$1)),_xll.BDH(config!$G$4,R$1,WORKDAY($A594,-1,config_Holiday_Calendar_US),WORKDAY($A594,-1,config_Holiday_Calendar_US)),IF(ISNUMBER(_xll.BDH(config!$G$4,R$1,$A594,$A594)),_xll.BDH(config!$G$4,R$1,$A594,$A594),_xll.BDH(config!$G$5,R$1,$A594,$A594))))</f>
        <v/>
      </c>
      <c r="S594" s="8" t="str">
        <f>IF($A594="","",IF(ISNUMBER(FIND("IMPVOL",S$1)),_xll.BDH(config!$G$4,S$1,WORKDAY($A594,-1,config_Holiday_Calendar_US),WORKDAY($A594,-1,config_Holiday_Calendar_US)),IF(ISNUMBER(_xll.BDH(config!$G$4,S$1,$A594,$A594)),_xll.BDH(config!$G$4,S$1,$A594,$A594),_xll.BDH(config!$G$5,S$1,$A594,$A594))))</f>
        <v/>
      </c>
      <c r="T594" s="8" t="str">
        <f>IF($A594="","",IF(ISNUMBER(FIND("IMPVOL",T$1)),_xll.BDH(config!$G$4,T$1,WORKDAY($A594,-1,config_Holiday_Calendar_US),WORKDAY($A594,-1,config_Holiday_Calendar_US)),IF(ISNUMBER(_xll.BDH(config!$G$4,T$1,$A594,$A594)),_xll.BDH(config!$G$4,T$1,$A594,$A594),_xll.BDH(config!$G$5,T$1,$A594,$A594))))</f>
        <v/>
      </c>
      <c r="U594" s="8" t="str">
        <f>IF($A594="","",IF(ISNUMBER(FIND("IMPVOL",U$1)),_xll.BDH(config!$G$4,U$1,WORKDAY($A594,-1,config_Holiday_Calendar_US),WORKDAY($A594,-1,config_Holiday_Calendar_US)),IF(ISNUMBER(_xll.BDH(config!$G$4,U$1,$A594,$A594)),_xll.BDH(config!$G$4,U$1,$A594,$A594),_xll.BDH(config!$G$5,U$1,$A594,$A594))))</f>
        <v/>
      </c>
      <c r="V594" s="8" t="str">
        <f>IF($A594="","",IF(ISNUMBER(FIND("IMPVOL",V$1)),_xll.BDH(config!$G$4,V$1,WORKDAY($A594,-1,config_Holiday_Calendar_US),WORKDAY($A594,-1,config_Holiday_Calendar_US)),IF(ISNUMBER(_xll.BDH(config!$G$4,V$1,$A594,$A594)),_xll.BDH(config!$G$4,V$1,$A594,$A594),_xll.BDH(config!$G$5,V$1,$A594,$A594))))</f>
        <v/>
      </c>
      <c r="W594" s="8" t="str">
        <f>IF($A594="","",IF(ISNUMBER(FIND("IMPVOL",W$1)),_xll.BDH(config!$G$4,W$1,WORKDAY($A594,-1,config_Holiday_Calendar_US),WORKDAY($A594,-1,config_Holiday_Calendar_US)),IF(ISNUMBER(_xll.BDH(config!$G$4,W$1,$A594,$A594)),_xll.BDH(config!$G$4,W$1,$A594,$A594),_xll.BDH(config!$G$5,W$1,$A594,$A594))))</f>
        <v/>
      </c>
    </row>
    <row r="595" spans="1:23" x14ac:dyDescent="0.2">
      <c r="A595" s="9" t="str">
        <f>IF(A594="","",IF(WORKDAY(A594,-1,config_Holiday_Calendar_US)&lt;config!$I$10,"",WORKDAY(A594,-1,config_Holiday_Calendar_US)))</f>
        <v/>
      </c>
      <c r="B595" s="8" t="str">
        <f t="shared" si="9"/>
        <v/>
      </c>
      <c r="C595" s="8" t="str">
        <f>IF(A595="","",_xll.BDH(config!$H$4,C$1,$A595,$A595))</f>
        <v/>
      </c>
      <c r="D595" s="8" t="str">
        <f>IF($A595="","",_xll.BDH(config!$H$4,D$1,$A595,$A595))</f>
        <v/>
      </c>
      <c r="E595" s="8" t="str">
        <f>IF($A595="","",IF(ISNUMBER(FIND("IMPVOL",E$1)),_xll.BDH(config!$G$4,E$1,WORKDAY($A595,-1,config_Holiday_Calendar_US),WORKDAY($A595,-1,config_Holiday_Calendar_US)),IF(ISNUMBER(_xll.BDH(config!$G$4,E$1,$A595,$A595)),_xll.BDH(config!$G$4,E$1,$A595,$A595),_xll.BDH(config!$G$5,E$1,$A595,$A595))))</f>
        <v/>
      </c>
      <c r="F595" s="8" t="str">
        <f>IF($A595="","",IF(ISNUMBER(FIND("IMPVOL",F$1)),_xll.BDH(config!$G$4,F$1,WORKDAY($A595,-1,config_Holiday_Calendar_US),WORKDAY($A595,-1,config_Holiday_Calendar_US)),IF(ISNUMBER(_xll.BDH(config!$G$4,F$1,$A595,$A595)),_xll.BDH(config!$G$4,F$1,$A595,$A595),_xll.BDH(config!$G$5,F$1,$A595,$A595))))</f>
        <v/>
      </c>
      <c r="G595" s="8" t="str">
        <f>IF($A595="","",IF(ISNUMBER(FIND("IMPVOL",G$1)),_xll.BDH(config!$G$4,G$1,WORKDAY($A595,-1,config_Holiday_Calendar_US),WORKDAY($A595,-1,config_Holiday_Calendar_US)),IF(ISNUMBER(_xll.BDH(config!$G$4,G$1,$A595,$A595)),_xll.BDH(config!$G$4,G$1,$A595,$A595),_xll.BDH(config!$G$5,G$1,$A595,$A595))))</f>
        <v/>
      </c>
      <c r="H595" s="8" t="str">
        <f>IF($A595="","",IF(ISNUMBER(FIND("IMPVOL",H$1)),_xll.BDH(config!$G$4,H$1,WORKDAY($A595,-1,config_Holiday_Calendar_US),WORKDAY($A595,-1,config_Holiday_Calendar_US)),IF(ISNUMBER(_xll.BDH(config!$G$4,H$1,$A595,$A595)),_xll.BDH(config!$G$4,H$1,$A595,$A595),_xll.BDH(config!$G$5,H$1,$A595,$A595))))</f>
        <v/>
      </c>
      <c r="I595" s="8" t="str">
        <f>IF($A595="","",IF(ISNUMBER(FIND("IMPVOL",I$1)),_xll.BDH(config!$G$4,I$1,WORKDAY($A595,-1,config_Holiday_Calendar_US),WORKDAY($A595,-1,config_Holiday_Calendar_US)),IF(ISNUMBER(_xll.BDH(config!$G$4,I$1,$A595,$A595)),_xll.BDH(config!$G$4,I$1,$A595,$A595),_xll.BDH(config!$G$5,I$1,$A595,$A595))))</f>
        <v/>
      </c>
      <c r="J595" s="8" t="str">
        <f>IF($A595="","",IF(ISNUMBER(FIND("IMPVOL",J$1)),_xll.BDH(config!$G$4,J$1,WORKDAY($A595,-1,config_Holiday_Calendar_US),WORKDAY($A595,-1,config_Holiday_Calendar_US)),IF(ISNUMBER(_xll.BDH(config!$G$4,J$1,$A595,$A595)),_xll.BDH(config!$G$4,J$1,$A595,$A595),_xll.BDH(config!$G$5,J$1,$A595,$A595))))</f>
        <v/>
      </c>
      <c r="K595" s="8" t="str">
        <f>IF($A595="","",IF(ISNUMBER(FIND("IMPVOL",K$1)),_xll.BDH(config!$G$4,K$1,WORKDAY($A595,-1,config_Holiday_Calendar_US),WORKDAY($A595,-1,config_Holiday_Calendar_US)),IF(ISNUMBER(_xll.BDH(config!$G$4,K$1,$A595,$A595)),_xll.BDH(config!$G$4,K$1,$A595,$A595),_xll.BDH(config!$G$5,K$1,$A595,$A595))))</f>
        <v/>
      </c>
      <c r="L595" s="8" t="str">
        <f>IF($A595="","",IF(ISNUMBER(FIND("IMPVOL",L$1)),_xll.BDH(config!$G$4,L$1,WORKDAY($A595,-1,config_Holiday_Calendar_US),WORKDAY($A595,-1,config_Holiday_Calendar_US)),IF(ISNUMBER(_xll.BDH(config!$G$4,L$1,$A595,$A595)),_xll.BDH(config!$G$4,L$1,$A595,$A595),_xll.BDH(config!$G$5,L$1,$A595,$A595))))</f>
        <v/>
      </c>
      <c r="M595" s="8" t="str">
        <f>IF($A595="","",IF(ISNUMBER(FIND("IMPVOL",M$1)),_xll.BDH(config!$G$4,M$1,WORKDAY($A595,-1,config_Holiday_Calendar_US),WORKDAY($A595,-1,config_Holiday_Calendar_US)),IF(ISNUMBER(_xll.BDH(config!$G$4,M$1,$A595,$A595)),_xll.BDH(config!$G$4,M$1,$A595,$A595),_xll.BDH(config!$G$5,M$1,$A595,$A595))))</f>
        <v/>
      </c>
      <c r="N595" s="8" t="str">
        <f>IF($A595="","",IF(ISNUMBER(FIND("IMPVOL",N$1)),_xll.BDH(config!$G$4,N$1,WORKDAY($A595,-1,config_Holiday_Calendar_US),WORKDAY($A595,-1,config_Holiday_Calendar_US)),IF(ISNUMBER(_xll.BDH(config!$G$4,N$1,$A595,$A595)),_xll.BDH(config!$G$4,N$1,$A595,$A595),_xll.BDH(config!$G$5,N$1,$A595,$A595))))</f>
        <v/>
      </c>
      <c r="O595" s="8" t="str">
        <f>IF($A595="","",IF(ISNUMBER(FIND("IMPVOL",O$1)),_xll.BDH(config!$G$4,O$1,WORKDAY($A595,-1,config_Holiday_Calendar_US),WORKDAY($A595,-1,config_Holiday_Calendar_US)),IF(ISNUMBER(_xll.BDH(config!$G$4,O$1,$A595,$A595)),_xll.BDH(config!$G$4,O$1,$A595,$A595),_xll.BDH(config!$G$5,O$1,$A595,$A595))))</f>
        <v/>
      </c>
      <c r="P595" s="8" t="str">
        <f>IF($A595="","",IF(ISNUMBER(FIND("IMPVOL",P$1)),_xll.BDH(config!$G$4,P$1,WORKDAY($A595,-1,config_Holiday_Calendar_US),WORKDAY($A595,-1,config_Holiday_Calendar_US)),IF(ISNUMBER(_xll.BDH(config!$G$4,P$1,$A595,$A595)),_xll.BDH(config!$G$4,P$1,$A595,$A595),_xll.BDH(config!$G$5,P$1,$A595,$A595))))</f>
        <v/>
      </c>
      <c r="Q595" s="8" t="str">
        <f>IF($A595="","",IF(ISNUMBER(FIND("IMPVOL",Q$1)),_xll.BDH(config!$G$4,Q$1,WORKDAY($A595,-1,config_Holiday_Calendar_US),WORKDAY($A595,-1,config_Holiday_Calendar_US)),IF(ISNUMBER(_xll.BDH(config!$G$4,Q$1,$A595,$A595)),_xll.BDH(config!$G$4,Q$1,$A595,$A595),_xll.BDH(config!$G$5,Q$1,$A595,$A595))))</f>
        <v/>
      </c>
      <c r="R595" s="8" t="str">
        <f>IF($A595="","",IF(ISNUMBER(FIND("IMPVOL",R$1)),_xll.BDH(config!$G$4,R$1,WORKDAY($A595,-1,config_Holiday_Calendar_US),WORKDAY($A595,-1,config_Holiday_Calendar_US)),IF(ISNUMBER(_xll.BDH(config!$G$4,R$1,$A595,$A595)),_xll.BDH(config!$G$4,R$1,$A595,$A595),_xll.BDH(config!$G$5,R$1,$A595,$A595))))</f>
        <v/>
      </c>
      <c r="S595" s="8" t="str">
        <f>IF($A595="","",IF(ISNUMBER(FIND("IMPVOL",S$1)),_xll.BDH(config!$G$4,S$1,WORKDAY($A595,-1,config_Holiday_Calendar_US),WORKDAY($A595,-1,config_Holiday_Calendar_US)),IF(ISNUMBER(_xll.BDH(config!$G$4,S$1,$A595,$A595)),_xll.BDH(config!$G$4,S$1,$A595,$A595),_xll.BDH(config!$G$5,S$1,$A595,$A595))))</f>
        <v/>
      </c>
      <c r="T595" s="8" t="str">
        <f>IF($A595="","",IF(ISNUMBER(FIND("IMPVOL",T$1)),_xll.BDH(config!$G$4,T$1,WORKDAY($A595,-1,config_Holiday_Calendar_US),WORKDAY($A595,-1,config_Holiday_Calendar_US)),IF(ISNUMBER(_xll.BDH(config!$G$4,T$1,$A595,$A595)),_xll.BDH(config!$G$4,T$1,$A595,$A595),_xll.BDH(config!$G$5,T$1,$A595,$A595))))</f>
        <v/>
      </c>
      <c r="U595" s="8" t="str">
        <f>IF($A595="","",IF(ISNUMBER(FIND("IMPVOL",U$1)),_xll.BDH(config!$G$4,U$1,WORKDAY($A595,-1,config_Holiday_Calendar_US),WORKDAY($A595,-1,config_Holiday_Calendar_US)),IF(ISNUMBER(_xll.BDH(config!$G$4,U$1,$A595,$A595)),_xll.BDH(config!$G$4,U$1,$A595,$A595),_xll.BDH(config!$G$5,U$1,$A595,$A595))))</f>
        <v/>
      </c>
      <c r="V595" s="8" t="str">
        <f>IF($A595="","",IF(ISNUMBER(FIND("IMPVOL",V$1)),_xll.BDH(config!$G$4,V$1,WORKDAY($A595,-1,config_Holiday_Calendar_US),WORKDAY($A595,-1,config_Holiday_Calendar_US)),IF(ISNUMBER(_xll.BDH(config!$G$4,V$1,$A595,$A595)),_xll.BDH(config!$G$4,V$1,$A595,$A595),_xll.BDH(config!$G$5,V$1,$A595,$A595))))</f>
        <v/>
      </c>
      <c r="W595" s="8" t="str">
        <f>IF($A595="","",IF(ISNUMBER(FIND("IMPVOL",W$1)),_xll.BDH(config!$G$4,W$1,WORKDAY($A595,-1,config_Holiday_Calendar_US),WORKDAY($A595,-1,config_Holiday_Calendar_US)),IF(ISNUMBER(_xll.BDH(config!$G$4,W$1,$A595,$A595)),_xll.BDH(config!$G$4,W$1,$A595,$A595),_xll.BDH(config!$G$5,W$1,$A595,$A595))))</f>
        <v/>
      </c>
    </row>
    <row r="596" spans="1:23" x14ac:dyDescent="0.2">
      <c r="A596" s="9" t="str">
        <f>IF(A595="","",IF(WORKDAY(A595,-1,config_Holiday_Calendar_US)&lt;config!$I$10,"",WORKDAY(A595,-1,config_Holiday_Calendar_US)))</f>
        <v/>
      </c>
      <c r="B596" s="8" t="str">
        <f t="shared" si="9"/>
        <v/>
      </c>
      <c r="C596" s="8" t="str">
        <f>IF(A596="","",_xll.BDH(config!$H$4,C$1,$A596,$A596))</f>
        <v/>
      </c>
      <c r="D596" s="8" t="str">
        <f>IF($A596="","",_xll.BDH(config!$H$4,D$1,$A596,$A596))</f>
        <v/>
      </c>
      <c r="E596" s="8" t="str">
        <f>IF($A596="","",IF(ISNUMBER(FIND("IMPVOL",E$1)),_xll.BDH(config!$G$4,E$1,WORKDAY($A596,-1,config_Holiday_Calendar_US),WORKDAY($A596,-1,config_Holiday_Calendar_US)),IF(ISNUMBER(_xll.BDH(config!$G$4,E$1,$A596,$A596)),_xll.BDH(config!$G$4,E$1,$A596,$A596),_xll.BDH(config!$G$5,E$1,$A596,$A596))))</f>
        <v/>
      </c>
      <c r="F596" s="8" t="str">
        <f>IF($A596="","",IF(ISNUMBER(FIND("IMPVOL",F$1)),_xll.BDH(config!$G$4,F$1,WORKDAY($A596,-1,config_Holiday_Calendar_US),WORKDAY($A596,-1,config_Holiday_Calendar_US)),IF(ISNUMBER(_xll.BDH(config!$G$4,F$1,$A596,$A596)),_xll.BDH(config!$G$4,F$1,$A596,$A596),_xll.BDH(config!$G$5,F$1,$A596,$A596))))</f>
        <v/>
      </c>
      <c r="G596" s="8" t="str">
        <f>IF($A596="","",IF(ISNUMBER(FIND("IMPVOL",G$1)),_xll.BDH(config!$G$4,G$1,WORKDAY($A596,-1,config_Holiday_Calendar_US),WORKDAY($A596,-1,config_Holiday_Calendar_US)),IF(ISNUMBER(_xll.BDH(config!$G$4,G$1,$A596,$A596)),_xll.BDH(config!$G$4,G$1,$A596,$A596),_xll.BDH(config!$G$5,G$1,$A596,$A596))))</f>
        <v/>
      </c>
      <c r="H596" s="8" t="str">
        <f>IF($A596="","",IF(ISNUMBER(FIND("IMPVOL",H$1)),_xll.BDH(config!$G$4,H$1,WORKDAY($A596,-1,config_Holiday_Calendar_US),WORKDAY($A596,-1,config_Holiday_Calendar_US)),IF(ISNUMBER(_xll.BDH(config!$G$4,H$1,$A596,$A596)),_xll.BDH(config!$G$4,H$1,$A596,$A596),_xll.BDH(config!$G$5,H$1,$A596,$A596))))</f>
        <v/>
      </c>
      <c r="I596" s="8" t="str">
        <f>IF($A596="","",IF(ISNUMBER(FIND("IMPVOL",I$1)),_xll.BDH(config!$G$4,I$1,WORKDAY($A596,-1,config_Holiday_Calendar_US),WORKDAY($A596,-1,config_Holiday_Calendar_US)),IF(ISNUMBER(_xll.BDH(config!$G$4,I$1,$A596,$A596)),_xll.BDH(config!$G$4,I$1,$A596,$A596),_xll.BDH(config!$G$5,I$1,$A596,$A596))))</f>
        <v/>
      </c>
      <c r="J596" s="8" t="str">
        <f>IF($A596="","",IF(ISNUMBER(FIND("IMPVOL",J$1)),_xll.BDH(config!$G$4,J$1,WORKDAY($A596,-1,config_Holiday_Calendar_US),WORKDAY($A596,-1,config_Holiday_Calendar_US)),IF(ISNUMBER(_xll.BDH(config!$G$4,J$1,$A596,$A596)),_xll.BDH(config!$G$4,J$1,$A596,$A596),_xll.BDH(config!$G$5,J$1,$A596,$A596))))</f>
        <v/>
      </c>
      <c r="K596" s="8" t="str">
        <f>IF($A596="","",IF(ISNUMBER(FIND("IMPVOL",K$1)),_xll.BDH(config!$G$4,K$1,WORKDAY($A596,-1,config_Holiday_Calendar_US),WORKDAY($A596,-1,config_Holiday_Calendar_US)),IF(ISNUMBER(_xll.BDH(config!$G$4,K$1,$A596,$A596)),_xll.BDH(config!$G$4,K$1,$A596,$A596),_xll.BDH(config!$G$5,K$1,$A596,$A596))))</f>
        <v/>
      </c>
      <c r="L596" s="8" t="str">
        <f>IF($A596="","",IF(ISNUMBER(FIND("IMPVOL",L$1)),_xll.BDH(config!$G$4,L$1,WORKDAY($A596,-1,config_Holiday_Calendar_US),WORKDAY($A596,-1,config_Holiday_Calendar_US)),IF(ISNUMBER(_xll.BDH(config!$G$4,L$1,$A596,$A596)),_xll.BDH(config!$G$4,L$1,$A596,$A596),_xll.BDH(config!$G$5,L$1,$A596,$A596))))</f>
        <v/>
      </c>
      <c r="M596" s="8" t="str">
        <f>IF($A596="","",IF(ISNUMBER(FIND("IMPVOL",M$1)),_xll.BDH(config!$G$4,M$1,WORKDAY($A596,-1,config_Holiday_Calendar_US),WORKDAY($A596,-1,config_Holiday_Calendar_US)),IF(ISNUMBER(_xll.BDH(config!$G$4,M$1,$A596,$A596)),_xll.BDH(config!$G$4,M$1,$A596,$A596),_xll.BDH(config!$G$5,M$1,$A596,$A596))))</f>
        <v/>
      </c>
      <c r="N596" s="8" t="str">
        <f>IF($A596="","",IF(ISNUMBER(FIND("IMPVOL",N$1)),_xll.BDH(config!$G$4,N$1,WORKDAY($A596,-1,config_Holiday_Calendar_US),WORKDAY($A596,-1,config_Holiday_Calendar_US)),IF(ISNUMBER(_xll.BDH(config!$G$4,N$1,$A596,$A596)),_xll.BDH(config!$G$4,N$1,$A596,$A596),_xll.BDH(config!$G$5,N$1,$A596,$A596))))</f>
        <v/>
      </c>
      <c r="O596" s="8" t="str">
        <f>IF($A596="","",IF(ISNUMBER(FIND("IMPVOL",O$1)),_xll.BDH(config!$G$4,O$1,WORKDAY($A596,-1,config_Holiday_Calendar_US),WORKDAY($A596,-1,config_Holiday_Calendar_US)),IF(ISNUMBER(_xll.BDH(config!$G$4,O$1,$A596,$A596)),_xll.BDH(config!$G$4,O$1,$A596,$A596),_xll.BDH(config!$G$5,O$1,$A596,$A596))))</f>
        <v/>
      </c>
      <c r="P596" s="8" t="str">
        <f>IF($A596="","",IF(ISNUMBER(FIND("IMPVOL",P$1)),_xll.BDH(config!$G$4,P$1,WORKDAY($A596,-1,config_Holiday_Calendar_US),WORKDAY($A596,-1,config_Holiday_Calendar_US)),IF(ISNUMBER(_xll.BDH(config!$G$4,P$1,$A596,$A596)),_xll.BDH(config!$G$4,P$1,$A596,$A596),_xll.BDH(config!$G$5,P$1,$A596,$A596))))</f>
        <v/>
      </c>
      <c r="Q596" s="8" t="str">
        <f>IF($A596="","",IF(ISNUMBER(FIND("IMPVOL",Q$1)),_xll.BDH(config!$G$4,Q$1,WORKDAY($A596,-1,config_Holiday_Calendar_US),WORKDAY($A596,-1,config_Holiday_Calendar_US)),IF(ISNUMBER(_xll.BDH(config!$G$4,Q$1,$A596,$A596)),_xll.BDH(config!$G$4,Q$1,$A596,$A596),_xll.BDH(config!$G$5,Q$1,$A596,$A596))))</f>
        <v/>
      </c>
      <c r="R596" s="8" t="str">
        <f>IF($A596="","",IF(ISNUMBER(FIND("IMPVOL",R$1)),_xll.BDH(config!$G$4,R$1,WORKDAY($A596,-1,config_Holiday_Calendar_US),WORKDAY($A596,-1,config_Holiday_Calendar_US)),IF(ISNUMBER(_xll.BDH(config!$G$4,R$1,$A596,$A596)),_xll.BDH(config!$G$4,R$1,$A596,$A596),_xll.BDH(config!$G$5,R$1,$A596,$A596))))</f>
        <v/>
      </c>
      <c r="S596" s="8" t="str">
        <f>IF($A596="","",IF(ISNUMBER(FIND("IMPVOL",S$1)),_xll.BDH(config!$G$4,S$1,WORKDAY($A596,-1,config_Holiday_Calendar_US),WORKDAY($A596,-1,config_Holiday_Calendar_US)),IF(ISNUMBER(_xll.BDH(config!$G$4,S$1,$A596,$A596)),_xll.BDH(config!$G$4,S$1,$A596,$A596),_xll.BDH(config!$G$5,S$1,$A596,$A596))))</f>
        <v/>
      </c>
      <c r="T596" s="8" t="str">
        <f>IF($A596="","",IF(ISNUMBER(FIND("IMPVOL",T$1)),_xll.BDH(config!$G$4,T$1,WORKDAY($A596,-1,config_Holiday_Calendar_US),WORKDAY($A596,-1,config_Holiday_Calendar_US)),IF(ISNUMBER(_xll.BDH(config!$G$4,T$1,$A596,$A596)),_xll.BDH(config!$G$4,T$1,$A596,$A596),_xll.BDH(config!$G$5,T$1,$A596,$A596))))</f>
        <v/>
      </c>
      <c r="U596" s="8" t="str">
        <f>IF($A596="","",IF(ISNUMBER(FIND("IMPVOL",U$1)),_xll.BDH(config!$G$4,U$1,WORKDAY($A596,-1,config_Holiday_Calendar_US),WORKDAY($A596,-1,config_Holiday_Calendar_US)),IF(ISNUMBER(_xll.BDH(config!$G$4,U$1,$A596,$A596)),_xll.BDH(config!$G$4,U$1,$A596,$A596),_xll.BDH(config!$G$5,U$1,$A596,$A596))))</f>
        <v/>
      </c>
      <c r="V596" s="8" t="str">
        <f>IF($A596="","",IF(ISNUMBER(FIND("IMPVOL",V$1)),_xll.BDH(config!$G$4,V$1,WORKDAY($A596,-1,config_Holiday_Calendar_US),WORKDAY($A596,-1,config_Holiday_Calendar_US)),IF(ISNUMBER(_xll.BDH(config!$G$4,V$1,$A596,$A596)),_xll.BDH(config!$G$4,V$1,$A596,$A596),_xll.BDH(config!$G$5,V$1,$A596,$A596))))</f>
        <v/>
      </c>
      <c r="W596" s="8" t="str">
        <f>IF($A596="","",IF(ISNUMBER(FIND("IMPVOL",W$1)),_xll.BDH(config!$G$4,W$1,WORKDAY($A596,-1,config_Holiday_Calendar_US),WORKDAY($A596,-1,config_Holiday_Calendar_US)),IF(ISNUMBER(_xll.BDH(config!$G$4,W$1,$A596,$A596)),_xll.BDH(config!$G$4,W$1,$A596,$A596),_xll.BDH(config!$G$5,W$1,$A596,$A596))))</f>
        <v/>
      </c>
    </row>
    <row r="597" spans="1:23" x14ac:dyDescent="0.2">
      <c r="A597" s="9" t="str">
        <f>IF(A596="","",IF(WORKDAY(A596,-1,config_Holiday_Calendar_US)&lt;config!$I$10,"",WORKDAY(A596,-1,config_Holiday_Calendar_US)))</f>
        <v/>
      </c>
      <c r="B597" s="8" t="str">
        <f t="shared" si="9"/>
        <v/>
      </c>
      <c r="C597" s="8" t="str">
        <f>IF(A597="","",_xll.BDH(config!$H$4,C$1,$A597,$A597))</f>
        <v/>
      </c>
      <c r="D597" s="8" t="str">
        <f>IF($A597="","",_xll.BDH(config!$H$4,D$1,$A597,$A597))</f>
        <v/>
      </c>
      <c r="E597" s="8" t="str">
        <f>IF($A597="","",IF(ISNUMBER(FIND("IMPVOL",E$1)),_xll.BDH(config!$G$4,E$1,WORKDAY($A597,-1,config_Holiday_Calendar_US),WORKDAY($A597,-1,config_Holiday_Calendar_US)),IF(ISNUMBER(_xll.BDH(config!$G$4,E$1,$A597,$A597)),_xll.BDH(config!$G$4,E$1,$A597,$A597),_xll.BDH(config!$G$5,E$1,$A597,$A597))))</f>
        <v/>
      </c>
      <c r="F597" s="8" t="str">
        <f>IF($A597="","",IF(ISNUMBER(FIND("IMPVOL",F$1)),_xll.BDH(config!$G$4,F$1,WORKDAY($A597,-1,config_Holiday_Calendar_US),WORKDAY($A597,-1,config_Holiday_Calendar_US)),IF(ISNUMBER(_xll.BDH(config!$G$4,F$1,$A597,$A597)),_xll.BDH(config!$G$4,F$1,$A597,$A597),_xll.BDH(config!$G$5,F$1,$A597,$A597))))</f>
        <v/>
      </c>
      <c r="G597" s="8" t="str">
        <f>IF($A597="","",IF(ISNUMBER(FIND("IMPVOL",G$1)),_xll.BDH(config!$G$4,G$1,WORKDAY($A597,-1,config_Holiday_Calendar_US),WORKDAY($A597,-1,config_Holiday_Calendar_US)),IF(ISNUMBER(_xll.BDH(config!$G$4,G$1,$A597,$A597)),_xll.BDH(config!$G$4,G$1,$A597,$A597),_xll.BDH(config!$G$5,G$1,$A597,$A597))))</f>
        <v/>
      </c>
      <c r="H597" s="8" t="str">
        <f>IF($A597="","",IF(ISNUMBER(FIND("IMPVOL",H$1)),_xll.BDH(config!$G$4,H$1,WORKDAY($A597,-1,config_Holiday_Calendar_US),WORKDAY($A597,-1,config_Holiday_Calendar_US)),IF(ISNUMBER(_xll.BDH(config!$G$4,H$1,$A597,$A597)),_xll.BDH(config!$G$4,H$1,$A597,$A597),_xll.BDH(config!$G$5,H$1,$A597,$A597))))</f>
        <v/>
      </c>
      <c r="I597" s="8" t="str">
        <f>IF($A597="","",IF(ISNUMBER(FIND("IMPVOL",I$1)),_xll.BDH(config!$G$4,I$1,WORKDAY($A597,-1,config_Holiday_Calendar_US),WORKDAY($A597,-1,config_Holiday_Calendar_US)),IF(ISNUMBER(_xll.BDH(config!$G$4,I$1,$A597,$A597)),_xll.BDH(config!$G$4,I$1,$A597,$A597),_xll.BDH(config!$G$5,I$1,$A597,$A597))))</f>
        <v/>
      </c>
      <c r="J597" s="8" t="str">
        <f>IF($A597="","",IF(ISNUMBER(FIND("IMPVOL",J$1)),_xll.BDH(config!$G$4,J$1,WORKDAY($A597,-1,config_Holiday_Calendar_US),WORKDAY($A597,-1,config_Holiday_Calendar_US)),IF(ISNUMBER(_xll.BDH(config!$G$4,J$1,$A597,$A597)),_xll.BDH(config!$G$4,J$1,$A597,$A597),_xll.BDH(config!$G$5,J$1,$A597,$A597))))</f>
        <v/>
      </c>
      <c r="K597" s="8" t="str">
        <f>IF($A597="","",IF(ISNUMBER(FIND("IMPVOL",K$1)),_xll.BDH(config!$G$4,K$1,WORKDAY($A597,-1,config_Holiday_Calendar_US),WORKDAY($A597,-1,config_Holiday_Calendar_US)),IF(ISNUMBER(_xll.BDH(config!$G$4,K$1,$A597,$A597)),_xll.BDH(config!$G$4,K$1,$A597,$A597),_xll.BDH(config!$G$5,K$1,$A597,$A597))))</f>
        <v/>
      </c>
      <c r="L597" s="8" t="str">
        <f>IF($A597="","",IF(ISNUMBER(FIND("IMPVOL",L$1)),_xll.BDH(config!$G$4,L$1,WORKDAY($A597,-1,config_Holiday_Calendar_US),WORKDAY($A597,-1,config_Holiday_Calendar_US)),IF(ISNUMBER(_xll.BDH(config!$G$4,L$1,$A597,$A597)),_xll.BDH(config!$G$4,L$1,$A597,$A597),_xll.BDH(config!$G$5,L$1,$A597,$A597))))</f>
        <v/>
      </c>
      <c r="M597" s="8" t="str">
        <f>IF($A597="","",IF(ISNUMBER(FIND("IMPVOL",M$1)),_xll.BDH(config!$G$4,M$1,WORKDAY($A597,-1,config_Holiday_Calendar_US),WORKDAY($A597,-1,config_Holiday_Calendar_US)),IF(ISNUMBER(_xll.BDH(config!$G$4,M$1,$A597,$A597)),_xll.BDH(config!$G$4,M$1,$A597,$A597),_xll.BDH(config!$G$5,M$1,$A597,$A597))))</f>
        <v/>
      </c>
      <c r="N597" s="8" t="str">
        <f>IF($A597="","",IF(ISNUMBER(FIND("IMPVOL",N$1)),_xll.BDH(config!$G$4,N$1,WORKDAY($A597,-1,config_Holiday_Calendar_US),WORKDAY($A597,-1,config_Holiday_Calendar_US)),IF(ISNUMBER(_xll.BDH(config!$G$4,N$1,$A597,$A597)),_xll.BDH(config!$G$4,N$1,$A597,$A597),_xll.BDH(config!$G$5,N$1,$A597,$A597))))</f>
        <v/>
      </c>
      <c r="O597" s="8" t="str">
        <f>IF($A597="","",IF(ISNUMBER(FIND("IMPVOL",O$1)),_xll.BDH(config!$G$4,O$1,WORKDAY($A597,-1,config_Holiday_Calendar_US),WORKDAY($A597,-1,config_Holiday_Calendar_US)),IF(ISNUMBER(_xll.BDH(config!$G$4,O$1,$A597,$A597)),_xll.BDH(config!$G$4,O$1,$A597,$A597),_xll.BDH(config!$G$5,O$1,$A597,$A597))))</f>
        <v/>
      </c>
      <c r="P597" s="8" t="str">
        <f>IF($A597="","",IF(ISNUMBER(FIND("IMPVOL",P$1)),_xll.BDH(config!$G$4,P$1,WORKDAY($A597,-1,config_Holiday_Calendar_US),WORKDAY($A597,-1,config_Holiday_Calendar_US)),IF(ISNUMBER(_xll.BDH(config!$G$4,P$1,$A597,$A597)),_xll.BDH(config!$G$4,P$1,$A597,$A597),_xll.BDH(config!$G$5,P$1,$A597,$A597))))</f>
        <v/>
      </c>
      <c r="Q597" s="8" t="str">
        <f>IF($A597="","",IF(ISNUMBER(FIND("IMPVOL",Q$1)),_xll.BDH(config!$G$4,Q$1,WORKDAY($A597,-1,config_Holiday_Calendar_US),WORKDAY($A597,-1,config_Holiday_Calendar_US)),IF(ISNUMBER(_xll.BDH(config!$G$4,Q$1,$A597,$A597)),_xll.BDH(config!$G$4,Q$1,$A597,$A597),_xll.BDH(config!$G$5,Q$1,$A597,$A597))))</f>
        <v/>
      </c>
      <c r="R597" s="8" t="str">
        <f>IF($A597="","",IF(ISNUMBER(FIND("IMPVOL",R$1)),_xll.BDH(config!$G$4,R$1,WORKDAY($A597,-1,config_Holiday_Calendar_US),WORKDAY($A597,-1,config_Holiday_Calendar_US)),IF(ISNUMBER(_xll.BDH(config!$G$4,R$1,$A597,$A597)),_xll.BDH(config!$G$4,R$1,$A597,$A597),_xll.BDH(config!$G$5,R$1,$A597,$A597))))</f>
        <v/>
      </c>
      <c r="S597" s="8" t="str">
        <f>IF($A597="","",IF(ISNUMBER(FIND("IMPVOL",S$1)),_xll.BDH(config!$G$4,S$1,WORKDAY($A597,-1,config_Holiday_Calendar_US),WORKDAY($A597,-1,config_Holiday_Calendar_US)),IF(ISNUMBER(_xll.BDH(config!$G$4,S$1,$A597,$A597)),_xll.BDH(config!$G$4,S$1,$A597,$A597),_xll.BDH(config!$G$5,S$1,$A597,$A597))))</f>
        <v/>
      </c>
      <c r="T597" s="8" t="str">
        <f>IF($A597="","",IF(ISNUMBER(FIND("IMPVOL",T$1)),_xll.BDH(config!$G$4,T$1,WORKDAY($A597,-1,config_Holiday_Calendar_US),WORKDAY($A597,-1,config_Holiday_Calendar_US)),IF(ISNUMBER(_xll.BDH(config!$G$4,T$1,$A597,$A597)),_xll.BDH(config!$G$4,T$1,$A597,$A597),_xll.BDH(config!$G$5,T$1,$A597,$A597))))</f>
        <v/>
      </c>
      <c r="U597" s="8" t="str">
        <f>IF($A597="","",IF(ISNUMBER(FIND("IMPVOL",U$1)),_xll.BDH(config!$G$4,U$1,WORKDAY($A597,-1,config_Holiday_Calendar_US),WORKDAY($A597,-1,config_Holiday_Calendar_US)),IF(ISNUMBER(_xll.BDH(config!$G$4,U$1,$A597,$A597)),_xll.BDH(config!$G$4,U$1,$A597,$A597),_xll.BDH(config!$G$5,U$1,$A597,$A597))))</f>
        <v/>
      </c>
      <c r="V597" s="8" t="str">
        <f>IF($A597="","",IF(ISNUMBER(FIND("IMPVOL",V$1)),_xll.BDH(config!$G$4,V$1,WORKDAY($A597,-1,config_Holiday_Calendar_US),WORKDAY($A597,-1,config_Holiday_Calendar_US)),IF(ISNUMBER(_xll.BDH(config!$G$4,V$1,$A597,$A597)),_xll.BDH(config!$G$4,V$1,$A597,$A597),_xll.BDH(config!$G$5,V$1,$A597,$A597))))</f>
        <v/>
      </c>
      <c r="W597" s="8" t="str">
        <f>IF($A597="","",IF(ISNUMBER(FIND("IMPVOL",W$1)),_xll.BDH(config!$G$4,W$1,WORKDAY($A597,-1,config_Holiday_Calendar_US),WORKDAY($A597,-1,config_Holiday_Calendar_US)),IF(ISNUMBER(_xll.BDH(config!$G$4,W$1,$A597,$A597)),_xll.BDH(config!$G$4,W$1,$A597,$A597),_xll.BDH(config!$G$5,W$1,$A597,$A597))))</f>
        <v/>
      </c>
    </row>
    <row r="598" spans="1:23" x14ac:dyDescent="0.2">
      <c r="A598" s="9" t="str">
        <f>IF(A597="","",IF(WORKDAY(A597,-1,config_Holiday_Calendar_US)&lt;config!$I$10,"",WORKDAY(A597,-1,config_Holiday_Calendar_US)))</f>
        <v/>
      </c>
      <c r="B598" s="8" t="str">
        <f t="shared" si="9"/>
        <v/>
      </c>
      <c r="C598" s="8" t="str">
        <f>IF(A598="","",_xll.BDH(config!$H$4,C$1,$A598,$A598))</f>
        <v/>
      </c>
      <c r="D598" s="8" t="str">
        <f>IF($A598="","",_xll.BDH(config!$H$4,D$1,$A598,$A598))</f>
        <v/>
      </c>
      <c r="E598" s="8" t="str">
        <f>IF($A598="","",IF(ISNUMBER(FIND("IMPVOL",E$1)),_xll.BDH(config!$G$4,E$1,WORKDAY($A598,-1,config_Holiday_Calendar_US),WORKDAY($A598,-1,config_Holiday_Calendar_US)),IF(ISNUMBER(_xll.BDH(config!$G$4,E$1,$A598,$A598)),_xll.BDH(config!$G$4,E$1,$A598,$A598),_xll.BDH(config!$G$5,E$1,$A598,$A598))))</f>
        <v/>
      </c>
      <c r="F598" s="8" t="str">
        <f>IF($A598="","",IF(ISNUMBER(FIND("IMPVOL",F$1)),_xll.BDH(config!$G$4,F$1,WORKDAY($A598,-1,config_Holiday_Calendar_US),WORKDAY($A598,-1,config_Holiday_Calendar_US)),IF(ISNUMBER(_xll.BDH(config!$G$4,F$1,$A598,$A598)),_xll.BDH(config!$G$4,F$1,$A598,$A598),_xll.BDH(config!$G$5,F$1,$A598,$A598))))</f>
        <v/>
      </c>
      <c r="G598" s="8" t="str">
        <f>IF($A598="","",IF(ISNUMBER(FIND("IMPVOL",G$1)),_xll.BDH(config!$G$4,G$1,WORKDAY($A598,-1,config_Holiday_Calendar_US),WORKDAY($A598,-1,config_Holiday_Calendar_US)),IF(ISNUMBER(_xll.BDH(config!$G$4,G$1,$A598,$A598)),_xll.BDH(config!$G$4,G$1,$A598,$A598),_xll.BDH(config!$G$5,G$1,$A598,$A598))))</f>
        <v/>
      </c>
      <c r="H598" s="8" t="str">
        <f>IF($A598="","",IF(ISNUMBER(FIND("IMPVOL",H$1)),_xll.BDH(config!$G$4,H$1,WORKDAY($A598,-1,config_Holiday_Calendar_US),WORKDAY($A598,-1,config_Holiday_Calendar_US)),IF(ISNUMBER(_xll.BDH(config!$G$4,H$1,$A598,$A598)),_xll.BDH(config!$G$4,H$1,$A598,$A598),_xll.BDH(config!$G$5,H$1,$A598,$A598))))</f>
        <v/>
      </c>
      <c r="I598" s="8" t="str">
        <f>IF($A598="","",IF(ISNUMBER(FIND("IMPVOL",I$1)),_xll.BDH(config!$G$4,I$1,WORKDAY($A598,-1,config_Holiday_Calendar_US),WORKDAY($A598,-1,config_Holiday_Calendar_US)),IF(ISNUMBER(_xll.BDH(config!$G$4,I$1,$A598,$A598)),_xll.BDH(config!$G$4,I$1,$A598,$A598),_xll.BDH(config!$G$5,I$1,$A598,$A598))))</f>
        <v/>
      </c>
      <c r="J598" s="8" t="str">
        <f>IF($A598="","",IF(ISNUMBER(FIND("IMPVOL",J$1)),_xll.BDH(config!$G$4,J$1,WORKDAY($A598,-1,config_Holiday_Calendar_US),WORKDAY($A598,-1,config_Holiday_Calendar_US)),IF(ISNUMBER(_xll.BDH(config!$G$4,J$1,$A598,$A598)),_xll.BDH(config!$G$4,J$1,$A598,$A598),_xll.BDH(config!$G$5,J$1,$A598,$A598))))</f>
        <v/>
      </c>
      <c r="K598" s="8" t="str">
        <f>IF($A598="","",IF(ISNUMBER(FIND("IMPVOL",K$1)),_xll.BDH(config!$G$4,K$1,WORKDAY($A598,-1,config_Holiday_Calendar_US),WORKDAY($A598,-1,config_Holiday_Calendar_US)),IF(ISNUMBER(_xll.BDH(config!$G$4,K$1,$A598,$A598)),_xll.BDH(config!$G$4,K$1,$A598,$A598),_xll.BDH(config!$G$5,K$1,$A598,$A598))))</f>
        <v/>
      </c>
      <c r="L598" s="8" t="str">
        <f>IF($A598="","",IF(ISNUMBER(FIND("IMPVOL",L$1)),_xll.BDH(config!$G$4,L$1,WORKDAY($A598,-1,config_Holiday_Calendar_US),WORKDAY($A598,-1,config_Holiday_Calendar_US)),IF(ISNUMBER(_xll.BDH(config!$G$4,L$1,$A598,$A598)),_xll.BDH(config!$G$4,L$1,$A598,$A598),_xll.BDH(config!$G$5,L$1,$A598,$A598))))</f>
        <v/>
      </c>
      <c r="M598" s="8" t="str">
        <f>IF($A598="","",IF(ISNUMBER(FIND("IMPVOL",M$1)),_xll.BDH(config!$G$4,M$1,WORKDAY($A598,-1,config_Holiday_Calendar_US),WORKDAY($A598,-1,config_Holiday_Calendar_US)),IF(ISNUMBER(_xll.BDH(config!$G$4,M$1,$A598,$A598)),_xll.BDH(config!$G$4,M$1,$A598,$A598),_xll.BDH(config!$G$5,M$1,$A598,$A598))))</f>
        <v/>
      </c>
      <c r="N598" s="8" t="str">
        <f>IF($A598="","",IF(ISNUMBER(FIND("IMPVOL",N$1)),_xll.BDH(config!$G$4,N$1,WORKDAY($A598,-1,config_Holiday_Calendar_US),WORKDAY($A598,-1,config_Holiday_Calendar_US)),IF(ISNUMBER(_xll.BDH(config!$G$4,N$1,$A598,$A598)),_xll.BDH(config!$G$4,N$1,$A598,$A598),_xll.BDH(config!$G$5,N$1,$A598,$A598))))</f>
        <v/>
      </c>
      <c r="O598" s="8" t="str">
        <f>IF($A598="","",IF(ISNUMBER(FIND("IMPVOL",O$1)),_xll.BDH(config!$G$4,O$1,WORKDAY($A598,-1,config_Holiday_Calendar_US),WORKDAY($A598,-1,config_Holiday_Calendar_US)),IF(ISNUMBER(_xll.BDH(config!$G$4,O$1,$A598,$A598)),_xll.BDH(config!$G$4,O$1,$A598,$A598),_xll.BDH(config!$G$5,O$1,$A598,$A598))))</f>
        <v/>
      </c>
      <c r="P598" s="8" t="str">
        <f>IF($A598="","",IF(ISNUMBER(FIND("IMPVOL",P$1)),_xll.BDH(config!$G$4,P$1,WORKDAY($A598,-1,config_Holiday_Calendar_US),WORKDAY($A598,-1,config_Holiday_Calendar_US)),IF(ISNUMBER(_xll.BDH(config!$G$4,P$1,$A598,$A598)),_xll.BDH(config!$G$4,P$1,$A598,$A598),_xll.BDH(config!$G$5,P$1,$A598,$A598))))</f>
        <v/>
      </c>
      <c r="Q598" s="8" t="str">
        <f>IF($A598="","",IF(ISNUMBER(FIND("IMPVOL",Q$1)),_xll.BDH(config!$G$4,Q$1,WORKDAY($A598,-1,config_Holiday_Calendar_US),WORKDAY($A598,-1,config_Holiday_Calendar_US)),IF(ISNUMBER(_xll.BDH(config!$G$4,Q$1,$A598,$A598)),_xll.BDH(config!$G$4,Q$1,$A598,$A598),_xll.BDH(config!$G$5,Q$1,$A598,$A598))))</f>
        <v/>
      </c>
      <c r="R598" s="8" t="str">
        <f>IF($A598="","",IF(ISNUMBER(FIND("IMPVOL",R$1)),_xll.BDH(config!$G$4,R$1,WORKDAY($A598,-1,config_Holiday_Calendar_US),WORKDAY($A598,-1,config_Holiday_Calendar_US)),IF(ISNUMBER(_xll.BDH(config!$G$4,R$1,$A598,$A598)),_xll.BDH(config!$G$4,R$1,$A598,$A598),_xll.BDH(config!$G$5,R$1,$A598,$A598))))</f>
        <v/>
      </c>
      <c r="S598" s="8" t="str">
        <f>IF($A598="","",IF(ISNUMBER(FIND("IMPVOL",S$1)),_xll.BDH(config!$G$4,S$1,WORKDAY($A598,-1,config_Holiday_Calendar_US),WORKDAY($A598,-1,config_Holiday_Calendar_US)),IF(ISNUMBER(_xll.BDH(config!$G$4,S$1,$A598,$A598)),_xll.BDH(config!$G$4,S$1,$A598,$A598),_xll.BDH(config!$G$5,S$1,$A598,$A598))))</f>
        <v/>
      </c>
      <c r="T598" s="8" t="str">
        <f>IF($A598="","",IF(ISNUMBER(FIND("IMPVOL",T$1)),_xll.BDH(config!$G$4,T$1,WORKDAY($A598,-1,config_Holiday_Calendar_US),WORKDAY($A598,-1,config_Holiday_Calendar_US)),IF(ISNUMBER(_xll.BDH(config!$G$4,T$1,$A598,$A598)),_xll.BDH(config!$G$4,T$1,$A598,$A598),_xll.BDH(config!$G$5,T$1,$A598,$A598))))</f>
        <v/>
      </c>
      <c r="U598" s="8" t="str">
        <f>IF($A598="","",IF(ISNUMBER(FIND("IMPVOL",U$1)),_xll.BDH(config!$G$4,U$1,WORKDAY($A598,-1,config_Holiday_Calendar_US),WORKDAY($A598,-1,config_Holiday_Calendar_US)),IF(ISNUMBER(_xll.BDH(config!$G$4,U$1,$A598,$A598)),_xll.BDH(config!$G$4,U$1,$A598,$A598),_xll.BDH(config!$G$5,U$1,$A598,$A598))))</f>
        <v/>
      </c>
      <c r="V598" s="8" t="str">
        <f>IF($A598="","",IF(ISNUMBER(FIND("IMPVOL",V$1)),_xll.BDH(config!$G$4,V$1,WORKDAY($A598,-1,config_Holiday_Calendar_US),WORKDAY($A598,-1,config_Holiday_Calendar_US)),IF(ISNUMBER(_xll.BDH(config!$G$4,V$1,$A598,$A598)),_xll.BDH(config!$G$4,V$1,$A598,$A598),_xll.BDH(config!$G$5,V$1,$A598,$A598))))</f>
        <v/>
      </c>
      <c r="W598" s="8" t="str">
        <f>IF($A598="","",IF(ISNUMBER(FIND("IMPVOL",W$1)),_xll.BDH(config!$G$4,W$1,WORKDAY($A598,-1,config_Holiday_Calendar_US),WORKDAY($A598,-1,config_Holiday_Calendar_US)),IF(ISNUMBER(_xll.BDH(config!$G$4,W$1,$A598,$A598)),_xll.BDH(config!$G$4,W$1,$A598,$A598),_xll.BDH(config!$G$5,W$1,$A598,$A598))))</f>
        <v/>
      </c>
    </row>
    <row r="599" spans="1:23" x14ac:dyDescent="0.2">
      <c r="A599" s="9" t="str">
        <f>IF(A598="","",IF(WORKDAY(A598,-1,config_Holiday_Calendar_US)&lt;config!$I$10,"",WORKDAY(A598,-1,config_Holiday_Calendar_US)))</f>
        <v/>
      </c>
      <c r="B599" s="8" t="str">
        <f t="shared" si="9"/>
        <v/>
      </c>
      <c r="C599" s="8" t="str">
        <f>IF(A599="","",_xll.BDH(config!$H$4,C$1,$A599,$A599))</f>
        <v/>
      </c>
      <c r="D599" s="8" t="str">
        <f>IF($A599="","",_xll.BDH(config!$H$4,D$1,$A599,$A599))</f>
        <v/>
      </c>
      <c r="E599" s="8" t="str">
        <f>IF($A599="","",IF(ISNUMBER(FIND("IMPVOL",E$1)),_xll.BDH(config!$G$4,E$1,WORKDAY($A599,-1,config_Holiday_Calendar_US),WORKDAY($A599,-1,config_Holiday_Calendar_US)),IF(ISNUMBER(_xll.BDH(config!$G$4,E$1,$A599,$A599)),_xll.BDH(config!$G$4,E$1,$A599,$A599),_xll.BDH(config!$G$5,E$1,$A599,$A599))))</f>
        <v/>
      </c>
      <c r="F599" s="8" t="str">
        <f>IF($A599="","",IF(ISNUMBER(FIND("IMPVOL",F$1)),_xll.BDH(config!$G$4,F$1,WORKDAY($A599,-1,config_Holiday_Calendar_US),WORKDAY($A599,-1,config_Holiday_Calendar_US)),IF(ISNUMBER(_xll.BDH(config!$G$4,F$1,$A599,$A599)),_xll.BDH(config!$G$4,F$1,$A599,$A599),_xll.BDH(config!$G$5,F$1,$A599,$A599))))</f>
        <v/>
      </c>
      <c r="G599" s="8" t="str">
        <f>IF($A599="","",IF(ISNUMBER(FIND("IMPVOL",G$1)),_xll.BDH(config!$G$4,G$1,WORKDAY($A599,-1,config_Holiday_Calendar_US),WORKDAY($A599,-1,config_Holiday_Calendar_US)),IF(ISNUMBER(_xll.BDH(config!$G$4,G$1,$A599,$A599)),_xll.BDH(config!$G$4,G$1,$A599,$A599),_xll.BDH(config!$G$5,G$1,$A599,$A599))))</f>
        <v/>
      </c>
      <c r="H599" s="8" t="str">
        <f>IF($A599="","",IF(ISNUMBER(FIND("IMPVOL",H$1)),_xll.BDH(config!$G$4,H$1,WORKDAY($A599,-1,config_Holiday_Calendar_US),WORKDAY($A599,-1,config_Holiday_Calendar_US)),IF(ISNUMBER(_xll.BDH(config!$G$4,H$1,$A599,$A599)),_xll.BDH(config!$G$4,H$1,$A599,$A599),_xll.BDH(config!$G$5,H$1,$A599,$A599))))</f>
        <v/>
      </c>
      <c r="I599" s="8" t="str">
        <f>IF($A599="","",IF(ISNUMBER(FIND("IMPVOL",I$1)),_xll.BDH(config!$G$4,I$1,WORKDAY($A599,-1,config_Holiday_Calendar_US),WORKDAY($A599,-1,config_Holiday_Calendar_US)),IF(ISNUMBER(_xll.BDH(config!$G$4,I$1,$A599,$A599)),_xll.BDH(config!$G$4,I$1,$A599,$A599),_xll.BDH(config!$G$5,I$1,$A599,$A599))))</f>
        <v/>
      </c>
      <c r="J599" s="8" t="str">
        <f>IF($A599="","",IF(ISNUMBER(FIND("IMPVOL",J$1)),_xll.BDH(config!$G$4,J$1,WORKDAY($A599,-1,config_Holiday_Calendar_US),WORKDAY($A599,-1,config_Holiday_Calendar_US)),IF(ISNUMBER(_xll.BDH(config!$G$4,J$1,$A599,$A599)),_xll.BDH(config!$G$4,J$1,$A599,$A599),_xll.BDH(config!$G$5,J$1,$A599,$A599))))</f>
        <v/>
      </c>
      <c r="K599" s="8" t="str">
        <f>IF($A599="","",IF(ISNUMBER(FIND("IMPVOL",K$1)),_xll.BDH(config!$G$4,K$1,WORKDAY($A599,-1,config_Holiday_Calendar_US),WORKDAY($A599,-1,config_Holiday_Calendar_US)),IF(ISNUMBER(_xll.BDH(config!$G$4,K$1,$A599,$A599)),_xll.BDH(config!$G$4,K$1,$A599,$A599),_xll.BDH(config!$G$5,K$1,$A599,$A599))))</f>
        <v/>
      </c>
      <c r="L599" s="8" t="str">
        <f>IF($A599="","",IF(ISNUMBER(FIND("IMPVOL",L$1)),_xll.BDH(config!$G$4,L$1,WORKDAY($A599,-1,config_Holiday_Calendar_US),WORKDAY($A599,-1,config_Holiday_Calendar_US)),IF(ISNUMBER(_xll.BDH(config!$G$4,L$1,$A599,$A599)),_xll.BDH(config!$G$4,L$1,$A599,$A599),_xll.BDH(config!$G$5,L$1,$A599,$A599))))</f>
        <v/>
      </c>
      <c r="M599" s="8" t="str">
        <f>IF($A599="","",IF(ISNUMBER(FIND("IMPVOL",M$1)),_xll.BDH(config!$G$4,M$1,WORKDAY($A599,-1,config_Holiday_Calendar_US),WORKDAY($A599,-1,config_Holiday_Calendar_US)),IF(ISNUMBER(_xll.BDH(config!$G$4,M$1,$A599,$A599)),_xll.BDH(config!$G$4,M$1,$A599,$A599),_xll.BDH(config!$G$5,M$1,$A599,$A599))))</f>
        <v/>
      </c>
      <c r="N599" s="8" t="str">
        <f>IF($A599="","",IF(ISNUMBER(FIND("IMPVOL",N$1)),_xll.BDH(config!$G$4,N$1,WORKDAY($A599,-1,config_Holiday_Calendar_US),WORKDAY($A599,-1,config_Holiday_Calendar_US)),IF(ISNUMBER(_xll.BDH(config!$G$4,N$1,$A599,$A599)),_xll.BDH(config!$G$4,N$1,$A599,$A599),_xll.BDH(config!$G$5,N$1,$A599,$A599))))</f>
        <v/>
      </c>
      <c r="O599" s="8" t="str">
        <f>IF($A599="","",IF(ISNUMBER(FIND("IMPVOL",O$1)),_xll.BDH(config!$G$4,O$1,WORKDAY($A599,-1,config_Holiday_Calendar_US),WORKDAY($A599,-1,config_Holiday_Calendar_US)),IF(ISNUMBER(_xll.BDH(config!$G$4,O$1,$A599,$A599)),_xll.BDH(config!$G$4,O$1,$A599,$A599),_xll.BDH(config!$G$5,O$1,$A599,$A599))))</f>
        <v/>
      </c>
      <c r="P599" s="8" t="str">
        <f>IF($A599="","",IF(ISNUMBER(FIND("IMPVOL",P$1)),_xll.BDH(config!$G$4,P$1,WORKDAY($A599,-1,config_Holiday_Calendar_US),WORKDAY($A599,-1,config_Holiday_Calendar_US)),IF(ISNUMBER(_xll.BDH(config!$G$4,P$1,$A599,$A599)),_xll.BDH(config!$G$4,P$1,$A599,$A599),_xll.BDH(config!$G$5,P$1,$A599,$A599))))</f>
        <v/>
      </c>
      <c r="Q599" s="8" t="str">
        <f>IF($A599="","",IF(ISNUMBER(FIND("IMPVOL",Q$1)),_xll.BDH(config!$G$4,Q$1,WORKDAY($A599,-1,config_Holiday_Calendar_US),WORKDAY($A599,-1,config_Holiday_Calendar_US)),IF(ISNUMBER(_xll.BDH(config!$G$4,Q$1,$A599,$A599)),_xll.BDH(config!$G$4,Q$1,$A599,$A599),_xll.BDH(config!$G$5,Q$1,$A599,$A599))))</f>
        <v/>
      </c>
      <c r="R599" s="8" t="str">
        <f>IF($A599="","",IF(ISNUMBER(FIND("IMPVOL",R$1)),_xll.BDH(config!$G$4,R$1,WORKDAY($A599,-1,config_Holiday_Calendar_US),WORKDAY($A599,-1,config_Holiday_Calendar_US)),IF(ISNUMBER(_xll.BDH(config!$G$4,R$1,$A599,$A599)),_xll.BDH(config!$G$4,R$1,$A599,$A599),_xll.BDH(config!$G$5,R$1,$A599,$A599))))</f>
        <v/>
      </c>
      <c r="S599" s="8" t="str">
        <f>IF($A599="","",IF(ISNUMBER(FIND("IMPVOL",S$1)),_xll.BDH(config!$G$4,S$1,WORKDAY($A599,-1,config_Holiday_Calendar_US),WORKDAY($A599,-1,config_Holiday_Calendar_US)),IF(ISNUMBER(_xll.BDH(config!$G$4,S$1,$A599,$A599)),_xll.BDH(config!$G$4,S$1,$A599,$A599),_xll.BDH(config!$G$5,S$1,$A599,$A599))))</f>
        <v/>
      </c>
      <c r="T599" s="8" t="str">
        <f>IF($A599="","",IF(ISNUMBER(FIND("IMPVOL",T$1)),_xll.BDH(config!$G$4,T$1,WORKDAY($A599,-1,config_Holiday_Calendar_US),WORKDAY($A599,-1,config_Holiday_Calendar_US)),IF(ISNUMBER(_xll.BDH(config!$G$4,T$1,$A599,$A599)),_xll.BDH(config!$G$4,T$1,$A599,$A599),_xll.BDH(config!$G$5,T$1,$A599,$A599))))</f>
        <v/>
      </c>
      <c r="U599" s="8" t="str">
        <f>IF($A599="","",IF(ISNUMBER(FIND("IMPVOL",U$1)),_xll.BDH(config!$G$4,U$1,WORKDAY($A599,-1,config_Holiday_Calendar_US),WORKDAY($A599,-1,config_Holiday_Calendar_US)),IF(ISNUMBER(_xll.BDH(config!$G$4,U$1,$A599,$A599)),_xll.BDH(config!$G$4,U$1,$A599,$A599),_xll.BDH(config!$G$5,U$1,$A599,$A599))))</f>
        <v/>
      </c>
      <c r="V599" s="8" t="str">
        <f>IF($A599="","",IF(ISNUMBER(FIND("IMPVOL",V$1)),_xll.BDH(config!$G$4,V$1,WORKDAY($A599,-1,config_Holiday_Calendar_US),WORKDAY($A599,-1,config_Holiday_Calendar_US)),IF(ISNUMBER(_xll.BDH(config!$G$4,V$1,$A599,$A599)),_xll.BDH(config!$G$4,V$1,$A599,$A599),_xll.BDH(config!$G$5,V$1,$A599,$A599))))</f>
        <v/>
      </c>
      <c r="W599" s="8" t="str">
        <f>IF($A599="","",IF(ISNUMBER(FIND("IMPVOL",W$1)),_xll.BDH(config!$G$4,W$1,WORKDAY($A599,-1,config_Holiday_Calendar_US),WORKDAY($A599,-1,config_Holiday_Calendar_US)),IF(ISNUMBER(_xll.BDH(config!$G$4,W$1,$A599,$A599)),_xll.BDH(config!$G$4,W$1,$A599,$A599),_xll.BDH(config!$G$5,W$1,$A599,$A599))))</f>
        <v/>
      </c>
    </row>
    <row r="600" spans="1:23" x14ac:dyDescent="0.2">
      <c r="A600" s="9" t="str">
        <f>IF(A599="","",IF(WORKDAY(A599,-1,config_Holiday_Calendar_US)&lt;config!$I$10,"",WORKDAY(A599,-1,config_Holiday_Calendar_US)))</f>
        <v/>
      </c>
      <c r="B600" s="8" t="str">
        <f t="shared" si="9"/>
        <v/>
      </c>
      <c r="C600" s="8" t="str">
        <f>IF(A600="","",_xll.BDH(config!$H$4,C$1,$A600,$A600))</f>
        <v/>
      </c>
      <c r="D600" s="8" t="str">
        <f>IF($A600="","",_xll.BDH(config!$H$4,D$1,$A600,$A600))</f>
        <v/>
      </c>
      <c r="E600" s="8" t="str">
        <f>IF($A600="","",IF(ISNUMBER(FIND("IMPVOL",E$1)),_xll.BDH(config!$G$4,E$1,WORKDAY($A600,-1,config_Holiday_Calendar_US),WORKDAY($A600,-1,config_Holiday_Calendar_US)),IF(ISNUMBER(_xll.BDH(config!$G$4,E$1,$A600,$A600)),_xll.BDH(config!$G$4,E$1,$A600,$A600),_xll.BDH(config!$G$5,E$1,$A600,$A600))))</f>
        <v/>
      </c>
      <c r="F600" s="8" t="str">
        <f>IF($A600="","",IF(ISNUMBER(FIND("IMPVOL",F$1)),_xll.BDH(config!$G$4,F$1,WORKDAY($A600,-1,config_Holiday_Calendar_US),WORKDAY($A600,-1,config_Holiday_Calendar_US)),IF(ISNUMBER(_xll.BDH(config!$G$4,F$1,$A600,$A600)),_xll.BDH(config!$G$4,F$1,$A600,$A600),_xll.BDH(config!$G$5,F$1,$A600,$A600))))</f>
        <v/>
      </c>
      <c r="G600" s="8" t="str">
        <f>IF($A600="","",IF(ISNUMBER(FIND("IMPVOL",G$1)),_xll.BDH(config!$G$4,G$1,WORKDAY($A600,-1,config_Holiday_Calendar_US),WORKDAY($A600,-1,config_Holiday_Calendar_US)),IF(ISNUMBER(_xll.BDH(config!$G$4,G$1,$A600,$A600)),_xll.BDH(config!$G$4,G$1,$A600,$A600),_xll.BDH(config!$G$5,G$1,$A600,$A600))))</f>
        <v/>
      </c>
      <c r="H600" s="8" t="str">
        <f>IF($A600="","",IF(ISNUMBER(FIND("IMPVOL",H$1)),_xll.BDH(config!$G$4,H$1,WORKDAY($A600,-1,config_Holiday_Calendar_US),WORKDAY($A600,-1,config_Holiday_Calendar_US)),IF(ISNUMBER(_xll.BDH(config!$G$4,H$1,$A600,$A600)),_xll.BDH(config!$G$4,H$1,$A600,$A600),_xll.BDH(config!$G$5,H$1,$A600,$A600))))</f>
        <v/>
      </c>
      <c r="I600" s="8" t="str">
        <f>IF($A600="","",IF(ISNUMBER(FIND("IMPVOL",I$1)),_xll.BDH(config!$G$4,I$1,WORKDAY($A600,-1,config_Holiday_Calendar_US),WORKDAY($A600,-1,config_Holiday_Calendar_US)),IF(ISNUMBER(_xll.BDH(config!$G$4,I$1,$A600,$A600)),_xll.BDH(config!$G$4,I$1,$A600,$A600),_xll.BDH(config!$G$5,I$1,$A600,$A600))))</f>
        <v/>
      </c>
      <c r="J600" s="8" t="str">
        <f>IF($A600="","",IF(ISNUMBER(FIND("IMPVOL",J$1)),_xll.BDH(config!$G$4,J$1,WORKDAY($A600,-1,config_Holiday_Calendar_US),WORKDAY($A600,-1,config_Holiday_Calendar_US)),IF(ISNUMBER(_xll.BDH(config!$G$4,J$1,$A600,$A600)),_xll.BDH(config!$G$4,J$1,$A600,$A600),_xll.BDH(config!$G$5,J$1,$A600,$A600))))</f>
        <v/>
      </c>
      <c r="K600" s="8" t="str">
        <f>IF($A600="","",IF(ISNUMBER(FIND("IMPVOL",K$1)),_xll.BDH(config!$G$4,K$1,WORKDAY($A600,-1,config_Holiday_Calendar_US),WORKDAY($A600,-1,config_Holiday_Calendar_US)),IF(ISNUMBER(_xll.BDH(config!$G$4,K$1,$A600,$A600)),_xll.BDH(config!$G$4,K$1,$A600,$A600),_xll.BDH(config!$G$5,K$1,$A600,$A600))))</f>
        <v/>
      </c>
      <c r="L600" s="8" t="str">
        <f>IF($A600="","",IF(ISNUMBER(FIND("IMPVOL",L$1)),_xll.BDH(config!$G$4,L$1,WORKDAY($A600,-1,config_Holiday_Calendar_US),WORKDAY($A600,-1,config_Holiday_Calendar_US)),IF(ISNUMBER(_xll.BDH(config!$G$4,L$1,$A600,$A600)),_xll.BDH(config!$G$4,L$1,$A600,$A600),_xll.BDH(config!$G$5,L$1,$A600,$A600))))</f>
        <v/>
      </c>
      <c r="M600" s="8" t="str">
        <f>IF($A600="","",IF(ISNUMBER(FIND("IMPVOL",M$1)),_xll.BDH(config!$G$4,M$1,WORKDAY($A600,-1,config_Holiday_Calendar_US),WORKDAY($A600,-1,config_Holiday_Calendar_US)),IF(ISNUMBER(_xll.BDH(config!$G$4,M$1,$A600,$A600)),_xll.BDH(config!$G$4,M$1,$A600,$A600),_xll.BDH(config!$G$5,M$1,$A600,$A600))))</f>
        <v/>
      </c>
      <c r="N600" s="8" t="str">
        <f>IF($A600="","",IF(ISNUMBER(FIND("IMPVOL",N$1)),_xll.BDH(config!$G$4,N$1,WORKDAY($A600,-1,config_Holiday_Calendar_US),WORKDAY($A600,-1,config_Holiday_Calendar_US)),IF(ISNUMBER(_xll.BDH(config!$G$4,N$1,$A600,$A600)),_xll.BDH(config!$G$4,N$1,$A600,$A600),_xll.BDH(config!$G$5,N$1,$A600,$A600))))</f>
        <v/>
      </c>
      <c r="O600" s="8" t="str">
        <f>IF($A600="","",IF(ISNUMBER(FIND("IMPVOL",O$1)),_xll.BDH(config!$G$4,O$1,WORKDAY($A600,-1,config_Holiday_Calendar_US),WORKDAY($A600,-1,config_Holiday_Calendar_US)),IF(ISNUMBER(_xll.BDH(config!$G$4,O$1,$A600,$A600)),_xll.BDH(config!$G$4,O$1,$A600,$A600),_xll.BDH(config!$G$5,O$1,$A600,$A600))))</f>
        <v/>
      </c>
      <c r="P600" s="8" t="str">
        <f>IF($A600="","",IF(ISNUMBER(FIND("IMPVOL",P$1)),_xll.BDH(config!$G$4,P$1,WORKDAY($A600,-1,config_Holiday_Calendar_US),WORKDAY($A600,-1,config_Holiday_Calendar_US)),IF(ISNUMBER(_xll.BDH(config!$G$4,P$1,$A600,$A600)),_xll.BDH(config!$G$4,P$1,$A600,$A600),_xll.BDH(config!$G$5,P$1,$A600,$A600))))</f>
        <v/>
      </c>
      <c r="Q600" s="8" t="str">
        <f>IF($A600="","",IF(ISNUMBER(FIND("IMPVOL",Q$1)),_xll.BDH(config!$G$4,Q$1,WORKDAY($A600,-1,config_Holiday_Calendar_US),WORKDAY($A600,-1,config_Holiday_Calendar_US)),IF(ISNUMBER(_xll.BDH(config!$G$4,Q$1,$A600,$A600)),_xll.BDH(config!$G$4,Q$1,$A600,$A600),_xll.BDH(config!$G$5,Q$1,$A600,$A600))))</f>
        <v/>
      </c>
      <c r="R600" s="8" t="str">
        <f>IF($A600="","",IF(ISNUMBER(FIND("IMPVOL",R$1)),_xll.BDH(config!$G$4,R$1,WORKDAY($A600,-1,config_Holiday_Calendar_US),WORKDAY($A600,-1,config_Holiday_Calendar_US)),IF(ISNUMBER(_xll.BDH(config!$G$4,R$1,$A600,$A600)),_xll.BDH(config!$G$4,R$1,$A600,$A600),_xll.BDH(config!$G$5,R$1,$A600,$A600))))</f>
        <v/>
      </c>
      <c r="S600" s="8" t="str">
        <f>IF($A600="","",IF(ISNUMBER(FIND("IMPVOL",S$1)),_xll.BDH(config!$G$4,S$1,WORKDAY($A600,-1,config_Holiday_Calendar_US),WORKDAY($A600,-1,config_Holiday_Calendar_US)),IF(ISNUMBER(_xll.BDH(config!$G$4,S$1,$A600,$A600)),_xll.BDH(config!$G$4,S$1,$A600,$A600),_xll.BDH(config!$G$5,S$1,$A600,$A600))))</f>
        <v/>
      </c>
      <c r="T600" s="8" t="str">
        <f>IF($A600="","",IF(ISNUMBER(FIND("IMPVOL",T$1)),_xll.BDH(config!$G$4,T$1,WORKDAY($A600,-1,config_Holiday_Calendar_US),WORKDAY($A600,-1,config_Holiday_Calendar_US)),IF(ISNUMBER(_xll.BDH(config!$G$4,T$1,$A600,$A600)),_xll.BDH(config!$G$4,T$1,$A600,$A600),_xll.BDH(config!$G$5,T$1,$A600,$A600))))</f>
        <v/>
      </c>
      <c r="U600" s="8" t="str">
        <f>IF($A600="","",IF(ISNUMBER(FIND("IMPVOL",U$1)),_xll.BDH(config!$G$4,U$1,WORKDAY($A600,-1,config_Holiday_Calendar_US),WORKDAY($A600,-1,config_Holiday_Calendar_US)),IF(ISNUMBER(_xll.BDH(config!$G$4,U$1,$A600,$A600)),_xll.BDH(config!$G$4,U$1,$A600,$A600),_xll.BDH(config!$G$5,U$1,$A600,$A600))))</f>
        <v/>
      </c>
      <c r="V600" s="8" t="str">
        <f>IF($A600="","",IF(ISNUMBER(FIND("IMPVOL",V$1)),_xll.BDH(config!$G$4,V$1,WORKDAY($A600,-1,config_Holiday_Calendar_US),WORKDAY($A600,-1,config_Holiday_Calendar_US)),IF(ISNUMBER(_xll.BDH(config!$G$4,V$1,$A600,$A600)),_xll.BDH(config!$G$4,V$1,$A600,$A600),_xll.BDH(config!$G$5,V$1,$A600,$A600))))</f>
        <v/>
      </c>
      <c r="W600" s="8" t="str">
        <f>IF($A600="","",IF(ISNUMBER(FIND("IMPVOL",W$1)),_xll.BDH(config!$G$4,W$1,WORKDAY($A600,-1,config_Holiday_Calendar_US),WORKDAY($A600,-1,config_Holiday_Calendar_US)),IF(ISNUMBER(_xll.BDH(config!$G$4,W$1,$A600,$A600)),_xll.BDH(config!$G$4,W$1,$A600,$A600),_xll.BDH(config!$G$5,W$1,$A600,$A600))))</f>
        <v/>
      </c>
    </row>
    <row r="601" spans="1:23" x14ac:dyDescent="0.2">
      <c r="A601" s="9" t="str">
        <f>IF(A600="","",IF(WORKDAY(A600,-1,config_Holiday_Calendar_US)&lt;config!$I$10,"",WORKDAY(A600,-1,config_Holiday_Calendar_US)))</f>
        <v/>
      </c>
      <c r="B601" s="8" t="str">
        <f t="shared" si="9"/>
        <v/>
      </c>
      <c r="C601" s="8" t="str">
        <f>IF(A601="","",_xll.BDH(config!$H$4,C$1,$A601,$A601))</f>
        <v/>
      </c>
      <c r="D601" s="8" t="str">
        <f>IF($A601="","",_xll.BDH(config!$H$4,D$1,$A601,$A601))</f>
        <v/>
      </c>
      <c r="E601" s="8" t="str">
        <f>IF($A601="","",IF(ISNUMBER(FIND("IMPVOL",E$1)),_xll.BDH(config!$G$4,E$1,WORKDAY($A601,-1,config_Holiday_Calendar_US),WORKDAY($A601,-1,config_Holiday_Calendar_US)),IF(ISNUMBER(_xll.BDH(config!$G$4,E$1,$A601,$A601)),_xll.BDH(config!$G$4,E$1,$A601,$A601),_xll.BDH(config!$G$5,E$1,$A601,$A601))))</f>
        <v/>
      </c>
      <c r="F601" s="8" t="str">
        <f>IF($A601="","",IF(ISNUMBER(FIND("IMPVOL",F$1)),_xll.BDH(config!$G$4,F$1,WORKDAY($A601,-1,config_Holiday_Calendar_US),WORKDAY($A601,-1,config_Holiday_Calendar_US)),IF(ISNUMBER(_xll.BDH(config!$G$4,F$1,$A601,$A601)),_xll.BDH(config!$G$4,F$1,$A601,$A601),_xll.BDH(config!$G$5,F$1,$A601,$A601))))</f>
        <v/>
      </c>
      <c r="G601" s="8" t="str">
        <f>IF($A601="","",IF(ISNUMBER(FIND("IMPVOL",G$1)),_xll.BDH(config!$G$4,G$1,WORKDAY($A601,-1,config_Holiday_Calendar_US),WORKDAY($A601,-1,config_Holiday_Calendar_US)),IF(ISNUMBER(_xll.BDH(config!$G$4,G$1,$A601,$A601)),_xll.BDH(config!$G$4,G$1,$A601,$A601),_xll.BDH(config!$G$5,G$1,$A601,$A601))))</f>
        <v/>
      </c>
      <c r="H601" s="8" t="str">
        <f>IF($A601="","",IF(ISNUMBER(FIND("IMPVOL",H$1)),_xll.BDH(config!$G$4,H$1,WORKDAY($A601,-1,config_Holiday_Calendar_US),WORKDAY($A601,-1,config_Holiday_Calendar_US)),IF(ISNUMBER(_xll.BDH(config!$G$4,H$1,$A601,$A601)),_xll.BDH(config!$G$4,H$1,$A601,$A601),_xll.BDH(config!$G$5,H$1,$A601,$A601))))</f>
        <v/>
      </c>
      <c r="I601" s="8" t="str">
        <f>IF($A601="","",IF(ISNUMBER(FIND("IMPVOL",I$1)),_xll.BDH(config!$G$4,I$1,WORKDAY($A601,-1,config_Holiday_Calendar_US),WORKDAY($A601,-1,config_Holiday_Calendar_US)),IF(ISNUMBER(_xll.BDH(config!$G$4,I$1,$A601,$A601)),_xll.BDH(config!$G$4,I$1,$A601,$A601),_xll.BDH(config!$G$5,I$1,$A601,$A601))))</f>
        <v/>
      </c>
      <c r="J601" s="8" t="str">
        <f>IF($A601="","",IF(ISNUMBER(FIND("IMPVOL",J$1)),_xll.BDH(config!$G$4,J$1,WORKDAY($A601,-1,config_Holiday_Calendar_US),WORKDAY($A601,-1,config_Holiday_Calendar_US)),IF(ISNUMBER(_xll.BDH(config!$G$4,J$1,$A601,$A601)),_xll.BDH(config!$G$4,J$1,$A601,$A601),_xll.BDH(config!$G$5,J$1,$A601,$A601))))</f>
        <v/>
      </c>
      <c r="K601" s="8" t="str">
        <f>IF($A601="","",IF(ISNUMBER(FIND("IMPVOL",K$1)),_xll.BDH(config!$G$4,K$1,WORKDAY($A601,-1,config_Holiday_Calendar_US),WORKDAY($A601,-1,config_Holiday_Calendar_US)),IF(ISNUMBER(_xll.BDH(config!$G$4,K$1,$A601,$A601)),_xll.BDH(config!$G$4,K$1,$A601,$A601),_xll.BDH(config!$G$5,K$1,$A601,$A601))))</f>
        <v/>
      </c>
      <c r="L601" s="8" t="str">
        <f>IF($A601="","",IF(ISNUMBER(FIND("IMPVOL",L$1)),_xll.BDH(config!$G$4,L$1,WORKDAY($A601,-1,config_Holiday_Calendar_US),WORKDAY($A601,-1,config_Holiday_Calendar_US)),IF(ISNUMBER(_xll.BDH(config!$G$4,L$1,$A601,$A601)),_xll.BDH(config!$G$4,L$1,$A601,$A601),_xll.BDH(config!$G$5,L$1,$A601,$A601))))</f>
        <v/>
      </c>
      <c r="M601" s="8" t="str">
        <f>IF($A601="","",IF(ISNUMBER(FIND("IMPVOL",M$1)),_xll.BDH(config!$G$4,M$1,WORKDAY($A601,-1,config_Holiday_Calendar_US),WORKDAY($A601,-1,config_Holiday_Calendar_US)),IF(ISNUMBER(_xll.BDH(config!$G$4,M$1,$A601,$A601)),_xll.BDH(config!$G$4,M$1,$A601,$A601),_xll.BDH(config!$G$5,M$1,$A601,$A601))))</f>
        <v/>
      </c>
      <c r="N601" s="8" t="str">
        <f>IF($A601="","",IF(ISNUMBER(FIND("IMPVOL",N$1)),_xll.BDH(config!$G$4,N$1,WORKDAY($A601,-1,config_Holiday_Calendar_US),WORKDAY($A601,-1,config_Holiday_Calendar_US)),IF(ISNUMBER(_xll.BDH(config!$G$4,N$1,$A601,$A601)),_xll.BDH(config!$G$4,N$1,$A601,$A601),_xll.BDH(config!$G$5,N$1,$A601,$A601))))</f>
        <v/>
      </c>
      <c r="O601" s="8" t="str">
        <f>IF($A601="","",IF(ISNUMBER(FIND("IMPVOL",O$1)),_xll.BDH(config!$G$4,O$1,WORKDAY($A601,-1,config_Holiday_Calendar_US),WORKDAY($A601,-1,config_Holiday_Calendar_US)),IF(ISNUMBER(_xll.BDH(config!$G$4,O$1,$A601,$A601)),_xll.BDH(config!$G$4,O$1,$A601,$A601),_xll.BDH(config!$G$5,O$1,$A601,$A601))))</f>
        <v/>
      </c>
      <c r="P601" s="8" t="str">
        <f>IF($A601="","",IF(ISNUMBER(FIND("IMPVOL",P$1)),_xll.BDH(config!$G$4,P$1,WORKDAY($A601,-1,config_Holiday_Calendar_US),WORKDAY($A601,-1,config_Holiday_Calendar_US)),IF(ISNUMBER(_xll.BDH(config!$G$4,P$1,$A601,$A601)),_xll.BDH(config!$G$4,P$1,$A601,$A601),_xll.BDH(config!$G$5,P$1,$A601,$A601))))</f>
        <v/>
      </c>
      <c r="Q601" s="8" t="str">
        <f>IF($A601="","",IF(ISNUMBER(FIND("IMPVOL",Q$1)),_xll.BDH(config!$G$4,Q$1,WORKDAY($A601,-1,config_Holiday_Calendar_US),WORKDAY($A601,-1,config_Holiday_Calendar_US)),IF(ISNUMBER(_xll.BDH(config!$G$4,Q$1,$A601,$A601)),_xll.BDH(config!$G$4,Q$1,$A601,$A601),_xll.BDH(config!$G$5,Q$1,$A601,$A601))))</f>
        <v/>
      </c>
      <c r="R601" s="8" t="str">
        <f>IF($A601="","",IF(ISNUMBER(FIND("IMPVOL",R$1)),_xll.BDH(config!$G$4,R$1,WORKDAY($A601,-1,config_Holiday_Calendar_US),WORKDAY($A601,-1,config_Holiday_Calendar_US)),IF(ISNUMBER(_xll.BDH(config!$G$4,R$1,$A601,$A601)),_xll.BDH(config!$G$4,R$1,$A601,$A601),_xll.BDH(config!$G$5,R$1,$A601,$A601))))</f>
        <v/>
      </c>
      <c r="S601" s="8" t="str">
        <f>IF($A601="","",IF(ISNUMBER(FIND("IMPVOL",S$1)),_xll.BDH(config!$G$4,S$1,WORKDAY($A601,-1,config_Holiday_Calendar_US),WORKDAY($A601,-1,config_Holiday_Calendar_US)),IF(ISNUMBER(_xll.BDH(config!$G$4,S$1,$A601,$A601)),_xll.BDH(config!$G$4,S$1,$A601,$A601),_xll.BDH(config!$G$5,S$1,$A601,$A601))))</f>
        <v/>
      </c>
      <c r="T601" s="8" t="str">
        <f>IF($A601="","",IF(ISNUMBER(FIND("IMPVOL",T$1)),_xll.BDH(config!$G$4,T$1,WORKDAY($A601,-1,config_Holiday_Calendar_US),WORKDAY($A601,-1,config_Holiday_Calendar_US)),IF(ISNUMBER(_xll.BDH(config!$G$4,T$1,$A601,$A601)),_xll.BDH(config!$G$4,T$1,$A601,$A601),_xll.BDH(config!$G$5,T$1,$A601,$A601))))</f>
        <v/>
      </c>
      <c r="U601" s="8" t="str">
        <f>IF($A601="","",IF(ISNUMBER(FIND("IMPVOL",U$1)),_xll.BDH(config!$G$4,U$1,WORKDAY($A601,-1,config_Holiday_Calendar_US),WORKDAY($A601,-1,config_Holiday_Calendar_US)),IF(ISNUMBER(_xll.BDH(config!$G$4,U$1,$A601,$A601)),_xll.BDH(config!$G$4,U$1,$A601,$A601),_xll.BDH(config!$G$5,U$1,$A601,$A601))))</f>
        <v/>
      </c>
      <c r="V601" s="8" t="str">
        <f>IF($A601="","",IF(ISNUMBER(FIND("IMPVOL",V$1)),_xll.BDH(config!$G$4,V$1,WORKDAY($A601,-1,config_Holiday_Calendar_US),WORKDAY($A601,-1,config_Holiday_Calendar_US)),IF(ISNUMBER(_xll.BDH(config!$G$4,V$1,$A601,$A601)),_xll.BDH(config!$G$4,V$1,$A601,$A601),_xll.BDH(config!$G$5,V$1,$A601,$A601))))</f>
        <v/>
      </c>
      <c r="W601" s="8" t="str">
        <f>IF($A601="","",IF(ISNUMBER(FIND("IMPVOL",W$1)),_xll.BDH(config!$G$4,W$1,WORKDAY($A601,-1,config_Holiday_Calendar_US),WORKDAY($A601,-1,config_Holiday_Calendar_US)),IF(ISNUMBER(_xll.BDH(config!$G$4,W$1,$A601,$A601)),_xll.BDH(config!$G$4,W$1,$A601,$A601),_xll.BDH(config!$G$5,W$1,$A601,$A601))))</f>
        <v/>
      </c>
    </row>
    <row r="602" spans="1:23" x14ac:dyDescent="0.2">
      <c r="A602" s="9" t="str">
        <f>IF(A601="","",IF(WORKDAY(A601,-1,config_Holiday_Calendar_US)&lt;config!$I$10,"",WORKDAY(A601,-1,config_Holiday_Calendar_US)))</f>
        <v/>
      </c>
      <c r="B602" s="8" t="str">
        <f t="shared" si="9"/>
        <v/>
      </c>
      <c r="C602" s="8" t="str">
        <f>IF(A602="","",_xll.BDH(config!$H$4,C$1,$A602,$A602))</f>
        <v/>
      </c>
      <c r="D602" s="8" t="str">
        <f>IF($A602="","",_xll.BDH(config!$H$4,D$1,$A602,$A602))</f>
        <v/>
      </c>
      <c r="E602" s="8" t="str">
        <f>IF($A602="","",IF(ISNUMBER(FIND("IMPVOL",E$1)),_xll.BDH(config!$G$4,E$1,WORKDAY($A602,-1,config_Holiday_Calendar_US),WORKDAY($A602,-1,config_Holiday_Calendar_US)),IF(ISNUMBER(_xll.BDH(config!$G$4,E$1,$A602,$A602)),_xll.BDH(config!$G$4,E$1,$A602,$A602),_xll.BDH(config!$G$5,E$1,$A602,$A602))))</f>
        <v/>
      </c>
      <c r="F602" s="8" t="str">
        <f>IF($A602="","",IF(ISNUMBER(FIND("IMPVOL",F$1)),_xll.BDH(config!$G$4,F$1,WORKDAY($A602,-1,config_Holiday_Calendar_US),WORKDAY($A602,-1,config_Holiday_Calendar_US)),IF(ISNUMBER(_xll.BDH(config!$G$4,F$1,$A602,$A602)),_xll.BDH(config!$G$4,F$1,$A602,$A602),_xll.BDH(config!$G$5,F$1,$A602,$A602))))</f>
        <v/>
      </c>
      <c r="G602" s="8" t="str">
        <f>IF($A602="","",IF(ISNUMBER(FIND("IMPVOL",G$1)),_xll.BDH(config!$G$4,G$1,WORKDAY($A602,-1,config_Holiday_Calendar_US),WORKDAY($A602,-1,config_Holiday_Calendar_US)),IF(ISNUMBER(_xll.BDH(config!$G$4,G$1,$A602,$A602)),_xll.BDH(config!$G$4,G$1,$A602,$A602),_xll.BDH(config!$G$5,G$1,$A602,$A602))))</f>
        <v/>
      </c>
      <c r="H602" s="8" t="str">
        <f>IF($A602="","",IF(ISNUMBER(FIND("IMPVOL",H$1)),_xll.BDH(config!$G$4,H$1,WORKDAY($A602,-1,config_Holiday_Calendar_US),WORKDAY($A602,-1,config_Holiday_Calendar_US)),IF(ISNUMBER(_xll.BDH(config!$G$4,H$1,$A602,$A602)),_xll.BDH(config!$G$4,H$1,$A602,$A602),_xll.BDH(config!$G$5,H$1,$A602,$A602))))</f>
        <v/>
      </c>
      <c r="I602" s="8" t="str">
        <f>IF($A602="","",IF(ISNUMBER(FIND("IMPVOL",I$1)),_xll.BDH(config!$G$4,I$1,WORKDAY($A602,-1,config_Holiday_Calendar_US),WORKDAY($A602,-1,config_Holiday_Calendar_US)),IF(ISNUMBER(_xll.BDH(config!$G$4,I$1,$A602,$A602)),_xll.BDH(config!$G$4,I$1,$A602,$A602),_xll.BDH(config!$G$5,I$1,$A602,$A602))))</f>
        <v/>
      </c>
      <c r="J602" s="8" t="str">
        <f>IF($A602="","",IF(ISNUMBER(FIND("IMPVOL",J$1)),_xll.BDH(config!$G$4,J$1,WORKDAY($A602,-1,config_Holiday_Calendar_US),WORKDAY($A602,-1,config_Holiday_Calendar_US)),IF(ISNUMBER(_xll.BDH(config!$G$4,J$1,$A602,$A602)),_xll.BDH(config!$G$4,J$1,$A602,$A602),_xll.BDH(config!$G$5,J$1,$A602,$A602))))</f>
        <v/>
      </c>
      <c r="K602" s="8" t="str">
        <f>IF($A602="","",IF(ISNUMBER(FIND("IMPVOL",K$1)),_xll.BDH(config!$G$4,K$1,WORKDAY($A602,-1,config_Holiday_Calendar_US),WORKDAY($A602,-1,config_Holiday_Calendar_US)),IF(ISNUMBER(_xll.BDH(config!$G$4,K$1,$A602,$A602)),_xll.BDH(config!$G$4,K$1,$A602,$A602),_xll.BDH(config!$G$5,K$1,$A602,$A602))))</f>
        <v/>
      </c>
      <c r="L602" s="8" t="str">
        <f>IF($A602="","",IF(ISNUMBER(FIND("IMPVOL",L$1)),_xll.BDH(config!$G$4,L$1,WORKDAY($A602,-1,config_Holiday_Calendar_US),WORKDAY($A602,-1,config_Holiday_Calendar_US)),IF(ISNUMBER(_xll.BDH(config!$G$4,L$1,$A602,$A602)),_xll.BDH(config!$G$4,L$1,$A602,$A602),_xll.BDH(config!$G$5,L$1,$A602,$A602))))</f>
        <v/>
      </c>
      <c r="M602" s="8" t="str">
        <f>IF($A602="","",IF(ISNUMBER(FIND("IMPVOL",M$1)),_xll.BDH(config!$G$4,M$1,WORKDAY($A602,-1,config_Holiday_Calendar_US),WORKDAY($A602,-1,config_Holiday_Calendar_US)),IF(ISNUMBER(_xll.BDH(config!$G$4,M$1,$A602,$A602)),_xll.BDH(config!$G$4,M$1,$A602,$A602),_xll.BDH(config!$G$5,M$1,$A602,$A602))))</f>
        <v/>
      </c>
      <c r="N602" s="8" t="str">
        <f>IF($A602="","",IF(ISNUMBER(FIND("IMPVOL",N$1)),_xll.BDH(config!$G$4,N$1,WORKDAY($A602,-1,config_Holiday_Calendar_US),WORKDAY($A602,-1,config_Holiday_Calendar_US)),IF(ISNUMBER(_xll.BDH(config!$G$4,N$1,$A602,$A602)),_xll.BDH(config!$G$4,N$1,$A602,$A602),_xll.BDH(config!$G$5,N$1,$A602,$A602))))</f>
        <v/>
      </c>
      <c r="O602" s="8" t="str">
        <f>IF($A602="","",IF(ISNUMBER(FIND("IMPVOL",O$1)),_xll.BDH(config!$G$4,O$1,WORKDAY($A602,-1,config_Holiday_Calendar_US),WORKDAY($A602,-1,config_Holiday_Calendar_US)),IF(ISNUMBER(_xll.BDH(config!$G$4,O$1,$A602,$A602)),_xll.BDH(config!$G$4,O$1,$A602,$A602),_xll.BDH(config!$G$5,O$1,$A602,$A602))))</f>
        <v/>
      </c>
      <c r="P602" s="8" t="str">
        <f>IF($A602="","",IF(ISNUMBER(FIND("IMPVOL",P$1)),_xll.BDH(config!$G$4,P$1,WORKDAY($A602,-1,config_Holiday_Calendar_US),WORKDAY($A602,-1,config_Holiday_Calendar_US)),IF(ISNUMBER(_xll.BDH(config!$G$4,P$1,$A602,$A602)),_xll.BDH(config!$G$4,P$1,$A602,$A602),_xll.BDH(config!$G$5,P$1,$A602,$A602))))</f>
        <v/>
      </c>
      <c r="Q602" s="8" t="str">
        <f>IF($A602="","",IF(ISNUMBER(FIND("IMPVOL",Q$1)),_xll.BDH(config!$G$4,Q$1,WORKDAY($A602,-1,config_Holiday_Calendar_US),WORKDAY($A602,-1,config_Holiday_Calendar_US)),IF(ISNUMBER(_xll.BDH(config!$G$4,Q$1,$A602,$A602)),_xll.BDH(config!$G$4,Q$1,$A602,$A602),_xll.BDH(config!$G$5,Q$1,$A602,$A602))))</f>
        <v/>
      </c>
      <c r="R602" s="8" t="str">
        <f>IF($A602="","",IF(ISNUMBER(FIND("IMPVOL",R$1)),_xll.BDH(config!$G$4,R$1,WORKDAY($A602,-1,config_Holiday_Calendar_US),WORKDAY($A602,-1,config_Holiday_Calendar_US)),IF(ISNUMBER(_xll.BDH(config!$G$4,R$1,$A602,$A602)),_xll.BDH(config!$G$4,R$1,$A602,$A602),_xll.BDH(config!$G$5,R$1,$A602,$A602))))</f>
        <v/>
      </c>
      <c r="S602" s="8" t="str">
        <f>IF($A602="","",IF(ISNUMBER(FIND("IMPVOL",S$1)),_xll.BDH(config!$G$4,S$1,WORKDAY($A602,-1,config_Holiday_Calendar_US),WORKDAY($A602,-1,config_Holiday_Calendar_US)),IF(ISNUMBER(_xll.BDH(config!$G$4,S$1,$A602,$A602)),_xll.BDH(config!$G$4,S$1,$A602,$A602),_xll.BDH(config!$G$5,S$1,$A602,$A602))))</f>
        <v/>
      </c>
      <c r="T602" s="8" t="str">
        <f>IF($A602="","",IF(ISNUMBER(FIND("IMPVOL",T$1)),_xll.BDH(config!$G$4,T$1,WORKDAY($A602,-1,config_Holiday_Calendar_US),WORKDAY($A602,-1,config_Holiday_Calendar_US)),IF(ISNUMBER(_xll.BDH(config!$G$4,T$1,$A602,$A602)),_xll.BDH(config!$G$4,T$1,$A602,$A602),_xll.BDH(config!$G$5,T$1,$A602,$A602))))</f>
        <v/>
      </c>
      <c r="U602" s="8" t="str">
        <f>IF($A602="","",IF(ISNUMBER(FIND("IMPVOL",U$1)),_xll.BDH(config!$G$4,U$1,WORKDAY($A602,-1,config_Holiday_Calendar_US),WORKDAY($A602,-1,config_Holiday_Calendar_US)),IF(ISNUMBER(_xll.BDH(config!$G$4,U$1,$A602,$A602)),_xll.BDH(config!$G$4,U$1,$A602,$A602),_xll.BDH(config!$G$5,U$1,$A602,$A602))))</f>
        <v/>
      </c>
      <c r="V602" s="8" t="str">
        <f>IF($A602="","",IF(ISNUMBER(FIND("IMPVOL",V$1)),_xll.BDH(config!$G$4,V$1,WORKDAY($A602,-1,config_Holiday_Calendar_US),WORKDAY($A602,-1,config_Holiday_Calendar_US)),IF(ISNUMBER(_xll.BDH(config!$G$4,V$1,$A602,$A602)),_xll.BDH(config!$G$4,V$1,$A602,$A602),_xll.BDH(config!$G$5,V$1,$A602,$A602))))</f>
        <v/>
      </c>
      <c r="W602" s="8" t="str">
        <f>IF($A602="","",IF(ISNUMBER(FIND("IMPVOL",W$1)),_xll.BDH(config!$G$4,W$1,WORKDAY($A602,-1,config_Holiday_Calendar_US),WORKDAY($A602,-1,config_Holiday_Calendar_US)),IF(ISNUMBER(_xll.BDH(config!$G$4,W$1,$A602,$A602)),_xll.BDH(config!$G$4,W$1,$A602,$A602),_xll.BDH(config!$G$5,W$1,$A602,$A602))))</f>
        <v/>
      </c>
    </row>
    <row r="603" spans="1:23" x14ac:dyDescent="0.2">
      <c r="A603" s="9" t="str">
        <f>IF(A602="","",IF(WORKDAY(A602,-1,config_Holiday_Calendar_US)&lt;config!$I$10,"",WORKDAY(A602,-1,config_Holiday_Calendar_US)))</f>
        <v/>
      </c>
      <c r="B603" s="8" t="str">
        <f t="shared" si="9"/>
        <v/>
      </c>
      <c r="C603" s="8" t="str">
        <f>IF(A603="","",_xll.BDH(config!$H$4,C$1,$A603,$A603))</f>
        <v/>
      </c>
      <c r="D603" s="8" t="str">
        <f>IF($A603="","",_xll.BDH(config!$H$4,D$1,$A603,$A603))</f>
        <v/>
      </c>
      <c r="E603" s="8" t="str">
        <f>IF($A603="","",IF(ISNUMBER(FIND("IMPVOL",E$1)),_xll.BDH(config!$G$4,E$1,WORKDAY($A603,-1,config_Holiday_Calendar_US),WORKDAY($A603,-1,config_Holiday_Calendar_US)),IF(ISNUMBER(_xll.BDH(config!$G$4,E$1,$A603,$A603)),_xll.BDH(config!$G$4,E$1,$A603,$A603),_xll.BDH(config!$G$5,E$1,$A603,$A603))))</f>
        <v/>
      </c>
      <c r="F603" s="8" t="str">
        <f>IF($A603="","",IF(ISNUMBER(FIND("IMPVOL",F$1)),_xll.BDH(config!$G$4,F$1,WORKDAY($A603,-1,config_Holiday_Calendar_US),WORKDAY($A603,-1,config_Holiday_Calendar_US)),IF(ISNUMBER(_xll.BDH(config!$G$4,F$1,$A603,$A603)),_xll.BDH(config!$G$4,F$1,$A603,$A603),_xll.BDH(config!$G$5,F$1,$A603,$A603))))</f>
        <v/>
      </c>
      <c r="G603" s="8" t="str">
        <f>IF($A603="","",IF(ISNUMBER(FIND("IMPVOL",G$1)),_xll.BDH(config!$G$4,G$1,WORKDAY($A603,-1,config_Holiday_Calendar_US),WORKDAY($A603,-1,config_Holiday_Calendar_US)),IF(ISNUMBER(_xll.BDH(config!$G$4,G$1,$A603,$A603)),_xll.BDH(config!$G$4,G$1,$A603,$A603),_xll.BDH(config!$G$5,G$1,$A603,$A603))))</f>
        <v/>
      </c>
      <c r="H603" s="8" t="str">
        <f>IF($A603="","",IF(ISNUMBER(FIND("IMPVOL",H$1)),_xll.BDH(config!$G$4,H$1,WORKDAY($A603,-1,config_Holiday_Calendar_US),WORKDAY($A603,-1,config_Holiday_Calendar_US)),IF(ISNUMBER(_xll.BDH(config!$G$4,H$1,$A603,$A603)),_xll.BDH(config!$G$4,H$1,$A603,$A603),_xll.BDH(config!$G$5,H$1,$A603,$A603))))</f>
        <v/>
      </c>
      <c r="I603" s="8" t="str">
        <f>IF($A603="","",IF(ISNUMBER(FIND("IMPVOL",I$1)),_xll.BDH(config!$G$4,I$1,WORKDAY($A603,-1,config_Holiday_Calendar_US),WORKDAY($A603,-1,config_Holiday_Calendar_US)),IF(ISNUMBER(_xll.BDH(config!$G$4,I$1,$A603,$A603)),_xll.BDH(config!$G$4,I$1,$A603,$A603),_xll.BDH(config!$G$5,I$1,$A603,$A603))))</f>
        <v/>
      </c>
      <c r="J603" s="8" t="str">
        <f>IF($A603="","",IF(ISNUMBER(FIND("IMPVOL",J$1)),_xll.BDH(config!$G$4,J$1,WORKDAY($A603,-1,config_Holiday_Calendar_US),WORKDAY($A603,-1,config_Holiday_Calendar_US)),IF(ISNUMBER(_xll.BDH(config!$G$4,J$1,$A603,$A603)),_xll.BDH(config!$G$4,J$1,$A603,$A603),_xll.BDH(config!$G$5,J$1,$A603,$A603))))</f>
        <v/>
      </c>
      <c r="K603" s="8" t="str">
        <f>IF($A603="","",IF(ISNUMBER(FIND("IMPVOL",K$1)),_xll.BDH(config!$G$4,K$1,WORKDAY($A603,-1,config_Holiday_Calendar_US),WORKDAY($A603,-1,config_Holiday_Calendar_US)),IF(ISNUMBER(_xll.BDH(config!$G$4,K$1,$A603,$A603)),_xll.BDH(config!$G$4,K$1,$A603,$A603),_xll.BDH(config!$G$5,K$1,$A603,$A603))))</f>
        <v/>
      </c>
      <c r="L603" s="8" t="str">
        <f>IF($A603="","",IF(ISNUMBER(FIND("IMPVOL",L$1)),_xll.BDH(config!$G$4,L$1,WORKDAY($A603,-1,config_Holiday_Calendar_US),WORKDAY($A603,-1,config_Holiday_Calendar_US)),IF(ISNUMBER(_xll.BDH(config!$G$4,L$1,$A603,$A603)),_xll.BDH(config!$G$4,L$1,$A603,$A603),_xll.BDH(config!$G$5,L$1,$A603,$A603))))</f>
        <v/>
      </c>
      <c r="M603" s="8" t="str">
        <f>IF($A603="","",IF(ISNUMBER(FIND("IMPVOL",M$1)),_xll.BDH(config!$G$4,M$1,WORKDAY($A603,-1,config_Holiday_Calendar_US),WORKDAY($A603,-1,config_Holiday_Calendar_US)),IF(ISNUMBER(_xll.BDH(config!$G$4,M$1,$A603,$A603)),_xll.BDH(config!$G$4,M$1,$A603,$A603),_xll.BDH(config!$G$5,M$1,$A603,$A603))))</f>
        <v/>
      </c>
      <c r="N603" s="8" t="str">
        <f>IF($A603="","",IF(ISNUMBER(FIND("IMPVOL",N$1)),_xll.BDH(config!$G$4,N$1,WORKDAY($A603,-1,config_Holiday_Calendar_US),WORKDAY($A603,-1,config_Holiday_Calendar_US)),IF(ISNUMBER(_xll.BDH(config!$G$4,N$1,$A603,$A603)),_xll.BDH(config!$G$4,N$1,$A603,$A603),_xll.BDH(config!$G$5,N$1,$A603,$A603))))</f>
        <v/>
      </c>
      <c r="O603" s="8" t="str">
        <f>IF($A603="","",IF(ISNUMBER(FIND("IMPVOL",O$1)),_xll.BDH(config!$G$4,O$1,WORKDAY($A603,-1,config_Holiday_Calendar_US),WORKDAY($A603,-1,config_Holiday_Calendar_US)),IF(ISNUMBER(_xll.BDH(config!$G$4,O$1,$A603,$A603)),_xll.BDH(config!$G$4,O$1,$A603,$A603),_xll.BDH(config!$G$5,O$1,$A603,$A603))))</f>
        <v/>
      </c>
      <c r="P603" s="8" t="str">
        <f>IF($A603="","",IF(ISNUMBER(FIND("IMPVOL",P$1)),_xll.BDH(config!$G$4,P$1,WORKDAY($A603,-1,config_Holiday_Calendar_US),WORKDAY($A603,-1,config_Holiday_Calendar_US)),IF(ISNUMBER(_xll.BDH(config!$G$4,P$1,$A603,$A603)),_xll.BDH(config!$G$4,P$1,$A603,$A603),_xll.BDH(config!$G$5,P$1,$A603,$A603))))</f>
        <v/>
      </c>
      <c r="Q603" s="8" t="str">
        <f>IF($A603="","",IF(ISNUMBER(FIND("IMPVOL",Q$1)),_xll.BDH(config!$G$4,Q$1,WORKDAY($A603,-1,config_Holiday_Calendar_US),WORKDAY($A603,-1,config_Holiday_Calendar_US)),IF(ISNUMBER(_xll.BDH(config!$G$4,Q$1,$A603,$A603)),_xll.BDH(config!$G$4,Q$1,$A603,$A603),_xll.BDH(config!$G$5,Q$1,$A603,$A603))))</f>
        <v/>
      </c>
      <c r="R603" s="8" t="str">
        <f>IF($A603="","",IF(ISNUMBER(FIND("IMPVOL",R$1)),_xll.BDH(config!$G$4,R$1,WORKDAY($A603,-1,config_Holiday_Calendar_US),WORKDAY($A603,-1,config_Holiday_Calendar_US)),IF(ISNUMBER(_xll.BDH(config!$G$4,R$1,$A603,$A603)),_xll.BDH(config!$G$4,R$1,$A603,$A603),_xll.BDH(config!$G$5,R$1,$A603,$A603))))</f>
        <v/>
      </c>
      <c r="S603" s="8" t="str">
        <f>IF($A603="","",IF(ISNUMBER(FIND("IMPVOL",S$1)),_xll.BDH(config!$G$4,S$1,WORKDAY($A603,-1,config_Holiday_Calendar_US),WORKDAY($A603,-1,config_Holiday_Calendar_US)),IF(ISNUMBER(_xll.BDH(config!$G$4,S$1,$A603,$A603)),_xll.BDH(config!$G$4,S$1,$A603,$A603),_xll.BDH(config!$G$5,S$1,$A603,$A603))))</f>
        <v/>
      </c>
      <c r="T603" s="8" t="str">
        <f>IF($A603="","",IF(ISNUMBER(FIND("IMPVOL",T$1)),_xll.BDH(config!$G$4,T$1,WORKDAY($A603,-1,config_Holiday_Calendar_US),WORKDAY($A603,-1,config_Holiday_Calendar_US)),IF(ISNUMBER(_xll.BDH(config!$G$4,T$1,$A603,$A603)),_xll.BDH(config!$G$4,T$1,$A603,$A603),_xll.BDH(config!$G$5,T$1,$A603,$A603))))</f>
        <v/>
      </c>
      <c r="U603" s="8" t="str">
        <f>IF($A603="","",IF(ISNUMBER(FIND("IMPVOL",U$1)),_xll.BDH(config!$G$4,U$1,WORKDAY($A603,-1,config_Holiday_Calendar_US),WORKDAY($A603,-1,config_Holiday_Calendar_US)),IF(ISNUMBER(_xll.BDH(config!$G$4,U$1,$A603,$A603)),_xll.BDH(config!$G$4,U$1,$A603,$A603),_xll.BDH(config!$G$5,U$1,$A603,$A603))))</f>
        <v/>
      </c>
      <c r="V603" s="8" t="str">
        <f>IF($A603="","",IF(ISNUMBER(FIND("IMPVOL",V$1)),_xll.BDH(config!$G$4,V$1,WORKDAY($A603,-1,config_Holiday_Calendar_US),WORKDAY($A603,-1,config_Holiday_Calendar_US)),IF(ISNUMBER(_xll.BDH(config!$G$4,V$1,$A603,$A603)),_xll.BDH(config!$G$4,V$1,$A603,$A603),_xll.BDH(config!$G$5,V$1,$A603,$A603))))</f>
        <v/>
      </c>
      <c r="W603" s="8" t="str">
        <f>IF($A603="","",IF(ISNUMBER(FIND("IMPVOL",W$1)),_xll.BDH(config!$G$4,W$1,WORKDAY($A603,-1,config_Holiday_Calendar_US),WORKDAY($A603,-1,config_Holiday_Calendar_US)),IF(ISNUMBER(_xll.BDH(config!$G$4,W$1,$A603,$A603)),_xll.BDH(config!$G$4,W$1,$A603,$A603),_xll.BDH(config!$G$5,W$1,$A603,$A603))))</f>
        <v/>
      </c>
    </row>
    <row r="604" spans="1:23" x14ac:dyDescent="0.2">
      <c r="A604" s="9" t="str">
        <f>IF(A603="","",IF(WORKDAY(A603,-1,config_Holiday_Calendar_US)&lt;config!$I$10,"",WORKDAY(A603,-1,config_Holiday_Calendar_US)))</f>
        <v/>
      </c>
      <c r="B604" s="8" t="str">
        <f t="shared" si="9"/>
        <v/>
      </c>
      <c r="C604" s="8" t="str">
        <f>IF(A604="","",_xll.BDH(config!$H$4,C$1,$A604,$A604))</f>
        <v/>
      </c>
      <c r="D604" s="8" t="str">
        <f>IF($A604="","",_xll.BDH(config!$H$4,D$1,$A604,$A604))</f>
        <v/>
      </c>
      <c r="E604" s="8" t="str">
        <f>IF($A604="","",IF(ISNUMBER(FIND("IMPVOL",E$1)),_xll.BDH(config!$G$4,E$1,WORKDAY($A604,-1,config_Holiday_Calendar_US),WORKDAY($A604,-1,config_Holiday_Calendar_US)),IF(ISNUMBER(_xll.BDH(config!$G$4,E$1,$A604,$A604)),_xll.BDH(config!$G$4,E$1,$A604,$A604),_xll.BDH(config!$G$5,E$1,$A604,$A604))))</f>
        <v/>
      </c>
      <c r="F604" s="8" t="str">
        <f>IF($A604="","",IF(ISNUMBER(FIND("IMPVOL",F$1)),_xll.BDH(config!$G$4,F$1,WORKDAY($A604,-1,config_Holiday_Calendar_US),WORKDAY($A604,-1,config_Holiday_Calendar_US)),IF(ISNUMBER(_xll.BDH(config!$G$4,F$1,$A604,$A604)),_xll.BDH(config!$G$4,F$1,$A604,$A604),_xll.BDH(config!$G$5,F$1,$A604,$A604))))</f>
        <v/>
      </c>
      <c r="G604" s="8" t="str">
        <f>IF($A604="","",IF(ISNUMBER(FIND("IMPVOL",G$1)),_xll.BDH(config!$G$4,G$1,WORKDAY($A604,-1,config_Holiday_Calendar_US),WORKDAY($A604,-1,config_Holiday_Calendar_US)),IF(ISNUMBER(_xll.BDH(config!$G$4,G$1,$A604,$A604)),_xll.BDH(config!$G$4,G$1,$A604,$A604),_xll.BDH(config!$G$5,G$1,$A604,$A604))))</f>
        <v/>
      </c>
      <c r="H604" s="8" t="str">
        <f>IF($A604="","",IF(ISNUMBER(FIND("IMPVOL",H$1)),_xll.BDH(config!$G$4,H$1,WORKDAY($A604,-1,config_Holiday_Calendar_US),WORKDAY($A604,-1,config_Holiday_Calendar_US)),IF(ISNUMBER(_xll.BDH(config!$G$4,H$1,$A604,$A604)),_xll.BDH(config!$G$4,H$1,$A604,$A604),_xll.BDH(config!$G$5,H$1,$A604,$A604))))</f>
        <v/>
      </c>
      <c r="I604" s="8" t="str">
        <f>IF($A604="","",IF(ISNUMBER(FIND("IMPVOL",I$1)),_xll.BDH(config!$G$4,I$1,WORKDAY($A604,-1,config_Holiday_Calendar_US),WORKDAY($A604,-1,config_Holiday_Calendar_US)),IF(ISNUMBER(_xll.BDH(config!$G$4,I$1,$A604,$A604)),_xll.BDH(config!$G$4,I$1,$A604,$A604),_xll.BDH(config!$G$5,I$1,$A604,$A604))))</f>
        <v/>
      </c>
      <c r="J604" s="8" t="str">
        <f>IF($A604="","",IF(ISNUMBER(FIND("IMPVOL",J$1)),_xll.BDH(config!$G$4,J$1,WORKDAY($A604,-1,config_Holiday_Calendar_US),WORKDAY($A604,-1,config_Holiday_Calendar_US)),IF(ISNUMBER(_xll.BDH(config!$G$4,J$1,$A604,$A604)),_xll.BDH(config!$G$4,J$1,$A604,$A604),_xll.BDH(config!$G$5,J$1,$A604,$A604))))</f>
        <v/>
      </c>
      <c r="K604" s="8" t="str">
        <f>IF($A604="","",IF(ISNUMBER(FIND("IMPVOL",K$1)),_xll.BDH(config!$G$4,K$1,WORKDAY($A604,-1,config_Holiday_Calendar_US),WORKDAY($A604,-1,config_Holiday_Calendar_US)),IF(ISNUMBER(_xll.BDH(config!$G$4,K$1,$A604,$A604)),_xll.BDH(config!$G$4,K$1,$A604,$A604),_xll.BDH(config!$G$5,K$1,$A604,$A604))))</f>
        <v/>
      </c>
      <c r="L604" s="8" t="str">
        <f>IF($A604="","",IF(ISNUMBER(FIND("IMPVOL",L$1)),_xll.BDH(config!$G$4,L$1,WORKDAY($A604,-1,config_Holiday_Calendar_US),WORKDAY($A604,-1,config_Holiday_Calendar_US)),IF(ISNUMBER(_xll.BDH(config!$G$4,L$1,$A604,$A604)),_xll.BDH(config!$G$4,L$1,$A604,$A604),_xll.BDH(config!$G$5,L$1,$A604,$A604))))</f>
        <v/>
      </c>
      <c r="M604" s="8" t="str">
        <f>IF($A604="","",IF(ISNUMBER(FIND("IMPVOL",M$1)),_xll.BDH(config!$G$4,M$1,WORKDAY($A604,-1,config_Holiday_Calendar_US),WORKDAY($A604,-1,config_Holiday_Calendar_US)),IF(ISNUMBER(_xll.BDH(config!$G$4,M$1,$A604,$A604)),_xll.BDH(config!$G$4,M$1,$A604,$A604),_xll.BDH(config!$G$5,M$1,$A604,$A604))))</f>
        <v/>
      </c>
      <c r="N604" s="8" t="str">
        <f>IF($A604="","",IF(ISNUMBER(FIND("IMPVOL",N$1)),_xll.BDH(config!$G$4,N$1,WORKDAY($A604,-1,config_Holiday_Calendar_US),WORKDAY($A604,-1,config_Holiday_Calendar_US)),IF(ISNUMBER(_xll.BDH(config!$G$4,N$1,$A604,$A604)),_xll.BDH(config!$G$4,N$1,$A604,$A604),_xll.BDH(config!$G$5,N$1,$A604,$A604))))</f>
        <v/>
      </c>
      <c r="O604" s="8" t="str">
        <f>IF($A604="","",IF(ISNUMBER(FIND("IMPVOL",O$1)),_xll.BDH(config!$G$4,O$1,WORKDAY($A604,-1,config_Holiday_Calendar_US),WORKDAY($A604,-1,config_Holiday_Calendar_US)),IF(ISNUMBER(_xll.BDH(config!$G$4,O$1,$A604,$A604)),_xll.BDH(config!$G$4,O$1,$A604,$A604),_xll.BDH(config!$G$5,O$1,$A604,$A604))))</f>
        <v/>
      </c>
      <c r="P604" s="8" t="str">
        <f>IF($A604="","",IF(ISNUMBER(FIND("IMPVOL",P$1)),_xll.BDH(config!$G$4,P$1,WORKDAY($A604,-1,config_Holiday_Calendar_US),WORKDAY($A604,-1,config_Holiday_Calendar_US)),IF(ISNUMBER(_xll.BDH(config!$G$4,P$1,$A604,$A604)),_xll.BDH(config!$G$4,P$1,$A604,$A604),_xll.BDH(config!$G$5,P$1,$A604,$A604))))</f>
        <v/>
      </c>
      <c r="Q604" s="8" t="str">
        <f>IF($A604="","",IF(ISNUMBER(FIND("IMPVOL",Q$1)),_xll.BDH(config!$G$4,Q$1,WORKDAY($A604,-1,config_Holiday_Calendar_US),WORKDAY($A604,-1,config_Holiday_Calendar_US)),IF(ISNUMBER(_xll.BDH(config!$G$4,Q$1,$A604,$A604)),_xll.BDH(config!$G$4,Q$1,$A604,$A604),_xll.BDH(config!$G$5,Q$1,$A604,$A604))))</f>
        <v/>
      </c>
      <c r="R604" s="8" t="str">
        <f>IF($A604="","",IF(ISNUMBER(FIND("IMPVOL",R$1)),_xll.BDH(config!$G$4,R$1,WORKDAY($A604,-1,config_Holiday_Calendar_US),WORKDAY($A604,-1,config_Holiday_Calendar_US)),IF(ISNUMBER(_xll.BDH(config!$G$4,R$1,$A604,$A604)),_xll.BDH(config!$G$4,R$1,$A604,$A604),_xll.BDH(config!$G$5,R$1,$A604,$A604))))</f>
        <v/>
      </c>
      <c r="S604" s="8" t="str">
        <f>IF($A604="","",IF(ISNUMBER(FIND("IMPVOL",S$1)),_xll.BDH(config!$G$4,S$1,WORKDAY($A604,-1,config_Holiday_Calendar_US),WORKDAY($A604,-1,config_Holiday_Calendar_US)),IF(ISNUMBER(_xll.BDH(config!$G$4,S$1,$A604,$A604)),_xll.BDH(config!$G$4,S$1,$A604,$A604),_xll.BDH(config!$G$5,S$1,$A604,$A604))))</f>
        <v/>
      </c>
      <c r="T604" s="8" t="str">
        <f>IF($A604="","",IF(ISNUMBER(FIND("IMPVOL",T$1)),_xll.BDH(config!$G$4,T$1,WORKDAY($A604,-1,config_Holiday_Calendar_US),WORKDAY($A604,-1,config_Holiday_Calendar_US)),IF(ISNUMBER(_xll.BDH(config!$G$4,T$1,$A604,$A604)),_xll.BDH(config!$G$4,T$1,$A604,$A604),_xll.BDH(config!$G$5,T$1,$A604,$A604))))</f>
        <v/>
      </c>
      <c r="U604" s="8" t="str">
        <f>IF($A604="","",IF(ISNUMBER(FIND("IMPVOL",U$1)),_xll.BDH(config!$G$4,U$1,WORKDAY($A604,-1,config_Holiday_Calendar_US),WORKDAY($A604,-1,config_Holiday_Calendar_US)),IF(ISNUMBER(_xll.BDH(config!$G$4,U$1,$A604,$A604)),_xll.BDH(config!$G$4,U$1,$A604,$A604),_xll.BDH(config!$G$5,U$1,$A604,$A604))))</f>
        <v/>
      </c>
      <c r="V604" s="8" t="str">
        <f>IF($A604="","",IF(ISNUMBER(FIND("IMPVOL",V$1)),_xll.BDH(config!$G$4,V$1,WORKDAY($A604,-1,config_Holiday_Calendar_US),WORKDAY($A604,-1,config_Holiday_Calendar_US)),IF(ISNUMBER(_xll.BDH(config!$G$4,V$1,$A604,$A604)),_xll.BDH(config!$G$4,V$1,$A604,$A604),_xll.BDH(config!$G$5,V$1,$A604,$A604))))</f>
        <v/>
      </c>
      <c r="W604" s="8" t="str">
        <f>IF($A604="","",IF(ISNUMBER(FIND("IMPVOL",W$1)),_xll.BDH(config!$G$4,W$1,WORKDAY($A604,-1,config_Holiday_Calendar_US),WORKDAY($A604,-1,config_Holiday_Calendar_US)),IF(ISNUMBER(_xll.BDH(config!$G$4,W$1,$A604,$A604)),_xll.BDH(config!$G$4,W$1,$A604,$A604),_xll.BDH(config!$G$5,W$1,$A604,$A604))))</f>
        <v/>
      </c>
    </row>
    <row r="605" spans="1:23" x14ac:dyDescent="0.2">
      <c r="A605" s="9" t="str">
        <f>IF(A604="","",IF(WORKDAY(A604,-1,config_Holiday_Calendar_US)&lt;config!$I$10,"",WORKDAY(A604,-1,config_Holiday_Calendar_US)))</f>
        <v/>
      </c>
      <c r="B605" s="8" t="str">
        <f t="shared" si="9"/>
        <v/>
      </c>
      <c r="C605" s="8" t="str">
        <f>IF(A605="","",_xll.BDH(config!$H$4,C$1,$A605,$A605))</f>
        <v/>
      </c>
      <c r="D605" s="8" t="str">
        <f>IF($A605="","",_xll.BDH(config!$H$4,D$1,$A605,$A605))</f>
        <v/>
      </c>
      <c r="E605" s="8" t="str">
        <f>IF($A605="","",IF(ISNUMBER(FIND("IMPVOL",E$1)),_xll.BDH(config!$G$4,E$1,WORKDAY($A605,-1,config_Holiday_Calendar_US),WORKDAY($A605,-1,config_Holiday_Calendar_US)),IF(ISNUMBER(_xll.BDH(config!$G$4,E$1,$A605,$A605)),_xll.BDH(config!$G$4,E$1,$A605,$A605),_xll.BDH(config!$G$5,E$1,$A605,$A605))))</f>
        <v/>
      </c>
      <c r="F605" s="8" t="str">
        <f>IF($A605="","",IF(ISNUMBER(FIND("IMPVOL",F$1)),_xll.BDH(config!$G$4,F$1,WORKDAY($A605,-1,config_Holiday_Calendar_US),WORKDAY($A605,-1,config_Holiday_Calendar_US)),IF(ISNUMBER(_xll.BDH(config!$G$4,F$1,$A605,$A605)),_xll.BDH(config!$G$4,F$1,$A605,$A605),_xll.BDH(config!$G$5,F$1,$A605,$A605))))</f>
        <v/>
      </c>
      <c r="G605" s="8" t="str">
        <f>IF($A605="","",IF(ISNUMBER(FIND("IMPVOL",G$1)),_xll.BDH(config!$G$4,G$1,WORKDAY($A605,-1,config_Holiday_Calendar_US),WORKDAY($A605,-1,config_Holiday_Calendar_US)),IF(ISNUMBER(_xll.BDH(config!$G$4,G$1,$A605,$A605)),_xll.BDH(config!$G$4,G$1,$A605,$A605),_xll.BDH(config!$G$5,G$1,$A605,$A605))))</f>
        <v/>
      </c>
      <c r="H605" s="8" t="str">
        <f>IF($A605="","",IF(ISNUMBER(FIND("IMPVOL",H$1)),_xll.BDH(config!$G$4,H$1,WORKDAY($A605,-1,config_Holiday_Calendar_US),WORKDAY($A605,-1,config_Holiday_Calendar_US)),IF(ISNUMBER(_xll.BDH(config!$G$4,H$1,$A605,$A605)),_xll.BDH(config!$G$4,H$1,$A605,$A605),_xll.BDH(config!$G$5,H$1,$A605,$A605))))</f>
        <v/>
      </c>
      <c r="I605" s="8" t="str">
        <f>IF($A605="","",IF(ISNUMBER(FIND("IMPVOL",I$1)),_xll.BDH(config!$G$4,I$1,WORKDAY($A605,-1,config_Holiday_Calendar_US),WORKDAY($A605,-1,config_Holiday_Calendar_US)),IF(ISNUMBER(_xll.BDH(config!$G$4,I$1,$A605,$A605)),_xll.BDH(config!$G$4,I$1,$A605,$A605),_xll.BDH(config!$G$5,I$1,$A605,$A605))))</f>
        <v/>
      </c>
      <c r="J605" s="8" t="str">
        <f>IF($A605="","",IF(ISNUMBER(FIND("IMPVOL",J$1)),_xll.BDH(config!$G$4,J$1,WORKDAY($A605,-1,config_Holiday_Calendar_US),WORKDAY($A605,-1,config_Holiday_Calendar_US)),IF(ISNUMBER(_xll.BDH(config!$G$4,J$1,$A605,$A605)),_xll.BDH(config!$G$4,J$1,$A605,$A605),_xll.BDH(config!$G$5,J$1,$A605,$A605))))</f>
        <v/>
      </c>
      <c r="K605" s="8" t="str">
        <f>IF($A605="","",IF(ISNUMBER(FIND("IMPVOL",K$1)),_xll.BDH(config!$G$4,K$1,WORKDAY($A605,-1,config_Holiday_Calendar_US),WORKDAY($A605,-1,config_Holiday_Calendar_US)),IF(ISNUMBER(_xll.BDH(config!$G$4,K$1,$A605,$A605)),_xll.BDH(config!$G$4,K$1,$A605,$A605),_xll.BDH(config!$G$5,K$1,$A605,$A605))))</f>
        <v/>
      </c>
      <c r="L605" s="8" t="str">
        <f>IF($A605="","",IF(ISNUMBER(FIND("IMPVOL",L$1)),_xll.BDH(config!$G$4,L$1,WORKDAY($A605,-1,config_Holiday_Calendar_US),WORKDAY($A605,-1,config_Holiday_Calendar_US)),IF(ISNUMBER(_xll.BDH(config!$G$4,L$1,$A605,$A605)),_xll.BDH(config!$G$4,L$1,$A605,$A605),_xll.BDH(config!$G$5,L$1,$A605,$A605))))</f>
        <v/>
      </c>
      <c r="M605" s="8" t="str">
        <f>IF($A605="","",IF(ISNUMBER(FIND("IMPVOL",M$1)),_xll.BDH(config!$G$4,M$1,WORKDAY($A605,-1,config_Holiday_Calendar_US),WORKDAY($A605,-1,config_Holiday_Calendar_US)),IF(ISNUMBER(_xll.BDH(config!$G$4,M$1,$A605,$A605)),_xll.BDH(config!$G$4,M$1,$A605,$A605),_xll.BDH(config!$G$5,M$1,$A605,$A605))))</f>
        <v/>
      </c>
      <c r="N605" s="8" t="str">
        <f>IF($A605="","",IF(ISNUMBER(FIND("IMPVOL",N$1)),_xll.BDH(config!$G$4,N$1,WORKDAY($A605,-1,config_Holiday_Calendar_US),WORKDAY($A605,-1,config_Holiday_Calendar_US)),IF(ISNUMBER(_xll.BDH(config!$G$4,N$1,$A605,$A605)),_xll.BDH(config!$G$4,N$1,$A605,$A605),_xll.BDH(config!$G$5,N$1,$A605,$A605))))</f>
        <v/>
      </c>
      <c r="O605" s="8" t="str">
        <f>IF($A605="","",IF(ISNUMBER(FIND("IMPVOL",O$1)),_xll.BDH(config!$G$4,O$1,WORKDAY($A605,-1,config_Holiday_Calendar_US),WORKDAY($A605,-1,config_Holiday_Calendar_US)),IF(ISNUMBER(_xll.BDH(config!$G$4,O$1,$A605,$A605)),_xll.BDH(config!$G$4,O$1,$A605,$A605),_xll.BDH(config!$G$5,O$1,$A605,$A605))))</f>
        <v/>
      </c>
      <c r="P605" s="8" t="str">
        <f>IF($A605="","",IF(ISNUMBER(FIND("IMPVOL",P$1)),_xll.BDH(config!$G$4,P$1,WORKDAY($A605,-1,config_Holiday_Calendar_US),WORKDAY($A605,-1,config_Holiday_Calendar_US)),IF(ISNUMBER(_xll.BDH(config!$G$4,P$1,$A605,$A605)),_xll.BDH(config!$G$4,P$1,$A605,$A605),_xll.BDH(config!$G$5,P$1,$A605,$A605))))</f>
        <v/>
      </c>
      <c r="Q605" s="8" t="str">
        <f>IF($A605="","",IF(ISNUMBER(FIND("IMPVOL",Q$1)),_xll.BDH(config!$G$4,Q$1,WORKDAY($A605,-1,config_Holiday_Calendar_US),WORKDAY($A605,-1,config_Holiday_Calendar_US)),IF(ISNUMBER(_xll.BDH(config!$G$4,Q$1,$A605,$A605)),_xll.BDH(config!$G$4,Q$1,$A605,$A605),_xll.BDH(config!$G$5,Q$1,$A605,$A605))))</f>
        <v/>
      </c>
      <c r="R605" s="8" t="str">
        <f>IF($A605="","",IF(ISNUMBER(FIND("IMPVOL",R$1)),_xll.BDH(config!$G$4,R$1,WORKDAY($A605,-1,config_Holiday_Calendar_US),WORKDAY($A605,-1,config_Holiday_Calendar_US)),IF(ISNUMBER(_xll.BDH(config!$G$4,R$1,$A605,$A605)),_xll.BDH(config!$G$4,R$1,$A605,$A605),_xll.BDH(config!$G$5,R$1,$A605,$A605))))</f>
        <v/>
      </c>
      <c r="S605" s="8" t="str">
        <f>IF($A605="","",IF(ISNUMBER(FIND("IMPVOL",S$1)),_xll.BDH(config!$G$4,S$1,WORKDAY($A605,-1,config_Holiday_Calendar_US),WORKDAY($A605,-1,config_Holiday_Calendar_US)),IF(ISNUMBER(_xll.BDH(config!$G$4,S$1,$A605,$A605)),_xll.BDH(config!$G$4,S$1,$A605,$A605),_xll.BDH(config!$G$5,S$1,$A605,$A605))))</f>
        <v/>
      </c>
      <c r="T605" s="8" t="str">
        <f>IF($A605="","",IF(ISNUMBER(FIND("IMPVOL",T$1)),_xll.BDH(config!$G$4,T$1,WORKDAY($A605,-1,config_Holiday_Calendar_US),WORKDAY($A605,-1,config_Holiday_Calendar_US)),IF(ISNUMBER(_xll.BDH(config!$G$4,T$1,$A605,$A605)),_xll.BDH(config!$G$4,T$1,$A605,$A605),_xll.BDH(config!$G$5,T$1,$A605,$A605))))</f>
        <v/>
      </c>
      <c r="U605" s="8" t="str">
        <f>IF($A605="","",IF(ISNUMBER(FIND("IMPVOL",U$1)),_xll.BDH(config!$G$4,U$1,WORKDAY($A605,-1,config_Holiday_Calendar_US),WORKDAY($A605,-1,config_Holiday_Calendar_US)),IF(ISNUMBER(_xll.BDH(config!$G$4,U$1,$A605,$A605)),_xll.BDH(config!$G$4,U$1,$A605,$A605),_xll.BDH(config!$G$5,U$1,$A605,$A605))))</f>
        <v/>
      </c>
      <c r="V605" s="8" t="str">
        <f>IF($A605="","",IF(ISNUMBER(FIND("IMPVOL",V$1)),_xll.BDH(config!$G$4,V$1,WORKDAY($A605,-1,config_Holiday_Calendar_US),WORKDAY($A605,-1,config_Holiday_Calendar_US)),IF(ISNUMBER(_xll.BDH(config!$G$4,V$1,$A605,$A605)),_xll.BDH(config!$G$4,V$1,$A605,$A605),_xll.BDH(config!$G$5,V$1,$A605,$A605))))</f>
        <v/>
      </c>
      <c r="W605" s="8" t="str">
        <f>IF($A605="","",IF(ISNUMBER(FIND("IMPVOL",W$1)),_xll.BDH(config!$G$4,W$1,WORKDAY($A605,-1,config_Holiday_Calendar_US),WORKDAY($A605,-1,config_Holiday_Calendar_US)),IF(ISNUMBER(_xll.BDH(config!$G$4,W$1,$A605,$A605)),_xll.BDH(config!$G$4,W$1,$A605,$A605),_xll.BDH(config!$G$5,W$1,$A605,$A605))))</f>
        <v/>
      </c>
    </row>
    <row r="606" spans="1:23" x14ac:dyDescent="0.2">
      <c r="A606" s="9" t="str">
        <f>IF(A605="","",IF(WORKDAY(A605,-1,config_Holiday_Calendar_US)&lt;config!$I$10,"",WORKDAY(A605,-1,config_Holiday_Calendar_US)))</f>
        <v/>
      </c>
      <c r="B606" s="8" t="str">
        <f t="shared" si="9"/>
        <v/>
      </c>
      <c r="C606" s="8" t="str">
        <f>IF(A606="","",_xll.BDH(config!$H$4,C$1,$A606,$A606))</f>
        <v/>
      </c>
      <c r="D606" s="8" t="str">
        <f>IF($A606="","",_xll.BDH(config!$H$4,D$1,$A606,$A606))</f>
        <v/>
      </c>
      <c r="E606" s="8" t="str">
        <f>IF($A606="","",IF(ISNUMBER(FIND("IMPVOL",E$1)),_xll.BDH(config!$G$4,E$1,WORKDAY($A606,-1,config_Holiday_Calendar_US),WORKDAY($A606,-1,config_Holiday_Calendar_US)),IF(ISNUMBER(_xll.BDH(config!$G$4,E$1,$A606,$A606)),_xll.BDH(config!$G$4,E$1,$A606,$A606),_xll.BDH(config!$G$5,E$1,$A606,$A606))))</f>
        <v/>
      </c>
      <c r="F606" s="8" t="str">
        <f>IF($A606="","",IF(ISNUMBER(FIND("IMPVOL",F$1)),_xll.BDH(config!$G$4,F$1,WORKDAY($A606,-1,config_Holiday_Calendar_US),WORKDAY($A606,-1,config_Holiday_Calendar_US)),IF(ISNUMBER(_xll.BDH(config!$G$4,F$1,$A606,$A606)),_xll.BDH(config!$G$4,F$1,$A606,$A606),_xll.BDH(config!$G$5,F$1,$A606,$A606))))</f>
        <v/>
      </c>
      <c r="G606" s="8" t="str">
        <f>IF($A606="","",IF(ISNUMBER(FIND("IMPVOL",G$1)),_xll.BDH(config!$G$4,G$1,WORKDAY($A606,-1,config_Holiday_Calendar_US),WORKDAY($A606,-1,config_Holiday_Calendar_US)),IF(ISNUMBER(_xll.BDH(config!$G$4,G$1,$A606,$A606)),_xll.BDH(config!$G$4,G$1,$A606,$A606),_xll.BDH(config!$G$5,G$1,$A606,$A606))))</f>
        <v/>
      </c>
      <c r="H606" s="8" t="str">
        <f>IF($A606="","",IF(ISNUMBER(FIND("IMPVOL",H$1)),_xll.BDH(config!$G$4,H$1,WORKDAY($A606,-1,config_Holiday_Calendar_US),WORKDAY($A606,-1,config_Holiday_Calendar_US)),IF(ISNUMBER(_xll.BDH(config!$G$4,H$1,$A606,$A606)),_xll.BDH(config!$G$4,H$1,$A606,$A606),_xll.BDH(config!$G$5,H$1,$A606,$A606))))</f>
        <v/>
      </c>
      <c r="I606" s="8" t="str">
        <f>IF($A606="","",IF(ISNUMBER(FIND("IMPVOL",I$1)),_xll.BDH(config!$G$4,I$1,WORKDAY($A606,-1,config_Holiday_Calendar_US),WORKDAY($A606,-1,config_Holiday_Calendar_US)),IF(ISNUMBER(_xll.BDH(config!$G$4,I$1,$A606,$A606)),_xll.BDH(config!$G$4,I$1,$A606,$A606),_xll.BDH(config!$G$5,I$1,$A606,$A606))))</f>
        <v/>
      </c>
      <c r="J606" s="8" t="str">
        <f>IF($A606="","",IF(ISNUMBER(FIND("IMPVOL",J$1)),_xll.BDH(config!$G$4,J$1,WORKDAY($A606,-1,config_Holiday_Calendar_US),WORKDAY($A606,-1,config_Holiday_Calendar_US)),IF(ISNUMBER(_xll.BDH(config!$G$4,J$1,$A606,$A606)),_xll.BDH(config!$G$4,J$1,$A606,$A606),_xll.BDH(config!$G$5,J$1,$A606,$A606))))</f>
        <v/>
      </c>
      <c r="K606" s="8" t="str">
        <f>IF($A606="","",IF(ISNUMBER(FIND("IMPVOL",K$1)),_xll.BDH(config!$G$4,K$1,WORKDAY($A606,-1,config_Holiday_Calendar_US),WORKDAY($A606,-1,config_Holiday_Calendar_US)),IF(ISNUMBER(_xll.BDH(config!$G$4,K$1,$A606,$A606)),_xll.BDH(config!$G$4,K$1,$A606,$A606),_xll.BDH(config!$G$5,K$1,$A606,$A606))))</f>
        <v/>
      </c>
      <c r="L606" s="8" t="str">
        <f>IF($A606="","",IF(ISNUMBER(FIND("IMPVOL",L$1)),_xll.BDH(config!$G$4,L$1,WORKDAY($A606,-1,config_Holiday_Calendar_US),WORKDAY($A606,-1,config_Holiday_Calendar_US)),IF(ISNUMBER(_xll.BDH(config!$G$4,L$1,$A606,$A606)),_xll.BDH(config!$G$4,L$1,$A606,$A606),_xll.BDH(config!$G$5,L$1,$A606,$A606))))</f>
        <v/>
      </c>
      <c r="M606" s="8" t="str">
        <f>IF($A606="","",IF(ISNUMBER(FIND("IMPVOL",M$1)),_xll.BDH(config!$G$4,M$1,WORKDAY($A606,-1,config_Holiday_Calendar_US),WORKDAY($A606,-1,config_Holiday_Calendar_US)),IF(ISNUMBER(_xll.BDH(config!$G$4,M$1,$A606,$A606)),_xll.BDH(config!$G$4,M$1,$A606,$A606),_xll.BDH(config!$G$5,M$1,$A606,$A606))))</f>
        <v/>
      </c>
      <c r="N606" s="8" t="str">
        <f>IF($A606="","",IF(ISNUMBER(FIND("IMPVOL",N$1)),_xll.BDH(config!$G$4,N$1,WORKDAY($A606,-1,config_Holiday_Calendar_US),WORKDAY($A606,-1,config_Holiday_Calendar_US)),IF(ISNUMBER(_xll.BDH(config!$G$4,N$1,$A606,$A606)),_xll.BDH(config!$G$4,N$1,$A606,$A606),_xll.BDH(config!$G$5,N$1,$A606,$A606))))</f>
        <v/>
      </c>
      <c r="O606" s="8" t="str">
        <f>IF($A606="","",IF(ISNUMBER(FIND("IMPVOL",O$1)),_xll.BDH(config!$G$4,O$1,WORKDAY($A606,-1,config_Holiday_Calendar_US),WORKDAY($A606,-1,config_Holiday_Calendar_US)),IF(ISNUMBER(_xll.BDH(config!$G$4,O$1,$A606,$A606)),_xll.BDH(config!$G$4,O$1,$A606,$A606),_xll.BDH(config!$G$5,O$1,$A606,$A606))))</f>
        <v/>
      </c>
      <c r="P606" s="8" t="str">
        <f>IF($A606="","",IF(ISNUMBER(FIND("IMPVOL",P$1)),_xll.BDH(config!$G$4,P$1,WORKDAY($A606,-1,config_Holiday_Calendar_US),WORKDAY($A606,-1,config_Holiday_Calendar_US)),IF(ISNUMBER(_xll.BDH(config!$G$4,P$1,$A606,$A606)),_xll.BDH(config!$G$4,P$1,$A606,$A606),_xll.BDH(config!$G$5,P$1,$A606,$A606))))</f>
        <v/>
      </c>
      <c r="Q606" s="8" t="str">
        <f>IF($A606="","",IF(ISNUMBER(FIND("IMPVOL",Q$1)),_xll.BDH(config!$G$4,Q$1,WORKDAY($A606,-1,config_Holiday_Calendar_US),WORKDAY($A606,-1,config_Holiday_Calendar_US)),IF(ISNUMBER(_xll.BDH(config!$G$4,Q$1,$A606,$A606)),_xll.BDH(config!$G$4,Q$1,$A606,$A606),_xll.BDH(config!$G$5,Q$1,$A606,$A606))))</f>
        <v/>
      </c>
      <c r="R606" s="8" t="str">
        <f>IF($A606="","",IF(ISNUMBER(FIND("IMPVOL",R$1)),_xll.BDH(config!$G$4,R$1,WORKDAY($A606,-1,config_Holiday_Calendar_US),WORKDAY($A606,-1,config_Holiday_Calendar_US)),IF(ISNUMBER(_xll.BDH(config!$G$4,R$1,$A606,$A606)),_xll.BDH(config!$G$4,R$1,$A606,$A606),_xll.BDH(config!$G$5,R$1,$A606,$A606))))</f>
        <v/>
      </c>
      <c r="S606" s="8" t="str">
        <f>IF($A606="","",IF(ISNUMBER(FIND("IMPVOL",S$1)),_xll.BDH(config!$G$4,S$1,WORKDAY($A606,-1,config_Holiday_Calendar_US),WORKDAY($A606,-1,config_Holiday_Calendar_US)),IF(ISNUMBER(_xll.BDH(config!$G$4,S$1,$A606,$A606)),_xll.BDH(config!$G$4,S$1,$A606,$A606),_xll.BDH(config!$G$5,S$1,$A606,$A606))))</f>
        <v/>
      </c>
      <c r="T606" s="8" t="str">
        <f>IF($A606="","",IF(ISNUMBER(FIND("IMPVOL",T$1)),_xll.BDH(config!$G$4,T$1,WORKDAY($A606,-1,config_Holiday_Calendar_US),WORKDAY($A606,-1,config_Holiday_Calendar_US)),IF(ISNUMBER(_xll.BDH(config!$G$4,T$1,$A606,$A606)),_xll.BDH(config!$G$4,T$1,$A606,$A606),_xll.BDH(config!$G$5,T$1,$A606,$A606))))</f>
        <v/>
      </c>
      <c r="U606" s="8" t="str">
        <f>IF($A606="","",IF(ISNUMBER(FIND("IMPVOL",U$1)),_xll.BDH(config!$G$4,U$1,WORKDAY($A606,-1,config_Holiday_Calendar_US),WORKDAY($A606,-1,config_Holiday_Calendar_US)),IF(ISNUMBER(_xll.BDH(config!$G$4,U$1,$A606,$A606)),_xll.BDH(config!$G$4,U$1,$A606,$A606),_xll.BDH(config!$G$5,U$1,$A606,$A606))))</f>
        <v/>
      </c>
      <c r="V606" s="8" t="str">
        <f>IF($A606="","",IF(ISNUMBER(FIND("IMPVOL",V$1)),_xll.BDH(config!$G$4,V$1,WORKDAY($A606,-1,config_Holiday_Calendar_US),WORKDAY($A606,-1,config_Holiday_Calendar_US)),IF(ISNUMBER(_xll.BDH(config!$G$4,V$1,$A606,$A606)),_xll.BDH(config!$G$4,V$1,$A606,$A606),_xll.BDH(config!$G$5,V$1,$A606,$A606))))</f>
        <v/>
      </c>
      <c r="W606" s="8" t="str">
        <f>IF($A606="","",IF(ISNUMBER(FIND("IMPVOL",W$1)),_xll.BDH(config!$G$4,W$1,WORKDAY($A606,-1,config_Holiday_Calendar_US),WORKDAY($A606,-1,config_Holiday_Calendar_US)),IF(ISNUMBER(_xll.BDH(config!$G$4,W$1,$A606,$A606)),_xll.BDH(config!$G$4,W$1,$A606,$A606),_xll.BDH(config!$G$5,W$1,$A606,$A606))))</f>
        <v/>
      </c>
    </row>
    <row r="607" spans="1:23" x14ac:dyDescent="0.2">
      <c r="A607" s="9" t="str">
        <f>IF(A606="","",IF(WORKDAY(A606,-1,config_Holiday_Calendar_US)&lt;config!$I$10,"",WORKDAY(A606,-1,config_Holiday_Calendar_US)))</f>
        <v/>
      </c>
      <c r="B607" s="8" t="str">
        <f t="shared" si="9"/>
        <v/>
      </c>
      <c r="C607" s="8" t="str">
        <f>IF(A607="","",_xll.BDH(config!$H$4,C$1,$A607,$A607))</f>
        <v/>
      </c>
      <c r="D607" s="8" t="str">
        <f>IF($A607="","",_xll.BDH(config!$H$4,D$1,$A607,$A607))</f>
        <v/>
      </c>
      <c r="E607" s="8" t="str">
        <f>IF($A607="","",IF(ISNUMBER(FIND("IMPVOL",E$1)),_xll.BDH(config!$G$4,E$1,WORKDAY($A607,-1,config_Holiday_Calendar_US),WORKDAY($A607,-1,config_Holiday_Calendar_US)),IF(ISNUMBER(_xll.BDH(config!$G$4,E$1,$A607,$A607)),_xll.BDH(config!$G$4,E$1,$A607,$A607),_xll.BDH(config!$G$5,E$1,$A607,$A607))))</f>
        <v/>
      </c>
      <c r="F607" s="8" t="str">
        <f>IF($A607="","",IF(ISNUMBER(FIND("IMPVOL",F$1)),_xll.BDH(config!$G$4,F$1,WORKDAY($A607,-1,config_Holiday_Calendar_US),WORKDAY($A607,-1,config_Holiday_Calendar_US)),IF(ISNUMBER(_xll.BDH(config!$G$4,F$1,$A607,$A607)),_xll.BDH(config!$G$4,F$1,$A607,$A607),_xll.BDH(config!$G$5,F$1,$A607,$A607))))</f>
        <v/>
      </c>
      <c r="G607" s="8" t="str">
        <f>IF($A607="","",IF(ISNUMBER(FIND("IMPVOL",G$1)),_xll.BDH(config!$G$4,G$1,WORKDAY($A607,-1,config_Holiday_Calendar_US),WORKDAY($A607,-1,config_Holiday_Calendar_US)),IF(ISNUMBER(_xll.BDH(config!$G$4,G$1,$A607,$A607)),_xll.BDH(config!$G$4,G$1,$A607,$A607),_xll.BDH(config!$G$5,G$1,$A607,$A607))))</f>
        <v/>
      </c>
      <c r="H607" s="8" t="str">
        <f>IF($A607="","",IF(ISNUMBER(FIND("IMPVOL",H$1)),_xll.BDH(config!$G$4,H$1,WORKDAY($A607,-1,config_Holiday_Calendar_US),WORKDAY($A607,-1,config_Holiday_Calendar_US)),IF(ISNUMBER(_xll.BDH(config!$G$4,H$1,$A607,$A607)),_xll.BDH(config!$G$4,H$1,$A607,$A607),_xll.BDH(config!$G$5,H$1,$A607,$A607))))</f>
        <v/>
      </c>
      <c r="I607" s="8" t="str">
        <f>IF($A607="","",IF(ISNUMBER(FIND("IMPVOL",I$1)),_xll.BDH(config!$G$4,I$1,WORKDAY($A607,-1,config_Holiday_Calendar_US),WORKDAY($A607,-1,config_Holiday_Calendar_US)),IF(ISNUMBER(_xll.BDH(config!$G$4,I$1,$A607,$A607)),_xll.BDH(config!$G$4,I$1,$A607,$A607),_xll.BDH(config!$G$5,I$1,$A607,$A607))))</f>
        <v/>
      </c>
      <c r="J607" s="8" t="str">
        <f>IF($A607="","",IF(ISNUMBER(FIND("IMPVOL",J$1)),_xll.BDH(config!$G$4,J$1,WORKDAY($A607,-1,config_Holiday_Calendar_US),WORKDAY($A607,-1,config_Holiday_Calendar_US)),IF(ISNUMBER(_xll.BDH(config!$G$4,J$1,$A607,$A607)),_xll.BDH(config!$G$4,J$1,$A607,$A607),_xll.BDH(config!$G$5,J$1,$A607,$A607))))</f>
        <v/>
      </c>
      <c r="K607" s="8" t="str">
        <f>IF($A607="","",IF(ISNUMBER(FIND("IMPVOL",K$1)),_xll.BDH(config!$G$4,K$1,WORKDAY($A607,-1,config_Holiday_Calendar_US),WORKDAY($A607,-1,config_Holiday_Calendar_US)),IF(ISNUMBER(_xll.BDH(config!$G$4,K$1,$A607,$A607)),_xll.BDH(config!$G$4,K$1,$A607,$A607),_xll.BDH(config!$G$5,K$1,$A607,$A607))))</f>
        <v/>
      </c>
      <c r="L607" s="8" t="str">
        <f>IF($A607="","",IF(ISNUMBER(FIND("IMPVOL",L$1)),_xll.BDH(config!$G$4,L$1,WORKDAY($A607,-1,config_Holiday_Calendar_US),WORKDAY($A607,-1,config_Holiday_Calendar_US)),IF(ISNUMBER(_xll.BDH(config!$G$4,L$1,$A607,$A607)),_xll.BDH(config!$G$4,L$1,$A607,$A607),_xll.BDH(config!$G$5,L$1,$A607,$A607))))</f>
        <v/>
      </c>
      <c r="M607" s="8" t="str">
        <f>IF($A607="","",IF(ISNUMBER(FIND("IMPVOL",M$1)),_xll.BDH(config!$G$4,M$1,WORKDAY($A607,-1,config_Holiday_Calendar_US),WORKDAY($A607,-1,config_Holiday_Calendar_US)),IF(ISNUMBER(_xll.BDH(config!$G$4,M$1,$A607,$A607)),_xll.BDH(config!$G$4,M$1,$A607,$A607),_xll.BDH(config!$G$5,M$1,$A607,$A607))))</f>
        <v/>
      </c>
      <c r="N607" s="8" t="str">
        <f>IF($A607="","",IF(ISNUMBER(FIND("IMPVOL",N$1)),_xll.BDH(config!$G$4,N$1,WORKDAY($A607,-1,config_Holiday_Calendar_US),WORKDAY($A607,-1,config_Holiday_Calendar_US)),IF(ISNUMBER(_xll.BDH(config!$G$4,N$1,$A607,$A607)),_xll.BDH(config!$G$4,N$1,$A607,$A607),_xll.BDH(config!$G$5,N$1,$A607,$A607))))</f>
        <v/>
      </c>
      <c r="O607" s="8" t="str">
        <f>IF($A607="","",IF(ISNUMBER(FIND("IMPVOL",O$1)),_xll.BDH(config!$G$4,O$1,WORKDAY($A607,-1,config_Holiday_Calendar_US),WORKDAY($A607,-1,config_Holiday_Calendar_US)),IF(ISNUMBER(_xll.BDH(config!$G$4,O$1,$A607,$A607)),_xll.BDH(config!$G$4,O$1,$A607,$A607),_xll.BDH(config!$G$5,O$1,$A607,$A607))))</f>
        <v/>
      </c>
      <c r="P607" s="8" t="str">
        <f>IF($A607="","",IF(ISNUMBER(FIND("IMPVOL",P$1)),_xll.BDH(config!$G$4,P$1,WORKDAY($A607,-1,config_Holiday_Calendar_US),WORKDAY($A607,-1,config_Holiday_Calendar_US)),IF(ISNUMBER(_xll.BDH(config!$G$4,P$1,$A607,$A607)),_xll.BDH(config!$G$4,P$1,$A607,$A607),_xll.BDH(config!$G$5,P$1,$A607,$A607))))</f>
        <v/>
      </c>
      <c r="Q607" s="8" t="str">
        <f>IF($A607="","",IF(ISNUMBER(FIND("IMPVOL",Q$1)),_xll.BDH(config!$G$4,Q$1,WORKDAY($A607,-1,config_Holiday_Calendar_US),WORKDAY($A607,-1,config_Holiday_Calendar_US)),IF(ISNUMBER(_xll.BDH(config!$G$4,Q$1,$A607,$A607)),_xll.BDH(config!$G$4,Q$1,$A607,$A607),_xll.BDH(config!$G$5,Q$1,$A607,$A607))))</f>
        <v/>
      </c>
      <c r="R607" s="8" t="str">
        <f>IF($A607="","",IF(ISNUMBER(FIND("IMPVOL",R$1)),_xll.BDH(config!$G$4,R$1,WORKDAY($A607,-1,config_Holiday_Calendar_US),WORKDAY($A607,-1,config_Holiday_Calendar_US)),IF(ISNUMBER(_xll.BDH(config!$G$4,R$1,$A607,$A607)),_xll.BDH(config!$G$4,R$1,$A607,$A607),_xll.BDH(config!$G$5,R$1,$A607,$A607))))</f>
        <v/>
      </c>
      <c r="S607" s="8" t="str">
        <f>IF($A607="","",IF(ISNUMBER(FIND("IMPVOL",S$1)),_xll.BDH(config!$G$4,S$1,WORKDAY($A607,-1,config_Holiday_Calendar_US),WORKDAY($A607,-1,config_Holiday_Calendar_US)),IF(ISNUMBER(_xll.BDH(config!$G$4,S$1,$A607,$A607)),_xll.BDH(config!$G$4,S$1,$A607,$A607),_xll.BDH(config!$G$5,S$1,$A607,$A607))))</f>
        <v/>
      </c>
      <c r="T607" s="8" t="str">
        <f>IF($A607="","",IF(ISNUMBER(FIND("IMPVOL",T$1)),_xll.BDH(config!$G$4,T$1,WORKDAY($A607,-1,config_Holiday_Calendar_US),WORKDAY($A607,-1,config_Holiday_Calendar_US)),IF(ISNUMBER(_xll.BDH(config!$G$4,T$1,$A607,$A607)),_xll.BDH(config!$G$4,T$1,$A607,$A607),_xll.BDH(config!$G$5,T$1,$A607,$A607))))</f>
        <v/>
      </c>
      <c r="U607" s="8" t="str">
        <f>IF($A607="","",IF(ISNUMBER(FIND("IMPVOL",U$1)),_xll.BDH(config!$G$4,U$1,WORKDAY($A607,-1,config_Holiday_Calendar_US),WORKDAY($A607,-1,config_Holiday_Calendar_US)),IF(ISNUMBER(_xll.BDH(config!$G$4,U$1,$A607,$A607)),_xll.BDH(config!$G$4,U$1,$A607,$A607),_xll.BDH(config!$G$5,U$1,$A607,$A607))))</f>
        <v/>
      </c>
      <c r="V607" s="8" t="str">
        <f>IF($A607="","",IF(ISNUMBER(FIND("IMPVOL",V$1)),_xll.BDH(config!$G$4,V$1,WORKDAY($A607,-1,config_Holiday_Calendar_US),WORKDAY($A607,-1,config_Holiday_Calendar_US)),IF(ISNUMBER(_xll.BDH(config!$G$4,V$1,$A607,$A607)),_xll.BDH(config!$G$4,V$1,$A607,$A607),_xll.BDH(config!$G$5,V$1,$A607,$A607))))</f>
        <v/>
      </c>
      <c r="W607" s="8" t="str">
        <f>IF($A607="","",IF(ISNUMBER(FIND("IMPVOL",W$1)),_xll.BDH(config!$G$4,W$1,WORKDAY($A607,-1,config_Holiday_Calendar_US),WORKDAY($A607,-1,config_Holiday_Calendar_US)),IF(ISNUMBER(_xll.BDH(config!$G$4,W$1,$A607,$A607)),_xll.BDH(config!$G$4,W$1,$A607,$A607),_xll.BDH(config!$G$5,W$1,$A607,$A607))))</f>
        <v/>
      </c>
    </row>
    <row r="608" spans="1:23" x14ac:dyDescent="0.2">
      <c r="A608" s="9" t="str">
        <f>IF(A607="","",IF(WORKDAY(A607,-1,config_Holiday_Calendar_US)&lt;config!$I$10,"",WORKDAY(A607,-1,config_Holiday_Calendar_US)))</f>
        <v/>
      </c>
      <c r="B608" s="8" t="str">
        <f t="shared" si="9"/>
        <v/>
      </c>
      <c r="C608" s="8" t="str">
        <f>IF(A608="","",_xll.BDH(config!$H$4,C$1,$A608,$A608))</f>
        <v/>
      </c>
      <c r="D608" s="8" t="str">
        <f>IF($A608="","",_xll.BDH(config!$H$4,D$1,$A608,$A608))</f>
        <v/>
      </c>
      <c r="E608" s="8" t="str">
        <f>IF($A608="","",IF(ISNUMBER(FIND("IMPVOL",E$1)),_xll.BDH(config!$G$4,E$1,WORKDAY($A608,-1,config_Holiday_Calendar_US),WORKDAY($A608,-1,config_Holiday_Calendar_US)),IF(ISNUMBER(_xll.BDH(config!$G$4,E$1,$A608,$A608)),_xll.BDH(config!$G$4,E$1,$A608,$A608),_xll.BDH(config!$G$5,E$1,$A608,$A608))))</f>
        <v/>
      </c>
      <c r="F608" s="8" t="str">
        <f>IF($A608="","",IF(ISNUMBER(FIND("IMPVOL",F$1)),_xll.BDH(config!$G$4,F$1,WORKDAY($A608,-1,config_Holiday_Calendar_US),WORKDAY($A608,-1,config_Holiday_Calendar_US)),IF(ISNUMBER(_xll.BDH(config!$G$4,F$1,$A608,$A608)),_xll.BDH(config!$G$4,F$1,$A608,$A608),_xll.BDH(config!$G$5,F$1,$A608,$A608))))</f>
        <v/>
      </c>
      <c r="G608" s="8" t="str">
        <f>IF($A608="","",IF(ISNUMBER(FIND("IMPVOL",G$1)),_xll.BDH(config!$G$4,G$1,WORKDAY($A608,-1,config_Holiday_Calendar_US),WORKDAY($A608,-1,config_Holiday_Calendar_US)),IF(ISNUMBER(_xll.BDH(config!$G$4,G$1,$A608,$A608)),_xll.BDH(config!$G$4,G$1,$A608,$A608),_xll.BDH(config!$G$5,G$1,$A608,$A608))))</f>
        <v/>
      </c>
      <c r="H608" s="8" t="str">
        <f>IF($A608="","",IF(ISNUMBER(FIND("IMPVOL",H$1)),_xll.BDH(config!$G$4,H$1,WORKDAY($A608,-1,config_Holiday_Calendar_US),WORKDAY($A608,-1,config_Holiday_Calendar_US)),IF(ISNUMBER(_xll.BDH(config!$G$4,H$1,$A608,$A608)),_xll.BDH(config!$G$4,H$1,$A608,$A608),_xll.BDH(config!$G$5,H$1,$A608,$A608))))</f>
        <v/>
      </c>
      <c r="I608" s="8" t="str">
        <f>IF($A608="","",IF(ISNUMBER(FIND("IMPVOL",I$1)),_xll.BDH(config!$G$4,I$1,WORKDAY($A608,-1,config_Holiday_Calendar_US),WORKDAY($A608,-1,config_Holiday_Calendar_US)),IF(ISNUMBER(_xll.BDH(config!$G$4,I$1,$A608,$A608)),_xll.BDH(config!$G$4,I$1,$A608,$A608),_xll.BDH(config!$G$5,I$1,$A608,$A608))))</f>
        <v/>
      </c>
      <c r="J608" s="8" t="str">
        <f>IF($A608="","",IF(ISNUMBER(FIND("IMPVOL",J$1)),_xll.BDH(config!$G$4,J$1,WORKDAY($A608,-1,config_Holiday_Calendar_US),WORKDAY($A608,-1,config_Holiday_Calendar_US)),IF(ISNUMBER(_xll.BDH(config!$G$4,J$1,$A608,$A608)),_xll.BDH(config!$G$4,J$1,$A608,$A608),_xll.BDH(config!$G$5,J$1,$A608,$A608))))</f>
        <v/>
      </c>
      <c r="K608" s="8" t="str">
        <f>IF($A608="","",IF(ISNUMBER(FIND("IMPVOL",K$1)),_xll.BDH(config!$G$4,K$1,WORKDAY($A608,-1,config_Holiday_Calendar_US),WORKDAY($A608,-1,config_Holiday_Calendar_US)),IF(ISNUMBER(_xll.BDH(config!$G$4,K$1,$A608,$A608)),_xll.BDH(config!$G$4,K$1,$A608,$A608),_xll.BDH(config!$G$5,K$1,$A608,$A608))))</f>
        <v/>
      </c>
      <c r="L608" s="8" t="str">
        <f>IF($A608="","",IF(ISNUMBER(FIND("IMPVOL",L$1)),_xll.BDH(config!$G$4,L$1,WORKDAY($A608,-1,config_Holiday_Calendar_US),WORKDAY($A608,-1,config_Holiday_Calendar_US)),IF(ISNUMBER(_xll.BDH(config!$G$4,L$1,$A608,$A608)),_xll.BDH(config!$G$4,L$1,$A608,$A608),_xll.BDH(config!$G$5,L$1,$A608,$A608))))</f>
        <v/>
      </c>
      <c r="M608" s="8" t="str">
        <f>IF($A608="","",IF(ISNUMBER(FIND("IMPVOL",M$1)),_xll.BDH(config!$G$4,M$1,WORKDAY($A608,-1,config_Holiday_Calendar_US),WORKDAY($A608,-1,config_Holiday_Calendar_US)),IF(ISNUMBER(_xll.BDH(config!$G$4,M$1,$A608,$A608)),_xll.BDH(config!$G$4,M$1,$A608,$A608),_xll.BDH(config!$G$5,M$1,$A608,$A608))))</f>
        <v/>
      </c>
      <c r="N608" s="8" t="str">
        <f>IF($A608="","",IF(ISNUMBER(FIND("IMPVOL",N$1)),_xll.BDH(config!$G$4,N$1,WORKDAY($A608,-1,config_Holiday_Calendar_US),WORKDAY($A608,-1,config_Holiday_Calendar_US)),IF(ISNUMBER(_xll.BDH(config!$G$4,N$1,$A608,$A608)),_xll.BDH(config!$G$4,N$1,$A608,$A608),_xll.BDH(config!$G$5,N$1,$A608,$A608))))</f>
        <v/>
      </c>
      <c r="O608" s="8" t="str">
        <f>IF($A608="","",IF(ISNUMBER(FIND("IMPVOL",O$1)),_xll.BDH(config!$G$4,O$1,WORKDAY($A608,-1,config_Holiday_Calendar_US),WORKDAY($A608,-1,config_Holiday_Calendar_US)),IF(ISNUMBER(_xll.BDH(config!$G$4,O$1,$A608,$A608)),_xll.BDH(config!$G$4,O$1,$A608,$A608),_xll.BDH(config!$G$5,O$1,$A608,$A608))))</f>
        <v/>
      </c>
      <c r="P608" s="8" t="str">
        <f>IF($A608="","",IF(ISNUMBER(FIND("IMPVOL",P$1)),_xll.BDH(config!$G$4,P$1,WORKDAY($A608,-1,config_Holiday_Calendar_US),WORKDAY($A608,-1,config_Holiday_Calendar_US)),IF(ISNUMBER(_xll.BDH(config!$G$4,P$1,$A608,$A608)),_xll.BDH(config!$G$4,P$1,$A608,$A608),_xll.BDH(config!$G$5,P$1,$A608,$A608))))</f>
        <v/>
      </c>
      <c r="Q608" s="8" t="str">
        <f>IF($A608="","",IF(ISNUMBER(FIND("IMPVOL",Q$1)),_xll.BDH(config!$G$4,Q$1,WORKDAY($A608,-1,config_Holiday_Calendar_US),WORKDAY($A608,-1,config_Holiday_Calendar_US)),IF(ISNUMBER(_xll.BDH(config!$G$4,Q$1,$A608,$A608)),_xll.BDH(config!$G$4,Q$1,$A608,$A608),_xll.BDH(config!$G$5,Q$1,$A608,$A608))))</f>
        <v/>
      </c>
      <c r="R608" s="8" t="str">
        <f>IF($A608="","",IF(ISNUMBER(FIND("IMPVOL",R$1)),_xll.BDH(config!$G$4,R$1,WORKDAY($A608,-1,config_Holiday_Calendar_US),WORKDAY($A608,-1,config_Holiday_Calendar_US)),IF(ISNUMBER(_xll.BDH(config!$G$4,R$1,$A608,$A608)),_xll.BDH(config!$G$4,R$1,$A608,$A608),_xll.BDH(config!$G$5,R$1,$A608,$A608))))</f>
        <v/>
      </c>
      <c r="S608" s="8" t="str">
        <f>IF($A608="","",IF(ISNUMBER(FIND("IMPVOL",S$1)),_xll.BDH(config!$G$4,S$1,WORKDAY($A608,-1,config_Holiday_Calendar_US),WORKDAY($A608,-1,config_Holiday_Calendar_US)),IF(ISNUMBER(_xll.BDH(config!$G$4,S$1,$A608,$A608)),_xll.BDH(config!$G$4,S$1,$A608,$A608),_xll.BDH(config!$G$5,S$1,$A608,$A608))))</f>
        <v/>
      </c>
      <c r="T608" s="8" t="str">
        <f>IF($A608="","",IF(ISNUMBER(FIND("IMPVOL",T$1)),_xll.BDH(config!$G$4,T$1,WORKDAY($A608,-1,config_Holiday_Calendar_US),WORKDAY($A608,-1,config_Holiday_Calendar_US)),IF(ISNUMBER(_xll.BDH(config!$G$4,T$1,$A608,$A608)),_xll.BDH(config!$G$4,T$1,$A608,$A608),_xll.BDH(config!$G$5,T$1,$A608,$A608))))</f>
        <v/>
      </c>
      <c r="U608" s="8" t="str">
        <f>IF($A608="","",IF(ISNUMBER(FIND("IMPVOL",U$1)),_xll.BDH(config!$G$4,U$1,WORKDAY($A608,-1,config_Holiday_Calendar_US),WORKDAY($A608,-1,config_Holiday_Calendar_US)),IF(ISNUMBER(_xll.BDH(config!$G$4,U$1,$A608,$A608)),_xll.BDH(config!$G$4,U$1,$A608,$A608),_xll.BDH(config!$G$5,U$1,$A608,$A608))))</f>
        <v/>
      </c>
      <c r="V608" s="8" t="str">
        <f>IF($A608="","",IF(ISNUMBER(FIND("IMPVOL",V$1)),_xll.BDH(config!$G$4,V$1,WORKDAY($A608,-1,config_Holiday_Calendar_US),WORKDAY($A608,-1,config_Holiday_Calendar_US)),IF(ISNUMBER(_xll.BDH(config!$G$4,V$1,$A608,$A608)),_xll.BDH(config!$G$4,V$1,$A608,$A608),_xll.BDH(config!$G$5,V$1,$A608,$A608))))</f>
        <v/>
      </c>
      <c r="W608" s="8" t="str">
        <f>IF($A608="","",IF(ISNUMBER(FIND("IMPVOL",W$1)),_xll.BDH(config!$G$4,W$1,WORKDAY($A608,-1,config_Holiday_Calendar_US),WORKDAY($A608,-1,config_Holiday_Calendar_US)),IF(ISNUMBER(_xll.BDH(config!$G$4,W$1,$A608,$A608)),_xll.BDH(config!$G$4,W$1,$A608,$A608),_xll.BDH(config!$G$5,W$1,$A608,$A608))))</f>
        <v/>
      </c>
    </row>
    <row r="609" spans="1:23" x14ac:dyDescent="0.2">
      <c r="A609" s="9" t="str">
        <f>IF(A608="","",IF(WORKDAY(A608,-1,config_Holiday_Calendar_US)&lt;config!$I$10,"",WORKDAY(A608,-1,config_Holiday_Calendar_US)))</f>
        <v/>
      </c>
      <c r="B609" s="8" t="str">
        <f t="shared" si="9"/>
        <v/>
      </c>
      <c r="C609" s="8" t="str">
        <f>IF(A609="","",_xll.BDH(config!$H$4,C$1,$A609,$A609))</f>
        <v/>
      </c>
      <c r="D609" s="8" t="str">
        <f>IF($A609="","",_xll.BDH(config!$H$4,D$1,$A609,$A609))</f>
        <v/>
      </c>
      <c r="E609" s="8" t="str">
        <f>IF($A609="","",IF(ISNUMBER(FIND("IMPVOL",E$1)),_xll.BDH(config!$G$4,E$1,WORKDAY($A609,-1,config_Holiday_Calendar_US),WORKDAY($A609,-1,config_Holiday_Calendar_US)),IF(ISNUMBER(_xll.BDH(config!$G$4,E$1,$A609,$A609)),_xll.BDH(config!$G$4,E$1,$A609,$A609),_xll.BDH(config!$G$5,E$1,$A609,$A609))))</f>
        <v/>
      </c>
      <c r="F609" s="8" t="str">
        <f>IF($A609="","",IF(ISNUMBER(FIND("IMPVOL",F$1)),_xll.BDH(config!$G$4,F$1,WORKDAY($A609,-1,config_Holiday_Calendar_US),WORKDAY($A609,-1,config_Holiday_Calendar_US)),IF(ISNUMBER(_xll.BDH(config!$G$4,F$1,$A609,$A609)),_xll.BDH(config!$G$4,F$1,$A609,$A609),_xll.BDH(config!$G$5,F$1,$A609,$A609))))</f>
        <v/>
      </c>
      <c r="G609" s="8" t="str">
        <f>IF($A609="","",IF(ISNUMBER(FIND("IMPVOL",G$1)),_xll.BDH(config!$G$4,G$1,WORKDAY($A609,-1,config_Holiday_Calendar_US),WORKDAY($A609,-1,config_Holiday_Calendar_US)),IF(ISNUMBER(_xll.BDH(config!$G$4,G$1,$A609,$A609)),_xll.BDH(config!$G$4,G$1,$A609,$A609),_xll.BDH(config!$G$5,G$1,$A609,$A609))))</f>
        <v/>
      </c>
      <c r="H609" s="8" t="str">
        <f>IF($A609="","",IF(ISNUMBER(FIND("IMPVOL",H$1)),_xll.BDH(config!$G$4,H$1,WORKDAY($A609,-1,config_Holiday_Calendar_US),WORKDAY($A609,-1,config_Holiday_Calendar_US)),IF(ISNUMBER(_xll.BDH(config!$G$4,H$1,$A609,$A609)),_xll.BDH(config!$G$4,H$1,$A609,$A609),_xll.BDH(config!$G$5,H$1,$A609,$A609))))</f>
        <v/>
      </c>
      <c r="I609" s="8" t="str">
        <f>IF($A609="","",IF(ISNUMBER(FIND("IMPVOL",I$1)),_xll.BDH(config!$G$4,I$1,WORKDAY($A609,-1,config_Holiday_Calendar_US),WORKDAY($A609,-1,config_Holiday_Calendar_US)),IF(ISNUMBER(_xll.BDH(config!$G$4,I$1,$A609,$A609)),_xll.BDH(config!$G$4,I$1,$A609,$A609),_xll.BDH(config!$G$5,I$1,$A609,$A609))))</f>
        <v/>
      </c>
      <c r="J609" s="8" t="str">
        <f>IF($A609="","",IF(ISNUMBER(FIND("IMPVOL",J$1)),_xll.BDH(config!$G$4,J$1,WORKDAY($A609,-1,config_Holiday_Calendar_US),WORKDAY($A609,-1,config_Holiday_Calendar_US)),IF(ISNUMBER(_xll.BDH(config!$G$4,J$1,$A609,$A609)),_xll.BDH(config!$G$4,J$1,$A609,$A609),_xll.BDH(config!$G$5,J$1,$A609,$A609))))</f>
        <v/>
      </c>
      <c r="K609" s="8" t="str">
        <f>IF($A609="","",IF(ISNUMBER(FIND("IMPVOL",K$1)),_xll.BDH(config!$G$4,K$1,WORKDAY($A609,-1,config_Holiday_Calendar_US),WORKDAY($A609,-1,config_Holiday_Calendar_US)),IF(ISNUMBER(_xll.BDH(config!$G$4,K$1,$A609,$A609)),_xll.BDH(config!$G$4,K$1,$A609,$A609),_xll.BDH(config!$G$5,K$1,$A609,$A609))))</f>
        <v/>
      </c>
      <c r="L609" s="8" t="str">
        <f>IF($A609="","",IF(ISNUMBER(FIND("IMPVOL",L$1)),_xll.BDH(config!$G$4,L$1,WORKDAY($A609,-1,config_Holiday_Calendar_US),WORKDAY($A609,-1,config_Holiday_Calendar_US)),IF(ISNUMBER(_xll.BDH(config!$G$4,L$1,$A609,$A609)),_xll.BDH(config!$G$4,L$1,$A609,$A609),_xll.BDH(config!$G$5,L$1,$A609,$A609))))</f>
        <v/>
      </c>
      <c r="M609" s="8" t="str">
        <f>IF($A609="","",IF(ISNUMBER(FIND("IMPVOL",M$1)),_xll.BDH(config!$G$4,M$1,WORKDAY($A609,-1,config_Holiday_Calendar_US),WORKDAY($A609,-1,config_Holiday_Calendar_US)),IF(ISNUMBER(_xll.BDH(config!$G$4,M$1,$A609,$A609)),_xll.BDH(config!$G$4,M$1,$A609,$A609),_xll.BDH(config!$G$5,M$1,$A609,$A609))))</f>
        <v/>
      </c>
      <c r="N609" s="8" t="str">
        <f>IF($A609="","",IF(ISNUMBER(FIND("IMPVOL",N$1)),_xll.BDH(config!$G$4,N$1,WORKDAY($A609,-1,config_Holiday_Calendar_US),WORKDAY($A609,-1,config_Holiday_Calendar_US)),IF(ISNUMBER(_xll.BDH(config!$G$4,N$1,$A609,$A609)),_xll.BDH(config!$G$4,N$1,$A609,$A609),_xll.BDH(config!$G$5,N$1,$A609,$A609))))</f>
        <v/>
      </c>
      <c r="O609" s="8" t="str">
        <f>IF($A609="","",IF(ISNUMBER(FIND("IMPVOL",O$1)),_xll.BDH(config!$G$4,O$1,WORKDAY($A609,-1,config_Holiday_Calendar_US),WORKDAY($A609,-1,config_Holiday_Calendar_US)),IF(ISNUMBER(_xll.BDH(config!$G$4,O$1,$A609,$A609)),_xll.BDH(config!$G$4,O$1,$A609,$A609),_xll.BDH(config!$G$5,O$1,$A609,$A609))))</f>
        <v/>
      </c>
      <c r="P609" s="8" t="str">
        <f>IF($A609="","",IF(ISNUMBER(FIND("IMPVOL",P$1)),_xll.BDH(config!$G$4,P$1,WORKDAY($A609,-1,config_Holiday_Calendar_US),WORKDAY($A609,-1,config_Holiday_Calendar_US)),IF(ISNUMBER(_xll.BDH(config!$G$4,P$1,$A609,$A609)),_xll.BDH(config!$G$4,P$1,$A609,$A609),_xll.BDH(config!$G$5,P$1,$A609,$A609))))</f>
        <v/>
      </c>
      <c r="Q609" s="8" t="str">
        <f>IF($A609="","",IF(ISNUMBER(FIND("IMPVOL",Q$1)),_xll.BDH(config!$G$4,Q$1,WORKDAY($A609,-1,config_Holiday_Calendar_US),WORKDAY($A609,-1,config_Holiday_Calendar_US)),IF(ISNUMBER(_xll.BDH(config!$G$4,Q$1,$A609,$A609)),_xll.BDH(config!$G$4,Q$1,$A609,$A609),_xll.BDH(config!$G$5,Q$1,$A609,$A609))))</f>
        <v/>
      </c>
      <c r="R609" s="8" t="str">
        <f>IF($A609="","",IF(ISNUMBER(FIND("IMPVOL",R$1)),_xll.BDH(config!$G$4,R$1,WORKDAY($A609,-1,config_Holiday_Calendar_US),WORKDAY($A609,-1,config_Holiday_Calendar_US)),IF(ISNUMBER(_xll.BDH(config!$G$4,R$1,$A609,$A609)),_xll.BDH(config!$G$4,R$1,$A609,$A609),_xll.BDH(config!$G$5,R$1,$A609,$A609))))</f>
        <v/>
      </c>
      <c r="S609" s="8" t="str">
        <f>IF($A609="","",IF(ISNUMBER(FIND("IMPVOL",S$1)),_xll.BDH(config!$G$4,S$1,WORKDAY($A609,-1,config_Holiday_Calendar_US),WORKDAY($A609,-1,config_Holiday_Calendar_US)),IF(ISNUMBER(_xll.BDH(config!$G$4,S$1,$A609,$A609)),_xll.BDH(config!$G$4,S$1,$A609,$A609),_xll.BDH(config!$G$5,S$1,$A609,$A609))))</f>
        <v/>
      </c>
      <c r="T609" s="8" t="str">
        <f>IF($A609="","",IF(ISNUMBER(FIND("IMPVOL",T$1)),_xll.BDH(config!$G$4,T$1,WORKDAY($A609,-1,config_Holiday_Calendar_US),WORKDAY($A609,-1,config_Holiday_Calendar_US)),IF(ISNUMBER(_xll.BDH(config!$G$4,T$1,$A609,$A609)),_xll.BDH(config!$G$4,T$1,$A609,$A609),_xll.BDH(config!$G$5,T$1,$A609,$A609))))</f>
        <v/>
      </c>
      <c r="U609" s="8" t="str">
        <f>IF($A609="","",IF(ISNUMBER(FIND("IMPVOL",U$1)),_xll.BDH(config!$G$4,U$1,WORKDAY($A609,-1,config_Holiday_Calendar_US),WORKDAY($A609,-1,config_Holiday_Calendar_US)),IF(ISNUMBER(_xll.BDH(config!$G$4,U$1,$A609,$A609)),_xll.BDH(config!$G$4,U$1,$A609,$A609),_xll.BDH(config!$G$5,U$1,$A609,$A609))))</f>
        <v/>
      </c>
      <c r="V609" s="8" t="str">
        <f>IF($A609="","",IF(ISNUMBER(FIND("IMPVOL",V$1)),_xll.BDH(config!$G$4,V$1,WORKDAY($A609,-1,config_Holiday_Calendar_US),WORKDAY($A609,-1,config_Holiday_Calendar_US)),IF(ISNUMBER(_xll.BDH(config!$G$4,V$1,$A609,$A609)),_xll.BDH(config!$G$4,V$1,$A609,$A609),_xll.BDH(config!$G$5,V$1,$A609,$A609))))</f>
        <v/>
      </c>
      <c r="W609" s="8" t="str">
        <f>IF($A609="","",IF(ISNUMBER(FIND("IMPVOL",W$1)),_xll.BDH(config!$G$4,W$1,WORKDAY($A609,-1,config_Holiday_Calendar_US),WORKDAY($A609,-1,config_Holiday_Calendar_US)),IF(ISNUMBER(_xll.BDH(config!$G$4,W$1,$A609,$A609)),_xll.BDH(config!$G$4,W$1,$A609,$A609),_xll.BDH(config!$G$5,W$1,$A609,$A609))))</f>
        <v/>
      </c>
    </row>
    <row r="610" spans="1:23" x14ac:dyDescent="0.2">
      <c r="A610" s="9" t="str">
        <f>IF(A609="","",IF(WORKDAY(A609,-1,config_Holiday_Calendar_US)&lt;config!$I$10,"",WORKDAY(A609,-1,config_Holiday_Calendar_US)))</f>
        <v/>
      </c>
      <c r="B610" s="8" t="str">
        <f t="shared" si="9"/>
        <v/>
      </c>
      <c r="C610" s="8" t="str">
        <f>IF(A610="","",_xll.BDH(config!$H$4,C$1,$A610,$A610))</f>
        <v/>
      </c>
      <c r="D610" s="8" t="str">
        <f>IF($A610="","",_xll.BDH(config!$H$4,D$1,$A610,$A610))</f>
        <v/>
      </c>
      <c r="E610" s="8" t="str">
        <f>IF($A610="","",IF(ISNUMBER(FIND("IMPVOL",E$1)),_xll.BDH(config!$G$4,E$1,WORKDAY($A610,-1,config_Holiday_Calendar_US),WORKDAY($A610,-1,config_Holiday_Calendar_US)),IF(ISNUMBER(_xll.BDH(config!$G$4,E$1,$A610,$A610)),_xll.BDH(config!$G$4,E$1,$A610,$A610),_xll.BDH(config!$G$5,E$1,$A610,$A610))))</f>
        <v/>
      </c>
      <c r="F610" s="8" t="str">
        <f>IF($A610="","",IF(ISNUMBER(FIND("IMPVOL",F$1)),_xll.BDH(config!$G$4,F$1,WORKDAY($A610,-1,config_Holiday_Calendar_US),WORKDAY($A610,-1,config_Holiday_Calendar_US)),IF(ISNUMBER(_xll.BDH(config!$G$4,F$1,$A610,$A610)),_xll.BDH(config!$G$4,F$1,$A610,$A610),_xll.BDH(config!$G$5,F$1,$A610,$A610))))</f>
        <v/>
      </c>
      <c r="G610" s="8" t="str">
        <f>IF($A610="","",IF(ISNUMBER(FIND("IMPVOL",G$1)),_xll.BDH(config!$G$4,G$1,WORKDAY($A610,-1,config_Holiday_Calendar_US),WORKDAY($A610,-1,config_Holiday_Calendar_US)),IF(ISNUMBER(_xll.BDH(config!$G$4,G$1,$A610,$A610)),_xll.BDH(config!$G$4,G$1,$A610,$A610),_xll.BDH(config!$G$5,G$1,$A610,$A610))))</f>
        <v/>
      </c>
      <c r="H610" s="8" t="str">
        <f>IF($A610="","",IF(ISNUMBER(FIND("IMPVOL",H$1)),_xll.BDH(config!$G$4,H$1,WORKDAY($A610,-1,config_Holiday_Calendar_US),WORKDAY($A610,-1,config_Holiday_Calendar_US)),IF(ISNUMBER(_xll.BDH(config!$G$4,H$1,$A610,$A610)),_xll.BDH(config!$G$4,H$1,$A610,$A610),_xll.BDH(config!$G$5,H$1,$A610,$A610))))</f>
        <v/>
      </c>
      <c r="I610" s="8" t="str">
        <f>IF($A610="","",IF(ISNUMBER(FIND("IMPVOL",I$1)),_xll.BDH(config!$G$4,I$1,WORKDAY($A610,-1,config_Holiday_Calendar_US),WORKDAY($A610,-1,config_Holiday_Calendar_US)),IF(ISNUMBER(_xll.BDH(config!$G$4,I$1,$A610,$A610)),_xll.BDH(config!$G$4,I$1,$A610,$A610),_xll.BDH(config!$G$5,I$1,$A610,$A610))))</f>
        <v/>
      </c>
      <c r="J610" s="8" t="str">
        <f>IF($A610="","",IF(ISNUMBER(FIND("IMPVOL",J$1)),_xll.BDH(config!$G$4,J$1,WORKDAY($A610,-1,config_Holiday_Calendar_US),WORKDAY($A610,-1,config_Holiday_Calendar_US)),IF(ISNUMBER(_xll.BDH(config!$G$4,J$1,$A610,$A610)),_xll.BDH(config!$G$4,J$1,$A610,$A610),_xll.BDH(config!$G$5,J$1,$A610,$A610))))</f>
        <v/>
      </c>
      <c r="K610" s="8" t="str">
        <f>IF($A610="","",IF(ISNUMBER(FIND("IMPVOL",K$1)),_xll.BDH(config!$G$4,K$1,WORKDAY($A610,-1,config_Holiday_Calendar_US),WORKDAY($A610,-1,config_Holiday_Calendar_US)),IF(ISNUMBER(_xll.BDH(config!$G$4,K$1,$A610,$A610)),_xll.BDH(config!$G$4,K$1,$A610,$A610),_xll.BDH(config!$G$5,K$1,$A610,$A610))))</f>
        <v/>
      </c>
      <c r="L610" s="8" t="str">
        <f>IF($A610="","",IF(ISNUMBER(FIND("IMPVOL",L$1)),_xll.BDH(config!$G$4,L$1,WORKDAY($A610,-1,config_Holiday_Calendar_US),WORKDAY($A610,-1,config_Holiday_Calendar_US)),IF(ISNUMBER(_xll.BDH(config!$G$4,L$1,$A610,$A610)),_xll.BDH(config!$G$4,L$1,$A610,$A610),_xll.BDH(config!$G$5,L$1,$A610,$A610))))</f>
        <v/>
      </c>
      <c r="M610" s="8" t="str">
        <f>IF($A610="","",IF(ISNUMBER(FIND("IMPVOL",M$1)),_xll.BDH(config!$G$4,M$1,WORKDAY($A610,-1,config_Holiday_Calendar_US),WORKDAY($A610,-1,config_Holiday_Calendar_US)),IF(ISNUMBER(_xll.BDH(config!$G$4,M$1,$A610,$A610)),_xll.BDH(config!$G$4,M$1,$A610,$A610),_xll.BDH(config!$G$5,M$1,$A610,$A610))))</f>
        <v/>
      </c>
      <c r="N610" s="8" t="str">
        <f>IF($A610="","",IF(ISNUMBER(FIND("IMPVOL",N$1)),_xll.BDH(config!$G$4,N$1,WORKDAY($A610,-1,config_Holiday_Calendar_US),WORKDAY($A610,-1,config_Holiday_Calendar_US)),IF(ISNUMBER(_xll.BDH(config!$G$4,N$1,$A610,$A610)),_xll.BDH(config!$G$4,N$1,$A610,$A610),_xll.BDH(config!$G$5,N$1,$A610,$A610))))</f>
        <v/>
      </c>
      <c r="O610" s="8" t="str">
        <f>IF($A610="","",IF(ISNUMBER(FIND("IMPVOL",O$1)),_xll.BDH(config!$G$4,O$1,WORKDAY($A610,-1,config_Holiday_Calendar_US),WORKDAY($A610,-1,config_Holiday_Calendar_US)),IF(ISNUMBER(_xll.BDH(config!$G$4,O$1,$A610,$A610)),_xll.BDH(config!$G$4,O$1,$A610,$A610),_xll.BDH(config!$G$5,O$1,$A610,$A610))))</f>
        <v/>
      </c>
      <c r="P610" s="8" t="str">
        <f>IF($A610="","",IF(ISNUMBER(FIND("IMPVOL",P$1)),_xll.BDH(config!$G$4,P$1,WORKDAY($A610,-1,config_Holiday_Calendar_US),WORKDAY($A610,-1,config_Holiday_Calendar_US)),IF(ISNUMBER(_xll.BDH(config!$G$4,P$1,$A610,$A610)),_xll.BDH(config!$G$4,P$1,$A610,$A610),_xll.BDH(config!$G$5,P$1,$A610,$A610))))</f>
        <v/>
      </c>
      <c r="Q610" s="8" t="str">
        <f>IF($A610="","",IF(ISNUMBER(FIND("IMPVOL",Q$1)),_xll.BDH(config!$G$4,Q$1,WORKDAY($A610,-1,config_Holiday_Calendar_US),WORKDAY($A610,-1,config_Holiday_Calendar_US)),IF(ISNUMBER(_xll.BDH(config!$G$4,Q$1,$A610,$A610)),_xll.BDH(config!$G$4,Q$1,$A610,$A610),_xll.BDH(config!$G$5,Q$1,$A610,$A610))))</f>
        <v/>
      </c>
      <c r="R610" s="8" t="str">
        <f>IF($A610="","",IF(ISNUMBER(FIND("IMPVOL",R$1)),_xll.BDH(config!$G$4,R$1,WORKDAY($A610,-1,config_Holiday_Calendar_US),WORKDAY($A610,-1,config_Holiday_Calendar_US)),IF(ISNUMBER(_xll.BDH(config!$G$4,R$1,$A610,$A610)),_xll.BDH(config!$G$4,R$1,$A610,$A610),_xll.BDH(config!$G$5,R$1,$A610,$A610))))</f>
        <v/>
      </c>
      <c r="S610" s="8" t="str">
        <f>IF($A610="","",IF(ISNUMBER(FIND("IMPVOL",S$1)),_xll.BDH(config!$G$4,S$1,WORKDAY($A610,-1,config_Holiday_Calendar_US),WORKDAY($A610,-1,config_Holiday_Calendar_US)),IF(ISNUMBER(_xll.BDH(config!$G$4,S$1,$A610,$A610)),_xll.BDH(config!$G$4,S$1,$A610,$A610),_xll.BDH(config!$G$5,S$1,$A610,$A610))))</f>
        <v/>
      </c>
      <c r="T610" s="8" t="str">
        <f>IF($A610="","",IF(ISNUMBER(FIND("IMPVOL",T$1)),_xll.BDH(config!$G$4,T$1,WORKDAY($A610,-1,config_Holiday_Calendar_US),WORKDAY($A610,-1,config_Holiday_Calendar_US)),IF(ISNUMBER(_xll.BDH(config!$G$4,T$1,$A610,$A610)),_xll.BDH(config!$G$4,T$1,$A610,$A610),_xll.BDH(config!$G$5,T$1,$A610,$A610))))</f>
        <v/>
      </c>
      <c r="U610" s="8" t="str">
        <f>IF($A610="","",IF(ISNUMBER(FIND("IMPVOL",U$1)),_xll.BDH(config!$G$4,U$1,WORKDAY($A610,-1,config_Holiday_Calendar_US),WORKDAY($A610,-1,config_Holiday_Calendar_US)),IF(ISNUMBER(_xll.BDH(config!$G$4,U$1,$A610,$A610)),_xll.BDH(config!$G$4,U$1,$A610,$A610),_xll.BDH(config!$G$5,U$1,$A610,$A610))))</f>
        <v/>
      </c>
      <c r="V610" s="8" t="str">
        <f>IF($A610="","",IF(ISNUMBER(FIND("IMPVOL",V$1)),_xll.BDH(config!$G$4,V$1,WORKDAY($A610,-1,config_Holiday_Calendar_US),WORKDAY($A610,-1,config_Holiday_Calendar_US)),IF(ISNUMBER(_xll.BDH(config!$G$4,V$1,$A610,$A610)),_xll.BDH(config!$G$4,V$1,$A610,$A610),_xll.BDH(config!$G$5,V$1,$A610,$A610))))</f>
        <v/>
      </c>
      <c r="W610" s="8" t="str">
        <f>IF($A610="","",IF(ISNUMBER(FIND("IMPVOL",W$1)),_xll.BDH(config!$G$4,W$1,WORKDAY($A610,-1,config_Holiday_Calendar_US),WORKDAY($A610,-1,config_Holiday_Calendar_US)),IF(ISNUMBER(_xll.BDH(config!$G$4,W$1,$A610,$A610)),_xll.BDH(config!$G$4,W$1,$A610,$A610),_xll.BDH(config!$G$5,W$1,$A610,$A610))))</f>
        <v/>
      </c>
    </row>
    <row r="611" spans="1:23" x14ac:dyDescent="0.2">
      <c r="A611" s="9" t="str">
        <f>IF(A610="","",IF(WORKDAY(A610,-1,config_Holiday_Calendar_US)&lt;config!$I$10,"",WORKDAY(A610,-1,config_Holiday_Calendar_US)))</f>
        <v/>
      </c>
      <c r="B611" s="8" t="str">
        <f t="shared" si="9"/>
        <v/>
      </c>
      <c r="C611" s="8" t="str">
        <f>IF(A611="","",_xll.BDH(config!$H$4,C$1,$A611,$A611))</f>
        <v/>
      </c>
      <c r="D611" s="8" t="str">
        <f>IF($A611="","",_xll.BDH(config!$H$4,D$1,$A611,$A611))</f>
        <v/>
      </c>
      <c r="E611" s="8" t="str">
        <f>IF($A611="","",IF(ISNUMBER(FIND("IMPVOL",E$1)),_xll.BDH(config!$G$4,E$1,WORKDAY($A611,-1,config_Holiday_Calendar_US),WORKDAY($A611,-1,config_Holiday_Calendar_US)),IF(ISNUMBER(_xll.BDH(config!$G$4,E$1,$A611,$A611)),_xll.BDH(config!$G$4,E$1,$A611,$A611),_xll.BDH(config!$G$5,E$1,$A611,$A611))))</f>
        <v/>
      </c>
      <c r="F611" s="8" t="str">
        <f>IF($A611="","",IF(ISNUMBER(FIND("IMPVOL",F$1)),_xll.BDH(config!$G$4,F$1,WORKDAY($A611,-1,config_Holiday_Calendar_US),WORKDAY($A611,-1,config_Holiday_Calendar_US)),IF(ISNUMBER(_xll.BDH(config!$G$4,F$1,$A611,$A611)),_xll.BDH(config!$G$4,F$1,$A611,$A611),_xll.BDH(config!$G$5,F$1,$A611,$A611))))</f>
        <v/>
      </c>
      <c r="G611" s="8" t="str">
        <f>IF($A611="","",IF(ISNUMBER(FIND("IMPVOL",G$1)),_xll.BDH(config!$G$4,G$1,WORKDAY($A611,-1,config_Holiday_Calendar_US),WORKDAY($A611,-1,config_Holiday_Calendar_US)),IF(ISNUMBER(_xll.BDH(config!$G$4,G$1,$A611,$A611)),_xll.BDH(config!$G$4,G$1,$A611,$A611),_xll.BDH(config!$G$5,G$1,$A611,$A611))))</f>
        <v/>
      </c>
      <c r="H611" s="8" t="str">
        <f>IF($A611="","",IF(ISNUMBER(FIND("IMPVOL",H$1)),_xll.BDH(config!$G$4,H$1,WORKDAY($A611,-1,config_Holiday_Calendar_US),WORKDAY($A611,-1,config_Holiday_Calendar_US)),IF(ISNUMBER(_xll.BDH(config!$G$4,H$1,$A611,$A611)),_xll.BDH(config!$G$4,H$1,$A611,$A611),_xll.BDH(config!$G$5,H$1,$A611,$A611))))</f>
        <v/>
      </c>
      <c r="I611" s="8" t="str">
        <f>IF($A611="","",IF(ISNUMBER(FIND("IMPVOL",I$1)),_xll.BDH(config!$G$4,I$1,WORKDAY($A611,-1,config_Holiday_Calendar_US),WORKDAY($A611,-1,config_Holiday_Calendar_US)),IF(ISNUMBER(_xll.BDH(config!$G$4,I$1,$A611,$A611)),_xll.BDH(config!$G$4,I$1,$A611,$A611),_xll.BDH(config!$G$5,I$1,$A611,$A611))))</f>
        <v/>
      </c>
      <c r="J611" s="8" t="str">
        <f>IF($A611="","",IF(ISNUMBER(FIND("IMPVOL",J$1)),_xll.BDH(config!$G$4,J$1,WORKDAY($A611,-1,config_Holiday_Calendar_US),WORKDAY($A611,-1,config_Holiday_Calendar_US)),IF(ISNUMBER(_xll.BDH(config!$G$4,J$1,$A611,$A611)),_xll.BDH(config!$G$4,J$1,$A611,$A611),_xll.BDH(config!$G$5,J$1,$A611,$A611))))</f>
        <v/>
      </c>
      <c r="K611" s="8" t="str">
        <f>IF($A611="","",IF(ISNUMBER(FIND("IMPVOL",K$1)),_xll.BDH(config!$G$4,K$1,WORKDAY($A611,-1,config_Holiday_Calendar_US),WORKDAY($A611,-1,config_Holiday_Calendar_US)),IF(ISNUMBER(_xll.BDH(config!$G$4,K$1,$A611,$A611)),_xll.BDH(config!$G$4,K$1,$A611,$A611),_xll.BDH(config!$G$5,K$1,$A611,$A611))))</f>
        <v/>
      </c>
      <c r="L611" s="8" t="str">
        <f>IF($A611="","",IF(ISNUMBER(FIND("IMPVOL",L$1)),_xll.BDH(config!$G$4,L$1,WORKDAY($A611,-1,config_Holiday_Calendar_US),WORKDAY($A611,-1,config_Holiday_Calendar_US)),IF(ISNUMBER(_xll.BDH(config!$G$4,L$1,$A611,$A611)),_xll.BDH(config!$G$4,L$1,$A611,$A611),_xll.BDH(config!$G$5,L$1,$A611,$A611))))</f>
        <v/>
      </c>
      <c r="M611" s="8" t="str">
        <f>IF($A611="","",IF(ISNUMBER(FIND("IMPVOL",M$1)),_xll.BDH(config!$G$4,M$1,WORKDAY($A611,-1,config_Holiday_Calendar_US),WORKDAY($A611,-1,config_Holiday_Calendar_US)),IF(ISNUMBER(_xll.BDH(config!$G$4,M$1,$A611,$A611)),_xll.BDH(config!$G$4,M$1,$A611,$A611),_xll.BDH(config!$G$5,M$1,$A611,$A611))))</f>
        <v/>
      </c>
      <c r="N611" s="8" t="str">
        <f>IF($A611="","",IF(ISNUMBER(FIND("IMPVOL",N$1)),_xll.BDH(config!$G$4,N$1,WORKDAY($A611,-1,config_Holiday_Calendar_US),WORKDAY($A611,-1,config_Holiday_Calendar_US)),IF(ISNUMBER(_xll.BDH(config!$G$4,N$1,$A611,$A611)),_xll.BDH(config!$G$4,N$1,$A611,$A611),_xll.BDH(config!$G$5,N$1,$A611,$A611))))</f>
        <v/>
      </c>
      <c r="O611" s="8" t="str">
        <f>IF($A611="","",IF(ISNUMBER(FIND("IMPVOL",O$1)),_xll.BDH(config!$G$4,O$1,WORKDAY($A611,-1,config_Holiday_Calendar_US),WORKDAY($A611,-1,config_Holiday_Calendar_US)),IF(ISNUMBER(_xll.BDH(config!$G$4,O$1,$A611,$A611)),_xll.BDH(config!$G$4,O$1,$A611,$A611),_xll.BDH(config!$G$5,O$1,$A611,$A611))))</f>
        <v/>
      </c>
      <c r="P611" s="8" t="str">
        <f>IF($A611="","",IF(ISNUMBER(FIND("IMPVOL",P$1)),_xll.BDH(config!$G$4,P$1,WORKDAY($A611,-1,config_Holiday_Calendar_US),WORKDAY($A611,-1,config_Holiday_Calendar_US)),IF(ISNUMBER(_xll.BDH(config!$G$4,P$1,$A611,$A611)),_xll.BDH(config!$G$4,P$1,$A611,$A611),_xll.BDH(config!$G$5,P$1,$A611,$A611))))</f>
        <v/>
      </c>
      <c r="Q611" s="8" t="str">
        <f>IF($A611="","",IF(ISNUMBER(FIND("IMPVOL",Q$1)),_xll.BDH(config!$G$4,Q$1,WORKDAY($A611,-1,config_Holiday_Calendar_US),WORKDAY($A611,-1,config_Holiday_Calendar_US)),IF(ISNUMBER(_xll.BDH(config!$G$4,Q$1,$A611,$A611)),_xll.BDH(config!$G$4,Q$1,$A611,$A611),_xll.BDH(config!$G$5,Q$1,$A611,$A611))))</f>
        <v/>
      </c>
      <c r="R611" s="8" t="str">
        <f>IF($A611="","",IF(ISNUMBER(FIND("IMPVOL",R$1)),_xll.BDH(config!$G$4,R$1,WORKDAY($A611,-1,config_Holiday_Calendar_US),WORKDAY($A611,-1,config_Holiday_Calendar_US)),IF(ISNUMBER(_xll.BDH(config!$G$4,R$1,$A611,$A611)),_xll.BDH(config!$G$4,R$1,$A611,$A611),_xll.BDH(config!$G$5,R$1,$A611,$A611))))</f>
        <v/>
      </c>
      <c r="S611" s="8" t="str">
        <f>IF($A611="","",IF(ISNUMBER(FIND("IMPVOL",S$1)),_xll.BDH(config!$G$4,S$1,WORKDAY($A611,-1,config_Holiday_Calendar_US),WORKDAY($A611,-1,config_Holiday_Calendar_US)),IF(ISNUMBER(_xll.BDH(config!$G$4,S$1,$A611,$A611)),_xll.BDH(config!$G$4,S$1,$A611,$A611),_xll.BDH(config!$G$5,S$1,$A611,$A611))))</f>
        <v/>
      </c>
      <c r="T611" s="8" t="str">
        <f>IF($A611="","",IF(ISNUMBER(FIND("IMPVOL",T$1)),_xll.BDH(config!$G$4,T$1,WORKDAY($A611,-1,config_Holiday_Calendar_US),WORKDAY($A611,-1,config_Holiday_Calendar_US)),IF(ISNUMBER(_xll.BDH(config!$G$4,T$1,$A611,$A611)),_xll.BDH(config!$G$4,T$1,$A611,$A611),_xll.BDH(config!$G$5,T$1,$A611,$A611))))</f>
        <v/>
      </c>
      <c r="U611" s="8" t="str">
        <f>IF($A611="","",IF(ISNUMBER(FIND("IMPVOL",U$1)),_xll.BDH(config!$G$4,U$1,WORKDAY($A611,-1,config_Holiday_Calendar_US),WORKDAY($A611,-1,config_Holiday_Calendar_US)),IF(ISNUMBER(_xll.BDH(config!$G$4,U$1,$A611,$A611)),_xll.BDH(config!$G$4,U$1,$A611,$A611),_xll.BDH(config!$G$5,U$1,$A611,$A611))))</f>
        <v/>
      </c>
      <c r="V611" s="8" t="str">
        <f>IF($A611="","",IF(ISNUMBER(FIND("IMPVOL",V$1)),_xll.BDH(config!$G$4,V$1,WORKDAY($A611,-1,config_Holiday_Calendar_US),WORKDAY($A611,-1,config_Holiday_Calendar_US)),IF(ISNUMBER(_xll.BDH(config!$G$4,V$1,$A611,$A611)),_xll.BDH(config!$G$4,V$1,$A611,$A611),_xll.BDH(config!$G$5,V$1,$A611,$A611))))</f>
        <v/>
      </c>
      <c r="W611" s="8" t="str">
        <f>IF($A611="","",IF(ISNUMBER(FIND("IMPVOL",W$1)),_xll.BDH(config!$G$4,W$1,WORKDAY($A611,-1,config_Holiday_Calendar_US),WORKDAY($A611,-1,config_Holiday_Calendar_US)),IF(ISNUMBER(_xll.BDH(config!$G$4,W$1,$A611,$A611)),_xll.BDH(config!$G$4,W$1,$A611,$A611),_xll.BDH(config!$G$5,W$1,$A611,$A611))))</f>
        <v/>
      </c>
    </row>
    <row r="612" spans="1:23" x14ac:dyDescent="0.2">
      <c r="A612" s="9" t="str">
        <f>IF(A611="","",IF(WORKDAY(A611,-1,config_Holiday_Calendar_US)&lt;config!$I$10,"",WORKDAY(A611,-1,config_Holiday_Calendar_US)))</f>
        <v/>
      </c>
      <c r="B612" s="8" t="str">
        <f t="shared" si="9"/>
        <v/>
      </c>
      <c r="C612" s="8" t="str">
        <f>IF(A612="","",_xll.BDH(config!$H$4,C$1,$A612,$A612))</f>
        <v/>
      </c>
      <c r="D612" s="8" t="str">
        <f>IF($A612="","",_xll.BDH(config!$H$4,D$1,$A612,$A612))</f>
        <v/>
      </c>
      <c r="E612" s="8" t="str">
        <f>IF($A612="","",IF(ISNUMBER(FIND("IMPVOL",E$1)),_xll.BDH(config!$G$4,E$1,WORKDAY($A612,-1,config_Holiday_Calendar_US),WORKDAY($A612,-1,config_Holiday_Calendar_US)),IF(ISNUMBER(_xll.BDH(config!$G$4,E$1,$A612,$A612)),_xll.BDH(config!$G$4,E$1,$A612,$A612),_xll.BDH(config!$G$5,E$1,$A612,$A612))))</f>
        <v/>
      </c>
      <c r="F612" s="8" t="str">
        <f>IF($A612="","",IF(ISNUMBER(FIND("IMPVOL",F$1)),_xll.BDH(config!$G$4,F$1,WORKDAY($A612,-1,config_Holiday_Calendar_US),WORKDAY($A612,-1,config_Holiday_Calendar_US)),IF(ISNUMBER(_xll.BDH(config!$G$4,F$1,$A612,$A612)),_xll.BDH(config!$G$4,F$1,$A612,$A612),_xll.BDH(config!$G$5,F$1,$A612,$A612))))</f>
        <v/>
      </c>
      <c r="G612" s="8" t="str">
        <f>IF($A612="","",IF(ISNUMBER(FIND("IMPVOL",G$1)),_xll.BDH(config!$G$4,G$1,WORKDAY($A612,-1,config_Holiday_Calendar_US),WORKDAY($A612,-1,config_Holiday_Calendar_US)),IF(ISNUMBER(_xll.BDH(config!$G$4,G$1,$A612,$A612)),_xll.BDH(config!$G$4,G$1,$A612,$A612),_xll.BDH(config!$G$5,G$1,$A612,$A612))))</f>
        <v/>
      </c>
      <c r="H612" s="8" t="str">
        <f>IF($A612="","",IF(ISNUMBER(FIND("IMPVOL",H$1)),_xll.BDH(config!$G$4,H$1,WORKDAY($A612,-1,config_Holiday_Calendar_US),WORKDAY($A612,-1,config_Holiday_Calendar_US)),IF(ISNUMBER(_xll.BDH(config!$G$4,H$1,$A612,$A612)),_xll.BDH(config!$G$4,H$1,$A612,$A612),_xll.BDH(config!$G$5,H$1,$A612,$A612))))</f>
        <v/>
      </c>
      <c r="I612" s="8" t="str">
        <f>IF($A612="","",IF(ISNUMBER(FIND("IMPVOL",I$1)),_xll.BDH(config!$G$4,I$1,WORKDAY($A612,-1,config_Holiday_Calendar_US),WORKDAY($A612,-1,config_Holiday_Calendar_US)),IF(ISNUMBER(_xll.BDH(config!$G$4,I$1,$A612,$A612)),_xll.BDH(config!$G$4,I$1,$A612,$A612),_xll.BDH(config!$G$5,I$1,$A612,$A612))))</f>
        <v/>
      </c>
      <c r="J612" s="8" t="str">
        <f>IF($A612="","",IF(ISNUMBER(FIND("IMPVOL",J$1)),_xll.BDH(config!$G$4,J$1,WORKDAY($A612,-1,config_Holiday_Calendar_US),WORKDAY($A612,-1,config_Holiday_Calendar_US)),IF(ISNUMBER(_xll.BDH(config!$G$4,J$1,$A612,$A612)),_xll.BDH(config!$G$4,J$1,$A612,$A612),_xll.BDH(config!$G$5,J$1,$A612,$A612))))</f>
        <v/>
      </c>
      <c r="K612" s="8" t="str">
        <f>IF($A612="","",IF(ISNUMBER(FIND("IMPVOL",K$1)),_xll.BDH(config!$G$4,K$1,WORKDAY($A612,-1,config_Holiday_Calendar_US),WORKDAY($A612,-1,config_Holiday_Calendar_US)),IF(ISNUMBER(_xll.BDH(config!$G$4,K$1,$A612,$A612)),_xll.BDH(config!$G$4,K$1,$A612,$A612),_xll.BDH(config!$G$5,K$1,$A612,$A612))))</f>
        <v/>
      </c>
      <c r="L612" s="8" t="str">
        <f>IF($A612="","",IF(ISNUMBER(FIND("IMPVOL",L$1)),_xll.BDH(config!$G$4,L$1,WORKDAY($A612,-1,config_Holiday_Calendar_US),WORKDAY($A612,-1,config_Holiday_Calendar_US)),IF(ISNUMBER(_xll.BDH(config!$G$4,L$1,$A612,$A612)),_xll.BDH(config!$G$4,L$1,$A612,$A612),_xll.BDH(config!$G$5,L$1,$A612,$A612))))</f>
        <v/>
      </c>
      <c r="M612" s="8" t="str">
        <f>IF($A612="","",IF(ISNUMBER(FIND("IMPVOL",M$1)),_xll.BDH(config!$G$4,M$1,WORKDAY($A612,-1,config_Holiday_Calendar_US),WORKDAY($A612,-1,config_Holiday_Calendar_US)),IF(ISNUMBER(_xll.BDH(config!$G$4,M$1,$A612,$A612)),_xll.BDH(config!$G$4,M$1,$A612,$A612),_xll.BDH(config!$G$5,M$1,$A612,$A612))))</f>
        <v/>
      </c>
      <c r="N612" s="8" t="str">
        <f>IF($A612="","",IF(ISNUMBER(FIND("IMPVOL",N$1)),_xll.BDH(config!$G$4,N$1,WORKDAY($A612,-1,config_Holiday_Calendar_US),WORKDAY($A612,-1,config_Holiday_Calendar_US)),IF(ISNUMBER(_xll.BDH(config!$G$4,N$1,$A612,$A612)),_xll.BDH(config!$G$4,N$1,$A612,$A612),_xll.BDH(config!$G$5,N$1,$A612,$A612))))</f>
        <v/>
      </c>
      <c r="O612" s="8" t="str">
        <f>IF($A612="","",IF(ISNUMBER(FIND("IMPVOL",O$1)),_xll.BDH(config!$G$4,O$1,WORKDAY($A612,-1,config_Holiday_Calendar_US),WORKDAY($A612,-1,config_Holiday_Calendar_US)),IF(ISNUMBER(_xll.BDH(config!$G$4,O$1,$A612,$A612)),_xll.BDH(config!$G$4,O$1,$A612,$A612),_xll.BDH(config!$G$5,O$1,$A612,$A612))))</f>
        <v/>
      </c>
      <c r="P612" s="8" t="str">
        <f>IF($A612="","",IF(ISNUMBER(FIND("IMPVOL",P$1)),_xll.BDH(config!$G$4,P$1,WORKDAY($A612,-1,config_Holiday_Calendar_US),WORKDAY($A612,-1,config_Holiday_Calendar_US)),IF(ISNUMBER(_xll.BDH(config!$G$4,P$1,$A612,$A612)),_xll.BDH(config!$G$4,P$1,$A612,$A612),_xll.BDH(config!$G$5,P$1,$A612,$A612))))</f>
        <v/>
      </c>
      <c r="Q612" s="8" t="str">
        <f>IF($A612="","",IF(ISNUMBER(FIND("IMPVOL",Q$1)),_xll.BDH(config!$G$4,Q$1,WORKDAY($A612,-1,config_Holiday_Calendar_US),WORKDAY($A612,-1,config_Holiday_Calendar_US)),IF(ISNUMBER(_xll.BDH(config!$G$4,Q$1,$A612,$A612)),_xll.BDH(config!$G$4,Q$1,$A612,$A612),_xll.BDH(config!$G$5,Q$1,$A612,$A612))))</f>
        <v/>
      </c>
      <c r="R612" s="8" t="str">
        <f>IF($A612="","",IF(ISNUMBER(FIND("IMPVOL",R$1)),_xll.BDH(config!$G$4,R$1,WORKDAY($A612,-1,config_Holiday_Calendar_US),WORKDAY($A612,-1,config_Holiday_Calendar_US)),IF(ISNUMBER(_xll.BDH(config!$G$4,R$1,$A612,$A612)),_xll.BDH(config!$G$4,R$1,$A612,$A612),_xll.BDH(config!$G$5,R$1,$A612,$A612))))</f>
        <v/>
      </c>
      <c r="S612" s="8" t="str">
        <f>IF($A612="","",IF(ISNUMBER(FIND("IMPVOL",S$1)),_xll.BDH(config!$G$4,S$1,WORKDAY($A612,-1,config_Holiday_Calendar_US),WORKDAY($A612,-1,config_Holiday_Calendar_US)),IF(ISNUMBER(_xll.BDH(config!$G$4,S$1,$A612,$A612)),_xll.BDH(config!$G$4,S$1,$A612,$A612),_xll.BDH(config!$G$5,S$1,$A612,$A612))))</f>
        <v/>
      </c>
      <c r="T612" s="8" t="str">
        <f>IF($A612="","",IF(ISNUMBER(FIND("IMPVOL",T$1)),_xll.BDH(config!$G$4,T$1,WORKDAY($A612,-1,config_Holiday_Calendar_US),WORKDAY($A612,-1,config_Holiday_Calendar_US)),IF(ISNUMBER(_xll.BDH(config!$G$4,T$1,$A612,$A612)),_xll.BDH(config!$G$4,T$1,$A612,$A612),_xll.BDH(config!$G$5,T$1,$A612,$A612))))</f>
        <v/>
      </c>
      <c r="U612" s="8" t="str">
        <f>IF($A612="","",IF(ISNUMBER(FIND("IMPVOL",U$1)),_xll.BDH(config!$G$4,U$1,WORKDAY($A612,-1,config_Holiday_Calendar_US),WORKDAY($A612,-1,config_Holiday_Calendar_US)),IF(ISNUMBER(_xll.BDH(config!$G$4,U$1,$A612,$A612)),_xll.BDH(config!$G$4,U$1,$A612,$A612),_xll.BDH(config!$G$5,U$1,$A612,$A612))))</f>
        <v/>
      </c>
      <c r="V612" s="8" t="str">
        <f>IF($A612="","",IF(ISNUMBER(FIND("IMPVOL",V$1)),_xll.BDH(config!$G$4,V$1,WORKDAY($A612,-1,config_Holiday_Calendar_US),WORKDAY($A612,-1,config_Holiday_Calendar_US)),IF(ISNUMBER(_xll.BDH(config!$G$4,V$1,$A612,$A612)),_xll.BDH(config!$G$4,V$1,$A612,$A612),_xll.BDH(config!$G$5,V$1,$A612,$A612))))</f>
        <v/>
      </c>
      <c r="W612" s="8" t="str">
        <f>IF($A612="","",IF(ISNUMBER(FIND("IMPVOL",W$1)),_xll.BDH(config!$G$4,W$1,WORKDAY($A612,-1,config_Holiday_Calendar_US),WORKDAY($A612,-1,config_Holiday_Calendar_US)),IF(ISNUMBER(_xll.BDH(config!$G$4,W$1,$A612,$A612)),_xll.BDH(config!$G$4,W$1,$A612,$A612),_xll.BDH(config!$G$5,W$1,$A612,$A612))))</f>
        <v/>
      </c>
    </row>
    <row r="613" spans="1:23" x14ac:dyDescent="0.2">
      <c r="A613" s="9" t="str">
        <f>IF(A612="","",IF(WORKDAY(A612,-1,config_Holiday_Calendar_US)&lt;config!$I$10,"",WORKDAY(A612,-1,config_Holiday_Calendar_US)))</f>
        <v/>
      </c>
      <c r="B613" s="8" t="str">
        <f t="shared" si="9"/>
        <v/>
      </c>
      <c r="C613" s="8" t="str">
        <f>IF(A613="","",_xll.BDH(config!$H$4,C$1,$A613,$A613))</f>
        <v/>
      </c>
      <c r="D613" s="8" t="str">
        <f>IF($A613="","",_xll.BDH(config!$H$4,D$1,$A613,$A613))</f>
        <v/>
      </c>
      <c r="E613" s="8" t="str">
        <f>IF($A613="","",IF(ISNUMBER(FIND("IMPVOL",E$1)),_xll.BDH(config!$G$4,E$1,WORKDAY($A613,-1,config_Holiday_Calendar_US),WORKDAY($A613,-1,config_Holiday_Calendar_US)),IF(ISNUMBER(_xll.BDH(config!$G$4,E$1,$A613,$A613)),_xll.BDH(config!$G$4,E$1,$A613,$A613),_xll.BDH(config!$G$5,E$1,$A613,$A613))))</f>
        <v/>
      </c>
      <c r="F613" s="8" t="str">
        <f>IF($A613="","",IF(ISNUMBER(FIND("IMPVOL",F$1)),_xll.BDH(config!$G$4,F$1,WORKDAY($A613,-1,config_Holiday_Calendar_US),WORKDAY($A613,-1,config_Holiday_Calendar_US)),IF(ISNUMBER(_xll.BDH(config!$G$4,F$1,$A613,$A613)),_xll.BDH(config!$G$4,F$1,$A613,$A613),_xll.BDH(config!$G$5,F$1,$A613,$A613))))</f>
        <v/>
      </c>
      <c r="G613" s="8" t="str">
        <f>IF($A613="","",IF(ISNUMBER(FIND("IMPVOL",G$1)),_xll.BDH(config!$G$4,G$1,WORKDAY($A613,-1,config_Holiday_Calendar_US),WORKDAY($A613,-1,config_Holiday_Calendar_US)),IF(ISNUMBER(_xll.BDH(config!$G$4,G$1,$A613,$A613)),_xll.BDH(config!$G$4,G$1,$A613,$A613),_xll.BDH(config!$G$5,G$1,$A613,$A613))))</f>
        <v/>
      </c>
      <c r="H613" s="8" t="str">
        <f>IF($A613="","",IF(ISNUMBER(FIND("IMPVOL",H$1)),_xll.BDH(config!$G$4,H$1,WORKDAY($A613,-1,config_Holiday_Calendar_US),WORKDAY($A613,-1,config_Holiday_Calendar_US)),IF(ISNUMBER(_xll.BDH(config!$G$4,H$1,$A613,$A613)),_xll.BDH(config!$G$4,H$1,$A613,$A613),_xll.BDH(config!$G$5,H$1,$A613,$A613))))</f>
        <v/>
      </c>
      <c r="I613" s="8" t="str">
        <f>IF($A613="","",IF(ISNUMBER(FIND("IMPVOL",I$1)),_xll.BDH(config!$G$4,I$1,WORKDAY($A613,-1,config_Holiday_Calendar_US),WORKDAY($A613,-1,config_Holiday_Calendar_US)),IF(ISNUMBER(_xll.BDH(config!$G$4,I$1,$A613,$A613)),_xll.BDH(config!$G$4,I$1,$A613,$A613),_xll.BDH(config!$G$5,I$1,$A613,$A613))))</f>
        <v/>
      </c>
      <c r="J613" s="8" t="str">
        <f>IF($A613="","",IF(ISNUMBER(FIND("IMPVOL",J$1)),_xll.BDH(config!$G$4,J$1,WORKDAY($A613,-1,config_Holiday_Calendar_US),WORKDAY($A613,-1,config_Holiday_Calendar_US)),IF(ISNUMBER(_xll.BDH(config!$G$4,J$1,$A613,$A613)),_xll.BDH(config!$G$4,J$1,$A613,$A613),_xll.BDH(config!$G$5,J$1,$A613,$A613))))</f>
        <v/>
      </c>
      <c r="K613" s="8" t="str">
        <f>IF($A613="","",IF(ISNUMBER(FIND("IMPVOL",K$1)),_xll.BDH(config!$G$4,K$1,WORKDAY($A613,-1,config_Holiday_Calendar_US),WORKDAY($A613,-1,config_Holiday_Calendar_US)),IF(ISNUMBER(_xll.BDH(config!$G$4,K$1,$A613,$A613)),_xll.BDH(config!$G$4,K$1,$A613,$A613),_xll.BDH(config!$G$5,K$1,$A613,$A613))))</f>
        <v/>
      </c>
      <c r="L613" s="8" t="str">
        <f>IF($A613="","",IF(ISNUMBER(FIND("IMPVOL",L$1)),_xll.BDH(config!$G$4,L$1,WORKDAY($A613,-1,config_Holiday_Calendar_US),WORKDAY($A613,-1,config_Holiday_Calendar_US)),IF(ISNUMBER(_xll.BDH(config!$G$4,L$1,$A613,$A613)),_xll.BDH(config!$G$4,L$1,$A613,$A613),_xll.BDH(config!$G$5,L$1,$A613,$A613))))</f>
        <v/>
      </c>
      <c r="M613" s="8" t="str">
        <f>IF($A613="","",IF(ISNUMBER(FIND("IMPVOL",M$1)),_xll.BDH(config!$G$4,M$1,WORKDAY($A613,-1,config_Holiday_Calendar_US),WORKDAY($A613,-1,config_Holiday_Calendar_US)),IF(ISNUMBER(_xll.BDH(config!$G$4,M$1,$A613,$A613)),_xll.BDH(config!$G$4,M$1,$A613,$A613),_xll.BDH(config!$G$5,M$1,$A613,$A613))))</f>
        <v/>
      </c>
      <c r="N613" s="8" t="str">
        <f>IF($A613="","",IF(ISNUMBER(FIND("IMPVOL",N$1)),_xll.BDH(config!$G$4,N$1,WORKDAY($A613,-1,config_Holiday_Calendar_US),WORKDAY($A613,-1,config_Holiday_Calendar_US)),IF(ISNUMBER(_xll.BDH(config!$G$4,N$1,$A613,$A613)),_xll.BDH(config!$G$4,N$1,$A613,$A613),_xll.BDH(config!$G$5,N$1,$A613,$A613))))</f>
        <v/>
      </c>
      <c r="O613" s="8" t="str">
        <f>IF($A613="","",IF(ISNUMBER(FIND("IMPVOL",O$1)),_xll.BDH(config!$G$4,O$1,WORKDAY($A613,-1,config_Holiday_Calendar_US),WORKDAY($A613,-1,config_Holiday_Calendar_US)),IF(ISNUMBER(_xll.BDH(config!$G$4,O$1,$A613,$A613)),_xll.BDH(config!$G$4,O$1,$A613,$A613),_xll.BDH(config!$G$5,O$1,$A613,$A613))))</f>
        <v/>
      </c>
      <c r="P613" s="8" t="str">
        <f>IF($A613="","",IF(ISNUMBER(FIND("IMPVOL",P$1)),_xll.BDH(config!$G$4,P$1,WORKDAY($A613,-1,config_Holiday_Calendar_US),WORKDAY($A613,-1,config_Holiday_Calendar_US)),IF(ISNUMBER(_xll.BDH(config!$G$4,P$1,$A613,$A613)),_xll.BDH(config!$G$4,P$1,$A613,$A613),_xll.BDH(config!$G$5,P$1,$A613,$A613))))</f>
        <v/>
      </c>
      <c r="Q613" s="8" t="str">
        <f>IF($A613="","",IF(ISNUMBER(FIND("IMPVOL",Q$1)),_xll.BDH(config!$G$4,Q$1,WORKDAY($A613,-1,config_Holiday_Calendar_US),WORKDAY($A613,-1,config_Holiday_Calendar_US)),IF(ISNUMBER(_xll.BDH(config!$G$4,Q$1,$A613,$A613)),_xll.BDH(config!$G$4,Q$1,$A613,$A613),_xll.BDH(config!$G$5,Q$1,$A613,$A613))))</f>
        <v/>
      </c>
      <c r="R613" s="8" t="str">
        <f>IF($A613="","",IF(ISNUMBER(FIND("IMPVOL",R$1)),_xll.BDH(config!$G$4,R$1,WORKDAY($A613,-1,config_Holiday_Calendar_US),WORKDAY($A613,-1,config_Holiday_Calendar_US)),IF(ISNUMBER(_xll.BDH(config!$G$4,R$1,$A613,$A613)),_xll.BDH(config!$G$4,R$1,$A613,$A613),_xll.BDH(config!$G$5,R$1,$A613,$A613))))</f>
        <v/>
      </c>
      <c r="S613" s="8" t="str">
        <f>IF($A613="","",IF(ISNUMBER(FIND("IMPVOL",S$1)),_xll.BDH(config!$G$4,S$1,WORKDAY($A613,-1,config_Holiday_Calendar_US),WORKDAY($A613,-1,config_Holiday_Calendar_US)),IF(ISNUMBER(_xll.BDH(config!$G$4,S$1,$A613,$A613)),_xll.BDH(config!$G$4,S$1,$A613,$A613),_xll.BDH(config!$G$5,S$1,$A613,$A613))))</f>
        <v/>
      </c>
      <c r="T613" s="8" t="str">
        <f>IF($A613="","",IF(ISNUMBER(FIND("IMPVOL",T$1)),_xll.BDH(config!$G$4,T$1,WORKDAY($A613,-1,config_Holiday_Calendar_US),WORKDAY($A613,-1,config_Holiday_Calendar_US)),IF(ISNUMBER(_xll.BDH(config!$G$4,T$1,$A613,$A613)),_xll.BDH(config!$G$4,T$1,$A613,$A613),_xll.BDH(config!$G$5,T$1,$A613,$A613))))</f>
        <v/>
      </c>
      <c r="U613" s="8" t="str">
        <f>IF($A613="","",IF(ISNUMBER(FIND("IMPVOL",U$1)),_xll.BDH(config!$G$4,U$1,WORKDAY($A613,-1,config_Holiday_Calendar_US),WORKDAY($A613,-1,config_Holiday_Calendar_US)),IF(ISNUMBER(_xll.BDH(config!$G$4,U$1,$A613,$A613)),_xll.BDH(config!$G$4,U$1,$A613,$A613),_xll.BDH(config!$G$5,U$1,$A613,$A613))))</f>
        <v/>
      </c>
      <c r="V613" s="8" t="str">
        <f>IF($A613="","",IF(ISNUMBER(FIND("IMPVOL",V$1)),_xll.BDH(config!$G$4,V$1,WORKDAY($A613,-1,config_Holiday_Calendar_US),WORKDAY($A613,-1,config_Holiday_Calendar_US)),IF(ISNUMBER(_xll.BDH(config!$G$4,V$1,$A613,$A613)),_xll.BDH(config!$G$4,V$1,$A613,$A613),_xll.BDH(config!$G$5,V$1,$A613,$A613))))</f>
        <v/>
      </c>
      <c r="W613" s="8" t="str">
        <f>IF($A613="","",IF(ISNUMBER(FIND("IMPVOL",W$1)),_xll.BDH(config!$G$4,W$1,WORKDAY($A613,-1,config_Holiday_Calendar_US),WORKDAY($A613,-1,config_Holiday_Calendar_US)),IF(ISNUMBER(_xll.BDH(config!$G$4,W$1,$A613,$A613)),_xll.BDH(config!$G$4,W$1,$A613,$A613),_xll.BDH(config!$G$5,W$1,$A613,$A613))))</f>
        <v/>
      </c>
    </row>
    <row r="614" spans="1:23" x14ac:dyDescent="0.2">
      <c r="A614" s="9" t="str">
        <f>IF(A613="","",IF(WORKDAY(A613,-1,config_Holiday_Calendar_US)&lt;config!$I$10,"",WORKDAY(A613,-1,config_Holiday_Calendar_US)))</f>
        <v/>
      </c>
      <c r="B614" s="8" t="str">
        <f t="shared" si="9"/>
        <v/>
      </c>
      <c r="C614" s="8" t="str">
        <f>IF(A614="","",_xll.BDH(config!$H$4,C$1,$A614,$A614))</f>
        <v/>
      </c>
      <c r="D614" s="8" t="str">
        <f>IF($A614="","",_xll.BDH(config!$H$4,D$1,$A614,$A614))</f>
        <v/>
      </c>
      <c r="E614" s="8" t="str">
        <f>IF($A614="","",IF(ISNUMBER(FIND("IMPVOL",E$1)),_xll.BDH(config!$G$4,E$1,WORKDAY($A614,-1,config_Holiday_Calendar_US),WORKDAY($A614,-1,config_Holiday_Calendar_US)),IF(ISNUMBER(_xll.BDH(config!$G$4,E$1,$A614,$A614)),_xll.BDH(config!$G$4,E$1,$A614,$A614),_xll.BDH(config!$G$5,E$1,$A614,$A614))))</f>
        <v/>
      </c>
      <c r="F614" s="8" t="str">
        <f>IF($A614="","",IF(ISNUMBER(FIND("IMPVOL",F$1)),_xll.BDH(config!$G$4,F$1,WORKDAY($A614,-1,config_Holiday_Calendar_US),WORKDAY($A614,-1,config_Holiday_Calendar_US)),IF(ISNUMBER(_xll.BDH(config!$G$4,F$1,$A614,$A614)),_xll.BDH(config!$G$4,F$1,$A614,$A614),_xll.BDH(config!$G$5,F$1,$A614,$A614))))</f>
        <v/>
      </c>
      <c r="G614" s="8" t="str">
        <f>IF($A614="","",IF(ISNUMBER(FIND("IMPVOL",G$1)),_xll.BDH(config!$G$4,G$1,WORKDAY($A614,-1,config_Holiday_Calendar_US),WORKDAY($A614,-1,config_Holiday_Calendar_US)),IF(ISNUMBER(_xll.BDH(config!$G$4,G$1,$A614,$A614)),_xll.BDH(config!$G$4,G$1,$A614,$A614),_xll.BDH(config!$G$5,G$1,$A614,$A614))))</f>
        <v/>
      </c>
      <c r="H614" s="8" t="str">
        <f>IF($A614="","",IF(ISNUMBER(FIND("IMPVOL",H$1)),_xll.BDH(config!$G$4,H$1,WORKDAY($A614,-1,config_Holiday_Calendar_US),WORKDAY($A614,-1,config_Holiday_Calendar_US)),IF(ISNUMBER(_xll.BDH(config!$G$4,H$1,$A614,$A614)),_xll.BDH(config!$G$4,H$1,$A614,$A614),_xll.BDH(config!$G$5,H$1,$A614,$A614))))</f>
        <v/>
      </c>
      <c r="I614" s="8" t="str">
        <f>IF($A614="","",IF(ISNUMBER(FIND("IMPVOL",I$1)),_xll.BDH(config!$G$4,I$1,WORKDAY($A614,-1,config_Holiday_Calendar_US),WORKDAY($A614,-1,config_Holiday_Calendar_US)),IF(ISNUMBER(_xll.BDH(config!$G$4,I$1,$A614,$A614)),_xll.BDH(config!$G$4,I$1,$A614,$A614),_xll.BDH(config!$G$5,I$1,$A614,$A614))))</f>
        <v/>
      </c>
      <c r="J614" s="8" t="str">
        <f>IF($A614="","",IF(ISNUMBER(FIND("IMPVOL",J$1)),_xll.BDH(config!$G$4,J$1,WORKDAY($A614,-1,config_Holiday_Calendar_US),WORKDAY($A614,-1,config_Holiday_Calendar_US)),IF(ISNUMBER(_xll.BDH(config!$G$4,J$1,$A614,$A614)),_xll.BDH(config!$G$4,J$1,$A614,$A614),_xll.BDH(config!$G$5,J$1,$A614,$A614))))</f>
        <v/>
      </c>
      <c r="K614" s="8" t="str">
        <f>IF($A614="","",IF(ISNUMBER(FIND("IMPVOL",K$1)),_xll.BDH(config!$G$4,K$1,WORKDAY($A614,-1,config_Holiday_Calendar_US),WORKDAY($A614,-1,config_Holiday_Calendar_US)),IF(ISNUMBER(_xll.BDH(config!$G$4,K$1,$A614,$A614)),_xll.BDH(config!$G$4,K$1,$A614,$A614),_xll.BDH(config!$G$5,K$1,$A614,$A614))))</f>
        <v/>
      </c>
      <c r="L614" s="8" t="str">
        <f>IF($A614="","",IF(ISNUMBER(FIND("IMPVOL",L$1)),_xll.BDH(config!$G$4,L$1,WORKDAY($A614,-1,config_Holiday_Calendar_US),WORKDAY($A614,-1,config_Holiday_Calendar_US)),IF(ISNUMBER(_xll.BDH(config!$G$4,L$1,$A614,$A614)),_xll.BDH(config!$G$4,L$1,$A614,$A614),_xll.BDH(config!$G$5,L$1,$A614,$A614))))</f>
        <v/>
      </c>
      <c r="M614" s="8" t="str">
        <f>IF($A614="","",IF(ISNUMBER(FIND("IMPVOL",M$1)),_xll.BDH(config!$G$4,M$1,WORKDAY($A614,-1,config_Holiday_Calendar_US),WORKDAY($A614,-1,config_Holiday_Calendar_US)),IF(ISNUMBER(_xll.BDH(config!$G$4,M$1,$A614,$A614)),_xll.BDH(config!$G$4,M$1,$A614,$A614),_xll.BDH(config!$G$5,M$1,$A614,$A614))))</f>
        <v/>
      </c>
      <c r="N614" s="8" t="str">
        <f>IF($A614="","",IF(ISNUMBER(FIND("IMPVOL",N$1)),_xll.BDH(config!$G$4,N$1,WORKDAY($A614,-1,config_Holiday_Calendar_US),WORKDAY($A614,-1,config_Holiday_Calendar_US)),IF(ISNUMBER(_xll.BDH(config!$G$4,N$1,$A614,$A614)),_xll.BDH(config!$G$4,N$1,$A614,$A614),_xll.BDH(config!$G$5,N$1,$A614,$A614))))</f>
        <v/>
      </c>
      <c r="O614" s="8" t="str">
        <f>IF($A614="","",IF(ISNUMBER(FIND("IMPVOL",O$1)),_xll.BDH(config!$G$4,O$1,WORKDAY($A614,-1,config_Holiday_Calendar_US),WORKDAY($A614,-1,config_Holiday_Calendar_US)),IF(ISNUMBER(_xll.BDH(config!$G$4,O$1,$A614,$A614)),_xll.BDH(config!$G$4,O$1,$A614,$A614),_xll.BDH(config!$G$5,O$1,$A614,$A614))))</f>
        <v/>
      </c>
      <c r="P614" s="8" t="str">
        <f>IF($A614="","",IF(ISNUMBER(FIND("IMPVOL",P$1)),_xll.BDH(config!$G$4,P$1,WORKDAY($A614,-1,config_Holiday_Calendar_US),WORKDAY($A614,-1,config_Holiday_Calendar_US)),IF(ISNUMBER(_xll.BDH(config!$G$4,P$1,$A614,$A614)),_xll.BDH(config!$G$4,P$1,$A614,$A614),_xll.BDH(config!$G$5,P$1,$A614,$A614))))</f>
        <v/>
      </c>
      <c r="Q614" s="8" t="str">
        <f>IF($A614="","",IF(ISNUMBER(FIND("IMPVOL",Q$1)),_xll.BDH(config!$G$4,Q$1,WORKDAY($A614,-1,config_Holiday_Calendar_US),WORKDAY($A614,-1,config_Holiday_Calendar_US)),IF(ISNUMBER(_xll.BDH(config!$G$4,Q$1,$A614,$A614)),_xll.BDH(config!$G$4,Q$1,$A614,$A614),_xll.BDH(config!$G$5,Q$1,$A614,$A614))))</f>
        <v/>
      </c>
      <c r="R614" s="8" t="str">
        <f>IF($A614="","",IF(ISNUMBER(FIND("IMPVOL",R$1)),_xll.BDH(config!$G$4,R$1,WORKDAY($A614,-1,config_Holiday_Calendar_US),WORKDAY($A614,-1,config_Holiday_Calendar_US)),IF(ISNUMBER(_xll.BDH(config!$G$4,R$1,$A614,$A614)),_xll.BDH(config!$G$4,R$1,$A614,$A614),_xll.BDH(config!$G$5,R$1,$A614,$A614))))</f>
        <v/>
      </c>
      <c r="S614" s="8" t="str">
        <f>IF($A614="","",IF(ISNUMBER(FIND("IMPVOL",S$1)),_xll.BDH(config!$G$4,S$1,WORKDAY($A614,-1,config_Holiday_Calendar_US),WORKDAY($A614,-1,config_Holiday_Calendar_US)),IF(ISNUMBER(_xll.BDH(config!$G$4,S$1,$A614,$A614)),_xll.BDH(config!$G$4,S$1,$A614,$A614),_xll.BDH(config!$G$5,S$1,$A614,$A614))))</f>
        <v/>
      </c>
      <c r="T614" s="8" t="str">
        <f>IF($A614="","",IF(ISNUMBER(FIND("IMPVOL",T$1)),_xll.BDH(config!$G$4,T$1,WORKDAY($A614,-1,config_Holiday_Calendar_US),WORKDAY($A614,-1,config_Holiday_Calendar_US)),IF(ISNUMBER(_xll.BDH(config!$G$4,T$1,$A614,$A614)),_xll.BDH(config!$G$4,T$1,$A614,$A614),_xll.BDH(config!$G$5,T$1,$A614,$A614))))</f>
        <v/>
      </c>
      <c r="U614" s="8" t="str">
        <f>IF($A614="","",IF(ISNUMBER(FIND("IMPVOL",U$1)),_xll.BDH(config!$G$4,U$1,WORKDAY($A614,-1,config_Holiday_Calendar_US),WORKDAY($A614,-1,config_Holiday_Calendar_US)),IF(ISNUMBER(_xll.BDH(config!$G$4,U$1,$A614,$A614)),_xll.BDH(config!$G$4,U$1,$A614,$A614),_xll.BDH(config!$G$5,U$1,$A614,$A614))))</f>
        <v/>
      </c>
      <c r="V614" s="8" t="str">
        <f>IF($A614="","",IF(ISNUMBER(FIND("IMPVOL",V$1)),_xll.BDH(config!$G$4,V$1,WORKDAY($A614,-1,config_Holiday_Calendar_US),WORKDAY($A614,-1,config_Holiday_Calendar_US)),IF(ISNUMBER(_xll.BDH(config!$G$4,V$1,$A614,$A614)),_xll.BDH(config!$G$4,V$1,$A614,$A614),_xll.BDH(config!$G$5,V$1,$A614,$A614))))</f>
        <v/>
      </c>
      <c r="W614" s="8" t="str">
        <f>IF($A614="","",IF(ISNUMBER(FIND("IMPVOL",W$1)),_xll.BDH(config!$G$4,W$1,WORKDAY($A614,-1,config_Holiday_Calendar_US),WORKDAY($A614,-1,config_Holiday_Calendar_US)),IF(ISNUMBER(_xll.BDH(config!$G$4,W$1,$A614,$A614)),_xll.BDH(config!$G$4,W$1,$A614,$A614),_xll.BDH(config!$G$5,W$1,$A614,$A614))))</f>
        <v/>
      </c>
    </row>
    <row r="615" spans="1:23" x14ac:dyDescent="0.2">
      <c r="A615" s="9" t="str">
        <f>IF(A614="","",IF(WORKDAY(A614,-1,config_Holiday_Calendar_US)&lt;config!$I$10,"",WORKDAY(A614,-1,config_Holiday_Calendar_US)))</f>
        <v/>
      </c>
      <c r="B615" s="8" t="str">
        <f t="shared" si="9"/>
        <v/>
      </c>
      <c r="C615" s="8" t="str">
        <f>IF(A615="","",_xll.BDH(config!$H$4,C$1,$A615,$A615))</f>
        <v/>
      </c>
      <c r="D615" s="8" t="str">
        <f>IF($A615="","",_xll.BDH(config!$H$4,D$1,$A615,$A615))</f>
        <v/>
      </c>
      <c r="E615" s="8" t="str">
        <f>IF($A615="","",IF(ISNUMBER(FIND("IMPVOL",E$1)),_xll.BDH(config!$G$4,E$1,WORKDAY($A615,-1,config_Holiday_Calendar_US),WORKDAY($A615,-1,config_Holiday_Calendar_US)),IF(ISNUMBER(_xll.BDH(config!$G$4,E$1,$A615,$A615)),_xll.BDH(config!$G$4,E$1,$A615,$A615),_xll.BDH(config!$G$5,E$1,$A615,$A615))))</f>
        <v/>
      </c>
      <c r="F615" s="8" t="str">
        <f>IF($A615="","",IF(ISNUMBER(FIND("IMPVOL",F$1)),_xll.BDH(config!$G$4,F$1,WORKDAY($A615,-1,config_Holiday_Calendar_US),WORKDAY($A615,-1,config_Holiday_Calendar_US)),IF(ISNUMBER(_xll.BDH(config!$G$4,F$1,$A615,$A615)),_xll.BDH(config!$G$4,F$1,$A615,$A615),_xll.BDH(config!$G$5,F$1,$A615,$A615))))</f>
        <v/>
      </c>
      <c r="G615" s="8" t="str">
        <f>IF($A615="","",IF(ISNUMBER(FIND("IMPVOL",G$1)),_xll.BDH(config!$G$4,G$1,WORKDAY($A615,-1,config_Holiday_Calendar_US),WORKDAY($A615,-1,config_Holiday_Calendar_US)),IF(ISNUMBER(_xll.BDH(config!$G$4,G$1,$A615,$A615)),_xll.BDH(config!$G$4,G$1,$A615,$A615),_xll.BDH(config!$G$5,G$1,$A615,$A615))))</f>
        <v/>
      </c>
      <c r="H615" s="8" t="str">
        <f>IF($A615="","",IF(ISNUMBER(FIND("IMPVOL",H$1)),_xll.BDH(config!$G$4,H$1,WORKDAY($A615,-1,config_Holiday_Calendar_US),WORKDAY($A615,-1,config_Holiday_Calendar_US)),IF(ISNUMBER(_xll.BDH(config!$G$4,H$1,$A615,$A615)),_xll.BDH(config!$G$4,H$1,$A615,$A615),_xll.BDH(config!$G$5,H$1,$A615,$A615))))</f>
        <v/>
      </c>
      <c r="I615" s="8" t="str">
        <f>IF($A615="","",IF(ISNUMBER(FIND("IMPVOL",I$1)),_xll.BDH(config!$G$4,I$1,WORKDAY($A615,-1,config_Holiday_Calendar_US),WORKDAY($A615,-1,config_Holiday_Calendar_US)),IF(ISNUMBER(_xll.BDH(config!$G$4,I$1,$A615,$A615)),_xll.BDH(config!$G$4,I$1,$A615,$A615),_xll.BDH(config!$G$5,I$1,$A615,$A615))))</f>
        <v/>
      </c>
      <c r="J615" s="8" t="str">
        <f>IF($A615="","",IF(ISNUMBER(FIND("IMPVOL",J$1)),_xll.BDH(config!$G$4,J$1,WORKDAY($A615,-1,config_Holiday_Calendar_US),WORKDAY($A615,-1,config_Holiday_Calendar_US)),IF(ISNUMBER(_xll.BDH(config!$G$4,J$1,$A615,$A615)),_xll.BDH(config!$G$4,J$1,$A615,$A615),_xll.BDH(config!$G$5,J$1,$A615,$A615))))</f>
        <v/>
      </c>
      <c r="K615" s="8" t="str">
        <f>IF($A615="","",IF(ISNUMBER(FIND("IMPVOL",K$1)),_xll.BDH(config!$G$4,K$1,WORKDAY($A615,-1,config_Holiday_Calendar_US),WORKDAY($A615,-1,config_Holiday_Calendar_US)),IF(ISNUMBER(_xll.BDH(config!$G$4,K$1,$A615,$A615)),_xll.BDH(config!$G$4,K$1,$A615,$A615),_xll.BDH(config!$G$5,K$1,$A615,$A615))))</f>
        <v/>
      </c>
      <c r="L615" s="8" t="str">
        <f>IF($A615="","",IF(ISNUMBER(FIND("IMPVOL",L$1)),_xll.BDH(config!$G$4,L$1,WORKDAY($A615,-1,config_Holiday_Calendar_US),WORKDAY($A615,-1,config_Holiday_Calendar_US)),IF(ISNUMBER(_xll.BDH(config!$G$4,L$1,$A615,$A615)),_xll.BDH(config!$G$4,L$1,$A615,$A615),_xll.BDH(config!$G$5,L$1,$A615,$A615))))</f>
        <v/>
      </c>
      <c r="M615" s="8" t="str">
        <f>IF($A615="","",IF(ISNUMBER(FIND("IMPVOL",M$1)),_xll.BDH(config!$G$4,M$1,WORKDAY($A615,-1,config_Holiday_Calendar_US),WORKDAY($A615,-1,config_Holiday_Calendar_US)),IF(ISNUMBER(_xll.BDH(config!$G$4,M$1,$A615,$A615)),_xll.BDH(config!$G$4,M$1,$A615,$A615),_xll.BDH(config!$G$5,M$1,$A615,$A615))))</f>
        <v/>
      </c>
      <c r="N615" s="8" t="str">
        <f>IF($A615="","",IF(ISNUMBER(FIND("IMPVOL",N$1)),_xll.BDH(config!$G$4,N$1,WORKDAY($A615,-1,config_Holiday_Calendar_US),WORKDAY($A615,-1,config_Holiday_Calendar_US)),IF(ISNUMBER(_xll.BDH(config!$G$4,N$1,$A615,$A615)),_xll.BDH(config!$G$4,N$1,$A615,$A615),_xll.BDH(config!$G$5,N$1,$A615,$A615))))</f>
        <v/>
      </c>
      <c r="O615" s="8" t="str">
        <f>IF($A615="","",IF(ISNUMBER(FIND("IMPVOL",O$1)),_xll.BDH(config!$G$4,O$1,WORKDAY($A615,-1,config_Holiday_Calendar_US),WORKDAY($A615,-1,config_Holiday_Calendar_US)),IF(ISNUMBER(_xll.BDH(config!$G$4,O$1,$A615,$A615)),_xll.BDH(config!$G$4,O$1,$A615,$A615),_xll.BDH(config!$G$5,O$1,$A615,$A615))))</f>
        <v/>
      </c>
      <c r="P615" s="8" t="str">
        <f>IF($A615="","",IF(ISNUMBER(FIND("IMPVOL",P$1)),_xll.BDH(config!$G$4,P$1,WORKDAY($A615,-1,config_Holiday_Calendar_US),WORKDAY($A615,-1,config_Holiday_Calendar_US)),IF(ISNUMBER(_xll.BDH(config!$G$4,P$1,$A615,$A615)),_xll.BDH(config!$G$4,P$1,$A615,$A615),_xll.BDH(config!$G$5,P$1,$A615,$A615))))</f>
        <v/>
      </c>
      <c r="Q615" s="8" t="str">
        <f>IF($A615="","",IF(ISNUMBER(FIND("IMPVOL",Q$1)),_xll.BDH(config!$G$4,Q$1,WORKDAY($A615,-1,config_Holiday_Calendar_US),WORKDAY($A615,-1,config_Holiday_Calendar_US)),IF(ISNUMBER(_xll.BDH(config!$G$4,Q$1,$A615,$A615)),_xll.BDH(config!$G$4,Q$1,$A615,$A615),_xll.BDH(config!$G$5,Q$1,$A615,$A615))))</f>
        <v/>
      </c>
      <c r="R615" s="8" t="str">
        <f>IF($A615="","",IF(ISNUMBER(FIND("IMPVOL",R$1)),_xll.BDH(config!$G$4,R$1,WORKDAY($A615,-1,config_Holiday_Calendar_US),WORKDAY($A615,-1,config_Holiday_Calendar_US)),IF(ISNUMBER(_xll.BDH(config!$G$4,R$1,$A615,$A615)),_xll.BDH(config!$G$4,R$1,$A615,$A615),_xll.BDH(config!$G$5,R$1,$A615,$A615))))</f>
        <v/>
      </c>
      <c r="S615" s="8" t="str">
        <f>IF($A615="","",IF(ISNUMBER(FIND("IMPVOL",S$1)),_xll.BDH(config!$G$4,S$1,WORKDAY($A615,-1,config_Holiday_Calendar_US),WORKDAY($A615,-1,config_Holiday_Calendar_US)),IF(ISNUMBER(_xll.BDH(config!$G$4,S$1,$A615,$A615)),_xll.BDH(config!$G$4,S$1,$A615,$A615),_xll.BDH(config!$G$5,S$1,$A615,$A615))))</f>
        <v/>
      </c>
      <c r="T615" s="8" t="str">
        <f>IF($A615="","",IF(ISNUMBER(FIND("IMPVOL",T$1)),_xll.BDH(config!$G$4,T$1,WORKDAY($A615,-1,config_Holiday_Calendar_US),WORKDAY($A615,-1,config_Holiday_Calendar_US)),IF(ISNUMBER(_xll.BDH(config!$G$4,T$1,$A615,$A615)),_xll.BDH(config!$G$4,T$1,$A615,$A615),_xll.BDH(config!$G$5,T$1,$A615,$A615))))</f>
        <v/>
      </c>
      <c r="U615" s="8" t="str">
        <f>IF($A615="","",IF(ISNUMBER(FIND("IMPVOL",U$1)),_xll.BDH(config!$G$4,U$1,WORKDAY($A615,-1,config_Holiday_Calendar_US),WORKDAY($A615,-1,config_Holiday_Calendar_US)),IF(ISNUMBER(_xll.BDH(config!$G$4,U$1,$A615,$A615)),_xll.BDH(config!$G$4,U$1,$A615,$A615),_xll.BDH(config!$G$5,U$1,$A615,$A615))))</f>
        <v/>
      </c>
      <c r="V615" s="8" t="str">
        <f>IF($A615="","",IF(ISNUMBER(FIND("IMPVOL",V$1)),_xll.BDH(config!$G$4,V$1,WORKDAY($A615,-1,config_Holiday_Calendar_US),WORKDAY($A615,-1,config_Holiday_Calendar_US)),IF(ISNUMBER(_xll.BDH(config!$G$4,V$1,$A615,$A615)),_xll.BDH(config!$G$4,V$1,$A615,$A615),_xll.BDH(config!$G$5,V$1,$A615,$A615))))</f>
        <v/>
      </c>
      <c r="W615" s="8" t="str">
        <f>IF($A615="","",IF(ISNUMBER(FIND("IMPVOL",W$1)),_xll.BDH(config!$G$4,W$1,WORKDAY($A615,-1,config_Holiday_Calendar_US),WORKDAY($A615,-1,config_Holiday_Calendar_US)),IF(ISNUMBER(_xll.BDH(config!$G$4,W$1,$A615,$A615)),_xll.BDH(config!$G$4,W$1,$A615,$A615),_xll.BDH(config!$G$5,W$1,$A615,$A615))))</f>
        <v/>
      </c>
    </row>
    <row r="616" spans="1:23" x14ac:dyDescent="0.2">
      <c r="A616" s="9" t="str">
        <f>IF(A615="","",IF(WORKDAY(A615,-1,config_Holiday_Calendar_US)&lt;config!$I$10,"",WORKDAY(A615,-1,config_Holiday_Calendar_US)))</f>
        <v/>
      </c>
      <c r="B616" s="8" t="str">
        <f t="shared" si="9"/>
        <v/>
      </c>
      <c r="C616" s="8" t="str">
        <f>IF(A616="","",_xll.BDH(config!$H$4,C$1,$A616,$A616))</f>
        <v/>
      </c>
      <c r="D616" s="8" t="str">
        <f>IF($A616="","",_xll.BDH(config!$H$4,D$1,$A616,$A616))</f>
        <v/>
      </c>
      <c r="E616" s="8" t="str">
        <f>IF($A616="","",IF(ISNUMBER(FIND("IMPVOL",E$1)),_xll.BDH(config!$G$4,E$1,WORKDAY($A616,-1,config_Holiday_Calendar_US),WORKDAY($A616,-1,config_Holiday_Calendar_US)),IF(ISNUMBER(_xll.BDH(config!$G$4,E$1,$A616,$A616)),_xll.BDH(config!$G$4,E$1,$A616,$A616),_xll.BDH(config!$G$5,E$1,$A616,$A616))))</f>
        <v/>
      </c>
      <c r="F616" s="8" t="str">
        <f>IF($A616="","",IF(ISNUMBER(FIND("IMPVOL",F$1)),_xll.BDH(config!$G$4,F$1,WORKDAY($A616,-1,config_Holiday_Calendar_US),WORKDAY($A616,-1,config_Holiday_Calendar_US)),IF(ISNUMBER(_xll.BDH(config!$G$4,F$1,$A616,$A616)),_xll.BDH(config!$G$4,F$1,$A616,$A616),_xll.BDH(config!$G$5,F$1,$A616,$A616))))</f>
        <v/>
      </c>
      <c r="G616" s="8" t="str">
        <f>IF($A616="","",IF(ISNUMBER(FIND("IMPVOL",G$1)),_xll.BDH(config!$G$4,G$1,WORKDAY($A616,-1,config_Holiday_Calendar_US),WORKDAY($A616,-1,config_Holiday_Calendar_US)),IF(ISNUMBER(_xll.BDH(config!$G$4,G$1,$A616,$A616)),_xll.BDH(config!$G$4,G$1,$A616,$A616),_xll.BDH(config!$G$5,G$1,$A616,$A616))))</f>
        <v/>
      </c>
      <c r="H616" s="8" t="str">
        <f>IF($A616="","",IF(ISNUMBER(FIND("IMPVOL",H$1)),_xll.BDH(config!$G$4,H$1,WORKDAY($A616,-1,config_Holiday_Calendar_US),WORKDAY($A616,-1,config_Holiday_Calendar_US)),IF(ISNUMBER(_xll.BDH(config!$G$4,H$1,$A616,$A616)),_xll.BDH(config!$G$4,H$1,$A616,$A616),_xll.BDH(config!$G$5,H$1,$A616,$A616))))</f>
        <v/>
      </c>
      <c r="I616" s="8" t="str">
        <f>IF($A616="","",IF(ISNUMBER(FIND("IMPVOL",I$1)),_xll.BDH(config!$G$4,I$1,WORKDAY($A616,-1,config_Holiday_Calendar_US),WORKDAY($A616,-1,config_Holiday_Calendar_US)),IF(ISNUMBER(_xll.BDH(config!$G$4,I$1,$A616,$A616)),_xll.BDH(config!$G$4,I$1,$A616,$A616),_xll.BDH(config!$G$5,I$1,$A616,$A616))))</f>
        <v/>
      </c>
      <c r="J616" s="8" t="str">
        <f>IF($A616="","",IF(ISNUMBER(FIND("IMPVOL",J$1)),_xll.BDH(config!$G$4,J$1,WORKDAY($A616,-1,config_Holiday_Calendar_US),WORKDAY($A616,-1,config_Holiday_Calendar_US)),IF(ISNUMBER(_xll.BDH(config!$G$4,J$1,$A616,$A616)),_xll.BDH(config!$G$4,J$1,$A616,$A616),_xll.BDH(config!$G$5,J$1,$A616,$A616))))</f>
        <v/>
      </c>
      <c r="K616" s="8" t="str">
        <f>IF($A616="","",IF(ISNUMBER(FIND("IMPVOL",K$1)),_xll.BDH(config!$G$4,K$1,WORKDAY($A616,-1,config_Holiday_Calendar_US),WORKDAY($A616,-1,config_Holiday_Calendar_US)),IF(ISNUMBER(_xll.BDH(config!$G$4,K$1,$A616,$A616)),_xll.BDH(config!$G$4,K$1,$A616,$A616),_xll.BDH(config!$G$5,K$1,$A616,$A616))))</f>
        <v/>
      </c>
      <c r="L616" s="8" t="str">
        <f>IF($A616="","",IF(ISNUMBER(FIND("IMPVOL",L$1)),_xll.BDH(config!$G$4,L$1,WORKDAY($A616,-1,config_Holiday_Calendar_US),WORKDAY($A616,-1,config_Holiday_Calendar_US)),IF(ISNUMBER(_xll.BDH(config!$G$4,L$1,$A616,$A616)),_xll.BDH(config!$G$4,L$1,$A616,$A616),_xll.BDH(config!$G$5,L$1,$A616,$A616))))</f>
        <v/>
      </c>
      <c r="M616" s="8" t="str">
        <f>IF($A616="","",IF(ISNUMBER(FIND("IMPVOL",M$1)),_xll.BDH(config!$G$4,M$1,WORKDAY($A616,-1,config_Holiday_Calendar_US),WORKDAY($A616,-1,config_Holiday_Calendar_US)),IF(ISNUMBER(_xll.BDH(config!$G$4,M$1,$A616,$A616)),_xll.BDH(config!$G$4,M$1,$A616,$A616),_xll.BDH(config!$G$5,M$1,$A616,$A616))))</f>
        <v/>
      </c>
      <c r="N616" s="8" t="str">
        <f>IF($A616="","",IF(ISNUMBER(FIND("IMPVOL",N$1)),_xll.BDH(config!$G$4,N$1,WORKDAY($A616,-1,config_Holiday_Calendar_US),WORKDAY($A616,-1,config_Holiday_Calendar_US)),IF(ISNUMBER(_xll.BDH(config!$G$4,N$1,$A616,$A616)),_xll.BDH(config!$G$4,N$1,$A616,$A616),_xll.BDH(config!$G$5,N$1,$A616,$A616))))</f>
        <v/>
      </c>
      <c r="O616" s="8" t="str">
        <f>IF($A616="","",IF(ISNUMBER(FIND("IMPVOL",O$1)),_xll.BDH(config!$G$4,O$1,WORKDAY($A616,-1,config_Holiday_Calendar_US),WORKDAY($A616,-1,config_Holiday_Calendar_US)),IF(ISNUMBER(_xll.BDH(config!$G$4,O$1,$A616,$A616)),_xll.BDH(config!$G$4,O$1,$A616,$A616),_xll.BDH(config!$G$5,O$1,$A616,$A616))))</f>
        <v/>
      </c>
      <c r="P616" s="8" t="str">
        <f>IF($A616="","",IF(ISNUMBER(FIND("IMPVOL",P$1)),_xll.BDH(config!$G$4,P$1,WORKDAY($A616,-1,config_Holiday_Calendar_US),WORKDAY($A616,-1,config_Holiday_Calendar_US)),IF(ISNUMBER(_xll.BDH(config!$G$4,P$1,$A616,$A616)),_xll.BDH(config!$G$4,P$1,$A616,$A616),_xll.BDH(config!$G$5,P$1,$A616,$A616))))</f>
        <v/>
      </c>
      <c r="Q616" s="8" t="str">
        <f>IF($A616="","",IF(ISNUMBER(FIND("IMPVOL",Q$1)),_xll.BDH(config!$G$4,Q$1,WORKDAY($A616,-1,config_Holiday_Calendar_US),WORKDAY($A616,-1,config_Holiday_Calendar_US)),IF(ISNUMBER(_xll.BDH(config!$G$4,Q$1,$A616,$A616)),_xll.BDH(config!$G$4,Q$1,$A616,$A616),_xll.BDH(config!$G$5,Q$1,$A616,$A616))))</f>
        <v/>
      </c>
      <c r="R616" s="8" t="str">
        <f>IF($A616="","",IF(ISNUMBER(FIND("IMPVOL",R$1)),_xll.BDH(config!$G$4,R$1,WORKDAY($A616,-1,config_Holiday_Calendar_US),WORKDAY($A616,-1,config_Holiday_Calendar_US)),IF(ISNUMBER(_xll.BDH(config!$G$4,R$1,$A616,$A616)),_xll.BDH(config!$G$4,R$1,$A616,$A616),_xll.BDH(config!$G$5,R$1,$A616,$A616))))</f>
        <v/>
      </c>
      <c r="S616" s="8" t="str">
        <f>IF($A616="","",IF(ISNUMBER(FIND("IMPVOL",S$1)),_xll.BDH(config!$G$4,S$1,WORKDAY($A616,-1,config_Holiday_Calendar_US),WORKDAY($A616,-1,config_Holiday_Calendar_US)),IF(ISNUMBER(_xll.BDH(config!$G$4,S$1,$A616,$A616)),_xll.BDH(config!$G$4,S$1,$A616,$A616),_xll.BDH(config!$G$5,S$1,$A616,$A616))))</f>
        <v/>
      </c>
      <c r="T616" s="8" t="str">
        <f>IF($A616="","",IF(ISNUMBER(FIND("IMPVOL",T$1)),_xll.BDH(config!$G$4,T$1,WORKDAY($A616,-1,config_Holiday_Calendar_US),WORKDAY($A616,-1,config_Holiday_Calendar_US)),IF(ISNUMBER(_xll.BDH(config!$G$4,T$1,$A616,$A616)),_xll.BDH(config!$G$4,T$1,$A616,$A616),_xll.BDH(config!$G$5,T$1,$A616,$A616))))</f>
        <v/>
      </c>
      <c r="U616" s="8" t="str">
        <f>IF($A616="","",IF(ISNUMBER(FIND("IMPVOL",U$1)),_xll.BDH(config!$G$4,U$1,WORKDAY($A616,-1,config_Holiday_Calendar_US),WORKDAY($A616,-1,config_Holiday_Calendar_US)),IF(ISNUMBER(_xll.BDH(config!$G$4,U$1,$A616,$A616)),_xll.BDH(config!$G$4,U$1,$A616,$A616),_xll.BDH(config!$G$5,U$1,$A616,$A616))))</f>
        <v/>
      </c>
      <c r="V616" s="8" t="str">
        <f>IF($A616="","",IF(ISNUMBER(FIND("IMPVOL",V$1)),_xll.BDH(config!$G$4,V$1,WORKDAY($A616,-1,config_Holiday_Calendar_US),WORKDAY($A616,-1,config_Holiday_Calendar_US)),IF(ISNUMBER(_xll.BDH(config!$G$4,V$1,$A616,$A616)),_xll.BDH(config!$G$4,V$1,$A616,$A616),_xll.BDH(config!$G$5,V$1,$A616,$A616))))</f>
        <v/>
      </c>
      <c r="W616" s="8" t="str">
        <f>IF($A616="","",IF(ISNUMBER(FIND("IMPVOL",W$1)),_xll.BDH(config!$G$4,W$1,WORKDAY($A616,-1,config_Holiday_Calendar_US),WORKDAY($A616,-1,config_Holiday_Calendar_US)),IF(ISNUMBER(_xll.BDH(config!$G$4,W$1,$A616,$A616)),_xll.BDH(config!$G$4,W$1,$A616,$A616),_xll.BDH(config!$G$5,W$1,$A616,$A616))))</f>
        <v/>
      </c>
    </row>
    <row r="617" spans="1:23" x14ac:dyDescent="0.2">
      <c r="A617" s="9" t="str">
        <f>IF(A616="","",IF(WORKDAY(A616,-1,config_Holiday_Calendar_US)&lt;config!$I$10,"",WORKDAY(A616,-1,config_Holiday_Calendar_US)))</f>
        <v/>
      </c>
      <c r="B617" s="8" t="str">
        <f t="shared" si="9"/>
        <v/>
      </c>
      <c r="C617" s="8" t="str">
        <f>IF(A617="","",_xll.BDH(config!$H$4,C$1,$A617,$A617))</f>
        <v/>
      </c>
      <c r="D617" s="8" t="str">
        <f>IF($A617="","",_xll.BDH(config!$H$4,D$1,$A617,$A617))</f>
        <v/>
      </c>
      <c r="E617" s="8" t="str">
        <f>IF($A617="","",IF(ISNUMBER(FIND("IMPVOL",E$1)),_xll.BDH(config!$G$4,E$1,WORKDAY($A617,-1,config_Holiday_Calendar_US),WORKDAY($A617,-1,config_Holiday_Calendar_US)),IF(ISNUMBER(_xll.BDH(config!$G$4,E$1,$A617,$A617)),_xll.BDH(config!$G$4,E$1,$A617,$A617),_xll.BDH(config!$G$5,E$1,$A617,$A617))))</f>
        <v/>
      </c>
      <c r="F617" s="8" t="str">
        <f>IF($A617="","",IF(ISNUMBER(FIND("IMPVOL",F$1)),_xll.BDH(config!$G$4,F$1,WORKDAY($A617,-1,config_Holiday_Calendar_US),WORKDAY($A617,-1,config_Holiday_Calendar_US)),IF(ISNUMBER(_xll.BDH(config!$G$4,F$1,$A617,$A617)),_xll.BDH(config!$G$4,F$1,$A617,$A617),_xll.BDH(config!$G$5,F$1,$A617,$A617))))</f>
        <v/>
      </c>
      <c r="G617" s="8" t="str">
        <f>IF($A617="","",IF(ISNUMBER(FIND("IMPVOL",G$1)),_xll.BDH(config!$G$4,G$1,WORKDAY($A617,-1,config_Holiday_Calendar_US),WORKDAY($A617,-1,config_Holiday_Calendar_US)),IF(ISNUMBER(_xll.BDH(config!$G$4,G$1,$A617,$A617)),_xll.BDH(config!$G$4,G$1,$A617,$A617),_xll.BDH(config!$G$5,G$1,$A617,$A617))))</f>
        <v/>
      </c>
      <c r="H617" s="8" t="str">
        <f>IF($A617="","",IF(ISNUMBER(FIND("IMPVOL",H$1)),_xll.BDH(config!$G$4,H$1,WORKDAY($A617,-1,config_Holiday_Calendar_US),WORKDAY($A617,-1,config_Holiday_Calendar_US)),IF(ISNUMBER(_xll.BDH(config!$G$4,H$1,$A617,$A617)),_xll.BDH(config!$G$4,H$1,$A617,$A617),_xll.BDH(config!$G$5,H$1,$A617,$A617))))</f>
        <v/>
      </c>
      <c r="I617" s="8" t="str">
        <f>IF($A617="","",IF(ISNUMBER(FIND("IMPVOL",I$1)),_xll.BDH(config!$G$4,I$1,WORKDAY($A617,-1,config_Holiday_Calendar_US),WORKDAY($A617,-1,config_Holiday_Calendar_US)),IF(ISNUMBER(_xll.BDH(config!$G$4,I$1,$A617,$A617)),_xll.BDH(config!$G$4,I$1,$A617,$A617),_xll.BDH(config!$G$5,I$1,$A617,$A617))))</f>
        <v/>
      </c>
      <c r="J617" s="8" t="str">
        <f>IF($A617="","",IF(ISNUMBER(FIND("IMPVOL",J$1)),_xll.BDH(config!$G$4,J$1,WORKDAY($A617,-1,config_Holiday_Calendar_US),WORKDAY($A617,-1,config_Holiday_Calendar_US)),IF(ISNUMBER(_xll.BDH(config!$G$4,J$1,$A617,$A617)),_xll.BDH(config!$G$4,J$1,$A617,$A617),_xll.BDH(config!$G$5,J$1,$A617,$A617))))</f>
        <v/>
      </c>
      <c r="K617" s="8" t="str">
        <f>IF($A617="","",IF(ISNUMBER(FIND("IMPVOL",K$1)),_xll.BDH(config!$G$4,K$1,WORKDAY($A617,-1,config_Holiday_Calendar_US),WORKDAY($A617,-1,config_Holiday_Calendar_US)),IF(ISNUMBER(_xll.BDH(config!$G$4,K$1,$A617,$A617)),_xll.BDH(config!$G$4,K$1,$A617,$A617),_xll.BDH(config!$G$5,K$1,$A617,$A617))))</f>
        <v/>
      </c>
      <c r="L617" s="8" t="str">
        <f>IF($A617="","",IF(ISNUMBER(FIND("IMPVOL",L$1)),_xll.BDH(config!$G$4,L$1,WORKDAY($A617,-1,config_Holiday_Calendar_US),WORKDAY($A617,-1,config_Holiday_Calendar_US)),IF(ISNUMBER(_xll.BDH(config!$G$4,L$1,$A617,$A617)),_xll.BDH(config!$G$4,L$1,$A617,$A617),_xll.BDH(config!$G$5,L$1,$A617,$A617))))</f>
        <v/>
      </c>
      <c r="M617" s="8" t="str">
        <f>IF($A617="","",IF(ISNUMBER(FIND("IMPVOL",M$1)),_xll.BDH(config!$G$4,M$1,WORKDAY($A617,-1,config_Holiday_Calendar_US),WORKDAY($A617,-1,config_Holiday_Calendar_US)),IF(ISNUMBER(_xll.BDH(config!$G$4,M$1,$A617,$A617)),_xll.BDH(config!$G$4,M$1,$A617,$A617),_xll.BDH(config!$G$5,M$1,$A617,$A617))))</f>
        <v/>
      </c>
      <c r="N617" s="8" t="str">
        <f>IF($A617="","",IF(ISNUMBER(FIND("IMPVOL",N$1)),_xll.BDH(config!$G$4,N$1,WORKDAY($A617,-1,config_Holiday_Calendar_US),WORKDAY($A617,-1,config_Holiday_Calendar_US)),IF(ISNUMBER(_xll.BDH(config!$G$4,N$1,$A617,$A617)),_xll.BDH(config!$G$4,N$1,$A617,$A617),_xll.BDH(config!$G$5,N$1,$A617,$A617))))</f>
        <v/>
      </c>
      <c r="O617" s="8" t="str">
        <f>IF($A617="","",IF(ISNUMBER(FIND("IMPVOL",O$1)),_xll.BDH(config!$G$4,O$1,WORKDAY($A617,-1,config_Holiday_Calendar_US),WORKDAY($A617,-1,config_Holiday_Calendar_US)),IF(ISNUMBER(_xll.BDH(config!$G$4,O$1,$A617,$A617)),_xll.BDH(config!$G$4,O$1,$A617,$A617),_xll.BDH(config!$G$5,O$1,$A617,$A617))))</f>
        <v/>
      </c>
      <c r="P617" s="8" t="str">
        <f>IF($A617="","",IF(ISNUMBER(FIND("IMPVOL",P$1)),_xll.BDH(config!$G$4,P$1,WORKDAY($A617,-1,config_Holiday_Calendar_US),WORKDAY($A617,-1,config_Holiday_Calendar_US)),IF(ISNUMBER(_xll.BDH(config!$G$4,P$1,$A617,$A617)),_xll.BDH(config!$G$4,P$1,$A617,$A617),_xll.BDH(config!$G$5,P$1,$A617,$A617))))</f>
        <v/>
      </c>
      <c r="Q617" s="8" t="str">
        <f>IF($A617="","",IF(ISNUMBER(FIND("IMPVOL",Q$1)),_xll.BDH(config!$G$4,Q$1,WORKDAY($A617,-1,config_Holiday_Calendar_US),WORKDAY($A617,-1,config_Holiday_Calendar_US)),IF(ISNUMBER(_xll.BDH(config!$G$4,Q$1,$A617,$A617)),_xll.BDH(config!$G$4,Q$1,$A617,$A617),_xll.BDH(config!$G$5,Q$1,$A617,$A617))))</f>
        <v/>
      </c>
      <c r="R617" s="8" t="str">
        <f>IF($A617="","",IF(ISNUMBER(FIND("IMPVOL",R$1)),_xll.BDH(config!$G$4,R$1,WORKDAY($A617,-1,config_Holiday_Calendar_US),WORKDAY($A617,-1,config_Holiday_Calendar_US)),IF(ISNUMBER(_xll.BDH(config!$G$4,R$1,$A617,$A617)),_xll.BDH(config!$G$4,R$1,$A617,$A617),_xll.BDH(config!$G$5,R$1,$A617,$A617))))</f>
        <v/>
      </c>
      <c r="S617" s="8" t="str">
        <f>IF($A617="","",IF(ISNUMBER(FIND("IMPVOL",S$1)),_xll.BDH(config!$G$4,S$1,WORKDAY($A617,-1,config_Holiday_Calendar_US),WORKDAY($A617,-1,config_Holiday_Calendar_US)),IF(ISNUMBER(_xll.BDH(config!$G$4,S$1,$A617,$A617)),_xll.BDH(config!$G$4,S$1,$A617,$A617),_xll.BDH(config!$G$5,S$1,$A617,$A617))))</f>
        <v/>
      </c>
      <c r="T617" s="8" t="str">
        <f>IF($A617="","",IF(ISNUMBER(FIND("IMPVOL",T$1)),_xll.BDH(config!$G$4,T$1,WORKDAY($A617,-1,config_Holiday_Calendar_US),WORKDAY($A617,-1,config_Holiday_Calendar_US)),IF(ISNUMBER(_xll.BDH(config!$G$4,T$1,$A617,$A617)),_xll.BDH(config!$G$4,T$1,$A617,$A617),_xll.BDH(config!$G$5,T$1,$A617,$A617))))</f>
        <v/>
      </c>
      <c r="U617" s="8" t="str">
        <f>IF($A617="","",IF(ISNUMBER(FIND("IMPVOL",U$1)),_xll.BDH(config!$G$4,U$1,WORKDAY($A617,-1,config_Holiday_Calendar_US),WORKDAY($A617,-1,config_Holiday_Calendar_US)),IF(ISNUMBER(_xll.BDH(config!$G$4,U$1,$A617,$A617)),_xll.BDH(config!$G$4,U$1,$A617,$A617),_xll.BDH(config!$G$5,U$1,$A617,$A617))))</f>
        <v/>
      </c>
      <c r="V617" s="8" t="str">
        <f>IF($A617="","",IF(ISNUMBER(FIND("IMPVOL",V$1)),_xll.BDH(config!$G$4,V$1,WORKDAY($A617,-1,config_Holiday_Calendar_US),WORKDAY($A617,-1,config_Holiday_Calendar_US)),IF(ISNUMBER(_xll.BDH(config!$G$4,V$1,$A617,$A617)),_xll.BDH(config!$G$4,V$1,$A617,$A617),_xll.BDH(config!$G$5,V$1,$A617,$A617))))</f>
        <v/>
      </c>
      <c r="W617" s="8" t="str">
        <f>IF($A617="","",IF(ISNUMBER(FIND("IMPVOL",W$1)),_xll.BDH(config!$G$4,W$1,WORKDAY($A617,-1,config_Holiday_Calendar_US),WORKDAY($A617,-1,config_Holiday_Calendar_US)),IF(ISNUMBER(_xll.BDH(config!$G$4,W$1,$A617,$A617)),_xll.BDH(config!$G$4,W$1,$A617,$A617),_xll.BDH(config!$G$5,W$1,$A617,$A617))))</f>
        <v/>
      </c>
    </row>
    <row r="618" spans="1:23" x14ac:dyDescent="0.2">
      <c r="A618" s="9" t="str">
        <f>IF(A617="","",IF(WORKDAY(A617,-1,config_Holiday_Calendar_US)&lt;config!$I$10,"",WORKDAY(A617,-1,config_Holiday_Calendar_US)))</f>
        <v/>
      </c>
      <c r="B618" s="8" t="str">
        <f t="shared" si="9"/>
        <v/>
      </c>
      <c r="C618" s="8" t="str">
        <f>IF(A618="","",_xll.BDH(config!$H$4,C$1,$A618,$A618))</f>
        <v/>
      </c>
      <c r="D618" s="8" t="str">
        <f>IF($A618="","",_xll.BDH(config!$H$4,D$1,$A618,$A618))</f>
        <v/>
      </c>
      <c r="E618" s="8" t="str">
        <f>IF($A618="","",IF(ISNUMBER(FIND("IMPVOL",E$1)),_xll.BDH(config!$G$4,E$1,WORKDAY($A618,-1,config_Holiday_Calendar_US),WORKDAY($A618,-1,config_Holiday_Calendar_US)),IF(ISNUMBER(_xll.BDH(config!$G$4,E$1,$A618,$A618)),_xll.BDH(config!$G$4,E$1,$A618,$A618),_xll.BDH(config!$G$5,E$1,$A618,$A618))))</f>
        <v/>
      </c>
      <c r="F618" s="8" t="str">
        <f>IF($A618="","",IF(ISNUMBER(FIND("IMPVOL",F$1)),_xll.BDH(config!$G$4,F$1,WORKDAY($A618,-1,config_Holiday_Calendar_US),WORKDAY($A618,-1,config_Holiday_Calendar_US)),IF(ISNUMBER(_xll.BDH(config!$G$4,F$1,$A618,$A618)),_xll.BDH(config!$G$4,F$1,$A618,$A618),_xll.BDH(config!$G$5,F$1,$A618,$A618))))</f>
        <v/>
      </c>
      <c r="G618" s="8" t="str">
        <f>IF($A618="","",IF(ISNUMBER(FIND("IMPVOL",G$1)),_xll.BDH(config!$G$4,G$1,WORKDAY($A618,-1,config_Holiday_Calendar_US),WORKDAY($A618,-1,config_Holiday_Calendar_US)),IF(ISNUMBER(_xll.BDH(config!$G$4,G$1,$A618,$A618)),_xll.BDH(config!$G$4,G$1,$A618,$A618),_xll.BDH(config!$G$5,G$1,$A618,$A618))))</f>
        <v/>
      </c>
      <c r="H618" s="8" t="str">
        <f>IF($A618="","",IF(ISNUMBER(FIND("IMPVOL",H$1)),_xll.BDH(config!$G$4,H$1,WORKDAY($A618,-1,config_Holiday_Calendar_US),WORKDAY($A618,-1,config_Holiday_Calendar_US)),IF(ISNUMBER(_xll.BDH(config!$G$4,H$1,$A618,$A618)),_xll.BDH(config!$G$4,H$1,$A618,$A618),_xll.BDH(config!$G$5,H$1,$A618,$A618))))</f>
        <v/>
      </c>
      <c r="I618" s="8" t="str">
        <f>IF($A618="","",IF(ISNUMBER(FIND("IMPVOL",I$1)),_xll.BDH(config!$G$4,I$1,WORKDAY($A618,-1,config_Holiday_Calendar_US),WORKDAY($A618,-1,config_Holiday_Calendar_US)),IF(ISNUMBER(_xll.BDH(config!$G$4,I$1,$A618,$A618)),_xll.BDH(config!$G$4,I$1,$A618,$A618),_xll.BDH(config!$G$5,I$1,$A618,$A618))))</f>
        <v/>
      </c>
      <c r="J618" s="8" t="str">
        <f>IF($A618="","",IF(ISNUMBER(FIND("IMPVOL",J$1)),_xll.BDH(config!$G$4,J$1,WORKDAY($A618,-1,config_Holiday_Calendar_US),WORKDAY($A618,-1,config_Holiday_Calendar_US)),IF(ISNUMBER(_xll.BDH(config!$G$4,J$1,$A618,$A618)),_xll.BDH(config!$G$4,J$1,$A618,$A618),_xll.BDH(config!$G$5,J$1,$A618,$A618))))</f>
        <v/>
      </c>
      <c r="K618" s="8" t="str">
        <f>IF($A618="","",IF(ISNUMBER(FIND("IMPVOL",K$1)),_xll.BDH(config!$G$4,K$1,WORKDAY($A618,-1,config_Holiday_Calendar_US),WORKDAY($A618,-1,config_Holiday_Calendar_US)),IF(ISNUMBER(_xll.BDH(config!$G$4,K$1,$A618,$A618)),_xll.BDH(config!$G$4,K$1,$A618,$A618),_xll.BDH(config!$G$5,K$1,$A618,$A618))))</f>
        <v/>
      </c>
      <c r="L618" s="8" t="str">
        <f>IF($A618="","",IF(ISNUMBER(FIND("IMPVOL",L$1)),_xll.BDH(config!$G$4,L$1,WORKDAY($A618,-1,config_Holiday_Calendar_US),WORKDAY($A618,-1,config_Holiday_Calendar_US)),IF(ISNUMBER(_xll.BDH(config!$G$4,L$1,$A618,$A618)),_xll.BDH(config!$G$4,L$1,$A618,$A618),_xll.BDH(config!$G$5,L$1,$A618,$A618))))</f>
        <v/>
      </c>
      <c r="M618" s="8" t="str">
        <f>IF($A618="","",IF(ISNUMBER(FIND("IMPVOL",M$1)),_xll.BDH(config!$G$4,M$1,WORKDAY($A618,-1,config_Holiday_Calendar_US),WORKDAY($A618,-1,config_Holiday_Calendar_US)),IF(ISNUMBER(_xll.BDH(config!$G$4,M$1,$A618,$A618)),_xll.BDH(config!$G$4,M$1,$A618,$A618),_xll.BDH(config!$G$5,M$1,$A618,$A618))))</f>
        <v/>
      </c>
      <c r="N618" s="8" t="str">
        <f>IF($A618="","",IF(ISNUMBER(FIND("IMPVOL",N$1)),_xll.BDH(config!$G$4,N$1,WORKDAY($A618,-1,config_Holiday_Calendar_US),WORKDAY($A618,-1,config_Holiday_Calendar_US)),IF(ISNUMBER(_xll.BDH(config!$G$4,N$1,$A618,$A618)),_xll.BDH(config!$G$4,N$1,$A618,$A618),_xll.BDH(config!$G$5,N$1,$A618,$A618))))</f>
        <v/>
      </c>
      <c r="O618" s="8" t="str">
        <f>IF($A618="","",IF(ISNUMBER(FIND("IMPVOL",O$1)),_xll.BDH(config!$G$4,O$1,WORKDAY($A618,-1,config_Holiday_Calendar_US),WORKDAY($A618,-1,config_Holiday_Calendar_US)),IF(ISNUMBER(_xll.BDH(config!$G$4,O$1,$A618,$A618)),_xll.BDH(config!$G$4,O$1,$A618,$A618),_xll.BDH(config!$G$5,O$1,$A618,$A618))))</f>
        <v/>
      </c>
      <c r="P618" s="8" t="str">
        <f>IF($A618="","",IF(ISNUMBER(FIND("IMPVOL",P$1)),_xll.BDH(config!$G$4,P$1,WORKDAY($A618,-1,config_Holiday_Calendar_US),WORKDAY($A618,-1,config_Holiday_Calendar_US)),IF(ISNUMBER(_xll.BDH(config!$G$4,P$1,$A618,$A618)),_xll.BDH(config!$G$4,P$1,$A618,$A618),_xll.BDH(config!$G$5,P$1,$A618,$A618))))</f>
        <v/>
      </c>
      <c r="Q618" s="8" t="str">
        <f>IF($A618="","",IF(ISNUMBER(FIND("IMPVOL",Q$1)),_xll.BDH(config!$G$4,Q$1,WORKDAY($A618,-1,config_Holiday_Calendar_US),WORKDAY($A618,-1,config_Holiday_Calendar_US)),IF(ISNUMBER(_xll.BDH(config!$G$4,Q$1,$A618,$A618)),_xll.BDH(config!$G$4,Q$1,$A618,$A618),_xll.BDH(config!$G$5,Q$1,$A618,$A618))))</f>
        <v/>
      </c>
      <c r="R618" s="8" t="str">
        <f>IF($A618="","",IF(ISNUMBER(FIND("IMPVOL",R$1)),_xll.BDH(config!$G$4,R$1,WORKDAY($A618,-1,config_Holiday_Calendar_US),WORKDAY($A618,-1,config_Holiday_Calendar_US)),IF(ISNUMBER(_xll.BDH(config!$G$4,R$1,$A618,$A618)),_xll.BDH(config!$G$4,R$1,$A618,$A618),_xll.BDH(config!$G$5,R$1,$A618,$A618))))</f>
        <v/>
      </c>
      <c r="S618" s="8" t="str">
        <f>IF($A618="","",IF(ISNUMBER(FIND("IMPVOL",S$1)),_xll.BDH(config!$G$4,S$1,WORKDAY($A618,-1,config_Holiday_Calendar_US),WORKDAY($A618,-1,config_Holiday_Calendar_US)),IF(ISNUMBER(_xll.BDH(config!$G$4,S$1,$A618,$A618)),_xll.BDH(config!$G$4,S$1,$A618,$A618),_xll.BDH(config!$G$5,S$1,$A618,$A618))))</f>
        <v/>
      </c>
      <c r="T618" s="8" t="str">
        <f>IF($A618="","",IF(ISNUMBER(FIND("IMPVOL",T$1)),_xll.BDH(config!$G$4,T$1,WORKDAY($A618,-1,config_Holiday_Calendar_US),WORKDAY($A618,-1,config_Holiday_Calendar_US)),IF(ISNUMBER(_xll.BDH(config!$G$4,T$1,$A618,$A618)),_xll.BDH(config!$G$4,T$1,$A618,$A618),_xll.BDH(config!$G$5,T$1,$A618,$A618))))</f>
        <v/>
      </c>
      <c r="U618" s="8" t="str">
        <f>IF($A618="","",IF(ISNUMBER(FIND("IMPVOL",U$1)),_xll.BDH(config!$G$4,U$1,WORKDAY($A618,-1,config_Holiday_Calendar_US),WORKDAY($A618,-1,config_Holiday_Calendar_US)),IF(ISNUMBER(_xll.BDH(config!$G$4,U$1,$A618,$A618)),_xll.BDH(config!$G$4,U$1,$A618,$A618),_xll.BDH(config!$G$5,U$1,$A618,$A618))))</f>
        <v/>
      </c>
      <c r="V618" s="8" t="str">
        <f>IF($A618="","",IF(ISNUMBER(FIND("IMPVOL",V$1)),_xll.BDH(config!$G$4,V$1,WORKDAY($A618,-1,config_Holiday_Calendar_US),WORKDAY($A618,-1,config_Holiday_Calendar_US)),IF(ISNUMBER(_xll.BDH(config!$G$4,V$1,$A618,$A618)),_xll.BDH(config!$G$4,V$1,$A618,$A618),_xll.BDH(config!$G$5,V$1,$A618,$A618))))</f>
        <v/>
      </c>
      <c r="W618" s="8" t="str">
        <f>IF($A618="","",IF(ISNUMBER(FIND("IMPVOL",W$1)),_xll.BDH(config!$G$4,W$1,WORKDAY($A618,-1,config_Holiday_Calendar_US),WORKDAY($A618,-1,config_Holiday_Calendar_US)),IF(ISNUMBER(_xll.BDH(config!$G$4,W$1,$A618,$A618)),_xll.BDH(config!$G$4,W$1,$A618,$A618),_xll.BDH(config!$G$5,W$1,$A618,$A618))))</f>
        <v/>
      </c>
    </row>
    <row r="619" spans="1:23" x14ac:dyDescent="0.2">
      <c r="A619" s="9" t="str">
        <f>IF(A618="","",IF(WORKDAY(A618,-1,config_Holiday_Calendar_US)&lt;config!$I$10,"",WORKDAY(A618,-1,config_Holiday_Calendar_US)))</f>
        <v/>
      </c>
      <c r="B619" s="8" t="str">
        <f t="shared" si="9"/>
        <v/>
      </c>
      <c r="C619" s="8" t="str">
        <f>IF(A619="","",_xll.BDH(config!$H$4,C$1,$A619,$A619))</f>
        <v/>
      </c>
      <c r="D619" s="8" t="str">
        <f>IF($A619="","",_xll.BDH(config!$H$4,D$1,$A619,$A619))</f>
        <v/>
      </c>
      <c r="E619" s="8" t="str">
        <f>IF($A619="","",IF(ISNUMBER(FIND("IMPVOL",E$1)),_xll.BDH(config!$G$4,E$1,WORKDAY($A619,-1,config_Holiday_Calendar_US),WORKDAY($A619,-1,config_Holiday_Calendar_US)),IF(ISNUMBER(_xll.BDH(config!$G$4,E$1,$A619,$A619)),_xll.BDH(config!$G$4,E$1,$A619,$A619),_xll.BDH(config!$G$5,E$1,$A619,$A619))))</f>
        <v/>
      </c>
      <c r="F619" s="8" t="str">
        <f>IF($A619="","",IF(ISNUMBER(FIND("IMPVOL",F$1)),_xll.BDH(config!$G$4,F$1,WORKDAY($A619,-1,config_Holiday_Calendar_US),WORKDAY($A619,-1,config_Holiday_Calendar_US)),IF(ISNUMBER(_xll.BDH(config!$G$4,F$1,$A619,$A619)),_xll.BDH(config!$G$4,F$1,$A619,$A619),_xll.BDH(config!$G$5,F$1,$A619,$A619))))</f>
        <v/>
      </c>
      <c r="G619" s="8" t="str">
        <f>IF($A619="","",IF(ISNUMBER(FIND("IMPVOL",G$1)),_xll.BDH(config!$G$4,G$1,WORKDAY($A619,-1,config_Holiday_Calendar_US),WORKDAY($A619,-1,config_Holiday_Calendar_US)),IF(ISNUMBER(_xll.BDH(config!$G$4,G$1,$A619,$A619)),_xll.BDH(config!$G$4,G$1,$A619,$A619),_xll.BDH(config!$G$5,G$1,$A619,$A619))))</f>
        <v/>
      </c>
      <c r="H619" s="8" t="str">
        <f>IF($A619="","",IF(ISNUMBER(FIND("IMPVOL",H$1)),_xll.BDH(config!$G$4,H$1,WORKDAY($A619,-1,config_Holiday_Calendar_US),WORKDAY($A619,-1,config_Holiday_Calendar_US)),IF(ISNUMBER(_xll.BDH(config!$G$4,H$1,$A619,$A619)),_xll.BDH(config!$G$4,H$1,$A619,$A619),_xll.BDH(config!$G$5,H$1,$A619,$A619))))</f>
        <v/>
      </c>
      <c r="I619" s="8" t="str">
        <f>IF($A619="","",IF(ISNUMBER(FIND("IMPVOL",I$1)),_xll.BDH(config!$G$4,I$1,WORKDAY($A619,-1,config_Holiday_Calendar_US),WORKDAY($A619,-1,config_Holiday_Calendar_US)),IF(ISNUMBER(_xll.BDH(config!$G$4,I$1,$A619,$A619)),_xll.BDH(config!$G$4,I$1,$A619,$A619),_xll.BDH(config!$G$5,I$1,$A619,$A619))))</f>
        <v/>
      </c>
      <c r="J619" s="8" t="str">
        <f>IF($A619="","",IF(ISNUMBER(FIND("IMPVOL",J$1)),_xll.BDH(config!$G$4,J$1,WORKDAY($A619,-1,config_Holiday_Calendar_US),WORKDAY($A619,-1,config_Holiday_Calendar_US)),IF(ISNUMBER(_xll.BDH(config!$G$4,J$1,$A619,$A619)),_xll.BDH(config!$G$4,J$1,$A619,$A619),_xll.BDH(config!$G$5,J$1,$A619,$A619))))</f>
        <v/>
      </c>
      <c r="K619" s="8" t="str">
        <f>IF($A619="","",IF(ISNUMBER(FIND("IMPVOL",K$1)),_xll.BDH(config!$G$4,K$1,WORKDAY($A619,-1,config_Holiday_Calendar_US),WORKDAY($A619,-1,config_Holiday_Calendar_US)),IF(ISNUMBER(_xll.BDH(config!$G$4,K$1,$A619,$A619)),_xll.BDH(config!$G$4,K$1,$A619,$A619),_xll.BDH(config!$G$5,K$1,$A619,$A619))))</f>
        <v/>
      </c>
      <c r="L619" s="8" t="str">
        <f>IF($A619="","",IF(ISNUMBER(FIND("IMPVOL",L$1)),_xll.BDH(config!$G$4,L$1,WORKDAY($A619,-1,config_Holiday_Calendar_US),WORKDAY($A619,-1,config_Holiday_Calendar_US)),IF(ISNUMBER(_xll.BDH(config!$G$4,L$1,$A619,$A619)),_xll.BDH(config!$G$4,L$1,$A619,$A619),_xll.BDH(config!$G$5,L$1,$A619,$A619))))</f>
        <v/>
      </c>
      <c r="M619" s="8" t="str">
        <f>IF($A619="","",IF(ISNUMBER(FIND("IMPVOL",M$1)),_xll.BDH(config!$G$4,M$1,WORKDAY($A619,-1,config_Holiday_Calendar_US),WORKDAY($A619,-1,config_Holiday_Calendar_US)),IF(ISNUMBER(_xll.BDH(config!$G$4,M$1,$A619,$A619)),_xll.BDH(config!$G$4,M$1,$A619,$A619),_xll.BDH(config!$G$5,M$1,$A619,$A619))))</f>
        <v/>
      </c>
      <c r="N619" s="8" t="str">
        <f>IF($A619="","",IF(ISNUMBER(FIND("IMPVOL",N$1)),_xll.BDH(config!$G$4,N$1,WORKDAY($A619,-1,config_Holiday_Calendar_US),WORKDAY($A619,-1,config_Holiday_Calendar_US)),IF(ISNUMBER(_xll.BDH(config!$G$4,N$1,$A619,$A619)),_xll.BDH(config!$G$4,N$1,$A619,$A619),_xll.BDH(config!$G$5,N$1,$A619,$A619))))</f>
        <v/>
      </c>
      <c r="O619" s="8" t="str">
        <f>IF($A619="","",IF(ISNUMBER(FIND("IMPVOL",O$1)),_xll.BDH(config!$G$4,O$1,WORKDAY($A619,-1,config_Holiday_Calendar_US),WORKDAY($A619,-1,config_Holiday_Calendar_US)),IF(ISNUMBER(_xll.BDH(config!$G$4,O$1,$A619,$A619)),_xll.BDH(config!$G$4,O$1,$A619,$A619),_xll.BDH(config!$G$5,O$1,$A619,$A619))))</f>
        <v/>
      </c>
      <c r="P619" s="8" t="str">
        <f>IF($A619="","",IF(ISNUMBER(FIND("IMPVOL",P$1)),_xll.BDH(config!$G$4,P$1,WORKDAY($A619,-1,config_Holiday_Calendar_US),WORKDAY($A619,-1,config_Holiday_Calendar_US)),IF(ISNUMBER(_xll.BDH(config!$G$4,P$1,$A619,$A619)),_xll.BDH(config!$G$4,P$1,$A619,$A619),_xll.BDH(config!$G$5,P$1,$A619,$A619))))</f>
        <v/>
      </c>
      <c r="Q619" s="8" t="str">
        <f>IF($A619="","",IF(ISNUMBER(FIND("IMPVOL",Q$1)),_xll.BDH(config!$G$4,Q$1,WORKDAY($A619,-1,config_Holiday_Calendar_US),WORKDAY($A619,-1,config_Holiday_Calendar_US)),IF(ISNUMBER(_xll.BDH(config!$G$4,Q$1,$A619,$A619)),_xll.BDH(config!$G$4,Q$1,$A619,$A619),_xll.BDH(config!$G$5,Q$1,$A619,$A619))))</f>
        <v/>
      </c>
      <c r="R619" s="8" t="str">
        <f>IF($A619="","",IF(ISNUMBER(FIND("IMPVOL",R$1)),_xll.BDH(config!$G$4,R$1,WORKDAY($A619,-1,config_Holiday_Calendar_US),WORKDAY($A619,-1,config_Holiday_Calendar_US)),IF(ISNUMBER(_xll.BDH(config!$G$4,R$1,$A619,$A619)),_xll.BDH(config!$G$4,R$1,$A619,$A619),_xll.BDH(config!$G$5,R$1,$A619,$A619))))</f>
        <v/>
      </c>
      <c r="S619" s="8" t="str">
        <f>IF($A619="","",IF(ISNUMBER(FIND("IMPVOL",S$1)),_xll.BDH(config!$G$4,S$1,WORKDAY($A619,-1,config_Holiday_Calendar_US),WORKDAY($A619,-1,config_Holiday_Calendar_US)),IF(ISNUMBER(_xll.BDH(config!$G$4,S$1,$A619,$A619)),_xll.BDH(config!$G$4,S$1,$A619,$A619),_xll.BDH(config!$G$5,S$1,$A619,$A619))))</f>
        <v/>
      </c>
      <c r="T619" s="8" t="str">
        <f>IF($A619="","",IF(ISNUMBER(FIND("IMPVOL",T$1)),_xll.BDH(config!$G$4,T$1,WORKDAY($A619,-1,config_Holiday_Calendar_US),WORKDAY($A619,-1,config_Holiday_Calendar_US)),IF(ISNUMBER(_xll.BDH(config!$G$4,T$1,$A619,$A619)),_xll.BDH(config!$G$4,T$1,$A619,$A619),_xll.BDH(config!$G$5,T$1,$A619,$A619))))</f>
        <v/>
      </c>
      <c r="U619" s="8" t="str">
        <f>IF($A619="","",IF(ISNUMBER(FIND("IMPVOL",U$1)),_xll.BDH(config!$G$4,U$1,WORKDAY($A619,-1,config_Holiday_Calendar_US),WORKDAY($A619,-1,config_Holiday_Calendar_US)),IF(ISNUMBER(_xll.BDH(config!$G$4,U$1,$A619,$A619)),_xll.BDH(config!$G$4,U$1,$A619,$A619),_xll.BDH(config!$G$5,U$1,$A619,$A619))))</f>
        <v/>
      </c>
      <c r="V619" s="8" t="str">
        <f>IF($A619="","",IF(ISNUMBER(FIND("IMPVOL",V$1)),_xll.BDH(config!$G$4,V$1,WORKDAY($A619,-1,config_Holiday_Calendar_US),WORKDAY($A619,-1,config_Holiday_Calendar_US)),IF(ISNUMBER(_xll.BDH(config!$G$4,V$1,$A619,$A619)),_xll.BDH(config!$G$4,V$1,$A619,$A619),_xll.BDH(config!$G$5,V$1,$A619,$A619))))</f>
        <v/>
      </c>
      <c r="W619" s="8" t="str">
        <f>IF($A619="","",IF(ISNUMBER(FIND("IMPVOL",W$1)),_xll.BDH(config!$G$4,W$1,WORKDAY($A619,-1,config_Holiday_Calendar_US),WORKDAY($A619,-1,config_Holiday_Calendar_US)),IF(ISNUMBER(_xll.BDH(config!$G$4,W$1,$A619,$A619)),_xll.BDH(config!$G$4,W$1,$A619,$A619),_xll.BDH(config!$G$5,W$1,$A619,$A619))))</f>
        <v/>
      </c>
    </row>
    <row r="620" spans="1:23" x14ac:dyDescent="0.2">
      <c r="A620" s="9" t="str">
        <f>IF(A619="","",IF(WORKDAY(A619,-1,config_Holiday_Calendar_US)&lt;config!$I$10,"",WORKDAY(A619,-1,config_Holiday_Calendar_US)))</f>
        <v/>
      </c>
      <c r="B620" s="8" t="str">
        <f t="shared" si="9"/>
        <v/>
      </c>
      <c r="C620" s="8" t="str">
        <f>IF(A620="","",_xll.BDH(config!$H$4,C$1,$A620,$A620))</f>
        <v/>
      </c>
      <c r="D620" s="8" t="str">
        <f>IF($A620="","",_xll.BDH(config!$H$4,D$1,$A620,$A620))</f>
        <v/>
      </c>
      <c r="E620" s="8" t="str">
        <f>IF($A620="","",IF(ISNUMBER(FIND("IMPVOL",E$1)),_xll.BDH(config!$G$4,E$1,WORKDAY($A620,-1,config_Holiday_Calendar_US),WORKDAY($A620,-1,config_Holiday_Calendar_US)),IF(ISNUMBER(_xll.BDH(config!$G$4,E$1,$A620,$A620)),_xll.BDH(config!$G$4,E$1,$A620,$A620),_xll.BDH(config!$G$5,E$1,$A620,$A620))))</f>
        <v/>
      </c>
      <c r="F620" s="8" t="str">
        <f>IF($A620="","",IF(ISNUMBER(FIND("IMPVOL",F$1)),_xll.BDH(config!$G$4,F$1,WORKDAY($A620,-1,config_Holiday_Calendar_US),WORKDAY($A620,-1,config_Holiday_Calendar_US)),IF(ISNUMBER(_xll.BDH(config!$G$4,F$1,$A620,$A620)),_xll.BDH(config!$G$4,F$1,$A620,$A620),_xll.BDH(config!$G$5,F$1,$A620,$A620))))</f>
        <v/>
      </c>
      <c r="G620" s="8" t="str">
        <f>IF($A620="","",IF(ISNUMBER(FIND("IMPVOL",G$1)),_xll.BDH(config!$G$4,G$1,WORKDAY($A620,-1,config_Holiday_Calendar_US),WORKDAY($A620,-1,config_Holiday_Calendar_US)),IF(ISNUMBER(_xll.BDH(config!$G$4,G$1,$A620,$A620)),_xll.BDH(config!$G$4,G$1,$A620,$A620),_xll.BDH(config!$G$5,G$1,$A620,$A620))))</f>
        <v/>
      </c>
      <c r="H620" s="8" t="str">
        <f>IF($A620="","",IF(ISNUMBER(FIND("IMPVOL",H$1)),_xll.BDH(config!$G$4,H$1,WORKDAY($A620,-1,config_Holiday_Calendar_US),WORKDAY($A620,-1,config_Holiday_Calendar_US)),IF(ISNUMBER(_xll.BDH(config!$G$4,H$1,$A620,$A620)),_xll.BDH(config!$G$4,H$1,$A620,$A620),_xll.BDH(config!$G$5,H$1,$A620,$A620))))</f>
        <v/>
      </c>
      <c r="I620" s="8" t="str">
        <f>IF($A620="","",IF(ISNUMBER(FIND("IMPVOL",I$1)),_xll.BDH(config!$G$4,I$1,WORKDAY($A620,-1,config_Holiday_Calendar_US),WORKDAY($A620,-1,config_Holiday_Calendar_US)),IF(ISNUMBER(_xll.BDH(config!$G$4,I$1,$A620,$A620)),_xll.BDH(config!$G$4,I$1,$A620,$A620),_xll.BDH(config!$G$5,I$1,$A620,$A620))))</f>
        <v/>
      </c>
      <c r="J620" s="8" t="str">
        <f>IF($A620="","",IF(ISNUMBER(FIND("IMPVOL",J$1)),_xll.BDH(config!$G$4,J$1,WORKDAY($A620,-1,config_Holiday_Calendar_US),WORKDAY($A620,-1,config_Holiday_Calendar_US)),IF(ISNUMBER(_xll.BDH(config!$G$4,J$1,$A620,$A620)),_xll.BDH(config!$G$4,J$1,$A620,$A620),_xll.BDH(config!$G$5,J$1,$A620,$A620))))</f>
        <v/>
      </c>
      <c r="K620" s="8" t="str">
        <f>IF($A620="","",IF(ISNUMBER(FIND("IMPVOL",K$1)),_xll.BDH(config!$G$4,K$1,WORKDAY($A620,-1,config_Holiday_Calendar_US),WORKDAY($A620,-1,config_Holiday_Calendar_US)),IF(ISNUMBER(_xll.BDH(config!$G$4,K$1,$A620,$A620)),_xll.BDH(config!$G$4,K$1,$A620,$A620),_xll.BDH(config!$G$5,K$1,$A620,$A620))))</f>
        <v/>
      </c>
      <c r="L620" s="8" t="str">
        <f>IF($A620="","",IF(ISNUMBER(FIND("IMPVOL",L$1)),_xll.BDH(config!$G$4,L$1,WORKDAY($A620,-1,config_Holiday_Calendar_US),WORKDAY($A620,-1,config_Holiday_Calendar_US)),IF(ISNUMBER(_xll.BDH(config!$G$4,L$1,$A620,$A620)),_xll.BDH(config!$G$4,L$1,$A620,$A620),_xll.BDH(config!$G$5,L$1,$A620,$A620))))</f>
        <v/>
      </c>
      <c r="M620" s="8" t="str">
        <f>IF($A620="","",IF(ISNUMBER(FIND("IMPVOL",M$1)),_xll.BDH(config!$G$4,M$1,WORKDAY($A620,-1,config_Holiday_Calendar_US),WORKDAY($A620,-1,config_Holiday_Calendar_US)),IF(ISNUMBER(_xll.BDH(config!$G$4,M$1,$A620,$A620)),_xll.BDH(config!$G$4,M$1,$A620,$A620),_xll.BDH(config!$G$5,M$1,$A620,$A620))))</f>
        <v/>
      </c>
      <c r="N620" s="8" t="str">
        <f>IF($A620="","",IF(ISNUMBER(FIND("IMPVOL",N$1)),_xll.BDH(config!$G$4,N$1,WORKDAY($A620,-1,config_Holiday_Calendar_US),WORKDAY($A620,-1,config_Holiday_Calendar_US)),IF(ISNUMBER(_xll.BDH(config!$G$4,N$1,$A620,$A620)),_xll.BDH(config!$G$4,N$1,$A620,$A620),_xll.BDH(config!$G$5,N$1,$A620,$A620))))</f>
        <v/>
      </c>
      <c r="O620" s="8" t="str">
        <f>IF($A620="","",IF(ISNUMBER(FIND("IMPVOL",O$1)),_xll.BDH(config!$G$4,O$1,WORKDAY($A620,-1,config_Holiday_Calendar_US),WORKDAY($A620,-1,config_Holiday_Calendar_US)),IF(ISNUMBER(_xll.BDH(config!$G$4,O$1,$A620,$A620)),_xll.BDH(config!$G$4,O$1,$A620,$A620),_xll.BDH(config!$G$5,O$1,$A620,$A620))))</f>
        <v/>
      </c>
      <c r="P620" s="8" t="str">
        <f>IF($A620="","",IF(ISNUMBER(FIND("IMPVOL",P$1)),_xll.BDH(config!$G$4,P$1,WORKDAY($A620,-1,config_Holiday_Calendar_US),WORKDAY($A620,-1,config_Holiday_Calendar_US)),IF(ISNUMBER(_xll.BDH(config!$G$4,P$1,$A620,$A620)),_xll.BDH(config!$G$4,P$1,$A620,$A620),_xll.BDH(config!$G$5,P$1,$A620,$A620))))</f>
        <v/>
      </c>
      <c r="Q620" s="8" t="str">
        <f>IF($A620="","",IF(ISNUMBER(FIND("IMPVOL",Q$1)),_xll.BDH(config!$G$4,Q$1,WORKDAY($A620,-1,config_Holiday_Calendar_US),WORKDAY($A620,-1,config_Holiday_Calendar_US)),IF(ISNUMBER(_xll.BDH(config!$G$4,Q$1,$A620,$A620)),_xll.BDH(config!$G$4,Q$1,$A620,$A620),_xll.BDH(config!$G$5,Q$1,$A620,$A620))))</f>
        <v/>
      </c>
      <c r="R620" s="8" t="str">
        <f>IF($A620="","",IF(ISNUMBER(FIND("IMPVOL",R$1)),_xll.BDH(config!$G$4,R$1,WORKDAY($A620,-1,config_Holiday_Calendar_US),WORKDAY($A620,-1,config_Holiday_Calendar_US)),IF(ISNUMBER(_xll.BDH(config!$G$4,R$1,$A620,$A620)),_xll.BDH(config!$G$4,R$1,$A620,$A620),_xll.BDH(config!$G$5,R$1,$A620,$A620))))</f>
        <v/>
      </c>
      <c r="S620" s="8" t="str">
        <f>IF($A620="","",IF(ISNUMBER(FIND("IMPVOL",S$1)),_xll.BDH(config!$G$4,S$1,WORKDAY($A620,-1,config_Holiday_Calendar_US),WORKDAY($A620,-1,config_Holiday_Calendar_US)),IF(ISNUMBER(_xll.BDH(config!$G$4,S$1,$A620,$A620)),_xll.BDH(config!$G$4,S$1,$A620,$A620),_xll.BDH(config!$G$5,S$1,$A620,$A620))))</f>
        <v/>
      </c>
      <c r="T620" s="8" t="str">
        <f>IF($A620="","",IF(ISNUMBER(FIND("IMPVOL",T$1)),_xll.BDH(config!$G$4,T$1,WORKDAY($A620,-1,config_Holiday_Calendar_US),WORKDAY($A620,-1,config_Holiday_Calendar_US)),IF(ISNUMBER(_xll.BDH(config!$G$4,T$1,$A620,$A620)),_xll.BDH(config!$G$4,T$1,$A620,$A620),_xll.BDH(config!$G$5,T$1,$A620,$A620))))</f>
        <v/>
      </c>
      <c r="U620" s="8" t="str">
        <f>IF($A620="","",IF(ISNUMBER(FIND("IMPVOL",U$1)),_xll.BDH(config!$G$4,U$1,WORKDAY($A620,-1,config_Holiday_Calendar_US),WORKDAY($A620,-1,config_Holiday_Calendar_US)),IF(ISNUMBER(_xll.BDH(config!$G$4,U$1,$A620,$A620)),_xll.BDH(config!$G$4,U$1,$A620,$A620),_xll.BDH(config!$G$5,U$1,$A620,$A620))))</f>
        <v/>
      </c>
      <c r="V620" s="8" t="str">
        <f>IF($A620="","",IF(ISNUMBER(FIND("IMPVOL",V$1)),_xll.BDH(config!$G$4,V$1,WORKDAY($A620,-1,config_Holiday_Calendar_US),WORKDAY($A620,-1,config_Holiday_Calendar_US)),IF(ISNUMBER(_xll.BDH(config!$G$4,V$1,$A620,$A620)),_xll.BDH(config!$G$4,V$1,$A620,$A620),_xll.BDH(config!$G$5,V$1,$A620,$A620))))</f>
        <v/>
      </c>
      <c r="W620" s="8" t="str">
        <f>IF($A620="","",IF(ISNUMBER(FIND("IMPVOL",W$1)),_xll.BDH(config!$G$4,W$1,WORKDAY($A620,-1,config_Holiday_Calendar_US),WORKDAY($A620,-1,config_Holiday_Calendar_US)),IF(ISNUMBER(_xll.BDH(config!$G$4,W$1,$A620,$A620)),_xll.BDH(config!$G$4,W$1,$A620,$A620),_xll.BDH(config!$G$5,W$1,$A620,$A620))))</f>
        <v/>
      </c>
    </row>
    <row r="621" spans="1:23" x14ac:dyDescent="0.2">
      <c r="A621" s="9" t="str">
        <f>IF(A620="","",IF(WORKDAY(A620,-1,config_Holiday_Calendar_US)&lt;config!$I$10,"",WORKDAY(A620,-1,config_Holiday_Calendar_US)))</f>
        <v/>
      </c>
      <c r="B621" s="8" t="str">
        <f t="shared" si="9"/>
        <v/>
      </c>
      <c r="C621" s="8" t="str">
        <f>IF(A621="","",_xll.BDH(config!$H$4,C$1,$A621,$A621))</f>
        <v/>
      </c>
      <c r="D621" s="8" t="str">
        <f>IF($A621="","",_xll.BDH(config!$H$4,D$1,$A621,$A621))</f>
        <v/>
      </c>
      <c r="E621" s="8" t="str">
        <f>IF($A621="","",IF(ISNUMBER(FIND("IMPVOL",E$1)),_xll.BDH(config!$G$4,E$1,WORKDAY($A621,-1,config_Holiday_Calendar_US),WORKDAY($A621,-1,config_Holiday_Calendar_US)),IF(ISNUMBER(_xll.BDH(config!$G$4,E$1,$A621,$A621)),_xll.BDH(config!$G$4,E$1,$A621,$A621),_xll.BDH(config!$G$5,E$1,$A621,$A621))))</f>
        <v/>
      </c>
      <c r="F621" s="8" t="str">
        <f>IF($A621="","",IF(ISNUMBER(FIND("IMPVOL",F$1)),_xll.BDH(config!$G$4,F$1,WORKDAY($A621,-1,config_Holiday_Calendar_US),WORKDAY($A621,-1,config_Holiday_Calendar_US)),IF(ISNUMBER(_xll.BDH(config!$G$4,F$1,$A621,$A621)),_xll.BDH(config!$G$4,F$1,$A621,$A621),_xll.BDH(config!$G$5,F$1,$A621,$A621))))</f>
        <v/>
      </c>
      <c r="G621" s="8" t="str">
        <f>IF($A621="","",IF(ISNUMBER(FIND("IMPVOL",G$1)),_xll.BDH(config!$G$4,G$1,WORKDAY($A621,-1,config_Holiday_Calendar_US),WORKDAY($A621,-1,config_Holiday_Calendar_US)),IF(ISNUMBER(_xll.BDH(config!$G$4,G$1,$A621,$A621)),_xll.BDH(config!$G$4,G$1,$A621,$A621),_xll.BDH(config!$G$5,G$1,$A621,$A621))))</f>
        <v/>
      </c>
      <c r="H621" s="8" t="str">
        <f>IF($A621="","",IF(ISNUMBER(FIND("IMPVOL",H$1)),_xll.BDH(config!$G$4,H$1,WORKDAY($A621,-1,config_Holiday_Calendar_US),WORKDAY($A621,-1,config_Holiday_Calendar_US)),IF(ISNUMBER(_xll.BDH(config!$G$4,H$1,$A621,$A621)),_xll.BDH(config!$G$4,H$1,$A621,$A621),_xll.BDH(config!$G$5,H$1,$A621,$A621))))</f>
        <v/>
      </c>
      <c r="I621" s="8" t="str">
        <f>IF($A621="","",IF(ISNUMBER(FIND("IMPVOL",I$1)),_xll.BDH(config!$G$4,I$1,WORKDAY($A621,-1,config_Holiday_Calendar_US),WORKDAY($A621,-1,config_Holiday_Calendar_US)),IF(ISNUMBER(_xll.BDH(config!$G$4,I$1,$A621,$A621)),_xll.BDH(config!$G$4,I$1,$A621,$A621),_xll.BDH(config!$G$5,I$1,$A621,$A621))))</f>
        <v/>
      </c>
      <c r="J621" s="8" t="str">
        <f>IF($A621="","",IF(ISNUMBER(FIND("IMPVOL",J$1)),_xll.BDH(config!$G$4,J$1,WORKDAY($A621,-1,config_Holiday_Calendar_US),WORKDAY($A621,-1,config_Holiday_Calendar_US)),IF(ISNUMBER(_xll.BDH(config!$G$4,J$1,$A621,$A621)),_xll.BDH(config!$G$4,J$1,$A621,$A621),_xll.BDH(config!$G$5,J$1,$A621,$A621))))</f>
        <v/>
      </c>
      <c r="K621" s="8" t="str">
        <f>IF($A621="","",IF(ISNUMBER(FIND("IMPVOL",K$1)),_xll.BDH(config!$G$4,K$1,WORKDAY($A621,-1,config_Holiday_Calendar_US),WORKDAY($A621,-1,config_Holiday_Calendar_US)),IF(ISNUMBER(_xll.BDH(config!$G$4,K$1,$A621,$A621)),_xll.BDH(config!$G$4,K$1,$A621,$A621),_xll.BDH(config!$G$5,K$1,$A621,$A621))))</f>
        <v/>
      </c>
      <c r="L621" s="8" t="str">
        <f>IF($A621="","",IF(ISNUMBER(FIND("IMPVOL",L$1)),_xll.BDH(config!$G$4,L$1,WORKDAY($A621,-1,config_Holiday_Calendar_US),WORKDAY($A621,-1,config_Holiday_Calendar_US)),IF(ISNUMBER(_xll.BDH(config!$G$4,L$1,$A621,$A621)),_xll.BDH(config!$G$4,L$1,$A621,$A621),_xll.BDH(config!$G$5,L$1,$A621,$A621))))</f>
        <v/>
      </c>
      <c r="M621" s="8" t="str">
        <f>IF($A621="","",IF(ISNUMBER(FIND("IMPVOL",M$1)),_xll.BDH(config!$G$4,M$1,WORKDAY($A621,-1,config_Holiday_Calendar_US),WORKDAY($A621,-1,config_Holiday_Calendar_US)),IF(ISNUMBER(_xll.BDH(config!$G$4,M$1,$A621,$A621)),_xll.BDH(config!$G$4,M$1,$A621,$A621),_xll.BDH(config!$G$5,M$1,$A621,$A621))))</f>
        <v/>
      </c>
      <c r="N621" s="8" t="str">
        <f>IF($A621="","",IF(ISNUMBER(FIND("IMPVOL",N$1)),_xll.BDH(config!$G$4,N$1,WORKDAY($A621,-1,config_Holiday_Calendar_US),WORKDAY($A621,-1,config_Holiday_Calendar_US)),IF(ISNUMBER(_xll.BDH(config!$G$4,N$1,$A621,$A621)),_xll.BDH(config!$G$4,N$1,$A621,$A621),_xll.BDH(config!$G$5,N$1,$A621,$A621))))</f>
        <v/>
      </c>
      <c r="O621" s="8" t="str">
        <f>IF($A621="","",IF(ISNUMBER(FIND("IMPVOL",O$1)),_xll.BDH(config!$G$4,O$1,WORKDAY($A621,-1,config_Holiday_Calendar_US),WORKDAY($A621,-1,config_Holiday_Calendar_US)),IF(ISNUMBER(_xll.BDH(config!$G$4,O$1,$A621,$A621)),_xll.BDH(config!$G$4,O$1,$A621,$A621),_xll.BDH(config!$G$5,O$1,$A621,$A621))))</f>
        <v/>
      </c>
      <c r="P621" s="8" t="str">
        <f>IF($A621="","",IF(ISNUMBER(FIND("IMPVOL",P$1)),_xll.BDH(config!$G$4,P$1,WORKDAY($A621,-1,config_Holiday_Calendar_US),WORKDAY($A621,-1,config_Holiday_Calendar_US)),IF(ISNUMBER(_xll.BDH(config!$G$4,P$1,$A621,$A621)),_xll.BDH(config!$G$4,P$1,$A621,$A621),_xll.BDH(config!$G$5,P$1,$A621,$A621))))</f>
        <v/>
      </c>
      <c r="Q621" s="8" t="str">
        <f>IF($A621="","",IF(ISNUMBER(FIND("IMPVOL",Q$1)),_xll.BDH(config!$G$4,Q$1,WORKDAY($A621,-1,config_Holiday_Calendar_US),WORKDAY($A621,-1,config_Holiday_Calendar_US)),IF(ISNUMBER(_xll.BDH(config!$G$4,Q$1,$A621,$A621)),_xll.BDH(config!$G$4,Q$1,$A621,$A621),_xll.BDH(config!$G$5,Q$1,$A621,$A621))))</f>
        <v/>
      </c>
      <c r="R621" s="8" t="str">
        <f>IF($A621="","",IF(ISNUMBER(FIND("IMPVOL",R$1)),_xll.BDH(config!$G$4,R$1,WORKDAY($A621,-1,config_Holiday_Calendar_US),WORKDAY($A621,-1,config_Holiday_Calendar_US)),IF(ISNUMBER(_xll.BDH(config!$G$4,R$1,$A621,$A621)),_xll.BDH(config!$G$4,R$1,$A621,$A621),_xll.BDH(config!$G$5,R$1,$A621,$A621))))</f>
        <v/>
      </c>
      <c r="S621" s="8" t="str">
        <f>IF($A621="","",IF(ISNUMBER(FIND("IMPVOL",S$1)),_xll.BDH(config!$G$4,S$1,WORKDAY($A621,-1,config_Holiday_Calendar_US),WORKDAY($A621,-1,config_Holiday_Calendar_US)),IF(ISNUMBER(_xll.BDH(config!$G$4,S$1,$A621,$A621)),_xll.BDH(config!$G$4,S$1,$A621,$A621),_xll.BDH(config!$G$5,S$1,$A621,$A621))))</f>
        <v/>
      </c>
      <c r="T621" s="8" t="str">
        <f>IF($A621="","",IF(ISNUMBER(FIND("IMPVOL",T$1)),_xll.BDH(config!$G$4,T$1,WORKDAY($A621,-1,config_Holiday_Calendar_US),WORKDAY($A621,-1,config_Holiday_Calendar_US)),IF(ISNUMBER(_xll.BDH(config!$G$4,T$1,$A621,$A621)),_xll.BDH(config!$G$4,T$1,$A621,$A621),_xll.BDH(config!$G$5,T$1,$A621,$A621))))</f>
        <v/>
      </c>
      <c r="U621" s="8" t="str">
        <f>IF($A621="","",IF(ISNUMBER(FIND("IMPVOL",U$1)),_xll.BDH(config!$G$4,U$1,WORKDAY($A621,-1,config_Holiday_Calendar_US),WORKDAY($A621,-1,config_Holiday_Calendar_US)),IF(ISNUMBER(_xll.BDH(config!$G$4,U$1,$A621,$A621)),_xll.BDH(config!$G$4,U$1,$A621,$A621),_xll.BDH(config!$G$5,U$1,$A621,$A621))))</f>
        <v/>
      </c>
      <c r="V621" s="8" t="str">
        <f>IF($A621="","",IF(ISNUMBER(FIND("IMPVOL",V$1)),_xll.BDH(config!$G$4,V$1,WORKDAY($A621,-1,config_Holiday_Calendar_US),WORKDAY($A621,-1,config_Holiday_Calendar_US)),IF(ISNUMBER(_xll.BDH(config!$G$4,V$1,$A621,$A621)),_xll.BDH(config!$G$4,V$1,$A621,$A621),_xll.BDH(config!$G$5,V$1,$A621,$A621))))</f>
        <v/>
      </c>
      <c r="W621" s="8" t="str">
        <f>IF($A621="","",IF(ISNUMBER(FIND("IMPVOL",W$1)),_xll.BDH(config!$G$4,W$1,WORKDAY($A621,-1,config_Holiday_Calendar_US),WORKDAY($A621,-1,config_Holiday_Calendar_US)),IF(ISNUMBER(_xll.BDH(config!$G$4,W$1,$A621,$A621)),_xll.BDH(config!$G$4,W$1,$A621,$A621),_xll.BDH(config!$G$5,W$1,$A621,$A621))))</f>
        <v/>
      </c>
    </row>
    <row r="622" spans="1:23" x14ac:dyDescent="0.2">
      <c r="A622" s="9" t="str">
        <f>IF(A621="","",IF(WORKDAY(A621,-1,config_Holiday_Calendar_US)&lt;config!$I$10,"",WORKDAY(A621,-1,config_Holiday_Calendar_US)))</f>
        <v/>
      </c>
      <c r="B622" s="8" t="str">
        <f t="shared" si="9"/>
        <v/>
      </c>
      <c r="C622" s="8" t="str">
        <f>IF(A622="","",_xll.BDH(config!$H$4,C$1,$A622,$A622))</f>
        <v/>
      </c>
      <c r="D622" s="8" t="str">
        <f>IF($A622="","",_xll.BDH(config!$H$4,D$1,$A622,$A622))</f>
        <v/>
      </c>
      <c r="E622" s="8" t="str">
        <f>IF($A622="","",IF(ISNUMBER(FIND("IMPVOL",E$1)),_xll.BDH(config!$G$4,E$1,WORKDAY($A622,-1,config_Holiday_Calendar_US),WORKDAY($A622,-1,config_Holiday_Calendar_US)),IF(ISNUMBER(_xll.BDH(config!$G$4,E$1,$A622,$A622)),_xll.BDH(config!$G$4,E$1,$A622,$A622),_xll.BDH(config!$G$5,E$1,$A622,$A622))))</f>
        <v/>
      </c>
      <c r="F622" s="8" t="str">
        <f>IF($A622="","",IF(ISNUMBER(FIND("IMPVOL",F$1)),_xll.BDH(config!$G$4,F$1,WORKDAY($A622,-1,config_Holiday_Calendar_US),WORKDAY($A622,-1,config_Holiday_Calendar_US)),IF(ISNUMBER(_xll.BDH(config!$G$4,F$1,$A622,$A622)),_xll.BDH(config!$G$4,F$1,$A622,$A622),_xll.BDH(config!$G$5,F$1,$A622,$A622))))</f>
        <v/>
      </c>
      <c r="G622" s="8" t="str">
        <f>IF($A622="","",IF(ISNUMBER(FIND("IMPVOL",G$1)),_xll.BDH(config!$G$4,G$1,WORKDAY($A622,-1,config_Holiday_Calendar_US),WORKDAY($A622,-1,config_Holiday_Calendar_US)),IF(ISNUMBER(_xll.BDH(config!$G$4,G$1,$A622,$A622)),_xll.BDH(config!$G$4,G$1,$A622,$A622),_xll.BDH(config!$G$5,G$1,$A622,$A622))))</f>
        <v/>
      </c>
      <c r="H622" s="8" t="str">
        <f>IF($A622="","",IF(ISNUMBER(FIND("IMPVOL",H$1)),_xll.BDH(config!$G$4,H$1,WORKDAY($A622,-1,config_Holiday_Calendar_US),WORKDAY($A622,-1,config_Holiday_Calendar_US)),IF(ISNUMBER(_xll.BDH(config!$G$4,H$1,$A622,$A622)),_xll.BDH(config!$G$4,H$1,$A622,$A622),_xll.BDH(config!$G$5,H$1,$A622,$A622))))</f>
        <v/>
      </c>
      <c r="I622" s="8" t="str">
        <f>IF($A622="","",IF(ISNUMBER(FIND("IMPVOL",I$1)),_xll.BDH(config!$G$4,I$1,WORKDAY($A622,-1,config_Holiday_Calendar_US),WORKDAY($A622,-1,config_Holiday_Calendar_US)),IF(ISNUMBER(_xll.BDH(config!$G$4,I$1,$A622,$A622)),_xll.BDH(config!$G$4,I$1,$A622,$A622),_xll.BDH(config!$G$5,I$1,$A622,$A622))))</f>
        <v/>
      </c>
      <c r="J622" s="8" t="str">
        <f>IF($A622="","",IF(ISNUMBER(FIND("IMPVOL",J$1)),_xll.BDH(config!$G$4,J$1,WORKDAY($A622,-1,config_Holiday_Calendar_US),WORKDAY($A622,-1,config_Holiday_Calendar_US)),IF(ISNUMBER(_xll.BDH(config!$G$4,J$1,$A622,$A622)),_xll.BDH(config!$G$4,J$1,$A622,$A622),_xll.BDH(config!$G$5,J$1,$A622,$A622))))</f>
        <v/>
      </c>
      <c r="K622" s="8" t="str">
        <f>IF($A622="","",IF(ISNUMBER(FIND("IMPVOL",K$1)),_xll.BDH(config!$G$4,K$1,WORKDAY($A622,-1,config_Holiday_Calendar_US),WORKDAY($A622,-1,config_Holiday_Calendar_US)),IF(ISNUMBER(_xll.BDH(config!$G$4,K$1,$A622,$A622)),_xll.BDH(config!$G$4,K$1,$A622,$A622),_xll.BDH(config!$G$5,K$1,$A622,$A622))))</f>
        <v/>
      </c>
      <c r="L622" s="8" t="str">
        <f>IF($A622="","",IF(ISNUMBER(FIND("IMPVOL",L$1)),_xll.BDH(config!$G$4,L$1,WORKDAY($A622,-1,config_Holiday_Calendar_US),WORKDAY($A622,-1,config_Holiday_Calendar_US)),IF(ISNUMBER(_xll.BDH(config!$G$4,L$1,$A622,$A622)),_xll.BDH(config!$G$4,L$1,$A622,$A622),_xll.BDH(config!$G$5,L$1,$A622,$A622))))</f>
        <v/>
      </c>
      <c r="M622" s="8" t="str">
        <f>IF($A622="","",IF(ISNUMBER(FIND("IMPVOL",M$1)),_xll.BDH(config!$G$4,M$1,WORKDAY($A622,-1,config_Holiday_Calendar_US),WORKDAY($A622,-1,config_Holiday_Calendar_US)),IF(ISNUMBER(_xll.BDH(config!$G$4,M$1,$A622,$A622)),_xll.BDH(config!$G$4,M$1,$A622,$A622),_xll.BDH(config!$G$5,M$1,$A622,$A622))))</f>
        <v/>
      </c>
      <c r="N622" s="8" t="str">
        <f>IF($A622="","",IF(ISNUMBER(FIND("IMPVOL",N$1)),_xll.BDH(config!$G$4,N$1,WORKDAY($A622,-1,config_Holiday_Calendar_US),WORKDAY($A622,-1,config_Holiday_Calendar_US)),IF(ISNUMBER(_xll.BDH(config!$G$4,N$1,$A622,$A622)),_xll.BDH(config!$G$4,N$1,$A622,$A622),_xll.BDH(config!$G$5,N$1,$A622,$A622))))</f>
        <v/>
      </c>
      <c r="O622" s="8" t="str">
        <f>IF($A622="","",IF(ISNUMBER(FIND("IMPVOL",O$1)),_xll.BDH(config!$G$4,O$1,WORKDAY($A622,-1,config_Holiday_Calendar_US),WORKDAY($A622,-1,config_Holiday_Calendar_US)),IF(ISNUMBER(_xll.BDH(config!$G$4,O$1,$A622,$A622)),_xll.BDH(config!$G$4,O$1,$A622,$A622),_xll.BDH(config!$G$5,O$1,$A622,$A622))))</f>
        <v/>
      </c>
      <c r="P622" s="8" t="str">
        <f>IF($A622="","",IF(ISNUMBER(FIND("IMPVOL",P$1)),_xll.BDH(config!$G$4,P$1,WORKDAY($A622,-1,config_Holiday_Calendar_US),WORKDAY($A622,-1,config_Holiday_Calendar_US)),IF(ISNUMBER(_xll.BDH(config!$G$4,P$1,$A622,$A622)),_xll.BDH(config!$G$4,P$1,$A622,$A622),_xll.BDH(config!$G$5,P$1,$A622,$A622))))</f>
        <v/>
      </c>
      <c r="Q622" s="8" t="str">
        <f>IF($A622="","",IF(ISNUMBER(FIND("IMPVOL",Q$1)),_xll.BDH(config!$G$4,Q$1,WORKDAY($A622,-1,config_Holiday_Calendar_US),WORKDAY($A622,-1,config_Holiday_Calendar_US)),IF(ISNUMBER(_xll.BDH(config!$G$4,Q$1,$A622,$A622)),_xll.BDH(config!$G$4,Q$1,$A622,$A622),_xll.BDH(config!$G$5,Q$1,$A622,$A622))))</f>
        <v/>
      </c>
      <c r="R622" s="8" t="str">
        <f>IF($A622="","",IF(ISNUMBER(FIND("IMPVOL",R$1)),_xll.BDH(config!$G$4,R$1,WORKDAY($A622,-1,config_Holiday_Calendar_US),WORKDAY($A622,-1,config_Holiday_Calendar_US)),IF(ISNUMBER(_xll.BDH(config!$G$4,R$1,$A622,$A622)),_xll.BDH(config!$G$4,R$1,$A622,$A622),_xll.BDH(config!$G$5,R$1,$A622,$A622))))</f>
        <v/>
      </c>
      <c r="S622" s="8" t="str">
        <f>IF($A622="","",IF(ISNUMBER(FIND("IMPVOL",S$1)),_xll.BDH(config!$G$4,S$1,WORKDAY($A622,-1,config_Holiday_Calendar_US),WORKDAY($A622,-1,config_Holiday_Calendar_US)),IF(ISNUMBER(_xll.BDH(config!$G$4,S$1,$A622,$A622)),_xll.BDH(config!$G$4,S$1,$A622,$A622),_xll.BDH(config!$G$5,S$1,$A622,$A622))))</f>
        <v/>
      </c>
      <c r="T622" s="8" t="str">
        <f>IF($A622="","",IF(ISNUMBER(FIND("IMPVOL",T$1)),_xll.BDH(config!$G$4,T$1,WORKDAY($A622,-1,config_Holiday_Calendar_US),WORKDAY($A622,-1,config_Holiday_Calendar_US)),IF(ISNUMBER(_xll.BDH(config!$G$4,T$1,$A622,$A622)),_xll.BDH(config!$G$4,T$1,$A622,$A622),_xll.BDH(config!$G$5,T$1,$A622,$A622))))</f>
        <v/>
      </c>
      <c r="U622" s="8" t="str">
        <f>IF($A622="","",IF(ISNUMBER(FIND("IMPVOL",U$1)),_xll.BDH(config!$G$4,U$1,WORKDAY($A622,-1,config_Holiday_Calendar_US),WORKDAY($A622,-1,config_Holiday_Calendar_US)),IF(ISNUMBER(_xll.BDH(config!$G$4,U$1,$A622,$A622)),_xll.BDH(config!$G$4,U$1,$A622,$A622),_xll.BDH(config!$G$5,U$1,$A622,$A622))))</f>
        <v/>
      </c>
      <c r="V622" s="8" t="str">
        <f>IF($A622="","",IF(ISNUMBER(FIND("IMPVOL",V$1)),_xll.BDH(config!$G$4,V$1,WORKDAY($A622,-1,config_Holiday_Calendar_US),WORKDAY($A622,-1,config_Holiday_Calendar_US)),IF(ISNUMBER(_xll.BDH(config!$G$4,V$1,$A622,$A622)),_xll.BDH(config!$G$4,V$1,$A622,$A622),_xll.BDH(config!$G$5,V$1,$A622,$A622))))</f>
        <v/>
      </c>
      <c r="W622" s="8" t="str">
        <f>IF($A622="","",IF(ISNUMBER(FIND("IMPVOL",W$1)),_xll.BDH(config!$G$4,W$1,WORKDAY($A622,-1,config_Holiday_Calendar_US),WORKDAY($A622,-1,config_Holiday_Calendar_US)),IF(ISNUMBER(_xll.BDH(config!$G$4,W$1,$A622,$A622)),_xll.BDH(config!$G$4,W$1,$A622,$A622),_xll.BDH(config!$G$5,W$1,$A622,$A622))))</f>
        <v/>
      </c>
    </row>
    <row r="623" spans="1:23" x14ac:dyDescent="0.2">
      <c r="A623" s="9" t="str">
        <f>IF(A622="","",IF(WORKDAY(A622,-1,config_Holiday_Calendar_US)&lt;config!$I$10,"",WORKDAY(A622,-1,config_Holiday_Calendar_US)))</f>
        <v/>
      </c>
      <c r="B623" s="8" t="str">
        <f t="shared" si="9"/>
        <v/>
      </c>
      <c r="C623" s="8" t="str">
        <f>IF(A623="","",_xll.BDH(config!$H$4,C$1,$A623,$A623))</f>
        <v/>
      </c>
      <c r="D623" s="8" t="str">
        <f>IF($A623="","",_xll.BDH(config!$H$4,D$1,$A623,$A623))</f>
        <v/>
      </c>
      <c r="E623" s="8" t="str">
        <f>IF($A623="","",IF(ISNUMBER(FIND("IMPVOL",E$1)),_xll.BDH(config!$G$4,E$1,WORKDAY($A623,-1,config_Holiday_Calendar_US),WORKDAY($A623,-1,config_Holiday_Calendar_US)),IF(ISNUMBER(_xll.BDH(config!$G$4,E$1,$A623,$A623)),_xll.BDH(config!$G$4,E$1,$A623,$A623),_xll.BDH(config!$G$5,E$1,$A623,$A623))))</f>
        <v/>
      </c>
      <c r="F623" s="8" t="str">
        <f>IF($A623="","",IF(ISNUMBER(FIND("IMPVOL",F$1)),_xll.BDH(config!$G$4,F$1,WORKDAY($A623,-1,config_Holiday_Calendar_US),WORKDAY($A623,-1,config_Holiday_Calendar_US)),IF(ISNUMBER(_xll.BDH(config!$G$4,F$1,$A623,$A623)),_xll.BDH(config!$G$4,F$1,$A623,$A623),_xll.BDH(config!$G$5,F$1,$A623,$A623))))</f>
        <v/>
      </c>
      <c r="G623" s="8" t="str">
        <f>IF($A623="","",IF(ISNUMBER(FIND("IMPVOL",G$1)),_xll.BDH(config!$G$4,G$1,WORKDAY($A623,-1,config_Holiday_Calendar_US),WORKDAY($A623,-1,config_Holiday_Calendar_US)),IF(ISNUMBER(_xll.BDH(config!$G$4,G$1,$A623,$A623)),_xll.BDH(config!$G$4,G$1,$A623,$A623),_xll.BDH(config!$G$5,G$1,$A623,$A623))))</f>
        <v/>
      </c>
      <c r="H623" s="8" t="str">
        <f>IF($A623="","",IF(ISNUMBER(FIND("IMPVOL",H$1)),_xll.BDH(config!$G$4,H$1,WORKDAY($A623,-1,config_Holiday_Calendar_US),WORKDAY($A623,-1,config_Holiday_Calendar_US)),IF(ISNUMBER(_xll.BDH(config!$G$4,H$1,$A623,$A623)),_xll.BDH(config!$G$4,H$1,$A623,$A623),_xll.BDH(config!$G$5,H$1,$A623,$A623))))</f>
        <v/>
      </c>
      <c r="I623" s="8" t="str">
        <f>IF($A623="","",IF(ISNUMBER(FIND("IMPVOL",I$1)),_xll.BDH(config!$G$4,I$1,WORKDAY($A623,-1,config_Holiday_Calendar_US),WORKDAY($A623,-1,config_Holiday_Calendar_US)),IF(ISNUMBER(_xll.BDH(config!$G$4,I$1,$A623,$A623)),_xll.BDH(config!$G$4,I$1,$A623,$A623),_xll.BDH(config!$G$5,I$1,$A623,$A623))))</f>
        <v/>
      </c>
      <c r="J623" s="8" t="str">
        <f>IF($A623="","",IF(ISNUMBER(FIND("IMPVOL",J$1)),_xll.BDH(config!$G$4,J$1,WORKDAY($A623,-1,config_Holiday_Calendar_US),WORKDAY($A623,-1,config_Holiday_Calendar_US)),IF(ISNUMBER(_xll.BDH(config!$G$4,J$1,$A623,$A623)),_xll.BDH(config!$G$4,J$1,$A623,$A623),_xll.BDH(config!$G$5,J$1,$A623,$A623))))</f>
        <v/>
      </c>
      <c r="K623" s="8" t="str">
        <f>IF($A623="","",IF(ISNUMBER(FIND("IMPVOL",K$1)),_xll.BDH(config!$G$4,K$1,WORKDAY($A623,-1,config_Holiday_Calendar_US),WORKDAY($A623,-1,config_Holiday_Calendar_US)),IF(ISNUMBER(_xll.BDH(config!$G$4,K$1,$A623,$A623)),_xll.BDH(config!$G$4,K$1,$A623,$A623),_xll.BDH(config!$G$5,K$1,$A623,$A623))))</f>
        <v/>
      </c>
      <c r="L623" s="8" t="str">
        <f>IF($A623="","",IF(ISNUMBER(FIND("IMPVOL",L$1)),_xll.BDH(config!$G$4,L$1,WORKDAY($A623,-1,config_Holiday_Calendar_US),WORKDAY($A623,-1,config_Holiday_Calendar_US)),IF(ISNUMBER(_xll.BDH(config!$G$4,L$1,$A623,$A623)),_xll.BDH(config!$G$4,L$1,$A623,$A623),_xll.BDH(config!$G$5,L$1,$A623,$A623))))</f>
        <v/>
      </c>
      <c r="M623" s="8" t="str">
        <f>IF($A623="","",IF(ISNUMBER(FIND("IMPVOL",M$1)),_xll.BDH(config!$G$4,M$1,WORKDAY($A623,-1,config_Holiday_Calendar_US),WORKDAY($A623,-1,config_Holiday_Calendar_US)),IF(ISNUMBER(_xll.BDH(config!$G$4,M$1,$A623,$A623)),_xll.BDH(config!$G$4,M$1,$A623,$A623),_xll.BDH(config!$G$5,M$1,$A623,$A623))))</f>
        <v/>
      </c>
      <c r="N623" s="8" t="str">
        <f>IF($A623="","",IF(ISNUMBER(FIND("IMPVOL",N$1)),_xll.BDH(config!$G$4,N$1,WORKDAY($A623,-1,config_Holiday_Calendar_US),WORKDAY($A623,-1,config_Holiday_Calendar_US)),IF(ISNUMBER(_xll.BDH(config!$G$4,N$1,$A623,$A623)),_xll.BDH(config!$G$4,N$1,$A623,$A623),_xll.BDH(config!$G$5,N$1,$A623,$A623))))</f>
        <v/>
      </c>
      <c r="O623" s="8" t="str">
        <f>IF($A623="","",IF(ISNUMBER(FIND("IMPVOL",O$1)),_xll.BDH(config!$G$4,O$1,WORKDAY($A623,-1,config_Holiday_Calendar_US),WORKDAY($A623,-1,config_Holiday_Calendar_US)),IF(ISNUMBER(_xll.BDH(config!$G$4,O$1,$A623,$A623)),_xll.BDH(config!$G$4,O$1,$A623,$A623),_xll.BDH(config!$G$5,O$1,$A623,$A623))))</f>
        <v/>
      </c>
      <c r="P623" s="8" t="str">
        <f>IF($A623="","",IF(ISNUMBER(FIND("IMPVOL",P$1)),_xll.BDH(config!$G$4,P$1,WORKDAY($A623,-1,config_Holiday_Calendar_US),WORKDAY($A623,-1,config_Holiday_Calendar_US)),IF(ISNUMBER(_xll.BDH(config!$G$4,P$1,$A623,$A623)),_xll.BDH(config!$G$4,P$1,$A623,$A623),_xll.BDH(config!$G$5,P$1,$A623,$A623))))</f>
        <v/>
      </c>
      <c r="Q623" s="8" t="str">
        <f>IF($A623="","",IF(ISNUMBER(FIND("IMPVOL",Q$1)),_xll.BDH(config!$G$4,Q$1,WORKDAY($A623,-1,config_Holiday_Calendar_US),WORKDAY($A623,-1,config_Holiday_Calendar_US)),IF(ISNUMBER(_xll.BDH(config!$G$4,Q$1,$A623,$A623)),_xll.BDH(config!$G$4,Q$1,$A623,$A623),_xll.BDH(config!$G$5,Q$1,$A623,$A623))))</f>
        <v/>
      </c>
      <c r="R623" s="8" t="str">
        <f>IF($A623="","",IF(ISNUMBER(FIND("IMPVOL",R$1)),_xll.BDH(config!$G$4,R$1,WORKDAY($A623,-1,config_Holiday_Calendar_US),WORKDAY($A623,-1,config_Holiday_Calendar_US)),IF(ISNUMBER(_xll.BDH(config!$G$4,R$1,$A623,$A623)),_xll.BDH(config!$G$4,R$1,$A623,$A623),_xll.BDH(config!$G$5,R$1,$A623,$A623))))</f>
        <v/>
      </c>
      <c r="S623" s="8" t="str">
        <f>IF($A623="","",IF(ISNUMBER(FIND("IMPVOL",S$1)),_xll.BDH(config!$G$4,S$1,WORKDAY($A623,-1,config_Holiday_Calendar_US),WORKDAY($A623,-1,config_Holiday_Calendar_US)),IF(ISNUMBER(_xll.BDH(config!$G$4,S$1,$A623,$A623)),_xll.BDH(config!$G$4,S$1,$A623,$A623),_xll.BDH(config!$G$5,S$1,$A623,$A623))))</f>
        <v/>
      </c>
      <c r="T623" s="8" t="str">
        <f>IF($A623="","",IF(ISNUMBER(FIND("IMPVOL",T$1)),_xll.BDH(config!$G$4,T$1,WORKDAY($A623,-1,config_Holiday_Calendar_US),WORKDAY($A623,-1,config_Holiday_Calendar_US)),IF(ISNUMBER(_xll.BDH(config!$G$4,T$1,$A623,$A623)),_xll.BDH(config!$G$4,T$1,$A623,$A623),_xll.BDH(config!$G$5,T$1,$A623,$A623))))</f>
        <v/>
      </c>
      <c r="U623" s="8" t="str">
        <f>IF($A623="","",IF(ISNUMBER(FIND("IMPVOL",U$1)),_xll.BDH(config!$G$4,U$1,WORKDAY($A623,-1,config_Holiday_Calendar_US),WORKDAY($A623,-1,config_Holiday_Calendar_US)),IF(ISNUMBER(_xll.BDH(config!$G$4,U$1,$A623,$A623)),_xll.BDH(config!$G$4,U$1,$A623,$A623),_xll.BDH(config!$G$5,U$1,$A623,$A623))))</f>
        <v/>
      </c>
      <c r="V623" s="8" t="str">
        <f>IF($A623="","",IF(ISNUMBER(FIND("IMPVOL",V$1)),_xll.BDH(config!$G$4,V$1,WORKDAY($A623,-1,config_Holiday_Calendar_US),WORKDAY($A623,-1,config_Holiday_Calendar_US)),IF(ISNUMBER(_xll.BDH(config!$G$4,V$1,$A623,$A623)),_xll.BDH(config!$G$4,V$1,$A623,$A623),_xll.BDH(config!$G$5,V$1,$A623,$A623))))</f>
        <v/>
      </c>
      <c r="W623" s="8" t="str">
        <f>IF($A623="","",IF(ISNUMBER(FIND("IMPVOL",W$1)),_xll.BDH(config!$G$4,W$1,WORKDAY($A623,-1,config_Holiday_Calendar_US),WORKDAY($A623,-1,config_Holiday_Calendar_US)),IF(ISNUMBER(_xll.BDH(config!$G$4,W$1,$A623,$A623)),_xll.BDH(config!$G$4,W$1,$A623,$A623),_xll.BDH(config!$G$5,W$1,$A623,$A623))))</f>
        <v/>
      </c>
    </row>
    <row r="624" spans="1:23" x14ac:dyDescent="0.2">
      <c r="A624" s="9" t="str">
        <f>IF(A623="","",IF(WORKDAY(A623,-1,config_Holiday_Calendar_US)&lt;config!$I$10,"",WORKDAY(A623,-1,config_Holiday_Calendar_US)))</f>
        <v/>
      </c>
      <c r="B624" s="8" t="str">
        <f t="shared" si="9"/>
        <v/>
      </c>
      <c r="C624" s="8" t="str">
        <f>IF(A624="","",_xll.BDH(config!$H$4,C$1,$A624,$A624))</f>
        <v/>
      </c>
      <c r="D624" s="8" t="str">
        <f>IF($A624="","",_xll.BDH(config!$H$4,D$1,$A624,$A624))</f>
        <v/>
      </c>
      <c r="E624" s="8" t="str">
        <f>IF($A624="","",IF(ISNUMBER(FIND("IMPVOL",E$1)),_xll.BDH(config!$G$4,E$1,WORKDAY($A624,-1,config_Holiday_Calendar_US),WORKDAY($A624,-1,config_Holiday_Calendar_US)),IF(ISNUMBER(_xll.BDH(config!$G$4,E$1,$A624,$A624)),_xll.BDH(config!$G$4,E$1,$A624,$A624),_xll.BDH(config!$G$5,E$1,$A624,$A624))))</f>
        <v/>
      </c>
      <c r="F624" s="8" t="str">
        <f>IF($A624="","",IF(ISNUMBER(FIND("IMPVOL",F$1)),_xll.BDH(config!$G$4,F$1,WORKDAY($A624,-1,config_Holiday_Calendar_US),WORKDAY($A624,-1,config_Holiday_Calendar_US)),IF(ISNUMBER(_xll.BDH(config!$G$4,F$1,$A624,$A624)),_xll.BDH(config!$G$4,F$1,$A624,$A624),_xll.BDH(config!$G$5,F$1,$A624,$A624))))</f>
        <v/>
      </c>
      <c r="G624" s="8" t="str">
        <f>IF($A624="","",IF(ISNUMBER(FIND("IMPVOL",G$1)),_xll.BDH(config!$G$4,G$1,WORKDAY($A624,-1,config_Holiday_Calendar_US),WORKDAY($A624,-1,config_Holiday_Calendar_US)),IF(ISNUMBER(_xll.BDH(config!$G$4,G$1,$A624,$A624)),_xll.BDH(config!$G$4,G$1,$A624,$A624),_xll.BDH(config!$G$5,G$1,$A624,$A624))))</f>
        <v/>
      </c>
      <c r="H624" s="8" t="str">
        <f>IF($A624="","",IF(ISNUMBER(FIND("IMPVOL",H$1)),_xll.BDH(config!$G$4,H$1,WORKDAY($A624,-1,config_Holiday_Calendar_US),WORKDAY($A624,-1,config_Holiday_Calendar_US)),IF(ISNUMBER(_xll.BDH(config!$G$4,H$1,$A624,$A624)),_xll.BDH(config!$G$4,H$1,$A624,$A624),_xll.BDH(config!$G$5,H$1,$A624,$A624))))</f>
        <v/>
      </c>
      <c r="I624" s="8" t="str">
        <f>IF($A624="","",IF(ISNUMBER(FIND("IMPVOL",I$1)),_xll.BDH(config!$G$4,I$1,WORKDAY($A624,-1,config_Holiday_Calendar_US),WORKDAY($A624,-1,config_Holiday_Calendar_US)),IF(ISNUMBER(_xll.BDH(config!$G$4,I$1,$A624,$A624)),_xll.BDH(config!$G$4,I$1,$A624,$A624),_xll.BDH(config!$G$5,I$1,$A624,$A624))))</f>
        <v/>
      </c>
      <c r="J624" s="8" t="str">
        <f>IF($A624="","",IF(ISNUMBER(FIND("IMPVOL",J$1)),_xll.BDH(config!$G$4,J$1,WORKDAY($A624,-1,config_Holiday_Calendar_US),WORKDAY($A624,-1,config_Holiday_Calendar_US)),IF(ISNUMBER(_xll.BDH(config!$G$4,J$1,$A624,$A624)),_xll.BDH(config!$G$4,J$1,$A624,$A624),_xll.BDH(config!$G$5,J$1,$A624,$A624))))</f>
        <v/>
      </c>
      <c r="K624" s="8" t="str">
        <f>IF($A624="","",IF(ISNUMBER(FIND("IMPVOL",K$1)),_xll.BDH(config!$G$4,K$1,WORKDAY($A624,-1,config_Holiday_Calendar_US),WORKDAY($A624,-1,config_Holiday_Calendar_US)),IF(ISNUMBER(_xll.BDH(config!$G$4,K$1,$A624,$A624)),_xll.BDH(config!$G$4,K$1,$A624,$A624),_xll.BDH(config!$G$5,K$1,$A624,$A624))))</f>
        <v/>
      </c>
      <c r="L624" s="8" t="str">
        <f>IF($A624="","",IF(ISNUMBER(FIND("IMPVOL",L$1)),_xll.BDH(config!$G$4,L$1,WORKDAY($A624,-1,config_Holiday_Calendar_US),WORKDAY($A624,-1,config_Holiday_Calendar_US)),IF(ISNUMBER(_xll.BDH(config!$G$4,L$1,$A624,$A624)),_xll.BDH(config!$G$4,L$1,$A624,$A624),_xll.BDH(config!$G$5,L$1,$A624,$A624))))</f>
        <v/>
      </c>
      <c r="M624" s="8" t="str">
        <f>IF($A624="","",IF(ISNUMBER(FIND("IMPVOL",M$1)),_xll.BDH(config!$G$4,M$1,WORKDAY($A624,-1,config_Holiday_Calendar_US),WORKDAY($A624,-1,config_Holiday_Calendar_US)),IF(ISNUMBER(_xll.BDH(config!$G$4,M$1,$A624,$A624)),_xll.BDH(config!$G$4,M$1,$A624,$A624),_xll.BDH(config!$G$5,M$1,$A624,$A624))))</f>
        <v/>
      </c>
      <c r="N624" s="8" t="str">
        <f>IF($A624="","",IF(ISNUMBER(FIND("IMPVOL",N$1)),_xll.BDH(config!$G$4,N$1,WORKDAY($A624,-1,config_Holiday_Calendar_US),WORKDAY($A624,-1,config_Holiday_Calendar_US)),IF(ISNUMBER(_xll.BDH(config!$G$4,N$1,$A624,$A624)),_xll.BDH(config!$G$4,N$1,$A624,$A624),_xll.BDH(config!$G$5,N$1,$A624,$A624))))</f>
        <v/>
      </c>
      <c r="O624" s="8" t="str">
        <f>IF($A624="","",IF(ISNUMBER(FIND("IMPVOL",O$1)),_xll.BDH(config!$G$4,O$1,WORKDAY($A624,-1,config_Holiday_Calendar_US),WORKDAY($A624,-1,config_Holiday_Calendar_US)),IF(ISNUMBER(_xll.BDH(config!$G$4,O$1,$A624,$A624)),_xll.BDH(config!$G$4,O$1,$A624,$A624),_xll.BDH(config!$G$5,O$1,$A624,$A624))))</f>
        <v/>
      </c>
      <c r="P624" s="8" t="str">
        <f>IF($A624="","",IF(ISNUMBER(FIND("IMPVOL",P$1)),_xll.BDH(config!$G$4,P$1,WORKDAY($A624,-1,config_Holiday_Calendar_US),WORKDAY($A624,-1,config_Holiday_Calendar_US)),IF(ISNUMBER(_xll.BDH(config!$G$4,P$1,$A624,$A624)),_xll.BDH(config!$G$4,P$1,$A624,$A624),_xll.BDH(config!$G$5,P$1,$A624,$A624))))</f>
        <v/>
      </c>
      <c r="Q624" s="8" t="str">
        <f>IF($A624="","",IF(ISNUMBER(FIND("IMPVOL",Q$1)),_xll.BDH(config!$G$4,Q$1,WORKDAY($A624,-1,config_Holiday_Calendar_US),WORKDAY($A624,-1,config_Holiday_Calendar_US)),IF(ISNUMBER(_xll.BDH(config!$G$4,Q$1,$A624,$A624)),_xll.BDH(config!$G$4,Q$1,$A624,$A624),_xll.BDH(config!$G$5,Q$1,$A624,$A624))))</f>
        <v/>
      </c>
      <c r="R624" s="8" t="str">
        <f>IF($A624="","",IF(ISNUMBER(FIND("IMPVOL",R$1)),_xll.BDH(config!$G$4,R$1,WORKDAY($A624,-1,config_Holiday_Calendar_US),WORKDAY($A624,-1,config_Holiday_Calendar_US)),IF(ISNUMBER(_xll.BDH(config!$G$4,R$1,$A624,$A624)),_xll.BDH(config!$G$4,R$1,$A624,$A624),_xll.BDH(config!$G$5,R$1,$A624,$A624))))</f>
        <v/>
      </c>
      <c r="S624" s="8" t="str">
        <f>IF($A624="","",IF(ISNUMBER(FIND("IMPVOL",S$1)),_xll.BDH(config!$G$4,S$1,WORKDAY($A624,-1,config_Holiday_Calendar_US),WORKDAY($A624,-1,config_Holiday_Calendar_US)),IF(ISNUMBER(_xll.BDH(config!$G$4,S$1,$A624,$A624)),_xll.BDH(config!$G$4,S$1,$A624,$A624),_xll.BDH(config!$G$5,S$1,$A624,$A624))))</f>
        <v/>
      </c>
      <c r="T624" s="8" t="str">
        <f>IF($A624="","",IF(ISNUMBER(FIND("IMPVOL",T$1)),_xll.BDH(config!$G$4,T$1,WORKDAY($A624,-1,config_Holiday_Calendar_US),WORKDAY($A624,-1,config_Holiday_Calendar_US)),IF(ISNUMBER(_xll.BDH(config!$G$4,T$1,$A624,$A624)),_xll.BDH(config!$G$4,T$1,$A624,$A624),_xll.BDH(config!$G$5,T$1,$A624,$A624))))</f>
        <v/>
      </c>
      <c r="U624" s="8" t="str">
        <f>IF($A624="","",IF(ISNUMBER(FIND("IMPVOL",U$1)),_xll.BDH(config!$G$4,U$1,WORKDAY($A624,-1,config_Holiday_Calendar_US),WORKDAY($A624,-1,config_Holiday_Calendar_US)),IF(ISNUMBER(_xll.BDH(config!$G$4,U$1,$A624,$A624)),_xll.BDH(config!$G$4,U$1,$A624,$A624),_xll.BDH(config!$G$5,U$1,$A624,$A624))))</f>
        <v/>
      </c>
      <c r="V624" s="8" t="str">
        <f>IF($A624="","",IF(ISNUMBER(FIND("IMPVOL",V$1)),_xll.BDH(config!$G$4,V$1,WORKDAY($A624,-1,config_Holiday_Calendar_US),WORKDAY($A624,-1,config_Holiday_Calendar_US)),IF(ISNUMBER(_xll.BDH(config!$G$4,V$1,$A624,$A624)),_xll.BDH(config!$G$4,V$1,$A624,$A624),_xll.BDH(config!$G$5,V$1,$A624,$A624))))</f>
        <v/>
      </c>
      <c r="W624" s="8" t="str">
        <f>IF($A624="","",IF(ISNUMBER(FIND("IMPVOL",W$1)),_xll.BDH(config!$G$4,W$1,WORKDAY($A624,-1,config_Holiday_Calendar_US),WORKDAY($A624,-1,config_Holiday_Calendar_US)),IF(ISNUMBER(_xll.BDH(config!$G$4,W$1,$A624,$A624)),_xll.BDH(config!$G$4,W$1,$A624,$A624),_xll.BDH(config!$G$5,W$1,$A624,$A624))))</f>
        <v/>
      </c>
    </row>
    <row r="625" spans="1:23" x14ac:dyDescent="0.2">
      <c r="A625" s="9" t="str">
        <f>IF(A624="","",IF(WORKDAY(A624,-1,config_Holiday_Calendar_US)&lt;config!$I$10,"",WORKDAY(A624,-1,config_Holiday_Calendar_US)))</f>
        <v/>
      </c>
      <c r="B625" s="8" t="str">
        <f t="shared" si="9"/>
        <v/>
      </c>
      <c r="C625" s="8" t="str">
        <f>IF(A625="","",_xll.BDH(config!$H$4,C$1,$A625,$A625))</f>
        <v/>
      </c>
      <c r="D625" s="8" t="str">
        <f>IF($A625="","",_xll.BDH(config!$H$4,D$1,$A625,$A625))</f>
        <v/>
      </c>
      <c r="E625" s="8" t="str">
        <f>IF($A625="","",IF(ISNUMBER(FIND("IMPVOL",E$1)),_xll.BDH(config!$G$4,E$1,WORKDAY($A625,-1,config_Holiday_Calendar_US),WORKDAY($A625,-1,config_Holiday_Calendar_US)),IF(ISNUMBER(_xll.BDH(config!$G$4,E$1,$A625,$A625)),_xll.BDH(config!$G$4,E$1,$A625,$A625),_xll.BDH(config!$G$5,E$1,$A625,$A625))))</f>
        <v/>
      </c>
      <c r="F625" s="8" t="str">
        <f>IF($A625="","",IF(ISNUMBER(FIND("IMPVOL",F$1)),_xll.BDH(config!$G$4,F$1,WORKDAY($A625,-1,config_Holiday_Calendar_US),WORKDAY($A625,-1,config_Holiday_Calendar_US)),IF(ISNUMBER(_xll.BDH(config!$G$4,F$1,$A625,$A625)),_xll.BDH(config!$G$4,F$1,$A625,$A625),_xll.BDH(config!$G$5,F$1,$A625,$A625))))</f>
        <v/>
      </c>
      <c r="G625" s="8" t="str">
        <f>IF($A625="","",IF(ISNUMBER(FIND("IMPVOL",G$1)),_xll.BDH(config!$G$4,G$1,WORKDAY($A625,-1,config_Holiday_Calendar_US),WORKDAY($A625,-1,config_Holiday_Calendar_US)),IF(ISNUMBER(_xll.BDH(config!$G$4,G$1,$A625,$A625)),_xll.BDH(config!$G$4,G$1,$A625,$A625),_xll.BDH(config!$G$5,G$1,$A625,$A625))))</f>
        <v/>
      </c>
      <c r="H625" s="8" t="str">
        <f>IF($A625="","",IF(ISNUMBER(FIND("IMPVOL",H$1)),_xll.BDH(config!$G$4,H$1,WORKDAY($A625,-1,config_Holiday_Calendar_US),WORKDAY($A625,-1,config_Holiday_Calendar_US)),IF(ISNUMBER(_xll.BDH(config!$G$4,H$1,$A625,$A625)),_xll.BDH(config!$G$4,H$1,$A625,$A625),_xll.BDH(config!$G$5,H$1,$A625,$A625))))</f>
        <v/>
      </c>
      <c r="I625" s="8" t="str">
        <f>IF($A625="","",IF(ISNUMBER(FIND("IMPVOL",I$1)),_xll.BDH(config!$G$4,I$1,WORKDAY($A625,-1,config_Holiday_Calendar_US),WORKDAY($A625,-1,config_Holiday_Calendar_US)),IF(ISNUMBER(_xll.BDH(config!$G$4,I$1,$A625,$A625)),_xll.BDH(config!$G$4,I$1,$A625,$A625),_xll.BDH(config!$G$5,I$1,$A625,$A625))))</f>
        <v/>
      </c>
      <c r="J625" s="8" t="str">
        <f>IF($A625="","",IF(ISNUMBER(FIND("IMPVOL",J$1)),_xll.BDH(config!$G$4,J$1,WORKDAY($A625,-1,config_Holiday_Calendar_US),WORKDAY($A625,-1,config_Holiday_Calendar_US)),IF(ISNUMBER(_xll.BDH(config!$G$4,J$1,$A625,$A625)),_xll.BDH(config!$G$4,J$1,$A625,$A625),_xll.BDH(config!$G$5,J$1,$A625,$A625))))</f>
        <v/>
      </c>
      <c r="K625" s="8" t="str">
        <f>IF($A625="","",IF(ISNUMBER(FIND("IMPVOL",K$1)),_xll.BDH(config!$G$4,K$1,WORKDAY($A625,-1,config_Holiday_Calendar_US),WORKDAY($A625,-1,config_Holiday_Calendar_US)),IF(ISNUMBER(_xll.BDH(config!$G$4,K$1,$A625,$A625)),_xll.BDH(config!$G$4,K$1,$A625,$A625),_xll.BDH(config!$G$5,K$1,$A625,$A625))))</f>
        <v/>
      </c>
      <c r="L625" s="8" t="str">
        <f>IF($A625="","",IF(ISNUMBER(FIND("IMPVOL",L$1)),_xll.BDH(config!$G$4,L$1,WORKDAY($A625,-1,config_Holiday_Calendar_US),WORKDAY($A625,-1,config_Holiday_Calendar_US)),IF(ISNUMBER(_xll.BDH(config!$G$4,L$1,$A625,$A625)),_xll.BDH(config!$G$4,L$1,$A625,$A625),_xll.BDH(config!$G$5,L$1,$A625,$A625))))</f>
        <v/>
      </c>
      <c r="M625" s="8" t="str">
        <f>IF($A625="","",IF(ISNUMBER(FIND("IMPVOL",M$1)),_xll.BDH(config!$G$4,M$1,WORKDAY($A625,-1,config_Holiday_Calendar_US),WORKDAY($A625,-1,config_Holiday_Calendar_US)),IF(ISNUMBER(_xll.BDH(config!$G$4,M$1,$A625,$A625)),_xll.BDH(config!$G$4,M$1,$A625,$A625),_xll.BDH(config!$G$5,M$1,$A625,$A625))))</f>
        <v/>
      </c>
      <c r="N625" s="8" t="str">
        <f>IF($A625="","",IF(ISNUMBER(FIND("IMPVOL",N$1)),_xll.BDH(config!$G$4,N$1,WORKDAY($A625,-1,config_Holiday_Calendar_US),WORKDAY($A625,-1,config_Holiday_Calendar_US)),IF(ISNUMBER(_xll.BDH(config!$G$4,N$1,$A625,$A625)),_xll.BDH(config!$G$4,N$1,$A625,$A625),_xll.BDH(config!$G$5,N$1,$A625,$A625))))</f>
        <v/>
      </c>
      <c r="O625" s="8" t="str">
        <f>IF($A625="","",IF(ISNUMBER(FIND("IMPVOL",O$1)),_xll.BDH(config!$G$4,O$1,WORKDAY($A625,-1,config_Holiday_Calendar_US),WORKDAY($A625,-1,config_Holiday_Calendar_US)),IF(ISNUMBER(_xll.BDH(config!$G$4,O$1,$A625,$A625)),_xll.BDH(config!$G$4,O$1,$A625,$A625),_xll.BDH(config!$G$5,O$1,$A625,$A625))))</f>
        <v/>
      </c>
      <c r="P625" s="8" t="str">
        <f>IF($A625="","",IF(ISNUMBER(FIND("IMPVOL",P$1)),_xll.BDH(config!$G$4,P$1,WORKDAY($A625,-1,config_Holiday_Calendar_US),WORKDAY($A625,-1,config_Holiday_Calendar_US)),IF(ISNUMBER(_xll.BDH(config!$G$4,P$1,$A625,$A625)),_xll.BDH(config!$G$4,P$1,$A625,$A625),_xll.BDH(config!$G$5,P$1,$A625,$A625))))</f>
        <v/>
      </c>
      <c r="Q625" s="8" t="str">
        <f>IF($A625="","",IF(ISNUMBER(FIND("IMPVOL",Q$1)),_xll.BDH(config!$G$4,Q$1,WORKDAY($A625,-1,config_Holiday_Calendar_US),WORKDAY($A625,-1,config_Holiday_Calendar_US)),IF(ISNUMBER(_xll.BDH(config!$G$4,Q$1,$A625,$A625)),_xll.BDH(config!$G$4,Q$1,$A625,$A625),_xll.BDH(config!$G$5,Q$1,$A625,$A625))))</f>
        <v/>
      </c>
      <c r="R625" s="8" t="str">
        <f>IF($A625="","",IF(ISNUMBER(FIND("IMPVOL",R$1)),_xll.BDH(config!$G$4,R$1,WORKDAY($A625,-1,config_Holiday_Calendar_US),WORKDAY($A625,-1,config_Holiday_Calendar_US)),IF(ISNUMBER(_xll.BDH(config!$G$4,R$1,$A625,$A625)),_xll.BDH(config!$G$4,R$1,$A625,$A625),_xll.BDH(config!$G$5,R$1,$A625,$A625))))</f>
        <v/>
      </c>
      <c r="S625" s="8" t="str">
        <f>IF($A625="","",IF(ISNUMBER(FIND("IMPVOL",S$1)),_xll.BDH(config!$G$4,S$1,WORKDAY($A625,-1,config_Holiday_Calendar_US),WORKDAY($A625,-1,config_Holiday_Calendar_US)),IF(ISNUMBER(_xll.BDH(config!$G$4,S$1,$A625,$A625)),_xll.BDH(config!$G$4,S$1,$A625,$A625),_xll.BDH(config!$G$5,S$1,$A625,$A625))))</f>
        <v/>
      </c>
      <c r="T625" s="8" t="str">
        <f>IF($A625="","",IF(ISNUMBER(FIND("IMPVOL",T$1)),_xll.BDH(config!$G$4,T$1,WORKDAY($A625,-1,config_Holiday_Calendar_US),WORKDAY($A625,-1,config_Holiday_Calendar_US)),IF(ISNUMBER(_xll.BDH(config!$G$4,T$1,$A625,$A625)),_xll.BDH(config!$G$4,T$1,$A625,$A625),_xll.BDH(config!$G$5,T$1,$A625,$A625))))</f>
        <v/>
      </c>
      <c r="U625" s="8" t="str">
        <f>IF($A625="","",IF(ISNUMBER(FIND("IMPVOL",U$1)),_xll.BDH(config!$G$4,U$1,WORKDAY($A625,-1,config_Holiday_Calendar_US),WORKDAY($A625,-1,config_Holiday_Calendar_US)),IF(ISNUMBER(_xll.BDH(config!$G$4,U$1,$A625,$A625)),_xll.BDH(config!$G$4,U$1,$A625,$A625),_xll.BDH(config!$G$5,U$1,$A625,$A625))))</f>
        <v/>
      </c>
      <c r="V625" s="8" t="str">
        <f>IF($A625="","",IF(ISNUMBER(FIND("IMPVOL",V$1)),_xll.BDH(config!$G$4,V$1,WORKDAY($A625,-1,config_Holiday_Calendar_US),WORKDAY($A625,-1,config_Holiday_Calendar_US)),IF(ISNUMBER(_xll.BDH(config!$G$4,V$1,$A625,$A625)),_xll.BDH(config!$G$4,V$1,$A625,$A625),_xll.BDH(config!$G$5,V$1,$A625,$A625))))</f>
        <v/>
      </c>
      <c r="W625" s="8" t="str">
        <f>IF($A625="","",IF(ISNUMBER(FIND("IMPVOL",W$1)),_xll.BDH(config!$G$4,W$1,WORKDAY($A625,-1,config_Holiday_Calendar_US),WORKDAY($A625,-1,config_Holiday_Calendar_US)),IF(ISNUMBER(_xll.BDH(config!$G$4,W$1,$A625,$A625)),_xll.BDH(config!$G$4,W$1,$A625,$A625),_xll.BDH(config!$G$5,W$1,$A625,$A625))))</f>
        <v/>
      </c>
    </row>
    <row r="626" spans="1:23" x14ac:dyDescent="0.2">
      <c r="A626" s="9" t="str">
        <f>IF(A625="","",IF(WORKDAY(A625,-1,config_Holiday_Calendar_US)&lt;config!$I$10,"",WORKDAY(A625,-1,config_Holiday_Calendar_US)))</f>
        <v/>
      </c>
      <c r="B626" s="8" t="str">
        <f t="shared" si="9"/>
        <v/>
      </c>
      <c r="C626" s="8" t="str">
        <f>IF(A626="","",_xll.BDH(config!$H$4,C$1,$A626,$A626))</f>
        <v/>
      </c>
      <c r="D626" s="8" t="str">
        <f>IF($A626="","",_xll.BDH(config!$H$4,D$1,$A626,$A626))</f>
        <v/>
      </c>
      <c r="E626" s="8" t="str">
        <f>IF($A626="","",IF(ISNUMBER(FIND("IMPVOL",E$1)),_xll.BDH(config!$G$4,E$1,WORKDAY($A626,-1,config_Holiday_Calendar_US),WORKDAY($A626,-1,config_Holiday_Calendar_US)),IF(ISNUMBER(_xll.BDH(config!$G$4,E$1,$A626,$A626)),_xll.BDH(config!$G$4,E$1,$A626,$A626),_xll.BDH(config!$G$5,E$1,$A626,$A626))))</f>
        <v/>
      </c>
      <c r="F626" s="8" t="str">
        <f>IF($A626="","",IF(ISNUMBER(FIND("IMPVOL",F$1)),_xll.BDH(config!$G$4,F$1,WORKDAY($A626,-1,config_Holiday_Calendar_US),WORKDAY($A626,-1,config_Holiday_Calendar_US)),IF(ISNUMBER(_xll.BDH(config!$G$4,F$1,$A626,$A626)),_xll.BDH(config!$G$4,F$1,$A626,$A626),_xll.BDH(config!$G$5,F$1,$A626,$A626))))</f>
        <v/>
      </c>
      <c r="G626" s="8" t="str">
        <f>IF($A626="","",IF(ISNUMBER(FIND("IMPVOL",G$1)),_xll.BDH(config!$G$4,G$1,WORKDAY($A626,-1,config_Holiday_Calendar_US),WORKDAY($A626,-1,config_Holiday_Calendar_US)),IF(ISNUMBER(_xll.BDH(config!$G$4,G$1,$A626,$A626)),_xll.BDH(config!$G$4,G$1,$A626,$A626),_xll.BDH(config!$G$5,G$1,$A626,$A626))))</f>
        <v/>
      </c>
      <c r="H626" s="8" t="str">
        <f>IF($A626="","",IF(ISNUMBER(FIND("IMPVOL",H$1)),_xll.BDH(config!$G$4,H$1,WORKDAY($A626,-1,config_Holiday_Calendar_US),WORKDAY($A626,-1,config_Holiday_Calendar_US)),IF(ISNUMBER(_xll.BDH(config!$G$4,H$1,$A626,$A626)),_xll.BDH(config!$G$4,H$1,$A626,$A626),_xll.BDH(config!$G$5,H$1,$A626,$A626))))</f>
        <v/>
      </c>
      <c r="I626" s="8" t="str">
        <f>IF($A626="","",IF(ISNUMBER(FIND("IMPVOL",I$1)),_xll.BDH(config!$G$4,I$1,WORKDAY($A626,-1,config_Holiday_Calendar_US),WORKDAY($A626,-1,config_Holiday_Calendar_US)),IF(ISNUMBER(_xll.BDH(config!$G$4,I$1,$A626,$A626)),_xll.BDH(config!$G$4,I$1,$A626,$A626),_xll.BDH(config!$G$5,I$1,$A626,$A626))))</f>
        <v/>
      </c>
      <c r="J626" s="8" t="str">
        <f>IF($A626="","",IF(ISNUMBER(FIND("IMPVOL",J$1)),_xll.BDH(config!$G$4,J$1,WORKDAY($A626,-1,config_Holiday_Calendar_US),WORKDAY($A626,-1,config_Holiday_Calendar_US)),IF(ISNUMBER(_xll.BDH(config!$G$4,J$1,$A626,$A626)),_xll.BDH(config!$G$4,J$1,$A626,$A626),_xll.BDH(config!$G$5,J$1,$A626,$A626))))</f>
        <v/>
      </c>
      <c r="K626" s="8" t="str">
        <f>IF($A626="","",IF(ISNUMBER(FIND("IMPVOL",K$1)),_xll.BDH(config!$G$4,K$1,WORKDAY($A626,-1,config_Holiday_Calendar_US),WORKDAY($A626,-1,config_Holiday_Calendar_US)),IF(ISNUMBER(_xll.BDH(config!$G$4,K$1,$A626,$A626)),_xll.BDH(config!$G$4,K$1,$A626,$A626),_xll.BDH(config!$G$5,K$1,$A626,$A626))))</f>
        <v/>
      </c>
      <c r="L626" s="8" t="str">
        <f>IF($A626="","",IF(ISNUMBER(FIND("IMPVOL",L$1)),_xll.BDH(config!$G$4,L$1,WORKDAY($A626,-1,config_Holiday_Calendar_US),WORKDAY($A626,-1,config_Holiday_Calendar_US)),IF(ISNUMBER(_xll.BDH(config!$G$4,L$1,$A626,$A626)),_xll.BDH(config!$G$4,L$1,$A626,$A626),_xll.BDH(config!$G$5,L$1,$A626,$A626))))</f>
        <v/>
      </c>
      <c r="M626" s="8" t="str">
        <f>IF($A626="","",IF(ISNUMBER(FIND("IMPVOL",M$1)),_xll.BDH(config!$G$4,M$1,WORKDAY($A626,-1,config_Holiday_Calendar_US),WORKDAY($A626,-1,config_Holiday_Calendar_US)),IF(ISNUMBER(_xll.BDH(config!$G$4,M$1,$A626,$A626)),_xll.BDH(config!$G$4,M$1,$A626,$A626),_xll.BDH(config!$G$5,M$1,$A626,$A626))))</f>
        <v/>
      </c>
      <c r="N626" s="8" t="str">
        <f>IF($A626="","",IF(ISNUMBER(FIND("IMPVOL",N$1)),_xll.BDH(config!$G$4,N$1,WORKDAY($A626,-1,config_Holiday_Calendar_US),WORKDAY($A626,-1,config_Holiday_Calendar_US)),IF(ISNUMBER(_xll.BDH(config!$G$4,N$1,$A626,$A626)),_xll.BDH(config!$G$4,N$1,$A626,$A626),_xll.BDH(config!$G$5,N$1,$A626,$A626))))</f>
        <v/>
      </c>
      <c r="O626" s="8" t="str">
        <f>IF($A626="","",IF(ISNUMBER(FIND("IMPVOL",O$1)),_xll.BDH(config!$G$4,O$1,WORKDAY($A626,-1,config_Holiday_Calendar_US),WORKDAY($A626,-1,config_Holiday_Calendar_US)),IF(ISNUMBER(_xll.BDH(config!$G$4,O$1,$A626,$A626)),_xll.BDH(config!$G$4,O$1,$A626,$A626),_xll.BDH(config!$G$5,O$1,$A626,$A626))))</f>
        <v/>
      </c>
      <c r="P626" s="8" t="str">
        <f>IF($A626="","",IF(ISNUMBER(FIND("IMPVOL",P$1)),_xll.BDH(config!$G$4,P$1,WORKDAY($A626,-1,config_Holiday_Calendar_US),WORKDAY($A626,-1,config_Holiday_Calendar_US)),IF(ISNUMBER(_xll.BDH(config!$G$4,P$1,$A626,$A626)),_xll.BDH(config!$G$4,P$1,$A626,$A626),_xll.BDH(config!$G$5,P$1,$A626,$A626))))</f>
        <v/>
      </c>
      <c r="Q626" s="8" t="str">
        <f>IF($A626="","",IF(ISNUMBER(FIND("IMPVOL",Q$1)),_xll.BDH(config!$G$4,Q$1,WORKDAY($A626,-1,config_Holiday_Calendar_US),WORKDAY($A626,-1,config_Holiday_Calendar_US)),IF(ISNUMBER(_xll.BDH(config!$G$4,Q$1,$A626,$A626)),_xll.BDH(config!$G$4,Q$1,$A626,$A626),_xll.BDH(config!$G$5,Q$1,$A626,$A626))))</f>
        <v/>
      </c>
      <c r="R626" s="8" t="str">
        <f>IF($A626="","",IF(ISNUMBER(FIND("IMPVOL",R$1)),_xll.BDH(config!$G$4,R$1,WORKDAY($A626,-1,config_Holiday_Calendar_US),WORKDAY($A626,-1,config_Holiday_Calendar_US)),IF(ISNUMBER(_xll.BDH(config!$G$4,R$1,$A626,$A626)),_xll.BDH(config!$G$4,R$1,$A626,$A626),_xll.BDH(config!$G$5,R$1,$A626,$A626))))</f>
        <v/>
      </c>
      <c r="S626" s="8" t="str">
        <f>IF($A626="","",IF(ISNUMBER(FIND("IMPVOL",S$1)),_xll.BDH(config!$G$4,S$1,WORKDAY($A626,-1,config_Holiday_Calendar_US),WORKDAY($A626,-1,config_Holiday_Calendar_US)),IF(ISNUMBER(_xll.BDH(config!$G$4,S$1,$A626,$A626)),_xll.BDH(config!$G$4,S$1,$A626,$A626),_xll.BDH(config!$G$5,S$1,$A626,$A626))))</f>
        <v/>
      </c>
      <c r="T626" s="8" t="str">
        <f>IF($A626="","",IF(ISNUMBER(FIND("IMPVOL",T$1)),_xll.BDH(config!$G$4,T$1,WORKDAY($A626,-1,config_Holiday_Calendar_US),WORKDAY($A626,-1,config_Holiday_Calendar_US)),IF(ISNUMBER(_xll.BDH(config!$G$4,T$1,$A626,$A626)),_xll.BDH(config!$G$4,T$1,$A626,$A626),_xll.BDH(config!$G$5,T$1,$A626,$A626))))</f>
        <v/>
      </c>
      <c r="U626" s="8" t="str">
        <f>IF($A626="","",IF(ISNUMBER(FIND("IMPVOL",U$1)),_xll.BDH(config!$G$4,U$1,WORKDAY($A626,-1,config_Holiday_Calendar_US),WORKDAY($A626,-1,config_Holiday_Calendar_US)),IF(ISNUMBER(_xll.BDH(config!$G$4,U$1,$A626,$A626)),_xll.BDH(config!$G$4,U$1,$A626,$A626),_xll.BDH(config!$G$5,U$1,$A626,$A626))))</f>
        <v/>
      </c>
      <c r="V626" s="8" t="str">
        <f>IF($A626="","",IF(ISNUMBER(FIND("IMPVOL",V$1)),_xll.BDH(config!$G$4,V$1,WORKDAY($A626,-1,config_Holiday_Calendar_US),WORKDAY($A626,-1,config_Holiday_Calendar_US)),IF(ISNUMBER(_xll.BDH(config!$G$4,V$1,$A626,$A626)),_xll.BDH(config!$G$4,V$1,$A626,$A626),_xll.BDH(config!$G$5,V$1,$A626,$A626))))</f>
        <v/>
      </c>
      <c r="W626" s="8" t="str">
        <f>IF($A626="","",IF(ISNUMBER(FIND("IMPVOL",W$1)),_xll.BDH(config!$G$4,W$1,WORKDAY($A626,-1,config_Holiday_Calendar_US),WORKDAY($A626,-1,config_Holiday_Calendar_US)),IF(ISNUMBER(_xll.BDH(config!$G$4,W$1,$A626,$A626)),_xll.BDH(config!$G$4,W$1,$A626,$A626),_xll.BDH(config!$G$5,W$1,$A626,$A626))))</f>
        <v/>
      </c>
    </row>
    <row r="627" spans="1:23" x14ac:dyDescent="0.2">
      <c r="A627" s="9" t="str">
        <f>IF(A626="","",IF(WORKDAY(A626,-1,config_Holiday_Calendar_US)&lt;config!$I$10,"",WORKDAY(A626,-1,config_Holiday_Calendar_US)))</f>
        <v/>
      </c>
      <c r="B627" s="8" t="str">
        <f t="shared" si="9"/>
        <v/>
      </c>
      <c r="C627" s="8" t="str">
        <f>IF(A627="","",_xll.BDH(config!$H$4,C$1,$A627,$A627))</f>
        <v/>
      </c>
      <c r="D627" s="8" t="str">
        <f>IF($A627="","",_xll.BDH(config!$H$4,D$1,$A627,$A627))</f>
        <v/>
      </c>
      <c r="E627" s="8" t="str">
        <f>IF($A627="","",IF(ISNUMBER(FIND("IMPVOL",E$1)),_xll.BDH(config!$G$4,E$1,WORKDAY($A627,-1,config_Holiday_Calendar_US),WORKDAY($A627,-1,config_Holiday_Calendar_US)),IF(ISNUMBER(_xll.BDH(config!$G$4,E$1,$A627,$A627)),_xll.BDH(config!$G$4,E$1,$A627,$A627),_xll.BDH(config!$G$5,E$1,$A627,$A627))))</f>
        <v/>
      </c>
      <c r="F627" s="8" t="str">
        <f>IF($A627="","",IF(ISNUMBER(FIND("IMPVOL",F$1)),_xll.BDH(config!$G$4,F$1,WORKDAY($A627,-1,config_Holiday_Calendar_US),WORKDAY($A627,-1,config_Holiday_Calendar_US)),IF(ISNUMBER(_xll.BDH(config!$G$4,F$1,$A627,$A627)),_xll.BDH(config!$G$4,F$1,$A627,$A627),_xll.BDH(config!$G$5,F$1,$A627,$A627))))</f>
        <v/>
      </c>
      <c r="G627" s="8" t="str">
        <f>IF($A627="","",IF(ISNUMBER(FIND("IMPVOL",G$1)),_xll.BDH(config!$G$4,G$1,WORKDAY($A627,-1,config_Holiday_Calendar_US),WORKDAY($A627,-1,config_Holiday_Calendar_US)),IF(ISNUMBER(_xll.BDH(config!$G$4,G$1,$A627,$A627)),_xll.BDH(config!$G$4,G$1,$A627,$A627),_xll.BDH(config!$G$5,G$1,$A627,$A627))))</f>
        <v/>
      </c>
      <c r="H627" s="8" t="str">
        <f>IF($A627="","",IF(ISNUMBER(FIND("IMPVOL",H$1)),_xll.BDH(config!$G$4,H$1,WORKDAY($A627,-1,config_Holiday_Calendar_US),WORKDAY($A627,-1,config_Holiday_Calendar_US)),IF(ISNUMBER(_xll.BDH(config!$G$4,H$1,$A627,$A627)),_xll.BDH(config!$G$4,H$1,$A627,$A627),_xll.BDH(config!$G$5,H$1,$A627,$A627))))</f>
        <v/>
      </c>
      <c r="I627" s="8" t="str">
        <f>IF($A627="","",IF(ISNUMBER(FIND("IMPVOL",I$1)),_xll.BDH(config!$G$4,I$1,WORKDAY($A627,-1,config_Holiday_Calendar_US),WORKDAY($A627,-1,config_Holiday_Calendar_US)),IF(ISNUMBER(_xll.BDH(config!$G$4,I$1,$A627,$A627)),_xll.BDH(config!$G$4,I$1,$A627,$A627),_xll.BDH(config!$G$5,I$1,$A627,$A627))))</f>
        <v/>
      </c>
      <c r="J627" s="8" t="str">
        <f>IF($A627="","",IF(ISNUMBER(FIND("IMPVOL",J$1)),_xll.BDH(config!$G$4,J$1,WORKDAY($A627,-1,config_Holiday_Calendar_US),WORKDAY($A627,-1,config_Holiday_Calendar_US)),IF(ISNUMBER(_xll.BDH(config!$G$4,J$1,$A627,$A627)),_xll.BDH(config!$G$4,J$1,$A627,$A627),_xll.BDH(config!$G$5,J$1,$A627,$A627))))</f>
        <v/>
      </c>
      <c r="K627" s="8" t="str">
        <f>IF($A627="","",IF(ISNUMBER(FIND("IMPVOL",K$1)),_xll.BDH(config!$G$4,K$1,WORKDAY($A627,-1,config_Holiday_Calendar_US),WORKDAY($A627,-1,config_Holiday_Calendar_US)),IF(ISNUMBER(_xll.BDH(config!$G$4,K$1,$A627,$A627)),_xll.BDH(config!$G$4,K$1,$A627,$A627),_xll.BDH(config!$G$5,K$1,$A627,$A627))))</f>
        <v/>
      </c>
      <c r="L627" s="8" t="str">
        <f>IF($A627="","",IF(ISNUMBER(FIND("IMPVOL",L$1)),_xll.BDH(config!$G$4,L$1,WORKDAY($A627,-1,config_Holiday_Calendar_US),WORKDAY($A627,-1,config_Holiday_Calendar_US)),IF(ISNUMBER(_xll.BDH(config!$G$4,L$1,$A627,$A627)),_xll.BDH(config!$G$4,L$1,$A627,$A627),_xll.BDH(config!$G$5,L$1,$A627,$A627))))</f>
        <v/>
      </c>
      <c r="M627" s="8" t="str">
        <f>IF($A627="","",IF(ISNUMBER(FIND("IMPVOL",M$1)),_xll.BDH(config!$G$4,M$1,WORKDAY($A627,-1,config_Holiday_Calendar_US),WORKDAY($A627,-1,config_Holiday_Calendar_US)),IF(ISNUMBER(_xll.BDH(config!$G$4,M$1,$A627,$A627)),_xll.BDH(config!$G$4,M$1,$A627,$A627),_xll.BDH(config!$G$5,M$1,$A627,$A627))))</f>
        <v/>
      </c>
      <c r="N627" s="8" t="str">
        <f>IF($A627="","",IF(ISNUMBER(FIND("IMPVOL",N$1)),_xll.BDH(config!$G$4,N$1,WORKDAY($A627,-1,config_Holiday_Calendar_US),WORKDAY($A627,-1,config_Holiday_Calendar_US)),IF(ISNUMBER(_xll.BDH(config!$G$4,N$1,$A627,$A627)),_xll.BDH(config!$G$4,N$1,$A627,$A627),_xll.BDH(config!$G$5,N$1,$A627,$A627))))</f>
        <v/>
      </c>
      <c r="O627" s="8" t="str">
        <f>IF($A627="","",IF(ISNUMBER(FIND("IMPVOL",O$1)),_xll.BDH(config!$G$4,O$1,WORKDAY($A627,-1,config_Holiday_Calendar_US),WORKDAY($A627,-1,config_Holiday_Calendar_US)),IF(ISNUMBER(_xll.BDH(config!$G$4,O$1,$A627,$A627)),_xll.BDH(config!$G$4,O$1,$A627,$A627),_xll.BDH(config!$G$5,O$1,$A627,$A627))))</f>
        <v/>
      </c>
      <c r="P627" s="8" t="str">
        <f>IF($A627="","",IF(ISNUMBER(FIND("IMPVOL",P$1)),_xll.BDH(config!$G$4,P$1,WORKDAY($A627,-1,config_Holiday_Calendar_US),WORKDAY($A627,-1,config_Holiday_Calendar_US)),IF(ISNUMBER(_xll.BDH(config!$G$4,P$1,$A627,$A627)),_xll.BDH(config!$G$4,P$1,$A627,$A627),_xll.BDH(config!$G$5,P$1,$A627,$A627))))</f>
        <v/>
      </c>
      <c r="Q627" s="8" t="str">
        <f>IF($A627="","",IF(ISNUMBER(FIND("IMPVOL",Q$1)),_xll.BDH(config!$G$4,Q$1,WORKDAY($A627,-1,config_Holiday_Calendar_US),WORKDAY($A627,-1,config_Holiday_Calendar_US)),IF(ISNUMBER(_xll.BDH(config!$G$4,Q$1,$A627,$A627)),_xll.BDH(config!$G$4,Q$1,$A627,$A627),_xll.BDH(config!$G$5,Q$1,$A627,$A627))))</f>
        <v/>
      </c>
      <c r="R627" s="8" t="str">
        <f>IF($A627="","",IF(ISNUMBER(FIND("IMPVOL",R$1)),_xll.BDH(config!$G$4,R$1,WORKDAY($A627,-1,config_Holiday_Calendar_US),WORKDAY($A627,-1,config_Holiday_Calendar_US)),IF(ISNUMBER(_xll.BDH(config!$G$4,R$1,$A627,$A627)),_xll.BDH(config!$G$4,R$1,$A627,$A627),_xll.BDH(config!$G$5,R$1,$A627,$A627))))</f>
        <v/>
      </c>
      <c r="S627" s="8" t="str">
        <f>IF($A627="","",IF(ISNUMBER(FIND("IMPVOL",S$1)),_xll.BDH(config!$G$4,S$1,WORKDAY($A627,-1,config_Holiday_Calendar_US),WORKDAY($A627,-1,config_Holiday_Calendar_US)),IF(ISNUMBER(_xll.BDH(config!$G$4,S$1,$A627,$A627)),_xll.BDH(config!$G$4,S$1,$A627,$A627),_xll.BDH(config!$G$5,S$1,$A627,$A627))))</f>
        <v/>
      </c>
      <c r="T627" s="8" t="str">
        <f>IF($A627="","",IF(ISNUMBER(FIND("IMPVOL",T$1)),_xll.BDH(config!$G$4,T$1,WORKDAY($A627,-1,config_Holiday_Calendar_US),WORKDAY($A627,-1,config_Holiday_Calendar_US)),IF(ISNUMBER(_xll.BDH(config!$G$4,T$1,$A627,$A627)),_xll.BDH(config!$G$4,T$1,$A627,$A627),_xll.BDH(config!$G$5,T$1,$A627,$A627))))</f>
        <v/>
      </c>
      <c r="U627" s="8" t="str">
        <f>IF($A627="","",IF(ISNUMBER(FIND("IMPVOL",U$1)),_xll.BDH(config!$G$4,U$1,WORKDAY($A627,-1,config_Holiday_Calendar_US),WORKDAY($A627,-1,config_Holiday_Calendar_US)),IF(ISNUMBER(_xll.BDH(config!$G$4,U$1,$A627,$A627)),_xll.BDH(config!$G$4,U$1,$A627,$A627),_xll.BDH(config!$G$5,U$1,$A627,$A627))))</f>
        <v/>
      </c>
      <c r="V627" s="8" t="str">
        <f>IF($A627="","",IF(ISNUMBER(FIND("IMPVOL",V$1)),_xll.BDH(config!$G$4,V$1,WORKDAY($A627,-1,config_Holiday_Calendar_US),WORKDAY($A627,-1,config_Holiday_Calendar_US)),IF(ISNUMBER(_xll.BDH(config!$G$4,V$1,$A627,$A627)),_xll.BDH(config!$G$4,V$1,$A627,$A627),_xll.BDH(config!$G$5,V$1,$A627,$A627))))</f>
        <v/>
      </c>
      <c r="W627" s="8" t="str">
        <f>IF($A627="","",IF(ISNUMBER(FIND("IMPVOL",W$1)),_xll.BDH(config!$G$4,W$1,WORKDAY($A627,-1,config_Holiday_Calendar_US),WORKDAY($A627,-1,config_Holiday_Calendar_US)),IF(ISNUMBER(_xll.BDH(config!$G$4,W$1,$A627,$A627)),_xll.BDH(config!$G$4,W$1,$A627,$A627),_xll.BDH(config!$G$5,W$1,$A627,$A627))))</f>
        <v/>
      </c>
    </row>
    <row r="628" spans="1:23" x14ac:dyDescent="0.2">
      <c r="A628" s="9" t="str">
        <f>IF(A627="","",IF(WORKDAY(A627,-1,config_Holiday_Calendar_US)&lt;config!$I$10,"",WORKDAY(A627,-1,config_Holiday_Calendar_US)))</f>
        <v/>
      </c>
      <c r="B628" s="8" t="str">
        <f t="shared" si="9"/>
        <v/>
      </c>
      <c r="C628" s="8" t="str">
        <f>IF(A628="","",_xll.BDH(config!$H$4,C$1,$A628,$A628))</f>
        <v/>
      </c>
      <c r="D628" s="8" t="str">
        <f>IF($A628="","",_xll.BDH(config!$H$4,D$1,$A628,$A628))</f>
        <v/>
      </c>
      <c r="E628" s="8" t="str">
        <f>IF($A628="","",IF(ISNUMBER(FIND("IMPVOL",E$1)),_xll.BDH(config!$G$4,E$1,WORKDAY($A628,-1,config_Holiday_Calendar_US),WORKDAY($A628,-1,config_Holiday_Calendar_US)),IF(ISNUMBER(_xll.BDH(config!$G$4,E$1,$A628,$A628)),_xll.BDH(config!$G$4,E$1,$A628,$A628),_xll.BDH(config!$G$5,E$1,$A628,$A628))))</f>
        <v/>
      </c>
      <c r="F628" s="8" t="str">
        <f>IF($A628="","",IF(ISNUMBER(FIND("IMPVOL",F$1)),_xll.BDH(config!$G$4,F$1,WORKDAY($A628,-1,config_Holiday_Calendar_US),WORKDAY($A628,-1,config_Holiday_Calendar_US)),IF(ISNUMBER(_xll.BDH(config!$G$4,F$1,$A628,$A628)),_xll.BDH(config!$G$4,F$1,$A628,$A628),_xll.BDH(config!$G$5,F$1,$A628,$A628))))</f>
        <v/>
      </c>
      <c r="G628" s="8" t="str">
        <f>IF($A628="","",IF(ISNUMBER(FIND("IMPVOL",G$1)),_xll.BDH(config!$G$4,G$1,WORKDAY($A628,-1,config_Holiday_Calendar_US),WORKDAY($A628,-1,config_Holiday_Calendar_US)),IF(ISNUMBER(_xll.BDH(config!$G$4,G$1,$A628,$A628)),_xll.BDH(config!$G$4,G$1,$A628,$A628),_xll.BDH(config!$G$5,G$1,$A628,$A628))))</f>
        <v/>
      </c>
      <c r="H628" s="8" t="str">
        <f>IF($A628="","",IF(ISNUMBER(FIND("IMPVOL",H$1)),_xll.BDH(config!$G$4,H$1,WORKDAY($A628,-1,config_Holiday_Calendar_US),WORKDAY($A628,-1,config_Holiday_Calendar_US)),IF(ISNUMBER(_xll.BDH(config!$G$4,H$1,$A628,$A628)),_xll.BDH(config!$G$4,H$1,$A628,$A628),_xll.BDH(config!$G$5,H$1,$A628,$A628))))</f>
        <v/>
      </c>
      <c r="I628" s="8" t="str">
        <f>IF($A628="","",IF(ISNUMBER(FIND("IMPVOL",I$1)),_xll.BDH(config!$G$4,I$1,WORKDAY($A628,-1,config_Holiday_Calendar_US),WORKDAY($A628,-1,config_Holiday_Calendar_US)),IF(ISNUMBER(_xll.BDH(config!$G$4,I$1,$A628,$A628)),_xll.BDH(config!$G$4,I$1,$A628,$A628),_xll.BDH(config!$G$5,I$1,$A628,$A628))))</f>
        <v/>
      </c>
      <c r="J628" s="8" t="str">
        <f>IF($A628="","",IF(ISNUMBER(FIND("IMPVOL",J$1)),_xll.BDH(config!$G$4,J$1,WORKDAY($A628,-1,config_Holiday_Calendar_US),WORKDAY($A628,-1,config_Holiday_Calendar_US)),IF(ISNUMBER(_xll.BDH(config!$G$4,J$1,$A628,$A628)),_xll.BDH(config!$G$4,J$1,$A628,$A628),_xll.BDH(config!$G$5,J$1,$A628,$A628))))</f>
        <v/>
      </c>
      <c r="K628" s="8" t="str">
        <f>IF($A628="","",IF(ISNUMBER(FIND("IMPVOL",K$1)),_xll.BDH(config!$G$4,K$1,WORKDAY($A628,-1,config_Holiday_Calendar_US),WORKDAY($A628,-1,config_Holiday_Calendar_US)),IF(ISNUMBER(_xll.BDH(config!$G$4,K$1,$A628,$A628)),_xll.BDH(config!$G$4,K$1,$A628,$A628),_xll.BDH(config!$G$5,K$1,$A628,$A628))))</f>
        <v/>
      </c>
      <c r="L628" s="8" t="str">
        <f>IF($A628="","",IF(ISNUMBER(FIND("IMPVOL",L$1)),_xll.BDH(config!$G$4,L$1,WORKDAY($A628,-1,config_Holiday_Calendar_US),WORKDAY($A628,-1,config_Holiday_Calendar_US)),IF(ISNUMBER(_xll.BDH(config!$G$4,L$1,$A628,$A628)),_xll.BDH(config!$G$4,L$1,$A628,$A628),_xll.BDH(config!$G$5,L$1,$A628,$A628))))</f>
        <v/>
      </c>
      <c r="M628" s="8" t="str">
        <f>IF($A628="","",IF(ISNUMBER(FIND("IMPVOL",M$1)),_xll.BDH(config!$G$4,M$1,WORKDAY($A628,-1,config_Holiday_Calendar_US),WORKDAY($A628,-1,config_Holiday_Calendar_US)),IF(ISNUMBER(_xll.BDH(config!$G$4,M$1,$A628,$A628)),_xll.BDH(config!$G$4,M$1,$A628,$A628),_xll.BDH(config!$G$5,M$1,$A628,$A628))))</f>
        <v/>
      </c>
      <c r="N628" s="8" t="str">
        <f>IF($A628="","",IF(ISNUMBER(FIND("IMPVOL",N$1)),_xll.BDH(config!$G$4,N$1,WORKDAY($A628,-1,config_Holiday_Calendar_US),WORKDAY($A628,-1,config_Holiday_Calendar_US)),IF(ISNUMBER(_xll.BDH(config!$G$4,N$1,$A628,$A628)),_xll.BDH(config!$G$4,N$1,$A628,$A628),_xll.BDH(config!$G$5,N$1,$A628,$A628))))</f>
        <v/>
      </c>
      <c r="O628" s="8" t="str">
        <f>IF($A628="","",IF(ISNUMBER(FIND("IMPVOL",O$1)),_xll.BDH(config!$G$4,O$1,WORKDAY($A628,-1,config_Holiday_Calendar_US),WORKDAY($A628,-1,config_Holiday_Calendar_US)),IF(ISNUMBER(_xll.BDH(config!$G$4,O$1,$A628,$A628)),_xll.BDH(config!$G$4,O$1,$A628,$A628),_xll.BDH(config!$G$5,O$1,$A628,$A628))))</f>
        <v/>
      </c>
      <c r="P628" s="8" t="str">
        <f>IF($A628="","",IF(ISNUMBER(FIND("IMPVOL",P$1)),_xll.BDH(config!$G$4,P$1,WORKDAY($A628,-1,config_Holiday_Calendar_US),WORKDAY($A628,-1,config_Holiday_Calendar_US)),IF(ISNUMBER(_xll.BDH(config!$G$4,P$1,$A628,$A628)),_xll.BDH(config!$G$4,P$1,$A628,$A628),_xll.BDH(config!$G$5,P$1,$A628,$A628))))</f>
        <v/>
      </c>
      <c r="Q628" s="8" t="str">
        <f>IF($A628="","",IF(ISNUMBER(FIND("IMPVOL",Q$1)),_xll.BDH(config!$G$4,Q$1,WORKDAY($A628,-1,config_Holiday_Calendar_US),WORKDAY($A628,-1,config_Holiday_Calendar_US)),IF(ISNUMBER(_xll.BDH(config!$G$4,Q$1,$A628,$A628)),_xll.BDH(config!$G$4,Q$1,$A628,$A628),_xll.BDH(config!$G$5,Q$1,$A628,$A628))))</f>
        <v/>
      </c>
      <c r="R628" s="8" t="str">
        <f>IF($A628="","",IF(ISNUMBER(FIND("IMPVOL",R$1)),_xll.BDH(config!$G$4,R$1,WORKDAY($A628,-1,config_Holiday_Calendar_US),WORKDAY($A628,-1,config_Holiday_Calendar_US)),IF(ISNUMBER(_xll.BDH(config!$G$4,R$1,$A628,$A628)),_xll.BDH(config!$G$4,R$1,$A628,$A628),_xll.BDH(config!$G$5,R$1,$A628,$A628))))</f>
        <v/>
      </c>
      <c r="S628" s="8" t="str">
        <f>IF($A628="","",IF(ISNUMBER(FIND("IMPVOL",S$1)),_xll.BDH(config!$G$4,S$1,WORKDAY($A628,-1,config_Holiday_Calendar_US),WORKDAY($A628,-1,config_Holiday_Calendar_US)),IF(ISNUMBER(_xll.BDH(config!$G$4,S$1,$A628,$A628)),_xll.BDH(config!$G$4,S$1,$A628,$A628),_xll.BDH(config!$G$5,S$1,$A628,$A628))))</f>
        <v/>
      </c>
      <c r="T628" s="8" t="str">
        <f>IF($A628="","",IF(ISNUMBER(FIND("IMPVOL",T$1)),_xll.BDH(config!$G$4,T$1,WORKDAY($A628,-1,config_Holiday_Calendar_US),WORKDAY($A628,-1,config_Holiday_Calendar_US)),IF(ISNUMBER(_xll.BDH(config!$G$4,T$1,$A628,$A628)),_xll.BDH(config!$G$4,T$1,$A628,$A628),_xll.BDH(config!$G$5,T$1,$A628,$A628))))</f>
        <v/>
      </c>
      <c r="U628" s="8" t="str">
        <f>IF($A628="","",IF(ISNUMBER(FIND("IMPVOL",U$1)),_xll.BDH(config!$G$4,U$1,WORKDAY($A628,-1,config_Holiday_Calendar_US),WORKDAY($A628,-1,config_Holiday_Calendar_US)),IF(ISNUMBER(_xll.BDH(config!$G$4,U$1,$A628,$A628)),_xll.BDH(config!$G$4,U$1,$A628,$A628),_xll.BDH(config!$G$5,U$1,$A628,$A628))))</f>
        <v/>
      </c>
      <c r="V628" s="8" t="str">
        <f>IF($A628="","",IF(ISNUMBER(FIND("IMPVOL",V$1)),_xll.BDH(config!$G$4,V$1,WORKDAY($A628,-1,config_Holiday_Calendar_US),WORKDAY($A628,-1,config_Holiday_Calendar_US)),IF(ISNUMBER(_xll.BDH(config!$G$4,V$1,$A628,$A628)),_xll.BDH(config!$G$4,V$1,$A628,$A628),_xll.BDH(config!$G$5,V$1,$A628,$A628))))</f>
        <v/>
      </c>
      <c r="W628" s="8" t="str">
        <f>IF($A628="","",IF(ISNUMBER(FIND("IMPVOL",W$1)),_xll.BDH(config!$G$4,W$1,WORKDAY($A628,-1,config_Holiday_Calendar_US),WORKDAY($A628,-1,config_Holiday_Calendar_US)),IF(ISNUMBER(_xll.BDH(config!$G$4,W$1,$A628,$A628)),_xll.BDH(config!$G$4,W$1,$A628,$A628),_xll.BDH(config!$G$5,W$1,$A628,$A628))))</f>
        <v/>
      </c>
    </row>
    <row r="629" spans="1:23" x14ac:dyDescent="0.2">
      <c r="A629" s="9" t="str">
        <f>IF(A628="","",IF(WORKDAY(A628,-1,config_Holiday_Calendar_US)&lt;config!$I$10,"",WORKDAY(A628,-1,config_Holiday_Calendar_US)))</f>
        <v/>
      </c>
      <c r="B629" s="8" t="str">
        <f t="shared" si="9"/>
        <v/>
      </c>
      <c r="C629" s="8" t="str">
        <f>IF(A629="","",_xll.BDH(config!$H$4,C$1,$A629,$A629))</f>
        <v/>
      </c>
      <c r="D629" s="8" t="str">
        <f>IF($A629="","",_xll.BDH(config!$H$4,D$1,$A629,$A629))</f>
        <v/>
      </c>
      <c r="E629" s="8" t="str">
        <f>IF($A629="","",IF(ISNUMBER(FIND("IMPVOL",E$1)),_xll.BDH(config!$G$4,E$1,WORKDAY($A629,-1,config_Holiday_Calendar_US),WORKDAY($A629,-1,config_Holiday_Calendar_US)),IF(ISNUMBER(_xll.BDH(config!$G$4,E$1,$A629,$A629)),_xll.BDH(config!$G$4,E$1,$A629,$A629),_xll.BDH(config!$G$5,E$1,$A629,$A629))))</f>
        <v/>
      </c>
      <c r="F629" s="8" t="str">
        <f>IF($A629="","",IF(ISNUMBER(FIND("IMPVOL",F$1)),_xll.BDH(config!$G$4,F$1,WORKDAY($A629,-1,config_Holiday_Calendar_US),WORKDAY($A629,-1,config_Holiday_Calendar_US)),IF(ISNUMBER(_xll.BDH(config!$G$4,F$1,$A629,$A629)),_xll.BDH(config!$G$4,F$1,$A629,$A629),_xll.BDH(config!$G$5,F$1,$A629,$A629))))</f>
        <v/>
      </c>
      <c r="G629" s="8" t="str">
        <f>IF($A629="","",IF(ISNUMBER(FIND("IMPVOL",G$1)),_xll.BDH(config!$G$4,G$1,WORKDAY($A629,-1,config_Holiday_Calendar_US),WORKDAY($A629,-1,config_Holiday_Calendar_US)),IF(ISNUMBER(_xll.BDH(config!$G$4,G$1,$A629,$A629)),_xll.BDH(config!$G$4,G$1,$A629,$A629),_xll.BDH(config!$G$5,G$1,$A629,$A629))))</f>
        <v/>
      </c>
      <c r="H629" s="8" t="str">
        <f>IF($A629="","",IF(ISNUMBER(FIND("IMPVOL",H$1)),_xll.BDH(config!$G$4,H$1,WORKDAY($A629,-1,config_Holiday_Calendar_US),WORKDAY($A629,-1,config_Holiday_Calendar_US)),IF(ISNUMBER(_xll.BDH(config!$G$4,H$1,$A629,$A629)),_xll.BDH(config!$G$4,H$1,$A629,$A629),_xll.BDH(config!$G$5,H$1,$A629,$A629))))</f>
        <v/>
      </c>
      <c r="I629" s="8" t="str">
        <f>IF($A629="","",IF(ISNUMBER(FIND("IMPVOL",I$1)),_xll.BDH(config!$G$4,I$1,WORKDAY($A629,-1,config_Holiday_Calendar_US),WORKDAY($A629,-1,config_Holiday_Calendar_US)),IF(ISNUMBER(_xll.BDH(config!$G$4,I$1,$A629,$A629)),_xll.BDH(config!$G$4,I$1,$A629,$A629),_xll.BDH(config!$G$5,I$1,$A629,$A629))))</f>
        <v/>
      </c>
      <c r="J629" s="8" t="str">
        <f>IF($A629="","",IF(ISNUMBER(FIND("IMPVOL",J$1)),_xll.BDH(config!$G$4,J$1,WORKDAY($A629,-1,config_Holiday_Calendar_US),WORKDAY($A629,-1,config_Holiday_Calendar_US)),IF(ISNUMBER(_xll.BDH(config!$G$4,J$1,$A629,$A629)),_xll.BDH(config!$G$4,J$1,$A629,$A629),_xll.BDH(config!$G$5,J$1,$A629,$A629))))</f>
        <v/>
      </c>
      <c r="K629" s="8" t="str">
        <f>IF($A629="","",IF(ISNUMBER(FIND("IMPVOL",K$1)),_xll.BDH(config!$G$4,K$1,WORKDAY($A629,-1,config_Holiday_Calendar_US),WORKDAY($A629,-1,config_Holiday_Calendar_US)),IF(ISNUMBER(_xll.BDH(config!$G$4,K$1,$A629,$A629)),_xll.BDH(config!$G$4,K$1,$A629,$A629),_xll.BDH(config!$G$5,K$1,$A629,$A629))))</f>
        <v/>
      </c>
      <c r="L629" s="8" t="str">
        <f>IF($A629="","",IF(ISNUMBER(FIND("IMPVOL",L$1)),_xll.BDH(config!$G$4,L$1,WORKDAY($A629,-1,config_Holiday_Calendar_US),WORKDAY($A629,-1,config_Holiday_Calendar_US)),IF(ISNUMBER(_xll.BDH(config!$G$4,L$1,$A629,$A629)),_xll.BDH(config!$G$4,L$1,$A629,$A629),_xll.BDH(config!$G$5,L$1,$A629,$A629))))</f>
        <v/>
      </c>
      <c r="M629" s="8" t="str">
        <f>IF($A629="","",IF(ISNUMBER(FIND("IMPVOL",M$1)),_xll.BDH(config!$G$4,M$1,WORKDAY($A629,-1,config_Holiday_Calendar_US),WORKDAY($A629,-1,config_Holiday_Calendar_US)),IF(ISNUMBER(_xll.BDH(config!$G$4,M$1,$A629,$A629)),_xll.BDH(config!$G$4,M$1,$A629,$A629),_xll.BDH(config!$G$5,M$1,$A629,$A629))))</f>
        <v/>
      </c>
      <c r="N629" s="8" t="str">
        <f>IF($A629="","",IF(ISNUMBER(FIND("IMPVOL",N$1)),_xll.BDH(config!$G$4,N$1,WORKDAY($A629,-1,config_Holiday_Calendar_US),WORKDAY($A629,-1,config_Holiday_Calendar_US)),IF(ISNUMBER(_xll.BDH(config!$G$4,N$1,$A629,$A629)),_xll.BDH(config!$G$4,N$1,$A629,$A629),_xll.BDH(config!$G$5,N$1,$A629,$A629))))</f>
        <v/>
      </c>
      <c r="O629" s="8" t="str">
        <f>IF($A629="","",IF(ISNUMBER(FIND("IMPVOL",O$1)),_xll.BDH(config!$G$4,O$1,WORKDAY($A629,-1,config_Holiday_Calendar_US),WORKDAY($A629,-1,config_Holiday_Calendar_US)),IF(ISNUMBER(_xll.BDH(config!$G$4,O$1,$A629,$A629)),_xll.BDH(config!$G$4,O$1,$A629,$A629),_xll.BDH(config!$G$5,O$1,$A629,$A629))))</f>
        <v/>
      </c>
      <c r="P629" s="8" t="str">
        <f>IF($A629="","",IF(ISNUMBER(FIND("IMPVOL",P$1)),_xll.BDH(config!$G$4,P$1,WORKDAY($A629,-1,config_Holiday_Calendar_US),WORKDAY($A629,-1,config_Holiday_Calendar_US)),IF(ISNUMBER(_xll.BDH(config!$G$4,P$1,$A629,$A629)),_xll.BDH(config!$G$4,P$1,$A629,$A629),_xll.BDH(config!$G$5,P$1,$A629,$A629))))</f>
        <v/>
      </c>
      <c r="Q629" s="8" t="str">
        <f>IF($A629="","",IF(ISNUMBER(FIND("IMPVOL",Q$1)),_xll.BDH(config!$G$4,Q$1,WORKDAY($A629,-1,config_Holiday_Calendar_US),WORKDAY($A629,-1,config_Holiday_Calendar_US)),IF(ISNUMBER(_xll.BDH(config!$G$4,Q$1,$A629,$A629)),_xll.BDH(config!$G$4,Q$1,$A629,$A629),_xll.BDH(config!$G$5,Q$1,$A629,$A629))))</f>
        <v/>
      </c>
      <c r="R629" s="8" t="str">
        <f>IF($A629="","",IF(ISNUMBER(FIND("IMPVOL",R$1)),_xll.BDH(config!$G$4,R$1,WORKDAY($A629,-1,config_Holiday_Calendar_US),WORKDAY($A629,-1,config_Holiday_Calendar_US)),IF(ISNUMBER(_xll.BDH(config!$G$4,R$1,$A629,$A629)),_xll.BDH(config!$G$4,R$1,$A629,$A629),_xll.BDH(config!$G$5,R$1,$A629,$A629))))</f>
        <v/>
      </c>
      <c r="S629" s="8" t="str">
        <f>IF($A629="","",IF(ISNUMBER(FIND("IMPVOL",S$1)),_xll.BDH(config!$G$4,S$1,WORKDAY($A629,-1,config_Holiday_Calendar_US),WORKDAY($A629,-1,config_Holiday_Calendar_US)),IF(ISNUMBER(_xll.BDH(config!$G$4,S$1,$A629,$A629)),_xll.BDH(config!$G$4,S$1,$A629,$A629),_xll.BDH(config!$G$5,S$1,$A629,$A629))))</f>
        <v/>
      </c>
      <c r="T629" s="8" t="str">
        <f>IF($A629="","",IF(ISNUMBER(FIND("IMPVOL",T$1)),_xll.BDH(config!$G$4,T$1,WORKDAY($A629,-1,config_Holiday_Calendar_US),WORKDAY($A629,-1,config_Holiday_Calendar_US)),IF(ISNUMBER(_xll.BDH(config!$G$4,T$1,$A629,$A629)),_xll.BDH(config!$G$4,T$1,$A629,$A629),_xll.BDH(config!$G$5,T$1,$A629,$A629))))</f>
        <v/>
      </c>
      <c r="U629" s="8" t="str">
        <f>IF($A629="","",IF(ISNUMBER(FIND("IMPVOL",U$1)),_xll.BDH(config!$G$4,U$1,WORKDAY($A629,-1,config_Holiday_Calendar_US),WORKDAY($A629,-1,config_Holiday_Calendar_US)),IF(ISNUMBER(_xll.BDH(config!$G$4,U$1,$A629,$A629)),_xll.BDH(config!$G$4,U$1,$A629,$A629),_xll.BDH(config!$G$5,U$1,$A629,$A629))))</f>
        <v/>
      </c>
      <c r="V629" s="8" t="str">
        <f>IF($A629="","",IF(ISNUMBER(FIND("IMPVOL",V$1)),_xll.BDH(config!$G$4,V$1,WORKDAY($A629,-1,config_Holiday_Calendar_US),WORKDAY($A629,-1,config_Holiday_Calendar_US)),IF(ISNUMBER(_xll.BDH(config!$G$4,V$1,$A629,$A629)),_xll.BDH(config!$G$4,V$1,$A629,$A629),_xll.BDH(config!$G$5,V$1,$A629,$A629))))</f>
        <v/>
      </c>
      <c r="W629" s="8" t="str">
        <f>IF($A629="","",IF(ISNUMBER(FIND("IMPVOL",W$1)),_xll.BDH(config!$G$4,W$1,WORKDAY($A629,-1,config_Holiday_Calendar_US),WORKDAY($A629,-1,config_Holiday_Calendar_US)),IF(ISNUMBER(_xll.BDH(config!$G$4,W$1,$A629,$A629)),_xll.BDH(config!$G$4,W$1,$A629,$A629),_xll.BDH(config!$G$5,W$1,$A629,$A629))))</f>
        <v/>
      </c>
    </row>
    <row r="630" spans="1:23" x14ac:dyDescent="0.2">
      <c r="A630" s="9" t="str">
        <f>IF(A629="","",IF(WORKDAY(A629,-1,config_Holiday_Calendar_US)&lt;config!$I$10,"",WORKDAY(A629,-1,config_Holiday_Calendar_US)))</f>
        <v/>
      </c>
      <c r="B630" s="8" t="str">
        <f t="shared" si="9"/>
        <v/>
      </c>
      <c r="C630" s="8" t="str">
        <f>IF(A630="","",_xll.BDH(config!$H$4,C$1,$A630,$A630))</f>
        <v/>
      </c>
      <c r="D630" s="8" t="str">
        <f>IF($A630="","",_xll.BDH(config!$H$4,D$1,$A630,$A630))</f>
        <v/>
      </c>
      <c r="E630" s="8" t="str">
        <f>IF($A630="","",IF(ISNUMBER(FIND("IMPVOL",E$1)),_xll.BDH(config!$G$4,E$1,WORKDAY($A630,-1,config_Holiday_Calendar_US),WORKDAY($A630,-1,config_Holiday_Calendar_US)),IF(ISNUMBER(_xll.BDH(config!$G$4,E$1,$A630,$A630)),_xll.BDH(config!$G$4,E$1,$A630,$A630),_xll.BDH(config!$G$5,E$1,$A630,$A630))))</f>
        <v/>
      </c>
      <c r="F630" s="8" t="str">
        <f>IF($A630="","",IF(ISNUMBER(FIND("IMPVOL",F$1)),_xll.BDH(config!$G$4,F$1,WORKDAY($A630,-1,config_Holiday_Calendar_US),WORKDAY($A630,-1,config_Holiday_Calendar_US)),IF(ISNUMBER(_xll.BDH(config!$G$4,F$1,$A630,$A630)),_xll.BDH(config!$G$4,F$1,$A630,$A630),_xll.BDH(config!$G$5,F$1,$A630,$A630))))</f>
        <v/>
      </c>
      <c r="G630" s="8" t="str">
        <f>IF($A630="","",IF(ISNUMBER(FIND("IMPVOL",G$1)),_xll.BDH(config!$G$4,G$1,WORKDAY($A630,-1,config_Holiday_Calendar_US),WORKDAY($A630,-1,config_Holiday_Calendar_US)),IF(ISNUMBER(_xll.BDH(config!$G$4,G$1,$A630,$A630)),_xll.BDH(config!$G$4,G$1,$A630,$A630),_xll.BDH(config!$G$5,G$1,$A630,$A630))))</f>
        <v/>
      </c>
      <c r="H630" s="8" t="str">
        <f>IF($A630="","",IF(ISNUMBER(FIND("IMPVOL",H$1)),_xll.BDH(config!$G$4,H$1,WORKDAY($A630,-1,config_Holiday_Calendar_US),WORKDAY($A630,-1,config_Holiday_Calendar_US)),IF(ISNUMBER(_xll.BDH(config!$G$4,H$1,$A630,$A630)),_xll.BDH(config!$G$4,H$1,$A630,$A630),_xll.BDH(config!$G$5,H$1,$A630,$A630))))</f>
        <v/>
      </c>
      <c r="I630" s="8" t="str">
        <f>IF($A630="","",IF(ISNUMBER(FIND("IMPVOL",I$1)),_xll.BDH(config!$G$4,I$1,WORKDAY($A630,-1,config_Holiday_Calendar_US),WORKDAY($A630,-1,config_Holiday_Calendar_US)),IF(ISNUMBER(_xll.BDH(config!$G$4,I$1,$A630,$A630)),_xll.BDH(config!$G$4,I$1,$A630,$A630),_xll.BDH(config!$G$5,I$1,$A630,$A630))))</f>
        <v/>
      </c>
      <c r="J630" s="8" t="str">
        <f>IF($A630="","",IF(ISNUMBER(FIND("IMPVOL",J$1)),_xll.BDH(config!$G$4,J$1,WORKDAY($A630,-1,config_Holiday_Calendar_US),WORKDAY($A630,-1,config_Holiday_Calendar_US)),IF(ISNUMBER(_xll.BDH(config!$G$4,J$1,$A630,$A630)),_xll.BDH(config!$G$4,J$1,$A630,$A630),_xll.BDH(config!$G$5,J$1,$A630,$A630))))</f>
        <v/>
      </c>
      <c r="K630" s="8" t="str">
        <f>IF($A630="","",IF(ISNUMBER(FIND("IMPVOL",K$1)),_xll.BDH(config!$G$4,K$1,WORKDAY($A630,-1,config_Holiday_Calendar_US),WORKDAY($A630,-1,config_Holiday_Calendar_US)),IF(ISNUMBER(_xll.BDH(config!$G$4,K$1,$A630,$A630)),_xll.BDH(config!$G$4,K$1,$A630,$A630),_xll.BDH(config!$G$5,K$1,$A630,$A630))))</f>
        <v/>
      </c>
      <c r="L630" s="8" t="str">
        <f>IF($A630="","",IF(ISNUMBER(FIND("IMPVOL",L$1)),_xll.BDH(config!$G$4,L$1,WORKDAY($A630,-1,config_Holiday_Calendar_US),WORKDAY($A630,-1,config_Holiday_Calendar_US)),IF(ISNUMBER(_xll.BDH(config!$G$4,L$1,$A630,$A630)),_xll.BDH(config!$G$4,L$1,$A630,$A630),_xll.BDH(config!$G$5,L$1,$A630,$A630))))</f>
        <v/>
      </c>
      <c r="M630" s="8" t="str">
        <f>IF($A630="","",IF(ISNUMBER(FIND("IMPVOL",M$1)),_xll.BDH(config!$G$4,M$1,WORKDAY($A630,-1,config_Holiday_Calendar_US),WORKDAY($A630,-1,config_Holiday_Calendar_US)),IF(ISNUMBER(_xll.BDH(config!$G$4,M$1,$A630,$A630)),_xll.BDH(config!$G$4,M$1,$A630,$A630),_xll.BDH(config!$G$5,M$1,$A630,$A630))))</f>
        <v/>
      </c>
      <c r="N630" s="8" t="str">
        <f>IF($A630="","",IF(ISNUMBER(FIND("IMPVOL",N$1)),_xll.BDH(config!$G$4,N$1,WORKDAY($A630,-1,config_Holiday_Calendar_US),WORKDAY($A630,-1,config_Holiday_Calendar_US)),IF(ISNUMBER(_xll.BDH(config!$G$4,N$1,$A630,$A630)),_xll.BDH(config!$G$4,N$1,$A630,$A630),_xll.BDH(config!$G$5,N$1,$A630,$A630))))</f>
        <v/>
      </c>
      <c r="O630" s="8" t="str">
        <f>IF($A630="","",IF(ISNUMBER(FIND("IMPVOL",O$1)),_xll.BDH(config!$G$4,O$1,WORKDAY($A630,-1,config_Holiday_Calendar_US),WORKDAY($A630,-1,config_Holiday_Calendar_US)),IF(ISNUMBER(_xll.BDH(config!$G$4,O$1,$A630,$A630)),_xll.BDH(config!$G$4,O$1,$A630,$A630),_xll.BDH(config!$G$5,O$1,$A630,$A630))))</f>
        <v/>
      </c>
      <c r="P630" s="8" t="str">
        <f>IF($A630="","",IF(ISNUMBER(FIND("IMPVOL",P$1)),_xll.BDH(config!$G$4,P$1,WORKDAY($A630,-1,config_Holiday_Calendar_US),WORKDAY($A630,-1,config_Holiday_Calendar_US)),IF(ISNUMBER(_xll.BDH(config!$G$4,P$1,$A630,$A630)),_xll.BDH(config!$G$4,P$1,$A630,$A630),_xll.BDH(config!$G$5,P$1,$A630,$A630))))</f>
        <v/>
      </c>
      <c r="Q630" s="8" t="str">
        <f>IF($A630="","",IF(ISNUMBER(FIND("IMPVOL",Q$1)),_xll.BDH(config!$G$4,Q$1,WORKDAY($A630,-1,config_Holiday_Calendar_US),WORKDAY($A630,-1,config_Holiday_Calendar_US)),IF(ISNUMBER(_xll.BDH(config!$G$4,Q$1,$A630,$A630)),_xll.BDH(config!$G$4,Q$1,$A630,$A630),_xll.BDH(config!$G$5,Q$1,$A630,$A630))))</f>
        <v/>
      </c>
      <c r="R630" s="8" t="str">
        <f>IF($A630="","",IF(ISNUMBER(FIND("IMPVOL",R$1)),_xll.BDH(config!$G$4,R$1,WORKDAY($A630,-1,config_Holiday_Calendar_US),WORKDAY($A630,-1,config_Holiday_Calendar_US)),IF(ISNUMBER(_xll.BDH(config!$G$4,R$1,$A630,$A630)),_xll.BDH(config!$G$4,R$1,$A630,$A630),_xll.BDH(config!$G$5,R$1,$A630,$A630))))</f>
        <v/>
      </c>
      <c r="S630" s="8" t="str">
        <f>IF($A630="","",IF(ISNUMBER(FIND("IMPVOL",S$1)),_xll.BDH(config!$G$4,S$1,WORKDAY($A630,-1,config_Holiday_Calendar_US),WORKDAY($A630,-1,config_Holiday_Calendar_US)),IF(ISNUMBER(_xll.BDH(config!$G$4,S$1,$A630,$A630)),_xll.BDH(config!$G$4,S$1,$A630,$A630),_xll.BDH(config!$G$5,S$1,$A630,$A630))))</f>
        <v/>
      </c>
      <c r="T630" s="8" t="str">
        <f>IF($A630="","",IF(ISNUMBER(FIND("IMPVOL",T$1)),_xll.BDH(config!$G$4,T$1,WORKDAY($A630,-1,config_Holiday_Calendar_US),WORKDAY($A630,-1,config_Holiday_Calendar_US)),IF(ISNUMBER(_xll.BDH(config!$G$4,T$1,$A630,$A630)),_xll.BDH(config!$G$4,T$1,$A630,$A630),_xll.BDH(config!$G$5,T$1,$A630,$A630))))</f>
        <v/>
      </c>
      <c r="U630" s="8" t="str">
        <f>IF($A630="","",IF(ISNUMBER(FIND("IMPVOL",U$1)),_xll.BDH(config!$G$4,U$1,WORKDAY($A630,-1,config_Holiday_Calendar_US),WORKDAY($A630,-1,config_Holiday_Calendar_US)),IF(ISNUMBER(_xll.BDH(config!$G$4,U$1,$A630,$A630)),_xll.BDH(config!$G$4,U$1,$A630,$A630),_xll.BDH(config!$G$5,U$1,$A630,$A630))))</f>
        <v/>
      </c>
      <c r="V630" s="8" t="str">
        <f>IF($A630="","",IF(ISNUMBER(FIND("IMPVOL",V$1)),_xll.BDH(config!$G$4,V$1,WORKDAY($A630,-1,config_Holiday_Calendar_US),WORKDAY($A630,-1,config_Holiday_Calendar_US)),IF(ISNUMBER(_xll.BDH(config!$G$4,V$1,$A630,$A630)),_xll.BDH(config!$G$4,V$1,$A630,$A630),_xll.BDH(config!$G$5,V$1,$A630,$A630))))</f>
        <v/>
      </c>
      <c r="W630" s="8" t="str">
        <f>IF($A630="","",IF(ISNUMBER(FIND("IMPVOL",W$1)),_xll.BDH(config!$G$4,W$1,WORKDAY($A630,-1,config_Holiday_Calendar_US),WORKDAY($A630,-1,config_Holiday_Calendar_US)),IF(ISNUMBER(_xll.BDH(config!$G$4,W$1,$A630,$A630)),_xll.BDH(config!$G$4,W$1,$A630,$A630),_xll.BDH(config!$G$5,W$1,$A630,$A630))))</f>
        <v/>
      </c>
    </row>
    <row r="631" spans="1:23" x14ac:dyDescent="0.2">
      <c r="A631" s="9" t="str">
        <f>IF(A630="","",IF(WORKDAY(A630,-1,config_Holiday_Calendar_US)&lt;config!$I$10,"",WORKDAY(A630,-1,config_Holiday_Calendar_US)))</f>
        <v/>
      </c>
      <c r="B631" s="8" t="str">
        <f t="shared" si="9"/>
        <v/>
      </c>
      <c r="C631" s="8" t="str">
        <f>IF(A631="","",_xll.BDH(config!$H$4,C$1,$A631,$A631))</f>
        <v/>
      </c>
      <c r="D631" s="8" t="str">
        <f>IF($A631="","",_xll.BDH(config!$H$4,D$1,$A631,$A631))</f>
        <v/>
      </c>
      <c r="E631" s="8" t="str">
        <f>IF($A631="","",IF(ISNUMBER(FIND("IMPVOL",E$1)),_xll.BDH(config!$G$4,E$1,WORKDAY($A631,-1,config_Holiday_Calendar_US),WORKDAY($A631,-1,config_Holiday_Calendar_US)),IF(ISNUMBER(_xll.BDH(config!$G$4,E$1,$A631,$A631)),_xll.BDH(config!$G$4,E$1,$A631,$A631),_xll.BDH(config!$G$5,E$1,$A631,$A631))))</f>
        <v/>
      </c>
      <c r="F631" s="8" t="str">
        <f>IF($A631="","",IF(ISNUMBER(FIND("IMPVOL",F$1)),_xll.BDH(config!$G$4,F$1,WORKDAY($A631,-1,config_Holiday_Calendar_US),WORKDAY($A631,-1,config_Holiday_Calendar_US)),IF(ISNUMBER(_xll.BDH(config!$G$4,F$1,$A631,$A631)),_xll.BDH(config!$G$4,F$1,$A631,$A631),_xll.BDH(config!$G$5,F$1,$A631,$A631))))</f>
        <v/>
      </c>
      <c r="G631" s="8" t="str">
        <f>IF($A631="","",IF(ISNUMBER(FIND("IMPVOL",G$1)),_xll.BDH(config!$G$4,G$1,WORKDAY($A631,-1,config_Holiday_Calendar_US),WORKDAY($A631,-1,config_Holiday_Calendar_US)),IF(ISNUMBER(_xll.BDH(config!$G$4,G$1,$A631,$A631)),_xll.BDH(config!$G$4,G$1,$A631,$A631),_xll.BDH(config!$G$5,G$1,$A631,$A631))))</f>
        <v/>
      </c>
      <c r="H631" s="8" t="str">
        <f>IF($A631="","",IF(ISNUMBER(FIND("IMPVOL",H$1)),_xll.BDH(config!$G$4,H$1,WORKDAY($A631,-1,config_Holiday_Calendar_US),WORKDAY($A631,-1,config_Holiday_Calendar_US)),IF(ISNUMBER(_xll.BDH(config!$G$4,H$1,$A631,$A631)),_xll.BDH(config!$G$4,H$1,$A631,$A631),_xll.BDH(config!$G$5,H$1,$A631,$A631))))</f>
        <v/>
      </c>
      <c r="I631" s="8" t="str">
        <f>IF($A631="","",IF(ISNUMBER(FIND("IMPVOL",I$1)),_xll.BDH(config!$G$4,I$1,WORKDAY($A631,-1,config_Holiday_Calendar_US),WORKDAY($A631,-1,config_Holiday_Calendar_US)),IF(ISNUMBER(_xll.BDH(config!$G$4,I$1,$A631,$A631)),_xll.BDH(config!$G$4,I$1,$A631,$A631),_xll.BDH(config!$G$5,I$1,$A631,$A631))))</f>
        <v/>
      </c>
      <c r="J631" s="8" t="str">
        <f>IF($A631="","",IF(ISNUMBER(FIND("IMPVOL",J$1)),_xll.BDH(config!$G$4,J$1,WORKDAY($A631,-1,config_Holiday_Calendar_US),WORKDAY($A631,-1,config_Holiday_Calendar_US)),IF(ISNUMBER(_xll.BDH(config!$G$4,J$1,$A631,$A631)),_xll.BDH(config!$G$4,J$1,$A631,$A631),_xll.BDH(config!$G$5,J$1,$A631,$A631))))</f>
        <v/>
      </c>
      <c r="K631" s="8" t="str">
        <f>IF($A631="","",IF(ISNUMBER(FIND("IMPVOL",K$1)),_xll.BDH(config!$G$4,K$1,WORKDAY($A631,-1,config_Holiday_Calendar_US),WORKDAY($A631,-1,config_Holiday_Calendar_US)),IF(ISNUMBER(_xll.BDH(config!$G$4,K$1,$A631,$A631)),_xll.BDH(config!$G$4,K$1,$A631,$A631),_xll.BDH(config!$G$5,K$1,$A631,$A631))))</f>
        <v/>
      </c>
      <c r="L631" s="8" t="str">
        <f>IF($A631="","",IF(ISNUMBER(FIND("IMPVOL",L$1)),_xll.BDH(config!$G$4,L$1,WORKDAY($A631,-1,config_Holiday_Calendar_US),WORKDAY($A631,-1,config_Holiday_Calendar_US)),IF(ISNUMBER(_xll.BDH(config!$G$4,L$1,$A631,$A631)),_xll.BDH(config!$G$4,L$1,$A631,$A631),_xll.BDH(config!$G$5,L$1,$A631,$A631))))</f>
        <v/>
      </c>
      <c r="M631" s="8" t="str">
        <f>IF($A631="","",IF(ISNUMBER(FIND("IMPVOL",M$1)),_xll.BDH(config!$G$4,M$1,WORKDAY($A631,-1,config_Holiday_Calendar_US),WORKDAY($A631,-1,config_Holiday_Calendar_US)),IF(ISNUMBER(_xll.BDH(config!$G$4,M$1,$A631,$A631)),_xll.BDH(config!$G$4,M$1,$A631,$A631),_xll.BDH(config!$G$5,M$1,$A631,$A631))))</f>
        <v/>
      </c>
      <c r="N631" s="8" t="str">
        <f>IF($A631="","",IF(ISNUMBER(FIND("IMPVOL",N$1)),_xll.BDH(config!$G$4,N$1,WORKDAY($A631,-1,config_Holiday_Calendar_US),WORKDAY($A631,-1,config_Holiday_Calendar_US)),IF(ISNUMBER(_xll.BDH(config!$G$4,N$1,$A631,$A631)),_xll.BDH(config!$G$4,N$1,$A631,$A631),_xll.BDH(config!$G$5,N$1,$A631,$A631))))</f>
        <v/>
      </c>
      <c r="O631" s="8" t="str">
        <f>IF($A631="","",IF(ISNUMBER(FIND("IMPVOL",O$1)),_xll.BDH(config!$G$4,O$1,WORKDAY($A631,-1,config_Holiday_Calendar_US),WORKDAY($A631,-1,config_Holiday_Calendar_US)),IF(ISNUMBER(_xll.BDH(config!$G$4,O$1,$A631,$A631)),_xll.BDH(config!$G$4,O$1,$A631,$A631),_xll.BDH(config!$G$5,O$1,$A631,$A631))))</f>
        <v/>
      </c>
      <c r="P631" s="8" t="str">
        <f>IF($A631="","",IF(ISNUMBER(FIND("IMPVOL",P$1)),_xll.BDH(config!$G$4,P$1,WORKDAY($A631,-1,config_Holiday_Calendar_US),WORKDAY($A631,-1,config_Holiday_Calendar_US)),IF(ISNUMBER(_xll.BDH(config!$G$4,P$1,$A631,$A631)),_xll.BDH(config!$G$4,P$1,$A631,$A631),_xll.BDH(config!$G$5,P$1,$A631,$A631))))</f>
        <v/>
      </c>
      <c r="Q631" s="8" t="str">
        <f>IF($A631="","",IF(ISNUMBER(FIND("IMPVOL",Q$1)),_xll.BDH(config!$G$4,Q$1,WORKDAY($A631,-1,config_Holiday_Calendar_US),WORKDAY($A631,-1,config_Holiday_Calendar_US)),IF(ISNUMBER(_xll.BDH(config!$G$4,Q$1,$A631,$A631)),_xll.BDH(config!$G$4,Q$1,$A631,$A631),_xll.BDH(config!$G$5,Q$1,$A631,$A631))))</f>
        <v/>
      </c>
      <c r="R631" s="8" t="str">
        <f>IF($A631="","",IF(ISNUMBER(FIND("IMPVOL",R$1)),_xll.BDH(config!$G$4,R$1,WORKDAY($A631,-1,config_Holiday_Calendar_US),WORKDAY($A631,-1,config_Holiday_Calendar_US)),IF(ISNUMBER(_xll.BDH(config!$G$4,R$1,$A631,$A631)),_xll.BDH(config!$G$4,R$1,$A631,$A631),_xll.BDH(config!$G$5,R$1,$A631,$A631))))</f>
        <v/>
      </c>
      <c r="S631" s="8" t="str">
        <f>IF($A631="","",IF(ISNUMBER(FIND("IMPVOL",S$1)),_xll.BDH(config!$G$4,S$1,WORKDAY($A631,-1,config_Holiday_Calendar_US),WORKDAY($A631,-1,config_Holiday_Calendar_US)),IF(ISNUMBER(_xll.BDH(config!$G$4,S$1,$A631,$A631)),_xll.BDH(config!$G$4,S$1,$A631,$A631),_xll.BDH(config!$G$5,S$1,$A631,$A631))))</f>
        <v/>
      </c>
      <c r="T631" s="8" t="str">
        <f>IF($A631="","",IF(ISNUMBER(FIND("IMPVOL",T$1)),_xll.BDH(config!$G$4,T$1,WORKDAY($A631,-1,config_Holiday_Calendar_US),WORKDAY($A631,-1,config_Holiday_Calendar_US)),IF(ISNUMBER(_xll.BDH(config!$G$4,T$1,$A631,$A631)),_xll.BDH(config!$G$4,T$1,$A631,$A631),_xll.BDH(config!$G$5,T$1,$A631,$A631))))</f>
        <v/>
      </c>
      <c r="U631" s="8" t="str">
        <f>IF($A631="","",IF(ISNUMBER(FIND("IMPVOL",U$1)),_xll.BDH(config!$G$4,U$1,WORKDAY($A631,-1,config_Holiday_Calendar_US),WORKDAY($A631,-1,config_Holiday_Calendar_US)),IF(ISNUMBER(_xll.BDH(config!$G$4,U$1,$A631,$A631)),_xll.BDH(config!$G$4,U$1,$A631,$A631),_xll.BDH(config!$G$5,U$1,$A631,$A631))))</f>
        <v/>
      </c>
      <c r="V631" s="8" t="str">
        <f>IF($A631="","",IF(ISNUMBER(FIND("IMPVOL",V$1)),_xll.BDH(config!$G$4,V$1,WORKDAY($A631,-1,config_Holiday_Calendar_US),WORKDAY($A631,-1,config_Holiday_Calendar_US)),IF(ISNUMBER(_xll.BDH(config!$G$4,V$1,$A631,$A631)),_xll.BDH(config!$G$4,V$1,$A631,$A631),_xll.BDH(config!$G$5,V$1,$A631,$A631))))</f>
        <v/>
      </c>
      <c r="W631" s="8" t="str">
        <f>IF($A631="","",IF(ISNUMBER(FIND("IMPVOL",W$1)),_xll.BDH(config!$G$4,W$1,WORKDAY($A631,-1,config_Holiday_Calendar_US),WORKDAY($A631,-1,config_Holiday_Calendar_US)),IF(ISNUMBER(_xll.BDH(config!$G$4,W$1,$A631,$A631)),_xll.BDH(config!$G$4,W$1,$A631,$A631),_xll.BDH(config!$G$5,W$1,$A631,$A631))))</f>
        <v/>
      </c>
    </row>
    <row r="632" spans="1:23" x14ac:dyDescent="0.2">
      <c r="A632" s="9" t="str">
        <f>IF(A631="","",IF(WORKDAY(A631,-1,config_Holiday_Calendar_US)&lt;config!$I$10,"",WORKDAY(A631,-1,config_Holiday_Calendar_US)))</f>
        <v/>
      </c>
      <c r="B632" s="8" t="str">
        <f t="shared" si="9"/>
        <v/>
      </c>
      <c r="C632" s="8" t="str">
        <f>IF(A632="","",_xll.BDH(config!$H$4,C$1,$A632,$A632))</f>
        <v/>
      </c>
      <c r="D632" s="8" t="str">
        <f>IF($A632="","",_xll.BDH(config!$H$4,D$1,$A632,$A632))</f>
        <v/>
      </c>
      <c r="E632" s="8" t="str">
        <f>IF($A632="","",IF(ISNUMBER(FIND("IMPVOL",E$1)),_xll.BDH(config!$G$4,E$1,WORKDAY($A632,-1,config_Holiday_Calendar_US),WORKDAY($A632,-1,config_Holiday_Calendar_US)),IF(ISNUMBER(_xll.BDH(config!$G$4,E$1,$A632,$A632)),_xll.BDH(config!$G$4,E$1,$A632,$A632),_xll.BDH(config!$G$5,E$1,$A632,$A632))))</f>
        <v/>
      </c>
      <c r="F632" s="8" t="str">
        <f>IF($A632="","",IF(ISNUMBER(FIND("IMPVOL",F$1)),_xll.BDH(config!$G$4,F$1,WORKDAY($A632,-1,config_Holiday_Calendar_US),WORKDAY($A632,-1,config_Holiday_Calendar_US)),IF(ISNUMBER(_xll.BDH(config!$G$4,F$1,$A632,$A632)),_xll.BDH(config!$G$4,F$1,$A632,$A632),_xll.BDH(config!$G$5,F$1,$A632,$A632))))</f>
        <v/>
      </c>
      <c r="G632" s="8" t="str">
        <f>IF($A632="","",IF(ISNUMBER(FIND("IMPVOL",G$1)),_xll.BDH(config!$G$4,G$1,WORKDAY($A632,-1,config_Holiday_Calendar_US),WORKDAY($A632,-1,config_Holiday_Calendar_US)),IF(ISNUMBER(_xll.BDH(config!$G$4,G$1,$A632,$A632)),_xll.BDH(config!$G$4,G$1,$A632,$A632),_xll.BDH(config!$G$5,G$1,$A632,$A632))))</f>
        <v/>
      </c>
      <c r="H632" s="8" t="str">
        <f>IF($A632="","",IF(ISNUMBER(FIND("IMPVOL",H$1)),_xll.BDH(config!$G$4,H$1,WORKDAY($A632,-1,config_Holiday_Calendar_US),WORKDAY($A632,-1,config_Holiday_Calendar_US)),IF(ISNUMBER(_xll.BDH(config!$G$4,H$1,$A632,$A632)),_xll.BDH(config!$G$4,H$1,$A632,$A632),_xll.BDH(config!$G$5,H$1,$A632,$A632))))</f>
        <v/>
      </c>
      <c r="I632" s="8" t="str">
        <f>IF($A632="","",IF(ISNUMBER(FIND("IMPVOL",I$1)),_xll.BDH(config!$G$4,I$1,WORKDAY($A632,-1,config_Holiday_Calendar_US),WORKDAY($A632,-1,config_Holiday_Calendar_US)),IF(ISNUMBER(_xll.BDH(config!$G$4,I$1,$A632,$A632)),_xll.BDH(config!$G$4,I$1,$A632,$A632),_xll.BDH(config!$G$5,I$1,$A632,$A632))))</f>
        <v/>
      </c>
      <c r="J632" s="8" t="str">
        <f>IF($A632="","",IF(ISNUMBER(FIND("IMPVOL",J$1)),_xll.BDH(config!$G$4,J$1,WORKDAY($A632,-1,config_Holiday_Calendar_US),WORKDAY($A632,-1,config_Holiday_Calendar_US)),IF(ISNUMBER(_xll.BDH(config!$G$4,J$1,$A632,$A632)),_xll.BDH(config!$G$4,J$1,$A632,$A632),_xll.BDH(config!$G$5,J$1,$A632,$A632))))</f>
        <v/>
      </c>
      <c r="K632" s="8" t="str">
        <f>IF($A632="","",IF(ISNUMBER(FIND("IMPVOL",K$1)),_xll.BDH(config!$G$4,K$1,WORKDAY($A632,-1,config_Holiday_Calendar_US),WORKDAY($A632,-1,config_Holiday_Calendar_US)),IF(ISNUMBER(_xll.BDH(config!$G$4,K$1,$A632,$A632)),_xll.BDH(config!$G$4,K$1,$A632,$A632),_xll.BDH(config!$G$5,K$1,$A632,$A632))))</f>
        <v/>
      </c>
      <c r="L632" s="8" t="str">
        <f>IF($A632="","",IF(ISNUMBER(FIND("IMPVOL",L$1)),_xll.BDH(config!$G$4,L$1,WORKDAY($A632,-1,config_Holiday_Calendar_US),WORKDAY($A632,-1,config_Holiday_Calendar_US)),IF(ISNUMBER(_xll.BDH(config!$G$4,L$1,$A632,$A632)),_xll.BDH(config!$G$4,L$1,$A632,$A632),_xll.BDH(config!$G$5,L$1,$A632,$A632))))</f>
        <v/>
      </c>
      <c r="M632" s="8" t="str">
        <f>IF($A632="","",IF(ISNUMBER(FIND("IMPVOL",M$1)),_xll.BDH(config!$G$4,M$1,WORKDAY($A632,-1,config_Holiday_Calendar_US),WORKDAY($A632,-1,config_Holiday_Calendar_US)),IF(ISNUMBER(_xll.BDH(config!$G$4,M$1,$A632,$A632)),_xll.BDH(config!$G$4,M$1,$A632,$A632),_xll.BDH(config!$G$5,M$1,$A632,$A632))))</f>
        <v/>
      </c>
      <c r="N632" s="8" t="str">
        <f>IF($A632="","",IF(ISNUMBER(FIND("IMPVOL",N$1)),_xll.BDH(config!$G$4,N$1,WORKDAY($A632,-1,config_Holiday_Calendar_US),WORKDAY($A632,-1,config_Holiday_Calendar_US)),IF(ISNUMBER(_xll.BDH(config!$G$4,N$1,$A632,$A632)),_xll.BDH(config!$G$4,N$1,$A632,$A632),_xll.BDH(config!$G$5,N$1,$A632,$A632))))</f>
        <v/>
      </c>
      <c r="O632" s="8" t="str">
        <f>IF($A632="","",IF(ISNUMBER(FIND("IMPVOL",O$1)),_xll.BDH(config!$G$4,O$1,WORKDAY($A632,-1,config_Holiday_Calendar_US),WORKDAY($A632,-1,config_Holiday_Calendar_US)),IF(ISNUMBER(_xll.BDH(config!$G$4,O$1,$A632,$A632)),_xll.BDH(config!$G$4,O$1,$A632,$A632),_xll.BDH(config!$G$5,O$1,$A632,$A632))))</f>
        <v/>
      </c>
      <c r="P632" s="8" t="str">
        <f>IF($A632="","",IF(ISNUMBER(FIND("IMPVOL",P$1)),_xll.BDH(config!$G$4,P$1,WORKDAY($A632,-1,config_Holiday_Calendar_US),WORKDAY($A632,-1,config_Holiday_Calendar_US)),IF(ISNUMBER(_xll.BDH(config!$G$4,P$1,$A632,$A632)),_xll.BDH(config!$G$4,P$1,$A632,$A632),_xll.BDH(config!$G$5,P$1,$A632,$A632))))</f>
        <v/>
      </c>
      <c r="Q632" s="8" t="str">
        <f>IF($A632="","",IF(ISNUMBER(FIND("IMPVOL",Q$1)),_xll.BDH(config!$G$4,Q$1,WORKDAY($A632,-1,config_Holiday_Calendar_US),WORKDAY($A632,-1,config_Holiday_Calendar_US)),IF(ISNUMBER(_xll.BDH(config!$G$4,Q$1,$A632,$A632)),_xll.BDH(config!$G$4,Q$1,$A632,$A632),_xll.BDH(config!$G$5,Q$1,$A632,$A632))))</f>
        <v/>
      </c>
      <c r="R632" s="8" t="str">
        <f>IF($A632="","",IF(ISNUMBER(FIND("IMPVOL",R$1)),_xll.BDH(config!$G$4,R$1,WORKDAY($A632,-1,config_Holiday_Calendar_US),WORKDAY($A632,-1,config_Holiday_Calendar_US)),IF(ISNUMBER(_xll.BDH(config!$G$4,R$1,$A632,$A632)),_xll.BDH(config!$G$4,R$1,$A632,$A632),_xll.BDH(config!$G$5,R$1,$A632,$A632))))</f>
        <v/>
      </c>
      <c r="S632" s="8" t="str">
        <f>IF($A632="","",IF(ISNUMBER(FIND("IMPVOL",S$1)),_xll.BDH(config!$G$4,S$1,WORKDAY($A632,-1,config_Holiday_Calendar_US),WORKDAY($A632,-1,config_Holiday_Calendar_US)),IF(ISNUMBER(_xll.BDH(config!$G$4,S$1,$A632,$A632)),_xll.BDH(config!$G$4,S$1,$A632,$A632),_xll.BDH(config!$G$5,S$1,$A632,$A632))))</f>
        <v/>
      </c>
      <c r="T632" s="8" t="str">
        <f>IF($A632="","",IF(ISNUMBER(FIND("IMPVOL",T$1)),_xll.BDH(config!$G$4,T$1,WORKDAY($A632,-1,config_Holiday_Calendar_US),WORKDAY($A632,-1,config_Holiday_Calendar_US)),IF(ISNUMBER(_xll.BDH(config!$G$4,T$1,$A632,$A632)),_xll.BDH(config!$G$4,T$1,$A632,$A632),_xll.BDH(config!$G$5,T$1,$A632,$A632))))</f>
        <v/>
      </c>
      <c r="U632" s="8" t="str">
        <f>IF($A632="","",IF(ISNUMBER(FIND("IMPVOL",U$1)),_xll.BDH(config!$G$4,U$1,WORKDAY($A632,-1,config_Holiday_Calendar_US),WORKDAY($A632,-1,config_Holiday_Calendar_US)),IF(ISNUMBER(_xll.BDH(config!$G$4,U$1,$A632,$A632)),_xll.BDH(config!$G$4,U$1,$A632,$A632),_xll.BDH(config!$G$5,U$1,$A632,$A632))))</f>
        <v/>
      </c>
      <c r="V632" s="8" t="str">
        <f>IF($A632="","",IF(ISNUMBER(FIND("IMPVOL",V$1)),_xll.BDH(config!$G$4,V$1,WORKDAY($A632,-1,config_Holiday_Calendar_US),WORKDAY($A632,-1,config_Holiday_Calendar_US)),IF(ISNUMBER(_xll.BDH(config!$G$4,V$1,$A632,$A632)),_xll.BDH(config!$G$4,V$1,$A632,$A632),_xll.BDH(config!$G$5,V$1,$A632,$A632))))</f>
        <v/>
      </c>
      <c r="W632" s="8" t="str">
        <f>IF($A632="","",IF(ISNUMBER(FIND("IMPVOL",W$1)),_xll.BDH(config!$G$4,W$1,WORKDAY($A632,-1,config_Holiday_Calendar_US),WORKDAY($A632,-1,config_Holiday_Calendar_US)),IF(ISNUMBER(_xll.BDH(config!$G$4,W$1,$A632,$A632)),_xll.BDH(config!$G$4,W$1,$A632,$A632),_xll.BDH(config!$G$5,W$1,$A632,$A632))))</f>
        <v/>
      </c>
    </row>
    <row r="633" spans="1:23" x14ac:dyDescent="0.2">
      <c r="A633" s="9" t="str">
        <f>IF(A632="","",IF(WORKDAY(A632,-1,config_Holiday_Calendar_US)&lt;config!$I$10,"",WORKDAY(A632,-1,config_Holiday_Calendar_US)))</f>
        <v/>
      </c>
      <c r="B633" s="8" t="str">
        <f t="shared" si="9"/>
        <v/>
      </c>
      <c r="C633" s="8" t="str">
        <f>IF(A633="","",_xll.BDH(config!$H$4,C$1,$A633,$A633))</f>
        <v/>
      </c>
      <c r="D633" s="8" t="str">
        <f>IF($A633="","",_xll.BDH(config!$H$4,D$1,$A633,$A633))</f>
        <v/>
      </c>
      <c r="E633" s="8" t="str">
        <f>IF($A633="","",IF(ISNUMBER(FIND("IMPVOL",E$1)),_xll.BDH(config!$G$4,E$1,WORKDAY($A633,-1,config_Holiday_Calendar_US),WORKDAY($A633,-1,config_Holiday_Calendar_US)),IF(ISNUMBER(_xll.BDH(config!$G$4,E$1,$A633,$A633)),_xll.BDH(config!$G$4,E$1,$A633,$A633),_xll.BDH(config!$G$5,E$1,$A633,$A633))))</f>
        <v/>
      </c>
      <c r="F633" s="8" t="str">
        <f>IF($A633="","",IF(ISNUMBER(FIND("IMPVOL",F$1)),_xll.BDH(config!$G$4,F$1,WORKDAY($A633,-1,config_Holiday_Calendar_US),WORKDAY($A633,-1,config_Holiday_Calendar_US)),IF(ISNUMBER(_xll.BDH(config!$G$4,F$1,$A633,$A633)),_xll.BDH(config!$G$4,F$1,$A633,$A633),_xll.BDH(config!$G$5,F$1,$A633,$A633))))</f>
        <v/>
      </c>
      <c r="G633" s="8" t="str">
        <f>IF($A633="","",IF(ISNUMBER(FIND("IMPVOL",G$1)),_xll.BDH(config!$G$4,G$1,WORKDAY($A633,-1,config_Holiday_Calendar_US),WORKDAY($A633,-1,config_Holiday_Calendar_US)),IF(ISNUMBER(_xll.BDH(config!$G$4,G$1,$A633,$A633)),_xll.BDH(config!$G$4,G$1,$A633,$A633),_xll.BDH(config!$G$5,G$1,$A633,$A633))))</f>
        <v/>
      </c>
      <c r="H633" s="8" t="str">
        <f>IF($A633="","",IF(ISNUMBER(FIND("IMPVOL",H$1)),_xll.BDH(config!$G$4,H$1,WORKDAY($A633,-1,config_Holiday_Calendar_US),WORKDAY($A633,-1,config_Holiday_Calendar_US)),IF(ISNUMBER(_xll.BDH(config!$G$4,H$1,$A633,$A633)),_xll.BDH(config!$G$4,H$1,$A633,$A633),_xll.BDH(config!$G$5,H$1,$A633,$A633))))</f>
        <v/>
      </c>
      <c r="I633" s="8" t="str">
        <f>IF($A633="","",IF(ISNUMBER(FIND("IMPVOL",I$1)),_xll.BDH(config!$G$4,I$1,WORKDAY($A633,-1,config_Holiday_Calendar_US),WORKDAY($A633,-1,config_Holiday_Calendar_US)),IF(ISNUMBER(_xll.BDH(config!$G$4,I$1,$A633,$A633)),_xll.BDH(config!$G$4,I$1,$A633,$A633),_xll.BDH(config!$G$5,I$1,$A633,$A633))))</f>
        <v/>
      </c>
      <c r="J633" s="8" t="str">
        <f>IF($A633="","",IF(ISNUMBER(FIND("IMPVOL",J$1)),_xll.BDH(config!$G$4,J$1,WORKDAY($A633,-1,config_Holiday_Calendar_US),WORKDAY($A633,-1,config_Holiday_Calendar_US)),IF(ISNUMBER(_xll.BDH(config!$G$4,J$1,$A633,$A633)),_xll.BDH(config!$G$4,J$1,$A633,$A633),_xll.BDH(config!$G$5,J$1,$A633,$A633))))</f>
        <v/>
      </c>
      <c r="K633" s="8" t="str">
        <f>IF($A633="","",IF(ISNUMBER(FIND("IMPVOL",K$1)),_xll.BDH(config!$G$4,K$1,WORKDAY($A633,-1,config_Holiday_Calendar_US),WORKDAY($A633,-1,config_Holiday_Calendar_US)),IF(ISNUMBER(_xll.BDH(config!$G$4,K$1,$A633,$A633)),_xll.BDH(config!$G$4,K$1,$A633,$A633),_xll.BDH(config!$G$5,K$1,$A633,$A633))))</f>
        <v/>
      </c>
      <c r="L633" s="8" t="str">
        <f>IF($A633="","",IF(ISNUMBER(FIND("IMPVOL",L$1)),_xll.BDH(config!$G$4,L$1,WORKDAY($A633,-1,config_Holiday_Calendar_US),WORKDAY($A633,-1,config_Holiday_Calendar_US)),IF(ISNUMBER(_xll.BDH(config!$G$4,L$1,$A633,$A633)),_xll.BDH(config!$G$4,L$1,$A633,$A633),_xll.BDH(config!$G$5,L$1,$A633,$A633))))</f>
        <v/>
      </c>
      <c r="M633" s="8" t="str">
        <f>IF($A633="","",IF(ISNUMBER(FIND("IMPVOL",M$1)),_xll.BDH(config!$G$4,M$1,WORKDAY($A633,-1,config_Holiday_Calendar_US),WORKDAY($A633,-1,config_Holiday_Calendar_US)),IF(ISNUMBER(_xll.BDH(config!$G$4,M$1,$A633,$A633)),_xll.BDH(config!$G$4,M$1,$A633,$A633),_xll.BDH(config!$G$5,M$1,$A633,$A633))))</f>
        <v/>
      </c>
      <c r="N633" s="8" t="str">
        <f>IF($A633="","",IF(ISNUMBER(FIND("IMPVOL",N$1)),_xll.BDH(config!$G$4,N$1,WORKDAY($A633,-1,config_Holiday_Calendar_US),WORKDAY($A633,-1,config_Holiday_Calendar_US)),IF(ISNUMBER(_xll.BDH(config!$G$4,N$1,$A633,$A633)),_xll.BDH(config!$G$4,N$1,$A633,$A633),_xll.BDH(config!$G$5,N$1,$A633,$A633))))</f>
        <v/>
      </c>
      <c r="O633" s="8" t="str">
        <f>IF($A633="","",IF(ISNUMBER(FIND("IMPVOL",O$1)),_xll.BDH(config!$G$4,O$1,WORKDAY($A633,-1,config_Holiday_Calendar_US),WORKDAY($A633,-1,config_Holiday_Calendar_US)),IF(ISNUMBER(_xll.BDH(config!$G$4,O$1,$A633,$A633)),_xll.BDH(config!$G$4,O$1,$A633,$A633),_xll.BDH(config!$G$5,O$1,$A633,$A633))))</f>
        <v/>
      </c>
      <c r="P633" s="8" t="str">
        <f>IF($A633="","",IF(ISNUMBER(FIND("IMPVOL",P$1)),_xll.BDH(config!$G$4,P$1,WORKDAY($A633,-1,config_Holiday_Calendar_US),WORKDAY($A633,-1,config_Holiday_Calendar_US)),IF(ISNUMBER(_xll.BDH(config!$G$4,P$1,$A633,$A633)),_xll.BDH(config!$G$4,P$1,$A633,$A633),_xll.BDH(config!$G$5,P$1,$A633,$A633))))</f>
        <v/>
      </c>
      <c r="Q633" s="8" t="str">
        <f>IF($A633="","",IF(ISNUMBER(FIND("IMPVOL",Q$1)),_xll.BDH(config!$G$4,Q$1,WORKDAY($A633,-1,config_Holiday_Calendar_US),WORKDAY($A633,-1,config_Holiday_Calendar_US)),IF(ISNUMBER(_xll.BDH(config!$G$4,Q$1,$A633,$A633)),_xll.BDH(config!$G$4,Q$1,$A633,$A633),_xll.BDH(config!$G$5,Q$1,$A633,$A633))))</f>
        <v/>
      </c>
      <c r="R633" s="8" t="str">
        <f>IF($A633="","",IF(ISNUMBER(FIND("IMPVOL",R$1)),_xll.BDH(config!$G$4,R$1,WORKDAY($A633,-1,config_Holiday_Calendar_US),WORKDAY($A633,-1,config_Holiday_Calendar_US)),IF(ISNUMBER(_xll.BDH(config!$G$4,R$1,$A633,$A633)),_xll.BDH(config!$G$4,R$1,$A633,$A633),_xll.BDH(config!$G$5,R$1,$A633,$A633))))</f>
        <v/>
      </c>
      <c r="S633" s="8" t="str">
        <f>IF($A633="","",IF(ISNUMBER(FIND("IMPVOL",S$1)),_xll.BDH(config!$G$4,S$1,WORKDAY($A633,-1,config_Holiday_Calendar_US),WORKDAY($A633,-1,config_Holiday_Calendar_US)),IF(ISNUMBER(_xll.BDH(config!$G$4,S$1,$A633,$A633)),_xll.BDH(config!$G$4,S$1,$A633,$A633),_xll.BDH(config!$G$5,S$1,$A633,$A633))))</f>
        <v/>
      </c>
      <c r="T633" s="8" t="str">
        <f>IF($A633="","",IF(ISNUMBER(FIND("IMPVOL",T$1)),_xll.BDH(config!$G$4,T$1,WORKDAY($A633,-1,config_Holiday_Calendar_US),WORKDAY($A633,-1,config_Holiday_Calendar_US)),IF(ISNUMBER(_xll.BDH(config!$G$4,T$1,$A633,$A633)),_xll.BDH(config!$G$4,T$1,$A633,$A633),_xll.BDH(config!$G$5,T$1,$A633,$A633))))</f>
        <v/>
      </c>
      <c r="U633" s="8" t="str">
        <f>IF($A633="","",IF(ISNUMBER(FIND("IMPVOL",U$1)),_xll.BDH(config!$G$4,U$1,WORKDAY($A633,-1,config_Holiday_Calendar_US),WORKDAY($A633,-1,config_Holiday_Calendar_US)),IF(ISNUMBER(_xll.BDH(config!$G$4,U$1,$A633,$A633)),_xll.BDH(config!$G$4,U$1,$A633,$A633),_xll.BDH(config!$G$5,U$1,$A633,$A633))))</f>
        <v/>
      </c>
      <c r="V633" s="8" t="str">
        <f>IF($A633="","",IF(ISNUMBER(FIND("IMPVOL",V$1)),_xll.BDH(config!$G$4,V$1,WORKDAY($A633,-1,config_Holiday_Calendar_US),WORKDAY($A633,-1,config_Holiday_Calendar_US)),IF(ISNUMBER(_xll.BDH(config!$G$4,V$1,$A633,$A633)),_xll.BDH(config!$G$4,V$1,$A633,$A633),_xll.BDH(config!$G$5,V$1,$A633,$A633))))</f>
        <v/>
      </c>
      <c r="W633" s="8" t="str">
        <f>IF($A633="","",IF(ISNUMBER(FIND("IMPVOL",W$1)),_xll.BDH(config!$G$4,W$1,WORKDAY($A633,-1,config_Holiday_Calendar_US),WORKDAY($A633,-1,config_Holiday_Calendar_US)),IF(ISNUMBER(_xll.BDH(config!$G$4,W$1,$A633,$A633)),_xll.BDH(config!$G$4,W$1,$A633,$A633),_xll.BDH(config!$G$5,W$1,$A633,$A633))))</f>
        <v/>
      </c>
    </row>
    <row r="634" spans="1:23" x14ac:dyDescent="0.2">
      <c r="A634" s="9" t="str">
        <f>IF(A633="","",IF(WORKDAY(A633,-1,config_Holiday_Calendar_US)&lt;config!$I$10,"",WORKDAY(A633,-1,config_Holiday_Calendar_US)))</f>
        <v/>
      </c>
      <c r="B634" s="8" t="str">
        <f t="shared" si="9"/>
        <v/>
      </c>
      <c r="C634" s="8" t="str">
        <f>IF(A634="","",_xll.BDH(config!$H$4,C$1,$A634,$A634))</f>
        <v/>
      </c>
      <c r="D634" s="8" t="str">
        <f>IF($A634="","",_xll.BDH(config!$H$4,D$1,$A634,$A634))</f>
        <v/>
      </c>
      <c r="E634" s="8" t="str">
        <f>IF($A634="","",IF(ISNUMBER(FIND("IMPVOL",E$1)),_xll.BDH(config!$G$4,E$1,WORKDAY($A634,-1,config_Holiday_Calendar_US),WORKDAY($A634,-1,config_Holiday_Calendar_US)),IF(ISNUMBER(_xll.BDH(config!$G$4,E$1,$A634,$A634)),_xll.BDH(config!$G$4,E$1,$A634,$A634),_xll.BDH(config!$G$5,E$1,$A634,$A634))))</f>
        <v/>
      </c>
      <c r="F634" s="8" t="str">
        <f>IF($A634="","",IF(ISNUMBER(FIND("IMPVOL",F$1)),_xll.BDH(config!$G$4,F$1,WORKDAY($A634,-1,config_Holiday_Calendar_US),WORKDAY($A634,-1,config_Holiday_Calendar_US)),IF(ISNUMBER(_xll.BDH(config!$G$4,F$1,$A634,$A634)),_xll.BDH(config!$G$4,F$1,$A634,$A634),_xll.BDH(config!$G$5,F$1,$A634,$A634))))</f>
        <v/>
      </c>
      <c r="G634" s="8" t="str">
        <f>IF($A634="","",IF(ISNUMBER(FIND("IMPVOL",G$1)),_xll.BDH(config!$G$4,G$1,WORKDAY($A634,-1,config_Holiday_Calendar_US),WORKDAY($A634,-1,config_Holiday_Calendar_US)),IF(ISNUMBER(_xll.BDH(config!$G$4,G$1,$A634,$A634)),_xll.BDH(config!$G$4,G$1,$A634,$A634),_xll.BDH(config!$G$5,G$1,$A634,$A634))))</f>
        <v/>
      </c>
      <c r="H634" s="8" t="str">
        <f>IF($A634="","",IF(ISNUMBER(FIND("IMPVOL",H$1)),_xll.BDH(config!$G$4,H$1,WORKDAY($A634,-1,config_Holiday_Calendar_US),WORKDAY($A634,-1,config_Holiday_Calendar_US)),IF(ISNUMBER(_xll.BDH(config!$G$4,H$1,$A634,$A634)),_xll.BDH(config!$G$4,H$1,$A634,$A634),_xll.BDH(config!$G$5,H$1,$A634,$A634))))</f>
        <v/>
      </c>
      <c r="I634" s="8" t="str">
        <f>IF($A634="","",IF(ISNUMBER(FIND("IMPVOL",I$1)),_xll.BDH(config!$G$4,I$1,WORKDAY($A634,-1,config_Holiday_Calendar_US),WORKDAY($A634,-1,config_Holiday_Calendar_US)),IF(ISNUMBER(_xll.BDH(config!$G$4,I$1,$A634,$A634)),_xll.BDH(config!$G$4,I$1,$A634,$A634),_xll.BDH(config!$G$5,I$1,$A634,$A634))))</f>
        <v/>
      </c>
      <c r="J634" s="8" t="str">
        <f>IF($A634="","",IF(ISNUMBER(FIND("IMPVOL",J$1)),_xll.BDH(config!$G$4,J$1,WORKDAY($A634,-1,config_Holiday_Calendar_US),WORKDAY($A634,-1,config_Holiday_Calendar_US)),IF(ISNUMBER(_xll.BDH(config!$G$4,J$1,$A634,$A634)),_xll.BDH(config!$G$4,J$1,$A634,$A634),_xll.BDH(config!$G$5,J$1,$A634,$A634))))</f>
        <v/>
      </c>
      <c r="K634" s="8" t="str">
        <f>IF($A634="","",IF(ISNUMBER(FIND("IMPVOL",K$1)),_xll.BDH(config!$G$4,K$1,WORKDAY($A634,-1,config_Holiday_Calendar_US),WORKDAY($A634,-1,config_Holiday_Calendar_US)),IF(ISNUMBER(_xll.BDH(config!$G$4,K$1,$A634,$A634)),_xll.BDH(config!$G$4,K$1,$A634,$A634),_xll.BDH(config!$G$5,K$1,$A634,$A634))))</f>
        <v/>
      </c>
      <c r="L634" s="8" t="str">
        <f>IF($A634="","",IF(ISNUMBER(FIND("IMPVOL",L$1)),_xll.BDH(config!$G$4,L$1,WORKDAY($A634,-1,config_Holiday_Calendar_US),WORKDAY($A634,-1,config_Holiday_Calendar_US)),IF(ISNUMBER(_xll.BDH(config!$G$4,L$1,$A634,$A634)),_xll.BDH(config!$G$4,L$1,$A634,$A634),_xll.BDH(config!$G$5,L$1,$A634,$A634))))</f>
        <v/>
      </c>
      <c r="M634" s="8" t="str">
        <f>IF($A634="","",IF(ISNUMBER(FIND("IMPVOL",M$1)),_xll.BDH(config!$G$4,M$1,WORKDAY($A634,-1,config_Holiday_Calendar_US),WORKDAY($A634,-1,config_Holiday_Calendar_US)),IF(ISNUMBER(_xll.BDH(config!$G$4,M$1,$A634,$A634)),_xll.BDH(config!$G$4,M$1,$A634,$A634),_xll.BDH(config!$G$5,M$1,$A634,$A634))))</f>
        <v/>
      </c>
      <c r="N634" s="8" t="str">
        <f>IF($A634="","",IF(ISNUMBER(FIND("IMPVOL",N$1)),_xll.BDH(config!$G$4,N$1,WORKDAY($A634,-1,config_Holiday_Calendar_US),WORKDAY($A634,-1,config_Holiday_Calendar_US)),IF(ISNUMBER(_xll.BDH(config!$G$4,N$1,$A634,$A634)),_xll.BDH(config!$G$4,N$1,$A634,$A634),_xll.BDH(config!$G$5,N$1,$A634,$A634))))</f>
        <v/>
      </c>
      <c r="O634" s="8" t="str">
        <f>IF($A634="","",IF(ISNUMBER(FIND("IMPVOL",O$1)),_xll.BDH(config!$G$4,O$1,WORKDAY($A634,-1,config_Holiday_Calendar_US),WORKDAY($A634,-1,config_Holiday_Calendar_US)),IF(ISNUMBER(_xll.BDH(config!$G$4,O$1,$A634,$A634)),_xll.BDH(config!$G$4,O$1,$A634,$A634),_xll.BDH(config!$G$5,O$1,$A634,$A634))))</f>
        <v/>
      </c>
      <c r="P634" s="8" t="str">
        <f>IF($A634="","",IF(ISNUMBER(FIND("IMPVOL",P$1)),_xll.BDH(config!$G$4,P$1,WORKDAY($A634,-1,config_Holiday_Calendar_US),WORKDAY($A634,-1,config_Holiday_Calendar_US)),IF(ISNUMBER(_xll.BDH(config!$G$4,P$1,$A634,$A634)),_xll.BDH(config!$G$4,P$1,$A634,$A634),_xll.BDH(config!$G$5,P$1,$A634,$A634))))</f>
        <v/>
      </c>
      <c r="Q634" s="8" t="str">
        <f>IF($A634="","",IF(ISNUMBER(FIND("IMPVOL",Q$1)),_xll.BDH(config!$G$4,Q$1,WORKDAY($A634,-1,config_Holiday_Calendar_US),WORKDAY($A634,-1,config_Holiday_Calendar_US)),IF(ISNUMBER(_xll.BDH(config!$G$4,Q$1,$A634,$A634)),_xll.BDH(config!$G$4,Q$1,$A634,$A634),_xll.BDH(config!$G$5,Q$1,$A634,$A634))))</f>
        <v/>
      </c>
      <c r="R634" s="8" t="str">
        <f>IF($A634="","",IF(ISNUMBER(FIND("IMPVOL",R$1)),_xll.BDH(config!$G$4,R$1,WORKDAY($A634,-1,config_Holiday_Calendar_US),WORKDAY($A634,-1,config_Holiday_Calendar_US)),IF(ISNUMBER(_xll.BDH(config!$G$4,R$1,$A634,$A634)),_xll.BDH(config!$G$4,R$1,$A634,$A634),_xll.BDH(config!$G$5,R$1,$A634,$A634))))</f>
        <v/>
      </c>
      <c r="S634" s="8" t="str">
        <f>IF($A634="","",IF(ISNUMBER(FIND("IMPVOL",S$1)),_xll.BDH(config!$G$4,S$1,WORKDAY($A634,-1,config_Holiday_Calendar_US),WORKDAY($A634,-1,config_Holiday_Calendar_US)),IF(ISNUMBER(_xll.BDH(config!$G$4,S$1,$A634,$A634)),_xll.BDH(config!$G$4,S$1,$A634,$A634),_xll.BDH(config!$G$5,S$1,$A634,$A634))))</f>
        <v/>
      </c>
      <c r="T634" s="8" t="str">
        <f>IF($A634="","",IF(ISNUMBER(FIND("IMPVOL",T$1)),_xll.BDH(config!$G$4,T$1,WORKDAY($A634,-1,config_Holiday_Calendar_US),WORKDAY($A634,-1,config_Holiday_Calendar_US)),IF(ISNUMBER(_xll.BDH(config!$G$4,T$1,$A634,$A634)),_xll.BDH(config!$G$4,T$1,$A634,$A634),_xll.BDH(config!$G$5,T$1,$A634,$A634))))</f>
        <v/>
      </c>
      <c r="U634" s="8" t="str">
        <f>IF($A634="","",IF(ISNUMBER(FIND("IMPVOL",U$1)),_xll.BDH(config!$G$4,U$1,WORKDAY($A634,-1,config_Holiday_Calendar_US),WORKDAY($A634,-1,config_Holiday_Calendar_US)),IF(ISNUMBER(_xll.BDH(config!$G$4,U$1,$A634,$A634)),_xll.BDH(config!$G$4,U$1,$A634,$A634),_xll.BDH(config!$G$5,U$1,$A634,$A634))))</f>
        <v/>
      </c>
      <c r="V634" s="8" t="str">
        <f>IF($A634="","",IF(ISNUMBER(FIND("IMPVOL",V$1)),_xll.BDH(config!$G$4,V$1,WORKDAY($A634,-1,config_Holiday_Calendar_US),WORKDAY($A634,-1,config_Holiday_Calendar_US)),IF(ISNUMBER(_xll.BDH(config!$G$4,V$1,$A634,$A634)),_xll.BDH(config!$G$4,V$1,$A634,$A634),_xll.BDH(config!$G$5,V$1,$A634,$A634))))</f>
        <v/>
      </c>
      <c r="W634" s="8" t="str">
        <f>IF($A634="","",IF(ISNUMBER(FIND("IMPVOL",W$1)),_xll.BDH(config!$G$4,W$1,WORKDAY($A634,-1,config_Holiday_Calendar_US),WORKDAY($A634,-1,config_Holiday_Calendar_US)),IF(ISNUMBER(_xll.BDH(config!$G$4,W$1,$A634,$A634)),_xll.BDH(config!$G$4,W$1,$A634,$A634),_xll.BDH(config!$G$5,W$1,$A634,$A634))))</f>
        <v/>
      </c>
    </row>
    <row r="635" spans="1:23" x14ac:dyDescent="0.2">
      <c r="A635" s="9" t="str">
        <f>IF(A634="","",IF(WORKDAY(A634,-1,config_Holiday_Calendar_US)&lt;config!$I$10,"",WORKDAY(A634,-1,config_Holiday_Calendar_US)))</f>
        <v/>
      </c>
      <c r="B635" s="8" t="str">
        <f t="shared" si="9"/>
        <v/>
      </c>
      <c r="C635" s="8" t="str">
        <f>IF(A635="","",_xll.BDH(config!$H$4,C$1,$A635,$A635))</f>
        <v/>
      </c>
      <c r="D635" s="8" t="str">
        <f>IF($A635="","",_xll.BDH(config!$H$4,D$1,$A635,$A635))</f>
        <v/>
      </c>
      <c r="E635" s="8" t="str">
        <f>IF($A635="","",IF(ISNUMBER(FIND("IMPVOL",E$1)),_xll.BDH(config!$G$4,E$1,WORKDAY($A635,-1,config_Holiday_Calendar_US),WORKDAY($A635,-1,config_Holiday_Calendar_US)),IF(ISNUMBER(_xll.BDH(config!$G$4,E$1,$A635,$A635)),_xll.BDH(config!$G$4,E$1,$A635,$A635),_xll.BDH(config!$G$5,E$1,$A635,$A635))))</f>
        <v/>
      </c>
      <c r="F635" s="8" t="str">
        <f>IF($A635="","",IF(ISNUMBER(FIND("IMPVOL",F$1)),_xll.BDH(config!$G$4,F$1,WORKDAY($A635,-1,config_Holiday_Calendar_US),WORKDAY($A635,-1,config_Holiday_Calendar_US)),IF(ISNUMBER(_xll.BDH(config!$G$4,F$1,$A635,$A635)),_xll.BDH(config!$G$4,F$1,$A635,$A635),_xll.BDH(config!$G$5,F$1,$A635,$A635))))</f>
        <v/>
      </c>
      <c r="G635" s="8" t="str">
        <f>IF($A635="","",IF(ISNUMBER(FIND("IMPVOL",G$1)),_xll.BDH(config!$G$4,G$1,WORKDAY($A635,-1,config_Holiday_Calendar_US),WORKDAY($A635,-1,config_Holiday_Calendar_US)),IF(ISNUMBER(_xll.BDH(config!$G$4,G$1,$A635,$A635)),_xll.BDH(config!$G$4,G$1,$A635,$A635),_xll.BDH(config!$G$5,G$1,$A635,$A635))))</f>
        <v/>
      </c>
      <c r="H635" s="8" t="str">
        <f>IF($A635="","",IF(ISNUMBER(FIND("IMPVOL",H$1)),_xll.BDH(config!$G$4,H$1,WORKDAY($A635,-1,config_Holiday_Calendar_US),WORKDAY($A635,-1,config_Holiday_Calendar_US)),IF(ISNUMBER(_xll.BDH(config!$G$4,H$1,$A635,$A635)),_xll.BDH(config!$G$4,H$1,$A635,$A635),_xll.BDH(config!$G$5,H$1,$A635,$A635))))</f>
        <v/>
      </c>
      <c r="I635" s="8" t="str">
        <f>IF($A635="","",IF(ISNUMBER(FIND("IMPVOL",I$1)),_xll.BDH(config!$G$4,I$1,WORKDAY($A635,-1,config_Holiday_Calendar_US),WORKDAY($A635,-1,config_Holiday_Calendar_US)),IF(ISNUMBER(_xll.BDH(config!$G$4,I$1,$A635,$A635)),_xll.BDH(config!$G$4,I$1,$A635,$A635),_xll.BDH(config!$G$5,I$1,$A635,$A635))))</f>
        <v/>
      </c>
      <c r="J635" s="8" t="str">
        <f>IF($A635="","",IF(ISNUMBER(FIND("IMPVOL",J$1)),_xll.BDH(config!$G$4,J$1,WORKDAY($A635,-1,config_Holiday_Calendar_US),WORKDAY($A635,-1,config_Holiday_Calendar_US)),IF(ISNUMBER(_xll.BDH(config!$G$4,J$1,$A635,$A635)),_xll.BDH(config!$G$4,J$1,$A635,$A635),_xll.BDH(config!$G$5,J$1,$A635,$A635))))</f>
        <v/>
      </c>
      <c r="K635" s="8" t="str">
        <f>IF($A635="","",IF(ISNUMBER(FIND("IMPVOL",K$1)),_xll.BDH(config!$G$4,K$1,WORKDAY($A635,-1,config_Holiday_Calendar_US),WORKDAY($A635,-1,config_Holiday_Calendar_US)),IF(ISNUMBER(_xll.BDH(config!$G$4,K$1,$A635,$A635)),_xll.BDH(config!$G$4,K$1,$A635,$A635),_xll.BDH(config!$G$5,K$1,$A635,$A635))))</f>
        <v/>
      </c>
      <c r="L635" s="8" t="str">
        <f>IF($A635="","",IF(ISNUMBER(FIND("IMPVOL",L$1)),_xll.BDH(config!$G$4,L$1,WORKDAY($A635,-1,config_Holiday_Calendar_US),WORKDAY($A635,-1,config_Holiday_Calendar_US)),IF(ISNUMBER(_xll.BDH(config!$G$4,L$1,$A635,$A635)),_xll.BDH(config!$G$4,L$1,$A635,$A635),_xll.BDH(config!$G$5,L$1,$A635,$A635))))</f>
        <v/>
      </c>
      <c r="M635" s="8" t="str">
        <f>IF($A635="","",IF(ISNUMBER(FIND("IMPVOL",M$1)),_xll.BDH(config!$G$4,M$1,WORKDAY($A635,-1,config_Holiday_Calendar_US),WORKDAY($A635,-1,config_Holiday_Calendar_US)),IF(ISNUMBER(_xll.BDH(config!$G$4,M$1,$A635,$A635)),_xll.BDH(config!$G$4,M$1,$A635,$A635),_xll.BDH(config!$G$5,M$1,$A635,$A635))))</f>
        <v/>
      </c>
      <c r="N635" s="8" t="str">
        <f>IF($A635="","",IF(ISNUMBER(FIND("IMPVOL",N$1)),_xll.BDH(config!$G$4,N$1,WORKDAY($A635,-1,config_Holiday_Calendar_US),WORKDAY($A635,-1,config_Holiday_Calendar_US)),IF(ISNUMBER(_xll.BDH(config!$G$4,N$1,$A635,$A635)),_xll.BDH(config!$G$4,N$1,$A635,$A635),_xll.BDH(config!$G$5,N$1,$A635,$A635))))</f>
        <v/>
      </c>
      <c r="O635" s="8" t="str">
        <f>IF($A635="","",IF(ISNUMBER(FIND("IMPVOL",O$1)),_xll.BDH(config!$G$4,O$1,WORKDAY($A635,-1,config_Holiday_Calendar_US),WORKDAY($A635,-1,config_Holiday_Calendar_US)),IF(ISNUMBER(_xll.BDH(config!$G$4,O$1,$A635,$A635)),_xll.BDH(config!$G$4,O$1,$A635,$A635),_xll.BDH(config!$G$5,O$1,$A635,$A635))))</f>
        <v/>
      </c>
      <c r="P635" s="8" t="str">
        <f>IF($A635="","",IF(ISNUMBER(FIND("IMPVOL",P$1)),_xll.BDH(config!$G$4,P$1,WORKDAY($A635,-1,config_Holiday_Calendar_US),WORKDAY($A635,-1,config_Holiday_Calendar_US)),IF(ISNUMBER(_xll.BDH(config!$G$4,P$1,$A635,$A635)),_xll.BDH(config!$G$4,P$1,$A635,$A635),_xll.BDH(config!$G$5,P$1,$A635,$A635))))</f>
        <v/>
      </c>
      <c r="Q635" s="8" t="str">
        <f>IF($A635="","",IF(ISNUMBER(FIND("IMPVOL",Q$1)),_xll.BDH(config!$G$4,Q$1,WORKDAY($A635,-1,config_Holiday_Calendar_US),WORKDAY($A635,-1,config_Holiday_Calendar_US)),IF(ISNUMBER(_xll.BDH(config!$G$4,Q$1,$A635,$A635)),_xll.BDH(config!$G$4,Q$1,$A635,$A635),_xll.BDH(config!$G$5,Q$1,$A635,$A635))))</f>
        <v/>
      </c>
      <c r="R635" s="8" t="str">
        <f>IF($A635="","",IF(ISNUMBER(FIND("IMPVOL",R$1)),_xll.BDH(config!$G$4,R$1,WORKDAY($A635,-1,config_Holiday_Calendar_US),WORKDAY($A635,-1,config_Holiday_Calendar_US)),IF(ISNUMBER(_xll.BDH(config!$G$4,R$1,$A635,$A635)),_xll.BDH(config!$G$4,R$1,$A635,$A635),_xll.BDH(config!$G$5,R$1,$A635,$A635))))</f>
        <v/>
      </c>
      <c r="S635" s="8" t="str">
        <f>IF($A635="","",IF(ISNUMBER(FIND("IMPVOL",S$1)),_xll.BDH(config!$G$4,S$1,WORKDAY($A635,-1,config_Holiday_Calendar_US),WORKDAY($A635,-1,config_Holiday_Calendar_US)),IF(ISNUMBER(_xll.BDH(config!$G$4,S$1,$A635,$A635)),_xll.BDH(config!$G$4,S$1,$A635,$A635),_xll.BDH(config!$G$5,S$1,$A635,$A635))))</f>
        <v/>
      </c>
      <c r="T635" s="8" t="str">
        <f>IF($A635="","",IF(ISNUMBER(FIND("IMPVOL",T$1)),_xll.BDH(config!$G$4,T$1,WORKDAY($A635,-1,config_Holiday_Calendar_US),WORKDAY($A635,-1,config_Holiday_Calendar_US)),IF(ISNUMBER(_xll.BDH(config!$G$4,T$1,$A635,$A635)),_xll.BDH(config!$G$4,T$1,$A635,$A635),_xll.BDH(config!$G$5,T$1,$A635,$A635))))</f>
        <v/>
      </c>
      <c r="U635" s="8" t="str">
        <f>IF($A635="","",IF(ISNUMBER(FIND("IMPVOL",U$1)),_xll.BDH(config!$G$4,U$1,WORKDAY($A635,-1,config_Holiday_Calendar_US),WORKDAY($A635,-1,config_Holiday_Calendar_US)),IF(ISNUMBER(_xll.BDH(config!$G$4,U$1,$A635,$A635)),_xll.BDH(config!$G$4,U$1,$A635,$A635),_xll.BDH(config!$G$5,U$1,$A635,$A635))))</f>
        <v/>
      </c>
      <c r="V635" s="8" t="str">
        <f>IF($A635="","",IF(ISNUMBER(FIND("IMPVOL",V$1)),_xll.BDH(config!$G$4,V$1,WORKDAY($A635,-1,config_Holiday_Calendar_US),WORKDAY($A635,-1,config_Holiday_Calendar_US)),IF(ISNUMBER(_xll.BDH(config!$G$4,V$1,$A635,$A635)),_xll.BDH(config!$G$4,V$1,$A635,$A635),_xll.BDH(config!$G$5,V$1,$A635,$A635))))</f>
        <v/>
      </c>
      <c r="W635" s="8" t="str">
        <f>IF($A635="","",IF(ISNUMBER(FIND("IMPVOL",W$1)),_xll.BDH(config!$G$4,W$1,WORKDAY($A635,-1,config_Holiday_Calendar_US),WORKDAY($A635,-1,config_Holiday_Calendar_US)),IF(ISNUMBER(_xll.BDH(config!$G$4,W$1,$A635,$A635)),_xll.BDH(config!$G$4,W$1,$A635,$A635),_xll.BDH(config!$G$5,W$1,$A635,$A635))))</f>
        <v/>
      </c>
    </row>
    <row r="636" spans="1:23" x14ac:dyDescent="0.2">
      <c r="A636" s="9" t="str">
        <f>IF(A635="","",IF(WORKDAY(A635,-1,config_Holiday_Calendar_US)&lt;config!$I$10,"",WORKDAY(A635,-1,config_Holiday_Calendar_US)))</f>
        <v/>
      </c>
      <c r="B636" s="8" t="str">
        <f t="shared" si="9"/>
        <v/>
      </c>
      <c r="C636" s="8" t="str">
        <f>IF(A636="","",_xll.BDH(config!$H$4,C$1,$A636,$A636))</f>
        <v/>
      </c>
      <c r="D636" s="8" t="str">
        <f>IF($A636="","",_xll.BDH(config!$H$4,D$1,$A636,$A636))</f>
        <v/>
      </c>
      <c r="E636" s="8" t="str">
        <f>IF($A636="","",IF(ISNUMBER(FIND("IMPVOL",E$1)),_xll.BDH(config!$G$4,E$1,WORKDAY($A636,-1,config_Holiday_Calendar_US),WORKDAY($A636,-1,config_Holiday_Calendar_US)),IF(ISNUMBER(_xll.BDH(config!$G$4,E$1,$A636,$A636)),_xll.BDH(config!$G$4,E$1,$A636,$A636),_xll.BDH(config!$G$5,E$1,$A636,$A636))))</f>
        <v/>
      </c>
      <c r="F636" s="8" t="str">
        <f>IF($A636="","",IF(ISNUMBER(FIND("IMPVOL",F$1)),_xll.BDH(config!$G$4,F$1,WORKDAY($A636,-1,config_Holiday_Calendar_US),WORKDAY($A636,-1,config_Holiday_Calendar_US)),IF(ISNUMBER(_xll.BDH(config!$G$4,F$1,$A636,$A636)),_xll.BDH(config!$G$4,F$1,$A636,$A636),_xll.BDH(config!$G$5,F$1,$A636,$A636))))</f>
        <v/>
      </c>
      <c r="G636" s="8" t="str">
        <f>IF($A636="","",IF(ISNUMBER(FIND("IMPVOL",G$1)),_xll.BDH(config!$G$4,G$1,WORKDAY($A636,-1,config_Holiday_Calendar_US),WORKDAY($A636,-1,config_Holiday_Calendar_US)),IF(ISNUMBER(_xll.BDH(config!$G$4,G$1,$A636,$A636)),_xll.BDH(config!$G$4,G$1,$A636,$A636),_xll.BDH(config!$G$5,G$1,$A636,$A636))))</f>
        <v/>
      </c>
      <c r="H636" s="8" t="str">
        <f>IF($A636="","",IF(ISNUMBER(FIND("IMPVOL",H$1)),_xll.BDH(config!$G$4,H$1,WORKDAY($A636,-1,config_Holiday_Calendar_US),WORKDAY($A636,-1,config_Holiday_Calendar_US)),IF(ISNUMBER(_xll.BDH(config!$G$4,H$1,$A636,$A636)),_xll.BDH(config!$G$4,H$1,$A636,$A636),_xll.BDH(config!$G$5,H$1,$A636,$A636))))</f>
        <v/>
      </c>
      <c r="I636" s="8" t="str">
        <f>IF($A636="","",IF(ISNUMBER(FIND("IMPVOL",I$1)),_xll.BDH(config!$G$4,I$1,WORKDAY($A636,-1,config_Holiday_Calendar_US),WORKDAY($A636,-1,config_Holiday_Calendar_US)),IF(ISNUMBER(_xll.BDH(config!$G$4,I$1,$A636,$A636)),_xll.BDH(config!$G$4,I$1,$A636,$A636),_xll.BDH(config!$G$5,I$1,$A636,$A636))))</f>
        <v/>
      </c>
      <c r="J636" s="8" t="str">
        <f>IF($A636="","",IF(ISNUMBER(FIND("IMPVOL",J$1)),_xll.BDH(config!$G$4,J$1,WORKDAY($A636,-1,config_Holiday_Calendar_US),WORKDAY($A636,-1,config_Holiday_Calendar_US)),IF(ISNUMBER(_xll.BDH(config!$G$4,J$1,$A636,$A636)),_xll.BDH(config!$G$4,J$1,$A636,$A636),_xll.BDH(config!$G$5,J$1,$A636,$A636))))</f>
        <v/>
      </c>
      <c r="K636" s="8" t="str">
        <f>IF($A636="","",IF(ISNUMBER(FIND("IMPVOL",K$1)),_xll.BDH(config!$G$4,K$1,WORKDAY($A636,-1,config_Holiday_Calendar_US),WORKDAY($A636,-1,config_Holiday_Calendar_US)),IF(ISNUMBER(_xll.BDH(config!$G$4,K$1,$A636,$A636)),_xll.BDH(config!$G$4,K$1,$A636,$A636),_xll.BDH(config!$G$5,K$1,$A636,$A636))))</f>
        <v/>
      </c>
      <c r="L636" s="8" t="str">
        <f>IF($A636="","",IF(ISNUMBER(FIND("IMPVOL",L$1)),_xll.BDH(config!$G$4,L$1,WORKDAY($A636,-1,config_Holiday_Calendar_US),WORKDAY($A636,-1,config_Holiday_Calendar_US)),IF(ISNUMBER(_xll.BDH(config!$G$4,L$1,$A636,$A636)),_xll.BDH(config!$G$4,L$1,$A636,$A636),_xll.BDH(config!$G$5,L$1,$A636,$A636))))</f>
        <v/>
      </c>
      <c r="M636" s="8" t="str">
        <f>IF($A636="","",IF(ISNUMBER(FIND("IMPVOL",M$1)),_xll.BDH(config!$G$4,M$1,WORKDAY($A636,-1,config_Holiday_Calendar_US),WORKDAY($A636,-1,config_Holiday_Calendar_US)),IF(ISNUMBER(_xll.BDH(config!$G$4,M$1,$A636,$A636)),_xll.BDH(config!$G$4,M$1,$A636,$A636),_xll.BDH(config!$G$5,M$1,$A636,$A636))))</f>
        <v/>
      </c>
      <c r="N636" s="8" t="str">
        <f>IF($A636="","",IF(ISNUMBER(FIND("IMPVOL",N$1)),_xll.BDH(config!$G$4,N$1,WORKDAY($A636,-1,config_Holiday_Calendar_US),WORKDAY($A636,-1,config_Holiday_Calendar_US)),IF(ISNUMBER(_xll.BDH(config!$G$4,N$1,$A636,$A636)),_xll.BDH(config!$G$4,N$1,$A636,$A636),_xll.BDH(config!$G$5,N$1,$A636,$A636))))</f>
        <v/>
      </c>
      <c r="O636" s="8" t="str">
        <f>IF($A636="","",IF(ISNUMBER(FIND("IMPVOL",O$1)),_xll.BDH(config!$G$4,O$1,WORKDAY($A636,-1,config_Holiday_Calendar_US),WORKDAY($A636,-1,config_Holiday_Calendar_US)),IF(ISNUMBER(_xll.BDH(config!$G$4,O$1,$A636,$A636)),_xll.BDH(config!$G$4,O$1,$A636,$A636),_xll.BDH(config!$G$5,O$1,$A636,$A636))))</f>
        <v/>
      </c>
      <c r="P636" s="8" t="str">
        <f>IF($A636="","",IF(ISNUMBER(FIND("IMPVOL",P$1)),_xll.BDH(config!$G$4,P$1,WORKDAY($A636,-1,config_Holiday_Calendar_US),WORKDAY($A636,-1,config_Holiday_Calendar_US)),IF(ISNUMBER(_xll.BDH(config!$G$4,P$1,$A636,$A636)),_xll.BDH(config!$G$4,P$1,$A636,$A636),_xll.BDH(config!$G$5,P$1,$A636,$A636))))</f>
        <v/>
      </c>
      <c r="Q636" s="8" t="str">
        <f>IF($A636="","",IF(ISNUMBER(FIND("IMPVOL",Q$1)),_xll.BDH(config!$G$4,Q$1,WORKDAY($A636,-1,config_Holiday_Calendar_US),WORKDAY($A636,-1,config_Holiday_Calendar_US)),IF(ISNUMBER(_xll.BDH(config!$G$4,Q$1,$A636,$A636)),_xll.BDH(config!$G$4,Q$1,$A636,$A636),_xll.BDH(config!$G$5,Q$1,$A636,$A636))))</f>
        <v/>
      </c>
      <c r="R636" s="8" t="str">
        <f>IF($A636="","",IF(ISNUMBER(FIND("IMPVOL",R$1)),_xll.BDH(config!$G$4,R$1,WORKDAY($A636,-1,config_Holiday_Calendar_US),WORKDAY($A636,-1,config_Holiday_Calendar_US)),IF(ISNUMBER(_xll.BDH(config!$G$4,R$1,$A636,$A636)),_xll.BDH(config!$G$4,R$1,$A636,$A636),_xll.BDH(config!$G$5,R$1,$A636,$A636))))</f>
        <v/>
      </c>
      <c r="S636" s="8" t="str">
        <f>IF($A636="","",IF(ISNUMBER(FIND("IMPVOL",S$1)),_xll.BDH(config!$G$4,S$1,WORKDAY($A636,-1,config_Holiday_Calendar_US),WORKDAY($A636,-1,config_Holiday_Calendar_US)),IF(ISNUMBER(_xll.BDH(config!$G$4,S$1,$A636,$A636)),_xll.BDH(config!$G$4,S$1,$A636,$A636),_xll.BDH(config!$G$5,S$1,$A636,$A636))))</f>
        <v/>
      </c>
      <c r="T636" s="8" t="str">
        <f>IF($A636="","",IF(ISNUMBER(FIND("IMPVOL",T$1)),_xll.BDH(config!$G$4,T$1,WORKDAY($A636,-1,config_Holiday_Calendar_US),WORKDAY($A636,-1,config_Holiday_Calendar_US)),IF(ISNUMBER(_xll.BDH(config!$G$4,T$1,$A636,$A636)),_xll.BDH(config!$G$4,T$1,$A636,$A636),_xll.BDH(config!$G$5,T$1,$A636,$A636))))</f>
        <v/>
      </c>
      <c r="U636" s="8" t="str">
        <f>IF($A636="","",IF(ISNUMBER(FIND("IMPVOL",U$1)),_xll.BDH(config!$G$4,U$1,WORKDAY($A636,-1,config_Holiday_Calendar_US),WORKDAY($A636,-1,config_Holiday_Calendar_US)),IF(ISNUMBER(_xll.BDH(config!$G$4,U$1,$A636,$A636)),_xll.BDH(config!$G$4,U$1,$A636,$A636),_xll.BDH(config!$G$5,U$1,$A636,$A636))))</f>
        <v/>
      </c>
      <c r="V636" s="8" t="str">
        <f>IF($A636="","",IF(ISNUMBER(FIND("IMPVOL",V$1)),_xll.BDH(config!$G$4,V$1,WORKDAY($A636,-1,config_Holiday_Calendar_US),WORKDAY($A636,-1,config_Holiday_Calendar_US)),IF(ISNUMBER(_xll.BDH(config!$G$4,V$1,$A636,$A636)),_xll.BDH(config!$G$4,V$1,$A636,$A636),_xll.BDH(config!$G$5,V$1,$A636,$A636))))</f>
        <v/>
      </c>
      <c r="W636" s="8" t="str">
        <f>IF($A636="","",IF(ISNUMBER(FIND("IMPVOL",W$1)),_xll.BDH(config!$G$4,W$1,WORKDAY($A636,-1,config_Holiday_Calendar_US),WORKDAY($A636,-1,config_Holiday_Calendar_US)),IF(ISNUMBER(_xll.BDH(config!$G$4,W$1,$A636,$A636)),_xll.BDH(config!$G$4,W$1,$A636,$A636),_xll.BDH(config!$G$5,W$1,$A636,$A636))))</f>
        <v/>
      </c>
    </row>
    <row r="637" spans="1:23" x14ac:dyDescent="0.2">
      <c r="A637" s="9" t="str">
        <f>IF(A636="","",IF(WORKDAY(A636,-1,config_Holiday_Calendar_US)&lt;config!$I$10,"",WORKDAY(A636,-1,config_Holiday_Calendar_US)))</f>
        <v/>
      </c>
      <c r="B637" s="8" t="str">
        <f t="shared" si="9"/>
        <v/>
      </c>
      <c r="C637" s="8" t="str">
        <f>IF(A637="","",_xll.BDH(config!$H$4,C$1,$A637,$A637))</f>
        <v/>
      </c>
      <c r="D637" s="8" t="str">
        <f>IF($A637="","",_xll.BDH(config!$H$4,D$1,$A637,$A637))</f>
        <v/>
      </c>
      <c r="E637" s="8" t="str">
        <f>IF($A637="","",IF(ISNUMBER(FIND("IMPVOL",E$1)),_xll.BDH(config!$G$4,E$1,WORKDAY($A637,-1,config_Holiday_Calendar_US),WORKDAY($A637,-1,config_Holiday_Calendar_US)),IF(ISNUMBER(_xll.BDH(config!$G$4,E$1,$A637,$A637)),_xll.BDH(config!$G$4,E$1,$A637,$A637),_xll.BDH(config!$G$5,E$1,$A637,$A637))))</f>
        <v/>
      </c>
      <c r="F637" s="8" t="str">
        <f>IF($A637="","",IF(ISNUMBER(FIND("IMPVOL",F$1)),_xll.BDH(config!$G$4,F$1,WORKDAY($A637,-1,config_Holiday_Calendar_US),WORKDAY($A637,-1,config_Holiday_Calendar_US)),IF(ISNUMBER(_xll.BDH(config!$G$4,F$1,$A637,$A637)),_xll.BDH(config!$G$4,F$1,$A637,$A637),_xll.BDH(config!$G$5,F$1,$A637,$A637))))</f>
        <v/>
      </c>
      <c r="G637" s="8" t="str">
        <f>IF($A637="","",IF(ISNUMBER(FIND("IMPVOL",G$1)),_xll.BDH(config!$G$4,G$1,WORKDAY($A637,-1,config_Holiday_Calendar_US),WORKDAY($A637,-1,config_Holiday_Calendar_US)),IF(ISNUMBER(_xll.BDH(config!$G$4,G$1,$A637,$A637)),_xll.BDH(config!$G$4,G$1,$A637,$A637),_xll.BDH(config!$G$5,G$1,$A637,$A637))))</f>
        <v/>
      </c>
      <c r="H637" s="8" t="str">
        <f>IF($A637="","",IF(ISNUMBER(FIND("IMPVOL",H$1)),_xll.BDH(config!$G$4,H$1,WORKDAY($A637,-1,config_Holiday_Calendar_US),WORKDAY($A637,-1,config_Holiday_Calendar_US)),IF(ISNUMBER(_xll.BDH(config!$G$4,H$1,$A637,$A637)),_xll.BDH(config!$G$4,H$1,$A637,$A637),_xll.BDH(config!$G$5,H$1,$A637,$A637))))</f>
        <v/>
      </c>
      <c r="I637" s="8" t="str">
        <f>IF($A637="","",IF(ISNUMBER(FIND("IMPVOL",I$1)),_xll.BDH(config!$G$4,I$1,WORKDAY($A637,-1,config_Holiday_Calendar_US),WORKDAY($A637,-1,config_Holiday_Calendar_US)),IF(ISNUMBER(_xll.BDH(config!$G$4,I$1,$A637,$A637)),_xll.BDH(config!$G$4,I$1,$A637,$A637),_xll.BDH(config!$G$5,I$1,$A637,$A637))))</f>
        <v/>
      </c>
      <c r="J637" s="8" t="str">
        <f>IF($A637="","",IF(ISNUMBER(FIND("IMPVOL",J$1)),_xll.BDH(config!$G$4,J$1,WORKDAY($A637,-1,config_Holiday_Calendar_US),WORKDAY($A637,-1,config_Holiday_Calendar_US)),IF(ISNUMBER(_xll.BDH(config!$G$4,J$1,$A637,$A637)),_xll.BDH(config!$G$4,J$1,$A637,$A637),_xll.BDH(config!$G$5,J$1,$A637,$A637))))</f>
        <v/>
      </c>
      <c r="K637" s="8" t="str">
        <f>IF($A637="","",IF(ISNUMBER(FIND("IMPVOL",K$1)),_xll.BDH(config!$G$4,K$1,WORKDAY($A637,-1,config_Holiday_Calendar_US),WORKDAY($A637,-1,config_Holiday_Calendar_US)),IF(ISNUMBER(_xll.BDH(config!$G$4,K$1,$A637,$A637)),_xll.BDH(config!$G$4,K$1,$A637,$A637),_xll.BDH(config!$G$5,K$1,$A637,$A637))))</f>
        <v/>
      </c>
      <c r="L637" s="8" t="str">
        <f>IF($A637="","",IF(ISNUMBER(FIND("IMPVOL",L$1)),_xll.BDH(config!$G$4,L$1,WORKDAY($A637,-1,config_Holiday_Calendar_US),WORKDAY($A637,-1,config_Holiday_Calendar_US)),IF(ISNUMBER(_xll.BDH(config!$G$4,L$1,$A637,$A637)),_xll.BDH(config!$G$4,L$1,$A637,$A637),_xll.BDH(config!$G$5,L$1,$A637,$A637))))</f>
        <v/>
      </c>
      <c r="M637" s="8" t="str">
        <f>IF($A637="","",IF(ISNUMBER(FIND("IMPVOL",M$1)),_xll.BDH(config!$G$4,M$1,WORKDAY($A637,-1,config_Holiday_Calendar_US),WORKDAY($A637,-1,config_Holiday_Calendar_US)),IF(ISNUMBER(_xll.BDH(config!$G$4,M$1,$A637,$A637)),_xll.BDH(config!$G$4,M$1,$A637,$A637),_xll.BDH(config!$G$5,M$1,$A637,$A637))))</f>
        <v/>
      </c>
      <c r="N637" s="8" t="str">
        <f>IF($A637="","",IF(ISNUMBER(FIND("IMPVOL",N$1)),_xll.BDH(config!$G$4,N$1,WORKDAY($A637,-1,config_Holiday_Calendar_US),WORKDAY($A637,-1,config_Holiday_Calendar_US)),IF(ISNUMBER(_xll.BDH(config!$G$4,N$1,$A637,$A637)),_xll.BDH(config!$G$4,N$1,$A637,$A637),_xll.BDH(config!$G$5,N$1,$A637,$A637))))</f>
        <v/>
      </c>
      <c r="O637" s="8" t="str">
        <f>IF($A637="","",IF(ISNUMBER(FIND("IMPVOL",O$1)),_xll.BDH(config!$G$4,O$1,WORKDAY($A637,-1,config_Holiday_Calendar_US),WORKDAY($A637,-1,config_Holiday_Calendar_US)),IF(ISNUMBER(_xll.BDH(config!$G$4,O$1,$A637,$A637)),_xll.BDH(config!$G$4,O$1,$A637,$A637),_xll.BDH(config!$G$5,O$1,$A637,$A637))))</f>
        <v/>
      </c>
      <c r="P637" s="8" t="str">
        <f>IF($A637="","",IF(ISNUMBER(FIND("IMPVOL",P$1)),_xll.BDH(config!$G$4,P$1,WORKDAY($A637,-1,config_Holiday_Calendar_US),WORKDAY($A637,-1,config_Holiday_Calendar_US)),IF(ISNUMBER(_xll.BDH(config!$G$4,P$1,$A637,$A637)),_xll.BDH(config!$G$4,P$1,$A637,$A637),_xll.BDH(config!$G$5,P$1,$A637,$A637))))</f>
        <v/>
      </c>
      <c r="Q637" s="8" t="str">
        <f>IF($A637="","",IF(ISNUMBER(FIND("IMPVOL",Q$1)),_xll.BDH(config!$G$4,Q$1,WORKDAY($A637,-1,config_Holiday_Calendar_US),WORKDAY($A637,-1,config_Holiday_Calendar_US)),IF(ISNUMBER(_xll.BDH(config!$G$4,Q$1,$A637,$A637)),_xll.BDH(config!$G$4,Q$1,$A637,$A637),_xll.BDH(config!$G$5,Q$1,$A637,$A637))))</f>
        <v/>
      </c>
      <c r="R637" s="8" t="str">
        <f>IF($A637="","",IF(ISNUMBER(FIND("IMPVOL",R$1)),_xll.BDH(config!$G$4,R$1,WORKDAY($A637,-1,config_Holiday_Calendar_US),WORKDAY($A637,-1,config_Holiday_Calendar_US)),IF(ISNUMBER(_xll.BDH(config!$G$4,R$1,$A637,$A637)),_xll.BDH(config!$G$4,R$1,$A637,$A637),_xll.BDH(config!$G$5,R$1,$A637,$A637))))</f>
        <v/>
      </c>
      <c r="S637" s="8" t="str">
        <f>IF($A637="","",IF(ISNUMBER(FIND("IMPVOL",S$1)),_xll.BDH(config!$G$4,S$1,WORKDAY($A637,-1,config_Holiday_Calendar_US),WORKDAY($A637,-1,config_Holiday_Calendar_US)),IF(ISNUMBER(_xll.BDH(config!$G$4,S$1,$A637,$A637)),_xll.BDH(config!$G$4,S$1,$A637,$A637),_xll.BDH(config!$G$5,S$1,$A637,$A637))))</f>
        <v/>
      </c>
      <c r="T637" s="8" t="str">
        <f>IF($A637="","",IF(ISNUMBER(FIND("IMPVOL",T$1)),_xll.BDH(config!$G$4,T$1,WORKDAY($A637,-1,config_Holiday_Calendar_US),WORKDAY($A637,-1,config_Holiday_Calendar_US)),IF(ISNUMBER(_xll.BDH(config!$G$4,T$1,$A637,$A637)),_xll.BDH(config!$G$4,T$1,$A637,$A637),_xll.BDH(config!$G$5,T$1,$A637,$A637))))</f>
        <v/>
      </c>
      <c r="U637" s="8" t="str">
        <f>IF($A637="","",IF(ISNUMBER(FIND("IMPVOL",U$1)),_xll.BDH(config!$G$4,U$1,WORKDAY($A637,-1,config_Holiday_Calendar_US),WORKDAY($A637,-1,config_Holiday_Calendar_US)),IF(ISNUMBER(_xll.BDH(config!$G$4,U$1,$A637,$A637)),_xll.BDH(config!$G$4,U$1,$A637,$A637),_xll.BDH(config!$G$5,U$1,$A637,$A637))))</f>
        <v/>
      </c>
      <c r="V637" s="8" t="str">
        <f>IF($A637="","",IF(ISNUMBER(FIND("IMPVOL",V$1)),_xll.BDH(config!$G$4,V$1,WORKDAY($A637,-1,config_Holiday_Calendar_US),WORKDAY($A637,-1,config_Holiday_Calendar_US)),IF(ISNUMBER(_xll.BDH(config!$G$4,V$1,$A637,$A637)),_xll.BDH(config!$G$4,V$1,$A637,$A637),_xll.BDH(config!$G$5,V$1,$A637,$A637))))</f>
        <v/>
      </c>
      <c r="W637" s="8" t="str">
        <f>IF($A637="","",IF(ISNUMBER(FIND("IMPVOL",W$1)),_xll.BDH(config!$G$4,W$1,WORKDAY($A637,-1,config_Holiday_Calendar_US),WORKDAY($A637,-1,config_Holiday_Calendar_US)),IF(ISNUMBER(_xll.BDH(config!$G$4,W$1,$A637,$A637)),_xll.BDH(config!$G$4,W$1,$A637,$A637),_xll.BDH(config!$G$5,W$1,$A637,$A637))))</f>
        <v/>
      </c>
    </row>
    <row r="638" spans="1:23" x14ac:dyDescent="0.2">
      <c r="A638" s="9" t="str">
        <f>IF(A637="","",IF(WORKDAY(A637,-1,config_Holiday_Calendar_US)&lt;config!$I$10,"",WORKDAY(A637,-1,config_Holiday_Calendar_US)))</f>
        <v/>
      </c>
      <c r="B638" s="8" t="str">
        <f t="shared" si="9"/>
        <v/>
      </c>
      <c r="C638" s="8" t="str">
        <f>IF(A638="","",_xll.BDH(config!$H$4,C$1,$A638,$A638))</f>
        <v/>
      </c>
      <c r="D638" s="8" t="str">
        <f>IF($A638="","",_xll.BDH(config!$H$4,D$1,$A638,$A638))</f>
        <v/>
      </c>
      <c r="E638" s="8" t="str">
        <f>IF($A638="","",IF(ISNUMBER(FIND("IMPVOL",E$1)),_xll.BDH(config!$G$4,E$1,WORKDAY($A638,-1,config_Holiday_Calendar_US),WORKDAY($A638,-1,config_Holiday_Calendar_US)),IF(ISNUMBER(_xll.BDH(config!$G$4,E$1,$A638,$A638)),_xll.BDH(config!$G$4,E$1,$A638,$A638),_xll.BDH(config!$G$5,E$1,$A638,$A638))))</f>
        <v/>
      </c>
      <c r="F638" s="8" t="str">
        <f>IF($A638="","",IF(ISNUMBER(FIND("IMPVOL",F$1)),_xll.BDH(config!$G$4,F$1,WORKDAY($A638,-1,config_Holiday_Calendar_US),WORKDAY($A638,-1,config_Holiday_Calendar_US)),IF(ISNUMBER(_xll.BDH(config!$G$4,F$1,$A638,$A638)),_xll.BDH(config!$G$4,F$1,$A638,$A638),_xll.BDH(config!$G$5,F$1,$A638,$A638))))</f>
        <v/>
      </c>
      <c r="G638" s="8" t="str">
        <f>IF($A638="","",IF(ISNUMBER(FIND("IMPVOL",G$1)),_xll.BDH(config!$G$4,G$1,WORKDAY($A638,-1,config_Holiday_Calendar_US),WORKDAY($A638,-1,config_Holiday_Calendar_US)),IF(ISNUMBER(_xll.BDH(config!$G$4,G$1,$A638,$A638)),_xll.BDH(config!$G$4,G$1,$A638,$A638),_xll.BDH(config!$G$5,G$1,$A638,$A638))))</f>
        <v/>
      </c>
      <c r="H638" s="8" t="str">
        <f>IF($A638="","",IF(ISNUMBER(FIND("IMPVOL",H$1)),_xll.BDH(config!$G$4,H$1,WORKDAY($A638,-1,config_Holiday_Calendar_US),WORKDAY($A638,-1,config_Holiday_Calendar_US)),IF(ISNUMBER(_xll.BDH(config!$G$4,H$1,$A638,$A638)),_xll.BDH(config!$G$4,H$1,$A638,$A638),_xll.BDH(config!$G$5,H$1,$A638,$A638))))</f>
        <v/>
      </c>
      <c r="I638" s="8" t="str">
        <f>IF($A638="","",IF(ISNUMBER(FIND("IMPVOL",I$1)),_xll.BDH(config!$G$4,I$1,WORKDAY($A638,-1,config_Holiday_Calendar_US),WORKDAY($A638,-1,config_Holiday_Calendar_US)),IF(ISNUMBER(_xll.BDH(config!$G$4,I$1,$A638,$A638)),_xll.BDH(config!$G$4,I$1,$A638,$A638),_xll.BDH(config!$G$5,I$1,$A638,$A638))))</f>
        <v/>
      </c>
      <c r="J638" s="8" t="str">
        <f>IF($A638="","",IF(ISNUMBER(FIND("IMPVOL",J$1)),_xll.BDH(config!$G$4,J$1,WORKDAY($A638,-1,config_Holiday_Calendar_US),WORKDAY($A638,-1,config_Holiday_Calendar_US)),IF(ISNUMBER(_xll.BDH(config!$G$4,J$1,$A638,$A638)),_xll.BDH(config!$G$4,J$1,$A638,$A638),_xll.BDH(config!$G$5,J$1,$A638,$A638))))</f>
        <v/>
      </c>
      <c r="K638" s="8" t="str">
        <f>IF($A638="","",IF(ISNUMBER(FIND("IMPVOL",K$1)),_xll.BDH(config!$G$4,K$1,WORKDAY($A638,-1,config_Holiday_Calendar_US),WORKDAY($A638,-1,config_Holiday_Calendar_US)),IF(ISNUMBER(_xll.BDH(config!$G$4,K$1,$A638,$A638)),_xll.BDH(config!$G$4,K$1,$A638,$A638),_xll.BDH(config!$G$5,K$1,$A638,$A638))))</f>
        <v/>
      </c>
      <c r="L638" s="8" t="str">
        <f>IF($A638="","",IF(ISNUMBER(FIND("IMPVOL",L$1)),_xll.BDH(config!$G$4,L$1,WORKDAY($A638,-1,config_Holiday_Calendar_US),WORKDAY($A638,-1,config_Holiday_Calendar_US)),IF(ISNUMBER(_xll.BDH(config!$G$4,L$1,$A638,$A638)),_xll.BDH(config!$G$4,L$1,$A638,$A638),_xll.BDH(config!$G$5,L$1,$A638,$A638))))</f>
        <v/>
      </c>
      <c r="M638" s="8" t="str">
        <f>IF($A638="","",IF(ISNUMBER(FIND("IMPVOL",M$1)),_xll.BDH(config!$G$4,M$1,WORKDAY($A638,-1,config_Holiday_Calendar_US),WORKDAY($A638,-1,config_Holiday_Calendar_US)),IF(ISNUMBER(_xll.BDH(config!$G$4,M$1,$A638,$A638)),_xll.BDH(config!$G$4,M$1,$A638,$A638),_xll.BDH(config!$G$5,M$1,$A638,$A638))))</f>
        <v/>
      </c>
      <c r="N638" s="8" t="str">
        <f>IF($A638="","",IF(ISNUMBER(FIND("IMPVOL",N$1)),_xll.BDH(config!$G$4,N$1,WORKDAY($A638,-1,config_Holiday_Calendar_US),WORKDAY($A638,-1,config_Holiday_Calendar_US)),IF(ISNUMBER(_xll.BDH(config!$G$4,N$1,$A638,$A638)),_xll.BDH(config!$G$4,N$1,$A638,$A638),_xll.BDH(config!$G$5,N$1,$A638,$A638))))</f>
        <v/>
      </c>
      <c r="O638" s="8" t="str">
        <f>IF($A638="","",IF(ISNUMBER(FIND("IMPVOL",O$1)),_xll.BDH(config!$G$4,O$1,WORKDAY($A638,-1,config_Holiday_Calendar_US),WORKDAY($A638,-1,config_Holiday_Calendar_US)),IF(ISNUMBER(_xll.BDH(config!$G$4,O$1,$A638,$A638)),_xll.BDH(config!$G$4,O$1,$A638,$A638),_xll.BDH(config!$G$5,O$1,$A638,$A638))))</f>
        <v/>
      </c>
      <c r="P638" s="8" t="str">
        <f>IF($A638="","",IF(ISNUMBER(FIND("IMPVOL",P$1)),_xll.BDH(config!$G$4,P$1,WORKDAY($A638,-1,config_Holiday_Calendar_US),WORKDAY($A638,-1,config_Holiday_Calendar_US)),IF(ISNUMBER(_xll.BDH(config!$G$4,P$1,$A638,$A638)),_xll.BDH(config!$G$4,P$1,$A638,$A638),_xll.BDH(config!$G$5,P$1,$A638,$A638))))</f>
        <v/>
      </c>
      <c r="Q638" s="8" t="str">
        <f>IF($A638="","",IF(ISNUMBER(FIND("IMPVOL",Q$1)),_xll.BDH(config!$G$4,Q$1,WORKDAY($A638,-1,config_Holiday_Calendar_US),WORKDAY($A638,-1,config_Holiday_Calendar_US)),IF(ISNUMBER(_xll.BDH(config!$G$4,Q$1,$A638,$A638)),_xll.BDH(config!$G$4,Q$1,$A638,$A638),_xll.BDH(config!$G$5,Q$1,$A638,$A638))))</f>
        <v/>
      </c>
      <c r="R638" s="8" t="str">
        <f>IF($A638="","",IF(ISNUMBER(FIND("IMPVOL",R$1)),_xll.BDH(config!$G$4,R$1,WORKDAY($A638,-1,config_Holiday_Calendar_US),WORKDAY($A638,-1,config_Holiday_Calendar_US)),IF(ISNUMBER(_xll.BDH(config!$G$4,R$1,$A638,$A638)),_xll.BDH(config!$G$4,R$1,$A638,$A638),_xll.BDH(config!$G$5,R$1,$A638,$A638))))</f>
        <v/>
      </c>
      <c r="S638" s="8" t="str">
        <f>IF($A638="","",IF(ISNUMBER(FIND("IMPVOL",S$1)),_xll.BDH(config!$G$4,S$1,WORKDAY($A638,-1,config_Holiday_Calendar_US),WORKDAY($A638,-1,config_Holiday_Calendar_US)),IF(ISNUMBER(_xll.BDH(config!$G$4,S$1,$A638,$A638)),_xll.BDH(config!$G$4,S$1,$A638,$A638),_xll.BDH(config!$G$5,S$1,$A638,$A638))))</f>
        <v/>
      </c>
      <c r="T638" s="8" t="str">
        <f>IF($A638="","",IF(ISNUMBER(FIND("IMPVOL",T$1)),_xll.BDH(config!$G$4,T$1,WORKDAY($A638,-1,config_Holiday_Calendar_US),WORKDAY($A638,-1,config_Holiday_Calendar_US)),IF(ISNUMBER(_xll.BDH(config!$G$4,T$1,$A638,$A638)),_xll.BDH(config!$G$4,T$1,$A638,$A638),_xll.BDH(config!$G$5,T$1,$A638,$A638))))</f>
        <v/>
      </c>
      <c r="U638" s="8" t="str">
        <f>IF($A638="","",IF(ISNUMBER(FIND("IMPVOL",U$1)),_xll.BDH(config!$G$4,U$1,WORKDAY($A638,-1,config_Holiday_Calendar_US),WORKDAY($A638,-1,config_Holiday_Calendar_US)),IF(ISNUMBER(_xll.BDH(config!$G$4,U$1,$A638,$A638)),_xll.BDH(config!$G$4,U$1,$A638,$A638),_xll.BDH(config!$G$5,U$1,$A638,$A638))))</f>
        <v/>
      </c>
      <c r="V638" s="8" t="str">
        <f>IF($A638="","",IF(ISNUMBER(FIND("IMPVOL",V$1)),_xll.BDH(config!$G$4,V$1,WORKDAY($A638,-1,config_Holiday_Calendar_US),WORKDAY($A638,-1,config_Holiday_Calendar_US)),IF(ISNUMBER(_xll.BDH(config!$G$4,V$1,$A638,$A638)),_xll.BDH(config!$G$4,V$1,$A638,$A638),_xll.BDH(config!$G$5,V$1,$A638,$A638))))</f>
        <v/>
      </c>
      <c r="W638" s="8" t="str">
        <f>IF($A638="","",IF(ISNUMBER(FIND("IMPVOL",W$1)),_xll.BDH(config!$G$4,W$1,WORKDAY($A638,-1,config_Holiday_Calendar_US),WORKDAY($A638,-1,config_Holiday_Calendar_US)),IF(ISNUMBER(_xll.BDH(config!$G$4,W$1,$A638,$A638)),_xll.BDH(config!$G$4,W$1,$A638,$A638),_xll.BDH(config!$G$5,W$1,$A638,$A638))))</f>
        <v/>
      </c>
    </row>
    <row r="639" spans="1:23" x14ac:dyDescent="0.2">
      <c r="A639" s="9" t="str">
        <f>IF(A638="","",IF(WORKDAY(A638,-1,config_Holiday_Calendar_US)&lt;config!$I$10,"",WORKDAY(A638,-1,config_Holiday_Calendar_US)))</f>
        <v/>
      </c>
      <c r="B639" s="8" t="str">
        <f t="shared" si="9"/>
        <v/>
      </c>
      <c r="C639" s="8" t="str">
        <f>IF(A639="","",_xll.BDH(config!$H$4,C$1,$A639,$A639))</f>
        <v/>
      </c>
      <c r="D639" s="8" t="str">
        <f>IF($A639="","",_xll.BDH(config!$H$4,D$1,$A639,$A639))</f>
        <v/>
      </c>
      <c r="E639" s="8" t="str">
        <f>IF($A639="","",IF(ISNUMBER(FIND("IMPVOL",E$1)),_xll.BDH(config!$G$4,E$1,WORKDAY($A639,-1,config_Holiday_Calendar_US),WORKDAY($A639,-1,config_Holiday_Calendar_US)),IF(ISNUMBER(_xll.BDH(config!$G$4,E$1,$A639,$A639)),_xll.BDH(config!$G$4,E$1,$A639,$A639),_xll.BDH(config!$G$5,E$1,$A639,$A639))))</f>
        <v/>
      </c>
      <c r="F639" s="8" t="str">
        <f>IF($A639="","",IF(ISNUMBER(FIND("IMPVOL",F$1)),_xll.BDH(config!$G$4,F$1,WORKDAY($A639,-1,config_Holiday_Calendar_US),WORKDAY($A639,-1,config_Holiday_Calendar_US)),IF(ISNUMBER(_xll.BDH(config!$G$4,F$1,$A639,$A639)),_xll.BDH(config!$G$4,F$1,$A639,$A639),_xll.BDH(config!$G$5,F$1,$A639,$A639))))</f>
        <v/>
      </c>
      <c r="G639" s="8" t="str">
        <f>IF($A639="","",IF(ISNUMBER(FIND("IMPVOL",G$1)),_xll.BDH(config!$G$4,G$1,WORKDAY($A639,-1,config_Holiday_Calendar_US),WORKDAY($A639,-1,config_Holiday_Calendar_US)),IF(ISNUMBER(_xll.BDH(config!$G$4,G$1,$A639,$A639)),_xll.BDH(config!$G$4,G$1,$A639,$A639),_xll.BDH(config!$G$5,G$1,$A639,$A639))))</f>
        <v/>
      </c>
      <c r="H639" s="8" t="str">
        <f>IF($A639="","",IF(ISNUMBER(FIND("IMPVOL",H$1)),_xll.BDH(config!$G$4,H$1,WORKDAY($A639,-1,config_Holiday_Calendar_US),WORKDAY($A639,-1,config_Holiday_Calendar_US)),IF(ISNUMBER(_xll.BDH(config!$G$4,H$1,$A639,$A639)),_xll.BDH(config!$G$4,H$1,$A639,$A639),_xll.BDH(config!$G$5,H$1,$A639,$A639))))</f>
        <v/>
      </c>
      <c r="I639" s="8" t="str">
        <f>IF($A639="","",IF(ISNUMBER(FIND("IMPVOL",I$1)),_xll.BDH(config!$G$4,I$1,WORKDAY($A639,-1,config_Holiday_Calendar_US),WORKDAY($A639,-1,config_Holiday_Calendar_US)),IF(ISNUMBER(_xll.BDH(config!$G$4,I$1,$A639,$A639)),_xll.BDH(config!$G$4,I$1,$A639,$A639),_xll.BDH(config!$G$5,I$1,$A639,$A639))))</f>
        <v/>
      </c>
      <c r="J639" s="8" t="str">
        <f>IF($A639="","",IF(ISNUMBER(FIND("IMPVOL",J$1)),_xll.BDH(config!$G$4,J$1,WORKDAY($A639,-1,config_Holiday_Calendar_US),WORKDAY($A639,-1,config_Holiday_Calendar_US)),IF(ISNUMBER(_xll.BDH(config!$G$4,J$1,$A639,$A639)),_xll.BDH(config!$G$4,J$1,$A639,$A639),_xll.BDH(config!$G$5,J$1,$A639,$A639))))</f>
        <v/>
      </c>
      <c r="K639" s="8" t="str">
        <f>IF($A639="","",IF(ISNUMBER(FIND("IMPVOL",K$1)),_xll.BDH(config!$G$4,K$1,WORKDAY($A639,-1,config_Holiday_Calendar_US),WORKDAY($A639,-1,config_Holiday_Calendar_US)),IF(ISNUMBER(_xll.BDH(config!$G$4,K$1,$A639,$A639)),_xll.BDH(config!$G$4,K$1,$A639,$A639),_xll.BDH(config!$G$5,K$1,$A639,$A639))))</f>
        <v/>
      </c>
      <c r="L639" s="8" t="str">
        <f>IF($A639="","",IF(ISNUMBER(FIND("IMPVOL",L$1)),_xll.BDH(config!$G$4,L$1,WORKDAY($A639,-1,config_Holiday_Calendar_US),WORKDAY($A639,-1,config_Holiday_Calendar_US)),IF(ISNUMBER(_xll.BDH(config!$G$4,L$1,$A639,$A639)),_xll.BDH(config!$G$4,L$1,$A639,$A639),_xll.BDH(config!$G$5,L$1,$A639,$A639))))</f>
        <v/>
      </c>
      <c r="M639" s="8" t="str">
        <f>IF($A639="","",IF(ISNUMBER(FIND("IMPVOL",M$1)),_xll.BDH(config!$G$4,M$1,WORKDAY($A639,-1,config_Holiday_Calendar_US),WORKDAY($A639,-1,config_Holiday_Calendar_US)),IF(ISNUMBER(_xll.BDH(config!$G$4,M$1,$A639,$A639)),_xll.BDH(config!$G$4,M$1,$A639,$A639),_xll.BDH(config!$G$5,M$1,$A639,$A639))))</f>
        <v/>
      </c>
      <c r="N639" s="8" t="str">
        <f>IF($A639="","",IF(ISNUMBER(FIND("IMPVOL",N$1)),_xll.BDH(config!$G$4,N$1,WORKDAY($A639,-1,config_Holiday_Calendar_US),WORKDAY($A639,-1,config_Holiday_Calendar_US)),IF(ISNUMBER(_xll.BDH(config!$G$4,N$1,$A639,$A639)),_xll.BDH(config!$G$4,N$1,$A639,$A639),_xll.BDH(config!$G$5,N$1,$A639,$A639))))</f>
        <v/>
      </c>
      <c r="O639" s="8" t="str">
        <f>IF($A639="","",IF(ISNUMBER(FIND("IMPVOL",O$1)),_xll.BDH(config!$G$4,O$1,WORKDAY($A639,-1,config_Holiday_Calendar_US),WORKDAY($A639,-1,config_Holiday_Calendar_US)),IF(ISNUMBER(_xll.BDH(config!$G$4,O$1,$A639,$A639)),_xll.BDH(config!$G$4,O$1,$A639,$A639),_xll.BDH(config!$G$5,O$1,$A639,$A639))))</f>
        <v/>
      </c>
      <c r="P639" s="8" t="str">
        <f>IF($A639="","",IF(ISNUMBER(FIND("IMPVOL",P$1)),_xll.BDH(config!$G$4,P$1,WORKDAY($A639,-1,config_Holiday_Calendar_US),WORKDAY($A639,-1,config_Holiday_Calendar_US)),IF(ISNUMBER(_xll.BDH(config!$G$4,P$1,$A639,$A639)),_xll.BDH(config!$G$4,P$1,$A639,$A639),_xll.BDH(config!$G$5,P$1,$A639,$A639))))</f>
        <v/>
      </c>
      <c r="Q639" s="8" t="str">
        <f>IF($A639="","",IF(ISNUMBER(FIND("IMPVOL",Q$1)),_xll.BDH(config!$G$4,Q$1,WORKDAY($A639,-1,config_Holiday_Calendar_US),WORKDAY($A639,-1,config_Holiday_Calendar_US)),IF(ISNUMBER(_xll.BDH(config!$G$4,Q$1,$A639,$A639)),_xll.BDH(config!$G$4,Q$1,$A639,$A639),_xll.BDH(config!$G$5,Q$1,$A639,$A639))))</f>
        <v/>
      </c>
      <c r="R639" s="8" t="str">
        <f>IF($A639="","",IF(ISNUMBER(FIND("IMPVOL",R$1)),_xll.BDH(config!$G$4,R$1,WORKDAY($A639,-1,config_Holiday_Calendar_US),WORKDAY($A639,-1,config_Holiday_Calendar_US)),IF(ISNUMBER(_xll.BDH(config!$G$4,R$1,$A639,$A639)),_xll.BDH(config!$G$4,R$1,$A639,$A639),_xll.BDH(config!$G$5,R$1,$A639,$A639))))</f>
        <v/>
      </c>
      <c r="S639" s="8" t="str">
        <f>IF($A639="","",IF(ISNUMBER(FIND("IMPVOL",S$1)),_xll.BDH(config!$G$4,S$1,WORKDAY($A639,-1,config_Holiday_Calendar_US),WORKDAY($A639,-1,config_Holiday_Calendar_US)),IF(ISNUMBER(_xll.BDH(config!$G$4,S$1,$A639,$A639)),_xll.BDH(config!$G$4,S$1,$A639,$A639),_xll.BDH(config!$G$5,S$1,$A639,$A639))))</f>
        <v/>
      </c>
      <c r="T639" s="8" t="str">
        <f>IF($A639="","",IF(ISNUMBER(FIND("IMPVOL",T$1)),_xll.BDH(config!$G$4,T$1,WORKDAY($A639,-1,config_Holiday_Calendar_US),WORKDAY($A639,-1,config_Holiday_Calendar_US)),IF(ISNUMBER(_xll.BDH(config!$G$4,T$1,$A639,$A639)),_xll.BDH(config!$G$4,T$1,$A639,$A639),_xll.BDH(config!$G$5,T$1,$A639,$A639))))</f>
        <v/>
      </c>
      <c r="U639" s="8" t="str">
        <f>IF($A639="","",IF(ISNUMBER(FIND("IMPVOL",U$1)),_xll.BDH(config!$G$4,U$1,WORKDAY($A639,-1,config_Holiday_Calendar_US),WORKDAY($A639,-1,config_Holiday_Calendar_US)),IF(ISNUMBER(_xll.BDH(config!$G$4,U$1,$A639,$A639)),_xll.BDH(config!$G$4,U$1,$A639,$A639),_xll.BDH(config!$G$5,U$1,$A639,$A639))))</f>
        <v/>
      </c>
      <c r="V639" s="8" t="str">
        <f>IF($A639="","",IF(ISNUMBER(FIND("IMPVOL",V$1)),_xll.BDH(config!$G$4,V$1,WORKDAY($A639,-1,config_Holiday_Calendar_US),WORKDAY($A639,-1,config_Holiday_Calendar_US)),IF(ISNUMBER(_xll.BDH(config!$G$4,V$1,$A639,$A639)),_xll.BDH(config!$G$4,V$1,$A639,$A639),_xll.BDH(config!$G$5,V$1,$A639,$A639))))</f>
        <v/>
      </c>
      <c r="W639" s="8" t="str">
        <f>IF($A639="","",IF(ISNUMBER(FIND("IMPVOL",W$1)),_xll.BDH(config!$G$4,W$1,WORKDAY($A639,-1,config_Holiday_Calendar_US),WORKDAY($A639,-1,config_Holiday_Calendar_US)),IF(ISNUMBER(_xll.BDH(config!$G$4,W$1,$A639,$A639)),_xll.BDH(config!$G$4,W$1,$A639,$A639),_xll.BDH(config!$G$5,W$1,$A639,$A639))))</f>
        <v/>
      </c>
    </row>
    <row r="640" spans="1:23" x14ac:dyDescent="0.2">
      <c r="A640" s="9" t="str">
        <f>IF(A639="","",IF(WORKDAY(A639,-1,config_Holiday_Calendar_US)&lt;config!$I$10,"",WORKDAY(A639,-1,config_Holiday_Calendar_US)))</f>
        <v/>
      </c>
      <c r="B640" s="8" t="str">
        <f t="shared" si="9"/>
        <v/>
      </c>
      <c r="C640" s="8" t="str">
        <f>IF(A640="","",_xll.BDH(config!$H$4,C$1,$A640,$A640))</f>
        <v/>
      </c>
      <c r="D640" s="8" t="str">
        <f>IF($A640="","",_xll.BDH(config!$H$4,D$1,$A640,$A640))</f>
        <v/>
      </c>
      <c r="E640" s="8" t="str">
        <f>IF($A640="","",IF(ISNUMBER(FIND("IMPVOL",E$1)),_xll.BDH(config!$G$4,E$1,WORKDAY($A640,-1,config_Holiday_Calendar_US),WORKDAY($A640,-1,config_Holiday_Calendar_US)),IF(ISNUMBER(_xll.BDH(config!$G$4,E$1,$A640,$A640)),_xll.BDH(config!$G$4,E$1,$A640,$A640),_xll.BDH(config!$G$5,E$1,$A640,$A640))))</f>
        <v/>
      </c>
      <c r="F640" s="8" t="str">
        <f>IF($A640="","",IF(ISNUMBER(FIND("IMPVOL",F$1)),_xll.BDH(config!$G$4,F$1,WORKDAY($A640,-1,config_Holiday_Calendar_US),WORKDAY($A640,-1,config_Holiday_Calendar_US)),IF(ISNUMBER(_xll.BDH(config!$G$4,F$1,$A640,$A640)),_xll.BDH(config!$G$4,F$1,$A640,$A640),_xll.BDH(config!$G$5,F$1,$A640,$A640))))</f>
        <v/>
      </c>
      <c r="G640" s="8" t="str">
        <f>IF($A640="","",IF(ISNUMBER(FIND("IMPVOL",G$1)),_xll.BDH(config!$G$4,G$1,WORKDAY($A640,-1,config_Holiday_Calendar_US),WORKDAY($A640,-1,config_Holiday_Calendar_US)),IF(ISNUMBER(_xll.BDH(config!$G$4,G$1,$A640,$A640)),_xll.BDH(config!$G$4,G$1,$A640,$A640),_xll.BDH(config!$G$5,G$1,$A640,$A640))))</f>
        <v/>
      </c>
      <c r="H640" s="8" t="str">
        <f>IF($A640="","",IF(ISNUMBER(FIND("IMPVOL",H$1)),_xll.BDH(config!$G$4,H$1,WORKDAY($A640,-1,config_Holiday_Calendar_US),WORKDAY($A640,-1,config_Holiday_Calendar_US)),IF(ISNUMBER(_xll.BDH(config!$G$4,H$1,$A640,$A640)),_xll.BDH(config!$G$4,H$1,$A640,$A640),_xll.BDH(config!$G$5,H$1,$A640,$A640))))</f>
        <v/>
      </c>
      <c r="I640" s="8" t="str">
        <f>IF($A640="","",IF(ISNUMBER(FIND("IMPVOL",I$1)),_xll.BDH(config!$G$4,I$1,WORKDAY($A640,-1,config_Holiday_Calendar_US),WORKDAY($A640,-1,config_Holiday_Calendar_US)),IF(ISNUMBER(_xll.BDH(config!$G$4,I$1,$A640,$A640)),_xll.BDH(config!$G$4,I$1,$A640,$A640),_xll.BDH(config!$G$5,I$1,$A640,$A640))))</f>
        <v/>
      </c>
      <c r="J640" s="8" t="str">
        <f>IF($A640="","",IF(ISNUMBER(FIND("IMPVOL",J$1)),_xll.BDH(config!$G$4,J$1,WORKDAY($A640,-1,config_Holiday_Calendar_US),WORKDAY($A640,-1,config_Holiday_Calendar_US)),IF(ISNUMBER(_xll.BDH(config!$G$4,J$1,$A640,$A640)),_xll.BDH(config!$G$4,J$1,$A640,$A640),_xll.BDH(config!$G$5,J$1,$A640,$A640))))</f>
        <v/>
      </c>
      <c r="K640" s="8" t="str">
        <f>IF($A640="","",IF(ISNUMBER(FIND("IMPVOL",K$1)),_xll.BDH(config!$G$4,K$1,WORKDAY($A640,-1,config_Holiday_Calendar_US),WORKDAY($A640,-1,config_Holiday_Calendar_US)),IF(ISNUMBER(_xll.BDH(config!$G$4,K$1,$A640,$A640)),_xll.BDH(config!$G$4,K$1,$A640,$A640),_xll.BDH(config!$G$5,K$1,$A640,$A640))))</f>
        <v/>
      </c>
      <c r="L640" s="8" t="str">
        <f>IF($A640="","",IF(ISNUMBER(FIND("IMPVOL",L$1)),_xll.BDH(config!$G$4,L$1,WORKDAY($A640,-1,config_Holiday_Calendar_US),WORKDAY($A640,-1,config_Holiday_Calendar_US)),IF(ISNUMBER(_xll.BDH(config!$G$4,L$1,$A640,$A640)),_xll.BDH(config!$G$4,L$1,$A640,$A640),_xll.BDH(config!$G$5,L$1,$A640,$A640))))</f>
        <v/>
      </c>
      <c r="M640" s="8" t="str">
        <f>IF($A640="","",IF(ISNUMBER(FIND("IMPVOL",M$1)),_xll.BDH(config!$G$4,M$1,WORKDAY($A640,-1,config_Holiday_Calendar_US),WORKDAY($A640,-1,config_Holiday_Calendar_US)),IF(ISNUMBER(_xll.BDH(config!$G$4,M$1,$A640,$A640)),_xll.BDH(config!$G$4,M$1,$A640,$A640),_xll.BDH(config!$G$5,M$1,$A640,$A640))))</f>
        <v/>
      </c>
      <c r="N640" s="8" t="str">
        <f>IF($A640="","",IF(ISNUMBER(FIND("IMPVOL",N$1)),_xll.BDH(config!$G$4,N$1,WORKDAY($A640,-1,config_Holiday_Calendar_US),WORKDAY($A640,-1,config_Holiday_Calendar_US)),IF(ISNUMBER(_xll.BDH(config!$G$4,N$1,$A640,$A640)),_xll.BDH(config!$G$4,N$1,$A640,$A640),_xll.BDH(config!$G$5,N$1,$A640,$A640))))</f>
        <v/>
      </c>
      <c r="O640" s="8" t="str">
        <f>IF($A640="","",IF(ISNUMBER(FIND("IMPVOL",O$1)),_xll.BDH(config!$G$4,O$1,WORKDAY($A640,-1,config_Holiday_Calendar_US),WORKDAY($A640,-1,config_Holiday_Calendar_US)),IF(ISNUMBER(_xll.BDH(config!$G$4,O$1,$A640,$A640)),_xll.BDH(config!$G$4,O$1,$A640,$A640),_xll.BDH(config!$G$5,O$1,$A640,$A640))))</f>
        <v/>
      </c>
      <c r="P640" s="8" t="str">
        <f>IF($A640="","",IF(ISNUMBER(FIND("IMPVOL",P$1)),_xll.BDH(config!$G$4,P$1,WORKDAY($A640,-1,config_Holiday_Calendar_US),WORKDAY($A640,-1,config_Holiday_Calendar_US)),IF(ISNUMBER(_xll.BDH(config!$G$4,P$1,$A640,$A640)),_xll.BDH(config!$G$4,P$1,$A640,$A640),_xll.BDH(config!$G$5,P$1,$A640,$A640))))</f>
        <v/>
      </c>
      <c r="Q640" s="8" t="str">
        <f>IF($A640="","",IF(ISNUMBER(FIND("IMPVOL",Q$1)),_xll.BDH(config!$G$4,Q$1,WORKDAY($A640,-1,config_Holiday_Calendar_US),WORKDAY($A640,-1,config_Holiday_Calendar_US)),IF(ISNUMBER(_xll.BDH(config!$G$4,Q$1,$A640,$A640)),_xll.BDH(config!$G$4,Q$1,$A640,$A640),_xll.BDH(config!$G$5,Q$1,$A640,$A640))))</f>
        <v/>
      </c>
      <c r="R640" s="8" t="str">
        <f>IF($A640="","",IF(ISNUMBER(FIND("IMPVOL",R$1)),_xll.BDH(config!$G$4,R$1,WORKDAY($A640,-1,config_Holiday_Calendar_US),WORKDAY($A640,-1,config_Holiday_Calendar_US)),IF(ISNUMBER(_xll.BDH(config!$G$4,R$1,$A640,$A640)),_xll.BDH(config!$G$4,R$1,$A640,$A640),_xll.BDH(config!$G$5,R$1,$A640,$A640))))</f>
        <v/>
      </c>
      <c r="S640" s="8" t="str">
        <f>IF($A640="","",IF(ISNUMBER(FIND("IMPVOL",S$1)),_xll.BDH(config!$G$4,S$1,WORKDAY($A640,-1,config_Holiday_Calendar_US),WORKDAY($A640,-1,config_Holiday_Calendar_US)),IF(ISNUMBER(_xll.BDH(config!$G$4,S$1,$A640,$A640)),_xll.BDH(config!$G$4,S$1,$A640,$A640),_xll.BDH(config!$G$5,S$1,$A640,$A640))))</f>
        <v/>
      </c>
      <c r="T640" s="8" t="str">
        <f>IF($A640="","",IF(ISNUMBER(FIND("IMPVOL",T$1)),_xll.BDH(config!$G$4,T$1,WORKDAY($A640,-1,config_Holiday_Calendar_US),WORKDAY($A640,-1,config_Holiday_Calendar_US)),IF(ISNUMBER(_xll.BDH(config!$G$4,T$1,$A640,$A640)),_xll.BDH(config!$G$4,T$1,$A640,$A640),_xll.BDH(config!$G$5,T$1,$A640,$A640))))</f>
        <v/>
      </c>
      <c r="U640" s="8" t="str">
        <f>IF($A640="","",IF(ISNUMBER(FIND("IMPVOL",U$1)),_xll.BDH(config!$G$4,U$1,WORKDAY($A640,-1,config_Holiday_Calendar_US),WORKDAY($A640,-1,config_Holiday_Calendar_US)),IF(ISNUMBER(_xll.BDH(config!$G$4,U$1,$A640,$A640)),_xll.BDH(config!$G$4,U$1,$A640,$A640),_xll.BDH(config!$G$5,U$1,$A640,$A640))))</f>
        <v/>
      </c>
      <c r="V640" s="8" t="str">
        <f>IF($A640="","",IF(ISNUMBER(FIND("IMPVOL",V$1)),_xll.BDH(config!$G$4,V$1,WORKDAY($A640,-1,config_Holiday_Calendar_US),WORKDAY($A640,-1,config_Holiday_Calendar_US)),IF(ISNUMBER(_xll.BDH(config!$G$4,V$1,$A640,$A640)),_xll.BDH(config!$G$4,V$1,$A640,$A640),_xll.BDH(config!$G$5,V$1,$A640,$A640))))</f>
        <v/>
      </c>
      <c r="W640" s="8" t="str">
        <f>IF($A640="","",IF(ISNUMBER(FIND("IMPVOL",W$1)),_xll.BDH(config!$G$4,W$1,WORKDAY($A640,-1,config_Holiday_Calendar_US),WORKDAY($A640,-1,config_Holiday_Calendar_US)),IF(ISNUMBER(_xll.BDH(config!$G$4,W$1,$A640,$A640)),_xll.BDH(config!$G$4,W$1,$A640,$A640),_xll.BDH(config!$G$5,W$1,$A640,$A640))))</f>
        <v/>
      </c>
    </row>
    <row r="641" spans="1:23" x14ac:dyDescent="0.2">
      <c r="A641" s="9" t="str">
        <f>IF(A640="","",IF(WORKDAY(A640,-1,config_Holiday_Calendar_US)&lt;config!$I$10,"",WORKDAY(A640,-1,config_Holiday_Calendar_US)))</f>
        <v/>
      </c>
      <c r="B641" s="8" t="str">
        <f t="shared" si="9"/>
        <v/>
      </c>
      <c r="C641" s="8" t="str">
        <f>IF(A641="","",_xll.BDH(config!$H$4,C$1,$A641,$A641))</f>
        <v/>
      </c>
      <c r="D641" s="8" t="str">
        <f>IF($A641="","",_xll.BDH(config!$H$4,D$1,$A641,$A641))</f>
        <v/>
      </c>
      <c r="E641" s="8" t="str">
        <f>IF($A641="","",IF(ISNUMBER(FIND("IMPVOL",E$1)),_xll.BDH(config!$G$4,E$1,WORKDAY($A641,-1,config_Holiday_Calendar_US),WORKDAY($A641,-1,config_Holiday_Calendar_US)),IF(ISNUMBER(_xll.BDH(config!$G$4,E$1,$A641,$A641)),_xll.BDH(config!$G$4,E$1,$A641,$A641),_xll.BDH(config!$G$5,E$1,$A641,$A641))))</f>
        <v/>
      </c>
      <c r="F641" s="8" t="str">
        <f>IF($A641="","",IF(ISNUMBER(FIND("IMPVOL",F$1)),_xll.BDH(config!$G$4,F$1,WORKDAY($A641,-1,config_Holiday_Calendar_US),WORKDAY($A641,-1,config_Holiday_Calendar_US)),IF(ISNUMBER(_xll.BDH(config!$G$4,F$1,$A641,$A641)),_xll.BDH(config!$G$4,F$1,$A641,$A641),_xll.BDH(config!$G$5,F$1,$A641,$A641))))</f>
        <v/>
      </c>
      <c r="G641" s="8" t="str">
        <f>IF($A641="","",IF(ISNUMBER(FIND("IMPVOL",G$1)),_xll.BDH(config!$G$4,G$1,WORKDAY($A641,-1,config_Holiday_Calendar_US),WORKDAY($A641,-1,config_Holiday_Calendar_US)),IF(ISNUMBER(_xll.BDH(config!$G$4,G$1,$A641,$A641)),_xll.BDH(config!$G$4,G$1,$A641,$A641),_xll.BDH(config!$G$5,G$1,$A641,$A641))))</f>
        <v/>
      </c>
      <c r="H641" s="8" t="str">
        <f>IF($A641="","",IF(ISNUMBER(FIND("IMPVOL",H$1)),_xll.BDH(config!$G$4,H$1,WORKDAY($A641,-1,config_Holiday_Calendar_US),WORKDAY($A641,-1,config_Holiday_Calendar_US)),IF(ISNUMBER(_xll.BDH(config!$G$4,H$1,$A641,$A641)),_xll.BDH(config!$G$4,H$1,$A641,$A641),_xll.BDH(config!$G$5,H$1,$A641,$A641))))</f>
        <v/>
      </c>
      <c r="I641" s="8" t="str">
        <f>IF($A641="","",IF(ISNUMBER(FIND("IMPVOL",I$1)),_xll.BDH(config!$G$4,I$1,WORKDAY($A641,-1,config_Holiday_Calendar_US),WORKDAY($A641,-1,config_Holiday_Calendar_US)),IF(ISNUMBER(_xll.BDH(config!$G$4,I$1,$A641,$A641)),_xll.BDH(config!$G$4,I$1,$A641,$A641),_xll.BDH(config!$G$5,I$1,$A641,$A641))))</f>
        <v/>
      </c>
      <c r="J641" s="8" t="str">
        <f>IF($A641="","",IF(ISNUMBER(FIND("IMPVOL",J$1)),_xll.BDH(config!$G$4,J$1,WORKDAY($A641,-1,config_Holiday_Calendar_US),WORKDAY($A641,-1,config_Holiday_Calendar_US)),IF(ISNUMBER(_xll.BDH(config!$G$4,J$1,$A641,$A641)),_xll.BDH(config!$G$4,J$1,$A641,$A641),_xll.BDH(config!$G$5,J$1,$A641,$A641))))</f>
        <v/>
      </c>
      <c r="K641" s="8" t="str">
        <f>IF($A641="","",IF(ISNUMBER(FIND("IMPVOL",K$1)),_xll.BDH(config!$G$4,K$1,WORKDAY($A641,-1,config_Holiday_Calendar_US),WORKDAY($A641,-1,config_Holiday_Calendar_US)),IF(ISNUMBER(_xll.BDH(config!$G$4,K$1,$A641,$A641)),_xll.BDH(config!$G$4,K$1,$A641,$A641),_xll.BDH(config!$G$5,K$1,$A641,$A641))))</f>
        <v/>
      </c>
      <c r="L641" s="8" t="str">
        <f>IF($A641="","",IF(ISNUMBER(FIND("IMPVOL",L$1)),_xll.BDH(config!$G$4,L$1,WORKDAY($A641,-1,config_Holiday_Calendar_US),WORKDAY($A641,-1,config_Holiday_Calendar_US)),IF(ISNUMBER(_xll.BDH(config!$G$4,L$1,$A641,$A641)),_xll.BDH(config!$G$4,L$1,$A641,$A641),_xll.BDH(config!$G$5,L$1,$A641,$A641))))</f>
        <v/>
      </c>
      <c r="M641" s="8" t="str">
        <f>IF($A641="","",IF(ISNUMBER(FIND("IMPVOL",M$1)),_xll.BDH(config!$G$4,M$1,WORKDAY($A641,-1,config_Holiday_Calendar_US),WORKDAY($A641,-1,config_Holiday_Calendar_US)),IF(ISNUMBER(_xll.BDH(config!$G$4,M$1,$A641,$A641)),_xll.BDH(config!$G$4,M$1,$A641,$A641),_xll.BDH(config!$G$5,M$1,$A641,$A641))))</f>
        <v/>
      </c>
      <c r="N641" s="8" t="str">
        <f>IF($A641="","",IF(ISNUMBER(FIND("IMPVOL",N$1)),_xll.BDH(config!$G$4,N$1,WORKDAY($A641,-1,config_Holiday_Calendar_US),WORKDAY($A641,-1,config_Holiday_Calendar_US)),IF(ISNUMBER(_xll.BDH(config!$G$4,N$1,$A641,$A641)),_xll.BDH(config!$G$4,N$1,$A641,$A641),_xll.BDH(config!$G$5,N$1,$A641,$A641))))</f>
        <v/>
      </c>
      <c r="O641" s="8" t="str">
        <f>IF($A641="","",IF(ISNUMBER(FIND("IMPVOL",O$1)),_xll.BDH(config!$G$4,O$1,WORKDAY($A641,-1,config_Holiday_Calendar_US),WORKDAY($A641,-1,config_Holiday_Calendar_US)),IF(ISNUMBER(_xll.BDH(config!$G$4,O$1,$A641,$A641)),_xll.BDH(config!$G$4,O$1,$A641,$A641),_xll.BDH(config!$G$5,O$1,$A641,$A641))))</f>
        <v/>
      </c>
      <c r="P641" s="8" t="str">
        <f>IF($A641="","",IF(ISNUMBER(FIND("IMPVOL",P$1)),_xll.BDH(config!$G$4,P$1,WORKDAY($A641,-1,config_Holiday_Calendar_US),WORKDAY($A641,-1,config_Holiday_Calendar_US)),IF(ISNUMBER(_xll.BDH(config!$G$4,P$1,$A641,$A641)),_xll.BDH(config!$G$4,P$1,$A641,$A641),_xll.BDH(config!$G$5,P$1,$A641,$A641))))</f>
        <v/>
      </c>
      <c r="Q641" s="8" t="str">
        <f>IF($A641="","",IF(ISNUMBER(FIND("IMPVOL",Q$1)),_xll.BDH(config!$G$4,Q$1,WORKDAY($A641,-1,config_Holiday_Calendar_US),WORKDAY($A641,-1,config_Holiday_Calendar_US)),IF(ISNUMBER(_xll.BDH(config!$G$4,Q$1,$A641,$A641)),_xll.BDH(config!$G$4,Q$1,$A641,$A641),_xll.BDH(config!$G$5,Q$1,$A641,$A641))))</f>
        <v/>
      </c>
      <c r="R641" s="8" t="str">
        <f>IF($A641="","",IF(ISNUMBER(FIND("IMPVOL",R$1)),_xll.BDH(config!$G$4,R$1,WORKDAY($A641,-1,config_Holiday_Calendar_US),WORKDAY($A641,-1,config_Holiday_Calendar_US)),IF(ISNUMBER(_xll.BDH(config!$G$4,R$1,$A641,$A641)),_xll.BDH(config!$G$4,R$1,$A641,$A641),_xll.BDH(config!$G$5,R$1,$A641,$A641))))</f>
        <v/>
      </c>
      <c r="S641" s="8" t="str">
        <f>IF($A641="","",IF(ISNUMBER(FIND("IMPVOL",S$1)),_xll.BDH(config!$G$4,S$1,WORKDAY($A641,-1,config_Holiday_Calendar_US),WORKDAY($A641,-1,config_Holiday_Calendar_US)),IF(ISNUMBER(_xll.BDH(config!$G$4,S$1,$A641,$A641)),_xll.BDH(config!$G$4,S$1,$A641,$A641),_xll.BDH(config!$G$5,S$1,$A641,$A641))))</f>
        <v/>
      </c>
      <c r="T641" s="8" t="str">
        <f>IF($A641="","",IF(ISNUMBER(FIND("IMPVOL",T$1)),_xll.BDH(config!$G$4,T$1,WORKDAY($A641,-1,config_Holiday_Calendar_US),WORKDAY($A641,-1,config_Holiday_Calendar_US)),IF(ISNUMBER(_xll.BDH(config!$G$4,T$1,$A641,$A641)),_xll.BDH(config!$G$4,T$1,$A641,$A641),_xll.BDH(config!$G$5,T$1,$A641,$A641))))</f>
        <v/>
      </c>
      <c r="U641" s="8" t="str">
        <f>IF($A641="","",IF(ISNUMBER(FIND("IMPVOL",U$1)),_xll.BDH(config!$G$4,U$1,WORKDAY($A641,-1,config_Holiday_Calendar_US),WORKDAY($A641,-1,config_Holiday_Calendar_US)),IF(ISNUMBER(_xll.BDH(config!$G$4,U$1,$A641,$A641)),_xll.BDH(config!$G$4,U$1,$A641,$A641),_xll.BDH(config!$G$5,U$1,$A641,$A641))))</f>
        <v/>
      </c>
      <c r="V641" s="8" t="str">
        <f>IF($A641="","",IF(ISNUMBER(FIND("IMPVOL",V$1)),_xll.BDH(config!$G$4,V$1,WORKDAY($A641,-1,config_Holiday_Calendar_US),WORKDAY($A641,-1,config_Holiday_Calendar_US)),IF(ISNUMBER(_xll.BDH(config!$G$4,V$1,$A641,$A641)),_xll.BDH(config!$G$4,V$1,$A641,$A641),_xll.BDH(config!$G$5,V$1,$A641,$A641))))</f>
        <v/>
      </c>
      <c r="W641" s="8" t="str">
        <f>IF($A641="","",IF(ISNUMBER(FIND("IMPVOL",W$1)),_xll.BDH(config!$G$4,W$1,WORKDAY($A641,-1,config_Holiday_Calendar_US),WORKDAY($A641,-1,config_Holiday_Calendar_US)),IF(ISNUMBER(_xll.BDH(config!$G$4,W$1,$A641,$A641)),_xll.BDH(config!$G$4,W$1,$A641,$A641),_xll.BDH(config!$G$5,W$1,$A641,$A641))))</f>
        <v/>
      </c>
    </row>
    <row r="642" spans="1:23" x14ac:dyDescent="0.2">
      <c r="A642" s="9" t="str">
        <f>IF(A641="","",IF(WORKDAY(A641,-1,config_Holiday_Calendar_US)&lt;config!$I$10,"",WORKDAY(A641,-1,config_Holiday_Calendar_US)))</f>
        <v/>
      </c>
      <c r="B642" s="8" t="str">
        <f t="shared" si="9"/>
        <v/>
      </c>
      <c r="C642" s="8" t="str">
        <f>IF(A642="","",_xll.BDH(config!$H$4,C$1,$A642,$A642))</f>
        <v/>
      </c>
      <c r="D642" s="8" t="str">
        <f>IF($A642="","",_xll.BDH(config!$H$4,D$1,$A642,$A642))</f>
        <v/>
      </c>
      <c r="E642" s="8" t="str">
        <f>IF($A642="","",IF(ISNUMBER(FIND("IMPVOL",E$1)),_xll.BDH(config!$G$4,E$1,WORKDAY($A642,-1,config_Holiday_Calendar_US),WORKDAY($A642,-1,config_Holiday_Calendar_US)),IF(ISNUMBER(_xll.BDH(config!$G$4,E$1,$A642,$A642)),_xll.BDH(config!$G$4,E$1,$A642,$A642),_xll.BDH(config!$G$5,E$1,$A642,$A642))))</f>
        <v/>
      </c>
      <c r="F642" s="8" t="str">
        <f>IF($A642="","",IF(ISNUMBER(FIND("IMPVOL",F$1)),_xll.BDH(config!$G$4,F$1,WORKDAY($A642,-1,config_Holiday_Calendar_US),WORKDAY($A642,-1,config_Holiday_Calendar_US)),IF(ISNUMBER(_xll.BDH(config!$G$4,F$1,$A642,$A642)),_xll.BDH(config!$G$4,F$1,$A642,$A642),_xll.BDH(config!$G$5,F$1,$A642,$A642))))</f>
        <v/>
      </c>
      <c r="G642" s="8" t="str">
        <f>IF($A642="","",IF(ISNUMBER(FIND("IMPVOL",G$1)),_xll.BDH(config!$G$4,G$1,WORKDAY($A642,-1,config_Holiday_Calendar_US),WORKDAY($A642,-1,config_Holiday_Calendar_US)),IF(ISNUMBER(_xll.BDH(config!$G$4,G$1,$A642,$A642)),_xll.BDH(config!$G$4,G$1,$A642,$A642),_xll.BDH(config!$G$5,G$1,$A642,$A642))))</f>
        <v/>
      </c>
      <c r="H642" s="8" t="str">
        <f>IF($A642="","",IF(ISNUMBER(FIND("IMPVOL",H$1)),_xll.BDH(config!$G$4,H$1,WORKDAY($A642,-1,config_Holiday_Calendar_US),WORKDAY($A642,-1,config_Holiday_Calendar_US)),IF(ISNUMBER(_xll.BDH(config!$G$4,H$1,$A642,$A642)),_xll.BDH(config!$G$4,H$1,$A642,$A642),_xll.BDH(config!$G$5,H$1,$A642,$A642))))</f>
        <v/>
      </c>
      <c r="I642" s="8" t="str">
        <f>IF($A642="","",IF(ISNUMBER(FIND("IMPVOL",I$1)),_xll.BDH(config!$G$4,I$1,WORKDAY($A642,-1,config_Holiday_Calendar_US),WORKDAY($A642,-1,config_Holiday_Calendar_US)),IF(ISNUMBER(_xll.BDH(config!$G$4,I$1,$A642,$A642)),_xll.BDH(config!$G$4,I$1,$A642,$A642),_xll.BDH(config!$G$5,I$1,$A642,$A642))))</f>
        <v/>
      </c>
      <c r="J642" s="8" t="str">
        <f>IF($A642="","",IF(ISNUMBER(FIND("IMPVOL",J$1)),_xll.BDH(config!$G$4,J$1,WORKDAY($A642,-1,config_Holiday_Calendar_US),WORKDAY($A642,-1,config_Holiday_Calendar_US)),IF(ISNUMBER(_xll.BDH(config!$G$4,J$1,$A642,$A642)),_xll.BDH(config!$G$4,J$1,$A642,$A642),_xll.BDH(config!$G$5,J$1,$A642,$A642))))</f>
        <v/>
      </c>
      <c r="K642" s="8" t="str">
        <f>IF($A642="","",IF(ISNUMBER(FIND("IMPVOL",K$1)),_xll.BDH(config!$G$4,K$1,WORKDAY($A642,-1,config_Holiday_Calendar_US),WORKDAY($A642,-1,config_Holiday_Calendar_US)),IF(ISNUMBER(_xll.BDH(config!$G$4,K$1,$A642,$A642)),_xll.BDH(config!$G$4,K$1,$A642,$A642),_xll.BDH(config!$G$5,K$1,$A642,$A642))))</f>
        <v/>
      </c>
      <c r="L642" s="8" t="str">
        <f>IF($A642="","",IF(ISNUMBER(FIND("IMPVOL",L$1)),_xll.BDH(config!$G$4,L$1,WORKDAY($A642,-1,config_Holiday_Calendar_US),WORKDAY($A642,-1,config_Holiday_Calendar_US)),IF(ISNUMBER(_xll.BDH(config!$G$4,L$1,$A642,$A642)),_xll.BDH(config!$G$4,L$1,$A642,$A642),_xll.BDH(config!$G$5,L$1,$A642,$A642))))</f>
        <v/>
      </c>
      <c r="M642" s="8" t="str">
        <f>IF($A642="","",IF(ISNUMBER(FIND("IMPVOL",M$1)),_xll.BDH(config!$G$4,M$1,WORKDAY($A642,-1,config_Holiday_Calendar_US),WORKDAY($A642,-1,config_Holiday_Calendar_US)),IF(ISNUMBER(_xll.BDH(config!$G$4,M$1,$A642,$A642)),_xll.BDH(config!$G$4,M$1,$A642,$A642),_xll.BDH(config!$G$5,M$1,$A642,$A642))))</f>
        <v/>
      </c>
      <c r="N642" s="8" t="str">
        <f>IF($A642="","",IF(ISNUMBER(FIND("IMPVOL",N$1)),_xll.BDH(config!$G$4,N$1,WORKDAY($A642,-1,config_Holiday_Calendar_US),WORKDAY($A642,-1,config_Holiday_Calendar_US)),IF(ISNUMBER(_xll.BDH(config!$G$4,N$1,$A642,$A642)),_xll.BDH(config!$G$4,N$1,$A642,$A642),_xll.BDH(config!$G$5,N$1,$A642,$A642))))</f>
        <v/>
      </c>
      <c r="O642" s="8" t="str">
        <f>IF($A642="","",IF(ISNUMBER(FIND("IMPVOL",O$1)),_xll.BDH(config!$G$4,O$1,WORKDAY($A642,-1,config_Holiday_Calendar_US),WORKDAY($A642,-1,config_Holiday_Calendar_US)),IF(ISNUMBER(_xll.BDH(config!$G$4,O$1,$A642,$A642)),_xll.BDH(config!$G$4,O$1,$A642,$A642),_xll.BDH(config!$G$5,O$1,$A642,$A642))))</f>
        <v/>
      </c>
      <c r="P642" s="8" t="str">
        <f>IF($A642="","",IF(ISNUMBER(FIND("IMPVOL",P$1)),_xll.BDH(config!$G$4,P$1,WORKDAY($A642,-1,config_Holiday_Calendar_US),WORKDAY($A642,-1,config_Holiday_Calendar_US)),IF(ISNUMBER(_xll.BDH(config!$G$4,P$1,$A642,$A642)),_xll.BDH(config!$G$4,P$1,$A642,$A642),_xll.BDH(config!$G$5,P$1,$A642,$A642))))</f>
        <v/>
      </c>
      <c r="Q642" s="8" t="str">
        <f>IF($A642="","",IF(ISNUMBER(FIND("IMPVOL",Q$1)),_xll.BDH(config!$G$4,Q$1,WORKDAY($A642,-1,config_Holiday_Calendar_US),WORKDAY($A642,-1,config_Holiday_Calendar_US)),IF(ISNUMBER(_xll.BDH(config!$G$4,Q$1,$A642,$A642)),_xll.BDH(config!$G$4,Q$1,$A642,$A642),_xll.BDH(config!$G$5,Q$1,$A642,$A642))))</f>
        <v/>
      </c>
      <c r="R642" s="8" t="str">
        <f>IF($A642="","",IF(ISNUMBER(FIND("IMPVOL",R$1)),_xll.BDH(config!$G$4,R$1,WORKDAY($A642,-1,config_Holiday_Calendar_US),WORKDAY($A642,-1,config_Holiday_Calendar_US)),IF(ISNUMBER(_xll.BDH(config!$G$4,R$1,$A642,$A642)),_xll.BDH(config!$G$4,R$1,$A642,$A642),_xll.BDH(config!$G$5,R$1,$A642,$A642))))</f>
        <v/>
      </c>
      <c r="S642" s="8" t="str">
        <f>IF($A642="","",IF(ISNUMBER(FIND("IMPVOL",S$1)),_xll.BDH(config!$G$4,S$1,WORKDAY($A642,-1,config_Holiday_Calendar_US),WORKDAY($A642,-1,config_Holiday_Calendar_US)),IF(ISNUMBER(_xll.BDH(config!$G$4,S$1,$A642,$A642)),_xll.BDH(config!$G$4,S$1,$A642,$A642),_xll.BDH(config!$G$5,S$1,$A642,$A642))))</f>
        <v/>
      </c>
      <c r="T642" s="8" t="str">
        <f>IF($A642="","",IF(ISNUMBER(FIND("IMPVOL",T$1)),_xll.BDH(config!$G$4,T$1,WORKDAY($A642,-1,config_Holiday_Calendar_US),WORKDAY($A642,-1,config_Holiday_Calendar_US)),IF(ISNUMBER(_xll.BDH(config!$G$4,T$1,$A642,$A642)),_xll.BDH(config!$G$4,T$1,$A642,$A642),_xll.BDH(config!$G$5,T$1,$A642,$A642))))</f>
        <v/>
      </c>
      <c r="U642" s="8" t="str">
        <f>IF($A642="","",IF(ISNUMBER(FIND("IMPVOL",U$1)),_xll.BDH(config!$G$4,U$1,WORKDAY($A642,-1,config_Holiday_Calendar_US),WORKDAY($A642,-1,config_Holiday_Calendar_US)),IF(ISNUMBER(_xll.BDH(config!$G$4,U$1,$A642,$A642)),_xll.BDH(config!$G$4,U$1,$A642,$A642),_xll.BDH(config!$G$5,U$1,$A642,$A642))))</f>
        <v/>
      </c>
      <c r="V642" s="8" t="str">
        <f>IF($A642="","",IF(ISNUMBER(FIND("IMPVOL",V$1)),_xll.BDH(config!$G$4,V$1,WORKDAY($A642,-1,config_Holiday_Calendar_US),WORKDAY($A642,-1,config_Holiday_Calendar_US)),IF(ISNUMBER(_xll.BDH(config!$G$4,V$1,$A642,$A642)),_xll.BDH(config!$G$4,V$1,$A642,$A642),_xll.BDH(config!$G$5,V$1,$A642,$A642))))</f>
        <v/>
      </c>
      <c r="W642" s="8" t="str">
        <f>IF($A642="","",IF(ISNUMBER(FIND("IMPVOL",W$1)),_xll.BDH(config!$G$4,W$1,WORKDAY($A642,-1,config_Holiday_Calendar_US),WORKDAY($A642,-1,config_Holiday_Calendar_US)),IF(ISNUMBER(_xll.BDH(config!$G$4,W$1,$A642,$A642)),_xll.BDH(config!$G$4,W$1,$A642,$A642),_xll.BDH(config!$G$5,W$1,$A642,$A642))))</f>
        <v/>
      </c>
    </row>
    <row r="643" spans="1:23" x14ac:dyDescent="0.2">
      <c r="A643" s="9" t="str">
        <f>IF(A642="","",IF(WORKDAY(A642,-1,config_Holiday_Calendar_US)&lt;config!$I$10,"",WORKDAY(A642,-1,config_Holiday_Calendar_US)))</f>
        <v/>
      </c>
      <c r="B643" s="8" t="str">
        <f t="shared" ref="B643:B706" si="10">IF(A643="","",IF(SIGN(C643)=1,1,0))</f>
        <v/>
      </c>
      <c r="C643" s="8" t="str">
        <f>IF(A643="","",_xll.BDH(config!$H$4,C$1,$A643,$A643))</f>
        <v/>
      </c>
      <c r="D643" s="8" t="str">
        <f>IF($A643="","",_xll.BDH(config!$H$4,D$1,$A643,$A643))</f>
        <v/>
      </c>
      <c r="E643" s="8" t="str">
        <f>IF($A643="","",IF(ISNUMBER(FIND("IMPVOL",E$1)),_xll.BDH(config!$G$4,E$1,WORKDAY($A643,-1,config_Holiday_Calendar_US),WORKDAY($A643,-1,config_Holiday_Calendar_US)),IF(ISNUMBER(_xll.BDH(config!$G$4,E$1,$A643,$A643)),_xll.BDH(config!$G$4,E$1,$A643,$A643),_xll.BDH(config!$G$5,E$1,$A643,$A643))))</f>
        <v/>
      </c>
      <c r="F643" s="8" t="str">
        <f>IF($A643="","",IF(ISNUMBER(FIND("IMPVOL",F$1)),_xll.BDH(config!$G$4,F$1,WORKDAY($A643,-1,config_Holiday_Calendar_US),WORKDAY($A643,-1,config_Holiday_Calendar_US)),IF(ISNUMBER(_xll.BDH(config!$G$4,F$1,$A643,$A643)),_xll.BDH(config!$G$4,F$1,$A643,$A643),_xll.BDH(config!$G$5,F$1,$A643,$A643))))</f>
        <v/>
      </c>
      <c r="G643" s="8" t="str">
        <f>IF($A643="","",IF(ISNUMBER(FIND("IMPVOL",G$1)),_xll.BDH(config!$G$4,G$1,WORKDAY($A643,-1,config_Holiday_Calendar_US),WORKDAY($A643,-1,config_Holiday_Calendar_US)),IF(ISNUMBER(_xll.BDH(config!$G$4,G$1,$A643,$A643)),_xll.BDH(config!$G$4,G$1,$A643,$A643),_xll.BDH(config!$G$5,G$1,$A643,$A643))))</f>
        <v/>
      </c>
      <c r="H643" s="8" t="str">
        <f>IF($A643="","",IF(ISNUMBER(FIND("IMPVOL",H$1)),_xll.BDH(config!$G$4,H$1,WORKDAY($A643,-1,config_Holiday_Calendar_US),WORKDAY($A643,-1,config_Holiday_Calendar_US)),IF(ISNUMBER(_xll.BDH(config!$G$4,H$1,$A643,$A643)),_xll.BDH(config!$G$4,H$1,$A643,$A643),_xll.BDH(config!$G$5,H$1,$A643,$A643))))</f>
        <v/>
      </c>
      <c r="I643" s="8" t="str">
        <f>IF($A643="","",IF(ISNUMBER(FIND("IMPVOL",I$1)),_xll.BDH(config!$G$4,I$1,WORKDAY($A643,-1,config_Holiday_Calendar_US),WORKDAY($A643,-1,config_Holiday_Calendar_US)),IF(ISNUMBER(_xll.BDH(config!$G$4,I$1,$A643,$A643)),_xll.BDH(config!$G$4,I$1,$A643,$A643),_xll.BDH(config!$G$5,I$1,$A643,$A643))))</f>
        <v/>
      </c>
      <c r="J643" s="8" t="str">
        <f>IF($A643="","",IF(ISNUMBER(FIND("IMPVOL",J$1)),_xll.BDH(config!$G$4,J$1,WORKDAY($A643,-1,config_Holiday_Calendar_US),WORKDAY($A643,-1,config_Holiday_Calendar_US)),IF(ISNUMBER(_xll.BDH(config!$G$4,J$1,$A643,$A643)),_xll.BDH(config!$G$4,J$1,$A643,$A643),_xll.BDH(config!$G$5,J$1,$A643,$A643))))</f>
        <v/>
      </c>
      <c r="K643" s="8" t="str">
        <f>IF($A643="","",IF(ISNUMBER(FIND("IMPVOL",K$1)),_xll.BDH(config!$G$4,K$1,WORKDAY($A643,-1,config_Holiday_Calendar_US),WORKDAY($A643,-1,config_Holiday_Calendar_US)),IF(ISNUMBER(_xll.BDH(config!$G$4,K$1,$A643,$A643)),_xll.BDH(config!$G$4,K$1,$A643,$A643),_xll.BDH(config!$G$5,K$1,$A643,$A643))))</f>
        <v/>
      </c>
      <c r="L643" s="8" t="str">
        <f>IF($A643="","",IF(ISNUMBER(FIND("IMPVOL",L$1)),_xll.BDH(config!$G$4,L$1,WORKDAY($A643,-1,config_Holiday_Calendar_US),WORKDAY($A643,-1,config_Holiday_Calendar_US)),IF(ISNUMBER(_xll.BDH(config!$G$4,L$1,$A643,$A643)),_xll.BDH(config!$G$4,L$1,$A643,$A643),_xll.BDH(config!$G$5,L$1,$A643,$A643))))</f>
        <v/>
      </c>
      <c r="M643" s="8" t="str">
        <f>IF($A643="","",IF(ISNUMBER(FIND("IMPVOL",M$1)),_xll.BDH(config!$G$4,M$1,WORKDAY($A643,-1,config_Holiday_Calendar_US),WORKDAY($A643,-1,config_Holiday_Calendar_US)),IF(ISNUMBER(_xll.BDH(config!$G$4,M$1,$A643,$A643)),_xll.BDH(config!$G$4,M$1,$A643,$A643),_xll.BDH(config!$G$5,M$1,$A643,$A643))))</f>
        <v/>
      </c>
      <c r="N643" s="8" t="str">
        <f>IF($A643="","",IF(ISNUMBER(FIND("IMPVOL",N$1)),_xll.BDH(config!$G$4,N$1,WORKDAY($A643,-1,config_Holiday_Calendar_US),WORKDAY($A643,-1,config_Holiday_Calendar_US)),IF(ISNUMBER(_xll.BDH(config!$G$4,N$1,$A643,$A643)),_xll.BDH(config!$G$4,N$1,$A643,$A643),_xll.BDH(config!$G$5,N$1,$A643,$A643))))</f>
        <v/>
      </c>
      <c r="O643" s="8" t="str">
        <f>IF($A643="","",IF(ISNUMBER(FIND("IMPVOL",O$1)),_xll.BDH(config!$G$4,O$1,WORKDAY($A643,-1,config_Holiday_Calendar_US),WORKDAY($A643,-1,config_Holiday_Calendar_US)),IF(ISNUMBER(_xll.BDH(config!$G$4,O$1,$A643,$A643)),_xll.BDH(config!$G$4,O$1,$A643,$A643),_xll.BDH(config!$G$5,O$1,$A643,$A643))))</f>
        <v/>
      </c>
      <c r="P643" s="8" t="str">
        <f>IF($A643="","",IF(ISNUMBER(FIND("IMPVOL",P$1)),_xll.BDH(config!$G$4,P$1,WORKDAY($A643,-1,config_Holiday_Calendar_US),WORKDAY($A643,-1,config_Holiday_Calendar_US)),IF(ISNUMBER(_xll.BDH(config!$G$4,P$1,$A643,$A643)),_xll.BDH(config!$G$4,P$1,$A643,$A643),_xll.BDH(config!$G$5,P$1,$A643,$A643))))</f>
        <v/>
      </c>
      <c r="Q643" s="8" t="str">
        <f>IF($A643="","",IF(ISNUMBER(FIND("IMPVOL",Q$1)),_xll.BDH(config!$G$4,Q$1,WORKDAY($A643,-1,config_Holiday_Calendar_US),WORKDAY($A643,-1,config_Holiday_Calendar_US)),IF(ISNUMBER(_xll.BDH(config!$G$4,Q$1,$A643,$A643)),_xll.BDH(config!$G$4,Q$1,$A643,$A643),_xll.BDH(config!$G$5,Q$1,$A643,$A643))))</f>
        <v/>
      </c>
      <c r="R643" s="8" t="str">
        <f>IF($A643="","",IF(ISNUMBER(FIND("IMPVOL",R$1)),_xll.BDH(config!$G$4,R$1,WORKDAY($A643,-1,config_Holiday_Calendar_US),WORKDAY($A643,-1,config_Holiday_Calendar_US)),IF(ISNUMBER(_xll.BDH(config!$G$4,R$1,$A643,$A643)),_xll.BDH(config!$G$4,R$1,$A643,$A643),_xll.BDH(config!$G$5,R$1,$A643,$A643))))</f>
        <v/>
      </c>
      <c r="S643" s="8" t="str">
        <f>IF($A643="","",IF(ISNUMBER(FIND("IMPVOL",S$1)),_xll.BDH(config!$G$4,S$1,WORKDAY($A643,-1,config_Holiday_Calendar_US),WORKDAY($A643,-1,config_Holiday_Calendar_US)),IF(ISNUMBER(_xll.BDH(config!$G$4,S$1,$A643,$A643)),_xll.BDH(config!$G$4,S$1,$A643,$A643),_xll.BDH(config!$G$5,S$1,$A643,$A643))))</f>
        <v/>
      </c>
      <c r="T643" s="8" t="str">
        <f>IF($A643="","",IF(ISNUMBER(FIND("IMPVOL",T$1)),_xll.BDH(config!$G$4,T$1,WORKDAY($A643,-1,config_Holiday_Calendar_US),WORKDAY($A643,-1,config_Holiday_Calendar_US)),IF(ISNUMBER(_xll.BDH(config!$G$4,T$1,$A643,$A643)),_xll.BDH(config!$G$4,T$1,$A643,$A643),_xll.BDH(config!$G$5,T$1,$A643,$A643))))</f>
        <v/>
      </c>
      <c r="U643" s="8" t="str">
        <f>IF($A643="","",IF(ISNUMBER(FIND("IMPVOL",U$1)),_xll.BDH(config!$G$4,U$1,WORKDAY($A643,-1,config_Holiday_Calendar_US),WORKDAY($A643,-1,config_Holiday_Calendar_US)),IF(ISNUMBER(_xll.BDH(config!$G$4,U$1,$A643,$A643)),_xll.BDH(config!$G$4,U$1,$A643,$A643),_xll.BDH(config!$G$5,U$1,$A643,$A643))))</f>
        <v/>
      </c>
      <c r="V643" s="8" t="str">
        <f>IF($A643="","",IF(ISNUMBER(FIND("IMPVOL",V$1)),_xll.BDH(config!$G$4,V$1,WORKDAY($A643,-1,config_Holiday_Calendar_US),WORKDAY($A643,-1,config_Holiday_Calendar_US)),IF(ISNUMBER(_xll.BDH(config!$G$4,V$1,$A643,$A643)),_xll.BDH(config!$G$4,V$1,$A643,$A643),_xll.BDH(config!$G$5,V$1,$A643,$A643))))</f>
        <v/>
      </c>
      <c r="W643" s="8" t="str">
        <f>IF($A643="","",IF(ISNUMBER(FIND("IMPVOL",W$1)),_xll.BDH(config!$G$4,W$1,WORKDAY($A643,-1,config_Holiday_Calendar_US),WORKDAY($A643,-1,config_Holiday_Calendar_US)),IF(ISNUMBER(_xll.BDH(config!$G$4,W$1,$A643,$A643)),_xll.BDH(config!$G$4,W$1,$A643,$A643),_xll.BDH(config!$G$5,W$1,$A643,$A643))))</f>
        <v/>
      </c>
    </row>
    <row r="644" spans="1:23" x14ac:dyDescent="0.2">
      <c r="A644" s="9" t="str">
        <f>IF(A643="","",IF(WORKDAY(A643,-1,config_Holiday_Calendar_US)&lt;config!$I$10,"",WORKDAY(A643,-1,config_Holiday_Calendar_US)))</f>
        <v/>
      </c>
      <c r="B644" s="8" t="str">
        <f t="shared" si="10"/>
        <v/>
      </c>
      <c r="C644" s="8" t="str">
        <f>IF(A644="","",_xll.BDH(config!$H$4,C$1,$A644,$A644))</f>
        <v/>
      </c>
      <c r="D644" s="8" t="str">
        <f>IF($A644="","",_xll.BDH(config!$H$4,D$1,$A644,$A644))</f>
        <v/>
      </c>
      <c r="E644" s="8" t="str">
        <f>IF($A644="","",IF(ISNUMBER(FIND("IMPVOL",E$1)),_xll.BDH(config!$G$4,E$1,WORKDAY($A644,-1,config_Holiday_Calendar_US),WORKDAY($A644,-1,config_Holiday_Calendar_US)),IF(ISNUMBER(_xll.BDH(config!$G$4,E$1,$A644,$A644)),_xll.BDH(config!$G$4,E$1,$A644,$A644),_xll.BDH(config!$G$5,E$1,$A644,$A644))))</f>
        <v/>
      </c>
      <c r="F644" s="8" t="str">
        <f>IF($A644="","",IF(ISNUMBER(FIND("IMPVOL",F$1)),_xll.BDH(config!$G$4,F$1,WORKDAY($A644,-1,config_Holiday_Calendar_US),WORKDAY($A644,-1,config_Holiday_Calendar_US)),IF(ISNUMBER(_xll.BDH(config!$G$4,F$1,$A644,$A644)),_xll.BDH(config!$G$4,F$1,$A644,$A644),_xll.BDH(config!$G$5,F$1,$A644,$A644))))</f>
        <v/>
      </c>
      <c r="G644" s="8" t="str">
        <f>IF($A644="","",IF(ISNUMBER(FIND("IMPVOL",G$1)),_xll.BDH(config!$G$4,G$1,WORKDAY($A644,-1,config_Holiday_Calendar_US),WORKDAY($A644,-1,config_Holiday_Calendar_US)),IF(ISNUMBER(_xll.BDH(config!$G$4,G$1,$A644,$A644)),_xll.BDH(config!$G$4,G$1,$A644,$A644),_xll.BDH(config!$G$5,G$1,$A644,$A644))))</f>
        <v/>
      </c>
      <c r="H644" s="8" t="str">
        <f>IF($A644="","",IF(ISNUMBER(FIND("IMPVOL",H$1)),_xll.BDH(config!$G$4,H$1,WORKDAY($A644,-1,config_Holiday_Calendar_US),WORKDAY($A644,-1,config_Holiday_Calendar_US)),IF(ISNUMBER(_xll.BDH(config!$G$4,H$1,$A644,$A644)),_xll.BDH(config!$G$4,H$1,$A644,$A644),_xll.BDH(config!$G$5,H$1,$A644,$A644))))</f>
        <v/>
      </c>
      <c r="I644" s="8" t="str">
        <f>IF($A644="","",IF(ISNUMBER(FIND("IMPVOL",I$1)),_xll.BDH(config!$G$4,I$1,WORKDAY($A644,-1,config_Holiday_Calendar_US),WORKDAY($A644,-1,config_Holiday_Calendar_US)),IF(ISNUMBER(_xll.BDH(config!$G$4,I$1,$A644,$A644)),_xll.BDH(config!$G$4,I$1,$A644,$A644),_xll.BDH(config!$G$5,I$1,$A644,$A644))))</f>
        <v/>
      </c>
      <c r="J644" s="8" t="str">
        <f>IF($A644="","",IF(ISNUMBER(FIND("IMPVOL",J$1)),_xll.BDH(config!$G$4,J$1,WORKDAY($A644,-1,config_Holiday_Calendar_US),WORKDAY($A644,-1,config_Holiday_Calendar_US)),IF(ISNUMBER(_xll.BDH(config!$G$4,J$1,$A644,$A644)),_xll.BDH(config!$G$4,J$1,$A644,$A644),_xll.BDH(config!$G$5,J$1,$A644,$A644))))</f>
        <v/>
      </c>
      <c r="K644" s="8" t="str">
        <f>IF($A644="","",IF(ISNUMBER(FIND("IMPVOL",K$1)),_xll.BDH(config!$G$4,K$1,WORKDAY($A644,-1,config_Holiday_Calendar_US),WORKDAY($A644,-1,config_Holiday_Calendar_US)),IF(ISNUMBER(_xll.BDH(config!$G$4,K$1,$A644,$A644)),_xll.BDH(config!$G$4,K$1,$A644,$A644),_xll.BDH(config!$G$5,K$1,$A644,$A644))))</f>
        <v/>
      </c>
      <c r="L644" s="8" t="str">
        <f>IF($A644="","",IF(ISNUMBER(FIND("IMPVOL",L$1)),_xll.BDH(config!$G$4,L$1,WORKDAY($A644,-1,config_Holiday_Calendar_US),WORKDAY($A644,-1,config_Holiday_Calendar_US)),IF(ISNUMBER(_xll.BDH(config!$G$4,L$1,$A644,$A644)),_xll.BDH(config!$G$4,L$1,$A644,$A644),_xll.BDH(config!$G$5,L$1,$A644,$A644))))</f>
        <v/>
      </c>
      <c r="M644" s="8" t="str">
        <f>IF($A644="","",IF(ISNUMBER(FIND("IMPVOL",M$1)),_xll.BDH(config!$G$4,M$1,WORKDAY($A644,-1,config_Holiday_Calendar_US),WORKDAY($A644,-1,config_Holiday_Calendar_US)),IF(ISNUMBER(_xll.BDH(config!$G$4,M$1,$A644,$A644)),_xll.BDH(config!$G$4,M$1,$A644,$A644),_xll.BDH(config!$G$5,M$1,$A644,$A644))))</f>
        <v/>
      </c>
      <c r="N644" s="8" t="str">
        <f>IF($A644="","",IF(ISNUMBER(FIND("IMPVOL",N$1)),_xll.BDH(config!$G$4,N$1,WORKDAY($A644,-1,config_Holiday_Calendar_US),WORKDAY($A644,-1,config_Holiday_Calendar_US)),IF(ISNUMBER(_xll.BDH(config!$G$4,N$1,$A644,$A644)),_xll.BDH(config!$G$4,N$1,$A644,$A644),_xll.BDH(config!$G$5,N$1,$A644,$A644))))</f>
        <v/>
      </c>
      <c r="O644" s="8" t="str">
        <f>IF($A644="","",IF(ISNUMBER(FIND("IMPVOL",O$1)),_xll.BDH(config!$G$4,O$1,WORKDAY($A644,-1,config_Holiday_Calendar_US),WORKDAY($A644,-1,config_Holiday_Calendar_US)),IF(ISNUMBER(_xll.BDH(config!$G$4,O$1,$A644,$A644)),_xll.BDH(config!$G$4,O$1,$A644,$A644),_xll.BDH(config!$G$5,O$1,$A644,$A644))))</f>
        <v/>
      </c>
      <c r="P644" s="8" t="str">
        <f>IF($A644="","",IF(ISNUMBER(FIND("IMPVOL",P$1)),_xll.BDH(config!$G$4,P$1,WORKDAY($A644,-1,config_Holiday_Calendar_US),WORKDAY($A644,-1,config_Holiday_Calendar_US)),IF(ISNUMBER(_xll.BDH(config!$G$4,P$1,$A644,$A644)),_xll.BDH(config!$G$4,P$1,$A644,$A644),_xll.BDH(config!$G$5,P$1,$A644,$A644))))</f>
        <v/>
      </c>
      <c r="Q644" s="8" t="str">
        <f>IF($A644="","",IF(ISNUMBER(FIND("IMPVOL",Q$1)),_xll.BDH(config!$G$4,Q$1,WORKDAY($A644,-1,config_Holiday_Calendar_US),WORKDAY($A644,-1,config_Holiday_Calendar_US)),IF(ISNUMBER(_xll.BDH(config!$G$4,Q$1,$A644,$A644)),_xll.BDH(config!$G$4,Q$1,$A644,$A644),_xll.BDH(config!$G$5,Q$1,$A644,$A644))))</f>
        <v/>
      </c>
      <c r="R644" s="8" t="str">
        <f>IF($A644="","",IF(ISNUMBER(FIND("IMPVOL",R$1)),_xll.BDH(config!$G$4,R$1,WORKDAY($A644,-1,config_Holiday_Calendar_US),WORKDAY($A644,-1,config_Holiday_Calendar_US)),IF(ISNUMBER(_xll.BDH(config!$G$4,R$1,$A644,$A644)),_xll.BDH(config!$G$4,R$1,$A644,$A644),_xll.BDH(config!$G$5,R$1,$A644,$A644))))</f>
        <v/>
      </c>
      <c r="S644" s="8" t="str">
        <f>IF($A644="","",IF(ISNUMBER(FIND("IMPVOL",S$1)),_xll.BDH(config!$G$4,S$1,WORKDAY($A644,-1,config_Holiday_Calendar_US),WORKDAY($A644,-1,config_Holiday_Calendar_US)),IF(ISNUMBER(_xll.BDH(config!$G$4,S$1,$A644,$A644)),_xll.BDH(config!$G$4,S$1,$A644,$A644),_xll.BDH(config!$G$5,S$1,$A644,$A644))))</f>
        <v/>
      </c>
      <c r="T644" s="8" t="str">
        <f>IF($A644="","",IF(ISNUMBER(FIND("IMPVOL",T$1)),_xll.BDH(config!$G$4,T$1,WORKDAY($A644,-1,config_Holiday_Calendar_US),WORKDAY($A644,-1,config_Holiday_Calendar_US)),IF(ISNUMBER(_xll.BDH(config!$G$4,T$1,$A644,$A644)),_xll.BDH(config!$G$4,T$1,$A644,$A644),_xll.BDH(config!$G$5,T$1,$A644,$A644))))</f>
        <v/>
      </c>
      <c r="U644" s="8" t="str">
        <f>IF($A644="","",IF(ISNUMBER(FIND("IMPVOL",U$1)),_xll.BDH(config!$G$4,U$1,WORKDAY($A644,-1,config_Holiday_Calendar_US),WORKDAY($A644,-1,config_Holiday_Calendar_US)),IF(ISNUMBER(_xll.BDH(config!$G$4,U$1,$A644,$A644)),_xll.BDH(config!$G$4,U$1,$A644,$A644),_xll.BDH(config!$G$5,U$1,$A644,$A644))))</f>
        <v/>
      </c>
      <c r="V644" s="8" t="str">
        <f>IF($A644="","",IF(ISNUMBER(FIND("IMPVOL",V$1)),_xll.BDH(config!$G$4,V$1,WORKDAY($A644,-1,config_Holiday_Calendar_US),WORKDAY($A644,-1,config_Holiday_Calendar_US)),IF(ISNUMBER(_xll.BDH(config!$G$4,V$1,$A644,$A644)),_xll.BDH(config!$G$4,V$1,$A644,$A644),_xll.BDH(config!$G$5,V$1,$A644,$A644))))</f>
        <v/>
      </c>
      <c r="W644" s="8" t="str">
        <f>IF($A644="","",IF(ISNUMBER(FIND("IMPVOL",W$1)),_xll.BDH(config!$G$4,W$1,WORKDAY($A644,-1,config_Holiday_Calendar_US),WORKDAY($A644,-1,config_Holiday_Calendar_US)),IF(ISNUMBER(_xll.BDH(config!$G$4,W$1,$A644,$A644)),_xll.BDH(config!$G$4,W$1,$A644,$A644),_xll.BDH(config!$G$5,W$1,$A644,$A644))))</f>
        <v/>
      </c>
    </row>
    <row r="645" spans="1:23" x14ac:dyDescent="0.2">
      <c r="A645" s="9" t="str">
        <f>IF(A644="","",IF(WORKDAY(A644,-1,config_Holiday_Calendar_US)&lt;config!$I$10,"",WORKDAY(A644,-1,config_Holiday_Calendar_US)))</f>
        <v/>
      </c>
      <c r="B645" s="8" t="str">
        <f t="shared" si="10"/>
        <v/>
      </c>
      <c r="C645" s="8" t="str">
        <f>IF(A645="","",_xll.BDH(config!$H$4,C$1,$A645,$A645))</f>
        <v/>
      </c>
      <c r="D645" s="8" t="str">
        <f>IF($A645="","",_xll.BDH(config!$H$4,D$1,$A645,$A645))</f>
        <v/>
      </c>
      <c r="E645" s="8" t="str">
        <f>IF($A645="","",IF(ISNUMBER(FIND("IMPVOL",E$1)),_xll.BDH(config!$G$4,E$1,WORKDAY($A645,-1,config_Holiday_Calendar_US),WORKDAY($A645,-1,config_Holiday_Calendar_US)),IF(ISNUMBER(_xll.BDH(config!$G$4,E$1,$A645,$A645)),_xll.BDH(config!$G$4,E$1,$A645,$A645),_xll.BDH(config!$G$5,E$1,$A645,$A645))))</f>
        <v/>
      </c>
      <c r="F645" s="8" t="str">
        <f>IF($A645="","",IF(ISNUMBER(FIND("IMPVOL",F$1)),_xll.BDH(config!$G$4,F$1,WORKDAY($A645,-1,config_Holiday_Calendar_US),WORKDAY($A645,-1,config_Holiday_Calendar_US)),IF(ISNUMBER(_xll.BDH(config!$G$4,F$1,$A645,$A645)),_xll.BDH(config!$G$4,F$1,$A645,$A645),_xll.BDH(config!$G$5,F$1,$A645,$A645))))</f>
        <v/>
      </c>
      <c r="G645" s="8" t="str">
        <f>IF($A645="","",IF(ISNUMBER(FIND("IMPVOL",G$1)),_xll.BDH(config!$G$4,G$1,WORKDAY($A645,-1,config_Holiday_Calendar_US),WORKDAY($A645,-1,config_Holiday_Calendar_US)),IF(ISNUMBER(_xll.BDH(config!$G$4,G$1,$A645,$A645)),_xll.BDH(config!$G$4,G$1,$A645,$A645),_xll.BDH(config!$G$5,G$1,$A645,$A645))))</f>
        <v/>
      </c>
      <c r="H645" s="8" t="str">
        <f>IF($A645="","",IF(ISNUMBER(FIND("IMPVOL",H$1)),_xll.BDH(config!$G$4,H$1,WORKDAY($A645,-1,config_Holiday_Calendar_US),WORKDAY($A645,-1,config_Holiday_Calendar_US)),IF(ISNUMBER(_xll.BDH(config!$G$4,H$1,$A645,$A645)),_xll.BDH(config!$G$4,H$1,$A645,$A645),_xll.BDH(config!$G$5,H$1,$A645,$A645))))</f>
        <v/>
      </c>
      <c r="I645" s="8" t="str">
        <f>IF($A645="","",IF(ISNUMBER(FIND("IMPVOL",I$1)),_xll.BDH(config!$G$4,I$1,WORKDAY($A645,-1,config_Holiday_Calendar_US),WORKDAY($A645,-1,config_Holiday_Calendar_US)),IF(ISNUMBER(_xll.BDH(config!$G$4,I$1,$A645,$A645)),_xll.BDH(config!$G$4,I$1,$A645,$A645),_xll.BDH(config!$G$5,I$1,$A645,$A645))))</f>
        <v/>
      </c>
      <c r="J645" s="8" t="str">
        <f>IF($A645="","",IF(ISNUMBER(FIND("IMPVOL",J$1)),_xll.BDH(config!$G$4,J$1,WORKDAY($A645,-1,config_Holiday_Calendar_US),WORKDAY($A645,-1,config_Holiday_Calendar_US)),IF(ISNUMBER(_xll.BDH(config!$G$4,J$1,$A645,$A645)),_xll.BDH(config!$G$4,J$1,$A645,$A645),_xll.BDH(config!$G$5,J$1,$A645,$A645))))</f>
        <v/>
      </c>
      <c r="K645" s="8" t="str">
        <f>IF($A645="","",IF(ISNUMBER(FIND("IMPVOL",K$1)),_xll.BDH(config!$G$4,K$1,WORKDAY($A645,-1,config_Holiday_Calendar_US),WORKDAY($A645,-1,config_Holiday_Calendar_US)),IF(ISNUMBER(_xll.BDH(config!$G$4,K$1,$A645,$A645)),_xll.BDH(config!$G$4,K$1,$A645,$A645),_xll.BDH(config!$G$5,K$1,$A645,$A645))))</f>
        <v/>
      </c>
      <c r="L645" s="8" t="str">
        <f>IF($A645="","",IF(ISNUMBER(FIND("IMPVOL",L$1)),_xll.BDH(config!$G$4,L$1,WORKDAY($A645,-1,config_Holiday_Calendar_US),WORKDAY($A645,-1,config_Holiday_Calendar_US)),IF(ISNUMBER(_xll.BDH(config!$G$4,L$1,$A645,$A645)),_xll.BDH(config!$G$4,L$1,$A645,$A645),_xll.BDH(config!$G$5,L$1,$A645,$A645))))</f>
        <v/>
      </c>
      <c r="M645" s="8" t="str">
        <f>IF($A645="","",IF(ISNUMBER(FIND("IMPVOL",M$1)),_xll.BDH(config!$G$4,M$1,WORKDAY($A645,-1,config_Holiday_Calendar_US),WORKDAY($A645,-1,config_Holiday_Calendar_US)),IF(ISNUMBER(_xll.BDH(config!$G$4,M$1,$A645,$A645)),_xll.BDH(config!$G$4,M$1,$A645,$A645),_xll.BDH(config!$G$5,M$1,$A645,$A645))))</f>
        <v/>
      </c>
      <c r="N645" s="8" t="str">
        <f>IF($A645="","",IF(ISNUMBER(FIND("IMPVOL",N$1)),_xll.BDH(config!$G$4,N$1,WORKDAY($A645,-1,config_Holiday_Calendar_US),WORKDAY($A645,-1,config_Holiday_Calendar_US)),IF(ISNUMBER(_xll.BDH(config!$G$4,N$1,$A645,$A645)),_xll.BDH(config!$G$4,N$1,$A645,$A645),_xll.BDH(config!$G$5,N$1,$A645,$A645))))</f>
        <v/>
      </c>
      <c r="O645" s="8" t="str">
        <f>IF($A645="","",IF(ISNUMBER(FIND("IMPVOL",O$1)),_xll.BDH(config!$G$4,O$1,WORKDAY($A645,-1,config_Holiday_Calendar_US),WORKDAY($A645,-1,config_Holiday_Calendar_US)),IF(ISNUMBER(_xll.BDH(config!$G$4,O$1,$A645,$A645)),_xll.BDH(config!$G$4,O$1,$A645,$A645),_xll.BDH(config!$G$5,O$1,$A645,$A645))))</f>
        <v/>
      </c>
      <c r="P645" s="8" t="str">
        <f>IF($A645="","",IF(ISNUMBER(FIND("IMPVOL",P$1)),_xll.BDH(config!$G$4,P$1,WORKDAY($A645,-1,config_Holiday_Calendar_US),WORKDAY($A645,-1,config_Holiday_Calendar_US)),IF(ISNUMBER(_xll.BDH(config!$G$4,P$1,$A645,$A645)),_xll.BDH(config!$G$4,P$1,$A645,$A645),_xll.BDH(config!$G$5,P$1,$A645,$A645))))</f>
        <v/>
      </c>
      <c r="Q645" s="8" t="str">
        <f>IF($A645="","",IF(ISNUMBER(FIND("IMPVOL",Q$1)),_xll.BDH(config!$G$4,Q$1,WORKDAY($A645,-1,config_Holiday_Calendar_US),WORKDAY($A645,-1,config_Holiday_Calendar_US)),IF(ISNUMBER(_xll.BDH(config!$G$4,Q$1,$A645,$A645)),_xll.BDH(config!$G$4,Q$1,$A645,$A645),_xll.BDH(config!$G$5,Q$1,$A645,$A645))))</f>
        <v/>
      </c>
      <c r="R645" s="8" t="str">
        <f>IF($A645="","",IF(ISNUMBER(FIND("IMPVOL",R$1)),_xll.BDH(config!$G$4,R$1,WORKDAY($A645,-1,config_Holiday_Calendar_US),WORKDAY($A645,-1,config_Holiday_Calendar_US)),IF(ISNUMBER(_xll.BDH(config!$G$4,R$1,$A645,$A645)),_xll.BDH(config!$G$4,R$1,$A645,$A645),_xll.BDH(config!$G$5,R$1,$A645,$A645))))</f>
        <v/>
      </c>
      <c r="S645" s="8" t="str">
        <f>IF($A645="","",IF(ISNUMBER(FIND("IMPVOL",S$1)),_xll.BDH(config!$G$4,S$1,WORKDAY($A645,-1,config_Holiday_Calendar_US),WORKDAY($A645,-1,config_Holiday_Calendar_US)),IF(ISNUMBER(_xll.BDH(config!$G$4,S$1,$A645,$A645)),_xll.BDH(config!$G$4,S$1,$A645,$A645),_xll.BDH(config!$G$5,S$1,$A645,$A645))))</f>
        <v/>
      </c>
      <c r="T645" s="8" t="str">
        <f>IF($A645="","",IF(ISNUMBER(FIND("IMPVOL",T$1)),_xll.BDH(config!$G$4,T$1,WORKDAY($A645,-1,config_Holiday_Calendar_US),WORKDAY($A645,-1,config_Holiday_Calendar_US)),IF(ISNUMBER(_xll.BDH(config!$G$4,T$1,$A645,$A645)),_xll.BDH(config!$G$4,T$1,$A645,$A645),_xll.BDH(config!$G$5,T$1,$A645,$A645))))</f>
        <v/>
      </c>
      <c r="U645" s="8" t="str">
        <f>IF($A645="","",IF(ISNUMBER(FIND("IMPVOL",U$1)),_xll.BDH(config!$G$4,U$1,WORKDAY($A645,-1,config_Holiday_Calendar_US),WORKDAY($A645,-1,config_Holiday_Calendar_US)),IF(ISNUMBER(_xll.BDH(config!$G$4,U$1,$A645,$A645)),_xll.BDH(config!$G$4,U$1,$A645,$A645),_xll.BDH(config!$G$5,U$1,$A645,$A645))))</f>
        <v/>
      </c>
      <c r="V645" s="8" t="str">
        <f>IF($A645="","",IF(ISNUMBER(FIND("IMPVOL",V$1)),_xll.BDH(config!$G$4,V$1,WORKDAY($A645,-1,config_Holiday_Calendar_US),WORKDAY($A645,-1,config_Holiday_Calendar_US)),IF(ISNUMBER(_xll.BDH(config!$G$4,V$1,$A645,$A645)),_xll.BDH(config!$G$4,V$1,$A645,$A645),_xll.BDH(config!$G$5,V$1,$A645,$A645))))</f>
        <v/>
      </c>
      <c r="W645" s="8" t="str">
        <f>IF($A645="","",IF(ISNUMBER(FIND("IMPVOL",W$1)),_xll.BDH(config!$G$4,W$1,WORKDAY($A645,-1,config_Holiday_Calendar_US),WORKDAY($A645,-1,config_Holiday_Calendar_US)),IF(ISNUMBER(_xll.BDH(config!$G$4,W$1,$A645,$A645)),_xll.BDH(config!$G$4,W$1,$A645,$A645),_xll.BDH(config!$G$5,W$1,$A645,$A645))))</f>
        <v/>
      </c>
    </row>
    <row r="646" spans="1:23" x14ac:dyDescent="0.2">
      <c r="A646" s="9" t="str">
        <f>IF(A645="","",IF(WORKDAY(A645,-1,config_Holiday_Calendar_US)&lt;config!$I$10,"",WORKDAY(A645,-1,config_Holiday_Calendar_US)))</f>
        <v/>
      </c>
      <c r="B646" s="8" t="str">
        <f t="shared" si="10"/>
        <v/>
      </c>
      <c r="C646" s="8" t="str">
        <f>IF(A646="","",_xll.BDH(config!$H$4,C$1,$A646,$A646))</f>
        <v/>
      </c>
      <c r="D646" s="8" t="str">
        <f>IF($A646="","",_xll.BDH(config!$H$4,D$1,$A646,$A646))</f>
        <v/>
      </c>
      <c r="E646" s="8" t="str">
        <f>IF($A646="","",IF(ISNUMBER(FIND("IMPVOL",E$1)),_xll.BDH(config!$G$4,E$1,WORKDAY($A646,-1,config_Holiday_Calendar_US),WORKDAY($A646,-1,config_Holiday_Calendar_US)),IF(ISNUMBER(_xll.BDH(config!$G$4,E$1,$A646,$A646)),_xll.BDH(config!$G$4,E$1,$A646,$A646),_xll.BDH(config!$G$5,E$1,$A646,$A646))))</f>
        <v/>
      </c>
      <c r="F646" s="8" t="str">
        <f>IF($A646="","",IF(ISNUMBER(FIND("IMPVOL",F$1)),_xll.BDH(config!$G$4,F$1,WORKDAY($A646,-1,config_Holiday_Calendar_US),WORKDAY($A646,-1,config_Holiday_Calendar_US)),IF(ISNUMBER(_xll.BDH(config!$G$4,F$1,$A646,$A646)),_xll.BDH(config!$G$4,F$1,$A646,$A646),_xll.BDH(config!$G$5,F$1,$A646,$A646))))</f>
        <v/>
      </c>
      <c r="G646" s="8" t="str">
        <f>IF($A646="","",IF(ISNUMBER(FIND("IMPVOL",G$1)),_xll.BDH(config!$G$4,G$1,WORKDAY($A646,-1,config_Holiday_Calendar_US),WORKDAY($A646,-1,config_Holiday_Calendar_US)),IF(ISNUMBER(_xll.BDH(config!$G$4,G$1,$A646,$A646)),_xll.BDH(config!$G$4,G$1,$A646,$A646),_xll.BDH(config!$G$5,G$1,$A646,$A646))))</f>
        <v/>
      </c>
      <c r="H646" s="8" t="str">
        <f>IF($A646="","",IF(ISNUMBER(FIND("IMPVOL",H$1)),_xll.BDH(config!$G$4,H$1,WORKDAY($A646,-1,config_Holiday_Calendar_US),WORKDAY($A646,-1,config_Holiday_Calendar_US)),IF(ISNUMBER(_xll.BDH(config!$G$4,H$1,$A646,$A646)),_xll.BDH(config!$G$4,H$1,$A646,$A646),_xll.BDH(config!$G$5,H$1,$A646,$A646))))</f>
        <v/>
      </c>
      <c r="I646" s="8" t="str">
        <f>IF($A646="","",IF(ISNUMBER(FIND("IMPVOL",I$1)),_xll.BDH(config!$G$4,I$1,WORKDAY($A646,-1,config_Holiday_Calendar_US),WORKDAY($A646,-1,config_Holiday_Calendar_US)),IF(ISNUMBER(_xll.BDH(config!$G$4,I$1,$A646,$A646)),_xll.BDH(config!$G$4,I$1,$A646,$A646),_xll.BDH(config!$G$5,I$1,$A646,$A646))))</f>
        <v/>
      </c>
      <c r="J646" s="8" t="str">
        <f>IF($A646="","",IF(ISNUMBER(FIND("IMPVOL",J$1)),_xll.BDH(config!$G$4,J$1,WORKDAY($A646,-1,config_Holiday_Calendar_US),WORKDAY($A646,-1,config_Holiday_Calendar_US)),IF(ISNUMBER(_xll.BDH(config!$G$4,J$1,$A646,$A646)),_xll.BDH(config!$G$4,J$1,$A646,$A646),_xll.BDH(config!$G$5,J$1,$A646,$A646))))</f>
        <v/>
      </c>
      <c r="K646" s="8" t="str">
        <f>IF($A646="","",IF(ISNUMBER(FIND("IMPVOL",K$1)),_xll.BDH(config!$G$4,K$1,WORKDAY($A646,-1,config_Holiday_Calendar_US),WORKDAY($A646,-1,config_Holiday_Calendar_US)),IF(ISNUMBER(_xll.BDH(config!$G$4,K$1,$A646,$A646)),_xll.BDH(config!$G$4,K$1,$A646,$A646),_xll.BDH(config!$G$5,K$1,$A646,$A646))))</f>
        <v/>
      </c>
      <c r="L646" s="8" t="str">
        <f>IF($A646="","",IF(ISNUMBER(FIND("IMPVOL",L$1)),_xll.BDH(config!$G$4,L$1,WORKDAY($A646,-1,config_Holiday_Calendar_US),WORKDAY($A646,-1,config_Holiday_Calendar_US)),IF(ISNUMBER(_xll.BDH(config!$G$4,L$1,$A646,$A646)),_xll.BDH(config!$G$4,L$1,$A646,$A646),_xll.BDH(config!$G$5,L$1,$A646,$A646))))</f>
        <v/>
      </c>
      <c r="M646" s="8" t="str">
        <f>IF($A646="","",IF(ISNUMBER(FIND("IMPVOL",M$1)),_xll.BDH(config!$G$4,M$1,WORKDAY($A646,-1,config_Holiday_Calendar_US),WORKDAY($A646,-1,config_Holiday_Calendar_US)),IF(ISNUMBER(_xll.BDH(config!$G$4,M$1,$A646,$A646)),_xll.BDH(config!$G$4,M$1,$A646,$A646),_xll.BDH(config!$G$5,M$1,$A646,$A646))))</f>
        <v/>
      </c>
      <c r="N646" s="8" t="str">
        <f>IF($A646="","",IF(ISNUMBER(FIND("IMPVOL",N$1)),_xll.BDH(config!$G$4,N$1,WORKDAY($A646,-1,config_Holiday_Calendar_US),WORKDAY($A646,-1,config_Holiday_Calendar_US)),IF(ISNUMBER(_xll.BDH(config!$G$4,N$1,$A646,$A646)),_xll.BDH(config!$G$4,N$1,$A646,$A646),_xll.BDH(config!$G$5,N$1,$A646,$A646))))</f>
        <v/>
      </c>
      <c r="O646" s="8" t="str">
        <f>IF($A646="","",IF(ISNUMBER(FIND("IMPVOL",O$1)),_xll.BDH(config!$G$4,O$1,WORKDAY($A646,-1,config_Holiday_Calendar_US),WORKDAY($A646,-1,config_Holiday_Calendar_US)),IF(ISNUMBER(_xll.BDH(config!$G$4,O$1,$A646,$A646)),_xll.BDH(config!$G$4,O$1,$A646,$A646),_xll.BDH(config!$G$5,O$1,$A646,$A646))))</f>
        <v/>
      </c>
      <c r="P646" s="8" t="str">
        <f>IF($A646="","",IF(ISNUMBER(FIND("IMPVOL",P$1)),_xll.BDH(config!$G$4,P$1,WORKDAY($A646,-1,config_Holiday_Calendar_US),WORKDAY($A646,-1,config_Holiday_Calendar_US)),IF(ISNUMBER(_xll.BDH(config!$G$4,P$1,$A646,$A646)),_xll.BDH(config!$G$4,P$1,$A646,$A646),_xll.BDH(config!$G$5,P$1,$A646,$A646))))</f>
        <v/>
      </c>
      <c r="Q646" s="8" t="str">
        <f>IF($A646="","",IF(ISNUMBER(FIND("IMPVOL",Q$1)),_xll.BDH(config!$G$4,Q$1,WORKDAY($A646,-1,config_Holiday_Calendar_US),WORKDAY($A646,-1,config_Holiday_Calendar_US)),IF(ISNUMBER(_xll.BDH(config!$G$4,Q$1,$A646,$A646)),_xll.BDH(config!$G$4,Q$1,$A646,$A646),_xll.BDH(config!$G$5,Q$1,$A646,$A646))))</f>
        <v/>
      </c>
      <c r="R646" s="8" t="str">
        <f>IF($A646="","",IF(ISNUMBER(FIND("IMPVOL",R$1)),_xll.BDH(config!$G$4,R$1,WORKDAY($A646,-1,config_Holiday_Calendar_US),WORKDAY($A646,-1,config_Holiday_Calendar_US)),IF(ISNUMBER(_xll.BDH(config!$G$4,R$1,$A646,$A646)),_xll.BDH(config!$G$4,R$1,$A646,$A646),_xll.BDH(config!$G$5,R$1,$A646,$A646))))</f>
        <v/>
      </c>
      <c r="S646" s="8" t="str">
        <f>IF($A646="","",IF(ISNUMBER(FIND("IMPVOL",S$1)),_xll.BDH(config!$G$4,S$1,WORKDAY($A646,-1,config_Holiday_Calendar_US),WORKDAY($A646,-1,config_Holiday_Calendar_US)),IF(ISNUMBER(_xll.BDH(config!$G$4,S$1,$A646,$A646)),_xll.BDH(config!$G$4,S$1,$A646,$A646),_xll.BDH(config!$G$5,S$1,$A646,$A646))))</f>
        <v/>
      </c>
      <c r="T646" s="8" t="str">
        <f>IF($A646="","",IF(ISNUMBER(FIND("IMPVOL",T$1)),_xll.BDH(config!$G$4,T$1,WORKDAY($A646,-1,config_Holiday_Calendar_US),WORKDAY($A646,-1,config_Holiday_Calendar_US)),IF(ISNUMBER(_xll.BDH(config!$G$4,T$1,$A646,$A646)),_xll.BDH(config!$G$4,T$1,$A646,$A646),_xll.BDH(config!$G$5,T$1,$A646,$A646))))</f>
        <v/>
      </c>
      <c r="U646" s="8" t="str">
        <f>IF($A646="","",IF(ISNUMBER(FIND("IMPVOL",U$1)),_xll.BDH(config!$G$4,U$1,WORKDAY($A646,-1,config_Holiday_Calendar_US),WORKDAY($A646,-1,config_Holiday_Calendar_US)),IF(ISNUMBER(_xll.BDH(config!$G$4,U$1,$A646,$A646)),_xll.BDH(config!$G$4,U$1,$A646,$A646),_xll.BDH(config!$G$5,U$1,$A646,$A646))))</f>
        <v/>
      </c>
      <c r="V646" s="8" t="str">
        <f>IF($A646="","",IF(ISNUMBER(FIND("IMPVOL",V$1)),_xll.BDH(config!$G$4,V$1,WORKDAY($A646,-1,config_Holiday_Calendar_US),WORKDAY($A646,-1,config_Holiday_Calendar_US)),IF(ISNUMBER(_xll.BDH(config!$G$4,V$1,$A646,$A646)),_xll.BDH(config!$G$4,V$1,$A646,$A646),_xll.BDH(config!$G$5,V$1,$A646,$A646))))</f>
        <v/>
      </c>
      <c r="W646" s="8" t="str">
        <f>IF($A646="","",IF(ISNUMBER(FIND("IMPVOL",W$1)),_xll.BDH(config!$G$4,W$1,WORKDAY($A646,-1,config_Holiday_Calendar_US),WORKDAY($A646,-1,config_Holiday_Calendar_US)),IF(ISNUMBER(_xll.BDH(config!$G$4,W$1,$A646,$A646)),_xll.BDH(config!$G$4,W$1,$A646,$A646),_xll.BDH(config!$G$5,W$1,$A646,$A646))))</f>
        <v/>
      </c>
    </row>
    <row r="647" spans="1:23" x14ac:dyDescent="0.2">
      <c r="A647" s="9" t="str">
        <f>IF(A646="","",IF(WORKDAY(A646,-1,config_Holiday_Calendar_US)&lt;config!$I$10,"",WORKDAY(A646,-1,config_Holiday_Calendar_US)))</f>
        <v/>
      </c>
      <c r="B647" s="8" t="str">
        <f t="shared" si="10"/>
        <v/>
      </c>
      <c r="C647" s="8" t="str">
        <f>IF(A647="","",_xll.BDH(config!$H$4,C$1,$A647,$A647))</f>
        <v/>
      </c>
      <c r="D647" s="8" t="str">
        <f>IF($A647="","",_xll.BDH(config!$H$4,D$1,$A647,$A647))</f>
        <v/>
      </c>
      <c r="E647" s="8" t="str">
        <f>IF($A647="","",IF(ISNUMBER(FIND("IMPVOL",E$1)),_xll.BDH(config!$G$4,E$1,WORKDAY($A647,-1,config_Holiday_Calendar_US),WORKDAY($A647,-1,config_Holiday_Calendar_US)),IF(ISNUMBER(_xll.BDH(config!$G$4,E$1,$A647,$A647)),_xll.BDH(config!$G$4,E$1,$A647,$A647),_xll.BDH(config!$G$5,E$1,$A647,$A647))))</f>
        <v/>
      </c>
      <c r="F647" s="8" t="str">
        <f>IF($A647="","",IF(ISNUMBER(FIND("IMPVOL",F$1)),_xll.BDH(config!$G$4,F$1,WORKDAY($A647,-1,config_Holiday_Calendar_US),WORKDAY($A647,-1,config_Holiday_Calendar_US)),IF(ISNUMBER(_xll.BDH(config!$G$4,F$1,$A647,$A647)),_xll.BDH(config!$G$4,F$1,$A647,$A647),_xll.BDH(config!$G$5,F$1,$A647,$A647))))</f>
        <v/>
      </c>
      <c r="G647" s="8" t="str">
        <f>IF($A647="","",IF(ISNUMBER(FIND("IMPVOL",G$1)),_xll.BDH(config!$G$4,G$1,WORKDAY($A647,-1,config_Holiday_Calendar_US),WORKDAY($A647,-1,config_Holiday_Calendar_US)),IF(ISNUMBER(_xll.BDH(config!$G$4,G$1,$A647,$A647)),_xll.BDH(config!$G$4,G$1,$A647,$A647),_xll.BDH(config!$G$5,G$1,$A647,$A647))))</f>
        <v/>
      </c>
      <c r="H647" s="8" t="str">
        <f>IF($A647="","",IF(ISNUMBER(FIND("IMPVOL",H$1)),_xll.BDH(config!$G$4,H$1,WORKDAY($A647,-1,config_Holiday_Calendar_US),WORKDAY($A647,-1,config_Holiday_Calendar_US)),IF(ISNUMBER(_xll.BDH(config!$G$4,H$1,$A647,$A647)),_xll.BDH(config!$G$4,H$1,$A647,$A647),_xll.BDH(config!$G$5,H$1,$A647,$A647))))</f>
        <v/>
      </c>
      <c r="I647" s="8" t="str">
        <f>IF($A647="","",IF(ISNUMBER(FIND("IMPVOL",I$1)),_xll.BDH(config!$G$4,I$1,WORKDAY($A647,-1,config_Holiday_Calendar_US),WORKDAY($A647,-1,config_Holiday_Calendar_US)),IF(ISNUMBER(_xll.BDH(config!$G$4,I$1,$A647,$A647)),_xll.BDH(config!$G$4,I$1,$A647,$A647),_xll.BDH(config!$G$5,I$1,$A647,$A647))))</f>
        <v/>
      </c>
      <c r="J647" s="8" t="str">
        <f>IF($A647="","",IF(ISNUMBER(FIND("IMPVOL",J$1)),_xll.BDH(config!$G$4,J$1,WORKDAY($A647,-1,config_Holiday_Calendar_US),WORKDAY($A647,-1,config_Holiday_Calendar_US)),IF(ISNUMBER(_xll.BDH(config!$G$4,J$1,$A647,$A647)),_xll.BDH(config!$G$4,J$1,$A647,$A647),_xll.BDH(config!$G$5,J$1,$A647,$A647))))</f>
        <v/>
      </c>
      <c r="K647" s="8" t="str">
        <f>IF($A647="","",IF(ISNUMBER(FIND("IMPVOL",K$1)),_xll.BDH(config!$G$4,K$1,WORKDAY($A647,-1,config_Holiday_Calendar_US),WORKDAY($A647,-1,config_Holiday_Calendar_US)),IF(ISNUMBER(_xll.BDH(config!$G$4,K$1,$A647,$A647)),_xll.BDH(config!$G$4,K$1,$A647,$A647),_xll.BDH(config!$G$5,K$1,$A647,$A647))))</f>
        <v/>
      </c>
      <c r="L647" s="8" t="str">
        <f>IF($A647="","",IF(ISNUMBER(FIND("IMPVOL",L$1)),_xll.BDH(config!$G$4,L$1,WORKDAY($A647,-1,config_Holiday_Calendar_US),WORKDAY($A647,-1,config_Holiday_Calendar_US)),IF(ISNUMBER(_xll.BDH(config!$G$4,L$1,$A647,$A647)),_xll.BDH(config!$G$4,L$1,$A647,$A647),_xll.BDH(config!$G$5,L$1,$A647,$A647))))</f>
        <v/>
      </c>
      <c r="M647" s="8" t="str">
        <f>IF($A647="","",IF(ISNUMBER(FIND("IMPVOL",M$1)),_xll.BDH(config!$G$4,M$1,WORKDAY($A647,-1,config_Holiday_Calendar_US),WORKDAY($A647,-1,config_Holiday_Calendar_US)),IF(ISNUMBER(_xll.BDH(config!$G$4,M$1,$A647,$A647)),_xll.BDH(config!$G$4,M$1,$A647,$A647),_xll.BDH(config!$G$5,M$1,$A647,$A647))))</f>
        <v/>
      </c>
      <c r="N647" s="8" t="str">
        <f>IF($A647="","",IF(ISNUMBER(FIND("IMPVOL",N$1)),_xll.BDH(config!$G$4,N$1,WORKDAY($A647,-1,config_Holiday_Calendar_US),WORKDAY($A647,-1,config_Holiday_Calendar_US)),IF(ISNUMBER(_xll.BDH(config!$G$4,N$1,$A647,$A647)),_xll.BDH(config!$G$4,N$1,$A647,$A647),_xll.BDH(config!$G$5,N$1,$A647,$A647))))</f>
        <v/>
      </c>
      <c r="O647" s="8" t="str">
        <f>IF($A647="","",IF(ISNUMBER(FIND("IMPVOL",O$1)),_xll.BDH(config!$G$4,O$1,WORKDAY($A647,-1,config_Holiday_Calendar_US),WORKDAY($A647,-1,config_Holiday_Calendar_US)),IF(ISNUMBER(_xll.BDH(config!$G$4,O$1,$A647,$A647)),_xll.BDH(config!$G$4,O$1,$A647,$A647),_xll.BDH(config!$G$5,O$1,$A647,$A647))))</f>
        <v/>
      </c>
      <c r="P647" s="8" t="str">
        <f>IF($A647="","",IF(ISNUMBER(FIND("IMPVOL",P$1)),_xll.BDH(config!$G$4,P$1,WORKDAY($A647,-1,config_Holiday_Calendar_US),WORKDAY($A647,-1,config_Holiday_Calendar_US)),IF(ISNUMBER(_xll.BDH(config!$G$4,P$1,$A647,$A647)),_xll.BDH(config!$G$4,P$1,$A647,$A647),_xll.BDH(config!$G$5,P$1,$A647,$A647))))</f>
        <v/>
      </c>
      <c r="Q647" s="8" t="str">
        <f>IF($A647="","",IF(ISNUMBER(FIND("IMPVOL",Q$1)),_xll.BDH(config!$G$4,Q$1,WORKDAY($A647,-1,config_Holiday_Calendar_US),WORKDAY($A647,-1,config_Holiday_Calendar_US)),IF(ISNUMBER(_xll.BDH(config!$G$4,Q$1,$A647,$A647)),_xll.BDH(config!$G$4,Q$1,$A647,$A647),_xll.BDH(config!$G$5,Q$1,$A647,$A647))))</f>
        <v/>
      </c>
      <c r="R647" s="8" t="str">
        <f>IF($A647="","",IF(ISNUMBER(FIND("IMPVOL",R$1)),_xll.BDH(config!$G$4,R$1,WORKDAY($A647,-1,config_Holiday_Calendar_US),WORKDAY($A647,-1,config_Holiday_Calendar_US)),IF(ISNUMBER(_xll.BDH(config!$G$4,R$1,$A647,$A647)),_xll.BDH(config!$G$4,R$1,$A647,$A647),_xll.BDH(config!$G$5,R$1,$A647,$A647))))</f>
        <v/>
      </c>
      <c r="S647" s="8" t="str">
        <f>IF($A647="","",IF(ISNUMBER(FIND("IMPVOL",S$1)),_xll.BDH(config!$G$4,S$1,WORKDAY($A647,-1,config_Holiday_Calendar_US),WORKDAY($A647,-1,config_Holiday_Calendar_US)),IF(ISNUMBER(_xll.BDH(config!$G$4,S$1,$A647,$A647)),_xll.BDH(config!$G$4,S$1,$A647,$A647),_xll.BDH(config!$G$5,S$1,$A647,$A647))))</f>
        <v/>
      </c>
      <c r="T647" s="8" t="str">
        <f>IF($A647="","",IF(ISNUMBER(FIND("IMPVOL",T$1)),_xll.BDH(config!$G$4,T$1,WORKDAY($A647,-1,config_Holiday_Calendar_US),WORKDAY($A647,-1,config_Holiday_Calendar_US)),IF(ISNUMBER(_xll.BDH(config!$G$4,T$1,$A647,$A647)),_xll.BDH(config!$G$4,T$1,$A647,$A647),_xll.BDH(config!$G$5,T$1,$A647,$A647))))</f>
        <v/>
      </c>
      <c r="U647" s="8" t="str">
        <f>IF($A647="","",IF(ISNUMBER(FIND("IMPVOL",U$1)),_xll.BDH(config!$G$4,U$1,WORKDAY($A647,-1,config_Holiday_Calendar_US),WORKDAY($A647,-1,config_Holiday_Calendar_US)),IF(ISNUMBER(_xll.BDH(config!$G$4,U$1,$A647,$A647)),_xll.BDH(config!$G$4,U$1,$A647,$A647),_xll.BDH(config!$G$5,U$1,$A647,$A647))))</f>
        <v/>
      </c>
      <c r="V647" s="8" t="str">
        <f>IF($A647="","",IF(ISNUMBER(FIND("IMPVOL",V$1)),_xll.BDH(config!$G$4,V$1,WORKDAY($A647,-1,config_Holiday_Calendar_US),WORKDAY($A647,-1,config_Holiday_Calendar_US)),IF(ISNUMBER(_xll.BDH(config!$G$4,V$1,$A647,$A647)),_xll.BDH(config!$G$4,V$1,$A647,$A647),_xll.BDH(config!$G$5,V$1,$A647,$A647))))</f>
        <v/>
      </c>
      <c r="W647" s="8" t="str">
        <f>IF($A647="","",IF(ISNUMBER(FIND("IMPVOL",W$1)),_xll.BDH(config!$G$4,W$1,WORKDAY($A647,-1,config_Holiday_Calendar_US),WORKDAY($A647,-1,config_Holiday_Calendar_US)),IF(ISNUMBER(_xll.BDH(config!$G$4,W$1,$A647,$A647)),_xll.BDH(config!$G$4,W$1,$A647,$A647),_xll.BDH(config!$G$5,W$1,$A647,$A647))))</f>
        <v/>
      </c>
    </row>
    <row r="648" spans="1:23" x14ac:dyDescent="0.2">
      <c r="A648" s="9" t="str">
        <f>IF(A647="","",IF(WORKDAY(A647,-1,config_Holiday_Calendar_US)&lt;config!$I$10,"",WORKDAY(A647,-1,config_Holiday_Calendar_US)))</f>
        <v/>
      </c>
      <c r="B648" s="8" t="str">
        <f t="shared" si="10"/>
        <v/>
      </c>
      <c r="C648" s="8" t="str">
        <f>IF(A648="","",_xll.BDH(config!$H$4,C$1,$A648,$A648))</f>
        <v/>
      </c>
      <c r="D648" s="8" t="str">
        <f>IF($A648="","",_xll.BDH(config!$H$4,D$1,$A648,$A648))</f>
        <v/>
      </c>
      <c r="E648" s="8" t="str">
        <f>IF($A648="","",IF(ISNUMBER(FIND("IMPVOL",E$1)),_xll.BDH(config!$G$4,E$1,WORKDAY($A648,-1,config_Holiday_Calendar_US),WORKDAY($A648,-1,config_Holiday_Calendar_US)),IF(ISNUMBER(_xll.BDH(config!$G$4,E$1,$A648,$A648)),_xll.BDH(config!$G$4,E$1,$A648,$A648),_xll.BDH(config!$G$5,E$1,$A648,$A648))))</f>
        <v/>
      </c>
      <c r="F648" s="8" t="str">
        <f>IF($A648="","",IF(ISNUMBER(FIND("IMPVOL",F$1)),_xll.BDH(config!$G$4,F$1,WORKDAY($A648,-1,config_Holiday_Calendar_US),WORKDAY($A648,-1,config_Holiday_Calendar_US)),IF(ISNUMBER(_xll.BDH(config!$G$4,F$1,$A648,$A648)),_xll.BDH(config!$G$4,F$1,$A648,$A648),_xll.BDH(config!$G$5,F$1,$A648,$A648))))</f>
        <v/>
      </c>
      <c r="G648" s="8" t="str">
        <f>IF($A648="","",IF(ISNUMBER(FIND("IMPVOL",G$1)),_xll.BDH(config!$G$4,G$1,WORKDAY($A648,-1,config_Holiday_Calendar_US),WORKDAY($A648,-1,config_Holiday_Calendar_US)),IF(ISNUMBER(_xll.BDH(config!$G$4,G$1,$A648,$A648)),_xll.BDH(config!$G$4,G$1,$A648,$A648),_xll.BDH(config!$G$5,G$1,$A648,$A648))))</f>
        <v/>
      </c>
      <c r="H648" s="8" t="str">
        <f>IF($A648="","",IF(ISNUMBER(FIND("IMPVOL",H$1)),_xll.BDH(config!$G$4,H$1,WORKDAY($A648,-1,config_Holiday_Calendar_US),WORKDAY($A648,-1,config_Holiday_Calendar_US)),IF(ISNUMBER(_xll.BDH(config!$G$4,H$1,$A648,$A648)),_xll.BDH(config!$G$4,H$1,$A648,$A648),_xll.BDH(config!$G$5,H$1,$A648,$A648))))</f>
        <v/>
      </c>
      <c r="I648" s="8" t="str">
        <f>IF($A648="","",IF(ISNUMBER(FIND("IMPVOL",I$1)),_xll.BDH(config!$G$4,I$1,WORKDAY($A648,-1,config_Holiday_Calendar_US),WORKDAY($A648,-1,config_Holiday_Calendar_US)),IF(ISNUMBER(_xll.BDH(config!$G$4,I$1,$A648,$A648)),_xll.BDH(config!$G$4,I$1,$A648,$A648),_xll.BDH(config!$G$5,I$1,$A648,$A648))))</f>
        <v/>
      </c>
      <c r="J648" s="8" t="str">
        <f>IF($A648="","",IF(ISNUMBER(FIND("IMPVOL",J$1)),_xll.BDH(config!$G$4,J$1,WORKDAY($A648,-1,config_Holiday_Calendar_US),WORKDAY($A648,-1,config_Holiday_Calendar_US)),IF(ISNUMBER(_xll.BDH(config!$G$4,J$1,$A648,$A648)),_xll.BDH(config!$G$4,J$1,$A648,$A648),_xll.BDH(config!$G$5,J$1,$A648,$A648))))</f>
        <v/>
      </c>
      <c r="K648" s="8" t="str">
        <f>IF($A648="","",IF(ISNUMBER(FIND("IMPVOL",K$1)),_xll.BDH(config!$G$4,K$1,WORKDAY($A648,-1,config_Holiday_Calendar_US),WORKDAY($A648,-1,config_Holiday_Calendar_US)),IF(ISNUMBER(_xll.BDH(config!$G$4,K$1,$A648,$A648)),_xll.BDH(config!$G$4,K$1,$A648,$A648),_xll.BDH(config!$G$5,K$1,$A648,$A648))))</f>
        <v/>
      </c>
      <c r="L648" s="8" t="str">
        <f>IF($A648="","",IF(ISNUMBER(FIND("IMPVOL",L$1)),_xll.BDH(config!$G$4,L$1,WORKDAY($A648,-1,config_Holiday_Calendar_US),WORKDAY($A648,-1,config_Holiday_Calendar_US)),IF(ISNUMBER(_xll.BDH(config!$G$4,L$1,$A648,$A648)),_xll.BDH(config!$G$4,L$1,$A648,$A648),_xll.BDH(config!$G$5,L$1,$A648,$A648))))</f>
        <v/>
      </c>
      <c r="M648" s="8" t="str">
        <f>IF($A648="","",IF(ISNUMBER(FIND("IMPVOL",M$1)),_xll.BDH(config!$G$4,M$1,WORKDAY($A648,-1,config_Holiday_Calendar_US),WORKDAY($A648,-1,config_Holiday_Calendar_US)),IF(ISNUMBER(_xll.BDH(config!$G$4,M$1,$A648,$A648)),_xll.BDH(config!$G$4,M$1,$A648,$A648),_xll.BDH(config!$G$5,M$1,$A648,$A648))))</f>
        <v/>
      </c>
      <c r="N648" s="8" t="str">
        <f>IF($A648="","",IF(ISNUMBER(FIND("IMPVOL",N$1)),_xll.BDH(config!$G$4,N$1,WORKDAY($A648,-1,config_Holiday_Calendar_US),WORKDAY($A648,-1,config_Holiday_Calendar_US)),IF(ISNUMBER(_xll.BDH(config!$G$4,N$1,$A648,$A648)),_xll.BDH(config!$G$4,N$1,$A648,$A648),_xll.BDH(config!$G$5,N$1,$A648,$A648))))</f>
        <v/>
      </c>
      <c r="O648" s="8" t="str">
        <f>IF($A648="","",IF(ISNUMBER(FIND("IMPVOL",O$1)),_xll.BDH(config!$G$4,O$1,WORKDAY($A648,-1,config_Holiday_Calendar_US),WORKDAY($A648,-1,config_Holiday_Calendar_US)),IF(ISNUMBER(_xll.BDH(config!$G$4,O$1,$A648,$A648)),_xll.BDH(config!$G$4,O$1,$A648,$A648),_xll.BDH(config!$G$5,O$1,$A648,$A648))))</f>
        <v/>
      </c>
      <c r="P648" s="8" t="str">
        <f>IF($A648="","",IF(ISNUMBER(FIND("IMPVOL",P$1)),_xll.BDH(config!$G$4,P$1,WORKDAY($A648,-1,config_Holiday_Calendar_US),WORKDAY($A648,-1,config_Holiday_Calendar_US)),IF(ISNUMBER(_xll.BDH(config!$G$4,P$1,$A648,$A648)),_xll.BDH(config!$G$4,P$1,$A648,$A648),_xll.BDH(config!$G$5,P$1,$A648,$A648))))</f>
        <v/>
      </c>
      <c r="Q648" s="8" t="str">
        <f>IF($A648="","",IF(ISNUMBER(FIND("IMPVOL",Q$1)),_xll.BDH(config!$G$4,Q$1,WORKDAY($A648,-1,config_Holiday_Calendar_US),WORKDAY($A648,-1,config_Holiday_Calendar_US)),IF(ISNUMBER(_xll.BDH(config!$G$4,Q$1,$A648,$A648)),_xll.BDH(config!$G$4,Q$1,$A648,$A648),_xll.BDH(config!$G$5,Q$1,$A648,$A648))))</f>
        <v/>
      </c>
      <c r="R648" s="8" t="str">
        <f>IF($A648="","",IF(ISNUMBER(FIND("IMPVOL",R$1)),_xll.BDH(config!$G$4,R$1,WORKDAY($A648,-1,config_Holiday_Calendar_US),WORKDAY($A648,-1,config_Holiday_Calendar_US)),IF(ISNUMBER(_xll.BDH(config!$G$4,R$1,$A648,$A648)),_xll.BDH(config!$G$4,R$1,$A648,$A648),_xll.BDH(config!$G$5,R$1,$A648,$A648))))</f>
        <v/>
      </c>
      <c r="S648" s="8" t="str">
        <f>IF($A648="","",IF(ISNUMBER(FIND("IMPVOL",S$1)),_xll.BDH(config!$G$4,S$1,WORKDAY($A648,-1,config_Holiday_Calendar_US),WORKDAY($A648,-1,config_Holiday_Calendar_US)),IF(ISNUMBER(_xll.BDH(config!$G$4,S$1,$A648,$A648)),_xll.BDH(config!$G$4,S$1,$A648,$A648),_xll.BDH(config!$G$5,S$1,$A648,$A648))))</f>
        <v/>
      </c>
      <c r="T648" s="8" t="str">
        <f>IF($A648="","",IF(ISNUMBER(FIND("IMPVOL",T$1)),_xll.BDH(config!$G$4,T$1,WORKDAY($A648,-1,config_Holiday_Calendar_US),WORKDAY($A648,-1,config_Holiday_Calendar_US)),IF(ISNUMBER(_xll.BDH(config!$G$4,T$1,$A648,$A648)),_xll.BDH(config!$G$4,T$1,$A648,$A648),_xll.BDH(config!$G$5,T$1,$A648,$A648))))</f>
        <v/>
      </c>
      <c r="U648" s="8" t="str">
        <f>IF($A648="","",IF(ISNUMBER(FIND("IMPVOL",U$1)),_xll.BDH(config!$G$4,U$1,WORKDAY($A648,-1,config_Holiday_Calendar_US),WORKDAY($A648,-1,config_Holiday_Calendar_US)),IF(ISNUMBER(_xll.BDH(config!$G$4,U$1,$A648,$A648)),_xll.BDH(config!$G$4,U$1,$A648,$A648),_xll.BDH(config!$G$5,U$1,$A648,$A648))))</f>
        <v/>
      </c>
      <c r="V648" s="8" t="str">
        <f>IF($A648="","",IF(ISNUMBER(FIND("IMPVOL",V$1)),_xll.BDH(config!$G$4,V$1,WORKDAY($A648,-1,config_Holiday_Calendar_US),WORKDAY($A648,-1,config_Holiday_Calendar_US)),IF(ISNUMBER(_xll.BDH(config!$G$4,V$1,$A648,$A648)),_xll.BDH(config!$G$4,V$1,$A648,$A648),_xll.BDH(config!$G$5,V$1,$A648,$A648))))</f>
        <v/>
      </c>
      <c r="W648" s="8" t="str">
        <f>IF($A648="","",IF(ISNUMBER(FIND("IMPVOL",W$1)),_xll.BDH(config!$G$4,W$1,WORKDAY($A648,-1,config_Holiday_Calendar_US),WORKDAY($A648,-1,config_Holiday_Calendar_US)),IF(ISNUMBER(_xll.BDH(config!$G$4,W$1,$A648,$A648)),_xll.BDH(config!$G$4,W$1,$A648,$A648),_xll.BDH(config!$G$5,W$1,$A648,$A648))))</f>
        <v/>
      </c>
    </row>
    <row r="649" spans="1:23" x14ac:dyDescent="0.2">
      <c r="A649" s="9" t="str">
        <f>IF(A648="","",IF(WORKDAY(A648,-1,config_Holiday_Calendar_US)&lt;config!$I$10,"",WORKDAY(A648,-1,config_Holiday_Calendar_US)))</f>
        <v/>
      </c>
      <c r="B649" s="8" t="str">
        <f t="shared" si="10"/>
        <v/>
      </c>
      <c r="C649" s="8" t="str">
        <f>IF(A649="","",_xll.BDH(config!$H$4,C$1,$A649,$A649))</f>
        <v/>
      </c>
      <c r="D649" s="8" t="str">
        <f>IF($A649="","",_xll.BDH(config!$H$4,D$1,$A649,$A649))</f>
        <v/>
      </c>
      <c r="E649" s="8" t="str">
        <f>IF($A649="","",IF(ISNUMBER(FIND("IMPVOL",E$1)),_xll.BDH(config!$G$4,E$1,WORKDAY($A649,-1,config_Holiday_Calendar_US),WORKDAY($A649,-1,config_Holiday_Calendar_US)),IF(ISNUMBER(_xll.BDH(config!$G$4,E$1,$A649,$A649)),_xll.BDH(config!$G$4,E$1,$A649,$A649),_xll.BDH(config!$G$5,E$1,$A649,$A649))))</f>
        <v/>
      </c>
      <c r="F649" s="8" t="str">
        <f>IF($A649="","",IF(ISNUMBER(FIND("IMPVOL",F$1)),_xll.BDH(config!$G$4,F$1,WORKDAY($A649,-1,config_Holiday_Calendar_US),WORKDAY($A649,-1,config_Holiday_Calendar_US)),IF(ISNUMBER(_xll.BDH(config!$G$4,F$1,$A649,$A649)),_xll.BDH(config!$G$4,F$1,$A649,$A649),_xll.BDH(config!$G$5,F$1,$A649,$A649))))</f>
        <v/>
      </c>
      <c r="G649" s="8" t="str">
        <f>IF($A649="","",IF(ISNUMBER(FIND("IMPVOL",G$1)),_xll.BDH(config!$G$4,G$1,WORKDAY($A649,-1,config_Holiday_Calendar_US),WORKDAY($A649,-1,config_Holiday_Calendar_US)),IF(ISNUMBER(_xll.BDH(config!$G$4,G$1,$A649,$A649)),_xll.BDH(config!$G$4,G$1,$A649,$A649),_xll.BDH(config!$G$5,G$1,$A649,$A649))))</f>
        <v/>
      </c>
      <c r="H649" s="8" t="str">
        <f>IF($A649="","",IF(ISNUMBER(FIND("IMPVOL",H$1)),_xll.BDH(config!$G$4,H$1,WORKDAY($A649,-1,config_Holiday_Calendar_US),WORKDAY($A649,-1,config_Holiday_Calendar_US)),IF(ISNUMBER(_xll.BDH(config!$G$4,H$1,$A649,$A649)),_xll.BDH(config!$G$4,H$1,$A649,$A649),_xll.BDH(config!$G$5,H$1,$A649,$A649))))</f>
        <v/>
      </c>
      <c r="I649" s="8" t="str">
        <f>IF($A649="","",IF(ISNUMBER(FIND("IMPVOL",I$1)),_xll.BDH(config!$G$4,I$1,WORKDAY($A649,-1,config_Holiday_Calendar_US),WORKDAY($A649,-1,config_Holiday_Calendar_US)),IF(ISNUMBER(_xll.BDH(config!$G$4,I$1,$A649,$A649)),_xll.BDH(config!$G$4,I$1,$A649,$A649),_xll.BDH(config!$G$5,I$1,$A649,$A649))))</f>
        <v/>
      </c>
      <c r="J649" s="8" t="str">
        <f>IF($A649="","",IF(ISNUMBER(FIND("IMPVOL",J$1)),_xll.BDH(config!$G$4,J$1,WORKDAY($A649,-1,config_Holiday_Calendar_US),WORKDAY($A649,-1,config_Holiday_Calendar_US)),IF(ISNUMBER(_xll.BDH(config!$G$4,J$1,$A649,$A649)),_xll.BDH(config!$G$4,J$1,$A649,$A649),_xll.BDH(config!$G$5,J$1,$A649,$A649))))</f>
        <v/>
      </c>
      <c r="K649" s="8" t="str">
        <f>IF($A649="","",IF(ISNUMBER(FIND("IMPVOL",K$1)),_xll.BDH(config!$G$4,K$1,WORKDAY($A649,-1,config_Holiday_Calendar_US),WORKDAY($A649,-1,config_Holiday_Calendar_US)),IF(ISNUMBER(_xll.BDH(config!$G$4,K$1,$A649,$A649)),_xll.BDH(config!$G$4,K$1,$A649,$A649),_xll.BDH(config!$G$5,K$1,$A649,$A649))))</f>
        <v/>
      </c>
      <c r="L649" s="8" t="str">
        <f>IF($A649="","",IF(ISNUMBER(FIND("IMPVOL",L$1)),_xll.BDH(config!$G$4,L$1,WORKDAY($A649,-1,config_Holiday_Calendar_US),WORKDAY($A649,-1,config_Holiday_Calendar_US)),IF(ISNUMBER(_xll.BDH(config!$G$4,L$1,$A649,$A649)),_xll.BDH(config!$G$4,L$1,$A649,$A649),_xll.BDH(config!$G$5,L$1,$A649,$A649))))</f>
        <v/>
      </c>
      <c r="M649" s="8" t="str">
        <f>IF($A649="","",IF(ISNUMBER(FIND("IMPVOL",M$1)),_xll.BDH(config!$G$4,M$1,WORKDAY($A649,-1,config_Holiday_Calendar_US),WORKDAY($A649,-1,config_Holiday_Calendar_US)),IF(ISNUMBER(_xll.BDH(config!$G$4,M$1,$A649,$A649)),_xll.BDH(config!$G$4,M$1,$A649,$A649),_xll.BDH(config!$G$5,M$1,$A649,$A649))))</f>
        <v/>
      </c>
      <c r="N649" s="8" t="str">
        <f>IF($A649="","",IF(ISNUMBER(FIND("IMPVOL",N$1)),_xll.BDH(config!$G$4,N$1,WORKDAY($A649,-1,config_Holiday_Calendar_US),WORKDAY($A649,-1,config_Holiday_Calendar_US)),IF(ISNUMBER(_xll.BDH(config!$G$4,N$1,$A649,$A649)),_xll.BDH(config!$G$4,N$1,$A649,$A649),_xll.BDH(config!$G$5,N$1,$A649,$A649))))</f>
        <v/>
      </c>
      <c r="O649" s="8" t="str">
        <f>IF($A649="","",IF(ISNUMBER(FIND("IMPVOL",O$1)),_xll.BDH(config!$G$4,O$1,WORKDAY($A649,-1,config_Holiday_Calendar_US),WORKDAY($A649,-1,config_Holiday_Calendar_US)),IF(ISNUMBER(_xll.BDH(config!$G$4,O$1,$A649,$A649)),_xll.BDH(config!$G$4,O$1,$A649,$A649),_xll.BDH(config!$G$5,O$1,$A649,$A649))))</f>
        <v/>
      </c>
      <c r="P649" s="8" t="str">
        <f>IF($A649="","",IF(ISNUMBER(FIND("IMPVOL",P$1)),_xll.BDH(config!$G$4,P$1,WORKDAY($A649,-1,config_Holiday_Calendar_US),WORKDAY($A649,-1,config_Holiday_Calendar_US)),IF(ISNUMBER(_xll.BDH(config!$G$4,P$1,$A649,$A649)),_xll.BDH(config!$G$4,P$1,$A649,$A649),_xll.BDH(config!$G$5,P$1,$A649,$A649))))</f>
        <v/>
      </c>
      <c r="Q649" s="8" t="str">
        <f>IF($A649="","",IF(ISNUMBER(FIND("IMPVOL",Q$1)),_xll.BDH(config!$G$4,Q$1,WORKDAY($A649,-1,config_Holiday_Calendar_US),WORKDAY($A649,-1,config_Holiday_Calendar_US)),IF(ISNUMBER(_xll.BDH(config!$G$4,Q$1,$A649,$A649)),_xll.BDH(config!$G$4,Q$1,$A649,$A649),_xll.BDH(config!$G$5,Q$1,$A649,$A649))))</f>
        <v/>
      </c>
      <c r="R649" s="8" t="str">
        <f>IF($A649="","",IF(ISNUMBER(FIND("IMPVOL",R$1)),_xll.BDH(config!$G$4,R$1,WORKDAY($A649,-1,config_Holiday_Calendar_US),WORKDAY($A649,-1,config_Holiday_Calendar_US)),IF(ISNUMBER(_xll.BDH(config!$G$4,R$1,$A649,$A649)),_xll.BDH(config!$G$4,R$1,$A649,$A649),_xll.BDH(config!$G$5,R$1,$A649,$A649))))</f>
        <v/>
      </c>
      <c r="S649" s="8" t="str">
        <f>IF($A649="","",IF(ISNUMBER(FIND("IMPVOL",S$1)),_xll.BDH(config!$G$4,S$1,WORKDAY($A649,-1,config_Holiday_Calendar_US),WORKDAY($A649,-1,config_Holiday_Calendar_US)),IF(ISNUMBER(_xll.BDH(config!$G$4,S$1,$A649,$A649)),_xll.BDH(config!$G$4,S$1,$A649,$A649),_xll.BDH(config!$G$5,S$1,$A649,$A649))))</f>
        <v/>
      </c>
      <c r="T649" s="8" t="str">
        <f>IF($A649="","",IF(ISNUMBER(FIND("IMPVOL",T$1)),_xll.BDH(config!$G$4,T$1,WORKDAY($A649,-1,config_Holiday_Calendar_US),WORKDAY($A649,-1,config_Holiday_Calendar_US)),IF(ISNUMBER(_xll.BDH(config!$G$4,T$1,$A649,$A649)),_xll.BDH(config!$G$4,T$1,$A649,$A649),_xll.BDH(config!$G$5,T$1,$A649,$A649))))</f>
        <v/>
      </c>
      <c r="U649" s="8" t="str">
        <f>IF($A649="","",IF(ISNUMBER(FIND("IMPVOL",U$1)),_xll.BDH(config!$G$4,U$1,WORKDAY($A649,-1,config_Holiday_Calendar_US),WORKDAY($A649,-1,config_Holiday_Calendar_US)),IF(ISNUMBER(_xll.BDH(config!$G$4,U$1,$A649,$A649)),_xll.BDH(config!$G$4,U$1,$A649,$A649),_xll.BDH(config!$G$5,U$1,$A649,$A649))))</f>
        <v/>
      </c>
      <c r="V649" s="8" t="str">
        <f>IF($A649="","",IF(ISNUMBER(FIND("IMPVOL",V$1)),_xll.BDH(config!$G$4,V$1,WORKDAY($A649,-1,config_Holiday_Calendar_US),WORKDAY($A649,-1,config_Holiday_Calendar_US)),IF(ISNUMBER(_xll.BDH(config!$G$4,V$1,$A649,$A649)),_xll.BDH(config!$G$4,V$1,$A649,$A649),_xll.BDH(config!$G$5,V$1,$A649,$A649))))</f>
        <v/>
      </c>
      <c r="W649" s="8" t="str">
        <f>IF($A649="","",IF(ISNUMBER(FIND("IMPVOL",W$1)),_xll.BDH(config!$G$4,W$1,WORKDAY($A649,-1,config_Holiday_Calendar_US),WORKDAY($A649,-1,config_Holiday_Calendar_US)),IF(ISNUMBER(_xll.BDH(config!$G$4,W$1,$A649,$A649)),_xll.BDH(config!$G$4,W$1,$A649,$A649),_xll.BDH(config!$G$5,W$1,$A649,$A649))))</f>
        <v/>
      </c>
    </row>
    <row r="650" spans="1:23" x14ac:dyDescent="0.2">
      <c r="A650" s="9" t="str">
        <f>IF(A649="","",IF(WORKDAY(A649,-1,config_Holiday_Calendar_US)&lt;config!$I$10,"",WORKDAY(A649,-1,config_Holiday_Calendar_US)))</f>
        <v/>
      </c>
      <c r="B650" s="8" t="str">
        <f t="shared" si="10"/>
        <v/>
      </c>
      <c r="C650" s="8" t="str">
        <f>IF(A650="","",_xll.BDH(config!$H$4,C$1,$A650,$A650))</f>
        <v/>
      </c>
      <c r="D650" s="8" t="str">
        <f>IF($A650="","",_xll.BDH(config!$H$4,D$1,$A650,$A650))</f>
        <v/>
      </c>
      <c r="E650" s="8" t="str">
        <f>IF($A650="","",IF(ISNUMBER(FIND("IMPVOL",E$1)),_xll.BDH(config!$G$4,E$1,WORKDAY($A650,-1,config_Holiday_Calendar_US),WORKDAY($A650,-1,config_Holiday_Calendar_US)),IF(ISNUMBER(_xll.BDH(config!$G$4,E$1,$A650,$A650)),_xll.BDH(config!$G$4,E$1,$A650,$A650),_xll.BDH(config!$G$5,E$1,$A650,$A650))))</f>
        <v/>
      </c>
      <c r="F650" s="8" t="str">
        <f>IF($A650="","",IF(ISNUMBER(FIND("IMPVOL",F$1)),_xll.BDH(config!$G$4,F$1,WORKDAY($A650,-1,config_Holiday_Calendar_US),WORKDAY($A650,-1,config_Holiday_Calendar_US)),IF(ISNUMBER(_xll.BDH(config!$G$4,F$1,$A650,$A650)),_xll.BDH(config!$G$4,F$1,$A650,$A650),_xll.BDH(config!$G$5,F$1,$A650,$A650))))</f>
        <v/>
      </c>
      <c r="G650" s="8" t="str">
        <f>IF($A650="","",IF(ISNUMBER(FIND("IMPVOL",G$1)),_xll.BDH(config!$G$4,G$1,WORKDAY($A650,-1,config_Holiday_Calendar_US),WORKDAY($A650,-1,config_Holiday_Calendar_US)),IF(ISNUMBER(_xll.BDH(config!$G$4,G$1,$A650,$A650)),_xll.BDH(config!$G$4,G$1,$A650,$A650),_xll.BDH(config!$G$5,G$1,$A650,$A650))))</f>
        <v/>
      </c>
      <c r="H650" s="8" t="str">
        <f>IF($A650="","",IF(ISNUMBER(FIND("IMPVOL",H$1)),_xll.BDH(config!$G$4,H$1,WORKDAY($A650,-1,config_Holiday_Calendar_US),WORKDAY($A650,-1,config_Holiday_Calendar_US)),IF(ISNUMBER(_xll.BDH(config!$G$4,H$1,$A650,$A650)),_xll.BDH(config!$G$4,H$1,$A650,$A650),_xll.BDH(config!$G$5,H$1,$A650,$A650))))</f>
        <v/>
      </c>
      <c r="I650" s="8" t="str">
        <f>IF($A650="","",IF(ISNUMBER(FIND("IMPVOL",I$1)),_xll.BDH(config!$G$4,I$1,WORKDAY($A650,-1,config_Holiday_Calendar_US),WORKDAY($A650,-1,config_Holiday_Calendar_US)),IF(ISNUMBER(_xll.BDH(config!$G$4,I$1,$A650,$A650)),_xll.BDH(config!$G$4,I$1,$A650,$A650),_xll.BDH(config!$G$5,I$1,$A650,$A650))))</f>
        <v/>
      </c>
      <c r="J650" s="8" t="str">
        <f>IF($A650="","",IF(ISNUMBER(FIND("IMPVOL",J$1)),_xll.BDH(config!$G$4,J$1,WORKDAY($A650,-1,config_Holiday_Calendar_US),WORKDAY($A650,-1,config_Holiday_Calendar_US)),IF(ISNUMBER(_xll.BDH(config!$G$4,J$1,$A650,$A650)),_xll.BDH(config!$G$4,J$1,$A650,$A650),_xll.BDH(config!$G$5,J$1,$A650,$A650))))</f>
        <v/>
      </c>
      <c r="K650" s="8" t="str">
        <f>IF($A650="","",IF(ISNUMBER(FIND("IMPVOL",K$1)),_xll.BDH(config!$G$4,K$1,WORKDAY($A650,-1,config_Holiday_Calendar_US),WORKDAY($A650,-1,config_Holiday_Calendar_US)),IF(ISNUMBER(_xll.BDH(config!$G$4,K$1,$A650,$A650)),_xll.BDH(config!$G$4,K$1,$A650,$A650),_xll.BDH(config!$G$5,K$1,$A650,$A650))))</f>
        <v/>
      </c>
      <c r="L650" s="8" t="str">
        <f>IF($A650="","",IF(ISNUMBER(FIND("IMPVOL",L$1)),_xll.BDH(config!$G$4,L$1,WORKDAY($A650,-1,config_Holiday_Calendar_US),WORKDAY($A650,-1,config_Holiday_Calendar_US)),IF(ISNUMBER(_xll.BDH(config!$G$4,L$1,$A650,$A650)),_xll.BDH(config!$G$4,L$1,$A650,$A650),_xll.BDH(config!$G$5,L$1,$A650,$A650))))</f>
        <v/>
      </c>
      <c r="M650" s="8" t="str">
        <f>IF($A650="","",IF(ISNUMBER(FIND("IMPVOL",M$1)),_xll.BDH(config!$G$4,M$1,WORKDAY($A650,-1,config_Holiday_Calendar_US),WORKDAY($A650,-1,config_Holiday_Calendar_US)),IF(ISNUMBER(_xll.BDH(config!$G$4,M$1,$A650,$A650)),_xll.BDH(config!$G$4,M$1,$A650,$A650),_xll.BDH(config!$G$5,M$1,$A650,$A650))))</f>
        <v/>
      </c>
      <c r="N650" s="8" t="str">
        <f>IF($A650="","",IF(ISNUMBER(FIND("IMPVOL",N$1)),_xll.BDH(config!$G$4,N$1,WORKDAY($A650,-1,config_Holiday_Calendar_US),WORKDAY($A650,-1,config_Holiday_Calendar_US)),IF(ISNUMBER(_xll.BDH(config!$G$4,N$1,$A650,$A650)),_xll.BDH(config!$G$4,N$1,$A650,$A650),_xll.BDH(config!$G$5,N$1,$A650,$A650))))</f>
        <v/>
      </c>
      <c r="O650" s="8" t="str">
        <f>IF($A650="","",IF(ISNUMBER(FIND("IMPVOL",O$1)),_xll.BDH(config!$G$4,O$1,WORKDAY($A650,-1,config_Holiday_Calendar_US),WORKDAY($A650,-1,config_Holiday_Calendar_US)),IF(ISNUMBER(_xll.BDH(config!$G$4,O$1,$A650,$A650)),_xll.BDH(config!$G$4,O$1,$A650,$A650),_xll.BDH(config!$G$5,O$1,$A650,$A650))))</f>
        <v/>
      </c>
      <c r="P650" s="8" t="str">
        <f>IF($A650="","",IF(ISNUMBER(FIND("IMPVOL",P$1)),_xll.BDH(config!$G$4,P$1,WORKDAY($A650,-1,config_Holiday_Calendar_US),WORKDAY($A650,-1,config_Holiday_Calendar_US)),IF(ISNUMBER(_xll.BDH(config!$G$4,P$1,$A650,$A650)),_xll.BDH(config!$G$4,P$1,$A650,$A650),_xll.BDH(config!$G$5,P$1,$A650,$A650))))</f>
        <v/>
      </c>
      <c r="Q650" s="8" t="str">
        <f>IF($A650="","",IF(ISNUMBER(FIND("IMPVOL",Q$1)),_xll.BDH(config!$G$4,Q$1,WORKDAY($A650,-1,config_Holiday_Calendar_US),WORKDAY($A650,-1,config_Holiday_Calendar_US)),IF(ISNUMBER(_xll.BDH(config!$G$4,Q$1,$A650,$A650)),_xll.BDH(config!$G$4,Q$1,$A650,$A650),_xll.BDH(config!$G$5,Q$1,$A650,$A650))))</f>
        <v/>
      </c>
      <c r="R650" s="8" t="str">
        <f>IF($A650="","",IF(ISNUMBER(FIND("IMPVOL",R$1)),_xll.BDH(config!$G$4,R$1,WORKDAY($A650,-1,config_Holiday_Calendar_US),WORKDAY($A650,-1,config_Holiday_Calendar_US)),IF(ISNUMBER(_xll.BDH(config!$G$4,R$1,$A650,$A650)),_xll.BDH(config!$G$4,R$1,$A650,$A650),_xll.BDH(config!$G$5,R$1,$A650,$A650))))</f>
        <v/>
      </c>
      <c r="S650" s="8" t="str">
        <f>IF($A650="","",IF(ISNUMBER(FIND("IMPVOL",S$1)),_xll.BDH(config!$G$4,S$1,WORKDAY($A650,-1,config_Holiday_Calendar_US),WORKDAY($A650,-1,config_Holiday_Calendar_US)),IF(ISNUMBER(_xll.BDH(config!$G$4,S$1,$A650,$A650)),_xll.BDH(config!$G$4,S$1,$A650,$A650),_xll.BDH(config!$G$5,S$1,$A650,$A650))))</f>
        <v/>
      </c>
      <c r="T650" s="8" t="str">
        <f>IF($A650="","",IF(ISNUMBER(FIND("IMPVOL",T$1)),_xll.BDH(config!$G$4,T$1,WORKDAY($A650,-1,config_Holiday_Calendar_US),WORKDAY($A650,-1,config_Holiday_Calendar_US)),IF(ISNUMBER(_xll.BDH(config!$G$4,T$1,$A650,$A650)),_xll.BDH(config!$G$4,T$1,$A650,$A650),_xll.BDH(config!$G$5,T$1,$A650,$A650))))</f>
        <v/>
      </c>
      <c r="U650" s="8" t="str">
        <f>IF($A650="","",IF(ISNUMBER(FIND("IMPVOL",U$1)),_xll.BDH(config!$G$4,U$1,WORKDAY($A650,-1,config_Holiday_Calendar_US),WORKDAY($A650,-1,config_Holiday_Calendar_US)),IF(ISNUMBER(_xll.BDH(config!$G$4,U$1,$A650,$A650)),_xll.BDH(config!$G$4,U$1,$A650,$A650),_xll.BDH(config!$G$5,U$1,$A650,$A650))))</f>
        <v/>
      </c>
      <c r="V650" s="8" t="str">
        <f>IF($A650="","",IF(ISNUMBER(FIND("IMPVOL",V$1)),_xll.BDH(config!$G$4,V$1,WORKDAY($A650,-1,config_Holiday_Calendar_US),WORKDAY($A650,-1,config_Holiday_Calendar_US)),IF(ISNUMBER(_xll.BDH(config!$G$4,V$1,$A650,$A650)),_xll.BDH(config!$G$4,V$1,$A650,$A650),_xll.BDH(config!$G$5,V$1,$A650,$A650))))</f>
        <v/>
      </c>
      <c r="W650" s="8" t="str">
        <f>IF($A650="","",IF(ISNUMBER(FIND("IMPVOL",W$1)),_xll.BDH(config!$G$4,W$1,WORKDAY($A650,-1,config_Holiday_Calendar_US),WORKDAY($A650,-1,config_Holiday_Calendar_US)),IF(ISNUMBER(_xll.BDH(config!$G$4,W$1,$A650,$A650)),_xll.BDH(config!$G$4,W$1,$A650,$A650),_xll.BDH(config!$G$5,W$1,$A650,$A650))))</f>
        <v/>
      </c>
    </row>
    <row r="651" spans="1:23" x14ac:dyDescent="0.2">
      <c r="A651" s="9" t="str">
        <f>IF(A650="","",IF(WORKDAY(A650,-1,config_Holiday_Calendar_US)&lt;config!$I$10,"",WORKDAY(A650,-1,config_Holiday_Calendar_US)))</f>
        <v/>
      </c>
      <c r="B651" s="8" t="str">
        <f t="shared" si="10"/>
        <v/>
      </c>
      <c r="C651" s="8" t="str">
        <f>IF(A651="","",_xll.BDH(config!$H$4,C$1,$A651,$A651))</f>
        <v/>
      </c>
      <c r="D651" s="8" t="str">
        <f>IF($A651="","",_xll.BDH(config!$H$4,D$1,$A651,$A651))</f>
        <v/>
      </c>
      <c r="E651" s="8" t="str">
        <f>IF($A651="","",IF(ISNUMBER(FIND("IMPVOL",E$1)),_xll.BDH(config!$G$4,E$1,WORKDAY($A651,-1,config_Holiday_Calendar_US),WORKDAY($A651,-1,config_Holiday_Calendar_US)),IF(ISNUMBER(_xll.BDH(config!$G$4,E$1,$A651,$A651)),_xll.BDH(config!$G$4,E$1,$A651,$A651),_xll.BDH(config!$G$5,E$1,$A651,$A651))))</f>
        <v/>
      </c>
      <c r="F651" s="8" t="str">
        <f>IF($A651="","",IF(ISNUMBER(FIND("IMPVOL",F$1)),_xll.BDH(config!$G$4,F$1,WORKDAY($A651,-1,config_Holiday_Calendar_US),WORKDAY($A651,-1,config_Holiday_Calendar_US)),IF(ISNUMBER(_xll.BDH(config!$G$4,F$1,$A651,$A651)),_xll.BDH(config!$G$4,F$1,$A651,$A651),_xll.BDH(config!$G$5,F$1,$A651,$A651))))</f>
        <v/>
      </c>
      <c r="G651" s="8" t="str">
        <f>IF($A651="","",IF(ISNUMBER(FIND("IMPVOL",G$1)),_xll.BDH(config!$G$4,G$1,WORKDAY($A651,-1,config_Holiday_Calendar_US),WORKDAY($A651,-1,config_Holiday_Calendar_US)),IF(ISNUMBER(_xll.BDH(config!$G$4,G$1,$A651,$A651)),_xll.BDH(config!$G$4,G$1,$A651,$A651),_xll.BDH(config!$G$5,G$1,$A651,$A651))))</f>
        <v/>
      </c>
      <c r="H651" s="8" t="str">
        <f>IF($A651="","",IF(ISNUMBER(FIND("IMPVOL",H$1)),_xll.BDH(config!$G$4,H$1,WORKDAY($A651,-1,config_Holiday_Calendar_US),WORKDAY($A651,-1,config_Holiday_Calendar_US)),IF(ISNUMBER(_xll.BDH(config!$G$4,H$1,$A651,$A651)),_xll.BDH(config!$G$4,H$1,$A651,$A651),_xll.BDH(config!$G$5,H$1,$A651,$A651))))</f>
        <v/>
      </c>
      <c r="I651" s="8" t="str">
        <f>IF($A651="","",IF(ISNUMBER(FIND("IMPVOL",I$1)),_xll.BDH(config!$G$4,I$1,WORKDAY($A651,-1,config_Holiday_Calendar_US),WORKDAY($A651,-1,config_Holiday_Calendar_US)),IF(ISNUMBER(_xll.BDH(config!$G$4,I$1,$A651,$A651)),_xll.BDH(config!$G$4,I$1,$A651,$A651),_xll.BDH(config!$G$5,I$1,$A651,$A651))))</f>
        <v/>
      </c>
      <c r="J651" s="8" t="str">
        <f>IF($A651="","",IF(ISNUMBER(FIND("IMPVOL",J$1)),_xll.BDH(config!$G$4,J$1,WORKDAY($A651,-1,config_Holiday_Calendar_US),WORKDAY($A651,-1,config_Holiday_Calendar_US)),IF(ISNUMBER(_xll.BDH(config!$G$4,J$1,$A651,$A651)),_xll.BDH(config!$G$4,J$1,$A651,$A651),_xll.BDH(config!$G$5,J$1,$A651,$A651))))</f>
        <v/>
      </c>
      <c r="K651" s="8" t="str">
        <f>IF($A651="","",IF(ISNUMBER(FIND("IMPVOL",K$1)),_xll.BDH(config!$G$4,K$1,WORKDAY($A651,-1,config_Holiday_Calendar_US),WORKDAY($A651,-1,config_Holiday_Calendar_US)),IF(ISNUMBER(_xll.BDH(config!$G$4,K$1,$A651,$A651)),_xll.BDH(config!$G$4,K$1,$A651,$A651),_xll.BDH(config!$G$5,K$1,$A651,$A651))))</f>
        <v/>
      </c>
      <c r="L651" s="8" t="str">
        <f>IF($A651="","",IF(ISNUMBER(FIND("IMPVOL",L$1)),_xll.BDH(config!$G$4,L$1,WORKDAY($A651,-1,config_Holiday_Calendar_US),WORKDAY($A651,-1,config_Holiday_Calendar_US)),IF(ISNUMBER(_xll.BDH(config!$G$4,L$1,$A651,$A651)),_xll.BDH(config!$G$4,L$1,$A651,$A651),_xll.BDH(config!$G$5,L$1,$A651,$A651))))</f>
        <v/>
      </c>
      <c r="M651" s="8" t="str">
        <f>IF($A651="","",IF(ISNUMBER(FIND("IMPVOL",M$1)),_xll.BDH(config!$G$4,M$1,WORKDAY($A651,-1,config_Holiday_Calendar_US),WORKDAY($A651,-1,config_Holiday_Calendar_US)),IF(ISNUMBER(_xll.BDH(config!$G$4,M$1,$A651,$A651)),_xll.BDH(config!$G$4,M$1,$A651,$A651),_xll.BDH(config!$G$5,M$1,$A651,$A651))))</f>
        <v/>
      </c>
      <c r="N651" s="8" t="str">
        <f>IF($A651="","",IF(ISNUMBER(FIND("IMPVOL",N$1)),_xll.BDH(config!$G$4,N$1,WORKDAY($A651,-1,config_Holiday_Calendar_US),WORKDAY($A651,-1,config_Holiday_Calendar_US)),IF(ISNUMBER(_xll.BDH(config!$G$4,N$1,$A651,$A651)),_xll.BDH(config!$G$4,N$1,$A651,$A651),_xll.BDH(config!$G$5,N$1,$A651,$A651))))</f>
        <v/>
      </c>
      <c r="O651" s="8" t="str">
        <f>IF($A651="","",IF(ISNUMBER(FIND("IMPVOL",O$1)),_xll.BDH(config!$G$4,O$1,WORKDAY($A651,-1,config_Holiday_Calendar_US),WORKDAY($A651,-1,config_Holiday_Calendar_US)),IF(ISNUMBER(_xll.BDH(config!$G$4,O$1,$A651,$A651)),_xll.BDH(config!$G$4,O$1,$A651,$A651),_xll.BDH(config!$G$5,O$1,$A651,$A651))))</f>
        <v/>
      </c>
      <c r="P651" s="8" t="str">
        <f>IF($A651="","",IF(ISNUMBER(FIND("IMPVOL",P$1)),_xll.BDH(config!$G$4,P$1,WORKDAY($A651,-1,config_Holiday_Calendar_US),WORKDAY($A651,-1,config_Holiday_Calendar_US)),IF(ISNUMBER(_xll.BDH(config!$G$4,P$1,$A651,$A651)),_xll.BDH(config!$G$4,P$1,$A651,$A651),_xll.BDH(config!$G$5,P$1,$A651,$A651))))</f>
        <v/>
      </c>
      <c r="Q651" s="8" t="str">
        <f>IF($A651="","",IF(ISNUMBER(FIND("IMPVOL",Q$1)),_xll.BDH(config!$G$4,Q$1,WORKDAY($A651,-1,config_Holiday_Calendar_US),WORKDAY($A651,-1,config_Holiday_Calendar_US)),IF(ISNUMBER(_xll.BDH(config!$G$4,Q$1,$A651,$A651)),_xll.BDH(config!$G$4,Q$1,$A651,$A651),_xll.BDH(config!$G$5,Q$1,$A651,$A651))))</f>
        <v/>
      </c>
      <c r="R651" s="8" t="str">
        <f>IF($A651="","",IF(ISNUMBER(FIND("IMPVOL",R$1)),_xll.BDH(config!$G$4,R$1,WORKDAY($A651,-1,config_Holiday_Calendar_US),WORKDAY($A651,-1,config_Holiday_Calendar_US)),IF(ISNUMBER(_xll.BDH(config!$G$4,R$1,$A651,$A651)),_xll.BDH(config!$G$4,R$1,$A651,$A651),_xll.BDH(config!$G$5,R$1,$A651,$A651))))</f>
        <v/>
      </c>
      <c r="S651" s="8" t="str">
        <f>IF($A651="","",IF(ISNUMBER(FIND("IMPVOL",S$1)),_xll.BDH(config!$G$4,S$1,WORKDAY($A651,-1,config_Holiday_Calendar_US),WORKDAY($A651,-1,config_Holiday_Calendar_US)),IF(ISNUMBER(_xll.BDH(config!$G$4,S$1,$A651,$A651)),_xll.BDH(config!$G$4,S$1,$A651,$A651),_xll.BDH(config!$G$5,S$1,$A651,$A651))))</f>
        <v/>
      </c>
      <c r="T651" s="8" t="str">
        <f>IF($A651="","",IF(ISNUMBER(FIND("IMPVOL",T$1)),_xll.BDH(config!$G$4,T$1,WORKDAY($A651,-1,config_Holiday_Calendar_US),WORKDAY($A651,-1,config_Holiday_Calendar_US)),IF(ISNUMBER(_xll.BDH(config!$G$4,T$1,$A651,$A651)),_xll.BDH(config!$G$4,T$1,$A651,$A651),_xll.BDH(config!$G$5,T$1,$A651,$A651))))</f>
        <v/>
      </c>
      <c r="U651" s="8" t="str">
        <f>IF($A651="","",IF(ISNUMBER(FIND("IMPVOL",U$1)),_xll.BDH(config!$G$4,U$1,WORKDAY($A651,-1,config_Holiday_Calendar_US),WORKDAY($A651,-1,config_Holiday_Calendar_US)),IF(ISNUMBER(_xll.BDH(config!$G$4,U$1,$A651,$A651)),_xll.BDH(config!$G$4,U$1,$A651,$A651),_xll.BDH(config!$G$5,U$1,$A651,$A651))))</f>
        <v/>
      </c>
      <c r="V651" s="8" t="str">
        <f>IF($A651="","",IF(ISNUMBER(FIND("IMPVOL",V$1)),_xll.BDH(config!$G$4,V$1,WORKDAY($A651,-1,config_Holiday_Calendar_US),WORKDAY($A651,-1,config_Holiday_Calendar_US)),IF(ISNUMBER(_xll.BDH(config!$G$4,V$1,$A651,$A651)),_xll.BDH(config!$G$4,V$1,$A651,$A651),_xll.BDH(config!$G$5,V$1,$A651,$A651))))</f>
        <v/>
      </c>
      <c r="W651" s="8" t="str">
        <f>IF($A651="","",IF(ISNUMBER(FIND("IMPVOL",W$1)),_xll.BDH(config!$G$4,W$1,WORKDAY($A651,-1,config_Holiday_Calendar_US),WORKDAY($A651,-1,config_Holiday_Calendar_US)),IF(ISNUMBER(_xll.BDH(config!$G$4,W$1,$A651,$A651)),_xll.BDH(config!$G$4,W$1,$A651,$A651),_xll.BDH(config!$G$5,W$1,$A651,$A651))))</f>
        <v/>
      </c>
    </row>
    <row r="652" spans="1:23" x14ac:dyDescent="0.2">
      <c r="A652" s="9" t="str">
        <f>IF(A651="","",IF(WORKDAY(A651,-1,config_Holiday_Calendar_US)&lt;config!$I$10,"",WORKDAY(A651,-1,config_Holiday_Calendar_US)))</f>
        <v/>
      </c>
      <c r="B652" s="8" t="str">
        <f t="shared" si="10"/>
        <v/>
      </c>
      <c r="C652" s="8" t="str">
        <f>IF(A652="","",_xll.BDH(config!$H$4,C$1,$A652,$A652))</f>
        <v/>
      </c>
      <c r="D652" s="8" t="str">
        <f>IF($A652="","",_xll.BDH(config!$H$4,D$1,$A652,$A652))</f>
        <v/>
      </c>
      <c r="E652" s="8" t="str">
        <f>IF($A652="","",IF(ISNUMBER(FIND("IMPVOL",E$1)),_xll.BDH(config!$G$4,E$1,WORKDAY($A652,-1,config_Holiday_Calendar_US),WORKDAY($A652,-1,config_Holiday_Calendar_US)),IF(ISNUMBER(_xll.BDH(config!$G$4,E$1,$A652,$A652)),_xll.BDH(config!$G$4,E$1,$A652,$A652),_xll.BDH(config!$G$5,E$1,$A652,$A652))))</f>
        <v/>
      </c>
      <c r="F652" s="8" t="str">
        <f>IF($A652="","",IF(ISNUMBER(FIND("IMPVOL",F$1)),_xll.BDH(config!$G$4,F$1,WORKDAY($A652,-1,config_Holiday_Calendar_US),WORKDAY($A652,-1,config_Holiday_Calendar_US)),IF(ISNUMBER(_xll.BDH(config!$G$4,F$1,$A652,$A652)),_xll.BDH(config!$G$4,F$1,$A652,$A652),_xll.BDH(config!$G$5,F$1,$A652,$A652))))</f>
        <v/>
      </c>
      <c r="G652" s="8" t="str">
        <f>IF($A652="","",IF(ISNUMBER(FIND("IMPVOL",G$1)),_xll.BDH(config!$G$4,G$1,WORKDAY($A652,-1,config_Holiday_Calendar_US),WORKDAY($A652,-1,config_Holiday_Calendar_US)),IF(ISNUMBER(_xll.BDH(config!$G$4,G$1,$A652,$A652)),_xll.BDH(config!$G$4,G$1,$A652,$A652),_xll.BDH(config!$G$5,G$1,$A652,$A652))))</f>
        <v/>
      </c>
      <c r="H652" s="8" t="str">
        <f>IF($A652="","",IF(ISNUMBER(FIND("IMPVOL",H$1)),_xll.BDH(config!$G$4,H$1,WORKDAY($A652,-1,config_Holiday_Calendar_US),WORKDAY($A652,-1,config_Holiday_Calendar_US)),IF(ISNUMBER(_xll.BDH(config!$G$4,H$1,$A652,$A652)),_xll.BDH(config!$G$4,H$1,$A652,$A652),_xll.BDH(config!$G$5,H$1,$A652,$A652))))</f>
        <v/>
      </c>
      <c r="I652" s="8" t="str">
        <f>IF($A652="","",IF(ISNUMBER(FIND("IMPVOL",I$1)),_xll.BDH(config!$G$4,I$1,WORKDAY($A652,-1,config_Holiday_Calendar_US),WORKDAY($A652,-1,config_Holiday_Calendar_US)),IF(ISNUMBER(_xll.BDH(config!$G$4,I$1,$A652,$A652)),_xll.BDH(config!$G$4,I$1,$A652,$A652),_xll.BDH(config!$G$5,I$1,$A652,$A652))))</f>
        <v/>
      </c>
      <c r="J652" s="8" t="str">
        <f>IF($A652="","",IF(ISNUMBER(FIND("IMPVOL",J$1)),_xll.BDH(config!$G$4,J$1,WORKDAY($A652,-1,config_Holiday_Calendar_US),WORKDAY($A652,-1,config_Holiday_Calendar_US)),IF(ISNUMBER(_xll.BDH(config!$G$4,J$1,$A652,$A652)),_xll.BDH(config!$G$4,J$1,$A652,$A652),_xll.BDH(config!$G$5,J$1,$A652,$A652))))</f>
        <v/>
      </c>
      <c r="K652" s="8" t="str">
        <f>IF($A652="","",IF(ISNUMBER(FIND("IMPVOL",K$1)),_xll.BDH(config!$G$4,K$1,WORKDAY($A652,-1,config_Holiday_Calendar_US),WORKDAY($A652,-1,config_Holiday_Calendar_US)),IF(ISNUMBER(_xll.BDH(config!$G$4,K$1,$A652,$A652)),_xll.BDH(config!$G$4,K$1,$A652,$A652),_xll.BDH(config!$G$5,K$1,$A652,$A652))))</f>
        <v/>
      </c>
      <c r="L652" s="8" t="str">
        <f>IF($A652="","",IF(ISNUMBER(FIND("IMPVOL",L$1)),_xll.BDH(config!$G$4,L$1,WORKDAY($A652,-1,config_Holiday_Calendar_US),WORKDAY($A652,-1,config_Holiday_Calendar_US)),IF(ISNUMBER(_xll.BDH(config!$G$4,L$1,$A652,$A652)),_xll.BDH(config!$G$4,L$1,$A652,$A652),_xll.BDH(config!$G$5,L$1,$A652,$A652))))</f>
        <v/>
      </c>
      <c r="M652" s="8" t="str">
        <f>IF($A652="","",IF(ISNUMBER(FIND("IMPVOL",M$1)),_xll.BDH(config!$G$4,M$1,WORKDAY($A652,-1,config_Holiday_Calendar_US),WORKDAY($A652,-1,config_Holiday_Calendar_US)),IF(ISNUMBER(_xll.BDH(config!$G$4,M$1,$A652,$A652)),_xll.BDH(config!$G$4,M$1,$A652,$A652),_xll.BDH(config!$G$5,M$1,$A652,$A652))))</f>
        <v/>
      </c>
      <c r="N652" s="8" t="str">
        <f>IF($A652="","",IF(ISNUMBER(FIND("IMPVOL",N$1)),_xll.BDH(config!$G$4,N$1,WORKDAY($A652,-1,config_Holiday_Calendar_US),WORKDAY($A652,-1,config_Holiday_Calendar_US)),IF(ISNUMBER(_xll.BDH(config!$G$4,N$1,$A652,$A652)),_xll.BDH(config!$G$4,N$1,$A652,$A652),_xll.BDH(config!$G$5,N$1,$A652,$A652))))</f>
        <v/>
      </c>
      <c r="O652" s="8" t="str">
        <f>IF($A652="","",IF(ISNUMBER(FIND("IMPVOL",O$1)),_xll.BDH(config!$G$4,O$1,WORKDAY($A652,-1,config_Holiday_Calendar_US),WORKDAY($A652,-1,config_Holiday_Calendar_US)),IF(ISNUMBER(_xll.BDH(config!$G$4,O$1,$A652,$A652)),_xll.BDH(config!$G$4,O$1,$A652,$A652),_xll.BDH(config!$G$5,O$1,$A652,$A652))))</f>
        <v/>
      </c>
      <c r="P652" s="8" t="str">
        <f>IF($A652="","",IF(ISNUMBER(FIND("IMPVOL",P$1)),_xll.BDH(config!$G$4,P$1,WORKDAY($A652,-1,config_Holiday_Calendar_US),WORKDAY($A652,-1,config_Holiday_Calendar_US)),IF(ISNUMBER(_xll.BDH(config!$G$4,P$1,$A652,$A652)),_xll.BDH(config!$G$4,P$1,$A652,$A652),_xll.BDH(config!$G$5,P$1,$A652,$A652))))</f>
        <v/>
      </c>
      <c r="Q652" s="8" t="str">
        <f>IF($A652="","",IF(ISNUMBER(FIND("IMPVOL",Q$1)),_xll.BDH(config!$G$4,Q$1,WORKDAY($A652,-1,config_Holiday_Calendar_US),WORKDAY($A652,-1,config_Holiday_Calendar_US)),IF(ISNUMBER(_xll.BDH(config!$G$4,Q$1,$A652,$A652)),_xll.BDH(config!$G$4,Q$1,$A652,$A652),_xll.BDH(config!$G$5,Q$1,$A652,$A652))))</f>
        <v/>
      </c>
      <c r="R652" s="8" t="str">
        <f>IF($A652="","",IF(ISNUMBER(FIND("IMPVOL",R$1)),_xll.BDH(config!$G$4,R$1,WORKDAY($A652,-1,config_Holiday_Calendar_US),WORKDAY($A652,-1,config_Holiday_Calendar_US)),IF(ISNUMBER(_xll.BDH(config!$G$4,R$1,$A652,$A652)),_xll.BDH(config!$G$4,R$1,$A652,$A652),_xll.BDH(config!$G$5,R$1,$A652,$A652))))</f>
        <v/>
      </c>
      <c r="S652" s="8" t="str">
        <f>IF($A652="","",IF(ISNUMBER(FIND("IMPVOL",S$1)),_xll.BDH(config!$G$4,S$1,WORKDAY($A652,-1,config_Holiday_Calendar_US),WORKDAY($A652,-1,config_Holiday_Calendar_US)),IF(ISNUMBER(_xll.BDH(config!$G$4,S$1,$A652,$A652)),_xll.BDH(config!$G$4,S$1,$A652,$A652),_xll.BDH(config!$G$5,S$1,$A652,$A652))))</f>
        <v/>
      </c>
      <c r="T652" s="8" t="str">
        <f>IF($A652="","",IF(ISNUMBER(FIND("IMPVOL",T$1)),_xll.BDH(config!$G$4,T$1,WORKDAY($A652,-1,config_Holiday_Calendar_US),WORKDAY($A652,-1,config_Holiday_Calendar_US)),IF(ISNUMBER(_xll.BDH(config!$G$4,T$1,$A652,$A652)),_xll.BDH(config!$G$4,T$1,$A652,$A652),_xll.BDH(config!$G$5,T$1,$A652,$A652))))</f>
        <v/>
      </c>
      <c r="U652" s="8" t="str">
        <f>IF($A652="","",IF(ISNUMBER(FIND("IMPVOL",U$1)),_xll.BDH(config!$G$4,U$1,WORKDAY($A652,-1,config_Holiday_Calendar_US),WORKDAY($A652,-1,config_Holiday_Calendar_US)),IF(ISNUMBER(_xll.BDH(config!$G$4,U$1,$A652,$A652)),_xll.BDH(config!$G$4,U$1,$A652,$A652),_xll.BDH(config!$G$5,U$1,$A652,$A652))))</f>
        <v/>
      </c>
      <c r="V652" s="8" t="str">
        <f>IF($A652="","",IF(ISNUMBER(FIND("IMPVOL",V$1)),_xll.BDH(config!$G$4,V$1,WORKDAY($A652,-1,config_Holiday_Calendar_US),WORKDAY($A652,-1,config_Holiday_Calendar_US)),IF(ISNUMBER(_xll.BDH(config!$G$4,V$1,$A652,$A652)),_xll.BDH(config!$G$4,V$1,$A652,$A652),_xll.BDH(config!$G$5,V$1,$A652,$A652))))</f>
        <v/>
      </c>
      <c r="W652" s="8" t="str">
        <f>IF($A652="","",IF(ISNUMBER(FIND("IMPVOL",W$1)),_xll.BDH(config!$G$4,W$1,WORKDAY($A652,-1,config_Holiday_Calendar_US),WORKDAY($A652,-1,config_Holiday_Calendar_US)),IF(ISNUMBER(_xll.BDH(config!$G$4,W$1,$A652,$A652)),_xll.BDH(config!$G$4,W$1,$A652,$A652),_xll.BDH(config!$G$5,W$1,$A652,$A652))))</f>
        <v/>
      </c>
    </row>
    <row r="653" spans="1:23" x14ac:dyDescent="0.2">
      <c r="A653" s="9" t="str">
        <f>IF(A652="","",IF(WORKDAY(A652,-1,config_Holiday_Calendar_US)&lt;config!$I$10,"",WORKDAY(A652,-1,config_Holiday_Calendar_US)))</f>
        <v/>
      </c>
      <c r="B653" s="8" t="str">
        <f t="shared" si="10"/>
        <v/>
      </c>
      <c r="C653" s="8" t="str">
        <f>IF(A653="","",_xll.BDH(config!$H$4,C$1,$A653,$A653))</f>
        <v/>
      </c>
      <c r="D653" s="8" t="str">
        <f>IF($A653="","",_xll.BDH(config!$H$4,D$1,$A653,$A653))</f>
        <v/>
      </c>
      <c r="E653" s="8" t="str">
        <f>IF($A653="","",IF(ISNUMBER(FIND("IMPVOL",E$1)),_xll.BDH(config!$G$4,E$1,WORKDAY($A653,-1,config_Holiday_Calendar_US),WORKDAY($A653,-1,config_Holiday_Calendar_US)),IF(ISNUMBER(_xll.BDH(config!$G$4,E$1,$A653,$A653)),_xll.BDH(config!$G$4,E$1,$A653,$A653),_xll.BDH(config!$G$5,E$1,$A653,$A653))))</f>
        <v/>
      </c>
      <c r="F653" s="8" t="str">
        <f>IF($A653="","",IF(ISNUMBER(FIND("IMPVOL",F$1)),_xll.BDH(config!$G$4,F$1,WORKDAY($A653,-1,config_Holiday_Calendar_US),WORKDAY($A653,-1,config_Holiday_Calendar_US)),IF(ISNUMBER(_xll.BDH(config!$G$4,F$1,$A653,$A653)),_xll.BDH(config!$G$4,F$1,$A653,$A653),_xll.BDH(config!$G$5,F$1,$A653,$A653))))</f>
        <v/>
      </c>
      <c r="G653" s="8" t="str">
        <f>IF($A653="","",IF(ISNUMBER(FIND("IMPVOL",G$1)),_xll.BDH(config!$G$4,G$1,WORKDAY($A653,-1,config_Holiday_Calendar_US),WORKDAY($A653,-1,config_Holiday_Calendar_US)),IF(ISNUMBER(_xll.BDH(config!$G$4,G$1,$A653,$A653)),_xll.BDH(config!$G$4,G$1,$A653,$A653),_xll.BDH(config!$G$5,G$1,$A653,$A653))))</f>
        <v/>
      </c>
      <c r="H653" s="8" t="str">
        <f>IF($A653="","",IF(ISNUMBER(FIND("IMPVOL",H$1)),_xll.BDH(config!$G$4,H$1,WORKDAY($A653,-1,config_Holiday_Calendar_US),WORKDAY($A653,-1,config_Holiday_Calendar_US)),IF(ISNUMBER(_xll.BDH(config!$G$4,H$1,$A653,$A653)),_xll.BDH(config!$G$4,H$1,$A653,$A653),_xll.BDH(config!$G$5,H$1,$A653,$A653))))</f>
        <v/>
      </c>
      <c r="I653" s="8" t="str">
        <f>IF($A653="","",IF(ISNUMBER(FIND("IMPVOL",I$1)),_xll.BDH(config!$G$4,I$1,WORKDAY($A653,-1,config_Holiday_Calendar_US),WORKDAY($A653,-1,config_Holiday_Calendar_US)),IF(ISNUMBER(_xll.BDH(config!$G$4,I$1,$A653,$A653)),_xll.BDH(config!$G$4,I$1,$A653,$A653),_xll.BDH(config!$G$5,I$1,$A653,$A653))))</f>
        <v/>
      </c>
      <c r="J653" s="8" t="str">
        <f>IF($A653="","",IF(ISNUMBER(FIND("IMPVOL",J$1)),_xll.BDH(config!$G$4,J$1,WORKDAY($A653,-1,config_Holiday_Calendar_US),WORKDAY($A653,-1,config_Holiday_Calendar_US)),IF(ISNUMBER(_xll.BDH(config!$G$4,J$1,$A653,$A653)),_xll.BDH(config!$G$4,J$1,$A653,$A653),_xll.BDH(config!$G$5,J$1,$A653,$A653))))</f>
        <v/>
      </c>
      <c r="K653" s="8" t="str">
        <f>IF($A653="","",IF(ISNUMBER(FIND("IMPVOL",K$1)),_xll.BDH(config!$G$4,K$1,WORKDAY($A653,-1,config_Holiday_Calendar_US),WORKDAY($A653,-1,config_Holiday_Calendar_US)),IF(ISNUMBER(_xll.BDH(config!$G$4,K$1,$A653,$A653)),_xll.BDH(config!$G$4,K$1,$A653,$A653),_xll.BDH(config!$G$5,K$1,$A653,$A653))))</f>
        <v/>
      </c>
      <c r="L653" s="8" t="str">
        <f>IF($A653="","",IF(ISNUMBER(FIND("IMPVOL",L$1)),_xll.BDH(config!$G$4,L$1,WORKDAY($A653,-1,config_Holiday_Calendar_US),WORKDAY($A653,-1,config_Holiday_Calendar_US)),IF(ISNUMBER(_xll.BDH(config!$G$4,L$1,$A653,$A653)),_xll.BDH(config!$G$4,L$1,$A653,$A653),_xll.BDH(config!$G$5,L$1,$A653,$A653))))</f>
        <v/>
      </c>
      <c r="M653" s="8" t="str">
        <f>IF($A653="","",IF(ISNUMBER(FIND("IMPVOL",M$1)),_xll.BDH(config!$G$4,M$1,WORKDAY($A653,-1,config_Holiday_Calendar_US),WORKDAY($A653,-1,config_Holiday_Calendar_US)),IF(ISNUMBER(_xll.BDH(config!$G$4,M$1,$A653,$A653)),_xll.BDH(config!$G$4,M$1,$A653,$A653),_xll.BDH(config!$G$5,M$1,$A653,$A653))))</f>
        <v/>
      </c>
      <c r="N653" s="8" t="str">
        <f>IF($A653="","",IF(ISNUMBER(FIND("IMPVOL",N$1)),_xll.BDH(config!$G$4,N$1,WORKDAY($A653,-1,config_Holiday_Calendar_US),WORKDAY($A653,-1,config_Holiday_Calendar_US)),IF(ISNUMBER(_xll.BDH(config!$G$4,N$1,$A653,$A653)),_xll.BDH(config!$G$4,N$1,$A653,$A653),_xll.BDH(config!$G$5,N$1,$A653,$A653))))</f>
        <v/>
      </c>
      <c r="O653" s="8" t="str">
        <f>IF($A653="","",IF(ISNUMBER(FIND("IMPVOL",O$1)),_xll.BDH(config!$G$4,O$1,WORKDAY($A653,-1,config_Holiday_Calendar_US),WORKDAY($A653,-1,config_Holiday_Calendar_US)),IF(ISNUMBER(_xll.BDH(config!$G$4,O$1,$A653,$A653)),_xll.BDH(config!$G$4,O$1,$A653,$A653),_xll.BDH(config!$G$5,O$1,$A653,$A653))))</f>
        <v/>
      </c>
      <c r="P653" s="8" t="str">
        <f>IF($A653="","",IF(ISNUMBER(FIND("IMPVOL",P$1)),_xll.BDH(config!$G$4,P$1,WORKDAY($A653,-1,config_Holiday_Calendar_US),WORKDAY($A653,-1,config_Holiday_Calendar_US)),IF(ISNUMBER(_xll.BDH(config!$G$4,P$1,$A653,$A653)),_xll.BDH(config!$G$4,P$1,$A653,$A653),_xll.BDH(config!$G$5,P$1,$A653,$A653))))</f>
        <v/>
      </c>
      <c r="Q653" s="8" t="str">
        <f>IF($A653="","",IF(ISNUMBER(FIND("IMPVOL",Q$1)),_xll.BDH(config!$G$4,Q$1,WORKDAY($A653,-1,config_Holiday_Calendar_US),WORKDAY($A653,-1,config_Holiday_Calendar_US)),IF(ISNUMBER(_xll.BDH(config!$G$4,Q$1,$A653,$A653)),_xll.BDH(config!$G$4,Q$1,$A653,$A653),_xll.BDH(config!$G$5,Q$1,$A653,$A653))))</f>
        <v/>
      </c>
      <c r="R653" s="8" t="str">
        <f>IF($A653="","",IF(ISNUMBER(FIND("IMPVOL",R$1)),_xll.BDH(config!$G$4,R$1,WORKDAY($A653,-1,config_Holiday_Calendar_US),WORKDAY($A653,-1,config_Holiday_Calendar_US)),IF(ISNUMBER(_xll.BDH(config!$G$4,R$1,$A653,$A653)),_xll.BDH(config!$G$4,R$1,$A653,$A653),_xll.BDH(config!$G$5,R$1,$A653,$A653))))</f>
        <v/>
      </c>
      <c r="S653" s="8" t="str">
        <f>IF($A653="","",IF(ISNUMBER(FIND("IMPVOL",S$1)),_xll.BDH(config!$G$4,S$1,WORKDAY($A653,-1,config_Holiday_Calendar_US),WORKDAY($A653,-1,config_Holiday_Calendar_US)),IF(ISNUMBER(_xll.BDH(config!$G$4,S$1,$A653,$A653)),_xll.BDH(config!$G$4,S$1,$A653,$A653),_xll.BDH(config!$G$5,S$1,$A653,$A653))))</f>
        <v/>
      </c>
      <c r="T653" s="8" t="str">
        <f>IF($A653="","",IF(ISNUMBER(FIND("IMPVOL",T$1)),_xll.BDH(config!$G$4,T$1,WORKDAY($A653,-1,config_Holiday_Calendar_US),WORKDAY($A653,-1,config_Holiday_Calendar_US)),IF(ISNUMBER(_xll.BDH(config!$G$4,T$1,$A653,$A653)),_xll.BDH(config!$G$4,T$1,$A653,$A653),_xll.BDH(config!$G$5,T$1,$A653,$A653))))</f>
        <v/>
      </c>
      <c r="U653" s="8" t="str">
        <f>IF($A653="","",IF(ISNUMBER(FIND("IMPVOL",U$1)),_xll.BDH(config!$G$4,U$1,WORKDAY($A653,-1,config_Holiday_Calendar_US),WORKDAY($A653,-1,config_Holiday_Calendar_US)),IF(ISNUMBER(_xll.BDH(config!$G$4,U$1,$A653,$A653)),_xll.BDH(config!$G$4,U$1,$A653,$A653),_xll.BDH(config!$G$5,U$1,$A653,$A653))))</f>
        <v/>
      </c>
      <c r="V653" s="8" t="str">
        <f>IF($A653="","",IF(ISNUMBER(FIND("IMPVOL",V$1)),_xll.BDH(config!$G$4,V$1,WORKDAY($A653,-1,config_Holiday_Calendar_US),WORKDAY($A653,-1,config_Holiday_Calendar_US)),IF(ISNUMBER(_xll.BDH(config!$G$4,V$1,$A653,$A653)),_xll.BDH(config!$G$4,V$1,$A653,$A653),_xll.BDH(config!$G$5,V$1,$A653,$A653))))</f>
        <v/>
      </c>
      <c r="W653" s="8" t="str">
        <f>IF($A653="","",IF(ISNUMBER(FIND("IMPVOL",W$1)),_xll.BDH(config!$G$4,W$1,WORKDAY($A653,-1,config_Holiday_Calendar_US),WORKDAY($A653,-1,config_Holiday_Calendar_US)),IF(ISNUMBER(_xll.BDH(config!$G$4,W$1,$A653,$A653)),_xll.BDH(config!$G$4,W$1,$A653,$A653),_xll.BDH(config!$G$5,W$1,$A653,$A653))))</f>
        <v/>
      </c>
    </row>
    <row r="654" spans="1:23" x14ac:dyDescent="0.2">
      <c r="A654" s="9" t="str">
        <f>IF(A653="","",IF(WORKDAY(A653,-1,config_Holiday_Calendar_US)&lt;config!$I$10,"",WORKDAY(A653,-1,config_Holiday_Calendar_US)))</f>
        <v/>
      </c>
      <c r="B654" s="8" t="str">
        <f t="shared" si="10"/>
        <v/>
      </c>
      <c r="C654" s="8" t="str">
        <f>IF(A654="","",_xll.BDH(config!$H$4,C$1,$A654,$A654))</f>
        <v/>
      </c>
      <c r="D654" s="8" t="str">
        <f>IF($A654="","",_xll.BDH(config!$H$4,D$1,$A654,$A654))</f>
        <v/>
      </c>
      <c r="E654" s="8" t="str">
        <f>IF($A654="","",IF(ISNUMBER(FIND("IMPVOL",E$1)),_xll.BDH(config!$G$4,E$1,WORKDAY($A654,-1,config_Holiday_Calendar_US),WORKDAY($A654,-1,config_Holiday_Calendar_US)),IF(ISNUMBER(_xll.BDH(config!$G$4,E$1,$A654,$A654)),_xll.BDH(config!$G$4,E$1,$A654,$A654),_xll.BDH(config!$G$5,E$1,$A654,$A654))))</f>
        <v/>
      </c>
      <c r="F654" s="8" t="str">
        <f>IF($A654="","",IF(ISNUMBER(FIND("IMPVOL",F$1)),_xll.BDH(config!$G$4,F$1,WORKDAY($A654,-1,config_Holiday_Calendar_US),WORKDAY($A654,-1,config_Holiday_Calendar_US)),IF(ISNUMBER(_xll.BDH(config!$G$4,F$1,$A654,$A654)),_xll.BDH(config!$G$4,F$1,$A654,$A654),_xll.BDH(config!$G$5,F$1,$A654,$A654))))</f>
        <v/>
      </c>
      <c r="G654" s="8" t="str">
        <f>IF($A654="","",IF(ISNUMBER(FIND("IMPVOL",G$1)),_xll.BDH(config!$G$4,G$1,WORKDAY($A654,-1,config_Holiday_Calendar_US),WORKDAY($A654,-1,config_Holiday_Calendar_US)),IF(ISNUMBER(_xll.BDH(config!$G$4,G$1,$A654,$A654)),_xll.BDH(config!$G$4,G$1,$A654,$A654),_xll.BDH(config!$G$5,G$1,$A654,$A654))))</f>
        <v/>
      </c>
      <c r="H654" s="8" t="str">
        <f>IF($A654="","",IF(ISNUMBER(FIND("IMPVOL",H$1)),_xll.BDH(config!$G$4,H$1,WORKDAY($A654,-1,config_Holiday_Calendar_US),WORKDAY($A654,-1,config_Holiday_Calendar_US)),IF(ISNUMBER(_xll.BDH(config!$G$4,H$1,$A654,$A654)),_xll.BDH(config!$G$4,H$1,$A654,$A654),_xll.BDH(config!$G$5,H$1,$A654,$A654))))</f>
        <v/>
      </c>
      <c r="I654" s="8" t="str">
        <f>IF($A654="","",IF(ISNUMBER(FIND("IMPVOL",I$1)),_xll.BDH(config!$G$4,I$1,WORKDAY($A654,-1,config_Holiday_Calendar_US),WORKDAY($A654,-1,config_Holiday_Calendar_US)),IF(ISNUMBER(_xll.BDH(config!$G$4,I$1,$A654,$A654)),_xll.BDH(config!$G$4,I$1,$A654,$A654),_xll.BDH(config!$G$5,I$1,$A654,$A654))))</f>
        <v/>
      </c>
      <c r="J654" s="8" t="str">
        <f>IF($A654="","",IF(ISNUMBER(FIND("IMPVOL",J$1)),_xll.BDH(config!$G$4,J$1,WORKDAY($A654,-1,config_Holiday_Calendar_US),WORKDAY($A654,-1,config_Holiday_Calendar_US)),IF(ISNUMBER(_xll.BDH(config!$G$4,J$1,$A654,$A654)),_xll.BDH(config!$G$4,J$1,$A654,$A654),_xll.BDH(config!$G$5,J$1,$A654,$A654))))</f>
        <v/>
      </c>
      <c r="K654" s="8" t="str">
        <f>IF($A654="","",IF(ISNUMBER(FIND("IMPVOL",K$1)),_xll.BDH(config!$G$4,K$1,WORKDAY($A654,-1,config_Holiday_Calendar_US),WORKDAY($A654,-1,config_Holiday_Calendar_US)),IF(ISNUMBER(_xll.BDH(config!$G$4,K$1,$A654,$A654)),_xll.BDH(config!$G$4,K$1,$A654,$A654),_xll.BDH(config!$G$5,K$1,$A654,$A654))))</f>
        <v/>
      </c>
      <c r="L654" s="8" t="str">
        <f>IF($A654="","",IF(ISNUMBER(FIND("IMPVOL",L$1)),_xll.BDH(config!$G$4,L$1,WORKDAY($A654,-1,config_Holiday_Calendar_US),WORKDAY($A654,-1,config_Holiday_Calendar_US)),IF(ISNUMBER(_xll.BDH(config!$G$4,L$1,$A654,$A654)),_xll.BDH(config!$G$4,L$1,$A654,$A654),_xll.BDH(config!$G$5,L$1,$A654,$A654))))</f>
        <v/>
      </c>
      <c r="M654" s="8" t="str">
        <f>IF($A654="","",IF(ISNUMBER(FIND("IMPVOL",M$1)),_xll.BDH(config!$G$4,M$1,WORKDAY($A654,-1,config_Holiday_Calendar_US),WORKDAY($A654,-1,config_Holiday_Calendar_US)),IF(ISNUMBER(_xll.BDH(config!$G$4,M$1,$A654,$A654)),_xll.BDH(config!$G$4,M$1,$A654,$A654),_xll.BDH(config!$G$5,M$1,$A654,$A654))))</f>
        <v/>
      </c>
      <c r="N654" s="8" t="str">
        <f>IF($A654="","",IF(ISNUMBER(FIND("IMPVOL",N$1)),_xll.BDH(config!$G$4,N$1,WORKDAY($A654,-1,config_Holiday_Calendar_US),WORKDAY($A654,-1,config_Holiday_Calendar_US)),IF(ISNUMBER(_xll.BDH(config!$G$4,N$1,$A654,$A654)),_xll.BDH(config!$G$4,N$1,$A654,$A654),_xll.BDH(config!$G$5,N$1,$A654,$A654))))</f>
        <v/>
      </c>
      <c r="O654" s="8" t="str">
        <f>IF($A654="","",IF(ISNUMBER(FIND("IMPVOL",O$1)),_xll.BDH(config!$G$4,O$1,WORKDAY($A654,-1,config_Holiday_Calendar_US),WORKDAY($A654,-1,config_Holiday_Calendar_US)),IF(ISNUMBER(_xll.BDH(config!$G$4,O$1,$A654,$A654)),_xll.BDH(config!$G$4,O$1,$A654,$A654),_xll.BDH(config!$G$5,O$1,$A654,$A654))))</f>
        <v/>
      </c>
      <c r="P654" s="8" t="str">
        <f>IF($A654="","",IF(ISNUMBER(FIND("IMPVOL",P$1)),_xll.BDH(config!$G$4,P$1,WORKDAY($A654,-1,config_Holiday_Calendar_US),WORKDAY($A654,-1,config_Holiday_Calendar_US)),IF(ISNUMBER(_xll.BDH(config!$G$4,P$1,$A654,$A654)),_xll.BDH(config!$G$4,P$1,$A654,$A654),_xll.BDH(config!$G$5,P$1,$A654,$A654))))</f>
        <v/>
      </c>
      <c r="Q654" s="8" t="str">
        <f>IF($A654="","",IF(ISNUMBER(FIND("IMPVOL",Q$1)),_xll.BDH(config!$G$4,Q$1,WORKDAY($A654,-1,config_Holiday_Calendar_US),WORKDAY($A654,-1,config_Holiday_Calendar_US)),IF(ISNUMBER(_xll.BDH(config!$G$4,Q$1,$A654,$A654)),_xll.BDH(config!$G$4,Q$1,$A654,$A654),_xll.BDH(config!$G$5,Q$1,$A654,$A654))))</f>
        <v/>
      </c>
      <c r="R654" s="8" t="str">
        <f>IF($A654="","",IF(ISNUMBER(FIND("IMPVOL",R$1)),_xll.BDH(config!$G$4,R$1,WORKDAY($A654,-1,config_Holiday_Calendar_US),WORKDAY($A654,-1,config_Holiday_Calendar_US)),IF(ISNUMBER(_xll.BDH(config!$G$4,R$1,$A654,$A654)),_xll.BDH(config!$G$4,R$1,$A654,$A654),_xll.BDH(config!$G$5,R$1,$A654,$A654))))</f>
        <v/>
      </c>
      <c r="S654" s="8" t="str">
        <f>IF($A654="","",IF(ISNUMBER(FIND("IMPVOL",S$1)),_xll.BDH(config!$G$4,S$1,WORKDAY($A654,-1,config_Holiday_Calendar_US),WORKDAY($A654,-1,config_Holiday_Calendar_US)),IF(ISNUMBER(_xll.BDH(config!$G$4,S$1,$A654,$A654)),_xll.BDH(config!$G$4,S$1,$A654,$A654),_xll.BDH(config!$G$5,S$1,$A654,$A654))))</f>
        <v/>
      </c>
      <c r="T654" s="8" t="str">
        <f>IF($A654="","",IF(ISNUMBER(FIND("IMPVOL",T$1)),_xll.BDH(config!$G$4,T$1,WORKDAY($A654,-1,config_Holiday_Calendar_US),WORKDAY($A654,-1,config_Holiday_Calendar_US)),IF(ISNUMBER(_xll.BDH(config!$G$4,T$1,$A654,$A654)),_xll.BDH(config!$G$4,T$1,$A654,$A654),_xll.BDH(config!$G$5,T$1,$A654,$A654))))</f>
        <v/>
      </c>
      <c r="U654" s="8" t="str">
        <f>IF($A654="","",IF(ISNUMBER(FIND("IMPVOL",U$1)),_xll.BDH(config!$G$4,U$1,WORKDAY($A654,-1,config_Holiday_Calendar_US),WORKDAY($A654,-1,config_Holiday_Calendar_US)),IF(ISNUMBER(_xll.BDH(config!$G$4,U$1,$A654,$A654)),_xll.BDH(config!$G$4,U$1,$A654,$A654),_xll.BDH(config!$G$5,U$1,$A654,$A654))))</f>
        <v/>
      </c>
      <c r="V654" s="8" t="str">
        <f>IF($A654="","",IF(ISNUMBER(FIND("IMPVOL",V$1)),_xll.BDH(config!$G$4,V$1,WORKDAY($A654,-1,config_Holiday_Calendar_US),WORKDAY($A654,-1,config_Holiday_Calendar_US)),IF(ISNUMBER(_xll.BDH(config!$G$4,V$1,$A654,$A654)),_xll.BDH(config!$G$4,V$1,$A654,$A654),_xll.BDH(config!$G$5,V$1,$A654,$A654))))</f>
        <v/>
      </c>
      <c r="W654" s="8" t="str">
        <f>IF($A654="","",IF(ISNUMBER(FIND("IMPVOL",W$1)),_xll.BDH(config!$G$4,W$1,WORKDAY($A654,-1,config_Holiday_Calendar_US),WORKDAY($A654,-1,config_Holiday_Calendar_US)),IF(ISNUMBER(_xll.BDH(config!$G$4,W$1,$A654,$A654)),_xll.BDH(config!$G$4,W$1,$A654,$A654),_xll.BDH(config!$G$5,W$1,$A654,$A654))))</f>
        <v/>
      </c>
    </row>
    <row r="655" spans="1:23" x14ac:dyDescent="0.2">
      <c r="A655" s="9" t="str">
        <f>IF(A654="","",IF(WORKDAY(A654,-1,config_Holiday_Calendar_US)&lt;config!$I$10,"",WORKDAY(A654,-1,config_Holiday_Calendar_US)))</f>
        <v/>
      </c>
      <c r="B655" s="8" t="str">
        <f t="shared" si="10"/>
        <v/>
      </c>
      <c r="C655" s="8" t="str">
        <f>IF(A655="","",_xll.BDH(config!$H$4,C$1,$A655,$A655))</f>
        <v/>
      </c>
      <c r="D655" s="8" t="str">
        <f>IF($A655="","",_xll.BDH(config!$H$4,D$1,$A655,$A655))</f>
        <v/>
      </c>
      <c r="E655" s="8" t="str">
        <f>IF($A655="","",IF(ISNUMBER(FIND("IMPVOL",E$1)),_xll.BDH(config!$G$4,E$1,WORKDAY($A655,-1,config_Holiday_Calendar_US),WORKDAY($A655,-1,config_Holiday_Calendar_US)),IF(ISNUMBER(_xll.BDH(config!$G$4,E$1,$A655,$A655)),_xll.BDH(config!$G$4,E$1,$A655,$A655),_xll.BDH(config!$G$5,E$1,$A655,$A655))))</f>
        <v/>
      </c>
      <c r="F655" s="8" t="str">
        <f>IF($A655="","",IF(ISNUMBER(FIND("IMPVOL",F$1)),_xll.BDH(config!$G$4,F$1,WORKDAY($A655,-1,config_Holiday_Calendar_US),WORKDAY($A655,-1,config_Holiday_Calendar_US)),IF(ISNUMBER(_xll.BDH(config!$G$4,F$1,$A655,$A655)),_xll.BDH(config!$G$4,F$1,$A655,$A655),_xll.BDH(config!$G$5,F$1,$A655,$A655))))</f>
        <v/>
      </c>
      <c r="G655" s="8" t="str">
        <f>IF($A655="","",IF(ISNUMBER(FIND("IMPVOL",G$1)),_xll.BDH(config!$G$4,G$1,WORKDAY($A655,-1,config_Holiday_Calendar_US),WORKDAY($A655,-1,config_Holiday_Calendar_US)),IF(ISNUMBER(_xll.BDH(config!$G$4,G$1,$A655,$A655)),_xll.BDH(config!$G$4,G$1,$A655,$A655),_xll.BDH(config!$G$5,G$1,$A655,$A655))))</f>
        <v/>
      </c>
      <c r="H655" s="8" t="str">
        <f>IF($A655="","",IF(ISNUMBER(FIND("IMPVOL",H$1)),_xll.BDH(config!$G$4,H$1,WORKDAY($A655,-1,config_Holiday_Calendar_US),WORKDAY($A655,-1,config_Holiday_Calendar_US)),IF(ISNUMBER(_xll.BDH(config!$G$4,H$1,$A655,$A655)),_xll.BDH(config!$G$4,H$1,$A655,$A655),_xll.BDH(config!$G$5,H$1,$A655,$A655))))</f>
        <v/>
      </c>
      <c r="I655" s="8" t="str">
        <f>IF($A655="","",IF(ISNUMBER(FIND("IMPVOL",I$1)),_xll.BDH(config!$G$4,I$1,WORKDAY($A655,-1,config_Holiday_Calendar_US),WORKDAY($A655,-1,config_Holiday_Calendar_US)),IF(ISNUMBER(_xll.BDH(config!$G$4,I$1,$A655,$A655)),_xll.BDH(config!$G$4,I$1,$A655,$A655),_xll.BDH(config!$G$5,I$1,$A655,$A655))))</f>
        <v/>
      </c>
      <c r="J655" s="8" t="str">
        <f>IF($A655="","",IF(ISNUMBER(FIND("IMPVOL",J$1)),_xll.BDH(config!$G$4,J$1,WORKDAY($A655,-1,config_Holiday_Calendar_US),WORKDAY($A655,-1,config_Holiday_Calendar_US)),IF(ISNUMBER(_xll.BDH(config!$G$4,J$1,$A655,$A655)),_xll.BDH(config!$G$4,J$1,$A655,$A655),_xll.BDH(config!$G$5,J$1,$A655,$A655))))</f>
        <v/>
      </c>
      <c r="K655" s="8" t="str">
        <f>IF($A655="","",IF(ISNUMBER(FIND("IMPVOL",K$1)),_xll.BDH(config!$G$4,K$1,WORKDAY($A655,-1,config_Holiday_Calendar_US),WORKDAY($A655,-1,config_Holiday_Calendar_US)),IF(ISNUMBER(_xll.BDH(config!$G$4,K$1,$A655,$A655)),_xll.BDH(config!$G$4,K$1,$A655,$A655),_xll.BDH(config!$G$5,K$1,$A655,$A655))))</f>
        <v/>
      </c>
      <c r="L655" s="8" t="str">
        <f>IF($A655="","",IF(ISNUMBER(FIND("IMPVOL",L$1)),_xll.BDH(config!$G$4,L$1,WORKDAY($A655,-1,config_Holiday_Calendar_US),WORKDAY($A655,-1,config_Holiday_Calendar_US)),IF(ISNUMBER(_xll.BDH(config!$G$4,L$1,$A655,$A655)),_xll.BDH(config!$G$4,L$1,$A655,$A655),_xll.BDH(config!$G$5,L$1,$A655,$A655))))</f>
        <v/>
      </c>
      <c r="M655" s="8" t="str">
        <f>IF($A655="","",IF(ISNUMBER(FIND("IMPVOL",M$1)),_xll.BDH(config!$G$4,M$1,WORKDAY($A655,-1,config_Holiday_Calendar_US),WORKDAY($A655,-1,config_Holiday_Calendar_US)),IF(ISNUMBER(_xll.BDH(config!$G$4,M$1,$A655,$A655)),_xll.BDH(config!$G$4,M$1,$A655,$A655),_xll.BDH(config!$G$5,M$1,$A655,$A655))))</f>
        <v/>
      </c>
      <c r="N655" s="8" t="str">
        <f>IF($A655="","",IF(ISNUMBER(FIND("IMPVOL",N$1)),_xll.BDH(config!$G$4,N$1,WORKDAY($A655,-1,config_Holiday_Calendar_US),WORKDAY($A655,-1,config_Holiday_Calendar_US)),IF(ISNUMBER(_xll.BDH(config!$G$4,N$1,$A655,$A655)),_xll.BDH(config!$G$4,N$1,$A655,$A655),_xll.BDH(config!$G$5,N$1,$A655,$A655))))</f>
        <v/>
      </c>
      <c r="O655" s="8" t="str">
        <f>IF($A655="","",IF(ISNUMBER(FIND("IMPVOL",O$1)),_xll.BDH(config!$G$4,O$1,WORKDAY($A655,-1,config_Holiday_Calendar_US),WORKDAY($A655,-1,config_Holiday_Calendar_US)),IF(ISNUMBER(_xll.BDH(config!$G$4,O$1,$A655,$A655)),_xll.BDH(config!$G$4,O$1,$A655,$A655),_xll.BDH(config!$G$5,O$1,$A655,$A655))))</f>
        <v/>
      </c>
      <c r="P655" s="8" t="str">
        <f>IF($A655="","",IF(ISNUMBER(FIND("IMPVOL",P$1)),_xll.BDH(config!$G$4,P$1,WORKDAY($A655,-1,config_Holiday_Calendar_US),WORKDAY($A655,-1,config_Holiday_Calendar_US)),IF(ISNUMBER(_xll.BDH(config!$G$4,P$1,$A655,$A655)),_xll.BDH(config!$G$4,P$1,$A655,$A655),_xll.BDH(config!$G$5,P$1,$A655,$A655))))</f>
        <v/>
      </c>
      <c r="Q655" s="8" t="str">
        <f>IF($A655="","",IF(ISNUMBER(FIND("IMPVOL",Q$1)),_xll.BDH(config!$G$4,Q$1,WORKDAY($A655,-1,config_Holiday_Calendar_US),WORKDAY($A655,-1,config_Holiday_Calendar_US)),IF(ISNUMBER(_xll.BDH(config!$G$4,Q$1,$A655,$A655)),_xll.BDH(config!$G$4,Q$1,$A655,$A655),_xll.BDH(config!$G$5,Q$1,$A655,$A655))))</f>
        <v/>
      </c>
      <c r="R655" s="8" t="str">
        <f>IF($A655="","",IF(ISNUMBER(FIND("IMPVOL",R$1)),_xll.BDH(config!$G$4,R$1,WORKDAY($A655,-1,config_Holiday_Calendar_US),WORKDAY($A655,-1,config_Holiday_Calendar_US)),IF(ISNUMBER(_xll.BDH(config!$G$4,R$1,$A655,$A655)),_xll.BDH(config!$G$4,R$1,$A655,$A655),_xll.BDH(config!$G$5,R$1,$A655,$A655))))</f>
        <v/>
      </c>
      <c r="S655" s="8" t="str">
        <f>IF($A655="","",IF(ISNUMBER(FIND("IMPVOL",S$1)),_xll.BDH(config!$G$4,S$1,WORKDAY($A655,-1,config_Holiday_Calendar_US),WORKDAY($A655,-1,config_Holiday_Calendar_US)),IF(ISNUMBER(_xll.BDH(config!$G$4,S$1,$A655,$A655)),_xll.BDH(config!$G$4,S$1,$A655,$A655),_xll.BDH(config!$G$5,S$1,$A655,$A655))))</f>
        <v/>
      </c>
      <c r="T655" s="8" t="str">
        <f>IF($A655="","",IF(ISNUMBER(FIND("IMPVOL",T$1)),_xll.BDH(config!$G$4,T$1,WORKDAY($A655,-1,config_Holiday_Calendar_US),WORKDAY($A655,-1,config_Holiday_Calendar_US)),IF(ISNUMBER(_xll.BDH(config!$G$4,T$1,$A655,$A655)),_xll.BDH(config!$G$4,T$1,$A655,$A655),_xll.BDH(config!$G$5,T$1,$A655,$A655))))</f>
        <v/>
      </c>
      <c r="U655" s="8" t="str">
        <f>IF($A655="","",IF(ISNUMBER(FIND("IMPVOL",U$1)),_xll.BDH(config!$G$4,U$1,WORKDAY($A655,-1,config_Holiday_Calendar_US),WORKDAY($A655,-1,config_Holiday_Calendar_US)),IF(ISNUMBER(_xll.BDH(config!$G$4,U$1,$A655,$A655)),_xll.BDH(config!$G$4,U$1,$A655,$A655),_xll.BDH(config!$G$5,U$1,$A655,$A655))))</f>
        <v/>
      </c>
      <c r="V655" s="8" t="str">
        <f>IF($A655="","",IF(ISNUMBER(FIND("IMPVOL",V$1)),_xll.BDH(config!$G$4,V$1,WORKDAY($A655,-1,config_Holiday_Calendar_US),WORKDAY($A655,-1,config_Holiday_Calendar_US)),IF(ISNUMBER(_xll.BDH(config!$G$4,V$1,$A655,$A655)),_xll.BDH(config!$G$4,V$1,$A655,$A655),_xll.BDH(config!$G$5,V$1,$A655,$A655))))</f>
        <v/>
      </c>
      <c r="W655" s="8" t="str">
        <f>IF($A655="","",IF(ISNUMBER(FIND("IMPVOL",W$1)),_xll.BDH(config!$G$4,W$1,WORKDAY($A655,-1,config_Holiday_Calendar_US),WORKDAY($A655,-1,config_Holiday_Calendar_US)),IF(ISNUMBER(_xll.BDH(config!$G$4,W$1,$A655,$A655)),_xll.BDH(config!$G$4,W$1,$A655,$A655),_xll.BDH(config!$G$5,W$1,$A655,$A655))))</f>
        <v/>
      </c>
    </row>
    <row r="656" spans="1:23" x14ac:dyDescent="0.2">
      <c r="A656" s="9" t="str">
        <f>IF(A655="","",IF(WORKDAY(A655,-1,config_Holiday_Calendar_US)&lt;config!$I$10,"",WORKDAY(A655,-1,config_Holiday_Calendar_US)))</f>
        <v/>
      </c>
      <c r="B656" s="8" t="str">
        <f t="shared" si="10"/>
        <v/>
      </c>
      <c r="C656" s="8" t="str">
        <f>IF(A656="","",_xll.BDH(config!$H$4,C$1,$A656,$A656))</f>
        <v/>
      </c>
      <c r="D656" s="8" t="str">
        <f>IF($A656="","",_xll.BDH(config!$H$4,D$1,$A656,$A656))</f>
        <v/>
      </c>
      <c r="E656" s="8" t="str">
        <f>IF($A656="","",IF(ISNUMBER(FIND("IMPVOL",E$1)),_xll.BDH(config!$G$4,E$1,WORKDAY($A656,-1,config_Holiday_Calendar_US),WORKDAY($A656,-1,config_Holiday_Calendar_US)),IF(ISNUMBER(_xll.BDH(config!$G$4,E$1,$A656,$A656)),_xll.BDH(config!$G$4,E$1,$A656,$A656),_xll.BDH(config!$G$5,E$1,$A656,$A656))))</f>
        <v/>
      </c>
      <c r="F656" s="8" t="str">
        <f>IF($A656="","",IF(ISNUMBER(FIND("IMPVOL",F$1)),_xll.BDH(config!$G$4,F$1,WORKDAY($A656,-1,config_Holiday_Calendar_US),WORKDAY($A656,-1,config_Holiday_Calendar_US)),IF(ISNUMBER(_xll.BDH(config!$G$4,F$1,$A656,$A656)),_xll.BDH(config!$G$4,F$1,$A656,$A656),_xll.BDH(config!$G$5,F$1,$A656,$A656))))</f>
        <v/>
      </c>
      <c r="G656" s="8" t="str">
        <f>IF($A656="","",IF(ISNUMBER(FIND("IMPVOL",G$1)),_xll.BDH(config!$G$4,G$1,WORKDAY($A656,-1,config_Holiday_Calendar_US),WORKDAY($A656,-1,config_Holiday_Calendar_US)),IF(ISNUMBER(_xll.BDH(config!$G$4,G$1,$A656,$A656)),_xll.BDH(config!$G$4,G$1,$A656,$A656),_xll.BDH(config!$G$5,G$1,$A656,$A656))))</f>
        <v/>
      </c>
      <c r="H656" s="8" t="str">
        <f>IF($A656="","",IF(ISNUMBER(FIND("IMPVOL",H$1)),_xll.BDH(config!$G$4,H$1,WORKDAY($A656,-1,config_Holiday_Calendar_US),WORKDAY($A656,-1,config_Holiday_Calendar_US)),IF(ISNUMBER(_xll.BDH(config!$G$4,H$1,$A656,$A656)),_xll.BDH(config!$G$4,H$1,$A656,$A656),_xll.BDH(config!$G$5,H$1,$A656,$A656))))</f>
        <v/>
      </c>
      <c r="I656" s="8" t="str">
        <f>IF($A656="","",IF(ISNUMBER(FIND("IMPVOL",I$1)),_xll.BDH(config!$G$4,I$1,WORKDAY($A656,-1,config_Holiday_Calendar_US),WORKDAY($A656,-1,config_Holiday_Calendar_US)),IF(ISNUMBER(_xll.BDH(config!$G$4,I$1,$A656,$A656)),_xll.BDH(config!$G$4,I$1,$A656,$A656),_xll.BDH(config!$G$5,I$1,$A656,$A656))))</f>
        <v/>
      </c>
      <c r="J656" s="8" t="str">
        <f>IF($A656="","",IF(ISNUMBER(FIND("IMPVOL",J$1)),_xll.BDH(config!$G$4,J$1,WORKDAY($A656,-1,config_Holiday_Calendar_US),WORKDAY($A656,-1,config_Holiday_Calendar_US)),IF(ISNUMBER(_xll.BDH(config!$G$4,J$1,$A656,$A656)),_xll.BDH(config!$G$4,J$1,$A656,$A656),_xll.BDH(config!$G$5,J$1,$A656,$A656))))</f>
        <v/>
      </c>
      <c r="K656" s="8" t="str">
        <f>IF($A656="","",IF(ISNUMBER(FIND("IMPVOL",K$1)),_xll.BDH(config!$G$4,K$1,WORKDAY($A656,-1,config_Holiday_Calendar_US),WORKDAY($A656,-1,config_Holiday_Calendar_US)),IF(ISNUMBER(_xll.BDH(config!$G$4,K$1,$A656,$A656)),_xll.BDH(config!$G$4,K$1,$A656,$A656),_xll.BDH(config!$G$5,K$1,$A656,$A656))))</f>
        <v/>
      </c>
      <c r="L656" s="8" t="str">
        <f>IF($A656="","",IF(ISNUMBER(FIND("IMPVOL",L$1)),_xll.BDH(config!$G$4,L$1,WORKDAY($A656,-1,config_Holiday_Calendar_US),WORKDAY($A656,-1,config_Holiday_Calendar_US)),IF(ISNUMBER(_xll.BDH(config!$G$4,L$1,$A656,$A656)),_xll.BDH(config!$G$4,L$1,$A656,$A656),_xll.BDH(config!$G$5,L$1,$A656,$A656))))</f>
        <v/>
      </c>
      <c r="M656" s="8" t="str">
        <f>IF($A656="","",IF(ISNUMBER(FIND("IMPVOL",M$1)),_xll.BDH(config!$G$4,M$1,WORKDAY($A656,-1,config_Holiday_Calendar_US),WORKDAY($A656,-1,config_Holiday_Calendar_US)),IF(ISNUMBER(_xll.BDH(config!$G$4,M$1,$A656,$A656)),_xll.BDH(config!$G$4,M$1,$A656,$A656),_xll.BDH(config!$G$5,M$1,$A656,$A656))))</f>
        <v/>
      </c>
      <c r="N656" s="8" t="str">
        <f>IF($A656="","",IF(ISNUMBER(FIND("IMPVOL",N$1)),_xll.BDH(config!$G$4,N$1,WORKDAY($A656,-1,config_Holiday_Calendar_US),WORKDAY($A656,-1,config_Holiday_Calendar_US)),IF(ISNUMBER(_xll.BDH(config!$G$4,N$1,$A656,$A656)),_xll.BDH(config!$G$4,N$1,$A656,$A656),_xll.BDH(config!$G$5,N$1,$A656,$A656))))</f>
        <v/>
      </c>
      <c r="O656" s="8" t="str">
        <f>IF($A656="","",IF(ISNUMBER(FIND("IMPVOL",O$1)),_xll.BDH(config!$G$4,O$1,WORKDAY($A656,-1,config_Holiday_Calendar_US),WORKDAY($A656,-1,config_Holiday_Calendar_US)),IF(ISNUMBER(_xll.BDH(config!$G$4,O$1,$A656,$A656)),_xll.BDH(config!$G$4,O$1,$A656,$A656),_xll.BDH(config!$G$5,O$1,$A656,$A656))))</f>
        <v/>
      </c>
      <c r="P656" s="8" t="str">
        <f>IF($A656="","",IF(ISNUMBER(FIND("IMPVOL",P$1)),_xll.BDH(config!$G$4,P$1,WORKDAY($A656,-1,config_Holiday_Calendar_US),WORKDAY($A656,-1,config_Holiday_Calendar_US)),IF(ISNUMBER(_xll.BDH(config!$G$4,P$1,$A656,$A656)),_xll.BDH(config!$G$4,P$1,$A656,$A656),_xll.BDH(config!$G$5,P$1,$A656,$A656))))</f>
        <v/>
      </c>
      <c r="Q656" s="8" t="str">
        <f>IF($A656="","",IF(ISNUMBER(FIND("IMPVOL",Q$1)),_xll.BDH(config!$G$4,Q$1,WORKDAY($A656,-1,config_Holiday_Calendar_US),WORKDAY($A656,-1,config_Holiday_Calendar_US)),IF(ISNUMBER(_xll.BDH(config!$G$4,Q$1,$A656,$A656)),_xll.BDH(config!$G$4,Q$1,$A656,$A656),_xll.BDH(config!$G$5,Q$1,$A656,$A656))))</f>
        <v/>
      </c>
      <c r="R656" s="8" t="str">
        <f>IF($A656="","",IF(ISNUMBER(FIND("IMPVOL",R$1)),_xll.BDH(config!$G$4,R$1,WORKDAY($A656,-1,config_Holiday_Calendar_US),WORKDAY($A656,-1,config_Holiday_Calendar_US)),IF(ISNUMBER(_xll.BDH(config!$G$4,R$1,$A656,$A656)),_xll.BDH(config!$G$4,R$1,$A656,$A656),_xll.BDH(config!$G$5,R$1,$A656,$A656))))</f>
        <v/>
      </c>
      <c r="S656" s="8" t="str">
        <f>IF($A656="","",IF(ISNUMBER(FIND("IMPVOL",S$1)),_xll.BDH(config!$G$4,S$1,WORKDAY($A656,-1,config_Holiday_Calendar_US),WORKDAY($A656,-1,config_Holiday_Calendar_US)),IF(ISNUMBER(_xll.BDH(config!$G$4,S$1,$A656,$A656)),_xll.BDH(config!$G$4,S$1,$A656,$A656),_xll.BDH(config!$G$5,S$1,$A656,$A656))))</f>
        <v/>
      </c>
      <c r="T656" s="8" t="str">
        <f>IF($A656="","",IF(ISNUMBER(FIND("IMPVOL",T$1)),_xll.BDH(config!$G$4,T$1,WORKDAY($A656,-1,config_Holiday_Calendar_US),WORKDAY($A656,-1,config_Holiday_Calendar_US)),IF(ISNUMBER(_xll.BDH(config!$G$4,T$1,$A656,$A656)),_xll.BDH(config!$G$4,T$1,$A656,$A656),_xll.BDH(config!$G$5,T$1,$A656,$A656))))</f>
        <v/>
      </c>
      <c r="U656" s="8" t="str">
        <f>IF($A656="","",IF(ISNUMBER(FIND("IMPVOL",U$1)),_xll.BDH(config!$G$4,U$1,WORKDAY($A656,-1,config_Holiday_Calendar_US),WORKDAY($A656,-1,config_Holiday_Calendar_US)),IF(ISNUMBER(_xll.BDH(config!$G$4,U$1,$A656,$A656)),_xll.BDH(config!$G$4,U$1,$A656,$A656),_xll.BDH(config!$G$5,U$1,$A656,$A656))))</f>
        <v/>
      </c>
      <c r="V656" s="8" t="str">
        <f>IF($A656="","",IF(ISNUMBER(FIND("IMPVOL",V$1)),_xll.BDH(config!$G$4,V$1,WORKDAY($A656,-1,config_Holiday_Calendar_US),WORKDAY($A656,-1,config_Holiday_Calendar_US)),IF(ISNUMBER(_xll.BDH(config!$G$4,V$1,$A656,$A656)),_xll.BDH(config!$G$4,V$1,$A656,$A656),_xll.BDH(config!$G$5,V$1,$A656,$A656))))</f>
        <v/>
      </c>
      <c r="W656" s="8" t="str">
        <f>IF($A656="","",IF(ISNUMBER(FIND("IMPVOL",W$1)),_xll.BDH(config!$G$4,W$1,WORKDAY($A656,-1,config_Holiday_Calendar_US),WORKDAY($A656,-1,config_Holiday_Calendar_US)),IF(ISNUMBER(_xll.BDH(config!$G$4,W$1,$A656,$A656)),_xll.BDH(config!$G$4,W$1,$A656,$A656),_xll.BDH(config!$G$5,W$1,$A656,$A656))))</f>
        <v/>
      </c>
    </row>
    <row r="657" spans="1:23" x14ac:dyDescent="0.2">
      <c r="A657" s="9" t="str">
        <f>IF(A656="","",IF(WORKDAY(A656,-1,config_Holiday_Calendar_US)&lt;config!$I$10,"",WORKDAY(A656,-1,config_Holiday_Calendar_US)))</f>
        <v/>
      </c>
      <c r="B657" s="8" t="str">
        <f t="shared" si="10"/>
        <v/>
      </c>
      <c r="C657" s="8" t="str">
        <f>IF(A657="","",_xll.BDH(config!$H$4,C$1,$A657,$A657))</f>
        <v/>
      </c>
      <c r="D657" s="8" t="str">
        <f>IF($A657="","",_xll.BDH(config!$H$4,D$1,$A657,$A657))</f>
        <v/>
      </c>
      <c r="E657" s="8" t="str">
        <f>IF($A657="","",IF(ISNUMBER(FIND("IMPVOL",E$1)),_xll.BDH(config!$G$4,E$1,WORKDAY($A657,-1,config_Holiday_Calendar_US),WORKDAY($A657,-1,config_Holiday_Calendar_US)),IF(ISNUMBER(_xll.BDH(config!$G$4,E$1,$A657,$A657)),_xll.BDH(config!$G$4,E$1,$A657,$A657),_xll.BDH(config!$G$5,E$1,$A657,$A657))))</f>
        <v/>
      </c>
      <c r="F657" s="8" t="str">
        <f>IF($A657="","",IF(ISNUMBER(FIND("IMPVOL",F$1)),_xll.BDH(config!$G$4,F$1,WORKDAY($A657,-1,config_Holiday_Calendar_US),WORKDAY($A657,-1,config_Holiday_Calendar_US)),IF(ISNUMBER(_xll.BDH(config!$G$4,F$1,$A657,$A657)),_xll.BDH(config!$G$4,F$1,$A657,$A657),_xll.BDH(config!$G$5,F$1,$A657,$A657))))</f>
        <v/>
      </c>
      <c r="G657" s="8" t="str">
        <f>IF($A657="","",IF(ISNUMBER(FIND("IMPVOL",G$1)),_xll.BDH(config!$G$4,G$1,WORKDAY($A657,-1,config_Holiday_Calendar_US),WORKDAY($A657,-1,config_Holiday_Calendar_US)),IF(ISNUMBER(_xll.BDH(config!$G$4,G$1,$A657,$A657)),_xll.BDH(config!$G$4,G$1,$A657,$A657),_xll.BDH(config!$G$5,G$1,$A657,$A657))))</f>
        <v/>
      </c>
      <c r="H657" s="8" t="str">
        <f>IF($A657="","",IF(ISNUMBER(FIND("IMPVOL",H$1)),_xll.BDH(config!$G$4,H$1,WORKDAY($A657,-1,config_Holiday_Calendar_US),WORKDAY($A657,-1,config_Holiday_Calendar_US)),IF(ISNUMBER(_xll.BDH(config!$G$4,H$1,$A657,$A657)),_xll.BDH(config!$G$4,H$1,$A657,$A657),_xll.BDH(config!$G$5,H$1,$A657,$A657))))</f>
        <v/>
      </c>
      <c r="I657" s="8" t="str">
        <f>IF($A657="","",IF(ISNUMBER(FIND("IMPVOL",I$1)),_xll.BDH(config!$G$4,I$1,WORKDAY($A657,-1,config_Holiday_Calendar_US),WORKDAY($A657,-1,config_Holiday_Calendar_US)),IF(ISNUMBER(_xll.BDH(config!$G$4,I$1,$A657,$A657)),_xll.BDH(config!$G$4,I$1,$A657,$A657),_xll.BDH(config!$G$5,I$1,$A657,$A657))))</f>
        <v/>
      </c>
      <c r="J657" s="8" t="str">
        <f>IF($A657="","",IF(ISNUMBER(FIND("IMPVOL",J$1)),_xll.BDH(config!$G$4,J$1,WORKDAY($A657,-1,config_Holiday_Calendar_US),WORKDAY($A657,-1,config_Holiday_Calendar_US)),IF(ISNUMBER(_xll.BDH(config!$G$4,J$1,$A657,$A657)),_xll.BDH(config!$G$4,J$1,$A657,$A657),_xll.BDH(config!$G$5,J$1,$A657,$A657))))</f>
        <v/>
      </c>
      <c r="K657" s="8" t="str">
        <f>IF($A657="","",IF(ISNUMBER(FIND("IMPVOL",K$1)),_xll.BDH(config!$G$4,K$1,WORKDAY($A657,-1,config_Holiday_Calendar_US),WORKDAY($A657,-1,config_Holiday_Calendar_US)),IF(ISNUMBER(_xll.BDH(config!$G$4,K$1,$A657,$A657)),_xll.BDH(config!$G$4,K$1,$A657,$A657),_xll.BDH(config!$G$5,K$1,$A657,$A657))))</f>
        <v/>
      </c>
      <c r="L657" s="8" t="str">
        <f>IF($A657="","",IF(ISNUMBER(FIND("IMPVOL",L$1)),_xll.BDH(config!$G$4,L$1,WORKDAY($A657,-1,config_Holiday_Calendar_US),WORKDAY($A657,-1,config_Holiday_Calendar_US)),IF(ISNUMBER(_xll.BDH(config!$G$4,L$1,$A657,$A657)),_xll.BDH(config!$G$4,L$1,$A657,$A657),_xll.BDH(config!$G$5,L$1,$A657,$A657))))</f>
        <v/>
      </c>
      <c r="M657" s="8" t="str">
        <f>IF($A657="","",IF(ISNUMBER(FIND("IMPVOL",M$1)),_xll.BDH(config!$G$4,M$1,WORKDAY($A657,-1,config_Holiday_Calendar_US),WORKDAY($A657,-1,config_Holiday_Calendar_US)),IF(ISNUMBER(_xll.BDH(config!$G$4,M$1,$A657,$A657)),_xll.BDH(config!$G$4,M$1,$A657,$A657),_xll.BDH(config!$G$5,M$1,$A657,$A657))))</f>
        <v/>
      </c>
      <c r="N657" s="8" t="str">
        <f>IF($A657="","",IF(ISNUMBER(FIND("IMPVOL",N$1)),_xll.BDH(config!$G$4,N$1,WORKDAY($A657,-1,config_Holiday_Calendar_US),WORKDAY($A657,-1,config_Holiday_Calendar_US)),IF(ISNUMBER(_xll.BDH(config!$G$4,N$1,$A657,$A657)),_xll.BDH(config!$G$4,N$1,$A657,$A657),_xll.BDH(config!$G$5,N$1,$A657,$A657))))</f>
        <v/>
      </c>
      <c r="O657" s="8" t="str">
        <f>IF($A657="","",IF(ISNUMBER(FIND("IMPVOL",O$1)),_xll.BDH(config!$G$4,O$1,WORKDAY($A657,-1,config_Holiday_Calendar_US),WORKDAY($A657,-1,config_Holiday_Calendar_US)),IF(ISNUMBER(_xll.BDH(config!$G$4,O$1,$A657,$A657)),_xll.BDH(config!$G$4,O$1,$A657,$A657),_xll.BDH(config!$G$5,O$1,$A657,$A657))))</f>
        <v/>
      </c>
      <c r="P657" s="8" t="str">
        <f>IF($A657="","",IF(ISNUMBER(FIND("IMPVOL",P$1)),_xll.BDH(config!$G$4,P$1,WORKDAY($A657,-1,config_Holiday_Calendar_US),WORKDAY($A657,-1,config_Holiday_Calendar_US)),IF(ISNUMBER(_xll.BDH(config!$G$4,P$1,$A657,$A657)),_xll.BDH(config!$G$4,P$1,$A657,$A657),_xll.BDH(config!$G$5,P$1,$A657,$A657))))</f>
        <v/>
      </c>
      <c r="Q657" s="8" t="str">
        <f>IF($A657="","",IF(ISNUMBER(FIND("IMPVOL",Q$1)),_xll.BDH(config!$G$4,Q$1,WORKDAY($A657,-1,config_Holiday_Calendar_US),WORKDAY($A657,-1,config_Holiday_Calendar_US)),IF(ISNUMBER(_xll.BDH(config!$G$4,Q$1,$A657,$A657)),_xll.BDH(config!$G$4,Q$1,$A657,$A657),_xll.BDH(config!$G$5,Q$1,$A657,$A657))))</f>
        <v/>
      </c>
      <c r="R657" s="8" t="str">
        <f>IF($A657="","",IF(ISNUMBER(FIND("IMPVOL",R$1)),_xll.BDH(config!$G$4,R$1,WORKDAY($A657,-1,config_Holiday_Calendar_US),WORKDAY($A657,-1,config_Holiday_Calendar_US)),IF(ISNUMBER(_xll.BDH(config!$G$4,R$1,$A657,$A657)),_xll.BDH(config!$G$4,R$1,$A657,$A657),_xll.BDH(config!$G$5,R$1,$A657,$A657))))</f>
        <v/>
      </c>
      <c r="S657" s="8" t="str">
        <f>IF($A657="","",IF(ISNUMBER(FIND("IMPVOL",S$1)),_xll.BDH(config!$G$4,S$1,WORKDAY($A657,-1,config_Holiday_Calendar_US),WORKDAY($A657,-1,config_Holiday_Calendar_US)),IF(ISNUMBER(_xll.BDH(config!$G$4,S$1,$A657,$A657)),_xll.BDH(config!$G$4,S$1,$A657,$A657),_xll.BDH(config!$G$5,S$1,$A657,$A657))))</f>
        <v/>
      </c>
      <c r="T657" s="8" t="str">
        <f>IF($A657="","",IF(ISNUMBER(FIND("IMPVOL",T$1)),_xll.BDH(config!$G$4,T$1,WORKDAY($A657,-1,config_Holiday_Calendar_US),WORKDAY($A657,-1,config_Holiday_Calendar_US)),IF(ISNUMBER(_xll.BDH(config!$G$4,T$1,$A657,$A657)),_xll.BDH(config!$G$4,T$1,$A657,$A657),_xll.BDH(config!$G$5,T$1,$A657,$A657))))</f>
        <v/>
      </c>
      <c r="U657" s="8" t="str">
        <f>IF($A657="","",IF(ISNUMBER(FIND("IMPVOL",U$1)),_xll.BDH(config!$G$4,U$1,WORKDAY($A657,-1,config_Holiday_Calendar_US),WORKDAY($A657,-1,config_Holiday_Calendar_US)),IF(ISNUMBER(_xll.BDH(config!$G$4,U$1,$A657,$A657)),_xll.BDH(config!$G$4,U$1,$A657,$A657),_xll.BDH(config!$G$5,U$1,$A657,$A657))))</f>
        <v/>
      </c>
      <c r="V657" s="8" t="str">
        <f>IF($A657="","",IF(ISNUMBER(FIND("IMPVOL",V$1)),_xll.BDH(config!$G$4,V$1,WORKDAY($A657,-1,config_Holiday_Calendar_US),WORKDAY($A657,-1,config_Holiday_Calendar_US)),IF(ISNUMBER(_xll.BDH(config!$G$4,V$1,$A657,$A657)),_xll.BDH(config!$G$4,V$1,$A657,$A657),_xll.BDH(config!$G$5,V$1,$A657,$A657))))</f>
        <v/>
      </c>
      <c r="W657" s="8" t="str">
        <f>IF($A657="","",IF(ISNUMBER(FIND("IMPVOL",W$1)),_xll.BDH(config!$G$4,W$1,WORKDAY($A657,-1,config_Holiday_Calendar_US),WORKDAY($A657,-1,config_Holiday_Calendar_US)),IF(ISNUMBER(_xll.BDH(config!$G$4,W$1,$A657,$A657)),_xll.BDH(config!$G$4,W$1,$A657,$A657),_xll.BDH(config!$G$5,W$1,$A657,$A657))))</f>
        <v/>
      </c>
    </row>
    <row r="658" spans="1:23" x14ac:dyDescent="0.2">
      <c r="A658" s="9" t="str">
        <f>IF(A657="","",IF(WORKDAY(A657,-1,config_Holiday_Calendar_US)&lt;config!$I$10,"",WORKDAY(A657,-1,config_Holiday_Calendar_US)))</f>
        <v/>
      </c>
      <c r="B658" s="8" t="str">
        <f t="shared" si="10"/>
        <v/>
      </c>
      <c r="C658" s="8" t="str">
        <f>IF(A658="","",_xll.BDH(config!$H$4,C$1,$A658,$A658))</f>
        <v/>
      </c>
      <c r="D658" s="8" t="str">
        <f>IF($A658="","",_xll.BDH(config!$H$4,D$1,$A658,$A658))</f>
        <v/>
      </c>
      <c r="E658" s="8" t="str">
        <f>IF($A658="","",IF(ISNUMBER(FIND("IMPVOL",E$1)),_xll.BDH(config!$G$4,E$1,WORKDAY($A658,-1,config_Holiday_Calendar_US),WORKDAY($A658,-1,config_Holiday_Calendar_US)),IF(ISNUMBER(_xll.BDH(config!$G$4,E$1,$A658,$A658)),_xll.BDH(config!$G$4,E$1,$A658,$A658),_xll.BDH(config!$G$5,E$1,$A658,$A658))))</f>
        <v/>
      </c>
      <c r="F658" s="8" t="str">
        <f>IF($A658="","",IF(ISNUMBER(FIND("IMPVOL",F$1)),_xll.BDH(config!$G$4,F$1,WORKDAY($A658,-1,config_Holiday_Calendar_US),WORKDAY($A658,-1,config_Holiday_Calendar_US)),IF(ISNUMBER(_xll.BDH(config!$G$4,F$1,$A658,$A658)),_xll.BDH(config!$G$4,F$1,$A658,$A658),_xll.BDH(config!$G$5,F$1,$A658,$A658))))</f>
        <v/>
      </c>
      <c r="G658" s="8" t="str">
        <f>IF($A658="","",IF(ISNUMBER(FIND("IMPVOL",G$1)),_xll.BDH(config!$G$4,G$1,WORKDAY($A658,-1,config_Holiday_Calendar_US),WORKDAY($A658,-1,config_Holiday_Calendar_US)),IF(ISNUMBER(_xll.BDH(config!$G$4,G$1,$A658,$A658)),_xll.BDH(config!$G$4,G$1,$A658,$A658),_xll.BDH(config!$G$5,G$1,$A658,$A658))))</f>
        <v/>
      </c>
      <c r="H658" s="8" t="str">
        <f>IF($A658="","",IF(ISNUMBER(FIND("IMPVOL",H$1)),_xll.BDH(config!$G$4,H$1,WORKDAY($A658,-1,config_Holiday_Calendar_US),WORKDAY($A658,-1,config_Holiday_Calendar_US)),IF(ISNUMBER(_xll.BDH(config!$G$4,H$1,$A658,$A658)),_xll.BDH(config!$G$4,H$1,$A658,$A658),_xll.BDH(config!$G$5,H$1,$A658,$A658))))</f>
        <v/>
      </c>
      <c r="I658" s="8" t="str">
        <f>IF($A658="","",IF(ISNUMBER(FIND("IMPVOL",I$1)),_xll.BDH(config!$G$4,I$1,WORKDAY($A658,-1,config_Holiday_Calendar_US),WORKDAY($A658,-1,config_Holiday_Calendar_US)),IF(ISNUMBER(_xll.BDH(config!$G$4,I$1,$A658,$A658)),_xll.BDH(config!$G$4,I$1,$A658,$A658),_xll.BDH(config!$G$5,I$1,$A658,$A658))))</f>
        <v/>
      </c>
      <c r="J658" s="8" t="str">
        <f>IF($A658="","",IF(ISNUMBER(FIND("IMPVOL",J$1)),_xll.BDH(config!$G$4,J$1,WORKDAY($A658,-1,config_Holiday_Calendar_US),WORKDAY($A658,-1,config_Holiday_Calendar_US)),IF(ISNUMBER(_xll.BDH(config!$G$4,J$1,$A658,$A658)),_xll.BDH(config!$G$4,J$1,$A658,$A658),_xll.BDH(config!$G$5,J$1,$A658,$A658))))</f>
        <v/>
      </c>
      <c r="K658" s="8" t="str">
        <f>IF($A658="","",IF(ISNUMBER(FIND("IMPVOL",K$1)),_xll.BDH(config!$G$4,K$1,WORKDAY($A658,-1,config_Holiday_Calendar_US),WORKDAY($A658,-1,config_Holiday_Calendar_US)),IF(ISNUMBER(_xll.BDH(config!$G$4,K$1,$A658,$A658)),_xll.BDH(config!$G$4,K$1,$A658,$A658),_xll.BDH(config!$G$5,K$1,$A658,$A658))))</f>
        <v/>
      </c>
      <c r="L658" s="8" t="str">
        <f>IF($A658="","",IF(ISNUMBER(FIND("IMPVOL",L$1)),_xll.BDH(config!$G$4,L$1,WORKDAY($A658,-1,config_Holiday_Calendar_US),WORKDAY($A658,-1,config_Holiday_Calendar_US)),IF(ISNUMBER(_xll.BDH(config!$G$4,L$1,$A658,$A658)),_xll.BDH(config!$G$4,L$1,$A658,$A658),_xll.BDH(config!$G$5,L$1,$A658,$A658))))</f>
        <v/>
      </c>
      <c r="M658" s="8" t="str">
        <f>IF($A658="","",IF(ISNUMBER(FIND("IMPVOL",M$1)),_xll.BDH(config!$G$4,M$1,WORKDAY($A658,-1,config_Holiday_Calendar_US),WORKDAY($A658,-1,config_Holiday_Calendar_US)),IF(ISNUMBER(_xll.BDH(config!$G$4,M$1,$A658,$A658)),_xll.BDH(config!$G$4,M$1,$A658,$A658),_xll.BDH(config!$G$5,M$1,$A658,$A658))))</f>
        <v/>
      </c>
      <c r="N658" s="8" t="str">
        <f>IF($A658="","",IF(ISNUMBER(FIND("IMPVOL",N$1)),_xll.BDH(config!$G$4,N$1,WORKDAY($A658,-1,config_Holiday_Calendar_US),WORKDAY($A658,-1,config_Holiday_Calendar_US)),IF(ISNUMBER(_xll.BDH(config!$G$4,N$1,$A658,$A658)),_xll.BDH(config!$G$4,N$1,$A658,$A658),_xll.BDH(config!$G$5,N$1,$A658,$A658))))</f>
        <v/>
      </c>
      <c r="O658" s="8" t="str">
        <f>IF($A658="","",IF(ISNUMBER(FIND("IMPVOL",O$1)),_xll.BDH(config!$G$4,O$1,WORKDAY($A658,-1,config_Holiday_Calendar_US),WORKDAY($A658,-1,config_Holiday_Calendar_US)),IF(ISNUMBER(_xll.BDH(config!$G$4,O$1,$A658,$A658)),_xll.BDH(config!$G$4,O$1,$A658,$A658),_xll.BDH(config!$G$5,O$1,$A658,$A658))))</f>
        <v/>
      </c>
      <c r="P658" s="8" t="str">
        <f>IF($A658="","",IF(ISNUMBER(FIND("IMPVOL",P$1)),_xll.BDH(config!$G$4,P$1,WORKDAY($A658,-1,config_Holiday_Calendar_US),WORKDAY($A658,-1,config_Holiday_Calendar_US)),IF(ISNUMBER(_xll.BDH(config!$G$4,P$1,$A658,$A658)),_xll.BDH(config!$G$4,P$1,$A658,$A658),_xll.BDH(config!$G$5,P$1,$A658,$A658))))</f>
        <v/>
      </c>
      <c r="Q658" s="8" t="str">
        <f>IF($A658="","",IF(ISNUMBER(FIND("IMPVOL",Q$1)),_xll.BDH(config!$G$4,Q$1,WORKDAY($A658,-1,config_Holiday_Calendar_US),WORKDAY($A658,-1,config_Holiday_Calendar_US)),IF(ISNUMBER(_xll.BDH(config!$G$4,Q$1,$A658,$A658)),_xll.BDH(config!$G$4,Q$1,$A658,$A658),_xll.BDH(config!$G$5,Q$1,$A658,$A658))))</f>
        <v/>
      </c>
      <c r="R658" s="8" t="str">
        <f>IF($A658="","",IF(ISNUMBER(FIND("IMPVOL",R$1)),_xll.BDH(config!$G$4,R$1,WORKDAY($A658,-1,config_Holiday_Calendar_US),WORKDAY($A658,-1,config_Holiday_Calendar_US)),IF(ISNUMBER(_xll.BDH(config!$G$4,R$1,$A658,$A658)),_xll.BDH(config!$G$4,R$1,$A658,$A658),_xll.BDH(config!$G$5,R$1,$A658,$A658))))</f>
        <v/>
      </c>
      <c r="S658" s="8" t="str">
        <f>IF($A658="","",IF(ISNUMBER(FIND("IMPVOL",S$1)),_xll.BDH(config!$G$4,S$1,WORKDAY($A658,-1,config_Holiday_Calendar_US),WORKDAY($A658,-1,config_Holiday_Calendar_US)),IF(ISNUMBER(_xll.BDH(config!$G$4,S$1,$A658,$A658)),_xll.BDH(config!$G$4,S$1,$A658,$A658),_xll.BDH(config!$G$5,S$1,$A658,$A658))))</f>
        <v/>
      </c>
      <c r="T658" s="8" t="str">
        <f>IF($A658="","",IF(ISNUMBER(FIND("IMPVOL",T$1)),_xll.BDH(config!$G$4,T$1,WORKDAY($A658,-1,config_Holiday_Calendar_US),WORKDAY($A658,-1,config_Holiday_Calendar_US)),IF(ISNUMBER(_xll.BDH(config!$G$4,T$1,$A658,$A658)),_xll.BDH(config!$G$4,T$1,$A658,$A658),_xll.BDH(config!$G$5,T$1,$A658,$A658))))</f>
        <v/>
      </c>
      <c r="U658" s="8" t="str">
        <f>IF($A658="","",IF(ISNUMBER(FIND("IMPVOL",U$1)),_xll.BDH(config!$G$4,U$1,WORKDAY($A658,-1,config_Holiday_Calendar_US),WORKDAY($A658,-1,config_Holiday_Calendar_US)),IF(ISNUMBER(_xll.BDH(config!$G$4,U$1,$A658,$A658)),_xll.BDH(config!$G$4,U$1,$A658,$A658),_xll.BDH(config!$G$5,U$1,$A658,$A658))))</f>
        <v/>
      </c>
      <c r="V658" s="8" t="str">
        <f>IF($A658="","",IF(ISNUMBER(FIND("IMPVOL",V$1)),_xll.BDH(config!$G$4,V$1,WORKDAY($A658,-1,config_Holiday_Calendar_US),WORKDAY($A658,-1,config_Holiday_Calendar_US)),IF(ISNUMBER(_xll.BDH(config!$G$4,V$1,$A658,$A658)),_xll.BDH(config!$G$4,V$1,$A658,$A658),_xll.BDH(config!$G$5,V$1,$A658,$A658))))</f>
        <v/>
      </c>
      <c r="W658" s="8" t="str">
        <f>IF($A658="","",IF(ISNUMBER(FIND("IMPVOL",W$1)),_xll.BDH(config!$G$4,W$1,WORKDAY($A658,-1,config_Holiday_Calendar_US),WORKDAY($A658,-1,config_Holiday_Calendar_US)),IF(ISNUMBER(_xll.BDH(config!$G$4,W$1,$A658,$A658)),_xll.BDH(config!$G$4,W$1,$A658,$A658),_xll.BDH(config!$G$5,W$1,$A658,$A658))))</f>
        <v/>
      </c>
    </row>
    <row r="659" spans="1:23" x14ac:dyDescent="0.2">
      <c r="A659" s="9" t="str">
        <f>IF(A658="","",IF(WORKDAY(A658,-1,config_Holiday_Calendar_US)&lt;config!$I$10,"",WORKDAY(A658,-1,config_Holiday_Calendar_US)))</f>
        <v/>
      </c>
      <c r="B659" s="8" t="str">
        <f t="shared" si="10"/>
        <v/>
      </c>
      <c r="C659" s="8" t="str">
        <f>IF(A659="","",_xll.BDH(config!$H$4,C$1,$A659,$A659))</f>
        <v/>
      </c>
      <c r="D659" s="8" t="str">
        <f>IF($A659="","",_xll.BDH(config!$H$4,D$1,$A659,$A659))</f>
        <v/>
      </c>
      <c r="E659" s="8" t="str">
        <f>IF($A659="","",IF(ISNUMBER(FIND("IMPVOL",E$1)),_xll.BDH(config!$G$4,E$1,WORKDAY($A659,-1,config_Holiday_Calendar_US),WORKDAY($A659,-1,config_Holiday_Calendar_US)),IF(ISNUMBER(_xll.BDH(config!$G$4,E$1,$A659,$A659)),_xll.BDH(config!$G$4,E$1,$A659,$A659),_xll.BDH(config!$G$5,E$1,$A659,$A659))))</f>
        <v/>
      </c>
      <c r="F659" s="8" t="str">
        <f>IF($A659="","",IF(ISNUMBER(FIND("IMPVOL",F$1)),_xll.BDH(config!$G$4,F$1,WORKDAY($A659,-1,config_Holiday_Calendar_US),WORKDAY($A659,-1,config_Holiday_Calendar_US)),IF(ISNUMBER(_xll.BDH(config!$G$4,F$1,$A659,$A659)),_xll.BDH(config!$G$4,F$1,$A659,$A659),_xll.BDH(config!$G$5,F$1,$A659,$A659))))</f>
        <v/>
      </c>
      <c r="G659" s="8" t="str">
        <f>IF($A659="","",IF(ISNUMBER(FIND("IMPVOL",G$1)),_xll.BDH(config!$G$4,G$1,WORKDAY($A659,-1,config_Holiday_Calendar_US),WORKDAY($A659,-1,config_Holiday_Calendar_US)),IF(ISNUMBER(_xll.BDH(config!$G$4,G$1,$A659,$A659)),_xll.BDH(config!$G$4,G$1,$A659,$A659),_xll.BDH(config!$G$5,G$1,$A659,$A659))))</f>
        <v/>
      </c>
      <c r="H659" s="8" t="str">
        <f>IF($A659="","",IF(ISNUMBER(FIND("IMPVOL",H$1)),_xll.BDH(config!$G$4,H$1,WORKDAY($A659,-1,config_Holiday_Calendar_US),WORKDAY($A659,-1,config_Holiday_Calendar_US)),IF(ISNUMBER(_xll.BDH(config!$G$4,H$1,$A659,$A659)),_xll.BDH(config!$G$4,H$1,$A659,$A659),_xll.BDH(config!$G$5,H$1,$A659,$A659))))</f>
        <v/>
      </c>
      <c r="I659" s="8" t="str">
        <f>IF($A659="","",IF(ISNUMBER(FIND("IMPVOL",I$1)),_xll.BDH(config!$G$4,I$1,WORKDAY($A659,-1,config_Holiday_Calendar_US),WORKDAY($A659,-1,config_Holiday_Calendar_US)),IF(ISNUMBER(_xll.BDH(config!$G$4,I$1,$A659,$A659)),_xll.BDH(config!$G$4,I$1,$A659,$A659),_xll.BDH(config!$G$5,I$1,$A659,$A659))))</f>
        <v/>
      </c>
      <c r="J659" s="8" t="str">
        <f>IF($A659="","",IF(ISNUMBER(FIND("IMPVOL",J$1)),_xll.BDH(config!$G$4,J$1,WORKDAY($A659,-1,config_Holiday_Calendar_US),WORKDAY($A659,-1,config_Holiday_Calendar_US)),IF(ISNUMBER(_xll.BDH(config!$G$4,J$1,$A659,$A659)),_xll.BDH(config!$G$4,J$1,$A659,$A659),_xll.BDH(config!$G$5,J$1,$A659,$A659))))</f>
        <v/>
      </c>
      <c r="K659" s="8" t="str">
        <f>IF($A659="","",IF(ISNUMBER(FIND("IMPVOL",K$1)),_xll.BDH(config!$G$4,K$1,WORKDAY($A659,-1,config_Holiday_Calendar_US),WORKDAY($A659,-1,config_Holiday_Calendar_US)),IF(ISNUMBER(_xll.BDH(config!$G$4,K$1,$A659,$A659)),_xll.BDH(config!$G$4,K$1,$A659,$A659),_xll.BDH(config!$G$5,K$1,$A659,$A659))))</f>
        <v/>
      </c>
      <c r="L659" s="8" t="str">
        <f>IF($A659="","",IF(ISNUMBER(FIND("IMPVOL",L$1)),_xll.BDH(config!$G$4,L$1,WORKDAY($A659,-1,config_Holiday_Calendar_US),WORKDAY($A659,-1,config_Holiday_Calendar_US)),IF(ISNUMBER(_xll.BDH(config!$G$4,L$1,$A659,$A659)),_xll.BDH(config!$G$4,L$1,$A659,$A659),_xll.BDH(config!$G$5,L$1,$A659,$A659))))</f>
        <v/>
      </c>
      <c r="M659" s="8" t="str">
        <f>IF($A659="","",IF(ISNUMBER(FIND("IMPVOL",M$1)),_xll.BDH(config!$G$4,M$1,WORKDAY($A659,-1,config_Holiday_Calendar_US),WORKDAY($A659,-1,config_Holiday_Calendar_US)),IF(ISNUMBER(_xll.BDH(config!$G$4,M$1,$A659,$A659)),_xll.BDH(config!$G$4,M$1,$A659,$A659),_xll.BDH(config!$G$5,M$1,$A659,$A659))))</f>
        <v/>
      </c>
      <c r="N659" s="8" t="str">
        <f>IF($A659="","",IF(ISNUMBER(FIND("IMPVOL",N$1)),_xll.BDH(config!$G$4,N$1,WORKDAY($A659,-1,config_Holiday_Calendar_US),WORKDAY($A659,-1,config_Holiday_Calendar_US)),IF(ISNUMBER(_xll.BDH(config!$G$4,N$1,$A659,$A659)),_xll.BDH(config!$G$4,N$1,$A659,$A659),_xll.BDH(config!$G$5,N$1,$A659,$A659))))</f>
        <v/>
      </c>
      <c r="O659" s="8" t="str">
        <f>IF($A659="","",IF(ISNUMBER(FIND("IMPVOL",O$1)),_xll.BDH(config!$G$4,O$1,WORKDAY($A659,-1,config_Holiday_Calendar_US),WORKDAY($A659,-1,config_Holiday_Calendar_US)),IF(ISNUMBER(_xll.BDH(config!$G$4,O$1,$A659,$A659)),_xll.BDH(config!$G$4,O$1,$A659,$A659),_xll.BDH(config!$G$5,O$1,$A659,$A659))))</f>
        <v/>
      </c>
      <c r="P659" s="8" t="str">
        <f>IF($A659="","",IF(ISNUMBER(FIND("IMPVOL",P$1)),_xll.BDH(config!$G$4,P$1,WORKDAY($A659,-1,config_Holiday_Calendar_US),WORKDAY($A659,-1,config_Holiday_Calendar_US)),IF(ISNUMBER(_xll.BDH(config!$G$4,P$1,$A659,$A659)),_xll.BDH(config!$G$4,P$1,$A659,$A659),_xll.BDH(config!$G$5,P$1,$A659,$A659))))</f>
        <v/>
      </c>
      <c r="Q659" s="8" t="str">
        <f>IF($A659="","",IF(ISNUMBER(FIND("IMPVOL",Q$1)),_xll.BDH(config!$G$4,Q$1,WORKDAY($A659,-1,config_Holiday_Calendar_US),WORKDAY($A659,-1,config_Holiday_Calendar_US)),IF(ISNUMBER(_xll.BDH(config!$G$4,Q$1,$A659,$A659)),_xll.BDH(config!$G$4,Q$1,$A659,$A659),_xll.BDH(config!$G$5,Q$1,$A659,$A659))))</f>
        <v/>
      </c>
      <c r="R659" s="8" t="str">
        <f>IF($A659="","",IF(ISNUMBER(FIND("IMPVOL",R$1)),_xll.BDH(config!$G$4,R$1,WORKDAY($A659,-1,config_Holiday_Calendar_US),WORKDAY($A659,-1,config_Holiday_Calendar_US)),IF(ISNUMBER(_xll.BDH(config!$G$4,R$1,$A659,$A659)),_xll.BDH(config!$G$4,R$1,$A659,$A659),_xll.BDH(config!$G$5,R$1,$A659,$A659))))</f>
        <v/>
      </c>
      <c r="S659" s="8" t="str">
        <f>IF($A659="","",IF(ISNUMBER(FIND("IMPVOL",S$1)),_xll.BDH(config!$G$4,S$1,WORKDAY($A659,-1,config_Holiday_Calendar_US),WORKDAY($A659,-1,config_Holiday_Calendar_US)),IF(ISNUMBER(_xll.BDH(config!$G$4,S$1,$A659,$A659)),_xll.BDH(config!$G$4,S$1,$A659,$A659),_xll.BDH(config!$G$5,S$1,$A659,$A659))))</f>
        <v/>
      </c>
      <c r="T659" s="8" t="str">
        <f>IF($A659="","",IF(ISNUMBER(FIND("IMPVOL",T$1)),_xll.BDH(config!$G$4,T$1,WORKDAY($A659,-1,config_Holiday_Calendar_US),WORKDAY($A659,-1,config_Holiday_Calendar_US)),IF(ISNUMBER(_xll.BDH(config!$G$4,T$1,$A659,$A659)),_xll.BDH(config!$G$4,T$1,$A659,$A659),_xll.BDH(config!$G$5,T$1,$A659,$A659))))</f>
        <v/>
      </c>
      <c r="U659" s="8" t="str">
        <f>IF($A659="","",IF(ISNUMBER(FIND("IMPVOL",U$1)),_xll.BDH(config!$G$4,U$1,WORKDAY($A659,-1,config_Holiday_Calendar_US),WORKDAY($A659,-1,config_Holiday_Calendar_US)),IF(ISNUMBER(_xll.BDH(config!$G$4,U$1,$A659,$A659)),_xll.BDH(config!$G$4,U$1,$A659,$A659),_xll.BDH(config!$G$5,U$1,$A659,$A659))))</f>
        <v/>
      </c>
      <c r="V659" s="8" t="str">
        <f>IF($A659="","",IF(ISNUMBER(FIND("IMPVOL",V$1)),_xll.BDH(config!$G$4,V$1,WORKDAY($A659,-1,config_Holiday_Calendar_US),WORKDAY($A659,-1,config_Holiday_Calendar_US)),IF(ISNUMBER(_xll.BDH(config!$G$4,V$1,$A659,$A659)),_xll.BDH(config!$G$4,V$1,$A659,$A659),_xll.BDH(config!$G$5,V$1,$A659,$A659))))</f>
        <v/>
      </c>
      <c r="W659" s="8" t="str">
        <f>IF($A659="","",IF(ISNUMBER(FIND("IMPVOL",W$1)),_xll.BDH(config!$G$4,W$1,WORKDAY($A659,-1,config_Holiday_Calendar_US),WORKDAY($A659,-1,config_Holiday_Calendar_US)),IF(ISNUMBER(_xll.BDH(config!$G$4,W$1,$A659,$A659)),_xll.BDH(config!$G$4,W$1,$A659,$A659),_xll.BDH(config!$G$5,W$1,$A659,$A659))))</f>
        <v/>
      </c>
    </row>
    <row r="660" spans="1:23" x14ac:dyDescent="0.2">
      <c r="A660" s="9" t="str">
        <f>IF(A659="","",IF(WORKDAY(A659,-1,config_Holiday_Calendar_US)&lt;config!$I$10,"",WORKDAY(A659,-1,config_Holiday_Calendar_US)))</f>
        <v/>
      </c>
      <c r="B660" s="8" t="str">
        <f t="shared" si="10"/>
        <v/>
      </c>
      <c r="C660" s="8" t="str">
        <f>IF(A660="","",_xll.BDH(config!$H$4,C$1,$A660,$A660))</f>
        <v/>
      </c>
      <c r="D660" s="8" t="str">
        <f>IF($A660="","",_xll.BDH(config!$H$4,D$1,$A660,$A660))</f>
        <v/>
      </c>
      <c r="E660" s="8" t="str">
        <f>IF($A660="","",IF(ISNUMBER(FIND("IMPVOL",E$1)),_xll.BDH(config!$G$4,E$1,WORKDAY($A660,-1,config_Holiday_Calendar_US),WORKDAY($A660,-1,config_Holiday_Calendar_US)),IF(ISNUMBER(_xll.BDH(config!$G$4,E$1,$A660,$A660)),_xll.BDH(config!$G$4,E$1,$A660,$A660),_xll.BDH(config!$G$5,E$1,$A660,$A660))))</f>
        <v/>
      </c>
      <c r="F660" s="8" t="str">
        <f>IF($A660="","",IF(ISNUMBER(FIND("IMPVOL",F$1)),_xll.BDH(config!$G$4,F$1,WORKDAY($A660,-1,config_Holiday_Calendar_US),WORKDAY($A660,-1,config_Holiday_Calendar_US)),IF(ISNUMBER(_xll.BDH(config!$G$4,F$1,$A660,$A660)),_xll.BDH(config!$G$4,F$1,$A660,$A660),_xll.BDH(config!$G$5,F$1,$A660,$A660))))</f>
        <v/>
      </c>
      <c r="G660" s="8" t="str">
        <f>IF($A660="","",IF(ISNUMBER(FIND("IMPVOL",G$1)),_xll.BDH(config!$G$4,G$1,WORKDAY($A660,-1,config_Holiday_Calendar_US),WORKDAY($A660,-1,config_Holiday_Calendar_US)),IF(ISNUMBER(_xll.BDH(config!$G$4,G$1,$A660,$A660)),_xll.BDH(config!$G$4,G$1,$A660,$A660),_xll.BDH(config!$G$5,G$1,$A660,$A660))))</f>
        <v/>
      </c>
      <c r="H660" s="8" t="str">
        <f>IF($A660="","",IF(ISNUMBER(FIND("IMPVOL",H$1)),_xll.BDH(config!$G$4,H$1,WORKDAY($A660,-1,config_Holiday_Calendar_US),WORKDAY($A660,-1,config_Holiday_Calendar_US)),IF(ISNUMBER(_xll.BDH(config!$G$4,H$1,$A660,$A660)),_xll.BDH(config!$G$4,H$1,$A660,$A660),_xll.BDH(config!$G$5,H$1,$A660,$A660))))</f>
        <v/>
      </c>
      <c r="I660" s="8" t="str">
        <f>IF($A660="","",IF(ISNUMBER(FIND("IMPVOL",I$1)),_xll.BDH(config!$G$4,I$1,WORKDAY($A660,-1,config_Holiday_Calendar_US),WORKDAY($A660,-1,config_Holiday_Calendar_US)),IF(ISNUMBER(_xll.BDH(config!$G$4,I$1,$A660,$A660)),_xll.BDH(config!$G$4,I$1,$A660,$A660),_xll.BDH(config!$G$5,I$1,$A660,$A660))))</f>
        <v/>
      </c>
      <c r="J660" s="8" t="str">
        <f>IF($A660="","",IF(ISNUMBER(FIND("IMPVOL",J$1)),_xll.BDH(config!$G$4,J$1,WORKDAY($A660,-1,config_Holiday_Calendar_US),WORKDAY($A660,-1,config_Holiday_Calendar_US)),IF(ISNUMBER(_xll.BDH(config!$G$4,J$1,$A660,$A660)),_xll.BDH(config!$G$4,J$1,$A660,$A660),_xll.BDH(config!$G$5,J$1,$A660,$A660))))</f>
        <v/>
      </c>
      <c r="K660" s="8" t="str">
        <f>IF($A660="","",IF(ISNUMBER(FIND("IMPVOL",K$1)),_xll.BDH(config!$G$4,K$1,WORKDAY($A660,-1,config_Holiday_Calendar_US),WORKDAY($A660,-1,config_Holiday_Calendar_US)),IF(ISNUMBER(_xll.BDH(config!$G$4,K$1,$A660,$A660)),_xll.BDH(config!$G$4,K$1,$A660,$A660),_xll.BDH(config!$G$5,K$1,$A660,$A660))))</f>
        <v/>
      </c>
      <c r="L660" s="8" t="str">
        <f>IF($A660="","",IF(ISNUMBER(FIND("IMPVOL",L$1)),_xll.BDH(config!$G$4,L$1,WORKDAY($A660,-1,config_Holiday_Calendar_US),WORKDAY($A660,-1,config_Holiday_Calendar_US)),IF(ISNUMBER(_xll.BDH(config!$G$4,L$1,$A660,$A660)),_xll.BDH(config!$G$4,L$1,$A660,$A660),_xll.BDH(config!$G$5,L$1,$A660,$A660))))</f>
        <v/>
      </c>
      <c r="M660" s="8" t="str">
        <f>IF($A660="","",IF(ISNUMBER(FIND("IMPVOL",M$1)),_xll.BDH(config!$G$4,M$1,WORKDAY($A660,-1,config_Holiday_Calendar_US),WORKDAY($A660,-1,config_Holiday_Calendar_US)),IF(ISNUMBER(_xll.BDH(config!$G$4,M$1,$A660,$A660)),_xll.BDH(config!$G$4,M$1,$A660,$A660),_xll.BDH(config!$G$5,M$1,$A660,$A660))))</f>
        <v/>
      </c>
      <c r="N660" s="8" t="str">
        <f>IF($A660="","",IF(ISNUMBER(FIND("IMPVOL",N$1)),_xll.BDH(config!$G$4,N$1,WORKDAY($A660,-1,config_Holiday_Calendar_US),WORKDAY($A660,-1,config_Holiday_Calendar_US)),IF(ISNUMBER(_xll.BDH(config!$G$4,N$1,$A660,$A660)),_xll.BDH(config!$G$4,N$1,$A660,$A660),_xll.BDH(config!$G$5,N$1,$A660,$A660))))</f>
        <v/>
      </c>
      <c r="O660" s="8" t="str">
        <f>IF($A660="","",IF(ISNUMBER(FIND("IMPVOL",O$1)),_xll.BDH(config!$G$4,O$1,WORKDAY($A660,-1,config_Holiday_Calendar_US),WORKDAY($A660,-1,config_Holiday_Calendar_US)),IF(ISNUMBER(_xll.BDH(config!$G$4,O$1,$A660,$A660)),_xll.BDH(config!$G$4,O$1,$A660,$A660),_xll.BDH(config!$G$5,O$1,$A660,$A660))))</f>
        <v/>
      </c>
      <c r="P660" s="8" t="str">
        <f>IF($A660="","",IF(ISNUMBER(FIND("IMPVOL",P$1)),_xll.BDH(config!$G$4,P$1,WORKDAY($A660,-1,config_Holiday_Calendar_US),WORKDAY($A660,-1,config_Holiday_Calendar_US)),IF(ISNUMBER(_xll.BDH(config!$G$4,P$1,$A660,$A660)),_xll.BDH(config!$G$4,P$1,$A660,$A660),_xll.BDH(config!$G$5,P$1,$A660,$A660))))</f>
        <v/>
      </c>
      <c r="Q660" s="8" t="str">
        <f>IF($A660="","",IF(ISNUMBER(FIND("IMPVOL",Q$1)),_xll.BDH(config!$G$4,Q$1,WORKDAY($A660,-1,config_Holiday_Calendar_US),WORKDAY($A660,-1,config_Holiday_Calendar_US)),IF(ISNUMBER(_xll.BDH(config!$G$4,Q$1,$A660,$A660)),_xll.BDH(config!$G$4,Q$1,$A660,$A660),_xll.BDH(config!$G$5,Q$1,$A660,$A660))))</f>
        <v/>
      </c>
      <c r="R660" s="8" t="str">
        <f>IF($A660="","",IF(ISNUMBER(FIND("IMPVOL",R$1)),_xll.BDH(config!$G$4,R$1,WORKDAY($A660,-1,config_Holiday_Calendar_US),WORKDAY($A660,-1,config_Holiday_Calendar_US)),IF(ISNUMBER(_xll.BDH(config!$G$4,R$1,$A660,$A660)),_xll.BDH(config!$G$4,R$1,$A660,$A660),_xll.BDH(config!$G$5,R$1,$A660,$A660))))</f>
        <v/>
      </c>
      <c r="S660" s="8" t="str">
        <f>IF($A660="","",IF(ISNUMBER(FIND("IMPVOL",S$1)),_xll.BDH(config!$G$4,S$1,WORKDAY($A660,-1,config_Holiday_Calendar_US),WORKDAY($A660,-1,config_Holiday_Calendar_US)),IF(ISNUMBER(_xll.BDH(config!$G$4,S$1,$A660,$A660)),_xll.BDH(config!$G$4,S$1,$A660,$A660),_xll.BDH(config!$G$5,S$1,$A660,$A660))))</f>
        <v/>
      </c>
      <c r="T660" s="8" t="str">
        <f>IF($A660="","",IF(ISNUMBER(FIND("IMPVOL",T$1)),_xll.BDH(config!$G$4,T$1,WORKDAY($A660,-1,config_Holiday_Calendar_US),WORKDAY($A660,-1,config_Holiday_Calendar_US)),IF(ISNUMBER(_xll.BDH(config!$G$4,T$1,$A660,$A660)),_xll.BDH(config!$G$4,T$1,$A660,$A660),_xll.BDH(config!$G$5,T$1,$A660,$A660))))</f>
        <v/>
      </c>
      <c r="U660" s="8" t="str">
        <f>IF($A660="","",IF(ISNUMBER(FIND("IMPVOL",U$1)),_xll.BDH(config!$G$4,U$1,WORKDAY($A660,-1,config_Holiday_Calendar_US),WORKDAY($A660,-1,config_Holiday_Calendar_US)),IF(ISNUMBER(_xll.BDH(config!$G$4,U$1,$A660,$A660)),_xll.BDH(config!$G$4,U$1,$A660,$A660),_xll.BDH(config!$G$5,U$1,$A660,$A660))))</f>
        <v/>
      </c>
      <c r="V660" s="8" t="str">
        <f>IF($A660="","",IF(ISNUMBER(FIND("IMPVOL",V$1)),_xll.BDH(config!$G$4,V$1,WORKDAY($A660,-1,config_Holiday_Calendar_US),WORKDAY($A660,-1,config_Holiday_Calendar_US)),IF(ISNUMBER(_xll.BDH(config!$G$4,V$1,$A660,$A660)),_xll.BDH(config!$G$4,V$1,$A660,$A660),_xll.BDH(config!$G$5,V$1,$A660,$A660))))</f>
        <v/>
      </c>
      <c r="W660" s="8" t="str">
        <f>IF($A660="","",IF(ISNUMBER(FIND("IMPVOL",W$1)),_xll.BDH(config!$G$4,W$1,WORKDAY($A660,-1,config_Holiday_Calendar_US),WORKDAY($A660,-1,config_Holiday_Calendar_US)),IF(ISNUMBER(_xll.BDH(config!$G$4,W$1,$A660,$A660)),_xll.BDH(config!$G$4,W$1,$A660,$A660),_xll.BDH(config!$G$5,W$1,$A660,$A660))))</f>
        <v/>
      </c>
    </row>
    <row r="661" spans="1:23" x14ac:dyDescent="0.2">
      <c r="A661" s="9" t="str">
        <f>IF(A660="","",IF(WORKDAY(A660,-1,config_Holiday_Calendar_US)&lt;config!$I$10,"",WORKDAY(A660,-1,config_Holiday_Calendar_US)))</f>
        <v/>
      </c>
      <c r="B661" s="8" t="str">
        <f t="shared" si="10"/>
        <v/>
      </c>
      <c r="C661" s="8" t="str">
        <f>IF(A661="","",_xll.BDH(config!$H$4,C$1,$A661,$A661))</f>
        <v/>
      </c>
      <c r="D661" s="8" t="str">
        <f>IF($A661="","",_xll.BDH(config!$H$4,D$1,$A661,$A661))</f>
        <v/>
      </c>
      <c r="E661" s="8" t="str">
        <f>IF($A661="","",IF(ISNUMBER(FIND("IMPVOL",E$1)),_xll.BDH(config!$G$4,E$1,WORKDAY($A661,-1,config_Holiday_Calendar_US),WORKDAY($A661,-1,config_Holiday_Calendar_US)),IF(ISNUMBER(_xll.BDH(config!$G$4,E$1,$A661,$A661)),_xll.BDH(config!$G$4,E$1,$A661,$A661),_xll.BDH(config!$G$5,E$1,$A661,$A661))))</f>
        <v/>
      </c>
      <c r="F661" s="8" t="str">
        <f>IF($A661="","",IF(ISNUMBER(FIND("IMPVOL",F$1)),_xll.BDH(config!$G$4,F$1,WORKDAY($A661,-1,config_Holiday_Calendar_US),WORKDAY($A661,-1,config_Holiday_Calendar_US)),IF(ISNUMBER(_xll.BDH(config!$G$4,F$1,$A661,$A661)),_xll.BDH(config!$G$4,F$1,$A661,$A661),_xll.BDH(config!$G$5,F$1,$A661,$A661))))</f>
        <v/>
      </c>
      <c r="G661" s="8" t="str">
        <f>IF($A661="","",IF(ISNUMBER(FIND("IMPVOL",G$1)),_xll.BDH(config!$G$4,G$1,WORKDAY($A661,-1,config_Holiday_Calendar_US),WORKDAY($A661,-1,config_Holiday_Calendar_US)),IF(ISNUMBER(_xll.BDH(config!$G$4,G$1,$A661,$A661)),_xll.BDH(config!$G$4,G$1,$A661,$A661),_xll.BDH(config!$G$5,G$1,$A661,$A661))))</f>
        <v/>
      </c>
      <c r="H661" s="8" t="str">
        <f>IF($A661="","",IF(ISNUMBER(FIND("IMPVOL",H$1)),_xll.BDH(config!$G$4,H$1,WORKDAY($A661,-1,config_Holiday_Calendar_US),WORKDAY($A661,-1,config_Holiday_Calendar_US)),IF(ISNUMBER(_xll.BDH(config!$G$4,H$1,$A661,$A661)),_xll.BDH(config!$G$4,H$1,$A661,$A661),_xll.BDH(config!$G$5,H$1,$A661,$A661))))</f>
        <v/>
      </c>
      <c r="I661" s="8" t="str">
        <f>IF($A661="","",IF(ISNUMBER(FIND("IMPVOL",I$1)),_xll.BDH(config!$G$4,I$1,WORKDAY($A661,-1,config_Holiday_Calendar_US),WORKDAY($A661,-1,config_Holiday_Calendar_US)),IF(ISNUMBER(_xll.BDH(config!$G$4,I$1,$A661,$A661)),_xll.BDH(config!$G$4,I$1,$A661,$A661),_xll.BDH(config!$G$5,I$1,$A661,$A661))))</f>
        <v/>
      </c>
      <c r="J661" s="8" t="str">
        <f>IF($A661="","",IF(ISNUMBER(FIND("IMPVOL",J$1)),_xll.BDH(config!$G$4,J$1,WORKDAY($A661,-1,config_Holiday_Calendar_US),WORKDAY($A661,-1,config_Holiday_Calendar_US)),IF(ISNUMBER(_xll.BDH(config!$G$4,J$1,$A661,$A661)),_xll.BDH(config!$G$4,J$1,$A661,$A661),_xll.BDH(config!$G$5,J$1,$A661,$A661))))</f>
        <v/>
      </c>
      <c r="K661" s="8" t="str">
        <f>IF($A661="","",IF(ISNUMBER(FIND("IMPVOL",K$1)),_xll.BDH(config!$G$4,K$1,WORKDAY($A661,-1,config_Holiday_Calendar_US),WORKDAY($A661,-1,config_Holiday_Calendar_US)),IF(ISNUMBER(_xll.BDH(config!$G$4,K$1,$A661,$A661)),_xll.BDH(config!$G$4,K$1,$A661,$A661),_xll.BDH(config!$G$5,K$1,$A661,$A661))))</f>
        <v/>
      </c>
      <c r="L661" s="8" t="str">
        <f>IF($A661="","",IF(ISNUMBER(FIND("IMPVOL",L$1)),_xll.BDH(config!$G$4,L$1,WORKDAY($A661,-1,config_Holiday_Calendar_US),WORKDAY($A661,-1,config_Holiday_Calendar_US)),IF(ISNUMBER(_xll.BDH(config!$G$4,L$1,$A661,$A661)),_xll.BDH(config!$G$4,L$1,$A661,$A661),_xll.BDH(config!$G$5,L$1,$A661,$A661))))</f>
        <v/>
      </c>
      <c r="M661" s="8" t="str">
        <f>IF($A661="","",IF(ISNUMBER(FIND("IMPVOL",M$1)),_xll.BDH(config!$G$4,M$1,WORKDAY($A661,-1,config_Holiday_Calendar_US),WORKDAY($A661,-1,config_Holiday_Calendar_US)),IF(ISNUMBER(_xll.BDH(config!$G$4,M$1,$A661,$A661)),_xll.BDH(config!$G$4,M$1,$A661,$A661),_xll.BDH(config!$G$5,M$1,$A661,$A661))))</f>
        <v/>
      </c>
      <c r="N661" s="8" t="str">
        <f>IF($A661="","",IF(ISNUMBER(FIND("IMPVOL",N$1)),_xll.BDH(config!$G$4,N$1,WORKDAY($A661,-1,config_Holiday_Calendar_US),WORKDAY($A661,-1,config_Holiday_Calendar_US)),IF(ISNUMBER(_xll.BDH(config!$G$4,N$1,$A661,$A661)),_xll.BDH(config!$G$4,N$1,$A661,$A661),_xll.BDH(config!$G$5,N$1,$A661,$A661))))</f>
        <v/>
      </c>
      <c r="O661" s="8" t="str">
        <f>IF($A661="","",IF(ISNUMBER(FIND("IMPVOL",O$1)),_xll.BDH(config!$G$4,O$1,WORKDAY($A661,-1,config_Holiday_Calendar_US),WORKDAY($A661,-1,config_Holiday_Calendar_US)),IF(ISNUMBER(_xll.BDH(config!$G$4,O$1,$A661,$A661)),_xll.BDH(config!$G$4,O$1,$A661,$A661),_xll.BDH(config!$G$5,O$1,$A661,$A661))))</f>
        <v/>
      </c>
      <c r="P661" s="8" t="str">
        <f>IF($A661="","",IF(ISNUMBER(FIND("IMPVOL",P$1)),_xll.BDH(config!$G$4,P$1,WORKDAY($A661,-1,config_Holiday_Calendar_US),WORKDAY($A661,-1,config_Holiday_Calendar_US)),IF(ISNUMBER(_xll.BDH(config!$G$4,P$1,$A661,$A661)),_xll.BDH(config!$G$4,P$1,$A661,$A661),_xll.BDH(config!$G$5,P$1,$A661,$A661))))</f>
        <v/>
      </c>
      <c r="Q661" s="8" t="str">
        <f>IF($A661="","",IF(ISNUMBER(FIND("IMPVOL",Q$1)),_xll.BDH(config!$G$4,Q$1,WORKDAY($A661,-1,config_Holiday_Calendar_US),WORKDAY($A661,-1,config_Holiday_Calendar_US)),IF(ISNUMBER(_xll.BDH(config!$G$4,Q$1,$A661,$A661)),_xll.BDH(config!$G$4,Q$1,$A661,$A661),_xll.BDH(config!$G$5,Q$1,$A661,$A661))))</f>
        <v/>
      </c>
      <c r="R661" s="8" t="str">
        <f>IF($A661="","",IF(ISNUMBER(FIND("IMPVOL",R$1)),_xll.BDH(config!$G$4,R$1,WORKDAY($A661,-1,config_Holiday_Calendar_US),WORKDAY($A661,-1,config_Holiday_Calendar_US)),IF(ISNUMBER(_xll.BDH(config!$G$4,R$1,$A661,$A661)),_xll.BDH(config!$G$4,R$1,$A661,$A661),_xll.BDH(config!$G$5,R$1,$A661,$A661))))</f>
        <v/>
      </c>
      <c r="S661" s="8" t="str">
        <f>IF($A661="","",IF(ISNUMBER(FIND("IMPVOL",S$1)),_xll.BDH(config!$G$4,S$1,WORKDAY($A661,-1,config_Holiday_Calendar_US),WORKDAY($A661,-1,config_Holiday_Calendar_US)),IF(ISNUMBER(_xll.BDH(config!$G$4,S$1,$A661,$A661)),_xll.BDH(config!$G$4,S$1,$A661,$A661),_xll.BDH(config!$G$5,S$1,$A661,$A661))))</f>
        <v/>
      </c>
      <c r="T661" s="8" t="str">
        <f>IF($A661="","",IF(ISNUMBER(FIND("IMPVOL",T$1)),_xll.BDH(config!$G$4,T$1,WORKDAY($A661,-1,config_Holiday_Calendar_US),WORKDAY($A661,-1,config_Holiday_Calendar_US)),IF(ISNUMBER(_xll.BDH(config!$G$4,T$1,$A661,$A661)),_xll.BDH(config!$G$4,T$1,$A661,$A661),_xll.BDH(config!$G$5,T$1,$A661,$A661))))</f>
        <v/>
      </c>
      <c r="U661" s="8" t="str">
        <f>IF($A661="","",IF(ISNUMBER(FIND("IMPVOL",U$1)),_xll.BDH(config!$G$4,U$1,WORKDAY($A661,-1,config_Holiday_Calendar_US),WORKDAY($A661,-1,config_Holiday_Calendar_US)),IF(ISNUMBER(_xll.BDH(config!$G$4,U$1,$A661,$A661)),_xll.BDH(config!$G$4,U$1,$A661,$A661),_xll.BDH(config!$G$5,U$1,$A661,$A661))))</f>
        <v/>
      </c>
      <c r="V661" s="8" t="str">
        <f>IF($A661="","",IF(ISNUMBER(FIND("IMPVOL",V$1)),_xll.BDH(config!$G$4,V$1,WORKDAY($A661,-1,config_Holiday_Calendar_US),WORKDAY($A661,-1,config_Holiday_Calendar_US)),IF(ISNUMBER(_xll.BDH(config!$G$4,V$1,$A661,$A661)),_xll.BDH(config!$G$4,V$1,$A661,$A661),_xll.BDH(config!$G$5,V$1,$A661,$A661))))</f>
        <v/>
      </c>
      <c r="W661" s="8" t="str">
        <f>IF($A661="","",IF(ISNUMBER(FIND("IMPVOL",W$1)),_xll.BDH(config!$G$4,W$1,WORKDAY($A661,-1,config_Holiday_Calendar_US),WORKDAY($A661,-1,config_Holiday_Calendar_US)),IF(ISNUMBER(_xll.BDH(config!$G$4,W$1,$A661,$A661)),_xll.BDH(config!$G$4,W$1,$A661,$A661),_xll.BDH(config!$G$5,W$1,$A661,$A661))))</f>
        <v/>
      </c>
    </row>
    <row r="662" spans="1:23" x14ac:dyDescent="0.2">
      <c r="A662" s="9" t="str">
        <f>IF(A661="","",IF(WORKDAY(A661,-1,config_Holiday_Calendar_US)&lt;config!$I$10,"",WORKDAY(A661,-1,config_Holiday_Calendar_US)))</f>
        <v/>
      </c>
      <c r="B662" s="8" t="str">
        <f t="shared" si="10"/>
        <v/>
      </c>
      <c r="C662" s="8" t="str">
        <f>IF(A662="","",_xll.BDH(config!$H$4,C$1,$A662,$A662))</f>
        <v/>
      </c>
      <c r="D662" s="8" t="str">
        <f>IF($A662="","",_xll.BDH(config!$H$4,D$1,$A662,$A662))</f>
        <v/>
      </c>
      <c r="E662" s="8" t="str">
        <f>IF($A662="","",IF(ISNUMBER(FIND("IMPVOL",E$1)),_xll.BDH(config!$G$4,E$1,WORKDAY($A662,-1,config_Holiday_Calendar_US),WORKDAY($A662,-1,config_Holiday_Calendar_US)),IF(ISNUMBER(_xll.BDH(config!$G$4,E$1,$A662,$A662)),_xll.BDH(config!$G$4,E$1,$A662,$A662),_xll.BDH(config!$G$5,E$1,$A662,$A662))))</f>
        <v/>
      </c>
      <c r="F662" s="8" t="str">
        <f>IF($A662="","",IF(ISNUMBER(FIND("IMPVOL",F$1)),_xll.BDH(config!$G$4,F$1,WORKDAY($A662,-1,config_Holiday_Calendar_US),WORKDAY($A662,-1,config_Holiday_Calendar_US)),IF(ISNUMBER(_xll.BDH(config!$G$4,F$1,$A662,$A662)),_xll.BDH(config!$G$4,F$1,$A662,$A662),_xll.BDH(config!$G$5,F$1,$A662,$A662))))</f>
        <v/>
      </c>
      <c r="G662" s="8" t="str">
        <f>IF($A662="","",IF(ISNUMBER(FIND("IMPVOL",G$1)),_xll.BDH(config!$G$4,G$1,WORKDAY($A662,-1,config_Holiday_Calendar_US),WORKDAY($A662,-1,config_Holiday_Calendar_US)),IF(ISNUMBER(_xll.BDH(config!$G$4,G$1,$A662,$A662)),_xll.BDH(config!$G$4,G$1,$A662,$A662),_xll.BDH(config!$G$5,G$1,$A662,$A662))))</f>
        <v/>
      </c>
      <c r="H662" s="8" t="str">
        <f>IF($A662="","",IF(ISNUMBER(FIND("IMPVOL",H$1)),_xll.BDH(config!$G$4,H$1,WORKDAY($A662,-1,config_Holiday_Calendar_US),WORKDAY($A662,-1,config_Holiday_Calendar_US)),IF(ISNUMBER(_xll.BDH(config!$G$4,H$1,$A662,$A662)),_xll.BDH(config!$G$4,H$1,$A662,$A662),_xll.BDH(config!$G$5,H$1,$A662,$A662))))</f>
        <v/>
      </c>
      <c r="I662" s="8" t="str">
        <f>IF($A662="","",IF(ISNUMBER(FIND("IMPVOL",I$1)),_xll.BDH(config!$G$4,I$1,WORKDAY($A662,-1,config_Holiday_Calendar_US),WORKDAY($A662,-1,config_Holiday_Calendar_US)),IF(ISNUMBER(_xll.BDH(config!$G$4,I$1,$A662,$A662)),_xll.BDH(config!$G$4,I$1,$A662,$A662),_xll.BDH(config!$G$5,I$1,$A662,$A662))))</f>
        <v/>
      </c>
      <c r="J662" s="8" t="str">
        <f>IF($A662="","",IF(ISNUMBER(FIND("IMPVOL",J$1)),_xll.BDH(config!$G$4,J$1,WORKDAY($A662,-1,config_Holiday_Calendar_US),WORKDAY($A662,-1,config_Holiday_Calendar_US)),IF(ISNUMBER(_xll.BDH(config!$G$4,J$1,$A662,$A662)),_xll.BDH(config!$G$4,J$1,$A662,$A662),_xll.BDH(config!$G$5,J$1,$A662,$A662))))</f>
        <v/>
      </c>
      <c r="K662" s="8" t="str">
        <f>IF($A662="","",IF(ISNUMBER(FIND("IMPVOL",K$1)),_xll.BDH(config!$G$4,K$1,WORKDAY($A662,-1,config_Holiday_Calendar_US),WORKDAY($A662,-1,config_Holiday_Calendar_US)),IF(ISNUMBER(_xll.BDH(config!$G$4,K$1,$A662,$A662)),_xll.BDH(config!$G$4,K$1,$A662,$A662),_xll.BDH(config!$G$5,K$1,$A662,$A662))))</f>
        <v/>
      </c>
      <c r="L662" s="8" t="str">
        <f>IF($A662="","",IF(ISNUMBER(FIND("IMPVOL",L$1)),_xll.BDH(config!$G$4,L$1,WORKDAY($A662,-1,config_Holiday_Calendar_US),WORKDAY($A662,-1,config_Holiday_Calendar_US)),IF(ISNUMBER(_xll.BDH(config!$G$4,L$1,$A662,$A662)),_xll.BDH(config!$G$4,L$1,$A662,$A662),_xll.BDH(config!$G$5,L$1,$A662,$A662))))</f>
        <v/>
      </c>
      <c r="M662" s="8" t="str">
        <f>IF($A662="","",IF(ISNUMBER(FIND("IMPVOL",M$1)),_xll.BDH(config!$G$4,M$1,WORKDAY($A662,-1,config_Holiday_Calendar_US),WORKDAY($A662,-1,config_Holiday_Calendar_US)),IF(ISNUMBER(_xll.BDH(config!$G$4,M$1,$A662,$A662)),_xll.BDH(config!$G$4,M$1,$A662,$A662),_xll.BDH(config!$G$5,M$1,$A662,$A662))))</f>
        <v/>
      </c>
      <c r="N662" s="8" t="str">
        <f>IF($A662="","",IF(ISNUMBER(FIND("IMPVOL",N$1)),_xll.BDH(config!$G$4,N$1,WORKDAY($A662,-1,config_Holiday_Calendar_US),WORKDAY($A662,-1,config_Holiday_Calendar_US)),IF(ISNUMBER(_xll.BDH(config!$G$4,N$1,$A662,$A662)),_xll.BDH(config!$G$4,N$1,$A662,$A662),_xll.BDH(config!$G$5,N$1,$A662,$A662))))</f>
        <v/>
      </c>
      <c r="O662" s="8" t="str">
        <f>IF($A662="","",IF(ISNUMBER(FIND("IMPVOL",O$1)),_xll.BDH(config!$G$4,O$1,WORKDAY($A662,-1,config_Holiday_Calendar_US),WORKDAY($A662,-1,config_Holiday_Calendar_US)),IF(ISNUMBER(_xll.BDH(config!$G$4,O$1,$A662,$A662)),_xll.BDH(config!$G$4,O$1,$A662,$A662),_xll.BDH(config!$G$5,O$1,$A662,$A662))))</f>
        <v/>
      </c>
      <c r="P662" s="8" t="str">
        <f>IF($A662="","",IF(ISNUMBER(FIND("IMPVOL",P$1)),_xll.BDH(config!$G$4,P$1,WORKDAY($A662,-1,config_Holiday_Calendar_US),WORKDAY($A662,-1,config_Holiday_Calendar_US)),IF(ISNUMBER(_xll.BDH(config!$G$4,P$1,$A662,$A662)),_xll.BDH(config!$G$4,P$1,$A662,$A662),_xll.BDH(config!$G$5,P$1,$A662,$A662))))</f>
        <v/>
      </c>
      <c r="Q662" s="8" t="str">
        <f>IF($A662="","",IF(ISNUMBER(FIND("IMPVOL",Q$1)),_xll.BDH(config!$G$4,Q$1,WORKDAY($A662,-1,config_Holiday_Calendar_US),WORKDAY($A662,-1,config_Holiday_Calendar_US)),IF(ISNUMBER(_xll.BDH(config!$G$4,Q$1,$A662,$A662)),_xll.BDH(config!$G$4,Q$1,$A662,$A662),_xll.BDH(config!$G$5,Q$1,$A662,$A662))))</f>
        <v/>
      </c>
      <c r="R662" s="8" t="str">
        <f>IF($A662="","",IF(ISNUMBER(FIND("IMPVOL",R$1)),_xll.BDH(config!$G$4,R$1,WORKDAY($A662,-1,config_Holiday_Calendar_US),WORKDAY($A662,-1,config_Holiday_Calendar_US)),IF(ISNUMBER(_xll.BDH(config!$G$4,R$1,$A662,$A662)),_xll.BDH(config!$G$4,R$1,$A662,$A662),_xll.BDH(config!$G$5,R$1,$A662,$A662))))</f>
        <v/>
      </c>
      <c r="S662" s="8" t="str">
        <f>IF($A662="","",IF(ISNUMBER(FIND("IMPVOL",S$1)),_xll.BDH(config!$G$4,S$1,WORKDAY($A662,-1,config_Holiday_Calendar_US),WORKDAY($A662,-1,config_Holiday_Calendar_US)),IF(ISNUMBER(_xll.BDH(config!$G$4,S$1,$A662,$A662)),_xll.BDH(config!$G$4,S$1,$A662,$A662),_xll.BDH(config!$G$5,S$1,$A662,$A662))))</f>
        <v/>
      </c>
      <c r="T662" s="8" t="str">
        <f>IF($A662="","",IF(ISNUMBER(FIND("IMPVOL",T$1)),_xll.BDH(config!$G$4,T$1,WORKDAY($A662,-1,config_Holiday_Calendar_US),WORKDAY($A662,-1,config_Holiday_Calendar_US)),IF(ISNUMBER(_xll.BDH(config!$G$4,T$1,$A662,$A662)),_xll.BDH(config!$G$4,T$1,$A662,$A662),_xll.BDH(config!$G$5,T$1,$A662,$A662))))</f>
        <v/>
      </c>
      <c r="U662" s="8" t="str">
        <f>IF($A662="","",IF(ISNUMBER(FIND("IMPVOL",U$1)),_xll.BDH(config!$G$4,U$1,WORKDAY($A662,-1,config_Holiday_Calendar_US),WORKDAY($A662,-1,config_Holiday_Calendar_US)),IF(ISNUMBER(_xll.BDH(config!$G$4,U$1,$A662,$A662)),_xll.BDH(config!$G$4,U$1,$A662,$A662),_xll.BDH(config!$G$5,U$1,$A662,$A662))))</f>
        <v/>
      </c>
      <c r="V662" s="8" t="str">
        <f>IF($A662="","",IF(ISNUMBER(FIND("IMPVOL",V$1)),_xll.BDH(config!$G$4,V$1,WORKDAY($A662,-1,config_Holiday_Calendar_US),WORKDAY($A662,-1,config_Holiday_Calendar_US)),IF(ISNUMBER(_xll.BDH(config!$G$4,V$1,$A662,$A662)),_xll.BDH(config!$G$4,V$1,$A662,$A662),_xll.BDH(config!$G$5,V$1,$A662,$A662))))</f>
        <v/>
      </c>
      <c r="W662" s="8" t="str">
        <f>IF($A662="","",IF(ISNUMBER(FIND("IMPVOL",W$1)),_xll.BDH(config!$G$4,W$1,WORKDAY($A662,-1,config_Holiday_Calendar_US),WORKDAY($A662,-1,config_Holiday_Calendar_US)),IF(ISNUMBER(_xll.BDH(config!$G$4,W$1,$A662,$A662)),_xll.BDH(config!$G$4,W$1,$A662,$A662),_xll.BDH(config!$G$5,W$1,$A662,$A662))))</f>
        <v/>
      </c>
    </row>
    <row r="663" spans="1:23" x14ac:dyDescent="0.2">
      <c r="A663" s="9" t="str">
        <f>IF(A662="","",IF(WORKDAY(A662,-1,config_Holiday_Calendar_US)&lt;config!$I$10,"",WORKDAY(A662,-1,config_Holiday_Calendar_US)))</f>
        <v/>
      </c>
      <c r="B663" s="8" t="str">
        <f t="shared" si="10"/>
        <v/>
      </c>
      <c r="C663" s="8" t="str">
        <f>IF(A663="","",_xll.BDH(config!$H$4,C$1,$A663,$A663))</f>
        <v/>
      </c>
      <c r="D663" s="8" t="str">
        <f>IF($A663="","",_xll.BDH(config!$H$4,D$1,$A663,$A663))</f>
        <v/>
      </c>
      <c r="E663" s="8" t="str">
        <f>IF($A663="","",IF(ISNUMBER(FIND("IMPVOL",E$1)),_xll.BDH(config!$G$4,E$1,WORKDAY($A663,-1,config_Holiday_Calendar_US),WORKDAY($A663,-1,config_Holiday_Calendar_US)),IF(ISNUMBER(_xll.BDH(config!$G$4,E$1,$A663,$A663)),_xll.BDH(config!$G$4,E$1,$A663,$A663),_xll.BDH(config!$G$5,E$1,$A663,$A663))))</f>
        <v/>
      </c>
      <c r="F663" s="8" t="str">
        <f>IF($A663="","",IF(ISNUMBER(FIND("IMPVOL",F$1)),_xll.BDH(config!$G$4,F$1,WORKDAY($A663,-1,config_Holiday_Calendar_US),WORKDAY($A663,-1,config_Holiday_Calendar_US)),IF(ISNUMBER(_xll.BDH(config!$G$4,F$1,$A663,$A663)),_xll.BDH(config!$G$4,F$1,$A663,$A663),_xll.BDH(config!$G$5,F$1,$A663,$A663))))</f>
        <v/>
      </c>
      <c r="G663" s="8" t="str">
        <f>IF($A663="","",IF(ISNUMBER(FIND("IMPVOL",G$1)),_xll.BDH(config!$G$4,G$1,WORKDAY($A663,-1,config_Holiday_Calendar_US),WORKDAY($A663,-1,config_Holiday_Calendar_US)),IF(ISNUMBER(_xll.BDH(config!$G$4,G$1,$A663,$A663)),_xll.BDH(config!$G$4,G$1,$A663,$A663),_xll.BDH(config!$G$5,G$1,$A663,$A663))))</f>
        <v/>
      </c>
      <c r="H663" s="8" t="str">
        <f>IF($A663="","",IF(ISNUMBER(FIND("IMPVOL",H$1)),_xll.BDH(config!$G$4,H$1,WORKDAY($A663,-1,config_Holiday_Calendar_US),WORKDAY($A663,-1,config_Holiday_Calendar_US)),IF(ISNUMBER(_xll.BDH(config!$G$4,H$1,$A663,$A663)),_xll.BDH(config!$G$4,H$1,$A663,$A663),_xll.BDH(config!$G$5,H$1,$A663,$A663))))</f>
        <v/>
      </c>
      <c r="I663" s="8" t="str">
        <f>IF($A663="","",IF(ISNUMBER(FIND("IMPVOL",I$1)),_xll.BDH(config!$G$4,I$1,WORKDAY($A663,-1,config_Holiday_Calendar_US),WORKDAY($A663,-1,config_Holiday_Calendar_US)),IF(ISNUMBER(_xll.BDH(config!$G$4,I$1,$A663,$A663)),_xll.BDH(config!$G$4,I$1,$A663,$A663),_xll.BDH(config!$G$5,I$1,$A663,$A663))))</f>
        <v/>
      </c>
      <c r="J663" s="8" t="str">
        <f>IF($A663="","",IF(ISNUMBER(FIND("IMPVOL",J$1)),_xll.BDH(config!$G$4,J$1,WORKDAY($A663,-1,config_Holiday_Calendar_US),WORKDAY($A663,-1,config_Holiday_Calendar_US)),IF(ISNUMBER(_xll.BDH(config!$G$4,J$1,$A663,$A663)),_xll.BDH(config!$G$4,J$1,$A663,$A663),_xll.BDH(config!$G$5,J$1,$A663,$A663))))</f>
        <v/>
      </c>
      <c r="K663" s="8" t="str">
        <f>IF($A663="","",IF(ISNUMBER(FIND("IMPVOL",K$1)),_xll.BDH(config!$G$4,K$1,WORKDAY($A663,-1,config_Holiday_Calendar_US),WORKDAY($A663,-1,config_Holiday_Calendar_US)),IF(ISNUMBER(_xll.BDH(config!$G$4,K$1,$A663,$A663)),_xll.BDH(config!$G$4,K$1,$A663,$A663),_xll.BDH(config!$G$5,K$1,$A663,$A663))))</f>
        <v/>
      </c>
      <c r="L663" s="8" t="str">
        <f>IF($A663="","",IF(ISNUMBER(FIND("IMPVOL",L$1)),_xll.BDH(config!$G$4,L$1,WORKDAY($A663,-1,config_Holiday_Calendar_US),WORKDAY($A663,-1,config_Holiday_Calendar_US)),IF(ISNUMBER(_xll.BDH(config!$G$4,L$1,$A663,$A663)),_xll.BDH(config!$G$4,L$1,$A663,$A663),_xll.BDH(config!$G$5,L$1,$A663,$A663))))</f>
        <v/>
      </c>
      <c r="M663" s="8" t="str">
        <f>IF($A663="","",IF(ISNUMBER(FIND("IMPVOL",M$1)),_xll.BDH(config!$G$4,M$1,WORKDAY($A663,-1,config_Holiday_Calendar_US),WORKDAY($A663,-1,config_Holiday_Calendar_US)),IF(ISNUMBER(_xll.BDH(config!$G$4,M$1,$A663,$A663)),_xll.BDH(config!$G$4,M$1,$A663,$A663),_xll.BDH(config!$G$5,M$1,$A663,$A663))))</f>
        <v/>
      </c>
      <c r="N663" s="8" t="str">
        <f>IF($A663="","",IF(ISNUMBER(FIND("IMPVOL",N$1)),_xll.BDH(config!$G$4,N$1,WORKDAY($A663,-1,config_Holiday_Calendar_US),WORKDAY($A663,-1,config_Holiday_Calendar_US)),IF(ISNUMBER(_xll.BDH(config!$G$4,N$1,$A663,$A663)),_xll.BDH(config!$G$4,N$1,$A663,$A663),_xll.BDH(config!$G$5,N$1,$A663,$A663))))</f>
        <v/>
      </c>
      <c r="O663" s="8" t="str">
        <f>IF($A663="","",IF(ISNUMBER(FIND("IMPVOL",O$1)),_xll.BDH(config!$G$4,O$1,WORKDAY($A663,-1,config_Holiday_Calendar_US),WORKDAY($A663,-1,config_Holiday_Calendar_US)),IF(ISNUMBER(_xll.BDH(config!$G$4,O$1,$A663,$A663)),_xll.BDH(config!$G$4,O$1,$A663,$A663),_xll.BDH(config!$G$5,O$1,$A663,$A663))))</f>
        <v/>
      </c>
      <c r="P663" s="8" t="str">
        <f>IF($A663="","",IF(ISNUMBER(FIND("IMPVOL",P$1)),_xll.BDH(config!$G$4,P$1,WORKDAY($A663,-1,config_Holiday_Calendar_US),WORKDAY($A663,-1,config_Holiday_Calendar_US)),IF(ISNUMBER(_xll.BDH(config!$G$4,P$1,$A663,$A663)),_xll.BDH(config!$G$4,P$1,$A663,$A663),_xll.BDH(config!$G$5,P$1,$A663,$A663))))</f>
        <v/>
      </c>
      <c r="Q663" s="8" t="str">
        <f>IF($A663="","",IF(ISNUMBER(FIND("IMPVOL",Q$1)),_xll.BDH(config!$G$4,Q$1,WORKDAY($A663,-1,config_Holiday_Calendar_US),WORKDAY($A663,-1,config_Holiday_Calendar_US)),IF(ISNUMBER(_xll.BDH(config!$G$4,Q$1,$A663,$A663)),_xll.BDH(config!$G$4,Q$1,$A663,$A663),_xll.BDH(config!$G$5,Q$1,$A663,$A663))))</f>
        <v/>
      </c>
      <c r="R663" s="8" t="str">
        <f>IF($A663="","",IF(ISNUMBER(FIND("IMPVOL",R$1)),_xll.BDH(config!$G$4,R$1,WORKDAY($A663,-1,config_Holiday_Calendar_US),WORKDAY($A663,-1,config_Holiday_Calendar_US)),IF(ISNUMBER(_xll.BDH(config!$G$4,R$1,$A663,$A663)),_xll.BDH(config!$G$4,R$1,$A663,$A663),_xll.BDH(config!$G$5,R$1,$A663,$A663))))</f>
        <v/>
      </c>
      <c r="S663" s="8" t="str">
        <f>IF($A663="","",IF(ISNUMBER(FIND("IMPVOL",S$1)),_xll.BDH(config!$G$4,S$1,WORKDAY($A663,-1,config_Holiday_Calendar_US),WORKDAY($A663,-1,config_Holiday_Calendar_US)),IF(ISNUMBER(_xll.BDH(config!$G$4,S$1,$A663,$A663)),_xll.BDH(config!$G$4,S$1,$A663,$A663),_xll.BDH(config!$G$5,S$1,$A663,$A663))))</f>
        <v/>
      </c>
      <c r="T663" s="8" t="str">
        <f>IF($A663="","",IF(ISNUMBER(FIND("IMPVOL",T$1)),_xll.BDH(config!$G$4,T$1,WORKDAY($A663,-1,config_Holiday_Calendar_US),WORKDAY($A663,-1,config_Holiday_Calendar_US)),IF(ISNUMBER(_xll.BDH(config!$G$4,T$1,$A663,$A663)),_xll.BDH(config!$G$4,T$1,$A663,$A663),_xll.BDH(config!$G$5,T$1,$A663,$A663))))</f>
        <v/>
      </c>
      <c r="U663" s="8" t="str">
        <f>IF($A663="","",IF(ISNUMBER(FIND("IMPVOL",U$1)),_xll.BDH(config!$G$4,U$1,WORKDAY($A663,-1,config_Holiday_Calendar_US),WORKDAY($A663,-1,config_Holiday_Calendar_US)),IF(ISNUMBER(_xll.BDH(config!$G$4,U$1,$A663,$A663)),_xll.BDH(config!$G$4,U$1,$A663,$A663),_xll.BDH(config!$G$5,U$1,$A663,$A663))))</f>
        <v/>
      </c>
      <c r="V663" s="8" t="str">
        <f>IF($A663="","",IF(ISNUMBER(FIND("IMPVOL",V$1)),_xll.BDH(config!$G$4,V$1,WORKDAY($A663,-1,config_Holiday_Calendar_US),WORKDAY($A663,-1,config_Holiday_Calendar_US)),IF(ISNUMBER(_xll.BDH(config!$G$4,V$1,$A663,$A663)),_xll.BDH(config!$G$4,V$1,$A663,$A663),_xll.BDH(config!$G$5,V$1,$A663,$A663))))</f>
        <v/>
      </c>
      <c r="W663" s="8" t="str">
        <f>IF($A663="","",IF(ISNUMBER(FIND("IMPVOL",W$1)),_xll.BDH(config!$G$4,W$1,WORKDAY($A663,-1,config_Holiday_Calendar_US),WORKDAY($A663,-1,config_Holiday_Calendar_US)),IF(ISNUMBER(_xll.BDH(config!$G$4,W$1,$A663,$A663)),_xll.BDH(config!$G$4,W$1,$A663,$A663),_xll.BDH(config!$G$5,W$1,$A663,$A663))))</f>
        <v/>
      </c>
    </row>
    <row r="664" spans="1:23" x14ac:dyDescent="0.2">
      <c r="A664" s="9" t="str">
        <f>IF(A663="","",IF(WORKDAY(A663,-1,config_Holiday_Calendar_US)&lt;config!$I$10,"",WORKDAY(A663,-1,config_Holiday_Calendar_US)))</f>
        <v/>
      </c>
      <c r="B664" s="8" t="str">
        <f t="shared" si="10"/>
        <v/>
      </c>
      <c r="C664" s="8" t="str">
        <f>IF(A664="","",_xll.BDH(config!$H$4,C$1,$A664,$A664))</f>
        <v/>
      </c>
      <c r="D664" s="8" t="str">
        <f>IF($A664="","",_xll.BDH(config!$H$4,D$1,$A664,$A664))</f>
        <v/>
      </c>
      <c r="E664" s="8" t="str">
        <f>IF($A664="","",IF(ISNUMBER(FIND("IMPVOL",E$1)),_xll.BDH(config!$G$4,E$1,WORKDAY($A664,-1,config_Holiday_Calendar_US),WORKDAY($A664,-1,config_Holiday_Calendar_US)),IF(ISNUMBER(_xll.BDH(config!$G$4,E$1,$A664,$A664)),_xll.BDH(config!$G$4,E$1,$A664,$A664),_xll.BDH(config!$G$5,E$1,$A664,$A664))))</f>
        <v/>
      </c>
      <c r="F664" s="8" t="str">
        <f>IF($A664="","",IF(ISNUMBER(FIND("IMPVOL",F$1)),_xll.BDH(config!$G$4,F$1,WORKDAY($A664,-1,config_Holiday_Calendar_US),WORKDAY($A664,-1,config_Holiday_Calendar_US)),IF(ISNUMBER(_xll.BDH(config!$G$4,F$1,$A664,$A664)),_xll.BDH(config!$G$4,F$1,$A664,$A664),_xll.BDH(config!$G$5,F$1,$A664,$A664))))</f>
        <v/>
      </c>
      <c r="G664" s="8" t="str">
        <f>IF($A664="","",IF(ISNUMBER(FIND("IMPVOL",G$1)),_xll.BDH(config!$G$4,G$1,WORKDAY($A664,-1,config_Holiday_Calendar_US),WORKDAY($A664,-1,config_Holiday_Calendar_US)),IF(ISNUMBER(_xll.BDH(config!$G$4,G$1,$A664,$A664)),_xll.BDH(config!$G$4,G$1,$A664,$A664),_xll.BDH(config!$G$5,G$1,$A664,$A664))))</f>
        <v/>
      </c>
      <c r="H664" s="8" t="str">
        <f>IF($A664="","",IF(ISNUMBER(FIND("IMPVOL",H$1)),_xll.BDH(config!$G$4,H$1,WORKDAY($A664,-1,config_Holiday_Calendar_US),WORKDAY($A664,-1,config_Holiday_Calendar_US)),IF(ISNUMBER(_xll.BDH(config!$G$4,H$1,$A664,$A664)),_xll.BDH(config!$G$4,H$1,$A664,$A664),_xll.BDH(config!$G$5,H$1,$A664,$A664))))</f>
        <v/>
      </c>
      <c r="I664" s="8" t="str">
        <f>IF($A664="","",IF(ISNUMBER(FIND("IMPVOL",I$1)),_xll.BDH(config!$G$4,I$1,WORKDAY($A664,-1,config_Holiday_Calendar_US),WORKDAY($A664,-1,config_Holiday_Calendar_US)),IF(ISNUMBER(_xll.BDH(config!$G$4,I$1,$A664,$A664)),_xll.BDH(config!$G$4,I$1,$A664,$A664),_xll.BDH(config!$G$5,I$1,$A664,$A664))))</f>
        <v/>
      </c>
      <c r="J664" s="8" t="str">
        <f>IF($A664="","",IF(ISNUMBER(FIND("IMPVOL",J$1)),_xll.BDH(config!$G$4,J$1,WORKDAY($A664,-1,config_Holiday_Calendar_US),WORKDAY($A664,-1,config_Holiday_Calendar_US)),IF(ISNUMBER(_xll.BDH(config!$G$4,J$1,$A664,$A664)),_xll.BDH(config!$G$4,J$1,$A664,$A664),_xll.BDH(config!$G$5,J$1,$A664,$A664))))</f>
        <v/>
      </c>
      <c r="K664" s="8" t="str">
        <f>IF($A664="","",IF(ISNUMBER(FIND("IMPVOL",K$1)),_xll.BDH(config!$G$4,K$1,WORKDAY($A664,-1,config_Holiday_Calendar_US),WORKDAY($A664,-1,config_Holiday_Calendar_US)),IF(ISNUMBER(_xll.BDH(config!$G$4,K$1,$A664,$A664)),_xll.BDH(config!$G$4,K$1,$A664,$A664),_xll.BDH(config!$G$5,K$1,$A664,$A664))))</f>
        <v/>
      </c>
      <c r="L664" s="8" t="str">
        <f>IF($A664="","",IF(ISNUMBER(FIND("IMPVOL",L$1)),_xll.BDH(config!$G$4,L$1,WORKDAY($A664,-1,config_Holiday_Calendar_US),WORKDAY($A664,-1,config_Holiday_Calendar_US)),IF(ISNUMBER(_xll.BDH(config!$G$4,L$1,$A664,$A664)),_xll.BDH(config!$G$4,L$1,$A664,$A664),_xll.BDH(config!$G$5,L$1,$A664,$A664))))</f>
        <v/>
      </c>
      <c r="M664" s="8" t="str">
        <f>IF($A664="","",IF(ISNUMBER(FIND("IMPVOL",M$1)),_xll.BDH(config!$G$4,M$1,WORKDAY($A664,-1,config_Holiday_Calendar_US),WORKDAY($A664,-1,config_Holiday_Calendar_US)),IF(ISNUMBER(_xll.BDH(config!$G$4,M$1,$A664,$A664)),_xll.BDH(config!$G$4,M$1,$A664,$A664),_xll.BDH(config!$G$5,M$1,$A664,$A664))))</f>
        <v/>
      </c>
      <c r="N664" s="8" t="str">
        <f>IF($A664="","",IF(ISNUMBER(FIND("IMPVOL",N$1)),_xll.BDH(config!$G$4,N$1,WORKDAY($A664,-1,config_Holiday_Calendar_US),WORKDAY($A664,-1,config_Holiday_Calendar_US)),IF(ISNUMBER(_xll.BDH(config!$G$4,N$1,$A664,$A664)),_xll.BDH(config!$G$4,N$1,$A664,$A664),_xll.BDH(config!$G$5,N$1,$A664,$A664))))</f>
        <v/>
      </c>
      <c r="O664" s="8" t="str">
        <f>IF($A664="","",IF(ISNUMBER(FIND("IMPVOL",O$1)),_xll.BDH(config!$G$4,O$1,WORKDAY($A664,-1,config_Holiday_Calendar_US),WORKDAY($A664,-1,config_Holiday_Calendar_US)),IF(ISNUMBER(_xll.BDH(config!$G$4,O$1,$A664,$A664)),_xll.BDH(config!$G$4,O$1,$A664,$A664),_xll.BDH(config!$G$5,O$1,$A664,$A664))))</f>
        <v/>
      </c>
      <c r="P664" s="8" t="str">
        <f>IF($A664="","",IF(ISNUMBER(FIND("IMPVOL",P$1)),_xll.BDH(config!$G$4,P$1,WORKDAY($A664,-1,config_Holiday_Calendar_US),WORKDAY($A664,-1,config_Holiday_Calendar_US)),IF(ISNUMBER(_xll.BDH(config!$G$4,P$1,$A664,$A664)),_xll.BDH(config!$G$4,P$1,$A664,$A664),_xll.BDH(config!$G$5,P$1,$A664,$A664))))</f>
        <v/>
      </c>
      <c r="Q664" s="8" t="str">
        <f>IF($A664="","",IF(ISNUMBER(FIND("IMPVOL",Q$1)),_xll.BDH(config!$G$4,Q$1,WORKDAY($A664,-1,config_Holiday_Calendar_US),WORKDAY($A664,-1,config_Holiday_Calendar_US)),IF(ISNUMBER(_xll.BDH(config!$G$4,Q$1,$A664,$A664)),_xll.BDH(config!$G$4,Q$1,$A664,$A664),_xll.BDH(config!$G$5,Q$1,$A664,$A664))))</f>
        <v/>
      </c>
      <c r="R664" s="8" t="str">
        <f>IF($A664="","",IF(ISNUMBER(FIND("IMPVOL",R$1)),_xll.BDH(config!$G$4,R$1,WORKDAY($A664,-1,config_Holiday_Calendar_US),WORKDAY($A664,-1,config_Holiday_Calendar_US)),IF(ISNUMBER(_xll.BDH(config!$G$4,R$1,$A664,$A664)),_xll.BDH(config!$G$4,R$1,$A664,$A664),_xll.BDH(config!$G$5,R$1,$A664,$A664))))</f>
        <v/>
      </c>
      <c r="S664" s="8" t="str">
        <f>IF($A664="","",IF(ISNUMBER(FIND("IMPVOL",S$1)),_xll.BDH(config!$G$4,S$1,WORKDAY($A664,-1,config_Holiday_Calendar_US),WORKDAY($A664,-1,config_Holiday_Calendar_US)),IF(ISNUMBER(_xll.BDH(config!$G$4,S$1,$A664,$A664)),_xll.BDH(config!$G$4,S$1,$A664,$A664),_xll.BDH(config!$G$5,S$1,$A664,$A664))))</f>
        <v/>
      </c>
      <c r="T664" s="8" t="str">
        <f>IF($A664="","",IF(ISNUMBER(FIND("IMPVOL",T$1)),_xll.BDH(config!$G$4,T$1,WORKDAY($A664,-1,config_Holiday_Calendar_US),WORKDAY($A664,-1,config_Holiday_Calendar_US)),IF(ISNUMBER(_xll.BDH(config!$G$4,T$1,$A664,$A664)),_xll.BDH(config!$G$4,T$1,$A664,$A664),_xll.BDH(config!$G$5,T$1,$A664,$A664))))</f>
        <v/>
      </c>
      <c r="U664" s="8" t="str">
        <f>IF($A664="","",IF(ISNUMBER(FIND("IMPVOL",U$1)),_xll.BDH(config!$G$4,U$1,WORKDAY($A664,-1,config_Holiday_Calendar_US),WORKDAY($A664,-1,config_Holiday_Calendar_US)),IF(ISNUMBER(_xll.BDH(config!$G$4,U$1,$A664,$A664)),_xll.BDH(config!$G$4,U$1,$A664,$A664),_xll.BDH(config!$G$5,U$1,$A664,$A664))))</f>
        <v/>
      </c>
      <c r="V664" s="8" t="str">
        <f>IF($A664="","",IF(ISNUMBER(FIND("IMPVOL",V$1)),_xll.BDH(config!$G$4,V$1,WORKDAY($A664,-1,config_Holiday_Calendar_US),WORKDAY($A664,-1,config_Holiday_Calendar_US)),IF(ISNUMBER(_xll.BDH(config!$G$4,V$1,$A664,$A664)),_xll.BDH(config!$G$4,V$1,$A664,$A664),_xll.BDH(config!$G$5,V$1,$A664,$A664))))</f>
        <v/>
      </c>
      <c r="W664" s="8" t="str">
        <f>IF($A664="","",IF(ISNUMBER(FIND("IMPVOL",W$1)),_xll.BDH(config!$G$4,W$1,WORKDAY($A664,-1,config_Holiday_Calendar_US),WORKDAY($A664,-1,config_Holiday_Calendar_US)),IF(ISNUMBER(_xll.BDH(config!$G$4,W$1,$A664,$A664)),_xll.BDH(config!$G$4,W$1,$A664,$A664),_xll.BDH(config!$G$5,W$1,$A664,$A664))))</f>
        <v/>
      </c>
    </row>
    <row r="665" spans="1:23" x14ac:dyDescent="0.2">
      <c r="A665" s="9" t="str">
        <f>IF(A664="","",IF(WORKDAY(A664,-1,config_Holiday_Calendar_US)&lt;config!$I$10,"",WORKDAY(A664,-1,config_Holiday_Calendar_US)))</f>
        <v/>
      </c>
      <c r="B665" s="8" t="str">
        <f t="shared" si="10"/>
        <v/>
      </c>
      <c r="C665" s="8" t="str">
        <f>IF(A665="","",_xll.BDH(config!$H$4,C$1,$A665,$A665))</f>
        <v/>
      </c>
      <c r="D665" s="8" t="str">
        <f>IF($A665="","",_xll.BDH(config!$H$4,D$1,$A665,$A665))</f>
        <v/>
      </c>
      <c r="E665" s="8" t="str">
        <f>IF($A665="","",IF(ISNUMBER(FIND("IMPVOL",E$1)),_xll.BDH(config!$G$4,E$1,WORKDAY($A665,-1,config_Holiday_Calendar_US),WORKDAY($A665,-1,config_Holiday_Calendar_US)),IF(ISNUMBER(_xll.BDH(config!$G$4,E$1,$A665,$A665)),_xll.BDH(config!$G$4,E$1,$A665,$A665),_xll.BDH(config!$G$5,E$1,$A665,$A665))))</f>
        <v/>
      </c>
      <c r="F665" s="8" t="str">
        <f>IF($A665="","",IF(ISNUMBER(FIND("IMPVOL",F$1)),_xll.BDH(config!$G$4,F$1,WORKDAY($A665,-1,config_Holiday_Calendar_US),WORKDAY($A665,-1,config_Holiday_Calendar_US)),IF(ISNUMBER(_xll.BDH(config!$G$4,F$1,$A665,$A665)),_xll.BDH(config!$G$4,F$1,$A665,$A665),_xll.BDH(config!$G$5,F$1,$A665,$A665))))</f>
        <v/>
      </c>
      <c r="G665" s="8" t="str">
        <f>IF($A665="","",IF(ISNUMBER(FIND("IMPVOL",G$1)),_xll.BDH(config!$G$4,G$1,WORKDAY($A665,-1,config_Holiday_Calendar_US),WORKDAY($A665,-1,config_Holiday_Calendar_US)),IF(ISNUMBER(_xll.BDH(config!$G$4,G$1,$A665,$A665)),_xll.BDH(config!$G$4,G$1,$A665,$A665),_xll.BDH(config!$G$5,G$1,$A665,$A665))))</f>
        <v/>
      </c>
      <c r="H665" s="8" t="str">
        <f>IF($A665="","",IF(ISNUMBER(FIND("IMPVOL",H$1)),_xll.BDH(config!$G$4,H$1,WORKDAY($A665,-1,config_Holiday_Calendar_US),WORKDAY($A665,-1,config_Holiday_Calendar_US)),IF(ISNUMBER(_xll.BDH(config!$G$4,H$1,$A665,$A665)),_xll.BDH(config!$G$4,H$1,$A665,$A665),_xll.BDH(config!$G$5,H$1,$A665,$A665))))</f>
        <v/>
      </c>
      <c r="I665" s="8" t="str">
        <f>IF($A665="","",IF(ISNUMBER(FIND("IMPVOL",I$1)),_xll.BDH(config!$G$4,I$1,WORKDAY($A665,-1,config_Holiday_Calendar_US),WORKDAY($A665,-1,config_Holiday_Calendar_US)),IF(ISNUMBER(_xll.BDH(config!$G$4,I$1,$A665,$A665)),_xll.BDH(config!$G$4,I$1,$A665,$A665),_xll.BDH(config!$G$5,I$1,$A665,$A665))))</f>
        <v/>
      </c>
      <c r="J665" s="8" t="str">
        <f>IF($A665="","",IF(ISNUMBER(FIND("IMPVOL",J$1)),_xll.BDH(config!$G$4,J$1,WORKDAY($A665,-1,config_Holiday_Calendar_US),WORKDAY($A665,-1,config_Holiday_Calendar_US)),IF(ISNUMBER(_xll.BDH(config!$G$4,J$1,$A665,$A665)),_xll.BDH(config!$G$4,J$1,$A665,$A665),_xll.BDH(config!$G$5,J$1,$A665,$A665))))</f>
        <v/>
      </c>
      <c r="K665" s="8" t="str">
        <f>IF($A665="","",IF(ISNUMBER(FIND("IMPVOL",K$1)),_xll.BDH(config!$G$4,K$1,WORKDAY($A665,-1,config_Holiday_Calendar_US),WORKDAY($A665,-1,config_Holiday_Calendar_US)),IF(ISNUMBER(_xll.BDH(config!$G$4,K$1,$A665,$A665)),_xll.BDH(config!$G$4,K$1,$A665,$A665),_xll.BDH(config!$G$5,K$1,$A665,$A665))))</f>
        <v/>
      </c>
      <c r="L665" s="8" t="str">
        <f>IF($A665="","",IF(ISNUMBER(FIND("IMPVOL",L$1)),_xll.BDH(config!$G$4,L$1,WORKDAY($A665,-1,config_Holiday_Calendar_US),WORKDAY($A665,-1,config_Holiday_Calendar_US)),IF(ISNUMBER(_xll.BDH(config!$G$4,L$1,$A665,$A665)),_xll.BDH(config!$G$4,L$1,$A665,$A665),_xll.BDH(config!$G$5,L$1,$A665,$A665))))</f>
        <v/>
      </c>
      <c r="M665" s="8" t="str">
        <f>IF($A665="","",IF(ISNUMBER(FIND("IMPVOL",M$1)),_xll.BDH(config!$G$4,M$1,WORKDAY($A665,-1,config_Holiday_Calendar_US),WORKDAY($A665,-1,config_Holiday_Calendar_US)),IF(ISNUMBER(_xll.BDH(config!$G$4,M$1,$A665,$A665)),_xll.BDH(config!$G$4,M$1,$A665,$A665),_xll.BDH(config!$G$5,M$1,$A665,$A665))))</f>
        <v/>
      </c>
      <c r="N665" s="8" t="str">
        <f>IF($A665="","",IF(ISNUMBER(FIND("IMPVOL",N$1)),_xll.BDH(config!$G$4,N$1,WORKDAY($A665,-1,config_Holiday_Calendar_US),WORKDAY($A665,-1,config_Holiday_Calendar_US)),IF(ISNUMBER(_xll.BDH(config!$G$4,N$1,$A665,$A665)),_xll.BDH(config!$G$4,N$1,$A665,$A665),_xll.BDH(config!$G$5,N$1,$A665,$A665))))</f>
        <v/>
      </c>
      <c r="O665" s="8" t="str">
        <f>IF($A665="","",IF(ISNUMBER(FIND("IMPVOL",O$1)),_xll.BDH(config!$G$4,O$1,WORKDAY($A665,-1,config_Holiday_Calendar_US),WORKDAY($A665,-1,config_Holiday_Calendar_US)),IF(ISNUMBER(_xll.BDH(config!$G$4,O$1,$A665,$A665)),_xll.BDH(config!$G$4,O$1,$A665,$A665),_xll.BDH(config!$G$5,O$1,$A665,$A665))))</f>
        <v/>
      </c>
      <c r="P665" s="8" t="str">
        <f>IF($A665="","",IF(ISNUMBER(FIND("IMPVOL",P$1)),_xll.BDH(config!$G$4,P$1,WORKDAY($A665,-1,config_Holiday_Calendar_US),WORKDAY($A665,-1,config_Holiday_Calendar_US)),IF(ISNUMBER(_xll.BDH(config!$G$4,P$1,$A665,$A665)),_xll.BDH(config!$G$4,P$1,$A665,$A665),_xll.BDH(config!$G$5,P$1,$A665,$A665))))</f>
        <v/>
      </c>
      <c r="Q665" s="8" t="str">
        <f>IF($A665="","",IF(ISNUMBER(FIND("IMPVOL",Q$1)),_xll.BDH(config!$G$4,Q$1,WORKDAY($A665,-1,config_Holiday_Calendar_US),WORKDAY($A665,-1,config_Holiday_Calendar_US)),IF(ISNUMBER(_xll.BDH(config!$G$4,Q$1,$A665,$A665)),_xll.BDH(config!$G$4,Q$1,$A665,$A665),_xll.BDH(config!$G$5,Q$1,$A665,$A665))))</f>
        <v/>
      </c>
      <c r="R665" s="8" t="str">
        <f>IF($A665="","",IF(ISNUMBER(FIND("IMPVOL",R$1)),_xll.BDH(config!$G$4,R$1,WORKDAY($A665,-1,config_Holiday_Calendar_US),WORKDAY($A665,-1,config_Holiday_Calendar_US)),IF(ISNUMBER(_xll.BDH(config!$G$4,R$1,$A665,$A665)),_xll.BDH(config!$G$4,R$1,$A665,$A665),_xll.BDH(config!$G$5,R$1,$A665,$A665))))</f>
        <v/>
      </c>
      <c r="S665" s="8" t="str">
        <f>IF($A665="","",IF(ISNUMBER(FIND("IMPVOL",S$1)),_xll.BDH(config!$G$4,S$1,WORKDAY($A665,-1,config_Holiday_Calendar_US),WORKDAY($A665,-1,config_Holiday_Calendar_US)),IF(ISNUMBER(_xll.BDH(config!$G$4,S$1,$A665,$A665)),_xll.BDH(config!$G$4,S$1,$A665,$A665),_xll.BDH(config!$G$5,S$1,$A665,$A665))))</f>
        <v/>
      </c>
      <c r="T665" s="8" t="str">
        <f>IF($A665="","",IF(ISNUMBER(FIND("IMPVOL",T$1)),_xll.BDH(config!$G$4,T$1,WORKDAY($A665,-1,config_Holiday_Calendar_US),WORKDAY($A665,-1,config_Holiday_Calendar_US)),IF(ISNUMBER(_xll.BDH(config!$G$4,T$1,$A665,$A665)),_xll.BDH(config!$G$4,T$1,$A665,$A665),_xll.BDH(config!$G$5,T$1,$A665,$A665))))</f>
        <v/>
      </c>
      <c r="U665" s="8" t="str">
        <f>IF($A665="","",IF(ISNUMBER(FIND("IMPVOL",U$1)),_xll.BDH(config!$G$4,U$1,WORKDAY($A665,-1,config_Holiday_Calendar_US),WORKDAY($A665,-1,config_Holiday_Calendar_US)),IF(ISNUMBER(_xll.BDH(config!$G$4,U$1,$A665,$A665)),_xll.BDH(config!$G$4,U$1,$A665,$A665),_xll.BDH(config!$G$5,U$1,$A665,$A665))))</f>
        <v/>
      </c>
      <c r="V665" s="8" t="str">
        <f>IF($A665="","",IF(ISNUMBER(FIND("IMPVOL",V$1)),_xll.BDH(config!$G$4,V$1,WORKDAY($A665,-1,config_Holiday_Calendar_US),WORKDAY($A665,-1,config_Holiday_Calendar_US)),IF(ISNUMBER(_xll.BDH(config!$G$4,V$1,$A665,$A665)),_xll.BDH(config!$G$4,V$1,$A665,$A665),_xll.BDH(config!$G$5,V$1,$A665,$A665))))</f>
        <v/>
      </c>
      <c r="W665" s="8" t="str">
        <f>IF($A665="","",IF(ISNUMBER(FIND("IMPVOL",W$1)),_xll.BDH(config!$G$4,W$1,WORKDAY($A665,-1,config_Holiday_Calendar_US),WORKDAY($A665,-1,config_Holiday_Calendar_US)),IF(ISNUMBER(_xll.BDH(config!$G$4,W$1,$A665,$A665)),_xll.BDH(config!$G$4,W$1,$A665,$A665),_xll.BDH(config!$G$5,W$1,$A665,$A665))))</f>
        <v/>
      </c>
    </row>
    <row r="666" spans="1:23" x14ac:dyDescent="0.2">
      <c r="A666" s="9" t="str">
        <f>IF(A665="","",IF(WORKDAY(A665,-1,config_Holiday_Calendar_US)&lt;config!$I$10,"",WORKDAY(A665,-1,config_Holiday_Calendar_US)))</f>
        <v/>
      </c>
      <c r="B666" s="8" t="str">
        <f t="shared" si="10"/>
        <v/>
      </c>
      <c r="C666" s="8" t="str">
        <f>IF(A666="","",_xll.BDH(config!$H$4,C$1,$A666,$A666))</f>
        <v/>
      </c>
      <c r="D666" s="8" t="str">
        <f>IF($A666="","",_xll.BDH(config!$H$4,D$1,$A666,$A666))</f>
        <v/>
      </c>
      <c r="E666" s="8" t="str">
        <f>IF($A666="","",IF(ISNUMBER(FIND("IMPVOL",E$1)),_xll.BDH(config!$G$4,E$1,WORKDAY($A666,-1,config_Holiday_Calendar_US),WORKDAY($A666,-1,config_Holiday_Calendar_US)),IF(ISNUMBER(_xll.BDH(config!$G$4,E$1,$A666,$A666)),_xll.BDH(config!$G$4,E$1,$A666,$A666),_xll.BDH(config!$G$5,E$1,$A666,$A666))))</f>
        <v/>
      </c>
      <c r="F666" s="8" t="str">
        <f>IF($A666="","",IF(ISNUMBER(FIND("IMPVOL",F$1)),_xll.BDH(config!$G$4,F$1,WORKDAY($A666,-1,config_Holiday_Calendar_US),WORKDAY($A666,-1,config_Holiday_Calendar_US)),IF(ISNUMBER(_xll.BDH(config!$G$4,F$1,$A666,$A666)),_xll.BDH(config!$G$4,F$1,$A666,$A666),_xll.BDH(config!$G$5,F$1,$A666,$A666))))</f>
        <v/>
      </c>
      <c r="G666" s="8" t="str">
        <f>IF($A666="","",IF(ISNUMBER(FIND("IMPVOL",G$1)),_xll.BDH(config!$G$4,G$1,WORKDAY($A666,-1,config_Holiday_Calendar_US),WORKDAY($A666,-1,config_Holiday_Calendar_US)),IF(ISNUMBER(_xll.BDH(config!$G$4,G$1,$A666,$A666)),_xll.BDH(config!$G$4,G$1,$A666,$A666),_xll.BDH(config!$G$5,G$1,$A666,$A666))))</f>
        <v/>
      </c>
      <c r="H666" s="8" t="str">
        <f>IF($A666="","",IF(ISNUMBER(FIND("IMPVOL",H$1)),_xll.BDH(config!$G$4,H$1,WORKDAY($A666,-1,config_Holiday_Calendar_US),WORKDAY($A666,-1,config_Holiday_Calendar_US)),IF(ISNUMBER(_xll.BDH(config!$G$4,H$1,$A666,$A666)),_xll.BDH(config!$G$4,H$1,$A666,$A666),_xll.BDH(config!$G$5,H$1,$A666,$A666))))</f>
        <v/>
      </c>
      <c r="I666" s="8" t="str">
        <f>IF($A666="","",IF(ISNUMBER(FIND("IMPVOL",I$1)),_xll.BDH(config!$G$4,I$1,WORKDAY($A666,-1,config_Holiday_Calendar_US),WORKDAY($A666,-1,config_Holiday_Calendar_US)),IF(ISNUMBER(_xll.BDH(config!$G$4,I$1,$A666,$A666)),_xll.BDH(config!$G$4,I$1,$A666,$A666),_xll.BDH(config!$G$5,I$1,$A666,$A666))))</f>
        <v/>
      </c>
      <c r="J666" s="8" t="str">
        <f>IF($A666="","",IF(ISNUMBER(FIND("IMPVOL",J$1)),_xll.BDH(config!$G$4,J$1,WORKDAY($A666,-1,config_Holiday_Calendar_US),WORKDAY($A666,-1,config_Holiday_Calendar_US)),IF(ISNUMBER(_xll.BDH(config!$G$4,J$1,$A666,$A666)),_xll.BDH(config!$G$4,J$1,$A666,$A666),_xll.BDH(config!$G$5,J$1,$A666,$A666))))</f>
        <v/>
      </c>
      <c r="K666" s="8" t="str">
        <f>IF($A666="","",IF(ISNUMBER(FIND("IMPVOL",K$1)),_xll.BDH(config!$G$4,K$1,WORKDAY($A666,-1,config_Holiday_Calendar_US),WORKDAY($A666,-1,config_Holiday_Calendar_US)),IF(ISNUMBER(_xll.BDH(config!$G$4,K$1,$A666,$A666)),_xll.BDH(config!$G$4,K$1,$A666,$A666),_xll.BDH(config!$G$5,K$1,$A666,$A666))))</f>
        <v/>
      </c>
      <c r="L666" s="8" t="str">
        <f>IF($A666="","",IF(ISNUMBER(FIND("IMPVOL",L$1)),_xll.BDH(config!$G$4,L$1,WORKDAY($A666,-1,config_Holiday_Calendar_US),WORKDAY($A666,-1,config_Holiday_Calendar_US)),IF(ISNUMBER(_xll.BDH(config!$G$4,L$1,$A666,$A666)),_xll.BDH(config!$G$4,L$1,$A666,$A666),_xll.BDH(config!$G$5,L$1,$A666,$A666))))</f>
        <v/>
      </c>
      <c r="M666" s="8" t="str">
        <f>IF($A666="","",IF(ISNUMBER(FIND("IMPVOL",M$1)),_xll.BDH(config!$G$4,M$1,WORKDAY($A666,-1,config_Holiday_Calendar_US),WORKDAY($A666,-1,config_Holiday_Calendar_US)),IF(ISNUMBER(_xll.BDH(config!$G$4,M$1,$A666,$A666)),_xll.BDH(config!$G$4,M$1,$A666,$A666),_xll.BDH(config!$G$5,M$1,$A666,$A666))))</f>
        <v/>
      </c>
      <c r="N666" s="8" t="str">
        <f>IF($A666="","",IF(ISNUMBER(FIND("IMPVOL",N$1)),_xll.BDH(config!$G$4,N$1,WORKDAY($A666,-1,config_Holiday_Calendar_US),WORKDAY($A666,-1,config_Holiday_Calendar_US)),IF(ISNUMBER(_xll.BDH(config!$G$4,N$1,$A666,$A666)),_xll.BDH(config!$G$4,N$1,$A666,$A666),_xll.BDH(config!$G$5,N$1,$A666,$A666))))</f>
        <v/>
      </c>
      <c r="O666" s="8" t="str">
        <f>IF($A666="","",IF(ISNUMBER(FIND("IMPVOL",O$1)),_xll.BDH(config!$G$4,O$1,WORKDAY($A666,-1,config_Holiday_Calendar_US),WORKDAY($A666,-1,config_Holiday_Calendar_US)),IF(ISNUMBER(_xll.BDH(config!$G$4,O$1,$A666,$A666)),_xll.BDH(config!$G$4,O$1,$A666,$A666),_xll.BDH(config!$G$5,O$1,$A666,$A666))))</f>
        <v/>
      </c>
      <c r="P666" s="8" t="str">
        <f>IF($A666="","",IF(ISNUMBER(FIND("IMPVOL",P$1)),_xll.BDH(config!$G$4,P$1,WORKDAY($A666,-1,config_Holiday_Calendar_US),WORKDAY($A666,-1,config_Holiday_Calendar_US)),IF(ISNUMBER(_xll.BDH(config!$G$4,P$1,$A666,$A666)),_xll.BDH(config!$G$4,P$1,$A666,$A666),_xll.BDH(config!$G$5,P$1,$A666,$A666))))</f>
        <v/>
      </c>
      <c r="Q666" s="8" t="str">
        <f>IF($A666="","",IF(ISNUMBER(FIND("IMPVOL",Q$1)),_xll.BDH(config!$G$4,Q$1,WORKDAY($A666,-1,config_Holiday_Calendar_US),WORKDAY($A666,-1,config_Holiday_Calendar_US)),IF(ISNUMBER(_xll.BDH(config!$G$4,Q$1,$A666,$A666)),_xll.BDH(config!$G$4,Q$1,$A666,$A666),_xll.BDH(config!$G$5,Q$1,$A666,$A666))))</f>
        <v/>
      </c>
      <c r="R666" s="8" t="str">
        <f>IF($A666="","",IF(ISNUMBER(FIND("IMPVOL",R$1)),_xll.BDH(config!$G$4,R$1,WORKDAY($A666,-1,config_Holiday_Calendar_US),WORKDAY($A666,-1,config_Holiday_Calendar_US)),IF(ISNUMBER(_xll.BDH(config!$G$4,R$1,$A666,$A666)),_xll.BDH(config!$G$4,R$1,$A666,$A666),_xll.BDH(config!$G$5,R$1,$A666,$A666))))</f>
        <v/>
      </c>
      <c r="S666" s="8" t="str">
        <f>IF($A666="","",IF(ISNUMBER(FIND("IMPVOL",S$1)),_xll.BDH(config!$G$4,S$1,WORKDAY($A666,-1,config_Holiday_Calendar_US),WORKDAY($A666,-1,config_Holiday_Calendar_US)),IF(ISNUMBER(_xll.BDH(config!$G$4,S$1,$A666,$A666)),_xll.BDH(config!$G$4,S$1,$A666,$A666),_xll.BDH(config!$G$5,S$1,$A666,$A666))))</f>
        <v/>
      </c>
      <c r="T666" s="8" t="str">
        <f>IF($A666="","",IF(ISNUMBER(FIND("IMPVOL",T$1)),_xll.BDH(config!$G$4,T$1,WORKDAY($A666,-1,config_Holiday_Calendar_US),WORKDAY($A666,-1,config_Holiday_Calendar_US)),IF(ISNUMBER(_xll.BDH(config!$G$4,T$1,$A666,$A666)),_xll.BDH(config!$G$4,T$1,$A666,$A666),_xll.BDH(config!$G$5,T$1,$A666,$A666))))</f>
        <v/>
      </c>
      <c r="U666" s="8" t="str">
        <f>IF($A666="","",IF(ISNUMBER(FIND("IMPVOL",U$1)),_xll.BDH(config!$G$4,U$1,WORKDAY($A666,-1,config_Holiday_Calendar_US),WORKDAY($A666,-1,config_Holiday_Calendar_US)),IF(ISNUMBER(_xll.BDH(config!$G$4,U$1,$A666,$A666)),_xll.BDH(config!$G$4,U$1,$A666,$A666),_xll.BDH(config!$G$5,U$1,$A666,$A666))))</f>
        <v/>
      </c>
      <c r="V666" s="8" t="str">
        <f>IF($A666="","",IF(ISNUMBER(FIND("IMPVOL",V$1)),_xll.BDH(config!$G$4,V$1,WORKDAY($A666,-1,config_Holiday_Calendar_US),WORKDAY($A666,-1,config_Holiday_Calendar_US)),IF(ISNUMBER(_xll.BDH(config!$G$4,V$1,$A666,$A666)),_xll.BDH(config!$G$4,V$1,$A666,$A666),_xll.BDH(config!$G$5,V$1,$A666,$A666))))</f>
        <v/>
      </c>
      <c r="W666" s="8" t="str">
        <f>IF($A666="","",IF(ISNUMBER(FIND("IMPVOL",W$1)),_xll.BDH(config!$G$4,W$1,WORKDAY($A666,-1,config_Holiday_Calendar_US),WORKDAY($A666,-1,config_Holiday_Calendar_US)),IF(ISNUMBER(_xll.BDH(config!$G$4,W$1,$A666,$A666)),_xll.BDH(config!$G$4,W$1,$A666,$A666),_xll.BDH(config!$G$5,W$1,$A666,$A666))))</f>
        <v/>
      </c>
    </row>
    <row r="667" spans="1:23" x14ac:dyDescent="0.2">
      <c r="A667" s="9" t="str">
        <f>IF(A666="","",IF(WORKDAY(A666,-1,config_Holiday_Calendar_US)&lt;config!$I$10,"",WORKDAY(A666,-1,config_Holiday_Calendar_US)))</f>
        <v/>
      </c>
      <c r="B667" s="8" t="str">
        <f t="shared" si="10"/>
        <v/>
      </c>
      <c r="C667" s="8" t="str">
        <f>IF(A667="","",_xll.BDH(config!$H$4,C$1,$A667,$A667))</f>
        <v/>
      </c>
      <c r="D667" s="8" t="str">
        <f>IF($A667="","",_xll.BDH(config!$H$4,D$1,$A667,$A667))</f>
        <v/>
      </c>
      <c r="E667" s="8" t="str">
        <f>IF($A667="","",IF(ISNUMBER(FIND("IMPVOL",E$1)),_xll.BDH(config!$G$4,E$1,WORKDAY($A667,-1,config_Holiday_Calendar_US),WORKDAY($A667,-1,config_Holiday_Calendar_US)),IF(ISNUMBER(_xll.BDH(config!$G$4,E$1,$A667,$A667)),_xll.BDH(config!$G$4,E$1,$A667,$A667),_xll.BDH(config!$G$5,E$1,$A667,$A667))))</f>
        <v/>
      </c>
      <c r="F667" s="8" t="str">
        <f>IF($A667="","",IF(ISNUMBER(FIND("IMPVOL",F$1)),_xll.BDH(config!$G$4,F$1,WORKDAY($A667,-1,config_Holiday_Calendar_US),WORKDAY($A667,-1,config_Holiday_Calendar_US)),IF(ISNUMBER(_xll.BDH(config!$G$4,F$1,$A667,$A667)),_xll.BDH(config!$G$4,F$1,$A667,$A667),_xll.BDH(config!$G$5,F$1,$A667,$A667))))</f>
        <v/>
      </c>
      <c r="G667" s="8" t="str">
        <f>IF($A667="","",IF(ISNUMBER(FIND("IMPVOL",G$1)),_xll.BDH(config!$G$4,G$1,WORKDAY($A667,-1,config_Holiday_Calendar_US),WORKDAY($A667,-1,config_Holiday_Calendar_US)),IF(ISNUMBER(_xll.BDH(config!$G$4,G$1,$A667,$A667)),_xll.BDH(config!$G$4,G$1,$A667,$A667),_xll.BDH(config!$G$5,G$1,$A667,$A667))))</f>
        <v/>
      </c>
      <c r="H667" s="8" t="str">
        <f>IF($A667="","",IF(ISNUMBER(FIND("IMPVOL",H$1)),_xll.BDH(config!$G$4,H$1,WORKDAY($A667,-1,config_Holiday_Calendar_US),WORKDAY($A667,-1,config_Holiday_Calendar_US)),IF(ISNUMBER(_xll.BDH(config!$G$4,H$1,$A667,$A667)),_xll.BDH(config!$G$4,H$1,$A667,$A667),_xll.BDH(config!$G$5,H$1,$A667,$A667))))</f>
        <v/>
      </c>
      <c r="I667" s="8" t="str">
        <f>IF($A667="","",IF(ISNUMBER(FIND("IMPVOL",I$1)),_xll.BDH(config!$G$4,I$1,WORKDAY($A667,-1,config_Holiday_Calendar_US),WORKDAY($A667,-1,config_Holiday_Calendar_US)),IF(ISNUMBER(_xll.BDH(config!$G$4,I$1,$A667,$A667)),_xll.BDH(config!$G$4,I$1,$A667,$A667),_xll.BDH(config!$G$5,I$1,$A667,$A667))))</f>
        <v/>
      </c>
      <c r="J667" s="8" t="str">
        <f>IF($A667="","",IF(ISNUMBER(FIND("IMPVOL",J$1)),_xll.BDH(config!$G$4,J$1,WORKDAY($A667,-1,config_Holiday_Calendar_US),WORKDAY($A667,-1,config_Holiday_Calendar_US)),IF(ISNUMBER(_xll.BDH(config!$G$4,J$1,$A667,$A667)),_xll.BDH(config!$G$4,J$1,$A667,$A667),_xll.BDH(config!$G$5,J$1,$A667,$A667))))</f>
        <v/>
      </c>
      <c r="K667" s="8" t="str">
        <f>IF($A667="","",IF(ISNUMBER(FIND("IMPVOL",K$1)),_xll.BDH(config!$G$4,K$1,WORKDAY($A667,-1,config_Holiday_Calendar_US),WORKDAY($A667,-1,config_Holiday_Calendar_US)),IF(ISNUMBER(_xll.BDH(config!$G$4,K$1,$A667,$A667)),_xll.BDH(config!$G$4,K$1,$A667,$A667),_xll.BDH(config!$G$5,K$1,$A667,$A667))))</f>
        <v/>
      </c>
      <c r="L667" s="8" t="str">
        <f>IF($A667="","",IF(ISNUMBER(FIND("IMPVOL",L$1)),_xll.BDH(config!$G$4,L$1,WORKDAY($A667,-1,config_Holiday_Calendar_US),WORKDAY($A667,-1,config_Holiday_Calendar_US)),IF(ISNUMBER(_xll.BDH(config!$G$4,L$1,$A667,$A667)),_xll.BDH(config!$G$4,L$1,$A667,$A667),_xll.BDH(config!$G$5,L$1,$A667,$A667))))</f>
        <v/>
      </c>
      <c r="M667" s="8" t="str">
        <f>IF($A667="","",IF(ISNUMBER(FIND("IMPVOL",M$1)),_xll.BDH(config!$G$4,M$1,WORKDAY($A667,-1,config_Holiday_Calendar_US),WORKDAY($A667,-1,config_Holiday_Calendar_US)),IF(ISNUMBER(_xll.BDH(config!$G$4,M$1,$A667,$A667)),_xll.BDH(config!$G$4,M$1,$A667,$A667),_xll.BDH(config!$G$5,M$1,$A667,$A667))))</f>
        <v/>
      </c>
      <c r="N667" s="8" t="str">
        <f>IF($A667="","",IF(ISNUMBER(FIND("IMPVOL",N$1)),_xll.BDH(config!$G$4,N$1,WORKDAY($A667,-1,config_Holiday_Calendar_US),WORKDAY($A667,-1,config_Holiday_Calendar_US)),IF(ISNUMBER(_xll.BDH(config!$G$4,N$1,$A667,$A667)),_xll.BDH(config!$G$4,N$1,$A667,$A667),_xll.BDH(config!$G$5,N$1,$A667,$A667))))</f>
        <v/>
      </c>
      <c r="O667" s="8" t="str">
        <f>IF($A667="","",IF(ISNUMBER(FIND("IMPVOL",O$1)),_xll.BDH(config!$G$4,O$1,WORKDAY($A667,-1,config_Holiday_Calendar_US),WORKDAY($A667,-1,config_Holiday_Calendar_US)),IF(ISNUMBER(_xll.BDH(config!$G$4,O$1,$A667,$A667)),_xll.BDH(config!$G$4,O$1,$A667,$A667),_xll.BDH(config!$G$5,O$1,$A667,$A667))))</f>
        <v/>
      </c>
      <c r="P667" s="8" t="str">
        <f>IF($A667="","",IF(ISNUMBER(FIND("IMPVOL",P$1)),_xll.BDH(config!$G$4,P$1,WORKDAY($A667,-1,config_Holiday_Calendar_US),WORKDAY($A667,-1,config_Holiday_Calendar_US)),IF(ISNUMBER(_xll.BDH(config!$G$4,P$1,$A667,$A667)),_xll.BDH(config!$G$4,P$1,$A667,$A667),_xll.BDH(config!$G$5,P$1,$A667,$A667))))</f>
        <v/>
      </c>
      <c r="Q667" s="8" t="str">
        <f>IF($A667="","",IF(ISNUMBER(FIND("IMPVOL",Q$1)),_xll.BDH(config!$G$4,Q$1,WORKDAY($A667,-1,config_Holiday_Calendar_US),WORKDAY($A667,-1,config_Holiday_Calendar_US)),IF(ISNUMBER(_xll.BDH(config!$G$4,Q$1,$A667,$A667)),_xll.BDH(config!$G$4,Q$1,$A667,$A667),_xll.BDH(config!$G$5,Q$1,$A667,$A667))))</f>
        <v/>
      </c>
      <c r="R667" s="8" t="str">
        <f>IF($A667="","",IF(ISNUMBER(FIND("IMPVOL",R$1)),_xll.BDH(config!$G$4,R$1,WORKDAY($A667,-1,config_Holiday_Calendar_US),WORKDAY($A667,-1,config_Holiday_Calendar_US)),IF(ISNUMBER(_xll.BDH(config!$G$4,R$1,$A667,$A667)),_xll.BDH(config!$G$4,R$1,$A667,$A667),_xll.BDH(config!$G$5,R$1,$A667,$A667))))</f>
        <v/>
      </c>
      <c r="S667" s="8" t="str">
        <f>IF($A667="","",IF(ISNUMBER(FIND("IMPVOL",S$1)),_xll.BDH(config!$G$4,S$1,WORKDAY($A667,-1,config_Holiday_Calendar_US),WORKDAY($A667,-1,config_Holiday_Calendar_US)),IF(ISNUMBER(_xll.BDH(config!$G$4,S$1,$A667,$A667)),_xll.BDH(config!$G$4,S$1,$A667,$A667),_xll.BDH(config!$G$5,S$1,$A667,$A667))))</f>
        <v/>
      </c>
      <c r="T667" s="8" t="str">
        <f>IF($A667="","",IF(ISNUMBER(FIND("IMPVOL",T$1)),_xll.BDH(config!$G$4,T$1,WORKDAY($A667,-1,config_Holiday_Calendar_US),WORKDAY($A667,-1,config_Holiday_Calendar_US)),IF(ISNUMBER(_xll.BDH(config!$G$4,T$1,$A667,$A667)),_xll.BDH(config!$G$4,T$1,$A667,$A667),_xll.BDH(config!$G$5,T$1,$A667,$A667))))</f>
        <v/>
      </c>
      <c r="U667" s="8" t="str">
        <f>IF($A667="","",IF(ISNUMBER(FIND("IMPVOL",U$1)),_xll.BDH(config!$G$4,U$1,WORKDAY($A667,-1,config_Holiday_Calendar_US),WORKDAY($A667,-1,config_Holiday_Calendar_US)),IF(ISNUMBER(_xll.BDH(config!$G$4,U$1,$A667,$A667)),_xll.BDH(config!$G$4,U$1,$A667,$A667),_xll.BDH(config!$G$5,U$1,$A667,$A667))))</f>
        <v/>
      </c>
      <c r="V667" s="8" t="str">
        <f>IF($A667="","",IF(ISNUMBER(FIND("IMPVOL",V$1)),_xll.BDH(config!$G$4,V$1,WORKDAY($A667,-1,config_Holiday_Calendar_US),WORKDAY($A667,-1,config_Holiday_Calendar_US)),IF(ISNUMBER(_xll.BDH(config!$G$4,V$1,$A667,$A667)),_xll.BDH(config!$G$4,V$1,$A667,$A667),_xll.BDH(config!$G$5,V$1,$A667,$A667))))</f>
        <v/>
      </c>
      <c r="W667" s="8" t="str">
        <f>IF($A667="","",IF(ISNUMBER(FIND("IMPVOL",W$1)),_xll.BDH(config!$G$4,W$1,WORKDAY($A667,-1,config_Holiday_Calendar_US),WORKDAY($A667,-1,config_Holiday_Calendar_US)),IF(ISNUMBER(_xll.BDH(config!$G$4,W$1,$A667,$A667)),_xll.BDH(config!$G$4,W$1,$A667,$A667),_xll.BDH(config!$G$5,W$1,$A667,$A667))))</f>
        <v/>
      </c>
    </row>
    <row r="668" spans="1:23" x14ac:dyDescent="0.2">
      <c r="A668" s="9" t="str">
        <f>IF(A667="","",IF(WORKDAY(A667,-1,config_Holiday_Calendar_US)&lt;config!$I$10,"",WORKDAY(A667,-1,config_Holiday_Calendar_US)))</f>
        <v/>
      </c>
      <c r="B668" s="8" t="str">
        <f t="shared" si="10"/>
        <v/>
      </c>
      <c r="C668" s="8" t="str">
        <f>IF(A668="","",_xll.BDH(config!$H$4,C$1,$A668,$A668))</f>
        <v/>
      </c>
      <c r="D668" s="8" t="str">
        <f>IF($A668="","",_xll.BDH(config!$H$4,D$1,$A668,$A668))</f>
        <v/>
      </c>
      <c r="E668" s="8" t="str">
        <f>IF($A668="","",IF(ISNUMBER(FIND("IMPVOL",E$1)),_xll.BDH(config!$G$4,E$1,WORKDAY($A668,-1,config_Holiday_Calendar_US),WORKDAY($A668,-1,config_Holiday_Calendar_US)),IF(ISNUMBER(_xll.BDH(config!$G$4,E$1,$A668,$A668)),_xll.BDH(config!$G$4,E$1,$A668,$A668),_xll.BDH(config!$G$5,E$1,$A668,$A668))))</f>
        <v/>
      </c>
      <c r="F668" s="8" t="str">
        <f>IF($A668="","",IF(ISNUMBER(FIND("IMPVOL",F$1)),_xll.BDH(config!$G$4,F$1,WORKDAY($A668,-1,config_Holiday_Calendar_US),WORKDAY($A668,-1,config_Holiday_Calendar_US)),IF(ISNUMBER(_xll.BDH(config!$G$4,F$1,$A668,$A668)),_xll.BDH(config!$G$4,F$1,$A668,$A668),_xll.BDH(config!$G$5,F$1,$A668,$A668))))</f>
        <v/>
      </c>
      <c r="G668" s="8" t="str">
        <f>IF($A668="","",IF(ISNUMBER(FIND("IMPVOL",G$1)),_xll.BDH(config!$G$4,G$1,WORKDAY($A668,-1,config_Holiday_Calendar_US),WORKDAY($A668,-1,config_Holiday_Calendar_US)),IF(ISNUMBER(_xll.BDH(config!$G$4,G$1,$A668,$A668)),_xll.BDH(config!$G$4,G$1,$A668,$A668),_xll.BDH(config!$G$5,G$1,$A668,$A668))))</f>
        <v/>
      </c>
      <c r="H668" s="8" t="str">
        <f>IF($A668="","",IF(ISNUMBER(FIND("IMPVOL",H$1)),_xll.BDH(config!$G$4,H$1,WORKDAY($A668,-1,config_Holiday_Calendar_US),WORKDAY($A668,-1,config_Holiday_Calendar_US)),IF(ISNUMBER(_xll.BDH(config!$G$4,H$1,$A668,$A668)),_xll.BDH(config!$G$4,H$1,$A668,$A668),_xll.BDH(config!$G$5,H$1,$A668,$A668))))</f>
        <v/>
      </c>
      <c r="I668" s="8" t="str">
        <f>IF($A668="","",IF(ISNUMBER(FIND("IMPVOL",I$1)),_xll.BDH(config!$G$4,I$1,WORKDAY($A668,-1,config_Holiday_Calendar_US),WORKDAY($A668,-1,config_Holiday_Calendar_US)),IF(ISNUMBER(_xll.BDH(config!$G$4,I$1,$A668,$A668)),_xll.BDH(config!$G$4,I$1,$A668,$A668),_xll.BDH(config!$G$5,I$1,$A668,$A668))))</f>
        <v/>
      </c>
      <c r="J668" s="8" t="str">
        <f>IF($A668="","",IF(ISNUMBER(FIND("IMPVOL",J$1)),_xll.BDH(config!$G$4,J$1,WORKDAY($A668,-1,config_Holiday_Calendar_US),WORKDAY($A668,-1,config_Holiday_Calendar_US)),IF(ISNUMBER(_xll.BDH(config!$G$4,J$1,$A668,$A668)),_xll.BDH(config!$G$4,J$1,$A668,$A668),_xll.BDH(config!$G$5,J$1,$A668,$A668))))</f>
        <v/>
      </c>
      <c r="K668" s="8" t="str">
        <f>IF($A668="","",IF(ISNUMBER(FIND("IMPVOL",K$1)),_xll.BDH(config!$G$4,K$1,WORKDAY($A668,-1,config_Holiday_Calendar_US),WORKDAY($A668,-1,config_Holiday_Calendar_US)),IF(ISNUMBER(_xll.BDH(config!$G$4,K$1,$A668,$A668)),_xll.BDH(config!$G$4,K$1,$A668,$A668),_xll.BDH(config!$G$5,K$1,$A668,$A668))))</f>
        <v/>
      </c>
      <c r="L668" s="8" t="str">
        <f>IF($A668="","",IF(ISNUMBER(FIND("IMPVOL",L$1)),_xll.BDH(config!$G$4,L$1,WORKDAY($A668,-1,config_Holiday_Calendar_US),WORKDAY($A668,-1,config_Holiday_Calendar_US)),IF(ISNUMBER(_xll.BDH(config!$G$4,L$1,$A668,$A668)),_xll.BDH(config!$G$4,L$1,$A668,$A668),_xll.BDH(config!$G$5,L$1,$A668,$A668))))</f>
        <v/>
      </c>
      <c r="M668" s="8" t="str">
        <f>IF($A668="","",IF(ISNUMBER(FIND("IMPVOL",M$1)),_xll.BDH(config!$G$4,M$1,WORKDAY($A668,-1,config_Holiday_Calendar_US),WORKDAY($A668,-1,config_Holiday_Calendar_US)),IF(ISNUMBER(_xll.BDH(config!$G$4,M$1,$A668,$A668)),_xll.BDH(config!$G$4,M$1,$A668,$A668),_xll.BDH(config!$G$5,M$1,$A668,$A668))))</f>
        <v/>
      </c>
      <c r="N668" s="8" t="str">
        <f>IF($A668="","",IF(ISNUMBER(FIND("IMPVOL",N$1)),_xll.BDH(config!$G$4,N$1,WORKDAY($A668,-1,config_Holiday_Calendar_US),WORKDAY($A668,-1,config_Holiday_Calendar_US)),IF(ISNUMBER(_xll.BDH(config!$G$4,N$1,$A668,$A668)),_xll.BDH(config!$G$4,N$1,$A668,$A668),_xll.BDH(config!$G$5,N$1,$A668,$A668))))</f>
        <v/>
      </c>
      <c r="O668" s="8" t="str">
        <f>IF($A668="","",IF(ISNUMBER(FIND("IMPVOL",O$1)),_xll.BDH(config!$G$4,O$1,WORKDAY($A668,-1,config_Holiday_Calendar_US),WORKDAY($A668,-1,config_Holiday_Calendar_US)),IF(ISNUMBER(_xll.BDH(config!$G$4,O$1,$A668,$A668)),_xll.BDH(config!$G$4,O$1,$A668,$A668),_xll.BDH(config!$G$5,O$1,$A668,$A668))))</f>
        <v/>
      </c>
      <c r="P668" s="8" t="str">
        <f>IF($A668="","",IF(ISNUMBER(FIND("IMPVOL",P$1)),_xll.BDH(config!$G$4,P$1,WORKDAY($A668,-1,config_Holiday_Calendar_US),WORKDAY($A668,-1,config_Holiday_Calendar_US)),IF(ISNUMBER(_xll.BDH(config!$G$4,P$1,$A668,$A668)),_xll.BDH(config!$G$4,P$1,$A668,$A668),_xll.BDH(config!$G$5,P$1,$A668,$A668))))</f>
        <v/>
      </c>
      <c r="Q668" s="8" t="str">
        <f>IF($A668="","",IF(ISNUMBER(FIND("IMPVOL",Q$1)),_xll.BDH(config!$G$4,Q$1,WORKDAY($A668,-1,config_Holiday_Calendar_US),WORKDAY($A668,-1,config_Holiday_Calendar_US)),IF(ISNUMBER(_xll.BDH(config!$G$4,Q$1,$A668,$A668)),_xll.BDH(config!$G$4,Q$1,$A668,$A668),_xll.BDH(config!$G$5,Q$1,$A668,$A668))))</f>
        <v/>
      </c>
      <c r="R668" s="8" t="str">
        <f>IF($A668="","",IF(ISNUMBER(FIND("IMPVOL",R$1)),_xll.BDH(config!$G$4,R$1,WORKDAY($A668,-1,config_Holiday_Calendar_US),WORKDAY($A668,-1,config_Holiday_Calendar_US)),IF(ISNUMBER(_xll.BDH(config!$G$4,R$1,$A668,$A668)),_xll.BDH(config!$G$4,R$1,$A668,$A668),_xll.BDH(config!$G$5,R$1,$A668,$A668))))</f>
        <v/>
      </c>
      <c r="S668" s="8" t="str">
        <f>IF($A668="","",IF(ISNUMBER(FIND("IMPVOL",S$1)),_xll.BDH(config!$G$4,S$1,WORKDAY($A668,-1,config_Holiday_Calendar_US),WORKDAY($A668,-1,config_Holiday_Calendar_US)),IF(ISNUMBER(_xll.BDH(config!$G$4,S$1,$A668,$A668)),_xll.BDH(config!$G$4,S$1,$A668,$A668),_xll.BDH(config!$G$5,S$1,$A668,$A668))))</f>
        <v/>
      </c>
      <c r="T668" s="8" t="str">
        <f>IF($A668="","",IF(ISNUMBER(FIND("IMPVOL",T$1)),_xll.BDH(config!$G$4,T$1,WORKDAY($A668,-1,config_Holiday_Calendar_US),WORKDAY($A668,-1,config_Holiday_Calendar_US)),IF(ISNUMBER(_xll.BDH(config!$G$4,T$1,$A668,$A668)),_xll.BDH(config!$G$4,T$1,$A668,$A668),_xll.BDH(config!$G$5,T$1,$A668,$A668))))</f>
        <v/>
      </c>
      <c r="U668" s="8" t="str">
        <f>IF($A668="","",IF(ISNUMBER(FIND("IMPVOL",U$1)),_xll.BDH(config!$G$4,U$1,WORKDAY($A668,-1,config_Holiday_Calendar_US),WORKDAY($A668,-1,config_Holiday_Calendar_US)),IF(ISNUMBER(_xll.BDH(config!$G$4,U$1,$A668,$A668)),_xll.BDH(config!$G$4,U$1,$A668,$A668),_xll.BDH(config!$G$5,U$1,$A668,$A668))))</f>
        <v/>
      </c>
      <c r="V668" s="8" t="str">
        <f>IF($A668="","",IF(ISNUMBER(FIND("IMPVOL",V$1)),_xll.BDH(config!$G$4,V$1,WORKDAY($A668,-1,config_Holiday_Calendar_US),WORKDAY($A668,-1,config_Holiday_Calendar_US)),IF(ISNUMBER(_xll.BDH(config!$G$4,V$1,$A668,$A668)),_xll.BDH(config!$G$4,V$1,$A668,$A668),_xll.BDH(config!$G$5,V$1,$A668,$A668))))</f>
        <v/>
      </c>
      <c r="W668" s="8" t="str">
        <f>IF($A668="","",IF(ISNUMBER(FIND("IMPVOL",W$1)),_xll.BDH(config!$G$4,W$1,WORKDAY($A668,-1,config_Holiday_Calendar_US),WORKDAY($A668,-1,config_Holiday_Calendar_US)),IF(ISNUMBER(_xll.BDH(config!$G$4,W$1,$A668,$A668)),_xll.BDH(config!$G$4,W$1,$A668,$A668),_xll.BDH(config!$G$5,W$1,$A668,$A668))))</f>
        <v/>
      </c>
    </row>
    <row r="669" spans="1:23" x14ac:dyDescent="0.2">
      <c r="A669" s="9" t="str">
        <f>IF(A668="","",IF(WORKDAY(A668,-1,config_Holiday_Calendar_US)&lt;config!$I$10,"",WORKDAY(A668,-1,config_Holiday_Calendar_US)))</f>
        <v/>
      </c>
      <c r="B669" s="8" t="str">
        <f t="shared" si="10"/>
        <v/>
      </c>
      <c r="C669" s="8" t="str">
        <f>IF(A669="","",_xll.BDH(config!$H$4,C$1,$A669,$A669))</f>
        <v/>
      </c>
      <c r="D669" s="8" t="str">
        <f>IF($A669="","",_xll.BDH(config!$H$4,D$1,$A669,$A669))</f>
        <v/>
      </c>
      <c r="E669" s="8" t="str">
        <f>IF($A669="","",IF(ISNUMBER(FIND("IMPVOL",E$1)),_xll.BDH(config!$G$4,E$1,WORKDAY($A669,-1,config_Holiday_Calendar_US),WORKDAY($A669,-1,config_Holiday_Calendar_US)),IF(ISNUMBER(_xll.BDH(config!$G$4,E$1,$A669,$A669)),_xll.BDH(config!$G$4,E$1,$A669,$A669),_xll.BDH(config!$G$5,E$1,$A669,$A669))))</f>
        <v/>
      </c>
      <c r="F669" s="8" t="str">
        <f>IF($A669="","",IF(ISNUMBER(FIND("IMPVOL",F$1)),_xll.BDH(config!$G$4,F$1,WORKDAY($A669,-1,config_Holiday_Calendar_US),WORKDAY($A669,-1,config_Holiday_Calendar_US)),IF(ISNUMBER(_xll.BDH(config!$G$4,F$1,$A669,$A669)),_xll.BDH(config!$G$4,F$1,$A669,$A669),_xll.BDH(config!$G$5,F$1,$A669,$A669))))</f>
        <v/>
      </c>
      <c r="G669" s="8" t="str">
        <f>IF($A669="","",IF(ISNUMBER(FIND("IMPVOL",G$1)),_xll.BDH(config!$G$4,G$1,WORKDAY($A669,-1,config_Holiday_Calendar_US),WORKDAY($A669,-1,config_Holiday_Calendar_US)),IF(ISNUMBER(_xll.BDH(config!$G$4,G$1,$A669,$A669)),_xll.BDH(config!$G$4,G$1,$A669,$A669),_xll.BDH(config!$G$5,G$1,$A669,$A669))))</f>
        <v/>
      </c>
      <c r="H669" s="8" t="str">
        <f>IF($A669="","",IF(ISNUMBER(FIND("IMPVOL",H$1)),_xll.BDH(config!$G$4,H$1,WORKDAY($A669,-1,config_Holiday_Calendar_US),WORKDAY($A669,-1,config_Holiday_Calendar_US)),IF(ISNUMBER(_xll.BDH(config!$G$4,H$1,$A669,$A669)),_xll.BDH(config!$G$4,H$1,$A669,$A669),_xll.BDH(config!$G$5,H$1,$A669,$A669))))</f>
        <v/>
      </c>
      <c r="I669" s="8" t="str">
        <f>IF($A669="","",IF(ISNUMBER(FIND("IMPVOL",I$1)),_xll.BDH(config!$G$4,I$1,WORKDAY($A669,-1,config_Holiday_Calendar_US),WORKDAY($A669,-1,config_Holiday_Calendar_US)),IF(ISNUMBER(_xll.BDH(config!$G$4,I$1,$A669,$A669)),_xll.BDH(config!$G$4,I$1,$A669,$A669),_xll.BDH(config!$G$5,I$1,$A669,$A669))))</f>
        <v/>
      </c>
      <c r="J669" s="8" t="str">
        <f>IF($A669="","",IF(ISNUMBER(FIND("IMPVOL",J$1)),_xll.BDH(config!$G$4,J$1,WORKDAY($A669,-1,config_Holiday_Calendar_US),WORKDAY($A669,-1,config_Holiday_Calendar_US)),IF(ISNUMBER(_xll.BDH(config!$G$4,J$1,$A669,$A669)),_xll.BDH(config!$G$4,J$1,$A669,$A669),_xll.BDH(config!$G$5,J$1,$A669,$A669))))</f>
        <v/>
      </c>
      <c r="K669" s="8" t="str">
        <f>IF($A669="","",IF(ISNUMBER(FIND("IMPVOL",K$1)),_xll.BDH(config!$G$4,K$1,WORKDAY($A669,-1,config_Holiday_Calendar_US),WORKDAY($A669,-1,config_Holiday_Calendar_US)),IF(ISNUMBER(_xll.BDH(config!$G$4,K$1,$A669,$A669)),_xll.BDH(config!$G$4,K$1,$A669,$A669),_xll.BDH(config!$G$5,K$1,$A669,$A669))))</f>
        <v/>
      </c>
      <c r="L669" s="8" t="str">
        <f>IF($A669="","",IF(ISNUMBER(FIND("IMPVOL",L$1)),_xll.BDH(config!$G$4,L$1,WORKDAY($A669,-1,config_Holiday_Calendar_US),WORKDAY($A669,-1,config_Holiday_Calendar_US)),IF(ISNUMBER(_xll.BDH(config!$G$4,L$1,$A669,$A669)),_xll.BDH(config!$G$4,L$1,$A669,$A669),_xll.BDH(config!$G$5,L$1,$A669,$A669))))</f>
        <v/>
      </c>
      <c r="M669" s="8" t="str">
        <f>IF($A669="","",IF(ISNUMBER(FIND("IMPVOL",M$1)),_xll.BDH(config!$G$4,M$1,WORKDAY($A669,-1,config_Holiday_Calendar_US),WORKDAY($A669,-1,config_Holiday_Calendar_US)),IF(ISNUMBER(_xll.BDH(config!$G$4,M$1,$A669,$A669)),_xll.BDH(config!$G$4,M$1,$A669,$A669),_xll.BDH(config!$G$5,M$1,$A669,$A669))))</f>
        <v/>
      </c>
      <c r="N669" s="8" t="str">
        <f>IF($A669="","",IF(ISNUMBER(FIND("IMPVOL",N$1)),_xll.BDH(config!$G$4,N$1,WORKDAY($A669,-1,config_Holiday_Calendar_US),WORKDAY($A669,-1,config_Holiday_Calendar_US)),IF(ISNUMBER(_xll.BDH(config!$G$4,N$1,$A669,$A669)),_xll.BDH(config!$G$4,N$1,$A669,$A669),_xll.BDH(config!$G$5,N$1,$A669,$A669))))</f>
        <v/>
      </c>
      <c r="O669" s="8" t="str">
        <f>IF($A669="","",IF(ISNUMBER(FIND("IMPVOL",O$1)),_xll.BDH(config!$G$4,O$1,WORKDAY($A669,-1,config_Holiday_Calendar_US),WORKDAY($A669,-1,config_Holiday_Calendar_US)),IF(ISNUMBER(_xll.BDH(config!$G$4,O$1,$A669,$A669)),_xll.BDH(config!$G$4,O$1,$A669,$A669),_xll.BDH(config!$G$5,O$1,$A669,$A669))))</f>
        <v/>
      </c>
      <c r="P669" s="8" t="str">
        <f>IF($A669="","",IF(ISNUMBER(FIND("IMPVOL",P$1)),_xll.BDH(config!$G$4,P$1,WORKDAY($A669,-1,config_Holiday_Calendar_US),WORKDAY($A669,-1,config_Holiday_Calendar_US)),IF(ISNUMBER(_xll.BDH(config!$G$4,P$1,$A669,$A669)),_xll.BDH(config!$G$4,P$1,$A669,$A669),_xll.BDH(config!$G$5,P$1,$A669,$A669))))</f>
        <v/>
      </c>
      <c r="Q669" s="8" t="str">
        <f>IF($A669="","",IF(ISNUMBER(FIND("IMPVOL",Q$1)),_xll.BDH(config!$G$4,Q$1,WORKDAY($A669,-1,config_Holiday_Calendar_US),WORKDAY($A669,-1,config_Holiday_Calendar_US)),IF(ISNUMBER(_xll.BDH(config!$G$4,Q$1,$A669,$A669)),_xll.BDH(config!$G$4,Q$1,$A669,$A669),_xll.BDH(config!$G$5,Q$1,$A669,$A669))))</f>
        <v/>
      </c>
      <c r="R669" s="8" t="str">
        <f>IF($A669="","",IF(ISNUMBER(FIND("IMPVOL",R$1)),_xll.BDH(config!$G$4,R$1,WORKDAY($A669,-1,config_Holiday_Calendar_US),WORKDAY($A669,-1,config_Holiday_Calendar_US)),IF(ISNUMBER(_xll.BDH(config!$G$4,R$1,$A669,$A669)),_xll.BDH(config!$G$4,R$1,$A669,$A669),_xll.BDH(config!$G$5,R$1,$A669,$A669))))</f>
        <v/>
      </c>
      <c r="S669" s="8" t="str">
        <f>IF($A669="","",IF(ISNUMBER(FIND("IMPVOL",S$1)),_xll.BDH(config!$G$4,S$1,WORKDAY($A669,-1,config_Holiday_Calendar_US),WORKDAY($A669,-1,config_Holiday_Calendar_US)),IF(ISNUMBER(_xll.BDH(config!$G$4,S$1,$A669,$A669)),_xll.BDH(config!$G$4,S$1,$A669,$A669),_xll.BDH(config!$G$5,S$1,$A669,$A669))))</f>
        <v/>
      </c>
      <c r="T669" s="8" t="str">
        <f>IF($A669="","",IF(ISNUMBER(FIND("IMPVOL",T$1)),_xll.BDH(config!$G$4,T$1,WORKDAY($A669,-1,config_Holiday_Calendar_US),WORKDAY($A669,-1,config_Holiday_Calendar_US)),IF(ISNUMBER(_xll.BDH(config!$G$4,T$1,$A669,$A669)),_xll.BDH(config!$G$4,T$1,$A669,$A669),_xll.BDH(config!$G$5,T$1,$A669,$A669))))</f>
        <v/>
      </c>
      <c r="U669" s="8" t="str">
        <f>IF($A669="","",IF(ISNUMBER(FIND("IMPVOL",U$1)),_xll.BDH(config!$G$4,U$1,WORKDAY($A669,-1,config_Holiday_Calendar_US),WORKDAY($A669,-1,config_Holiday_Calendar_US)),IF(ISNUMBER(_xll.BDH(config!$G$4,U$1,$A669,$A669)),_xll.BDH(config!$G$4,U$1,$A669,$A669),_xll.BDH(config!$G$5,U$1,$A669,$A669))))</f>
        <v/>
      </c>
      <c r="V669" s="8" t="str">
        <f>IF($A669="","",IF(ISNUMBER(FIND("IMPVOL",V$1)),_xll.BDH(config!$G$4,V$1,WORKDAY($A669,-1,config_Holiday_Calendar_US),WORKDAY($A669,-1,config_Holiday_Calendar_US)),IF(ISNUMBER(_xll.BDH(config!$G$4,V$1,$A669,$A669)),_xll.BDH(config!$G$4,V$1,$A669,$A669),_xll.BDH(config!$G$5,V$1,$A669,$A669))))</f>
        <v/>
      </c>
      <c r="W669" s="8" t="str">
        <f>IF($A669="","",IF(ISNUMBER(FIND("IMPVOL",W$1)),_xll.BDH(config!$G$4,W$1,WORKDAY($A669,-1,config_Holiday_Calendar_US),WORKDAY($A669,-1,config_Holiday_Calendar_US)),IF(ISNUMBER(_xll.BDH(config!$G$4,W$1,$A669,$A669)),_xll.BDH(config!$G$4,W$1,$A669,$A669),_xll.BDH(config!$G$5,W$1,$A669,$A669))))</f>
        <v/>
      </c>
    </row>
    <row r="670" spans="1:23" x14ac:dyDescent="0.2">
      <c r="A670" s="9" t="str">
        <f>IF(A669="","",IF(WORKDAY(A669,-1,config_Holiday_Calendar_US)&lt;config!$I$10,"",WORKDAY(A669,-1,config_Holiday_Calendar_US)))</f>
        <v/>
      </c>
      <c r="B670" s="8" t="str">
        <f t="shared" si="10"/>
        <v/>
      </c>
      <c r="C670" s="8" t="str">
        <f>IF(A670="","",_xll.BDH(config!$H$4,C$1,$A670,$A670))</f>
        <v/>
      </c>
      <c r="D670" s="8" t="str">
        <f>IF($A670="","",_xll.BDH(config!$H$4,D$1,$A670,$A670))</f>
        <v/>
      </c>
      <c r="E670" s="8" t="str">
        <f>IF($A670="","",IF(ISNUMBER(FIND("IMPVOL",E$1)),_xll.BDH(config!$G$4,E$1,WORKDAY($A670,-1,config_Holiday_Calendar_US),WORKDAY($A670,-1,config_Holiday_Calendar_US)),IF(ISNUMBER(_xll.BDH(config!$G$4,E$1,$A670,$A670)),_xll.BDH(config!$G$4,E$1,$A670,$A670),_xll.BDH(config!$G$5,E$1,$A670,$A670))))</f>
        <v/>
      </c>
      <c r="F670" s="8" t="str">
        <f>IF($A670="","",IF(ISNUMBER(FIND("IMPVOL",F$1)),_xll.BDH(config!$G$4,F$1,WORKDAY($A670,-1,config_Holiday_Calendar_US),WORKDAY($A670,-1,config_Holiday_Calendar_US)),IF(ISNUMBER(_xll.BDH(config!$G$4,F$1,$A670,$A670)),_xll.BDH(config!$G$4,F$1,$A670,$A670),_xll.BDH(config!$G$5,F$1,$A670,$A670))))</f>
        <v/>
      </c>
      <c r="G670" s="8" t="str">
        <f>IF($A670="","",IF(ISNUMBER(FIND("IMPVOL",G$1)),_xll.BDH(config!$G$4,G$1,WORKDAY($A670,-1,config_Holiday_Calendar_US),WORKDAY($A670,-1,config_Holiday_Calendar_US)),IF(ISNUMBER(_xll.BDH(config!$G$4,G$1,$A670,$A670)),_xll.BDH(config!$G$4,G$1,$A670,$A670),_xll.BDH(config!$G$5,G$1,$A670,$A670))))</f>
        <v/>
      </c>
      <c r="H670" s="8" t="str">
        <f>IF($A670="","",IF(ISNUMBER(FIND("IMPVOL",H$1)),_xll.BDH(config!$G$4,H$1,WORKDAY($A670,-1,config_Holiday_Calendar_US),WORKDAY($A670,-1,config_Holiday_Calendar_US)),IF(ISNUMBER(_xll.BDH(config!$G$4,H$1,$A670,$A670)),_xll.BDH(config!$G$4,H$1,$A670,$A670),_xll.BDH(config!$G$5,H$1,$A670,$A670))))</f>
        <v/>
      </c>
      <c r="I670" s="8" t="str">
        <f>IF($A670="","",IF(ISNUMBER(FIND("IMPVOL",I$1)),_xll.BDH(config!$G$4,I$1,WORKDAY($A670,-1,config_Holiday_Calendar_US),WORKDAY($A670,-1,config_Holiday_Calendar_US)),IF(ISNUMBER(_xll.BDH(config!$G$4,I$1,$A670,$A670)),_xll.BDH(config!$G$4,I$1,$A670,$A670),_xll.BDH(config!$G$5,I$1,$A670,$A670))))</f>
        <v/>
      </c>
      <c r="J670" s="8" t="str">
        <f>IF($A670="","",IF(ISNUMBER(FIND("IMPVOL",J$1)),_xll.BDH(config!$G$4,J$1,WORKDAY($A670,-1,config_Holiday_Calendar_US),WORKDAY($A670,-1,config_Holiday_Calendar_US)),IF(ISNUMBER(_xll.BDH(config!$G$4,J$1,$A670,$A670)),_xll.BDH(config!$G$4,J$1,$A670,$A670),_xll.BDH(config!$G$5,J$1,$A670,$A670))))</f>
        <v/>
      </c>
      <c r="K670" s="8" t="str">
        <f>IF($A670="","",IF(ISNUMBER(FIND("IMPVOL",K$1)),_xll.BDH(config!$G$4,K$1,WORKDAY($A670,-1,config_Holiday_Calendar_US),WORKDAY($A670,-1,config_Holiday_Calendar_US)),IF(ISNUMBER(_xll.BDH(config!$G$4,K$1,$A670,$A670)),_xll.BDH(config!$G$4,K$1,$A670,$A670),_xll.BDH(config!$G$5,K$1,$A670,$A670))))</f>
        <v/>
      </c>
      <c r="L670" s="8" t="str">
        <f>IF($A670="","",IF(ISNUMBER(FIND("IMPVOL",L$1)),_xll.BDH(config!$G$4,L$1,WORKDAY($A670,-1,config_Holiday_Calendar_US),WORKDAY($A670,-1,config_Holiday_Calendar_US)),IF(ISNUMBER(_xll.BDH(config!$G$4,L$1,$A670,$A670)),_xll.BDH(config!$G$4,L$1,$A670,$A670),_xll.BDH(config!$G$5,L$1,$A670,$A670))))</f>
        <v/>
      </c>
      <c r="M670" s="8" t="str">
        <f>IF($A670="","",IF(ISNUMBER(FIND("IMPVOL",M$1)),_xll.BDH(config!$G$4,M$1,WORKDAY($A670,-1,config_Holiday_Calendar_US),WORKDAY($A670,-1,config_Holiday_Calendar_US)),IF(ISNUMBER(_xll.BDH(config!$G$4,M$1,$A670,$A670)),_xll.BDH(config!$G$4,M$1,$A670,$A670),_xll.BDH(config!$G$5,M$1,$A670,$A670))))</f>
        <v/>
      </c>
      <c r="N670" s="8" t="str">
        <f>IF($A670="","",IF(ISNUMBER(FIND("IMPVOL",N$1)),_xll.BDH(config!$G$4,N$1,WORKDAY($A670,-1,config_Holiday_Calendar_US),WORKDAY($A670,-1,config_Holiday_Calendar_US)),IF(ISNUMBER(_xll.BDH(config!$G$4,N$1,$A670,$A670)),_xll.BDH(config!$G$4,N$1,$A670,$A670),_xll.BDH(config!$G$5,N$1,$A670,$A670))))</f>
        <v/>
      </c>
      <c r="O670" s="8" t="str">
        <f>IF($A670="","",IF(ISNUMBER(FIND("IMPVOL",O$1)),_xll.BDH(config!$G$4,O$1,WORKDAY($A670,-1,config_Holiday_Calendar_US),WORKDAY($A670,-1,config_Holiday_Calendar_US)),IF(ISNUMBER(_xll.BDH(config!$G$4,O$1,$A670,$A670)),_xll.BDH(config!$G$4,O$1,$A670,$A670),_xll.BDH(config!$G$5,O$1,$A670,$A670))))</f>
        <v/>
      </c>
      <c r="P670" s="8" t="str">
        <f>IF($A670="","",IF(ISNUMBER(FIND("IMPVOL",P$1)),_xll.BDH(config!$G$4,P$1,WORKDAY($A670,-1,config_Holiday_Calendar_US),WORKDAY($A670,-1,config_Holiday_Calendar_US)),IF(ISNUMBER(_xll.BDH(config!$G$4,P$1,$A670,$A670)),_xll.BDH(config!$G$4,P$1,$A670,$A670),_xll.BDH(config!$G$5,P$1,$A670,$A670))))</f>
        <v/>
      </c>
      <c r="Q670" s="8" t="str">
        <f>IF($A670="","",IF(ISNUMBER(FIND("IMPVOL",Q$1)),_xll.BDH(config!$G$4,Q$1,WORKDAY($A670,-1,config_Holiday_Calendar_US),WORKDAY($A670,-1,config_Holiday_Calendar_US)),IF(ISNUMBER(_xll.BDH(config!$G$4,Q$1,$A670,$A670)),_xll.BDH(config!$G$4,Q$1,$A670,$A670),_xll.BDH(config!$G$5,Q$1,$A670,$A670))))</f>
        <v/>
      </c>
      <c r="R670" s="8" t="str">
        <f>IF($A670="","",IF(ISNUMBER(FIND("IMPVOL",R$1)),_xll.BDH(config!$G$4,R$1,WORKDAY($A670,-1,config_Holiday_Calendar_US),WORKDAY($A670,-1,config_Holiday_Calendar_US)),IF(ISNUMBER(_xll.BDH(config!$G$4,R$1,$A670,$A670)),_xll.BDH(config!$G$4,R$1,$A670,$A670),_xll.BDH(config!$G$5,R$1,$A670,$A670))))</f>
        <v/>
      </c>
      <c r="S670" s="8" t="str">
        <f>IF($A670="","",IF(ISNUMBER(FIND("IMPVOL",S$1)),_xll.BDH(config!$G$4,S$1,WORKDAY($A670,-1,config_Holiday_Calendar_US),WORKDAY($A670,-1,config_Holiday_Calendar_US)),IF(ISNUMBER(_xll.BDH(config!$G$4,S$1,$A670,$A670)),_xll.BDH(config!$G$4,S$1,$A670,$A670),_xll.BDH(config!$G$5,S$1,$A670,$A670))))</f>
        <v/>
      </c>
      <c r="T670" s="8" t="str">
        <f>IF($A670="","",IF(ISNUMBER(FIND("IMPVOL",T$1)),_xll.BDH(config!$G$4,T$1,WORKDAY($A670,-1,config_Holiday_Calendar_US),WORKDAY($A670,-1,config_Holiday_Calendar_US)),IF(ISNUMBER(_xll.BDH(config!$G$4,T$1,$A670,$A670)),_xll.BDH(config!$G$4,T$1,$A670,$A670),_xll.BDH(config!$G$5,T$1,$A670,$A670))))</f>
        <v/>
      </c>
      <c r="U670" s="8" t="str">
        <f>IF($A670="","",IF(ISNUMBER(FIND("IMPVOL",U$1)),_xll.BDH(config!$G$4,U$1,WORKDAY($A670,-1,config_Holiday_Calendar_US),WORKDAY($A670,-1,config_Holiday_Calendar_US)),IF(ISNUMBER(_xll.BDH(config!$G$4,U$1,$A670,$A670)),_xll.BDH(config!$G$4,U$1,$A670,$A670),_xll.BDH(config!$G$5,U$1,$A670,$A670))))</f>
        <v/>
      </c>
      <c r="V670" s="8" t="str">
        <f>IF($A670="","",IF(ISNUMBER(FIND("IMPVOL",V$1)),_xll.BDH(config!$G$4,V$1,WORKDAY($A670,-1,config_Holiday_Calendar_US),WORKDAY($A670,-1,config_Holiday_Calendar_US)),IF(ISNUMBER(_xll.BDH(config!$G$4,V$1,$A670,$A670)),_xll.BDH(config!$G$4,V$1,$A670,$A670),_xll.BDH(config!$G$5,V$1,$A670,$A670))))</f>
        <v/>
      </c>
      <c r="W670" s="8" t="str">
        <f>IF($A670="","",IF(ISNUMBER(FIND("IMPVOL",W$1)),_xll.BDH(config!$G$4,W$1,WORKDAY($A670,-1,config_Holiday_Calendar_US),WORKDAY($A670,-1,config_Holiday_Calendar_US)),IF(ISNUMBER(_xll.BDH(config!$G$4,W$1,$A670,$A670)),_xll.BDH(config!$G$4,W$1,$A670,$A670),_xll.BDH(config!$G$5,W$1,$A670,$A670))))</f>
        <v/>
      </c>
    </row>
    <row r="671" spans="1:23" x14ac:dyDescent="0.2">
      <c r="A671" s="9" t="str">
        <f>IF(A670="","",IF(WORKDAY(A670,-1,config_Holiday_Calendar_US)&lt;config!$I$10,"",WORKDAY(A670,-1,config_Holiday_Calendar_US)))</f>
        <v/>
      </c>
      <c r="B671" s="8" t="str">
        <f t="shared" si="10"/>
        <v/>
      </c>
      <c r="C671" s="8" t="str">
        <f>IF(A671="","",_xll.BDH(config!$H$4,C$1,$A671,$A671))</f>
        <v/>
      </c>
      <c r="D671" s="8" t="str">
        <f>IF($A671="","",_xll.BDH(config!$H$4,D$1,$A671,$A671))</f>
        <v/>
      </c>
      <c r="E671" s="8" t="str">
        <f>IF($A671="","",IF(ISNUMBER(FIND("IMPVOL",E$1)),_xll.BDH(config!$G$4,E$1,WORKDAY($A671,-1,config_Holiday_Calendar_US),WORKDAY($A671,-1,config_Holiday_Calendar_US)),IF(ISNUMBER(_xll.BDH(config!$G$4,E$1,$A671,$A671)),_xll.BDH(config!$G$4,E$1,$A671,$A671),_xll.BDH(config!$G$5,E$1,$A671,$A671))))</f>
        <v/>
      </c>
      <c r="F671" s="8" t="str">
        <f>IF($A671="","",IF(ISNUMBER(FIND("IMPVOL",F$1)),_xll.BDH(config!$G$4,F$1,WORKDAY($A671,-1,config_Holiday_Calendar_US),WORKDAY($A671,-1,config_Holiday_Calendar_US)),IF(ISNUMBER(_xll.BDH(config!$G$4,F$1,$A671,$A671)),_xll.BDH(config!$G$4,F$1,$A671,$A671),_xll.BDH(config!$G$5,F$1,$A671,$A671))))</f>
        <v/>
      </c>
      <c r="G671" s="8" t="str">
        <f>IF($A671="","",IF(ISNUMBER(FIND("IMPVOL",G$1)),_xll.BDH(config!$G$4,G$1,WORKDAY($A671,-1,config_Holiday_Calendar_US),WORKDAY($A671,-1,config_Holiday_Calendar_US)),IF(ISNUMBER(_xll.BDH(config!$G$4,G$1,$A671,$A671)),_xll.BDH(config!$G$4,G$1,$A671,$A671),_xll.BDH(config!$G$5,G$1,$A671,$A671))))</f>
        <v/>
      </c>
      <c r="H671" s="8" t="str">
        <f>IF($A671="","",IF(ISNUMBER(FIND("IMPVOL",H$1)),_xll.BDH(config!$G$4,H$1,WORKDAY($A671,-1,config_Holiday_Calendar_US),WORKDAY($A671,-1,config_Holiday_Calendar_US)),IF(ISNUMBER(_xll.BDH(config!$G$4,H$1,$A671,$A671)),_xll.BDH(config!$G$4,H$1,$A671,$A671),_xll.BDH(config!$G$5,H$1,$A671,$A671))))</f>
        <v/>
      </c>
      <c r="I671" s="8" t="str">
        <f>IF($A671="","",IF(ISNUMBER(FIND("IMPVOL",I$1)),_xll.BDH(config!$G$4,I$1,WORKDAY($A671,-1,config_Holiday_Calendar_US),WORKDAY($A671,-1,config_Holiday_Calendar_US)),IF(ISNUMBER(_xll.BDH(config!$G$4,I$1,$A671,$A671)),_xll.BDH(config!$G$4,I$1,$A671,$A671),_xll.BDH(config!$G$5,I$1,$A671,$A671))))</f>
        <v/>
      </c>
      <c r="J671" s="8" t="str">
        <f>IF($A671="","",IF(ISNUMBER(FIND("IMPVOL",J$1)),_xll.BDH(config!$G$4,J$1,WORKDAY($A671,-1,config_Holiday_Calendar_US),WORKDAY($A671,-1,config_Holiday_Calendar_US)),IF(ISNUMBER(_xll.BDH(config!$G$4,J$1,$A671,$A671)),_xll.BDH(config!$G$4,J$1,$A671,$A671),_xll.BDH(config!$G$5,J$1,$A671,$A671))))</f>
        <v/>
      </c>
      <c r="K671" s="8" t="str">
        <f>IF($A671="","",IF(ISNUMBER(FIND("IMPVOL",K$1)),_xll.BDH(config!$G$4,K$1,WORKDAY($A671,-1,config_Holiday_Calendar_US),WORKDAY($A671,-1,config_Holiday_Calendar_US)),IF(ISNUMBER(_xll.BDH(config!$G$4,K$1,$A671,$A671)),_xll.BDH(config!$G$4,K$1,$A671,$A671),_xll.BDH(config!$G$5,K$1,$A671,$A671))))</f>
        <v/>
      </c>
      <c r="L671" s="8" t="str">
        <f>IF($A671="","",IF(ISNUMBER(FIND("IMPVOL",L$1)),_xll.BDH(config!$G$4,L$1,WORKDAY($A671,-1,config_Holiday_Calendar_US),WORKDAY($A671,-1,config_Holiday_Calendar_US)),IF(ISNUMBER(_xll.BDH(config!$G$4,L$1,$A671,$A671)),_xll.BDH(config!$G$4,L$1,$A671,$A671),_xll.BDH(config!$G$5,L$1,$A671,$A671))))</f>
        <v/>
      </c>
      <c r="M671" s="8" t="str">
        <f>IF($A671="","",IF(ISNUMBER(FIND("IMPVOL",M$1)),_xll.BDH(config!$G$4,M$1,WORKDAY($A671,-1,config_Holiday_Calendar_US),WORKDAY($A671,-1,config_Holiday_Calendar_US)),IF(ISNUMBER(_xll.BDH(config!$G$4,M$1,$A671,$A671)),_xll.BDH(config!$G$4,M$1,$A671,$A671),_xll.BDH(config!$G$5,M$1,$A671,$A671))))</f>
        <v/>
      </c>
      <c r="N671" s="8" t="str">
        <f>IF($A671="","",IF(ISNUMBER(FIND("IMPVOL",N$1)),_xll.BDH(config!$G$4,N$1,WORKDAY($A671,-1,config_Holiday_Calendar_US),WORKDAY($A671,-1,config_Holiday_Calendar_US)),IF(ISNUMBER(_xll.BDH(config!$G$4,N$1,$A671,$A671)),_xll.BDH(config!$G$4,N$1,$A671,$A671),_xll.BDH(config!$G$5,N$1,$A671,$A671))))</f>
        <v/>
      </c>
      <c r="O671" s="8" t="str">
        <f>IF($A671="","",IF(ISNUMBER(FIND("IMPVOL",O$1)),_xll.BDH(config!$G$4,O$1,WORKDAY($A671,-1,config_Holiday_Calendar_US),WORKDAY($A671,-1,config_Holiday_Calendar_US)),IF(ISNUMBER(_xll.BDH(config!$G$4,O$1,$A671,$A671)),_xll.BDH(config!$G$4,O$1,$A671,$A671),_xll.BDH(config!$G$5,O$1,$A671,$A671))))</f>
        <v/>
      </c>
      <c r="P671" s="8" t="str">
        <f>IF($A671="","",IF(ISNUMBER(FIND("IMPVOL",P$1)),_xll.BDH(config!$G$4,P$1,WORKDAY($A671,-1,config_Holiday_Calendar_US),WORKDAY($A671,-1,config_Holiday_Calendar_US)),IF(ISNUMBER(_xll.BDH(config!$G$4,P$1,$A671,$A671)),_xll.BDH(config!$G$4,P$1,$A671,$A671),_xll.BDH(config!$G$5,P$1,$A671,$A671))))</f>
        <v/>
      </c>
      <c r="Q671" s="8" t="str">
        <f>IF($A671="","",IF(ISNUMBER(FIND("IMPVOL",Q$1)),_xll.BDH(config!$G$4,Q$1,WORKDAY($A671,-1,config_Holiday_Calendar_US),WORKDAY($A671,-1,config_Holiday_Calendar_US)),IF(ISNUMBER(_xll.BDH(config!$G$4,Q$1,$A671,$A671)),_xll.BDH(config!$G$4,Q$1,$A671,$A671),_xll.BDH(config!$G$5,Q$1,$A671,$A671))))</f>
        <v/>
      </c>
      <c r="R671" s="8" t="str">
        <f>IF($A671="","",IF(ISNUMBER(FIND("IMPVOL",R$1)),_xll.BDH(config!$G$4,R$1,WORKDAY($A671,-1,config_Holiday_Calendar_US),WORKDAY($A671,-1,config_Holiday_Calendar_US)),IF(ISNUMBER(_xll.BDH(config!$G$4,R$1,$A671,$A671)),_xll.BDH(config!$G$4,R$1,$A671,$A671),_xll.BDH(config!$G$5,R$1,$A671,$A671))))</f>
        <v/>
      </c>
      <c r="S671" s="8" t="str">
        <f>IF($A671="","",IF(ISNUMBER(FIND("IMPVOL",S$1)),_xll.BDH(config!$G$4,S$1,WORKDAY($A671,-1,config_Holiday_Calendar_US),WORKDAY($A671,-1,config_Holiday_Calendar_US)),IF(ISNUMBER(_xll.BDH(config!$G$4,S$1,$A671,$A671)),_xll.BDH(config!$G$4,S$1,$A671,$A671),_xll.BDH(config!$G$5,S$1,$A671,$A671))))</f>
        <v/>
      </c>
      <c r="T671" s="8" t="str">
        <f>IF($A671="","",IF(ISNUMBER(FIND("IMPVOL",T$1)),_xll.BDH(config!$G$4,T$1,WORKDAY($A671,-1,config_Holiday_Calendar_US),WORKDAY($A671,-1,config_Holiday_Calendar_US)),IF(ISNUMBER(_xll.BDH(config!$G$4,T$1,$A671,$A671)),_xll.BDH(config!$G$4,T$1,$A671,$A671),_xll.BDH(config!$G$5,T$1,$A671,$A671))))</f>
        <v/>
      </c>
      <c r="U671" s="8" t="str">
        <f>IF($A671="","",IF(ISNUMBER(FIND("IMPVOL",U$1)),_xll.BDH(config!$G$4,U$1,WORKDAY($A671,-1,config_Holiday_Calendar_US),WORKDAY($A671,-1,config_Holiday_Calendar_US)),IF(ISNUMBER(_xll.BDH(config!$G$4,U$1,$A671,$A671)),_xll.BDH(config!$G$4,U$1,$A671,$A671),_xll.BDH(config!$G$5,U$1,$A671,$A671))))</f>
        <v/>
      </c>
      <c r="V671" s="8" t="str">
        <f>IF($A671="","",IF(ISNUMBER(FIND("IMPVOL",V$1)),_xll.BDH(config!$G$4,V$1,WORKDAY($A671,-1,config_Holiday_Calendar_US),WORKDAY($A671,-1,config_Holiday_Calendar_US)),IF(ISNUMBER(_xll.BDH(config!$G$4,V$1,$A671,$A671)),_xll.BDH(config!$G$4,V$1,$A671,$A671),_xll.BDH(config!$G$5,V$1,$A671,$A671))))</f>
        <v/>
      </c>
      <c r="W671" s="8" t="str">
        <f>IF($A671="","",IF(ISNUMBER(FIND("IMPVOL",W$1)),_xll.BDH(config!$G$4,W$1,WORKDAY($A671,-1,config_Holiday_Calendar_US),WORKDAY($A671,-1,config_Holiday_Calendar_US)),IF(ISNUMBER(_xll.BDH(config!$G$4,W$1,$A671,$A671)),_xll.BDH(config!$G$4,W$1,$A671,$A671),_xll.BDH(config!$G$5,W$1,$A671,$A671))))</f>
        <v/>
      </c>
    </row>
    <row r="672" spans="1:23" x14ac:dyDescent="0.2">
      <c r="A672" s="9" t="str">
        <f>IF(A671="","",IF(WORKDAY(A671,-1,config_Holiday_Calendar_US)&lt;config!$I$10,"",WORKDAY(A671,-1,config_Holiday_Calendar_US)))</f>
        <v/>
      </c>
      <c r="B672" s="8" t="str">
        <f t="shared" si="10"/>
        <v/>
      </c>
      <c r="C672" s="8" t="str">
        <f>IF(A672="","",_xll.BDH(config!$H$4,C$1,$A672,$A672))</f>
        <v/>
      </c>
      <c r="D672" s="8" t="str">
        <f>IF($A672="","",_xll.BDH(config!$H$4,D$1,$A672,$A672))</f>
        <v/>
      </c>
      <c r="E672" s="8" t="str">
        <f>IF($A672="","",IF(ISNUMBER(FIND("IMPVOL",E$1)),_xll.BDH(config!$G$4,E$1,WORKDAY($A672,-1,config_Holiday_Calendar_US),WORKDAY($A672,-1,config_Holiday_Calendar_US)),IF(ISNUMBER(_xll.BDH(config!$G$4,E$1,$A672,$A672)),_xll.BDH(config!$G$4,E$1,$A672,$A672),_xll.BDH(config!$G$5,E$1,$A672,$A672))))</f>
        <v/>
      </c>
      <c r="F672" s="8" t="str">
        <f>IF($A672="","",IF(ISNUMBER(FIND("IMPVOL",F$1)),_xll.BDH(config!$G$4,F$1,WORKDAY($A672,-1,config_Holiday_Calendar_US),WORKDAY($A672,-1,config_Holiday_Calendar_US)),IF(ISNUMBER(_xll.BDH(config!$G$4,F$1,$A672,$A672)),_xll.BDH(config!$G$4,F$1,$A672,$A672),_xll.BDH(config!$G$5,F$1,$A672,$A672))))</f>
        <v/>
      </c>
      <c r="G672" s="8" t="str">
        <f>IF($A672="","",IF(ISNUMBER(FIND("IMPVOL",G$1)),_xll.BDH(config!$G$4,G$1,WORKDAY($A672,-1,config_Holiday_Calendar_US),WORKDAY($A672,-1,config_Holiday_Calendar_US)),IF(ISNUMBER(_xll.BDH(config!$G$4,G$1,$A672,$A672)),_xll.BDH(config!$G$4,G$1,$A672,$A672),_xll.BDH(config!$G$5,G$1,$A672,$A672))))</f>
        <v/>
      </c>
      <c r="H672" s="8" t="str">
        <f>IF($A672="","",IF(ISNUMBER(FIND("IMPVOL",H$1)),_xll.BDH(config!$G$4,H$1,WORKDAY($A672,-1,config_Holiday_Calendar_US),WORKDAY($A672,-1,config_Holiday_Calendar_US)),IF(ISNUMBER(_xll.BDH(config!$G$4,H$1,$A672,$A672)),_xll.BDH(config!$G$4,H$1,$A672,$A672),_xll.BDH(config!$G$5,H$1,$A672,$A672))))</f>
        <v/>
      </c>
      <c r="I672" s="8" t="str">
        <f>IF($A672="","",IF(ISNUMBER(FIND("IMPVOL",I$1)),_xll.BDH(config!$G$4,I$1,WORKDAY($A672,-1,config_Holiday_Calendar_US),WORKDAY($A672,-1,config_Holiday_Calendar_US)),IF(ISNUMBER(_xll.BDH(config!$G$4,I$1,$A672,$A672)),_xll.BDH(config!$G$4,I$1,$A672,$A672),_xll.BDH(config!$G$5,I$1,$A672,$A672))))</f>
        <v/>
      </c>
      <c r="J672" s="8" t="str">
        <f>IF($A672="","",IF(ISNUMBER(FIND("IMPVOL",J$1)),_xll.BDH(config!$G$4,J$1,WORKDAY($A672,-1,config_Holiday_Calendar_US),WORKDAY($A672,-1,config_Holiday_Calendar_US)),IF(ISNUMBER(_xll.BDH(config!$G$4,J$1,$A672,$A672)),_xll.BDH(config!$G$4,J$1,$A672,$A672),_xll.BDH(config!$G$5,J$1,$A672,$A672))))</f>
        <v/>
      </c>
      <c r="K672" s="8" t="str">
        <f>IF($A672="","",IF(ISNUMBER(FIND("IMPVOL",K$1)),_xll.BDH(config!$G$4,K$1,WORKDAY($A672,-1,config_Holiday_Calendar_US),WORKDAY($A672,-1,config_Holiday_Calendar_US)),IF(ISNUMBER(_xll.BDH(config!$G$4,K$1,$A672,$A672)),_xll.BDH(config!$G$4,K$1,$A672,$A672),_xll.BDH(config!$G$5,K$1,$A672,$A672))))</f>
        <v/>
      </c>
      <c r="L672" s="8" t="str">
        <f>IF($A672="","",IF(ISNUMBER(FIND("IMPVOL",L$1)),_xll.BDH(config!$G$4,L$1,WORKDAY($A672,-1,config_Holiday_Calendar_US),WORKDAY($A672,-1,config_Holiday_Calendar_US)),IF(ISNUMBER(_xll.BDH(config!$G$4,L$1,$A672,$A672)),_xll.BDH(config!$G$4,L$1,$A672,$A672),_xll.BDH(config!$G$5,L$1,$A672,$A672))))</f>
        <v/>
      </c>
      <c r="M672" s="8" t="str">
        <f>IF($A672="","",IF(ISNUMBER(FIND("IMPVOL",M$1)),_xll.BDH(config!$G$4,M$1,WORKDAY($A672,-1,config_Holiday_Calendar_US),WORKDAY($A672,-1,config_Holiday_Calendar_US)),IF(ISNUMBER(_xll.BDH(config!$G$4,M$1,$A672,$A672)),_xll.BDH(config!$G$4,M$1,$A672,$A672),_xll.BDH(config!$G$5,M$1,$A672,$A672))))</f>
        <v/>
      </c>
      <c r="N672" s="8" t="str">
        <f>IF($A672="","",IF(ISNUMBER(FIND("IMPVOL",N$1)),_xll.BDH(config!$G$4,N$1,WORKDAY($A672,-1,config_Holiday_Calendar_US),WORKDAY($A672,-1,config_Holiday_Calendar_US)),IF(ISNUMBER(_xll.BDH(config!$G$4,N$1,$A672,$A672)),_xll.BDH(config!$G$4,N$1,$A672,$A672),_xll.BDH(config!$G$5,N$1,$A672,$A672))))</f>
        <v/>
      </c>
      <c r="O672" s="8" t="str">
        <f>IF($A672="","",IF(ISNUMBER(FIND("IMPVOL",O$1)),_xll.BDH(config!$G$4,O$1,WORKDAY($A672,-1,config_Holiday_Calendar_US),WORKDAY($A672,-1,config_Holiday_Calendar_US)),IF(ISNUMBER(_xll.BDH(config!$G$4,O$1,$A672,$A672)),_xll.BDH(config!$G$4,O$1,$A672,$A672),_xll.BDH(config!$G$5,O$1,$A672,$A672))))</f>
        <v/>
      </c>
      <c r="P672" s="8" t="str">
        <f>IF($A672="","",IF(ISNUMBER(FIND("IMPVOL",P$1)),_xll.BDH(config!$G$4,P$1,WORKDAY($A672,-1,config_Holiday_Calendar_US),WORKDAY($A672,-1,config_Holiday_Calendar_US)),IF(ISNUMBER(_xll.BDH(config!$G$4,P$1,$A672,$A672)),_xll.BDH(config!$G$4,P$1,$A672,$A672),_xll.BDH(config!$G$5,P$1,$A672,$A672))))</f>
        <v/>
      </c>
      <c r="Q672" s="8" t="str">
        <f>IF($A672="","",IF(ISNUMBER(FIND("IMPVOL",Q$1)),_xll.BDH(config!$G$4,Q$1,WORKDAY($A672,-1,config_Holiday_Calendar_US),WORKDAY($A672,-1,config_Holiday_Calendar_US)),IF(ISNUMBER(_xll.BDH(config!$G$4,Q$1,$A672,$A672)),_xll.BDH(config!$G$4,Q$1,$A672,$A672),_xll.BDH(config!$G$5,Q$1,$A672,$A672))))</f>
        <v/>
      </c>
      <c r="R672" s="8" t="str">
        <f>IF($A672="","",IF(ISNUMBER(FIND("IMPVOL",R$1)),_xll.BDH(config!$G$4,R$1,WORKDAY($A672,-1,config_Holiday_Calendar_US),WORKDAY($A672,-1,config_Holiday_Calendar_US)),IF(ISNUMBER(_xll.BDH(config!$G$4,R$1,$A672,$A672)),_xll.BDH(config!$G$4,R$1,$A672,$A672),_xll.BDH(config!$G$5,R$1,$A672,$A672))))</f>
        <v/>
      </c>
      <c r="S672" s="8" t="str">
        <f>IF($A672="","",IF(ISNUMBER(FIND("IMPVOL",S$1)),_xll.BDH(config!$G$4,S$1,WORKDAY($A672,-1,config_Holiday_Calendar_US),WORKDAY($A672,-1,config_Holiday_Calendar_US)),IF(ISNUMBER(_xll.BDH(config!$G$4,S$1,$A672,$A672)),_xll.BDH(config!$G$4,S$1,$A672,$A672),_xll.BDH(config!$G$5,S$1,$A672,$A672))))</f>
        <v/>
      </c>
      <c r="T672" s="8" t="str">
        <f>IF($A672="","",IF(ISNUMBER(FIND("IMPVOL",T$1)),_xll.BDH(config!$G$4,T$1,WORKDAY($A672,-1,config_Holiday_Calendar_US),WORKDAY($A672,-1,config_Holiday_Calendar_US)),IF(ISNUMBER(_xll.BDH(config!$G$4,T$1,$A672,$A672)),_xll.BDH(config!$G$4,T$1,$A672,$A672),_xll.BDH(config!$G$5,T$1,$A672,$A672))))</f>
        <v/>
      </c>
      <c r="U672" s="8" t="str">
        <f>IF($A672="","",IF(ISNUMBER(FIND("IMPVOL",U$1)),_xll.BDH(config!$G$4,U$1,WORKDAY($A672,-1,config_Holiday_Calendar_US),WORKDAY($A672,-1,config_Holiday_Calendar_US)),IF(ISNUMBER(_xll.BDH(config!$G$4,U$1,$A672,$A672)),_xll.BDH(config!$G$4,U$1,$A672,$A672),_xll.BDH(config!$G$5,U$1,$A672,$A672))))</f>
        <v/>
      </c>
      <c r="V672" s="8" t="str">
        <f>IF($A672="","",IF(ISNUMBER(FIND("IMPVOL",V$1)),_xll.BDH(config!$G$4,V$1,WORKDAY($A672,-1,config_Holiday_Calendar_US),WORKDAY($A672,-1,config_Holiday_Calendar_US)),IF(ISNUMBER(_xll.BDH(config!$G$4,V$1,$A672,$A672)),_xll.BDH(config!$G$4,V$1,$A672,$A672),_xll.BDH(config!$G$5,V$1,$A672,$A672))))</f>
        <v/>
      </c>
      <c r="W672" s="8" t="str">
        <f>IF($A672="","",IF(ISNUMBER(FIND("IMPVOL",W$1)),_xll.BDH(config!$G$4,W$1,WORKDAY($A672,-1,config_Holiday_Calendar_US),WORKDAY($A672,-1,config_Holiday_Calendar_US)),IF(ISNUMBER(_xll.BDH(config!$G$4,W$1,$A672,$A672)),_xll.BDH(config!$G$4,W$1,$A672,$A672),_xll.BDH(config!$G$5,W$1,$A672,$A672))))</f>
        <v/>
      </c>
    </row>
    <row r="673" spans="1:23" x14ac:dyDescent="0.2">
      <c r="A673" s="9" t="str">
        <f>IF(A672="","",IF(WORKDAY(A672,-1,config_Holiday_Calendar_US)&lt;config!$I$10,"",WORKDAY(A672,-1,config_Holiday_Calendar_US)))</f>
        <v/>
      </c>
      <c r="B673" s="8" t="str">
        <f t="shared" si="10"/>
        <v/>
      </c>
      <c r="C673" s="8" t="str">
        <f>IF(A673="","",_xll.BDH(config!$H$4,C$1,$A673,$A673))</f>
        <v/>
      </c>
      <c r="D673" s="8" t="str">
        <f>IF($A673="","",_xll.BDH(config!$H$4,D$1,$A673,$A673))</f>
        <v/>
      </c>
      <c r="E673" s="8" t="str">
        <f>IF($A673="","",IF(ISNUMBER(FIND("IMPVOL",E$1)),_xll.BDH(config!$G$4,E$1,WORKDAY($A673,-1,config_Holiday_Calendar_US),WORKDAY($A673,-1,config_Holiday_Calendar_US)),IF(ISNUMBER(_xll.BDH(config!$G$4,E$1,$A673,$A673)),_xll.BDH(config!$G$4,E$1,$A673,$A673),_xll.BDH(config!$G$5,E$1,$A673,$A673))))</f>
        <v/>
      </c>
      <c r="F673" s="8" t="str">
        <f>IF($A673="","",IF(ISNUMBER(FIND("IMPVOL",F$1)),_xll.BDH(config!$G$4,F$1,WORKDAY($A673,-1,config_Holiday_Calendar_US),WORKDAY($A673,-1,config_Holiday_Calendar_US)),IF(ISNUMBER(_xll.BDH(config!$G$4,F$1,$A673,$A673)),_xll.BDH(config!$G$4,F$1,$A673,$A673),_xll.BDH(config!$G$5,F$1,$A673,$A673))))</f>
        <v/>
      </c>
      <c r="G673" s="8" t="str">
        <f>IF($A673="","",IF(ISNUMBER(FIND("IMPVOL",G$1)),_xll.BDH(config!$G$4,G$1,WORKDAY($A673,-1,config_Holiday_Calendar_US),WORKDAY($A673,-1,config_Holiday_Calendar_US)),IF(ISNUMBER(_xll.BDH(config!$G$4,G$1,$A673,$A673)),_xll.BDH(config!$G$4,G$1,$A673,$A673),_xll.BDH(config!$G$5,G$1,$A673,$A673))))</f>
        <v/>
      </c>
      <c r="H673" s="8" t="str">
        <f>IF($A673="","",IF(ISNUMBER(FIND("IMPVOL",H$1)),_xll.BDH(config!$G$4,H$1,WORKDAY($A673,-1,config_Holiday_Calendar_US),WORKDAY($A673,-1,config_Holiday_Calendar_US)),IF(ISNUMBER(_xll.BDH(config!$G$4,H$1,$A673,$A673)),_xll.BDH(config!$G$4,H$1,$A673,$A673),_xll.BDH(config!$G$5,H$1,$A673,$A673))))</f>
        <v/>
      </c>
      <c r="I673" s="8" t="str">
        <f>IF($A673="","",IF(ISNUMBER(FIND("IMPVOL",I$1)),_xll.BDH(config!$G$4,I$1,WORKDAY($A673,-1,config_Holiday_Calendar_US),WORKDAY($A673,-1,config_Holiday_Calendar_US)),IF(ISNUMBER(_xll.BDH(config!$G$4,I$1,$A673,$A673)),_xll.BDH(config!$G$4,I$1,$A673,$A673),_xll.BDH(config!$G$5,I$1,$A673,$A673))))</f>
        <v/>
      </c>
      <c r="J673" s="8" t="str">
        <f>IF($A673="","",IF(ISNUMBER(FIND("IMPVOL",J$1)),_xll.BDH(config!$G$4,J$1,WORKDAY($A673,-1,config_Holiday_Calendar_US),WORKDAY($A673,-1,config_Holiday_Calendar_US)),IF(ISNUMBER(_xll.BDH(config!$G$4,J$1,$A673,$A673)),_xll.BDH(config!$G$4,J$1,$A673,$A673),_xll.BDH(config!$G$5,J$1,$A673,$A673))))</f>
        <v/>
      </c>
      <c r="K673" s="8" t="str">
        <f>IF($A673="","",IF(ISNUMBER(FIND("IMPVOL",K$1)),_xll.BDH(config!$G$4,K$1,WORKDAY($A673,-1,config_Holiday_Calendar_US),WORKDAY($A673,-1,config_Holiday_Calendar_US)),IF(ISNUMBER(_xll.BDH(config!$G$4,K$1,$A673,$A673)),_xll.BDH(config!$G$4,K$1,$A673,$A673),_xll.BDH(config!$G$5,K$1,$A673,$A673))))</f>
        <v/>
      </c>
      <c r="L673" s="8" t="str">
        <f>IF($A673="","",IF(ISNUMBER(FIND("IMPVOL",L$1)),_xll.BDH(config!$G$4,L$1,WORKDAY($A673,-1,config_Holiday_Calendar_US),WORKDAY($A673,-1,config_Holiday_Calendar_US)),IF(ISNUMBER(_xll.BDH(config!$G$4,L$1,$A673,$A673)),_xll.BDH(config!$G$4,L$1,$A673,$A673),_xll.BDH(config!$G$5,L$1,$A673,$A673))))</f>
        <v/>
      </c>
      <c r="M673" s="8" t="str">
        <f>IF($A673="","",IF(ISNUMBER(FIND("IMPVOL",M$1)),_xll.BDH(config!$G$4,M$1,WORKDAY($A673,-1,config_Holiday_Calendar_US),WORKDAY($A673,-1,config_Holiday_Calendar_US)),IF(ISNUMBER(_xll.BDH(config!$G$4,M$1,$A673,$A673)),_xll.BDH(config!$G$4,M$1,$A673,$A673),_xll.BDH(config!$G$5,M$1,$A673,$A673))))</f>
        <v/>
      </c>
      <c r="N673" s="8" t="str">
        <f>IF($A673="","",IF(ISNUMBER(FIND("IMPVOL",N$1)),_xll.BDH(config!$G$4,N$1,WORKDAY($A673,-1,config_Holiday_Calendar_US),WORKDAY($A673,-1,config_Holiday_Calendar_US)),IF(ISNUMBER(_xll.BDH(config!$G$4,N$1,$A673,$A673)),_xll.BDH(config!$G$4,N$1,$A673,$A673),_xll.BDH(config!$G$5,N$1,$A673,$A673))))</f>
        <v/>
      </c>
      <c r="O673" s="8" t="str">
        <f>IF($A673="","",IF(ISNUMBER(FIND("IMPVOL",O$1)),_xll.BDH(config!$G$4,O$1,WORKDAY($A673,-1,config_Holiday_Calendar_US),WORKDAY($A673,-1,config_Holiday_Calendar_US)),IF(ISNUMBER(_xll.BDH(config!$G$4,O$1,$A673,$A673)),_xll.BDH(config!$G$4,O$1,$A673,$A673),_xll.BDH(config!$G$5,O$1,$A673,$A673))))</f>
        <v/>
      </c>
      <c r="P673" s="8" t="str">
        <f>IF($A673="","",IF(ISNUMBER(FIND("IMPVOL",P$1)),_xll.BDH(config!$G$4,P$1,WORKDAY($A673,-1,config_Holiday_Calendar_US),WORKDAY($A673,-1,config_Holiday_Calendar_US)),IF(ISNUMBER(_xll.BDH(config!$G$4,P$1,$A673,$A673)),_xll.BDH(config!$G$4,P$1,$A673,$A673),_xll.BDH(config!$G$5,P$1,$A673,$A673))))</f>
        <v/>
      </c>
      <c r="Q673" s="8" t="str">
        <f>IF($A673="","",IF(ISNUMBER(FIND("IMPVOL",Q$1)),_xll.BDH(config!$G$4,Q$1,WORKDAY($A673,-1,config_Holiday_Calendar_US),WORKDAY($A673,-1,config_Holiday_Calendar_US)),IF(ISNUMBER(_xll.BDH(config!$G$4,Q$1,$A673,$A673)),_xll.BDH(config!$G$4,Q$1,$A673,$A673),_xll.BDH(config!$G$5,Q$1,$A673,$A673))))</f>
        <v/>
      </c>
      <c r="R673" s="8" t="str">
        <f>IF($A673="","",IF(ISNUMBER(FIND("IMPVOL",R$1)),_xll.BDH(config!$G$4,R$1,WORKDAY($A673,-1,config_Holiday_Calendar_US),WORKDAY($A673,-1,config_Holiday_Calendar_US)),IF(ISNUMBER(_xll.BDH(config!$G$4,R$1,$A673,$A673)),_xll.BDH(config!$G$4,R$1,$A673,$A673),_xll.BDH(config!$G$5,R$1,$A673,$A673))))</f>
        <v/>
      </c>
      <c r="S673" s="8" t="str">
        <f>IF($A673="","",IF(ISNUMBER(FIND("IMPVOL",S$1)),_xll.BDH(config!$G$4,S$1,WORKDAY($A673,-1,config_Holiday_Calendar_US),WORKDAY($A673,-1,config_Holiday_Calendar_US)),IF(ISNUMBER(_xll.BDH(config!$G$4,S$1,$A673,$A673)),_xll.BDH(config!$G$4,S$1,$A673,$A673),_xll.BDH(config!$G$5,S$1,$A673,$A673))))</f>
        <v/>
      </c>
      <c r="T673" s="8" t="str">
        <f>IF($A673="","",IF(ISNUMBER(FIND("IMPVOL",T$1)),_xll.BDH(config!$G$4,T$1,WORKDAY($A673,-1,config_Holiday_Calendar_US),WORKDAY($A673,-1,config_Holiday_Calendar_US)),IF(ISNUMBER(_xll.BDH(config!$G$4,T$1,$A673,$A673)),_xll.BDH(config!$G$4,T$1,$A673,$A673),_xll.BDH(config!$G$5,T$1,$A673,$A673))))</f>
        <v/>
      </c>
      <c r="U673" s="8" t="str">
        <f>IF($A673="","",IF(ISNUMBER(FIND("IMPVOL",U$1)),_xll.BDH(config!$G$4,U$1,WORKDAY($A673,-1,config_Holiday_Calendar_US),WORKDAY($A673,-1,config_Holiday_Calendar_US)),IF(ISNUMBER(_xll.BDH(config!$G$4,U$1,$A673,$A673)),_xll.BDH(config!$G$4,U$1,$A673,$A673),_xll.BDH(config!$G$5,U$1,$A673,$A673))))</f>
        <v/>
      </c>
      <c r="V673" s="8" t="str">
        <f>IF($A673="","",IF(ISNUMBER(FIND("IMPVOL",V$1)),_xll.BDH(config!$G$4,V$1,WORKDAY($A673,-1,config_Holiday_Calendar_US),WORKDAY($A673,-1,config_Holiday_Calendar_US)),IF(ISNUMBER(_xll.BDH(config!$G$4,V$1,$A673,$A673)),_xll.BDH(config!$G$4,V$1,$A673,$A673),_xll.BDH(config!$G$5,V$1,$A673,$A673))))</f>
        <v/>
      </c>
      <c r="W673" s="8" t="str">
        <f>IF($A673="","",IF(ISNUMBER(FIND("IMPVOL",W$1)),_xll.BDH(config!$G$4,W$1,WORKDAY($A673,-1,config_Holiday_Calendar_US),WORKDAY($A673,-1,config_Holiday_Calendar_US)),IF(ISNUMBER(_xll.BDH(config!$G$4,W$1,$A673,$A673)),_xll.BDH(config!$G$4,W$1,$A673,$A673),_xll.BDH(config!$G$5,W$1,$A673,$A673))))</f>
        <v/>
      </c>
    </row>
    <row r="674" spans="1:23" x14ac:dyDescent="0.2">
      <c r="A674" s="9" t="str">
        <f>IF(A673="","",IF(WORKDAY(A673,-1,config_Holiday_Calendar_US)&lt;config!$I$10,"",WORKDAY(A673,-1,config_Holiday_Calendar_US)))</f>
        <v/>
      </c>
      <c r="B674" s="8" t="str">
        <f t="shared" si="10"/>
        <v/>
      </c>
      <c r="C674" s="8" t="str">
        <f>IF(A674="","",_xll.BDH(config!$H$4,C$1,$A674,$A674))</f>
        <v/>
      </c>
      <c r="D674" s="8" t="str">
        <f>IF($A674="","",_xll.BDH(config!$H$4,D$1,$A674,$A674))</f>
        <v/>
      </c>
      <c r="E674" s="8" t="str">
        <f>IF($A674="","",IF(ISNUMBER(FIND("IMPVOL",E$1)),_xll.BDH(config!$G$4,E$1,WORKDAY($A674,-1,config_Holiday_Calendar_US),WORKDAY($A674,-1,config_Holiday_Calendar_US)),IF(ISNUMBER(_xll.BDH(config!$G$4,E$1,$A674,$A674)),_xll.BDH(config!$G$4,E$1,$A674,$A674),_xll.BDH(config!$G$5,E$1,$A674,$A674))))</f>
        <v/>
      </c>
      <c r="F674" s="8" t="str">
        <f>IF($A674="","",IF(ISNUMBER(FIND("IMPVOL",F$1)),_xll.BDH(config!$G$4,F$1,WORKDAY($A674,-1,config_Holiday_Calendar_US),WORKDAY($A674,-1,config_Holiday_Calendar_US)),IF(ISNUMBER(_xll.BDH(config!$G$4,F$1,$A674,$A674)),_xll.BDH(config!$G$4,F$1,$A674,$A674),_xll.BDH(config!$G$5,F$1,$A674,$A674))))</f>
        <v/>
      </c>
      <c r="G674" s="8" t="str">
        <f>IF($A674="","",IF(ISNUMBER(FIND("IMPVOL",G$1)),_xll.BDH(config!$G$4,G$1,WORKDAY($A674,-1,config_Holiday_Calendar_US),WORKDAY($A674,-1,config_Holiday_Calendar_US)),IF(ISNUMBER(_xll.BDH(config!$G$4,G$1,$A674,$A674)),_xll.BDH(config!$G$4,G$1,$A674,$A674),_xll.BDH(config!$G$5,G$1,$A674,$A674))))</f>
        <v/>
      </c>
      <c r="H674" s="8" t="str">
        <f>IF($A674="","",IF(ISNUMBER(FIND("IMPVOL",H$1)),_xll.BDH(config!$G$4,H$1,WORKDAY($A674,-1,config_Holiday_Calendar_US),WORKDAY($A674,-1,config_Holiday_Calendar_US)),IF(ISNUMBER(_xll.BDH(config!$G$4,H$1,$A674,$A674)),_xll.BDH(config!$G$4,H$1,$A674,$A674),_xll.BDH(config!$G$5,H$1,$A674,$A674))))</f>
        <v/>
      </c>
      <c r="I674" s="8" t="str">
        <f>IF($A674="","",IF(ISNUMBER(FIND("IMPVOL",I$1)),_xll.BDH(config!$G$4,I$1,WORKDAY($A674,-1,config_Holiday_Calendar_US),WORKDAY($A674,-1,config_Holiday_Calendar_US)),IF(ISNUMBER(_xll.BDH(config!$G$4,I$1,$A674,$A674)),_xll.BDH(config!$G$4,I$1,$A674,$A674),_xll.BDH(config!$G$5,I$1,$A674,$A674))))</f>
        <v/>
      </c>
      <c r="J674" s="8" t="str">
        <f>IF($A674="","",IF(ISNUMBER(FIND("IMPVOL",J$1)),_xll.BDH(config!$G$4,J$1,WORKDAY($A674,-1,config_Holiday_Calendar_US),WORKDAY($A674,-1,config_Holiday_Calendar_US)),IF(ISNUMBER(_xll.BDH(config!$G$4,J$1,$A674,$A674)),_xll.BDH(config!$G$4,J$1,$A674,$A674),_xll.BDH(config!$G$5,J$1,$A674,$A674))))</f>
        <v/>
      </c>
      <c r="K674" s="8" t="str">
        <f>IF($A674="","",IF(ISNUMBER(FIND("IMPVOL",K$1)),_xll.BDH(config!$G$4,K$1,WORKDAY($A674,-1,config_Holiday_Calendar_US),WORKDAY($A674,-1,config_Holiday_Calendar_US)),IF(ISNUMBER(_xll.BDH(config!$G$4,K$1,$A674,$A674)),_xll.BDH(config!$G$4,K$1,$A674,$A674),_xll.BDH(config!$G$5,K$1,$A674,$A674))))</f>
        <v/>
      </c>
      <c r="L674" s="8" t="str">
        <f>IF($A674="","",IF(ISNUMBER(FIND("IMPVOL",L$1)),_xll.BDH(config!$G$4,L$1,WORKDAY($A674,-1,config_Holiday_Calendar_US),WORKDAY($A674,-1,config_Holiday_Calendar_US)),IF(ISNUMBER(_xll.BDH(config!$G$4,L$1,$A674,$A674)),_xll.BDH(config!$G$4,L$1,$A674,$A674),_xll.BDH(config!$G$5,L$1,$A674,$A674))))</f>
        <v/>
      </c>
      <c r="M674" s="8" t="str">
        <f>IF($A674="","",IF(ISNUMBER(FIND("IMPVOL",M$1)),_xll.BDH(config!$G$4,M$1,WORKDAY($A674,-1,config_Holiday_Calendar_US),WORKDAY($A674,-1,config_Holiday_Calendar_US)),IF(ISNUMBER(_xll.BDH(config!$G$4,M$1,$A674,$A674)),_xll.BDH(config!$G$4,M$1,$A674,$A674),_xll.BDH(config!$G$5,M$1,$A674,$A674))))</f>
        <v/>
      </c>
      <c r="N674" s="8" t="str">
        <f>IF($A674="","",IF(ISNUMBER(FIND("IMPVOL",N$1)),_xll.BDH(config!$G$4,N$1,WORKDAY($A674,-1,config_Holiday_Calendar_US),WORKDAY($A674,-1,config_Holiday_Calendar_US)),IF(ISNUMBER(_xll.BDH(config!$G$4,N$1,$A674,$A674)),_xll.BDH(config!$G$4,N$1,$A674,$A674),_xll.BDH(config!$G$5,N$1,$A674,$A674))))</f>
        <v/>
      </c>
      <c r="O674" s="8" t="str">
        <f>IF($A674="","",IF(ISNUMBER(FIND("IMPVOL",O$1)),_xll.BDH(config!$G$4,O$1,WORKDAY($A674,-1,config_Holiday_Calendar_US),WORKDAY($A674,-1,config_Holiday_Calendar_US)),IF(ISNUMBER(_xll.BDH(config!$G$4,O$1,$A674,$A674)),_xll.BDH(config!$G$4,O$1,$A674,$A674),_xll.BDH(config!$G$5,O$1,$A674,$A674))))</f>
        <v/>
      </c>
      <c r="P674" s="8" t="str">
        <f>IF($A674="","",IF(ISNUMBER(FIND("IMPVOL",P$1)),_xll.BDH(config!$G$4,P$1,WORKDAY($A674,-1,config_Holiday_Calendar_US),WORKDAY($A674,-1,config_Holiday_Calendar_US)),IF(ISNUMBER(_xll.BDH(config!$G$4,P$1,$A674,$A674)),_xll.BDH(config!$G$4,P$1,$A674,$A674),_xll.BDH(config!$G$5,P$1,$A674,$A674))))</f>
        <v/>
      </c>
      <c r="Q674" s="8" t="str">
        <f>IF($A674="","",IF(ISNUMBER(FIND("IMPVOL",Q$1)),_xll.BDH(config!$G$4,Q$1,WORKDAY($A674,-1,config_Holiday_Calendar_US),WORKDAY($A674,-1,config_Holiday_Calendar_US)),IF(ISNUMBER(_xll.BDH(config!$G$4,Q$1,$A674,$A674)),_xll.BDH(config!$G$4,Q$1,$A674,$A674),_xll.BDH(config!$G$5,Q$1,$A674,$A674))))</f>
        <v/>
      </c>
      <c r="R674" s="8" t="str">
        <f>IF($A674="","",IF(ISNUMBER(FIND("IMPVOL",R$1)),_xll.BDH(config!$G$4,R$1,WORKDAY($A674,-1,config_Holiday_Calendar_US),WORKDAY($A674,-1,config_Holiday_Calendar_US)),IF(ISNUMBER(_xll.BDH(config!$G$4,R$1,$A674,$A674)),_xll.BDH(config!$G$4,R$1,$A674,$A674),_xll.BDH(config!$G$5,R$1,$A674,$A674))))</f>
        <v/>
      </c>
      <c r="S674" s="8" t="str">
        <f>IF($A674="","",IF(ISNUMBER(FIND("IMPVOL",S$1)),_xll.BDH(config!$G$4,S$1,WORKDAY($A674,-1,config_Holiday_Calendar_US),WORKDAY($A674,-1,config_Holiday_Calendar_US)),IF(ISNUMBER(_xll.BDH(config!$G$4,S$1,$A674,$A674)),_xll.BDH(config!$G$4,S$1,$A674,$A674),_xll.BDH(config!$G$5,S$1,$A674,$A674))))</f>
        <v/>
      </c>
      <c r="T674" s="8" t="str">
        <f>IF($A674="","",IF(ISNUMBER(FIND("IMPVOL",T$1)),_xll.BDH(config!$G$4,T$1,WORKDAY($A674,-1,config_Holiday_Calendar_US),WORKDAY($A674,-1,config_Holiday_Calendar_US)),IF(ISNUMBER(_xll.BDH(config!$G$4,T$1,$A674,$A674)),_xll.BDH(config!$G$4,T$1,$A674,$A674),_xll.BDH(config!$G$5,T$1,$A674,$A674))))</f>
        <v/>
      </c>
      <c r="U674" s="8" t="str">
        <f>IF($A674="","",IF(ISNUMBER(FIND("IMPVOL",U$1)),_xll.BDH(config!$G$4,U$1,WORKDAY($A674,-1,config_Holiday_Calendar_US),WORKDAY($A674,-1,config_Holiday_Calendar_US)),IF(ISNUMBER(_xll.BDH(config!$G$4,U$1,$A674,$A674)),_xll.BDH(config!$G$4,U$1,$A674,$A674),_xll.BDH(config!$G$5,U$1,$A674,$A674))))</f>
        <v/>
      </c>
      <c r="V674" s="8" t="str">
        <f>IF($A674="","",IF(ISNUMBER(FIND("IMPVOL",V$1)),_xll.BDH(config!$G$4,V$1,WORKDAY($A674,-1,config_Holiday_Calendar_US),WORKDAY($A674,-1,config_Holiday_Calendar_US)),IF(ISNUMBER(_xll.BDH(config!$G$4,V$1,$A674,$A674)),_xll.BDH(config!$G$4,V$1,$A674,$A674),_xll.BDH(config!$G$5,V$1,$A674,$A674))))</f>
        <v/>
      </c>
      <c r="W674" s="8" t="str">
        <f>IF($A674="","",IF(ISNUMBER(FIND("IMPVOL",W$1)),_xll.BDH(config!$G$4,W$1,WORKDAY($A674,-1,config_Holiday_Calendar_US),WORKDAY($A674,-1,config_Holiday_Calendar_US)),IF(ISNUMBER(_xll.BDH(config!$G$4,W$1,$A674,$A674)),_xll.BDH(config!$G$4,W$1,$A674,$A674),_xll.BDH(config!$G$5,W$1,$A674,$A674))))</f>
        <v/>
      </c>
    </row>
    <row r="675" spans="1:23" x14ac:dyDescent="0.2">
      <c r="A675" s="9" t="str">
        <f>IF(A674="","",IF(WORKDAY(A674,-1,config_Holiday_Calendar_US)&lt;config!$I$10,"",WORKDAY(A674,-1,config_Holiday_Calendar_US)))</f>
        <v/>
      </c>
      <c r="B675" s="8" t="str">
        <f t="shared" si="10"/>
        <v/>
      </c>
      <c r="C675" s="8" t="str">
        <f>IF(A675="","",_xll.BDH(config!$H$4,C$1,$A675,$A675))</f>
        <v/>
      </c>
      <c r="D675" s="8" t="str">
        <f>IF($A675="","",_xll.BDH(config!$H$4,D$1,$A675,$A675))</f>
        <v/>
      </c>
      <c r="E675" s="8" t="str">
        <f>IF($A675="","",IF(ISNUMBER(FIND("IMPVOL",E$1)),_xll.BDH(config!$G$4,E$1,WORKDAY($A675,-1,config_Holiday_Calendar_US),WORKDAY($A675,-1,config_Holiday_Calendar_US)),IF(ISNUMBER(_xll.BDH(config!$G$4,E$1,$A675,$A675)),_xll.BDH(config!$G$4,E$1,$A675,$A675),_xll.BDH(config!$G$5,E$1,$A675,$A675))))</f>
        <v/>
      </c>
      <c r="F675" s="8" t="str">
        <f>IF($A675="","",IF(ISNUMBER(FIND("IMPVOL",F$1)),_xll.BDH(config!$G$4,F$1,WORKDAY($A675,-1,config_Holiday_Calendar_US),WORKDAY($A675,-1,config_Holiday_Calendar_US)),IF(ISNUMBER(_xll.BDH(config!$G$4,F$1,$A675,$A675)),_xll.BDH(config!$G$4,F$1,$A675,$A675),_xll.BDH(config!$G$5,F$1,$A675,$A675))))</f>
        <v/>
      </c>
      <c r="G675" s="8" t="str">
        <f>IF($A675="","",IF(ISNUMBER(FIND("IMPVOL",G$1)),_xll.BDH(config!$G$4,G$1,WORKDAY($A675,-1,config_Holiday_Calendar_US),WORKDAY($A675,-1,config_Holiday_Calendar_US)),IF(ISNUMBER(_xll.BDH(config!$G$4,G$1,$A675,$A675)),_xll.BDH(config!$G$4,G$1,$A675,$A675),_xll.BDH(config!$G$5,G$1,$A675,$A675))))</f>
        <v/>
      </c>
      <c r="H675" s="8" t="str">
        <f>IF($A675="","",IF(ISNUMBER(FIND("IMPVOL",H$1)),_xll.BDH(config!$G$4,H$1,WORKDAY($A675,-1,config_Holiday_Calendar_US),WORKDAY($A675,-1,config_Holiday_Calendar_US)),IF(ISNUMBER(_xll.BDH(config!$G$4,H$1,$A675,$A675)),_xll.BDH(config!$G$4,H$1,$A675,$A675),_xll.BDH(config!$G$5,H$1,$A675,$A675))))</f>
        <v/>
      </c>
      <c r="I675" s="8" t="str">
        <f>IF($A675="","",IF(ISNUMBER(FIND("IMPVOL",I$1)),_xll.BDH(config!$G$4,I$1,WORKDAY($A675,-1,config_Holiday_Calendar_US),WORKDAY($A675,-1,config_Holiday_Calendar_US)),IF(ISNUMBER(_xll.BDH(config!$G$4,I$1,$A675,$A675)),_xll.BDH(config!$G$4,I$1,$A675,$A675),_xll.BDH(config!$G$5,I$1,$A675,$A675))))</f>
        <v/>
      </c>
      <c r="J675" s="8" t="str">
        <f>IF($A675="","",IF(ISNUMBER(FIND("IMPVOL",J$1)),_xll.BDH(config!$G$4,J$1,WORKDAY($A675,-1,config_Holiday_Calendar_US),WORKDAY($A675,-1,config_Holiday_Calendar_US)),IF(ISNUMBER(_xll.BDH(config!$G$4,J$1,$A675,$A675)),_xll.BDH(config!$G$4,J$1,$A675,$A675),_xll.BDH(config!$G$5,J$1,$A675,$A675))))</f>
        <v/>
      </c>
      <c r="K675" s="8" t="str">
        <f>IF($A675="","",IF(ISNUMBER(FIND("IMPVOL",K$1)),_xll.BDH(config!$G$4,K$1,WORKDAY($A675,-1,config_Holiday_Calendar_US),WORKDAY($A675,-1,config_Holiday_Calendar_US)),IF(ISNUMBER(_xll.BDH(config!$G$4,K$1,$A675,$A675)),_xll.BDH(config!$G$4,K$1,$A675,$A675),_xll.BDH(config!$G$5,K$1,$A675,$A675))))</f>
        <v/>
      </c>
      <c r="L675" s="8" t="str">
        <f>IF($A675="","",IF(ISNUMBER(FIND("IMPVOL",L$1)),_xll.BDH(config!$G$4,L$1,WORKDAY($A675,-1,config_Holiday_Calendar_US),WORKDAY($A675,-1,config_Holiday_Calendar_US)),IF(ISNUMBER(_xll.BDH(config!$G$4,L$1,$A675,$A675)),_xll.BDH(config!$G$4,L$1,$A675,$A675),_xll.BDH(config!$G$5,L$1,$A675,$A675))))</f>
        <v/>
      </c>
      <c r="M675" s="8" t="str">
        <f>IF($A675="","",IF(ISNUMBER(FIND("IMPVOL",M$1)),_xll.BDH(config!$G$4,M$1,WORKDAY($A675,-1,config_Holiday_Calendar_US),WORKDAY($A675,-1,config_Holiday_Calendar_US)),IF(ISNUMBER(_xll.BDH(config!$G$4,M$1,$A675,$A675)),_xll.BDH(config!$G$4,M$1,$A675,$A675),_xll.BDH(config!$G$5,M$1,$A675,$A675))))</f>
        <v/>
      </c>
      <c r="N675" s="8" t="str">
        <f>IF($A675="","",IF(ISNUMBER(FIND("IMPVOL",N$1)),_xll.BDH(config!$G$4,N$1,WORKDAY($A675,-1,config_Holiday_Calendar_US),WORKDAY($A675,-1,config_Holiday_Calendar_US)),IF(ISNUMBER(_xll.BDH(config!$G$4,N$1,$A675,$A675)),_xll.BDH(config!$G$4,N$1,$A675,$A675),_xll.BDH(config!$G$5,N$1,$A675,$A675))))</f>
        <v/>
      </c>
      <c r="O675" s="8" t="str">
        <f>IF($A675="","",IF(ISNUMBER(FIND("IMPVOL",O$1)),_xll.BDH(config!$G$4,O$1,WORKDAY($A675,-1,config_Holiday_Calendar_US),WORKDAY($A675,-1,config_Holiday_Calendar_US)),IF(ISNUMBER(_xll.BDH(config!$G$4,O$1,$A675,$A675)),_xll.BDH(config!$G$4,O$1,$A675,$A675),_xll.BDH(config!$G$5,O$1,$A675,$A675))))</f>
        <v/>
      </c>
      <c r="P675" s="8" t="str">
        <f>IF($A675="","",IF(ISNUMBER(FIND("IMPVOL",P$1)),_xll.BDH(config!$G$4,P$1,WORKDAY($A675,-1,config_Holiday_Calendar_US),WORKDAY($A675,-1,config_Holiday_Calendar_US)),IF(ISNUMBER(_xll.BDH(config!$G$4,P$1,$A675,$A675)),_xll.BDH(config!$G$4,P$1,$A675,$A675),_xll.BDH(config!$G$5,P$1,$A675,$A675))))</f>
        <v/>
      </c>
      <c r="Q675" s="8" t="str">
        <f>IF($A675="","",IF(ISNUMBER(FIND("IMPVOL",Q$1)),_xll.BDH(config!$G$4,Q$1,WORKDAY($A675,-1,config_Holiday_Calendar_US),WORKDAY($A675,-1,config_Holiday_Calendar_US)),IF(ISNUMBER(_xll.BDH(config!$G$4,Q$1,$A675,$A675)),_xll.BDH(config!$G$4,Q$1,$A675,$A675),_xll.BDH(config!$G$5,Q$1,$A675,$A675))))</f>
        <v/>
      </c>
      <c r="R675" s="8" t="str">
        <f>IF($A675="","",IF(ISNUMBER(FIND("IMPVOL",R$1)),_xll.BDH(config!$G$4,R$1,WORKDAY($A675,-1,config_Holiday_Calendar_US),WORKDAY($A675,-1,config_Holiday_Calendar_US)),IF(ISNUMBER(_xll.BDH(config!$G$4,R$1,$A675,$A675)),_xll.BDH(config!$G$4,R$1,$A675,$A675),_xll.BDH(config!$G$5,R$1,$A675,$A675))))</f>
        <v/>
      </c>
      <c r="S675" s="8" t="str">
        <f>IF($A675="","",IF(ISNUMBER(FIND("IMPVOL",S$1)),_xll.BDH(config!$G$4,S$1,WORKDAY($A675,-1,config_Holiday_Calendar_US),WORKDAY($A675,-1,config_Holiday_Calendar_US)),IF(ISNUMBER(_xll.BDH(config!$G$4,S$1,$A675,$A675)),_xll.BDH(config!$G$4,S$1,$A675,$A675),_xll.BDH(config!$G$5,S$1,$A675,$A675))))</f>
        <v/>
      </c>
      <c r="T675" s="8" t="str">
        <f>IF($A675="","",IF(ISNUMBER(FIND("IMPVOL",T$1)),_xll.BDH(config!$G$4,T$1,WORKDAY($A675,-1,config_Holiday_Calendar_US),WORKDAY($A675,-1,config_Holiday_Calendar_US)),IF(ISNUMBER(_xll.BDH(config!$G$4,T$1,$A675,$A675)),_xll.BDH(config!$G$4,T$1,$A675,$A675),_xll.BDH(config!$G$5,T$1,$A675,$A675))))</f>
        <v/>
      </c>
      <c r="U675" s="8" t="str">
        <f>IF($A675="","",IF(ISNUMBER(FIND("IMPVOL",U$1)),_xll.BDH(config!$G$4,U$1,WORKDAY($A675,-1,config_Holiday_Calendar_US),WORKDAY($A675,-1,config_Holiday_Calendar_US)),IF(ISNUMBER(_xll.BDH(config!$G$4,U$1,$A675,$A675)),_xll.BDH(config!$G$4,U$1,$A675,$A675),_xll.BDH(config!$G$5,U$1,$A675,$A675))))</f>
        <v/>
      </c>
      <c r="V675" s="8" t="str">
        <f>IF($A675="","",IF(ISNUMBER(FIND("IMPVOL",V$1)),_xll.BDH(config!$G$4,V$1,WORKDAY($A675,-1,config_Holiday_Calendar_US),WORKDAY($A675,-1,config_Holiday_Calendar_US)),IF(ISNUMBER(_xll.BDH(config!$G$4,V$1,$A675,$A675)),_xll.BDH(config!$G$4,V$1,$A675,$A675),_xll.BDH(config!$G$5,V$1,$A675,$A675))))</f>
        <v/>
      </c>
      <c r="W675" s="8" t="str">
        <f>IF($A675="","",IF(ISNUMBER(FIND("IMPVOL",W$1)),_xll.BDH(config!$G$4,W$1,WORKDAY($A675,-1,config_Holiday_Calendar_US),WORKDAY($A675,-1,config_Holiday_Calendar_US)),IF(ISNUMBER(_xll.BDH(config!$G$4,W$1,$A675,$A675)),_xll.BDH(config!$G$4,W$1,$A675,$A675),_xll.BDH(config!$G$5,W$1,$A675,$A675))))</f>
        <v/>
      </c>
    </row>
    <row r="676" spans="1:23" x14ac:dyDescent="0.2">
      <c r="A676" s="9" t="str">
        <f>IF(A675="","",IF(WORKDAY(A675,-1,config_Holiday_Calendar_US)&lt;config!$I$10,"",WORKDAY(A675,-1,config_Holiday_Calendar_US)))</f>
        <v/>
      </c>
      <c r="B676" s="8" t="str">
        <f t="shared" si="10"/>
        <v/>
      </c>
      <c r="C676" s="8" t="str">
        <f>IF(A676="","",_xll.BDH(config!$H$4,C$1,$A676,$A676))</f>
        <v/>
      </c>
      <c r="D676" s="8" t="str">
        <f>IF($A676="","",_xll.BDH(config!$H$4,D$1,$A676,$A676))</f>
        <v/>
      </c>
      <c r="E676" s="8" t="str">
        <f>IF($A676="","",IF(ISNUMBER(FIND("IMPVOL",E$1)),_xll.BDH(config!$G$4,E$1,WORKDAY($A676,-1,config_Holiday_Calendar_US),WORKDAY($A676,-1,config_Holiday_Calendar_US)),IF(ISNUMBER(_xll.BDH(config!$G$4,E$1,$A676,$A676)),_xll.BDH(config!$G$4,E$1,$A676,$A676),_xll.BDH(config!$G$5,E$1,$A676,$A676))))</f>
        <v/>
      </c>
      <c r="F676" s="8" t="str">
        <f>IF($A676="","",IF(ISNUMBER(FIND("IMPVOL",F$1)),_xll.BDH(config!$G$4,F$1,WORKDAY($A676,-1,config_Holiday_Calendar_US),WORKDAY($A676,-1,config_Holiday_Calendar_US)),IF(ISNUMBER(_xll.BDH(config!$G$4,F$1,$A676,$A676)),_xll.BDH(config!$G$4,F$1,$A676,$A676),_xll.BDH(config!$G$5,F$1,$A676,$A676))))</f>
        <v/>
      </c>
      <c r="G676" s="8" t="str">
        <f>IF($A676="","",IF(ISNUMBER(FIND("IMPVOL",G$1)),_xll.BDH(config!$G$4,G$1,WORKDAY($A676,-1,config_Holiday_Calendar_US),WORKDAY($A676,-1,config_Holiday_Calendar_US)),IF(ISNUMBER(_xll.BDH(config!$G$4,G$1,$A676,$A676)),_xll.BDH(config!$G$4,G$1,$A676,$A676),_xll.BDH(config!$G$5,G$1,$A676,$A676))))</f>
        <v/>
      </c>
      <c r="H676" s="8" t="str">
        <f>IF($A676="","",IF(ISNUMBER(FIND("IMPVOL",H$1)),_xll.BDH(config!$G$4,H$1,WORKDAY($A676,-1,config_Holiday_Calendar_US),WORKDAY($A676,-1,config_Holiday_Calendar_US)),IF(ISNUMBER(_xll.BDH(config!$G$4,H$1,$A676,$A676)),_xll.BDH(config!$G$4,H$1,$A676,$A676),_xll.BDH(config!$G$5,H$1,$A676,$A676))))</f>
        <v/>
      </c>
      <c r="I676" s="8" t="str">
        <f>IF($A676="","",IF(ISNUMBER(FIND("IMPVOL",I$1)),_xll.BDH(config!$G$4,I$1,WORKDAY($A676,-1,config_Holiday_Calendar_US),WORKDAY($A676,-1,config_Holiday_Calendar_US)),IF(ISNUMBER(_xll.BDH(config!$G$4,I$1,$A676,$A676)),_xll.BDH(config!$G$4,I$1,$A676,$A676),_xll.BDH(config!$G$5,I$1,$A676,$A676))))</f>
        <v/>
      </c>
      <c r="J676" s="8" t="str">
        <f>IF($A676="","",IF(ISNUMBER(FIND("IMPVOL",J$1)),_xll.BDH(config!$G$4,J$1,WORKDAY($A676,-1,config_Holiday_Calendar_US),WORKDAY($A676,-1,config_Holiday_Calendar_US)),IF(ISNUMBER(_xll.BDH(config!$G$4,J$1,$A676,$A676)),_xll.BDH(config!$G$4,J$1,$A676,$A676),_xll.BDH(config!$G$5,J$1,$A676,$A676))))</f>
        <v/>
      </c>
      <c r="K676" s="8" t="str">
        <f>IF($A676="","",IF(ISNUMBER(FIND("IMPVOL",K$1)),_xll.BDH(config!$G$4,K$1,WORKDAY($A676,-1,config_Holiday_Calendar_US),WORKDAY($A676,-1,config_Holiday_Calendar_US)),IF(ISNUMBER(_xll.BDH(config!$G$4,K$1,$A676,$A676)),_xll.BDH(config!$G$4,K$1,$A676,$A676),_xll.BDH(config!$G$5,K$1,$A676,$A676))))</f>
        <v/>
      </c>
      <c r="L676" s="8" t="str">
        <f>IF($A676="","",IF(ISNUMBER(FIND("IMPVOL",L$1)),_xll.BDH(config!$G$4,L$1,WORKDAY($A676,-1,config_Holiday_Calendar_US),WORKDAY($A676,-1,config_Holiday_Calendar_US)),IF(ISNUMBER(_xll.BDH(config!$G$4,L$1,$A676,$A676)),_xll.BDH(config!$G$4,L$1,$A676,$A676),_xll.BDH(config!$G$5,L$1,$A676,$A676))))</f>
        <v/>
      </c>
      <c r="M676" s="8" t="str">
        <f>IF($A676="","",IF(ISNUMBER(FIND("IMPVOL",M$1)),_xll.BDH(config!$G$4,M$1,WORKDAY($A676,-1,config_Holiday_Calendar_US),WORKDAY($A676,-1,config_Holiday_Calendar_US)),IF(ISNUMBER(_xll.BDH(config!$G$4,M$1,$A676,$A676)),_xll.BDH(config!$G$4,M$1,$A676,$A676),_xll.BDH(config!$G$5,M$1,$A676,$A676))))</f>
        <v/>
      </c>
      <c r="N676" s="8" t="str">
        <f>IF($A676="","",IF(ISNUMBER(FIND("IMPVOL",N$1)),_xll.BDH(config!$G$4,N$1,WORKDAY($A676,-1,config_Holiday_Calendar_US),WORKDAY($A676,-1,config_Holiday_Calendar_US)),IF(ISNUMBER(_xll.BDH(config!$G$4,N$1,$A676,$A676)),_xll.BDH(config!$G$4,N$1,$A676,$A676),_xll.BDH(config!$G$5,N$1,$A676,$A676))))</f>
        <v/>
      </c>
      <c r="O676" s="8" t="str">
        <f>IF($A676="","",IF(ISNUMBER(FIND("IMPVOL",O$1)),_xll.BDH(config!$G$4,O$1,WORKDAY($A676,-1,config_Holiday_Calendar_US),WORKDAY($A676,-1,config_Holiday_Calendar_US)),IF(ISNUMBER(_xll.BDH(config!$G$4,O$1,$A676,$A676)),_xll.BDH(config!$G$4,O$1,$A676,$A676),_xll.BDH(config!$G$5,O$1,$A676,$A676))))</f>
        <v/>
      </c>
      <c r="P676" s="8" t="str">
        <f>IF($A676="","",IF(ISNUMBER(FIND("IMPVOL",P$1)),_xll.BDH(config!$G$4,P$1,WORKDAY($A676,-1,config_Holiday_Calendar_US),WORKDAY($A676,-1,config_Holiday_Calendar_US)),IF(ISNUMBER(_xll.BDH(config!$G$4,P$1,$A676,$A676)),_xll.BDH(config!$G$4,P$1,$A676,$A676),_xll.BDH(config!$G$5,P$1,$A676,$A676))))</f>
        <v/>
      </c>
      <c r="Q676" s="8" t="str">
        <f>IF($A676="","",IF(ISNUMBER(FIND("IMPVOL",Q$1)),_xll.BDH(config!$G$4,Q$1,WORKDAY($A676,-1,config_Holiday_Calendar_US),WORKDAY($A676,-1,config_Holiday_Calendar_US)),IF(ISNUMBER(_xll.BDH(config!$G$4,Q$1,$A676,$A676)),_xll.BDH(config!$G$4,Q$1,$A676,$A676),_xll.BDH(config!$G$5,Q$1,$A676,$A676))))</f>
        <v/>
      </c>
      <c r="R676" s="8" t="str">
        <f>IF($A676="","",IF(ISNUMBER(FIND("IMPVOL",R$1)),_xll.BDH(config!$G$4,R$1,WORKDAY($A676,-1,config_Holiday_Calendar_US),WORKDAY($A676,-1,config_Holiday_Calendar_US)),IF(ISNUMBER(_xll.BDH(config!$G$4,R$1,$A676,$A676)),_xll.BDH(config!$G$4,R$1,$A676,$A676),_xll.BDH(config!$G$5,R$1,$A676,$A676))))</f>
        <v/>
      </c>
      <c r="S676" s="8" t="str">
        <f>IF($A676="","",IF(ISNUMBER(FIND("IMPVOL",S$1)),_xll.BDH(config!$G$4,S$1,WORKDAY($A676,-1,config_Holiday_Calendar_US),WORKDAY($A676,-1,config_Holiday_Calendar_US)),IF(ISNUMBER(_xll.BDH(config!$G$4,S$1,$A676,$A676)),_xll.BDH(config!$G$4,S$1,$A676,$A676),_xll.BDH(config!$G$5,S$1,$A676,$A676))))</f>
        <v/>
      </c>
      <c r="T676" s="8" t="str">
        <f>IF($A676="","",IF(ISNUMBER(FIND("IMPVOL",T$1)),_xll.BDH(config!$G$4,T$1,WORKDAY($A676,-1,config_Holiday_Calendar_US),WORKDAY($A676,-1,config_Holiday_Calendar_US)),IF(ISNUMBER(_xll.BDH(config!$G$4,T$1,$A676,$A676)),_xll.BDH(config!$G$4,T$1,$A676,$A676),_xll.BDH(config!$G$5,T$1,$A676,$A676))))</f>
        <v/>
      </c>
      <c r="U676" s="8" t="str">
        <f>IF($A676="","",IF(ISNUMBER(FIND("IMPVOL",U$1)),_xll.BDH(config!$G$4,U$1,WORKDAY($A676,-1,config_Holiday_Calendar_US),WORKDAY($A676,-1,config_Holiday_Calendar_US)),IF(ISNUMBER(_xll.BDH(config!$G$4,U$1,$A676,$A676)),_xll.BDH(config!$G$4,U$1,$A676,$A676),_xll.BDH(config!$G$5,U$1,$A676,$A676))))</f>
        <v/>
      </c>
      <c r="V676" s="8" t="str">
        <f>IF($A676="","",IF(ISNUMBER(FIND("IMPVOL",V$1)),_xll.BDH(config!$G$4,V$1,WORKDAY($A676,-1,config_Holiday_Calendar_US),WORKDAY($A676,-1,config_Holiday_Calendar_US)),IF(ISNUMBER(_xll.BDH(config!$G$4,V$1,$A676,$A676)),_xll.BDH(config!$G$4,V$1,$A676,$A676),_xll.BDH(config!$G$5,V$1,$A676,$A676))))</f>
        <v/>
      </c>
      <c r="W676" s="8" t="str">
        <f>IF($A676="","",IF(ISNUMBER(FIND("IMPVOL",W$1)),_xll.BDH(config!$G$4,W$1,WORKDAY($A676,-1,config_Holiday_Calendar_US),WORKDAY($A676,-1,config_Holiday_Calendar_US)),IF(ISNUMBER(_xll.BDH(config!$G$4,W$1,$A676,$A676)),_xll.BDH(config!$G$4,W$1,$A676,$A676),_xll.BDH(config!$G$5,W$1,$A676,$A676))))</f>
        <v/>
      </c>
    </row>
    <row r="677" spans="1:23" x14ac:dyDescent="0.2">
      <c r="A677" s="9" t="str">
        <f>IF(A676="","",IF(WORKDAY(A676,-1,config_Holiday_Calendar_US)&lt;config!$I$10,"",WORKDAY(A676,-1,config_Holiday_Calendar_US)))</f>
        <v/>
      </c>
      <c r="B677" s="8" t="str">
        <f t="shared" si="10"/>
        <v/>
      </c>
      <c r="C677" s="8" t="str">
        <f>IF(A677="","",_xll.BDH(config!$H$4,C$1,$A677,$A677))</f>
        <v/>
      </c>
      <c r="D677" s="8" t="str">
        <f>IF($A677="","",_xll.BDH(config!$H$4,D$1,$A677,$A677))</f>
        <v/>
      </c>
      <c r="E677" s="8" t="str">
        <f>IF($A677="","",IF(ISNUMBER(FIND("IMPVOL",E$1)),_xll.BDH(config!$G$4,E$1,WORKDAY($A677,-1,config_Holiday_Calendar_US),WORKDAY($A677,-1,config_Holiday_Calendar_US)),IF(ISNUMBER(_xll.BDH(config!$G$4,E$1,$A677,$A677)),_xll.BDH(config!$G$4,E$1,$A677,$A677),_xll.BDH(config!$G$5,E$1,$A677,$A677))))</f>
        <v/>
      </c>
      <c r="F677" s="8" t="str">
        <f>IF($A677="","",IF(ISNUMBER(FIND("IMPVOL",F$1)),_xll.BDH(config!$G$4,F$1,WORKDAY($A677,-1,config_Holiday_Calendar_US),WORKDAY($A677,-1,config_Holiday_Calendar_US)),IF(ISNUMBER(_xll.BDH(config!$G$4,F$1,$A677,$A677)),_xll.BDH(config!$G$4,F$1,$A677,$A677),_xll.BDH(config!$G$5,F$1,$A677,$A677))))</f>
        <v/>
      </c>
      <c r="G677" s="8" t="str">
        <f>IF($A677="","",IF(ISNUMBER(FIND("IMPVOL",G$1)),_xll.BDH(config!$G$4,G$1,WORKDAY($A677,-1,config_Holiday_Calendar_US),WORKDAY($A677,-1,config_Holiday_Calendar_US)),IF(ISNUMBER(_xll.BDH(config!$G$4,G$1,$A677,$A677)),_xll.BDH(config!$G$4,G$1,$A677,$A677),_xll.BDH(config!$G$5,G$1,$A677,$A677))))</f>
        <v/>
      </c>
      <c r="H677" s="8" t="str">
        <f>IF($A677="","",IF(ISNUMBER(FIND("IMPVOL",H$1)),_xll.BDH(config!$G$4,H$1,WORKDAY($A677,-1,config_Holiday_Calendar_US),WORKDAY($A677,-1,config_Holiday_Calendar_US)),IF(ISNUMBER(_xll.BDH(config!$G$4,H$1,$A677,$A677)),_xll.BDH(config!$G$4,H$1,$A677,$A677),_xll.BDH(config!$G$5,H$1,$A677,$A677))))</f>
        <v/>
      </c>
      <c r="I677" s="8" t="str">
        <f>IF($A677="","",IF(ISNUMBER(FIND("IMPVOL",I$1)),_xll.BDH(config!$G$4,I$1,WORKDAY($A677,-1,config_Holiday_Calendar_US),WORKDAY($A677,-1,config_Holiday_Calendar_US)),IF(ISNUMBER(_xll.BDH(config!$G$4,I$1,$A677,$A677)),_xll.BDH(config!$G$4,I$1,$A677,$A677),_xll.BDH(config!$G$5,I$1,$A677,$A677))))</f>
        <v/>
      </c>
      <c r="J677" s="8" t="str">
        <f>IF($A677="","",IF(ISNUMBER(FIND("IMPVOL",J$1)),_xll.BDH(config!$G$4,J$1,WORKDAY($A677,-1,config_Holiday_Calendar_US),WORKDAY($A677,-1,config_Holiday_Calendar_US)),IF(ISNUMBER(_xll.BDH(config!$G$4,J$1,$A677,$A677)),_xll.BDH(config!$G$4,J$1,$A677,$A677),_xll.BDH(config!$G$5,J$1,$A677,$A677))))</f>
        <v/>
      </c>
      <c r="K677" s="8" t="str">
        <f>IF($A677="","",IF(ISNUMBER(FIND("IMPVOL",K$1)),_xll.BDH(config!$G$4,K$1,WORKDAY($A677,-1,config_Holiday_Calendar_US),WORKDAY($A677,-1,config_Holiday_Calendar_US)),IF(ISNUMBER(_xll.BDH(config!$G$4,K$1,$A677,$A677)),_xll.BDH(config!$G$4,K$1,$A677,$A677),_xll.BDH(config!$G$5,K$1,$A677,$A677))))</f>
        <v/>
      </c>
      <c r="L677" s="8" t="str">
        <f>IF($A677="","",IF(ISNUMBER(FIND("IMPVOL",L$1)),_xll.BDH(config!$G$4,L$1,WORKDAY($A677,-1,config_Holiday_Calendar_US),WORKDAY($A677,-1,config_Holiday_Calendar_US)),IF(ISNUMBER(_xll.BDH(config!$G$4,L$1,$A677,$A677)),_xll.BDH(config!$G$4,L$1,$A677,$A677),_xll.BDH(config!$G$5,L$1,$A677,$A677))))</f>
        <v/>
      </c>
      <c r="M677" s="8" t="str">
        <f>IF($A677="","",IF(ISNUMBER(FIND("IMPVOL",M$1)),_xll.BDH(config!$G$4,M$1,WORKDAY($A677,-1,config_Holiday_Calendar_US),WORKDAY($A677,-1,config_Holiday_Calendar_US)),IF(ISNUMBER(_xll.BDH(config!$G$4,M$1,$A677,$A677)),_xll.BDH(config!$G$4,M$1,$A677,$A677),_xll.BDH(config!$G$5,M$1,$A677,$A677))))</f>
        <v/>
      </c>
      <c r="N677" s="8" t="str">
        <f>IF($A677="","",IF(ISNUMBER(FIND("IMPVOL",N$1)),_xll.BDH(config!$G$4,N$1,WORKDAY($A677,-1,config_Holiday_Calendar_US),WORKDAY($A677,-1,config_Holiday_Calendar_US)),IF(ISNUMBER(_xll.BDH(config!$G$4,N$1,$A677,$A677)),_xll.BDH(config!$G$4,N$1,$A677,$A677),_xll.BDH(config!$G$5,N$1,$A677,$A677))))</f>
        <v/>
      </c>
      <c r="O677" s="8" t="str">
        <f>IF($A677="","",IF(ISNUMBER(FIND("IMPVOL",O$1)),_xll.BDH(config!$G$4,O$1,WORKDAY($A677,-1,config_Holiday_Calendar_US),WORKDAY($A677,-1,config_Holiday_Calendar_US)),IF(ISNUMBER(_xll.BDH(config!$G$4,O$1,$A677,$A677)),_xll.BDH(config!$G$4,O$1,$A677,$A677),_xll.BDH(config!$G$5,O$1,$A677,$A677))))</f>
        <v/>
      </c>
      <c r="P677" s="8" t="str">
        <f>IF($A677="","",IF(ISNUMBER(FIND("IMPVOL",P$1)),_xll.BDH(config!$G$4,P$1,WORKDAY($A677,-1,config_Holiday_Calendar_US),WORKDAY($A677,-1,config_Holiday_Calendar_US)),IF(ISNUMBER(_xll.BDH(config!$G$4,P$1,$A677,$A677)),_xll.BDH(config!$G$4,P$1,$A677,$A677),_xll.BDH(config!$G$5,P$1,$A677,$A677))))</f>
        <v/>
      </c>
      <c r="Q677" s="8" t="str">
        <f>IF($A677="","",IF(ISNUMBER(FIND("IMPVOL",Q$1)),_xll.BDH(config!$G$4,Q$1,WORKDAY($A677,-1,config_Holiday_Calendar_US),WORKDAY($A677,-1,config_Holiday_Calendar_US)),IF(ISNUMBER(_xll.BDH(config!$G$4,Q$1,$A677,$A677)),_xll.BDH(config!$G$4,Q$1,$A677,$A677),_xll.BDH(config!$G$5,Q$1,$A677,$A677))))</f>
        <v/>
      </c>
      <c r="R677" s="8" t="str">
        <f>IF($A677="","",IF(ISNUMBER(FIND("IMPVOL",R$1)),_xll.BDH(config!$G$4,R$1,WORKDAY($A677,-1,config_Holiday_Calendar_US),WORKDAY($A677,-1,config_Holiday_Calendar_US)),IF(ISNUMBER(_xll.BDH(config!$G$4,R$1,$A677,$A677)),_xll.BDH(config!$G$4,R$1,$A677,$A677),_xll.BDH(config!$G$5,R$1,$A677,$A677))))</f>
        <v/>
      </c>
      <c r="S677" s="8" t="str">
        <f>IF($A677="","",IF(ISNUMBER(FIND("IMPVOL",S$1)),_xll.BDH(config!$G$4,S$1,WORKDAY($A677,-1,config_Holiday_Calendar_US),WORKDAY($A677,-1,config_Holiday_Calendar_US)),IF(ISNUMBER(_xll.BDH(config!$G$4,S$1,$A677,$A677)),_xll.BDH(config!$G$4,S$1,$A677,$A677),_xll.BDH(config!$G$5,S$1,$A677,$A677))))</f>
        <v/>
      </c>
      <c r="T677" s="8" t="str">
        <f>IF($A677="","",IF(ISNUMBER(FIND("IMPVOL",T$1)),_xll.BDH(config!$G$4,T$1,WORKDAY($A677,-1,config_Holiday_Calendar_US),WORKDAY($A677,-1,config_Holiday_Calendar_US)),IF(ISNUMBER(_xll.BDH(config!$G$4,T$1,$A677,$A677)),_xll.BDH(config!$G$4,T$1,$A677,$A677),_xll.BDH(config!$G$5,T$1,$A677,$A677))))</f>
        <v/>
      </c>
      <c r="U677" s="8" t="str">
        <f>IF($A677="","",IF(ISNUMBER(FIND("IMPVOL",U$1)),_xll.BDH(config!$G$4,U$1,WORKDAY($A677,-1,config_Holiday_Calendar_US),WORKDAY($A677,-1,config_Holiday_Calendar_US)),IF(ISNUMBER(_xll.BDH(config!$G$4,U$1,$A677,$A677)),_xll.BDH(config!$G$4,U$1,$A677,$A677),_xll.BDH(config!$G$5,U$1,$A677,$A677))))</f>
        <v/>
      </c>
      <c r="V677" s="8" t="str">
        <f>IF($A677="","",IF(ISNUMBER(FIND("IMPVOL",V$1)),_xll.BDH(config!$G$4,V$1,WORKDAY($A677,-1,config_Holiday_Calendar_US),WORKDAY($A677,-1,config_Holiday_Calendar_US)),IF(ISNUMBER(_xll.BDH(config!$G$4,V$1,$A677,$A677)),_xll.BDH(config!$G$4,V$1,$A677,$A677),_xll.BDH(config!$G$5,V$1,$A677,$A677))))</f>
        <v/>
      </c>
      <c r="W677" s="8" t="str">
        <f>IF($A677="","",IF(ISNUMBER(FIND("IMPVOL",W$1)),_xll.BDH(config!$G$4,W$1,WORKDAY($A677,-1,config_Holiday_Calendar_US),WORKDAY($A677,-1,config_Holiday_Calendar_US)),IF(ISNUMBER(_xll.BDH(config!$G$4,W$1,$A677,$A677)),_xll.BDH(config!$G$4,W$1,$A677,$A677),_xll.BDH(config!$G$5,W$1,$A677,$A677))))</f>
        <v/>
      </c>
    </row>
    <row r="678" spans="1:23" x14ac:dyDescent="0.2">
      <c r="A678" s="9" t="str">
        <f>IF(A677="","",IF(WORKDAY(A677,-1,config_Holiday_Calendar_US)&lt;config!$I$10,"",WORKDAY(A677,-1,config_Holiday_Calendar_US)))</f>
        <v/>
      </c>
      <c r="B678" s="8" t="str">
        <f t="shared" si="10"/>
        <v/>
      </c>
      <c r="C678" s="8" t="str">
        <f>IF(A678="","",_xll.BDH(config!$H$4,C$1,$A678,$A678))</f>
        <v/>
      </c>
      <c r="D678" s="8" t="str">
        <f>IF($A678="","",_xll.BDH(config!$H$4,D$1,$A678,$A678))</f>
        <v/>
      </c>
      <c r="E678" s="8" t="str">
        <f>IF($A678="","",IF(ISNUMBER(FIND("IMPVOL",E$1)),_xll.BDH(config!$G$4,E$1,WORKDAY($A678,-1,config_Holiday_Calendar_US),WORKDAY($A678,-1,config_Holiday_Calendar_US)),IF(ISNUMBER(_xll.BDH(config!$G$4,E$1,$A678,$A678)),_xll.BDH(config!$G$4,E$1,$A678,$A678),_xll.BDH(config!$G$5,E$1,$A678,$A678))))</f>
        <v/>
      </c>
      <c r="F678" s="8" t="str">
        <f>IF($A678="","",IF(ISNUMBER(FIND("IMPVOL",F$1)),_xll.BDH(config!$G$4,F$1,WORKDAY($A678,-1,config_Holiday_Calendar_US),WORKDAY($A678,-1,config_Holiday_Calendar_US)),IF(ISNUMBER(_xll.BDH(config!$G$4,F$1,$A678,$A678)),_xll.BDH(config!$G$4,F$1,$A678,$A678),_xll.BDH(config!$G$5,F$1,$A678,$A678))))</f>
        <v/>
      </c>
      <c r="G678" s="8" t="str">
        <f>IF($A678="","",IF(ISNUMBER(FIND("IMPVOL",G$1)),_xll.BDH(config!$G$4,G$1,WORKDAY($A678,-1,config_Holiday_Calendar_US),WORKDAY($A678,-1,config_Holiday_Calendar_US)),IF(ISNUMBER(_xll.BDH(config!$G$4,G$1,$A678,$A678)),_xll.BDH(config!$G$4,G$1,$A678,$A678),_xll.BDH(config!$G$5,G$1,$A678,$A678))))</f>
        <v/>
      </c>
      <c r="H678" s="8" t="str">
        <f>IF($A678="","",IF(ISNUMBER(FIND("IMPVOL",H$1)),_xll.BDH(config!$G$4,H$1,WORKDAY($A678,-1,config_Holiday_Calendar_US),WORKDAY($A678,-1,config_Holiday_Calendar_US)),IF(ISNUMBER(_xll.BDH(config!$G$4,H$1,$A678,$A678)),_xll.BDH(config!$G$4,H$1,$A678,$A678),_xll.BDH(config!$G$5,H$1,$A678,$A678))))</f>
        <v/>
      </c>
      <c r="I678" s="8" t="str">
        <f>IF($A678="","",IF(ISNUMBER(FIND("IMPVOL",I$1)),_xll.BDH(config!$G$4,I$1,WORKDAY($A678,-1,config_Holiday_Calendar_US),WORKDAY($A678,-1,config_Holiday_Calendar_US)),IF(ISNUMBER(_xll.BDH(config!$G$4,I$1,$A678,$A678)),_xll.BDH(config!$G$4,I$1,$A678,$A678),_xll.BDH(config!$G$5,I$1,$A678,$A678))))</f>
        <v/>
      </c>
      <c r="J678" s="8" t="str">
        <f>IF($A678="","",IF(ISNUMBER(FIND("IMPVOL",J$1)),_xll.BDH(config!$G$4,J$1,WORKDAY($A678,-1,config_Holiday_Calendar_US),WORKDAY($A678,-1,config_Holiday_Calendar_US)),IF(ISNUMBER(_xll.BDH(config!$G$4,J$1,$A678,$A678)),_xll.BDH(config!$G$4,J$1,$A678,$A678),_xll.BDH(config!$G$5,J$1,$A678,$A678))))</f>
        <v/>
      </c>
      <c r="K678" s="8" t="str">
        <f>IF($A678="","",IF(ISNUMBER(FIND("IMPVOL",K$1)),_xll.BDH(config!$G$4,K$1,WORKDAY($A678,-1,config_Holiday_Calendar_US),WORKDAY($A678,-1,config_Holiday_Calendar_US)),IF(ISNUMBER(_xll.BDH(config!$G$4,K$1,$A678,$A678)),_xll.BDH(config!$G$4,K$1,$A678,$A678),_xll.BDH(config!$G$5,K$1,$A678,$A678))))</f>
        <v/>
      </c>
      <c r="L678" s="8" t="str">
        <f>IF($A678="","",IF(ISNUMBER(FIND("IMPVOL",L$1)),_xll.BDH(config!$G$4,L$1,WORKDAY($A678,-1,config_Holiday_Calendar_US),WORKDAY($A678,-1,config_Holiday_Calendar_US)),IF(ISNUMBER(_xll.BDH(config!$G$4,L$1,$A678,$A678)),_xll.BDH(config!$G$4,L$1,$A678,$A678),_xll.BDH(config!$G$5,L$1,$A678,$A678))))</f>
        <v/>
      </c>
      <c r="M678" s="8" t="str">
        <f>IF($A678="","",IF(ISNUMBER(FIND("IMPVOL",M$1)),_xll.BDH(config!$G$4,M$1,WORKDAY($A678,-1,config_Holiday_Calendar_US),WORKDAY($A678,-1,config_Holiday_Calendar_US)),IF(ISNUMBER(_xll.BDH(config!$G$4,M$1,$A678,$A678)),_xll.BDH(config!$G$4,M$1,$A678,$A678),_xll.BDH(config!$G$5,M$1,$A678,$A678))))</f>
        <v/>
      </c>
      <c r="N678" s="8" t="str">
        <f>IF($A678="","",IF(ISNUMBER(FIND("IMPVOL",N$1)),_xll.BDH(config!$G$4,N$1,WORKDAY($A678,-1,config_Holiday_Calendar_US),WORKDAY($A678,-1,config_Holiday_Calendar_US)),IF(ISNUMBER(_xll.BDH(config!$G$4,N$1,$A678,$A678)),_xll.BDH(config!$G$4,N$1,$A678,$A678),_xll.BDH(config!$G$5,N$1,$A678,$A678))))</f>
        <v/>
      </c>
      <c r="O678" s="8" t="str">
        <f>IF($A678="","",IF(ISNUMBER(FIND("IMPVOL",O$1)),_xll.BDH(config!$G$4,O$1,WORKDAY($A678,-1,config_Holiday_Calendar_US),WORKDAY($A678,-1,config_Holiday_Calendar_US)),IF(ISNUMBER(_xll.BDH(config!$G$4,O$1,$A678,$A678)),_xll.BDH(config!$G$4,O$1,$A678,$A678),_xll.BDH(config!$G$5,O$1,$A678,$A678))))</f>
        <v/>
      </c>
      <c r="P678" s="8" t="str">
        <f>IF($A678="","",IF(ISNUMBER(FIND("IMPVOL",P$1)),_xll.BDH(config!$G$4,P$1,WORKDAY($A678,-1,config_Holiday_Calendar_US),WORKDAY($A678,-1,config_Holiday_Calendar_US)),IF(ISNUMBER(_xll.BDH(config!$G$4,P$1,$A678,$A678)),_xll.BDH(config!$G$4,P$1,$A678,$A678),_xll.BDH(config!$G$5,P$1,$A678,$A678))))</f>
        <v/>
      </c>
      <c r="Q678" s="8" t="str">
        <f>IF($A678="","",IF(ISNUMBER(FIND("IMPVOL",Q$1)),_xll.BDH(config!$G$4,Q$1,WORKDAY($A678,-1,config_Holiday_Calendar_US),WORKDAY($A678,-1,config_Holiday_Calendar_US)),IF(ISNUMBER(_xll.BDH(config!$G$4,Q$1,$A678,$A678)),_xll.BDH(config!$G$4,Q$1,$A678,$A678),_xll.BDH(config!$G$5,Q$1,$A678,$A678))))</f>
        <v/>
      </c>
      <c r="R678" s="8" t="str">
        <f>IF($A678="","",IF(ISNUMBER(FIND("IMPVOL",R$1)),_xll.BDH(config!$G$4,R$1,WORKDAY($A678,-1,config_Holiday_Calendar_US),WORKDAY($A678,-1,config_Holiday_Calendar_US)),IF(ISNUMBER(_xll.BDH(config!$G$4,R$1,$A678,$A678)),_xll.BDH(config!$G$4,R$1,$A678,$A678),_xll.BDH(config!$G$5,R$1,$A678,$A678))))</f>
        <v/>
      </c>
      <c r="S678" s="8" t="str">
        <f>IF($A678="","",IF(ISNUMBER(FIND("IMPVOL",S$1)),_xll.BDH(config!$G$4,S$1,WORKDAY($A678,-1,config_Holiday_Calendar_US),WORKDAY($A678,-1,config_Holiday_Calendar_US)),IF(ISNUMBER(_xll.BDH(config!$G$4,S$1,$A678,$A678)),_xll.BDH(config!$G$4,S$1,$A678,$A678),_xll.BDH(config!$G$5,S$1,$A678,$A678))))</f>
        <v/>
      </c>
      <c r="T678" s="8" t="str">
        <f>IF($A678="","",IF(ISNUMBER(FIND("IMPVOL",T$1)),_xll.BDH(config!$G$4,T$1,WORKDAY($A678,-1,config_Holiday_Calendar_US),WORKDAY($A678,-1,config_Holiday_Calendar_US)),IF(ISNUMBER(_xll.BDH(config!$G$4,T$1,$A678,$A678)),_xll.BDH(config!$G$4,T$1,$A678,$A678),_xll.BDH(config!$G$5,T$1,$A678,$A678))))</f>
        <v/>
      </c>
      <c r="U678" s="8" t="str">
        <f>IF($A678="","",IF(ISNUMBER(FIND("IMPVOL",U$1)),_xll.BDH(config!$G$4,U$1,WORKDAY($A678,-1,config_Holiday_Calendar_US),WORKDAY($A678,-1,config_Holiday_Calendar_US)),IF(ISNUMBER(_xll.BDH(config!$G$4,U$1,$A678,$A678)),_xll.BDH(config!$G$4,U$1,$A678,$A678),_xll.BDH(config!$G$5,U$1,$A678,$A678))))</f>
        <v/>
      </c>
      <c r="V678" s="8" t="str">
        <f>IF($A678="","",IF(ISNUMBER(FIND("IMPVOL",V$1)),_xll.BDH(config!$G$4,V$1,WORKDAY($A678,-1,config_Holiday_Calendar_US),WORKDAY($A678,-1,config_Holiday_Calendar_US)),IF(ISNUMBER(_xll.BDH(config!$G$4,V$1,$A678,$A678)),_xll.BDH(config!$G$4,V$1,$A678,$A678),_xll.BDH(config!$G$5,V$1,$A678,$A678))))</f>
        <v/>
      </c>
      <c r="W678" s="8" t="str">
        <f>IF($A678="","",IF(ISNUMBER(FIND("IMPVOL",W$1)),_xll.BDH(config!$G$4,W$1,WORKDAY($A678,-1,config_Holiday_Calendar_US),WORKDAY($A678,-1,config_Holiday_Calendar_US)),IF(ISNUMBER(_xll.BDH(config!$G$4,W$1,$A678,$A678)),_xll.BDH(config!$G$4,W$1,$A678,$A678),_xll.BDH(config!$G$5,W$1,$A678,$A678))))</f>
        <v/>
      </c>
    </row>
    <row r="679" spans="1:23" x14ac:dyDescent="0.2">
      <c r="A679" s="9" t="str">
        <f>IF(A678="","",IF(WORKDAY(A678,-1,config_Holiday_Calendar_US)&lt;config!$I$10,"",WORKDAY(A678,-1,config_Holiday_Calendar_US)))</f>
        <v/>
      </c>
      <c r="B679" s="8" t="str">
        <f t="shared" si="10"/>
        <v/>
      </c>
      <c r="C679" s="8" t="str">
        <f>IF(A679="","",_xll.BDH(config!$H$4,C$1,$A679,$A679))</f>
        <v/>
      </c>
      <c r="D679" s="8" t="str">
        <f>IF($A679="","",_xll.BDH(config!$H$4,D$1,$A679,$A679))</f>
        <v/>
      </c>
      <c r="E679" s="8" t="str">
        <f>IF($A679="","",IF(ISNUMBER(FIND("IMPVOL",E$1)),_xll.BDH(config!$G$4,E$1,WORKDAY($A679,-1,config_Holiday_Calendar_US),WORKDAY($A679,-1,config_Holiday_Calendar_US)),IF(ISNUMBER(_xll.BDH(config!$G$4,E$1,$A679,$A679)),_xll.BDH(config!$G$4,E$1,$A679,$A679),_xll.BDH(config!$G$5,E$1,$A679,$A679))))</f>
        <v/>
      </c>
      <c r="F679" s="8" t="str">
        <f>IF($A679="","",IF(ISNUMBER(FIND("IMPVOL",F$1)),_xll.BDH(config!$G$4,F$1,WORKDAY($A679,-1,config_Holiday_Calendar_US),WORKDAY($A679,-1,config_Holiday_Calendar_US)),IF(ISNUMBER(_xll.BDH(config!$G$4,F$1,$A679,$A679)),_xll.BDH(config!$G$4,F$1,$A679,$A679),_xll.BDH(config!$G$5,F$1,$A679,$A679))))</f>
        <v/>
      </c>
      <c r="G679" s="8" t="str">
        <f>IF($A679="","",IF(ISNUMBER(FIND("IMPVOL",G$1)),_xll.BDH(config!$G$4,G$1,WORKDAY($A679,-1,config_Holiday_Calendar_US),WORKDAY($A679,-1,config_Holiday_Calendar_US)),IF(ISNUMBER(_xll.BDH(config!$G$4,G$1,$A679,$A679)),_xll.BDH(config!$G$4,G$1,$A679,$A679),_xll.BDH(config!$G$5,G$1,$A679,$A679))))</f>
        <v/>
      </c>
      <c r="H679" s="8" t="str">
        <f>IF($A679="","",IF(ISNUMBER(FIND("IMPVOL",H$1)),_xll.BDH(config!$G$4,H$1,WORKDAY($A679,-1,config_Holiday_Calendar_US),WORKDAY($A679,-1,config_Holiday_Calendar_US)),IF(ISNUMBER(_xll.BDH(config!$G$4,H$1,$A679,$A679)),_xll.BDH(config!$G$4,H$1,$A679,$A679),_xll.BDH(config!$G$5,H$1,$A679,$A679))))</f>
        <v/>
      </c>
      <c r="I679" s="8" t="str">
        <f>IF($A679="","",IF(ISNUMBER(FIND("IMPVOL",I$1)),_xll.BDH(config!$G$4,I$1,WORKDAY($A679,-1,config_Holiday_Calendar_US),WORKDAY($A679,-1,config_Holiday_Calendar_US)),IF(ISNUMBER(_xll.BDH(config!$G$4,I$1,$A679,$A679)),_xll.BDH(config!$G$4,I$1,$A679,$A679),_xll.BDH(config!$G$5,I$1,$A679,$A679))))</f>
        <v/>
      </c>
      <c r="J679" s="8" t="str">
        <f>IF($A679="","",IF(ISNUMBER(FIND("IMPVOL",J$1)),_xll.BDH(config!$G$4,J$1,WORKDAY($A679,-1,config_Holiday_Calendar_US),WORKDAY($A679,-1,config_Holiday_Calendar_US)),IF(ISNUMBER(_xll.BDH(config!$G$4,J$1,$A679,$A679)),_xll.BDH(config!$G$4,J$1,$A679,$A679),_xll.BDH(config!$G$5,J$1,$A679,$A679))))</f>
        <v/>
      </c>
      <c r="K679" s="8" t="str">
        <f>IF($A679="","",IF(ISNUMBER(FIND("IMPVOL",K$1)),_xll.BDH(config!$G$4,K$1,WORKDAY($A679,-1,config_Holiday_Calendar_US),WORKDAY($A679,-1,config_Holiday_Calendar_US)),IF(ISNUMBER(_xll.BDH(config!$G$4,K$1,$A679,$A679)),_xll.BDH(config!$G$4,K$1,$A679,$A679),_xll.BDH(config!$G$5,K$1,$A679,$A679))))</f>
        <v/>
      </c>
      <c r="L679" s="8" t="str">
        <f>IF($A679="","",IF(ISNUMBER(FIND("IMPVOL",L$1)),_xll.BDH(config!$G$4,L$1,WORKDAY($A679,-1,config_Holiday_Calendar_US),WORKDAY($A679,-1,config_Holiday_Calendar_US)),IF(ISNUMBER(_xll.BDH(config!$G$4,L$1,$A679,$A679)),_xll.BDH(config!$G$4,L$1,$A679,$A679),_xll.BDH(config!$G$5,L$1,$A679,$A679))))</f>
        <v/>
      </c>
      <c r="M679" s="8" t="str">
        <f>IF($A679="","",IF(ISNUMBER(FIND("IMPVOL",M$1)),_xll.BDH(config!$G$4,M$1,WORKDAY($A679,-1,config_Holiday_Calendar_US),WORKDAY($A679,-1,config_Holiday_Calendar_US)),IF(ISNUMBER(_xll.BDH(config!$G$4,M$1,$A679,$A679)),_xll.BDH(config!$G$4,M$1,$A679,$A679),_xll.BDH(config!$G$5,M$1,$A679,$A679))))</f>
        <v/>
      </c>
      <c r="N679" s="8" t="str">
        <f>IF($A679="","",IF(ISNUMBER(FIND("IMPVOL",N$1)),_xll.BDH(config!$G$4,N$1,WORKDAY($A679,-1,config_Holiday_Calendar_US),WORKDAY($A679,-1,config_Holiday_Calendar_US)),IF(ISNUMBER(_xll.BDH(config!$G$4,N$1,$A679,$A679)),_xll.BDH(config!$G$4,N$1,$A679,$A679),_xll.BDH(config!$G$5,N$1,$A679,$A679))))</f>
        <v/>
      </c>
      <c r="O679" s="8" t="str">
        <f>IF($A679="","",IF(ISNUMBER(FIND("IMPVOL",O$1)),_xll.BDH(config!$G$4,O$1,WORKDAY($A679,-1,config_Holiday_Calendar_US),WORKDAY($A679,-1,config_Holiday_Calendar_US)),IF(ISNUMBER(_xll.BDH(config!$G$4,O$1,$A679,$A679)),_xll.BDH(config!$G$4,O$1,$A679,$A679),_xll.BDH(config!$G$5,O$1,$A679,$A679))))</f>
        <v/>
      </c>
      <c r="P679" s="8" t="str">
        <f>IF($A679="","",IF(ISNUMBER(FIND("IMPVOL",P$1)),_xll.BDH(config!$G$4,P$1,WORKDAY($A679,-1,config_Holiday_Calendar_US),WORKDAY($A679,-1,config_Holiday_Calendar_US)),IF(ISNUMBER(_xll.BDH(config!$G$4,P$1,$A679,$A679)),_xll.BDH(config!$G$4,P$1,$A679,$A679),_xll.BDH(config!$G$5,P$1,$A679,$A679))))</f>
        <v/>
      </c>
      <c r="Q679" s="8" t="str">
        <f>IF($A679="","",IF(ISNUMBER(FIND("IMPVOL",Q$1)),_xll.BDH(config!$G$4,Q$1,WORKDAY($A679,-1,config_Holiday_Calendar_US),WORKDAY($A679,-1,config_Holiday_Calendar_US)),IF(ISNUMBER(_xll.BDH(config!$G$4,Q$1,$A679,$A679)),_xll.BDH(config!$G$4,Q$1,$A679,$A679),_xll.BDH(config!$G$5,Q$1,$A679,$A679))))</f>
        <v/>
      </c>
      <c r="R679" s="8" t="str">
        <f>IF($A679="","",IF(ISNUMBER(FIND("IMPVOL",R$1)),_xll.BDH(config!$G$4,R$1,WORKDAY($A679,-1,config_Holiday_Calendar_US),WORKDAY($A679,-1,config_Holiday_Calendar_US)),IF(ISNUMBER(_xll.BDH(config!$G$4,R$1,$A679,$A679)),_xll.BDH(config!$G$4,R$1,$A679,$A679),_xll.BDH(config!$G$5,R$1,$A679,$A679))))</f>
        <v/>
      </c>
      <c r="S679" s="8" t="str">
        <f>IF($A679="","",IF(ISNUMBER(FIND("IMPVOL",S$1)),_xll.BDH(config!$G$4,S$1,WORKDAY($A679,-1,config_Holiday_Calendar_US),WORKDAY($A679,-1,config_Holiday_Calendar_US)),IF(ISNUMBER(_xll.BDH(config!$G$4,S$1,$A679,$A679)),_xll.BDH(config!$G$4,S$1,$A679,$A679),_xll.BDH(config!$G$5,S$1,$A679,$A679))))</f>
        <v/>
      </c>
      <c r="T679" s="8" t="str">
        <f>IF($A679="","",IF(ISNUMBER(FIND("IMPVOL",T$1)),_xll.BDH(config!$G$4,T$1,WORKDAY($A679,-1,config_Holiday_Calendar_US),WORKDAY($A679,-1,config_Holiday_Calendar_US)),IF(ISNUMBER(_xll.BDH(config!$G$4,T$1,$A679,$A679)),_xll.BDH(config!$G$4,T$1,$A679,$A679),_xll.BDH(config!$G$5,T$1,$A679,$A679))))</f>
        <v/>
      </c>
      <c r="U679" s="8" t="str">
        <f>IF($A679="","",IF(ISNUMBER(FIND("IMPVOL",U$1)),_xll.BDH(config!$G$4,U$1,WORKDAY($A679,-1,config_Holiday_Calendar_US),WORKDAY($A679,-1,config_Holiday_Calendar_US)),IF(ISNUMBER(_xll.BDH(config!$G$4,U$1,$A679,$A679)),_xll.BDH(config!$G$4,U$1,$A679,$A679),_xll.BDH(config!$G$5,U$1,$A679,$A679))))</f>
        <v/>
      </c>
      <c r="V679" s="8" t="str">
        <f>IF($A679="","",IF(ISNUMBER(FIND("IMPVOL",V$1)),_xll.BDH(config!$G$4,V$1,WORKDAY($A679,-1,config_Holiday_Calendar_US),WORKDAY($A679,-1,config_Holiday_Calendar_US)),IF(ISNUMBER(_xll.BDH(config!$G$4,V$1,$A679,$A679)),_xll.BDH(config!$G$4,V$1,$A679,$A679),_xll.BDH(config!$G$5,V$1,$A679,$A679))))</f>
        <v/>
      </c>
      <c r="W679" s="8" t="str">
        <f>IF($A679="","",IF(ISNUMBER(FIND("IMPVOL",W$1)),_xll.BDH(config!$G$4,W$1,WORKDAY($A679,-1,config_Holiday_Calendar_US),WORKDAY($A679,-1,config_Holiday_Calendar_US)),IF(ISNUMBER(_xll.BDH(config!$G$4,W$1,$A679,$A679)),_xll.BDH(config!$G$4,W$1,$A679,$A679),_xll.BDH(config!$G$5,W$1,$A679,$A679))))</f>
        <v/>
      </c>
    </row>
    <row r="680" spans="1:23" x14ac:dyDescent="0.2">
      <c r="A680" s="9" t="str">
        <f>IF(A679="","",IF(WORKDAY(A679,-1,config_Holiday_Calendar_US)&lt;config!$I$10,"",WORKDAY(A679,-1,config_Holiday_Calendar_US)))</f>
        <v/>
      </c>
      <c r="B680" s="8" t="str">
        <f t="shared" si="10"/>
        <v/>
      </c>
      <c r="C680" s="8" t="str">
        <f>IF(A680="","",_xll.BDH(config!$H$4,C$1,$A680,$A680))</f>
        <v/>
      </c>
      <c r="D680" s="8" t="str">
        <f>IF($A680="","",_xll.BDH(config!$H$4,D$1,$A680,$A680))</f>
        <v/>
      </c>
      <c r="E680" s="8" t="str">
        <f>IF($A680="","",IF(ISNUMBER(FIND("IMPVOL",E$1)),_xll.BDH(config!$G$4,E$1,WORKDAY($A680,-1,config_Holiday_Calendar_US),WORKDAY($A680,-1,config_Holiday_Calendar_US)),IF(ISNUMBER(_xll.BDH(config!$G$4,E$1,$A680,$A680)),_xll.BDH(config!$G$4,E$1,$A680,$A680),_xll.BDH(config!$G$5,E$1,$A680,$A680))))</f>
        <v/>
      </c>
      <c r="F680" s="8" t="str">
        <f>IF($A680="","",IF(ISNUMBER(FIND("IMPVOL",F$1)),_xll.BDH(config!$G$4,F$1,WORKDAY($A680,-1,config_Holiday_Calendar_US),WORKDAY($A680,-1,config_Holiday_Calendar_US)),IF(ISNUMBER(_xll.BDH(config!$G$4,F$1,$A680,$A680)),_xll.BDH(config!$G$4,F$1,$A680,$A680),_xll.BDH(config!$G$5,F$1,$A680,$A680))))</f>
        <v/>
      </c>
      <c r="G680" s="8" t="str">
        <f>IF($A680="","",IF(ISNUMBER(FIND("IMPVOL",G$1)),_xll.BDH(config!$G$4,G$1,WORKDAY($A680,-1,config_Holiday_Calendar_US),WORKDAY($A680,-1,config_Holiday_Calendar_US)),IF(ISNUMBER(_xll.BDH(config!$G$4,G$1,$A680,$A680)),_xll.BDH(config!$G$4,G$1,$A680,$A680),_xll.BDH(config!$G$5,G$1,$A680,$A680))))</f>
        <v/>
      </c>
      <c r="H680" s="8" t="str">
        <f>IF($A680="","",IF(ISNUMBER(FIND("IMPVOL",H$1)),_xll.BDH(config!$G$4,H$1,WORKDAY($A680,-1,config_Holiday_Calendar_US),WORKDAY($A680,-1,config_Holiday_Calendar_US)),IF(ISNUMBER(_xll.BDH(config!$G$4,H$1,$A680,$A680)),_xll.BDH(config!$G$4,H$1,$A680,$A680),_xll.BDH(config!$G$5,H$1,$A680,$A680))))</f>
        <v/>
      </c>
      <c r="I680" s="8" t="str">
        <f>IF($A680="","",IF(ISNUMBER(FIND("IMPVOL",I$1)),_xll.BDH(config!$G$4,I$1,WORKDAY($A680,-1,config_Holiday_Calendar_US),WORKDAY($A680,-1,config_Holiday_Calendar_US)),IF(ISNUMBER(_xll.BDH(config!$G$4,I$1,$A680,$A680)),_xll.BDH(config!$G$4,I$1,$A680,$A680),_xll.BDH(config!$G$5,I$1,$A680,$A680))))</f>
        <v/>
      </c>
      <c r="J680" s="8" t="str">
        <f>IF($A680="","",IF(ISNUMBER(FIND("IMPVOL",J$1)),_xll.BDH(config!$G$4,J$1,WORKDAY($A680,-1,config_Holiday_Calendar_US),WORKDAY($A680,-1,config_Holiday_Calendar_US)),IF(ISNUMBER(_xll.BDH(config!$G$4,J$1,$A680,$A680)),_xll.BDH(config!$G$4,J$1,$A680,$A680),_xll.BDH(config!$G$5,J$1,$A680,$A680))))</f>
        <v/>
      </c>
      <c r="K680" s="8" t="str">
        <f>IF($A680="","",IF(ISNUMBER(FIND("IMPVOL",K$1)),_xll.BDH(config!$G$4,K$1,WORKDAY($A680,-1,config_Holiday_Calendar_US),WORKDAY($A680,-1,config_Holiday_Calendar_US)),IF(ISNUMBER(_xll.BDH(config!$G$4,K$1,$A680,$A680)),_xll.BDH(config!$G$4,K$1,$A680,$A680),_xll.BDH(config!$G$5,K$1,$A680,$A680))))</f>
        <v/>
      </c>
      <c r="L680" s="8" t="str">
        <f>IF($A680="","",IF(ISNUMBER(FIND("IMPVOL",L$1)),_xll.BDH(config!$G$4,L$1,WORKDAY($A680,-1,config_Holiday_Calendar_US),WORKDAY($A680,-1,config_Holiday_Calendar_US)),IF(ISNUMBER(_xll.BDH(config!$G$4,L$1,$A680,$A680)),_xll.BDH(config!$G$4,L$1,$A680,$A680),_xll.BDH(config!$G$5,L$1,$A680,$A680))))</f>
        <v/>
      </c>
      <c r="M680" s="8" t="str">
        <f>IF($A680="","",IF(ISNUMBER(FIND("IMPVOL",M$1)),_xll.BDH(config!$G$4,M$1,WORKDAY($A680,-1,config_Holiday_Calendar_US),WORKDAY($A680,-1,config_Holiday_Calendar_US)),IF(ISNUMBER(_xll.BDH(config!$G$4,M$1,$A680,$A680)),_xll.BDH(config!$G$4,M$1,$A680,$A680),_xll.BDH(config!$G$5,M$1,$A680,$A680))))</f>
        <v/>
      </c>
      <c r="N680" s="8" t="str">
        <f>IF($A680="","",IF(ISNUMBER(FIND("IMPVOL",N$1)),_xll.BDH(config!$G$4,N$1,WORKDAY($A680,-1,config_Holiday_Calendar_US),WORKDAY($A680,-1,config_Holiday_Calendar_US)),IF(ISNUMBER(_xll.BDH(config!$G$4,N$1,$A680,$A680)),_xll.BDH(config!$G$4,N$1,$A680,$A680),_xll.BDH(config!$G$5,N$1,$A680,$A680))))</f>
        <v/>
      </c>
      <c r="O680" s="8" t="str">
        <f>IF($A680="","",IF(ISNUMBER(FIND("IMPVOL",O$1)),_xll.BDH(config!$G$4,O$1,WORKDAY($A680,-1,config_Holiday_Calendar_US),WORKDAY($A680,-1,config_Holiday_Calendar_US)),IF(ISNUMBER(_xll.BDH(config!$G$4,O$1,$A680,$A680)),_xll.BDH(config!$G$4,O$1,$A680,$A680),_xll.BDH(config!$G$5,O$1,$A680,$A680))))</f>
        <v/>
      </c>
      <c r="P680" s="8" t="str">
        <f>IF($A680="","",IF(ISNUMBER(FIND("IMPVOL",P$1)),_xll.BDH(config!$G$4,P$1,WORKDAY($A680,-1,config_Holiday_Calendar_US),WORKDAY($A680,-1,config_Holiday_Calendar_US)),IF(ISNUMBER(_xll.BDH(config!$G$4,P$1,$A680,$A680)),_xll.BDH(config!$G$4,P$1,$A680,$A680),_xll.BDH(config!$G$5,P$1,$A680,$A680))))</f>
        <v/>
      </c>
      <c r="Q680" s="8" t="str">
        <f>IF($A680="","",IF(ISNUMBER(FIND("IMPVOL",Q$1)),_xll.BDH(config!$G$4,Q$1,WORKDAY($A680,-1,config_Holiday_Calendar_US),WORKDAY($A680,-1,config_Holiday_Calendar_US)),IF(ISNUMBER(_xll.BDH(config!$G$4,Q$1,$A680,$A680)),_xll.BDH(config!$G$4,Q$1,$A680,$A680),_xll.BDH(config!$G$5,Q$1,$A680,$A680))))</f>
        <v/>
      </c>
      <c r="R680" s="8" t="str">
        <f>IF($A680="","",IF(ISNUMBER(FIND("IMPVOL",R$1)),_xll.BDH(config!$G$4,R$1,WORKDAY($A680,-1,config_Holiday_Calendar_US),WORKDAY($A680,-1,config_Holiday_Calendar_US)),IF(ISNUMBER(_xll.BDH(config!$G$4,R$1,$A680,$A680)),_xll.BDH(config!$G$4,R$1,$A680,$A680),_xll.BDH(config!$G$5,R$1,$A680,$A680))))</f>
        <v/>
      </c>
      <c r="S680" s="8" t="str">
        <f>IF($A680="","",IF(ISNUMBER(FIND("IMPVOL",S$1)),_xll.BDH(config!$G$4,S$1,WORKDAY($A680,-1,config_Holiday_Calendar_US),WORKDAY($A680,-1,config_Holiday_Calendar_US)),IF(ISNUMBER(_xll.BDH(config!$G$4,S$1,$A680,$A680)),_xll.BDH(config!$G$4,S$1,$A680,$A680),_xll.BDH(config!$G$5,S$1,$A680,$A680))))</f>
        <v/>
      </c>
      <c r="T680" s="8" t="str">
        <f>IF($A680="","",IF(ISNUMBER(FIND("IMPVOL",T$1)),_xll.BDH(config!$G$4,T$1,WORKDAY($A680,-1,config_Holiday_Calendar_US),WORKDAY($A680,-1,config_Holiday_Calendar_US)),IF(ISNUMBER(_xll.BDH(config!$G$4,T$1,$A680,$A680)),_xll.BDH(config!$G$4,T$1,$A680,$A680),_xll.BDH(config!$G$5,T$1,$A680,$A680))))</f>
        <v/>
      </c>
      <c r="U680" s="8" t="str">
        <f>IF($A680="","",IF(ISNUMBER(FIND("IMPVOL",U$1)),_xll.BDH(config!$G$4,U$1,WORKDAY($A680,-1,config_Holiday_Calendar_US),WORKDAY($A680,-1,config_Holiday_Calendar_US)),IF(ISNUMBER(_xll.BDH(config!$G$4,U$1,$A680,$A680)),_xll.BDH(config!$G$4,U$1,$A680,$A680),_xll.BDH(config!$G$5,U$1,$A680,$A680))))</f>
        <v/>
      </c>
      <c r="V680" s="8" t="str">
        <f>IF($A680="","",IF(ISNUMBER(FIND("IMPVOL",V$1)),_xll.BDH(config!$G$4,V$1,WORKDAY($A680,-1,config_Holiday_Calendar_US),WORKDAY($A680,-1,config_Holiday_Calendar_US)),IF(ISNUMBER(_xll.BDH(config!$G$4,V$1,$A680,$A680)),_xll.BDH(config!$G$4,V$1,$A680,$A680),_xll.BDH(config!$G$5,V$1,$A680,$A680))))</f>
        <v/>
      </c>
      <c r="W680" s="8" t="str">
        <f>IF($A680="","",IF(ISNUMBER(FIND("IMPVOL",W$1)),_xll.BDH(config!$G$4,W$1,WORKDAY($A680,-1,config_Holiday_Calendar_US),WORKDAY($A680,-1,config_Holiday_Calendar_US)),IF(ISNUMBER(_xll.BDH(config!$G$4,W$1,$A680,$A680)),_xll.BDH(config!$G$4,W$1,$A680,$A680),_xll.BDH(config!$G$5,W$1,$A680,$A680))))</f>
        <v/>
      </c>
    </row>
    <row r="681" spans="1:23" x14ac:dyDescent="0.2">
      <c r="A681" s="9" t="str">
        <f>IF(A680="","",IF(WORKDAY(A680,-1,config_Holiday_Calendar_US)&lt;config!$I$10,"",WORKDAY(A680,-1,config_Holiday_Calendar_US)))</f>
        <v/>
      </c>
      <c r="B681" s="8" t="str">
        <f t="shared" si="10"/>
        <v/>
      </c>
      <c r="C681" s="8" t="str">
        <f>IF(A681="","",_xll.BDH(config!$H$4,C$1,$A681,$A681))</f>
        <v/>
      </c>
      <c r="D681" s="8" t="str">
        <f>IF($A681="","",_xll.BDH(config!$H$4,D$1,$A681,$A681))</f>
        <v/>
      </c>
      <c r="E681" s="8" t="str">
        <f>IF($A681="","",IF(ISNUMBER(FIND("IMPVOL",E$1)),_xll.BDH(config!$G$4,E$1,WORKDAY($A681,-1,config_Holiday_Calendar_US),WORKDAY($A681,-1,config_Holiday_Calendar_US)),IF(ISNUMBER(_xll.BDH(config!$G$4,E$1,$A681,$A681)),_xll.BDH(config!$G$4,E$1,$A681,$A681),_xll.BDH(config!$G$5,E$1,$A681,$A681))))</f>
        <v/>
      </c>
      <c r="F681" s="8" t="str">
        <f>IF($A681="","",IF(ISNUMBER(FIND("IMPVOL",F$1)),_xll.BDH(config!$G$4,F$1,WORKDAY($A681,-1,config_Holiday_Calendar_US),WORKDAY($A681,-1,config_Holiday_Calendar_US)),IF(ISNUMBER(_xll.BDH(config!$G$4,F$1,$A681,$A681)),_xll.BDH(config!$G$4,F$1,$A681,$A681),_xll.BDH(config!$G$5,F$1,$A681,$A681))))</f>
        <v/>
      </c>
      <c r="G681" s="8" t="str">
        <f>IF($A681="","",IF(ISNUMBER(FIND("IMPVOL",G$1)),_xll.BDH(config!$G$4,G$1,WORKDAY($A681,-1,config_Holiday_Calendar_US),WORKDAY($A681,-1,config_Holiday_Calendar_US)),IF(ISNUMBER(_xll.BDH(config!$G$4,G$1,$A681,$A681)),_xll.BDH(config!$G$4,G$1,$A681,$A681),_xll.BDH(config!$G$5,G$1,$A681,$A681))))</f>
        <v/>
      </c>
      <c r="H681" s="8" t="str">
        <f>IF($A681="","",IF(ISNUMBER(FIND("IMPVOL",H$1)),_xll.BDH(config!$G$4,H$1,WORKDAY($A681,-1,config_Holiday_Calendar_US),WORKDAY($A681,-1,config_Holiday_Calendar_US)),IF(ISNUMBER(_xll.BDH(config!$G$4,H$1,$A681,$A681)),_xll.BDH(config!$G$4,H$1,$A681,$A681),_xll.BDH(config!$G$5,H$1,$A681,$A681))))</f>
        <v/>
      </c>
      <c r="I681" s="8" t="str">
        <f>IF($A681="","",IF(ISNUMBER(FIND("IMPVOL",I$1)),_xll.BDH(config!$G$4,I$1,WORKDAY($A681,-1,config_Holiday_Calendar_US),WORKDAY($A681,-1,config_Holiday_Calendar_US)),IF(ISNUMBER(_xll.BDH(config!$G$4,I$1,$A681,$A681)),_xll.BDH(config!$G$4,I$1,$A681,$A681),_xll.BDH(config!$G$5,I$1,$A681,$A681))))</f>
        <v/>
      </c>
      <c r="J681" s="8" t="str">
        <f>IF($A681="","",IF(ISNUMBER(FIND("IMPVOL",J$1)),_xll.BDH(config!$G$4,J$1,WORKDAY($A681,-1,config_Holiday_Calendar_US),WORKDAY($A681,-1,config_Holiday_Calendar_US)),IF(ISNUMBER(_xll.BDH(config!$G$4,J$1,$A681,$A681)),_xll.BDH(config!$G$4,J$1,$A681,$A681),_xll.BDH(config!$G$5,J$1,$A681,$A681))))</f>
        <v/>
      </c>
      <c r="K681" s="8" t="str">
        <f>IF($A681="","",IF(ISNUMBER(FIND("IMPVOL",K$1)),_xll.BDH(config!$G$4,K$1,WORKDAY($A681,-1,config_Holiday_Calendar_US),WORKDAY($A681,-1,config_Holiday_Calendar_US)),IF(ISNUMBER(_xll.BDH(config!$G$4,K$1,$A681,$A681)),_xll.BDH(config!$G$4,K$1,$A681,$A681),_xll.BDH(config!$G$5,K$1,$A681,$A681))))</f>
        <v/>
      </c>
      <c r="L681" s="8" t="str">
        <f>IF($A681="","",IF(ISNUMBER(FIND("IMPVOL",L$1)),_xll.BDH(config!$G$4,L$1,WORKDAY($A681,-1,config_Holiday_Calendar_US),WORKDAY($A681,-1,config_Holiday_Calendar_US)),IF(ISNUMBER(_xll.BDH(config!$G$4,L$1,$A681,$A681)),_xll.BDH(config!$G$4,L$1,$A681,$A681),_xll.BDH(config!$G$5,L$1,$A681,$A681))))</f>
        <v/>
      </c>
      <c r="M681" s="8" t="str">
        <f>IF($A681="","",IF(ISNUMBER(FIND("IMPVOL",M$1)),_xll.BDH(config!$G$4,M$1,WORKDAY($A681,-1,config_Holiday_Calendar_US),WORKDAY($A681,-1,config_Holiday_Calendar_US)),IF(ISNUMBER(_xll.BDH(config!$G$4,M$1,$A681,$A681)),_xll.BDH(config!$G$4,M$1,$A681,$A681),_xll.BDH(config!$G$5,M$1,$A681,$A681))))</f>
        <v/>
      </c>
      <c r="N681" s="8" t="str">
        <f>IF($A681="","",IF(ISNUMBER(FIND("IMPVOL",N$1)),_xll.BDH(config!$G$4,N$1,WORKDAY($A681,-1,config_Holiday_Calendar_US),WORKDAY($A681,-1,config_Holiday_Calendar_US)),IF(ISNUMBER(_xll.BDH(config!$G$4,N$1,$A681,$A681)),_xll.BDH(config!$G$4,N$1,$A681,$A681),_xll.BDH(config!$G$5,N$1,$A681,$A681))))</f>
        <v/>
      </c>
      <c r="O681" s="8" t="str">
        <f>IF($A681="","",IF(ISNUMBER(FIND("IMPVOL",O$1)),_xll.BDH(config!$G$4,O$1,WORKDAY($A681,-1,config_Holiday_Calendar_US),WORKDAY($A681,-1,config_Holiday_Calendar_US)),IF(ISNUMBER(_xll.BDH(config!$G$4,O$1,$A681,$A681)),_xll.BDH(config!$G$4,O$1,$A681,$A681),_xll.BDH(config!$G$5,O$1,$A681,$A681))))</f>
        <v/>
      </c>
      <c r="P681" s="8" t="str">
        <f>IF($A681="","",IF(ISNUMBER(FIND("IMPVOL",P$1)),_xll.BDH(config!$G$4,P$1,WORKDAY($A681,-1,config_Holiday_Calendar_US),WORKDAY($A681,-1,config_Holiday_Calendar_US)),IF(ISNUMBER(_xll.BDH(config!$G$4,P$1,$A681,$A681)),_xll.BDH(config!$G$4,P$1,$A681,$A681),_xll.BDH(config!$G$5,P$1,$A681,$A681))))</f>
        <v/>
      </c>
      <c r="Q681" s="8" t="str">
        <f>IF($A681="","",IF(ISNUMBER(FIND("IMPVOL",Q$1)),_xll.BDH(config!$G$4,Q$1,WORKDAY($A681,-1,config_Holiday_Calendar_US),WORKDAY($A681,-1,config_Holiday_Calendar_US)),IF(ISNUMBER(_xll.BDH(config!$G$4,Q$1,$A681,$A681)),_xll.BDH(config!$G$4,Q$1,$A681,$A681),_xll.BDH(config!$G$5,Q$1,$A681,$A681))))</f>
        <v/>
      </c>
      <c r="R681" s="8" t="str">
        <f>IF($A681="","",IF(ISNUMBER(FIND("IMPVOL",R$1)),_xll.BDH(config!$G$4,R$1,WORKDAY($A681,-1,config_Holiday_Calendar_US),WORKDAY($A681,-1,config_Holiday_Calendar_US)),IF(ISNUMBER(_xll.BDH(config!$G$4,R$1,$A681,$A681)),_xll.BDH(config!$G$4,R$1,$A681,$A681),_xll.BDH(config!$G$5,R$1,$A681,$A681))))</f>
        <v/>
      </c>
      <c r="S681" s="8" t="str">
        <f>IF($A681="","",IF(ISNUMBER(FIND("IMPVOL",S$1)),_xll.BDH(config!$G$4,S$1,WORKDAY($A681,-1,config_Holiday_Calendar_US),WORKDAY($A681,-1,config_Holiday_Calendar_US)),IF(ISNUMBER(_xll.BDH(config!$G$4,S$1,$A681,$A681)),_xll.BDH(config!$G$4,S$1,$A681,$A681),_xll.BDH(config!$G$5,S$1,$A681,$A681))))</f>
        <v/>
      </c>
      <c r="T681" s="8" t="str">
        <f>IF($A681="","",IF(ISNUMBER(FIND("IMPVOL",T$1)),_xll.BDH(config!$G$4,T$1,WORKDAY($A681,-1,config_Holiday_Calendar_US),WORKDAY($A681,-1,config_Holiday_Calendar_US)),IF(ISNUMBER(_xll.BDH(config!$G$4,T$1,$A681,$A681)),_xll.BDH(config!$G$4,T$1,$A681,$A681),_xll.BDH(config!$G$5,T$1,$A681,$A681))))</f>
        <v/>
      </c>
      <c r="U681" s="8" t="str">
        <f>IF($A681="","",IF(ISNUMBER(FIND("IMPVOL",U$1)),_xll.BDH(config!$G$4,U$1,WORKDAY($A681,-1,config_Holiday_Calendar_US),WORKDAY($A681,-1,config_Holiday_Calendar_US)),IF(ISNUMBER(_xll.BDH(config!$G$4,U$1,$A681,$A681)),_xll.BDH(config!$G$4,U$1,$A681,$A681),_xll.BDH(config!$G$5,U$1,$A681,$A681))))</f>
        <v/>
      </c>
      <c r="V681" s="8" t="str">
        <f>IF($A681="","",IF(ISNUMBER(FIND("IMPVOL",V$1)),_xll.BDH(config!$G$4,V$1,WORKDAY($A681,-1,config_Holiday_Calendar_US),WORKDAY($A681,-1,config_Holiday_Calendar_US)),IF(ISNUMBER(_xll.BDH(config!$G$4,V$1,$A681,$A681)),_xll.BDH(config!$G$4,V$1,$A681,$A681),_xll.BDH(config!$G$5,V$1,$A681,$A681))))</f>
        <v/>
      </c>
      <c r="W681" s="8" t="str">
        <f>IF($A681="","",IF(ISNUMBER(FIND("IMPVOL",W$1)),_xll.BDH(config!$G$4,W$1,WORKDAY($A681,-1,config_Holiday_Calendar_US),WORKDAY($A681,-1,config_Holiday_Calendar_US)),IF(ISNUMBER(_xll.BDH(config!$G$4,W$1,$A681,$A681)),_xll.BDH(config!$G$4,W$1,$A681,$A681),_xll.BDH(config!$G$5,W$1,$A681,$A681))))</f>
        <v/>
      </c>
    </row>
    <row r="682" spans="1:23" x14ac:dyDescent="0.2">
      <c r="A682" s="9" t="str">
        <f>IF(A681="","",IF(WORKDAY(A681,-1,config_Holiday_Calendar_US)&lt;config!$I$10,"",WORKDAY(A681,-1,config_Holiday_Calendar_US)))</f>
        <v/>
      </c>
      <c r="B682" s="8" t="str">
        <f t="shared" si="10"/>
        <v/>
      </c>
      <c r="C682" s="8" t="str">
        <f>IF(A682="","",_xll.BDH(config!$H$4,C$1,$A682,$A682))</f>
        <v/>
      </c>
      <c r="D682" s="8" t="str">
        <f>IF($A682="","",_xll.BDH(config!$H$4,D$1,$A682,$A682))</f>
        <v/>
      </c>
      <c r="E682" s="8" t="str">
        <f>IF($A682="","",IF(ISNUMBER(FIND("IMPVOL",E$1)),_xll.BDH(config!$G$4,E$1,WORKDAY($A682,-1,config_Holiday_Calendar_US),WORKDAY($A682,-1,config_Holiday_Calendar_US)),IF(ISNUMBER(_xll.BDH(config!$G$4,E$1,$A682,$A682)),_xll.BDH(config!$G$4,E$1,$A682,$A682),_xll.BDH(config!$G$5,E$1,$A682,$A682))))</f>
        <v/>
      </c>
      <c r="F682" s="8" t="str">
        <f>IF($A682="","",IF(ISNUMBER(FIND("IMPVOL",F$1)),_xll.BDH(config!$G$4,F$1,WORKDAY($A682,-1,config_Holiday_Calendar_US),WORKDAY($A682,-1,config_Holiday_Calendar_US)),IF(ISNUMBER(_xll.BDH(config!$G$4,F$1,$A682,$A682)),_xll.BDH(config!$G$4,F$1,$A682,$A682),_xll.BDH(config!$G$5,F$1,$A682,$A682))))</f>
        <v/>
      </c>
      <c r="G682" s="8" t="str">
        <f>IF($A682="","",IF(ISNUMBER(FIND("IMPVOL",G$1)),_xll.BDH(config!$G$4,G$1,WORKDAY($A682,-1,config_Holiday_Calendar_US),WORKDAY($A682,-1,config_Holiday_Calendar_US)),IF(ISNUMBER(_xll.BDH(config!$G$4,G$1,$A682,$A682)),_xll.BDH(config!$G$4,G$1,$A682,$A682),_xll.BDH(config!$G$5,G$1,$A682,$A682))))</f>
        <v/>
      </c>
      <c r="H682" s="8" t="str">
        <f>IF($A682="","",IF(ISNUMBER(FIND("IMPVOL",H$1)),_xll.BDH(config!$G$4,H$1,WORKDAY($A682,-1,config_Holiday_Calendar_US),WORKDAY($A682,-1,config_Holiday_Calendar_US)),IF(ISNUMBER(_xll.BDH(config!$G$4,H$1,$A682,$A682)),_xll.BDH(config!$G$4,H$1,$A682,$A682),_xll.BDH(config!$G$5,H$1,$A682,$A682))))</f>
        <v/>
      </c>
      <c r="I682" s="8" t="str">
        <f>IF($A682="","",IF(ISNUMBER(FIND("IMPVOL",I$1)),_xll.BDH(config!$G$4,I$1,WORKDAY($A682,-1,config_Holiday_Calendar_US),WORKDAY($A682,-1,config_Holiday_Calendar_US)),IF(ISNUMBER(_xll.BDH(config!$G$4,I$1,$A682,$A682)),_xll.BDH(config!$G$4,I$1,$A682,$A682),_xll.BDH(config!$G$5,I$1,$A682,$A682))))</f>
        <v/>
      </c>
      <c r="J682" s="8" t="str">
        <f>IF($A682="","",IF(ISNUMBER(FIND("IMPVOL",J$1)),_xll.BDH(config!$G$4,J$1,WORKDAY($A682,-1,config_Holiday_Calendar_US),WORKDAY($A682,-1,config_Holiday_Calendar_US)),IF(ISNUMBER(_xll.BDH(config!$G$4,J$1,$A682,$A682)),_xll.BDH(config!$G$4,J$1,$A682,$A682),_xll.BDH(config!$G$5,J$1,$A682,$A682))))</f>
        <v/>
      </c>
      <c r="K682" s="8" t="str">
        <f>IF($A682="","",IF(ISNUMBER(FIND("IMPVOL",K$1)),_xll.BDH(config!$G$4,K$1,WORKDAY($A682,-1,config_Holiday_Calendar_US),WORKDAY($A682,-1,config_Holiday_Calendar_US)),IF(ISNUMBER(_xll.BDH(config!$G$4,K$1,$A682,$A682)),_xll.BDH(config!$G$4,K$1,$A682,$A682),_xll.BDH(config!$G$5,K$1,$A682,$A682))))</f>
        <v/>
      </c>
      <c r="L682" s="8" t="str">
        <f>IF($A682="","",IF(ISNUMBER(FIND("IMPVOL",L$1)),_xll.BDH(config!$G$4,L$1,WORKDAY($A682,-1,config_Holiday_Calendar_US),WORKDAY($A682,-1,config_Holiday_Calendar_US)),IF(ISNUMBER(_xll.BDH(config!$G$4,L$1,$A682,$A682)),_xll.BDH(config!$G$4,L$1,$A682,$A682),_xll.BDH(config!$G$5,L$1,$A682,$A682))))</f>
        <v/>
      </c>
      <c r="M682" s="8" t="str">
        <f>IF($A682="","",IF(ISNUMBER(FIND("IMPVOL",M$1)),_xll.BDH(config!$G$4,M$1,WORKDAY($A682,-1,config_Holiday_Calendar_US),WORKDAY($A682,-1,config_Holiday_Calendar_US)),IF(ISNUMBER(_xll.BDH(config!$G$4,M$1,$A682,$A682)),_xll.BDH(config!$G$4,M$1,$A682,$A682),_xll.BDH(config!$G$5,M$1,$A682,$A682))))</f>
        <v/>
      </c>
      <c r="N682" s="8" t="str">
        <f>IF($A682="","",IF(ISNUMBER(FIND("IMPVOL",N$1)),_xll.BDH(config!$G$4,N$1,WORKDAY($A682,-1,config_Holiday_Calendar_US),WORKDAY($A682,-1,config_Holiday_Calendar_US)),IF(ISNUMBER(_xll.BDH(config!$G$4,N$1,$A682,$A682)),_xll.BDH(config!$G$4,N$1,$A682,$A682),_xll.BDH(config!$G$5,N$1,$A682,$A682))))</f>
        <v/>
      </c>
      <c r="O682" s="8" t="str">
        <f>IF($A682="","",IF(ISNUMBER(FIND("IMPVOL",O$1)),_xll.BDH(config!$G$4,O$1,WORKDAY($A682,-1,config_Holiday_Calendar_US),WORKDAY($A682,-1,config_Holiday_Calendar_US)),IF(ISNUMBER(_xll.BDH(config!$G$4,O$1,$A682,$A682)),_xll.BDH(config!$G$4,O$1,$A682,$A682),_xll.BDH(config!$G$5,O$1,$A682,$A682))))</f>
        <v/>
      </c>
      <c r="P682" s="8" t="str">
        <f>IF($A682="","",IF(ISNUMBER(FIND("IMPVOL",P$1)),_xll.BDH(config!$G$4,P$1,WORKDAY($A682,-1,config_Holiday_Calendar_US),WORKDAY($A682,-1,config_Holiday_Calendar_US)),IF(ISNUMBER(_xll.BDH(config!$G$4,P$1,$A682,$A682)),_xll.BDH(config!$G$4,P$1,$A682,$A682),_xll.BDH(config!$G$5,P$1,$A682,$A682))))</f>
        <v/>
      </c>
      <c r="Q682" s="8" t="str">
        <f>IF($A682="","",IF(ISNUMBER(FIND("IMPVOL",Q$1)),_xll.BDH(config!$G$4,Q$1,WORKDAY($A682,-1,config_Holiday_Calendar_US),WORKDAY($A682,-1,config_Holiday_Calendar_US)),IF(ISNUMBER(_xll.BDH(config!$G$4,Q$1,$A682,$A682)),_xll.BDH(config!$G$4,Q$1,$A682,$A682),_xll.BDH(config!$G$5,Q$1,$A682,$A682))))</f>
        <v/>
      </c>
      <c r="R682" s="8" t="str">
        <f>IF($A682="","",IF(ISNUMBER(FIND("IMPVOL",R$1)),_xll.BDH(config!$G$4,R$1,WORKDAY($A682,-1,config_Holiday_Calendar_US),WORKDAY($A682,-1,config_Holiday_Calendar_US)),IF(ISNUMBER(_xll.BDH(config!$G$4,R$1,$A682,$A682)),_xll.BDH(config!$G$4,R$1,$A682,$A682),_xll.BDH(config!$G$5,R$1,$A682,$A682))))</f>
        <v/>
      </c>
      <c r="S682" s="8" t="str">
        <f>IF($A682="","",IF(ISNUMBER(FIND("IMPVOL",S$1)),_xll.BDH(config!$G$4,S$1,WORKDAY($A682,-1,config_Holiday_Calendar_US),WORKDAY($A682,-1,config_Holiday_Calendar_US)),IF(ISNUMBER(_xll.BDH(config!$G$4,S$1,$A682,$A682)),_xll.BDH(config!$G$4,S$1,$A682,$A682),_xll.BDH(config!$G$5,S$1,$A682,$A682))))</f>
        <v/>
      </c>
      <c r="T682" s="8" t="str">
        <f>IF($A682="","",IF(ISNUMBER(FIND("IMPVOL",T$1)),_xll.BDH(config!$G$4,T$1,WORKDAY($A682,-1,config_Holiday_Calendar_US),WORKDAY($A682,-1,config_Holiday_Calendar_US)),IF(ISNUMBER(_xll.BDH(config!$G$4,T$1,$A682,$A682)),_xll.BDH(config!$G$4,T$1,$A682,$A682),_xll.BDH(config!$G$5,T$1,$A682,$A682))))</f>
        <v/>
      </c>
      <c r="U682" s="8" t="str">
        <f>IF($A682="","",IF(ISNUMBER(FIND("IMPVOL",U$1)),_xll.BDH(config!$G$4,U$1,WORKDAY($A682,-1,config_Holiday_Calendar_US),WORKDAY($A682,-1,config_Holiday_Calendar_US)),IF(ISNUMBER(_xll.BDH(config!$G$4,U$1,$A682,$A682)),_xll.BDH(config!$G$4,U$1,$A682,$A682),_xll.BDH(config!$G$5,U$1,$A682,$A682))))</f>
        <v/>
      </c>
      <c r="V682" s="8" t="str">
        <f>IF($A682="","",IF(ISNUMBER(FIND("IMPVOL",V$1)),_xll.BDH(config!$G$4,V$1,WORKDAY($A682,-1,config_Holiday_Calendar_US),WORKDAY($A682,-1,config_Holiday_Calendar_US)),IF(ISNUMBER(_xll.BDH(config!$G$4,V$1,$A682,$A682)),_xll.BDH(config!$G$4,V$1,$A682,$A682),_xll.BDH(config!$G$5,V$1,$A682,$A682))))</f>
        <v/>
      </c>
      <c r="W682" s="8" t="str">
        <f>IF($A682="","",IF(ISNUMBER(FIND("IMPVOL",W$1)),_xll.BDH(config!$G$4,W$1,WORKDAY($A682,-1,config_Holiday_Calendar_US),WORKDAY($A682,-1,config_Holiday_Calendar_US)),IF(ISNUMBER(_xll.BDH(config!$G$4,W$1,$A682,$A682)),_xll.BDH(config!$G$4,W$1,$A682,$A682),_xll.BDH(config!$G$5,W$1,$A682,$A682))))</f>
        <v/>
      </c>
    </row>
    <row r="683" spans="1:23" x14ac:dyDescent="0.2">
      <c r="A683" s="9" t="str">
        <f>IF(A682="","",IF(WORKDAY(A682,-1,config_Holiday_Calendar_US)&lt;config!$I$10,"",WORKDAY(A682,-1,config_Holiday_Calendar_US)))</f>
        <v/>
      </c>
      <c r="B683" s="8" t="str">
        <f t="shared" si="10"/>
        <v/>
      </c>
      <c r="C683" s="8" t="str">
        <f>IF(A683="","",_xll.BDH(config!$H$4,C$1,$A683,$A683))</f>
        <v/>
      </c>
      <c r="D683" s="8" t="str">
        <f>IF($A683="","",_xll.BDH(config!$H$4,D$1,$A683,$A683))</f>
        <v/>
      </c>
      <c r="E683" s="8" t="str">
        <f>IF($A683="","",IF(ISNUMBER(FIND("IMPVOL",E$1)),_xll.BDH(config!$G$4,E$1,WORKDAY($A683,-1,config_Holiday_Calendar_US),WORKDAY($A683,-1,config_Holiday_Calendar_US)),IF(ISNUMBER(_xll.BDH(config!$G$4,E$1,$A683,$A683)),_xll.BDH(config!$G$4,E$1,$A683,$A683),_xll.BDH(config!$G$5,E$1,$A683,$A683))))</f>
        <v/>
      </c>
      <c r="F683" s="8" t="str">
        <f>IF($A683="","",IF(ISNUMBER(FIND("IMPVOL",F$1)),_xll.BDH(config!$G$4,F$1,WORKDAY($A683,-1,config_Holiday_Calendar_US),WORKDAY($A683,-1,config_Holiday_Calendar_US)),IF(ISNUMBER(_xll.BDH(config!$G$4,F$1,$A683,$A683)),_xll.BDH(config!$G$4,F$1,$A683,$A683),_xll.BDH(config!$G$5,F$1,$A683,$A683))))</f>
        <v/>
      </c>
      <c r="G683" s="8" t="str">
        <f>IF($A683="","",IF(ISNUMBER(FIND("IMPVOL",G$1)),_xll.BDH(config!$G$4,G$1,WORKDAY($A683,-1,config_Holiday_Calendar_US),WORKDAY($A683,-1,config_Holiday_Calendar_US)),IF(ISNUMBER(_xll.BDH(config!$G$4,G$1,$A683,$A683)),_xll.BDH(config!$G$4,G$1,$A683,$A683),_xll.BDH(config!$G$5,G$1,$A683,$A683))))</f>
        <v/>
      </c>
      <c r="H683" s="8" t="str">
        <f>IF($A683="","",IF(ISNUMBER(FIND("IMPVOL",H$1)),_xll.BDH(config!$G$4,H$1,WORKDAY($A683,-1,config_Holiday_Calendar_US),WORKDAY($A683,-1,config_Holiday_Calendar_US)),IF(ISNUMBER(_xll.BDH(config!$G$4,H$1,$A683,$A683)),_xll.BDH(config!$G$4,H$1,$A683,$A683),_xll.BDH(config!$G$5,H$1,$A683,$A683))))</f>
        <v/>
      </c>
      <c r="I683" s="8" t="str">
        <f>IF($A683="","",IF(ISNUMBER(FIND("IMPVOL",I$1)),_xll.BDH(config!$G$4,I$1,WORKDAY($A683,-1,config_Holiday_Calendar_US),WORKDAY($A683,-1,config_Holiday_Calendar_US)),IF(ISNUMBER(_xll.BDH(config!$G$4,I$1,$A683,$A683)),_xll.BDH(config!$G$4,I$1,$A683,$A683),_xll.BDH(config!$G$5,I$1,$A683,$A683))))</f>
        <v/>
      </c>
      <c r="J683" s="8" t="str">
        <f>IF($A683="","",IF(ISNUMBER(FIND("IMPVOL",J$1)),_xll.BDH(config!$G$4,J$1,WORKDAY($A683,-1,config_Holiday_Calendar_US),WORKDAY($A683,-1,config_Holiday_Calendar_US)),IF(ISNUMBER(_xll.BDH(config!$G$4,J$1,$A683,$A683)),_xll.BDH(config!$G$4,J$1,$A683,$A683),_xll.BDH(config!$G$5,J$1,$A683,$A683))))</f>
        <v/>
      </c>
      <c r="K683" s="8" t="str">
        <f>IF($A683="","",IF(ISNUMBER(FIND("IMPVOL",K$1)),_xll.BDH(config!$G$4,K$1,WORKDAY($A683,-1,config_Holiday_Calendar_US),WORKDAY($A683,-1,config_Holiday_Calendar_US)),IF(ISNUMBER(_xll.BDH(config!$G$4,K$1,$A683,$A683)),_xll.BDH(config!$G$4,K$1,$A683,$A683),_xll.BDH(config!$G$5,K$1,$A683,$A683))))</f>
        <v/>
      </c>
      <c r="L683" s="8" t="str">
        <f>IF($A683="","",IF(ISNUMBER(FIND("IMPVOL",L$1)),_xll.BDH(config!$G$4,L$1,WORKDAY($A683,-1,config_Holiday_Calendar_US),WORKDAY($A683,-1,config_Holiday_Calendar_US)),IF(ISNUMBER(_xll.BDH(config!$G$4,L$1,$A683,$A683)),_xll.BDH(config!$G$4,L$1,$A683,$A683),_xll.BDH(config!$G$5,L$1,$A683,$A683))))</f>
        <v/>
      </c>
      <c r="M683" s="8" t="str">
        <f>IF($A683="","",IF(ISNUMBER(FIND("IMPVOL",M$1)),_xll.BDH(config!$G$4,M$1,WORKDAY($A683,-1,config_Holiday_Calendar_US),WORKDAY($A683,-1,config_Holiday_Calendar_US)),IF(ISNUMBER(_xll.BDH(config!$G$4,M$1,$A683,$A683)),_xll.BDH(config!$G$4,M$1,$A683,$A683),_xll.BDH(config!$G$5,M$1,$A683,$A683))))</f>
        <v/>
      </c>
      <c r="N683" s="8" t="str">
        <f>IF($A683="","",IF(ISNUMBER(FIND("IMPVOL",N$1)),_xll.BDH(config!$G$4,N$1,WORKDAY($A683,-1,config_Holiday_Calendar_US),WORKDAY($A683,-1,config_Holiday_Calendar_US)),IF(ISNUMBER(_xll.BDH(config!$G$4,N$1,$A683,$A683)),_xll.BDH(config!$G$4,N$1,$A683,$A683),_xll.BDH(config!$G$5,N$1,$A683,$A683))))</f>
        <v/>
      </c>
      <c r="O683" s="8" t="str">
        <f>IF($A683="","",IF(ISNUMBER(FIND("IMPVOL",O$1)),_xll.BDH(config!$G$4,O$1,WORKDAY($A683,-1,config_Holiday_Calendar_US),WORKDAY($A683,-1,config_Holiday_Calendar_US)),IF(ISNUMBER(_xll.BDH(config!$G$4,O$1,$A683,$A683)),_xll.BDH(config!$G$4,O$1,$A683,$A683),_xll.BDH(config!$G$5,O$1,$A683,$A683))))</f>
        <v/>
      </c>
      <c r="P683" s="8" t="str">
        <f>IF($A683="","",IF(ISNUMBER(FIND("IMPVOL",P$1)),_xll.BDH(config!$G$4,P$1,WORKDAY($A683,-1,config_Holiday_Calendar_US),WORKDAY($A683,-1,config_Holiday_Calendar_US)),IF(ISNUMBER(_xll.BDH(config!$G$4,P$1,$A683,$A683)),_xll.BDH(config!$G$4,P$1,$A683,$A683),_xll.BDH(config!$G$5,P$1,$A683,$A683))))</f>
        <v/>
      </c>
      <c r="Q683" s="8" t="str">
        <f>IF($A683="","",IF(ISNUMBER(FIND("IMPVOL",Q$1)),_xll.BDH(config!$G$4,Q$1,WORKDAY($A683,-1,config_Holiday_Calendar_US),WORKDAY($A683,-1,config_Holiday_Calendar_US)),IF(ISNUMBER(_xll.BDH(config!$G$4,Q$1,$A683,$A683)),_xll.BDH(config!$G$4,Q$1,$A683,$A683),_xll.BDH(config!$G$5,Q$1,$A683,$A683))))</f>
        <v/>
      </c>
      <c r="R683" s="8" t="str">
        <f>IF($A683="","",IF(ISNUMBER(FIND("IMPVOL",R$1)),_xll.BDH(config!$G$4,R$1,WORKDAY($A683,-1,config_Holiday_Calendar_US),WORKDAY($A683,-1,config_Holiday_Calendar_US)),IF(ISNUMBER(_xll.BDH(config!$G$4,R$1,$A683,$A683)),_xll.BDH(config!$G$4,R$1,$A683,$A683),_xll.BDH(config!$G$5,R$1,$A683,$A683))))</f>
        <v/>
      </c>
      <c r="S683" s="8" t="str">
        <f>IF($A683="","",IF(ISNUMBER(FIND("IMPVOL",S$1)),_xll.BDH(config!$G$4,S$1,WORKDAY($A683,-1,config_Holiday_Calendar_US),WORKDAY($A683,-1,config_Holiday_Calendar_US)),IF(ISNUMBER(_xll.BDH(config!$G$4,S$1,$A683,$A683)),_xll.BDH(config!$G$4,S$1,$A683,$A683),_xll.BDH(config!$G$5,S$1,$A683,$A683))))</f>
        <v/>
      </c>
      <c r="T683" s="8" t="str">
        <f>IF($A683="","",IF(ISNUMBER(FIND("IMPVOL",T$1)),_xll.BDH(config!$G$4,T$1,WORKDAY($A683,-1,config_Holiday_Calendar_US),WORKDAY($A683,-1,config_Holiday_Calendar_US)),IF(ISNUMBER(_xll.BDH(config!$G$4,T$1,$A683,$A683)),_xll.BDH(config!$G$4,T$1,$A683,$A683),_xll.BDH(config!$G$5,T$1,$A683,$A683))))</f>
        <v/>
      </c>
      <c r="U683" s="8" t="str">
        <f>IF($A683="","",IF(ISNUMBER(FIND("IMPVOL",U$1)),_xll.BDH(config!$G$4,U$1,WORKDAY($A683,-1,config_Holiday_Calendar_US),WORKDAY($A683,-1,config_Holiday_Calendar_US)),IF(ISNUMBER(_xll.BDH(config!$G$4,U$1,$A683,$A683)),_xll.BDH(config!$G$4,U$1,$A683,$A683),_xll.BDH(config!$G$5,U$1,$A683,$A683))))</f>
        <v/>
      </c>
      <c r="V683" s="8" t="str">
        <f>IF($A683="","",IF(ISNUMBER(FIND("IMPVOL",V$1)),_xll.BDH(config!$G$4,V$1,WORKDAY($A683,-1,config_Holiday_Calendar_US),WORKDAY($A683,-1,config_Holiday_Calendar_US)),IF(ISNUMBER(_xll.BDH(config!$G$4,V$1,$A683,$A683)),_xll.BDH(config!$G$4,V$1,$A683,$A683),_xll.BDH(config!$G$5,V$1,$A683,$A683))))</f>
        <v/>
      </c>
      <c r="W683" s="8" t="str">
        <f>IF($A683="","",IF(ISNUMBER(FIND("IMPVOL",W$1)),_xll.BDH(config!$G$4,W$1,WORKDAY($A683,-1,config_Holiday_Calendar_US),WORKDAY($A683,-1,config_Holiday_Calendar_US)),IF(ISNUMBER(_xll.BDH(config!$G$4,W$1,$A683,$A683)),_xll.BDH(config!$G$4,W$1,$A683,$A683),_xll.BDH(config!$G$5,W$1,$A683,$A683))))</f>
        <v/>
      </c>
    </row>
    <row r="684" spans="1:23" x14ac:dyDescent="0.2">
      <c r="A684" s="9" t="str">
        <f>IF(A683="","",IF(WORKDAY(A683,-1,config_Holiday_Calendar_US)&lt;config!$I$10,"",WORKDAY(A683,-1,config_Holiday_Calendar_US)))</f>
        <v/>
      </c>
      <c r="B684" s="8" t="str">
        <f t="shared" si="10"/>
        <v/>
      </c>
      <c r="C684" s="8" t="str">
        <f>IF(A684="","",_xll.BDH(config!$H$4,C$1,$A684,$A684))</f>
        <v/>
      </c>
      <c r="D684" s="8" t="str">
        <f>IF($A684="","",_xll.BDH(config!$H$4,D$1,$A684,$A684))</f>
        <v/>
      </c>
      <c r="E684" s="8" t="str">
        <f>IF($A684="","",IF(ISNUMBER(FIND("IMPVOL",E$1)),_xll.BDH(config!$G$4,E$1,WORKDAY($A684,-1,config_Holiday_Calendar_US),WORKDAY($A684,-1,config_Holiday_Calendar_US)),IF(ISNUMBER(_xll.BDH(config!$G$4,E$1,$A684,$A684)),_xll.BDH(config!$G$4,E$1,$A684,$A684),_xll.BDH(config!$G$5,E$1,$A684,$A684))))</f>
        <v/>
      </c>
      <c r="F684" s="8" t="str">
        <f>IF($A684="","",IF(ISNUMBER(FIND("IMPVOL",F$1)),_xll.BDH(config!$G$4,F$1,WORKDAY($A684,-1,config_Holiday_Calendar_US),WORKDAY($A684,-1,config_Holiday_Calendar_US)),IF(ISNUMBER(_xll.BDH(config!$G$4,F$1,$A684,$A684)),_xll.BDH(config!$G$4,F$1,$A684,$A684),_xll.BDH(config!$G$5,F$1,$A684,$A684))))</f>
        <v/>
      </c>
      <c r="G684" s="8" t="str">
        <f>IF($A684="","",IF(ISNUMBER(FIND("IMPVOL",G$1)),_xll.BDH(config!$G$4,G$1,WORKDAY($A684,-1,config_Holiday_Calendar_US),WORKDAY($A684,-1,config_Holiday_Calendar_US)),IF(ISNUMBER(_xll.BDH(config!$G$4,G$1,$A684,$A684)),_xll.BDH(config!$G$4,G$1,$A684,$A684),_xll.BDH(config!$G$5,G$1,$A684,$A684))))</f>
        <v/>
      </c>
      <c r="H684" s="8" t="str">
        <f>IF($A684="","",IF(ISNUMBER(FIND("IMPVOL",H$1)),_xll.BDH(config!$G$4,H$1,WORKDAY($A684,-1,config_Holiday_Calendar_US),WORKDAY($A684,-1,config_Holiday_Calendar_US)),IF(ISNUMBER(_xll.BDH(config!$G$4,H$1,$A684,$A684)),_xll.BDH(config!$G$4,H$1,$A684,$A684),_xll.BDH(config!$G$5,H$1,$A684,$A684))))</f>
        <v/>
      </c>
      <c r="I684" s="8" t="str">
        <f>IF($A684="","",IF(ISNUMBER(FIND("IMPVOL",I$1)),_xll.BDH(config!$G$4,I$1,WORKDAY($A684,-1,config_Holiday_Calendar_US),WORKDAY($A684,-1,config_Holiday_Calendar_US)),IF(ISNUMBER(_xll.BDH(config!$G$4,I$1,$A684,$A684)),_xll.BDH(config!$G$4,I$1,$A684,$A684),_xll.BDH(config!$G$5,I$1,$A684,$A684))))</f>
        <v/>
      </c>
      <c r="J684" s="8" t="str">
        <f>IF($A684="","",IF(ISNUMBER(FIND("IMPVOL",J$1)),_xll.BDH(config!$G$4,J$1,WORKDAY($A684,-1,config_Holiday_Calendar_US),WORKDAY($A684,-1,config_Holiday_Calendar_US)),IF(ISNUMBER(_xll.BDH(config!$G$4,J$1,$A684,$A684)),_xll.BDH(config!$G$4,J$1,$A684,$A684),_xll.BDH(config!$G$5,J$1,$A684,$A684))))</f>
        <v/>
      </c>
      <c r="K684" s="8" t="str">
        <f>IF($A684="","",IF(ISNUMBER(FIND("IMPVOL",K$1)),_xll.BDH(config!$G$4,K$1,WORKDAY($A684,-1,config_Holiday_Calendar_US),WORKDAY($A684,-1,config_Holiday_Calendar_US)),IF(ISNUMBER(_xll.BDH(config!$G$4,K$1,$A684,$A684)),_xll.BDH(config!$G$4,K$1,$A684,$A684),_xll.BDH(config!$G$5,K$1,$A684,$A684))))</f>
        <v/>
      </c>
      <c r="L684" s="8" t="str">
        <f>IF($A684="","",IF(ISNUMBER(FIND("IMPVOL",L$1)),_xll.BDH(config!$G$4,L$1,WORKDAY($A684,-1,config_Holiday_Calendar_US),WORKDAY($A684,-1,config_Holiday_Calendar_US)),IF(ISNUMBER(_xll.BDH(config!$G$4,L$1,$A684,$A684)),_xll.BDH(config!$G$4,L$1,$A684,$A684),_xll.BDH(config!$G$5,L$1,$A684,$A684))))</f>
        <v/>
      </c>
      <c r="M684" s="8" t="str">
        <f>IF($A684="","",IF(ISNUMBER(FIND("IMPVOL",M$1)),_xll.BDH(config!$G$4,M$1,WORKDAY($A684,-1,config_Holiday_Calendar_US),WORKDAY($A684,-1,config_Holiday_Calendar_US)),IF(ISNUMBER(_xll.BDH(config!$G$4,M$1,$A684,$A684)),_xll.BDH(config!$G$4,M$1,$A684,$A684),_xll.BDH(config!$G$5,M$1,$A684,$A684))))</f>
        <v/>
      </c>
      <c r="N684" s="8" t="str">
        <f>IF($A684="","",IF(ISNUMBER(FIND("IMPVOL",N$1)),_xll.BDH(config!$G$4,N$1,WORKDAY($A684,-1,config_Holiday_Calendar_US),WORKDAY($A684,-1,config_Holiday_Calendar_US)),IF(ISNUMBER(_xll.BDH(config!$G$4,N$1,$A684,$A684)),_xll.BDH(config!$G$4,N$1,$A684,$A684),_xll.BDH(config!$G$5,N$1,$A684,$A684))))</f>
        <v/>
      </c>
      <c r="O684" s="8" t="str">
        <f>IF($A684="","",IF(ISNUMBER(FIND("IMPVOL",O$1)),_xll.BDH(config!$G$4,O$1,WORKDAY($A684,-1,config_Holiday_Calendar_US),WORKDAY($A684,-1,config_Holiday_Calendar_US)),IF(ISNUMBER(_xll.BDH(config!$G$4,O$1,$A684,$A684)),_xll.BDH(config!$G$4,O$1,$A684,$A684),_xll.BDH(config!$G$5,O$1,$A684,$A684))))</f>
        <v/>
      </c>
      <c r="P684" s="8" t="str">
        <f>IF($A684="","",IF(ISNUMBER(FIND("IMPVOL",P$1)),_xll.BDH(config!$G$4,P$1,WORKDAY($A684,-1,config_Holiday_Calendar_US),WORKDAY($A684,-1,config_Holiday_Calendar_US)),IF(ISNUMBER(_xll.BDH(config!$G$4,P$1,$A684,$A684)),_xll.BDH(config!$G$4,P$1,$A684,$A684),_xll.BDH(config!$G$5,P$1,$A684,$A684))))</f>
        <v/>
      </c>
      <c r="Q684" s="8" t="str">
        <f>IF($A684="","",IF(ISNUMBER(FIND("IMPVOL",Q$1)),_xll.BDH(config!$G$4,Q$1,WORKDAY($A684,-1,config_Holiday_Calendar_US),WORKDAY($A684,-1,config_Holiday_Calendar_US)),IF(ISNUMBER(_xll.BDH(config!$G$4,Q$1,$A684,$A684)),_xll.BDH(config!$G$4,Q$1,$A684,$A684),_xll.BDH(config!$G$5,Q$1,$A684,$A684))))</f>
        <v/>
      </c>
      <c r="R684" s="8" t="str">
        <f>IF($A684="","",IF(ISNUMBER(FIND("IMPVOL",R$1)),_xll.BDH(config!$G$4,R$1,WORKDAY($A684,-1,config_Holiday_Calendar_US),WORKDAY($A684,-1,config_Holiday_Calendar_US)),IF(ISNUMBER(_xll.BDH(config!$G$4,R$1,$A684,$A684)),_xll.BDH(config!$G$4,R$1,$A684,$A684),_xll.BDH(config!$G$5,R$1,$A684,$A684))))</f>
        <v/>
      </c>
      <c r="S684" s="8" t="str">
        <f>IF($A684="","",IF(ISNUMBER(FIND("IMPVOL",S$1)),_xll.BDH(config!$G$4,S$1,WORKDAY($A684,-1,config_Holiday_Calendar_US),WORKDAY($A684,-1,config_Holiday_Calendar_US)),IF(ISNUMBER(_xll.BDH(config!$G$4,S$1,$A684,$A684)),_xll.BDH(config!$G$4,S$1,$A684,$A684),_xll.BDH(config!$G$5,S$1,$A684,$A684))))</f>
        <v/>
      </c>
      <c r="T684" s="8" t="str">
        <f>IF($A684="","",IF(ISNUMBER(FIND("IMPVOL",T$1)),_xll.BDH(config!$G$4,T$1,WORKDAY($A684,-1,config_Holiday_Calendar_US),WORKDAY($A684,-1,config_Holiday_Calendar_US)),IF(ISNUMBER(_xll.BDH(config!$G$4,T$1,$A684,$A684)),_xll.BDH(config!$G$4,T$1,$A684,$A684),_xll.BDH(config!$G$5,T$1,$A684,$A684))))</f>
        <v/>
      </c>
      <c r="U684" s="8" t="str">
        <f>IF($A684="","",IF(ISNUMBER(FIND("IMPVOL",U$1)),_xll.BDH(config!$G$4,U$1,WORKDAY($A684,-1,config_Holiday_Calendar_US),WORKDAY($A684,-1,config_Holiday_Calendar_US)),IF(ISNUMBER(_xll.BDH(config!$G$4,U$1,$A684,$A684)),_xll.BDH(config!$G$4,U$1,$A684,$A684),_xll.BDH(config!$G$5,U$1,$A684,$A684))))</f>
        <v/>
      </c>
      <c r="V684" s="8" t="str">
        <f>IF($A684="","",IF(ISNUMBER(FIND("IMPVOL",V$1)),_xll.BDH(config!$G$4,V$1,WORKDAY($A684,-1,config_Holiday_Calendar_US),WORKDAY($A684,-1,config_Holiday_Calendar_US)),IF(ISNUMBER(_xll.BDH(config!$G$4,V$1,$A684,$A684)),_xll.BDH(config!$G$4,V$1,$A684,$A684),_xll.BDH(config!$G$5,V$1,$A684,$A684))))</f>
        <v/>
      </c>
      <c r="W684" s="8" t="str">
        <f>IF($A684="","",IF(ISNUMBER(FIND("IMPVOL",W$1)),_xll.BDH(config!$G$4,W$1,WORKDAY($A684,-1,config_Holiday_Calendar_US),WORKDAY($A684,-1,config_Holiday_Calendar_US)),IF(ISNUMBER(_xll.BDH(config!$G$4,W$1,$A684,$A684)),_xll.BDH(config!$G$4,W$1,$A684,$A684),_xll.BDH(config!$G$5,W$1,$A684,$A684))))</f>
        <v/>
      </c>
    </row>
    <row r="685" spans="1:23" x14ac:dyDescent="0.2">
      <c r="A685" s="9" t="str">
        <f>IF(A684="","",IF(WORKDAY(A684,-1,config_Holiday_Calendar_US)&lt;config!$I$10,"",WORKDAY(A684,-1,config_Holiday_Calendar_US)))</f>
        <v/>
      </c>
      <c r="B685" s="8" t="str">
        <f t="shared" si="10"/>
        <v/>
      </c>
      <c r="C685" s="8" t="str">
        <f>IF(A685="","",_xll.BDH(config!$H$4,C$1,$A685,$A685))</f>
        <v/>
      </c>
      <c r="D685" s="8" t="str">
        <f>IF($A685="","",_xll.BDH(config!$H$4,D$1,$A685,$A685))</f>
        <v/>
      </c>
      <c r="E685" s="8" t="str">
        <f>IF($A685="","",IF(ISNUMBER(FIND("IMPVOL",E$1)),_xll.BDH(config!$G$4,E$1,WORKDAY($A685,-1,config_Holiday_Calendar_US),WORKDAY($A685,-1,config_Holiday_Calendar_US)),IF(ISNUMBER(_xll.BDH(config!$G$4,E$1,$A685,$A685)),_xll.BDH(config!$G$4,E$1,$A685,$A685),_xll.BDH(config!$G$5,E$1,$A685,$A685))))</f>
        <v/>
      </c>
      <c r="F685" s="8" t="str">
        <f>IF($A685="","",IF(ISNUMBER(FIND("IMPVOL",F$1)),_xll.BDH(config!$G$4,F$1,WORKDAY($A685,-1,config_Holiday_Calendar_US),WORKDAY($A685,-1,config_Holiday_Calendar_US)),IF(ISNUMBER(_xll.BDH(config!$G$4,F$1,$A685,$A685)),_xll.BDH(config!$G$4,F$1,$A685,$A685),_xll.BDH(config!$G$5,F$1,$A685,$A685))))</f>
        <v/>
      </c>
      <c r="G685" s="8" t="str">
        <f>IF($A685="","",IF(ISNUMBER(FIND("IMPVOL",G$1)),_xll.BDH(config!$G$4,G$1,WORKDAY($A685,-1,config_Holiday_Calendar_US),WORKDAY($A685,-1,config_Holiday_Calendar_US)),IF(ISNUMBER(_xll.BDH(config!$G$4,G$1,$A685,$A685)),_xll.BDH(config!$G$4,G$1,$A685,$A685),_xll.BDH(config!$G$5,G$1,$A685,$A685))))</f>
        <v/>
      </c>
      <c r="H685" s="8" t="str">
        <f>IF($A685="","",IF(ISNUMBER(FIND("IMPVOL",H$1)),_xll.BDH(config!$G$4,H$1,WORKDAY($A685,-1,config_Holiday_Calendar_US),WORKDAY($A685,-1,config_Holiday_Calendar_US)),IF(ISNUMBER(_xll.BDH(config!$G$4,H$1,$A685,$A685)),_xll.BDH(config!$G$4,H$1,$A685,$A685),_xll.BDH(config!$G$5,H$1,$A685,$A685))))</f>
        <v/>
      </c>
      <c r="I685" s="8" t="str">
        <f>IF($A685="","",IF(ISNUMBER(FIND("IMPVOL",I$1)),_xll.BDH(config!$G$4,I$1,WORKDAY($A685,-1,config_Holiday_Calendar_US),WORKDAY($A685,-1,config_Holiday_Calendar_US)),IF(ISNUMBER(_xll.BDH(config!$G$4,I$1,$A685,$A685)),_xll.BDH(config!$G$4,I$1,$A685,$A685),_xll.BDH(config!$G$5,I$1,$A685,$A685))))</f>
        <v/>
      </c>
      <c r="J685" s="8" t="str">
        <f>IF($A685="","",IF(ISNUMBER(FIND("IMPVOL",J$1)),_xll.BDH(config!$G$4,J$1,WORKDAY($A685,-1,config_Holiday_Calendar_US),WORKDAY($A685,-1,config_Holiday_Calendar_US)),IF(ISNUMBER(_xll.BDH(config!$G$4,J$1,$A685,$A685)),_xll.BDH(config!$G$4,J$1,$A685,$A685),_xll.BDH(config!$G$5,J$1,$A685,$A685))))</f>
        <v/>
      </c>
      <c r="K685" s="8" t="str">
        <f>IF($A685="","",IF(ISNUMBER(FIND("IMPVOL",K$1)),_xll.BDH(config!$G$4,K$1,WORKDAY($A685,-1,config_Holiday_Calendar_US),WORKDAY($A685,-1,config_Holiday_Calendar_US)),IF(ISNUMBER(_xll.BDH(config!$G$4,K$1,$A685,$A685)),_xll.BDH(config!$G$4,K$1,$A685,$A685),_xll.BDH(config!$G$5,K$1,$A685,$A685))))</f>
        <v/>
      </c>
      <c r="L685" s="8" t="str">
        <f>IF($A685="","",IF(ISNUMBER(FIND("IMPVOL",L$1)),_xll.BDH(config!$G$4,L$1,WORKDAY($A685,-1,config_Holiday_Calendar_US),WORKDAY($A685,-1,config_Holiday_Calendar_US)),IF(ISNUMBER(_xll.BDH(config!$G$4,L$1,$A685,$A685)),_xll.BDH(config!$G$4,L$1,$A685,$A685),_xll.BDH(config!$G$5,L$1,$A685,$A685))))</f>
        <v/>
      </c>
      <c r="M685" s="8" t="str">
        <f>IF($A685="","",IF(ISNUMBER(FIND("IMPVOL",M$1)),_xll.BDH(config!$G$4,M$1,WORKDAY($A685,-1,config_Holiday_Calendar_US),WORKDAY($A685,-1,config_Holiday_Calendar_US)),IF(ISNUMBER(_xll.BDH(config!$G$4,M$1,$A685,$A685)),_xll.BDH(config!$G$4,M$1,$A685,$A685),_xll.BDH(config!$G$5,M$1,$A685,$A685))))</f>
        <v/>
      </c>
      <c r="N685" s="8" t="str">
        <f>IF($A685="","",IF(ISNUMBER(FIND("IMPVOL",N$1)),_xll.BDH(config!$G$4,N$1,WORKDAY($A685,-1,config_Holiday_Calendar_US),WORKDAY($A685,-1,config_Holiday_Calendar_US)),IF(ISNUMBER(_xll.BDH(config!$G$4,N$1,$A685,$A685)),_xll.BDH(config!$G$4,N$1,$A685,$A685),_xll.BDH(config!$G$5,N$1,$A685,$A685))))</f>
        <v/>
      </c>
      <c r="O685" s="8" t="str">
        <f>IF($A685="","",IF(ISNUMBER(FIND("IMPVOL",O$1)),_xll.BDH(config!$G$4,O$1,WORKDAY($A685,-1,config_Holiday_Calendar_US),WORKDAY($A685,-1,config_Holiday_Calendar_US)),IF(ISNUMBER(_xll.BDH(config!$G$4,O$1,$A685,$A685)),_xll.BDH(config!$G$4,O$1,$A685,$A685),_xll.BDH(config!$G$5,O$1,$A685,$A685))))</f>
        <v/>
      </c>
      <c r="P685" s="8" t="str">
        <f>IF($A685="","",IF(ISNUMBER(FIND("IMPVOL",P$1)),_xll.BDH(config!$G$4,P$1,WORKDAY($A685,-1,config_Holiday_Calendar_US),WORKDAY($A685,-1,config_Holiday_Calendar_US)),IF(ISNUMBER(_xll.BDH(config!$G$4,P$1,$A685,$A685)),_xll.BDH(config!$G$4,P$1,$A685,$A685),_xll.BDH(config!$G$5,P$1,$A685,$A685))))</f>
        <v/>
      </c>
      <c r="Q685" s="8" t="str">
        <f>IF($A685="","",IF(ISNUMBER(FIND("IMPVOL",Q$1)),_xll.BDH(config!$G$4,Q$1,WORKDAY($A685,-1,config_Holiday_Calendar_US),WORKDAY($A685,-1,config_Holiday_Calendar_US)),IF(ISNUMBER(_xll.BDH(config!$G$4,Q$1,$A685,$A685)),_xll.BDH(config!$G$4,Q$1,$A685,$A685),_xll.BDH(config!$G$5,Q$1,$A685,$A685))))</f>
        <v/>
      </c>
      <c r="R685" s="8" t="str">
        <f>IF($A685="","",IF(ISNUMBER(FIND("IMPVOL",R$1)),_xll.BDH(config!$G$4,R$1,WORKDAY($A685,-1,config_Holiday_Calendar_US),WORKDAY($A685,-1,config_Holiday_Calendar_US)),IF(ISNUMBER(_xll.BDH(config!$G$4,R$1,$A685,$A685)),_xll.BDH(config!$G$4,R$1,$A685,$A685),_xll.BDH(config!$G$5,R$1,$A685,$A685))))</f>
        <v/>
      </c>
      <c r="S685" s="8" t="str">
        <f>IF($A685="","",IF(ISNUMBER(FIND("IMPVOL",S$1)),_xll.BDH(config!$G$4,S$1,WORKDAY($A685,-1,config_Holiday_Calendar_US),WORKDAY($A685,-1,config_Holiday_Calendar_US)),IF(ISNUMBER(_xll.BDH(config!$G$4,S$1,$A685,$A685)),_xll.BDH(config!$G$4,S$1,$A685,$A685),_xll.BDH(config!$G$5,S$1,$A685,$A685))))</f>
        <v/>
      </c>
      <c r="T685" s="8" t="str">
        <f>IF($A685="","",IF(ISNUMBER(FIND("IMPVOL",T$1)),_xll.BDH(config!$G$4,T$1,WORKDAY($A685,-1,config_Holiday_Calendar_US),WORKDAY($A685,-1,config_Holiday_Calendar_US)),IF(ISNUMBER(_xll.BDH(config!$G$4,T$1,$A685,$A685)),_xll.BDH(config!$G$4,T$1,$A685,$A685),_xll.BDH(config!$G$5,T$1,$A685,$A685))))</f>
        <v/>
      </c>
      <c r="U685" s="8" t="str">
        <f>IF($A685="","",IF(ISNUMBER(FIND("IMPVOL",U$1)),_xll.BDH(config!$G$4,U$1,WORKDAY($A685,-1,config_Holiday_Calendar_US),WORKDAY($A685,-1,config_Holiday_Calendar_US)),IF(ISNUMBER(_xll.BDH(config!$G$4,U$1,$A685,$A685)),_xll.BDH(config!$G$4,U$1,$A685,$A685),_xll.BDH(config!$G$5,U$1,$A685,$A685))))</f>
        <v/>
      </c>
      <c r="V685" s="8" t="str">
        <f>IF($A685="","",IF(ISNUMBER(FIND("IMPVOL",V$1)),_xll.BDH(config!$G$4,V$1,WORKDAY($A685,-1,config_Holiday_Calendar_US),WORKDAY($A685,-1,config_Holiday_Calendar_US)),IF(ISNUMBER(_xll.BDH(config!$G$4,V$1,$A685,$A685)),_xll.BDH(config!$G$4,V$1,$A685,$A685),_xll.BDH(config!$G$5,V$1,$A685,$A685))))</f>
        <v/>
      </c>
      <c r="W685" s="8" t="str">
        <f>IF($A685="","",IF(ISNUMBER(FIND("IMPVOL",W$1)),_xll.BDH(config!$G$4,W$1,WORKDAY($A685,-1,config_Holiday_Calendar_US),WORKDAY($A685,-1,config_Holiday_Calendar_US)),IF(ISNUMBER(_xll.BDH(config!$G$4,W$1,$A685,$A685)),_xll.BDH(config!$G$4,W$1,$A685,$A685),_xll.BDH(config!$G$5,W$1,$A685,$A685))))</f>
        <v/>
      </c>
    </row>
    <row r="686" spans="1:23" x14ac:dyDescent="0.2">
      <c r="A686" s="9" t="str">
        <f>IF(A685="","",IF(WORKDAY(A685,-1,config_Holiday_Calendar_US)&lt;config!$I$10,"",WORKDAY(A685,-1,config_Holiday_Calendar_US)))</f>
        <v/>
      </c>
      <c r="B686" s="8" t="str">
        <f t="shared" si="10"/>
        <v/>
      </c>
      <c r="C686" s="8" t="str">
        <f>IF(A686="","",_xll.BDH(config!$H$4,C$1,$A686,$A686))</f>
        <v/>
      </c>
      <c r="D686" s="8" t="str">
        <f>IF($A686="","",_xll.BDH(config!$H$4,D$1,$A686,$A686))</f>
        <v/>
      </c>
      <c r="E686" s="8" t="str">
        <f>IF($A686="","",IF(ISNUMBER(FIND("IMPVOL",E$1)),_xll.BDH(config!$G$4,E$1,WORKDAY($A686,-1,config_Holiday_Calendar_US),WORKDAY($A686,-1,config_Holiday_Calendar_US)),IF(ISNUMBER(_xll.BDH(config!$G$4,E$1,$A686,$A686)),_xll.BDH(config!$G$4,E$1,$A686,$A686),_xll.BDH(config!$G$5,E$1,$A686,$A686))))</f>
        <v/>
      </c>
      <c r="F686" s="8" t="str">
        <f>IF($A686="","",IF(ISNUMBER(FIND("IMPVOL",F$1)),_xll.BDH(config!$G$4,F$1,WORKDAY($A686,-1,config_Holiday_Calendar_US),WORKDAY($A686,-1,config_Holiday_Calendar_US)),IF(ISNUMBER(_xll.BDH(config!$G$4,F$1,$A686,$A686)),_xll.BDH(config!$G$4,F$1,$A686,$A686),_xll.BDH(config!$G$5,F$1,$A686,$A686))))</f>
        <v/>
      </c>
      <c r="G686" s="8" t="str">
        <f>IF($A686="","",IF(ISNUMBER(FIND("IMPVOL",G$1)),_xll.BDH(config!$G$4,G$1,WORKDAY($A686,-1,config_Holiday_Calendar_US),WORKDAY($A686,-1,config_Holiday_Calendar_US)),IF(ISNUMBER(_xll.BDH(config!$G$4,G$1,$A686,$A686)),_xll.BDH(config!$G$4,G$1,$A686,$A686),_xll.BDH(config!$G$5,G$1,$A686,$A686))))</f>
        <v/>
      </c>
      <c r="H686" s="8" t="str">
        <f>IF($A686="","",IF(ISNUMBER(FIND("IMPVOL",H$1)),_xll.BDH(config!$G$4,H$1,WORKDAY($A686,-1,config_Holiday_Calendar_US),WORKDAY($A686,-1,config_Holiday_Calendar_US)),IF(ISNUMBER(_xll.BDH(config!$G$4,H$1,$A686,$A686)),_xll.BDH(config!$G$4,H$1,$A686,$A686),_xll.BDH(config!$G$5,H$1,$A686,$A686))))</f>
        <v/>
      </c>
      <c r="I686" s="8" t="str">
        <f>IF($A686="","",IF(ISNUMBER(FIND("IMPVOL",I$1)),_xll.BDH(config!$G$4,I$1,WORKDAY($A686,-1,config_Holiday_Calendar_US),WORKDAY($A686,-1,config_Holiday_Calendar_US)),IF(ISNUMBER(_xll.BDH(config!$G$4,I$1,$A686,$A686)),_xll.BDH(config!$G$4,I$1,$A686,$A686),_xll.BDH(config!$G$5,I$1,$A686,$A686))))</f>
        <v/>
      </c>
      <c r="J686" s="8" t="str">
        <f>IF($A686="","",IF(ISNUMBER(FIND("IMPVOL",J$1)),_xll.BDH(config!$G$4,J$1,WORKDAY($A686,-1,config_Holiday_Calendar_US),WORKDAY($A686,-1,config_Holiday_Calendar_US)),IF(ISNUMBER(_xll.BDH(config!$G$4,J$1,$A686,$A686)),_xll.BDH(config!$G$4,J$1,$A686,$A686),_xll.BDH(config!$G$5,J$1,$A686,$A686))))</f>
        <v/>
      </c>
      <c r="K686" s="8" t="str">
        <f>IF($A686="","",IF(ISNUMBER(FIND("IMPVOL",K$1)),_xll.BDH(config!$G$4,K$1,WORKDAY($A686,-1,config_Holiday_Calendar_US),WORKDAY($A686,-1,config_Holiday_Calendar_US)),IF(ISNUMBER(_xll.BDH(config!$G$4,K$1,$A686,$A686)),_xll.BDH(config!$G$4,K$1,$A686,$A686),_xll.BDH(config!$G$5,K$1,$A686,$A686))))</f>
        <v/>
      </c>
      <c r="L686" s="8" t="str">
        <f>IF($A686="","",IF(ISNUMBER(FIND("IMPVOL",L$1)),_xll.BDH(config!$G$4,L$1,WORKDAY($A686,-1,config_Holiday_Calendar_US),WORKDAY($A686,-1,config_Holiday_Calendar_US)),IF(ISNUMBER(_xll.BDH(config!$G$4,L$1,$A686,$A686)),_xll.BDH(config!$G$4,L$1,$A686,$A686),_xll.BDH(config!$G$5,L$1,$A686,$A686))))</f>
        <v/>
      </c>
      <c r="M686" s="8" t="str">
        <f>IF($A686="","",IF(ISNUMBER(FIND("IMPVOL",M$1)),_xll.BDH(config!$G$4,M$1,WORKDAY($A686,-1,config_Holiday_Calendar_US),WORKDAY($A686,-1,config_Holiday_Calendar_US)),IF(ISNUMBER(_xll.BDH(config!$G$4,M$1,$A686,$A686)),_xll.BDH(config!$G$4,M$1,$A686,$A686),_xll.BDH(config!$G$5,M$1,$A686,$A686))))</f>
        <v/>
      </c>
      <c r="N686" s="8" t="str">
        <f>IF($A686="","",IF(ISNUMBER(FIND("IMPVOL",N$1)),_xll.BDH(config!$G$4,N$1,WORKDAY($A686,-1,config_Holiday_Calendar_US),WORKDAY($A686,-1,config_Holiday_Calendar_US)),IF(ISNUMBER(_xll.BDH(config!$G$4,N$1,$A686,$A686)),_xll.BDH(config!$G$4,N$1,$A686,$A686),_xll.BDH(config!$G$5,N$1,$A686,$A686))))</f>
        <v/>
      </c>
      <c r="O686" s="8" t="str">
        <f>IF($A686="","",IF(ISNUMBER(FIND("IMPVOL",O$1)),_xll.BDH(config!$G$4,O$1,WORKDAY($A686,-1,config_Holiday_Calendar_US),WORKDAY($A686,-1,config_Holiday_Calendar_US)),IF(ISNUMBER(_xll.BDH(config!$G$4,O$1,$A686,$A686)),_xll.BDH(config!$G$4,O$1,$A686,$A686),_xll.BDH(config!$G$5,O$1,$A686,$A686))))</f>
        <v/>
      </c>
      <c r="P686" s="8" t="str">
        <f>IF($A686="","",IF(ISNUMBER(FIND("IMPVOL",P$1)),_xll.BDH(config!$G$4,P$1,WORKDAY($A686,-1,config_Holiday_Calendar_US),WORKDAY($A686,-1,config_Holiday_Calendar_US)),IF(ISNUMBER(_xll.BDH(config!$G$4,P$1,$A686,$A686)),_xll.BDH(config!$G$4,P$1,$A686,$A686),_xll.BDH(config!$G$5,P$1,$A686,$A686))))</f>
        <v/>
      </c>
      <c r="Q686" s="8" t="str">
        <f>IF($A686="","",IF(ISNUMBER(FIND("IMPVOL",Q$1)),_xll.BDH(config!$G$4,Q$1,WORKDAY($A686,-1,config_Holiday_Calendar_US),WORKDAY($A686,-1,config_Holiday_Calendar_US)),IF(ISNUMBER(_xll.BDH(config!$G$4,Q$1,$A686,$A686)),_xll.BDH(config!$G$4,Q$1,$A686,$A686),_xll.BDH(config!$G$5,Q$1,$A686,$A686))))</f>
        <v/>
      </c>
      <c r="R686" s="8" t="str">
        <f>IF($A686="","",IF(ISNUMBER(FIND("IMPVOL",R$1)),_xll.BDH(config!$G$4,R$1,WORKDAY($A686,-1,config_Holiday_Calendar_US),WORKDAY($A686,-1,config_Holiday_Calendar_US)),IF(ISNUMBER(_xll.BDH(config!$G$4,R$1,$A686,$A686)),_xll.BDH(config!$G$4,R$1,$A686,$A686),_xll.BDH(config!$G$5,R$1,$A686,$A686))))</f>
        <v/>
      </c>
      <c r="S686" s="8" t="str">
        <f>IF($A686="","",IF(ISNUMBER(FIND("IMPVOL",S$1)),_xll.BDH(config!$G$4,S$1,WORKDAY($A686,-1,config_Holiday_Calendar_US),WORKDAY($A686,-1,config_Holiday_Calendar_US)),IF(ISNUMBER(_xll.BDH(config!$G$4,S$1,$A686,$A686)),_xll.BDH(config!$G$4,S$1,$A686,$A686),_xll.BDH(config!$G$5,S$1,$A686,$A686))))</f>
        <v/>
      </c>
      <c r="T686" s="8" t="str">
        <f>IF($A686="","",IF(ISNUMBER(FIND("IMPVOL",T$1)),_xll.BDH(config!$G$4,T$1,WORKDAY($A686,-1,config_Holiday_Calendar_US),WORKDAY($A686,-1,config_Holiday_Calendar_US)),IF(ISNUMBER(_xll.BDH(config!$G$4,T$1,$A686,$A686)),_xll.BDH(config!$G$4,T$1,$A686,$A686),_xll.BDH(config!$G$5,T$1,$A686,$A686))))</f>
        <v/>
      </c>
      <c r="U686" s="8" t="str">
        <f>IF($A686="","",IF(ISNUMBER(FIND("IMPVOL",U$1)),_xll.BDH(config!$G$4,U$1,WORKDAY($A686,-1,config_Holiday_Calendar_US),WORKDAY($A686,-1,config_Holiday_Calendar_US)),IF(ISNUMBER(_xll.BDH(config!$G$4,U$1,$A686,$A686)),_xll.BDH(config!$G$4,U$1,$A686,$A686),_xll.BDH(config!$G$5,U$1,$A686,$A686))))</f>
        <v/>
      </c>
      <c r="V686" s="8" t="str">
        <f>IF($A686="","",IF(ISNUMBER(FIND("IMPVOL",V$1)),_xll.BDH(config!$G$4,V$1,WORKDAY($A686,-1,config_Holiday_Calendar_US),WORKDAY($A686,-1,config_Holiday_Calendar_US)),IF(ISNUMBER(_xll.BDH(config!$G$4,V$1,$A686,$A686)),_xll.BDH(config!$G$4,V$1,$A686,$A686),_xll.BDH(config!$G$5,V$1,$A686,$A686))))</f>
        <v/>
      </c>
      <c r="W686" s="8" t="str">
        <f>IF($A686="","",IF(ISNUMBER(FIND("IMPVOL",W$1)),_xll.BDH(config!$G$4,W$1,WORKDAY($A686,-1,config_Holiday_Calendar_US),WORKDAY($A686,-1,config_Holiday_Calendar_US)),IF(ISNUMBER(_xll.BDH(config!$G$4,W$1,$A686,$A686)),_xll.BDH(config!$G$4,W$1,$A686,$A686),_xll.BDH(config!$G$5,W$1,$A686,$A686))))</f>
        <v/>
      </c>
    </row>
    <row r="687" spans="1:23" x14ac:dyDescent="0.2">
      <c r="A687" s="9" t="str">
        <f>IF(A686="","",IF(WORKDAY(A686,-1,config_Holiday_Calendar_US)&lt;config!$I$10,"",WORKDAY(A686,-1,config_Holiday_Calendar_US)))</f>
        <v/>
      </c>
      <c r="B687" s="8" t="str">
        <f t="shared" si="10"/>
        <v/>
      </c>
      <c r="C687" s="8" t="str">
        <f>IF(A687="","",_xll.BDH(config!$H$4,C$1,$A687,$A687))</f>
        <v/>
      </c>
      <c r="D687" s="8" t="str">
        <f>IF($A687="","",_xll.BDH(config!$H$4,D$1,$A687,$A687))</f>
        <v/>
      </c>
      <c r="E687" s="8" t="str">
        <f>IF($A687="","",IF(ISNUMBER(FIND("IMPVOL",E$1)),_xll.BDH(config!$G$4,E$1,WORKDAY($A687,-1,config_Holiday_Calendar_US),WORKDAY($A687,-1,config_Holiday_Calendar_US)),IF(ISNUMBER(_xll.BDH(config!$G$4,E$1,$A687,$A687)),_xll.BDH(config!$G$4,E$1,$A687,$A687),_xll.BDH(config!$G$5,E$1,$A687,$A687))))</f>
        <v/>
      </c>
      <c r="F687" s="8" t="str">
        <f>IF($A687="","",IF(ISNUMBER(FIND("IMPVOL",F$1)),_xll.BDH(config!$G$4,F$1,WORKDAY($A687,-1,config_Holiday_Calendar_US),WORKDAY($A687,-1,config_Holiday_Calendar_US)),IF(ISNUMBER(_xll.BDH(config!$G$4,F$1,$A687,$A687)),_xll.BDH(config!$G$4,F$1,$A687,$A687),_xll.BDH(config!$G$5,F$1,$A687,$A687))))</f>
        <v/>
      </c>
      <c r="G687" s="8" t="str">
        <f>IF($A687="","",IF(ISNUMBER(FIND("IMPVOL",G$1)),_xll.BDH(config!$G$4,G$1,WORKDAY($A687,-1,config_Holiday_Calendar_US),WORKDAY($A687,-1,config_Holiday_Calendar_US)),IF(ISNUMBER(_xll.BDH(config!$G$4,G$1,$A687,$A687)),_xll.BDH(config!$G$4,G$1,$A687,$A687),_xll.BDH(config!$G$5,G$1,$A687,$A687))))</f>
        <v/>
      </c>
      <c r="H687" s="8" t="str">
        <f>IF($A687="","",IF(ISNUMBER(FIND("IMPVOL",H$1)),_xll.BDH(config!$G$4,H$1,WORKDAY($A687,-1,config_Holiday_Calendar_US),WORKDAY($A687,-1,config_Holiday_Calendar_US)),IF(ISNUMBER(_xll.BDH(config!$G$4,H$1,$A687,$A687)),_xll.BDH(config!$G$4,H$1,$A687,$A687),_xll.BDH(config!$G$5,H$1,$A687,$A687))))</f>
        <v/>
      </c>
      <c r="I687" s="8" t="str">
        <f>IF($A687="","",IF(ISNUMBER(FIND("IMPVOL",I$1)),_xll.BDH(config!$G$4,I$1,WORKDAY($A687,-1,config_Holiday_Calendar_US),WORKDAY($A687,-1,config_Holiday_Calendar_US)),IF(ISNUMBER(_xll.BDH(config!$G$4,I$1,$A687,$A687)),_xll.BDH(config!$G$4,I$1,$A687,$A687),_xll.BDH(config!$G$5,I$1,$A687,$A687))))</f>
        <v/>
      </c>
      <c r="J687" s="8" t="str">
        <f>IF($A687="","",IF(ISNUMBER(FIND("IMPVOL",J$1)),_xll.BDH(config!$G$4,J$1,WORKDAY($A687,-1,config_Holiday_Calendar_US),WORKDAY($A687,-1,config_Holiday_Calendar_US)),IF(ISNUMBER(_xll.BDH(config!$G$4,J$1,$A687,$A687)),_xll.BDH(config!$G$4,J$1,$A687,$A687),_xll.BDH(config!$G$5,J$1,$A687,$A687))))</f>
        <v/>
      </c>
      <c r="K687" s="8" t="str">
        <f>IF($A687="","",IF(ISNUMBER(FIND("IMPVOL",K$1)),_xll.BDH(config!$G$4,K$1,WORKDAY($A687,-1,config_Holiday_Calendar_US),WORKDAY($A687,-1,config_Holiday_Calendar_US)),IF(ISNUMBER(_xll.BDH(config!$G$4,K$1,$A687,$A687)),_xll.BDH(config!$G$4,K$1,$A687,$A687),_xll.BDH(config!$G$5,K$1,$A687,$A687))))</f>
        <v/>
      </c>
      <c r="L687" s="8" t="str">
        <f>IF($A687="","",IF(ISNUMBER(FIND("IMPVOL",L$1)),_xll.BDH(config!$G$4,L$1,WORKDAY($A687,-1,config_Holiday_Calendar_US),WORKDAY($A687,-1,config_Holiday_Calendar_US)),IF(ISNUMBER(_xll.BDH(config!$G$4,L$1,$A687,$A687)),_xll.BDH(config!$G$4,L$1,$A687,$A687),_xll.BDH(config!$G$5,L$1,$A687,$A687))))</f>
        <v/>
      </c>
      <c r="M687" s="8" t="str">
        <f>IF($A687="","",IF(ISNUMBER(FIND("IMPVOL",M$1)),_xll.BDH(config!$G$4,M$1,WORKDAY($A687,-1,config_Holiday_Calendar_US),WORKDAY($A687,-1,config_Holiday_Calendar_US)),IF(ISNUMBER(_xll.BDH(config!$G$4,M$1,$A687,$A687)),_xll.BDH(config!$G$4,M$1,$A687,$A687),_xll.BDH(config!$G$5,M$1,$A687,$A687))))</f>
        <v/>
      </c>
      <c r="N687" s="8" t="str">
        <f>IF($A687="","",IF(ISNUMBER(FIND("IMPVOL",N$1)),_xll.BDH(config!$G$4,N$1,WORKDAY($A687,-1,config_Holiday_Calendar_US),WORKDAY($A687,-1,config_Holiday_Calendar_US)),IF(ISNUMBER(_xll.BDH(config!$G$4,N$1,$A687,$A687)),_xll.BDH(config!$G$4,N$1,$A687,$A687),_xll.BDH(config!$G$5,N$1,$A687,$A687))))</f>
        <v/>
      </c>
      <c r="O687" s="8" t="str">
        <f>IF($A687="","",IF(ISNUMBER(FIND("IMPVOL",O$1)),_xll.BDH(config!$G$4,O$1,WORKDAY($A687,-1,config_Holiday_Calendar_US),WORKDAY($A687,-1,config_Holiday_Calendar_US)),IF(ISNUMBER(_xll.BDH(config!$G$4,O$1,$A687,$A687)),_xll.BDH(config!$G$4,O$1,$A687,$A687),_xll.BDH(config!$G$5,O$1,$A687,$A687))))</f>
        <v/>
      </c>
      <c r="P687" s="8" t="str">
        <f>IF($A687="","",IF(ISNUMBER(FIND("IMPVOL",P$1)),_xll.BDH(config!$G$4,P$1,WORKDAY($A687,-1,config_Holiday_Calendar_US),WORKDAY($A687,-1,config_Holiday_Calendar_US)),IF(ISNUMBER(_xll.BDH(config!$G$4,P$1,$A687,$A687)),_xll.BDH(config!$G$4,P$1,$A687,$A687),_xll.BDH(config!$G$5,P$1,$A687,$A687))))</f>
        <v/>
      </c>
      <c r="Q687" s="8" t="str">
        <f>IF($A687="","",IF(ISNUMBER(FIND("IMPVOL",Q$1)),_xll.BDH(config!$G$4,Q$1,WORKDAY($A687,-1,config_Holiday_Calendar_US),WORKDAY($A687,-1,config_Holiday_Calendar_US)),IF(ISNUMBER(_xll.BDH(config!$G$4,Q$1,$A687,$A687)),_xll.BDH(config!$G$4,Q$1,$A687,$A687),_xll.BDH(config!$G$5,Q$1,$A687,$A687))))</f>
        <v/>
      </c>
      <c r="R687" s="8" t="str">
        <f>IF($A687="","",IF(ISNUMBER(FIND("IMPVOL",R$1)),_xll.BDH(config!$G$4,R$1,WORKDAY($A687,-1,config_Holiday_Calendar_US),WORKDAY($A687,-1,config_Holiday_Calendar_US)),IF(ISNUMBER(_xll.BDH(config!$G$4,R$1,$A687,$A687)),_xll.BDH(config!$G$4,R$1,$A687,$A687),_xll.BDH(config!$G$5,R$1,$A687,$A687))))</f>
        <v/>
      </c>
      <c r="S687" s="8" t="str">
        <f>IF($A687="","",IF(ISNUMBER(FIND("IMPVOL",S$1)),_xll.BDH(config!$G$4,S$1,WORKDAY($A687,-1,config_Holiday_Calendar_US),WORKDAY($A687,-1,config_Holiday_Calendar_US)),IF(ISNUMBER(_xll.BDH(config!$G$4,S$1,$A687,$A687)),_xll.BDH(config!$G$4,S$1,$A687,$A687),_xll.BDH(config!$G$5,S$1,$A687,$A687))))</f>
        <v/>
      </c>
      <c r="T687" s="8" t="str">
        <f>IF($A687="","",IF(ISNUMBER(FIND("IMPVOL",T$1)),_xll.BDH(config!$G$4,T$1,WORKDAY($A687,-1,config_Holiday_Calendar_US),WORKDAY($A687,-1,config_Holiday_Calendar_US)),IF(ISNUMBER(_xll.BDH(config!$G$4,T$1,$A687,$A687)),_xll.BDH(config!$G$4,T$1,$A687,$A687),_xll.BDH(config!$G$5,T$1,$A687,$A687))))</f>
        <v/>
      </c>
      <c r="U687" s="8" t="str">
        <f>IF($A687="","",IF(ISNUMBER(FIND("IMPVOL",U$1)),_xll.BDH(config!$G$4,U$1,WORKDAY($A687,-1,config_Holiday_Calendar_US),WORKDAY($A687,-1,config_Holiday_Calendar_US)),IF(ISNUMBER(_xll.BDH(config!$G$4,U$1,$A687,$A687)),_xll.BDH(config!$G$4,U$1,$A687,$A687),_xll.BDH(config!$G$5,U$1,$A687,$A687))))</f>
        <v/>
      </c>
      <c r="V687" s="8" t="str">
        <f>IF($A687="","",IF(ISNUMBER(FIND("IMPVOL",V$1)),_xll.BDH(config!$G$4,V$1,WORKDAY($A687,-1,config_Holiday_Calendar_US),WORKDAY($A687,-1,config_Holiday_Calendar_US)),IF(ISNUMBER(_xll.BDH(config!$G$4,V$1,$A687,$A687)),_xll.BDH(config!$G$4,V$1,$A687,$A687),_xll.BDH(config!$G$5,V$1,$A687,$A687))))</f>
        <v/>
      </c>
      <c r="W687" s="8" t="str">
        <f>IF($A687="","",IF(ISNUMBER(FIND("IMPVOL",W$1)),_xll.BDH(config!$G$4,W$1,WORKDAY($A687,-1,config_Holiday_Calendar_US),WORKDAY($A687,-1,config_Holiday_Calendar_US)),IF(ISNUMBER(_xll.BDH(config!$G$4,W$1,$A687,$A687)),_xll.BDH(config!$G$4,W$1,$A687,$A687),_xll.BDH(config!$G$5,W$1,$A687,$A687))))</f>
        <v/>
      </c>
    </row>
    <row r="688" spans="1:23" x14ac:dyDescent="0.2">
      <c r="A688" s="9" t="str">
        <f>IF(A687="","",IF(WORKDAY(A687,-1,config_Holiday_Calendar_US)&lt;config!$I$10,"",WORKDAY(A687,-1,config_Holiday_Calendar_US)))</f>
        <v/>
      </c>
      <c r="B688" s="8" t="str">
        <f t="shared" si="10"/>
        <v/>
      </c>
      <c r="C688" s="8" t="str">
        <f>IF(A688="","",_xll.BDH(config!$H$4,C$1,$A688,$A688))</f>
        <v/>
      </c>
      <c r="D688" s="8" t="str">
        <f>IF($A688="","",_xll.BDH(config!$H$4,D$1,$A688,$A688))</f>
        <v/>
      </c>
      <c r="E688" s="8" t="str">
        <f>IF($A688="","",IF(ISNUMBER(FIND("IMPVOL",E$1)),_xll.BDH(config!$G$4,E$1,WORKDAY($A688,-1,config_Holiday_Calendar_US),WORKDAY($A688,-1,config_Holiday_Calendar_US)),IF(ISNUMBER(_xll.BDH(config!$G$4,E$1,$A688,$A688)),_xll.BDH(config!$G$4,E$1,$A688,$A688),_xll.BDH(config!$G$5,E$1,$A688,$A688))))</f>
        <v/>
      </c>
      <c r="F688" s="8" t="str">
        <f>IF($A688="","",IF(ISNUMBER(FIND("IMPVOL",F$1)),_xll.BDH(config!$G$4,F$1,WORKDAY($A688,-1,config_Holiday_Calendar_US),WORKDAY($A688,-1,config_Holiday_Calendar_US)),IF(ISNUMBER(_xll.BDH(config!$G$4,F$1,$A688,$A688)),_xll.BDH(config!$G$4,F$1,$A688,$A688),_xll.BDH(config!$G$5,F$1,$A688,$A688))))</f>
        <v/>
      </c>
      <c r="G688" s="8" t="str">
        <f>IF($A688="","",IF(ISNUMBER(FIND("IMPVOL",G$1)),_xll.BDH(config!$G$4,G$1,WORKDAY($A688,-1,config_Holiday_Calendar_US),WORKDAY($A688,-1,config_Holiday_Calendar_US)),IF(ISNUMBER(_xll.BDH(config!$G$4,G$1,$A688,$A688)),_xll.BDH(config!$G$4,G$1,$A688,$A688),_xll.BDH(config!$G$5,G$1,$A688,$A688))))</f>
        <v/>
      </c>
      <c r="H688" s="8" t="str">
        <f>IF($A688="","",IF(ISNUMBER(FIND("IMPVOL",H$1)),_xll.BDH(config!$G$4,H$1,WORKDAY($A688,-1,config_Holiday_Calendar_US),WORKDAY($A688,-1,config_Holiday_Calendar_US)),IF(ISNUMBER(_xll.BDH(config!$G$4,H$1,$A688,$A688)),_xll.BDH(config!$G$4,H$1,$A688,$A688),_xll.BDH(config!$G$5,H$1,$A688,$A688))))</f>
        <v/>
      </c>
      <c r="I688" s="8" t="str">
        <f>IF($A688="","",IF(ISNUMBER(FIND("IMPVOL",I$1)),_xll.BDH(config!$G$4,I$1,WORKDAY($A688,-1,config_Holiday_Calendar_US),WORKDAY($A688,-1,config_Holiday_Calendar_US)),IF(ISNUMBER(_xll.BDH(config!$G$4,I$1,$A688,$A688)),_xll.BDH(config!$G$4,I$1,$A688,$A688),_xll.BDH(config!$G$5,I$1,$A688,$A688))))</f>
        <v/>
      </c>
      <c r="J688" s="8" t="str">
        <f>IF($A688="","",IF(ISNUMBER(FIND("IMPVOL",J$1)),_xll.BDH(config!$G$4,J$1,WORKDAY($A688,-1,config_Holiday_Calendar_US),WORKDAY($A688,-1,config_Holiday_Calendar_US)),IF(ISNUMBER(_xll.BDH(config!$G$4,J$1,$A688,$A688)),_xll.BDH(config!$G$4,J$1,$A688,$A688),_xll.BDH(config!$G$5,J$1,$A688,$A688))))</f>
        <v/>
      </c>
      <c r="K688" s="8" t="str">
        <f>IF($A688="","",IF(ISNUMBER(FIND("IMPVOL",K$1)),_xll.BDH(config!$G$4,K$1,WORKDAY($A688,-1,config_Holiday_Calendar_US),WORKDAY($A688,-1,config_Holiday_Calendar_US)),IF(ISNUMBER(_xll.BDH(config!$G$4,K$1,$A688,$A688)),_xll.BDH(config!$G$4,K$1,$A688,$A688),_xll.BDH(config!$G$5,K$1,$A688,$A688))))</f>
        <v/>
      </c>
      <c r="L688" s="8" t="str">
        <f>IF($A688="","",IF(ISNUMBER(FIND("IMPVOL",L$1)),_xll.BDH(config!$G$4,L$1,WORKDAY($A688,-1,config_Holiday_Calendar_US),WORKDAY($A688,-1,config_Holiday_Calendar_US)),IF(ISNUMBER(_xll.BDH(config!$G$4,L$1,$A688,$A688)),_xll.BDH(config!$G$4,L$1,$A688,$A688),_xll.BDH(config!$G$5,L$1,$A688,$A688))))</f>
        <v/>
      </c>
      <c r="M688" s="8" t="str">
        <f>IF($A688="","",IF(ISNUMBER(FIND("IMPVOL",M$1)),_xll.BDH(config!$G$4,M$1,WORKDAY($A688,-1,config_Holiday_Calendar_US),WORKDAY($A688,-1,config_Holiday_Calendar_US)),IF(ISNUMBER(_xll.BDH(config!$G$4,M$1,$A688,$A688)),_xll.BDH(config!$G$4,M$1,$A688,$A688),_xll.BDH(config!$G$5,M$1,$A688,$A688))))</f>
        <v/>
      </c>
      <c r="N688" s="8" t="str">
        <f>IF($A688="","",IF(ISNUMBER(FIND("IMPVOL",N$1)),_xll.BDH(config!$G$4,N$1,WORKDAY($A688,-1,config_Holiday_Calendar_US),WORKDAY($A688,-1,config_Holiday_Calendar_US)),IF(ISNUMBER(_xll.BDH(config!$G$4,N$1,$A688,$A688)),_xll.BDH(config!$G$4,N$1,$A688,$A688),_xll.BDH(config!$G$5,N$1,$A688,$A688))))</f>
        <v/>
      </c>
      <c r="O688" s="8" t="str">
        <f>IF($A688="","",IF(ISNUMBER(FIND("IMPVOL",O$1)),_xll.BDH(config!$G$4,O$1,WORKDAY($A688,-1,config_Holiday_Calendar_US),WORKDAY($A688,-1,config_Holiday_Calendar_US)),IF(ISNUMBER(_xll.BDH(config!$G$4,O$1,$A688,$A688)),_xll.BDH(config!$G$4,O$1,$A688,$A688),_xll.BDH(config!$G$5,O$1,$A688,$A688))))</f>
        <v/>
      </c>
      <c r="P688" s="8" t="str">
        <f>IF($A688="","",IF(ISNUMBER(FIND("IMPVOL",P$1)),_xll.BDH(config!$G$4,P$1,WORKDAY($A688,-1,config_Holiday_Calendar_US),WORKDAY($A688,-1,config_Holiday_Calendar_US)),IF(ISNUMBER(_xll.BDH(config!$G$4,P$1,$A688,$A688)),_xll.BDH(config!$G$4,P$1,$A688,$A688),_xll.BDH(config!$G$5,P$1,$A688,$A688))))</f>
        <v/>
      </c>
      <c r="Q688" s="8" t="str">
        <f>IF($A688="","",IF(ISNUMBER(FIND("IMPVOL",Q$1)),_xll.BDH(config!$G$4,Q$1,WORKDAY($A688,-1,config_Holiday_Calendar_US),WORKDAY($A688,-1,config_Holiday_Calendar_US)),IF(ISNUMBER(_xll.BDH(config!$G$4,Q$1,$A688,$A688)),_xll.BDH(config!$G$4,Q$1,$A688,$A688),_xll.BDH(config!$G$5,Q$1,$A688,$A688))))</f>
        <v/>
      </c>
      <c r="R688" s="8" t="str">
        <f>IF($A688="","",IF(ISNUMBER(FIND("IMPVOL",R$1)),_xll.BDH(config!$G$4,R$1,WORKDAY($A688,-1,config_Holiday_Calendar_US),WORKDAY($A688,-1,config_Holiday_Calendar_US)),IF(ISNUMBER(_xll.BDH(config!$G$4,R$1,$A688,$A688)),_xll.BDH(config!$G$4,R$1,$A688,$A688),_xll.BDH(config!$G$5,R$1,$A688,$A688))))</f>
        <v/>
      </c>
      <c r="S688" s="8" t="str">
        <f>IF($A688="","",IF(ISNUMBER(FIND("IMPVOL",S$1)),_xll.BDH(config!$G$4,S$1,WORKDAY($A688,-1,config_Holiday_Calendar_US),WORKDAY($A688,-1,config_Holiday_Calendar_US)),IF(ISNUMBER(_xll.BDH(config!$G$4,S$1,$A688,$A688)),_xll.BDH(config!$G$4,S$1,$A688,$A688),_xll.BDH(config!$G$5,S$1,$A688,$A688))))</f>
        <v/>
      </c>
      <c r="T688" s="8" t="str">
        <f>IF($A688="","",IF(ISNUMBER(FIND("IMPVOL",T$1)),_xll.BDH(config!$G$4,T$1,WORKDAY($A688,-1,config_Holiday_Calendar_US),WORKDAY($A688,-1,config_Holiday_Calendar_US)),IF(ISNUMBER(_xll.BDH(config!$G$4,T$1,$A688,$A688)),_xll.BDH(config!$G$4,T$1,$A688,$A688),_xll.BDH(config!$G$5,T$1,$A688,$A688))))</f>
        <v/>
      </c>
      <c r="U688" s="8" t="str">
        <f>IF($A688="","",IF(ISNUMBER(FIND("IMPVOL",U$1)),_xll.BDH(config!$G$4,U$1,WORKDAY($A688,-1,config_Holiday_Calendar_US),WORKDAY($A688,-1,config_Holiday_Calendar_US)),IF(ISNUMBER(_xll.BDH(config!$G$4,U$1,$A688,$A688)),_xll.BDH(config!$G$4,U$1,$A688,$A688),_xll.BDH(config!$G$5,U$1,$A688,$A688))))</f>
        <v/>
      </c>
      <c r="V688" s="8" t="str">
        <f>IF($A688="","",IF(ISNUMBER(FIND("IMPVOL",V$1)),_xll.BDH(config!$G$4,V$1,WORKDAY($A688,-1,config_Holiday_Calendar_US),WORKDAY($A688,-1,config_Holiday_Calendar_US)),IF(ISNUMBER(_xll.BDH(config!$G$4,V$1,$A688,$A688)),_xll.BDH(config!$G$4,V$1,$A688,$A688),_xll.BDH(config!$G$5,V$1,$A688,$A688))))</f>
        <v/>
      </c>
      <c r="W688" s="8" t="str">
        <f>IF($A688="","",IF(ISNUMBER(FIND("IMPVOL",W$1)),_xll.BDH(config!$G$4,W$1,WORKDAY($A688,-1,config_Holiday_Calendar_US),WORKDAY($A688,-1,config_Holiday_Calendar_US)),IF(ISNUMBER(_xll.BDH(config!$G$4,W$1,$A688,$A688)),_xll.BDH(config!$G$4,W$1,$A688,$A688),_xll.BDH(config!$G$5,W$1,$A688,$A688))))</f>
        <v/>
      </c>
    </row>
    <row r="689" spans="1:23" x14ac:dyDescent="0.2">
      <c r="A689" s="9" t="str">
        <f>IF(A688="","",IF(WORKDAY(A688,-1,config_Holiday_Calendar_US)&lt;config!$I$10,"",WORKDAY(A688,-1,config_Holiday_Calendar_US)))</f>
        <v/>
      </c>
      <c r="B689" s="8" t="str">
        <f t="shared" si="10"/>
        <v/>
      </c>
      <c r="C689" s="8" t="str">
        <f>IF(A689="","",_xll.BDH(config!$H$4,C$1,$A689,$A689))</f>
        <v/>
      </c>
      <c r="D689" s="8" t="str">
        <f>IF($A689="","",_xll.BDH(config!$H$4,D$1,$A689,$A689))</f>
        <v/>
      </c>
      <c r="E689" s="8" t="str">
        <f>IF($A689="","",IF(ISNUMBER(FIND("IMPVOL",E$1)),_xll.BDH(config!$G$4,E$1,WORKDAY($A689,-1,config_Holiday_Calendar_US),WORKDAY($A689,-1,config_Holiday_Calendar_US)),IF(ISNUMBER(_xll.BDH(config!$G$4,E$1,$A689,$A689)),_xll.BDH(config!$G$4,E$1,$A689,$A689),_xll.BDH(config!$G$5,E$1,$A689,$A689))))</f>
        <v/>
      </c>
      <c r="F689" s="8" t="str">
        <f>IF($A689="","",IF(ISNUMBER(FIND("IMPVOL",F$1)),_xll.BDH(config!$G$4,F$1,WORKDAY($A689,-1,config_Holiday_Calendar_US),WORKDAY($A689,-1,config_Holiday_Calendar_US)),IF(ISNUMBER(_xll.BDH(config!$G$4,F$1,$A689,$A689)),_xll.BDH(config!$G$4,F$1,$A689,$A689),_xll.BDH(config!$G$5,F$1,$A689,$A689))))</f>
        <v/>
      </c>
      <c r="G689" s="8" t="str">
        <f>IF($A689="","",IF(ISNUMBER(FIND("IMPVOL",G$1)),_xll.BDH(config!$G$4,G$1,WORKDAY($A689,-1,config_Holiday_Calendar_US),WORKDAY($A689,-1,config_Holiday_Calendar_US)),IF(ISNUMBER(_xll.BDH(config!$G$4,G$1,$A689,$A689)),_xll.BDH(config!$G$4,G$1,$A689,$A689),_xll.BDH(config!$G$5,G$1,$A689,$A689))))</f>
        <v/>
      </c>
      <c r="H689" s="8" t="str">
        <f>IF($A689="","",IF(ISNUMBER(FIND("IMPVOL",H$1)),_xll.BDH(config!$G$4,H$1,WORKDAY($A689,-1,config_Holiday_Calendar_US),WORKDAY($A689,-1,config_Holiday_Calendar_US)),IF(ISNUMBER(_xll.BDH(config!$G$4,H$1,$A689,$A689)),_xll.BDH(config!$G$4,H$1,$A689,$A689),_xll.BDH(config!$G$5,H$1,$A689,$A689))))</f>
        <v/>
      </c>
      <c r="I689" s="8" t="str">
        <f>IF($A689="","",IF(ISNUMBER(FIND("IMPVOL",I$1)),_xll.BDH(config!$G$4,I$1,WORKDAY($A689,-1,config_Holiday_Calendar_US),WORKDAY($A689,-1,config_Holiday_Calendar_US)),IF(ISNUMBER(_xll.BDH(config!$G$4,I$1,$A689,$A689)),_xll.BDH(config!$G$4,I$1,$A689,$A689),_xll.BDH(config!$G$5,I$1,$A689,$A689))))</f>
        <v/>
      </c>
      <c r="J689" s="8" t="str">
        <f>IF($A689="","",IF(ISNUMBER(FIND("IMPVOL",J$1)),_xll.BDH(config!$G$4,J$1,WORKDAY($A689,-1,config_Holiday_Calendar_US),WORKDAY($A689,-1,config_Holiday_Calendar_US)),IF(ISNUMBER(_xll.BDH(config!$G$4,J$1,$A689,$A689)),_xll.BDH(config!$G$4,J$1,$A689,$A689),_xll.BDH(config!$G$5,J$1,$A689,$A689))))</f>
        <v/>
      </c>
      <c r="K689" s="8" t="str">
        <f>IF($A689="","",IF(ISNUMBER(FIND("IMPVOL",K$1)),_xll.BDH(config!$G$4,K$1,WORKDAY($A689,-1,config_Holiday_Calendar_US),WORKDAY($A689,-1,config_Holiday_Calendar_US)),IF(ISNUMBER(_xll.BDH(config!$G$4,K$1,$A689,$A689)),_xll.BDH(config!$G$4,K$1,$A689,$A689),_xll.BDH(config!$G$5,K$1,$A689,$A689))))</f>
        <v/>
      </c>
      <c r="L689" s="8" t="str">
        <f>IF($A689="","",IF(ISNUMBER(FIND("IMPVOL",L$1)),_xll.BDH(config!$G$4,L$1,WORKDAY($A689,-1,config_Holiday_Calendar_US),WORKDAY($A689,-1,config_Holiday_Calendar_US)),IF(ISNUMBER(_xll.BDH(config!$G$4,L$1,$A689,$A689)),_xll.BDH(config!$G$4,L$1,$A689,$A689),_xll.BDH(config!$G$5,L$1,$A689,$A689))))</f>
        <v/>
      </c>
      <c r="M689" s="8" t="str">
        <f>IF($A689="","",IF(ISNUMBER(FIND("IMPVOL",M$1)),_xll.BDH(config!$G$4,M$1,WORKDAY($A689,-1,config_Holiday_Calendar_US),WORKDAY($A689,-1,config_Holiday_Calendar_US)),IF(ISNUMBER(_xll.BDH(config!$G$4,M$1,$A689,$A689)),_xll.BDH(config!$G$4,M$1,$A689,$A689),_xll.BDH(config!$G$5,M$1,$A689,$A689))))</f>
        <v/>
      </c>
      <c r="N689" s="8" t="str">
        <f>IF($A689="","",IF(ISNUMBER(FIND("IMPVOL",N$1)),_xll.BDH(config!$G$4,N$1,WORKDAY($A689,-1,config_Holiday_Calendar_US),WORKDAY($A689,-1,config_Holiday_Calendar_US)),IF(ISNUMBER(_xll.BDH(config!$G$4,N$1,$A689,$A689)),_xll.BDH(config!$G$4,N$1,$A689,$A689),_xll.BDH(config!$G$5,N$1,$A689,$A689))))</f>
        <v/>
      </c>
      <c r="O689" s="8" t="str">
        <f>IF($A689="","",IF(ISNUMBER(FIND("IMPVOL",O$1)),_xll.BDH(config!$G$4,O$1,WORKDAY($A689,-1,config_Holiday_Calendar_US),WORKDAY($A689,-1,config_Holiday_Calendar_US)),IF(ISNUMBER(_xll.BDH(config!$G$4,O$1,$A689,$A689)),_xll.BDH(config!$G$4,O$1,$A689,$A689),_xll.BDH(config!$G$5,O$1,$A689,$A689))))</f>
        <v/>
      </c>
      <c r="P689" s="8" t="str">
        <f>IF($A689="","",IF(ISNUMBER(FIND("IMPVOL",P$1)),_xll.BDH(config!$G$4,P$1,WORKDAY($A689,-1,config_Holiday_Calendar_US),WORKDAY($A689,-1,config_Holiday_Calendar_US)),IF(ISNUMBER(_xll.BDH(config!$G$4,P$1,$A689,$A689)),_xll.BDH(config!$G$4,P$1,$A689,$A689),_xll.BDH(config!$G$5,P$1,$A689,$A689))))</f>
        <v/>
      </c>
      <c r="Q689" s="8" t="str">
        <f>IF($A689="","",IF(ISNUMBER(FIND("IMPVOL",Q$1)),_xll.BDH(config!$G$4,Q$1,WORKDAY($A689,-1,config_Holiday_Calendar_US),WORKDAY($A689,-1,config_Holiday_Calendar_US)),IF(ISNUMBER(_xll.BDH(config!$G$4,Q$1,$A689,$A689)),_xll.BDH(config!$G$4,Q$1,$A689,$A689),_xll.BDH(config!$G$5,Q$1,$A689,$A689))))</f>
        <v/>
      </c>
      <c r="R689" s="8" t="str">
        <f>IF($A689="","",IF(ISNUMBER(FIND("IMPVOL",R$1)),_xll.BDH(config!$G$4,R$1,WORKDAY($A689,-1,config_Holiday_Calendar_US),WORKDAY($A689,-1,config_Holiday_Calendar_US)),IF(ISNUMBER(_xll.BDH(config!$G$4,R$1,$A689,$A689)),_xll.BDH(config!$G$4,R$1,$A689,$A689),_xll.BDH(config!$G$5,R$1,$A689,$A689))))</f>
        <v/>
      </c>
      <c r="S689" s="8" t="str">
        <f>IF($A689="","",IF(ISNUMBER(FIND("IMPVOL",S$1)),_xll.BDH(config!$G$4,S$1,WORKDAY($A689,-1,config_Holiday_Calendar_US),WORKDAY($A689,-1,config_Holiday_Calendar_US)),IF(ISNUMBER(_xll.BDH(config!$G$4,S$1,$A689,$A689)),_xll.BDH(config!$G$4,S$1,$A689,$A689),_xll.BDH(config!$G$5,S$1,$A689,$A689))))</f>
        <v/>
      </c>
      <c r="T689" s="8" t="str">
        <f>IF($A689="","",IF(ISNUMBER(FIND("IMPVOL",T$1)),_xll.BDH(config!$G$4,T$1,WORKDAY($A689,-1,config_Holiday_Calendar_US),WORKDAY($A689,-1,config_Holiday_Calendar_US)),IF(ISNUMBER(_xll.BDH(config!$G$4,T$1,$A689,$A689)),_xll.BDH(config!$G$4,T$1,$A689,$A689),_xll.BDH(config!$G$5,T$1,$A689,$A689))))</f>
        <v/>
      </c>
      <c r="U689" s="8" t="str">
        <f>IF($A689="","",IF(ISNUMBER(FIND("IMPVOL",U$1)),_xll.BDH(config!$G$4,U$1,WORKDAY($A689,-1,config_Holiday_Calendar_US),WORKDAY($A689,-1,config_Holiday_Calendar_US)),IF(ISNUMBER(_xll.BDH(config!$G$4,U$1,$A689,$A689)),_xll.BDH(config!$G$4,U$1,$A689,$A689),_xll.BDH(config!$G$5,U$1,$A689,$A689))))</f>
        <v/>
      </c>
      <c r="V689" s="8" t="str">
        <f>IF($A689="","",IF(ISNUMBER(FIND("IMPVOL",V$1)),_xll.BDH(config!$G$4,V$1,WORKDAY($A689,-1,config_Holiday_Calendar_US),WORKDAY($A689,-1,config_Holiday_Calendar_US)),IF(ISNUMBER(_xll.BDH(config!$G$4,V$1,$A689,$A689)),_xll.BDH(config!$G$4,V$1,$A689,$A689),_xll.BDH(config!$G$5,V$1,$A689,$A689))))</f>
        <v/>
      </c>
      <c r="W689" s="8" t="str">
        <f>IF($A689="","",IF(ISNUMBER(FIND("IMPVOL",W$1)),_xll.BDH(config!$G$4,W$1,WORKDAY($A689,-1,config_Holiday_Calendar_US),WORKDAY($A689,-1,config_Holiday_Calendar_US)),IF(ISNUMBER(_xll.BDH(config!$G$4,W$1,$A689,$A689)),_xll.BDH(config!$G$4,W$1,$A689,$A689),_xll.BDH(config!$G$5,W$1,$A689,$A689))))</f>
        <v/>
      </c>
    </row>
    <row r="690" spans="1:23" x14ac:dyDescent="0.2">
      <c r="A690" s="9" t="str">
        <f>IF(A689="","",IF(WORKDAY(A689,-1,config_Holiday_Calendar_US)&lt;config!$I$10,"",WORKDAY(A689,-1,config_Holiday_Calendar_US)))</f>
        <v/>
      </c>
      <c r="B690" s="8" t="str">
        <f t="shared" si="10"/>
        <v/>
      </c>
      <c r="C690" s="8" t="str">
        <f>IF(A690="","",_xll.BDH(config!$H$4,C$1,$A690,$A690))</f>
        <v/>
      </c>
      <c r="D690" s="8" t="str">
        <f>IF($A690="","",_xll.BDH(config!$H$4,D$1,$A690,$A690))</f>
        <v/>
      </c>
      <c r="E690" s="8" t="str">
        <f>IF($A690="","",IF(ISNUMBER(FIND("IMPVOL",E$1)),_xll.BDH(config!$G$4,E$1,WORKDAY($A690,-1,config_Holiday_Calendar_US),WORKDAY($A690,-1,config_Holiday_Calendar_US)),IF(ISNUMBER(_xll.BDH(config!$G$4,E$1,$A690,$A690)),_xll.BDH(config!$G$4,E$1,$A690,$A690),_xll.BDH(config!$G$5,E$1,$A690,$A690))))</f>
        <v/>
      </c>
      <c r="F690" s="8" t="str">
        <f>IF($A690="","",IF(ISNUMBER(FIND("IMPVOL",F$1)),_xll.BDH(config!$G$4,F$1,WORKDAY($A690,-1,config_Holiday_Calendar_US),WORKDAY($A690,-1,config_Holiday_Calendar_US)),IF(ISNUMBER(_xll.BDH(config!$G$4,F$1,$A690,$A690)),_xll.BDH(config!$G$4,F$1,$A690,$A690),_xll.BDH(config!$G$5,F$1,$A690,$A690))))</f>
        <v/>
      </c>
      <c r="G690" s="8" t="str">
        <f>IF($A690="","",IF(ISNUMBER(FIND("IMPVOL",G$1)),_xll.BDH(config!$G$4,G$1,WORKDAY($A690,-1,config_Holiday_Calendar_US),WORKDAY($A690,-1,config_Holiday_Calendar_US)),IF(ISNUMBER(_xll.BDH(config!$G$4,G$1,$A690,$A690)),_xll.BDH(config!$G$4,G$1,$A690,$A690),_xll.BDH(config!$G$5,G$1,$A690,$A690))))</f>
        <v/>
      </c>
      <c r="H690" s="8" t="str">
        <f>IF($A690="","",IF(ISNUMBER(FIND("IMPVOL",H$1)),_xll.BDH(config!$G$4,H$1,WORKDAY($A690,-1,config_Holiday_Calendar_US),WORKDAY($A690,-1,config_Holiday_Calendar_US)),IF(ISNUMBER(_xll.BDH(config!$G$4,H$1,$A690,$A690)),_xll.BDH(config!$G$4,H$1,$A690,$A690),_xll.BDH(config!$G$5,H$1,$A690,$A690))))</f>
        <v/>
      </c>
      <c r="I690" s="8" t="str">
        <f>IF($A690="","",IF(ISNUMBER(FIND("IMPVOL",I$1)),_xll.BDH(config!$G$4,I$1,WORKDAY($A690,-1,config_Holiday_Calendar_US),WORKDAY($A690,-1,config_Holiday_Calendar_US)),IF(ISNUMBER(_xll.BDH(config!$G$4,I$1,$A690,$A690)),_xll.BDH(config!$G$4,I$1,$A690,$A690),_xll.BDH(config!$G$5,I$1,$A690,$A690))))</f>
        <v/>
      </c>
      <c r="J690" s="8" t="str">
        <f>IF($A690="","",IF(ISNUMBER(FIND("IMPVOL",J$1)),_xll.BDH(config!$G$4,J$1,WORKDAY($A690,-1,config_Holiday_Calendar_US),WORKDAY($A690,-1,config_Holiday_Calendar_US)),IF(ISNUMBER(_xll.BDH(config!$G$4,J$1,$A690,$A690)),_xll.BDH(config!$G$4,J$1,$A690,$A690),_xll.BDH(config!$G$5,J$1,$A690,$A690))))</f>
        <v/>
      </c>
      <c r="K690" s="8" t="str">
        <f>IF($A690="","",IF(ISNUMBER(FIND("IMPVOL",K$1)),_xll.BDH(config!$G$4,K$1,WORKDAY($A690,-1,config_Holiday_Calendar_US),WORKDAY($A690,-1,config_Holiday_Calendar_US)),IF(ISNUMBER(_xll.BDH(config!$G$4,K$1,$A690,$A690)),_xll.BDH(config!$G$4,K$1,$A690,$A690),_xll.BDH(config!$G$5,K$1,$A690,$A690))))</f>
        <v/>
      </c>
      <c r="L690" s="8" t="str">
        <f>IF($A690="","",IF(ISNUMBER(FIND("IMPVOL",L$1)),_xll.BDH(config!$G$4,L$1,WORKDAY($A690,-1,config_Holiday_Calendar_US),WORKDAY($A690,-1,config_Holiday_Calendar_US)),IF(ISNUMBER(_xll.BDH(config!$G$4,L$1,$A690,$A690)),_xll.BDH(config!$G$4,L$1,$A690,$A690),_xll.BDH(config!$G$5,L$1,$A690,$A690))))</f>
        <v/>
      </c>
      <c r="M690" s="8" t="str">
        <f>IF($A690="","",IF(ISNUMBER(FIND("IMPVOL",M$1)),_xll.BDH(config!$G$4,M$1,WORKDAY($A690,-1,config_Holiday_Calendar_US),WORKDAY($A690,-1,config_Holiday_Calendar_US)),IF(ISNUMBER(_xll.BDH(config!$G$4,M$1,$A690,$A690)),_xll.BDH(config!$G$4,M$1,$A690,$A690),_xll.BDH(config!$G$5,M$1,$A690,$A690))))</f>
        <v/>
      </c>
      <c r="N690" s="8" t="str">
        <f>IF($A690="","",IF(ISNUMBER(FIND("IMPVOL",N$1)),_xll.BDH(config!$G$4,N$1,WORKDAY($A690,-1,config_Holiday_Calendar_US),WORKDAY($A690,-1,config_Holiday_Calendar_US)),IF(ISNUMBER(_xll.BDH(config!$G$4,N$1,$A690,$A690)),_xll.BDH(config!$G$4,N$1,$A690,$A690),_xll.BDH(config!$G$5,N$1,$A690,$A690))))</f>
        <v/>
      </c>
      <c r="O690" s="8" t="str">
        <f>IF($A690="","",IF(ISNUMBER(FIND("IMPVOL",O$1)),_xll.BDH(config!$G$4,O$1,WORKDAY($A690,-1,config_Holiday_Calendar_US),WORKDAY($A690,-1,config_Holiday_Calendar_US)),IF(ISNUMBER(_xll.BDH(config!$G$4,O$1,$A690,$A690)),_xll.BDH(config!$G$4,O$1,$A690,$A690),_xll.BDH(config!$G$5,O$1,$A690,$A690))))</f>
        <v/>
      </c>
      <c r="P690" s="8" t="str">
        <f>IF($A690="","",IF(ISNUMBER(FIND("IMPVOL",P$1)),_xll.BDH(config!$G$4,P$1,WORKDAY($A690,-1,config_Holiday_Calendar_US),WORKDAY($A690,-1,config_Holiday_Calendar_US)),IF(ISNUMBER(_xll.BDH(config!$G$4,P$1,$A690,$A690)),_xll.BDH(config!$G$4,P$1,$A690,$A690),_xll.BDH(config!$G$5,P$1,$A690,$A690))))</f>
        <v/>
      </c>
      <c r="Q690" s="8" t="str">
        <f>IF($A690="","",IF(ISNUMBER(FIND("IMPVOL",Q$1)),_xll.BDH(config!$G$4,Q$1,WORKDAY($A690,-1,config_Holiday_Calendar_US),WORKDAY($A690,-1,config_Holiday_Calendar_US)),IF(ISNUMBER(_xll.BDH(config!$G$4,Q$1,$A690,$A690)),_xll.BDH(config!$G$4,Q$1,$A690,$A690),_xll.BDH(config!$G$5,Q$1,$A690,$A690))))</f>
        <v/>
      </c>
      <c r="R690" s="8" t="str">
        <f>IF($A690="","",IF(ISNUMBER(FIND("IMPVOL",R$1)),_xll.BDH(config!$G$4,R$1,WORKDAY($A690,-1,config_Holiday_Calendar_US),WORKDAY($A690,-1,config_Holiday_Calendar_US)),IF(ISNUMBER(_xll.BDH(config!$G$4,R$1,$A690,$A690)),_xll.BDH(config!$G$4,R$1,$A690,$A690),_xll.BDH(config!$G$5,R$1,$A690,$A690))))</f>
        <v/>
      </c>
      <c r="S690" s="8" t="str">
        <f>IF($A690="","",IF(ISNUMBER(FIND("IMPVOL",S$1)),_xll.BDH(config!$G$4,S$1,WORKDAY($A690,-1,config_Holiday_Calendar_US),WORKDAY($A690,-1,config_Holiday_Calendar_US)),IF(ISNUMBER(_xll.BDH(config!$G$4,S$1,$A690,$A690)),_xll.BDH(config!$G$4,S$1,$A690,$A690),_xll.BDH(config!$G$5,S$1,$A690,$A690))))</f>
        <v/>
      </c>
      <c r="T690" s="8" t="str">
        <f>IF($A690="","",IF(ISNUMBER(FIND("IMPVOL",T$1)),_xll.BDH(config!$G$4,T$1,WORKDAY($A690,-1,config_Holiday_Calendar_US),WORKDAY($A690,-1,config_Holiday_Calendar_US)),IF(ISNUMBER(_xll.BDH(config!$G$4,T$1,$A690,$A690)),_xll.BDH(config!$G$4,T$1,$A690,$A690),_xll.BDH(config!$G$5,T$1,$A690,$A690))))</f>
        <v/>
      </c>
      <c r="U690" s="8" t="str">
        <f>IF($A690="","",IF(ISNUMBER(FIND("IMPVOL",U$1)),_xll.BDH(config!$G$4,U$1,WORKDAY($A690,-1,config_Holiday_Calendar_US),WORKDAY($A690,-1,config_Holiday_Calendar_US)),IF(ISNUMBER(_xll.BDH(config!$G$4,U$1,$A690,$A690)),_xll.BDH(config!$G$4,U$1,$A690,$A690),_xll.BDH(config!$G$5,U$1,$A690,$A690))))</f>
        <v/>
      </c>
      <c r="V690" s="8" t="str">
        <f>IF($A690="","",IF(ISNUMBER(FIND("IMPVOL",V$1)),_xll.BDH(config!$G$4,V$1,WORKDAY($A690,-1,config_Holiday_Calendar_US),WORKDAY($A690,-1,config_Holiday_Calendar_US)),IF(ISNUMBER(_xll.BDH(config!$G$4,V$1,$A690,$A690)),_xll.BDH(config!$G$4,V$1,$A690,$A690),_xll.BDH(config!$G$5,V$1,$A690,$A690))))</f>
        <v/>
      </c>
      <c r="W690" s="8" t="str">
        <f>IF($A690="","",IF(ISNUMBER(FIND("IMPVOL",W$1)),_xll.BDH(config!$G$4,W$1,WORKDAY($A690,-1,config_Holiday_Calendar_US),WORKDAY($A690,-1,config_Holiday_Calendar_US)),IF(ISNUMBER(_xll.BDH(config!$G$4,W$1,$A690,$A690)),_xll.BDH(config!$G$4,W$1,$A690,$A690),_xll.BDH(config!$G$5,W$1,$A690,$A690))))</f>
        <v/>
      </c>
    </row>
    <row r="691" spans="1:23" x14ac:dyDescent="0.2">
      <c r="A691" s="9" t="str">
        <f>IF(A690="","",IF(WORKDAY(A690,-1,config_Holiday_Calendar_US)&lt;config!$I$10,"",WORKDAY(A690,-1,config_Holiday_Calendar_US)))</f>
        <v/>
      </c>
      <c r="B691" s="8" t="str">
        <f t="shared" si="10"/>
        <v/>
      </c>
      <c r="C691" s="8" t="str">
        <f>IF(A691="","",_xll.BDH(config!$H$4,C$1,$A691,$A691))</f>
        <v/>
      </c>
      <c r="D691" s="8" t="str">
        <f>IF($A691="","",_xll.BDH(config!$H$4,D$1,$A691,$A691))</f>
        <v/>
      </c>
      <c r="E691" s="8" t="str">
        <f>IF($A691="","",IF(ISNUMBER(FIND("IMPVOL",E$1)),_xll.BDH(config!$G$4,E$1,WORKDAY($A691,-1,config_Holiday_Calendar_US),WORKDAY($A691,-1,config_Holiday_Calendar_US)),IF(ISNUMBER(_xll.BDH(config!$G$4,E$1,$A691,$A691)),_xll.BDH(config!$G$4,E$1,$A691,$A691),_xll.BDH(config!$G$5,E$1,$A691,$A691))))</f>
        <v/>
      </c>
      <c r="F691" s="8" t="str">
        <f>IF($A691="","",IF(ISNUMBER(FIND("IMPVOL",F$1)),_xll.BDH(config!$G$4,F$1,WORKDAY($A691,-1,config_Holiday_Calendar_US),WORKDAY($A691,-1,config_Holiday_Calendar_US)),IF(ISNUMBER(_xll.BDH(config!$G$4,F$1,$A691,$A691)),_xll.BDH(config!$G$4,F$1,$A691,$A691),_xll.BDH(config!$G$5,F$1,$A691,$A691))))</f>
        <v/>
      </c>
      <c r="G691" s="8" t="str">
        <f>IF($A691="","",IF(ISNUMBER(FIND("IMPVOL",G$1)),_xll.BDH(config!$G$4,G$1,WORKDAY($A691,-1,config_Holiday_Calendar_US),WORKDAY($A691,-1,config_Holiday_Calendar_US)),IF(ISNUMBER(_xll.BDH(config!$G$4,G$1,$A691,$A691)),_xll.BDH(config!$G$4,G$1,$A691,$A691),_xll.BDH(config!$G$5,G$1,$A691,$A691))))</f>
        <v/>
      </c>
      <c r="H691" s="8" t="str">
        <f>IF($A691="","",IF(ISNUMBER(FIND("IMPVOL",H$1)),_xll.BDH(config!$G$4,H$1,WORKDAY($A691,-1,config_Holiday_Calendar_US),WORKDAY($A691,-1,config_Holiday_Calendar_US)),IF(ISNUMBER(_xll.BDH(config!$G$4,H$1,$A691,$A691)),_xll.BDH(config!$G$4,H$1,$A691,$A691),_xll.BDH(config!$G$5,H$1,$A691,$A691))))</f>
        <v/>
      </c>
      <c r="I691" s="8" t="str">
        <f>IF($A691="","",IF(ISNUMBER(FIND("IMPVOL",I$1)),_xll.BDH(config!$G$4,I$1,WORKDAY($A691,-1,config_Holiday_Calendar_US),WORKDAY($A691,-1,config_Holiday_Calendar_US)),IF(ISNUMBER(_xll.BDH(config!$G$4,I$1,$A691,$A691)),_xll.BDH(config!$G$4,I$1,$A691,$A691),_xll.BDH(config!$G$5,I$1,$A691,$A691))))</f>
        <v/>
      </c>
      <c r="J691" s="8" t="str">
        <f>IF($A691="","",IF(ISNUMBER(FIND("IMPVOL",J$1)),_xll.BDH(config!$G$4,J$1,WORKDAY($A691,-1,config_Holiday_Calendar_US),WORKDAY($A691,-1,config_Holiday_Calendar_US)),IF(ISNUMBER(_xll.BDH(config!$G$4,J$1,$A691,$A691)),_xll.BDH(config!$G$4,J$1,$A691,$A691),_xll.BDH(config!$G$5,J$1,$A691,$A691))))</f>
        <v/>
      </c>
      <c r="K691" s="8" t="str">
        <f>IF($A691="","",IF(ISNUMBER(FIND("IMPVOL",K$1)),_xll.BDH(config!$G$4,K$1,WORKDAY($A691,-1,config_Holiday_Calendar_US),WORKDAY($A691,-1,config_Holiday_Calendar_US)),IF(ISNUMBER(_xll.BDH(config!$G$4,K$1,$A691,$A691)),_xll.BDH(config!$G$4,K$1,$A691,$A691),_xll.BDH(config!$G$5,K$1,$A691,$A691))))</f>
        <v/>
      </c>
      <c r="L691" s="8" t="str">
        <f>IF($A691="","",IF(ISNUMBER(FIND("IMPVOL",L$1)),_xll.BDH(config!$G$4,L$1,WORKDAY($A691,-1,config_Holiday_Calendar_US),WORKDAY($A691,-1,config_Holiday_Calendar_US)),IF(ISNUMBER(_xll.BDH(config!$G$4,L$1,$A691,$A691)),_xll.BDH(config!$G$4,L$1,$A691,$A691),_xll.BDH(config!$G$5,L$1,$A691,$A691))))</f>
        <v/>
      </c>
      <c r="M691" s="8" t="str">
        <f>IF($A691="","",IF(ISNUMBER(FIND("IMPVOL",M$1)),_xll.BDH(config!$G$4,M$1,WORKDAY($A691,-1,config_Holiday_Calendar_US),WORKDAY($A691,-1,config_Holiday_Calendar_US)),IF(ISNUMBER(_xll.BDH(config!$G$4,M$1,$A691,$A691)),_xll.BDH(config!$G$4,M$1,$A691,$A691),_xll.BDH(config!$G$5,M$1,$A691,$A691))))</f>
        <v/>
      </c>
      <c r="N691" s="8" t="str">
        <f>IF($A691="","",IF(ISNUMBER(FIND("IMPVOL",N$1)),_xll.BDH(config!$G$4,N$1,WORKDAY($A691,-1,config_Holiday_Calendar_US),WORKDAY($A691,-1,config_Holiday_Calendar_US)),IF(ISNUMBER(_xll.BDH(config!$G$4,N$1,$A691,$A691)),_xll.BDH(config!$G$4,N$1,$A691,$A691),_xll.BDH(config!$G$5,N$1,$A691,$A691))))</f>
        <v/>
      </c>
      <c r="O691" s="8" t="str">
        <f>IF($A691="","",IF(ISNUMBER(FIND("IMPVOL",O$1)),_xll.BDH(config!$G$4,O$1,WORKDAY($A691,-1,config_Holiday_Calendar_US),WORKDAY($A691,-1,config_Holiday_Calendar_US)),IF(ISNUMBER(_xll.BDH(config!$G$4,O$1,$A691,$A691)),_xll.BDH(config!$G$4,O$1,$A691,$A691),_xll.BDH(config!$G$5,O$1,$A691,$A691))))</f>
        <v/>
      </c>
      <c r="P691" s="8" t="str">
        <f>IF($A691="","",IF(ISNUMBER(FIND("IMPVOL",P$1)),_xll.BDH(config!$G$4,P$1,WORKDAY($A691,-1,config_Holiday_Calendar_US),WORKDAY($A691,-1,config_Holiday_Calendar_US)),IF(ISNUMBER(_xll.BDH(config!$G$4,P$1,$A691,$A691)),_xll.BDH(config!$G$4,P$1,$A691,$A691),_xll.BDH(config!$G$5,P$1,$A691,$A691))))</f>
        <v/>
      </c>
      <c r="Q691" s="8" t="str">
        <f>IF($A691="","",IF(ISNUMBER(FIND("IMPVOL",Q$1)),_xll.BDH(config!$G$4,Q$1,WORKDAY($A691,-1,config_Holiday_Calendar_US),WORKDAY($A691,-1,config_Holiday_Calendar_US)),IF(ISNUMBER(_xll.BDH(config!$G$4,Q$1,$A691,$A691)),_xll.BDH(config!$G$4,Q$1,$A691,$A691),_xll.BDH(config!$G$5,Q$1,$A691,$A691))))</f>
        <v/>
      </c>
      <c r="R691" s="8" t="str">
        <f>IF($A691="","",IF(ISNUMBER(FIND("IMPVOL",R$1)),_xll.BDH(config!$G$4,R$1,WORKDAY($A691,-1,config_Holiday_Calendar_US),WORKDAY($A691,-1,config_Holiday_Calendar_US)),IF(ISNUMBER(_xll.BDH(config!$G$4,R$1,$A691,$A691)),_xll.BDH(config!$G$4,R$1,$A691,$A691),_xll.BDH(config!$G$5,R$1,$A691,$A691))))</f>
        <v/>
      </c>
      <c r="S691" s="8" t="str">
        <f>IF($A691="","",IF(ISNUMBER(FIND("IMPVOL",S$1)),_xll.BDH(config!$G$4,S$1,WORKDAY($A691,-1,config_Holiday_Calendar_US),WORKDAY($A691,-1,config_Holiday_Calendar_US)),IF(ISNUMBER(_xll.BDH(config!$G$4,S$1,$A691,$A691)),_xll.BDH(config!$G$4,S$1,$A691,$A691),_xll.BDH(config!$G$5,S$1,$A691,$A691))))</f>
        <v/>
      </c>
      <c r="T691" s="8" t="str">
        <f>IF($A691="","",IF(ISNUMBER(FIND("IMPVOL",T$1)),_xll.BDH(config!$G$4,T$1,WORKDAY($A691,-1,config_Holiday_Calendar_US),WORKDAY($A691,-1,config_Holiday_Calendar_US)),IF(ISNUMBER(_xll.BDH(config!$G$4,T$1,$A691,$A691)),_xll.BDH(config!$G$4,T$1,$A691,$A691),_xll.BDH(config!$G$5,T$1,$A691,$A691))))</f>
        <v/>
      </c>
      <c r="U691" s="8" t="str">
        <f>IF($A691="","",IF(ISNUMBER(FIND("IMPVOL",U$1)),_xll.BDH(config!$G$4,U$1,WORKDAY($A691,-1,config_Holiday_Calendar_US),WORKDAY($A691,-1,config_Holiday_Calendar_US)),IF(ISNUMBER(_xll.BDH(config!$G$4,U$1,$A691,$A691)),_xll.BDH(config!$G$4,U$1,$A691,$A691),_xll.BDH(config!$G$5,U$1,$A691,$A691))))</f>
        <v/>
      </c>
      <c r="V691" s="8" t="str">
        <f>IF($A691="","",IF(ISNUMBER(FIND("IMPVOL",V$1)),_xll.BDH(config!$G$4,V$1,WORKDAY($A691,-1,config_Holiday_Calendar_US),WORKDAY($A691,-1,config_Holiday_Calendar_US)),IF(ISNUMBER(_xll.BDH(config!$G$4,V$1,$A691,$A691)),_xll.BDH(config!$G$4,V$1,$A691,$A691),_xll.BDH(config!$G$5,V$1,$A691,$A691))))</f>
        <v/>
      </c>
      <c r="W691" s="8" t="str">
        <f>IF($A691="","",IF(ISNUMBER(FIND("IMPVOL",W$1)),_xll.BDH(config!$G$4,W$1,WORKDAY($A691,-1,config_Holiday_Calendar_US),WORKDAY($A691,-1,config_Holiday_Calendar_US)),IF(ISNUMBER(_xll.BDH(config!$G$4,W$1,$A691,$A691)),_xll.BDH(config!$G$4,W$1,$A691,$A691),_xll.BDH(config!$G$5,W$1,$A691,$A691))))</f>
        <v/>
      </c>
    </row>
    <row r="692" spans="1:23" x14ac:dyDescent="0.2">
      <c r="A692" s="9" t="str">
        <f>IF(A691="","",IF(WORKDAY(A691,-1,config_Holiday_Calendar_US)&lt;config!$I$10,"",WORKDAY(A691,-1,config_Holiday_Calendar_US)))</f>
        <v/>
      </c>
      <c r="B692" s="8" t="str">
        <f t="shared" si="10"/>
        <v/>
      </c>
      <c r="C692" s="8" t="str">
        <f>IF(A692="","",_xll.BDH(config!$H$4,C$1,$A692,$A692))</f>
        <v/>
      </c>
      <c r="D692" s="8" t="str">
        <f>IF($A692="","",_xll.BDH(config!$H$4,D$1,$A692,$A692))</f>
        <v/>
      </c>
      <c r="E692" s="8" t="str">
        <f>IF($A692="","",IF(ISNUMBER(FIND("IMPVOL",E$1)),_xll.BDH(config!$G$4,E$1,WORKDAY($A692,-1,config_Holiday_Calendar_US),WORKDAY($A692,-1,config_Holiday_Calendar_US)),IF(ISNUMBER(_xll.BDH(config!$G$4,E$1,$A692,$A692)),_xll.BDH(config!$G$4,E$1,$A692,$A692),_xll.BDH(config!$G$5,E$1,$A692,$A692))))</f>
        <v/>
      </c>
      <c r="F692" s="8" t="str">
        <f>IF($A692="","",IF(ISNUMBER(FIND("IMPVOL",F$1)),_xll.BDH(config!$G$4,F$1,WORKDAY($A692,-1,config_Holiday_Calendar_US),WORKDAY($A692,-1,config_Holiday_Calendar_US)),IF(ISNUMBER(_xll.BDH(config!$G$4,F$1,$A692,$A692)),_xll.BDH(config!$G$4,F$1,$A692,$A692),_xll.BDH(config!$G$5,F$1,$A692,$A692))))</f>
        <v/>
      </c>
      <c r="G692" s="8" t="str">
        <f>IF($A692="","",IF(ISNUMBER(FIND("IMPVOL",G$1)),_xll.BDH(config!$G$4,G$1,WORKDAY($A692,-1,config_Holiday_Calendar_US),WORKDAY($A692,-1,config_Holiday_Calendar_US)),IF(ISNUMBER(_xll.BDH(config!$G$4,G$1,$A692,$A692)),_xll.BDH(config!$G$4,G$1,$A692,$A692),_xll.BDH(config!$G$5,G$1,$A692,$A692))))</f>
        <v/>
      </c>
      <c r="H692" s="8" t="str">
        <f>IF($A692="","",IF(ISNUMBER(FIND("IMPVOL",H$1)),_xll.BDH(config!$G$4,H$1,WORKDAY($A692,-1,config_Holiday_Calendar_US),WORKDAY($A692,-1,config_Holiday_Calendar_US)),IF(ISNUMBER(_xll.BDH(config!$G$4,H$1,$A692,$A692)),_xll.BDH(config!$G$4,H$1,$A692,$A692),_xll.BDH(config!$G$5,H$1,$A692,$A692))))</f>
        <v/>
      </c>
      <c r="I692" s="8" t="str">
        <f>IF($A692="","",IF(ISNUMBER(FIND("IMPVOL",I$1)),_xll.BDH(config!$G$4,I$1,WORKDAY($A692,-1,config_Holiday_Calendar_US),WORKDAY($A692,-1,config_Holiday_Calendar_US)),IF(ISNUMBER(_xll.BDH(config!$G$4,I$1,$A692,$A692)),_xll.BDH(config!$G$4,I$1,$A692,$A692),_xll.BDH(config!$G$5,I$1,$A692,$A692))))</f>
        <v/>
      </c>
      <c r="J692" s="8" t="str">
        <f>IF($A692="","",IF(ISNUMBER(FIND("IMPVOL",J$1)),_xll.BDH(config!$G$4,J$1,WORKDAY($A692,-1,config_Holiday_Calendar_US),WORKDAY($A692,-1,config_Holiday_Calendar_US)),IF(ISNUMBER(_xll.BDH(config!$G$4,J$1,$A692,$A692)),_xll.BDH(config!$G$4,J$1,$A692,$A692),_xll.BDH(config!$G$5,J$1,$A692,$A692))))</f>
        <v/>
      </c>
      <c r="K692" s="8" t="str">
        <f>IF($A692="","",IF(ISNUMBER(FIND("IMPVOL",K$1)),_xll.BDH(config!$G$4,K$1,WORKDAY($A692,-1,config_Holiday_Calendar_US),WORKDAY($A692,-1,config_Holiday_Calendar_US)),IF(ISNUMBER(_xll.BDH(config!$G$4,K$1,$A692,$A692)),_xll.BDH(config!$G$4,K$1,$A692,$A692),_xll.BDH(config!$G$5,K$1,$A692,$A692))))</f>
        <v/>
      </c>
      <c r="L692" s="8" t="str">
        <f>IF($A692="","",IF(ISNUMBER(FIND("IMPVOL",L$1)),_xll.BDH(config!$G$4,L$1,WORKDAY($A692,-1,config_Holiday_Calendar_US),WORKDAY($A692,-1,config_Holiday_Calendar_US)),IF(ISNUMBER(_xll.BDH(config!$G$4,L$1,$A692,$A692)),_xll.BDH(config!$G$4,L$1,$A692,$A692),_xll.BDH(config!$G$5,L$1,$A692,$A692))))</f>
        <v/>
      </c>
      <c r="M692" s="8" t="str">
        <f>IF($A692="","",IF(ISNUMBER(FIND("IMPVOL",M$1)),_xll.BDH(config!$G$4,M$1,WORKDAY($A692,-1,config_Holiday_Calendar_US),WORKDAY($A692,-1,config_Holiday_Calendar_US)),IF(ISNUMBER(_xll.BDH(config!$G$4,M$1,$A692,$A692)),_xll.BDH(config!$G$4,M$1,$A692,$A692),_xll.BDH(config!$G$5,M$1,$A692,$A692))))</f>
        <v/>
      </c>
      <c r="N692" s="8" t="str">
        <f>IF($A692="","",IF(ISNUMBER(FIND("IMPVOL",N$1)),_xll.BDH(config!$G$4,N$1,WORKDAY($A692,-1,config_Holiday_Calendar_US),WORKDAY($A692,-1,config_Holiday_Calendar_US)),IF(ISNUMBER(_xll.BDH(config!$G$4,N$1,$A692,$A692)),_xll.BDH(config!$G$4,N$1,$A692,$A692),_xll.BDH(config!$G$5,N$1,$A692,$A692))))</f>
        <v/>
      </c>
      <c r="O692" s="8" t="str">
        <f>IF($A692="","",IF(ISNUMBER(FIND("IMPVOL",O$1)),_xll.BDH(config!$G$4,O$1,WORKDAY($A692,-1,config_Holiday_Calendar_US),WORKDAY($A692,-1,config_Holiday_Calendar_US)),IF(ISNUMBER(_xll.BDH(config!$G$4,O$1,$A692,$A692)),_xll.BDH(config!$G$4,O$1,$A692,$A692),_xll.BDH(config!$G$5,O$1,$A692,$A692))))</f>
        <v/>
      </c>
      <c r="P692" s="8" t="str">
        <f>IF($A692="","",IF(ISNUMBER(FIND("IMPVOL",P$1)),_xll.BDH(config!$G$4,P$1,WORKDAY($A692,-1,config_Holiday_Calendar_US),WORKDAY($A692,-1,config_Holiday_Calendar_US)),IF(ISNUMBER(_xll.BDH(config!$G$4,P$1,$A692,$A692)),_xll.BDH(config!$G$4,P$1,$A692,$A692),_xll.BDH(config!$G$5,P$1,$A692,$A692))))</f>
        <v/>
      </c>
      <c r="Q692" s="8" t="str">
        <f>IF($A692="","",IF(ISNUMBER(FIND("IMPVOL",Q$1)),_xll.BDH(config!$G$4,Q$1,WORKDAY($A692,-1,config_Holiday_Calendar_US),WORKDAY($A692,-1,config_Holiday_Calendar_US)),IF(ISNUMBER(_xll.BDH(config!$G$4,Q$1,$A692,$A692)),_xll.BDH(config!$G$4,Q$1,$A692,$A692),_xll.BDH(config!$G$5,Q$1,$A692,$A692))))</f>
        <v/>
      </c>
      <c r="R692" s="8" t="str">
        <f>IF($A692="","",IF(ISNUMBER(FIND("IMPVOL",R$1)),_xll.BDH(config!$G$4,R$1,WORKDAY($A692,-1,config_Holiday_Calendar_US),WORKDAY($A692,-1,config_Holiday_Calendar_US)),IF(ISNUMBER(_xll.BDH(config!$G$4,R$1,$A692,$A692)),_xll.BDH(config!$G$4,R$1,$A692,$A692),_xll.BDH(config!$G$5,R$1,$A692,$A692))))</f>
        <v/>
      </c>
      <c r="S692" s="8" t="str">
        <f>IF($A692="","",IF(ISNUMBER(FIND("IMPVOL",S$1)),_xll.BDH(config!$G$4,S$1,WORKDAY($A692,-1,config_Holiday_Calendar_US),WORKDAY($A692,-1,config_Holiday_Calendar_US)),IF(ISNUMBER(_xll.BDH(config!$G$4,S$1,$A692,$A692)),_xll.BDH(config!$G$4,S$1,$A692,$A692),_xll.BDH(config!$G$5,S$1,$A692,$A692))))</f>
        <v/>
      </c>
      <c r="T692" s="8" t="str">
        <f>IF($A692="","",IF(ISNUMBER(FIND("IMPVOL",T$1)),_xll.BDH(config!$G$4,T$1,WORKDAY($A692,-1,config_Holiday_Calendar_US),WORKDAY($A692,-1,config_Holiday_Calendar_US)),IF(ISNUMBER(_xll.BDH(config!$G$4,T$1,$A692,$A692)),_xll.BDH(config!$G$4,T$1,$A692,$A692),_xll.BDH(config!$G$5,T$1,$A692,$A692))))</f>
        <v/>
      </c>
      <c r="U692" s="8" t="str">
        <f>IF($A692="","",IF(ISNUMBER(FIND("IMPVOL",U$1)),_xll.BDH(config!$G$4,U$1,WORKDAY($A692,-1,config_Holiday_Calendar_US),WORKDAY($A692,-1,config_Holiday_Calendar_US)),IF(ISNUMBER(_xll.BDH(config!$G$4,U$1,$A692,$A692)),_xll.BDH(config!$G$4,U$1,$A692,$A692),_xll.BDH(config!$G$5,U$1,$A692,$A692))))</f>
        <v/>
      </c>
      <c r="V692" s="8" t="str">
        <f>IF($A692="","",IF(ISNUMBER(FIND("IMPVOL",V$1)),_xll.BDH(config!$G$4,V$1,WORKDAY($A692,-1,config_Holiday_Calendar_US),WORKDAY($A692,-1,config_Holiday_Calendar_US)),IF(ISNUMBER(_xll.BDH(config!$G$4,V$1,$A692,$A692)),_xll.BDH(config!$G$4,V$1,$A692,$A692),_xll.BDH(config!$G$5,V$1,$A692,$A692))))</f>
        <v/>
      </c>
      <c r="W692" s="8" t="str">
        <f>IF($A692="","",IF(ISNUMBER(FIND("IMPVOL",W$1)),_xll.BDH(config!$G$4,W$1,WORKDAY($A692,-1,config_Holiday_Calendar_US),WORKDAY($A692,-1,config_Holiday_Calendar_US)),IF(ISNUMBER(_xll.BDH(config!$G$4,W$1,$A692,$A692)),_xll.BDH(config!$G$4,W$1,$A692,$A692),_xll.BDH(config!$G$5,W$1,$A692,$A692))))</f>
        <v/>
      </c>
    </row>
    <row r="693" spans="1:23" x14ac:dyDescent="0.2">
      <c r="A693" s="9" t="str">
        <f>IF(A692="","",IF(WORKDAY(A692,-1,config_Holiday_Calendar_US)&lt;config!$I$10,"",WORKDAY(A692,-1,config_Holiday_Calendar_US)))</f>
        <v/>
      </c>
      <c r="B693" s="8" t="str">
        <f t="shared" si="10"/>
        <v/>
      </c>
      <c r="C693" s="8" t="str">
        <f>IF(A693="","",_xll.BDH(config!$H$4,C$1,$A693,$A693))</f>
        <v/>
      </c>
      <c r="D693" s="8" t="str">
        <f>IF($A693="","",_xll.BDH(config!$H$4,D$1,$A693,$A693))</f>
        <v/>
      </c>
      <c r="E693" s="8" t="str">
        <f>IF($A693="","",IF(ISNUMBER(FIND("IMPVOL",E$1)),_xll.BDH(config!$G$4,E$1,WORKDAY($A693,-1,config_Holiday_Calendar_US),WORKDAY($A693,-1,config_Holiday_Calendar_US)),IF(ISNUMBER(_xll.BDH(config!$G$4,E$1,$A693,$A693)),_xll.BDH(config!$G$4,E$1,$A693,$A693),_xll.BDH(config!$G$5,E$1,$A693,$A693))))</f>
        <v/>
      </c>
      <c r="F693" s="8" t="str">
        <f>IF($A693="","",IF(ISNUMBER(FIND("IMPVOL",F$1)),_xll.BDH(config!$G$4,F$1,WORKDAY($A693,-1,config_Holiday_Calendar_US),WORKDAY($A693,-1,config_Holiday_Calendar_US)),IF(ISNUMBER(_xll.BDH(config!$G$4,F$1,$A693,$A693)),_xll.BDH(config!$G$4,F$1,$A693,$A693),_xll.BDH(config!$G$5,F$1,$A693,$A693))))</f>
        <v/>
      </c>
      <c r="G693" s="8" t="str">
        <f>IF($A693="","",IF(ISNUMBER(FIND("IMPVOL",G$1)),_xll.BDH(config!$G$4,G$1,WORKDAY($A693,-1,config_Holiday_Calendar_US),WORKDAY($A693,-1,config_Holiday_Calendar_US)),IF(ISNUMBER(_xll.BDH(config!$G$4,G$1,$A693,$A693)),_xll.BDH(config!$G$4,G$1,$A693,$A693),_xll.BDH(config!$G$5,G$1,$A693,$A693))))</f>
        <v/>
      </c>
      <c r="H693" s="8" t="str">
        <f>IF($A693="","",IF(ISNUMBER(FIND("IMPVOL",H$1)),_xll.BDH(config!$G$4,H$1,WORKDAY($A693,-1,config_Holiday_Calendar_US),WORKDAY($A693,-1,config_Holiday_Calendar_US)),IF(ISNUMBER(_xll.BDH(config!$G$4,H$1,$A693,$A693)),_xll.BDH(config!$G$4,H$1,$A693,$A693),_xll.BDH(config!$G$5,H$1,$A693,$A693))))</f>
        <v/>
      </c>
      <c r="I693" s="8" t="str">
        <f>IF($A693="","",IF(ISNUMBER(FIND("IMPVOL",I$1)),_xll.BDH(config!$G$4,I$1,WORKDAY($A693,-1,config_Holiday_Calendar_US),WORKDAY($A693,-1,config_Holiday_Calendar_US)),IF(ISNUMBER(_xll.BDH(config!$G$4,I$1,$A693,$A693)),_xll.BDH(config!$G$4,I$1,$A693,$A693),_xll.BDH(config!$G$5,I$1,$A693,$A693))))</f>
        <v/>
      </c>
      <c r="J693" s="8" t="str">
        <f>IF($A693="","",IF(ISNUMBER(FIND("IMPVOL",J$1)),_xll.BDH(config!$G$4,J$1,WORKDAY($A693,-1,config_Holiday_Calendar_US),WORKDAY($A693,-1,config_Holiday_Calendar_US)),IF(ISNUMBER(_xll.BDH(config!$G$4,J$1,$A693,$A693)),_xll.BDH(config!$G$4,J$1,$A693,$A693),_xll.BDH(config!$G$5,J$1,$A693,$A693))))</f>
        <v/>
      </c>
      <c r="K693" s="8" t="str">
        <f>IF($A693="","",IF(ISNUMBER(FIND("IMPVOL",K$1)),_xll.BDH(config!$G$4,K$1,WORKDAY($A693,-1,config_Holiday_Calendar_US),WORKDAY($A693,-1,config_Holiday_Calendar_US)),IF(ISNUMBER(_xll.BDH(config!$G$4,K$1,$A693,$A693)),_xll.BDH(config!$G$4,K$1,$A693,$A693),_xll.BDH(config!$G$5,K$1,$A693,$A693))))</f>
        <v/>
      </c>
      <c r="L693" s="8" t="str">
        <f>IF($A693="","",IF(ISNUMBER(FIND("IMPVOL",L$1)),_xll.BDH(config!$G$4,L$1,WORKDAY($A693,-1,config_Holiday_Calendar_US),WORKDAY($A693,-1,config_Holiday_Calendar_US)),IF(ISNUMBER(_xll.BDH(config!$G$4,L$1,$A693,$A693)),_xll.BDH(config!$G$4,L$1,$A693,$A693),_xll.BDH(config!$G$5,L$1,$A693,$A693))))</f>
        <v/>
      </c>
      <c r="M693" s="8" t="str">
        <f>IF($A693="","",IF(ISNUMBER(FIND("IMPVOL",M$1)),_xll.BDH(config!$G$4,M$1,WORKDAY($A693,-1,config_Holiday_Calendar_US),WORKDAY($A693,-1,config_Holiday_Calendar_US)),IF(ISNUMBER(_xll.BDH(config!$G$4,M$1,$A693,$A693)),_xll.BDH(config!$G$4,M$1,$A693,$A693),_xll.BDH(config!$G$5,M$1,$A693,$A693))))</f>
        <v/>
      </c>
      <c r="N693" s="8" t="str">
        <f>IF($A693="","",IF(ISNUMBER(FIND("IMPVOL",N$1)),_xll.BDH(config!$G$4,N$1,WORKDAY($A693,-1,config_Holiday_Calendar_US),WORKDAY($A693,-1,config_Holiday_Calendar_US)),IF(ISNUMBER(_xll.BDH(config!$G$4,N$1,$A693,$A693)),_xll.BDH(config!$G$4,N$1,$A693,$A693),_xll.BDH(config!$G$5,N$1,$A693,$A693))))</f>
        <v/>
      </c>
      <c r="O693" s="8" t="str">
        <f>IF($A693="","",IF(ISNUMBER(FIND("IMPVOL",O$1)),_xll.BDH(config!$G$4,O$1,WORKDAY($A693,-1,config_Holiday_Calendar_US),WORKDAY($A693,-1,config_Holiday_Calendar_US)),IF(ISNUMBER(_xll.BDH(config!$G$4,O$1,$A693,$A693)),_xll.BDH(config!$G$4,O$1,$A693,$A693),_xll.BDH(config!$G$5,O$1,$A693,$A693))))</f>
        <v/>
      </c>
      <c r="P693" s="8" t="str">
        <f>IF($A693="","",IF(ISNUMBER(FIND("IMPVOL",P$1)),_xll.BDH(config!$G$4,P$1,WORKDAY($A693,-1,config_Holiday_Calendar_US),WORKDAY($A693,-1,config_Holiday_Calendar_US)),IF(ISNUMBER(_xll.BDH(config!$G$4,P$1,$A693,$A693)),_xll.BDH(config!$G$4,P$1,$A693,$A693),_xll.BDH(config!$G$5,P$1,$A693,$A693))))</f>
        <v/>
      </c>
      <c r="Q693" s="8" t="str">
        <f>IF($A693="","",IF(ISNUMBER(FIND("IMPVOL",Q$1)),_xll.BDH(config!$G$4,Q$1,WORKDAY($A693,-1,config_Holiday_Calendar_US),WORKDAY($A693,-1,config_Holiday_Calendar_US)),IF(ISNUMBER(_xll.BDH(config!$G$4,Q$1,$A693,$A693)),_xll.BDH(config!$G$4,Q$1,$A693,$A693),_xll.BDH(config!$G$5,Q$1,$A693,$A693))))</f>
        <v/>
      </c>
      <c r="R693" s="8" t="str">
        <f>IF($A693="","",IF(ISNUMBER(FIND("IMPVOL",R$1)),_xll.BDH(config!$G$4,R$1,WORKDAY($A693,-1,config_Holiday_Calendar_US),WORKDAY($A693,-1,config_Holiday_Calendar_US)),IF(ISNUMBER(_xll.BDH(config!$G$4,R$1,$A693,$A693)),_xll.BDH(config!$G$4,R$1,$A693,$A693),_xll.BDH(config!$G$5,R$1,$A693,$A693))))</f>
        <v/>
      </c>
      <c r="S693" s="8" t="str">
        <f>IF($A693="","",IF(ISNUMBER(FIND("IMPVOL",S$1)),_xll.BDH(config!$G$4,S$1,WORKDAY($A693,-1,config_Holiday_Calendar_US),WORKDAY($A693,-1,config_Holiday_Calendar_US)),IF(ISNUMBER(_xll.BDH(config!$G$4,S$1,$A693,$A693)),_xll.BDH(config!$G$4,S$1,$A693,$A693),_xll.BDH(config!$G$5,S$1,$A693,$A693))))</f>
        <v/>
      </c>
      <c r="T693" s="8" t="str">
        <f>IF($A693="","",IF(ISNUMBER(FIND("IMPVOL",T$1)),_xll.BDH(config!$G$4,T$1,WORKDAY($A693,-1,config_Holiday_Calendar_US),WORKDAY($A693,-1,config_Holiday_Calendar_US)),IF(ISNUMBER(_xll.BDH(config!$G$4,T$1,$A693,$A693)),_xll.BDH(config!$G$4,T$1,$A693,$A693),_xll.BDH(config!$G$5,T$1,$A693,$A693))))</f>
        <v/>
      </c>
      <c r="U693" s="8" t="str">
        <f>IF($A693="","",IF(ISNUMBER(FIND("IMPVOL",U$1)),_xll.BDH(config!$G$4,U$1,WORKDAY($A693,-1,config_Holiday_Calendar_US),WORKDAY($A693,-1,config_Holiday_Calendar_US)),IF(ISNUMBER(_xll.BDH(config!$G$4,U$1,$A693,$A693)),_xll.BDH(config!$G$4,U$1,$A693,$A693),_xll.BDH(config!$G$5,U$1,$A693,$A693))))</f>
        <v/>
      </c>
      <c r="V693" s="8" t="str">
        <f>IF($A693="","",IF(ISNUMBER(FIND("IMPVOL",V$1)),_xll.BDH(config!$G$4,V$1,WORKDAY($A693,-1,config_Holiday_Calendar_US),WORKDAY($A693,-1,config_Holiday_Calendar_US)),IF(ISNUMBER(_xll.BDH(config!$G$4,V$1,$A693,$A693)),_xll.BDH(config!$G$4,V$1,$A693,$A693),_xll.BDH(config!$G$5,V$1,$A693,$A693))))</f>
        <v/>
      </c>
      <c r="W693" s="8" t="str">
        <f>IF($A693="","",IF(ISNUMBER(FIND("IMPVOL",W$1)),_xll.BDH(config!$G$4,W$1,WORKDAY($A693,-1,config_Holiday_Calendar_US),WORKDAY($A693,-1,config_Holiday_Calendar_US)),IF(ISNUMBER(_xll.BDH(config!$G$4,W$1,$A693,$A693)),_xll.BDH(config!$G$4,W$1,$A693,$A693),_xll.BDH(config!$G$5,W$1,$A693,$A693))))</f>
        <v/>
      </c>
    </row>
    <row r="694" spans="1:23" x14ac:dyDescent="0.2">
      <c r="A694" s="9" t="str">
        <f>IF(A693="","",IF(WORKDAY(A693,-1,config_Holiday_Calendar_US)&lt;config!$I$10,"",WORKDAY(A693,-1,config_Holiday_Calendar_US)))</f>
        <v/>
      </c>
      <c r="B694" s="8" t="str">
        <f t="shared" si="10"/>
        <v/>
      </c>
      <c r="C694" s="8" t="str">
        <f>IF(A694="","",_xll.BDH(config!$H$4,C$1,$A694,$A694))</f>
        <v/>
      </c>
      <c r="D694" s="8" t="str">
        <f>IF($A694="","",_xll.BDH(config!$H$4,D$1,$A694,$A694))</f>
        <v/>
      </c>
      <c r="E694" s="8" t="str">
        <f>IF($A694="","",IF(ISNUMBER(FIND("IMPVOL",E$1)),_xll.BDH(config!$G$4,E$1,WORKDAY($A694,-1,config_Holiday_Calendar_US),WORKDAY($A694,-1,config_Holiday_Calendar_US)),IF(ISNUMBER(_xll.BDH(config!$G$4,E$1,$A694,$A694)),_xll.BDH(config!$G$4,E$1,$A694,$A694),_xll.BDH(config!$G$5,E$1,$A694,$A694))))</f>
        <v/>
      </c>
      <c r="F694" s="8" t="str">
        <f>IF($A694="","",IF(ISNUMBER(FIND("IMPVOL",F$1)),_xll.BDH(config!$G$4,F$1,WORKDAY($A694,-1,config_Holiday_Calendar_US),WORKDAY($A694,-1,config_Holiday_Calendar_US)),IF(ISNUMBER(_xll.BDH(config!$G$4,F$1,$A694,$A694)),_xll.BDH(config!$G$4,F$1,$A694,$A694),_xll.BDH(config!$G$5,F$1,$A694,$A694))))</f>
        <v/>
      </c>
      <c r="G694" s="8" t="str">
        <f>IF($A694="","",IF(ISNUMBER(FIND("IMPVOL",G$1)),_xll.BDH(config!$G$4,G$1,WORKDAY($A694,-1,config_Holiday_Calendar_US),WORKDAY($A694,-1,config_Holiday_Calendar_US)),IF(ISNUMBER(_xll.BDH(config!$G$4,G$1,$A694,$A694)),_xll.BDH(config!$G$4,G$1,$A694,$A694),_xll.BDH(config!$G$5,G$1,$A694,$A694))))</f>
        <v/>
      </c>
      <c r="H694" s="8" t="str">
        <f>IF($A694="","",IF(ISNUMBER(FIND("IMPVOL",H$1)),_xll.BDH(config!$G$4,H$1,WORKDAY($A694,-1,config_Holiday_Calendar_US),WORKDAY($A694,-1,config_Holiday_Calendar_US)),IF(ISNUMBER(_xll.BDH(config!$G$4,H$1,$A694,$A694)),_xll.BDH(config!$G$4,H$1,$A694,$A694),_xll.BDH(config!$G$5,H$1,$A694,$A694))))</f>
        <v/>
      </c>
      <c r="I694" s="8" t="str">
        <f>IF($A694="","",IF(ISNUMBER(FIND("IMPVOL",I$1)),_xll.BDH(config!$G$4,I$1,WORKDAY($A694,-1,config_Holiday_Calendar_US),WORKDAY($A694,-1,config_Holiday_Calendar_US)),IF(ISNUMBER(_xll.BDH(config!$G$4,I$1,$A694,$A694)),_xll.BDH(config!$G$4,I$1,$A694,$A694),_xll.BDH(config!$G$5,I$1,$A694,$A694))))</f>
        <v/>
      </c>
      <c r="J694" s="8" t="str">
        <f>IF($A694="","",IF(ISNUMBER(FIND("IMPVOL",J$1)),_xll.BDH(config!$G$4,J$1,WORKDAY($A694,-1,config_Holiday_Calendar_US),WORKDAY($A694,-1,config_Holiday_Calendar_US)),IF(ISNUMBER(_xll.BDH(config!$G$4,J$1,$A694,$A694)),_xll.BDH(config!$G$4,J$1,$A694,$A694),_xll.BDH(config!$G$5,J$1,$A694,$A694))))</f>
        <v/>
      </c>
      <c r="K694" s="8" t="str">
        <f>IF($A694="","",IF(ISNUMBER(FIND("IMPVOL",K$1)),_xll.BDH(config!$G$4,K$1,WORKDAY($A694,-1,config_Holiday_Calendar_US),WORKDAY($A694,-1,config_Holiday_Calendar_US)),IF(ISNUMBER(_xll.BDH(config!$G$4,K$1,$A694,$A694)),_xll.BDH(config!$G$4,K$1,$A694,$A694),_xll.BDH(config!$G$5,K$1,$A694,$A694))))</f>
        <v/>
      </c>
      <c r="L694" s="8" t="str">
        <f>IF($A694="","",IF(ISNUMBER(FIND("IMPVOL",L$1)),_xll.BDH(config!$G$4,L$1,WORKDAY($A694,-1,config_Holiday_Calendar_US),WORKDAY($A694,-1,config_Holiday_Calendar_US)),IF(ISNUMBER(_xll.BDH(config!$G$4,L$1,$A694,$A694)),_xll.BDH(config!$G$4,L$1,$A694,$A694),_xll.BDH(config!$G$5,L$1,$A694,$A694))))</f>
        <v/>
      </c>
      <c r="M694" s="8" t="str">
        <f>IF($A694="","",IF(ISNUMBER(FIND("IMPVOL",M$1)),_xll.BDH(config!$G$4,M$1,WORKDAY($A694,-1,config_Holiday_Calendar_US),WORKDAY($A694,-1,config_Holiday_Calendar_US)),IF(ISNUMBER(_xll.BDH(config!$G$4,M$1,$A694,$A694)),_xll.BDH(config!$G$4,M$1,$A694,$A694),_xll.BDH(config!$G$5,M$1,$A694,$A694))))</f>
        <v/>
      </c>
      <c r="N694" s="8" t="str">
        <f>IF($A694="","",IF(ISNUMBER(FIND("IMPVOL",N$1)),_xll.BDH(config!$G$4,N$1,WORKDAY($A694,-1,config_Holiday_Calendar_US),WORKDAY($A694,-1,config_Holiday_Calendar_US)),IF(ISNUMBER(_xll.BDH(config!$G$4,N$1,$A694,$A694)),_xll.BDH(config!$G$4,N$1,$A694,$A694),_xll.BDH(config!$G$5,N$1,$A694,$A694))))</f>
        <v/>
      </c>
      <c r="O694" s="8" t="str">
        <f>IF($A694="","",IF(ISNUMBER(FIND("IMPVOL",O$1)),_xll.BDH(config!$G$4,O$1,WORKDAY($A694,-1,config_Holiday_Calendar_US),WORKDAY($A694,-1,config_Holiday_Calendar_US)),IF(ISNUMBER(_xll.BDH(config!$G$4,O$1,$A694,$A694)),_xll.BDH(config!$G$4,O$1,$A694,$A694),_xll.BDH(config!$G$5,O$1,$A694,$A694))))</f>
        <v/>
      </c>
      <c r="P694" s="8" t="str">
        <f>IF($A694="","",IF(ISNUMBER(FIND("IMPVOL",P$1)),_xll.BDH(config!$G$4,P$1,WORKDAY($A694,-1,config_Holiday_Calendar_US),WORKDAY($A694,-1,config_Holiday_Calendar_US)),IF(ISNUMBER(_xll.BDH(config!$G$4,P$1,$A694,$A694)),_xll.BDH(config!$G$4,P$1,$A694,$A694),_xll.BDH(config!$G$5,P$1,$A694,$A694))))</f>
        <v/>
      </c>
      <c r="Q694" s="8" t="str">
        <f>IF($A694="","",IF(ISNUMBER(FIND("IMPVOL",Q$1)),_xll.BDH(config!$G$4,Q$1,WORKDAY($A694,-1,config_Holiday_Calendar_US),WORKDAY($A694,-1,config_Holiday_Calendar_US)),IF(ISNUMBER(_xll.BDH(config!$G$4,Q$1,$A694,$A694)),_xll.BDH(config!$G$4,Q$1,$A694,$A694),_xll.BDH(config!$G$5,Q$1,$A694,$A694))))</f>
        <v/>
      </c>
      <c r="R694" s="8" t="str">
        <f>IF($A694="","",IF(ISNUMBER(FIND("IMPVOL",R$1)),_xll.BDH(config!$G$4,R$1,WORKDAY($A694,-1,config_Holiday_Calendar_US),WORKDAY($A694,-1,config_Holiday_Calendar_US)),IF(ISNUMBER(_xll.BDH(config!$G$4,R$1,$A694,$A694)),_xll.BDH(config!$G$4,R$1,$A694,$A694),_xll.BDH(config!$G$5,R$1,$A694,$A694))))</f>
        <v/>
      </c>
      <c r="S694" s="8" t="str">
        <f>IF($A694="","",IF(ISNUMBER(FIND("IMPVOL",S$1)),_xll.BDH(config!$G$4,S$1,WORKDAY($A694,-1,config_Holiday_Calendar_US),WORKDAY($A694,-1,config_Holiday_Calendar_US)),IF(ISNUMBER(_xll.BDH(config!$G$4,S$1,$A694,$A694)),_xll.BDH(config!$G$4,S$1,$A694,$A694),_xll.BDH(config!$G$5,S$1,$A694,$A694))))</f>
        <v/>
      </c>
      <c r="T694" s="8" t="str">
        <f>IF($A694="","",IF(ISNUMBER(FIND("IMPVOL",T$1)),_xll.BDH(config!$G$4,T$1,WORKDAY($A694,-1,config_Holiday_Calendar_US),WORKDAY($A694,-1,config_Holiday_Calendar_US)),IF(ISNUMBER(_xll.BDH(config!$G$4,T$1,$A694,$A694)),_xll.BDH(config!$G$4,T$1,$A694,$A694),_xll.BDH(config!$G$5,T$1,$A694,$A694))))</f>
        <v/>
      </c>
      <c r="U694" s="8" t="str">
        <f>IF($A694="","",IF(ISNUMBER(FIND("IMPVOL",U$1)),_xll.BDH(config!$G$4,U$1,WORKDAY($A694,-1,config_Holiday_Calendar_US),WORKDAY($A694,-1,config_Holiday_Calendar_US)),IF(ISNUMBER(_xll.BDH(config!$G$4,U$1,$A694,$A694)),_xll.BDH(config!$G$4,U$1,$A694,$A694),_xll.BDH(config!$G$5,U$1,$A694,$A694))))</f>
        <v/>
      </c>
      <c r="V694" s="8" t="str">
        <f>IF($A694="","",IF(ISNUMBER(FIND("IMPVOL",V$1)),_xll.BDH(config!$G$4,V$1,WORKDAY($A694,-1,config_Holiday_Calendar_US),WORKDAY($A694,-1,config_Holiday_Calendar_US)),IF(ISNUMBER(_xll.BDH(config!$G$4,V$1,$A694,$A694)),_xll.BDH(config!$G$4,V$1,$A694,$A694),_xll.BDH(config!$G$5,V$1,$A694,$A694))))</f>
        <v/>
      </c>
      <c r="W694" s="8" t="str">
        <f>IF($A694="","",IF(ISNUMBER(FIND("IMPVOL",W$1)),_xll.BDH(config!$G$4,W$1,WORKDAY($A694,-1,config_Holiday_Calendar_US),WORKDAY($A694,-1,config_Holiday_Calendar_US)),IF(ISNUMBER(_xll.BDH(config!$G$4,W$1,$A694,$A694)),_xll.BDH(config!$G$4,W$1,$A694,$A694),_xll.BDH(config!$G$5,W$1,$A694,$A694))))</f>
        <v/>
      </c>
    </row>
    <row r="695" spans="1:23" x14ac:dyDescent="0.2">
      <c r="A695" s="9" t="str">
        <f>IF(A694="","",IF(WORKDAY(A694,-1,config_Holiday_Calendar_US)&lt;config!$I$10,"",WORKDAY(A694,-1,config_Holiday_Calendar_US)))</f>
        <v/>
      </c>
      <c r="B695" s="8" t="str">
        <f t="shared" si="10"/>
        <v/>
      </c>
      <c r="C695" s="8" t="str">
        <f>IF(A695="","",_xll.BDH(config!$H$4,C$1,$A695,$A695))</f>
        <v/>
      </c>
      <c r="D695" s="8" t="str">
        <f>IF($A695="","",_xll.BDH(config!$H$4,D$1,$A695,$A695))</f>
        <v/>
      </c>
      <c r="E695" s="8" t="str">
        <f>IF($A695="","",IF(ISNUMBER(FIND("IMPVOL",E$1)),_xll.BDH(config!$G$4,E$1,WORKDAY($A695,-1,config_Holiday_Calendar_US),WORKDAY($A695,-1,config_Holiday_Calendar_US)),IF(ISNUMBER(_xll.BDH(config!$G$4,E$1,$A695,$A695)),_xll.BDH(config!$G$4,E$1,$A695,$A695),_xll.BDH(config!$G$5,E$1,$A695,$A695))))</f>
        <v/>
      </c>
      <c r="F695" s="8" t="str">
        <f>IF($A695="","",IF(ISNUMBER(FIND("IMPVOL",F$1)),_xll.BDH(config!$G$4,F$1,WORKDAY($A695,-1,config_Holiday_Calendar_US),WORKDAY($A695,-1,config_Holiday_Calendar_US)),IF(ISNUMBER(_xll.BDH(config!$G$4,F$1,$A695,$A695)),_xll.BDH(config!$G$4,F$1,$A695,$A695),_xll.BDH(config!$G$5,F$1,$A695,$A695))))</f>
        <v/>
      </c>
      <c r="G695" s="8" t="str">
        <f>IF($A695="","",IF(ISNUMBER(FIND("IMPVOL",G$1)),_xll.BDH(config!$G$4,G$1,WORKDAY($A695,-1,config_Holiday_Calendar_US),WORKDAY($A695,-1,config_Holiday_Calendar_US)),IF(ISNUMBER(_xll.BDH(config!$G$4,G$1,$A695,$A695)),_xll.BDH(config!$G$4,G$1,$A695,$A695),_xll.BDH(config!$G$5,G$1,$A695,$A695))))</f>
        <v/>
      </c>
      <c r="H695" s="8" t="str">
        <f>IF($A695="","",IF(ISNUMBER(FIND("IMPVOL",H$1)),_xll.BDH(config!$G$4,H$1,WORKDAY($A695,-1,config_Holiday_Calendar_US),WORKDAY($A695,-1,config_Holiday_Calendar_US)),IF(ISNUMBER(_xll.BDH(config!$G$4,H$1,$A695,$A695)),_xll.BDH(config!$G$4,H$1,$A695,$A695),_xll.BDH(config!$G$5,H$1,$A695,$A695))))</f>
        <v/>
      </c>
      <c r="I695" s="8" t="str">
        <f>IF($A695="","",IF(ISNUMBER(FIND("IMPVOL",I$1)),_xll.BDH(config!$G$4,I$1,WORKDAY($A695,-1,config_Holiday_Calendar_US),WORKDAY($A695,-1,config_Holiday_Calendar_US)),IF(ISNUMBER(_xll.BDH(config!$G$4,I$1,$A695,$A695)),_xll.BDH(config!$G$4,I$1,$A695,$A695),_xll.BDH(config!$G$5,I$1,$A695,$A695))))</f>
        <v/>
      </c>
      <c r="J695" s="8" t="str">
        <f>IF($A695="","",IF(ISNUMBER(FIND("IMPVOL",J$1)),_xll.BDH(config!$G$4,J$1,WORKDAY($A695,-1,config_Holiday_Calendar_US),WORKDAY($A695,-1,config_Holiday_Calendar_US)),IF(ISNUMBER(_xll.BDH(config!$G$4,J$1,$A695,$A695)),_xll.BDH(config!$G$4,J$1,$A695,$A695),_xll.BDH(config!$G$5,J$1,$A695,$A695))))</f>
        <v/>
      </c>
      <c r="K695" s="8" t="str">
        <f>IF($A695="","",IF(ISNUMBER(FIND("IMPVOL",K$1)),_xll.BDH(config!$G$4,K$1,WORKDAY($A695,-1,config_Holiday_Calendar_US),WORKDAY($A695,-1,config_Holiday_Calendar_US)),IF(ISNUMBER(_xll.BDH(config!$G$4,K$1,$A695,$A695)),_xll.BDH(config!$G$4,K$1,$A695,$A695),_xll.BDH(config!$G$5,K$1,$A695,$A695))))</f>
        <v/>
      </c>
      <c r="L695" s="8" t="str">
        <f>IF($A695="","",IF(ISNUMBER(FIND("IMPVOL",L$1)),_xll.BDH(config!$G$4,L$1,WORKDAY($A695,-1,config_Holiday_Calendar_US),WORKDAY($A695,-1,config_Holiday_Calendar_US)),IF(ISNUMBER(_xll.BDH(config!$G$4,L$1,$A695,$A695)),_xll.BDH(config!$G$4,L$1,$A695,$A695),_xll.BDH(config!$G$5,L$1,$A695,$A695))))</f>
        <v/>
      </c>
      <c r="M695" s="8" t="str">
        <f>IF($A695="","",IF(ISNUMBER(FIND("IMPVOL",M$1)),_xll.BDH(config!$G$4,M$1,WORKDAY($A695,-1,config_Holiday_Calendar_US),WORKDAY($A695,-1,config_Holiday_Calendar_US)),IF(ISNUMBER(_xll.BDH(config!$G$4,M$1,$A695,$A695)),_xll.BDH(config!$G$4,M$1,$A695,$A695),_xll.BDH(config!$G$5,M$1,$A695,$A695))))</f>
        <v/>
      </c>
      <c r="N695" s="8" t="str">
        <f>IF($A695="","",IF(ISNUMBER(FIND("IMPVOL",N$1)),_xll.BDH(config!$G$4,N$1,WORKDAY($A695,-1,config_Holiday_Calendar_US),WORKDAY($A695,-1,config_Holiday_Calendar_US)),IF(ISNUMBER(_xll.BDH(config!$G$4,N$1,$A695,$A695)),_xll.BDH(config!$G$4,N$1,$A695,$A695),_xll.BDH(config!$G$5,N$1,$A695,$A695))))</f>
        <v/>
      </c>
      <c r="O695" s="8" t="str">
        <f>IF($A695="","",IF(ISNUMBER(FIND("IMPVOL",O$1)),_xll.BDH(config!$G$4,O$1,WORKDAY($A695,-1,config_Holiday_Calendar_US),WORKDAY($A695,-1,config_Holiday_Calendar_US)),IF(ISNUMBER(_xll.BDH(config!$G$4,O$1,$A695,$A695)),_xll.BDH(config!$G$4,O$1,$A695,$A695),_xll.BDH(config!$G$5,O$1,$A695,$A695))))</f>
        <v/>
      </c>
      <c r="P695" s="8" t="str">
        <f>IF($A695="","",IF(ISNUMBER(FIND("IMPVOL",P$1)),_xll.BDH(config!$G$4,P$1,WORKDAY($A695,-1,config_Holiday_Calendar_US),WORKDAY($A695,-1,config_Holiday_Calendar_US)),IF(ISNUMBER(_xll.BDH(config!$G$4,P$1,$A695,$A695)),_xll.BDH(config!$G$4,P$1,$A695,$A695),_xll.BDH(config!$G$5,P$1,$A695,$A695))))</f>
        <v/>
      </c>
      <c r="Q695" s="8" t="str">
        <f>IF($A695="","",IF(ISNUMBER(FIND("IMPVOL",Q$1)),_xll.BDH(config!$G$4,Q$1,WORKDAY($A695,-1,config_Holiday_Calendar_US),WORKDAY($A695,-1,config_Holiday_Calendar_US)),IF(ISNUMBER(_xll.BDH(config!$G$4,Q$1,$A695,$A695)),_xll.BDH(config!$G$4,Q$1,$A695,$A695),_xll.BDH(config!$G$5,Q$1,$A695,$A695))))</f>
        <v/>
      </c>
      <c r="R695" s="8" t="str">
        <f>IF($A695="","",IF(ISNUMBER(FIND("IMPVOL",R$1)),_xll.BDH(config!$G$4,R$1,WORKDAY($A695,-1,config_Holiday_Calendar_US),WORKDAY($A695,-1,config_Holiday_Calendar_US)),IF(ISNUMBER(_xll.BDH(config!$G$4,R$1,$A695,$A695)),_xll.BDH(config!$G$4,R$1,$A695,$A695),_xll.BDH(config!$G$5,R$1,$A695,$A695))))</f>
        <v/>
      </c>
      <c r="S695" s="8" t="str">
        <f>IF($A695="","",IF(ISNUMBER(FIND("IMPVOL",S$1)),_xll.BDH(config!$G$4,S$1,WORKDAY($A695,-1,config_Holiday_Calendar_US),WORKDAY($A695,-1,config_Holiday_Calendar_US)),IF(ISNUMBER(_xll.BDH(config!$G$4,S$1,$A695,$A695)),_xll.BDH(config!$G$4,S$1,$A695,$A695),_xll.BDH(config!$G$5,S$1,$A695,$A695))))</f>
        <v/>
      </c>
      <c r="T695" s="8" t="str">
        <f>IF($A695="","",IF(ISNUMBER(FIND("IMPVOL",T$1)),_xll.BDH(config!$G$4,T$1,WORKDAY($A695,-1,config_Holiday_Calendar_US),WORKDAY($A695,-1,config_Holiday_Calendar_US)),IF(ISNUMBER(_xll.BDH(config!$G$4,T$1,$A695,$A695)),_xll.BDH(config!$G$4,T$1,$A695,$A695),_xll.BDH(config!$G$5,T$1,$A695,$A695))))</f>
        <v/>
      </c>
      <c r="U695" s="8" t="str">
        <f>IF($A695="","",IF(ISNUMBER(FIND("IMPVOL",U$1)),_xll.BDH(config!$G$4,U$1,WORKDAY($A695,-1,config_Holiday_Calendar_US),WORKDAY($A695,-1,config_Holiday_Calendar_US)),IF(ISNUMBER(_xll.BDH(config!$G$4,U$1,$A695,$A695)),_xll.BDH(config!$G$4,U$1,$A695,$A695),_xll.BDH(config!$G$5,U$1,$A695,$A695))))</f>
        <v/>
      </c>
      <c r="V695" s="8" t="str">
        <f>IF($A695="","",IF(ISNUMBER(FIND("IMPVOL",V$1)),_xll.BDH(config!$G$4,V$1,WORKDAY($A695,-1,config_Holiday_Calendar_US),WORKDAY($A695,-1,config_Holiday_Calendar_US)),IF(ISNUMBER(_xll.BDH(config!$G$4,V$1,$A695,$A695)),_xll.BDH(config!$G$4,V$1,$A695,$A695),_xll.BDH(config!$G$5,V$1,$A695,$A695))))</f>
        <v/>
      </c>
      <c r="W695" s="8" t="str">
        <f>IF($A695="","",IF(ISNUMBER(FIND("IMPVOL",W$1)),_xll.BDH(config!$G$4,W$1,WORKDAY($A695,-1,config_Holiday_Calendar_US),WORKDAY($A695,-1,config_Holiday_Calendar_US)),IF(ISNUMBER(_xll.BDH(config!$G$4,W$1,$A695,$A695)),_xll.BDH(config!$G$4,W$1,$A695,$A695),_xll.BDH(config!$G$5,W$1,$A695,$A695))))</f>
        <v/>
      </c>
    </row>
    <row r="696" spans="1:23" x14ac:dyDescent="0.2">
      <c r="A696" s="9" t="str">
        <f>IF(A695="","",IF(WORKDAY(A695,-1,config_Holiday_Calendar_US)&lt;config!$I$10,"",WORKDAY(A695,-1,config_Holiday_Calendar_US)))</f>
        <v/>
      </c>
      <c r="B696" s="8" t="str">
        <f t="shared" si="10"/>
        <v/>
      </c>
      <c r="C696" s="8" t="str">
        <f>IF(A696="","",_xll.BDH(config!$H$4,C$1,$A696,$A696))</f>
        <v/>
      </c>
      <c r="D696" s="8" t="str">
        <f>IF($A696="","",_xll.BDH(config!$H$4,D$1,$A696,$A696))</f>
        <v/>
      </c>
      <c r="E696" s="8" t="str">
        <f>IF($A696="","",IF(ISNUMBER(FIND("IMPVOL",E$1)),_xll.BDH(config!$G$4,E$1,WORKDAY($A696,-1,config_Holiday_Calendar_US),WORKDAY($A696,-1,config_Holiday_Calendar_US)),IF(ISNUMBER(_xll.BDH(config!$G$4,E$1,$A696,$A696)),_xll.BDH(config!$G$4,E$1,$A696,$A696),_xll.BDH(config!$G$5,E$1,$A696,$A696))))</f>
        <v/>
      </c>
      <c r="F696" s="8" t="str">
        <f>IF($A696="","",IF(ISNUMBER(FIND("IMPVOL",F$1)),_xll.BDH(config!$G$4,F$1,WORKDAY($A696,-1,config_Holiday_Calendar_US),WORKDAY($A696,-1,config_Holiday_Calendar_US)),IF(ISNUMBER(_xll.BDH(config!$G$4,F$1,$A696,$A696)),_xll.BDH(config!$G$4,F$1,$A696,$A696),_xll.BDH(config!$G$5,F$1,$A696,$A696))))</f>
        <v/>
      </c>
      <c r="G696" s="8" t="str">
        <f>IF($A696="","",IF(ISNUMBER(FIND("IMPVOL",G$1)),_xll.BDH(config!$G$4,G$1,WORKDAY($A696,-1,config_Holiday_Calendar_US),WORKDAY($A696,-1,config_Holiday_Calendar_US)),IF(ISNUMBER(_xll.BDH(config!$G$4,G$1,$A696,$A696)),_xll.BDH(config!$G$4,G$1,$A696,$A696),_xll.BDH(config!$G$5,G$1,$A696,$A696))))</f>
        <v/>
      </c>
      <c r="H696" s="8" t="str">
        <f>IF($A696="","",IF(ISNUMBER(FIND("IMPVOL",H$1)),_xll.BDH(config!$G$4,H$1,WORKDAY($A696,-1,config_Holiday_Calendar_US),WORKDAY($A696,-1,config_Holiday_Calendar_US)),IF(ISNUMBER(_xll.BDH(config!$G$4,H$1,$A696,$A696)),_xll.BDH(config!$G$4,H$1,$A696,$A696),_xll.BDH(config!$G$5,H$1,$A696,$A696))))</f>
        <v/>
      </c>
      <c r="I696" s="8" t="str">
        <f>IF($A696="","",IF(ISNUMBER(FIND("IMPVOL",I$1)),_xll.BDH(config!$G$4,I$1,WORKDAY($A696,-1,config_Holiday_Calendar_US),WORKDAY($A696,-1,config_Holiday_Calendar_US)),IF(ISNUMBER(_xll.BDH(config!$G$4,I$1,$A696,$A696)),_xll.BDH(config!$G$4,I$1,$A696,$A696),_xll.BDH(config!$G$5,I$1,$A696,$A696))))</f>
        <v/>
      </c>
      <c r="J696" s="8" t="str">
        <f>IF($A696="","",IF(ISNUMBER(FIND("IMPVOL",J$1)),_xll.BDH(config!$G$4,J$1,WORKDAY($A696,-1,config_Holiday_Calendar_US),WORKDAY($A696,-1,config_Holiday_Calendar_US)),IF(ISNUMBER(_xll.BDH(config!$G$4,J$1,$A696,$A696)),_xll.BDH(config!$G$4,J$1,$A696,$A696),_xll.BDH(config!$G$5,J$1,$A696,$A696))))</f>
        <v/>
      </c>
      <c r="K696" s="8" t="str">
        <f>IF($A696="","",IF(ISNUMBER(FIND("IMPVOL",K$1)),_xll.BDH(config!$G$4,K$1,WORKDAY($A696,-1,config_Holiday_Calendar_US),WORKDAY($A696,-1,config_Holiday_Calendar_US)),IF(ISNUMBER(_xll.BDH(config!$G$4,K$1,$A696,$A696)),_xll.BDH(config!$G$4,K$1,$A696,$A696),_xll.BDH(config!$G$5,K$1,$A696,$A696))))</f>
        <v/>
      </c>
      <c r="L696" s="8" t="str">
        <f>IF($A696="","",IF(ISNUMBER(FIND("IMPVOL",L$1)),_xll.BDH(config!$G$4,L$1,WORKDAY($A696,-1,config_Holiday_Calendar_US),WORKDAY($A696,-1,config_Holiday_Calendar_US)),IF(ISNUMBER(_xll.BDH(config!$G$4,L$1,$A696,$A696)),_xll.BDH(config!$G$4,L$1,$A696,$A696),_xll.BDH(config!$G$5,L$1,$A696,$A696))))</f>
        <v/>
      </c>
      <c r="M696" s="8" t="str">
        <f>IF($A696="","",IF(ISNUMBER(FIND("IMPVOL",M$1)),_xll.BDH(config!$G$4,M$1,WORKDAY($A696,-1,config_Holiday_Calendar_US),WORKDAY($A696,-1,config_Holiday_Calendar_US)),IF(ISNUMBER(_xll.BDH(config!$G$4,M$1,$A696,$A696)),_xll.BDH(config!$G$4,M$1,$A696,$A696),_xll.BDH(config!$G$5,M$1,$A696,$A696))))</f>
        <v/>
      </c>
      <c r="N696" s="8" t="str">
        <f>IF($A696="","",IF(ISNUMBER(FIND("IMPVOL",N$1)),_xll.BDH(config!$G$4,N$1,WORKDAY($A696,-1,config_Holiday_Calendar_US),WORKDAY($A696,-1,config_Holiday_Calendar_US)),IF(ISNUMBER(_xll.BDH(config!$G$4,N$1,$A696,$A696)),_xll.BDH(config!$G$4,N$1,$A696,$A696),_xll.BDH(config!$G$5,N$1,$A696,$A696))))</f>
        <v/>
      </c>
      <c r="O696" s="8" t="str">
        <f>IF($A696="","",IF(ISNUMBER(FIND("IMPVOL",O$1)),_xll.BDH(config!$G$4,O$1,WORKDAY($A696,-1,config_Holiday_Calendar_US),WORKDAY($A696,-1,config_Holiday_Calendar_US)),IF(ISNUMBER(_xll.BDH(config!$G$4,O$1,$A696,$A696)),_xll.BDH(config!$G$4,O$1,$A696,$A696),_xll.BDH(config!$G$5,O$1,$A696,$A696))))</f>
        <v/>
      </c>
      <c r="P696" s="8" t="str">
        <f>IF($A696="","",IF(ISNUMBER(FIND("IMPVOL",P$1)),_xll.BDH(config!$G$4,P$1,WORKDAY($A696,-1,config_Holiday_Calendar_US),WORKDAY($A696,-1,config_Holiday_Calendar_US)),IF(ISNUMBER(_xll.BDH(config!$G$4,P$1,$A696,$A696)),_xll.BDH(config!$G$4,P$1,$A696,$A696),_xll.BDH(config!$G$5,P$1,$A696,$A696))))</f>
        <v/>
      </c>
      <c r="Q696" s="8" t="str">
        <f>IF($A696="","",IF(ISNUMBER(FIND("IMPVOL",Q$1)),_xll.BDH(config!$G$4,Q$1,WORKDAY($A696,-1,config_Holiday_Calendar_US),WORKDAY($A696,-1,config_Holiday_Calendar_US)),IF(ISNUMBER(_xll.BDH(config!$G$4,Q$1,$A696,$A696)),_xll.BDH(config!$G$4,Q$1,$A696,$A696),_xll.BDH(config!$G$5,Q$1,$A696,$A696))))</f>
        <v/>
      </c>
      <c r="R696" s="8" t="str">
        <f>IF($A696="","",IF(ISNUMBER(FIND("IMPVOL",R$1)),_xll.BDH(config!$G$4,R$1,WORKDAY($A696,-1,config_Holiday_Calendar_US),WORKDAY($A696,-1,config_Holiday_Calendar_US)),IF(ISNUMBER(_xll.BDH(config!$G$4,R$1,$A696,$A696)),_xll.BDH(config!$G$4,R$1,$A696,$A696),_xll.BDH(config!$G$5,R$1,$A696,$A696))))</f>
        <v/>
      </c>
      <c r="S696" s="8" t="str">
        <f>IF($A696="","",IF(ISNUMBER(FIND("IMPVOL",S$1)),_xll.BDH(config!$G$4,S$1,WORKDAY($A696,-1,config_Holiday_Calendar_US),WORKDAY($A696,-1,config_Holiday_Calendar_US)),IF(ISNUMBER(_xll.BDH(config!$G$4,S$1,$A696,$A696)),_xll.BDH(config!$G$4,S$1,$A696,$A696),_xll.BDH(config!$G$5,S$1,$A696,$A696))))</f>
        <v/>
      </c>
      <c r="T696" s="8" t="str">
        <f>IF($A696="","",IF(ISNUMBER(FIND("IMPVOL",T$1)),_xll.BDH(config!$G$4,T$1,WORKDAY($A696,-1,config_Holiday_Calendar_US),WORKDAY($A696,-1,config_Holiday_Calendar_US)),IF(ISNUMBER(_xll.BDH(config!$G$4,T$1,$A696,$A696)),_xll.BDH(config!$G$4,T$1,$A696,$A696),_xll.BDH(config!$G$5,T$1,$A696,$A696))))</f>
        <v/>
      </c>
      <c r="U696" s="8" t="str">
        <f>IF($A696="","",IF(ISNUMBER(FIND("IMPVOL",U$1)),_xll.BDH(config!$G$4,U$1,WORKDAY($A696,-1,config_Holiday_Calendar_US),WORKDAY($A696,-1,config_Holiday_Calendar_US)),IF(ISNUMBER(_xll.BDH(config!$G$4,U$1,$A696,$A696)),_xll.BDH(config!$G$4,U$1,$A696,$A696),_xll.BDH(config!$G$5,U$1,$A696,$A696))))</f>
        <v/>
      </c>
      <c r="V696" s="8" t="str">
        <f>IF($A696="","",IF(ISNUMBER(FIND("IMPVOL",V$1)),_xll.BDH(config!$G$4,V$1,WORKDAY($A696,-1,config_Holiday_Calendar_US),WORKDAY($A696,-1,config_Holiday_Calendar_US)),IF(ISNUMBER(_xll.BDH(config!$G$4,V$1,$A696,$A696)),_xll.BDH(config!$G$4,V$1,$A696,$A696),_xll.BDH(config!$G$5,V$1,$A696,$A696))))</f>
        <v/>
      </c>
      <c r="W696" s="8" t="str">
        <f>IF($A696="","",IF(ISNUMBER(FIND("IMPVOL",W$1)),_xll.BDH(config!$G$4,W$1,WORKDAY($A696,-1,config_Holiday_Calendar_US),WORKDAY($A696,-1,config_Holiday_Calendar_US)),IF(ISNUMBER(_xll.BDH(config!$G$4,W$1,$A696,$A696)),_xll.BDH(config!$G$4,W$1,$A696,$A696),_xll.BDH(config!$G$5,W$1,$A696,$A696))))</f>
        <v/>
      </c>
    </row>
    <row r="697" spans="1:23" x14ac:dyDescent="0.2">
      <c r="A697" s="9" t="str">
        <f>IF(A696="","",IF(WORKDAY(A696,-1,config_Holiday_Calendar_US)&lt;config!$I$10,"",WORKDAY(A696,-1,config_Holiday_Calendar_US)))</f>
        <v/>
      </c>
      <c r="B697" s="8" t="str">
        <f t="shared" si="10"/>
        <v/>
      </c>
      <c r="C697" s="8" t="str">
        <f>IF(A697="","",_xll.BDH(config!$H$4,C$1,$A697,$A697))</f>
        <v/>
      </c>
      <c r="D697" s="8" t="str">
        <f>IF($A697="","",_xll.BDH(config!$H$4,D$1,$A697,$A697))</f>
        <v/>
      </c>
      <c r="E697" s="8" t="str">
        <f>IF($A697="","",IF(ISNUMBER(FIND("IMPVOL",E$1)),_xll.BDH(config!$G$4,E$1,WORKDAY($A697,-1,config_Holiday_Calendar_US),WORKDAY($A697,-1,config_Holiday_Calendar_US)),IF(ISNUMBER(_xll.BDH(config!$G$4,E$1,$A697,$A697)),_xll.BDH(config!$G$4,E$1,$A697,$A697),_xll.BDH(config!$G$5,E$1,$A697,$A697))))</f>
        <v/>
      </c>
      <c r="F697" s="8" t="str">
        <f>IF($A697="","",IF(ISNUMBER(FIND("IMPVOL",F$1)),_xll.BDH(config!$G$4,F$1,WORKDAY($A697,-1,config_Holiday_Calendar_US),WORKDAY($A697,-1,config_Holiday_Calendar_US)),IF(ISNUMBER(_xll.BDH(config!$G$4,F$1,$A697,$A697)),_xll.BDH(config!$G$4,F$1,$A697,$A697),_xll.BDH(config!$G$5,F$1,$A697,$A697))))</f>
        <v/>
      </c>
      <c r="G697" s="8" t="str">
        <f>IF($A697="","",IF(ISNUMBER(FIND("IMPVOL",G$1)),_xll.BDH(config!$G$4,G$1,WORKDAY($A697,-1,config_Holiday_Calendar_US),WORKDAY($A697,-1,config_Holiday_Calendar_US)),IF(ISNUMBER(_xll.BDH(config!$G$4,G$1,$A697,$A697)),_xll.BDH(config!$G$4,G$1,$A697,$A697),_xll.BDH(config!$G$5,G$1,$A697,$A697))))</f>
        <v/>
      </c>
      <c r="H697" s="8" t="str">
        <f>IF($A697="","",IF(ISNUMBER(FIND("IMPVOL",H$1)),_xll.BDH(config!$G$4,H$1,WORKDAY($A697,-1,config_Holiday_Calendar_US),WORKDAY($A697,-1,config_Holiday_Calendar_US)),IF(ISNUMBER(_xll.BDH(config!$G$4,H$1,$A697,$A697)),_xll.BDH(config!$G$4,H$1,$A697,$A697),_xll.BDH(config!$G$5,H$1,$A697,$A697))))</f>
        <v/>
      </c>
      <c r="I697" s="8" t="str">
        <f>IF($A697="","",IF(ISNUMBER(FIND("IMPVOL",I$1)),_xll.BDH(config!$G$4,I$1,WORKDAY($A697,-1,config_Holiday_Calendar_US),WORKDAY($A697,-1,config_Holiday_Calendar_US)),IF(ISNUMBER(_xll.BDH(config!$G$4,I$1,$A697,$A697)),_xll.BDH(config!$G$4,I$1,$A697,$A697),_xll.BDH(config!$G$5,I$1,$A697,$A697))))</f>
        <v/>
      </c>
      <c r="J697" s="8" t="str">
        <f>IF($A697="","",IF(ISNUMBER(FIND("IMPVOL",J$1)),_xll.BDH(config!$G$4,J$1,WORKDAY($A697,-1,config_Holiday_Calendar_US),WORKDAY($A697,-1,config_Holiday_Calendar_US)),IF(ISNUMBER(_xll.BDH(config!$G$4,J$1,$A697,$A697)),_xll.BDH(config!$G$4,J$1,$A697,$A697),_xll.BDH(config!$G$5,J$1,$A697,$A697))))</f>
        <v/>
      </c>
      <c r="K697" s="8" t="str">
        <f>IF($A697="","",IF(ISNUMBER(FIND("IMPVOL",K$1)),_xll.BDH(config!$G$4,K$1,WORKDAY($A697,-1,config_Holiday_Calendar_US),WORKDAY($A697,-1,config_Holiday_Calendar_US)),IF(ISNUMBER(_xll.BDH(config!$G$4,K$1,$A697,$A697)),_xll.BDH(config!$G$4,K$1,$A697,$A697),_xll.BDH(config!$G$5,K$1,$A697,$A697))))</f>
        <v/>
      </c>
      <c r="L697" s="8" t="str">
        <f>IF($A697="","",IF(ISNUMBER(FIND("IMPVOL",L$1)),_xll.BDH(config!$G$4,L$1,WORKDAY($A697,-1,config_Holiday_Calendar_US),WORKDAY($A697,-1,config_Holiday_Calendar_US)),IF(ISNUMBER(_xll.BDH(config!$G$4,L$1,$A697,$A697)),_xll.BDH(config!$G$4,L$1,$A697,$A697),_xll.BDH(config!$G$5,L$1,$A697,$A697))))</f>
        <v/>
      </c>
      <c r="M697" s="8" t="str">
        <f>IF($A697="","",IF(ISNUMBER(FIND("IMPVOL",M$1)),_xll.BDH(config!$G$4,M$1,WORKDAY($A697,-1,config_Holiday_Calendar_US),WORKDAY($A697,-1,config_Holiday_Calendar_US)),IF(ISNUMBER(_xll.BDH(config!$G$4,M$1,$A697,$A697)),_xll.BDH(config!$G$4,M$1,$A697,$A697),_xll.BDH(config!$G$5,M$1,$A697,$A697))))</f>
        <v/>
      </c>
      <c r="N697" s="8" t="str">
        <f>IF($A697="","",IF(ISNUMBER(FIND("IMPVOL",N$1)),_xll.BDH(config!$G$4,N$1,WORKDAY($A697,-1,config_Holiday_Calendar_US),WORKDAY($A697,-1,config_Holiday_Calendar_US)),IF(ISNUMBER(_xll.BDH(config!$G$4,N$1,$A697,$A697)),_xll.BDH(config!$G$4,N$1,$A697,$A697),_xll.BDH(config!$G$5,N$1,$A697,$A697))))</f>
        <v/>
      </c>
      <c r="O697" s="8" t="str">
        <f>IF($A697="","",IF(ISNUMBER(FIND("IMPVOL",O$1)),_xll.BDH(config!$G$4,O$1,WORKDAY($A697,-1,config_Holiday_Calendar_US),WORKDAY($A697,-1,config_Holiday_Calendar_US)),IF(ISNUMBER(_xll.BDH(config!$G$4,O$1,$A697,$A697)),_xll.BDH(config!$G$4,O$1,$A697,$A697),_xll.BDH(config!$G$5,O$1,$A697,$A697))))</f>
        <v/>
      </c>
      <c r="P697" s="8" t="str">
        <f>IF($A697="","",IF(ISNUMBER(FIND("IMPVOL",P$1)),_xll.BDH(config!$G$4,P$1,WORKDAY($A697,-1,config_Holiday_Calendar_US),WORKDAY($A697,-1,config_Holiday_Calendar_US)),IF(ISNUMBER(_xll.BDH(config!$G$4,P$1,$A697,$A697)),_xll.BDH(config!$G$4,P$1,$A697,$A697),_xll.BDH(config!$G$5,P$1,$A697,$A697))))</f>
        <v/>
      </c>
      <c r="Q697" s="8" t="str">
        <f>IF($A697="","",IF(ISNUMBER(FIND("IMPVOL",Q$1)),_xll.BDH(config!$G$4,Q$1,WORKDAY($A697,-1,config_Holiday_Calendar_US),WORKDAY($A697,-1,config_Holiday_Calendar_US)),IF(ISNUMBER(_xll.BDH(config!$G$4,Q$1,$A697,$A697)),_xll.BDH(config!$G$4,Q$1,$A697,$A697),_xll.BDH(config!$G$5,Q$1,$A697,$A697))))</f>
        <v/>
      </c>
      <c r="R697" s="8" t="str">
        <f>IF($A697="","",IF(ISNUMBER(FIND("IMPVOL",R$1)),_xll.BDH(config!$G$4,R$1,WORKDAY($A697,-1,config_Holiday_Calendar_US),WORKDAY($A697,-1,config_Holiday_Calendar_US)),IF(ISNUMBER(_xll.BDH(config!$G$4,R$1,$A697,$A697)),_xll.BDH(config!$G$4,R$1,$A697,$A697),_xll.BDH(config!$G$5,R$1,$A697,$A697))))</f>
        <v/>
      </c>
      <c r="S697" s="8" t="str">
        <f>IF($A697="","",IF(ISNUMBER(FIND("IMPVOL",S$1)),_xll.BDH(config!$G$4,S$1,WORKDAY($A697,-1,config_Holiday_Calendar_US),WORKDAY($A697,-1,config_Holiday_Calendar_US)),IF(ISNUMBER(_xll.BDH(config!$G$4,S$1,$A697,$A697)),_xll.BDH(config!$G$4,S$1,$A697,$A697),_xll.BDH(config!$G$5,S$1,$A697,$A697))))</f>
        <v/>
      </c>
      <c r="T697" s="8" t="str">
        <f>IF($A697="","",IF(ISNUMBER(FIND("IMPVOL",T$1)),_xll.BDH(config!$G$4,T$1,WORKDAY($A697,-1,config_Holiday_Calendar_US),WORKDAY($A697,-1,config_Holiday_Calendar_US)),IF(ISNUMBER(_xll.BDH(config!$G$4,T$1,$A697,$A697)),_xll.BDH(config!$G$4,T$1,$A697,$A697),_xll.BDH(config!$G$5,T$1,$A697,$A697))))</f>
        <v/>
      </c>
      <c r="U697" s="8" t="str">
        <f>IF($A697="","",IF(ISNUMBER(FIND("IMPVOL",U$1)),_xll.BDH(config!$G$4,U$1,WORKDAY($A697,-1,config_Holiday_Calendar_US),WORKDAY($A697,-1,config_Holiday_Calendar_US)),IF(ISNUMBER(_xll.BDH(config!$G$4,U$1,$A697,$A697)),_xll.BDH(config!$G$4,U$1,$A697,$A697),_xll.BDH(config!$G$5,U$1,$A697,$A697))))</f>
        <v/>
      </c>
      <c r="V697" s="8" t="str">
        <f>IF($A697="","",IF(ISNUMBER(FIND("IMPVOL",V$1)),_xll.BDH(config!$G$4,V$1,WORKDAY($A697,-1,config_Holiday_Calendar_US),WORKDAY($A697,-1,config_Holiday_Calendar_US)),IF(ISNUMBER(_xll.BDH(config!$G$4,V$1,$A697,$A697)),_xll.BDH(config!$G$4,V$1,$A697,$A697),_xll.BDH(config!$G$5,V$1,$A697,$A697))))</f>
        <v/>
      </c>
      <c r="W697" s="8" t="str">
        <f>IF($A697="","",IF(ISNUMBER(FIND("IMPVOL",W$1)),_xll.BDH(config!$G$4,W$1,WORKDAY($A697,-1,config_Holiday_Calendar_US),WORKDAY($A697,-1,config_Holiday_Calendar_US)),IF(ISNUMBER(_xll.BDH(config!$G$4,W$1,$A697,$A697)),_xll.BDH(config!$G$4,W$1,$A697,$A697),_xll.BDH(config!$G$5,W$1,$A697,$A697))))</f>
        <v/>
      </c>
    </row>
    <row r="698" spans="1:23" x14ac:dyDescent="0.2">
      <c r="A698" s="9" t="str">
        <f>IF(A697="","",IF(WORKDAY(A697,-1,config_Holiday_Calendar_US)&lt;config!$I$10,"",WORKDAY(A697,-1,config_Holiday_Calendar_US)))</f>
        <v/>
      </c>
      <c r="B698" s="8" t="str">
        <f t="shared" si="10"/>
        <v/>
      </c>
      <c r="C698" s="8" t="str">
        <f>IF(A698="","",_xll.BDH(config!$H$4,C$1,$A698,$A698))</f>
        <v/>
      </c>
      <c r="D698" s="8" t="str">
        <f>IF($A698="","",_xll.BDH(config!$H$4,D$1,$A698,$A698))</f>
        <v/>
      </c>
      <c r="E698" s="8" t="str">
        <f>IF($A698="","",IF(ISNUMBER(FIND("IMPVOL",E$1)),_xll.BDH(config!$G$4,E$1,WORKDAY($A698,-1,config_Holiday_Calendar_US),WORKDAY($A698,-1,config_Holiday_Calendar_US)),IF(ISNUMBER(_xll.BDH(config!$G$4,E$1,$A698,$A698)),_xll.BDH(config!$G$4,E$1,$A698,$A698),_xll.BDH(config!$G$5,E$1,$A698,$A698))))</f>
        <v/>
      </c>
      <c r="F698" s="8" t="str">
        <f>IF($A698="","",IF(ISNUMBER(FIND("IMPVOL",F$1)),_xll.BDH(config!$G$4,F$1,WORKDAY($A698,-1,config_Holiday_Calendar_US),WORKDAY($A698,-1,config_Holiday_Calendar_US)),IF(ISNUMBER(_xll.BDH(config!$G$4,F$1,$A698,$A698)),_xll.BDH(config!$G$4,F$1,$A698,$A698),_xll.BDH(config!$G$5,F$1,$A698,$A698))))</f>
        <v/>
      </c>
      <c r="G698" s="8" t="str">
        <f>IF($A698="","",IF(ISNUMBER(FIND("IMPVOL",G$1)),_xll.BDH(config!$G$4,G$1,WORKDAY($A698,-1,config_Holiday_Calendar_US),WORKDAY($A698,-1,config_Holiday_Calendar_US)),IF(ISNUMBER(_xll.BDH(config!$G$4,G$1,$A698,$A698)),_xll.BDH(config!$G$4,G$1,$A698,$A698),_xll.BDH(config!$G$5,G$1,$A698,$A698))))</f>
        <v/>
      </c>
      <c r="H698" s="8" t="str">
        <f>IF($A698="","",IF(ISNUMBER(FIND("IMPVOL",H$1)),_xll.BDH(config!$G$4,H$1,WORKDAY($A698,-1,config_Holiday_Calendar_US),WORKDAY($A698,-1,config_Holiday_Calendar_US)),IF(ISNUMBER(_xll.BDH(config!$G$4,H$1,$A698,$A698)),_xll.BDH(config!$G$4,H$1,$A698,$A698),_xll.BDH(config!$G$5,H$1,$A698,$A698))))</f>
        <v/>
      </c>
      <c r="I698" s="8" t="str">
        <f>IF($A698="","",IF(ISNUMBER(FIND("IMPVOL",I$1)),_xll.BDH(config!$G$4,I$1,WORKDAY($A698,-1,config_Holiday_Calendar_US),WORKDAY($A698,-1,config_Holiday_Calendar_US)),IF(ISNUMBER(_xll.BDH(config!$G$4,I$1,$A698,$A698)),_xll.BDH(config!$G$4,I$1,$A698,$A698),_xll.BDH(config!$G$5,I$1,$A698,$A698))))</f>
        <v/>
      </c>
      <c r="J698" s="8" t="str">
        <f>IF($A698="","",IF(ISNUMBER(FIND("IMPVOL",J$1)),_xll.BDH(config!$G$4,J$1,WORKDAY($A698,-1,config_Holiday_Calendar_US),WORKDAY($A698,-1,config_Holiday_Calendar_US)),IF(ISNUMBER(_xll.BDH(config!$G$4,J$1,$A698,$A698)),_xll.BDH(config!$G$4,J$1,$A698,$A698),_xll.BDH(config!$G$5,J$1,$A698,$A698))))</f>
        <v/>
      </c>
      <c r="K698" s="8" t="str">
        <f>IF($A698="","",IF(ISNUMBER(FIND("IMPVOL",K$1)),_xll.BDH(config!$G$4,K$1,WORKDAY($A698,-1,config_Holiday_Calendar_US),WORKDAY($A698,-1,config_Holiday_Calendar_US)),IF(ISNUMBER(_xll.BDH(config!$G$4,K$1,$A698,$A698)),_xll.BDH(config!$G$4,K$1,$A698,$A698),_xll.BDH(config!$G$5,K$1,$A698,$A698))))</f>
        <v/>
      </c>
      <c r="L698" s="8" t="str">
        <f>IF($A698="","",IF(ISNUMBER(FIND("IMPVOL",L$1)),_xll.BDH(config!$G$4,L$1,WORKDAY($A698,-1,config_Holiday_Calendar_US),WORKDAY($A698,-1,config_Holiday_Calendar_US)),IF(ISNUMBER(_xll.BDH(config!$G$4,L$1,$A698,$A698)),_xll.BDH(config!$G$4,L$1,$A698,$A698),_xll.BDH(config!$G$5,L$1,$A698,$A698))))</f>
        <v/>
      </c>
      <c r="M698" s="8" t="str">
        <f>IF($A698="","",IF(ISNUMBER(FIND("IMPVOL",M$1)),_xll.BDH(config!$G$4,M$1,WORKDAY($A698,-1,config_Holiday_Calendar_US),WORKDAY($A698,-1,config_Holiday_Calendar_US)),IF(ISNUMBER(_xll.BDH(config!$G$4,M$1,$A698,$A698)),_xll.BDH(config!$G$4,M$1,$A698,$A698),_xll.BDH(config!$G$5,M$1,$A698,$A698))))</f>
        <v/>
      </c>
      <c r="N698" s="8" t="str">
        <f>IF($A698="","",IF(ISNUMBER(FIND("IMPVOL",N$1)),_xll.BDH(config!$G$4,N$1,WORKDAY($A698,-1,config_Holiday_Calendar_US),WORKDAY($A698,-1,config_Holiday_Calendar_US)),IF(ISNUMBER(_xll.BDH(config!$G$4,N$1,$A698,$A698)),_xll.BDH(config!$G$4,N$1,$A698,$A698),_xll.BDH(config!$G$5,N$1,$A698,$A698))))</f>
        <v/>
      </c>
      <c r="O698" s="8" t="str">
        <f>IF($A698="","",IF(ISNUMBER(FIND("IMPVOL",O$1)),_xll.BDH(config!$G$4,O$1,WORKDAY($A698,-1,config_Holiday_Calendar_US),WORKDAY($A698,-1,config_Holiday_Calendar_US)),IF(ISNUMBER(_xll.BDH(config!$G$4,O$1,$A698,$A698)),_xll.BDH(config!$G$4,O$1,$A698,$A698),_xll.BDH(config!$G$5,O$1,$A698,$A698))))</f>
        <v/>
      </c>
      <c r="P698" s="8" t="str">
        <f>IF($A698="","",IF(ISNUMBER(FIND("IMPVOL",P$1)),_xll.BDH(config!$G$4,P$1,WORKDAY($A698,-1,config_Holiday_Calendar_US),WORKDAY($A698,-1,config_Holiday_Calendar_US)),IF(ISNUMBER(_xll.BDH(config!$G$4,P$1,$A698,$A698)),_xll.BDH(config!$G$4,P$1,$A698,$A698),_xll.BDH(config!$G$5,P$1,$A698,$A698))))</f>
        <v/>
      </c>
      <c r="Q698" s="8" t="str">
        <f>IF($A698="","",IF(ISNUMBER(FIND("IMPVOL",Q$1)),_xll.BDH(config!$G$4,Q$1,WORKDAY($A698,-1,config_Holiday_Calendar_US),WORKDAY($A698,-1,config_Holiday_Calendar_US)),IF(ISNUMBER(_xll.BDH(config!$G$4,Q$1,$A698,$A698)),_xll.BDH(config!$G$4,Q$1,$A698,$A698),_xll.BDH(config!$G$5,Q$1,$A698,$A698))))</f>
        <v/>
      </c>
      <c r="R698" s="8" t="str">
        <f>IF($A698="","",IF(ISNUMBER(FIND("IMPVOL",R$1)),_xll.BDH(config!$G$4,R$1,WORKDAY($A698,-1,config_Holiday_Calendar_US),WORKDAY($A698,-1,config_Holiday_Calendar_US)),IF(ISNUMBER(_xll.BDH(config!$G$4,R$1,$A698,$A698)),_xll.BDH(config!$G$4,R$1,$A698,$A698),_xll.BDH(config!$G$5,R$1,$A698,$A698))))</f>
        <v/>
      </c>
      <c r="S698" s="8" t="str">
        <f>IF($A698="","",IF(ISNUMBER(FIND("IMPVOL",S$1)),_xll.BDH(config!$G$4,S$1,WORKDAY($A698,-1,config_Holiday_Calendar_US),WORKDAY($A698,-1,config_Holiday_Calendar_US)),IF(ISNUMBER(_xll.BDH(config!$G$4,S$1,$A698,$A698)),_xll.BDH(config!$G$4,S$1,$A698,$A698),_xll.BDH(config!$G$5,S$1,$A698,$A698))))</f>
        <v/>
      </c>
      <c r="T698" s="8" t="str">
        <f>IF($A698="","",IF(ISNUMBER(FIND("IMPVOL",T$1)),_xll.BDH(config!$G$4,T$1,WORKDAY($A698,-1,config_Holiday_Calendar_US),WORKDAY($A698,-1,config_Holiday_Calendar_US)),IF(ISNUMBER(_xll.BDH(config!$G$4,T$1,$A698,$A698)),_xll.BDH(config!$G$4,T$1,$A698,$A698),_xll.BDH(config!$G$5,T$1,$A698,$A698))))</f>
        <v/>
      </c>
      <c r="U698" s="8" t="str">
        <f>IF($A698="","",IF(ISNUMBER(FIND("IMPVOL",U$1)),_xll.BDH(config!$G$4,U$1,WORKDAY($A698,-1,config_Holiday_Calendar_US),WORKDAY($A698,-1,config_Holiday_Calendar_US)),IF(ISNUMBER(_xll.BDH(config!$G$4,U$1,$A698,$A698)),_xll.BDH(config!$G$4,U$1,$A698,$A698),_xll.BDH(config!$G$5,U$1,$A698,$A698))))</f>
        <v/>
      </c>
      <c r="V698" s="8" t="str">
        <f>IF($A698="","",IF(ISNUMBER(FIND("IMPVOL",V$1)),_xll.BDH(config!$G$4,V$1,WORKDAY($A698,-1,config_Holiday_Calendar_US),WORKDAY($A698,-1,config_Holiday_Calendar_US)),IF(ISNUMBER(_xll.BDH(config!$G$4,V$1,$A698,$A698)),_xll.BDH(config!$G$4,V$1,$A698,$A698),_xll.BDH(config!$G$5,V$1,$A698,$A698))))</f>
        <v/>
      </c>
      <c r="W698" s="8" t="str">
        <f>IF($A698="","",IF(ISNUMBER(FIND("IMPVOL",W$1)),_xll.BDH(config!$G$4,W$1,WORKDAY($A698,-1,config_Holiday_Calendar_US),WORKDAY($A698,-1,config_Holiday_Calendar_US)),IF(ISNUMBER(_xll.BDH(config!$G$4,W$1,$A698,$A698)),_xll.BDH(config!$G$4,W$1,$A698,$A698),_xll.BDH(config!$G$5,W$1,$A698,$A698))))</f>
        <v/>
      </c>
    </row>
    <row r="699" spans="1:23" x14ac:dyDescent="0.2">
      <c r="A699" s="9" t="str">
        <f>IF(A698="","",IF(WORKDAY(A698,-1,config_Holiday_Calendar_US)&lt;config!$I$10,"",WORKDAY(A698,-1,config_Holiday_Calendar_US)))</f>
        <v/>
      </c>
      <c r="B699" s="8" t="str">
        <f t="shared" si="10"/>
        <v/>
      </c>
      <c r="C699" s="8" t="str">
        <f>IF(A699="","",_xll.BDH(config!$H$4,C$1,$A699,$A699))</f>
        <v/>
      </c>
      <c r="D699" s="8" t="str">
        <f>IF($A699="","",_xll.BDH(config!$H$4,D$1,$A699,$A699))</f>
        <v/>
      </c>
      <c r="E699" s="8" t="str">
        <f>IF($A699="","",IF(ISNUMBER(FIND("IMPVOL",E$1)),_xll.BDH(config!$G$4,E$1,WORKDAY($A699,-1,config_Holiday_Calendar_US),WORKDAY($A699,-1,config_Holiday_Calendar_US)),IF(ISNUMBER(_xll.BDH(config!$G$4,E$1,$A699,$A699)),_xll.BDH(config!$G$4,E$1,$A699,$A699),_xll.BDH(config!$G$5,E$1,$A699,$A699))))</f>
        <v/>
      </c>
      <c r="F699" s="8" t="str">
        <f>IF($A699="","",IF(ISNUMBER(FIND("IMPVOL",F$1)),_xll.BDH(config!$G$4,F$1,WORKDAY($A699,-1,config_Holiday_Calendar_US),WORKDAY($A699,-1,config_Holiday_Calendar_US)),IF(ISNUMBER(_xll.BDH(config!$G$4,F$1,$A699,$A699)),_xll.BDH(config!$G$4,F$1,$A699,$A699),_xll.BDH(config!$G$5,F$1,$A699,$A699))))</f>
        <v/>
      </c>
      <c r="G699" s="8" t="str">
        <f>IF($A699="","",IF(ISNUMBER(FIND("IMPVOL",G$1)),_xll.BDH(config!$G$4,G$1,WORKDAY($A699,-1,config_Holiday_Calendar_US),WORKDAY($A699,-1,config_Holiday_Calendar_US)),IF(ISNUMBER(_xll.BDH(config!$G$4,G$1,$A699,$A699)),_xll.BDH(config!$G$4,G$1,$A699,$A699),_xll.BDH(config!$G$5,G$1,$A699,$A699))))</f>
        <v/>
      </c>
      <c r="H699" s="8" t="str">
        <f>IF($A699="","",IF(ISNUMBER(FIND("IMPVOL",H$1)),_xll.BDH(config!$G$4,H$1,WORKDAY($A699,-1,config_Holiday_Calendar_US),WORKDAY($A699,-1,config_Holiday_Calendar_US)),IF(ISNUMBER(_xll.BDH(config!$G$4,H$1,$A699,$A699)),_xll.BDH(config!$G$4,H$1,$A699,$A699),_xll.BDH(config!$G$5,H$1,$A699,$A699))))</f>
        <v/>
      </c>
      <c r="I699" s="8" t="str">
        <f>IF($A699="","",IF(ISNUMBER(FIND("IMPVOL",I$1)),_xll.BDH(config!$G$4,I$1,WORKDAY($A699,-1,config_Holiday_Calendar_US),WORKDAY($A699,-1,config_Holiday_Calendar_US)),IF(ISNUMBER(_xll.BDH(config!$G$4,I$1,$A699,$A699)),_xll.BDH(config!$G$4,I$1,$A699,$A699),_xll.BDH(config!$G$5,I$1,$A699,$A699))))</f>
        <v/>
      </c>
      <c r="J699" s="8" t="str">
        <f>IF($A699="","",IF(ISNUMBER(FIND("IMPVOL",J$1)),_xll.BDH(config!$G$4,J$1,WORKDAY($A699,-1,config_Holiday_Calendar_US),WORKDAY($A699,-1,config_Holiday_Calendar_US)),IF(ISNUMBER(_xll.BDH(config!$G$4,J$1,$A699,$A699)),_xll.BDH(config!$G$4,J$1,$A699,$A699),_xll.BDH(config!$G$5,J$1,$A699,$A699))))</f>
        <v/>
      </c>
      <c r="K699" s="8" t="str">
        <f>IF($A699="","",IF(ISNUMBER(FIND("IMPVOL",K$1)),_xll.BDH(config!$G$4,K$1,WORKDAY($A699,-1,config_Holiday_Calendar_US),WORKDAY($A699,-1,config_Holiday_Calendar_US)),IF(ISNUMBER(_xll.BDH(config!$G$4,K$1,$A699,$A699)),_xll.BDH(config!$G$4,K$1,$A699,$A699),_xll.BDH(config!$G$5,K$1,$A699,$A699))))</f>
        <v/>
      </c>
      <c r="L699" s="8" t="str">
        <f>IF($A699="","",IF(ISNUMBER(FIND("IMPVOL",L$1)),_xll.BDH(config!$G$4,L$1,WORKDAY($A699,-1,config_Holiday_Calendar_US),WORKDAY($A699,-1,config_Holiday_Calendar_US)),IF(ISNUMBER(_xll.BDH(config!$G$4,L$1,$A699,$A699)),_xll.BDH(config!$G$4,L$1,$A699,$A699),_xll.BDH(config!$G$5,L$1,$A699,$A699))))</f>
        <v/>
      </c>
      <c r="M699" s="8" t="str">
        <f>IF($A699="","",IF(ISNUMBER(FIND("IMPVOL",M$1)),_xll.BDH(config!$G$4,M$1,WORKDAY($A699,-1,config_Holiday_Calendar_US),WORKDAY($A699,-1,config_Holiday_Calendar_US)),IF(ISNUMBER(_xll.BDH(config!$G$4,M$1,$A699,$A699)),_xll.BDH(config!$G$4,M$1,$A699,$A699),_xll.BDH(config!$G$5,M$1,$A699,$A699))))</f>
        <v/>
      </c>
      <c r="N699" s="8" t="str">
        <f>IF($A699="","",IF(ISNUMBER(FIND("IMPVOL",N$1)),_xll.BDH(config!$G$4,N$1,WORKDAY($A699,-1,config_Holiday_Calendar_US),WORKDAY($A699,-1,config_Holiday_Calendar_US)),IF(ISNUMBER(_xll.BDH(config!$G$4,N$1,$A699,$A699)),_xll.BDH(config!$G$4,N$1,$A699,$A699),_xll.BDH(config!$G$5,N$1,$A699,$A699))))</f>
        <v/>
      </c>
      <c r="O699" s="8" t="str">
        <f>IF($A699="","",IF(ISNUMBER(FIND("IMPVOL",O$1)),_xll.BDH(config!$G$4,O$1,WORKDAY($A699,-1,config_Holiday_Calendar_US),WORKDAY($A699,-1,config_Holiday_Calendar_US)),IF(ISNUMBER(_xll.BDH(config!$G$4,O$1,$A699,$A699)),_xll.BDH(config!$G$4,O$1,$A699,$A699),_xll.BDH(config!$G$5,O$1,$A699,$A699))))</f>
        <v/>
      </c>
      <c r="P699" s="8" t="str">
        <f>IF($A699="","",IF(ISNUMBER(FIND("IMPVOL",P$1)),_xll.BDH(config!$G$4,P$1,WORKDAY($A699,-1,config_Holiday_Calendar_US),WORKDAY($A699,-1,config_Holiday_Calendar_US)),IF(ISNUMBER(_xll.BDH(config!$G$4,P$1,$A699,$A699)),_xll.BDH(config!$G$4,P$1,$A699,$A699),_xll.BDH(config!$G$5,P$1,$A699,$A699))))</f>
        <v/>
      </c>
      <c r="Q699" s="8" t="str">
        <f>IF($A699="","",IF(ISNUMBER(FIND("IMPVOL",Q$1)),_xll.BDH(config!$G$4,Q$1,WORKDAY($A699,-1,config_Holiday_Calendar_US),WORKDAY($A699,-1,config_Holiday_Calendar_US)),IF(ISNUMBER(_xll.BDH(config!$G$4,Q$1,$A699,$A699)),_xll.BDH(config!$G$4,Q$1,$A699,$A699),_xll.BDH(config!$G$5,Q$1,$A699,$A699))))</f>
        <v/>
      </c>
      <c r="R699" s="8" t="str">
        <f>IF($A699="","",IF(ISNUMBER(FIND("IMPVOL",R$1)),_xll.BDH(config!$G$4,R$1,WORKDAY($A699,-1,config_Holiday_Calendar_US),WORKDAY($A699,-1,config_Holiday_Calendar_US)),IF(ISNUMBER(_xll.BDH(config!$G$4,R$1,$A699,$A699)),_xll.BDH(config!$G$4,R$1,$A699,$A699),_xll.BDH(config!$G$5,R$1,$A699,$A699))))</f>
        <v/>
      </c>
      <c r="S699" s="8" t="str">
        <f>IF($A699="","",IF(ISNUMBER(FIND("IMPVOL",S$1)),_xll.BDH(config!$G$4,S$1,WORKDAY($A699,-1,config_Holiday_Calendar_US),WORKDAY($A699,-1,config_Holiday_Calendar_US)),IF(ISNUMBER(_xll.BDH(config!$G$4,S$1,$A699,$A699)),_xll.BDH(config!$G$4,S$1,$A699,$A699),_xll.BDH(config!$G$5,S$1,$A699,$A699))))</f>
        <v/>
      </c>
      <c r="T699" s="8" t="str">
        <f>IF($A699="","",IF(ISNUMBER(FIND("IMPVOL",T$1)),_xll.BDH(config!$G$4,T$1,WORKDAY($A699,-1,config_Holiday_Calendar_US),WORKDAY($A699,-1,config_Holiday_Calendar_US)),IF(ISNUMBER(_xll.BDH(config!$G$4,T$1,$A699,$A699)),_xll.BDH(config!$G$4,T$1,$A699,$A699),_xll.BDH(config!$G$5,T$1,$A699,$A699))))</f>
        <v/>
      </c>
      <c r="U699" s="8" t="str">
        <f>IF($A699="","",IF(ISNUMBER(FIND("IMPVOL",U$1)),_xll.BDH(config!$G$4,U$1,WORKDAY($A699,-1,config_Holiday_Calendar_US),WORKDAY($A699,-1,config_Holiday_Calendar_US)),IF(ISNUMBER(_xll.BDH(config!$G$4,U$1,$A699,$A699)),_xll.BDH(config!$G$4,U$1,$A699,$A699),_xll.BDH(config!$G$5,U$1,$A699,$A699))))</f>
        <v/>
      </c>
      <c r="V699" s="8" t="str">
        <f>IF($A699="","",IF(ISNUMBER(FIND("IMPVOL",V$1)),_xll.BDH(config!$G$4,V$1,WORKDAY($A699,-1,config_Holiday_Calendar_US),WORKDAY($A699,-1,config_Holiday_Calendar_US)),IF(ISNUMBER(_xll.BDH(config!$G$4,V$1,$A699,$A699)),_xll.BDH(config!$G$4,V$1,$A699,$A699),_xll.BDH(config!$G$5,V$1,$A699,$A699))))</f>
        <v/>
      </c>
      <c r="W699" s="8" t="str">
        <f>IF($A699="","",IF(ISNUMBER(FIND("IMPVOL",W$1)),_xll.BDH(config!$G$4,W$1,WORKDAY($A699,-1,config_Holiday_Calendar_US),WORKDAY($A699,-1,config_Holiday_Calendar_US)),IF(ISNUMBER(_xll.BDH(config!$G$4,W$1,$A699,$A699)),_xll.BDH(config!$G$4,W$1,$A699,$A699),_xll.BDH(config!$G$5,W$1,$A699,$A699))))</f>
        <v/>
      </c>
    </row>
    <row r="700" spans="1:23" x14ac:dyDescent="0.2">
      <c r="A700" s="9" t="str">
        <f>IF(A699="","",IF(WORKDAY(A699,-1,config_Holiday_Calendar_US)&lt;config!$I$10,"",WORKDAY(A699,-1,config_Holiday_Calendar_US)))</f>
        <v/>
      </c>
      <c r="B700" s="8" t="str">
        <f t="shared" si="10"/>
        <v/>
      </c>
      <c r="C700" s="8" t="str">
        <f>IF(A700="","",_xll.BDH(config!$H$4,C$1,$A700,$A700))</f>
        <v/>
      </c>
      <c r="D700" s="8" t="str">
        <f>IF($A700="","",_xll.BDH(config!$H$4,D$1,$A700,$A700))</f>
        <v/>
      </c>
      <c r="E700" s="8" t="str">
        <f>IF($A700="","",IF(ISNUMBER(FIND("IMPVOL",E$1)),_xll.BDH(config!$G$4,E$1,WORKDAY($A700,-1,config_Holiday_Calendar_US),WORKDAY($A700,-1,config_Holiday_Calendar_US)),IF(ISNUMBER(_xll.BDH(config!$G$4,E$1,$A700,$A700)),_xll.BDH(config!$G$4,E$1,$A700,$A700),_xll.BDH(config!$G$5,E$1,$A700,$A700))))</f>
        <v/>
      </c>
      <c r="F700" s="8" t="str">
        <f>IF($A700="","",IF(ISNUMBER(FIND("IMPVOL",F$1)),_xll.BDH(config!$G$4,F$1,WORKDAY($A700,-1,config_Holiday_Calendar_US),WORKDAY($A700,-1,config_Holiday_Calendar_US)),IF(ISNUMBER(_xll.BDH(config!$G$4,F$1,$A700,$A700)),_xll.BDH(config!$G$4,F$1,$A700,$A700),_xll.BDH(config!$G$5,F$1,$A700,$A700))))</f>
        <v/>
      </c>
      <c r="G700" s="8" t="str">
        <f>IF($A700="","",IF(ISNUMBER(FIND("IMPVOL",G$1)),_xll.BDH(config!$G$4,G$1,WORKDAY($A700,-1,config_Holiday_Calendar_US),WORKDAY($A700,-1,config_Holiday_Calendar_US)),IF(ISNUMBER(_xll.BDH(config!$G$4,G$1,$A700,$A700)),_xll.BDH(config!$G$4,G$1,$A700,$A700),_xll.BDH(config!$G$5,G$1,$A700,$A700))))</f>
        <v/>
      </c>
      <c r="H700" s="8" t="str">
        <f>IF($A700="","",IF(ISNUMBER(FIND("IMPVOL",H$1)),_xll.BDH(config!$G$4,H$1,WORKDAY($A700,-1,config_Holiday_Calendar_US),WORKDAY($A700,-1,config_Holiday_Calendar_US)),IF(ISNUMBER(_xll.BDH(config!$G$4,H$1,$A700,$A700)),_xll.BDH(config!$G$4,H$1,$A700,$A700),_xll.BDH(config!$G$5,H$1,$A700,$A700))))</f>
        <v/>
      </c>
      <c r="I700" s="8" t="str">
        <f>IF($A700="","",IF(ISNUMBER(FIND("IMPVOL",I$1)),_xll.BDH(config!$G$4,I$1,WORKDAY($A700,-1,config_Holiday_Calendar_US),WORKDAY($A700,-1,config_Holiday_Calendar_US)),IF(ISNUMBER(_xll.BDH(config!$G$4,I$1,$A700,$A700)),_xll.BDH(config!$G$4,I$1,$A700,$A700),_xll.BDH(config!$G$5,I$1,$A700,$A700))))</f>
        <v/>
      </c>
      <c r="J700" s="8" t="str">
        <f>IF($A700="","",IF(ISNUMBER(FIND("IMPVOL",J$1)),_xll.BDH(config!$G$4,J$1,WORKDAY($A700,-1,config_Holiday_Calendar_US),WORKDAY($A700,-1,config_Holiday_Calendar_US)),IF(ISNUMBER(_xll.BDH(config!$G$4,J$1,$A700,$A700)),_xll.BDH(config!$G$4,J$1,$A700,$A700),_xll.BDH(config!$G$5,J$1,$A700,$A700))))</f>
        <v/>
      </c>
      <c r="K700" s="8" t="str">
        <f>IF($A700="","",IF(ISNUMBER(FIND("IMPVOL",K$1)),_xll.BDH(config!$G$4,K$1,WORKDAY($A700,-1,config_Holiday_Calendar_US),WORKDAY($A700,-1,config_Holiday_Calendar_US)),IF(ISNUMBER(_xll.BDH(config!$G$4,K$1,$A700,$A700)),_xll.BDH(config!$G$4,K$1,$A700,$A700),_xll.BDH(config!$G$5,K$1,$A700,$A700))))</f>
        <v/>
      </c>
      <c r="L700" s="8" t="str">
        <f>IF($A700="","",IF(ISNUMBER(FIND("IMPVOL",L$1)),_xll.BDH(config!$G$4,L$1,WORKDAY($A700,-1,config_Holiday_Calendar_US),WORKDAY($A700,-1,config_Holiday_Calendar_US)),IF(ISNUMBER(_xll.BDH(config!$G$4,L$1,$A700,$A700)),_xll.BDH(config!$G$4,L$1,$A700,$A700),_xll.BDH(config!$G$5,L$1,$A700,$A700))))</f>
        <v/>
      </c>
      <c r="M700" s="8" t="str">
        <f>IF($A700="","",IF(ISNUMBER(FIND("IMPVOL",M$1)),_xll.BDH(config!$G$4,M$1,WORKDAY($A700,-1,config_Holiday_Calendar_US),WORKDAY($A700,-1,config_Holiday_Calendar_US)),IF(ISNUMBER(_xll.BDH(config!$G$4,M$1,$A700,$A700)),_xll.BDH(config!$G$4,M$1,$A700,$A700),_xll.BDH(config!$G$5,M$1,$A700,$A700))))</f>
        <v/>
      </c>
      <c r="N700" s="8" t="str">
        <f>IF($A700="","",IF(ISNUMBER(FIND("IMPVOL",N$1)),_xll.BDH(config!$G$4,N$1,WORKDAY($A700,-1,config_Holiday_Calendar_US),WORKDAY($A700,-1,config_Holiday_Calendar_US)),IF(ISNUMBER(_xll.BDH(config!$G$4,N$1,$A700,$A700)),_xll.BDH(config!$G$4,N$1,$A700,$A700),_xll.BDH(config!$G$5,N$1,$A700,$A700))))</f>
        <v/>
      </c>
      <c r="O700" s="8" t="str">
        <f>IF($A700="","",IF(ISNUMBER(FIND("IMPVOL",O$1)),_xll.BDH(config!$G$4,O$1,WORKDAY($A700,-1,config_Holiday_Calendar_US),WORKDAY($A700,-1,config_Holiday_Calendar_US)),IF(ISNUMBER(_xll.BDH(config!$G$4,O$1,$A700,$A700)),_xll.BDH(config!$G$4,O$1,$A700,$A700),_xll.BDH(config!$G$5,O$1,$A700,$A700))))</f>
        <v/>
      </c>
      <c r="P700" s="8" t="str">
        <f>IF($A700="","",IF(ISNUMBER(FIND("IMPVOL",P$1)),_xll.BDH(config!$G$4,P$1,WORKDAY($A700,-1,config_Holiday_Calendar_US),WORKDAY($A700,-1,config_Holiday_Calendar_US)),IF(ISNUMBER(_xll.BDH(config!$G$4,P$1,$A700,$A700)),_xll.BDH(config!$G$4,P$1,$A700,$A700),_xll.BDH(config!$G$5,P$1,$A700,$A700))))</f>
        <v/>
      </c>
      <c r="Q700" s="8" t="str">
        <f>IF($A700="","",IF(ISNUMBER(FIND("IMPVOL",Q$1)),_xll.BDH(config!$G$4,Q$1,WORKDAY($A700,-1,config_Holiday_Calendar_US),WORKDAY($A700,-1,config_Holiday_Calendar_US)),IF(ISNUMBER(_xll.BDH(config!$G$4,Q$1,$A700,$A700)),_xll.BDH(config!$G$4,Q$1,$A700,$A700),_xll.BDH(config!$G$5,Q$1,$A700,$A700))))</f>
        <v/>
      </c>
      <c r="R700" s="8" t="str">
        <f>IF($A700="","",IF(ISNUMBER(FIND("IMPVOL",R$1)),_xll.BDH(config!$G$4,R$1,WORKDAY($A700,-1,config_Holiday_Calendar_US),WORKDAY($A700,-1,config_Holiday_Calendar_US)),IF(ISNUMBER(_xll.BDH(config!$G$4,R$1,$A700,$A700)),_xll.BDH(config!$G$4,R$1,$A700,$A700),_xll.BDH(config!$G$5,R$1,$A700,$A700))))</f>
        <v/>
      </c>
      <c r="S700" s="8" t="str">
        <f>IF($A700="","",IF(ISNUMBER(FIND("IMPVOL",S$1)),_xll.BDH(config!$G$4,S$1,WORKDAY($A700,-1,config_Holiday_Calendar_US),WORKDAY($A700,-1,config_Holiday_Calendar_US)),IF(ISNUMBER(_xll.BDH(config!$G$4,S$1,$A700,$A700)),_xll.BDH(config!$G$4,S$1,$A700,$A700),_xll.BDH(config!$G$5,S$1,$A700,$A700))))</f>
        <v/>
      </c>
      <c r="T700" s="8" t="str">
        <f>IF($A700="","",IF(ISNUMBER(FIND("IMPVOL",T$1)),_xll.BDH(config!$G$4,T$1,WORKDAY($A700,-1,config_Holiday_Calendar_US),WORKDAY($A700,-1,config_Holiday_Calendar_US)),IF(ISNUMBER(_xll.BDH(config!$G$4,T$1,$A700,$A700)),_xll.BDH(config!$G$4,T$1,$A700,$A700),_xll.BDH(config!$G$5,T$1,$A700,$A700))))</f>
        <v/>
      </c>
      <c r="U700" s="8" t="str">
        <f>IF($A700="","",IF(ISNUMBER(FIND("IMPVOL",U$1)),_xll.BDH(config!$G$4,U$1,WORKDAY($A700,-1,config_Holiday_Calendar_US),WORKDAY($A700,-1,config_Holiday_Calendar_US)),IF(ISNUMBER(_xll.BDH(config!$G$4,U$1,$A700,$A700)),_xll.BDH(config!$G$4,U$1,$A700,$A700),_xll.BDH(config!$G$5,U$1,$A700,$A700))))</f>
        <v/>
      </c>
      <c r="V700" s="8" t="str">
        <f>IF($A700="","",IF(ISNUMBER(FIND("IMPVOL",V$1)),_xll.BDH(config!$G$4,V$1,WORKDAY($A700,-1,config_Holiday_Calendar_US),WORKDAY($A700,-1,config_Holiday_Calendar_US)),IF(ISNUMBER(_xll.BDH(config!$G$4,V$1,$A700,$A700)),_xll.BDH(config!$G$4,V$1,$A700,$A700),_xll.BDH(config!$G$5,V$1,$A700,$A700))))</f>
        <v/>
      </c>
      <c r="W700" s="8" t="str">
        <f>IF($A700="","",IF(ISNUMBER(FIND("IMPVOL",W$1)),_xll.BDH(config!$G$4,W$1,WORKDAY($A700,-1,config_Holiday_Calendar_US),WORKDAY($A700,-1,config_Holiday_Calendar_US)),IF(ISNUMBER(_xll.BDH(config!$G$4,W$1,$A700,$A700)),_xll.BDH(config!$G$4,W$1,$A700,$A700),_xll.BDH(config!$G$5,W$1,$A700,$A700))))</f>
        <v/>
      </c>
    </row>
    <row r="701" spans="1:23" x14ac:dyDescent="0.2">
      <c r="A701" s="9" t="str">
        <f>IF(A700="","",IF(WORKDAY(A700,-1,config_Holiday_Calendar_US)&lt;config!$I$10,"",WORKDAY(A700,-1,config_Holiday_Calendar_US)))</f>
        <v/>
      </c>
      <c r="B701" s="8" t="str">
        <f t="shared" si="10"/>
        <v/>
      </c>
      <c r="C701" s="8" t="str">
        <f>IF(A701="","",_xll.BDH(config!$H$4,C$1,$A701,$A701))</f>
        <v/>
      </c>
      <c r="D701" s="8" t="str">
        <f>IF($A701="","",_xll.BDH(config!$H$4,D$1,$A701,$A701))</f>
        <v/>
      </c>
      <c r="E701" s="8" t="str">
        <f>IF($A701="","",IF(ISNUMBER(FIND("IMPVOL",E$1)),_xll.BDH(config!$G$4,E$1,WORKDAY($A701,-1,config_Holiday_Calendar_US),WORKDAY($A701,-1,config_Holiday_Calendar_US)),IF(ISNUMBER(_xll.BDH(config!$G$4,E$1,$A701,$A701)),_xll.BDH(config!$G$4,E$1,$A701,$A701),_xll.BDH(config!$G$5,E$1,$A701,$A701))))</f>
        <v/>
      </c>
      <c r="F701" s="8" t="str">
        <f>IF($A701="","",IF(ISNUMBER(FIND("IMPVOL",F$1)),_xll.BDH(config!$G$4,F$1,WORKDAY($A701,-1,config_Holiday_Calendar_US),WORKDAY($A701,-1,config_Holiday_Calendar_US)),IF(ISNUMBER(_xll.BDH(config!$G$4,F$1,$A701,$A701)),_xll.BDH(config!$G$4,F$1,$A701,$A701),_xll.BDH(config!$G$5,F$1,$A701,$A701))))</f>
        <v/>
      </c>
      <c r="G701" s="8" t="str">
        <f>IF($A701="","",IF(ISNUMBER(FIND("IMPVOL",G$1)),_xll.BDH(config!$G$4,G$1,WORKDAY($A701,-1,config_Holiday_Calendar_US),WORKDAY($A701,-1,config_Holiday_Calendar_US)),IF(ISNUMBER(_xll.BDH(config!$G$4,G$1,$A701,$A701)),_xll.BDH(config!$G$4,G$1,$A701,$A701),_xll.BDH(config!$G$5,G$1,$A701,$A701))))</f>
        <v/>
      </c>
      <c r="H701" s="8" t="str">
        <f>IF($A701="","",IF(ISNUMBER(FIND("IMPVOL",H$1)),_xll.BDH(config!$G$4,H$1,WORKDAY($A701,-1,config_Holiday_Calendar_US),WORKDAY($A701,-1,config_Holiday_Calendar_US)),IF(ISNUMBER(_xll.BDH(config!$G$4,H$1,$A701,$A701)),_xll.BDH(config!$G$4,H$1,$A701,$A701),_xll.BDH(config!$G$5,H$1,$A701,$A701))))</f>
        <v/>
      </c>
      <c r="I701" s="8" t="str">
        <f>IF($A701="","",IF(ISNUMBER(FIND("IMPVOL",I$1)),_xll.BDH(config!$G$4,I$1,WORKDAY($A701,-1,config_Holiday_Calendar_US),WORKDAY($A701,-1,config_Holiday_Calendar_US)),IF(ISNUMBER(_xll.BDH(config!$G$4,I$1,$A701,$A701)),_xll.BDH(config!$G$4,I$1,$A701,$A701),_xll.BDH(config!$G$5,I$1,$A701,$A701))))</f>
        <v/>
      </c>
      <c r="J701" s="8" t="str">
        <f>IF($A701="","",IF(ISNUMBER(FIND("IMPVOL",J$1)),_xll.BDH(config!$G$4,J$1,WORKDAY($A701,-1,config_Holiday_Calendar_US),WORKDAY($A701,-1,config_Holiday_Calendar_US)),IF(ISNUMBER(_xll.BDH(config!$G$4,J$1,$A701,$A701)),_xll.BDH(config!$G$4,J$1,$A701,$A701),_xll.BDH(config!$G$5,J$1,$A701,$A701))))</f>
        <v/>
      </c>
      <c r="K701" s="8" t="str">
        <f>IF($A701="","",IF(ISNUMBER(FIND("IMPVOL",K$1)),_xll.BDH(config!$G$4,K$1,WORKDAY($A701,-1,config_Holiday_Calendar_US),WORKDAY($A701,-1,config_Holiday_Calendar_US)),IF(ISNUMBER(_xll.BDH(config!$G$4,K$1,$A701,$A701)),_xll.BDH(config!$G$4,K$1,$A701,$A701),_xll.BDH(config!$G$5,K$1,$A701,$A701))))</f>
        <v/>
      </c>
      <c r="L701" s="8" t="str">
        <f>IF($A701="","",IF(ISNUMBER(FIND("IMPVOL",L$1)),_xll.BDH(config!$G$4,L$1,WORKDAY($A701,-1,config_Holiday_Calendar_US),WORKDAY($A701,-1,config_Holiday_Calendar_US)),IF(ISNUMBER(_xll.BDH(config!$G$4,L$1,$A701,$A701)),_xll.BDH(config!$G$4,L$1,$A701,$A701),_xll.BDH(config!$G$5,L$1,$A701,$A701))))</f>
        <v/>
      </c>
      <c r="M701" s="8" t="str">
        <f>IF($A701="","",IF(ISNUMBER(FIND("IMPVOL",M$1)),_xll.BDH(config!$G$4,M$1,WORKDAY($A701,-1,config_Holiday_Calendar_US),WORKDAY($A701,-1,config_Holiday_Calendar_US)),IF(ISNUMBER(_xll.BDH(config!$G$4,M$1,$A701,$A701)),_xll.BDH(config!$G$4,M$1,$A701,$A701),_xll.BDH(config!$G$5,M$1,$A701,$A701))))</f>
        <v/>
      </c>
      <c r="N701" s="8" t="str">
        <f>IF($A701="","",IF(ISNUMBER(FIND("IMPVOL",N$1)),_xll.BDH(config!$G$4,N$1,WORKDAY($A701,-1,config_Holiday_Calendar_US),WORKDAY($A701,-1,config_Holiday_Calendar_US)),IF(ISNUMBER(_xll.BDH(config!$G$4,N$1,$A701,$A701)),_xll.BDH(config!$G$4,N$1,$A701,$A701),_xll.BDH(config!$G$5,N$1,$A701,$A701))))</f>
        <v/>
      </c>
      <c r="O701" s="8" t="str">
        <f>IF($A701="","",IF(ISNUMBER(FIND("IMPVOL",O$1)),_xll.BDH(config!$G$4,O$1,WORKDAY($A701,-1,config_Holiday_Calendar_US),WORKDAY($A701,-1,config_Holiday_Calendar_US)),IF(ISNUMBER(_xll.BDH(config!$G$4,O$1,$A701,$A701)),_xll.BDH(config!$G$4,O$1,$A701,$A701),_xll.BDH(config!$G$5,O$1,$A701,$A701))))</f>
        <v/>
      </c>
      <c r="P701" s="8" t="str">
        <f>IF($A701="","",IF(ISNUMBER(FIND("IMPVOL",P$1)),_xll.BDH(config!$G$4,P$1,WORKDAY($A701,-1,config_Holiday_Calendar_US),WORKDAY($A701,-1,config_Holiday_Calendar_US)),IF(ISNUMBER(_xll.BDH(config!$G$4,P$1,$A701,$A701)),_xll.BDH(config!$G$4,P$1,$A701,$A701),_xll.BDH(config!$G$5,P$1,$A701,$A701))))</f>
        <v/>
      </c>
      <c r="Q701" s="8" t="str">
        <f>IF($A701="","",IF(ISNUMBER(FIND("IMPVOL",Q$1)),_xll.BDH(config!$G$4,Q$1,WORKDAY($A701,-1,config_Holiday_Calendar_US),WORKDAY($A701,-1,config_Holiday_Calendar_US)),IF(ISNUMBER(_xll.BDH(config!$G$4,Q$1,$A701,$A701)),_xll.BDH(config!$G$4,Q$1,$A701,$A701),_xll.BDH(config!$G$5,Q$1,$A701,$A701))))</f>
        <v/>
      </c>
      <c r="R701" s="8" t="str">
        <f>IF($A701="","",IF(ISNUMBER(FIND("IMPVOL",R$1)),_xll.BDH(config!$G$4,R$1,WORKDAY($A701,-1,config_Holiday_Calendar_US),WORKDAY($A701,-1,config_Holiday_Calendar_US)),IF(ISNUMBER(_xll.BDH(config!$G$4,R$1,$A701,$A701)),_xll.BDH(config!$G$4,R$1,$A701,$A701),_xll.BDH(config!$G$5,R$1,$A701,$A701))))</f>
        <v/>
      </c>
      <c r="S701" s="8" t="str">
        <f>IF($A701="","",IF(ISNUMBER(FIND("IMPVOL",S$1)),_xll.BDH(config!$G$4,S$1,WORKDAY($A701,-1,config_Holiday_Calendar_US),WORKDAY($A701,-1,config_Holiday_Calendar_US)),IF(ISNUMBER(_xll.BDH(config!$G$4,S$1,$A701,$A701)),_xll.BDH(config!$G$4,S$1,$A701,$A701),_xll.BDH(config!$G$5,S$1,$A701,$A701))))</f>
        <v/>
      </c>
      <c r="T701" s="8" t="str">
        <f>IF($A701="","",IF(ISNUMBER(FIND("IMPVOL",T$1)),_xll.BDH(config!$G$4,T$1,WORKDAY($A701,-1,config_Holiday_Calendar_US),WORKDAY($A701,-1,config_Holiday_Calendar_US)),IF(ISNUMBER(_xll.BDH(config!$G$4,T$1,$A701,$A701)),_xll.BDH(config!$G$4,T$1,$A701,$A701),_xll.BDH(config!$G$5,T$1,$A701,$A701))))</f>
        <v/>
      </c>
      <c r="U701" s="8" t="str">
        <f>IF($A701="","",IF(ISNUMBER(FIND("IMPVOL",U$1)),_xll.BDH(config!$G$4,U$1,WORKDAY($A701,-1,config_Holiday_Calendar_US),WORKDAY($A701,-1,config_Holiday_Calendar_US)),IF(ISNUMBER(_xll.BDH(config!$G$4,U$1,$A701,$A701)),_xll.BDH(config!$G$4,U$1,$A701,$A701),_xll.BDH(config!$G$5,U$1,$A701,$A701))))</f>
        <v/>
      </c>
      <c r="V701" s="8" t="str">
        <f>IF($A701="","",IF(ISNUMBER(FIND("IMPVOL",V$1)),_xll.BDH(config!$G$4,V$1,WORKDAY($A701,-1,config_Holiday_Calendar_US),WORKDAY($A701,-1,config_Holiday_Calendar_US)),IF(ISNUMBER(_xll.BDH(config!$G$4,V$1,$A701,$A701)),_xll.BDH(config!$G$4,V$1,$A701,$A701),_xll.BDH(config!$G$5,V$1,$A701,$A701))))</f>
        <v/>
      </c>
      <c r="W701" s="8" t="str">
        <f>IF($A701="","",IF(ISNUMBER(FIND("IMPVOL",W$1)),_xll.BDH(config!$G$4,W$1,WORKDAY($A701,-1,config_Holiday_Calendar_US),WORKDAY($A701,-1,config_Holiday_Calendar_US)),IF(ISNUMBER(_xll.BDH(config!$G$4,W$1,$A701,$A701)),_xll.BDH(config!$G$4,W$1,$A701,$A701),_xll.BDH(config!$G$5,W$1,$A701,$A701))))</f>
        <v/>
      </c>
    </row>
    <row r="702" spans="1:23" x14ac:dyDescent="0.2">
      <c r="A702" s="9" t="str">
        <f>IF(A701="","",IF(WORKDAY(A701,-1,config_Holiday_Calendar_US)&lt;config!$I$10,"",WORKDAY(A701,-1,config_Holiday_Calendar_US)))</f>
        <v/>
      </c>
      <c r="B702" s="8" t="str">
        <f t="shared" si="10"/>
        <v/>
      </c>
      <c r="C702" s="8" t="str">
        <f>IF(A702="","",_xll.BDH(config!$H$4,C$1,$A702,$A702))</f>
        <v/>
      </c>
      <c r="D702" s="8" t="str">
        <f>IF($A702="","",_xll.BDH(config!$H$4,D$1,$A702,$A702))</f>
        <v/>
      </c>
      <c r="E702" s="8" t="str">
        <f>IF($A702="","",IF(ISNUMBER(FIND("IMPVOL",E$1)),_xll.BDH(config!$G$4,E$1,WORKDAY($A702,-1,config_Holiday_Calendar_US),WORKDAY($A702,-1,config_Holiday_Calendar_US)),IF(ISNUMBER(_xll.BDH(config!$G$4,E$1,$A702,$A702)),_xll.BDH(config!$G$4,E$1,$A702,$A702),_xll.BDH(config!$G$5,E$1,$A702,$A702))))</f>
        <v/>
      </c>
      <c r="F702" s="8" t="str">
        <f>IF($A702="","",IF(ISNUMBER(FIND("IMPVOL",F$1)),_xll.BDH(config!$G$4,F$1,WORKDAY($A702,-1,config_Holiday_Calendar_US),WORKDAY($A702,-1,config_Holiday_Calendar_US)),IF(ISNUMBER(_xll.BDH(config!$G$4,F$1,$A702,$A702)),_xll.BDH(config!$G$4,F$1,$A702,$A702),_xll.BDH(config!$G$5,F$1,$A702,$A702))))</f>
        <v/>
      </c>
      <c r="G702" s="8" t="str">
        <f>IF($A702="","",IF(ISNUMBER(FIND("IMPVOL",G$1)),_xll.BDH(config!$G$4,G$1,WORKDAY($A702,-1,config_Holiday_Calendar_US),WORKDAY($A702,-1,config_Holiday_Calendar_US)),IF(ISNUMBER(_xll.BDH(config!$G$4,G$1,$A702,$A702)),_xll.BDH(config!$G$4,G$1,$A702,$A702),_xll.BDH(config!$G$5,G$1,$A702,$A702))))</f>
        <v/>
      </c>
      <c r="H702" s="8" t="str">
        <f>IF($A702="","",IF(ISNUMBER(FIND("IMPVOL",H$1)),_xll.BDH(config!$G$4,H$1,WORKDAY($A702,-1,config_Holiday_Calendar_US),WORKDAY($A702,-1,config_Holiday_Calendar_US)),IF(ISNUMBER(_xll.BDH(config!$G$4,H$1,$A702,$A702)),_xll.BDH(config!$G$4,H$1,$A702,$A702),_xll.BDH(config!$G$5,H$1,$A702,$A702))))</f>
        <v/>
      </c>
      <c r="I702" s="8" t="str">
        <f>IF($A702="","",IF(ISNUMBER(FIND("IMPVOL",I$1)),_xll.BDH(config!$G$4,I$1,WORKDAY($A702,-1,config_Holiday_Calendar_US),WORKDAY($A702,-1,config_Holiday_Calendar_US)),IF(ISNUMBER(_xll.BDH(config!$G$4,I$1,$A702,$A702)),_xll.BDH(config!$G$4,I$1,$A702,$A702),_xll.BDH(config!$G$5,I$1,$A702,$A702))))</f>
        <v/>
      </c>
      <c r="J702" s="8" t="str">
        <f>IF($A702="","",IF(ISNUMBER(FIND("IMPVOL",J$1)),_xll.BDH(config!$G$4,J$1,WORKDAY($A702,-1,config_Holiday_Calendar_US),WORKDAY($A702,-1,config_Holiday_Calendar_US)),IF(ISNUMBER(_xll.BDH(config!$G$4,J$1,$A702,$A702)),_xll.BDH(config!$G$4,J$1,$A702,$A702),_xll.BDH(config!$G$5,J$1,$A702,$A702))))</f>
        <v/>
      </c>
      <c r="K702" s="8" t="str">
        <f>IF($A702="","",IF(ISNUMBER(FIND("IMPVOL",K$1)),_xll.BDH(config!$G$4,K$1,WORKDAY($A702,-1,config_Holiday_Calendar_US),WORKDAY($A702,-1,config_Holiday_Calendar_US)),IF(ISNUMBER(_xll.BDH(config!$G$4,K$1,$A702,$A702)),_xll.BDH(config!$G$4,K$1,$A702,$A702),_xll.BDH(config!$G$5,K$1,$A702,$A702))))</f>
        <v/>
      </c>
      <c r="L702" s="8" t="str">
        <f>IF($A702="","",IF(ISNUMBER(FIND("IMPVOL",L$1)),_xll.BDH(config!$G$4,L$1,WORKDAY($A702,-1,config_Holiday_Calendar_US),WORKDAY($A702,-1,config_Holiday_Calendar_US)),IF(ISNUMBER(_xll.BDH(config!$G$4,L$1,$A702,$A702)),_xll.BDH(config!$G$4,L$1,$A702,$A702),_xll.BDH(config!$G$5,L$1,$A702,$A702))))</f>
        <v/>
      </c>
      <c r="M702" s="8" t="str">
        <f>IF($A702="","",IF(ISNUMBER(FIND("IMPVOL",M$1)),_xll.BDH(config!$G$4,M$1,WORKDAY($A702,-1,config_Holiday_Calendar_US),WORKDAY($A702,-1,config_Holiday_Calendar_US)),IF(ISNUMBER(_xll.BDH(config!$G$4,M$1,$A702,$A702)),_xll.BDH(config!$G$4,M$1,$A702,$A702),_xll.BDH(config!$G$5,M$1,$A702,$A702))))</f>
        <v/>
      </c>
      <c r="N702" s="8" t="str">
        <f>IF($A702="","",IF(ISNUMBER(FIND("IMPVOL",N$1)),_xll.BDH(config!$G$4,N$1,WORKDAY($A702,-1,config_Holiday_Calendar_US),WORKDAY($A702,-1,config_Holiday_Calendar_US)),IF(ISNUMBER(_xll.BDH(config!$G$4,N$1,$A702,$A702)),_xll.BDH(config!$G$4,N$1,$A702,$A702),_xll.BDH(config!$G$5,N$1,$A702,$A702))))</f>
        <v/>
      </c>
      <c r="O702" s="8" t="str">
        <f>IF($A702="","",IF(ISNUMBER(FIND("IMPVOL",O$1)),_xll.BDH(config!$G$4,O$1,WORKDAY($A702,-1,config_Holiday_Calendar_US),WORKDAY($A702,-1,config_Holiday_Calendar_US)),IF(ISNUMBER(_xll.BDH(config!$G$4,O$1,$A702,$A702)),_xll.BDH(config!$G$4,O$1,$A702,$A702),_xll.BDH(config!$G$5,O$1,$A702,$A702))))</f>
        <v/>
      </c>
      <c r="P702" s="8" t="str">
        <f>IF($A702="","",IF(ISNUMBER(FIND("IMPVOL",P$1)),_xll.BDH(config!$G$4,P$1,WORKDAY($A702,-1,config_Holiday_Calendar_US),WORKDAY($A702,-1,config_Holiday_Calendar_US)),IF(ISNUMBER(_xll.BDH(config!$G$4,P$1,$A702,$A702)),_xll.BDH(config!$G$4,P$1,$A702,$A702),_xll.BDH(config!$G$5,P$1,$A702,$A702))))</f>
        <v/>
      </c>
      <c r="Q702" s="8" t="str">
        <f>IF($A702="","",IF(ISNUMBER(FIND("IMPVOL",Q$1)),_xll.BDH(config!$G$4,Q$1,WORKDAY($A702,-1,config_Holiday_Calendar_US),WORKDAY($A702,-1,config_Holiday_Calendar_US)),IF(ISNUMBER(_xll.BDH(config!$G$4,Q$1,$A702,$A702)),_xll.BDH(config!$G$4,Q$1,$A702,$A702),_xll.BDH(config!$G$5,Q$1,$A702,$A702))))</f>
        <v/>
      </c>
      <c r="R702" s="8" t="str">
        <f>IF($A702="","",IF(ISNUMBER(FIND("IMPVOL",R$1)),_xll.BDH(config!$G$4,R$1,WORKDAY($A702,-1,config_Holiday_Calendar_US),WORKDAY($A702,-1,config_Holiday_Calendar_US)),IF(ISNUMBER(_xll.BDH(config!$G$4,R$1,$A702,$A702)),_xll.BDH(config!$G$4,R$1,$A702,$A702),_xll.BDH(config!$G$5,R$1,$A702,$A702))))</f>
        <v/>
      </c>
      <c r="S702" s="8" t="str">
        <f>IF($A702="","",IF(ISNUMBER(FIND("IMPVOL",S$1)),_xll.BDH(config!$G$4,S$1,WORKDAY($A702,-1,config_Holiday_Calendar_US),WORKDAY($A702,-1,config_Holiday_Calendar_US)),IF(ISNUMBER(_xll.BDH(config!$G$4,S$1,$A702,$A702)),_xll.BDH(config!$G$4,S$1,$A702,$A702),_xll.BDH(config!$G$5,S$1,$A702,$A702))))</f>
        <v/>
      </c>
      <c r="T702" s="8" t="str">
        <f>IF($A702="","",IF(ISNUMBER(FIND("IMPVOL",T$1)),_xll.BDH(config!$G$4,T$1,WORKDAY($A702,-1,config_Holiday_Calendar_US),WORKDAY($A702,-1,config_Holiday_Calendar_US)),IF(ISNUMBER(_xll.BDH(config!$G$4,T$1,$A702,$A702)),_xll.BDH(config!$G$4,T$1,$A702,$A702),_xll.BDH(config!$G$5,T$1,$A702,$A702))))</f>
        <v/>
      </c>
      <c r="U702" s="8" t="str">
        <f>IF($A702="","",IF(ISNUMBER(FIND("IMPVOL",U$1)),_xll.BDH(config!$G$4,U$1,WORKDAY($A702,-1,config_Holiday_Calendar_US),WORKDAY($A702,-1,config_Holiday_Calendar_US)),IF(ISNUMBER(_xll.BDH(config!$G$4,U$1,$A702,$A702)),_xll.BDH(config!$G$4,U$1,$A702,$A702),_xll.BDH(config!$G$5,U$1,$A702,$A702))))</f>
        <v/>
      </c>
      <c r="V702" s="8" t="str">
        <f>IF($A702="","",IF(ISNUMBER(FIND("IMPVOL",V$1)),_xll.BDH(config!$G$4,V$1,WORKDAY($A702,-1,config_Holiday_Calendar_US),WORKDAY($A702,-1,config_Holiday_Calendar_US)),IF(ISNUMBER(_xll.BDH(config!$G$4,V$1,$A702,$A702)),_xll.BDH(config!$G$4,V$1,$A702,$A702),_xll.BDH(config!$G$5,V$1,$A702,$A702))))</f>
        <v/>
      </c>
      <c r="W702" s="8" t="str">
        <f>IF($A702="","",IF(ISNUMBER(FIND("IMPVOL",W$1)),_xll.BDH(config!$G$4,W$1,WORKDAY($A702,-1,config_Holiday_Calendar_US),WORKDAY($A702,-1,config_Holiday_Calendar_US)),IF(ISNUMBER(_xll.BDH(config!$G$4,W$1,$A702,$A702)),_xll.BDH(config!$G$4,W$1,$A702,$A702),_xll.BDH(config!$G$5,W$1,$A702,$A702))))</f>
        <v/>
      </c>
    </row>
    <row r="703" spans="1:23" x14ac:dyDescent="0.2">
      <c r="A703" s="9" t="str">
        <f>IF(A702="","",IF(WORKDAY(A702,-1,config_Holiday_Calendar_US)&lt;config!$I$10,"",WORKDAY(A702,-1,config_Holiday_Calendar_US)))</f>
        <v/>
      </c>
      <c r="B703" s="8" t="str">
        <f t="shared" si="10"/>
        <v/>
      </c>
      <c r="C703" s="8" t="str">
        <f>IF(A703="","",_xll.BDH(config!$H$4,C$1,$A703,$A703))</f>
        <v/>
      </c>
      <c r="D703" s="8" t="str">
        <f>IF($A703="","",_xll.BDH(config!$H$4,D$1,$A703,$A703))</f>
        <v/>
      </c>
      <c r="E703" s="8" t="str">
        <f>IF($A703="","",IF(ISNUMBER(FIND("IMPVOL",E$1)),_xll.BDH(config!$G$4,E$1,WORKDAY($A703,-1,config_Holiday_Calendar_US),WORKDAY($A703,-1,config_Holiday_Calendar_US)),IF(ISNUMBER(_xll.BDH(config!$G$4,E$1,$A703,$A703)),_xll.BDH(config!$G$4,E$1,$A703,$A703),_xll.BDH(config!$G$5,E$1,$A703,$A703))))</f>
        <v/>
      </c>
      <c r="F703" s="8" t="str">
        <f>IF($A703="","",IF(ISNUMBER(FIND("IMPVOL",F$1)),_xll.BDH(config!$G$4,F$1,WORKDAY($A703,-1,config_Holiday_Calendar_US),WORKDAY($A703,-1,config_Holiday_Calendar_US)),IF(ISNUMBER(_xll.BDH(config!$G$4,F$1,$A703,$A703)),_xll.BDH(config!$G$4,F$1,$A703,$A703),_xll.BDH(config!$G$5,F$1,$A703,$A703))))</f>
        <v/>
      </c>
      <c r="G703" s="8" t="str">
        <f>IF($A703="","",IF(ISNUMBER(FIND("IMPVOL",G$1)),_xll.BDH(config!$G$4,G$1,WORKDAY($A703,-1,config_Holiday_Calendar_US),WORKDAY($A703,-1,config_Holiday_Calendar_US)),IF(ISNUMBER(_xll.BDH(config!$G$4,G$1,$A703,$A703)),_xll.BDH(config!$G$4,G$1,$A703,$A703),_xll.BDH(config!$G$5,G$1,$A703,$A703))))</f>
        <v/>
      </c>
      <c r="H703" s="8" t="str">
        <f>IF($A703="","",IF(ISNUMBER(FIND("IMPVOL",H$1)),_xll.BDH(config!$G$4,H$1,WORKDAY($A703,-1,config_Holiday_Calendar_US),WORKDAY($A703,-1,config_Holiday_Calendar_US)),IF(ISNUMBER(_xll.BDH(config!$G$4,H$1,$A703,$A703)),_xll.BDH(config!$G$4,H$1,$A703,$A703),_xll.BDH(config!$G$5,H$1,$A703,$A703))))</f>
        <v/>
      </c>
      <c r="I703" s="8" t="str">
        <f>IF($A703="","",IF(ISNUMBER(FIND("IMPVOL",I$1)),_xll.BDH(config!$G$4,I$1,WORKDAY($A703,-1,config_Holiday_Calendar_US),WORKDAY($A703,-1,config_Holiday_Calendar_US)),IF(ISNUMBER(_xll.BDH(config!$G$4,I$1,$A703,$A703)),_xll.BDH(config!$G$4,I$1,$A703,$A703),_xll.BDH(config!$G$5,I$1,$A703,$A703))))</f>
        <v/>
      </c>
      <c r="J703" s="8" t="str">
        <f>IF($A703="","",IF(ISNUMBER(FIND("IMPVOL",J$1)),_xll.BDH(config!$G$4,J$1,WORKDAY($A703,-1,config_Holiday_Calendar_US),WORKDAY($A703,-1,config_Holiday_Calendar_US)),IF(ISNUMBER(_xll.BDH(config!$G$4,J$1,$A703,$A703)),_xll.BDH(config!$G$4,J$1,$A703,$A703),_xll.BDH(config!$G$5,J$1,$A703,$A703))))</f>
        <v/>
      </c>
      <c r="K703" s="8" t="str">
        <f>IF($A703="","",IF(ISNUMBER(FIND("IMPVOL",K$1)),_xll.BDH(config!$G$4,K$1,WORKDAY($A703,-1,config_Holiday_Calendar_US),WORKDAY($A703,-1,config_Holiday_Calendar_US)),IF(ISNUMBER(_xll.BDH(config!$G$4,K$1,$A703,$A703)),_xll.BDH(config!$G$4,K$1,$A703,$A703),_xll.BDH(config!$G$5,K$1,$A703,$A703))))</f>
        <v/>
      </c>
      <c r="L703" s="8" t="str">
        <f>IF($A703="","",IF(ISNUMBER(FIND("IMPVOL",L$1)),_xll.BDH(config!$G$4,L$1,WORKDAY($A703,-1,config_Holiday_Calendar_US),WORKDAY($A703,-1,config_Holiday_Calendar_US)),IF(ISNUMBER(_xll.BDH(config!$G$4,L$1,$A703,$A703)),_xll.BDH(config!$G$4,L$1,$A703,$A703),_xll.BDH(config!$G$5,L$1,$A703,$A703))))</f>
        <v/>
      </c>
      <c r="M703" s="8" t="str">
        <f>IF($A703="","",IF(ISNUMBER(FIND("IMPVOL",M$1)),_xll.BDH(config!$G$4,M$1,WORKDAY($A703,-1,config_Holiday_Calendar_US),WORKDAY($A703,-1,config_Holiday_Calendar_US)),IF(ISNUMBER(_xll.BDH(config!$G$4,M$1,$A703,$A703)),_xll.BDH(config!$G$4,M$1,$A703,$A703),_xll.BDH(config!$G$5,M$1,$A703,$A703))))</f>
        <v/>
      </c>
      <c r="N703" s="8" t="str">
        <f>IF($A703="","",IF(ISNUMBER(FIND("IMPVOL",N$1)),_xll.BDH(config!$G$4,N$1,WORKDAY($A703,-1,config_Holiday_Calendar_US),WORKDAY($A703,-1,config_Holiday_Calendar_US)),IF(ISNUMBER(_xll.BDH(config!$G$4,N$1,$A703,$A703)),_xll.BDH(config!$G$4,N$1,$A703,$A703),_xll.BDH(config!$G$5,N$1,$A703,$A703))))</f>
        <v/>
      </c>
      <c r="O703" s="8" t="str">
        <f>IF($A703="","",IF(ISNUMBER(FIND("IMPVOL",O$1)),_xll.BDH(config!$G$4,O$1,WORKDAY($A703,-1,config_Holiday_Calendar_US),WORKDAY($A703,-1,config_Holiday_Calendar_US)),IF(ISNUMBER(_xll.BDH(config!$G$4,O$1,$A703,$A703)),_xll.BDH(config!$G$4,O$1,$A703,$A703),_xll.BDH(config!$G$5,O$1,$A703,$A703))))</f>
        <v/>
      </c>
      <c r="P703" s="8" t="str">
        <f>IF($A703="","",IF(ISNUMBER(FIND("IMPVOL",P$1)),_xll.BDH(config!$G$4,P$1,WORKDAY($A703,-1,config_Holiday_Calendar_US),WORKDAY($A703,-1,config_Holiday_Calendar_US)),IF(ISNUMBER(_xll.BDH(config!$G$4,P$1,$A703,$A703)),_xll.BDH(config!$G$4,P$1,$A703,$A703),_xll.BDH(config!$G$5,P$1,$A703,$A703))))</f>
        <v/>
      </c>
      <c r="Q703" s="8" t="str">
        <f>IF($A703="","",IF(ISNUMBER(FIND("IMPVOL",Q$1)),_xll.BDH(config!$G$4,Q$1,WORKDAY($A703,-1,config_Holiday_Calendar_US),WORKDAY($A703,-1,config_Holiday_Calendar_US)),IF(ISNUMBER(_xll.BDH(config!$G$4,Q$1,$A703,$A703)),_xll.BDH(config!$G$4,Q$1,$A703,$A703),_xll.BDH(config!$G$5,Q$1,$A703,$A703))))</f>
        <v/>
      </c>
      <c r="R703" s="8" t="str">
        <f>IF($A703="","",IF(ISNUMBER(FIND("IMPVOL",R$1)),_xll.BDH(config!$G$4,R$1,WORKDAY($A703,-1,config_Holiday_Calendar_US),WORKDAY($A703,-1,config_Holiday_Calendar_US)),IF(ISNUMBER(_xll.BDH(config!$G$4,R$1,$A703,$A703)),_xll.BDH(config!$G$4,R$1,$A703,$A703),_xll.BDH(config!$G$5,R$1,$A703,$A703))))</f>
        <v/>
      </c>
      <c r="S703" s="8" t="str">
        <f>IF($A703="","",IF(ISNUMBER(FIND("IMPVOL",S$1)),_xll.BDH(config!$G$4,S$1,WORKDAY($A703,-1,config_Holiday_Calendar_US),WORKDAY($A703,-1,config_Holiday_Calendar_US)),IF(ISNUMBER(_xll.BDH(config!$G$4,S$1,$A703,$A703)),_xll.BDH(config!$G$4,S$1,$A703,$A703),_xll.BDH(config!$G$5,S$1,$A703,$A703))))</f>
        <v/>
      </c>
      <c r="T703" s="8" t="str">
        <f>IF($A703="","",IF(ISNUMBER(FIND("IMPVOL",T$1)),_xll.BDH(config!$G$4,T$1,WORKDAY($A703,-1,config_Holiday_Calendar_US),WORKDAY($A703,-1,config_Holiday_Calendar_US)),IF(ISNUMBER(_xll.BDH(config!$G$4,T$1,$A703,$A703)),_xll.BDH(config!$G$4,T$1,$A703,$A703),_xll.BDH(config!$G$5,T$1,$A703,$A703))))</f>
        <v/>
      </c>
      <c r="U703" s="8" t="str">
        <f>IF($A703="","",IF(ISNUMBER(FIND("IMPVOL",U$1)),_xll.BDH(config!$G$4,U$1,WORKDAY($A703,-1,config_Holiday_Calendar_US),WORKDAY($A703,-1,config_Holiday_Calendar_US)),IF(ISNUMBER(_xll.BDH(config!$G$4,U$1,$A703,$A703)),_xll.BDH(config!$G$4,U$1,$A703,$A703),_xll.BDH(config!$G$5,U$1,$A703,$A703))))</f>
        <v/>
      </c>
      <c r="V703" s="8" t="str">
        <f>IF($A703="","",IF(ISNUMBER(FIND("IMPVOL",V$1)),_xll.BDH(config!$G$4,V$1,WORKDAY($A703,-1,config_Holiday_Calendar_US),WORKDAY($A703,-1,config_Holiday_Calendar_US)),IF(ISNUMBER(_xll.BDH(config!$G$4,V$1,$A703,$A703)),_xll.BDH(config!$G$4,V$1,$A703,$A703),_xll.BDH(config!$G$5,V$1,$A703,$A703))))</f>
        <v/>
      </c>
      <c r="W703" s="8" t="str">
        <f>IF($A703="","",IF(ISNUMBER(FIND("IMPVOL",W$1)),_xll.BDH(config!$G$4,W$1,WORKDAY($A703,-1,config_Holiday_Calendar_US),WORKDAY($A703,-1,config_Holiday_Calendar_US)),IF(ISNUMBER(_xll.BDH(config!$G$4,W$1,$A703,$A703)),_xll.BDH(config!$G$4,W$1,$A703,$A703),_xll.BDH(config!$G$5,W$1,$A703,$A703))))</f>
        <v/>
      </c>
    </row>
    <row r="704" spans="1:23" x14ac:dyDescent="0.2">
      <c r="A704" s="9" t="str">
        <f>IF(A703="","",IF(WORKDAY(A703,-1,config_Holiday_Calendar_US)&lt;config!$I$10,"",WORKDAY(A703,-1,config_Holiday_Calendar_US)))</f>
        <v/>
      </c>
      <c r="B704" s="8" t="str">
        <f t="shared" si="10"/>
        <v/>
      </c>
      <c r="C704" s="8" t="str">
        <f>IF(A704="","",_xll.BDH(config!$H$4,C$1,$A704,$A704))</f>
        <v/>
      </c>
      <c r="D704" s="8" t="str">
        <f>IF($A704="","",_xll.BDH(config!$H$4,D$1,$A704,$A704))</f>
        <v/>
      </c>
      <c r="E704" s="8" t="str">
        <f>IF($A704="","",IF(ISNUMBER(FIND("IMPVOL",E$1)),_xll.BDH(config!$G$4,E$1,WORKDAY($A704,-1,config_Holiday_Calendar_US),WORKDAY($A704,-1,config_Holiday_Calendar_US)),IF(ISNUMBER(_xll.BDH(config!$G$4,E$1,$A704,$A704)),_xll.BDH(config!$G$4,E$1,$A704,$A704),_xll.BDH(config!$G$5,E$1,$A704,$A704))))</f>
        <v/>
      </c>
      <c r="F704" s="8" t="str">
        <f>IF($A704="","",IF(ISNUMBER(FIND("IMPVOL",F$1)),_xll.BDH(config!$G$4,F$1,WORKDAY($A704,-1,config_Holiday_Calendar_US),WORKDAY($A704,-1,config_Holiday_Calendar_US)),IF(ISNUMBER(_xll.BDH(config!$G$4,F$1,$A704,$A704)),_xll.BDH(config!$G$4,F$1,$A704,$A704),_xll.BDH(config!$G$5,F$1,$A704,$A704))))</f>
        <v/>
      </c>
      <c r="G704" s="8" t="str">
        <f>IF($A704="","",IF(ISNUMBER(FIND("IMPVOL",G$1)),_xll.BDH(config!$G$4,G$1,WORKDAY($A704,-1,config_Holiday_Calendar_US),WORKDAY($A704,-1,config_Holiday_Calendar_US)),IF(ISNUMBER(_xll.BDH(config!$G$4,G$1,$A704,$A704)),_xll.BDH(config!$G$4,G$1,$A704,$A704),_xll.BDH(config!$G$5,G$1,$A704,$A704))))</f>
        <v/>
      </c>
      <c r="H704" s="8" t="str">
        <f>IF($A704="","",IF(ISNUMBER(FIND("IMPVOL",H$1)),_xll.BDH(config!$G$4,H$1,WORKDAY($A704,-1,config_Holiday_Calendar_US),WORKDAY($A704,-1,config_Holiday_Calendar_US)),IF(ISNUMBER(_xll.BDH(config!$G$4,H$1,$A704,$A704)),_xll.BDH(config!$G$4,H$1,$A704,$A704),_xll.BDH(config!$G$5,H$1,$A704,$A704))))</f>
        <v/>
      </c>
      <c r="I704" s="8" t="str">
        <f>IF($A704="","",IF(ISNUMBER(FIND("IMPVOL",I$1)),_xll.BDH(config!$G$4,I$1,WORKDAY($A704,-1,config_Holiday_Calendar_US),WORKDAY($A704,-1,config_Holiday_Calendar_US)),IF(ISNUMBER(_xll.BDH(config!$G$4,I$1,$A704,$A704)),_xll.BDH(config!$G$4,I$1,$A704,$A704),_xll.BDH(config!$G$5,I$1,$A704,$A704))))</f>
        <v/>
      </c>
      <c r="J704" s="8" t="str">
        <f>IF($A704="","",IF(ISNUMBER(FIND("IMPVOL",J$1)),_xll.BDH(config!$G$4,J$1,WORKDAY($A704,-1,config_Holiday_Calendar_US),WORKDAY($A704,-1,config_Holiday_Calendar_US)),IF(ISNUMBER(_xll.BDH(config!$G$4,J$1,$A704,$A704)),_xll.BDH(config!$G$4,J$1,$A704,$A704),_xll.BDH(config!$G$5,J$1,$A704,$A704))))</f>
        <v/>
      </c>
      <c r="K704" s="8" t="str">
        <f>IF($A704="","",IF(ISNUMBER(FIND("IMPVOL",K$1)),_xll.BDH(config!$G$4,K$1,WORKDAY($A704,-1,config_Holiday_Calendar_US),WORKDAY($A704,-1,config_Holiday_Calendar_US)),IF(ISNUMBER(_xll.BDH(config!$G$4,K$1,$A704,$A704)),_xll.BDH(config!$G$4,K$1,$A704,$A704),_xll.BDH(config!$G$5,K$1,$A704,$A704))))</f>
        <v/>
      </c>
      <c r="L704" s="8" t="str">
        <f>IF($A704="","",IF(ISNUMBER(FIND("IMPVOL",L$1)),_xll.BDH(config!$G$4,L$1,WORKDAY($A704,-1,config_Holiday_Calendar_US),WORKDAY($A704,-1,config_Holiday_Calendar_US)),IF(ISNUMBER(_xll.BDH(config!$G$4,L$1,$A704,$A704)),_xll.BDH(config!$G$4,L$1,$A704,$A704),_xll.BDH(config!$G$5,L$1,$A704,$A704))))</f>
        <v/>
      </c>
      <c r="M704" s="8" t="str">
        <f>IF($A704="","",IF(ISNUMBER(FIND("IMPVOL",M$1)),_xll.BDH(config!$G$4,M$1,WORKDAY($A704,-1,config_Holiday_Calendar_US),WORKDAY($A704,-1,config_Holiday_Calendar_US)),IF(ISNUMBER(_xll.BDH(config!$G$4,M$1,$A704,$A704)),_xll.BDH(config!$G$4,M$1,$A704,$A704),_xll.BDH(config!$G$5,M$1,$A704,$A704))))</f>
        <v/>
      </c>
      <c r="N704" s="8" t="str">
        <f>IF($A704="","",IF(ISNUMBER(FIND("IMPVOL",N$1)),_xll.BDH(config!$G$4,N$1,WORKDAY($A704,-1,config_Holiday_Calendar_US),WORKDAY($A704,-1,config_Holiday_Calendar_US)),IF(ISNUMBER(_xll.BDH(config!$G$4,N$1,$A704,$A704)),_xll.BDH(config!$G$4,N$1,$A704,$A704),_xll.BDH(config!$G$5,N$1,$A704,$A704))))</f>
        <v/>
      </c>
      <c r="O704" s="8" t="str">
        <f>IF($A704="","",IF(ISNUMBER(FIND("IMPVOL",O$1)),_xll.BDH(config!$G$4,O$1,WORKDAY($A704,-1,config_Holiday_Calendar_US),WORKDAY($A704,-1,config_Holiday_Calendar_US)),IF(ISNUMBER(_xll.BDH(config!$G$4,O$1,$A704,$A704)),_xll.BDH(config!$G$4,O$1,$A704,$A704),_xll.BDH(config!$G$5,O$1,$A704,$A704))))</f>
        <v/>
      </c>
      <c r="P704" s="8" t="str">
        <f>IF($A704="","",IF(ISNUMBER(FIND("IMPVOL",P$1)),_xll.BDH(config!$G$4,P$1,WORKDAY($A704,-1,config_Holiday_Calendar_US),WORKDAY($A704,-1,config_Holiday_Calendar_US)),IF(ISNUMBER(_xll.BDH(config!$G$4,P$1,$A704,$A704)),_xll.BDH(config!$G$4,P$1,$A704,$A704),_xll.BDH(config!$G$5,P$1,$A704,$A704))))</f>
        <v/>
      </c>
      <c r="Q704" s="8" t="str">
        <f>IF($A704="","",IF(ISNUMBER(FIND("IMPVOL",Q$1)),_xll.BDH(config!$G$4,Q$1,WORKDAY($A704,-1,config_Holiday_Calendar_US),WORKDAY($A704,-1,config_Holiday_Calendar_US)),IF(ISNUMBER(_xll.BDH(config!$G$4,Q$1,$A704,$A704)),_xll.BDH(config!$G$4,Q$1,$A704,$A704),_xll.BDH(config!$G$5,Q$1,$A704,$A704))))</f>
        <v/>
      </c>
      <c r="R704" s="8" t="str">
        <f>IF($A704="","",IF(ISNUMBER(FIND("IMPVOL",R$1)),_xll.BDH(config!$G$4,R$1,WORKDAY($A704,-1,config_Holiday_Calendar_US),WORKDAY($A704,-1,config_Holiday_Calendar_US)),IF(ISNUMBER(_xll.BDH(config!$G$4,R$1,$A704,$A704)),_xll.BDH(config!$G$4,R$1,$A704,$A704),_xll.BDH(config!$G$5,R$1,$A704,$A704))))</f>
        <v/>
      </c>
      <c r="S704" s="8" t="str">
        <f>IF($A704="","",IF(ISNUMBER(FIND("IMPVOL",S$1)),_xll.BDH(config!$G$4,S$1,WORKDAY($A704,-1,config_Holiday_Calendar_US),WORKDAY($A704,-1,config_Holiday_Calendar_US)),IF(ISNUMBER(_xll.BDH(config!$G$4,S$1,$A704,$A704)),_xll.BDH(config!$G$4,S$1,$A704,$A704),_xll.BDH(config!$G$5,S$1,$A704,$A704))))</f>
        <v/>
      </c>
      <c r="T704" s="8" t="str">
        <f>IF($A704="","",IF(ISNUMBER(FIND("IMPVOL",T$1)),_xll.BDH(config!$G$4,T$1,WORKDAY($A704,-1,config_Holiday_Calendar_US),WORKDAY($A704,-1,config_Holiday_Calendar_US)),IF(ISNUMBER(_xll.BDH(config!$G$4,T$1,$A704,$A704)),_xll.BDH(config!$G$4,T$1,$A704,$A704),_xll.BDH(config!$G$5,T$1,$A704,$A704))))</f>
        <v/>
      </c>
      <c r="U704" s="8" t="str">
        <f>IF($A704="","",IF(ISNUMBER(FIND("IMPVOL",U$1)),_xll.BDH(config!$G$4,U$1,WORKDAY($A704,-1,config_Holiday_Calendar_US),WORKDAY($A704,-1,config_Holiday_Calendar_US)),IF(ISNUMBER(_xll.BDH(config!$G$4,U$1,$A704,$A704)),_xll.BDH(config!$G$4,U$1,$A704,$A704),_xll.BDH(config!$G$5,U$1,$A704,$A704))))</f>
        <v/>
      </c>
      <c r="V704" s="8" t="str">
        <f>IF($A704="","",IF(ISNUMBER(FIND("IMPVOL",V$1)),_xll.BDH(config!$G$4,V$1,WORKDAY($A704,-1,config_Holiday_Calendar_US),WORKDAY($A704,-1,config_Holiday_Calendar_US)),IF(ISNUMBER(_xll.BDH(config!$G$4,V$1,$A704,$A704)),_xll.BDH(config!$G$4,V$1,$A704,$A704),_xll.BDH(config!$G$5,V$1,$A704,$A704))))</f>
        <v/>
      </c>
      <c r="W704" s="8" t="str">
        <f>IF($A704="","",IF(ISNUMBER(FIND("IMPVOL",W$1)),_xll.BDH(config!$G$4,W$1,WORKDAY($A704,-1,config_Holiday_Calendar_US),WORKDAY($A704,-1,config_Holiday_Calendar_US)),IF(ISNUMBER(_xll.BDH(config!$G$4,W$1,$A704,$A704)),_xll.BDH(config!$G$4,W$1,$A704,$A704),_xll.BDH(config!$G$5,W$1,$A704,$A704))))</f>
        <v/>
      </c>
    </row>
    <row r="705" spans="1:23" x14ac:dyDescent="0.2">
      <c r="A705" s="9" t="str">
        <f>IF(A704="","",IF(WORKDAY(A704,-1,config_Holiday_Calendar_US)&lt;config!$I$10,"",WORKDAY(A704,-1,config_Holiday_Calendar_US)))</f>
        <v/>
      </c>
      <c r="B705" s="8" t="str">
        <f t="shared" si="10"/>
        <v/>
      </c>
      <c r="C705" s="8" t="str">
        <f>IF(A705="","",_xll.BDH(config!$H$4,C$1,$A705,$A705))</f>
        <v/>
      </c>
      <c r="D705" s="8" t="str">
        <f>IF($A705="","",_xll.BDH(config!$H$4,D$1,$A705,$A705))</f>
        <v/>
      </c>
      <c r="E705" s="8" t="str">
        <f>IF($A705="","",IF(ISNUMBER(FIND("IMPVOL",E$1)),_xll.BDH(config!$G$4,E$1,WORKDAY($A705,-1,config_Holiday_Calendar_US),WORKDAY($A705,-1,config_Holiday_Calendar_US)),IF(ISNUMBER(_xll.BDH(config!$G$4,E$1,$A705,$A705)),_xll.BDH(config!$G$4,E$1,$A705,$A705),_xll.BDH(config!$G$5,E$1,$A705,$A705))))</f>
        <v/>
      </c>
      <c r="F705" s="8" t="str">
        <f>IF($A705="","",IF(ISNUMBER(FIND("IMPVOL",F$1)),_xll.BDH(config!$G$4,F$1,WORKDAY($A705,-1,config_Holiday_Calendar_US),WORKDAY($A705,-1,config_Holiday_Calendar_US)),IF(ISNUMBER(_xll.BDH(config!$G$4,F$1,$A705,$A705)),_xll.BDH(config!$G$4,F$1,$A705,$A705),_xll.BDH(config!$G$5,F$1,$A705,$A705))))</f>
        <v/>
      </c>
      <c r="G705" s="8" t="str">
        <f>IF($A705="","",IF(ISNUMBER(FIND("IMPVOL",G$1)),_xll.BDH(config!$G$4,G$1,WORKDAY($A705,-1,config_Holiday_Calendar_US),WORKDAY($A705,-1,config_Holiday_Calendar_US)),IF(ISNUMBER(_xll.BDH(config!$G$4,G$1,$A705,$A705)),_xll.BDH(config!$G$4,G$1,$A705,$A705),_xll.BDH(config!$G$5,G$1,$A705,$A705))))</f>
        <v/>
      </c>
      <c r="H705" s="8" t="str">
        <f>IF($A705="","",IF(ISNUMBER(FIND("IMPVOL",H$1)),_xll.BDH(config!$G$4,H$1,WORKDAY($A705,-1,config_Holiday_Calendar_US),WORKDAY($A705,-1,config_Holiday_Calendar_US)),IF(ISNUMBER(_xll.BDH(config!$G$4,H$1,$A705,$A705)),_xll.BDH(config!$G$4,H$1,$A705,$A705),_xll.BDH(config!$G$5,H$1,$A705,$A705))))</f>
        <v/>
      </c>
      <c r="I705" s="8" t="str">
        <f>IF($A705="","",IF(ISNUMBER(FIND("IMPVOL",I$1)),_xll.BDH(config!$G$4,I$1,WORKDAY($A705,-1,config_Holiday_Calendar_US),WORKDAY($A705,-1,config_Holiday_Calendar_US)),IF(ISNUMBER(_xll.BDH(config!$G$4,I$1,$A705,$A705)),_xll.BDH(config!$G$4,I$1,$A705,$A705),_xll.BDH(config!$G$5,I$1,$A705,$A705))))</f>
        <v/>
      </c>
      <c r="J705" s="8" t="str">
        <f>IF($A705="","",IF(ISNUMBER(FIND("IMPVOL",J$1)),_xll.BDH(config!$G$4,J$1,WORKDAY($A705,-1,config_Holiday_Calendar_US),WORKDAY($A705,-1,config_Holiday_Calendar_US)),IF(ISNUMBER(_xll.BDH(config!$G$4,J$1,$A705,$A705)),_xll.BDH(config!$G$4,J$1,$A705,$A705),_xll.BDH(config!$G$5,J$1,$A705,$A705))))</f>
        <v/>
      </c>
      <c r="K705" s="8" t="str">
        <f>IF($A705="","",IF(ISNUMBER(FIND("IMPVOL",K$1)),_xll.BDH(config!$G$4,K$1,WORKDAY($A705,-1,config_Holiday_Calendar_US),WORKDAY($A705,-1,config_Holiday_Calendar_US)),IF(ISNUMBER(_xll.BDH(config!$G$4,K$1,$A705,$A705)),_xll.BDH(config!$G$4,K$1,$A705,$A705),_xll.BDH(config!$G$5,K$1,$A705,$A705))))</f>
        <v/>
      </c>
      <c r="L705" s="8" t="str">
        <f>IF($A705="","",IF(ISNUMBER(FIND("IMPVOL",L$1)),_xll.BDH(config!$G$4,L$1,WORKDAY($A705,-1,config_Holiday_Calendar_US),WORKDAY($A705,-1,config_Holiday_Calendar_US)),IF(ISNUMBER(_xll.BDH(config!$G$4,L$1,$A705,$A705)),_xll.BDH(config!$G$4,L$1,$A705,$A705),_xll.BDH(config!$G$5,L$1,$A705,$A705))))</f>
        <v/>
      </c>
      <c r="M705" s="8" t="str">
        <f>IF($A705="","",IF(ISNUMBER(FIND("IMPVOL",M$1)),_xll.BDH(config!$G$4,M$1,WORKDAY($A705,-1,config_Holiday_Calendar_US),WORKDAY($A705,-1,config_Holiday_Calendar_US)),IF(ISNUMBER(_xll.BDH(config!$G$4,M$1,$A705,$A705)),_xll.BDH(config!$G$4,M$1,$A705,$A705),_xll.BDH(config!$G$5,M$1,$A705,$A705))))</f>
        <v/>
      </c>
      <c r="N705" s="8" t="str">
        <f>IF($A705="","",IF(ISNUMBER(FIND("IMPVOL",N$1)),_xll.BDH(config!$G$4,N$1,WORKDAY($A705,-1,config_Holiday_Calendar_US),WORKDAY($A705,-1,config_Holiday_Calendar_US)),IF(ISNUMBER(_xll.BDH(config!$G$4,N$1,$A705,$A705)),_xll.BDH(config!$G$4,N$1,$A705,$A705),_xll.BDH(config!$G$5,N$1,$A705,$A705))))</f>
        <v/>
      </c>
      <c r="O705" s="8" t="str">
        <f>IF($A705="","",IF(ISNUMBER(FIND("IMPVOL",O$1)),_xll.BDH(config!$G$4,O$1,WORKDAY($A705,-1,config_Holiday_Calendar_US),WORKDAY($A705,-1,config_Holiday_Calendar_US)),IF(ISNUMBER(_xll.BDH(config!$G$4,O$1,$A705,$A705)),_xll.BDH(config!$G$4,O$1,$A705,$A705),_xll.BDH(config!$G$5,O$1,$A705,$A705))))</f>
        <v/>
      </c>
      <c r="P705" s="8" t="str">
        <f>IF($A705="","",IF(ISNUMBER(FIND("IMPVOL",P$1)),_xll.BDH(config!$G$4,P$1,WORKDAY($A705,-1,config_Holiday_Calendar_US),WORKDAY($A705,-1,config_Holiday_Calendar_US)),IF(ISNUMBER(_xll.BDH(config!$G$4,P$1,$A705,$A705)),_xll.BDH(config!$G$4,P$1,$A705,$A705),_xll.BDH(config!$G$5,P$1,$A705,$A705))))</f>
        <v/>
      </c>
      <c r="Q705" s="8" t="str">
        <f>IF($A705="","",IF(ISNUMBER(FIND("IMPVOL",Q$1)),_xll.BDH(config!$G$4,Q$1,WORKDAY($A705,-1,config_Holiday_Calendar_US),WORKDAY($A705,-1,config_Holiday_Calendar_US)),IF(ISNUMBER(_xll.BDH(config!$G$4,Q$1,$A705,$A705)),_xll.BDH(config!$G$4,Q$1,$A705,$A705),_xll.BDH(config!$G$5,Q$1,$A705,$A705))))</f>
        <v/>
      </c>
      <c r="R705" s="8" t="str">
        <f>IF($A705="","",IF(ISNUMBER(FIND("IMPVOL",R$1)),_xll.BDH(config!$G$4,R$1,WORKDAY($A705,-1,config_Holiday_Calendar_US),WORKDAY($A705,-1,config_Holiday_Calendar_US)),IF(ISNUMBER(_xll.BDH(config!$G$4,R$1,$A705,$A705)),_xll.BDH(config!$G$4,R$1,$A705,$A705),_xll.BDH(config!$G$5,R$1,$A705,$A705))))</f>
        <v/>
      </c>
      <c r="S705" s="8" t="str">
        <f>IF($A705="","",IF(ISNUMBER(FIND("IMPVOL",S$1)),_xll.BDH(config!$G$4,S$1,WORKDAY($A705,-1,config_Holiday_Calendar_US),WORKDAY($A705,-1,config_Holiday_Calendar_US)),IF(ISNUMBER(_xll.BDH(config!$G$4,S$1,$A705,$A705)),_xll.BDH(config!$G$4,S$1,$A705,$A705),_xll.BDH(config!$G$5,S$1,$A705,$A705))))</f>
        <v/>
      </c>
      <c r="T705" s="8" t="str">
        <f>IF($A705="","",IF(ISNUMBER(FIND("IMPVOL",T$1)),_xll.BDH(config!$G$4,T$1,WORKDAY($A705,-1,config_Holiday_Calendar_US),WORKDAY($A705,-1,config_Holiday_Calendar_US)),IF(ISNUMBER(_xll.BDH(config!$G$4,T$1,$A705,$A705)),_xll.BDH(config!$G$4,T$1,$A705,$A705),_xll.BDH(config!$G$5,T$1,$A705,$A705))))</f>
        <v/>
      </c>
      <c r="U705" s="8" t="str">
        <f>IF($A705="","",IF(ISNUMBER(FIND("IMPVOL",U$1)),_xll.BDH(config!$G$4,U$1,WORKDAY($A705,-1,config_Holiday_Calendar_US),WORKDAY($A705,-1,config_Holiday_Calendar_US)),IF(ISNUMBER(_xll.BDH(config!$G$4,U$1,$A705,$A705)),_xll.BDH(config!$G$4,U$1,$A705,$A705),_xll.BDH(config!$G$5,U$1,$A705,$A705))))</f>
        <v/>
      </c>
      <c r="V705" s="8" t="str">
        <f>IF($A705="","",IF(ISNUMBER(FIND("IMPVOL",V$1)),_xll.BDH(config!$G$4,V$1,WORKDAY($A705,-1,config_Holiday_Calendar_US),WORKDAY($A705,-1,config_Holiday_Calendar_US)),IF(ISNUMBER(_xll.BDH(config!$G$4,V$1,$A705,$A705)),_xll.BDH(config!$G$4,V$1,$A705,$A705),_xll.BDH(config!$G$5,V$1,$A705,$A705))))</f>
        <v/>
      </c>
      <c r="W705" s="8" t="str">
        <f>IF($A705="","",IF(ISNUMBER(FIND("IMPVOL",W$1)),_xll.BDH(config!$G$4,W$1,WORKDAY($A705,-1,config_Holiday_Calendar_US),WORKDAY($A705,-1,config_Holiday_Calendar_US)),IF(ISNUMBER(_xll.BDH(config!$G$4,W$1,$A705,$A705)),_xll.BDH(config!$G$4,W$1,$A705,$A705),_xll.BDH(config!$G$5,W$1,$A705,$A705))))</f>
        <v/>
      </c>
    </row>
    <row r="706" spans="1:23" x14ac:dyDescent="0.2">
      <c r="A706" s="9" t="str">
        <f>IF(A705="","",IF(WORKDAY(A705,-1,config_Holiday_Calendar_US)&lt;config!$I$10,"",WORKDAY(A705,-1,config_Holiday_Calendar_US)))</f>
        <v/>
      </c>
      <c r="B706" s="8" t="str">
        <f t="shared" si="10"/>
        <v/>
      </c>
      <c r="C706" s="8" t="str">
        <f>IF(A706="","",_xll.BDH(config!$H$4,C$1,$A706,$A706))</f>
        <v/>
      </c>
      <c r="D706" s="8" t="str">
        <f>IF($A706="","",_xll.BDH(config!$H$4,D$1,$A706,$A706))</f>
        <v/>
      </c>
      <c r="E706" s="8" t="str">
        <f>IF($A706="","",IF(ISNUMBER(FIND("IMPVOL",E$1)),_xll.BDH(config!$G$4,E$1,WORKDAY($A706,-1,config_Holiday_Calendar_US),WORKDAY($A706,-1,config_Holiday_Calendar_US)),IF(ISNUMBER(_xll.BDH(config!$G$4,E$1,$A706,$A706)),_xll.BDH(config!$G$4,E$1,$A706,$A706),_xll.BDH(config!$G$5,E$1,$A706,$A706))))</f>
        <v/>
      </c>
      <c r="F706" s="8" t="str">
        <f>IF($A706="","",IF(ISNUMBER(FIND("IMPVOL",F$1)),_xll.BDH(config!$G$4,F$1,WORKDAY($A706,-1,config_Holiday_Calendar_US),WORKDAY($A706,-1,config_Holiday_Calendar_US)),IF(ISNUMBER(_xll.BDH(config!$G$4,F$1,$A706,$A706)),_xll.BDH(config!$G$4,F$1,$A706,$A706),_xll.BDH(config!$G$5,F$1,$A706,$A706))))</f>
        <v/>
      </c>
      <c r="G706" s="8" t="str">
        <f>IF($A706="","",IF(ISNUMBER(FIND("IMPVOL",G$1)),_xll.BDH(config!$G$4,G$1,WORKDAY($A706,-1,config_Holiday_Calendar_US),WORKDAY($A706,-1,config_Holiday_Calendar_US)),IF(ISNUMBER(_xll.BDH(config!$G$4,G$1,$A706,$A706)),_xll.BDH(config!$G$4,G$1,$A706,$A706),_xll.BDH(config!$G$5,G$1,$A706,$A706))))</f>
        <v/>
      </c>
      <c r="H706" s="8" t="str">
        <f>IF($A706="","",IF(ISNUMBER(FIND("IMPVOL",H$1)),_xll.BDH(config!$G$4,H$1,WORKDAY($A706,-1,config_Holiday_Calendar_US),WORKDAY($A706,-1,config_Holiday_Calendar_US)),IF(ISNUMBER(_xll.BDH(config!$G$4,H$1,$A706,$A706)),_xll.BDH(config!$G$4,H$1,$A706,$A706),_xll.BDH(config!$G$5,H$1,$A706,$A706))))</f>
        <v/>
      </c>
      <c r="I706" s="8" t="str">
        <f>IF($A706="","",IF(ISNUMBER(FIND("IMPVOL",I$1)),_xll.BDH(config!$G$4,I$1,WORKDAY($A706,-1,config_Holiday_Calendar_US),WORKDAY($A706,-1,config_Holiday_Calendar_US)),IF(ISNUMBER(_xll.BDH(config!$G$4,I$1,$A706,$A706)),_xll.BDH(config!$G$4,I$1,$A706,$A706),_xll.BDH(config!$G$5,I$1,$A706,$A706))))</f>
        <v/>
      </c>
      <c r="J706" s="8" t="str">
        <f>IF($A706="","",IF(ISNUMBER(FIND("IMPVOL",J$1)),_xll.BDH(config!$G$4,J$1,WORKDAY($A706,-1,config_Holiday_Calendar_US),WORKDAY($A706,-1,config_Holiday_Calendar_US)),IF(ISNUMBER(_xll.BDH(config!$G$4,J$1,$A706,$A706)),_xll.BDH(config!$G$4,J$1,$A706,$A706),_xll.BDH(config!$G$5,J$1,$A706,$A706))))</f>
        <v/>
      </c>
      <c r="K706" s="8" t="str">
        <f>IF($A706="","",IF(ISNUMBER(FIND("IMPVOL",K$1)),_xll.BDH(config!$G$4,K$1,WORKDAY($A706,-1,config_Holiday_Calendar_US),WORKDAY($A706,-1,config_Holiday_Calendar_US)),IF(ISNUMBER(_xll.BDH(config!$G$4,K$1,$A706,$A706)),_xll.BDH(config!$G$4,K$1,$A706,$A706),_xll.BDH(config!$G$5,K$1,$A706,$A706))))</f>
        <v/>
      </c>
      <c r="L706" s="8" t="str">
        <f>IF($A706="","",IF(ISNUMBER(FIND("IMPVOL",L$1)),_xll.BDH(config!$G$4,L$1,WORKDAY($A706,-1,config_Holiday_Calendar_US),WORKDAY($A706,-1,config_Holiday_Calendar_US)),IF(ISNUMBER(_xll.BDH(config!$G$4,L$1,$A706,$A706)),_xll.BDH(config!$G$4,L$1,$A706,$A706),_xll.BDH(config!$G$5,L$1,$A706,$A706))))</f>
        <v/>
      </c>
      <c r="M706" s="8" t="str">
        <f>IF($A706="","",IF(ISNUMBER(FIND("IMPVOL",M$1)),_xll.BDH(config!$G$4,M$1,WORKDAY($A706,-1,config_Holiday_Calendar_US),WORKDAY($A706,-1,config_Holiday_Calendar_US)),IF(ISNUMBER(_xll.BDH(config!$G$4,M$1,$A706,$A706)),_xll.BDH(config!$G$4,M$1,$A706,$A706),_xll.BDH(config!$G$5,M$1,$A706,$A706))))</f>
        <v/>
      </c>
      <c r="N706" s="8" t="str">
        <f>IF($A706="","",IF(ISNUMBER(FIND("IMPVOL",N$1)),_xll.BDH(config!$G$4,N$1,WORKDAY($A706,-1,config_Holiday_Calendar_US),WORKDAY($A706,-1,config_Holiday_Calendar_US)),IF(ISNUMBER(_xll.BDH(config!$G$4,N$1,$A706,$A706)),_xll.BDH(config!$G$4,N$1,$A706,$A706),_xll.BDH(config!$G$5,N$1,$A706,$A706))))</f>
        <v/>
      </c>
      <c r="O706" s="8" t="str">
        <f>IF($A706="","",IF(ISNUMBER(FIND("IMPVOL",O$1)),_xll.BDH(config!$G$4,O$1,WORKDAY($A706,-1,config_Holiday_Calendar_US),WORKDAY($A706,-1,config_Holiday_Calendar_US)),IF(ISNUMBER(_xll.BDH(config!$G$4,O$1,$A706,$A706)),_xll.BDH(config!$G$4,O$1,$A706,$A706),_xll.BDH(config!$G$5,O$1,$A706,$A706))))</f>
        <v/>
      </c>
      <c r="P706" s="8" t="str">
        <f>IF($A706="","",IF(ISNUMBER(FIND("IMPVOL",P$1)),_xll.BDH(config!$G$4,P$1,WORKDAY($A706,-1,config_Holiday_Calendar_US),WORKDAY($A706,-1,config_Holiday_Calendar_US)),IF(ISNUMBER(_xll.BDH(config!$G$4,P$1,$A706,$A706)),_xll.BDH(config!$G$4,P$1,$A706,$A706),_xll.BDH(config!$G$5,P$1,$A706,$A706))))</f>
        <v/>
      </c>
      <c r="Q706" s="8" t="str">
        <f>IF($A706="","",IF(ISNUMBER(FIND("IMPVOL",Q$1)),_xll.BDH(config!$G$4,Q$1,WORKDAY($A706,-1,config_Holiday_Calendar_US),WORKDAY($A706,-1,config_Holiday_Calendar_US)),IF(ISNUMBER(_xll.BDH(config!$G$4,Q$1,$A706,$A706)),_xll.BDH(config!$G$4,Q$1,$A706,$A706),_xll.BDH(config!$G$5,Q$1,$A706,$A706))))</f>
        <v/>
      </c>
      <c r="R706" s="8" t="str">
        <f>IF($A706="","",IF(ISNUMBER(FIND("IMPVOL",R$1)),_xll.BDH(config!$G$4,R$1,WORKDAY($A706,-1,config_Holiday_Calendar_US),WORKDAY($A706,-1,config_Holiday_Calendar_US)),IF(ISNUMBER(_xll.BDH(config!$G$4,R$1,$A706,$A706)),_xll.BDH(config!$G$4,R$1,$A706,$A706),_xll.BDH(config!$G$5,R$1,$A706,$A706))))</f>
        <v/>
      </c>
      <c r="S706" s="8" t="str">
        <f>IF($A706="","",IF(ISNUMBER(FIND("IMPVOL",S$1)),_xll.BDH(config!$G$4,S$1,WORKDAY($A706,-1,config_Holiday_Calendar_US),WORKDAY($A706,-1,config_Holiday_Calendar_US)),IF(ISNUMBER(_xll.BDH(config!$G$4,S$1,$A706,$A706)),_xll.BDH(config!$G$4,S$1,$A706,$A706),_xll.BDH(config!$G$5,S$1,$A706,$A706))))</f>
        <v/>
      </c>
      <c r="T706" s="8" t="str">
        <f>IF($A706="","",IF(ISNUMBER(FIND("IMPVOL",T$1)),_xll.BDH(config!$G$4,T$1,WORKDAY($A706,-1,config_Holiday_Calendar_US),WORKDAY($A706,-1,config_Holiday_Calendar_US)),IF(ISNUMBER(_xll.BDH(config!$G$4,T$1,$A706,$A706)),_xll.BDH(config!$G$4,T$1,$A706,$A706),_xll.BDH(config!$G$5,T$1,$A706,$A706))))</f>
        <v/>
      </c>
      <c r="U706" s="8" t="str">
        <f>IF($A706="","",IF(ISNUMBER(FIND("IMPVOL",U$1)),_xll.BDH(config!$G$4,U$1,WORKDAY($A706,-1,config_Holiday_Calendar_US),WORKDAY($A706,-1,config_Holiday_Calendar_US)),IF(ISNUMBER(_xll.BDH(config!$G$4,U$1,$A706,$A706)),_xll.BDH(config!$G$4,U$1,$A706,$A706),_xll.BDH(config!$G$5,U$1,$A706,$A706))))</f>
        <v/>
      </c>
      <c r="V706" s="8" t="str">
        <f>IF($A706="","",IF(ISNUMBER(FIND("IMPVOL",V$1)),_xll.BDH(config!$G$4,V$1,WORKDAY($A706,-1,config_Holiday_Calendar_US),WORKDAY($A706,-1,config_Holiday_Calendar_US)),IF(ISNUMBER(_xll.BDH(config!$G$4,V$1,$A706,$A706)),_xll.BDH(config!$G$4,V$1,$A706,$A706),_xll.BDH(config!$G$5,V$1,$A706,$A706))))</f>
        <v/>
      </c>
      <c r="W706" s="8" t="str">
        <f>IF($A706="","",IF(ISNUMBER(FIND("IMPVOL",W$1)),_xll.BDH(config!$G$4,W$1,WORKDAY($A706,-1,config_Holiday_Calendar_US),WORKDAY($A706,-1,config_Holiday_Calendar_US)),IF(ISNUMBER(_xll.BDH(config!$G$4,W$1,$A706,$A706)),_xll.BDH(config!$G$4,W$1,$A706,$A706),_xll.BDH(config!$G$5,W$1,$A706,$A706))))</f>
        <v/>
      </c>
    </row>
    <row r="707" spans="1:23" x14ac:dyDescent="0.2">
      <c r="A707" s="9" t="str">
        <f>IF(A706="","",IF(WORKDAY(A706,-1,config_Holiday_Calendar_US)&lt;config!$I$10,"",WORKDAY(A706,-1,config_Holiday_Calendar_US)))</f>
        <v/>
      </c>
      <c r="B707" s="8" t="str">
        <f t="shared" ref="B707:B770" si="11">IF(A707="","",IF(SIGN(C707)=1,1,0))</f>
        <v/>
      </c>
      <c r="C707" s="8" t="str">
        <f>IF(A707="","",_xll.BDH(config!$H$4,C$1,$A707,$A707))</f>
        <v/>
      </c>
      <c r="D707" s="8" t="str">
        <f>IF($A707="","",_xll.BDH(config!$H$4,D$1,$A707,$A707))</f>
        <v/>
      </c>
      <c r="E707" s="8" t="str">
        <f>IF($A707="","",IF(ISNUMBER(FIND("IMPVOL",E$1)),_xll.BDH(config!$G$4,E$1,WORKDAY($A707,-1,config_Holiday_Calendar_US),WORKDAY($A707,-1,config_Holiday_Calendar_US)),IF(ISNUMBER(_xll.BDH(config!$G$4,E$1,$A707,$A707)),_xll.BDH(config!$G$4,E$1,$A707,$A707),_xll.BDH(config!$G$5,E$1,$A707,$A707))))</f>
        <v/>
      </c>
      <c r="F707" s="8" t="str">
        <f>IF($A707="","",IF(ISNUMBER(FIND("IMPVOL",F$1)),_xll.BDH(config!$G$4,F$1,WORKDAY($A707,-1,config_Holiday_Calendar_US),WORKDAY($A707,-1,config_Holiday_Calendar_US)),IF(ISNUMBER(_xll.BDH(config!$G$4,F$1,$A707,$A707)),_xll.BDH(config!$G$4,F$1,$A707,$A707),_xll.BDH(config!$G$5,F$1,$A707,$A707))))</f>
        <v/>
      </c>
      <c r="G707" s="8" t="str">
        <f>IF($A707="","",IF(ISNUMBER(FIND("IMPVOL",G$1)),_xll.BDH(config!$G$4,G$1,WORKDAY($A707,-1,config_Holiday_Calendar_US),WORKDAY($A707,-1,config_Holiday_Calendar_US)),IF(ISNUMBER(_xll.BDH(config!$G$4,G$1,$A707,$A707)),_xll.BDH(config!$G$4,G$1,$A707,$A707),_xll.BDH(config!$G$5,G$1,$A707,$A707))))</f>
        <v/>
      </c>
      <c r="H707" s="8" t="str">
        <f>IF($A707="","",IF(ISNUMBER(FIND("IMPVOL",H$1)),_xll.BDH(config!$G$4,H$1,WORKDAY($A707,-1,config_Holiday_Calendar_US),WORKDAY($A707,-1,config_Holiday_Calendar_US)),IF(ISNUMBER(_xll.BDH(config!$G$4,H$1,$A707,$A707)),_xll.BDH(config!$G$4,H$1,$A707,$A707),_xll.BDH(config!$G$5,H$1,$A707,$A707))))</f>
        <v/>
      </c>
      <c r="I707" s="8" t="str">
        <f>IF($A707="","",IF(ISNUMBER(FIND("IMPVOL",I$1)),_xll.BDH(config!$G$4,I$1,WORKDAY($A707,-1,config_Holiday_Calendar_US),WORKDAY($A707,-1,config_Holiday_Calendar_US)),IF(ISNUMBER(_xll.BDH(config!$G$4,I$1,$A707,$A707)),_xll.BDH(config!$G$4,I$1,$A707,$A707),_xll.BDH(config!$G$5,I$1,$A707,$A707))))</f>
        <v/>
      </c>
      <c r="J707" s="8" t="str">
        <f>IF($A707="","",IF(ISNUMBER(FIND("IMPVOL",J$1)),_xll.BDH(config!$G$4,J$1,WORKDAY($A707,-1,config_Holiday_Calendar_US),WORKDAY($A707,-1,config_Holiday_Calendar_US)),IF(ISNUMBER(_xll.BDH(config!$G$4,J$1,$A707,$A707)),_xll.BDH(config!$G$4,J$1,$A707,$A707),_xll.BDH(config!$G$5,J$1,$A707,$A707))))</f>
        <v/>
      </c>
      <c r="K707" s="8" t="str">
        <f>IF($A707="","",IF(ISNUMBER(FIND("IMPVOL",K$1)),_xll.BDH(config!$G$4,K$1,WORKDAY($A707,-1,config_Holiday_Calendar_US),WORKDAY($A707,-1,config_Holiday_Calendar_US)),IF(ISNUMBER(_xll.BDH(config!$G$4,K$1,$A707,$A707)),_xll.BDH(config!$G$4,K$1,$A707,$A707),_xll.BDH(config!$G$5,K$1,$A707,$A707))))</f>
        <v/>
      </c>
      <c r="L707" s="8" t="str">
        <f>IF($A707="","",IF(ISNUMBER(FIND("IMPVOL",L$1)),_xll.BDH(config!$G$4,L$1,WORKDAY($A707,-1,config_Holiday_Calendar_US),WORKDAY($A707,-1,config_Holiday_Calendar_US)),IF(ISNUMBER(_xll.BDH(config!$G$4,L$1,$A707,$A707)),_xll.BDH(config!$G$4,L$1,$A707,$A707),_xll.BDH(config!$G$5,L$1,$A707,$A707))))</f>
        <v/>
      </c>
      <c r="M707" s="8" t="str">
        <f>IF($A707="","",IF(ISNUMBER(FIND("IMPVOL",M$1)),_xll.BDH(config!$G$4,M$1,WORKDAY($A707,-1,config_Holiday_Calendar_US),WORKDAY($A707,-1,config_Holiday_Calendar_US)),IF(ISNUMBER(_xll.BDH(config!$G$4,M$1,$A707,$A707)),_xll.BDH(config!$G$4,M$1,$A707,$A707),_xll.BDH(config!$G$5,M$1,$A707,$A707))))</f>
        <v/>
      </c>
      <c r="N707" s="8" t="str">
        <f>IF($A707="","",IF(ISNUMBER(FIND("IMPVOL",N$1)),_xll.BDH(config!$G$4,N$1,WORKDAY($A707,-1,config_Holiday_Calendar_US),WORKDAY($A707,-1,config_Holiday_Calendar_US)),IF(ISNUMBER(_xll.BDH(config!$G$4,N$1,$A707,$A707)),_xll.BDH(config!$G$4,N$1,$A707,$A707),_xll.BDH(config!$G$5,N$1,$A707,$A707))))</f>
        <v/>
      </c>
      <c r="O707" s="8" t="str">
        <f>IF($A707="","",IF(ISNUMBER(FIND("IMPVOL",O$1)),_xll.BDH(config!$G$4,O$1,WORKDAY($A707,-1,config_Holiday_Calendar_US),WORKDAY($A707,-1,config_Holiday_Calendar_US)),IF(ISNUMBER(_xll.BDH(config!$G$4,O$1,$A707,$A707)),_xll.BDH(config!$G$4,O$1,$A707,$A707),_xll.BDH(config!$G$5,O$1,$A707,$A707))))</f>
        <v/>
      </c>
      <c r="P707" s="8" t="str">
        <f>IF($A707="","",IF(ISNUMBER(FIND("IMPVOL",P$1)),_xll.BDH(config!$G$4,P$1,WORKDAY($A707,-1,config_Holiday_Calendar_US),WORKDAY($A707,-1,config_Holiday_Calendar_US)),IF(ISNUMBER(_xll.BDH(config!$G$4,P$1,$A707,$A707)),_xll.BDH(config!$G$4,P$1,$A707,$A707),_xll.BDH(config!$G$5,P$1,$A707,$A707))))</f>
        <v/>
      </c>
      <c r="Q707" s="8" t="str">
        <f>IF($A707="","",IF(ISNUMBER(FIND("IMPVOL",Q$1)),_xll.BDH(config!$G$4,Q$1,WORKDAY($A707,-1,config_Holiday_Calendar_US),WORKDAY($A707,-1,config_Holiday_Calendar_US)),IF(ISNUMBER(_xll.BDH(config!$G$4,Q$1,$A707,$A707)),_xll.BDH(config!$G$4,Q$1,$A707,$A707),_xll.BDH(config!$G$5,Q$1,$A707,$A707))))</f>
        <v/>
      </c>
      <c r="R707" s="8" t="str">
        <f>IF($A707="","",IF(ISNUMBER(FIND("IMPVOL",R$1)),_xll.BDH(config!$G$4,R$1,WORKDAY($A707,-1,config_Holiday_Calendar_US),WORKDAY($A707,-1,config_Holiday_Calendar_US)),IF(ISNUMBER(_xll.BDH(config!$G$4,R$1,$A707,$A707)),_xll.BDH(config!$G$4,R$1,$A707,$A707),_xll.BDH(config!$G$5,R$1,$A707,$A707))))</f>
        <v/>
      </c>
      <c r="S707" s="8" t="str">
        <f>IF($A707="","",IF(ISNUMBER(FIND("IMPVOL",S$1)),_xll.BDH(config!$G$4,S$1,WORKDAY($A707,-1,config_Holiday_Calendar_US),WORKDAY($A707,-1,config_Holiday_Calendar_US)),IF(ISNUMBER(_xll.BDH(config!$G$4,S$1,$A707,$A707)),_xll.BDH(config!$G$4,S$1,$A707,$A707),_xll.BDH(config!$G$5,S$1,$A707,$A707))))</f>
        <v/>
      </c>
      <c r="T707" s="8" t="str">
        <f>IF($A707="","",IF(ISNUMBER(FIND("IMPVOL",T$1)),_xll.BDH(config!$G$4,T$1,WORKDAY($A707,-1,config_Holiday_Calendar_US),WORKDAY($A707,-1,config_Holiday_Calendar_US)),IF(ISNUMBER(_xll.BDH(config!$G$4,T$1,$A707,$A707)),_xll.BDH(config!$G$4,T$1,$A707,$A707),_xll.BDH(config!$G$5,T$1,$A707,$A707))))</f>
        <v/>
      </c>
      <c r="U707" s="8" t="str">
        <f>IF($A707="","",IF(ISNUMBER(FIND("IMPVOL",U$1)),_xll.BDH(config!$G$4,U$1,WORKDAY($A707,-1,config_Holiday_Calendar_US),WORKDAY($A707,-1,config_Holiday_Calendar_US)),IF(ISNUMBER(_xll.BDH(config!$G$4,U$1,$A707,$A707)),_xll.BDH(config!$G$4,U$1,$A707,$A707),_xll.BDH(config!$G$5,U$1,$A707,$A707))))</f>
        <v/>
      </c>
      <c r="V707" s="8" t="str">
        <f>IF($A707="","",IF(ISNUMBER(FIND("IMPVOL",V$1)),_xll.BDH(config!$G$4,V$1,WORKDAY($A707,-1,config_Holiday_Calendar_US),WORKDAY($A707,-1,config_Holiday_Calendar_US)),IF(ISNUMBER(_xll.BDH(config!$G$4,V$1,$A707,$A707)),_xll.BDH(config!$G$4,V$1,$A707,$A707),_xll.BDH(config!$G$5,V$1,$A707,$A707))))</f>
        <v/>
      </c>
      <c r="W707" s="8" t="str">
        <f>IF($A707="","",IF(ISNUMBER(FIND("IMPVOL",W$1)),_xll.BDH(config!$G$4,W$1,WORKDAY($A707,-1,config_Holiday_Calendar_US),WORKDAY($A707,-1,config_Holiday_Calendar_US)),IF(ISNUMBER(_xll.BDH(config!$G$4,W$1,$A707,$A707)),_xll.BDH(config!$G$4,W$1,$A707,$A707),_xll.BDH(config!$G$5,W$1,$A707,$A707))))</f>
        <v/>
      </c>
    </row>
    <row r="708" spans="1:23" x14ac:dyDescent="0.2">
      <c r="A708" s="9" t="str">
        <f>IF(A707="","",IF(WORKDAY(A707,-1,config_Holiday_Calendar_US)&lt;config!$I$10,"",WORKDAY(A707,-1,config_Holiday_Calendar_US)))</f>
        <v/>
      </c>
      <c r="B708" s="8" t="str">
        <f t="shared" si="11"/>
        <v/>
      </c>
      <c r="C708" s="8" t="str">
        <f>IF(A708="","",_xll.BDH(config!$H$4,C$1,$A708,$A708))</f>
        <v/>
      </c>
      <c r="D708" s="8" t="str">
        <f>IF($A708="","",_xll.BDH(config!$H$4,D$1,$A708,$A708))</f>
        <v/>
      </c>
      <c r="E708" s="8" t="str">
        <f>IF($A708="","",IF(ISNUMBER(FIND("IMPVOL",E$1)),_xll.BDH(config!$G$4,E$1,WORKDAY($A708,-1,config_Holiday_Calendar_US),WORKDAY($A708,-1,config_Holiday_Calendar_US)),IF(ISNUMBER(_xll.BDH(config!$G$4,E$1,$A708,$A708)),_xll.BDH(config!$G$4,E$1,$A708,$A708),_xll.BDH(config!$G$5,E$1,$A708,$A708))))</f>
        <v/>
      </c>
      <c r="F708" s="8" t="str">
        <f>IF($A708="","",IF(ISNUMBER(FIND("IMPVOL",F$1)),_xll.BDH(config!$G$4,F$1,WORKDAY($A708,-1,config_Holiday_Calendar_US),WORKDAY($A708,-1,config_Holiday_Calendar_US)),IF(ISNUMBER(_xll.BDH(config!$G$4,F$1,$A708,$A708)),_xll.BDH(config!$G$4,F$1,$A708,$A708),_xll.BDH(config!$G$5,F$1,$A708,$A708))))</f>
        <v/>
      </c>
      <c r="G708" s="8" t="str">
        <f>IF($A708="","",IF(ISNUMBER(FIND("IMPVOL",G$1)),_xll.BDH(config!$G$4,G$1,WORKDAY($A708,-1,config_Holiday_Calendar_US),WORKDAY($A708,-1,config_Holiday_Calendar_US)),IF(ISNUMBER(_xll.BDH(config!$G$4,G$1,$A708,$A708)),_xll.BDH(config!$G$4,G$1,$A708,$A708),_xll.BDH(config!$G$5,G$1,$A708,$A708))))</f>
        <v/>
      </c>
      <c r="H708" s="8" t="str">
        <f>IF($A708="","",IF(ISNUMBER(FIND("IMPVOL",H$1)),_xll.BDH(config!$G$4,H$1,WORKDAY($A708,-1,config_Holiday_Calendar_US),WORKDAY($A708,-1,config_Holiday_Calendar_US)),IF(ISNUMBER(_xll.BDH(config!$G$4,H$1,$A708,$A708)),_xll.BDH(config!$G$4,H$1,$A708,$A708),_xll.BDH(config!$G$5,H$1,$A708,$A708))))</f>
        <v/>
      </c>
      <c r="I708" s="8" t="str">
        <f>IF($A708="","",IF(ISNUMBER(FIND("IMPVOL",I$1)),_xll.BDH(config!$G$4,I$1,WORKDAY($A708,-1,config_Holiday_Calendar_US),WORKDAY($A708,-1,config_Holiday_Calendar_US)),IF(ISNUMBER(_xll.BDH(config!$G$4,I$1,$A708,$A708)),_xll.BDH(config!$G$4,I$1,$A708,$A708),_xll.BDH(config!$G$5,I$1,$A708,$A708))))</f>
        <v/>
      </c>
      <c r="J708" s="8" t="str">
        <f>IF($A708="","",IF(ISNUMBER(FIND("IMPVOL",J$1)),_xll.BDH(config!$G$4,J$1,WORKDAY($A708,-1,config_Holiday_Calendar_US),WORKDAY($A708,-1,config_Holiday_Calendar_US)),IF(ISNUMBER(_xll.BDH(config!$G$4,J$1,$A708,$A708)),_xll.BDH(config!$G$4,J$1,$A708,$A708),_xll.BDH(config!$G$5,J$1,$A708,$A708))))</f>
        <v/>
      </c>
      <c r="K708" s="8" t="str">
        <f>IF($A708="","",IF(ISNUMBER(FIND("IMPVOL",K$1)),_xll.BDH(config!$G$4,K$1,WORKDAY($A708,-1,config_Holiday_Calendar_US),WORKDAY($A708,-1,config_Holiday_Calendar_US)),IF(ISNUMBER(_xll.BDH(config!$G$4,K$1,$A708,$A708)),_xll.BDH(config!$G$4,K$1,$A708,$A708),_xll.BDH(config!$G$5,K$1,$A708,$A708))))</f>
        <v/>
      </c>
      <c r="L708" s="8" t="str">
        <f>IF($A708="","",IF(ISNUMBER(FIND("IMPVOL",L$1)),_xll.BDH(config!$G$4,L$1,WORKDAY($A708,-1,config_Holiday_Calendar_US),WORKDAY($A708,-1,config_Holiday_Calendar_US)),IF(ISNUMBER(_xll.BDH(config!$G$4,L$1,$A708,$A708)),_xll.BDH(config!$G$4,L$1,$A708,$A708),_xll.BDH(config!$G$5,L$1,$A708,$A708))))</f>
        <v/>
      </c>
      <c r="M708" s="8" t="str">
        <f>IF($A708="","",IF(ISNUMBER(FIND("IMPVOL",M$1)),_xll.BDH(config!$G$4,M$1,WORKDAY($A708,-1,config_Holiday_Calendar_US),WORKDAY($A708,-1,config_Holiday_Calendar_US)),IF(ISNUMBER(_xll.BDH(config!$G$4,M$1,$A708,$A708)),_xll.BDH(config!$G$4,M$1,$A708,$A708),_xll.BDH(config!$G$5,M$1,$A708,$A708))))</f>
        <v/>
      </c>
      <c r="N708" s="8" t="str">
        <f>IF($A708="","",IF(ISNUMBER(FIND("IMPVOL",N$1)),_xll.BDH(config!$G$4,N$1,WORKDAY($A708,-1,config_Holiday_Calendar_US),WORKDAY($A708,-1,config_Holiday_Calendar_US)),IF(ISNUMBER(_xll.BDH(config!$G$4,N$1,$A708,$A708)),_xll.BDH(config!$G$4,N$1,$A708,$A708),_xll.BDH(config!$G$5,N$1,$A708,$A708))))</f>
        <v/>
      </c>
      <c r="O708" s="8" t="str">
        <f>IF($A708="","",IF(ISNUMBER(FIND("IMPVOL",O$1)),_xll.BDH(config!$G$4,O$1,WORKDAY($A708,-1,config_Holiday_Calendar_US),WORKDAY($A708,-1,config_Holiday_Calendar_US)),IF(ISNUMBER(_xll.BDH(config!$G$4,O$1,$A708,$A708)),_xll.BDH(config!$G$4,O$1,$A708,$A708),_xll.BDH(config!$G$5,O$1,$A708,$A708))))</f>
        <v/>
      </c>
      <c r="P708" s="8" t="str">
        <f>IF($A708="","",IF(ISNUMBER(FIND("IMPVOL",P$1)),_xll.BDH(config!$G$4,P$1,WORKDAY($A708,-1,config_Holiday_Calendar_US),WORKDAY($A708,-1,config_Holiday_Calendar_US)),IF(ISNUMBER(_xll.BDH(config!$G$4,P$1,$A708,$A708)),_xll.BDH(config!$G$4,P$1,$A708,$A708),_xll.BDH(config!$G$5,P$1,$A708,$A708))))</f>
        <v/>
      </c>
      <c r="Q708" s="8" t="str">
        <f>IF($A708="","",IF(ISNUMBER(FIND("IMPVOL",Q$1)),_xll.BDH(config!$G$4,Q$1,WORKDAY($A708,-1,config_Holiday_Calendar_US),WORKDAY($A708,-1,config_Holiday_Calendar_US)),IF(ISNUMBER(_xll.BDH(config!$G$4,Q$1,$A708,$A708)),_xll.BDH(config!$G$4,Q$1,$A708,$A708),_xll.BDH(config!$G$5,Q$1,$A708,$A708))))</f>
        <v/>
      </c>
      <c r="R708" s="8" t="str">
        <f>IF($A708="","",IF(ISNUMBER(FIND("IMPVOL",R$1)),_xll.BDH(config!$G$4,R$1,WORKDAY($A708,-1,config_Holiday_Calendar_US),WORKDAY($A708,-1,config_Holiday_Calendar_US)),IF(ISNUMBER(_xll.BDH(config!$G$4,R$1,$A708,$A708)),_xll.BDH(config!$G$4,R$1,$A708,$A708),_xll.BDH(config!$G$5,R$1,$A708,$A708))))</f>
        <v/>
      </c>
      <c r="S708" s="8" t="str">
        <f>IF($A708="","",IF(ISNUMBER(FIND("IMPVOL",S$1)),_xll.BDH(config!$G$4,S$1,WORKDAY($A708,-1,config_Holiday_Calendar_US),WORKDAY($A708,-1,config_Holiday_Calendar_US)),IF(ISNUMBER(_xll.BDH(config!$G$4,S$1,$A708,$A708)),_xll.BDH(config!$G$4,S$1,$A708,$A708),_xll.BDH(config!$G$5,S$1,$A708,$A708))))</f>
        <v/>
      </c>
      <c r="T708" s="8" t="str">
        <f>IF($A708="","",IF(ISNUMBER(FIND("IMPVOL",T$1)),_xll.BDH(config!$G$4,T$1,WORKDAY($A708,-1,config_Holiday_Calendar_US),WORKDAY($A708,-1,config_Holiday_Calendar_US)),IF(ISNUMBER(_xll.BDH(config!$G$4,T$1,$A708,$A708)),_xll.BDH(config!$G$4,T$1,$A708,$A708),_xll.BDH(config!$G$5,T$1,$A708,$A708))))</f>
        <v/>
      </c>
      <c r="U708" s="8" t="str">
        <f>IF($A708="","",IF(ISNUMBER(FIND("IMPVOL",U$1)),_xll.BDH(config!$G$4,U$1,WORKDAY($A708,-1,config_Holiday_Calendar_US),WORKDAY($A708,-1,config_Holiday_Calendar_US)),IF(ISNUMBER(_xll.BDH(config!$G$4,U$1,$A708,$A708)),_xll.BDH(config!$G$4,U$1,$A708,$A708),_xll.BDH(config!$G$5,U$1,$A708,$A708))))</f>
        <v/>
      </c>
      <c r="V708" s="8" t="str">
        <f>IF($A708="","",IF(ISNUMBER(FIND("IMPVOL",V$1)),_xll.BDH(config!$G$4,V$1,WORKDAY($A708,-1,config_Holiday_Calendar_US),WORKDAY($A708,-1,config_Holiday_Calendar_US)),IF(ISNUMBER(_xll.BDH(config!$G$4,V$1,$A708,$A708)),_xll.BDH(config!$G$4,V$1,$A708,$A708),_xll.BDH(config!$G$5,V$1,$A708,$A708))))</f>
        <v/>
      </c>
      <c r="W708" s="8" t="str">
        <f>IF($A708="","",IF(ISNUMBER(FIND("IMPVOL",W$1)),_xll.BDH(config!$G$4,W$1,WORKDAY($A708,-1,config_Holiday_Calendar_US),WORKDAY($A708,-1,config_Holiday_Calendar_US)),IF(ISNUMBER(_xll.BDH(config!$G$4,W$1,$A708,$A708)),_xll.BDH(config!$G$4,W$1,$A708,$A708),_xll.BDH(config!$G$5,W$1,$A708,$A708))))</f>
        <v/>
      </c>
    </row>
    <row r="709" spans="1:23" x14ac:dyDescent="0.2">
      <c r="A709" s="9" t="str">
        <f>IF(A708="","",IF(WORKDAY(A708,-1,config_Holiday_Calendar_US)&lt;config!$I$10,"",WORKDAY(A708,-1,config_Holiday_Calendar_US)))</f>
        <v/>
      </c>
      <c r="B709" s="8" t="str">
        <f t="shared" si="11"/>
        <v/>
      </c>
      <c r="C709" s="8" t="str">
        <f>IF(A709="","",_xll.BDH(config!$H$4,C$1,$A709,$A709))</f>
        <v/>
      </c>
      <c r="D709" s="8" t="str">
        <f>IF($A709="","",_xll.BDH(config!$H$4,D$1,$A709,$A709))</f>
        <v/>
      </c>
      <c r="E709" s="8" t="str">
        <f>IF($A709="","",IF(ISNUMBER(FIND("IMPVOL",E$1)),_xll.BDH(config!$G$4,E$1,WORKDAY($A709,-1,config_Holiday_Calendar_US),WORKDAY($A709,-1,config_Holiday_Calendar_US)),IF(ISNUMBER(_xll.BDH(config!$G$4,E$1,$A709,$A709)),_xll.BDH(config!$G$4,E$1,$A709,$A709),_xll.BDH(config!$G$5,E$1,$A709,$A709))))</f>
        <v/>
      </c>
      <c r="F709" s="8" t="str">
        <f>IF($A709="","",IF(ISNUMBER(FIND("IMPVOL",F$1)),_xll.BDH(config!$G$4,F$1,WORKDAY($A709,-1,config_Holiday_Calendar_US),WORKDAY($A709,-1,config_Holiday_Calendar_US)),IF(ISNUMBER(_xll.BDH(config!$G$4,F$1,$A709,$A709)),_xll.BDH(config!$G$4,F$1,$A709,$A709),_xll.BDH(config!$G$5,F$1,$A709,$A709))))</f>
        <v/>
      </c>
      <c r="G709" s="8" t="str">
        <f>IF($A709="","",IF(ISNUMBER(FIND("IMPVOL",G$1)),_xll.BDH(config!$G$4,G$1,WORKDAY($A709,-1,config_Holiday_Calendar_US),WORKDAY($A709,-1,config_Holiday_Calendar_US)),IF(ISNUMBER(_xll.BDH(config!$G$4,G$1,$A709,$A709)),_xll.BDH(config!$G$4,G$1,$A709,$A709),_xll.BDH(config!$G$5,G$1,$A709,$A709))))</f>
        <v/>
      </c>
      <c r="H709" s="8" t="str">
        <f>IF($A709="","",IF(ISNUMBER(FIND("IMPVOL",H$1)),_xll.BDH(config!$G$4,H$1,WORKDAY($A709,-1,config_Holiday_Calendar_US),WORKDAY($A709,-1,config_Holiday_Calendar_US)),IF(ISNUMBER(_xll.BDH(config!$G$4,H$1,$A709,$A709)),_xll.BDH(config!$G$4,H$1,$A709,$A709),_xll.BDH(config!$G$5,H$1,$A709,$A709))))</f>
        <v/>
      </c>
      <c r="I709" s="8" t="str">
        <f>IF($A709="","",IF(ISNUMBER(FIND("IMPVOL",I$1)),_xll.BDH(config!$G$4,I$1,WORKDAY($A709,-1,config_Holiday_Calendar_US),WORKDAY($A709,-1,config_Holiday_Calendar_US)),IF(ISNUMBER(_xll.BDH(config!$G$4,I$1,$A709,$A709)),_xll.BDH(config!$G$4,I$1,$A709,$A709),_xll.BDH(config!$G$5,I$1,$A709,$A709))))</f>
        <v/>
      </c>
      <c r="J709" s="8" t="str">
        <f>IF($A709="","",IF(ISNUMBER(FIND("IMPVOL",J$1)),_xll.BDH(config!$G$4,J$1,WORKDAY($A709,-1,config_Holiday_Calendar_US),WORKDAY($A709,-1,config_Holiday_Calendar_US)),IF(ISNUMBER(_xll.BDH(config!$G$4,J$1,$A709,$A709)),_xll.BDH(config!$G$4,J$1,$A709,$A709),_xll.BDH(config!$G$5,J$1,$A709,$A709))))</f>
        <v/>
      </c>
      <c r="K709" s="8" t="str">
        <f>IF($A709="","",IF(ISNUMBER(FIND("IMPVOL",K$1)),_xll.BDH(config!$G$4,K$1,WORKDAY($A709,-1,config_Holiday_Calendar_US),WORKDAY($A709,-1,config_Holiday_Calendar_US)),IF(ISNUMBER(_xll.BDH(config!$G$4,K$1,$A709,$A709)),_xll.BDH(config!$G$4,K$1,$A709,$A709),_xll.BDH(config!$G$5,K$1,$A709,$A709))))</f>
        <v/>
      </c>
      <c r="L709" s="8" t="str">
        <f>IF($A709="","",IF(ISNUMBER(FIND("IMPVOL",L$1)),_xll.BDH(config!$G$4,L$1,WORKDAY($A709,-1,config_Holiday_Calendar_US),WORKDAY($A709,-1,config_Holiday_Calendar_US)),IF(ISNUMBER(_xll.BDH(config!$G$4,L$1,$A709,$A709)),_xll.BDH(config!$G$4,L$1,$A709,$A709),_xll.BDH(config!$G$5,L$1,$A709,$A709))))</f>
        <v/>
      </c>
      <c r="M709" s="8" t="str">
        <f>IF($A709="","",IF(ISNUMBER(FIND("IMPVOL",M$1)),_xll.BDH(config!$G$4,M$1,WORKDAY($A709,-1,config_Holiday_Calendar_US),WORKDAY($A709,-1,config_Holiday_Calendar_US)),IF(ISNUMBER(_xll.BDH(config!$G$4,M$1,$A709,$A709)),_xll.BDH(config!$G$4,M$1,$A709,$A709),_xll.BDH(config!$G$5,M$1,$A709,$A709))))</f>
        <v/>
      </c>
      <c r="N709" s="8" t="str">
        <f>IF($A709="","",IF(ISNUMBER(FIND("IMPVOL",N$1)),_xll.BDH(config!$G$4,N$1,WORKDAY($A709,-1,config_Holiday_Calendar_US),WORKDAY($A709,-1,config_Holiday_Calendar_US)),IF(ISNUMBER(_xll.BDH(config!$G$4,N$1,$A709,$A709)),_xll.BDH(config!$G$4,N$1,$A709,$A709),_xll.BDH(config!$G$5,N$1,$A709,$A709))))</f>
        <v/>
      </c>
      <c r="O709" s="8" t="str">
        <f>IF($A709="","",IF(ISNUMBER(FIND("IMPVOL",O$1)),_xll.BDH(config!$G$4,O$1,WORKDAY($A709,-1,config_Holiday_Calendar_US),WORKDAY($A709,-1,config_Holiday_Calendar_US)),IF(ISNUMBER(_xll.BDH(config!$G$4,O$1,$A709,$A709)),_xll.BDH(config!$G$4,O$1,$A709,$A709),_xll.BDH(config!$G$5,O$1,$A709,$A709))))</f>
        <v/>
      </c>
      <c r="P709" s="8" t="str">
        <f>IF($A709="","",IF(ISNUMBER(FIND("IMPVOL",P$1)),_xll.BDH(config!$G$4,P$1,WORKDAY($A709,-1,config_Holiday_Calendar_US),WORKDAY($A709,-1,config_Holiday_Calendar_US)),IF(ISNUMBER(_xll.BDH(config!$G$4,P$1,$A709,$A709)),_xll.BDH(config!$G$4,P$1,$A709,$A709),_xll.BDH(config!$G$5,P$1,$A709,$A709))))</f>
        <v/>
      </c>
      <c r="Q709" s="8" t="str">
        <f>IF($A709="","",IF(ISNUMBER(FIND("IMPVOL",Q$1)),_xll.BDH(config!$G$4,Q$1,WORKDAY($A709,-1,config_Holiday_Calendar_US),WORKDAY($A709,-1,config_Holiday_Calendar_US)),IF(ISNUMBER(_xll.BDH(config!$G$4,Q$1,$A709,$A709)),_xll.BDH(config!$G$4,Q$1,$A709,$A709),_xll.BDH(config!$G$5,Q$1,$A709,$A709))))</f>
        <v/>
      </c>
      <c r="R709" s="8" t="str">
        <f>IF($A709="","",IF(ISNUMBER(FIND("IMPVOL",R$1)),_xll.BDH(config!$G$4,R$1,WORKDAY($A709,-1,config_Holiday_Calendar_US),WORKDAY($A709,-1,config_Holiday_Calendar_US)),IF(ISNUMBER(_xll.BDH(config!$G$4,R$1,$A709,$A709)),_xll.BDH(config!$G$4,R$1,$A709,$A709),_xll.BDH(config!$G$5,R$1,$A709,$A709))))</f>
        <v/>
      </c>
      <c r="S709" s="8" t="str">
        <f>IF($A709="","",IF(ISNUMBER(FIND("IMPVOL",S$1)),_xll.BDH(config!$G$4,S$1,WORKDAY($A709,-1,config_Holiday_Calendar_US),WORKDAY($A709,-1,config_Holiday_Calendar_US)),IF(ISNUMBER(_xll.BDH(config!$G$4,S$1,$A709,$A709)),_xll.BDH(config!$G$4,S$1,$A709,$A709),_xll.BDH(config!$G$5,S$1,$A709,$A709))))</f>
        <v/>
      </c>
      <c r="T709" s="8" t="str">
        <f>IF($A709="","",IF(ISNUMBER(FIND("IMPVOL",T$1)),_xll.BDH(config!$G$4,T$1,WORKDAY($A709,-1,config_Holiday_Calendar_US),WORKDAY($A709,-1,config_Holiday_Calendar_US)),IF(ISNUMBER(_xll.BDH(config!$G$4,T$1,$A709,$A709)),_xll.BDH(config!$G$4,T$1,$A709,$A709),_xll.BDH(config!$G$5,T$1,$A709,$A709))))</f>
        <v/>
      </c>
      <c r="U709" s="8" t="str">
        <f>IF($A709="","",IF(ISNUMBER(FIND("IMPVOL",U$1)),_xll.BDH(config!$G$4,U$1,WORKDAY($A709,-1,config_Holiday_Calendar_US),WORKDAY($A709,-1,config_Holiday_Calendar_US)),IF(ISNUMBER(_xll.BDH(config!$G$4,U$1,$A709,$A709)),_xll.BDH(config!$G$4,U$1,$A709,$A709),_xll.BDH(config!$G$5,U$1,$A709,$A709))))</f>
        <v/>
      </c>
      <c r="V709" s="8" t="str">
        <f>IF($A709="","",IF(ISNUMBER(FIND("IMPVOL",V$1)),_xll.BDH(config!$G$4,V$1,WORKDAY($A709,-1,config_Holiday_Calendar_US),WORKDAY($A709,-1,config_Holiday_Calendar_US)),IF(ISNUMBER(_xll.BDH(config!$G$4,V$1,$A709,$A709)),_xll.BDH(config!$G$4,V$1,$A709,$A709),_xll.BDH(config!$G$5,V$1,$A709,$A709))))</f>
        <v/>
      </c>
      <c r="W709" s="8" t="str">
        <f>IF($A709="","",IF(ISNUMBER(FIND("IMPVOL",W$1)),_xll.BDH(config!$G$4,W$1,WORKDAY($A709,-1,config_Holiday_Calendar_US),WORKDAY($A709,-1,config_Holiday_Calendar_US)),IF(ISNUMBER(_xll.BDH(config!$G$4,W$1,$A709,$A709)),_xll.BDH(config!$G$4,W$1,$A709,$A709),_xll.BDH(config!$G$5,W$1,$A709,$A709))))</f>
        <v/>
      </c>
    </row>
    <row r="710" spans="1:23" x14ac:dyDescent="0.2">
      <c r="A710" s="9" t="str">
        <f>IF(A709="","",IF(WORKDAY(A709,-1,config_Holiday_Calendar_US)&lt;config!$I$10,"",WORKDAY(A709,-1,config_Holiday_Calendar_US)))</f>
        <v/>
      </c>
      <c r="B710" s="8" t="str">
        <f t="shared" si="11"/>
        <v/>
      </c>
      <c r="C710" s="8" t="str">
        <f>IF(A710="","",_xll.BDH(config!$H$4,C$1,$A710,$A710))</f>
        <v/>
      </c>
      <c r="D710" s="8" t="str">
        <f>IF($A710="","",_xll.BDH(config!$H$4,D$1,$A710,$A710))</f>
        <v/>
      </c>
      <c r="E710" s="8" t="str">
        <f>IF($A710="","",IF(ISNUMBER(FIND("IMPVOL",E$1)),_xll.BDH(config!$G$4,E$1,WORKDAY($A710,-1,config_Holiday_Calendar_US),WORKDAY($A710,-1,config_Holiday_Calendar_US)),IF(ISNUMBER(_xll.BDH(config!$G$4,E$1,$A710,$A710)),_xll.BDH(config!$G$4,E$1,$A710,$A710),_xll.BDH(config!$G$5,E$1,$A710,$A710))))</f>
        <v/>
      </c>
      <c r="F710" s="8" t="str">
        <f>IF($A710="","",IF(ISNUMBER(FIND("IMPVOL",F$1)),_xll.BDH(config!$G$4,F$1,WORKDAY($A710,-1,config_Holiday_Calendar_US),WORKDAY($A710,-1,config_Holiday_Calendar_US)),IF(ISNUMBER(_xll.BDH(config!$G$4,F$1,$A710,$A710)),_xll.BDH(config!$G$4,F$1,$A710,$A710),_xll.BDH(config!$G$5,F$1,$A710,$A710))))</f>
        <v/>
      </c>
      <c r="G710" s="8" t="str">
        <f>IF($A710="","",IF(ISNUMBER(FIND("IMPVOL",G$1)),_xll.BDH(config!$G$4,G$1,WORKDAY($A710,-1,config_Holiday_Calendar_US),WORKDAY($A710,-1,config_Holiday_Calendar_US)),IF(ISNUMBER(_xll.BDH(config!$G$4,G$1,$A710,$A710)),_xll.BDH(config!$G$4,G$1,$A710,$A710),_xll.BDH(config!$G$5,G$1,$A710,$A710))))</f>
        <v/>
      </c>
      <c r="H710" s="8" t="str">
        <f>IF($A710="","",IF(ISNUMBER(FIND("IMPVOL",H$1)),_xll.BDH(config!$G$4,H$1,WORKDAY($A710,-1,config_Holiday_Calendar_US),WORKDAY($A710,-1,config_Holiday_Calendar_US)),IF(ISNUMBER(_xll.BDH(config!$G$4,H$1,$A710,$A710)),_xll.BDH(config!$G$4,H$1,$A710,$A710),_xll.BDH(config!$G$5,H$1,$A710,$A710))))</f>
        <v/>
      </c>
      <c r="I710" s="8" t="str">
        <f>IF($A710="","",IF(ISNUMBER(FIND("IMPVOL",I$1)),_xll.BDH(config!$G$4,I$1,WORKDAY($A710,-1,config_Holiday_Calendar_US),WORKDAY($A710,-1,config_Holiday_Calendar_US)),IF(ISNUMBER(_xll.BDH(config!$G$4,I$1,$A710,$A710)),_xll.BDH(config!$G$4,I$1,$A710,$A710),_xll.BDH(config!$G$5,I$1,$A710,$A710))))</f>
        <v/>
      </c>
      <c r="J710" s="8" t="str">
        <f>IF($A710="","",IF(ISNUMBER(FIND("IMPVOL",J$1)),_xll.BDH(config!$G$4,J$1,WORKDAY($A710,-1,config_Holiday_Calendar_US),WORKDAY($A710,-1,config_Holiday_Calendar_US)),IF(ISNUMBER(_xll.BDH(config!$G$4,J$1,$A710,$A710)),_xll.BDH(config!$G$4,J$1,$A710,$A710),_xll.BDH(config!$G$5,J$1,$A710,$A710))))</f>
        <v/>
      </c>
      <c r="K710" s="8" t="str">
        <f>IF($A710="","",IF(ISNUMBER(FIND("IMPVOL",K$1)),_xll.BDH(config!$G$4,K$1,WORKDAY($A710,-1,config_Holiday_Calendar_US),WORKDAY($A710,-1,config_Holiday_Calendar_US)),IF(ISNUMBER(_xll.BDH(config!$G$4,K$1,$A710,$A710)),_xll.BDH(config!$G$4,K$1,$A710,$A710),_xll.BDH(config!$G$5,K$1,$A710,$A710))))</f>
        <v/>
      </c>
      <c r="L710" s="8" t="str">
        <f>IF($A710="","",IF(ISNUMBER(FIND("IMPVOL",L$1)),_xll.BDH(config!$G$4,L$1,WORKDAY($A710,-1,config_Holiday_Calendar_US),WORKDAY($A710,-1,config_Holiday_Calendar_US)),IF(ISNUMBER(_xll.BDH(config!$G$4,L$1,$A710,$A710)),_xll.BDH(config!$G$4,L$1,$A710,$A710),_xll.BDH(config!$G$5,L$1,$A710,$A710))))</f>
        <v/>
      </c>
      <c r="M710" s="8" t="str">
        <f>IF($A710="","",IF(ISNUMBER(FIND("IMPVOL",M$1)),_xll.BDH(config!$G$4,M$1,WORKDAY($A710,-1,config_Holiday_Calendar_US),WORKDAY($A710,-1,config_Holiday_Calendar_US)),IF(ISNUMBER(_xll.BDH(config!$G$4,M$1,$A710,$A710)),_xll.BDH(config!$G$4,M$1,$A710,$A710),_xll.BDH(config!$G$5,M$1,$A710,$A710))))</f>
        <v/>
      </c>
      <c r="N710" s="8" t="str">
        <f>IF($A710="","",IF(ISNUMBER(FIND("IMPVOL",N$1)),_xll.BDH(config!$G$4,N$1,WORKDAY($A710,-1,config_Holiday_Calendar_US),WORKDAY($A710,-1,config_Holiday_Calendar_US)),IF(ISNUMBER(_xll.BDH(config!$G$4,N$1,$A710,$A710)),_xll.BDH(config!$G$4,N$1,$A710,$A710),_xll.BDH(config!$G$5,N$1,$A710,$A710))))</f>
        <v/>
      </c>
      <c r="O710" s="8" t="str">
        <f>IF($A710="","",IF(ISNUMBER(FIND("IMPVOL",O$1)),_xll.BDH(config!$G$4,O$1,WORKDAY($A710,-1,config_Holiday_Calendar_US),WORKDAY($A710,-1,config_Holiday_Calendar_US)),IF(ISNUMBER(_xll.BDH(config!$G$4,O$1,$A710,$A710)),_xll.BDH(config!$G$4,O$1,$A710,$A710),_xll.BDH(config!$G$5,O$1,$A710,$A710))))</f>
        <v/>
      </c>
      <c r="P710" s="8" t="str">
        <f>IF($A710="","",IF(ISNUMBER(FIND("IMPVOL",P$1)),_xll.BDH(config!$G$4,P$1,WORKDAY($A710,-1,config_Holiday_Calendar_US),WORKDAY($A710,-1,config_Holiday_Calendar_US)),IF(ISNUMBER(_xll.BDH(config!$G$4,P$1,$A710,$A710)),_xll.BDH(config!$G$4,P$1,$A710,$A710),_xll.BDH(config!$G$5,P$1,$A710,$A710))))</f>
        <v/>
      </c>
      <c r="Q710" s="8" t="str">
        <f>IF($A710="","",IF(ISNUMBER(FIND("IMPVOL",Q$1)),_xll.BDH(config!$G$4,Q$1,WORKDAY($A710,-1,config_Holiday_Calendar_US),WORKDAY($A710,-1,config_Holiday_Calendar_US)),IF(ISNUMBER(_xll.BDH(config!$G$4,Q$1,$A710,$A710)),_xll.BDH(config!$G$4,Q$1,$A710,$A710),_xll.BDH(config!$G$5,Q$1,$A710,$A710))))</f>
        <v/>
      </c>
      <c r="R710" s="8" t="str">
        <f>IF($A710="","",IF(ISNUMBER(FIND("IMPVOL",R$1)),_xll.BDH(config!$G$4,R$1,WORKDAY($A710,-1,config_Holiday_Calendar_US),WORKDAY($A710,-1,config_Holiday_Calendar_US)),IF(ISNUMBER(_xll.BDH(config!$G$4,R$1,$A710,$A710)),_xll.BDH(config!$G$4,R$1,$A710,$A710),_xll.BDH(config!$G$5,R$1,$A710,$A710))))</f>
        <v/>
      </c>
      <c r="S710" s="8" t="str">
        <f>IF($A710="","",IF(ISNUMBER(FIND("IMPVOL",S$1)),_xll.BDH(config!$G$4,S$1,WORKDAY($A710,-1,config_Holiday_Calendar_US),WORKDAY($A710,-1,config_Holiday_Calendar_US)),IF(ISNUMBER(_xll.BDH(config!$G$4,S$1,$A710,$A710)),_xll.BDH(config!$G$4,S$1,$A710,$A710),_xll.BDH(config!$G$5,S$1,$A710,$A710))))</f>
        <v/>
      </c>
      <c r="T710" s="8" t="str">
        <f>IF($A710="","",IF(ISNUMBER(FIND("IMPVOL",T$1)),_xll.BDH(config!$G$4,T$1,WORKDAY($A710,-1,config_Holiday_Calendar_US),WORKDAY($A710,-1,config_Holiday_Calendar_US)),IF(ISNUMBER(_xll.BDH(config!$G$4,T$1,$A710,$A710)),_xll.BDH(config!$G$4,T$1,$A710,$A710),_xll.BDH(config!$G$5,T$1,$A710,$A710))))</f>
        <v/>
      </c>
      <c r="U710" s="8" t="str">
        <f>IF($A710="","",IF(ISNUMBER(FIND("IMPVOL",U$1)),_xll.BDH(config!$G$4,U$1,WORKDAY($A710,-1,config_Holiday_Calendar_US),WORKDAY($A710,-1,config_Holiday_Calendar_US)),IF(ISNUMBER(_xll.BDH(config!$G$4,U$1,$A710,$A710)),_xll.BDH(config!$G$4,U$1,$A710,$A710),_xll.BDH(config!$G$5,U$1,$A710,$A710))))</f>
        <v/>
      </c>
      <c r="V710" s="8" t="str">
        <f>IF($A710="","",IF(ISNUMBER(FIND("IMPVOL",V$1)),_xll.BDH(config!$G$4,V$1,WORKDAY($A710,-1,config_Holiday_Calendar_US),WORKDAY($A710,-1,config_Holiday_Calendar_US)),IF(ISNUMBER(_xll.BDH(config!$G$4,V$1,$A710,$A710)),_xll.BDH(config!$G$4,V$1,$A710,$A710),_xll.BDH(config!$G$5,V$1,$A710,$A710))))</f>
        <v/>
      </c>
      <c r="W710" s="8" t="str">
        <f>IF($A710="","",IF(ISNUMBER(FIND("IMPVOL",W$1)),_xll.BDH(config!$G$4,W$1,WORKDAY($A710,-1,config_Holiday_Calendar_US),WORKDAY($A710,-1,config_Holiday_Calendar_US)),IF(ISNUMBER(_xll.BDH(config!$G$4,W$1,$A710,$A710)),_xll.BDH(config!$G$4,W$1,$A710,$A710),_xll.BDH(config!$G$5,W$1,$A710,$A710))))</f>
        <v/>
      </c>
    </row>
    <row r="711" spans="1:23" x14ac:dyDescent="0.2">
      <c r="A711" s="9" t="str">
        <f>IF(A710="","",IF(WORKDAY(A710,-1,config_Holiday_Calendar_US)&lt;config!$I$10,"",WORKDAY(A710,-1,config_Holiday_Calendar_US)))</f>
        <v/>
      </c>
      <c r="B711" s="8" t="str">
        <f t="shared" si="11"/>
        <v/>
      </c>
      <c r="C711" s="8" t="str">
        <f>IF(A711="","",_xll.BDH(config!$H$4,C$1,$A711,$A711))</f>
        <v/>
      </c>
      <c r="D711" s="8" t="str">
        <f>IF($A711="","",_xll.BDH(config!$H$4,D$1,$A711,$A711))</f>
        <v/>
      </c>
      <c r="E711" s="8" t="str">
        <f>IF($A711="","",IF(ISNUMBER(FIND("IMPVOL",E$1)),_xll.BDH(config!$G$4,E$1,WORKDAY($A711,-1,config_Holiday_Calendar_US),WORKDAY($A711,-1,config_Holiday_Calendar_US)),IF(ISNUMBER(_xll.BDH(config!$G$4,E$1,$A711,$A711)),_xll.BDH(config!$G$4,E$1,$A711,$A711),_xll.BDH(config!$G$5,E$1,$A711,$A711))))</f>
        <v/>
      </c>
      <c r="F711" s="8" t="str">
        <f>IF($A711="","",IF(ISNUMBER(FIND("IMPVOL",F$1)),_xll.BDH(config!$G$4,F$1,WORKDAY($A711,-1,config_Holiday_Calendar_US),WORKDAY($A711,-1,config_Holiday_Calendar_US)),IF(ISNUMBER(_xll.BDH(config!$G$4,F$1,$A711,$A711)),_xll.BDH(config!$G$4,F$1,$A711,$A711),_xll.BDH(config!$G$5,F$1,$A711,$A711))))</f>
        <v/>
      </c>
      <c r="G711" s="8" t="str">
        <f>IF($A711="","",IF(ISNUMBER(FIND("IMPVOL",G$1)),_xll.BDH(config!$G$4,G$1,WORKDAY($A711,-1,config_Holiday_Calendar_US),WORKDAY($A711,-1,config_Holiday_Calendar_US)),IF(ISNUMBER(_xll.BDH(config!$G$4,G$1,$A711,$A711)),_xll.BDH(config!$G$4,G$1,$A711,$A711),_xll.BDH(config!$G$5,G$1,$A711,$A711))))</f>
        <v/>
      </c>
      <c r="H711" s="8" t="str">
        <f>IF($A711="","",IF(ISNUMBER(FIND("IMPVOL",H$1)),_xll.BDH(config!$G$4,H$1,WORKDAY($A711,-1,config_Holiday_Calendar_US),WORKDAY($A711,-1,config_Holiday_Calendar_US)),IF(ISNUMBER(_xll.BDH(config!$G$4,H$1,$A711,$A711)),_xll.BDH(config!$G$4,H$1,$A711,$A711),_xll.BDH(config!$G$5,H$1,$A711,$A711))))</f>
        <v/>
      </c>
      <c r="I711" s="8" t="str">
        <f>IF($A711="","",IF(ISNUMBER(FIND("IMPVOL",I$1)),_xll.BDH(config!$G$4,I$1,WORKDAY($A711,-1,config_Holiday_Calendar_US),WORKDAY($A711,-1,config_Holiday_Calendar_US)),IF(ISNUMBER(_xll.BDH(config!$G$4,I$1,$A711,$A711)),_xll.BDH(config!$G$4,I$1,$A711,$A711),_xll.BDH(config!$G$5,I$1,$A711,$A711))))</f>
        <v/>
      </c>
      <c r="J711" s="8" t="str">
        <f>IF($A711="","",IF(ISNUMBER(FIND("IMPVOL",J$1)),_xll.BDH(config!$G$4,J$1,WORKDAY($A711,-1,config_Holiday_Calendar_US),WORKDAY($A711,-1,config_Holiday_Calendar_US)),IF(ISNUMBER(_xll.BDH(config!$G$4,J$1,$A711,$A711)),_xll.BDH(config!$G$4,J$1,$A711,$A711),_xll.BDH(config!$G$5,J$1,$A711,$A711))))</f>
        <v/>
      </c>
      <c r="K711" s="8" t="str">
        <f>IF($A711="","",IF(ISNUMBER(FIND("IMPVOL",K$1)),_xll.BDH(config!$G$4,K$1,WORKDAY($A711,-1,config_Holiday_Calendar_US),WORKDAY($A711,-1,config_Holiday_Calendar_US)),IF(ISNUMBER(_xll.BDH(config!$G$4,K$1,$A711,$A711)),_xll.BDH(config!$G$4,K$1,$A711,$A711),_xll.BDH(config!$G$5,K$1,$A711,$A711))))</f>
        <v/>
      </c>
      <c r="L711" s="8" t="str">
        <f>IF($A711="","",IF(ISNUMBER(FIND("IMPVOL",L$1)),_xll.BDH(config!$G$4,L$1,WORKDAY($A711,-1,config_Holiday_Calendar_US),WORKDAY($A711,-1,config_Holiday_Calendar_US)),IF(ISNUMBER(_xll.BDH(config!$G$4,L$1,$A711,$A711)),_xll.BDH(config!$G$4,L$1,$A711,$A711),_xll.BDH(config!$G$5,L$1,$A711,$A711))))</f>
        <v/>
      </c>
      <c r="M711" s="8" t="str">
        <f>IF($A711="","",IF(ISNUMBER(FIND("IMPVOL",M$1)),_xll.BDH(config!$G$4,M$1,WORKDAY($A711,-1,config_Holiday_Calendar_US),WORKDAY($A711,-1,config_Holiday_Calendar_US)),IF(ISNUMBER(_xll.BDH(config!$G$4,M$1,$A711,$A711)),_xll.BDH(config!$G$4,M$1,$A711,$A711),_xll.BDH(config!$G$5,M$1,$A711,$A711))))</f>
        <v/>
      </c>
      <c r="N711" s="8" t="str">
        <f>IF($A711="","",IF(ISNUMBER(FIND("IMPVOL",N$1)),_xll.BDH(config!$G$4,N$1,WORKDAY($A711,-1,config_Holiday_Calendar_US),WORKDAY($A711,-1,config_Holiday_Calendar_US)),IF(ISNUMBER(_xll.BDH(config!$G$4,N$1,$A711,$A711)),_xll.BDH(config!$G$4,N$1,$A711,$A711),_xll.BDH(config!$G$5,N$1,$A711,$A711))))</f>
        <v/>
      </c>
      <c r="O711" s="8" t="str">
        <f>IF($A711="","",IF(ISNUMBER(FIND("IMPVOL",O$1)),_xll.BDH(config!$G$4,O$1,WORKDAY($A711,-1,config_Holiday_Calendar_US),WORKDAY($A711,-1,config_Holiday_Calendar_US)),IF(ISNUMBER(_xll.BDH(config!$G$4,O$1,$A711,$A711)),_xll.BDH(config!$G$4,O$1,$A711,$A711),_xll.BDH(config!$G$5,O$1,$A711,$A711))))</f>
        <v/>
      </c>
      <c r="P711" s="8" t="str">
        <f>IF($A711="","",IF(ISNUMBER(FIND("IMPVOL",P$1)),_xll.BDH(config!$G$4,P$1,WORKDAY($A711,-1,config_Holiday_Calendar_US),WORKDAY($A711,-1,config_Holiday_Calendar_US)),IF(ISNUMBER(_xll.BDH(config!$G$4,P$1,$A711,$A711)),_xll.BDH(config!$G$4,P$1,$A711,$A711),_xll.BDH(config!$G$5,P$1,$A711,$A711))))</f>
        <v/>
      </c>
      <c r="Q711" s="8" t="str">
        <f>IF($A711="","",IF(ISNUMBER(FIND("IMPVOL",Q$1)),_xll.BDH(config!$G$4,Q$1,WORKDAY($A711,-1,config_Holiday_Calendar_US),WORKDAY($A711,-1,config_Holiday_Calendar_US)),IF(ISNUMBER(_xll.BDH(config!$G$4,Q$1,$A711,$A711)),_xll.BDH(config!$G$4,Q$1,$A711,$A711),_xll.BDH(config!$G$5,Q$1,$A711,$A711))))</f>
        <v/>
      </c>
      <c r="R711" s="8" t="str">
        <f>IF($A711="","",IF(ISNUMBER(FIND("IMPVOL",R$1)),_xll.BDH(config!$G$4,R$1,WORKDAY($A711,-1,config_Holiday_Calendar_US),WORKDAY($A711,-1,config_Holiday_Calendar_US)),IF(ISNUMBER(_xll.BDH(config!$G$4,R$1,$A711,$A711)),_xll.BDH(config!$G$4,R$1,$A711,$A711),_xll.BDH(config!$G$5,R$1,$A711,$A711))))</f>
        <v/>
      </c>
      <c r="S711" s="8" t="str">
        <f>IF($A711="","",IF(ISNUMBER(FIND("IMPVOL",S$1)),_xll.BDH(config!$G$4,S$1,WORKDAY($A711,-1,config_Holiday_Calendar_US),WORKDAY($A711,-1,config_Holiday_Calendar_US)),IF(ISNUMBER(_xll.BDH(config!$G$4,S$1,$A711,$A711)),_xll.BDH(config!$G$4,S$1,$A711,$A711),_xll.BDH(config!$G$5,S$1,$A711,$A711))))</f>
        <v/>
      </c>
      <c r="T711" s="8" t="str">
        <f>IF($A711="","",IF(ISNUMBER(FIND("IMPVOL",T$1)),_xll.BDH(config!$G$4,T$1,WORKDAY($A711,-1,config_Holiday_Calendar_US),WORKDAY($A711,-1,config_Holiday_Calendar_US)),IF(ISNUMBER(_xll.BDH(config!$G$4,T$1,$A711,$A711)),_xll.BDH(config!$G$4,T$1,$A711,$A711),_xll.BDH(config!$G$5,T$1,$A711,$A711))))</f>
        <v/>
      </c>
      <c r="U711" s="8" t="str">
        <f>IF($A711="","",IF(ISNUMBER(FIND("IMPVOL",U$1)),_xll.BDH(config!$G$4,U$1,WORKDAY($A711,-1,config_Holiday_Calendar_US),WORKDAY($A711,-1,config_Holiday_Calendar_US)),IF(ISNUMBER(_xll.BDH(config!$G$4,U$1,$A711,$A711)),_xll.BDH(config!$G$4,U$1,$A711,$A711),_xll.BDH(config!$G$5,U$1,$A711,$A711))))</f>
        <v/>
      </c>
      <c r="V711" s="8" t="str">
        <f>IF($A711="","",IF(ISNUMBER(FIND("IMPVOL",V$1)),_xll.BDH(config!$G$4,V$1,WORKDAY($A711,-1,config_Holiday_Calendar_US),WORKDAY($A711,-1,config_Holiday_Calendar_US)),IF(ISNUMBER(_xll.BDH(config!$G$4,V$1,$A711,$A711)),_xll.BDH(config!$G$4,V$1,$A711,$A711),_xll.BDH(config!$G$5,V$1,$A711,$A711))))</f>
        <v/>
      </c>
      <c r="W711" s="8" t="str">
        <f>IF($A711="","",IF(ISNUMBER(FIND("IMPVOL",W$1)),_xll.BDH(config!$G$4,W$1,WORKDAY($A711,-1,config_Holiday_Calendar_US),WORKDAY($A711,-1,config_Holiday_Calendar_US)),IF(ISNUMBER(_xll.BDH(config!$G$4,W$1,$A711,$A711)),_xll.BDH(config!$G$4,W$1,$A711,$A711),_xll.BDH(config!$G$5,W$1,$A711,$A711))))</f>
        <v/>
      </c>
    </row>
    <row r="712" spans="1:23" x14ac:dyDescent="0.2">
      <c r="A712" s="9" t="str">
        <f>IF(A711="","",IF(WORKDAY(A711,-1,config_Holiday_Calendar_US)&lt;config!$I$10,"",WORKDAY(A711,-1,config_Holiday_Calendar_US)))</f>
        <v/>
      </c>
      <c r="B712" s="8" t="str">
        <f t="shared" si="11"/>
        <v/>
      </c>
      <c r="C712" s="8" t="str">
        <f>IF(A712="","",_xll.BDH(config!$H$4,C$1,$A712,$A712))</f>
        <v/>
      </c>
      <c r="D712" s="8" t="str">
        <f>IF($A712="","",_xll.BDH(config!$H$4,D$1,$A712,$A712))</f>
        <v/>
      </c>
      <c r="E712" s="8" t="str">
        <f>IF($A712="","",IF(ISNUMBER(FIND("IMPVOL",E$1)),_xll.BDH(config!$G$4,E$1,WORKDAY($A712,-1,config_Holiday_Calendar_US),WORKDAY($A712,-1,config_Holiday_Calendar_US)),IF(ISNUMBER(_xll.BDH(config!$G$4,E$1,$A712,$A712)),_xll.BDH(config!$G$4,E$1,$A712,$A712),_xll.BDH(config!$G$5,E$1,$A712,$A712))))</f>
        <v/>
      </c>
      <c r="F712" s="8" t="str">
        <f>IF($A712="","",IF(ISNUMBER(FIND("IMPVOL",F$1)),_xll.BDH(config!$G$4,F$1,WORKDAY($A712,-1,config_Holiday_Calendar_US),WORKDAY($A712,-1,config_Holiday_Calendar_US)),IF(ISNUMBER(_xll.BDH(config!$G$4,F$1,$A712,$A712)),_xll.BDH(config!$G$4,F$1,$A712,$A712),_xll.BDH(config!$G$5,F$1,$A712,$A712))))</f>
        <v/>
      </c>
      <c r="G712" s="8" t="str">
        <f>IF($A712="","",IF(ISNUMBER(FIND("IMPVOL",G$1)),_xll.BDH(config!$G$4,G$1,WORKDAY($A712,-1,config_Holiday_Calendar_US),WORKDAY($A712,-1,config_Holiday_Calendar_US)),IF(ISNUMBER(_xll.BDH(config!$G$4,G$1,$A712,$A712)),_xll.BDH(config!$G$4,G$1,$A712,$A712),_xll.BDH(config!$G$5,G$1,$A712,$A712))))</f>
        <v/>
      </c>
      <c r="H712" s="8" t="str">
        <f>IF($A712="","",IF(ISNUMBER(FIND("IMPVOL",H$1)),_xll.BDH(config!$G$4,H$1,WORKDAY($A712,-1,config_Holiday_Calendar_US),WORKDAY($A712,-1,config_Holiday_Calendar_US)),IF(ISNUMBER(_xll.BDH(config!$G$4,H$1,$A712,$A712)),_xll.BDH(config!$G$4,H$1,$A712,$A712),_xll.BDH(config!$G$5,H$1,$A712,$A712))))</f>
        <v/>
      </c>
      <c r="I712" s="8" t="str">
        <f>IF($A712="","",IF(ISNUMBER(FIND("IMPVOL",I$1)),_xll.BDH(config!$G$4,I$1,WORKDAY($A712,-1,config_Holiday_Calendar_US),WORKDAY($A712,-1,config_Holiday_Calendar_US)),IF(ISNUMBER(_xll.BDH(config!$G$4,I$1,$A712,$A712)),_xll.BDH(config!$G$4,I$1,$A712,$A712),_xll.BDH(config!$G$5,I$1,$A712,$A712))))</f>
        <v/>
      </c>
      <c r="J712" s="8" t="str">
        <f>IF($A712="","",IF(ISNUMBER(FIND("IMPVOL",J$1)),_xll.BDH(config!$G$4,J$1,WORKDAY($A712,-1,config_Holiday_Calendar_US),WORKDAY($A712,-1,config_Holiday_Calendar_US)),IF(ISNUMBER(_xll.BDH(config!$G$4,J$1,$A712,$A712)),_xll.BDH(config!$G$4,J$1,$A712,$A712),_xll.BDH(config!$G$5,J$1,$A712,$A712))))</f>
        <v/>
      </c>
      <c r="K712" s="8" t="str">
        <f>IF($A712="","",IF(ISNUMBER(FIND("IMPVOL",K$1)),_xll.BDH(config!$G$4,K$1,WORKDAY($A712,-1,config_Holiday_Calendar_US),WORKDAY($A712,-1,config_Holiday_Calendar_US)),IF(ISNUMBER(_xll.BDH(config!$G$4,K$1,$A712,$A712)),_xll.BDH(config!$G$4,K$1,$A712,$A712),_xll.BDH(config!$G$5,K$1,$A712,$A712))))</f>
        <v/>
      </c>
      <c r="L712" s="8" t="str">
        <f>IF($A712="","",IF(ISNUMBER(FIND("IMPVOL",L$1)),_xll.BDH(config!$G$4,L$1,WORKDAY($A712,-1,config_Holiday_Calendar_US),WORKDAY($A712,-1,config_Holiday_Calendar_US)),IF(ISNUMBER(_xll.BDH(config!$G$4,L$1,$A712,$A712)),_xll.BDH(config!$G$4,L$1,$A712,$A712),_xll.BDH(config!$G$5,L$1,$A712,$A712))))</f>
        <v/>
      </c>
      <c r="M712" s="8" t="str">
        <f>IF($A712="","",IF(ISNUMBER(FIND("IMPVOL",M$1)),_xll.BDH(config!$G$4,M$1,WORKDAY($A712,-1,config_Holiday_Calendar_US),WORKDAY($A712,-1,config_Holiday_Calendar_US)),IF(ISNUMBER(_xll.BDH(config!$G$4,M$1,$A712,$A712)),_xll.BDH(config!$G$4,M$1,$A712,$A712),_xll.BDH(config!$G$5,M$1,$A712,$A712))))</f>
        <v/>
      </c>
      <c r="N712" s="8" t="str">
        <f>IF($A712="","",IF(ISNUMBER(FIND("IMPVOL",N$1)),_xll.BDH(config!$G$4,N$1,WORKDAY($A712,-1,config_Holiday_Calendar_US),WORKDAY($A712,-1,config_Holiday_Calendar_US)),IF(ISNUMBER(_xll.BDH(config!$G$4,N$1,$A712,$A712)),_xll.BDH(config!$G$4,N$1,$A712,$A712),_xll.BDH(config!$G$5,N$1,$A712,$A712))))</f>
        <v/>
      </c>
      <c r="O712" s="8" t="str">
        <f>IF($A712="","",IF(ISNUMBER(FIND("IMPVOL",O$1)),_xll.BDH(config!$G$4,O$1,WORKDAY($A712,-1,config_Holiday_Calendar_US),WORKDAY($A712,-1,config_Holiday_Calendar_US)),IF(ISNUMBER(_xll.BDH(config!$G$4,O$1,$A712,$A712)),_xll.BDH(config!$G$4,O$1,$A712,$A712),_xll.BDH(config!$G$5,O$1,$A712,$A712))))</f>
        <v/>
      </c>
      <c r="P712" s="8" t="str">
        <f>IF($A712="","",IF(ISNUMBER(FIND("IMPVOL",P$1)),_xll.BDH(config!$G$4,P$1,WORKDAY($A712,-1,config_Holiday_Calendar_US),WORKDAY($A712,-1,config_Holiday_Calendar_US)),IF(ISNUMBER(_xll.BDH(config!$G$4,P$1,$A712,$A712)),_xll.BDH(config!$G$4,P$1,$A712,$A712),_xll.BDH(config!$G$5,P$1,$A712,$A712))))</f>
        <v/>
      </c>
      <c r="Q712" s="8" t="str">
        <f>IF($A712="","",IF(ISNUMBER(FIND("IMPVOL",Q$1)),_xll.BDH(config!$G$4,Q$1,WORKDAY($A712,-1,config_Holiday_Calendar_US),WORKDAY($A712,-1,config_Holiday_Calendar_US)),IF(ISNUMBER(_xll.BDH(config!$G$4,Q$1,$A712,$A712)),_xll.BDH(config!$G$4,Q$1,$A712,$A712),_xll.BDH(config!$G$5,Q$1,$A712,$A712))))</f>
        <v/>
      </c>
      <c r="R712" s="8" t="str">
        <f>IF($A712="","",IF(ISNUMBER(FIND("IMPVOL",R$1)),_xll.BDH(config!$G$4,R$1,WORKDAY($A712,-1,config_Holiday_Calendar_US),WORKDAY($A712,-1,config_Holiday_Calendar_US)),IF(ISNUMBER(_xll.BDH(config!$G$4,R$1,$A712,$A712)),_xll.BDH(config!$G$4,R$1,$A712,$A712),_xll.BDH(config!$G$5,R$1,$A712,$A712))))</f>
        <v/>
      </c>
      <c r="S712" s="8" t="str">
        <f>IF($A712="","",IF(ISNUMBER(FIND("IMPVOL",S$1)),_xll.BDH(config!$G$4,S$1,WORKDAY($A712,-1,config_Holiday_Calendar_US),WORKDAY($A712,-1,config_Holiday_Calendar_US)),IF(ISNUMBER(_xll.BDH(config!$G$4,S$1,$A712,$A712)),_xll.BDH(config!$G$4,S$1,$A712,$A712),_xll.BDH(config!$G$5,S$1,$A712,$A712))))</f>
        <v/>
      </c>
      <c r="T712" s="8" t="str">
        <f>IF($A712="","",IF(ISNUMBER(FIND("IMPVOL",T$1)),_xll.BDH(config!$G$4,T$1,WORKDAY($A712,-1,config_Holiday_Calendar_US),WORKDAY($A712,-1,config_Holiday_Calendar_US)),IF(ISNUMBER(_xll.BDH(config!$G$4,T$1,$A712,$A712)),_xll.BDH(config!$G$4,T$1,$A712,$A712),_xll.BDH(config!$G$5,T$1,$A712,$A712))))</f>
        <v/>
      </c>
      <c r="U712" s="8" t="str">
        <f>IF($A712="","",IF(ISNUMBER(FIND("IMPVOL",U$1)),_xll.BDH(config!$G$4,U$1,WORKDAY($A712,-1,config_Holiday_Calendar_US),WORKDAY($A712,-1,config_Holiday_Calendar_US)),IF(ISNUMBER(_xll.BDH(config!$G$4,U$1,$A712,$A712)),_xll.BDH(config!$G$4,U$1,$A712,$A712),_xll.BDH(config!$G$5,U$1,$A712,$A712))))</f>
        <v/>
      </c>
      <c r="V712" s="8" t="str">
        <f>IF($A712="","",IF(ISNUMBER(FIND("IMPVOL",V$1)),_xll.BDH(config!$G$4,V$1,WORKDAY($A712,-1,config_Holiday_Calendar_US),WORKDAY($A712,-1,config_Holiday_Calendar_US)),IF(ISNUMBER(_xll.BDH(config!$G$4,V$1,$A712,$A712)),_xll.BDH(config!$G$4,V$1,$A712,$A712),_xll.BDH(config!$G$5,V$1,$A712,$A712))))</f>
        <v/>
      </c>
      <c r="W712" s="8" t="str">
        <f>IF($A712="","",IF(ISNUMBER(FIND("IMPVOL",W$1)),_xll.BDH(config!$G$4,W$1,WORKDAY($A712,-1,config_Holiday_Calendar_US),WORKDAY($A712,-1,config_Holiday_Calendar_US)),IF(ISNUMBER(_xll.BDH(config!$G$4,W$1,$A712,$A712)),_xll.BDH(config!$G$4,W$1,$A712,$A712),_xll.BDH(config!$G$5,W$1,$A712,$A712))))</f>
        <v/>
      </c>
    </row>
    <row r="713" spans="1:23" x14ac:dyDescent="0.2">
      <c r="A713" s="9" t="str">
        <f>IF(A712="","",IF(WORKDAY(A712,-1,config_Holiday_Calendar_US)&lt;config!$I$10,"",WORKDAY(A712,-1,config_Holiday_Calendar_US)))</f>
        <v/>
      </c>
      <c r="B713" s="8" t="str">
        <f t="shared" si="11"/>
        <v/>
      </c>
      <c r="C713" s="8" t="str">
        <f>IF(A713="","",_xll.BDH(config!$H$4,C$1,$A713,$A713))</f>
        <v/>
      </c>
      <c r="D713" s="8" t="str">
        <f>IF($A713="","",_xll.BDH(config!$H$4,D$1,$A713,$A713))</f>
        <v/>
      </c>
      <c r="E713" s="8" t="str">
        <f>IF($A713="","",IF(ISNUMBER(FIND("IMPVOL",E$1)),_xll.BDH(config!$G$4,E$1,WORKDAY($A713,-1,config_Holiday_Calendar_US),WORKDAY($A713,-1,config_Holiday_Calendar_US)),IF(ISNUMBER(_xll.BDH(config!$G$4,E$1,$A713,$A713)),_xll.BDH(config!$G$4,E$1,$A713,$A713),_xll.BDH(config!$G$5,E$1,$A713,$A713))))</f>
        <v/>
      </c>
      <c r="F713" s="8" t="str">
        <f>IF($A713="","",IF(ISNUMBER(FIND("IMPVOL",F$1)),_xll.BDH(config!$G$4,F$1,WORKDAY($A713,-1,config_Holiday_Calendar_US),WORKDAY($A713,-1,config_Holiday_Calendar_US)),IF(ISNUMBER(_xll.BDH(config!$G$4,F$1,$A713,$A713)),_xll.BDH(config!$G$4,F$1,$A713,$A713),_xll.BDH(config!$G$5,F$1,$A713,$A713))))</f>
        <v/>
      </c>
      <c r="G713" s="8" t="str">
        <f>IF($A713="","",IF(ISNUMBER(FIND("IMPVOL",G$1)),_xll.BDH(config!$G$4,G$1,WORKDAY($A713,-1,config_Holiday_Calendar_US),WORKDAY($A713,-1,config_Holiday_Calendar_US)),IF(ISNUMBER(_xll.BDH(config!$G$4,G$1,$A713,$A713)),_xll.BDH(config!$G$4,G$1,$A713,$A713),_xll.BDH(config!$G$5,G$1,$A713,$A713))))</f>
        <v/>
      </c>
      <c r="H713" s="8" t="str">
        <f>IF($A713="","",IF(ISNUMBER(FIND("IMPVOL",H$1)),_xll.BDH(config!$G$4,H$1,WORKDAY($A713,-1,config_Holiday_Calendar_US),WORKDAY($A713,-1,config_Holiday_Calendar_US)),IF(ISNUMBER(_xll.BDH(config!$G$4,H$1,$A713,$A713)),_xll.BDH(config!$G$4,H$1,$A713,$A713),_xll.BDH(config!$G$5,H$1,$A713,$A713))))</f>
        <v/>
      </c>
      <c r="I713" s="8" t="str">
        <f>IF($A713="","",IF(ISNUMBER(FIND("IMPVOL",I$1)),_xll.BDH(config!$G$4,I$1,WORKDAY($A713,-1,config_Holiday_Calendar_US),WORKDAY($A713,-1,config_Holiday_Calendar_US)),IF(ISNUMBER(_xll.BDH(config!$G$4,I$1,$A713,$A713)),_xll.BDH(config!$G$4,I$1,$A713,$A713),_xll.BDH(config!$G$5,I$1,$A713,$A713))))</f>
        <v/>
      </c>
      <c r="J713" s="8" t="str">
        <f>IF($A713="","",IF(ISNUMBER(FIND("IMPVOL",J$1)),_xll.BDH(config!$G$4,J$1,WORKDAY($A713,-1,config_Holiday_Calendar_US),WORKDAY($A713,-1,config_Holiday_Calendar_US)),IF(ISNUMBER(_xll.BDH(config!$G$4,J$1,$A713,$A713)),_xll.BDH(config!$G$4,J$1,$A713,$A713),_xll.BDH(config!$G$5,J$1,$A713,$A713))))</f>
        <v/>
      </c>
      <c r="K713" s="8" t="str">
        <f>IF($A713="","",IF(ISNUMBER(FIND("IMPVOL",K$1)),_xll.BDH(config!$G$4,K$1,WORKDAY($A713,-1,config_Holiday_Calendar_US),WORKDAY($A713,-1,config_Holiday_Calendar_US)),IF(ISNUMBER(_xll.BDH(config!$G$4,K$1,$A713,$A713)),_xll.BDH(config!$G$4,K$1,$A713,$A713),_xll.BDH(config!$G$5,K$1,$A713,$A713))))</f>
        <v/>
      </c>
      <c r="L713" s="8" t="str">
        <f>IF($A713="","",IF(ISNUMBER(FIND("IMPVOL",L$1)),_xll.BDH(config!$G$4,L$1,WORKDAY($A713,-1,config_Holiday_Calendar_US),WORKDAY($A713,-1,config_Holiday_Calendar_US)),IF(ISNUMBER(_xll.BDH(config!$G$4,L$1,$A713,$A713)),_xll.BDH(config!$G$4,L$1,$A713,$A713),_xll.BDH(config!$G$5,L$1,$A713,$A713))))</f>
        <v/>
      </c>
      <c r="M713" s="8" t="str">
        <f>IF($A713="","",IF(ISNUMBER(FIND("IMPVOL",M$1)),_xll.BDH(config!$G$4,M$1,WORKDAY($A713,-1,config_Holiday_Calendar_US),WORKDAY($A713,-1,config_Holiday_Calendar_US)),IF(ISNUMBER(_xll.BDH(config!$G$4,M$1,$A713,$A713)),_xll.BDH(config!$G$4,M$1,$A713,$A713),_xll.BDH(config!$G$5,M$1,$A713,$A713))))</f>
        <v/>
      </c>
      <c r="N713" s="8" t="str">
        <f>IF($A713="","",IF(ISNUMBER(FIND("IMPVOL",N$1)),_xll.BDH(config!$G$4,N$1,WORKDAY($A713,-1,config_Holiday_Calendar_US),WORKDAY($A713,-1,config_Holiday_Calendar_US)),IF(ISNUMBER(_xll.BDH(config!$G$4,N$1,$A713,$A713)),_xll.BDH(config!$G$4,N$1,$A713,$A713),_xll.BDH(config!$G$5,N$1,$A713,$A713))))</f>
        <v/>
      </c>
      <c r="O713" s="8" t="str">
        <f>IF($A713="","",IF(ISNUMBER(FIND("IMPVOL",O$1)),_xll.BDH(config!$G$4,O$1,WORKDAY($A713,-1,config_Holiday_Calendar_US),WORKDAY($A713,-1,config_Holiday_Calendar_US)),IF(ISNUMBER(_xll.BDH(config!$G$4,O$1,$A713,$A713)),_xll.BDH(config!$G$4,O$1,$A713,$A713),_xll.BDH(config!$G$5,O$1,$A713,$A713))))</f>
        <v/>
      </c>
      <c r="P713" s="8" t="str">
        <f>IF($A713="","",IF(ISNUMBER(FIND("IMPVOL",P$1)),_xll.BDH(config!$G$4,P$1,WORKDAY($A713,-1,config_Holiday_Calendar_US),WORKDAY($A713,-1,config_Holiday_Calendar_US)),IF(ISNUMBER(_xll.BDH(config!$G$4,P$1,$A713,$A713)),_xll.BDH(config!$G$4,P$1,$A713,$A713),_xll.BDH(config!$G$5,P$1,$A713,$A713))))</f>
        <v/>
      </c>
      <c r="Q713" s="8" t="str">
        <f>IF($A713="","",IF(ISNUMBER(FIND("IMPVOL",Q$1)),_xll.BDH(config!$G$4,Q$1,WORKDAY($A713,-1,config_Holiday_Calendar_US),WORKDAY($A713,-1,config_Holiday_Calendar_US)),IF(ISNUMBER(_xll.BDH(config!$G$4,Q$1,$A713,$A713)),_xll.BDH(config!$G$4,Q$1,$A713,$A713),_xll.BDH(config!$G$5,Q$1,$A713,$A713))))</f>
        <v/>
      </c>
      <c r="R713" s="8" t="str">
        <f>IF($A713="","",IF(ISNUMBER(FIND("IMPVOL",R$1)),_xll.BDH(config!$G$4,R$1,WORKDAY($A713,-1,config_Holiday_Calendar_US),WORKDAY($A713,-1,config_Holiday_Calendar_US)),IF(ISNUMBER(_xll.BDH(config!$G$4,R$1,$A713,$A713)),_xll.BDH(config!$G$4,R$1,$A713,$A713),_xll.BDH(config!$G$5,R$1,$A713,$A713))))</f>
        <v/>
      </c>
      <c r="S713" s="8" t="str">
        <f>IF($A713="","",IF(ISNUMBER(FIND("IMPVOL",S$1)),_xll.BDH(config!$G$4,S$1,WORKDAY($A713,-1,config_Holiday_Calendar_US),WORKDAY($A713,-1,config_Holiday_Calendar_US)),IF(ISNUMBER(_xll.BDH(config!$G$4,S$1,$A713,$A713)),_xll.BDH(config!$G$4,S$1,$A713,$A713),_xll.BDH(config!$G$5,S$1,$A713,$A713))))</f>
        <v/>
      </c>
      <c r="T713" s="8" t="str">
        <f>IF($A713="","",IF(ISNUMBER(FIND("IMPVOL",T$1)),_xll.BDH(config!$G$4,T$1,WORKDAY($A713,-1,config_Holiday_Calendar_US),WORKDAY($A713,-1,config_Holiday_Calendar_US)),IF(ISNUMBER(_xll.BDH(config!$G$4,T$1,$A713,$A713)),_xll.BDH(config!$G$4,T$1,$A713,$A713),_xll.BDH(config!$G$5,T$1,$A713,$A713))))</f>
        <v/>
      </c>
      <c r="U713" s="8" t="str">
        <f>IF($A713="","",IF(ISNUMBER(FIND("IMPVOL",U$1)),_xll.BDH(config!$G$4,U$1,WORKDAY($A713,-1,config_Holiday_Calendar_US),WORKDAY($A713,-1,config_Holiday_Calendar_US)),IF(ISNUMBER(_xll.BDH(config!$G$4,U$1,$A713,$A713)),_xll.BDH(config!$G$4,U$1,$A713,$A713),_xll.BDH(config!$G$5,U$1,$A713,$A713))))</f>
        <v/>
      </c>
      <c r="V713" s="8" t="str">
        <f>IF($A713="","",IF(ISNUMBER(FIND("IMPVOL",V$1)),_xll.BDH(config!$G$4,V$1,WORKDAY($A713,-1,config_Holiday_Calendar_US),WORKDAY($A713,-1,config_Holiday_Calendar_US)),IF(ISNUMBER(_xll.BDH(config!$G$4,V$1,$A713,$A713)),_xll.BDH(config!$G$4,V$1,$A713,$A713),_xll.BDH(config!$G$5,V$1,$A713,$A713))))</f>
        <v/>
      </c>
      <c r="W713" s="8" t="str">
        <f>IF($A713="","",IF(ISNUMBER(FIND("IMPVOL",W$1)),_xll.BDH(config!$G$4,W$1,WORKDAY($A713,-1,config_Holiday_Calendar_US),WORKDAY($A713,-1,config_Holiday_Calendar_US)),IF(ISNUMBER(_xll.BDH(config!$G$4,W$1,$A713,$A713)),_xll.BDH(config!$G$4,W$1,$A713,$A713),_xll.BDH(config!$G$5,W$1,$A713,$A713))))</f>
        <v/>
      </c>
    </row>
    <row r="714" spans="1:23" x14ac:dyDescent="0.2">
      <c r="A714" s="9" t="str">
        <f>IF(A713="","",IF(WORKDAY(A713,-1,config_Holiday_Calendar_US)&lt;config!$I$10,"",WORKDAY(A713,-1,config_Holiday_Calendar_US)))</f>
        <v/>
      </c>
      <c r="B714" s="8" t="str">
        <f t="shared" si="11"/>
        <v/>
      </c>
      <c r="C714" s="8" t="str">
        <f>IF(A714="","",_xll.BDH(config!$H$4,C$1,$A714,$A714))</f>
        <v/>
      </c>
      <c r="D714" s="8" t="str">
        <f>IF($A714="","",_xll.BDH(config!$H$4,D$1,$A714,$A714))</f>
        <v/>
      </c>
      <c r="E714" s="8" t="str">
        <f>IF($A714="","",IF(ISNUMBER(FIND("IMPVOL",E$1)),_xll.BDH(config!$G$4,E$1,WORKDAY($A714,-1,config_Holiday_Calendar_US),WORKDAY($A714,-1,config_Holiday_Calendar_US)),IF(ISNUMBER(_xll.BDH(config!$G$4,E$1,$A714,$A714)),_xll.BDH(config!$G$4,E$1,$A714,$A714),_xll.BDH(config!$G$5,E$1,$A714,$A714))))</f>
        <v/>
      </c>
      <c r="F714" s="8" t="str">
        <f>IF($A714="","",IF(ISNUMBER(FIND("IMPVOL",F$1)),_xll.BDH(config!$G$4,F$1,WORKDAY($A714,-1,config_Holiday_Calendar_US),WORKDAY($A714,-1,config_Holiday_Calendar_US)),IF(ISNUMBER(_xll.BDH(config!$G$4,F$1,$A714,$A714)),_xll.BDH(config!$G$4,F$1,$A714,$A714),_xll.BDH(config!$G$5,F$1,$A714,$A714))))</f>
        <v/>
      </c>
      <c r="G714" s="8" t="str">
        <f>IF($A714="","",IF(ISNUMBER(FIND("IMPVOL",G$1)),_xll.BDH(config!$G$4,G$1,WORKDAY($A714,-1,config_Holiday_Calendar_US),WORKDAY($A714,-1,config_Holiday_Calendar_US)),IF(ISNUMBER(_xll.BDH(config!$G$4,G$1,$A714,$A714)),_xll.BDH(config!$G$4,G$1,$A714,$A714),_xll.BDH(config!$G$5,G$1,$A714,$A714))))</f>
        <v/>
      </c>
      <c r="H714" s="8" t="str">
        <f>IF($A714="","",IF(ISNUMBER(FIND("IMPVOL",H$1)),_xll.BDH(config!$G$4,H$1,WORKDAY($A714,-1,config_Holiday_Calendar_US),WORKDAY($A714,-1,config_Holiday_Calendar_US)),IF(ISNUMBER(_xll.BDH(config!$G$4,H$1,$A714,$A714)),_xll.BDH(config!$G$4,H$1,$A714,$A714),_xll.BDH(config!$G$5,H$1,$A714,$A714))))</f>
        <v/>
      </c>
      <c r="I714" s="8" t="str">
        <f>IF($A714="","",IF(ISNUMBER(FIND("IMPVOL",I$1)),_xll.BDH(config!$G$4,I$1,WORKDAY($A714,-1,config_Holiday_Calendar_US),WORKDAY($A714,-1,config_Holiday_Calendar_US)),IF(ISNUMBER(_xll.BDH(config!$G$4,I$1,$A714,$A714)),_xll.BDH(config!$G$4,I$1,$A714,$A714),_xll.BDH(config!$G$5,I$1,$A714,$A714))))</f>
        <v/>
      </c>
      <c r="J714" s="8" t="str">
        <f>IF($A714="","",IF(ISNUMBER(FIND("IMPVOL",J$1)),_xll.BDH(config!$G$4,J$1,WORKDAY($A714,-1,config_Holiday_Calendar_US),WORKDAY($A714,-1,config_Holiday_Calendar_US)),IF(ISNUMBER(_xll.BDH(config!$G$4,J$1,$A714,$A714)),_xll.BDH(config!$G$4,J$1,$A714,$A714),_xll.BDH(config!$G$5,J$1,$A714,$A714))))</f>
        <v/>
      </c>
      <c r="K714" s="8" t="str">
        <f>IF($A714="","",IF(ISNUMBER(FIND("IMPVOL",K$1)),_xll.BDH(config!$G$4,K$1,WORKDAY($A714,-1,config_Holiday_Calendar_US),WORKDAY($A714,-1,config_Holiday_Calendar_US)),IF(ISNUMBER(_xll.BDH(config!$G$4,K$1,$A714,$A714)),_xll.BDH(config!$G$4,K$1,$A714,$A714),_xll.BDH(config!$G$5,K$1,$A714,$A714))))</f>
        <v/>
      </c>
      <c r="L714" s="8" t="str">
        <f>IF($A714="","",IF(ISNUMBER(FIND("IMPVOL",L$1)),_xll.BDH(config!$G$4,L$1,WORKDAY($A714,-1,config_Holiday_Calendar_US),WORKDAY($A714,-1,config_Holiday_Calendar_US)),IF(ISNUMBER(_xll.BDH(config!$G$4,L$1,$A714,$A714)),_xll.BDH(config!$G$4,L$1,$A714,$A714),_xll.BDH(config!$G$5,L$1,$A714,$A714))))</f>
        <v/>
      </c>
      <c r="M714" s="8" t="str">
        <f>IF($A714="","",IF(ISNUMBER(FIND("IMPVOL",M$1)),_xll.BDH(config!$G$4,M$1,WORKDAY($A714,-1,config_Holiday_Calendar_US),WORKDAY($A714,-1,config_Holiday_Calendar_US)),IF(ISNUMBER(_xll.BDH(config!$G$4,M$1,$A714,$A714)),_xll.BDH(config!$G$4,M$1,$A714,$A714),_xll.BDH(config!$G$5,M$1,$A714,$A714))))</f>
        <v/>
      </c>
      <c r="N714" s="8" t="str">
        <f>IF($A714="","",IF(ISNUMBER(FIND("IMPVOL",N$1)),_xll.BDH(config!$G$4,N$1,WORKDAY($A714,-1,config_Holiday_Calendar_US),WORKDAY($A714,-1,config_Holiday_Calendar_US)),IF(ISNUMBER(_xll.BDH(config!$G$4,N$1,$A714,$A714)),_xll.BDH(config!$G$4,N$1,$A714,$A714),_xll.BDH(config!$G$5,N$1,$A714,$A714))))</f>
        <v/>
      </c>
      <c r="O714" s="8" t="str">
        <f>IF($A714="","",IF(ISNUMBER(FIND("IMPVOL",O$1)),_xll.BDH(config!$G$4,O$1,WORKDAY($A714,-1,config_Holiday_Calendar_US),WORKDAY($A714,-1,config_Holiday_Calendar_US)),IF(ISNUMBER(_xll.BDH(config!$G$4,O$1,$A714,$A714)),_xll.BDH(config!$G$4,O$1,$A714,$A714),_xll.BDH(config!$G$5,O$1,$A714,$A714))))</f>
        <v/>
      </c>
      <c r="P714" s="8" t="str">
        <f>IF($A714="","",IF(ISNUMBER(FIND("IMPVOL",P$1)),_xll.BDH(config!$G$4,P$1,WORKDAY($A714,-1,config_Holiday_Calendar_US),WORKDAY($A714,-1,config_Holiday_Calendar_US)),IF(ISNUMBER(_xll.BDH(config!$G$4,P$1,$A714,$A714)),_xll.BDH(config!$G$4,P$1,$A714,$A714),_xll.BDH(config!$G$5,P$1,$A714,$A714))))</f>
        <v/>
      </c>
      <c r="Q714" s="8" t="str">
        <f>IF($A714="","",IF(ISNUMBER(FIND("IMPVOL",Q$1)),_xll.BDH(config!$G$4,Q$1,WORKDAY($A714,-1,config_Holiday_Calendar_US),WORKDAY($A714,-1,config_Holiday_Calendar_US)),IF(ISNUMBER(_xll.BDH(config!$G$4,Q$1,$A714,$A714)),_xll.BDH(config!$G$4,Q$1,$A714,$A714),_xll.BDH(config!$G$5,Q$1,$A714,$A714))))</f>
        <v/>
      </c>
      <c r="R714" s="8" t="str">
        <f>IF($A714="","",IF(ISNUMBER(FIND("IMPVOL",R$1)),_xll.BDH(config!$G$4,R$1,WORKDAY($A714,-1,config_Holiday_Calendar_US),WORKDAY($A714,-1,config_Holiday_Calendar_US)),IF(ISNUMBER(_xll.BDH(config!$G$4,R$1,$A714,$A714)),_xll.BDH(config!$G$4,R$1,$A714,$A714),_xll.BDH(config!$G$5,R$1,$A714,$A714))))</f>
        <v/>
      </c>
      <c r="S714" s="8" t="str">
        <f>IF($A714="","",IF(ISNUMBER(FIND("IMPVOL",S$1)),_xll.BDH(config!$G$4,S$1,WORKDAY($A714,-1,config_Holiday_Calendar_US),WORKDAY($A714,-1,config_Holiday_Calendar_US)),IF(ISNUMBER(_xll.BDH(config!$G$4,S$1,$A714,$A714)),_xll.BDH(config!$G$4,S$1,$A714,$A714),_xll.BDH(config!$G$5,S$1,$A714,$A714))))</f>
        <v/>
      </c>
      <c r="T714" s="8" t="str">
        <f>IF($A714="","",IF(ISNUMBER(FIND("IMPVOL",T$1)),_xll.BDH(config!$G$4,T$1,WORKDAY($A714,-1,config_Holiday_Calendar_US),WORKDAY($A714,-1,config_Holiday_Calendar_US)),IF(ISNUMBER(_xll.BDH(config!$G$4,T$1,$A714,$A714)),_xll.BDH(config!$G$4,T$1,$A714,$A714),_xll.BDH(config!$G$5,T$1,$A714,$A714))))</f>
        <v/>
      </c>
      <c r="U714" s="8" t="str">
        <f>IF($A714="","",IF(ISNUMBER(FIND("IMPVOL",U$1)),_xll.BDH(config!$G$4,U$1,WORKDAY($A714,-1,config_Holiday_Calendar_US),WORKDAY($A714,-1,config_Holiday_Calendar_US)),IF(ISNUMBER(_xll.BDH(config!$G$4,U$1,$A714,$A714)),_xll.BDH(config!$G$4,U$1,$A714,$A714),_xll.BDH(config!$G$5,U$1,$A714,$A714))))</f>
        <v/>
      </c>
      <c r="V714" s="8" t="str">
        <f>IF($A714="","",IF(ISNUMBER(FIND("IMPVOL",V$1)),_xll.BDH(config!$G$4,V$1,WORKDAY($A714,-1,config_Holiday_Calendar_US),WORKDAY($A714,-1,config_Holiday_Calendar_US)),IF(ISNUMBER(_xll.BDH(config!$G$4,V$1,$A714,$A714)),_xll.BDH(config!$G$4,V$1,$A714,$A714),_xll.BDH(config!$G$5,V$1,$A714,$A714))))</f>
        <v/>
      </c>
      <c r="W714" s="8" t="str">
        <f>IF($A714="","",IF(ISNUMBER(FIND("IMPVOL",W$1)),_xll.BDH(config!$G$4,W$1,WORKDAY($A714,-1,config_Holiday_Calendar_US),WORKDAY($A714,-1,config_Holiday_Calendar_US)),IF(ISNUMBER(_xll.BDH(config!$G$4,W$1,$A714,$A714)),_xll.BDH(config!$G$4,W$1,$A714,$A714),_xll.BDH(config!$G$5,W$1,$A714,$A714))))</f>
        <v/>
      </c>
    </row>
    <row r="715" spans="1:23" x14ac:dyDescent="0.2">
      <c r="A715" s="9" t="str">
        <f>IF(A714="","",IF(WORKDAY(A714,-1,config_Holiday_Calendar_US)&lt;config!$I$10,"",WORKDAY(A714,-1,config_Holiday_Calendar_US)))</f>
        <v/>
      </c>
      <c r="B715" s="8" t="str">
        <f t="shared" si="11"/>
        <v/>
      </c>
      <c r="C715" s="8" t="str">
        <f>IF(A715="","",_xll.BDH(config!$H$4,C$1,$A715,$A715))</f>
        <v/>
      </c>
      <c r="D715" s="8" t="str">
        <f>IF($A715="","",_xll.BDH(config!$H$4,D$1,$A715,$A715))</f>
        <v/>
      </c>
      <c r="E715" s="8" t="str">
        <f>IF($A715="","",IF(ISNUMBER(FIND("IMPVOL",E$1)),_xll.BDH(config!$G$4,E$1,WORKDAY($A715,-1,config_Holiday_Calendar_US),WORKDAY($A715,-1,config_Holiday_Calendar_US)),IF(ISNUMBER(_xll.BDH(config!$G$4,E$1,$A715,$A715)),_xll.BDH(config!$G$4,E$1,$A715,$A715),_xll.BDH(config!$G$5,E$1,$A715,$A715))))</f>
        <v/>
      </c>
      <c r="F715" s="8" t="str">
        <f>IF($A715="","",IF(ISNUMBER(FIND("IMPVOL",F$1)),_xll.BDH(config!$G$4,F$1,WORKDAY($A715,-1,config_Holiday_Calendar_US),WORKDAY($A715,-1,config_Holiday_Calendar_US)),IF(ISNUMBER(_xll.BDH(config!$G$4,F$1,$A715,$A715)),_xll.BDH(config!$G$4,F$1,$A715,$A715),_xll.BDH(config!$G$5,F$1,$A715,$A715))))</f>
        <v/>
      </c>
      <c r="G715" s="8" t="str">
        <f>IF($A715="","",IF(ISNUMBER(FIND("IMPVOL",G$1)),_xll.BDH(config!$G$4,G$1,WORKDAY($A715,-1,config_Holiday_Calendar_US),WORKDAY($A715,-1,config_Holiday_Calendar_US)),IF(ISNUMBER(_xll.BDH(config!$G$4,G$1,$A715,$A715)),_xll.BDH(config!$G$4,G$1,$A715,$A715),_xll.BDH(config!$G$5,G$1,$A715,$A715))))</f>
        <v/>
      </c>
      <c r="H715" s="8" t="str">
        <f>IF($A715="","",IF(ISNUMBER(FIND("IMPVOL",H$1)),_xll.BDH(config!$G$4,H$1,WORKDAY($A715,-1,config_Holiday_Calendar_US),WORKDAY($A715,-1,config_Holiday_Calendar_US)),IF(ISNUMBER(_xll.BDH(config!$G$4,H$1,$A715,$A715)),_xll.BDH(config!$G$4,H$1,$A715,$A715),_xll.BDH(config!$G$5,H$1,$A715,$A715))))</f>
        <v/>
      </c>
      <c r="I715" s="8" t="str">
        <f>IF($A715="","",IF(ISNUMBER(FIND("IMPVOL",I$1)),_xll.BDH(config!$G$4,I$1,WORKDAY($A715,-1,config_Holiday_Calendar_US),WORKDAY($A715,-1,config_Holiday_Calendar_US)),IF(ISNUMBER(_xll.BDH(config!$G$4,I$1,$A715,$A715)),_xll.BDH(config!$G$4,I$1,$A715,$A715),_xll.BDH(config!$G$5,I$1,$A715,$A715))))</f>
        <v/>
      </c>
      <c r="J715" s="8" t="str">
        <f>IF($A715="","",IF(ISNUMBER(FIND("IMPVOL",J$1)),_xll.BDH(config!$G$4,J$1,WORKDAY($A715,-1,config_Holiday_Calendar_US),WORKDAY($A715,-1,config_Holiday_Calendar_US)),IF(ISNUMBER(_xll.BDH(config!$G$4,J$1,$A715,$A715)),_xll.BDH(config!$G$4,J$1,$A715,$A715),_xll.BDH(config!$G$5,J$1,$A715,$A715))))</f>
        <v/>
      </c>
      <c r="K715" s="8" t="str">
        <f>IF($A715="","",IF(ISNUMBER(FIND("IMPVOL",K$1)),_xll.BDH(config!$G$4,K$1,WORKDAY($A715,-1,config_Holiday_Calendar_US),WORKDAY($A715,-1,config_Holiday_Calendar_US)),IF(ISNUMBER(_xll.BDH(config!$G$4,K$1,$A715,$A715)),_xll.BDH(config!$G$4,K$1,$A715,$A715),_xll.BDH(config!$G$5,K$1,$A715,$A715))))</f>
        <v/>
      </c>
      <c r="L715" s="8" t="str">
        <f>IF($A715="","",IF(ISNUMBER(FIND("IMPVOL",L$1)),_xll.BDH(config!$G$4,L$1,WORKDAY($A715,-1,config_Holiday_Calendar_US),WORKDAY($A715,-1,config_Holiday_Calendar_US)),IF(ISNUMBER(_xll.BDH(config!$G$4,L$1,$A715,$A715)),_xll.BDH(config!$G$4,L$1,$A715,$A715),_xll.BDH(config!$G$5,L$1,$A715,$A715))))</f>
        <v/>
      </c>
      <c r="M715" s="8" t="str">
        <f>IF($A715="","",IF(ISNUMBER(FIND("IMPVOL",M$1)),_xll.BDH(config!$G$4,M$1,WORKDAY($A715,-1,config_Holiday_Calendar_US),WORKDAY($A715,-1,config_Holiday_Calendar_US)),IF(ISNUMBER(_xll.BDH(config!$G$4,M$1,$A715,$A715)),_xll.BDH(config!$G$4,M$1,$A715,$A715),_xll.BDH(config!$G$5,M$1,$A715,$A715))))</f>
        <v/>
      </c>
      <c r="N715" s="8" t="str">
        <f>IF($A715="","",IF(ISNUMBER(FIND("IMPVOL",N$1)),_xll.BDH(config!$G$4,N$1,WORKDAY($A715,-1,config_Holiday_Calendar_US),WORKDAY($A715,-1,config_Holiday_Calendar_US)),IF(ISNUMBER(_xll.BDH(config!$G$4,N$1,$A715,$A715)),_xll.BDH(config!$G$4,N$1,$A715,$A715),_xll.BDH(config!$G$5,N$1,$A715,$A715))))</f>
        <v/>
      </c>
      <c r="O715" s="8" t="str">
        <f>IF($A715="","",IF(ISNUMBER(FIND("IMPVOL",O$1)),_xll.BDH(config!$G$4,O$1,WORKDAY($A715,-1,config_Holiday_Calendar_US),WORKDAY($A715,-1,config_Holiday_Calendar_US)),IF(ISNUMBER(_xll.BDH(config!$G$4,O$1,$A715,$A715)),_xll.BDH(config!$G$4,O$1,$A715,$A715),_xll.BDH(config!$G$5,O$1,$A715,$A715))))</f>
        <v/>
      </c>
      <c r="P715" s="8" t="str">
        <f>IF($A715="","",IF(ISNUMBER(FIND("IMPVOL",P$1)),_xll.BDH(config!$G$4,P$1,WORKDAY($A715,-1,config_Holiday_Calendar_US),WORKDAY($A715,-1,config_Holiday_Calendar_US)),IF(ISNUMBER(_xll.BDH(config!$G$4,P$1,$A715,$A715)),_xll.BDH(config!$G$4,P$1,$A715,$A715),_xll.BDH(config!$G$5,P$1,$A715,$A715))))</f>
        <v/>
      </c>
      <c r="Q715" s="8" t="str">
        <f>IF($A715="","",IF(ISNUMBER(FIND("IMPVOL",Q$1)),_xll.BDH(config!$G$4,Q$1,WORKDAY($A715,-1,config_Holiday_Calendar_US),WORKDAY($A715,-1,config_Holiday_Calendar_US)),IF(ISNUMBER(_xll.BDH(config!$G$4,Q$1,$A715,$A715)),_xll.BDH(config!$G$4,Q$1,$A715,$A715),_xll.BDH(config!$G$5,Q$1,$A715,$A715))))</f>
        <v/>
      </c>
      <c r="R715" s="8" t="str">
        <f>IF($A715="","",IF(ISNUMBER(FIND("IMPVOL",R$1)),_xll.BDH(config!$G$4,R$1,WORKDAY($A715,-1,config_Holiday_Calendar_US),WORKDAY($A715,-1,config_Holiday_Calendar_US)),IF(ISNUMBER(_xll.BDH(config!$G$4,R$1,$A715,$A715)),_xll.BDH(config!$G$4,R$1,$A715,$A715),_xll.BDH(config!$G$5,R$1,$A715,$A715))))</f>
        <v/>
      </c>
      <c r="S715" s="8" t="str">
        <f>IF($A715="","",IF(ISNUMBER(FIND("IMPVOL",S$1)),_xll.BDH(config!$G$4,S$1,WORKDAY($A715,-1,config_Holiday_Calendar_US),WORKDAY($A715,-1,config_Holiday_Calendar_US)),IF(ISNUMBER(_xll.BDH(config!$G$4,S$1,$A715,$A715)),_xll.BDH(config!$G$4,S$1,$A715,$A715),_xll.BDH(config!$G$5,S$1,$A715,$A715))))</f>
        <v/>
      </c>
      <c r="T715" s="8" t="str">
        <f>IF($A715="","",IF(ISNUMBER(FIND("IMPVOL",T$1)),_xll.BDH(config!$G$4,T$1,WORKDAY($A715,-1,config_Holiday_Calendar_US),WORKDAY($A715,-1,config_Holiday_Calendar_US)),IF(ISNUMBER(_xll.BDH(config!$G$4,T$1,$A715,$A715)),_xll.BDH(config!$G$4,T$1,$A715,$A715),_xll.BDH(config!$G$5,T$1,$A715,$A715))))</f>
        <v/>
      </c>
      <c r="U715" s="8" t="str">
        <f>IF($A715="","",IF(ISNUMBER(FIND("IMPVOL",U$1)),_xll.BDH(config!$G$4,U$1,WORKDAY($A715,-1,config_Holiday_Calendar_US),WORKDAY($A715,-1,config_Holiday_Calendar_US)),IF(ISNUMBER(_xll.BDH(config!$G$4,U$1,$A715,$A715)),_xll.BDH(config!$G$4,U$1,$A715,$A715),_xll.BDH(config!$G$5,U$1,$A715,$A715))))</f>
        <v/>
      </c>
      <c r="V715" s="8" t="str">
        <f>IF($A715="","",IF(ISNUMBER(FIND("IMPVOL",V$1)),_xll.BDH(config!$G$4,V$1,WORKDAY($A715,-1,config_Holiday_Calendar_US),WORKDAY($A715,-1,config_Holiday_Calendar_US)),IF(ISNUMBER(_xll.BDH(config!$G$4,V$1,$A715,$A715)),_xll.BDH(config!$G$4,V$1,$A715,$A715),_xll.BDH(config!$G$5,V$1,$A715,$A715))))</f>
        <v/>
      </c>
      <c r="W715" s="8" t="str">
        <f>IF($A715="","",IF(ISNUMBER(FIND("IMPVOL",W$1)),_xll.BDH(config!$G$4,W$1,WORKDAY($A715,-1,config_Holiday_Calendar_US),WORKDAY($A715,-1,config_Holiday_Calendar_US)),IF(ISNUMBER(_xll.BDH(config!$G$4,W$1,$A715,$A715)),_xll.BDH(config!$G$4,W$1,$A715,$A715),_xll.BDH(config!$G$5,W$1,$A715,$A715))))</f>
        <v/>
      </c>
    </row>
    <row r="716" spans="1:23" x14ac:dyDescent="0.2">
      <c r="A716" s="9" t="str">
        <f>IF(A715="","",IF(WORKDAY(A715,-1,config_Holiday_Calendar_US)&lt;config!$I$10,"",WORKDAY(A715,-1,config_Holiday_Calendar_US)))</f>
        <v/>
      </c>
      <c r="B716" s="8" t="str">
        <f t="shared" si="11"/>
        <v/>
      </c>
      <c r="C716" s="8" t="str">
        <f>IF(A716="","",_xll.BDH(config!$H$4,C$1,$A716,$A716))</f>
        <v/>
      </c>
      <c r="D716" s="8" t="str">
        <f>IF($A716="","",_xll.BDH(config!$H$4,D$1,$A716,$A716))</f>
        <v/>
      </c>
      <c r="E716" s="8" t="str">
        <f>IF($A716="","",IF(ISNUMBER(FIND("IMPVOL",E$1)),_xll.BDH(config!$G$4,E$1,WORKDAY($A716,-1,config_Holiday_Calendar_US),WORKDAY($A716,-1,config_Holiday_Calendar_US)),IF(ISNUMBER(_xll.BDH(config!$G$4,E$1,$A716,$A716)),_xll.BDH(config!$G$4,E$1,$A716,$A716),_xll.BDH(config!$G$5,E$1,$A716,$A716))))</f>
        <v/>
      </c>
      <c r="F716" s="8" t="str">
        <f>IF($A716="","",IF(ISNUMBER(FIND("IMPVOL",F$1)),_xll.BDH(config!$G$4,F$1,WORKDAY($A716,-1,config_Holiday_Calendar_US),WORKDAY($A716,-1,config_Holiday_Calendar_US)),IF(ISNUMBER(_xll.BDH(config!$G$4,F$1,$A716,$A716)),_xll.BDH(config!$G$4,F$1,$A716,$A716),_xll.BDH(config!$G$5,F$1,$A716,$A716))))</f>
        <v/>
      </c>
      <c r="G716" s="8" t="str">
        <f>IF($A716="","",IF(ISNUMBER(FIND("IMPVOL",G$1)),_xll.BDH(config!$G$4,G$1,WORKDAY($A716,-1,config_Holiday_Calendar_US),WORKDAY($A716,-1,config_Holiday_Calendar_US)),IF(ISNUMBER(_xll.BDH(config!$G$4,G$1,$A716,$A716)),_xll.BDH(config!$G$4,G$1,$A716,$A716),_xll.BDH(config!$G$5,G$1,$A716,$A716))))</f>
        <v/>
      </c>
      <c r="H716" s="8" t="str">
        <f>IF($A716="","",IF(ISNUMBER(FIND("IMPVOL",H$1)),_xll.BDH(config!$G$4,H$1,WORKDAY($A716,-1,config_Holiday_Calendar_US),WORKDAY($A716,-1,config_Holiday_Calendar_US)),IF(ISNUMBER(_xll.BDH(config!$G$4,H$1,$A716,$A716)),_xll.BDH(config!$G$4,H$1,$A716,$A716),_xll.BDH(config!$G$5,H$1,$A716,$A716))))</f>
        <v/>
      </c>
      <c r="I716" s="8" t="str">
        <f>IF($A716="","",IF(ISNUMBER(FIND("IMPVOL",I$1)),_xll.BDH(config!$G$4,I$1,WORKDAY($A716,-1,config_Holiday_Calendar_US),WORKDAY($A716,-1,config_Holiday_Calendar_US)),IF(ISNUMBER(_xll.BDH(config!$G$4,I$1,$A716,$A716)),_xll.BDH(config!$G$4,I$1,$A716,$A716),_xll.BDH(config!$G$5,I$1,$A716,$A716))))</f>
        <v/>
      </c>
      <c r="J716" s="8" t="str">
        <f>IF($A716="","",IF(ISNUMBER(FIND("IMPVOL",J$1)),_xll.BDH(config!$G$4,J$1,WORKDAY($A716,-1,config_Holiday_Calendar_US),WORKDAY($A716,-1,config_Holiday_Calendar_US)),IF(ISNUMBER(_xll.BDH(config!$G$4,J$1,$A716,$A716)),_xll.BDH(config!$G$4,J$1,$A716,$A716),_xll.BDH(config!$G$5,J$1,$A716,$A716))))</f>
        <v/>
      </c>
      <c r="K716" s="8" t="str">
        <f>IF($A716="","",IF(ISNUMBER(FIND("IMPVOL",K$1)),_xll.BDH(config!$G$4,K$1,WORKDAY($A716,-1,config_Holiday_Calendar_US),WORKDAY($A716,-1,config_Holiday_Calendar_US)),IF(ISNUMBER(_xll.BDH(config!$G$4,K$1,$A716,$A716)),_xll.BDH(config!$G$4,K$1,$A716,$A716),_xll.BDH(config!$G$5,K$1,$A716,$A716))))</f>
        <v/>
      </c>
      <c r="L716" s="8" t="str">
        <f>IF($A716="","",IF(ISNUMBER(FIND("IMPVOL",L$1)),_xll.BDH(config!$G$4,L$1,WORKDAY($A716,-1,config_Holiday_Calendar_US),WORKDAY($A716,-1,config_Holiday_Calendar_US)),IF(ISNUMBER(_xll.BDH(config!$G$4,L$1,$A716,$A716)),_xll.BDH(config!$G$4,L$1,$A716,$A716),_xll.BDH(config!$G$5,L$1,$A716,$A716))))</f>
        <v/>
      </c>
      <c r="M716" s="8" t="str">
        <f>IF($A716="","",IF(ISNUMBER(FIND("IMPVOL",M$1)),_xll.BDH(config!$G$4,M$1,WORKDAY($A716,-1,config_Holiday_Calendar_US),WORKDAY($A716,-1,config_Holiday_Calendar_US)),IF(ISNUMBER(_xll.BDH(config!$G$4,M$1,$A716,$A716)),_xll.BDH(config!$G$4,M$1,$A716,$A716),_xll.BDH(config!$G$5,M$1,$A716,$A716))))</f>
        <v/>
      </c>
      <c r="N716" s="8" t="str">
        <f>IF($A716="","",IF(ISNUMBER(FIND("IMPVOL",N$1)),_xll.BDH(config!$G$4,N$1,WORKDAY($A716,-1,config_Holiday_Calendar_US),WORKDAY($A716,-1,config_Holiday_Calendar_US)),IF(ISNUMBER(_xll.BDH(config!$G$4,N$1,$A716,$A716)),_xll.BDH(config!$G$4,N$1,$A716,$A716),_xll.BDH(config!$G$5,N$1,$A716,$A716))))</f>
        <v/>
      </c>
      <c r="O716" s="8" t="str">
        <f>IF($A716="","",IF(ISNUMBER(FIND("IMPVOL",O$1)),_xll.BDH(config!$G$4,O$1,WORKDAY($A716,-1,config_Holiday_Calendar_US),WORKDAY($A716,-1,config_Holiday_Calendar_US)),IF(ISNUMBER(_xll.BDH(config!$G$4,O$1,$A716,$A716)),_xll.BDH(config!$G$4,O$1,$A716,$A716),_xll.BDH(config!$G$5,O$1,$A716,$A716))))</f>
        <v/>
      </c>
      <c r="P716" s="8" t="str">
        <f>IF($A716="","",IF(ISNUMBER(FIND("IMPVOL",P$1)),_xll.BDH(config!$G$4,P$1,WORKDAY($A716,-1,config_Holiday_Calendar_US),WORKDAY($A716,-1,config_Holiday_Calendar_US)),IF(ISNUMBER(_xll.BDH(config!$G$4,P$1,$A716,$A716)),_xll.BDH(config!$G$4,P$1,$A716,$A716),_xll.BDH(config!$G$5,P$1,$A716,$A716))))</f>
        <v/>
      </c>
      <c r="Q716" s="8" t="str">
        <f>IF($A716="","",IF(ISNUMBER(FIND("IMPVOL",Q$1)),_xll.BDH(config!$G$4,Q$1,WORKDAY($A716,-1,config_Holiday_Calendar_US),WORKDAY($A716,-1,config_Holiday_Calendar_US)),IF(ISNUMBER(_xll.BDH(config!$G$4,Q$1,$A716,$A716)),_xll.BDH(config!$G$4,Q$1,$A716,$A716),_xll.BDH(config!$G$5,Q$1,$A716,$A716))))</f>
        <v/>
      </c>
      <c r="R716" s="8" t="str">
        <f>IF($A716="","",IF(ISNUMBER(FIND("IMPVOL",R$1)),_xll.BDH(config!$G$4,R$1,WORKDAY($A716,-1,config_Holiday_Calendar_US),WORKDAY($A716,-1,config_Holiday_Calendar_US)),IF(ISNUMBER(_xll.BDH(config!$G$4,R$1,$A716,$A716)),_xll.BDH(config!$G$4,R$1,$A716,$A716),_xll.BDH(config!$G$5,R$1,$A716,$A716))))</f>
        <v/>
      </c>
      <c r="S716" s="8" t="str">
        <f>IF($A716="","",IF(ISNUMBER(FIND("IMPVOL",S$1)),_xll.BDH(config!$G$4,S$1,WORKDAY($A716,-1,config_Holiday_Calendar_US),WORKDAY($A716,-1,config_Holiday_Calendar_US)),IF(ISNUMBER(_xll.BDH(config!$G$4,S$1,$A716,$A716)),_xll.BDH(config!$G$4,S$1,$A716,$A716),_xll.BDH(config!$G$5,S$1,$A716,$A716))))</f>
        <v/>
      </c>
      <c r="T716" s="8" t="str">
        <f>IF($A716="","",IF(ISNUMBER(FIND("IMPVOL",T$1)),_xll.BDH(config!$G$4,T$1,WORKDAY($A716,-1,config_Holiday_Calendar_US),WORKDAY($A716,-1,config_Holiday_Calendar_US)),IF(ISNUMBER(_xll.BDH(config!$G$4,T$1,$A716,$A716)),_xll.BDH(config!$G$4,T$1,$A716,$A716),_xll.BDH(config!$G$5,T$1,$A716,$A716))))</f>
        <v/>
      </c>
      <c r="U716" s="8" t="str">
        <f>IF($A716="","",IF(ISNUMBER(FIND("IMPVOL",U$1)),_xll.BDH(config!$G$4,U$1,WORKDAY($A716,-1,config_Holiday_Calendar_US),WORKDAY($A716,-1,config_Holiday_Calendar_US)),IF(ISNUMBER(_xll.BDH(config!$G$4,U$1,$A716,$A716)),_xll.BDH(config!$G$4,U$1,$A716,$A716),_xll.BDH(config!$G$5,U$1,$A716,$A716))))</f>
        <v/>
      </c>
      <c r="V716" s="8" t="str">
        <f>IF($A716="","",IF(ISNUMBER(FIND("IMPVOL",V$1)),_xll.BDH(config!$G$4,V$1,WORKDAY($A716,-1,config_Holiday_Calendar_US),WORKDAY($A716,-1,config_Holiday_Calendar_US)),IF(ISNUMBER(_xll.BDH(config!$G$4,V$1,$A716,$A716)),_xll.BDH(config!$G$4,V$1,$A716,$A716),_xll.BDH(config!$G$5,V$1,$A716,$A716))))</f>
        <v/>
      </c>
      <c r="W716" s="8" t="str">
        <f>IF($A716="","",IF(ISNUMBER(FIND("IMPVOL",W$1)),_xll.BDH(config!$G$4,W$1,WORKDAY($A716,-1,config_Holiday_Calendar_US),WORKDAY($A716,-1,config_Holiday_Calendar_US)),IF(ISNUMBER(_xll.BDH(config!$G$4,W$1,$A716,$A716)),_xll.BDH(config!$G$4,W$1,$A716,$A716),_xll.BDH(config!$G$5,W$1,$A716,$A716))))</f>
        <v/>
      </c>
    </row>
    <row r="717" spans="1:23" x14ac:dyDescent="0.2">
      <c r="A717" s="9" t="str">
        <f>IF(A716="","",IF(WORKDAY(A716,-1,config_Holiday_Calendar_US)&lt;config!$I$10,"",WORKDAY(A716,-1,config_Holiday_Calendar_US)))</f>
        <v/>
      </c>
      <c r="B717" s="8" t="str">
        <f t="shared" si="11"/>
        <v/>
      </c>
      <c r="C717" s="8" t="str">
        <f>IF(A717="","",_xll.BDH(config!$H$4,C$1,$A717,$A717))</f>
        <v/>
      </c>
      <c r="D717" s="8" t="str">
        <f>IF($A717="","",_xll.BDH(config!$H$4,D$1,$A717,$A717))</f>
        <v/>
      </c>
      <c r="E717" s="8" t="str">
        <f>IF($A717="","",IF(ISNUMBER(FIND("IMPVOL",E$1)),_xll.BDH(config!$G$4,E$1,WORKDAY($A717,-1,config_Holiday_Calendar_US),WORKDAY($A717,-1,config_Holiday_Calendar_US)),IF(ISNUMBER(_xll.BDH(config!$G$4,E$1,$A717,$A717)),_xll.BDH(config!$G$4,E$1,$A717,$A717),_xll.BDH(config!$G$5,E$1,$A717,$A717))))</f>
        <v/>
      </c>
      <c r="F717" s="8" t="str">
        <f>IF($A717="","",IF(ISNUMBER(FIND("IMPVOL",F$1)),_xll.BDH(config!$G$4,F$1,WORKDAY($A717,-1,config_Holiday_Calendar_US),WORKDAY($A717,-1,config_Holiday_Calendar_US)),IF(ISNUMBER(_xll.BDH(config!$G$4,F$1,$A717,$A717)),_xll.BDH(config!$G$4,F$1,$A717,$A717),_xll.BDH(config!$G$5,F$1,$A717,$A717))))</f>
        <v/>
      </c>
      <c r="G717" s="8" t="str">
        <f>IF($A717="","",IF(ISNUMBER(FIND("IMPVOL",G$1)),_xll.BDH(config!$G$4,G$1,WORKDAY($A717,-1,config_Holiday_Calendar_US),WORKDAY($A717,-1,config_Holiday_Calendar_US)),IF(ISNUMBER(_xll.BDH(config!$G$4,G$1,$A717,$A717)),_xll.BDH(config!$G$4,G$1,$A717,$A717),_xll.BDH(config!$G$5,G$1,$A717,$A717))))</f>
        <v/>
      </c>
      <c r="H717" s="8" t="str">
        <f>IF($A717="","",IF(ISNUMBER(FIND("IMPVOL",H$1)),_xll.BDH(config!$G$4,H$1,WORKDAY($A717,-1,config_Holiday_Calendar_US),WORKDAY($A717,-1,config_Holiday_Calendar_US)),IF(ISNUMBER(_xll.BDH(config!$G$4,H$1,$A717,$A717)),_xll.BDH(config!$G$4,H$1,$A717,$A717),_xll.BDH(config!$G$5,H$1,$A717,$A717))))</f>
        <v/>
      </c>
      <c r="I717" s="8" t="str">
        <f>IF($A717="","",IF(ISNUMBER(FIND("IMPVOL",I$1)),_xll.BDH(config!$G$4,I$1,WORKDAY($A717,-1,config_Holiday_Calendar_US),WORKDAY($A717,-1,config_Holiday_Calendar_US)),IF(ISNUMBER(_xll.BDH(config!$G$4,I$1,$A717,$A717)),_xll.BDH(config!$G$4,I$1,$A717,$A717),_xll.BDH(config!$G$5,I$1,$A717,$A717))))</f>
        <v/>
      </c>
      <c r="J717" s="8" t="str">
        <f>IF($A717="","",IF(ISNUMBER(FIND("IMPVOL",J$1)),_xll.BDH(config!$G$4,J$1,WORKDAY($A717,-1,config_Holiday_Calendar_US),WORKDAY($A717,-1,config_Holiday_Calendar_US)),IF(ISNUMBER(_xll.BDH(config!$G$4,J$1,$A717,$A717)),_xll.BDH(config!$G$4,J$1,$A717,$A717),_xll.BDH(config!$G$5,J$1,$A717,$A717))))</f>
        <v/>
      </c>
      <c r="K717" s="8" t="str">
        <f>IF($A717="","",IF(ISNUMBER(FIND("IMPVOL",K$1)),_xll.BDH(config!$G$4,K$1,WORKDAY($A717,-1,config_Holiday_Calendar_US),WORKDAY($A717,-1,config_Holiday_Calendar_US)),IF(ISNUMBER(_xll.BDH(config!$G$4,K$1,$A717,$A717)),_xll.BDH(config!$G$4,K$1,$A717,$A717),_xll.BDH(config!$G$5,K$1,$A717,$A717))))</f>
        <v/>
      </c>
      <c r="L717" s="8" t="str">
        <f>IF($A717="","",IF(ISNUMBER(FIND("IMPVOL",L$1)),_xll.BDH(config!$G$4,L$1,WORKDAY($A717,-1,config_Holiday_Calendar_US),WORKDAY($A717,-1,config_Holiday_Calendar_US)),IF(ISNUMBER(_xll.BDH(config!$G$4,L$1,$A717,$A717)),_xll.BDH(config!$G$4,L$1,$A717,$A717),_xll.BDH(config!$G$5,L$1,$A717,$A717))))</f>
        <v/>
      </c>
      <c r="M717" s="8" t="str">
        <f>IF($A717="","",IF(ISNUMBER(FIND("IMPVOL",M$1)),_xll.BDH(config!$G$4,M$1,WORKDAY($A717,-1,config_Holiday_Calendar_US),WORKDAY($A717,-1,config_Holiday_Calendar_US)),IF(ISNUMBER(_xll.BDH(config!$G$4,M$1,$A717,$A717)),_xll.BDH(config!$G$4,M$1,$A717,$A717),_xll.BDH(config!$G$5,M$1,$A717,$A717))))</f>
        <v/>
      </c>
      <c r="N717" s="8" t="str">
        <f>IF($A717="","",IF(ISNUMBER(FIND("IMPVOL",N$1)),_xll.BDH(config!$G$4,N$1,WORKDAY($A717,-1,config_Holiday_Calendar_US),WORKDAY($A717,-1,config_Holiday_Calendar_US)),IF(ISNUMBER(_xll.BDH(config!$G$4,N$1,$A717,$A717)),_xll.BDH(config!$G$4,N$1,$A717,$A717),_xll.BDH(config!$G$5,N$1,$A717,$A717))))</f>
        <v/>
      </c>
      <c r="O717" s="8" t="str">
        <f>IF($A717="","",IF(ISNUMBER(FIND("IMPVOL",O$1)),_xll.BDH(config!$G$4,O$1,WORKDAY($A717,-1,config_Holiday_Calendar_US),WORKDAY($A717,-1,config_Holiday_Calendar_US)),IF(ISNUMBER(_xll.BDH(config!$G$4,O$1,$A717,$A717)),_xll.BDH(config!$G$4,O$1,$A717,$A717),_xll.BDH(config!$G$5,O$1,$A717,$A717))))</f>
        <v/>
      </c>
      <c r="P717" s="8" t="str">
        <f>IF($A717="","",IF(ISNUMBER(FIND("IMPVOL",P$1)),_xll.BDH(config!$G$4,P$1,WORKDAY($A717,-1,config_Holiday_Calendar_US),WORKDAY($A717,-1,config_Holiday_Calendar_US)),IF(ISNUMBER(_xll.BDH(config!$G$4,P$1,$A717,$A717)),_xll.BDH(config!$G$4,P$1,$A717,$A717),_xll.BDH(config!$G$5,P$1,$A717,$A717))))</f>
        <v/>
      </c>
      <c r="Q717" s="8" t="str">
        <f>IF($A717="","",IF(ISNUMBER(FIND("IMPVOL",Q$1)),_xll.BDH(config!$G$4,Q$1,WORKDAY($A717,-1,config_Holiday_Calendar_US),WORKDAY($A717,-1,config_Holiday_Calendar_US)),IF(ISNUMBER(_xll.BDH(config!$G$4,Q$1,$A717,$A717)),_xll.BDH(config!$G$4,Q$1,$A717,$A717),_xll.BDH(config!$G$5,Q$1,$A717,$A717))))</f>
        <v/>
      </c>
      <c r="R717" s="8" t="str">
        <f>IF($A717="","",IF(ISNUMBER(FIND("IMPVOL",R$1)),_xll.BDH(config!$G$4,R$1,WORKDAY($A717,-1,config_Holiday_Calendar_US),WORKDAY($A717,-1,config_Holiday_Calendar_US)),IF(ISNUMBER(_xll.BDH(config!$G$4,R$1,$A717,$A717)),_xll.BDH(config!$G$4,R$1,$A717,$A717),_xll.BDH(config!$G$5,R$1,$A717,$A717))))</f>
        <v/>
      </c>
      <c r="S717" s="8" t="str">
        <f>IF($A717="","",IF(ISNUMBER(FIND("IMPVOL",S$1)),_xll.BDH(config!$G$4,S$1,WORKDAY($A717,-1,config_Holiday_Calendar_US),WORKDAY($A717,-1,config_Holiday_Calendar_US)),IF(ISNUMBER(_xll.BDH(config!$G$4,S$1,$A717,$A717)),_xll.BDH(config!$G$4,S$1,$A717,$A717),_xll.BDH(config!$G$5,S$1,$A717,$A717))))</f>
        <v/>
      </c>
      <c r="T717" s="8" t="str">
        <f>IF($A717="","",IF(ISNUMBER(FIND("IMPVOL",T$1)),_xll.BDH(config!$G$4,T$1,WORKDAY($A717,-1,config_Holiday_Calendar_US),WORKDAY($A717,-1,config_Holiday_Calendar_US)),IF(ISNUMBER(_xll.BDH(config!$G$4,T$1,$A717,$A717)),_xll.BDH(config!$G$4,T$1,$A717,$A717),_xll.BDH(config!$G$5,T$1,$A717,$A717))))</f>
        <v/>
      </c>
      <c r="U717" s="8" t="str">
        <f>IF($A717="","",IF(ISNUMBER(FIND("IMPVOL",U$1)),_xll.BDH(config!$G$4,U$1,WORKDAY($A717,-1,config_Holiday_Calendar_US),WORKDAY($A717,-1,config_Holiday_Calendar_US)),IF(ISNUMBER(_xll.BDH(config!$G$4,U$1,$A717,$A717)),_xll.BDH(config!$G$4,U$1,$A717,$A717),_xll.BDH(config!$G$5,U$1,$A717,$A717))))</f>
        <v/>
      </c>
      <c r="V717" s="8" t="str">
        <f>IF($A717="","",IF(ISNUMBER(FIND("IMPVOL",V$1)),_xll.BDH(config!$G$4,V$1,WORKDAY($A717,-1,config_Holiday_Calendar_US),WORKDAY($A717,-1,config_Holiday_Calendar_US)),IF(ISNUMBER(_xll.BDH(config!$G$4,V$1,$A717,$A717)),_xll.BDH(config!$G$4,V$1,$A717,$A717),_xll.BDH(config!$G$5,V$1,$A717,$A717))))</f>
        <v/>
      </c>
      <c r="W717" s="8" t="str">
        <f>IF($A717="","",IF(ISNUMBER(FIND("IMPVOL",W$1)),_xll.BDH(config!$G$4,W$1,WORKDAY($A717,-1,config_Holiday_Calendar_US),WORKDAY($A717,-1,config_Holiday_Calendar_US)),IF(ISNUMBER(_xll.BDH(config!$G$4,W$1,$A717,$A717)),_xll.BDH(config!$G$4,W$1,$A717,$A717),_xll.BDH(config!$G$5,W$1,$A717,$A717))))</f>
        <v/>
      </c>
    </row>
    <row r="718" spans="1:23" x14ac:dyDescent="0.2">
      <c r="A718" s="9" t="str">
        <f>IF(A717="","",IF(WORKDAY(A717,-1,config_Holiday_Calendar_US)&lt;config!$I$10,"",WORKDAY(A717,-1,config_Holiday_Calendar_US)))</f>
        <v/>
      </c>
      <c r="B718" s="8" t="str">
        <f t="shared" si="11"/>
        <v/>
      </c>
      <c r="C718" s="8" t="str">
        <f>IF(A718="","",_xll.BDH(config!$H$4,C$1,$A718,$A718))</f>
        <v/>
      </c>
      <c r="D718" s="8" t="str">
        <f>IF($A718="","",_xll.BDH(config!$H$4,D$1,$A718,$A718))</f>
        <v/>
      </c>
      <c r="E718" s="8" t="str">
        <f>IF($A718="","",IF(ISNUMBER(FIND("IMPVOL",E$1)),_xll.BDH(config!$G$4,E$1,WORKDAY($A718,-1,config_Holiday_Calendar_US),WORKDAY($A718,-1,config_Holiday_Calendar_US)),IF(ISNUMBER(_xll.BDH(config!$G$4,E$1,$A718,$A718)),_xll.BDH(config!$G$4,E$1,$A718,$A718),_xll.BDH(config!$G$5,E$1,$A718,$A718))))</f>
        <v/>
      </c>
      <c r="F718" s="8" t="str">
        <f>IF($A718="","",IF(ISNUMBER(FIND("IMPVOL",F$1)),_xll.BDH(config!$G$4,F$1,WORKDAY($A718,-1,config_Holiday_Calendar_US),WORKDAY($A718,-1,config_Holiday_Calendar_US)),IF(ISNUMBER(_xll.BDH(config!$G$4,F$1,$A718,$A718)),_xll.BDH(config!$G$4,F$1,$A718,$A718),_xll.BDH(config!$G$5,F$1,$A718,$A718))))</f>
        <v/>
      </c>
      <c r="G718" s="8" t="str">
        <f>IF($A718="","",IF(ISNUMBER(FIND("IMPVOL",G$1)),_xll.BDH(config!$G$4,G$1,WORKDAY($A718,-1,config_Holiday_Calendar_US),WORKDAY($A718,-1,config_Holiday_Calendar_US)),IF(ISNUMBER(_xll.BDH(config!$G$4,G$1,$A718,$A718)),_xll.BDH(config!$G$4,G$1,$A718,$A718),_xll.BDH(config!$G$5,G$1,$A718,$A718))))</f>
        <v/>
      </c>
      <c r="H718" s="8" t="str">
        <f>IF($A718="","",IF(ISNUMBER(FIND("IMPVOL",H$1)),_xll.BDH(config!$G$4,H$1,WORKDAY($A718,-1,config_Holiday_Calendar_US),WORKDAY($A718,-1,config_Holiday_Calendar_US)),IF(ISNUMBER(_xll.BDH(config!$G$4,H$1,$A718,$A718)),_xll.BDH(config!$G$4,H$1,$A718,$A718),_xll.BDH(config!$G$5,H$1,$A718,$A718))))</f>
        <v/>
      </c>
      <c r="I718" s="8" t="str">
        <f>IF($A718="","",IF(ISNUMBER(FIND("IMPVOL",I$1)),_xll.BDH(config!$G$4,I$1,WORKDAY($A718,-1,config_Holiday_Calendar_US),WORKDAY($A718,-1,config_Holiday_Calendar_US)),IF(ISNUMBER(_xll.BDH(config!$G$4,I$1,$A718,$A718)),_xll.BDH(config!$G$4,I$1,$A718,$A718),_xll.BDH(config!$G$5,I$1,$A718,$A718))))</f>
        <v/>
      </c>
      <c r="J718" s="8" t="str">
        <f>IF($A718="","",IF(ISNUMBER(FIND("IMPVOL",J$1)),_xll.BDH(config!$G$4,J$1,WORKDAY($A718,-1,config_Holiday_Calendar_US),WORKDAY($A718,-1,config_Holiday_Calendar_US)),IF(ISNUMBER(_xll.BDH(config!$G$4,J$1,$A718,$A718)),_xll.BDH(config!$G$4,J$1,$A718,$A718),_xll.BDH(config!$G$5,J$1,$A718,$A718))))</f>
        <v/>
      </c>
      <c r="K718" s="8" t="str">
        <f>IF($A718="","",IF(ISNUMBER(FIND("IMPVOL",K$1)),_xll.BDH(config!$G$4,K$1,WORKDAY($A718,-1,config_Holiday_Calendar_US),WORKDAY($A718,-1,config_Holiday_Calendar_US)),IF(ISNUMBER(_xll.BDH(config!$G$4,K$1,$A718,$A718)),_xll.BDH(config!$G$4,K$1,$A718,$A718),_xll.BDH(config!$G$5,K$1,$A718,$A718))))</f>
        <v/>
      </c>
      <c r="L718" s="8" t="str">
        <f>IF($A718="","",IF(ISNUMBER(FIND("IMPVOL",L$1)),_xll.BDH(config!$G$4,L$1,WORKDAY($A718,-1,config_Holiday_Calendar_US),WORKDAY($A718,-1,config_Holiday_Calendar_US)),IF(ISNUMBER(_xll.BDH(config!$G$4,L$1,$A718,$A718)),_xll.BDH(config!$G$4,L$1,$A718,$A718),_xll.BDH(config!$G$5,L$1,$A718,$A718))))</f>
        <v/>
      </c>
      <c r="M718" s="8" t="str">
        <f>IF($A718="","",IF(ISNUMBER(FIND("IMPVOL",M$1)),_xll.BDH(config!$G$4,M$1,WORKDAY($A718,-1,config_Holiday_Calendar_US),WORKDAY($A718,-1,config_Holiday_Calendar_US)),IF(ISNUMBER(_xll.BDH(config!$G$4,M$1,$A718,$A718)),_xll.BDH(config!$G$4,M$1,$A718,$A718),_xll.BDH(config!$G$5,M$1,$A718,$A718))))</f>
        <v/>
      </c>
      <c r="N718" s="8" t="str">
        <f>IF($A718="","",IF(ISNUMBER(FIND("IMPVOL",N$1)),_xll.BDH(config!$G$4,N$1,WORKDAY($A718,-1,config_Holiday_Calendar_US),WORKDAY($A718,-1,config_Holiday_Calendar_US)),IF(ISNUMBER(_xll.BDH(config!$G$4,N$1,$A718,$A718)),_xll.BDH(config!$G$4,N$1,$A718,$A718),_xll.BDH(config!$G$5,N$1,$A718,$A718))))</f>
        <v/>
      </c>
      <c r="O718" s="8" t="str">
        <f>IF($A718="","",IF(ISNUMBER(FIND("IMPVOL",O$1)),_xll.BDH(config!$G$4,O$1,WORKDAY($A718,-1,config_Holiday_Calendar_US),WORKDAY($A718,-1,config_Holiday_Calendar_US)),IF(ISNUMBER(_xll.BDH(config!$G$4,O$1,$A718,$A718)),_xll.BDH(config!$G$4,O$1,$A718,$A718),_xll.BDH(config!$G$5,O$1,$A718,$A718))))</f>
        <v/>
      </c>
      <c r="P718" s="8" t="str">
        <f>IF($A718="","",IF(ISNUMBER(FIND("IMPVOL",P$1)),_xll.BDH(config!$G$4,P$1,WORKDAY($A718,-1,config_Holiday_Calendar_US),WORKDAY($A718,-1,config_Holiday_Calendar_US)),IF(ISNUMBER(_xll.BDH(config!$G$4,P$1,$A718,$A718)),_xll.BDH(config!$G$4,P$1,$A718,$A718),_xll.BDH(config!$G$5,P$1,$A718,$A718))))</f>
        <v/>
      </c>
      <c r="Q718" s="8" t="str">
        <f>IF($A718="","",IF(ISNUMBER(FIND("IMPVOL",Q$1)),_xll.BDH(config!$G$4,Q$1,WORKDAY($A718,-1,config_Holiday_Calendar_US),WORKDAY($A718,-1,config_Holiday_Calendar_US)),IF(ISNUMBER(_xll.BDH(config!$G$4,Q$1,$A718,$A718)),_xll.BDH(config!$G$4,Q$1,$A718,$A718),_xll.BDH(config!$G$5,Q$1,$A718,$A718))))</f>
        <v/>
      </c>
      <c r="R718" s="8" t="str">
        <f>IF($A718="","",IF(ISNUMBER(FIND("IMPVOL",R$1)),_xll.BDH(config!$G$4,R$1,WORKDAY($A718,-1,config_Holiday_Calendar_US),WORKDAY($A718,-1,config_Holiday_Calendar_US)),IF(ISNUMBER(_xll.BDH(config!$G$4,R$1,$A718,$A718)),_xll.BDH(config!$G$4,R$1,$A718,$A718),_xll.BDH(config!$G$5,R$1,$A718,$A718))))</f>
        <v/>
      </c>
      <c r="S718" s="8" t="str">
        <f>IF($A718="","",IF(ISNUMBER(FIND("IMPVOL",S$1)),_xll.BDH(config!$G$4,S$1,WORKDAY($A718,-1,config_Holiday_Calendar_US),WORKDAY($A718,-1,config_Holiday_Calendar_US)),IF(ISNUMBER(_xll.BDH(config!$G$4,S$1,$A718,$A718)),_xll.BDH(config!$G$4,S$1,$A718,$A718),_xll.BDH(config!$G$5,S$1,$A718,$A718))))</f>
        <v/>
      </c>
      <c r="T718" s="8" t="str">
        <f>IF($A718="","",IF(ISNUMBER(FIND("IMPVOL",T$1)),_xll.BDH(config!$G$4,T$1,WORKDAY($A718,-1,config_Holiday_Calendar_US),WORKDAY($A718,-1,config_Holiday_Calendar_US)),IF(ISNUMBER(_xll.BDH(config!$G$4,T$1,$A718,$A718)),_xll.BDH(config!$G$4,T$1,$A718,$A718),_xll.BDH(config!$G$5,T$1,$A718,$A718))))</f>
        <v/>
      </c>
      <c r="U718" s="8" t="str">
        <f>IF($A718="","",IF(ISNUMBER(FIND("IMPVOL",U$1)),_xll.BDH(config!$G$4,U$1,WORKDAY($A718,-1,config_Holiday_Calendar_US),WORKDAY($A718,-1,config_Holiday_Calendar_US)),IF(ISNUMBER(_xll.BDH(config!$G$4,U$1,$A718,$A718)),_xll.BDH(config!$G$4,U$1,$A718,$A718),_xll.BDH(config!$G$5,U$1,$A718,$A718))))</f>
        <v/>
      </c>
      <c r="V718" s="8" t="str">
        <f>IF($A718="","",IF(ISNUMBER(FIND("IMPVOL",V$1)),_xll.BDH(config!$G$4,V$1,WORKDAY($A718,-1,config_Holiday_Calendar_US),WORKDAY($A718,-1,config_Holiday_Calendar_US)),IF(ISNUMBER(_xll.BDH(config!$G$4,V$1,$A718,$A718)),_xll.BDH(config!$G$4,V$1,$A718,$A718),_xll.BDH(config!$G$5,V$1,$A718,$A718))))</f>
        <v/>
      </c>
      <c r="W718" s="8" t="str">
        <f>IF($A718="","",IF(ISNUMBER(FIND("IMPVOL",W$1)),_xll.BDH(config!$G$4,W$1,WORKDAY($A718,-1,config_Holiday_Calendar_US),WORKDAY($A718,-1,config_Holiday_Calendar_US)),IF(ISNUMBER(_xll.BDH(config!$G$4,W$1,$A718,$A718)),_xll.BDH(config!$G$4,W$1,$A718,$A718),_xll.BDH(config!$G$5,W$1,$A718,$A718))))</f>
        <v/>
      </c>
    </row>
    <row r="719" spans="1:23" x14ac:dyDescent="0.2">
      <c r="A719" s="9" t="str">
        <f>IF(A718="","",IF(WORKDAY(A718,-1,config_Holiday_Calendar_US)&lt;config!$I$10,"",WORKDAY(A718,-1,config_Holiday_Calendar_US)))</f>
        <v/>
      </c>
      <c r="B719" s="8" t="str">
        <f t="shared" si="11"/>
        <v/>
      </c>
      <c r="C719" s="8" t="str">
        <f>IF(A719="","",_xll.BDH(config!$H$4,C$1,$A719,$A719))</f>
        <v/>
      </c>
      <c r="D719" s="8" t="str">
        <f>IF($A719="","",_xll.BDH(config!$H$4,D$1,$A719,$A719))</f>
        <v/>
      </c>
      <c r="E719" s="8" t="str">
        <f>IF($A719="","",IF(ISNUMBER(FIND("IMPVOL",E$1)),_xll.BDH(config!$G$4,E$1,WORKDAY($A719,-1,config_Holiday_Calendar_US),WORKDAY($A719,-1,config_Holiday_Calendar_US)),IF(ISNUMBER(_xll.BDH(config!$G$4,E$1,$A719,$A719)),_xll.BDH(config!$G$4,E$1,$A719,$A719),_xll.BDH(config!$G$5,E$1,$A719,$A719))))</f>
        <v/>
      </c>
      <c r="F719" s="8" t="str">
        <f>IF($A719="","",IF(ISNUMBER(FIND("IMPVOL",F$1)),_xll.BDH(config!$G$4,F$1,WORKDAY($A719,-1,config_Holiday_Calendar_US),WORKDAY($A719,-1,config_Holiday_Calendar_US)),IF(ISNUMBER(_xll.BDH(config!$G$4,F$1,$A719,$A719)),_xll.BDH(config!$G$4,F$1,$A719,$A719),_xll.BDH(config!$G$5,F$1,$A719,$A719))))</f>
        <v/>
      </c>
      <c r="G719" s="8" t="str">
        <f>IF($A719="","",IF(ISNUMBER(FIND("IMPVOL",G$1)),_xll.BDH(config!$G$4,G$1,WORKDAY($A719,-1,config_Holiday_Calendar_US),WORKDAY($A719,-1,config_Holiday_Calendar_US)),IF(ISNUMBER(_xll.BDH(config!$G$4,G$1,$A719,$A719)),_xll.BDH(config!$G$4,G$1,$A719,$A719),_xll.BDH(config!$G$5,G$1,$A719,$A719))))</f>
        <v/>
      </c>
      <c r="H719" s="8" t="str">
        <f>IF($A719="","",IF(ISNUMBER(FIND("IMPVOL",H$1)),_xll.BDH(config!$G$4,H$1,WORKDAY($A719,-1,config_Holiday_Calendar_US),WORKDAY($A719,-1,config_Holiday_Calendar_US)),IF(ISNUMBER(_xll.BDH(config!$G$4,H$1,$A719,$A719)),_xll.BDH(config!$G$4,H$1,$A719,$A719),_xll.BDH(config!$G$5,H$1,$A719,$A719))))</f>
        <v/>
      </c>
      <c r="I719" s="8" t="str">
        <f>IF($A719="","",IF(ISNUMBER(FIND("IMPVOL",I$1)),_xll.BDH(config!$G$4,I$1,WORKDAY($A719,-1,config_Holiday_Calendar_US),WORKDAY($A719,-1,config_Holiday_Calendar_US)),IF(ISNUMBER(_xll.BDH(config!$G$4,I$1,$A719,$A719)),_xll.BDH(config!$G$4,I$1,$A719,$A719),_xll.BDH(config!$G$5,I$1,$A719,$A719))))</f>
        <v/>
      </c>
      <c r="J719" s="8" t="str">
        <f>IF($A719="","",IF(ISNUMBER(FIND("IMPVOL",J$1)),_xll.BDH(config!$G$4,J$1,WORKDAY($A719,-1,config_Holiday_Calendar_US),WORKDAY($A719,-1,config_Holiday_Calendar_US)),IF(ISNUMBER(_xll.BDH(config!$G$4,J$1,$A719,$A719)),_xll.BDH(config!$G$4,J$1,$A719,$A719),_xll.BDH(config!$G$5,J$1,$A719,$A719))))</f>
        <v/>
      </c>
      <c r="K719" s="8" t="str">
        <f>IF($A719="","",IF(ISNUMBER(FIND("IMPVOL",K$1)),_xll.BDH(config!$G$4,K$1,WORKDAY($A719,-1,config_Holiday_Calendar_US),WORKDAY($A719,-1,config_Holiday_Calendar_US)),IF(ISNUMBER(_xll.BDH(config!$G$4,K$1,$A719,$A719)),_xll.BDH(config!$G$4,K$1,$A719,$A719),_xll.BDH(config!$G$5,K$1,$A719,$A719))))</f>
        <v/>
      </c>
      <c r="L719" s="8" t="str">
        <f>IF($A719="","",IF(ISNUMBER(FIND("IMPVOL",L$1)),_xll.BDH(config!$G$4,L$1,WORKDAY($A719,-1,config_Holiday_Calendar_US),WORKDAY($A719,-1,config_Holiday_Calendar_US)),IF(ISNUMBER(_xll.BDH(config!$G$4,L$1,$A719,$A719)),_xll.BDH(config!$G$4,L$1,$A719,$A719),_xll.BDH(config!$G$5,L$1,$A719,$A719))))</f>
        <v/>
      </c>
      <c r="M719" s="8" t="str">
        <f>IF($A719="","",IF(ISNUMBER(FIND("IMPVOL",M$1)),_xll.BDH(config!$G$4,M$1,WORKDAY($A719,-1,config_Holiday_Calendar_US),WORKDAY($A719,-1,config_Holiday_Calendar_US)),IF(ISNUMBER(_xll.BDH(config!$G$4,M$1,$A719,$A719)),_xll.BDH(config!$G$4,M$1,$A719,$A719),_xll.BDH(config!$G$5,M$1,$A719,$A719))))</f>
        <v/>
      </c>
      <c r="N719" s="8" t="str">
        <f>IF($A719="","",IF(ISNUMBER(FIND("IMPVOL",N$1)),_xll.BDH(config!$G$4,N$1,WORKDAY($A719,-1,config_Holiday_Calendar_US),WORKDAY($A719,-1,config_Holiday_Calendar_US)),IF(ISNUMBER(_xll.BDH(config!$G$4,N$1,$A719,$A719)),_xll.BDH(config!$G$4,N$1,$A719,$A719),_xll.BDH(config!$G$5,N$1,$A719,$A719))))</f>
        <v/>
      </c>
      <c r="O719" s="8" t="str">
        <f>IF($A719="","",IF(ISNUMBER(FIND("IMPVOL",O$1)),_xll.BDH(config!$G$4,O$1,WORKDAY($A719,-1,config_Holiday_Calendar_US),WORKDAY($A719,-1,config_Holiday_Calendar_US)),IF(ISNUMBER(_xll.BDH(config!$G$4,O$1,$A719,$A719)),_xll.BDH(config!$G$4,O$1,$A719,$A719),_xll.BDH(config!$G$5,O$1,$A719,$A719))))</f>
        <v/>
      </c>
      <c r="P719" s="8" t="str">
        <f>IF($A719="","",IF(ISNUMBER(FIND("IMPVOL",P$1)),_xll.BDH(config!$G$4,P$1,WORKDAY($A719,-1,config_Holiday_Calendar_US),WORKDAY($A719,-1,config_Holiday_Calendar_US)),IF(ISNUMBER(_xll.BDH(config!$G$4,P$1,$A719,$A719)),_xll.BDH(config!$G$4,P$1,$A719,$A719),_xll.BDH(config!$G$5,P$1,$A719,$A719))))</f>
        <v/>
      </c>
      <c r="Q719" s="8" t="str">
        <f>IF($A719="","",IF(ISNUMBER(FIND("IMPVOL",Q$1)),_xll.BDH(config!$G$4,Q$1,WORKDAY($A719,-1,config_Holiday_Calendar_US),WORKDAY($A719,-1,config_Holiday_Calendar_US)),IF(ISNUMBER(_xll.BDH(config!$G$4,Q$1,$A719,$A719)),_xll.BDH(config!$G$4,Q$1,$A719,$A719),_xll.BDH(config!$G$5,Q$1,$A719,$A719))))</f>
        <v/>
      </c>
      <c r="R719" s="8" t="str">
        <f>IF($A719="","",IF(ISNUMBER(FIND("IMPVOL",R$1)),_xll.BDH(config!$G$4,R$1,WORKDAY($A719,-1,config_Holiday_Calendar_US),WORKDAY($A719,-1,config_Holiday_Calendar_US)),IF(ISNUMBER(_xll.BDH(config!$G$4,R$1,$A719,$A719)),_xll.BDH(config!$G$4,R$1,$A719,$A719),_xll.BDH(config!$G$5,R$1,$A719,$A719))))</f>
        <v/>
      </c>
      <c r="S719" s="8" t="str">
        <f>IF($A719="","",IF(ISNUMBER(FIND("IMPVOL",S$1)),_xll.BDH(config!$G$4,S$1,WORKDAY($A719,-1,config_Holiday_Calendar_US),WORKDAY($A719,-1,config_Holiday_Calendar_US)),IF(ISNUMBER(_xll.BDH(config!$G$4,S$1,$A719,$A719)),_xll.BDH(config!$G$4,S$1,$A719,$A719),_xll.BDH(config!$G$5,S$1,$A719,$A719))))</f>
        <v/>
      </c>
      <c r="T719" s="8" t="str">
        <f>IF($A719="","",IF(ISNUMBER(FIND("IMPVOL",T$1)),_xll.BDH(config!$G$4,T$1,WORKDAY($A719,-1,config_Holiday_Calendar_US),WORKDAY($A719,-1,config_Holiday_Calendar_US)),IF(ISNUMBER(_xll.BDH(config!$G$4,T$1,$A719,$A719)),_xll.BDH(config!$G$4,T$1,$A719,$A719),_xll.BDH(config!$G$5,T$1,$A719,$A719))))</f>
        <v/>
      </c>
      <c r="U719" s="8" t="str">
        <f>IF($A719="","",IF(ISNUMBER(FIND("IMPVOL",U$1)),_xll.BDH(config!$G$4,U$1,WORKDAY($A719,-1,config_Holiday_Calendar_US),WORKDAY($A719,-1,config_Holiday_Calendar_US)),IF(ISNUMBER(_xll.BDH(config!$G$4,U$1,$A719,$A719)),_xll.BDH(config!$G$4,U$1,$A719,$A719),_xll.BDH(config!$G$5,U$1,$A719,$A719))))</f>
        <v/>
      </c>
      <c r="V719" s="8" t="str">
        <f>IF($A719="","",IF(ISNUMBER(FIND("IMPVOL",V$1)),_xll.BDH(config!$G$4,V$1,WORKDAY($A719,-1,config_Holiday_Calendar_US),WORKDAY($A719,-1,config_Holiday_Calendar_US)),IF(ISNUMBER(_xll.BDH(config!$G$4,V$1,$A719,$A719)),_xll.BDH(config!$G$4,V$1,$A719,$A719),_xll.BDH(config!$G$5,V$1,$A719,$A719))))</f>
        <v/>
      </c>
      <c r="W719" s="8" t="str">
        <f>IF($A719="","",IF(ISNUMBER(FIND("IMPVOL",W$1)),_xll.BDH(config!$G$4,W$1,WORKDAY($A719,-1,config_Holiday_Calendar_US),WORKDAY($A719,-1,config_Holiday_Calendar_US)),IF(ISNUMBER(_xll.BDH(config!$G$4,W$1,$A719,$A719)),_xll.BDH(config!$G$4,W$1,$A719,$A719),_xll.BDH(config!$G$5,W$1,$A719,$A719))))</f>
        <v/>
      </c>
    </row>
    <row r="720" spans="1:23" x14ac:dyDescent="0.2">
      <c r="A720" s="9" t="str">
        <f>IF(A719="","",IF(WORKDAY(A719,-1,config_Holiday_Calendar_US)&lt;config!$I$10,"",WORKDAY(A719,-1,config_Holiday_Calendar_US)))</f>
        <v/>
      </c>
      <c r="B720" s="8" t="str">
        <f t="shared" si="11"/>
        <v/>
      </c>
      <c r="C720" s="8" t="str">
        <f>IF(A720="","",_xll.BDH(config!$H$4,C$1,$A720,$A720))</f>
        <v/>
      </c>
      <c r="D720" s="8" t="str">
        <f>IF($A720="","",_xll.BDH(config!$H$4,D$1,$A720,$A720))</f>
        <v/>
      </c>
      <c r="E720" s="8" t="str">
        <f>IF($A720="","",IF(ISNUMBER(FIND("IMPVOL",E$1)),_xll.BDH(config!$G$4,E$1,WORKDAY($A720,-1,config_Holiday_Calendar_US),WORKDAY($A720,-1,config_Holiday_Calendar_US)),IF(ISNUMBER(_xll.BDH(config!$G$4,E$1,$A720,$A720)),_xll.BDH(config!$G$4,E$1,$A720,$A720),_xll.BDH(config!$G$5,E$1,$A720,$A720))))</f>
        <v/>
      </c>
      <c r="F720" s="8" t="str">
        <f>IF($A720="","",IF(ISNUMBER(FIND("IMPVOL",F$1)),_xll.BDH(config!$G$4,F$1,WORKDAY($A720,-1,config_Holiday_Calendar_US),WORKDAY($A720,-1,config_Holiday_Calendar_US)),IF(ISNUMBER(_xll.BDH(config!$G$4,F$1,$A720,$A720)),_xll.BDH(config!$G$4,F$1,$A720,$A720),_xll.BDH(config!$G$5,F$1,$A720,$A720))))</f>
        <v/>
      </c>
      <c r="G720" s="8" t="str">
        <f>IF($A720="","",IF(ISNUMBER(FIND("IMPVOL",G$1)),_xll.BDH(config!$G$4,G$1,WORKDAY($A720,-1,config_Holiday_Calendar_US),WORKDAY($A720,-1,config_Holiday_Calendar_US)),IF(ISNUMBER(_xll.BDH(config!$G$4,G$1,$A720,$A720)),_xll.BDH(config!$G$4,G$1,$A720,$A720),_xll.BDH(config!$G$5,G$1,$A720,$A720))))</f>
        <v/>
      </c>
      <c r="H720" s="8" t="str">
        <f>IF($A720="","",IF(ISNUMBER(FIND("IMPVOL",H$1)),_xll.BDH(config!$G$4,H$1,WORKDAY($A720,-1,config_Holiday_Calendar_US),WORKDAY($A720,-1,config_Holiday_Calendar_US)),IF(ISNUMBER(_xll.BDH(config!$G$4,H$1,$A720,$A720)),_xll.BDH(config!$G$4,H$1,$A720,$A720),_xll.BDH(config!$G$5,H$1,$A720,$A720))))</f>
        <v/>
      </c>
      <c r="I720" s="8" t="str">
        <f>IF($A720="","",IF(ISNUMBER(FIND("IMPVOL",I$1)),_xll.BDH(config!$G$4,I$1,WORKDAY($A720,-1,config_Holiday_Calendar_US),WORKDAY($A720,-1,config_Holiday_Calendar_US)),IF(ISNUMBER(_xll.BDH(config!$G$4,I$1,$A720,$A720)),_xll.BDH(config!$G$4,I$1,$A720,$A720),_xll.BDH(config!$G$5,I$1,$A720,$A720))))</f>
        <v/>
      </c>
      <c r="J720" s="8" t="str">
        <f>IF($A720="","",IF(ISNUMBER(FIND("IMPVOL",J$1)),_xll.BDH(config!$G$4,J$1,WORKDAY($A720,-1,config_Holiday_Calendar_US),WORKDAY($A720,-1,config_Holiday_Calendar_US)),IF(ISNUMBER(_xll.BDH(config!$G$4,J$1,$A720,$A720)),_xll.BDH(config!$G$4,J$1,$A720,$A720),_xll.BDH(config!$G$5,J$1,$A720,$A720))))</f>
        <v/>
      </c>
      <c r="K720" s="8" t="str">
        <f>IF($A720="","",IF(ISNUMBER(FIND("IMPVOL",K$1)),_xll.BDH(config!$G$4,K$1,WORKDAY($A720,-1,config_Holiday_Calendar_US),WORKDAY($A720,-1,config_Holiday_Calendar_US)),IF(ISNUMBER(_xll.BDH(config!$G$4,K$1,$A720,$A720)),_xll.BDH(config!$G$4,K$1,$A720,$A720),_xll.BDH(config!$G$5,K$1,$A720,$A720))))</f>
        <v/>
      </c>
      <c r="L720" s="8" t="str">
        <f>IF($A720="","",IF(ISNUMBER(FIND("IMPVOL",L$1)),_xll.BDH(config!$G$4,L$1,WORKDAY($A720,-1,config_Holiday_Calendar_US),WORKDAY($A720,-1,config_Holiday_Calendar_US)),IF(ISNUMBER(_xll.BDH(config!$G$4,L$1,$A720,$A720)),_xll.BDH(config!$G$4,L$1,$A720,$A720),_xll.BDH(config!$G$5,L$1,$A720,$A720))))</f>
        <v/>
      </c>
      <c r="M720" s="8" t="str">
        <f>IF($A720="","",IF(ISNUMBER(FIND("IMPVOL",M$1)),_xll.BDH(config!$G$4,M$1,WORKDAY($A720,-1,config_Holiday_Calendar_US),WORKDAY($A720,-1,config_Holiday_Calendar_US)),IF(ISNUMBER(_xll.BDH(config!$G$4,M$1,$A720,$A720)),_xll.BDH(config!$G$4,M$1,$A720,$A720),_xll.BDH(config!$G$5,M$1,$A720,$A720))))</f>
        <v/>
      </c>
      <c r="N720" s="8" t="str">
        <f>IF($A720="","",IF(ISNUMBER(FIND("IMPVOL",N$1)),_xll.BDH(config!$G$4,N$1,WORKDAY($A720,-1,config_Holiday_Calendar_US),WORKDAY($A720,-1,config_Holiday_Calendar_US)),IF(ISNUMBER(_xll.BDH(config!$G$4,N$1,$A720,$A720)),_xll.BDH(config!$G$4,N$1,$A720,$A720),_xll.BDH(config!$G$5,N$1,$A720,$A720))))</f>
        <v/>
      </c>
      <c r="O720" s="8" t="str">
        <f>IF($A720="","",IF(ISNUMBER(FIND("IMPVOL",O$1)),_xll.BDH(config!$G$4,O$1,WORKDAY($A720,-1,config_Holiday_Calendar_US),WORKDAY($A720,-1,config_Holiday_Calendar_US)),IF(ISNUMBER(_xll.BDH(config!$G$4,O$1,$A720,$A720)),_xll.BDH(config!$G$4,O$1,$A720,$A720),_xll.BDH(config!$G$5,O$1,$A720,$A720))))</f>
        <v/>
      </c>
      <c r="P720" s="8" t="str">
        <f>IF($A720="","",IF(ISNUMBER(FIND("IMPVOL",P$1)),_xll.BDH(config!$G$4,P$1,WORKDAY($A720,-1,config_Holiday_Calendar_US),WORKDAY($A720,-1,config_Holiday_Calendar_US)),IF(ISNUMBER(_xll.BDH(config!$G$4,P$1,$A720,$A720)),_xll.BDH(config!$G$4,P$1,$A720,$A720),_xll.BDH(config!$G$5,P$1,$A720,$A720))))</f>
        <v/>
      </c>
      <c r="Q720" s="8" t="str">
        <f>IF($A720="","",IF(ISNUMBER(FIND("IMPVOL",Q$1)),_xll.BDH(config!$G$4,Q$1,WORKDAY($A720,-1,config_Holiday_Calendar_US),WORKDAY($A720,-1,config_Holiday_Calendar_US)),IF(ISNUMBER(_xll.BDH(config!$G$4,Q$1,$A720,$A720)),_xll.BDH(config!$G$4,Q$1,$A720,$A720),_xll.BDH(config!$G$5,Q$1,$A720,$A720))))</f>
        <v/>
      </c>
      <c r="R720" s="8" t="str">
        <f>IF($A720="","",IF(ISNUMBER(FIND("IMPVOL",R$1)),_xll.BDH(config!$G$4,R$1,WORKDAY($A720,-1,config_Holiday_Calendar_US),WORKDAY($A720,-1,config_Holiday_Calendar_US)),IF(ISNUMBER(_xll.BDH(config!$G$4,R$1,$A720,$A720)),_xll.BDH(config!$G$4,R$1,$A720,$A720),_xll.BDH(config!$G$5,R$1,$A720,$A720))))</f>
        <v/>
      </c>
      <c r="S720" s="8" t="str">
        <f>IF($A720="","",IF(ISNUMBER(FIND("IMPVOL",S$1)),_xll.BDH(config!$G$4,S$1,WORKDAY($A720,-1,config_Holiday_Calendar_US),WORKDAY($A720,-1,config_Holiday_Calendar_US)),IF(ISNUMBER(_xll.BDH(config!$G$4,S$1,$A720,$A720)),_xll.BDH(config!$G$4,S$1,$A720,$A720),_xll.BDH(config!$G$5,S$1,$A720,$A720))))</f>
        <v/>
      </c>
      <c r="T720" s="8" t="str">
        <f>IF($A720="","",IF(ISNUMBER(FIND("IMPVOL",T$1)),_xll.BDH(config!$G$4,T$1,WORKDAY($A720,-1,config_Holiday_Calendar_US),WORKDAY($A720,-1,config_Holiday_Calendar_US)),IF(ISNUMBER(_xll.BDH(config!$G$4,T$1,$A720,$A720)),_xll.BDH(config!$G$4,T$1,$A720,$A720),_xll.BDH(config!$G$5,T$1,$A720,$A720))))</f>
        <v/>
      </c>
      <c r="U720" s="8" t="str">
        <f>IF($A720="","",IF(ISNUMBER(FIND("IMPVOL",U$1)),_xll.BDH(config!$G$4,U$1,WORKDAY($A720,-1,config_Holiday_Calendar_US),WORKDAY($A720,-1,config_Holiday_Calendar_US)),IF(ISNUMBER(_xll.BDH(config!$G$4,U$1,$A720,$A720)),_xll.BDH(config!$G$4,U$1,$A720,$A720),_xll.BDH(config!$G$5,U$1,$A720,$A720))))</f>
        <v/>
      </c>
      <c r="V720" s="8" t="str">
        <f>IF($A720="","",IF(ISNUMBER(FIND("IMPVOL",V$1)),_xll.BDH(config!$G$4,V$1,WORKDAY($A720,-1,config_Holiday_Calendar_US),WORKDAY($A720,-1,config_Holiday_Calendar_US)),IF(ISNUMBER(_xll.BDH(config!$G$4,V$1,$A720,$A720)),_xll.BDH(config!$G$4,V$1,$A720,$A720),_xll.BDH(config!$G$5,V$1,$A720,$A720))))</f>
        <v/>
      </c>
      <c r="W720" s="8" t="str">
        <f>IF($A720="","",IF(ISNUMBER(FIND("IMPVOL",W$1)),_xll.BDH(config!$G$4,W$1,WORKDAY($A720,-1,config_Holiday_Calendar_US),WORKDAY($A720,-1,config_Holiday_Calendar_US)),IF(ISNUMBER(_xll.BDH(config!$G$4,W$1,$A720,$A720)),_xll.BDH(config!$G$4,W$1,$A720,$A720),_xll.BDH(config!$G$5,W$1,$A720,$A720))))</f>
        <v/>
      </c>
    </row>
    <row r="721" spans="1:23" x14ac:dyDescent="0.2">
      <c r="A721" s="9" t="str">
        <f>IF(A720="","",IF(WORKDAY(A720,-1,config_Holiday_Calendar_US)&lt;config!$I$10,"",WORKDAY(A720,-1,config_Holiday_Calendar_US)))</f>
        <v/>
      </c>
      <c r="B721" s="8" t="str">
        <f t="shared" si="11"/>
        <v/>
      </c>
      <c r="C721" s="8" t="str">
        <f>IF(A721="","",_xll.BDH(config!$H$4,C$1,$A721,$A721))</f>
        <v/>
      </c>
      <c r="D721" s="8" t="str">
        <f>IF($A721="","",_xll.BDH(config!$H$4,D$1,$A721,$A721))</f>
        <v/>
      </c>
      <c r="E721" s="8" t="str">
        <f>IF($A721="","",IF(ISNUMBER(FIND("IMPVOL",E$1)),_xll.BDH(config!$G$4,E$1,WORKDAY($A721,-1,config_Holiday_Calendar_US),WORKDAY($A721,-1,config_Holiday_Calendar_US)),IF(ISNUMBER(_xll.BDH(config!$G$4,E$1,$A721,$A721)),_xll.BDH(config!$G$4,E$1,$A721,$A721),_xll.BDH(config!$G$5,E$1,$A721,$A721))))</f>
        <v/>
      </c>
      <c r="F721" s="8" t="str">
        <f>IF($A721="","",IF(ISNUMBER(FIND("IMPVOL",F$1)),_xll.BDH(config!$G$4,F$1,WORKDAY($A721,-1,config_Holiday_Calendar_US),WORKDAY($A721,-1,config_Holiday_Calendar_US)),IF(ISNUMBER(_xll.BDH(config!$G$4,F$1,$A721,$A721)),_xll.BDH(config!$G$4,F$1,$A721,$A721),_xll.BDH(config!$G$5,F$1,$A721,$A721))))</f>
        <v/>
      </c>
      <c r="G721" s="8" t="str">
        <f>IF($A721="","",IF(ISNUMBER(FIND("IMPVOL",G$1)),_xll.BDH(config!$G$4,G$1,WORKDAY($A721,-1,config_Holiday_Calendar_US),WORKDAY($A721,-1,config_Holiday_Calendar_US)),IF(ISNUMBER(_xll.BDH(config!$G$4,G$1,$A721,$A721)),_xll.BDH(config!$G$4,G$1,$A721,$A721),_xll.BDH(config!$G$5,G$1,$A721,$A721))))</f>
        <v/>
      </c>
      <c r="H721" s="8" t="str">
        <f>IF($A721="","",IF(ISNUMBER(FIND("IMPVOL",H$1)),_xll.BDH(config!$G$4,H$1,WORKDAY($A721,-1,config_Holiday_Calendar_US),WORKDAY($A721,-1,config_Holiday_Calendar_US)),IF(ISNUMBER(_xll.BDH(config!$G$4,H$1,$A721,$A721)),_xll.BDH(config!$G$4,H$1,$A721,$A721),_xll.BDH(config!$G$5,H$1,$A721,$A721))))</f>
        <v/>
      </c>
      <c r="I721" s="8" t="str">
        <f>IF($A721="","",IF(ISNUMBER(FIND("IMPVOL",I$1)),_xll.BDH(config!$G$4,I$1,WORKDAY($A721,-1,config_Holiday_Calendar_US),WORKDAY($A721,-1,config_Holiday_Calendar_US)),IF(ISNUMBER(_xll.BDH(config!$G$4,I$1,$A721,$A721)),_xll.BDH(config!$G$4,I$1,$A721,$A721),_xll.BDH(config!$G$5,I$1,$A721,$A721))))</f>
        <v/>
      </c>
      <c r="J721" s="8" t="str">
        <f>IF($A721="","",IF(ISNUMBER(FIND("IMPVOL",J$1)),_xll.BDH(config!$G$4,J$1,WORKDAY($A721,-1,config_Holiday_Calendar_US),WORKDAY($A721,-1,config_Holiday_Calendar_US)),IF(ISNUMBER(_xll.BDH(config!$G$4,J$1,$A721,$A721)),_xll.BDH(config!$G$4,J$1,$A721,$A721),_xll.BDH(config!$G$5,J$1,$A721,$A721))))</f>
        <v/>
      </c>
      <c r="K721" s="8" t="str">
        <f>IF($A721="","",IF(ISNUMBER(FIND("IMPVOL",K$1)),_xll.BDH(config!$G$4,K$1,WORKDAY($A721,-1,config_Holiday_Calendar_US),WORKDAY($A721,-1,config_Holiday_Calendar_US)),IF(ISNUMBER(_xll.BDH(config!$G$4,K$1,$A721,$A721)),_xll.BDH(config!$G$4,K$1,$A721,$A721),_xll.BDH(config!$G$5,K$1,$A721,$A721))))</f>
        <v/>
      </c>
      <c r="L721" s="8" t="str">
        <f>IF($A721="","",IF(ISNUMBER(FIND("IMPVOL",L$1)),_xll.BDH(config!$G$4,L$1,WORKDAY($A721,-1,config_Holiday_Calendar_US),WORKDAY($A721,-1,config_Holiday_Calendar_US)),IF(ISNUMBER(_xll.BDH(config!$G$4,L$1,$A721,$A721)),_xll.BDH(config!$G$4,L$1,$A721,$A721),_xll.BDH(config!$G$5,L$1,$A721,$A721))))</f>
        <v/>
      </c>
      <c r="M721" s="8" t="str">
        <f>IF($A721="","",IF(ISNUMBER(FIND("IMPVOL",M$1)),_xll.BDH(config!$G$4,M$1,WORKDAY($A721,-1,config_Holiday_Calendar_US),WORKDAY($A721,-1,config_Holiday_Calendar_US)),IF(ISNUMBER(_xll.BDH(config!$G$4,M$1,$A721,$A721)),_xll.BDH(config!$G$4,M$1,$A721,$A721),_xll.BDH(config!$G$5,M$1,$A721,$A721))))</f>
        <v/>
      </c>
      <c r="N721" s="8" t="str">
        <f>IF($A721="","",IF(ISNUMBER(FIND("IMPVOL",N$1)),_xll.BDH(config!$G$4,N$1,WORKDAY($A721,-1,config_Holiday_Calendar_US),WORKDAY($A721,-1,config_Holiday_Calendar_US)),IF(ISNUMBER(_xll.BDH(config!$G$4,N$1,$A721,$A721)),_xll.BDH(config!$G$4,N$1,$A721,$A721),_xll.BDH(config!$G$5,N$1,$A721,$A721))))</f>
        <v/>
      </c>
      <c r="O721" s="8" t="str">
        <f>IF($A721="","",IF(ISNUMBER(FIND("IMPVOL",O$1)),_xll.BDH(config!$G$4,O$1,WORKDAY($A721,-1,config_Holiday_Calendar_US),WORKDAY($A721,-1,config_Holiday_Calendar_US)),IF(ISNUMBER(_xll.BDH(config!$G$4,O$1,$A721,$A721)),_xll.BDH(config!$G$4,O$1,$A721,$A721),_xll.BDH(config!$G$5,O$1,$A721,$A721))))</f>
        <v/>
      </c>
      <c r="P721" s="8" t="str">
        <f>IF($A721="","",IF(ISNUMBER(FIND("IMPVOL",P$1)),_xll.BDH(config!$G$4,P$1,WORKDAY($A721,-1,config_Holiday_Calendar_US),WORKDAY($A721,-1,config_Holiday_Calendar_US)),IF(ISNUMBER(_xll.BDH(config!$G$4,P$1,$A721,$A721)),_xll.BDH(config!$G$4,P$1,$A721,$A721),_xll.BDH(config!$G$5,P$1,$A721,$A721))))</f>
        <v/>
      </c>
      <c r="Q721" s="8" t="str">
        <f>IF($A721="","",IF(ISNUMBER(FIND("IMPVOL",Q$1)),_xll.BDH(config!$G$4,Q$1,WORKDAY($A721,-1,config_Holiday_Calendar_US),WORKDAY($A721,-1,config_Holiday_Calendar_US)),IF(ISNUMBER(_xll.BDH(config!$G$4,Q$1,$A721,$A721)),_xll.BDH(config!$G$4,Q$1,$A721,$A721),_xll.BDH(config!$G$5,Q$1,$A721,$A721))))</f>
        <v/>
      </c>
      <c r="R721" s="8" t="str">
        <f>IF($A721="","",IF(ISNUMBER(FIND("IMPVOL",R$1)),_xll.BDH(config!$G$4,R$1,WORKDAY($A721,-1,config_Holiday_Calendar_US),WORKDAY($A721,-1,config_Holiday_Calendar_US)),IF(ISNUMBER(_xll.BDH(config!$G$4,R$1,$A721,$A721)),_xll.BDH(config!$G$4,R$1,$A721,$A721),_xll.BDH(config!$G$5,R$1,$A721,$A721))))</f>
        <v/>
      </c>
      <c r="S721" s="8" t="str">
        <f>IF($A721="","",IF(ISNUMBER(FIND("IMPVOL",S$1)),_xll.BDH(config!$G$4,S$1,WORKDAY($A721,-1,config_Holiday_Calendar_US),WORKDAY($A721,-1,config_Holiday_Calendar_US)),IF(ISNUMBER(_xll.BDH(config!$G$4,S$1,$A721,$A721)),_xll.BDH(config!$G$4,S$1,$A721,$A721),_xll.BDH(config!$G$5,S$1,$A721,$A721))))</f>
        <v/>
      </c>
      <c r="T721" s="8" t="str">
        <f>IF($A721="","",IF(ISNUMBER(FIND("IMPVOL",T$1)),_xll.BDH(config!$G$4,T$1,WORKDAY($A721,-1,config_Holiday_Calendar_US),WORKDAY($A721,-1,config_Holiday_Calendar_US)),IF(ISNUMBER(_xll.BDH(config!$G$4,T$1,$A721,$A721)),_xll.BDH(config!$G$4,T$1,$A721,$A721),_xll.BDH(config!$G$5,T$1,$A721,$A721))))</f>
        <v/>
      </c>
      <c r="U721" s="8" t="str">
        <f>IF($A721="","",IF(ISNUMBER(FIND("IMPVOL",U$1)),_xll.BDH(config!$G$4,U$1,WORKDAY($A721,-1,config_Holiday_Calendar_US),WORKDAY($A721,-1,config_Holiday_Calendar_US)),IF(ISNUMBER(_xll.BDH(config!$G$4,U$1,$A721,$A721)),_xll.BDH(config!$G$4,U$1,$A721,$A721),_xll.BDH(config!$G$5,U$1,$A721,$A721))))</f>
        <v/>
      </c>
      <c r="V721" s="8" t="str">
        <f>IF($A721="","",IF(ISNUMBER(FIND("IMPVOL",V$1)),_xll.BDH(config!$G$4,V$1,WORKDAY($A721,-1,config_Holiday_Calendar_US),WORKDAY($A721,-1,config_Holiday_Calendar_US)),IF(ISNUMBER(_xll.BDH(config!$G$4,V$1,$A721,$A721)),_xll.BDH(config!$G$4,V$1,$A721,$A721),_xll.BDH(config!$G$5,V$1,$A721,$A721))))</f>
        <v/>
      </c>
      <c r="W721" s="8" t="str">
        <f>IF($A721="","",IF(ISNUMBER(FIND("IMPVOL",W$1)),_xll.BDH(config!$G$4,W$1,WORKDAY($A721,-1,config_Holiday_Calendar_US),WORKDAY($A721,-1,config_Holiday_Calendar_US)),IF(ISNUMBER(_xll.BDH(config!$G$4,W$1,$A721,$A721)),_xll.BDH(config!$G$4,W$1,$A721,$A721),_xll.BDH(config!$G$5,W$1,$A721,$A721))))</f>
        <v/>
      </c>
    </row>
    <row r="722" spans="1:23" x14ac:dyDescent="0.2">
      <c r="A722" s="9" t="str">
        <f>IF(A721="","",IF(WORKDAY(A721,-1,config_Holiday_Calendar_US)&lt;config!$I$10,"",WORKDAY(A721,-1,config_Holiday_Calendar_US)))</f>
        <v/>
      </c>
      <c r="B722" s="8" t="str">
        <f t="shared" si="11"/>
        <v/>
      </c>
      <c r="C722" s="8" t="str">
        <f>IF(A722="","",_xll.BDH(config!$H$4,C$1,$A722,$A722))</f>
        <v/>
      </c>
      <c r="D722" s="8" t="str">
        <f>IF($A722="","",_xll.BDH(config!$H$4,D$1,$A722,$A722))</f>
        <v/>
      </c>
      <c r="E722" s="8" t="str">
        <f>IF($A722="","",IF(ISNUMBER(FIND("IMPVOL",E$1)),_xll.BDH(config!$G$4,E$1,WORKDAY($A722,-1,config_Holiday_Calendar_US),WORKDAY($A722,-1,config_Holiday_Calendar_US)),IF(ISNUMBER(_xll.BDH(config!$G$4,E$1,$A722,$A722)),_xll.BDH(config!$G$4,E$1,$A722,$A722),_xll.BDH(config!$G$5,E$1,$A722,$A722))))</f>
        <v/>
      </c>
      <c r="F722" s="8" t="str">
        <f>IF($A722="","",IF(ISNUMBER(FIND("IMPVOL",F$1)),_xll.BDH(config!$G$4,F$1,WORKDAY($A722,-1,config_Holiday_Calendar_US),WORKDAY($A722,-1,config_Holiday_Calendar_US)),IF(ISNUMBER(_xll.BDH(config!$G$4,F$1,$A722,$A722)),_xll.BDH(config!$G$4,F$1,$A722,$A722),_xll.BDH(config!$G$5,F$1,$A722,$A722))))</f>
        <v/>
      </c>
      <c r="G722" s="8" t="str">
        <f>IF($A722="","",IF(ISNUMBER(FIND("IMPVOL",G$1)),_xll.BDH(config!$G$4,G$1,WORKDAY($A722,-1,config_Holiday_Calendar_US),WORKDAY($A722,-1,config_Holiday_Calendar_US)),IF(ISNUMBER(_xll.BDH(config!$G$4,G$1,$A722,$A722)),_xll.BDH(config!$G$4,G$1,$A722,$A722),_xll.BDH(config!$G$5,G$1,$A722,$A722))))</f>
        <v/>
      </c>
      <c r="H722" s="8" t="str">
        <f>IF($A722="","",IF(ISNUMBER(FIND("IMPVOL",H$1)),_xll.BDH(config!$G$4,H$1,WORKDAY($A722,-1,config_Holiday_Calendar_US),WORKDAY($A722,-1,config_Holiday_Calendar_US)),IF(ISNUMBER(_xll.BDH(config!$G$4,H$1,$A722,$A722)),_xll.BDH(config!$G$4,H$1,$A722,$A722),_xll.BDH(config!$G$5,H$1,$A722,$A722))))</f>
        <v/>
      </c>
      <c r="I722" s="8" t="str">
        <f>IF($A722="","",IF(ISNUMBER(FIND("IMPVOL",I$1)),_xll.BDH(config!$G$4,I$1,WORKDAY($A722,-1,config_Holiday_Calendar_US),WORKDAY($A722,-1,config_Holiday_Calendar_US)),IF(ISNUMBER(_xll.BDH(config!$G$4,I$1,$A722,$A722)),_xll.BDH(config!$G$4,I$1,$A722,$A722),_xll.BDH(config!$G$5,I$1,$A722,$A722))))</f>
        <v/>
      </c>
      <c r="J722" s="8" t="str">
        <f>IF($A722="","",IF(ISNUMBER(FIND("IMPVOL",J$1)),_xll.BDH(config!$G$4,J$1,WORKDAY($A722,-1,config_Holiday_Calendar_US),WORKDAY($A722,-1,config_Holiday_Calendar_US)),IF(ISNUMBER(_xll.BDH(config!$G$4,J$1,$A722,$A722)),_xll.BDH(config!$G$4,J$1,$A722,$A722),_xll.BDH(config!$G$5,J$1,$A722,$A722))))</f>
        <v/>
      </c>
      <c r="K722" s="8" t="str">
        <f>IF($A722="","",IF(ISNUMBER(FIND("IMPVOL",K$1)),_xll.BDH(config!$G$4,K$1,WORKDAY($A722,-1,config_Holiday_Calendar_US),WORKDAY($A722,-1,config_Holiday_Calendar_US)),IF(ISNUMBER(_xll.BDH(config!$G$4,K$1,$A722,$A722)),_xll.BDH(config!$G$4,K$1,$A722,$A722),_xll.BDH(config!$G$5,K$1,$A722,$A722))))</f>
        <v/>
      </c>
      <c r="L722" s="8" t="str">
        <f>IF($A722="","",IF(ISNUMBER(FIND("IMPVOL",L$1)),_xll.BDH(config!$G$4,L$1,WORKDAY($A722,-1,config_Holiday_Calendar_US),WORKDAY($A722,-1,config_Holiday_Calendar_US)),IF(ISNUMBER(_xll.BDH(config!$G$4,L$1,$A722,$A722)),_xll.BDH(config!$G$4,L$1,$A722,$A722),_xll.BDH(config!$G$5,L$1,$A722,$A722))))</f>
        <v/>
      </c>
      <c r="M722" s="8" t="str">
        <f>IF($A722="","",IF(ISNUMBER(FIND("IMPVOL",M$1)),_xll.BDH(config!$G$4,M$1,WORKDAY($A722,-1,config_Holiday_Calendar_US),WORKDAY($A722,-1,config_Holiday_Calendar_US)),IF(ISNUMBER(_xll.BDH(config!$G$4,M$1,$A722,$A722)),_xll.BDH(config!$G$4,M$1,$A722,$A722),_xll.BDH(config!$G$5,M$1,$A722,$A722))))</f>
        <v/>
      </c>
      <c r="N722" s="8" t="str">
        <f>IF($A722="","",IF(ISNUMBER(FIND("IMPVOL",N$1)),_xll.BDH(config!$G$4,N$1,WORKDAY($A722,-1,config_Holiday_Calendar_US),WORKDAY($A722,-1,config_Holiday_Calendar_US)),IF(ISNUMBER(_xll.BDH(config!$G$4,N$1,$A722,$A722)),_xll.BDH(config!$G$4,N$1,$A722,$A722),_xll.BDH(config!$G$5,N$1,$A722,$A722))))</f>
        <v/>
      </c>
      <c r="O722" s="8" t="str">
        <f>IF($A722="","",IF(ISNUMBER(FIND("IMPVOL",O$1)),_xll.BDH(config!$G$4,O$1,WORKDAY($A722,-1,config_Holiday_Calendar_US),WORKDAY($A722,-1,config_Holiday_Calendar_US)),IF(ISNUMBER(_xll.BDH(config!$G$4,O$1,$A722,$A722)),_xll.BDH(config!$G$4,O$1,$A722,$A722),_xll.BDH(config!$G$5,O$1,$A722,$A722))))</f>
        <v/>
      </c>
      <c r="P722" s="8" t="str">
        <f>IF($A722="","",IF(ISNUMBER(FIND("IMPVOL",P$1)),_xll.BDH(config!$G$4,P$1,WORKDAY($A722,-1,config_Holiday_Calendar_US),WORKDAY($A722,-1,config_Holiday_Calendar_US)),IF(ISNUMBER(_xll.BDH(config!$G$4,P$1,$A722,$A722)),_xll.BDH(config!$G$4,P$1,$A722,$A722),_xll.BDH(config!$G$5,P$1,$A722,$A722))))</f>
        <v/>
      </c>
      <c r="Q722" s="8" t="str">
        <f>IF($A722="","",IF(ISNUMBER(FIND("IMPVOL",Q$1)),_xll.BDH(config!$G$4,Q$1,WORKDAY($A722,-1,config_Holiday_Calendar_US),WORKDAY($A722,-1,config_Holiday_Calendar_US)),IF(ISNUMBER(_xll.BDH(config!$G$4,Q$1,$A722,$A722)),_xll.BDH(config!$G$4,Q$1,$A722,$A722),_xll.BDH(config!$G$5,Q$1,$A722,$A722))))</f>
        <v/>
      </c>
      <c r="R722" s="8" t="str">
        <f>IF($A722="","",IF(ISNUMBER(FIND("IMPVOL",R$1)),_xll.BDH(config!$G$4,R$1,WORKDAY($A722,-1,config_Holiday_Calendar_US),WORKDAY($A722,-1,config_Holiday_Calendar_US)),IF(ISNUMBER(_xll.BDH(config!$G$4,R$1,$A722,$A722)),_xll.BDH(config!$G$4,R$1,$A722,$A722),_xll.BDH(config!$G$5,R$1,$A722,$A722))))</f>
        <v/>
      </c>
      <c r="S722" s="8" t="str">
        <f>IF($A722="","",IF(ISNUMBER(FIND("IMPVOL",S$1)),_xll.BDH(config!$G$4,S$1,WORKDAY($A722,-1,config_Holiday_Calendar_US),WORKDAY($A722,-1,config_Holiday_Calendar_US)),IF(ISNUMBER(_xll.BDH(config!$G$4,S$1,$A722,$A722)),_xll.BDH(config!$G$4,S$1,$A722,$A722),_xll.BDH(config!$G$5,S$1,$A722,$A722))))</f>
        <v/>
      </c>
      <c r="T722" s="8" t="str">
        <f>IF($A722="","",IF(ISNUMBER(FIND("IMPVOL",T$1)),_xll.BDH(config!$G$4,T$1,WORKDAY($A722,-1,config_Holiday_Calendar_US),WORKDAY($A722,-1,config_Holiday_Calendar_US)),IF(ISNUMBER(_xll.BDH(config!$G$4,T$1,$A722,$A722)),_xll.BDH(config!$G$4,T$1,$A722,$A722),_xll.BDH(config!$G$5,T$1,$A722,$A722))))</f>
        <v/>
      </c>
      <c r="U722" s="8" t="str">
        <f>IF($A722="","",IF(ISNUMBER(FIND("IMPVOL",U$1)),_xll.BDH(config!$G$4,U$1,WORKDAY($A722,-1,config_Holiday_Calendar_US),WORKDAY($A722,-1,config_Holiday_Calendar_US)),IF(ISNUMBER(_xll.BDH(config!$G$4,U$1,$A722,$A722)),_xll.BDH(config!$G$4,U$1,$A722,$A722),_xll.BDH(config!$G$5,U$1,$A722,$A722))))</f>
        <v/>
      </c>
      <c r="V722" s="8" t="str">
        <f>IF($A722="","",IF(ISNUMBER(FIND("IMPVOL",V$1)),_xll.BDH(config!$G$4,V$1,WORKDAY($A722,-1,config_Holiday_Calendar_US),WORKDAY($A722,-1,config_Holiday_Calendar_US)),IF(ISNUMBER(_xll.BDH(config!$G$4,V$1,$A722,$A722)),_xll.BDH(config!$G$4,V$1,$A722,$A722),_xll.BDH(config!$G$5,V$1,$A722,$A722))))</f>
        <v/>
      </c>
      <c r="W722" s="8" t="str">
        <f>IF($A722="","",IF(ISNUMBER(FIND("IMPVOL",W$1)),_xll.BDH(config!$G$4,W$1,WORKDAY($A722,-1,config_Holiday_Calendar_US),WORKDAY($A722,-1,config_Holiday_Calendar_US)),IF(ISNUMBER(_xll.BDH(config!$G$4,W$1,$A722,$A722)),_xll.BDH(config!$G$4,W$1,$A722,$A722),_xll.BDH(config!$G$5,W$1,$A722,$A722))))</f>
        <v/>
      </c>
    </row>
    <row r="723" spans="1:23" x14ac:dyDescent="0.2">
      <c r="A723" s="9" t="str">
        <f>IF(A722="","",IF(WORKDAY(A722,-1,config_Holiday_Calendar_US)&lt;config!$I$10,"",WORKDAY(A722,-1,config_Holiday_Calendar_US)))</f>
        <v/>
      </c>
      <c r="B723" s="8" t="str">
        <f t="shared" si="11"/>
        <v/>
      </c>
      <c r="C723" s="8" t="str">
        <f>IF(A723="","",_xll.BDH(config!$H$4,C$1,$A723,$A723))</f>
        <v/>
      </c>
      <c r="D723" s="8" t="str">
        <f>IF($A723="","",_xll.BDH(config!$H$4,D$1,$A723,$A723))</f>
        <v/>
      </c>
      <c r="E723" s="8" t="str">
        <f>IF($A723="","",IF(ISNUMBER(FIND("IMPVOL",E$1)),_xll.BDH(config!$G$4,E$1,WORKDAY($A723,-1,config_Holiday_Calendar_US),WORKDAY($A723,-1,config_Holiday_Calendar_US)),IF(ISNUMBER(_xll.BDH(config!$G$4,E$1,$A723,$A723)),_xll.BDH(config!$G$4,E$1,$A723,$A723),_xll.BDH(config!$G$5,E$1,$A723,$A723))))</f>
        <v/>
      </c>
      <c r="F723" s="8" t="str">
        <f>IF($A723="","",IF(ISNUMBER(FIND("IMPVOL",F$1)),_xll.BDH(config!$G$4,F$1,WORKDAY($A723,-1,config_Holiday_Calendar_US),WORKDAY($A723,-1,config_Holiday_Calendar_US)),IF(ISNUMBER(_xll.BDH(config!$G$4,F$1,$A723,$A723)),_xll.BDH(config!$G$4,F$1,$A723,$A723),_xll.BDH(config!$G$5,F$1,$A723,$A723))))</f>
        <v/>
      </c>
      <c r="G723" s="8" t="str">
        <f>IF($A723="","",IF(ISNUMBER(FIND("IMPVOL",G$1)),_xll.BDH(config!$G$4,G$1,WORKDAY($A723,-1,config_Holiday_Calendar_US),WORKDAY($A723,-1,config_Holiday_Calendar_US)),IF(ISNUMBER(_xll.BDH(config!$G$4,G$1,$A723,$A723)),_xll.BDH(config!$G$4,G$1,$A723,$A723),_xll.BDH(config!$G$5,G$1,$A723,$A723))))</f>
        <v/>
      </c>
      <c r="H723" s="8" t="str">
        <f>IF($A723="","",IF(ISNUMBER(FIND("IMPVOL",H$1)),_xll.BDH(config!$G$4,H$1,WORKDAY($A723,-1,config_Holiday_Calendar_US),WORKDAY($A723,-1,config_Holiday_Calendar_US)),IF(ISNUMBER(_xll.BDH(config!$G$4,H$1,$A723,$A723)),_xll.BDH(config!$G$4,H$1,$A723,$A723),_xll.BDH(config!$G$5,H$1,$A723,$A723))))</f>
        <v/>
      </c>
      <c r="I723" s="8" t="str">
        <f>IF($A723="","",IF(ISNUMBER(FIND("IMPVOL",I$1)),_xll.BDH(config!$G$4,I$1,WORKDAY($A723,-1,config_Holiday_Calendar_US),WORKDAY($A723,-1,config_Holiday_Calendar_US)),IF(ISNUMBER(_xll.BDH(config!$G$4,I$1,$A723,$A723)),_xll.BDH(config!$G$4,I$1,$A723,$A723),_xll.BDH(config!$G$5,I$1,$A723,$A723))))</f>
        <v/>
      </c>
      <c r="J723" s="8" t="str">
        <f>IF($A723="","",IF(ISNUMBER(FIND("IMPVOL",J$1)),_xll.BDH(config!$G$4,J$1,WORKDAY($A723,-1,config_Holiday_Calendar_US),WORKDAY($A723,-1,config_Holiday_Calendar_US)),IF(ISNUMBER(_xll.BDH(config!$G$4,J$1,$A723,$A723)),_xll.BDH(config!$G$4,J$1,$A723,$A723),_xll.BDH(config!$G$5,J$1,$A723,$A723))))</f>
        <v/>
      </c>
      <c r="K723" s="8" t="str">
        <f>IF($A723="","",IF(ISNUMBER(FIND("IMPVOL",K$1)),_xll.BDH(config!$G$4,K$1,WORKDAY($A723,-1,config_Holiday_Calendar_US),WORKDAY($A723,-1,config_Holiday_Calendar_US)),IF(ISNUMBER(_xll.BDH(config!$G$4,K$1,$A723,$A723)),_xll.BDH(config!$G$4,K$1,$A723,$A723),_xll.BDH(config!$G$5,K$1,$A723,$A723))))</f>
        <v/>
      </c>
      <c r="L723" s="8" t="str">
        <f>IF($A723="","",IF(ISNUMBER(FIND("IMPVOL",L$1)),_xll.BDH(config!$G$4,L$1,WORKDAY($A723,-1,config_Holiday_Calendar_US),WORKDAY($A723,-1,config_Holiday_Calendar_US)),IF(ISNUMBER(_xll.BDH(config!$G$4,L$1,$A723,$A723)),_xll.BDH(config!$G$4,L$1,$A723,$A723),_xll.BDH(config!$G$5,L$1,$A723,$A723))))</f>
        <v/>
      </c>
      <c r="M723" s="8" t="str">
        <f>IF($A723="","",IF(ISNUMBER(FIND("IMPVOL",M$1)),_xll.BDH(config!$G$4,M$1,WORKDAY($A723,-1,config_Holiday_Calendar_US),WORKDAY($A723,-1,config_Holiday_Calendar_US)),IF(ISNUMBER(_xll.BDH(config!$G$4,M$1,$A723,$A723)),_xll.BDH(config!$G$4,M$1,$A723,$A723),_xll.BDH(config!$G$5,M$1,$A723,$A723))))</f>
        <v/>
      </c>
      <c r="N723" s="8" t="str">
        <f>IF($A723="","",IF(ISNUMBER(FIND("IMPVOL",N$1)),_xll.BDH(config!$G$4,N$1,WORKDAY($A723,-1,config_Holiday_Calendar_US),WORKDAY($A723,-1,config_Holiday_Calendar_US)),IF(ISNUMBER(_xll.BDH(config!$G$4,N$1,$A723,$A723)),_xll.BDH(config!$G$4,N$1,$A723,$A723),_xll.BDH(config!$G$5,N$1,$A723,$A723))))</f>
        <v/>
      </c>
      <c r="O723" s="8" t="str">
        <f>IF($A723="","",IF(ISNUMBER(FIND("IMPVOL",O$1)),_xll.BDH(config!$G$4,O$1,WORKDAY($A723,-1,config_Holiday_Calendar_US),WORKDAY($A723,-1,config_Holiday_Calendar_US)),IF(ISNUMBER(_xll.BDH(config!$G$4,O$1,$A723,$A723)),_xll.BDH(config!$G$4,O$1,$A723,$A723),_xll.BDH(config!$G$5,O$1,$A723,$A723))))</f>
        <v/>
      </c>
      <c r="P723" s="8" t="str">
        <f>IF($A723="","",IF(ISNUMBER(FIND("IMPVOL",P$1)),_xll.BDH(config!$G$4,P$1,WORKDAY($A723,-1,config_Holiday_Calendar_US),WORKDAY($A723,-1,config_Holiday_Calendar_US)),IF(ISNUMBER(_xll.BDH(config!$G$4,P$1,$A723,$A723)),_xll.BDH(config!$G$4,P$1,$A723,$A723),_xll.BDH(config!$G$5,P$1,$A723,$A723))))</f>
        <v/>
      </c>
      <c r="Q723" s="8" t="str">
        <f>IF($A723="","",IF(ISNUMBER(FIND("IMPVOL",Q$1)),_xll.BDH(config!$G$4,Q$1,WORKDAY($A723,-1,config_Holiday_Calendar_US),WORKDAY($A723,-1,config_Holiday_Calendar_US)),IF(ISNUMBER(_xll.BDH(config!$G$4,Q$1,$A723,$A723)),_xll.BDH(config!$G$4,Q$1,$A723,$A723),_xll.BDH(config!$G$5,Q$1,$A723,$A723))))</f>
        <v/>
      </c>
      <c r="R723" s="8" t="str">
        <f>IF($A723="","",IF(ISNUMBER(FIND("IMPVOL",R$1)),_xll.BDH(config!$G$4,R$1,WORKDAY($A723,-1,config_Holiday_Calendar_US),WORKDAY($A723,-1,config_Holiday_Calendar_US)),IF(ISNUMBER(_xll.BDH(config!$G$4,R$1,$A723,$A723)),_xll.BDH(config!$G$4,R$1,$A723,$A723),_xll.BDH(config!$G$5,R$1,$A723,$A723))))</f>
        <v/>
      </c>
      <c r="S723" s="8" t="str">
        <f>IF($A723="","",IF(ISNUMBER(FIND("IMPVOL",S$1)),_xll.BDH(config!$G$4,S$1,WORKDAY($A723,-1,config_Holiday_Calendar_US),WORKDAY($A723,-1,config_Holiday_Calendar_US)),IF(ISNUMBER(_xll.BDH(config!$G$4,S$1,$A723,$A723)),_xll.BDH(config!$G$4,S$1,$A723,$A723),_xll.BDH(config!$G$5,S$1,$A723,$A723))))</f>
        <v/>
      </c>
      <c r="T723" s="8" t="str">
        <f>IF($A723="","",IF(ISNUMBER(FIND("IMPVOL",T$1)),_xll.BDH(config!$G$4,T$1,WORKDAY($A723,-1,config_Holiday_Calendar_US),WORKDAY($A723,-1,config_Holiday_Calendar_US)),IF(ISNUMBER(_xll.BDH(config!$G$4,T$1,$A723,$A723)),_xll.BDH(config!$G$4,T$1,$A723,$A723),_xll.BDH(config!$G$5,T$1,$A723,$A723))))</f>
        <v/>
      </c>
      <c r="U723" s="8" t="str">
        <f>IF($A723="","",IF(ISNUMBER(FIND("IMPVOL",U$1)),_xll.BDH(config!$G$4,U$1,WORKDAY($A723,-1,config_Holiday_Calendar_US),WORKDAY($A723,-1,config_Holiday_Calendar_US)),IF(ISNUMBER(_xll.BDH(config!$G$4,U$1,$A723,$A723)),_xll.BDH(config!$G$4,U$1,$A723,$A723),_xll.BDH(config!$G$5,U$1,$A723,$A723))))</f>
        <v/>
      </c>
      <c r="V723" s="8" t="str">
        <f>IF($A723="","",IF(ISNUMBER(FIND("IMPVOL",V$1)),_xll.BDH(config!$G$4,V$1,WORKDAY($A723,-1,config_Holiday_Calendar_US),WORKDAY($A723,-1,config_Holiday_Calendar_US)),IF(ISNUMBER(_xll.BDH(config!$G$4,V$1,$A723,$A723)),_xll.BDH(config!$G$4,V$1,$A723,$A723),_xll.BDH(config!$G$5,V$1,$A723,$A723))))</f>
        <v/>
      </c>
      <c r="W723" s="8" t="str">
        <f>IF($A723="","",IF(ISNUMBER(FIND("IMPVOL",W$1)),_xll.BDH(config!$G$4,W$1,WORKDAY($A723,-1,config_Holiday_Calendar_US),WORKDAY($A723,-1,config_Holiday_Calendar_US)),IF(ISNUMBER(_xll.BDH(config!$G$4,W$1,$A723,$A723)),_xll.BDH(config!$G$4,W$1,$A723,$A723),_xll.BDH(config!$G$5,W$1,$A723,$A723))))</f>
        <v/>
      </c>
    </row>
    <row r="724" spans="1:23" x14ac:dyDescent="0.2">
      <c r="A724" s="9" t="str">
        <f>IF(A723="","",IF(WORKDAY(A723,-1,config_Holiday_Calendar_US)&lt;config!$I$10,"",WORKDAY(A723,-1,config_Holiday_Calendar_US)))</f>
        <v/>
      </c>
      <c r="B724" s="8" t="str">
        <f t="shared" si="11"/>
        <v/>
      </c>
      <c r="C724" s="8" t="str">
        <f>IF(A724="","",_xll.BDH(config!$H$4,C$1,$A724,$A724))</f>
        <v/>
      </c>
      <c r="D724" s="8" t="str">
        <f>IF($A724="","",_xll.BDH(config!$H$4,D$1,$A724,$A724))</f>
        <v/>
      </c>
      <c r="E724" s="8" t="str">
        <f>IF($A724="","",IF(ISNUMBER(FIND("IMPVOL",E$1)),_xll.BDH(config!$G$4,E$1,WORKDAY($A724,-1,config_Holiday_Calendar_US),WORKDAY($A724,-1,config_Holiday_Calendar_US)),IF(ISNUMBER(_xll.BDH(config!$G$4,E$1,$A724,$A724)),_xll.BDH(config!$G$4,E$1,$A724,$A724),_xll.BDH(config!$G$5,E$1,$A724,$A724))))</f>
        <v/>
      </c>
      <c r="F724" s="8" t="str">
        <f>IF($A724="","",IF(ISNUMBER(FIND("IMPVOL",F$1)),_xll.BDH(config!$G$4,F$1,WORKDAY($A724,-1,config_Holiday_Calendar_US),WORKDAY($A724,-1,config_Holiday_Calendar_US)),IF(ISNUMBER(_xll.BDH(config!$G$4,F$1,$A724,$A724)),_xll.BDH(config!$G$4,F$1,$A724,$A724),_xll.BDH(config!$G$5,F$1,$A724,$A724))))</f>
        <v/>
      </c>
      <c r="G724" s="8" t="str">
        <f>IF($A724="","",IF(ISNUMBER(FIND("IMPVOL",G$1)),_xll.BDH(config!$G$4,G$1,WORKDAY($A724,-1,config_Holiday_Calendar_US),WORKDAY($A724,-1,config_Holiday_Calendar_US)),IF(ISNUMBER(_xll.BDH(config!$G$4,G$1,$A724,$A724)),_xll.BDH(config!$G$4,G$1,$A724,$A724),_xll.BDH(config!$G$5,G$1,$A724,$A724))))</f>
        <v/>
      </c>
      <c r="H724" s="8" t="str">
        <f>IF($A724="","",IF(ISNUMBER(FIND("IMPVOL",H$1)),_xll.BDH(config!$G$4,H$1,WORKDAY($A724,-1,config_Holiday_Calendar_US),WORKDAY($A724,-1,config_Holiday_Calendar_US)),IF(ISNUMBER(_xll.BDH(config!$G$4,H$1,$A724,$A724)),_xll.BDH(config!$G$4,H$1,$A724,$A724),_xll.BDH(config!$G$5,H$1,$A724,$A724))))</f>
        <v/>
      </c>
      <c r="I724" s="8" t="str">
        <f>IF($A724="","",IF(ISNUMBER(FIND("IMPVOL",I$1)),_xll.BDH(config!$G$4,I$1,WORKDAY($A724,-1,config_Holiday_Calendar_US),WORKDAY($A724,-1,config_Holiday_Calendar_US)),IF(ISNUMBER(_xll.BDH(config!$G$4,I$1,$A724,$A724)),_xll.BDH(config!$G$4,I$1,$A724,$A724),_xll.BDH(config!$G$5,I$1,$A724,$A724))))</f>
        <v/>
      </c>
      <c r="J724" s="8" t="str">
        <f>IF($A724="","",IF(ISNUMBER(FIND("IMPVOL",J$1)),_xll.BDH(config!$G$4,J$1,WORKDAY($A724,-1,config_Holiday_Calendar_US),WORKDAY($A724,-1,config_Holiday_Calendar_US)),IF(ISNUMBER(_xll.BDH(config!$G$4,J$1,$A724,$A724)),_xll.BDH(config!$G$4,J$1,$A724,$A724),_xll.BDH(config!$G$5,J$1,$A724,$A724))))</f>
        <v/>
      </c>
      <c r="K724" s="8" t="str">
        <f>IF($A724="","",IF(ISNUMBER(FIND("IMPVOL",K$1)),_xll.BDH(config!$G$4,K$1,WORKDAY($A724,-1,config_Holiday_Calendar_US),WORKDAY($A724,-1,config_Holiday_Calendar_US)),IF(ISNUMBER(_xll.BDH(config!$G$4,K$1,$A724,$A724)),_xll.BDH(config!$G$4,K$1,$A724,$A724),_xll.BDH(config!$G$5,K$1,$A724,$A724))))</f>
        <v/>
      </c>
      <c r="L724" s="8" t="str">
        <f>IF($A724="","",IF(ISNUMBER(FIND("IMPVOL",L$1)),_xll.BDH(config!$G$4,L$1,WORKDAY($A724,-1,config_Holiday_Calendar_US),WORKDAY($A724,-1,config_Holiday_Calendar_US)),IF(ISNUMBER(_xll.BDH(config!$G$4,L$1,$A724,$A724)),_xll.BDH(config!$G$4,L$1,$A724,$A724),_xll.BDH(config!$G$5,L$1,$A724,$A724))))</f>
        <v/>
      </c>
      <c r="M724" s="8" t="str">
        <f>IF($A724="","",IF(ISNUMBER(FIND("IMPVOL",M$1)),_xll.BDH(config!$G$4,M$1,WORKDAY($A724,-1,config_Holiday_Calendar_US),WORKDAY($A724,-1,config_Holiday_Calendar_US)),IF(ISNUMBER(_xll.BDH(config!$G$4,M$1,$A724,$A724)),_xll.BDH(config!$G$4,M$1,$A724,$A724),_xll.BDH(config!$G$5,M$1,$A724,$A724))))</f>
        <v/>
      </c>
      <c r="N724" s="8" t="str">
        <f>IF($A724="","",IF(ISNUMBER(FIND("IMPVOL",N$1)),_xll.BDH(config!$G$4,N$1,WORKDAY($A724,-1,config_Holiday_Calendar_US),WORKDAY($A724,-1,config_Holiday_Calendar_US)),IF(ISNUMBER(_xll.BDH(config!$G$4,N$1,$A724,$A724)),_xll.BDH(config!$G$4,N$1,$A724,$A724),_xll.BDH(config!$G$5,N$1,$A724,$A724))))</f>
        <v/>
      </c>
      <c r="O724" s="8" t="str">
        <f>IF($A724="","",IF(ISNUMBER(FIND("IMPVOL",O$1)),_xll.BDH(config!$G$4,O$1,WORKDAY($A724,-1,config_Holiday_Calendar_US),WORKDAY($A724,-1,config_Holiday_Calendar_US)),IF(ISNUMBER(_xll.BDH(config!$G$4,O$1,$A724,$A724)),_xll.BDH(config!$G$4,O$1,$A724,$A724),_xll.BDH(config!$G$5,O$1,$A724,$A724))))</f>
        <v/>
      </c>
      <c r="P724" s="8" t="str">
        <f>IF($A724="","",IF(ISNUMBER(FIND("IMPVOL",P$1)),_xll.BDH(config!$G$4,P$1,WORKDAY($A724,-1,config_Holiday_Calendar_US),WORKDAY($A724,-1,config_Holiday_Calendar_US)),IF(ISNUMBER(_xll.BDH(config!$G$4,P$1,$A724,$A724)),_xll.BDH(config!$G$4,P$1,$A724,$A724),_xll.BDH(config!$G$5,P$1,$A724,$A724))))</f>
        <v/>
      </c>
      <c r="Q724" s="8" t="str">
        <f>IF($A724="","",IF(ISNUMBER(FIND("IMPVOL",Q$1)),_xll.BDH(config!$G$4,Q$1,WORKDAY($A724,-1,config_Holiday_Calendar_US),WORKDAY($A724,-1,config_Holiday_Calendar_US)),IF(ISNUMBER(_xll.BDH(config!$G$4,Q$1,$A724,$A724)),_xll.BDH(config!$G$4,Q$1,$A724,$A724),_xll.BDH(config!$G$5,Q$1,$A724,$A724))))</f>
        <v/>
      </c>
      <c r="R724" s="8" t="str">
        <f>IF($A724="","",IF(ISNUMBER(FIND("IMPVOL",R$1)),_xll.BDH(config!$G$4,R$1,WORKDAY($A724,-1,config_Holiday_Calendar_US),WORKDAY($A724,-1,config_Holiday_Calendar_US)),IF(ISNUMBER(_xll.BDH(config!$G$4,R$1,$A724,$A724)),_xll.BDH(config!$G$4,R$1,$A724,$A724),_xll.BDH(config!$G$5,R$1,$A724,$A724))))</f>
        <v/>
      </c>
      <c r="S724" s="8" t="str">
        <f>IF($A724="","",IF(ISNUMBER(FIND("IMPVOL",S$1)),_xll.BDH(config!$G$4,S$1,WORKDAY($A724,-1,config_Holiday_Calendar_US),WORKDAY($A724,-1,config_Holiday_Calendar_US)),IF(ISNUMBER(_xll.BDH(config!$G$4,S$1,$A724,$A724)),_xll.BDH(config!$G$4,S$1,$A724,$A724),_xll.BDH(config!$G$5,S$1,$A724,$A724))))</f>
        <v/>
      </c>
      <c r="T724" s="8" t="str">
        <f>IF($A724="","",IF(ISNUMBER(FIND("IMPVOL",T$1)),_xll.BDH(config!$G$4,T$1,WORKDAY($A724,-1,config_Holiday_Calendar_US),WORKDAY($A724,-1,config_Holiday_Calendar_US)),IF(ISNUMBER(_xll.BDH(config!$G$4,T$1,$A724,$A724)),_xll.BDH(config!$G$4,T$1,$A724,$A724),_xll.BDH(config!$G$5,T$1,$A724,$A724))))</f>
        <v/>
      </c>
      <c r="U724" s="8" t="str">
        <f>IF($A724="","",IF(ISNUMBER(FIND("IMPVOL",U$1)),_xll.BDH(config!$G$4,U$1,WORKDAY($A724,-1,config_Holiday_Calendar_US),WORKDAY($A724,-1,config_Holiday_Calendar_US)),IF(ISNUMBER(_xll.BDH(config!$G$4,U$1,$A724,$A724)),_xll.BDH(config!$G$4,U$1,$A724,$A724),_xll.BDH(config!$G$5,U$1,$A724,$A724))))</f>
        <v/>
      </c>
      <c r="V724" s="8" t="str">
        <f>IF($A724="","",IF(ISNUMBER(FIND("IMPVOL",V$1)),_xll.BDH(config!$G$4,V$1,WORKDAY($A724,-1,config_Holiday_Calendar_US),WORKDAY($A724,-1,config_Holiday_Calendar_US)),IF(ISNUMBER(_xll.BDH(config!$G$4,V$1,$A724,$A724)),_xll.BDH(config!$G$4,V$1,$A724,$A724),_xll.BDH(config!$G$5,V$1,$A724,$A724))))</f>
        <v/>
      </c>
      <c r="W724" s="8" t="str">
        <f>IF($A724="","",IF(ISNUMBER(FIND("IMPVOL",W$1)),_xll.BDH(config!$G$4,W$1,WORKDAY($A724,-1,config_Holiday_Calendar_US),WORKDAY($A724,-1,config_Holiday_Calendar_US)),IF(ISNUMBER(_xll.BDH(config!$G$4,W$1,$A724,$A724)),_xll.BDH(config!$G$4,W$1,$A724,$A724),_xll.BDH(config!$G$5,W$1,$A724,$A724))))</f>
        <v/>
      </c>
    </row>
    <row r="725" spans="1:23" x14ac:dyDescent="0.2">
      <c r="A725" s="9" t="str">
        <f>IF(A724="","",IF(WORKDAY(A724,-1,config_Holiday_Calendar_US)&lt;config!$I$10,"",WORKDAY(A724,-1,config_Holiday_Calendar_US)))</f>
        <v/>
      </c>
      <c r="B725" s="8" t="str">
        <f t="shared" si="11"/>
        <v/>
      </c>
      <c r="C725" s="8" t="str">
        <f>IF(A725="","",_xll.BDH(config!$H$4,C$1,$A725,$A725))</f>
        <v/>
      </c>
      <c r="D725" s="8" t="str">
        <f>IF($A725="","",_xll.BDH(config!$H$4,D$1,$A725,$A725))</f>
        <v/>
      </c>
      <c r="E725" s="8" t="str">
        <f>IF($A725="","",IF(ISNUMBER(FIND("IMPVOL",E$1)),_xll.BDH(config!$G$4,E$1,WORKDAY($A725,-1,config_Holiday_Calendar_US),WORKDAY($A725,-1,config_Holiday_Calendar_US)),IF(ISNUMBER(_xll.BDH(config!$G$4,E$1,$A725,$A725)),_xll.BDH(config!$G$4,E$1,$A725,$A725),_xll.BDH(config!$G$5,E$1,$A725,$A725))))</f>
        <v/>
      </c>
      <c r="F725" s="8" t="str">
        <f>IF($A725="","",IF(ISNUMBER(FIND("IMPVOL",F$1)),_xll.BDH(config!$G$4,F$1,WORKDAY($A725,-1,config_Holiday_Calendar_US),WORKDAY($A725,-1,config_Holiday_Calendar_US)),IF(ISNUMBER(_xll.BDH(config!$G$4,F$1,$A725,$A725)),_xll.BDH(config!$G$4,F$1,$A725,$A725),_xll.BDH(config!$G$5,F$1,$A725,$A725))))</f>
        <v/>
      </c>
      <c r="G725" s="8" t="str">
        <f>IF($A725="","",IF(ISNUMBER(FIND("IMPVOL",G$1)),_xll.BDH(config!$G$4,G$1,WORKDAY($A725,-1,config_Holiday_Calendar_US),WORKDAY($A725,-1,config_Holiday_Calendar_US)),IF(ISNUMBER(_xll.BDH(config!$G$4,G$1,$A725,$A725)),_xll.BDH(config!$G$4,G$1,$A725,$A725),_xll.BDH(config!$G$5,G$1,$A725,$A725))))</f>
        <v/>
      </c>
      <c r="H725" s="8" t="str">
        <f>IF($A725="","",IF(ISNUMBER(FIND("IMPVOL",H$1)),_xll.BDH(config!$G$4,H$1,WORKDAY($A725,-1,config_Holiday_Calendar_US),WORKDAY($A725,-1,config_Holiday_Calendar_US)),IF(ISNUMBER(_xll.BDH(config!$G$4,H$1,$A725,$A725)),_xll.BDH(config!$G$4,H$1,$A725,$A725),_xll.BDH(config!$G$5,H$1,$A725,$A725))))</f>
        <v/>
      </c>
      <c r="I725" s="8" t="str">
        <f>IF($A725="","",IF(ISNUMBER(FIND("IMPVOL",I$1)),_xll.BDH(config!$G$4,I$1,WORKDAY($A725,-1,config_Holiday_Calendar_US),WORKDAY($A725,-1,config_Holiday_Calendar_US)),IF(ISNUMBER(_xll.BDH(config!$G$4,I$1,$A725,$A725)),_xll.BDH(config!$G$4,I$1,$A725,$A725),_xll.BDH(config!$G$5,I$1,$A725,$A725))))</f>
        <v/>
      </c>
      <c r="J725" s="8" t="str">
        <f>IF($A725="","",IF(ISNUMBER(FIND("IMPVOL",J$1)),_xll.BDH(config!$G$4,J$1,WORKDAY($A725,-1,config_Holiday_Calendar_US),WORKDAY($A725,-1,config_Holiday_Calendar_US)),IF(ISNUMBER(_xll.BDH(config!$G$4,J$1,$A725,$A725)),_xll.BDH(config!$G$4,J$1,$A725,$A725),_xll.BDH(config!$G$5,J$1,$A725,$A725))))</f>
        <v/>
      </c>
      <c r="K725" s="8" t="str">
        <f>IF($A725="","",IF(ISNUMBER(FIND("IMPVOL",K$1)),_xll.BDH(config!$G$4,K$1,WORKDAY($A725,-1,config_Holiday_Calendar_US),WORKDAY($A725,-1,config_Holiday_Calendar_US)),IF(ISNUMBER(_xll.BDH(config!$G$4,K$1,$A725,$A725)),_xll.BDH(config!$G$4,K$1,$A725,$A725),_xll.BDH(config!$G$5,K$1,$A725,$A725))))</f>
        <v/>
      </c>
      <c r="L725" s="8" t="str">
        <f>IF($A725="","",IF(ISNUMBER(FIND("IMPVOL",L$1)),_xll.BDH(config!$G$4,L$1,WORKDAY($A725,-1,config_Holiday_Calendar_US),WORKDAY($A725,-1,config_Holiday_Calendar_US)),IF(ISNUMBER(_xll.BDH(config!$G$4,L$1,$A725,$A725)),_xll.BDH(config!$G$4,L$1,$A725,$A725),_xll.BDH(config!$G$5,L$1,$A725,$A725))))</f>
        <v/>
      </c>
      <c r="M725" s="8" t="str">
        <f>IF($A725="","",IF(ISNUMBER(FIND("IMPVOL",M$1)),_xll.BDH(config!$G$4,M$1,WORKDAY($A725,-1,config_Holiday_Calendar_US),WORKDAY($A725,-1,config_Holiday_Calendar_US)),IF(ISNUMBER(_xll.BDH(config!$G$4,M$1,$A725,$A725)),_xll.BDH(config!$G$4,M$1,$A725,$A725),_xll.BDH(config!$G$5,M$1,$A725,$A725))))</f>
        <v/>
      </c>
      <c r="N725" s="8" t="str">
        <f>IF($A725="","",IF(ISNUMBER(FIND("IMPVOL",N$1)),_xll.BDH(config!$G$4,N$1,WORKDAY($A725,-1,config_Holiday_Calendar_US),WORKDAY($A725,-1,config_Holiday_Calendar_US)),IF(ISNUMBER(_xll.BDH(config!$G$4,N$1,$A725,$A725)),_xll.BDH(config!$G$4,N$1,$A725,$A725),_xll.BDH(config!$G$5,N$1,$A725,$A725))))</f>
        <v/>
      </c>
      <c r="O725" s="8" t="str">
        <f>IF($A725="","",IF(ISNUMBER(FIND("IMPVOL",O$1)),_xll.BDH(config!$G$4,O$1,WORKDAY($A725,-1,config_Holiday_Calendar_US),WORKDAY($A725,-1,config_Holiday_Calendar_US)),IF(ISNUMBER(_xll.BDH(config!$G$4,O$1,$A725,$A725)),_xll.BDH(config!$G$4,O$1,$A725,$A725),_xll.BDH(config!$G$5,O$1,$A725,$A725))))</f>
        <v/>
      </c>
      <c r="P725" s="8" t="str">
        <f>IF($A725="","",IF(ISNUMBER(FIND("IMPVOL",P$1)),_xll.BDH(config!$G$4,P$1,WORKDAY($A725,-1,config_Holiday_Calendar_US),WORKDAY($A725,-1,config_Holiday_Calendar_US)),IF(ISNUMBER(_xll.BDH(config!$G$4,P$1,$A725,$A725)),_xll.BDH(config!$G$4,P$1,$A725,$A725),_xll.BDH(config!$G$5,P$1,$A725,$A725))))</f>
        <v/>
      </c>
      <c r="Q725" s="8" t="str">
        <f>IF($A725="","",IF(ISNUMBER(FIND("IMPVOL",Q$1)),_xll.BDH(config!$G$4,Q$1,WORKDAY($A725,-1,config_Holiday_Calendar_US),WORKDAY($A725,-1,config_Holiday_Calendar_US)),IF(ISNUMBER(_xll.BDH(config!$G$4,Q$1,$A725,$A725)),_xll.BDH(config!$G$4,Q$1,$A725,$A725),_xll.BDH(config!$G$5,Q$1,$A725,$A725))))</f>
        <v/>
      </c>
      <c r="R725" s="8" t="str">
        <f>IF($A725="","",IF(ISNUMBER(FIND("IMPVOL",R$1)),_xll.BDH(config!$G$4,R$1,WORKDAY($A725,-1,config_Holiday_Calendar_US),WORKDAY($A725,-1,config_Holiday_Calendar_US)),IF(ISNUMBER(_xll.BDH(config!$G$4,R$1,$A725,$A725)),_xll.BDH(config!$G$4,R$1,$A725,$A725),_xll.BDH(config!$G$5,R$1,$A725,$A725))))</f>
        <v/>
      </c>
      <c r="S725" s="8" t="str">
        <f>IF($A725="","",IF(ISNUMBER(FIND("IMPVOL",S$1)),_xll.BDH(config!$G$4,S$1,WORKDAY($A725,-1,config_Holiday_Calendar_US),WORKDAY($A725,-1,config_Holiday_Calendar_US)),IF(ISNUMBER(_xll.BDH(config!$G$4,S$1,$A725,$A725)),_xll.BDH(config!$G$4,S$1,$A725,$A725),_xll.BDH(config!$G$5,S$1,$A725,$A725))))</f>
        <v/>
      </c>
      <c r="T725" s="8" t="str">
        <f>IF($A725="","",IF(ISNUMBER(FIND("IMPVOL",T$1)),_xll.BDH(config!$G$4,T$1,WORKDAY($A725,-1,config_Holiday_Calendar_US),WORKDAY($A725,-1,config_Holiday_Calendar_US)),IF(ISNUMBER(_xll.BDH(config!$G$4,T$1,$A725,$A725)),_xll.BDH(config!$G$4,T$1,$A725,$A725),_xll.BDH(config!$G$5,T$1,$A725,$A725))))</f>
        <v/>
      </c>
      <c r="U725" s="8" t="str">
        <f>IF($A725="","",IF(ISNUMBER(FIND("IMPVOL",U$1)),_xll.BDH(config!$G$4,U$1,WORKDAY($A725,-1,config_Holiday_Calendar_US),WORKDAY($A725,-1,config_Holiday_Calendar_US)),IF(ISNUMBER(_xll.BDH(config!$G$4,U$1,$A725,$A725)),_xll.BDH(config!$G$4,U$1,$A725,$A725),_xll.BDH(config!$G$5,U$1,$A725,$A725))))</f>
        <v/>
      </c>
      <c r="V725" s="8" t="str">
        <f>IF($A725="","",IF(ISNUMBER(FIND("IMPVOL",V$1)),_xll.BDH(config!$G$4,V$1,WORKDAY($A725,-1,config_Holiday_Calendar_US),WORKDAY($A725,-1,config_Holiday_Calendar_US)),IF(ISNUMBER(_xll.BDH(config!$G$4,V$1,$A725,$A725)),_xll.BDH(config!$G$4,V$1,$A725,$A725),_xll.BDH(config!$G$5,V$1,$A725,$A725))))</f>
        <v/>
      </c>
      <c r="W725" s="8" t="str">
        <f>IF($A725="","",IF(ISNUMBER(FIND("IMPVOL",W$1)),_xll.BDH(config!$G$4,W$1,WORKDAY($A725,-1,config_Holiday_Calendar_US),WORKDAY($A725,-1,config_Holiday_Calendar_US)),IF(ISNUMBER(_xll.BDH(config!$G$4,W$1,$A725,$A725)),_xll.BDH(config!$G$4,W$1,$A725,$A725),_xll.BDH(config!$G$5,W$1,$A725,$A725))))</f>
        <v/>
      </c>
    </row>
    <row r="726" spans="1:23" x14ac:dyDescent="0.2">
      <c r="A726" s="9" t="str">
        <f>IF(A725="","",IF(WORKDAY(A725,-1,config_Holiday_Calendar_US)&lt;config!$I$10,"",WORKDAY(A725,-1,config_Holiday_Calendar_US)))</f>
        <v/>
      </c>
      <c r="B726" s="8" t="str">
        <f t="shared" si="11"/>
        <v/>
      </c>
      <c r="C726" s="8" t="str">
        <f>IF(A726="","",_xll.BDH(config!$H$4,C$1,$A726,$A726))</f>
        <v/>
      </c>
      <c r="D726" s="8" t="str">
        <f>IF($A726="","",_xll.BDH(config!$H$4,D$1,$A726,$A726))</f>
        <v/>
      </c>
      <c r="E726" s="8" t="str">
        <f>IF($A726="","",IF(ISNUMBER(FIND("IMPVOL",E$1)),_xll.BDH(config!$G$4,E$1,WORKDAY($A726,-1,config_Holiday_Calendar_US),WORKDAY($A726,-1,config_Holiday_Calendar_US)),IF(ISNUMBER(_xll.BDH(config!$G$4,E$1,$A726,$A726)),_xll.BDH(config!$G$4,E$1,$A726,$A726),_xll.BDH(config!$G$5,E$1,$A726,$A726))))</f>
        <v/>
      </c>
      <c r="F726" s="8" t="str">
        <f>IF($A726="","",IF(ISNUMBER(FIND("IMPVOL",F$1)),_xll.BDH(config!$G$4,F$1,WORKDAY($A726,-1,config_Holiday_Calendar_US),WORKDAY($A726,-1,config_Holiday_Calendar_US)),IF(ISNUMBER(_xll.BDH(config!$G$4,F$1,$A726,$A726)),_xll.BDH(config!$G$4,F$1,$A726,$A726),_xll.BDH(config!$G$5,F$1,$A726,$A726))))</f>
        <v/>
      </c>
      <c r="G726" s="8" t="str">
        <f>IF($A726="","",IF(ISNUMBER(FIND("IMPVOL",G$1)),_xll.BDH(config!$G$4,G$1,WORKDAY($A726,-1,config_Holiday_Calendar_US),WORKDAY($A726,-1,config_Holiday_Calendar_US)),IF(ISNUMBER(_xll.BDH(config!$G$4,G$1,$A726,$A726)),_xll.BDH(config!$G$4,G$1,$A726,$A726),_xll.BDH(config!$G$5,G$1,$A726,$A726))))</f>
        <v/>
      </c>
      <c r="H726" s="8" t="str">
        <f>IF($A726="","",IF(ISNUMBER(FIND("IMPVOL",H$1)),_xll.BDH(config!$G$4,H$1,WORKDAY($A726,-1,config_Holiday_Calendar_US),WORKDAY($A726,-1,config_Holiday_Calendar_US)),IF(ISNUMBER(_xll.BDH(config!$G$4,H$1,$A726,$A726)),_xll.BDH(config!$G$4,H$1,$A726,$A726),_xll.BDH(config!$G$5,H$1,$A726,$A726))))</f>
        <v/>
      </c>
      <c r="I726" s="8" t="str">
        <f>IF($A726="","",IF(ISNUMBER(FIND("IMPVOL",I$1)),_xll.BDH(config!$G$4,I$1,WORKDAY($A726,-1,config_Holiday_Calendar_US),WORKDAY($A726,-1,config_Holiday_Calendar_US)),IF(ISNUMBER(_xll.BDH(config!$G$4,I$1,$A726,$A726)),_xll.BDH(config!$G$4,I$1,$A726,$A726),_xll.BDH(config!$G$5,I$1,$A726,$A726))))</f>
        <v/>
      </c>
      <c r="J726" s="8" t="str">
        <f>IF($A726="","",IF(ISNUMBER(FIND("IMPVOL",J$1)),_xll.BDH(config!$G$4,J$1,WORKDAY($A726,-1,config_Holiday_Calendar_US),WORKDAY($A726,-1,config_Holiday_Calendar_US)),IF(ISNUMBER(_xll.BDH(config!$G$4,J$1,$A726,$A726)),_xll.BDH(config!$G$4,J$1,$A726,$A726),_xll.BDH(config!$G$5,J$1,$A726,$A726))))</f>
        <v/>
      </c>
      <c r="K726" s="8" t="str">
        <f>IF($A726="","",IF(ISNUMBER(FIND("IMPVOL",K$1)),_xll.BDH(config!$G$4,K$1,WORKDAY($A726,-1,config_Holiday_Calendar_US),WORKDAY($A726,-1,config_Holiday_Calendar_US)),IF(ISNUMBER(_xll.BDH(config!$G$4,K$1,$A726,$A726)),_xll.BDH(config!$G$4,K$1,$A726,$A726),_xll.BDH(config!$G$5,K$1,$A726,$A726))))</f>
        <v/>
      </c>
      <c r="L726" s="8" t="str">
        <f>IF($A726="","",IF(ISNUMBER(FIND("IMPVOL",L$1)),_xll.BDH(config!$G$4,L$1,WORKDAY($A726,-1,config_Holiday_Calendar_US),WORKDAY($A726,-1,config_Holiday_Calendar_US)),IF(ISNUMBER(_xll.BDH(config!$G$4,L$1,$A726,$A726)),_xll.BDH(config!$G$4,L$1,$A726,$A726),_xll.BDH(config!$G$5,L$1,$A726,$A726))))</f>
        <v/>
      </c>
      <c r="M726" s="8" t="str">
        <f>IF($A726="","",IF(ISNUMBER(FIND("IMPVOL",M$1)),_xll.BDH(config!$G$4,M$1,WORKDAY($A726,-1,config_Holiday_Calendar_US),WORKDAY($A726,-1,config_Holiday_Calendar_US)),IF(ISNUMBER(_xll.BDH(config!$G$4,M$1,$A726,$A726)),_xll.BDH(config!$G$4,M$1,$A726,$A726),_xll.BDH(config!$G$5,M$1,$A726,$A726))))</f>
        <v/>
      </c>
      <c r="N726" s="8" t="str">
        <f>IF($A726="","",IF(ISNUMBER(FIND("IMPVOL",N$1)),_xll.BDH(config!$G$4,N$1,WORKDAY($A726,-1,config_Holiday_Calendar_US),WORKDAY($A726,-1,config_Holiday_Calendar_US)),IF(ISNUMBER(_xll.BDH(config!$G$4,N$1,$A726,$A726)),_xll.BDH(config!$G$4,N$1,$A726,$A726),_xll.BDH(config!$G$5,N$1,$A726,$A726))))</f>
        <v/>
      </c>
      <c r="O726" s="8" t="str">
        <f>IF($A726="","",IF(ISNUMBER(FIND("IMPVOL",O$1)),_xll.BDH(config!$G$4,O$1,WORKDAY($A726,-1,config_Holiday_Calendar_US),WORKDAY($A726,-1,config_Holiday_Calendar_US)),IF(ISNUMBER(_xll.BDH(config!$G$4,O$1,$A726,$A726)),_xll.BDH(config!$G$4,O$1,$A726,$A726),_xll.BDH(config!$G$5,O$1,$A726,$A726))))</f>
        <v/>
      </c>
      <c r="P726" s="8" t="str">
        <f>IF($A726="","",IF(ISNUMBER(FIND("IMPVOL",P$1)),_xll.BDH(config!$G$4,P$1,WORKDAY($A726,-1,config_Holiday_Calendar_US),WORKDAY($A726,-1,config_Holiday_Calendar_US)),IF(ISNUMBER(_xll.BDH(config!$G$4,P$1,$A726,$A726)),_xll.BDH(config!$G$4,P$1,$A726,$A726),_xll.BDH(config!$G$5,P$1,$A726,$A726))))</f>
        <v/>
      </c>
      <c r="Q726" s="8" t="str">
        <f>IF($A726="","",IF(ISNUMBER(FIND("IMPVOL",Q$1)),_xll.BDH(config!$G$4,Q$1,WORKDAY($A726,-1,config_Holiday_Calendar_US),WORKDAY($A726,-1,config_Holiday_Calendar_US)),IF(ISNUMBER(_xll.BDH(config!$G$4,Q$1,$A726,$A726)),_xll.BDH(config!$G$4,Q$1,$A726,$A726),_xll.BDH(config!$G$5,Q$1,$A726,$A726))))</f>
        <v/>
      </c>
      <c r="R726" s="8" t="str">
        <f>IF($A726="","",IF(ISNUMBER(FIND("IMPVOL",R$1)),_xll.BDH(config!$G$4,R$1,WORKDAY($A726,-1,config_Holiday_Calendar_US),WORKDAY($A726,-1,config_Holiday_Calendar_US)),IF(ISNUMBER(_xll.BDH(config!$G$4,R$1,$A726,$A726)),_xll.BDH(config!$G$4,R$1,$A726,$A726),_xll.BDH(config!$G$5,R$1,$A726,$A726))))</f>
        <v/>
      </c>
      <c r="S726" s="8" t="str">
        <f>IF($A726="","",IF(ISNUMBER(FIND("IMPVOL",S$1)),_xll.BDH(config!$G$4,S$1,WORKDAY($A726,-1,config_Holiday_Calendar_US),WORKDAY($A726,-1,config_Holiday_Calendar_US)),IF(ISNUMBER(_xll.BDH(config!$G$4,S$1,$A726,$A726)),_xll.BDH(config!$G$4,S$1,$A726,$A726),_xll.BDH(config!$G$5,S$1,$A726,$A726))))</f>
        <v/>
      </c>
      <c r="T726" s="8" t="str">
        <f>IF($A726="","",IF(ISNUMBER(FIND("IMPVOL",T$1)),_xll.BDH(config!$G$4,T$1,WORKDAY($A726,-1,config_Holiday_Calendar_US),WORKDAY($A726,-1,config_Holiday_Calendar_US)),IF(ISNUMBER(_xll.BDH(config!$G$4,T$1,$A726,$A726)),_xll.BDH(config!$G$4,T$1,$A726,$A726),_xll.BDH(config!$G$5,T$1,$A726,$A726))))</f>
        <v/>
      </c>
      <c r="U726" s="8" t="str">
        <f>IF($A726="","",IF(ISNUMBER(FIND("IMPVOL",U$1)),_xll.BDH(config!$G$4,U$1,WORKDAY($A726,-1,config_Holiday_Calendar_US),WORKDAY($A726,-1,config_Holiday_Calendar_US)),IF(ISNUMBER(_xll.BDH(config!$G$4,U$1,$A726,$A726)),_xll.BDH(config!$G$4,U$1,$A726,$A726),_xll.BDH(config!$G$5,U$1,$A726,$A726))))</f>
        <v/>
      </c>
      <c r="V726" s="8" t="str">
        <f>IF($A726="","",IF(ISNUMBER(FIND("IMPVOL",V$1)),_xll.BDH(config!$G$4,V$1,WORKDAY($A726,-1,config_Holiday_Calendar_US),WORKDAY($A726,-1,config_Holiday_Calendar_US)),IF(ISNUMBER(_xll.BDH(config!$G$4,V$1,$A726,$A726)),_xll.BDH(config!$G$4,V$1,$A726,$A726),_xll.BDH(config!$G$5,V$1,$A726,$A726))))</f>
        <v/>
      </c>
      <c r="W726" s="8" t="str">
        <f>IF($A726="","",IF(ISNUMBER(FIND("IMPVOL",W$1)),_xll.BDH(config!$G$4,W$1,WORKDAY($A726,-1,config_Holiday_Calendar_US),WORKDAY($A726,-1,config_Holiday_Calendar_US)),IF(ISNUMBER(_xll.BDH(config!$G$4,W$1,$A726,$A726)),_xll.BDH(config!$G$4,W$1,$A726,$A726),_xll.BDH(config!$G$5,W$1,$A726,$A726))))</f>
        <v/>
      </c>
    </row>
    <row r="727" spans="1:23" x14ac:dyDescent="0.2">
      <c r="A727" s="9" t="str">
        <f>IF(A726="","",IF(WORKDAY(A726,-1,config_Holiday_Calendar_US)&lt;config!$I$10,"",WORKDAY(A726,-1,config_Holiday_Calendar_US)))</f>
        <v/>
      </c>
      <c r="B727" s="8" t="str">
        <f t="shared" si="11"/>
        <v/>
      </c>
      <c r="C727" s="8" t="str">
        <f>IF(A727="","",_xll.BDH(config!$H$4,C$1,$A727,$A727))</f>
        <v/>
      </c>
      <c r="D727" s="8" t="str">
        <f>IF($A727="","",_xll.BDH(config!$H$4,D$1,$A727,$A727))</f>
        <v/>
      </c>
      <c r="E727" s="8" t="str">
        <f>IF($A727="","",IF(ISNUMBER(FIND("IMPVOL",E$1)),_xll.BDH(config!$G$4,E$1,WORKDAY($A727,-1,config_Holiday_Calendar_US),WORKDAY($A727,-1,config_Holiday_Calendar_US)),IF(ISNUMBER(_xll.BDH(config!$G$4,E$1,$A727,$A727)),_xll.BDH(config!$G$4,E$1,$A727,$A727),_xll.BDH(config!$G$5,E$1,$A727,$A727))))</f>
        <v/>
      </c>
      <c r="F727" s="8" t="str">
        <f>IF($A727="","",IF(ISNUMBER(FIND("IMPVOL",F$1)),_xll.BDH(config!$G$4,F$1,WORKDAY($A727,-1,config_Holiday_Calendar_US),WORKDAY($A727,-1,config_Holiday_Calendar_US)),IF(ISNUMBER(_xll.BDH(config!$G$4,F$1,$A727,$A727)),_xll.BDH(config!$G$4,F$1,$A727,$A727),_xll.BDH(config!$G$5,F$1,$A727,$A727))))</f>
        <v/>
      </c>
      <c r="G727" s="8" t="str">
        <f>IF($A727="","",IF(ISNUMBER(FIND("IMPVOL",G$1)),_xll.BDH(config!$G$4,G$1,WORKDAY($A727,-1,config_Holiday_Calendar_US),WORKDAY($A727,-1,config_Holiday_Calendar_US)),IF(ISNUMBER(_xll.BDH(config!$G$4,G$1,$A727,$A727)),_xll.BDH(config!$G$4,G$1,$A727,$A727),_xll.BDH(config!$G$5,G$1,$A727,$A727))))</f>
        <v/>
      </c>
      <c r="H727" s="8" t="str">
        <f>IF($A727="","",IF(ISNUMBER(FIND("IMPVOL",H$1)),_xll.BDH(config!$G$4,H$1,WORKDAY($A727,-1,config_Holiday_Calendar_US),WORKDAY($A727,-1,config_Holiday_Calendar_US)),IF(ISNUMBER(_xll.BDH(config!$G$4,H$1,$A727,$A727)),_xll.BDH(config!$G$4,H$1,$A727,$A727),_xll.BDH(config!$G$5,H$1,$A727,$A727))))</f>
        <v/>
      </c>
      <c r="I727" s="8" t="str">
        <f>IF($A727="","",IF(ISNUMBER(FIND("IMPVOL",I$1)),_xll.BDH(config!$G$4,I$1,WORKDAY($A727,-1,config_Holiday_Calendar_US),WORKDAY($A727,-1,config_Holiday_Calendar_US)),IF(ISNUMBER(_xll.BDH(config!$G$4,I$1,$A727,$A727)),_xll.BDH(config!$G$4,I$1,$A727,$A727),_xll.BDH(config!$G$5,I$1,$A727,$A727))))</f>
        <v/>
      </c>
      <c r="J727" s="8" t="str">
        <f>IF($A727="","",IF(ISNUMBER(FIND("IMPVOL",J$1)),_xll.BDH(config!$G$4,J$1,WORKDAY($A727,-1,config_Holiday_Calendar_US),WORKDAY($A727,-1,config_Holiday_Calendar_US)),IF(ISNUMBER(_xll.BDH(config!$G$4,J$1,$A727,$A727)),_xll.BDH(config!$G$4,J$1,$A727,$A727),_xll.BDH(config!$G$5,J$1,$A727,$A727))))</f>
        <v/>
      </c>
      <c r="K727" s="8" t="str">
        <f>IF($A727="","",IF(ISNUMBER(FIND("IMPVOL",K$1)),_xll.BDH(config!$G$4,K$1,WORKDAY($A727,-1,config_Holiday_Calendar_US),WORKDAY($A727,-1,config_Holiday_Calendar_US)),IF(ISNUMBER(_xll.BDH(config!$G$4,K$1,$A727,$A727)),_xll.BDH(config!$G$4,K$1,$A727,$A727),_xll.BDH(config!$G$5,K$1,$A727,$A727))))</f>
        <v/>
      </c>
      <c r="L727" s="8" t="str">
        <f>IF($A727="","",IF(ISNUMBER(FIND("IMPVOL",L$1)),_xll.BDH(config!$G$4,L$1,WORKDAY($A727,-1,config_Holiday_Calendar_US),WORKDAY($A727,-1,config_Holiday_Calendar_US)),IF(ISNUMBER(_xll.BDH(config!$G$4,L$1,$A727,$A727)),_xll.BDH(config!$G$4,L$1,$A727,$A727),_xll.BDH(config!$G$5,L$1,$A727,$A727))))</f>
        <v/>
      </c>
      <c r="M727" s="8" t="str">
        <f>IF($A727="","",IF(ISNUMBER(FIND("IMPVOL",M$1)),_xll.BDH(config!$G$4,M$1,WORKDAY($A727,-1,config_Holiday_Calendar_US),WORKDAY($A727,-1,config_Holiday_Calendar_US)),IF(ISNUMBER(_xll.BDH(config!$G$4,M$1,$A727,$A727)),_xll.BDH(config!$G$4,M$1,$A727,$A727),_xll.BDH(config!$G$5,M$1,$A727,$A727))))</f>
        <v/>
      </c>
      <c r="N727" s="8" t="str">
        <f>IF($A727="","",IF(ISNUMBER(FIND("IMPVOL",N$1)),_xll.BDH(config!$G$4,N$1,WORKDAY($A727,-1,config_Holiday_Calendar_US),WORKDAY($A727,-1,config_Holiday_Calendar_US)),IF(ISNUMBER(_xll.BDH(config!$G$4,N$1,$A727,$A727)),_xll.BDH(config!$G$4,N$1,$A727,$A727),_xll.BDH(config!$G$5,N$1,$A727,$A727))))</f>
        <v/>
      </c>
      <c r="O727" s="8" t="str">
        <f>IF($A727="","",IF(ISNUMBER(FIND("IMPVOL",O$1)),_xll.BDH(config!$G$4,O$1,WORKDAY($A727,-1,config_Holiday_Calendar_US),WORKDAY($A727,-1,config_Holiday_Calendar_US)),IF(ISNUMBER(_xll.BDH(config!$G$4,O$1,$A727,$A727)),_xll.BDH(config!$G$4,O$1,$A727,$A727),_xll.BDH(config!$G$5,O$1,$A727,$A727))))</f>
        <v/>
      </c>
      <c r="P727" s="8" t="str">
        <f>IF($A727="","",IF(ISNUMBER(FIND("IMPVOL",P$1)),_xll.BDH(config!$G$4,P$1,WORKDAY($A727,-1,config_Holiday_Calendar_US),WORKDAY($A727,-1,config_Holiday_Calendar_US)),IF(ISNUMBER(_xll.BDH(config!$G$4,P$1,$A727,$A727)),_xll.BDH(config!$G$4,P$1,$A727,$A727),_xll.BDH(config!$G$5,P$1,$A727,$A727))))</f>
        <v/>
      </c>
      <c r="Q727" s="8" t="str">
        <f>IF($A727="","",IF(ISNUMBER(FIND("IMPVOL",Q$1)),_xll.BDH(config!$G$4,Q$1,WORKDAY($A727,-1,config_Holiday_Calendar_US),WORKDAY($A727,-1,config_Holiday_Calendar_US)),IF(ISNUMBER(_xll.BDH(config!$G$4,Q$1,$A727,$A727)),_xll.BDH(config!$G$4,Q$1,$A727,$A727),_xll.BDH(config!$G$5,Q$1,$A727,$A727))))</f>
        <v/>
      </c>
      <c r="R727" s="8" t="str">
        <f>IF($A727="","",IF(ISNUMBER(FIND("IMPVOL",R$1)),_xll.BDH(config!$G$4,R$1,WORKDAY($A727,-1,config_Holiday_Calendar_US),WORKDAY($A727,-1,config_Holiday_Calendar_US)),IF(ISNUMBER(_xll.BDH(config!$G$4,R$1,$A727,$A727)),_xll.BDH(config!$G$4,R$1,$A727,$A727),_xll.BDH(config!$G$5,R$1,$A727,$A727))))</f>
        <v/>
      </c>
      <c r="S727" s="8" t="str">
        <f>IF($A727="","",IF(ISNUMBER(FIND("IMPVOL",S$1)),_xll.BDH(config!$G$4,S$1,WORKDAY($A727,-1,config_Holiday_Calendar_US),WORKDAY($A727,-1,config_Holiday_Calendar_US)),IF(ISNUMBER(_xll.BDH(config!$G$4,S$1,$A727,$A727)),_xll.BDH(config!$G$4,S$1,$A727,$A727),_xll.BDH(config!$G$5,S$1,$A727,$A727))))</f>
        <v/>
      </c>
      <c r="T727" s="8" t="str">
        <f>IF($A727="","",IF(ISNUMBER(FIND("IMPVOL",T$1)),_xll.BDH(config!$G$4,T$1,WORKDAY($A727,-1,config_Holiday_Calendar_US),WORKDAY($A727,-1,config_Holiday_Calendar_US)),IF(ISNUMBER(_xll.BDH(config!$G$4,T$1,$A727,$A727)),_xll.BDH(config!$G$4,T$1,$A727,$A727),_xll.BDH(config!$G$5,T$1,$A727,$A727))))</f>
        <v/>
      </c>
      <c r="U727" s="8" t="str">
        <f>IF($A727="","",IF(ISNUMBER(FIND("IMPVOL",U$1)),_xll.BDH(config!$G$4,U$1,WORKDAY($A727,-1,config_Holiday_Calendar_US),WORKDAY($A727,-1,config_Holiday_Calendar_US)),IF(ISNUMBER(_xll.BDH(config!$G$4,U$1,$A727,$A727)),_xll.BDH(config!$G$4,U$1,$A727,$A727),_xll.BDH(config!$G$5,U$1,$A727,$A727))))</f>
        <v/>
      </c>
      <c r="V727" s="8" t="str">
        <f>IF($A727="","",IF(ISNUMBER(FIND("IMPVOL",V$1)),_xll.BDH(config!$G$4,V$1,WORKDAY($A727,-1,config_Holiday_Calendar_US),WORKDAY($A727,-1,config_Holiday_Calendar_US)),IF(ISNUMBER(_xll.BDH(config!$G$4,V$1,$A727,$A727)),_xll.BDH(config!$G$4,V$1,$A727,$A727),_xll.BDH(config!$G$5,V$1,$A727,$A727))))</f>
        <v/>
      </c>
      <c r="W727" s="8" t="str">
        <f>IF($A727="","",IF(ISNUMBER(FIND("IMPVOL",W$1)),_xll.BDH(config!$G$4,W$1,WORKDAY($A727,-1,config_Holiday_Calendar_US),WORKDAY($A727,-1,config_Holiday_Calendar_US)),IF(ISNUMBER(_xll.BDH(config!$G$4,W$1,$A727,$A727)),_xll.BDH(config!$G$4,W$1,$A727,$A727),_xll.BDH(config!$G$5,W$1,$A727,$A727))))</f>
        <v/>
      </c>
    </row>
    <row r="728" spans="1:23" x14ac:dyDescent="0.2">
      <c r="A728" s="9" t="str">
        <f>IF(A727="","",IF(WORKDAY(A727,-1,config_Holiday_Calendar_US)&lt;config!$I$10,"",WORKDAY(A727,-1,config_Holiday_Calendar_US)))</f>
        <v/>
      </c>
      <c r="B728" s="8" t="str">
        <f t="shared" si="11"/>
        <v/>
      </c>
      <c r="C728" s="8" t="str">
        <f>IF(A728="","",_xll.BDH(config!$H$4,C$1,$A728,$A728))</f>
        <v/>
      </c>
      <c r="D728" s="8" t="str">
        <f>IF($A728="","",_xll.BDH(config!$H$4,D$1,$A728,$A728))</f>
        <v/>
      </c>
      <c r="E728" s="8" t="str">
        <f>IF($A728="","",IF(ISNUMBER(FIND("IMPVOL",E$1)),_xll.BDH(config!$G$4,E$1,WORKDAY($A728,-1,config_Holiday_Calendar_US),WORKDAY($A728,-1,config_Holiday_Calendar_US)),IF(ISNUMBER(_xll.BDH(config!$G$4,E$1,$A728,$A728)),_xll.BDH(config!$G$4,E$1,$A728,$A728),_xll.BDH(config!$G$5,E$1,$A728,$A728))))</f>
        <v/>
      </c>
      <c r="F728" s="8" t="str">
        <f>IF($A728="","",IF(ISNUMBER(FIND("IMPVOL",F$1)),_xll.BDH(config!$G$4,F$1,WORKDAY($A728,-1,config_Holiday_Calendar_US),WORKDAY($A728,-1,config_Holiday_Calendar_US)),IF(ISNUMBER(_xll.BDH(config!$G$4,F$1,$A728,$A728)),_xll.BDH(config!$G$4,F$1,$A728,$A728),_xll.BDH(config!$G$5,F$1,$A728,$A728))))</f>
        <v/>
      </c>
      <c r="G728" s="8" t="str">
        <f>IF($A728="","",IF(ISNUMBER(FIND("IMPVOL",G$1)),_xll.BDH(config!$G$4,G$1,WORKDAY($A728,-1,config_Holiday_Calendar_US),WORKDAY($A728,-1,config_Holiday_Calendar_US)),IF(ISNUMBER(_xll.BDH(config!$G$4,G$1,$A728,$A728)),_xll.BDH(config!$G$4,G$1,$A728,$A728),_xll.BDH(config!$G$5,G$1,$A728,$A728))))</f>
        <v/>
      </c>
      <c r="H728" s="8" t="str">
        <f>IF($A728="","",IF(ISNUMBER(FIND("IMPVOL",H$1)),_xll.BDH(config!$G$4,H$1,WORKDAY($A728,-1,config_Holiday_Calendar_US),WORKDAY($A728,-1,config_Holiday_Calendar_US)),IF(ISNUMBER(_xll.BDH(config!$G$4,H$1,$A728,$A728)),_xll.BDH(config!$G$4,H$1,$A728,$A728),_xll.BDH(config!$G$5,H$1,$A728,$A728))))</f>
        <v/>
      </c>
      <c r="I728" s="8" t="str">
        <f>IF($A728="","",IF(ISNUMBER(FIND("IMPVOL",I$1)),_xll.BDH(config!$G$4,I$1,WORKDAY($A728,-1,config_Holiday_Calendar_US),WORKDAY($A728,-1,config_Holiday_Calendar_US)),IF(ISNUMBER(_xll.BDH(config!$G$4,I$1,$A728,$A728)),_xll.BDH(config!$G$4,I$1,$A728,$A728),_xll.BDH(config!$G$5,I$1,$A728,$A728))))</f>
        <v/>
      </c>
      <c r="J728" s="8" t="str">
        <f>IF($A728="","",IF(ISNUMBER(FIND("IMPVOL",J$1)),_xll.BDH(config!$G$4,J$1,WORKDAY($A728,-1,config_Holiday_Calendar_US),WORKDAY($A728,-1,config_Holiday_Calendar_US)),IF(ISNUMBER(_xll.BDH(config!$G$4,J$1,$A728,$A728)),_xll.BDH(config!$G$4,J$1,$A728,$A728),_xll.BDH(config!$G$5,J$1,$A728,$A728))))</f>
        <v/>
      </c>
      <c r="K728" s="8" t="str">
        <f>IF($A728="","",IF(ISNUMBER(FIND("IMPVOL",K$1)),_xll.BDH(config!$G$4,K$1,WORKDAY($A728,-1,config_Holiday_Calendar_US),WORKDAY($A728,-1,config_Holiday_Calendar_US)),IF(ISNUMBER(_xll.BDH(config!$G$4,K$1,$A728,$A728)),_xll.BDH(config!$G$4,K$1,$A728,$A728),_xll.BDH(config!$G$5,K$1,$A728,$A728))))</f>
        <v/>
      </c>
      <c r="L728" s="8" t="str">
        <f>IF($A728="","",IF(ISNUMBER(FIND("IMPVOL",L$1)),_xll.BDH(config!$G$4,L$1,WORKDAY($A728,-1,config_Holiday_Calendar_US),WORKDAY($A728,-1,config_Holiday_Calendar_US)),IF(ISNUMBER(_xll.BDH(config!$G$4,L$1,$A728,$A728)),_xll.BDH(config!$G$4,L$1,$A728,$A728),_xll.BDH(config!$G$5,L$1,$A728,$A728))))</f>
        <v/>
      </c>
      <c r="M728" s="8" t="str">
        <f>IF($A728="","",IF(ISNUMBER(FIND("IMPVOL",M$1)),_xll.BDH(config!$G$4,M$1,WORKDAY($A728,-1,config_Holiday_Calendar_US),WORKDAY($A728,-1,config_Holiday_Calendar_US)),IF(ISNUMBER(_xll.BDH(config!$G$4,M$1,$A728,$A728)),_xll.BDH(config!$G$4,M$1,$A728,$A728),_xll.BDH(config!$G$5,M$1,$A728,$A728))))</f>
        <v/>
      </c>
      <c r="N728" s="8" t="str">
        <f>IF($A728="","",IF(ISNUMBER(FIND("IMPVOL",N$1)),_xll.BDH(config!$G$4,N$1,WORKDAY($A728,-1,config_Holiday_Calendar_US),WORKDAY($A728,-1,config_Holiday_Calendar_US)),IF(ISNUMBER(_xll.BDH(config!$G$4,N$1,$A728,$A728)),_xll.BDH(config!$G$4,N$1,$A728,$A728),_xll.BDH(config!$G$5,N$1,$A728,$A728))))</f>
        <v/>
      </c>
      <c r="O728" s="8" t="str">
        <f>IF($A728="","",IF(ISNUMBER(FIND("IMPVOL",O$1)),_xll.BDH(config!$G$4,O$1,WORKDAY($A728,-1,config_Holiday_Calendar_US),WORKDAY($A728,-1,config_Holiday_Calendar_US)),IF(ISNUMBER(_xll.BDH(config!$G$4,O$1,$A728,$A728)),_xll.BDH(config!$G$4,O$1,$A728,$A728),_xll.BDH(config!$G$5,O$1,$A728,$A728))))</f>
        <v/>
      </c>
      <c r="P728" s="8" t="str">
        <f>IF($A728="","",IF(ISNUMBER(FIND("IMPVOL",P$1)),_xll.BDH(config!$G$4,P$1,WORKDAY($A728,-1,config_Holiday_Calendar_US),WORKDAY($A728,-1,config_Holiday_Calendar_US)),IF(ISNUMBER(_xll.BDH(config!$G$4,P$1,$A728,$A728)),_xll.BDH(config!$G$4,P$1,$A728,$A728),_xll.BDH(config!$G$5,P$1,$A728,$A728))))</f>
        <v/>
      </c>
      <c r="Q728" s="8" t="str">
        <f>IF($A728="","",IF(ISNUMBER(FIND("IMPVOL",Q$1)),_xll.BDH(config!$G$4,Q$1,WORKDAY($A728,-1,config_Holiday_Calendar_US),WORKDAY($A728,-1,config_Holiday_Calendar_US)),IF(ISNUMBER(_xll.BDH(config!$G$4,Q$1,$A728,$A728)),_xll.BDH(config!$G$4,Q$1,$A728,$A728),_xll.BDH(config!$G$5,Q$1,$A728,$A728))))</f>
        <v/>
      </c>
      <c r="R728" s="8" t="str">
        <f>IF($A728="","",IF(ISNUMBER(FIND("IMPVOL",R$1)),_xll.BDH(config!$G$4,R$1,WORKDAY($A728,-1,config_Holiday_Calendar_US),WORKDAY($A728,-1,config_Holiday_Calendar_US)),IF(ISNUMBER(_xll.BDH(config!$G$4,R$1,$A728,$A728)),_xll.BDH(config!$G$4,R$1,$A728,$A728),_xll.BDH(config!$G$5,R$1,$A728,$A728))))</f>
        <v/>
      </c>
      <c r="S728" s="8" t="str">
        <f>IF($A728="","",IF(ISNUMBER(FIND("IMPVOL",S$1)),_xll.BDH(config!$G$4,S$1,WORKDAY($A728,-1,config_Holiday_Calendar_US),WORKDAY($A728,-1,config_Holiday_Calendar_US)),IF(ISNUMBER(_xll.BDH(config!$G$4,S$1,$A728,$A728)),_xll.BDH(config!$G$4,S$1,$A728,$A728),_xll.BDH(config!$G$5,S$1,$A728,$A728))))</f>
        <v/>
      </c>
      <c r="T728" s="8" t="str">
        <f>IF($A728="","",IF(ISNUMBER(FIND("IMPVOL",T$1)),_xll.BDH(config!$G$4,T$1,WORKDAY($A728,-1,config_Holiday_Calendar_US),WORKDAY($A728,-1,config_Holiday_Calendar_US)),IF(ISNUMBER(_xll.BDH(config!$G$4,T$1,$A728,$A728)),_xll.BDH(config!$G$4,T$1,$A728,$A728),_xll.BDH(config!$G$5,T$1,$A728,$A728))))</f>
        <v/>
      </c>
      <c r="U728" s="8" t="str">
        <f>IF($A728="","",IF(ISNUMBER(FIND("IMPVOL",U$1)),_xll.BDH(config!$G$4,U$1,WORKDAY($A728,-1,config_Holiday_Calendar_US),WORKDAY($A728,-1,config_Holiday_Calendar_US)),IF(ISNUMBER(_xll.BDH(config!$G$4,U$1,$A728,$A728)),_xll.BDH(config!$G$4,U$1,$A728,$A728),_xll.BDH(config!$G$5,U$1,$A728,$A728))))</f>
        <v/>
      </c>
      <c r="V728" s="8" t="str">
        <f>IF($A728="","",IF(ISNUMBER(FIND("IMPVOL",V$1)),_xll.BDH(config!$G$4,V$1,WORKDAY($A728,-1,config_Holiday_Calendar_US),WORKDAY($A728,-1,config_Holiday_Calendar_US)),IF(ISNUMBER(_xll.BDH(config!$G$4,V$1,$A728,$A728)),_xll.BDH(config!$G$4,V$1,$A728,$A728),_xll.BDH(config!$G$5,V$1,$A728,$A728))))</f>
        <v/>
      </c>
      <c r="W728" s="8" t="str">
        <f>IF($A728="","",IF(ISNUMBER(FIND("IMPVOL",W$1)),_xll.BDH(config!$G$4,W$1,WORKDAY($A728,-1,config_Holiday_Calendar_US),WORKDAY($A728,-1,config_Holiday_Calendar_US)),IF(ISNUMBER(_xll.BDH(config!$G$4,W$1,$A728,$A728)),_xll.BDH(config!$G$4,W$1,$A728,$A728),_xll.BDH(config!$G$5,W$1,$A728,$A728))))</f>
        <v/>
      </c>
    </row>
    <row r="729" spans="1:23" x14ac:dyDescent="0.2">
      <c r="A729" s="9" t="str">
        <f>IF(A728="","",IF(WORKDAY(A728,-1,config_Holiday_Calendar_US)&lt;config!$I$10,"",WORKDAY(A728,-1,config_Holiday_Calendar_US)))</f>
        <v/>
      </c>
      <c r="B729" s="8" t="str">
        <f t="shared" si="11"/>
        <v/>
      </c>
      <c r="C729" s="8" t="str">
        <f>IF(A729="","",_xll.BDH(config!$H$4,C$1,$A729,$A729))</f>
        <v/>
      </c>
      <c r="D729" s="8" t="str">
        <f>IF($A729="","",_xll.BDH(config!$H$4,D$1,$A729,$A729))</f>
        <v/>
      </c>
      <c r="E729" s="8" t="str">
        <f>IF($A729="","",IF(ISNUMBER(FIND("IMPVOL",E$1)),_xll.BDH(config!$G$4,E$1,WORKDAY($A729,-1,config_Holiday_Calendar_US),WORKDAY($A729,-1,config_Holiday_Calendar_US)),IF(ISNUMBER(_xll.BDH(config!$G$4,E$1,$A729,$A729)),_xll.BDH(config!$G$4,E$1,$A729,$A729),_xll.BDH(config!$G$5,E$1,$A729,$A729))))</f>
        <v/>
      </c>
      <c r="F729" s="8" t="str">
        <f>IF($A729="","",IF(ISNUMBER(FIND("IMPVOL",F$1)),_xll.BDH(config!$G$4,F$1,WORKDAY($A729,-1,config_Holiday_Calendar_US),WORKDAY($A729,-1,config_Holiday_Calendar_US)),IF(ISNUMBER(_xll.BDH(config!$G$4,F$1,$A729,$A729)),_xll.BDH(config!$G$4,F$1,$A729,$A729),_xll.BDH(config!$G$5,F$1,$A729,$A729))))</f>
        <v/>
      </c>
      <c r="G729" s="8" t="str">
        <f>IF($A729="","",IF(ISNUMBER(FIND("IMPVOL",G$1)),_xll.BDH(config!$G$4,G$1,WORKDAY($A729,-1,config_Holiday_Calendar_US),WORKDAY($A729,-1,config_Holiday_Calendar_US)),IF(ISNUMBER(_xll.BDH(config!$G$4,G$1,$A729,$A729)),_xll.BDH(config!$G$4,G$1,$A729,$A729),_xll.BDH(config!$G$5,G$1,$A729,$A729))))</f>
        <v/>
      </c>
      <c r="H729" s="8" t="str">
        <f>IF($A729="","",IF(ISNUMBER(FIND("IMPVOL",H$1)),_xll.BDH(config!$G$4,H$1,WORKDAY($A729,-1,config_Holiday_Calendar_US),WORKDAY($A729,-1,config_Holiday_Calendar_US)),IF(ISNUMBER(_xll.BDH(config!$G$4,H$1,$A729,$A729)),_xll.BDH(config!$G$4,H$1,$A729,$A729),_xll.BDH(config!$G$5,H$1,$A729,$A729))))</f>
        <v/>
      </c>
      <c r="I729" s="8" t="str">
        <f>IF($A729="","",IF(ISNUMBER(FIND("IMPVOL",I$1)),_xll.BDH(config!$G$4,I$1,WORKDAY($A729,-1,config_Holiday_Calendar_US),WORKDAY($A729,-1,config_Holiday_Calendar_US)),IF(ISNUMBER(_xll.BDH(config!$G$4,I$1,$A729,$A729)),_xll.BDH(config!$G$4,I$1,$A729,$A729),_xll.BDH(config!$G$5,I$1,$A729,$A729))))</f>
        <v/>
      </c>
      <c r="J729" s="8" t="str">
        <f>IF($A729="","",IF(ISNUMBER(FIND("IMPVOL",J$1)),_xll.BDH(config!$G$4,J$1,WORKDAY($A729,-1,config_Holiday_Calendar_US),WORKDAY($A729,-1,config_Holiday_Calendar_US)),IF(ISNUMBER(_xll.BDH(config!$G$4,J$1,$A729,$A729)),_xll.BDH(config!$G$4,J$1,$A729,$A729),_xll.BDH(config!$G$5,J$1,$A729,$A729))))</f>
        <v/>
      </c>
      <c r="K729" s="8" t="str">
        <f>IF($A729="","",IF(ISNUMBER(FIND("IMPVOL",K$1)),_xll.BDH(config!$G$4,K$1,WORKDAY($A729,-1,config_Holiday_Calendar_US),WORKDAY($A729,-1,config_Holiday_Calendar_US)),IF(ISNUMBER(_xll.BDH(config!$G$4,K$1,$A729,$A729)),_xll.BDH(config!$G$4,K$1,$A729,$A729),_xll.BDH(config!$G$5,K$1,$A729,$A729))))</f>
        <v/>
      </c>
      <c r="L729" s="8" t="str">
        <f>IF($A729="","",IF(ISNUMBER(FIND("IMPVOL",L$1)),_xll.BDH(config!$G$4,L$1,WORKDAY($A729,-1,config_Holiday_Calendar_US),WORKDAY($A729,-1,config_Holiday_Calendar_US)),IF(ISNUMBER(_xll.BDH(config!$G$4,L$1,$A729,$A729)),_xll.BDH(config!$G$4,L$1,$A729,$A729),_xll.BDH(config!$G$5,L$1,$A729,$A729))))</f>
        <v/>
      </c>
      <c r="M729" s="8" t="str">
        <f>IF($A729="","",IF(ISNUMBER(FIND("IMPVOL",M$1)),_xll.BDH(config!$G$4,M$1,WORKDAY($A729,-1,config_Holiday_Calendar_US),WORKDAY($A729,-1,config_Holiday_Calendar_US)),IF(ISNUMBER(_xll.BDH(config!$G$4,M$1,$A729,$A729)),_xll.BDH(config!$G$4,M$1,$A729,$A729),_xll.BDH(config!$G$5,M$1,$A729,$A729))))</f>
        <v/>
      </c>
      <c r="N729" s="8" t="str">
        <f>IF($A729="","",IF(ISNUMBER(FIND("IMPVOL",N$1)),_xll.BDH(config!$G$4,N$1,WORKDAY($A729,-1,config_Holiday_Calendar_US),WORKDAY($A729,-1,config_Holiday_Calendar_US)),IF(ISNUMBER(_xll.BDH(config!$G$4,N$1,$A729,$A729)),_xll.BDH(config!$G$4,N$1,$A729,$A729),_xll.BDH(config!$G$5,N$1,$A729,$A729))))</f>
        <v/>
      </c>
      <c r="O729" s="8" t="str">
        <f>IF($A729="","",IF(ISNUMBER(FIND("IMPVOL",O$1)),_xll.BDH(config!$G$4,O$1,WORKDAY($A729,-1,config_Holiday_Calendar_US),WORKDAY($A729,-1,config_Holiday_Calendar_US)),IF(ISNUMBER(_xll.BDH(config!$G$4,O$1,$A729,$A729)),_xll.BDH(config!$G$4,O$1,$A729,$A729),_xll.BDH(config!$G$5,O$1,$A729,$A729))))</f>
        <v/>
      </c>
      <c r="P729" s="8" t="str">
        <f>IF($A729="","",IF(ISNUMBER(FIND("IMPVOL",P$1)),_xll.BDH(config!$G$4,P$1,WORKDAY($A729,-1,config_Holiday_Calendar_US),WORKDAY($A729,-1,config_Holiday_Calendar_US)),IF(ISNUMBER(_xll.BDH(config!$G$4,P$1,$A729,$A729)),_xll.BDH(config!$G$4,P$1,$A729,$A729),_xll.BDH(config!$G$5,P$1,$A729,$A729))))</f>
        <v/>
      </c>
      <c r="Q729" s="8" t="str">
        <f>IF($A729="","",IF(ISNUMBER(FIND("IMPVOL",Q$1)),_xll.BDH(config!$G$4,Q$1,WORKDAY($A729,-1,config_Holiday_Calendar_US),WORKDAY($A729,-1,config_Holiday_Calendar_US)),IF(ISNUMBER(_xll.BDH(config!$G$4,Q$1,$A729,$A729)),_xll.BDH(config!$G$4,Q$1,$A729,$A729),_xll.BDH(config!$G$5,Q$1,$A729,$A729))))</f>
        <v/>
      </c>
      <c r="R729" s="8" t="str">
        <f>IF($A729="","",IF(ISNUMBER(FIND("IMPVOL",R$1)),_xll.BDH(config!$G$4,R$1,WORKDAY($A729,-1,config_Holiday_Calendar_US),WORKDAY($A729,-1,config_Holiday_Calendar_US)),IF(ISNUMBER(_xll.BDH(config!$G$4,R$1,$A729,$A729)),_xll.BDH(config!$G$4,R$1,$A729,$A729),_xll.BDH(config!$G$5,R$1,$A729,$A729))))</f>
        <v/>
      </c>
      <c r="S729" s="8" t="str">
        <f>IF($A729="","",IF(ISNUMBER(FIND("IMPVOL",S$1)),_xll.BDH(config!$G$4,S$1,WORKDAY($A729,-1,config_Holiday_Calendar_US),WORKDAY($A729,-1,config_Holiday_Calendar_US)),IF(ISNUMBER(_xll.BDH(config!$G$4,S$1,$A729,$A729)),_xll.BDH(config!$G$4,S$1,$A729,$A729),_xll.BDH(config!$G$5,S$1,$A729,$A729))))</f>
        <v/>
      </c>
      <c r="T729" s="8" t="str">
        <f>IF($A729="","",IF(ISNUMBER(FIND("IMPVOL",T$1)),_xll.BDH(config!$G$4,T$1,WORKDAY($A729,-1,config_Holiday_Calendar_US),WORKDAY($A729,-1,config_Holiday_Calendar_US)),IF(ISNUMBER(_xll.BDH(config!$G$4,T$1,$A729,$A729)),_xll.BDH(config!$G$4,T$1,$A729,$A729),_xll.BDH(config!$G$5,T$1,$A729,$A729))))</f>
        <v/>
      </c>
      <c r="U729" s="8" t="str">
        <f>IF($A729="","",IF(ISNUMBER(FIND("IMPVOL",U$1)),_xll.BDH(config!$G$4,U$1,WORKDAY($A729,-1,config_Holiday_Calendar_US),WORKDAY($A729,-1,config_Holiday_Calendar_US)),IF(ISNUMBER(_xll.BDH(config!$G$4,U$1,$A729,$A729)),_xll.BDH(config!$G$4,U$1,$A729,$A729),_xll.BDH(config!$G$5,U$1,$A729,$A729))))</f>
        <v/>
      </c>
      <c r="V729" s="8" t="str">
        <f>IF($A729="","",IF(ISNUMBER(FIND("IMPVOL",V$1)),_xll.BDH(config!$G$4,V$1,WORKDAY($A729,-1,config_Holiday_Calendar_US),WORKDAY($A729,-1,config_Holiday_Calendar_US)),IF(ISNUMBER(_xll.BDH(config!$G$4,V$1,$A729,$A729)),_xll.BDH(config!$G$4,V$1,$A729,$A729),_xll.BDH(config!$G$5,V$1,$A729,$A729))))</f>
        <v/>
      </c>
      <c r="W729" s="8" t="str">
        <f>IF($A729="","",IF(ISNUMBER(FIND("IMPVOL",W$1)),_xll.BDH(config!$G$4,W$1,WORKDAY($A729,-1,config_Holiday_Calendar_US),WORKDAY($A729,-1,config_Holiday_Calendar_US)),IF(ISNUMBER(_xll.BDH(config!$G$4,W$1,$A729,$A729)),_xll.BDH(config!$G$4,W$1,$A729,$A729),_xll.BDH(config!$G$5,W$1,$A729,$A729))))</f>
        <v/>
      </c>
    </row>
    <row r="730" spans="1:23" x14ac:dyDescent="0.2">
      <c r="A730" s="9" t="str">
        <f>IF(A729="","",IF(WORKDAY(A729,-1,config_Holiday_Calendar_US)&lt;config!$I$10,"",WORKDAY(A729,-1,config_Holiday_Calendar_US)))</f>
        <v/>
      </c>
      <c r="B730" s="8" t="str">
        <f t="shared" si="11"/>
        <v/>
      </c>
      <c r="C730" s="8" t="str">
        <f>IF(A730="","",_xll.BDH(config!$H$4,C$1,$A730,$A730))</f>
        <v/>
      </c>
      <c r="D730" s="8" t="str">
        <f>IF($A730="","",_xll.BDH(config!$H$4,D$1,$A730,$A730))</f>
        <v/>
      </c>
      <c r="E730" s="8" t="str">
        <f>IF($A730="","",IF(ISNUMBER(FIND("IMPVOL",E$1)),_xll.BDH(config!$G$4,E$1,WORKDAY($A730,-1,config_Holiday_Calendar_US),WORKDAY($A730,-1,config_Holiday_Calendar_US)),IF(ISNUMBER(_xll.BDH(config!$G$4,E$1,$A730,$A730)),_xll.BDH(config!$G$4,E$1,$A730,$A730),_xll.BDH(config!$G$5,E$1,$A730,$A730))))</f>
        <v/>
      </c>
      <c r="F730" s="8" t="str">
        <f>IF($A730="","",IF(ISNUMBER(FIND("IMPVOL",F$1)),_xll.BDH(config!$G$4,F$1,WORKDAY($A730,-1,config_Holiday_Calendar_US),WORKDAY($A730,-1,config_Holiday_Calendar_US)),IF(ISNUMBER(_xll.BDH(config!$G$4,F$1,$A730,$A730)),_xll.BDH(config!$G$4,F$1,$A730,$A730),_xll.BDH(config!$G$5,F$1,$A730,$A730))))</f>
        <v/>
      </c>
      <c r="G730" s="8" t="str">
        <f>IF($A730="","",IF(ISNUMBER(FIND("IMPVOL",G$1)),_xll.BDH(config!$G$4,G$1,WORKDAY($A730,-1,config_Holiday_Calendar_US),WORKDAY($A730,-1,config_Holiday_Calendar_US)),IF(ISNUMBER(_xll.BDH(config!$G$4,G$1,$A730,$A730)),_xll.BDH(config!$G$4,G$1,$A730,$A730),_xll.BDH(config!$G$5,G$1,$A730,$A730))))</f>
        <v/>
      </c>
      <c r="H730" s="8" t="str">
        <f>IF($A730="","",IF(ISNUMBER(FIND("IMPVOL",H$1)),_xll.BDH(config!$G$4,H$1,WORKDAY($A730,-1,config_Holiday_Calendar_US),WORKDAY($A730,-1,config_Holiday_Calendar_US)),IF(ISNUMBER(_xll.BDH(config!$G$4,H$1,$A730,$A730)),_xll.BDH(config!$G$4,H$1,$A730,$A730),_xll.BDH(config!$G$5,H$1,$A730,$A730))))</f>
        <v/>
      </c>
      <c r="I730" s="8" t="str">
        <f>IF($A730="","",IF(ISNUMBER(FIND("IMPVOL",I$1)),_xll.BDH(config!$G$4,I$1,WORKDAY($A730,-1,config_Holiday_Calendar_US),WORKDAY($A730,-1,config_Holiday_Calendar_US)),IF(ISNUMBER(_xll.BDH(config!$G$4,I$1,$A730,$A730)),_xll.BDH(config!$G$4,I$1,$A730,$A730),_xll.BDH(config!$G$5,I$1,$A730,$A730))))</f>
        <v/>
      </c>
      <c r="J730" s="8" t="str">
        <f>IF($A730="","",IF(ISNUMBER(FIND("IMPVOL",J$1)),_xll.BDH(config!$G$4,J$1,WORKDAY($A730,-1,config_Holiday_Calendar_US),WORKDAY($A730,-1,config_Holiday_Calendar_US)),IF(ISNUMBER(_xll.BDH(config!$G$4,J$1,$A730,$A730)),_xll.BDH(config!$G$4,J$1,$A730,$A730),_xll.BDH(config!$G$5,J$1,$A730,$A730))))</f>
        <v/>
      </c>
      <c r="K730" s="8" t="str">
        <f>IF($A730="","",IF(ISNUMBER(FIND("IMPVOL",K$1)),_xll.BDH(config!$G$4,K$1,WORKDAY($A730,-1,config_Holiday_Calendar_US),WORKDAY($A730,-1,config_Holiday_Calendar_US)),IF(ISNUMBER(_xll.BDH(config!$G$4,K$1,$A730,$A730)),_xll.BDH(config!$G$4,K$1,$A730,$A730),_xll.BDH(config!$G$5,K$1,$A730,$A730))))</f>
        <v/>
      </c>
      <c r="L730" s="8" t="str">
        <f>IF($A730="","",IF(ISNUMBER(FIND("IMPVOL",L$1)),_xll.BDH(config!$G$4,L$1,WORKDAY($A730,-1,config_Holiday_Calendar_US),WORKDAY($A730,-1,config_Holiday_Calendar_US)),IF(ISNUMBER(_xll.BDH(config!$G$4,L$1,$A730,$A730)),_xll.BDH(config!$G$4,L$1,$A730,$A730),_xll.BDH(config!$G$5,L$1,$A730,$A730))))</f>
        <v/>
      </c>
      <c r="M730" s="8" t="str">
        <f>IF($A730="","",IF(ISNUMBER(FIND("IMPVOL",M$1)),_xll.BDH(config!$G$4,M$1,WORKDAY($A730,-1,config_Holiday_Calendar_US),WORKDAY($A730,-1,config_Holiday_Calendar_US)),IF(ISNUMBER(_xll.BDH(config!$G$4,M$1,$A730,$A730)),_xll.BDH(config!$G$4,M$1,$A730,$A730),_xll.BDH(config!$G$5,M$1,$A730,$A730))))</f>
        <v/>
      </c>
      <c r="N730" s="8" t="str">
        <f>IF($A730="","",IF(ISNUMBER(FIND("IMPVOL",N$1)),_xll.BDH(config!$G$4,N$1,WORKDAY($A730,-1,config_Holiday_Calendar_US),WORKDAY($A730,-1,config_Holiday_Calendar_US)),IF(ISNUMBER(_xll.BDH(config!$G$4,N$1,$A730,$A730)),_xll.BDH(config!$G$4,N$1,$A730,$A730),_xll.BDH(config!$G$5,N$1,$A730,$A730))))</f>
        <v/>
      </c>
      <c r="O730" s="8" t="str">
        <f>IF($A730="","",IF(ISNUMBER(FIND("IMPVOL",O$1)),_xll.BDH(config!$G$4,O$1,WORKDAY($A730,-1,config_Holiday_Calendar_US),WORKDAY($A730,-1,config_Holiday_Calendar_US)),IF(ISNUMBER(_xll.BDH(config!$G$4,O$1,$A730,$A730)),_xll.BDH(config!$G$4,O$1,$A730,$A730),_xll.BDH(config!$G$5,O$1,$A730,$A730))))</f>
        <v/>
      </c>
      <c r="P730" s="8" t="str">
        <f>IF($A730="","",IF(ISNUMBER(FIND("IMPVOL",P$1)),_xll.BDH(config!$G$4,P$1,WORKDAY($A730,-1,config_Holiday_Calendar_US),WORKDAY($A730,-1,config_Holiday_Calendar_US)),IF(ISNUMBER(_xll.BDH(config!$G$4,P$1,$A730,$A730)),_xll.BDH(config!$G$4,P$1,$A730,$A730),_xll.BDH(config!$G$5,P$1,$A730,$A730))))</f>
        <v/>
      </c>
      <c r="Q730" s="8" t="str">
        <f>IF($A730="","",IF(ISNUMBER(FIND("IMPVOL",Q$1)),_xll.BDH(config!$G$4,Q$1,WORKDAY($A730,-1,config_Holiday_Calendar_US),WORKDAY($A730,-1,config_Holiday_Calendar_US)),IF(ISNUMBER(_xll.BDH(config!$G$4,Q$1,$A730,$A730)),_xll.BDH(config!$G$4,Q$1,$A730,$A730),_xll.BDH(config!$G$5,Q$1,$A730,$A730))))</f>
        <v/>
      </c>
      <c r="R730" s="8" t="str">
        <f>IF($A730="","",IF(ISNUMBER(FIND("IMPVOL",R$1)),_xll.BDH(config!$G$4,R$1,WORKDAY($A730,-1,config_Holiday_Calendar_US),WORKDAY($A730,-1,config_Holiday_Calendar_US)),IF(ISNUMBER(_xll.BDH(config!$G$4,R$1,$A730,$A730)),_xll.BDH(config!$G$4,R$1,$A730,$A730),_xll.BDH(config!$G$5,R$1,$A730,$A730))))</f>
        <v/>
      </c>
      <c r="S730" s="8" t="str">
        <f>IF($A730="","",IF(ISNUMBER(FIND("IMPVOL",S$1)),_xll.BDH(config!$G$4,S$1,WORKDAY($A730,-1,config_Holiday_Calendar_US),WORKDAY($A730,-1,config_Holiday_Calendar_US)),IF(ISNUMBER(_xll.BDH(config!$G$4,S$1,$A730,$A730)),_xll.BDH(config!$G$4,S$1,$A730,$A730),_xll.BDH(config!$G$5,S$1,$A730,$A730))))</f>
        <v/>
      </c>
      <c r="T730" s="8" t="str">
        <f>IF($A730="","",IF(ISNUMBER(FIND("IMPVOL",T$1)),_xll.BDH(config!$G$4,T$1,WORKDAY($A730,-1,config_Holiday_Calendar_US),WORKDAY($A730,-1,config_Holiday_Calendar_US)),IF(ISNUMBER(_xll.BDH(config!$G$4,T$1,$A730,$A730)),_xll.BDH(config!$G$4,T$1,$A730,$A730),_xll.BDH(config!$G$5,T$1,$A730,$A730))))</f>
        <v/>
      </c>
      <c r="U730" s="8" t="str">
        <f>IF($A730="","",IF(ISNUMBER(FIND("IMPVOL",U$1)),_xll.BDH(config!$G$4,U$1,WORKDAY($A730,-1,config_Holiday_Calendar_US),WORKDAY($A730,-1,config_Holiday_Calendar_US)),IF(ISNUMBER(_xll.BDH(config!$G$4,U$1,$A730,$A730)),_xll.BDH(config!$G$4,U$1,$A730,$A730),_xll.BDH(config!$G$5,U$1,$A730,$A730))))</f>
        <v/>
      </c>
      <c r="V730" s="8" t="str">
        <f>IF($A730="","",IF(ISNUMBER(FIND("IMPVOL",V$1)),_xll.BDH(config!$G$4,V$1,WORKDAY($A730,-1,config_Holiday_Calendar_US),WORKDAY($A730,-1,config_Holiday_Calendar_US)),IF(ISNUMBER(_xll.BDH(config!$G$4,V$1,$A730,$A730)),_xll.BDH(config!$G$4,V$1,$A730,$A730),_xll.BDH(config!$G$5,V$1,$A730,$A730))))</f>
        <v/>
      </c>
      <c r="W730" s="8" t="str">
        <f>IF($A730="","",IF(ISNUMBER(FIND("IMPVOL",W$1)),_xll.BDH(config!$G$4,W$1,WORKDAY($A730,-1,config_Holiday_Calendar_US),WORKDAY($A730,-1,config_Holiday_Calendar_US)),IF(ISNUMBER(_xll.BDH(config!$G$4,W$1,$A730,$A730)),_xll.BDH(config!$G$4,W$1,$A730,$A730),_xll.BDH(config!$G$5,W$1,$A730,$A730))))</f>
        <v/>
      </c>
    </row>
    <row r="731" spans="1:23" x14ac:dyDescent="0.2">
      <c r="A731" s="9" t="str">
        <f>IF(A730="","",IF(WORKDAY(A730,-1,config_Holiday_Calendar_US)&lt;config!$I$10,"",WORKDAY(A730,-1,config_Holiday_Calendar_US)))</f>
        <v/>
      </c>
      <c r="B731" s="8" t="str">
        <f t="shared" si="11"/>
        <v/>
      </c>
      <c r="C731" s="8" t="str">
        <f>IF(A731="","",_xll.BDH(config!$H$4,C$1,$A731,$A731))</f>
        <v/>
      </c>
      <c r="D731" s="8" t="str">
        <f>IF($A731="","",_xll.BDH(config!$H$4,D$1,$A731,$A731))</f>
        <v/>
      </c>
      <c r="E731" s="8" t="str">
        <f>IF($A731="","",IF(ISNUMBER(FIND("IMPVOL",E$1)),_xll.BDH(config!$G$4,E$1,WORKDAY($A731,-1,config_Holiday_Calendar_US),WORKDAY($A731,-1,config_Holiday_Calendar_US)),IF(ISNUMBER(_xll.BDH(config!$G$4,E$1,$A731,$A731)),_xll.BDH(config!$G$4,E$1,$A731,$A731),_xll.BDH(config!$G$5,E$1,$A731,$A731))))</f>
        <v/>
      </c>
      <c r="F731" s="8" t="str">
        <f>IF($A731="","",IF(ISNUMBER(FIND("IMPVOL",F$1)),_xll.BDH(config!$G$4,F$1,WORKDAY($A731,-1,config_Holiday_Calendar_US),WORKDAY($A731,-1,config_Holiday_Calendar_US)),IF(ISNUMBER(_xll.BDH(config!$G$4,F$1,$A731,$A731)),_xll.BDH(config!$G$4,F$1,$A731,$A731),_xll.BDH(config!$G$5,F$1,$A731,$A731))))</f>
        <v/>
      </c>
      <c r="G731" s="8" t="str">
        <f>IF($A731="","",IF(ISNUMBER(FIND("IMPVOL",G$1)),_xll.BDH(config!$G$4,G$1,WORKDAY($A731,-1,config_Holiday_Calendar_US),WORKDAY($A731,-1,config_Holiday_Calendar_US)),IF(ISNUMBER(_xll.BDH(config!$G$4,G$1,$A731,$A731)),_xll.BDH(config!$G$4,G$1,$A731,$A731),_xll.BDH(config!$G$5,G$1,$A731,$A731))))</f>
        <v/>
      </c>
      <c r="H731" s="8" t="str">
        <f>IF($A731="","",IF(ISNUMBER(FIND("IMPVOL",H$1)),_xll.BDH(config!$G$4,H$1,WORKDAY($A731,-1,config_Holiday_Calendar_US),WORKDAY($A731,-1,config_Holiday_Calendar_US)),IF(ISNUMBER(_xll.BDH(config!$G$4,H$1,$A731,$A731)),_xll.BDH(config!$G$4,H$1,$A731,$A731),_xll.BDH(config!$G$5,H$1,$A731,$A731))))</f>
        <v/>
      </c>
      <c r="I731" s="8" t="str">
        <f>IF($A731="","",IF(ISNUMBER(FIND("IMPVOL",I$1)),_xll.BDH(config!$G$4,I$1,WORKDAY($A731,-1,config_Holiday_Calendar_US),WORKDAY($A731,-1,config_Holiday_Calendar_US)),IF(ISNUMBER(_xll.BDH(config!$G$4,I$1,$A731,$A731)),_xll.BDH(config!$G$4,I$1,$A731,$A731),_xll.BDH(config!$G$5,I$1,$A731,$A731))))</f>
        <v/>
      </c>
      <c r="J731" s="8" t="str">
        <f>IF($A731="","",IF(ISNUMBER(FIND("IMPVOL",J$1)),_xll.BDH(config!$G$4,J$1,WORKDAY($A731,-1,config_Holiday_Calendar_US),WORKDAY($A731,-1,config_Holiday_Calendar_US)),IF(ISNUMBER(_xll.BDH(config!$G$4,J$1,$A731,$A731)),_xll.BDH(config!$G$4,J$1,$A731,$A731),_xll.BDH(config!$G$5,J$1,$A731,$A731))))</f>
        <v/>
      </c>
      <c r="K731" s="8" t="str">
        <f>IF($A731="","",IF(ISNUMBER(FIND("IMPVOL",K$1)),_xll.BDH(config!$G$4,K$1,WORKDAY($A731,-1,config_Holiday_Calendar_US),WORKDAY($A731,-1,config_Holiday_Calendar_US)),IF(ISNUMBER(_xll.BDH(config!$G$4,K$1,$A731,$A731)),_xll.BDH(config!$G$4,K$1,$A731,$A731),_xll.BDH(config!$G$5,K$1,$A731,$A731))))</f>
        <v/>
      </c>
      <c r="L731" s="8" t="str">
        <f>IF($A731="","",IF(ISNUMBER(FIND("IMPVOL",L$1)),_xll.BDH(config!$G$4,L$1,WORKDAY($A731,-1,config_Holiday_Calendar_US),WORKDAY($A731,-1,config_Holiday_Calendar_US)),IF(ISNUMBER(_xll.BDH(config!$G$4,L$1,$A731,$A731)),_xll.BDH(config!$G$4,L$1,$A731,$A731),_xll.BDH(config!$G$5,L$1,$A731,$A731))))</f>
        <v/>
      </c>
      <c r="M731" s="8" t="str">
        <f>IF($A731="","",IF(ISNUMBER(FIND("IMPVOL",M$1)),_xll.BDH(config!$G$4,M$1,WORKDAY($A731,-1,config_Holiday_Calendar_US),WORKDAY($A731,-1,config_Holiday_Calendar_US)),IF(ISNUMBER(_xll.BDH(config!$G$4,M$1,$A731,$A731)),_xll.BDH(config!$G$4,M$1,$A731,$A731),_xll.BDH(config!$G$5,M$1,$A731,$A731))))</f>
        <v/>
      </c>
      <c r="N731" s="8" t="str">
        <f>IF($A731="","",IF(ISNUMBER(FIND("IMPVOL",N$1)),_xll.BDH(config!$G$4,N$1,WORKDAY($A731,-1,config_Holiday_Calendar_US),WORKDAY($A731,-1,config_Holiday_Calendar_US)),IF(ISNUMBER(_xll.BDH(config!$G$4,N$1,$A731,$A731)),_xll.BDH(config!$G$4,N$1,$A731,$A731),_xll.BDH(config!$G$5,N$1,$A731,$A731))))</f>
        <v/>
      </c>
      <c r="O731" s="8" t="str">
        <f>IF($A731="","",IF(ISNUMBER(FIND("IMPVOL",O$1)),_xll.BDH(config!$G$4,O$1,WORKDAY($A731,-1,config_Holiday_Calendar_US),WORKDAY($A731,-1,config_Holiday_Calendar_US)),IF(ISNUMBER(_xll.BDH(config!$G$4,O$1,$A731,$A731)),_xll.BDH(config!$G$4,O$1,$A731,$A731),_xll.BDH(config!$G$5,O$1,$A731,$A731))))</f>
        <v/>
      </c>
      <c r="P731" s="8" t="str">
        <f>IF($A731="","",IF(ISNUMBER(FIND("IMPVOL",P$1)),_xll.BDH(config!$G$4,P$1,WORKDAY($A731,-1,config_Holiday_Calendar_US),WORKDAY($A731,-1,config_Holiday_Calendar_US)),IF(ISNUMBER(_xll.BDH(config!$G$4,P$1,$A731,$A731)),_xll.BDH(config!$G$4,P$1,$A731,$A731),_xll.BDH(config!$G$5,P$1,$A731,$A731))))</f>
        <v/>
      </c>
      <c r="Q731" s="8" t="str">
        <f>IF($A731="","",IF(ISNUMBER(FIND("IMPVOL",Q$1)),_xll.BDH(config!$G$4,Q$1,WORKDAY($A731,-1,config_Holiday_Calendar_US),WORKDAY($A731,-1,config_Holiday_Calendar_US)),IF(ISNUMBER(_xll.BDH(config!$G$4,Q$1,$A731,$A731)),_xll.BDH(config!$G$4,Q$1,$A731,$A731),_xll.BDH(config!$G$5,Q$1,$A731,$A731))))</f>
        <v/>
      </c>
      <c r="R731" s="8" t="str">
        <f>IF($A731="","",IF(ISNUMBER(FIND("IMPVOL",R$1)),_xll.BDH(config!$G$4,R$1,WORKDAY($A731,-1,config_Holiday_Calendar_US),WORKDAY($A731,-1,config_Holiday_Calendar_US)),IF(ISNUMBER(_xll.BDH(config!$G$4,R$1,$A731,$A731)),_xll.BDH(config!$G$4,R$1,$A731,$A731),_xll.BDH(config!$G$5,R$1,$A731,$A731))))</f>
        <v/>
      </c>
      <c r="S731" s="8" t="str">
        <f>IF($A731="","",IF(ISNUMBER(FIND("IMPVOL",S$1)),_xll.BDH(config!$G$4,S$1,WORKDAY($A731,-1,config_Holiday_Calendar_US),WORKDAY($A731,-1,config_Holiday_Calendar_US)),IF(ISNUMBER(_xll.BDH(config!$G$4,S$1,$A731,$A731)),_xll.BDH(config!$G$4,S$1,$A731,$A731),_xll.BDH(config!$G$5,S$1,$A731,$A731))))</f>
        <v/>
      </c>
      <c r="T731" s="8" t="str">
        <f>IF($A731="","",IF(ISNUMBER(FIND("IMPVOL",T$1)),_xll.BDH(config!$G$4,T$1,WORKDAY($A731,-1,config_Holiday_Calendar_US),WORKDAY($A731,-1,config_Holiday_Calendar_US)),IF(ISNUMBER(_xll.BDH(config!$G$4,T$1,$A731,$A731)),_xll.BDH(config!$G$4,T$1,$A731,$A731),_xll.BDH(config!$G$5,T$1,$A731,$A731))))</f>
        <v/>
      </c>
      <c r="U731" s="8" t="str">
        <f>IF($A731="","",IF(ISNUMBER(FIND("IMPVOL",U$1)),_xll.BDH(config!$G$4,U$1,WORKDAY($A731,-1,config_Holiday_Calendar_US),WORKDAY($A731,-1,config_Holiday_Calendar_US)),IF(ISNUMBER(_xll.BDH(config!$G$4,U$1,$A731,$A731)),_xll.BDH(config!$G$4,U$1,$A731,$A731),_xll.BDH(config!$G$5,U$1,$A731,$A731))))</f>
        <v/>
      </c>
      <c r="V731" s="8" t="str">
        <f>IF($A731="","",IF(ISNUMBER(FIND("IMPVOL",V$1)),_xll.BDH(config!$G$4,V$1,WORKDAY($A731,-1,config_Holiday_Calendar_US),WORKDAY($A731,-1,config_Holiday_Calendar_US)),IF(ISNUMBER(_xll.BDH(config!$G$4,V$1,$A731,$A731)),_xll.BDH(config!$G$4,V$1,$A731,$A731),_xll.BDH(config!$G$5,V$1,$A731,$A731))))</f>
        <v/>
      </c>
      <c r="W731" s="8" t="str">
        <f>IF($A731="","",IF(ISNUMBER(FIND("IMPVOL",W$1)),_xll.BDH(config!$G$4,W$1,WORKDAY($A731,-1,config_Holiday_Calendar_US),WORKDAY($A731,-1,config_Holiday_Calendar_US)),IF(ISNUMBER(_xll.BDH(config!$G$4,W$1,$A731,$A731)),_xll.BDH(config!$G$4,W$1,$A731,$A731),_xll.BDH(config!$G$5,W$1,$A731,$A731))))</f>
        <v/>
      </c>
    </row>
    <row r="732" spans="1:23" x14ac:dyDescent="0.2">
      <c r="A732" s="9" t="str">
        <f>IF(A731="","",IF(WORKDAY(A731,-1,config_Holiday_Calendar_US)&lt;config!$I$10,"",WORKDAY(A731,-1,config_Holiday_Calendar_US)))</f>
        <v/>
      </c>
      <c r="B732" s="8" t="str">
        <f t="shared" si="11"/>
        <v/>
      </c>
      <c r="C732" s="8" t="str">
        <f>IF(A732="","",_xll.BDH(config!$H$4,C$1,$A732,$A732))</f>
        <v/>
      </c>
      <c r="D732" s="8" t="str">
        <f>IF($A732="","",_xll.BDH(config!$H$4,D$1,$A732,$A732))</f>
        <v/>
      </c>
      <c r="E732" s="8" t="str">
        <f>IF($A732="","",IF(ISNUMBER(FIND("IMPVOL",E$1)),_xll.BDH(config!$G$4,E$1,WORKDAY($A732,-1,config_Holiday_Calendar_US),WORKDAY($A732,-1,config_Holiday_Calendar_US)),IF(ISNUMBER(_xll.BDH(config!$G$4,E$1,$A732,$A732)),_xll.BDH(config!$G$4,E$1,$A732,$A732),_xll.BDH(config!$G$5,E$1,$A732,$A732))))</f>
        <v/>
      </c>
      <c r="F732" s="8" t="str">
        <f>IF($A732="","",IF(ISNUMBER(FIND("IMPVOL",F$1)),_xll.BDH(config!$G$4,F$1,WORKDAY($A732,-1,config_Holiday_Calendar_US),WORKDAY($A732,-1,config_Holiday_Calendar_US)),IF(ISNUMBER(_xll.BDH(config!$G$4,F$1,$A732,$A732)),_xll.BDH(config!$G$4,F$1,$A732,$A732),_xll.BDH(config!$G$5,F$1,$A732,$A732))))</f>
        <v/>
      </c>
      <c r="G732" s="8" t="str">
        <f>IF($A732="","",IF(ISNUMBER(FIND("IMPVOL",G$1)),_xll.BDH(config!$G$4,G$1,WORKDAY($A732,-1,config_Holiday_Calendar_US),WORKDAY($A732,-1,config_Holiday_Calendar_US)),IF(ISNUMBER(_xll.BDH(config!$G$4,G$1,$A732,$A732)),_xll.BDH(config!$G$4,G$1,$A732,$A732),_xll.BDH(config!$G$5,G$1,$A732,$A732))))</f>
        <v/>
      </c>
      <c r="H732" s="8" t="str">
        <f>IF($A732="","",IF(ISNUMBER(FIND("IMPVOL",H$1)),_xll.BDH(config!$G$4,H$1,WORKDAY($A732,-1,config_Holiday_Calendar_US),WORKDAY($A732,-1,config_Holiday_Calendar_US)),IF(ISNUMBER(_xll.BDH(config!$G$4,H$1,$A732,$A732)),_xll.BDH(config!$G$4,H$1,$A732,$A732),_xll.BDH(config!$G$5,H$1,$A732,$A732))))</f>
        <v/>
      </c>
      <c r="I732" s="8" t="str">
        <f>IF($A732="","",IF(ISNUMBER(FIND("IMPVOL",I$1)),_xll.BDH(config!$G$4,I$1,WORKDAY($A732,-1,config_Holiday_Calendar_US),WORKDAY($A732,-1,config_Holiday_Calendar_US)),IF(ISNUMBER(_xll.BDH(config!$G$4,I$1,$A732,$A732)),_xll.BDH(config!$G$4,I$1,$A732,$A732),_xll.BDH(config!$G$5,I$1,$A732,$A732))))</f>
        <v/>
      </c>
      <c r="J732" s="8" t="str">
        <f>IF($A732="","",IF(ISNUMBER(FIND("IMPVOL",J$1)),_xll.BDH(config!$G$4,J$1,WORKDAY($A732,-1,config_Holiday_Calendar_US),WORKDAY($A732,-1,config_Holiday_Calendar_US)),IF(ISNUMBER(_xll.BDH(config!$G$4,J$1,$A732,$A732)),_xll.BDH(config!$G$4,J$1,$A732,$A732),_xll.BDH(config!$G$5,J$1,$A732,$A732))))</f>
        <v/>
      </c>
      <c r="K732" s="8" t="str">
        <f>IF($A732="","",IF(ISNUMBER(FIND("IMPVOL",K$1)),_xll.BDH(config!$G$4,K$1,WORKDAY($A732,-1,config_Holiday_Calendar_US),WORKDAY($A732,-1,config_Holiday_Calendar_US)),IF(ISNUMBER(_xll.BDH(config!$G$4,K$1,$A732,$A732)),_xll.BDH(config!$G$4,K$1,$A732,$A732),_xll.BDH(config!$G$5,K$1,$A732,$A732))))</f>
        <v/>
      </c>
      <c r="L732" s="8" t="str">
        <f>IF($A732="","",IF(ISNUMBER(FIND("IMPVOL",L$1)),_xll.BDH(config!$G$4,L$1,WORKDAY($A732,-1,config_Holiday_Calendar_US),WORKDAY($A732,-1,config_Holiday_Calendar_US)),IF(ISNUMBER(_xll.BDH(config!$G$4,L$1,$A732,$A732)),_xll.BDH(config!$G$4,L$1,$A732,$A732),_xll.BDH(config!$G$5,L$1,$A732,$A732))))</f>
        <v/>
      </c>
      <c r="M732" s="8" t="str">
        <f>IF($A732="","",IF(ISNUMBER(FIND("IMPVOL",M$1)),_xll.BDH(config!$G$4,M$1,WORKDAY($A732,-1,config_Holiday_Calendar_US),WORKDAY($A732,-1,config_Holiday_Calendar_US)),IF(ISNUMBER(_xll.BDH(config!$G$4,M$1,$A732,$A732)),_xll.BDH(config!$G$4,M$1,$A732,$A732),_xll.BDH(config!$G$5,M$1,$A732,$A732))))</f>
        <v/>
      </c>
      <c r="N732" s="8" t="str">
        <f>IF($A732="","",IF(ISNUMBER(FIND("IMPVOL",N$1)),_xll.BDH(config!$G$4,N$1,WORKDAY($A732,-1,config_Holiday_Calendar_US),WORKDAY($A732,-1,config_Holiday_Calendar_US)),IF(ISNUMBER(_xll.BDH(config!$G$4,N$1,$A732,$A732)),_xll.BDH(config!$G$4,N$1,$A732,$A732),_xll.BDH(config!$G$5,N$1,$A732,$A732))))</f>
        <v/>
      </c>
      <c r="O732" s="8" t="str">
        <f>IF($A732="","",IF(ISNUMBER(FIND("IMPVOL",O$1)),_xll.BDH(config!$G$4,O$1,WORKDAY($A732,-1,config_Holiday_Calendar_US),WORKDAY($A732,-1,config_Holiday_Calendar_US)),IF(ISNUMBER(_xll.BDH(config!$G$4,O$1,$A732,$A732)),_xll.BDH(config!$G$4,O$1,$A732,$A732),_xll.BDH(config!$G$5,O$1,$A732,$A732))))</f>
        <v/>
      </c>
      <c r="P732" s="8" t="str">
        <f>IF($A732="","",IF(ISNUMBER(FIND("IMPVOL",P$1)),_xll.BDH(config!$G$4,P$1,WORKDAY($A732,-1,config_Holiday_Calendar_US),WORKDAY($A732,-1,config_Holiday_Calendar_US)),IF(ISNUMBER(_xll.BDH(config!$G$4,P$1,$A732,$A732)),_xll.BDH(config!$G$4,P$1,$A732,$A732),_xll.BDH(config!$G$5,P$1,$A732,$A732))))</f>
        <v/>
      </c>
      <c r="Q732" s="8" t="str">
        <f>IF($A732="","",IF(ISNUMBER(FIND("IMPVOL",Q$1)),_xll.BDH(config!$G$4,Q$1,WORKDAY($A732,-1,config_Holiday_Calendar_US),WORKDAY($A732,-1,config_Holiday_Calendar_US)),IF(ISNUMBER(_xll.BDH(config!$G$4,Q$1,$A732,$A732)),_xll.BDH(config!$G$4,Q$1,$A732,$A732),_xll.BDH(config!$G$5,Q$1,$A732,$A732))))</f>
        <v/>
      </c>
      <c r="R732" s="8" t="str">
        <f>IF($A732="","",IF(ISNUMBER(FIND("IMPVOL",R$1)),_xll.BDH(config!$G$4,R$1,WORKDAY($A732,-1,config_Holiday_Calendar_US),WORKDAY($A732,-1,config_Holiday_Calendar_US)),IF(ISNUMBER(_xll.BDH(config!$G$4,R$1,$A732,$A732)),_xll.BDH(config!$G$4,R$1,$A732,$A732),_xll.BDH(config!$G$5,R$1,$A732,$A732))))</f>
        <v/>
      </c>
      <c r="S732" s="8" t="str">
        <f>IF($A732="","",IF(ISNUMBER(FIND("IMPVOL",S$1)),_xll.BDH(config!$G$4,S$1,WORKDAY($A732,-1,config_Holiday_Calendar_US),WORKDAY($A732,-1,config_Holiday_Calendar_US)),IF(ISNUMBER(_xll.BDH(config!$G$4,S$1,$A732,$A732)),_xll.BDH(config!$G$4,S$1,$A732,$A732),_xll.BDH(config!$G$5,S$1,$A732,$A732))))</f>
        <v/>
      </c>
      <c r="T732" s="8" t="str">
        <f>IF($A732="","",IF(ISNUMBER(FIND("IMPVOL",T$1)),_xll.BDH(config!$G$4,T$1,WORKDAY($A732,-1,config_Holiday_Calendar_US),WORKDAY($A732,-1,config_Holiday_Calendar_US)),IF(ISNUMBER(_xll.BDH(config!$G$4,T$1,$A732,$A732)),_xll.BDH(config!$G$4,T$1,$A732,$A732),_xll.BDH(config!$G$5,T$1,$A732,$A732))))</f>
        <v/>
      </c>
      <c r="U732" s="8" t="str">
        <f>IF($A732="","",IF(ISNUMBER(FIND("IMPVOL",U$1)),_xll.BDH(config!$G$4,U$1,WORKDAY($A732,-1,config_Holiday_Calendar_US),WORKDAY($A732,-1,config_Holiday_Calendar_US)),IF(ISNUMBER(_xll.BDH(config!$G$4,U$1,$A732,$A732)),_xll.BDH(config!$G$4,U$1,$A732,$A732),_xll.BDH(config!$G$5,U$1,$A732,$A732))))</f>
        <v/>
      </c>
      <c r="V732" s="8" t="str">
        <f>IF($A732="","",IF(ISNUMBER(FIND("IMPVOL",V$1)),_xll.BDH(config!$G$4,V$1,WORKDAY($A732,-1,config_Holiday_Calendar_US),WORKDAY($A732,-1,config_Holiday_Calendar_US)),IF(ISNUMBER(_xll.BDH(config!$G$4,V$1,$A732,$A732)),_xll.BDH(config!$G$4,V$1,$A732,$A732),_xll.BDH(config!$G$5,V$1,$A732,$A732))))</f>
        <v/>
      </c>
      <c r="W732" s="8" t="str">
        <f>IF($A732="","",IF(ISNUMBER(FIND("IMPVOL",W$1)),_xll.BDH(config!$G$4,W$1,WORKDAY($A732,-1,config_Holiday_Calendar_US),WORKDAY($A732,-1,config_Holiday_Calendar_US)),IF(ISNUMBER(_xll.BDH(config!$G$4,W$1,$A732,$A732)),_xll.BDH(config!$G$4,W$1,$A732,$A732),_xll.BDH(config!$G$5,W$1,$A732,$A732))))</f>
        <v/>
      </c>
    </row>
    <row r="733" spans="1:23" x14ac:dyDescent="0.2">
      <c r="A733" s="9" t="str">
        <f>IF(A732="","",IF(WORKDAY(A732,-1,config_Holiday_Calendar_US)&lt;config!$I$10,"",WORKDAY(A732,-1,config_Holiday_Calendar_US)))</f>
        <v/>
      </c>
      <c r="B733" s="8" t="str">
        <f t="shared" si="11"/>
        <v/>
      </c>
      <c r="C733" s="8" t="str">
        <f>IF(A733="","",_xll.BDH(config!$H$4,C$1,$A733,$A733))</f>
        <v/>
      </c>
      <c r="D733" s="8" t="str">
        <f>IF($A733="","",_xll.BDH(config!$H$4,D$1,$A733,$A733))</f>
        <v/>
      </c>
      <c r="E733" s="8" t="str">
        <f>IF($A733="","",IF(ISNUMBER(FIND("IMPVOL",E$1)),_xll.BDH(config!$G$4,E$1,WORKDAY($A733,-1,config_Holiday_Calendar_US),WORKDAY($A733,-1,config_Holiday_Calendar_US)),IF(ISNUMBER(_xll.BDH(config!$G$4,E$1,$A733,$A733)),_xll.BDH(config!$G$4,E$1,$A733,$A733),_xll.BDH(config!$G$5,E$1,$A733,$A733))))</f>
        <v/>
      </c>
      <c r="F733" s="8" t="str">
        <f>IF($A733="","",IF(ISNUMBER(FIND("IMPVOL",F$1)),_xll.BDH(config!$G$4,F$1,WORKDAY($A733,-1,config_Holiday_Calendar_US),WORKDAY($A733,-1,config_Holiday_Calendar_US)),IF(ISNUMBER(_xll.BDH(config!$G$4,F$1,$A733,$A733)),_xll.BDH(config!$G$4,F$1,$A733,$A733),_xll.BDH(config!$G$5,F$1,$A733,$A733))))</f>
        <v/>
      </c>
      <c r="G733" s="8" t="str">
        <f>IF($A733="","",IF(ISNUMBER(FIND("IMPVOL",G$1)),_xll.BDH(config!$G$4,G$1,WORKDAY($A733,-1,config_Holiday_Calendar_US),WORKDAY($A733,-1,config_Holiday_Calendar_US)),IF(ISNUMBER(_xll.BDH(config!$G$4,G$1,$A733,$A733)),_xll.BDH(config!$G$4,G$1,$A733,$A733),_xll.BDH(config!$G$5,G$1,$A733,$A733))))</f>
        <v/>
      </c>
      <c r="H733" s="8" t="str">
        <f>IF($A733="","",IF(ISNUMBER(FIND("IMPVOL",H$1)),_xll.BDH(config!$G$4,H$1,WORKDAY($A733,-1,config_Holiday_Calendar_US),WORKDAY($A733,-1,config_Holiday_Calendar_US)),IF(ISNUMBER(_xll.BDH(config!$G$4,H$1,$A733,$A733)),_xll.BDH(config!$G$4,H$1,$A733,$A733),_xll.BDH(config!$G$5,H$1,$A733,$A733))))</f>
        <v/>
      </c>
      <c r="I733" s="8" t="str">
        <f>IF($A733="","",IF(ISNUMBER(FIND("IMPVOL",I$1)),_xll.BDH(config!$G$4,I$1,WORKDAY($A733,-1,config_Holiday_Calendar_US),WORKDAY($A733,-1,config_Holiday_Calendar_US)),IF(ISNUMBER(_xll.BDH(config!$G$4,I$1,$A733,$A733)),_xll.BDH(config!$G$4,I$1,$A733,$A733),_xll.BDH(config!$G$5,I$1,$A733,$A733))))</f>
        <v/>
      </c>
      <c r="J733" s="8" t="str">
        <f>IF($A733="","",IF(ISNUMBER(FIND("IMPVOL",J$1)),_xll.BDH(config!$G$4,J$1,WORKDAY($A733,-1,config_Holiday_Calendar_US),WORKDAY($A733,-1,config_Holiday_Calendar_US)),IF(ISNUMBER(_xll.BDH(config!$G$4,J$1,$A733,$A733)),_xll.BDH(config!$G$4,J$1,$A733,$A733),_xll.BDH(config!$G$5,J$1,$A733,$A733))))</f>
        <v/>
      </c>
      <c r="K733" s="8" t="str">
        <f>IF($A733="","",IF(ISNUMBER(FIND("IMPVOL",K$1)),_xll.BDH(config!$G$4,K$1,WORKDAY($A733,-1,config_Holiday_Calendar_US),WORKDAY($A733,-1,config_Holiday_Calendar_US)),IF(ISNUMBER(_xll.BDH(config!$G$4,K$1,$A733,$A733)),_xll.BDH(config!$G$4,K$1,$A733,$A733),_xll.BDH(config!$G$5,K$1,$A733,$A733))))</f>
        <v/>
      </c>
      <c r="L733" s="8" t="str">
        <f>IF($A733="","",IF(ISNUMBER(FIND("IMPVOL",L$1)),_xll.BDH(config!$G$4,L$1,WORKDAY($A733,-1,config_Holiday_Calendar_US),WORKDAY($A733,-1,config_Holiday_Calendar_US)),IF(ISNUMBER(_xll.BDH(config!$G$4,L$1,$A733,$A733)),_xll.BDH(config!$G$4,L$1,$A733,$A733),_xll.BDH(config!$G$5,L$1,$A733,$A733))))</f>
        <v/>
      </c>
      <c r="M733" s="8" t="str">
        <f>IF($A733="","",IF(ISNUMBER(FIND("IMPVOL",M$1)),_xll.BDH(config!$G$4,M$1,WORKDAY($A733,-1,config_Holiday_Calendar_US),WORKDAY($A733,-1,config_Holiday_Calendar_US)),IF(ISNUMBER(_xll.BDH(config!$G$4,M$1,$A733,$A733)),_xll.BDH(config!$G$4,M$1,$A733,$A733),_xll.BDH(config!$G$5,M$1,$A733,$A733))))</f>
        <v/>
      </c>
      <c r="N733" s="8" t="str">
        <f>IF($A733="","",IF(ISNUMBER(FIND("IMPVOL",N$1)),_xll.BDH(config!$G$4,N$1,WORKDAY($A733,-1,config_Holiday_Calendar_US),WORKDAY($A733,-1,config_Holiday_Calendar_US)),IF(ISNUMBER(_xll.BDH(config!$G$4,N$1,$A733,$A733)),_xll.BDH(config!$G$4,N$1,$A733,$A733),_xll.BDH(config!$G$5,N$1,$A733,$A733))))</f>
        <v/>
      </c>
      <c r="O733" s="8" t="str">
        <f>IF($A733="","",IF(ISNUMBER(FIND("IMPVOL",O$1)),_xll.BDH(config!$G$4,O$1,WORKDAY($A733,-1,config_Holiday_Calendar_US),WORKDAY($A733,-1,config_Holiday_Calendar_US)),IF(ISNUMBER(_xll.BDH(config!$G$4,O$1,$A733,$A733)),_xll.BDH(config!$G$4,O$1,$A733,$A733),_xll.BDH(config!$G$5,O$1,$A733,$A733))))</f>
        <v/>
      </c>
      <c r="P733" s="8" t="str">
        <f>IF($A733="","",IF(ISNUMBER(FIND("IMPVOL",P$1)),_xll.BDH(config!$G$4,P$1,WORKDAY($A733,-1,config_Holiday_Calendar_US),WORKDAY($A733,-1,config_Holiday_Calendar_US)),IF(ISNUMBER(_xll.BDH(config!$G$4,P$1,$A733,$A733)),_xll.BDH(config!$G$4,P$1,$A733,$A733),_xll.BDH(config!$G$5,P$1,$A733,$A733))))</f>
        <v/>
      </c>
      <c r="Q733" s="8" t="str">
        <f>IF($A733="","",IF(ISNUMBER(FIND("IMPVOL",Q$1)),_xll.BDH(config!$G$4,Q$1,WORKDAY($A733,-1,config_Holiday_Calendar_US),WORKDAY($A733,-1,config_Holiday_Calendar_US)),IF(ISNUMBER(_xll.BDH(config!$G$4,Q$1,$A733,$A733)),_xll.BDH(config!$G$4,Q$1,$A733,$A733),_xll.BDH(config!$G$5,Q$1,$A733,$A733))))</f>
        <v/>
      </c>
      <c r="R733" s="8" t="str">
        <f>IF($A733="","",IF(ISNUMBER(FIND("IMPVOL",R$1)),_xll.BDH(config!$G$4,R$1,WORKDAY($A733,-1,config_Holiday_Calendar_US),WORKDAY($A733,-1,config_Holiday_Calendar_US)),IF(ISNUMBER(_xll.BDH(config!$G$4,R$1,$A733,$A733)),_xll.BDH(config!$G$4,R$1,$A733,$A733),_xll.BDH(config!$G$5,R$1,$A733,$A733))))</f>
        <v/>
      </c>
      <c r="S733" s="8" t="str">
        <f>IF($A733="","",IF(ISNUMBER(FIND("IMPVOL",S$1)),_xll.BDH(config!$G$4,S$1,WORKDAY($A733,-1,config_Holiday_Calendar_US),WORKDAY($A733,-1,config_Holiday_Calendar_US)),IF(ISNUMBER(_xll.BDH(config!$G$4,S$1,$A733,$A733)),_xll.BDH(config!$G$4,S$1,$A733,$A733),_xll.BDH(config!$G$5,S$1,$A733,$A733))))</f>
        <v/>
      </c>
      <c r="T733" s="8" t="str">
        <f>IF($A733="","",IF(ISNUMBER(FIND("IMPVOL",T$1)),_xll.BDH(config!$G$4,T$1,WORKDAY($A733,-1,config_Holiday_Calendar_US),WORKDAY($A733,-1,config_Holiday_Calendar_US)),IF(ISNUMBER(_xll.BDH(config!$G$4,T$1,$A733,$A733)),_xll.BDH(config!$G$4,T$1,$A733,$A733),_xll.BDH(config!$G$5,T$1,$A733,$A733))))</f>
        <v/>
      </c>
      <c r="U733" s="8" t="str">
        <f>IF($A733="","",IF(ISNUMBER(FIND("IMPVOL",U$1)),_xll.BDH(config!$G$4,U$1,WORKDAY($A733,-1,config_Holiday_Calendar_US),WORKDAY($A733,-1,config_Holiday_Calendar_US)),IF(ISNUMBER(_xll.BDH(config!$G$4,U$1,$A733,$A733)),_xll.BDH(config!$G$4,U$1,$A733,$A733),_xll.BDH(config!$G$5,U$1,$A733,$A733))))</f>
        <v/>
      </c>
      <c r="V733" s="8" t="str">
        <f>IF($A733="","",IF(ISNUMBER(FIND("IMPVOL",V$1)),_xll.BDH(config!$G$4,V$1,WORKDAY($A733,-1,config_Holiday_Calendar_US),WORKDAY($A733,-1,config_Holiday_Calendar_US)),IF(ISNUMBER(_xll.BDH(config!$G$4,V$1,$A733,$A733)),_xll.BDH(config!$G$4,V$1,$A733,$A733),_xll.BDH(config!$G$5,V$1,$A733,$A733))))</f>
        <v/>
      </c>
      <c r="W733" s="8" t="str">
        <f>IF($A733="","",IF(ISNUMBER(FIND("IMPVOL",W$1)),_xll.BDH(config!$G$4,W$1,WORKDAY($A733,-1,config_Holiday_Calendar_US),WORKDAY($A733,-1,config_Holiday_Calendar_US)),IF(ISNUMBER(_xll.BDH(config!$G$4,W$1,$A733,$A733)),_xll.BDH(config!$G$4,W$1,$A733,$A733),_xll.BDH(config!$G$5,W$1,$A733,$A733))))</f>
        <v/>
      </c>
    </row>
    <row r="734" spans="1:23" x14ac:dyDescent="0.2">
      <c r="A734" s="9" t="str">
        <f>IF(A733="","",IF(WORKDAY(A733,-1,config_Holiday_Calendar_US)&lt;config!$I$10,"",WORKDAY(A733,-1,config_Holiday_Calendar_US)))</f>
        <v/>
      </c>
      <c r="B734" s="8" t="str">
        <f t="shared" si="11"/>
        <v/>
      </c>
      <c r="C734" s="8" t="str">
        <f>IF(A734="","",_xll.BDH(config!$H$4,C$1,$A734,$A734))</f>
        <v/>
      </c>
      <c r="D734" s="8" t="str">
        <f>IF($A734="","",_xll.BDH(config!$H$4,D$1,$A734,$A734))</f>
        <v/>
      </c>
      <c r="E734" s="8" t="str">
        <f>IF($A734="","",IF(ISNUMBER(FIND("IMPVOL",E$1)),_xll.BDH(config!$G$4,E$1,WORKDAY($A734,-1,config_Holiday_Calendar_US),WORKDAY($A734,-1,config_Holiday_Calendar_US)),IF(ISNUMBER(_xll.BDH(config!$G$4,E$1,$A734,$A734)),_xll.BDH(config!$G$4,E$1,$A734,$A734),_xll.BDH(config!$G$5,E$1,$A734,$A734))))</f>
        <v/>
      </c>
      <c r="F734" s="8" t="str">
        <f>IF($A734="","",IF(ISNUMBER(FIND("IMPVOL",F$1)),_xll.BDH(config!$G$4,F$1,WORKDAY($A734,-1,config_Holiday_Calendar_US),WORKDAY($A734,-1,config_Holiday_Calendar_US)),IF(ISNUMBER(_xll.BDH(config!$G$4,F$1,$A734,$A734)),_xll.BDH(config!$G$4,F$1,$A734,$A734),_xll.BDH(config!$G$5,F$1,$A734,$A734))))</f>
        <v/>
      </c>
      <c r="G734" s="8" t="str">
        <f>IF($A734="","",IF(ISNUMBER(FIND("IMPVOL",G$1)),_xll.BDH(config!$G$4,G$1,WORKDAY($A734,-1,config_Holiday_Calendar_US),WORKDAY($A734,-1,config_Holiday_Calendar_US)),IF(ISNUMBER(_xll.BDH(config!$G$4,G$1,$A734,$A734)),_xll.BDH(config!$G$4,G$1,$A734,$A734),_xll.BDH(config!$G$5,G$1,$A734,$A734))))</f>
        <v/>
      </c>
      <c r="H734" s="8" t="str">
        <f>IF($A734="","",IF(ISNUMBER(FIND("IMPVOL",H$1)),_xll.BDH(config!$G$4,H$1,WORKDAY($A734,-1,config_Holiday_Calendar_US),WORKDAY($A734,-1,config_Holiday_Calendar_US)),IF(ISNUMBER(_xll.BDH(config!$G$4,H$1,$A734,$A734)),_xll.BDH(config!$G$4,H$1,$A734,$A734),_xll.BDH(config!$G$5,H$1,$A734,$A734))))</f>
        <v/>
      </c>
      <c r="I734" s="8" t="str">
        <f>IF($A734="","",IF(ISNUMBER(FIND("IMPVOL",I$1)),_xll.BDH(config!$G$4,I$1,WORKDAY($A734,-1,config_Holiday_Calendar_US),WORKDAY($A734,-1,config_Holiday_Calendar_US)),IF(ISNUMBER(_xll.BDH(config!$G$4,I$1,$A734,$A734)),_xll.BDH(config!$G$4,I$1,$A734,$A734),_xll.BDH(config!$G$5,I$1,$A734,$A734))))</f>
        <v/>
      </c>
      <c r="J734" s="8" t="str">
        <f>IF($A734="","",IF(ISNUMBER(FIND("IMPVOL",J$1)),_xll.BDH(config!$G$4,J$1,WORKDAY($A734,-1,config_Holiday_Calendar_US),WORKDAY($A734,-1,config_Holiday_Calendar_US)),IF(ISNUMBER(_xll.BDH(config!$G$4,J$1,$A734,$A734)),_xll.BDH(config!$G$4,J$1,$A734,$A734),_xll.BDH(config!$G$5,J$1,$A734,$A734))))</f>
        <v/>
      </c>
      <c r="K734" s="8" t="str">
        <f>IF($A734="","",IF(ISNUMBER(FIND("IMPVOL",K$1)),_xll.BDH(config!$G$4,K$1,WORKDAY($A734,-1,config_Holiday_Calendar_US),WORKDAY($A734,-1,config_Holiday_Calendar_US)),IF(ISNUMBER(_xll.BDH(config!$G$4,K$1,$A734,$A734)),_xll.BDH(config!$G$4,K$1,$A734,$A734),_xll.BDH(config!$G$5,K$1,$A734,$A734))))</f>
        <v/>
      </c>
      <c r="L734" s="8" t="str">
        <f>IF($A734="","",IF(ISNUMBER(FIND("IMPVOL",L$1)),_xll.BDH(config!$G$4,L$1,WORKDAY($A734,-1,config_Holiday_Calendar_US),WORKDAY($A734,-1,config_Holiday_Calendar_US)),IF(ISNUMBER(_xll.BDH(config!$G$4,L$1,$A734,$A734)),_xll.BDH(config!$G$4,L$1,$A734,$A734),_xll.BDH(config!$G$5,L$1,$A734,$A734))))</f>
        <v/>
      </c>
      <c r="M734" s="8" t="str">
        <f>IF($A734="","",IF(ISNUMBER(FIND("IMPVOL",M$1)),_xll.BDH(config!$G$4,M$1,WORKDAY($A734,-1,config_Holiday_Calendar_US),WORKDAY($A734,-1,config_Holiday_Calendar_US)),IF(ISNUMBER(_xll.BDH(config!$G$4,M$1,$A734,$A734)),_xll.BDH(config!$G$4,M$1,$A734,$A734),_xll.BDH(config!$G$5,M$1,$A734,$A734))))</f>
        <v/>
      </c>
      <c r="N734" s="8" t="str">
        <f>IF($A734="","",IF(ISNUMBER(FIND("IMPVOL",N$1)),_xll.BDH(config!$G$4,N$1,WORKDAY($A734,-1,config_Holiday_Calendar_US),WORKDAY($A734,-1,config_Holiday_Calendar_US)),IF(ISNUMBER(_xll.BDH(config!$G$4,N$1,$A734,$A734)),_xll.BDH(config!$G$4,N$1,$A734,$A734),_xll.BDH(config!$G$5,N$1,$A734,$A734))))</f>
        <v/>
      </c>
      <c r="O734" s="8" t="str">
        <f>IF($A734="","",IF(ISNUMBER(FIND("IMPVOL",O$1)),_xll.BDH(config!$G$4,O$1,WORKDAY($A734,-1,config_Holiday_Calendar_US),WORKDAY($A734,-1,config_Holiday_Calendar_US)),IF(ISNUMBER(_xll.BDH(config!$G$4,O$1,$A734,$A734)),_xll.BDH(config!$G$4,O$1,$A734,$A734),_xll.BDH(config!$G$5,O$1,$A734,$A734))))</f>
        <v/>
      </c>
      <c r="P734" s="8" t="str">
        <f>IF($A734="","",IF(ISNUMBER(FIND("IMPVOL",P$1)),_xll.BDH(config!$G$4,P$1,WORKDAY($A734,-1,config_Holiday_Calendar_US),WORKDAY($A734,-1,config_Holiday_Calendar_US)),IF(ISNUMBER(_xll.BDH(config!$G$4,P$1,$A734,$A734)),_xll.BDH(config!$G$4,P$1,$A734,$A734),_xll.BDH(config!$G$5,P$1,$A734,$A734))))</f>
        <v/>
      </c>
      <c r="Q734" s="8" t="str">
        <f>IF($A734="","",IF(ISNUMBER(FIND("IMPVOL",Q$1)),_xll.BDH(config!$G$4,Q$1,WORKDAY($A734,-1,config_Holiday_Calendar_US),WORKDAY($A734,-1,config_Holiday_Calendar_US)),IF(ISNUMBER(_xll.BDH(config!$G$4,Q$1,$A734,$A734)),_xll.BDH(config!$G$4,Q$1,$A734,$A734),_xll.BDH(config!$G$5,Q$1,$A734,$A734))))</f>
        <v/>
      </c>
      <c r="R734" s="8" t="str">
        <f>IF($A734="","",IF(ISNUMBER(FIND("IMPVOL",R$1)),_xll.BDH(config!$G$4,R$1,WORKDAY($A734,-1,config_Holiday_Calendar_US),WORKDAY($A734,-1,config_Holiday_Calendar_US)),IF(ISNUMBER(_xll.BDH(config!$G$4,R$1,$A734,$A734)),_xll.BDH(config!$G$4,R$1,$A734,$A734),_xll.BDH(config!$G$5,R$1,$A734,$A734))))</f>
        <v/>
      </c>
      <c r="S734" s="8" t="str">
        <f>IF($A734="","",IF(ISNUMBER(FIND("IMPVOL",S$1)),_xll.BDH(config!$G$4,S$1,WORKDAY($A734,-1,config_Holiday_Calendar_US),WORKDAY($A734,-1,config_Holiday_Calendar_US)),IF(ISNUMBER(_xll.BDH(config!$G$4,S$1,$A734,$A734)),_xll.BDH(config!$G$4,S$1,$A734,$A734),_xll.BDH(config!$G$5,S$1,$A734,$A734))))</f>
        <v/>
      </c>
      <c r="T734" s="8" t="str">
        <f>IF($A734="","",IF(ISNUMBER(FIND("IMPVOL",T$1)),_xll.BDH(config!$G$4,T$1,WORKDAY($A734,-1,config_Holiday_Calendar_US),WORKDAY($A734,-1,config_Holiday_Calendar_US)),IF(ISNUMBER(_xll.BDH(config!$G$4,T$1,$A734,$A734)),_xll.BDH(config!$G$4,T$1,$A734,$A734),_xll.BDH(config!$G$5,T$1,$A734,$A734))))</f>
        <v/>
      </c>
      <c r="U734" s="8" t="str">
        <f>IF($A734="","",IF(ISNUMBER(FIND("IMPVOL",U$1)),_xll.BDH(config!$G$4,U$1,WORKDAY($A734,-1,config_Holiday_Calendar_US),WORKDAY($A734,-1,config_Holiday_Calendar_US)),IF(ISNUMBER(_xll.BDH(config!$G$4,U$1,$A734,$A734)),_xll.BDH(config!$G$4,U$1,$A734,$A734),_xll.BDH(config!$G$5,U$1,$A734,$A734))))</f>
        <v/>
      </c>
      <c r="V734" s="8" t="str">
        <f>IF($A734="","",IF(ISNUMBER(FIND("IMPVOL",V$1)),_xll.BDH(config!$G$4,V$1,WORKDAY($A734,-1,config_Holiday_Calendar_US),WORKDAY($A734,-1,config_Holiday_Calendar_US)),IF(ISNUMBER(_xll.BDH(config!$G$4,V$1,$A734,$A734)),_xll.BDH(config!$G$4,V$1,$A734,$A734),_xll.BDH(config!$G$5,V$1,$A734,$A734))))</f>
        <v/>
      </c>
      <c r="W734" s="8" t="str">
        <f>IF($A734="","",IF(ISNUMBER(FIND("IMPVOL",W$1)),_xll.BDH(config!$G$4,W$1,WORKDAY($A734,-1,config_Holiday_Calendar_US),WORKDAY($A734,-1,config_Holiday_Calendar_US)),IF(ISNUMBER(_xll.BDH(config!$G$4,W$1,$A734,$A734)),_xll.BDH(config!$G$4,W$1,$A734,$A734),_xll.BDH(config!$G$5,W$1,$A734,$A734))))</f>
        <v/>
      </c>
    </row>
    <row r="735" spans="1:23" x14ac:dyDescent="0.2">
      <c r="A735" s="9" t="str">
        <f>IF(A734="","",IF(WORKDAY(A734,-1,config_Holiday_Calendar_US)&lt;config!$I$10,"",WORKDAY(A734,-1,config_Holiday_Calendar_US)))</f>
        <v/>
      </c>
      <c r="B735" s="8" t="str">
        <f t="shared" si="11"/>
        <v/>
      </c>
      <c r="C735" s="8" t="str">
        <f>IF(A735="","",_xll.BDH(config!$H$4,C$1,$A735,$A735))</f>
        <v/>
      </c>
      <c r="D735" s="8" t="str">
        <f>IF($A735="","",_xll.BDH(config!$H$4,D$1,$A735,$A735))</f>
        <v/>
      </c>
      <c r="E735" s="8" t="str">
        <f>IF($A735="","",IF(ISNUMBER(FIND("IMPVOL",E$1)),_xll.BDH(config!$G$4,E$1,WORKDAY($A735,-1,config_Holiday_Calendar_US),WORKDAY($A735,-1,config_Holiday_Calendar_US)),IF(ISNUMBER(_xll.BDH(config!$G$4,E$1,$A735,$A735)),_xll.BDH(config!$G$4,E$1,$A735,$A735),_xll.BDH(config!$G$5,E$1,$A735,$A735))))</f>
        <v/>
      </c>
      <c r="F735" s="8" t="str">
        <f>IF($A735="","",IF(ISNUMBER(FIND("IMPVOL",F$1)),_xll.BDH(config!$G$4,F$1,WORKDAY($A735,-1,config_Holiday_Calendar_US),WORKDAY($A735,-1,config_Holiday_Calendar_US)),IF(ISNUMBER(_xll.BDH(config!$G$4,F$1,$A735,$A735)),_xll.BDH(config!$G$4,F$1,$A735,$A735),_xll.BDH(config!$G$5,F$1,$A735,$A735))))</f>
        <v/>
      </c>
      <c r="G735" s="8" t="str">
        <f>IF($A735="","",IF(ISNUMBER(FIND("IMPVOL",G$1)),_xll.BDH(config!$G$4,G$1,WORKDAY($A735,-1,config_Holiday_Calendar_US),WORKDAY($A735,-1,config_Holiday_Calendar_US)),IF(ISNUMBER(_xll.BDH(config!$G$4,G$1,$A735,$A735)),_xll.BDH(config!$G$4,G$1,$A735,$A735),_xll.BDH(config!$G$5,G$1,$A735,$A735))))</f>
        <v/>
      </c>
      <c r="H735" s="8" t="str">
        <f>IF($A735="","",IF(ISNUMBER(FIND("IMPVOL",H$1)),_xll.BDH(config!$G$4,H$1,WORKDAY($A735,-1,config_Holiday_Calendar_US),WORKDAY($A735,-1,config_Holiday_Calendar_US)),IF(ISNUMBER(_xll.BDH(config!$G$4,H$1,$A735,$A735)),_xll.BDH(config!$G$4,H$1,$A735,$A735),_xll.BDH(config!$G$5,H$1,$A735,$A735))))</f>
        <v/>
      </c>
      <c r="I735" s="8" t="str">
        <f>IF($A735="","",IF(ISNUMBER(FIND("IMPVOL",I$1)),_xll.BDH(config!$G$4,I$1,WORKDAY($A735,-1,config_Holiday_Calendar_US),WORKDAY($A735,-1,config_Holiday_Calendar_US)),IF(ISNUMBER(_xll.BDH(config!$G$4,I$1,$A735,$A735)),_xll.BDH(config!$G$4,I$1,$A735,$A735),_xll.BDH(config!$G$5,I$1,$A735,$A735))))</f>
        <v/>
      </c>
      <c r="J735" s="8" t="str">
        <f>IF($A735="","",IF(ISNUMBER(FIND("IMPVOL",J$1)),_xll.BDH(config!$G$4,J$1,WORKDAY($A735,-1,config_Holiday_Calendar_US),WORKDAY($A735,-1,config_Holiday_Calendar_US)),IF(ISNUMBER(_xll.BDH(config!$G$4,J$1,$A735,$A735)),_xll.BDH(config!$G$4,J$1,$A735,$A735),_xll.BDH(config!$G$5,J$1,$A735,$A735))))</f>
        <v/>
      </c>
      <c r="K735" s="8" t="str">
        <f>IF($A735="","",IF(ISNUMBER(FIND("IMPVOL",K$1)),_xll.BDH(config!$G$4,K$1,WORKDAY($A735,-1,config_Holiday_Calendar_US),WORKDAY($A735,-1,config_Holiday_Calendar_US)),IF(ISNUMBER(_xll.BDH(config!$G$4,K$1,$A735,$A735)),_xll.BDH(config!$G$4,K$1,$A735,$A735),_xll.BDH(config!$G$5,K$1,$A735,$A735))))</f>
        <v/>
      </c>
      <c r="L735" s="8" t="str">
        <f>IF($A735="","",IF(ISNUMBER(FIND("IMPVOL",L$1)),_xll.BDH(config!$G$4,L$1,WORKDAY($A735,-1,config_Holiday_Calendar_US),WORKDAY($A735,-1,config_Holiday_Calendar_US)),IF(ISNUMBER(_xll.BDH(config!$G$4,L$1,$A735,$A735)),_xll.BDH(config!$G$4,L$1,$A735,$A735),_xll.BDH(config!$G$5,L$1,$A735,$A735))))</f>
        <v/>
      </c>
      <c r="M735" s="8" t="str">
        <f>IF($A735="","",IF(ISNUMBER(FIND("IMPVOL",M$1)),_xll.BDH(config!$G$4,M$1,WORKDAY($A735,-1,config_Holiday_Calendar_US),WORKDAY($A735,-1,config_Holiday_Calendar_US)),IF(ISNUMBER(_xll.BDH(config!$G$4,M$1,$A735,$A735)),_xll.BDH(config!$G$4,M$1,$A735,$A735),_xll.BDH(config!$G$5,M$1,$A735,$A735))))</f>
        <v/>
      </c>
      <c r="N735" s="8" t="str">
        <f>IF($A735="","",IF(ISNUMBER(FIND("IMPVOL",N$1)),_xll.BDH(config!$G$4,N$1,WORKDAY($A735,-1,config_Holiday_Calendar_US),WORKDAY($A735,-1,config_Holiday_Calendar_US)),IF(ISNUMBER(_xll.BDH(config!$G$4,N$1,$A735,$A735)),_xll.BDH(config!$G$4,N$1,$A735,$A735),_xll.BDH(config!$G$5,N$1,$A735,$A735))))</f>
        <v/>
      </c>
      <c r="O735" s="8" t="str">
        <f>IF($A735="","",IF(ISNUMBER(FIND("IMPVOL",O$1)),_xll.BDH(config!$G$4,O$1,WORKDAY($A735,-1,config_Holiday_Calendar_US),WORKDAY($A735,-1,config_Holiday_Calendar_US)),IF(ISNUMBER(_xll.BDH(config!$G$4,O$1,$A735,$A735)),_xll.BDH(config!$G$4,O$1,$A735,$A735),_xll.BDH(config!$G$5,O$1,$A735,$A735))))</f>
        <v/>
      </c>
      <c r="P735" s="8" t="str">
        <f>IF($A735="","",IF(ISNUMBER(FIND("IMPVOL",P$1)),_xll.BDH(config!$G$4,P$1,WORKDAY($A735,-1,config_Holiday_Calendar_US),WORKDAY($A735,-1,config_Holiday_Calendar_US)),IF(ISNUMBER(_xll.BDH(config!$G$4,P$1,$A735,$A735)),_xll.BDH(config!$G$4,P$1,$A735,$A735),_xll.BDH(config!$G$5,P$1,$A735,$A735))))</f>
        <v/>
      </c>
      <c r="Q735" s="8" t="str">
        <f>IF($A735="","",IF(ISNUMBER(FIND("IMPVOL",Q$1)),_xll.BDH(config!$G$4,Q$1,WORKDAY($A735,-1,config_Holiday_Calendar_US),WORKDAY($A735,-1,config_Holiday_Calendar_US)),IF(ISNUMBER(_xll.BDH(config!$G$4,Q$1,$A735,$A735)),_xll.BDH(config!$G$4,Q$1,$A735,$A735),_xll.BDH(config!$G$5,Q$1,$A735,$A735))))</f>
        <v/>
      </c>
      <c r="R735" s="8" t="str">
        <f>IF($A735="","",IF(ISNUMBER(FIND("IMPVOL",R$1)),_xll.BDH(config!$G$4,R$1,WORKDAY($A735,-1,config_Holiday_Calendar_US),WORKDAY($A735,-1,config_Holiday_Calendar_US)),IF(ISNUMBER(_xll.BDH(config!$G$4,R$1,$A735,$A735)),_xll.BDH(config!$G$4,R$1,$A735,$A735),_xll.BDH(config!$G$5,R$1,$A735,$A735))))</f>
        <v/>
      </c>
      <c r="S735" s="8" t="str">
        <f>IF($A735="","",IF(ISNUMBER(FIND("IMPVOL",S$1)),_xll.BDH(config!$G$4,S$1,WORKDAY($A735,-1,config_Holiday_Calendar_US),WORKDAY($A735,-1,config_Holiday_Calendar_US)),IF(ISNUMBER(_xll.BDH(config!$G$4,S$1,$A735,$A735)),_xll.BDH(config!$G$4,S$1,$A735,$A735),_xll.BDH(config!$G$5,S$1,$A735,$A735))))</f>
        <v/>
      </c>
      <c r="T735" s="8" t="str">
        <f>IF($A735="","",IF(ISNUMBER(FIND("IMPVOL",T$1)),_xll.BDH(config!$G$4,T$1,WORKDAY($A735,-1,config_Holiday_Calendar_US),WORKDAY($A735,-1,config_Holiday_Calendar_US)),IF(ISNUMBER(_xll.BDH(config!$G$4,T$1,$A735,$A735)),_xll.BDH(config!$G$4,T$1,$A735,$A735),_xll.BDH(config!$G$5,T$1,$A735,$A735))))</f>
        <v/>
      </c>
      <c r="U735" s="8" t="str">
        <f>IF($A735="","",IF(ISNUMBER(FIND("IMPVOL",U$1)),_xll.BDH(config!$G$4,U$1,WORKDAY($A735,-1,config_Holiday_Calendar_US),WORKDAY($A735,-1,config_Holiday_Calendar_US)),IF(ISNUMBER(_xll.BDH(config!$G$4,U$1,$A735,$A735)),_xll.BDH(config!$G$4,U$1,$A735,$A735),_xll.BDH(config!$G$5,U$1,$A735,$A735))))</f>
        <v/>
      </c>
      <c r="V735" s="8" t="str">
        <f>IF($A735="","",IF(ISNUMBER(FIND("IMPVOL",V$1)),_xll.BDH(config!$G$4,V$1,WORKDAY($A735,-1,config_Holiday_Calendar_US),WORKDAY($A735,-1,config_Holiday_Calendar_US)),IF(ISNUMBER(_xll.BDH(config!$G$4,V$1,$A735,$A735)),_xll.BDH(config!$G$4,V$1,$A735,$A735),_xll.BDH(config!$G$5,V$1,$A735,$A735))))</f>
        <v/>
      </c>
      <c r="W735" s="8" t="str">
        <f>IF($A735="","",IF(ISNUMBER(FIND("IMPVOL",W$1)),_xll.BDH(config!$G$4,W$1,WORKDAY($A735,-1,config_Holiday_Calendar_US),WORKDAY($A735,-1,config_Holiday_Calendar_US)),IF(ISNUMBER(_xll.BDH(config!$G$4,W$1,$A735,$A735)),_xll.BDH(config!$G$4,W$1,$A735,$A735),_xll.BDH(config!$G$5,W$1,$A735,$A735))))</f>
        <v/>
      </c>
    </row>
    <row r="736" spans="1:23" x14ac:dyDescent="0.2">
      <c r="A736" s="9" t="str">
        <f>IF(A735="","",IF(WORKDAY(A735,-1,config_Holiday_Calendar_US)&lt;config!$I$10,"",WORKDAY(A735,-1,config_Holiday_Calendar_US)))</f>
        <v/>
      </c>
      <c r="B736" s="8" t="str">
        <f t="shared" si="11"/>
        <v/>
      </c>
      <c r="C736" s="8" t="str">
        <f>IF(A736="","",_xll.BDH(config!$H$4,C$1,$A736,$A736))</f>
        <v/>
      </c>
      <c r="D736" s="8" t="str">
        <f>IF($A736="","",_xll.BDH(config!$H$4,D$1,$A736,$A736))</f>
        <v/>
      </c>
      <c r="E736" s="8" t="str">
        <f>IF($A736="","",IF(ISNUMBER(FIND("IMPVOL",E$1)),_xll.BDH(config!$G$4,E$1,WORKDAY($A736,-1,config_Holiday_Calendar_US),WORKDAY($A736,-1,config_Holiday_Calendar_US)),IF(ISNUMBER(_xll.BDH(config!$G$4,E$1,$A736,$A736)),_xll.BDH(config!$G$4,E$1,$A736,$A736),_xll.BDH(config!$G$5,E$1,$A736,$A736))))</f>
        <v/>
      </c>
      <c r="F736" s="8" t="str">
        <f>IF($A736="","",IF(ISNUMBER(FIND("IMPVOL",F$1)),_xll.BDH(config!$G$4,F$1,WORKDAY($A736,-1,config_Holiday_Calendar_US),WORKDAY($A736,-1,config_Holiday_Calendar_US)),IF(ISNUMBER(_xll.BDH(config!$G$4,F$1,$A736,$A736)),_xll.BDH(config!$G$4,F$1,$A736,$A736),_xll.BDH(config!$G$5,F$1,$A736,$A736))))</f>
        <v/>
      </c>
      <c r="G736" s="8" t="str">
        <f>IF($A736="","",IF(ISNUMBER(FIND("IMPVOL",G$1)),_xll.BDH(config!$G$4,G$1,WORKDAY($A736,-1,config_Holiday_Calendar_US),WORKDAY($A736,-1,config_Holiday_Calendar_US)),IF(ISNUMBER(_xll.BDH(config!$G$4,G$1,$A736,$A736)),_xll.BDH(config!$G$4,G$1,$A736,$A736),_xll.BDH(config!$G$5,G$1,$A736,$A736))))</f>
        <v/>
      </c>
      <c r="H736" s="8" t="str">
        <f>IF($A736="","",IF(ISNUMBER(FIND("IMPVOL",H$1)),_xll.BDH(config!$G$4,H$1,WORKDAY($A736,-1,config_Holiday_Calendar_US),WORKDAY($A736,-1,config_Holiday_Calendar_US)),IF(ISNUMBER(_xll.BDH(config!$G$4,H$1,$A736,$A736)),_xll.BDH(config!$G$4,H$1,$A736,$A736),_xll.BDH(config!$G$5,H$1,$A736,$A736))))</f>
        <v/>
      </c>
      <c r="I736" s="8" t="str">
        <f>IF($A736="","",IF(ISNUMBER(FIND("IMPVOL",I$1)),_xll.BDH(config!$G$4,I$1,WORKDAY($A736,-1,config_Holiday_Calendar_US),WORKDAY($A736,-1,config_Holiday_Calendar_US)),IF(ISNUMBER(_xll.BDH(config!$G$4,I$1,$A736,$A736)),_xll.BDH(config!$G$4,I$1,$A736,$A736),_xll.BDH(config!$G$5,I$1,$A736,$A736))))</f>
        <v/>
      </c>
      <c r="J736" s="8" t="str">
        <f>IF($A736="","",IF(ISNUMBER(FIND("IMPVOL",J$1)),_xll.BDH(config!$G$4,J$1,WORKDAY($A736,-1,config_Holiday_Calendar_US),WORKDAY($A736,-1,config_Holiday_Calendar_US)),IF(ISNUMBER(_xll.BDH(config!$G$4,J$1,$A736,$A736)),_xll.BDH(config!$G$4,J$1,$A736,$A736),_xll.BDH(config!$G$5,J$1,$A736,$A736))))</f>
        <v/>
      </c>
      <c r="K736" s="8" t="str">
        <f>IF($A736="","",IF(ISNUMBER(FIND("IMPVOL",K$1)),_xll.BDH(config!$G$4,K$1,WORKDAY($A736,-1,config_Holiday_Calendar_US),WORKDAY($A736,-1,config_Holiday_Calendar_US)),IF(ISNUMBER(_xll.BDH(config!$G$4,K$1,$A736,$A736)),_xll.BDH(config!$G$4,K$1,$A736,$A736),_xll.BDH(config!$G$5,K$1,$A736,$A736))))</f>
        <v/>
      </c>
      <c r="L736" s="8" t="str">
        <f>IF($A736="","",IF(ISNUMBER(FIND("IMPVOL",L$1)),_xll.BDH(config!$G$4,L$1,WORKDAY($A736,-1,config_Holiday_Calendar_US),WORKDAY($A736,-1,config_Holiday_Calendar_US)),IF(ISNUMBER(_xll.BDH(config!$G$4,L$1,$A736,$A736)),_xll.BDH(config!$G$4,L$1,$A736,$A736),_xll.BDH(config!$G$5,L$1,$A736,$A736))))</f>
        <v/>
      </c>
      <c r="M736" s="8" t="str">
        <f>IF($A736="","",IF(ISNUMBER(FIND("IMPVOL",M$1)),_xll.BDH(config!$G$4,M$1,WORKDAY($A736,-1,config_Holiday_Calendar_US),WORKDAY($A736,-1,config_Holiday_Calendar_US)),IF(ISNUMBER(_xll.BDH(config!$G$4,M$1,$A736,$A736)),_xll.BDH(config!$G$4,M$1,$A736,$A736),_xll.BDH(config!$G$5,M$1,$A736,$A736))))</f>
        <v/>
      </c>
      <c r="N736" s="8" t="str">
        <f>IF($A736="","",IF(ISNUMBER(FIND("IMPVOL",N$1)),_xll.BDH(config!$G$4,N$1,WORKDAY($A736,-1,config_Holiday_Calendar_US),WORKDAY($A736,-1,config_Holiday_Calendar_US)),IF(ISNUMBER(_xll.BDH(config!$G$4,N$1,$A736,$A736)),_xll.BDH(config!$G$4,N$1,$A736,$A736),_xll.BDH(config!$G$5,N$1,$A736,$A736))))</f>
        <v/>
      </c>
      <c r="O736" s="8" t="str">
        <f>IF($A736="","",IF(ISNUMBER(FIND("IMPVOL",O$1)),_xll.BDH(config!$G$4,O$1,WORKDAY($A736,-1,config_Holiday_Calendar_US),WORKDAY($A736,-1,config_Holiday_Calendar_US)),IF(ISNUMBER(_xll.BDH(config!$G$4,O$1,$A736,$A736)),_xll.BDH(config!$G$4,O$1,$A736,$A736),_xll.BDH(config!$G$5,O$1,$A736,$A736))))</f>
        <v/>
      </c>
      <c r="P736" s="8" t="str">
        <f>IF($A736="","",IF(ISNUMBER(FIND("IMPVOL",P$1)),_xll.BDH(config!$G$4,P$1,WORKDAY($A736,-1,config_Holiday_Calendar_US),WORKDAY($A736,-1,config_Holiday_Calendar_US)),IF(ISNUMBER(_xll.BDH(config!$G$4,P$1,$A736,$A736)),_xll.BDH(config!$G$4,P$1,$A736,$A736),_xll.BDH(config!$G$5,P$1,$A736,$A736))))</f>
        <v/>
      </c>
      <c r="Q736" s="8" t="str">
        <f>IF($A736="","",IF(ISNUMBER(FIND("IMPVOL",Q$1)),_xll.BDH(config!$G$4,Q$1,WORKDAY($A736,-1,config_Holiday_Calendar_US),WORKDAY($A736,-1,config_Holiday_Calendar_US)),IF(ISNUMBER(_xll.BDH(config!$G$4,Q$1,$A736,$A736)),_xll.BDH(config!$G$4,Q$1,$A736,$A736),_xll.BDH(config!$G$5,Q$1,$A736,$A736))))</f>
        <v/>
      </c>
      <c r="R736" s="8" t="str">
        <f>IF($A736="","",IF(ISNUMBER(FIND("IMPVOL",R$1)),_xll.BDH(config!$G$4,R$1,WORKDAY($A736,-1,config_Holiday_Calendar_US),WORKDAY($A736,-1,config_Holiday_Calendar_US)),IF(ISNUMBER(_xll.BDH(config!$G$4,R$1,$A736,$A736)),_xll.BDH(config!$G$4,R$1,$A736,$A736),_xll.BDH(config!$G$5,R$1,$A736,$A736))))</f>
        <v/>
      </c>
      <c r="S736" s="8" t="str">
        <f>IF($A736="","",IF(ISNUMBER(FIND("IMPVOL",S$1)),_xll.BDH(config!$G$4,S$1,WORKDAY($A736,-1,config_Holiday_Calendar_US),WORKDAY($A736,-1,config_Holiday_Calendar_US)),IF(ISNUMBER(_xll.BDH(config!$G$4,S$1,$A736,$A736)),_xll.BDH(config!$G$4,S$1,$A736,$A736),_xll.BDH(config!$G$5,S$1,$A736,$A736))))</f>
        <v/>
      </c>
      <c r="T736" s="8" t="str">
        <f>IF($A736="","",IF(ISNUMBER(FIND("IMPVOL",T$1)),_xll.BDH(config!$G$4,T$1,WORKDAY($A736,-1,config_Holiday_Calendar_US),WORKDAY($A736,-1,config_Holiday_Calendar_US)),IF(ISNUMBER(_xll.BDH(config!$G$4,T$1,$A736,$A736)),_xll.BDH(config!$G$4,T$1,$A736,$A736),_xll.BDH(config!$G$5,T$1,$A736,$A736))))</f>
        <v/>
      </c>
      <c r="U736" s="8" t="str">
        <f>IF($A736="","",IF(ISNUMBER(FIND("IMPVOL",U$1)),_xll.BDH(config!$G$4,U$1,WORKDAY($A736,-1,config_Holiday_Calendar_US),WORKDAY($A736,-1,config_Holiday_Calendar_US)),IF(ISNUMBER(_xll.BDH(config!$G$4,U$1,$A736,$A736)),_xll.BDH(config!$G$4,U$1,$A736,$A736),_xll.BDH(config!$G$5,U$1,$A736,$A736))))</f>
        <v/>
      </c>
      <c r="V736" s="8" t="str">
        <f>IF($A736="","",IF(ISNUMBER(FIND("IMPVOL",V$1)),_xll.BDH(config!$G$4,V$1,WORKDAY($A736,-1,config_Holiday_Calendar_US),WORKDAY($A736,-1,config_Holiday_Calendar_US)),IF(ISNUMBER(_xll.BDH(config!$G$4,V$1,$A736,$A736)),_xll.BDH(config!$G$4,V$1,$A736,$A736),_xll.BDH(config!$G$5,V$1,$A736,$A736))))</f>
        <v/>
      </c>
      <c r="W736" s="8" t="str">
        <f>IF($A736="","",IF(ISNUMBER(FIND("IMPVOL",W$1)),_xll.BDH(config!$G$4,W$1,WORKDAY($A736,-1,config_Holiday_Calendar_US),WORKDAY($A736,-1,config_Holiday_Calendar_US)),IF(ISNUMBER(_xll.BDH(config!$G$4,W$1,$A736,$A736)),_xll.BDH(config!$G$4,W$1,$A736,$A736),_xll.BDH(config!$G$5,W$1,$A736,$A736))))</f>
        <v/>
      </c>
    </row>
    <row r="737" spans="1:23" x14ac:dyDescent="0.2">
      <c r="A737" s="9" t="str">
        <f>IF(A736="","",IF(WORKDAY(A736,-1,config_Holiday_Calendar_US)&lt;config!$I$10,"",WORKDAY(A736,-1,config_Holiday_Calendar_US)))</f>
        <v/>
      </c>
      <c r="B737" s="8" t="str">
        <f t="shared" si="11"/>
        <v/>
      </c>
      <c r="C737" s="8" t="str">
        <f>IF(A737="","",_xll.BDH(config!$H$4,C$1,$A737,$A737))</f>
        <v/>
      </c>
      <c r="D737" s="8" t="str">
        <f>IF($A737="","",_xll.BDH(config!$H$4,D$1,$A737,$A737))</f>
        <v/>
      </c>
      <c r="E737" s="8" t="str">
        <f>IF($A737="","",IF(ISNUMBER(FIND("IMPVOL",E$1)),_xll.BDH(config!$G$4,E$1,WORKDAY($A737,-1,config_Holiday_Calendar_US),WORKDAY($A737,-1,config_Holiday_Calendar_US)),IF(ISNUMBER(_xll.BDH(config!$G$4,E$1,$A737,$A737)),_xll.BDH(config!$G$4,E$1,$A737,$A737),_xll.BDH(config!$G$5,E$1,$A737,$A737))))</f>
        <v/>
      </c>
      <c r="F737" s="8" t="str">
        <f>IF($A737="","",IF(ISNUMBER(FIND("IMPVOL",F$1)),_xll.BDH(config!$G$4,F$1,WORKDAY($A737,-1,config_Holiday_Calendar_US),WORKDAY($A737,-1,config_Holiday_Calendar_US)),IF(ISNUMBER(_xll.BDH(config!$G$4,F$1,$A737,$A737)),_xll.BDH(config!$G$4,F$1,$A737,$A737),_xll.BDH(config!$G$5,F$1,$A737,$A737))))</f>
        <v/>
      </c>
      <c r="G737" s="8" t="str">
        <f>IF($A737="","",IF(ISNUMBER(FIND("IMPVOL",G$1)),_xll.BDH(config!$G$4,G$1,WORKDAY($A737,-1,config_Holiday_Calendar_US),WORKDAY($A737,-1,config_Holiday_Calendar_US)),IF(ISNUMBER(_xll.BDH(config!$G$4,G$1,$A737,$A737)),_xll.BDH(config!$G$4,G$1,$A737,$A737),_xll.BDH(config!$G$5,G$1,$A737,$A737))))</f>
        <v/>
      </c>
      <c r="H737" s="8" t="str">
        <f>IF($A737="","",IF(ISNUMBER(FIND("IMPVOL",H$1)),_xll.BDH(config!$G$4,H$1,WORKDAY($A737,-1,config_Holiday_Calendar_US),WORKDAY($A737,-1,config_Holiday_Calendar_US)),IF(ISNUMBER(_xll.BDH(config!$G$4,H$1,$A737,$A737)),_xll.BDH(config!$G$4,H$1,$A737,$A737),_xll.BDH(config!$G$5,H$1,$A737,$A737))))</f>
        <v/>
      </c>
      <c r="I737" s="8" t="str">
        <f>IF($A737="","",IF(ISNUMBER(FIND("IMPVOL",I$1)),_xll.BDH(config!$G$4,I$1,WORKDAY($A737,-1,config_Holiday_Calendar_US),WORKDAY($A737,-1,config_Holiday_Calendar_US)),IF(ISNUMBER(_xll.BDH(config!$G$4,I$1,$A737,$A737)),_xll.BDH(config!$G$4,I$1,$A737,$A737),_xll.BDH(config!$G$5,I$1,$A737,$A737))))</f>
        <v/>
      </c>
      <c r="J737" s="8" t="str">
        <f>IF($A737="","",IF(ISNUMBER(FIND("IMPVOL",J$1)),_xll.BDH(config!$G$4,J$1,WORKDAY($A737,-1,config_Holiday_Calendar_US),WORKDAY($A737,-1,config_Holiday_Calendar_US)),IF(ISNUMBER(_xll.BDH(config!$G$4,J$1,$A737,$A737)),_xll.BDH(config!$G$4,J$1,$A737,$A737),_xll.BDH(config!$G$5,J$1,$A737,$A737))))</f>
        <v/>
      </c>
      <c r="K737" s="8" t="str">
        <f>IF($A737="","",IF(ISNUMBER(FIND("IMPVOL",K$1)),_xll.BDH(config!$G$4,K$1,WORKDAY($A737,-1,config_Holiday_Calendar_US),WORKDAY($A737,-1,config_Holiday_Calendar_US)),IF(ISNUMBER(_xll.BDH(config!$G$4,K$1,$A737,$A737)),_xll.BDH(config!$G$4,K$1,$A737,$A737),_xll.BDH(config!$G$5,K$1,$A737,$A737))))</f>
        <v/>
      </c>
      <c r="L737" s="8" t="str">
        <f>IF($A737="","",IF(ISNUMBER(FIND("IMPVOL",L$1)),_xll.BDH(config!$G$4,L$1,WORKDAY($A737,-1,config_Holiday_Calendar_US),WORKDAY($A737,-1,config_Holiday_Calendar_US)),IF(ISNUMBER(_xll.BDH(config!$G$4,L$1,$A737,$A737)),_xll.BDH(config!$G$4,L$1,$A737,$A737),_xll.BDH(config!$G$5,L$1,$A737,$A737))))</f>
        <v/>
      </c>
      <c r="M737" s="8" t="str">
        <f>IF($A737="","",IF(ISNUMBER(FIND("IMPVOL",M$1)),_xll.BDH(config!$G$4,M$1,WORKDAY($A737,-1,config_Holiday_Calendar_US),WORKDAY($A737,-1,config_Holiday_Calendar_US)),IF(ISNUMBER(_xll.BDH(config!$G$4,M$1,$A737,$A737)),_xll.BDH(config!$G$4,M$1,$A737,$A737),_xll.BDH(config!$G$5,M$1,$A737,$A737))))</f>
        <v/>
      </c>
      <c r="N737" s="8" t="str">
        <f>IF($A737="","",IF(ISNUMBER(FIND("IMPVOL",N$1)),_xll.BDH(config!$G$4,N$1,WORKDAY($A737,-1,config_Holiday_Calendar_US),WORKDAY($A737,-1,config_Holiday_Calendar_US)),IF(ISNUMBER(_xll.BDH(config!$G$4,N$1,$A737,$A737)),_xll.BDH(config!$G$4,N$1,$A737,$A737),_xll.BDH(config!$G$5,N$1,$A737,$A737))))</f>
        <v/>
      </c>
      <c r="O737" s="8" t="str">
        <f>IF($A737="","",IF(ISNUMBER(FIND("IMPVOL",O$1)),_xll.BDH(config!$G$4,O$1,WORKDAY($A737,-1,config_Holiday_Calendar_US),WORKDAY($A737,-1,config_Holiday_Calendar_US)),IF(ISNUMBER(_xll.BDH(config!$G$4,O$1,$A737,$A737)),_xll.BDH(config!$G$4,O$1,$A737,$A737),_xll.BDH(config!$G$5,O$1,$A737,$A737))))</f>
        <v/>
      </c>
      <c r="P737" s="8" t="str">
        <f>IF($A737="","",IF(ISNUMBER(FIND("IMPVOL",P$1)),_xll.BDH(config!$G$4,P$1,WORKDAY($A737,-1,config_Holiday_Calendar_US),WORKDAY($A737,-1,config_Holiday_Calendar_US)),IF(ISNUMBER(_xll.BDH(config!$G$4,P$1,$A737,$A737)),_xll.BDH(config!$G$4,P$1,$A737,$A737),_xll.BDH(config!$G$5,P$1,$A737,$A737))))</f>
        <v/>
      </c>
      <c r="Q737" s="8" t="str">
        <f>IF($A737="","",IF(ISNUMBER(FIND("IMPVOL",Q$1)),_xll.BDH(config!$G$4,Q$1,WORKDAY($A737,-1,config_Holiday_Calendar_US),WORKDAY($A737,-1,config_Holiday_Calendar_US)),IF(ISNUMBER(_xll.BDH(config!$G$4,Q$1,$A737,$A737)),_xll.BDH(config!$G$4,Q$1,$A737,$A737),_xll.BDH(config!$G$5,Q$1,$A737,$A737))))</f>
        <v/>
      </c>
      <c r="R737" s="8" t="str">
        <f>IF($A737="","",IF(ISNUMBER(FIND("IMPVOL",R$1)),_xll.BDH(config!$G$4,R$1,WORKDAY($A737,-1,config_Holiday_Calendar_US),WORKDAY($A737,-1,config_Holiday_Calendar_US)),IF(ISNUMBER(_xll.BDH(config!$G$4,R$1,$A737,$A737)),_xll.BDH(config!$G$4,R$1,$A737,$A737),_xll.BDH(config!$G$5,R$1,$A737,$A737))))</f>
        <v/>
      </c>
      <c r="S737" s="8" t="str">
        <f>IF($A737="","",IF(ISNUMBER(FIND("IMPVOL",S$1)),_xll.BDH(config!$G$4,S$1,WORKDAY($A737,-1,config_Holiday_Calendar_US),WORKDAY($A737,-1,config_Holiday_Calendar_US)),IF(ISNUMBER(_xll.BDH(config!$G$4,S$1,$A737,$A737)),_xll.BDH(config!$G$4,S$1,$A737,$A737),_xll.BDH(config!$G$5,S$1,$A737,$A737))))</f>
        <v/>
      </c>
      <c r="T737" s="8" t="str">
        <f>IF($A737="","",IF(ISNUMBER(FIND("IMPVOL",T$1)),_xll.BDH(config!$G$4,T$1,WORKDAY($A737,-1,config_Holiday_Calendar_US),WORKDAY($A737,-1,config_Holiday_Calendar_US)),IF(ISNUMBER(_xll.BDH(config!$G$4,T$1,$A737,$A737)),_xll.BDH(config!$G$4,T$1,$A737,$A737),_xll.BDH(config!$G$5,T$1,$A737,$A737))))</f>
        <v/>
      </c>
      <c r="U737" s="8" t="str">
        <f>IF($A737="","",IF(ISNUMBER(FIND("IMPVOL",U$1)),_xll.BDH(config!$G$4,U$1,WORKDAY($A737,-1,config_Holiday_Calendar_US),WORKDAY($A737,-1,config_Holiday_Calendar_US)),IF(ISNUMBER(_xll.BDH(config!$G$4,U$1,$A737,$A737)),_xll.BDH(config!$G$4,U$1,$A737,$A737),_xll.BDH(config!$G$5,U$1,$A737,$A737))))</f>
        <v/>
      </c>
      <c r="V737" s="8" t="str">
        <f>IF($A737="","",IF(ISNUMBER(FIND("IMPVOL",V$1)),_xll.BDH(config!$G$4,V$1,WORKDAY($A737,-1,config_Holiday_Calendar_US),WORKDAY($A737,-1,config_Holiday_Calendar_US)),IF(ISNUMBER(_xll.BDH(config!$G$4,V$1,$A737,$A737)),_xll.BDH(config!$G$4,V$1,$A737,$A737),_xll.BDH(config!$G$5,V$1,$A737,$A737))))</f>
        <v/>
      </c>
      <c r="W737" s="8" t="str">
        <f>IF($A737="","",IF(ISNUMBER(FIND("IMPVOL",W$1)),_xll.BDH(config!$G$4,W$1,WORKDAY($A737,-1,config_Holiday_Calendar_US),WORKDAY($A737,-1,config_Holiday_Calendar_US)),IF(ISNUMBER(_xll.BDH(config!$G$4,W$1,$A737,$A737)),_xll.BDH(config!$G$4,W$1,$A737,$A737),_xll.BDH(config!$G$5,W$1,$A737,$A737))))</f>
        <v/>
      </c>
    </row>
    <row r="738" spans="1:23" x14ac:dyDescent="0.2">
      <c r="A738" s="9" t="str">
        <f>IF(A737="","",IF(WORKDAY(A737,-1,config_Holiday_Calendar_US)&lt;config!$I$10,"",WORKDAY(A737,-1,config_Holiday_Calendar_US)))</f>
        <v/>
      </c>
      <c r="B738" s="8" t="str">
        <f t="shared" si="11"/>
        <v/>
      </c>
      <c r="C738" s="8" t="str">
        <f>IF(A738="","",_xll.BDH(config!$H$4,C$1,$A738,$A738))</f>
        <v/>
      </c>
      <c r="D738" s="8" t="str">
        <f>IF($A738="","",_xll.BDH(config!$H$4,D$1,$A738,$A738))</f>
        <v/>
      </c>
      <c r="E738" s="8" t="str">
        <f>IF($A738="","",IF(ISNUMBER(FIND("IMPVOL",E$1)),_xll.BDH(config!$G$4,E$1,WORKDAY($A738,-1,config_Holiday_Calendar_US),WORKDAY($A738,-1,config_Holiday_Calendar_US)),IF(ISNUMBER(_xll.BDH(config!$G$4,E$1,$A738,$A738)),_xll.BDH(config!$G$4,E$1,$A738,$A738),_xll.BDH(config!$G$5,E$1,$A738,$A738))))</f>
        <v/>
      </c>
      <c r="F738" s="8" t="str">
        <f>IF($A738="","",IF(ISNUMBER(FIND("IMPVOL",F$1)),_xll.BDH(config!$G$4,F$1,WORKDAY($A738,-1,config_Holiday_Calendar_US),WORKDAY($A738,-1,config_Holiday_Calendar_US)),IF(ISNUMBER(_xll.BDH(config!$G$4,F$1,$A738,$A738)),_xll.BDH(config!$G$4,F$1,$A738,$A738),_xll.BDH(config!$G$5,F$1,$A738,$A738))))</f>
        <v/>
      </c>
      <c r="G738" s="8" t="str">
        <f>IF($A738="","",IF(ISNUMBER(FIND("IMPVOL",G$1)),_xll.BDH(config!$G$4,G$1,WORKDAY($A738,-1,config_Holiday_Calendar_US),WORKDAY($A738,-1,config_Holiday_Calendar_US)),IF(ISNUMBER(_xll.BDH(config!$G$4,G$1,$A738,$A738)),_xll.BDH(config!$G$4,G$1,$A738,$A738),_xll.BDH(config!$G$5,G$1,$A738,$A738))))</f>
        <v/>
      </c>
      <c r="H738" s="8" t="str">
        <f>IF($A738="","",IF(ISNUMBER(FIND("IMPVOL",H$1)),_xll.BDH(config!$G$4,H$1,WORKDAY($A738,-1,config_Holiday_Calendar_US),WORKDAY($A738,-1,config_Holiday_Calendar_US)),IF(ISNUMBER(_xll.BDH(config!$G$4,H$1,$A738,$A738)),_xll.BDH(config!$G$4,H$1,$A738,$A738),_xll.BDH(config!$G$5,H$1,$A738,$A738))))</f>
        <v/>
      </c>
      <c r="I738" s="8" t="str">
        <f>IF($A738="","",IF(ISNUMBER(FIND("IMPVOL",I$1)),_xll.BDH(config!$G$4,I$1,WORKDAY($A738,-1,config_Holiday_Calendar_US),WORKDAY($A738,-1,config_Holiday_Calendar_US)),IF(ISNUMBER(_xll.BDH(config!$G$4,I$1,$A738,$A738)),_xll.BDH(config!$G$4,I$1,$A738,$A738),_xll.BDH(config!$G$5,I$1,$A738,$A738))))</f>
        <v/>
      </c>
      <c r="J738" s="8" t="str">
        <f>IF($A738="","",IF(ISNUMBER(FIND("IMPVOL",J$1)),_xll.BDH(config!$G$4,J$1,WORKDAY($A738,-1,config_Holiday_Calendar_US),WORKDAY($A738,-1,config_Holiday_Calendar_US)),IF(ISNUMBER(_xll.BDH(config!$G$4,J$1,$A738,$A738)),_xll.BDH(config!$G$4,J$1,$A738,$A738),_xll.BDH(config!$G$5,J$1,$A738,$A738))))</f>
        <v/>
      </c>
      <c r="K738" s="8" t="str">
        <f>IF($A738="","",IF(ISNUMBER(FIND("IMPVOL",K$1)),_xll.BDH(config!$G$4,K$1,WORKDAY($A738,-1,config_Holiday_Calendar_US),WORKDAY($A738,-1,config_Holiday_Calendar_US)),IF(ISNUMBER(_xll.BDH(config!$G$4,K$1,$A738,$A738)),_xll.BDH(config!$G$4,K$1,$A738,$A738),_xll.BDH(config!$G$5,K$1,$A738,$A738))))</f>
        <v/>
      </c>
      <c r="L738" s="8" t="str">
        <f>IF($A738="","",IF(ISNUMBER(FIND("IMPVOL",L$1)),_xll.BDH(config!$G$4,L$1,WORKDAY($A738,-1,config_Holiday_Calendar_US),WORKDAY($A738,-1,config_Holiday_Calendar_US)),IF(ISNUMBER(_xll.BDH(config!$G$4,L$1,$A738,$A738)),_xll.BDH(config!$G$4,L$1,$A738,$A738),_xll.BDH(config!$G$5,L$1,$A738,$A738))))</f>
        <v/>
      </c>
      <c r="M738" s="8" t="str">
        <f>IF($A738="","",IF(ISNUMBER(FIND("IMPVOL",M$1)),_xll.BDH(config!$G$4,M$1,WORKDAY($A738,-1,config_Holiday_Calendar_US),WORKDAY($A738,-1,config_Holiday_Calendar_US)),IF(ISNUMBER(_xll.BDH(config!$G$4,M$1,$A738,$A738)),_xll.BDH(config!$G$4,M$1,$A738,$A738),_xll.BDH(config!$G$5,M$1,$A738,$A738))))</f>
        <v/>
      </c>
      <c r="N738" s="8" t="str">
        <f>IF($A738="","",IF(ISNUMBER(FIND("IMPVOL",N$1)),_xll.BDH(config!$G$4,N$1,WORKDAY($A738,-1,config_Holiday_Calendar_US),WORKDAY($A738,-1,config_Holiday_Calendar_US)),IF(ISNUMBER(_xll.BDH(config!$G$4,N$1,$A738,$A738)),_xll.BDH(config!$G$4,N$1,$A738,$A738),_xll.BDH(config!$G$5,N$1,$A738,$A738))))</f>
        <v/>
      </c>
      <c r="O738" s="8" t="str">
        <f>IF($A738="","",IF(ISNUMBER(FIND("IMPVOL",O$1)),_xll.BDH(config!$G$4,O$1,WORKDAY($A738,-1,config_Holiday_Calendar_US),WORKDAY($A738,-1,config_Holiday_Calendar_US)),IF(ISNUMBER(_xll.BDH(config!$G$4,O$1,$A738,$A738)),_xll.BDH(config!$G$4,O$1,$A738,$A738),_xll.BDH(config!$G$5,O$1,$A738,$A738))))</f>
        <v/>
      </c>
      <c r="P738" s="8" t="str">
        <f>IF($A738="","",IF(ISNUMBER(FIND("IMPVOL",P$1)),_xll.BDH(config!$G$4,P$1,WORKDAY($A738,-1,config_Holiday_Calendar_US),WORKDAY($A738,-1,config_Holiday_Calendar_US)),IF(ISNUMBER(_xll.BDH(config!$G$4,P$1,$A738,$A738)),_xll.BDH(config!$G$4,P$1,$A738,$A738),_xll.BDH(config!$G$5,P$1,$A738,$A738))))</f>
        <v/>
      </c>
      <c r="Q738" s="8" t="str">
        <f>IF($A738="","",IF(ISNUMBER(FIND("IMPVOL",Q$1)),_xll.BDH(config!$G$4,Q$1,WORKDAY($A738,-1,config_Holiday_Calendar_US),WORKDAY($A738,-1,config_Holiday_Calendar_US)),IF(ISNUMBER(_xll.BDH(config!$G$4,Q$1,$A738,$A738)),_xll.BDH(config!$G$4,Q$1,$A738,$A738),_xll.BDH(config!$G$5,Q$1,$A738,$A738))))</f>
        <v/>
      </c>
      <c r="R738" s="8" t="str">
        <f>IF($A738="","",IF(ISNUMBER(FIND("IMPVOL",R$1)),_xll.BDH(config!$G$4,R$1,WORKDAY($A738,-1,config_Holiday_Calendar_US),WORKDAY($A738,-1,config_Holiday_Calendar_US)),IF(ISNUMBER(_xll.BDH(config!$G$4,R$1,$A738,$A738)),_xll.BDH(config!$G$4,R$1,$A738,$A738),_xll.BDH(config!$G$5,R$1,$A738,$A738))))</f>
        <v/>
      </c>
      <c r="S738" s="8" t="str">
        <f>IF($A738="","",IF(ISNUMBER(FIND("IMPVOL",S$1)),_xll.BDH(config!$G$4,S$1,WORKDAY($A738,-1,config_Holiday_Calendar_US),WORKDAY($A738,-1,config_Holiday_Calendar_US)),IF(ISNUMBER(_xll.BDH(config!$G$4,S$1,$A738,$A738)),_xll.BDH(config!$G$4,S$1,$A738,$A738),_xll.BDH(config!$G$5,S$1,$A738,$A738))))</f>
        <v/>
      </c>
      <c r="T738" s="8" t="str">
        <f>IF($A738="","",IF(ISNUMBER(FIND("IMPVOL",T$1)),_xll.BDH(config!$G$4,T$1,WORKDAY($A738,-1,config_Holiday_Calendar_US),WORKDAY($A738,-1,config_Holiday_Calendar_US)),IF(ISNUMBER(_xll.BDH(config!$G$4,T$1,$A738,$A738)),_xll.BDH(config!$G$4,T$1,$A738,$A738),_xll.BDH(config!$G$5,T$1,$A738,$A738))))</f>
        <v/>
      </c>
      <c r="U738" s="8" t="str">
        <f>IF($A738="","",IF(ISNUMBER(FIND("IMPVOL",U$1)),_xll.BDH(config!$G$4,U$1,WORKDAY($A738,-1,config_Holiday_Calendar_US),WORKDAY($A738,-1,config_Holiday_Calendar_US)),IF(ISNUMBER(_xll.BDH(config!$G$4,U$1,$A738,$A738)),_xll.BDH(config!$G$4,U$1,$A738,$A738),_xll.BDH(config!$G$5,U$1,$A738,$A738))))</f>
        <v/>
      </c>
      <c r="V738" s="8" t="str">
        <f>IF($A738="","",IF(ISNUMBER(FIND("IMPVOL",V$1)),_xll.BDH(config!$G$4,V$1,WORKDAY($A738,-1,config_Holiday_Calendar_US),WORKDAY($A738,-1,config_Holiday_Calendar_US)),IF(ISNUMBER(_xll.BDH(config!$G$4,V$1,$A738,$A738)),_xll.BDH(config!$G$4,V$1,$A738,$A738),_xll.BDH(config!$G$5,V$1,$A738,$A738))))</f>
        <v/>
      </c>
      <c r="W738" s="8" t="str">
        <f>IF($A738="","",IF(ISNUMBER(FIND("IMPVOL",W$1)),_xll.BDH(config!$G$4,W$1,WORKDAY($A738,-1,config_Holiday_Calendar_US),WORKDAY($A738,-1,config_Holiday_Calendar_US)),IF(ISNUMBER(_xll.BDH(config!$G$4,W$1,$A738,$A738)),_xll.BDH(config!$G$4,W$1,$A738,$A738),_xll.BDH(config!$G$5,W$1,$A738,$A738))))</f>
        <v/>
      </c>
    </row>
    <row r="739" spans="1:23" x14ac:dyDescent="0.2">
      <c r="A739" s="9" t="str">
        <f>IF(A738="","",IF(WORKDAY(A738,-1,config_Holiday_Calendar_US)&lt;config!$I$10,"",WORKDAY(A738,-1,config_Holiday_Calendar_US)))</f>
        <v/>
      </c>
      <c r="B739" s="8" t="str">
        <f t="shared" si="11"/>
        <v/>
      </c>
      <c r="C739" s="8" t="str">
        <f>IF(A739="","",_xll.BDH(config!$H$4,C$1,$A739,$A739))</f>
        <v/>
      </c>
      <c r="D739" s="8" t="str">
        <f>IF($A739="","",_xll.BDH(config!$H$4,D$1,$A739,$A739))</f>
        <v/>
      </c>
      <c r="E739" s="8" t="str">
        <f>IF($A739="","",IF(ISNUMBER(FIND("IMPVOL",E$1)),_xll.BDH(config!$G$4,E$1,WORKDAY($A739,-1,config_Holiday_Calendar_US),WORKDAY($A739,-1,config_Holiday_Calendar_US)),IF(ISNUMBER(_xll.BDH(config!$G$4,E$1,$A739,$A739)),_xll.BDH(config!$G$4,E$1,$A739,$A739),_xll.BDH(config!$G$5,E$1,$A739,$A739))))</f>
        <v/>
      </c>
      <c r="F739" s="8" t="str">
        <f>IF($A739="","",IF(ISNUMBER(FIND("IMPVOL",F$1)),_xll.BDH(config!$G$4,F$1,WORKDAY($A739,-1,config_Holiday_Calendar_US),WORKDAY($A739,-1,config_Holiday_Calendar_US)),IF(ISNUMBER(_xll.BDH(config!$G$4,F$1,$A739,$A739)),_xll.BDH(config!$G$4,F$1,$A739,$A739),_xll.BDH(config!$G$5,F$1,$A739,$A739))))</f>
        <v/>
      </c>
      <c r="G739" s="8" t="str">
        <f>IF($A739="","",IF(ISNUMBER(FIND("IMPVOL",G$1)),_xll.BDH(config!$G$4,G$1,WORKDAY($A739,-1,config_Holiday_Calendar_US),WORKDAY($A739,-1,config_Holiday_Calendar_US)),IF(ISNUMBER(_xll.BDH(config!$G$4,G$1,$A739,$A739)),_xll.BDH(config!$G$4,G$1,$A739,$A739),_xll.BDH(config!$G$5,G$1,$A739,$A739))))</f>
        <v/>
      </c>
      <c r="H739" s="8" t="str">
        <f>IF($A739="","",IF(ISNUMBER(FIND("IMPVOL",H$1)),_xll.BDH(config!$G$4,H$1,WORKDAY($A739,-1,config_Holiday_Calendar_US),WORKDAY($A739,-1,config_Holiday_Calendar_US)),IF(ISNUMBER(_xll.BDH(config!$G$4,H$1,$A739,$A739)),_xll.BDH(config!$G$4,H$1,$A739,$A739),_xll.BDH(config!$G$5,H$1,$A739,$A739))))</f>
        <v/>
      </c>
      <c r="I739" s="8" t="str">
        <f>IF($A739="","",IF(ISNUMBER(FIND("IMPVOL",I$1)),_xll.BDH(config!$G$4,I$1,WORKDAY($A739,-1,config_Holiday_Calendar_US),WORKDAY($A739,-1,config_Holiday_Calendar_US)),IF(ISNUMBER(_xll.BDH(config!$G$4,I$1,$A739,$A739)),_xll.BDH(config!$G$4,I$1,$A739,$A739),_xll.BDH(config!$G$5,I$1,$A739,$A739))))</f>
        <v/>
      </c>
      <c r="J739" s="8" t="str">
        <f>IF($A739="","",IF(ISNUMBER(FIND("IMPVOL",J$1)),_xll.BDH(config!$G$4,J$1,WORKDAY($A739,-1,config_Holiday_Calendar_US),WORKDAY($A739,-1,config_Holiday_Calendar_US)),IF(ISNUMBER(_xll.BDH(config!$G$4,J$1,$A739,$A739)),_xll.BDH(config!$G$4,J$1,$A739,$A739),_xll.BDH(config!$G$5,J$1,$A739,$A739))))</f>
        <v/>
      </c>
      <c r="K739" s="8" t="str">
        <f>IF($A739="","",IF(ISNUMBER(FIND("IMPVOL",K$1)),_xll.BDH(config!$G$4,K$1,WORKDAY($A739,-1,config_Holiday_Calendar_US),WORKDAY($A739,-1,config_Holiday_Calendar_US)),IF(ISNUMBER(_xll.BDH(config!$G$4,K$1,$A739,$A739)),_xll.BDH(config!$G$4,K$1,$A739,$A739),_xll.BDH(config!$G$5,K$1,$A739,$A739))))</f>
        <v/>
      </c>
      <c r="L739" s="8" t="str">
        <f>IF($A739="","",IF(ISNUMBER(FIND("IMPVOL",L$1)),_xll.BDH(config!$G$4,L$1,WORKDAY($A739,-1,config_Holiday_Calendar_US),WORKDAY($A739,-1,config_Holiday_Calendar_US)),IF(ISNUMBER(_xll.BDH(config!$G$4,L$1,$A739,$A739)),_xll.BDH(config!$G$4,L$1,$A739,$A739),_xll.BDH(config!$G$5,L$1,$A739,$A739))))</f>
        <v/>
      </c>
      <c r="M739" s="8" t="str">
        <f>IF($A739="","",IF(ISNUMBER(FIND("IMPVOL",M$1)),_xll.BDH(config!$G$4,M$1,WORKDAY($A739,-1,config_Holiday_Calendar_US),WORKDAY($A739,-1,config_Holiday_Calendar_US)),IF(ISNUMBER(_xll.BDH(config!$G$4,M$1,$A739,$A739)),_xll.BDH(config!$G$4,M$1,$A739,$A739),_xll.BDH(config!$G$5,M$1,$A739,$A739))))</f>
        <v/>
      </c>
      <c r="N739" s="8" t="str">
        <f>IF($A739="","",IF(ISNUMBER(FIND("IMPVOL",N$1)),_xll.BDH(config!$G$4,N$1,WORKDAY($A739,-1,config_Holiday_Calendar_US),WORKDAY($A739,-1,config_Holiday_Calendar_US)),IF(ISNUMBER(_xll.BDH(config!$G$4,N$1,$A739,$A739)),_xll.BDH(config!$G$4,N$1,$A739,$A739),_xll.BDH(config!$G$5,N$1,$A739,$A739))))</f>
        <v/>
      </c>
      <c r="O739" s="8" t="str">
        <f>IF($A739="","",IF(ISNUMBER(FIND("IMPVOL",O$1)),_xll.BDH(config!$G$4,O$1,WORKDAY($A739,-1,config_Holiday_Calendar_US),WORKDAY($A739,-1,config_Holiday_Calendar_US)),IF(ISNUMBER(_xll.BDH(config!$G$4,O$1,$A739,$A739)),_xll.BDH(config!$G$4,O$1,$A739,$A739),_xll.BDH(config!$G$5,O$1,$A739,$A739))))</f>
        <v/>
      </c>
      <c r="P739" s="8" t="str">
        <f>IF($A739="","",IF(ISNUMBER(FIND("IMPVOL",P$1)),_xll.BDH(config!$G$4,P$1,WORKDAY($A739,-1,config_Holiday_Calendar_US),WORKDAY($A739,-1,config_Holiday_Calendar_US)),IF(ISNUMBER(_xll.BDH(config!$G$4,P$1,$A739,$A739)),_xll.BDH(config!$G$4,P$1,$A739,$A739),_xll.BDH(config!$G$5,P$1,$A739,$A739))))</f>
        <v/>
      </c>
      <c r="Q739" s="8" t="str">
        <f>IF($A739="","",IF(ISNUMBER(FIND("IMPVOL",Q$1)),_xll.BDH(config!$G$4,Q$1,WORKDAY($A739,-1,config_Holiday_Calendar_US),WORKDAY($A739,-1,config_Holiday_Calendar_US)),IF(ISNUMBER(_xll.BDH(config!$G$4,Q$1,$A739,$A739)),_xll.BDH(config!$G$4,Q$1,$A739,$A739),_xll.BDH(config!$G$5,Q$1,$A739,$A739))))</f>
        <v/>
      </c>
      <c r="R739" s="8" t="str">
        <f>IF($A739="","",IF(ISNUMBER(FIND("IMPVOL",R$1)),_xll.BDH(config!$G$4,R$1,WORKDAY($A739,-1,config_Holiday_Calendar_US),WORKDAY($A739,-1,config_Holiday_Calendar_US)),IF(ISNUMBER(_xll.BDH(config!$G$4,R$1,$A739,$A739)),_xll.BDH(config!$G$4,R$1,$A739,$A739),_xll.BDH(config!$G$5,R$1,$A739,$A739))))</f>
        <v/>
      </c>
      <c r="S739" s="8" t="str">
        <f>IF($A739="","",IF(ISNUMBER(FIND("IMPVOL",S$1)),_xll.BDH(config!$G$4,S$1,WORKDAY($A739,-1,config_Holiday_Calendar_US),WORKDAY($A739,-1,config_Holiday_Calendar_US)),IF(ISNUMBER(_xll.BDH(config!$G$4,S$1,$A739,$A739)),_xll.BDH(config!$G$4,S$1,$A739,$A739),_xll.BDH(config!$G$5,S$1,$A739,$A739))))</f>
        <v/>
      </c>
      <c r="T739" s="8" t="str">
        <f>IF($A739="","",IF(ISNUMBER(FIND("IMPVOL",T$1)),_xll.BDH(config!$G$4,T$1,WORKDAY($A739,-1,config_Holiday_Calendar_US),WORKDAY($A739,-1,config_Holiday_Calendar_US)),IF(ISNUMBER(_xll.BDH(config!$G$4,T$1,$A739,$A739)),_xll.BDH(config!$G$4,T$1,$A739,$A739),_xll.BDH(config!$G$5,T$1,$A739,$A739))))</f>
        <v/>
      </c>
      <c r="U739" s="8" t="str">
        <f>IF($A739="","",IF(ISNUMBER(FIND("IMPVOL",U$1)),_xll.BDH(config!$G$4,U$1,WORKDAY($A739,-1,config_Holiday_Calendar_US),WORKDAY($A739,-1,config_Holiday_Calendar_US)),IF(ISNUMBER(_xll.BDH(config!$G$4,U$1,$A739,$A739)),_xll.BDH(config!$G$4,U$1,$A739,$A739),_xll.BDH(config!$G$5,U$1,$A739,$A739))))</f>
        <v/>
      </c>
      <c r="V739" s="8" t="str">
        <f>IF($A739="","",IF(ISNUMBER(FIND("IMPVOL",V$1)),_xll.BDH(config!$G$4,V$1,WORKDAY($A739,-1,config_Holiday_Calendar_US),WORKDAY($A739,-1,config_Holiday_Calendar_US)),IF(ISNUMBER(_xll.BDH(config!$G$4,V$1,$A739,$A739)),_xll.BDH(config!$G$4,V$1,$A739,$A739),_xll.BDH(config!$G$5,V$1,$A739,$A739))))</f>
        <v/>
      </c>
      <c r="W739" s="8" t="str">
        <f>IF($A739="","",IF(ISNUMBER(FIND("IMPVOL",W$1)),_xll.BDH(config!$G$4,W$1,WORKDAY($A739,-1,config_Holiday_Calendar_US),WORKDAY($A739,-1,config_Holiday_Calendar_US)),IF(ISNUMBER(_xll.BDH(config!$G$4,W$1,$A739,$A739)),_xll.BDH(config!$G$4,W$1,$A739,$A739),_xll.BDH(config!$G$5,W$1,$A739,$A739))))</f>
        <v/>
      </c>
    </row>
    <row r="740" spans="1:23" x14ac:dyDescent="0.2">
      <c r="A740" s="9" t="str">
        <f>IF(A739="","",IF(WORKDAY(A739,-1,config_Holiday_Calendar_US)&lt;config!$I$10,"",WORKDAY(A739,-1,config_Holiday_Calendar_US)))</f>
        <v/>
      </c>
      <c r="B740" s="8" t="str">
        <f t="shared" si="11"/>
        <v/>
      </c>
      <c r="C740" s="8" t="str">
        <f>IF(A740="","",_xll.BDH(config!$H$4,C$1,$A740,$A740))</f>
        <v/>
      </c>
      <c r="D740" s="8" t="str">
        <f>IF($A740="","",_xll.BDH(config!$H$4,D$1,$A740,$A740))</f>
        <v/>
      </c>
      <c r="E740" s="8" t="str">
        <f>IF($A740="","",IF(ISNUMBER(FIND("IMPVOL",E$1)),_xll.BDH(config!$G$4,E$1,WORKDAY($A740,-1,config_Holiday_Calendar_US),WORKDAY($A740,-1,config_Holiday_Calendar_US)),IF(ISNUMBER(_xll.BDH(config!$G$4,E$1,$A740,$A740)),_xll.BDH(config!$G$4,E$1,$A740,$A740),_xll.BDH(config!$G$5,E$1,$A740,$A740))))</f>
        <v/>
      </c>
      <c r="F740" s="8" t="str">
        <f>IF($A740="","",IF(ISNUMBER(FIND("IMPVOL",F$1)),_xll.BDH(config!$G$4,F$1,WORKDAY($A740,-1,config_Holiday_Calendar_US),WORKDAY($A740,-1,config_Holiday_Calendar_US)),IF(ISNUMBER(_xll.BDH(config!$G$4,F$1,$A740,$A740)),_xll.BDH(config!$G$4,F$1,$A740,$A740),_xll.BDH(config!$G$5,F$1,$A740,$A740))))</f>
        <v/>
      </c>
      <c r="G740" s="8" t="str">
        <f>IF($A740="","",IF(ISNUMBER(FIND("IMPVOL",G$1)),_xll.BDH(config!$G$4,G$1,WORKDAY($A740,-1,config_Holiday_Calendar_US),WORKDAY($A740,-1,config_Holiday_Calendar_US)),IF(ISNUMBER(_xll.BDH(config!$G$4,G$1,$A740,$A740)),_xll.BDH(config!$G$4,G$1,$A740,$A740),_xll.BDH(config!$G$5,G$1,$A740,$A740))))</f>
        <v/>
      </c>
      <c r="H740" s="8" t="str">
        <f>IF($A740="","",IF(ISNUMBER(FIND("IMPVOL",H$1)),_xll.BDH(config!$G$4,H$1,WORKDAY($A740,-1,config_Holiday_Calendar_US),WORKDAY($A740,-1,config_Holiday_Calendar_US)),IF(ISNUMBER(_xll.BDH(config!$G$4,H$1,$A740,$A740)),_xll.BDH(config!$G$4,H$1,$A740,$A740),_xll.BDH(config!$G$5,H$1,$A740,$A740))))</f>
        <v/>
      </c>
      <c r="I740" s="8" t="str">
        <f>IF($A740="","",IF(ISNUMBER(FIND("IMPVOL",I$1)),_xll.BDH(config!$G$4,I$1,WORKDAY($A740,-1,config_Holiday_Calendar_US),WORKDAY($A740,-1,config_Holiday_Calendar_US)),IF(ISNUMBER(_xll.BDH(config!$G$4,I$1,$A740,$A740)),_xll.BDH(config!$G$4,I$1,$A740,$A740),_xll.BDH(config!$G$5,I$1,$A740,$A740))))</f>
        <v/>
      </c>
      <c r="J740" s="8" t="str">
        <f>IF($A740="","",IF(ISNUMBER(FIND("IMPVOL",J$1)),_xll.BDH(config!$G$4,J$1,WORKDAY($A740,-1,config_Holiday_Calendar_US),WORKDAY($A740,-1,config_Holiday_Calendar_US)),IF(ISNUMBER(_xll.BDH(config!$G$4,J$1,$A740,$A740)),_xll.BDH(config!$G$4,J$1,$A740,$A740),_xll.BDH(config!$G$5,J$1,$A740,$A740))))</f>
        <v/>
      </c>
      <c r="K740" s="8" t="str">
        <f>IF($A740="","",IF(ISNUMBER(FIND("IMPVOL",K$1)),_xll.BDH(config!$G$4,K$1,WORKDAY($A740,-1,config_Holiday_Calendar_US),WORKDAY($A740,-1,config_Holiday_Calendar_US)),IF(ISNUMBER(_xll.BDH(config!$G$4,K$1,$A740,$A740)),_xll.BDH(config!$G$4,K$1,$A740,$A740),_xll.BDH(config!$G$5,K$1,$A740,$A740))))</f>
        <v/>
      </c>
      <c r="L740" s="8" t="str">
        <f>IF($A740="","",IF(ISNUMBER(FIND("IMPVOL",L$1)),_xll.BDH(config!$G$4,L$1,WORKDAY($A740,-1,config_Holiday_Calendar_US),WORKDAY($A740,-1,config_Holiday_Calendar_US)),IF(ISNUMBER(_xll.BDH(config!$G$4,L$1,$A740,$A740)),_xll.BDH(config!$G$4,L$1,$A740,$A740),_xll.BDH(config!$G$5,L$1,$A740,$A740))))</f>
        <v/>
      </c>
      <c r="M740" s="8" t="str">
        <f>IF($A740="","",IF(ISNUMBER(FIND("IMPVOL",M$1)),_xll.BDH(config!$G$4,M$1,WORKDAY($A740,-1,config_Holiday_Calendar_US),WORKDAY($A740,-1,config_Holiday_Calendar_US)),IF(ISNUMBER(_xll.BDH(config!$G$4,M$1,$A740,$A740)),_xll.BDH(config!$G$4,M$1,$A740,$A740),_xll.BDH(config!$G$5,M$1,$A740,$A740))))</f>
        <v/>
      </c>
      <c r="N740" s="8" t="str">
        <f>IF($A740="","",IF(ISNUMBER(FIND("IMPVOL",N$1)),_xll.BDH(config!$G$4,N$1,WORKDAY($A740,-1,config_Holiday_Calendar_US),WORKDAY($A740,-1,config_Holiday_Calendar_US)),IF(ISNUMBER(_xll.BDH(config!$G$4,N$1,$A740,$A740)),_xll.BDH(config!$G$4,N$1,$A740,$A740),_xll.BDH(config!$G$5,N$1,$A740,$A740))))</f>
        <v/>
      </c>
      <c r="O740" s="8" t="str">
        <f>IF($A740="","",IF(ISNUMBER(FIND("IMPVOL",O$1)),_xll.BDH(config!$G$4,O$1,WORKDAY($A740,-1,config_Holiday_Calendar_US),WORKDAY($A740,-1,config_Holiday_Calendar_US)),IF(ISNUMBER(_xll.BDH(config!$G$4,O$1,$A740,$A740)),_xll.BDH(config!$G$4,O$1,$A740,$A740),_xll.BDH(config!$G$5,O$1,$A740,$A740))))</f>
        <v/>
      </c>
      <c r="P740" s="8" t="str">
        <f>IF($A740="","",IF(ISNUMBER(FIND("IMPVOL",P$1)),_xll.BDH(config!$G$4,P$1,WORKDAY($A740,-1,config_Holiday_Calendar_US),WORKDAY($A740,-1,config_Holiday_Calendar_US)),IF(ISNUMBER(_xll.BDH(config!$G$4,P$1,$A740,$A740)),_xll.BDH(config!$G$4,P$1,$A740,$A740),_xll.BDH(config!$G$5,P$1,$A740,$A740))))</f>
        <v/>
      </c>
      <c r="Q740" s="8" t="str">
        <f>IF($A740="","",IF(ISNUMBER(FIND("IMPVOL",Q$1)),_xll.BDH(config!$G$4,Q$1,WORKDAY($A740,-1,config_Holiday_Calendar_US),WORKDAY($A740,-1,config_Holiday_Calendar_US)),IF(ISNUMBER(_xll.BDH(config!$G$4,Q$1,$A740,$A740)),_xll.BDH(config!$G$4,Q$1,$A740,$A740),_xll.BDH(config!$G$5,Q$1,$A740,$A740))))</f>
        <v/>
      </c>
      <c r="R740" s="8" t="str">
        <f>IF($A740="","",IF(ISNUMBER(FIND("IMPVOL",R$1)),_xll.BDH(config!$G$4,R$1,WORKDAY($A740,-1,config_Holiday_Calendar_US),WORKDAY($A740,-1,config_Holiday_Calendar_US)),IF(ISNUMBER(_xll.BDH(config!$G$4,R$1,$A740,$A740)),_xll.BDH(config!$G$4,R$1,$A740,$A740),_xll.BDH(config!$G$5,R$1,$A740,$A740))))</f>
        <v/>
      </c>
      <c r="S740" s="8" t="str">
        <f>IF($A740="","",IF(ISNUMBER(FIND("IMPVOL",S$1)),_xll.BDH(config!$G$4,S$1,WORKDAY($A740,-1,config_Holiday_Calendar_US),WORKDAY($A740,-1,config_Holiday_Calendar_US)),IF(ISNUMBER(_xll.BDH(config!$G$4,S$1,$A740,$A740)),_xll.BDH(config!$G$4,S$1,$A740,$A740),_xll.BDH(config!$G$5,S$1,$A740,$A740))))</f>
        <v/>
      </c>
      <c r="T740" s="8" t="str">
        <f>IF($A740="","",IF(ISNUMBER(FIND("IMPVOL",T$1)),_xll.BDH(config!$G$4,T$1,WORKDAY($A740,-1,config_Holiday_Calendar_US),WORKDAY($A740,-1,config_Holiday_Calendar_US)),IF(ISNUMBER(_xll.BDH(config!$G$4,T$1,$A740,$A740)),_xll.BDH(config!$G$4,T$1,$A740,$A740),_xll.BDH(config!$G$5,T$1,$A740,$A740))))</f>
        <v/>
      </c>
      <c r="U740" s="8" t="str">
        <f>IF($A740="","",IF(ISNUMBER(FIND("IMPVOL",U$1)),_xll.BDH(config!$G$4,U$1,WORKDAY($A740,-1,config_Holiday_Calendar_US),WORKDAY($A740,-1,config_Holiday_Calendar_US)),IF(ISNUMBER(_xll.BDH(config!$G$4,U$1,$A740,$A740)),_xll.BDH(config!$G$4,U$1,$A740,$A740),_xll.BDH(config!$G$5,U$1,$A740,$A740))))</f>
        <v/>
      </c>
      <c r="V740" s="8" t="str">
        <f>IF($A740="","",IF(ISNUMBER(FIND("IMPVOL",V$1)),_xll.BDH(config!$G$4,V$1,WORKDAY($A740,-1,config_Holiday_Calendar_US),WORKDAY($A740,-1,config_Holiday_Calendar_US)),IF(ISNUMBER(_xll.BDH(config!$G$4,V$1,$A740,$A740)),_xll.BDH(config!$G$4,V$1,$A740,$A740),_xll.BDH(config!$G$5,V$1,$A740,$A740))))</f>
        <v/>
      </c>
      <c r="W740" s="8" t="str">
        <f>IF($A740="","",IF(ISNUMBER(FIND("IMPVOL",W$1)),_xll.BDH(config!$G$4,W$1,WORKDAY($A740,-1,config_Holiday_Calendar_US),WORKDAY($A740,-1,config_Holiday_Calendar_US)),IF(ISNUMBER(_xll.BDH(config!$G$4,W$1,$A740,$A740)),_xll.BDH(config!$G$4,W$1,$A740,$A740),_xll.BDH(config!$G$5,W$1,$A740,$A740))))</f>
        <v/>
      </c>
    </row>
    <row r="741" spans="1:23" x14ac:dyDescent="0.2">
      <c r="A741" s="9" t="str">
        <f>IF(A740="","",IF(WORKDAY(A740,-1,config_Holiday_Calendar_US)&lt;config!$I$10,"",WORKDAY(A740,-1,config_Holiday_Calendar_US)))</f>
        <v/>
      </c>
      <c r="B741" s="8" t="str">
        <f t="shared" si="11"/>
        <v/>
      </c>
      <c r="C741" s="8" t="str">
        <f>IF(A741="","",_xll.BDH(config!$H$4,C$1,$A741,$A741))</f>
        <v/>
      </c>
      <c r="D741" s="8" t="str">
        <f>IF($A741="","",_xll.BDH(config!$H$4,D$1,$A741,$A741))</f>
        <v/>
      </c>
      <c r="E741" s="8" t="str">
        <f>IF($A741="","",IF(ISNUMBER(FIND("IMPVOL",E$1)),_xll.BDH(config!$G$4,E$1,WORKDAY($A741,-1,config_Holiday_Calendar_US),WORKDAY($A741,-1,config_Holiday_Calendar_US)),IF(ISNUMBER(_xll.BDH(config!$G$4,E$1,$A741,$A741)),_xll.BDH(config!$G$4,E$1,$A741,$A741),_xll.BDH(config!$G$5,E$1,$A741,$A741))))</f>
        <v/>
      </c>
      <c r="F741" s="8" t="str">
        <f>IF($A741="","",IF(ISNUMBER(FIND("IMPVOL",F$1)),_xll.BDH(config!$G$4,F$1,WORKDAY($A741,-1,config_Holiday_Calendar_US),WORKDAY($A741,-1,config_Holiday_Calendar_US)),IF(ISNUMBER(_xll.BDH(config!$G$4,F$1,$A741,$A741)),_xll.BDH(config!$G$4,F$1,$A741,$A741),_xll.BDH(config!$G$5,F$1,$A741,$A741))))</f>
        <v/>
      </c>
      <c r="G741" s="8" t="str">
        <f>IF($A741="","",IF(ISNUMBER(FIND("IMPVOL",G$1)),_xll.BDH(config!$G$4,G$1,WORKDAY($A741,-1,config_Holiday_Calendar_US),WORKDAY($A741,-1,config_Holiday_Calendar_US)),IF(ISNUMBER(_xll.BDH(config!$G$4,G$1,$A741,$A741)),_xll.BDH(config!$G$4,G$1,$A741,$A741),_xll.BDH(config!$G$5,G$1,$A741,$A741))))</f>
        <v/>
      </c>
      <c r="H741" s="8" t="str">
        <f>IF($A741="","",IF(ISNUMBER(FIND("IMPVOL",H$1)),_xll.BDH(config!$G$4,H$1,WORKDAY($A741,-1,config_Holiday_Calendar_US),WORKDAY($A741,-1,config_Holiday_Calendar_US)),IF(ISNUMBER(_xll.BDH(config!$G$4,H$1,$A741,$A741)),_xll.BDH(config!$G$4,H$1,$A741,$A741),_xll.BDH(config!$G$5,H$1,$A741,$A741))))</f>
        <v/>
      </c>
      <c r="I741" s="8" t="str">
        <f>IF($A741="","",IF(ISNUMBER(FIND("IMPVOL",I$1)),_xll.BDH(config!$G$4,I$1,WORKDAY($A741,-1,config_Holiday_Calendar_US),WORKDAY($A741,-1,config_Holiday_Calendar_US)),IF(ISNUMBER(_xll.BDH(config!$G$4,I$1,$A741,$A741)),_xll.BDH(config!$G$4,I$1,$A741,$A741),_xll.BDH(config!$G$5,I$1,$A741,$A741))))</f>
        <v/>
      </c>
      <c r="J741" s="8" t="str">
        <f>IF($A741="","",IF(ISNUMBER(FIND("IMPVOL",J$1)),_xll.BDH(config!$G$4,J$1,WORKDAY($A741,-1,config_Holiday_Calendar_US),WORKDAY($A741,-1,config_Holiday_Calendar_US)),IF(ISNUMBER(_xll.BDH(config!$G$4,J$1,$A741,$A741)),_xll.BDH(config!$G$4,J$1,$A741,$A741),_xll.BDH(config!$G$5,J$1,$A741,$A741))))</f>
        <v/>
      </c>
      <c r="K741" s="8" t="str">
        <f>IF($A741="","",IF(ISNUMBER(FIND("IMPVOL",K$1)),_xll.BDH(config!$G$4,K$1,WORKDAY($A741,-1,config_Holiday_Calendar_US),WORKDAY($A741,-1,config_Holiday_Calendar_US)),IF(ISNUMBER(_xll.BDH(config!$G$4,K$1,$A741,$A741)),_xll.BDH(config!$G$4,K$1,$A741,$A741),_xll.BDH(config!$G$5,K$1,$A741,$A741))))</f>
        <v/>
      </c>
      <c r="L741" s="8" t="str">
        <f>IF($A741="","",IF(ISNUMBER(FIND("IMPVOL",L$1)),_xll.BDH(config!$G$4,L$1,WORKDAY($A741,-1,config_Holiday_Calendar_US),WORKDAY($A741,-1,config_Holiday_Calendar_US)),IF(ISNUMBER(_xll.BDH(config!$G$4,L$1,$A741,$A741)),_xll.BDH(config!$G$4,L$1,$A741,$A741),_xll.BDH(config!$G$5,L$1,$A741,$A741))))</f>
        <v/>
      </c>
      <c r="M741" s="8" t="str">
        <f>IF($A741="","",IF(ISNUMBER(FIND("IMPVOL",M$1)),_xll.BDH(config!$G$4,M$1,WORKDAY($A741,-1,config_Holiday_Calendar_US),WORKDAY($A741,-1,config_Holiday_Calendar_US)),IF(ISNUMBER(_xll.BDH(config!$G$4,M$1,$A741,$A741)),_xll.BDH(config!$G$4,M$1,$A741,$A741),_xll.BDH(config!$G$5,M$1,$A741,$A741))))</f>
        <v/>
      </c>
      <c r="N741" s="8" t="str">
        <f>IF($A741="","",IF(ISNUMBER(FIND("IMPVOL",N$1)),_xll.BDH(config!$G$4,N$1,WORKDAY($A741,-1,config_Holiday_Calendar_US),WORKDAY($A741,-1,config_Holiday_Calendar_US)),IF(ISNUMBER(_xll.BDH(config!$G$4,N$1,$A741,$A741)),_xll.BDH(config!$G$4,N$1,$A741,$A741),_xll.BDH(config!$G$5,N$1,$A741,$A741))))</f>
        <v/>
      </c>
      <c r="O741" s="8" t="str">
        <f>IF($A741="","",IF(ISNUMBER(FIND("IMPVOL",O$1)),_xll.BDH(config!$G$4,O$1,WORKDAY($A741,-1,config_Holiday_Calendar_US),WORKDAY($A741,-1,config_Holiday_Calendar_US)),IF(ISNUMBER(_xll.BDH(config!$G$4,O$1,$A741,$A741)),_xll.BDH(config!$G$4,O$1,$A741,$A741),_xll.BDH(config!$G$5,O$1,$A741,$A741))))</f>
        <v/>
      </c>
      <c r="P741" s="8" t="str">
        <f>IF($A741="","",IF(ISNUMBER(FIND("IMPVOL",P$1)),_xll.BDH(config!$G$4,P$1,WORKDAY($A741,-1,config_Holiday_Calendar_US),WORKDAY($A741,-1,config_Holiday_Calendar_US)),IF(ISNUMBER(_xll.BDH(config!$G$4,P$1,$A741,$A741)),_xll.BDH(config!$G$4,P$1,$A741,$A741),_xll.BDH(config!$G$5,P$1,$A741,$A741))))</f>
        <v/>
      </c>
      <c r="Q741" s="8" t="str">
        <f>IF($A741="","",IF(ISNUMBER(FIND("IMPVOL",Q$1)),_xll.BDH(config!$G$4,Q$1,WORKDAY($A741,-1,config_Holiday_Calendar_US),WORKDAY($A741,-1,config_Holiday_Calendar_US)),IF(ISNUMBER(_xll.BDH(config!$G$4,Q$1,$A741,$A741)),_xll.BDH(config!$G$4,Q$1,$A741,$A741),_xll.BDH(config!$G$5,Q$1,$A741,$A741))))</f>
        <v/>
      </c>
      <c r="R741" s="8" t="str">
        <f>IF($A741="","",IF(ISNUMBER(FIND("IMPVOL",R$1)),_xll.BDH(config!$G$4,R$1,WORKDAY($A741,-1,config_Holiday_Calendar_US),WORKDAY($A741,-1,config_Holiday_Calendar_US)),IF(ISNUMBER(_xll.BDH(config!$G$4,R$1,$A741,$A741)),_xll.BDH(config!$G$4,R$1,$A741,$A741),_xll.BDH(config!$G$5,R$1,$A741,$A741))))</f>
        <v/>
      </c>
      <c r="S741" s="8" t="str">
        <f>IF($A741="","",IF(ISNUMBER(FIND("IMPVOL",S$1)),_xll.BDH(config!$G$4,S$1,WORKDAY($A741,-1,config_Holiday_Calendar_US),WORKDAY($A741,-1,config_Holiday_Calendar_US)),IF(ISNUMBER(_xll.BDH(config!$G$4,S$1,$A741,$A741)),_xll.BDH(config!$G$4,S$1,$A741,$A741),_xll.BDH(config!$G$5,S$1,$A741,$A741))))</f>
        <v/>
      </c>
      <c r="T741" s="8" t="str">
        <f>IF($A741="","",IF(ISNUMBER(FIND("IMPVOL",T$1)),_xll.BDH(config!$G$4,T$1,WORKDAY($A741,-1,config_Holiday_Calendar_US),WORKDAY($A741,-1,config_Holiday_Calendar_US)),IF(ISNUMBER(_xll.BDH(config!$G$4,T$1,$A741,$A741)),_xll.BDH(config!$G$4,T$1,$A741,$A741),_xll.BDH(config!$G$5,T$1,$A741,$A741))))</f>
        <v/>
      </c>
      <c r="U741" s="8" t="str">
        <f>IF($A741="","",IF(ISNUMBER(FIND("IMPVOL",U$1)),_xll.BDH(config!$G$4,U$1,WORKDAY($A741,-1,config_Holiday_Calendar_US),WORKDAY($A741,-1,config_Holiday_Calendar_US)),IF(ISNUMBER(_xll.BDH(config!$G$4,U$1,$A741,$A741)),_xll.BDH(config!$G$4,U$1,$A741,$A741),_xll.BDH(config!$G$5,U$1,$A741,$A741))))</f>
        <v/>
      </c>
      <c r="V741" s="8" t="str">
        <f>IF($A741="","",IF(ISNUMBER(FIND("IMPVOL",V$1)),_xll.BDH(config!$G$4,V$1,WORKDAY($A741,-1,config_Holiday_Calendar_US),WORKDAY($A741,-1,config_Holiday_Calendar_US)),IF(ISNUMBER(_xll.BDH(config!$G$4,V$1,$A741,$A741)),_xll.BDH(config!$G$4,V$1,$A741,$A741),_xll.BDH(config!$G$5,V$1,$A741,$A741))))</f>
        <v/>
      </c>
      <c r="W741" s="8" t="str">
        <f>IF($A741="","",IF(ISNUMBER(FIND("IMPVOL",W$1)),_xll.BDH(config!$G$4,W$1,WORKDAY($A741,-1,config_Holiday_Calendar_US),WORKDAY($A741,-1,config_Holiday_Calendar_US)),IF(ISNUMBER(_xll.BDH(config!$G$4,W$1,$A741,$A741)),_xll.BDH(config!$G$4,W$1,$A741,$A741),_xll.BDH(config!$G$5,W$1,$A741,$A741))))</f>
        <v/>
      </c>
    </row>
    <row r="742" spans="1:23" x14ac:dyDescent="0.2">
      <c r="A742" s="9" t="str">
        <f>IF(A741="","",IF(WORKDAY(A741,-1,config_Holiday_Calendar_US)&lt;config!$I$10,"",WORKDAY(A741,-1,config_Holiday_Calendar_US)))</f>
        <v/>
      </c>
      <c r="B742" s="8" t="str">
        <f t="shared" si="11"/>
        <v/>
      </c>
      <c r="C742" s="8" t="str">
        <f>IF(A742="","",_xll.BDH(config!$H$4,C$1,$A742,$A742))</f>
        <v/>
      </c>
      <c r="D742" s="8" t="str">
        <f>IF($A742="","",_xll.BDH(config!$H$4,D$1,$A742,$A742))</f>
        <v/>
      </c>
      <c r="E742" s="8" t="str">
        <f>IF($A742="","",IF(ISNUMBER(FIND("IMPVOL",E$1)),_xll.BDH(config!$G$4,E$1,WORKDAY($A742,-1,config_Holiday_Calendar_US),WORKDAY($A742,-1,config_Holiday_Calendar_US)),IF(ISNUMBER(_xll.BDH(config!$G$4,E$1,$A742,$A742)),_xll.BDH(config!$G$4,E$1,$A742,$A742),_xll.BDH(config!$G$5,E$1,$A742,$A742))))</f>
        <v/>
      </c>
      <c r="F742" s="8" t="str">
        <f>IF($A742="","",IF(ISNUMBER(FIND("IMPVOL",F$1)),_xll.BDH(config!$G$4,F$1,WORKDAY($A742,-1,config_Holiday_Calendar_US),WORKDAY($A742,-1,config_Holiday_Calendar_US)),IF(ISNUMBER(_xll.BDH(config!$G$4,F$1,$A742,$A742)),_xll.BDH(config!$G$4,F$1,$A742,$A742),_xll.BDH(config!$G$5,F$1,$A742,$A742))))</f>
        <v/>
      </c>
      <c r="G742" s="8" t="str">
        <f>IF($A742="","",IF(ISNUMBER(FIND("IMPVOL",G$1)),_xll.BDH(config!$G$4,G$1,WORKDAY($A742,-1,config_Holiday_Calendar_US),WORKDAY($A742,-1,config_Holiday_Calendar_US)),IF(ISNUMBER(_xll.BDH(config!$G$4,G$1,$A742,$A742)),_xll.BDH(config!$G$4,G$1,$A742,$A742),_xll.BDH(config!$G$5,G$1,$A742,$A742))))</f>
        <v/>
      </c>
      <c r="H742" s="8" t="str">
        <f>IF($A742="","",IF(ISNUMBER(FIND("IMPVOL",H$1)),_xll.BDH(config!$G$4,H$1,WORKDAY($A742,-1,config_Holiday_Calendar_US),WORKDAY($A742,-1,config_Holiday_Calendar_US)),IF(ISNUMBER(_xll.BDH(config!$G$4,H$1,$A742,$A742)),_xll.BDH(config!$G$4,H$1,$A742,$A742),_xll.BDH(config!$G$5,H$1,$A742,$A742))))</f>
        <v/>
      </c>
      <c r="I742" s="8" t="str">
        <f>IF($A742="","",IF(ISNUMBER(FIND("IMPVOL",I$1)),_xll.BDH(config!$G$4,I$1,WORKDAY($A742,-1,config_Holiday_Calendar_US),WORKDAY($A742,-1,config_Holiday_Calendar_US)),IF(ISNUMBER(_xll.BDH(config!$G$4,I$1,$A742,$A742)),_xll.BDH(config!$G$4,I$1,$A742,$A742),_xll.BDH(config!$G$5,I$1,$A742,$A742))))</f>
        <v/>
      </c>
      <c r="J742" s="8" t="str">
        <f>IF($A742="","",IF(ISNUMBER(FIND("IMPVOL",J$1)),_xll.BDH(config!$G$4,J$1,WORKDAY($A742,-1,config_Holiday_Calendar_US),WORKDAY($A742,-1,config_Holiday_Calendar_US)),IF(ISNUMBER(_xll.BDH(config!$G$4,J$1,$A742,$A742)),_xll.BDH(config!$G$4,J$1,$A742,$A742),_xll.BDH(config!$G$5,J$1,$A742,$A742))))</f>
        <v/>
      </c>
      <c r="K742" s="8" t="str">
        <f>IF($A742="","",IF(ISNUMBER(FIND("IMPVOL",K$1)),_xll.BDH(config!$G$4,K$1,WORKDAY($A742,-1,config_Holiday_Calendar_US),WORKDAY($A742,-1,config_Holiday_Calendar_US)),IF(ISNUMBER(_xll.BDH(config!$G$4,K$1,$A742,$A742)),_xll.BDH(config!$G$4,K$1,$A742,$A742),_xll.BDH(config!$G$5,K$1,$A742,$A742))))</f>
        <v/>
      </c>
      <c r="L742" s="8" t="str">
        <f>IF($A742="","",IF(ISNUMBER(FIND("IMPVOL",L$1)),_xll.BDH(config!$G$4,L$1,WORKDAY($A742,-1,config_Holiday_Calendar_US),WORKDAY($A742,-1,config_Holiday_Calendar_US)),IF(ISNUMBER(_xll.BDH(config!$G$4,L$1,$A742,$A742)),_xll.BDH(config!$G$4,L$1,$A742,$A742),_xll.BDH(config!$G$5,L$1,$A742,$A742))))</f>
        <v/>
      </c>
      <c r="M742" s="8" t="str">
        <f>IF($A742="","",IF(ISNUMBER(FIND("IMPVOL",M$1)),_xll.BDH(config!$G$4,M$1,WORKDAY($A742,-1,config_Holiday_Calendar_US),WORKDAY($A742,-1,config_Holiday_Calendar_US)),IF(ISNUMBER(_xll.BDH(config!$G$4,M$1,$A742,$A742)),_xll.BDH(config!$G$4,M$1,$A742,$A742),_xll.BDH(config!$G$5,M$1,$A742,$A742))))</f>
        <v/>
      </c>
      <c r="N742" s="8" t="str">
        <f>IF($A742="","",IF(ISNUMBER(FIND("IMPVOL",N$1)),_xll.BDH(config!$G$4,N$1,WORKDAY($A742,-1,config_Holiday_Calendar_US),WORKDAY($A742,-1,config_Holiday_Calendar_US)),IF(ISNUMBER(_xll.BDH(config!$G$4,N$1,$A742,$A742)),_xll.BDH(config!$G$4,N$1,$A742,$A742),_xll.BDH(config!$G$5,N$1,$A742,$A742))))</f>
        <v/>
      </c>
      <c r="O742" s="8" t="str">
        <f>IF($A742="","",IF(ISNUMBER(FIND("IMPVOL",O$1)),_xll.BDH(config!$G$4,O$1,WORKDAY($A742,-1,config_Holiday_Calendar_US),WORKDAY($A742,-1,config_Holiday_Calendar_US)),IF(ISNUMBER(_xll.BDH(config!$G$4,O$1,$A742,$A742)),_xll.BDH(config!$G$4,O$1,$A742,$A742),_xll.BDH(config!$G$5,O$1,$A742,$A742))))</f>
        <v/>
      </c>
      <c r="P742" s="8" t="str">
        <f>IF($A742="","",IF(ISNUMBER(FIND("IMPVOL",P$1)),_xll.BDH(config!$G$4,P$1,WORKDAY($A742,-1,config_Holiday_Calendar_US),WORKDAY($A742,-1,config_Holiday_Calendar_US)),IF(ISNUMBER(_xll.BDH(config!$G$4,P$1,$A742,$A742)),_xll.BDH(config!$G$4,P$1,$A742,$A742),_xll.BDH(config!$G$5,P$1,$A742,$A742))))</f>
        <v/>
      </c>
      <c r="Q742" s="8" t="str">
        <f>IF($A742="","",IF(ISNUMBER(FIND("IMPVOL",Q$1)),_xll.BDH(config!$G$4,Q$1,WORKDAY($A742,-1,config_Holiday_Calendar_US),WORKDAY($A742,-1,config_Holiday_Calendar_US)),IF(ISNUMBER(_xll.BDH(config!$G$4,Q$1,$A742,$A742)),_xll.BDH(config!$G$4,Q$1,$A742,$A742),_xll.BDH(config!$G$5,Q$1,$A742,$A742))))</f>
        <v/>
      </c>
      <c r="R742" s="8" t="str">
        <f>IF($A742="","",IF(ISNUMBER(FIND("IMPVOL",R$1)),_xll.BDH(config!$G$4,R$1,WORKDAY($A742,-1,config_Holiday_Calendar_US),WORKDAY($A742,-1,config_Holiday_Calendar_US)),IF(ISNUMBER(_xll.BDH(config!$G$4,R$1,$A742,$A742)),_xll.BDH(config!$G$4,R$1,$A742,$A742),_xll.BDH(config!$G$5,R$1,$A742,$A742))))</f>
        <v/>
      </c>
      <c r="S742" s="8" t="str">
        <f>IF($A742="","",IF(ISNUMBER(FIND("IMPVOL",S$1)),_xll.BDH(config!$G$4,S$1,WORKDAY($A742,-1,config_Holiday_Calendar_US),WORKDAY($A742,-1,config_Holiday_Calendar_US)),IF(ISNUMBER(_xll.BDH(config!$G$4,S$1,$A742,$A742)),_xll.BDH(config!$G$4,S$1,$A742,$A742),_xll.BDH(config!$G$5,S$1,$A742,$A742))))</f>
        <v/>
      </c>
      <c r="T742" s="8" t="str">
        <f>IF($A742="","",IF(ISNUMBER(FIND("IMPVOL",T$1)),_xll.BDH(config!$G$4,T$1,WORKDAY($A742,-1,config_Holiday_Calendar_US),WORKDAY($A742,-1,config_Holiday_Calendar_US)),IF(ISNUMBER(_xll.BDH(config!$G$4,T$1,$A742,$A742)),_xll.BDH(config!$G$4,T$1,$A742,$A742),_xll.BDH(config!$G$5,T$1,$A742,$A742))))</f>
        <v/>
      </c>
      <c r="U742" s="8" t="str">
        <f>IF($A742="","",IF(ISNUMBER(FIND("IMPVOL",U$1)),_xll.BDH(config!$G$4,U$1,WORKDAY($A742,-1,config_Holiday_Calendar_US),WORKDAY($A742,-1,config_Holiday_Calendar_US)),IF(ISNUMBER(_xll.BDH(config!$G$4,U$1,$A742,$A742)),_xll.BDH(config!$G$4,U$1,$A742,$A742),_xll.BDH(config!$G$5,U$1,$A742,$A742))))</f>
        <v/>
      </c>
      <c r="V742" s="8" t="str">
        <f>IF($A742="","",IF(ISNUMBER(FIND("IMPVOL",V$1)),_xll.BDH(config!$G$4,V$1,WORKDAY($A742,-1,config_Holiday_Calendar_US),WORKDAY($A742,-1,config_Holiday_Calendar_US)),IF(ISNUMBER(_xll.BDH(config!$G$4,V$1,$A742,$A742)),_xll.BDH(config!$G$4,V$1,$A742,$A742),_xll.BDH(config!$G$5,V$1,$A742,$A742))))</f>
        <v/>
      </c>
      <c r="W742" s="8" t="str">
        <f>IF($A742="","",IF(ISNUMBER(FIND("IMPVOL",W$1)),_xll.BDH(config!$G$4,W$1,WORKDAY($A742,-1,config_Holiday_Calendar_US),WORKDAY($A742,-1,config_Holiday_Calendar_US)),IF(ISNUMBER(_xll.BDH(config!$G$4,W$1,$A742,$A742)),_xll.BDH(config!$G$4,W$1,$A742,$A742),_xll.BDH(config!$G$5,W$1,$A742,$A742))))</f>
        <v/>
      </c>
    </row>
    <row r="743" spans="1:23" x14ac:dyDescent="0.2">
      <c r="A743" s="9" t="str">
        <f>IF(A742="","",IF(WORKDAY(A742,-1,config_Holiday_Calendar_US)&lt;config!$I$10,"",WORKDAY(A742,-1,config_Holiday_Calendar_US)))</f>
        <v/>
      </c>
      <c r="B743" s="8" t="str">
        <f t="shared" si="11"/>
        <v/>
      </c>
      <c r="C743" s="8" t="str">
        <f>IF(A743="","",_xll.BDH(config!$H$4,C$1,$A743,$A743))</f>
        <v/>
      </c>
      <c r="D743" s="8" t="str">
        <f>IF($A743="","",_xll.BDH(config!$H$4,D$1,$A743,$A743))</f>
        <v/>
      </c>
      <c r="E743" s="8" t="str">
        <f>IF($A743="","",IF(ISNUMBER(FIND("IMPVOL",E$1)),_xll.BDH(config!$G$4,E$1,WORKDAY($A743,-1,config_Holiday_Calendar_US),WORKDAY($A743,-1,config_Holiday_Calendar_US)),IF(ISNUMBER(_xll.BDH(config!$G$4,E$1,$A743,$A743)),_xll.BDH(config!$G$4,E$1,$A743,$A743),_xll.BDH(config!$G$5,E$1,$A743,$A743))))</f>
        <v/>
      </c>
      <c r="F743" s="8" t="str">
        <f>IF($A743="","",IF(ISNUMBER(FIND("IMPVOL",F$1)),_xll.BDH(config!$G$4,F$1,WORKDAY($A743,-1,config_Holiday_Calendar_US),WORKDAY($A743,-1,config_Holiday_Calendar_US)),IF(ISNUMBER(_xll.BDH(config!$G$4,F$1,$A743,$A743)),_xll.BDH(config!$G$4,F$1,$A743,$A743),_xll.BDH(config!$G$5,F$1,$A743,$A743))))</f>
        <v/>
      </c>
      <c r="G743" s="8" t="str">
        <f>IF($A743="","",IF(ISNUMBER(FIND("IMPVOL",G$1)),_xll.BDH(config!$G$4,G$1,WORKDAY($A743,-1,config_Holiday_Calendar_US),WORKDAY($A743,-1,config_Holiday_Calendar_US)),IF(ISNUMBER(_xll.BDH(config!$G$4,G$1,$A743,$A743)),_xll.BDH(config!$G$4,G$1,$A743,$A743),_xll.BDH(config!$G$5,G$1,$A743,$A743))))</f>
        <v/>
      </c>
      <c r="H743" s="8" t="str">
        <f>IF($A743="","",IF(ISNUMBER(FIND("IMPVOL",H$1)),_xll.BDH(config!$G$4,H$1,WORKDAY($A743,-1,config_Holiday_Calendar_US),WORKDAY($A743,-1,config_Holiday_Calendar_US)),IF(ISNUMBER(_xll.BDH(config!$G$4,H$1,$A743,$A743)),_xll.BDH(config!$G$4,H$1,$A743,$A743),_xll.BDH(config!$G$5,H$1,$A743,$A743))))</f>
        <v/>
      </c>
      <c r="I743" s="8" t="str">
        <f>IF($A743="","",IF(ISNUMBER(FIND("IMPVOL",I$1)),_xll.BDH(config!$G$4,I$1,WORKDAY($A743,-1,config_Holiday_Calendar_US),WORKDAY($A743,-1,config_Holiday_Calendar_US)),IF(ISNUMBER(_xll.BDH(config!$G$4,I$1,$A743,$A743)),_xll.BDH(config!$G$4,I$1,$A743,$A743),_xll.BDH(config!$G$5,I$1,$A743,$A743))))</f>
        <v/>
      </c>
      <c r="J743" s="8" t="str">
        <f>IF($A743="","",IF(ISNUMBER(FIND("IMPVOL",J$1)),_xll.BDH(config!$G$4,J$1,WORKDAY($A743,-1,config_Holiday_Calendar_US),WORKDAY($A743,-1,config_Holiday_Calendar_US)),IF(ISNUMBER(_xll.BDH(config!$G$4,J$1,$A743,$A743)),_xll.BDH(config!$G$4,J$1,$A743,$A743),_xll.BDH(config!$G$5,J$1,$A743,$A743))))</f>
        <v/>
      </c>
      <c r="K743" s="8" t="str">
        <f>IF($A743="","",IF(ISNUMBER(FIND("IMPVOL",K$1)),_xll.BDH(config!$G$4,K$1,WORKDAY($A743,-1,config_Holiday_Calendar_US),WORKDAY($A743,-1,config_Holiday_Calendar_US)),IF(ISNUMBER(_xll.BDH(config!$G$4,K$1,$A743,$A743)),_xll.BDH(config!$G$4,K$1,$A743,$A743),_xll.BDH(config!$G$5,K$1,$A743,$A743))))</f>
        <v/>
      </c>
      <c r="L743" s="8" t="str">
        <f>IF($A743="","",IF(ISNUMBER(FIND("IMPVOL",L$1)),_xll.BDH(config!$G$4,L$1,WORKDAY($A743,-1,config_Holiday_Calendar_US),WORKDAY($A743,-1,config_Holiday_Calendar_US)),IF(ISNUMBER(_xll.BDH(config!$G$4,L$1,$A743,$A743)),_xll.BDH(config!$G$4,L$1,$A743,$A743),_xll.BDH(config!$G$5,L$1,$A743,$A743))))</f>
        <v/>
      </c>
      <c r="M743" s="8" t="str">
        <f>IF($A743="","",IF(ISNUMBER(FIND("IMPVOL",M$1)),_xll.BDH(config!$G$4,M$1,WORKDAY($A743,-1,config_Holiday_Calendar_US),WORKDAY($A743,-1,config_Holiday_Calendar_US)),IF(ISNUMBER(_xll.BDH(config!$G$4,M$1,$A743,$A743)),_xll.BDH(config!$G$4,M$1,$A743,$A743),_xll.BDH(config!$G$5,M$1,$A743,$A743))))</f>
        <v/>
      </c>
      <c r="N743" s="8" t="str">
        <f>IF($A743="","",IF(ISNUMBER(FIND("IMPVOL",N$1)),_xll.BDH(config!$G$4,N$1,WORKDAY($A743,-1,config_Holiday_Calendar_US),WORKDAY($A743,-1,config_Holiday_Calendar_US)),IF(ISNUMBER(_xll.BDH(config!$G$4,N$1,$A743,$A743)),_xll.BDH(config!$G$4,N$1,$A743,$A743),_xll.BDH(config!$G$5,N$1,$A743,$A743))))</f>
        <v/>
      </c>
      <c r="O743" s="8" t="str">
        <f>IF($A743="","",IF(ISNUMBER(FIND("IMPVOL",O$1)),_xll.BDH(config!$G$4,O$1,WORKDAY($A743,-1,config_Holiday_Calendar_US),WORKDAY($A743,-1,config_Holiday_Calendar_US)),IF(ISNUMBER(_xll.BDH(config!$G$4,O$1,$A743,$A743)),_xll.BDH(config!$G$4,O$1,$A743,$A743),_xll.BDH(config!$G$5,O$1,$A743,$A743))))</f>
        <v/>
      </c>
      <c r="P743" s="8" t="str">
        <f>IF($A743="","",IF(ISNUMBER(FIND("IMPVOL",P$1)),_xll.BDH(config!$G$4,P$1,WORKDAY($A743,-1,config_Holiday_Calendar_US),WORKDAY($A743,-1,config_Holiday_Calendar_US)),IF(ISNUMBER(_xll.BDH(config!$G$4,P$1,$A743,$A743)),_xll.BDH(config!$G$4,P$1,$A743,$A743),_xll.BDH(config!$G$5,P$1,$A743,$A743))))</f>
        <v/>
      </c>
      <c r="Q743" s="8" t="str">
        <f>IF($A743="","",IF(ISNUMBER(FIND("IMPVOL",Q$1)),_xll.BDH(config!$G$4,Q$1,WORKDAY($A743,-1,config_Holiday_Calendar_US),WORKDAY($A743,-1,config_Holiday_Calendar_US)),IF(ISNUMBER(_xll.BDH(config!$G$4,Q$1,$A743,$A743)),_xll.BDH(config!$G$4,Q$1,$A743,$A743),_xll.BDH(config!$G$5,Q$1,$A743,$A743))))</f>
        <v/>
      </c>
      <c r="R743" s="8" t="str">
        <f>IF($A743="","",IF(ISNUMBER(FIND("IMPVOL",R$1)),_xll.BDH(config!$G$4,R$1,WORKDAY($A743,-1,config_Holiday_Calendar_US),WORKDAY($A743,-1,config_Holiday_Calendar_US)),IF(ISNUMBER(_xll.BDH(config!$G$4,R$1,$A743,$A743)),_xll.BDH(config!$G$4,R$1,$A743,$A743),_xll.BDH(config!$G$5,R$1,$A743,$A743))))</f>
        <v/>
      </c>
      <c r="S743" s="8" t="str">
        <f>IF($A743="","",IF(ISNUMBER(FIND("IMPVOL",S$1)),_xll.BDH(config!$G$4,S$1,WORKDAY($A743,-1,config_Holiday_Calendar_US),WORKDAY($A743,-1,config_Holiday_Calendar_US)),IF(ISNUMBER(_xll.BDH(config!$G$4,S$1,$A743,$A743)),_xll.BDH(config!$G$4,S$1,$A743,$A743),_xll.BDH(config!$G$5,S$1,$A743,$A743))))</f>
        <v/>
      </c>
      <c r="T743" s="8" t="str">
        <f>IF($A743="","",IF(ISNUMBER(FIND("IMPVOL",T$1)),_xll.BDH(config!$G$4,T$1,WORKDAY($A743,-1,config_Holiday_Calendar_US),WORKDAY($A743,-1,config_Holiday_Calendar_US)),IF(ISNUMBER(_xll.BDH(config!$G$4,T$1,$A743,$A743)),_xll.BDH(config!$G$4,T$1,$A743,$A743),_xll.BDH(config!$G$5,T$1,$A743,$A743))))</f>
        <v/>
      </c>
      <c r="U743" s="8" t="str">
        <f>IF($A743="","",IF(ISNUMBER(FIND("IMPVOL",U$1)),_xll.BDH(config!$G$4,U$1,WORKDAY($A743,-1,config_Holiday_Calendar_US),WORKDAY($A743,-1,config_Holiday_Calendar_US)),IF(ISNUMBER(_xll.BDH(config!$G$4,U$1,$A743,$A743)),_xll.BDH(config!$G$4,U$1,$A743,$A743),_xll.BDH(config!$G$5,U$1,$A743,$A743))))</f>
        <v/>
      </c>
      <c r="V743" s="8" t="str">
        <f>IF($A743="","",IF(ISNUMBER(FIND("IMPVOL",V$1)),_xll.BDH(config!$G$4,V$1,WORKDAY($A743,-1,config_Holiday_Calendar_US),WORKDAY($A743,-1,config_Holiday_Calendar_US)),IF(ISNUMBER(_xll.BDH(config!$G$4,V$1,$A743,$A743)),_xll.BDH(config!$G$4,V$1,$A743,$A743),_xll.BDH(config!$G$5,V$1,$A743,$A743))))</f>
        <v/>
      </c>
      <c r="W743" s="8" t="str">
        <f>IF($A743="","",IF(ISNUMBER(FIND("IMPVOL",W$1)),_xll.BDH(config!$G$4,W$1,WORKDAY($A743,-1,config_Holiday_Calendar_US),WORKDAY($A743,-1,config_Holiday_Calendar_US)),IF(ISNUMBER(_xll.BDH(config!$G$4,W$1,$A743,$A743)),_xll.BDH(config!$G$4,W$1,$A743,$A743),_xll.BDH(config!$G$5,W$1,$A743,$A743))))</f>
        <v/>
      </c>
    </row>
    <row r="744" spans="1:23" x14ac:dyDescent="0.2">
      <c r="A744" s="9" t="str">
        <f>IF(A743="","",IF(WORKDAY(A743,-1,config_Holiday_Calendar_US)&lt;config!$I$10,"",WORKDAY(A743,-1,config_Holiday_Calendar_US)))</f>
        <v/>
      </c>
      <c r="B744" s="8" t="str">
        <f t="shared" si="11"/>
        <v/>
      </c>
      <c r="C744" s="8" t="str">
        <f>IF(A744="","",_xll.BDH(config!$H$4,C$1,$A744,$A744))</f>
        <v/>
      </c>
      <c r="D744" s="8" t="str">
        <f>IF($A744="","",_xll.BDH(config!$H$4,D$1,$A744,$A744))</f>
        <v/>
      </c>
      <c r="E744" s="8" t="str">
        <f>IF($A744="","",IF(ISNUMBER(FIND("IMPVOL",E$1)),_xll.BDH(config!$G$4,E$1,WORKDAY($A744,-1,config_Holiday_Calendar_US),WORKDAY($A744,-1,config_Holiday_Calendar_US)),IF(ISNUMBER(_xll.BDH(config!$G$4,E$1,$A744,$A744)),_xll.BDH(config!$G$4,E$1,$A744,$A744),_xll.BDH(config!$G$5,E$1,$A744,$A744))))</f>
        <v/>
      </c>
      <c r="F744" s="8" t="str">
        <f>IF($A744="","",IF(ISNUMBER(FIND("IMPVOL",F$1)),_xll.BDH(config!$G$4,F$1,WORKDAY($A744,-1,config_Holiday_Calendar_US),WORKDAY($A744,-1,config_Holiday_Calendar_US)),IF(ISNUMBER(_xll.BDH(config!$G$4,F$1,$A744,$A744)),_xll.BDH(config!$G$4,F$1,$A744,$A744),_xll.BDH(config!$G$5,F$1,$A744,$A744))))</f>
        <v/>
      </c>
      <c r="G744" s="8" t="str">
        <f>IF($A744="","",IF(ISNUMBER(FIND("IMPVOL",G$1)),_xll.BDH(config!$G$4,G$1,WORKDAY($A744,-1,config_Holiday_Calendar_US),WORKDAY($A744,-1,config_Holiday_Calendar_US)),IF(ISNUMBER(_xll.BDH(config!$G$4,G$1,$A744,$A744)),_xll.BDH(config!$G$4,G$1,$A744,$A744),_xll.BDH(config!$G$5,G$1,$A744,$A744))))</f>
        <v/>
      </c>
      <c r="H744" s="8" t="str">
        <f>IF($A744="","",IF(ISNUMBER(FIND("IMPVOL",H$1)),_xll.BDH(config!$G$4,H$1,WORKDAY($A744,-1,config_Holiday_Calendar_US),WORKDAY($A744,-1,config_Holiday_Calendar_US)),IF(ISNUMBER(_xll.BDH(config!$G$4,H$1,$A744,$A744)),_xll.BDH(config!$G$4,H$1,$A744,$A744),_xll.BDH(config!$G$5,H$1,$A744,$A744))))</f>
        <v/>
      </c>
      <c r="I744" s="8" t="str">
        <f>IF($A744="","",IF(ISNUMBER(FIND("IMPVOL",I$1)),_xll.BDH(config!$G$4,I$1,WORKDAY($A744,-1,config_Holiday_Calendar_US),WORKDAY($A744,-1,config_Holiday_Calendar_US)),IF(ISNUMBER(_xll.BDH(config!$G$4,I$1,$A744,$A744)),_xll.BDH(config!$G$4,I$1,$A744,$A744),_xll.BDH(config!$G$5,I$1,$A744,$A744))))</f>
        <v/>
      </c>
      <c r="J744" s="8" t="str">
        <f>IF($A744="","",IF(ISNUMBER(FIND("IMPVOL",J$1)),_xll.BDH(config!$G$4,J$1,WORKDAY($A744,-1,config_Holiday_Calendar_US),WORKDAY($A744,-1,config_Holiday_Calendar_US)),IF(ISNUMBER(_xll.BDH(config!$G$4,J$1,$A744,$A744)),_xll.BDH(config!$G$4,J$1,$A744,$A744),_xll.BDH(config!$G$5,J$1,$A744,$A744))))</f>
        <v/>
      </c>
      <c r="K744" s="8" t="str">
        <f>IF($A744="","",IF(ISNUMBER(FIND("IMPVOL",K$1)),_xll.BDH(config!$G$4,K$1,WORKDAY($A744,-1,config_Holiday_Calendar_US),WORKDAY($A744,-1,config_Holiday_Calendar_US)),IF(ISNUMBER(_xll.BDH(config!$G$4,K$1,$A744,$A744)),_xll.BDH(config!$G$4,K$1,$A744,$A744),_xll.BDH(config!$G$5,K$1,$A744,$A744))))</f>
        <v/>
      </c>
      <c r="L744" s="8" t="str">
        <f>IF($A744="","",IF(ISNUMBER(FIND("IMPVOL",L$1)),_xll.BDH(config!$G$4,L$1,WORKDAY($A744,-1,config_Holiday_Calendar_US),WORKDAY($A744,-1,config_Holiday_Calendar_US)),IF(ISNUMBER(_xll.BDH(config!$G$4,L$1,$A744,$A744)),_xll.BDH(config!$G$4,L$1,$A744,$A744),_xll.BDH(config!$G$5,L$1,$A744,$A744))))</f>
        <v/>
      </c>
      <c r="M744" s="8" t="str">
        <f>IF($A744="","",IF(ISNUMBER(FIND("IMPVOL",M$1)),_xll.BDH(config!$G$4,M$1,WORKDAY($A744,-1,config_Holiday_Calendar_US),WORKDAY($A744,-1,config_Holiday_Calendar_US)),IF(ISNUMBER(_xll.BDH(config!$G$4,M$1,$A744,$A744)),_xll.BDH(config!$G$4,M$1,$A744,$A744),_xll.BDH(config!$G$5,M$1,$A744,$A744))))</f>
        <v/>
      </c>
      <c r="N744" s="8" t="str">
        <f>IF($A744="","",IF(ISNUMBER(FIND("IMPVOL",N$1)),_xll.BDH(config!$G$4,N$1,WORKDAY($A744,-1,config_Holiday_Calendar_US),WORKDAY($A744,-1,config_Holiday_Calendar_US)),IF(ISNUMBER(_xll.BDH(config!$G$4,N$1,$A744,$A744)),_xll.BDH(config!$G$4,N$1,$A744,$A744),_xll.BDH(config!$G$5,N$1,$A744,$A744))))</f>
        <v/>
      </c>
      <c r="O744" s="8" t="str">
        <f>IF($A744="","",IF(ISNUMBER(FIND("IMPVOL",O$1)),_xll.BDH(config!$G$4,O$1,WORKDAY($A744,-1,config_Holiday_Calendar_US),WORKDAY($A744,-1,config_Holiday_Calendar_US)),IF(ISNUMBER(_xll.BDH(config!$G$4,O$1,$A744,$A744)),_xll.BDH(config!$G$4,O$1,$A744,$A744),_xll.BDH(config!$G$5,O$1,$A744,$A744))))</f>
        <v/>
      </c>
      <c r="P744" s="8" t="str">
        <f>IF($A744="","",IF(ISNUMBER(FIND("IMPVOL",P$1)),_xll.BDH(config!$G$4,P$1,WORKDAY($A744,-1,config_Holiday_Calendar_US),WORKDAY($A744,-1,config_Holiday_Calendar_US)),IF(ISNUMBER(_xll.BDH(config!$G$4,P$1,$A744,$A744)),_xll.BDH(config!$G$4,P$1,$A744,$A744),_xll.BDH(config!$G$5,P$1,$A744,$A744))))</f>
        <v/>
      </c>
      <c r="Q744" s="8" t="str">
        <f>IF($A744="","",IF(ISNUMBER(FIND("IMPVOL",Q$1)),_xll.BDH(config!$G$4,Q$1,WORKDAY($A744,-1,config_Holiday_Calendar_US),WORKDAY($A744,-1,config_Holiday_Calendar_US)),IF(ISNUMBER(_xll.BDH(config!$G$4,Q$1,$A744,$A744)),_xll.BDH(config!$G$4,Q$1,$A744,$A744),_xll.BDH(config!$G$5,Q$1,$A744,$A744))))</f>
        <v/>
      </c>
      <c r="R744" s="8" t="str">
        <f>IF($A744="","",IF(ISNUMBER(FIND("IMPVOL",R$1)),_xll.BDH(config!$G$4,R$1,WORKDAY($A744,-1,config_Holiday_Calendar_US),WORKDAY($A744,-1,config_Holiday_Calendar_US)),IF(ISNUMBER(_xll.BDH(config!$G$4,R$1,$A744,$A744)),_xll.BDH(config!$G$4,R$1,$A744,$A744),_xll.BDH(config!$G$5,R$1,$A744,$A744))))</f>
        <v/>
      </c>
      <c r="S744" s="8" t="str">
        <f>IF($A744="","",IF(ISNUMBER(FIND("IMPVOL",S$1)),_xll.BDH(config!$G$4,S$1,WORKDAY($A744,-1,config_Holiday_Calendar_US),WORKDAY($A744,-1,config_Holiday_Calendar_US)),IF(ISNUMBER(_xll.BDH(config!$G$4,S$1,$A744,$A744)),_xll.BDH(config!$G$4,S$1,$A744,$A744),_xll.BDH(config!$G$5,S$1,$A744,$A744))))</f>
        <v/>
      </c>
      <c r="T744" s="8" t="str">
        <f>IF($A744="","",IF(ISNUMBER(FIND("IMPVOL",T$1)),_xll.BDH(config!$G$4,T$1,WORKDAY($A744,-1,config_Holiday_Calendar_US),WORKDAY($A744,-1,config_Holiday_Calendar_US)),IF(ISNUMBER(_xll.BDH(config!$G$4,T$1,$A744,$A744)),_xll.BDH(config!$G$4,T$1,$A744,$A744),_xll.BDH(config!$G$5,T$1,$A744,$A744))))</f>
        <v/>
      </c>
      <c r="U744" s="8" t="str">
        <f>IF($A744="","",IF(ISNUMBER(FIND("IMPVOL",U$1)),_xll.BDH(config!$G$4,U$1,WORKDAY($A744,-1,config_Holiday_Calendar_US),WORKDAY($A744,-1,config_Holiday_Calendar_US)),IF(ISNUMBER(_xll.BDH(config!$G$4,U$1,$A744,$A744)),_xll.BDH(config!$G$4,U$1,$A744,$A744),_xll.BDH(config!$G$5,U$1,$A744,$A744))))</f>
        <v/>
      </c>
      <c r="V744" s="8" t="str">
        <f>IF($A744="","",IF(ISNUMBER(FIND("IMPVOL",V$1)),_xll.BDH(config!$G$4,V$1,WORKDAY($A744,-1,config_Holiday_Calendar_US),WORKDAY($A744,-1,config_Holiday_Calendar_US)),IF(ISNUMBER(_xll.BDH(config!$G$4,V$1,$A744,$A744)),_xll.BDH(config!$G$4,V$1,$A744,$A744),_xll.BDH(config!$G$5,V$1,$A744,$A744))))</f>
        <v/>
      </c>
      <c r="W744" s="8" t="str">
        <f>IF($A744="","",IF(ISNUMBER(FIND("IMPVOL",W$1)),_xll.BDH(config!$G$4,W$1,WORKDAY($A744,-1,config_Holiday_Calendar_US),WORKDAY($A744,-1,config_Holiday_Calendar_US)),IF(ISNUMBER(_xll.BDH(config!$G$4,W$1,$A744,$A744)),_xll.BDH(config!$G$4,W$1,$A744,$A744),_xll.BDH(config!$G$5,W$1,$A744,$A744))))</f>
        <v/>
      </c>
    </row>
    <row r="745" spans="1:23" x14ac:dyDescent="0.2">
      <c r="A745" s="9" t="str">
        <f>IF(A744="","",IF(WORKDAY(A744,-1,config_Holiday_Calendar_US)&lt;config!$I$10,"",WORKDAY(A744,-1,config_Holiday_Calendar_US)))</f>
        <v/>
      </c>
      <c r="B745" s="8" t="str">
        <f t="shared" si="11"/>
        <v/>
      </c>
      <c r="C745" s="8" t="str">
        <f>IF(A745="","",_xll.BDH(config!$H$4,C$1,$A745,$A745))</f>
        <v/>
      </c>
      <c r="D745" s="8" t="str">
        <f>IF($A745="","",_xll.BDH(config!$H$4,D$1,$A745,$A745))</f>
        <v/>
      </c>
      <c r="E745" s="8" t="str">
        <f>IF($A745="","",IF(ISNUMBER(FIND("IMPVOL",E$1)),_xll.BDH(config!$G$4,E$1,WORKDAY($A745,-1,config_Holiday_Calendar_US),WORKDAY($A745,-1,config_Holiday_Calendar_US)),IF(ISNUMBER(_xll.BDH(config!$G$4,E$1,$A745,$A745)),_xll.BDH(config!$G$4,E$1,$A745,$A745),_xll.BDH(config!$G$5,E$1,$A745,$A745))))</f>
        <v/>
      </c>
      <c r="F745" s="8" t="str">
        <f>IF($A745="","",IF(ISNUMBER(FIND("IMPVOL",F$1)),_xll.BDH(config!$G$4,F$1,WORKDAY($A745,-1,config_Holiday_Calendar_US),WORKDAY($A745,-1,config_Holiday_Calendar_US)),IF(ISNUMBER(_xll.BDH(config!$G$4,F$1,$A745,$A745)),_xll.BDH(config!$G$4,F$1,$A745,$A745),_xll.BDH(config!$G$5,F$1,$A745,$A745))))</f>
        <v/>
      </c>
      <c r="G745" s="8" t="str">
        <f>IF($A745="","",IF(ISNUMBER(FIND("IMPVOL",G$1)),_xll.BDH(config!$G$4,G$1,WORKDAY($A745,-1,config_Holiday_Calendar_US),WORKDAY($A745,-1,config_Holiday_Calendar_US)),IF(ISNUMBER(_xll.BDH(config!$G$4,G$1,$A745,$A745)),_xll.BDH(config!$G$4,G$1,$A745,$A745),_xll.BDH(config!$G$5,G$1,$A745,$A745))))</f>
        <v/>
      </c>
      <c r="H745" s="8" t="str">
        <f>IF($A745="","",IF(ISNUMBER(FIND("IMPVOL",H$1)),_xll.BDH(config!$G$4,H$1,WORKDAY($A745,-1,config_Holiday_Calendar_US),WORKDAY($A745,-1,config_Holiday_Calendar_US)),IF(ISNUMBER(_xll.BDH(config!$G$4,H$1,$A745,$A745)),_xll.BDH(config!$G$4,H$1,$A745,$A745),_xll.BDH(config!$G$5,H$1,$A745,$A745))))</f>
        <v/>
      </c>
      <c r="I745" s="8" t="str">
        <f>IF($A745="","",IF(ISNUMBER(FIND("IMPVOL",I$1)),_xll.BDH(config!$G$4,I$1,WORKDAY($A745,-1,config_Holiday_Calendar_US),WORKDAY($A745,-1,config_Holiday_Calendar_US)),IF(ISNUMBER(_xll.BDH(config!$G$4,I$1,$A745,$A745)),_xll.BDH(config!$G$4,I$1,$A745,$A745),_xll.BDH(config!$G$5,I$1,$A745,$A745))))</f>
        <v/>
      </c>
      <c r="J745" s="8" t="str">
        <f>IF($A745="","",IF(ISNUMBER(FIND("IMPVOL",J$1)),_xll.BDH(config!$G$4,J$1,WORKDAY($A745,-1,config_Holiday_Calendar_US),WORKDAY($A745,-1,config_Holiday_Calendar_US)),IF(ISNUMBER(_xll.BDH(config!$G$4,J$1,$A745,$A745)),_xll.BDH(config!$G$4,J$1,$A745,$A745),_xll.BDH(config!$G$5,J$1,$A745,$A745))))</f>
        <v/>
      </c>
      <c r="K745" s="8" t="str">
        <f>IF($A745="","",IF(ISNUMBER(FIND("IMPVOL",K$1)),_xll.BDH(config!$G$4,K$1,WORKDAY($A745,-1,config_Holiday_Calendar_US),WORKDAY($A745,-1,config_Holiday_Calendar_US)),IF(ISNUMBER(_xll.BDH(config!$G$4,K$1,$A745,$A745)),_xll.BDH(config!$G$4,K$1,$A745,$A745),_xll.BDH(config!$G$5,K$1,$A745,$A745))))</f>
        <v/>
      </c>
      <c r="L745" s="8" t="str">
        <f>IF($A745="","",IF(ISNUMBER(FIND("IMPVOL",L$1)),_xll.BDH(config!$G$4,L$1,WORKDAY($A745,-1,config_Holiday_Calendar_US),WORKDAY($A745,-1,config_Holiday_Calendar_US)),IF(ISNUMBER(_xll.BDH(config!$G$4,L$1,$A745,$A745)),_xll.BDH(config!$G$4,L$1,$A745,$A745),_xll.BDH(config!$G$5,L$1,$A745,$A745))))</f>
        <v/>
      </c>
      <c r="M745" s="8" t="str">
        <f>IF($A745="","",IF(ISNUMBER(FIND("IMPVOL",M$1)),_xll.BDH(config!$G$4,M$1,WORKDAY($A745,-1,config_Holiday_Calendar_US),WORKDAY($A745,-1,config_Holiday_Calendar_US)),IF(ISNUMBER(_xll.BDH(config!$G$4,M$1,$A745,$A745)),_xll.BDH(config!$G$4,M$1,$A745,$A745),_xll.BDH(config!$G$5,M$1,$A745,$A745))))</f>
        <v/>
      </c>
      <c r="N745" s="8" t="str">
        <f>IF($A745="","",IF(ISNUMBER(FIND("IMPVOL",N$1)),_xll.BDH(config!$G$4,N$1,WORKDAY($A745,-1,config_Holiday_Calendar_US),WORKDAY($A745,-1,config_Holiday_Calendar_US)),IF(ISNUMBER(_xll.BDH(config!$G$4,N$1,$A745,$A745)),_xll.BDH(config!$G$4,N$1,$A745,$A745),_xll.BDH(config!$G$5,N$1,$A745,$A745))))</f>
        <v/>
      </c>
      <c r="O745" s="8" t="str">
        <f>IF($A745="","",IF(ISNUMBER(FIND("IMPVOL",O$1)),_xll.BDH(config!$G$4,O$1,WORKDAY($A745,-1,config_Holiday_Calendar_US),WORKDAY($A745,-1,config_Holiday_Calendar_US)),IF(ISNUMBER(_xll.BDH(config!$G$4,O$1,$A745,$A745)),_xll.BDH(config!$G$4,O$1,$A745,$A745),_xll.BDH(config!$G$5,O$1,$A745,$A745))))</f>
        <v/>
      </c>
      <c r="P745" s="8" t="str">
        <f>IF($A745="","",IF(ISNUMBER(FIND("IMPVOL",P$1)),_xll.BDH(config!$G$4,P$1,WORKDAY($A745,-1,config_Holiday_Calendar_US),WORKDAY($A745,-1,config_Holiday_Calendar_US)),IF(ISNUMBER(_xll.BDH(config!$G$4,P$1,$A745,$A745)),_xll.BDH(config!$G$4,P$1,$A745,$A745),_xll.BDH(config!$G$5,P$1,$A745,$A745))))</f>
        <v/>
      </c>
      <c r="Q745" s="8" t="str">
        <f>IF($A745="","",IF(ISNUMBER(FIND("IMPVOL",Q$1)),_xll.BDH(config!$G$4,Q$1,WORKDAY($A745,-1,config_Holiday_Calendar_US),WORKDAY($A745,-1,config_Holiday_Calendar_US)),IF(ISNUMBER(_xll.BDH(config!$G$4,Q$1,$A745,$A745)),_xll.BDH(config!$G$4,Q$1,$A745,$A745),_xll.BDH(config!$G$5,Q$1,$A745,$A745))))</f>
        <v/>
      </c>
      <c r="R745" s="8" t="str">
        <f>IF($A745="","",IF(ISNUMBER(FIND("IMPVOL",R$1)),_xll.BDH(config!$G$4,R$1,WORKDAY($A745,-1,config_Holiday_Calendar_US),WORKDAY($A745,-1,config_Holiday_Calendar_US)),IF(ISNUMBER(_xll.BDH(config!$G$4,R$1,$A745,$A745)),_xll.BDH(config!$G$4,R$1,$A745,$A745),_xll.BDH(config!$G$5,R$1,$A745,$A745))))</f>
        <v/>
      </c>
      <c r="S745" s="8" t="str">
        <f>IF($A745="","",IF(ISNUMBER(FIND("IMPVOL",S$1)),_xll.BDH(config!$G$4,S$1,WORKDAY($A745,-1,config_Holiday_Calendar_US),WORKDAY($A745,-1,config_Holiday_Calendar_US)),IF(ISNUMBER(_xll.BDH(config!$G$4,S$1,$A745,$A745)),_xll.BDH(config!$G$4,S$1,$A745,$A745),_xll.BDH(config!$G$5,S$1,$A745,$A745))))</f>
        <v/>
      </c>
      <c r="T745" s="8" t="str">
        <f>IF($A745="","",IF(ISNUMBER(FIND("IMPVOL",T$1)),_xll.BDH(config!$G$4,T$1,WORKDAY($A745,-1,config_Holiday_Calendar_US),WORKDAY($A745,-1,config_Holiday_Calendar_US)),IF(ISNUMBER(_xll.BDH(config!$G$4,T$1,$A745,$A745)),_xll.BDH(config!$G$4,T$1,$A745,$A745),_xll.BDH(config!$G$5,T$1,$A745,$A745))))</f>
        <v/>
      </c>
      <c r="U745" s="8" t="str">
        <f>IF($A745="","",IF(ISNUMBER(FIND("IMPVOL",U$1)),_xll.BDH(config!$G$4,U$1,WORKDAY($A745,-1,config_Holiday_Calendar_US),WORKDAY($A745,-1,config_Holiday_Calendar_US)),IF(ISNUMBER(_xll.BDH(config!$G$4,U$1,$A745,$A745)),_xll.BDH(config!$G$4,U$1,$A745,$A745),_xll.BDH(config!$G$5,U$1,$A745,$A745))))</f>
        <v/>
      </c>
      <c r="V745" s="8" t="str">
        <f>IF($A745="","",IF(ISNUMBER(FIND("IMPVOL",V$1)),_xll.BDH(config!$G$4,V$1,WORKDAY($A745,-1,config_Holiday_Calendar_US),WORKDAY($A745,-1,config_Holiday_Calendar_US)),IF(ISNUMBER(_xll.BDH(config!$G$4,V$1,$A745,$A745)),_xll.BDH(config!$G$4,V$1,$A745,$A745),_xll.BDH(config!$G$5,V$1,$A745,$A745))))</f>
        <v/>
      </c>
      <c r="W745" s="8" t="str">
        <f>IF($A745="","",IF(ISNUMBER(FIND("IMPVOL",W$1)),_xll.BDH(config!$G$4,W$1,WORKDAY($A745,-1,config_Holiday_Calendar_US),WORKDAY($A745,-1,config_Holiday_Calendar_US)),IF(ISNUMBER(_xll.BDH(config!$G$4,W$1,$A745,$A745)),_xll.BDH(config!$G$4,W$1,$A745,$A745),_xll.BDH(config!$G$5,W$1,$A745,$A745))))</f>
        <v/>
      </c>
    </row>
    <row r="746" spans="1:23" x14ac:dyDescent="0.2">
      <c r="A746" s="9" t="str">
        <f>IF(A745="","",IF(WORKDAY(A745,-1,config_Holiday_Calendar_US)&lt;config!$I$10,"",WORKDAY(A745,-1,config_Holiday_Calendar_US)))</f>
        <v/>
      </c>
      <c r="B746" s="8" t="str">
        <f t="shared" si="11"/>
        <v/>
      </c>
      <c r="C746" s="8" t="str">
        <f>IF(A746="","",_xll.BDH(config!$H$4,C$1,$A746,$A746))</f>
        <v/>
      </c>
      <c r="D746" s="8" t="str">
        <f>IF($A746="","",_xll.BDH(config!$H$4,D$1,$A746,$A746))</f>
        <v/>
      </c>
      <c r="E746" s="8" t="str">
        <f>IF($A746="","",IF(ISNUMBER(FIND("IMPVOL",E$1)),_xll.BDH(config!$G$4,E$1,WORKDAY($A746,-1,config_Holiday_Calendar_US),WORKDAY($A746,-1,config_Holiday_Calendar_US)),IF(ISNUMBER(_xll.BDH(config!$G$4,E$1,$A746,$A746)),_xll.BDH(config!$G$4,E$1,$A746,$A746),_xll.BDH(config!$G$5,E$1,$A746,$A746))))</f>
        <v/>
      </c>
      <c r="F746" s="8" t="str">
        <f>IF($A746="","",IF(ISNUMBER(FIND("IMPVOL",F$1)),_xll.BDH(config!$G$4,F$1,WORKDAY($A746,-1,config_Holiday_Calendar_US),WORKDAY($A746,-1,config_Holiday_Calendar_US)),IF(ISNUMBER(_xll.BDH(config!$G$4,F$1,$A746,$A746)),_xll.BDH(config!$G$4,F$1,$A746,$A746),_xll.BDH(config!$G$5,F$1,$A746,$A746))))</f>
        <v/>
      </c>
      <c r="G746" s="8" t="str">
        <f>IF($A746="","",IF(ISNUMBER(FIND("IMPVOL",G$1)),_xll.BDH(config!$G$4,G$1,WORKDAY($A746,-1,config_Holiday_Calendar_US),WORKDAY($A746,-1,config_Holiday_Calendar_US)),IF(ISNUMBER(_xll.BDH(config!$G$4,G$1,$A746,$A746)),_xll.BDH(config!$G$4,G$1,$A746,$A746),_xll.BDH(config!$G$5,G$1,$A746,$A746))))</f>
        <v/>
      </c>
      <c r="H746" s="8" t="str">
        <f>IF($A746="","",IF(ISNUMBER(FIND("IMPVOL",H$1)),_xll.BDH(config!$G$4,H$1,WORKDAY($A746,-1,config_Holiday_Calendar_US),WORKDAY($A746,-1,config_Holiday_Calendar_US)),IF(ISNUMBER(_xll.BDH(config!$G$4,H$1,$A746,$A746)),_xll.BDH(config!$G$4,H$1,$A746,$A746),_xll.BDH(config!$G$5,H$1,$A746,$A746))))</f>
        <v/>
      </c>
      <c r="I746" s="8" t="str">
        <f>IF($A746="","",IF(ISNUMBER(FIND("IMPVOL",I$1)),_xll.BDH(config!$G$4,I$1,WORKDAY($A746,-1,config_Holiday_Calendar_US),WORKDAY($A746,-1,config_Holiday_Calendar_US)),IF(ISNUMBER(_xll.BDH(config!$G$4,I$1,$A746,$A746)),_xll.BDH(config!$G$4,I$1,$A746,$A746),_xll.BDH(config!$G$5,I$1,$A746,$A746))))</f>
        <v/>
      </c>
      <c r="J746" s="8" t="str">
        <f>IF($A746="","",IF(ISNUMBER(FIND("IMPVOL",J$1)),_xll.BDH(config!$G$4,J$1,WORKDAY($A746,-1,config_Holiday_Calendar_US),WORKDAY($A746,-1,config_Holiday_Calendar_US)),IF(ISNUMBER(_xll.BDH(config!$G$4,J$1,$A746,$A746)),_xll.BDH(config!$G$4,J$1,$A746,$A746),_xll.BDH(config!$G$5,J$1,$A746,$A746))))</f>
        <v/>
      </c>
      <c r="K746" s="8" t="str">
        <f>IF($A746="","",IF(ISNUMBER(FIND("IMPVOL",K$1)),_xll.BDH(config!$G$4,K$1,WORKDAY($A746,-1,config_Holiday_Calendar_US),WORKDAY($A746,-1,config_Holiday_Calendar_US)),IF(ISNUMBER(_xll.BDH(config!$G$4,K$1,$A746,$A746)),_xll.BDH(config!$G$4,K$1,$A746,$A746),_xll.BDH(config!$G$5,K$1,$A746,$A746))))</f>
        <v/>
      </c>
      <c r="L746" s="8" t="str">
        <f>IF($A746="","",IF(ISNUMBER(FIND("IMPVOL",L$1)),_xll.BDH(config!$G$4,L$1,WORKDAY($A746,-1,config_Holiday_Calendar_US),WORKDAY($A746,-1,config_Holiday_Calendar_US)),IF(ISNUMBER(_xll.BDH(config!$G$4,L$1,$A746,$A746)),_xll.BDH(config!$G$4,L$1,$A746,$A746),_xll.BDH(config!$G$5,L$1,$A746,$A746))))</f>
        <v/>
      </c>
      <c r="M746" s="8" t="str">
        <f>IF($A746="","",IF(ISNUMBER(FIND("IMPVOL",M$1)),_xll.BDH(config!$G$4,M$1,WORKDAY($A746,-1,config_Holiday_Calendar_US),WORKDAY($A746,-1,config_Holiday_Calendar_US)),IF(ISNUMBER(_xll.BDH(config!$G$4,M$1,$A746,$A746)),_xll.BDH(config!$G$4,M$1,$A746,$A746),_xll.BDH(config!$G$5,M$1,$A746,$A746))))</f>
        <v/>
      </c>
      <c r="N746" s="8" t="str">
        <f>IF($A746="","",IF(ISNUMBER(FIND("IMPVOL",N$1)),_xll.BDH(config!$G$4,N$1,WORKDAY($A746,-1,config_Holiday_Calendar_US),WORKDAY($A746,-1,config_Holiday_Calendar_US)),IF(ISNUMBER(_xll.BDH(config!$G$4,N$1,$A746,$A746)),_xll.BDH(config!$G$4,N$1,$A746,$A746),_xll.BDH(config!$G$5,N$1,$A746,$A746))))</f>
        <v/>
      </c>
      <c r="O746" s="8" t="str">
        <f>IF($A746="","",IF(ISNUMBER(FIND("IMPVOL",O$1)),_xll.BDH(config!$G$4,O$1,WORKDAY($A746,-1,config_Holiday_Calendar_US),WORKDAY($A746,-1,config_Holiday_Calendar_US)),IF(ISNUMBER(_xll.BDH(config!$G$4,O$1,$A746,$A746)),_xll.BDH(config!$G$4,O$1,$A746,$A746),_xll.BDH(config!$G$5,O$1,$A746,$A746))))</f>
        <v/>
      </c>
      <c r="P746" s="8" t="str">
        <f>IF($A746="","",IF(ISNUMBER(FIND("IMPVOL",P$1)),_xll.BDH(config!$G$4,P$1,WORKDAY($A746,-1,config_Holiday_Calendar_US),WORKDAY($A746,-1,config_Holiday_Calendar_US)),IF(ISNUMBER(_xll.BDH(config!$G$4,P$1,$A746,$A746)),_xll.BDH(config!$G$4,P$1,$A746,$A746),_xll.BDH(config!$G$5,P$1,$A746,$A746))))</f>
        <v/>
      </c>
      <c r="Q746" s="8" t="str">
        <f>IF($A746="","",IF(ISNUMBER(FIND("IMPVOL",Q$1)),_xll.BDH(config!$G$4,Q$1,WORKDAY($A746,-1,config_Holiday_Calendar_US),WORKDAY($A746,-1,config_Holiday_Calendar_US)),IF(ISNUMBER(_xll.BDH(config!$G$4,Q$1,$A746,$A746)),_xll.BDH(config!$G$4,Q$1,$A746,$A746),_xll.BDH(config!$G$5,Q$1,$A746,$A746))))</f>
        <v/>
      </c>
      <c r="R746" s="8" t="str">
        <f>IF($A746="","",IF(ISNUMBER(FIND("IMPVOL",R$1)),_xll.BDH(config!$G$4,R$1,WORKDAY($A746,-1,config_Holiday_Calendar_US),WORKDAY($A746,-1,config_Holiday_Calendar_US)),IF(ISNUMBER(_xll.BDH(config!$G$4,R$1,$A746,$A746)),_xll.BDH(config!$G$4,R$1,$A746,$A746),_xll.BDH(config!$G$5,R$1,$A746,$A746))))</f>
        <v/>
      </c>
      <c r="S746" s="8" t="str">
        <f>IF($A746="","",IF(ISNUMBER(FIND("IMPVOL",S$1)),_xll.BDH(config!$G$4,S$1,WORKDAY($A746,-1,config_Holiday_Calendar_US),WORKDAY($A746,-1,config_Holiday_Calendar_US)),IF(ISNUMBER(_xll.BDH(config!$G$4,S$1,$A746,$A746)),_xll.BDH(config!$G$4,S$1,$A746,$A746),_xll.BDH(config!$G$5,S$1,$A746,$A746))))</f>
        <v/>
      </c>
      <c r="T746" s="8" t="str">
        <f>IF($A746="","",IF(ISNUMBER(FIND("IMPVOL",T$1)),_xll.BDH(config!$G$4,T$1,WORKDAY($A746,-1,config_Holiday_Calendar_US),WORKDAY($A746,-1,config_Holiday_Calendar_US)),IF(ISNUMBER(_xll.BDH(config!$G$4,T$1,$A746,$A746)),_xll.BDH(config!$G$4,T$1,$A746,$A746),_xll.BDH(config!$G$5,T$1,$A746,$A746))))</f>
        <v/>
      </c>
      <c r="U746" s="8" t="str">
        <f>IF($A746="","",IF(ISNUMBER(FIND("IMPVOL",U$1)),_xll.BDH(config!$G$4,U$1,WORKDAY($A746,-1,config_Holiday_Calendar_US),WORKDAY($A746,-1,config_Holiday_Calendar_US)),IF(ISNUMBER(_xll.BDH(config!$G$4,U$1,$A746,$A746)),_xll.BDH(config!$G$4,U$1,$A746,$A746),_xll.BDH(config!$G$5,U$1,$A746,$A746))))</f>
        <v/>
      </c>
      <c r="V746" s="8" t="str">
        <f>IF($A746="","",IF(ISNUMBER(FIND("IMPVOL",V$1)),_xll.BDH(config!$G$4,V$1,WORKDAY($A746,-1,config_Holiday_Calendar_US),WORKDAY($A746,-1,config_Holiday_Calendar_US)),IF(ISNUMBER(_xll.BDH(config!$G$4,V$1,$A746,$A746)),_xll.BDH(config!$G$4,V$1,$A746,$A746),_xll.BDH(config!$G$5,V$1,$A746,$A746))))</f>
        <v/>
      </c>
      <c r="W746" s="8" t="str">
        <f>IF($A746="","",IF(ISNUMBER(FIND("IMPVOL",W$1)),_xll.BDH(config!$G$4,W$1,WORKDAY($A746,-1,config_Holiday_Calendar_US),WORKDAY($A746,-1,config_Holiday_Calendar_US)),IF(ISNUMBER(_xll.BDH(config!$G$4,W$1,$A746,$A746)),_xll.BDH(config!$G$4,W$1,$A746,$A746),_xll.BDH(config!$G$5,W$1,$A746,$A746))))</f>
        <v/>
      </c>
    </row>
    <row r="747" spans="1:23" x14ac:dyDescent="0.2">
      <c r="A747" s="9" t="str">
        <f>IF(A746="","",IF(WORKDAY(A746,-1,config_Holiday_Calendar_US)&lt;config!$I$10,"",WORKDAY(A746,-1,config_Holiday_Calendar_US)))</f>
        <v/>
      </c>
      <c r="B747" s="8" t="str">
        <f t="shared" si="11"/>
        <v/>
      </c>
      <c r="C747" s="8" t="str">
        <f>IF(A747="","",_xll.BDH(config!$H$4,C$1,$A747,$A747))</f>
        <v/>
      </c>
      <c r="D747" s="8" t="str">
        <f>IF($A747="","",_xll.BDH(config!$H$4,D$1,$A747,$A747))</f>
        <v/>
      </c>
      <c r="E747" s="8" t="str">
        <f>IF($A747="","",IF(ISNUMBER(FIND("IMPVOL",E$1)),_xll.BDH(config!$G$4,E$1,WORKDAY($A747,-1,config_Holiday_Calendar_US),WORKDAY($A747,-1,config_Holiday_Calendar_US)),IF(ISNUMBER(_xll.BDH(config!$G$4,E$1,$A747,$A747)),_xll.BDH(config!$G$4,E$1,$A747,$A747),_xll.BDH(config!$G$5,E$1,$A747,$A747))))</f>
        <v/>
      </c>
      <c r="F747" s="8" t="str">
        <f>IF($A747="","",IF(ISNUMBER(FIND("IMPVOL",F$1)),_xll.BDH(config!$G$4,F$1,WORKDAY($A747,-1,config_Holiday_Calendar_US),WORKDAY($A747,-1,config_Holiday_Calendar_US)),IF(ISNUMBER(_xll.BDH(config!$G$4,F$1,$A747,$A747)),_xll.BDH(config!$G$4,F$1,$A747,$A747),_xll.BDH(config!$G$5,F$1,$A747,$A747))))</f>
        <v/>
      </c>
      <c r="G747" s="8" t="str">
        <f>IF($A747="","",IF(ISNUMBER(FIND("IMPVOL",G$1)),_xll.BDH(config!$G$4,G$1,WORKDAY($A747,-1,config_Holiday_Calendar_US),WORKDAY($A747,-1,config_Holiday_Calendar_US)),IF(ISNUMBER(_xll.BDH(config!$G$4,G$1,$A747,$A747)),_xll.BDH(config!$G$4,G$1,$A747,$A747),_xll.BDH(config!$G$5,G$1,$A747,$A747))))</f>
        <v/>
      </c>
      <c r="H747" s="8" t="str">
        <f>IF($A747="","",IF(ISNUMBER(FIND("IMPVOL",H$1)),_xll.BDH(config!$G$4,H$1,WORKDAY($A747,-1,config_Holiday_Calendar_US),WORKDAY($A747,-1,config_Holiday_Calendar_US)),IF(ISNUMBER(_xll.BDH(config!$G$4,H$1,$A747,$A747)),_xll.BDH(config!$G$4,H$1,$A747,$A747),_xll.BDH(config!$G$5,H$1,$A747,$A747))))</f>
        <v/>
      </c>
      <c r="I747" s="8" t="str">
        <f>IF($A747="","",IF(ISNUMBER(FIND("IMPVOL",I$1)),_xll.BDH(config!$G$4,I$1,WORKDAY($A747,-1,config_Holiday_Calendar_US),WORKDAY($A747,-1,config_Holiday_Calendar_US)),IF(ISNUMBER(_xll.BDH(config!$G$4,I$1,$A747,$A747)),_xll.BDH(config!$G$4,I$1,$A747,$A747),_xll.BDH(config!$G$5,I$1,$A747,$A747))))</f>
        <v/>
      </c>
      <c r="J747" s="8" t="str">
        <f>IF($A747="","",IF(ISNUMBER(FIND("IMPVOL",J$1)),_xll.BDH(config!$G$4,J$1,WORKDAY($A747,-1,config_Holiday_Calendar_US),WORKDAY($A747,-1,config_Holiday_Calendar_US)),IF(ISNUMBER(_xll.BDH(config!$G$4,J$1,$A747,$A747)),_xll.BDH(config!$G$4,J$1,$A747,$A747),_xll.BDH(config!$G$5,J$1,$A747,$A747))))</f>
        <v/>
      </c>
      <c r="K747" s="8" t="str">
        <f>IF($A747="","",IF(ISNUMBER(FIND("IMPVOL",K$1)),_xll.BDH(config!$G$4,K$1,WORKDAY($A747,-1,config_Holiday_Calendar_US),WORKDAY($A747,-1,config_Holiday_Calendar_US)),IF(ISNUMBER(_xll.BDH(config!$G$4,K$1,$A747,$A747)),_xll.BDH(config!$G$4,K$1,$A747,$A747),_xll.BDH(config!$G$5,K$1,$A747,$A747))))</f>
        <v/>
      </c>
      <c r="L747" s="8" t="str">
        <f>IF($A747="","",IF(ISNUMBER(FIND("IMPVOL",L$1)),_xll.BDH(config!$G$4,L$1,WORKDAY($A747,-1,config_Holiday_Calendar_US),WORKDAY($A747,-1,config_Holiday_Calendar_US)),IF(ISNUMBER(_xll.BDH(config!$G$4,L$1,$A747,$A747)),_xll.BDH(config!$G$4,L$1,$A747,$A747),_xll.BDH(config!$G$5,L$1,$A747,$A747))))</f>
        <v/>
      </c>
      <c r="M747" s="8" t="str">
        <f>IF($A747="","",IF(ISNUMBER(FIND("IMPVOL",M$1)),_xll.BDH(config!$G$4,M$1,WORKDAY($A747,-1,config_Holiday_Calendar_US),WORKDAY($A747,-1,config_Holiday_Calendar_US)),IF(ISNUMBER(_xll.BDH(config!$G$4,M$1,$A747,$A747)),_xll.BDH(config!$G$4,M$1,$A747,$A747),_xll.BDH(config!$G$5,M$1,$A747,$A747))))</f>
        <v/>
      </c>
      <c r="N747" s="8" t="str">
        <f>IF($A747="","",IF(ISNUMBER(FIND("IMPVOL",N$1)),_xll.BDH(config!$G$4,N$1,WORKDAY($A747,-1,config_Holiday_Calendar_US),WORKDAY($A747,-1,config_Holiday_Calendar_US)),IF(ISNUMBER(_xll.BDH(config!$G$4,N$1,$A747,$A747)),_xll.BDH(config!$G$4,N$1,$A747,$A747),_xll.BDH(config!$G$5,N$1,$A747,$A747))))</f>
        <v/>
      </c>
      <c r="O747" s="8" t="str">
        <f>IF($A747="","",IF(ISNUMBER(FIND("IMPVOL",O$1)),_xll.BDH(config!$G$4,O$1,WORKDAY($A747,-1,config_Holiday_Calendar_US),WORKDAY($A747,-1,config_Holiday_Calendar_US)),IF(ISNUMBER(_xll.BDH(config!$G$4,O$1,$A747,$A747)),_xll.BDH(config!$G$4,O$1,$A747,$A747),_xll.BDH(config!$G$5,O$1,$A747,$A747))))</f>
        <v/>
      </c>
      <c r="P747" s="8" t="str">
        <f>IF($A747="","",IF(ISNUMBER(FIND("IMPVOL",P$1)),_xll.BDH(config!$G$4,P$1,WORKDAY($A747,-1,config_Holiday_Calendar_US),WORKDAY($A747,-1,config_Holiday_Calendar_US)),IF(ISNUMBER(_xll.BDH(config!$G$4,P$1,$A747,$A747)),_xll.BDH(config!$G$4,P$1,$A747,$A747),_xll.BDH(config!$G$5,P$1,$A747,$A747))))</f>
        <v/>
      </c>
      <c r="Q747" s="8" t="str">
        <f>IF($A747="","",IF(ISNUMBER(FIND("IMPVOL",Q$1)),_xll.BDH(config!$G$4,Q$1,WORKDAY($A747,-1,config_Holiday_Calendar_US),WORKDAY($A747,-1,config_Holiday_Calendar_US)),IF(ISNUMBER(_xll.BDH(config!$G$4,Q$1,$A747,$A747)),_xll.BDH(config!$G$4,Q$1,$A747,$A747),_xll.BDH(config!$G$5,Q$1,$A747,$A747))))</f>
        <v/>
      </c>
      <c r="R747" s="8" t="str">
        <f>IF($A747="","",IF(ISNUMBER(FIND("IMPVOL",R$1)),_xll.BDH(config!$G$4,R$1,WORKDAY($A747,-1,config_Holiday_Calendar_US),WORKDAY($A747,-1,config_Holiday_Calendar_US)),IF(ISNUMBER(_xll.BDH(config!$G$4,R$1,$A747,$A747)),_xll.BDH(config!$G$4,R$1,$A747,$A747),_xll.BDH(config!$G$5,R$1,$A747,$A747))))</f>
        <v/>
      </c>
      <c r="S747" s="8" t="str">
        <f>IF($A747="","",IF(ISNUMBER(FIND("IMPVOL",S$1)),_xll.BDH(config!$G$4,S$1,WORKDAY($A747,-1,config_Holiday_Calendar_US),WORKDAY($A747,-1,config_Holiday_Calendar_US)),IF(ISNUMBER(_xll.BDH(config!$G$4,S$1,$A747,$A747)),_xll.BDH(config!$G$4,S$1,$A747,$A747),_xll.BDH(config!$G$5,S$1,$A747,$A747))))</f>
        <v/>
      </c>
      <c r="T747" s="8" t="str">
        <f>IF($A747="","",IF(ISNUMBER(FIND("IMPVOL",T$1)),_xll.BDH(config!$G$4,T$1,WORKDAY($A747,-1,config_Holiday_Calendar_US),WORKDAY($A747,-1,config_Holiday_Calendar_US)),IF(ISNUMBER(_xll.BDH(config!$G$4,T$1,$A747,$A747)),_xll.BDH(config!$G$4,T$1,$A747,$A747),_xll.BDH(config!$G$5,T$1,$A747,$A747))))</f>
        <v/>
      </c>
      <c r="U747" s="8" t="str">
        <f>IF($A747="","",IF(ISNUMBER(FIND("IMPVOL",U$1)),_xll.BDH(config!$G$4,U$1,WORKDAY($A747,-1,config_Holiday_Calendar_US),WORKDAY($A747,-1,config_Holiday_Calendar_US)),IF(ISNUMBER(_xll.BDH(config!$G$4,U$1,$A747,$A747)),_xll.BDH(config!$G$4,U$1,$A747,$A747),_xll.BDH(config!$G$5,U$1,$A747,$A747))))</f>
        <v/>
      </c>
      <c r="V747" s="8" t="str">
        <f>IF($A747="","",IF(ISNUMBER(FIND("IMPVOL",V$1)),_xll.BDH(config!$G$4,V$1,WORKDAY($A747,-1,config_Holiday_Calendar_US),WORKDAY($A747,-1,config_Holiday_Calendar_US)),IF(ISNUMBER(_xll.BDH(config!$G$4,V$1,$A747,$A747)),_xll.BDH(config!$G$4,V$1,$A747,$A747),_xll.BDH(config!$G$5,V$1,$A747,$A747))))</f>
        <v/>
      </c>
      <c r="W747" s="8" t="str">
        <f>IF($A747="","",IF(ISNUMBER(FIND("IMPVOL",W$1)),_xll.BDH(config!$G$4,W$1,WORKDAY($A747,-1,config_Holiday_Calendar_US),WORKDAY($A747,-1,config_Holiday_Calendar_US)),IF(ISNUMBER(_xll.BDH(config!$G$4,W$1,$A747,$A747)),_xll.BDH(config!$G$4,W$1,$A747,$A747),_xll.BDH(config!$G$5,W$1,$A747,$A747))))</f>
        <v/>
      </c>
    </row>
    <row r="748" spans="1:23" x14ac:dyDescent="0.2">
      <c r="A748" s="9" t="str">
        <f>IF(A747="","",IF(WORKDAY(A747,-1,config_Holiday_Calendar_US)&lt;config!$I$10,"",WORKDAY(A747,-1,config_Holiday_Calendar_US)))</f>
        <v/>
      </c>
      <c r="B748" s="8" t="str">
        <f t="shared" si="11"/>
        <v/>
      </c>
      <c r="C748" s="8" t="str">
        <f>IF(A748="","",_xll.BDH(config!$H$4,C$1,$A748,$A748))</f>
        <v/>
      </c>
      <c r="D748" s="8" t="str">
        <f>IF($A748="","",_xll.BDH(config!$H$4,D$1,$A748,$A748))</f>
        <v/>
      </c>
      <c r="E748" s="8" t="str">
        <f>IF($A748="","",IF(ISNUMBER(FIND("IMPVOL",E$1)),_xll.BDH(config!$G$4,E$1,WORKDAY($A748,-1,config_Holiday_Calendar_US),WORKDAY($A748,-1,config_Holiday_Calendar_US)),IF(ISNUMBER(_xll.BDH(config!$G$4,E$1,$A748,$A748)),_xll.BDH(config!$G$4,E$1,$A748,$A748),_xll.BDH(config!$G$5,E$1,$A748,$A748))))</f>
        <v/>
      </c>
      <c r="F748" s="8" t="str">
        <f>IF($A748="","",IF(ISNUMBER(FIND("IMPVOL",F$1)),_xll.BDH(config!$G$4,F$1,WORKDAY($A748,-1,config_Holiday_Calendar_US),WORKDAY($A748,-1,config_Holiday_Calendar_US)),IF(ISNUMBER(_xll.BDH(config!$G$4,F$1,$A748,$A748)),_xll.BDH(config!$G$4,F$1,$A748,$A748),_xll.BDH(config!$G$5,F$1,$A748,$A748))))</f>
        <v/>
      </c>
      <c r="G748" s="8" t="str">
        <f>IF($A748="","",IF(ISNUMBER(FIND("IMPVOL",G$1)),_xll.BDH(config!$G$4,G$1,WORKDAY($A748,-1,config_Holiday_Calendar_US),WORKDAY($A748,-1,config_Holiday_Calendar_US)),IF(ISNUMBER(_xll.BDH(config!$G$4,G$1,$A748,$A748)),_xll.BDH(config!$G$4,G$1,$A748,$A748),_xll.BDH(config!$G$5,G$1,$A748,$A748))))</f>
        <v/>
      </c>
      <c r="H748" s="8" t="str">
        <f>IF($A748="","",IF(ISNUMBER(FIND("IMPVOL",H$1)),_xll.BDH(config!$G$4,H$1,WORKDAY($A748,-1,config_Holiday_Calendar_US),WORKDAY($A748,-1,config_Holiday_Calendar_US)),IF(ISNUMBER(_xll.BDH(config!$G$4,H$1,$A748,$A748)),_xll.BDH(config!$G$4,H$1,$A748,$A748),_xll.BDH(config!$G$5,H$1,$A748,$A748))))</f>
        <v/>
      </c>
      <c r="I748" s="8" t="str">
        <f>IF($A748="","",IF(ISNUMBER(FIND("IMPVOL",I$1)),_xll.BDH(config!$G$4,I$1,WORKDAY($A748,-1,config_Holiday_Calendar_US),WORKDAY($A748,-1,config_Holiday_Calendar_US)),IF(ISNUMBER(_xll.BDH(config!$G$4,I$1,$A748,$A748)),_xll.BDH(config!$G$4,I$1,$A748,$A748),_xll.BDH(config!$G$5,I$1,$A748,$A748))))</f>
        <v/>
      </c>
      <c r="J748" s="8" t="str">
        <f>IF($A748="","",IF(ISNUMBER(FIND("IMPVOL",J$1)),_xll.BDH(config!$G$4,J$1,WORKDAY($A748,-1,config_Holiday_Calendar_US),WORKDAY($A748,-1,config_Holiday_Calendar_US)),IF(ISNUMBER(_xll.BDH(config!$G$4,J$1,$A748,$A748)),_xll.BDH(config!$G$4,J$1,$A748,$A748),_xll.BDH(config!$G$5,J$1,$A748,$A748))))</f>
        <v/>
      </c>
      <c r="K748" s="8" t="str">
        <f>IF($A748="","",IF(ISNUMBER(FIND("IMPVOL",K$1)),_xll.BDH(config!$G$4,K$1,WORKDAY($A748,-1,config_Holiday_Calendar_US),WORKDAY($A748,-1,config_Holiday_Calendar_US)),IF(ISNUMBER(_xll.BDH(config!$G$4,K$1,$A748,$A748)),_xll.BDH(config!$G$4,K$1,$A748,$A748),_xll.BDH(config!$G$5,K$1,$A748,$A748))))</f>
        <v/>
      </c>
      <c r="L748" s="8" t="str">
        <f>IF($A748="","",IF(ISNUMBER(FIND("IMPVOL",L$1)),_xll.BDH(config!$G$4,L$1,WORKDAY($A748,-1,config_Holiday_Calendar_US),WORKDAY($A748,-1,config_Holiday_Calendar_US)),IF(ISNUMBER(_xll.BDH(config!$G$4,L$1,$A748,$A748)),_xll.BDH(config!$G$4,L$1,$A748,$A748),_xll.BDH(config!$G$5,L$1,$A748,$A748))))</f>
        <v/>
      </c>
      <c r="M748" s="8" t="str">
        <f>IF($A748="","",IF(ISNUMBER(FIND("IMPVOL",M$1)),_xll.BDH(config!$G$4,M$1,WORKDAY($A748,-1,config_Holiday_Calendar_US),WORKDAY($A748,-1,config_Holiday_Calendar_US)),IF(ISNUMBER(_xll.BDH(config!$G$4,M$1,$A748,$A748)),_xll.BDH(config!$G$4,M$1,$A748,$A748),_xll.BDH(config!$G$5,M$1,$A748,$A748))))</f>
        <v/>
      </c>
      <c r="N748" s="8" t="str">
        <f>IF($A748="","",IF(ISNUMBER(FIND("IMPVOL",N$1)),_xll.BDH(config!$G$4,N$1,WORKDAY($A748,-1,config_Holiday_Calendar_US),WORKDAY($A748,-1,config_Holiday_Calendar_US)),IF(ISNUMBER(_xll.BDH(config!$G$4,N$1,$A748,$A748)),_xll.BDH(config!$G$4,N$1,$A748,$A748),_xll.BDH(config!$G$5,N$1,$A748,$A748))))</f>
        <v/>
      </c>
      <c r="O748" s="8" t="str">
        <f>IF($A748="","",IF(ISNUMBER(FIND("IMPVOL",O$1)),_xll.BDH(config!$G$4,O$1,WORKDAY($A748,-1,config_Holiday_Calendar_US),WORKDAY($A748,-1,config_Holiday_Calendar_US)),IF(ISNUMBER(_xll.BDH(config!$G$4,O$1,$A748,$A748)),_xll.BDH(config!$G$4,O$1,$A748,$A748),_xll.BDH(config!$G$5,O$1,$A748,$A748))))</f>
        <v/>
      </c>
      <c r="P748" s="8" t="str">
        <f>IF($A748="","",IF(ISNUMBER(FIND("IMPVOL",P$1)),_xll.BDH(config!$G$4,P$1,WORKDAY($A748,-1,config_Holiday_Calendar_US),WORKDAY($A748,-1,config_Holiday_Calendar_US)),IF(ISNUMBER(_xll.BDH(config!$G$4,P$1,$A748,$A748)),_xll.BDH(config!$G$4,P$1,$A748,$A748),_xll.BDH(config!$G$5,P$1,$A748,$A748))))</f>
        <v/>
      </c>
      <c r="Q748" s="8" t="str">
        <f>IF($A748="","",IF(ISNUMBER(FIND("IMPVOL",Q$1)),_xll.BDH(config!$G$4,Q$1,WORKDAY($A748,-1,config_Holiday_Calendar_US),WORKDAY($A748,-1,config_Holiday_Calendar_US)),IF(ISNUMBER(_xll.BDH(config!$G$4,Q$1,$A748,$A748)),_xll.BDH(config!$G$4,Q$1,$A748,$A748),_xll.BDH(config!$G$5,Q$1,$A748,$A748))))</f>
        <v/>
      </c>
      <c r="R748" s="8" t="str">
        <f>IF($A748="","",IF(ISNUMBER(FIND("IMPVOL",R$1)),_xll.BDH(config!$G$4,R$1,WORKDAY($A748,-1,config_Holiday_Calendar_US),WORKDAY($A748,-1,config_Holiday_Calendar_US)),IF(ISNUMBER(_xll.BDH(config!$G$4,R$1,$A748,$A748)),_xll.BDH(config!$G$4,R$1,$A748,$A748),_xll.BDH(config!$G$5,R$1,$A748,$A748))))</f>
        <v/>
      </c>
      <c r="S748" s="8" t="str">
        <f>IF($A748="","",IF(ISNUMBER(FIND("IMPVOL",S$1)),_xll.BDH(config!$G$4,S$1,WORKDAY($A748,-1,config_Holiday_Calendar_US),WORKDAY($A748,-1,config_Holiday_Calendar_US)),IF(ISNUMBER(_xll.BDH(config!$G$4,S$1,$A748,$A748)),_xll.BDH(config!$G$4,S$1,$A748,$A748),_xll.BDH(config!$G$5,S$1,$A748,$A748))))</f>
        <v/>
      </c>
      <c r="T748" s="8" t="str">
        <f>IF($A748="","",IF(ISNUMBER(FIND("IMPVOL",T$1)),_xll.BDH(config!$G$4,T$1,WORKDAY($A748,-1,config_Holiday_Calendar_US),WORKDAY($A748,-1,config_Holiday_Calendar_US)),IF(ISNUMBER(_xll.BDH(config!$G$4,T$1,$A748,$A748)),_xll.BDH(config!$G$4,T$1,$A748,$A748),_xll.BDH(config!$G$5,T$1,$A748,$A748))))</f>
        <v/>
      </c>
      <c r="U748" s="8" t="str">
        <f>IF($A748="","",IF(ISNUMBER(FIND("IMPVOL",U$1)),_xll.BDH(config!$G$4,U$1,WORKDAY($A748,-1,config_Holiday_Calendar_US),WORKDAY($A748,-1,config_Holiday_Calendar_US)),IF(ISNUMBER(_xll.BDH(config!$G$4,U$1,$A748,$A748)),_xll.BDH(config!$G$4,U$1,$A748,$A748),_xll.BDH(config!$G$5,U$1,$A748,$A748))))</f>
        <v/>
      </c>
      <c r="V748" s="8" t="str">
        <f>IF($A748="","",IF(ISNUMBER(FIND("IMPVOL",V$1)),_xll.BDH(config!$G$4,V$1,WORKDAY($A748,-1,config_Holiday_Calendar_US),WORKDAY($A748,-1,config_Holiday_Calendar_US)),IF(ISNUMBER(_xll.BDH(config!$G$4,V$1,$A748,$A748)),_xll.BDH(config!$G$4,V$1,$A748,$A748),_xll.BDH(config!$G$5,V$1,$A748,$A748))))</f>
        <v/>
      </c>
      <c r="W748" s="8" t="str">
        <f>IF($A748="","",IF(ISNUMBER(FIND("IMPVOL",W$1)),_xll.BDH(config!$G$4,W$1,WORKDAY($A748,-1,config_Holiday_Calendar_US),WORKDAY($A748,-1,config_Holiday_Calendar_US)),IF(ISNUMBER(_xll.BDH(config!$G$4,W$1,$A748,$A748)),_xll.BDH(config!$G$4,W$1,$A748,$A748),_xll.BDH(config!$G$5,W$1,$A748,$A748))))</f>
        <v/>
      </c>
    </row>
    <row r="749" spans="1:23" x14ac:dyDescent="0.2">
      <c r="A749" s="9" t="str">
        <f>IF(A748="","",IF(WORKDAY(A748,-1,config_Holiday_Calendar_US)&lt;config!$I$10,"",WORKDAY(A748,-1,config_Holiday_Calendar_US)))</f>
        <v/>
      </c>
      <c r="B749" s="8" t="str">
        <f t="shared" si="11"/>
        <v/>
      </c>
      <c r="C749" s="8" t="str">
        <f>IF(A749="","",_xll.BDH(config!$H$4,C$1,$A749,$A749))</f>
        <v/>
      </c>
      <c r="D749" s="8" t="str">
        <f>IF($A749="","",_xll.BDH(config!$H$4,D$1,$A749,$A749))</f>
        <v/>
      </c>
      <c r="E749" s="8" t="str">
        <f>IF($A749="","",IF(ISNUMBER(FIND("IMPVOL",E$1)),_xll.BDH(config!$G$4,E$1,WORKDAY($A749,-1,config_Holiday_Calendar_US),WORKDAY($A749,-1,config_Holiday_Calendar_US)),IF(ISNUMBER(_xll.BDH(config!$G$4,E$1,$A749,$A749)),_xll.BDH(config!$G$4,E$1,$A749,$A749),_xll.BDH(config!$G$5,E$1,$A749,$A749))))</f>
        <v/>
      </c>
      <c r="F749" s="8" t="str">
        <f>IF($A749="","",IF(ISNUMBER(FIND("IMPVOL",F$1)),_xll.BDH(config!$G$4,F$1,WORKDAY($A749,-1,config_Holiday_Calendar_US),WORKDAY($A749,-1,config_Holiday_Calendar_US)),IF(ISNUMBER(_xll.BDH(config!$G$4,F$1,$A749,$A749)),_xll.BDH(config!$G$4,F$1,$A749,$A749),_xll.BDH(config!$G$5,F$1,$A749,$A749))))</f>
        <v/>
      </c>
      <c r="G749" s="8" t="str">
        <f>IF($A749="","",IF(ISNUMBER(FIND("IMPVOL",G$1)),_xll.BDH(config!$G$4,G$1,WORKDAY($A749,-1,config_Holiday_Calendar_US),WORKDAY($A749,-1,config_Holiday_Calendar_US)),IF(ISNUMBER(_xll.BDH(config!$G$4,G$1,$A749,$A749)),_xll.BDH(config!$G$4,G$1,$A749,$A749),_xll.BDH(config!$G$5,G$1,$A749,$A749))))</f>
        <v/>
      </c>
      <c r="H749" s="8" t="str">
        <f>IF($A749="","",IF(ISNUMBER(FIND("IMPVOL",H$1)),_xll.BDH(config!$G$4,H$1,WORKDAY($A749,-1,config_Holiday_Calendar_US),WORKDAY($A749,-1,config_Holiday_Calendar_US)),IF(ISNUMBER(_xll.BDH(config!$G$4,H$1,$A749,$A749)),_xll.BDH(config!$G$4,H$1,$A749,$A749),_xll.BDH(config!$G$5,H$1,$A749,$A749))))</f>
        <v/>
      </c>
      <c r="I749" s="8" t="str">
        <f>IF($A749="","",IF(ISNUMBER(FIND("IMPVOL",I$1)),_xll.BDH(config!$G$4,I$1,WORKDAY($A749,-1,config_Holiday_Calendar_US),WORKDAY($A749,-1,config_Holiday_Calendar_US)),IF(ISNUMBER(_xll.BDH(config!$G$4,I$1,$A749,$A749)),_xll.BDH(config!$G$4,I$1,$A749,$A749),_xll.BDH(config!$G$5,I$1,$A749,$A749))))</f>
        <v/>
      </c>
      <c r="J749" s="8" t="str">
        <f>IF($A749="","",IF(ISNUMBER(FIND("IMPVOL",J$1)),_xll.BDH(config!$G$4,J$1,WORKDAY($A749,-1,config_Holiday_Calendar_US),WORKDAY($A749,-1,config_Holiday_Calendar_US)),IF(ISNUMBER(_xll.BDH(config!$G$4,J$1,$A749,$A749)),_xll.BDH(config!$G$4,J$1,$A749,$A749),_xll.BDH(config!$G$5,J$1,$A749,$A749))))</f>
        <v/>
      </c>
      <c r="K749" s="8" t="str">
        <f>IF($A749="","",IF(ISNUMBER(FIND("IMPVOL",K$1)),_xll.BDH(config!$G$4,K$1,WORKDAY($A749,-1,config_Holiday_Calendar_US),WORKDAY($A749,-1,config_Holiday_Calendar_US)),IF(ISNUMBER(_xll.BDH(config!$G$4,K$1,$A749,$A749)),_xll.BDH(config!$G$4,K$1,$A749,$A749),_xll.BDH(config!$G$5,K$1,$A749,$A749))))</f>
        <v/>
      </c>
      <c r="L749" s="8" t="str">
        <f>IF($A749="","",IF(ISNUMBER(FIND("IMPVOL",L$1)),_xll.BDH(config!$G$4,L$1,WORKDAY($A749,-1,config_Holiday_Calendar_US),WORKDAY($A749,-1,config_Holiday_Calendar_US)),IF(ISNUMBER(_xll.BDH(config!$G$4,L$1,$A749,$A749)),_xll.BDH(config!$G$4,L$1,$A749,$A749),_xll.BDH(config!$G$5,L$1,$A749,$A749))))</f>
        <v/>
      </c>
      <c r="M749" s="8" t="str">
        <f>IF($A749="","",IF(ISNUMBER(FIND("IMPVOL",M$1)),_xll.BDH(config!$G$4,M$1,WORKDAY($A749,-1,config_Holiday_Calendar_US),WORKDAY($A749,-1,config_Holiday_Calendar_US)),IF(ISNUMBER(_xll.BDH(config!$G$4,M$1,$A749,$A749)),_xll.BDH(config!$G$4,M$1,$A749,$A749),_xll.BDH(config!$G$5,M$1,$A749,$A749))))</f>
        <v/>
      </c>
      <c r="N749" s="8" t="str">
        <f>IF($A749="","",IF(ISNUMBER(FIND("IMPVOL",N$1)),_xll.BDH(config!$G$4,N$1,WORKDAY($A749,-1,config_Holiday_Calendar_US),WORKDAY($A749,-1,config_Holiday_Calendar_US)),IF(ISNUMBER(_xll.BDH(config!$G$4,N$1,$A749,$A749)),_xll.BDH(config!$G$4,N$1,$A749,$A749),_xll.BDH(config!$G$5,N$1,$A749,$A749))))</f>
        <v/>
      </c>
      <c r="O749" s="8" t="str">
        <f>IF($A749="","",IF(ISNUMBER(FIND("IMPVOL",O$1)),_xll.BDH(config!$G$4,O$1,WORKDAY($A749,-1,config_Holiday_Calendar_US),WORKDAY($A749,-1,config_Holiday_Calendar_US)),IF(ISNUMBER(_xll.BDH(config!$G$4,O$1,$A749,$A749)),_xll.BDH(config!$G$4,O$1,$A749,$A749),_xll.BDH(config!$G$5,O$1,$A749,$A749))))</f>
        <v/>
      </c>
      <c r="P749" s="8" t="str">
        <f>IF($A749="","",IF(ISNUMBER(FIND("IMPVOL",P$1)),_xll.BDH(config!$G$4,P$1,WORKDAY($A749,-1,config_Holiday_Calendar_US),WORKDAY($A749,-1,config_Holiday_Calendar_US)),IF(ISNUMBER(_xll.BDH(config!$G$4,P$1,$A749,$A749)),_xll.BDH(config!$G$4,P$1,$A749,$A749),_xll.BDH(config!$G$5,P$1,$A749,$A749))))</f>
        <v/>
      </c>
      <c r="Q749" s="8" t="str">
        <f>IF($A749="","",IF(ISNUMBER(FIND("IMPVOL",Q$1)),_xll.BDH(config!$G$4,Q$1,WORKDAY($A749,-1,config_Holiday_Calendar_US),WORKDAY($A749,-1,config_Holiday_Calendar_US)),IF(ISNUMBER(_xll.BDH(config!$G$4,Q$1,$A749,$A749)),_xll.BDH(config!$G$4,Q$1,$A749,$A749),_xll.BDH(config!$G$5,Q$1,$A749,$A749))))</f>
        <v/>
      </c>
      <c r="R749" s="8" t="str">
        <f>IF($A749="","",IF(ISNUMBER(FIND("IMPVOL",R$1)),_xll.BDH(config!$G$4,R$1,WORKDAY($A749,-1,config_Holiday_Calendar_US),WORKDAY($A749,-1,config_Holiday_Calendar_US)),IF(ISNUMBER(_xll.BDH(config!$G$4,R$1,$A749,$A749)),_xll.BDH(config!$G$4,R$1,$A749,$A749),_xll.BDH(config!$G$5,R$1,$A749,$A749))))</f>
        <v/>
      </c>
      <c r="S749" s="8" t="str">
        <f>IF($A749="","",IF(ISNUMBER(FIND("IMPVOL",S$1)),_xll.BDH(config!$G$4,S$1,WORKDAY($A749,-1,config_Holiday_Calendar_US),WORKDAY($A749,-1,config_Holiday_Calendar_US)),IF(ISNUMBER(_xll.BDH(config!$G$4,S$1,$A749,$A749)),_xll.BDH(config!$G$4,S$1,$A749,$A749),_xll.BDH(config!$G$5,S$1,$A749,$A749))))</f>
        <v/>
      </c>
      <c r="T749" s="8" t="str">
        <f>IF($A749="","",IF(ISNUMBER(FIND("IMPVOL",T$1)),_xll.BDH(config!$G$4,T$1,WORKDAY($A749,-1,config_Holiday_Calendar_US),WORKDAY($A749,-1,config_Holiday_Calendar_US)),IF(ISNUMBER(_xll.BDH(config!$G$4,T$1,$A749,$A749)),_xll.BDH(config!$G$4,T$1,$A749,$A749),_xll.BDH(config!$G$5,T$1,$A749,$A749))))</f>
        <v/>
      </c>
      <c r="U749" s="8" t="str">
        <f>IF($A749="","",IF(ISNUMBER(FIND("IMPVOL",U$1)),_xll.BDH(config!$G$4,U$1,WORKDAY($A749,-1,config_Holiday_Calendar_US),WORKDAY($A749,-1,config_Holiday_Calendar_US)),IF(ISNUMBER(_xll.BDH(config!$G$4,U$1,$A749,$A749)),_xll.BDH(config!$G$4,U$1,$A749,$A749),_xll.BDH(config!$G$5,U$1,$A749,$A749))))</f>
        <v/>
      </c>
      <c r="V749" s="8" t="str">
        <f>IF($A749="","",IF(ISNUMBER(FIND("IMPVOL",V$1)),_xll.BDH(config!$G$4,V$1,WORKDAY($A749,-1,config_Holiday_Calendar_US),WORKDAY($A749,-1,config_Holiday_Calendar_US)),IF(ISNUMBER(_xll.BDH(config!$G$4,V$1,$A749,$A749)),_xll.BDH(config!$G$4,V$1,$A749,$A749),_xll.BDH(config!$G$5,V$1,$A749,$A749))))</f>
        <v/>
      </c>
      <c r="W749" s="8" t="str">
        <f>IF($A749="","",IF(ISNUMBER(FIND("IMPVOL",W$1)),_xll.BDH(config!$G$4,W$1,WORKDAY($A749,-1,config_Holiday_Calendar_US),WORKDAY($A749,-1,config_Holiday_Calendar_US)),IF(ISNUMBER(_xll.BDH(config!$G$4,W$1,$A749,$A749)),_xll.BDH(config!$G$4,W$1,$A749,$A749),_xll.BDH(config!$G$5,W$1,$A749,$A749))))</f>
        <v/>
      </c>
    </row>
    <row r="750" spans="1:23" x14ac:dyDescent="0.2">
      <c r="A750" s="9" t="str">
        <f>IF(A749="","",IF(WORKDAY(A749,-1,config_Holiday_Calendar_US)&lt;config!$I$10,"",WORKDAY(A749,-1,config_Holiday_Calendar_US)))</f>
        <v/>
      </c>
      <c r="B750" s="8" t="str">
        <f t="shared" si="11"/>
        <v/>
      </c>
      <c r="C750" s="8" t="str">
        <f>IF(A750="","",_xll.BDH(config!$H$4,C$1,$A750,$A750))</f>
        <v/>
      </c>
      <c r="D750" s="8" t="str">
        <f>IF($A750="","",_xll.BDH(config!$H$4,D$1,$A750,$A750))</f>
        <v/>
      </c>
      <c r="E750" s="8" t="str">
        <f>IF($A750="","",IF(ISNUMBER(FIND("IMPVOL",E$1)),_xll.BDH(config!$G$4,E$1,WORKDAY($A750,-1,config_Holiday_Calendar_US),WORKDAY($A750,-1,config_Holiday_Calendar_US)),IF(ISNUMBER(_xll.BDH(config!$G$4,E$1,$A750,$A750)),_xll.BDH(config!$G$4,E$1,$A750,$A750),_xll.BDH(config!$G$5,E$1,$A750,$A750))))</f>
        <v/>
      </c>
      <c r="F750" s="8" t="str">
        <f>IF($A750="","",IF(ISNUMBER(FIND("IMPVOL",F$1)),_xll.BDH(config!$G$4,F$1,WORKDAY($A750,-1,config_Holiday_Calendar_US),WORKDAY($A750,-1,config_Holiday_Calendar_US)),IF(ISNUMBER(_xll.BDH(config!$G$4,F$1,$A750,$A750)),_xll.BDH(config!$G$4,F$1,$A750,$A750),_xll.BDH(config!$G$5,F$1,$A750,$A750))))</f>
        <v/>
      </c>
      <c r="G750" s="8" t="str">
        <f>IF($A750="","",IF(ISNUMBER(FIND("IMPVOL",G$1)),_xll.BDH(config!$G$4,G$1,WORKDAY($A750,-1,config_Holiday_Calendar_US),WORKDAY($A750,-1,config_Holiday_Calendar_US)),IF(ISNUMBER(_xll.BDH(config!$G$4,G$1,$A750,$A750)),_xll.BDH(config!$G$4,G$1,$A750,$A750),_xll.BDH(config!$G$5,G$1,$A750,$A750))))</f>
        <v/>
      </c>
      <c r="H750" s="8" t="str">
        <f>IF($A750="","",IF(ISNUMBER(FIND("IMPVOL",H$1)),_xll.BDH(config!$G$4,H$1,WORKDAY($A750,-1,config_Holiday_Calendar_US),WORKDAY($A750,-1,config_Holiday_Calendar_US)),IF(ISNUMBER(_xll.BDH(config!$G$4,H$1,$A750,$A750)),_xll.BDH(config!$G$4,H$1,$A750,$A750),_xll.BDH(config!$G$5,H$1,$A750,$A750))))</f>
        <v/>
      </c>
      <c r="I750" s="8" t="str">
        <f>IF($A750="","",IF(ISNUMBER(FIND("IMPVOL",I$1)),_xll.BDH(config!$G$4,I$1,WORKDAY($A750,-1,config_Holiday_Calendar_US),WORKDAY($A750,-1,config_Holiday_Calendar_US)),IF(ISNUMBER(_xll.BDH(config!$G$4,I$1,$A750,$A750)),_xll.BDH(config!$G$4,I$1,$A750,$A750),_xll.BDH(config!$G$5,I$1,$A750,$A750))))</f>
        <v/>
      </c>
      <c r="J750" s="8" t="str">
        <f>IF($A750="","",IF(ISNUMBER(FIND("IMPVOL",J$1)),_xll.BDH(config!$G$4,J$1,WORKDAY($A750,-1,config_Holiday_Calendar_US),WORKDAY($A750,-1,config_Holiday_Calendar_US)),IF(ISNUMBER(_xll.BDH(config!$G$4,J$1,$A750,$A750)),_xll.BDH(config!$G$4,J$1,$A750,$A750),_xll.BDH(config!$G$5,J$1,$A750,$A750))))</f>
        <v/>
      </c>
      <c r="K750" s="8" t="str">
        <f>IF($A750="","",IF(ISNUMBER(FIND("IMPVOL",K$1)),_xll.BDH(config!$G$4,K$1,WORKDAY($A750,-1,config_Holiday_Calendar_US),WORKDAY($A750,-1,config_Holiday_Calendar_US)),IF(ISNUMBER(_xll.BDH(config!$G$4,K$1,$A750,$A750)),_xll.BDH(config!$G$4,K$1,$A750,$A750),_xll.BDH(config!$G$5,K$1,$A750,$A750))))</f>
        <v/>
      </c>
      <c r="L750" s="8" t="str">
        <f>IF($A750="","",IF(ISNUMBER(FIND("IMPVOL",L$1)),_xll.BDH(config!$G$4,L$1,WORKDAY($A750,-1,config_Holiday_Calendar_US),WORKDAY($A750,-1,config_Holiday_Calendar_US)),IF(ISNUMBER(_xll.BDH(config!$G$4,L$1,$A750,$A750)),_xll.BDH(config!$G$4,L$1,$A750,$A750),_xll.BDH(config!$G$5,L$1,$A750,$A750))))</f>
        <v/>
      </c>
      <c r="M750" s="8" t="str">
        <f>IF($A750="","",IF(ISNUMBER(FIND("IMPVOL",M$1)),_xll.BDH(config!$G$4,M$1,WORKDAY($A750,-1,config_Holiday_Calendar_US),WORKDAY($A750,-1,config_Holiday_Calendar_US)),IF(ISNUMBER(_xll.BDH(config!$G$4,M$1,$A750,$A750)),_xll.BDH(config!$G$4,M$1,$A750,$A750),_xll.BDH(config!$G$5,M$1,$A750,$A750))))</f>
        <v/>
      </c>
      <c r="N750" s="8" t="str">
        <f>IF($A750="","",IF(ISNUMBER(FIND("IMPVOL",N$1)),_xll.BDH(config!$G$4,N$1,WORKDAY($A750,-1,config_Holiday_Calendar_US),WORKDAY($A750,-1,config_Holiday_Calendar_US)),IF(ISNUMBER(_xll.BDH(config!$G$4,N$1,$A750,$A750)),_xll.BDH(config!$G$4,N$1,$A750,$A750),_xll.BDH(config!$G$5,N$1,$A750,$A750))))</f>
        <v/>
      </c>
      <c r="O750" s="8" t="str">
        <f>IF($A750="","",IF(ISNUMBER(FIND("IMPVOL",O$1)),_xll.BDH(config!$G$4,O$1,WORKDAY($A750,-1,config_Holiday_Calendar_US),WORKDAY($A750,-1,config_Holiday_Calendar_US)),IF(ISNUMBER(_xll.BDH(config!$G$4,O$1,$A750,$A750)),_xll.BDH(config!$G$4,O$1,$A750,$A750),_xll.BDH(config!$G$5,O$1,$A750,$A750))))</f>
        <v/>
      </c>
      <c r="P750" s="8" t="str">
        <f>IF($A750="","",IF(ISNUMBER(FIND("IMPVOL",P$1)),_xll.BDH(config!$G$4,P$1,WORKDAY($A750,-1,config_Holiday_Calendar_US),WORKDAY($A750,-1,config_Holiday_Calendar_US)),IF(ISNUMBER(_xll.BDH(config!$G$4,P$1,$A750,$A750)),_xll.BDH(config!$G$4,P$1,$A750,$A750),_xll.BDH(config!$G$5,P$1,$A750,$A750))))</f>
        <v/>
      </c>
      <c r="Q750" s="8" t="str">
        <f>IF($A750="","",IF(ISNUMBER(FIND("IMPVOL",Q$1)),_xll.BDH(config!$G$4,Q$1,WORKDAY($A750,-1,config_Holiday_Calendar_US),WORKDAY($A750,-1,config_Holiday_Calendar_US)),IF(ISNUMBER(_xll.BDH(config!$G$4,Q$1,$A750,$A750)),_xll.BDH(config!$G$4,Q$1,$A750,$A750),_xll.BDH(config!$G$5,Q$1,$A750,$A750))))</f>
        <v/>
      </c>
      <c r="R750" s="8" t="str">
        <f>IF($A750="","",IF(ISNUMBER(FIND("IMPVOL",R$1)),_xll.BDH(config!$G$4,R$1,WORKDAY($A750,-1,config_Holiday_Calendar_US),WORKDAY($A750,-1,config_Holiday_Calendar_US)),IF(ISNUMBER(_xll.BDH(config!$G$4,R$1,$A750,$A750)),_xll.BDH(config!$G$4,R$1,$A750,$A750),_xll.BDH(config!$G$5,R$1,$A750,$A750))))</f>
        <v/>
      </c>
      <c r="S750" s="8" t="str">
        <f>IF($A750="","",IF(ISNUMBER(FIND("IMPVOL",S$1)),_xll.BDH(config!$G$4,S$1,WORKDAY($A750,-1,config_Holiday_Calendar_US),WORKDAY($A750,-1,config_Holiday_Calendar_US)),IF(ISNUMBER(_xll.BDH(config!$G$4,S$1,$A750,$A750)),_xll.BDH(config!$G$4,S$1,$A750,$A750),_xll.BDH(config!$G$5,S$1,$A750,$A750))))</f>
        <v/>
      </c>
      <c r="T750" s="8" t="str">
        <f>IF($A750="","",IF(ISNUMBER(FIND("IMPVOL",T$1)),_xll.BDH(config!$G$4,T$1,WORKDAY($A750,-1,config_Holiday_Calendar_US),WORKDAY($A750,-1,config_Holiday_Calendar_US)),IF(ISNUMBER(_xll.BDH(config!$G$4,T$1,$A750,$A750)),_xll.BDH(config!$G$4,T$1,$A750,$A750),_xll.BDH(config!$G$5,T$1,$A750,$A750))))</f>
        <v/>
      </c>
      <c r="U750" s="8" t="str">
        <f>IF($A750="","",IF(ISNUMBER(FIND("IMPVOL",U$1)),_xll.BDH(config!$G$4,U$1,WORKDAY($A750,-1,config_Holiday_Calendar_US),WORKDAY($A750,-1,config_Holiday_Calendar_US)),IF(ISNUMBER(_xll.BDH(config!$G$4,U$1,$A750,$A750)),_xll.BDH(config!$G$4,U$1,$A750,$A750),_xll.BDH(config!$G$5,U$1,$A750,$A750))))</f>
        <v/>
      </c>
      <c r="V750" s="8" t="str">
        <f>IF($A750="","",IF(ISNUMBER(FIND("IMPVOL",V$1)),_xll.BDH(config!$G$4,V$1,WORKDAY($A750,-1,config_Holiday_Calendar_US),WORKDAY($A750,-1,config_Holiday_Calendar_US)),IF(ISNUMBER(_xll.BDH(config!$G$4,V$1,$A750,$A750)),_xll.BDH(config!$G$4,V$1,$A750,$A750),_xll.BDH(config!$G$5,V$1,$A750,$A750))))</f>
        <v/>
      </c>
      <c r="W750" s="8" t="str">
        <f>IF($A750="","",IF(ISNUMBER(FIND("IMPVOL",W$1)),_xll.BDH(config!$G$4,W$1,WORKDAY($A750,-1,config_Holiday_Calendar_US),WORKDAY($A750,-1,config_Holiday_Calendar_US)),IF(ISNUMBER(_xll.BDH(config!$G$4,W$1,$A750,$A750)),_xll.BDH(config!$G$4,W$1,$A750,$A750),_xll.BDH(config!$G$5,W$1,$A750,$A750))))</f>
        <v/>
      </c>
    </row>
    <row r="751" spans="1:23" x14ac:dyDescent="0.2">
      <c r="A751" s="9" t="str">
        <f>IF(A750="","",IF(WORKDAY(A750,-1,config_Holiday_Calendar_US)&lt;config!$I$10,"",WORKDAY(A750,-1,config_Holiday_Calendar_US)))</f>
        <v/>
      </c>
      <c r="B751" s="8" t="str">
        <f t="shared" si="11"/>
        <v/>
      </c>
      <c r="C751" s="8" t="str">
        <f>IF(A751="","",_xll.BDH(config!$H$4,C$1,$A751,$A751))</f>
        <v/>
      </c>
      <c r="D751" s="8" t="str">
        <f>IF($A751="","",_xll.BDH(config!$H$4,D$1,$A751,$A751))</f>
        <v/>
      </c>
      <c r="E751" s="8" t="str">
        <f>IF($A751="","",IF(ISNUMBER(FIND("IMPVOL",E$1)),_xll.BDH(config!$G$4,E$1,WORKDAY($A751,-1,config_Holiday_Calendar_US),WORKDAY($A751,-1,config_Holiday_Calendar_US)),IF(ISNUMBER(_xll.BDH(config!$G$4,E$1,$A751,$A751)),_xll.BDH(config!$G$4,E$1,$A751,$A751),_xll.BDH(config!$G$5,E$1,$A751,$A751))))</f>
        <v/>
      </c>
      <c r="F751" s="8" t="str">
        <f>IF($A751="","",IF(ISNUMBER(FIND("IMPVOL",F$1)),_xll.BDH(config!$G$4,F$1,WORKDAY($A751,-1,config_Holiday_Calendar_US),WORKDAY($A751,-1,config_Holiday_Calendar_US)),IF(ISNUMBER(_xll.BDH(config!$G$4,F$1,$A751,$A751)),_xll.BDH(config!$G$4,F$1,$A751,$A751),_xll.BDH(config!$G$5,F$1,$A751,$A751))))</f>
        <v/>
      </c>
      <c r="G751" s="8" t="str">
        <f>IF($A751="","",IF(ISNUMBER(FIND("IMPVOL",G$1)),_xll.BDH(config!$G$4,G$1,WORKDAY($A751,-1,config_Holiday_Calendar_US),WORKDAY($A751,-1,config_Holiday_Calendar_US)),IF(ISNUMBER(_xll.BDH(config!$G$4,G$1,$A751,$A751)),_xll.BDH(config!$G$4,G$1,$A751,$A751),_xll.BDH(config!$G$5,G$1,$A751,$A751))))</f>
        <v/>
      </c>
      <c r="H751" s="8" t="str">
        <f>IF($A751="","",IF(ISNUMBER(FIND("IMPVOL",H$1)),_xll.BDH(config!$G$4,H$1,WORKDAY($A751,-1,config_Holiday_Calendar_US),WORKDAY($A751,-1,config_Holiday_Calendar_US)),IF(ISNUMBER(_xll.BDH(config!$G$4,H$1,$A751,$A751)),_xll.BDH(config!$G$4,H$1,$A751,$A751),_xll.BDH(config!$G$5,H$1,$A751,$A751))))</f>
        <v/>
      </c>
      <c r="I751" s="8" t="str">
        <f>IF($A751="","",IF(ISNUMBER(FIND("IMPVOL",I$1)),_xll.BDH(config!$G$4,I$1,WORKDAY($A751,-1,config_Holiday_Calendar_US),WORKDAY($A751,-1,config_Holiday_Calendar_US)),IF(ISNUMBER(_xll.BDH(config!$G$4,I$1,$A751,$A751)),_xll.BDH(config!$G$4,I$1,$A751,$A751),_xll.BDH(config!$G$5,I$1,$A751,$A751))))</f>
        <v/>
      </c>
      <c r="J751" s="8" t="str">
        <f>IF($A751="","",IF(ISNUMBER(FIND("IMPVOL",J$1)),_xll.BDH(config!$G$4,J$1,WORKDAY($A751,-1,config_Holiday_Calendar_US),WORKDAY($A751,-1,config_Holiday_Calendar_US)),IF(ISNUMBER(_xll.BDH(config!$G$4,J$1,$A751,$A751)),_xll.BDH(config!$G$4,J$1,$A751,$A751),_xll.BDH(config!$G$5,J$1,$A751,$A751))))</f>
        <v/>
      </c>
      <c r="K751" s="8" t="str">
        <f>IF($A751="","",IF(ISNUMBER(FIND("IMPVOL",K$1)),_xll.BDH(config!$G$4,K$1,WORKDAY($A751,-1,config_Holiday_Calendar_US),WORKDAY($A751,-1,config_Holiday_Calendar_US)),IF(ISNUMBER(_xll.BDH(config!$G$4,K$1,$A751,$A751)),_xll.BDH(config!$G$4,K$1,$A751,$A751),_xll.BDH(config!$G$5,K$1,$A751,$A751))))</f>
        <v/>
      </c>
      <c r="L751" s="8" t="str">
        <f>IF($A751="","",IF(ISNUMBER(FIND("IMPVOL",L$1)),_xll.BDH(config!$G$4,L$1,WORKDAY($A751,-1,config_Holiday_Calendar_US),WORKDAY($A751,-1,config_Holiday_Calendar_US)),IF(ISNUMBER(_xll.BDH(config!$G$4,L$1,$A751,$A751)),_xll.BDH(config!$G$4,L$1,$A751,$A751),_xll.BDH(config!$G$5,L$1,$A751,$A751))))</f>
        <v/>
      </c>
      <c r="M751" s="8" t="str">
        <f>IF($A751="","",IF(ISNUMBER(FIND("IMPVOL",M$1)),_xll.BDH(config!$G$4,M$1,WORKDAY($A751,-1,config_Holiday_Calendar_US),WORKDAY($A751,-1,config_Holiday_Calendar_US)),IF(ISNUMBER(_xll.BDH(config!$G$4,M$1,$A751,$A751)),_xll.BDH(config!$G$4,M$1,$A751,$A751),_xll.BDH(config!$G$5,M$1,$A751,$A751))))</f>
        <v/>
      </c>
      <c r="N751" s="8" t="str">
        <f>IF($A751="","",IF(ISNUMBER(FIND("IMPVOL",N$1)),_xll.BDH(config!$G$4,N$1,WORKDAY($A751,-1,config_Holiday_Calendar_US),WORKDAY($A751,-1,config_Holiday_Calendar_US)),IF(ISNUMBER(_xll.BDH(config!$G$4,N$1,$A751,$A751)),_xll.BDH(config!$G$4,N$1,$A751,$A751),_xll.BDH(config!$G$5,N$1,$A751,$A751))))</f>
        <v/>
      </c>
      <c r="O751" s="8" t="str">
        <f>IF($A751="","",IF(ISNUMBER(FIND("IMPVOL",O$1)),_xll.BDH(config!$G$4,O$1,WORKDAY($A751,-1,config_Holiday_Calendar_US),WORKDAY($A751,-1,config_Holiday_Calendar_US)),IF(ISNUMBER(_xll.BDH(config!$G$4,O$1,$A751,$A751)),_xll.BDH(config!$G$4,O$1,$A751,$A751),_xll.BDH(config!$G$5,O$1,$A751,$A751))))</f>
        <v/>
      </c>
      <c r="P751" s="8" t="str">
        <f>IF($A751="","",IF(ISNUMBER(FIND("IMPVOL",P$1)),_xll.BDH(config!$G$4,P$1,WORKDAY($A751,-1,config_Holiday_Calendar_US),WORKDAY($A751,-1,config_Holiday_Calendar_US)),IF(ISNUMBER(_xll.BDH(config!$G$4,P$1,$A751,$A751)),_xll.BDH(config!$G$4,P$1,$A751,$A751),_xll.BDH(config!$G$5,P$1,$A751,$A751))))</f>
        <v/>
      </c>
      <c r="Q751" s="8" t="str">
        <f>IF($A751="","",IF(ISNUMBER(FIND("IMPVOL",Q$1)),_xll.BDH(config!$G$4,Q$1,WORKDAY($A751,-1,config_Holiday_Calendar_US),WORKDAY($A751,-1,config_Holiday_Calendar_US)),IF(ISNUMBER(_xll.BDH(config!$G$4,Q$1,$A751,$A751)),_xll.BDH(config!$G$4,Q$1,$A751,$A751),_xll.BDH(config!$G$5,Q$1,$A751,$A751))))</f>
        <v/>
      </c>
      <c r="R751" s="8" t="str">
        <f>IF($A751="","",IF(ISNUMBER(FIND("IMPVOL",R$1)),_xll.BDH(config!$G$4,R$1,WORKDAY($A751,-1,config_Holiday_Calendar_US),WORKDAY($A751,-1,config_Holiday_Calendar_US)),IF(ISNUMBER(_xll.BDH(config!$G$4,R$1,$A751,$A751)),_xll.BDH(config!$G$4,R$1,$A751,$A751),_xll.BDH(config!$G$5,R$1,$A751,$A751))))</f>
        <v/>
      </c>
      <c r="S751" s="8" t="str">
        <f>IF($A751="","",IF(ISNUMBER(FIND("IMPVOL",S$1)),_xll.BDH(config!$G$4,S$1,WORKDAY($A751,-1,config_Holiday_Calendar_US),WORKDAY($A751,-1,config_Holiday_Calendar_US)),IF(ISNUMBER(_xll.BDH(config!$G$4,S$1,$A751,$A751)),_xll.BDH(config!$G$4,S$1,$A751,$A751),_xll.BDH(config!$G$5,S$1,$A751,$A751))))</f>
        <v/>
      </c>
      <c r="T751" s="8" t="str">
        <f>IF($A751="","",IF(ISNUMBER(FIND("IMPVOL",T$1)),_xll.BDH(config!$G$4,T$1,WORKDAY($A751,-1,config_Holiday_Calendar_US),WORKDAY($A751,-1,config_Holiday_Calendar_US)),IF(ISNUMBER(_xll.BDH(config!$G$4,T$1,$A751,$A751)),_xll.BDH(config!$G$4,T$1,$A751,$A751),_xll.BDH(config!$G$5,T$1,$A751,$A751))))</f>
        <v/>
      </c>
      <c r="U751" s="8" t="str">
        <f>IF($A751="","",IF(ISNUMBER(FIND("IMPVOL",U$1)),_xll.BDH(config!$G$4,U$1,WORKDAY($A751,-1,config_Holiday_Calendar_US),WORKDAY($A751,-1,config_Holiday_Calendar_US)),IF(ISNUMBER(_xll.BDH(config!$G$4,U$1,$A751,$A751)),_xll.BDH(config!$G$4,U$1,$A751,$A751),_xll.BDH(config!$G$5,U$1,$A751,$A751))))</f>
        <v/>
      </c>
      <c r="V751" s="8" t="str">
        <f>IF($A751="","",IF(ISNUMBER(FIND("IMPVOL",V$1)),_xll.BDH(config!$G$4,V$1,WORKDAY($A751,-1,config_Holiday_Calendar_US),WORKDAY($A751,-1,config_Holiday_Calendar_US)),IF(ISNUMBER(_xll.BDH(config!$G$4,V$1,$A751,$A751)),_xll.BDH(config!$G$4,V$1,$A751,$A751),_xll.BDH(config!$G$5,V$1,$A751,$A751))))</f>
        <v/>
      </c>
      <c r="W751" s="8" t="str">
        <f>IF($A751="","",IF(ISNUMBER(FIND("IMPVOL",W$1)),_xll.BDH(config!$G$4,W$1,WORKDAY($A751,-1,config_Holiday_Calendar_US),WORKDAY($A751,-1,config_Holiday_Calendar_US)),IF(ISNUMBER(_xll.BDH(config!$G$4,W$1,$A751,$A751)),_xll.BDH(config!$G$4,W$1,$A751,$A751),_xll.BDH(config!$G$5,W$1,$A751,$A751))))</f>
        <v/>
      </c>
    </row>
    <row r="752" spans="1:23" x14ac:dyDescent="0.2">
      <c r="A752" s="9" t="str">
        <f>IF(A751="","",IF(WORKDAY(A751,-1,config_Holiday_Calendar_US)&lt;config!$I$10,"",WORKDAY(A751,-1,config_Holiday_Calendar_US)))</f>
        <v/>
      </c>
      <c r="B752" s="8" t="str">
        <f t="shared" si="11"/>
        <v/>
      </c>
      <c r="C752" s="8" t="str">
        <f>IF(A752="","",_xll.BDH(config!$H$4,C$1,$A752,$A752))</f>
        <v/>
      </c>
      <c r="D752" s="8" t="str">
        <f>IF($A752="","",_xll.BDH(config!$H$4,D$1,$A752,$A752))</f>
        <v/>
      </c>
      <c r="E752" s="8" t="str">
        <f>IF($A752="","",IF(ISNUMBER(FIND("IMPVOL",E$1)),_xll.BDH(config!$G$4,E$1,WORKDAY($A752,-1,config_Holiday_Calendar_US),WORKDAY($A752,-1,config_Holiday_Calendar_US)),IF(ISNUMBER(_xll.BDH(config!$G$4,E$1,$A752,$A752)),_xll.BDH(config!$G$4,E$1,$A752,$A752),_xll.BDH(config!$G$5,E$1,$A752,$A752))))</f>
        <v/>
      </c>
      <c r="F752" s="8" t="str">
        <f>IF($A752="","",IF(ISNUMBER(FIND("IMPVOL",F$1)),_xll.BDH(config!$G$4,F$1,WORKDAY($A752,-1,config_Holiday_Calendar_US),WORKDAY($A752,-1,config_Holiday_Calendar_US)),IF(ISNUMBER(_xll.BDH(config!$G$4,F$1,$A752,$A752)),_xll.BDH(config!$G$4,F$1,$A752,$A752),_xll.BDH(config!$G$5,F$1,$A752,$A752))))</f>
        <v/>
      </c>
      <c r="G752" s="8" t="str">
        <f>IF($A752="","",IF(ISNUMBER(FIND("IMPVOL",G$1)),_xll.BDH(config!$G$4,G$1,WORKDAY($A752,-1,config_Holiday_Calendar_US),WORKDAY($A752,-1,config_Holiday_Calendar_US)),IF(ISNUMBER(_xll.BDH(config!$G$4,G$1,$A752,$A752)),_xll.BDH(config!$G$4,G$1,$A752,$A752),_xll.BDH(config!$G$5,G$1,$A752,$A752))))</f>
        <v/>
      </c>
      <c r="H752" s="8" t="str">
        <f>IF($A752="","",IF(ISNUMBER(FIND("IMPVOL",H$1)),_xll.BDH(config!$G$4,H$1,WORKDAY($A752,-1,config_Holiday_Calendar_US),WORKDAY($A752,-1,config_Holiday_Calendar_US)),IF(ISNUMBER(_xll.BDH(config!$G$4,H$1,$A752,$A752)),_xll.BDH(config!$G$4,H$1,$A752,$A752),_xll.BDH(config!$G$5,H$1,$A752,$A752))))</f>
        <v/>
      </c>
      <c r="I752" s="8" t="str">
        <f>IF($A752="","",IF(ISNUMBER(FIND("IMPVOL",I$1)),_xll.BDH(config!$G$4,I$1,WORKDAY($A752,-1,config_Holiday_Calendar_US),WORKDAY($A752,-1,config_Holiday_Calendar_US)),IF(ISNUMBER(_xll.BDH(config!$G$4,I$1,$A752,$A752)),_xll.BDH(config!$G$4,I$1,$A752,$A752),_xll.BDH(config!$G$5,I$1,$A752,$A752))))</f>
        <v/>
      </c>
      <c r="J752" s="8" t="str">
        <f>IF($A752="","",IF(ISNUMBER(FIND("IMPVOL",J$1)),_xll.BDH(config!$G$4,J$1,WORKDAY($A752,-1,config_Holiday_Calendar_US),WORKDAY($A752,-1,config_Holiday_Calendar_US)),IF(ISNUMBER(_xll.BDH(config!$G$4,J$1,$A752,$A752)),_xll.BDH(config!$G$4,J$1,$A752,$A752),_xll.BDH(config!$G$5,J$1,$A752,$A752))))</f>
        <v/>
      </c>
      <c r="K752" s="8" t="str">
        <f>IF($A752="","",IF(ISNUMBER(FIND("IMPVOL",K$1)),_xll.BDH(config!$G$4,K$1,WORKDAY($A752,-1,config_Holiday_Calendar_US),WORKDAY($A752,-1,config_Holiday_Calendar_US)),IF(ISNUMBER(_xll.BDH(config!$G$4,K$1,$A752,$A752)),_xll.BDH(config!$G$4,K$1,$A752,$A752),_xll.BDH(config!$G$5,K$1,$A752,$A752))))</f>
        <v/>
      </c>
      <c r="L752" s="8" t="str">
        <f>IF($A752="","",IF(ISNUMBER(FIND("IMPVOL",L$1)),_xll.BDH(config!$G$4,L$1,WORKDAY($A752,-1,config_Holiday_Calendar_US),WORKDAY($A752,-1,config_Holiday_Calendar_US)),IF(ISNUMBER(_xll.BDH(config!$G$4,L$1,$A752,$A752)),_xll.BDH(config!$G$4,L$1,$A752,$A752),_xll.BDH(config!$G$5,L$1,$A752,$A752))))</f>
        <v/>
      </c>
      <c r="M752" s="8" t="str">
        <f>IF($A752="","",IF(ISNUMBER(FIND("IMPVOL",M$1)),_xll.BDH(config!$G$4,M$1,WORKDAY($A752,-1,config_Holiday_Calendar_US),WORKDAY($A752,-1,config_Holiday_Calendar_US)),IF(ISNUMBER(_xll.BDH(config!$G$4,M$1,$A752,$A752)),_xll.BDH(config!$G$4,M$1,$A752,$A752),_xll.BDH(config!$G$5,M$1,$A752,$A752))))</f>
        <v/>
      </c>
      <c r="N752" s="8" t="str">
        <f>IF($A752="","",IF(ISNUMBER(FIND("IMPVOL",N$1)),_xll.BDH(config!$G$4,N$1,WORKDAY($A752,-1,config_Holiday_Calendar_US),WORKDAY($A752,-1,config_Holiday_Calendar_US)),IF(ISNUMBER(_xll.BDH(config!$G$4,N$1,$A752,$A752)),_xll.BDH(config!$G$4,N$1,$A752,$A752),_xll.BDH(config!$G$5,N$1,$A752,$A752))))</f>
        <v/>
      </c>
      <c r="O752" s="8" t="str">
        <f>IF($A752="","",IF(ISNUMBER(FIND("IMPVOL",O$1)),_xll.BDH(config!$G$4,O$1,WORKDAY($A752,-1,config_Holiday_Calendar_US),WORKDAY($A752,-1,config_Holiday_Calendar_US)),IF(ISNUMBER(_xll.BDH(config!$G$4,O$1,$A752,$A752)),_xll.BDH(config!$G$4,O$1,$A752,$A752),_xll.BDH(config!$G$5,O$1,$A752,$A752))))</f>
        <v/>
      </c>
      <c r="P752" s="8" t="str">
        <f>IF($A752="","",IF(ISNUMBER(FIND("IMPVOL",P$1)),_xll.BDH(config!$G$4,P$1,WORKDAY($A752,-1,config_Holiday_Calendar_US),WORKDAY($A752,-1,config_Holiday_Calendar_US)),IF(ISNUMBER(_xll.BDH(config!$G$4,P$1,$A752,$A752)),_xll.BDH(config!$G$4,P$1,$A752,$A752),_xll.BDH(config!$G$5,P$1,$A752,$A752))))</f>
        <v/>
      </c>
      <c r="Q752" s="8" t="str">
        <f>IF($A752="","",IF(ISNUMBER(FIND("IMPVOL",Q$1)),_xll.BDH(config!$G$4,Q$1,WORKDAY($A752,-1,config_Holiday_Calendar_US),WORKDAY($A752,-1,config_Holiday_Calendar_US)),IF(ISNUMBER(_xll.BDH(config!$G$4,Q$1,$A752,$A752)),_xll.BDH(config!$G$4,Q$1,$A752,$A752),_xll.BDH(config!$G$5,Q$1,$A752,$A752))))</f>
        <v/>
      </c>
      <c r="R752" s="8" t="str">
        <f>IF($A752="","",IF(ISNUMBER(FIND("IMPVOL",R$1)),_xll.BDH(config!$G$4,R$1,WORKDAY($A752,-1,config_Holiday_Calendar_US),WORKDAY($A752,-1,config_Holiday_Calendar_US)),IF(ISNUMBER(_xll.BDH(config!$G$4,R$1,$A752,$A752)),_xll.BDH(config!$G$4,R$1,$A752,$A752),_xll.BDH(config!$G$5,R$1,$A752,$A752))))</f>
        <v/>
      </c>
      <c r="S752" s="8" t="str">
        <f>IF($A752="","",IF(ISNUMBER(FIND("IMPVOL",S$1)),_xll.BDH(config!$G$4,S$1,WORKDAY($A752,-1,config_Holiday_Calendar_US),WORKDAY($A752,-1,config_Holiday_Calendar_US)),IF(ISNUMBER(_xll.BDH(config!$G$4,S$1,$A752,$A752)),_xll.BDH(config!$G$4,S$1,$A752,$A752),_xll.BDH(config!$G$5,S$1,$A752,$A752))))</f>
        <v/>
      </c>
      <c r="T752" s="8" t="str">
        <f>IF($A752="","",IF(ISNUMBER(FIND("IMPVOL",T$1)),_xll.BDH(config!$G$4,T$1,WORKDAY($A752,-1,config_Holiday_Calendar_US),WORKDAY($A752,-1,config_Holiday_Calendar_US)),IF(ISNUMBER(_xll.BDH(config!$G$4,T$1,$A752,$A752)),_xll.BDH(config!$G$4,T$1,$A752,$A752),_xll.BDH(config!$G$5,T$1,$A752,$A752))))</f>
        <v/>
      </c>
      <c r="U752" s="8" t="str">
        <f>IF($A752="","",IF(ISNUMBER(FIND("IMPVOL",U$1)),_xll.BDH(config!$G$4,U$1,WORKDAY($A752,-1,config_Holiday_Calendar_US),WORKDAY($A752,-1,config_Holiday_Calendar_US)),IF(ISNUMBER(_xll.BDH(config!$G$4,U$1,$A752,$A752)),_xll.BDH(config!$G$4,U$1,$A752,$A752),_xll.BDH(config!$G$5,U$1,$A752,$A752))))</f>
        <v/>
      </c>
      <c r="V752" s="8" t="str">
        <f>IF($A752="","",IF(ISNUMBER(FIND("IMPVOL",V$1)),_xll.BDH(config!$G$4,V$1,WORKDAY($A752,-1,config_Holiday_Calendar_US),WORKDAY($A752,-1,config_Holiday_Calendar_US)),IF(ISNUMBER(_xll.BDH(config!$G$4,V$1,$A752,$A752)),_xll.BDH(config!$G$4,V$1,$A752,$A752),_xll.BDH(config!$G$5,V$1,$A752,$A752))))</f>
        <v/>
      </c>
      <c r="W752" s="8" t="str">
        <f>IF($A752="","",IF(ISNUMBER(FIND("IMPVOL",W$1)),_xll.BDH(config!$G$4,W$1,WORKDAY($A752,-1,config_Holiday_Calendar_US),WORKDAY($A752,-1,config_Holiday_Calendar_US)),IF(ISNUMBER(_xll.BDH(config!$G$4,W$1,$A752,$A752)),_xll.BDH(config!$G$4,W$1,$A752,$A752),_xll.BDH(config!$G$5,W$1,$A752,$A752))))</f>
        <v/>
      </c>
    </row>
    <row r="753" spans="1:23" x14ac:dyDescent="0.2">
      <c r="A753" s="9" t="str">
        <f>IF(A752="","",IF(WORKDAY(A752,-1,config_Holiday_Calendar_US)&lt;config!$I$10,"",WORKDAY(A752,-1,config_Holiday_Calendar_US)))</f>
        <v/>
      </c>
      <c r="B753" s="8" t="str">
        <f t="shared" si="11"/>
        <v/>
      </c>
      <c r="C753" s="8" t="str">
        <f>IF(A753="","",_xll.BDH(config!$H$4,C$1,$A753,$A753))</f>
        <v/>
      </c>
      <c r="D753" s="8" t="str">
        <f>IF($A753="","",_xll.BDH(config!$H$4,D$1,$A753,$A753))</f>
        <v/>
      </c>
      <c r="E753" s="8" t="str">
        <f>IF($A753="","",IF(ISNUMBER(FIND("IMPVOL",E$1)),_xll.BDH(config!$G$4,E$1,WORKDAY($A753,-1,config_Holiday_Calendar_US),WORKDAY($A753,-1,config_Holiday_Calendar_US)),IF(ISNUMBER(_xll.BDH(config!$G$4,E$1,$A753,$A753)),_xll.BDH(config!$G$4,E$1,$A753,$A753),_xll.BDH(config!$G$5,E$1,$A753,$A753))))</f>
        <v/>
      </c>
      <c r="F753" s="8" t="str">
        <f>IF($A753="","",IF(ISNUMBER(FIND("IMPVOL",F$1)),_xll.BDH(config!$G$4,F$1,WORKDAY($A753,-1,config_Holiday_Calendar_US),WORKDAY($A753,-1,config_Holiday_Calendar_US)),IF(ISNUMBER(_xll.BDH(config!$G$4,F$1,$A753,$A753)),_xll.BDH(config!$G$4,F$1,$A753,$A753),_xll.BDH(config!$G$5,F$1,$A753,$A753))))</f>
        <v/>
      </c>
      <c r="G753" s="8" t="str">
        <f>IF($A753="","",IF(ISNUMBER(FIND("IMPVOL",G$1)),_xll.BDH(config!$G$4,G$1,WORKDAY($A753,-1,config_Holiday_Calendar_US),WORKDAY($A753,-1,config_Holiday_Calendar_US)),IF(ISNUMBER(_xll.BDH(config!$G$4,G$1,$A753,$A753)),_xll.BDH(config!$G$4,G$1,$A753,$A753),_xll.BDH(config!$G$5,G$1,$A753,$A753))))</f>
        <v/>
      </c>
      <c r="H753" s="8" t="str">
        <f>IF($A753="","",IF(ISNUMBER(FIND("IMPVOL",H$1)),_xll.BDH(config!$G$4,H$1,WORKDAY($A753,-1,config_Holiday_Calendar_US),WORKDAY($A753,-1,config_Holiday_Calendar_US)),IF(ISNUMBER(_xll.BDH(config!$G$4,H$1,$A753,$A753)),_xll.BDH(config!$G$4,H$1,$A753,$A753),_xll.BDH(config!$G$5,H$1,$A753,$A753))))</f>
        <v/>
      </c>
      <c r="I753" s="8" t="str">
        <f>IF($A753="","",IF(ISNUMBER(FIND("IMPVOL",I$1)),_xll.BDH(config!$G$4,I$1,WORKDAY($A753,-1,config_Holiday_Calendar_US),WORKDAY($A753,-1,config_Holiday_Calendar_US)),IF(ISNUMBER(_xll.BDH(config!$G$4,I$1,$A753,$A753)),_xll.BDH(config!$G$4,I$1,$A753,$A753),_xll.BDH(config!$G$5,I$1,$A753,$A753))))</f>
        <v/>
      </c>
      <c r="J753" s="8" t="str">
        <f>IF($A753="","",IF(ISNUMBER(FIND("IMPVOL",J$1)),_xll.BDH(config!$G$4,J$1,WORKDAY($A753,-1,config_Holiday_Calendar_US),WORKDAY($A753,-1,config_Holiday_Calendar_US)),IF(ISNUMBER(_xll.BDH(config!$G$4,J$1,$A753,$A753)),_xll.BDH(config!$G$4,J$1,$A753,$A753),_xll.BDH(config!$G$5,J$1,$A753,$A753))))</f>
        <v/>
      </c>
      <c r="K753" s="8" t="str">
        <f>IF($A753="","",IF(ISNUMBER(FIND("IMPVOL",K$1)),_xll.BDH(config!$G$4,K$1,WORKDAY($A753,-1,config_Holiday_Calendar_US),WORKDAY($A753,-1,config_Holiday_Calendar_US)),IF(ISNUMBER(_xll.BDH(config!$G$4,K$1,$A753,$A753)),_xll.BDH(config!$G$4,K$1,$A753,$A753),_xll.BDH(config!$G$5,K$1,$A753,$A753))))</f>
        <v/>
      </c>
      <c r="L753" s="8" t="str">
        <f>IF($A753="","",IF(ISNUMBER(FIND("IMPVOL",L$1)),_xll.BDH(config!$G$4,L$1,WORKDAY($A753,-1,config_Holiday_Calendar_US),WORKDAY($A753,-1,config_Holiday_Calendar_US)),IF(ISNUMBER(_xll.BDH(config!$G$4,L$1,$A753,$A753)),_xll.BDH(config!$G$4,L$1,$A753,$A753),_xll.BDH(config!$G$5,L$1,$A753,$A753))))</f>
        <v/>
      </c>
      <c r="M753" s="8" t="str">
        <f>IF($A753="","",IF(ISNUMBER(FIND("IMPVOL",M$1)),_xll.BDH(config!$G$4,M$1,WORKDAY($A753,-1,config_Holiday_Calendar_US),WORKDAY($A753,-1,config_Holiday_Calendar_US)),IF(ISNUMBER(_xll.BDH(config!$G$4,M$1,$A753,$A753)),_xll.BDH(config!$G$4,M$1,$A753,$A753),_xll.BDH(config!$G$5,M$1,$A753,$A753))))</f>
        <v/>
      </c>
      <c r="N753" s="8" t="str">
        <f>IF($A753="","",IF(ISNUMBER(FIND("IMPVOL",N$1)),_xll.BDH(config!$G$4,N$1,WORKDAY($A753,-1,config_Holiday_Calendar_US),WORKDAY($A753,-1,config_Holiday_Calendar_US)),IF(ISNUMBER(_xll.BDH(config!$G$4,N$1,$A753,$A753)),_xll.BDH(config!$G$4,N$1,$A753,$A753),_xll.BDH(config!$G$5,N$1,$A753,$A753))))</f>
        <v/>
      </c>
      <c r="O753" s="8" t="str">
        <f>IF($A753="","",IF(ISNUMBER(FIND("IMPVOL",O$1)),_xll.BDH(config!$G$4,O$1,WORKDAY($A753,-1,config_Holiday_Calendar_US),WORKDAY($A753,-1,config_Holiday_Calendar_US)),IF(ISNUMBER(_xll.BDH(config!$G$4,O$1,$A753,$A753)),_xll.BDH(config!$G$4,O$1,$A753,$A753),_xll.BDH(config!$G$5,O$1,$A753,$A753))))</f>
        <v/>
      </c>
      <c r="P753" s="8" t="str">
        <f>IF($A753="","",IF(ISNUMBER(FIND("IMPVOL",P$1)),_xll.BDH(config!$G$4,P$1,WORKDAY($A753,-1,config_Holiday_Calendar_US),WORKDAY($A753,-1,config_Holiday_Calendar_US)),IF(ISNUMBER(_xll.BDH(config!$G$4,P$1,$A753,$A753)),_xll.BDH(config!$G$4,P$1,$A753,$A753),_xll.BDH(config!$G$5,P$1,$A753,$A753))))</f>
        <v/>
      </c>
      <c r="Q753" s="8" t="str">
        <f>IF($A753="","",IF(ISNUMBER(FIND("IMPVOL",Q$1)),_xll.BDH(config!$G$4,Q$1,WORKDAY($A753,-1,config_Holiday_Calendar_US),WORKDAY($A753,-1,config_Holiday_Calendar_US)),IF(ISNUMBER(_xll.BDH(config!$G$4,Q$1,$A753,$A753)),_xll.BDH(config!$G$4,Q$1,$A753,$A753),_xll.BDH(config!$G$5,Q$1,$A753,$A753))))</f>
        <v/>
      </c>
      <c r="R753" s="8" t="str">
        <f>IF($A753="","",IF(ISNUMBER(FIND("IMPVOL",R$1)),_xll.BDH(config!$G$4,R$1,WORKDAY($A753,-1,config_Holiday_Calendar_US),WORKDAY($A753,-1,config_Holiday_Calendar_US)),IF(ISNUMBER(_xll.BDH(config!$G$4,R$1,$A753,$A753)),_xll.BDH(config!$G$4,R$1,$A753,$A753),_xll.BDH(config!$G$5,R$1,$A753,$A753))))</f>
        <v/>
      </c>
      <c r="S753" s="8" t="str">
        <f>IF($A753="","",IF(ISNUMBER(FIND("IMPVOL",S$1)),_xll.BDH(config!$G$4,S$1,WORKDAY($A753,-1,config_Holiday_Calendar_US),WORKDAY($A753,-1,config_Holiday_Calendar_US)),IF(ISNUMBER(_xll.BDH(config!$G$4,S$1,$A753,$A753)),_xll.BDH(config!$G$4,S$1,$A753,$A753),_xll.BDH(config!$G$5,S$1,$A753,$A753))))</f>
        <v/>
      </c>
      <c r="T753" s="8" t="str">
        <f>IF($A753="","",IF(ISNUMBER(FIND("IMPVOL",T$1)),_xll.BDH(config!$G$4,T$1,WORKDAY($A753,-1,config_Holiday_Calendar_US),WORKDAY($A753,-1,config_Holiday_Calendar_US)),IF(ISNUMBER(_xll.BDH(config!$G$4,T$1,$A753,$A753)),_xll.BDH(config!$G$4,T$1,$A753,$A753),_xll.BDH(config!$G$5,T$1,$A753,$A753))))</f>
        <v/>
      </c>
      <c r="U753" s="8" t="str">
        <f>IF($A753="","",IF(ISNUMBER(FIND("IMPVOL",U$1)),_xll.BDH(config!$G$4,U$1,WORKDAY($A753,-1,config_Holiday_Calendar_US),WORKDAY($A753,-1,config_Holiday_Calendar_US)),IF(ISNUMBER(_xll.BDH(config!$G$4,U$1,$A753,$A753)),_xll.BDH(config!$G$4,U$1,$A753,$A753),_xll.BDH(config!$G$5,U$1,$A753,$A753))))</f>
        <v/>
      </c>
      <c r="V753" s="8" t="str">
        <f>IF($A753="","",IF(ISNUMBER(FIND("IMPVOL",V$1)),_xll.BDH(config!$G$4,V$1,WORKDAY($A753,-1,config_Holiday_Calendar_US),WORKDAY($A753,-1,config_Holiday_Calendar_US)),IF(ISNUMBER(_xll.BDH(config!$G$4,V$1,$A753,$A753)),_xll.BDH(config!$G$4,V$1,$A753,$A753),_xll.BDH(config!$G$5,V$1,$A753,$A753))))</f>
        <v/>
      </c>
      <c r="W753" s="8" t="str">
        <f>IF($A753="","",IF(ISNUMBER(FIND("IMPVOL",W$1)),_xll.BDH(config!$G$4,W$1,WORKDAY($A753,-1,config_Holiday_Calendar_US),WORKDAY($A753,-1,config_Holiday_Calendar_US)),IF(ISNUMBER(_xll.BDH(config!$G$4,W$1,$A753,$A753)),_xll.BDH(config!$G$4,W$1,$A753,$A753),_xll.BDH(config!$G$5,W$1,$A753,$A753))))</f>
        <v/>
      </c>
    </row>
    <row r="754" spans="1:23" x14ac:dyDescent="0.2">
      <c r="A754" s="9" t="str">
        <f>IF(A753="","",IF(WORKDAY(A753,-1,config_Holiday_Calendar_US)&lt;config!$I$10,"",WORKDAY(A753,-1,config_Holiday_Calendar_US)))</f>
        <v/>
      </c>
      <c r="B754" s="8" t="str">
        <f t="shared" si="11"/>
        <v/>
      </c>
      <c r="C754" s="8" t="str">
        <f>IF(A754="","",_xll.BDH(config!$H$4,C$1,$A754,$A754))</f>
        <v/>
      </c>
      <c r="D754" s="8" t="str">
        <f>IF($A754="","",_xll.BDH(config!$H$4,D$1,$A754,$A754))</f>
        <v/>
      </c>
      <c r="E754" s="8" t="str">
        <f>IF($A754="","",IF(ISNUMBER(FIND("IMPVOL",E$1)),_xll.BDH(config!$G$4,E$1,WORKDAY($A754,-1,config_Holiday_Calendar_US),WORKDAY($A754,-1,config_Holiday_Calendar_US)),IF(ISNUMBER(_xll.BDH(config!$G$4,E$1,$A754,$A754)),_xll.BDH(config!$G$4,E$1,$A754,$A754),_xll.BDH(config!$G$5,E$1,$A754,$A754))))</f>
        <v/>
      </c>
      <c r="F754" s="8" t="str">
        <f>IF($A754="","",IF(ISNUMBER(FIND("IMPVOL",F$1)),_xll.BDH(config!$G$4,F$1,WORKDAY($A754,-1,config_Holiday_Calendar_US),WORKDAY($A754,-1,config_Holiday_Calendar_US)),IF(ISNUMBER(_xll.BDH(config!$G$4,F$1,$A754,$A754)),_xll.BDH(config!$G$4,F$1,$A754,$A754),_xll.BDH(config!$G$5,F$1,$A754,$A754))))</f>
        <v/>
      </c>
      <c r="G754" s="8" t="str">
        <f>IF($A754="","",IF(ISNUMBER(FIND("IMPVOL",G$1)),_xll.BDH(config!$G$4,G$1,WORKDAY($A754,-1,config_Holiday_Calendar_US),WORKDAY($A754,-1,config_Holiday_Calendar_US)),IF(ISNUMBER(_xll.BDH(config!$G$4,G$1,$A754,$A754)),_xll.BDH(config!$G$4,G$1,$A754,$A754),_xll.BDH(config!$G$5,G$1,$A754,$A754))))</f>
        <v/>
      </c>
      <c r="H754" s="8" t="str">
        <f>IF($A754="","",IF(ISNUMBER(FIND("IMPVOL",H$1)),_xll.BDH(config!$G$4,H$1,WORKDAY($A754,-1,config_Holiday_Calendar_US),WORKDAY($A754,-1,config_Holiday_Calendar_US)),IF(ISNUMBER(_xll.BDH(config!$G$4,H$1,$A754,$A754)),_xll.BDH(config!$G$4,H$1,$A754,$A754),_xll.BDH(config!$G$5,H$1,$A754,$A754))))</f>
        <v/>
      </c>
      <c r="I754" s="8" t="str">
        <f>IF($A754="","",IF(ISNUMBER(FIND("IMPVOL",I$1)),_xll.BDH(config!$G$4,I$1,WORKDAY($A754,-1,config_Holiday_Calendar_US),WORKDAY($A754,-1,config_Holiday_Calendar_US)),IF(ISNUMBER(_xll.BDH(config!$G$4,I$1,$A754,$A754)),_xll.BDH(config!$G$4,I$1,$A754,$A754),_xll.BDH(config!$G$5,I$1,$A754,$A754))))</f>
        <v/>
      </c>
      <c r="J754" s="8" t="str">
        <f>IF($A754="","",IF(ISNUMBER(FIND("IMPVOL",J$1)),_xll.BDH(config!$G$4,J$1,WORKDAY($A754,-1,config_Holiday_Calendar_US),WORKDAY($A754,-1,config_Holiday_Calendar_US)),IF(ISNUMBER(_xll.BDH(config!$G$4,J$1,$A754,$A754)),_xll.BDH(config!$G$4,J$1,$A754,$A754),_xll.BDH(config!$G$5,J$1,$A754,$A754))))</f>
        <v/>
      </c>
      <c r="K754" s="8" t="str">
        <f>IF($A754="","",IF(ISNUMBER(FIND("IMPVOL",K$1)),_xll.BDH(config!$G$4,K$1,WORKDAY($A754,-1,config_Holiday_Calendar_US),WORKDAY($A754,-1,config_Holiday_Calendar_US)),IF(ISNUMBER(_xll.BDH(config!$G$4,K$1,$A754,$A754)),_xll.BDH(config!$G$4,K$1,$A754,$A754),_xll.BDH(config!$G$5,K$1,$A754,$A754))))</f>
        <v/>
      </c>
      <c r="L754" s="8" t="str">
        <f>IF($A754="","",IF(ISNUMBER(FIND("IMPVOL",L$1)),_xll.BDH(config!$G$4,L$1,WORKDAY($A754,-1,config_Holiday_Calendar_US),WORKDAY($A754,-1,config_Holiday_Calendar_US)),IF(ISNUMBER(_xll.BDH(config!$G$4,L$1,$A754,$A754)),_xll.BDH(config!$G$4,L$1,$A754,$A754),_xll.BDH(config!$G$5,L$1,$A754,$A754))))</f>
        <v/>
      </c>
      <c r="M754" s="8" t="str">
        <f>IF($A754="","",IF(ISNUMBER(FIND("IMPVOL",M$1)),_xll.BDH(config!$G$4,M$1,WORKDAY($A754,-1,config_Holiday_Calendar_US),WORKDAY($A754,-1,config_Holiday_Calendar_US)),IF(ISNUMBER(_xll.BDH(config!$G$4,M$1,$A754,$A754)),_xll.BDH(config!$G$4,M$1,$A754,$A754),_xll.BDH(config!$G$5,M$1,$A754,$A754))))</f>
        <v/>
      </c>
      <c r="N754" s="8" t="str">
        <f>IF($A754="","",IF(ISNUMBER(FIND("IMPVOL",N$1)),_xll.BDH(config!$G$4,N$1,WORKDAY($A754,-1,config_Holiday_Calendar_US),WORKDAY($A754,-1,config_Holiday_Calendar_US)),IF(ISNUMBER(_xll.BDH(config!$G$4,N$1,$A754,$A754)),_xll.BDH(config!$G$4,N$1,$A754,$A754),_xll.BDH(config!$G$5,N$1,$A754,$A754))))</f>
        <v/>
      </c>
      <c r="O754" s="8" t="str">
        <f>IF($A754="","",IF(ISNUMBER(FIND("IMPVOL",O$1)),_xll.BDH(config!$G$4,O$1,WORKDAY($A754,-1,config_Holiday_Calendar_US),WORKDAY($A754,-1,config_Holiday_Calendar_US)),IF(ISNUMBER(_xll.BDH(config!$G$4,O$1,$A754,$A754)),_xll.BDH(config!$G$4,O$1,$A754,$A754),_xll.BDH(config!$G$5,O$1,$A754,$A754))))</f>
        <v/>
      </c>
      <c r="P754" s="8" t="str">
        <f>IF($A754="","",IF(ISNUMBER(FIND("IMPVOL",P$1)),_xll.BDH(config!$G$4,P$1,WORKDAY($A754,-1,config_Holiday_Calendar_US),WORKDAY($A754,-1,config_Holiday_Calendar_US)),IF(ISNUMBER(_xll.BDH(config!$G$4,P$1,$A754,$A754)),_xll.BDH(config!$G$4,P$1,$A754,$A754),_xll.BDH(config!$G$5,P$1,$A754,$A754))))</f>
        <v/>
      </c>
      <c r="Q754" s="8" t="str">
        <f>IF($A754="","",IF(ISNUMBER(FIND("IMPVOL",Q$1)),_xll.BDH(config!$G$4,Q$1,WORKDAY($A754,-1,config_Holiday_Calendar_US),WORKDAY($A754,-1,config_Holiday_Calendar_US)),IF(ISNUMBER(_xll.BDH(config!$G$4,Q$1,$A754,$A754)),_xll.BDH(config!$G$4,Q$1,$A754,$A754),_xll.BDH(config!$G$5,Q$1,$A754,$A754))))</f>
        <v/>
      </c>
      <c r="R754" s="8" t="str">
        <f>IF($A754="","",IF(ISNUMBER(FIND("IMPVOL",R$1)),_xll.BDH(config!$G$4,R$1,WORKDAY($A754,-1,config_Holiday_Calendar_US),WORKDAY($A754,-1,config_Holiday_Calendar_US)),IF(ISNUMBER(_xll.BDH(config!$G$4,R$1,$A754,$A754)),_xll.BDH(config!$G$4,R$1,$A754,$A754),_xll.BDH(config!$G$5,R$1,$A754,$A754))))</f>
        <v/>
      </c>
      <c r="S754" s="8" t="str">
        <f>IF($A754="","",IF(ISNUMBER(FIND("IMPVOL",S$1)),_xll.BDH(config!$G$4,S$1,WORKDAY($A754,-1,config_Holiday_Calendar_US),WORKDAY($A754,-1,config_Holiday_Calendar_US)),IF(ISNUMBER(_xll.BDH(config!$G$4,S$1,$A754,$A754)),_xll.BDH(config!$G$4,S$1,$A754,$A754),_xll.BDH(config!$G$5,S$1,$A754,$A754))))</f>
        <v/>
      </c>
      <c r="T754" s="8" t="str">
        <f>IF($A754="","",IF(ISNUMBER(FIND("IMPVOL",T$1)),_xll.BDH(config!$G$4,T$1,WORKDAY($A754,-1,config_Holiday_Calendar_US),WORKDAY($A754,-1,config_Holiday_Calendar_US)),IF(ISNUMBER(_xll.BDH(config!$G$4,T$1,$A754,$A754)),_xll.BDH(config!$G$4,T$1,$A754,$A754),_xll.BDH(config!$G$5,T$1,$A754,$A754))))</f>
        <v/>
      </c>
      <c r="U754" s="8" t="str">
        <f>IF($A754="","",IF(ISNUMBER(FIND("IMPVOL",U$1)),_xll.BDH(config!$G$4,U$1,WORKDAY($A754,-1,config_Holiday_Calendar_US),WORKDAY($A754,-1,config_Holiday_Calendar_US)),IF(ISNUMBER(_xll.BDH(config!$G$4,U$1,$A754,$A754)),_xll.BDH(config!$G$4,U$1,$A754,$A754),_xll.BDH(config!$G$5,U$1,$A754,$A754))))</f>
        <v/>
      </c>
      <c r="V754" s="8" t="str">
        <f>IF($A754="","",IF(ISNUMBER(FIND("IMPVOL",V$1)),_xll.BDH(config!$G$4,V$1,WORKDAY($A754,-1,config_Holiday_Calendar_US),WORKDAY($A754,-1,config_Holiday_Calendar_US)),IF(ISNUMBER(_xll.BDH(config!$G$4,V$1,$A754,$A754)),_xll.BDH(config!$G$4,V$1,$A754,$A754),_xll.BDH(config!$G$5,V$1,$A754,$A754))))</f>
        <v/>
      </c>
      <c r="W754" s="8" t="str">
        <f>IF($A754="","",IF(ISNUMBER(FIND("IMPVOL",W$1)),_xll.BDH(config!$G$4,W$1,WORKDAY($A754,-1,config_Holiday_Calendar_US),WORKDAY($A754,-1,config_Holiday_Calendar_US)),IF(ISNUMBER(_xll.BDH(config!$G$4,W$1,$A754,$A754)),_xll.BDH(config!$G$4,W$1,$A754,$A754),_xll.BDH(config!$G$5,W$1,$A754,$A754))))</f>
        <v/>
      </c>
    </row>
    <row r="755" spans="1:23" x14ac:dyDescent="0.2">
      <c r="A755" s="9" t="str">
        <f>IF(A754="","",IF(WORKDAY(A754,-1,config_Holiday_Calendar_US)&lt;config!$I$10,"",WORKDAY(A754,-1,config_Holiday_Calendar_US)))</f>
        <v/>
      </c>
      <c r="B755" s="8" t="str">
        <f t="shared" si="11"/>
        <v/>
      </c>
      <c r="C755" s="8" t="str">
        <f>IF(A755="","",_xll.BDH(config!$H$4,C$1,$A755,$A755))</f>
        <v/>
      </c>
      <c r="D755" s="8" t="str">
        <f>IF($A755="","",_xll.BDH(config!$H$4,D$1,$A755,$A755))</f>
        <v/>
      </c>
      <c r="E755" s="8" t="str">
        <f>IF($A755="","",IF(ISNUMBER(FIND("IMPVOL",E$1)),_xll.BDH(config!$G$4,E$1,WORKDAY($A755,-1,config_Holiday_Calendar_US),WORKDAY($A755,-1,config_Holiday_Calendar_US)),IF(ISNUMBER(_xll.BDH(config!$G$4,E$1,$A755,$A755)),_xll.BDH(config!$G$4,E$1,$A755,$A755),_xll.BDH(config!$G$5,E$1,$A755,$A755))))</f>
        <v/>
      </c>
      <c r="F755" s="8" t="str">
        <f>IF($A755="","",IF(ISNUMBER(FIND("IMPVOL",F$1)),_xll.BDH(config!$G$4,F$1,WORKDAY($A755,-1,config_Holiday_Calendar_US),WORKDAY($A755,-1,config_Holiday_Calendar_US)),IF(ISNUMBER(_xll.BDH(config!$G$4,F$1,$A755,$A755)),_xll.BDH(config!$G$4,F$1,$A755,$A755),_xll.BDH(config!$G$5,F$1,$A755,$A755))))</f>
        <v/>
      </c>
      <c r="G755" s="8" t="str">
        <f>IF($A755="","",IF(ISNUMBER(FIND("IMPVOL",G$1)),_xll.BDH(config!$G$4,G$1,WORKDAY($A755,-1,config_Holiday_Calendar_US),WORKDAY($A755,-1,config_Holiday_Calendar_US)),IF(ISNUMBER(_xll.BDH(config!$G$4,G$1,$A755,$A755)),_xll.BDH(config!$G$4,G$1,$A755,$A755),_xll.BDH(config!$G$5,G$1,$A755,$A755))))</f>
        <v/>
      </c>
      <c r="H755" s="8" t="str">
        <f>IF($A755="","",IF(ISNUMBER(FIND("IMPVOL",H$1)),_xll.BDH(config!$G$4,H$1,WORKDAY($A755,-1,config_Holiday_Calendar_US),WORKDAY($A755,-1,config_Holiday_Calendar_US)),IF(ISNUMBER(_xll.BDH(config!$G$4,H$1,$A755,$A755)),_xll.BDH(config!$G$4,H$1,$A755,$A755),_xll.BDH(config!$G$5,H$1,$A755,$A755))))</f>
        <v/>
      </c>
      <c r="I755" s="8" t="str">
        <f>IF($A755="","",IF(ISNUMBER(FIND("IMPVOL",I$1)),_xll.BDH(config!$G$4,I$1,WORKDAY($A755,-1,config_Holiday_Calendar_US),WORKDAY($A755,-1,config_Holiday_Calendar_US)),IF(ISNUMBER(_xll.BDH(config!$G$4,I$1,$A755,$A755)),_xll.BDH(config!$G$4,I$1,$A755,$A755),_xll.BDH(config!$G$5,I$1,$A755,$A755))))</f>
        <v/>
      </c>
      <c r="J755" s="8" t="str">
        <f>IF($A755="","",IF(ISNUMBER(FIND("IMPVOL",J$1)),_xll.BDH(config!$G$4,J$1,WORKDAY($A755,-1,config_Holiday_Calendar_US),WORKDAY($A755,-1,config_Holiday_Calendar_US)),IF(ISNUMBER(_xll.BDH(config!$G$4,J$1,$A755,$A755)),_xll.BDH(config!$G$4,J$1,$A755,$A755),_xll.BDH(config!$G$5,J$1,$A755,$A755))))</f>
        <v/>
      </c>
      <c r="K755" s="8" t="str">
        <f>IF($A755="","",IF(ISNUMBER(FIND("IMPVOL",K$1)),_xll.BDH(config!$G$4,K$1,WORKDAY($A755,-1,config_Holiday_Calendar_US),WORKDAY($A755,-1,config_Holiday_Calendar_US)),IF(ISNUMBER(_xll.BDH(config!$G$4,K$1,$A755,$A755)),_xll.BDH(config!$G$4,K$1,$A755,$A755),_xll.BDH(config!$G$5,K$1,$A755,$A755))))</f>
        <v/>
      </c>
      <c r="L755" s="8" t="str">
        <f>IF($A755="","",IF(ISNUMBER(FIND("IMPVOL",L$1)),_xll.BDH(config!$G$4,L$1,WORKDAY($A755,-1,config_Holiday_Calendar_US),WORKDAY($A755,-1,config_Holiday_Calendar_US)),IF(ISNUMBER(_xll.BDH(config!$G$4,L$1,$A755,$A755)),_xll.BDH(config!$G$4,L$1,$A755,$A755),_xll.BDH(config!$G$5,L$1,$A755,$A755))))</f>
        <v/>
      </c>
      <c r="M755" s="8" t="str">
        <f>IF($A755="","",IF(ISNUMBER(FIND("IMPVOL",M$1)),_xll.BDH(config!$G$4,M$1,WORKDAY($A755,-1,config_Holiday_Calendar_US),WORKDAY($A755,-1,config_Holiday_Calendar_US)),IF(ISNUMBER(_xll.BDH(config!$G$4,M$1,$A755,$A755)),_xll.BDH(config!$G$4,M$1,$A755,$A755),_xll.BDH(config!$G$5,M$1,$A755,$A755))))</f>
        <v/>
      </c>
      <c r="N755" s="8" t="str">
        <f>IF($A755="","",IF(ISNUMBER(FIND("IMPVOL",N$1)),_xll.BDH(config!$G$4,N$1,WORKDAY($A755,-1,config_Holiday_Calendar_US),WORKDAY($A755,-1,config_Holiday_Calendar_US)),IF(ISNUMBER(_xll.BDH(config!$G$4,N$1,$A755,$A755)),_xll.BDH(config!$G$4,N$1,$A755,$A755),_xll.BDH(config!$G$5,N$1,$A755,$A755))))</f>
        <v/>
      </c>
      <c r="O755" s="8" t="str">
        <f>IF($A755="","",IF(ISNUMBER(FIND("IMPVOL",O$1)),_xll.BDH(config!$G$4,O$1,WORKDAY($A755,-1,config_Holiday_Calendar_US),WORKDAY($A755,-1,config_Holiday_Calendar_US)),IF(ISNUMBER(_xll.BDH(config!$G$4,O$1,$A755,$A755)),_xll.BDH(config!$G$4,O$1,$A755,$A755),_xll.BDH(config!$G$5,O$1,$A755,$A755))))</f>
        <v/>
      </c>
      <c r="P755" s="8" t="str">
        <f>IF($A755="","",IF(ISNUMBER(FIND("IMPVOL",P$1)),_xll.BDH(config!$G$4,P$1,WORKDAY($A755,-1,config_Holiday_Calendar_US),WORKDAY($A755,-1,config_Holiday_Calendar_US)),IF(ISNUMBER(_xll.BDH(config!$G$4,P$1,$A755,$A755)),_xll.BDH(config!$G$4,P$1,$A755,$A755),_xll.BDH(config!$G$5,P$1,$A755,$A755))))</f>
        <v/>
      </c>
      <c r="Q755" s="8" t="str">
        <f>IF($A755="","",IF(ISNUMBER(FIND("IMPVOL",Q$1)),_xll.BDH(config!$G$4,Q$1,WORKDAY($A755,-1,config_Holiday_Calendar_US),WORKDAY($A755,-1,config_Holiday_Calendar_US)),IF(ISNUMBER(_xll.BDH(config!$G$4,Q$1,$A755,$A755)),_xll.BDH(config!$G$4,Q$1,$A755,$A755),_xll.BDH(config!$G$5,Q$1,$A755,$A755))))</f>
        <v/>
      </c>
      <c r="R755" s="8" t="str">
        <f>IF($A755="","",IF(ISNUMBER(FIND("IMPVOL",R$1)),_xll.BDH(config!$G$4,R$1,WORKDAY($A755,-1,config_Holiday_Calendar_US),WORKDAY($A755,-1,config_Holiday_Calendar_US)),IF(ISNUMBER(_xll.BDH(config!$G$4,R$1,$A755,$A755)),_xll.BDH(config!$G$4,R$1,$A755,$A755),_xll.BDH(config!$G$5,R$1,$A755,$A755))))</f>
        <v/>
      </c>
      <c r="S755" s="8" t="str">
        <f>IF($A755="","",IF(ISNUMBER(FIND("IMPVOL",S$1)),_xll.BDH(config!$G$4,S$1,WORKDAY($A755,-1,config_Holiday_Calendar_US),WORKDAY($A755,-1,config_Holiday_Calendar_US)),IF(ISNUMBER(_xll.BDH(config!$G$4,S$1,$A755,$A755)),_xll.BDH(config!$G$4,S$1,$A755,$A755),_xll.BDH(config!$G$5,S$1,$A755,$A755))))</f>
        <v/>
      </c>
      <c r="T755" s="8" t="str">
        <f>IF($A755="","",IF(ISNUMBER(FIND("IMPVOL",T$1)),_xll.BDH(config!$G$4,T$1,WORKDAY($A755,-1,config_Holiday_Calendar_US),WORKDAY($A755,-1,config_Holiday_Calendar_US)),IF(ISNUMBER(_xll.BDH(config!$G$4,T$1,$A755,$A755)),_xll.BDH(config!$G$4,T$1,$A755,$A755),_xll.BDH(config!$G$5,T$1,$A755,$A755))))</f>
        <v/>
      </c>
      <c r="U755" s="8" t="str">
        <f>IF($A755="","",IF(ISNUMBER(FIND("IMPVOL",U$1)),_xll.BDH(config!$G$4,U$1,WORKDAY($A755,-1,config_Holiday_Calendar_US),WORKDAY($A755,-1,config_Holiday_Calendar_US)),IF(ISNUMBER(_xll.BDH(config!$G$4,U$1,$A755,$A755)),_xll.BDH(config!$G$4,U$1,$A755,$A755),_xll.BDH(config!$G$5,U$1,$A755,$A755))))</f>
        <v/>
      </c>
      <c r="V755" s="8" t="str">
        <f>IF($A755="","",IF(ISNUMBER(FIND("IMPVOL",V$1)),_xll.BDH(config!$G$4,V$1,WORKDAY($A755,-1,config_Holiday_Calendar_US),WORKDAY($A755,-1,config_Holiday_Calendar_US)),IF(ISNUMBER(_xll.BDH(config!$G$4,V$1,$A755,$A755)),_xll.BDH(config!$G$4,V$1,$A755,$A755),_xll.BDH(config!$G$5,V$1,$A755,$A755))))</f>
        <v/>
      </c>
      <c r="W755" s="8" t="str">
        <f>IF($A755="","",IF(ISNUMBER(FIND("IMPVOL",W$1)),_xll.BDH(config!$G$4,W$1,WORKDAY($A755,-1,config_Holiday_Calendar_US),WORKDAY($A755,-1,config_Holiday_Calendar_US)),IF(ISNUMBER(_xll.BDH(config!$G$4,W$1,$A755,$A755)),_xll.BDH(config!$G$4,W$1,$A755,$A755),_xll.BDH(config!$G$5,W$1,$A755,$A755))))</f>
        <v/>
      </c>
    </row>
    <row r="756" spans="1:23" x14ac:dyDescent="0.2">
      <c r="A756" s="9" t="str">
        <f>IF(A755="","",IF(WORKDAY(A755,-1,config_Holiday_Calendar_US)&lt;config!$I$10,"",WORKDAY(A755,-1,config_Holiday_Calendar_US)))</f>
        <v/>
      </c>
      <c r="B756" s="8" t="str">
        <f t="shared" si="11"/>
        <v/>
      </c>
      <c r="C756" s="8" t="str">
        <f>IF(A756="","",_xll.BDH(config!$H$4,C$1,$A756,$A756))</f>
        <v/>
      </c>
      <c r="D756" s="8" t="str">
        <f>IF($A756="","",_xll.BDH(config!$H$4,D$1,$A756,$A756))</f>
        <v/>
      </c>
      <c r="E756" s="8" t="str">
        <f>IF($A756="","",IF(ISNUMBER(FIND("IMPVOL",E$1)),_xll.BDH(config!$G$4,E$1,WORKDAY($A756,-1,config_Holiday_Calendar_US),WORKDAY($A756,-1,config_Holiday_Calendar_US)),IF(ISNUMBER(_xll.BDH(config!$G$4,E$1,$A756,$A756)),_xll.BDH(config!$G$4,E$1,$A756,$A756),_xll.BDH(config!$G$5,E$1,$A756,$A756))))</f>
        <v/>
      </c>
      <c r="F756" s="8" t="str">
        <f>IF($A756="","",IF(ISNUMBER(FIND("IMPVOL",F$1)),_xll.BDH(config!$G$4,F$1,WORKDAY($A756,-1,config_Holiday_Calendar_US),WORKDAY($A756,-1,config_Holiday_Calendar_US)),IF(ISNUMBER(_xll.BDH(config!$G$4,F$1,$A756,$A756)),_xll.BDH(config!$G$4,F$1,$A756,$A756),_xll.BDH(config!$G$5,F$1,$A756,$A756))))</f>
        <v/>
      </c>
      <c r="G756" s="8" t="str">
        <f>IF($A756="","",IF(ISNUMBER(FIND("IMPVOL",G$1)),_xll.BDH(config!$G$4,G$1,WORKDAY($A756,-1,config_Holiday_Calendar_US),WORKDAY($A756,-1,config_Holiday_Calendar_US)),IF(ISNUMBER(_xll.BDH(config!$G$4,G$1,$A756,$A756)),_xll.BDH(config!$G$4,G$1,$A756,$A756),_xll.BDH(config!$G$5,G$1,$A756,$A756))))</f>
        <v/>
      </c>
      <c r="H756" s="8" t="str">
        <f>IF($A756="","",IF(ISNUMBER(FIND("IMPVOL",H$1)),_xll.BDH(config!$G$4,H$1,WORKDAY($A756,-1,config_Holiday_Calendar_US),WORKDAY($A756,-1,config_Holiday_Calendar_US)),IF(ISNUMBER(_xll.BDH(config!$G$4,H$1,$A756,$A756)),_xll.BDH(config!$G$4,H$1,$A756,$A756),_xll.BDH(config!$G$5,H$1,$A756,$A756))))</f>
        <v/>
      </c>
      <c r="I756" s="8" t="str">
        <f>IF($A756="","",IF(ISNUMBER(FIND("IMPVOL",I$1)),_xll.BDH(config!$G$4,I$1,WORKDAY($A756,-1,config_Holiday_Calendar_US),WORKDAY($A756,-1,config_Holiday_Calendar_US)),IF(ISNUMBER(_xll.BDH(config!$G$4,I$1,$A756,$A756)),_xll.BDH(config!$G$4,I$1,$A756,$A756),_xll.BDH(config!$G$5,I$1,$A756,$A756))))</f>
        <v/>
      </c>
      <c r="J756" s="8" t="str">
        <f>IF($A756="","",IF(ISNUMBER(FIND("IMPVOL",J$1)),_xll.BDH(config!$G$4,J$1,WORKDAY($A756,-1,config_Holiday_Calendar_US),WORKDAY($A756,-1,config_Holiday_Calendar_US)),IF(ISNUMBER(_xll.BDH(config!$G$4,J$1,$A756,$A756)),_xll.BDH(config!$G$4,J$1,$A756,$A756),_xll.BDH(config!$G$5,J$1,$A756,$A756))))</f>
        <v/>
      </c>
      <c r="K756" s="8" t="str">
        <f>IF($A756="","",IF(ISNUMBER(FIND("IMPVOL",K$1)),_xll.BDH(config!$G$4,K$1,WORKDAY($A756,-1,config_Holiday_Calendar_US),WORKDAY($A756,-1,config_Holiday_Calendar_US)),IF(ISNUMBER(_xll.BDH(config!$G$4,K$1,$A756,$A756)),_xll.BDH(config!$G$4,K$1,$A756,$A756),_xll.BDH(config!$G$5,K$1,$A756,$A756))))</f>
        <v/>
      </c>
      <c r="L756" s="8" t="str">
        <f>IF($A756="","",IF(ISNUMBER(FIND("IMPVOL",L$1)),_xll.BDH(config!$G$4,L$1,WORKDAY($A756,-1,config_Holiday_Calendar_US),WORKDAY($A756,-1,config_Holiday_Calendar_US)),IF(ISNUMBER(_xll.BDH(config!$G$4,L$1,$A756,$A756)),_xll.BDH(config!$G$4,L$1,$A756,$A756),_xll.BDH(config!$G$5,L$1,$A756,$A756))))</f>
        <v/>
      </c>
      <c r="M756" s="8" t="str">
        <f>IF($A756="","",IF(ISNUMBER(FIND("IMPVOL",M$1)),_xll.BDH(config!$G$4,M$1,WORKDAY($A756,-1,config_Holiday_Calendar_US),WORKDAY($A756,-1,config_Holiday_Calendar_US)),IF(ISNUMBER(_xll.BDH(config!$G$4,M$1,$A756,$A756)),_xll.BDH(config!$G$4,M$1,$A756,$A756),_xll.BDH(config!$G$5,M$1,$A756,$A756))))</f>
        <v/>
      </c>
      <c r="N756" s="8" t="str">
        <f>IF($A756="","",IF(ISNUMBER(FIND("IMPVOL",N$1)),_xll.BDH(config!$G$4,N$1,WORKDAY($A756,-1,config_Holiday_Calendar_US),WORKDAY($A756,-1,config_Holiday_Calendar_US)),IF(ISNUMBER(_xll.BDH(config!$G$4,N$1,$A756,$A756)),_xll.BDH(config!$G$4,N$1,$A756,$A756),_xll.BDH(config!$G$5,N$1,$A756,$A756))))</f>
        <v/>
      </c>
      <c r="O756" s="8" t="str">
        <f>IF($A756="","",IF(ISNUMBER(FIND("IMPVOL",O$1)),_xll.BDH(config!$G$4,O$1,WORKDAY($A756,-1,config_Holiday_Calendar_US),WORKDAY($A756,-1,config_Holiday_Calendar_US)),IF(ISNUMBER(_xll.BDH(config!$G$4,O$1,$A756,$A756)),_xll.BDH(config!$G$4,O$1,$A756,$A756),_xll.BDH(config!$G$5,O$1,$A756,$A756))))</f>
        <v/>
      </c>
      <c r="P756" s="8" t="str">
        <f>IF($A756="","",IF(ISNUMBER(FIND("IMPVOL",P$1)),_xll.BDH(config!$G$4,P$1,WORKDAY($A756,-1,config_Holiday_Calendar_US),WORKDAY($A756,-1,config_Holiday_Calendar_US)),IF(ISNUMBER(_xll.BDH(config!$G$4,P$1,$A756,$A756)),_xll.BDH(config!$G$4,P$1,$A756,$A756),_xll.BDH(config!$G$5,P$1,$A756,$A756))))</f>
        <v/>
      </c>
      <c r="Q756" s="8" t="str">
        <f>IF($A756="","",IF(ISNUMBER(FIND("IMPVOL",Q$1)),_xll.BDH(config!$G$4,Q$1,WORKDAY($A756,-1,config_Holiday_Calendar_US),WORKDAY($A756,-1,config_Holiday_Calendar_US)),IF(ISNUMBER(_xll.BDH(config!$G$4,Q$1,$A756,$A756)),_xll.BDH(config!$G$4,Q$1,$A756,$A756),_xll.BDH(config!$G$5,Q$1,$A756,$A756))))</f>
        <v/>
      </c>
      <c r="R756" s="8" t="str">
        <f>IF($A756="","",IF(ISNUMBER(FIND("IMPVOL",R$1)),_xll.BDH(config!$G$4,R$1,WORKDAY($A756,-1,config_Holiday_Calendar_US),WORKDAY($A756,-1,config_Holiday_Calendar_US)),IF(ISNUMBER(_xll.BDH(config!$G$4,R$1,$A756,$A756)),_xll.BDH(config!$G$4,R$1,$A756,$A756),_xll.BDH(config!$G$5,R$1,$A756,$A756))))</f>
        <v/>
      </c>
      <c r="S756" s="8" t="str">
        <f>IF($A756="","",IF(ISNUMBER(FIND("IMPVOL",S$1)),_xll.BDH(config!$G$4,S$1,WORKDAY($A756,-1,config_Holiday_Calendar_US),WORKDAY($A756,-1,config_Holiday_Calendar_US)),IF(ISNUMBER(_xll.BDH(config!$G$4,S$1,$A756,$A756)),_xll.BDH(config!$G$4,S$1,$A756,$A756),_xll.BDH(config!$G$5,S$1,$A756,$A756))))</f>
        <v/>
      </c>
      <c r="T756" s="8" t="str">
        <f>IF($A756="","",IF(ISNUMBER(FIND("IMPVOL",T$1)),_xll.BDH(config!$G$4,T$1,WORKDAY($A756,-1,config_Holiday_Calendar_US),WORKDAY($A756,-1,config_Holiday_Calendar_US)),IF(ISNUMBER(_xll.BDH(config!$G$4,T$1,$A756,$A756)),_xll.BDH(config!$G$4,T$1,$A756,$A756),_xll.BDH(config!$G$5,T$1,$A756,$A756))))</f>
        <v/>
      </c>
      <c r="U756" s="8" t="str">
        <f>IF($A756="","",IF(ISNUMBER(FIND("IMPVOL",U$1)),_xll.BDH(config!$G$4,U$1,WORKDAY($A756,-1,config_Holiday_Calendar_US),WORKDAY($A756,-1,config_Holiday_Calendar_US)),IF(ISNUMBER(_xll.BDH(config!$G$4,U$1,$A756,$A756)),_xll.BDH(config!$G$4,U$1,$A756,$A756),_xll.BDH(config!$G$5,U$1,$A756,$A756))))</f>
        <v/>
      </c>
      <c r="V756" s="8" t="str">
        <f>IF($A756="","",IF(ISNUMBER(FIND("IMPVOL",V$1)),_xll.BDH(config!$G$4,V$1,WORKDAY($A756,-1,config_Holiday_Calendar_US),WORKDAY($A756,-1,config_Holiday_Calendar_US)),IF(ISNUMBER(_xll.BDH(config!$G$4,V$1,$A756,$A756)),_xll.BDH(config!$G$4,V$1,$A756,$A756),_xll.BDH(config!$G$5,V$1,$A756,$A756))))</f>
        <v/>
      </c>
      <c r="W756" s="8" t="str">
        <f>IF($A756="","",IF(ISNUMBER(FIND("IMPVOL",W$1)),_xll.BDH(config!$G$4,W$1,WORKDAY($A756,-1,config_Holiday_Calendar_US),WORKDAY($A756,-1,config_Holiday_Calendar_US)),IF(ISNUMBER(_xll.BDH(config!$G$4,W$1,$A756,$A756)),_xll.BDH(config!$G$4,W$1,$A756,$A756),_xll.BDH(config!$G$5,W$1,$A756,$A756))))</f>
        <v/>
      </c>
    </row>
    <row r="757" spans="1:23" x14ac:dyDescent="0.2">
      <c r="A757" s="9" t="str">
        <f>IF(A756="","",IF(WORKDAY(A756,-1,config_Holiday_Calendar_US)&lt;config!$I$10,"",WORKDAY(A756,-1,config_Holiday_Calendar_US)))</f>
        <v/>
      </c>
      <c r="B757" s="8" t="str">
        <f t="shared" si="11"/>
        <v/>
      </c>
      <c r="C757" s="8" t="str">
        <f>IF(A757="","",_xll.BDH(config!$H$4,C$1,$A757,$A757))</f>
        <v/>
      </c>
      <c r="D757" s="8" t="str">
        <f>IF($A757="","",_xll.BDH(config!$H$4,D$1,$A757,$A757))</f>
        <v/>
      </c>
      <c r="E757" s="8" t="str">
        <f>IF($A757="","",IF(ISNUMBER(FIND("IMPVOL",E$1)),_xll.BDH(config!$G$4,E$1,WORKDAY($A757,-1,config_Holiday_Calendar_US),WORKDAY($A757,-1,config_Holiday_Calendar_US)),IF(ISNUMBER(_xll.BDH(config!$G$4,E$1,$A757,$A757)),_xll.BDH(config!$G$4,E$1,$A757,$A757),_xll.BDH(config!$G$5,E$1,$A757,$A757))))</f>
        <v/>
      </c>
      <c r="F757" s="8" t="str">
        <f>IF($A757="","",IF(ISNUMBER(FIND("IMPVOL",F$1)),_xll.BDH(config!$G$4,F$1,WORKDAY($A757,-1,config_Holiday_Calendar_US),WORKDAY($A757,-1,config_Holiday_Calendar_US)),IF(ISNUMBER(_xll.BDH(config!$G$4,F$1,$A757,$A757)),_xll.BDH(config!$G$4,F$1,$A757,$A757),_xll.BDH(config!$G$5,F$1,$A757,$A757))))</f>
        <v/>
      </c>
      <c r="G757" s="8" t="str">
        <f>IF($A757="","",IF(ISNUMBER(FIND("IMPVOL",G$1)),_xll.BDH(config!$G$4,G$1,WORKDAY($A757,-1,config_Holiday_Calendar_US),WORKDAY($A757,-1,config_Holiday_Calendar_US)),IF(ISNUMBER(_xll.BDH(config!$G$4,G$1,$A757,$A757)),_xll.BDH(config!$G$4,G$1,$A757,$A757),_xll.BDH(config!$G$5,G$1,$A757,$A757))))</f>
        <v/>
      </c>
      <c r="H757" s="8" t="str">
        <f>IF($A757="","",IF(ISNUMBER(FIND("IMPVOL",H$1)),_xll.BDH(config!$G$4,H$1,WORKDAY($A757,-1,config_Holiday_Calendar_US),WORKDAY($A757,-1,config_Holiday_Calendar_US)),IF(ISNUMBER(_xll.BDH(config!$G$4,H$1,$A757,$A757)),_xll.BDH(config!$G$4,H$1,$A757,$A757),_xll.BDH(config!$G$5,H$1,$A757,$A757))))</f>
        <v/>
      </c>
      <c r="I757" s="8" t="str">
        <f>IF($A757="","",IF(ISNUMBER(FIND("IMPVOL",I$1)),_xll.BDH(config!$G$4,I$1,WORKDAY($A757,-1,config_Holiday_Calendar_US),WORKDAY($A757,-1,config_Holiday_Calendar_US)),IF(ISNUMBER(_xll.BDH(config!$G$4,I$1,$A757,$A757)),_xll.BDH(config!$G$4,I$1,$A757,$A757),_xll.BDH(config!$G$5,I$1,$A757,$A757))))</f>
        <v/>
      </c>
      <c r="J757" s="8" t="str">
        <f>IF($A757="","",IF(ISNUMBER(FIND("IMPVOL",J$1)),_xll.BDH(config!$G$4,J$1,WORKDAY($A757,-1,config_Holiday_Calendar_US),WORKDAY($A757,-1,config_Holiday_Calendar_US)),IF(ISNUMBER(_xll.BDH(config!$G$4,J$1,$A757,$A757)),_xll.BDH(config!$G$4,J$1,$A757,$A757),_xll.BDH(config!$G$5,J$1,$A757,$A757))))</f>
        <v/>
      </c>
      <c r="K757" s="8" t="str">
        <f>IF($A757="","",IF(ISNUMBER(FIND("IMPVOL",K$1)),_xll.BDH(config!$G$4,K$1,WORKDAY($A757,-1,config_Holiday_Calendar_US),WORKDAY($A757,-1,config_Holiday_Calendar_US)),IF(ISNUMBER(_xll.BDH(config!$G$4,K$1,$A757,$A757)),_xll.BDH(config!$G$4,K$1,$A757,$A757),_xll.BDH(config!$G$5,K$1,$A757,$A757))))</f>
        <v/>
      </c>
      <c r="L757" s="8" t="str">
        <f>IF($A757="","",IF(ISNUMBER(FIND("IMPVOL",L$1)),_xll.BDH(config!$G$4,L$1,WORKDAY($A757,-1,config_Holiday_Calendar_US),WORKDAY($A757,-1,config_Holiday_Calendar_US)),IF(ISNUMBER(_xll.BDH(config!$G$4,L$1,$A757,$A757)),_xll.BDH(config!$G$4,L$1,$A757,$A757),_xll.BDH(config!$G$5,L$1,$A757,$A757))))</f>
        <v/>
      </c>
      <c r="M757" s="8" t="str">
        <f>IF($A757="","",IF(ISNUMBER(FIND("IMPVOL",M$1)),_xll.BDH(config!$G$4,M$1,WORKDAY($A757,-1,config_Holiday_Calendar_US),WORKDAY($A757,-1,config_Holiday_Calendar_US)),IF(ISNUMBER(_xll.BDH(config!$G$4,M$1,$A757,$A757)),_xll.BDH(config!$G$4,M$1,$A757,$A757),_xll.BDH(config!$G$5,M$1,$A757,$A757))))</f>
        <v/>
      </c>
      <c r="N757" s="8" t="str">
        <f>IF($A757="","",IF(ISNUMBER(FIND("IMPVOL",N$1)),_xll.BDH(config!$G$4,N$1,WORKDAY($A757,-1,config_Holiday_Calendar_US),WORKDAY($A757,-1,config_Holiday_Calendar_US)),IF(ISNUMBER(_xll.BDH(config!$G$4,N$1,$A757,$A757)),_xll.BDH(config!$G$4,N$1,$A757,$A757),_xll.BDH(config!$G$5,N$1,$A757,$A757))))</f>
        <v/>
      </c>
      <c r="O757" s="8" t="str">
        <f>IF($A757="","",IF(ISNUMBER(FIND("IMPVOL",O$1)),_xll.BDH(config!$G$4,O$1,WORKDAY($A757,-1,config_Holiday_Calendar_US),WORKDAY($A757,-1,config_Holiday_Calendar_US)),IF(ISNUMBER(_xll.BDH(config!$G$4,O$1,$A757,$A757)),_xll.BDH(config!$G$4,O$1,$A757,$A757),_xll.BDH(config!$G$5,O$1,$A757,$A757))))</f>
        <v/>
      </c>
      <c r="P757" s="8" t="str">
        <f>IF($A757="","",IF(ISNUMBER(FIND("IMPVOL",P$1)),_xll.BDH(config!$G$4,P$1,WORKDAY($A757,-1,config_Holiday_Calendar_US),WORKDAY($A757,-1,config_Holiday_Calendar_US)),IF(ISNUMBER(_xll.BDH(config!$G$4,P$1,$A757,$A757)),_xll.BDH(config!$G$4,P$1,$A757,$A757),_xll.BDH(config!$G$5,P$1,$A757,$A757))))</f>
        <v/>
      </c>
      <c r="Q757" s="8" t="str">
        <f>IF($A757="","",IF(ISNUMBER(FIND("IMPVOL",Q$1)),_xll.BDH(config!$G$4,Q$1,WORKDAY($A757,-1,config_Holiday_Calendar_US),WORKDAY($A757,-1,config_Holiday_Calendar_US)),IF(ISNUMBER(_xll.BDH(config!$G$4,Q$1,$A757,$A757)),_xll.BDH(config!$G$4,Q$1,$A757,$A757),_xll.BDH(config!$G$5,Q$1,$A757,$A757))))</f>
        <v/>
      </c>
      <c r="R757" s="8" t="str">
        <f>IF($A757="","",IF(ISNUMBER(FIND("IMPVOL",R$1)),_xll.BDH(config!$G$4,R$1,WORKDAY($A757,-1,config_Holiday_Calendar_US),WORKDAY($A757,-1,config_Holiday_Calendar_US)),IF(ISNUMBER(_xll.BDH(config!$G$4,R$1,$A757,$A757)),_xll.BDH(config!$G$4,R$1,$A757,$A757),_xll.BDH(config!$G$5,R$1,$A757,$A757))))</f>
        <v/>
      </c>
      <c r="S757" s="8" t="str">
        <f>IF($A757="","",IF(ISNUMBER(FIND("IMPVOL",S$1)),_xll.BDH(config!$G$4,S$1,WORKDAY($A757,-1,config_Holiday_Calendar_US),WORKDAY($A757,-1,config_Holiday_Calendar_US)),IF(ISNUMBER(_xll.BDH(config!$G$4,S$1,$A757,$A757)),_xll.BDH(config!$G$4,S$1,$A757,$A757),_xll.BDH(config!$G$5,S$1,$A757,$A757))))</f>
        <v/>
      </c>
      <c r="T757" s="8" t="str">
        <f>IF($A757="","",IF(ISNUMBER(FIND("IMPVOL",T$1)),_xll.BDH(config!$G$4,T$1,WORKDAY($A757,-1,config_Holiday_Calendar_US),WORKDAY($A757,-1,config_Holiday_Calendar_US)),IF(ISNUMBER(_xll.BDH(config!$G$4,T$1,$A757,$A757)),_xll.BDH(config!$G$4,T$1,$A757,$A757),_xll.BDH(config!$G$5,T$1,$A757,$A757))))</f>
        <v/>
      </c>
      <c r="U757" s="8" t="str">
        <f>IF($A757="","",IF(ISNUMBER(FIND("IMPVOL",U$1)),_xll.BDH(config!$G$4,U$1,WORKDAY($A757,-1,config_Holiday_Calendar_US),WORKDAY($A757,-1,config_Holiday_Calendar_US)),IF(ISNUMBER(_xll.BDH(config!$G$4,U$1,$A757,$A757)),_xll.BDH(config!$G$4,U$1,$A757,$A757),_xll.BDH(config!$G$5,U$1,$A757,$A757))))</f>
        <v/>
      </c>
      <c r="V757" s="8" t="str">
        <f>IF($A757="","",IF(ISNUMBER(FIND("IMPVOL",V$1)),_xll.BDH(config!$G$4,V$1,WORKDAY($A757,-1,config_Holiday_Calendar_US),WORKDAY($A757,-1,config_Holiday_Calendar_US)),IF(ISNUMBER(_xll.BDH(config!$G$4,V$1,$A757,$A757)),_xll.BDH(config!$G$4,V$1,$A757,$A757),_xll.BDH(config!$G$5,V$1,$A757,$A757))))</f>
        <v/>
      </c>
      <c r="W757" s="8" t="str">
        <f>IF($A757="","",IF(ISNUMBER(FIND("IMPVOL",W$1)),_xll.BDH(config!$G$4,W$1,WORKDAY($A757,-1,config_Holiday_Calendar_US),WORKDAY($A757,-1,config_Holiday_Calendar_US)),IF(ISNUMBER(_xll.BDH(config!$G$4,W$1,$A757,$A757)),_xll.BDH(config!$G$4,W$1,$A757,$A757),_xll.BDH(config!$G$5,W$1,$A757,$A757))))</f>
        <v/>
      </c>
    </row>
    <row r="758" spans="1:23" x14ac:dyDescent="0.2">
      <c r="A758" s="9" t="str">
        <f>IF(A757="","",IF(WORKDAY(A757,-1,config_Holiday_Calendar_US)&lt;config!$I$10,"",WORKDAY(A757,-1,config_Holiday_Calendar_US)))</f>
        <v/>
      </c>
      <c r="B758" s="8" t="str">
        <f t="shared" si="11"/>
        <v/>
      </c>
      <c r="C758" s="8" t="str">
        <f>IF(A758="","",_xll.BDH(config!$H$4,C$1,$A758,$A758))</f>
        <v/>
      </c>
      <c r="D758" s="8" t="str">
        <f>IF($A758="","",_xll.BDH(config!$H$4,D$1,$A758,$A758))</f>
        <v/>
      </c>
      <c r="E758" s="8" t="str">
        <f>IF($A758="","",IF(ISNUMBER(FIND("IMPVOL",E$1)),_xll.BDH(config!$G$4,E$1,WORKDAY($A758,-1,config_Holiday_Calendar_US),WORKDAY($A758,-1,config_Holiday_Calendar_US)),IF(ISNUMBER(_xll.BDH(config!$G$4,E$1,$A758,$A758)),_xll.BDH(config!$G$4,E$1,$A758,$A758),_xll.BDH(config!$G$5,E$1,$A758,$A758))))</f>
        <v/>
      </c>
      <c r="F758" s="8" t="str">
        <f>IF($A758="","",IF(ISNUMBER(FIND("IMPVOL",F$1)),_xll.BDH(config!$G$4,F$1,WORKDAY($A758,-1,config_Holiday_Calendar_US),WORKDAY($A758,-1,config_Holiday_Calendar_US)),IF(ISNUMBER(_xll.BDH(config!$G$4,F$1,$A758,$A758)),_xll.BDH(config!$G$4,F$1,$A758,$A758),_xll.BDH(config!$G$5,F$1,$A758,$A758))))</f>
        <v/>
      </c>
      <c r="G758" s="8" t="str">
        <f>IF($A758="","",IF(ISNUMBER(FIND("IMPVOL",G$1)),_xll.BDH(config!$G$4,G$1,WORKDAY($A758,-1,config_Holiday_Calendar_US),WORKDAY($A758,-1,config_Holiday_Calendar_US)),IF(ISNUMBER(_xll.BDH(config!$G$4,G$1,$A758,$A758)),_xll.BDH(config!$G$4,G$1,$A758,$A758),_xll.BDH(config!$G$5,G$1,$A758,$A758))))</f>
        <v/>
      </c>
      <c r="H758" s="8" t="str">
        <f>IF($A758="","",IF(ISNUMBER(FIND("IMPVOL",H$1)),_xll.BDH(config!$G$4,H$1,WORKDAY($A758,-1,config_Holiday_Calendar_US),WORKDAY($A758,-1,config_Holiday_Calendar_US)),IF(ISNUMBER(_xll.BDH(config!$G$4,H$1,$A758,$A758)),_xll.BDH(config!$G$4,H$1,$A758,$A758),_xll.BDH(config!$G$5,H$1,$A758,$A758))))</f>
        <v/>
      </c>
      <c r="I758" s="8" t="str">
        <f>IF($A758="","",IF(ISNUMBER(FIND("IMPVOL",I$1)),_xll.BDH(config!$G$4,I$1,WORKDAY($A758,-1,config_Holiday_Calendar_US),WORKDAY($A758,-1,config_Holiday_Calendar_US)),IF(ISNUMBER(_xll.BDH(config!$G$4,I$1,$A758,$A758)),_xll.BDH(config!$G$4,I$1,$A758,$A758),_xll.BDH(config!$G$5,I$1,$A758,$A758))))</f>
        <v/>
      </c>
      <c r="J758" s="8" t="str">
        <f>IF($A758="","",IF(ISNUMBER(FIND("IMPVOL",J$1)),_xll.BDH(config!$G$4,J$1,WORKDAY($A758,-1,config_Holiday_Calendar_US),WORKDAY($A758,-1,config_Holiday_Calendar_US)),IF(ISNUMBER(_xll.BDH(config!$G$4,J$1,$A758,$A758)),_xll.BDH(config!$G$4,J$1,$A758,$A758),_xll.BDH(config!$G$5,J$1,$A758,$A758))))</f>
        <v/>
      </c>
      <c r="K758" s="8" t="str">
        <f>IF($A758="","",IF(ISNUMBER(FIND("IMPVOL",K$1)),_xll.BDH(config!$G$4,K$1,WORKDAY($A758,-1,config_Holiday_Calendar_US),WORKDAY($A758,-1,config_Holiday_Calendar_US)),IF(ISNUMBER(_xll.BDH(config!$G$4,K$1,$A758,$A758)),_xll.BDH(config!$G$4,K$1,$A758,$A758),_xll.BDH(config!$G$5,K$1,$A758,$A758))))</f>
        <v/>
      </c>
      <c r="L758" s="8" t="str">
        <f>IF($A758="","",IF(ISNUMBER(FIND("IMPVOL",L$1)),_xll.BDH(config!$G$4,L$1,WORKDAY($A758,-1,config_Holiday_Calendar_US),WORKDAY($A758,-1,config_Holiday_Calendar_US)),IF(ISNUMBER(_xll.BDH(config!$G$4,L$1,$A758,$A758)),_xll.BDH(config!$G$4,L$1,$A758,$A758),_xll.BDH(config!$G$5,L$1,$A758,$A758))))</f>
        <v/>
      </c>
      <c r="M758" s="8" t="str">
        <f>IF($A758="","",IF(ISNUMBER(FIND("IMPVOL",M$1)),_xll.BDH(config!$G$4,M$1,WORKDAY($A758,-1,config_Holiday_Calendar_US),WORKDAY($A758,-1,config_Holiday_Calendar_US)),IF(ISNUMBER(_xll.BDH(config!$G$4,M$1,$A758,$A758)),_xll.BDH(config!$G$4,M$1,$A758,$A758),_xll.BDH(config!$G$5,M$1,$A758,$A758))))</f>
        <v/>
      </c>
      <c r="N758" s="8" t="str">
        <f>IF($A758="","",IF(ISNUMBER(FIND("IMPVOL",N$1)),_xll.BDH(config!$G$4,N$1,WORKDAY($A758,-1,config_Holiday_Calendar_US),WORKDAY($A758,-1,config_Holiday_Calendar_US)),IF(ISNUMBER(_xll.BDH(config!$G$4,N$1,$A758,$A758)),_xll.BDH(config!$G$4,N$1,$A758,$A758),_xll.BDH(config!$G$5,N$1,$A758,$A758))))</f>
        <v/>
      </c>
      <c r="O758" s="8" t="str">
        <f>IF($A758="","",IF(ISNUMBER(FIND("IMPVOL",O$1)),_xll.BDH(config!$G$4,O$1,WORKDAY($A758,-1,config_Holiday_Calendar_US),WORKDAY($A758,-1,config_Holiday_Calendar_US)),IF(ISNUMBER(_xll.BDH(config!$G$4,O$1,$A758,$A758)),_xll.BDH(config!$G$4,O$1,$A758,$A758),_xll.BDH(config!$G$5,O$1,$A758,$A758))))</f>
        <v/>
      </c>
      <c r="P758" s="8" t="str">
        <f>IF($A758="","",IF(ISNUMBER(FIND("IMPVOL",P$1)),_xll.BDH(config!$G$4,P$1,WORKDAY($A758,-1,config_Holiday_Calendar_US),WORKDAY($A758,-1,config_Holiday_Calendar_US)),IF(ISNUMBER(_xll.BDH(config!$G$4,P$1,$A758,$A758)),_xll.BDH(config!$G$4,P$1,$A758,$A758),_xll.BDH(config!$G$5,P$1,$A758,$A758))))</f>
        <v/>
      </c>
      <c r="Q758" s="8" t="str">
        <f>IF($A758="","",IF(ISNUMBER(FIND("IMPVOL",Q$1)),_xll.BDH(config!$G$4,Q$1,WORKDAY($A758,-1,config_Holiday_Calendar_US),WORKDAY($A758,-1,config_Holiday_Calendar_US)),IF(ISNUMBER(_xll.BDH(config!$G$4,Q$1,$A758,$A758)),_xll.BDH(config!$G$4,Q$1,$A758,$A758),_xll.BDH(config!$G$5,Q$1,$A758,$A758))))</f>
        <v/>
      </c>
      <c r="R758" s="8" t="str">
        <f>IF($A758="","",IF(ISNUMBER(FIND("IMPVOL",R$1)),_xll.BDH(config!$G$4,R$1,WORKDAY($A758,-1,config_Holiday_Calendar_US),WORKDAY($A758,-1,config_Holiday_Calendar_US)),IF(ISNUMBER(_xll.BDH(config!$G$4,R$1,$A758,$A758)),_xll.BDH(config!$G$4,R$1,$A758,$A758),_xll.BDH(config!$G$5,R$1,$A758,$A758))))</f>
        <v/>
      </c>
      <c r="S758" s="8" t="str">
        <f>IF($A758="","",IF(ISNUMBER(FIND("IMPVOL",S$1)),_xll.BDH(config!$G$4,S$1,WORKDAY($A758,-1,config_Holiday_Calendar_US),WORKDAY($A758,-1,config_Holiday_Calendar_US)),IF(ISNUMBER(_xll.BDH(config!$G$4,S$1,$A758,$A758)),_xll.BDH(config!$G$4,S$1,$A758,$A758),_xll.BDH(config!$G$5,S$1,$A758,$A758))))</f>
        <v/>
      </c>
      <c r="T758" s="8" t="str">
        <f>IF($A758="","",IF(ISNUMBER(FIND("IMPVOL",T$1)),_xll.BDH(config!$G$4,T$1,WORKDAY($A758,-1,config_Holiday_Calendar_US),WORKDAY($A758,-1,config_Holiday_Calendar_US)),IF(ISNUMBER(_xll.BDH(config!$G$4,T$1,$A758,$A758)),_xll.BDH(config!$G$4,T$1,$A758,$A758),_xll.BDH(config!$G$5,T$1,$A758,$A758))))</f>
        <v/>
      </c>
      <c r="U758" s="8" t="str">
        <f>IF($A758="","",IF(ISNUMBER(FIND("IMPVOL",U$1)),_xll.BDH(config!$G$4,U$1,WORKDAY($A758,-1,config_Holiday_Calendar_US),WORKDAY($A758,-1,config_Holiday_Calendar_US)),IF(ISNUMBER(_xll.BDH(config!$G$4,U$1,$A758,$A758)),_xll.BDH(config!$G$4,U$1,$A758,$A758),_xll.BDH(config!$G$5,U$1,$A758,$A758))))</f>
        <v/>
      </c>
      <c r="V758" s="8" t="str">
        <f>IF($A758="","",IF(ISNUMBER(FIND("IMPVOL",V$1)),_xll.BDH(config!$G$4,V$1,WORKDAY($A758,-1,config_Holiday_Calendar_US),WORKDAY($A758,-1,config_Holiday_Calendar_US)),IF(ISNUMBER(_xll.BDH(config!$G$4,V$1,$A758,$A758)),_xll.BDH(config!$G$4,V$1,$A758,$A758),_xll.BDH(config!$G$5,V$1,$A758,$A758))))</f>
        <v/>
      </c>
      <c r="W758" s="8" t="str">
        <f>IF($A758="","",IF(ISNUMBER(FIND("IMPVOL",W$1)),_xll.BDH(config!$G$4,W$1,WORKDAY($A758,-1,config_Holiday_Calendar_US),WORKDAY($A758,-1,config_Holiday_Calendar_US)),IF(ISNUMBER(_xll.BDH(config!$G$4,W$1,$A758,$A758)),_xll.BDH(config!$G$4,W$1,$A758,$A758),_xll.BDH(config!$G$5,W$1,$A758,$A758))))</f>
        <v/>
      </c>
    </row>
    <row r="759" spans="1:23" x14ac:dyDescent="0.2">
      <c r="A759" s="9" t="str">
        <f>IF(A758="","",IF(WORKDAY(A758,-1,config_Holiday_Calendar_US)&lt;config!$I$10,"",WORKDAY(A758,-1,config_Holiday_Calendar_US)))</f>
        <v/>
      </c>
      <c r="B759" s="8" t="str">
        <f t="shared" si="11"/>
        <v/>
      </c>
      <c r="C759" s="8" t="str">
        <f>IF(A759="","",_xll.BDH(config!$H$4,C$1,$A759,$A759))</f>
        <v/>
      </c>
      <c r="D759" s="8" t="str">
        <f>IF($A759="","",_xll.BDH(config!$H$4,D$1,$A759,$A759))</f>
        <v/>
      </c>
      <c r="E759" s="8" t="str">
        <f>IF($A759="","",IF(ISNUMBER(FIND("IMPVOL",E$1)),_xll.BDH(config!$G$4,E$1,WORKDAY($A759,-1,config_Holiday_Calendar_US),WORKDAY($A759,-1,config_Holiday_Calendar_US)),IF(ISNUMBER(_xll.BDH(config!$G$4,E$1,$A759,$A759)),_xll.BDH(config!$G$4,E$1,$A759,$A759),_xll.BDH(config!$G$5,E$1,$A759,$A759))))</f>
        <v/>
      </c>
      <c r="F759" s="8" t="str">
        <f>IF($A759="","",IF(ISNUMBER(FIND("IMPVOL",F$1)),_xll.BDH(config!$G$4,F$1,WORKDAY($A759,-1,config_Holiday_Calendar_US),WORKDAY($A759,-1,config_Holiday_Calendar_US)),IF(ISNUMBER(_xll.BDH(config!$G$4,F$1,$A759,$A759)),_xll.BDH(config!$G$4,F$1,$A759,$A759),_xll.BDH(config!$G$5,F$1,$A759,$A759))))</f>
        <v/>
      </c>
      <c r="G759" s="8" t="str">
        <f>IF($A759="","",IF(ISNUMBER(FIND("IMPVOL",G$1)),_xll.BDH(config!$G$4,G$1,WORKDAY($A759,-1,config_Holiday_Calendar_US),WORKDAY($A759,-1,config_Holiday_Calendar_US)),IF(ISNUMBER(_xll.BDH(config!$G$4,G$1,$A759,$A759)),_xll.BDH(config!$G$4,G$1,$A759,$A759),_xll.BDH(config!$G$5,G$1,$A759,$A759))))</f>
        <v/>
      </c>
      <c r="H759" s="8" t="str">
        <f>IF($A759="","",IF(ISNUMBER(FIND("IMPVOL",H$1)),_xll.BDH(config!$G$4,H$1,WORKDAY($A759,-1,config_Holiday_Calendar_US),WORKDAY($A759,-1,config_Holiday_Calendar_US)),IF(ISNUMBER(_xll.BDH(config!$G$4,H$1,$A759,$A759)),_xll.BDH(config!$G$4,H$1,$A759,$A759),_xll.BDH(config!$G$5,H$1,$A759,$A759))))</f>
        <v/>
      </c>
      <c r="I759" s="8" t="str">
        <f>IF($A759="","",IF(ISNUMBER(FIND("IMPVOL",I$1)),_xll.BDH(config!$G$4,I$1,WORKDAY($A759,-1,config_Holiday_Calendar_US),WORKDAY($A759,-1,config_Holiday_Calendar_US)),IF(ISNUMBER(_xll.BDH(config!$G$4,I$1,$A759,$A759)),_xll.BDH(config!$G$4,I$1,$A759,$A759),_xll.BDH(config!$G$5,I$1,$A759,$A759))))</f>
        <v/>
      </c>
      <c r="J759" s="8" t="str">
        <f>IF($A759="","",IF(ISNUMBER(FIND("IMPVOL",J$1)),_xll.BDH(config!$G$4,J$1,WORKDAY($A759,-1,config_Holiday_Calendar_US),WORKDAY($A759,-1,config_Holiday_Calendar_US)),IF(ISNUMBER(_xll.BDH(config!$G$4,J$1,$A759,$A759)),_xll.BDH(config!$G$4,J$1,$A759,$A759),_xll.BDH(config!$G$5,J$1,$A759,$A759))))</f>
        <v/>
      </c>
      <c r="K759" s="8" t="str">
        <f>IF($A759="","",IF(ISNUMBER(FIND("IMPVOL",K$1)),_xll.BDH(config!$G$4,K$1,WORKDAY($A759,-1,config_Holiday_Calendar_US),WORKDAY($A759,-1,config_Holiday_Calendar_US)),IF(ISNUMBER(_xll.BDH(config!$G$4,K$1,$A759,$A759)),_xll.BDH(config!$G$4,K$1,$A759,$A759),_xll.BDH(config!$G$5,K$1,$A759,$A759))))</f>
        <v/>
      </c>
      <c r="L759" s="8" t="str">
        <f>IF($A759="","",IF(ISNUMBER(FIND("IMPVOL",L$1)),_xll.BDH(config!$G$4,L$1,WORKDAY($A759,-1,config_Holiday_Calendar_US),WORKDAY($A759,-1,config_Holiday_Calendar_US)),IF(ISNUMBER(_xll.BDH(config!$G$4,L$1,$A759,$A759)),_xll.BDH(config!$G$4,L$1,$A759,$A759),_xll.BDH(config!$G$5,L$1,$A759,$A759))))</f>
        <v/>
      </c>
      <c r="M759" s="8" t="str">
        <f>IF($A759="","",IF(ISNUMBER(FIND("IMPVOL",M$1)),_xll.BDH(config!$G$4,M$1,WORKDAY($A759,-1,config_Holiday_Calendar_US),WORKDAY($A759,-1,config_Holiday_Calendar_US)),IF(ISNUMBER(_xll.BDH(config!$G$4,M$1,$A759,$A759)),_xll.BDH(config!$G$4,M$1,$A759,$A759),_xll.BDH(config!$G$5,M$1,$A759,$A759))))</f>
        <v/>
      </c>
      <c r="N759" s="8" t="str">
        <f>IF($A759="","",IF(ISNUMBER(FIND("IMPVOL",N$1)),_xll.BDH(config!$G$4,N$1,WORKDAY($A759,-1,config_Holiday_Calendar_US),WORKDAY($A759,-1,config_Holiday_Calendar_US)),IF(ISNUMBER(_xll.BDH(config!$G$4,N$1,$A759,$A759)),_xll.BDH(config!$G$4,N$1,$A759,$A759),_xll.BDH(config!$G$5,N$1,$A759,$A759))))</f>
        <v/>
      </c>
      <c r="O759" s="8" t="str">
        <f>IF($A759="","",IF(ISNUMBER(FIND("IMPVOL",O$1)),_xll.BDH(config!$G$4,O$1,WORKDAY($A759,-1,config_Holiday_Calendar_US),WORKDAY($A759,-1,config_Holiday_Calendar_US)),IF(ISNUMBER(_xll.BDH(config!$G$4,O$1,$A759,$A759)),_xll.BDH(config!$G$4,O$1,$A759,$A759),_xll.BDH(config!$G$5,O$1,$A759,$A759))))</f>
        <v/>
      </c>
      <c r="P759" s="8" t="str">
        <f>IF($A759="","",IF(ISNUMBER(FIND("IMPVOL",P$1)),_xll.BDH(config!$G$4,P$1,WORKDAY($A759,-1,config_Holiday_Calendar_US),WORKDAY($A759,-1,config_Holiday_Calendar_US)),IF(ISNUMBER(_xll.BDH(config!$G$4,P$1,$A759,$A759)),_xll.BDH(config!$G$4,P$1,$A759,$A759),_xll.BDH(config!$G$5,P$1,$A759,$A759))))</f>
        <v/>
      </c>
      <c r="Q759" s="8" t="str">
        <f>IF($A759="","",IF(ISNUMBER(FIND("IMPVOL",Q$1)),_xll.BDH(config!$G$4,Q$1,WORKDAY($A759,-1,config_Holiday_Calendar_US),WORKDAY($A759,-1,config_Holiday_Calendar_US)),IF(ISNUMBER(_xll.BDH(config!$G$4,Q$1,$A759,$A759)),_xll.BDH(config!$G$4,Q$1,$A759,$A759),_xll.BDH(config!$G$5,Q$1,$A759,$A759))))</f>
        <v/>
      </c>
      <c r="R759" s="8" t="str">
        <f>IF($A759="","",IF(ISNUMBER(FIND("IMPVOL",R$1)),_xll.BDH(config!$G$4,R$1,WORKDAY($A759,-1,config_Holiday_Calendar_US),WORKDAY($A759,-1,config_Holiday_Calendar_US)),IF(ISNUMBER(_xll.BDH(config!$G$4,R$1,$A759,$A759)),_xll.BDH(config!$G$4,R$1,$A759,$A759),_xll.BDH(config!$G$5,R$1,$A759,$A759))))</f>
        <v/>
      </c>
      <c r="S759" s="8" t="str">
        <f>IF($A759="","",IF(ISNUMBER(FIND("IMPVOL",S$1)),_xll.BDH(config!$G$4,S$1,WORKDAY($A759,-1,config_Holiday_Calendar_US),WORKDAY($A759,-1,config_Holiday_Calendar_US)),IF(ISNUMBER(_xll.BDH(config!$G$4,S$1,$A759,$A759)),_xll.BDH(config!$G$4,S$1,$A759,$A759),_xll.BDH(config!$G$5,S$1,$A759,$A759))))</f>
        <v/>
      </c>
      <c r="T759" s="8" t="str">
        <f>IF($A759="","",IF(ISNUMBER(FIND("IMPVOL",T$1)),_xll.BDH(config!$G$4,T$1,WORKDAY($A759,-1,config_Holiday_Calendar_US),WORKDAY($A759,-1,config_Holiday_Calendar_US)),IF(ISNUMBER(_xll.BDH(config!$G$4,T$1,$A759,$A759)),_xll.BDH(config!$G$4,T$1,$A759,$A759),_xll.BDH(config!$G$5,T$1,$A759,$A759))))</f>
        <v/>
      </c>
      <c r="U759" s="8" t="str">
        <f>IF($A759="","",IF(ISNUMBER(FIND("IMPVOL",U$1)),_xll.BDH(config!$G$4,U$1,WORKDAY($A759,-1,config_Holiday_Calendar_US),WORKDAY($A759,-1,config_Holiday_Calendar_US)),IF(ISNUMBER(_xll.BDH(config!$G$4,U$1,$A759,$A759)),_xll.BDH(config!$G$4,U$1,$A759,$A759),_xll.BDH(config!$G$5,U$1,$A759,$A759))))</f>
        <v/>
      </c>
      <c r="V759" s="8" t="str">
        <f>IF($A759="","",IF(ISNUMBER(FIND("IMPVOL",V$1)),_xll.BDH(config!$G$4,V$1,WORKDAY($A759,-1,config_Holiday_Calendar_US),WORKDAY($A759,-1,config_Holiday_Calendar_US)),IF(ISNUMBER(_xll.BDH(config!$G$4,V$1,$A759,$A759)),_xll.BDH(config!$G$4,V$1,$A759,$A759),_xll.BDH(config!$G$5,V$1,$A759,$A759))))</f>
        <v/>
      </c>
      <c r="W759" s="8" t="str">
        <f>IF($A759="","",IF(ISNUMBER(FIND("IMPVOL",W$1)),_xll.BDH(config!$G$4,W$1,WORKDAY($A759,-1,config_Holiday_Calendar_US),WORKDAY($A759,-1,config_Holiday_Calendar_US)),IF(ISNUMBER(_xll.BDH(config!$G$4,W$1,$A759,$A759)),_xll.BDH(config!$G$4,W$1,$A759,$A759),_xll.BDH(config!$G$5,W$1,$A759,$A759))))</f>
        <v/>
      </c>
    </row>
    <row r="760" spans="1:23" x14ac:dyDescent="0.2">
      <c r="A760" s="9" t="str">
        <f>IF(A759="","",IF(WORKDAY(A759,-1,config_Holiday_Calendar_US)&lt;config!$I$10,"",WORKDAY(A759,-1,config_Holiday_Calendar_US)))</f>
        <v/>
      </c>
      <c r="B760" s="8" t="str">
        <f t="shared" si="11"/>
        <v/>
      </c>
      <c r="C760" s="8" t="str">
        <f>IF(A760="","",_xll.BDH(config!$H$4,C$1,$A760,$A760))</f>
        <v/>
      </c>
      <c r="D760" s="8" t="str">
        <f>IF($A760="","",_xll.BDH(config!$H$4,D$1,$A760,$A760))</f>
        <v/>
      </c>
      <c r="E760" s="8" t="str">
        <f>IF($A760="","",IF(ISNUMBER(FIND("IMPVOL",E$1)),_xll.BDH(config!$G$4,E$1,WORKDAY($A760,-1,config_Holiday_Calendar_US),WORKDAY($A760,-1,config_Holiday_Calendar_US)),IF(ISNUMBER(_xll.BDH(config!$G$4,E$1,$A760,$A760)),_xll.BDH(config!$G$4,E$1,$A760,$A760),_xll.BDH(config!$G$5,E$1,$A760,$A760))))</f>
        <v/>
      </c>
      <c r="F760" s="8" t="str">
        <f>IF($A760="","",IF(ISNUMBER(FIND("IMPVOL",F$1)),_xll.BDH(config!$G$4,F$1,WORKDAY($A760,-1,config_Holiday_Calendar_US),WORKDAY($A760,-1,config_Holiday_Calendar_US)),IF(ISNUMBER(_xll.BDH(config!$G$4,F$1,$A760,$A760)),_xll.BDH(config!$G$4,F$1,$A760,$A760),_xll.BDH(config!$G$5,F$1,$A760,$A760))))</f>
        <v/>
      </c>
      <c r="G760" s="8" t="str">
        <f>IF($A760="","",IF(ISNUMBER(FIND("IMPVOL",G$1)),_xll.BDH(config!$G$4,G$1,WORKDAY($A760,-1,config_Holiday_Calendar_US),WORKDAY($A760,-1,config_Holiday_Calendar_US)),IF(ISNUMBER(_xll.BDH(config!$G$4,G$1,$A760,$A760)),_xll.BDH(config!$G$4,G$1,$A760,$A760),_xll.BDH(config!$G$5,G$1,$A760,$A760))))</f>
        <v/>
      </c>
      <c r="H760" s="8" t="str">
        <f>IF($A760="","",IF(ISNUMBER(FIND("IMPVOL",H$1)),_xll.BDH(config!$G$4,H$1,WORKDAY($A760,-1,config_Holiday_Calendar_US),WORKDAY($A760,-1,config_Holiday_Calendar_US)),IF(ISNUMBER(_xll.BDH(config!$G$4,H$1,$A760,$A760)),_xll.BDH(config!$G$4,H$1,$A760,$A760),_xll.BDH(config!$G$5,H$1,$A760,$A760))))</f>
        <v/>
      </c>
      <c r="I760" s="8" t="str">
        <f>IF($A760="","",IF(ISNUMBER(FIND("IMPVOL",I$1)),_xll.BDH(config!$G$4,I$1,WORKDAY($A760,-1,config_Holiday_Calendar_US),WORKDAY($A760,-1,config_Holiday_Calendar_US)),IF(ISNUMBER(_xll.BDH(config!$G$4,I$1,$A760,$A760)),_xll.BDH(config!$G$4,I$1,$A760,$A760),_xll.BDH(config!$G$5,I$1,$A760,$A760))))</f>
        <v/>
      </c>
      <c r="J760" s="8" t="str">
        <f>IF($A760="","",IF(ISNUMBER(FIND("IMPVOL",J$1)),_xll.BDH(config!$G$4,J$1,WORKDAY($A760,-1,config_Holiday_Calendar_US),WORKDAY($A760,-1,config_Holiday_Calendar_US)),IF(ISNUMBER(_xll.BDH(config!$G$4,J$1,$A760,$A760)),_xll.BDH(config!$G$4,J$1,$A760,$A760),_xll.BDH(config!$G$5,J$1,$A760,$A760))))</f>
        <v/>
      </c>
      <c r="K760" s="8" t="str">
        <f>IF($A760="","",IF(ISNUMBER(FIND("IMPVOL",K$1)),_xll.BDH(config!$G$4,K$1,WORKDAY($A760,-1,config_Holiday_Calendar_US),WORKDAY($A760,-1,config_Holiday_Calendar_US)),IF(ISNUMBER(_xll.BDH(config!$G$4,K$1,$A760,$A760)),_xll.BDH(config!$G$4,K$1,$A760,$A760),_xll.BDH(config!$G$5,K$1,$A760,$A760))))</f>
        <v/>
      </c>
      <c r="L760" s="8" t="str">
        <f>IF($A760="","",IF(ISNUMBER(FIND("IMPVOL",L$1)),_xll.BDH(config!$G$4,L$1,WORKDAY($A760,-1,config_Holiday_Calendar_US),WORKDAY($A760,-1,config_Holiday_Calendar_US)),IF(ISNUMBER(_xll.BDH(config!$G$4,L$1,$A760,$A760)),_xll.BDH(config!$G$4,L$1,$A760,$A760),_xll.BDH(config!$G$5,L$1,$A760,$A760))))</f>
        <v/>
      </c>
      <c r="M760" s="8" t="str">
        <f>IF($A760="","",IF(ISNUMBER(FIND("IMPVOL",M$1)),_xll.BDH(config!$G$4,M$1,WORKDAY($A760,-1,config_Holiday_Calendar_US),WORKDAY($A760,-1,config_Holiday_Calendar_US)),IF(ISNUMBER(_xll.BDH(config!$G$4,M$1,$A760,$A760)),_xll.BDH(config!$G$4,M$1,$A760,$A760),_xll.BDH(config!$G$5,M$1,$A760,$A760))))</f>
        <v/>
      </c>
      <c r="N760" s="8" t="str">
        <f>IF($A760="","",IF(ISNUMBER(FIND("IMPVOL",N$1)),_xll.BDH(config!$G$4,N$1,WORKDAY($A760,-1,config_Holiday_Calendar_US),WORKDAY($A760,-1,config_Holiday_Calendar_US)),IF(ISNUMBER(_xll.BDH(config!$G$4,N$1,$A760,$A760)),_xll.BDH(config!$G$4,N$1,$A760,$A760),_xll.BDH(config!$G$5,N$1,$A760,$A760))))</f>
        <v/>
      </c>
      <c r="O760" s="8" t="str">
        <f>IF($A760="","",IF(ISNUMBER(FIND("IMPVOL",O$1)),_xll.BDH(config!$G$4,O$1,WORKDAY($A760,-1,config_Holiday_Calendar_US),WORKDAY($A760,-1,config_Holiday_Calendar_US)),IF(ISNUMBER(_xll.BDH(config!$G$4,O$1,$A760,$A760)),_xll.BDH(config!$G$4,O$1,$A760,$A760),_xll.BDH(config!$G$5,O$1,$A760,$A760))))</f>
        <v/>
      </c>
      <c r="P760" s="8" t="str">
        <f>IF($A760="","",IF(ISNUMBER(FIND("IMPVOL",P$1)),_xll.BDH(config!$G$4,P$1,WORKDAY($A760,-1,config_Holiday_Calendar_US),WORKDAY($A760,-1,config_Holiday_Calendar_US)),IF(ISNUMBER(_xll.BDH(config!$G$4,P$1,$A760,$A760)),_xll.BDH(config!$G$4,P$1,$A760,$A760),_xll.BDH(config!$G$5,P$1,$A760,$A760))))</f>
        <v/>
      </c>
      <c r="Q760" s="8" t="str">
        <f>IF($A760="","",IF(ISNUMBER(FIND("IMPVOL",Q$1)),_xll.BDH(config!$G$4,Q$1,WORKDAY($A760,-1,config_Holiday_Calendar_US),WORKDAY($A760,-1,config_Holiday_Calendar_US)),IF(ISNUMBER(_xll.BDH(config!$G$4,Q$1,$A760,$A760)),_xll.BDH(config!$G$4,Q$1,$A760,$A760),_xll.BDH(config!$G$5,Q$1,$A760,$A760))))</f>
        <v/>
      </c>
      <c r="R760" s="8" t="str">
        <f>IF($A760="","",IF(ISNUMBER(FIND("IMPVOL",R$1)),_xll.BDH(config!$G$4,R$1,WORKDAY($A760,-1,config_Holiday_Calendar_US),WORKDAY($A760,-1,config_Holiday_Calendar_US)),IF(ISNUMBER(_xll.BDH(config!$G$4,R$1,$A760,$A760)),_xll.BDH(config!$G$4,R$1,$A760,$A760),_xll.BDH(config!$G$5,R$1,$A760,$A760))))</f>
        <v/>
      </c>
      <c r="S760" s="8" t="str">
        <f>IF($A760="","",IF(ISNUMBER(FIND("IMPVOL",S$1)),_xll.BDH(config!$G$4,S$1,WORKDAY($A760,-1,config_Holiday_Calendar_US),WORKDAY($A760,-1,config_Holiday_Calendar_US)),IF(ISNUMBER(_xll.BDH(config!$G$4,S$1,$A760,$A760)),_xll.BDH(config!$G$4,S$1,$A760,$A760),_xll.BDH(config!$G$5,S$1,$A760,$A760))))</f>
        <v/>
      </c>
      <c r="T760" s="8" t="str">
        <f>IF($A760="","",IF(ISNUMBER(FIND("IMPVOL",T$1)),_xll.BDH(config!$G$4,T$1,WORKDAY($A760,-1,config_Holiday_Calendar_US),WORKDAY($A760,-1,config_Holiday_Calendar_US)),IF(ISNUMBER(_xll.BDH(config!$G$4,T$1,$A760,$A760)),_xll.BDH(config!$G$4,T$1,$A760,$A760),_xll.BDH(config!$G$5,T$1,$A760,$A760))))</f>
        <v/>
      </c>
      <c r="U760" s="8" t="str">
        <f>IF($A760="","",IF(ISNUMBER(FIND("IMPVOL",U$1)),_xll.BDH(config!$G$4,U$1,WORKDAY($A760,-1,config_Holiday_Calendar_US),WORKDAY($A760,-1,config_Holiday_Calendar_US)),IF(ISNUMBER(_xll.BDH(config!$G$4,U$1,$A760,$A760)),_xll.BDH(config!$G$4,U$1,$A760,$A760),_xll.BDH(config!$G$5,U$1,$A760,$A760))))</f>
        <v/>
      </c>
      <c r="V760" s="8" t="str">
        <f>IF($A760="","",IF(ISNUMBER(FIND("IMPVOL",V$1)),_xll.BDH(config!$G$4,V$1,WORKDAY($A760,-1,config_Holiday_Calendar_US),WORKDAY($A760,-1,config_Holiday_Calendar_US)),IF(ISNUMBER(_xll.BDH(config!$G$4,V$1,$A760,$A760)),_xll.BDH(config!$G$4,V$1,$A760,$A760),_xll.BDH(config!$G$5,V$1,$A760,$A760))))</f>
        <v/>
      </c>
      <c r="W760" s="8" t="str">
        <f>IF($A760="","",IF(ISNUMBER(FIND("IMPVOL",W$1)),_xll.BDH(config!$G$4,W$1,WORKDAY($A760,-1,config_Holiday_Calendar_US),WORKDAY($A760,-1,config_Holiday_Calendar_US)),IF(ISNUMBER(_xll.BDH(config!$G$4,W$1,$A760,$A760)),_xll.BDH(config!$G$4,W$1,$A760,$A760),_xll.BDH(config!$G$5,W$1,$A760,$A760))))</f>
        <v/>
      </c>
    </row>
    <row r="761" spans="1:23" x14ac:dyDescent="0.2">
      <c r="A761" s="9" t="str">
        <f>IF(A760="","",IF(WORKDAY(A760,-1,config_Holiday_Calendar_US)&lt;config!$I$10,"",WORKDAY(A760,-1,config_Holiday_Calendar_US)))</f>
        <v/>
      </c>
      <c r="B761" s="8" t="str">
        <f t="shared" si="11"/>
        <v/>
      </c>
      <c r="C761" s="8" t="str">
        <f>IF(A761="","",_xll.BDH(config!$H$4,C$1,$A761,$A761))</f>
        <v/>
      </c>
      <c r="D761" s="8" t="str">
        <f>IF($A761="","",_xll.BDH(config!$H$4,D$1,$A761,$A761))</f>
        <v/>
      </c>
      <c r="E761" s="8" t="str">
        <f>IF($A761="","",IF(ISNUMBER(FIND("IMPVOL",E$1)),_xll.BDH(config!$G$4,E$1,WORKDAY($A761,-1,config_Holiday_Calendar_US),WORKDAY($A761,-1,config_Holiday_Calendar_US)),IF(ISNUMBER(_xll.BDH(config!$G$4,E$1,$A761,$A761)),_xll.BDH(config!$G$4,E$1,$A761,$A761),_xll.BDH(config!$G$5,E$1,$A761,$A761))))</f>
        <v/>
      </c>
      <c r="F761" s="8" t="str">
        <f>IF($A761="","",IF(ISNUMBER(FIND("IMPVOL",F$1)),_xll.BDH(config!$G$4,F$1,WORKDAY($A761,-1,config_Holiday_Calendar_US),WORKDAY($A761,-1,config_Holiday_Calendar_US)),IF(ISNUMBER(_xll.BDH(config!$G$4,F$1,$A761,$A761)),_xll.BDH(config!$G$4,F$1,$A761,$A761),_xll.BDH(config!$G$5,F$1,$A761,$A761))))</f>
        <v/>
      </c>
      <c r="G761" s="8" t="str">
        <f>IF($A761="","",IF(ISNUMBER(FIND("IMPVOL",G$1)),_xll.BDH(config!$G$4,G$1,WORKDAY($A761,-1,config_Holiday_Calendar_US),WORKDAY($A761,-1,config_Holiday_Calendar_US)),IF(ISNUMBER(_xll.BDH(config!$G$4,G$1,$A761,$A761)),_xll.BDH(config!$G$4,G$1,$A761,$A761),_xll.BDH(config!$G$5,G$1,$A761,$A761))))</f>
        <v/>
      </c>
      <c r="H761" s="8" t="str">
        <f>IF($A761="","",IF(ISNUMBER(FIND("IMPVOL",H$1)),_xll.BDH(config!$G$4,H$1,WORKDAY($A761,-1,config_Holiday_Calendar_US),WORKDAY($A761,-1,config_Holiday_Calendar_US)),IF(ISNUMBER(_xll.BDH(config!$G$4,H$1,$A761,$A761)),_xll.BDH(config!$G$4,H$1,$A761,$A761),_xll.BDH(config!$G$5,H$1,$A761,$A761))))</f>
        <v/>
      </c>
      <c r="I761" s="8" t="str">
        <f>IF($A761="","",IF(ISNUMBER(FIND("IMPVOL",I$1)),_xll.BDH(config!$G$4,I$1,WORKDAY($A761,-1,config_Holiday_Calendar_US),WORKDAY($A761,-1,config_Holiday_Calendar_US)),IF(ISNUMBER(_xll.BDH(config!$G$4,I$1,$A761,$A761)),_xll.BDH(config!$G$4,I$1,$A761,$A761),_xll.BDH(config!$G$5,I$1,$A761,$A761))))</f>
        <v/>
      </c>
      <c r="J761" s="8" t="str">
        <f>IF($A761="","",IF(ISNUMBER(FIND("IMPVOL",J$1)),_xll.BDH(config!$G$4,J$1,WORKDAY($A761,-1,config_Holiday_Calendar_US),WORKDAY($A761,-1,config_Holiday_Calendar_US)),IF(ISNUMBER(_xll.BDH(config!$G$4,J$1,$A761,$A761)),_xll.BDH(config!$G$4,J$1,$A761,$A761),_xll.BDH(config!$G$5,J$1,$A761,$A761))))</f>
        <v/>
      </c>
      <c r="K761" s="8" t="str">
        <f>IF($A761="","",IF(ISNUMBER(FIND("IMPVOL",K$1)),_xll.BDH(config!$G$4,K$1,WORKDAY($A761,-1,config_Holiday_Calendar_US),WORKDAY($A761,-1,config_Holiday_Calendar_US)),IF(ISNUMBER(_xll.BDH(config!$G$4,K$1,$A761,$A761)),_xll.BDH(config!$G$4,K$1,$A761,$A761),_xll.BDH(config!$G$5,K$1,$A761,$A761))))</f>
        <v/>
      </c>
      <c r="L761" s="8" t="str">
        <f>IF($A761="","",IF(ISNUMBER(FIND("IMPVOL",L$1)),_xll.BDH(config!$G$4,L$1,WORKDAY($A761,-1,config_Holiday_Calendar_US),WORKDAY($A761,-1,config_Holiday_Calendar_US)),IF(ISNUMBER(_xll.BDH(config!$G$4,L$1,$A761,$A761)),_xll.BDH(config!$G$4,L$1,$A761,$A761),_xll.BDH(config!$G$5,L$1,$A761,$A761))))</f>
        <v/>
      </c>
      <c r="M761" s="8" t="str">
        <f>IF($A761="","",IF(ISNUMBER(FIND("IMPVOL",M$1)),_xll.BDH(config!$G$4,M$1,WORKDAY($A761,-1,config_Holiday_Calendar_US),WORKDAY($A761,-1,config_Holiday_Calendar_US)),IF(ISNUMBER(_xll.BDH(config!$G$4,M$1,$A761,$A761)),_xll.BDH(config!$G$4,M$1,$A761,$A761),_xll.BDH(config!$G$5,M$1,$A761,$A761))))</f>
        <v/>
      </c>
      <c r="N761" s="8" t="str">
        <f>IF($A761="","",IF(ISNUMBER(FIND("IMPVOL",N$1)),_xll.BDH(config!$G$4,N$1,WORKDAY($A761,-1,config_Holiday_Calendar_US),WORKDAY($A761,-1,config_Holiday_Calendar_US)),IF(ISNUMBER(_xll.BDH(config!$G$4,N$1,$A761,$A761)),_xll.BDH(config!$G$4,N$1,$A761,$A761),_xll.BDH(config!$G$5,N$1,$A761,$A761))))</f>
        <v/>
      </c>
      <c r="O761" s="8" t="str">
        <f>IF($A761="","",IF(ISNUMBER(FIND("IMPVOL",O$1)),_xll.BDH(config!$G$4,O$1,WORKDAY($A761,-1,config_Holiday_Calendar_US),WORKDAY($A761,-1,config_Holiday_Calendar_US)),IF(ISNUMBER(_xll.BDH(config!$G$4,O$1,$A761,$A761)),_xll.BDH(config!$G$4,O$1,$A761,$A761),_xll.BDH(config!$G$5,O$1,$A761,$A761))))</f>
        <v/>
      </c>
      <c r="P761" s="8" t="str">
        <f>IF($A761="","",IF(ISNUMBER(FIND("IMPVOL",P$1)),_xll.BDH(config!$G$4,P$1,WORKDAY($A761,-1,config_Holiday_Calendar_US),WORKDAY($A761,-1,config_Holiday_Calendar_US)),IF(ISNUMBER(_xll.BDH(config!$G$4,P$1,$A761,$A761)),_xll.BDH(config!$G$4,P$1,$A761,$A761),_xll.BDH(config!$G$5,P$1,$A761,$A761))))</f>
        <v/>
      </c>
      <c r="Q761" s="8" t="str">
        <f>IF($A761="","",IF(ISNUMBER(FIND("IMPVOL",Q$1)),_xll.BDH(config!$G$4,Q$1,WORKDAY($A761,-1,config_Holiday_Calendar_US),WORKDAY($A761,-1,config_Holiday_Calendar_US)),IF(ISNUMBER(_xll.BDH(config!$G$4,Q$1,$A761,$A761)),_xll.BDH(config!$G$4,Q$1,$A761,$A761),_xll.BDH(config!$G$5,Q$1,$A761,$A761))))</f>
        <v/>
      </c>
      <c r="R761" s="8" t="str">
        <f>IF($A761="","",IF(ISNUMBER(FIND("IMPVOL",R$1)),_xll.BDH(config!$G$4,R$1,WORKDAY($A761,-1,config_Holiday_Calendar_US),WORKDAY($A761,-1,config_Holiday_Calendar_US)),IF(ISNUMBER(_xll.BDH(config!$G$4,R$1,$A761,$A761)),_xll.BDH(config!$G$4,R$1,$A761,$A761),_xll.BDH(config!$G$5,R$1,$A761,$A761))))</f>
        <v/>
      </c>
      <c r="S761" s="8" t="str">
        <f>IF($A761="","",IF(ISNUMBER(FIND("IMPVOL",S$1)),_xll.BDH(config!$G$4,S$1,WORKDAY($A761,-1,config_Holiday_Calendar_US),WORKDAY($A761,-1,config_Holiday_Calendar_US)),IF(ISNUMBER(_xll.BDH(config!$G$4,S$1,$A761,$A761)),_xll.BDH(config!$G$4,S$1,$A761,$A761),_xll.BDH(config!$G$5,S$1,$A761,$A761))))</f>
        <v/>
      </c>
      <c r="T761" s="8" t="str">
        <f>IF($A761="","",IF(ISNUMBER(FIND("IMPVOL",T$1)),_xll.BDH(config!$G$4,T$1,WORKDAY($A761,-1,config_Holiday_Calendar_US),WORKDAY($A761,-1,config_Holiday_Calendar_US)),IF(ISNUMBER(_xll.BDH(config!$G$4,T$1,$A761,$A761)),_xll.BDH(config!$G$4,T$1,$A761,$A761),_xll.BDH(config!$G$5,T$1,$A761,$A761))))</f>
        <v/>
      </c>
      <c r="U761" s="8" t="str">
        <f>IF($A761="","",IF(ISNUMBER(FIND("IMPVOL",U$1)),_xll.BDH(config!$G$4,U$1,WORKDAY($A761,-1,config_Holiday_Calendar_US),WORKDAY($A761,-1,config_Holiday_Calendar_US)),IF(ISNUMBER(_xll.BDH(config!$G$4,U$1,$A761,$A761)),_xll.BDH(config!$G$4,U$1,$A761,$A761),_xll.BDH(config!$G$5,U$1,$A761,$A761))))</f>
        <v/>
      </c>
      <c r="V761" s="8" t="str">
        <f>IF($A761="","",IF(ISNUMBER(FIND("IMPVOL",V$1)),_xll.BDH(config!$G$4,V$1,WORKDAY($A761,-1,config_Holiday_Calendar_US),WORKDAY($A761,-1,config_Holiday_Calendar_US)),IF(ISNUMBER(_xll.BDH(config!$G$4,V$1,$A761,$A761)),_xll.BDH(config!$G$4,V$1,$A761,$A761),_xll.BDH(config!$G$5,V$1,$A761,$A761))))</f>
        <v/>
      </c>
      <c r="W761" s="8" t="str">
        <f>IF($A761="","",IF(ISNUMBER(FIND("IMPVOL",W$1)),_xll.BDH(config!$G$4,W$1,WORKDAY($A761,-1,config_Holiday_Calendar_US),WORKDAY($A761,-1,config_Holiday_Calendar_US)),IF(ISNUMBER(_xll.BDH(config!$G$4,W$1,$A761,$A761)),_xll.BDH(config!$G$4,W$1,$A761,$A761),_xll.BDH(config!$G$5,W$1,$A761,$A761))))</f>
        <v/>
      </c>
    </row>
    <row r="762" spans="1:23" x14ac:dyDescent="0.2">
      <c r="A762" s="9" t="str">
        <f>IF(A761="","",IF(WORKDAY(A761,-1,config_Holiday_Calendar_US)&lt;config!$I$10,"",WORKDAY(A761,-1,config_Holiday_Calendar_US)))</f>
        <v/>
      </c>
      <c r="B762" s="8" t="str">
        <f t="shared" si="11"/>
        <v/>
      </c>
      <c r="C762" s="8" t="str">
        <f>IF(A762="","",_xll.BDH(config!$H$4,C$1,$A762,$A762))</f>
        <v/>
      </c>
      <c r="D762" s="8" t="str">
        <f>IF($A762="","",_xll.BDH(config!$H$4,D$1,$A762,$A762))</f>
        <v/>
      </c>
      <c r="E762" s="8" t="str">
        <f>IF($A762="","",IF(ISNUMBER(FIND("IMPVOL",E$1)),_xll.BDH(config!$G$4,E$1,WORKDAY($A762,-1,config_Holiday_Calendar_US),WORKDAY($A762,-1,config_Holiday_Calendar_US)),IF(ISNUMBER(_xll.BDH(config!$G$4,E$1,$A762,$A762)),_xll.BDH(config!$G$4,E$1,$A762,$A762),_xll.BDH(config!$G$5,E$1,$A762,$A762))))</f>
        <v/>
      </c>
      <c r="F762" s="8" t="str">
        <f>IF($A762="","",IF(ISNUMBER(FIND("IMPVOL",F$1)),_xll.BDH(config!$G$4,F$1,WORKDAY($A762,-1,config_Holiday_Calendar_US),WORKDAY($A762,-1,config_Holiday_Calendar_US)),IF(ISNUMBER(_xll.BDH(config!$G$4,F$1,$A762,$A762)),_xll.BDH(config!$G$4,F$1,$A762,$A762),_xll.BDH(config!$G$5,F$1,$A762,$A762))))</f>
        <v/>
      </c>
      <c r="G762" s="8" t="str">
        <f>IF($A762="","",IF(ISNUMBER(FIND("IMPVOL",G$1)),_xll.BDH(config!$G$4,G$1,WORKDAY($A762,-1,config_Holiday_Calendar_US),WORKDAY($A762,-1,config_Holiday_Calendar_US)),IF(ISNUMBER(_xll.BDH(config!$G$4,G$1,$A762,$A762)),_xll.BDH(config!$G$4,G$1,$A762,$A762),_xll.BDH(config!$G$5,G$1,$A762,$A762))))</f>
        <v/>
      </c>
      <c r="H762" s="8" t="str">
        <f>IF($A762="","",IF(ISNUMBER(FIND("IMPVOL",H$1)),_xll.BDH(config!$G$4,H$1,WORKDAY($A762,-1,config_Holiday_Calendar_US),WORKDAY($A762,-1,config_Holiday_Calendar_US)),IF(ISNUMBER(_xll.BDH(config!$G$4,H$1,$A762,$A762)),_xll.BDH(config!$G$4,H$1,$A762,$A762),_xll.BDH(config!$G$5,H$1,$A762,$A762))))</f>
        <v/>
      </c>
      <c r="I762" s="8" t="str">
        <f>IF($A762="","",IF(ISNUMBER(FIND("IMPVOL",I$1)),_xll.BDH(config!$G$4,I$1,WORKDAY($A762,-1,config_Holiday_Calendar_US),WORKDAY($A762,-1,config_Holiday_Calendar_US)),IF(ISNUMBER(_xll.BDH(config!$G$4,I$1,$A762,$A762)),_xll.BDH(config!$G$4,I$1,$A762,$A762),_xll.BDH(config!$G$5,I$1,$A762,$A762))))</f>
        <v/>
      </c>
      <c r="J762" s="8" t="str">
        <f>IF($A762="","",IF(ISNUMBER(FIND("IMPVOL",J$1)),_xll.BDH(config!$G$4,J$1,WORKDAY($A762,-1,config_Holiday_Calendar_US),WORKDAY($A762,-1,config_Holiday_Calendar_US)),IF(ISNUMBER(_xll.BDH(config!$G$4,J$1,$A762,$A762)),_xll.BDH(config!$G$4,J$1,$A762,$A762),_xll.BDH(config!$G$5,J$1,$A762,$A762))))</f>
        <v/>
      </c>
      <c r="K762" s="8" t="str">
        <f>IF($A762="","",IF(ISNUMBER(FIND("IMPVOL",K$1)),_xll.BDH(config!$G$4,K$1,WORKDAY($A762,-1,config_Holiday_Calendar_US),WORKDAY($A762,-1,config_Holiday_Calendar_US)),IF(ISNUMBER(_xll.BDH(config!$G$4,K$1,$A762,$A762)),_xll.BDH(config!$G$4,K$1,$A762,$A762),_xll.BDH(config!$G$5,K$1,$A762,$A762))))</f>
        <v/>
      </c>
      <c r="L762" s="8" t="str">
        <f>IF($A762="","",IF(ISNUMBER(FIND("IMPVOL",L$1)),_xll.BDH(config!$G$4,L$1,WORKDAY($A762,-1,config_Holiday_Calendar_US),WORKDAY($A762,-1,config_Holiday_Calendar_US)),IF(ISNUMBER(_xll.BDH(config!$G$4,L$1,$A762,$A762)),_xll.BDH(config!$G$4,L$1,$A762,$A762),_xll.BDH(config!$G$5,L$1,$A762,$A762))))</f>
        <v/>
      </c>
      <c r="M762" s="8" t="str">
        <f>IF($A762="","",IF(ISNUMBER(FIND("IMPVOL",M$1)),_xll.BDH(config!$G$4,M$1,WORKDAY($A762,-1,config_Holiday_Calendar_US),WORKDAY($A762,-1,config_Holiday_Calendar_US)),IF(ISNUMBER(_xll.BDH(config!$G$4,M$1,$A762,$A762)),_xll.BDH(config!$G$4,M$1,$A762,$A762),_xll.BDH(config!$G$5,M$1,$A762,$A762))))</f>
        <v/>
      </c>
      <c r="N762" s="8" t="str">
        <f>IF($A762="","",IF(ISNUMBER(FIND("IMPVOL",N$1)),_xll.BDH(config!$G$4,N$1,WORKDAY($A762,-1,config_Holiday_Calendar_US),WORKDAY($A762,-1,config_Holiday_Calendar_US)),IF(ISNUMBER(_xll.BDH(config!$G$4,N$1,$A762,$A762)),_xll.BDH(config!$G$4,N$1,$A762,$A762),_xll.BDH(config!$G$5,N$1,$A762,$A762))))</f>
        <v/>
      </c>
      <c r="O762" s="8" t="str">
        <f>IF($A762="","",IF(ISNUMBER(FIND("IMPVOL",O$1)),_xll.BDH(config!$G$4,O$1,WORKDAY($A762,-1,config_Holiday_Calendar_US),WORKDAY($A762,-1,config_Holiday_Calendar_US)),IF(ISNUMBER(_xll.BDH(config!$G$4,O$1,$A762,$A762)),_xll.BDH(config!$G$4,O$1,$A762,$A762),_xll.BDH(config!$G$5,O$1,$A762,$A762))))</f>
        <v/>
      </c>
      <c r="P762" s="8" t="str">
        <f>IF($A762="","",IF(ISNUMBER(FIND("IMPVOL",P$1)),_xll.BDH(config!$G$4,P$1,WORKDAY($A762,-1,config_Holiday_Calendar_US),WORKDAY($A762,-1,config_Holiday_Calendar_US)),IF(ISNUMBER(_xll.BDH(config!$G$4,P$1,$A762,$A762)),_xll.BDH(config!$G$4,P$1,$A762,$A762),_xll.BDH(config!$G$5,P$1,$A762,$A762))))</f>
        <v/>
      </c>
      <c r="Q762" s="8" t="str">
        <f>IF($A762="","",IF(ISNUMBER(FIND("IMPVOL",Q$1)),_xll.BDH(config!$G$4,Q$1,WORKDAY($A762,-1,config_Holiday_Calendar_US),WORKDAY($A762,-1,config_Holiday_Calendar_US)),IF(ISNUMBER(_xll.BDH(config!$G$4,Q$1,$A762,$A762)),_xll.BDH(config!$G$4,Q$1,$A762,$A762),_xll.BDH(config!$G$5,Q$1,$A762,$A762))))</f>
        <v/>
      </c>
      <c r="R762" s="8" t="str">
        <f>IF($A762="","",IF(ISNUMBER(FIND("IMPVOL",R$1)),_xll.BDH(config!$G$4,R$1,WORKDAY($A762,-1,config_Holiday_Calendar_US),WORKDAY($A762,-1,config_Holiday_Calendar_US)),IF(ISNUMBER(_xll.BDH(config!$G$4,R$1,$A762,$A762)),_xll.BDH(config!$G$4,R$1,$A762,$A762),_xll.BDH(config!$G$5,R$1,$A762,$A762))))</f>
        <v/>
      </c>
      <c r="S762" s="8" t="str">
        <f>IF($A762="","",IF(ISNUMBER(FIND("IMPVOL",S$1)),_xll.BDH(config!$G$4,S$1,WORKDAY($A762,-1,config_Holiday_Calendar_US),WORKDAY($A762,-1,config_Holiday_Calendar_US)),IF(ISNUMBER(_xll.BDH(config!$G$4,S$1,$A762,$A762)),_xll.BDH(config!$G$4,S$1,$A762,$A762),_xll.BDH(config!$G$5,S$1,$A762,$A762))))</f>
        <v/>
      </c>
      <c r="T762" s="8" t="str">
        <f>IF($A762="","",IF(ISNUMBER(FIND("IMPVOL",T$1)),_xll.BDH(config!$G$4,T$1,WORKDAY($A762,-1,config_Holiday_Calendar_US),WORKDAY($A762,-1,config_Holiday_Calendar_US)),IF(ISNUMBER(_xll.BDH(config!$G$4,T$1,$A762,$A762)),_xll.BDH(config!$G$4,T$1,$A762,$A762),_xll.BDH(config!$G$5,T$1,$A762,$A762))))</f>
        <v/>
      </c>
      <c r="U762" s="8" t="str">
        <f>IF($A762="","",IF(ISNUMBER(FIND("IMPVOL",U$1)),_xll.BDH(config!$G$4,U$1,WORKDAY($A762,-1,config_Holiday_Calendar_US),WORKDAY($A762,-1,config_Holiday_Calendar_US)),IF(ISNUMBER(_xll.BDH(config!$G$4,U$1,$A762,$A762)),_xll.BDH(config!$G$4,U$1,$A762,$A762),_xll.BDH(config!$G$5,U$1,$A762,$A762))))</f>
        <v/>
      </c>
      <c r="V762" s="8" t="str">
        <f>IF($A762="","",IF(ISNUMBER(FIND("IMPVOL",V$1)),_xll.BDH(config!$G$4,V$1,WORKDAY($A762,-1,config_Holiday_Calendar_US),WORKDAY($A762,-1,config_Holiday_Calendar_US)),IF(ISNUMBER(_xll.BDH(config!$G$4,V$1,$A762,$A762)),_xll.BDH(config!$G$4,V$1,$A762,$A762),_xll.BDH(config!$G$5,V$1,$A762,$A762))))</f>
        <v/>
      </c>
      <c r="W762" s="8" t="str">
        <f>IF($A762="","",IF(ISNUMBER(FIND("IMPVOL",W$1)),_xll.BDH(config!$G$4,W$1,WORKDAY($A762,-1,config_Holiday_Calendar_US),WORKDAY($A762,-1,config_Holiday_Calendar_US)),IF(ISNUMBER(_xll.BDH(config!$G$4,W$1,$A762,$A762)),_xll.BDH(config!$G$4,W$1,$A762,$A762),_xll.BDH(config!$G$5,W$1,$A762,$A762))))</f>
        <v/>
      </c>
    </row>
    <row r="763" spans="1:23" x14ac:dyDescent="0.2">
      <c r="A763" s="9" t="str">
        <f>IF(A762="","",IF(WORKDAY(A762,-1,config_Holiday_Calendar_US)&lt;config!$I$10,"",WORKDAY(A762,-1,config_Holiday_Calendar_US)))</f>
        <v/>
      </c>
      <c r="B763" s="8" t="str">
        <f t="shared" si="11"/>
        <v/>
      </c>
      <c r="C763" s="8" t="str">
        <f>IF(A763="","",_xll.BDH(config!$H$4,C$1,$A763,$A763))</f>
        <v/>
      </c>
      <c r="D763" s="8" t="str">
        <f>IF($A763="","",_xll.BDH(config!$H$4,D$1,$A763,$A763))</f>
        <v/>
      </c>
      <c r="E763" s="8" t="str">
        <f>IF($A763="","",IF(ISNUMBER(FIND("IMPVOL",E$1)),_xll.BDH(config!$G$4,E$1,WORKDAY($A763,-1,config_Holiday_Calendar_US),WORKDAY($A763,-1,config_Holiday_Calendar_US)),IF(ISNUMBER(_xll.BDH(config!$G$4,E$1,$A763,$A763)),_xll.BDH(config!$G$4,E$1,$A763,$A763),_xll.BDH(config!$G$5,E$1,$A763,$A763))))</f>
        <v/>
      </c>
      <c r="F763" s="8" t="str">
        <f>IF($A763="","",IF(ISNUMBER(FIND("IMPVOL",F$1)),_xll.BDH(config!$G$4,F$1,WORKDAY($A763,-1,config_Holiday_Calendar_US),WORKDAY($A763,-1,config_Holiday_Calendar_US)),IF(ISNUMBER(_xll.BDH(config!$G$4,F$1,$A763,$A763)),_xll.BDH(config!$G$4,F$1,$A763,$A763),_xll.BDH(config!$G$5,F$1,$A763,$A763))))</f>
        <v/>
      </c>
      <c r="G763" s="8" t="str">
        <f>IF($A763="","",IF(ISNUMBER(FIND("IMPVOL",G$1)),_xll.BDH(config!$G$4,G$1,WORKDAY($A763,-1,config_Holiday_Calendar_US),WORKDAY($A763,-1,config_Holiday_Calendar_US)),IF(ISNUMBER(_xll.BDH(config!$G$4,G$1,$A763,$A763)),_xll.BDH(config!$G$4,G$1,$A763,$A763),_xll.BDH(config!$G$5,G$1,$A763,$A763))))</f>
        <v/>
      </c>
      <c r="H763" s="8" t="str">
        <f>IF($A763="","",IF(ISNUMBER(FIND("IMPVOL",H$1)),_xll.BDH(config!$G$4,H$1,WORKDAY($A763,-1,config_Holiday_Calendar_US),WORKDAY($A763,-1,config_Holiday_Calendar_US)),IF(ISNUMBER(_xll.BDH(config!$G$4,H$1,$A763,$A763)),_xll.BDH(config!$G$4,H$1,$A763,$A763),_xll.BDH(config!$G$5,H$1,$A763,$A763))))</f>
        <v/>
      </c>
      <c r="I763" s="8" t="str">
        <f>IF($A763="","",IF(ISNUMBER(FIND("IMPVOL",I$1)),_xll.BDH(config!$G$4,I$1,WORKDAY($A763,-1,config_Holiday_Calendar_US),WORKDAY($A763,-1,config_Holiday_Calendar_US)),IF(ISNUMBER(_xll.BDH(config!$G$4,I$1,$A763,$A763)),_xll.BDH(config!$G$4,I$1,$A763,$A763),_xll.BDH(config!$G$5,I$1,$A763,$A763))))</f>
        <v/>
      </c>
      <c r="J763" s="8" t="str">
        <f>IF($A763="","",IF(ISNUMBER(FIND("IMPVOL",J$1)),_xll.BDH(config!$G$4,J$1,WORKDAY($A763,-1,config_Holiday_Calendar_US),WORKDAY($A763,-1,config_Holiday_Calendar_US)),IF(ISNUMBER(_xll.BDH(config!$G$4,J$1,$A763,$A763)),_xll.BDH(config!$G$4,J$1,$A763,$A763),_xll.BDH(config!$G$5,J$1,$A763,$A763))))</f>
        <v/>
      </c>
      <c r="K763" s="8" t="str">
        <f>IF($A763="","",IF(ISNUMBER(FIND("IMPVOL",K$1)),_xll.BDH(config!$G$4,K$1,WORKDAY($A763,-1,config_Holiday_Calendar_US),WORKDAY($A763,-1,config_Holiday_Calendar_US)),IF(ISNUMBER(_xll.BDH(config!$G$4,K$1,$A763,$A763)),_xll.BDH(config!$G$4,K$1,$A763,$A763),_xll.BDH(config!$G$5,K$1,$A763,$A763))))</f>
        <v/>
      </c>
      <c r="L763" s="8" t="str">
        <f>IF($A763="","",IF(ISNUMBER(FIND("IMPVOL",L$1)),_xll.BDH(config!$G$4,L$1,WORKDAY($A763,-1,config_Holiday_Calendar_US),WORKDAY($A763,-1,config_Holiday_Calendar_US)),IF(ISNUMBER(_xll.BDH(config!$G$4,L$1,$A763,$A763)),_xll.BDH(config!$G$4,L$1,$A763,$A763),_xll.BDH(config!$G$5,L$1,$A763,$A763))))</f>
        <v/>
      </c>
      <c r="M763" s="8" t="str">
        <f>IF($A763="","",IF(ISNUMBER(FIND("IMPVOL",M$1)),_xll.BDH(config!$G$4,M$1,WORKDAY($A763,-1,config_Holiday_Calendar_US),WORKDAY($A763,-1,config_Holiday_Calendar_US)),IF(ISNUMBER(_xll.BDH(config!$G$4,M$1,$A763,$A763)),_xll.BDH(config!$G$4,M$1,$A763,$A763),_xll.BDH(config!$G$5,M$1,$A763,$A763))))</f>
        <v/>
      </c>
      <c r="N763" s="8" t="str">
        <f>IF($A763="","",IF(ISNUMBER(FIND("IMPVOL",N$1)),_xll.BDH(config!$G$4,N$1,WORKDAY($A763,-1,config_Holiday_Calendar_US),WORKDAY($A763,-1,config_Holiday_Calendar_US)),IF(ISNUMBER(_xll.BDH(config!$G$4,N$1,$A763,$A763)),_xll.BDH(config!$G$4,N$1,$A763,$A763),_xll.BDH(config!$G$5,N$1,$A763,$A763))))</f>
        <v/>
      </c>
      <c r="O763" s="8" t="str">
        <f>IF($A763="","",IF(ISNUMBER(FIND("IMPVOL",O$1)),_xll.BDH(config!$G$4,O$1,WORKDAY($A763,-1,config_Holiday_Calendar_US),WORKDAY($A763,-1,config_Holiday_Calendar_US)),IF(ISNUMBER(_xll.BDH(config!$G$4,O$1,$A763,$A763)),_xll.BDH(config!$G$4,O$1,$A763,$A763),_xll.BDH(config!$G$5,O$1,$A763,$A763))))</f>
        <v/>
      </c>
      <c r="P763" s="8" t="str">
        <f>IF($A763="","",IF(ISNUMBER(FIND("IMPVOL",P$1)),_xll.BDH(config!$G$4,P$1,WORKDAY($A763,-1,config_Holiday_Calendar_US),WORKDAY($A763,-1,config_Holiday_Calendar_US)),IF(ISNUMBER(_xll.BDH(config!$G$4,P$1,$A763,$A763)),_xll.BDH(config!$G$4,P$1,$A763,$A763),_xll.BDH(config!$G$5,P$1,$A763,$A763))))</f>
        <v/>
      </c>
      <c r="Q763" s="8" t="str">
        <f>IF($A763="","",IF(ISNUMBER(FIND("IMPVOL",Q$1)),_xll.BDH(config!$G$4,Q$1,WORKDAY($A763,-1,config_Holiday_Calendar_US),WORKDAY($A763,-1,config_Holiday_Calendar_US)),IF(ISNUMBER(_xll.BDH(config!$G$4,Q$1,$A763,$A763)),_xll.BDH(config!$G$4,Q$1,$A763,$A763),_xll.BDH(config!$G$5,Q$1,$A763,$A763))))</f>
        <v/>
      </c>
      <c r="R763" s="8" t="str">
        <f>IF($A763="","",IF(ISNUMBER(FIND("IMPVOL",R$1)),_xll.BDH(config!$G$4,R$1,WORKDAY($A763,-1,config_Holiday_Calendar_US),WORKDAY($A763,-1,config_Holiday_Calendar_US)),IF(ISNUMBER(_xll.BDH(config!$G$4,R$1,$A763,$A763)),_xll.BDH(config!$G$4,R$1,$A763,$A763),_xll.BDH(config!$G$5,R$1,$A763,$A763))))</f>
        <v/>
      </c>
      <c r="S763" s="8" t="str">
        <f>IF($A763="","",IF(ISNUMBER(FIND("IMPVOL",S$1)),_xll.BDH(config!$G$4,S$1,WORKDAY($A763,-1,config_Holiday_Calendar_US),WORKDAY($A763,-1,config_Holiday_Calendar_US)),IF(ISNUMBER(_xll.BDH(config!$G$4,S$1,$A763,$A763)),_xll.BDH(config!$G$4,S$1,$A763,$A763),_xll.BDH(config!$G$5,S$1,$A763,$A763))))</f>
        <v/>
      </c>
      <c r="T763" s="8" t="str">
        <f>IF($A763="","",IF(ISNUMBER(FIND("IMPVOL",T$1)),_xll.BDH(config!$G$4,T$1,WORKDAY($A763,-1,config_Holiday_Calendar_US),WORKDAY($A763,-1,config_Holiday_Calendar_US)),IF(ISNUMBER(_xll.BDH(config!$G$4,T$1,$A763,$A763)),_xll.BDH(config!$G$4,T$1,$A763,$A763),_xll.BDH(config!$G$5,T$1,$A763,$A763))))</f>
        <v/>
      </c>
      <c r="U763" s="8" t="str">
        <f>IF($A763="","",IF(ISNUMBER(FIND("IMPVOL",U$1)),_xll.BDH(config!$G$4,U$1,WORKDAY($A763,-1,config_Holiday_Calendar_US),WORKDAY($A763,-1,config_Holiday_Calendar_US)),IF(ISNUMBER(_xll.BDH(config!$G$4,U$1,$A763,$A763)),_xll.BDH(config!$G$4,U$1,$A763,$A763),_xll.BDH(config!$G$5,U$1,$A763,$A763))))</f>
        <v/>
      </c>
      <c r="V763" s="8" t="str">
        <f>IF($A763="","",IF(ISNUMBER(FIND("IMPVOL",V$1)),_xll.BDH(config!$G$4,V$1,WORKDAY($A763,-1,config_Holiday_Calendar_US),WORKDAY($A763,-1,config_Holiday_Calendar_US)),IF(ISNUMBER(_xll.BDH(config!$G$4,V$1,$A763,$A763)),_xll.BDH(config!$G$4,V$1,$A763,$A763),_xll.BDH(config!$G$5,V$1,$A763,$A763))))</f>
        <v/>
      </c>
      <c r="W763" s="8" t="str">
        <f>IF($A763="","",IF(ISNUMBER(FIND("IMPVOL",W$1)),_xll.BDH(config!$G$4,W$1,WORKDAY($A763,-1,config_Holiday_Calendar_US),WORKDAY($A763,-1,config_Holiday_Calendar_US)),IF(ISNUMBER(_xll.BDH(config!$G$4,W$1,$A763,$A763)),_xll.BDH(config!$G$4,W$1,$A763,$A763),_xll.BDH(config!$G$5,W$1,$A763,$A763))))</f>
        <v/>
      </c>
    </row>
    <row r="764" spans="1:23" x14ac:dyDescent="0.2">
      <c r="A764" s="9" t="str">
        <f>IF(A763="","",IF(WORKDAY(A763,-1,config_Holiday_Calendar_US)&lt;config!$I$10,"",WORKDAY(A763,-1,config_Holiday_Calendar_US)))</f>
        <v/>
      </c>
      <c r="B764" s="8" t="str">
        <f t="shared" si="11"/>
        <v/>
      </c>
      <c r="C764" s="8" t="str">
        <f>IF(A764="","",_xll.BDH(config!$H$4,C$1,$A764,$A764))</f>
        <v/>
      </c>
      <c r="D764" s="8" t="str">
        <f>IF($A764="","",_xll.BDH(config!$H$4,D$1,$A764,$A764))</f>
        <v/>
      </c>
      <c r="E764" s="8" t="str">
        <f>IF($A764="","",IF(ISNUMBER(FIND("IMPVOL",E$1)),_xll.BDH(config!$G$4,E$1,WORKDAY($A764,-1,config_Holiday_Calendar_US),WORKDAY($A764,-1,config_Holiday_Calendar_US)),IF(ISNUMBER(_xll.BDH(config!$G$4,E$1,$A764,$A764)),_xll.BDH(config!$G$4,E$1,$A764,$A764),_xll.BDH(config!$G$5,E$1,$A764,$A764))))</f>
        <v/>
      </c>
      <c r="F764" s="8" t="str">
        <f>IF($A764="","",IF(ISNUMBER(FIND("IMPVOL",F$1)),_xll.BDH(config!$G$4,F$1,WORKDAY($A764,-1,config_Holiday_Calendar_US),WORKDAY($A764,-1,config_Holiday_Calendar_US)),IF(ISNUMBER(_xll.BDH(config!$G$4,F$1,$A764,$A764)),_xll.BDH(config!$G$4,F$1,$A764,$A764),_xll.BDH(config!$G$5,F$1,$A764,$A764))))</f>
        <v/>
      </c>
      <c r="G764" s="8" t="str">
        <f>IF($A764="","",IF(ISNUMBER(FIND("IMPVOL",G$1)),_xll.BDH(config!$G$4,G$1,WORKDAY($A764,-1,config_Holiday_Calendar_US),WORKDAY($A764,-1,config_Holiday_Calendar_US)),IF(ISNUMBER(_xll.BDH(config!$G$4,G$1,$A764,$A764)),_xll.BDH(config!$G$4,G$1,$A764,$A764),_xll.BDH(config!$G$5,G$1,$A764,$A764))))</f>
        <v/>
      </c>
      <c r="H764" s="8" t="str">
        <f>IF($A764="","",IF(ISNUMBER(FIND("IMPVOL",H$1)),_xll.BDH(config!$G$4,H$1,WORKDAY($A764,-1,config_Holiday_Calendar_US),WORKDAY($A764,-1,config_Holiday_Calendar_US)),IF(ISNUMBER(_xll.BDH(config!$G$4,H$1,$A764,$A764)),_xll.BDH(config!$G$4,H$1,$A764,$A764),_xll.BDH(config!$G$5,H$1,$A764,$A764))))</f>
        <v/>
      </c>
      <c r="I764" s="8" t="str">
        <f>IF($A764="","",IF(ISNUMBER(FIND("IMPVOL",I$1)),_xll.BDH(config!$G$4,I$1,WORKDAY($A764,-1,config_Holiday_Calendar_US),WORKDAY($A764,-1,config_Holiday_Calendar_US)),IF(ISNUMBER(_xll.BDH(config!$G$4,I$1,$A764,$A764)),_xll.BDH(config!$G$4,I$1,$A764,$A764),_xll.BDH(config!$G$5,I$1,$A764,$A764))))</f>
        <v/>
      </c>
      <c r="J764" s="8" t="str">
        <f>IF($A764="","",IF(ISNUMBER(FIND("IMPVOL",J$1)),_xll.BDH(config!$G$4,J$1,WORKDAY($A764,-1,config_Holiday_Calendar_US),WORKDAY($A764,-1,config_Holiday_Calendar_US)),IF(ISNUMBER(_xll.BDH(config!$G$4,J$1,$A764,$A764)),_xll.BDH(config!$G$4,J$1,$A764,$A764),_xll.BDH(config!$G$5,J$1,$A764,$A764))))</f>
        <v/>
      </c>
      <c r="K764" s="8" t="str">
        <f>IF($A764="","",IF(ISNUMBER(FIND("IMPVOL",K$1)),_xll.BDH(config!$G$4,K$1,WORKDAY($A764,-1,config_Holiday_Calendar_US),WORKDAY($A764,-1,config_Holiday_Calendar_US)),IF(ISNUMBER(_xll.BDH(config!$G$4,K$1,$A764,$A764)),_xll.BDH(config!$G$4,K$1,$A764,$A764),_xll.BDH(config!$G$5,K$1,$A764,$A764))))</f>
        <v/>
      </c>
      <c r="L764" s="8" t="str">
        <f>IF($A764="","",IF(ISNUMBER(FIND("IMPVOL",L$1)),_xll.BDH(config!$G$4,L$1,WORKDAY($A764,-1,config_Holiday_Calendar_US),WORKDAY($A764,-1,config_Holiday_Calendar_US)),IF(ISNUMBER(_xll.BDH(config!$G$4,L$1,$A764,$A764)),_xll.BDH(config!$G$4,L$1,$A764,$A764),_xll.BDH(config!$G$5,L$1,$A764,$A764))))</f>
        <v/>
      </c>
      <c r="M764" s="8" t="str">
        <f>IF($A764="","",IF(ISNUMBER(FIND("IMPVOL",M$1)),_xll.BDH(config!$G$4,M$1,WORKDAY($A764,-1,config_Holiday_Calendar_US),WORKDAY($A764,-1,config_Holiday_Calendar_US)),IF(ISNUMBER(_xll.BDH(config!$G$4,M$1,$A764,$A764)),_xll.BDH(config!$G$4,M$1,$A764,$A764),_xll.BDH(config!$G$5,M$1,$A764,$A764))))</f>
        <v/>
      </c>
      <c r="N764" s="8" t="str">
        <f>IF($A764="","",IF(ISNUMBER(FIND("IMPVOL",N$1)),_xll.BDH(config!$G$4,N$1,WORKDAY($A764,-1,config_Holiday_Calendar_US),WORKDAY($A764,-1,config_Holiday_Calendar_US)),IF(ISNUMBER(_xll.BDH(config!$G$4,N$1,$A764,$A764)),_xll.BDH(config!$G$4,N$1,$A764,$A764),_xll.BDH(config!$G$5,N$1,$A764,$A764))))</f>
        <v/>
      </c>
      <c r="O764" s="8" t="str">
        <f>IF($A764="","",IF(ISNUMBER(FIND("IMPVOL",O$1)),_xll.BDH(config!$G$4,O$1,WORKDAY($A764,-1,config_Holiday_Calendar_US),WORKDAY($A764,-1,config_Holiday_Calendar_US)),IF(ISNUMBER(_xll.BDH(config!$G$4,O$1,$A764,$A764)),_xll.BDH(config!$G$4,O$1,$A764,$A764),_xll.BDH(config!$G$5,O$1,$A764,$A764))))</f>
        <v/>
      </c>
      <c r="P764" s="8" t="str">
        <f>IF($A764="","",IF(ISNUMBER(FIND("IMPVOL",P$1)),_xll.BDH(config!$G$4,P$1,WORKDAY($A764,-1,config_Holiday_Calendar_US),WORKDAY($A764,-1,config_Holiday_Calendar_US)),IF(ISNUMBER(_xll.BDH(config!$G$4,P$1,$A764,$A764)),_xll.BDH(config!$G$4,P$1,$A764,$A764),_xll.BDH(config!$G$5,P$1,$A764,$A764))))</f>
        <v/>
      </c>
      <c r="Q764" s="8" t="str">
        <f>IF($A764="","",IF(ISNUMBER(FIND("IMPVOL",Q$1)),_xll.BDH(config!$G$4,Q$1,WORKDAY($A764,-1,config_Holiday_Calendar_US),WORKDAY($A764,-1,config_Holiday_Calendar_US)),IF(ISNUMBER(_xll.BDH(config!$G$4,Q$1,$A764,$A764)),_xll.BDH(config!$G$4,Q$1,$A764,$A764),_xll.BDH(config!$G$5,Q$1,$A764,$A764))))</f>
        <v/>
      </c>
      <c r="R764" s="8" t="str">
        <f>IF($A764="","",IF(ISNUMBER(FIND("IMPVOL",R$1)),_xll.BDH(config!$G$4,R$1,WORKDAY($A764,-1,config_Holiday_Calendar_US),WORKDAY($A764,-1,config_Holiday_Calendar_US)),IF(ISNUMBER(_xll.BDH(config!$G$4,R$1,$A764,$A764)),_xll.BDH(config!$G$4,R$1,$A764,$A764),_xll.BDH(config!$G$5,R$1,$A764,$A764))))</f>
        <v/>
      </c>
      <c r="S764" s="8" t="str">
        <f>IF($A764="","",IF(ISNUMBER(FIND("IMPVOL",S$1)),_xll.BDH(config!$G$4,S$1,WORKDAY($A764,-1,config_Holiday_Calendar_US),WORKDAY($A764,-1,config_Holiday_Calendar_US)),IF(ISNUMBER(_xll.BDH(config!$G$4,S$1,$A764,$A764)),_xll.BDH(config!$G$4,S$1,$A764,$A764),_xll.BDH(config!$G$5,S$1,$A764,$A764))))</f>
        <v/>
      </c>
      <c r="T764" s="8" t="str">
        <f>IF($A764="","",IF(ISNUMBER(FIND("IMPVOL",T$1)),_xll.BDH(config!$G$4,T$1,WORKDAY($A764,-1,config_Holiday_Calendar_US),WORKDAY($A764,-1,config_Holiday_Calendar_US)),IF(ISNUMBER(_xll.BDH(config!$G$4,T$1,$A764,$A764)),_xll.BDH(config!$G$4,T$1,$A764,$A764),_xll.BDH(config!$G$5,T$1,$A764,$A764))))</f>
        <v/>
      </c>
      <c r="U764" s="8" t="str">
        <f>IF($A764="","",IF(ISNUMBER(FIND("IMPVOL",U$1)),_xll.BDH(config!$G$4,U$1,WORKDAY($A764,-1,config_Holiday_Calendar_US),WORKDAY($A764,-1,config_Holiday_Calendar_US)),IF(ISNUMBER(_xll.BDH(config!$G$4,U$1,$A764,$A764)),_xll.BDH(config!$G$4,U$1,$A764,$A764),_xll.BDH(config!$G$5,U$1,$A764,$A764))))</f>
        <v/>
      </c>
      <c r="V764" s="8" t="str">
        <f>IF($A764="","",IF(ISNUMBER(FIND("IMPVOL",V$1)),_xll.BDH(config!$G$4,V$1,WORKDAY($A764,-1,config_Holiday_Calendar_US),WORKDAY($A764,-1,config_Holiday_Calendar_US)),IF(ISNUMBER(_xll.BDH(config!$G$4,V$1,$A764,$A764)),_xll.BDH(config!$G$4,V$1,$A764,$A764),_xll.BDH(config!$G$5,V$1,$A764,$A764))))</f>
        <v/>
      </c>
      <c r="W764" s="8" t="str">
        <f>IF($A764="","",IF(ISNUMBER(FIND("IMPVOL",W$1)),_xll.BDH(config!$G$4,W$1,WORKDAY($A764,-1,config_Holiday_Calendar_US),WORKDAY($A764,-1,config_Holiday_Calendar_US)),IF(ISNUMBER(_xll.BDH(config!$G$4,W$1,$A764,$A764)),_xll.BDH(config!$G$4,W$1,$A764,$A764),_xll.BDH(config!$G$5,W$1,$A764,$A764))))</f>
        <v/>
      </c>
    </row>
    <row r="765" spans="1:23" x14ac:dyDescent="0.2">
      <c r="A765" s="9" t="str">
        <f>IF(A764="","",IF(WORKDAY(A764,-1,config_Holiday_Calendar_US)&lt;config!$I$10,"",WORKDAY(A764,-1,config_Holiday_Calendar_US)))</f>
        <v/>
      </c>
      <c r="B765" s="8" t="str">
        <f t="shared" si="11"/>
        <v/>
      </c>
      <c r="C765" s="8" t="str">
        <f>IF(A765="","",_xll.BDH(config!$H$4,C$1,$A765,$A765))</f>
        <v/>
      </c>
      <c r="D765" s="8" t="str">
        <f>IF($A765="","",_xll.BDH(config!$H$4,D$1,$A765,$A765))</f>
        <v/>
      </c>
      <c r="E765" s="8" t="str">
        <f>IF($A765="","",IF(ISNUMBER(FIND("IMPVOL",E$1)),_xll.BDH(config!$G$4,E$1,WORKDAY($A765,-1,config_Holiday_Calendar_US),WORKDAY($A765,-1,config_Holiday_Calendar_US)),IF(ISNUMBER(_xll.BDH(config!$G$4,E$1,$A765,$A765)),_xll.BDH(config!$G$4,E$1,$A765,$A765),_xll.BDH(config!$G$5,E$1,$A765,$A765))))</f>
        <v/>
      </c>
      <c r="F765" s="8" t="str">
        <f>IF($A765="","",IF(ISNUMBER(FIND("IMPVOL",F$1)),_xll.BDH(config!$G$4,F$1,WORKDAY($A765,-1,config_Holiday_Calendar_US),WORKDAY($A765,-1,config_Holiday_Calendar_US)),IF(ISNUMBER(_xll.BDH(config!$G$4,F$1,$A765,$A765)),_xll.BDH(config!$G$4,F$1,$A765,$A765),_xll.BDH(config!$G$5,F$1,$A765,$A765))))</f>
        <v/>
      </c>
      <c r="G765" s="8" t="str">
        <f>IF($A765="","",IF(ISNUMBER(FIND("IMPVOL",G$1)),_xll.BDH(config!$G$4,G$1,WORKDAY($A765,-1,config_Holiday_Calendar_US),WORKDAY($A765,-1,config_Holiday_Calendar_US)),IF(ISNUMBER(_xll.BDH(config!$G$4,G$1,$A765,$A765)),_xll.BDH(config!$G$4,G$1,$A765,$A765),_xll.BDH(config!$G$5,G$1,$A765,$A765))))</f>
        <v/>
      </c>
      <c r="H765" s="8" t="str">
        <f>IF($A765="","",IF(ISNUMBER(FIND("IMPVOL",H$1)),_xll.BDH(config!$G$4,H$1,WORKDAY($A765,-1,config_Holiday_Calendar_US),WORKDAY($A765,-1,config_Holiday_Calendar_US)),IF(ISNUMBER(_xll.BDH(config!$G$4,H$1,$A765,$A765)),_xll.BDH(config!$G$4,H$1,$A765,$A765),_xll.BDH(config!$G$5,H$1,$A765,$A765))))</f>
        <v/>
      </c>
      <c r="I765" s="8" t="str">
        <f>IF($A765="","",IF(ISNUMBER(FIND("IMPVOL",I$1)),_xll.BDH(config!$G$4,I$1,WORKDAY($A765,-1,config_Holiday_Calendar_US),WORKDAY($A765,-1,config_Holiday_Calendar_US)),IF(ISNUMBER(_xll.BDH(config!$G$4,I$1,$A765,$A765)),_xll.BDH(config!$G$4,I$1,$A765,$A765),_xll.BDH(config!$G$5,I$1,$A765,$A765))))</f>
        <v/>
      </c>
      <c r="J765" s="8" t="str">
        <f>IF($A765="","",IF(ISNUMBER(FIND("IMPVOL",J$1)),_xll.BDH(config!$G$4,J$1,WORKDAY($A765,-1,config_Holiday_Calendar_US),WORKDAY($A765,-1,config_Holiday_Calendar_US)),IF(ISNUMBER(_xll.BDH(config!$G$4,J$1,$A765,$A765)),_xll.BDH(config!$G$4,J$1,$A765,$A765),_xll.BDH(config!$G$5,J$1,$A765,$A765))))</f>
        <v/>
      </c>
      <c r="K765" s="8" t="str">
        <f>IF($A765="","",IF(ISNUMBER(FIND("IMPVOL",K$1)),_xll.BDH(config!$G$4,K$1,WORKDAY($A765,-1,config_Holiday_Calendar_US),WORKDAY($A765,-1,config_Holiday_Calendar_US)),IF(ISNUMBER(_xll.BDH(config!$G$4,K$1,$A765,$A765)),_xll.BDH(config!$G$4,K$1,$A765,$A765),_xll.BDH(config!$G$5,K$1,$A765,$A765))))</f>
        <v/>
      </c>
      <c r="L765" s="8" t="str">
        <f>IF($A765="","",IF(ISNUMBER(FIND("IMPVOL",L$1)),_xll.BDH(config!$G$4,L$1,WORKDAY($A765,-1,config_Holiday_Calendar_US),WORKDAY($A765,-1,config_Holiday_Calendar_US)),IF(ISNUMBER(_xll.BDH(config!$G$4,L$1,$A765,$A765)),_xll.BDH(config!$G$4,L$1,$A765,$A765),_xll.BDH(config!$G$5,L$1,$A765,$A765))))</f>
        <v/>
      </c>
      <c r="M765" s="8" t="str">
        <f>IF($A765="","",IF(ISNUMBER(FIND("IMPVOL",M$1)),_xll.BDH(config!$G$4,M$1,WORKDAY($A765,-1,config_Holiday_Calendar_US),WORKDAY($A765,-1,config_Holiday_Calendar_US)),IF(ISNUMBER(_xll.BDH(config!$G$4,M$1,$A765,$A765)),_xll.BDH(config!$G$4,M$1,$A765,$A765),_xll.BDH(config!$G$5,M$1,$A765,$A765))))</f>
        <v/>
      </c>
      <c r="N765" s="8" t="str">
        <f>IF($A765="","",IF(ISNUMBER(FIND("IMPVOL",N$1)),_xll.BDH(config!$G$4,N$1,WORKDAY($A765,-1,config_Holiday_Calendar_US),WORKDAY($A765,-1,config_Holiday_Calendar_US)),IF(ISNUMBER(_xll.BDH(config!$G$4,N$1,$A765,$A765)),_xll.BDH(config!$G$4,N$1,$A765,$A765),_xll.BDH(config!$G$5,N$1,$A765,$A765))))</f>
        <v/>
      </c>
      <c r="O765" s="8" t="str">
        <f>IF($A765="","",IF(ISNUMBER(FIND("IMPVOL",O$1)),_xll.BDH(config!$G$4,O$1,WORKDAY($A765,-1,config_Holiday_Calendar_US),WORKDAY($A765,-1,config_Holiday_Calendar_US)),IF(ISNUMBER(_xll.BDH(config!$G$4,O$1,$A765,$A765)),_xll.BDH(config!$G$4,O$1,$A765,$A765),_xll.BDH(config!$G$5,O$1,$A765,$A765))))</f>
        <v/>
      </c>
      <c r="P765" s="8" t="str">
        <f>IF($A765="","",IF(ISNUMBER(FIND("IMPVOL",P$1)),_xll.BDH(config!$G$4,P$1,WORKDAY($A765,-1,config_Holiday_Calendar_US),WORKDAY($A765,-1,config_Holiday_Calendar_US)),IF(ISNUMBER(_xll.BDH(config!$G$4,P$1,$A765,$A765)),_xll.BDH(config!$G$4,P$1,$A765,$A765),_xll.BDH(config!$G$5,P$1,$A765,$A765))))</f>
        <v/>
      </c>
      <c r="Q765" s="8" t="str">
        <f>IF($A765="","",IF(ISNUMBER(FIND("IMPVOL",Q$1)),_xll.BDH(config!$G$4,Q$1,WORKDAY($A765,-1,config_Holiday_Calendar_US),WORKDAY($A765,-1,config_Holiday_Calendar_US)),IF(ISNUMBER(_xll.BDH(config!$G$4,Q$1,$A765,$A765)),_xll.BDH(config!$G$4,Q$1,$A765,$A765),_xll.BDH(config!$G$5,Q$1,$A765,$A765))))</f>
        <v/>
      </c>
      <c r="R765" s="8" t="str">
        <f>IF($A765="","",IF(ISNUMBER(FIND("IMPVOL",R$1)),_xll.BDH(config!$G$4,R$1,WORKDAY($A765,-1,config_Holiday_Calendar_US),WORKDAY($A765,-1,config_Holiday_Calendar_US)),IF(ISNUMBER(_xll.BDH(config!$G$4,R$1,$A765,$A765)),_xll.BDH(config!$G$4,R$1,$A765,$A765),_xll.BDH(config!$G$5,R$1,$A765,$A765))))</f>
        <v/>
      </c>
      <c r="S765" s="8" t="str">
        <f>IF($A765="","",IF(ISNUMBER(FIND("IMPVOL",S$1)),_xll.BDH(config!$G$4,S$1,WORKDAY($A765,-1,config_Holiday_Calendar_US),WORKDAY($A765,-1,config_Holiday_Calendar_US)),IF(ISNUMBER(_xll.BDH(config!$G$4,S$1,$A765,$A765)),_xll.BDH(config!$G$4,S$1,$A765,$A765),_xll.BDH(config!$G$5,S$1,$A765,$A765))))</f>
        <v/>
      </c>
      <c r="T765" s="8" t="str">
        <f>IF($A765="","",IF(ISNUMBER(FIND("IMPVOL",T$1)),_xll.BDH(config!$G$4,T$1,WORKDAY($A765,-1,config_Holiday_Calendar_US),WORKDAY($A765,-1,config_Holiday_Calendar_US)),IF(ISNUMBER(_xll.BDH(config!$G$4,T$1,$A765,$A765)),_xll.BDH(config!$G$4,T$1,$A765,$A765),_xll.BDH(config!$G$5,T$1,$A765,$A765))))</f>
        <v/>
      </c>
      <c r="U765" s="8" t="str">
        <f>IF($A765="","",IF(ISNUMBER(FIND("IMPVOL",U$1)),_xll.BDH(config!$G$4,U$1,WORKDAY($A765,-1,config_Holiday_Calendar_US),WORKDAY($A765,-1,config_Holiday_Calendar_US)),IF(ISNUMBER(_xll.BDH(config!$G$4,U$1,$A765,$A765)),_xll.BDH(config!$G$4,U$1,$A765,$A765),_xll.BDH(config!$G$5,U$1,$A765,$A765))))</f>
        <v/>
      </c>
      <c r="V765" s="8" t="str">
        <f>IF($A765="","",IF(ISNUMBER(FIND("IMPVOL",V$1)),_xll.BDH(config!$G$4,V$1,WORKDAY($A765,-1,config_Holiday_Calendar_US),WORKDAY($A765,-1,config_Holiday_Calendar_US)),IF(ISNUMBER(_xll.BDH(config!$G$4,V$1,$A765,$A765)),_xll.BDH(config!$G$4,V$1,$A765,$A765),_xll.BDH(config!$G$5,V$1,$A765,$A765))))</f>
        <v/>
      </c>
      <c r="W765" s="8" t="str">
        <f>IF($A765="","",IF(ISNUMBER(FIND("IMPVOL",W$1)),_xll.BDH(config!$G$4,W$1,WORKDAY($A765,-1,config_Holiday_Calendar_US),WORKDAY($A765,-1,config_Holiday_Calendar_US)),IF(ISNUMBER(_xll.BDH(config!$G$4,W$1,$A765,$A765)),_xll.BDH(config!$G$4,W$1,$A765,$A765),_xll.BDH(config!$G$5,W$1,$A765,$A765))))</f>
        <v/>
      </c>
    </row>
    <row r="766" spans="1:23" x14ac:dyDescent="0.2">
      <c r="A766" s="9" t="str">
        <f>IF(A765="","",IF(WORKDAY(A765,-1,config_Holiday_Calendar_US)&lt;config!$I$10,"",WORKDAY(A765,-1,config_Holiday_Calendar_US)))</f>
        <v/>
      </c>
      <c r="B766" s="8" t="str">
        <f t="shared" si="11"/>
        <v/>
      </c>
      <c r="C766" s="8" t="str">
        <f>IF(A766="","",_xll.BDH(config!$H$4,C$1,$A766,$A766))</f>
        <v/>
      </c>
      <c r="D766" s="8" t="str">
        <f>IF($A766="","",_xll.BDH(config!$H$4,D$1,$A766,$A766))</f>
        <v/>
      </c>
      <c r="E766" s="8" t="str">
        <f>IF($A766="","",IF(ISNUMBER(FIND("IMPVOL",E$1)),_xll.BDH(config!$G$4,E$1,WORKDAY($A766,-1,config_Holiday_Calendar_US),WORKDAY($A766,-1,config_Holiday_Calendar_US)),IF(ISNUMBER(_xll.BDH(config!$G$4,E$1,$A766,$A766)),_xll.BDH(config!$G$4,E$1,$A766,$A766),_xll.BDH(config!$G$5,E$1,$A766,$A766))))</f>
        <v/>
      </c>
      <c r="F766" s="8" t="str">
        <f>IF($A766="","",IF(ISNUMBER(FIND("IMPVOL",F$1)),_xll.BDH(config!$G$4,F$1,WORKDAY($A766,-1,config_Holiday_Calendar_US),WORKDAY($A766,-1,config_Holiday_Calendar_US)),IF(ISNUMBER(_xll.BDH(config!$G$4,F$1,$A766,$A766)),_xll.BDH(config!$G$4,F$1,$A766,$A766),_xll.BDH(config!$G$5,F$1,$A766,$A766))))</f>
        <v/>
      </c>
      <c r="G766" s="8" t="str">
        <f>IF($A766="","",IF(ISNUMBER(FIND("IMPVOL",G$1)),_xll.BDH(config!$G$4,G$1,WORKDAY($A766,-1,config_Holiday_Calendar_US),WORKDAY($A766,-1,config_Holiday_Calendar_US)),IF(ISNUMBER(_xll.BDH(config!$G$4,G$1,$A766,$A766)),_xll.BDH(config!$G$4,G$1,$A766,$A766),_xll.BDH(config!$G$5,G$1,$A766,$A766))))</f>
        <v/>
      </c>
      <c r="H766" s="8" t="str">
        <f>IF($A766="","",IF(ISNUMBER(FIND("IMPVOL",H$1)),_xll.BDH(config!$G$4,H$1,WORKDAY($A766,-1,config_Holiday_Calendar_US),WORKDAY($A766,-1,config_Holiday_Calendar_US)),IF(ISNUMBER(_xll.BDH(config!$G$4,H$1,$A766,$A766)),_xll.BDH(config!$G$4,H$1,$A766,$A766),_xll.BDH(config!$G$5,H$1,$A766,$A766))))</f>
        <v/>
      </c>
      <c r="I766" s="8" t="str">
        <f>IF($A766="","",IF(ISNUMBER(FIND("IMPVOL",I$1)),_xll.BDH(config!$G$4,I$1,WORKDAY($A766,-1,config_Holiday_Calendar_US),WORKDAY($A766,-1,config_Holiday_Calendar_US)),IF(ISNUMBER(_xll.BDH(config!$G$4,I$1,$A766,$A766)),_xll.BDH(config!$G$4,I$1,$A766,$A766),_xll.BDH(config!$G$5,I$1,$A766,$A766))))</f>
        <v/>
      </c>
      <c r="J766" s="8" t="str">
        <f>IF($A766="","",IF(ISNUMBER(FIND("IMPVOL",J$1)),_xll.BDH(config!$G$4,J$1,WORKDAY($A766,-1,config_Holiday_Calendar_US),WORKDAY($A766,-1,config_Holiday_Calendar_US)),IF(ISNUMBER(_xll.BDH(config!$G$4,J$1,$A766,$A766)),_xll.BDH(config!$G$4,J$1,$A766,$A766),_xll.BDH(config!$G$5,J$1,$A766,$A766))))</f>
        <v/>
      </c>
      <c r="K766" s="8" t="str">
        <f>IF($A766="","",IF(ISNUMBER(FIND("IMPVOL",K$1)),_xll.BDH(config!$G$4,K$1,WORKDAY($A766,-1,config_Holiday_Calendar_US),WORKDAY($A766,-1,config_Holiday_Calendar_US)),IF(ISNUMBER(_xll.BDH(config!$G$4,K$1,$A766,$A766)),_xll.BDH(config!$G$4,K$1,$A766,$A766),_xll.BDH(config!$G$5,K$1,$A766,$A766))))</f>
        <v/>
      </c>
      <c r="L766" s="8" t="str">
        <f>IF($A766="","",IF(ISNUMBER(FIND("IMPVOL",L$1)),_xll.BDH(config!$G$4,L$1,WORKDAY($A766,-1,config_Holiday_Calendar_US),WORKDAY($A766,-1,config_Holiday_Calendar_US)),IF(ISNUMBER(_xll.BDH(config!$G$4,L$1,$A766,$A766)),_xll.BDH(config!$G$4,L$1,$A766,$A766),_xll.BDH(config!$G$5,L$1,$A766,$A766))))</f>
        <v/>
      </c>
      <c r="M766" s="8" t="str">
        <f>IF($A766="","",IF(ISNUMBER(FIND("IMPVOL",M$1)),_xll.BDH(config!$G$4,M$1,WORKDAY($A766,-1,config_Holiday_Calendar_US),WORKDAY($A766,-1,config_Holiday_Calendar_US)),IF(ISNUMBER(_xll.BDH(config!$G$4,M$1,$A766,$A766)),_xll.BDH(config!$G$4,M$1,$A766,$A766),_xll.BDH(config!$G$5,M$1,$A766,$A766))))</f>
        <v/>
      </c>
      <c r="N766" s="8" t="str">
        <f>IF($A766="","",IF(ISNUMBER(FIND("IMPVOL",N$1)),_xll.BDH(config!$G$4,N$1,WORKDAY($A766,-1,config_Holiday_Calendar_US),WORKDAY($A766,-1,config_Holiday_Calendar_US)),IF(ISNUMBER(_xll.BDH(config!$G$4,N$1,$A766,$A766)),_xll.BDH(config!$G$4,N$1,$A766,$A766),_xll.BDH(config!$G$5,N$1,$A766,$A766))))</f>
        <v/>
      </c>
      <c r="O766" s="8" t="str">
        <f>IF($A766="","",IF(ISNUMBER(FIND("IMPVOL",O$1)),_xll.BDH(config!$G$4,O$1,WORKDAY($A766,-1,config_Holiday_Calendar_US),WORKDAY($A766,-1,config_Holiday_Calendar_US)),IF(ISNUMBER(_xll.BDH(config!$G$4,O$1,$A766,$A766)),_xll.BDH(config!$G$4,O$1,$A766,$A766),_xll.BDH(config!$G$5,O$1,$A766,$A766))))</f>
        <v/>
      </c>
      <c r="P766" s="8" t="str">
        <f>IF($A766="","",IF(ISNUMBER(FIND("IMPVOL",P$1)),_xll.BDH(config!$G$4,P$1,WORKDAY($A766,-1,config_Holiday_Calendar_US),WORKDAY($A766,-1,config_Holiday_Calendar_US)),IF(ISNUMBER(_xll.BDH(config!$G$4,P$1,$A766,$A766)),_xll.BDH(config!$G$4,P$1,$A766,$A766),_xll.BDH(config!$G$5,P$1,$A766,$A766))))</f>
        <v/>
      </c>
      <c r="Q766" s="8" t="str">
        <f>IF($A766="","",IF(ISNUMBER(FIND("IMPVOL",Q$1)),_xll.BDH(config!$G$4,Q$1,WORKDAY($A766,-1,config_Holiday_Calendar_US),WORKDAY($A766,-1,config_Holiday_Calendar_US)),IF(ISNUMBER(_xll.BDH(config!$G$4,Q$1,$A766,$A766)),_xll.BDH(config!$G$4,Q$1,$A766,$A766),_xll.BDH(config!$G$5,Q$1,$A766,$A766))))</f>
        <v/>
      </c>
      <c r="R766" s="8" t="str">
        <f>IF($A766="","",IF(ISNUMBER(FIND("IMPVOL",R$1)),_xll.BDH(config!$G$4,R$1,WORKDAY($A766,-1,config_Holiday_Calendar_US),WORKDAY($A766,-1,config_Holiday_Calendar_US)),IF(ISNUMBER(_xll.BDH(config!$G$4,R$1,$A766,$A766)),_xll.BDH(config!$G$4,R$1,$A766,$A766),_xll.BDH(config!$G$5,R$1,$A766,$A766))))</f>
        <v/>
      </c>
      <c r="S766" s="8" t="str">
        <f>IF($A766="","",IF(ISNUMBER(FIND("IMPVOL",S$1)),_xll.BDH(config!$G$4,S$1,WORKDAY($A766,-1,config_Holiday_Calendar_US),WORKDAY($A766,-1,config_Holiday_Calendar_US)),IF(ISNUMBER(_xll.BDH(config!$G$4,S$1,$A766,$A766)),_xll.BDH(config!$G$4,S$1,$A766,$A766),_xll.BDH(config!$G$5,S$1,$A766,$A766))))</f>
        <v/>
      </c>
      <c r="T766" s="8" t="str">
        <f>IF($A766="","",IF(ISNUMBER(FIND("IMPVOL",T$1)),_xll.BDH(config!$G$4,T$1,WORKDAY($A766,-1,config_Holiday_Calendar_US),WORKDAY($A766,-1,config_Holiday_Calendar_US)),IF(ISNUMBER(_xll.BDH(config!$G$4,T$1,$A766,$A766)),_xll.BDH(config!$G$4,T$1,$A766,$A766),_xll.BDH(config!$G$5,T$1,$A766,$A766))))</f>
        <v/>
      </c>
      <c r="U766" s="8" t="str">
        <f>IF($A766="","",IF(ISNUMBER(FIND("IMPVOL",U$1)),_xll.BDH(config!$G$4,U$1,WORKDAY($A766,-1,config_Holiday_Calendar_US),WORKDAY($A766,-1,config_Holiday_Calendar_US)),IF(ISNUMBER(_xll.BDH(config!$G$4,U$1,$A766,$A766)),_xll.BDH(config!$G$4,U$1,$A766,$A766),_xll.BDH(config!$G$5,U$1,$A766,$A766))))</f>
        <v/>
      </c>
      <c r="V766" s="8" t="str">
        <f>IF($A766="","",IF(ISNUMBER(FIND("IMPVOL",V$1)),_xll.BDH(config!$G$4,V$1,WORKDAY($A766,-1,config_Holiday_Calendar_US),WORKDAY($A766,-1,config_Holiday_Calendar_US)),IF(ISNUMBER(_xll.BDH(config!$G$4,V$1,$A766,$A766)),_xll.BDH(config!$G$4,V$1,$A766,$A766),_xll.BDH(config!$G$5,V$1,$A766,$A766))))</f>
        <v/>
      </c>
      <c r="W766" s="8" t="str">
        <f>IF($A766="","",IF(ISNUMBER(FIND("IMPVOL",W$1)),_xll.BDH(config!$G$4,W$1,WORKDAY($A766,-1,config_Holiday_Calendar_US),WORKDAY($A766,-1,config_Holiday_Calendar_US)),IF(ISNUMBER(_xll.BDH(config!$G$4,W$1,$A766,$A766)),_xll.BDH(config!$G$4,W$1,$A766,$A766),_xll.BDH(config!$G$5,W$1,$A766,$A766))))</f>
        <v/>
      </c>
    </row>
    <row r="767" spans="1:23" x14ac:dyDescent="0.2">
      <c r="A767" s="9" t="str">
        <f>IF(A766="","",IF(WORKDAY(A766,-1,config_Holiday_Calendar_US)&lt;config!$I$10,"",WORKDAY(A766,-1,config_Holiday_Calendar_US)))</f>
        <v/>
      </c>
      <c r="B767" s="8" t="str">
        <f t="shared" si="11"/>
        <v/>
      </c>
      <c r="C767" s="8" t="str">
        <f>IF(A767="","",_xll.BDH(config!$H$4,C$1,$A767,$A767))</f>
        <v/>
      </c>
      <c r="D767" s="8" t="str">
        <f>IF($A767="","",_xll.BDH(config!$H$4,D$1,$A767,$A767))</f>
        <v/>
      </c>
      <c r="E767" s="8" t="str">
        <f>IF($A767="","",IF(ISNUMBER(FIND("IMPVOL",E$1)),_xll.BDH(config!$G$4,E$1,WORKDAY($A767,-1,config_Holiday_Calendar_US),WORKDAY($A767,-1,config_Holiday_Calendar_US)),IF(ISNUMBER(_xll.BDH(config!$G$4,E$1,$A767,$A767)),_xll.BDH(config!$G$4,E$1,$A767,$A767),_xll.BDH(config!$G$5,E$1,$A767,$A767))))</f>
        <v/>
      </c>
      <c r="F767" s="8" t="str">
        <f>IF($A767="","",IF(ISNUMBER(FIND("IMPVOL",F$1)),_xll.BDH(config!$G$4,F$1,WORKDAY($A767,-1,config_Holiday_Calendar_US),WORKDAY($A767,-1,config_Holiday_Calendar_US)),IF(ISNUMBER(_xll.BDH(config!$G$4,F$1,$A767,$A767)),_xll.BDH(config!$G$4,F$1,$A767,$A767),_xll.BDH(config!$G$5,F$1,$A767,$A767))))</f>
        <v/>
      </c>
      <c r="G767" s="8" t="str">
        <f>IF($A767="","",IF(ISNUMBER(FIND("IMPVOL",G$1)),_xll.BDH(config!$G$4,G$1,WORKDAY($A767,-1,config_Holiday_Calendar_US),WORKDAY($A767,-1,config_Holiday_Calendar_US)),IF(ISNUMBER(_xll.BDH(config!$G$4,G$1,$A767,$A767)),_xll.BDH(config!$G$4,G$1,$A767,$A767),_xll.BDH(config!$G$5,G$1,$A767,$A767))))</f>
        <v/>
      </c>
      <c r="H767" s="8" t="str">
        <f>IF($A767="","",IF(ISNUMBER(FIND("IMPVOL",H$1)),_xll.BDH(config!$G$4,H$1,WORKDAY($A767,-1,config_Holiday_Calendar_US),WORKDAY($A767,-1,config_Holiday_Calendar_US)),IF(ISNUMBER(_xll.BDH(config!$G$4,H$1,$A767,$A767)),_xll.BDH(config!$G$4,H$1,$A767,$A767),_xll.BDH(config!$G$5,H$1,$A767,$A767))))</f>
        <v/>
      </c>
      <c r="I767" s="8" t="str">
        <f>IF($A767="","",IF(ISNUMBER(FIND("IMPVOL",I$1)),_xll.BDH(config!$G$4,I$1,WORKDAY($A767,-1,config_Holiday_Calendar_US),WORKDAY($A767,-1,config_Holiday_Calendar_US)),IF(ISNUMBER(_xll.BDH(config!$G$4,I$1,$A767,$A767)),_xll.BDH(config!$G$4,I$1,$A767,$A767),_xll.BDH(config!$G$5,I$1,$A767,$A767))))</f>
        <v/>
      </c>
      <c r="J767" s="8" t="str">
        <f>IF($A767="","",IF(ISNUMBER(FIND("IMPVOL",J$1)),_xll.BDH(config!$G$4,J$1,WORKDAY($A767,-1,config_Holiday_Calendar_US),WORKDAY($A767,-1,config_Holiday_Calendar_US)),IF(ISNUMBER(_xll.BDH(config!$G$4,J$1,$A767,$A767)),_xll.BDH(config!$G$4,J$1,$A767,$A767),_xll.BDH(config!$G$5,J$1,$A767,$A767))))</f>
        <v/>
      </c>
      <c r="K767" s="8" t="str">
        <f>IF($A767="","",IF(ISNUMBER(FIND("IMPVOL",K$1)),_xll.BDH(config!$G$4,K$1,WORKDAY($A767,-1,config_Holiday_Calendar_US),WORKDAY($A767,-1,config_Holiday_Calendar_US)),IF(ISNUMBER(_xll.BDH(config!$G$4,K$1,$A767,$A767)),_xll.BDH(config!$G$4,K$1,$A767,$A767),_xll.BDH(config!$G$5,K$1,$A767,$A767))))</f>
        <v/>
      </c>
      <c r="L767" s="8" t="str">
        <f>IF($A767="","",IF(ISNUMBER(FIND("IMPVOL",L$1)),_xll.BDH(config!$G$4,L$1,WORKDAY($A767,-1,config_Holiday_Calendar_US),WORKDAY($A767,-1,config_Holiday_Calendar_US)),IF(ISNUMBER(_xll.BDH(config!$G$4,L$1,$A767,$A767)),_xll.BDH(config!$G$4,L$1,$A767,$A767),_xll.BDH(config!$G$5,L$1,$A767,$A767))))</f>
        <v/>
      </c>
      <c r="M767" s="8" t="str">
        <f>IF($A767="","",IF(ISNUMBER(FIND("IMPVOL",M$1)),_xll.BDH(config!$G$4,M$1,WORKDAY($A767,-1,config_Holiday_Calendar_US),WORKDAY($A767,-1,config_Holiday_Calendar_US)),IF(ISNUMBER(_xll.BDH(config!$G$4,M$1,$A767,$A767)),_xll.BDH(config!$G$4,M$1,$A767,$A767),_xll.BDH(config!$G$5,M$1,$A767,$A767))))</f>
        <v/>
      </c>
      <c r="N767" s="8" t="str">
        <f>IF($A767="","",IF(ISNUMBER(FIND("IMPVOL",N$1)),_xll.BDH(config!$G$4,N$1,WORKDAY($A767,-1,config_Holiday_Calendar_US),WORKDAY($A767,-1,config_Holiday_Calendar_US)),IF(ISNUMBER(_xll.BDH(config!$G$4,N$1,$A767,$A767)),_xll.BDH(config!$G$4,N$1,$A767,$A767),_xll.BDH(config!$G$5,N$1,$A767,$A767))))</f>
        <v/>
      </c>
      <c r="O767" s="8" t="str">
        <f>IF($A767="","",IF(ISNUMBER(FIND("IMPVOL",O$1)),_xll.BDH(config!$G$4,O$1,WORKDAY($A767,-1,config_Holiday_Calendar_US),WORKDAY($A767,-1,config_Holiday_Calendar_US)),IF(ISNUMBER(_xll.BDH(config!$G$4,O$1,$A767,$A767)),_xll.BDH(config!$G$4,O$1,$A767,$A767),_xll.BDH(config!$G$5,O$1,$A767,$A767))))</f>
        <v/>
      </c>
      <c r="P767" s="8" t="str">
        <f>IF($A767="","",IF(ISNUMBER(FIND("IMPVOL",P$1)),_xll.BDH(config!$G$4,P$1,WORKDAY($A767,-1,config_Holiday_Calendar_US),WORKDAY($A767,-1,config_Holiday_Calendar_US)),IF(ISNUMBER(_xll.BDH(config!$G$4,P$1,$A767,$A767)),_xll.BDH(config!$G$4,P$1,$A767,$A767),_xll.BDH(config!$G$5,P$1,$A767,$A767))))</f>
        <v/>
      </c>
      <c r="Q767" s="8" t="str">
        <f>IF($A767="","",IF(ISNUMBER(FIND("IMPVOL",Q$1)),_xll.BDH(config!$G$4,Q$1,WORKDAY($A767,-1,config_Holiday_Calendar_US),WORKDAY($A767,-1,config_Holiday_Calendar_US)),IF(ISNUMBER(_xll.BDH(config!$G$4,Q$1,$A767,$A767)),_xll.BDH(config!$G$4,Q$1,$A767,$A767),_xll.BDH(config!$G$5,Q$1,$A767,$A767))))</f>
        <v/>
      </c>
      <c r="R767" s="8" t="str">
        <f>IF($A767="","",IF(ISNUMBER(FIND("IMPVOL",R$1)),_xll.BDH(config!$G$4,R$1,WORKDAY($A767,-1,config_Holiday_Calendar_US),WORKDAY($A767,-1,config_Holiday_Calendar_US)),IF(ISNUMBER(_xll.BDH(config!$G$4,R$1,$A767,$A767)),_xll.BDH(config!$G$4,R$1,$A767,$A767),_xll.BDH(config!$G$5,R$1,$A767,$A767))))</f>
        <v/>
      </c>
      <c r="S767" s="8" t="str">
        <f>IF($A767="","",IF(ISNUMBER(FIND("IMPVOL",S$1)),_xll.BDH(config!$G$4,S$1,WORKDAY($A767,-1,config_Holiday_Calendar_US),WORKDAY($A767,-1,config_Holiday_Calendar_US)),IF(ISNUMBER(_xll.BDH(config!$G$4,S$1,$A767,$A767)),_xll.BDH(config!$G$4,S$1,$A767,$A767),_xll.BDH(config!$G$5,S$1,$A767,$A767))))</f>
        <v/>
      </c>
      <c r="T767" s="8" t="str">
        <f>IF($A767="","",IF(ISNUMBER(FIND("IMPVOL",T$1)),_xll.BDH(config!$G$4,T$1,WORKDAY($A767,-1,config_Holiday_Calendar_US),WORKDAY($A767,-1,config_Holiday_Calendar_US)),IF(ISNUMBER(_xll.BDH(config!$G$4,T$1,$A767,$A767)),_xll.BDH(config!$G$4,T$1,$A767,$A767),_xll.BDH(config!$G$5,T$1,$A767,$A767))))</f>
        <v/>
      </c>
      <c r="U767" s="8" t="str">
        <f>IF($A767="","",IF(ISNUMBER(FIND("IMPVOL",U$1)),_xll.BDH(config!$G$4,U$1,WORKDAY($A767,-1,config_Holiday_Calendar_US),WORKDAY($A767,-1,config_Holiday_Calendar_US)),IF(ISNUMBER(_xll.BDH(config!$G$4,U$1,$A767,$A767)),_xll.BDH(config!$G$4,U$1,$A767,$A767),_xll.BDH(config!$G$5,U$1,$A767,$A767))))</f>
        <v/>
      </c>
      <c r="V767" s="8" t="str">
        <f>IF($A767="","",IF(ISNUMBER(FIND("IMPVOL",V$1)),_xll.BDH(config!$G$4,V$1,WORKDAY($A767,-1,config_Holiday_Calendar_US),WORKDAY($A767,-1,config_Holiday_Calendar_US)),IF(ISNUMBER(_xll.BDH(config!$G$4,V$1,$A767,$A767)),_xll.BDH(config!$G$4,V$1,$A767,$A767),_xll.BDH(config!$G$5,V$1,$A767,$A767))))</f>
        <v/>
      </c>
      <c r="W767" s="8" t="str">
        <f>IF($A767="","",IF(ISNUMBER(FIND("IMPVOL",W$1)),_xll.BDH(config!$G$4,W$1,WORKDAY($A767,-1,config_Holiday_Calendar_US),WORKDAY($A767,-1,config_Holiday_Calendar_US)),IF(ISNUMBER(_xll.BDH(config!$G$4,W$1,$A767,$A767)),_xll.BDH(config!$G$4,W$1,$A767,$A767),_xll.BDH(config!$G$5,W$1,$A767,$A767))))</f>
        <v/>
      </c>
    </row>
    <row r="768" spans="1:23" x14ac:dyDescent="0.2">
      <c r="A768" s="9" t="str">
        <f>IF(A767="","",IF(WORKDAY(A767,-1,config_Holiday_Calendar_US)&lt;config!$I$10,"",WORKDAY(A767,-1,config_Holiday_Calendar_US)))</f>
        <v/>
      </c>
      <c r="B768" s="8" t="str">
        <f t="shared" si="11"/>
        <v/>
      </c>
      <c r="C768" s="8" t="str">
        <f>IF(A768="","",_xll.BDH(config!$H$4,C$1,$A768,$A768))</f>
        <v/>
      </c>
      <c r="D768" s="8" t="str">
        <f>IF($A768="","",_xll.BDH(config!$H$4,D$1,$A768,$A768))</f>
        <v/>
      </c>
      <c r="E768" s="8" t="str">
        <f>IF($A768="","",IF(ISNUMBER(FIND("IMPVOL",E$1)),_xll.BDH(config!$G$4,E$1,WORKDAY($A768,-1,config_Holiday_Calendar_US),WORKDAY($A768,-1,config_Holiday_Calendar_US)),IF(ISNUMBER(_xll.BDH(config!$G$4,E$1,$A768,$A768)),_xll.BDH(config!$G$4,E$1,$A768,$A768),_xll.BDH(config!$G$5,E$1,$A768,$A768))))</f>
        <v/>
      </c>
      <c r="F768" s="8" t="str">
        <f>IF($A768="","",IF(ISNUMBER(FIND("IMPVOL",F$1)),_xll.BDH(config!$G$4,F$1,WORKDAY($A768,-1,config_Holiday_Calendar_US),WORKDAY($A768,-1,config_Holiday_Calendar_US)),IF(ISNUMBER(_xll.BDH(config!$G$4,F$1,$A768,$A768)),_xll.BDH(config!$G$4,F$1,$A768,$A768),_xll.BDH(config!$G$5,F$1,$A768,$A768))))</f>
        <v/>
      </c>
      <c r="G768" s="8" t="str">
        <f>IF($A768="","",IF(ISNUMBER(FIND("IMPVOL",G$1)),_xll.BDH(config!$G$4,G$1,WORKDAY($A768,-1,config_Holiday_Calendar_US),WORKDAY($A768,-1,config_Holiday_Calendar_US)),IF(ISNUMBER(_xll.BDH(config!$G$4,G$1,$A768,$A768)),_xll.BDH(config!$G$4,G$1,$A768,$A768),_xll.BDH(config!$G$5,G$1,$A768,$A768))))</f>
        <v/>
      </c>
      <c r="H768" s="8" t="str">
        <f>IF($A768="","",IF(ISNUMBER(FIND("IMPVOL",H$1)),_xll.BDH(config!$G$4,H$1,WORKDAY($A768,-1,config_Holiday_Calendar_US),WORKDAY($A768,-1,config_Holiday_Calendar_US)),IF(ISNUMBER(_xll.BDH(config!$G$4,H$1,$A768,$A768)),_xll.BDH(config!$G$4,H$1,$A768,$A768),_xll.BDH(config!$G$5,H$1,$A768,$A768))))</f>
        <v/>
      </c>
      <c r="I768" s="8" t="str">
        <f>IF($A768="","",IF(ISNUMBER(FIND("IMPVOL",I$1)),_xll.BDH(config!$G$4,I$1,WORKDAY($A768,-1,config_Holiday_Calendar_US),WORKDAY($A768,-1,config_Holiday_Calendar_US)),IF(ISNUMBER(_xll.BDH(config!$G$4,I$1,$A768,$A768)),_xll.BDH(config!$G$4,I$1,$A768,$A768),_xll.BDH(config!$G$5,I$1,$A768,$A768))))</f>
        <v/>
      </c>
      <c r="J768" s="8" t="str">
        <f>IF($A768="","",IF(ISNUMBER(FIND("IMPVOL",J$1)),_xll.BDH(config!$G$4,J$1,WORKDAY($A768,-1,config_Holiday_Calendar_US),WORKDAY($A768,-1,config_Holiday_Calendar_US)),IF(ISNUMBER(_xll.BDH(config!$G$4,J$1,$A768,$A768)),_xll.BDH(config!$G$4,J$1,$A768,$A768),_xll.BDH(config!$G$5,J$1,$A768,$A768))))</f>
        <v/>
      </c>
      <c r="K768" s="8" t="str">
        <f>IF($A768="","",IF(ISNUMBER(FIND("IMPVOL",K$1)),_xll.BDH(config!$G$4,K$1,WORKDAY($A768,-1,config_Holiday_Calendar_US),WORKDAY($A768,-1,config_Holiday_Calendar_US)),IF(ISNUMBER(_xll.BDH(config!$G$4,K$1,$A768,$A768)),_xll.BDH(config!$G$4,K$1,$A768,$A768),_xll.BDH(config!$G$5,K$1,$A768,$A768))))</f>
        <v/>
      </c>
      <c r="L768" s="8" t="str">
        <f>IF($A768="","",IF(ISNUMBER(FIND("IMPVOL",L$1)),_xll.BDH(config!$G$4,L$1,WORKDAY($A768,-1,config_Holiday_Calendar_US),WORKDAY($A768,-1,config_Holiday_Calendar_US)),IF(ISNUMBER(_xll.BDH(config!$G$4,L$1,$A768,$A768)),_xll.BDH(config!$G$4,L$1,$A768,$A768),_xll.BDH(config!$G$5,L$1,$A768,$A768))))</f>
        <v/>
      </c>
      <c r="M768" s="8" t="str">
        <f>IF($A768="","",IF(ISNUMBER(FIND("IMPVOL",M$1)),_xll.BDH(config!$G$4,M$1,WORKDAY($A768,-1,config_Holiday_Calendar_US),WORKDAY($A768,-1,config_Holiday_Calendar_US)),IF(ISNUMBER(_xll.BDH(config!$G$4,M$1,$A768,$A768)),_xll.BDH(config!$G$4,M$1,$A768,$A768),_xll.BDH(config!$G$5,M$1,$A768,$A768))))</f>
        <v/>
      </c>
      <c r="N768" s="8" t="str">
        <f>IF($A768="","",IF(ISNUMBER(FIND("IMPVOL",N$1)),_xll.BDH(config!$G$4,N$1,WORKDAY($A768,-1,config_Holiday_Calendar_US),WORKDAY($A768,-1,config_Holiday_Calendar_US)),IF(ISNUMBER(_xll.BDH(config!$G$4,N$1,$A768,$A768)),_xll.BDH(config!$G$4,N$1,$A768,$A768),_xll.BDH(config!$G$5,N$1,$A768,$A768))))</f>
        <v/>
      </c>
      <c r="O768" s="8" t="str">
        <f>IF($A768="","",IF(ISNUMBER(FIND("IMPVOL",O$1)),_xll.BDH(config!$G$4,O$1,WORKDAY($A768,-1,config_Holiday_Calendar_US),WORKDAY($A768,-1,config_Holiday_Calendar_US)),IF(ISNUMBER(_xll.BDH(config!$G$4,O$1,$A768,$A768)),_xll.BDH(config!$G$4,O$1,$A768,$A768),_xll.BDH(config!$G$5,O$1,$A768,$A768))))</f>
        <v/>
      </c>
      <c r="P768" s="8" t="str">
        <f>IF($A768="","",IF(ISNUMBER(FIND("IMPVOL",P$1)),_xll.BDH(config!$G$4,P$1,WORKDAY($A768,-1,config_Holiday_Calendar_US),WORKDAY($A768,-1,config_Holiday_Calendar_US)),IF(ISNUMBER(_xll.BDH(config!$G$4,P$1,$A768,$A768)),_xll.BDH(config!$G$4,P$1,$A768,$A768),_xll.BDH(config!$G$5,P$1,$A768,$A768))))</f>
        <v/>
      </c>
      <c r="Q768" s="8" t="str">
        <f>IF($A768="","",IF(ISNUMBER(FIND("IMPVOL",Q$1)),_xll.BDH(config!$G$4,Q$1,WORKDAY($A768,-1,config_Holiday_Calendar_US),WORKDAY($A768,-1,config_Holiday_Calendar_US)),IF(ISNUMBER(_xll.BDH(config!$G$4,Q$1,$A768,$A768)),_xll.BDH(config!$G$4,Q$1,$A768,$A768),_xll.BDH(config!$G$5,Q$1,$A768,$A768))))</f>
        <v/>
      </c>
      <c r="R768" s="8" t="str">
        <f>IF($A768="","",IF(ISNUMBER(FIND("IMPVOL",R$1)),_xll.BDH(config!$G$4,R$1,WORKDAY($A768,-1,config_Holiday_Calendar_US),WORKDAY($A768,-1,config_Holiday_Calendar_US)),IF(ISNUMBER(_xll.BDH(config!$G$4,R$1,$A768,$A768)),_xll.BDH(config!$G$4,R$1,$A768,$A768),_xll.BDH(config!$G$5,R$1,$A768,$A768))))</f>
        <v/>
      </c>
      <c r="S768" s="8" t="str">
        <f>IF($A768="","",IF(ISNUMBER(FIND("IMPVOL",S$1)),_xll.BDH(config!$G$4,S$1,WORKDAY($A768,-1,config_Holiday_Calendar_US),WORKDAY($A768,-1,config_Holiday_Calendar_US)),IF(ISNUMBER(_xll.BDH(config!$G$4,S$1,$A768,$A768)),_xll.BDH(config!$G$4,S$1,$A768,$A768),_xll.BDH(config!$G$5,S$1,$A768,$A768))))</f>
        <v/>
      </c>
      <c r="T768" s="8" t="str">
        <f>IF($A768="","",IF(ISNUMBER(FIND("IMPVOL",T$1)),_xll.BDH(config!$G$4,T$1,WORKDAY($A768,-1,config_Holiday_Calendar_US),WORKDAY($A768,-1,config_Holiday_Calendar_US)),IF(ISNUMBER(_xll.BDH(config!$G$4,T$1,$A768,$A768)),_xll.BDH(config!$G$4,T$1,$A768,$A768),_xll.BDH(config!$G$5,T$1,$A768,$A768))))</f>
        <v/>
      </c>
      <c r="U768" s="8" t="str">
        <f>IF($A768="","",IF(ISNUMBER(FIND("IMPVOL",U$1)),_xll.BDH(config!$G$4,U$1,WORKDAY($A768,-1,config_Holiday_Calendar_US),WORKDAY($A768,-1,config_Holiday_Calendar_US)),IF(ISNUMBER(_xll.BDH(config!$G$4,U$1,$A768,$A768)),_xll.BDH(config!$G$4,U$1,$A768,$A768),_xll.BDH(config!$G$5,U$1,$A768,$A768))))</f>
        <v/>
      </c>
      <c r="V768" s="8" t="str">
        <f>IF($A768="","",IF(ISNUMBER(FIND("IMPVOL",V$1)),_xll.BDH(config!$G$4,V$1,WORKDAY($A768,-1,config_Holiday_Calendar_US),WORKDAY($A768,-1,config_Holiday_Calendar_US)),IF(ISNUMBER(_xll.BDH(config!$G$4,V$1,$A768,$A768)),_xll.BDH(config!$G$4,V$1,$A768,$A768),_xll.BDH(config!$G$5,V$1,$A768,$A768))))</f>
        <v/>
      </c>
      <c r="W768" s="8" t="str">
        <f>IF($A768="","",IF(ISNUMBER(FIND("IMPVOL",W$1)),_xll.BDH(config!$G$4,W$1,WORKDAY($A768,-1,config_Holiday_Calendar_US),WORKDAY($A768,-1,config_Holiday_Calendar_US)),IF(ISNUMBER(_xll.BDH(config!$G$4,W$1,$A768,$A768)),_xll.BDH(config!$G$4,W$1,$A768,$A768),_xll.BDH(config!$G$5,W$1,$A768,$A768))))</f>
        <v/>
      </c>
    </row>
    <row r="769" spans="1:23" x14ac:dyDescent="0.2">
      <c r="A769" s="9" t="str">
        <f>IF(A768="","",IF(WORKDAY(A768,-1,config_Holiday_Calendar_US)&lt;config!$I$10,"",WORKDAY(A768,-1,config_Holiday_Calendar_US)))</f>
        <v/>
      </c>
      <c r="B769" s="8" t="str">
        <f t="shared" si="11"/>
        <v/>
      </c>
      <c r="C769" s="8" t="str">
        <f>IF(A769="","",_xll.BDH(config!$H$4,C$1,$A769,$A769))</f>
        <v/>
      </c>
      <c r="D769" s="8" t="str">
        <f>IF($A769="","",_xll.BDH(config!$H$4,D$1,$A769,$A769))</f>
        <v/>
      </c>
      <c r="E769" s="8" t="str">
        <f>IF($A769="","",IF(ISNUMBER(FIND("IMPVOL",E$1)),_xll.BDH(config!$G$4,E$1,WORKDAY($A769,-1,config_Holiday_Calendar_US),WORKDAY($A769,-1,config_Holiday_Calendar_US)),IF(ISNUMBER(_xll.BDH(config!$G$4,E$1,$A769,$A769)),_xll.BDH(config!$G$4,E$1,$A769,$A769),_xll.BDH(config!$G$5,E$1,$A769,$A769))))</f>
        <v/>
      </c>
      <c r="F769" s="8" t="str">
        <f>IF($A769="","",IF(ISNUMBER(FIND("IMPVOL",F$1)),_xll.BDH(config!$G$4,F$1,WORKDAY($A769,-1,config_Holiday_Calendar_US),WORKDAY($A769,-1,config_Holiday_Calendar_US)),IF(ISNUMBER(_xll.BDH(config!$G$4,F$1,$A769,$A769)),_xll.BDH(config!$G$4,F$1,$A769,$A769),_xll.BDH(config!$G$5,F$1,$A769,$A769))))</f>
        <v/>
      </c>
      <c r="G769" s="8" t="str">
        <f>IF($A769="","",IF(ISNUMBER(FIND("IMPVOL",G$1)),_xll.BDH(config!$G$4,G$1,WORKDAY($A769,-1,config_Holiday_Calendar_US),WORKDAY($A769,-1,config_Holiday_Calendar_US)),IF(ISNUMBER(_xll.BDH(config!$G$4,G$1,$A769,$A769)),_xll.BDH(config!$G$4,G$1,$A769,$A769),_xll.BDH(config!$G$5,G$1,$A769,$A769))))</f>
        <v/>
      </c>
      <c r="H769" s="8" t="str">
        <f>IF($A769="","",IF(ISNUMBER(FIND("IMPVOL",H$1)),_xll.BDH(config!$G$4,H$1,WORKDAY($A769,-1,config_Holiday_Calendar_US),WORKDAY($A769,-1,config_Holiday_Calendar_US)),IF(ISNUMBER(_xll.BDH(config!$G$4,H$1,$A769,$A769)),_xll.BDH(config!$G$4,H$1,$A769,$A769),_xll.BDH(config!$G$5,H$1,$A769,$A769))))</f>
        <v/>
      </c>
      <c r="I769" s="8" t="str">
        <f>IF($A769="","",IF(ISNUMBER(FIND("IMPVOL",I$1)),_xll.BDH(config!$G$4,I$1,WORKDAY($A769,-1,config_Holiday_Calendar_US),WORKDAY($A769,-1,config_Holiday_Calendar_US)),IF(ISNUMBER(_xll.BDH(config!$G$4,I$1,$A769,$A769)),_xll.BDH(config!$G$4,I$1,$A769,$A769),_xll.BDH(config!$G$5,I$1,$A769,$A769))))</f>
        <v/>
      </c>
      <c r="J769" s="8" t="str">
        <f>IF($A769="","",IF(ISNUMBER(FIND("IMPVOL",J$1)),_xll.BDH(config!$G$4,J$1,WORKDAY($A769,-1,config_Holiday_Calendar_US),WORKDAY($A769,-1,config_Holiday_Calendar_US)),IF(ISNUMBER(_xll.BDH(config!$G$4,J$1,$A769,$A769)),_xll.BDH(config!$G$4,J$1,$A769,$A769),_xll.BDH(config!$G$5,J$1,$A769,$A769))))</f>
        <v/>
      </c>
      <c r="K769" s="8" t="str">
        <f>IF($A769="","",IF(ISNUMBER(FIND("IMPVOL",K$1)),_xll.BDH(config!$G$4,K$1,WORKDAY($A769,-1,config_Holiday_Calendar_US),WORKDAY($A769,-1,config_Holiday_Calendar_US)),IF(ISNUMBER(_xll.BDH(config!$G$4,K$1,$A769,$A769)),_xll.BDH(config!$G$4,K$1,$A769,$A769),_xll.BDH(config!$G$5,K$1,$A769,$A769))))</f>
        <v/>
      </c>
      <c r="L769" s="8" t="str">
        <f>IF($A769="","",IF(ISNUMBER(FIND("IMPVOL",L$1)),_xll.BDH(config!$G$4,L$1,WORKDAY($A769,-1,config_Holiday_Calendar_US),WORKDAY($A769,-1,config_Holiday_Calendar_US)),IF(ISNUMBER(_xll.BDH(config!$G$4,L$1,$A769,$A769)),_xll.BDH(config!$G$4,L$1,$A769,$A769),_xll.BDH(config!$G$5,L$1,$A769,$A769))))</f>
        <v/>
      </c>
      <c r="M769" s="8" t="str">
        <f>IF($A769="","",IF(ISNUMBER(FIND("IMPVOL",M$1)),_xll.BDH(config!$G$4,M$1,WORKDAY($A769,-1,config_Holiday_Calendar_US),WORKDAY($A769,-1,config_Holiday_Calendar_US)),IF(ISNUMBER(_xll.BDH(config!$G$4,M$1,$A769,$A769)),_xll.BDH(config!$G$4,M$1,$A769,$A769),_xll.BDH(config!$G$5,M$1,$A769,$A769))))</f>
        <v/>
      </c>
      <c r="N769" s="8" t="str">
        <f>IF($A769="","",IF(ISNUMBER(FIND("IMPVOL",N$1)),_xll.BDH(config!$G$4,N$1,WORKDAY($A769,-1,config_Holiday_Calendar_US),WORKDAY($A769,-1,config_Holiday_Calendar_US)),IF(ISNUMBER(_xll.BDH(config!$G$4,N$1,$A769,$A769)),_xll.BDH(config!$G$4,N$1,$A769,$A769),_xll.BDH(config!$G$5,N$1,$A769,$A769))))</f>
        <v/>
      </c>
      <c r="O769" s="8" t="str">
        <f>IF($A769="","",IF(ISNUMBER(FIND("IMPVOL",O$1)),_xll.BDH(config!$G$4,O$1,WORKDAY($A769,-1,config_Holiday_Calendar_US),WORKDAY($A769,-1,config_Holiday_Calendar_US)),IF(ISNUMBER(_xll.BDH(config!$G$4,O$1,$A769,$A769)),_xll.BDH(config!$G$4,O$1,$A769,$A769),_xll.BDH(config!$G$5,O$1,$A769,$A769))))</f>
        <v/>
      </c>
      <c r="P769" s="8" t="str">
        <f>IF($A769="","",IF(ISNUMBER(FIND("IMPVOL",P$1)),_xll.BDH(config!$G$4,P$1,WORKDAY($A769,-1,config_Holiday_Calendar_US),WORKDAY($A769,-1,config_Holiday_Calendar_US)),IF(ISNUMBER(_xll.BDH(config!$G$4,P$1,$A769,$A769)),_xll.BDH(config!$G$4,P$1,$A769,$A769),_xll.BDH(config!$G$5,P$1,$A769,$A769))))</f>
        <v/>
      </c>
      <c r="Q769" s="8" t="str">
        <f>IF($A769="","",IF(ISNUMBER(FIND("IMPVOL",Q$1)),_xll.BDH(config!$G$4,Q$1,WORKDAY($A769,-1,config_Holiday_Calendar_US),WORKDAY($A769,-1,config_Holiday_Calendar_US)),IF(ISNUMBER(_xll.BDH(config!$G$4,Q$1,$A769,$A769)),_xll.BDH(config!$G$4,Q$1,$A769,$A769),_xll.BDH(config!$G$5,Q$1,$A769,$A769))))</f>
        <v/>
      </c>
      <c r="R769" s="8" t="str">
        <f>IF($A769="","",IF(ISNUMBER(FIND("IMPVOL",R$1)),_xll.BDH(config!$G$4,R$1,WORKDAY($A769,-1,config_Holiday_Calendar_US),WORKDAY($A769,-1,config_Holiday_Calendar_US)),IF(ISNUMBER(_xll.BDH(config!$G$4,R$1,$A769,$A769)),_xll.BDH(config!$G$4,R$1,$A769,$A769),_xll.BDH(config!$G$5,R$1,$A769,$A769))))</f>
        <v/>
      </c>
      <c r="S769" s="8" t="str">
        <f>IF($A769="","",IF(ISNUMBER(FIND("IMPVOL",S$1)),_xll.BDH(config!$G$4,S$1,WORKDAY($A769,-1,config_Holiday_Calendar_US),WORKDAY($A769,-1,config_Holiday_Calendar_US)),IF(ISNUMBER(_xll.BDH(config!$G$4,S$1,$A769,$A769)),_xll.BDH(config!$G$4,S$1,$A769,$A769),_xll.BDH(config!$G$5,S$1,$A769,$A769))))</f>
        <v/>
      </c>
      <c r="T769" s="8" t="str">
        <f>IF($A769="","",IF(ISNUMBER(FIND("IMPVOL",T$1)),_xll.BDH(config!$G$4,T$1,WORKDAY($A769,-1,config_Holiday_Calendar_US),WORKDAY($A769,-1,config_Holiday_Calendar_US)),IF(ISNUMBER(_xll.BDH(config!$G$4,T$1,$A769,$A769)),_xll.BDH(config!$G$4,T$1,$A769,$A769),_xll.BDH(config!$G$5,T$1,$A769,$A769))))</f>
        <v/>
      </c>
      <c r="U769" s="8" t="str">
        <f>IF($A769="","",IF(ISNUMBER(FIND("IMPVOL",U$1)),_xll.BDH(config!$G$4,U$1,WORKDAY($A769,-1,config_Holiday_Calendar_US),WORKDAY($A769,-1,config_Holiday_Calendar_US)),IF(ISNUMBER(_xll.BDH(config!$G$4,U$1,$A769,$A769)),_xll.BDH(config!$G$4,U$1,$A769,$A769),_xll.BDH(config!$G$5,U$1,$A769,$A769))))</f>
        <v/>
      </c>
      <c r="V769" s="8" t="str">
        <f>IF($A769="","",IF(ISNUMBER(FIND("IMPVOL",V$1)),_xll.BDH(config!$G$4,V$1,WORKDAY($A769,-1,config_Holiday_Calendar_US),WORKDAY($A769,-1,config_Holiday_Calendar_US)),IF(ISNUMBER(_xll.BDH(config!$G$4,V$1,$A769,$A769)),_xll.BDH(config!$G$4,V$1,$A769,$A769),_xll.BDH(config!$G$5,V$1,$A769,$A769))))</f>
        <v/>
      </c>
      <c r="W769" s="8" t="str">
        <f>IF($A769="","",IF(ISNUMBER(FIND("IMPVOL",W$1)),_xll.BDH(config!$G$4,W$1,WORKDAY($A769,-1,config_Holiday_Calendar_US),WORKDAY($A769,-1,config_Holiday_Calendar_US)),IF(ISNUMBER(_xll.BDH(config!$G$4,W$1,$A769,$A769)),_xll.BDH(config!$G$4,W$1,$A769,$A769),_xll.BDH(config!$G$5,W$1,$A769,$A769))))</f>
        <v/>
      </c>
    </row>
    <row r="770" spans="1:23" x14ac:dyDescent="0.2">
      <c r="A770" s="9" t="str">
        <f>IF(A769="","",IF(WORKDAY(A769,-1,config_Holiday_Calendar_US)&lt;config!$I$10,"",WORKDAY(A769,-1,config_Holiday_Calendar_US)))</f>
        <v/>
      </c>
      <c r="B770" s="8" t="str">
        <f t="shared" si="11"/>
        <v/>
      </c>
      <c r="C770" s="8" t="str">
        <f>IF(A770="","",_xll.BDH(config!$H$4,C$1,$A770,$A770))</f>
        <v/>
      </c>
      <c r="D770" s="8" t="str">
        <f>IF($A770="","",_xll.BDH(config!$H$4,D$1,$A770,$A770))</f>
        <v/>
      </c>
      <c r="E770" s="8" t="str">
        <f>IF($A770="","",IF(ISNUMBER(FIND("IMPVOL",E$1)),_xll.BDH(config!$G$4,E$1,WORKDAY($A770,-1,config_Holiday_Calendar_US),WORKDAY($A770,-1,config_Holiday_Calendar_US)),IF(ISNUMBER(_xll.BDH(config!$G$4,E$1,$A770,$A770)),_xll.BDH(config!$G$4,E$1,$A770,$A770),_xll.BDH(config!$G$5,E$1,$A770,$A770))))</f>
        <v/>
      </c>
      <c r="F770" s="8" t="str">
        <f>IF($A770="","",IF(ISNUMBER(FIND("IMPVOL",F$1)),_xll.BDH(config!$G$4,F$1,WORKDAY($A770,-1,config_Holiday_Calendar_US),WORKDAY($A770,-1,config_Holiday_Calendar_US)),IF(ISNUMBER(_xll.BDH(config!$G$4,F$1,$A770,$A770)),_xll.BDH(config!$G$4,F$1,$A770,$A770),_xll.BDH(config!$G$5,F$1,$A770,$A770))))</f>
        <v/>
      </c>
      <c r="G770" s="8" t="str">
        <f>IF($A770="","",IF(ISNUMBER(FIND("IMPVOL",G$1)),_xll.BDH(config!$G$4,G$1,WORKDAY($A770,-1,config_Holiday_Calendar_US),WORKDAY($A770,-1,config_Holiday_Calendar_US)),IF(ISNUMBER(_xll.BDH(config!$G$4,G$1,$A770,$A770)),_xll.BDH(config!$G$4,G$1,$A770,$A770),_xll.BDH(config!$G$5,G$1,$A770,$A770))))</f>
        <v/>
      </c>
      <c r="H770" s="8" t="str">
        <f>IF($A770="","",IF(ISNUMBER(FIND("IMPVOL",H$1)),_xll.BDH(config!$G$4,H$1,WORKDAY($A770,-1,config_Holiday_Calendar_US),WORKDAY($A770,-1,config_Holiday_Calendar_US)),IF(ISNUMBER(_xll.BDH(config!$G$4,H$1,$A770,$A770)),_xll.BDH(config!$G$4,H$1,$A770,$A770),_xll.BDH(config!$G$5,H$1,$A770,$A770))))</f>
        <v/>
      </c>
      <c r="I770" s="8" t="str">
        <f>IF($A770="","",IF(ISNUMBER(FIND("IMPVOL",I$1)),_xll.BDH(config!$G$4,I$1,WORKDAY($A770,-1,config_Holiday_Calendar_US),WORKDAY($A770,-1,config_Holiday_Calendar_US)),IF(ISNUMBER(_xll.BDH(config!$G$4,I$1,$A770,$A770)),_xll.BDH(config!$G$4,I$1,$A770,$A770),_xll.BDH(config!$G$5,I$1,$A770,$A770))))</f>
        <v/>
      </c>
      <c r="J770" s="8" t="str">
        <f>IF($A770="","",IF(ISNUMBER(FIND("IMPVOL",J$1)),_xll.BDH(config!$G$4,J$1,WORKDAY($A770,-1,config_Holiday_Calendar_US),WORKDAY($A770,-1,config_Holiday_Calendar_US)),IF(ISNUMBER(_xll.BDH(config!$G$4,J$1,$A770,$A770)),_xll.BDH(config!$G$4,J$1,$A770,$A770),_xll.BDH(config!$G$5,J$1,$A770,$A770))))</f>
        <v/>
      </c>
      <c r="K770" s="8" t="str">
        <f>IF($A770="","",IF(ISNUMBER(FIND("IMPVOL",K$1)),_xll.BDH(config!$G$4,K$1,WORKDAY($A770,-1,config_Holiday_Calendar_US),WORKDAY($A770,-1,config_Holiday_Calendar_US)),IF(ISNUMBER(_xll.BDH(config!$G$4,K$1,$A770,$A770)),_xll.BDH(config!$G$4,K$1,$A770,$A770),_xll.BDH(config!$G$5,K$1,$A770,$A770))))</f>
        <v/>
      </c>
      <c r="L770" s="8" t="str">
        <f>IF($A770="","",IF(ISNUMBER(FIND("IMPVOL",L$1)),_xll.BDH(config!$G$4,L$1,WORKDAY($A770,-1,config_Holiday_Calendar_US),WORKDAY($A770,-1,config_Holiday_Calendar_US)),IF(ISNUMBER(_xll.BDH(config!$G$4,L$1,$A770,$A770)),_xll.BDH(config!$G$4,L$1,$A770,$A770),_xll.BDH(config!$G$5,L$1,$A770,$A770))))</f>
        <v/>
      </c>
      <c r="M770" s="8" t="str">
        <f>IF($A770="","",IF(ISNUMBER(FIND("IMPVOL",M$1)),_xll.BDH(config!$G$4,M$1,WORKDAY($A770,-1,config_Holiday_Calendar_US),WORKDAY($A770,-1,config_Holiday_Calendar_US)),IF(ISNUMBER(_xll.BDH(config!$G$4,M$1,$A770,$A770)),_xll.BDH(config!$G$4,M$1,$A770,$A770),_xll.BDH(config!$G$5,M$1,$A770,$A770))))</f>
        <v/>
      </c>
      <c r="N770" s="8" t="str">
        <f>IF($A770="","",IF(ISNUMBER(FIND("IMPVOL",N$1)),_xll.BDH(config!$G$4,N$1,WORKDAY($A770,-1,config_Holiday_Calendar_US),WORKDAY($A770,-1,config_Holiday_Calendar_US)),IF(ISNUMBER(_xll.BDH(config!$G$4,N$1,$A770,$A770)),_xll.BDH(config!$G$4,N$1,$A770,$A770),_xll.BDH(config!$G$5,N$1,$A770,$A770))))</f>
        <v/>
      </c>
      <c r="O770" s="8" t="str">
        <f>IF($A770="","",IF(ISNUMBER(FIND("IMPVOL",O$1)),_xll.BDH(config!$G$4,O$1,WORKDAY($A770,-1,config_Holiday_Calendar_US),WORKDAY($A770,-1,config_Holiday_Calendar_US)),IF(ISNUMBER(_xll.BDH(config!$G$4,O$1,$A770,$A770)),_xll.BDH(config!$G$4,O$1,$A770,$A770),_xll.BDH(config!$G$5,O$1,$A770,$A770))))</f>
        <v/>
      </c>
      <c r="P770" s="8" t="str">
        <f>IF($A770="","",IF(ISNUMBER(FIND("IMPVOL",P$1)),_xll.BDH(config!$G$4,P$1,WORKDAY($A770,-1,config_Holiday_Calendar_US),WORKDAY($A770,-1,config_Holiday_Calendar_US)),IF(ISNUMBER(_xll.BDH(config!$G$4,P$1,$A770,$A770)),_xll.BDH(config!$G$4,P$1,$A770,$A770),_xll.BDH(config!$G$5,P$1,$A770,$A770))))</f>
        <v/>
      </c>
      <c r="Q770" s="8" t="str">
        <f>IF($A770="","",IF(ISNUMBER(FIND("IMPVOL",Q$1)),_xll.BDH(config!$G$4,Q$1,WORKDAY($A770,-1,config_Holiday_Calendar_US),WORKDAY($A770,-1,config_Holiday_Calendar_US)),IF(ISNUMBER(_xll.BDH(config!$G$4,Q$1,$A770,$A770)),_xll.BDH(config!$G$4,Q$1,$A770,$A770),_xll.BDH(config!$G$5,Q$1,$A770,$A770))))</f>
        <v/>
      </c>
      <c r="R770" s="8" t="str">
        <f>IF($A770="","",IF(ISNUMBER(FIND("IMPVOL",R$1)),_xll.BDH(config!$G$4,R$1,WORKDAY($A770,-1,config_Holiday_Calendar_US),WORKDAY($A770,-1,config_Holiday_Calendar_US)),IF(ISNUMBER(_xll.BDH(config!$G$4,R$1,$A770,$A770)),_xll.BDH(config!$G$4,R$1,$A770,$A770),_xll.BDH(config!$G$5,R$1,$A770,$A770))))</f>
        <v/>
      </c>
      <c r="S770" s="8" t="str">
        <f>IF($A770="","",IF(ISNUMBER(FIND("IMPVOL",S$1)),_xll.BDH(config!$G$4,S$1,WORKDAY($A770,-1,config_Holiday_Calendar_US),WORKDAY($A770,-1,config_Holiday_Calendar_US)),IF(ISNUMBER(_xll.BDH(config!$G$4,S$1,$A770,$A770)),_xll.BDH(config!$G$4,S$1,$A770,$A770),_xll.BDH(config!$G$5,S$1,$A770,$A770))))</f>
        <v/>
      </c>
      <c r="T770" s="8" t="str">
        <f>IF($A770="","",IF(ISNUMBER(FIND("IMPVOL",T$1)),_xll.BDH(config!$G$4,T$1,WORKDAY($A770,-1,config_Holiday_Calendar_US),WORKDAY($A770,-1,config_Holiday_Calendar_US)),IF(ISNUMBER(_xll.BDH(config!$G$4,T$1,$A770,$A770)),_xll.BDH(config!$G$4,T$1,$A770,$A770),_xll.BDH(config!$G$5,T$1,$A770,$A770))))</f>
        <v/>
      </c>
      <c r="U770" s="8" t="str">
        <f>IF($A770="","",IF(ISNUMBER(FIND("IMPVOL",U$1)),_xll.BDH(config!$G$4,U$1,WORKDAY($A770,-1,config_Holiday_Calendar_US),WORKDAY($A770,-1,config_Holiday_Calendar_US)),IF(ISNUMBER(_xll.BDH(config!$G$4,U$1,$A770,$A770)),_xll.BDH(config!$G$4,U$1,$A770,$A770),_xll.BDH(config!$G$5,U$1,$A770,$A770))))</f>
        <v/>
      </c>
      <c r="V770" s="8" t="str">
        <f>IF($A770="","",IF(ISNUMBER(FIND("IMPVOL",V$1)),_xll.BDH(config!$G$4,V$1,WORKDAY($A770,-1,config_Holiday_Calendar_US),WORKDAY($A770,-1,config_Holiday_Calendar_US)),IF(ISNUMBER(_xll.BDH(config!$G$4,V$1,$A770,$A770)),_xll.BDH(config!$G$4,V$1,$A770,$A770),_xll.BDH(config!$G$5,V$1,$A770,$A770))))</f>
        <v/>
      </c>
      <c r="W770" s="8" t="str">
        <f>IF($A770="","",IF(ISNUMBER(FIND("IMPVOL",W$1)),_xll.BDH(config!$G$4,W$1,WORKDAY($A770,-1,config_Holiday_Calendar_US),WORKDAY($A770,-1,config_Holiday_Calendar_US)),IF(ISNUMBER(_xll.BDH(config!$G$4,W$1,$A770,$A770)),_xll.BDH(config!$G$4,W$1,$A770,$A770),_xll.BDH(config!$G$5,W$1,$A770,$A770))))</f>
        <v/>
      </c>
    </row>
    <row r="771" spans="1:23" x14ac:dyDescent="0.2">
      <c r="A771" s="9" t="str">
        <f>IF(A770="","",IF(WORKDAY(A770,-1,config_Holiday_Calendar_US)&lt;config!$I$10,"",WORKDAY(A770,-1,config_Holiday_Calendar_US)))</f>
        <v/>
      </c>
      <c r="B771" s="8" t="str">
        <f t="shared" ref="B771:B834" si="12">IF(A771="","",IF(SIGN(C771)=1,1,0))</f>
        <v/>
      </c>
      <c r="C771" s="8" t="str">
        <f>IF(A771="","",_xll.BDH(config!$H$4,C$1,$A771,$A771))</f>
        <v/>
      </c>
      <c r="D771" s="8" t="str">
        <f>IF($A771="","",_xll.BDH(config!$H$4,D$1,$A771,$A771))</f>
        <v/>
      </c>
      <c r="E771" s="8" t="str">
        <f>IF($A771="","",IF(ISNUMBER(FIND("IMPVOL",E$1)),_xll.BDH(config!$G$4,E$1,WORKDAY($A771,-1,config_Holiday_Calendar_US),WORKDAY($A771,-1,config_Holiday_Calendar_US)),IF(ISNUMBER(_xll.BDH(config!$G$4,E$1,$A771,$A771)),_xll.BDH(config!$G$4,E$1,$A771,$A771),_xll.BDH(config!$G$5,E$1,$A771,$A771))))</f>
        <v/>
      </c>
      <c r="F771" s="8" t="str">
        <f>IF($A771="","",IF(ISNUMBER(FIND("IMPVOL",F$1)),_xll.BDH(config!$G$4,F$1,WORKDAY($A771,-1,config_Holiday_Calendar_US),WORKDAY($A771,-1,config_Holiday_Calendar_US)),IF(ISNUMBER(_xll.BDH(config!$G$4,F$1,$A771,$A771)),_xll.BDH(config!$G$4,F$1,$A771,$A771),_xll.BDH(config!$G$5,F$1,$A771,$A771))))</f>
        <v/>
      </c>
      <c r="G771" s="8" t="str">
        <f>IF($A771="","",IF(ISNUMBER(FIND("IMPVOL",G$1)),_xll.BDH(config!$G$4,G$1,WORKDAY($A771,-1,config_Holiday_Calendar_US),WORKDAY($A771,-1,config_Holiday_Calendar_US)),IF(ISNUMBER(_xll.BDH(config!$G$4,G$1,$A771,$A771)),_xll.BDH(config!$G$4,G$1,$A771,$A771),_xll.BDH(config!$G$5,G$1,$A771,$A771))))</f>
        <v/>
      </c>
      <c r="H771" s="8" t="str">
        <f>IF($A771="","",IF(ISNUMBER(FIND("IMPVOL",H$1)),_xll.BDH(config!$G$4,H$1,WORKDAY($A771,-1,config_Holiday_Calendar_US),WORKDAY($A771,-1,config_Holiday_Calendar_US)),IF(ISNUMBER(_xll.BDH(config!$G$4,H$1,$A771,$A771)),_xll.BDH(config!$G$4,H$1,$A771,$A771),_xll.BDH(config!$G$5,H$1,$A771,$A771))))</f>
        <v/>
      </c>
      <c r="I771" s="8" t="str">
        <f>IF($A771="","",IF(ISNUMBER(FIND("IMPVOL",I$1)),_xll.BDH(config!$G$4,I$1,WORKDAY($A771,-1,config_Holiday_Calendar_US),WORKDAY($A771,-1,config_Holiday_Calendar_US)),IF(ISNUMBER(_xll.BDH(config!$G$4,I$1,$A771,$A771)),_xll.BDH(config!$G$4,I$1,$A771,$A771),_xll.BDH(config!$G$5,I$1,$A771,$A771))))</f>
        <v/>
      </c>
      <c r="J771" s="8" t="str">
        <f>IF($A771="","",IF(ISNUMBER(FIND("IMPVOL",J$1)),_xll.BDH(config!$G$4,J$1,WORKDAY($A771,-1,config_Holiday_Calendar_US),WORKDAY($A771,-1,config_Holiday_Calendar_US)),IF(ISNUMBER(_xll.BDH(config!$G$4,J$1,$A771,$A771)),_xll.BDH(config!$G$4,J$1,$A771,$A771),_xll.BDH(config!$G$5,J$1,$A771,$A771))))</f>
        <v/>
      </c>
      <c r="K771" s="8" t="str">
        <f>IF($A771="","",IF(ISNUMBER(FIND("IMPVOL",K$1)),_xll.BDH(config!$G$4,K$1,WORKDAY($A771,-1,config_Holiday_Calendar_US),WORKDAY($A771,-1,config_Holiday_Calendar_US)),IF(ISNUMBER(_xll.BDH(config!$G$4,K$1,$A771,$A771)),_xll.BDH(config!$G$4,K$1,$A771,$A771),_xll.BDH(config!$G$5,K$1,$A771,$A771))))</f>
        <v/>
      </c>
      <c r="L771" s="8" t="str">
        <f>IF($A771="","",IF(ISNUMBER(FIND("IMPVOL",L$1)),_xll.BDH(config!$G$4,L$1,WORKDAY($A771,-1,config_Holiday_Calendar_US),WORKDAY($A771,-1,config_Holiday_Calendar_US)),IF(ISNUMBER(_xll.BDH(config!$G$4,L$1,$A771,$A771)),_xll.BDH(config!$G$4,L$1,$A771,$A771),_xll.BDH(config!$G$5,L$1,$A771,$A771))))</f>
        <v/>
      </c>
      <c r="M771" s="8" t="str">
        <f>IF($A771="","",IF(ISNUMBER(FIND("IMPVOL",M$1)),_xll.BDH(config!$G$4,M$1,WORKDAY($A771,-1,config_Holiday_Calendar_US),WORKDAY($A771,-1,config_Holiday_Calendar_US)),IF(ISNUMBER(_xll.BDH(config!$G$4,M$1,$A771,$A771)),_xll.BDH(config!$G$4,M$1,$A771,$A771),_xll.BDH(config!$G$5,M$1,$A771,$A771))))</f>
        <v/>
      </c>
      <c r="N771" s="8" t="str">
        <f>IF($A771="","",IF(ISNUMBER(FIND("IMPVOL",N$1)),_xll.BDH(config!$G$4,N$1,WORKDAY($A771,-1,config_Holiday_Calendar_US),WORKDAY($A771,-1,config_Holiday_Calendar_US)),IF(ISNUMBER(_xll.BDH(config!$G$4,N$1,$A771,$A771)),_xll.BDH(config!$G$4,N$1,$A771,$A771),_xll.BDH(config!$G$5,N$1,$A771,$A771))))</f>
        <v/>
      </c>
      <c r="O771" s="8" t="str">
        <f>IF($A771="","",IF(ISNUMBER(FIND("IMPVOL",O$1)),_xll.BDH(config!$G$4,O$1,WORKDAY($A771,-1,config_Holiday_Calendar_US),WORKDAY($A771,-1,config_Holiday_Calendar_US)),IF(ISNUMBER(_xll.BDH(config!$G$4,O$1,$A771,$A771)),_xll.BDH(config!$G$4,O$1,$A771,$A771),_xll.BDH(config!$G$5,O$1,$A771,$A771))))</f>
        <v/>
      </c>
      <c r="P771" s="8" t="str">
        <f>IF($A771="","",IF(ISNUMBER(FIND("IMPVOL",P$1)),_xll.BDH(config!$G$4,P$1,WORKDAY($A771,-1,config_Holiday_Calendar_US),WORKDAY($A771,-1,config_Holiday_Calendar_US)),IF(ISNUMBER(_xll.BDH(config!$G$4,P$1,$A771,$A771)),_xll.BDH(config!$G$4,P$1,$A771,$A771),_xll.BDH(config!$G$5,P$1,$A771,$A771))))</f>
        <v/>
      </c>
      <c r="Q771" s="8" t="str">
        <f>IF($A771="","",IF(ISNUMBER(FIND("IMPVOL",Q$1)),_xll.BDH(config!$G$4,Q$1,WORKDAY($A771,-1,config_Holiday_Calendar_US),WORKDAY($A771,-1,config_Holiday_Calendar_US)),IF(ISNUMBER(_xll.BDH(config!$G$4,Q$1,$A771,$A771)),_xll.BDH(config!$G$4,Q$1,$A771,$A771),_xll.BDH(config!$G$5,Q$1,$A771,$A771))))</f>
        <v/>
      </c>
      <c r="R771" s="8" t="str">
        <f>IF($A771="","",IF(ISNUMBER(FIND("IMPVOL",R$1)),_xll.BDH(config!$G$4,R$1,WORKDAY($A771,-1,config_Holiday_Calendar_US),WORKDAY($A771,-1,config_Holiday_Calendar_US)),IF(ISNUMBER(_xll.BDH(config!$G$4,R$1,$A771,$A771)),_xll.BDH(config!$G$4,R$1,$A771,$A771),_xll.BDH(config!$G$5,R$1,$A771,$A771))))</f>
        <v/>
      </c>
      <c r="S771" s="8" t="str">
        <f>IF($A771="","",IF(ISNUMBER(FIND("IMPVOL",S$1)),_xll.BDH(config!$G$4,S$1,WORKDAY($A771,-1,config_Holiday_Calendar_US),WORKDAY($A771,-1,config_Holiday_Calendar_US)),IF(ISNUMBER(_xll.BDH(config!$G$4,S$1,$A771,$A771)),_xll.BDH(config!$G$4,S$1,$A771,$A771),_xll.BDH(config!$G$5,S$1,$A771,$A771))))</f>
        <v/>
      </c>
      <c r="T771" s="8" t="str">
        <f>IF($A771="","",IF(ISNUMBER(FIND("IMPVOL",T$1)),_xll.BDH(config!$G$4,T$1,WORKDAY($A771,-1,config_Holiday_Calendar_US),WORKDAY($A771,-1,config_Holiday_Calendar_US)),IF(ISNUMBER(_xll.BDH(config!$G$4,T$1,$A771,$A771)),_xll.BDH(config!$G$4,T$1,$A771,$A771),_xll.BDH(config!$G$5,T$1,$A771,$A771))))</f>
        <v/>
      </c>
      <c r="U771" s="8" t="str">
        <f>IF($A771="","",IF(ISNUMBER(FIND("IMPVOL",U$1)),_xll.BDH(config!$G$4,U$1,WORKDAY($A771,-1,config_Holiday_Calendar_US),WORKDAY($A771,-1,config_Holiday_Calendar_US)),IF(ISNUMBER(_xll.BDH(config!$G$4,U$1,$A771,$A771)),_xll.BDH(config!$G$4,U$1,$A771,$A771),_xll.BDH(config!$G$5,U$1,$A771,$A771))))</f>
        <v/>
      </c>
      <c r="V771" s="8" t="str">
        <f>IF($A771="","",IF(ISNUMBER(FIND("IMPVOL",V$1)),_xll.BDH(config!$G$4,V$1,WORKDAY($A771,-1,config_Holiday_Calendar_US),WORKDAY($A771,-1,config_Holiday_Calendar_US)),IF(ISNUMBER(_xll.BDH(config!$G$4,V$1,$A771,$A771)),_xll.BDH(config!$G$4,V$1,$A771,$A771),_xll.BDH(config!$G$5,V$1,$A771,$A771))))</f>
        <v/>
      </c>
      <c r="W771" s="8" t="str">
        <f>IF($A771="","",IF(ISNUMBER(FIND("IMPVOL",W$1)),_xll.BDH(config!$G$4,W$1,WORKDAY($A771,-1,config_Holiday_Calendar_US),WORKDAY($A771,-1,config_Holiday_Calendar_US)),IF(ISNUMBER(_xll.BDH(config!$G$4,W$1,$A771,$A771)),_xll.BDH(config!$G$4,W$1,$A771,$A771),_xll.BDH(config!$G$5,W$1,$A771,$A771))))</f>
        <v/>
      </c>
    </row>
    <row r="772" spans="1:23" x14ac:dyDescent="0.2">
      <c r="A772" s="9" t="str">
        <f>IF(A771="","",IF(WORKDAY(A771,-1,config_Holiday_Calendar_US)&lt;config!$I$10,"",WORKDAY(A771,-1,config_Holiday_Calendar_US)))</f>
        <v/>
      </c>
      <c r="B772" s="8" t="str">
        <f t="shared" si="12"/>
        <v/>
      </c>
      <c r="C772" s="8" t="str">
        <f>IF(A772="","",_xll.BDH(config!$H$4,C$1,$A772,$A772))</f>
        <v/>
      </c>
      <c r="D772" s="8" t="str">
        <f>IF($A772="","",_xll.BDH(config!$H$4,D$1,$A772,$A772))</f>
        <v/>
      </c>
      <c r="E772" s="8" t="str">
        <f>IF($A772="","",IF(ISNUMBER(FIND("IMPVOL",E$1)),_xll.BDH(config!$G$4,E$1,WORKDAY($A772,-1,config_Holiday_Calendar_US),WORKDAY($A772,-1,config_Holiday_Calendar_US)),IF(ISNUMBER(_xll.BDH(config!$G$4,E$1,$A772,$A772)),_xll.BDH(config!$G$4,E$1,$A772,$A772),_xll.BDH(config!$G$5,E$1,$A772,$A772))))</f>
        <v/>
      </c>
      <c r="F772" s="8" t="str">
        <f>IF($A772="","",IF(ISNUMBER(FIND("IMPVOL",F$1)),_xll.BDH(config!$G$4,F$1,WORKDAY($A772,-1,config_Holiday_Calendar_US),WORKDAY($A772,-1,config_Holiday_Calendar_US)),IF(ISNUMBER(_xll.BDH(config!$G$4,F$1,$A772,$A772)),_xll.BDH(config!$G$4,F$1,$A772,$A772),_xll.BDH(config!$G$5,F$1,$A772,$A772))))</f>
        <v/>
      </c>
      <c r="G772" s="8" t="str">
        <f>IF($A772="","",IF(ISNUMBER(FIND("IMPVOL",G$1)),_xll.BDH(config!$G$4,G$1,WORKDAY($A772,-1,config_Holiday_Calendar_US),WORKDAY($A772,-1,config_Holiday_Calendar_US)),IF(ISNUMBER(_xll.BDH(config!$G$4,G$1,$A772,$A772)),_xll.BDH(config!$G$4,G$1,$A772,$A772),_xll.BDH(config!$G$5,G$1,$A772,$A772))))</f>
        <v/>
      </c>
      <c r="H772" s="8" t="str">
        <f>IF($A772="","",IF(ISNUMBER(FIND("IMPVOL",H$1)),_xll.BDH(config!$G$4,H$1,WORKDAY($A772,-1,config_Holiday_Calendar_US),WORKDAY($A772,-1,config_Holiday_Calendar_US)),IF(ISNUMBER(_xll.BDH(config!$G$4,H$1,$A772,$A772)),_xll.BDH(config!$G$4,H$1,$A772,$A772),_xll.BDH(config!$G$5,H$1,$A772,$A772))))</f>
        <v/>
      </c>
      <c r="I772" s="8" t="str">
        <f>IF($A772="","",IF(ISNUMBER(FIND("IMPVOL",I$1)),_xll.BDH(config!$G$4,I$1,WORKDAY($A772,-1,config_Holiday_Calendar_US),WORKDAY($A772,-1,config_Holiday_Calendar_US)),IF(ISNUMBER(_xll.BDH(config!$G$4,I$1,$A772,$A772)),_xll.BDH(config!$G$4,I$1,$A772,$A772),_xll.BDH(config!$G$5,I$1,$A772,$A772))))</f>
        <v/>
      </c>
      <c r="J772" s="8" t="str">
        <f>IF($A772="","",IF(ISNUMBER(FIND("IMPVOL",J$1)),_xll.BDH(config!$G$4,J$1,WORKDAY($A772,-1,config_Holiday_Calendar_US),WORKDAY($A772,-1,config_Holiday_Calendar_US)),IF(ISNUMBER(_xll.BDH(config!$G$4,J$1,$A772,$A772)),_xll.BDH(config!$G$4,J$1,$A772,$A772),_xll.BDH(config!$G$5,J$1,$A772,$A772))))</f>
        <v/>
      </c>
      <c r="K772" s="8" t="str">
        <f>IF($A772="","",IF(ISNUMBER(FIND("IMPVOL",K$1)),_xll.BDH(config!$G$4,K$1,WORKDAY($A772,-1,config_Holiday_Calendar_US),WORKDAY($A772,-1,config_Holiday_Calendar_US)),IF(ISNUMBER(_xll.BDH(config!$G$4,K$1,$A772,$A772)),_xll.BDH(config!$G$4,K$1,$A772,$A772),_xll.BDH(config!$G$5,K$1,$A772,$A772))))</f>
        <v/>
      </c>
      <c r="L772" s="8" t="str">
        <f>IF($A772="","",IF(ISNUMBER(FIND("IMPVOL",L$1)),_xll.BDH(config!$G$4,L$1,WORKDAY($A772,-1,config_Holiday_Calendar_US),WORKDAY($A772,-1,config_Holiday_Calendar_US)),IF(ISNUMBER(_xll.BDH(config!$G$4,L$1,$A772,$A772)),_xll.BDH(config!$G$4,L$1,$A772,$A772),_xll.BDH(config!$G$5,L$1,$A772,$A772))))</f>
        <v/>
      </c>
      <c r="M772" s="8" t="str">
        <f>IF($A772="","",IF(ISNUMBER(FIND("IMPVOL",M$1)),_xll.BDH(config!$G$4,M$1,WORKDAY($A772,-1,config_Holiday_Calendar_US),WORKDAY($A772,-1,config_Holiday_Calendar_US)),IF(ISNUMBER(_xll.BDH(config!$G$4,M$1,$A772,$A772)),_xll.BDH(config!$G$4,M$1,$A772,$A772),_xll.BDH(config!$G$5,M$1,$A772,$A772))))</f>
        <v/>
      </c>
      <c r="N772" s="8" t="str">
        <f>IF($A772="","",IF(ISNUMBER(FIND("IMPVOL",N$1)),_xll.BDH(config!$G$4,N$1,WORKDAY($A772,-1,config_Holiday_Calendar_US),WORKDAY($A772,-1,config_Holiday_Calendar_US)),IF(ISNUMBER(_xll.BDH(config!$G$4,N$1,$A772,$A772)),_xll.BDH(config!$G$4,N$1,$A772,$A772),_xll.BDH(config!$G$5,N$1,$A772,$A772))))</f>
        <v/>
      </c>
      <c r="O772" s="8" t="str">
        <f>IF($A772="","",IF(ISNUMBER(FIND("IMPVOL",O$1)),_xll.BDH(config!$G$4,O$1,WORKDAY($A772,-1,config_Holiday_Calendar_US),WORKDAY($A772,-1,config_Holiday_Calendar_US)),IF(ISNUMBER(_xll.BDH(config!$G$4,O$1,$A772,$A772)),_xll.BDH(config!$G$4,O$1,$A772,$A772),_xll.BDH(config!$G$5,O$1,$A772,$A772))))</f>
        <v/>
      </c>
      <c r="P772" s="8" t="str">
        <f>IF($A772="","",IF(ISNUMBER(FIND("IMPVOL",P$1)),_xll.BDH(config!$G$4,P$1,WORKDAY($A772,-1,config_Holiday_Calendar_US),WORKDAY($A772,-1,config_Holiday_Calendar_US)),IF(ISNUMBER(_xll.BDH(config!$G$4,P$1,$A772,$A772)),_xll.BDH(config!$G$4,P$1,$A772,$A772),_xll.BDH(config!$G$5,P$1,$A772,$A772))))</f>
        <v/>
      </c>
      <c r="Q772" s="8" t="str">
        <f>IF($A772="","",IF(ISNUMBER(FIND("IMPVOL",Q$1)),_xll.BDH(config!$G$4,Q$1,WORKDAY($A772,-1,config_Holiday_Calendar_US),WORKDAY($A772,-1,config_Holiday_Calendar_US)),IF(ISNUMBER(_xll.BDH(config!$G$4,Q$1,$A772,$A772)),_xll.BDH(config!$G$4,Q$1,$A772,$A772),_xll.BDH(config!$G$5,Q$1,$A772,$A772))))</f>
        <v/>
      </c>
      <c r="R772" s="8" t="str">
        <f>IF($A772="","",IF(ISNUMBER(FIND("IMPVOL",R$1)),_xll.BDH(config!$G$4,R$1,WORKDAY($A772,-1,config_Holiday_Calendar_US),WORKDAY($A772,-1,config_Holiday_Calendar_US)),IF(ISNUMBER(_xll.BDH(config!$G$4,R$1,$A772,$A772)),_xll.BDH(config!$G$4,R$1,$A772,$A772),_xll.BDH(config!$G$5,R$1,$A772,$A772))))</f>
        <v/>
      </c>
      <c r="S772" s="8" t="str">
        <f>IF($A772="","",IF(ISNUMBER(FIND("IMPVOL",S$1)),_xll.BDH(config!$G$4,S$1,WORKDAY($A772,-1,config_Holiday_Calendar_US),WORKDAY($A772,-1,config_Holiday_Calendar_US)),IF(ISNUMBER(_xll.BDH(config!$G$4,S$1,$A772,$A772)),_xll.BDH(config!$G$4,S$1,$A772,$A772),_xll.BDH(config!$G$5,S$1,$A772,$A772))))</f>
        <v/>
      </c>
      <c r="T772" s="8" t="str">
        <f>IF($A772="","",IF(ISNUMBER(FIND("IMPVOL",T$1)),_xll.BDH(config!$G$4,T$1,WORKDAY($A772,-1,config_Holiday_Calendar_US),WORKDAY($A772,-1,config_Holiday_Calendar_US)),IF(ISNUMBER(_xll.BDH(config!$G$4,T$1,$A772,$A772)),_xll.BDH(config!$G$4,T$1,$A772,$A772),_xll.BDH(config!$G$5,T$1,$A772,$A772))))</f>
        <v/>
      </c>
      <c r="U772" s="8" t="str">
        <f>IF($A772="","",IF(ISNUMBER(FIND("IMPVOL",U$1)),_xll.BDH(config!$G$4,U$1,WORKDAY($A772,-1,config_Holiday_Calendar_US),WORKDAY($A772,-1,config_Holiday_Calendar_US)),IF(ISNUMBER(_xll.BDH(config!$G$4,U$1,$A772,$A772)),_xll.BDH(config!$G$4,U$1,$A772,$A772),_xll.BDH(config!$G$5,U$1,$A772,$A772))))</f>
        <v/>
      </c>
      <c r="V772" s="8" t="str">
        <f>IF($A772="","",IF(ISNUMBER(FIND("IMPVOL",V$1)),_xll.BDH(config!$G$4,V$1,WORKDAY($A772,-1,config_Holiday_Calendar_US),WORKDAY($A772,-1,config_Holiday_Calendar_US)),IF(ISNUMBER(_xll.BDH(config!$G$4,V$1,$A772,$A772)),_xll.BDH(config!$G$4,V$1,$A772,$A772),_xll.BDH(config!$G$5,V$1,$A772,$A772))))</f>
        <v/>
      </c>
      <c r="W772" s="8" t="str">
        <f>IF($A772="","",IF(ISNUMBER(FIND("IMPVOL",W$1)),_xll.BDH(config!$G$4,W$1,WORKDAY($A772,-1,config_Holiday_Calendar_US),WORKDAY($A772,-1,config_Holiday_Calendar_US)),IF(ISNUMBER(_xll.BDH(config!$G$4,W$1,$A772,$A772)),_xll.BDH(config!$G$4,W$1,$A772,$A772),_xll.BDH(config!$G$5,W$1,$A772,$A772))))</f>
        <v/>
      </c>
    </row>
    <row r="773" spans="1:23" x14ac:dyDescent="0.2">
      <c r="A773" s="9" t="str">
        <f>IF(A772="","",IF(WORKDAY(A772,-1,config_Holiday_Calendar_US)&lt;config!$I$10,"",WORKDAY(A772,-1,config_Holiday_Calendar_US)))</f>
        <v/>
      </c>
      <c r="B773" s="8" t="str">
        <f t="shared" si="12"/>
        <v/>
      </c>
      <c r="C773" s="8" t="str">
        <f>IF(A773="","",_xll.BDH(config!$H$4,C$1,$A773,$A773))</f>
        <v/>
      </c>
      <c r="D773" s="8" t="str">
        <f>IF($A773="","",_xll.BDH(config!$H$4,D$1,$A773,$A773))</f>
        <v/>
      </c>
      <c r="E773" s="8" t="str">
        <f>IF($A773="","",IF(ISNUMBER(FIND("IMPVOL",E$1)),_xll.BDH(config!$G$4,E$1,WORKDAY($A773,-1,config_Holiday_Calendar_US),WORKDAY($A773,-1,config_Holiday_Calendar_US)),IF(ISNUMBER(_xll.BDH(config!$G$4,E$1,$A773,$A773)),_xll.BDH(config!$G$4,E$1,$A773,$A773),_xll.BDH(config!$G$5,E$1,$A773,$A773))))</f>
        <v/>
      </c>
      <c r="F773" s="8" t="str">
        <f>IF($A773="","",IF(ISNUMBER(FIND("IMPVOL",F$1)),_xll.BDH(config!$G$4,F$1,WORKDAY($A773,-1,config_Holiday_Calendar_US),WORKDAY($A773,-1,config_Holiday_Calendar_US)),IF(ISNUMBER(_xll.BDH(config!$G$4,F$1,$A773,$A773)),_xll.BDH(config!$G$4,F$1,$A773,$A773),_xll.BDH(config!$G$5,F$1,$A773,$A773))))</f>
        <v/>
      </c>
      <c r="G773" s="8" t="str">
        <f>IF($A773="","",IF(ISNUMBER(FIND("IMPVOL",G$1)),_xll.BDH(config!$G$4,G$1,WORKDAY($A773,-1,config_Holiday_Calendar_US),WORKDAY($A773,-1,config_Holiday_Calendar_US)),IF(ISNUMBER(_xll.BDH(config!$G$4,G$1,$A773,$A773)),_xll.BDH(config!$G$4,G$1,$A773,$A773),_xll.BDH(config!$G$5,G$1,$A773,$A773))))</f>
        <v/>
      </c>
      <c r="H773" s="8" t="str">
        <f>IF($A773="","",IF(ISNUMBER(FIND("IMPVOL",H$1)),_xll.BDH(config!$G$4,H$1,WORKDAY($A773,-1,config_Holiday_Calendar_US),WORKDAY($A773,-1,config_Holiday_Calendar_US)),IF(ISNUMBER(_xll.BDH(config!$G$4,H$1,$A773,$A773)),_xll.BDH(config!$G$4,H$1,$A773,$A773),_xll.BDH(config!$G$5,H$1,$A773,$A773))))</f>
        <v/>
      </c>
      <c r="I773" s="8" t="str">
        <f>IF($A773="","",IF(ISNUMBER(FIND("IMPVOL",I$1)),_xll.BDH(config!$G$4,I$1,WORKDAY($A773,-1,config_Holiday_Calendar_US),WORKDAY($A773,-1,config_Holiday_Calendar_US)),IF(ISNUMBER(_xll.BDH(config!$G$4,I$1,$A773,$A773)),_xll.BDH(config!$G$4,I$1,$A773,$A773),_xll.BDH(config!$G$5,I$1,$A773,$A773))))</f>
        <v/>
      </c>
      <c r="J773" s="8" t="str">
        <f>IF($A773="","",IF(ISNUMBER(FIND("IMPVOL",J$1)),_xll.BDH(config!$G$4,J$1,WORKDAY($A773,-1,config_Holiday_Calendar_US),WORKDAY($A773,-1,config_Holiday_Calendar_US)),IF(ISNUMBER(_xll.BDH(config!$G$4,J$1,$A773,$A773)),_xll.BDH(config!$G$4,J$1,$A773,$A773),_xll.BDH(config!$G$5,J$1,$A773,$A773))))</f>
        <v/>
      </c>
      <c r="K773" s="8" t="str">
        <f>IF($A773="","",IF(ISNUMBER(FIND("IMPVOL",K$1)),_xll.BDH(config!$G$4,K$1,WORKDAY($A773,-1,config_Holiday_Calendar_US),WORKDAY($A773,-1,config_Holiday_Calendar_US)),IF(ISNUMBER(_xll.BDH(config!$G$4,K$1,$A773,$A773)),_xll.BDH(config!$G$4,K$1,$A773,$A773),_xll.BDH(config!$G$5,K$1,$A773,$A773))))</f>
        <v/>
      </c>
      <c r="L773" s="8" t="str">
        <f>IF($A773="","",IF(ISNUMBER(FIND("IMPVOL",L$1)),_xll.BDH(config!$G$4,L$1,WORKDAY($A773,-1,config_Holiday_Calendar_US),WORKDAY($A773,-1,config_Holiday_Calendar_US)),IF(ISNUMBER(_xll.BDH(config!$G$4,L$1,$A773,$A773)),_xll.BDH(config!$G$4,L$1,$A773,$A773),_xll.BDH(config!$G$5,L$1,$A773,$A773))))</f>
        <v/>
      </c>
      <c r="M773" s="8" t="str">
        <f>IF($A773="","",IF(ISNUMBER(FIND("IMPVOL",M$1)),_xll.BDH(config!$G$4,M$1,WORKDAY($A773,-1,config_Holiday_Calendar_US),WORKDAY($A773,-1,config_Holiday_Calendar_US)),IF(ISNUMBER(_xll.BDH(config!$G$4,M$1,$A773,$A773)),_xll.BDH(config!$G$4,M$1,$A773,$A773),_xll.BDH(config!$G$5,M$1,$A773,$A773))))</f>
        <v/>
      </c>
      <c r="N773" s="8" t="str">
        <f>IF($A773="","",IF(ISNUMBER(FIND("IMPVOL",N$1)),_xll.BDH(config!$G$4,N$1,WORKDAY($A773,-1,config_Holiday_Calendar_US),WORKDAY($A773,-1,config_Holiday_Calendar_US)),IF(ISNUMBER(_xll.BDH(config!$G$4,N$1,$A773,$A773)),_xll.BDH(config!$G$4,N$1,$A773,$A773),_xll.BDH(config!$G$5,N$1,$A773,$A773))))</f>
        <v/>
      </c>
      <c r="O773" s="8" t="str">
        <f>IF($A773="","",IF(ISNUMBER(FIND("IMPVOL",O$1)),_xll.BDH(config!$G$4,O$1,WORKDAY($A773,-1,config_Holiday_Calendar_US),WORKDAY($A773,-1,config_Holiday_Calendar_US)),IF(ISNUMBER(_xll.BDH(config!$G$4,O$1,$A773,$A773)),_xll.BDH(config!$G$4,O$1,$A773,$A773),_xll.BDH(config!$G$5,O$1,$A773,$A773))))</f>
        <v/>
      </c>
      <c r="P773" s="8" t="str">
        <f>IF($A773="","",IF(ISNUMBER(FIND("IMPVOL",P$1)),_xll.BDH(config!$G$4,P$1,WORKDAY($A773,-1,config_Holiday_Calendar_US),WORKDAY($A773,-1,config_Holiday_Calendar_US)),IF(ISNUMBER(_xll.BDH(config!$G$4,P$1,$A773,$A773)),_xll.BDH(config!$G$4,P$1,$A773,$A773),_xll.BDH(config!$G$5,P$1,$A773,$A773))))</f>
        <v/>
      </c>
      <c r="Q773" s="8" t="str">
        <f>IF($A773="","",IF(ISNUMBER(FIND("IMPVOL",Q$1)),_xll.BDH(config!$G$4,Q$1,WORKDAY($A773,-1,config_Holiday_Calendar_US),WORKDAY($A773,-1,config_Holiday_Calendar_US)),IF(ISNUMBER(_xll.BDH(config!$G$4,Q$1,$A773,$A773)),_xll.BDH(config!$G$4,Q$1,$A773,$A773),_xll.BDH(config!$G$5,Q$1,$A773,$A773))))</f>
        <v/>
      </c>
      <c r="R773" s="8" t="str">
        <f>IF($A773="","",IF(ISNUMBER(FIND("IMPVOL",R$1)),_xll.BDH(config!$G$4,R$1,WORKDAY($A773,-1,config_Holiday_Calendar_US),WORKDAY($A773,-1,config_Holiday_Calendar_US)),IF(ISNUMBER(_xll.BDH(config!$G$4,R$1,$A773,$A773)),_xll.BDH(config!$G$4,R$1,$A773,$A773),_xll.BDH(config!$G$5,R$1,$A773,$A773))))</f>
        <v/>
      </c>
      <c r="S773" s="8" t="str">
        <f>IF($A773="","",IF(ISNUMBER(FIND("IMPVOL",S$1)),_xll.BDH(config!$G$4,S$1,WORKDAY($A773,-1,config_Holiday_Calendar_US),WORKDAY($A773,-1,config_Holiday_Calendar_US)),IF(ISNUMBER(_xll.BDH(config!$G$4,S$1,$A773,$A773)),_xll.BDH(config!$G$4,S$1,$A773,$A773),_xll.BDH(config!$G$5,S$1,$A773,$A773))))</f>
        <v/>
      </c>
      <c r="T773" s="8" t="str">
        <f>IF($A773="","",IF(ISNUMBER(FIND("IMPVOL",T$1)),_xll.BDH(config!$G$4,T$1,WORKDAY($A773,-1,config_Holiday_Calendar_US),WORKDAY($A773,-1,config_Holiday_Calendar_US)),IF(ISNUMBER(_xll.BDH(config!$G$4,T$1,$A773,$A773)),_xll.BDH(config!$G$4,T$1,$A773,$A773),_xll.BDH(config!$G$5,T$1,$A773,$A773))))</f>
        <v/>
      </c>
      <c r="U773" s="8" t="str">
        <f>IF($A773="","",IF(ISNUMBER(FIND("IMPVOL",U$1)),_xll.BDH(config!$G$4,U$1,WORKDAY($A773,-1,config_Holiday_Calendar_US),WORKDAY($A773,-1,config_Holiday_Calendar_US)),IF(ISNUMBER(_xll.BDH(config!$G$4,U$1,$A773,$A773)),_xll.BDH(config!$G$4,U$1,$A773,$A773),_xll.BDH(config!$G$5,U$1,$A773,$A773))))</f>
        <v/>
      </c>
      <c r="V773" s="8" t="str">
        <f>IF($A773="","",IF(ISNUMBER(FIND("IMPVOL",V$1)),_xll.BDH(config!$G$4,V$1,WORKDAY($A773,-1,config_Holiday_Calendar_US),WORKDAY($A773,-1,config_Holiday_Calendar_US)),IF(ISNUMBER(_xll.BDH(config!$G$4,V$1,$A773,$A773)),_xll.BDH(config!$G$4,V$1,$A773,$A773),_xll.BDH(config!$G$5,V$1,$A773,$A773))))</f>
        <v/>
      </c>
      <c r="W773" s="8" t="str">
        <f>IF($A773="","",IF(ISNUMBER(FIND("IMPVOL",W$1)),_xll.BDH(config!$G$4,W$1,WORKDAY($A773,-1,config_Holiday_Calendar_US),WORKDAY($A773,-1,config_Holiday_Calendar_US)),IF(ISNUMBER(_xll.BDH(config!$G$4,W$1,$A773,$A773)),_xll.BDH(config!$G$4,W$1,$A773,$A773),_xll.BDH(config!$G$5,W$1,$A773,$A773))))</f>
        <v/>
      </c>
    </row>
    <row r="774" spans="1:23" x14ac:dyDescent="0.2">
      <c r="A774" s="9" t="str">
        <f>IF(A773="","",IF(WORKDAY(A773,-1,config_Holiday_Calendar_US)&lt;config!$I$10,"",WORKDAY(A773,-1,config_Holiday_Calendar_US)))</f>
        <v/>
      </c>
      <c r="B774" s="8" t="str">
        <f t="shared" si="12"/>
        <v/>
      </c>
      <c r="C774" s="8" t="str">
        <f>IF(A774="","",_xll.BDH(config!$H$4,C$1,$A774,$A774))</f>
        <v/>
      </c>
      <c r="D774" s="8" t="str">
        <f>IF($A774="","",_xll.BDH(config!$H$4,D$1,$A774,$A774))</f>
        <v/>
      </c>
      <c r="E774" s="8" t="str">
        <f>IF($A774="","",IF(ISNUMBER(FIND("IMPVOL",E$1)),_xll.BDH(config!$G$4,E$1,WORKDAY($A774,-1,config_Holiday_Calendar_US),WORKDAY($A774,-1,config_Holiday_Calendar_US)),IF(ISNUMBER(_xll.BDH(config!$G$4,E$1,$A774,$A774)),_xll.BDH(config!$G$4,E$1,$A774,$A774),_xll.BDH(config!$G$5,E$1,$A774,$A774))))</f>
        <v/>
      </c>
      <c r="F774" s="8" t="str">
        <f>IF($A774="","",IF(ISNUMBER(FIND("IMPVOL",F$1)),_xll.BDH(config!$G$4,F$1,WORKDAY($A774,-1,config_Holiday_Calendar_US),WORKDAY($A774,-1,config_Holiday_Calendar_US)),IF(ISNUMBER(_xll.BDH(config!$G$4,F$1,$A774,$A774)),_xll.BDH(config!$G$4,F$1,$A774,$A774),_xll.BDH(config!$G$5,F$1,$A774,$A774))))</f>
        <v/>
      </c>
      <c r="G774" s="8" t="str">
        <f>IF($A774="","",IF(ISNUMBER(FIND("IMPVOL",G$1)),_xll.BDH(config!$G$4,G$1,WORKDAY($A774,-1,config_Holiday_Calendar_US),WORKDAY($A774,-1,config_Holiday_Calendar_US)),IF(ISNUMBER(_xll.BDH(config!$G$4,G$1,$A774,$A774)),_xll.BDH(config!$G$4,G$1,$A774,$A774),_xll.BDH(config!$G$5,G$1,$A774,$A774))))</f>
        <v/>
      </c>
      <c r="H774" s="8" t="str">
        <f>IF($A774="","",IF(ISNUMBER(FIND("IMPVOL",H$1)),_xll.BDH(config!$G$4,H$1,WORKDAY($A774,-1,config_Holiday_Calendar_US),WORKDAY($A774,-1,config_Holiday_Calendar_US)),IF(ISNUMBER(_xll.BDH(config!$G$4,H$1,$A774,$A774)),_xll.BDH(config!$G$4,H$1,$A774,$A774),_xll.BDH(config!$G$5,H$1,$A774,$A774))))</f>
        <v/>
      </c>
      <c r="I774" s="8" t="str">
        <f>IF($A774="","",IF(ISNUMBER(FIND("IMPVOL",I$1)),_xll.BDH(config!$G$4,I$1,WORKDAY($A774,-1,config_Holiday_Calendar_US),WORKDAY($A774,-1,config_Holiday_Calendar_US)),IF(ISNUMBER(_xll.BDH(config!$G$4,I$1,$A774,$A774)),_xll.BDH(config!$G$4,I$1,$A774,$A774),_xll.BDH(config!$G$5,I$1,$A774,$A774))))</f>
        <v/>
      </c>
      <c r="J774" s="8" t="str">
        <f>IF($A774="","",IF(ISNUMBER(FIND("IMPVOL",J$1)),_xll.BDH(config!$G$4,J$1,WORKDAY($A774,-1,config_Holiday_Calendar_US),WORKDAY($A774,-1,config_Holiday_Calendar_US)),IF(ISNUMBER(_xll.BDH(config!$G$4,J$1,$A774,$A774)),_xll.BDH(config!$G$4,J$1,$A774,$A774),_xll.BDH(config!$G$5,J$1,$A774,$A774))))</f>
        <v/>
      </c>
      <c r="K774" s="8" t="str">
        <f>IF($A774="","",IF(ISNUMBER(FIND("IMPVOL",K$1)),_xll.BDH(config!$G$4,K$1,WORKDAY($A774,-1,config_Holiday_Calendar_US),WORKDAY($A774,-1,config_Holiday_Calendar_US)),IF(ISNUMBER(_xll.BDH(config!$G$4,K$1,$A774,$A774)),_xll.BDH(config!$G$4,K$1,$A774,$A774),_xll.BDH(config!$G$5,K$1,$A774,$A774))))</f>
        <v/>
      </c>
      <c r="L774" s="8" t="str">
        <f>IF($A774="","",IF(ISNUMBER(FIND("IMPVOL",L$1)),_xll.BDH(config!$G$4,L$1,WORKDAY($A774,-1,config_Holiday_Calendar_US),WORKDAY($A774,-1,config_Holiday_Calendar_US)),IF(ISNUMBER(_xll.BDH(config!$G$4,L$1,$A774,$A774)),_xll.BDH(config!$G$4,L$1,$A774,$A774),_xll.BDH(config!$G$5,L$1,$A774,$A774))))</f>
        <v/>
      </c>
      <c r="M774" s="8" t="str">
        <f>IF($A774="","",IF(ISNUMBER(FIND("IMPVOL",M$1)),_xll.BDH(config!$G$4,M$1,WORKDAY($A774,-1,config_Holiday_Calendar_US),WORKDAY($A774,-1,config_Holiday_Calendar_US)),IF(ISNUMBER(_xll.BDH(config!$G$4,M$1,$A774,$A774)),_xll.BDH(config!$G$4,M$1,$A774,$A774),_xll.BDH(config!$G$5,M$1,$A774,$A774))))</f>
        <v/>
      </c>
      <c r="N774" s="8" t="str">
        <f>IF($A774="","",IF(ISNUMBER(FIND("IMPVOL",N$1)),_xll.BDH(config!$G$4,N$1,WORKDAY($A774,-1,config_Holiday_Calendar_US),WORKDAY($A774,-1,config_Holiday_Calendar_US)),IF(ISNUMBER(_xll.BDH(config!$G$4,N$1,$A774,$A774)),_xll.BDH(config!$G$4,N$1,$A774,$A774),_xll.BDH(config!$G$5,N$1,$A774,$A774))))</f>
        <v/>
      </c>
      <c r="O774" s="8" t="str">
        <f>IF($A774="","",IF(ISNUMBER(FIND("IMPVOL",O$1)),_xll.BDH(config!$G$4,O$1,WORKDAY($A774,-1,config_Holiday_Calendar_US),WORKDAY($A774,-1,config_Holiday_Calendar_US)),IF(ISNUMBER(_xll.BDH(config!$G$4,O$1,$A774,$A774)),_xll.BDH(config!$G$4,O$1,$A774,$A774),_xll.BDH(config!$G$5,O$1,$A774,$A774))))</f>
        <v/>
      </c>
      <c r="P774" s="8" t="str">
        <f>IF($A774="","",IF(ISNUMBER(FIND("IMPVOL",P$1)),_xll.BDH(config!$G$4,P$1,WORKDAY($A774,-1,config_Holiday_Calendar_US),WORKDAY($A774,-1,config_Holiday_Calendar_US)),IF(ISNUMBER(_xll.BDH(config!$G$4,P$1,$A774,$A774)),_xll.BDH(config!$G$4,P$1,$A774,$A774),_xll.BDH(config!$G$5,P$1,$A774,$A774))))</f>
        <v/>
      </c>
      <c r="Q774" s="8" t="str">
        <f>IF($A774="","",IF(ISNUMBER(FIND("IMPVOL",Q$1)),_xll.BDH(config!$G$4,Q$1,WORKDAY($A774,-1,config_Holiday_Calendar_US),WORKDAY($A774,-1,config_Holiday_Calendar_US)),IF(ISNUMBER(_xll.BDH(config!$G$4,Q$1,$A774,$A774)),_xll.BDH(config!$G$4,Q$1,$A774,$A774),_xll.BDH(config!$G$5,Q$1,$A774,$A774))))</f>
        <v/>
      </c>
      <c r="R774" s="8" t="str">
        <f>IF($A774="","",IF(ISNUMBER(FIND("IMPVOL",R$1)),_xll.BDH(config!$G$4,R$1,WORKDAY($A774,-1,config_Holiday_Calendar_US),WORKDAY($A774,-1,config_Holiday_Calendar_US)),IF(ISNUMBER(_xll.BDH(config!$G$4,R$1,$A774,$A774)),_xll.BDH(config!$G$4,R$1,$A774,$A774),_xll.BDH(config!$G$5,R$1,$A774,$A774))))</f>
        <v/>
      </c>
      <c r="S774" s="8" t="str">
        <f>IF($A774="","",IF(ISNUMBER(FIND("IMPVOL",S$1)),_xll.BDH(config!$G$4,S$1,WORKDAY($A774,-1,config_Holiday_Calendar_US),WORKDAY($A774,-1,config_Holiday_Calendar_US)),IF(ISNUMBER(_xll.BDH(config!$G$4,S$1,$A774,$A774)),_xll.BDH(config!$G$4,S$1,$A774,$A774),_xll.BDH(config!$G$5,S$1,$A774,$A774))))</f>
        <v/>
      </c>
      <c r="T774" s="8" t="str">
        <f>IF($A774="","",IF(ISNUMBER(FIND("IMPVOL",T$1)),_xll.BDH(config!$G$4,T$1,WORKDAY($A774,-1,config_Holiday_Calendar_US),WORKDAY($A774,-1,config_Holiday_Calendar_US)),IF(ISNUMBER(_xll.BDH(config!$G$4,T$1,$A774,$A774)),_xll.BDH(config!$G$4,T$1,$A774,$A774),_xll.BDH(config!$G$5,T$1,$A774,$A774))))</f>
        <v/>
      </c>
      <c r="U774" s="8" t="str">
        <f>IF($A774="","",IF(ISNUMBER(FIND("IMPVOL",U$1)),_xll.BDH(config!$G$4,U$1,WORKDAY($A774,-1,config_Holiday_Calendar_US),WORKDAY($A774,-1,config_Holiday_Calendar_US)),IF(ISNUMBER(_xll.BDH(config!$G$4,U$1,$A774,$A774)),_xll.BDH(config!$G$4,U$1,$A774,$A774),_xll.BDH(config!$G$5,U$1,$A774,$A774))))</f>
        <v/>
      </c>
      <c r="V774" s="8" t="str">
        <f>IF($A774="","",IF(ISNUMBER(FIND("IMPVOL",V$1)),_xll.BDH(config!$G$4,V$1,WORKDAY($A774,-1,config_Holiday_Calendar_US),WORKDAY($A774,-1,config_Holiday_Calendar_US)),IF(ISNUMBER(_xll.BDH(config!$G$4,V$1,$A774,$A774)),_xll.BDH(config!$G$4,V$1,$A774,$A774),_xll.BDH(config!$G$5,V$1,$A774,$A774))))</f>
        <v/>
      </c>
      <c r="W774" s="8" t="str">
        <f>IF($A774="","",IF(ISNUMBER(FIND("IMPVOL",W$1)),_xll.BDH(config!$G$4,W$1,WORKDAY($A774,-1,config_Holiday_Calendar_US),WORKDAY($A774,-1,config_Holiday_Calendar_US)),IF(ISNUMBER(_xll.BDH(config!$G$4,W$1,$A774,$A774)),_xll.BDH(config!$G$4,W$1,$A774,$A774),_xll.BDH(config!$G$5,W$1,$A774,$A774))))</f>
        <v/>
      </c>
    </row>
    <row r="775" spans="1:23" x14ac:dyDescent="0.2">
      <c r="A775" s="9" t="str">
        <f>IF(A774="","",IF(WORKDAY(A774,-1,config_Holiday_Calendar_US)&lt;config!$I$10,"",WORKDAY(A774,-1,config_Holiday_Calendar_US)))</f>
        <v/>
      </c>
      <c r="B775" s="8" t="str">
        <f t="shared" si="12"/>
        <v/>
      </c>
      <c r="C775" s="8" t="str">
        <f>IF(A775="","",_xll.BDH(config!$H$4,C$1,$A775,$A775))</f>
        <v/>
      </c>
      <c r="D775" s="8" t="str">
        <f>IF($A775="","",_xll.BDH(config!$H$4,D$1,$A775,$A775))</f>
        <v/>
      </c>
      <c r="E775" s="8" t="str">
        <f>IF($A775="","",IF(ISNUMBER(FIND("IMPVOL",E$1)),_xll.BDH(config!$G$4,E$1,WORKDAY($A775,-1,config_Holiday_Calendar_US),WORKDAY($A775,-1,config_Holiday_Calendar_US)),IF(ISNUMBER(_xll.BDH(config!$G$4,E$1,$A775,$A775)),_xll.BDH(config!$G$4,E$1,$A775,$A775),_xll.BDH(config!$G$5,E$1,$A775,$A775))))</f>
        <v/>
      </c>
      <c r="F775" s="8" t="str">
        <f>IF($A775="","",IF(ISNUMBER(FIND("IMPVOL",F$1)),_xll.BDH(config!$G$4,F$1,WORKDAY($A775,-1,config_Holiday_Calendar_US),WORKDAY($A775,-1,config_Holiday_Calendar_US)),IF(ISNUMBER(_xll.BDH(config!$G$4,F$1,$A775,$A775)),_xll.BDH(config!$G$4,F$1,$A775,$A775),_xll.BDH(config!$G$5,F$1,$A775,$A775))))</f>
        <v/>
      </c>
      <c r="G775" s="8" t="str">
        <f>IF($A775="","",IF(ISNUMBER(FIND("IMPVOL",G$1)),_xll.BDH(config!$G$4,G$1,WORKDAY($A775,-1,config_Holiday_Calendar_US),WORKDAY($A775,-1,config_Holiday_Calendar_US)),IF(ISNUMBER(_xll.BDH(config!$G$4,G$1,$A775,$A775)),_xll.BDH(config!$G$4,G$1,$A775,$A775),_xll.BDH(config!$G$5,G$1,$A775,$A775))))</f>
        <v/>
      </c>
      <c r="H775" s="8" t="str">
        <f>IF($A775="","",IF(ISNUMBER(FIND("IMPVOL",H$1)),_xll.BDH(config!$G$4,H$1,WORKDAY($A775,-1,config_Holiday_Calendar_US),WORKDAY($A775,-1,config_Holiday_Calendar_US)),IF(ISNUMBER(_xll.BDH(config!$G$4,H$1,$A775,$A775)),_xll.BDH(config!$G$4,H$1,$A775,$A775),_xll.BDH(config!$G$5,H$1,$A775,$A775))))</f>
        <v/>
      </c>
      <c r="I775" s="8" t="str">
        <f>IF($A775="","",IF(ISNUMBER(FIND("IMPVOL",I$1)),_xll.BDH(config!$G$4,I$1,WORKDAY($A775,-1,config_Holiday_Calendar_US),WORKDAY($A775,-1,config_Holiday_Calendar_US)),IF(ISNUMBER(_xll.BDH(config!$G$4,I$1,$A775,$A775)),_xll.BDH(config!$G$4,I$1,$A775,$A775),_xll.BDH(config!$G$5,I$1,$A775,$A775))))</f>
        <v/>
      </c>
      <c r="J775" s="8" t="str">
        <f>IF($A775="","",IF(ISNUMBER(FIND("IMPVOL",J$1)),_xll.BDH(config!$G$4,J$1,WORKDAY($A775,-1,config_Holiday_Calendar_US),WORKDAY($A775,-1,config_Holiday_Calendar_US)),IF(ISNUMBER(_xll.BDH(config!$G$4,J$1,$A775,$A775)),_xll.BDH(config!$G$4,J$1,$A775,$A775),_xll.BDH(config!$G$5,J$1,$A775,$A775))))</f>
        <v/>
      </c>
      <c r="K775" s="8" t="str">
        <f>IF($A775="","",IF(ISNUMBER(FIND("IMPVOL",K$1)),_xll.BDH(config!$G$4,K$1,WORKDAY($A775,-1,config_Holiday_Calendar_US),WORKDAY($A775,-1,config_Holiday_Calendar_US)),IF(ISNUMBER(_xll.BDH(config!$G$4,K$1,$A775,$A775)),_xll.BDH(config!$G$4,K$1,$A775,$A775),_xll.BDH(config!$G$5,K$1,$A775,$A775))))</f>
        <v/>
      </c>
      <c r="L775" s="8" t="str">
        <f>IF($A775="","",IF(ISNUMBER(FIND("IMPVOL",L$1)),_xll.BDH(config!$G$4,L$1,WORKDAY($A775,-1,config_Holiday_Calendar_US),WORKDAY($A775,-1,config_Holiday_Calendar_US)),IF(ISNUMBER(_xll.BDH(config!$G$4,L$1,$A775,$A775)),_xll.BDH(config!$G$4,L$1,$A775,$A775),_xll.BDH(config!$G$5,L$1,$A775,$A775))))</f>
        <v/>
      </c>
      <c r="M775" s="8" t="str">
        <f>IF($A775="","",IF(ISNUMBER(FIND("IMPVOL",M$1)),_xll.BDH(config!$G$4,M$1,WORKDAY($A775,-1,config_Holiday_Calendar_US),WORKDAY($A775,-1,config_Holiday_Calendar_US)),IF(ISNUMBER(_xll.BDH(config!$G$4,M$1,$A775,$A775)),_xll.BDH(config!$G$4,M$1,$A775,$A775),_xll.BDH(config!$G$5,M$1,$A775,$A775))))</f>
        <v/>
      </c>
      <c r="N775" s="8" t="str">
        <f>IF($A775="","",IF(ISNUMBER(FIND("IMPVOL",N$1)),_xll.BDH(config!$G$4,N$1,WORKDAY($A775,-1,config_Holiday_Calendar_US),WORKDAY($A775,-1,config_Holiday_Calendar_US)),IF(ISNUMBER(_xll.BDH(config!$G$4,N$1,$A775,$A775)),_xll.BDH(config!$G$4,N$1,$A775,$A775),_xll.BDH(config!$G$5,N$1,$A775,$A775))))</f>
        <v/>
      </c>
      <c r="O775" s="8" t="str">
        <f>IF($A775="","",IF(ISNUMBER(FIND("IMPVOL",O$1)),_xll.BDH(config!$G$4,O$1,WORKDAY($A775,-1,config_Holiday_Calendar_US),WORKDAY($A775,-1,config_Holiday_Calendar_US)),IF(ISNUMBER(_xll.BDH(config!$G$4,O$1,$A775,$A775)),_xll.BDH(config!$G$4,O$1,$A775,$A775),_xll.BDH(config!$G$5,O$1,$A775,$A775))))</f>
        <v/>
      </c>
      <c r="P775" s="8" t="str">
        <f>IF($A775="","",IF(ISNUMBER(FIND("IMPVOL",P$1)),_xll.BDH(config!$G$4,P$1,WORKDAY($A775,-1,config_Holiday_Calendar_US),WORKDAY($A775,-1,config_Holiday_Calendar_US)),IF(ISNUMBER(_xll.BDH(config!$G$4,P$1,$A775,$A775)),_xll.BDH(config!$G$4,P$1,$A775,$A775),_xll.BDH(config!$G$5,P$1,$A775,$A775))))</f>
        <v/>
      </c>
      <c r="Q775" s="8" t="str">
        <f>IF($A775="","",IF(ISNUMBER(FIND("IMPVOL",Q$1)),_xll.BDH(config!$G$4,Q$1,WORKDAY($A775,-1,config_Holiday_Calendar_US),WORKDAY($A775,-1,config_Holiday_Calendar_US)),IF(ISNUMBER(_xll.BDH(config!$G$4,Q$1,$A775,$A775)),_xll.BDH(config!$G$4,Q$1,$A775,$A775),_xll.BDH(config!$G$5,Q$1,$A775,$A775))))</f>
        <v/>
      </c>
      <c r="R775" s="8" t="str">
        <f>IF($A775="","",IF(ISNUMBER(FIND("IMPVOL",R$1)),_xll.BDH(config!$G$4,R$1,WORKDAY($A775,-1,config_Holiday_Calendar_US),WORKDAY($A775,-1,config_Holiday_Calendar_US)),IF(ISNUMBER(_xll.BDH(config!$G$4,R$1,$A775,$A775)),_xll.BDH(config!$G$4,R$1,$A775,$A775),_xll.BDH(config!$G$5,R$1,$A775,$A775))))</f>
        <v/>
      </c>
      <c r="S775" s="8" t="str">
        <f>IF($A775="","",IF(ISNUMBER(FIND("IMPVOL",S$1)),_xll.BDH(config!$G$4,S$1,WORKDAY($A775,-1,config_Holiday_Calendar_US),WORKDAY($A775,-1,config_Holiday_Calendar_US)),IF(ISNUMBER(_xll.BDH(config!$G$4,S$1,$A775,$A775)),_xll.BDH(config!$G$4,S$1,$A775,$A775),_xll.BDH(config!$G$5,S$1,$A775,$A775))))</f>
        <v/>
      </c>
      <c r="T775" s="8" t="str">
        <f>IF($A775="","",IF(ISNUMBER(FIND("IMPVOL",T$1)),_xll.BDH(config!$G$4,T$1,WORKDAY($A775,-1,config_Holiday_Calendar_US),WORKDAY($A775,-1,config_Holiday_Calendar_US)),IF(ISNUMBER(_xll.BDH(config!$G$4,T$1,$A775,$A775)),_xll.BDH(config!$G$4,T$1,$A775,$A775),_xll.BDH(config!$G$5,T$1,$A775,$A775))))</f>
        <v/>
      </c>
      <c r="U775" s="8" t="str">
        <f>IF($A775="","",IF(ISNUMBER(FIND("IMPVOL",U$1)),_xll.BDH(config!$G$4,U$1,WORKDAY($A775,-1,config_Holiday_Calendar_US),WORKDAY($A775,-1,config_Holiday_Calendar_US)),IF(ISNUMBER(_xll.BDH(config!$G$4,U$1,$A775,$A775)),_xll.BDH(config!$G$4,U$1,$A775,$A775),_xll.BDH(config!$G$5,U$1,$A775,$A775))))</f>
        <v/>
      </c>
      <c r="V775" s="8" t="str">
        <f>IF($A775="","",IF(ISNUMBER(FIND("IMPVOL",V$1)),_xll.BDH(config!$G$4,V$1,WORKDAY($A775,-1,config_Holiday_Calendar_US),WORKDAY($A775,-1,config_Holiday_Calendar_US)),IF(ISNUMBER(_xll.BDH(config!$G$4,V$1,$A775,$A775)),_xll.BDH(config!$G$4,V$1,$A775,$A775),_xll.BDH(config!$G$5,V$1,$A775,$A775))))</f>
        <v/>
      </c>
      <c r="W775" s="8" t="str">
        <f>IF($A775="","",IF(ISNUMBER(FIND("IMPVOL",W$1)),_xll.BDH(config!$G$4,W$1,WORKDAY($A775,-1,config_Holiday_Calendar_US),WORKDAY($A775,-1,config_Holiday_Calendar_US)),IF(ISNUMBER(_xll.BDH(config!$G$4,W$1,$A775,$A775)),_xll.BDH(config!$G$4,W$1,$A775,$A775),_xll.BDH(config!$G$5,W$1,$A775,$A775))))</f>
        <v/>
      </c>
    </row>
    <row r="776" spans="1:23" x14ac:dyDescent="0.2">
      <c r="A776" s="9" t="str">
        <f>IF(A775="","",IF(WORKDAY(A775,-1,config_Holiday_Calendar_US)&lt;config!$I$10,"",WORKDAY(A775,-1,config_Holiday_Calendar_US)))</f>
        <v/>
      </c>
      <c r="B776" s="8" t="str">
        <f t="shared" si="12"/>
        <v/>
      </c>
      <c r="C776" s="8" t="str">
        <f>IF(A776="","",_xll.BDH(config!$H$4,C$1,$A776,$A776))</f>
        <v/>
      </c>
      <c r="D776" s="8" t="str">
        <f>IF($A776="","",_xll.BDH(config!$H$4,D$1,$A776,$A776))</f>
        <v/>
      </c>
      <c r="E776" s="8" t="str">
        <f>IF($A776="","",IF(ISNUMBER(FIND("IMPVOL",E$1)),_xll.BDH(config!$G$4,E$1,WORKDAY($A776,-1,config_Holiday_Calendar_US),WORKDAY($A776,-1,config_Holiday_Calendar_US)),IF(ISNUMBER(_xll.BDH(config!$G$4,E$1,$A776,$A776)),_xll.BDH(config!$G$4,E$1,$A776,$A776),_xll.BDH(config!$G$5,E$1,$A776,$A776))))</f>
        <v/>
      </c>
      <c r="F776" s="8" t="str">
        <f>IF($A776="","",IF(ISNUMBER(FIND("IMPVOL",F$1)),_xll.BDH(config!$G$4,F$1,WORKDAY($A776,-1,config_Holiday_Calendar_US),WORKDAY($A776,-1,config_Holiday_Calendar_US)),IF(ISNUMBER(_xll.BDH(config!$G$4,F$1,$A776,$A776)),_xll.BDH(config!$G$4,F$1,$A776,$A776),_xll.BDH(config!$G$5,F$1,$A776,$A776))))</f>
        <v/>
      </c>
      <c r="G776" s="8" t="str">
        <f>IF($A776="","",IF(ISNUMBER(FIND("IMPVOL",G$1)),_xll.BDH(config!$G$4,G$1,WORKDAY($A776,-1,config_Holiday_Calendar_US),WORKDAY($A776,-1,config_Holiday_Calendar_US)),IF(ISNUMBER(_xll.BDH(config!$G$4,G$1,$A776,$A776)),_xll.BDH(config!$G$4,G$1,$A776,$A776),_xll.BDH(config!$G$5,G$1,$A776,$A776))))</f>
        <v/>
      </c>
      <c r="H776" s="8" t="str">
        <f>IF($A776="","",IF(ISNUMBER(FIND("IMPVOL",H$1)),_xll.BDH(config!$G$4,H$1,WORKDAY($A776,-1,config_Holiday_Calendar_US),WORKDAY($A776,-1,config_Holiday_Calendar_US)),IF(ISNUMBER(_xll.BDH(config!$G$4,H$1,$A776,$A776)),_xll.BDH(config!$G$4,H$1,$A776,$A776),_xll.BDH(config!$G$5,H$1,$A776,$A776))))</f>
        <v/>
      </c>
      <c r="I776" s="8" t="str">
        <f>IF($A776="","",IF(ISNUMBER(FIND("IMPVOL",I$1)),_xll.BDH(config!$G$4,I$1,WORKDAY($A776,-1,config_Holiday_Calendar_US),WORKDAY($A776,-1,config_Holiday_Calendar_US)),IF(ISNUMBER(_xll.BDH(config!$G$4,I$1,$A776,$A776)),_xll.BDH(config!$G$4,I$1,$A776,$A776),_xll.BDH(config!$G$5,I$1,$A776,$A776))))</f>
        <v/>
      </c>
      <c r="J776" s="8" t="str">
        <f>IF($A776="","",IF(ISNUMBER(FIND("IMPVOL",J$1)),_xll.BDH(config!$G$4,J$1,WORKDAY($A776,-1,config_Holiday_Calendar_US),WORKDAY($A776,-1,config_Holiday_Calendar_US)),IF(ISNUMBER(_xll.BDH(config!$G$4,J$1,$A776,$A776)),_xll.BDH(config!$G$4,J$1,$A776,$A776),_xll.BDH(config!$G$5,J$1,$A776,$A776))))</f>
        <v/>
      </c>
      <c r="K776" s="8" t="str">
        <f>IF($A776="","",IF(ISNUMBER(FIND("IMPVOL",K$1)),_xll.BDH(config!$G$4,K$1,WORKDAY($A776,-1,config_Holiday_Calendar_US),WORKDAY($A776,-1,config_Holiday_Calendar_US)),IF(ISNUMBER(_xll.BDH(config!$G$4,K$1,$A776,$A776)),_xll.BDH(config!$G$4,K$1,$A776,$A776),_xll.BDH(config!$G$5,K$1,$A776,$A776))))</f>
        <v/>
      </c>
      <c r="L776" s="8" t="str">
        <f>IF($A776="","",IF(ISNUMBER(FIND("IMPVOL",L$1)),_xll.BDH(config!$G$4,L$1,WORKDAY($A776,-1,config_Holiday_Calendar_US),WORKDAY($A776,-1,config_Holiday_Calendar_US)),IF(ISNUMBER(_xll.BDH(config!$G$4,L$1,$A776,$A776)),_xll.BDH(config!$G$4,L$1,$A776,$A776),_xll.BDH(config!$G$5,L$1,$A776,$A776))))</f>
        <v/>
      </c>
      <c r="M776" s="8" t="str">
        <f>IF($A776="","",IF(ISNUMBER(FIND("IMPVOL",M$1)),_xll.BDH(config!$G$4,M$1,WORKDAY($A776,-1,config_Holiday_Calendar_US),WORKDAY($A776,-1,config_Holiday_Calendar_US)),IF(ISNUMBER(_xll.BDH(config!$G$4,M$1,$A776,$A776)),_xll.BDH(config!$G$4,M$1,$A776,$A776),_xll.BDH(config!$G$5,M$1,$A776,$A776))))</f>
        <v/>
      </c>
      <c r="N776" s="8" t="str">
        <f>IF($A776="","",IF(ISNUMBER(FIND("IMPVOL",N$1)),_xll.BDH(config!$G$4,N$1,WORKDAY($A776,-1,config_Holiday_Calendar_US),WORKDAY($A776,-1,config_Holiday_Calendar_US)),IF(ISNUMBER(_xll.BDH(config!$G$4,N$1,$A776,$A776)),_xll.BDH(config!$G$4,N$1,$A776,$A776),_xll.BDH(config!$G$5,N$1,$A776,$A776))))</f>
        <v/>
      </c>
      <c r="O776" s="8" t="str">
        <f>IF($A776="","",IF(ISNUMBER(FIND("IMPVOL",O$1)),_xll.BDH(config!$G$4,O$1,WORKDAY($A776,-1,config_Holiday_Calendar_US),WORKDAY($A776,-1,config_Holiday_Calendar_US)),IF(ISNUMBER(_xll.BDH(config!$G$4,O$1,$A776,$A776)),_xll.BDH(config!$G$4,O$1,$A776,$A776),_xll.BDH(config!$G$5,O$1,$A776,$A776))))</f>
        <v/>
      </c>
      <c r="P776" s="8" t="str">
        <f>IF($A776="","",IF(ISNUMBER(FIND("IMPVOL",P$1)),_xll.BDH(config!$G$4,P$1,WORKDAY($A776,-1,config_Holiday_Calendar_US),WORKDAY($A776,-1,config_Holiday_Calendar_US)),IF(ISNUMBER(_xll.BDH(config!$G$4,P$1,$A776,$A776)),_xll.BDH(config!$G$4,P$1,$A776,$A776),_xll.BDH(config!$G$5,P$1,$A776,$A776))))</f>
        <v/>
      </c>
      <c r="Q776" s="8" t="str">
        <f>IF($A776="","",IF(ISNUMBER(FIND("IMPVOL",Q$1)),_xll.BDH(config!$G$4,Q$1,WORKDAY($A776,-1,config_Holiday_Calendar_US),WORKDAY($A776,-1,config_Holiday_Calendar_US)),IF(ISNUMBER(_xll.BDH(config!$G$4,Q$1,$A776,$A776)),_xll.BDH(config!$G$4,Q$1,$A776,$A776),_xll.BDH(config!$G$5,Q$1,$A776,$A776))))</f>
        <v/>
      </c>
      <c r="R776" s="8" t="str">
        <f>IF($A776="","",IF(ISNUMBER(FIND("IMPVOL",R$1)),_xll.BDH(config!$G$4,R$1,WORKDAY($A776,-1,config_Holiday_Calendar_US),WORKDAY($A776,-1,config_Holiday_Calendar_US)),IF(ISNUMBER(_xll.BDH(config!$G$4,R$1,$A776,$A776)),_xll.BDH(config!$G$4,R$1,$A776,$A776),_xll.BDH(config!$G$5,R$1,$A776,$A776))))</f>
        <v/>
      </c>
      <c r="S776" s="8" t="str">
        <f>IF($A776="","",IF(ISNUMBER(FIND("IMPVOL",S$1)),_xll.BDH(config!$G$4,S$1,WORKDAY($A776,-1,config_Holiday_Calendar_US),WORKDAY($A776,-1,config_Holiday_Calendar_US)),IF(ISNUMBER(_xll.BDH(config!$G$4,S$1,$A776,$A776)),_xll.BDH(config!$G$4,S$1,$A776,$A776),_xll.BDH(config!$G$5,S$1,$A776,$A776))))</f>
        <v/>
      </c>
      <c r="T776" s="8" t="str">
        <f>IF($A776="","",IF(ISNUMBER(FIND("IMPVOL",T$1)),_xll.BDH(config!$G$4,T$1,WORKDAY($A776,-1,config_Holiday_Calendar_US),WORKDAY($A776,-1,config_Holiday_Calendar_US)),IF(ISNUMBER(_xll.BDH(config!$G$4,T$1,$A776,$A776)),_xll.BDH(config!$G$4,T$1,$A776,$A776),_xll.BDH(config!$G$5,T$1,$A776,$A776))))</f>
        <v/>
      </c>
      <c r="U776" s="8" t="str">
        <f>IF($A776="","",IF(ISNUMBER(FIND("IMPVOL",U$1)),_xll.BDH(config!$G$4,U$1,WORKDAY($A776,-1,config_Holiday_Calendar_US),WORKDAY($A776,-1,config_Holiday_Calendar_US)),IF(ISNUMBER(_xll.BDH(config!$G$4,U$1,$A776,$A776)),_xll.BDH(config!$G$4,U$1,$A776,$A776),_xll.BDH(config!$G$5,U$1,$A776,$A776))))</f>
        <v/>
      </c>
      <c r="V776" s="8" t="str">
        <f>IF($A776="","",IF(ISNUMBER(FIND("IMPVOL",V$1)),_xll.BDH(config!$G$4,V$1,WORKDAY($A776,-1,config_Holiday_Calendar_US),WORKDAY($A776,-1,config_Holiday_Calendar_US)),IF(ISNUMBER(_xll.BDH(config!$G$4,V$1,$A776,$A776)),_xll.BDH(config!$G$4,V$1,$A776,$A776),_xll.BDH(config!$G$5,V$1,$A776,$A776))))</f>
        <v/>
      </c>
      <c r="W776" s="8" t="str">
        <f>IF($A776="","",IF(ISNUMBER(FIND("IMPVOL",W$1)),_xll.BDH(config!$G$4,W$1,WORKDAY($A776,-1,config_Holiday_Calendar_US),WORKDAY($A776,-1,config_Holiday_Calendar_US)),IF(ISNUMBER(_xll.BDH(config!$G$4,W$1,$A776,$A776)),_xll.BDH(config!$G$4,W$1,$A776,$A776),_xll.BDH(config!$G$5,W$1,$A776,$A776))))</f>
        <v/>
      </c>
    </row>
    <row r="777" spans="1:23" x14ac:dyDescent="0.2">
      <c r="A777" s="9" t="str">
        <f>IF(A776="","",IF(WORKDAY(A776,-1,config_Holiday_Calendar_US)&lt;config!$I$10,"",WORKDAY(A776,-1,config_Holiday_Calendar_US)))</f>
        <v/>
      </c>
      <c r="B777" s="8" t="str">
        <f t="shared" si="12"/>
        <v/>
      </c>
      <c r="C777" s="8" t="str">
        <f>IF(A777="","",_xll.BDH(config!$H$4,C$1,$A777,$A777))</f>
        <v/>
      </c>
      <c r="D777" s="8" t="str">
        <f>IF($A777="","",_xll.BDH(config!$H$4,D$1,$A777,$A777))</f>
        <v/>
      </c>
      <c r="E777" s="8" t="str">
        <f>IF($A777="","",IF(ISNUMBER(FIND("IMPVOL",E$1)),_xll.BDH(config!$G$4,E$1,WORKDAY($A777,-1,config_Holiday_Calendar_US),WORKDAY($A777,-1,config_Holiday_Calendar_US)),IF(ISNUMBER(_xll.BDH(config!$G$4,E$1,$A777,$A777)),_xll.BDH(config!$G$4,E$1,$A777,$A777),_xll.BDH(config!$G$5,E$1,$A777,$A777))))</f>
        <v/>
      </c>
      <c r="F777" s="8" t="str">
        <f>IF($A777="","",IF(ISNUMBER(FIND("IMPVOL",F$1)),_xll.BDH(config!$G$4,F$1,WORKDAY($A777,-1,config_Holiday_Calendar_US),WORKDAY($A777,-1,config_Holiday_Calendar_US)),IF(ISNUMBER(_xll.BDH(config!$G$4,F$1,$A777,$A777)),_xll.BDH(config!$G$4,F$1,$A777,$A777),_xll.BDH(config!$G$5,F$1,$A777,$A777))))</f>
        <v/>
      </c>
      <c r="G777" s="8" t="str">
        <f>IF($A777="","",IF(ISNUMBER(FIND("IMPVOL",G$1)),_xll.BDH(config!$G$4,G$1,WORKDAY($A777,-1,config_Holiday_Calendar_US),WORKDAY($A777,-1,config_Holiday_Calendar_US)),IF(ISNUMBER(_xll.BDH(config!$G$4,G$1,$A777,$A777)),_xll.BDH(config!$G$4,G$1,$A777,$A777),_xll.BDH(config!$G$5,G$1,$A777,$A777))))</f>
        <v/>
      </c>
      <c r="H777" s="8" t="str">
        <f>IF($A777="","",IF(ISNUMBER(FIND("IMPVOL",H$1)),_xll.BDH(config!$G$4,H$1,WORKDAY($A777,-1,config_Holiday_Calendar_US),WORKDAY($A777,-1,config_Holiday_Calendar_US)),IF(ISNUMBER(_xll.BDH(config!$G$4,H$1,$A777,$A777)),_xll.BDH(config!$G$4,H$1,$A777,$A777),_xll.BDH(config!$G$5,H$1,$A777,$A777))))</f>
        <v/>
      </c>
      <c r="I777" s="8" t="str">
        <f>IF($A777="","",IF(ISNUMBER(FIND("IMPVOL",I$1)),_xll.BDH(config!$G$4,I$1,WORKDAY($A777,-1,config_Holiday_Calendar_US),WORKDAY($A777,-1,config_Holiday_Calendar_US)),IF(ISNUMBER(_xll.BDH(config!$G$4,I$1,$A777,$A777)),_xll.BDH(config!$G$4,I$1,$A777,$A777),_xll.BDH(config!$G$5,I$1,$A777,$A777))))</f>
        <v/>
      </c>
      <c r="J777" s="8" t="str">
        <f>IF($A777="","",IF(ISNUMBER(FIND("IMPVOL",J$1)),_xll.BDH(config!$G$4,J$1,WORKDAY($A777,-1,config_Holiday_Calendar_US),WORKDAY($A777,-1,config_Holiday_Calendar_US)),IF(ISNUMBER(_xll.BDH(config!$G$4,J$1,$A777,$A777)),_xll.BDH(config!$G$4,J$1,$A777,$A777),_xll.BDH(config!$G$5,J$1,$A777,$A777))))</f>
        <v/>
      </c>
      <c r="K777" s="8" t="str">
        <f>IF($A777="","",IF(ISNUMBER(FIND("IMPVOL",K$1)),_xll.BDH(config!$G$4,K$1,WORKDAY($A777,-1,config_Holiday_Calendar_US),WORKDAY($A777,-1,config_Holiday_Calendar_US)),IF(ISNUMBER(_xll.BDH(config!$G$4,K$1,$A777,$A777)),_xll.BDH(config!$G$4,K$1,$A777,$A777),_xll.BDH(config!$G$5,K$1,$A777,$A777))))</f>
        <v/>
      </c>
      <c r="L777" s="8" t="str">
        <f>IF($A777="","",IF(ISNUMBER(FIND("IMPVOL",L$1)),_xll.BDH(config!$G$4,L$1,WORKDAY($A777,-1,config_Holiday_Calendar_US),WORKDAY($A777,-1,config_Holiday_Calendar_US)),IF(ISNUMBER(_xll.BDH(config!$G$4,L$1,$A777,$A777)),_xll.BDH(config!$G$4,L$1,$A777,$A777),_xll.BDH(config!$G$5,L$1,$A777,$A777))))</f>
        <v/>
      </c>
      <c r="M777" s="8" t="str">
        <f>IF($A777="","",IF(ISNUMBER(FIND("IMPVOL",M$1)),_xll.BDH(config!$G$4,M$1,WORKDAY($A777,-1,config_Holiday_Calendar_US),WORKDAY($A777,-1,config_Holiday_Calendar_US)),IF(ISNUMBER(_xll.BDH(config!$G$4,M$1,$A777,$A777)),_xll.BDH(config!$G$4,M$1,$A777,$A777),_xll.BDH(config!$G$5,M$1,$A777,$A777))))</f>
        <v/>
      </c>
      <c r="N777" s="8" t="str">
        <f>IF($A777="","",IF(ISNUMBER(FIND("IMPVOL",N$1)),_xll.BDH(config!$G$4,N$1,WORKDAY($A777,-1,config_Holiday_Calendar_US),WORKDAY($A777,-1,config_Holiday_Calendar_US)),IF(ISNUMBER(_xll.BDH(config!$G$4,N$1,$A777,$A777)),_xll.BDH(config!$G$4,N$1,$A777,$A777),_xll.BDH(config!$G$5,N$1,$A777,$A777))))</f>
        <v/>
      </c>
      <c r="O777" s="8" t="str">
        <f>IF($A777="","",IF(ISNUMBER(FIND("IMPVOL",O$1)),_xll.BDH(config!$G$4,O$1,WORKDAY($A777,-1,config_Holiday_Calendar_US),WORKDAY($A777,-1,config_Holiday_Calendar_US)),IF(ISNUMBER(_xll.BDH(config!$G$4,O$1,$A777,$A777)),_xll.BDH(config!$G$4,O$1,$A777,$A777),_xll.BDH(config!$G$5,O$1,$A777,$A777))))</f>
        <v/>
      </c>
      <c r="P777" s="8" t="str">
        <f>IF($A777="","",IF(ISNUMBER(FIND("IMPVOL",P$1)),_xll.BDH(config!$G$4,P$1,WORKDAY($A777,-1,config_Holiday_Calendar_US),WORKDAY($A777,-1,config_Holiday_Calendar_US)),IF(ISNUMBER(_xll.BDH(config!$G$4,P$1,$A777,$A777)),_xll.BDH(config!$G$4,P$1,$A777,$A777),_xll.BDH(config!$G$5,P$1,$A777,$A777))))</f>
        <v/>
      </c>
      <c r="Q777" s="8" t="str">
        <f>IF($A777="","",IF(ISNUMBER(FIND("IMPVOL",Q$1)),_xll.BDH(config!$G$4,Q$1,WORKDAY($A777,-1,config_Holiday_Calendar_US),WORKDAY($A777,-1,config_Holiday_Calendar_US)),IF(ISNUMBER(_xll.BDH(config!$G$4,Q$1,$A777,$A777)),_xll.BDH(config!$G$4,Q$1,$A777,$A777),_xll.BDH(config!$G$5,Q$1,$A777,$A777))))</f>
        <v/>
      </c>
      <c r="R777" s="8" t="str">
        <f>IF($A777="","",IF(ISNUMBER(FIND("IMPVOL",R$1)),_xll.BDH(config!$G$4,R$1,WORKDAY($A777,-1,config_Holiday_Calendar_US),WORKDAY($A777,-1,config_Holiday_Calendar_US)),IF(ISNUMBER(_xll.BDH(config!$G$4,R$1,$A777,$A777)),_xll.BDH(config!$G$4,R$1,$A777,$A777),_xll.BDH(config!$G$5,R$1,$A777,$A777))))</f>
        <v/>
      </c>
      <c r="S777" s="8" t="str">
        <f>IF($A777="","",IF(ISNUMBER(FIND("IMPVOL",S$1)),_xll.BDH(config!$G$4,S$1,WORKDAY($A777,-1,config_Holiday_Calendar_US),WORKDAY($A777,-1,config_Holiday_Calendar_US)),IF(ISNUMBER(_xll.BDH(config!$G$4,S$1,$A777,$A777)),_xll.BDH(config!$G$4,S$1,$A777,$A777),_xll.BDH(config!$G$5,S$1,$A777,$A777))))</f>
        <v/>
      </c>
      <c r="T777" s="8" t="str">
        <f>IF($A777="","",IF(ISNUMBER(FIND("IMPVOL",T$1)),_xll.BDH(config!$G$4,T$1,WORKDAY($A777,-1,config_Holiday_Calendar_US),WORKDAY($A777,-1,config_Holiday_Calendar_US)),IF(ISNUMBER(_xll.BDH(config!$G$4,T$1,$A777,$A777)),_xll.BDH(config!$G$4,T$1,$A777,$A777),_xll.BDH(config!$G$5,T$1,$A777,$A777))))</f>
        <v/>
      </c>
      <c r="U777" s="8" t="str">
        <f>IF($A777="","",IF(ISNUMBER(FIND("IMPVOL",U$1)),_xll.BDH(config!$G$4,U$1,WORKDAY($A777,-1,config_Holiday_Calendar_US),WORKDAY($A777,-1,config_Holiday_Calendar_US)),IF(ISNUMBER(_xll.BDH(config!$G$4,U$1,$A777,$A777)),_xll.BDH(config!$G$4,U$1,$A777,$A777),_xll.BDH(config!$G$5,U$1,$A777,$A777))))</f>
        <v/>
      </c>
      <c r="V777" s="8" t="str">
        <f>IF($A777="","",IF(ISNUMBER(FIND("IMPVOL",V$1)),_xll.BDH(config!$G$4,V$1,WORKDAY($A777,-1,config_Holiday_Calendar_US),WORKDAY($A777,-1,config_Holiday_Calendar_US)),IF(ISNUMBER(_xll.BDH(config!$G$4,V$1,$A777,$A777)),_xll.BDH(config!$G$4,V$1,$A777,$A777),_xll.BDH(config!$G$5,V$1,$A777,$A777))))</f>
        <v/>
      </c>
      <c r="W777" s="8" t="str">
        <f>IF($A777="","",IF(ISNUMBER(FIND("IMPVOL",W$1)),_xll.BDH(config!$G$4,W$1,WORKDAY($A777,-1,config_Holiday_Calendar_US),WORKDAY($A777,-1,config_Holiday_Calendar_US)),IF(ISNUMBER(_xll.BDH(config!$G$4,W$1,$A777,$A777)),_xll.BDH(config!$G$4,W$1,$A777,$A777),_xll.BDH(config!$G$5,W$1,$A777,$A777))))</f>
        <v/>
      </c>
    </row>
    <row r="778" spans="1:23" x14ac:dyDescent="0.2">
      <c r="A778" s="9" t="str">
        <f>IF(A777="","",IF(WORKDAY(A777,-1,config_Holiday_Calendar_US)&lt;config!$I$10,"",WORKDAY(A777,-1,config_Holiday_Calendar_US)))</f>
        <v/>
      </c>
      <c r="B778" s="8" t="str">
        <f t="shared" si="12"/>
        <v/>
      </c>
      <c r="C778" s="8" t="str">
        <f>IF(A778="","",_xll.BDH(config!$H$4,C$1,$A778,$A778))</f>
        <v/>
      </c>
      <c r="D778" s="8" t="str">
        <f>IF($A778="","",_xll.BDH(config!$H$4,D$1,$A778,$A778))</f>
        <v/>
      </c>
      <c r="E778" s="8" t="str">
        <f>IF($A778="","",IF(ISNUMBER(FIND("IMPVOL",E$1)),_xll.BDH(config!$G$4,E$1,WORKDAY($A778,-1,config_Holiday_Calendar_US),WORKDAY($A778,-1,config_Holiday_Calendar_US)),IF(ISNUMBER(_xll.BDH(config!$G$4,E$1,$A778,$A778)),_xll.BDH(config!$G$4,E$1,$A778,$A778),_xll.BDH(config!$G$5,E$1,$A778,$A778))))</f>
        <v/>
      </c>
      <c r="F778" s="8" t="str">
        <f>IF($A778="","",IF(ISNUMBER(FIND("IMPVOL",F$1)),_xll.BDH(config!$G$4,F$1,WORKDAY($A778,-1,config_Holiday_Calendar_US),WORKDAY($A778,-1,config_Holiday_Calendar_US)),IF(ISNUMBER(_xll.BDH(config!$G$4,F$1,$A778,$A778)),_xll.BDH(config!$G$4,F$1,$A778,$A778),_xll.BDH(config!$G$5,F$1,$A778,$A778))))</f>
        <v/>
      </c>
      <c r="G778" s="8" t="str">
        <f>IF($A778="","",IF(ISNUMBER(FIND("IMPVOL",G$1)),_xll.BDH(config!$G$4,G$1,WORKDAY($A778,-1,config_Holiday_Calendar_US),WORKDAY($A778,-1,config_Holiday_Calendar_US)),IF(ISNUMBER(_xll.BDH(config!$G$4,G$1,$A778,$A778)),_xll.BDH(config!$G$4,G$1,$A778,$A778),_xll.BDH(config!$G$5,G$1,$A778,$A778))))</f>
        <v/>
      </c>
      <c r="H778" s="8" t="str">
        <f>IF($A778="","",IF(ISNUMBER(FIND("IMPVOL",H$1)),_xll.BDH(config!$G$4,H$1,WORKDAY($A778,-1,config_Holiday_Calendar_US),WORKDAY($A778,-1,config_Holiday_Calendar_US)),IF(ISNUMBER(_xll.BDH(config!$G$4,H$1,$A778,$A778)),_xll.BDH(config!$G$4,H$1,$A778,$A778),_xll.BDH(config!$G$5,H$1,$A778,$A778))))</f>
        <v/>
      </c>
      <c r="I778" s="8" t="str">
        <f>IF($A778="","",IF(ISNUMBER(FIND("IMPVOL",I$1)),_xll.BDH(config!$G$4,I$1,WORKDAY($A778,-1,config_Holiday_Calendar_US),WORKDAY($A778,-1,config_Holiday_Calendar_US)),IF(ISNUMBER(_xll.BDH(config!$G$4,I$1,$A778,$A778)),_xll.BDH(config!$G$4,I$1,$A778,$A778),_xll.BDH(config!$G$5,I$1,$A778,$A778))))</f>
        <v/>
      </c>
      <c r="J778" s="8" t="str">
        <f>IF($A778="","",IF(ISNUMBER(FIND("IMPVOL",J$1)),_xll.BDH(config!$G$4,J$1,WORKDAY($A778,-1,config_Holiday_Calendar_US),WORKDAY($A778,-1,config_Holiday_Calendar_US)),IF(ISNUMBER(_xll.BDH(config!$G$4,J$1,$A778,$A778)),_xll.BDH(config!$G$4,J$1,$A778,$A778),_xll.BDH(config!$G$5,J$1,$A778,$A778))))</f>
        <v/>
      </c>
      <c r="K778" s="8" t="str">
        <f>IF($A778="","",IF(ISNUMBER(FIND("IMPVOL",K$1)),_xll.BDH(config!$G$4,K$1,WORKDAY($A778,-1,config_Holiday_Calendar_US),WORKDAY($A778,-1,config_Holiday_Calendar_US)),IF(ISNUMBER(_xll.BDH(config!$G$4,K$1,$A778,$A778)),_xll.BDH(config!$G$4,K$1,$A778,$A778),_xll.BDH(config!$G$5,K$1,$A778,$A778))))</f>
        <v/>
      </c>
      <c r="L778" s="8" t="str">
        <f>IF($A778="","",IF(ISNUMBER(FIND("IMPVOL",L$1)),_xll.BDH(config!$G$4,L$1,WORKDAY($A778,-1,config_Holiday_Calendar_US),WORKDAY($A778,-1,config_Holiday_Calendar_US)),IF(ISNUMBER(_xll.BDH(config!$G$4,L$1,$A778,$A778)),_xll.BDH(config!$G$4,L$1,$A778,$A778),_xll.BDH(config!$G$5,L$1,$A778,$A778))))</f>
        <v/>
      </c>
      <c r="M778" s="8" t="str">
        <f>IF($A778="","",IF(ISNUMBER(FIND("IMPVOL",M$1)),_xll.BDH(config!$G$4,M$1,WORKDAY($A778,-1,config_Holiday_Calendar_US),WORKDAY($A778,-1,config_Holiday_Calendar_US)),IF(ISNUMBER(_xll.BDH(config!$G$4,M$1,$A778,$A778)),_xll.BDH(config!$G$4,M$1,$A778,$A778),_xll.BDH(config!$G$5,M$1,$A778,$A778))))</f>
        <v/>
      </c>
      <c r="N778" s="8" t="str">
        <f>IF($A778="","",IF(ISNUMBER(FIND("IMPVOL",N$1)),_xll.BDH(config!$G$4,N$1,WORKDAY($A778,-1,config_Holiday_Calendar_US),WORKDAY($A778,-1,config_Holiday_Calendar_US)),IF(ISNUMBER(_xll.BDH(config!$G$4,N$1,$A778,$A778)),_xll.BDH(config!$G$4,N$1,$A778,$A778),_xll.BDH(config!$G$5,N$1,$A778,$A778))))</f>
        <v/>
      </c>
      <c r="O778" s="8" t="str">
        <f>IF($A778="","",IF(ISNUMBER(FIND("IMPVOL",O$1)),_xll.BDH(config!$G$4,O$1,WORKDAY($A778,-1,config_Holiday_Calendar_US),WORKDAY($A778,-1,config_Holiday_Calendar_US)),IF(ISNUMBER(_xll.BDH(config!$G$4,O$1,$A778,$A778)),_xll.BDH(config!$G$4,O$1,$A778,$A778),_xll.BDH(config!$G$5,O$1,$A778,$A778))))</f>
        <v/>
      </c>
      <c r="P778" s="8" t="str">
        <f>IF($A778="","",IF(ISNUMBER(FIND("IMPVOL",P$1)),_xll.BDH(config!$G$4,P$1,WORKDAY($A778,-1,config_Holiday_Calendar_US),WORKDAY($A778,-1,config_Holiday_Calendar_US)),IF(ISNUMBER(_xll.BDH(config!$G$4,P$1,$A778,$A778)),_xll.BDH(config!$G$4,P$1,$A778,$A778),_xll.BDH(config!$G$5,P$1,$A778,$A778))))</f>
        <v/>
      </c>
      <c r="Q778" s="8" t="str">
        <f>IF($A778="","",IF(ISNUMBER(FIND("IMPVOL",Q$1)),_xll.BDH(config!$G$4,Q$1,WORKDAY($A778,-1,config_Holiday_Calendar_US),WORKDAY($A778,-1,config_Holiday_Calendar_US)),IF(ISNUMBER(_xll.BDH(config!$G$4,Q$1,$A778,$A778)),_xll.BDH(config!$G$4,Q$1,$A778,$A778),_xll.BDH(config!$G$5,Q$1,$A778,$A778))))</f>
        <v/>
      </c>
      <c r="R778" s="8" t="str">
        <f>IF($A778="","",IF(ISNUMBER(FIND("IMPVOL",R$1)),_xll.BDH(config!$G$4,R$1,WORKDAY($A778,-1,config_Holiday_Calendar_US),WORKDAY($A778,-1,config_Holiday_Calendar_US)),IF(ISNUMBER(_xll.BDH(config!$G$4,R$1,$A778,$A778)),_xll.BDH(config!$G$4,R$1,$A778,$A778),_xll.BDH(config!$G$5,R$1,$A778,$A778))))</f>
        <v/>
      </c>
      <c r="S778" s="8" t="str">
        <f>IF($A778="","",IF(ISNUMBER(FIND("IMPVOL",S$1)),_xll.BDH(config!$G$4,S$1,WORKDAY($A778,-1,config_Holiday_Calendar_US),WORKDAY($A778,-1,config_Holiday_Calendar_US)),IF(ISNUMBER(_xll.BDH(config!$G$4,S$1,$A778,$A778)),_xll.BDH(config!$G$4,S$1,$A778,$A778),_xll.BDH(config!$G$5,S$1,$A778,$A778))))</f>
        <v/>
      </c>
      <c r="T778" s="8" t="str">
        <f>IF($A778="","",IF(ISNUMBER(FIND("IMPVOL",T$1)),_xll.BDH(config!$G$4,T$1,WORKDAY($A778,-1,config_Holiday_Calendar_US),WORKDAY($A778,-1,config_Holiday_Calendar_US)),IF(ISNUMBER(_xll.BDH(config!$G$4,T$1,$A778,$A778)),_xll.BDH(config!$G$4,T$1,$A778,$A778),_xll.BDH(config!$G$5,T$1,$A778,$A778))))</f>
        <v/>
      </c>
      <c r="U778" s="8" t="str">
        <f>IF($A778="","",IF(ISNUMBER(FIND("IMPVOL",U$1)),_xll.BDH(config!$G$4,U$1,WORKDAY($A778,-1,config_Holiday_Calendar_US),WORKDAY($A778,-1,config_Holiday_Calendar_US)),IF(ISNUMBER(_xll.BDH(config!$G$4,U$1,$A778,$A778)),_xll.BDH(config!$G$4,U$1,$A778,$A778),_xll.BDH(config!$G$5,U$1,$A778,$A778))))</f>
        <v/>
      </c>
      <c r="V778" s="8" t="str">
        <f>IF($A778="","",IF(ISNUMBER(FIND("IMPVOL",V$1)),_xll.BDH(config!$G$4,V$1,WORKDAY($A778,-1,config_Holiday_Calendar_US),WORKDAY($A778,-1,config_Holiday_Calendar_US)),IF(ISNUMBER(_xll.BDH(config!$G$4,V$1,$A778,$A778)),_xll.BDH(config!$G$4,V$1,$A778,$A778),_xll.BDH(config!$G$5,V$1,$A778,$A778))))</f>
        <v/>
      </c>
      <c r="W778" s="8" t="str">
        <f>IF($A778="","",IF(ISNUMBER(FIND("IMPVOL",W$1)),_xll.BDH(config!$G$4,W$1,WORKDAY($A778,-1,config_Holiday_Calendar_US),WORKDAY($A778,-1,config_Holiday_Calendar_US)),IF(ISNUMBER(_xll.BDH(config!$G$4,W$1,$A778,$A778)),_xll.BDH(config!$G$4,W$1,$A778,$A778),_xll.BDH(config!$G$5,W$1,$A778,$A778))))</f>
        <v/>
      </c>
    </row>
    <row r="779" spans="1:23" x14ac:dyDescent="0.2">
      <c r="A779" s="9" t="str">
        <f>IF(A778="","",IF(WORKDAY(A778,-1,config_Holiday_Calendar_US)&lt;config!$I$10,"",WORKDAY(A778,-1,config_Holiday_Calendar_US)))</f>
        <v/>
      </c>
      <c r="B779" s="8" t="str">
        <f t="shared" si="12"/>
        <v/>
      </c>
      <c r="C779" s="8" t="str">
        <f>IF(A779="","",_xll.BDH(config!$H$4,C$1,$A779,$A779))</f>
        <v/>
      </c>
      <c r="D779" s="8" t="str">
        <f>IF($A779="","",_xll.BDH(config!$H$4,D$1,$A779,$A779))</f>
        <v/>
      </c>
      <c r="E779" s="8" t="str">
        <f>IF($A779="","",IF(ISNUMBER(FIND("IMPVOL",E$1)),_xll.BDH(config!$G$4,E$1,WORKDAY($A779,-1,config_Holiday_Calendar_US),WORKDAY($A779,-1,config_Holiday_Calendar_US)),IF(ISNUMBER(_xll.BDH(config!$G$4,E$1,$A779,$A779)),_xll.BDH(config!$G$4,E$1,$A779,$A779),_xll.BDH(config!$G$5,E$1,$A779,$A779))))</f>
        <v/>
      </c>
      <c r="F779" s="8" t="str">
        <f>IF($A779="","",IF(ISNUMBER(FIND("IMPVOL",F$1)),_xll.BDH(config!$G$4,F$1,WORKDAY($A779,-1,config_Holiday_Calendar_US),WORKDAY($A779,-1,config_Holiday_Calendar_US)),IF(ISNUMBER(_xll.BDH(config!$G$4,F$1,$A779,$A779)),_xll.BDH(config!$G$4,F$1,$A779,$A779),_xll.BDH(config!$G$5,F$1,$A779,$A779))))</f>
        <v/>
      </c>
      <c r="G779" s="8" t="str">
        <f>IF($A779="","",IF(ISNUMBER(FIND("IMPVOL",G$1)),_xll.BDH(config!$G$4,G$1,WORKDAY($A779,-1,config_Holiday_Calendar_US),WORKDAY($A779,-1,config_Holiday_Calendar_US)),IF(ISNUMBER(_xll.BDH(config!$G$4,G$1,$A779,$A779)),_xll.BDH(config!$G$4,G$1,$A779,$A779),_xll.BDH(config!$G$5,G$1,$A779,$A779))))</f>
        <v/>
      </c>
      <c r="H779" s="8" t="str">
        <f>IF($A779="","",IF(ISNUMBER(FIND("IMPVOL",H$1)),_xll.BDH(config!$G$4,H$1,WORKDAY($A779,-1,config_Holiday_Calendar_US),WORKDAY($A779,-1,config_Holiday_Calendar_US)),IF(ISNUMBER(_xll.BDH(config!$G$4,H$1,$A779,$A779)),_xll.BDH(config!$G$4,H$1,$A779,$A779),_xll.BDH(config!$G$5,H$1,$A779,$A779))))</f>
        <v/>
      </c>
      <c r="I779" s="8" t="str">
        <f>IF($A779="","",IF(ISNUMBER(FIND("IMPVOL",I$1)),_xll.BDH(config!$G$4,I$1,WORKDAY($A779,-1,config_Holiday_Calendar_US),WORKDAY($A779,-1,config_Holiday_Calendar_US)),IF(ISNUMBER(_xll.BDH(config!$G$4,I$1,$A779,$A779)),_xll.BDH(config!$G$4,I$1,$A779,$A779),_xll.BDH(config!$G$5,I$1,$A779,$A779))))</f>
        <v/>
      </c>
      <c r="J779" s="8" t="str">
        <f>IF($A779="","",IF(ISNUMBER(FIND("IMPVOL",J$1)),_xll.BDH(config!$G$4,J$1,WORKDAY($A779,-1,config_Holiday_Calendar_US),WORKDAY($A779,-1,config_Holiday_Calendar_US)),IF(ISNUMBER(_xll.BDH(config!$G$4,J$1,$A779,$A779)),_xll.BDH(config!$G$4,J$1,$A779,$A779),_xll.BDH(config!$G$5,J$1,$A779,$A779))))</f>
        <v/>
      </c>
      <c r="K779" s="8" t="str">
        <f>IF($A779="","",IF(ISNUMBER(FIND("IMPVOL",K$1)),_xll.BDH(config!$G$4,K$1,WORKDAY($A779,-1,config_Holiday_Calendar_US),WORKDAY($A779,-1,config_Holiday_Calendar_US)),IF(ISNUMBER(_xll.BDH(config!$G$4,K$1,$A779,$A779)),_xll.BDH(config!$G$4,K$1,$A779,$A779),_xll.BDH(config!$G$5,K$1,$A779,$A779))))</f>
        <v/>
      </c>
      <c r="L779" s="8" t="str">
        <f>IF($A779="","",IF(ISNUMBER(FIND("IMPVOL",L$1)),_xll.BDH(config!$G$4,L$1,WORKDAY($A779,-1,config_Holiday_Calendar_US),WORKDAY($A779,-1,config_Holiday_Calendar_US)),IF(ISNUMBER(_xll.BDH(config!$G$4,L$1,$A779,$A779)),_xll.BDH(config!$G$4,L$1,$A779,$A779),_xll.BDH(config!$G$5,L$1,$A779,$A779))))</f>
        <v/>
      </c>
      <c r="M779" s="8" t="str">
        <f>IF($A779="","",IF(ISNUMBER(FIND("IMPVOL",M$1)),_xll.BDH(config!$G$4,M$1,WORKDAY($A779,-1,config_Holiday_Calendar_US),WORKDAY($A779,-1,config_Holiday_Calendar_US)),IF(ISNUMBER(_xll.BDH(config!$G$4,M$1,$A779,$A779)),_xll.BDH(config!$G$4,M$1,$A779,$A779),_xll.BDH(config!$G$5,M$1,$A779,$A779))))</f>
        <v/>
      </c>
      <c r="N779" s="8" t="str">
        <f>IF($A779="","",IF(ISNUMBER(FIND("IMPVOL",N$1)),_xll.BDH(config!$G$4,N$1,WORKDAY($A779,-1,config_Holiday_Calendar_US),WORKDAY($A779,-1,config_Holiday_Calendar_US)),IF(ISNUMBER(_xll.BDH(config!$G$4,N$1,$A779,$A779)),_xll.BDH(config!$G$4,N$1,$A779,$A779),_xll.BDH(config!$G$5,N$1,$A779,$A779))))</f>
        <v/>
      </c>
      <c r="O779" s="8" t="str">
        <f>IF($A779="","",IF(ISNUMBER(FIND("IMPVOL",O$1)),_xll.BDH(config!$G$4,O$1,WORKDAY($A779,-1,config_Holiday_Calendar_US),WORKDAY($A779,-1,config_Holiday_Calendar_US)),IF(ISNUMBER(_xll.BDH(config!$G$4,O$1,$A779,$A779)),_xll.BDH(config!$G$4,O$1,$A779,$A779),_xll.BDH(config!$G$5,O$1,$A779,$A779))))</f>
        <v/>
      </c>
      <c r="P779" s="8" t="str">
        <f>IF($A779="","",IF(ISNUMBER(FIND("IMPVOL",P$1)),_xll.BDH(config!$G$4,P$1,WORKDAY($A779,-1,config_Holiday_Calendar_US),WORKDAY($A779,-1,config_Holiday_Calendar_US)),IF(ISNUMBER(_xll.BDH(config!$G$4,P$1,$A779,$A779)),_xll.BDH(config!$G$4,P$1,$A779,$A779),_xll.BDH(config!$G$5,P$1,$A779,$A779))))</f>
        <v/>
      </c>
      <c r="Q779" s="8" t="str">
        <f>IF($A779="","",IF(ISNUMBER(FIND("IMPVOL",Q$1)),_xll.BDH(config!$G$4,Q$1,WORKDAY($A779,-1,config_Holiday_Calendar_US),WORKDAY($A779,-1,config_Holiday_Calendar_US)),IF(ISNUMBER(_xll.BDH(config!$G$4,Q$1,$A779,$A779)),_xll.BDH(config!$G$4,Q$1,$A779,$A779),_xll.BDH(config!$G$5,Q$1,$A779,$A779))))</f>
        <v/>
      </c>
      <c r="R779" s="8" t="str">
        <f>IF($A779="","",IF(ISNUMBER(FIND("IMPVOL",R$1)),_xll.BDH(config!$G$4,R$1,WORKDAY($A779,-1,config_Holiday_Calendar_US),WORKDAY($A779,-1,config_Holiday_Calendar_US)),IF(ISNUMBER(_xll.BDH(config!$G$4,R$1,$A779,$A779)),_xll.BDH(config!$G$4,R$1,$A779,$A779),_xll.BDH(config!$G$5,R$1,$A779,$A779))))</f>
        <v/>
      </c>
      <c r="S779" s="8" t="str">
        <f>IF($A779="","",IF(ISNUMBER(FIND("IMPVOL",S$1)),_xll.BDH(config!$G$4,S$1,WORKDAY($A779,-1,config_Holiday_Calendar_US),WORKDAY($A779,-1,config_Holiday_Calendar_US)),IF(ISNUMBER(_xll.BDH(config!$G$4,S$1,$A779,$A779)),_xll.BDH(config!$G$4,S$1,$A779,$A779),_xll.BDH(config!$G$5,S$1,$A779,$A779))))</f>
        <v/>
      </c>
      <c r="T779" s="8" t="str">
        <f>IF($A779="","",IF(ISNUMBER(FIND("IMPVOL",T$1)),_xll.BDH(config!$G$4,T$1,WORKDAY($A779,-1,config_Holiday_Calendar_US),WORKDAY($A779,-1,config_Holiday_Calendar_US)),IF(ISNUMBER(_xll.BDH(config!$G$4,T$1,$A779,$A779)),_xll.BDH(config!$G$4,T$1,$A779,$A779),_xll.BDH(config!$G$5,T$1,$A779,$A779))))</f>
        <v/>
      </c>
      <c r="U779" s="8" t="str">
        <f>IF($A779="","",IF(ISNUMBER(FIND("IMPVOL",U$1)),_xll.BDH(config!$G$4,U$1,WORKDAY($A779,-1,config_Holiday_Calendar_US),WORKDAY($A779,-1,config_Holiday_Calendar_US)),IF(ISNUMBER(_xll.BDH(config!$G$4,U$1,$A779,$A779)),_xll.BDH(config!$G$4,U$1,$A779,$A779),_xll.BDH(config!$G$5,U$1,$A779,$A779))))</f>
        <v/>
      </c>
      <c r="V779" s="8" t="str">
        <f>IF($A779="","",IF(ISNUMBER(FIND("IMPVOL",V$1)),_xll.BDH(config!$G$4,V$1,WORKDAY($A779,-1,config_Holiday_Calendar_US),WORKDAY($A779,-1,config_Holiday_Calendar_US)),IF(ISNUMBER(_xll.BDH(config!$G$4,V$1,$A779,$A779)),_xll.BDH(config!$G$4,V$1,$A779,$A779),_xll.BDH(config!$G$5,V$1,$A779,$A779))))</f>
        <v/>
      </c>
      <c r="W779" s="8" t="str">
        <f>IF($A779="","",IF(ISNUMBER(FIND("IMPVOL",W$1)),_xll.BDH(config!$G$4,W$1,WORKDAY($A779,-1,config_Holiday_Calendar_US),WORKDAY($A779,-1,config_Holiday_Calendar_US)),IF(ISNUMBER(_xll.BDH(config!$G$4,W$1,$A779,$A779)),_xll.BDH(config!$G$4,W$1,$A779,$A779),_xll.BDH(config!$G$5,W$1,$A779,$A779))))</f>
        <v/>
      </c>
    </row>
    <row r="780" spans="1:23" x14ac:dyDescent="0.2">
      <c r="A780" s="9" t="str">
        <f>IF(A779="","",IF(WORKDAY(A779,-1,config_Holiday_Calendar_US)&lt;config!$I$10,"",WORKDAY(A779,-1,config_Holiday_Calendar_US)))</f>
        <v/>
      </c>
      <c r="B780" s="8" t="str">
        <f t="shared" si="12"/>
        <v/>
      </c>
      <c r="C780" s="8" t="str">
        <f>IF(A780="","",_xll.BDH(config!$H$4,C$1,$A780,$A780))</f>
        <v/>
      </c>
      <c r="D780" s="8" t="str">
        <f>IF($A780="","",_xll.BDH(config!$H$4,D$1,$A780,$A780))</f>
        <v/>
      </c>
      <c r="E780" s="8" t="str">
        <f>IF($A780="","",IF(ISNUMBER(FIND("IMPVOL",E$1)),_xll.BDH(config!$G$4,E$1,WORKDAY($A780,-1,config_Holiday_Calendar_US),WORKDAY($A780,-1,config_Holiday_Calendar_US)),IF(ISNUMBER(_xll.BDH(config!$G$4,E$1,$A780,$A780)),_xll.BDH(config!$G$4,E$1,$A780,$A780),_xll.BDH(config!$G$5,E$1,$A780,$A780))))</f>
        <v/>
      </c>
      <c r="F780" s="8" t="str">
        <f>IF($A780="","",IF(ISNUMBER(FIND("IMPVOL",F$1)),_xll.BDH(config!$G$4,F$1,WORKDAY($A780,-1,config_Holiday_Calendar_US),WORKDAY($A780,-1,config_Holiday_Calendar_US)),IF(ISNUMBER(_xll.BDH(config!$G$4,F$1,$A780,$A780)),_xll.BDH(config!$G$4,F$1,$A780,$A780),_xll.BDH(config!$G$5,F$1,$A780,$A780))))</f>
        <v/>
      </c>
      <c r="G780" s="8" t="str">
        <f>IF($A780="","",IF(ISNUMBER(FIND("IMPVOL",G$1)),_xll.BDH(config!$G$4,G$1,WORKDAY($A780,-1,config_Holiday_Calendar_US),WORKDAY($A780,-1,config_Holiday_Calendar_US)),IF(ISNUMBER(_xll.BDH(config!$G$4,G$1,$A780,$A780)),_xll.BDH(config!$G$4,G$1,$A780,$A780),_xll.BDH(config!$G$5,G$1,$A780,$A780))))</f>
        <v/>
      </c>
      <c r="H780" s="8" t="str">
        <f>IF($A780="","",IF(ISNUMBER(FIND("IMPVOL",H$1)),_xll.BDH(config!$G$4,H$1,WORKDAY($A780,-1,config_Holiday_Calendar_US),WORKDAY($A780,-1,config_Holiday_Calendar_US)),IF(ISNUMBER(_xll.BDH(config!$G$4,H$1,$A780,$A780)),_xll.BDH(config!$G$4,H$1,$A780,$A780),_xll.BDH(config!$G$5,H$1,$A780,$A780))))</f>
        <v/>
      </c>
      <c r="I780" s="8" t="str">
        <f>IF($A780="","",IF(ISNUMBER(FIND("IMPVOL",I$1)),_xll.BDH(config!$G$4,I$1,WORKDAY($A780,-1,config_Holiday_Calendar_US),WORKDAY($A780,-1,config_Holiday_Calendar_US)),IF(ISNUMBER(_xll.BDH(config!$G$4,I$1,$A780,$A780)),_xll.BDH(config!$G$4,I$1,$A780,$A780),_xll.BDH(config!$G$5,I$1,$A780,$A780))))</f>
        <v/>
      </c>
      <c r="J780" s="8" t="str">
        <f>IF($A780="","",IF(ISNUMBER(FIND("IMPVOL",J$1)),_xll.BDH(config!$G$4,J$1,WORKDAY($A780,-1,config_Holiday_Calendar_US),WORKDAY($A780,-1,config_Holiday_Calendar_US)),IF(ISNUMBER(_xll.BDH(config!$G$4,J$1,$A780,$A780)),_xll.BDH(config!$G$4,J$1,$A780,$A780),_xll.BDH(config!$G$5,J$1,$A780,$A780))))</f>
        <v/>
      </c>
      <c r="K780" s="8" t="str">
        <f>IF($A780="","",IF(ISNUMBER(FIND("IMPVOL",K$1)),_xll.BDH(config!$G$4,K$1,WORKDAY($A780,-1,config_Holiday_Calendar_US),WORKDAY($A780,-1,config_Holiday_Calendar_US)),IF(ISNUMBER(_xll.BDH(config!$G$4,K$1,$A780,$A780)),_xll.BDH(config!$G$4,K$1,$A780,$A780),_xll.BDH(config!$G$5,K$1,$A780,$A780))))</f>
        <v/>
      </c>
      <c r="L780" s="8" t="str">
        <f>IF($A780="","",IF(ISNUMBER(FIND("IMPVOL",L$1)),_xll.BDH(config!$G$4,L$1,WORKDAY($A780,-1,config_Holiday_Calendar_US),WORKDAY($A780,-1,config_Holiday_Calendar_US)),IF(ISNUMBER(_xll.BDH(config!$G$4,L$1,$A780,$A780)),_xll.BDH(config!$G$4,L$1,$A780,$A780),_xll.BDH(config!$G$5,L$1,$A780,$A780))))</f>
        <v/>
      </c>
      <c r="M780" s="8" t="str">
        <f>IF($A780="","",IF(ISNUMBER(FIND("IMPVOL",M$1)),_xll.BDH(config!$G$4,M$1,WORKDAY($A780,-1,config_Holiday_Calendar_US),WORKDAY($A780,-1,config_Holiday_Calendar_US)),IF(ISNUMBER(_xll.BDH(config!$G$4,M$1,$A780,$A780)),_xll.BDH(config!$G$4,M$1,$A780,$A780),_xll.BDH(config!$G$5,M$1,$A780,$A780))))</f>
        <v/>
      </c>
      <c r="N780" s="8" t="str">
        <f>IF($A780="","",IF(ISNUMBER(FIND("IMPVOL",N$1)),_xll.BDH(config!$G$4,N$1,WORKDAY($A780,-1,config_Holiday_Calendar_US),WORKDAY($A780,-1,config_Holiday_Calendar_US)),IF(ISNUMBER(_xll.BDH(config!$G$4,N$1,$A780,$A780)),_xll.BDH(config!$G$4,N$1,$A780,$A780),_xll.BDH(config!$G$5,N$1,$A780,$A780))))</f>
        <v/>
      </c>
      <c r="O780" s="8" t="str">
        <f>IF($A780="","",IF(ISNUMBER(FIND("IMPVOL",O$1)),_xll.BDH(config!$G$4,O$1,WORKDAY($A780,-1,config_Holiday_Calendar_US),WORKDAY($A780,-1,config_Holiday_Calendar_US)),IF(ISNUMBER(_xll.BDH(config!$G$4,O$1,$A780,$A780)),_xll.BDH(config!$G$4,O$1,$A780,$A780),_xll.BDH(config!$G$5,O$1,$A780,$A780))))</f>
        <v/>
      </c>
      <c r="P780" s="8" t="str">
        <f>IF($A780="","",IF(ISNUMBER(FIND("IMPVOL",P$1)),_xll.BDH(config!$G$4,P$1,WORKDAY($A780,-1,config_Holiday_Calendar_US),WORKDAY($A780,-1,config_Holiday_Calendar_US)),IF(ISNUMBER(_xll.BDH(config!$G$4,P$1,$A780,$A780)),_xll.BDH(config!$G$4,P$1,$A780,$A780),_xll.BDH(config!$G$5,P$1,$A780,$A780))))</f>
        <v/>
      </c>
      <c r="Q780" s="8" t="str">
        <f>IF($A780="","",IF(ISNUMBER(FIND("IMPVOL",Q$1)),_xll.BDH(config!$G$4,Q$1,WORKDAY($A780,-1,config_Holiday_Calendar_US),WORKDAY($A780,-1,config_Holiday_Calendar_US)),IF(ISNUMBER(_xll.BDH(config!$G$4,Q$1,$A780,$A780)),_xll.BDH(config!$G$4,Q$1,$A780,$A780),_xll.BDH(config!$G$5,Q$1,$A780,$A780))))</f>
        <v/>
      </c>
      <c r="R780" s="8" t="str">
        <f>IF($A780="","",IF(ISNUMBER(FIND("IMPVOL",R$1)),_xll.BDH(config!$G$4,R$1,WORKDAY($A780,-1,config_Holiday_Calendar_US),WORKDAY($A780,-1,config_Holiday_Calendar_US)),IF(ISNUMBER(_xll.BDH(config!$G$4,R$1,$A780,$A780)),_xll.BDH(config!$G$4,R$1,$A780,$A780),_xll.BDH(config!$G$5,R$1,$A780,$A780))))</f>
        <v/>
      </c>
      <c r="S780" s="8" t="str">
        <f>IF($A780="","",IF(ISNUMBER(FIND("IMPVOL",S$1)),_xll.BDH(config!$G$4,S$1,WORKDAY($A780,-1,config_Holiday_Calendar_US),WORKDAY($A780,-1,config_Holiday_Calendar_US)),IF(ISNUMBER(_xll.BDH(config!$G$4,S$1,$A780,$A780)),_xll.BDH(config!$G$4,S$1,$A780,$A780),_xll.BDH(config!$G$5,S$1,$A780,$A780))))</f>
        <v/>
      </c>
      <c r="T780" s="8" t="str">
        <f>IF($A780="","",IF(ISNUMBER(FIND("IMPVOL",T$1)),_xll.BDH(config!$G$4,T$1,WORKDAY($A780,-1,config_Holiday_Calendar_US),WORKDAY($A780,-1,config_Holiday_Calendar_US)),IF(ISNUMBER(_xll.BDH(config!$G$4,T$1,$A780,$A780)),_xll.BDH(config!$G$4,T$1,$A780,$A780),_xll.BDH(config!$G$5,T$1,$A780,$A780))))</f>
        <v/>
      </c>
      <c r="U780" s="8" t="str">
        <f>IF($A780="","",IF(ISNUMBER(FIND("IMPVOL",U$1)),_xll.BDH(config!$G$4,U$1,WORKDAY($A780,-1,config_Holiday_Calendar_US),WORKDAY($A780,-1,config_Holiday_Calendar_US)),IF(ISNUMBER(_xll.BDH(config!$G$4,U$1,$A780,$A780)),_xll.BDH(config!$G$4,U$1,$A780,$A780),_xll.BDH(config!$G$5,U$1,$A780,$A780))))</f>
        <v/>
      </c>
      <c r="V780" s="8" t="str">
        <f>IF($A780="","",IF(ISNUMBER(FIND("IMPVOL",V$1)),_xll.BDH(config!$G$4,V$1,WORKDAY($A780,-1,config_Holiday_Calendar_US),WORKDAY($A780,-1,config_Holiday_Calendar_US)),IF(ISNUMBER(_xll.BDH(config!$G$4,V$1,$A780,$A780)),_xll.BDH(config!$G$4,V$1,$A780,$A780),_xll.BDH(config!$G$5,V$1,$A780,$A780))))</f>
        <v/>
      </c>
      <c r="W780" s="8" t="str">
        <f>IF($A780="","",IF(ISNUMBER(FIND("IMPVOL",W$1)),_xll.BDH(config!$G$4,W$1,WORKDAY($A780,-1,config_Holiday_Calendar_US),WORKDAY($A780,-1,config_Holiday_Calendar_US)),IF(ISNUMBER(_xll.BDH(config!$G$4,W$1,$A780,$A780)),_xll.BDH(config!$G$4,W$1,$A780,$A780),_xll.BDH(config!$G$5,W$1,$A780,$A780))))</f>
        <v/>
      </c>
    </row>
    <row r="781" spans="1:23" x14ac:dyDescent="0.2">
      <c r="A781" s="9" t="str">
        <f>IF(A780="","",IF(WORKDAY(A780,-1,config_Holiday_Calendar_US)&lt;config!$I$10,"",WORKDAY(A780,-1,config_Holiday_Calendar_US)))</f>
        <v/>
      </c>
      <c r="B781" s="8" t="str">
        <f t="shared" si="12"/>
        <v/>
      </c>
      <c r="C781" s="8" t="str">
        <f>IF(A781="","",_xll.BDH(config!$H$4,C$1,$A781,$A781))</f>
        <v/>
      </c>
      <c r="D781" s="8" t="str">
        <f>IF($A781="","",_xll.BDH(config!$H$4,D$1,$A781,$A781))</f>
        <v/>
      </c>
      <c r="E781" s="8" t="str">
        <f>IF($A781="","",IF(ISNUMBER(FIND("IMPVOL",E$1)),_xll.BDH(config!$G$4,E$1,WORKDAY($A781,-1,config_Holiday_Calendar_US),WORKDAY($A781,-1,config_Holiday_Calendar_US)),IF(ISNUMBER(_xll.BDH(config!$G$4,E$1,$A781,$A781)),_xll.BDH(config!$G$4,E$1,$A781,$A781),_xll.BDH(config!$G$5,E$1,$A781,$A781))))</f>
        <v/>
      </c>
      <c r="F781" s="8" t="str">
        <f>IF($A781="","",IF(ISNUMBER(FIND("IMPVOL",F$1)),_xll.BDH(config!$G$4,F$1,WORKDAY($A781,-1,config_Holiday_Calendar_US),WORKDAY($A781,-1,config_Holiday_Calendar_US)),IF(ISNUMBER(_xll.BDH(config!$G$4,F$1,$A781,$A781)),_xll.BDH(config!$G$4,F$1,$A781,$A781),_xll.BDH(config!$G$5,F$1,$A781,$A781))))</f>
        <v/>
      </c>
      <c r="G781" s="8" t="str">
        <f>IF($A781="","",IF(ISNUMBER(FIND("IMPVOL",G$1)),_xll.BDH(config!$G$4,G$1,WORKDAY($A781,-1,config_Holiday_Calendar_US),WORKDAY($A781,-1,config_Holiday_Calendar_US)),IF(ISNUMBER(_xll.BDH(config!$G$4,G$1,$A781,$A781)),_xll.BDH(config!$G$4,G$1,$A781,$A781),_xll.BDH(config!$G$5,G$1,$A781,$A781))))</f>
        <v/>
      </c>
      <c r="H781" s="8" t="str">
        <f>IF($A781="","",IF(ISNUMBER(FIND("IMPVOL",H$1)),_xll.BDH(config!$G$4,H$1,WORKDAY($A781,-1,config_Holiday_Calendar_US),WORKDAY($A781,-1,config_Holiday_Calendar_US)),IF(ISNUMBER(_xll.BDH(config!$G$4,H$1,$A781,$A781)),_xll.BDH(config!$G$4,H$1,$A781,$A781),_xll.BDH(config!$G$5,H$1,$A781,$A781))))</f>
        <v/>
      </c>
      <c r="I781" s="8" t="str">
        <f>IF($A781="","",IF(ISNUMBER(FIND("IMPVOL",I$1)),_xll.BDH(config!$G$4,I$1,WORKDAY($A781,-1,config_Holiday_Calendar_US),WORKDAY($A781,-1,config_Holiday_Calendar_US)),IF(ISNUMBER(_xll.BDH(config!$G$4,I$1,$A781,$A781)),_xll.BDH(config!$G$4,I$1,$A781,$A781),_xll.BDH(config!$G$5,I$1,$A781,$A781))))</f>
        <v/>
      </c>
      <c r="J781" s="8" t="str">
        <f>IF($A781="","",IF(ISNUMBER(FIND("IMPVOL",J$1)),_xll.BDH(config!$G$4,J$1,WORKDAY($A781,-1,config_Holiday_Calendar_US),WORKDAY($A781,-1,config_Holiday_Calendar_US)),IF(ISNUMBER(_xll.BDH(config!$G$4,J$1,$A781,$A781)),_xll.BDH(config!$G$4,J$1,$A781,$A781),_xll.BDH(config!$G$5,J$1,$A781,$A781))))</f>
        <v/>
      </c>
      <c r="K781" s="8" t="str">
        <f>IF($A781="","",IF(ISNUMBER(FIND("IMPVOL",K$1)),_xll.BDH(config!$G$4,K$1,WORKDAY($A781,-1,config_Holiday_Calendar_US),WORKDAY($A781,-1,config_Holiday_Calendar_US)),IF(ISNUMBER(_xll.BDH(config!$G$4,K$1,$A781,$A781)),_xll.BDH(config!$G$4,K$1,$A781,$A781),_xll.BDH(config!$G$5,K$1,$A781,$A781))))</f>
        <v/>
      </c>
      <c r="L781" s="8" t="str">
        <f>IF($A781="","",IF(ISNUMBER(FIND("IMPVOL",L$1)),_xll.BDH(config!$G$4,L$1,WORKDAY($A781,-1,config_Holiday_Calendar_US),WORKDAY($A781,-1,config_Holiday_Calendar_US)),IF(ISNUMBER(_xll.BDH(config!$G$4,L$1,$A781,$A781)),_xll.BDH(config!$G$4,L$1,$A781,$A781),_xll.BDH(config!$G$5,L$1,$A781,$A781))))</f>
        <v/>
      </c>
      <c r="M781" s="8" t="str">
        <f>IF($A781="","",IF(ISNUMBER(FIND("IMPVOL",M$1)),_xll.BDH(config!$G$4,M$1,WORKDAY($A781,-1,config_Holiday_Calendar_US),WORKDAY($A781,-1,config_Holiday_Calendar_US)),IF(ISNUMBER(_xll.BDH(config!$G$4,M$1,$A781,$A781)),_xll.BDH(config!$G$4,M$1,$A781,$A781),_xll.BDH(config!$G$5,M$1,$A781,$A781))))</f>
        <v/>
      </c>
      <c r="N781" s="8" t="str">
        <f>IF($A781="","",IF(ISNUMBER(FIND("IMPVOL",N$1)),_xll.BDH(config!$G$4,N$1,WORKDAY($A781,-1,config_Holiday_Calendar_US),WORKDAY($A781,-1,config_Holiday_Calendar_US)),IF(ISNUMBER(_xll.BDH(config!$G$4,N$1,$A781,$A781)),_xll.BDH(config!$G$4,N$1,$A781,$A781),_xll.BDH(config!$G$5,N$1,$A781,$A781))))</f>
        <v/>
      </c>
      <c r="O781" s="8" t="str">
        <f>IF($A781="","",IF(ISNUMBER(FIND("IMPVOL",O$1)),_xll.BDH(config!$G$4,O$1,WORKDAY($A781,-1,config_Holiday_Calendar_US),WORKDAY($A781,-1,config_Holiday_Calendar_US)),IF(ISNUMBER(_xll.BDH(config!$G$4,O$1,$A781,$A781)),_xll.BDH(config!$G$4,O$1,$A781,$A781),_xll.BDH(config!$G$5,O$1,$A781,$A781))))</f>
        <v/>
      </c>
      <c r="P781" s="8" t="str">
        <f>IF($A781="","",IF(ISNUMBER(FIND("IMPVOL",P$1)),_xll.BDH(config!$G$4,P$1,WORKDAY($A781,-1,config_Holiday_Calendar_US),WORKDAY($A781,-1,config_Holiday_Calendar_US)),IF(ISNUMBER(_xll.BDH(config!$G$4,P$1,$A781,$A781)),_xll.BDH(config!$G$4,P$1,$A781,$A781),_xll.BDH(config!$G$5,P$1,$A781,$A781))))</f>
        <v/>
      </c>
      <c r="Q781" s="8" t="str">
        <f>IF($A781="","",IF(ISNUMBER(FIND("IMPVOL",Q$1)),_xll.BDH(config!$G$4,Q$1,WORKDAY($A781,-1,config_Holiday_Calendar_US),WORKDAY($A781,-1,config_Holiday_Calendar_US)),IF(ISNUMBER(_xll.BDH(config!$G$4,Q$1,$A781,$A781)),_xll.BDH(config!$G$4,Q$1,$A781,$A781),_xll.BDH(config!$G$5,Q$1,$A781,$A781))))</f>
        <v/>
      </c>
      <c r="R781" s="8" t="str">
        <f>IF($A781="","",IF(ISNUMBER(FIND("IMPVOL",R$1)),_xll.BDH(config!$G$4,R$1,WORKDAY($A781,-1,config_Holiday_Calendar_US),WORKDAY($A781,-1,config_Holiday_Calendar_US)),IF(ISNUMBER(_xll.BDH(config!$G$4,R$1,$A781,$A781)),_xll.BDH(config!$G$4,R$1,$A781,$A781),_xll.BDH(config!$G$5,R$1,$A781,$A781))))</f>
        <v/>
      </c>
      <c r="S781" s="8" t="str">
        <f>IF($A781="","",IF(ISNUMBER(FIND("IMPVOL",S$1)),_xll.BDH(config!$G$4,S$1,WORKDAY($A781,-1,config_Holiday_Calendar_US),WORKDAY($A781,-1,config_Holiday_Calendar_US)),IF(ISNUMBER(_xll.BDH(config!$G$4,S$1,$A781,$A781)),_xll.BDH(config!$G$4,S$1,$A781,$A781),_xll.BDH(config!$G$5,S$1,$A781,$A781))))</f>
        <v/>
      </c>
      <c r="T781" s="8" t="str">
        <f>IF($A781="","",IF(ISNUMBER(FIND("IMPVOL",T$1)),_xll.BDH(config!$G$4,T$1,WORKDAY($A781,-1,config_Holiday_Calendar_US),WORKDAY($A781,-1,config_Holiday_Calendar_US)),IF(ISNUMBER(_xll.BDH(config!$G$4,T$1,$A781,$A781)),_xll.BDH(config!$G$4,T$1,$A781,$A781),_xll.BDH(config!$G$5,T$1,$A781,$A781))))</f>
        <v/>
      </c>
      <c r="U781" s="8" t="str">
        <f>IF($A781="","",IF(ISNUMBER(FIND("IMPVOL",U$1)),_xll.BDH(config!$G$4,U$1,WORKDAY($A781,-1,config_Holiday_Calendar_US),WORKDAY($A781,-1,config_Holiday_Calendar_US)),IF(ISNUMBER(_xll.BDH(config!$G$4,U$1,$A781,$A781)),_xll.BDH(config!$G$4,U$1,$A781,$A781),_xll.BDH(config!$G$5,U$1,$A781,$A781))))</f>
        <v/>
      </c>
      <c r="V781" s="8" t="str">
        <f>IF($A781="","",IF(ISNUMBER(FIND("IMPVOL",V$1)),_xll.BDH(config!$G$4,V$1,WORKDAY($A781,-1,config_Holiday_Calendar_US),WORKDAY($A781,-1,config_Holiday_Calendar_US)),IF(ISNUMBER(_xll.BDH(config!$G$4,V$1,$A781,$A781)),_xll.BDH(config!$G$4,V$1,$A781,$A781),_xll.BDH(config!$G$5,V$1,$A781,$A781))))</f>
        <v/>
      </c>
      <c r="W781" s="8" t="str">
        <f>IF($A781="","",IF(ISNUMBER(FIND("IMPVOL",W$1)),_xll.BDH(config!$G$4,W$1,WORKDAY($A781,-1,config_Holiday_Calendar_US),WORKDAY($A781,-1,config_Holiday_Calendar_US)),IF(ISNUMBER(_xll.BDH(config!$G$4,W$1,$A781,$A781)),_xll.BDH(config!$G$4,W$1,$A781,$A781),_xll.BDH(config!$G$5,W$1,$A781,$A781))))</f>
        <v/>
      </c>
    </row>
    <row r="782" spans="1:23" x14ac:dyDescent="0.2">
      <c r="A782" s="9" t="str">
        <f>IF(A781="","",IF(WORKDAY(A781,-1,config_Holiday_Calendar_US)&lt;config!$I$10,"",WORKDAY(A781,-1,config_Holiday_Calendar_US)))</f>
        <v/>
      </c>
      <c r="B782" s="8" t="str">
        <f t="shared" si="12"/>
        <v/>
      </c>
      <c r="C782" s="8" t="str">
        <f>IF(A782="","",_xll.BDH(config!$H$4,C$1,$A782,$A782))</f>
        <v/>
      </c>
      <c r="D782" s="8" t="str">
        <f>IF($A782="","",_xll.BDH(config!$H$4,D$1,$A782,$A782))</f>
        <v/>
      </c>
      <c r="E782" s="8" t="str">
        <f>IF($A782="","",IF(ISNUMBER(FIND("IMPVOL",E$1)),_xll.BDH(config!$G$4,E$1,WORKDAY($A782,-1,config_Holiday_Calendar_US),WORKDAY($A782,-1,config_Holiday_Calendar_US)),IF(ISNUMBER(_xll.BDH(config!$G$4,E$1,$A782,$A782)),_xll.BDH(config!$G$4,E$1,$A782,$A782),_xll.BDH(config!$G$5,E$1,$A782,$A782))))</f>
        <v/>
      </c>
      <c r="F782" s="8" t="str">
        <f>IF($A782="","",IF(ISNUMBER(FIND("IMPVOL",F$1)),_xll.BDH(config!$G$4,F$1,WORKDAY($A782,-1,config_Holiday_Calendar_US),WORKDAY($A782,-1,config_Holiday_Calendar_US)),IF(ISNUMBER(_xll.BDH(config!$G$4,F$1,$A782,$A782)),_xll.BDH(config!$G$4,F$1,$A782,$A782),_xll.BDH(config!$G$5,F$1,$A782,$A782))))</f>
        <v/>
      </c>
      <c r="G782" s="8" t="str">
        <f>IF($A782="","",IF(ISNUMBER(FIND("IMPVOL",G$1)),_xll.BDH(config!$G$4,G$1,WORKDAY($A782,-1,config_Holiday_Calendar_US),WORKDAY($A782,-1,config_Holiday_Calendar_US)),IF(ISNUMBER(_xll.BDH(config!$G$4,G$1,$A782,$A782)),_xll.BDH(config!$G$4,G$1,$A782,$A782),_xll.BDH(config!$G$5,G$1,$A782,$A782))))</f>
        <v/>
      </c>
      <c r="H782" s="8" t="str">
        <f>IF($A782="","",IF(ISNUMBER(FIND("IMPVOL",H$1)),_xll.BDH(config!$G$4,H$1,WORKDAY($A782,-1,config_Holiday_Calendar_US),WORKDAY($A782,-1,config_Holiday_Calendar_US)),IF(ISNUMBER(_xll.BDH(config!$G$4,H$1,$A782,$A782)),_xll.BDH(config!$G$4,H$1,$A782,$A782),_xll.BDH(config!$G$5,H$1,$A782,$A782))))</f>
        <v/>
      </c>
      <c r="I782" s="8" t="str">
        <f>IF($A782="","",IF(ISNUMBER(FIND("IMPVOL",I$1)),_xll.BDH(config!$G$4,I$1,WORKDAY($A782,-1,config_Holiday_Calendar_US),WORKDAY($A782,-1,config_Holiday_Calendar_US)),IF(ISNUMBER(_xll.BDH(config!$G$4,I$1,$A782,$A782)),_xll.BDH(config!$G$4,I$1,$A782,$A782),_xll.BDH(config!$G$5,I$1,$A782,$A782))))</f>
        <v/>
      </c>
      <c r="J782" s="8" t="str">
        <f>IF($A782="","",IF(ISNUMBER(FIND("IMPVOL",J$1)),_xll.BDH(config!$G$4,J$1,WORKDAY($A782,-1,config_Holiday_Calendar_US),WORKDAY($A782,-1,config_Holiday_Calendar_US)),IF(ISNUMBER(_xll.BDH(config!$G$4,J$1,$A782,$A782)),_xll.BDH(config!$G$4,J$1,$A782,$A782),_xll.BDH(config!$G$5,J$1,$A782,$A782))))</f>
        <v/>
      </c>
      <c r="K782" s="8" t="str">
        <f>IF($A782="","",IF(ISNUMBER(FIND("IMPVOL",K$1)),_xll.BDH(config!$G$4,K$1,WORKDAY($A782,-1,config_Holiday_Calendar_US),WORKDAY($A782,-1,config_Holiday_Calendar_US)),IF(ISNUMBER(_xll.BDH(config!$G$4,K$1,$A782,$A782)),_xll.BDH(config!$G$4,K$1,$A782,$A782),_xll.BDH(config!$G$5,K$1,$A782,$A782))))</f>
        <v/>
      </c>
      <c r="L782" s="8" t="str">
        <f>IF($A782="","",IF(ISNUMBER(FIND("IMPVOL",L$1)),_xll.BDH(config!$G$4,L$1,WORKDAY($A782,-1,config_Holiday_Calendar_US),WORKDAY($A782,-1,config_Holiday_Calendar_US)),IF(ISNUMBER(_xll.BDH(config!$G$4,L$1,$A782,$A782)),_xll.BDH(config!$G$4,L$1,$A782,$A782),_xll.BDH(config!$G$5,L$1,$A782,$A782))))</f>
        <v/>
      </c>
      <c r="M782" s="8" t="str">
        <f>IF($A782="","",IF(ISNUMBER(FIND("IMPVOL",M$1)),_xll.BDH(config!$G$4,M$1,WORKDAY($A782,-1,config_Holiday_Calendar_US),WORKDAY($A782,-1,config_Holiday_Calendar_US)),IF(ISNUMBER(_xll.BDH(config!$G$4,M$1,$A782,$A782)),_xll.BDH(config!$G$4,M$1,$A782,$A782),_xll.BDH(config!$G$5,M$1,$A782,$A782))))</f>
        <v/>
      </c>
      <c r="N782" s="8" t="str">
        <f>IF($A782="","",IF(ISNUMBER(FIND("IMPVOL",N$1)),_xll.BDH(config!$G$4,N$1,WORKDAY($A782,-1,config_Holiday_Calendar_US),WORKDAY($A782,-1,config_Holiday_Calendar_US)),IF(ISNUMBER(_xll.BDH(config!$G$4,N$1,$A782,$A782)),_xll.BDH(config!$G$4,N$1,$A782,$A782),_xll.BDH(config!$G$5,N$1,$A782,$A782))))</f>
        <v/>
      </c>
      <c r="O782" s="8" t="str">
        <f>IF($A782="","",IF(ISNUMBER(FIND("IMPVOL",O$1)),_xll.BDH(config!$G$4,O$1,WORKDAY($A782,-1,config_Holiday_Calendar_US),WORKDAY($A782,-1,config_Holiday_Calendar_US)),IF(ISNUMBER(_xll.BDH(config!$G$4,O$1,$A782,$A782)),_xll.BDH(config!$G$4,O$1,$A782,$A782),_xll.BDH(config!$G$5,O$1,$A782,$A782))))</f>
        <v/>
      </c>
      <c r="P782" s="8" t="str">
        <f>IF($A782="","",IF(ISNUMBER(FIND("IMPVOL",P$1)),_xll.BDH(config!$G$4,P$1,WORKDAY($A782,-1,config_Holiday_Calendar_US),WORKDAY($A782,-1,config_Holiday_Calendar_US)),IF(ISNUMBER(_xll.BDH(config!$G$4,P$1,$A782,$A782)),_xll.BDH(config!$G$4,P$1,$A782,$A782),_xll.BDH(config!$G$5,P$1,$A782,$A782))))</f>
        <v/>
      </c>
      <c r="Q782" s="8" t="str">
        <f>IF($A782="","",IF(ISNUMBER(FIND("IMPVOL",Q$1)),_xll.BDH(config!$G$4,Q$1,WORKDAY($A782,-1,config_Holiday_Calendar_US),WORKDAY($A782,-1,config_Holiday_Calendar_US)),IF(ISNUMBER(_xll.BDH(config!$G$4,Q$1,$A782,$A782)),_xll.BDH(config!$G$4,Q$1,$A782,$A782),_xll.BDH(config!$G$5,Q$1,$A782,$A782))))</f>
        <v/>
      </c>
      <c r="R782" s="8" t="str">
        <f>IF($A782="","",IF(ISNUMBER(FIND("IMPVOL",R$1)),_xll.BDH(config!$G$4,R$1,WORKDAY($A782,-1,config_Holiday_Calendar_US),WORKDAY($A782,-1,config_Holiday_Calendar_US)),IF(ISNUMBER(_xll.BDH(config!$G$4,R$1,$A782,$A782)),_xll.BDH(config!$G$4,R$1,$A782,$A782),_xll.BDH(config!$G$5,R$1,$A782,$A782))))</f>
        <v/>
      </c>
      <c r="S782" s="8" t="str">
        <f>IF($A782="","",IF(ISNUMBER(FIND("IMPVOL",S$1)),_xll.BDH(config!$G$4,S$1,WORKDAY($A782,-1,config_Holiday_Calendar_US),WORKDAY($A782,-1,config_Holiday_Calendar_US)),IF(ISNUMBER(_xll.BDH(config!$G$4,S$1,$A782,$A782)),_xll.BDH(config!$G$4,S$1,$A782,$A782),_xll.BDH(config!$G$5,S$1,$A782,$A782))))</f>
        <v/>
      </c>
      <c r="T782" s="8" t="str">
        <f>IF($A782="","",IF(ISNUMBER(FIND("IMPVOL",T$1)),_xll.BDH(config!$G$4,T$1,WORKDAY($A782,-1,config_Holiday_Calendar_US),WORKDAY($A782,-1,config_Holiday_Calendar_US)),IF(ISNUMBER(_xll.BDH(config!$G$4,T$1,$A782,$A782)),_xll.BDH(config!$G$4,T$1,$A782,$A782),_xll.BDH(config!$G$5,T$1,$A782,$A782))))</f>
        <v/>
      </c>
      <c r="U782" s="8" t="str">
        <f>IF($A782="","",IF(ISNUMBER(FIND("IMPVOL",U$1)),_xll.BDH(config!$G$4,U$1,WORKDAY($A782,-1,config_Holiday_Calendar_US),WORKDAY($A782,-1,config_Holiday_Calendar_US)),IF(ISNUMBER(_xll.BDH(config!$G$4,U$1,$A782,$A782)),_xll.BDH(config!$G$4,U$1,$A782,$A782),_xll.BDH(config!$G$5,U$1,$A782,$A782))))</f>
        <v/>
      </c>
      <c r="V782" s="8" t="str">
        <f>IF($A782="","",IF(ISNUMBER(FIND("IMPVOL",V$1)),_xll.BDH(config!$G$4,V$1,WORKDAY($A782,-1,config_Holiday_Calendar_US),WORKDAY($A782,-1,config_Holiday_Calendar_US)),IF(ISNUMBER(_xll.BDH(config!$G$4,V$1,$A782,$A782)),_xll.BDH(config!$G$4,V$1,$A782,$A782),_xll.BDH(config!$G$5,V$1,$A782,$A782))))</f>
        <v/>
      </c>
      <c r="W782" s="8" t="str">
        <f>IF($A782="","",IF(ISNUMBER(FIND("IMPVOL",W$1)),_xll.BDH(config!$G$4,W$1,WORKDAY($A782,-1,config_Holiday_Calendar_US),WORKDAY($A782,-1,config_Holiday_Calendar_US)),IF(ISNUMBER(_xll.BDH(config!$G$4,W$1,$A782,$A782)),_xll.BDH(config!$G$4,W$1,$A782,$A782),_xll.BDH(config!$G$5,W$1,$A782,$A782))))</f>
        <v/>
      </c>
    </row>
    <row r="783" spans="1:23" x14ac:dyDescent="0.2">
      <c r="A783" s="9" t="str">
        <f>IF(A782="","",IF(WORKDAY(A782,-1,config_Holiday_Calendar_US)&lt;config!$I$10,"",WORKDAY(A782,-1,config_Holiday_Calendar_US)))</f>
        <v/>
      </c>
      <c r="B783" s="8" t="str">
        <f t="shared" si="12"/>
        <v/>
      </c>
      <c r="C783" s="8" t="str">
        <f>IF(A783="","",_xll.BDH(config!$H$4,C$1,$A783,$A783))</f>
        <v/>
      </c>
      <c r="D783" s="8" t="str">
        <f>IF($A783="","",_xll.BDH(config!$H$4,D$1,$A783,$A783))</f>
        <v/>
      </c>
      <c r="E783" s="8" t="str">
        <f>IF($A783="","",IF(ISNUMBER(FIND("IMPVOL",E$1)),_xll.BDH(config!$G$4,E$1,WORKDAY($A783,-1,config_Holiday_Calendar_US),WORKDAY($A783,-1,config_Holiday_Calendar_US)),IF(ISNUMBER(_xll.BDH(config!$G$4,E$1,$A783,$A783)),_xll.BDH(config!$G$4,E$1,$A783,$A783),_xll.BDH(config!$G$5,E$1,$A783,$A783))))</f>
        <v/>
      </c>
      <c r="F783" s="8" t="str">
        <f>IF($A783="","",IF(ISNUMBER(FIND("IMPVOL",F$1)),_xll.BDH(config!$G$4,F$1,WORKDAY($A783,-1,config_Holiday_Calendar_US),WORKDAY($A783,-1,config_Holiday_Calendar_US)),IF(ISNUMBER(_xll.BDH(config!$G$4,F$1,$A783,$A783)),_xll.BDH(config!$G$4,F$1,$A783,$A783),_xll.BDH(config!$G$5,F$1,$A783,$A783))))</f>
        <v/>
      </c>
      <c r="G783" s="8" t="str">
        <f>IF($A783="","",IF(ISNUMBER(FIND("IMPVOL",G$1)),_xll.BDH(config!$G$4,G$1,WORKDAY($A783,-1,config_Holiday_Calendar_US),WORKDAY($A783,-1,config_Holiday_Calendar_US)),IF(ISNUMBER(_xll.BDH(config!$G$4,G$1,$A783,$A783)),_xll.BDH(config!$G$4,G$1,$A783,$A783),_xll.BDH(config!$G$5,G$1,$A783,$A783))))</f>
        <v/>
      </c>
      <c r="H783" s="8" t="str">
        <f>IF($A783="","",IF(ISNUMBER(FIND("IMPVOL",H$1)),_xll.BDH(config!$G$4,H$1,WORKDAY($A783,-1,config_Holiday_Calendar_US),WORKDAY($A783,-1,config_Holiday_Calendar_US)),IF(ISNUMBER(_xll.BDH(config!$G$4,H$1,$A783,$A783)),_xll.BDH(config!$G$4,H$1,$A783,$A783),_xll.BDH(config!$G$5,H$1,$A783,$A783))))</f>
        <v/>
      </c>
      <c r="I783" s="8" t="str">
        <f>IF($A783="","",IF(ISNUMBER(FIND("IMPVOL",I$1)),_xll.BDH(config!$G$4,I$1,WORKDAY($A783,-1,config_Holiday_Calendar_US),WORKDAY($A783,-1,config_Holiday_Calendar_US)),IF(ISNUMBER(_xll.BDH(config!$G$4,I$1,$A783,$A783)),_xll.BDH(config!$G$4,I$1,$A783,$A783),_xll.BDH(config!$G$5,I$1,$A783,$A783))))</f>
        <v/>
      </c>
      <c r="J783" s="8" t="str">
        <f>IF($A783="","",IF(ISNUMBER(FIND("IMPVOL",J$1)),_xll.BDH(config!$G$4,J$1,WORKDAY($A783,-1,config_Holiday_Calendar_US),WORKDAY($A783,-1,config_Holiday_Calendar_US)),IF(ISNUMBER(_xll.BDH(config!$G$4,J$1,$A783,$A783)),_xll.BDH(config!$G$4,J$1,$A783,$A783),_xll.BDH(config!$G$5,J$1,$A783,$A783))))</f>
        <v/>
      </c>
      <c r="K783" s="8" t="str">
        <f>IF($A783="","",IF(ISNUMBER(FIND("IMPVOL",K$1)),_xll.BDH(config!$G$4,K$1,WORKDAY($A783,-1,config_Holiday_Calendar_US),WORKDAY($A783,-1,config_Holiday_Calendar_US)),IF(ISNUMBER(_xll.BDH(config!$G$4,K$1,$A783,$A783)),_xll.BDH(config!$G$4,K$1,$A783,$A783),_xll.BDH(config!$G$5,K$1,$A783,$A783))))</f>
        <v/>
      </c>
      <c r="L783" s="8" t="str">
        <f>IF($A783="","",IF(ISNUMBER(FIND("IMPVOL",L$1)),_xll.BDH(config!$G$4,L$1,WORKDAY($A783,-1,config_Holiday_Calendar_US),WORKDAY($A783,-1,config_Holiday_Calendar_US)),IF(ISNUMBER(_xll.BDH(config!$G$4,L$1,$A783,$A783)),_xll.BDH(config!$G$4,L$1,$A783,$A783),_xll.BDH(config!$G$5,L$1,$A783,$A783))))</f>
        <v/>
      </c>
      <c r="M783" s="8" t="str">
        <f>IF($A783="","",IF(ISNUMBER(FIND("IMPVOL",M$1)),_xll.BDH(config!$G$4,M$1,WORKDAY($A783,-1,config_Holiday_Calendar_US),WORKDAY($A783,-1,config_Holiday_Calendar_US)),IF(ISNUMBER(_xll.BDH(config!$G$4,M$1,$A783,$A783)),_xll.BDH(config!$G$4,M$1,$A783,$A783),_xll.BDH(config!$G$5,M$1,$A783,$A783))))</f>
        <v/>
      </c>
      <c r="N783" s="8" t="str">
        <f>IF($A783="","",IF(ISNUMBER(FIND("IMPVOL",N$1)),_xll.BDH(config!$G$4,N$1,WORKDAY($A783,-1,config_Holiday_Calendar_US),WORKDAY($A783,-1,config_Holiday_Calendar_US)),IF(ISNUMBER(_xll.BDH(config!$G$4,N$1,$A783,$A783)),_xll.BDH(config!$G$4,N$1,$A783,$A783),_xll.BDH(config!$G$5,N$1,$A783,$A783))))</f>
        <v/>
      </c>
      <c r="O783" s="8" t="str">
        <f>IF($A783="","",IF(ISNUMBER(FIND("IMPVOL",O$1)),_xll.BDH(config!$G$4,O$1,WORKDAY($A783,-1,config_Holiday_Calendar_US),WORKDAY($A783,-1,config_Holiday_Calendar_US)),IF(ISNUMBER(_xll.BDH(config!$G$4,O$1,$A783,$A783)),_xll.BDH(config!$G$4,O$1,$A783,$A783),_xll.BDH(config!$G$5,O$1,$A783,$A783))))</f>
        <v/>
      </c>
      <c r="P783" s="8" t="str">
        <f>IF($A783="","",IF(ISNUMBER(FIND("IMPVOL",P$1)),_xll.BDH(config!$G$4,P$1,WORKDAY($A783,-1,config_Holiday_Calendar_US),WORKDAY($A783,-1,config_Holiday_Calendar_US)),IF(ISNUMBER(_xll.BDH(config!$G$4,P$1,$A783,$A783)),_xll.BDH(config!$G$4,P$1,$A783,$A783),_xll.BDH(config!$G$5,P$1,$A783,$A783))))</f>
        <v/>
      </c>
      <c r="Q783" s="8" t="str">
        <f>IF($A783="","",IF(ISNUMBER(FIND("IMPVOL",Q$1)),_xll.BDH(config!$G$4,Q$1,WORKDAY($A783,-1,config_Holiday_Calendar_US),WORKDAY($A783,-1,config_Holiday_Calendar_US)),IF(ISNUMBER(_xll.BDH(config!$G$4,Q$1,$A783,$A783)),_xll.BDH(config!$G$4,Q$1,$A783,$A783),_xll.BDH(config!$G$5,Q$1,$A783,$A783))))</f>
        <v/>
      </c>
      <c r="R783" s="8" t="str">
        <f>IF($A783="","",IF(ISNUMBER(FIND("IMPVOL",R$1)),_xll.BDH(config!$G$4,R$1,WORKDAY($A783,-1,config_Holiday_Calendar_US),WORKDAY($A783,-1,config_Holiday_Calendar_US)),IF(ISNUMBER(_xll.BDH(config!$G$4,R$1,$A783,$A783)),_xll.BDH(config!$G$4,R$1,$A783,$A783),_xll.BDH(config!$G$5,R$1,$A783,$A783))))</f>
        <v/>
      </c>
      <c r="S783" s="8" t="str">
        <f>IF($A783="","",IF(ISNUMBER(FIND("IMPVOL",S$1)),_xll.BDH(config!$G$4,S$1,WORKDAY($A783,-1,config_Holiday_Calendar_US),WORKDAY($A783,-1,config_Holiday_Calendar_US)),IF(ISNUMBER(_xll.BDH(config!$G$4,S$1,$A783,$A783)),_xll.BDH(config!$G$4,S$1,$A783,$A783),_xll.BDH(config!$G$5,S$1,$A783,$A783))))</f>
        <v/>
      </c>
      <c r="T783" s="8" t="str">
        <f>IF($A783="","",IF(ISNUMBER(FIND("IMPVOL",T$1)),_xll.BDH(config!$G$4,T$1,WORKDAY($A783,-1,config_Holiday_Calendar_US),WORKDAY($A783,-1,config_Holiday_Calendar_US)),IF(ISNUMBER(_xll.BDH(config!$G$4,T$1,$A783,$A783)),_xll.BDH(config!$G$4,T$1,$A783,$A783),_xll.BDH(config!$G$5,T$1,$A783,$A783))))</f>
        <v/>
      </c>
      <c r="U783" s="8" t="str">
        <f>IF($A783="","",IF(ISNUMBER(FIND("IMPVOL",U$1)),_xll.BDH(config!$G$4,U$1,WORKDAY($A783,-1,config_Holiday_Calendar_US),WORKDAY($A783,-1,config_Holiday_Calendar_US)),IF(ISNUMBER(_xll.BDH(config!$G$4,U$1,$A783,$A783)),_xll.BDH(config!$G$4,U$1,$A783,$A783),_xll.BDH(config!$G$5,U$1,$A783,$A783))))</f>
        <v/>
      </c>
      <c r="V783" s="8" t="str">
        <f>IF($A783="","",IF(ISNUMBER(FIND("IMPVOL",V$1)),_xll.BDH(config!$G$4,V$1,WORKDAY($A783,-1,config_Holiday_Calendar_US),WORKDAY($A783,-1,config_Holiday_Calendar_US)),IF(ISNUMBER(_xll.BDH(config!$G$4,V$1,$A783,$A783)),_xll.BDH(config!$G$4,V$1,$A783,$A783),_xll.BDH(config!$G$5,V$1,$A783,$A783))))</f>
        <v/>
      </c>
      <c r="W783" s="8" t="str">
        <f>IF($A783="","",IF(ISNUMBER(FIND("IMPVOL",W$1)),_xll.BDH(config!$G$4,W$1,WORKDAY($A783,-1,config_Holiday_Calendar_US),WORKDAY($A783,-1,config_Holiday_Calendar_US)),IF(ISNUMBER(_xll.BDH(config!$G$4,W$1,$A783,$A783)),_xll.BDH(config!$G$4,W$1,$A783,$A783),_xll.BDH(config!$G$5,W$1,$A783,$A783))))</f>
        <v/>
      </c>
    </row>
    <row r="784" spans="1:23" x14ac:dyDescent="0.2">
      <c r="A784" s="9" t="str">
        <f>IF(A783="","",IF(WORKDAY(A783,-1,config_Holiday_Calendar_US)&lt;config!$I$10,"",WORKDAY(A783,-1,config_Holiday_Calendar_US)))</f>
        <v/>
      </c>
      <c r="B784" s="8" t="str">
        <f t="shared" si="12"/>
        <v/>
      </c>
      <c r="C784" s="8" t="str">
        <f>IF(A784="","",_xll.BDH(config!$H$4,C$1,$A784,$A784))</f>
        <v/>
      </c>
      <c r="D784" s="8" t="str">
        <f>IF($A784="","",_xll.BDH(config!$H$4,D$1,$A784,$A784))</f>
        <v/>
      </c>
      <c r="E784" s="8" t="str">
        <f>IF($A784="","",IF(ISNUMBER(FIND("IMPVOL",E$1)),_xll.BDH(config!$G$4,E$1,WORKDAY($A784,-1,config_Holiday_Calendar_US),WORKDAY($A784,-1,config_Holiday_Calendar_US)),IF(ISNUMBER(_xll.BDH(config!$G$4,E$1,$A784,$A784)),_xll.BDH(config!$G$4,E$1,$A784,$A784),_xll.BDH(config!$G$5,E$1,$A784,$A784))))</f>
        <v/>
      </c>
      <c r="F784" s="8" t="str">
        <f>IF($A784="","",IF(ISNUMBER(FIND("IMPVOL",F$1)),_xll.BDH(config!$G$4,F$1,WORKDAY($A784,-1,config_Holiday_Calendar_US),WORKDAY($A784,-1,config_Holiday_Calendar_US)),IF(ISNUMBER(_xll.BDH(config!$G$4,F$1,$A784,$A784)),_xll.BDH(config!$G$4,F$1,$A784,$A784),_xll.BDH(config!$G$5,F$1,$A784,$A784))))</f>
        <v/>
      </c>
      <c r="G784" s="8" t="str">
        <f>IF($A784="","",IF(ISNUMBER(FIND("IMPVOL",G$1)),_xll.BDH(config!$G$4,G$1,WORKDAY($A784,-1,config_Holiday_Calendar_US),WORKDAY($A784,-1,config_Holiday_Calendar_US)),IF(ISNUMBER(_xll.BDH(config!$G$4,G$1,$A784,$A784)),_xll.BDH(config!$G$4,G$1,$A784,$A784),_xll.BDH(config!$G$5,G$1,$A784,$A784))))</f>
        <v/>
      </c>
      <c r="H784" s="8" t="str">
        <f>IF($A784="","",IF(ISNUMBER(FIND("IMPVOL",H$1)),_xll.BDH(config!$G$4,H$1,WORKDAY($A784,-1,config_Holiday_Calendar_US),WORKDAY($A784,-1,config_Holiday_Calendar_US)),IF(ISNUMBER(_xll.BDH(config!$G$4,H$1,$A784,$A784)),_xll.BDH(config!$G$4,H$1,$A784,$A784),_xll.BDH(config!$G$5,H$1,$A784,$A784))))</f>
        <v/>
      </c>
      <c r="I784" s="8" t="str">
        <f>IF($A784="","",IF(ISNUMBER(FIND("IMPVOL",I$1)),_xll.BDH(config!$G$4,I$1,WORKDAY($A784,-1,config_Holiday_Calendar_US),WORKDAY($A784,-1,config_Holiday_Calendar_US)),IF(ISNUMBER(_xll.BDH(config!$G$4,I$1,$A784,$A784)),_xll.BDH(config!$G$4,I$1,$A784,$A784),_xll.BDH(config!$G$5,I$1,$A784,$A784))))</f>
        <v/>
      </c>
      <c r="J784" s="8" t="str">
        <f>IF($A784="","",IF(ISNUMBER(FIND("IMPVOL",J$1)),_xll.BDH(config!$G$4,J$1,WORKDAY($A784,-1,config_Holiday_Calendar_US),WORKDAY($A784,-1,config_Holiday_Calendar_US)),IF(ISNUMBER(_xll.BDH(config!$G$4,J$1,$A784,$A784)),_xll.BDH(config!$G$4,J$1,$A784,$A784),_xll.BDH(config!$G$5,J$1,$A784,$A784))))</f>
        <v/>
      </c>
      <c r="K784" s="8" t="str">
        <f>IF($A784="","",IF(ISNUMBER(FIND("IMPVOL",K$1)),_xll.BDH(config!$G$4,K$1,WORKDAY($A784,-1,config_Holiday_Calendar_US),WORKDAY($A784,-1,config_Holiday_Calendar_US)),IF(ISNUMBER(_xll.BDH(config!$G$4,K$1,$A784,$A784)),_xll.BDH(config!$G$4,K$1,$A784,$A784),_xll.BDH(config!$G$5,K$1,$A784,$A784))))</f>
        <v/>
      </c>
      <c r="L784" s="8" t="str">
        <f>IF($A784="","",IF(ISNUMBER(FIND("IMPVOL",L$1)),_xll.BDH(config!$G$4,L$1,WORKDAY($A784,-1,config_Holiday_Calendar_US),WORKDAY($A784,-1,config_Holiday_Calendar_US)),IF(ISNUMBER(_xll.BDH(config!$G$4,L$1,$A784,$A784)),_xll.BDH(config!$G$4,L$1,$A784,$A784),_xll.BDH(config!$G$5,L$1,$A784,$A784))))</f>
        <v/>
      </c>
      <c r="M784" s="8" t="str">
        <f>IF($A784="","",IF(ISNUMBER(FIND("IMPVOL",M$1)),_xll.BDH(config!$G$4,M$1,WORKDAY($A784,-1,config_Holiday_Calendar_US),WORKDAY($A784,-1,config_Holiday_Calendar_US)),IF(ISNUMBER(_xll.BDH(config!$G$4,M$1,$A784,$A784)),_xll.BDH(config!$G$4,M$1,$A784,$A784),_xll.BDH(config!$G$5,M$1,$A784,$A784))))</f>
        <v/>
      </c>
      <c r="N784" s="8" t="str">
        <f>IF($A784="","",IF(ISNUMBER(FIND("IMPVOL",N$1)),_xll.BDH(config!$G$4,N$1,WORKDAY($A784,-1,config_Holiday_Calendar_US),WORKDAY($A784,-1,config_Holiday_Calendar_US)),IF(ISNUMBER(_xll.BDH(config!$G$4,N$1,$A784,$A784)),_xll.BDH(config!$G$4,N$1,$A784,$A784),_xll.BDH(config!$G$5,N$1,$A784,$A784))))</f>
        <v/>
      </c>
      <c r="O784" s="8" t="str">
        <f>IF($A784="","",IF(ISNUMBER(FIND("IMPVOL",O$1)),_xll.BDH(config!$G$4,O$1,WORKDAY($A784,-1,config_Holiday_Calendar_US),WORKDAY($A784,-1,config_Holiday_Calendar_US)),IF(ISNUMBER(_xll.BDH(config!$G$4,O$1,$A784,$A784)),_xll.BDH(config!$G$4,O$1,$A784,$A784),_xll.BDH(config!$G$5,O$1,$A784,$A784))))</f>
        <v/>
      </c>
      <c r="P784" s="8" t="str">
        <f>IF($A784="","",IF(ISNUMBER(FIND("IMPVOL",P$1)),_xll.BDH(config!$G$4,P$1,WORKDAY($A784,-1,config_Holiday_Calendar_US),WORKDAY($A784,-1,config_Holiday_Calendar_US)),IF(ISNUMBER(_xll.BDH(config!$G$4,P$1,$A784,$A784)),_xll.BDH(config!$G$4,P$1,$A784,$A784),_xll.BDH(config!$G$5,P$1,$A784,$A784))))</f>
        <v/>
      </c>
      <c r="Q784" s="8" t="str">
        <f>IF($A784="","",IF(ISNUMBER(FIND("IMPVOL",Q$1)),_xll.BDH(config!$G$4,Q$1,WORKDAY($A784,-1,config_Holiday_Calendar_US),WORKDAY($A784,-1,config_Holiday_Calendar_US)),IF(ISNUMBER(_xll.BDH(config!$G$4,Q$1,$A784,$A784)),_xll.BDH(config!$G$4,Q$1,$A784,$A784),_xll.BDH(config!$G$5,Q$1,$A784,$A784))))</f>
        <v/>
      </c>
      <c r="R784" s="8" t="str">
        <f>IF($A784="","",IF(ISNUMBER(FIND("IMPVOL",R$1)),_xll.BDH(config!$G$4,R$1,WORKDAY($A784,-1,config_Holiday_Calendar_US),WORKDAY($A784,-1,config_Holiday_Calendar_US)),IF(ISNUMBER(_xll.BDH(config!$G$4,R$1,$A784,$A784)),_xll.BDH(config!$G$4,R$1,$A784,$A784),_xll.BDH(config!$G$5,R$1,$A784,$A784))))</f>
        <v/>
      </c>
      <c r="S784" s="8" t="str">
        <f>IF($A784="","",IF(ISNUMBER(FIND("IMPVOL",S$1)),_xll.BDH(config!$G$4,S$1,WORKDAY($A784,-1,config_Holiday_Calendar_US),WORKDAY($A784,-1,config_Holiday_Calendar_US)),IF(ISNUMBER(_xll.BDH(config!$G$4,S$1,$A784,$A784)),_xll.BDH(config!$G$4,S$1,$A784,$A784),_xll.BDH(config!$G$5,S$1,$A784,$A784))))</f>
        <v/>
      </c>
      <c r="T784" s="8" t="str">
        <f>IF($A784="","",IF(ISNUMBER(FIND("IMPVOL",T$1)),_xll.BDH(config!$G$4,T$1,WORKDAY($A784,-1,config_Holiday_Calendar_US),WORKDAY($A784,-1,config_Holiday_Calendar_US)),IF(ISNUMBER(_xll.BDH(config!$G$4,T$1,$A784,$A784)),_xll.BDH(config!$G$4,T$1,$A784,$A784),_xll.BDH(config!$G$5,T$1,$A784,$A784))))</f>
        <v/>
      </c>
      <c r="U784" s="8" t="str">
        <f>IF($A784="","",IF(ISNUMBER(FIND("IMPVOL",U$1)),_xll.BDH(config!$G$4,U$1,WORKDAY($A784,-1,config_Holiday_Calendar_US),WORKDAY($A784,-1,config_Holiday_Calendar_US)),IF(ISNUMBER(_xll.BDH(config!$G$4,U$1,$A784,$A784)),_xll.BDH(config!$G$4,U$1,$A784,$A784),_xll.BDH(config!$G$5,U$1,$A784,$A784))))</f>
        <v/>
      </c>
      <c r="V784" s="8" t="str">
        <f>IF($A784="","",IF(ISNUMBER(FIND("IMPVOL",V$1)),_xll.BDH(config!$G$4,V$1,WORKDAY($A784,-1,config_Holiday_Calendar_US),WORKDAY($A784,-1,config_Holiday_Calendar_US)),IF(ISNUMBER(_xll.BDH(config!$G$4,V$1,$A784,$A784)),_xll.BDH(config!$G$4,V$1,$A784,$A784),_xll.BDH(config!$G$5,V$1,$A784,$A784))))</f>
        <v/>
      </c>
      <c r="W784" s="8" t="str">
        <f>IF($A784="","",IF(ISNUMBER(FIND("IMPVOL",W$1)),_xll.BDH(config!$G$4,W$1,WORKDAY($A784,-1,config_Holiday_Calendar_US),WORKDAY($A784,-1,config_Holiday_Calendar_US)),IF(ISNUMBER(_xll.BDH(config!$G$4,W$1,$A784,$A784)),_xll.BDH(config!$G$4,W$1,$A784,$A784),_xll.BDH(config!$G$5,W$1,$A784,$A784))))</f>
        <v/>
      </c>
    </row>
    <row r="785" spans="1:23" x14ac:dyDescent="0.2">
      <c r="A785" s="9" t="str">
        <f>IF(A784="","",IF(WORKDAY(A784,-1,config_Holiday_Calendar_US)&lt;config!$I$10,"",WORKDAY(A784,-1,config_Holiday_Calendar_US)))</f>
        <v/>
      </c>
      <c r="B785" s="8" t="str">
        <f t="shared" si="12"/>
        <v/>
      </c>
      <c r="C785" s="8" t="str">
        <f>IF(A785="","",_xll.BDH(config!$H$4,C$1,$A785,$A785))</f>
        <v/>
      </c>
      <c r="D785" s="8" t="str">
        <f>IF($A785="","",_xll.BDH(config!$H$4,D$1,$A785,$A785))</f>
        <v/>
      </c>
      <c r="E785" s="8" t="str">
        <f>IF($A785="","",IF(ISNUMBER(FIND("IMPVOL",E$1)),_xll.BDH(config!$G$4,E$1,WORKDAY($A785,-1,config_Holiday_Calendar_US),WORKDAY($A785,-1,config_Holiday_Calendar_US)),IF(ISNUMBER(_xll.BDH(config!$G$4,E$1,$A785,$A785)),_xll.BDH(config!$G$4,E$1,$A785,$A785),_xll.BDH(config!$G$5,E$1,$A785,$A785))))</f>
        <v/>
      </c>
      <c r="F785" s="8" t="str">
        <f>IF($A785="","",IF(ISNUMBER(FIND("IMPVOL",F$1)),_xll.BDH(config!$G$4,F$1,WORKDAY($A785,-1,config_Holiday_Calendar_US),WORKDAY($A785,-1,config_Holiday_Calendar_US)),IF(ISNUMBER(_xll.BDH(config!$G$4,F$1,$A785,$A785)),_xll.BDH(config!$G$4,F$1,$A785,$A785),_xll.BDH(config!$G$5,F$1,$A785,$A785))))</f>
        <v/>
      </c>
      <c r="G785" s="8" t="str">
        <f>IF($A785="","",IF(ISNUMBER(FIND("IMPVOL",G$1)),_xll.BDH(config!$G$4,G$1,WORKDAY($A785,-1,config_Holiday_Calendar_US),WORKDAY($A785,-1,config_Holiday_Calendar_US)),IF(ISNUMBER(_xll.BDH(config!$G$4,G$1,$A785,$A785)),_xll.BDH(config!$G$4,G$1,$A785,$A785),_xll.BDH(config!$G$5,G$1,$A785,$A785))))</f>
        <v/>
      </c>
      <c r="H785" s="8" t="str">
        <f>IF($A785="","",IF(ISNUMBER(FIND("IMPVOL",H$1)),_xll.BDH(config!$G$4,H$1,WORKDAY($A785,-1,config_Holiday_Calendar_US),WORKDAY($A785,-1,config_Holiday_Calendar_US)),IF(ISNUMBER(_xll.BDH(config!$G$4,H$1,$A785,$A785)),_xll.BDH(config!$G$4,H$1,$A785,$A785),_xll.BDH(config!$G$5,H$1,$A785,$A785))))</f>
        <v/>
      </c>
      <c r="I785" s="8" t="str">
        <f>IF($A785="","",IF(ISNUMBER(FIND("IMPVOL",I$1)),_xll.BDH(config!$G$4,I$1,WORKDAY($A785,-1,config_Holiday_Calendar_US),WORKDAY($A785,-1,config_Holiday_Calendar_US)),IF(ISNUMBER(_xll.BDH(config!$G$4,I$1,$A785,$A785)),_xll.BDH(config!$G$4,I$1,$A785,$A785),_xll.BDH(config!$G$5,I$1,$A785,$A785))))</f>
        <v/>
      </c>
      <c r="J785" s="8" t="str">
        <f>IF($A785="","",IF(ISNUMBER(FIND("IMPVOL",J$1)),_xll.BDH(config!$G$4,J$1,WORKDAY($A785,-1,config_Holiday_Calendar_US),WORKDAY($A785,-1,config_Holiday_Calendar_US)),IF(ISNUMBER(_xll.BDH(config!$G$4,J$1,$A785,$A785)),_xll.BDH(config!$G$4,J$1,$A785,$A785),_xll.BDH(config!$G$5,J$1,$A785,$A785))))</f>
        <v/>
      </c>
      <c r="K785" s="8" t="str">
        <f>IF($A785="","",IF(ISNUMBER(FIND("IMPVOL",K$1)),_xll.BDH(config!$G$4,K$1,WORKDAY($A785,-1,config_Holiday_Calendar_US),WORKDAY($A785,-1,config_Holiday_Calendar_US)),IF(ISNUMBER(_xll.BDH(config!$G$4,K$1,$A785,$A785)),_xll.BDH(config!$G$4,K$1,$A785,$A785),_xll.BDH(config!$G$5,K$1,$A785,$A785))))</f>
        <v/>
      </c>
      <c r="L785" s="8" t="str">
        <f>IF($A785="","",IF(ISNUMBER(FIND("IMPVOL",L$1)),_xll.BDH(config!$G$4,L$1,WORKDAY($A785,-1,config_Holiday_Calendar_US),WORKDAY($A785,-1,config_Holiday_Calendar_US)),IF(ISNUMBER(_xll.BDH(config!$G$4,L$1,$A785,$A785)),_xll.BDH(config!$G$4,L$1,$A785,$A785),_xll.BDH(config!$G$5,L$1,$A785,$A785))))</f>
        <v/>
      </c>
      <c r="M785" s="8" t="str">
        <f>IF($A785="","",IF(ISNUMBER(FIND("IMPVOL",M$1)),_xll.BDH(config!$G$4,M$1,WORKDAY($A785,-1,config_Holiday_Calendar_US),WORKDAY($A785,-1,config_Holiday_Calendar_US)),IF(ISNUMBER(_xll.BDH(config!$G$4,M$1,$A785,$A785)),_xll.BDH(config!$G$4,M$1,$A785,$A785),_xll.BDH(config!$G$5,M$1,$A785,$A785))))</f>
        <v/>
      </c>
      <c r="N785" s="8" t="str">
        <f>IF($A785="","",IF(ISNUMBER(FIND("IMPVOL",N$1)),_xll.BDH(config!$G$4,N$1,WORKDAY($A785,-1,config_Holiday_Calendar_US),WORKDAY($A785,-1,config_Holiday_Calendar_US)),IF(ISNUMBER(_xll.BDH(config!$G$4,N$1,$A785,$A785)),_xll.BDH(config!$G$4,N$1,$A785,$A785),_xll.BDH(config!$G$5,N$1,$A785,$A785))))</f>
        <v/>
      </c>
      <c r="O785" s="8" t="str">
        <f>IF($A785="","",IF(ISNUMBER(FIND("IMPVOL",O$1)),_xll.BDH(config!$G$4,O$1,WORKDAY($A785,-1,config_Holiday_Calendar_US),WORKDAY($A785,-1,config_Holiday_Calendar_US)),IF(ISNUMBER(_xll.BDH(config!$G$4,O$1,$A785,$A785)),_xll.BDH(config!$G$4,O$1,$A785,$A785),_xll.BDH(config!$G$5,O$1,$A785,$A785))))</f>
        <v/>
      </c>
      <c r="P785" s="8" t="str">
        <f>IF($A785="","",IF(ISNUMBER(FIND("IMPVOL",P$1)),_xll.BDH(config!$G$4,P$1,WORKDAY($A785,-1,config_Holiday_Calendar_US),WORKDAY($A785,-1,config_Holiday_Calendar_US)),IF(ISNUMBER(_xll.BDH(config!$G$4,P$1,$A785,$A785)),_xll.BDH(config!$G$4,P$1,$A785,$A785),_xll.BDH(config!$G$5,P$1,$A785,$A785))))</f>
        <v/>
      </c>
      <c r="Q785" s="8" t="str">
        <f>IF($A785="","",IF(ISNUMBER(FIND("IMPVOL",Q$1)),_xll.BDH(config!$G$4,Q$1,WORKDAY($A785,-1,config_Holiday_Calendar_US),WORKDAY($A785,-1,config_Holiday_Calendar_US)),IF(ISNUMBER(_xll.BDH(config!$G$4,Q$1,$A785,$A785)),_xll.BDH(config!$G$4,Q$1,$A785,$A785),_xll.BDH(config!$G$5,Q$1,$A785,$A785))))</f>
        <v/>
      </c>
      <c r="R785" s="8" t="str">
        <f>IF($A785="","",IF(ISNUMBER(FIND("IMPVOL",R$1)),_xll.BDH(config!$G$4,R$1,WORKDAY($A785,-1,config_Holiday_Calendar_US),WORKDAY($A785,-1,config_Holiday_Calendar_US)),IF(ISNUMBER(_xll.BDH(config!$G$4,R$1,$A785,$A785)),_xll.BDH(config!$G$4,R$1,$A785,$A785),_xll.BDH(config!$G$5,R$1,$A785,$A785))))</f>
        <v/>
      </c>
      <c r="S785" s="8" t="str">
        <f>IF($A785="","",IF(ISNUMBER(FIND("IMPVOL",S$1)),_xll.BDH(config!$G$4,S$1,WORKDAY($A785,-1,config_Holiday_Calendar_US),WORKDAY($A785,-1,config_Holiday_Calendar_US)),IF(ISNUMBER(_xll.BDH(config!$G$4,S$1,$A785,$A785)),_xll.BDH(config!$G$4,S$1,$A785,$A785),_xll.BDH(config!$G$5,S$1,$A785,$A785))))</f>
        <v/>
      </c>
      <c r="T785" s="8" t="str">
        <f>IF($A785="","",IF(ISNUMBER(FIND("IMPVOL",T$1)),_xll.BDH(config!$G$4,T$1,WORKDAY($A785,-1,config_Holiday_Calendar_US),WORKDAY($A785,-1,config_Holiday_Calendar_US)),IF(ISNUMBER(_xll.BDH(config!$G$4,T$1,$A785,$A785)),_xll.BDH(config!$G$4,T$1,$A785,$A785),_xll.BDH(config!$G$5,T$1,$A785,$A785))))</f>
        <v/>
      </c>
      <c r="U785" s="8" t="str">
        <f>IF($A785="","",IF(ISNUMBER(FIND("IMPVOL",U$1)),_xll.BDH(config!$G$4,U$1,WORKDAY($A785,-1,config_Holiday_Calendar_US),WORKDAY($A785,-1,config_Holiday_Calendar_US)),IF(ISNUMBER(_xll.BDH(config!$G$4,U$1,$A785,$A785)),_xll.BDH(config!$G$4,U$1,$A785,$A785),_xll.BDH(config!$G$5,U$1,$A785,$A785))))</f>
        <v/>
      </c>
      <c r="V785" s="8" t="str">
        <f>IF($A785="","",IF(ISNUMBER(FIND("IMPVOL",V$1)),_xll.BDH(config!$G$4,V$1,WORKDAY($A785,-1,config_Holiday_Calendar_US),WORKDAY($A785,-1,config_Holiday_Calendar_US)),IF(ISNUMBER(_xll.BDH(config!$G$4,V$1,$A785,$A785)),_xll.BDH(config!$G$4,V$1,$A785,$A785),_xll.BDH(config!$G$5,V$1,$A785,$A785))))</f>
        <v/>
      </c>
      <c r="W785" s="8" t="str">
        <f>IF($A785="","",IF(ISNUMBER(FIND("IMPVOL",W$1)),_xll.BDH(config!$G$4,W$1,WORKDAY($A785,-1,config_Holiday_Calendar_US),WORKDAY($A785,-1,config_Holiday_Calendar_US)),IF(ISNUMBER(_xll.BDH(config!$G$4,W$1,$A785,$A785)),_xll.BDH(config!$G$4,W$1,$A785,$A785),_xll.BDH(config!$G$5,W$1,$A785,$A785))))</f>
        <v/>
      </c>
    </row>
    <row r="786" spans="1:23" x14ac:dyDescent="0.2">
      <c r="A786" s="9" t="str">
        <f>IF(A785="","",IF(WORKDAY(A785,-1,config_Holiday_Calendar_US)&lt;config!$I$10,"",WORKDAY(A785,-1,config_Holiday_Calendar_US)))</f>
        <v/>
      </c>
      <c r="B786" s="8" t="str">
        <f t="shared" si="12"/>
        <v/>
      </c>
      <c r="C786" s="8" t="str">
        <f>IF(A786="","",_xll.BDH(config!$H$4,C$1,$A786,$A786))</f>
        <v/>
      </c>
      <c r="D786" s="8" t="str">
        <f>IF($A786="","",_xll.BDH(config!$H$4,D$1,$A786,$A786))</f>
        <v/>
      </c>
      <c r="E786" s="8" t="str">
        <f>IF($A786="","",IF(ISNUMBER(FIND("IMPVOL",E$1)),_xll.BDH(config!$G$4,E$1,WORKDAY($A786,-1,config_Holiday_Calendar_US),WORKDAY($A786,-1,config_Holiday_Calendar_US)),IF(ISNUMBER(_xll.BDH(config!$G$4,E$1,$A786,$A786)),_xll.BDH(config!$G$4,E$1,$A786,$A786),_xll.BDH(config!$G$5,E$1,$A786,$A786))))</f>
        <v/>
      </c>
      <c r="F786" s="8" t="str">
        <f>IF($A786="","",IF(ISNUMBER(FIND("IMPVOL",F$1)),_xll.BDH(config!$G$4,F$1,WORKDAY($A786,-1,config_Holiday_Calendar_US),WORKDAY($A786,-1,config_Holiday_Calendar_US)),IF(ISNUMBER(_xll.BDH(config!$G$4,F$1,$A786,$A786)),_xll.BDH(config!$G$4,F$1,$A786,$A786),_xll.BDH(config!$G$5,F$1,$A786,$A786))))</f>
        <v/>
      </c>
      <c r="G786" s="8" t="str">
        <f>IF($A786="","",IF(ISNUMBER(FIND("IMPVOL",G$1)),_xll.BDH(config!$G$4,G$1,WORKDAY($A786,-1,config_Holiday_Calendar_US),WORKDAY($A786,-1,config_Holiday_Calendar_US)),IF(ISNUMBER(_xll.BDH(config!$G$4,G$1,$A786,$A786)),_xll.BDH(config!$G$4,G$1,$A786,$A786),_xll.BDH(config!$G$5,G$1,$A786,$A786))))</f>
        <v/>
      </c>
      <c r="H786" s="8" t="str">
        <f>IF($A786="","",IF(ISNUMBER(FIND("IMPVOL",H$1)),_xll.BDH(config!$G$4,H$1,WORKDAY($A786,-1,config_Holiday_Calendar_US),WORKDAY($A786,-1,config_Holiday_Calendar_US)),IF(ISNUMBER(_xll.BDH(config!$G$4,H$1,$A786,$A786)),_xll.BDH(config!$G$4,H$1,$A786,$A786),_xll.BDH(config!$G$5,H$1,$A786,$A786))))</f>
        <v/>
      </c>
      <c r="I786" s="8" t="str">
        <f>IF($A786="","",IF(ISNUMBER(FIND("IMPVOL",I$1)),_xll.BDH(config!$G$4,I$1,WORKDAY($A786,-1,config_Holiday_Calendar_US),WORKDAY($A786,-1,config_Holiday_Calendar_US)),IF(ISNUMBER(_xll.BDH(config!$G$4,I$1,$A786,$A786)),_xll.BDH(config!$G$4,I$1,$A786,$A786),_xll.BDH(config!$G$5,I$1,$A786,$A786))))</f>
        <v/>
      </c>
      <c r="J786" s="8" t="str">
        <f>IF($A786="","",IF(ISNUMBER(FIND("IMPVOL",J$1)),_xll.BDH(config!$G$4,J$1,WORKDAY($A786,-1,config_Holiday_Calendar_US),WORKDAY($A786,-1,config_Holiday_Calendar_US)),IF(ISNUMBER(_xll.BDH(config!$G$4,J$1,$A786,$A786)),_xll.BDH(config!$G$4,J$1,$A786,$A786),_xll.BDH(config!$G$5,J$1,$A786,$A786))))</f>
        <v/>
      </c>
      <c r="K786" s="8" t="str">
        <f>IF($A786="","",IF(ISNUMBER(FIND("IMPVOL",K$1)),_xll.BDH(config!$G$4,K$1,WORKDAY($A786,-1,config_Holiday_Calendar_US),WORKDAY($A786,-1,config_Holiday_Calendar_US)),IF(ISNUMBER(_xll.BDH(config!$G$4,K$1,$A786,$A786)),_xll.BDH(config!$G$4,K$1,$A786,$A786),_xll.BDH(config!$G$5,K$1,$A786,$A786))))</f>
        <v/>
      </c>
      <c r="L786" s="8" t="str">
        <f>IF($A786="","",IF(ISNUMBER(FIND("IMPVOL",L$1)),_xll.BDH(config!$G$4,L$1,WORKDAY($A786,-1,config_Holiday_Calendar_US),WORKDAY($A786,-1,config_Holiday_Calendar_US)),IF(ISNUMBER(_xll.BDH(config!$G$4,L$1,$A786,$A786)),_xll.BDH(config!$G$4,L$1,$A786,$A786),_xll.BDH(config!$G$5,L$1,$A786,$A786))))</f>
        <v/>
      </c>
      <c r="M786" s="8" t="str">
        <f>IF($A786="","",IF(ISNUMBER(FIND("IMPVOL",M$1)),_xll.BDH(config!$G$4,M$1,WORKDAY($A786,-1,config_Holiday_Calendar_US),WORKDAY($A786,-1,config_Holiday_Calendar_US)),IF(ISNUMBER(_xll.BDH(config!$G$4,M$1,$A786,$A786)),_xll.BDH(config!$G$4,M$1,$A786,$A786),_xll.BDH(config!$G$5,M$1,$A786,$A786))))</f>
        <v/>
      </c>
      <c r="N786" s="8" t="str">
        <f>IF($A786="","",IF(ISNUMBER(FIND("IMPVOL",N$1)),_xll.BDH(config!$G$4,N$1,WORKDAY($A786,-1,config_Holiday_Calendar_US),WORKDAY($A786,-1,config_Holiday_Calendar_US)),IF(ISNUMBER(_xll.BDH(config!$G$4,N$1,$A786,$A786)),_xll.BDH(config!$G$4,N$1,$A786,$A786),_xll.BDH(config!$G$5,N$1,$A786,$A786))))</f>
        <v/>
      </c>
      <c r="O786" s="8" t="str">
        <f>IF($A786="","",IF(ISNUMBER(FIND("IMPVOL",O$1)),_xll.BDH(config!$G$4,O$1,WORKDAY($A786,-1,config_Holiday_Calendar_US),WORKDAY($A786,-1,config_Holiday_Calendar_US)),IF(ISNUMBER(_xll.BDH(config!$G$4,O$1,$A786,$A786)),_xll.BDH(config!$G$4,O$1,$A786,$A786),_xll.BDH(config!$G$5,O$1,$A786,$A786))))</f>
        <v/>
      </c>
      <c r="P786" s="8" t="str">
        <f>IF($A786="","",IF(ISNUMBER(FIND("IMPVOL",P$1)),_xll.BDH(config!$G$4,P$1,WORKDAY($A786,-1,config_Holiday_Calendar_US),WORKDAY($A786,-1,config_Holiday_Calendar_US)),IF(ISNUMBER(_xll.BDH(config!$G$4,P$1,$A786,$A786)),_xll.BDH(config!$G$4,P$1,$A786,$A786),_xll.BDH(config!$G$5,P$1,$A786,$A786))))</f>
        <v/>
      </c>
      <c r="Q786" s="8" t="str">
        <f>IF($A786="","",IF(ISNUMBER(FIND("IMPVOL",Q$1)),_xll.BDH(config!$G$4,Q$1,WORKDAY($A786,-1,config_Holiday_Calendar_US),WORKDAY($A786,-1,config_Holiday_Calendar_US)),IF(ISNUMBER(_xll.BDH(config!$G$4,Q$1,$A786,$A786)),_xll.BDH(config!$G$4,Q$1,$A786,$A786),_xll.BDH(config!$G$5,Q$1,$A786,$A786))))</f>
        <v/>
      </c>
      <c r="R786" s="8" t="str">
        <f>IF($A786="","",IF(ISNUMBER(FIND("IMPVOL",R$1)),_xll.BDH(config!$G$4,R$1,WORKDAY($A786,-1,config_Holiday_Calendar_US),WORKDAY($A786,-1,config_Holiday_Calendar_US)),IF(ISNUMBER(_xll.BDH(config!$G$4,R$1,$A786,$A786)),_xll.BDH(config!$G$4,R$1,$A786,$A786),_xll.BDH(config!$G$5,R$1,$A786,$A786))))</f>
        <v/>
      </c>
      <c r="S786" s="8" t="str">
        <f>IF($A786="","",IF(ISNUMBER(FIND("IMPVOL",S$1)),_xll.BDH(config!$G$4,S$1,WORKDAY($A786,-1,config_Holiday_Calendar_US),WORKDAY($A786,-1,config_Holiday_Calendar_US)),IF(ISNUMBER(_xll.BDH(config!$G$4,S$1,$A786,$A786)),_xll.BDH(config!$G$4,S$1,$A786,$A786),_xll.BDH(config!$G$5,S$1,$A786,$A786))))</f>
        <v/>
      </c>
      <c r="T786" s="8" t="str">
        <f>IF($A786="","",IF(ISNUMBER(FIND("IMPVOL",T$1)),_xll.BDH(config!$G$4,T$1,WORKDAY($A786,-1,config_Holiday_Calendar_US),WORKDAY($A786,-1,config_Holiday_Calendar_US)),IF(ISNUMBER(_xll.BDH(config!$G$4,T$1,$A786,$A786)),_xll.BDH(config!$G$4,T$1,$A786,$A786),_xll.BDH(config!$G$5,T$1,$A786,$A786))))</f>
        <v/>
      </c>
      <c r="U786" s="8" t="str">
        <f>IF($A786="","",IF(ISNUMBER(FIND("IMPVOL",U$1)),_xll.BDH(config!$G$4,U$1,WORKDAY($A786,-1,config_Holiday_Calendar_US),WORKDAY($A786,-1,config_Holiday_Calendar_US)),IF(ISNUMBER(_xll.BDH(config!$G$4,U$1,$A786,$A786)),_xll.BDH(config!$G$4,U$1,$A786,$A786),_xll.BDH(config!$G$5,U$1,$A786,$A786))))</f>
        <v/>
      </c>
      <c r="V786" s="8" t="str">
        <f>IF($A786="","",IF(ISNUMBER(FIND("IMPVOL",V$1)),_xll.BDH(config!$G$4,V$1,WORKDAY($A786,-1,config_Holiday_Calendar_US),WORKDAY($A786,-1,config_Holiday_Calendar_US)),IF(ISNUMBER(_xll.BDH(config!$G$4,V$1,$A786,$A786)),_xll.BDH(config!$G$4,V$1,$A786,$A786),_xll.BDH(config!$G$5,V$1,$A786,$A786))))</f>
        <v/>
      </c>
      <c r="W786" s="8" t="str">
        <f>IF($A786="","",IF(ISNUMBER(FIND("IMPVOL",W$1)),_xll.BDH(config!$G$4,W$1,WORKDAY($A786,-1,config_Holiday_Calendar_US),WORKDAY($A786,-1,config_Holiday_Calendar_US)),IF(ISNUMBER(_xll.BDH(config!$G$4,W$1,$A786,$A786)),_xll.BDH(config!$G$4,W$1,$A786,$A786),_xll.BDH(config!$G$5,W$1,$A786,$A786))))</f>
        <v/>
      </c>
    </row>
    <row r="787" spans="1:23" x14ac:dyDescent="0.2">
      <c r="A787" s="9" t="str">
        <f>IF(A786="","",IF(WORKDAY(A786,-1,config_Holiday_Calendar_US)&lt;config!$I$10,"",WORKDAY(A786,-1,config_Holiday_Calendar_US)))</f>
        <v/>
      </c>
      <c r="B787" s="8" t="str">
        <f t="shared" si="12"/>
        <v/>
      </c>
      <c r="C787" s="8" t="str">
        <f>IF(A787="","",_xll.BDH(config!$H$4,C$1,$A787,$A787))</f>
        <v/>
      </c>
      <c r="D787" s="8" t="str">
        <f>IF($A787="","",_xll.BDH(config!$H$4,D$1,$A787,$A787))</f>
        <v/>
      </c>
      <c r="E787" s="8" t="str">
        <f>IF($A787="","",IF(ISNUMBER(FIND("IMPVOL",E$1)),_xll.BDH(config!$G$4,E$1,WORKDAY($A787,-1,config_Holiday_Calendar_US),WORKDAY($A787,-1,config_Holiday_Calendar_US)),IF(ISNUMBER(_xll.BDH(config!$G$4,E$1,$A787,$A787)),_xll.BDH(config!$G$4,E$1,$A787,$A787),_xll.BDH(config!$G$5,E$1,$A787,$A787))))</f>
        <v/>
      </c>
      <c r="F787" s="8" t="str">
        <f>IF($A787="","",IF(ISNUMBER(FIND("IMPVOL",F$1)),_xll.BDH(config!$G$4,F$1,WORKDAY($A787,-1,config_Holiday_Calendar_US),WORKDAY($A787,-1,config_Holiday_Calendar_US)),IF(ISNUMBER(_xll.BDH(config!$G$4,F$1,$A787,$A787)),_xll.BDH(config!$G$4,F$1,$A787,$A787),_xll.BDH(config!$G$5,F$1,$A787,$A787))))</f>
        <v/>
      </c>
      <c r="G787" s="8" t="str">
        <f>IF($A787="","",IF(ISNUMBER(FIND("IMPVOL",G$1)),_xll.BDH(config!$G$4,G$1,WORKDAY($A787,-1,config_Holiday_Calendar_US),WORKDAY($A787,-1,config_Holiday_Calendar_US)),IF(ISNUMBER(_xll.BDH(config!$G$4,G$1,$A787,$A787)),_xll.BDH(config!$G$4,G$1,$A787,$A787),_xll.BDH(config!$G$5,G$1,$A787,$A787))))</f>
        <v/>
      </c>
      <c r="H787" s="8" t="str">
        <f>IF($A787="","",IF(ISNUMBER(FIND("IMPVOL",H$1)),_xll.BDH(config!$G$4,H$1,WORKDAY($A787,-1,config_Holiday_Calendar_US),WORKDAY($A787,-1,config_Holiday_Calendar_US)),IF(ISNUMBER(_xll.BDH(config!$G$4,H$1,$A787,$A787)),_xll.BDH(config!$G$4,H$1,$A787,$A787),_xll.BDH(config!$G$5,H$1,$A787,$A787))))</f>
        <v/>
      </c>
      <c r="I787" s="8" t="str">
        <f>IF($A787="","",IF(ISNUMBER(FIND("IMPVOL",I$1)),_xll.BDH(config!$G$4,I$1,WORKDAY($A787,-1,config_Holiday_Calendar_US),WORKDAY($A787,-1,config_Holiday_Calendar_US)),IF(ISNUMBER(_xll.BDH(config!$G$4,I$1,$A787,$A787)),_xll.BDH(config!$G$4,I$1,$A787,$A787),_xll.BDH(config!$G$5,I$1,$A787,$A787))))</f>
        <v/>
      </c>
      <c r="J787" s="8" t="str">
        <f>IF($A787="","",IF(ISNUMBER(FIND("IMPVOL",J$1)),_xll.BDH(config!$G$4,J$1,WORKDAY($A787,-1,config_Holiday_Calendar_US),WORKDAY($A787,-1,config_Holiday_Calendar_US)),IF(ISNUMBER(_xll.BDH(config!$G$4,J$1,$A787,$A787)),_xll.BDH(config!$G$4,J$1,$A787,$A787),_xll.BDH(config!$G$5,J$1,$A787,$A787))))</f>
        <v/>
      </c>
      <c r="K787" s="8" t="str">
        <f>IF($A787="","",IF(ISNUMBER(FIND("IMPVOL",K$1)),_xll.BDH(config!$G$4,K$1,WORKDAY($A787,-1,config_Holiday_Calendar_US),WORKDAY($A787,-1,config_Holiday_Calendar_US)),IF(ISNUMBER(_xll.BDH(config!$G$4,K$1,$A787,$A787)),_xll.BDH(config!$G$4,K$1,$A787,$A787),_xll.BDH(config!$G$5,K$1,$A787,$A787))))</f>
        <v/>
      </c>
      <c r="L787" s="8" t="str">
        <f>IF($A787="","",IF(ISNUMBER(FIND("IMPVOL",L$1)),_xll.BDH(config!$G$4,L$1,WORKDAY($A787,-1,config_Holiday_Calendar_US),WORKDAY($A787,-1,config_Holiday_Calendar_US)),IF(ISNUMBER(_xll.BDH(config!$G$4,L$1,$A787,$A787)),_xll.BDH(config!$G$4,L$1,$A787,$A787),_xll.BDH(config!$G$5,L$1,$A787,$A787))))</f>
        <v/>
      </c>
      <c r="M787" s="8" t="str">
        <f>IF($A787="","",IF(ISNUMBER(FIND("IMPVOL",M$1)),_xll.BDH(config!$G$4,M$1,WORKDAY($A787,-1,config_Holiday_Calendar_US),WORKDAY($A787,-1,config_Holiday_Calendar_US)),IF(ISNUMBER(_xll.BDH(config!$G$4,M$1,$A787,$A787)),_xll.BDH(config!$G$4,M$1,$A787,$A787),_xll.BDH(config!$G$5,M$1,$A787,$A787))))</f>
        <v/>
      </c>
      <c r="N787" s="8" t="str">
        <f>IF($A787="","",IF(ISNUMBER(FIND("IMPVOL",N$1)),_xll.BDH(config!$G$4,N$1,WORKDAY($A787,-1,config_Holiday_Calendar_US),WORKDAY($A787,-1,config_Holiday_Calendar_US)),IF(ISNUMBER(_xll.BDH(config!$G$4,N$1,$A787,$A787)),_xll.BDH(config!$G$4,N$1,$A787,$A787),_xll.BDH(config!$G$5,N$1,$A787,$A787))))</f>
        <v/>
      </c>
      <c r="O787" s="8" t="str">
        <f>IF($A787="","",IF(ISNUMBER(FIND("IMPVOL",O$1)),_xll.BDH(config!$G$4,O$1,WORKDAY($A787,-1,config_Holiday_Calendar_US),WORKDAY($A787,-1,config_Holiday_Calendar_US)),IF(ISNUMBER(_xll.BDH(config!$G$4,O$1,$A787,$A787)),_xll.BDH(config!$G$4,O$1,$A787,$A787),_xll.BDH(config!$G$5,O$1,$A787,$A787))))</f>
        <v/>
      </c>
      <c r="P787" s="8" t="str">
        <f>IF($A787="","",IF(ISNUMBER(FIND("IMPVOL",P$1)),_xll.BDH(config!$G$4,P$1,WORKDAY($A787,-1,config_Holiday_Calendar_US),WORKDAY($A787,-1,config_Holiday_Calendar_US)),IF(ISNUMBER(_xll.BDH(config!$G$4,P$1,$A787,$A787)),_xll.BDH(config!$G$4,P$1,$A787,$A787),_xll.BDH(config!$G$5,P$1,$A787,$A787))))</f>
        <v/>
      </c>
      <c r="Q787" s="8" t="str">
        <f>IF($A787="","",IF(ISNUMBER(FIND("IMPVOL",Q$1)),_xll.BDH(config!$G$4,Q$1,WORKDAY($A787,-1,config_Holiday_Calendar_US),WORKDAY($A787,-1,config_Holiday_Calendar_US)),IF(ISNUMBER(_xll.BDH(config!$G$4,Q$1,$A787,$A787)),_xll.BDH(config!$G$4,Q$1,$A787,$A787),_xll.BDH(config!$G$5,Q$1,$A787,$A787))))</f>
        <v/>
      </c>
      <c r="R787" s="8" t="str">
        <f>IF($A787="","",IF(ISNUMBER(FIND("IMPVOL",R$1)),_xll.BDH(config!$G$4,R$1,WORKDAY($A787,-1,config_Holiday_Calendar_US),WORKDAY($A787,-1,config_Holiday_Calendar_US)),IF(ISNUMBER(_xll.BDH(config!$G$4,R$1,$A787,$A787)),_xll.BDH(config!$G$4,R$1,$A787,$A787),_xll.BDH(config!$G$5,R$1,$A787,$A787))))</f>
        <v/>
      </c>
      <c r="S787" s="8" t="str">
        <f>IF($A787="","",IF(ISNUMBER(FIND("IMPVOL",S$1)),_xll.BDH(config!$G$4,S$1,WORKDAY($A787,-1,config_Holiday_Calendar_US),WORKDAY($A787,-1,config_Holiday_Calendar_US)),IF(ISNUMBER(_xll.BDH(config!$G$4,S$1,$A787,$A787)),_xll.BDH(config!$G$4,S$1,$A787,$A787),_xll.BDH(config!$G$5,S$1,$A787,$A787))))</f>
        <v/>
      </c>
      <c r="T787" s="8" t="str">
        <f>IF($A787="","",IF(ISNUMBER(FIND("IMPVOL",T$1)),_xll.BDH(config!$G$4,T$1,WORKDAY($A787,-1,config_Holiday_Calendar_US),WORKDAY($A787,-1,config_Holiday_Calendar_US)),IF(ISNUMBER(_xll.BDH(config!$G$4,T$1,$A787,$A787)),_xll.BDH(config!$G$4,T$1,$A787,$A787),_xll.BDH(config!$G$5,T$1,$A787,$A787))))</f>
        <v/>
      </c>
      <c r="U787" s="8" t="str">
        <f>IF($A787="","",IF(ISNUMBER(FIND("IMPVOL",U$1)),_xll.BDH(config!$G$4,U$1,WORKDAY($A787,-1,config_Holiday_Calendar_US),WORKDAY($A787,-1,config_Holiday_Calendar_US)),IF(ISNUMBER(_xll.BDH(config!$G$4,U$1,$A787,$A787)),_xll.BDH(config!$G$4,U$1,$A787,$A787),_xll.BDH(config!$G$5,U$1,$A787,$A787))))</f>
        <v/>
      </c>
      <c r="V787" s="8" t="str">
        <f>IF($A787="","",IF(ISNUMBER(FIND("IMPVOL",V$1)),_xll.BDH(config!$G$4,V$1,WORKDAY($A787,-1,config_Holiday_Calendar_US),WORKDAY($A787,-1,config_Holiday_Calendar_US)),IF(ISNUMBER(_xll.BDH(config!$G$4,V$1,$A787,$A787)),_xll.BDH(config!$G$4,V$1,$A787,$A787),_xll.BDH(config!$G$5,V$1,$A787,$A787))))</f>
        <v/>
      </c>
      <c r="W787" s="8" t="str">
        <f>IF($A787="","",IF(ISNUMBER(FIND("IMPVOL",W$1)),_xll.BDH(config!$G$4,W$1,WORKDAY($A787,-1,config_Holiday_Calendar_US),WORKDAY($A787,-1,config_Holiday_Calendar_US)),IF(ISNUMBER(_xll.BDH(config!$G$4,W$1,$A787,$A787)),_xll.BDH(config!$G$4,W$1,$A787,$A787),_xll.BDH(config!$G$5,W$1,$A787,$A787))))</f>
        <v/>
      </c>
    </row>
    <row r="788" spans="1:23" x14ac:dyDescent="0.2">
      <c r="A788" s="9" t="str">
        <f>IF(A787="","",IF(WORKDAY(A787,-1,config_Holiday_Calendar_US)&lt;config!$I$10,"",WORKDAY(A787,-1,config_Holiday_Calendar_US)))</f>
        <v/>
      </c>
      <c r="B788" s="8" t="str">
        <f t="shared" si="12"/>
        <v/>
      </c>
      <c r="C788" s="8" t="str">
        <f>IF(A788="","",_xll.BDH(config!$H$4,C$1,$A788,$A788))</f>
        <v/>
      </c>
      <c r="D788" s="8" t="str">
        <f>IF($A788="","",_xll.BDH(config!$H$4,D$1,$A788,$A788))</f>
        <v/>
      </c>
      <c r="E788" s="8" t="str">
        <f>IF($A788="","",IF(ISNUMBER(FIND("IMPVOL",E$1)),_xll.BDH(config!$G$4,E$1,WORKDAY($A788,-1,config_Holiday_Calendar_US),WORKDAY($A788,-1,config_Holiday_Calendar_US)),IF(ISNUMBER(_xll.BDH(config!$G$4,E$1,$A788,$A788)),_xll.BDH(config!$G$4,E$1,$A788,$A788),_xll.BDH(config!$G$5,E$1,$A788,$A788))))</f>
        <v/>
      </c>
      <c r="F788" s="8" t="str">
        <f>IF($A788="","",IF(ISNUMBER(FIND("IMPVOL",F$1)),_xll.BDH(config!$G$4,F$1,WORKDAY($A788,-1,config_Holiday_Calendar_US),WORKDAY($A788,-1,config_Holiday_Calendar_US)),IF(ISNUMBER(_xll.BDH(config!$G$4,F$1,$A788,$A788)),_xll.BDH(config!$G$4,F$1,$A788,$A788),_xll.BDH(config!$G$5,F$1,$A788,$A788))))</f>
        <v/>
      </c>
      <c r="G788" s="8" t="str">
        <f>IF($A788="","",IF(ISNUMBER(FIND("IMPVOL",G$1)),_xll.BDH(config!$G$4,G$1,WORKDAY($A788,-1,config_Holiday_Calendar_US),WORKDAY($A788,-1,config_Holiday_Calendar_US)),IF(ISNUMBER(_xll.BDH(config!$G$4,G$1,$A788,$A788)),_xll.BDH(config!$G$4,G$1,$A788,$A788),_xll.BDH(config!$G$5,G$1,$A788,$A788))))</f>
        <v/>
      </c>
      <c r="H788" s="8" t="str">
        <f>IF($A788="","",IF(ISNUMBER(FIND("IMPVOL",H$1)),_xll.BDH(config!$G$4,H$1,WORKDAY($A788,-1,config_Holiday_Calendar_US),WORKDAY($A788,-1,config_Holiday_Calendar_US)),IF(ISNUMBER(_xll.BDH(config!$G$4,H$1,$A788,$A788)),_xll.BDH(config!$G$4,H$1,$A788,$A788),_xll.BDH(config!$G$5,H$1,$A788,$A788))))</f>
        <v/>
      </c>
      <c r="I788" s="8" t="str">
        <f>IF($A788="","",IF(ISNUMBER(FIND("IMPVOL",I$1)),_xll.BDH(config!$G$4,I$1,WORKDAY($A788,-1,config_Holiday_Calendar_US),WORKDAY($A788,-1,config_Holiday_Calendar_US)),IF(ISNUMBER(_xll.BDH(config!$G$4,I$1,$A788,$A788)),_xll.BDH(config!$G$4,I$1,$A788,$A788),_xll.BDH(config!$G$5,I$1,$A788,$A788))))</f>
        <v/>
      </c>
      <c r="J788" s="8" t="str">
        <f>IF($A788="","",IF(ISNUMBER(FIND("IMPVOL",J$1)),_xll.BDH(config!$G$4,J$1,WORKDAY($A788,-1,config_Holiday_Calendar_US),WORKDAY($A788,-1,config_Holiday_Calendar_US)),IF(ISNUMBER(_xll.BDH(config!$G$4,J$1,$A788,$A788)),_xll.BDH(config!$G$4,J$1,$A788,$A788),_xll.BDH(config!$G$5,J$1,$A788,$A788))))</f>
        <v/>
      </c>
      <c r="K788" s="8" t="str">
        <f>IF($A788="","",IF(ISNUMBER(FIND("IMPVOL",K$1)),_xll.BDH(config!$G$4,K$1,WORKDAY($A788,-1,config_Holiday_Calendar_US),WORKDAY($A788,-1,config_Holiday_Calendar_US)),IF(ISNUMBER(_xll.BDH(config!$G$4,K$1,$A788,$A788)),_xll.BDH(config!$G$4,K$1,$A788,$A788),_xll.BDH(config!$G$5,K$1,$A788,$A788))))</f>
        <v/>
      </c>
      <c r="L788" s="8" t="str">
        <f>IF($A788="","",IF(ISNUMBER(FIND("IMPVOL",L$1)),_xll.BDH(config!$G$4,L$1,WORKDAY($A788,-1,config_Holiday_Calendar_US),WORKDAY($A788,-1,config_Holiday_Calendar_US)),IF(ISNUMBER(_xll.BDH(config!$G$4,L$1,$A788,$A788)),_xll.BDH(config!$G$4,L$1,$A788,$A788),_xll.BDH(config!$G$5,L$1,$A788,$A788))))</f>
        <v/>
      </c>
      <c r="M788" s="8" t="str">
        <f>IF($A788="","",IF(ISNUMBER(FIND("IMPVOL",M$1)),_xll.BDH(config!$G$4,M$1,WORKDAY($A788,-1,config_Holiday_Calendar_US),WORKDAY($A788,-1,config_Holiday_Calendar_US)),IF(ISNUMBER(_xll.BDH(config!$G$4,M$1,$A788,$A788)),_xll.BDH(config!$G$4,M$1,$A788,$A788),_xll.BDH(config!$G$5,M$1,$A788,$A788))))</f>
        <v/>
      </c>
      <c r="N788" s="8" t="str">
        <f>IF($A788="","",IF(ISNUMBER(FIND("IMPVOL",N$1)),_xll.BDH(config!$G$4,N$1,WORKDAY($A788,-1,config_Holiday_Calendar_US),WORKDAY($A788,-1,config_Holiday_Calendar_US)),IF(ISNUMBER(_xll.BDH(config!$G$4,N$1,$A788,$A788)),_xll.BDH(config!$G$4,N$1,$A788,$A788),_xll.BDH(config!$G$5,N$1,$A788,$A788))))</f>
        <v/>
      </c>
      <c r="O788" s="8" t="str">
        <f>IF($A788="","",IF(ISNUMBER(FIND("IMPVOL",O$1)),_xll.BDH(config!$G$4,O$1,WORKDAY($A788,-1,config_Holiday_Calendar_US),WORKDAY($A788,-1,config_Holiday_Calendar_US)),IF(ISNUMBER(_xll.BDH(config!$G$4,O$1,$A788,$A788)),_xll.BDH(config!$G$4,O$1,$A788,$A788),_xll.BDH(config!$G$5,O$1,$A788,$A788))))</f>
        <v/>
      </c>
      <c r="P788" s="8" t="str">
        <f>IF($A788="","",IF(ISNUMBER(FIND("IMPVOL",P$1)),_xll.BDH(config!$G$4,P$1,WORKDAY($A788,-1,config_Holiday_Calendar_US),WORKDAY($A788,-1,config_Holiday_Calendar_US)),IF(ISNUMBER(_xll.BDH(config!$G$4,P$1,$A788,$A788)),_xll.BDH(config!$G$4,P$1,$A788,$A788),_xll.BDH(config!$G$5,P$1,$A788,$A788))))</f>
        <v/>
      </c>
      <c r="Q788" s="8" t="str">
        <f>IF($A788="","",IF(ISNUMBER(FIND("IMPVOL",Q$1)),_xll.BDH(config!$G$4,Q$1,WORKDAY($A788,-1,config_Holiday_Calendar_US),WORKDAY($A788,-1,config_Holiday_Calendar_US)),IF(ISNUMBER(_xll.BDH(config!$G$4,Q$1,$A788,$A788)),_xll.BDH(config!$G$4,Q$1,$A788,$A788),_xll.BDH(config!$G$5,Q$1,$A788,$A788))))</f>
        <v/>
      </c>
      <c r="R788" s="8" t="str">
        <f>IF($A788="","",IF(ISNUMBER(FIND("IMPVOL",R$1)),_xll.BDH(config!$G$4,R$1,WORKDAY($A788,-1,config_Holiday_Calendar_US),WORKDAY($A788,-1,config_Holiday_Calendar_US)),IF(ISNUMBER(_xll.BDH(config!$G$4,R$1,$A788,$A788)),_xll.BDH(config!$G$4,R$1,$A788,$A788),_xll.BDH(config!$G$5,R$1,$A788,$A788))))</f>
        <v/>
      </c>
      <c r="S788" s="8" t="str">
        <f>IF($A788="","",IF(ISNUMBER(FIND("IMPVOL",S$1)),_xll.BDH(config!$G$4,S$1,WORKDAY($A788,-1,config_Holiday_Calendar_US),WORKDAY($A788,-1,config_Holiday_Calendar_US)),IF(ISNUMBER(_xll.BDH(config!$G$4,S$1,$A788,$A788)),_xll.BDH(config!$G$4,S$1,$A788,$A788),_xll.BDH(config!$G$5,S$1,$A788,$A788))))</f>
        <v/>
      </c>
      <c r="T788" s="8" t="str">
        <f>IF($A788="","",IF(ISNUMBER(FIND("IMPVOL",T$1)),_xll.BDH(config!$G$4,T$1,WORKDAY($A788,-1,config_Holiday_Calendar_US),WORKDAY($A788,-1,config_Holiday_Calendar_US)),IF(ISNUMBER(_xll.BDH(config!$G$4,T$1,$A788,$A788)),_xll.BDH(config!$G$4,T$1,$A788,$A788),_xll.BDH(config!$G$5,T$1,$A788,$A788))))</f>
        <v/>
      </c>
      <c r="U788" s="8" t="str">
        <f>IF($A788="","",IF(ISNUMBER(FIND("IMPVOL",U$1)),_xll.BDH(config!$G$4,U$1,WORKDAY($A788,-1,config_Holiday_Calendar_US),WORKDAY($A788,-1,config_Holiday_Calendar_US)),IF(ISNUMBER(_xll.BDH(config!$G$4,U$1,$A788,$A788)),_xll.BDH(config!$G$4,U$1,$A788,$A788),_xll.BDH(config!$G$5,U$1,$A788,$A788))))</f>
        <v/>
      </c>
      <c r="V788" s="8" t="str">
        <f>IF($A788="","",IF(ISNUMBER(FIND("IMPVOL",V$1)),_xll.BDH(config!$G$4,V$1,WORKDAY($A788,-1,config_Holiday_Calendar_US),WORKDAY($A788,-1,config_Holiday_Calendar_US)),IF(ISNUMBER(_xll.BDH(config!$G$4,V$1,$A788,$A788)),_xll.BDH(config!$G$4,V$1,$A788,$A788),_xll.BDH(config!$G$5,V$1,$A788,$A788))))</f>
        <v/>
      </c>
      <c r="W788" s="8" t="str">
        <f>IF($A788="","",IF(ISNUMBER(FIND("IMPVOL",W$1)),_xll.BDH(config!$G$4,W$1,WORKDAY($A788,-1,config_Holiday_Calendar_US),WORKDAY($A788,-1,config_Holiday_Calendar_US)),IF(ISNUMBER(_xll.BDH(config!$G$4,W$1,$A788,$A788)),_xll.BDH(config!$G$4,W$1,$A788,$A788),_xll.BDH(config!$G$5,W$1,$A788,$A788))))</f>
        <v/>
      </c>
    </row>
    <row r="789" spans="1:23" x14ac:dyDescent="0.2">
      <c r="A789" s="9" t="str">
        <f>IF(A788="","",IF(WORKDAY(A788,-1,config_Holiday_Calendar_US)&lt;config!$I$10,"",WORKDAY(A788,-1,config_Holiday_Calendar_US)))</f>
        <v/>
      </c>
      <c r="B789" s="8" t="str">
        <f t="shared" si="12"/>
        <v/>
      </c>
      <c r="C789" s="8" t="str">
        <f>IF(A789="","",_xll.BDH(config!$H$4,C$1,$A789,$A789))</f>
        <v/>
      </c>
      <c r="D789" s="8" t="str">
        <f>IF($A789="","",_xll.BDH(config!$H$4,D$1,$A789,$A789))</f>
        <v/>
      </c>
      <c r="E789" s="8" t="str">
        <f>IF($A789="","",IF(ISNUMBER(FIND("IMPVOL",E$1)),_xll.BDH(config!$G$4,E$1,WORKDAY($A789,-1,config_Holiday_Calendar_US),WORKDAY($A789,-1,config_Holiday_Calendar_US)),IF(ISNUMBER(_xll.BDH(config!$G$4,E$1,$A789,$A789)),_xll.BDH(config!$G$4,E$1,$A789,$A789),_xll.BDH(config!$G$5,E$1,$A789,$A789))))</f>
        <v/>
      </c>
      <c r="F789" s="8" t="str">
        <f>IF($A789="","",IF(ISNUMBER(FIND("IMPVOL",F$1)),_xll.BDH(config!$G$4,F$1,WORKDAY($A789,-1,config_Holiday_Calendar_US),WORKDAY($A789,-1,config_Holiday_Calendar_US)),IF(ISNUMBER(_xll.BDH(config!$G$4,F$1,$A789,$A789)),_xll.BDH(config!$G$4,F$1,$A789,$A789),_xll.BDH(config!$G$5,F$1,$A789,$A789))))</f>
        <v/>
      </c>
      <c r="G789" s="8" t="str">
        <f>IF($A789="","",IF(ISNUMBER(FIND("IMPVOL",G$1)),_xll.BDH(config!$G$4,G$1,WORKDAY($A789,-1,config_Holiday_Calendar_US),WORKDAY($A789,-1,config_Holiday_Calendar_US)),IF(ISNUMBER(_xll.BDH(config!$G$4,G$1,$A789,$A789)),_xll.BDH(config!$G$4,G$1,$A789,$A789),_xll.BDH(config!$G$5,G$1,$A789,$A789))))</f>
        <v/>
      </c>
      <c r="H789" s="8" t="str">
        <f>IF($A789="","",IF(ISNUMBER(FIND("IMPVOL",H$1)),_xll.BDH(config!$G$4,H$1,WORKDAY($A789,-1,config_Holiday_Calendar_US),WORKDAY($A789,-1,config_Holiday_Calendar_US)),IF(ISNUMBER(_xll.BDH(config!$G$4,H$1,$A789,$A789)),_xll.BDH(config!$G$4,H$1,$A789,$A789),_xll.BDH(config!$G$5,H$1,$A789,$A789))))</f>
        <v/>
      </c>
      <c r="I789" s="8" t="str">
        <f>IF($A789="","",IF(ISNUMBER(FIND("IMPVOL",I$1)),_xll.BDH(config!$G$4,I$1,WORKDAY($A789,-1,config_Holiday_Calendar_US),WORKDAY($A789,-1,config_Holiday_Calendar_US)),IF(ISNUMBER(_xll.BDH(config!$G$4,I$1,$A789,$A789)),_xll.BDH(config!$G$4,I$1,$A789,$A789),_xll.BDH(config!$G$5,I$1,$A789,$A789))))</f>
        <v/>
      </c>
      <c r="J789" s="8" t="str">
        <f>IF($A789="","",IF(ISNUMBER(FIND("IMPVOL",J$1)),_xll.BDH(config!$G$4,J$1,WORKDAY($A789,-1,config_Holiday_Calendar_US),WORKDAY($A789,-1,config_Holiday_Calendar_US)),IF(ISNUMBER(_xll.BDH(config!$G$4,J$1,$A789,$A789)),_xll.BDH(config!$G$4,J$1,$A789,$A789),_xll.BDH(config!$G$5,J$1,$A789,$A789))))</f>
        <v/>
      </c>
      <c r="K789" s="8" t="str">
        <f>IF($A789="","",IF(ISNUMBER(FIND("IMPVOL",K$1)),_xll.BDH(config!$G$4,K$1,WORKDAY($A789,-1,config_Holiday_Calendar_US),WORKDAY($A789,-1,config_Holiday_Calendar_US)),IF(ISNUMBER(_xll.BDH(config!$G$4,K$1,$A789,$A789)),_xll.BDH(config!$G$4,K$1,$A789,$A789),_xll.BDH(config!$G$5,K$1,$A789,$A789))))</f>
        <v/>
      </c>
      <c r="L789" s="8" t="str">
        <f>IF($A789="","",IF(ISNUMBER(FIND("IMPVOL",L$1)),_xll.BDH(config!$G$4,L$1,WORKDAY($A789,-1,config_Holiday_Calendar_US),WORKDAY($A789,-1,config_Holiday_Calendar_US)),IF(ISNUMBER(_xll.BDH(config!$G$4,L$1,$A789,$A789)),_xll.BDH(config!$G$4,L$1,$A789,$A789),_xll.BDH(config!$G$5,L$1,$A789,$A789))))</f>
        <v/>
      </c>
      <c r="M789" s="8" t="str">
        <f>IF($A789="","",IF(ISNUMBER(FIND("IMPVOL",M$1)),_xll.BDH(config!$G$4,M$1,WORKDAY($A789,-1,config_Holiday_Calendar_US),WORKDAY($A789,-1,config_Holiday_Calendar_US)),IF(ISNUMBER(_xll.BDH(config!$G$4,M$1,$A789,$A789)),_xll.BDH(config!$G$4,M$1,$A789,$A789),_xll.BDH(config!$G$5,M$1,$A789,$A789))))</f>
        <v/>
      </c>
      <c r="N789" s="8" t="str">
        <f>IF($A789="","",IF(ISNUMBER(FIND("IMPVOL",N$1)),_xll.BDH(config!$G$4,N$1,WORKDAY($A789,-1,config_Holiday_Calendar_US),WORKDAY($A789,-1,config_Holiday_Calendar_US)),IF(ISNUMBER(_xll.BDH(config!$G$4,N$1,$A789,$A789)),_xll.BDH(config!$G$4,N$1,$A789,$A789),_xll.BDH(config!$G$5,N$1,$A789,$A789))))</f>
        <v/>
      </c>
      <c r="O789" s="8" t="str">
        <f>IF($A789="","",IF(ISNUMBER(FIND("IMPVOL",O$1)),_xll.BDH(config!$G$4,O$1,WORKDAY($A789,-1,config_Holiday_Calendar_US),WORKDAY($A789,-1,config_Holiday_Calendar_US)),IF(ISNUMBER(_xll.BDH(config!$G$4,O$1,$A789,$A789)),_xll.BDH(config!$G$4,O$1,$A789,$A789),_xll.BDH(config!$G$5,O$1,$A789,$A789))))</f>
        <v/>
      </c>
      <c r="P789" s="8" t="str">
        <f>IF($A789="","",IF(ISNUMBER(FIND("IMPVOL",P$1)),_xll.BDH(config!$G$4,P$1,WORKDAY($A789,-1,config_Holiday_Calendar_US),WORKDAY($A789,-1,config_Holiday_Calendar_US)),IF(ISNUMBER(_xll.BDH(config!$G$4,P$1,$A789,$A789)),_xll.BDH(config!$G$4,P$1,$A789,$A789),_xll.BDH(config!$G$5,P$1,$A789,$A789))))</f>
        <v/>
      </c>
      <c r="Q789" s="8" t="str">
        <f>IF($A789="","",IF(ISNUMBER(FIND("IMPVOL",Q$1)),_xll.BDH(config!$G$4,Q$1,WORKDAY($A789,-1,config_Holiday_Calendar_US),WORKDAY($A789,-1,config_Holiday_Calendar_US)),IF(ISNUMBER(_xll.BDH(config!$G$4,Q$1,$A789,$A789)),_xll.BDH(config!$G$4,Q$1,$A789,$A789),_xll.BDH(config!$G$5,Q$1,$A789,$A789))))</f>
        <v/>
      </c>
      <c r="R789" s="8" t="str">
        <f>IF($A789="","",IF(ISNUMBER(FIND("IMPVOL",R$1)),_xll.BDH(config!$G$4,R$1,WORKDAY($A789,-1,config_Holiday_Calendar_US),WORKDAY($A789,-1,config_Holiday_Calendar_US)),IF(ISNUMBER(_xll.BDH(config!$G$4,R$1,$A789,$A789)),_xll.BDH(config!$G$4,R$1,$A789,$A789),_xll.BDH(config!$G$5,R$1,$A789,$A789))))</f>
        <v/>
      </c>
      <c r="S789" s="8" t="str">
        <f>IF($A789="","",IF(ISNUMBER(FIND("IMPVOL",S$1)),_xll.BDH(config!$G$4,S$1,WORKDAY($A789,-1,config_Holiday_Calendar_US),WORKDAY($A789,-1,config_Holiday_Calendar_US)),IF(ISNUMBER(_xll.BDH(config!$G$4,S$1,$A789,$A789)),_xll.BDH(config!$G$4,S$1,$A789,$A789),_xll.BDH(config!$G$5,S$1,$A789,$A789))))</f>
        <v/>
      </c>
      <c r="T789" s="8" t="str">
        <f>IF($A789="","",IF(ISNUMBER(FIND("IMPVOL",T$1)),_xll.BDH(config!$G$4,T$1,WORKDAY($A789,-1,config_Holiday_Calendar_US),WORKDAY($A789,-1,config_Holiday_Calendar_US)),IF(ISNUMBER(_xll.BDH(config!$G$4,T$1,$A789,$A789)),_xll.BDH(config!$G$4,T$1,$A789,$A789),_xll.BDH(config!$G$5,T$1,$A789,$A789))))</f>
        <v/>
      </c>
      <c r="U789" s="8" t="str">
        <f>IF($A789="","",IF(ISNUMBER(FIND("IMPVOL",U$1)),_xll.BDH(config!$G$4,U$1,WORKDAY($A789,-1,config_Holiday_Calendar_US),WORKDAY($A789,-1,config_Holiday_Calendar_US)),IF(ISNUMBER(_xll.BDH(config!$G$4,U$1,$A789,$A789)),_xll.BDH(config!$G$4,U$1,$A789,$A789),_xll.BDH(config!$G$5,U$1,$A789,$A789))))</f>
        <v/>
      </c>
      <c r="V789" s="8" t="str">
        <f>IF($A789="","",IF(ISNUMBER(FIND("IMPVOL",V$1)),_xll.BDH(config!$G$4,V$1,WORKDAY($A789,-1,config_Holiday_Calendar_US),WORKDAY($A789,-1,config_Holiday_Calendar_US)),IF(ISNUMBER(_xll.BDH(config!$G$4,V$1,$A789,$A789)),_xll.BDH(config!$G$4,V$1,$A789,$A789),_xll.BDH(config!$G$5,V$1,$A789,$A789))))</f>
        <v/>
      </c>
      <c r="W789" s="8" t="str">
        <f>IF($A789="","",IF(ISNUMBER(FIND("IMPVOL",W$1)),_xll.BDH(config!$G$4,W$1,WORKDAY($A789,-1,config_Holiday_Calendar_US),WORKDAY($A789,-1,config_Holiday_Calendar_US)),IF(ISNUMBER(_xll.BDH(config!$G$4,W$1,$A789,$A789)),_xll.BDH(config!$G$4,W$1,$A789,$A789),_xll.BDH(config!$G$5,W$1,$A789,$A789))))</f>
        <v/>
      </c>
    </row>
    <row r="790" spans="1:23" x14ac:dyDescent="0.2">
      <c r="A790" s="9" t="str">
        <f>IF(A789="","",IF(WORKDAY(A789,-1,config_Holiday_Calendar_US)&lt;config!$I$10,"",WORKDAY(A789,-1,config_Holiday_Calendar_US)))</f>
        <v/>
      </c>
      <c r="B790" s="8" t="str">
        <f t="shared" si="12"/>
        <v/>
      </c>
      <c r="C790" s="8" t="str">
        <f>IF(A790="","",_xll.BDH(config!$H$4,C$1,$A790,$A790))</f>
        <v/>
      </c>
      <c r="D790" s="8" t="str">
        <f>IF($A790="","",_xll.BDH(config!$H$4,D$1,$A790,$A790))</f>
        <v/>
      </c>
      <c r="E790" s="8" t="str">
        <f>IF($A790="","",IF(ISNUMBER(FIND("IMPVOL",E$1)),_xll.BDH(config!$G$4,E$1,WORKDAY($A790,-1,config_Holiday_Calendar_US),WORKDAY($A790,-1,config_Holiday_Calendar_US)),IF(ISNUMBER(_xll.BDH(config!$G$4,E$1,$A790,$A790)),_xll.BDH(config!$G$4,E$1,$A790,$A790),_xll.BDH(config!$G$5,E$1,$A790,$A790))))</f>
        <v/>
      </c>
      <c r="F790" s="8" t="str">
        <f>IF($A790="","",IF(ISNUMBER(FIND("IMPVOL",F$1)),_xll.BDH(config!$G$4,F$1,WORKDAY($A790,-1,config_Holiday_Calendar_US),WORKDAY($A790,-1,config_Holiday_Calendar_US)),IF(ISNUMBER(_xll.BDH(config!$G$4,F$1,$A790,$A790)),_xll.BDH(config!$G$4,F$1,$A790,$A790),_xll.BDH(config!$G$5,F$1,$A790,$A790))))</f>
        <v/>
      </c>
      <c r="G790" s="8" t="str">
        <f>IF($A790="","",IF(ISNUMBER(FIND("IMPVOL",G$1)),_xll.BDH(config!$G$4,G$1,WORKDAY($A790,-1,config_Holiday_Calendar_US),WORKDAY($A790,-1,config_Holiday_Calendar_US)),IF(ISNUMBER(_xll.BDH(config!$G$4,G$1,$A790,$A790)),_xll.BDH(config!$G$4,G$1,$A790,$A790),_xll.BDH(config!$G$5,G$1,$A790,$A790))))</f>
        <v/>
      </c>
      <c r="H790" s="8" t="str">
        <f>IF($A790="","",IF(ISNUMBER(FIND("IMPVOL",H$1)),_xll.BDH(config!$G$4,H$1,WORKDAY($A790,-1,config_Holiday_Calendar_US),WORKDAY($A790,-1,config_Holiday_Calendar_US)),IF(ISNUMBER(_xll.BDH(config!$G$4,H$1,$A790,$A790)),_xll.BDH(config!$G$4,H$1,$A790,$A790),_xll.BDH(config!$G$5,H$1,$A790,$A790))))</f>
        <v/>
      </c>
      <c r="I790" s="8" t="str">
        <f>IF($A790="","",IF(ISNUMBER(FIND("IMPVOL",I$1)),_xll.BDH(config!$G$4,I$1,WORKDAY($A790,-1,config_Holiday_Calendar_US),WORKDAY($A790,-1,config_Holiday_Calendar_US)),IF(ISNUMBER(_xll.BDH(config!$G$4,I$1,$A790,$A790)),_xll.BDH(config!$G$4,I$1,$A790,$A790),_xll.BDH(config!$G$5,I$1,$A790,$A790))))</f>
        <v/>
      </c>
      <c r="J790" s="8" t="str">
        <f>IF($A790="","",IF(ISNUMBER(FIND("IMPVOL",J$1)),_xll.BDH(config!$G$4,J$1,WORKDAY($A790,-1,config_Holiday_Calendar_US),WORKDAY($A790,-1,config_Holiday_Calendar_US)),IF(ISNUMBER(_xll.BDH(config!$G$4,J$1,$A790,$A790)),_xll.BDH(config!$G$4,J$1,$A790,$A790),_xll.BDH(config!$G$5,J$1,$A790,$A790))))</f>
        <v/>
      </c>
      <c r="K790" s="8" t="str">
        <f>IF($A790="","",IF(ISNUMBER(FIND("IMPVOL",K$1)),_xll.BDH(config!$G$4,K$1,WORKDAY($A790,-1,config_Holiday_Calendar_US),WORKDAY($A790,-1,config_Holiday_Calendar_US)),IF(ISNUMBER(_xll.BDH(config!$G$4,K$1,$A790,$A790)),_xll.BDH(config!$G$4,K$1,$A790,$A790),_xll.BDH(config!$G$5,K$1,$A790,$A790))))</f>
        <v/>
      </c>
      <c r="L790" s="8" t="str">
        <f>IF($A790="","",IF(ISNUMBER(FIND("IMPVOL",L$1)),_xll.BDH(config!$G$4,L$1,WORKDAY($A790,-1,config_Holiday_Calendar_US),WORKDAY($A790,-1,config_Holiday_Calendar_US)),IF(ISNUMBER(_xll.BDH(config!$G$4,L$1,$A790,$A790)),_xll.BDH(config!$G$4,L$1,$A790,$A790),_xll.BDH(config!$G$5,L$1,$A790,$A790))))</f>
        <v/>
      </c>
      <c r="M790" s="8" t="str">
        <f>IF($A790="","",IF(ISNUMBER(FIND("IMPVOL",M$1)),_xll.BDH(config!$G$4,M$1,WORKDAY($A790,-1,config_Holiday_Calendar_US),WORKDAY($A790,-1,config_Holiday_Calendar_US)),IF(ISNUMBER(_xll.BDH(config!$G$4,M$1,$A790,$A790)),_xll.BDH(config!$G$4,M$1,$A790,$A790),_xll.BDH(config!$G$5,M$1,$A790,$A790))))</f>
        <v/>
      </c>
      <c r="N790" s="8" t="str">
        <f>IF($A790="","",IF(ISNUMBER(FIND("IMPVOL",N$1)),_xll.BDH(config!$G$4,N$1,WORKDAY($A790,-1,config_Holiday_Calendar_US),WORKDAY($A790,-1,config_Holiday_Calendar_US)),IF(ISNUMBER(_xll.BDH(config!$G$4,N$1,$A790,$A790)),_xll.BDH(config!$G$4,N$1,$A790,$A790),_xll.BDH(config!$G$5,N$1,$A790,$A790))))</f>
        <v/>
      </c>
      <c r="O790" s="8" t="str">
        <f>IF($A790="","",IF(ISNUMBER(FIND("IMPVOL",O$1)),_xll.BDH(config!$G$4,O$1,WORKDAY($A790,-1,config_Holiday_Calendar_US),WORKDAY($A790,-1,config_Holiday_Calendar_US)),IF(ISNUMBER(_xll.BDH(config!$G$4,O$1,$A790,$A790)),_xll.BDH(config!$G$4,O$1,$A790,$A790),_xll.BDH(config!$G$5,O$1,$A790,$A790))))</f>
        <v/>
      </c>
      <c r="P790" s="8" t="str">
        <f>IF($A790="","",IF(ISNUMBER(FIND("IMPVOL",P$1)),_xll.BDH(config!$G$4,P$1,WORKDAY($A790,-1,config_Holiday_Calendar_US),WORKDAY($A790,-1,config_Holiday_Calendar_US)),IF(ISNUMBER(_xll.BDH(config!$G$4,P$1,$A790,$A790)),_xll.BDH(config!$G$4,P$1,$A790,$A790),_xll.BDH(config!$G$5,P$1,$A790,$A790))))</f>
        <v/>
      </c>
      <c r="Q790" s="8" t="str">
        <f>IF($A790="","",IF(ISNUMBER(FIND("IMPVOL",Q$1)),_xll.BDH(config!$G$4,Q$1,WORKDAY($A790,-1,config_Holiday_Calendar_US),WORKDAY($A790,-1,config_Holiday_Calendar_US)),IF(ISNUMBER(_xll.BDH(config!$G$4,Q$1,$A790,$A790)),_xll.BDH(config!$G$4,Q$1,$A790,$A790),_xll.BDH(config!$G$5,Q$1,$A790,$A790))))</f>
        <v/>
      </c>
      <c r="R790" s="8" t="str">
        <f>IF($A790="","",IF(ISNUMBER(FIND("IMPVOL",R$1)),_xll.BDH(config!$G$4,R$1,WORKDAY($A790,-1,config_Holiday_Calendar_US),WORKDAY($A790,-1,config_Holiday_Calendar_US)),IF(ISNUMBER(_xll.BDH(config!$G$4,R$1,$A790,$A790)),_xll.BDH(config!$G$4,R$1,$A790,$A790),_xll.BDH(config!$G$5,R$1,$A790,$A790))))</f>
        <v/>
      </c>
      <c r="S790" s="8" t="str">
        <f>IF($A790="","",IF(ISNUMBER(FIND("IMPVOL",S$1)),_xll.BDH(config!$G$4,S$1,WORKDAY($A790,-1,config_Holiday_Calendar_US),WORKDAY($A790,-1,config_Holiday_Calendar_US)),IF(ISNUMBER(_xll.BDH(config!$G$4,S$1,$A790,$A790)),_xll.BDH(config!$G$4,S$1,$A790,$A790),_xll.BDH(config!$G$5,S$1,$A790,$A790))))</f>
        <v/>
      </c>
      <c r="T790" s="8" t="str">
        <f>IF($A790="","",IF(ISNUMBER(FIND("IMPVOL",T$1)),_xll.BDH(config!$G$4,T$1,WORKDAY($A790,-1,config_Holiday_Calendar_US),WORKDAY($A790,-1,config_Holiday_Calendar_US)),IF(ISNUMBER(_xll.BDH(config!$G$4,T$1,$A790,$A790)),_xll.BDH(config!$G$4,T$1,$A790,$A790),_xll.BDH(config!$G$5,T$1,$A790,$A790))))</f>
        <v/>
      </c>
      <c r="U790" s="8" t="str">
        <f>IF($A790="","",IF(ISNUMBER(FIND("IMPVOL",U$1)),_xll.BDH(config!$G$4,U$1,WORKDAY($A790,-1,config_Holiday_Calendar_US),WORKDAY($A790,-1,config_Holiday_Calendar_US)),IF(ISNUMBER(_xll.BDH(config!$G$4,U$1,$A790,$A790)),_xll.BDH(config!$G$4,U$1,$A790,$A790),_xll.BDH(config!$G$5,U$1,$A790,$A790))))</f>
        <v/>
      </c>
      <c r="V790" s="8" t="str">
        <f>IF($A790="","",IF(ISNUMBER(FIND("IMPVOL",V$1)),_xll.BDH(config!$G$4,V$1,WORKDAY($A790,-1,config_Holiday_Calendar_US),WORKDAY($A790,-1,config_Holiday_Calendar_US)),IF(ISNUMBER(_xll.BDH(config!$G$4,V$1,$A790,$A790)),_xll.BDH(config!$G$4,V$1,$A790,$A790),_xll.BDH(config!$G$5,V$1,$A790,$A790))))</f>
        <v/>
      </c>
      <c r="W790" s="8" t="str">
        <f>IF($A790="","",IF(ISNUMBER(FIND("IMPVOL",W$1)),_xll.BDH(config!$G$4,W$1,WORKDAY($A790,-1,config_Holiday_Calendar_US),WORKDAY($A790,-1,config_Holiday_Calendar_US)),IF(ISNUMBER(_xll.BDH(config!$G$4,W$1,$A790,$A790)),_xll.BDH(config!$G$4,W$1,$A790,$A790),_xll.BDH(config!$G$5,W$1,$A790,$A790))))</f>
        <v/>
      </c>
    </row>
    <row r="791" spans="1:23" x14ac:dyDescent="0.2">
      <c r="A791" s="9" t="str">
        <f>IF(A790="","",IF(WORKDAY(A790,-1,config_Holiday_Calendar_US)&lt;config!$I$10,"",WORKDAY(A790,-1,config_Holiday_Calendar_US)))</f>
        <v/>
      </c>
      <c r="B791" s="8" t="str">
        <f t="shared" si="12"/>
        <v/>
      </c>
      <c r="C791" s="8" t="str">
        <f>IF(A791="","",_xll.BDH(config!$H$4,C$1,$A791,$A791))</f>
        <v/>
      </c>
      <c r="D791" s="8" t="str">
        <f>IF($A791="","",_xll.BDH(config!$H$4,D$1,$A791,$A791))</f>
        <v/>
      </c>
      <c r="E791" s="8" t="str">
        <f>IF($A791="","",IF(ISNUMBER(FIND("IMPVOL",E$1)),_xll.BDH(config!$G$4,E$1,WORKDAY($A791,-1,config_Holiday_Calendar_US),WORKDAY($A791,-1,config_Holiday_Calendar_US)),IF(ISNUMBER(_xll.BDH(config!$G$4,E$1,$A791,$A791)),_xll.BDH(config!$G$4,E$1,$A791,$A791),_xll.BDH(config!$G$5,E$1,$A791,$A791))))</f>
        <v/>
      </c>
      <c r="F791" s="8" t="str">
        <f>IF($A791="","",IF(ISNUMBER(FIND("IMPVOL",F$1)),_xll.BDH(config!$G$4,F$1,WORKDAY($A791,-1,config_Holiday_Calendar_US),WORKDAY($A791,-1,config_Holiday_Calendar_US)),IF(ISNUMBER(_xll.BDH(config!$G$4,F$1,$A791,$A791)),_xll.BDH(config!$G$4,F$1,$A791,$A791),_xll.BDH(config!$G$5,F$1,$A791,$A791))))</f>
        <v/>
      </c>
      <c r="G791" s="8" t="str">
        <f>IF($A791="","",IF(ISNUMBER(FIND("IMPVOL",G$1)),_xll.BDH(config!$G$4,G$1,WORKDAY($A791,-1,config_Holiday_Calendar_US),WORKDAY($A791,-1,config_Holiday_Calendar_US)),IF(ISNUMBER(_xll.BDH(config!$G$4,G$1,$A791,$A791)),_xll.BDH(config!$G$4,G$1,$A791,$A791),_xll.BDH(config!$G$5,G$1,$A791,$A791))))</f>
        <v/>
      </c>
      <c r="H791" s="8" t="str">
        <f>IF($A791="","",IF(ISNUMBER(FIND("IMPVOL",H$1)),_xll.BDH(config!$G$4,H$1,WORKDAY($A791,-1,config_Holiday_Calendar_US),WORKDAY($A791,-1,config_Holiday_Calendar_US)),IF(ISNUMBER(_xll.BDH(config!$G$4,H$1,$A791,$A791)),_xll.BDH(config!$G$4,H$1,$A791,$A791),_xll.BDH(config!$G$5,H$1,$A791,$A791))))</f>
        <v/>
      </c>
      <c r="I791" s="8" t="str">
        <f>IF($A791="","",IF(ISNUMBER(FIND("IMPVOL",I$1)),_xll.BDH(config!$G$4,I$1,WORKDAY($A791,-1,config_Holiday_Calendar_US),WORKDAY($A791,-1,config_Holiday_Calendar_US)),IF(ISNUMBER(_xll.BDH(config!$G$4,I$1,$A791,$A791)),_xll.BDH(config!$G$4,I$1,$A791,$A791),_xll.BDH(config!$G$5,I$1,$A791,$A791))))</f>
        <v/>
      </c>
      <c r="J791" s="8" t="str">
        <f>IF($A791="","",IF(ISNUMBER(FIND("IMPVOL",J$1)),_xll.BDH(config!$G$4,J$1,WORKDAY($A791,-1,config_Holiday_Calendar_US),WORKDAY($A791,-1,config_Holiday_Calendar_US)),IF(ISNUMBER(_xll.BDH(config!$G$4,J$1,$A791,$A791)),_xll.BDH(config!$G$4,J$1,$A791,$A791),_xll.BDH(config!$G$5,J$1,$A791,$A791))))</f>
        <v/>
      </c>
      <c r="K791" s="8" t="str">
        <f>IF($A791="","",IF(ISNUMBER(FIND("IMPVOL",K$1)),_xll.BDH(config!$G$4,K$1,WORKDAY($A791,-1,config_Holiday_Calendar_US),WORKDAY($A791,-1,config_Holiday_Calendar_US)),IF(ISNUMBER(_xll.BDH(config!$G$4,K$1,$A791,$A791)),_xll.BDH(config!$G$4,K$1,$A791,$A791),_xll.BDH(config!$G$5,K$1,$A791,$A791))))</f>
        <v/>
      </c>
      <c r="L791" s="8" t="str">
        <f>IF($A791="","",IF(ISNUMBER(FIND("IMPVOL",L$1)),_xll.BDH(config!$G$4,L$1,WORKDAY($A791,-1,config_Holiday_Calendar_US),WORKDAY($A791,-1,config_Holiday_Calendar_US)),IF(ISNUMBER(_xll.BDH(config!$G$4,L$1,$A791,$A791)),_xll.BDH(config!$G$4,L$1,$A791,$A791),_xll.BDH(config!$G$5,L$1,$A791,$A791))))</f>
        <v/>
      </c>
      <c r="M791" s="8" t="str">
        <f>IF($A791="","",IF(ISNUMBER(FIND("IMPVOL",M$1)),_xll.BDH(config!$G$4,M$1,WORKDAY($A791,-1,config_Holiday_Calendar_US),WORKDAY($A791,-1,config_Holiday_Calendar_US)),IF(ISNUMBER(_xll.BDH(config!$G$4,M$1,$A791,$A791)),_xll.BDH(config!$G$4,M$1,$A791,$A791),_xll.BDH(config!$G$5,M$1,$A791,$A791))))</f>
        <v/>
      </c>
      <c r="N791" s="8" t="str">
        <f>IF($A791="","",IF(ISNUMBER(FIND("IMPVOL",N$1)),_xll.BDH(config!$G$4,N$1,WORKDAY($A791,-1,config_Holiday_Calendar_US),WORKDAY($A791,-1,config_Holiday_Calendar_US)),IF(ISNUMBER(_xll.BDH(config!$G$4,N$1,$A791,$A791)),_xll.BDH(config!$G$4,N$1,$A791,$A791),_xll.BDH(config!$G$5,N$1,$A791,$A791))))</f>
        <v/>
      </c>
      <c r="O791" s="8" t="str">
        <f>IF($A791="","",IF(ISNUMBER(FIND("IMPVOL",O$1)),_xll.BDH(config!$G$4,O$1,WORKDAY($A791,-1,config_Holiday_Calendar_US),WORKDAY($A791,-1,config_Holiday_Calendar_US)),IF(ISNUMBER(_xll.BDH(config!$G$4,O$1,$A791,$A791)),_xll.BDH(config!$G$4,O$1,$A791,$A791),_xll.BDH(config!$G$5,O$1,$A791,$A791))))</f>
        <v/>
      </c>
      <c r="P791" s="8" t="str">
        <f>IF($A791="","",IF(ISNUMBER(FIND("IMPVOL",P$1)),_xll.BDH(config!$G$4,P$1,WORKDAY($A791,-1,config_Holiday_Calendar_US),WORKDAY($A791,-1,config_Holiday_Calendar_US)),IF(ISNUMBER(_xll.BDH(config!$G$4,P$1,$A791,$A791)),_xll.BDH(config!$G$4,P$1,$A791,$A791),_xll.BDH(config!$G$5,P$1,$A791,$A791))))</f>
        <v/>
      </c>
      <c r="Q791" s="8" t="str">
        <f>IF($A791="","",IF(ISNUMBER(FIND("IMPVOL",Q$1)),_xll.BDH(config!$G$4,Q$1,WORKDAY($A791,-1,config_Holiday_Calendar_US),WORKDAY($A791,-1,config_Holiday_Calendar_US)),IF(ISNUMBER(_xll.BDH(config!$G$4,Q$1,$A791,$A791)),_xll.BDH(config!$G$4,Q$1,$A791,$A791),_xll.BDH(config!$G$5,Q$1,$A791,$A791))))</f>
        <v/>
      </c>
      <c r="R791" s="8" t="str">
        <f>IF($A791="","",IF(ISNUMBER(FIND("IMPVOL",R$1)),_xll.BDH(config!$G$4,R$1,WORKDAY($A791,-1,config_Holiday_Calendar_US),WORKDAY($A791,-1,config_Holiday_Calendar_US)),IF(ISNUMBER(_xll.BDH(config!$G$4,R$1,$A791,$A791)),_xll.BDH(config!$G$4,R$1,$A791,$A791),_xll.BDH(config!$G$5,R$1,$A791,$A791))))</f>
        <v/>
      </c>
      <c r="S791" s="8" t="str">
        <f>IF($A791="","",IF(ISNUMBER(FIND("IMPVOL",S$1)),_xll.BDH(config!$G$4,S$1,WORKDAY($A791,-1,config_Holiday_Calendar_US),WORKDAY($A791,-1,config_Holiday_Calendar_US)),IF(ISNUMBER(_xll.BDH(config!$G$4,S$1,$A791,$A791)),_xll.BDH(config!$G$4,S$1,$A791,$A791),_xll.BDH(config!$G$5,S$1,$A791,$A791))))</f>
        <v/>
      </c>
      <c r="T791" s="8" t="str">
        <f>IF($A791="","",IF(ISNUMBER(FIND("IMPVOL",T$1)),_xll.BDH(config!$G$4,T$1,WORKDAY($A791,-1,config_Holiday_Calendar_US),WORKDAY($A791,-1,config_Holiday_Calendar_US)),IF(ISNUMBER(_xll.BDH(config!$G$4,T$1,$A791,$A791)),_xll.BDH(config!$G$4,T$1,$A791,$A791),_xll.BDH(config!$G$5,T$1,$A791,$A791))))</f>
        <v/>
      </c>
      <c r="U791" s="8" t="str">
        <f>IF($A791="","",IF(ISNUMBER(FIND("IMPVOL",U$1)),_xll.BDH(config!$G$4,U$1,WORKDAY($A791,-1,config_Holiday_Calendar_US),WORKDAY($A791,-1,config_Holiday_Calendar_US)),IF(ISNUMBER(_xll.BDH(config!$G$4,U$1,$A791,$A791)),_xll.BDH(config!$G$4,U$1,$A791,$A791),_xll.BDH(config!$G$5,U$1,$A791,$A791))))</f>
        <v/>
      </c>
      <c r="V791" s="8" t="str">
        <f>IF($A791="","",IF(ISNUMBER(FIND("IMPVOL",V$1)),_xll.BDH(config!$G$4,V$1,WORKDAY($A791,-1,config_Holiday_Calendar_US),WORKDAY($A791,-1,config_Holiday_Calendar_US)),IF(ISNUMBER(_xll.BDH(config!$G$4,V$1,$A791,$A791)),_xll.BDH(config!$G$4,V$1,$A791,$A791),_xll.BDH(config!$G$5,V$1,$A791,$A791))))</f>
        <v/>
      </c>
      <c r="W791" s="8" t="str">
        <f>IF($A791="","",IF(ISNUMBER(FIND("IMPVOL",W$1)),_xll.BDH(config!$G$4,W$1,WORKDAY($A791,-1,config_Holiday_Calendar_US),WORKDAY($A791,-1,config_Holiday_Calendar_US)),IF(ISNUMBER(_xll.BDH(config!$G$4,W$1,$A791,$A791)),_xll.BDH(config!$G$4,W$1,$A791,$A791),_xll.BDH(config!$G$5,W$1,$A791,$A791))))</f>
        <v/>
      </c>
    </row>
    <row r="792" spans="1:23" x14ac:dyDescent="0.2">
      <c r="A792" s="9" t="str">
        <f>IF(A791="","",IF(WORKDAY(A791,-1,config_Holiday_Calendar_US)&lt;config!$I$10,"",WORKDAY(A791,-1,config_Holiday_Calendar_US)))</f>
        <v/>
      </c>
      <c r="B792" s="8" t="str">
        <f t="shared" si="12"/>
        <v/>
      </c>
      <c r="C792" s="8" t="str">
        <f>IF(A792="","",_xll.BDH(config!$H$4,C$1,$A792,$A792))</f>
        <v/>
      </c>
      <c r="D792" s="8" t="str">
        <f>IF($A792="","",_xll.BDH(config!$H$4,D$1,$A792,$A792))</f>
        <v/>
      </c>
      <c r="E792" s="8" t="str">
        <f>IF($A792="","",IF(ISNUMBER(FIND("IMPVOL",E$1)),_xll.BDH(config!$G$4,E$1,WORKDAY($A792,-1,config_Holiday_Calendar_US),WORKDAY($A792,-1,config_Holiday_Calendar_US)),IF(ISNUMBER(_xll.BDH(config!$G$4,E$1,$A792,$A792)),_xll.BDH(config!$G$4,E$1,$A792,$A792),_xll.BDH(config!$G$5,E$1,$A792,$A792))))</f>
        <v/>
      </c>
      <c r="F792" s="8" t="str">
        <f>IF($A792="","",IF(ISNUMBER(FIND("IMPVOL",F$1)),_xll.BDH(config!$G$4,F$1,WORKDAY($A792,-1,config_Holiday_Calendar_US),WORKDAY($A792,-1,config_Holiday_Calendar_US)),IF(ISNUMBER(_xll.BDH(config!$G$4,F$1,$A792,$A792)),_xll.BDH(config!$G$4,F$1,$A792,$A792),_xll.BDH(config!$G$5,F$1,$A792,$A792))))</f>
        <v/>
      </c>
      <c r="G792" s="8" t="str">
        <f>IF($A792="","",IF(ISNUMBER(FIND("IMPVOL",G$1)),_xll.BDH(config!$G$4,G$1,WORKDAY($A792,-1,config_Holiday_Calendar_US),WORKDAY($A792,-1,config_Holiday_Calendar_US)),IF(ISNUMBER(_xll.BDH(config!$G$4,G$1,$A792,$A792)),_xll.BDH(config!$G$4,G$1,$A792,$A792),_xll.BDH(config!$G$5,G$1,$A792,$A792))))</f>
        <v/>
      </c>
      <c r="H792" s="8" t="str">
        <f>IF($A792="","",IF(ISNUMBER(FIND("IMPVOL",H$1)),_xll.BDH(config!$G$4,H$1,WORKDAY($A792,-1,config_Holiday_Calendar_US),WORKDAY($A792,-1,config_Holiday_Calendar_US)),IF(ISNUMBER(_xll.BDH(config!$G$4,H$1,$A792,$A792)),_xll.BDH(config!$G$4,H$1,$A792,$A792),_xll.BDH(config!$G$5,H$1,$A792,$A792))))</f>
        <v/>
      </c>
      <c r="I792" s="8" t="str">
        <f>IF($A792="","",IF(ISNUMBER(FIND("IMPVOL",I$1)),_xll.BDH(config!$G$4,I$1,WORKDAY($A792,-1,config_Holiday_Calendar_US),WORKDAY($A792,-1,config_Holiday_Calendar_US)),IF(ISNUMBER(_xll.BDH(config!$G$4,I$1,$A792,$A792)),_xll.BDH(config!$G$4,I$1,$A792,$A792),_xll.BDH(config!$G$5,I$1,$A792,$A792))))</f>
        <v/>
      </c>
      <c r="J792" s="8" t="str">
        <f>IF($A792="","",IF(ISNUMBER(FIND("IMPVOL",J$1)),_xll.BDH(config!$G$4,J$1,WORKDAY($A792,-1,config_Holiday_Calendar_US),WORKDAY($A792,-1,config_Holiday_Calendar_US)),IF(ISNUMBER(_xll.BDH(config!$G$4,J$1,$A792,$A792)),_xll.BDH(config!$G$4,J$1,$A792,$A792),_xll.BDH(config!$G$5,J$1,$A792,$A792))))</f>
        <v/>
      </c>
      <c r="K792" s="8" t="str">
        <f>IF($A792="","",IF(ISNUMBER(FIND("IMPVOL",K$1)),_xll.BDH(config!$G$4,K$1,WORKDAY($A792,-1,config_Holiday_Calendar_US),WORKDAY($A792,-1,config_Holiday_Calendar_US)),IF(ISNUMBER(_xll.BDH(config!$G$4,K$1,$A792,$A792)),_xll.BDH(config!$G$4,K$1,$A792,$A792),_xll.BDH(config!$G$5,K$1,$A792,$A792))))</f>
        <v/>
      </c>
      <c r="L792" s="8" t="str">
        <f>IF($A792="","",IF(ISNUMBER(FIND("IMPVOL",L$1)),_xll.BDH(config!$G$4,L$1,WORKDAY($A792,-1,config_Holiday_Calendar_US),WORKDAY($A792,-1,config_Holiday_Calendar_US)),IF(ISNUMBER(_xll.BDH(config!$G$4,L$1,$A792,$A792)),_xll.BDH(config!$G$4,L$1,$A792,$A792),_xll.BDH(config!$G$5,L$1,$A792,$A792))))</f>
        <v/>
      </c>
      <c r="M792" s="8" t="str">
        <f>IF($A792="","",IF(ISNUMBER(FIND("IMPVOL",M$1)),_xll.BDH(config!$G$4,M$1,WORKDAY($A792,-1,config_Holiday_Calendar_US),WORKDAY($A792,-1,config_Holiday_Calendar_US)),IF(ISNUMBER(_xll.BDH(config!$G$4,M$1,$A792,$A792)),_xll.BDH(config!$G$4,M$1,$A792,$A792),_xll.BDH(config!$G$5,M$1,$A792,$A792))))</f>
        <v/>
      </c>
      <c r="N792" s="8" t="str">
        <f>IF($A792="","",IF(ISNUMBER(FIND("IMPVOL",N$1)),_xll.BDH(config!$G$4,N$1,WORKDAY($A792,-1,config_Holiday_Calendar_US),WORKDAY($A792,-1,config_Holiday_Calendar_US)),IF(ISNUMBER(_xll.BDH(config!$G$4,N$1,$A792,$A792)),_xll.BDH(config!$G$4,N$1,$A792,$A792),_xll.BDH(config!$G$5,N$1,$A792,$A792))))</f>
        <v/>
      </c>
      <c r="O792" s="8" t="str">
        <f>IF($A792="","",IF(ISNUMBER(FIND("IMPVOL",O$1)),_xll.BDH(config!$G$4,O$1,WORKDAY($A792,-1,config_Holiday_Calendar_US),WORKDAY($A792,-1,config_Holiday_Calendar_US)),IF(ISNUMBER(_xll.BDH(config!$G$4,O$1,$A792,$A792)),_xll.BDH(config!$G$4,O$1,$A792,$A792),_xll.BDH(config!$G$5,O$1,$A792,$A792))))</f>
        <v/>
      </c>
      <c r="P792" s="8" t="str">
        <f>IF($A792="","",IF(ISNUMBER(FIND("IMPVOL",P$1)),_xll.BDH(config!$G$4,P$1,WORKDAY($A792,-1,config_Holiday_Calendar_US),WORKDAY($A792,-1,config_Holiday_Calendar_US)),IF(ISNUMBER(_xll.BDH(config!$G$4,P$1,$A792,$A792)),_xll.BDH(config!$G$4,P$1,$A792,$A792),_xll.BDH(config!$G$5,P$1,$A792,$A792))))</f>
        <v/>
      </c>
      <c r="Q792" s="8" t="str">
        <f>IF($A792="","",IF(ISNUMBER(FIND("IMPVOL",Q$1)),_xll.BDH(config!$G$4,Q$1,WORKDAY($A792,-1,config_Holiday_Calendar_US),WORKDAY($A792,-1,config_Holiday_Calendar_US)),IF(ISNUMBER(_xll.BDH(config!$G$4,Q$1,$A792,$A792)),_xll.BDH(config!$G$4,Q$1,$A792,$A792),_xll.BDH(config!$G$5,Q$1,$A792,$A792))))</f>
        <v/>
      </c>
      <c r="R792" s="8" t="str">
        <f>IF($A792="","",IF(ISNUMBER(FIND("IMPVOL",R$1)),_xll.BDH(config!$G$4,R$1,WORKDAY($A792,-1,config_Holiday_Calendar_US),WORKDAY($A792,-1,config_Holiday_Calendar_US)),IF(ISNUMBER(_xll.BDH(config!$G$4,R$1,$A792,$A792)),_xll.BDH(config!$G$4,R$1,$A792,$A792),_xll.BDH(config!$G$5,R$1,$A792,$A792))))</f>
        <v/>
      </c>
      <c r="S792" s="8" t="str">
        <f>IF($A792="","",IF(ISNUMBER(FIND("IMPVOL",S$1)),_xll.BDH(config!$G$4,S$1,WORKDAY($A792,-1,config_Holiday_Calendar_US),WORKDAY($A792,-1,config_Holiday_Calendar_US)),IF(ISNUMBER(_xll.BDH(config!$G$4,S$1,$A792,$A792)),_xll.BDH(config!$G$4,S$1,$A792,$A792),_xll.BDH(config!$G$5,S$1,$A792,$A792))))</f>
        <v/>
      </c>
      <c r="T792" s="8" t="str">
        <f>IF($A792="","",IF(ISNUMBER(FIND("IMPVOL",T$1)),_xll.BDH(config!$G$4,T$1,WORKDAY($A792,-1,config_Holiday_Calendar_US),WORKDAY($A792,-1,config_Holiday_Calendar_US)),IF(ISNUMBER(_xll.BDH(config!$G$4,T$1,$A792,$A792)),_xll.BDH(config!$G$4,T$1,$A792,$A792),_xll.BDH(config!$G$5,T$1,$A792,$A792))))</f>
        <v/>
      </c>
      <c r="U792" s="8" t="str">
        <f>IF($A792="","",IF(ISNUMBER(FIND("IMPVOL",U$1)),_xll.BDH(config!$G$4,U$1,WORKDAY($A792,-1,config_Holiday_Calendar_US),WORKDAY($A792,-1,config_Holiday_Calendar_US)),IF(ISNUMBER(_xll.BDH(config!$G$4,U$1,$A792,$A792)),_xll.BDH(config!$G$4,U$1,$A792,$A792),_xll.BDH(config!$G$5,U$1,$A792,$A792))))</f>
        <v/>
      </c>
      <c r="V792" s="8" t="str">
        <f>IF($A792="","",IF(ISNUMBER(FIND("IMPVOL",V$1)),_xll.BDH(config!$G$4,V$1,WORKDAY($A792,-1,config_Holiday_Calendar_US),WORKDAY($A792,-1,config_Holiday_Calendar_US)),IF(ISNUMBER(_xll.BDH(config!$G$4,V$1,$A792,$A792)),_xll.BDH(config!$G$4,V$1,$A792,$A792),_xll.BDH(config!$G$5,V$1,$A792,$A792))))</f>
        <v/>
      </c>
      <c r="W792" s="8" t="str">
        <f>IF($A792="","",IF(ISNUMBER(FIND("IMPVOL",W$1)),_xll.BDH(config!$G$4,W$1,WORKDAY($A792,-1,config_Holiday_Calendar_US),WORKDAY($A792,-1,config_Holiday_Calendar_US)),IF(ISNUMBER(_xll.BDH(config!$G$4,W$1,$A792,$A792)),_xll.BDH(config!$G$4,W$1,$A792,$A792),_xll.BDH(config!$G$5,W$1,$A792,$A792))))</f>
        <v/>
      </c>
    </row>
    <row r="793" spans="1:23" x14ac:dyDescent="0.2">
      <c r="A793" s="9" t="str">
        <f>IF(A792="","",IF(WORKDAY(A792,-1,config_Holiday_Calendar_US)&lt;config!$I$10,"",WORKDAY(A792,-1,config_Holiday_Calendar_US)))</f>
        <v/>
      </c>
      <c r="B793" s="8" t="str">
        <f t="shared" si="12"/>
        <v/>
      </c>
      <c r="C793" s="8" t="str">
        <f>IF(A793="","",_xll.BDH(config!$H$4,C$1,$A793,$A793))</f>
        <v/>
      </c>
      <c r="D793" s="8" t="str">
        <f>IF($A793="","",_xll.BDH(config!$H$4,D$1,$A793,$A793))</f>
        <v/>
      </c>
      <c r="E793" s="8" t="str">
        <f>IF($A793="","",IF(ISNUMBER(FIND("IMPVOL",E$1)),_xll.BDH(config!$G$4,E$1,WORKDAY($A793,-1,config_Holiday_Calendar_US),WORKDAY($A793,-1,config_Holiday_Calendar_US)),IF(ISNUMBER(_xll.BDH(config!$G$4,E$1,$A793,$A793)),_xll.BDH(config!$G$4,E$1,$A793,$A793),_xll.BDH(config!$G$5,E$1,$A793,$A793))))</f>
        <v/>
      </c>
      <c r="F793" s="8" t="str">
        <f>IF($A793="","",IF(ISNUMBER(FIND("IMPVOL",F$1)),_xll.BDH(config!$G$4,F$1,WORKDAY($A793,-1,config_Holiday_Calendar_US),WORKDAY($A793,-1,config_Holiday_Calendar_US)),IF(ISNUMBER(_xll.BDH(config!$G$4,F$1,$A793,$A793)),_xll.BDH(config!$G$4,F$1,$A793,$A793),_xll.BDH(config!$G$5,F$1,$A793,$A793))))</f>
        <v/>
      </c>
      <c r="G793" s="8" t="str">
        <f>IF($A793="","",IF(ISNUMBER(FIND("IMPVOL",G$1)),_xll.BDH(config!$G$4,G$1,WORKDAY($A793,-1,config_Holiday_Calendar_US),WORKDAY($A793,-1,config_Holiday_Calendar_US)),IF(ISNUMBER(_xll.BDH(config!$G$4,G$1,$A793,$A793)),_xll.BDH(config!$G$4,G$1,$A793,$A793),_xll.BDH(config!$G$5,G$1,$A793,$A793))))</f>
        <v/>
      </c>
      <c r="H793" s="8" t="str">
        <f>IF($A793="","",IF(ISNUMBER(FIND("IMPVOL",H$1)),_xll.BDH(config!$G$4,H$1,WORKDAY($A793,-1,config_Holiday_Calendar_US),WORKDAY($A793,-1,config_Holiday_Calendar_US)),IF(ISNUMBER(_xll.BDH(config!$G$4,H$1,$A793,$A793)),_xll.BDH(config!$G$4,H$1,$A793,$A793),_xll.BDH(config!$G$5,H$1,$A793,$A793))))</f>
        <v/>
      </c>
      <c r="I793" s="8" t="str">
        <f>IF($A793="","",IF(ISNUMBER(FIND("IMPVOL",I$1)),_xll.BDH(config!$G$4,I$1,WORKDAY($A793,-1,config_Holiday_Calendar_US),WORKDAY($A793,-1,config_Holiday_Calendar_US)),IF(ISNUMBER(_xll.BDH(config!$G$4,I$1,$A793,$A793)),_xll.BDH(config!$G$4,I$1,$A793,$A793),_xll.BDH(config!$G$5,I$1,$A793,$A793))))</f>
        <v/>
      </c>
      <c r="J793" s="8" t="str">
        <f>IF($A793="","",IF(ISNUMBER(FIND("IMPVOL",J$1)),_xll.BDH(config!$G$4,J$1,WORKDAY($A793,-1,config_Holiday_Calendar_US),WORKDAY($A793,-1,config_Holiday_Calendar_US)),IF(ISNUMBER(_xll.BDH(config!$G$4,J$1,$A793,$A793)),_xll.BDH(config!$G$4,J$1,$A793,$A793),_xll.BDH(config!$G$5,J$1,$A793,$A793))))</f>
        <v/>
      </c>
      <c r="K793" s="8" t="str">
        <f>IF($A793="","",IF(ISNUMBER(FIND("IMPVOL",K$1)),_xll.BDH(config!$G$4,K$1,WORKDAY($A793,-1,config_Holiday_Calendar_US),WORKDAY($A793,-1,config_Holiday_Calendar_US)),IF(ISNUMBER(_xll.BDH(config!$G$4,K$1,$A793,$A793)),_xll.BDH(config!$G$4,K$1,$A793,$A793),_xll.BDH(config!$G$5,K$1,$A793,$A793))))</f>
        <v/>
      </c>
      <c r="L793" s="8" t="str">
        <f>IF($A793="","",IF(ISNUMBER(FIND("IMPVOL",L$1)),_xll.BDH(config!$G$4,L$1,WORKDAY($A793,-1,config_Holiday_Calendar_US),WORKDAY($A793,-1,config_Holiday_Calendar_US)),IF(ISNUMBER(_xll.BDH(config!$G$4,L$1,$A793,$A793)),_xll.BDH(config!$G$4,L$1,$A793,$A793),_xll.BDH(config!$G$5,L$1,$A793,$A793))))</f>
        <v/>
      </c>
      <c r="M793" s="8" t="str">
        <f>IF($A793="","",IF(ISNUMBER(FIND("IMPVOL",M$1)),_xll.BDH(config!$G$4,M$1,WORKDAY($A793,-1,config_Holiday_Calendar_US),WORKDAY($A793,-1,config_Holiday_Calendar_US)),IF(ISNUMBER(_xll.BDH(config!$G$4,M$1,$A793,$A793)),_xll.BDH(config!$G$4,M$1,$A793,$A793),_xll.BDH(config!$G$5,M$1,$A793,$A793))))</f>
        <v/>
      </c>
      <c r="N793" s="8" t="str">
        <f>IF($A793="","",IF(ISNUMBER(FIND("IMPVOL",N$1)),_xll.BDH(config!$G$4,N$1,WORKDAY($A793,-1,config_Holiday_Calendar_US),WORKDAY($A793,-1,config_Holiday_Calendar_US)),IF(ISNUMBER(_xll.BDH(config!$G$4,N$1,$A793,$A793)),_xll.BDH(config!$G$4,N$1,$A793,$A793),_xll.BDH(config!$G$5,N$1,$A793,$A793))))</f>
        <v/>
      </c>
      <c r="O793" s="8" t="str">
        <f>IF($A793="","",IF(ISNUMBER(FIND("IMPVOL",O$1)),_xll.BDH(config!$G$4,O$1,WORKDAY($A793,-1,config_Holiday_Calendar_US),WORKDAY($A793,-1,config_Holiday_Calendar_US)),IF(ISNUMBER(_xll.BDH(config!$G$4,O$1,$A793,$A793)),_xll.BDH(config!$G$4,O$1,$A793,$A793),_xll.BDH(config!$G$5,O$1,$A793,$A793))))</f>
        <v/>
      </c>
      <c r="P793" s="8" t="str">
        <f>IF($A793="","",IF(ISNUMBER(FIND("IMPVOL",P$1)),_xll.BDH(config!$G$4,P$1,WORKDAY($A793,-1,config_Holiday_Calendar_US),WORKDAY($A793,-1,config_Holiday_Calendar_US)),IF(ISNUMBER(_xll.BDH(config!$G$4,P$1,$A793,$A793)),_xll.BDH(config!$G$4,P$1,$A793,$A793),_xll.BDH(config!$G$5,P$1,$A793,$A793))))</f>
        <v/>
      </c>
      <c r="Q793" s="8" t="str">
        <f>IF($A793="","",IF(ISNUMBER(FIND("IMPVOL",Q$1)),_xll.BDH(config!$G$4,Q$1,WORKDAY($A793,-1,config_Holiday_Calendar_US),WORKDAY($A793,-1,config_Holiday_Calendar_US)),IF(ISNUMBER(_xll.BDH(config!$G$4,Q$1,$A793,$A793)),_xll.BDH(config!$G$4,Q$1,$A793,$A793),_xll.BDH(config!$G$5,Q$1,$A793,$A793))))</f>
        <v/>
      </c>
      <c r="R793" s="8" t="str">
        <f>IF($A793="","",IF(ISNUMBER(FIND("IMPVOL",R$1)),_xll.BDH(config!$G$4,R$1,WORKDAY($A793,-1,config_Holiday_Calendar_US),WORKDAY($A793,-1,config_Holiday_Calendar_US)),IF(ISNUMBER(_xll.BDH(config!$G$4,R$1,$A793,$A793)),_xll.BDH(config!$G$4,R$1,$A793,$A793),_xll.BDH(config!$G$5,R$1,$A793,$A793))))</f>
        <v/>
      </c>
      <c r="S793" s="8" t="str">
        <f>IF($A793="","",IF(ISNUMBER(FIND("IMPVOL",S$1)),_xll.BDH(config!$G$4,S$1,WORKDAY($A793,-1,config_Holiday_Calendar_US),WORKDAY($A793,-1,config_Holiday_Calendar_US)),IF(ISNUMBER(_xll.BDH(config!$G$4,S$1,$A793,$A793)),_xll.BDH(config!$G$4,S$1,$A793,$A793),_xll.BDH(config!$G$5,S$1,$A793,$A793))))</f>
        <v/>
      </c>
      <c r="T793" s="8" t="str">
        <f>IF($A793="","",IF(ISNUMBER(FIND("IMPVOL",T$1)),_xll.BDH(config!$G$4,T$1,WORKDAY($A793,-1,config_Holiday_Calendar_US),WORKDAY($A793,-1,config_Holiday_Calendar_US)),IF(ISNUMBER(_xll.BDH(config!$G$4,T$1,$A793,$A793)),_xll.BDH(config!$G$4,T$1,$A793,$A793),_xll.BDH(config!$G$5,T$1,$A793,$A793))))</f>
        <v/>
      </c>
      <c r="U793" s="8" t="str">
        <f>IF($A793="","",IF(ISNUMBER(FIND("IMPVOL",U$1)),_xll.BDH(config!$G$4,U$1,WORKDAY($A793,-1,config_Holiday_Calendar_US),WORKDAY($A793,-1,config_Holiday_Calendar_US)),IF(ISNUMBER(_xll.BDH(config!$G$4,U$1,$A793,$A793)),_xll.BDH(config!$G$4,U$1,$A793,$A793),_xll.BDH(config!$G$5,U$1,$A793,$A793))))</f>
        <v/>
      </c>
      <c r="V793" s="8" t="str">
        <f>IF($A793="","",IF(ISNUMBER(FIND("IMPVOL",V$1)),_xll.BDH(config!$G$4,V$1,WORKDAY($A793,-1,config_Holiday_Calendar_US),WORKDAY($A793,-1,config_Holiday_Calendar_US)),IF(ISNUMBER(_xll.BDH(config!$G$4,V$1,$A793,$A793)),_xll.BDH(config!$G$4,V$1,$A793,$A793),_xll.BDH(config!$G$5,V$1,$A793,$A793))))</f>
        <v/>
      </c>
      <c r="W793" s="8" t="str">
        <f>IF($A793="","",IF(ISNUMBER(FIND("IMPVOL",W$1)),_xll.BDH(config!$G$4,W$1,WORKDAY($A793,-1,config_Holiday_Calendar_US),WORKDAY($A793,-1,config_Holiday_Calendar_US)),IF(ISNUMBER(_xll.BDH(config!$G$4,W$1,$A793,$A793)),_xll.BDH(config!$G$4,W$1,$A793,$A793),_xll.BDH(config!$G$5,W$1,$A793,$A793))))</f>
        <v/>
      </c>
    </row>
    <row r="794" spans="1:23" x14ac:dyDescent="0.2">
      <c r="A794" s="9" t="str">
        <f>IF(A793="","",IF(WORKDAY(A793,-1,config_Holiday_Calendar_US)&lt;config!$I$10,"",WORKDAY(A793,-1,config_Holiday_Calendar_US)))</f>
        <v/>
      </c>
      <c r="B794" s="8" t="str">
        <f t="shared" si="12"/>
        <v/>
      </c>
      <c r="C794" s="8" t="str">
        <f>IF(A794="","",_xll.BDH(config!$H$4,C$1,$A794,$A794))</f>
        <v/>
      </c>
      <c r="D794" s="8" t="str">
        <f>IF($A794="","",_xll.BDH(config!$H$4,D$1,$A794,$A794))</f>
        <v/>
      </c>
      <c r="E794" s="8" t="str">
        <f>IF($A794="","",IF(ISNUMBER(FIND("IMPVOL",E$1)),_xll.BDH(config!$G$4,E$1,WORKDAY($A794,-1,config_Holiday_Calendar_US),WORKDAY($A794,-1,config_Holiday_Calendar_US)),IF(ISNUMBER(_xll.BDH(config!$G$4,E$1,$A794,$A794)),_xll.BDH(config!$G$4,E$1,$A794,$A794),_xll.BDH(config!$G$5,E$1,$A794,$A794))))</f>
        <v/>
      </c>
      <c r="F794" s="8" t="str">
        <f>IF($A794="","",IF(ISNUMBER(FIND("IMPVOL",F$1)),_xll.BDH(config!$G$4,F$1,WORKDAY($A794,-1,config_Holiday_Calendar_US),WORKDAY($A794,-1,config_Holiday_Calendar_US)),IF(ISNUMBER(_xll.BDH(config!$G$4,F$1,$A794,$A794)),_xll.BDH(config!$G$4,F$1,$A794,$A794),_xll.BDH(config!$G$5,F$1,$A794,$A794))))</f>
        <v/>
      </c>
      <c r="G794" s="8" t="str">
        <f>IF($A794="","",IF(ISNUMBER(FIND("IMPVOL",G$1)),_xll.BDH(config!$G$4,G$1,WORKDAY($A794,-1,config_Holiday_Calendar_US),WORKDAY($A794,-1,config_Holiday_Calendar_US)),IF(ISNUMBER(_xll.BDH(config!$G$4,G$1,$A794,$A794)),_xll.BDH(config!$G$4,G$1,$A794,$A794),_xll.BDH(config!$G$5,G$1,$A794,$A794))))</f>
        <v/>
      </c>
      <c r="H794" s="8" t="str">
        <f>IF($A794="","",IF(ISNUMBER(FIND("IMPVOL",H$1)),_xll.BDH(config!$G$4,H$1,WORKDAY($A794,-1,config_Holiday_Calendar_US),WORKDAY($A794,-1,config_Holiday_Calendar_US)),IF(ISNUMBER(_xll.BDH(config!$G$4,H$1,$A794,$A794)),_xll.BDH(config!$G$4,H$1,$A794,$A794),_xll.BDH(config!$G$5,H$1,$A794,$A794))))</f>
        <v/>
      </c>
      <c r="I794" s="8" t="str">
        <f>IF($A794="","",IF(ISNUMBER(FIND("IMPVOL",I$1)),_xll.BDH(config!$G$4,I$1,WORKDAY($A794,-1,config_Holiday_Calendar_US),WORKDAY($A794,-1,config_Holiday_Calendar_US)),IF(ISNUMBER(_xll.BDH(config!$G$4,I$1,$A794,$A794)),_xll.BDH(config!$G$4,I$1,$A794,$A794),_xll.BDH(config!$G$5,I$1,$A794,$A794))))</f>
        <v/>
      </c>
      <c r="J794" s="8" t="str">
        <f>IF($A794="","",IF(ISNUMBER(FIND("IMPVOL",J$1)),_xll.BDH(config!$G$4,J$1,WORKDAY($A794,-1,config_Holiday_Calendar_US),WORKDAY($A794,-1,config_Holiday_Calendar_US)),IF(ISNUMBER(_xll.BDH(config!$G$4,J$1,$A794,$A794)),_xll.BDH(config!$G$4,J$1,$A794,$A794),_xll.BDH(config!$G$5,J$1,$A794,$A794))))</f>
        <v/>
      </c>
      <c r="K794" s="8" t="str">
        <f>IF($A794="","",IF(ISNUMBER(FIND("IMPVOL",K$1)),_xll.BDH(config!$G$4,K$1,WORKDAY($A794,-1,config_Holiday_Calendar_US),WORKDAY($A794,-1,config_Holiday_Calendar_US)),IF(ISNUMBER(_xll.BDH(config!$G$4,K$1,$A794,$A794)),_xll.BDH(config!$G$4,K$1,$A794,$A794),_xll.BDH(config!$G$5,K$1,$A794,$A794))))</f>
        <v/>
      </c>
      <c r="L794" s="8" t="str">
        <f>IF($A794="","",IF(ISNUMBER(FIND("IMPVOL",L$1)),_xll.BDH(config!$G$4,L$1,WORKDAY($A794,-1,config_Holiday_Calendar_US),WORKDAY($A794,-1,config_Holiday_Calendar_US)),IF(ISNUMBER(_xll.BDH(config!$G$4,L$1,$A794,$A794)),_xll.BDH(config!$G$4,L$1,$A794,$A794),_xll.BDH(config!$G$5,L$1,$A794,$A794))))</f>
        <v/>
      </c>
      <c r="M794" s="8" t="str">
        <f>IF($A794="","",IF(ISNUMBER(FIND("IMPVOL",M$1)),_xll.BDH(config!$G$4,M$1,WORKDAY($A794,-1,config_Holiday_Calendar_US),WORKDAY($A794,-1,config_Holiday_Calendar_US)),IF(ISNUMBER(_xll.BDH(config!$G$4,M$1,$A794,$A794)),_xll.BDH(config!$G$4,M$1,$A794,$A794),_xll.BDH(config!$G$5,M$1,$A794,$A794))))</f>
        <v/>
      </c>
      <c r="N794" s="8" t="str">
        <f>IF($A794="","",IF(ISNUMBER(FIND("IMPVOL",N$1)),_xll.BDH(config!$G$4,N$1,WORKDAY($A794,-1,config_Holiday_Calendar_US),WORKDAY($A794,-1,config_Holiday_Calendar_US)),IF(ISNUMBER(_xll.BDH(config!$G$4,N$1,$A794,$A794)),_xll.BDH(config!$G$4,N$1,$A794,$A794),_xll.BDH(config!$G$5,N$1,$A794,$A794))))</f>
        <v/>
      </c>
      <c r="O794" s="8" t="str">
        <f>IF($A794="","",IF(ISNUMBER(FIND("IMPVOL",O$1)),_xll.BDH(config!$G$4,O$1,WORKDAY($A794,-1,config_Holiday_Calendar_US),WORKDAY($A794,-1,config_Holiday_Calendar_US)),IF(ISNUMBER(_xll.BDH(config!$G$4,O$1,$A794,$A794)),_xll.BDH(config!$G$4,O$1,$A794,$A794),_xll.BDH(config!$G$5,O$1,$A794,$A794))))</f>
        <v/>
      </c>
      <c r="P794" s="8" t="str">
        <f>IF($A794="","",IF(ISNUMBER(FIND("IMPVOL",P$1)),_xll.BDH(config!$G$4,P$1,WORKDAY($A794,-1,config_Holiday_Calendar_US),WORKDAY($A794,-1,config_Holiday_Calendar_US)),IF(ISNUMBER(_xll.BDH(config!$G$4,P$1,$A794,$A794)),_xll.BDH(config!$G$4,P$1,$A794,$A794),_xll.BDH(config!$G$5,P$1,$A794,$A794))))</f>
        <v/>
      </c>
      <c r="Q794" s="8" t="str">
        <f>IF($A794="","",IF(ISNUMBER(FIND("IMPVOL",Q$1)),_xll.BDH(config!$G$4,Q$1,WORKDAY($A794,-1,config_Holiday_Calendar_US),WORKDAY($A794,-1,config_Holiday_Calendar_US)),IF(ISNUMBER(_xll.BDH(config!$G$4,Q$1,$A794,$A794)),_xll.BDH(config!$G$4,Q$1,$A794,$A794),_xll.BDH(config!$G$5,Q$1,$A794,$A794))))</f>
        <v/>
      </c>
      <c r="R794" s="8" t="str">
        <f>IF($A794="","",IF(ISNUMBER(FIND("IMPVOL",R$1)),_xll.BDH(config!$G$4,R$1,WORKDAY($A794,-1,config_Holiday_Calendar_US),WORKDAY($A794,-1,config_Holiday_Calendar_US)),IF(ISNUMBER(_xll.BDH(config!$G$4,R$1,$A794,$A794)),_xll.BDH(config!$G$4,R$1,$A794,$A794),_xll.BDH(config!$G$5,R$1,$A794,$A794))))</f>
        <v/>
      </c>
      <c r="S794" s="8" t="str">
        <f>IF($A794="","",IF(ISNUMBER(FIND("IMPVOL",S$1)),_xll.BDH(config!$G$4,S$1,WORKDAY($A794,-1,config_Holiday_Calendar_US),WORKDAY($A794,-1,config_Holiday_Calendar_US)),IF(ISNUMBER(_xll.BDH(config!$G$4,S$1,$A794,$A794)),_xll.BDH(config!$G$4,S$1,$A794,$A794),_xll.BDH(config!$G$5,S$1,$A794,$A794))))</f>
        <v/>
      </c>
      <c r="T794" s="8" t="str">
        <f>IF($A794="","",IF(ISNUMBER(FIND("IMPVOL",T$1)),_xll.BDH(config!$G$4,T$1,WORKDAY($A794,-1,config_Holiday_Calendar_US),WORKDAY($A794,-1,config_Holiday_Calendar_US)),IF(ISNUMBER(_xll.BDH(config!$G$4,T$1,$A794,$A794)),_xll.BDH(config!$G$4,T$1,$A794,$A794),_xll.BDH(config!$G$5,T$1,$A794,$A794))))</f>
        <v/>
      </c>
      <c r="U794" s="8" t="str">
        <f>IF($A794="","",IF(ISNUMBER(FIND("IMPVOL",U$1)),_xll.BDH(config!$G$4,U$1,WORKDAY($A794,-1,config_Holiday_Calendar_US),WORKDAY($A794,-1,config_Holiday_Calendar_US)),IF(ISNUMBER(_xll.BDH(config!$G$4,U$1,$A794,$A794)),_xll.BDH(config!$G$4,U$1,$A794,$A794),_xll.BDH(config!$G$5,U$1,$A794,$A794))))</f>
        <v/>
      </c>
      <c r="V794" s="8" t="str">
        <f>IF($A794="","",IF(ISNUMBER(FIND("IMPVOL",V$1)),_xll.BDH(config!$G$4,V$1,WORKDAY($A794,-1,config_Holiday_Calendar_US),WORKDAY($A794,-1,config_Holiday_Calendar_US)),IF(ISNUMBER(_xll.BDH(config!$G$4,V$1,$A794,$A794)),_xll.BDH(config!$G$4,V$1,$A794,$A794),_xll.BDH(config!$G$5,V$1,$A794,$A794))))</f>
        <v/>
      </c>
      <c r="W794" s="8" t="str">
        <f>IF($A794="","",IF(ISNUMBER(FIND("IMPVOL",W$1)),_xll.BDH(config!$G$4,W$1,WORKDAY($A794,-1,config_Holiday_Calendar_US),WORKDAY($A794,-1,config_Holiday_Calendar_US)),IF(ISNUMBER(_xll.BDH(config!$G$4,W$1,$A794,$A794)),_xll.BDH(config!$G$4,W$1,$A794,$A794),_xll.BDH(config!$G$5,W$1,$A794,$A794))))</f>
        <v/>
      </c>
    </row>
    <row r="795" spans="1:23" x14ac:dyDescent="0.2">
      <c r="A795" s="9" t="str">
        <f>IF(A794="","",IF(WORKDAY(A794,-1,config_Holiday_Calendar_US)&lt;config!$I$10,"",WORKDAY(A794,-1,config_Holiday_Calendar_US)))</f>
        <v/>
      </c>
      <c r="B795" s="8" t="str">
        <f t="shared" si="12"/>
        <v/>
      </c>
      <c r="C795" s="8" t="str">
        <f>IF(A795="","",_xll.BDH(config!$H$4,C$1,$A795,$A795))</f>
        <v/>
      </c>
      <c r="D795" s="8" t="str">
        <f>IF($A795="","",_xll.BDH(config!$H$4,D$1,$A795,$A795))</f>
        <v/>
      </c>
      <c r="E795" s="8" t="str">
        <f>IF($A795="","",IF(ISNUMBER(FIND("IMPVOL",E$1)),_xll.BDH(config!$G$4,E$1,WORKDAY($A795,-1,config_Holiday_Calendar_US),WORKDAY($A795,-1,config_Holiday_Calendar_US)),IF(ISNUMBER(_xll.BDH(config!$G$4,E$1,$A795,$A795)),_xll.BDH(config!$G$4,E$1,$A795,$A795),_xll.BDH(config!$G$5,E$1,$A795,$A795))))</f>
        <v/>
      </c>
      <c r="F795" s="8" t="str">
        <f>IF($A795="","",IF(ISNUMBER(FIND("IMPVOL",F$1)),_xll.BDH(config!$G$4,F$1,WORKDAY($A795,-1,config_Holiday_Calendar_US),WORKDAY($A795,-1,config_Holiday_Calendar_US)),IF(ISNUMBER(_xll.BDH(config!$G$4,F$1,$A795,$A795)),_xll.BDH(config!$G$4,F$1,$A795,$A795),_xll.BDH(config!$G$5,F$1,$A795,$A795))))</f>
        <v/>
      </c>
      <c r="G795" s="8" t="str">
        <f>IF($A795="","",IF(ISNUMBER(FIND("IMPVOL",G$1)),_xll.BDH(config!$G$4,G$1,WORKDAY($A795,-1,config_Holiday_Calendar_US),WORKDAY($A795,-1,config_Holiday_Calendar_US)),IF(ISNUMBER(_xll.BDH(config!$G$4,G$1,$A795,$A795)),_xll.BDH(config!$G$4,G$1,$A795,$A795),_xll.BDH(config!$G$5,G$1,$A795,$A795))))</f>
        <v/>
      </c>
      <c r="H795" s="8" t="str">
        <f>IF($A795="","",IF(ISNUMBER(FIND("IMPVOL",H$1)),_xll.BDH(config!$G$4,H$1,WORKDAY($A795,-1,config_Holiday_Calendar_US),WORKDAY($A795,-1,config_Holiday_Calendar_US)),IF(ISNUMBER(_xll.BDH(config!$G$4,H$1,$A795,$A795)),_xll.BDH(config!$G$4,H$1,$A795,$A795),_xll.BDH(config!$G$5,H$1,$A795,$A795))))</f>
        <v/>
      </c>
      <c r="I795" s="8" t="str">
        <f>IF($A795="","",IF(ISNUMBER(FIND("IMPVOL",I$1)),_xll.BDH(config!$G$4,I$1,WORKDAY($A795,-1,config_Holiday_Calendar_US),WORKDAY($A795,-1,config_Holiday_Calendar_US)),IF(ISNUMBER(_xll.BDH(config!$G$4,I$1,$A795,$A795)),_xll.BDH(config!$G$4,I$1,$A795,$A795),_xll.BDH(config!$G$5,I$1,$A795,$A795))))</f>
        <v/>
      </c>
      <c r="J795" s="8" t="str">
        <f>IF($A795="","",IF(ISNUMBER(FIND("IMPVOL",J$1)),_xll.BDH(config!$G$4,J$1,WORKDAY($A795,-1,config_Holiday_Calendar_US),WORKDAY($A795,-1,config_Holiday_Calendar_US)),IF(ISNUMBER(_xll.BDH(config!$G$4,J$1,$A795,$A795)),_xll.BDH(config!$G$4,J$1,$A795,$A795),_xll.BDH(config!$G$5,J$1,$A795,$A795))))</f>
        <v/>
      </c>
      <c r="K795" s="8" t="str">
        <f>IF($A795="","",IF(ISNUMBER(FIND("IMPVOL",K$1)),_xll.BDH(config!$G$4,K$1,WORKDAY($A795,-1,config_Holiday_Calendar_US),WORKDAY($A795,-1,config_Holiday_Calendar_US)),IF(ISNUMBER(_xll.BDH(config!$G$4,K$1,$A795,$A795)),_xll.BDH(config!$G$4,K$1,$A795,$A795),_xll.BDH(config!$G$5,K$1,$A795,$A795))))</f>
        <v/>
      </c>
      <c r="L795" s="8" t="str">
        <f>IF($A795="","",IF(ISNUMBER(FIND("IMPVOL",L$1)),_xll.BDH(config!$G$4,L$1,WORKDAY($A795,-1,config_Holiday_Calendar_US),WORKDAY($A795,-1,config_Holiday_Calendar_US)),IF(ISNUMBER(_xll.BDH(config!$G$4,L$1,$A795,$A795)),_xll.BDH(config!$G$4,L$1,$A795,$A795),_xll.BDH(config!$G$5,L$1,$A795,$A795))))</f>
        <v/>
      </c>
      <c r="M795" s="8" t="str">
        <f>IF($A795="","",IF(ISNUMBER(FIND("IMPVOL",M$1)),_xll.BDH(config!$G$4,M$1,WORKDAY($A795,-1,config_Holiday_Calendar_US),WORKDAY($A795,-1,config_Holiday_Calendar_US)),IF(ISNUMBER(_xll.BDH(config!$G$4,M$1,$A795,$A795)),_xll.BDH(config!$G$4,M$1,$A795,$A795),_xll.BDH(config!$G$5,M$1,$A795,$A795))))</f>
        <v/>
      </c>
      <c r="N795" s="8" t="str">
        <f>IF($A795="","",IF(ISNUMBER(FIND("IMPVOL",N$1)),_xll.BDH(config!$G$4,N$1,WORKDAY($A795,-1,config_Holiday_Calendar_US),WORKDAY($A795,-1,config_Holiday_Calendar_US)),IF(ISNUMBER(_xll.BDH(config!$G$4,N$1,$A795,$A795)),_xll.BDH(config!$G$4,N$1,$A795,$A795),_xll.BDH(config!$G$5,N$1,$A795,$A795))))</f>
        <v/>
      </c>
      <c r="O795" s="8" t="str">
        <f>IF($A795="","",IF(ISNUMBER(FIND("IMPVOL",O$1)),_xll.BDH(config!$G$4,O$1,WORKDAY($A795,-1,config_Holiday_Calendar_US),WORKDAY($A795,-1,config_Holiday_Calendar_US)),IF(ISNUMBER(_xll.BDH(config!$G$4,O$1,$A795,$A795)),_xll.BDH(config!$G$4,O$1,$A795,$A795),_xll.BDH(config!$G$5,O$1,$A795,$A795))))</f>
        <v/>
      </c>
      <c r="P795" s="8" t="str">
        <f>IF($A795="","",IF(ISNUMBER(FIND("IMPVOL",P$1)),_xll.BDH(config!$G$4,P$1,WORKDAY($A795,-1,config_Holiday_Calendar_US),WORKDAY($A795,-1,config_Holiday_Calendar_US)),IF(ISNUMBER(_xll.BDH(config!$G$4,P$1,$A795,$A795)),_xll.BDH(config!$G$4,P$1,$A795,$A795),_xll.BDH(config!$G$5,P$1,$A795,$A795))))</f>
        <v/>
      </c>
      <c r="Q795" s="8" t="str">
        <f>IF($A795="","",IF(ISNUMBER(FIND("IMPVOL",Q$1)),_xll.BDH(config!$G$4,Q$1,WORKDAY($A795,-1,config_Holiday_Calendar_US),WORKDAY($A795,-1,config_Holiday_Calendar_US)),IF(ISNUMBER(_xll.BDH(config!$G$4,Q$1,$A795,$A795)),_xll.BDH(config!$G$4,Q$1,$A795,$A795),_xll.BDH(config!$G$5,Q$1,$A795,$A795))))</f>
        <v/>
      </c>
      <c r="R795" s="8" t="str">
        <f>IF($A795="","",IF(ISNUMBER(FIND("IMPVOL",R$1)),_xll.BDH(config!$G$4,R$1,WORKDAY($A795,-1,config_Holiday_Calendar_US),WORKDAY($A795,-1,config_Holiday_Calendar_US)),IF(ISNUMBER(_xll.BDH(config!$G$4,R$1,$A795,$A795)),_xll.BDH(config!$G$4,R$1,$A795,$A795),_xll.BDH(config!$G$5,R$1,$A795,$A795))))</f>
        <v/>
      </c>
      <c r="S795" s="8" t="str">
        <f>IF($A795="","",IF(ISNUMBER(FIND("IMPVOL",S$1)),_xll.BDH(config!$G$4,S$1,WORKDAY($A795,-1,config_Holiday_Calendar_US),WORKDAY($A795,-1,config_Holiday_Calendar_US)),IF(ISNUMBER(_xll.BDH(config!$G$4,S$1,$A795,$A795)),_xll.BDH(config!$G$4,S$1,$A795,$A795),_xll.BDH(config!$G$5,S$1,$A795,$A795))))</f>
        <v/>
      </c>
      <c r="T795" s="8" t="str">
        <f>IF($A795="","",IF(ISNUMBER(FIND("IMPVOL",T$1)),_xll.BDH(config!$G$4,T$1,WORKDAY($A795,-1,config_Holiday_Calendar_US),WORKDAY($A795,-1,config_Holiday_Calendar_US)),IF(ISNUMBER(_xll.BDH(config!$G$4,T$1,$A795,$A795)),_xll.BDH(config!$G$4,T$1,$A795,$A795),_xll.BDH(config!$G$5,T$1,$A795,$A795))))</f>
        <v/>
      </c>
      <c r="U795" s="8" t="str">
        <f>IF($A795="","",IF(ISNUMBER(FIND("IMPVOL",U$1)),_xll.BDH(config!$G$4,U$1,WORKDAY($A795,-1,config_Holiday_Calendar_US),WORKDAY($A795,-1,config_Holiday_Calendar_US)),IF(ISNUMBER(_xll.BDH(config!$G$4,U$1,$A795,$A795)),_xll.BDH(config!$G$4,U$1,$A795,$A795),_xll.BDH(config!$G$5,U$1,$A795,$A795))))</f>
        <v/>
      </c>
      <c r="V795" s="8" t="str">
        <f>IF($A795="","",IF(ISNUMBER(FIND("IMPVOL",V$1)),_xll.BDH(config!$G$4,V$1,WORKDAY($A795,-1,config_Holiday_Calendar_US),WORKDAY($A795,-1,config_Holiday_Calendar_US)),IF(ISNUMBER(_xll.BDH(config!$G$4,V$1,$A795,$A795)),_xll.BDH(config!$G$4,V$1,$A795,$A795),_xll.BDH(config!$G$5,V$1,$A795,$A795))))</f>
        <v/>
      </c>
      <c r="W795" s="8" t="str">
        <f>IF($A795="","",IF(ISNUMBER(FIND("IMPVOL",W$1)),_xll.BDH(config!$G$4,W$1,WORKDAY($A795,-1,config_Holiday_Calendar_US),WORKDAY($A795,-1,config_Holiday_Calendar_US)),IF(ISNUMBER(_xll.BDH(config!$G$4,W$1,$A795,$A795)),_xll.BDH(config!$G$4,W$1,$A795,$A795),_xll.BDH(config!$G$5,W$1,$A795,$A795))))</f>
        <v/>
      </c>
    </row>
    <row r="796" spans="1:23" x14ac:dyDescent="0.2">
      <c r="A796" s="9" t="str">
        <f>IF(A795="","",IF(WORKDAY(A795,-1,config_Holiday_Calendar_US)&lt;config!$I$10,"",WORKDAY(A795,-1,config_Holiday_Calendar_US)))</f>
        <v/>
      </c>
      <c r="B796" s="8" t="str">
        <f t="shared" si="12"/>
        <v/>
      </c>
      <c r="C796" s="8" t="str">
        <f>IF(A796="","",_xll.BDH(config!$H$4,C$1,$A796,$A796))</f>
        <v/>
      </c>
      <c r="D796" s="8" t="str">
        <f>IF($A796="","",_xll.BDH(config!$H$4,D$1,$A796,$A796))</f>
        <v/>
      </c>
      <c r="E796" s="8" t="str">
        <f>IF($A796="","",IF(ISNUMBER(FIND("IMPVOL",E$1)),_xll.BDH(config!$G$4,E$1,WORKDAY($A796,-1,config_Holiday_Calendar_US),WORKDAY($A796,-1,config_Holiday_Calendar_US)),IF(ISNUMBER(_xll.BDH(config!$G$4,E$1,$A796,$A796)),_xll.BDH(config!$G$4,E$1,$A796,$A796),_xll.BDH(config!$G$5,E$1,$A796,$A796))))</f>
        <v/>
      </c>
      <c r="F796" s="8" t="str">
        <f>IF($A796="","",IF(ISNUMBER(FIND("IMPVOL",F$1)),_xll.BDH(config!$G$4,F$1,WORKDAY($A796,-1,config_Holiday_Calendar_US),WORKDAY($A796,-1,config_Holiday_Calendar_US)),IF(ISNUMBER(_xll.BDH(config!$G$4,F$1,$A796,$A796)),_xll.BDH(config!$G$4,F$1,$A796,$A796),_xll.BDH(config!$G$5,F$1,$A796,$A796))))</f>
        <v/>
      </c>
      <c r="G796" s="8" t="str">
        <f>IF($A796="","",IF(ISNUMBER(FIND("IMPVOL",G$1)),_xll.BDH(config!$G$4,G$1,WORKDAY($A796,-1,config_Holiday_Calendar_US),WORKDAY($A796,-1,config_Holiday_Calendar_US)),IF(ISNUMBER(_xll.BDH(config!$G$4,G$1,$A796,$A796)),_xll.BDH(config!$G$4,G$1,$A796,$A796),_xll.BDH(config!$G$5,G$1,$A796,$A796))))</f>
        <v/>
      </c>
      <c r="H796" s="8" t="str">
        <f>IF($A796="","",IF(ISNUMBER(FIND("IMPVOL",H$1)),_xll.BDH(config!$G$4,H$1,WORKDAY($A796,-1,config_Holiday_Calendar_US),WORKDAY($A796,-1,config_Holiday_Calendar_US)),IF(ISNUMBER(_xll.BDH(config!$G$4,H$1,$A796,$A796)),_xll.BDH(config!$G$4,H$1,$A796,$A796),_xll.BDH(config!$G$5,H$1,$A796,$A796))))</f>
        <v/>
      </c>
      <c r="I796" s="8" t="str">
        <f>IF($A796="","",IF(ISNUMBER(FIND("IMPVOL",I$1)),_xll.BDH(config!$G$4,I$1,WORKDAY($A796,-1,config_Holiday_Calendar_US),WORKDAY($A796,-1,config_Holiday_Calendar_US)),IF(ISNUMBER(_xll.BDH(config!$G$4,I$1,$A796,$A796)),_xll.BDH(config!$G$4,I$1,$A796,$A796),_xll.BDH(config!$G$5,I$1,$A796,$A796))))</f>
        <v/>
      </c>
      <c r="J796" s="8" t="str">
        <f>IF($A796="","",IF(ISNUMBER(FIND("IMPVOL",J$1)),_xll.BDH(config!$G$4,J$1,WORKDAY($A796,-1,config_Holiday_Calendar_US),WORKDAY($A796,-1,config_Holiday_Calendar_US)),IF(ISNUMBER(_xll.BDH(config!$G$4,J$1,$A796,$A796)),_xll.BDH(config!$G$4,J$1,$A796,$A796),_xll.BDH(config!$G$5,J$1,$A796,$A796))))</f>
        <v/>
      </c>
      <c r="K796" s="8" t="str">
        <f>IF($A796="","",IF(ISNUMBER(FIND("IMPVOL",K$1)),_xll.BDH(config!$G$4,K$1,WORKDAY($A796,-1,config_Holiday_Calendar_US),WORKDAY($A796,-1,config_Holiday_Calendar_US)),IF(ISNUMBER(_xll.BDH(config!$G$4,K$1,$A796,$A796)),_xll.BDH(config!$G$4,K$1,$A796,$A796),_xll.BDH(config!$G$5,K$1,$A796,$A796))))</f>
        <v/>
      </c>
      <c r="L796" s="8" t="str">
        <f>IF($A796="","",IF(ISNUMBER(FIND("IMPVOL",L$1)),_xll.BDH(config!$G$4,L$1,WORKDAY($A796,-1,config_Holiday_Calendar_US),WORKDAY($A796,-1,config_Holiday_Calendar_US)),IF(ISNUMBER(_xll.BDH(config!$G$4,L$1,$A796,$A796)),_xll.BDH(config!$G$4,L$1,$A796,$A796),_xll.BDH(config!$G$5,L$1,$A796,$A796))))</f>
        <v/>
      </c>
      <c r="M796" s="8" t="str">
        <f>IF($A796="","",IF(ISNUMBER(FIND("IMPVOL",M$1)),_xll.BDH(config!$G$4,M$1,WORKDAY($A796,-1,config_Holiday_Calendar_US),WORKDAY($A796,-1,config_Holiday_Calendar_US)),IF(ISNUMBER(_xll.BDH(config!$G$4,M$1,$A796,$A796)),_xll.BDH(config!$G$4,M$1,$A796,$A796),_xll.BDH(config!$G$5,M$1,$A796,$A796))))</f>
        <v/>
      </c>
      <c r="N796" s="8" t="str">
        <f>IF($A796="","",IF(ISNUMBER(FIND("IMPVOL",N$1)),_xll.BDH(config!$G$4,N$1,WORKDAY($A796,-1,config_Holiday_Calendar_US),WORKDAY($A796,-1,config_Holiday_Calendar_US)),IF(ISNUMBER(_xll.BDH(config!$G$4,N$1,$A796,$A796)),_xll.BDH(config!$G$4,N$1,$A796,$A796),_xll.BDH(config!$G$5,N$1,$A796,$A796))))</f>
        <v/>
      </c>
      <c r="O796" s="8" t="str">
        <f>IF($A796="","",IF(ISNUMBER(FIND("IMPVOL",O$1)),_xll.BDH(config!$G$4,O$1,WORKDAY($A796,-1,config_Holiday_Calendar_US),WORKDAY($A796,-1,config_Holiday_Calendar_US)),IF(ISNUMBER(_xll.BDH(config!$G$4,O$1,$A796,$A796)),_xll.BDH(config!$G$4,O$1,$A796,$A796),_xll.BDH(config!$G$5,O$1,$A796,$A796))))</f>
        <v/>
      </c>
      <c r="P796" s="8" t="str">
        <f>IF($A796="","",IF(ISNUMBER(FIND("IMPVOL",P$1)),_xll.BDH(config!$G$4,P$1,WORKDAY($A796,-1,config_Holiday_Calendar_US),WORKDAY($A796,-1,config_Holiday_Calendar_US)),IF(ISNUMBER(_xll.BDH(config!$G$4,P$1,$A796,$A796)),_xll.BDH(config!$G$4,P$1,$A796,$A796),_xll.BDH(config!$G$5,P$1,$A796,$A796))))</f>
        <v/>
      </c>
      <c r="Q796" s="8" t="str">
        <f>IF($A796="","",IF(ISNUMBER(FIND("IMPVOL",Q$1)),_xll.BDH(config!$G$4,Q$1,WORKDAY($A796,-1,config_Holiday_Calendar_US),WORKDAY($A796,-1,config_Holiday_Calendar_US)),IF(ISNUMBER(_xll.BDH(config!$G$4,Q$1,$A796,$A796)),_xll.BDH(config!$G$4,Q$1,$A796,$A796),_xll.BDH(config!$G$5,Q$1,$A796,$A796))))</f>
        <v/>
      </c>
      <c r="R796" s="8" t="str">
        <f>IF($A796="","",IF(ISNUMBER(FIND("IMPVOL",R$1)),_xll.BDH(config!$G$4,R$1,WORKDAY($A796,-1,config_Holiday_Calendar_US),WORKDAY($A796,-1,config_Holiday_Calendar_US)),IF(ISNUMBER(_xll.BDH(config!$G$4,R$1,$A796,$A796)),_xll.BDH(config!$G$4,R$1,$A796,$A796),_xll.BDH(config!$G$5,R$1,$A796,$A796))))</f>
        <v/>
      </c>
      <c r="S796" s="8" t="str">
        <f>IF($A796="","",IF(ISNUMBER(FIND("IMPVOL",S$1)),_xll.BDH(config!$G$4,S$1,WORKDAY($A796,-1,config_Holiday_Calendar_US),WORKDAY($A796,-1,config_Holiday_Calendar_US)),IF(ISNUMBER(_xll.BDH(config!$G$4,S$1,$A796,$A796)),_xll.BDH(config!$G$4,S$1,$A796,$A796),_xll.BDH(config!$G$5,S$1,$A796,$A796))))</f>
        <v/>
      </c>
      <c r="T796" s="8" t="str">
        <f>IF($A796="","",IF(ISNUMBER(FIND("IMPVOL",T$1)),_xll.BDH(config!$G$4,T$1,WORKDAY($A796,-1,config_Holiday_Calendar_US),WORKDAY($A796,-1,config_Holiday_Calendar_US)),IF(ISNUMBER(_xll.BDH(config!$G$4,T$1,$A796,$A796)),_xll.BDH(config!$G$4,T$1,$A796,$A796),_xll.BDH(config!$G$5,T$1,$A796,$A796))))</f>
        <v/>
      </c>
      <c r="U796" s="8" t="str">
        <f>IF($A796="","",IF(ISNUMBER(FIND("IMPVOL",U$1)),_xll.BDH(config!$G$4,U$1,WORKDAY($A796,-1,config_Holiday_Calendar_US),WORKDAY($A796,-1,config_Holiday_Calendar_US)),IF(ISNUMBER(_xll.BDH(config!$G$4,U$1,$A796,$A796)),_xll.BDH(config!$G$4,U$1,$A796,$A796),_xll.BDH(config!$G$5,U$1,$A796,$A796))))</f>
        <v/>
      </c>
      <c r="V796" s="8" t="str">
        <f>IF($A796="","",IF(ISNUMBER(FIND("IMPVOL",V$1)),_xll.BDH(config!$G$4,V$1,WORKDAY($A796,-1,config_Holiday_Calendar_US),WORKDAY($A796,-1,config_Holiday_Calendar_US)),IF(ISNUMBER(_xll.BDH(config!$G$4,V$1,$A796,$A796)),_xll.BDH(config!$G$4,V$1,$A796,$A796),_xll.BDH(config!$G$5,V$1,$A796,$A796))))</f>
        <v/>
      </c>
      <c r="W796" s="8" t="str">
        <f>IF($A796="","",IF(ISNUMBER(FIND("IMPVOL",W$1)),_xll.BDH(config!$G$4,W$1,WORKDAY($A796,-1,config_Holiday_Calendar_US),WORKDAY($A796,-1,config_Holiday_Calendar_US)),IF(ISNUMBER(_xll.BDH(config!$G$4,W$1,$A796,$A796)),_xll.BDH(config!$G$4,W$1,$A796,$A796),_xll.BDH(config!$G$5,W$1,$A796,$A796))))</f>
        <v/>
      </c>
    </row>
    <row r="797" spans="1:23" x14ac:dyDescent="0.2">
      <c r="A797" s="9" t="str">
        <f>IF(A796="","",IF(WORKDAY(A796,-1,config_Holiday_Calendar_US)&lt;config!$I$10,"",WORKDAY(A796,-1,config_Holiday_Calendar_US)))</f>
        <v/>
      </c>
      <c r="B797" s="8" t="str">
        <f t="shared" si="12"/>
        <v/>
      </c>
      <c r="C797" s="8" t="str">
        <f>IF(A797="","",_xll.BDH(config!$H$4,C$1,$A797,$A797))</f>
        <v/>
      </c>
      <c r="D797" s="8" t="str">
        <f>IF($A797="","",_xll.BDH(config!$H$4,D$1,$A797,$A797))</f>
        <v/>
      </c>
      <c r="E797" s="8" t="str">
        <f>IF($A797="","",IF(ISNUMBER(FIND("IMPVOL",E$1)),_xll.BDH(config!$G$4,E$1,WORKDAY($A797,-1,config_Holiday_Calendar_US),WORKDAY($A797,-1,config_Holiday_Calendar_US)),IF(ISNUMBER(_xll.BDH(config!$G$4,E$1,$A797,$A797)),_xll.BDH(config!$G$4,E$1,$A797,$A797),_xll.BDH(config!$G$5,E$1,$A797,$A797))))</f>
        <v/>
      </c>
      <c r="F797" s="8" t="str">
        <f>IF($A797="","",IF(ISNUMBER(FIND("IMPVOL",F$1)),_xll.BDH(config!$G$4,F$1,WORKDAY($A797,-1,config_Holiday_Calendar_US),WORKDAY($A797,-1,config_Holiday_Calendar_US)),IF(ISNUMBER(_xll.BDH(config!$G$4,F$1,$A797,$A797)),_xll.BDH(config!$G$4,F$1,$A797,$A797),_xll.BDH(config!$G$5,F$1,$A797,$A797))))</f>
        <v/>
      </c>
      <c r="G797" s="8" t="str">
        <f>IF($A797="","",IF(ISNUMBER(FIND("IMPVOL",G$1)),_xll.BDH(config!$G$4,G$1,WORKDAY($A797,-1,config_Holiday_Calendar_US),WORKDAY($A797,-1,config_Holiday_Calendar_US)),IF(ISNUMBER(_xll.BDH(config!$G$4,G$1,$A797,$A797)),_xll.BDH(config!$G$4,G$1,$A797,$A797),_xll.BDH(config!$G$5,G$1,$A797,$A797))))</f>
        <v/>
      </c>
      <c r="H797" s="8" t="str">
        <f>IF($A797="","",IF(ISNUMBER(FIND("IMPVOL",H$1)),_xll.BDH(config!$G$4,H$1,WORKDAY($A797,-1,config_Holiday_Calendar_US),WORKDAY($A797,-1,config_Holiday_Calendar_US)),IF(ISNUMBER(_xll.BDH(config!$G$4,H$1,$A797,$A797)),_xll.BDH(config!$G$4,H$1,$A797,$A797),_xll.BDH(config!$G$5,H$1,$A797,$A797))))</f>
        <v/>
      </c>
      <c r="I797" s="8" t="str">
        <f>IF($A797="","",IF(ISNUMBER(FIND("IMPVOL",I$1)),_xll.BDH(config!$G$4,I$1,WORKDAY($A797,-1,config_Holiday_Calendar_US),WORKDAY($A797,-1,config_Holiday_Calendar_US)),IF(ISNUMBER(_xll.BDH(config!$G$4,I$1,$A797,$A797)),_xll.BDH(config!$G$4,I$1,$A797,$A797),_xll.BDH(config!$G$5,I$1,$A797,$A797))))</f>
        <v/>
      </c>
      <c r="J797" s="8" t="str">
        <f>IF($A797="","",IF(ISNUMBER(FIND("IMPVOL",J$1)),_xll.BDH(config!$G$4,J$1,WORKDAY($A797,-1,config_Holiday_Calendar_US),WORKDAY($A797,-1,config_Holiday_Calendar_US)),IF(ISNUMBER(_xll.BDH(config!$G$4,J$1,$A797,$A797)),_xll.BDH(config!$G$4,J$1,$A797,$A797),_xll.BDH(config!$G$5,J$1,$A797,$A797))))</f>
        <v/>
      </c>
      <c r="K797" s="8" t="str">
        <f>IF($A797="","",IF(ISNUMBER(FIND("IMPVOL",K$1)),_xll.BDH(config!$G$4,K$1,WORKDAY($A797,-1,config_Holiday_Calendar_US),WORKDAY($A797,-1,config_Holiday_Calendar_US)),IF(ISNUMBER(_xll.BDH(config!$G$4,K$1,$A797,$A797)),_xll.BDH(config!$G$4,K$1,$A797,$A797),_xll.BDH(config!$G$5,K$1,$A797,$A797))))</f>
        <v/>
      </c>
      <c r="L797" s="8" t="str">
        <f>IF($A797="","",IF(ISNUMBER(FIND("IMPVOL",L$1)),_xll.BDH(config!$G$4,L$1,WORKDAY($A797,-1,config_Holiday_Calendar_US),WORKDAY($A797,-1,config_Holiday_Calendar_US)),IF(ISNUMBER(_xll.BDH(config!$G$4,L$1,$A797,$A797)),_xll.BDH(config!$G$4,L$1,$A797,$A797),_xll.BDH(config!$G$5,L$1,$A797,$A797))))</f>
        <v/>
      </c>
      <c r="M797" s="8" t="str">
        <f>IF($A797="","",IF(ISNUMBER(FIND("IMPVOL",M$1)),_xll.BDH(config!$G$4,M$1,WORKDAY($A797,-1,config_Holiday_Calendar_US),WORKDAY($A797,-1,config_Holiday_Calendar_US)),IF(ISNUMBER(_xll.BDH(config!$G$4,M$1,$A797,$A797)),_xll.BDH(config!$G$4,M$1,$A797,$A797),_xll.BDH(config!$G$5,M$1,$A797,$A797))))</f>
        <v/>
      </c>
      <c r="N797" s="8" t="str">
        <f>IF($A797="","",IF(ISNUMBER(FIND("IMPVOL",N$1)),_xll.BDH(config!$G$4,N$1,WORKDAY($A797,-1,config_Holiday_Calendar_US),WORKDAY($A797,-1,config_Holiday_Calendar_US)),IF(ISNUMBER(_xll.BDH(config!$G$4,N$1,$A797,$A797)),_xll.BDH(config!$G$4,N$1,$A797,$A797),_xll.BDH(config!$G$5,N$1,$A797,$A797))))</f>
        <v/>
      </c>
      <c r="O797" s="8" t="str">
        <f>IF($A797="","",IF(ISNUMBER(FIND("IMPVOL",O$1)),_xll.BDH(config!$G$4,O$1,WORKDAY($A797,-1,config_Holiday_Calendar_US),WORKDAY($A797,-1,config_Holiday_Calendar_US)),IF(ISNUMBER(_xll.BDH(config!$G$4,O$1,$A797,$A797)),_xll.BDH(config!$G$4,O$1,$A797,$A797),_xll.BDH(config!$G$5,O$1,$A797,$A797))))</f>
        <v/>
      </c>
      <c r="P797" s="8" t="str">
        <f>IF($A797="","",IF(ISNUMBER(FIND("IMPVOL",P$1)),_xll.BDH(config!$G$4,P$1,WORKDAY($A797,-1,config_Holiday_Calendar_US),WORKDAY($A797,-1,config_Holiday_Calendar_US)),IF(ISNUMBER(_xll.BDH(config!$G$4,P$1,$A797,$A797)),_xll.BDH(config!$G$4,P$1,$A797,$A797),_xll.BDH(config!$G$5,P$1,$A797,$A797))))</f>
        <v/>
      </c>
      <c r="Q797" s="8" t="str">
        <f>IF($A797="","",IF(ISNUMBER(FIND("IMPVOL",Q$1)),_xll.BDH(config!$G$4,Q$1,WORKDAY($A797,-1,config_Holiday_Calendar_US),WORKDAY($A797,-1,config_Holiday_Calendar_US)),IF(ISNUMBER(_xll.BDH(config!$G$4,Q$1,$A797,$A797)),_xll.BDH(config!$G$4,Q$1,$A797,$A797),_xll.BDH(config!$G$5,Q$1,$A797,$A797))))</f>
        <v/>
      </c>
      <c r="R797" s="8" t="str">
        <f>IF($A797="","",IF(ISNUMBER(FIND("IMPVOL",R$1)),_xll.BDH(config!$G$4,R$1,WORKDAY($A797,-1,config_Holiday_Calendar_US),WORKDAY($A797,-1,config_Holiday_Calendar_US)),IF(ISNUMBER(_xll.BDH(config!$G$4,R$1,$A797,$A797)),_xll.BDH(config!$G$4,R$1,$A797,$A797),_xll.BDH(config!$G$5,R$1,$A797,$A797))))</f>
        <v/>
      </c>
      <c r="S797" s="8" t="str">
        <f>IF($A797="","",IF(ISNUMBER(FIND("IMPVOL",S$1)),_xll.BDH(config!$G$4,S$1,WORKDAY($A797,-1,config_Holiday_Calendar_US),WORKDAY($A797,-1,config_Holiday_Calendar_US)),IF(ISNUMBER(_xll.BDH(config!$G$4,S$1,$A797,$A797)),_xll.BDH(config!$G$4,S$1,$A797,$A797),_xll.BDH(config!$G$5,S$1,$A797,$A797))))</f>
        <v/>
      </c>
      <c r="T797" s="8" t="str">
        <f>IF($A797="","",IF(ISNUMBER(FIND("IMPVOL",T$1)),_xll.BDH(config!$G$4,T$1,WORKDAY($A797,-1,config_Holiday_Calendar_US),WORKDAY($A797,-1,config_Holiday_Calendar_US)),IF(ISNUMBER(_xll.BDH(config!$G$4,T$1,$A797,$A797)),_xll.BDH(config!$G$4,T$1,$A797,$A797),_xll.BDH(config!$G$5,T$1,$A797,$A797))))</f>
        <v/>
      </c>
      <c r="U797" s="8" t="str">
        <f>IF($A797="","",IF(ISNUMBER(FIND("IMPVOL",U$1)),_xll.BDH(config!$G$4,U$1,WORKDAY($A797,-1,config_Holiday_Calendar_US),WORKDAY($A797,-1,config_Holiday_Calendar_US)),IF(ISNUMBER(_xll.BDH(config!$G$4,U$1,$A797,$A797)),_xll.BDH(config!$G$4,U$1,$A797,$A797),_xll.BDH(config!$G$5,U$1,$A797,$A797))))</f>
        <v/>
      </c>
      <c r="V797" s="8" t="str">
        <f>IF($A797="","",IF(ISNUMBER(FIND("IMPVOL",V$1)),_xll.BDH(config!$G$4,V$1,WORKDAY($A797,-1,config_Holiday_Calendar_US),WORKDAY($A797,-1,config_Holiday_Calendar_US)),IF(ISNUMBER(_xll.BDH(config!$G$4,V$1,$A797,$A797)),_xll.BDH(config!$G$4,V$1,$A797,$A797),_xll.BDH(config!$G$5,V$1,$A797,$A797))))</f>
        <v/>
      </c>
      <c r="W797" s="8" t="str">
        <f>IF($A797="","",IF(ISNUMBER(FIND("IMPVOL",W$1)),_xll.BDH(config!$G$4,W$1,WORKDAY($A797,-1,config_Holiday_Calendar_US),WORKDAY($A797,-1,config_Holiday_Calendar_US)),IF(ISNUMBER(_xll.BDH(config!$G$4,W$1,$A797,$A797)),_xll.BDH(config!$G$4,W$1,$A797,$A797),_xll.BDH(config!$G$5,W$1,$A797,$A797))))</f>
        <v/>
      </c>
    </row>
    <row r="798" spans="1:23" x14ac:dyDescent="0.2">
      <c r="A798" s="9" t="str">
        <f>IF(A797="","",IF(WORKDAY(A797,-1,config_Holiday_Calendar_US)&lt;config!$I$10,"",WORKDAY(A797,-1,config_Holiday_Calendar_US)))</f>
        <v/>
      </c>
      <c r="B798" s="8" t="str">
        <f t="shared" si="12"/>
        <v/>
      </c>
      <c r="C798" s="8" t="str">
        <f>IF(A798="","",_xll.BDH(config!$H$4,C$1,$A798,$A798))</f>
        <v/>
      </c>
      <c r="D798" s="8" t="str">
        <f>IF($A798="","",_xll.BDH(config!$H$4,D$1,$A798,$A798))</f>
        <v/>
      </c>
      <c r="E798" s="8" t="str">
        <f>IF($A798="","",IF(ISNUMBER(FIND("IMPVOL",E$1)),_xll.BDH(config!$G$4,E$1,WORKDAY($A798,-1,config_Holiday_Calendar_US),WORKDAY($A798,-1,config_Holiday_Calendar_US)),IF(ISNUMBER(_xll.BDH(config!$G$4,E$1,$A798,$A798)),_xll.BDH(config!$G$4,E$1,$A798,$A798),_xll.BDH(config!$G$5,E$1,$A798,$A798))))</f>
        <v/>
      </c>
      <c r="F798" s="8" t="str">
        <f>IF($A798="","",IF(ISNUMBER(FIND("IMPVOL",F$1)),_xll.BDH(config!$G$4,F$1,WORKDAY($A798,-1,config_Holiday_Calendar_US),WORKDAY($A798,-1,config_Holiday_Calendar_US)),IF(ISNUMBER(_xll.BDH(config!$G$4,F$1,$A798,$A798)),_xll.BDH(config!$G$4,F$1,$A798,$A798),_xll.BDH(config!$G$5,F$1,$A798,$A798))))</f>
        <v/>
      </c>
      <c r="G798" s="8" t="str">
        <f>IF($A798="","",IF(ISNUMBER(FIND("IMPVOL",G$1)),_xll.BDH(config!$G$4,G$1,WORKDAY($A798,-1,config_Holiday_Calendar_US),WORKDAY($A798,-1,config_Holiday_Calendar_US)),IF(ISNUMBER(_xll.BDH(config!$G$4,G$1,$A798,$A798)),_xll.BDH(config!$G$4,G$1,$A798,$A798),_xll.BDH(config!$G$5,G$1,$A798,$A798))))</f>
        <v/>
      </c>
      <c r="H798" s="8" t="str">
        <f>IF($A798="","",IF(ISNUMBER(FIND("IMPVOL",H$1)),_xll.BDH(config!$G$4,H$1,WORKDAY($A798,-1,config_Holiday_Calendar_US),WORKDAY($A798,-1,config_Holiday_Calendar_US)),IF(ISNUMBER(_xll.BDH(config!$G$4,H$1,$A798,$A798)),_xll.BDH(config!$G$4,H$1,$A798,$A798),_xll.BDH(config!$G$5,H$1,$A798,$A798))))</f>
        <v/>
      </c>
      <c r="I798" s="8" t="str">
        <f>IF($A798="","",IF(ISNUMBER(FIND("IMPVOL",I$1)),_xll.BDH(config!$G$4,I$1,WORKDAY($A798,-1,config_Holiday_Calendar_US),WORKDAY($A798,-1,config_Holiday_Calendar_US)),IF(ISNUMBER(_xll.BDH(config!$G$4,I$1,$A798,$A798)),_xll.BDH(config!$G$4,I$1,$A798,$A798),_xll.BDH(config!$G$5,I$1,$A798,$A798))))</f>
        <v/>
      </c>
      <c r="J798" s="8" t="str">
        <f>IF($A798="","",IF(ISNUMBER(FIND("IMPVOL",J$1)),_xll.BDH(config!$G$4,J$1,WORKDAY($A798,-1,config_Holiday_Calendar_US),WORKDAY($A798,-1,config_Holiday_Calendar_US)),IF(ISNUMBER(_xll.BDH(config!$G$4,J$1,$A798,$A798)),_xll.BDH(config!$G$4,J$1,$A798,$A798),_xll.BDH(config!$G$5,J$1,$A798,$A798))))</f>
        <v/>
      </c>
      <c r="K798" s="8" t="str">
        <f>IF($A798="","",IF(ISNUMBER(FIND("IMPVOL",K$1)),_xll.BDH(config!$G$4,K$1,WORKDAY($A798,-1,config_Holiday_Calendar_US),WORKDAY($A798,-1,config_Holiday_Calendar_US)),IF(ISNUMBER(_xll.BDH(config!$G$4,K$1,$A798,$A798)),_xll.BDH(config!$G$4,K$1,$A798,$A798),_xll.BDH(config!$G$5,K$1,$A798,$A798))))</f>
        <v/>
      </c>
      <c r="L798" s="8" t="str">
        <f>IF($A798="","",IF(ISNUMBER(FIND("IMPVOL",L$1)),_xll.BDH(config!$G$4,L$1,WORKDAY($A798,-1,config_Holiday_Calendar_US),WORKDAY($A798,-1,config_Holiday_Calendar_US)),IF(ISNUMBER(_xll.BDH(config!$G$4,L$1,$A798,$A798)),_xll.BDH(config!$G$4,L$1,$A798,$A798),_xll.BDH(config!$G$5,L$1,$A798,$A798))))</f>
        <v/>
      </c>
      <c r="M798" s="8" t="str">
        <f>IF($A798="","",IF(ISNUMBER(FIND("IMPVOL",M$1)),_xll.BDH(config!$G$4,M$1,WORKDAY($A798,-1,config_Holiday_Calendar_US),WORKDAY($A798,-1,config_Holiday_Calendar_US)),IF(ISNUMBER(_xll.BDH(config!$G$4,M$1,$A798,$A798)),_xll.BDH(config!$G$4,M$1,$A798,$A798),_xll.BDH(config!$G$5,M$1,$A798,$A798))))</f>
        <v/>
      </c>
      <c r="N798" s="8" t="str">
        <f>IF($A798="","",IF(ISNUMBER(FIND("IMPVOL",N$1)),_xll.BDH(config!$G$4,N$1,WORKDAY($A798,-1,config_Holiday_Calendar_US),WORKDAY($A798,-1,config_Holiday_Calendar_US)),IF(ISNUMBER(_xll.BDH(config!$G$4,N$1,$A798,$A798)),_xll.BDH(config!$G$4,N$1,$A798,$A798),_xll.BDH(config!$G$5,N$1,$A798,$A798))))</f>
        <v/>
      </c>
      <c r="O798" s="8" t="str">
        <f>IF($A798="","",IF(ISNUMBER(FIND("IMPVOL",O$1)),_xll.BDH(config!$G$4,O$1,WORKDAY($A798,-1,config_Holiday_Calendar_US),WORKDAY($A798,-1,config_Holiday_Calendar_US)),IF(ISNUMBER(_xll.BDH(config!$G$4,O$1,$A798,$A798)),_xll.BDH(config!$G$4,O$1,$A798,$A798),_xll.BDH(config!$G$5,O$1,$A798,$A798))))</f>
        <v/>
      </c>
      <c r="P798" s="8" t="str">
        <f>IF($A798="","",IF(ISNUMBER(FIND("IMPVOL",P$1)),_xll.BDH(config!$G$4,P$1,WORKDAY($A798,-1,config_Holiday_Calendar_US),WORKDAY($A798,-1,config_Holiday_Calendar_US)),IF(ISNUMBER(_xll.BDH(config!$G$4,P$1,$A798,$A798)),_xll.BDH(config!$G$4,P$1,$A798,$A798),_xll.BDH(config!$G$5,P$1,$A798,$A798))))</f>
        <v/>
      </c>
      <c r="Q798" s="8" t="str">
        <f>IF($A798="","",IF(ISNUMBER(FIND("IMPVOL",Q$1)),_xll.BDH(config!$G$4,Q$1,WORKDAY($A798,-1,config_Holiday_Calendar_US),WORKDAY($A798,-1,config_Holiday_Calendar_US)),IF(ISNUMBER(_xll.BDH(config!$G$4,Q$1,$A798,$A798)),_xll.BDH(config!$G$4,Q$1,$A798,$A798),_xll.BDH(config!$G$5,Q$1,$A798,$A798))))</f>
        <v/>
      </c>
      <c r="R798" s="8" t="str">
        <f>IF($A798="","",IF(ISNUMBER(FIND("IMPVOL",R$1)),_xll.BDH(config!$G$4,R$1,WORKDAY($A798,-1,config_Holiday_Calendar_US),WORKDAY($A798,-1,config_Holiday_Calendar_US)),IF(ISNUMBER(_xll.BDH(config!$G$4,R$1,$A798,$A798)),_xll.BDH(config!$G$4,R$1,$A798,$A798),_xll.BDH(config!$G$5,R$1,$A798,$A798))))</f>
        <v/>
      </c>
      <c r="S798" s="8" t="str">
        <f>IF($A798="","",IF(ISNUMBER(FIND("IMPVOL",S$1)),_xll.BDH(config!$G$4,S$1,WORKDAY($A798,-1,config_Holiday_Calendar_US),WORKDAY($A798,-1,config_Holiday_Calendar_US)),IF(ISNUMBER(_xll.BDH(config!$G$4,S$1,$A798,$A798)),_xll.BDH(config!$G$4,S$1,$A798,$A798),_xll.BDH(config!$G$5,S$1,$A798,$A798))))</f>
        <v/>
      </c>
      <c r="T798" s="8" t="str">
        <f>IF($A798="","",IF(ISNUMBER(FIND("IMPVOL",T$1)),_xll.BDH(config!$G$4,T$1,WORKDAY($A798,-1,config_Holiday_Calendar_US),WORKDAY($A798,-1,config_Holiday_Calendar_US)),IF(ISNUMBER(_xll.BDH(config!$G$4,T$1,$A798,$A798)),_xll.BDH(config!$G$4,T$1,$A798,$A798),_xll.BDH(config!$G$5,T$1,$A798,$A798))))</f>
        <v/>
      </c>
      <c r="U798" s="8" t="str">
        <f>IF($A798="","",IF(ISNUMBER(FIND("IMPVOL",U$1)),_xll.BDH(config!$G$4,U$1,WORKDAY($A798,-1,config_Holiday_Calendar_US),WORKDAY($A798,-1,config_Holiday_Calendar_US)),IF(ISNUMBER(_xll.BDH(config!$G$4,U$1,$A798,$A798)),_xll.BDH(config!$G$4,U$1,$A798,$A798),_xll.BDH(config!$G$5,U$1,$A798,$A798))))</f>
        <v/>
      </c>
      <c r="V798" s="8" t="str">
        <f>IF($A798="","",IF(ISNUMBER(FIND("IMPVOL",V$1)),_xll.BDH(config!$G$4,V$1,WORKDAY($A798,-1,config_Holiday_Calendar_US),WORKDAY($A798,-1,config_Holiday_Calendar_US)),IF(ISNUMBER(_xll.BDH(config!$G$4,V$1,$A798,$A798)),_xll.BDH(config!$G$4,V$1,$A798,$A798),_xll.BDH(config!$G$5,V$1,$A798,$A798))))</f>
        <v/>
      </c>
      <c r="W798" s="8" t="str">
        <f>IF($A798="","",IF(ISNUMBER(FIND("IMPVOL",W$1)),_xll.BDH(config!$G$4,W$1,WORKDAY($A798,-1,config_Holiday_Calendar_US),WORKDAY($A798,-1,config_Holiday_Calendar_US)),IF(ISNUMBER(_xll.BDH(config!$G$4,W$1,$A798,$A798)),_xll.BDH(config!$G$4,W$1,$A798,$A798),_xll.BDH(config!$G$5,W$1,$A798,$A798))))</f>
        <v/>
      </c>
    </row>
    <row r="799" spans="1:23" x14ac:dyDescent="0.2">
      <c r="A799" s="9" t="str">
        <f>IF(A798="","",IF(WORKDAY(A798,-1,config_Holiday_Calendar_US)&lt;config!$I$10,"",WORKDAY(A798,-1,config_Holiday_Calendar_US)))</f>
        <v/>
      </c>
      <c r="B799" s="8" t="str">
        <f t="shared" si="12"/>
        <v/>
      </c>
      <c r="C799" s="8" t="str">
        <f>IF(A799="","",_xll.BDH(config!$H$4,C$1,$A799,$A799))</f>
        <v/>
      </c>
      <c r="D799" s="8" t="str">
        <f>IF($A799="","",_xll.BDH(config!$H$4,D$1,$A799,$A799))</f>
        <v/>
      </c>
      <c r="E799" s="8" t="str">
        <f>IF($A799="","",IF(ISNUMBER(FIND("IMPVOL",E$1)),_xll.BDH(config!$G$4,E$1,WORKDAY($A799,-1,config_Holiday_Calendar_US),WORKDAY($A799,-1,config_Holiday_Calendar_US)),IF(ISNUMBER(_xll.BDH(config!$G$4,E$1,$A799,$A799)),_xll.BDH(config!$G$4,E$1,$A799,$A799),_xll.BDH(config!$G$5,E$1,$A799,$A799))))</f>
        <v/>
      </c>
      <c r="F799" s="8" t="str">
        <f>IF($A799="","",IF(ISNUMBER(FIND("IMPVOL",F$1)),_xll.BDH(config!$G$4,F$1,WORKDAY($A799,-1,config_Holiday_Calendar_US),WORKDAY($A799,-1,config_Holiday_Calendar_US)),IF(ISNUMBER(_xll.BDH(config!$G$4,F$1,$A799,$A799)),_xll.BDH(config!$G$4,F$1,$A799,$A799),_xll.BDH(config!$G$5,F$1,$A799,$A799))))</f>
        <v/>
      </c>
      <c r="G799" s="8" t="str">
        <f>IF($A799="","",IF(ISNUMBER(FIND("IMPVOL",G$1)),_xll.BDH(config!$G$4,G$1,WORKDAY($A799,-1,config_Holiday_Calendar_US),WORKDAY($A799,-1,config_Holiday_Calendar_US)),IF(ISNUMBER(_xll.BDH(config!$G$4,G$1,$A799,$A799)),_xll.BDH(config!$G$4,G$1,$A799,$A799),_xll.BDH(config!$G$5,G$1,$A799,$A799))))</f>
        <v/>
      </c>
      <c r="H799" s="8" t="str">
        <f>IF($A799="","",IF(ISNUMBER(FIND("IMPVOL",H$1)),_xll.BDH(config!$G$4,H$1,WORKDAY($A799,-1,config_Holiday_Calendar_US),WORKDAY($A799,-1,config_Holiday_Calendar_US)),IF(ISNUMBER(_xll.BDH(config!$G$4,H$1,$A799,$A799)),_xll.BDH(config!$G$4,H$1,$A799,$A799),_xll.BDH(config!$G$5,H$1,$A799,$A799))))</f>
        <v/>
      </c>
      <c r="I799" s="8" t="str">
        <f>IF($A799="","",IF(ISNUMBER(FIND("IMPVOL",I$1)),_xll.BDH(config!$G$4,I$1,WORKDAY($A799,-1,config_Holiday_Calendar_US),WORKDAY($A799,-1,config_Holiday_Calendar_US)),IF(ISNUMBER(_xll.BDH(config!$G$4,I$1,$A799,$A799)),_xll.BDH(config!$G$4,I$1,$A799,$A799),_xll.BDH(config!$G$5,I$1,$A799,$A799))))</f>
        <v/>
      </c>
      <c r="J799" s="8" t="str">
        <f>IF($A799="","",IF(ISNUMBER(FIND("IMPVOL",J$1)),_xll.BDH(config!$G$4,J$1,WORKDAY($A799,-1,config_Holiday_Calendar_US),WORKDAY($A799,-1,config_Holiday_Calendar_US)),IF(ISNUMBER(_xll.BDH(config!$G$4,J$1,$A799,$A799)),_xll.BDH(config!$G$4,J$1,$A799,$A799),_xll.BDH(config!$G$5,J$1,$A799,$A799))))</f>
        <v/>
      </c>
      <c r="K799" s="8" t="str">
        <f>IF($A799="","",IF(ISNUMBER(FIND("IMPVOL",K$1)),_xll.BDH(config!$G$4,K$1,WORKDAY($A799,-1,config_Holiday_Calendar_US),WORKDAY($A799,-1,config_Holiday_Calendar_US)),IF(ISNUMBER(_xll.BDH(config!$G$4,K$1,$A799,$A799)),_xll.BDH(config!$G$4,K$1,$A799,$A799),_xll.BDH(config!$G$5,K$1,$A799,$A799))))</f>
        <v/>
      </c>
      <c r="L799" s="8" t="str">
        <f>IF($A799="","",IF(ISNUMBER(FIND("IMPVOL",L$1)),_xll.BDH(config!$G$4,L$1,WORKDAY($A799,-1,config_Holiday_Calendar_US),WORKDAY($A799,-1,config_Holiday_Calendar_US)),IF(ISNUMBER(_xll.BDH(config!$G$4,L$1,$A799,$A799)),_xll.BDH(config!$G$4,L$1,$A799,$A799),_xll.BDH(config!$G$5,L$1,$A799,$A799))))</f>
        <v/>
      </c>
      <c r="M799" s="8" t="str">
        <f>IF($A799="","",IF(ISNUMBER(FIND("IMPVOL",M$1)),_xll.BDH(config!$G$4,M$1,WORKDAY($A799,-1,config_Holiday_Calendar_US),WORKDAY($A799,-1,config_Holiday_Calendar_US)),IF(ISNUMBER(_xll.BDH(config!$G$4,M$1,$A799,$A799)),_xll.BDH(config!$G$4,M$1,$A799,$A799),_xll.BDH(config!$G$5,M$1,$A799,$A799))))</f>
        <v/>
      </c>
      <c r="N799" s="8" t="str">
        <f>IF($A799="","",IF(ISNUMBER(FIND("IMPVOL",N$1)),_xll.BDH(config!$G$4,N$1,WORKDAY($A799,-1,config_Holiday_Calendar_US),WORKDAY($A799,-1,config_Holiday_Calendar_US)),IF(ISNUMBER(_xll.BDH(config!$G$4,N$1,$A799,$A799)),_xll.BDH(config!$G$4,N$1,$A799,$A799),_xll.BDH(config!$G$5,N$1,$A799,$A799))))</f>
        <v/>
      </c>
      <c r="O799" s="8" t="str">
        <f>IF($A799="","",IF(ISNUMBER(FIND("IMPVOL",O$1)),_xll.BDH(config!$G$4,O$1,WORKDAY($A799,-1,config_Holiday_Calendar_US),WORKDAY($A799,-1,config_Holiday_Calendar_US)),IF(ISNUMBER(_xll.BDH(config!$G$4,O$1,$A799,$A799)),_xll.BDH(config!$G$4,O$1,$A799,$A799),_xll.BDH(config!$G$5,O$1,$A799,$A799))))</f>
        <v/>
      </c>
      <c r="P799" s="8" t="str">
        <f>IF($A799="","",IF(ISNUMBER(FIND("IMPVOL",P$1)),_xll.BDH(config!$G$4,P$1,WORKDAY($A799,-1,config_Holiday_Calendar_US),WORKDAY($A799,-1,config_Holiday_Calendar_US)),IF(ISNUMBER(_xll.BDH(config!$G$4,P$1,$A799,$A799)),_xll.BDH(config!$G$4,P$1,$A799,$A799),_xll.BDH(config!$G$5,P$1,$A799,$A799))))</f>
        <v/>
      </c>
      <c r="Q799" s="8" t="str">
        <f>IF($A799="","",IF(ISNUMBER(FIND("IMPVOL",Q$1)),_xll.BDH(config!$G$4,Q$1,WORKDAY($A799,-1,config_Holiday_Calendar_US),WORKDAY($A799,-1,config_Holiday_Calendar_US)),IF(ISNUMBER(_xll.BDH(config!$G$4,Q$1,$A799,$A799)),_xll.BDH(config!$G$4,Q$1,$A799,$A799),_xll.BDH(config!$G$5,Q$1,$A799,$A799))))</f>
        <v/>
      </c>
      <c r="R799" s="8" t="str">
        <f>IF($A799="","",IF(ISNUMBER(FIND("IMPVOL",R$1)),_xll.BDH(config!$G$4,R$1,WORKDAY($A799,-1,config_Holiday_Calendar_US),WORKDAY($A799,-1,config_Holiday_Calendar_US)),IF(ISNUMBER(_xll.BDH(config!$G$4,R$1,$A799,$A799)),_xll.BDH(config!$G$4,R$1,$A799,$A799),_xll.BDH(config!$G$5,R$1,$A799,$A799))))</f>
        <v/>
      </c>
      <c r="S799" s="8" t="str">
        <f>IF($A799="","",IF(ISNUMBER(FIND("IMPVOL",S$1)),_xll.BDH(config!$G$4,S$1,WORKDAY($A799,-1,config_Holiday_Calendar_US),WORKDAY($A799,-1,config_Holiday_Calendar_US)),IF(ISNUMBER(_xll.BDH(config!$G$4,S$1,$A799,$A799)),_xll.BDH(config!$G$4,S$1,$A799,$A799),_xll.BDH(config!$G$5,S$1,$A799,$A799))))</f>
        <v/>
      </c>
      <c r="T799" s="8" t="str">
        <f>IF($A799="","",IF(ISNUMBER(FIND("IMPVOL",T$1)),_xll.BDH(config!$G$4,T$1,WORKDAY($A799,-1,config_Holiday_Calendar_US),WORKDAY($A799,-1,config_Holiday_Calendar_US)),IF(ISNUMBER(_xll.BDH(config!$G$4,T$1,$A799,$A799)),_xll.BDH(config!$G$4,T$1,$A799,$A799),_xll.BDH(config!$G$5,T$1,$A799,$A799))))</f>
        <v/>
      </c>
      <c r="U799" s="8" t="str">
        <f>IF($A799="","",IF(ISNUMBER(FIND("IMPVOL",U$1)),_xll.BDH(config!$G$4,U$1,WORKDAY($A799,-1,config_Holiday_Calendar_US),WORKDAY($A799,-1,config_Holiday_Calendar_US)),IF(ISNUMBER(_xll.BDH(config!$G$4,U$1,$A799,$A799)),_xll.BDH(config!$G$4,U$1,$A799,$A799),_xll.BDH(config!$G$5,U$1,$A799,$A799))))</f>
        <v/>
      </c>
      <c r="V799" s="8" t="str">
        <f>IF($A799="","",IF(ISNUMBER(FIND("IMPVOL",V$1)),_xll.BDH(config!$G$4,V$1,WORKDAY($A799,-1,config_Holiday_Calendar_US),WORKDAY($A799,-1,config_Holiday_Calendar_US)),IF(ISNUMBER(_xll.BDH(config!$G$4,V$1,$A799,$A799)),_xll.BDH(config!$G$4,V$1,$A799,$A799),_xll.BDH(config!$G$5,V$1,$A799,$A799))))</f>
        <v/>
      </c>
      <c r="W799" s="8" t="str">
        <f>IF($A799="","",IF(ISNUMBER(FIND("IMPVOL",W$1)),_xll.BDH(config!$G$4,W$1,WORKDAY($A799,-1,config_Holiday_Calendar_US),WORKDAY($A799,-1,config_Holiday_Calendar_US)),IF(ISNUMBER(_xll.BDH(config!$G$4,W$1,$A799,$A799)),_xll.BDH(config!$G$4,W$1,$A799,$A799),_xll.BDH(config!$G$5,W$1,$A799,$A799))))</f>
        <v/>
      </c>
    </row>
    <row r="800" spans="1:23" x14ac:dyDescent="0.2">
      <c r="A800" s="9" t="str">
        <f>IF(A799="","",IF(WORKDAY(A799,-1,config_Holiday_Calendar_US)&lt;config!$I$10,"",WORKDAY(A799,-1,config_Holiday_Calendar_US)))</f>
        <v/>
      </c>
      <c r="B800" s="8" t="str">
        <f t="shared" si="12"/>
        <v/>
      </c>
      <c r="C800" s="8" t="str">
        <f>IF(A800="","",_xll.BDH(config!$H$4,C$1,$A800,$A800))</f>
        <v/>
      </c>
      <c r="D800" s="8" t="str">
        <f>IF($A800="","",_xll.BDH(config!$H$4,D$1,$A800,$A800))</f>
        <v/>
      </c>
      <c r="E800" s="8" t="str">
        <f>IF($A800="","",IF(ISNUMBER(FIND("IMPVOL",E$1)),_xll.BDH(config!$G$4,E$1,WORKDAY($A800,-1,config_Holiday_Calendar_US),WORKDAY($A800,-1,config_Holiday_Calendar_US)),IF(ISNUMBER(_xll.BDH(config!$G$4,E$1,$A800,$A800)),_xll.BDH(config!$G$4,E$1,$A800,$A800),_xll.BDH(config!$G$5,E$1,$A800,$A800))))</f>
        <v/>
      </c>
      <c r="F800" s="8" t="str">
        <f>IF($A800="","",IF(ISNUMBER(FIND("IMPVOL",F$1)),_xll.BDH(config!$G$4,F$1,WORKDAY($A800,-1,config_Holiday_Calendar_US),WORKDAY($A800,-1,config_Holiday_Calendar_US)),IF(ISNUMBER(_xll.BDH(config!$G$4,F$1,$A800,$A800)),_xll.BDH(config!$G$4,F$1,$A800,$A800),_xll.BDH(config!$G$5,F$1,$A800,$A800))))</f>
        <v/>
      </c>
      <c r="G800" s="8" t="str">
        <f>IF($A800="","",IF(ISNUMBER(FIND("IMPVOL",G$1)),_xll.BDH(config!$G$4,G$1,WORKDAY($A800,-1,config_Holiday_Calendar_US),WORKDAY($A800,-1,config_Holiday_Calendar_US)),IF(ISNUMBER(_xll.BDH(config!$G$4,G$1,$A800,$A800)),_xll.BDH(config!$G$4,G$1,$A800,$A800),_xll.BDH(config!$G$5,G$1,$A800,$A800))))</f>
        <v/>
      </c>
      <c r="H800" s="8" t="str">
        <f>IF($A800="","",IF(ISNUMBER(FIND("IMPVOL",H$1)),_xll.BDH(config!$G$4,H$1,WORKDAY($A800,-1,config_Holiday_Calendar_US),WORKDAY($A800,-1,config_Holiday_Calendar_US)),IF(ISNUMBER(_xll.BDH(config!$G$4,H$1,$A800,$A800)),_xll.BDH(config!$G$4,H$1,$A800,$A800),_xll.BDH(config!$G$5,H$1,$A800,$A800))))</f>
        <v/>
      </c>
      <c r="I800" s="8" t="str">
        <f>IF($A800="","",IF(ISNUMBER(FIND("IMPVOL",I$1)),_xll.BDH(config!$G$4,I$1,WORKDAY($A800,-1,config_Holiday_Calendar_US),WORKDAY($A800,-1,config_Holiday_Calendar_US)),IF(ISNUMBER(_xll.BDH(config!$G$4,I$1,$A800,$A800)),_xll.BDH(config!$G$4,I$1,$A800,$A800),_xll.BDH(config!$G$5,I$1,$A800,$A800))))</f>
        <v/>
      </c>
      <c r="J800" s="8" t="str">
        <f>IF($A800="","",IF(ISNUMBER(FIND("IMPVOL",J$1)),_xll.BDH(config!$G$4,J$1,WORKDAY($A800,-1,config_Holiday_Calendar_US),WORKDAY($A800,-1,config_Holiday_Calendar_US)),IF(ISNUMBER(_xll.BDH(config!$G$4,J$1,$A800,$A800)),_xll.BDH(config!$G$4,J$1,$A800,$A800),_xll.BDH(config!$G$5,J$1,$A800,$A800))))</f>
        <v/>
      </c>
      <c r="K800" s="8" t="str">
        <f>IF($A800="","",IF(ISNUMBER(FIND("IMPVOL",K$1)),_xll.BDH(config!$G$4,K$1,WORKDAY($A800,-1,config_Holiday_Calendar_US),WORKDAY($A800,-1,config_Holiday_Calendar_US)),IF(ISNUMBER(_xll.BDH(config!$G$4,K$1,$A800,$A800)),_xll.BDH(config!$G$4,K$1,$A800,$A800),_xll.BDH(config!$G$5,K$1,$A800,$A800))))</f>
        <v/>
      </c>
      <c r="L800" s="8" t="str">
        <f>IF($A800="","",IF(ISNUMBER(FIND("IMPVOL",L$1)),_xll.BDH(config!$G$4,L$1,WORKDAY($A800,-1,config_Holiday_Calendar_US),WORKDAY($A800,-1,config_Holiday_Calendar_US)),IF(ISNUMBER(_xll.BDH(config!$G$4,L$1,$A800,$A800)),_xll.BDH(config!$G$4,L$1,$A800,$A800),_xll.BDH(config!$G$5,L$1,$A800,$A800))))</f>
        <v/>
      </c>
      <c r="M800" s="8" t="str">
        <f>IF($A800="","",IF(ISNUMBER(FIND("IMPVOL",M$1)),_xll.BDH(config!$G$4,M$1,WORKDAY($A800,-1,config_Holiday_Calendar_US),WORKDAY($A800,-1,config_Holiday_Calendar_US)),IF(ISNUMBER(_xll.BDH(config!$G$4,M$1,$A800,$A800)),_xll.BDH(config!$G$4,M$1,$A800,$A800),_xll.BDH(config!$G$5,M$1,$A800,$A800))))</f>
        <v/>
      </c>
      <c r="N800" s="8" t="str">
        <f>IF($A800="","",IF(ISNUMBER(FIND("IMPVOL",N$1)),_xll.BDH(config!$G$4,N$1,WORKDAY($A800,-1,config_Holiday_Calendar_US),WORKDAY($A800,-1,config_Holiday_Calendar_US)),IF(ISNUMBER(_xll.BDH(config!$G$4,N$1,$A800,$A800)),_xll.BDH(config!$G$4,N$1,$A800,$A800),_xll.BDH(config!$G$5,N$1,$A800,$A800))))</f>
        <v/>
      </c>
      <c r="O800" s="8" t="str">
        <f>IF($A800="","",IF(ISNUMBER(FIND("IMPVOL",O$1)),_xll.BDH(config!$G$4,O$1,WORKDAY($A800,-1,config_Holiday_Calendar_US),WORKDAY($A800,-1,config_Holiday_Calendar_US)),IF(ISNUMBER(_xll.BDH(config!$G$4,O$1,$A800,$A800)),_xll.BDH(config!$G$4,O$1,$A800,$A800),_xll.BDH(config!$G$5,O$1,$A800,$A800))))</f>
        <v/>
      </c>
      <c r="P800" s="8" t="str">
        <f>IF($A800="","",IF(ISNUMBER(FIND("IMPVOL",P$1)),_xll.BDH(config!$G$4,P$1,WORKDAY($A800,-1,config_Holiday_Calendar_US),WORKDAY($A800,-1,config_Holiday_Calendar_US)),IF(ISNUMBER(_xll.BDH(config!$G$4,P$1,$A800,$A800)),_xll.BDH(config!$G$4,P$1,$A800,$A800),_xll.BDH(config!$G$5,P$1,$A800,$A800))))</f>
        <v/>
      </c>
      <c r="Q800" s="8" t="str">
        <f>IF($A800="","",IF(ISNUMBER(FIND("IMPVOL",Q$1)),_xll.BDH(config!$G$4,Q$1,WORKDAY($A800,-1,config_Holiday_Calendar_US),WORKDAY($A800,-1,config_Holiday_Calendar_US)),IF(ISNUMBER(_xll.BDH(config!$G$4,Q$1,$A800,$A800)),_xll.BDH(config!$G$4,Q$1,$A800,$A800),_xll.BDH(config!$G$5,Q$1,$A800,$A800))))</f>
        <v/>
      </c>
      <c r="R800" s="8" t="str">
        <f>IF($A800="","",IF(ISNUMBER(FIND("IMPVOL",R$1)),_xll.BDH(config!$G$4,R$1,WORKDAY($A800,-1,config_Holiday_Calendar_US),WORKDAY($A800,-1,config_Holiday_Calendar_US)),IF(ISNUMBER(_xll.BDH(config!$G$4,R$1,$A800,$A800)),_xll.BDH(config!$G$4,R$1,$A800,$A800),_xll.BDH(config!$G$5,R$1,$A800,$A800))))</f>
        <v/>
      </c>
      <c r="S800" s="8" t="str">
        <f>IF($A800="","",IF(ISNUMBER(FIND("IMPVOL",S$1)),_xll.BDH(config!$G$4,S$1,WORKDAY($A800,-1,config_Holiday_Calendar_US),WORKDAY($A800,-1,config_Holiday_Calendar_US)),IF(ISNUMBER(_xll.BDH(config!$G$4,S$1,$A800,$A800)),_xll.BDH(config!$G$4,S$1,$A800,$A800),_xll.BDH(config!$G$5,S$1,$A800,$A800))))</f>
        <v/>
      </c>
      <c r="T800" s="8" t="str">
        <f>IF($A800="","",IF(ISNUMBER(FIND("IMPVOL",T$1)),_xll.BDH(config!$G$4,T$1,WORKDAY($A800,-1,config_Holiday_Calendar_US),WORKDAY($A800,-1,config_Holiday_Calendar_US)),IF(ISNUMBER(_xll.BDH(config!$G$4,T$1,$A800,$A800)),_xll.BDH(config!$G$4,T$1,$A800,$A800),_xll.BDH(config!$G$5,T$1,$A800,$A800))))</f>
        <v/>
      </c>
      <c r="U800" s="8" t="str">
        <f>IF($A800="","",IF(ISNUMBER(FIND("IMPVOL",U$1)),_xll.BDH(config!$G$4,U$1,WORKDAY($A800,-1,config_Holiday_Calendar_US),WORKDAY($A800,-1,config_Holiday_Calendar_US)),IF(ISNUMBER(_xll.BDH(config!$G$4,U$1,$A800,$A800)),_xll.BDH(config!$G$4,U$1,$A800,$A800),_xll.BDH(config!$G$5,U$1,$A800,$A800))))</f>
        <v/>
      </c>
      <c r="V800" s="8" t="str">
        <f>IF($A800="","",IF(ISNUMBER(FIND("IMPVOL",V$1)),_xll.BDH(config!$G$4,V$1,WORKDAY($A800,-1,config_Holiday_Calendar_US),WORKDAY($A800,-1,config_Holiday_Calendar_US)),IF(ISNUMBER(_xll.BDH(config!$G$4,V$1,$A800,$A800)),_xll.BDH(config!$G$4,V$1,$A800,$A800),_xll.BDH(config!$G$5,V$1,$A800,$A800))))</f>
        <v/>
      </c>
      <c r="W800" s="8" t="str">
        <f>IF($A800="","",IF(ISNUMBER(FIND("IMPVOL",W$1)),_xll.BDH(config!$G$4,W$1,WORKDAY($A800,-1,config_Holiday_Calendar_US),WORKDAY($A800,-1,config_Holiday_Calendar_US)),IF(ISNUMBER(_xll.BDH(config!$G$4,W$1,$A800,$A800)),_xll.BDH(config!$G$4,W$1,$A800,$A800),_xll.BDH(config!$G$5,W$1,$A800,$A800))))</f>
        <v/>
      </c>
    </row>
    <row r="801" spans="1:23" x14ac:dyDescent="0.2">
      <c r="A801" s="9" t="str">
        <f>IF(A800="","",IF(WORKDAY(A800,-1,config_Holiday_Calendar_US)&lt;config!$I$10,"",WORKDAY(A800,-1,config_Holiday_Calendar_US)))</f>
        <v/>
      </c>
      <c r="B801" s="8" t="str">
        <f t="shared" si="12"/>
        <v/>
      </c>
      <c r="C801" s="8" t="str">
        <f>IF(A801="","",_xll.BDH(config!$H$4,C$1,$A801,$A801))</f>
        <v/>
      </c>
      <c r="D801" s="8" t="str">
        <f>IF($A801="","",_xll.BDH(config!$H$4,D$1,$A801,$A801))</f>
        <v/>
      </c>
      <c r="E801" s="8" t="str">
        <f>IF($A801="","",IF(ISNUMBER(FIND("IMPVOL",E$1)),_xll.BDH(config!$G$4,E$1,WORKDAY($A801,-1,config_Holiday_Calendar_US),WORKDAY($A801,-1,config_Holiday_Calendar_US)),IF(ISNUMBER(_xll.BDH(config!$G$4,E$1,$A801,$A801)),_xll.BDH(config!$G$4,E$1,$A801,$A801),_xll.BDH(config!$G$5,E$1,$A801,$A801))))</f>
        <v/>
      </c>
      <c r="F801" s="8" t="str">
        <f>IF($A801="","",IF(ISNUMBER(FIND("IMPVOL",F$1)),_xll.BDH(config!$G$4,F$1,WORKDAY($A801,-1,config_Holiday_Calendar_US),WORKDAY($A801,-1,config_Holiday_Calendar_US)),IF(ISNUMBER(_xll.BDH(config!$G$4,F$1,$A801,$A801)),_xll.BDH(config!$G$4,F$1,$A801,$A801),_xll.BDH(config!$G$5,F$1,$A801,$A801))))</f>
        <v/>
      </c>
      <c r="G801" s="8" t="str">
        <f>IF($A801="","",IF(ISNUMBER(FIND("IMPVOL",G$1)),_xll.BDH(config!$G$4,G$1,WORKDAY($A801,-1,config_Holiday_Calendar_US),WORKDAY($A801,-1,config_Holiday_Calendar_US)),IF(ISNUMBER(_xll.BDH(config!$G$4,G$1,$A801,$A801)),_xll.BDH(config!$G$4,G$1,$A801,$A801),_xll.BDH(config!$G$5,G$1,$A801,$A801))))</f>
        <v/>
      </c>
      <c r="H801" s="8" t="str">
        <f>IF($A801="","",IF(ISNUMBER(FIND("IMPVOL",H$1)),_xll.BDH(config!$G$4,H$1,WORKDAY($A801,-1,config_Holiday_Calendar_US),WORKDAY($A801,-1,config_Holiday_Calendar_US)),IF(ISNUMBER(_xll.BDH(config!$G$4,H$1,$A801,$A801)),_xll.BDH(config!$G$4,H$1,$A801,$A801),_xll.BDH(config!$G$5,H$1,$A801,$A801))))</f>
        <v/>
      </c>
      <c r="I801" s="8" t="str">
        <f>IF($A801="","",IF(ISNUMBER(FIND("IMPVOL",I$1)),_xll.BDH(config!$G$4,I$1,WORKDAY($A801,-1,config_Holiday_Calendar_US),WORKDAY($A801,-1,config_Holiday_Calendar_US)),IF(ISNUMBER(_xll.BDH(config!$G$4,I$1,$A801,$A801)),_xll.BDH(config!$G$4,I$1,$A801,$A801),_xll.BDH(config!$G$5,I$1,$A801,$A801))))</f>
        <v/>
      </c>
      <c r="J801" s="8" t="str">
        <f>IF($A801="","",IF(ISNUMBER(FIND("IMPVOL",J$1)),_xll.BDH(config!$G$4,J$1,WORKDAY($A801,-1,config_Holiday_Calendar_US),WORKDAY($A801,-1,config_Holiday_Calendar_US)),IF(ISNUMBER(_xll.BDH(config!$G$4,J$1,$A801,$A801)),_xll.BDH(config!$G$4,J$1,$A801,$A801),_xll.BDH(config!$G$5,J$1,$A801,$A801))))</f>
        <v/>
      </c>
      <c r="K801" s="8" t="str">
        <f>IF($A801="","",IF(ISNUMBER(FIND("IMPVOL",K$1)),_xll.BDH(config!$G$4,K$1,WORKDAY($A801,-1,config_Holiday_Calendar_US),WORKDAY($A801,-1,config_Holiday_Calendar_US)),IF(ISNUMBER(_xll.BDH(config!$G$4,K$1,$A801,$A801)),_xll.BDH(config!$G$4,K$1,$A801,$A801),_xll.BDH(config!$G$5,K$1,$A801,$A801))))</f>
        <v/>
      </c>
      <c r="L801" s="8" t="str">
        <f>IF($A801="","",IF(ISNUMBER(FIND("IMPVOL",L$1)),_xll.BDH(config!$G$4,L$1,WORKDAY($A801,-1,config_Holiday_Calendar_US),WORKDAY($A801,-1,config_Holiday_Calendar_US)),IF(ISNUMBER(_xll.BDH(config!$G$4,L$1,$A801,$A801)),_xll.BDH(config!$G$4,L$1,$A801,$A801),_xll.BDH(config!$G$5,L$1,$A801,$A801))))</f>
        <v/>
      </c>
      <c r="M801" s="8" t="str">
        <f>IF($A801="","",IF(ISNUMBER(FIND("IMPVOL",M$1)),_xll.BDH(config!$G$4,M$1,WORKDAY($A801,-1,config_Holiday_Calendar_US),WORKDAY($A801,-1,config_Holiday_Calendar_US)),IF(ISNUMBER(_xll.BDH(config!$G$4,M$1,$A801,$A801)),_xll.BDH(config!$G$4,M$1,$A801,$A801),_xll.BDH(config!$G$5,M$1,$A801,$A801))))</f>
        <v/>
      </c>
      <c r="N801" s="8" t="str">
        <f>IF($A801="","",IF(ISNUMBER(FIND("IMPVOL",N$1)),_xll.BDH(config!$G$4,N$1,WORKDAY($A801,-1,config_Holiday_Calendar_US),WORKDAY($A801,-1,config_Holiday_Calendar_US)),IF(ISNUMBER(_xll.BDH(config!$G$4,N$1,$A801,$A801)),_xll.BDH(config!$G$4,N$1,$A801,$A801),_xll.BDH(config!$G$5,N$1,$A801,$A801))))</f>
        <v/>
      </c>
      <c r="O801" s="8" t="str">
        <f>IF($A801="","",IF(ISNUMBER(FIND("IMPVOL",O$1)),_xll.BDH(config!$G$4,O$1,WORKDAY($A801,-1,config_Holiday_Calendar_US),WORKDAY($A801,-1,config_Holiday_Calendar_US)),IF(ISNUMBER(_xll.BDH(config!$G$4,O$1,$A801,$A801)),_xll.BDH(config!$G$4,O$1,$A801,$A801),_xll.BDH(config!$G$5,O$1,$A801,$A801))))</f>
        <v/>
      </c>
      <c r="P801" s="8" t="str">
        <f>IF($A801="","",IF(ISNUMBER(FIND("IMPVOL",P$1)),_xll.BDH(config!$G$4,P$1,WORKDAY($A801,-1,config_Holiday_Calendar_US),WORKDAY($A801,-1,config_Holiday_Calendar_US)),IF(ISNUMBER(_xll.BDH(config!$G$4,P$1,$A801,$A801)),_xll.BDH(config!$G$4,P$1,$A801,$A801),_xll.BDH(config!$G$5,P$1,$A801,$A801))))</f>
        <v/>
      </c>
      <c r="Q801" s="8" t="str">
        <f>IF($A801="","",IF(ISNUMBER(FIND("IMPVOL",Q$1)),_xll.BDH(config!$G$4,Q$1,WORKDAY($A801,-1,config_Holiday_Calendar_US),WORKDAY($A801,-1,config_Holiday_Calendar_US)),IF(ISNUMBER(_xll.BDH(config!$G$4,Q$1,$A801,$A801)),_xll.BDH(config!$G$4,Q$1,$A801,$A801),_xll.BDH(config!$G$5,Q$1,$A801,$A801))))</f>
        <v/>
      </c>
      <c r="R801" s="8" t="str">
        <f>IF($A801="","",IF(ISNUMBER(FIND("IMPVOL",R$1)),_xll.BDH(config!$G$4,R$1,WORKDAY($A801,-1,config_Holiday_Calendar_US),WORKDAY($A801,-1,config_Holiday_Calendar_US)),IF(ISNUMBER(_xll.BDH(config!$G$4,R$1,$A801,$A801)),_xll.BDH(config!$G$4,R$1,$A801,$A801),_xll.BDH(config!$G$5,R$1,$A801,$A801))))</f>
        <v/>
      </c>
      <c r="S801" s="8" t="str">
        <f>IF($A801="","",IF(ISNUMBER(FIND("IMPVOL",S$1)),_xll.BDH(config!$G$4,S$1,WORKDAY($A801,-1,config_Holiday_Calendar_US),WORKDAY($A801,-1,config_Holiday_Calendar_US)),IF(ISNUMBER(_xll.BDH(config!$G$4,S$1,$A801,$A801)),_xll.BDH(config!$G$4,S$1,$A801,$A801),_xll.BDH(config!$G$5,S$1,$A801,$A801))))</f>
        <v/>
      </c>
      <c r="T801" s="8" t="str">
        <f>IF($A801="","",IF(ISNUMBER(FIND("IMPVOL",T$1)),_xll.BDH(config!$G$4,T$1,WORKDAY($A801,-1,config_Holiday_Calendar_US),WORKDAY($A801,-1,config_Holiday_Calendar_US)),IF(ISNUMBER(_xll.BDH(config!$G$4,T$1,$A801,$A801)),_xll.BDH(config!$G$4,T$1,$A801,$A801),_xll.BDH(config!$G$5,T$1,$A801,$A801))))</f>
        <v/>
      </c>
      <c r="U801" s="8" t="str">
        <f>IF($A801="","",IF(ISNUMBER(FIND("IMPVOL",U$1)),_xll.BDH(config!$G$4,U$1,WORKDAY($A801,-1,config_Holiday_Calendar_US),WORKDAY($A801,-1,config_Holiday_Calendar_US)),IF(ISNUMBER(_xll.BDH(config!$G$4,U$1,$A801,$A801)),_xll.BDH(config!$G$4,U$1,$A801,$A801),_xll.BDH(config!$G$5,U$1,$A801,$A801))))</f>
        <v/>
      </c>
      <c r="V801" s="8" t="str">
        <f>IF($A801="","",IF(ISNUMBER(FIND("IMPVOL",V$1)),_xll.BDH(config!$G$4,V$1,WORKDAY($A801,-1,config_Holiday_Calendar_US),WORKDAY($A801,-1,config_Holiday_Calendar_US)),IF(ISNUMBER(_xll.BDH(config!$G$4,V$1,$A801,$A801)),_xll.BDH(config!$G$4,V$1,$A801,$A801),_xll.BDH(config!$G$5,V$1,$A801,$A801))))</f>
        <v/>
      </c>
      <c r="W801" s="8" t="str">
        <f>IF($A801="","",IF(ISNUMBER(FIND("IMPVOL",W$1)),_xll.BDH(config!$G$4,W$1,WORKDAY($A801,-1,config_Holiday_Calendar_US),WORKDAY($A801,-1,config_Holiday_Calendar_US)),IF(ISNUMBER(_xll.BDH(config!$G$4,W$1,$A801,$A801)),_xll.BDH(config!$G$4,W$1,$A801,$A801),_xll.BDH(config!$G$5,W$1,$A801,$A801))))</f>
        <v/>
      </c>
    </row>
    <row r="802" spans="1:23" x14ac:dyDescent="0.2">
      <c r="A802" s="9" t="str">
        <f>IF(A801="","",IF(WORKDAY(A801,-1,config_Holiday_Calendar_US)&lt;config!$I$10,"",WORKDAY(A801,-1,config_Holiday_Calendar_US)))</f>
        <v/>
      </c>
      <c r="B802" s="8" t="str">
        <f t="shared" si="12"/>
        <v/>
      </c>
      <c r="C802" s="8" t="str">
        <f>IF(A802="","",_xll.BDH(config!$H$4,C$1,$A802,$A802))</f>
        <v/>
      </c>
      <c r="D802" s="8" t="str">
        <f>IF($A802="","",_xll.BDH(config!$H$4,D$1,$A802,$A802))</f>
        <v/>
      </c>
      <c r="E802" s="8" t="str">
        <f>IF($A802="","",IF(ISNUMBER(FIND("IMPVOL",E$1)),_xll.BDH(config!$G$4,E$1,WORKDAY($A802,-1,config_Holiday_Calendar_US),WORKDAY($A802,-1,config_Holiday_Calendar_US)),IF(ISNUMBER(_xll.BDH(config!$G$4,E$1,$A802,$A802)),_xll.BDH(config!$G$4,E$1,$A802,$A802),_xll.BDH(config!$G$5,E$1,$A802,$A802))))</f>
        <v/>
      </c>
      <c r="F802" s="8" t="str">
        <f>IF($A802="","",IF(ISNUMBER(FIND("IMPVOL",F$1)),_xll.BDH(config!$G$4,F$1,WORKDAY($A802,-1,config_Holiday_Calendar_US),WORKDAY($A802,-1,config_Holiday_Calendar_US)),IF(ISNUMBER(_xll.BDH(config!$G$4,F$1,$A802,$A802)),_xll.BDH(config!$G$4,F$1,$A802,$A802),_xll.BDH(config!$G$5,F$1,$A802,$A802))))</f>
        <v/>
      </c>
      <c r="G802" s="8" t="str">
        <f>IF($A802="","",IF(ISNUMBER(FIND("IMPVOL",G$1)),_xll.BDH(config!$G$4,G$1,WORKDAY($A802,-1,config_Holiday_Calendar_US),WORKDAY($A802,-1,config_Holiday_Calendar_US)),IF(ISNUMBER(_xll.BDH(config!$G$4,G$1,$A802,$A802)),_xll.BDH(config!$G$4,G$1,$A802,$A802),_xll.BDH(config!$G$5,G$1,$A802,$A802))))</f>
        <v/>
      </c>
      <c r="H802" s="8" t="str">
        <f>IF($A802="","",IF(ISNUMBER(FIND("IMPVOL",H$1)),_xll.BDH(config!$G$4,H$1,WORKDAY($A802,-1,config_Holiday_Calendar_US),WORKDAY($A802,-1,config_Holiday_Calendar_US)),IF(ISNUMBER(_xll.BDH(config!$G$4,H$1,$A802,$A802)),_xll.BDH(config!$G$4,H$1,$A802,$A802),_xll.BDH(config!$G$5,H$1,$A802,$A802))))</f>
        <v/>
      </c>
      <c r="I802" s="8" t="str">
        <f>IF($A802="","",IF(ISNUMBER(FIND("IMPVOL",I$1)),_xll.BDH(config!$G$4,I$1,WORKDAY($A802,-1,config_Holiday_Calendar_US),WORKDAY($A802,-1,config_Holiday_Calendar_US)),IF(ISNUMBER(_xll.BDH(config!$G$4,I$1,$A802,$A802)),_xll.BDH(config!$G$4,I$1,$A802,$A802),_xll.BDH(config!$G$5,I$1,$A802,$A802))))</f>
        <v/>
      </c>
      <c r="J802" s="8" t="str">
        <f>IF($A802="","",IF(ISNUMBER(FIND("IMPVOL",J$1)),_xll.BDH(config!$G$4,J$1,WORKDAY($A802,-1,config_Holiday_Calendar_US),WORKDAY($A802,-1,config_Holiday_Calendar_US)),IF(ISNUMBER(_xll.BDH(config!$G$4,J$1,$A802,$A802)),_xll.BDH(config!$G$4,J$1,$A802,$A802),_xll.BDH(config!$G$5,J$1,$A802,$A802))))</f>
        <v/>
      </c>
      <c r="K802" s="8" t="str">
        <f>IF($A802="","",IF(ISNUMBER(FIND("IMPVOL",K$1)),_xll.BDH(config!$G$4,K$1,WORKDAY($A802,-1,config_Holiday_Calendar_US),WORKDAY($A802,-1,config_Holiday_Calendar_US)),IF(ISNUMBER(_xll.BDH(config!$G$4,K$1,$A802,$A802)),_xll.BDH(config!$G$4,K$1,$A802,$A802),_xll.BDH(config!$G$5,K$1,$A802,$A802))))</f>
        <v/>
      </c>
      <c r="L802" s="8" t="str">
        <f>IF($A802="","",IF(ISNUMBER(FIND("IMPVOL",L$1)),_xll.BDH(config!$G$4,L$1,WORKDAY($A802,-1,config_Holiday_Calendar_US),WORKDAY($A802,-1,config_Holiday_Calendar_US)),IF(ISNUMBER(_xll.BDH(config!$G$4,L$1,$A802,$A802)),_xll.BDH(config!$G$4,L$1,$A802,$A802),_xll.BDH(config!$G$5,L$1,$A802,$A802))))</f>
        <v/>
      </c>
      <c r="M802" s="8" t="str">
        <f>IF($A802="","",IF(ISNUMBER(FIND("IMPVOL",M$1)),_xll.BDH(config!$G$4,M$1,WORKDAY($A802,-1,config_Holiday_Calendar_US),WORKDAY($A802,-1,config_Holiday_Calendar_US)),IF(ISNUMBER(_xll.BDH(config!$G$4,M$1,$A802,$A802)),_xll.BDH(config!$G$4,M$1,$A802,$A802),_xll.BDH(config!$G$5,M$1,$A802,$A802))))</f>
        <v/>
      </c>
      <c r="N802" s="8" t="str">
        <f>IF($A802="","",IF(ISNUMBER(FIND("IMPVOL",N$1)),_xll.BDH(config!$G$4,N$1,WORKDAY($A802,-1,config_Holiday_Calendar_US),WORKDAY($A802,-1,config_Holiday_Calendar_US)),IF(ISNUMBER(_xll.BDH(config!$G$4,N$1,$A802,$A802)),_xll.BDH(config!$G$4,N$1,$A802,$A802),_xll.BDH(config!$G$5,N$1,$A802,$A802))))</f>
        <v/>
      </c>
      <c r="O802" s="8" t="str">
        <f>IF($A802="","",IF(ISNUMBER(FIND("IMPVOL",O$1)),_xll.BDH(config!$G$4,O$1,WORKDAY($A802,-1,config_Holiday_Calendar_US),WORKDAY($A802,-1,config_Holiday_Calendar_US)),IF(ISNUMBER(_xll.BDH(config!$G$4,O$1,$A802,$A802)),_xll.BDH(config!$G$4,O$1,$A802,$A802),_xll.BDH(config!$G$5,O$1,$A802,$A802))))</f>
        <v/>
      </c>
      <c r="P802" s="8" t="str">
        <f>IF($A802="","",IF(ISNUMBER(FIND("IMPVOL",P$1)),_xll.BDH(config!$G$4,P$1,WORKDAY($A802,-1,config_Holiday_Calendar_US),WORKDAY($A802,-1,config_Holiday_Calendar_US)),IF(ISNUMBER(_xll.BDH(config!$G$4,P$1,$A802,$A802)),_xll.BDH(config!$G$4,P$1,$A802,$A802),_xll.BDH(config!$G$5,P$1,$A802,$A802))))</f>
        <v/>
      </c>
      <c r="Q802" s="8" t="str">
        <f>IF($A802="","",IF(ISNUMBER(FIND("IMPVOL",Q$1)),_xll.BDH(config!$G$4,Q$1,WORKDAY($A802,-1,config_Holiday_Calendar_US),WORKDAY($A802,-1,config_Holiday_Calendar_US)),IF(ISNUMBER(_xll.BDH(config!$G$4,Q$1,$A802,$A802)),_xll.BDH(config!$G$4,Q$1,$A802,$A802),_xll.BDH(config!$G$5,Q$1,$A802,$A802))))</f>
        <v/>
      </c>
      <c r="R802" s="8" t="str">
        <f>IF($A802="","",IF(ISNUMBER(FIND("IMPVOL",R$1)),_xll.BDH(config!$G$4,R$1,WORKDAY($A802,-1,config_Holiday_Calendar_US),WORKDAY($A802,-1,config_Holiday_Calendar_US)),IF(ISNUMBER(_xll.BDH(config!$G$4,R$1,$A802,$A802)),_xll.BDH(config!$G$4,R$1,$A802,$A802),_xll.BDH(config!$G$5,R$1,$A802,$A802))))</f>
        <v/>
      </c>
      <c r="S802" s="8" t="str">
        <f>IF($A802="","",IF(ISNUMBER(FIND("IMPVOL",S$1)),_xll.BDH(config!$G$4,S$1,WORKDAY($A802,-1,config_Holiday_Calendar_US),WORKDAY($A802,-1,config_Holiday_Calendar_US)),IF(ISNUMBER(_xll.BDH(config!$G$4,S$1,$A802,$A802)),_xll.BDH(config!$G$4,S$1,$A802,$A802),_xll.BDH(config!$G$5,S$1,$A802,$A802))))</f>
        <v/>
      </c>
      <c r="T802" s="8" t="str">
        <f>IF($A802="","",IF(ISNUMBER(FIND("IMPVOL",T$1)),_xll.BDH(config!$G$4,T$1,WORKDAY($A802,-1,config_Holiday_Calendar_US),WORKDAY($A802,-1,config_Holiday_Calendar_US)),IF(ISNUMBER(_xll.BDH(config!$G$4,T$1,$A802,$A802)),_xll.BDH(config!$G$4,T$1,$A802,$A802),_xll.BDH(config!$G$5,T$1,$A802,$A802))))</f>
        <v/>
      </c>
      <c r="U802" s="8" t="str">
        <f>IF($A802="","",IF(ISNUMBER(FIND("IMPVOL",U$1)),_xll.BDH(config!$G$4,U$1,WORKDAY($A802,-1,config_Holiday_Calendar_US),WORKDAY($A802,-1,config_Holiday_Calendar_US)),IF(ISNUMBER(_xll.BDH(config!$G$4,U$1,$A802,$A802)),_xll.BDH(config!$G$4,U$1,$A802,$A802),_xll.BDH(config!$G$5,U$1,$A802,$A802))))</f>
        <v/>
      </c>
      <c r="V802" s="8" t="str">
        <f>IF($A802="","",IF(ISNUMBER(FIND("IMPVOL",V$1)),_xll.BDH(config!$G$4,V$1,WORKDAY($A802,-1,config_Holiday_Calendar_US),WORKDAY($A802,-1,config_Holiday_Calendar_US)),IF(ISNUMBER(_xll.BDH(config!$G$4,V$1,$A802,$A802)),_xll.BDH(config!$G$4,V$1,$A802,$A802),_xll.BDH(config!$G$5,V$1,$A802,$A802))))</f>
        <v/>
      </c>
      <c r="W802" s="8" t="str">
        <f>IF($A802="","",IF(ISNUMBER(FIND("IMPVOL",W$1)),_xll.BDH(config!$G$4,W$1,WORKDAY($A802,-1,config_Holiday_Calendar_US),WORKDAY($A802,-1,config_Holiday_Calendar_US)),IF(ISNUMBER(_xll.BDH(config!$G$4,W$1,$A802,$A802)),_xll.BDH(config!$G$4,W$1,$A802,$A802),_xll.BDH(config!$G$5,W$1,$A802,$A802))))</f>
        <v/>
      </c>
    </row>
    <row r="803" spans="1:23" x14ac:dyDescent="0.2">
      <c r="A803" s="9" t="str">
        <f>IF(A802="","",IF(WORKDAY(A802,-1,config_Holiday_Calendar_US)&lt;config!$I$10,"",WORKDAY(A802,-1,config_Holiday_Calendar_US)))</f>
        <v/>
      </c>
      <c r="B803" s="8" t="str">
        <f t="shared" si="12"/>
        <v/>
      </c>
      <c r="C803" s="8" t="str">
        <f>IF(A803="","",_xll.BDH(config!$H$4,C$1,$A803,$A803))</f>
        <v/>
      </c>
      <c r="D803" s="8" t="str">
        <f>IF($A803="","",_xll.BDH(config!$H$4,D$1,$A803,$A803))</f>
        <v/>
      </c>
      <c r="E803" s="8" t="str">
        <f>IF($A803="","",IF(ISNUMBER(FIND("IMPVOL",E$1)),_xll.BDH(config!$G$4,E$1,WORKDAY($A803,-1,config_Holiday_Calendar_US),WORKDAY($A803,-1,config_Holiday_Calendar_US)),IF(ISNUMBER(_xll.BDH(config!$G$4,E$1,$A803,$A803)),_xll.BDH(config!$G$4,E$1,$A803,$A803),_xll.BDH(config!$G$5,E$1,$A803,$A803))))</f>
        <v/>
      </c>
      <c r="F803" s="8" t="str">
        <f>IF($A803="","",IF(ISNUMBER(FIND("IMPVOL",F$1)),_xll.BDH(config!$G$4,F$1,WORKDAY($A803,-1,config_Holiday_Calendar_US),WORKDAY($A803,-1,config_Holiday_Calendar_US)),IF(ISNUMBER(_xll.BDH(config!$G$4,F$1,$A803,$A803)),_xll.BDH(config!$G$4,F$1,$A803,$A803),_xll.BDH(config!$G$5,F$1,$A803,$A803))))</f>
        <v/>
      </c>
      <c r="G803" s="8" t="str">
        <f>IF($A803="","",IF(ISNUMBER(FIND("IMPVOL",G$1)),_xll.BDH(config!$G$4,G$1,WORKDAY($A803,-1,config_Holiday_Calendar_US),WORKDAY($A803,-1,config_Holiday_Calendar_US)),IF(ISNUMBER(_xll.BDH(config!$G$4,G$1,$A803,$A803)),_xll.BDH(config!$G$4,G$1,$A803,$A803),_xll.BDH(config!$G$5,G$1,$A803,$A803))))</f>
        <v/>
      </c>
      <c r="H803" s="8" t="str">
        <f>IF($A803="","",IF(ISNUMBER(FIND("IMPVOL",H$1)),_xll.BDH(config!$G$4,H$1,WORKDAY($A803,-1,config_Holiday_Calendar_US),WORKDAY($A803,-1,config_Holiday_Calendar_US)),IF(ISNUMBER(_xll.BDH(config!$G$4,H$1,$A803,$A803)),_xll.BDH(config!$G$4,H$1,$A803,$A803),_xll.BDH(config!$G$5,H$1,$A803,$A803))))</f>
        <v/>
      </c>
      <c r="I803" s="8" t="str">
        <f>IF($A803="","",IF(ISNUMBER(FIND("IMPVOL",I$1)),_xll.BDH(config!$G$4,I$1,WORKDAY($A803,-1,config_Holiday_Calendar_US),WORKDAY($A803,-1,config_Holiday_Calendar_US)),IF(ISNUMBER(_xll.BDH(config!$G$4,I$1,$A803,$A803)),_xll.BDH(config!$G$4,I$1,$A803,$A803),_xll.BDH(config!$G$5,I$1,$A803,$A803))))</f>
        <v/>
      </c>
      <c r="J803" s="8" t="str">
        <f>IF($A803="","",IF(ISNUMBER(FIND("IMPVOL",J$1)),_xll.BDH(config!$G$4,J$1,WORKDAY($A803,-1,config_Holiday_Calendar_US),WORKDAY($A803,-1,config_Holiday_Calendar_US)),IF(ISNUMBER(_xll.BDH(config!$G$4,J$1,$A803,$A803)),_xll.BDH(config!$G$4,J$1,$A803,$A803),_xll.BDH(config!$G$5,J$1,$A803,$A803))))</f>
        <v/>
      </c>
      <c r="K803" s="8" t="str">
        <f>IF($A803="","",IF(ISNUMBER(FIND("IMPVOL",K$1)),_xll.BDH(config!$G$4,K$1,WORKDAY($A803,-1,config_Holiday_Calendar_US),WORKDAY($A803,-1,config_Holiday_Calendar_US)),IF(ISNUMBER(_xll.BDH(config!$G$4,K$1,$A803,$A803)),_xll.BDH(config!$G$4,K$1,$A803,$A803),_xll.BDH(config!$G$5,K$1,$A803,$A803))))</f>
        <v/>
      </c>
      <c r="L803" s="8" t="str">
        <f>IF($A803="","",IF(ISNUMBER(FIND("IMPVOL",L$1)),_xll.BDH(config!$G$4,L$1,WORKDAY($A803,-1,config_Holiday_Calendar_US),WORKDAY($A803,-1,config_Holiday_Calendar_US)),IF(ISNUMBER(_xll.BDH(config!$G$4,L$1,$A803,$A803)),_xll.BDH(config!$G$4,L$1,$A803,$A803),_xll.BDH(config!$G$5,L$1,$A803,$A803))))</f>
        <v/>
      </c>
      <c r="M803" s="8" t="str">
        <f>IF($A803="","",IF(ISNUMBER(FIND("IMPVOL",M$1)),_xll.BDH(config!$G$4,M$1,WORKDAY($A803,-1,config_Holiday_Calendar_US),WORKDAY($A803,-1,config_Holiday_Calendar_US)),IF(ISNUMBER(_xll.BDH(config!$G$4,M$1,$A803,$A803)),_xll.BDH(config!$G$4,M$1,$A803,$A803),_xll.BDH(config!$G$5,M$1,$A803,$A803))))</f>
        <v/>
      </c>
      <c r="N803" s="8" t="str">
        <f>IF($A803="","",IF(ISNUMBER(FIND("IMPVOL",N$1)),_xll.BDH(config!$G$4,N$1,WORKDAY($A803,-1,config_Holiday_Calendar_US),WORKDAY($A803,-1,config_Holiday_Calendar_US)),IF(ISNUMBER(_xll.BDH(config!$G$4,N$1,$A803,$A803)),_xll.BDH(config!$G$4,N$1,$A803,$A803),_xll.BDH(config!$G$5,N$1,$A803,$A803))))</f>
        <v/>
      </c>
      <c r="O803" s="8" t="str">
        <f>IF($A803="","",IF(ISNUMBER(FIND("IMPVOL",O$1)),_xll.BDH(config!$G$4,O$1,WORKDAY($A803,-1,config_Holiday_Calendar_US),WORKDAY($A803,-1,config_Holiday_Calendar_US)),IF(ISNUMBER(_xll.BDH(config!$G$4,O$1,$A803,$A803)),_xll.BDH(config!$G$4,O$1,$A803,$A803),_xll.BDH(config!$G$5,O$1,$A803,$A803))))</f>
        <v/>
      </c>
      <c r="P803" s="8" t="str">
        <f>IF($A803="","",IF(ISNUMBER(FIND("IMPVOL",P$1)),_xll.BDH(config!$G$4,P$1,WORKDAY($A803,-1,config_Holiday_Calendar_US),WORKDAY($A803,-1,config_Holiday_Calendar_US)),IF(ISNUMBER(_xll.BDH(config!$G$4,P$1,$A803,$A803)),_xll.BDH(config!$G$4,P$1,$A803,$A803),_xll.BDH(config!$G$5,P$1,$A803,$A803))))</f>
        <v/>
      </c>
      <c r="Q803" s="8" t="str">
        <f>IF($A803="","",IF(ISNUMBER(FIND("IMPVOL",Q$1)),_xll.BDH(config!$G$4,Q$1,WORKDAY($A803,-1,config_Holiday_Calendar_US),WORKDAY($A803,-1,config_Holiday_Calendar_US)),IF(ISNUMBER(_xll.BDH(config!$G$4,Q$1,$A803,$A803)),_xll.BDH(config!$G$4,Q$1,$A803,$A803),_xll.BDH(config!$G$5,Q$1,$A803,$A803))))</f>
        <v/>
      </c>
      <c r="R803" s="8" t="str">
        <f>IF($A803="","",IF(ISNUMBER(FIND("IMPVOL",R$1)),_xll.BDH(config!$G$4,R$1,WORKDAY($A803,-1,config_Holiday_Calendar_US),WORKDAY($A803,-1,config_Holiday_Calendar_US)),IF(ISNUMBER(_xll.BDH(config!$G$4,R$1,$A803,$A803)),_xll.BDH(config!$G$4,R$1,$A803,$A803),_xll.BDH(config!$G$5,R$1,$A803,$A803))))</f>
        <v/>
      </c>
      <c r="S803" s="8" t="str">
        <f>IF($A803="","",IF(ISNUMBER(FIND("IMPVOL",S$1)),_xll.BDH(config!$G$4,S$1,WORKDAY($A803,-1,config_Holiday_Calendar_US),WORKDAY($A803,-1,config_Holiday_Calendar_US)),IF(ISNUMBER(_xll.BDH(config!$G$4,S$1,$A803,$A803)),_xll.BDH(config!$G$4,S$1,$A803,$A803),_xll.BDH(config!$G$5,S$1,$A803,$A803))))</f>
        <v/>
      </c>
      <c r="T803" s="8" t="str">
        <f>IF($A803="","",IF(ISNUMBER(FIND("IMPVOL",T$1)),_xll.BDH(config!$G$4,T$1,WORKDAY($A803,-1,config_Holiday_Calendar_US),WORKDAY($A803,-1,config_Holiday_Calendar_US)),IF(ISNUMBER(_xll.BDH(config!$G$4,T$1,$A803,$A803)),_xll.BDH(config!$G$4,T$1,$A803,$A803),_xll.BDH(config!$G$5,T$1,$A803,$A803))))</f>
        <v/>
      </c>
      <c r="U803" s="8" t="str">
        <f>IF($A803="","",IF(ISNUMBER(FIND("IMPVOL",U$1)),_xll.BDH(config!$G$4,U$1,WORKDAY($A803,-1,config_Holiday_Calendar_US),WORKDAY($A803,-1,config_Holiday_Calendar_US)),IF(ISNUMBER(_xll.BDH(config!$G$4,U$1,$A803,$A803)),_xll.BDH(config!$G$4,U$1,$A803,$A803),_xll.BDH(config!$G$5,U$1,$A803,$A803))))</f>
        <v/>
      </c>
      <c r="V803" s="8" t="str">
        <f>IF($A803="","",IF(ISNUMBER(FIND("IMPVOL",V$1)),_xll.BDH(config!$G$4,V$1,WORKDAY($A803,-1,config_Holiday_Calendar_US),WORKDAY($A803,-1,config_Holiday_Calendar_US)),IF(ISNUMBER(_xll.BDH(config!$G$4,V$1,$A803,$A803)),_xll.BDH(config!$G$4,V$1,$A803,$A803),_xll.BDH(config!$G$5,V$1,$A803,$A803))))</f>
        <v/>
      </c>
      <c r="W803" s="8" t="str">
        <f>IF($A803="","",IF(ISNUMBER(FIND("IMPVOL",W$1)),_xll.BDH(config!$G$4,W$1,WORKDAY($A803,-1,config_Holiday_Calendar_US),WORKDAY($A803,-1,config_Holiday_Calendar_US)),IF(ISNUMBER(_xll.BDH(config!$G$4,W$1,$A803,$A803)),_xll.BDH(config!$G$4,W$1,$A803,$A803),_xll.BDH(config!$G$5,W$1,$A803,$A803))))</f>
        <v/>
      </c>
    </row>
    <row r="804" spans="1:23" x14ac:dyDescent="0.2">
      <c r="A804" s="9" t="str">
        <f>IF(A803="","",IF(WORKDAY(A803,-1,config_Holiday_Calendar_US)&lt;config!$I$10,"",WORKDAY(A803,-1,config_Holiday_Calendar_US)))</f>
        <v/>
      </c>
      <c r="B804" s="8" t="str">
        <f t="shared" si="12"/>
        <v/>
      </c>
      <c r="C804" s="8" t="str">
        <f>IF(A804="","",_xll.BDH(config!$H$4,C$1,$A804,$A804))</f>
        <v/>
      </c>
      <c r="D804" s="8" t="str">
        <f>IF($A804="","",_xll.BDH(config!$H$4,D$1,$A804,$A804))</f>
        <v/>
      </c>
      <c r="E804" s="8" t="str">
        <f>IF($A804="","",IF(ISNUMBER(FIND("IMPVOL",E$1)),_xll.BDH(config!$G$4,E$1,WORKDAY($A804,-1,config_Holiday_Calendar_US),WORKDAY($A804,-1,config_Holiday_Calendar_US)),IF(ISNUMBER(_xll.BDH(config!$G$4,E$1,$A804,$A804)),_xll.BDH(config!$G$4,E$1,$A804,$A804),_xll.BDH(config!$G$5,E$1,$A804,$A804))))</f>
        <v/>
      </c>
      <c r="F804" s="8" t="str">
        <f>IF($A804="","",IF(ISNUMBER(FIND("IMPVOL",F$1)),_xll.BDH(config!$G$4,F$1,WORKDAY($A804,-1,config_Holiday_Calendar_US),WORKDAY($A804,-1,config_Holiday_Calendar_US)),IF(ISNUMBER(_xll.BDH(config!$G$4,F$1,$A804,$A804)),_xll.BDH(config!$G$4,F$1,$A804,$A804),_xll.BDH(config!$G$5,F$1,$A804,$A804))))</f>
        <v/>
      </c>
      <c r="G804" s="8" t="str">
        <f>IF($A804="","",IF(ISNUMBER(FIND("IMPVOL",G$1)),_xll.BDH(config!$G$4,G$1,WORKDAY($A804,-1,config_Holiday_Calendar_US),WORKDAY($A804,-1,config_Holiday_Calendar_US)),IF(ISNUMBER(_xll.BDH(config!$G$4,G$1,$A804,$A804)),_xll.BDH(config!$G$4,G$1,$A804,$A804),_xll.BDH(config!$G$5,G$1,$A804,$A804))))</f>
        <v/>
      </c>
      <c r="H804" s="8" t="str">
        <f>IF($A804="","",IF(ISNUMBER(FIND("IMPVOL",H$1)),_xll.BDH(config!$G$4,H$1,WORKDAY($A804,-1,config_Holiday_Calendar_US),WORKDAY($A804,-1,config_Holiday_Calendar_US)),IF(ISNUMBER(_xll.BDH(config!$G$4,H$1,$A804,$A804)),_xll.BDH(config!$G$4,H$1,$A804,$A804),_xll.BDH(config!$G$5,H$1,$A804,$A804))))</f>
        <v/>
      </c>
      <c r="I804" s="8" t="str">
        <f>IF($A804="","",IF(ISNUMBER(FIND("IMPVOL",I$1)),_xll.BDH(config!$G$4,I$1,WORKDAY($A804,-1,config_Holiday_Calendar_US),WORKDAY($A804,-1,config_Holiday_Calendar_US)),IF(ISNUMBER(_xll.BDH(config!$G$4,I$1,$A804,$A804)),_xll.BDH(config!$G$4,I$1,$A804,$A804),_xll.BDH(config!$G$5,I$1,$A804,$A804))))</f>
        <v/>
      </c>
      <c r="J804" s="8" t="str">
        <f>IF($A804="","",IF(ISNUMBER(FIND("IMPVOL",J$1)),_xll.BDH(config!$G$4,J$1,WORKDAY($A804,-1,config_Holiday_Calendar_US),WORKDAY($A804,-1,config_Holiday_Calendar_US)),IF(ISNUMBER(_xll.BDH(config!$G$4,J$1,$A804,$A804)),_xll.BDH(config!$G$4,J$1,$A804,$A804),_xll.BDH(config!$G$5,J$1,$A804,$A804))))</f>
        <v/>
      </c>
      <c r="K804" s="8" t="str">
        <f>IF($A804="","",IF(ISNUMBER(FIND("IMPVOL",K$1)),_xll.BDH(config!$G$4,K$1,WORKDAY($A804,-1,config_Holiday_Calendar_US),WORKDAY($A804,-1,config_Holiday_Calendar_US)),IF(ISNUMBER(_xll.BDH(config!$G$4,K$1,$A804,$A804)),_xll.BDH(config!$G$4,K$1,$A804,$A804),_xll.BDH(config!$G$5,K$1,$A804,$A804))))</f>
        <v/>
      </c>
      <c r="L804" s="8" t="str">
        <f>IF($A804="","",IF(ISNUMBER(FIND("IMPVOL",L$1)),_xll.BDH(config!$G$4,L$1,WORKDAY($A804,-1,config_Holiday_Calendar_US),WORKDAY($A804,-1,config_Holiday_Calendar_US)),IF(ISNUMBER(_xll.BDH(config!$G$4,L$1,$A804,$A804)),_xll.BDH(config!$G$4,L$1,$A804,$A804),_xll.BDH(config!$G$5,L$1,$A804,$A804))))</f>
        <v/>
      </c>
      <c r="M804" s="8" t="str">
        <f>IF($A804="","",IF(ISNUMBER(FIND("IMPVOL",M$1)),_xll.BDH(config!$G$4,M$1,WORKDAY($A804,-1,config_Holiday_Calendar_US),WORKDAY($A804,-1,config_Holiday_Calendar_US)),IF(ISNUMBER(_xll.BDH(config!$G$4,M$1,$A804,$A804)),_xll.BDH(config!$G$4,M$1,$A804,$A804),_xll.BDH(config!$G$5,M$1,$A804,$A804))))</f>
        <v/>
      </c>
      <c r="N804" s="8" t="str">
        <f>IF($A804="","",IF(ISNUMBER(FIND("IMPVOL",N$1)),_xll.BDH(config!$G$4,N$1,WORKDAY($A804,-1,config_Holiday_Calendar_US),WORKDAY($A804,-1,config_Holiday_Calendar_US)),IF(ISNUMBER(_xll.BDH(config!$G$4,N$1,$A804,$A804)),_xll.BDH(config!$G$4,N$1,$A804,$A804),_xll.BDH(config!$G$5,N$1,$A804,$A804))))</f>
        <v/>
      </c>
      <c r="O804" s="8" t="str">
        <f>IF($A804="","",IF(ISNUMBER(FIND("IMPVOL",O$1)),_xll.BDH(config!$G$4,O$1,WORKDAY($A804,-1,config_Holiday_Calendar_US),WORKDAY($A804,-1,config_Holiday_Calendar_US)),IF(ISNUMBER(_xll.BDH(config!$G$4,O$1,$A804,$A804)),_xll.BDH(config!$G$4,O$1,$A804,$A804),_xll.BDH(config!$G$5,O$1,$A804,$A804))))</f>
        <v/>
      </c>
      <c r="P804" s="8" t="str">
        <f>IF($A804="","",IF(ISNUMBER(FIND("IMPVOL",P$1)),_xll.BDH(config!$G$4,P$1,WORKDAY($A804,-1,config_Holiday_Calendar_US),WORKDAY($A804,-1,config_Holiday_Calendar_US)),IF(ISNUMBER(_xll.BDH(config!$G$4,P$1,$A804,$A804)),_xll.BDH(config!$G$4,P$1,$A804,$A804),_xll.BDH(config!$G$5,P$1,$A804,$A804))))</f>
        <v/>
      </c>
      <c r="Q804" s="8" t="str">
        <f>IF($A804="","",IF(ISNUMBER(FIND("IMPVOL",Q$1)),_xll.BDH(config!$G$4,Q$1,WORKDAY($A804,-1,config_Holiday_Calendar_US),WORKDAY($A804,-1,config_Holiday_Calendar_US)),IF(ISNUMBER(_xll.BDH(config!$G$4,Q$1,$A804,$A804)),_xll.BDH(config!$G$4,Q$1,$A804,$A804),_xll.BDH(config!$G$5,Q$1,$A804,$A804))))</f>
        <v/>
      </c>
      <c r="R804" s="8" t="str">
        <f>IF($A804="","",IF(ISNUMBER(FIND("IMPVOL",R$1)),_xll.BDH(config!$G$4,R$1,WORKDAY($A804,-1,config_Holiday_Calendar_US),WORKDAY($A804,-1,config_Holiday_Calendar_US)),IF(ISNUMBER(_xll.BDH(config!$G$4,R$1,$A804,$A804)),_xll.BDH(config!$G$4,R$1,$A804,$A804),_xll.BDH(config!$G$5,R$1,$A804,$A804))))</f>
        <v/>
      </c>
      <c r="S804" s="8" t="str">
        <f>IF($A804="","",IF(ISNUMBER(FIND("IMPVOL",S$1)),_xll.BDH(config!$G$4,S$1,WORKDAY($A804,-1,config_Holiday_Calendar_US),WORKDAY($A804,-1,config_Holiday_Calendar_US)),IF(ISNUMBER(_xll.BDH(config!$G$4,S$1,$A804,$A804)),_xll.BDH(config!$G$4,S$1,$A804,$A804),_xll.BDH(config!$G$5,S$1,$A804,$A804))))</f>
        <v/>
      </c>
      <c r="T804" s="8" t="str">
        <f>IF($A804="","",IF(ISNUMBER(FIND("IMPVOL",T$1)),_xll.BDH(config!$G$4,T$1,WORKDAY($A804,-1,config_Holiday_Calendar_US),WORKDAY($A804,-1,config_Holiday_Calendar_US)),IF(ISNUMBER(_xll.BDH(config!$G$4,T$1,$A804,$A804)),_xll.BDH(config!$G$4,T$1,$A804,$A804),_xll.BDH(config!$G$5,T$1,$A804,$A804))))</f>
        <v/>
      </c>
      <c r="U804" s="8" t="str">
        <f>IF($A804="","",IF(ISNUMBER(FIND("IMPVOL",U$1)),_xll.BDH(config!$G$4,U$1,WORKDAY($A804,-1,config_Holiday_Calendar_US),WORKDAY($A804,-1,config_Holiday_Calendar_US)),IF(ISNUMBER(_xll.BDH(config!$G$4,U$1,$A804,$A804)),_xll.BDH(config!$G$4,U$1,$A804,$A804),_xll.BDH(config!$G$5,U$1,$A804,$A804))))</f>
        <v/>
      </c>
      <c r="V804" s="8" t="str">
        <f>IF($A804="","",IF(ISNUMBER(FIND("IMPVOL",V$1)),_xll.BDH(config!$G$4,V$1,WORKDAY($A804,-1,config_Holiday_Calendar_US),WORKDAY($A804,-1,config_Holiday_Calendar_US)),IF(ISNUMBER(_xll.BDH(config!$G$4,V$1,$A804,$A804)),_xll.BDH(config!$G$4,V$1,$A804,$A804),_xll.BDH(config!$G$5,V$1,$A804,$A804))))</f>
        <v/>
      </c>
      <c r="W804" s="8" t="str">
        <f>IF($A804="","",IF(ISNUMBER(FIND("IMPVOL",W$1)),_xll.BDH(config!$G$4,W$1,WORKDAY($A804,-1,config_Holiday_Calendar_US),WORKDAY($A804,-1,config_Holiday_Calendar_US)),IF(ISNUMBER(_xll.BDH(config!$G$4,W$1,$A804,$A804)),_xll.BDH(config!$G$4,W$1,$A804,$A804),_xll.BDH(config!$G$5,W$1,$A804,$A804))))</f>
        <v/>
      </c>
    </row>
    <row r="805" spans="1:23" x14ac:dyDescent="0.2">
      <c r="A805" s="9" t="str">
        <f>IF(A804="","",IF(WORKDAY(A804,-1,config_Holiday_Calendar_US)&lt;config!$I$10,"",WORKDAY(A804,-1,config_Holiday_Calendar_US)))</f>
        <v/>
      </c>
      <c r="B805" s="8" t="str">
        <f t="shared" si="12"/>
        <v/>
      </c>
      <c r="C805" s="8" t="str">
        <f>IF(A805="","",_xll.BDH(config!$H$4,C$1,$A805,$A805))</f>
        <v/>
      </c>
      <c r="D805" s="8" t="str">
        <f>IF($A805="","",_xll.BDH(config!$H$4,D$1,$A805,$A805))</f>
        <v/>
      </c>
      <c r="E805" s="8" t="str">
        <f>IF($A805="","",IF(ISNUMBER(FIND("IMPVOL",E$1)),_xll.BDH(config!$G$4,E$1,WORKDAY($A805,-1,config_Holiday_Calendar_US),WORKDAY($A805,-1,config_Holiday_Calendar_US)),IF(ISNUMBER(_xll.BDH(config!$G$4,E$1,$A805,$A805)),_xll.BDH(config!$G$4,E$1,$A805,$A805),_xll.BDH(config!$G$5,E$1,$A805,$A805))))</f>
        <v/>
      </c>
      <c r="F805" s="8" t="str">
        <f>IF($A805="","",IF(ISNUMBER(FIND("IMPVOL",F$1)),_xll.BDH(config!$G$4,F$1,WORKDAY($A805,-1,config_Holiday_Calendar_US),WORKDAY($A805,-1,config_Holiday_Calendar_US)),IF(ISNUMBER(_xll.BDH(config!$G$4,F$1,$A805,$A805)),_xll.BDH(config!$G$4,F$1,$A805,$A805),_xll.BDH(config!$G$5,F$1,$A805,$A805))))</f>
        <v/>
      </c>
      <c r="G805" s="8" t="str">
        <f>IF($A805="","",IF(ISNUMBER(FIND("IMPVOL",G$1)),_xll.BDH(config!$G$4,G$1,WORKDAY($A805,-1,config_Holiday_Calendar_US),WORKDAY($A805,-1,config_Holiday_Calendar_US)),IF(ISNUMBER(_xll.BDH(config!$G$4,G$1,$A805,$A805)),_xll.BDH(config!$G$4,G$1,$A805,$A805),_xll.BDH(config!$G$5,G$1,$A805,$A805))))</f>
        <v/>
      </c>
      <c r="H805" s="8" t="str">
        <f>IF($A805="","",IF(ISNUMBER(FIND("IMPVOL",H$1)),_xll.BDH(config!$G$4,H$1,WORKDAY($A805,-1,config_Holiday_Calendar_US),WORKDAY($A805,-1,config_Holiday_Calendar_US)),IF(ISNUMBER(_xll.BDH(config!$G$4,H$1,$A805,$A805)),_xll.BDH(config!$G$4,H$1,$A805,$A805),_xll.BDH(config!$G$5,H$1,$A805,$A805))))</f>
        <v/>
      </c>
      <c r="I805" s="8" t="str">
        <f>IF($A805="","",IF(ISNUMBER(FIND("IMPVOL",I$1)),_xll.BDH(config!$G$4,I$1,WORKDAY($A805,-1,config_Holiday_Calendar_US),WORKDAY($A805,-1,config_Holiday_Calendar_US)),IF(ISNUMBER(_xll.BDH(config!$G$4,I$1,$A805,$A805)),_xll.BDH(config!$G$4,I$1,$A805,$A805),_xll.BDH(config!$G$5,I$1,$A805,$A805))))</f>
        <v/>
      </c>
      <c r="J805" s="8" t="str">
        <f>IF($A805="","",IF(ISNUMBER(FIND("IMPVOL",J$1)),_xll.BDH(config!$G$4,J$1,WORKDAY($A805,-1,config_Holiday_Calendar_US),WORKDAY($A805,-1,config_Holiday_Calendar_US)),IF(ISNUMBER(_xll.BDH(config!$G$4,J$1,$A805,$A805)),_xll.BDH(config!$G$4,J$1,$A805,$A805),_xll.BDH(config!$G$5,J$1,$A805,$A805))))</f>
        <v/>
      </c>
      <c r="K805" s="8" t="str">
        <f>IF($A805="","",IF(ISNUMBER(FIND("IMPVOL",K$1)),_xll.BDH(config!$G$4,K$1,WORKDAY($A805,-1,config_Holiday_Calendar_US),WORKDAY($A805,-1,config_Holiday_Calendar_US)),IF(ISNUMBER(_xll.BDH(config!$G$4,K$1,$A805,$A805)),_xll.BDH(config!$G$4,K$1,$A805,$A805),_xll.BDH(config!$G$5,K$1,$A805,$A805))))</f>
        <v/>
      </c>
      <c r="L805" s="8" t="str">
        <f>IF($A805="","",IF(ISNUMBER(FIND("IMPVOL",L$1)),_xll.BDH(config!$G$4,L$1,WORKDAY($A805,-1,config_Holiday_Calendar_US),WORKDAY($A805,-1,config_Holiday_Calendar_US)),IF(ISNUMBER(_xll.BDH(config!$G$4,L$1,$A805,$A805)),_xll.BDH(config!$G$4,L$1,$A805,$A805),_xll.BDH(config!$G$5,L$1,$A805,$A805))))</f>
        <v/>
      </c>
      <c r="M805" s="8" t="str">
        <f>IF($A805="","",IF(ISNUMBER(FIND("IMPVOL",M$1)),_xll.BDH(config!$G$4,M$1,WORKDAY($A805,-1,config_Holiday_Calendar_US),WORKDAY($A805,-1,config_Holiday_Calendar_US)),IF(ISNUMBER(_xll.BDH(config!$G$4,M$1,$A805,$A805)),_xll.BDH(config!$G$4,M$1,$A805,$A805),_xll.BDH(config!$G$5,M$1,$A805,$A805))))</f>
        <v/>
      </c>
      <c r="N805" s="8" t="str">
        <f>IF($A805="","",IF(ISNUMBER(FIND("IMPVOL",N$1)),_xll.BDH(config!$G$4,N$1,WORKDAY($A805,-1,config_Holiday_Calendar_US),WORKDAY($A805,-1,config_Holiday_Calendar_US)),IF(ISNUMBER(_xll.BDH(config!$G$4,N$1,$A805,$A805)),_xll.BDH(config!$G$4,N$1,$A805,$A805),_xll.BDH(config!$G$5,N$1,$A805,$A805))))</f>
        <v/>
      </c>
      <c r="O805" s="8" t="str">
        <f>IF($A805="","",IF(ISNUMBER(FIND("IMPVOL",O$1)),_xll.BDH(config!$G$4,O$1,WORKDAY($A805,-1,config_Holiday_Calendar_US),WORKDAY($A805,-1,config_Holiday_Calendar_US)),IF(ISNUMBER(_xll.BDH(config!$G$4,O$1,$A805,$A805)),_xll.BDH(config!$G$4,O$1,$A805,$A805),_xll.BDH(config!$G$5,O$1,$A805,$A805))))</f>
        <v/>
      </c>
      <c r="P805" s="8" t="str">
        <f>IF($A805="","",IF(ISNUMBER(FIND("IMPVOL",P$1)),_xll.BDH(config!$G$4,P$1,WORKDAY($A805,-1,config_Holiday_Calendar_US),WORKDAY($A805,-1,config_Holiday_Calendar_US)),IF(ISNUMBER(_xll.BDH(config!$G$4,P$1,$A805,$A805)),_xll.BDH(config!$G$4,P$1,$A805,$A805),_xll.BDH(config!$G$5,P$1,$A805,$A805))))</f>
        <v/>
      </c>
      <c r="Q805" s="8" t="str">
        <f>IF($A805="","",IF(ISNUMBER(FIND("IMPVOL",Q$1)),_xll.BDH(config!$G$4,Q$1,WORKDAY($A805,-1,config_Holiday_Calendar_US),WORKDAY($A805,-1,config_Holiday_Calendar_US)),IF(ISNUMBER(_xll.BDH(config!$G$4,Q$1,$A805,$A805)),_xll.BDH(config!$G$4,Q$1,$A805,$A805),_xll.BDH(config!$G$5,Q$1,$A805,$A805))))</f>
        <v/>
      </c>
      <c r="R805" s="8" t="str">
        <f>IF($A805="","",IF(ISNUMBER(FIND("IMPVOL",R$1)),_xll.BDH(config!$G$4,R$1,WORKDAY($A805,-1,config_Holiday_Calendar_US),WORKDAY($A805,-1,config_Holiday_Calendar_US)),IF(ISNUMBER(_xll.BDH(config!$G$4,R$1,$A805,$A805)),_xll.BDH(config!$G$4,R$1,$A805,$A805),_xll.BDH(config!$G$5,R$1,$A805,$A805))))</f>
        <v/>
      </c>
      <c r="S805" s="8" t="str">
        <f>IF($A805="","",IF(ISNUMBER(FIND("IMPVOL",S$1)),_xll.BDH(config!$G$4,S$1,WORKDAY($A805,-1,config_Holiday_Calendar_US),WORKDAY($A805,-1,config_Holiday_Calendar_US)),IF(ISNUMBER(_xll.BDH(config!$G$4,S$1,$A805,$A805)),_xll.BDH(config!$G$4,S$1,$A805,$A805),_xll.BDH(config!$G$5,S$1,$A805,$A805))))</f>
        <v/>
      </c>
      <c r="T805" s="8" t="str">
        <f>IF($A805="","",IF(ISNUMBER(FIND("IMPVOL",T$1)),_xll.BDH(config!$G$4,T$1,WORKDAY($A805,-1,config_Holiday_Calendar_US),WORKDAY($A805,-1,config_Holiday_Calendar_US)),IF(ISNUMBER(_xll.BDH(config!$G$4,T$1,$A805,$A805)),_xll.BDH(config!$G$4,T$1,$A805,$A805),_xll.BDH(config!$G$5,T$1,$A805,$A805))))</f>
        <v/>
      </c>
      <c r="U805" s="8" t="str">
        <f>IF($A805="","",IF(ISNUMBER(FIND("IMPVOL",U$1)),_xll.BDH(config!$G$4,U$1,WORKDAY($A805,-1,config_Holiday_Calendar_US),WORKDAY($A805,-1,config_Holiday_Calendar_US)),IF(ISNUMBER(_xll.BDH(config!$G$4,U$1,$A805,$A805)),_xll.BDH(config!$G$4,U$1,$A805,$A805),_xll.BDH(config!$G$5,U$1,$A805,$A805))))</f>
        <v/>
      </c>
      <c r="V805" s="8" t="str">
        <f>IF($A805="","",IF(ISNUMBER(FIND("IMPVOL",V$1)),_xll.BDH(config!$G$4,V$1,WORKDAY($A805,-1,config_Holiday_Calendar_US),WORKDAY($A805,-1,config_Holiday_Calendar_US)),IF(ISNUMBER(_xll.BDH(config!$G$4,V$1,$A805,$A805)),_xll.BDH(config!$G$4,V$1,$A805,$A805),_xll.BDH(config!$G$5,V$1,$A805,$A805))))</f>
        <v/>
      </c>
      <c r="W805" s="8" t="str">
        <f>IF($A805="","",IF(ISNUMBER(FIND("IMPVOL",W$1)),_xll.BDH(config!$G$4,W$1,WORKDAY($A805,-1,config_Holiday_Calendar_US),WORKDAY($A805,-1,config_Holiday_Calendar_US)),IF(ISNUMBER(_xll.BDH(config!$G$4,W$1,$A805,$A805)),_xll.BDH(config!$G$4,W$1,$A805,$A805),_xll.BDH(config!$G$5,W$1,$A805,$A805))))</f>
        <v/>
      </c>
    </row>
    <row r="806" spans="1:23" x14ac:dyDescent="0.2">
      <c r="A806" s="9" t="str">
        <f>IF(A805="","",IF(WORKDAY(A805,-1,config_Holiday_Calendar_US)&lt;config!$I$10,"",WORKDAY(A805,-1,config_Holiday_Calendar_US)))</f>
        <v/>
      </c>
      <c r="B806" s="8" t="str">
        <f t="shared" si="12"/>
        <v/>
      </c>
      <c r="C806" s="8" t="str">
        <f>IF(A806="","",_xll.BDH(config!$H$4,C$1,$A806,$A806))</f>
        <v/>
      </c>
      <c r="D806" s="8" t="str">
        <f>IF($A806="","",_xll.BDH(config!$H$4,D$1,$A806,$A806))</f>
        <v/>
      </c>
      <c r="E806" s="8" t="str">
        <f>IF($A806="","",IF(ISNUMBER(FIND("IMPVOL",E$1)),_xll.BDH(config!$G$4,E$1,WORKDAY($A806,-1,config_Holiday_Calendar_US),WORKDAY($A806,-1,config_Holiday_Calendar_US)),IF(ISNUMBER(_xll.BDH(config!$G$4,E$1,$A806,$A806)),_xll.BDH(config!$G$4,E$1,$A806,$A806),_xll.BDH(config!$G$5,E$1,$A806,$A806))))</f>
        <v/>
      </c>
      <c r="F806" s="8" t="str">
        <f>IF($A806="","",IF(ISNUMBER(FIND("IMPVOL",F$1)),_xll.BDH(config!$G$4,F$1,WORKDAY($A806,-1,config_Holiday_Calendar_US),WORKDAY($A806,-1,config_Holiday_Calendar_US)),IF(ISNUMBER(_xll.BDH(config!$G$4,F$1,$A806,$A806)),_xll.BDH(config!$G$4,F$1,$A806,$A806),_xll.BDH(config!$G$5,F$1,$A806,$A806))))</f>
        <v/>
      </c>
      <c r="G806" s="8" t="str">
        <f>IF($A806="","",IF(ISNUMBER(FIND("IMPVOL",G$1)),_xll.BDH(config!$G$4,G$1,WORKDAY($A806,-1,config_Holiday_Calendar_US),WORKDAY($A806,-1,config_Holiday_Calendar_US)),IF(ISNUMBER(_xll.BDH(config!$G$4,G$1,$A806,$A806)),_xll.BDH(config!$G$4,G$1,$A806,$A806),_xll.BDH(config!$G$5,G$1,$A806,$A806))))</f>
        <v/>
      </c>
      <c r="H806" s="8" t="str">
        <f>IF($A806="","",IF(ISNUMBER(FIND("IMPVOL",H$1)),_xll.BDH(config!$G$4,H$1,WORKDAY($A806,-1,config_Holiday_Calendar_US),WORKDAY($A806,-1,config_Holiday_Calendar_US)),IF(ISNUMBER(_xll.BDH(config!$G$4,H$1,$A806,$A806)),_xll.BDH(config!$G$4,H$1,$A806,$A806),_xll.BDH(config!$G$5,H$1,$A806,$A806))))</f>
        <v/>
      </c>
      <c r="I806" s="8" t="str">
        <f>IF($A806="","",IF(ISNUMBER(FIND("IMPVOL",I$1)),_xll.BDH(config!$G$4,I$1,WORKDAY($A806,-1,config_Holiday_Calendar_US),WORKDAY($A806,-1,config_Holiday_Calendar_US)),IF(ISNUMBER(_xll.BDH(config!$G$4,I$1,$A806,$A806)),_xll.BDH(config!$G$4,I$1,$A806,$A806),_xll.BDH(config!$G$5,I$1,$A806,$A806))))</f>
        <v/>
      </c>
      <c r="J806" s="8" t="str">
        <f>IF($A806="","",IF(ISNUMBER(FIND("IMPVOL",J$1)),_xll.BDH(config!$G$4,J$1,WORKDAY($A806,-1,config_Holiday_Calendar_US),WORKDAY($A806,-1,config_Holiday_Calendar_US)),IF(ISNUMBER(_xll.BDH(config!$G$4,J$1,$A806,$A806)),_xll.BDH(config!$G$4,J$1,$A806,$A806),_xll.BDH(config!$G$5,J$1,$A806,$A806))))</f>
        <v/>
      </c>
      <c r="K806" s="8" t="str">
        <f>IF($A806="","",IF(ISNUMBER(FIND("IMPVOL",K$1)),_xll.BDH(config!$G$4,K$1,WORKDAY($A806,-1,config_Holiday_Calendar_US),WORKDAY($A806,-1,config_Holiday_Calendar_US)),IF(ISNUMBER(_xll.BDH(config!$G$4,K$1,$A806,$A806)),_xll.BDH(config!$G$4,K$1,$A806,$A806),_xll.BDH(config!$G$5,K$1,$A806,$A806))))</f>
        <v/>
      </c>
      <c r="L806" s="8" t="str">
        <f>IF($A806="","",IF(ISNUMBER(FIND("IMPVOL",L$1)),_xll.BDH(config!$G$4,L$1,WORKDAY($A806,-1,config_Holiday_Calendar_US),WORKDAY($A806,-1,config_Holiday_Calendar_US)),IF(ISNUMBER(_xll.BDH(config!$G$4,L$1,$A806,$A806)),_xll.BDH(config!$G$4,L$1,$A806,$A806),_xll.BDH(config!$G$5,L$1,$A806,$A806))))</f>
        <v/>
      </c>
      <c r="M806" s="8" t="str">
        <f>IF($A806="","",IF(ISNUMBER(FIND("IMPVOL",M$1)),_xll.BDH(config!$G$4,M$1,WORKDAY($A806,-1,config_Holiday_Calendar_US),WORKDAY($A806,-1,config_Holiday_Calendar_US)),IF(ISNUMBER(_xll.BDH(config!$G$4,M$1,$A806,$A806)),_xll.BDH(config!$G$4,M$1,$A806,$A806),_xll.BDH(config!$G$5,M$1,$A806,$A806))))</f>
        <v/>
      </c>
      <c r="N806" s="8" t="str">
        <f>IF($A806="","",IF(ISNUMBER(FIND("IMPVOL",N$1)),_xll.BDH(config!$G$4,N$1,WORKDAY($A806,-1,config_Holiday_Calendar_US),WORKDAY($A806,-1,config_Holiday_Calendar_US)),IF(ISNUMBER(_xll.BDH(config!$G$4,N$1,$A806,$A806)),_xll.BDH(config!$G$4,N$1,$A806,$A806),_xll.BDH(config!$G$5,N$1,$A806,$A806))))</f>
        <v/>
      </c>
      <c r="O806" s="8" t="str">
        <f>IF($A806="","",IF(ISNUMBER(FIND("IMPVOL",O$1)),_xll.BDH(config!$G$4,O$1,WORKDAY($A806,-1,config_Holiday_Calendar_US),WORKDAY($A806,-1,config_Holiday_Calendar_US)),IF(ISNUMBER(_xll.BDH(config!$G$4,O$1,$A806,$A806)),_xll.BDH(config!$G$4,O$1,$A806,$A806),_xll.BDH(config!$G$5,O$1,$A806,$A806))))</f>
        <v/>
      </c>
      <c r="P806" s="8" t="str">
        <f>IF($A806="","",IF(ISNUMBER(FIND("IMPVOL",P$1)),_xll.BDH(config!$G$4,P$1,WORKDAY($A806,-1,config_Holiday_Calendar_US),WORKDAY($A806,-1,config_Holiday_Calendar_US)),IF(ISNUMBER(_xll.BDH(config!$G$4,P$1,$A806,$A806)),_xll.BDH(config!$G$4,P$1,$A806,$A806),_xll.BDH(config!$G$5,P$1,$A806,$A806))))</f>
        <v/>
      </c>
      <c r="Q806" s="8" t="str">
        <f>IF($A806="","",IF(ISNUMBER(FIND("IMPVOL",Q$1)),_xll.BDH(config!$G$4,Q$1,WORKDAY($A806,-1,config_Holiday_Calendar_US),WORKDAY($A806,-1,config_Holiday_Calendar_US)),IF(ISNUMBER(_xll.BDH(config!$G$4,Q$1,$A806,$A806)),_xll.BDH(config!$G$4,Q$1,$A806,$A806),_xll.BDH(config!$G$5,Q$1,$A806,$A806))))</f>
        <v/>
      </c>
      <c r="R806" s="8" t="str">
        <f>IF($A806="","",IF(ISNUMBER(FIND("IMPVOL",R$1)),_xll.BDH(config!$G$4,R$1,WORKDAY($A806,-1,config_Holiday_Calendar_US),WORKDAY($A806,-1,config_Holiday_Calendar_US)),IF(ISNUMBER(_xll.BDH(config!$G$4,R$1,$A806,$A806)),_xll.BDH(config!$G$4,R$1,$A806,$A806),_xll.BDH(config!$G$5,R$1,$A806,$A806))))</f>
        <v/>
      </c>
      <c r="S806" s="8" t="str">
        <f>IF($A806="","",IF(ISNUMBER(FIND("IMPVOL",S$1)),_xll.BDH(config!$G$4,S$1,WORKDAY($A806,-1,config_Holiday_Calendar_US),WORKDAY($A806,-1,config_Holiday_Calendar_US)),IF(ISNUMBER(_xll.BDH(config!$G$4,S$1,$A806,$A806)),_xll.BDH(config!$G$4,S$1,$A806,$A806),_xll.BDH(config!$G$5,S$1,$A806,$A806))))</f>
        <v/>
      </c>
      <c r="T806" s="8" t="str">
        <f>IF($A806="","",IF(ISNUMBER(FIND("IMPVOL",T$1)),_xll.BDH(config!$G$4,T$1,WORKDAY($A806,-1,config_Holiday_Calendar_US),WORKDAY($A806,-1,config_Holiday_Calendar_US)),IF(ISNUMBER(_xll.BDH(config!$G$4,T$1,$A806,$A806)),_xll.BDH(config!$G$4,T$1,$A806,$A806),_xll.BDH(config!$G$5,T$1,$A806,$A806))))</f>
        <v/>
      </c>
      <c r="U806" s="8" t="str">
        <f>IF($A806="","",IF(ISNUMBER(FIND("IMPVOL",U$1)),_xll.BDH(config!$G$4,U$1,WORKDAY($A806,-1,config_Holiday_Calendar_US),WORKDAY($A806,-1,config_Holiday_Calendar_US)),IF(ISNUMBER(_xll.BDH(config!$G$4,U$1,$A806,$A806)),_xll.BDH(config!$G$4,U$1,$A806,$A806),_xll.BDH(config!$G$5,U$1,$A806,$A806))))</f>
        <v/>
      </c>
      <c r="V806" s="8" t="str">
        <f>IF($A806="","",IF(ISNUMBER(FIND("IMPVOL",V$1)),_xll.BDH(config!$G$4,V$1,WORKDAY($A806,-1,config_Holiday_Calendar_US),WORKDAY($A806,-1,config_Holiday_Calendar_US)),IF(ISNUMBER(_xll.BDH(config!$G$4,V$1,$A806,$A806)),_xll.BDH(config!$G$4,V$1,$A806,$A806),_xll.BDH(config!$G$5,V$1,$A806,$A806))))</f>
        <v/>
      </c>
      <c r="W806" s="8" t="str">
        <f>IF($A806="","",IF(ISNUMBER(FIND("IMPVOL",W$1)),_xll.BDH(config!$G$4,W$1,WORKDAY($A806,-1,config_Holiday_Calendar_US),WORKDAY($A806,-1,config_Holiday_Calendar_US)),IF(ISNUMBER(_xll.BDH(config!$G$4,W$1,$A806,$A806)),_xll.BDH(config!$G$4,W$1,$A806,$A806),_xll.BDH(config!$G$5,W$1,$A806,$A806))))</f>
        <v/>
      </c>
    </row>
    <row r="807" spans="1:23" x14ac:dyDescent="0.2">
      <c r="A807" s="9" t="str">
        <f>IF(A806="","",IF(WORKDAY(A806,-1,config_Holiday_Calendar_US)&lt;config!$I$10,"",WORKDAY(A806,-1,config_Holiday_Calendar_US)))</f>
        <v/>
      </c>
      <c r="B807" s="8" t="str">
        <f t="shared" si="12"/>
        <v/>
      </c>
      <c r="C807" s="8" t="str">
        <f>IF(A807="","",_xll.BDH(config!$H$4,C$1,$A807,$A807))</f>
        <v/>
      </c>
      <c r="D807" s="8" t="str">
        <f>IF($A807="","",_xll.BDH(config!$H$4,D$1,$A807,$A807))</f>
        <v/>
      </c>
      <c r="E807" s="8" t="str">
        <f>IF($A807="","",IF(ISNUMBER(FIND("IMPVOL",E$1)),_xll.BDH(config!$G$4,E$1,WORKDAY($A807,-1,config_Holiday_Calendar_US),WORKDAY($A807,-1,config_Holiday_Calendar_US)),IF(ISNUMBER(_xll.BDH(config!$G$4,E$1,$A807,$A807)),_xll.BDH(config!$G$4,E$1,$A807,$A807),_xll.BDH(config!$G$5,E$1,$A807,$A807))))</f>
        <v/>
      </c>
      <c r="F807" s="8" t="str">
        <f>IF($A807="","",IF(ISNUMBER(FIND("IMPVOL",F$1)),_xll.BDH(config!$G$4,F$1,WORKDAY($A807,-1,config_Holiday_Calendar_US),WORKDAY($A807,-1,config_Holiday_Calendar_US)),IF(ISNUMBER(_xll.BDH(config!$G$4,F$1,$A807,$A807)),_xll.BDH(config!$G$4,F$1,$A807,$A807),_xll.BDH(config!$G$5,F$1,$A807,$A807))))</f>
        <v/>
      </c>
      <c r="G807" s="8" t="str">
        <f>IF($A807="","",IF(ISNUMBER(FIND("IMPVOL",G$1)),_xll.BDH(config!$G$4,G$1,WORKDAY($A807,-1,config_Holiday_Calendar_US),WORKDAY($A807,-1,config_Holiday_Calendar_US)),IF(ISNUMBER(_xll.BDH(config!$G$4,G$1,$A807,$A807)),_xll.BDH(config!$G$4,G$1,$A807,$A807),_xll.BDH(config!$G$5,G$1,$A807,$A807))))</f>
        <v/>
      </c>
      <c r="H807" s="8" t="str">
        <f>IF($A807="","",IF(ISNUMBER(FIND("IMPVOL",H$1)),_xll.BDH(config!$G$4,H$1,WORKDAY($A807,-1,config_Holiday_Calendar_US),WORKDAY($A807,-1,config_Holiday_Calendar_US)),IF(ISNUMBER(_xll.BDH(config!$G$4,H$1,$A807,$A807)),_xll.BDH(config!$G$4,H$1,$A807,$A807),_xll.BDH(config!$G$5,H$1,$A807,$A807))))</f>
        <v/>
      </c>
      <c r="I807" s="8" t="str">
        <f>IF($A807="","",IF(ISNUMBER(FIND("IMPVOL",I$1)),_xll.BDH(config!$G$4,I$1,WORKDAY($A807,-1,config_Holiday_Calendar_US),WORKDAY($A807,-1,config_Holiday_Calendar_US)),IF(ISNUMBER(_xll.BDH(config!$G$4,I$1,$A807,$A807)),_xll.BDH(config!$G$4,I$1,$A807,$A807),_xll.BDH(config!$G$5,I$1,$A807,$A807))))</f>
        <v/>
      </c>
      <c r="J807" s="8" t="str">
        <f>IF($A807="","",IF(ISNUMBER(FIND("IMPVOL",J$1)),_xll.BDH(config!$G$4,J$1,WORKDAY($A807,-1,config_Holiday_Calendar_US),WORKDAY($A807,-1,config_Holiday_Calendar_US)),IF(ISNUMBER(_xll.BDH(config!$G$4,J$1,$A807,$A807)),_xll.BDH(config!$G$4,J$1,$A807,$A807),_xll.BDH(config!$G$5,J$1,$A807,$A807))))</f>
        <v/>
      </c>
      <c r="K807" s="8" t="str">
        <f>IF($A807="","",IF(ISNUMBER(FIND("IMPVOL",K$1)),_xll.BDH(config!$G$4,K$1,WORKDAY($A807,-1,config_Holiday_Calendar_US),WORKDAY($A807,-1,config_Holiday_Calendar_US)),IF(ISNUMBER(_xll.BDH(config!$G$4,K$1,$A807,$A807)),_xll.BDH(config!$G$4,K$1,$A807,$A807),_xll.BDH(config!$G$5,K$1,$A807,$A807))))</f>
        <v/>
      </c>
      <c r="L807" s="8" t="str">
        <f>IF($A807="","",IF(ISNUMBER(FIND("IMPVOL",L$1)),_xll.BDH(config!$G$4,L$1,WORKDAY($A807,-1,config_Holiday_Calendar_US),WORKDAY($A807,-1,config_Holiday_Calendar_US)),IF(ISNUMBER(_xll.BDH(config!$G$4,L$1,$A807,$A807)),_xll.BDH(config!$G$4,L$1,$A807,$A807),_xll.BDH(config!$G$5,L$1,$A807,$A807))))</f>
        <v/>
      </c>
      <c r="M807" s="8" t="str">
        <f>IF($A807="","",IF(ISNUMBER(FIND("IMPVOL",M$1)),_xll.BDH(config!$G$4,M$1,WORKDAY($A807,-1,config_Holiday_Calendar_US),WORKDAY($A807,-1,config_Holiday_Calendar_US)),IF(ISNUMBER(_xll.BDH(config!$G$4,M$1,$A807,$A807)),_xll.BDH(config!$G$4,M$1,$A807,$A807),_xll.BDH(config!$G$5,M$1,$A807,$A807))))</f>
        <v/>
      </c>
      <c r="N807" s="8" t="str">
        <f>IF($A807="","",IF(ISNUMBER(FIND("IMPVOL",N$1)),_xll.BDH(config!$G$4,N$1,WORKDAY($A807,-1,config_Holiday_Calendar_US),WORKDAY($A807,-1,config_Holiday_Calendar_US)),IF(ISNUMBER(_xll.BDH(config!$G$4,N$1,$A807,$A807)),_xll.BDH(config!$G$4,N$1,$A807,$A807),_xll.BDH(config!$G$5,N$1,$A807,$A807))))</f>
        <v/>
      </c>
      <c r="O807" s="8" t="str">
        <f>IF($A807="","",IF(ISNUMBER(FIND("IMPVOL",O$1)),_xll.BDH(config!$G$4,O$1,WORKDAY($A807,-1,config_Holiday_Calendar_US),WORKDAY($A807,-1,config_Holiday_Calendar_US)),IF(ISNUMBER(_xll.BDH(config!$G$4,O$1,$A807,$A807)),_xll.BDH(config!$G$4,O$1,$A807,$A807),_xll.BDH(config!$G$5,O$1,$A807,$A807))))</f>
        <v/>
      </c>
      <c r="P807" s="8" t="str">
        <f>IF($A807="","",IF(ISNUMBER(FIND("IMPVOL",P$1)),_xll.BDH(config!$G$4,P$1,WORKDAY($A807,-1,config_Holiday_Calendar_US),WORKDAY($A807,-1,config_Holiday_Calendar_US)),IF(ISNUMBER(_xll.BDH(config!$G$4,P$1,$A807,$A807)),_xll.BDH(config!$G$4,P$1,$A807,$A807),_xll.BDH(config!$G$5,P$1,$A807,$A807))))</f>
        <v/>
      </c>
      <c r="Q807" s="8" t="str">
        <f>IF($A807="","",IF(ISNUMBER(FIND("IMPVOL",Q$1)),_xll.BDH(config!$G$4,Q$1,WORKDAY($A807,-1,config_Holiday_Calendar_US),WORKDAY($A807,-1,config_Holiday_Calendar_US)),IF(ISNUMBER(_xll.BDH(config!$G$4,Q$1,$A807,$A807)),_xll.BDH(config!$G$4,Q$1,$A807,$A807),_xll.BDH(config!$G$5,Q$1,$A807,$A807))))</f>
        <v/>
      </c>
      <c r="R807" s="8" t="str">
        <f>IF($A807="","",IF(ISNUMBER(FIND("IMPVOL",R$1)),_xll.BDH(config!$G$4,R$1,WORKDAY($A807,-1,config_Holiday_Calendar_US),WORKDAY($A807,-1,config_Holiday_Calendar_US)),IF(ISNUMBER(_xll.BDH(config!$G$4,R$1,$A807,$A807)),_xll.BDH(config!$G$4,R$1,$A807,$A807),_xll.BDH(config!$G$5,R$1,$A807,$A807))))</f>
        <v/>
      </c>
      <c r="S807" s="8" t="str">
        <f>IF($A807="","",IF(ISNUMBER(FIND("IMPVOL",S$1)),_xll.BDH(config!$G$4,S$1,WORKDAY($A807,-1,config_Holiday_Calendar_US),WORKDAY($A807,-1,config_Holiday_Calendar_US)),IF(ISNUMBER(_xll.BDH(config!$G$4,S$1,$A807,$A807)),_xll.BDH(config!$G$4,S$1,$A807,$A807),_xll.BDH(config!$G$5,S$1,$A807,$A807))))</f>
        <v/>
      </c>
      <c r="T807" s="8" t="str">
        <f>IF($A807="","",IF(ISNUMBER(FIND("IMPVOL",T$1)),_xll.BDH(config!$G$4,T$1,WORKDAY($A807,-1,config_Holiday_Calendar_US),WORKDAY($A807,-1,config_Holiday_Calendar_US)),IF(ISNUMBER(_xll.BDH(config!$G$4,T$1,$A807,$A807)),_xll.BDH(config!$G$4,T$1,$A807,$A807),_xll.BDH(config!$G$5,T$1,$A807,$A807))))</f>
        <v/>
      </c>
      <c r="U807" s="8" t="str">
        <f>IF($A807="","",IF(ISNUMBER(FIND("IMPVOL",U$1)),_xll.BDH(config!$G$4,U$1,WORKDAY($A807,-1,config_Holiday_Calendar_US),WORKDAY($A807,-1,config_Holiday_Calendar_US)),IF(ISNUMBER(_xll.BDH(config!$G$4,U$1,$A807,$A807)),_xll.BDH(config!$G$4,U$1,$A807,$A807),_xll.BDH(config!$G$5,U$1,$A807,$A807))))</f>
        <v/>
      </c>
      <c r="V807" s="8" t="str">
        <f>IF($A807="","",IF(ISNUMBER(FIND("IMPVOL",V$1)),_xll.BDH(config!$G$4,V$1,WORKDAY($A807,-1,config_Holiday_Calendar_US),WORKDAY($A807,-1,config_Holiday_Calendar_US)),IF(ISNUMBER(_xll.BDH(config!$G$4,V$1,$A807,$A807)),_xll.BDH(config!$G$4,V$1,$A807,$A807),_xll.BDH(config!$G$5,V$1,$A807,$A807))))</f>
        <v/>
      </c>
      <c r="W807" s="8" t="str">
        <f>IF($A807="","",IF(ISNUMBER(FIND("IMPVOL",W$1)),_xll.BDH(config!$G$4,W$1,WORKDAY($A807,-1,config_Holiday_Calendar_US),WORKDAY($A807,-1,config_Holiday_Calendar_US)),IF(ISNUMBER(_xll.BDH(config!$G$4,W$1,$A807,$A807)),_xll.BDH(config!$G$4,W$1,$A807,$A807),_xll.BDH(config!$G$5,W$1,$A807,$A807))))</f>
        <v/>
      </c>
    </row>
    <row r="808" spans="1:23" x14ac:dyDescent="0.2">
      <c r="A808" s="9" t="str">
        <f>IF(A807="","",IF(WORKDAY(A807,-1,config_Holiday_Calendar_US)&lt;config!$I$10,"",WORKDAY(A807,-1,config_Holiday_Calendar_US)))</f>
        <v/>
      </c>
      <c r="B808" s="8" t="str">
        <f t="shared" si="12"/>
        <v/>
      </c>
      <c r="C808" s="8" t="str">
        <f>IF(A808="","",_xll.BDH(config!$H$4,C$1,$A808,$A808))</f>
        <v/>
      </c>
      <c r="D808" s="8" t="str">
        <f>IF($A808="","",_xll.BDH(config!$H$4,D$1,$A808,$A808))</f>
        <v/>
      </c>
      <c r="E808" s="8" t="str">
        <f>IF($A808="","",IF(ISNUMBER(FIND("IMPVOL",E$1)),_xll.BDH(config!$G$4,E$1,WORKDAY($A808,-1,config_Holiday_Calendar_US),WORKDAY($A808,-1,config_Holiday_Calendar_US)),IF(ISNUMBER(_xll.BDH(config!$G$4,E$1,$A808,$A808)),_xll.BDH(config!$G$4,E$1,$A808,$A808),_xll.BDH(config!$G$5,E$1,$A808,$A808))))</f>
        <v/>
      </c>
      <c r="F808" s="8" t="str">
        <f>IF($A808="","",IF(ISNUMBER(FIND("IMPVOL",F$1)),_xll.BDH(config!$G$4,F$1,WORKDAY($A808,-1,config_Holiday_Calendar_US),WORKDAY($A808,-1,config_Holiday_Calendar_US)),IF(ISNUMBER(_xll.BDH(config!$G$4,F$1,$A808,$A808)),_xll.BDH(config!$G$4,F$1,$A808,$A808),_xll.BDH(config!$G$5,F$1,$A808,$A808))))</f>
        <v/>
      </c>
      <c r="G808" s="8" t="str">
        <f>IF($A808="","",IF(ISNUMBER(FIND("IMPVOL",G$1)),_xll.BDH(config!$G$4,G$1,WORKDAY($A808,-1,config_Holiday_Calendar_US),WORKDAY($A808,-1,config_Holiday_Calendar_US)),IF(ISNUMBER(_xll.BDH(config!$G$4,G$1,$A808,$A808)),_xll.BDH(config!$G$4,G$1,$A808,$A808),_xll.BDH(config!$G$5,G$1,$A808,$A808))))</f>
        <v/>
      </c>
      <c r="H808" s="8" t="str">
        <f>IF($A808="","",IF(ISNUMBER(FIND("IMPVOL",H$1)),_xll.BDH(config!$G$4,H$1,WORKDAY($A808,-1,config_Holiday_Calendar_US),WORKDAY($A808,-1,config_Holiday_Calendar_US)),IF(ISNUMBER(_xll.BDH(config!$G$4,H$1,$A808,$A808)),_xll.BDH(config!$G$4,H$1,$A808,$A808),_xll.BDH(config!$G$5,H$1,$A808,$A808))))</f>
        <v/>
      </c>
      <c r="I808" s="8" t="str">
        <f>IF($A808="","",IF(ISNUMBER(FIND("IMPVOL",I$1)),_xll.BDH(config!$G$4,I$1,WORKDAY($A808,-1,config_Holiday_Calendar_US),WORKDAY($A808,-1,config_Holiday_Calendar_US)),IF(ISNUMBER(_xll.BDH(config!$G$4,I$1,$A808,$A808)),_xll.BDH(config!$G$4,I$1,$A808,$A808),_xll.BDH(config!$G$5,I$1,$A808,$A808))))</f>
        <v/>
      </c>
      <c r="J808" s="8" t="str">
        <f>IF($A808="","",IF(ISNUMBER(FIND("IMPVOL",J$1)),_xll.BDH(config!$G$4,J$1,WORKDAY($A808,-1,config_Holiday_Calendar_US),WORKDAY($A808,-1,config_Holiday_Calendar_US)),IF(ISNUMBER(_xll.BDH(config!$G$4,J$1,$A808,$A808)),_xll.BDH(config!$G$4,J$1,$A808,$A808),_xll.BDH(config!$G$5,J$1,$A808,$A808))))</f>
        <v/>
      </c>
      <c r="K808" s="8" t="str">
        <f>IF($A808="","",IF(ISNUMBER(FIND("IMPVOL",K$1)),_xll.BDH(config!$G$4,K$1,WORKDAY($A808,-1,config_Holiday_Calendar_US),WORKDAY($A808,-1,config_Holiday_Calendar_US)),IF(ISNUMBER(_xll.BDH(config!$G$4,K$1,$A808,$A808)),_xll.BDH(config!$G$4,K$1,$A808,$A808),_xll.BDH(config!$G$5,K$1,$A808,$A808))))</f>
        <v/>
      </c>
      <c r="L808" s="8" t="str">
        <f>IF($A808="","",IF(ISNUMBER(FIND("IMPVOL",L$1)),_xll.BDH(config!$G$4,L$1,WORKDAY($A808,-1,config_Holiday_Calendar_US),WORKDAY($A808,-1,config_Holiday_Calendar_US)),IF(ISNUMBER(_xll.BDH(config!$G$4,L$1,$A808,$A808)),_xll.BDH(config!$G$4,L$1,$A808,$A808),_xll.BDH(config!$G$5,L$1,$A808,$A808))))</f>
        <v/>
      </c>
      <c r="M808" s="8" t="str">
        <f>IF($A808="","",IF(ISNUMBER(FIND("IMPVOL",M$1)),_xll.BDH(config!$G$4,M$1,WORKDAY($A808,-1,config_Holiday_Calendar_US),WORKDAY($A808,-1,config_Holiday_Calendar_US)),IF(ISNUMBER(_xll.BDH(config!$G$4,M$1,$A808,$A808)),_xll.BDH(config!$G$4,M$1,$A808,$A808),_xll.BDH(config!$G$5,M$1,$A808,$A808))))</f>
        <v/>
      </c>
      <c r="N808" s="8" t="str">
        <f>IF($A808="","",IF(ISNUMBER(FIND("IMPVOL",N$1)),_xll.BDH(config!$G$4,N$1,WORKDAY($A808,-1,config_Holiday_Calendar_US),WORKDAY($A808,-1,config_Holiday_Calendar_US)),IF(ISNUMBER(_xll.BDH(config!$G$4,N$1,$A808,$A808)),_xll.BDH(config!$G$4,N$1,$A808,$A808),_xll.BDH(config!$G$5,N$1,$A808,$A808))))</f>
        <v/>
      </c>
      <c r="O808" s="8" t="str">
        <f>IF($A808="","",IF(ISNUMBER(FIND("IMPVOL",O$1)),_xll.BDH(config!$G$4,O$1,WORKDAY($A808,-1,config_Holiday_Calendar_US),WORKDAY($A808,-1,config_Holiday_Calendar_US)),IF(ISNUMBER(_xll.BDH(config!$G$4,O$1,$A808,$A808)),_xll.BDH(config!$G$4,O$1,$A808,$A808),_xll.BDH(config!$G$5,O$1,$A808,$A808))))</f>
        <v/>
      </c>
      <c r="P808" s="8" t="str">
        <f>IF($A808="","",IF(ISNUMBER(FIND("IMPVOL",P$1)),_xll.BDH(config!$G$4,P$1,WORKDAY($A808,-1,config_Holiday_Calendar_US),WORKDAY($A808,-1,config_Holiday_Calendar_US)),IF(ISNUMBER(_xll.BDH(config!$G$4,P$1,$A808,$A808)),_xll.BDH(config!$G$4,P$1,$A808,$A808),_xll.BDH(config!$G$5,P$1,$A808,$A808))))</f>
        <v/>
      </c>
      <c r="Q808" s="8" t="str">
        <f>IF($A808="","",IF(ISNUMBER(FIND("IMPVOL",Q$1)),_xll.BDH(config!$G$4,Q$1,WORKDAY($A808,-1,config_Holiday_Calendar_US),WORKDAY($A808,-1,config_Holiday_Calendar_US)),IF(ISNUMBER(_xll.BDH(config!$G$4,Q$1,$A808,$A808)),_xll.BDH(config!$G$4,Q$1,$A808,$A808),_xll.BDH(config!$G$5,Q$1,$A808,$A808))))</f>
        <v/>
      </c>
      <c r="R808" s="8" t="str">
        <f>IF($A808="","",IF(ISNUMBER(FIND("IMPVOL",R$1)),_xll.BDH(config!$G$4,R$1,WORKDAY($A808,-1,config_Holiday_Calendar_US),WORKDAY($A808,-1,config_Holiday_Calendar_US)),IF(ISNUMBER(_xll.BDH(config!$G$4,R$1,$A808,$A808)),_xll.BDH(config!$G$4,R$1,$A808,$A808),_xll.BDH(config!$G$5,R$1,$A808,$A808))))</f>
        <v/>
      </c>
      <c r="S808" s="8" t="str">
        <f>IF($A808="","",IF(ISNUMBER(FIND("IMPVOL",S$1)),_xll.BDH(config!$G$4,S$1,WORKDAY($A808,-1,config_Holiday_Calendar_US),WORKDAY($A808,-1,config_Holiday_Calendar_US)),IF(ISNUMBER(_xll.BDH(config!$G$4,S$1,$A808,$A808)),_xll.BDH(config!$G$4,S$1,$A808,$A808),_xll.BDH(config!$G$5,S$1,$A808,$A808))))</f>
        <v/>
      </c>
      <c r="T808" s="8" t="str">
        <f>IF($A808="","",IF(ISNUMBER(FIND("IMPVOL",T$1)),_xll.BDH(config!$G$4,T$1,WORKDAY($A808,-1,config_Holiday_Calendar_US),WORKDAY($A808,-1,config_Holiday_Calendar_US)),IF(ISNUMBER(_xll.BDH(config!$G$4,T$1,$A808,$A808)),_xll.BDH(config!$G$4,T$1,$A808,$A808),_xll.BDH(config!$G$5,T$1,$A808,$A808))))</f>
        <v/>
      </c>
      <c r="U808" s="8" t="str">
        <f>IF($A808="","",IF(ISNUMBER(FIND("IMPVOL",U$1)),_xll.BDH(config!$G$4,U$1,WORKDAY($A808,-1,config_Holiday_Calendar_US),WORKDAY($A808,-1,config_Holiday_Calendar_US)),IF(ISNUMBER(_xll.BDH(config!$G$4,U$1,$A808,$A808)),_xll.BDH(config!$G$4,U$1,$A808,$A808),_xll.BDH(config!$G$5,U$1,$A808,$A808))))</f>
        <v/>
      </c>
      <c r="V808" s="8" t="str">
        <f>IF($A808="","",IF(ISNUMBER(FIND("IMPVOL",V$1)),_xll.BDH(config!$G$4,V$1,WORKDAY($A808,-1,config_Holiday_Calendar_US),WORKDAY($A808,-1,config_Holiday_Calendar_US)),IF(ISNUMBER(_xll.BDH(config!$G$4,V$1,$A808,$A808)),_xll.BDH(config!$G$4,V$1,$A808,$A808),_xll.BDH(config!$G$5,V$1,$A808,$A808))))</f>
        <v/>
      </c>
      <c r="W808" s="8" t="str">
        <f>IF($A808="","",IF(ISNUMBER(FIND("IMPVOL",W$1)),_xll.BDH(config!$G$4,W$1,WORKDAY($A808,-1,config_Holiday_Calendar_US),WORKDAY($A808,-1,config_Holiday_Calendar_US)),IF(ISNUMBER(_xll.BDH(config!$G$4,W$1,$A808,$A808)),_xll.BDH(config!$G$4,W$1,$A808,$A808),_xll.BDH(config!$G$5,W$1,$A808,$A808))))</f>
        <v/>
      </c>
    </row>
    <row r="809" spans="1:23" x14ac:dyDescent="0.2">
      <c r="A809" s="9" t="str">
        <f>IF(A808="","",IF(WORKDAY(A808,-1,config_Holiday_Calendar_US)&lt;config!$I$10,"",WORKDAY(A808,-1,config_Holiday_Calendar_US)))</f>
        <v/>
      </c>
      <c r="B809" s="8" t="str">
        <f t="shared" si="12"/>
        <v/>
      </c>
      <c r="C809" s="8" t="str">
        <f>IF(A809="","",_xll.BDH(config!$H$4,C$1,$A809,$A809))</f>
        <v/>
      </c>
      <c r="D809" s="8" t="str">
        <f>IF($A809="","",_xll.BDH(config!$H$4,D$1,$A809,$A809))</f>
        <v/>
      </c>
      <c r="E809" s="8" t="str">
        <f>IF($A809="","",IF(ISNUMBER(FIND("IMPVOL",E$1)),_xll.BDH(config!$G$4,E$1,WORKDAY($A809,-1,config_Holiday_Calendar_US),WORKDAY($A809,-1,config_Holiday_Calendar_US)),IF(ISNUMBER(_xll.BDH(config!$G$4,E$1,$A809,$A809)),_xll.BDH(config!$G$4,E$1,$A809,$A809),_xll.BDH(config!$G$5,E$1,$A809,$A809))))</f>
        <v/>
      </c>
      <c r="F809" s="8" t="str">
        <f>IF($A809="","",IF(ISNUMBER(FIND("IMPVOL",F$1)),_xll.BDH(config!$G$4,F$1,WORKDAY($A809,-1,config_Holiday_Calendar_US),WORKDAY($A809,-1,config_Holiday_Calendar_US)),IF(ISNUMBER(_xll.BDH(config!$G$4,F$1,$A809,$A809)),_xll.BDH(config!$G$4,F$1,$A809,$A809),_xll.BDH(config!$G$5,F$1,$A809,$A809))))</f>
        <v/>
      </c>
      <c r="G809" s="8" t="str">
        <f>IF($A809="","",IF(ISNUMBER(FIND("IMPVOL",G$1)),_xll.BDH(config!$G$4,G$1,WORKDAY($A809,-1,config_Holiday_Calendar_US),WORKDAY($A809,-1,config_Holiday_Calendar_US)),IF(ISNUMBER(_xll.BDH(config!$G$4,G$1,$A809,$A809)),_xll.BDH(config!$G$4,G$1,$A809,$A809),_xll.BDH(config!$G$5,G$1,$A809,$A809))))</f>
        <v/>
      </c>
      <c r="H809" s="8" t="str">
        <f>IF($A809="","",IF(ISNUMBER(FIND("IMPVOL",H$1)),_xll.BDH(config!$G$4,H$1,WORKDAY($A809,-1,config_Holiday_Calendar_US),WORKDAY($A809,-1,config_Holiday_Calendar_US)),IF(ISNUMBER(_xll.BDH(config!$G$4,H$1,$A809,$A809)),_xll.BDH(config!$G$4,H$1,$A809,$A809),_xll.BDH(config!$G$5,H$1,$A809,$A809))))</f>
        <v/>
      </c>
      <c r="I809" s="8" t="str">
        <f>IF($A809="","",IF(ISNUMBER(FIND("IMPVOL",I$1)),_xll.BDH(config!$G$4,I$1,WORKDAY($A809,-1,config_Holiday_Calendar_US),WORKDAY($A809,-1,config_Holiday_Calendar_US)),IF(ISNUMBER(_xll.BDH(config!$G$4,I$1,$A809,$A809)),_xll.BDH(config!$G$4,I$1,$A809,$A809),_xll.BDH(config!$G$5,I$1,$A809,$A809))))</f>
        <v/>
      </c>
      <c r="J809" s="8" t="str">
        <f>IF($A809="","",IF(ISNUMBER(FIND("IMPVOL",J$1)),_xll.BDH(config!$G$4,J$1,WORKDAY($A809,-1,config_Holiday_Calendar_US),WORKDAY($A809,-1,config_Holiday_Calendar_US)),IF(ISNUMBER(_xll.BDH(config!$G$4,J$1,$A809,$A809)),_xll.BDH(config!$G$4,J$1,$A809,$A809),_xll.BDH(config!$G$5,J$1,$A809,$A809))))</f>
        <v/>
      </c>
      <c r="K809" s="8" t="str">
        <f>IF($A809="","",IF(ISNUMBER(FIND("IMPVOL",K$1)),_xll.BDH(config!$G$4,K$1,WORKDAY($A809,-1,config_Holiday_Calendar_US),WORKDAY($A809,-1,config_Holiday_Calendar_US)),IF(ISNUMBER(_xll.BDH(config!$G$4,K$1,$A809,$A809)),_xll.BDH(config!$G$4,K$1,$A809,$A809),_xll.BDH(config!$G$5,K$1,$A809,$A809))))</f>
        <v/>
      </c>
      <c r="L809" s="8" t="str">
        <f>IF($A809="","",IF(ISNUMBER(FIND("IMPVOL",L$1)),_xll.BDH(config!$G$4,L$1,WORKDAY($A809,-1,config_Holiday_Calendar_US),WORKDAY($A809,-1,config_Holiday_Calendar_US)),IF(ISNUMBER(_xll.BDH(config!$G$4,L$1,$A809,$A809)),_xll.BDH(config!$G$4,L$1,$A809,$A809),_xll.BDH(config!$G$5,L$1,$A809,$A809))))</f>
        <v/>
      </c>
      <c r="M809" s="8" t="str">
        <f>IF($A809="","",IF(ISNUMBER(FIND("IMPVOL",M$1)),_xll.BDH(config!$G$4,M$1,WORKDAY($A809,-1,config_Holiday_Calendar_US),WORKDAY($A809,-1,config_Holiday_Calendar_US)),IF(ISNUMBER(_xll.BDH(config!$G$4,M$1,$A809,$A809)),_xll.BDH(config!$G$4,M$1,$A809,$A809),_xll.BDH(config!$G$5,M$1,$A809,$A809))))</f>
        <v/>
      </c>
      <c r="N809" s="8" t="str">
        <f>IF($A809="","",IF(ISNUMBER(FIND("IMPVOL",N$1)),_xll.BDH(config!$G$4,N$1,WORKDAY($A809,-1,config_Holiday_Calendar_US),WORKDAY($A809,-1,config_Holiday_Calendar_US)),IF(ISNUMBER(_xll.BDH(config!$G$4,N$1,$A809,$A809)),_xll.BDH(config!$G$4,N$1,$A809,$A809),_xll.BDH(config!$G$5,N$1,$A809,$A809))))</f>
        <v/>
      </c>
      <c r="O809" s="8" t="str">
        <f>IF($A809="","",IF(ISNUMBER(FIND("IMPVOL",O$1)),_xll.BDH(config!$G$4,O$1,WORKDAY($A809,-1,config_Holiday_Calendar_US),WORKDAY($A809,-1,config_Holiday_Calendar_US)),IF(ISNUMBER(_xll.BDH(config!$G$4,O$1,$A809,$A809)),_xll.BDH(config!$G$4,O$1,$A809,$A809),_xll.BDH(config!$G$5,O$1,$A809,$A809))))</f>
        <v/>
      </c>
      <c r="P809" s="8" t="str">
        <f>IF($A809="","",IF(ISNUMBER(FIND("IMPVOL",P$1)),_xll.BDH(config!$G$4,P$1,WORKDAY($A809,-1,config_Holiday_Calendar_US),WORKDAY($A809,-1,config_Holiday_Calendar_US)),IF(ISNUMBER(_xll.BDH(config!$G$4,P$1,$A809,$A809)),_xll.BDH(config!$G$4,P$1,$A809,$A809),_xll.BDH(config!$G$5,P$1,$A809,$A809))))</f>
        <v/>
      </c>
      <c r="Q809" s="8" t="str">
        <f>IF($A809="","",IF(ISNUMBER(FIND("IMPVOL",Q$1)),_xll.BDH(config!$G$4,Q$1,WORKDAY($A809,-1,config_Holiday_Calendar_US),WORKDAY($A809,-1,config_Holiday_Calendar_US)),IF(ISNUMBER(_xll.BDH(config!$G$4,Q$1,$A809,$A809)),_xll.BDH(config!$G$4,Q$1,$A809,$A809),_xll.BDH(config!$G$5,Q$1,$A809,$A809))))</f>
        <v/>
      </c>
      <c r="R809" s="8" t="str">
        <f>IF($A809="","",IF(ISNUMBER(FIND("IMPVOL",R$1)),_xll.BDH(config!$G$4,R$1,WORKDAY($A809,-1,config_Holiday_Calendar_US),WORKDAY($A809,-1,config_Holiday_Calendar_US)),IF(ISNUMBER(_xll.BDH(config!$G$4,R$1,$A809,$A809)),_xll.BDH(config!$G$4,R$1,$A809,$A809),_xll.BDH(config!$G$5,R$1,$A809,$A809))))</f>
        <v/>
      </c>
      <c r="S809" s="8" t="str">
        <f>IF($A809="","",IF(ISNUMBER(FIND("IMPVOL",S$1)),_xll.BDH(config!$G$4,S$1,WORKDAY($A809,-1,config_Holiday_Calendar_US),WORKDAY($A809,-1,config_Holiday_Calendar_US)),IF(ISNUMBER(_xll.BDH(config!$G$4,S$1,$A809,$A809)),_xll.BDH(config!$G$4,S$1,$A809,$A809),_xll.BDH(config!$G$5,S$1,$A809,$A809))))</f>
        <v/>
      </c>
      <c r="T809" s="8" t="str">
        <f>IF($A809="","",IF(ISNUMBER(FIND("IMPVOL",T$1)),_xll.BDH(config!$G$4,T$1,WORKDAY($A809,-1,config_Holiday_Calendar_US),WORKDAY($A809,-1,config_Holiday_Calendar_US)),IF(ISNUMBER(_xll.BDH(config!$G$4,T$1,$A809,$A809)),_xll.BDH(config!$G$4,T$1,$A809,$A809),_xll.BDH(config!$G$5,T$1,$A809,$A809))))</f>
        <v/>
      </c>
      <c r="U809" s="8" t="str">
        <f>IF($A809="","",IF(ISNUMBER(FIND("IMPVOL",U$1)),_xll.BDH(config!$G$4,U$1,WORKDAY($A809,-1,config_Holiday_Calendar_US),WORKDAY($A809,-1,config_Holiday_Calendar_US)),IF(ISNUMBER(_xll.BDH(config!$G$4,U$1,$A809,$A809)),_xll.BDH(config!$G$4,U$1,$A809,$A809),_xll.BDH(config!$G$5,U$1,$A809,$A809))))</f>
        <v/>
      </c>
      <c r="V809" s="8" t="str">
        <f>IF($A809="","",IF(ISNUMBER(FIND("IMPVOL",V$1)),_xll.BDH(config!$G$4,V$1,WORKDAY($A809,-1,config_Holiday_Calendar_US),WORKDAY($A809,-1,config_Holiday_Calendar_US)),IF(ISNUMBER(_xll.BDH(config!$G$4,V$1,$A809,$A809)),_xll.BDH(config!$G$4,V$1,$A809,$A809),_xll.BDH(config!$G$5,V$1,$A809,$A809))))</f>
        <v/>
      </c>
      <c r="W809" s="8" t="str">
        <f>IF($A809="","",IF(ISNUMBER(FIND("IMPVOL",W$1)),_xll.BDH(config!$G$4,W$1,WORKDAY($A809,-1,config_Holiday_Calendar_US),WORKDAY($A809,-1,config_Holiday_Calendar_US)),IF(ISNUMBER(_xll.BDH(config!$G$4,W$1,$A809,$A809)),_xll.BDH(config!$G$4,W$1,$A809,$A809),_xll.BDH(config!$G$5,W$1,$A809,$A809))))</f>
        <v/>
      </c>
    </row>
    <row r="810" spans="1:23" x14ac:dyDescent="0.2">
      <c r="A810" s="9" t="str">
        <f>IF(A809="","",IF(WORKDAY(A809,-1,config_Holiday_Calendar_US)&lt;config!$I$10,"",WORKDAY(A809,-1,config_Holiday_Calendar_US)))</f>
        <v/>
      </c>
      <c r="B810" s="8" t="str">
        <f t="shared" si="12"/>
        <v/>
      </c>
      <c r="C810" s="8" t="str">
        <f>IF(A810="","",_xll.BDH(config!$H$4,C$1,$A810,$A810))</f>
        <v/>
      </c>
      <c r="D810" s="8" t="str">
        <f>IF($A810="","",_xll.BDH(config!$H$4,D$1,$A810,$A810))</f>
        <v/>
      </c>
      <c r="E810" s="8" t="str">
        <f>IF($A810="","",IF(ISNUMBER(FIND("IMPVOL",E$1)),_xll.BDH(config!$G$4,E$1,WORKDAY($A810,-1,config_Holiday_Calendar_US),WORKDAY($A810,-1,config_Holiday_Calendar_US)),IF(ISNUMBER(_xll.BDH(config!$G$4,E$1,$A810,$A810)),_xll.BDH(config!$G$4,E$1,$A810,$A810),_xll.BDH(config!$G$5,E$1,$A810,$A810))))</f>
        <v/>
      </c>
      <c r="F810" s="8" t="str">
        <f>IF($A810="","",IF(ISNUMBER(FIND("IMPVOL",F$1)),_xll.BDH(config!$G$4,F$1,WORKDAY($A810,-1,config_Holiday_Calendar_US),WORKDAY($A810,-1,config_Holiday_Calendar_US)),IF(ISNUMBER(_xll.BDH(config!$G$4,F$1,$A810,$A810)),_xll.BDH(config!$G$4,F$1,$A810,$A810),_xll.BDH(config!$G$5,F$1,$A810,$A810))))</f>
        <v/>
      </c>
      <c r="G810" s="8" t="str">
        <f>IF($A810="","",IF(ISNUMBER(FIND("IMPVOL",G$1)),_xll.BDH(config!$G$4,G$1,WORKDAY($A810,-1,config_Holiday_Calendar_US),WORKDAY($A810,-1,config_Holiday_Calendar_US)),IF(ISNUMBER(_xll.BDH(config!$G$4,G$1,$A810,$A810)),_xll.BDH(config!$G$4,G$1,$A810,$A810),_xll.BDH(config!$G$5,G$1,$A810,$A810))))</f>
        <v/>
      </c>
      <c r="H810" s="8" t="str">
        <f>IF($A810="","",IF(ISNUMBER(FIND("IMPVOL",H$1)),_xll.BDH(config!$G$4,H$1,WORKDAY($A810,-1,config_Holiday_Calendar_US),WORKDAY($A810,-1,config_Holiday_Calendar_US)),IF(ISNUMBER(_xll.BDH(config!$G$4,H$1,$A810,$A810)),_xll.BDH(config!$G$4,H$1,$A810,$A810),_xll.BDH(config!$G$5,H$1,$A810,$A810))))</f>
        <v/>
      </c>
      <c r="I810" s="8" t="str">
        <f>IF($A810="","",IF(ISNUMBER(FIND("IMPVOL",I$1)),_xll.BDH(config!$G$4,I$1,WORKDAY($A810,-1,config_Holiday_Calendar_US),WORKDAY($A810,-1,config_Holiday_Calendar_US)),IF(ISNUMBER(_xll.BDH(config!$G$4,I$1,$A810,$A810)),_xll.BDH(config!$G$4,I$1,$A810,$A810),_xll.BDH(config!$G$5,I$1,$A810,$A810))))</f>
        <v/>
      </c>
      <c r="J810" s="8" t="str">
        <f>IF($A810="","",IF(ISNUMBER(FIND("IMPVOL",J$1)),_xll.BDH(config!$G$4,J$1,WORKDAY($A810,-1,config_Holiday_Calendar_US),WORKDAY($A810,-1,config_Holiday_Calendar_US)),IF(ISNUMBER(_xll.BDH(config!$G$4,J$1,$A810,$A810)),_xll.BDH(config!$G$4,J$1,$A810,$A810),_xll.BDH(config!$G$5,J$1,$A810,$A810))))</f>
        <v/>
      </c>
      <c r="K810" s="8" t="str">
        <f>IF($A810="","",IF(ISNUMBER(FIND("IMPVOL",K$1)),_xll.BDH(config!$G$4,K$1,WORKDAY($A810,-1,config_Holiday_Calendar_US),WORKDAY($A810,-1,config_Holiday_Calendar_US)),IF(ISNUMBER(_xll.BDH(config!$G$4,K$1,$A810,$A810)),_xll.BDH(config!$G$4,K$1,$A810,$A810),_xll.BDH(config!$G$5,K$1,$A810,$A810))))</f>
        <v/>
      </c>
      <c r="L810" s="8" t="str">
        <f>IF($A810="","",IF(ISNUMBER(FIND("IMPVOL",L$1)),_xll.BDH(config!$G$4,L$1,WORKDAY($A810,-1,config_Holiday_Calendar_US),WORKDAY($A810,-1,config_Holiday_Calendar_US)),IF(ISNUMBER(_xll.BDH(config!$G$4,L$1,$A810,$A810)),_xll.BDH(config!$G$4,L$1,$A810,$A810),_xll.BDH(config!$G$5,L$1,$A810,$A810))))</f>
        <v/>
      </c>
      <c r="M810" s="8" t="str">
        <f>IF($A810="","",IF(ISNUMBER(FIND("IMPVOL",M$1)),_xll.BDH(config!$G$4,M$1,WORKDAY($A810,-1,config_Holiday_Calendar_US),WORKDAY($A810,-1,config_Holiday_Calendar_US)),IF(ISNUMBER(_xll.BDH(config!$G$4,M$1,$A810,$A810)),_xll.BDH(config!$G$4,M$1,$A810,$A810),_xll.BDH(config!$G$5,M$1,$A810,$A810))))</f>
        <v/>
      </c>
      <c r="N810" s="8" t="str">
        <f>IF($A810="","",IF(ISNUMBER(FIND("IMPVOL",N$1)),_xll.BDH(config!$G$4,N$1,WORKDAY($A810,-1,config_Holiday_Calendar_US),WORKDAY($A810,-1,config_Holiday_Calendar_US)),IF(ISNUMBER(_xll.BDH(config!$G$4,N$1,$A810,$A810)),_xll.BDH(config!$G$4,N$1,$A810,$A810),_xll.BDH(config!$G$5,N$1,$A810,$A810))))</f>
        <v/>
      </c>
      <c r="O810" s="8" t="str">
        <f>IF($A810="","",IF(ISNUMBER(FIND("IMPVOL",O$1)),_xll.BDH(config!$G$4,O$1,WORKDAY($A810,-1,config_Holiday_Calendar_US),WORKDAY($A810,-1,config_Holiday_Calendar_US)),IF(ISNUMBER(_xll.BDH(config!$G$4,O$1,$A810,$A810)),_xll.BDH(config!$G$4,O$1,$A810,$A810),_xll.BDH(config!$G$5,O$1,$A810,$A810))))</f>
        <v/>
      </c>
      <c r="P810" s="8" t="str">
        <f>IF($A810="","",IF(ISNUMBER(FIND("IMPVOL",P$1)),_xll.BDH(config!$G$4,P$1,WORKDAY($A810,-1,config_Holiday_Calendar_US),WORKDAY($A810,-1,config_Holiday_Calendar_US)),IF(ISNUMBER(_xll.BDH(config!$G$4,P$1,$A810,$A810)),_xll.BDH(config!$G$4,P$1,$A810,$A810),_xll.BDH(config!$G$5,P$1,$A810,$A810))))</f>
        <v/>
      </c>
      <c r="Q810" s="8" t="str">
        <f>IF($A810="","",IF(ISNUMBER(FIND("IMPVOL",Q$1)),_xll.BDH(config!$G$4,Q$1,WORKDAY($A810,-1,config_Holiday_Calendar_US),WORKDAY($A810,-1,config_Holiday_Calendar_US)),IF(ISNUMBER(_xll.BDH(config!$G$4,Q$1,$A810,$A810)),_xll.BDH(config!$G$4,Q$1,$A810,$A810),_xll.BDH(config!$G$5,Q$1,$A810,$A810))))</f>
        <v/>
      </c>
      <c r="R810" s="8" t="str">
        <f>IF($A810="","",IF(ISNUMBER(FIND("IMPVOL",R$1)),_xll.BDH(config!$G$4,R$1,WORKDAY($A810,-1,config_Holiday_Calendar_US),WORKDAY($A810,-1,config_Holiday_Calendar_US)),IF(ISNUMBER(_xll.BDH(config!$G$4,R$1,$A810,$A810)),_xll.BDH(config!$G$4,R$1,$A810,$A810),_xll.BDH(config!$G$5,R$1,$A810,$A810))))</f>
        <v/>
      </c>
      <c r="S810" s="8" t="str">
        <f>IF($A810="","",IF(ISNUMBER(FIND("IMPVOL",S$1)),_xll.BDH(config!$G$4,S$1,WORKDAY($A810,-1,config_Holiday_Calendar_US),WORKDAY($A810,-1,config_Holiday_Calendar_US)),IF(ISNUMBER(_xll.BDH(config!$G$4,S$1,$A810,$A810)),_xll.BDH(config!$G$4,S$1,$A810,$A810),_xll.BDH(config!$G$5,S$1,$A810,$A810))))</f>
        <v/>
      </c>
      <c r="T810" s="8" t="str">
        <f>IF($A810="","",IF(ISNUMBER(FIND("IMPVOL",T$1)),_xll.BDH(config!$G$4,T$1,WORKDAY($A810,-1,config_Holiday_Calendar_US),WORKDAY($A810,-1,config_Holiday_Calendar_US)),IF(ISNUMBER(_xll.BDH(config!$G$4,T$1,$A810,$A810)),_xll.BDH(config!$G$4,T$1,$A810,$A810),_xll.BDH(config!$G$5,T$1,$A810,$A810))))</f>
        <v/>
      </c>
      <c r="U810" s="8" t="str">
        <f>IF($A810="","",IF(ISNUMBER(FIND("IMPVOL",U$1)),_xll.BDH(config!$G$4,U$1,WORKDAY($A810,-1,config_Holiday_Calendar_US),WORKDAY($A810,-1,config_Holiday_Calendar_US)),IF(ISNUMBER(_xll.BDH(config!$G$4,U$1,$A810,$A810)),_xll.BDH(config!$G$4,U$1,$A810,$A810),_xll.BDH(config!$G$5,U$1,$A810,$A810))))</f>
        <v/>
      </c>
      <c r="V810" s="8" t="str">
        <f>IF($A810="","",IF(ISNUMBER(FIND("IMPVOL",V$1)),_xll.BDH(config!$G$4,V$1,WORKDAY($A810,-1,config_Holiday_Calendar_US),WORKDAY($A810,-1,config_Holiday_Calendar_US)),IF(ISNUMBER(_xll.BDH(config!$G$4,V$1,$A810,$A810)),_xll.BDH(config!$G$4,V$1,$A810,$A810),_xll.BDH(config!$G$5,V$1,$A810,$A810))))</f>
        <v/>
      </c>
      <c r="W810" s="8" t="str">
        <f>IF($A810="","",IF(ISNUMBER(FIND("IMPVOL",W$1)),_xll.BDH(config!$G$4,W$1,WORKDAY($A810,-1,config_Holiday_Calendar_US),WORKDAY($A810,-1,config_Holiday_Calendar_US)),IF(ISNUMBER(_xll.BDH(config!$G$4,W$1,$A810,$A810)),_xll.BDH(config!$G$4,W$1,$A810,$A810),_xll.BDH(config!$G$5,W$1,$A810,$A810))))</f>
        <v/>
      </c>
    </row>
    <row r="811" spans="1:23" x14ac:dyDescent="0.2">
      <c r="A811" s="9" t="str">
        <f>IF(A810="","",IF(WORKDAY(A810,-1,config_Holiday_Calendar_US)&lt;config!$I$10,"",WORKDAY(A810,-1,config_Holiday_Calendar_US)))</f>
        <v/>
      </c>
      <c r="B811" s="8" t="str">
        <f t="shared" si="12"/>
        <v/>
      </c>
      <c r="C811" s="8" t="str">
        <f>IF(A811="","",_xll.BDH(config!$H$4,C$1,$A811,$A811))</f>
        <v/>
      </c>
      <c r="D811" s="8" t="str">
        <f>IF($A811="","",_xll.BDH(config!$H$4,D$1,$A811,$A811))</f>
        <v/>
      </c>
      <c r="E811" s="8" t="str">
        <f>IF($A811="","",IF(ISNUMBER(FIND("IMPVOL",E$1)),_xll.BDH(config!$G$4,E$1,WORKDAY($A811,-1,config_Holiday_Calendar_US),WORKDAY($A811,-1,config_Holiday_Calendar_US)),IF(ISNUMBER(_xll.BDH(config!$G$4,E$1,$A811,$A811)),_xll.BDH(config!$G$4,E$1,$A811,$A811),_xll.BDH(config!$G$5,E$1,$A811,$A811))))</f>
        <v/>
      </c>
      <c r="F811" s="8" t="str">
        <f>IF($A811="","",IF(ISNUMBER(FIND("IMPVOL",F$1)),_xll.BDH(config!$G$4,F$1,WORKDAY($A811,-1,config_Holiday_Calendar_US),WORKDAY($A811,-1,config_Holiday_Calendar_US)),IF(ISNUMBER(_xll.BDH(config!$G$4,F$1,$A811,$A811)),_xll.BDH(config!$G$4,F$1,$A811,$A811),_xll.BDH(config!$G$5,F$1,$A811,$A811))))</f>
        <v/>
      </c>
      <c r="G811" s="8" t="str">
        <f>IF($A811="","",IF(ISNUMBER(FIND("IMPVOL",G$1)),_xll.BDH(config!$G$4,G$1,WORKDAY($A811,-1,config_Holiday_Calendar_US),WORKDAY($A811,-1,config_Holiday_Calendar_US)),IF(ISNUMBER(_xll.BDH(config!$G$4,G$1,$A811,$A811)),_xll.BDH(config!$G$4,G$1,$A811,$A811),_xll.BDH(config!$G$5,G$1,$A811,$A811))))</f>
        <v/>
      </c>
      <c r="H811" s="8" t="str">
        <f>IF($A811="","",IF(ISNUMBER(FIND("IMPVOL",H$1)),_xll.BDH(config!$G$4,H$1,WORKDAY($A811,-1,config_Holiday_Calendar_US),WORKDAY($A811,-1,config_Holiday_Calendar_US)),IF(ISNUMBER(_xll.BDH(config!$G$4,H$1,$A811,$A811)),_xll.BDH(config!$G$4,H$1,$A811,$A811),_xll.BDH(config!$G$5,H$1,$A811,$A811))))</f>
        <v/>
      </c>
      <c r="I811" s="8" t="str">
        <f>IF($A811="","",IF(ISNUMBER(FIND("IMPVOL",I$1)),_xll.BDH(config!$G$4,I$1,WORKDAY($A811,-1,config_Holiday_Calendar_US),WORKDAY($A811,-1,config_Holiday_Calendar_US)),IF(ISNUMBER(_xll.BDH(config!$G$4,I$1,$A811,$A811)),_xll.BDH(config!$G$4,I$1,$A811,$A811),_xll.BDH(config!$G$5,I$1,$A811,$A811))))</f>
        <v/>
      </c>
      <c r="J811" s="8" t="str">
        <f>IF($A811="","",IF(ISNUMBER(FIND("IMPVOL",J$1)),_xll.BDH(config!$G$4,J$1,WORKDAY($A811,-1,config_Holiday_Calendar_US),WORKDAY($A811,-1,config_Holiday_Calendar_US)),IF(ISNUMBER(_xll.BDH(config!$G$4,J$1,$A811,$A811)),_xll.BDH(config!$G$4,J$1,$A811,$A811),_xll.BDH(config!$G$5,J$1,$A811,$A811))))</f>
        <v/>
      </c>
      <c r="K811" s="8" t="str">
        <f>IF($A811="","",IF(ISNUMBER(FIND("IMPVOL",K$1)),_xll.BDH(config!$G$4,K$1,WORKDAY($A811,-1,config_Holiday_Calendar_US),WORKDAY($A811,-1,config_Holiday_Calendar_US)),IF(ISNUMBER(_xll.BDH(config!$G$4,K$1,$A811,$A811)),_xll.BDH(config!$G$4,K$1,$A811,$A811),_xll.BDH(config!$G$5,K$1,$A811,$A811))))</f>
        <v/>
      </c>
      <c r="L811" s="8" t="str">
        <f>IF($A811="","",IF(ISNUMBER(FIND("IMPVOL",L$1)),_xll.BDH(config!$G$4,L$1,WORKDAY($A811,-1,config_Holiday_Calendar_US),WORKDAY($A811,-1,config_Holiday_Calendar_US)),IF(ISNUMBER(_xll.BDH(config!$G$4,L$1,$A811,$A811)),_xll.BDH(config!$G$4,L$1,$A811,$A811),_xll.BDH(config!$G$5,L$1,$A811,$A811))))</f>
        <v/>
      </c>
      <c r="M811" s="8" t="str">
        <f>IF($A811="","",IF(ISNUMBER(FIND("IMPVOL",M$1)),_xll.BDH(config!$G$4,M$1,WORKDAY($A811,-1,config_Holiday_Calendar_US),WORKDAY($A811,-1,config_Holiday_Calendar_US)),IF(ISNUMBER(_xll.BDH(config!$G$4,M$1,$A811,$A811)),_xll.BDH(config!$G$4,M$1,$A811,$A811),_xll.BDH(config!$G$5,M$1,$A811,$A811))))</f>
        <v/>
      </c>
      <c r="N811" s="8" t="str">
        <f>IF($A811="","",IF(ISNUMBER(FIND("IMPVOL",N$1)),_xll.BDH(config!$G$4,N$1,WORKDAY($A811,-1,config_Holiday_Calendar_US),WORKDAY($A811,-1,config_Holiday_Calendar_US)),IF(ISNUMBER(_xll.BDH(config!$G$4,N$1,$A811,$A811)),_xll.BDH(config!$G$4,N$1,$A811,$A811),_xll.BDH(config!$G$5,N$1,$A811,$A811))))</f>
        <v/>
      </c>
      <c r="O811" s="8" t="str">
        <f>IF($A811="","",IF(ISNUMBER(FIND("IMPVOL",O$1)),_xll.BDH(config!$G$4,O$1,WORKDAY($A811,-1,config_Holiday_Calendar_US),WORKDAY($A811,-1,config_Holiday_Calendar_US)),IF(ISNUMBER(_xll.BDH(config!$G$4,O$1,$A811,$A811)),_xll.BDH(config!$G$4,O$1,$A811,$A811),_xll.BDH(config!$G$5,O$1,$A811,$A811))))</f>
        <v/>
      </c>
      <c r="P811" s="8" t="str">
        <f>IF($A811="","",IF(ISNUMBER(FIND("IMPVOL",P$1)),_xll.BDH(config!$G$4,P$1,WORKDAY($A811,-1,config_Holiday_Calendar_US),WORKDAY($A811,-1,config_Holiday_Calendar_US)),IF(ISNUMBER(_xll.BDH(config!$G$4,P$1,$A811,$A811)),_xll.BDH(config!$G$4,P$1,$A811,$A811),_xll.BDH(config!$G$5,P$1,$A811,$A811))))</f>
        <v/>
      </c>
      <c r="Q811" s="8" t="str">
        <f>IF($A811="","",IF(ISNUMBER(FIND("IMPVOL",Q$1)),_xll.BDH(config!$G$4,Q$1,WORKDAY($A811,-1,config_Holiday_Calendar_US),WORKDAY($A811,-1,config_Holiday_Calendar_US)),IF(ISNUMBER(_xll.BDH(config!$G$4,Q$1,$A811,$A811)),_xll.BDH(config!$G$4,Q$1,$A811,$A811),_xll.BDH(config!$G$5,Q$1,$A811,$A811))))</f>
        <v/>
      </c>
      <c r="R811" s="8" t="str">
        <f>IF($A811="","",IF(ISNUMBER(FIND("IMPVOL",R$1)),_xll.BDH(config!$G$4,R$1,WORKDAY($A811,-1,config_Holiday_Calendar_US),WORKDAY($A811,-1,config_Holiday_Calendar_US)),IF(ISNUMBER(_xll.BDH(config!$G$4,R$1,$A811,$A811)),_xll.BDH(config!$G$4,R$1,$A811,$A811),_xll.BDH(config!$G$5,R$1,$A811,$A811))))</f>
        <v/>
      </c>
      <c r="S811" s="8" t="str">
        <f>IF($A811="","",IF(ISNUMBER(FIND("IMPVOL",S$1)),_xll.BDH(config!$G$4,S$1,WORKDAY($A811,-1,config_Holiday_Calendar_US),WORKDAY($A811,-1,config_Holiday_Calendar_US)),IF(ISNUMBER(_xll.BDH(config!$G$4,S$1,$A811,$A811)),_xll.BDH(config!$G$4,S$1,$A811,$A811),_xll.BDH(config!$G$5,S$1,$A811,$A811))))</f>
        <v/>
      </c>
      <c r="T811" s="8" t="str">
        <f>IF($A811="","",IF(ISNUMBER(FIND("IMPVOL",T$1)),_xll.BDH(config!$G$4,T$1,WORKDAY($A811,-1,config_Holiday_Calendar_US),WORKDAY($A811,-1,config_Holiday_Calendar_US)),IF(ISNUMBER(_xll.BDH(config!$G$4,T$1,$A811,$A811)),_xll.BDH(config!$G$4,T$1,$A811,$A811),_xll.BDH(config!$G$5,T$1,$A811,$A811))))</f>
        <v/>
      </c>
      <c r="U811" s="8" t="str">
        <f>IF($A811="","",IF(ISNUMBER(FIND("IMPVOL",U$1)),_xll.BDH(config!$G$4,U$1,WORKDAY($A811,-1,config_Holiday_Calendar_US),WORKDAY($A811,-1,config_Holiday_Calendar_US)),IF(ISNUMBER(_xll.BDH(config!$G$4,U$1,$A811,$A811)),_xll.BDH(config!$G$4,U$1,$A811,$A811),_xll.BDH(config!$G$5,U$1,$A811,$A811))))</f>
        <v/>
      </c>
      <c r="V811" s="8" t="str">
        <f>IF($A811="","",IF(ISNUMBER(FIND("IMPVOL",V$1)),_xll.BDH(config!$G$4,V$1,WORKDAY($A811,-1,config_Holiday_Calendar_US),WORKDAY($A811,-1,config_Holiday_Calendar_US)),IF(ISNUMBER(_xll.BDH(config!$G$4,V$1,$A811,$A811)),_xll.BDH(config!$G$4,V$1,$A811,$A811),_xll.BDH(config!$G$5,V$1,$A811,$A811))))</f>
        <v/>
      </c>
      <c r="W811" s="8" t="str">
        <f>IF($A811="","",IF(ISNUMBER(FIND("IMPVOL",W$1)),_xll.BDH(config!$G$4,W$1,WORKDAY($A811,-1,config_Holiday_Calendar_US),WORKDAY($A811,-1,config_Holiday_Calendar_US)),IF(ISNUMBER(_xll.BDH(config!$G$4,W$1,$A811,$A811)),_xll.BDH(config!$G$4,W$1,$A811,$A811),_xll.BDH(config!$G$5,W$1,$A811,$A811))))</f>
        <v/>
      </c>
    </row>
    <row r="812" spans="1:23" x14ac:dyDescent="0.2">
      <c r="A812" s="9" t="str">
        <f>IF(A811="","",IF(WORKDAY(A811,-1,config_Holiday_Calendar_US)&lt;config!$I$10,"",WORKDAY(A811,-1,config_Holiday_Calendar_US)))</f>
        <v/>
      </c>
      <c r="B812" s="8" t="str">
        <f t="shared" si="12"/>
        <v/>
      </c>
      <c r="C812" s="8" t="str">
        <f>IF(A812="","",_xll.BDH(config!$H$4,C$1,$A812,$A812))</f>
        <v/>
      </c>
      <c r="D812" s="8" t="str">
        <f>IF($A812="","",_xll.BDH(config!$H$4,D$1,$A812,$A812))</f>
        <v/>
      </c>
      <c r="E812" s="8" t="str">
        <f>IF($A812="","",IF(ISNUMBER(FIND("IMPVOL",E$1)),_xll.BDH(config!$G$4,E$1,WORKDAY($A812,-1,config_Holiday_Calendar_US),WORKDAY($A812,-1,config_Holiday_Calendar_US)),IF(ISNUMBER(_xll.BDH(config!$G$4,E$1,$A812,$A812)),_xll.BDH(config!$G$4,E$1,$A812,$A812),_xll.BDH(config!$G$5,E$1,$A812,$A812))))</f>
        <v/>
      </c>
      <c r="F812" s="8" t="str">
        <f>IF($A812="","",IF(ISNUMBER(FIND("IMPVOL",F$1)),_xll.BDH(config!$G$4,F$1,WORKDAY($A812,-1,config_Holiday_Calendar_US),WORKDAY($A812,-1,config_Holiday_Calendar_US)),IF(ISNUMBER(_xll.BDH(config!$G$4,F$1,$A812,$A812)),_xll.BDH(config!$G$4,F$1,$A812,$A812),_xll.BDH(config!$G$5,F$1,$A812,$A812))))</f>
        <v/>
      </c>
      <c r="G812" s="8" t="str">
        <f>IF($A812="","",IF(ISNUMBER(FIND("IMPVOL",G$1)),_xll.BDH(config!$G$4,G$1,WORKDAY($A812,-1,config_Holiday_Calendar_US),WORKDAY($A812,-1,config_Holiday_Calendar_US)),IF(ISNUMBER(_xll.BDH(config!$G$4,G$1,$A812,$A812)),_xll.BDH(config!$G$4,G$1,$A812,$A812),_xll.BDH(config!$G$5,G$1,$A812,$A812))))</f>
        <v/>
      </c>
      <c r="H812" s="8" t="str">
        <f>IF($A812="","",IF(ISNUMBER(FIND("IMPVOL",H$1)),_xll.BDH(config!$G$4,H$1,WORKDAY($A812,-1,config_Holiday_Calendar_US),WORKDAY($A812,-1,config_Holiday_Calendar_US)),IF(ISNUMBER(_xll.BDH(config!$G$4,H$1,$A812,$A812)),_xll.BDH(config!$G$4,H$1,$A812,$A812),_xll.BDH(config!$G$5,H$1,$A812,$A812))))</f>
        <v/>
      </c>
      <c r="I812" s="8" t="str">
        <f>IF($A812="","",IF(ISNUMBER(FIND("IMPVOL",I$1)),_xll.BDH(config!$G$4,I$1,WORKDAY($A812,-1,config_Holiday_Calendar_US),WORKDAY($A812,-1,config_Holiday_Calendar_US)),IF(ISNUMBER(_xll.BDH(config!$G$4,I$1,$A812,$A812)),_xll.BDH(config!$G$4,I$1,$A812,$A812),_xll.BDH(config!$G$5,I$1,$A812,$A812))))</f>
        <v/>
      </c>
      <c r="J812" s="8" t="str">
        <f>IF($A812="","",IF(ISNUMBER(FIND("IMPVOL",J$1)),_xll.BDH(config!$G$4,J$1,WORKDAY($A812,-1,config_Holiday_Calendar_US),WORKDAY($A812,-1,config_Holiday_Calendar_US)),IF(ISNUMBER(_xll.BDH(config!$G$4,J$1,$A812,$A812)),_xll.BDH(config!$G$4,J$1,$A812,$A812),_xll.BDH(config!$G$5,J$1,$A812,$A812))))</f>
        <v/>
      </c>
      <c r="K812" s="8" t="str">
        <f>IF($A812="","",IF(ISNUMBER(FIND("IMPVOL",K$1)),_xll.BDH(config!$G$4,K$1,WORKDAY($A812,-1,config_Holiday_Calendar_US),WORKDAY($A812,-1,config_Holiday_Calendar_US)),IF(ISNUMBER(_xll.BDH(config!$G$4,K$1,$A812,$A812)),_xll.BDH(config!$G$4,K$1,$A812,$A812),_xll.BDH(config!$G$5,K$1,$A812,$A812))))</f>
        <v/>
      </c>
      <c r="L812" s="8" t="str">
        <f>IF($A812="","",IF(ISNUMBER(FIND("IMPVOL",L$1)),_xll.BDH(config!$G$4,L$1,WORKDAY($A812,-1,config_Holiday_Calendar_US),WORKDAY($A812,-1,config_Holiday_Calendar_US)),IF(ISNUMBER(_xll.BDH(config!$G$4,L$1,$A812,$A812)),_xll.BDH(config!$G$4,L$1,$A812,$A812),_xll.BDH(config!$G$5,L$1,$A812,$A812))))</f>
        <v/>
      </c>
      <c r="M812" s="8" t="str">
        <f>IF($A812="","",IF(ISNUMBER(FIND("IMPVOL",M$1)),_xll.BDH(config!$G$4,M$1,WORKDAY($A812,-1,config_Holiday_Calendar_US),WORKDAY($A812,-1,config_Holiday_Calendar_US)),IF(ISNUMBER(_xll.BDH(config!$G$4,M$1,$A812,$A812)),_xll.BDH(config!$G$4,M$1,$A812,$A812),_xll.BDH(config!$G$5,M$1,$A812,$A812))))</f>
        <v/>
      </c>
      <c r="N812" s="8" t="str">
        <f>IF($A812="","",IF(ISNUMBER(FIND("IMPVOL",N$1)),_xll.BDH(config!$G$4,N$1,WORKDAY($A812,-1,config_Holiday_Calendar_US),WORKDAY($A812,-1,config_Holiday_Calendar_US)),IF(ISNUMBER(_xll.BDH(config!$G$4,N$1,$A812,$A812)),_xll.BDH(config!$G$4,N$1,$A812,$A812),_xll.BDH(config!$G$5,N$1,$A812,$A812))))</f>
        <v/>
      </c>
      <c r="O812" s="8" t="str">
        <f>IF($A812="","",IF(ISNUMBER(FIND("IMPVOL",O$1)),_xll.BDH(config!$G$4,O$1,WORKDAY($A812,-1,config_Holiday_Calendar_US),WORKDAY($A812,-1,config_Holiday_Calendar_US)),IF(ISNUMBER(_xll.BDH(config!$G$4,O$1,$A812,$A812)),_xll.BDH(config!$G$4,O$1,$A812,$A812),_xll.BDH(config!$G$5,O$1,$A812,$A812))))</f>
        <v/>
      </c>
      <c r="P812" s="8" t="str">
        <f>IF($A812="","",IF(ISNUMBER(FIND("IMPVOL",P$1)),_xll.BDH(config!$G$4,P$1,WORKDAY($A812,-1,config_Holiday_Calendar_US),WORKDAY($A812,-1,config_Holiday_Calendar_US)),IF(ISNUMBER(_xll.BDH(config!$G$4,P$1,$A812,$A812)),_xll.BDH(config!$G$4,P$1,$A812,$A812),_xll.BDH(config!$G$5,P$1,$A812,$A812))))</f>
        <v/>
      </c>
      <c r="Q812" s="8" t="str">
        <f>IF($A812="","",IF(ISNUMBER(FIND("IMPVOL",Q$1)),_xll.BDH(config!$G$4,Q$1,WORKDAY($A812,-1,config_Holiday_Calendar_US),WORKDAY($A812,-1,config_Holiday_Calendar_US)),IF(ISNUMBER(_xll.BDH(config!$G$4,Q$1,$A812,$A812)),_xll.BDH(config!$G$4,Q$1,$A812,$A812),_xll.BDH(config!$G$5,Q$1,$A812,$A812))))</f>
        <v/>
      </c>
      <c r="R812" s="8" t="str">
        <f>IF($A812="","",IF(ISNUMBER(FIND("IMPVOL",R$1)),_xll.BDH(config!$G$4,R$1,WORKDAY($A812,-1,config_Holiday_Calendar_US),WORKDAY($A812,-1,config_Holiday_Calendar_US)),IF(ISNUMBER(_xll.BDH(config!$G$4,R$1,$A812,$A812)),_xll.BDH(config!$G$4,R$1,$A812,$A812),_xll.BDH(config!$G$5,R$1,$A812,$A812))))</f>
        <v/>
      </c>
      <c r="S812" s="8" t="str">
        <f>IF($A812="","",IF(ISNUMBER(FIND("IMPVOL",S$1)),_xll.BDH(config!$G$4,S$1,WORKDAY($A812,-1,config_Holiday_Calendar_US),WORKDAY($A812,-1,config_Holiday_Calendar_US)),IF(ISNUMBER(_xll.BDH(config!$G$4,S$1,$A812,$A812)),_xll.BDH(config!$G$4,S$1,$A812,$A812),_xll.BDH(config!$G$5,S$1,$A812,$A812))))</f>
        <v/>
      </c>
      <c r="T812" s="8" t="str">
        <f>IF($A812="","",IF(ISNUMBER(FIND("IMPVOL",T$1)),_xll.BDH(config!$G$4,T$1,WORKDAY($A812,-1,config_Holiday_Calendar_US),WORKDAY($A812,-1,config_Holiday_Calendar_US)),IF(ISNUMBER(_xll.BDH(config!$G$4,T$1,$A812,$A812)),_xll.BDH(config!$G$4,T$1,$A812,$A812),_xll.BDH(config!$G$5,T$1,$A812,$A812))))</f>
        <v/>
      </c>
      <c r="U812" s="8" t="str">
        <f>IF($A812="","",IF(ISNUMBER(FIND("IMPVOL",U$1)),_xll.BDH(config!$G$4,U$1,WORKDAY($A812,-1,config_Holiday_Calendar_US),WORKDAY($A812,-1,config_Holiday_Calendar_US)),IF(ISNUMBER(_xll.BDH(config!$G$4,U$1,$A812,$A812)),_xll.BDH(config!$G$4,U$1,$A812,$A812),_xll.BDH(config!$G$5,U$1,$A812,$A812))))</f>
        <v/>
      </c>
      <c r="V812" s="8" t="str">
        <f>IF($A812="","",IF(ISNUMBER(FIND("IMPVOL",V$1)),_xll.BDH(config!$G$4,V$1,WORKDAY($A812,-1,config_Holiday_Calendar_US),WORKDAY($A812,-1,config_Holiday_Calendar_US)),IF(ISNUMBER(_xll.BDH(config!$G$4,V$1,$A812,$A812)),_xll.BDH(config!$G$4,V$1,$A812,$A812),_xll.BDH(config!$G$5,V$1,$A812,$A812))))</f>
        <v/>
      </c>
      <c r="W812" s="8" t="str">
        <f>IF($A812="","",IF(ISNUMBER(FIND("IMPVOL",W$1)),_xll.BDH(config!$G$4,W$1,WORKDAY($A812,-1,config_Holiday_Calendar_US),WORKDAY($A812,-1,config_Holiday_Calendar_US)),IF(ISNUMBER(_xll.BDH(config!$G$4,W$1,$A812,$A812)),_xll.BDH(config!$G$4,W$1,$A812,$A812),_xll.BDH(config!$G$5,W$1,$A812,$A812))))</f>
        <v/>
      </c>
    </row>
    <row r="813" spans="1:23" x14ac:dyDescent="0.2">
      <c r="A813" s="9" t="str">
        <f>IF(A812="","",IF(WORKDAY(A812,-1,config_Holiday_Calendar_US)&lt;config!$I$10,"",WORKDAY(A812,-1,config_Holiday_Calendar_US)))</f>
        <v/>
      </c>
      <c r="B813" s="8" t="str">
        <f t="shared" si="12"/>
        <v/>
      </c>
      <c r="C813" s="8" t="str">
        <f>IF(A813="","",_xll.BDH(config!$H$4,C$1,$A813,$A813))</f>
        <v/>
      </c>
      <c r="D813" s="8" t="str">
        <f>IF($A813="","",_xll.BDH(config!$H$4,D$1,$A813,$A813))</f>
        <v/>
      </c>
      <c r="E813" s="8" t="str">
        <f>IF($A813="","",IF(ISNUMBER(FIND("IMPVOL",E$1)),_xll.BDH(config!$G$4,E$1,WORKDAY($A813,-1,config_Holiday_Calendar_US),WORKDAY($A813,-1,config_Holiday_Calendar_US)),IF(ISNUMBER(_xll.BDH(config!$G$4,E$1,$A813,$A813)),_xll.BDH(config!$G$4,E$1,$A813,$A813),_xll.BDH(config!$G$5,E$1,$A813,$A813))))</f>
        <v/>
      </c>
      <c r="F813" s="8" t="str">
        <f>IF($A813="","",IF(ISNUMBER(FIND("IMPVOL",F$1)),_xll.BDH(config!$G$4,F$1,WORKDAY($A813,-1,config_Holiday_Calendar_US),WORKDAY($A813,-1,config_Holiday_Calendar_US)),IF(ISNUMBER(_xll.BDH(config!$G$4,F$1,$A813,$A813)),_xll.BDH(config!$G$4,F$1,$A813,$A813),_xll.BDH(config!$G$5,F$1,$A813,$A813))))</f>
        <v/>
      </c>
      <c r="G813" s="8" t="str">
        <f>IF($A813="","",IF(ISNUMBER(FIND("IMPVOL",G$1)),_xll.BDH(config!$G$4,G$1,WORKDAY($A813,-1,config_Holiday_Calendar_US),WORKDAY($A813,-1,config_Holiday_Calendar_US)),IF(ISNUMBER(_xll.BDH(config!$G$4,G$1,$A813,$A813)),_xll.BDH(config!$G$4,G$1,$A813,$A813),_xll.BDH(config!$G$5,G$1,$A813,$A813))))</f>
        <v/>
      </c>
      <c r="H813" s="8" t="str">
        <f>IF($A813="","",IF(ISNUMBER(FIND("IMPVOL",H$1)),_xll.BDH(config!$G$4,H$1,WORKDAY($A813,-1,config_Holiday_Calendar_US),WORKDAY($A813,-1,config_Holiday_Calendar_US)),IF(ISNUMBER(_xll.BDH(config!$G$4,H$1,$A813,$A813)),_xll.BDH(config!$G$4,H$1,$A813,$A813),_xll.BDH(config!$G$5,H$1,$A813,$A813))))</f>
        <v/>
      </c>
      <c r="I813" s="8" t="str">
        <f>IF($A813="","",IF(ISNUMBER(FIND("IMPVOL",I$1)),_xll.BDH(config!$G$4,I$1,WORKDAY($A813,-1,config_Holiday_Calendar_US),WORKDAY($A813,-1,config_Holiday_Calendar_US)),IF(ISNUMBER(_xll.BDH(config!$G$4,I$1,$A813,$A813)),_xll.BDH(config!$G$4,I$1,$A813,$A813),_xll.BDH(config!$G$5,I$1,$A813,$A813))))</f>
        <v/>
      </c>
      <c r="J813" s="8" t="str">
        <f>IF($A813="","",IF(ISNUMBER(FIND("IMPVOL",J$1)),_xll.BDH(config!$G$4,J$1,WORKDAY($A813,-1,config_Holiday_Calendar_US),WORKDAY($A813,-1,config_Holiday_Calendar_US)),IF(ISNUMBER(_xll.BDH(config!$G$4,J$1,$A813,$A813)),_xll.BDH(config!$G$4,J$1,$A813,$A813),_xll.BDH(config!$G$5,J$1,$A813,$A813))))</f>
        <v/>
      </c>
      <c r="K813" s="8" t="str">
        <f>IF($A813="","",IF(ISNUMBER(FIND("IMPVOL",K$1)),_xll.BDH(config!$G$4,K$1,WORKDAY($A813,-1,config_Holiday_Calendar_US),WORKDAY($A813,-1,config_Holiday_Calendar_US)),IF(ISNUMBER(_xll.BDH(config!$G$4,K$1,$A813,$A813)),_xll.BDH(config!$G$4,K$1,$A813,$A813),_xll.BDH(config!$G$5,K$1,$A813,$A813))))</f>
        <v/>
      </c>
      <c r="L813" s="8" t="str">
        <f>IF($A813="","",IF(ISNUMBER(FIND("IMPVOL",L$1)),_xll.BDH(config!$G$4,L$1,WORKDAY($A813,-1,config_Holiday_Calendar_US),WORKDAY($A813,-1,config_Holiday_Calendar_US)),IF(ISNUMBER(_xll.BDH(config!$G$4,L$1,$A813,$A813)),_xll.BDH(config!$G$4,L$1,$A813,$A813),_xll.BDH(config!$G$5,L$1,$A813,$A813))))</f>
        <v/>
      </c>
      <c r="M813" s="8" t="str">
        <f>IF($A813="","",IF(ISNUMBER(FIND("IMPVOL",M$1)),_xll.BDH(config!$G$4,M$1,WORKDAY($A813,-1,config_Holiday_Calendar_US),WORKDAY($A813,-1,config_Holiday_Calendar_US)),IF(ISNUMBER(_xll.BDH(config!$G$4,M$1,$A813,$A813)),_xll.BDH(config!$G$4,M$1,$A813,$A813),_xll.BDH(config!$G$5,M$1,$A813,$A813))))</f>
        <v/>
      </c>
      <c r="N813" s="8" t="str">
        <f>IF($A813="","",IF(ISNUMBER(FIND("IMPVOL",N$1)),_xll.BDH(config!$G$4,N$1,WORKDAY($A813,-1,config_Holiday_Calendar_US),WORKDAY($A813,-1,config_Holiday_Calendar_US)),IF(ISNUMBER(_xll.BDH(config!$G$4,N$1,$A813,$A813)),_xll.BDH(config!$G$4,N$1,$A813,$A813),_xll.BDH(config!$G$5,N$1,$A813,$A813))))</f>
        <v/>
      </c>
      <c r="O813" s="8" t="str">
        <f>IF($A813="","",IF(ISNUMBER(FIND("IMPVOL",O$1)),_xll.BDH(config!$G$4,O$1,WORKDAY($A813,-1,config_Holiday_Calendar_US),WORKDAY($A813,-1,config_Holiday_Calendar_US)),IF(ISNUMBER(_xll.BDH(config!$G$4,O$1,$A813,$A813)),_xll.BDH(config!$G$4,O$1,$A813,$A813),_xll.BDH(config!$G$5,O$1,$A813,$A813))))</f>
        <v/>
      </c>
      <c r="P813" s="8" t="str">
        <f>IF($A813="","",IF(ISNUMBER(FIND("IMPVOL",P$1)),_xll.BDH(config!$G$4,P$1,WORKDAY($A813,-1,config_Holiday_Calendar_US),WORKDAY($A813,-1,config_Holiday_Calendar_US)),IF(ISNUMBER(_xll.BDH(config!$G$4,P$1,$A813,$A813)),_xll.BDH(config!$G$4,P$1,$A813,$A813),_xll.BDH(config!$G$5,P$1,$A813,$A813))))</f>
        <v/>
      </c>
      <c r="Q813" s="8" t="str">
        <f>IF($A813="","",IF(ISNUMBER(FIND("IMPVOL",Q$1)),_xll.BDH(config!$G$4,Q$1,WORKDAY($A813,-1,config_Holiday_Calendar_US),WORKDAY($A813,-1,config_Holiday_Calendar_US)),IF(ISNUMBER(_xll.BDH(config!$G$4,Q$1,$A813,$A813)),_xll.BDH(config!$G$4,Q$1,$A813,$A813),_xll.BDH(config!$G$5,Q$1,$A813,$A813))))</f>
        <v/>
      </c>
      <c r="R813" s="8" t="str">
        <f>IF($A813="","",IF(ISNUMBER(FIND("IMPVOL",R$1)),_xll.BDH(config!$G$4,R$1,WORKDAY($A813,-1,config_Holiday_Calendar_US),WORKDAY($A813,-1,config_Holiday_Calendar_US)),IF(ISNUMBER(_xll.BDH(config!$G$4,R$1,$A813,$A813)),_xll.BDH(config!$G$4,R$1,$A813,$A813),_xll.BDH(config!$G$5,R$1,$A813,$A813))))</f>
        <v/>
      </c>
      <c r="S813" s="8" t="str">
        <f>IF($A813="","",IF(ISNUMBER(FIND("IMPVOL",S$1)),_xll.BDH(config!$G$4,S$1,WORKDAY($A813,-1,config_Holiday_Calendar_US),WORKDAY($A813,-1,config_Holiday_Calendar_US)),IF(ISNUMBER(_xll.BDH(config!$G$4,S$1,$A813,$A813)),_xll.BDH(config!$G$4,S$1,$A813,$A813),_xll.BDH(config!$G$5,S$1,$A813,$A813))))</f>
        <v/>
      </c>
      <c r="T813" s="8" t="str">
        <f>IF($A813="","",IF(ISNUMBER(FIND("IMPVOL",T$1)),_xll.BDH(config!$G$4,T$1,WORKDAY($A813,-1,config_Holiday_Calendar_US),WORKDAY($A813,-1,config_Holiday_Calendar_US)),IF(ISNUMBER(_xll.BDH(config!$G$4,T$1,$A813,$A813)),_xll.BDH(config!$G$4,T$1,$A813,$A813),_xll.BDH(config!$G$5,T$1,$A813,$A813))))</f>
        <v/>
      </c>
      <c r="U813" s="8" t="str">
        <f>IF($A813="","",IF(ISNUMBER(FIND("IMPVOL",U$1)),_xll.BDH(config!$G$4,U$1,WORKDAY($A813,-1,config_Holiday_Calendar_US),WORKDAY($A813,-1,config_Holiday_Calendar_US)),IF(ISNUMBER(_xll.BDH(config!$G$4,U$1,$A813,$A813)),_xll.BDH(config!$G$4,U$1,$A813,$A813),_xll.BDH(config!$G$5,U$1,$A813,$A813))))</f>
        <v/>
      </c>
      <c r="V813" s="8" t="str">
        <f>IF($A813="","",IF(ISNUMBER(FIND("IMPVOL",V$1)),_xll.BDH(config!$G$4,V$1,WORKDAY($A813,-1,config_Holiday_Calendar_US),WORKDAY($A813,-1,config_Holiday_Calendar_US)),IF(ISNUMBER(_xll.BDH(config!$G$4,V$1,$A813,$A813)),_xll.BDH(config!$G$4,V$1,$A813,$A813),_xll.BDH(config!$G$5,V$1,$A813,$A813))))</f>
        <v/>
      </c>
      <c r="W813" s="8" t="str">
        <f>IF($A813="","",IF(ISNUMBER(FIND("IMPVOL",W$1)),_xll.BDH(config!$G$4,W$1,WORKDAY($A813,-1,config_Holiday_Calendar_US),WORKDAY($A813,-1,config_Holiday_Calendar_US)),IF(ISNUMBER(_xll.BDH(config!$G$4,W$1,$A813,$A813)),_xll.BDH(config!$G$4,W$1,$A813,$A813),_xll.BDH(config!$G$5,W$1,$A813,$A813))))</f>
        <v/>
      </c>
    </row>
    <row r="814" spans="1:23" x14ac:dyDescent="0.2">
      <c r="A814" s="9" t="str">
        <f>IF(A813="","",IF(WORKDAY(A813,-1,config_Holiday_Calendar_US)&lt;config!$I$10,"",WORKDAY(A813,-1,config_Holiday_Calendar_US)))</f>
        <v/>
      </c>
      <c r="B814" s="8" t="str">
        <f t="shared" si="12"/>
        <v/>
      </c>
      <c r="C814" s="8" t="str">
        <f>IF(A814="","",_xll.BDH(config!$H$4,C$1,$A814,$A814))</f>
        <v/>
      </c>
      <c r="D814" s="8" t="str">
        <f>IF($A814="","",_xll.BDH(config!$H$4,D$1,$A814,$A814))</f>
        <v/>
      </c>
      <c r="E814" s="8" t="str">
        <f>IF($A814="","",IF(ISNUMBER(FIND("IMPVOL",E$1)),_xll.BDH(config!$G$4,E$1,WORKDAY($A814,-1,config_Holiday_Calendar_US),WORKDAY($A814,-1,config_Holiday_Calendar_US)),IF(ISNUMBER(_xll.BDH(config!$G$4,E$1,$A814,$A814)),_xll.BDH(config!$G$4,E$1,$A814,$A814),_xll.BDH(config!$G$5,E$1,$A814,$A814))))</f>
        <v/>
      </c>
      <c r="F814" s="8" t="str">
        <f>IF($A814="","",IF(ISNUMBER(FIND("IMPVOL",F$1)),_xll.BDH(config!$G$4,F$1,WORKDAY($A814,-1,config_Holiday_Calendar_US),WORKDAY($A814,-1,config_Holiday_Calendar_US)),IF(ISNUMBER(_xll.BDH(config!$G$4,F$1,$A814,$A814)),_xll.BDH(config!$G$4,F$1,$A814,$A814),_xll.BDH(config!$G$5,F$1,$A814,$A814))))</f>
        <v/>
      </c>
      <c r="G814" s="8" t="str">
        <f>IF($A814="","",IF(ISNUMBER(FIND("IMPVOL",G$1)),_xll.BDH(config!$G$4,G$1,WORKDAY($A814,-1,config_Holiday_Calendar_US),WORKDAY($A814,-1,config_Holiday_Calendar_US)),IF(ISNUMBER(_xll.BDH(config!$G$4,G$1,$A814,$A814)),_xll.BDH(config!$G$4,G$1,$A814,$A814),_xll.BDH(config!$G$5,G$1,$A814,$A814))))</f>
        <v/>
      </c>
      <c r="H814" s="8" t="str">
        <f>IF($A814="","",IF(ISNUMBER(FIND("IMPVOL",H$1)),_xll.BDH(config!$G$4,H$1,WORKDAY($A814,-1,config_Holiday_Calendar_US),WORKDAY($A814,-1,config_Holiday_Calendar_US)),IF(ISNUMBER(_xll.BDH(config!$G$4,H$1,$A814,$A814)),_xll.BDH(config!$G$4,H$1,$A814,$A814),_xll.BDH(config!$G$5,H$1,$A814,$A814))))</f>
        <v/>
      </c>
      <c r="I814" s="8" t="str">
        <f>IF($A814="","",IF(ISNUMBER(FIND("IMPVOL",I$1)),_xll.BDH(config!$G$4,I$1,WORKDAY($A814,-1,config_Holiday_Calendar_US),WORKDAY($A814,-1,config_Holiday_Calendar_US)),IF(ISNUMBER(_xll.BDH(config!$G$4,I$1,$A814,$A814)),_xll.BDH(config!$G$4,I$1,$A814,$A814),_xll.BDH(config!$G$5,I$1,$A814,$A814))))</f>
        <v/>
      </c>
      <c r="J814" s="8" t="str">
        <f>IF($A814="","",IF(ISNUMBER(FIND("IMPVOL",J$1)),_xll.BDH(config!$G$4,J$1,WORKDAY($A814,-1,config_Holiday_Calendar_US),WORKDAY($A814,-1,config_Holiday_Calendar_US)),IF(ISNUMBER(_xll.BDH(config!$G$4,J$1,$A814,$A814)),_xll.BDH(config!$G$4,J$1,$A814,$A814),_xll.BDH(config!$G$5,J$1,$A814,$A814))))</f>
        <v/>
      </c>
      <c r="K814" s="8" t="str">
        <f>IF($A814="","",IF(ISNUMBER(FIND("IMPVOL",K$1)),_xll.BDH(config!$G$4,K$1,WORKDAY($A814,-1,config_Holiday_Calendar_US),WORKDAY($A814,-1,config_Holiday_Calendar_US)),IF(ISNUMBER(_xll.BDH(config!$G$4,K$1,$A814,$A814)),_xll.BDH(config!$G$4,K$1,$A814,$A814),_xll.BDH(config!$G$5,K$1,$A814,$A814))))</f>
        <v/>
      </c>
      <c r="L814" s="8" t="str">
        <f>IF($A814="","",IF(ISNUMBER(FIND("IMPVOL",L$1)),_xll.BDH(config!$G$4,L$1,WORKDAY($A814,-1,config_Holiday_Calendar_US),WORKDAY($A814,-1,config_Holiday_Calendar_US)),IF(ISNUMBER(_xll.BDH(config!$G$4,L$1,$A814,$A814)),_xll.BDH(config!$G$4,L$1,$A814,$A814),_xll.BDH(config!$G$5,L$1,$A814,$A814))))</f>
        <v/>
      </c>
      <c r="M814" s="8" t="str">
        <f>IF($A814="","",IF(ISNUMBER(FIND("IMPVOL",M$1)),_xll.BDH(config!$G$4,M$1,WORKDAY($A814,-1,config_Holiday_Calendar_US),WORKDAY($A814,-1,config_Holiday_Calendar_US)),IF(ISNUMBER(_xll.BDH(config!$G$4,M$1,$A814,$A814)),_xll.BDH(config!$G$4,M$1,$A814,$A814),_xll.BDH(config!$G$5,M$1,$A814,$A814))))</f>
        <v/>
      </c>
      <c r="N814" s="8" t="str">
        <f>IF($A814="","",IF(ISNUMBER(FIND("IMPVOL",N$1)),_xll.BDH(config!$G$4,N$1,WORKDAY($A814,-1,config_Holiday_Calendar_US),WORKDAY($A814,-1,config_Holiday_Calendar_US)),IF(ISNUMBER(_xll.BDH(config!$G$4,N$1,$A814,$A814)),_xll.BDH(config!$G$4,N$1,$A814,$A814),_xll.BDH(config!$G$5,N$1,$A814,$A814))))</f>
        <v/>
      </c>
      <c r="O814" s="8" t="str">
        <f>IF($A814="","",IF(ISNUMBER(FIND("IMPVOL",O$1)),_xll.BDH(config!$G$4,O$1,WORKDAY($A814,-1,config_Holiday_Calendar_US),WORKDAY($A814,-1,config_Holiday_Calendar_US)),IF(ISNUMBER(_xll.BDH(config!$G$4,O$1,$A814,$A814)),_xll.BDH(config!$G$4,O$1,$A814,$A814),_xll.BDH(config!$G$5,O$1,$A814,$A814))))</f>
        <v/>
      </c>
      <c r="P814" s="8" t="str">
        <f>IF($A814="","",IF(ISNUMBER(FIND("IMPVOL",P$1)),_xll.BDH(config!$G$4,P$1,WORKDAY($A814,-1,config_Holiday_Calendar_US),WORKDAY($A814,-1,config_Holiday_Calendar_US)),IF(ISNUMBER(_xll.BDH(config!$G$4,P$1,$A814,$A814)),_xll.BDH(config!$G$4,P$1,$A814,$A814),_xll.BDH(config!$G$5,P$1,$A814,$A814))))</f>
        <v/>
      </c>
      <c r="Q814" s="8" t="str">
        <f>IF($A814="","",IF(ISNUMBER(FIND("IMPVOL",Q$1)),_xll.BDH(config!$G$4,Q$1,WORKDAY($A814,-1,config_Holiday_Calendar_US),WORKDAY($A814,-1,config_Holiday_Calendar_US)),IF(ISNUMBER(_xll.BDH(config!$G$4,Q$1,$A814,$A814)),_xll.BDH(config!$G$4,Q$1,$A814,$A814),_xll.BDH(config!$G$5,Q$1,$A814,$A814))))</f>
        <v/>
      </c>
      <c r="R814" s="8" t="str">
        <f>IF($A814="","",IF(ISNUMBER(FIND("IMPVOL",R$1)),_xll.BDH(config!$G$4,R$1,WORKDAY($A814,-1,config_Holiday_Calendar_US),WORKDAY($A814,-1,config_Holiday_Calendar_US)),IF(ISNUMBER(_xll.BDH(config!$G$4,R$1,$A814,$A814)),_xll.BDH(config!$G$4,R$1,$A814,$A814),_xll.BDH(config!$G$5,R$1,$A814,$A814))))</f>
        <v/>
      </c>
      <c r="S814" s="8" t="str">
        <f>IF($A814="","",IF(ISNUMBER(FIND("IMPVOL",S$1)),_xll.BDH(config!$G$4,S$1,WORKDAY($A814,-1,config_Holiday_Calendar_US),WORKDAY($A814,-1,config_Holiday_Calendar_US)),IF(ISNUMBER(_xll.BDH(config!$G$4,S$1,$A814,$A814)),_xll.BDH(config!$G$4,S$1,$A814,$A814),_xll.BDH(config!$G$5,S$1,$A814,$A814))))</f>
        <v/>
      </c>
      <c r="T814" s="8" t="str">
        <f>IF($A814="","",IF(ISNUMBER(FIND("IMPVOL",T$1)),_xll.BDH(config!$G$4,T$1,WORKDAY($A814,-1,config_Holiday_Calendar_US),WORKDAY($A814,-1,config_Holiday_Calendar_US)),IF(ISNUMBER(_xll.BDH(config!$G$4,T$1,$A814,$A814)),_xll.BDH(config!$G$4,T$1,$A814,$A814),_xll.BDH(config!$G$5,T$1,$A814,$A814))))</f>
        <v/>
      </c>
      <c r="U814" s="8" t="str">
        <f>IF($A814="","",IF(ISNUMBER(FIND("IMPVOL",U$1)),_xll.BDH(config!$G$4,U$1,WORKDAY($A814,-1,config_Holiday_Calendar_US),WORKDAY($A814,-1,config_Holiday_Calendar_US)),IF(ISNUMBER(_xll.BDH(config!$G$4,U$1,$A814,$A814)),_xll.BDH(config!$G$4,U$1,$A814,$A814),_xll.BDH(config!$G$5,U$1,$A814,$A814))))</f>
        <v/>
      </c>
      <c r="V814" s="8" t="str">
        <f>IF($A814="","",IF(ISNUMBER(FIND("IMPVOL",V$1)),_xll.BDH(config!$G$4,V$1,WORKDAY($A814,-1,config_Holiday_Calendar_US),WORKDAY($A814,-1,config_Holiday_Calendar_US)),IF(ISNUMBER(_xll.BDH(config!$G$4,V$1,$A814,$A814)),_xll.BDH(config!$G$4,V$1,$A814,$A814),_xll.BDH(config!$G$5,V$1,$A814,$A814))))</f>
        <v/>
      </c>
      <c r="W814" s="8" t="str">
        <f>IF($A814="","",IF(ISNUMBER(FIND("IMPVOL",W$1)),_xll.BDH(config!$G$4,W$1,WORKDAY($A814,-1,config_Holiday_Calendar_US),WORKDAY($A814,-1,config_Holiday_Calendar_US)),IF(ISNUMBER(_xll.BDH(config!$G$4,W$1,$A814,$A814)),_xll.BDH(config!$G$4,W$1,$A814,$A814),_xll.BDH(config!$G$5,W$1,$A814,$A814))))</f>
        <v/>
      </c>
    </row>
    <row r="815" spans="1:23" x14ac:dyDescent="0.2">
      <c r="A815" s="9" t="str">
        <f>IF(A814="","",IF(WORKDAY(A814,-1,config_Holiday_Calendar_US)&lt;config!$I$10,"",WORKDAY(A814,-1,config_Holiday_Calendar_US)))</f>
        <v/>
      </c>
      <c r="B815" s="8" t="str">
        <f t="shared" si="12"/>
        <v/>
      </c>
      <c r="C815" s="8" t="str">
        <f>IF(A815="","",_xll.BDH(config!$H$4,C$1,$A815,$A815))</f>
        <v/>
      </c>
      <c r="D815" s="8" t="str">
        <f>IF($A815="","",_xll.BDH(config!$H$4,D$1,$A815,$A815))</f>
        <v/>
      </c>
      <c r="E815" s="8" t="str">
        <f>IF($A815="","",IF(ISNUMBER(FIND("IMPVOL",E$1)),_xll.BDH(config!$G$4,E$1,WORKDAY($A815,-1,config_Holiday_Calendar_US),WORKDAY($A815,-1,config_Holiday_Calendar_US)),IF(ISNUMBER(_xll.BDH(config!$G$4,E$1,$A815,$A815)),_xll.BDH(config!$G$4,E$1,$A815,$A815),_xll.BDH(config!$G$5,E$1,$A815,$A815))))</f>
        <v/>
      </c>
      <c r="F815" s="8" t="str">
        <f>IF($A815="","",IF(ISNUMBER(FIND("IMPVOL",F$1)),_xll.BDH(config!$G$4,F$1,WORKDAY($A815,-1,config_Holiday_Calendar_US),WORKDAY($A815,-1,config_Holiday_Calendar_US)),IF(ISNUMBER(_xll.BDH(config!$G$4,F$1,$A815,$A815)),_xll.BDH(config!$G$4,F$1,$A815,$A815),_xll.BDH(config!$G$5,F$1,$A815,$A815))))</f>
        <v/>
      </c>
      <c r="G815" s="8" t="str">
        <f>IF($A815="","",IF(ISNUMBER(FIND("IMPVOL",G$1)),_xll.BDH(config!$G$4,G$1,WORKDAY($A815,-1,config_Holiday_Calendar_US),WORKDAY($A815,-1,config_Holiday_Calendar_US)),IF(ISNUMBER(_xll.BDH(config!$G$4,G$1,$A815,$A815)),_xll.BDH(config!$G$4,G$1,$A815,$A815),_xll.BDH(config!$G$5,G$1,$A815,$A815))))</f>
        <v/>
      </c>
      <c r="H815" s="8" t="str">
        <f>IF($A815="","",IF(ISNUMBER(FIND("IMPVOL",H$1)),_xll.BDH(config!$G$4,H$1,WORKDAY($A815,-1,config_Holiday_Calendar_US),WORKDAY($A815,-1,config_Holiday_Calendar_US)),IF(ISNUMBER(_xll.BDH(config!$G$4,H$1,$A815,$A815)),_xll.BDH(config!$G$4,H$1,$A815,$A815),_xll.BDH(config!$G$5,H$1,$A815,$A815))))</f>
        <v/>
      </c>
      <c r="I815" s="8" t="str">
        <f>IF($A815="","",IF(ISNUMBER(FIND("IMPVOL",I$1)),_xll.BDH(config!$G$4,I$1,WORKDAY($A815,-1,config_Holiday_Calendar_US),WORKDAY($A815,-1,config_Holiday_Calendar_US)),IF(ISNUMBER(_xll.BDH(config!$G$4,I$1,$A815,$A815)),_xll.BDH(config!$G$4,I$1,$A815,$A815),_xll.BDH(config!$G$5,I$1,$A815,$A815))))</f>
        <v/>
      </c>
      <c r="J815" s="8" t="str">
        <f>IF($A815="","",IF(ISNUMBER(FIND("IMPVOL",J$1)),_xll.BDH(config!$G$4,J$1,WORKDAY($A815,-1,config_Holiday_Calendar_US),WORKDAY($A815,-1,config_Holiday_Calendar_US)),IF(ISNUMBER(_xll.BDH(config!$G$4,J$1,$A815,$A815)),_xll.BDH(config!$G$4,J$1,$A815,$A815),_xll.BDH(config!$G$5,J$1,$A815,$A815))))</f>
        <v/>
      </c>
      <c r="K815" s="8" t="str">
        <f>IF($A815="","",IF(ISNUMBER(FIND("IMPVOL",K$1)),_xll.BDH(config!$G$4,K$1,WORKDAY($A815,-1,config_Holiday_Calendar_US),WORKDAY($A815,-1,config_Holiday_Calendar_US)),IF(ISNUMBER(_xll.BDH(config!$G$4,K$1,$A815,$A815)),_xll.BDH(config!$G$4,K$1,$A815,$A815),_xll.BDH(config!$G$5,K$1,$A815,$A815))))</f>
        <v/>
      </c>
      <c r="L815" s="8" t="str">
        <f>IF($A815="","",IF(ISNUMBER(FIND("IMPVOL",L$1)),_xll.BDH(config!$G$4,L$1,WORKDAY($A815,-1,config_Holiday_Calendar_US),WORKDAY($A815,-1,config_Holiday_Calendar_US)),IF(ISNUMBER(_xll.BDH(config!$G$4,L$1,$A815,$A815)),_xll.BDH(config!$G$4,L$1,$A815,$A815),_xll.BDH(config!$G$5,L$1,$A815,$A815))))</f>
        <v/>
      </c>
      <c r="M815" s="8" t="str">
        <f>IF($A815="","",IF(ISNUMBER(FIND("IMPVOL",M$1)),_xll.BDH(config!$G$4,M$1,WORKDAY($A815,-1,config_Holiday_Calendar_US),WORKDAY($A815,-1,config_Holiday_Calendar_US)),IF(ISNUMBER(_xll.BDH(config!$G$4,M$1,$A815,$A815)),_xll.BDH(config!$G$4,M$1,$A815,$A815),_xll.BDH(config!$G$5,M$1,$A815,$A815))))</f>
        <v/>
      </c>
      <c r="N815" s="8" t="str">
        <f>IF($A815="","",IF(ISNUMBER(FIND("IMPVOL",N$1)),_xll.BDH(config!$G$4,N$1,WORKDAY($A815,-1,config_Holiday_Calendar_US),WORKDAY($A815,-1,config_Holiday_Calendar_US)),IF(ISNUMBER(_xll.BDH(config!$G$4,N$1,$A815,$A815)),_xll.BDH(config!$G$4,N$1,$A815,$A815),_xll.BDH(config!$G$5,N$1,$A815,$A815))))</f>
        <v/>
      </c>
      <c r="O815" s="8" t="str">
        <f>IF($A815="","",IF(ISNUMBER(FIND("IMPVOL",O$1)),_xll.BDH(config!$G$4,O$1,WORKDAY($A815,-1,config_Holiday_Calendar_US),WORKDAY($A815,-1,config_Holiday_Calendar_US)),IF(ISNUMBER(_xll.BDH(config!$G$4,O$1,$A815,$A815)),_xll.BDH(config!$G$4,O$1,$A815,$A815),_xll.BDH(config!$G$5,O$1,$A815,$A815))))</f>
        <v/>
      </c>
      <c r="P815" s="8" t="str">
        <f>IF($A815="","",IF(ISNUMBER(FIND("IMPVOL",P$1)),_xll.BDH(config!$G$4,P$1,WORKDAY($A815,-1,config_Holiday_Calendar_US),WORKDAY($A815,-1,config_Holiday_Calendar_US)),IF(ISNUMBER(_xll.BDH(config!$G$4,P$1,$A815,$A815)),_xll.BDH(config!$G$4,P$1,$A815,$A815),_xll.BDH(config!$G$5,P$1,$A815,$A815))))</f>
        <v/>
      </c>
      <c r="Q815" s="8" t="str">
        <f>IF($A815="","",IF(ISNUMBER(FIND("IMPVOL",Q$1)),_xll.BDH(config!$G$4,Q$1,WORKDAY($A815,-1,config_Holiday_Calendar_US),WORKDAY($A815,-1,config_Holiday_Calendar_US)),IF(ISNUMBER(_xll.BDH(config!$G$4,Q$1,$A815,$A815)),_xll.BDH(config!$G$4,Q$1,$A815,$A815),_xll.BDH(config!$G$5,Q$1,$A815,$A815))))</f>
        <v/>
      </c>
      <c r="R815" s="8" t="str">
        <f>IF($A815="","",IF(ISNUMBER(FIND("IMPVOL",R$1)),_xll.BDH(config!$G$4,R$1,WORKDAY($A815,-1,config_Holiday_Calendar_US),WORKDAY($A815,-1,config_Holiday_Calendar_US)),IF(ISNUMBER(_xll.BDH(config!$G$4,R$1,$A815,$A815)),_xll.BDH(config!$G$4,R$1,$A815,$A815),_xll.BDH(config!$G$5,R$1,$A815,$A815))))</f>
        <v/>
      </c>
      <c r="S815" s="8" t="str">
        <f>IF($A815="","",IF(ISNUMBER(FIND("IMPVOL",S$1)),_xll.BDH(config!$G$4,S$1,WORKDAY($A815,-1,config_Holiday_Calendar_US),WORKDAY($A815,-1,config_Holiday_Calendar_US)),IF(ISNUMBER(_xll.BDH(config!$G$4,S$1,$A815,$A815)),_xll.BDH(config!$G$4,S$1,$A815,$A815),_xll.BDH(config!$G$5,S$1,$A815,$A815))))</f>
        <v/>
      </c>
      <c r="T815" s="8" t="str">
        <f>IF($A815="","",IF(ISNUMBER(FIND("IMPVOL",T$1)),_xll.BDH(config!$G$4,T$1,WORKDAY($A815,-1,config_Holiday_Calendar_US),WORKDAY($A815,-1,config_Holiday_Calendar_US)),IF(ISNUMBER(_xll.BDH(config!$G$4,T$1,$A815,$A815)),_xll.BDH(config!$G$4,T$1,$A815,$A815),_xll.BDH(config!$G$5,T$1,$A815,$A815))))</f>
        <v/>
      </c>
      <c r="U815" s="8" t="str">
        <f>IF($A815="","",IF(ISNUMBER(FIND("IMPVOL",U$1)),_xll.BDH(config!$G$4,U$1,WORKDAY($A815,-1,config_Holiday_Calendar_US),WORKDAY($A815,-1,config_Holiday_Calendar_US)),IF(ISNUMBER(_xll.BDH(config!$G$4,U$1,$A815,$A815)),_xll.BDH(config!$G$4,U$1,$A815,$A815),_xll.BDH(config!$G$5,U$1,$A815,$A815))))</f>
        <v/>
      </c>
      <c r="V815" s="8" t="str">
        <f>IF($A815="","",IF(ISNUMBER(FIND("IMPVOL",V$1)),_xll.BDH(config!$G$4,V$1,WORKDAY($A815,-1,config_Holiday_Calendar_US),WORKDAY($A815,-1,config_Holiday_Calendar_US)),IF(ISNUMBER(_xll.BDH(config!$G$4,V$1,$A815,$A815)),_xll.BDH(config!$G$4,V$1,$A815,$A815),_xll.BDH(config!$G$5,V$1,$A815,$A815))))</f>
        <v/>
      </c>
      <c r="W815" s="8" t="str">
        <f>IF($A815="","",IF(ISNUMBER(FIND("IMPVOL",W$1)),_xll.BDH(config!$G$4,W$1,WORKDAY($A815,-1,config_Holiday_Calendar_US),WORKDAY($A815,-1,config_Holiday_Calendar_US)),IF(ISNUMBER(_xll.BDH(config!$G$4,W$1,$A815,$A815)),_xll.BDH(config!$G$4,W$1,$A815,$A815),_xll.BDH(config!$G$5,W$1,$A815,$A815))))</f>
        <v/>
      </c>
    </row>
    <row r="816" spans="1:23" x14ac:dyDescent="0.2">
      <c r="A816" s="9" t="str">
        <f>IF(A815="","",IF(WORKDAY(A815,-1,config_Holiday_Calendar_US)&lt;config!$I$10,"",WORKDAY(A815,-1,config_Holiday_Calendar_US)))</f>
        <v/>
      </c>
      <c r="B816" s="8" t="str">
        <f t="shared" si="12"/>
        <v/>
      </c>
      <c r="C816" s="8" t="str">
        <f>IF(A816="","",_xll.BDH(config!$H$4,C$1,$A816,$A816))</f>
        <v/>
      </c>
      <c r="D816" s="8" t="str">
        <f>IF($A816="","",_xll.BDH(config!$H$4,D$1,$A816,$A816))</f>
        <v/>
      </c>
      <c r="E816" s="8" t="str">
        <f>IF($A816="","",IF(ISNUMBER(FIND("IMPVOL",E$1)),_xll.BDH(config!$G$4,E$1,WORKDAY($A816,-1,config_Holiday_Calendar_US),WORKDAY($A816,-1,config_Holiday_Calendar_US)),IF(ISNUMBER(_xll.BDH(config!$G$4,E$1,$A816,$A816)),_xll.BDH(config!$G$4,E$1,$A816,$A816),_xll.BDH(config!$G$5,E$1,$A816,$A816))))</f>
        <v/>
      </c>
      <c r="F816" s="8" t="str">
        <f>IF($A816="","",IF(ISNUMBER(FIND("IMPVOL",F$1)),_xll.BDH(config!$G$4,F$1,WORKDAY($A816,-1,config_Holiday_Calendar_US),WORKDAY($A816,-1,config_Holiday_Calendar_US)),IF(ISNUMBER(_xll.BDH(config!$G$4,F$1,$A816,$A816)),_xll.BDH(config!$G$4,F$1,$A816,$A816),_xll.BDH(config!$G$5,F$1,$A816,$A816))))</f>
        <v/>
      </c>
      <c r="G816" s="8" t="str">
        <f>IF($A816="","",IF(ISNUMBER(FIND("IMPVOL",G$1)),_xll.BDH(config!$G$4,G$1,WORKDAY($A816,-1,config_Holiday_Calendar_US),WORKDAY($A816,-1,config_Holiday_Calendar_US)),IF(ISNUMBER(_xll.BDH(config!$G$4,G$1,$A816,$A816)),_xll.BDH(config!$G$4,G$1,$A816,$A816),_xll.BDH(config!$G$5,G$1,$A816,$A816))))</f>
        <v/>
      </c>
      <c r="H816" s="8" t="str">
        <f>IF($A816="","",IF(ISNUMBER(FIND("IMPVOL",H$1)),_xll.BDH(config!$G$4,H$1,WORKDAY($A816,-1,config_Holiday_Calendar_US),WORKDAY($A816,-1,config_Holiday_Calendar_US)),IF(ISNUMBER(_xll.BDH(config!$G$4,H$1,$A816,$A816)),_xll.BDH(config!$G$4,H$1,$A816,$A816),_xll.BDH(config!$G$5,H$1,$A816,$A816))))</f>
        <v/>
      </c>
      <c r="I816" s="8" t="str">
        <f>IF($A816="","",IF(ISNUMBER(FIND("IMPVOL",I$1)),_xll.BDH(config!$G$4,I$1,WORKDAY($A816,-1,config_Holiday_Calendar_US),WORKDAY($A816,-1,config_Holiday_Calendar_US)),IF(ISNUMBER(_xll.BDH(config!$G$4,I$1,$A816,$A816)),_xll.BDH(config!$G$4,I$1,$A816,$A816),_xll.BDH(config!$G$5,I$1,$A816,$A816))))</f>
        <v/>
      </c>
      <c r="J816" s="8" t="str">
        <f>IF($A816="","",IF(ISNUMBER(FIND("IMPVOL",J$1)),_xll.BDH(config!$G$4,J$1,WORKDAY($A816,-1,config_Holiday_Calendar_US),WORKDAY($A816,-1,config_Holiday_Calendar_US)),IF(ISNUMBER(_xll.BDH(config!$G$4,J$1,$A816,$A816)),_xll.BDH(config!$G$4,J$1,$A816,$A816),_xll.BDH(config!$G$5,J$1,$A816,$A816))))</f>
        <v/>
      </c>
      <c r="K816" s="8" t="str">
        <f>IF($A816="","",IF(ISNUMBER(FIND("IMPVOL",K$1)),_xll.BDH(config!$G$4,K$1,WORKDAY($A816,-1,config_Holiday_Calendar_US),WORKDAY($A816,-1,config_Holiday_Calendar_US)),IF(ISNUMBER(_xll.BDH(config!$G$4,K$1,$A816,$A816)),_xll.BDH(config!$G$4,K$1,$A816,$A816),_xll.BDH(config!$G$5,K$1,$A816,$A816))))</f>
        <v/>
      </c>
      <c r="L816" s="8" t="str">
        <f>IF($A816="","",IF(ISNUMBER(FIND("IMPVOL",L$1)),_xll.BDH(config!$G$4,L$1,WORKDAY($A816,-1,config_Holiday_Calendar_US),WORKDAY($A816,-1,config_Holiday_Calendar_US)),IF(ISNUMBER(_xll.BDH(config!$G$4,L$1,$A816,$A816)),_xll.BDH(config!$G$4,L$1,$A816,$A816),_xll.BDH(config!$G$5,L$1,$A816,$A816))))</f>
        <v/>
      </c>
      <c r="M816" s="8" t="str">
        <f>IF($A816="","",IF(ISNUMBER(FIND("IMPVOL",M$1)),_xll.BDH(config!$G$4,M$1,WORKDAY($A816,-1,config_Holiday_Calendar_US),WORKDAY($A816,-1,config_Holiday_Calendar_US)),IF(ISNUMBER(_xll.BDH(config!$G$4,M$1,$A816,$A816)),_xll.BDH(config!$G$4,M$1,$A816,$A816),_xll.BDH(config!$G$5,M$1,$A816,$A816))))</f>
        <v/>
      </c>
      <c r="N816" s="8" t="str">
        <f>IF($A816="","",IF(ISNUMBER(FIND("IMPVOL",N$1)),_xll.BDH(config!$G$4,N$1,WORKDAY($A816,-1,config_Holiday_Calendar_US),WORKDAY($A816,-1,config_Holiday_Calendar_US)),IF(ISNUMBER(_xll.BDH(config!$G$4,N$1,$A816,$A816)),_xll.BDH(config!$G$4,N$1,$A816,$A816),_xll.BDH(config!$G$5,N$1,$A816,$A816))))</f>
        <v/>
      </c>
      <c r="O816" s="8" t="str">
        <f>IF($A816="","",IF(ISNUMBER(FIND("IMPVOL",O$1)),_xll.BDH(config!$G$4,O$1,WORKDAY($A816,-1,config_Holiday_Calendar_US),WORKDAY($A816,-1,config_Holiday_Calendar_US)),IF(ISNUMBER(_xll.BDH(config!$G$4,O$1,$A816,$A816)),_xll.BDH(config!$G$4,O$1,$A816,$A816),_xll.BDH(config!$G$5,O$1,$A816,$A816))))</f>
        <v/>
      </c>
      <c r="P816" s="8" t="str">
        <f>IF($A816="","",IF(ISNUMBER(FIND("IMPVOL",P$1)),_xll.BDH(config!$G$4,P$1,WORKDAY($A816,-1,config_Holiday_Calendar_US),WORKDAY($A816,-1,config_Holiday_Calendar_US)),IF(ISNUMBER(_xll.BDH(config!$G$4,P$1,$A816,$A816)),_xll.BDH(config!$G$4,P$1,$A816,$A816),_xll.BDH(config!$G$5,P$1,$A816,$A816))))</f>
        <v/>
      </c>
      <c r="Q816" s="8" t="str">
        <f>IF($A816="","",IF(ISNUMBER(FIND("IMPVOL",Q$1)),_xll.BDH(config!$G$4,Q$1,WORKDAY($A816,-1,config_Holiday_Calendar_US),WORKDAY($A816,-1,config_Holiday_Calendar_US)),IF(ISNUMBER(_xll.BDH(config!$G$4,Q$1,$A816,$A816)),_xll.BDH(config!$G$4,Q$1,$A816,$A816),_xll.BDH(config!$G$5,Q$1,$A816,$A816))))</f>
        <v/>
      </c>
      <c r="R816" s="8" t="str">
        <f>IF($A816="","",IF(ISNUMBER(FIND("IMPVOL",R$1)),_xll.BDH(config!$G$4,R$1,WORKDAY($A816,-1,config_Holiday_Calendar_US),WORKDAY($A816,-1,config_Holiday_Calendar_US)),IF(ISNUMBER(_xll.BDH(config!$G$4,R$1,$A816,$A816)),_xll.BDH(config!$G$4,R$1,$A816,$A816),_xll.BDH(config!$G$5,R$1,$A816,$A816))))</f>
        <v/>
      </c>
      <c r="S816" s="8" t="str">
        <f>IF($A816="","",IF(ISNUMBER(FIND("IMPVOL",S$1)),_xll.BDH(config!$G$4,S$1,WORKDAY($A816,-1,config_Holiday_Calendar_US),WORKDAY($A816,-1,config_Holiday_Calendar_US)),IF(ISNUMBER(_xll.BDH(config!$G$4,S$1,$A816,$A816)),_xll.BDH(config!$G$4,S$1,$A816,$A816),_xll.BDH(config!$G$5,S$1,$A816,$A816))))</f>
        <v/>
      </c>
      <c r="T816" s="8" t="str">
        <f>IF($A816="","",IF(ISNUMBER(FIND("IMPVOL",T$1)),_xll.BDH(config!$G$4,T$1,WORKDAY($A816,-1,config_Holiday_Calendar_US),WORKDAY($A816,-1,config_Holiday_Calendar_US)),IF(ISNUMBER(_xll.BDH(config!$G$4,T$1,$A816,$A816)),_xll.BDH(config!$G$4,T$1,$A816,$A816),_xll.BDH(config!$G$5,T$1,$A816,$A816))))</f>
        <v/>
      </c>
      <c r="U816" s="8" t="str">
        <f>IF($A816="","",IF(ISNUMBER(FIND("IMPVOL",U$1)),_xll.BDH(config!$G$4,U$1,WORKDAY($A816,-1,config_Holiday_Calendar_US),WORKDAY($A816,-1,config_Holiday_Calendar_US)),IF(ISNUMBER(_xll.BDH(config!$G$4,U$1,$A816,$A816)),_xll.BDH(config!$G$4,U$1,$A816,$A816),_xll.BDH(config!$G$5,U$1,$A816,$A816))))</f>
        <v/>
      </c>
      <c r="V816" s="8" t="str">
        <f>IF($A816="","",IF(ISNUMBER(FIND("IMPVOL",V$1)),_xll.BDH(config!$G$4,V$1,WORKDAY($A816,-1,config_Holiday_Calendar_US),WORKDAY($A816,-1,config_Holiday_Calendar_US)),IF(ISNUMBER(_xll.BDH(config!$G$4,V$1,$A816,$A816)),_xll.BDH(config!$G$4,V$1,$A816,$A816),_xll.BDH(config!$G$5,V$1,$A816,$A816))))</f>
        <v/>
      </c>
      <c r="W816" s="8" t="str">
        <f>IF($A816="","",IF(ISNUMBER(FIND("IMPVOL",W$1)),_xll.BDH(config!$G$4,W$1,WORKDAY($A816,-1,config_Holiday_Calendar_US),WORKDAY($A816,-1,config_Holiday_Calendar_US)),IF(ISNUMBER(_xll.BDH(config!$G$4,W$1,$A816,$A816)),_xll.BDH(config!$G$4,W$1,$A816,$A816),_xll.BDH(config!$G$5,W$1,$A816,$A816))))</f>
        <v/>
      </c>
    </row>
    <row r="817" spans="1:23" x14ac:dyDescent="0.2">
      <c r="A817" s="9" t="str">
        <f>IF(A816="","",IF(WORKDAY(A816,-1,config_Holiday_Calendar_US)&lt;config!$I$10,"",WORKDAY(A816,-1,config_Holiday_Calendar_US)))</f>
        <v/>
      </c>
      <c r="B817" s="8" t="str">
        <f t="shared" si="12"/>
        <v/>
      </c>
      <c r="C817" s="8" t="str">
        <f>IF(A817="","",_xll.BDH(config!$H$4,C$1,$A817,$A817))</f>
        <v/>
      </c>
      <c r="D817" s="8" t="str">
        <f>IF($A817="","",_xll.BDH(config!$H$4,D$1,$A817,$A817))</f>
        <v/>
      </c>
      <c r="E817" s="8" t="str">
        <f>IF($A817="","",IF(ISNUMBER(FIND("IMPVOL",E$1)),_xll.BDH(config!$G$4,E$1,WORKDAY($A817,-1,config_Holiday_Calendar_US),WORKDAY($A817,-1,config_Holiday_Calendar_US)),IF(ISNUMBER(_xll.BDH(config!$G$4,E$1,$A817,$A817)),_xll.BDH(config!$G$4,E$1,$A817,$A817),_xll.BDH(config!$G$5,E$1,$A817,$A817))))</f>
        <v/>
      </c>
      <c r="F817" s="8" t="str">
        <f>IF($A817="","",IF(ISNUMBER(FIND("IMPVOL",F$1)),_xll.BDH(config!$G$4,F$1,WORKDAY($A817,-1,config_Holiday_Calendar_US),WORKDAY($A817,-1,config_Holiday_Calendar_US)),IF(ISNUMBER(_xll.BDH(config!$G$4,F$1,$A817,$A817)),_xll.BDH(config!$G$4,F$1,$A817,$A817),_xll.BDH(config!$G$5,F$1,$A817,$A817))))</f>
        <v/>
      </c>
      <c r="G817" s="8" t="str">
        <f>IF($A817="","",IF(ISNUMBER(FIND("IMPVOL",G$1)),_xll.BDH(config!$G$4,G$1,WORKDAY($A817,-1,config_Holiday_Calendar_US),WORKDAY($A817,-1,config_Holiday_Calendar_US)),IF(ISNUMBER(_xll.BDH(config!$G$4,G$1,$A817,$A817)),_xll.BDH(config!$G$4,G$1,$A817,$A817),_xll.BDH(config!$G$5,G$1,$A817,$A817))))</f>
        <v/>
      </c>
      <c r="H817" s="8" t="str">
        <f>IF($A817="","",IF(ISNUMBER(FIND("IMPVOL",H$1)),_xll.BDH(config!$G$4,H$1,WORKDAY($A817,-1,config_Holiday_Calendar_US),WORKDAY($A817,-1,config_Holiday_Calendar_US)),IF(ISNUMBER(_xll.BDH(config!$G$4,H$1,$A817,$A817)),_xll.BDH(config!$G$4,H$1,$A817,$A817),_xll.BDH(config!$G$5,H$1,$A817,$A817))))</f>
        <v/>
      </c>
      <c r="I817" s="8" t="str">
        <f>IF($A817="","",IF(ISNUMBER(FIND("IMPVOL",I$1)),_xll.BDH(config!$G$4,I$1,WORKDAY($A817,-1,config_Holiday_Calendar_US),WORKDAY($A817,-1,config_Holiday_Calendar_US)),IF(ISNUMBER(_xll.BDH(config!$G$4,I$1,$A817,$A817)),_xll.BDH(config!$G$4,I$1,$A817,$A817),_xll.BDH(config!$G$5,I$1,$A817,$A817))))</f>
        <v/>
      </c>
      <c r="J817" s="8" t="str">
        <f>IF($A817="","",IF(ISNUMBER(FIND("IMPVOL",J$1)),_xll.BDH(config!$G$4,J$1,WORKDAY($A817,-1,config_Holiday_Calendar_US),WORKDAY($A817,-1,config_Holiday_Calendar_US)),IF(ISNUMBER(_xll.BDH(config!$G$4,J$1,$A817,$A817)),_xll.BDH(config!$G$4,J$1,$A817,$A817),_xll.BDH(config!$G$5,J$1,$A817,$A817))))</f>
        <v/>
      </c>
      <c r="K817" s="8" t="str">
        <f>IF($A817="","",IF(ISNUMBER(FIND("IMPVOL",K$1)),_xll.BDH(config!$G$4,K$1,WORKDAY($A817,-1,config_Holiday_Calendar_US),WORKDAY($A817,-1,config_Holiday_Calendar_US)),IF(ISNUMBER(_xll.BDH(config!$G$4,K$1,$A817,$A817)),_xll.BDH(config!$G$4,K$1,$A817,$A817),_xll.BDH(config!$G$5,K$1,$A817,$A817))))</f>
        <v/>
      </c>
      <c r="L817" s="8" t="str">
        <f>IF($A817="","",IF(ISNUMBER(FIND("IMPVOL",L$1)),_xll.BDH(config!$G$4,L$1,WORKDAY($A817,-1,config_Holiday_Calendar_US),WORKDAY($A817,-1,config_Holiday_Calendar_US)),IF(ISNUMBER(_xll.BDH(config!$G$4,L$1,$A817,$A817)),_xll.BDH(config!$G$4,L$1,$A817,$A817),_xll.BDH(config!$G$5,L$1,$A817,$A817))))</f>
        <v/>
      </c>
      <c r="M817" s="8" t="str">
        <f>IF($A817="","",IF(ISNUMBER(FIND("IMPVOL",M$1)),_xll.BDH(config!$G$4,M$1,WORKDAY($A817,-1,config_Holiday_Calendar_US),WORKDAY($A817,-1,config_Holiday_Calendar_US)),IF(ISNUMBER(_xll.BDH(config!$G$4,M$1,$A817,$A817)),_xll.BDH(config!$G$4,M$1,$A817,$A817),_xll.BDH(config!$G$5,M$1,$A817,$A817))))</f>
        <v/>
      </c>
      <c r="N817" s="8" t="str">
        <f>IF($A817="","",IF(ISNUMBER(FIND("IMPVOL",N$1)),_xll.BDH(config!$G$4,N$1,WORKDAY($A817,-1,config_Holiday_Calendar_US),WORKDAY($A817,-1,config_Holiday_Calendar_US)),IF(ISNUMBER(_xll.BDH(config!$G$4,N$1,$A817,$A817)),_xll.BDH(config!$G$4,N$1,$A817,$A817),_xll.BDH(config!$G$5,N$1,$A817,$A817))))</f>
        <v/>
      </c>
      <c r="O817" s="8" t="str">
        <f>IF($A817="","",IF(ISNUMBER(FIND("IMPVOL",O$1)),_xll.BDH(config!$G$4,O$1,WORKDAY($A817,-1,config_Holiday_Calendar_US),WORKDAY($A817,-1,config_Holiday_Calendar_US)),IF(ISNUMBER(_xll.BDH(config!$G$4,O$1,$A817,$A817)),_xll.BDH(config!$G$4,O$1,$A817,$A817),_xll.BDH(config!$G$5,O$1,$A817,$A817))))</f>
        <v/>
      </c>
      <c r="P817" s="8" t="str">
        <f>IF($A817="","",IF(ISNUMBER(FIND("IMPVOL",P$1)),_xll.BDH(config!$G$4,P$1,WORKDAY($A817,-1,config_Holiday_Calendar_US),WORKDAY($A817,-1,config_Holiday_Calendar_US)),IF(ISNUMBER(_xll.BDH(config!$G$4,P$1,$A817,$A817)),_xll.BDH(config!$G$4,P$1,$A817,$A817),_xll.BDH(config!$G$5,P$1,$A817,$A817))))</f>
        <v/>
      </c>
      <c r="Q817" s="8" t="str">
        <f>IF($A817="","",IF(ISNUMBER(FIND("IMPVOL",Q$1)),_xll.BDH(config!$G$4,Q$1,WORKDAY($A817,-1,config_Holiday_Calendar_US),WORKDAY($A817,-1,config_Holiday_Calendar_US)),IF(ISNUMBER(_xll.BDH(config!$G$4,Q$1,$A817,$A817)),_xll.BDH(config!$G$4,Q$1,$A817,$A817),_xll.BDH(config!$G$5,Q$1,$A817,$A817))))</f>
        <v/>
      </c>
      <c r="R817" s="8" t="str">
        <f>IF($A817="","",IF(ISNUMBER(FIND("IMPVOL",R$1)),_xll.BDH(config!$G$4,R$1,WORKDAY($A817,-1,config_Holiday_Calendar_US),WORKDAY($A817,-1,config_Holiday_Calendar_US)),IF(ISNUMBER(_xll.BDH(config!$G$4,R$1,$A817,$A817)),_xll.BDH(config!$G$4,R$1,$A817,$A817),_xll.BDH(config!$G$5,R$1,$A817,$A817))))</f>
        <v/>
      </c>
      <c r="S817" s="8" t="str">
        <f>IF($A817="","",IF(ISNUMBER(FIND("IMPVOL",S$1)),_xll.BDH(config!$G$4,S$1,WORKDAY($A817,-1,config_Holiday_Calendar_US),WORKDAY($A817,-1,config_Holiday_Calendar_US)),IF(ISNUMBER(_xll.BDH(config!$G$4,S$1,$A817,$A817)),_xll.BDH(config!$G$4,S$1,$A817,$A817),_xll.BDH(config!$G$5,S$1,$A817,$A817))))</f>
        <v/>
      </c>
      <c r="T817" s="8" t="str">
        <f>IF($A817="","",IF(ISNUMBER(FIND("IMPVOL",T$1)),_xll.BDH(config!$G$4,T$1,WORKDAY($A817,-1,config_Holiday_Calendar_US),WORKDAY($A817,-1,config_Holiday_Calendar_US)),IF(ISNUMBER(_xll.BDH(config!$G$4,T$1,$A817,$A817)),_xll.BDH(config!$G$4,T$1,$A817,$A817),_xll.BDH(config!$G$5,T$1,$A817,$A817))))</f>
        <v/>
      </c>
      <c r="U817" s="8" t="str">
        <f>IF($A817="","",IF(ISNUMBER(FIND("IMPVOL",U$1)),_xll.BDH(config!$G$4,U$1,WORKDAY($A817,-1,config_Holiday_Calendar_US),WORKDAY($A817,-1,config_Holiday_Calendar_US)),IF(ISNUMBER(_xll.BDH(config!$G$4,U$1,$A817,$A817)),_xll.BDH(config!$G$4,U$1,$A817,$A817),_xll.BDH(config!$G$5,U$1,$A817,$A817))))</f>
        <v/>
      </c>
      <c r="V817" s="8" t="str">
        <f>IF($A817="","",IF(ISNUMBER(FIND("IMPVOL",V$1)),_xll.BDH(config!$G$4,V$1,WORKDAY($A817,-1,config_Holiday_Calendar_US),WORKDAY($A817,-1,config_Holiday_Calendar_US)),IF(ISNUMBER(_xll.BDH(config!$G$4,V$1,$A817,$A817)),_xll.BDH(config!$G$4,V$1,$A817,$A817),_xll.BDH(config!$G$5,V$1,$A817,$A817))))</f>
        <v/>
      </c>
      <c r="W817" s="8" t="str">
        <f>IF($A817="","",IF(ISNUMBER(FIND("IMPVOL",W$1)),_xll.BDH(config!$G$4,W$1,WORKDAY($A817,-1,config_Holiday_Calendar_US),WORKDAY($A817,-1,config_Holiday_Calendar_US)),IF(ISNUMBER(_xll.BDH(config!$G$4,W$1,$A817,$A817)),_xll.BDH(config!$G$4,W$1,$A817,$A817),_xll.BDH(config!$G$5,W$1,$A817,$A817))))</f>
        <v/>
      </c>
    </row>
    <row r="818" spans="1:23" x14ac:dyDescent="0.2">
      <c r="A818" s="9" t="str">
        <f>IF(A817="","",IF(WORKDAY(A817,-1,config_Holiday_Calendar_US)&lt;config!$I$10,"",WORKDAY(A817,-1,config_Holiday_Calendar_US)))</f>
        <v/>
      </c>
      <c r="B818" s="8" t="str">
        <f t="shared" si="12"/>
        <v/>
      </c>
      <c r="C818" s="8" t="str">
        <f>IF(A818="","",_xll.BDH(config!$H$4,C$1,$A818,$A818))</f>
        <v/>
      </c>
      <c r="D818" s="8" t="str">
        <f>IF($A818="","",_xll.BDH(config!$H$4,D$1,$A818,$A818))</f>
        <v/>
      </c>
      <c r="E818" s="8" t="str">
        <f>IF($A818="","",IF(ISNUMBER(FIND("IMPVOL",E$1)),_xll.BDH(config!$G$4,E$1,WORKDAY($A818,-1,config_Holiday_Calendar_US),WORKDAY($A818,-1,config_Holiday_Calendar_US)),IF(ISNUMBER(_xll.BDH(config!$G$4,E$1,$A818,$A818)),_xll.BDH(config!$G$4,E$1,$A818,$A818),_xll.BDH(config!$G$5,E$1,$A818,$A818))))</f>
        <v/>
      </c>
      <c r="F818" s="8" t="str">
        <f>IF($A818="","",IF(ISNUMBER(FIND("IMPVOL",F$1)),_xll.BDH(config!$G$4,F$1,WORKDAY($A818,-1,config_Holiday_Calendar_US),WORKDAY($A818,-1,config_Holiday_Calendar_US)),IF(ISNUMBER(_xll.BDH(config!$G$4,F$1,$A818,$A818)),_xll.BDH(config!$G$4,F$1,$A818,$A818),_xll.BDH(config!$G$5,F$1,$A818,$A818))))</f>
        <v/>
      </c>
      <c r="G818" s="8" t="str">
        <f>IF($A818="","",IF(ISNUMBER(FIND("IMPVOL",G$1)),_xll.BDH(config!$G$4,G$1,WORKDAY($A818,-1,config_Holiday_Calendar_US),WORKDAY($A818,-1,config_Holiday_Calendar_US)),IF(ISNUMBER(_xll.BDH(config!$G$4,G$1,$A818,$A818)),_xll.BDH(config!$G$4,G$1,$A818,$A818),_xll.BDH(config!$G$5,G$1,$A818,$A818))))</f>
        <v/>
      </c>
      <c r="H818" s="8" t="str">
        <f>IF($A818="","",IF(ISNUMBER(FIND("IMPVOL",H$1)),_xll.BDH(config!$G$4,H$1,WORKDAY($A818,-1,config_Holiday_Calendar_US),WORKDAY($A818,-1,config_Holiday_Calendar_US)),IF(ISNUMBER(_xll.BDH(config!$G$4,H$1,$A818,$A818)),_xll.BDH(config!$G$4,H$1,$A818,$A818),_xll.BDH(config!$G$5,H$1,$A818,$A818))))</f>
        <v/>
      </c>
      <c r="I818" s="8" t="str">
        <f>IF($A818="","",IF(ISNUMBER(FIND("IMPVOL",I$1)),_xll.BDH(config!$G$4,I$1,WORKDAY($A818,-1,config_Holiday_Calendar_US),WORKDAY($A818,-1,config_Holiday_Calendar_US)),IF(ISNUMBER(_xll.BDH(config!$G$4,I$1,$A818,$A818)),_xll.BDH(config!$G$4,I$1,$A818,$A818),_xll.BDH(config!$G$5,I$1,$A818,$A818))))</f>
        <v/>
      </c>
      <c r="J818" s="8" t="str">
        <f>IF($A818="","",IF(ISNUMBER(FIND("IMPVOL",J$1)),_xll.BDH(config!$G$4,J$1,WORKDAY($A818,-1,config_Holiday_Calendar_US),WORKDAY($A818,-1,config_Holiday_Calendar_US)),IF(ISNUMBER(_xll.BDH(config!$G$4,J$1,$A818,$A818)),_xll.BDH(config!$G$4,J$1,$A818,$A818),_xll.BDH(config!$G$5,J$1,$A818,$A818))))</f>
        <v/>
      </c>
      <c r="K818" s="8" t="str">
        <f>IF($A818="","",IF(ISNUMBER(FIND("IMPVOL",K$1)),_xll.BDH(config!$G$4,K$1,WORKDAY($A818,-1,config_Holiday_Calendar_US),WORKDAY($A818,-1,config_Holiday_Calendar_US)),IF(ISNUMBER(_xll.BDH(config!$G$4,K$1,$A818,$A818)),_xll.BDH(config!$G$4,K$1,$A818,$A818),_xll.BDH(config!$G$5,K$1,$A818,$A818))))</f>
        <v/>
      </c>
      <c r="L818" s="8" t="str">
        <f>IF($A818="","",IF(ISNUMBER(FIND("IMPVOL",L$1)),_xll.BDH(config!$G$4,L$1,WORKDAY($A818,-1,config_Holiday_Calendar_US),WORKDAY($A818,-1,config_Holiday_Calendar_US)),IF(ISNUMBER(_xll.BDH(config!$G$4,L$1,$A818,$A818)),_xll.BDH(config!$G$4,L$1,$A818,$A818),_xll.BDH(config!$G$5,L$1,$A818,$A818))))</f>
        <v/>
      </c>
      <c r="M818" s="8" t="str">
        <f>IF($A818="","",IF(ISNUMBER(FIND("IMPVOL",M$1)),_xll.BDH(config!$G$4,M$1,WORKDAY($A818,-1,config_Holiday_Calendar_US),WORKDAY($A818,-1,config_Holiday_Calendar_US)),IF(ISNUMBER(_xll.BDH(config!$G$4,M$1,$A818,$A818)),_xll.BDH(config!$G$4,M$1,$A818,$A818),_xll.BDH(config!$G$5,M$1,$A818,$A818))))</f>
        <v/>
      </c>
      <c r="N818" s="8" t="str">
        <f>IF($A818="","",IF(ISNUMBER(FIND("IMPVOL",N$1)),_xll.BDH(config!$G$4,N$1,WORKDAY($A818,-1,config_Holiday_Calendar_US),WORKDAY($A818,-1,config_Holiday_Calendar_US)),IF(ISNUMBER(_xll.BDH(config!$G$4,N$1,$A818,$A818)),_xll.BDH(config!$G$4,N$1,$A818,$A818),_xll.BDH(config!$G$5,N$1,$A818,$A818))))</f>
        <v/>
      </c>
      <c r="O818" s="8" t="str">
        <f>IF($A818="","",IF(ISNUMBER(FIND("IMPVOL",O$1)),_xll.BDH(config!$G$4,O$1,WORKDAY($A818,-1,config_Holiday_Calendar_US),WORKDAY($A818,-1,config_Holiday_Calendar_US)),IF(ISNUMBER(_xll.BDH(config!$G$4,O$1,$A818,$A818)),_xll.BDH(config!$G$4,O$1,$A818,$A818),_xll.BDH(config!$G$5,O$1,$A818,$A818))))</f>
        <v/>
      </c>
      <c r="P818" s="8" t="str">
        <f>IF($A818="","",IF(ISNUMBER(FIND("IMPVOL",P$1)),_xll.BDH(config!$G$4,P$1,WORKDAY($A818,-1,config_Holiday_Calendar_US),WORKDAY($A818,-1,config_Holiday_Calendar_US)),IF(ISNUMBER(_xll.BDH(config!$G$4,P$1,$A818,$A818)),_xll.BDH(config!$G$4,P$1,$A818,$A818),_xll.BDH(config!$G$5,P$1,$A818,$A818))))</f>
        <v/>
      </c>
      <c r="Q818" s="8" t="str">
        <f>IF($A818="","",IF(ISNUMBER(FIND("IMPVOL",Q$1)),_xll.BDH(config!$G$4,Q$1,WORKDAY($A818,-1,config_Holiday_Calendar_US),WORKDAY($A818,-1,config_Holiday_Calendar_US)),IF(ISNUMBER(_xll.BDH(config!$G$4,Q$1,$A818,$A818)),_xll.BDH(config!$G$4,Q$1,$A818,$A818),_xll.BDH(config!$G$5,Q$1,$A818,$A818))))</f>
        <v/>
      </c>
      <c r="R818" s="8" t="str">
        <f>IF($A818="","",IF(ISNUMBER(FIND("IMPVOL",R$1)),_xll.BDH(config!$G$4,R$1,WORKDAY($A818,-1,config_Holiday_Calendar_US),WORKDAY($A818,-1,config_Holiday_Calendar_US)),IF(ISNUMBER(_xll.BDH(config!$G$4,R$1,$A818,$A818)),_xll.BDH(config!$G$4,R$1,$A818,$A818),_xll.BDH(config!$G$5,R$1,$A818,$A818))))</f>
        <v/>
      </c>
      <c r="S818" s="8" t="str">
        <f>IF($A818="","",IF(ISNUMBER(FIND("IMPVOL",S$1)),_xll.BDH(config!$G$4,S$1,WORKDAY($A818,-1,config_Holiday_Calendar_US),WORKDAY($A818,-1,config_Holiday_Calendar_US)),IF(ISNUMBER(_xll.BDH(config!$G$4,S$1,$A818,$A818)),_xll.BDH(config!$G$4,S$1,$A818,$A818),_xll.BDH(config!$G$5,S$1,$A818,$A818))))</f>
        <v/>
      </c>
      <c r="T818" s="8" t="str">
        <f>IF($A818="","",IF(ISNUMBER(FIND("IMPVOL",T$1)),_xll.BDH(config!$G$4,T$1,WORKDAY($A818,-1,config_Holiday_Calendar_US),WORKDAY($A818,-1,config_Holiday_Calendar_US)),IF(ISNUMBER(_xll.BDH(config!$G$4,T$1,$A818,$A818)),_xll.BDH(config!$G$4,T$1,$A818,$A818),_xll.BDH(config!$G$5,T$1,$A818,$A818))))</f>
        <v/>
      </c>
      <c r="U818" s="8" t="str">
        <f>IF($A818="","",IF(ISNUMBER(FIND("IMPVOL",U$1)),_xll.BDH(config!$G$4,U$1,WORKDAY($A818,-1,config_Holiday_Calendar_US),WORKDAY($A818,-1,config_Holiday_Calendar_US)),IF(ISNUMBER(_xll.BDH(config!$G$4,U$1,$A818,$A818)),_xll.BDH(config!$G$4,U$1,$A818,$A818),_xll.BDH(config!$G$5,U$1,$A818,$A818))))</f>
        <v/>
      </c>
      <c r="V818" s="8" t="str">
        <f>IF($A818="","",IF(ISNUMBER(FIND("IMPVOL",V$1)),_xll.BDH(config!$G$4,V$1,WORKDAY($A818,-1,config_Holiday_Calendar_US),WORKDAY($A818,-1,config_Holiday_Calendar_US)),IF(ISNUMBER(_xll.BDH(config!$G$4,V$1,$A818,$A818)),_xll.BDH(config!$G$4,V$1,$A818,$A818),_xll.BDH(config!$G$5,V$1,$A818,$A818))))</f>
        <v/>
      </c>
      <c r="W818" s="8" t="str">
        <f>IF($A818="","",IF(ISNUMBER(FIND("IMPVOL",W$1)),_xll.BDH(config!$G$4,W$1,WORKDAY($A818,-1,config_Holiday_Calendar_US),WORKDAY($A818,-1,config_Holiday_Calendar_US)),IF(ISNUMBER(_xll.BDH(config!$G$4,W$1,$A818,$A818)),_xll.BDH(config!$G$4,W$1,$A818,$A818),_xll.BDH(config!$G$5,W$1,$A818,$A818))))</f>
        <v/>
      </c>
    </row>
    <row r="819" spans="1:23" x14ac:dyDescent="0.2">
      <c r="A819" s="9" t="str">
        <f>IF(A818="","",IF(WORKDAY(A818,-1,config_Holiday_Calendar_US)&lt;config!$I$10,"",WORKDAY(A818,-1,config_Holiday_Calendar_US)))</f>
        <v/>
      </c>
      <c r="B819" s="8" t="str">
        <f t="shared" si="12"/>
        <v/>
      </c>
      <c r="C819" s="8" t="str">
        <f>IF(A819="","",_xll.BDH(config!$H$4,C$1,$A819,$A819))</f>
        <v/>
      </c>
      <c r="D819" s="8" t="str">
        <f>IF($A819="","",_xll.BDH(config!$H$4,D$1,$A819,$A819))</f>
        <v/>
      </c>
      <c r="E819" s="8" t="str">
        <f>IF($A819="","",IF(ISNUMBER(FIND("IMPVOL",E$1)),_xll.BDH(config!$G$4,E$1,WORKDAY($A819,-1,config_Holiday_Calendar_US),WORKDAY($A819,-1,config_Holiday_Calendar_US)),IF(ISNUMBER(_xll.BDH(config!$G$4,E$1,$A819,$A819)),_xll.BDH(config!$G$4,E$1,$A819,$A819),_xll.BDH(config!$G$5,E$1,$A819,$A819))))</f>
        <v/>
      </c>
      <c r="F819" s="8" t="str">
        <f>IF($A819="","",IF(ISNUMBER(FIND("IMPVOL",F$1)),_xll.BDH(config!$G$4,F$1,WORKDAY($A819,-1,config_Holiday_Calendar_US),WORKDAY($A819,-1,config_Holiday_Calendar_US)),IF(ISNUMBER(_xll.BDH(config!$G$4,F$1,$A819,$A819)),_xll.BDH(config!$G$4,F$1,$A819,$A819),_xll.BDH(config!$G$5,F$1,$A819,$A819))))</f>
        <v/>
      </c>
      <c r="G819" s="8" t="str">
        <f>IF($A819="","",IF(ISNUMBER(FIND("IMPVOL",G$1)),_xll.BDH(config!$G$4,G$1,WORKDAY($A819,-1,config_Holiday_Calendar_US),WORKDAY($A819,-1,config_Holiday_Calendar_US)),IF(ISNUMBER(_xll.BDH(config!$G$4,G$1,$A819,$A819)),_xll.BDH(config!$G$4,G$1,$A819,$A819),_xll.BDH(config!$G$5,G$1,$A819,$A819))))</f>
        <v/>
      </c>
      <c r="H819" s="8" t="str">
        <f>IF($A819="","",IF(ISNUMBER(FIND("IMPVOL",H$1)),_xll.BDH(config!$G$4,H$1,WORKDAY($A819,-1,config_Holiday_Calendar_US),WORKDAY($A819,-1,config_Holiday_Calendar_US)),IF(ISNUMBER(_xll.BDH(config!$G$4,H$1,$A819,$A819)),_xll.BDH(config!$G$4,H$1,$A819,$A819),_xll.BDH(config!$G$5,H$1,$A819,$A819))))</f>
        <v/>
      </c>
      <c r="I819" s="8" t="str">
        <f>IF($A819="","",IF(ISNUMBER(FIND("IMPVOL",I$1)),_xll.BDH(config!$G$4,I$1,WORKDAY($A819,-1,config_Holiday_Calendar_US),WORKDAY($A819,-1,config_Holiday_Calendar_US)),IF(ISNUMBER(_xll.BDH(config!$G$4,I$1,$A819,$A819)),_xll.BDH(config!$G$4,I$1,$A819,$A819),_xll.BDH(config!$G$5,I$1,$A819,$A819))))</f>
        <v/>
      </c>
      <c r="J819" s="8" t="str">
        <f>IF($A819="","",IF(ISNUMBER(FIND("IMPVOL",J$1)),_xll.BDH(config!$G$4,J$1,WORKDAY($A819,-1,config_Holiday_Calendar_US),WORKDAY($A819,-1,config_Holiday_Calendar_US)),IF(ISNUMBER(_xll.BDH(config!$G$4,J$1,$A819,$A819)),_xll.BDH(config!$G$4,J$1,$A819,$A819),_xll.BDH(config!$G$5,J$1,$A819,$A819))))</f>
        <v/>
      </c>
      <c r="K819" s="8" t="str">
        <f>IF($A819="","",IF(ISNUMBER(FIND("IMPVOL",K$1)),_xll.BDH(config!$G$4,K$1,WORKDAY($A819,-1,config_Holiday_Calendar_US),WORKDAY($A819,-1,config_Holiday_Calendar_US)),IF(ISNUMBER(_xll.BDH(config!$G$4,K$1,$A819,$A819)),_xll.BDH(config!$G$4,K$1,$A819,$A819),_xll.BDH(config!$G$5,K$1,$A819,$A819))))</f>
        <v/>
      </c>
      <c r="L819" s="8" t="str">
        <f>IF($A819="","",IF(ISNUMBER(FIND("IMPVOL",L$1)),_xll.BDH(config!$G$4,L$1,WORKDAY($A819,-1,config_Holiday_Calendar_US),WORKDAY($A819,-1,config_Holiday_Calendar_US)),IF(ISNUMBER(_xll.BDH(config!$G$4,L$1,$A819,$A819)),_xll.BDH(config!$G$4,L$1,$A819,$A819),_xll.BDH(config!$G$5,L$1,$A819,$A819))))</f>
        <v/>
      </c>
      <c r="M819" s="8" t="str">
        <f>IF($A819="","",IF(ISNUMBER(FIND("IMPVOL",M$1)),_xll.BDH(config!$G$4,M$1,WORKDAY($A819,-1,config_Holiday_Calendar_US),WORKDAY($A819,-1,config_Holiday_Calendar_US)),IF(ISNUMBER(_xll.BDH(config!$G$4,M$1,$A819,$A819)),_xll.BDH(config!$G$4,M$1,$A819,$A819),_xll.BDH(config!$G$5,M$1,$A819,$A819))))</f>
        <v/>
      </c>
      <c r="N819" s="8" t="str">
        <f>IF($A819="","",IF(ISNUMBER(FIND("IMPVOL",N$1)),_xll.BDH(config!$G$4,N$1,WORKDAY($A819,-1,config_Holiday_Calendar_US),WORKDAY($A819,-1,config_Holiday_Calendar_US)),IF(ISNUMBER(_xll.BDH(config!$G$4,N$1,$A819,$A819)),_xll.BDH(config!$G$4,N$1,$A819,$A819),_xll.BDH(config!$G$5,N$1,$A819,$A819))))</f>
        <v/>
      </c>
      <c r="O819" s="8" t="str">
        <f>IF($A819="","",IF(ISNUMBER(FIND("IMPVOL",O$1)),_xll.BDH(config!$G$4,O$1,WORKDAY($A819,-1,config_Holiday_Calendar_US),WORKDAY($A819,-1,config_Holiday_Calendar_US)),IF(ISNUMBER(_xll.BDH(config!$G$4,O$1,$A819,$A819)),_xll.BDH(config!$G$4,O$1,$A819,$A819),_xll.BDH(config!$G$5,O$1,$A819,$A819))))</f>
        <v/>
      </c>
      <c r="P819" s="8" t="str">
        <f>IF($A819="","",IF(ISNUMBER(FIND("IMPVOL",P$1)),_xll.BDH(config!$G$4,P$1,WORKDAY($A819,-1,config_Holiday_Calendar_US),WORKDAY($A819,-1,config_Holiday_Calendar_US)),IF(ISNUMBER(_xll.BDH(config!$G$4,P$1,$A819,$A819)),_xll.BDH(config!$G$4,P$1,$A819,$A819),_xll.BDH(config!$G$5,P$1,$A819,$A819))))</f>
        <v/>
      </c>
      <c r="Q819" s="8" t="str">
        <f>IF($A819="","",IF(ISNUMBER(FIND("IMPVOL",Q$1)),_xll.BDH(config!$G$4,Q$1,WORKDAY($A819,-1,config_Holiday_Calendar_US),WORKDAY($A819,-1,config_Holiday_Calendar_US)),IF(ISNUMBER(_xll.BDH(config!$G$4,Q$1,$A819,$A819)),_xll.BDH(config!$G$4,Q$1,$A819,$A819),_xll.BDH(config!$G$5,Q$1,$A819,$A819))))</f>
        <v/>
      </c>
      <c r="R819" s="8" t="str">
        <f>IF($A819="","",IF(ISNUMBER(FIND("IMPVOL",R$1)),_xll.BDH(config!$G$4,R$1,WORKDAY($A819,-1,config_Holiday_Calendar_US),WORKDAY($A819,-1,config_Holiday_Calendar_US)),IF(ISNUMBER(_xll.BDH(config!$G$4,R$1,$A819,$A819)),_xll.BDH(config!$G$4,R$1,$A819,$A819),_xll.BDH(config!$G$5,R$1,$A819,$A819))))</f>
        <v/>
      </c>
      <c r="S819" s="8" t="str">
        <f>IF($A819="","",IF(ISNUMBER(FIND("IMPVOL",S$1)),_xll.BDH(config!$G$4,S$1,WORKDAY($A819,-1,config_Holiday_Calendar_US),WORKDAY($A819,-1,config_Holiday_Calendar_US)),IF(ISNUMBER(_xll.BDH(config!$G$4,S$1,$A819,$A819)),_xll.BDH(config!$G$4,S$1,$A819,$A819),_xll.BDH(config!$G$5,S$1,$A819,$A819))))</f>
        <v/>
      </c>
      <c r="T819" s="8" t="str">
        <f>IF($A819="","",IF(ISNUMBER(FIND("IMPVOL",T$1)),_xll.BDH(config!$G$4,T$1,WORKDAY($A819,-1,config_Holiday_Calendar_US),WORKDAY($A819,-1,config_Holiday_Calendar_US)),IF(ISNUMBER(_xll.BDH(config!$G$4,T$1,$A819,$A819)),_xll.BDH(config!$G$4,T$1,$A819,$A819),_xll.BDH(config!$G$5,T$1,$A819,$A819))))</f>
        <v/>
      </c>
      <c r="U819" s="8" t="str">
        <f>IF($A819="","",IF(ISNUMBER(FIND("IMPVOL",U$1)),_xll.BDH(config!$G$4,U$1,WORKDAY($A819,-1,config_Holiday_Calendar_US),WORKDAY($A819,-1,config_Holiday_Calendar_US)),IF(ISNUMBER(_xll.BDH(config!$G$4,U$1,$A819,$A819)),_xll.BDH(config!$G$4,U$1,$A819,$A819),_xll.BDH(config!$G$5,U$1,$A819,$A819))))</f>
        <v/>
      </c>
      <c r="V819" s="8" t="str">
        <f>IF($A819="","",IF(ISNUMBER(FIND("IMPVOL",V$1)),_xll.BDH(config!$G$4,V$1,WORKDAY($A819,-1,config_Holiday_Calendar_US),WORKDAY($A819,-1,config_Holiday_Calendar_US)),IF(ISNUMBER(_xll.BDH(config!$G$4,V$1,$A819,$A819)),_xll.BDH(config!$G$4,V$1,$A819,$A819),_xll.BDH(config!$G$5,V$1,$A819,$A819))))</f>
        <v/>
      </c>
      <c r="W819" s="8" t="str">
        <f>IF($A819="","",IF(ISNUMBER(FIND("IMPVOL",W$1)),_xll.BDH(config!$G$4,W$1,WORKDAY($A819,-1,config_Holiday_Calendar_US),WORKDAY($A819,-1,config_Holiday_Calendar_US)),IF(ISNUMBER(_xll.BDH(config!$G$4,W$1,$A819,$A819)),_xll.BDH(config!$G$4,W$1,$A819,$A819),_xll.BDH(config!$G$5,W$1,$A819,$A819))))</f>
        <v/>
      </c>
    </row>
    <row r="820" spans="1:23" x14ac:dyDescent="0.2">
      <c r="A820" s="9" t="str">
        <f>IF(A819="","",IF(WORKDAY(A819,-1,config_Holiday_Calendar_US)&lt;config!$I$10,"",WORKDAY(A819,-1,config_Holiday_Calendar_US)))</f>
        <v/>
      </c>
      <c r="B820" s="8" t="str">
        <f t="shared" si="12"/>
        <v/>
      </c>
      <c r="C820" s="8" t="str">
        <f>IF(A820="","",_xll.BDH(config!$H$4,C$1,$A820,$A820))</f>
        <v/>
      </c>
      <c r="D820" s="8" t="str">
        <f>IF($A820="","",_xll.BDH(config!$H$4,D$1,$A820,$A820))</f>
        <v/>
      </c>
      <c r="E820" s="8" t="str">
        <f>IF($A820="","",IF(ISNUMBER(FIND("IMPVOL",E$1)),_xll.BDH(config!$G$4,E$1,WORKDAY($A820,-1,config_Holiday_Calendar_US),WORKDAY($A820,-1,config_Holiday_Calendar_US)),IF(ISNUMBER(_xll.BDH(config!$G$4,E$1,$A820,$A820)),_xll.BDH(config!$G$4,E$1,$A820,$A820),_xll.BDH(config!$G$5,E$1,$A820,$A820))))</f>
        <v/>
      </c>
      <c r="F820" s="8" t="str">
        <f>IF($A820="","",IF(ISNUMBER(FIND("IMPVOL",F$1)),_xll.BDH(config!$G$4,F$1,WORKDAY($A820,-1,config_Holiday_Calendar_US),WORKDAY($A820,-1,config_Holiday_Calendar_US)),IF(ISNUMBER(_xll.BDH(config!$G$4,F$1,$A820,$A820)),_xll.BDH(config!$G$4,F$1,$A820,$A820),_xll.BDH(config!$G$5,F$1,$A820,$A820))))</f>
        <v/>
      </c>
      <c r="G820" s="8" t="str">
        <f>IF($A820="","",IF(ISNUMBER(FIND("IMPVOL",G$1)),_xll.BDH(config!$G$4,G$1,WORKDAY($A820,-1,config_Holiday_Calendar_US),WORKDAY($A820,-1,config_Holiday_Calendar_US)),IF(ISNUMBER(_xll.BDH(config!$G$4,G$1,$A820,$A820)),_xll.BDH(config!$G$4,G$1,$A820,$A820),_xll.BDH(config!$G$5,G$1,$A820,$A820))))</f>
        <v/>
      </c>
      <c r="H820" s="8" t="str">
        <f>IF($A820="","",IF(ISNUMBER(FIND("IMPVOL",H$1)),_xll.BDH(config!$G$4,H$1,WORKDAY($A820,-1,config_Holiday_Calendar_US),WORKDAY($A820,-1,config_Holiday_Calendar_US)),IF(ISNUMBER(_xll.BDH(config!$G$4,H$1,$A820,$A820)),_xll.BDH(config!$G$4,H$1,$A820,$A820),_xll.BDH(config!$G$5,H$1,$A820,$A820))))</f>
        <v/>
      </c>
      <c r="I820" s="8" t="str">
        <f>IF($A820="","",IF(ISNUMBER(FIND("IMPVOL",I$1)),_xll.BDH(config!$G$4,I$1,WORKDAY($A820,-1,config_Holiday_Calendar_US),WORKDAY($A820,-1,config_Holiday_Calendar_US)),IF(ISNUMBER(_xll.BDH(config!$G$4,I$1,$A820,$A820)),_xll.BDH(config!$G$4,I$1,$A820,$A820),_xll.BDH(config!$G$5,I$1,$A820,$A820))))</f>
        <v/>
      </c>
      <c r="J820" s="8" t="str">
        <f>IF($A820="","",IF(ISNUMBER(FIND("IMPVOL",J$1)),_xll.BDH(config!$G$4,J$1,WORKDAY($A820,-1,config_Holiday_Calendar_US),WORKDAY($A820,-1,config_Holiday_Calendar_US)),IF(ISNUMBER(_xll.BDH(config!$G$4,J$1,$A820,$A820)),_xll.BDH(config!$G$4,J$1,$A820,$A820),_xll.BDH(config!$G$5,J$1,$A820,$A820))))</f>
        <v/>
      </c>
      <c r="K820" s="8" t="str">
        <f>IF($A820="","",IF(ISNUMBER(FIND("IMPVOL",K$1)),_xll.BDH(config!$G$4,K$1,WORKDAY($A820,-1,config_Holiday_Calendar_US),WORKDAY($A820,-1,config_Holiday_Calendar_US)),IF(ISNUMBER(_xll.BDH(config!$G$4,K$1,$A820,$A820)),_xll.BDH(config!$G$4,K$1,$A820,$A820),_xll.BDH(config!$G$5,K$1,$A820,$A820))))</f>
        <v/>
      </c>
      <c r="L820" s="8" t="str">
        <f>IF($A820="","",IF(ISNUMBER(FIND("IMPVOL",L$1)),_xll.BDH(config!$G$4,L$1,WORKDAY($A820,-1,config_Holiday_Calendar_US),WORKDAY($A820,-1,config_Holiday_Calendar_US)),IF(ISNUMBER(_xll.BDH(config!$G$4,L$1,$A820,$A820)),_xll.BDH(config!$G$4,L$1,$A820,$A820),_xll.BDH(config!$G$5,L$1,$A820,$A820))))</f>
        <v/>
      </c>
      <c r="M820" s="8" t="str">
        <f>IF($A820="","",IF(ISNUMBER(FIND("IMPVOL",M$1)),_xll.BDH(config!$G$4,M$1,WORKDAY($A820,-1,config_Holiday_Calendar_US),WORKDAY($A820,-1,config_Holiday_Calendar_US)),IF(ISNUMBER(_xll.BDH(config!$G$4,M$1,$A820,$A820)),_xll.BDH(config!$G$4,M$1,$A820,$A820),_xll.BDH(config!$G$5,M$1,$A820,$A820))))</f>
        <v/>
      </c>
      <c r="N820" s="8" t="str">
        <f>IF($A820="","",IF(ISNUMBER(FIND("IMPVOL",N$1)),_xll.BDH(config!$G$4,N$1,WORKDAY($A820,-1,config_Holiday_Calendar_US),WORKDAY($A820,-1,config_Holiday_Calendar_US)),IF(ISNUMBER(_xll.BDH(config!$G$4,N$1,$A820,$A820)),_xll.BDH(config!$G$4,N$1,$A820,$A820),_xll.BDH(config!$G$5,N$1,$A820,$A820))))</f>
        <v/>
      </c>
      <c r="O820" s="8" t="str">
        <f>IF($A820="","",IF(ISNUMBER(FIND("IMPVOL",O$1)),_xll.BDH(config!$G$4,O$1,WORKDAY($A820,-1,config_Holiday_Calendar_US),WORKDAY($A820,-1,config_Holiday_Calendar_US)),IF(ISNUMBER(_xll.BDH(config!$G$4,O$1,$A820,$A820)),_xll.BDH(config!$G$4,O$1,$A820,$A820),_xll.BDH(config!$G$5,O$1,$A820,$A820))))</f>
        <v/>
      </c>
      <c r="P820" s="8" t="str">
        <f>IF($A820="","",IF(ISNUMBER(FIND("IMPVOL",P$1)),_xll.BDH(config!$G$4,P$1,WORKDAY($A820,-1,config_Holiday_Calendar_US),WORKDAY($A820,-1,config_Holiday_Calendar_US)),IF(ISNUMBER(_xll.BDH(config!$G$4,P$1,$A820,$A820)),_xll.BDH(config!$G$4,P$1,$A820,$A820),_xll.BDH(config!$G$5,P$1,$A820,$A820))))</f>
        <v/>
      </c>
      <c r="Q820" s="8" t="str">
        <f>IF($A820="","",IF(ISNUMBER(FIND("IMPVOL",Q$1)),_xll.BDH(config!$G$4,Q$1,WORKDAY($A820,-1,config_Holiday_Calendar_US),WORKDAY($A820,-1,config_Holiday_Calendar_US)),IF(ISNUMBER(_xll.BDH(config!$G$4,Q$1,$A820,$A820)),_xll.BDH(config!$G$4,Q$1,$A820,$A820),_xll.BDH(config!$G$5,Q$1,$A820,$A820))))</f>
        <v/>
      </c>
      <c r="R820" s="8" t="str">
        <f>IF($A820="","",IF(ISNUMBER(FIND("IMPVOL",R$1)),_xll.BDH(config!$G$4,R$1,WORKDAY($A820,-1,config_Holiday_Calendar_US),WORKDAY($A820,-1,config_Holiday_Calendar_US)),IF(ISNUMBER(_xll.BDH(config!$G$4,R$1,$A820,$A820)),_xll.BDH(config!$G$4,R$1,$A820,$A820),_xll.BDH(config!$G$5,R$1,$A820,$A820))))</f>
        <v/>
      </c>
      <c r="S820" s="8" t="str">
        <f>IF($A820="","",IF(ISNUMBER(FIND("IMPVOL",S$1)),_xll.BDH(config!$G$4,S$1,WORKDAY($A820,-1,config_Holiday_Calendar_US),WORKDAY($A820,-1,config_Holiday_Calendar_US)),IF(ISNUMBER(_xll.BDH(config!$G$4,S$1,$A820,$A820)),_xll.BDH(config!$G$4,S$1,$A820,$A820),_xll.BDH(config!$G$5,S$1,$A820,$A820))))</f>
        <v/>
      </c>
      <c r="T820" s="8" t="str">
        <f>IF($A820="","",IF(ISNUMBER(FIND("IMPVOL",T$1)),_xll.BDH(config!$G$4,T$1,WORKDAY($A820,-1,config_Holiday_Calendar_US),WORKDAY($A820,-1,config_Holiday_Calendar_US)),IF(ISNUMBER(_xll.BDH(config!$G$4,T$1,$A820,$A820)),_xll.BDH(config!$G$4,T$1,$A820,$A820),_xll.BDH(config!$G$5,T$1,$A820,$A820))))</f>
        <v/>
      </c>
      <c r="U820" s="8" t="str">
        <f>IF($A820="","",IF(ISNUMBER(FIND("IMPVOL",U$1)),_xll.BDH(config!$G$4,U$1,WORKDAY($A820,-1,config_Holiday_Calendar_US),WORKDAY($A820,-1,config_Holiday_Calendar_US)),IF(ISNUMBER(_xll.BDH(config!$G$4,U$1,$A820,$A820)),_xll.BDH(config!$G$4,U$1,$A820,$A820),_xll.BDH(config!$G$5,U$1,$A820,$A820))))</f>
        <v/>
      </c>
      <c r="V820" s="8" t="str">
        <f>IF($A820="","",IF(ISNUMBER(FIND("IMPVOL",V$1)),_xll.BDH(config!$G$4,V$1,WORKDAY($A820,-1,config_Holiday_Calendar_US),WORKDAY($A820,-1,config_Holiday_Calendar_US)),IF(ISNUMBER(_xll.BDH(config!$G$4,V$1,$A820,$A820)),_xll.BDH(config!$G$4,V$1,$A820,$A820),_xll.BDH(config!$G$5,V$1,$A820,$A820))))</f>
        <v/>
      </c>
      <c r="W820" s="8" t="str">
        <f>IF($A820="","",IF(ISNUMBER(FIND("IMPVOL",W$1)),_xll.BDH(config!$G$4,W$1,WORKDAY($A820,-1,config_Holiday_Calendar_US),WORKDAY($A820,-1,config_Holiday_Calendar_US)),IF(ISNUMBER(_xll.BDH(config!$G$4,W$1,$A820,$A820)),_xll.BDH(config!$G$4,W$1,$A820,$A820),_xll.BDH(config!$G$5,W$1,$A820,$A820))))</f>
        <v/>
      </c>
    </row>
    <row r="821" spans="1:23" x14ac:dyDescent="0.2">
      <c r="A821" s="9" t="str">
        <f>IF(A820="","",IF(WORKDAY(A820,-1,config_Holiday_Calendar_US)&lt;config!$I$10,"",WORKDAY(A820,-1,config_Holiday_Calendar_US)))</f>
        <v/>
      </c>
      <c r="B821" s="8" t="str">
        <f t="shared" si="12"/>
        <v/>
      </c>
      <c r="C821" s="8" t="str">
        <f>IF(A821="","",_xll.BDH(config!$H$4,C$1,$A821,$A821))</f>
        <v/>
      </c>
      <c r="D821" s="8" t="str">
        <f>IF($A821="","",_xll.BDH(config!$H$4,D$1,$A821,$A821))</f>
        <v/>
      </c>
      <c r="E821" s="8" t="str">
        <f>IF($A821="","",IF(ISNUMBER(FIND("IMPVOL",E$1)),_xll.BDH(config!$G$4,E$1,WORKDAY($A821,-1,config_Holiday_Calendar_US),WORKDAY($A821,-1,config_Holiday_Calendar_US)),IF(ISNUMBER(_xll.BDH(config!$G$4,E$1,$A821,$A821)),_xll.BDH(config!$G$4,E$1,$A821,$A821),_xll.BDH(config!$G$5,E$1,$A821,$A821))))</f>
        <v/>
      </c>
      <c r="F821" s="8" t="str">
        <f>IF($A821="","",IF(ISNUMBER(FIND("IMPVOL",F$1)),_xll.BDH(config!$G$4,F$1,WORKDAY($A821,-1,config_Holiday_Calendar_US),WORKDAY($A821,-1,config_Holiday_Calendar_US)),IF(ISNUMBER(_xll.BDH(config!$G$4,F$1,$A821,$A821)),_xll.BDH(config!$G$4,F$1,$A821,$A821),_xll.BDH(config!$G$5,F$1,$A821,$A821))))</f>
        <v/>
      </c>
      <c r="G821" s="8" t="str">
        <f>IF($A821="","",IF(ISNUMBER(FIND("IMPVOL",G$1)),_xll.BDH(config!$G$4,G$1,WORKDAY($A821,-1,config_Holiday_Calendar_US),WORKDAY($A821,-1,config_Holiday_Calendar_US)),IF(ISNUMBER(_xll.BDH(config!$G$4,G$1,$A821,$A821)),_xll.BDH(config!$G$4,G$1,$A821,$A821),_xll.BDH(config!$G$5,G$1,$A821,$A821))))</f>
        <v/>
      </c>
      <c r="H821" s="8" t="str">
        <f>IF($A821="","",IF(ISNUMBER(FIND("IMPVOL",H$1)),_xll.BDH(config!$G$4,H$1,WORKDAY($A821,-1,config_Holiday_Calendar_US),WORKDAY($A821,-1,config_Holiday_Calendar_US)),IF(ISNUMBER(_xll.BDH(config!$G$4,H$1,$A821,$A821)),_xll.BDH(config!$G$4,H$1,$A821,$A821),_xll.BDH(config!$G$5,H$1,$A821,$A821))))</f>
        <v/>
      </c>
      <c r="I821" s="8" t="str">
        <f>IF($A821="","",IF(ISNUMBER(FIND("IMPVOL",I$1)),_xll.BDH(config!$G$4,I$1,WORKDAY($A821,-1,config_Holiday_Calendar_US),WORKDAY($A821,-1,config_Holiday_Calendar_US)),IF(ISNUMBER(_xll.BDH(config!$G$4,I$1,$A821,$A821)),_xll.BDH(config!$G$4,I$1,$A821,$A821),_xll.BDH(config!$G$5,I$1,$A821,$A821))))</f>
        <v/>
      </c>
      <c r="J821" s="8" t="str">
        <f>IF($A821="","",IF(ISNUMBER(FIND("IMPVOL",J$1)),_xll.BDH(config!$G$4,J$1,WORKDAY($A821,-1,config_Holiday_Calendar_US),WORKDAY($A821,-1,config_Holiday_Calendar_US)),IF(ISNUMBER(_xll.BDH(config!$G$4,J$1,$A821,$A821)),_xll.BDH(config!$G$4,J$1,$A821,$A821),_xll.BDH(config!$G$5,J$1,$A821,$A821))))</f>
        <v/>
      </c>
      <c r="K821" s="8" t="str">
        <f>IF($A821="","",IF(ISNUMBER(FIND("IMPVOL",K$1)),_xll.BDH(config!$G$4,K$1,WORKDAY($A821,-1,config_Holiday_Calendar_US),WORKDAY($A821,-1,config_Holiday_Calendar_US)),IF(ISNUMBER(_xll.BDH(config!$G$4,K$1,$A821,$A821)),_xll.BDH(config!$G$4,K$1,$A821,$A821),_xll.BDH(config!$G$5,K$1,$A821,$A821))))</f>
        <v/>
      </c>
      <c r="L821" s="8" t="str">
        <f>IF($A821="","",IF(ISNUMBER(FIND("IMPVOL",L$1)),_xll.BDH(config!$G$4,L$1,WORKDAY($A821,-1,config_Holiday_Calendar_US),WORKDAY($A821,-1,config_Holiday_Calendar_US)),IF(ISNUMBER(_xll.BDH(config!$G$4,L$1,$A821,$A821)),_xll.BDH(config!$G$4,L$1,$A821,$A821),_xll.BDH(config!$G$5,L$1,$A821,$A821))))</f>
        <v/>
      </c>
      <c r="M821" s="8" t="str">
        <f>IF($A821="","",IF(ISNUMBER(FIND("IMPVOL",M$1)),_xll.BDH(config!$G$4,M$1,WORKDAY($A821,-1,config_Holiday_Calendar_US),WORKDAY($A821,-1,config_Holiday_Calendar_US)),IF(ISNUMBER(_xll.BDH(config!$G$4,M$1,$A821,$A821)),_xll.BDH(config!$G$4,M$1,$A821,$A821),_xll.BDH(config!$G$5,M$1,$A821,$A821))))</f>
        <v/>
      </c>
      <c r="N821" s="8" t="str">
        <f>IF($A821="","",IF(ISNUMBER(FIND("IMPVOL",N$1)),_xll.BDH(config!$G$4,N$1,WORKDAY($A821,-1,config_Holiday_Calendar_US),WORKDAY($A821,-1,config_Holiday_Calendar_US)),IF(ISNUMBER(_xll.BDH(config!$G$4,N$1,$A821,$A821)),_xll.BDH(config!$G$4,N$1,$A821,$A821),_xll.BDH(config!$G$5,N$1,$A821,$A821))))</f>
        <v/>
      </c>
      <c r="O821" s="8" t="str">
        <f>IF($A821="","",IF(ISNUMBER(FIND("IMPVOL",O$1)),_xll.BDH(config!$G$4,O$1,WORKDAY($A821,-1,config_Holiday_Calendar_US),WORKDAY($A821,-1,config_Holiday_Calendar_US)),IF(ISNUMBER(_xll.BDH(config!$G$4,O$1,$A821,$A821)),_xll.BDH(config!$G$4,O$1,$A821,$A821),_xll.BDH(config!$G$5,O$1,$A821,$A821))))</f>
        <v/>
      </c>
      <c r="P821" s="8" t="str">
        <f>IF($A821="","",IF(ISNUMBER(FIND("IMPVOL",P$1)),_xll.BDH(config!$G$4,P$1,WORKDAY($A821,-1,config_Holiday_Calendar_US),WORKDAY($A821,-1,config_Holiday_Calendar_US)),IF(ISNUMBER(_xll.BDH(config!$G$4,P$1,$A821,$A821)),_xll.BDH(config!$G$4,P$1,$A821,$A821),_xll.BDH(config!$G$5,P$1,$A821,$A821))))</f>
        <v/>
      </c>
      <c r="Q821" s="8" t="str">
        <f>IF($A821="","",IF(ISNUMBER(FIND("IMPVOL",Q$1)),_xll.BDH(config!$G$4,Q$1,WORKDAY($A821,-1,config_Holiday_Calendar_US),WORKDAY($A821,-1,config_Holiday_Calendar_US)),IF(ISNUMBER(_xll.BDH(config!$G$4,Q$1,$A821,$A821)),_xll.BDH(config!$G$4,Q$1,$A821,$A821),_xll.BDH(config!$G$5,Q$1,$A821,$A821))))</f>
        <v/>
      </c>
      <c r="R821" s="8" t="str">
        <f>IF($A821="","",IF(ISNUMBER(FIND("IMPVOL",R$1)),_xll.BDH(config!$G$4,R$1,WORKDAY($A821,-1,config_Holiday_Calendar_US),WORKDAY($A821,-1,config_Holiday_Calendar_US)),IF(ISNUMBER(_xll.BDH(config!$G$4,R$1,$A821,$A821)),_xll.BDH(config!$G$4,R$1,$A821,$A821),_xll.BDH(config!$G$5,R$1,$A821,$A821))))</f>
        <v/>
      </c>
      <c r="S821" s="8" t="str">
        <f>IF($A821="","",IF(ISNUMBER(FIND("IMPVOL",S$1)),_xll.BDH(config!$G$4,S$1,WORKDAY($A821,-1,config_Holiday_Calendar_US),WORKDAY($A821,-1,config_Holiday_Calendar_US)),IF(ISNUMBER(_xll.BDH(config!$G$4,S$1,$A821,$A821)),_xll.BDH(config!$G$4,S$1,$A821,$A821),_xll.BDH(config!$G$5,S$1,$A821,$A821))))</f>
        <v/>
      </c>
      <c r="T821" s="8" t="str">
        <f>IF($A821="","",IF(ISNUMBER(FIND("IMPVOL",T$1)),_xll.BDH(config!$G$4,T$1,WORKDAY($A821,-1,config_Holiday_Calendar_US),WORKDAY($A821,-1,config_Holiday_Calendar_US)),IF(ISNUMBER(_xll.BDH(config!$G$4,T$1,$A821,$A821)),_xll.BDH(config!$G$4,T$1,$A821,$A821),_xll.BDH(config!$G$5,T$1,$A821,$A821))))</f>
        <v/>
      </c>
      <c r="U821" s="8" t="str">
        <f>IF($A821="","",IF(ISNUMBER(FIND("IMPVOL",U$1)),_xll.BDH(config!$G$4,U$1,WORKDAY($A821,-1,config_Holiday_Calendar_US),WORKDAY($A821,-1,config_Holiday_Calendar_US)),IF(ISNUMBER(_xll.BDH(config!$G$4,U$1,$A821,$A821)),_xll.BDH(config!$G$4,U$1,$A821,$A821),_xll.BDH(config!$G$5,U$1,$A821,$A821))))</f>
        <v/>
      </c>
      <c r="V821" s="8" t="str">
        <f>IF($A821="","",IF(ISNUMBER(FIND("IMPVOL",V$1)),_xll.BDH(config!$G$4,V$1,WORKDAY($A821,-1,config_Holiday_Calendar_US),WORKDAY($A821,-1,config_Holiday_Calendar_US)),IF(ISNUMBER(_xll.BDH(config!$G$4,V$1,$A821,$A821)),_xll.BDH(config!$G$4,V$1,$A821,$A821),_xll.BDH(config!$G$5,V$1,$A821,$A821))))</f>
        <v/>
      </c>
      <c r="W821" s="8" t="str">
        <f>IF($A821="","",IF(ISNUMBER(FIND("IMPVOL",W$1)),_xll.BDH(config!$G$4,W$1,WORKDAY($A821,-1,config_Holiday_Calendar_US),WORKDAY($A821,-1,config_Holiday_Calendar_US)),IF(ISNUMBER(_xll.BDH(config!$G$4,W$1,$A821,$A821)),_xll.BDH(config!$G$4,W$1,$A821,$A821),_xll.BDH(config!$G$5,W$1,$A821,$A821))))</f>
        <v/>
      </c>
    </row>
    <row r="822" spans="1:23" x14ac:dyDescent="0.2">
      <c r="A822" s="9" t="str">
        <f>IF(A821="","",IF(WORKDAY(A821,-1,config_Holiday_Calendar_US)&lt;config!$I$10,"",WORKDAY(A821,-1,config_Holiday_Calendar_US)))</f>
        <v/>
      </c>
      <c r="B822" s="8" t="str">
        <f t="shared" si="12"/>
        <v/>
      </c>
      <c r="C822" s="8" t="str">
        <f>IF(A822="","",_xll.BDH(config!$H$4,C$1,$A822,$A822))</f>
        <v/>
      </c>
      <c r="D822" s="8" t="str">
        <f>IF($A822="","",_xll.BDH(config!$H$4,D$1,$A822,$A822))</f>
        <v/>
      </c>
      <c r="E822" s="8" t="str">
        <f>IF($A822="","",IF(ISNUMBER(FIND("IMPVOL",E$1)),_xll.BDH(config!$G$4,E$1,WORKDAY($A822,-1,config_Holiday_Calendar_US),WORKDAY($A822,-1,config_Holiday_Calendar_US)),IF(ISNUMBER(_xll.BDH(config!$G$4,E$1,$A822,$A822)),_xll.BDH(config!$G$4,E$1,$A822,$A822),_xll.BDH(config!$G$5,E$1,$A822,$A822))))</f>
        <v/>
      </c>
      <c r="F822" s="8" t="str">
        <f>IF($A822="","",IF(ISNUMBER(FIND("IMPVOL",F$1)),_xll.BDH(config!$G$4,F$1,WORKDAY($A822,-1,config_Holiday_Calendar_US),WORKDAY($A822,-1,config_Holiday_Calendar_US)),IF(ISNUMBER(_xll.BDH(config!$G$4,F$1,$A822,$A822)),_xll.BDH(config!$G$4,F$1,$A822,$A822),_xll.BDH(config!$G$5,F$1,$A822,$A822))))</f>
        <v/>
      </c>
      <c r="G822" s="8" t="str">
        <f>IF($A822="","",IF(ISNUMBER(FIND("IMPVOL",G$1)),_xll.BDH(config!$G$4,G$1,WORKDAY($A822,-1,config_Holiday_Calendar_US),WORKDAY($A822,-1,config_Holiday_Calendar_US)),IF(ISNUMBER(_xll.BDH(config!$G$4,G$1,$A822,$A822)),_xll.BDH(config!$G$4,G$1,$A822,$A822),_xll.BDH(config!$G$5,G$1,$A822,$A822))))</f>
        <v/>
      </c>
      <c r="H822" s="8" t="str">
        <f>IF($A822="","",IF(ISNUMBER(FIND("IMPVOL",H$1)),_xll.BDH(config!$G$4,H$1,WORKDAY($A822,-1,config_Holiday_Calendar_US),WORKDAY($A822,-1,config_Holiday_Calendar_US)),IF(ISNUMBER(_xll.BDH(config!$G$4,H$1,$A822,$A822)),_xll.BDH(config!$G$4,H$1,$A822,$A822),_xll.BDH(config!$G$5,H$1,$A822,$A822))))</f>
        <v/>
      </c>
      <c r="I822" s="8" t="str">
        <f>IF($A822="","",IF(ISNUMBER(FIND("IMPVOL",I$1)),_xll.BDH(config!$G$4,I$1,WORKDAY($A822,-1,config_Holiday_Calendar_US),WORKDAY($A822,-1,config_Holiday_Calendar_US)),IF(ISNUMBER(_xll.BDH(config!$G$4,I$1,$A822,$A822)),_xll.BDH(config!$G$4,I$1,$A822,$A822),_xll.BDH(config!$G$5,I$1,$A822,$A822))))</f>
        <v/>
      </c>
      <c r="J822" s="8" t="str">
        <f>IF($A822="","",IF(ISNUMBER(FIND("IMPVOL",J$1)),_xll.BDH(config!$G$4,J$1,WORKDAY($A822,-1,config_Holiday_Calendar_US),WORKDAY($A822,-1,config_Holiday_Calendar_US)),IF(ISNUMBER(_xll.BDH(config!$G$4,J$1,$A822,$A822)),_xll.BDH(config!$G$4,J$1,$A822,$A822),_xll.BDH(config!$G$5,J$1,$A822,$A822))))</f>
        <v/>
      </c>
      <c r="K822" s="8" t="str">
        <f>IF($A822="","",IF(ISNUMBER(FIND("IMPVOL",K$1)),_xll.BDH(config!$G$4,K$1,WORKDAY($A822,-1,config_Holiday_Calendar_US),WORKDAY($A822,-1,config_Holiday_Calendar_US)),IF(ISNUMBER(_xll.BDH(config!$G$4,K$1,$A822,$A822)),_xll.BDH(config!$G$4,K$1,$A822,$A822),_xll.BDH(config!$G$5,K$1,$A822,$A822))))</f>
        <v/>
      </c>
      <c r="L822" s="8" t="str">
        <f>IF($A822="","",IF(ISNUMBER(FIND("IMPVOL",L$1)),_xll.BDH(config!$G$4,L$1,WORKDAY($A822,-1,config_Holiday_Calendar_US),WORKDAY($A822,-1,config_Holiday_Calendar_US)),IF(ISNUMBER(_xll.BDH(config!$G$4,L$1,$A822,$A822)),_xll.BDH(config!$G$4,L$1,$A822,$A822),_xll.BDH(config!$G$5,L$1,$A822,$A822))))</f>
        <v/>
      </c>
      <c r="M822" s="8" t="str">
        <f>IF($A822="","",IF(ISNUMBER(FIND("IMPVOL",M$1)),_xll.BDH(config!$G$4,M$1,WORKDAY($A822,-1,config_Holiday_Calendar_US),WORKDAY($A822,-1,config_Holiday_Calendar_US)),IF(ISNUMBER(_xll.BDH(config!$G$4,M$1,$A822,$A822)),_xll.BDH(config!$G$4,M$1,$A822,$A822),_xll.BDH(config!$G$5,M$1,$A822,$A822))))</f>
        <v/>
      </c>
      <c r="N822" s="8" t="str">
        <f>IF($A822="","",IF(ISNUMBER(FIND("IMPVOL",N$1)),_xll.BDH(config!$G$4,N$1,WORKDAY($A822,-1,config_Holiday_Calendar_US),WORKDAY($A822,-1,config_Holiday_Calendar_US)),IF(ISNUMBER(_xll.BDH(config!$G$4,N$1,$A822,$A822)),_xll.BDH(config!$G$4,N$1,$A822,$A822),_xll.BDH(config!$G$5,N$1,$A822,$A822))))</f>
        <v/>
      </c>
      <c r="O822" s="8" t="str">
        <f>IF($A822="","",IF(ISNUMBER(FIND("IMPVOL",O$1)),_xll.BDH(config!$G$4,O$1,WORKDAY($A822,-1,config_Holiday_Calendar_US),WORKDAY($A822,-1,config_Holiday_Calendar_US)),IF(ISNUMBER(_xll.BDH(config!$G$4,O$1,$A822,$A822)),_xll.BDH(config!$G$4,O$1,$A822,$A822),_xll.BDH(config!$G$5,O$1,$A822,$A822))))</f>
        <v/>
      </c>
      <c r="P822" s="8" t="str">
        <f>IF($A822="","",IF(ISNUMBER(FIND("IMPVOL",P$1)),_xll.BDH(config!$G$4,P$1,WORKDAY($A822,-1,config_Holiday_Calendar_US),WORKDAY($A822,-1,config_Holiday_Calendar_US)),IF(ISNUMBER(_xll.BDH(config!$G$4,P$1,$A822,$A822)),_xll.BDH(config!$G$4,P$1,$A822,$A822),_xll.BDH(config!$G$5,P$1,$A822,$A822))))</f>
        <v/>
      </c>
      <c r="Q822" s="8" t="str">
        <f>IF($A822="","",IF(ISNUMBER(FIND("IMPVOL",Q$1)),_xll.BDH(config!$G$4,Q$1,WORKDAY($A822,-1,config_Holiday_Calendar_US),WORKDAY($A822,-1,config_Holiday_Calendar_US)),IF(ISNUMBER(_xll.BDH(config!$G$4,Q$1,$A822,$A822)),_xll.BDH(config!$G$4,Q$1,$A822,$A822),_xll.BDH(config!$G$5,Q$1,$A822,$A822))))</f>
        <v/>
      </c>
      <c r="R822" s="8" t="str">
        <f>IF($A822="","",IF(ISNUMBER(FIND("IMPVOL",R$1)),_xll.BDH(config!$G$4,R$1,WORKDAY($A822,-1,config_Holiday_Calendar_US),WORKDAY($A822,-1,config_Holiday_Calendar_US)),IF(ISNUMBER(_xll.BDH(config!$G$4,R$1,$A822,$A822)),_xll.BDH(config!$G$4,R$1,$A822,$A822),_xll.BDH(config!$G$5,R$1,$A822,$A822))))</f>
        <v/>
      </c>
      <c r="S822" s="8" t="str">
        <f>IF($A822="","",IF(ISNUMBER(FIND("IMPVOL",S$1)),_xll.BDH(config!$G$4,S$1,WORKDAY($A822,-1,config_Holiday_Calendar_US),WORKDAY($A822,-1,config_Holiday_Calendar_US)),IF(ISNUMBER(_xll.BDH(config!$G$4,S$1,$A822,$A822)),_xll.BDH(config!$G$4,S$1,$A822,$A822),_xll.BDH(config!$G$5,S$1,$A822,$A822))))</f>
        <v/>
      </c>
      <c r="T822" s="8" t="str">
        <f>IF($A822="","",IF(ISNUMBER(FIND("IMPVOL",T$1)),_xll.BDH(config!$G$4,T$1,WORKDAY($A822,-1,config_Holiday_Calendar_US),WORKDAY($A822,-1,config_Holiday_Calendar_US)),IF(ISNUMBER(_xll.BDH(config!$G$4,T$1,$A822,$A822)),_xll.BDH(config!$G$4,T$1,$A822,$A822),_xll.BDH(config!$G$5,T$1,$A822,$A822))))</f>
        <v/>
      </c>
      <c r="U822" s="8" t="str">
        <f>IF($A822="","",IF(ISNUMBER(FIND("IMPVOL",U$1)),_xll.BDH(config!$G$4,U$1,WORKDAY($A822,-1,config_Holiday_Calendar_US),WORKDAY($A822,-1,config_Holiday_Calendar_US)),IF(ISNUMBER(_xll.BDH(config!$G$4,U$1,$A822,$A822)),_xll.BDH(config!$G$4,U$1,$A822,$A822),_xll.BDH(config!$G$5,U$1,$A822,$A822))))</f>
        <v/>
      </c>
      <c r="V822" s="8" t="str">
        <f>IF($A822="","",IF(ISNUMBER(FIND("IMPVOL",V$1)),_xll.BDH(config!$G$4,V$1,WORKDAY($A822,-1,config_Holiday_Calendar_US),WORKDAY($A822,-1,config_Holiday_Calendar_US)),IF(ISNUMBER(_xll.BDH(config!$G$4,V$1,$A822,$A822)),_xll.BDH(config!$G$4,V$1,$A822,$A822),_xll.BDH(config!$G$5,V$1,$A822,$A822))))</f>
        <v/>
      </c>
      <c r="W822" s="8" t="str">
        <f>IF($A822="","",IF(ISNUMBER(FIND("IMPVOL",W$1)),_xll.BDH(config!$G$4,W$1,WORKDAY($A822,-1,config_Holiday_Calendar_US),WORKDAY($A822,-1,config_Holiday_Calendar_US)),IF(ISNUMBER(_xll.BDH(config!$G$4,W$1,$A822,$A822)),_xll.BDH(config!$G$4,W$1,$A822,$A822),_xll.BDH(config!$G$5,W$1,$A822,$A822))))</f>
        <v/>
      </c>
    </row>
    <row r="823" spans="1:23" x14ac:dyDescent="0.2">
      <c r="A823" s="9" t="str">
        <f>IF(A822="","",IF(WORKDAY(A822,-1,config_Holiday_Calendar_US)&lt;config!$I$10,"",WORKDAY(A822,-1,config_Holiday_Calendar_US)))</f>
        <v/>
      </c>
      <c r="B823" s="8" t="str">
        <f t="shared" si="12"/>
        <v/>
      </c>
      <c r="C823" s="8" t="str">
        <f>IF(A823="","",_xll.BDH(config!$H$4,C$1,$A823,$A823))</f>
        <v/>
      </c>
      <c r="D823" s="8" t="str">
        <f>IF($A823="","",_xll.BDH(config!$H$4,D$1,$A823,$A823))</f>
        <v/>
      </c>
      <c r="E823" s="8" t="str">
        <f>IF($A823="","",IF(ISNUMBER(FIND("IMPVOL",E$1)),_xll.BDH(config!$G$4,E$1,WORKDAY($A823,-1,config_Holiday_Calendar_US),WORKDAY($A823,-1,config_Holiday_Calendar_US)),IF(ISNUMBER(_xll.BDH(config!$G$4,E$1,$A823,$A823)),_xll.BDH(config!$G$4,E$1,$A823,$A823),_xll.BDH(config!$G$5,E$1,$A823,$A823))))</f>
        <v/>
      </c>
      <c r="F823" s="8" t="str">
        <f>IF($A823="","",IF(ISNUMBER(FIND("IMPVOL",F$1)),_xll.BDH(config!$G$4,F$1,WORKDAY($A823,-1,config_Holiday_Calendar_US),WORKDAY($A823,-1,config_Holiday_Calendar_US)),IF(ISNUMBER(_xll.BDH(config!$G$4,F$1,$A823,$A823)),_xll.BDH(config!$G$4,F$1,$A823,$A823),_xll.BDH(config!$G$5,F$1,$A823,$A823))))</f>
        <v/>
      </c>
      <c r="G823" s="8" t="str">
        <f>IF($A823="","",IF(ISNUMBER(FIND("IMPVOL",G$1)),_xll.BDH(config!$G$4,G$1,WORKDAY($A823,-1,config_Holiday_Calendar_US),WORKDAY($A823,-1,config_Holiday_Calendar_US)),IF(ISNUMBER(_xll.BDH(config!$G$4,G$1,$A823,$A823)),_xll.BDH(config!$G$4,G$1,$A823,$A823),_xll.BDH(config!$G$5,G$1,$A823,$A823))))</f>
        <v/>
      </c>
      <c r="H823" s="8" t="str">
        <f>IF($A823="","",IF(ISNUMBER(FIND("IMPVOL",H$1)),_xll.BDH(config!$G$4,H$1,WORKDAY($A823,-1,config_Holiday_Calendar_US),WORKDAY($A823,-1,config_Holiday_Calendar_US)),IF(ISNUMBER(_xll.BDH(config!$G$4,H$1,$A823,$A823)),_xll.BDH(config!$G$4,H$1,$A823,$A823),_xll.BDH(config!$G$5,H$1,$A823,$A823))))</f>
        <v/>
      </c>
      <c r="I823" s="8" t="str">
        <f>IF($A823="","",IF(ISNUMBER(FIND("IMPVOL",I$1)),_xll.BDH(config!$G$4,I$1,WORKDAY($A823,-1,config_Holiday_Calendar_US),WORKDAY($A823,-1,config_Holiday_Calendar_US)),IF(ISNUMBER(_xll.BDH(config!$G$4,I$1,$A823,$A823)),_xll.BDH(config!$G$4,I$1,$A823,$A823),_xll.BDH(config!$G$5,I$1,$A823,$A823))))</f>
        <v/>
      </c>
      <c r="J823" s="8" t="str">
        <f>IF($A823="","",IF(ISNUMBER(FIND("IMPVOL",J$1)),_xll.BDH(config!$G$4,J$1,WORKDAY($A823,-1,config_Holiday_Calendar_US),WORKDAY($A823,-1,config_Holiday_Calendar_US)),IF(ISNUMBER(_xll.BDH(config!$G$4,J$1,$A823,$A823)),_xll.BDH(config!$G$4,J$1,$A823,$A823),_xll.BDH(config!$G$5,J$1,$A823,$A823))))</f>
        <v/>
      </c>
      <c r="K823" s="8" t="str">
        <f>IF($A823="","",IF(ISNUMBER(FIND("IMPVOL",K$1)),_xll.BDH(config!$G$4,K$1,WORKDAY($A823,-1,config_Holiday_Calendar_US),WORKDAY($A823,-1,config_Holiday_Calendar_US)),IF(ISNUMBER(_xll.BDH(config!$G$4,K$1,$A823,$A823)),_xll.BDH(config!$G$4,K$1,$A823,$A823),_xll.BDH(config!$G$5,K$1,$A823,$A823))))</f>
        <v/>
      </c>
      <c r="L823" s="8" t="str">
        <f>IF($A823="","",IF(ISNUMBER(FIND("IMPVOL",L$1)),_xll.BDH(config!$G$4,L$1,WORKDAY($A823,-1,config_Holiday_Calendar_US),WORKDAY($A823,-1,config_Holiday_Calendar_US)),IF(ISNUMBER(_xll.BDH(config!$G$4,L$1,$A823,$A823)),_xll.BDH(config!$G$4,L$1,$A823,$A823),_xll.BDH(config!$G$5,L$1,$A823,$A823))))</f>
        <v/>
      </c>
      <c r="M823" s="8" t="str">
        <f>IF($A823="","",IF(ISNUMBER(FIND("IMPVOL",M$1)),_xll.BDH(config!$G$4,M$1,WORKDAY($A823,-1,config_Holiday_Calendar_US),WORKDAY($A823,-1,config_Holiday_Calendar_US)),IF(ISNUMBER(_xll.BDH(config!$G$4,M$1,$A823,$A823)),_xll.BDH(config!$G$4,M$1,$A823,$A823),_xll.BDH(config!$G$5,M$1,$A823,$A823))))</f>
        <v/>
      </c>
      <c r="N823" s="8" t="str">
        <f>IF($A823="","",IF(ISNUMBER(FIND("IMPVOL",N$1)),_xll.BDH(config!$G$4,N$1,WORKDAY($A823,-1,config_Holiday_Calendar_US),WORKDAY($A823,-1,config_Holiday_Calendar_US)),IF(ISNUMBER(_xll.BDH(config!$G$4,N$1,$A823,$A823)),_xll.BDH(config!$G$4,N$1,$A823,$A823),_xll.BDH(config!$G$5,N$1,$A823,$A823))))</f>
        <v/>
      </c>
      <c r="O823" s="8" t="str">
        <f>IF($A823="","",IF(ISNUMBER(FIND("IMPVOL",O$1)),_xll.BDH(config!$G$4,O$1,WORKDAY($A823,-1,config_Holiday_Calendar_US),WORKDAY($A823,-1,config_Holiday_Calendar_US)),IF(ISNUMBER(_xll.BDH(config!$G$4,O$1,$A823,$A823)),_xll.BDH(config!$G$4,O$1,$A823,$A823),_xll.BDH(config!$G$5,O$1,$A823,$A823))))</f>
        <v/>
      </c>
      <c r="P823" s="8" t="str">
        <f>IF($A823="","",IF(ISNUMBER(FIND("IMPVOL",P$1)),_xll.BDH(config!$G$4,P$1,WORKDAY($A823,-1,config_Holiday_Calendar_US),WORKDAY($A823,-1,config_Holiday_Calendar_US)),IF(ISNUMBER(_xll.BDH(config!$G$4,P$1,$A823,$A823)),_xll.BDH(config!$G$4,P$1,$A823,$A823),_xll.BDH(config!$G$5,P$1,$A823,$A823))))</f>
        <v/>
      </c>
      <c r="Q823" s="8" t="str">
        <f>IF($A823="","",IF(ISNUMBER(FIND("IMPVOL",Q$1)),_xll.BDH(config!$G$4,Q$1,WORKDAY($A823,-1,config_Holiday_Calendar_US),WORKDAY($A823,-1,config_Holiday_Calendar_US)),IF(ISNUMBER(_xll.BDH(config!$G$4,Q$1,$A823,$A823)),_xll.BDH(config!$G$4,Q$1,$A823,$A823),_xll.BDH(config!$G$5,Q$1,$A823,$A823))))</f>
        <v/>
      </c>
      <c r="R823" s="8" t="str">
        <f>IF($A823="","",IF(ISNUMBER(FIND("IMPVOL",R$1)),_xll.BDH(config!$G$4,R$1,WORKDAY($A823,-1,config_Holiday_Calendar_US),WORKDAY($A823,-1,config_Holiday_Calendar_US)),IF(ISNUMBER(_xll.BDH(config!$G$4,R$1,$A823,$A823)),_xll.BDH(config!$G$4,R$1,$A823,$A823),_xll.BDH(config!$G$5,R$1,$A823,$A823))))</f>
        <v/>
      </c>
      <c r="S823" s="8" t="str">
        <f>IF($A823="","",IF(ISNUMBER(FIND("IMPVOL",S$1)),_xll.BDH(config!$G$4,S$1,WORKDAY($A823,-1,config_Holiday_Calendar_US),WORKDAY($A823,-1,config_Holiday_Calendar_US)),IF(ISNUMBER(_xll.BDH(config!$G$4,S$1,$A823,$A823)),_xll.BDH(config!$G$4,S$1,$A823,$A823),_xll.BDH(config!$G$5,S$1,$A823,$A823))))</f>
        <v/>
      </c>
      <c r="T823" s="8" t="str">
        <f>IF($A823="","",IF(ISNUMBER(FIND("IMPVOL",T$1)),_xll.BDH(config!$G$4,T$1,WORKDAY($A823,-1,config_Holiday_Calendar_US),WORKDAY($A823,-1,config_Holiday_Calendar_US)),IF(ISNUMBER(_xll.BDH(config!$G$4,T$1,$A823,$A823)),_xll.BDH(config!$G$4,T$1,$A823,$A823),_xll.BDH(config!$G$5,T$1,$A823,$A823))))</f>
        <v/>
      </c>
      <c r="U823" s="8" t="str">
        <f>IF($A823="","",IF(ISNUMBER(FIND("IMPVOL",U$1)),_xll.BDH(config!$G$4,U$1,WORKDAY($A823,-1,config_Holiday_Calendar_US),WORKDAY($A823,-1,config_Holiday_Calendar_US)),IF(ISNUMBER(_xll.BDH(config!$G$4,U$1,$A823,$A823)),_xll.BDH(config!$G$4,U$1,$A823,$A823),_xll.BDH(config!$G$5,U$1,$A823,$A823))))</f>
        <v/>
      </c>
      <c r="V823" s="8" t="str">
        <f>IF($A823="","",IF(ISNUMBER(FIND("IMPVOL",V$1)),_xll.BDH(config!$G$4,V$1,WORKDAY($A823,-1,config_Holiday_Calendar_US),WORKDAY($A823,-1,config_Holiday_Calendar_US)),IF(ISNUMBER(_xll.BDH(config!$G$4,V$1,$A823,$A823)),_xll.BDH(config!$G$4,V$1,$A823,$A823),_xll.BDH(config!$G$5,V$1,$A823,$A823))))</f>
        <v/>
      </c>
      <c r="W823" s="8" t="str">
        <f>IF($A823="","",IF(ISNUMBER(FIND("IMPVOL",W$1)),_xll.BDH(config!$G$4,W$1,WORKDAY($A823,-1,config_Holiday_Calendar_US),WORKDAY($A823,-1,config_Holiday_Calendar_US)),IF(ISNUMBER(_xll.BDH(config!$G$4,W$1,$A823,$A823)),_xll.BDH(config!$G$4,W$1,$A823,$A823),_xll.BDH(config!$G$5,W$1,$A823,$A823))))</f>
        <v/>
      </c>
    </row>
    <row r="824" spans="1:23" x14ac:dyDescent="0.2">
      <c r="A824" s="9" t="str">
        <f>IF(A823="","",IF(WORKDAY(A823,-1,config_Holiday_Calendar_US)&lt;config!$I$10,"",WORKDAY(A823,-1,config_Holiday_Calendar_US)))</f>
        <v/>
      </c>
      <c r="B824" s="8" t="str">
        <f t="shared" si="12"/>
        <v/>
      </c>
      <c r="C824" s="8" t="str">
        <f>IF(A824="","",_xll.BDH(config!$H$4,C$1,$A824,$A824))</f>
        <v/>
      </c>
      <c r="D824" s="8" t="str">
        <f>IF($A824="","",_xll.BDH(config!$H$4,D$1,$A824,$A824))</f>
        <v/>
      </c>
      <c r="E824" s="8" t="str">
        <f>IF($A824="","",IF(ISNUMBER(FIND("IMPVOL",E$1)),_xll.BDH(config!$G$4,E$1,WORKDAY($A824,-1,config_Holiday_Calendar_US),WORKDAY($A824,-1,config_Holiday_Calendar_US)),IF(ISNUMBER(_xll.BDH(config!$G$4,E$1,$A824,$A824)),_xll.BDH(config!$G$4,E$1,$A824,$A824),_xll.BDH(config!$G$5,E$1,$A824,$A824))))</f>
        <v/>
      </c>
      <c r="F824" s="8" t="str">
        <f>IF($A824="","",IF(ISNUMBER(FIND("IMPVOL",F$1)),_xll.BDH(config!$G$4,F$1,WORKDAY($A824,-1,config_Holiday_Calendar_US),WORKDAY($A824,-1,config_Holiday_Calendar_US)),IF(ISNUMBER(_xll.BDH(config!$G$4,F$1,$A824,$A824)),_xll.BDH(config!$G$4,F$1,$A824,$A824),_xll.BDH(config!$G$5,F$1,$A824,$A824))))</f>
        <v/>
      </c>
      <c r="G824" s="8" t="str">
        <f>IF($A824="","",IF(ISNUMBER(FIND("IMPVOL",G$1)),_xll.BDH(config!$G$4,G$1,WORKDAY($A824,-1,config_Holiday_Calendar_US),WORKDAY($A824,-1,config_Holiday_Calendar_US)),IF(ISNUMBER(_xll.BDH(config!$G$4,G$1,$A824,$A824)),_xll.BDH(config!$G$4,G$1,$A824,$A824),_xll.BDH(config!$G$5,G$1,$A824,$A824))))</f>
        <v/>
      </c>
      <c r="H824" s="8" t="str">
        <f>IF($A824="","",IF(ISNUMBER(FIND("IMPVOL",H$1)),_xll.BDH(config!$G$4,H$1,WORKDAY($A824,-1,config_Holiday_Calendar_US),WORKDAY($A824,-1,config_Holiday_Calendar_US)),IF(ISNUMBER(_xll.BDH(config!$G$4,H$1,$A824,$A824)),_xll.BDH(config!$G$4,H$1,$A824,$A824),_xll.BDH(config!$G$5,H$1,$A824,$A824))))</f>
        <v/>
      </c>
      <c r="I824" s="8" t="str">
        <f>IF($A824="","",IF(ISNUMBER(FIND("IMPVOL",I$1)),_xll.BDH(config!$G$4,I$1,WORKDAY($A824,-1,config_Holiday_Calendar_US),WORKDAY($A824,-1,config_Holiday_Calendar_US)),IF(ISNUMBER(_xll.BDH(config!$G$4,I$1,$A824,$A824)),_xll.BDH(config!$G$4,I$1,$A824,$A824),_xll.BDH(config!$G$5,I$1,$A824,$A824))))</f>
        <v/>
      </c>
      <c r="J824" s="8" t="str">
        <f>IF($A824="","",IF(ISNUMBER(FIND("IMPVOL",J$1)),_xll.BDH(config!$G$4,J$1,WORKDAY($A824,-1,config_Holiday_Calendar_US),WORKDAY($A824,-1,config_Holiday_Calendar_US)),IF(ISNUMBER(_xll.BDH(config!$G$4,J$1,$A824,$A824)),_xll.BDH(config!$G$4,J$1,$A824,$A824),_xll.BDH(config!$G$5,J$1,$A824,$A824))))</f>
        <v/>
      </c>
      <c r="K824" s="8" t="str">
        <f>IF($A824="","",IF(ISNUMBER(FIND("IMPVOL",K$1)),_xll.BDH(config!$G$4,K$1,WORKDAY($A824,-1,config_Holiday_Calendar_US),WORKDAY($A824,-1,config_Holiday_Calendar_US)),IF(ISNUMBER(_xll.BDH(config!$G$4,K$1,$A824,$A824)),_xll.BDH(config!$G$4,K$1,$A824,$A824),_xll.BDH(config!$G$5,K$1,$A824,$A824))))</f>
        <v/>
      </c>
      <c r="L824" s="8" t="str">
        <f>IF($A824="","",IF(ISNUMBER(FIND("IMPVOL",L$1)),_xll.BDH(config!$G$4,L$1,WORKDAY($A824,-1,config_Holiday_Calendar_US),WORKDAY($A824,-1,config_Holiday_Calendar_US)),IF(ISNUMBER(_xll.BDH(config!$G$4,L$1,$A824,$A824)),_xll.BDH(config!$G$4,L$1,$A824,$A824),_xll.BDH(config!$G$5,L$1,$A824,$A824))))</f>
        <v/>
      </c>
      <c r="M824" s="8" t="str">
        <f>IF($A824="","",IF(ISNUMBER(FIND("IMPVOL",M$1)),_xll.BDH(config!$G$4,M$1,WORKDAY($A824,-1,config_Holiday_Calendar_US),WORKDAY($A824,-1,config_Holiday_Calendar_US)),IF(ISNUMBER(_xll.BDH(config!$G$4,M$1,$A824,$A824)),_xll.BDH(config!$G$4,M$1,$A824,$A824),_xll.BDH(config!$G$5,M$1,$A824,$A824))))</f>
        <v/>
      </c>
      <c r="N824" s="8" t="str">
        <f>IF($A824="","",IF(ISNUMBER(FIND("IMPVOL",N$1)),_xll.BDH(config!$G$4,N$1,WORKDAY($A824,-1,config_Holiday_Calendar_US),WORKDAY($A824,-1,config_Holiday_Calendar_US)),IF(ISNUMBER(_xll.BDH(config!$G$4,N$1,$A824,$A824)),_xll.BDH(config!$G$4,N$1,$A824,$A824),_xll.BDH(config!$G$5,N$1,$A824,$A824))))</f>
        <v/>
      </c>
      <c r="O824" s="8" t="str">
        <f>IF($A824="","",IF(ISNUMBER(FIND("IMPVOL",O$1)),_xll.BDH(config!$G$4,O$1,WORKDAY($A824,-1,config_Holiday_Calendar_US),WORKDAY($A824,-1,config_Holiday_Calendar_US)),IF(ISNUMBER(_xll.BDH(config!$G$4,O$1,$A824,$A824)),_xll.BDH(config!$G$4,O$1,$A824,$A824),_xll.BDH(config!$G$5,O$1,$A824,$A824))))</f>
        <v/>
      </c>
      <c r="P824" s="8" t="str">
        <f>IF($A824="","",IF(ISNUMBER(FIND("IMPVOL",P$1)),_xll.BDH(config!$G$4,P$1,WORKDAY($A824,-1,config_Holiday_Calendar_US),WORKDAY($A824,-1,config_Holiday_Calendar_US)),IF(ISNUMBER(_xll.BDH(config!$G$4,P$1,$A824,$A824)),_xll.BDH(config!$G$4,P$1,$A824,$A824),_xll.BDH(config!$G$5,P$1,$A824,$A824))))</f>
        <v/>
      </c>
      <c r="Q824" s="8" t="str">
        <f>IF($A824="","",IF(ISNUMBER(FIND("IMPVOL",Q$1)),_xll.BDH(config!$G$4,Q$1,WORKDAY($A824,-1,config_Holiday_Calendar_US),WORKDAY($A824,-1,config_Holiday_Calendar_US)),IF(ISNUMBER(_xll.BDH(config!$G$4,Q$1,$A824,$A824)),_xll.BDH(config!$G$4,Q$1,$A824,$A824),_xll.BDH(config!$G$5,Q$1,$A824,$A824))))</f>
        <v/>
      </c>
      <c r="R824" s="8" t="str">
        <f>IF($A824="","",IF(ISNUMBER(FIND("IMPVOL",R$1)),_xll.BDH(config!$G$4,R$1,WORKDAY($A824,-1,config_Holiday_Calendar_US),WORKDAY($A824,-1,config_Holiday_Calendar_US)),IF(ISNUMBER(_xll.BDH(config!$G$4,R$1,$A824,$A824)),_xll.BDH(config!$G$4,R$1,$A824,$A824),_xll.BDH(config!$G$5,R$1,$A824,$A824))))</f>
        <v/>
      </c>
      <c r="S824" s="8" t="str">
        <f>IF($A824="","",IF(ISNUMBER(FIND("IMPVOL",S$1)),_xll.BDH(config!$G$4,S$1,WORKDAY($A824,-1,config_Holiday_Calendar_US),WORKDAY($A824,-1,config_Holiday_Calendar_US)),IF(ISNUMBER(_xll.BDH(config!$G$4,S$1,$A824,$A824)),_xll.BDH(config!$G$4,S$1,$A824,$A824),_xll.BDH(config!$G$5,S$1,$A824,$A824))))</f>
        <v/>
      </c>
      <c r="T824" s="8" t="str">
        <f>IF($A824="","",IF(ISNUMBER(FIND("IMPVOL",T$1)),_xll.BDH(config!$G$4,T$1,WORKDAY($A824,-1,config_Holiday_Calendar_US),WORKDAY($A824,-1,config_Holiday_Calendar_US)),IF(ISNUMBER(_xll.BDH(config!$G$4,T$1,$A824,$A824)),_xll.BDH(config!$G$4,T$1,$A824,$A824),_xll.BDH(config!$G$5,T$1,$A824,$A824))))</f>
        <v/>
      </c>
      <c r="U824" s="8" t="str">
        <f>IF($A824="","",IF(ISNUMBER(FIND("IMPVOL",U$1)),_xll.BDH(config!$G$4,U$1,WORKDAY($A824,-1,config_Holiday_Calendar_US),WORKDAY($A824,-1,config_Holiday_Calendar_US)),IF(ISNUMBER(_xll.BDH(config!$G$4,U$1,$A824,$A824)),_xll.BDH(config!$G$4,U$1,$A824,$A824),_xll.BDH(config!$G$5,U$1,$A824,$A824))))</f>
        <v/>
      </c>
      <c r="V824" s="8" t="str">
        <f>IF($A824="","",IF(ISNUMBER(FIND("IMPVOL",V$1)),_xll.BDH(config!$G$4,V$1,WORKDAY($A824,-1,config_Holiday_Calendar_US),WORKDAY($A824,-1,config_Holiday_Calendar_US)),IF(ISNUMBER(_xll.BDH(config!$G$4,V$1,$A824,$A824)),_xll.BDH(config!$G$4,V$1,$A824,$A824),_xll.BDH(config!$G$5,V$1,$A824,$A824))))</f>
        <v/>
      </c>
      <c r="W824" s="8" t="str">
        <f>IF($A824="","",IF(ISNUMBER(FIND("IMPVOL",W$1)),_xll.BDH(config!$G$4,W$1,WORKDAY($A824,-1,config_Holiday_Calendar_US),WORKDAY($A824,-1,config_Holiday_Calendar_US)),IF(ISNUMBER(_xll.BDH(config!$G$4,W$1,$A824,$A824)),_xll.BDH(config!$G$4,W$1,$A824,$A824),_xll.BDH(config!$G$5,W$1,$A824,$A824))))</f>
        <v/>
      </c>
    </row>
    <row r="825" spans="1:23" x14ac:dyDescent="0.2">
      <c r="A825" s="9" t="str">
        <f>IF(A824="","",IF(WORKDAY(A824,-1,config_Holiday_Calendar_US)&lt;config!$I$10,"",WORKDAY(A824,-1,config_Holiday_Calendar_US)))</f>
        <v/>
      </c>
      <c r="B825" s="8" t="str">
        <f t="shared" si="12"/>
        <v/>
      </c>
      <c r="C825" s="8" t="str">
        <f>IF(A825="","",_xll.BDH(config!$H$4,C$1,$A825,$A825))</f>
        <v/>
      </c>
      <c r="D825" s="8" t="str">
        <f>IF($A825="","",_xll.BDH(config!$H$4,D$1,$A825,$A825))</f>
        <v/>
      </c>
      <c r="E825" s="8" t="str">
        <f>IF($A825="","",IF(ISNUMBER(FIND("IMPVOL",E$1)),_xll.BDH(config!$G$4,E$1,WORKDAY($A825,-1,config_Holiday_Calendar_US),WORKDAY($A825,-1,config_Holiday_Calendar_US)),IF(ISNUMBER(_xll.BDH(config!$G$4,E$1,$A825,$A825)),_xll.BDH(config!$G$4,E$1,$A825,$A825),_xll.BDH(config!$G$5,E$1,$A825,$A825))))</f>
        <v/>
      </c>
      <c r="F825" s="8" t="str">
        <f>IF($A825="","",IF(ISNUMBER(FIND("IMPVOL",F$1)),_xll.BDH(config!$G$4,F$1,WORKDAY($A825,-1,config_Holiday_Calendar_US),WORKDAY($A825,-1,config_Holiday_Calendar_US)),IF(ISNUMBER(_xll.BDH(config!$G$4,F$1,$A825,$A825)),_xll.BDH(config!$G$4,F$1,$A825,$A825),_xll.BDH(config!$G$5,F$1,$A825,$A825))))</f>
        <v/>
      </c>
      <c r="G825" s="8" t="str">
        <f>IF($A825="","",IF(ISNUMBER(FIND("IMPVOL",G$1)),_xll.BDH(config!$G$4,G$1,WORKDAY($A825,-1,config_Holiday_Calendar_US),WORKDAY($A825,-1,config_Holiday_Calendar_US)),IF(ISNUMBER(_xll.BDH(config!$G$4,G$1,$A825,$A825)),_xll.BDH(config!$G$4,G$1,$A825,$A825),_xll.BDH(config!$G$5,G$1,$A825,$A825))))</f>
        <v/>
      </c>
      <c r="H825" s="8" t="str">
        <f>IF($A825="","",IF(ISNUMBER(FIND("IMPVOL",H$1)),_xll.BDH(config!$G$4,H$1,WORKDAY($A825,-1,config_Holiday_Calendar_US),WORKDAY($A825,-1,config_Holiday_Calendar_US)),IF(ISNUMBER(_xll.BDH(config!$G$4,H$1,$A825,$A825)),_xll.BDH(config!$G$4,H$1,$A825,$A825),_xll.BDH(config!$G$5,H$1,$A825,$A825))))</f>
        <v/>
      </c>
      <c r="I825" s="8" t="str">
        <f>IF($A825="","",IF(ISNUMBER(FIND("IMPVOL",I$1)),_xll.BDH(config!$G$4,I$1,WORKDAY($A825,-1,config_Holiday_Calendar_US),WORKDAY($A825,-1,config_Holiday_Calendar_US)),IF(ISNUMBER(_xll.BDH(config!$G$4,I$1,$A825,$A825)),_xll.BDH(config!$G$4,I$1,$A825,$A825),_xll.BDH(config!$G$5,I$1,$A825,$A825))))</f>
        <v/>
      </c>
      <c r="J825" s="8" t="str">
        <f>IF($A825="","",IF(ISNUMBER(FIND("IMPVOL",J$1)),_xll.BDH(config!$G$4,J$1,WORKDAY($A825,-1,config_Holiday_Calendar_US),WORKDAY($A825,-1,config_Holiday_Calendar_US)),IF(ISNUMBER(_xll.BDH(config!$G$4,J$1,$A825,$A825)),_xll.BDH(config!$G$4,J$1,$A825,$A825),_xll.BDH(config!$G$5,J$1,$A825,$A825))))</f>
        <v/>
      </c>
      <c r="K825" s="8" t="str">
        <f>IF($A825="","",IF(ISNUMBER(FIND("IMPVOL",K$1)),_xll.BDH(config!$G$4,K$1,WORKDAY($A825,-1,config_Holiday_Calendar_US),WORKDAY($A825,-1,config_Holiday_Calendar_US)),IF(ISNUMBER(_xll.BDH(config!$G$4,K$1,$A825,$A825)),_xll.BDH(config!$G$4,K$1,$A825,$A825),_xll.BDH(config!$G$5,K$1,$A825,$A825))))</f>
        <v/>
      </c>
      <c r="L825" s="8" t="str">
        <f>IF($A825="","",IF(ISNUMBER(FIND("IMPVOL",L$1)),_xll.BDH(config!$G$4,L$1,WORKDAY($A825,-1,config_Holiday_Calendar_US),WORKDAY($A825,-1,config_Holiday_Calendar_US)),IF(ISNUMBER(_xll.BDH(config!$G$4,L$1,$A825,$A825)),_xll.BDH(config!$G$4,L$1,$A825,$A825),_xll.BDH(config!$G$5,L$1,$A825,$A825))))</f>
        <v/>
      </c>
      <c r="M825" s="8" t="str">
        <f>IF($A825="","",IF(ISNUMBER(FIND("IMPVOL",M$1)),_xll.BDH(config!$G$4,M$1,WORKDAY($A825,-1,config_Holiday_Calendar_US),WORKDAY($A825,-1,config_Holiday_Calendar_US)),IF(ISNUMBER(_xll.BDH(config!$G$4,M$1,$A825,$A825)),_xll.BDH(config!$G$4,M$1,$A825,$A825),_xll.BDH(config!$G$5,M$1,$A825,$A825))))</f>
        <v/>
      </c>
      <c r="N825" s="8" t="str">
        <f>IF($A825="","",IF(ISNUMBER(FIND("IMPVOL",N$1)),_xll.BDH(config!$G$4,N$1,WORKDAY($A825,-1,config_Holiday_Calendar_US),WORKDAY($A825,-1,config_Holiday_Calendar_US)),IF(ISNUMBER(_xll.BDH(config!$G$4,N$1,$A825,$A825)),_xll.BDH(config!$G$4,N$1,$A825,$A825),_xll.BDH(config!$G$5,N$1,$A825,$A825))))</f>
        <v/>
      </c>
      <c r="O825" s="8" t="str">
        <f>IF($A825="","",IF(ISNUMBER(FIND("IMPVOL",O$1)),_xll.BDH(config!$G$4,O$1,WORKDAY($A825,-1,config_Holiday_Calendar_US),WORKDAY($A825,-1,config_Holiday_Calendar_US)),IF(ISNUMBER(_xll.BDH(config!$G$4,O$1,$A825,$A825)),_xll.BDH(config!$G$4,O$1,$A825,$A825),_xll.BDH(config!$G$5,O$1,$A825,$A825))))</f>
        <v/>
      </c>
      <c r="P825" s="8" t="str">
        <f>IF($A825="","",IF(ISNUMBER(FIND("IMPVOL",P$1)),_xll.BDH(config!$G$4,P$1,WORKDAY($A825,-1,config_Holiday_Calendar_US),WORKDAY($A825,-1,config_Holiday_Calendar_US)),IF(ISNUMBER(_xll.BDH(config!$G$4,P$1,$A825,$A825)),_xll.BDH(config!$G$4,P$1,$A825,$A825),_xll.BDH(config!$G$5,P$1,$A825,$A825))))</f>
        <v/>
      </c>
      <c r="Q825" s="8" t="str">
        <f>IF($A825="","",IF(ISNUMBER(FIND("IMPVOL",Q$1)),_xll.BDH(config!$G$4,Q$1,WORKDAY($A825,-1,config_Holiday_Calendar_US),WORKDAY($A825,-1,config_Holiday_Calendar_US)),IF(ISNUMBER(_xll.BDH(config!$G$4,Q$1,$A825,$A825)),_xll.BDH(config!$G$4,Q$1,$A825,$A825),_xll.BDH(config!$G$5,Q$1,$A825,$A825))))</f>
        <v/>
      </c>
      <c r="R825" s="8" t="str">
        <f>IF($A825="","",IF(ISNUMBER(FIND("IMPVOL",R$1)),_xll.BDH(config!$G$4,R$1,WORKDAY($A825,-1,config_Holiday_Calendar_US),WORKDAY($A825,-1,config_Holiday_Calendar_US)),IF(ISNUMBER(_xll.BDH(config!$G$4,R$1,$A825,$A825)),_xll.BDH(config!$G$4,R$1,$A825,$A825),_xll.BDH(config!$G$5,R$1,$A825,$A825))))</f>
        <v/>
      </c>
      <c r="S825" s="8" t="str">
        <f>IF($A825="","",IF(ISNUMBER(FIND("IMPVOL",S$1)),_xll.BDH(config!$G$4,S$1,WORKDAY($A825,-1,config_Holiday_Calendar_US),WORKDAY($A825,-1,config_Holiday_Calendar_US)),IF(ISNUMBER(_xll.BDH(config!$G$4,S$1,$A825,$A825)),_xll.BDH(config!$G$4,S$1,$A825,$A825),_xll.BDH(config!$G$5,S$1,$A825,$A825))))</f>
        <v/>
      </c>
      <c r="T825" s="8" t="str">
        <f>IF($A825="","",IF(ISNUMBER(FIND("IMPVOL",T$1)),_xll.BDH(config!$G$4,T$1,WORKDAY($A825,-1,config_Holiday_Calendar_US),WORKDAY($A825,-1,config_Holiday_Calendar_US)),IF(ISNUMBER(_xll.BDH(config!$G$4,T$1,$A825,$A825)),_xll.BDH(config!$G$4,T$1,$A825,$A825),_xll.BDH(config!$G$5,T$1,$A825,$A825))))</f>
        <v/>
      </c>
      <c r="U825" s="8" t="str">
        <f>IF($A825="","",IF(ISNUMBER(FIND("IMPVOL",U$1)),_xll.BDH(config!$G$4,U$1,WORKDAY($A825,-1,config_Holiday_Calendar_US),WORKDAY($A825,-1,config_Holiday_Calendar_US)),IF(ISNUMBER(_xll.BDH(config!$G$4,U$1,$A825,$A825)),_xll.BDH(config!$G$4,U$1,$A825,$A825),_xll.BDH(config!$G$5,U$1,$A825,$A825))))</f>
        <v/>
      </c>
      <c r="V825" s="8" t="str">
        <f>IF($A825="","",IF(ISNUMBER(FIND("IMPVOL",V$1)),_xll.BDH(config!$G$4,V$1,WORKDAY($A825,-1,config_Holiday_Calendar_US),WORKDAY($A825,-1,config_Holiday_Calendar_US)),IF(ISNUMBER(_xll.BDH(config!$G$4,V$1,$A825,$A825)),_xll.BDH(config!$G$4,V$1,$A825,$A825),_xll.BDH(config!$G$5,V$1,$A825,$A825))))</f>
        <v/>
      </c>
      <c r="W825" s="8" t="str">
        <f>IF($A825="","",IF(ISNUMBER(FIND("IMPVOL",W$1)),_xll.BDH(config!$G$4,W$1,WORKDAY($A825,-1,config_Holiday_Calendar_US),WORKDAY($A825,-1,config_Holiday_Calendar_US)),IF(ISNUMBER(_xll.BDH(config!$G$4,W$1,$A825,$A825)),_xll.BDH(config!$G$4,W$1,$A825,$A825),_xll.BDH(config!$G$5,W$1,$A825,$A825))))</f>
        <v/>
      </c>
    </row>
    <row r="826" spans="1:23" x14ac:dyDescent="0.2">
      <c r="A826" s="9" t="str">
        <f>IF(A825="","",IF(WORKDAY(A825,-1,config_Holiday_Calendar_US)&lt;config!$I$10,"",WORKDAY(A825,-1,config_Holiday_Calendar_US)))</f>
        <v/>
      </c>
      <c r="B826" s="8" t="str">
        <f t="shared" si="12"/>
        <v/>
      </c>
      <c r="C826" s="8" t="str">
        <f>IF(A826="","",_xll.BDH(config!$H$4,C$1,$A826,$A826))</f>
        <v/>
      </c>
      <c r="D826" s="8" t="str">
        <f>IF($A826="","",_xll.BDH(config!$H$4,D$1,$A826,$A826))</f>
        <v/>
      </c>
      <c r="E826" s="8" t="str">
        <f>IF($A826="","",IF(ISNUMBER(FIND("IMPVOL",E$1)),_xll.BDH(config!$G$4,E$1,WORKDAY($A826,-1,config_Holiday_Calendar_US),WORKDAY($A826,-1,config_Holiday_Calendar_US)),IF(ISNUMBER(_xll.BDH(config!$G$4,E$1,$A826,$A826)),_xll.BDH(config!$G$4,E$1,$A826,$A826),_xll.BDH(config!$G$5,E$1,$A826,$A826))))</f>
        <v/>
      </c>
      <c r="F826" s="8" t="str">
        <f>IF($A826="","",IF(ISNUMBER(FIND("IMPVOL",F$1)),_xll.BDH(config!$G$4,F$1,WORKDAY($A826,-1,config_Holiday_Calendar_US),WORKDAY($A826,-1,config_Holiday_Calendar_US)),IF(ISNUMBER(_xll.BDH(config!$G$4,F$1,$A826,$A826)),_xll.BDH(config!$G$4,F$1,$A826,$A826),_xll.BDH(config!$G$5,F$1,$A826,$A826))))</f>
        <v/>
      </c>
      <c r="G826" s="8" t="str">
        <f>IF($A826="","",IF(ISNUMBER(FIND("IMPVOL",G$1)),_xll.BDH(config!$G$4,G$1,WORKDAY($A826,-1,config_Holiday_Calendar_US),WORKDAY($A826,-1,config_Holiday_Calendar_US)),IF(ISNUMBER(_xll.BDH(config!$G$4,G$1,$A826,$A826)),_xll.BDH(config!$G$4,G$1,$A826,$A826),_xll.BDH(config!$G$5,G$1,$A826,$A826))))</f>
        <v/>
      </c>
      <c r="H826" s="8" t="str">
        <f>IF($A826="","",IF(ISNUMBER(FIND("IMPVOL",H$1)),_xll.BDH(config!$G$4,H$1,WORKDAY($A826,-1,config_Holiday_Calendar_US),WORKDAY($A826,-1,config_Holiday_Calendar_US)),IF(ISNUMBER(_xll.BDH(config!$G$4,H$1,$A826,$A826)),_xll.BDH(config!$G$4,H$1,$A826,$A826),_xll.BDH(config!$G$5,H$1,$A826,$A826))))</f>
        <v/>
      </c>
      <c r="I826" s="8" t="str">
        <f>IF($A826="","",IF(ISNUMBER(FIND("IMPVOL",I$1)),_xll.BDH(config!$G$4,I$1,WORKDAY($A826,-1,config_Holiday_Calendar_US),WORKDAY($A826,-1,config_Holiday_Calendar_US)),IF(ISNUMBER(_xll.BDH(config!$G$4,I$1,$A826,$A826)),_xll.BDH(config!$G$4,I$1,$A826,$A826),_xll.BDH(config!$G$5,I$1,$A826,$A826))))</f>
        <v/>
      </c>
      <c r="J826" s="8" t="str">
        <f>IF($A826="","",IF(ISNUMBER(FIND("IMPVOL",J$1)),_xll.BDH(config!$G$4,J$1,WORKDAY($A826,-1,config_Holiday_Calendar_US),WORKDAY($A826,-1,config_Holiday_Calendar_US)),IF(ISNUMBER(_xll.BDH(config!$G$4,J$1,$A826,$A826)),_xll.BDH(config!$G$4,J$1,$A826,$A826),_xll.BDH(config!$G$5,J$1,$A826,$A826))))</f>
        <v/>
      </c>
      <c r="K826" s="8" t="str">
        <f>IF($A826="","",IF(ISNUMBER(FIND("IMPVOL",K$1)),_xll.BDH(config!$G$4,K$1,WORKDAY($A826,-1,config_Holiday_Calendar_US),WORKDAY($A826,-1,config_Holiday_Calendar_US)),IF(ISNUMBER(_xll.BDH(config!$G$4,K$1,$A826,$A826)),_xll.BDH(config!$G$4,K$1,$A826,$A826),_xll.BDH(config!$G$5,K$1,$A826,$A826))))</f>
        <v/>
      </c>
      <c r="L826" s="8" t="str">
        <f>IF($A826="","",IF(ISNUMBER(FIND("IMPVOL",L$1)),_xll.BDH(config!$G$4,L$1,WORKDAY($A826,-1,config_Holiday_Calendar_US),WORKDAY($A826,-1,config_Holiday_Calendar_US)),IF(ISNUMBER(_xll.BDH(config!$G$4,L$1,$A826,$A826)),_xll.BDH(config!$G$4,L$1,$A826,$A826),_xll.BDH(config!$G$5,L$1,$A826,$A826))))</f>
        <v/>
      </c>
      <c r="M826" s="8" t="str">
        <f>IF($A826="","",IF(ISNUMBER(FIND("IMPVOL",M$1)),_xll.BDH(config!$G$4,M$1,WORKDAY($A826,-1,config_Holiday_Calendar_US),WORKDAY($A826,-1,config_Holiday_Calendar_US)),IF(ISNUMBER(_xll.BDH(config!$G$4,M$1,$A826,$A826)),_xll.BDH(config!$G$4,M$1,$A826,$A826),_xll.BDH(config!$G$5,M$1,$A826,$A826))))</f>
        <v/>
      </c>
      <c r="N826" s="8" t="str">
        <f>IF($A826="","",IF(ISNUMBER(FIND("IMPVOL",N$1)),_xll.BDH(config!$G$4,N$1,WORKDAY($A826,-1,config_Holiday_Calendar_US),WORKDAY($A826,-1,config_Holiday_Calendar_US)),IF(ISNUMBER(_xll.BDH(config!$G$4,N$1,$A826,$A826)),_xll.BDH(config!$G$4,N$1,$A826,$A826),_xll.BDH(config!$G$5,N$1,$A826,$A826))))</f>
        <v/>
      </c>
      <c r="O826" s="8" t="str">
        <f>IF($A826="","",IF(ISNUMBER(FIND("IMPVOL",O$1)),_xll.BDH(config!$G$4,O$1,WORKDAY($A826,-1,config_Holiday_Calendar_US),WORKDAY($A826,-1,config_Holiday_Calendar_US)),IF(ISNUMBER(_xll.BDH(config!$G$4,O$1,$A826,$A826)),_xll.BDH(config!$G$4,O$1,$A826,$A826),_xll.BDH(config!$G$5,O$1,$A826,$A826))))</f>
        <v/>
      </c>
      <c r="P826" s="8" t="str">
        <f>IF($A826="","",IF(ISNUMBER(FIND("IMPVOL",P$1)),_xll.BDH(config!$G$4,P$1,WORKDAY($A826,-1,config_Holiday_Calendar_US),WORKDAY($A826,-1,config_Holiday_Calendar_US)),IF(ISNUMBER(_xll.BDH(config!$G$4,P$1,$A826,$A826)),_xll.BDH(config!$G$4,P$1,$A826,$A826),_xll.BDH(config!$G$5,P$1,$A826,$A826))))</f>
        <v/>
      </c>
      <c r="Q826" s="8" t="str">
        <f>IF($A826="","",IF(ISNUMBER(FIND("IMPVOL",Q$1)),_xll.BDH(config!$G$4,Q$1,WORKDAY($A826,-1,config_Holiday_Calendar_US),WORKDAY($A826,-1,config_Holiday_Calendar_US)),IF(ISNUMBER(_xll.BDH(config!$G$4,Q$1,$A826,$A826)),_xll.BDH(config!$G$4,Q$1,$A826,$A826),_xll.BDH(config!$G$5,Q$1,$A826,$A826))))</f>
        <v/>
      </c>
      <c r="R826" s="8" t="str">
        <f>IF($A826="","",IF(ISNUMBER(FIND("IMPVOL",R$1)),_xll.BDH(config!$G$4,R$1,WORKDAY($A826,-1,config_Holiday_Calendar_US),WORKDAY($A826,-1,config_Holiday_Calendar_US)),IF(ISNUMBER(_xll.BDH(config!$G$4,R$1,$A826,$A826)),_xll.BDH(config!$G$4,R$1,$A826,$A826),_xll.BDH(config!$G$5,R$1,$A826,$A826))))</f>
        <v/>
      </c>
      <c r="S826" s="8" t="str">
        <f>IF($A826="","",IF(ISNUMBER(FIND("IMPVOL",S$1)),_xll.BDH(config!$G$4,S$1,WORKDAY($A826,-1,config_Holiday_Calendar_US),WORKDAY($A826,-1,config_Holiday_Calendar_US)),IF(ISNUMBER(_xll.BDH(config!$G$4,S$1,$A826,$A826)),_xll.BDH(config!$G$4,S$1,$A826,$A826),_xll.BDH(config!$G$5,S$1,$A826,$A826))))</f>
        <v/>
      </c>
      <c r="T826" s="8" t="str">
        <f>IF($A826="","",IF(ISNUMBER(FIND("IMPVOL",T$1)),_xll.BDH(config!$G$4,T$1,WORKDAY($A826,-1,config_Holiday_Calendar_US),WORKDAY($A826,-1,config_Holiday_Calendar_US)),IF(ISNUMBER(_xll.BDH(config!$G$4,T$1,$A826,$A826)),_xll.BDH(config!$G$4,T$1,$A826,$A826),_xll.BDH(config!$G$5,T$1,$A826,$A826))))</f>
        <v/>
      </c>
      <c r="U826" s="8" t="str">
        <f>IF($A826="","",IF(ISNUMBER(FIND("IMPVOL",U$1)),_xll.BDH(config!$G$4,U$1,WORKDAY($A826,-1,config_Holiday_Calendar_US),WORKDAY($A826,-1,config_Holiday_Calendar_US)),IF(ISNUMBER(_xll.BDH(config!$G$4,U$1,$A826,$A826)),_xll.BDH(config!$G$4,U$1,$A826,$A826),_xll.BDH(config!$G$5,U$1,$A826,$A826))))</f>
        <v/>
      </c>
      <c r="V826" s="8" t="str">
        <f>IF($A826="","",IF(ISNUMBER(FIND("IMPVOL",V$1)),_xll.BDH(config!$G$4,V$1,WORKDAY($A826,-1,config_Holiday_Calendar_US),WORKDAY($A826,-1,config_Holiday_Calendar_US)),IF(ISNUMBER(_xll.BDH(config!$G$4,V$1,$A826,$A826)),_xll.BDH(config!$G$4,V$1,$A826,$A826),_xll.BDH(config!$G$5,V$1,$A826,$A826))))</f>
        <v/>
      </c>
      <c r="W826" s="8" t="str">
        <f>IF($A826="","",IF(ISNUMBER(FIND("IMPVOL",W$1)),_xll.BDH(config!$G$4,W$1,WORKDAY($A826,-1,config_Holiday_Calendar_US),WORKDAY($A826,-1,config_Holiday_Calendar_US)),IF(ISNUMBER(_xll.BDH(config!$G$4,W$1,$A826,$A826)),_xll.BDH(config!$G$4,W$1,$A826,$A826),_xll.BDH(config!$G$5,W$1,$A826,$A826))))</f>
        <v/>
      </c>
    </row>
    <row r="827" spans="1:23" x14ac:dyDescent="0.2">
      <c r="A827" s="9" t="str">
        <f>IF(A826="","",IF(WORKDAY(A826,-1,config_Holiday_Calendar_US)&lt;config!$I$10,"",WORKDAY(A826,-1,config_Holiday_Calendar_US)))</f>
        <v/>
      </c>
      <c r="B827" s="8" t="str">
        <f t="shared" si="12"/>
        <v/>
      </c>
      <c r="C827" s="8" t="str">
        <f>IF(A827="","",_xll.BDH(config!$H$4,C$1,$A827,$A827))</f>
        <v/>
      </c>
      <c r="D827" s="8" t="str">
        <f>IF($A827="","",_xll.BDH(config!$H$4,D$1,$A827,$A827))</f>
        <v/>
      </c>
      <c r="E827" s="8" t="str">
        <f>IF($A827="","",IF(ISNUMBER(FIND("IMPVOL",E$1)),_xll.BDH(config!$G$4,E$1,WORKDAY($A827,-1,config_Holiday_Calendar_US),WORKDAY($A827,-1,config_Holiday_Calendar_US)),IF(ISNUMBER(_xll.BDH(config!$G$4,E$1,$A827,$A827)),_xll.BDH(config!$G$4,E$1,$A827,$A827),_xll.BDH(config!$G$5,E$1,$A827,$A827))))</f>
        <v/>
      </c>
      <c r="F827" s="8" t="str">
        <f>IF($A827="","",IF(ISNUMBER(FIND("IMPVOL",F$1)),_xll.BDH(config!$G$4,F$1,WORKDAY($A827,-1,config_Holiday_Calendar_US),WORKDAY($A827,-1,config_Holiday_Calendar_US)),IF(ISNUMBER(_xll.BDH(config!$G$4,F$1,$A827,$A827)),_xll.BDH(config!$G$4,F$1,$A827,$A827),_xll.BDH(config!$G$5,F$1,$A827,$A827))))</f>
        <v/>
      </c>
      <c r="G827" s="8" t="str">
        <f>IF($A827="","",IF(ISNUMBER(FIND("IMPVOL",G$1)),_xll.BDH(config!$G$4,G$1,WORKDAY($A827,-1,config_Holiday_Calendar_US),WORKDAY($A827,-1,config_Holiday_Calendar_US)),IF(ISNUMBER(_xll.BDH(config!$G$4,G$1,$A827,$A827)),_xll.BDH(config!$G$4,G$1,$A827,$A827),_xll.BDH(config!$G$5,G$1,$A827,$A827))))</f>
        <v/>
      </c>
      <c r="H827" s="8" t="str">
        <f>IF($A827="","",IF(ISNUMBER(FIND("IMPVOL",H$1)),_xll.BDH(config!$G$4,H$1,WORKDAY($A827,-1,config_Holiday_Calendar_US),WORKDAY($A827,-1,config_Holiday_Calendar_US)),IF(ISNUMBER(_xll.BDH(config!$G$4,H$1,$A827,$A827)),_xll.BDH(config!$G$4,H$1,$A827,$A827),_xll.BDH(config!$G$5,H$1,$A827,$A827))))</f>
        <v/>
      </c>
      <c r="I827" s="8" t="str">
        <f>IF($A827="","",IF(ISNUMBER(FIND("IMPVOL",I$1)),_xll.BDH(config!$G$4,I$1,WORKDAY($A827,-1,config_Holiday_Calendar_US),WORKDAY($A827,-1,config_Holiday_Calendar_US)),IF(ISNUMBER(_xll.BDH(config!$G$4,I$1,$A827,$A827)),_xll.BDH(config!$G$4,I$1,$A827,$A827),_xll.BDH(config!$G$5,I$1,$A827,$A827))))</f>
        <v/>
      </c>
      <c r="J827" s="8" t="str">
        <f>IF($A827="","",IF(ISNUMBER(FIND("IMPVOL",J$1)),_xll.BDH(config!$G$4,J$1,WORKDAY($A827,-1,config_Holiday_Calendar_US),WORKDAY($A827,-1,config_Holiday_Calendar_US)),IF(ISNUMBER(_xll.BDH(config!$G$4,J$1,$A827,$A827)),_xll.BDH(config!$G$4,J$1,$A827,$A827),_xll.BDH(config!$G$5,J$1,$A827,$A827))))</f>
        <v/>
      </c>
      <c r="K827" s="8" t="str">
        <f>IF($A827="","",IF(ISNUMBER(FIND("IMPVOL",K$1)),_xll.BDH(config!$G$4,K$1,WORKDAY($A827,-1,config_Holiday_Calendar_US),WORKDAY($A827,-1,config_Holiday_Calendar_US)),IF(ISNUMBER(_xll.BDH(config!$G$4,K$1,$A827,$A827)),_xll.BDH(config!$G$4,K$1,$A827,$A827),_xll.BDH(config!$G$5,K$1,$A827,$A827))))</f>
        <v/>
      </c>
      <c r="L827" s="8" t="str">
        <f>IF($A827="","",IF(ISNUMBER(FIND("IMPVOL",L$1)),_xll.BDH(config!$G$4,L$1,WORKDAY($A827,-1,config_Holiday_Calendar_US),WORKDAY($A827,-1,config_Holiday_Calendar_US)),IF(ISNUMBER(_xll.BDH(config!$G$4,L$1,$A827,$A827)),_xll.BDH(config!$G$4,L$1,$A827,$A827),_xll.BDH(config!$G$5,L$1,$A827,$A827))))</f>
        <v/>
      </c>
      <c r="M827" s="8" t="str">
        <f>IF($A827="","",IF(ISNUMBER(FIND("IMPVOL",M$1)),_xll.BDH(config!$G$4,M$1,WORKDAY($A827,-1,config_Holiday_Calendar_US),WORKDAY($A827,-1,config_Holiday_Calendar_US)),IF(ISNUMBER(_xll.BDH(config!$G$4,M$1,$A827,$A827)),_xll.BDH(config!$G$4,M$1,$A827,$A827),_xll.BDH(config!$G$5,M$1,$A827,$A827))))</f>
        <v/>
      </c>
      <c r="N827" s="8" t="str">
        <f>IF($A827="","",IF(ISNUMBER(FIND("IMPVOL",N$1)),_xll.BDH(config!$G$4,N$1,WORKDAY($A827,-1,config_Holiday_Calendar_US),WORKDAY($A827,-1,config_Holiday_Calendar_US)),IF(ISNUMBER(_xll.BDH(config!$G$4,N$1,$A827,$A827)),_xll.BDH(config!$G$4,N$1,$A827,$A827),_xll.BDH(config!$G$5,N$1,$A827,$A827))))</f>
        <v/>
      </c>
      <c r="O827" s="8" t="str">
        <f>IF($A827="","",IF(ISNUMBER(FIND("IMPVOL",O$1)),_xll.BDH(config!$G$4,O$1,WORKDAY($A827,-1,config_Holiday_Calendar_US),WORKDAY($A827,-1,config_Holiday_Calendar_US)),IF(ISNUMBER(_xll.BDH(config!$G$4,O$1,$A827,$A827)),_xll.BDH(config!$G$4,O$1,$A827,$A827),_xll.BDH(config!$G$5,O$1,$A827,$A827))))</f>
        <v/>
      </c>
      <c r="P827" s="8" t="str">
        <f>IF($A827="","",IF(ISNUMBER(FIND("IMPVOL",P$1)),_xll.BDH(config!$G$4,P$1,WORKDAY($A827,-1,config_Holiday_Calendar_US),WORKDAY($A827,-1,config_Holiday_Calendar_US)),IF(ISNUMBER(_xll.BDH(config!$G$4,P$1,$A827,$A827)),_xll.BDH(config!$G$4,P$1,$A827,$A827),_xll.BDH(config!$G$5,P$1,$A827,$A827))))</f>
        <v/>
      </c>
      <c r="Q827" s="8" t="str">
        <f>IF($A827="","",IF(ISNUMBER(FIND("IMPVOL",Q$1)),_xll.BDH(config!$G$4,Q$1,WORKDAY($A827,-1,config_Holiday_Calendar_US),WORKDAY($A827,-1,config_Holiday_Calendar_US)),IF(ISNUMBER(_xll.BDH(config!$G$4,Q$1,$A827,$A827)),_xll.BDH(config!$G$4,Q$1,$A827,$A827),_xll.BDH(config!$G$5,Q$1,$A827,$A827))))</f>
        <v/>
      </c>
      <c r="R827" s="8" t="str">
        <f>IF($A827="","",IF(ISNUMBER(FIND("IMPVOL",R$1)),_xll.BDH(config!$G$4,R$1,WORKDAY($A827,-1,config_Holiday_Calendar_US),WORKDAY($A827,-1,config_Holiday_Calendar_US)),IF(ISNUMBER(_xll.BDH(config!$G$4,R$1,$A827,$A827)),_xll.BDH(config!$G$4,R$1,$A827,$A827),_xll.BDH(config!$G$5,R$1,$A827,$A827))))</f>
        <v/>
      </c>
      <c r="S827" s="8" t="str">
        <f>IF($A827="","",IF(ISNUMBER(FIND("IMPVOL",S$1)),_xll.BDH(config!$G$4,S$1,WORKDAY($A827,-1,config_Holiday_Calendar_US),WORKDAY($A827,-1,config_Holiday_Calendar_US)),IF(ISNUMBER(_xll.BDH(config!$G$4,S$1,$A827,$A827)),_xll.BDH(config!$G$4,S$1,$A827,$A827),_xll.BDH(config!$G$5,S$1,$A827,$A827))))</f>
        <v/>
      </c>
      <c r="T827" s="8" t="str">
        <f>IF($A827="","",IF(ISNUMBER(FIND("IMPVOL",T$1)),_xll.BDH(config!$G$4,T$1,WORKDAY($A827,-1,config_Holiday_Calendar_US),WORKDAY($A827,-1,config_Holiday_Calendar_US)),IF(ISNUMBER(_xll.BDH(config!$G$4,T$1,$A827,$A827)),_xll.BDH(config!$G$4,T$1,$A827,$A827),_xll.BDH(config!$G$5,T$1,$A827,$A827))))</f>
        <v/>
      </c>
      <c r="U827" s="8" t="str">
        <f>IF($A827="","",IF(ISNUMBER(FIND("IMPVOL",U$1)),_xll.BDH(config!$G$4,U$1,WORKDAY($A827,-1,config_Holiday_Calendar_US),WORKDAY($A827,-1,config_Holiday_Calendar_US)),IF(ISNUMBER(_xll.BDH(config!$G$4,U$1,$A827,$A827)),_xll.BDH(config!$G$4,U$1,$A827,$A827),_xll.BDH(config!$G$5,U$1,$A827,$A827))))</f>
        <v/>
      </c>
      <c r="V827" s="8" t="str">
        <f>IF($A827="","",IF(ISNUMBER(FIND("IMPVOL",V$1)),_xll.BDH(config!$G$4,V$1,WORKDAY($A827,-1,config_Holiday_Calendar_US),WORKDAY($A827,-1,config_Holiday_Calendar_US)),IF(ISNUMBER(_xll.BDH(config!$G$4,V$1,$A827,$A827)),_xll.BDH(config!$G$4,V$1,$A827,$A827),_xll.BDH(config!$G$5,V$1,$A827,$A827))))</f>
        <v/>
      </c>
      <c r="W827" s="8" t="str">
        <f>IF($A827="","",IF(ISNUMBER(FIND("IMPVOL",W$1)),_xll.BDH(config!$G$4,W$1,WORKDAY($A827,-1,config_Holiday_Calendar_US),WORKDAY($A827,-1,config_Holiday_Calendar_US)),IF(ISNUMBER(_xll.BDH(config!$G$4,W$1,$A827,$A827)),_xll.BDH(config!$G$4,W$1,$A827,$A827),_xll.BDH(config!$G$5,W$1,$A827,$A827))))</f>
        <v/>
      </c>
    </row>
    <row r="828" spans="1:23" x14ac:dyDescent="0.2">
      <c r="A828" s="9" t="str">
        <f>IF(A827="","",IF(WORKDAY(A827,-1,config_Holiday_Calendar_US)&lt;config!$I$10,"",WORKDAY(A827,-1,config_Holiday_Calendar_US)))</f>
        <v/>
      </c>
      <c r="B828" s="8" t="str">
        <f t="shared" si="12"/>
        <v/>
      </c>
      <c r="C828" s="8" t="str">
        <f>IF(A828="","",_xll.BDH(config!$H$4,C$1,$A828,$A828))</f>
        <v/>
      </c>
      <c r="D828" s="8" t="str">
        <f>IF($A828="","",_xll.BDH(config!$H$4,D$1,$A828,$A828))</f>
        <v/>
      </c>
      <c r="E828" s="8" t="str">
        <f>IF($A828="","",IF(ISNUMBER(FIND("IMPVOL",E$1)),_xll.BDH(config!$G$4,E$1,WORKDAY($A828,-1,config_Holiday_Calendar_US),WORKDAY($A828,-1,config_Holiday_Calendar_US)),IF(ISNUMBER(_xll.BDH(config!$G$4,E$1,$A828,$A828)),_xll.BDH(config!$G$4,E$1,$A828,$A828),_xll.BDH(config!$G$5,E$1,$A828,$A828))))</f>
        <v/>
      </c>
      <c r="F828" s="8" t="str">
        <f>IF($A828="","",IF(ISNUMBER(FIND("IMPVOL",F$1)),_xll.BDH(config!$G$4,F$1,WORKDAY($A828,-1,config_Holiday_Calendar_US),WORKDAY($A828,-1,config_Holiday_Calendar_US)),IF(ISNUMBER(_xll.BDH(config!$G$4,F$1,$A828,$A828)),_xll.BDH(config!$G$4,F$1,$A828,$A828),_xll.BDH(config!$G$5,F$1,$A828,$A828))))</f>
        <v/>
      </c>
      <c r="G828" s="8" t="str">
        <f>IF($A828="","",IF(ISNUMBER(FIND("IMPVOL",G$1)),_xll.BDH(config!$G$4,G$1,WORKDAY($A828,-1,config_Holiday_Calendar_US),WORKDAY($A828,-1,config_Holiday_Calendar_US)),IF(ISNUMBER(_xll.BDH(config!$G$4,G$1,$A828,$A828)),_xll.BDH(config!$G$4,G$1,$A828,$A828),_xll.BDH(config!$G$5,G$1,$A828,$A828))))</f>
        <v/>
      </c>
      <c r="H828" s="8" t="str">
        <f>IF($A828="","",IF(ISNUMBER(FIND("IMPVOL",H$1)),_xll.BDH(config!$G$4,H$1,WORKDAY($A828,-1,config_Holiday_Calendar_US),WORKDAY($A828,-1,config_Holiday_Calendar_US)),IF(ISNUMBER(_xll.BDH(config!$G$4,H$1,$A828,$A828)),_xll.BDH(config!$G$4,H$1,$A828,$A828),_xll.BDH(config!$G$5,H$1,$A828,$A828))))</f>
        <v/>
      </c>
      <c r="I828" s="8" t="str">
        <f>IF($A828="","",IF(ISNUMBER(FIND("IMPVOL",I$1)),_xll.BDH(config!$G$4,I$1,WORKDAY($A828,-1,config_Holiday_Calendar_US),WORKDAY($A828,-1,config_Holiday_Calendar_US)),IF(ISNUMBER(_xll.BDH(config!$G$4,I$1,$A828,$A828)),_xll.BDH(config!$G$4,I$1,$A828,$A828),_xll.BDH(config!$G$5,I$1,$A828,$A828))))</f>
        <v/>
      </c>
      <c r="J828" s="8" t="str">
        <f>IF($A828="","",IF(ISNUMBER(FIND("IMPVOL",J$1)),_xll.BDH(config!$G$4,J$1,WORKDAY($A828,-1,config_Holiday_Calendar_US),WORKDAY($A828,-1,config_Holiday_Calendar_US)),IF(ISNUMBER(_xll.BDH(config!$G$4,J$1,$A828,$A828)),_xll.BDH(config!$G$4,J$1,$A828,$A828),_xll.BDH(config!$G$5,J$1,$A828,$A828))))</f>
        <v/>
      </c>
      <c r="K828" s="8" t="str">
        <f>IF($A828="","",IF(ISNUMBER(FIND("IMPVOL",K$1)),_xll.BDH(config!$G$4,K$1,WORKDAY($A828,-1,config_Holiday_Calendar_US),WORKDAY($A828,-1,config_Holiday_Calendar_US)),IF(ISNUMBER(_xll.BDH(config!$G$4,K$1,$A828,$A828)),_xll.BDH(config!$G$4,K$1,$A828,$A828),_xll.BDH(config!$G$5,K$1,$A828,$A828))))</f>
        <v/>
      </c>
      <c r="L828" s="8" t="str">
        <f>IF($A828="","",IF(ISNUMBER(FIND("IMPVOL",L$1)),_xll.BDH(config!$G$4,L$1,WORKDAY($A828,-1,config_Holiday_Calendar_US),WORKDAY($A828,-1,config_Holiday_Calendar_US)),IF(ISNUMBER(_xll.BDH(config!$G$4,L$1,$A828,$A828)),_xll.BDH(config!$G$4,L$1,$A828,$A828),_xll.BDH(config!$G$5,L$1,$A828,$A828))))</f>
        <v/>
      </c>
      <c r="M828" s="8" t="str">
        <f>IF($A828="","",IF(ISNUMBER(FIND("IMPVOL",M$1)),_xll.BDH(config!$G$4,M$1,WORKDAY($A828,-1,config_Holiday_Calendar_US),WORKDAY($A828,-1,config_Holiday_Calendar_US)),IF(ISNUMBER(_xll.BDH(config!$G$4,M$1,$A828,$A828)),_xll.BDH(config!$G$4,M$1,$A828,$A828),_xll.BDH(config!$G$5,M$1,$A828,$A828))))</f>
        <v/>
      </c>
      <c r="N828" s="8" t="str">
        <f>IF($A828="","",IF(ISNUMBER(FIND("IMPVOL",N$1)),_xll.BDH(config!$G$4,N$1,WORKDAY($A828,-1,config_Holiday_Calendar_US),WORKDAY($A828,-1,config_Holiday_Calendar_US)),IF(ISNUMBER(_xll.BDH(config!$G$4,N$1,$A828,$A828)),_xll.BDH(config!$G$4,N$1,$A828,$A828),_xll.BDH(config!$G$5,N$1,$A828,$A828))))</f>
        <v/>
      </c>
      <c r="O828" s="8" t="str">
        <f>IF($A828="","",IF(ISNUMBER(FIND("IMPVOL",O$1)),_xll.BDH(config!$G$4,O$1,WORKDAY($A828,-1,config_Holiday_Calendar_US),WORKDAY($A828,-1,config_Holiday_Calendar_US)),IF(ISNUMBER(_xll.BDH(config!$G$4,O$1,$A828,$A828)),_xll.BDH(config!$G$4,O$1,$A828,$A828),_xll.BDH(config!$G$5,O$1,$A828,$A828))))</f>
        <v/>
      </c>
      <c r="P828" s="8" t="str">
        <f>IF($A828="","",IF(ISNUMBER(FIND("IMPVOL",P$1)),_xll.BDH(config!$G$4,P$1,WORKDAY($A828,-1,config_Holiday_Calendar_US),WORKDAY($A828,-1,config_Holiday_Calendar_US)),IF(ISNUMBER(_xll.BDH(config!$G$4,P$1,$A828,$A828)),_xll.BDH(config!$G$4,P$1,$A828,$A828),_xll.BDH(config!$G$5,P$1,$A828,$A828))))</f>
        <v/>
      </c>
      <c r="Q828" s="8" t="str">
        <f>IF($A828="","",IF(ISNUMBER(FIND("IMPVOL",Q$1)),_xll.BDH(config!$G$4,Q$1,WORKDAY($A828,-1,config_Holiday_Calendar_US),WORKDAY($A828,-1,config_Holiday_Calendar_US)),IF(ISNUMBER(_xll.BDH(config!$G$4,Q$1,$A828,$A828)),_xll.BDH(config!$G$4,Q$1,$A828,$A828),_xll.BDH(config!$G$5,Q$1,$A828,$A828))))</f>
        <v/>
      </c>
      <c r="R828" s="8" t="str">
        <f>IF($A828="","",IF(ISNUMBER(FIND("IMPVOL",R$1)),_xll.BDH(config!$G$4,R$1,WORKDAY($A828,-1,config_Holiday_Calendar_US),WORKDAY($A828,-1,config_Holiday_Calendar_US)),IF(ISNUMBER(_xll.BDH(config!$G$4,R$1,$A828,$A828)),_xll.BDH(config!$G$4,R$1,$A828,$A828),_xll.BDH(config!$G$5,R$1,$A828,$A828))))</f>
        <v/>
      </c>
      <c r="S828" s="8" t="str">
        <f>IF($A828="","",IF(ISNUMBER(FIND("IMPVOL",S$1)),_xll.BDH(config!$G$4,S$1,WORKDAY($A828,-1,config_Holiday_Calendar_US),WORKDAY($A828,-1,config_Holiday_Calendar_US)),IF(ISNUMBER(_xll.BDH(config!$G$4,S$1,$A828,$A828)),_xll.BDH(config!$G$4,S$1,$A828,$A828),_xll.BDH(config!$G$5,S$1,$A828,$A828))))</f>
        <v/>
      </c>
      <c r="T828" s="8" t="str">
        <f>IF($A828="","",IF(ISNUMBER(FIND("IMPVOL",T$1)),_xll.BDH(config!$G$4,T$1,WORKDAY($A828,-1,config_Holiday_Calendar_US),WORKDAY($A828,-1,config_Holiday_Calendar_US)),IF(ISNUMBER(_xll.BDH(config!$G$4,T$1,$A828,$A828)),_xll.BDH(config!$G$4,T$1,$A828,$A828),_xll.BDH(config!$G$5,T$1,$A828,$A828))))</f>
        <v/>
      </c>
      <c r="U828" s="8" t="str">
        <f>IF($A828="","",IF(ISNUMBER(FIND("IMPVOL",U$1)),_xll.BDH(config!$G$4,U$1,WORKDAY($A828,-1,config_Holiday_Calendar_US),WORKDAY($A828,-1,config_Holiday_Calendar_US)),IF(ISNUMBER(_xll.BDH(config!$G$4,U$1,$A828,$A828)),_xll.BDH(config!$G$4,U$1,$A828,$A828),_xll.BDH(config!$G$5,U$1,$A828,$A828))))</f>
        <v/>
      </c>
      <c r="V828" s="8" t="str">
        <f>IF($A828="","",IF(ISNUMBER(FIND("IMPVOL",V$1)),_xll.BDH(config!$G$4,V$1,WORKDAY($A828,-1,config_Holiday_Calendar_US),WORKDAY($A828,-1,config_Holiday_Calendar_US)),IF(ISNUMBER(_xll.BDH(config!$G$4,V$1,$A828,$A828)),_xll.BDH(config!$G$4,V$1,$A828,$A828),_xll.BDH(config!$G$5,V$1,$A828,$A828))))</f>
        <v/>
      </c>
      <c r="W828" s="8" t="str">
        <f>IF($A828="","",IF(ISNUMBER(FIND("IMPVOL",W$1)),_xll.BDH(config!$G$4,W$1,WORKDAY($A828,-1,config_Holiday_Calendar_US),WORKDAY($A828,-1,config_Holiday_Calendar_US)),IF(ISNUMBER(_xll.BDH(config!$G$4,W$1,$A828,$A828)),_xll.BDH(config!$G$4,W$1,$A828,$A828),_xll.BDH(config!$G$5,W$1,$A828,$A828))))</f>
        <v/>
      </c>
    </row>
    <row r="829" spans="1:23" x14ac:dyDescent="0.2">
      <c r="A829" s="9" t="str">
        <f>IF(A828="","",IF(WORKDAY(A828,-1,config_Holiday_Calendar_US)&lt;config!$I$10,"",WORKDAY(A828,-1,config_Holiday_Calendar_US)))</f>
        <v/>
      </c>
      <c r="B829" s="8" t="str">
        <f t="shared" si="12"/>
        <v/>
      </c>
      <c r="C829" s="8" t="str">
        <f>IF(A829="","",_xll.BDH(config!$H$4,C$1,$A829,$A829))</f>
        <v/>
      </c>
      <c r="D829" s="8" t="str">
        <f>IF($A829="","",_xll.BDH(config!$H$4,D$1,$A829,$A829))</f>
        <v/>
      </c>
      <c r="E829" s="8" t="str">
        <f>IF($A829="","",IF(ISNUMBER(FIND("IMPVOL",E$1)),_xll.BDH(config!$G$4,E$1,WORKDAY($A829,-1,config_Holiday_Calendar_US),WORKDAY($A829,-1,config_Holiday_Calendar_US)),IF(ISNUMBER(_xll.BDH(config!$G$4,E$1,$A829,$A829)),_xll.BDH(config!$G$4,E$1,$A829,$A829),_xll.BDH(config!$G$5,E$1,$A829,$A829))))</f>
        <v/>
      </c>
      <c r="F829" s="8" t="str">
        <f>IF($A829="","",IF(ISNUMBER(FIND("IMPVOL",F$1)),_xll.BDH(config!$G$4,F$1,WORKDAY($A829,-1,config_Holiday_Calendar_US),WORKDAY($A829,-1,config_Holiday_Calendar_US)),IF(ISNUMBER(_xll.BDH(config!$G$4,F$1,$A829,$A829)),_xll.BDH(config!$G$4,F$1,$A829,$A829),_xll.BDH(config!$G$5,F$1,$A829,$A829))))</f>
        <v/>
      </c>
      <c r="G829" s="8" t="str">
        <f>IF($A829="","",IF(ISNUMBER(FIND("IMPVOL",G$1)),_xll.BDH(config!$G$4,G$1,WORKDAY($A829,-1,config_Holiday_Calendar_US),WORKDAY($A829,-1,config_Holiday_Calendar_US)),IF(ISNUMBER(_xll.BDH(config!$G$4,G$1,$A829,$A829)),_xll.BDH(config!$G$4,G$1,$A829,$A829),_xll.BDH(config!$G$5,G$1,$A829,$A829))))</f>
        <v/>
      </c>
      <c r="H829" s="8" t="str">
        <f>IF($A829="","",IF(ISNUMBER(FIND("IMPVOL",H$1)),_xll.BDH(config!$G$4,H$1,WORKDAY($A829,-1,config_Holiday_Calendar_US),WORKDAY($A829,-1,config_Holiday_Calendar_US)),IF(ISNUMBER(_xll.BDH(config!$G$4,H$1,$A829,$A829)),_xll.BDH(config!$G$4,H$1,$A829,$A829),_xll.BDH(config!$G$5,H$1,$A829,$A829))))</f>
        <v/>
      </c>
      <c r="I829" s="8" t="str">
        <f>IF($A829="","",IF(ISNUMBER(FIND("IMPVOL",I$1)),_xll.BDH(config!$G$4,I$1,WORKDAY($A829,-1,config_Holiday_Calendar_US),WORKDAY($A829,-1,config_Holiday_Calendar_US)),IF(ISNUMBER(_xll.BDH(config!$G$4,I$1,$A829,$A829)),_xll.BDH(config!$G$4,I$1,$A829,$A829),_xll.BDH(config!$G$5,I$1,$A829,$A829))))</f>
        <v/>
      </c>
      <c r="J829" s="8" t="str">
        <f>IF($A829="","",IF(ISNUMBER(FIND("IMPVOL",J$1)),_xll.BDH(config!$G$4,J$1,WORKDAY($A829,-1,config_Holiday_Calendar_US),WORKDAY($A829,-1,config_Holiday_Calendar_US)),IF(ISNUMBER(_xll.BDH(config!$G$4,J$1,$A829,$A829)),_xll.BDH(config!$G$4,J$1,$A829,$A829),_xll.BDH(config!$G$5,J$1,$A829,$A829))))</f>
        <v/>
      </c>
      <c r="K829" s="8" t="str">
        <f>IF($A829="","",IF(ISNUMBER(FIND("IMPVOL",K$1)),_xll.BDH(config!$G$4,K$1,WORKDAY($A829,-1,config_Holiday_Calendar_US),WORKDAY($A829,-1,config_Holiday_Calendar_US)),IF(ISNUMBER(_xll.BDH(config!$G$4,K$1,$A829,$A829)),_xll.BDH(config!$G$4,K$1,$A829,$A829),_xll.BDH(config!$G$5,K$1,$A829,$A829))))</f>
        <v/>
      </c>
      <c r="L829" s="8" t="str">
        <f>IF($A829="","",IF(ISNUMBER(FIND("IMPVOL",L$1)),_xll.BDH(config!$G$4,L$1,WORKDAY($A829,-1,config_Holiday_Calendar_US),WORKDAY($A829,-1,config_Holiday_Calendar_US)),IF(ISNUMBER(_xll.BDH(config!$G$4,L$1,$A829,$A829)),_xll.BDH(config!$G$4,L$1,$A829,$A829),_xll.BDH(config!$G$5,L$1,$A829,$A829))))</f>
        <v/>
      </c>
      <c r="M829" s="8" t="str">
        <f>IF($A829="","",IF(ISNUMBER(FIND("IMPVOL",M$1)),_xll.BDH(config!$G$4,M$1,WORKDAY($A829,-1,config_Holiday_Calendar_US),WORKDAY($A829,-1,config_Holiday_Calendar_US)),IF(ISNUMBER(_xll.BDH(config!$G$4,M$1,$A829,$A829)),_xll.BDH(config!$G$4,M$1,$A829,$A829),_xll.BDH(config!$G$5,M$1,$A829,$A829))))</f>
        <v/>
      </c>
      <c r="N829" s="8" t="str">
        <f>IF($A829="","",IF(ISNUMBER(FIND("IMPVOL",N$1)),_xll.BDH(config!$G$4,N$1,WORKDAY($A829,-1,config_Holiday_Calendar_US),WORKDAY($A829,-1,config_Holiday_Calendar_US)),IF(ISNUMBER(_xll.BDH(config!$G$4,N$1,$A829,$A829)),_xll.BDH(config!$G$4,N$1,$A829,$A829),_xll.BDH(config!$G$5,N$1,$A829,$A829))))</f>
        <v/>
      </c>
      <c r="O829" s="8" t="str">
        <f>IF($A829="","",IF(ISNUMBER(FIND("IMPVOL",O$1)),_xll.BDH(config!$G$4,O$1,WORKDAY($A829,-1,config_Holiday_Calendar_US),WORKDAY($A829,-1,config_Holiday_Calendar_US)),IF(ISNUMBER(_xll.BDH(config!$G$4,O$1,$A829,$A829)),_xll.BDH(config!$G$4,O$1,$A829,$A829),_xll.BDH(config!$G$5,O$1,$A829,$A829))))</f>
        <v/>
      </c>
      <c r="P829" s="8" t="str">
        <f>IF($A829="","",IF(ISNUMBER(FIND("IMPVOL",P$1)),_xll.BDH(config!$G$4,P$1,WORKDAY($A829,-1,config_Holiday_Calendar_US),WORKDAY($A829,-1,config_Holiday_Calendar_US)),IF(ISNUMBER(_xll.BDH(config!$G$4,P$1,$A829,$A829)),_xll.BDH(config!$G$4,P$1,$A829,$A829),_xll.BDH(config!$G$5,P$1,$A829,$A829))))</f>
        <v/>
      </c>
      <c r="Q829" s="8" t="str">
        <f>IF($A829="","",IF(ISNUMBER(FIND("IMPVOL",Q$1)),_xll.BDH(config!$G$4,Q$1,WORKDAY($A829,-1,config_Holiday_Calendar_US),WORKDAY($A829,-1,config_Holiday_Calendar_US)),IF(ISNUMBER(_xll.BDH(config!$G$4,Q$1,$A829,$A829)),_xll.BDH(config!$G$4,Q$1,$A829,$A829),_xll.BDH(config!$G$5,Q$1,$A829,$A829))))</f>
        <v/>
      </c>
      <c r="R829" s="8" t="str">
        <f>IF($A829="","",IF(ISNUMBER(FIND("IMPVOL",R$1)),_xll.BDH(config!$G$4,R$1,WORKDAY($A829,-1,config_Holiday_Calendar_US),WORKDAY($A829,-1,config_Holiday_Calendar_US)),IF(ISNUMBER(_xll.BDH(config!$G$4,R$1,$A829,$A829)),_xll.BDH(config!$G$4,R$1,$A829,$A829),_xll.BDH(config!$G$5,R$1,$A829,$A829))))</f>
        <v/>
      </c>
      <c r="S829" s="8" t="str">
        <f>IF($A829="","",IF(ISNUMBER(FIND("IMPVOL",S$1)),_xll.BDH(config!$G$4,S$1,WORKDAY($A829,-1,config_Holiday_Calendar_US),WORKDAY($A829,-1,config_Holiday_Calendar_US)),IF(ISNUMBER(_xll.BDH(config!$G$4,S$1,$A829,$A829)),_xll.BDH(config!$G$4,S$1,$A829,$A829),_xll.BDH(config!$G$5,S$1,$A829,$A829))))</f>
        <v/>
      </c>
      <c r="T829" s="8" t="str">
        <f>IF($A829="","",IF(ISNUMBER(FIND("IMPVOL",T$1)),_xll.BDH(config!$G$4,T$1,WORKDAY($A829,-1,config_Holiday_Calendar_US),WORKDAY($A829,-1,config_Holiday_Calendar_US)),IF(ISNUMBER(_xll.BDH(config!$G$4,T$1,$A829,$A829)),_xll.BDH(config!$G$4,T$1,$A829,$A829),_xll.BDH(config!$G$5,T$1,$A829,$A829))))</f>
        <v/>
      </c>
      <c r="U829" s="8" t="str">
        <f>IF($A829="","",IF(ISNUMBER(FIND("IMPVOL",U$1)),_xll.BDH(config!$G$4,U$1,WORKDAY($A829,-1,config_Holiday_Calendar_US),WORKDAY($A829,-1,config_Holiday_Calendar_US)),IF(ISNUMBER(_xll.BDH(config!$G$4,U$1,$A829,$A829)),_xll.BDH(config!$G$4,U$1,$A829,$A829),_xll.BDH(config!$G$5,U$1,$A829,$A829))))</f>
        <v/>
      </c>
      <c r="V829" s="8" t="str">
        <f>IF($A829="","",IF(ISNUMBER(FIND("IMPVOL",V$1)),_xll.BDH(config!$G$4,V$1,WORKDAY($A829,-1,config_Holiday_Calendar_US),WORKDAY($A829,-1,config_Holiday_Calendar_US)),IF(ISNUMBER(_xll.BDH(config!$G$4,V$1,$A829,$A829)),_xll.BDH(config!$G$4,V$1,$A829,$A829),_xll.BDH(config!$G$5,V$1,$A829,$A829))))</f>
        <v/>
      </c>
      <c r="W829" s="8" t="str">
        <f>IF($A829="","",IF(ISNUMBER(FIND("IMPVOL",W$1)),_xll.BDH(config!$G$4,W$1,WORKDAY($A829,-1,config_Holiday_Calendar_US),WORKDAY($A829,-1,config_Holiday_Calendar_US)),IF(ISNUMBER(_xll.BDH(config!$G$4,W$1,$A829,$A829)),_xll.BDH(config!$G$4,W$1,$A829,$A829),_xll.BDH(config!$G$5,W$1,$A829,$A829))))</f>
        <v/>
      </c>
    </row>
    <row r="830" spans="1:23" x14ac:dyDescent="0.2">
      <c r="A830" s="9" t="str">
        <f>IF(A829="","",IF(WORKDAY(A829,-1,config_Holiday_Calendar_US)&lt;config!$I$10,"",WORKDAY(A829,-1,config_Holiday_Calendar_US)))</f>
        <v/>
      </c>
      <c r="B830" s="8" t="str">
        <f t="shared" si="12"/>
        <v/>
      </c>
      <c r="C830" s="8" t="str">
        <f>IF(A830="","",_xll.BDH(config!$H$4,C$1,$A830,$A830))</f>
        <v/>
      </c>
      <c r="D830" s="8" t="str">
        <f>IF($A830="","",_xll.BDH(config!$H$4,D$1,$A830,$A830))</f>
        <v/>
      </c>
      <c r="E830" s="8" t="str">
        <f>IF($A830="","",IF(ISNUMBER(FIND("IMPVOL",E$1)),_xll.BDH(config!$G$4,E$1,WORKDAY($A830,-1,config_Holiday_Calendar_US),WORKDAY($A830,-1,config_Holiday_Calendar_US)),IF(ISNUMBER(_xll.BDH(config!$G$4,E$1,$A830,$A830)),_xll.BDH(config!$G$4,E$1,$A830,$A830),_xll.BDH(config!$G$5,E$1,$A830,$A830))))</f>
        <v/>
      </c>
      <c r="F830" s="8" t="str">
        <f>IF($A830="","",IF(ISNUMBER(FIND("IMPVOL",F$1)),_xll.BDH(config!$G$4,F$1,WORKDAY($A830,-1,config_Holiday_Calendar_US),WORKDAY($A830,-1,config_Holiday_Calendar_US)),IF(ISNUMBER(_xll.BDH(config!$G$4,F$1,$A830,$A830)),_xll.BDH(config!$G$4,F$1,$A830,$A830),_xll.BDH(config!$G$5,F$1,$A830,$A830))))</f>
        <v/>
      </c>
      <c r="G830" s="8" t="str">
        <f>IF($A830="","",IF(ISNUMBER(FIND("IMPVOL",G$1)),_xll.BDH(config!$G$4,G$1,WORKDAY($A830,-1,config_Holiday_Calendar_US),WORKDAY($A830,-1,config_Holiday_Calendar_US)),IF(ISNUMBER(_xll.BDH(config!$G$4,G$1,$A830,$A830)),_xll.BDH(config!$G$4,G$1,$A830,$A830),_xll.BDH(config!$G$5,G$1,$A830,$A830))))</f>
        <v/>
      </c>
      <c r="H830" s="8" t="str">
        <f>IF($A830="","",IF(ISNUMBER(FIND("IMPVOL",H$1)),_xll.BDH(config!$G$4,H$1,WORKDAY($A830,-1,config_Holiday_Calendar_US),WORKDAY($A830,-1,config_Holiday_Calendar_US)),IF(ISNUMBER(_xll.BDH(config!$G$4,H$1,$A830,$A830)),_xll.BDH(config!$G$4,H$1,$A830,$A830),_xll.BDH(config!$G$5,H$1,$A830,$A830))))</f>
        <v/>
      </c>
      <c r="I830" s="8" t="str">
        <f>IF($A830="","",IF(ISNUMBER(FIND("IMPVOL",I$1)),_xll.BDH(config!$G$4,I$1,WORKDAY($A830,-1,config_Holiday_Calendar_US),WORKDAY($A830,-1,config_Holiday_Calendar_US)),IF(ISNUMBER(_xll.BDH(config!$G$4,I$1,$A830,$A830)),_xll.BDH(config!$G$4,I$1,$A830,$A830),_xll.BDH(config!$G$5,I$1,$A830,$A830))))</f>
        <v/>
      </c>
      <c r="J830" s="8" t="str">
        <f>IF($A830="","",IF(ISNUMBER(FIND("IMPVOL",J$1)),_xll.BDH(config!$G$4,J$1,WORKDAY($A830,-1,config_Holiday_Calendar_US),WORKDAY($A830,-1,config_Holiday_Calendar_US)),IF(ISNUMBER(_xll.BDH(config!$G$4,J$1,$A830,$A830)),_xll.BDH(config!$G$4,J$1,$A830,$A830),_xll.BDH(config!$G$5,J$1,$A830,$A830))))</f>
        <v/>
      </c>
      <c r="K830" s="8" t="str">
        <f>IF($A830="","",IF(ISNUMBER(FIND("IMPVOL",K$1)),_xll.BDH(config!$G$4,K$1,WORKDAY($A830,-1,config_Holiday_Calendar_US),WORKDAY($A830,-1,config_Holiday_Calendar_US)),IF(ISNUMBER(_xll.BDH(config!$G$4,K$1,$A830,$A830)),_xll.BDH(config!$G$4,K$1,$A830,$A830),_xll.BDH(config!$G$5,K$1,$A830,$A830))))</f>
        <v/>
      </c>
      <c r="L830" s="8" t="str">
        <f>IF($A830="","",IF(ISNUMBER(FIND("IMPVOL",L$1)),_xll.BDH(config!$G$4,L$1,WORKDAY($A830,-1,config_Holiday_Calendar_US),WORKDAY($A830,-1,config_Holiday_Calendar_US)),IF(ISNUMBER(_xll.BDH(config!$G$4,L$1,$A830,$A830)),_xll.BDH(config!$G$4,L$1,$A830,$A830),_xll.BDH(config!$G$5,L$1,$A830,$A830))))</f>
        <v/>
      </c>
      <c r="M830" s="8" t="str">
        <f>IF($A830="","",IF(ISNUMBER(FIND("IMPVOL",M$1)),_xll.BDH(config!$G$4,M$1,WORKDAY($A830,-1,config_Holiday_Calendar_US),WORKDAY($A830,-1,config_Holiday_Calendar_US)),IF(ISNUMBER(_xll.BDH(config!$G$4,M$1,$A830,$A830)),_xll.BDH(config!$G$4,M$1,$A830,$A830),_xll.BDH(config!$G$5,M$1,$A830,$A830))))</f>
        <v/>
      </c>
      <c r="N830" s="8" t="str">
        <f>IF($A830="","",IF(ISNUMBER(FIND("IMPVOL",N$1)),_xll.BDH(config!$G$4,N$1,WORKDAY($A830,-1,config_Holiday_Calendar_US),WORKDAY($A830,-1,config_Holiday_Calendar_US)),IF(ISNUMBER(_xll.BDH(config!$G$4,N$1,$A830,$A830)),_xll.BDH(config!$G$4,N$1,$A830,$A830),_xll.BDH(config!$G$5,N$1,$A830,$A830))))</f>
        <v/>
      </c>
      <c r="O830" s="8" t="str">
        <f>IF($A830="","",IF(ISNUMBER(FIND("IMPVOL",O$1)),_xll.BDH(config!$G$4,O$1,WORKDAY($A830,-1,config_Holiday_Calendar_US),WORKDAY($A830,-1,config_Holiday_Calendar_US)),IF(ISNUMBER(_xll.BDH(config!$G$4,O$1,$A830,$A830)),_xll.BDH(config!$G$4,O$1,$A830,$A830),_xll.BDH(config!$G$5,O$1,$A830,$A830))))</f>
        <v/>
      </c>
      <c r="P830" s="8" t="str">
        <f>IF($A830="","",IF(ISNUMBER(FIND("IMPVOL",P$1)),_xll.BDH(config!$G$4,P$1,WORKDAY($A830,-1,config_Holiday_Calendar_US),WORKDAY($A830,-1,config_Holiday_Calendar_US)),IF(ISNUMBER(_xll.BDH(config!$G$4,P$1,$A830,$A830)),_xll.BDH(config!$G$4,P$1,$A830,$A830),_xll.BDH(config!$G$5,P$1,$A830,$A830))))</f>
        <v/>
      </c>
      <c r="Q830" s="8" t="str">
        <f>IF($A830="","",IF(ISNUMBER(FIND("IMPVOL",Q$1)),_xll.BDH(config!$G$4,Q$1,WORKDAY($A830,-1,config_Holiday_Calendar_US),WORKDAY($A830,-1,config_Holiday_Calendar_US)),IF(ISNUMBER(_xll.BDH(config!$G$4,Q$1,$A830,$A830)),_xll.BDH(config!$G$4,Q$1,$A830,$A830),_xll.BDH(config!$G$5,Q$1,$A830,$A830))))</f>
        <v/>
      </c>
      <c r="R830" s="8" t="str">
        <f>IF($A830="","",IF(ISNUMBER(FIND("IMPVOL",R$1)),_xll.BDH(config!$G$4,R$1,WORKDAY($A830,-1,config_Holiday_Calendar_US),WORKDAY($A830,-1,config_Holiday_Calendar_US)),IF(ISNUMBER(_xll.BDH(config!$G$4,R$1,$A830,$A830)),_xll.BDH(config!$G$4,R$1,$A830,$A830),_xll.BDH(config!$G$5,R$1,$A830,$A830))))</f>
        <v/>
      </c>
      <c r="S830" s="8" t="str">
        <f>IF($A830="","",IF(ISNUMBER(FIND("IMPVOL",S$1)),_xll.BDH(config!$G$4,S$1,WORKDAY($A830,-1,config_Holiday_Calendar_US),WORKDAY($A830,-1,config_Holiday_Calendar_US)),IF(ISNUMBER(_xll.BDH(config!$G$4,S$1,$A830,$A830)),_xll.BDH(config!$G$4,S$1,$A830,$A830),_xll.BDH(config!$G$5,S$1,$A830,$A830))))</f>
        <v/>
      </c>
      <c r="T830" s="8" t="str">
        <f>IF($A830="","",IF(ISNUMBER(FIND("IMPVOL",T$1)),_xll.BDH(config!$G$4,T$1,WORKDAY($A830,-1,config_Holiday_Calendar_US),WORKDAY($A830,-1,config_Holiday_Calendar_US)),IF(ISNUMBER(_xll.BDH(config!$G$4,T$1,$A830,$A830)),_xll.BDH(config!$G$4,T$1,$A830,$A830),_xll.BDH(config!$G$5,T$1,$A830,$A830))))</f>
        <v/>
      </c>
      <c r="U830" s="8" t="str">
        <f>IF($A830="","",IF(ISNUMBER(FIND("IMPVOL",U$1)),_xll.BDH(config!$G$4,U$1,WORKDAY($A830,-1,config_Holiday_Calendar_US),WORKDAY($A830,-1,config_Holiday_Calendar_US)),IF(ISNUMBER(_xll.BDH(config!$G$4,U$1,$A830,$A830)),_xll.BDH(config!$G$4,U$1,$A830,$A830),_xll.BDH(config!$G$5,U$1,$A830,$A830))))</f>
        <v/>
      </c>
      <c r="V830" s="8" t="str">
        <f>IF($A830="","",IF(ISNUMBER(FIND("IMPVOL",V$1)),_xll.BDH(config!$G$4,V$1,WORKDAY($A830,-1,config_Holiday_Calendar_US),WORKDAY($A830,-1,config_Holiday_Calendar_US)),IF(ISNUMBER(_xll.BDH(config!$G$4,V$1,$A830,$A830)),_xll.BDH(config!$G$4,V$1,$A830,$A830),_xll.BDH(config!$G$5,V$1,$A830,$A830))))</f>
        <v/>
      </c>
      <c r="W830" s="8" t="str">
        <f>IF($A830="","",IF(ISNUMBER(FIND("IMPVOL",W$1)),_xll.BDH(config!$G$4,W$1,WORKDAY($A830,-1,config_Holiday_Calendar_US),WORKDAY($A830,-1,config_Holiday_Calendar_US)),IF(ISNUMBER(_xll.BDH(config!$G$4,W$1,$A830,$A830)),_xll.BDH(config!$G$4,W$1,$A830,$A830),_xll.BDH(config!$G$5,W$1,$A830,$A830))))</f>
        <v/>
      </c>
    </row>
    <row r="831" spans="1:23" x14ac:dyDescent="0.2">
      <c r="A831" s="9" t="str">
        <f>IF(A830="","",IF(WORKDAY(A830,-1,config_Holiday_Calendar_US)&lt;config!$I$10,"",WORKDAY(A830,-1,config_Holiday_Calendar_US)))</f>
        <v/>
      </c>
      <c r="B831" s="8" t="str">
        <f t="shared" si="12"/>
        <v/>
      </c>
      <c r="C831" s="8" t="str">
        <f>IF(A831="","",_xll.BDH(config!$H$4,C$1,$A831,$A831))</f>
        <v/>
      </c>
      <c r="D831" s="8" t="str">
        <f>IF($A831="","",_xll.BDH(config!$H$4,D$1,$A831,$A831))</f>
        <v/>
      </c>
      <c r="E831" s="8" t="str">
        <f>IF($A831="","",IF(ISNUMBER(FIND("IMPVOL",E$1)),_xll.BDH(config!$G$4,E$1,WORKDAY($A831,-1,config_Holiday_Calendar_US),WORKDAY($A831,-1,config_Holiday_Calendar_US)),IF(ISNUMBER(_xll.BDH(config!$G$4,E$1,$A831,$A831)),_xll.BDH(config!$G$4,E$1,$A831,$A831),_xll.BDH(config!$G$5,E$1,$A831,$A831))))</f>
        <v/>
      </c>
      <c r="F831" s="8" t="str">
        <f>IF($A831="","",IF(ISNUMBER(FIND("IMPVOL",F$1)),_xll.BDH(config!$G$4,F$1,WORKDAY($A831,-1,config_Holiday_Calendar_US),WORKDAY($A831,-1,config_Holiday_Calendar_US)),IF(ISNUMBER(_xll.BDH(config!$G$4,F$1,$A831,$A831)),_xll.BDH(config!$G$4,F$1,$A831,$A831),_xll.BDH(config!$G$5,F$1,$A831,$A831))))</f>
        <v/>
      </c>
      <c r="G831" s="8" t="str">
        <f>IF($A831="","",IF(ISNUMBER(FIND("IMPVOL",G$1)),_xll.BDH(config!$G$4,G$1,WORKDAY($A831,-1,config_Holiday_Calendar_US),WORKDAY($A831,-1,config_Holiday_Calendar_US)),IF(ISNUMBER(_xll.BDH(config!$G$4,G$1,$A831,$A831)),_xll.BDH(config!$G$4,G$1,$A831,$A831),_xll.BDH(config!$G$5,G$1,$A831,$A831))))</f>
        <v/>
      </c>
      <c r="H831" s="8" t="str">
        <f>IF($A831="","",IF(ISNUMBER(FIND("IMPVOL",H$1)),_xll.BDH(config!$G$4,H$1,WORKDAY($A831,-1,config_Holiday_Calendar_US),WORKDAY($A831,-1,config_Holiday_Calendar_US)),IF(ISNUMBER(_xll.BDH(config!$G$4,H$1,$A831,$A831)),_xll.BDH(config!$G$4,H$1,$A831,$A831),_xll.BDH(config!$G$5,H$1,$A831,$A831))))</f>
        <v/>
      </c>
      <c r="I831" s="8" t="str">
        <f>IF($A831="","",IF(ISNUMBER(FIND("IMPVOL",I$1)),_xll.BDH(config!$G$4,I$1,WORKDAY($A831,-1,config_Holiday_Calendar_US),WORKDAY($A831,-1,config_Holiday_Calendar_US)),IF(ISNUMBER(_xll.BDH(config!$G$4,I$1,$A831,$A831)),_xll.BDH(config!$G$4,I$1,$A831,$A831),_xll.BDH(config!$G$5,I$1,$A831,$A831))))</f>
        <v/>
      </c>
      <c r="J831" s="8" t="str">
        <f>IF($A831="","",IF(ISNUMBER(FIND("IMPVOL",J$1)),_xll.BDH(config!$G$4,J$1,WORKDAY($A831,-1,config_Holiday_Calendar_US),WORKDAY($A831,-1,config_Holiday_Calendar_US)),IF(ISNUMBER(_xll.BDH(config!$G$4,J$1,$A831,$A831)),_xll.BDH(config!$G$4,J$1,$A831,$A831),_xll.BDH(config!$G$5,J$1,$A831,$A831))))</f>
        <v/>
      </c>
      <c r="K831" s="8" t="str">
        <f>IF($A831="","",IF(ISNUMBER(FIND("IMPVOL",K$1)),_xll.BDH(config!$G$4,K$1,WORKDAY($A831,-1,config_Holiday_Calendar_US),WORKDAY($A831,-1,config_Holiday_Calendar_US)),IF(ISNUMBER(_xll.BDH(config!$G$4,K$1,$A831,$A831)),_xll.BDH(config!$G$4,K$1,$A831,$A831),_xll.BDH(config!$G$5,K$1,$A831,$A831))))</f>
        <v/>
      </c>
      <c r="L831" s="8" t="str">
        <f>IF($A831="","",IF(ISNUMBER(FIND("IMPVOL",L$1)),_xll.BDH(config!$G$4,L$1,WORKDAY($A831,-1,config_Holiday_Calendar_US),WORKDAY($A831,-1,config_Holiday_Calendar_US)),IF(ISNUMBER(_xll.BDH(config!$G$4,L$1,$A831,$A831)),_xll.BDH(config!$G$4,L$1,$A831,$A831),_xll.BDH(config!$G$5,L$1,$A831,$A831))))</f>
        <v/>
      </c>
      <c r="M831" s="8" t="str">
        <f>IF($A831="","",IF(ISNUMBER(FIND("IMPVOL",M$1)),_xll.BDH(config!$G$4,M$1,WORKDAY($A831,-1,config_Holiday_Calendar_US),WORKDAY($A831,-1,config_Holiday_Calendar_US)),IF(ISNUMBER(_xll.BDH(config!$G$4,M$1,$A831,$A831)),_xll.BDH(config!$G$4,M$1,$A831,$A831),_xll.BDH(config!$G$5,M$1,$A831,$A831))))</f>
        <v/>
      </c>
      <c r="N831" s="8" t="str">
        <f>IF($A831="","",IF(ISNUMBER(FIND("IMPVOL",N$1)),_xll.BDH(config!$G$4,N$1,WORKDAY($A831,-1,config_Holiday_Calendar_US),WORKDAY($A831,-1,config_Holiday_Calendar_US)),IF(ISNUMBER(_xll.BDH(config!$G$4,N$1,$A831,$A831)),_xll.BDH(config!$G$4,N$1,$A831,$A831),_xll.BDH(config!$G$5,N$1,$A831,$A831))))</f>
        <v/>
      </c>
      <c r="O831" s="8" t="str">
        <f>IF($A831="","",IF(ISNUMBER(FIND("IMPVOL",O$1)),_xll.BDH(config!$G$4,O$1,WORKDAY($A831,-1,config_Holiday_Calendar_US),WORKDAY($A831,-1,config_Holiday_Calendar_US)),IF(ISNUMBER(_xll.BDH(config!$G$4,O$1,$A831,$A831)),_xll.BDH(config!$G$4,O$1,$A831,$A831),_xll.BDH(config!$G$5,O$1,$A831,$A831))))</f>
        <v/>
      </c>
      <c r="P831" s="8" t="str">
        <f>IF($A831="","",IF(ISNUMBER(FIND("IMPVOL",P$1)),_xll.BDH(config!$G$4,P$1,WORKDAY($A831,-1,config_Holiday_Calendar_US),WORKDAY($A831,-1,config_Holiday_Calendar_US)),IF(ISNUMBER(_xll.BDH(config!$G$4,P$1,$A831,$A831)),_xll.BDH(config!$G$4,P$1,$A831,$A831),_xll.BDH(config!$G$5,P$1,$A831,$A831))))</f>
        <v/>
      </c>
      <c r="Q831" s="8" t="str">
        <f>IF($A831="","",IF(ISNUMBER(FIND("IMPVOL",Q$1)),_xll.BDH(config!$G$4,Q$1,WORKDAY($A831,-1,config_Holiday_Calendar_US),WORKDAY($A831,-1,config_Holiday_Calendar_US)),IF(ISNUMBER(_xll.BDH(config!$G$4,Q$1,$A831,$A831)),_xll.BDH(config!$G$4,Q$1,$A831,$A831),_xll.BDH(config!$G$5,Q$1,$A831,$A831))))</f>
        <v/>
      </c>
      <c r="R831" s="8" t="str">
        <f>IF($A831="","",IF(ISNUMBER(FIND("IMPVOL",R$1)),_xll.BDH(config!$G$4,R$1,WORKDAY($A831,-1,config_Holiday_Calendar_US),WORKDAY($A831,-1,config_Holiday_Calendar_US)),IF(ISNUMBER(_xll.BDH(config!$G$4,R$1,$A831,$A831)),_xll.BDH(config!$G$4,R$1,$A831,$A831),_xll.BDH(config!$G$5,R$1,$A831,$A831))))</f>
        <v/>
      </c>
      <c r="S831" s="8" t="str">
        <f>IF($A831="","",IF(ISNUMBER(FIND("IMPVOL",S$1)),_xll.BDH(config!$G$4,S$1,WORKDAY($A831,-1,config_Holiday_Calendar_US),WORKDAY($A831,-1,config_Holiday_Calendar_US)),IF(ISNUMBER(_xll.BDH(config!$G$4,S$1,$A831,$A831)),_xll.BDH(config!$G$4,S$1,$A831,$A831),_xll.BDH(config!$G$5,S$1,$A831,$A831))))</f>
        <v/>
      </c>
      <c r="T831" s="8" t="str">
        <f>IF($A831="","",IF(ISNUMBER(FIND("IMPVOL",T$1)),_xll.BDH(config!$G$4,T$1,WORKDAY($A831,-1,config_Holiday_Calendar_US),WORKDAY($A831,-1,config_Holiday_Calendar_US)),IF(ISNUMBER(_xll.BDH(config!$G$4,T$1,$A831,$A831)),_xll.BDH(config!$G$4,T$1,$A831,$A831),_xll.BDH(config!$G$5,T$1,$A831,$A831))))</f>
        <v/>
      </c>
      <c r="U831" s="8" t="str">
        <f>IF($A831="","",IF(ISNUMBER(FIND("IMPVOL",U$1)),_xll.BDH(config!$G$4,U$1,WORKDAY($A831,-1,config_Holiday_Calendar_US),WORKDAY($A831,-1,config_Holiday_Calendar_US)),IF(ISNUMBER(_xll.BDH(config!$G$4,U$1,$A831,$A831)),_xll.BDH(config!$G$4,U$1,$A831,$A831),_xll.BDH(config!$G$5,U$1,$A831,$A831))))</f>
        <v/>
      </c>
      <c r="V831" s="8" t="str">
        <f>IF($A831="","",IF(ISNUMBER(FIND("IMPVOL",V$1)),_xll.BDH(config!$G$4,V$1,WORKDAY($A831,-1,config_Holiday_Calendar_US),WORKDAY($A831,-1,config_Holiday_Calendar_US)),IF(ISNUMBER(_xll.BDH(config!$G$4,V$1,$A831,$A831)),_xll.BDH(config!$G$4,V$1,$A831,$A831),_xll.BDH(config!$G$5,V$1,$A831,$A831))))</f>
        <v/>
      </c>
      <c r="W831" s="8" t="str">
        <f>IF($A831="","",IF(ISNUMBER(FIND("IMPVOL",W$1)),_xll.BDH(config!$G$4,W$1,WORKDAY($A831,-1,config_Holiday_Calendar_US),WORKDAY($A831,-1,config_Holiday_Calendar_US)),IF(ISNUMBER(_xll.BDH(config!$G$4,W$1,$A831,$A831)),_xll.BDH(config!$G$4,W$1,$A831,$A831),_xll.BDH(config!$G$5,W$1,$A831,$A831))))</f>
        <v/>
      </c>
    </row>
    <row r="832" spans="1:23" x14ac:dyDescent="0.2">
      <c r="A832" s="9" t="str">
        <f>IF(A831="","",IF(WORKDAY(A831,-1,config_Holiday_Calendar_US)&lt;config!$I$10,"",WORKDAY(A831,-1,config_Holiday_Calendar_US)))</f>
        <v/>
      </c>
      <c r="B832" s="8" t="str">
        <f t="shared" si="12"/>
        <v/>
      </c>
      <c r="C832" s="8" t="str">
        <f>IF(A832="","",_xll.BDH(config!$H$4,C$1,$A832,$A832))</f>
        <v/>
      </c>
      <c r="D832" s="8" t="str">
        <f>IF($A832="","",_xll.BDH(config!$H$4,D$1,$A832,$A832))</f>
        <v/>
      </c>
      <c r="E832" s="8" t="str">
        <f>IF($A832="","",IF(ISNUMBER(FIND("IMPVOL",E$1)),_xll.BDH(config!$G$4,E$1,WORKDAY($A832,-1,config_Holiday_Calendar_US),WORKDAY($A832,-1,config_Holiday_Calendar_US)),IF(ISNUMBER(_xll.BDH(config!$G$4,E$1,$A832,$A832)),_xll.BDH(config!$G$4,E$1,$A832,$A832),_xll.BDH(config!$G$5,E$1,$A832,$A832))))</f>
        <v/>
      </c>
      <c r="F832" s="8" t="str">
        <f>IF($A832="","",IF(ISNUMBER(FIND("IMPVOL",F$1)),_xll.BDH(config!$G$4,F$1,WORKDAY($A832,-1,config_Holiday_Calendar_US),WORKDAY($A832,-1,config_Holiday_Calendar_US)),IF(ISNUMBER(_xll.BDH(config!$G$4,F$1,$A832,$A832)),_xll.BDH(config!$G$4,F$1,$A832,$A832),_xll.BDH(config!$G$5,F$1,$A832,$A832))))</f>
        <v/>
      </c>
      <c r="G832" s="8" t="str">
        <f>IF($A832="","",IF(ISNUMBER(FIND("IMPVOL",G$1)),_xll.BDH(config!$G$4,G$1,WORKDAY($A832,-1,config_Holiday_Calendar_US),WORKDAY($A832,-1,config_Holiday_Calendar_US)),IF(ISNUMBER(_xll.BDH(config!$G$4,G$1,$A832,$A832)),_xll.BDH(config!$G$4,G$1,$A832,$A832),_xll.BDH(config!$G$5,G$1,$A832,$A832))))</f>
        <v/>
      </c>
      <c r="H832" s="8" t="str">
        <f>IF($A832="","",IF(ISNUMBER(FIND("IMPVOL",H$1)),_xll.BDH(config!$G$4,H$1,WORKDAY($A832,-1,config_Holiday_Calendar_US),WORKDAY($A832,-1,config_Holiday_Calendar_US)),IF(ISNUMBER(_xll.BDH(config!$G$4,H$1,$A832,$A832)),_xll.BDH(config!$G$4,H$1,$A832,$A832),_xll.BDH(config!$G$5,H$1,$A832,$A832))))</f>
        <v/>
      </c>
      <c r="I832" s="8" t="str">
        <f>IF($A832="","",IF(ISNUMBER(FIND("IMPVOL",I$1)),_xll.BDH(config!$G$4,I$1,WORKDAY($A832,-1,config_Holiday_Calendar_US),WORKDAY($A832,-1,config_Holiday_Calendar_US)),IF(ISNUMBER(_xll.BDH(config!$G$4,I$1,$A832,$A832)),_xll.BDH(config!$G$4,I$1,$A832,$A832),_xll.BDH(config!$G$5,I$1,$A832,$A832))))</f>
        <v/>
      </c>
      <c r="J832" s="8" t="str">
        <f>IF($A832="","",IF(ISNUMBER(FIND("IMPVOL",J$1)),_xll.BDH(config!$G$4,J$1,WORKDAY($A832,-1,config_Holiday_Calendar_US),WORKDAY($A832,-1,config_Holiday_Calendar_US)),IF(ISNUMBER(_xll.BDH(config!$G$4,J$1,$A832,$A832)),_xll.BDH(config!$G$4,J$1,$A832,$A832),_xll.BDH(config!$G$5,J$1,$A832,$A832))))</f>
        <v/>
      </c>
      <c r="K832" s="8" t="str">
        <f>IF($A832="","",IF(ISNUMBER(FIND("IMPVOL",K$1)),_xll.BDH(config!$G$4,K$1,WORKDAY($A832,-1,config_Holiday_Calendar_US),WORKDAY($A832,-1,config_Holiday_Calendar_US)),IF(ISNUMBER(_xll.BDH(config!$G$4,K$1,$A832,$A832)),_xll.BDH(config!$G$4,K$1,$A832,$A832),_xll.BDH(config!$G$5,K$1,$A832,$A832))))</f>
        <v/>
      </c>
      <c r="L832" s="8" t="str">
        <f>IF($A832="","",IF(ISNUMBER(FIND("IMPVOL",L$1)),_xll.BDH(config!$G$4,L$1,WORKDAY($A832,-1,config_Holiday_Calendar_US),WORKDAY($A832,-1,config_Holiday_Calendar_US)),IF(ISNUMBER(_xll.BDH(config!$G$4,L$1,$A832,$A832)),_xll.BDH(config!$G$4,L$1,$A832,$A832),_xll.BDH(config!$G$5,L$1,$A832,$A832))))</f>
        <v/>
      </c>
      <c r="M832" s="8" t="str">
        <f>IF($A832="","",IF(ISNUMBER(FIND("IMPVOL",M$1)),_xll.BDH(config!$G$4,M$1,WORKDAY($A832,-1,config_Holiday_Calendar_US),WORKDAY($A832,-1,config_Holiday_Calendar_US)),IF(ISNUMBER(_xll.BDH(config!$G$4,M$1,$A832,$A832)),_xll.BDH(config!$G$4,M$1,$A832,$A832),_xll.BDH(config!$G$5,M$1,$A832,$A832))))</f>
        <v/>
      </c>
      <c r="N832" s="8" t="str">
        <f>IF($A832="","",IF(ISNUMBER(FIND("IMPVOL",N$1)),_xll.BDH(config!$G$4,N$1,WORKDAY($A832,-1,config_Holiday_Calendar_US),WORKDAY($A832,-1,config_Holiday_Calendar_US)),IF(ISNUMBER(_xll.BDH(config!$G$4,N$1,$A832,$A832)),_xll.BDH(config!$G$4,N$1,$A832,$A832),_xll.BDH(config!$G$5,N$1,$A832,$A832))))</f>
        <v/>
      </c>
      <c r="O832" s="8" t="str">
        <f>IF($A832="","",IF(ISNUMBER(FIND("IMPVOL",O$1)),_xll.BDH(config!$G$4,O$1,WORKDAY($A832,-1,config_Holiday_Calendar_US),WORKDAY($A832,-1,config_Holiday_Calendar_US)),IF(ISNUMBER(_xll.BDH(config!$G$4,O$1,$A832,$A832)),_xll.BDH(config!$G$4,O$1,$A832,$A832),_xll.BDH(config!$G$5,O$1,$A832,$A832))))</f>
        <v/>
      </c>
      <c r="P832" s="8" t="str">
        <f>IF($A832="","",IF(ISNUMBER(FIND("IMPVOL",P$1)),_xll.BDH(config!$G$4,P$1,WORKDAY($A832,-1,config_Holiday_Calendar_US),WORKDAY($A832,-1,config_Holiday_Calendar_US)),IF(ISNUMBER(_xll.BDH(config!$G$4,P$1,$A832,$A832)),_xll.BDH(config!$G$4,P$1,$A832,$A832),_xll.BDH(config!$G$5,P$1,$A832,$A832))))</f>
        <v/>
      </c>
      <c r="Q832" s="8" t="str">
        <f>IF($A832="","",IF(ISNUMBER(FIND("IMPVOL",Q$1)),_xll.BDH(config!$G$4,Q$1,WORKDAY($A832,-1,config_Holiday_Calendar_US),WORKDAY($A832,-1,config_Holiday_Calendar_US)),IF(ISNUMBER(_xll.BDH(config!$G$4,Q$1,$A832,$A832)),_xll.BDH(config!$G$4,Q$1,$A832,$A832),_xll.BDH(config!$G$5,Q$1,$A832,$A832))))</f>
        <v/>
      </c>
      <c r="R832" s="8" t="str">
        <f>IF($A832="","",IF(ISNUMBER(FIND("IMPVOL",R$1)),_xll.BDH(config!$G$4,R$1,WORKDAY($A832,-1,config_Holiday_Calendar_US),WORKDAY($A832,-1,config_Holiday_Calendar_US)),IF(ISNUMBER(_xll.BDH(config!$G$4,R$1,$A832,$A832)),_xll.BDH(config!$G$4,R$1,$A832,$A832),_xll.BDH(config!$G$5,R$1,$A832,$A832))))</f>
        <v/>
      </c>
      <c r="S832" s="8" t="str">
        <f>IF($A832="","",IF(ISNUMBER(FIND("IMPVOL",S$1)),_xll.BDH(config!$G$4,S$1,WORKDAY($A832,-1,config_Holiday_Calendar_US),WORKDAY($A832,-1,config_Holiday_Calendar_US)),IF(ISNUMBER(_xll.BDH(config!$G$4,S$1,$A832,$A832)),_xll.BDH(config!$G$4,S$1,$A832,$A832),_xll.BDH(config!$G$5,S$1,$A832,$A832))))</f>
        <v/>
      </c>
      <c r="T832" s="8" t="str">
        <f>IF($A832="","",IF(ISNUMBER(FIND("IMPVOL",T$1)),_xll.BDH(config!$G$4,T$1,WORKDAY($A832,-1,config_Holiday_Calendar_US),WORKDAY($A832,-1,config_Holiday_Calendar_US)),IF(ISNUMBER(_xll.BDH(config!$G$4,T$1,$A832,$A832)),_xll.BDH(config!$G$4,T$1,$A832,$A832),_xll.BDH(config!$G$5,T$1,$A832,$A832))))</f>
        <v/>
      </c>
      <c r="U832" s="8" t="str">
        <f>IF($A832="","",IF(ISNUMBER(FIND("IMPVOL",U$1)),_xll.BDH(config!$G$4,U$1,WORKDAY($A832,-1,config_Holiday_Calendar_US),WORKDAY($A832,-1,config_Holiday_Calendar_US)),IF(ISNUMBER(_xll.BDH(config!$G$4,U$1,$A832,$A832)),_xll.BDH(config!$G$4,U$1,$A832,$A832),_xll.BDH(config!$G$5,U$1,$A832,$A832))))</f>
        <v/>
      </c>
      <c r="V832" s="8" t="str">
        <f>IF($A832="","",IF(ISNUMBER(FIND("IMPVOL",V$1)),_xll.BDH(config!$G$4,V$1,WORKDAY($A832,-1,config_Holiday_Calendar_US),WORKDAY($A832,-1,config_Holiday_Calendar_US)),IF(ISNUMBER(_xll.BDH(config!$G$4,V$1,$A832,$A832)),_xll.BDH(config!$G$4,V$1,$A832,$A832),_xll.BDH(config!$G$5,V$1,$A832,$A832))))</f>
        <v/>
      </c>
      <c r="W832" s="8" t="str">
        <f>IF($A832="","",IF(ISNUMBER(FIND("IMPVOL",W$1)),_xll.BDH(config!$G$4,W$1,WORKDAY($A832,-1,config_Holiday_Calendar_US),WORKDAY($A832,-1,config_Holiday_Calendar_US)),IF(ISNUMBER(_xll.BDH(config!$G$4,W$1,$A832,$A832)),_xll.BDH(config!$G$4,W$1,$A832,$A832),_xll.BDH(config!$G$5,W$1,$A832,$A832))))</f>
        <v/>
      </c>
    </row>
    <row r="833" spans="1:23" x14ac:dyDescent="0.2">
      <c r="A833" s="9" t="str">
        <f>IF(A832="","",IF(WORKDAY(A832,-1,config_Holiday_Calendar_US)&lt;config!$I$10,"",WORKDAY(A832,-1,config_Holiday_Calendar_US)))</f>
        <v/>
      </c>
      <c r="B833" s="8" t="str">
        <f t="shared" si="12"/>
        <v/>
      </c>
      <c r="C833" s="8" t="str">
        <f>IF(A833="","",_xll.BDH(config!$H$4,C$1,$A833,$A833))</f>
        <v/>
      </c>
      <c r="D833" s="8" t="str">
        <f>IF($A833="","",_xll.BDH(config!$H$4,D$1,$A833,$A833))</f>
        <v/>
      </c>
      <c r="E833" s="8" t="str">
        <f>IF($A833="","",IF(ISNUMBER(FIND("IMPVOL",E$1)),_xll.BDH(config!$G$4,E$1,WORKDAY($A833,-1,config_Holiday_Calendar_US),WORKDAY($A833,-1,config_Holiday_Calendar_US)),IF(ISNUMBER(_xll.BDH(config!$G$4,E$1,$A833,$A833)),_xll.BDH(config!$G$4,E$1,$A833,$A833),_xll.BDH(config!$G$5,E$1,$A833,$A833))))</f>
        <v/>
      </c>
      <c r="F833" s="8" t="str">
        <f>IF($A833="","",IF(ISNUMBER(FIND("IMPVOL",F$1)),_xll.BDH(config!$G$4,F$1,WORKDAY($A833,-1,config_Holiday_Calendar_US),WORKDAY($A833,-1,config_Holiday_Calendar_US)),IF(ISNUMBER(_xll.BDH(config!$G$4,F$1,$A833,$A833)),_xll.BDH(config!$G$4,F$1,$A833,$A833),_xll.BDH(config!$G$5,F$1,$A833,$A833))))</f>
        <v/>
      </c>
      <c r="G833" s="8" t="str">
        <f>IF($A833="","",IF(ISNUMBER(FIND("IMPVOL",G$1)),_xll.BDH(config!$G$4,G$1,WORKDAY($A833,-1,config_Holiday_Calendar_US),WORKDAY($A833,-1,config_Holiday_Calendar_US)),IF(ISNUMBER(_xll.BDH(config!$G$4,G$1,$A833,$A833)),_xll.BDH(config!$G$4,G$1,$A833,$A833),_xll.BDH(config!$G$5,G$1,$A833,$A833))))</f>
        <v/>
      </c>
      <c r="H833" s="8" t="str">
        <f>IF($A833="","",IF(ISNUMBER(FIND("IMPVOL",H$1)),_xll.BDH(config!$G$4,H$1,WORKDAY($A833,-1,config_Holiday_Calendar_US),WORKDAY($A833,-1,config_Holiday_Calendar_US)),IF(ISNUMBER(_xll.BDH(config!$G$4,H$1,$A833,$A833)),_xll.BDH(config!$G$4,H$1,$A833,$A833),_xll.BDH(config!$G$5,H$1,$A833,$A833))))</f>
        <v/>
      </c>
      <c r="I833" s="8" t="str">
        <f>IF($A833="","",IF(ISNUMBER(FIND("IMPVOL",I$1)),_xll.BDH(config!$G$4,I$1,WORKDAY($A833,-1,config_Holiday_Calendar_US),WORKDAY($A833,-1,config_Holiday_Calendar_US)),IF(ISNUMBER(_xll.BDH(config!$G$4,I$1,$A833,$A833)),_xll.BDH(config!$G$4,I$1,$A833,$A833),_xll.BDH(config!$G$5,I$1,$A833,$A833))))</f>
        <v/>
      </c>
      <c r="J833" s="8" t="str">
        <f>IF($A833="","",IF(ISNUMBER(FIND("IMPVOL",J$1)),_xll.BDH(config!$G$4,J$1,WORKDAY($A833,-1,config_Holiday_Calendar_US),WORKDAY($A833,-1,config_Holiday_Calendar_US)),IF(ISNUMBER(_xll.BDH(config!$G$4,J$1,$A833,$A833)),_xll.BDH(config!$G$4,J$1,$A833,$A833),_xll.BDH(config!$G$5,J$1,$A833,$A833))))</f>
        <v/>
      </c>
      <c r="K833" s="8" t="str">
        <f>IF($A833="","",IF(ISNUMBER(FIND("IMPVOL",K$1)),_xll.BDH(config!$G$4,K$1,WORKDAY($A833,-1,config_Holiday_Calendar_US),WORKDAY($A833,-1,config_Holiday_Calendar_US)),IF(ISNUMBER(_xll.BDH(config!$G$4,K$1,$A833,$A833)),_xll.BDH(config!$G$4,K$1,$A833,$A833),_xll.BDH(config!$G$5,K$1,$A833,$A833))))</f>
        <v/>
      </c>
      <c r="L833" s="8" t="str">
        <f>IF($A833="","",IF(ISNUMBER(FIND("IMPVOL",L$1)),_xll.BDH(config!$G$4,L$1,WORKDAY($A833,-1,config_Holiday_Calendar_US),WORKDAY($A833,-1,config_Holiday_Calendar_US)),IF(ISNUMBER(_xll.BDH(config!$G$4,L$1,$A833,$A833)),_xll.BDH(config!$G$4,L$1,$A833,$A833),_xll.BDH(config!$G$5,L$1,$A833,$A833))))</f>
        <v/>
      </c>
      <c r="M833" s="8" t="str">
        <f>IF($A833="","",IF(ISNUMBER(FIND("IMPVOL",M$1)),_xll.BDH(config!$G$4,M$1,WORKDAY($A833,-1,config_Holiday_Calendar_US),WORKDAY($A833,-1,config_Holiday_Calendar_US)),IF(ISNUMBER(_xll.BDH(config!$G$4,M$1,$A833,$A833)),_xll.BDH(config!$G$4,M$1,$A833,$A833),_xll.BDH(config!$G$5,M$1,$A833,$A833))))</f>
        <v/>
      </c>
      <c r="N833" s="8" t="str">
        <f>IF($A833="","",IF(ISNUMBER(FIND("IMPVOL",N$1)),_xll.BDH(config!$G$4,N$1,WORKDAY($A833,-1,config_Holiday_Calendar_US),WORKDAY($A833,-1,config_Holiday_Calendar_US)),IF(ISNUMBER(_xll.BDH(config!$G$4,N$1,$A833,$A833)),_xll.BDH(config!$G$4,N$1,$A833,$A833),_xll.BDH(config!$G$5,N$1,$A833,$A833))))</f>
        <v/>
      </c>
      <c r="O833" s="8" t="str">
        <f>IF($A833="","",IF(ISNUMBER(FIND("IMPVOL",O$1)),_xll.BDH(config!$G$4,O$1,WORKDAY($A833,-1,config_Holiday_Calendar_US),WORKDAY($A833,-1,config_Holiday_Calendar_US)),IF(ISNUMBER(_xll.BDH(config!$G$4,O$1,$A833,$A833)),_xll.BDH(config!$G$4,O$1,$A833,$A833),_xll.BDH(config!$G$5,O$1,$A833,$A833))))</f>
        <v/>
      </c>
      <c r="P833" s="8" t="str">
        <f>IF($A833="","",IF(ISNUMBER(FIND("IMPVOL",P$1)),_xll.BDH(config!$G$4,P$1,WORKDAY($A833,-1,config_Holiday_Calendar_US),WORKDAY($A833,-1,config_Holiday_Calendar_US)),IF(ISNUMBER(_xll.BDH(config!$G$4,P$1,$A833,$A833)),_xll.BDH(config!$G$4,P$1,$A833,$A833),_xll.BDH(config!$G$5,P$1,$A833,$A833))))</f>
        <v/>
      </c>
      <c r="Q833" s="8" t="str">
        <f>IF($A833="","",IF(ISNUMBER(FIND("IMPVOL",Q$1)),_xll.BDH(config!$G$4,Q$1,WORKDAY($A833,-1,config_Holiday_Calendar_US),WORKDAY($A833,-1,config_Holiday_Calendar_US)),IF(ISNUMBER(_xll.BDH(config!$G$4,Q$1,$A833,$A833)),_xll.BDH(config!$G$4,Q$1,$A833,$A833),_xll.BDH(config!$G$5,Q$1,$A833,$A833))))</f>
        <v/>
      </c>
      <c r="R833" s="8" t="str">
        <f>IF($A833="","",IF(ISNUMBER(FIND("IMPVOL",R$1)),_xll.BDH(config!$G$4,R$1,WORKDAY($A833,-1,config_Holiday_Calendar_US),WORKDAY($A833,-1,config_Holiday_Calendar_US)),IF(ISNUMBER(_xll.BDH(config!$G$4,R$1,$A833,$A833)),_xll.BDH(config!$G$4,R$1,$A833,$A833),_xll.BDH(config!$G$5,R$1,$A833,$A833))))</f>
        <v/>
      </c>
      <c r="S833" s="8" t="str">
        <f>IF($A833="","",IF(ISNUMBER(FIND("IMPVOL",S$1)),_xll.BDH(config!$G$4,S$1,WORKDAY($A833,-1,config_Holiday_Calendar_US),WORKDAY($A833,-1,config_Holiday_Calendar_US)),IF(ISNUMBER(_xll.BDH(config!$G$4,S$1,$A833,$A833)),_xll.BDH(config!$G$4,S$1,$A833,$A833),_xll.BDH(config!$G$5,S$1,$A833,$A833))))</f>
        <v/>
      </c>
      <c r="T833" s="8" t="str">
        <f>IF($A833="","",IF(ISNUMBER(FIND("IMPVOL",T$1)),_xll.BDH(config!$G$4,T$1,WORKDAY($A833,-1,config_Holiday_Calendar_US),WORKDAY($A833,-1,config_Holiday_Calendar_US)),IF(ISNUMBER(_xll.BDH(config!$G$4,T$1,$A833,$A833)),_xll.BDH(config!$G$4,T$1,$A833,$A833),_xll.BDH(config!$G$5,T$1,$A833,$A833))))</f>
        <v/>
      </c>
      <c r="U833" s="8" t="str">
        <f>IF($A833="","",IF(ISNUMBER(FIND("IMPVOL",U$1)),_xll.BDH(config!$G$4,U$1,WORKDAY($A833,-1,config_Holiday_Calendar_US),WORKDAY($A833,-1,config_Holiday_Calendar_US)),IF(ISNUMBER(_xll.BDH(config!$G$4,U$1,$A833,$A833)),_xll.BDH(config!$G$4,U$1,$A833,$A833),_xll.BDH(config!$G$5,U$1,$A833,$A833))))</f>
        <v/>
      </c>
      <c r="V833" s="8" t="str">
        <f>IF($A833="","",IF(ISNUMBER(FIND("IMPVOL",V$1)),_xll.BDH(config!$G$4,V$1,WORKDAY($A833,-1,config_Holiday_Calendar_US),WORKDAY($A833,-1,config_Holiday_Calendar_US)),IF(ISNUMBER(_xll.BDH(config!$G$4,V$1,$A833,$A833)),_xll.BDH(config!$G$4,V$1,$A833,$A833),_xll.BDH(config!$G$5,V$1,$A833,$A833))))</f>
        <v/>
      </c>
      <c r="W833" s="8" t="str">
        <f>IF($A833="","",IF(ISNUMBER(FIND("IMPVOL",W$1)),_xll.BDH(config!$G$4,W$1,WORKDAY($A833,-1,config_Holiday_Calendar_US),WORKDAY($A833,-1,config_Holiday_Calendar_US)),IF(ISNUMBER(_xll.BDH(config!$G$4,W$1,$A833,$A833)),_xll.BDH(config!$G$4,W$1,$A833,$A833),_xll.BDH(config!$G$5,W$1,$A833,$A833))))</f>
        <v/>
      </c>
    </row>
    <row r="834" spans="1:23" x14ac:dyDescent="0.2">
      <c r="A834" s="9" t="str">
        <f>IF(A833="","",IF(WORKDAY(A833,-1,config_Holiday_Calendar_US)&lt;config!$I$10,"",WORKDAY(A833,-1,config_Holiday_Calendar_US)))</f>
        <v/>
      </c>
      <c r="B834" s="8" t="str">
        <f t="shared" si="12"/>
        <v/>
      </c>
      <c r="C834" s="8" t="str">
        <f>IF(A834="","",_xll.BDH(config!$H$4,C$1,$A834,$A834))</f>
        <v/>
      </c>
      <c r="D834" s="8" t="str">
        <f>IF($A834="","",_xll.BDH(config!$H$4,D$1,$A834,$A834))</f>
        <v/>
      </c>
      <c r="E834" s="8" t="str">
        <f>IF($A834="","",IF(ISNUMBER(FIND("IMPVOL",E$1)),_xll.BDH(config!$G$4,E$1,WORKDAY($A834,-1,config_Holiday_Calendar_US),WORKDAY($A834,-1,config_Holiday_Calendar_US)),IF(ISNUMBER(_xll.BDH(config!$G$4,E$1,$A834,$A834)),_xll.BDH(config!$G$4,E$1,$A834,$A834),_xll.BDH(config!$G$5,E$1,$A834,$A834))))</f>
        <v/>
      </c>
      <c r="F834" s="8" t="str">
        <f>IF($A834="","",IF(ISNUMBER(FIND("IMPVOL",F$1)),_xll.BDH(config!$G$4,F$1,WORKDAY($A834,-1,config_Holiday_Calendar_US),WORKDAY($A834,-1,config_Holiday_Calendar_US)),IF(ISNUMBER(_xll.BDH(config!$G$4,F$1,$A834,$A834)),_xll.BDH(config!$G$4,F$1,$A834,$A834),_xll.BDH(config!$G$5,F$1,$A834,$A834))))</f>
        <v/>
      </c>
      <c r="G834" s="8" t="str">
        <f>IF($A834="","",IF(ISNUMBER(FIND("IMPVOL",G$1)),_xll.BDH(config!$G$4,G$1,WORKDAY($A834,-1,config_Holiday_Calendar_US),WORKDAY($A834,-1,config_Holiday_Calendar_US)),IF(ISNUMBER(_xll.BDH(config!$G$4,G$1,$A834,$A834)),_xll.BDH(config!$G$4,G$1,$A834,$A834),_xll.BDH(config!$G$5,G$1,$A834,$A834))))</f>
        <v/>
      </c>
      <c r="H834" s="8" t="str">
        <f>IF($A834="","",IF(ISNUMBER(FIND("IMPVOL",H$1)),_xll.BDH(config!$G$4,H$1,WORKDAY($A834,-1,config_Holiday_Calendar_US),WORKDAY($A834,-1,config_Holiday_Calendar_US)),IF(ISNUMBER(_xll.BDH(config!$G$4,H$1,$A834,$A834)),_xll.BDH(config!$G$4,H$1,$A834,$A834),_xll.BDH(config!$G$5,H$1,$A834,$A834))))</f>
        <v/>
      </c>
      <c r="I834" s="8" t="str">
        <f>IF($A834="","",IF(ISNUMBER(FIND("IMPVOL",I$1)),_xll.BDH(config!$G$4,I$1,WORKDAY($A834,-1,config_Holiday_Calendar_US),WORKDAY($A834,-1,config_Holiday_Calendar_US)),IF(ISNUMBER(_xll.BDH(config!$G$4,I$1,$A834,$A834)),_xll.BDH(config!$G$4,I$1,$A834,$A834),_xll.BDH(config!$G$5,I$1,$A834,$A834))))</f>
        <v/>
      </c>
      <c r="J834" s="8" t="str">
        <f>IF($A834="","",IF(ISNUMBER(FIND("IMPVOL",J$1)),_xll.BDH(config!$G$4,J$1,WORKDAY($A834,-1,config_Holiday_Calendar_US),WORKDAY($A834,-1,config_Holiday_Calendar_US)),IF(ISNUMBER(_xll.BDH(config!$G$4,J$1,$A834,$A834)),_xll.BDH(config!$G$4,J$1,$A834,$A834),_xll.BDH(config!$G$5,J$1,$A834,$A834))))</f>
        <v/>
      </c>
      <c r="K834" s="8" t="str">
        <f>IF($A834="","",IF(ISNUMBER(FIND("IMPVOL",K$1)),_xll.BDH(config!$G$4,K$1,WORKDAY($A834,-1,config_Holiday_Calendar_US),WORKDAY($A834,-1,config_Holiday_Calendar_US)),IF(ISNUMBER(_xll.BDH(config!$G$4,K$1,$A834,$A834)),_xll.BDH(config!$G$4,K$1,$A834,$A834),_xll.BDH(config!$G$5,K$1,$A834,$A834))))</f>
        <v/>
      </c>
      <c r="L834" s="8" t="str">
        <f>IF($A834="","",IF(ISNUMBER(FIND("IMPVOL",L$1)),_xll.BDH(config!$G$4,L$1,WORKDAY($A834,-1,config_Holiday_Calendar_US),WORKDAY($A834,-1,config_Holiday_Calendar_US)),IF(ISNUMBER(_xll.BDH(config!$G$4,L$1,$A834,$A834)),_xll.BDH(config!$G$4,L$1,$A834,$A834),_xll.BDH(config!$G$5,L$1,$A834,$A834))))</f>
        <v/>
      </c>
      <c r="M834" s="8" t="str">
        <f>IF($A834="","",IF(ISNUMBER(FIND("IMPVOL",M$1)),_xll.BDH(config!$G$4,M$1,WORKDAY($A834,-1,config_Holiday_Calendar_US),WORKDAY($A834,-1,config_Holiday_Calendar_US)),IF(ISNUMBER(_xll.BDH(config!$G$4,M$1,$A834,$A834)),_xll.BDH(config!$G$4,M$1,$A834,$A834),_xll.BDH(config!$G$5,M$1,$A834,$A834))))</f>
        <v/>
      </c>
      <c r="N834" s="8" t="str">
        <f>IF($A834="","",IF(ISNUMBER(FIND("IMPVOL",N$1)),_xll.BDH(config!$G$4,N$1,WORKDAY($A834,-1,config_Holiday_Calendar_US),WORKDAY($A834,-1,config_Holiday_Calendar_US)),IF(ISNUMBER(_xll.BDH(config!$G$4,N$1,$A834,$A834)),_xll.BDH(config!$G$4,N$1,$A834,$A834),_xll.BDH(config!$G$5,N$1,$A834,$A834))))</f>
        <v/>
      </c>
      <c r="O834" s="8" t="str">
        <f>IF($A834="","",IF(ISNUMBER(FIND("IMPVOL",O$1)),_xll.BDH(config!$G$4,O$1,WORKDAY($A834,-1,config_Holiday_Calendar_US),WORKDAY($A834,-1,config_Holiday_Calendar_US)),IF(ISNUMBER(_xll.BDH(config!$G$4,O$1,$A834,$A834)),_xll.BDH(config!$G$4,O$1,$A834,$A834),_xll.BDH(config!$G$5,O$1,$A834,$A834))))</f>
        <v/>
      </c>
      <c r="P834" s="8" t="str">
        <f>IF($A834="","",IF(ISNUMBER(FIND("IMPVOL",P$1)),_xll.BDH(config!$G$4,P$1,WORKDAY($A834,-1,config_Holiday_Calendar_US),WORKDAY($A834,-1,config_Holiday_Calendar_US)),IF(ISNUMBER(_xll.BDH(config!$G$4,P$1,$A834,$A834)),_xll.BDH(config!$G$4,P$1,$A834,$A834),_xll.BDH(config!$G$5,P$1,$A834,$A834))))</f>
        <v/>
      </c>
      <c r="Q834" s="8" t="str">
        <f>IF($A834="","",IF(ISNUMBER(FIND("IMPVOL",Q$1)),_xll.BDH(config!$G$4,Q$1,WORKDAY($A834,-1,config_Holiday_Calendar_US),WORKDAY($A834,-1,config_Holiday_Calendar_US)),IF(ISNUMBER(_xll.BDH(config!$G$4,Q$1,$A834,$A834)),_xll.BDH(config!$G$4,Q$1,$A834,$A834),_xll.BDH(config!$G$5,Q$1,$A834,$A834))))</f>
        <v/>
      </c>
      <c r="R834" s="8" t="str">
        <f>IF($A834="","",IF(ISNUMBER(FIND("IMPVOL",R$1)),_xll.BDH(config!$G$4,R$1,WORKDAY($A834,-1,config_Holiday_Calendar_US),WORKDAY($A834,-1,config_Holiday_Calendar_US)),IF(ISNUMBER(_xll.BDH(config!$G$4,R$1,$A834,$A834)),_xll.BDH(config!$G$4,R$1,$A834,$A834),_xll.BDH(config!$G$5,R$1,$A834,$A834))))</f>
        <v/>
      </c>
      <c r="S834" s="8" t="str">
        <f>IF($A834="","",IF(ISNUMBER(FIND("IMPVOL",S$1)),_xll.BDH(config!$G$4,S$1,WORKDAY($A834,-1,config_Holiday_Calendar_US),WORKDAY($A834,-1,config_Holiday_Calendar_US)),IF(ISNUMBER(_xll.BDH(config!$G$4,S$1,$A834,$A834)),_xll.BDH(config!$G$4,S$1,$A834,$A834),_xll.BDH(config!$G$5,S$1,$A834,$A834))))</f>
        <v/>
      </c>
      <c r="T834" s="8" t="str">
        <f>IF($A834="","",IF(ISNUMBER(FIND("IMPVOL",T$1)),_xll.BDH(config!$G$4,T$1,WORKDAY($A834,-1,config_Holiday_Calendar_US),WORKDAY($A834,-1,config_Holiday_Calendar_US)),IF(ISNUMBER(_xll.BDH(config!$G$4,T$1,$A834,$A834)),_xll.BDH(config!$G$4,T$1,$A834,$A834),_xll.BDH(config!$G$5,T$1,$A834,$A834))))</f>
        <v/>
      </c>
      <c r="U834" s="8" t="str">
        <f>IF($A834="","",IF(ISNUMBER(FIND("IMPVOL",U$1)),_xll.BDH(config!$G$4,U$1,WORKDAY($A834,-1,config_Holiday_Calendar_US),WORKDAY($A834,-1,config_Holiday_Calendar_US)),IF(ISNUMBER(_xll.BDH(config!$G$4,U$1,$A834,$A834)),_xll.BDH(config!$G$4,U$1,$A834,$A834),_xll.BDH(config!$G$5,U$1,$A834,$A834))))</f>
        <v/>
      </c>
      <c r="V834" s="8" t="str">
        <f>IF($A834="","",IF(ISNUMBER(FIND("IMPVOL",V$1)),_xll.BDH(config!$G$4,V$1,WORKDAY($A834,-1,config_Holiday_Calendar_US),WORKDAY($A834,-1,config_Holiday_Calendar_US)),IF(ISNUMBER(_xll.BDH(config!$G$4,V$1,$A834,$A834)),_xll.BDH(config!$G$4,V$1,$A834,$A834),_xll.BDH(config!$G$5,V$1,$A834,$A834))))</f>
        <v/>
      </c>
      <c r="W834" s="8" t="str">
        <f>IF($A834="","",IF(ISNUMBER(FIND("IMPVOL",W$1)),_xll.BDH(config!$G$4,W$1,WORKDAY($A834,-1,config_Holiday_Calendar_US),WORKDAY($A834,-1,config_Holiday_Calendar_US)),IF(ISNUMBER(_xll.BDH(config!$G$4,W$1,$A834,$A834)),_xll.BDH(config!$G$4,W$1,$A834,$A834),_xll.BDH(config!$G$5,W$1,$A834,$A834))))</f>
        <v/>
      </c>
    </row>
    <row r="835" spans="1:23" x14ac:dyDescent="0.2">
      <c r="A835" s="9" t="str">
        <f>IF(A834="","",IF(WORKDAY(A834,-1,config_Holiday_Calendar_US)&lt;config!$I$10,"",WORKDAY(A834,-1,config_Holiday_Calendar_US)))</f>
        <v/>
      </c>
      <c r="B835" s="8" t="str">
        <f t="shared" ref="B835:B898" si="13">IF(A835="","",IF(SIGN(C835)=1,1,0))</f>
        <v/>
      </c>
      <c r="C835" s="8" t="str">
        <f>IF(A835="","",_xll.BDH(config!$H$4,C$1,$A835,$A835))</f>
        <v/>
      </c>
      <c r="D835" s="8" t="str">
        <f>IF($A835="","",_xll.BDH(config!$H$4,D$1,$A835,$A835))</f>
        <v/>
      </c>
      <c r="E835" s="8" t="str">
        <f>IF($A835="","",IF(ISNUMBER(FIND("IMPVOL",E$1)),_xll.BDH(config!$G$4,E$1,WORKDAY($A835,-1,config_Holiday_Calendar_US),WORKDAY($A835,-1,config_Holiday_Calendar_US)),IF(ISNUMBER(_xll.BDH(config!$G$4,E$1,$A835,$A835)),_xll.BDH(config!$G$4,E$1,$A835,$A835),_xll.BDH(config!$G$5,E$1,$A835,$A835))))</f>
        <v/>
      </c>
      <c r="F835" s="8" t="str">
        <f>IF($A835="","",IF(ISNUMBER(FIND("IMPVOL",F$1)),_xll.BDH(config!$G$4,F$1,WORKDAY($A835,-1,config_Holiday_Calendar_US),WORKDAY($A835,-1,config_Holiday_Calendar_US)),IF(ISNUMBER(_xll.BDH(config!$G$4,F$1,$A835,$A835)),_xll.BDH(config!$G$4,F$1,$A835,$A835),_xll.BDH(config!$G$5,F$1,$A835,$A835))))</f>
        <v/>
      </c>
      <c r="G835" s="8" t="str">
        <f>IF($A835="","",IF(ISNUMBER(FIND("IMPVOL",G$1)),_xll.BDH(config!$G$4,G$1,WORKDAY($A835,-1,config_Holiday_Calendar_US),WORKDAY($A835,-1,config_Holiday_Calendar_US)),IF(ISNUMBER(_xll.BDH(config!$G$4,G$1,$A835,$A835)),_xll.BDH(config!$G$4,G$1,$A835,$A835),_xll.BDH(config!$G$5,G$1,$A835,$A835))))</f>
        <v/>
      </c>
      <c r="H835" s="8" t="str">
        <f>IF($A835="","",IF(ISNUMBER(FIND("IMPVOL",H$1)),_xll.BDH(config!$G$4,H$1,WORKDAY($A835,-1,config_Holiday_Calendar_US),WORKDAY($A835,-1,config_Holiday_Calendar_US)),IF(ISNUMBER(_xll.BDH(config!$G$4,H$1,$A835,$A835)),_xll.BDH(config!$G$4,H$1,$A835,$A835),_xll.BDH(config!$G$5,H$1,$A835,$A835))))</f>
        <v/>
      </c>
      <c r="I835" s="8" t="str">
        <f>IF($A835="","",IF(ISNUMBER(FIND("IMPVOL",I$1)),_xll.BDH(config!$G$4,I$1,WORKDAY($A835,-1,config_Holiday_Calendar_US),WORKDAY($A835,-1,config_Holiday_Calendar_US)),IF(ISNUMBER(_xll.BDH(config!$G$4,I$1,$A835,$A835)),_xll.BDH(config!$G$4,I$1,$A835,$A835),_xll.BDH(config!$G$5,I$1,$A835,$A835))))</f>
        <v/>
      </c>
      <c r="J835" s="8" t="str">
        <f>IF($A835="","",IF(ISNUMBER(FIND("IMPVOL",J$1)),_xll.BDH(config!$G$4,J$1,WORKDAY($A835,-1,config_Holiday_Calendar_US),WORKDAY($A835,-1,config_Holiday_Calendar_US)),IF(ISNUMBER(_xll.BDH(config!$G$4,J$1,$A835,$A835)),_xll.BDH(config!$G$4,J$1,$A835,$A835),_xll.BDH(config!$G$5,J$1,$A835,$A835))))</f>
        <v/>
      </c>
      <c r="K835" s="8" t="str">
        <f>IF($A835="","",IF(ISNUMBER(FIND("IMPVOL",K$1)),_xll.BDH(config!$G$4,K$1,WORKDAY($A835,-1,config_Holiday_Calendar_US),WORKDAY($A835,-1,config_Holiday_Calendar_US)),IF(ISNUMBER(_xll.BDH(config!$G$4,K$1,$A835,$A835)),_xll.BDH(config!$G$4,K$1,$A835,$A835),_xll.BDH(config!$G$5,K$1,$A835,$A835))))</f>
        <v/>
      </c>
      <c r="L835" s="8" t="str">
        <f>IF($A835="","",IF(ISNUMBER(FIND("IMPVOL",L$1)),_xll.BDH(config!$G$4,L$1,WORKDAY($A835,-1,config_Holiday_Calendar_US),WORKDAY($A835,-1,config_Holiday_Calendar_US)),IF(ISNUMBER(_xll.BDH(config!$G$4,L$1,$A835,$A835)),_xll.BDH(config!$G$4,L$1,$A835,$A835),_xll.BDH(config!$G$5,L$1,$A835,$A835))))</f>
        <v/>
      </c>
      <c r="M835" s="8" t="str">
        <f>IF($A835="","",IF(ISNUMBER(FIND("IMPVOL",M$1)),_xll.BDH(config!$G$4,M$1,WORKDAY($A835,-1,config_Holiday_Calendar_US),WORKDAY($A835,-1,config_Holiday_Calendar_US)),IF(ISNUMBER(_xll.BDH(config!$G$4,M$1,$A835,$A835)),_xll.BDH(config!$G$4,M$1,$A835,$A835),_xll.BDH(config!$G$5,M$1,$A835,$A835))))</f>
        <v/>
      </c>
      <c r="N835" s="8" t="str">
        <f>IF($A835="","",IF(ISNUMBER(FIND("IMPVOL",N$1)),_xll.BDH(config!$G$4,N$1,WORKDAY($A835,-1,config_Holiday_Calendar_US),WORKDAY($A835,-1,config_Holiday_Calendar_US)),IF(ISNUMBER(_xll.BDH(config!$G$4,N$1,$A835,$A835)),_xll.BDH(config!$G$4,N$1,$A835,$A835),_xll.BDH(config!$G$5,N$1,$A835,$A835))))</f>
        <v/>
      </c>
      <c r="O835" s="8" t="str">
        <f>IF($A835="","",IF(ISNUMBER(FIND("IMPVOL",O$1)),_xll.BDH(config!$G$4,O$1,WORKDAY($A835,-1,config_Holiday_Calendar_US),WORKDAY($A835,-1,config_Holiday_Calendar_US)),IF(ISNUMBER(_xll.BDH(config!$G$4,O$1,$A835,$A835)),_xll.BDH(config!$G$4,O$1,$A835,$A835),_xll.BDH(config!$G$5,O$1,$A835,$A835))))</f>
        <v/>
      </c>
      <c r="P835" s="8" t="str">
        <f>IF($A835="","",IF(ISNUMBER(FIND("IMPVOL",P$1)),_xll.BDH(config!$G$4,P$1,WORKDAY($A835,-1,config_Holiday_Calendar_US),WORKDAY($A835,-1,config_Holiday_Calendar_US)),IF(ISNUMBER(_xll.BDH(config!$G$4,P$1,$A835,$A835)),_xll.BDH(config!$G$4,P$1,$A835,$A835),_xll.BDH(config!$G$5,P$1,$A835,$A835))))</f>
        <v/>
      </c>
      <c r="Q835" s="8" t="str">
        <f>IF($A835="","",IF(ISNUMBER(FIND("IMPVOL",Q$1)),_xll.BDH(config!$G$4,Q$1,WORKDAY($A835,-1,config_Holiday_Calendar_US),WORKDAY($A835,-1,config_Holiday_Calendar_US)),IF(ISNUMBER(_xll.BDH(config!$G$4,Q$1,$A835,$A835)),_xll.BDH(config!$G$4,Q$1,$A835,$A835),_xll.BDH(config!$G$5,Q$1,$A835,$A835))))</f>
        <v/>
      </c>
      <c r="R835" s="8" t="str">
        <f>IF($A835="","",IF(ISNUMBER(FIND("IMPVOL",R$1)),_xll.BDH(config!$G$4,R$1,WORKDAY($A835,-1,config_Holiday_Calendar_US),WORKDAY($A835,-1,config_Holiday_Calendar_US)),IF(ISNUMBER(_xll.BDH(config!$G$4,R$1,$A835,$A835)),_xll.BDH(config!$G$4,R$1,$A835,$A835),_xll.BDH(config!$G$5,R$1,$A835,$A835))))</f>
        <v/>
      </c>
      <c r="S835" s="8" t="str">
        <f>IF($A835="","",IF(ISNUMBER(FIND("IMPVOL",S$1)),_xll.BDH(config!$G$4,S$1,WORKDAY($A835,-1,config_Holiday_Calendar_US),WORKDAY($A835,-1,config_Holiday_Calendar_US)),IF(ISNUMBER(_xll.BDH(config!$G$4,S$1,$A835,$A835)),_xll.BDH(config!$G$4,S$1,$A835,$A835),_xll.BDH(config!$G$5,S$1,$A835,$A835))))</f>
        <v/>
      </c>
      <c r="T835" s="8" t="str">
        <f>IF($A835="","",IF(ISNUMBER(FIND("IMPVOL",T$1)),_xll.BDH(config!$G$4,T$1,WORKDAY($A835,-1,config_Holiday_Calendar_US),WORKDAY($A835,-1,config_Holiday_Calendar_US)),IF(ISNUMBER(_xll.BDH(config!$G$4,T$1,$A835,$A835)),_xll.BDH(config!$G$4,T$1,$A835,$A835),_xll.BDH(config!$G$5,T$1,$A835,$A835))))</f>
        <v/>
      </c>
      <c r="U835" s="8" t="str">
        <f>IF($A835="","",IF(ISNUMBER(FIND("IMPVOL",U$1)),_xll.BDH(config!$G$4,U$1,WORKDAY($A835,-1,config_Holiday_Calendar_US),WORKDAY($A835,-1,config_Holiday_Calendar_US)),IF(ISNUMBER(_xll.BDH(config!$G$4,U$1,$A835,$A835)),_xll.BDH(config!$G$4,U$1,$A835,$A835),_xll.BDH(config!$G$5,U$1,$A835,$A835))))</f>
        <v/>
      </c>
      <c r="V835" s="8" t="str">
        <f>IF($A835="","",IF(ISNUMBER(FIND("IMPVOL",V$1)),_xll.BDH(config!$G$4,V$1,WORKDAY($A835,-1,config_Holiday_Calendar_US),WORKDAY($A835,-1,config_Holiday_Calendar_US)),IF(ISNUMBER(_xll.BDH(config!$G$4,V$1,$A835,$A835)),_xll.BDH(config!$G$4,V$1,$A835,$A835),_xll.BDH(config!$G$5,V$1,$A835,$A835))))</f>
        <v/>
      </c>
      <c r="W835" s="8" t="str">
        <f>IF($A835="","",IF(ISNUMBER(FIND("IMPVOL",W$1)),_xll.BDH(config!$G$4,W$1,WORKDAY($A835,-1,config_Holiday_Calendar_US),WORKDAY($A835,-1,config_Holiday_Calendar_US)),IF(ISNUMBER(_xll.BDH(config!$G$4,W$1,$A835,$A835)),_xll.BDH(config!$G$4,W$1,$A835,$A835),_xll.BDH(config!$G$5,W$1,$A835,$A835))))</f>
        <v/>
      </c>
    </row>
    <row r="836" spans="1:23" x14ac:dyDescent="0.2">
      <c r="A836" s="9" t="str">
        <f>IF(A835="","",IF(WORKDAY(A835,-1,config_Holiday_Calendar_US)&lt;config!$I$10,"",WORKDAY(A835,-1,config_Holiday_Calendar_US)))</f>
        <v/>
      </c>
      <c r="B836" s="8" t="str">
        <f t="shared" si="13"/>
        <v/>
      </c>
      <c r="C836" s="8" t="str">
        <f>IF(A836="","",_xll.BDH(config!$H$4,C$1,$A836,$A836))</f>
        <v/>
      </c>
      <c r="D836" s="8" t="str">
        <f>IF($A836="","",_xll.BDH(config!$H$4,D$1,$A836,$A836))</f>
        <v/>
      </c>
      <c r="E836" s="8" t="str">
        <f>IF($A836="","",IF(ISNUMBER(FIND("IMPVOL",E$1)),_xll.BDH(config!$G$4,E$1,WORKDAY($A836,-1,config_Holiday_Calendar_US),WORKDAY($A836,-1,config_Holiday_Calendar_US)),IF(ISNUMBER(_xll.BDH(config!$G$4,E$1,$A836,$A836)),_xll.BDH(config!$G$4,E$1,$A836,$A836),_xll.BDH(config!$G$5,E$1,$A836,$A836))))</f>
        <v/>
      </c>
      <c r="F836" s="8" t="str">
        <f>IF($A836="","",IF(ISNUMBER(FIND("IMPVOL",F$1)),_xll.BDH(config!$G$4,F$1,WORKDAY($A836,-1,config_Holiday_Calendar_US),WORKDAY($A836,-1,config_Holiday_Calendar_US)),IF(ISNUMBER(_xll.BDH(config!$G$4,F$1,$A836,$A836)),_xll.BDH(config!$G$4,F$1,$A836,$A836),_xll.BDH(config!$G$5,F$1,$A836,$A836))))</f>
        <v/>
      </c>
      <c r="G836" s="8" t="str">
        <f>IF($A836="","",IF(ISNUMBER(FIND("IMPVOL",G$1)),_xll.BDH(config!$G$4,G$1,WORKDAY($A836,-1,config_Holiday_Calendar_US),WORKDAY($A836,-1,config_Holiday_Calendar_US)),IF(ISNUMBER(_xll.BDH(config!$G$4,G$1,$A836,$A836)),_xll.BDH(config!$G$4,G$1,$A836,$A836),_xll.BDH(config!$G$5,G$1,$A836,$A836))))</f>
        <v/>
      </c>
      <c r="H836" s="8" t="str">
        <f>IF($A836="","",IF(ISNUMBER(FIND("IMPVOL",H$1)),_xll.BDH(config!$G$4,H$1,WORKDAY($A836,-1,config_Holiday_Calendar_US),WORKDAY($A836,-1,config_Holiday_Calendar_US)),IF(ISNUMBER(_xll.BDH(config!$G$4,H$1,$A836,$A836)),_xll.BDH(config!$G$4,H$1,$A836,$A836),_xll.BDH(config!$G$5,H$1,$A836,$A836))))</f>
        <v/>
      </c>
      <c r="I836" s="8" t="str">
        <f>IF($A836="","",IF(ISNUMBER(FIND("IMPVOL",I$1)),_xll.BDH(config!$G$4,I$1,WORKDAY($A836,-1,config_Holiday_Calendar_US),WORKDAY($A836,-1,config_Holiday_Calendar_US)),IF(ISNUMBER(_xll.BDH(config!$G$4,I$1,$A836,$A836)),_xll.BDH(config!$G$4,I$1,$A836,$A836),_xll.BDH(config!$G$5,I$1,$A836,$A836))))</f>
        <v/>
      </c>
      <c r="J836" s="8" t="str">
        <f>IF($A836="","",IF(ISNUMBER(FIND("IMPVOL",J$1)),_xll.BDH(config!$G$4,J$1,WORKDAY($A836,-1,config_Holiday_Calendar_US),WORKDAY($A836,-1,config_Holiday_Calendar_US)),IF(ISNUMBER(_xll.BDH(config!$G$4,J$1,$A836,$A836)),_xll.BDH(config!$G$4,J$1,$A836,$A836),_xll.BDH(config!$G$5,J$1,$A836,$A836))))</f>
        <v/>
      </c>
      <c r="K836" s="8" t="str">
        <f>IF($A836="","",IF(ISNUMBER(FIND("IMPVOL",K$1)),_xll.BDH(config!$G$4,K$1,WORKDAY($A836,-1,config_Holiday_Calendar_US),WORKDAY($A836,-1,config_Holiday_Calendar_US)),IF(ISNUMBER(_xll.BDH(config!$G$4,K$1,$A836,$A836)),_xll.BDH(config!$G$4,K$1,$A836,$A836),_xll.BDH(config!$G$5,K$1,$A836,$A836))))</f>
        <v/>
      </c>
      <c r="L836" s="8" t="str">
        <f>IF($A836="","",IF(ISNUMBER(FIND("IMPVOL",L$1)),_xll.BDH(config!$G$4,L$1,WORKDAY($A836,-1,config_Holiday_Calendar_US),WORKDAY($A836,-1,config_Holiday_Calendar_US)),IF(ISNUMBER(_xll.BDH(config!$G$4,L$1,$A836,$A836)),_xll.BDH(config!$G$4,L$1,$A836,$A836),_xll.BDH(config!$G$5,L$1,$A836,$A836))))</f>
        <v/>
      </c>
      <c r="M836" s="8" t="str">
        <f>IF($A836="","",IF(ISNUMBER(FIND("IMPVOL",M$1)),_xll.BDH(config!$G$4,M$1,WORKDAY($A836,-1,config_Holiday_Calendar_US),WORKDAY($A836,-1,config_Holiday_Calendar_US)),IF(ISNUMBER(_xll.BDH(config!$G$4,M$1,$A836,$A836)),_xll.BDH(config!$G$4,M$1,$A836,$A836),_xll.BDH(config!$G$5,M$1,$A836,$A836))))</f>
        <v/>
      </c>
      <c r="N836" s="8" t="str">
        <f>IF($A836="","",IF(ISNUMBER(FIND("IMPVOL",N$1)),_xll.BDH(config!$G$4,N$1,WORKDAY($A836,-1,config_Holiday_Calendar_US),WORKDAY($A836,-1,config_Holiday_Calendar_US)),IF(ISNUMBER(_xll.BDH(config!$G$4,N$1,$A836,$A836)),_xll.BDH(config!$G$4,N$1,$A836,$A836),_xll.BDH(config!$G$5,N$1,$A836,$A836))))</f>
        <v/>
      </c>
      <c r="O836" s="8" t="str">
        <f>IF($A836="","",IF(ISNUMBER(FIND("IMPVOL",O$1)),_xll.BDH(config!$G$4,O$1,WORKDAY($A836,-1,config_Holiday_Calendar_US),WORKDAY($A836,-1,config_Holiday_Calendar_US)),IF(ISNUMBER(_xll.BDH(config!$G$4,O$1,$A836,$A836)),_xll.BDH(config!$G$4,O$1,$A836,$A836),_xll.BDH(config!$G$5,O$1,$A836,$A836))))</f>
        <v/>
      </c>
      <c r="P836" s="8" t="str">
        <f>IF($A836="","",IF(ISNUMBER(FIND("IMPVOL",P$1)),_xll.BDH(config!$G$4,P$1,WORKDAY($A836,-1,config_Holiday_Calendar_US),WORKDAY($A836,-1,config_Holiday_Calendar_US)),IF(ISNUMBER(_xll.BDH(config!$G$4,P$1,$A836,$A836)),_xll.BDH(config!$G$4,P$1,$A836,$A836),_xll.BDH(config!$G$5,P$1,$A836,$A836))))</f>
        <v/>
      </c>
      <c r="Q836" s="8" t="str">
        <f>IF($A836="","",IF(ISNUMBER(FIND("IMPVOL",Q$1)),_xll.BDH(config!$G$4,Q$1,WORKDAY($A836,-1,config_Holiday_Calendar_US),WORKDAY($A836,-1,config_Holiday_Calendar_US)),IF(ISNUMBER(_xll.BDH(config!$G$4,Q$1,$A836,$A836)),_xll.BDH(config!$G$4,Q$1,$A836,$A836),_xll.BDH(config!$G$5,Q$1,$A836,$A836))))</f>
        <v/>
      </c>
      <c r="R836" s="8" t="str">
        <f>IF($A836="","",IF(ISNUMBER(FIND("IMPVOL",R$1)),_xll.BDH(config!$G$4,R$1,WORKDAY($A836,-1,config_Holiday_Calendar_US),WORKDAY($A836,-1,config_Holiday_Calendar_US)),IF(ISNUMBER(_xll.BDH(config!$G$4,R$1,$A836,$A836)),_xll.BDH(config!$G$4,R$1,$A836,$A836),_xll.BDH(config!$G$5,R$1,$A836,$A836))))</f>
        <v/>
      </c>
      <c r="S836" s="8" t="str">
        <f>IF($A836="","",IF(ISNUMBER(FIND("IMPVOL",S$1)),_xll.BDH(config!$G$4,S$1,WORKDAY($A836,-1,config_Holiday_Calendar_US),WORKDAY($A836,-1,config_Holiday_Calendar_US)),IF(ISNUMBER(_xll.BDH(config!$G$4,S$1,$A836,$A836)),_xll.BDH(config!$G$4,S$1,$A836,$A836),_xll.BDH(config!$G$5,S$1,$A836,$A836))))</f>
        <v/>
      </c>
      <c r="T836" s="8" t="str">
        <f>IF($A836="","",IF(ISNUMBER(FIND("IMPVOL",T$1)),_xll.BDH(config!$G$4,T$1,WORKDAY($A836,-1,config_Holiday_Calendar_US),WORKDAY($A836,-1,config_Holiday_Calendar_US)),IF(ISNUMBER(_xll.BDH(config!$G$4,T$1,$A836,$A836)),_xll.BDH(config!$G$4,T$1,$A836,$A836),_xll.BDH(config!$G$5,T$1,$A836,$A836))))</f>
        <v/>
      </c>
      <c r="U836" s="8" t="str">
        <f>IF($A836="","",IF(ISNUMBER(FIND("IMPVOL",U$1)),_xll.BDH(config!$G$4,U$1,WORKDAY($A836,-1,config_Holiday_Calendar_US),WORKDAY($A836,-1,config_Holiday_Calendar_US)),IF(ISNUMBER(_xll.BDH(config!$G$4,U$1,$A836,$A836)),_xll.BDH(config!$G$4,U$1,$A836,$A836),_xll.BDH(config!$G$5,U$1,$A836,$A836))))</f>
        <v/>
      </c>
      <c r="V836" s="8" t="str">
        <f>IF($A836="","",IF(ISNUMBER(FIND("IMPVOL",V$1)),_xll.BDH(config!$G$4,V$1,WORKDAY($A836,-1,config_Holiday_Calendar_US),WORKDAY($A836,-1,config_Holiday_Calendar_US)),IF(ISNUMBER(_xll.BDH(config!$G$4,V$1,$A836,$A836)),_xll.BDH(config!$G$4,V$1,$A836,$A836),_xll.BDH(config!$G$5,V$1,$A836,$A836))))</f>
        <v/>
      </c>
      <c r="W836" s="8" t="str">
        <f>IF($A836="","",IF(ISNUMBER(FIND("IMPVOL",W$1)),_xll.BDH(config!$G$4,W$1,WORKDAY($A836,-1,config_Holiday_Calendar_US),WORKDAY($A836,-1,config_Holiday_Calendar_US)),IF(ISNUMBER(_xll.BDH(config!$G$4,W$1,$A836,$A836)),_xll.BDH(config!$G$4,W$1,$A836,$A836),_xll.BDH(config!$G$5,W$1,$A836,$A836))))</f>
        <v/>
      </c>
    </row>
    <row r="837" spans="1:23" x14ac:dyDescent="0.2">
      <c r="A837" s="9" t="str">
        <f>IF(A836="","",IF(WORKDAY(A836,-1,config_Holiday_Calendar_US)&lt;config!$I$10,"",WORKDAY(A836,-1,config_Holiday_Calendar_US)))</f>
        <v/>
      </c>
      <c r="B837" s="8" t="str">
        <f t="shared" si="13"/>
        <v/>
      </c>
      <c r="C837" s="8" t="str">
        <f>IF(A837="","",_xll.BDH(config!$H$4,C$1,$A837,$A837))</f>
        <v/>
      </c>
      <c r="D837" s="8" t="str">
        <f>IF($A837="","",_xll.BDH(config!$H$4,D$1,$A837,$A837))</f>
        <v/>
      </c>
      <c r="E837" s="8" t="str">
        <f>IF($A837="","",IF(ISNUMBER(FIND("IMPVOL",E$1)),_xll.BDH(config!$G$4,E$1,WORKDAY($A837,-1,config_Holiday_Calendar_US),WORKDAY($A837,-1,config_Holiday_Calendar_US)),IF(ISNUMBER(_xll.BDH(config!$G$4,E$1,$A837,$A837)),_xll.BDH(config!$G$4,E$1,$A837,$A837),_xll.BDH(config!$G$5,E$1,$A837,$A837))))</f>
        <v/>
      </c>
      <c r="F837" s="8" t="str">
        <f>IF($A837="","",IF(ISNUMBER(FIND("IMPVOL",F$1)),_xll.BDH(config!$G$4,F$1,WORKDAY($A837,-1,config_Holiday_Calendar_US),WORKDAY($A837,-1,config_Holiday_Calendar_US)),IF(ISNUMBER(_xll.BDH(config!$G$4,F$1,$A837,$A837)),_xll.BDH(config!$G$4,F$1,$A837,$A837),_xll.BDH(config!$G$5,F$1,$A837,$A837))))</f>
        <v/>
      </c>
      <c r="G837" s="8" t="str">
        <f>IF($A837="","",IF(ISNUMBER(FIND("IMPVOL",G$1)),_xll.BDH(config!$G$4,G$1,WORKDAY($A837,-1,config_Holiday_Calendar_US),WORKDAY($A837,-1,config_Holiday_Calendar_US)),IF(ISNUMBER(_xll.BDH(config!$G$4,G$1,$A837,$A837)),_xll.BDH(config!$G$4,G$1,$A837,$A837),_xll.BDH(config!$G$5,G$1,$A837,$A837))))</f>
        <v/>
      </c>
      <c r="H837" s="8" t="str">
        <f>IF($A837="","",IF(ISNUMBER(FIND("IMPVOL",H$1)),_xll.BDH(config!$G$4,H$1,WORKDAY($A837,-1,config_Holiday_Calendar_US),WORKDAY($A837,-1,config_Holiday_Calendar_US)),IF(ISNUMBER(_xll.BDH(config!$G$4,H$1,$A837,$A837)),_xll.BDH(config!$G$4,H$1,$A837,$A837),_xll.BDH(config!$G$5,H$1,$A837,$A837))))</f>
        <v/>
      </c>
      <c r="I837" s="8" t="str">
        <f>IF($A837="","",IF(ISNUMBER(FIND("IMPVOL",I$1)),_xll.BDH(config!$G$4,I$1,WORKDAY($A837,-1,config_Holiday_Calendar_US),WORKDAY($A837,-1,config_Holiday_Calendar_US)),IF(ISNUMBER(_xll.BDH(config!$G$4,I$1,$A837,$A837)),_xll.BDH(config!$G$4,I$1,$A837,$A837),_xll.BDH(config!$G$5,I$1,$A837,$A837))))</f>
        <v/>
      </c>
      <c r="J837" s="8" t="str">
        <f>IF($A837="","",IF(ISNUMBER(FIND("IMPVOL",J$1)),_xll.BDH(config!$G$4,J$1,WORKDAY($A837,-1,config_Holiday_Calendar_US),WORKDAY($A837,-1,config_Holiday_Calendar_US)),IF(ISNUMBER(_xll.BDH(config!$G$4,J$1,$A837,$A837)),_xll.BDH(config!$G$4,J$1,$A837,$A837),_xll.BDH(config!$G$5,J$1,$A837,$A837))))</f>
        <v/>
      </c>
      <c r="K837" s="8" t="str">
        <f>IF($A837="","",IF(ISNUMBER(FIND("IMPVOL",K$1)),_xll.BDH(config!$G$4,K$1,WORKDAY($A837,-1,config_Holiday_Calendar_US),WORKDAY($A837,-1,config_Holiday_Calendar_US)),IF(ISNUMBER(_xll.BDH(config!$G$4,K$1,$A837,$A837)),_xll.BDH(config!$G$4,K$1,$A837,$A837),_xll.BDH(config!$G$5,K$1,$A837,$A837))))</f>
        <v/>
      </c>
      <c r="L837" s="8" t="str">
        <f>IF($A837="","",IF(ISNUMBER(FIND("IMPVOL",L$1)),_xll.BDH(config!$G$4,L$1,WORKDAY($A837,-1,config_Holiday_Calendar_US),WORKDAY($A837,-1,config_Holiday_Calendar_US)),IF(ISNUMBER(_xll.BDH(config!$G$4,L$1,$A837,$A837)),_xll.BDH(config!$G$4,L$1,$A837,$A837),_xll.BDH(config!$G$5,L$1,$A837,$A837))))</f>
        <v/>
      </c>
      <c r="M837" s="8" t="str">
        <f>IF($A837="","",IF(ISNUMBER(FIND("IMPVOL",M$1)),_xll.BDH(config!$G$4,M$1,WORKDAY($A837,-1,config_Holiday_Calendar_US),WORKDAY($A837,-1,config_Holiday_Calendar_US)),IF(ISNUMBER(_xll.BDH(config!$G$4,M$1,$A837,$A837)),_xll.BDH(config!$G$4,M$1,$A837,$A837),_xll.BDH(config!$G$5,M$1,$A837,$A837))))</f>
        <v/>
      </c>
      <c r="N837" s="8" t="str">
        <f>IF($A837="","",IF(ISNUMBER(FIND("IMPVOL",N$1)),_xll.BDH(config!$G$4,N$1,WORKDAY($A837,-1,config_Holiday_Calendar_US),WORKDAY($A837,-1,config_Holiday_Calendar_US)),IF(ISNUMBER(_xll.BDH(config!$G$4,N$1,$A837,$A837)),_xll.BDH(config!$G$4,N$1,$A837,$A837),_xll.BDH(config!$G$5,N$1,$A837,$A837))))</f>
        <v/>
      </c>
      <c r="O837" s="8" t="str">
        <f>IF($A837="","",IF(ISNUMBER(FIND("IMPVOL",O$1)),_xll.BDH(config!$G$4,O$1,WORKDAY($A837,-1,config_Holiday_Calendar_US),WORKDAY($A837,-1,config_Holiday_Calendar_US)),IF(ISNUMBER(_xll.BDH(config!$G$4,O$1,$A837,$A837)),_xll.BDH(config!$G$4,O$1,$A837,$A837),_xll.BDH(config!$G$5,O$1,$A837,$A837))))</f>
        <v/>
      </c>
      <c r="P837" s="8" t="str">
        <f>IF($A837="","",IF(ISNUMBER(FIND("IMPVOL",P$1)),_xll.BDH(config!$G$4,P$1,WORKDAY($A837,-1,config_Holiday_Calendar_US),WORKDAY($A837,-1,config_Holiday_Calendar_US)),IF(ISNUMBER(_xll.BDH(config!$G$4,P$1,$A837,$A837)),_xll.BDH(config!$G$4,P$1,$A837,$A837),_xll.BDH(config!$G$5,P$1,$A837,$A837))))</f>
        <v/>
      </c>
      <c r="Q837" s="8" t="str">
        <f>IF($A837="","",IF(ISNUMBER(FIND("IMPVOL",Q$1)),_xll.BDH(config!$G$4,Q$1,WORKDAY($A837,-1,config_Holiday_Calendar_US),WORKDAY($A837,-1,config_Holiday_Calendar_US)),IF(ISNUMBER(_xll.BDH(config!$G$4,Q$1,$A837,$A837)),_xll.BDH(config!$G$4,Q$1,$A837,$A837),_xll.BDH(config!$G$5,Q$1,$A837,$A837))))</f>
        <v/>
      </c>
      <c r="R837" s="8" t="str">
        <f>IF($A837="","",IF(ISNUMBER(FIND("IMPVOL",R$1)),_xll.BDH(config!$G$4,R$1,WORKDAY($A837,-1,config_Holiday_Calendar_US),WORKDAY($A837,-1,config_Holiday_Calendar_US)),IF(ISNUMBER(_xll.BDH(config!$G$4,R$1,$A837,$A837)),_xll.BDH(config!$G$4,R$1,$A837,$A837),_xll.BDH(config!$G$5,R$1,$A837,$A837))))</f>
        <v/>
      </c>
      <c r="S837" s="8" t="str">
        <f>IF($A837="","",IF(ISNUMBER(FIND("IMPVOL",S$1)),_xll.BDH(config!$G$4,S$1,WORKDAY($A837,-1,config_Holiday_Calendar_US),WORKDAY($A837,-1,config_Holiday_Calendar_US)),IF(ISNUMBER(_xll.BDH(config!$G$4,S$1,$A837,$A837)),_xll.BDH(config!$G$4,S$1,$A837,$A837),_xll.BDH(config!$G$5,S$1,$A837,$A837))))</f>
        <v/>
      </c>
      <c r="T837" s="8" t="str">
        <f>IF($A837="","",IF(ISNUMBER(FIND("IMPVOL",T$1)),_xll.BDH(config!$G$4,T$1,WORKDAY($A837,-1,config_Holiday_Calendar_US),WORKDAY($A837,-1,config_Holiday_Calendar_US)),IF(ISNUMBER(_xll.BDH(config!$G$4,T$1,$A837,$A837)),_xll.BDH(config!$G$4,T$1,$A837,$A837),_xll.BDH(config!$G$5,T$1,$A837,$A837))))</f>
        <v/>
      </c>
      <c r="U837" s="8" t="str">
        <f>IF($A837="","",IF(ISNUMBER(FIND("IMPVOL",U$1)),_xll.BDH(config!$G$4,U$1,WORKDAY($A837,-1,config_Holiday_Calendar_US),WORKDAY($A837,-1,config_Holiday_Calendar_US)),IF(ISNUMBER(_xll.BDH(config!$G$4,U$1,$A837,$A837)),_xll.BDH(config!$G$4,U$1,$A837,$A837),_xll.BDH(config!$G$5,U$1,$A837,$A837))))</f>
        <v/>
      </c>
      <c r="V837" s="8" t="str">
        <f>IF($A837="","",IF(ISNUMBER(FIND("IMPVOL",V$1)),_xll.BDH(config!$G$4,V$1,WORKDAY($A837,-1,config_Holiday_Calendar_US),WORKDAY($A837,-1,config_Holiday_Calendar_US)),IF(ISNUMBER(_xll.BDH(config!$G$4,V$1,$A837,$A837)),_xll.BDH(config!$G$4,V$1,$A837,$A837),_xll.BDH(config!$G$5,V$1,$A837,$A837))))</f>
        <v/>
      </c>
      <c r="W837" s="8" t="str">
        <f>IF($A837="","",IF(ISNUMBER(FIND("IMPVOL",W$1)),_xll.BDH(config!$G$4,W$1,WORKDAY($A837,-1,config_Holiday_Calendar_US),WORKDAY($A837,-1,config_Holiday_Calendar_US)),IF(ISNUMBER(_xll.BDH(config!$G$4,W$1,$A837,$A837)),_xll.BDH(config!$G$4,W$1,$A837,$A837),_xll.BDH(config!$G$5,W$1,$A837,$A837))))</f>
        <v/>
      </c>
    </row>
    <row r="838" spans="1:23" x14ac:dyDescent="0.2">
      <c r="A838" s="9" t="str">
        <f>IF(A837="","",IF(WORKDAY(A837,-1,config_Holiday_Calendar_US)&lt;config!$I$10,"",WORKDAY(A837,-1,config_Holiday_Calendar_US)))</f>
        <v/>
      </c>
      <c r="B838" s="8" t="str">
        <f t="shared" si="13"/>
        <v/>
      </c>
      <c r="C838" s="8" t="str">
        <f>IF(A838="","",_xll.BDH(config!$H$4,C$1,$A838,$A838))</f>
        <v/>
      </c>
      <c r="D838" s="8" t="str">
        <f>IF($A838="","",_xll.BDH(config!$H$4,D$1,$A838,$A838))</f>
        <v/>
      </c>
      <c r="E838" s="8" t="str">
        <f>IF($A838="","",IF(ISNUMBER(FIND("IMPVOL",E$1)),_xll.BDH(config!$G$4,E$1,WORKDAY($A838,-1,config_Holiday_Calendar_US),WORKDAY($A838,-1,config_Holiday_Calendar_US)),IF(ISNUMBER(_xll.BDH(config!$G$4,E$1,$A838,$A838)),_xll.BDH(config!$G$4,E$1,$A838,$A838),_xll.BDH(config!$G$5,E$1,$A838,$A838))))</f>
        <v/>
      </c>
      <c r="F838" s="8" t="str">
        <f>IF($A838="","",IF(ISNUMBER(FIND("IMPVOL",F$1)),_xll.BDH(config!$G$4,F$1,WORKDAY($A838,-1,config_Holiday_Calendar_US),WORKDAY($A838,-1,config_Holiday_Calendar_US)),IF(ISNUMBER(_xll.BDH(config!$G$4,F$1,$A838,$A838)),_xll.BDH(config!$G$4,F$1,$A838,$A838),_xll.BDH(config!$G$5,F$1,$A838,$A838))))</f>
        <v/>
      </c>
      <c r="G838" s="8" t="str">
        <f>IF($A838="","",IF(ISNUMBER(FIND("IMPVOL",G$1)),_xll.BDH(config!$G$4,G$1,WORKDAY($A838,-1,config_Holiday_Calendar_US),WORKDAY($A838,-1,config_Holiday_Calendar_US)),IF(ISNUMBER(_xll.BDH(config!$G$4,G$1,$A838,$A838)),_xll.BDH(config!$G$4,G$1,$A838,$A838),_xll.BDH(config!$G$5,G$1,$A838,$A838))))</f>
        <v/>
      </c>
      <c r="H838" s="8" t="str">
        <f>IF($A838="","",IF(ISNUMBER(FIND("IMPVOL",H$1)),_xll.BDH(config!$G$4,H$1,WORKDAY($A838,-1,config_Holiday_Calendar_US),WORKDAY($A838,-1,config_Holiday_Calendar_US)),IF(ISNUMBER(_xll.BDH(config!$G$4,H$1,$A838,$A838)),_xll.BDH(config!$G$4,H$1,$A838,$A838),_xll.BDH(config!$G$5,H$1,$A838,$A838))))</f>
        <v/>
      </c>
      <c r="I838" s="8" t="str">
        <f>IF($A838="","",IF(ISNUMBER(FIND("IMPVOL",I$1)),_xll.BDH(config!$G$4,I$1,WORKDAY($A838,-1,config_Holiday_Calendar_US),WORKDAY($A838,-1,config_Holiday_Calendar_US)),IF(ISNUMBER(_xll.BDH(config!$G$4,I$1,$A838,$A838)),_xll.BDH(config!$G$4,I$1,$A838,$A838),_xll.BDH(config!$G$5,I$1,$A838,$A838))))</f>
        <v/>
      </c>
      <c r="J838" s="8" t="str">
        <f>IF($A838="","",IF(ISNUMBER(FIND("IMPVOL",J$1)),_xll.BDH(config!$G$4,J$1,WORKDAY($A838,-1,config_Holiday_Calendar_US),WORKDAY($A838,-1,config_Holiday_Calendar_US)),IF(ISNUMBER(_xll.BDH(config!$G$4,J$1,$A838,$A838)),_xll.BDH(config!$G$4,J$1,$A838,$A838),_xll.BDH(config!$G$5,J$1,$A838,$A838))))</f>
        <v/>
      </c>
      <c r="K838" s="8" t="str">
        <f>IF($A838="","",IF(ISNUMBER(FIND("IMPVOL",K$1)),_xll.BDH(config!$G$4,K$1,WORKDAY($A838,-1,config_Holiday_Calendar_US),WORKDAY($A838,-1,config_Holiday_Calendar_US)),IF(ISNUMBER(_xll.BDH(config!$G$4,K$1,$A838,$A838)),_xll.BDH(config!$G$4,K$1,$A838,$A838),_xll.BDH(config!$G$5,K$1,$A838,$A838))))</f>
        <v/>
      </c>
      <c r="L838" s="8" t="str">
        <f>IF($A838="","",IF(ISNUMBER(FIND("IMPVOL",L$1)),_xll.BDH(config!$G$4,L$1,WORKDAY($A838,-1,config_Holiday_Calendar_US),WORKDAY($A838,-1,config_Holiday_Calendar_US)),IF(ISNUMBER(_xll.BDH(config!$G$4,L$1,$A838,$A838)),_xll.BDH(config!$G$4,L$1,$A838,$A838),_xll.BDH(config!$G$5,L$1,$A838,$A838))))</f>
        <v/>
      </c>
      <c r="M838" s="8" t="str">
        <f>IF($A838="","",IF(ISNUMBER(FIND("IMPVOL",M$1)),_xll.BDH(config!$G$4,M$1,WORKDAY($A838,-1,config_Holiday_Calendar_US),WORKDAY($A838,-1,config_Holiday_Calendar_US)),IF(ISNUMBER(_xll.BDH(config!$G$4,M$1,$A838,$A838)),_xll.BDH(config!$G$4,M$1,$A838,$A838),_xll.BDH(config!$G$5,M$1,$A838,$A838))))</f>
        <v/>
      </c>
      <c r="N838" s="8" t="str">
        <f>IF($A838="","",IF(ISNUMBER(FIND("IMPVOL",N$1)),_xll.BDH(config!$G$4,N$1,WORKDAY($A838,-1,config_Holiday_Calendar_US),WORKDAY($A838,-1,config_Holiday_Calendar_US)),IF(ISNUMBER(_xll.BDH(config!$G$4,N$1,$A838,$A838)),_xll.BDH(config!$G$4,N$1,$A838,$A838),_xll.BDH(config!$G$5,N$1,$A838,$A838))))</f>
        <v/>
      </c>
      <c r="O838" s="8" t="str">
        <f>IF($A838="","",IF(ISNUMBER(FIND("IMPVOL",O$1)),_xll.BDH(config!$G$4,O$1,WORKDAY($A838,-1,config_Holiday_Calendar_US),WORKDAY($A838,-1,config_Holiday_Calendar_US)),IF(ISNUMBER(_xll.BDH(config!$G$4,O$1,$A838,$A838)),_xll.BDH(config!$G$4,O$1,$A838,$A838),_xll.BDH(config!$G$5,O$1,$A838,$A838))))</f>
        <v/>
      </c>
      <c r="P838" s="8" t="str">
        <f>IF($A838="","",IF(ISNUMBER(FIND("IMPVOL",P$1)),_xll.BDH(config!$G$4,P$1,WORKDAY($A838,-1,config_Holiday_Calendar_US),WORKDAY($A838,-1,config_Holiday_Calendar_US)),IF(ISNUMBER(_xll.BDH(config!$G$4,P$1,$A838,$A838)),_xll.BDH(config!$G$4,P$1,$A838,$A838),_xll.BDH(config!$G$5,P$1,$A838,$A838))))</f>
        <v/>
      </c>
      <c r="Q838" s="8" t="str">
        <f>IF($A838="","",IF(ISNUMBER(FIND("IMPVOL",Q$1)),_xll.BDH(config!$G$4,Q$1,WORKDAY($A838,-1,config_Holiday_Calendar_US),WORKDAY($A838,-1,config_Holiday_Calendar_US)),IF(ISNUMBER(_xll.BDH(config!$G$4,Q$1,$A838,$A838)),_xll.BDH(config!$G$4,Q$1,$A838,$A838),_xll.BDH(config!$G$5,Q$1,$A838,$A838))))</f>
        <v/>
      </c>
      <c r="R838" s="8" t="str">
        <f>IF($A838="","",IF(ISNUMBER(FIND("IMPVOL",R$1)),_xll.BDH(config!$G$4,R$1,WORKDAY($A838,-1,config_Holiday_Calendar_US),WORKDAY($A838,-1,config_Holiday_Calendar_US)),IF(ISNUMBER(_xll.BDH(config!$G$4,R$1,$A838,$A838)),_xll.BDH(config!$G$4,R$1,$A838,$A838),_xll.BDH(config!$G$5,R$1,$A838,$A838))))</f>
        <v/>
      </c>
      <c r="S838" s="8" t="str">
        <f>IF($A838="","",IF(ISNUMBER(FIND("IMPVOL",S$1)),_xll.BDH(config!$G$4,S$1,WORKDAY($A838,-1,config_Holiday_Calendar_US),WORKDAY($A838,-1,config_Holiday_Calendar_US)),IF(ISNUMBER(_xll.BDH(config!$G$4,S$1,$A838,$A838)),_xll.BDH(config!$G$4,S$1,$A838,$A838),_xll.BDH(config!$G$5,S$1,$A838,$A838))))</f>
        <v/>
      </c>
      <c r="T838" s="8" t="str">
        <f>IF($A838="","",IF(ISNUMBER(FIND("IMPVOL",T$1)),_xll.BDH(config!$G$4,T$1,WORKDAY($A838,-1,config_Holiday_Calendar_US),WORKDAY($A838,-1,config_Holiday_Calendar_US)),IF(ISNUMBER(_xll.BDH(config!$G$4,T$1,$A838,$A838)),_xll.BDH(config!$G$4,T$1,$A838,$A838),_xll.BDH(config!$G$5,T$1,$A838,$A838))))</f>
        <v/>
      </c>
      <c r="U838" s="8" t="str">
        <f>IF($A838="","",IF(ISNUMBER(FIND("IMPVOL",U$1)),_xll.BDH(config!$G$4,U$1,WORKDAY($A838,-1,config_Holiday_Calendar_US),WORKDAY($A838,-1,config_Holiday_Calendar_US)),IF(ISNUMBER(_xll.BDH(config!$G$4,U$1,$A838,$A838)),_xll.BDH(config!$G$4,U$1,$A838,$A838),_xll.BDH(config!$G$5,U$1,$A838,$A838))))</f>
        <v/>
      </c>
      <c r="V838" s="8" t="str">
        <f>IF($A838="","",IF(ISNUMBER(FIND("IMPVOL",V$1)),_xll.BDH(config!$G$4,V$1,WORKDAY($A838,-1,config_Holiday_Calendar_US),WORKDAY($A838,-1,config_Holiday_Calendar_US)),IF(ISNUMBER(_xll.BDH(config!$G$4,V$1,$A838,$A838)),_xll.BDH(config!$G$4,V$1,$A838,$A838),_xll.BDH(config!$G$5,V$1,$A838,$A838))))</f>
        <v/>
      </c>
      <c r="W838" s="8" t="str">
        <f>IF($A838="","",IF(ISNUMBER(FIND("IMPVOL",W$1)),_xll.BDH(config!$G$4,W$1,WORKDAY($A838,-1,config_Holiday_Calendar_US),WORKDAY($A838,-1,config_Holiday_Calendar_US)),IF(ISNUMBER(_xll.BDH(config!$G$4,W$1,$A838,$A838)),_xll.BDH(config!$G$4,W$1,$A838,$A838),_xll.BDH(config!$G$5,W$1,$A838,$A838))))</f>
        <v/>
      </c>
    </row>
    <row r="839" spans="1:23" x14ac:dyDescent="0.2">
      <c r="A839" s="9" t="str">
        <f>IF(A838="","",IF(WORKDAY(A838,-1,config_Holiday_Calendar_US)&lt;config!$I$10,"",WORKDAY(A838,-1,config_Holiday_Calendar_US)))</f>
        <v/>
      </c>
      <c r="B839" s="8" t="str">
        <f t="shared" si="13"/>
        <v/>
      </c>
      <c r="C839" s="8" t="str">
        <f>IF(A839="","",_xll.BDH(config!$H$4,C$1,$A839,$A839))</f>
        <v/>
      </c>
      <c r="D839" s="8" t="str">
        <f>IF($A839="","",_xll.BDH(config!$H$4,D$1,$A839,$A839))</f>
        <v/>
      </c>
      <c r="E839" s="8" t="str">
        <f>IF($A839="","",IF(ISNUMBER(FIND("IMPVOL",E$1)),_xll.BDH(config!$G$4,E$1,WORKDAY($A839,-1,config_Holiday_Calendar_US),WORKDAY($A839,-1,config_Holiday_Calendar_US)),IF(ISNUMBER(_xll.BDH(config!$G$4,E$1,$A839,$A839)),_xll.BDH(config!$G$4,E$1,$A839,$A839),_xll.BDH(config!$G$5,E$1,$A839,$A839))))</f>
        <v/>
      </c>
      <c r="F839" s="8" t="str">
        <f>IF($A839="","",IF(ISNUMBER(FIND("IMPVOL",F$1)),_xll.BDH(config!$G$4,F$1,WORKDAY($A839,-1,config_Holiday_Calendar_US),WORKDAY($A839,-1,config_Holiday_Calendar_US)),IF(ISNUMBER(_xll.BDH(config!$G$4,F$1,$A839,$A839)),_xll.BDH(config!$G$4,F$1,$A839,$A839),_xll.BDH(config!$G$5,F$1,$A839,$A839))))</f>
        <v/>
      </c>
      <c r="G839" s="8" t="str">
        <f>IF($A839="","",IF(ISNUMBER(FIND("IMPVOL",G$1)),_xll.BDH(config!$G$4,G$1,WORKDAY($A839,-1,config_Holiday_Calendar_US),WORKDAY($A839,-1,config_Holiday_Calendar_US)),IF(ISNUMBER(_xll.BDH(config!$G$4,G$1,$A839,$A839)),_xll.BDH(config!$G$4,G$1,$A839,$A839),_xll.BDH(config!$G$5,G$1,$A839,$A839))))</f>
        <v/>
      </c>
      <c r="H839" s="8" t="str">
        <f>IF($A839="","",IF(ISNUMBER(FIND("IMPVOL",H$1)),_xll.BDH(config!$G$4,H$1,WORKDAY($A839,-1,config_Holiday_Calendar_US),WORKDAY($A839,-1,config_Holiday_Calendar_US)),IF(ISNUMBER(_xll.BDH(config!$G$4,H$1,$A839,$A839)),_xll.BDH(config!$G$4,H$1,$A839,$A839),_xll.BDH(config!$G$5,H$1,$A839,$A839))))</f>
        <v/>
      </c>
      <c r="I839" s="8" t="str">
        <f>IF($A839="","",IF(ISNUMBER(FIND("IMPVOL",I$1)),_xll.BDH(config!$G$4,I$1,WORKDAY($A839,-1,config_Holiday_Calendar_US),WORKDAY($A839,-1,config_Holiday_Calendar_US)),IF(ISNUMBER(_xll.BDH(config!$G$4,I$1,$A839,$A839)),_xll.BDH(config!$G$4,I$1,$A839,$A839),_xll.BDH(config!$G$5,I$1,$A839,$A839))))</f>
        <v/>
      </c>
      <c r="J839" s="8" t="str">
        <f>IF($A839="","",IF(ISNUMBER(FIND("IMPVOL",J$1)),_xll.BDH(config!$G$4,J$1,WORKDAY($A839,-1,config_Holiday_Calendar_US),WORKDAY($A839,-1,config_Holiday_Calendar_US)),IF(ISNUMBER(_xll.BDH(config!$G$4,J$1,$A839,$A839)),_xll.BDH(config!$G$4,J$1,$A839,$A839),_xll.BDH(config!$G$5,J$1,$A839,$A839))))</f>
        <v/>
      </c>
      <c r="K839" s="8" t="str">
        <f>IF($A839="","",IF(ISNUMBER(FIND("IMPVOL",K$1)),_xll.BDH(config!$G$4,K$1,WORKDAY($A839,-1,config_Holiday_Calendar_US),WORKDAY($A839,-1,config_Holiday_Calendar_US)),IF(ISNUMBER(_xll.BDH(config!$G$4,K$1,$A839,$A839)),_xll.BDH(config!$G$4,K$1,$A839,$A839),_xll.BDH(config!$G$5,K$1,$A839,$A839))))</f>
        <v/>
      </c>
      <c r="L839" s="8" t="str">
        <f>IF($A839="","",IF(ISNUMBER(FIND("IMPVOL",L$1)),_xll.BDH(config!$G$4,L$1,WORKDAY($A839,-1,config_Holiday_Calendar_US),WORKDAY($A839,-1,config_Holiday_Calendar_US)),IF(ISNUMBER(_xll.BDH(config!$G$4,L$1,$A839,$A839)),_xll.BDH(config!$G$4,L$1,$A839,$A839),_xll.BDH(config!$G$5,L$1,$A839,$A839))))</f>
        <v/>
      </c>
      <c r="M839" s="8" t="str">
        <f>IF($A839="","",IF(ISNUMBER(FIND("IMPVOL",M$1)),_xll.BDH(config!$G$4,M$1,WORKDAY($A839,-1,config_Holiday_Calendar_US),WORKDAY($A839,-1,config_Holiday_Calendar_US)),IF(ISNUMBER(_xll.BDH(config!$G$4,M$1,$A839,$A839)),_xll.BDH(config!$G$4,M$1,$A839,$A839),_xll.BDH(config!$G$5,M$1,$A839,$A839))))</f>
        <v/>
      </c>
      <c r="N839" s="8" t="str">
        <f>IF($A839="","",IF(ISNUMBER(FIND("IMPVOL",N$1)),_xll.BDH(config!$G$4,N$1,WORKDAY($A839,-1,config_Holiday_Calendar_US),WORKDAY($A839,-1,config_Holiday_Calendar_US)),IF(ISNUMBER(_xll.BDH(config!$G$4,N$1,$A839,$A839)),_xll.BDH(config!$G$4,N$1,$A839,$A839),_xll.BDH(config!$G$5,N$1,$A839,$A839))))</f>
        <v/>
      </c>
      <c r="O839" s="8" t="str">
        <f>IF($A839="","",IF(ISNUMBER(FIND("IMPVOL",O$1)),_xll.BDH(config!$G$4,O$1,WORKDAY($A839,-1,config_Holiday_Calendar_US),WORKDAY($A839,-1,config_Holiday_Calendar_US)),IF(ISNUMBER(_xll.BDH(config!$G$4,O$1,$A839,$A839)),_xll.BDH(config!$G$4,O$1,$A839,$A839),_xll.BDH(config!$G$5,O$1,$A839,$A839))))</f>
        <v/>
      </c>
      <c r="P839" s="8" t="str">
        <f>IF($A839="","",IF(ISNUMBER(FIND("IMPVOL",P$1)),_xll.BDH(config!$G$4,P$1,WORKDAY($A839,-1,config_Holiday_Calendar_US),WORKDAY($A839,-1,config_Holiday_Calendar_US)),IF(ISNUMBER(_xll.BDH(config!$G$4,P$1,$A839,$A839)),_xll.BDH(config!$G$4,P$1,$A839,$A839),_xll.BDH(config!$G$5,P$1,$A839,$A839))))</f>
        <v/>
      </c>
      <c r="Q839" s="8" t="str">
        <f>IF($A839="","",IF(ISNUMBER(FIND("IMPVOL",Q$1)),_xll.BDH(config!$G$4,Q$1,WORKDAY($A839,-1,config_Holiday_Calendar_US),WORKDAY($A839,-1,config_Holiday_Calendar_US)),IF(ISNUMBER(_xll.BDH(config!$G$4,Q$1,$A839,$A839)),_xll.BDH(config!$G$4,Q$1,$A839,$A839),_xll.BDH(config!$G$5,Q$1,$A839,$A839))))</f>
        <v/>
      </c>
      <c r="R839" s="8" t="str">
        <f>IF($A839="","",IF(ISNUMBER(FIND("IMPVOL",R$1)),_xll.BDH(config!$G$4,R$1,WORKDAY($A839,-1,config_Holiday_Calendar_US),WORKDAY($A839,-1,config_Holiday_Calendar_US)),IF(ISNUMBER(_xll.BDH(config!$G$4,R$1,$A839,$A839)),_xll.BDH(config!$G$4,R$1,$A839,$A839),_xll.BDH(config!$G$5,R$1,$A839,$A839))))</f>
        <v/>
      </c>
      <c r="S839" s="8" t="str">
        <f>IF($A839="","",IF(ISNUMBER(FIND("IMPVOL",S$1)),_xll.BDH(config!$G$4,S$1,WORKDAY($A839,-1,config_Holiday_Calendar_US),WORKDAY($A839,-1,config_Holiday_Calendar_US)),IF(ISNUMBER(_xll.BDH(config!$G$4,S$1,$A839,$A839)),_xll.BDH(config!$G$4,S$1,$A839,$A839),_xll.BDH(config!$G$5,S$1,$A839,$A839))))</f>
        <v/>
      </c>
      <c r="T839" s="8" t="str">
        <f>IF($A839="","",IF(ISNUMBER(FIND("IMPVOL",T$1)),_xll.BDH(config!$G$4,T$1,WORKDAY($A839,-1,config_Holiday_Calendar_US),WORKDAY($A839,-1,config_Holiday_Calendar_US)),IF(ISNUMBER(_xll.BDH(config!$G$4,T$1,$A839,$A839)),_xll.BDH(config!$G$4,T$1,$A839,$A839),_xll.BDH(config!$G$5,T$1,$A839,$A839))))</f>
        <v/>
      </c>
      <c r="U839" s="8" t="str">
        <f>IF($A839="","",IF(ISNUMBER(FIND("IMPVOL",U$1)),_xll.BDH(config!$G$4,U$1,WORKDAY($A839,-1,config_Holiday_Calendar_US),WORKDAY($A839,-1,config_Holiday_Calendar_US)),IF(ISNUMBER(_xll.BDH(config!$G$4,U$1,$A839,$A839)),_xll.BDH(config!$G$4,U$1,$A839,$A839),_xll.BDH(config!$G$5,U$1,$A839,$A839))))</f>
        <v/>
      </c>
      <c r="V839" s="8" t="str">
        <f>IF($A839="","",IF(ISNUMBER(FIND("IMPVOL",V$1)),_xll.BDH(config!$G$4,V$1,WORKDAY($A839,-1,config_Holiday_Calendar_US),WORKDAY($A839,-1,config_Holiday_Calendar_US)),IF(ISNUMBER(_xll.BDH(config!$G$4,V$1,$A839,$A839)),_xll.BDH(config!$G$4,V$1,$A839,$A839),_xll.BDH(config!$G$5,V$1,$A839,$A839))))</f>
        <v/>
      </c>
      <c r="W839" s="8" t="str">
        <f>IF($A839="","",IF(ISNUMBER(FIND("IMPVOL",W$1)),_xll.BDH(config!$G$4,W$1,WORKDAY($A839,-1,config_Holiday_Calendar_US),WORKDAY($A839,-1,config_Holiday_Calendar_US)),IF(ISNUMBER(_xll.BDH(config!$G$4,W$1,$A839,$A839)),_xll.BDH(config!$G$4,W$1,$A839,$A839),_xll.BDH(config!$G$5,W$1,$A839,$A839))))</f>
        <v/>
      </c>
    </row>
    <row r="840" spans="1:23" x14ac:dyDescent="0.2">
      <c r="A840" s="9" t="str">
        <f>IF(A839="","",IF(WORKDAY(A839,-1,config_Holiday_Calendar_US)&lt;config!$I$10,"",WORKDAY(A839,-1,config_Holiday_Calendar_US)))</f>
        <v/>
      </c>
      <c r="B840" s="8" t="str">
        <f t="shared" si="13"/>
        <v/>
      </c>
      <c r="C840" s="8" t="str">
        <f>IF(A840="","",_xll.BDH(config!$H$4,C$1,$A840,$A840))</f>
        <v/>
      </c>
      <c r="D840" s="8" t="str">
        <f>IF($A840="","",_xll.BDH(config!$H$4,D$1,$A840,$A840))</f>
        <v/>
      </c>
      <c r="E840" s="8" t="str">
        <f>IF($A840="","",IF(ISNUMBER(FIND("IMPVOL",E$1)),_xll.BDH(config!$G$4,E$1,WORKDAY($A840,-1,config_Holiday_Calendar_US),WORKDAY($A840,-1,config_Holiday_Calendar_US)),IF(ISNUMBER(_xll.BDH(config!$G$4,E$1,$A840,$A840)),_xll.BDH(config!$G$4,E$1,$A840,$A840),_xll.BDH(config!$G$5,E$1,$A840,$A840))))</f>
        <v/>
      </c>
      <c r="F840" s="8" t="str">
        <f>IF($A840="","",IF(ISNUMBER(FIND("IMPVOL",F$1)),_xll.BDH(config!$G$4,F$1,WORKDAY($A840,-1,config_Holiday_Calendar_US),WORKDAY($A840,-1,config_Holiday_Calendar_US)),IF(ISNUMBER(_xll.BDH(config!$G$4,F$1,$A840,$A840)),_xll.BDH(config!$G$4,F$1,$A840,$A840),_xll.BDH(config!$G$5,F$1,$A840,$A840))))</f>
        <v/>
      </c>
      <c r="G840" s="8" t="str">
        <f>IF($A840="","",IF(ISNUMBER(FIND("IMPVOL",G$1)),_xll.BDH(config!$G$4,G$1,WORKDAY($A840,-1,config_Holiday_Calendar_US),WORKDAY($A840,-1,config_Holiday_Calendar_US)),IF(ISNUMBER(_xll.BDH(config!$G$4,G$1,$A840,$A840)),_xll.BDH(config!$G$4,G$1,$A840,$A840),_xll.BDH(config!$G$5,G$1,$A840,$A840))))</f>
        <v/>
      </c>
      <c r="H840" s="8" t="str">
        <f>IF($A840="","",IF(ISNUMBER(FIND("IMPVOL",H$1)),_xll.BDH(config!$G$4,H$1,WORKDAY($A840,-1,config_Holiday_Calendar_US),WORKDAY($A840,-1,config_Holiday_Calendar_US)),IF(ISNUMBER(_xll.BDH(config!$G$4,H$1,$A840,$A840)),_xll.BDH(config!$G$4,H$1,$A840,$A840),_xll.BDH(config!$G$5,H$1,$A840,$A840))))</f>
        <v/>
      </c>
      <c r="I840" s="8" t="str">
        <f>IF($A840="","",IF(ISNUMBER(FIND("IMPVOL",I$1)),_xll.BDH(config!$G$4,I$1,WORKDAY($A840,-1,config_Holiday_Calendar_US),WORKDAY($A840,-1,config_Holiday_Calendar_US)),IF(ISNUMBER(_xll.BDH(config!$G$4,I$1,$A840,$A840)),_xll.BDH(config!$G$4,I$1,$A840,$A840),_xll.BDH(config!$G$5,I$1,$A840,$A840))))</f>
        <v/>
      </c>
      <c r="J840" s="8" t="str">
        <f>IF($A840="","",IF(ISNUMBER(FIND("IMPVOL",J$1)),_xll.BDH(config!$G$4,J$1,WORKDAY($A840,-1,config_Holiday_Calendar_US),WORKDAY($A840,-1,config_Holiday_Calendar_US)),IF(ISNUMBER(_xll.BDH(config!$G$4,J$1,$A840,$A840)),_xll.BDH(config!$G$4,J$1,$A840,$A840),_xll.BDH(config!$G$5,J$1,$A840,$A840))))</f>
        <v/>
      </c>
      <c r="K840" s="8" t="str">
        <f>IF($A840="","",IF(ISNUMBER(FIND("IMPVOL",K$1)),_xll.BDH(config!$G$4,K$1,WORKDAY($A840,-1,config_Holiday_Calendar_US),WORKDAY($A840,-1,config_Holiday_Calendar_US)),IF(ISNUMBER(_xll.BDH(config!$G$4,K$1,$A840,$A840)),_xll.BDH(config!$G$4,K$1,$A840,$A840),_xll.BDH(config!$G$5,K$1,$A840,$A840))))</f>
        <v/>
      </c>
      <c r="L840" s="8" t="str">
        <f>IF($A840="","",IF(ISNUMBER(FIND("IMPVOL",L$1)),_xll.BDH(config!$G$4,L$1,WORKDAY($A840,-1,config_Holiday_Calendar_US),WORKDAY($A840,-1,config_Holiday_Calendar_US)),IF(ISNUMBER(_xll.BDH(config!$G$4,L$1,$A840,$A840)),_xll.BDH(config!$G$4,L$1,$A840,$A840),_xll.BDH(config!$G$5,L$1,$A840,$A840))))</f>
        <v/>
      </c>
      <c r="M840" s="8" t="str">
        <f>IF($A840="","",IF(ISNUMBER(FIND("IMPVOL",M$1)),_xll.BDH(config!$G$4,M$1,WORKDAY($A840,-1,config_Holiday_Calendar_US),WORKDAY($A840,-1,config_Holiday_Calendar_US)),IF(ISNUMBER(_xll.BDH(config!$G$4,M$1,$A840,$A840)),_xll.BDH(config!$G$4,M$1,$A840,$A840),_xll.BDH(config!$G$5,M$1,$A840,$A840))))</f>
        <v/>
      </c>
      <c r="N840" s="8" t="str">
        <f>IF($A840="","",IF(ISNUMBER(FIND("IMPVOL",N$1)),_xll.BDH(config!$G$4,N$1,WORKDAY($A840,-1,config_Holiday_Calendar_US),WORKDAY($A840,-1,config_Holiday_Calendar_US)),IF(ISNUMBER(_xll.BDH(config!$G$4,N$1,$A840,$A840)),_xll.BDH(config!$G$4,N$1,$A840,$A840),_xll.BDH(config!$G$5,N$1,$A840,$A840))))</f>
        <v/>
      </c>
      <c r="O840" s="8" t="str">
        <f>IF($A840="","",IF(ISNUMBER(FIND("IMPVOL",O$1)),_xll.BDH(config!$G$4,O$1,WORKDAY($A840,-1,config_Holiday_Calendar_US),WORKDAY($A840,-1,config_Holiday_Calendar_US)),IF(ISNUMBER(_xll.BDH(config!$G$4,O$1,$A840,$A840)),_xll.BDH(config!$G$4,O$1,$A840,$A840),_xll.BDH(config!$G$5,O$1,$A840,$A840))))</f>
        <v/>
      </c>
      <c r="P840" s="8" t="str">
        <f>IF($A840="","",IF(ISNUMBER(FIND("IMPVOL",P$1)),_xll.BDH(config!$G$4,P$1,WORKDAY($A840,-1,config_Holiday_Calendar_US),WORKDAY($A840,-1,config_Holiday_Calendar_US)),IF(ISNUMBER(_xll.BDH(config!$G$4,P$1,$A840,$A840)),_xll.BDH(config!$G$4,P$1,$A840,$A840),_xll.BDH(config!$G$5,P$1,$A840,$A840))))</f>
        <v/>
      </c>
      <c r="Q840" s="8" t="str">
        <f>IF($A840="","",IF(ISNUMBER(FIND("IMPVOL",Q$1)),_xll.BDH(config!$G$4,Q$1,WORKDAY($A840,-1,config_Holiday_Calendar_US),WORKDAY($A840,-1,config_Holiday_Calendar_US)),IF(ISNUMBER(_xll.BDH(config!$G$4,Q$1,$A840,$A840)),_xll.BDH(config!$G$4,Q$1,$A840,$A840),_xll.BDH(config!$G$5,Q$1,$A840,$A840))))</f>
        <v/>
      </c>
      <c r="R840" s="8" t="str">
        <f>IF($A840="","",IF(ISNUMBER(FIND("IMPVOL",R$1)),_xll.BDH(config!$G$4,R$1,WORKDAY($A840,-1,config_Holiday_Calendar_US),WORKDAY($A840,-1,config_Holiday_Calendar_US)),IF(ISNUMBER(_xll.BDH(config!$G$4,R$1,$A840,$A840)),_xll.BDH(config!$G$4,R$1,$A840,$A840),_xll.BDH(config!$G$5,R$1,$A840,$A840))))</f>
        <v/>
      </c>
      <c r="S840" s="8" t="str">
        <f>IF($A840="","",IF(ISNUMBER(FIND("IMPVOL",S$1)),_xll.BDH(config!$G$4,S$1,WORKDAY($A840,-1,config_Holiday_Calendar_US),WORKDAY($A840,-1,config_Holiday_Calendar_US)),IF(ISNUMBER(_xll.BDH(config!$G$4,S$1,$A840,$A840)),_xll.BDH(config!$G$4,S$1,$A840,$A840),_xll.BDH(config!$G$5,S$1,$A840,$A840))))</f>
        <v/>
      </c>
      <c r="T840" s="8" t="str">
        <f>IF($A840="","",IF(ISNUMBER(FIND("IMPVOL",T$1)),_xll.BDH(config!$G$4,T$1,WORKDAY($A840,-1,config_Holiday_Calendar_US),WORKDAY($A840,-1,config_Holiday_Calendar_US)),IF(ISNUMBER(_xll.BDH(config!$G$4,T$1,$A840,$A840)),_xll.BDH(config!$G$4,T$1,$A840,$A840),_xll.BDH(config!$G$5,T$1,$A840,$A840))))</f>
        <v/>
      </c>
      <c r="U840" s="8" t="str">
        <f>IF($A840="","",IF(ISNUMBER(FIND("IMPVOL",U$1)),_xll.BDH(config!$G$4,U$1,WORKDAY($A840,-1,config_Holiday_Calendar_US),WORKDAY($A840,-1,config_Holiday_Calendar_US)),IF(ISNUMBER(_xll.BDH(config!$G$4,U$1,$A840,$A840)),_xll.BDH(config!$G$4,U$1,$A840,$A840),_xll.BDH(config!$G$5,U$1,$A840,$A840))))</f>
        <v/>
      </c>
      <c r="V840" s="8" t="str">
        <f>IF($A840="","",IF(ISNUMBER(FIND("IMPVOL",V$1)),_xll.BDH(config!$G$4,V$1,WORKDAY($A840,-1,config_Holiday_Calendar_US),WORKDAY($A840,-1,config_Holiday_Calendar_US)),IF(ISNUMBER(_xll.BDH(config!$G$4,V$1,$A840,$A840)),_xll.BDH(config!$G$4,V$1,$A840,$A840),_xll.BDH(config!$G$5,V$1,$A840,$A840))))</f>
        <v/>
      </c>
      <c r="W840" s="8" t="str">
        <f>IF($A840="","",IF(ISNUMBER(FIND("IMPVOL",W$1)),_xll.BDH(config!$G$4,W$1,WORKDAY($A840,-1,config_Holiday_Calendar_US),WORKDAY($A840,-1,config_Holiday_Calendar_US)),IF(ISNUMBER(_xll.BDH(config!$G$4,W$1,$A840,$A840)),_xll.BDH(config!$G$4,W$1,$A840,$A840),_xll.BDH(config!$G$5,W$1,$A840,$A840))))</f>
        <v/>
      </c>
    </row>
    <row r="841" spans="1:23" x14ac:dyDescent="0.2">
      <c r="A841" s="9" t="str">
        <f>IF(A840="","",IF(WORKDAY(A840,-1,config_Holiday_Calendar_US)&lt;config!$I$10,"",WORKDAY(A840,-1,config_Holiday_Calendar_US)))</f>
        <v/>
      </c>
      <c r="B841" s="8" t="str">
        <f t="shared" si="13"/>
        <v/>
      </c>
      <c r="C841" s="8" t="str">
        <f>IF(A841="","",_xll.BDH(config!$H$4,C$1,$A841,$A841))</f>
        <v/>
      </c>
      <c r="D841" s="8" t="str">
        <f>IF($A841="","",_xll.BDH(config!$H$4,D$1,$A841,$A841))</f>
        <v/>
      </c>
      <c r="E841" s="8" t="str">
        <f>IF($A841="","",IF(ISNUMBER(FIND("IMPVOL",E$1)),_xll.BDH(config!$G$4,E$1,WORKDAY($A841,-1,config_Holiday_Calendar_US),WORKDAY($A841,-1,config_Holiday_Calendar_US)),IF(ISNUMBER(_xll.BDH(config!$G$4,E$1,$A841,$A841)),_xll.BDH(config!$G$4,E$1,$A841,$A841),_xll.BDH(config!$G$5,E$1,$A841,$A841))))</f>
        <v/>
      </c>
      <c r="F841" s="8" t="str">
        <f>IF($A841="","",IF(ISNUMBER(FIND("IMPVOL",F$1)),_xll.BDH(config!$G$4,F$1,WORKDAY($A841,-1,config_Holiday_Calendar_US),WORKDAY($A841,-1,config_Holiday_Calendar_US)),IF(ISNUMBER(_xll.BDH(config!$G$4,F$1,$A841,$A841)),_xll.BDH(config!$G$4,F$1,$A841,$A841),_xll.BDH(config!$G$5,F$1,$A841,$A841))))</f>
        <v/>
      </c>
      <c r="G841" s="8" t="str">
        <f>IF($A841="","",IF(ISNUMBER(FIND("IMPVOL",G$1)),_xll.BDH(config!$G$4,G$1,WORKDAY($A841,-1,config_Holiday_Calendar_US),WORKDAY($A841,-1,config_Holiday_Calendar_US)),IF(ISNUMBER(_xll.BDH(config!$G$4,G$1,$A841,$A841)),_xll.BDH(config!$G$4,G$1,$A841,$A841),_xll.BDH(config!$G$5,G$1,$A841,$A841))))</f>
        <v/>
      </c>
      <c r="H841" s="8" t="str">
        <f>IF($A841="","",IF(ISNUMBER(FIND("IMPVOL",H$1)),_xll.BDH(config!$G$4,H$1,WORKDAY($A841,-1,config_Holiday_Calendar_US),WORKDAY($A841,-1,config_Holiday_Calendar_US)),IF(ISNUMBER(_xll.BDH(config!$G$4,H$1,$A841,$A841)),_xll.BDH(config!$G$4,H$1,$A841,$A841),_xll.BDH(config!$G$5,H$1,$A841,$A841))))</f>
        <v/>
      </c>
      <c r="I841" s="8" t="str">
        <f>IF($A841="","",IF(ISNUMBER(FIND("IMPVOL",I$1)),_xll.BDH(config!$G$4,I$1,WORKDAY($A841,-1,config_Holiday_Calendar_US),WORKDAY($A841,-1,config_Holiday_Calendar_US)),IF(ISNUMBER(_xll.BDH(config!$G$4,I$1,$A841,$A841)),_xll.BDH(config!$G$4,I$1,$A841,$A841),_xll.BDH(config!$G$5,I$1,$A841,$A841))))</f>
        <v/>
      </c>
      <c r="J841" s="8" t="str">
        <f>IF($A841="","",IF(ISNUMBER(FIND("IMPVOL",J$1)),_xll.BDH(config!$G$4,J$1,WORKDAY($A841,-1,config_Holiday_Calendar_US),WORKDAY($A841,-1,config_Holiday_Calendar_US)),IF(ISNUMBER(_xll.BDH(config!$G$4,J$1,$A841,$A841)),_xll.BDH(config!$G$4,J$1,$A841,$A841),_xll.BDH(config!$G$5,J$1,$A841,$A841))))</f>
        <v/>
      </c>
      <c r="K841" s="8" t="str">
        <f>IF($A841="","",IF(ISNUMBER(FIND("IMPVOL",K$1)),_xll.BDH(config!$G$4,K$1,WORKDAY($A841,-1,config_Holiday_Calendar_US),WORKDAY($A841,-1,config_Holiday_Calendar_US)),IF(ISNUMBER(_xll.BDH(config!$G$4,K$1,$A841,$A841)),_xll.BDH(config!$G$4,K$1,$A841,$A841),_xll.BDH(config!$G$5,K$1,$A841,$A841))))</f>
        <v/>
      </c>
      <c r="L841" s="8" t="str">
        <f>IF($A841="","",IF(ISNUMBER(FIND("IMPVOL",L$1)),_xll.BDH(config!$G$4,L$1,WORKDAY($A841,-1,config_Holiday_Calendar_US),WORKDAY($A841,-1,config_Holiday_Calendar_US)),IF(ISNUMBER(_xll.BDH(config!$G$4,L$1,$A841,$A841)),_xll.BDH(config!$G$4,L$1,$A841,$A841),_xll.BDH(config!$G$5,L$1,$A841,$A841))))</f>
        <v/>
      </c>
      <c r="M841" s="8" t="str">
        <f>IF($A841="","",IF(ISNUMBER(FIND("IMPVOL",M$1)),_xll.BDH(config!$G$4,M$1,WORKDAY($A841,-1,config_Holiday_Calendar_US),WORKDAY($A841,-1,config_Holiday_Calendar_US)),IF(ISNUMBER(_xll.BDH(config!$G$4,M$1,$A841,$A841)),_xll.BDH(config!$G$4,M$1,$A841,$A841),_xll.BDH(config!$G$5,M$1,$A841,$A841))))</f>
        <v/>
      </c>
      <c r="N841" s="8" t="str">
        <f>IF($A841="","",IF(ISNUMBER(FIND("IMPVOL",N$1)),_xll.BDH(config!$G$4,N$1,WORKDAY($A841,-1,config_Holiday_Calendar_US),WORKDAY($A841,-1,config_Holiday_Calendar_US)),IF(ISNUMBER(_xll.BDH(config!$G$4,N$1,$A841,$A841)),_xll.BDH(config!$G$4,N$1,$A841,$A841),_xll.BDH(config!$G$5,N$1,$A841,$A841))))</f>
        <v/>
      </c>
      <c r="O841" s="8" t="str">
        <f>IF($A841="","",IF(ISNUMBER(FIND("IMPVOL",O$1)),_xll.BDH(config!$G$4,O$1,WORKDAY($A841,-1,config_Holiday_Calendar_US),WORKDAY($A841,-1,config_Holiday_Calendar_US)),IF(ISNUMBER(_xll.BDH(config!$G$4,O$1,$A841,$A841)),_xll.BDH(config!$G$4,O$1,$A841,$A841),_xll.BDH(config!$G$5,O$1,$A841,$A841))))</f>
        <v/>
      </c>
      <c r="P841" s="8" t="str">
        <f>IF($A841="","",IF(ISNUMBER(FIND("IMPVOL",P$1)),_xll.BDH(config!$G$4,P$1,WORKDAY($A841,-1,config_Holiday_Calendar_US),WORKDAY($A841,-1,config_Holiday_Calendar_US)),IF(ISNUMBER(_xll.BDH(config!$G$4,P$1,$A841,$A841)),_xll.BDH(config!$G$4,P$1,$A841,$A841),_xll.BDH(config!$G$5,P$1,$A841,$A841))))</f>
        <v/>
      </c>
      <c r="Q841" s="8" t="str">
        <f>IF($A841="","",IF(ISNUMBER(FIND("IMPVOL",Q$1)),_xll.BDH(config!$G$4,Q$1,WORKDAY($A841,-1,config_Holiday_Calendar_US),WORKDAY($A841,-1,config_Holiday_Calendar_US)),IF(ISNUMBER(_xll.BDH(config!$G$4,Q$1,$A841,$A841)),_xll.BDH(config!$G$4,Q$1,$A841,$A841),_xll.BDH(config!$G$5,Q$1,$A841,$A841))))</f>
        <v/>
      </c>
      <c r="R841" s="8" t="str">
        <f>IF($A841="","",IF(ISNUMBER(FIND("IMPVOL",R$1)),_xll.BDH(config!$G$4,R$1,WORKDAY($A841,-1,config_Holiday_Calendar_US),WORKDAY($A841,-1,config_Holiday_Calendar_US)),IF(ISNUMBER(_xll.BDH(config!$G$4,R$1,$A841,$A841)),_xll.BDH(config!$G$4,R$1,$A841,$A841),_xll.BDH(config!$G$5,R$1,$A841,$A841))))</f>
        <v/>
      </c>
      <c r="S841" s="8" t="str">
        <f>IF($A841="","",IF(ISNUMBER(FIND("IMPVOL",S$1)),_xll.BDH(config!$G$4,S$1,WORKDAY($A841,-1,config_Holiday_Calendar_US),WORKDAY($A841,-1,config_Holiday_Calendar_US)),IF(ISNUMBER(_xll.BDH(config!$G$4,S$1,$A841,$A841)),_xll.BDH(config!$G$4,S$1,$A841,$A841),_xll.BDH(config!$G$5,S$1,$A841,$A841))))</f>
        <v/>
      </c>
      <c r="T841" s="8" t="str">
        <f>IF($A841="","",IF(ISNUMBER(FIND("IMPVOL",T$1)),_xll.BDH(config!$G$4,T$1,WORKDAY($A841,-1,config_Holiday_Calendar_US),WORKDAY($A841,-1,config_Holiday_Calendar_US)),IF(ISNUMBER(_xll.BDH(config!$G$4,T$1,$A841,$A841)),_xll.BDH(config!$G$4,T$1,$A841,$A841),_xll.BDH(config!$G$5,T$1,$A841,$A841))))</f>
        <v/>
      </c>
      <c r="U841" s="8" t="str">
        <f>IF($A841="","",IF(ISNUMBER(FIND("IMPVOL",U$1)),_xll.BDH(config!$G$4,U$1,WORKDAY($A841,-1,config_Holiday_Calendar_US),WORKDAY($A841,-1,config_Holiday_Calendar_US)),IF(ISNUMBER(_xll.BDH(config!$G$4,U$1,$A841,$A841)),_xll.BDH(config!$G$4,U$1,$A841,$A841),_xll.BDH(config!$G$5,U$1,$A841,$A841))))</f>
        <v/>
      </c>
      <c r="V841" s="8" t="str">
        <f>IF($A841="","",IF(ISNUMBER(FIND("IMPVOL",V$1)),_xll.BDH(config!$G$4,V$1,WORKDAY($A841,-1,config_Holiday_Calendar_US),WORKDAY($A841,-1,config_Holiday_Calendar_US)),IF(ISNUMBER(_xll.BDH(config!$G$4,V$1,$A841,$A841)),_xll.BDH(config!$G$4,V$1,$A841,$A841),_xll.BDH(config!$G$5,V$1,$A841,$A841))))</f>
        <v/>
      </c>
      <c r="W841" s="8" t="str">
        <f>IF($A841="","",IF(ISNUMBER(FIND("IMPVOL",W$1)),_xll.BDH(config!$G$4,W$1,WORKDAY($A841,-1,config_Holiday_Calendar_US),WORKDAY($A841,-1,config_Holiday_Calendar_US)),IF(ISNUMBER(_xll.BDH(config!$G$4,W$1,$A841,$A841)),_xll.BDH(config!$G$4,W$1,$A841,$A841),_xll.BDH(config!$G$5,W$1,$A841,$A841))))</f>
        <v/>
      </c>
    </row>
    <row r="842" spans="1:23" x14ac:dyDescent="0.2">
      <c r="A842" s="9" t="str">
        <f>IF(A841="","",IF(WORKDAY(A841,-1,config_Holiday_Calendar_US)&lt;config!$I$10,"",WORKDAY(A841,-1,config_Holiday_Calendar_US)))</f>
        <v/>
      </c>
      <c r="B842" s="8" t="str">
        <f t="shared" si="13"/>
        <v/>
      </c>
      <c r="C842" s="8" t="str">
        <f>IF(A842="","",_xll.BDH(config!$H$4,C$1,$A842,$A842))</f>
        <v/>
      </c>
      <c r="D842" s="8" t="str">
        <f>IF($A842="","",_xll.BDH(config!$H$4,D$1,$A842,$A842))</f>
        <v/>
      </c>
      <c r="E842" s="8" t="str">
        <f>IF($A842="","",IF(ISNUMBER(FIND("IMPVOL",E$1)),_xll.BDH(config!$G$4,E$1,WORKDAY($A842,-1,config_Holiday_Calendar_US),WORKDAY($A842,-1,config_Holiday_Calendar_US)),IF(ISNUMBER(_xll.BDH(config!$G$4,E$1,$A842,$A842)),_xll.BDH(config!$G$4,E$1,$A842,$A842),_xll.BDH(config!$G$5,E$1,$A842,$A842))))</f>
        <v/>
      </c>
      <c r="F842" s="8" t="str">
        <f>IF($A842="","",IF(ISNUMBER(FIND("IMPVOL",F$1)),_xll.BDH(config!$G$4,F$1,WORKDAY($A842,-1,config_Holiday_Calendar_US),WORKDAY($A842,-1,config_Holiday_Calendar_US)),IF(ISNUMBER(_xll.BDH(config!$G$4,F$1,$A842,$A842)),_xll.BDH(config!$G$4,F$1,$A842,$A842),_xll.BDH(config!$G$5,F$1,$A842,$A842))))</f>
        <v/>
      </c>
      <c r="G842" s="8" t="str">
        <f>IF($A842="","",IF(ISNUMBER(FIND("IMPVOL",G$1)),_xll.BDH(config!$G$4,G$1,WORKDAY($A842,-1,config_Holiday_Calendar_US),WORKDAY($A842,-1,config_Holiday_Calendar_US)),IF(ISNUMBER(_xll.BDH(config!$G$4,G$1,$A842,$A842)),_xll.BDH(config!$G$4,G$1,$A842,$A842),_xll.BDH(config!$G$5,G$1,$A842,$A842))))</f>
        <v/>
      </c>
      <c r="H842" s="8" t="str">
        <f>IF($A842="","",IF(ISNUMBER(FIND("IMPVOL",H$1)),_xll.BDH(config!$G$4,H$1,WORKDAY($A842,-1,config_Holiday_Calendar_US),WORKDAY($A842,-1,config_Holiday_Calendar_US)),IF(ISNUMBER(_xll.BDH(config!$G$4,H$1,$A842,$A842)),_xll.BDH(config!$G$4,H$1,$A842,$A842),_xll.BDH(config!$G$5,H$1,$A842,$A842))))</f>
        <v/>
      </c>
      <c r="I842" s="8" t="str">
        <f>IF($A842="","",IF(ISNUMBER(FIND("IMPVOL",I$1)),_xll.BDH(config!$G$4,I$1,WORKDAY($A842,-1,config_Holiday_Calendar_US),WORKDAY($A842,-1,config_Holiday_Calendar_US)),IF(ISNUMBER(_xll.BDH(config!$G$4,I$1,$A842,$A842)),_xll.BDH(config!$G$4,I$1,$A842,$A842),_xll.BDH(config!$G$5,I$1,$A842,$A842))))</f>
        <v/>
      </c>
      <c r="J842" s="8" t="str">
        <f>IF($A842="","",IF(ISNUMBER(FIND("IMPVOL",J$1)),_xll.BDH(config!$G$4,J$1,WORKDAY($A842,-1,config_Holiday_Calendar_US),WORKDAY($A842,-1,config_Holiday_Calendar_US)),IF(ISNUMBER(_xll.BDH(config!$G$4,J$1,$A842,$A842)),_xll.BDH(config!$G$4,J$1,$A842,$A842),_xll.BDH(config!$G$5,J$1,$A842,$A842))))</f>
        <v/>
      </c>
      <c r="K842" s="8" t="str">
        <f>IF($A842="","",IF(ISNUMBER(FIND("IMPVOL",K$1)),_xll.BDH(config!$G$4,K$1,WORKDAY($A842,-1,config_Holiday_Calendar_US),WORKDAY($A842,-1,config_Holiday_Calendar_US)),IF(ISNUMBER(_xll.BDH(config!$G$4,K$1,$A842,$A842)),_xll.BDH(config!$G$4,K$1,$A842,$A842),_xll.BDH(config!$G$5,K$1,$A842,$A842))))</f>
        <v/>
      </c>
      <c r="L842" s="8" t="str">
        <f>IF($A842="","",IF(ISNUMBER(FIND("IMPVOL",L$1)),_xll.BDH(config!$G$4,L$1,WORKDAY($A842,-1,config_Holiday_Calendar_US),WORKDAY($A842,-1,config_Holiday_Calendar_US)),IF(ISNUMBER(_xll.BDH(config!$G$4,L$1,$A842,$A842)),_xll.BDH(config!$G$4,L$1,$A842,$A842),_xll.BDH(config!$G$5,L$1,$A842,$A842))))</f>
        <v/>
      </c>
      <c r="M842" s="8" t="str">
        <f>IF($A842="","",IF(ISNUMBER(FIND("IMPVOL",M$1)),_xll.BDH(config!$G$4,M$1,WORKDAY($A842,-1,config_Holiday_Calendar_US),WORKDAY($A842,-1,config_Holiday_Calendar_US)),IF(ISNUMBER(_xll.BDH(config!$G$4,M$1,$A842,$A842)),_xll.BDH(config!$G$4,M$1,$A842,$A842),_xll.BDH(config!$G$5,M$1,$A842,$A842))))</f>
        <v/>
      </c>
      <c r="N842" s="8" t="str">
        <f>IF($A842="","",IF(ISNUMBER(FIND("IMPVOL",N$1)),_xll.BDH(config!$G$4,N$1,WORKDAY($A842,-1,config_Holiday_Calendar_US),WORKDAY($A842,-1,config_Holiday_Calendar_US)),IF(ISNUMBER(_xll.BDH(config!$G$4,N$1,$A842,$A842)),_xll.BDH(config!$G$4,N$1,$A842,$A842),_xll.BDH(config!$G$5,N$1,$A842,$A842))))</f>
        <v/>
      </c>
      <c r="O842" s="8" t="str">
        <f>IF($A842="","",IF(ISNUMBER(FIND("IMPVOL",O$1)),_xll.BDH(config!$G$4,O$1,WORKDAY($A842,-1,config_Holiday_Calendar_US),WORKDAY($A842,-1,config_Holiday_Calendar_US)),IF(ISNUMBER(_xll.BDH(config!$G$4,O$1,$A842,$A842)),_xll.BDH(config!$G$4,O$1,$A842,$A842),_xll.BDH(config!$G$5,O$1,$A842,$A842))))</f>
        <v/>
      </c>
      <c r="P842" s="8" t="str">
        <f>IF($A842="","",IF(ISNUMBER(FIND("IMPVOL",P$1)),_xll.BDH(config!$G$4,P$1,WORKDAY($A842,-1,config_Holiday_Calendar_US),WORKDAY($A842,-1,config_Holiday_Calendar_US)),IF(ISNUMBER(_xll.BDH(config!$G$4,P$1,$A842,$A842)),_xll.BDH(config!$G$4,P$1,$A842,$A842),_xll.BDH(config!$G$5,P$1,$A842,$A842))))</f>
        <v/>
      </c>
      <c r="Q842" s="8" t="str">
        <f>IF($A842="","",IF(ISNUMBER(FIND("IMPVOL",Q$1)),_xll.BDH(config!$G$4,Q$1,WORKDAY($A842,-1,config_Holiday_Calendar_US),WORKDAY($A842,-1,config_Holiday_Calendar_US)),IF(ISNUMBER(_xll.BDH(config!$G$4,Q$1,$A842,$A842)),_xll.BDH(config!$G$4,Q$1,$A842,$A842),_xll.BDH(config!$G$5,Q$1,$A842,$A842))))</f>
        <v/>
      </c>
      <c r="R842" s="8" t="str">
        <f>IF($A842="","",IF(ISNUMBER(FIND("IMPVOL",R$1)),_xll.BDH(config!$G$4,R$1,WORKDAY($A842,-1,config_Holiday_Calendar_US),WORKDAY($A842,-1,config_Holiday_Calendar_US)),IF(ISNUMBER(_xll.BDH(config!$G$4,R$1,$A842,$A842)),_xll.BDH(config!$G$4,R$1,$A842,$A842),_xll.BDH(config!$G$5,R$1,$A842,$A842))))</f>
        <v/>
      </c>
      <c r="S842" s="8" t="str">
        <f>IF($A842="","",IF(ISNUMBER(FIND("IMPVOL",S$1)),_xll.BDH(config!$G$4,S$1,WORKDAY($A842,-1,config_Holiday_Calendar_US),WORKDAY($A842,-1,config_Holiday_Calendar_US)),IF(ISNUMBER(_xll.BDH(config!$G$4,S$1,$A842,$A842)),_xll.BDH(config!$G$4,S$1,$A842,$A842),_xll.BDH(config!$G$5,S$1,$A842,$A842))))</f>
        <v/>
      </c>
      <c r="T842" s="8" t="str">
        <f>IF($A842="","",IF(ISNUMBER(FIND("IMPVOL",T$1)),_xll.BDH(config!$G$4,T$1,WORKDAY($A842,-1,config_Holiday_Calendar_US),WORKDAY($A842,-1,config_Holiday_Calendar_US)),IF(ISNUMBER(_xll.BDH(config!$G$4,T$1,$A842,$A842)),_xll.BDH(config!$G$4,T$1,$A842,$A842),_xll.BDH(config!$G$5,T$1,$A842,$A842))))</f>
        <v/>
      </c>
      <c r="U842" s="8" t="str">
        <f>IF($A842="","",IF(ISNUMBER(FIND("IMPVOL",U$1)),_xll.BDH(config!$G$4,U$1,WORKDAY($A842,-1,config_Holiday_Calendar_US),WORKDAY($A842,-1,config_Holiday_Calendar_US)),IF(ISNUMBER(_xll.BDH(config!$G$4,U$1,$A842,$A842)),_xll.BDH(config!$G$4,U$1,$A842,$A842),_xll.BDH(config!$G$5,U$1,$A842,$A842))))</f>
        <v/>
      </c>
      <c r="V842" s="8" t="str">
        <f>IF($A842="","",IF(ISNUMBER(FIND("IMPVOL",V$1)),_xll.BDH(config!$G$4,V$1,WORKDAY($A842,-1,config_Holiday_Calendar_US),WORKDAY($A842,-1,config_Holiday_Calendar_US)),IF(ISNUMBER(_xll.BDH(config!$G$4,V$1,$A842,$A842)),_xll.BDH(config!$G$4,V$1,$A842,$A842),_xll.BDH(config!$G$5,V$1,$A842,$A842))))</f>
        <v/>
      </c>
      <c r="W842" s="8" t="str">
        <f>IF($A842="","",IF(ISNUMBER(FIND("IMPVOL",W$1)),_xll.BDH(config!$G$4,W$1,WORKDAY($A842,-1,config_Holiday_Calendar_US),WORKDAY($A842,-1,config_Holiday_Calendar_US)),IF(ISNUMBER(_xll.BDH(config!$G$4,W$1,$A842,$A842)),_xll.BDH(config!$G$4,W$1,$A842,$A842),_xll.BDH(config!$G$5,W$1,$A842,$A842))))</f>
        <v/>
      </c>
    </row>
    <row r="843" spans="1:23" x14ac:dyDescent="0.2">
      <c r="A843" s="9" t="str">
        <f>IF(A842="","",IF(WORKDAY(A842,-1,config_Holiday_Calendar_US)&lt;config!$I$10,"",WORKDAY(A842,-1,config_Holiday_Calendar_US)))</f>
        <v/>
      </c>
      <c r="B843" s="8" t="str">
        <f t="shared" si="13"/>
        <v/>
      </c>
      <c r="C843" s="8" t="str">
        <f>IF(A843="","",_xll.BDH(config!$H$4,C$1,$A843,$A843))</f>
        <v/>
      </c>
      <c r="D843" s="8" t="str">
        <f>IF($A843="","",_xll.BDH(config!$H$4,D$1,$A843,$A843))</f>
        <v/>
      </c>
      <c r="E843" s="8" t="str">
        <f>IF($A843="","",IF(ISNUMBER(FIND("IMPVOL",E$1)),_xll.BDH(config!$G$4,E$1,WORKDAY($A843,-1,config_Holiday_Calendar_US),WORKDAY($A843,-1,config_Holiday_Calendar_US)),IF(ISNUMBER(_xll.BDH(config!$G$4,E$1,$A843,$A843)),_xll.BDH(config!$G$4,E$1,$A843,$A843),_xll.BDH(config!$G$5,E$1,$A843,$A843))))</f>
        <v/>
      </c>
      <c r="F843" s="8" t="str">
        <f>IF($A843="","",IF(ISNUMBER(FIND("IMPVOL",F$1)),_xll.BDH(config!$G$4,F$1,WORKDAY($A843,-1,config_Holiday_Calendar_US),WORKDAY($A843,-1,config_Holiday_Calendar_US)),IF(ISNUMBER(_xll.BDH(config!$G$4,F$1,$A843,$A843)),_xll.BDH(config!$G$4,F$1,$A843,$A843),_xll.BDH(config!$G$5,F$1,$A843,$A843))))</f>
        <v/>
      </c>
      <c r="G843" s="8" t="str">
        <f>IF($A843="","",IF(ISNUMBER(FIND("IMPVOL",G$1)),_xll.BDH(config!$G$4,G$1,WORKDAY($A843,-1,config_Holiday_Calendar_US),WORKDAY($A843,-1,config_Holiday_Calendar_US)),IF(ISNUMBER(_xll.BDH(config!$G$4,G$1,$A843,$A843)),_xll.BDH(config!$G$4,G$1,$A843,$A843),_xll.BDH(config!$G$5,G$1,$A843,$A843))))</f>
        <v/>
      </c>
      <c r="H843" s="8" t="str">
        <f>IF($A843="","",IF(ISNUMBER(FIND("IMPVOL",H$1)),_xll.BDH(config!$G$4,H$1,WORKDAY($A843,-1,config_Holiday_Calendar_US),WORKDAY($A843,-1,config_Holiday_Calendar_US)),IF(ISNUMBER(_xll.BDH(config!$G$4,H$1,$A843,$A843)),_xll.BDH(config!$G$4,H$1,$A843,$A843),_xll.BDH(config!$G$5,H$1,$A843,$A843))))</f>
        <v/>
      </c>
      <c r="I843" s="8" t="str">
        <f>IF($A843="","",IF(ISNUMBER(FIND("IMPVOL",I$1)),_xll.BDH(config!$G$4,I$1,WORKDAY($A843,-1,config_Holiday_Calendar_US),WORKDAY($A843,-1,config_Holiday_Calendar_US)),IF(ISNUMBER(_xll.BDH(config!$G$4,I$1,$A843,$A843)),_xll.BDH(config!$G$4,I$1,$A843,$A843),_xll.BDH(config!$G$5,I$1,$A843,$A843))))</f>
        <v/>
      </c>
      <c r="J843" s="8" t="str">
        <f>IF($A843="","",IF(ISNUMBER(FIND("IMPVOL",J$1)),_xll.BDH(config!$G$4,J$1,WORKDAY($A843,-1,config_Holiday_Calendar_US),WORKDAY($A843,-1,config_Holiday_Calendar_US)),IF(ISNUMBER(_xll.BDH(config!$G$4,J$1,$A843,$A843)),_xll.BDH(config!$G$4,J$1,$A843,$A843),_xll.BDH(config!$G$5,J$1,$A843,$A843))))</f>
        <v/>
      </c>
      <c r="K843" s="8" t="str">
        <f>IF($A843="","",IF(ISNUMBER(FIND("IMPVOL",K$1)),_xll.BDH(config!$G$4,K$1,WORKDAY($A843,-1,config_Holiday_Calendar_US),WORKDAY($A843,-1,config_Holiday_Calendar_US)),IF(ISNUMBER(_xll.BDH(config!$G$4,K$1,$A843,$A843)),_xll.BDH(config!$G$4,K$1,$A843,$A843),_xll.BDH(config!$G$5,K$1,$A843,$A843))))</f>
        <v/>
      </c>
      <c r="L843" s="8" t="str">
        <f>IF($A843="","",IF(ISNUMBER(FIND("IMPVOL",L$1)),_xll.BDH(config!$G$4,L$1,WORKDAY($A843,-1,config_Holiday_Calendar_US),WORKDAY($A843,-1,config_Holiday_Calendar_US)),IF(ISNUMBER(_xll.BDH(config!$G$4,L$1,$A843,$A843)),_xll.BDH(config!$G$4,L$1,$A843,$A843),_xll.BDH(config!$G$5,L$1,$A843,$A843))))</f>
        <v/>
      </c>
      <c r="M843" s="8" t="str">
        <f>IF($A843="","",IF(ISNUMBER(FIND("IMPVOL",M$1)),_xll.BDH(config!$G$4,M$1,WORKDAY($A843,-1,config_Holiday_Calendar_US),WORKDAY($A843,-1,config_Holiday_Calendar_US)),IF(ISNUMBER(_xll.BDH(config!$G$4,M$1,$A843,$A843)),_xll.BDH(config!$G$4,M$1,$A843,$A843),_xll.BDH(config!$G$5,M$1,$A843,$A843))))</f>
        <v/>
      </c>
      <c r="N843" s="8" t="str">
        <f>IF($A843="","",IF(ISNUMBER(FIND("IMPVOL",N$1)),_xll.BDH(config!$G$4,N$1,WORKDAY($A843,-1,config_Holiday_Calendar_US),WORKDAY($A843,-1,config_Holiday_Calendar_US)),IF(ISNUMBER(_xll.BDH(config!$G$4,N$1,$A843,$A843)),_xll.BDH(config!$G$4,N$1,$A843,$A843),_xll.BDH(config!$G$5,N$1,$A843,$A843))))</f>
        <v/>
      </c>
      <c r="O843" s="8" t="str">
        <f>IF($A843="","",IF(ISNUMBER(FIND("IMPVOL",O$1)),_xll.BDH(config!$G$4,O$1,WORKDAY($A843,-1,config_Holiday_Calendar_US),WORKDAY($A843,-1,config_Holiday_Calendar_US)),IF(ISNUMBER(_xll.BDH(config!$G$4,O$1,$A843,$A843)),_xll.BDH(config!$G$4,O$1,$A843,$A843),_xll.BDH(config!$G$5,O$1,$A843,$A843))))</f>
        <v/>
      </c>
      <c r="P843" s="8" t="str">
        <f>IF($A843="","",IF(ISNUMBER(FIND("IMPVOL",P$1)),_xll.BDH(config!$G$4,P$1,WORKDAY($A843,-1,config_Holiday_Calendar_US),WORKDAY($A843,-1,config_Holiday_Calendar_US)),IF(ISNUMBER(_xll.BDH(config!$G$4,P$1,$A843,$A843)),_xll.BDH(config!$G$4,P$1,$A843,$A843),_xll.BDH(config!$G$5,P$1,$A843,$A843))))</f>
        <v/>
      </c>
      <c r="Q843" s="8" t="str">
        <f>IF($A843="","",IF(ISNUMBER(FIND("IMPVOL",Q$1)),_xll.BDH(config!$G$4,Q$1,WORKDAY($A843,-1,config_Holiday_Calendar_US),WORKDAY($A843,-1,config_Holiday_Calendar_US)),IF(ISNUMBER(_xll.BDH(config!$G$4,Q$1,$A843,$A843)),_xll.BDH(config!$G$4,Q$1,$A843,$A843),_xll.BDH(config!$G$5,Q$1,$A843,$A843))))</f>
        <v/>
      </c>
      <c r="R843" s="8" t="str">
        <f>IF($A843="","",IF(ISNUMBER(FIND("IMPVOL",R$1)),_xll.BDH(config!$G$4,R$1,WORKDAY($A843,-1,config_Holiday_Calendar_US),WORKDAY($A843,-1,config_Holiday_Calendar_US)),IF(ISNUMBER(_xll.BDH(config!$G$4,R$1,$A843,$A843)),_xll.BDH(config!$G$4,R$1,$A843,$A843),_xll.BDH(config!$G$5,R$1,$A843,$A843))))</f>
        <v/>
      </c>
      <c r="S843" s="8" t="str">
        <f>IF($A843="","",IF(ISNUMBER(FIND("IMPVOL",S$1)),_xll.BDH(config!$G$4,S$1,WORKDAY($A843,-1,config_Holiday_Calendar_US),WORKDAY($A843,-1,config_Holiday_Calendar_US)),IF(ISNUMBER(_xll.BDH(config!$G$4,S$1,$A843,$A843)),_xll.BDH(config!$G$4,S$1,$A843,$A843),_xll.BDH(config!$G$5,S$1,$A843,$A843))))</f>
        <v/>
      </c>
      <c r="T843" s="8" t="str">
        <f>IF($A843="","",IF(ISNUMBER(FIND("IMPVOL",T$1)),_xll.BDH(config!$G$4,T$1,WORKDAY($A843,-1,config_Holiday_Calendar_US),WORKDAY($A843,-1,config_Holiday_Calendar_US)),IF(ISNUMBER(_xll.BDH(config!$G$4,T$1,$A843,$A843)),_xll.BDH(config!$G$4,T$1,$A843,$A843),_xll.BDH(config!$G$5,T$1,$A843,$A843))))</f>
        <v/>
      </c>
      <c r="U843" s="8" t="str">
        <f>IF($A843="","",IF(ISNUMBER(FIND("IMPVOL",U$1)),_xll.BDH(config!$G$4,U$1,WORKDAY($A843,-1,config_Holiday_Calendar_US),WORKDAY($A843,-1,config_Holiday_Calendar_US)),IF(ISNUMBER(_xll.BDH(config!$G$4,U$1,$A843,$A843)),_xll.BDH(config!$G$4,U$1,$A843,$A843),_xll.BDH(config!$G$5,U$1,$A843,$A843))))</f>
        <v/>
      </c>
      <c r="V843" s="8" t="str">
        <f>IF($A843="","",IF(ISNUMBER(FIND("IMPVOL",V$1)),_xll.BDH(config!$G$4,V$1,WORKDAY($A843,-1,config_Holiday_Calendar_US),WORKDAY($A843,-1,config_Holiday_Calendar_US)),IF(ISNUMBER(_xll.BDH(config!$G$4,V$1,$A843,$A843)),_xll.BDH(config!$G$4,V$1,$A843,$A843),_xll.BDH(config!$G$5,V$1,$A843,$A843))))</f>
        <v/>
      </c>
      <c r="W843" s="8" t="str">
        <f>IF($A843="","",IF(ISNUMBER(FIND("IMPVOL",W$1)),_xll.BDH(config!$G$4,W$1,WORKDAY($A843,-1,config_Holiday_Calendar_US),WORKDAY($A843,-1,config_Holiday_Calendar_US)),IF(ISNUMBER(_xll.BDH(config!$G$4,W$1,$A843,$A843)),_xll.BDH(config!$G$4,W$1,$A843,$A843),_xll.BDH(config!$G$5,W$1,$A843,$A843))))</f>
        <v/>
      </c>
    </row>
    <row r="844" spans="1:23" x14ac:dyDescent="0.2">
      <c r="A844" s="9" t="str">
        <f>IF(A843="","",IF(WORKDAY(A843,-1,config_Holiday_Calendar_US)&lt;config!$I$10,"",WORKDAY(A843,-1,config_Holiday_Calendar_US)))</f>
        <v/>
      </c>
      <c r="B844" s="8" t="str">
        <f t="shared" si="13"/>
        <v/>
      </c>
      <c r="C844" s="8" t="str">
        <f>IF(A844="","",_xll.BDH(config!$H$4,C$1,$A844,$A844))</f>
        <v/>
      </c>
      <c r="D844" s="8" t="str">
        <f>IF($A844="","",_xll.BDH(config!$H$4,D$1,$A844,$A844))</f>
        <v/>
      </c>
      <c r="E844" s="8" t="str">
        <f>IF($A844="","",IF(ISNUMBER(FIND("IMPVOL",E$1)),_xll.BDH(config!$G$4,E$1,WORKDAY($A844,-1,config_Holiday_Calendar_US),WORKDAY($A844,-1,config_Holiday_Calendar_US)),IF(ISNUMBER(_xll.BDH(config!$G$4,E$1,$A844,$A844)),_xll.BDH(config!$G$4,E$1,$A844,$A844),_xll.BDH(config!$G$5,E$1,$A844,$A844))))</f>
        <v/>
      </c>
      <c r="F844" s="8" t="str">
        <f>IF($A844="","",IF(ISNUMBER(FIND("IMPVOL",F$1)),_xll.BDH(config!$G$4,F$1,WORKDAY($A844,-1,config_Holiday_Calendar_US),WORKDAY($A844,-1,config_Holiday_Calendar_US)),IF(ISNUMBER(_xll.BDH(config!$G$4,F$1,$A844,$A844)),_xll.BDH(config!$G$4,F$1,$A844,$A844),_xll.BDH(config!$G$5,F$1,$A844,$A844))))</f>
        <v/>
      </c>
      <c r="G844" s="8" t="str">
        <f>IF($A844="","",IF(ISNUMBER(FIND("IMPVOL",G$1)),_xll.BDH(config!$G$4,G$1,WORKDAY($A844,-1,config_Holiday_Calendar_US),WORKDAY($A844,-1,config_Holiday_Calendar_US)),IF(ISNUMBER(_xll.BDH(config!$G$4,G$1,$A844,$A844)),_xll.BDH(config!$G$4,G$1,$A844,$A844),_xll.BDH(config!$G$5,G$1,$A844,$A844))))</f>
        <v/>
      </c>
      <c r="H844" s="8" t="str">
        <f>IF($A844="","",IF(ISNUMBER(FIND("IMPVOL",H$1)),_xll.BDH(config!$G$4,H$1,WORKDAY($A844,-1,config_Holiday_Calendar_US),WORKDAY($A844,-1,config_Holiday_Calendar_US)),IF(ISNUMBER(_xll.BDH(config!$G$4,H$1,$A844,$A844)),_xll.BDH(config!$G$4,H$1,$A844,$A844),_xll.BDH(config!$G$5,H$1,$A844,$A844))))</f>
        <v/>
      </c>
      <c r="I844" s="8" t="str">
        <f>IF($A844="","",IF(ISNUMBER(FIND("IMPVOL",I$1)),_xll.BDH(config!$G$4,I$1,WORKDAY($A844,-1,config_Holiday_Calendar_US),WORKDAY($A844,-1,config_Holiday_Calendar_US)),IF(ISNUMBER(_xll.BDH(config!$G$4,I$1,$A844,$A844)),_xll.BDH(config!$G$4,I$1,$A844,$A844),_xll.BDH(config!$G$5,I$1,$A844,$A844))))</f>
        <v/>
      </c>
      <c r="J844" s="8" t="str">
        <f>IF($A844="","",IF(ISNUMBER(FIND("IMPVOL",J$1)),_xll.BDH(config!$G$4,J$1,WORKDAY($A844,-1,config_Holiday_Calendar_US),WORKDAY($A844,-1,config_Holiday_Calendar_US)),IF(ISNUMBER(_xll.BDH(config!$G$4,J$1,$A844,$A844)),_xll.BDH(config!$G$4,J$1,$A844,$A844),_xll.BDH(config!$G$5,J$1,$A844,$A844))))</f>
        <v/>
      </c>
      <c r="K844" s="8" t="str">
        <f>IF($A844="","",IF(ISNUMBER(FIND("IMPVOL",K$1)),_xll.BDH(config!$G$4,K$1,WORKDAY($A844,-1,config_Holiday_Calendar_US),WORKDAY($A844,-1,config_Holiday_Calendar_US)),IF(ISNUMBER(_xll.BDH(config!$G$4,K$1,$A844,$A844)),_xll.BDH(config!$G$4,K$1,$A844,$A844),_xll.BDH(config!$G$5,K$1,$A844,$A844))))</f>
        <v/>
      </c>
      <c r="L844" s="8" t="str">
        <f>IF($A844="","",IF(ISNUMBER(FIND("IMPVOL",L$1)),_xll.BDH(config!$G$4,L$1,WORKDAY($A844,-1,config_Holiday_Calendar_US),WORKDAY($A844,-1,config_Holiday_Calendar_US)),IF(ISNUMBER(_xll.BDH(config!$G$4,L$1,$A844,$A844)),_xll.BDH(config!$G$4,L$1,$A844,$A844),_xll.BDH(config!$G$5,L$1,$A844,$A844))))</f>
        <v/>
      </c>
      <c r="M844" s="8" t="str">
        <f>IF($A844="","",IF(ISNUMBER(FIND("IMPVOL",M$1)),_xll.BDH(config!$G$4,M$1,WORKDAY($A844,-1,config_Holiday_Calendar_US),WORKDAY($A844,-1,config_Holiday_Calendar_US)),IF(ISNUMBER(_xll.BDH(config!$G$4,M$1,$A844,$A844)),_xll.BDH(config!$G$4,M$1,$A844,$A844),_xll.BDH(config!$G$5,M$1,$A844,$A844))))</f>
        <v/>
      </c>
      <c r="N844" s="8" t="str">
        <f>IF($A844="","",IF(ISNUMBER(FIND("IMPVOL",N$1)),_xll.BDH(config!$G$4,N$1,WORKDAY($A844,-1,config_Holiday_Calendar_US),WORKDAY($A844,-1,config_Holiday_Calendar_US)),IF(ISNUMBER(_xll.BDH(config!$G$4,N$1,$A844,$A844)),_xll.BDH(config!$G$4,N$1,$A844,$A844),_xll.BDH(config!$G$5,N$1,$A844,$A844))))</f>
        <v/>
      </c>
      <c r="O844" s="8" t="str">
        <f>IF($A844="","",IF(ISNUMBER(FIND("IMPVOL",O$1)),_xll.BDH(config!$G$4,O$1,WORKDAY($A844,-1,config_Holiday_Calendar_US),WORKDAY($A844,-1,config_Holiday_Calendar_US)),IF(ISNUMBER(_xll.BDH(config!$G$4,O$1,$A844,$A844)),_xll.BDH(config!$G$4,O$1,$A844,$A844),_xll.BDH(config!$G$5,O$1,$A844,$A844))))</f>
        <v/>
      </c>
      <c r="P844" s="8" t="str">
        <f>IF($A844="","",IF(ISNUMBER(FIND("IMPVOL",P$1)),_xll.BDH(config!$G$4,P$1,WORKDAY($A844,-1,config_Holiday_Calendar_US),WORKDAY($A844,-1,config_Holiday_Calendar_US)),IF(ISNUMBER(_xll.BDH(config!$G$4,P$1,$A844,$A844)),_xll.BDH(config!$G$4,P$1,$A844,$A844),_xll.BDH(config!$G$5,P$1,$A844,$A844))))</f>
        <v/>
      </c>
      <c r="Q844" s="8" t="str">
        <f>IF($A844="","",IF(ISNUMBER(FIND("IMPVOL",Q$1)),_xll.BDH(config!$G$4,Q$1,WORKDAY($A844,-1,config_Holiday_Calendar_US),WORKDAY($A844,-1,config_Holiday_Calendar_US)),IF(ISNUMBER(_xll.BDH(config!$G$4,Q$1,$A844,$A844)),_xll.BDH(config!$G$4,Q$1,$A844,$A844),_xll.BDH(config!$G$5,Q$1,$A844,$A844))))</f>
        <v/>
      </c>
      <c r="R844" s="8" t="str">
        <f>IF($A844="","",IF(ISNUMBER(FIND("IMPVOL",R$1)),_xll.BDH(config!$G$4,R$1,WORKDAY($A844,-1,config_Holiday_Calendar_US),WORKDAY($A844,-1,config_Holiday_Calendar_US)),IF(ISNUMBER(_xll.BDH(config!$G$4,R$1,$A844,$A844)),_xll.BDH(config!$G$4,R$1,$A844,$A844),_xll.BDH(config!$G$5,R$1,$A844,$A844))))</f>
        <v/>
      </c>
      <c r="S844" s="8" t="str">
        <f>IF($A844="","",IF(ISNUMBER(FIND("IMPVOL",S$1)),_xll.BDH(config!$G$4,S$1,WORKDAY($A844,-1,config_Holiday_Calendar_US),WORKDAY($A844,-1,config_Holiday_Calendar_US)),IF(ISNUMBER(_xll.BDH(config!$G$4,S$1,$A844,$A844)),_xll.BDH(config!$G$4,S$1,$A844,$A844),_xll.BDH(config!$G$5,S$1,$A844,$A844))))</f>
        <v/>
      </c>
      <c r="T844" s="8" t="str">
        <f>IF($A844="","",IF(ISNUMBER(FIND("IMPVOL",T$1)),_xll.BDH(config!$G$4,T$1,WORKDAY($A844,-1,config_Holiday_Calendar_US),WORKDAY($A844,-1,config_Holiday_Calendar_US)),IF(ISNUMBER(_xll.BDH(config!$G$4,T$1,$A844,$A844)),_xll.BDH(config!$G$4,T$1,$A844,$A844),_xll.BDH(config!$G$5,T$1,$A844,$A844))))</f>
        <v/>
      </c>
      <c r="U844" s="8" t="str">
        <f>IF($A844="","",IF(ISNUMBER(FIND("IMPVOL",U$1)),_xll.BDH(config!$G$4,U$1,WORKDAY($A844,-1,config_Holiday_Calendar_US),WORKDAY($A844,-1,config_Holiday_Calendar_US)),IF(ISNUMBER(_xll.BDH(config!$G$4,U$1,$A844,$A844)),_xll.BDH(config!$G$4,U$1,$A844,$A844),_xll.BDH(config!$G$5,U$1,$A844,$A844))))</f>
        <v/>
      </c>
      <c r="V844" s="8" t="str">
        <f>IF($A844="","",IF(ISNUMBER(FIND("IMPVOL",V$1)),_xll.BDH(config!$G$4,V$1,WORKDAY($A844,-1,config_Holiday_Calendar_US),WORKDAY($A844,-1,config_Holiday_Calendar_US)),IF(ISNUMBER(_xll.BDH(config!$G$4,V$1,$A844,$A844)),_xll.BDH(config!$G$4,V$1,$A844,$A844),_xll.BDH(config!$G$5,V$1,$A844,$A844))))</f>
        <v/>
      </c>
      <c r="W844" s="8" t="str">
        <f>IF($A844="","",IF(ISNUMBER(FIND("IMPVOL",W$1)),_xll.BDH(config!$G$4,W$1,WORKDAY($A844,-1,config_Holiday_Calendar_US),WORKDAY($A844,-1,config_Holiday_Calendar_US)),IF(ISNUMBER(_xll.BDH(config!$G$4,W$1,$A844,$A844)),_xll.BDH(config!$G$4,W$1,$A844,$A844),_xll.BDH(config!$G$5,W$1,$A844,$A844))))</f>
        <v/>
      </c>
    </row>
    <row r="845" spans="1:23" x14ac:dyDescent="0.2">
      <c r="A845" s="9" t="str">
        <f>IF(A844="","",IF(WORKDAY(A844,-1,config_Holiday_Calendar_US)&lt;config!$I$10,"",WORKDAY(A844,-1,config_Holiday_Calendar_US)))</f>
        <v/>
      </c>
      <c r="B845" s="8" t="str">
        <f t="shared" si="13"/>
        <v/>
      </c>
      <c r="C845" s="8" t="str">
        <f>IF(A845="","",_xll.BDH(config!$H$4,C$1,$A845,$A845))</f>
        <v/>
      </c>
      <c r="D845" s="8" t="str">
        <f>IF($A845="","",_xll.BDH(config!$H$4,D$1,$A845,$A845))</f>
        <v/>
      </c>
      <c r="E845" s="8" t="str">
        <f>IF($A845="","",IF(ISNUMBER(FIND("IMPVOL",E$1)),_xll.BDH(config!$G$4,E$1,WORKDAY($A845,-1,config_Holiday_Calendar_US),WORKDAY($A845,-1,config_Holiday_Calendar_US)),IF(ISNUMBER(_xll.BDH(config!$G$4,E$1,$A845,$A845)),_xll.BDH(config!$G$4,E$1,$A845,$A845),_xll.BDH(config!$G$5,E$1,$A845,$A845))))</f>
        <v/>
      </c>
      <c r="F845" s="8" t="str">
        <f>IF($A845="","",IF(ISNUMBER(FIND("IMPVOL",F$1)),_xll.BDH(config!$G$4,F$1,WORKDAY($A845,-1,config_Holiday_Calendar_US),WORKDAY($A845,-1,config_Holiday_Calendar_US)),IF(ISNUMBER(_xll.BDH(config!$G$4,F$1,$A845,$A845)),_xll.BDH(config!$G$4,F$1,$A845,$A845),_xll.BDH(config!$G$5,F$1,$A845,$A845))))</f>
        <v/>
      </c>
      <c r="G845" s="8" t="str">
        <f>IF($A845="","",IF(ISNUMBER(FIND("IMPVOL",G$1)),_xll.BDH(config!$G$4,G$1,WORKDAY($A845,-1,config_Holiday_Calendar_US),WORKDAY($A845,-1,config_Holiday_Calendar_US)),IF(ISNUMBER(_xll.BDH(config!$G$4,G$1,$A845,$A845)),_xll.BDH(config!$G$4,G$1,$A845,$A845),_xll.BDH(config!$G$5,G$1,$A845,$A845))))</f>
        <v/>
      </c>
      <c r="H845" s="8" t="str">
        <f>IF($A845="","",IF(ISNUMBER(FIND("IMPVOL",H$1)),_xll.BDH(config!$G$4,H$1,WORKDAY($A845,-1,config_Holiday_Calendar_US),WORKDAY($A845,-1,config_Holiday_Calendar_US)),IF(ISNUMBER(_xll.BDH(config!$G$4,H$1,$A845,$A845)),_xll.BDH(config!$G$4,H$1,$A845,$A845),_xll.BDH(config!$G$5,H$1,$A845,$A845))))</f>
        <v/>
      </c>
      <c r="I845" s="8" t="str">
        <f>IF($A845="","",IF(ISNUMBER(FIND("IMPVOL",I$1)),_xll.BDH(config!$G$4,I$1,WORKDAY($A845,-1,config_Holiday_Calendar_US),WORKDAY($A845,-1,config_Holiday_Calendar_US)),IF(ISNUMBER(_xll.BDH(config!$G$4,I$1,$A845,$A845)),_xll.BDH(config!$G$4,I$1,$A845,$A845),_xll.BDH(config!$G$5,I$1,$A845,$A845))))</f>
        <v/>
      </c>
      <c r="J845" s="8" t="str">
        <f>IF($A845="","",IF(ISNUMBER(FIND("IMPVOL",J$1)),_xll.BDH(config!$G$4,J$1,WORKDAY($A845,-1,config_Holiday_Calendar_US),WORKDAY($A845,-1,config_Holiday_Calendar_US)),IF(ISNUMBER(_xll.BDH(config!$G$4,J$1,$A845,$A845)),_xll.BDH(config!$G$4,J$1,$A845,$A845),_xll.BDH(config!$G$5,J$1,$A845,$A845))))</f>
        <v/>
      </c>
      <c r="K845" s="8" t="str">
        <f>IF($A845="","",IF(ISNUMBER(FIND("IMPVOL",K$1)),_xll.BDH(config!$G$4,K$1,WORKDAY($A845,-1,config_Holiday_Calendar_US),WORKDAY($A845,-1,config_Holiday_Calendar_US)),IF(ISNUMBER(_xll.BDH(config!$G$4,K$1,$A845,$A845)),_xll.BDH(config!$G$4,K$1,$A845,$A845),_xll.BDH(config!$G$5,K$1,$A845,$A845))))</f>
        <v/>
      </c>
      <c r="L845" s="8" t="str">
        <f>IF($A845="","",IF(ISNUMBER(FIND("IMPVOL",L$1)),_xll.BDH(config!$G$4,L$1,WORKDAY($A845,-1,config_Holiday_Calendar_US),WORKDAY($A845,-1,config_Holiday_Calendar_US)),IF(ISNUMBER(_xll.BDH(config!$G$4,L$1,$A845,$A845)),_xll.BDH(config!$G$4,L$1,$A845,$A845),_xll.BDH(config!$G$5,L$1,$A845,$A845))))</f>
        <v/>
      </c>
      <c r="M845" s="8" t="str">
        <f>IF($A845="","",IF(ISNUMBER(FIND("IMPVOL",M$1)),_xll.BDH(config!$G$4,M$1,WORKDAY($A845,-1,config_Holiday_Calendar_US),WORKDAY($A845,-1,config_Holiday_Calendar_US)),IF(ISNUMBER(_xll.BDH(config!$G$4,M$1,$A845,$A845)),_xll.BDH(config!$G$4,M$1,$A845,$A845),_xll.BDH(config!$G$5,M$1,$A845,$A845))))</f>
        <v/>
      </c>
      <c r="N845" s="8" t="str">
        <f>IF($A845="","",IF(ISNUMBER(FIND("IMPVOL",N$1)),_xll.BDH(config!$G$4,N$1,WORKDAY($A845,-1,config_Holiday_Calendar_US),WORKDAY($A845,-1,config_Holiday_Calendar_US)),IF(ISNUMBER(_xll.BDH(config!$G$4,N$1,$A845,$A845)),_xll.BDH(config!$G$4,N$1,$A845,$A845),_xll.BDH(config!$G$5,N$1,$A845,$A845))))</f>
        <v/>
      </c>
      <c r="O845" s="8" t="str">
        <f>IF($A845="","",IF(ISNUMBER(FIND("IMPVOL",O$1)),_xll.BDH(config!$G$4,O$1,WORKDAY($A845,-1,config_Holiday_Calendar_US),WORKDAY($A845,-1,config_Holiday_Calendar_US)),IF(ISNUMBER(_xll.BDH(config!$G$4,O$1,$A845,$A845)),_xll.BDH(config!$G$4,O$1,$A845,$A845),_xll.BDH(config!$G$5,O$1,$A845,$A845))))</f>
        <v/>
      </c>
      <c r="P845" s="8" t="str">
        <f>IF($A845="","",IF(ISNUMBER(FIND("IMPVOL",P$1)),_xll.BDH(config!$G$4,P$1,WORKDAY($A845,-1,config_Holiday_Calendar_US),WORKDAY($A845,-1,config_Holiday_Calendar_US)),IF(ISNUMBER(_xll.BDH(config!$G$4,P$1,$A845,$A845)),_xll.BDH(config!$G$4,P$1,$A845,$A845),_xll.BDH(config!$G$5,P$1,$A845,$A845))))</f>
        <v/>
      </c>
      <c r="Q845" s="8" t="str">
        <f>IF($A845="","",IF(ISNUMBER(FIND("IMPVOL",Q$1)),_xll.BDH(config!$G$4,Q$1,WORKDAY($A845,-1,config_Holiday_Calendar_US),WORKDAY($A845,-1,config_Holiday_Calendar_US)),IF(ISNUMBER(_xll.BDH(config!$G$4,Q$1,$A845,$A845)),_xll.BDH(config!$G$4,Q$1,$A845,$A845),_xll.BDH(config!$G$5,Q$1,$A845,$A845))))</f>
        <v/>
      </c>
      <c r="R845" s="8" t="str">
        <f>IF($A845="","",IF(ISNUMBER(FIND("IMPVOL",R$1)),_xll.BDH(config!$G$4,R$1,WORKDAY($A845,-1,config_Holiday_Calendar_US),WORKDAY($A845,-1,config_Holiday_Calendar_US)),IF(ISNUMBER(_xll.BDH(config!$G$4,R$1,$A845,$A845)),_xll.BDH(config!$G$4,R$1,$A845,$A845),_xll.BDH(config!$G$5,R$1,$A845,$A845))))</f>
        <v/>
      </c>
      <c r="S845" s="8" t="str">
        <f>IF($A845="","",IF(ISNUMBER(FIND("IMPVOL",S$1)),_xll.BDH(config!$G$4,S$1,WORKDAY($A845,-1,config_Holiday_Calendar_US),WORKDAY($A845,-1,config_Holiday_Calendar_US)),IF(ISNUMBER(_xll.BDH(config!$G$4,S$1,$A845,$A845)),_xll.BDH(config!$G$4,S$1,$A845,$A845),_xll.BDH(config!$G$5,S$1,$A845,$A845))))</f>
        <v/>
      </c>
      <c r="T845" s="8" t="str">
        <f>IF($A845="","",IF(ISNUMBER(FIND("IMPVOL",T$1)),_xll.BDH(config!$G$4,T$1,WORKDAY($A845,-1,config_Holiday_Calendar_US),WORKDAY($A845,-1,config_Holiday_Calendar_US)),IF(ISNUMBER(_xll.BDH(config!$G$4,T$1,$A845,$A845)),_xll.BDH(config!$G$4,T$1,$A845,$A845),_xll.BDH(config!$G$5,T$1,$A845,$A845))))</f>
        <v/>
      </c>
      <c r="U845" s="8" t="str">
        <f>IF($A845="","",IF(ISNUMBER(FIND("IMPVOL",U$1)),_xll.BDH(config!$G$4,U$1,WORKDAY($A845,-1,config_Holiday_Calendar_US),WORKDAY($A845,-1,config_Holiday_Calendar_US)),IF(ISNUMBER(_xll.BDH(config!$G$4,U$1,$A845,$A845)),_xll.BDH(config!$G$4,U$1,$A845,$A845),_xll.BDH(config!$G$5,U$1,$A845,$A845))))</f>
        <v/>
      </c>
      <c r="V845" s="8" t="str">
        <f>IF($A845="","",IF(ISNUMBER(FIND("IMPVOL",V$1)),_xll.BDH(config!$G$4,V$1,WORKDAY($A845,-1,config_Holiday_Calendar_US),WORKDAY($A845,-1,config_Holiday_Calendar_US)),IF(ISNUMBER(_xll.BDH(config!$G$4,V$1,$A845,$A845)),_xll.BDH(config!$G$4,V$1,$A845,$A845),_xll.BDH(config!$G$5,V$1,$A845,$A845))))</f>
        <v/>
      </c>
      <c r="W845" s="8" t="str">
        <f>IF($A845="","",IF(ISNUMBER(FIND("IMPVOL",W$1)),_xll.BDH(config!$G$4,W$1,WORKDAY($A845,-1,config_Holiday_Calendar_US),WORKDAY($A845,-1,config_Holiday_Calendar_US)),IF(ISNUMBER(_xll.BDH(config!$G$4,W$1,$A845,$A845)),_xll.BDH(config!$G$4,W$1,$A845,$A845),_xll.BDH(config!$G$5,W$1,$A845,$A845))))</f>
        <v/>
      </c>
    </row>
    <row r="846" spans="1:23" x14ac:dyDescent="0.2">
      <c r="A846" s="9" t="str">
        <f>IF(A845="","",IF(WORKDAY(A845,-1,config_Holiday_Calendar_US)&lt;config!$I$10,"",WORKDAY(A845,-1,config_Holiday_Calendar_US)))</f>
        <v/>
      </c>
      <c r="B846" s="8" t="str">
        <f t="shared" si="13"/>
        <v/>
      </c>
      <c r="C846" s="8" t="str">
        <f>IF(A846="","",_xll.BDH(config!$H$4,C$1,$A846,$A846))</f>
        <v/>
      </c>
      <c r="D846" s="8" t="str">
        <f>IF($A846="","",_xll.BDH(config!$H$4,D$1,$A846,$A846))</f>
        <v/>
      </c>
      <c r="E846" s="8" t="str">
        <f>IF($A846="","",IF(ISNUMBER(FIND("IMPVOL",E$1)),_xll.BDH(config!$G$4,E$1,WORKDAY($A846,-1,config_Holiday_Calendar_US),WORKDAY($A846,-1,config_Holiday_Calendar_US)),IF(ISNUMBER(_xll.BDH(config!$G$4,E$1,$A846,$A846)),_xll.BDH(config!$G$4,E$1,$A846,$A846),_xll.BDH(config!$G$5,E$1,$A846,$A846))))</f>
        <v/>
      </c>
      <c r="F846" s="8" t="str">
        <f>IF($A846="","",IF(ISNUMBER(FIND("IMPVOL",F$1)),_xll.BDH(config!$G$4,F$1,WORKDAY($A846,-1,config_Holiday_Calendar_US),WORKDAY($A846,-1,config_Holiday_Calendar_US)),IF(ISNUMBER(_xll.BDH(config!$G$4,F$1,$A846,$A846)),_xll.BDH(config!$G$4,F$1,$A846,$A846),_xll.BDH(config!$G$5,F$1,$A846,$A846))))</f>
        <v/>
      </c>
      <c r="G846" s="8" t="str">
        <f>IF($A846="","",IF(ISNUMBER(FIND("IMPVOL",G$1)),_xll.BDH(config!$G$4,G$1,WORKDAY($A846,-1,config_Holiday_Calendar_US),WORKDAY($A846,-1,config_Holiday_Calendar_US)),IF(ISNUMBER(_xll.BDH(config!$G$4,G$1,$A846,$A846)),_xll.BDH(config!$G$4,G$1,$A846,$A846),_xll.BDH(config!$G$5,G$1,$A846,$A846))))</f>
        <v/>
      </c>
      <c r="H846" s="8" t="str">
        <f>IF($A846="","",IF(ISNUMBER(FIND("IMPVOL",H$1)),_xll.BDH(config!$G$4,H$1,WORKDAY($A846,-1,config_Holiday_Calendar_US),WORKDAY($A846,-1,config_Holiday_Calendar_US)),IF(ISNUMBER(_xll.BDH(config!$G$4,H$1,$A846,$A846)),_xll.BDH(config!$G$4,H$1,$A846,$A846),_xll.BDH(config!$G$5,H$1,$A846,$A846))))</f>
        <v/>
      </c>
      <c r="I846" s="8" t="str">
        <f>IF($A846="","",IF(ISNUMBER(FIND("IMPVOL",I$1)),_xll.BDH(config!$G$4,I$1,WORKDAY($A846,-1,config_Holiday_Calendar_US),WORKDAY($A846,-1,config_Holiday_Calendar_US)),IF(ISNUMBER(_xll.BDH(config!$G$4,I$1,$A846,$A846)),_xll.BDH(config!$G$4,I$1,$A846,$A846),_xll.BDH(config!$G$5,I$1,$A846,$A846))))</f>
        <v/>
      </c>
      <c r="J846" s="8" t="str">
        <f>IF($A846="","",IF(ISNUMBER(FIND("IMPVOL",J$1)),_xll.BDH(config!$G$4,J$1,WORKDAY($A846,-1,config_Holiday_Calendar_US),WORKDAY($A846,-1,config_Holiday_Calendar_US)),IF(ISNUMBER(_xll.BDH(config!$G$4,J$1,$A846,$A846)),_xll.BDH(config!$G$4,J$1,$A846,$A846),_xll.BDH(config!$G$5,J$1,$A846,$A846))))</f>
        <v/>
      </c>
      <c r="K846" s="8" t="str">
        <f>IF($A846="","",IF(ISNUMBER(FIND("IMPVOL",K$1)),_xll.BDH(config!$G$4,K$1,WORKDAY($A846,-1,config_Holiday_Calendar_US),WORKDAY($A846,-1,config_Holiday_Calendar_US)),IF(ISNUMBER(_xll.BDH(config!$G$4,K$1,$A846,$A846)),_xll.BDH(config!$G$4,K$1,$A846,$A846),_xll.BDH(config!$G$5,K$1,$A846,$A846))))</f>
        <v/>
      </c>
      <c r="L846" s="8" t="str">
        <f>IF($A846="","",IF(ISNUMBER(FIND("IMPVOL",L$1)),_xll.BDH(config!$G$4,L$1,WORKDAY($A846,-1,config_Holiday_Calendar_US),WORKDAY($A846,-1,config_Holiday_Calendar_US)),IF(ISNUMBER(_xll.BDH(config!$G$4,L$1,$A846,$A846)),_xll.BDH(config!$G$4,L$1,$A846,$A846),_xll.BDH(config!$G$5,L$1,$A846,$A846))))</f>
        <v/>
      </c>
      <c r="M846" s="8" t="str">
        <f>IF($A846="","",IF(ISNUMBER(FIND("IMPVOL",M$1)),_xll.BDH(config!$G$4,M$1,WORKDAY($A846,-1,config_Holiday_Calendar_US),WORKDAY($A846,-1,config_Holiday_Calendar_US)),IF(ISNUMBER(_xll.BDH(config!$G$4,M$1,$A846,$A846)),_xll.BDH(config!$G$4,M$1,$A846,$A846),_xll.BDH(config!$G$5,M$1,$A846,$A846))))</f>
        <v/>
      </c>
      <c r="N846" s="8" t="str">
        <f>IF($A846="","",IF(ISNUMBER(FIND("IMPVOL",N$1)),_xll.BDH(config!$G$4,N$1,WORKDAY($A846,-1,config_Holiday_Calendar_US),WORKDAY($A846,-1,config_Holiday_Calendar_US)),IF(ISNUMBER(_xll.BDH(config!$G$4,N$1,$A846,$A846)),_xll.BDH(config!$G$4,N$1,$A846,$A846),_xll.BDH(config!$G$5,N$1,$A846,$A846))))</f>
        <v/>
      </c>
      <c r="O846" s="8" t="str">
        <f>IF($A846="","",IF(ISNUMBER(FIND("IMPVOL",O$1)),_xll.BDH(config!$G$4,O$1,WORKDAY($A846,-1,config_Holiday_Calendar_US),WORKDAY($A846,-1,config_Holiday_Calendar_US)),IF(ISNUMBER(_xll.BDH(config!$G$4,O$1,$A846,$A846)),_xll.BDH(config!$G$4,O$1,$A846,$A846),_xll.BDH(config!$G$5,O$1,$A846,$A846))))</f>
        <v/>
      </c>
      <c r="P846" s="8" t="str">
        <f>IF($A846="","",IF(ISNUMBER(FIND("IMPVOL",P$1)),_xll.BDH(config!$G$4,P$1,WORKDAY($A846,-1,config_Holiday_Calendar_US),WORKDAY($A846,-1,config_Holiday_Calendar_US)),IF(ISNUMBER(_xll.BDH(config!$G$4,P$1,$A846,$A846)),_xll.BDH(config!$G$4,P$1,$A846,$A846),_xll.BDH(config!$G$5,P$1,$A846,$A846))))</f>
        <v/>
      </c>
      <c r="Q846" s="8" t="str">
        <f>IF($A846="","",IF(ISNUMBER(FIND("IMPVOL",Q$1)),_xll.BDH(config!$G$4,Q$1,WORKDAY($A846,-1,config_Holiday_Calendar_US),WORKDAY($A846,-1,config_Holiday_Calendar_US)),IF(ISNUMBER(_xll.BDH(config!$G$4,Q$1,$A846,$A846)),_xll.BDH(config!$G$4,Q$1,$A846,$A846),_xll.BDH(config!$G$5,Q$1,$A846,$A846))))</f>
        <v/>
      </c>
      <c r="R846" s="8" t="str">
        <f>IF($A846="","",IF(ISNUMBER(FIND("IMPVOL",R$1)),_xll.BDH(config!$G$4,R$1,WORKDAY($A846,-1,config_Holiday_Calendar_US),WORKDAY($A846,-1,config_Holiday_Calendar_US)),IF(ISNUMBER(_xll.BDH(config!$G$4,R$1,$A846,$A846)),_xll.BDH(config!$G$4,R$1,$A846,$A846),_xll.BDH(config!$G$5,R$1,$A846,$A846))))</f>
        <v/>
      </c>
      <c r="S846" s="8" t="str">
        <f>IF($A846="","",IF(ISNUMBER(FIND("IMPVOL",S$1)),_xll.BDH(config!$G$4,S$1,WORKDAY($A846,-1,config_Holiday_Calendar_US),WORKDAY($A846,-1,config_Holiday_Calendar_US)),IF(ISNUMBER(_xll.BDH(config!$G$4,S$1,$A846,$A846)),_xll.BDH(config!$G$4,S$1,$A846,$A846),_xll.BDH(config!$G$5,S$1,$A846,$A846))))</f>
        <v/>
      </c>
      <c r="T846" s="8" t="str">
        <f>IF($A846="","",IF(ISNUMBER(FIND("IMPVOL",T$1)),_xll.BDH(config!$G$4,T$1,WORKDAY($A846,-1,config_Holiday_Calendar_US),WORKDAY($A846,-1,config_Holiday_Calendar_US)),IF(ISNUMBER(_xll.BDH(config!$G$4,T$1,$A846,$A846)),_xll.BDH(config!$G$4,T$1,$A846,$A846),_xll.BDH(config!$G$5,T$1,$A846,$A846))))</f>
        <v/>
      </c>
      <c r="U846" s="8" t="str">
        <f>IF($A846="","",IF(ISNUMBER(FIND("IMPVOL",U$1)),_xll.BDH(config!$G$4,U$1,WORKDAY($A846,-1,config_Holiday_Calendar_US),WORKDAY($A846,-1,config_Holiday_Calendar_US)),IF(ISNUMBER(_xll.BDH(config!$G$4,U$1,$A846,$A846)),_xll.BDH(config!$G$4,U$1,$A846,$A846),_xll.BDH(config!$G$5,U$1,$A846,$A846))))</f>
        <v/>
      </c>
      <c r="V846" s="8" t="str">
        <f>IF($A846="","",IF(ISNUMBER(FIND("IMPVOL",V$1)),_xll.BDH(config!$G$4,V$1,WORKDAY($A846,-1,config_Holiday_Calendar_US),WORKDAY($A846,-1,config_Holiday_Calendar_US)),IF(ISNUMBER(_xll.BDH(config!$G$4,V$1,$A846,$A846)),_xll.BDH(config!$G$4,V$1,$A846,$A846),_xll.BDH(config!$G$5,V$1,$A846,$A846))))</f>
        <v/>
      </c>
      <c r="W846" s="8" t="str">
        <f>IF($A846="","",IF(ISNUMBER(FIND("IMPVOL",W$1)),_xll.BDH(config!$G$4,W$1,WORKDAY($A846,-1,config_Holiday_Calendar_US),WORKDAY($A846,-1,config_Holiday_Calendar_US)),IF(ISNUMBER(_xll.BDH(config!$G$4,W$1,$A846,$A846)),_xll.BDH(config!$G$4,W$1,$A846,$A846),_xll.BDH(config!$G$5,W$1,$A846,$A846))))</f>
        <v/>
      </c>
    </row>
    <row r="847" spans="1:23" x14ac:dyDescent="0.2">
      <c r="A847" s="9" t="str">
        <f>IF(A846="","",IF(WORKDAY(A846,-1,config_Holiday_Calendar_US)&lt;config!$I$10,"",WORKDAY(A846,-1,config_Holiday_Calendar_US)))</f>
        <v/>
      </c>
      <c r="B847" s="8" t="str">
        <f t="shared" si="13"/>
        <v/>
      </c>
      <c r="C847" s="8" t="str">
        <f>IF(A847="","",_xll.BDH(config!$H$4,C$1,$A847,$A847))</f>
        <v/>
      </c>
      <c r="D847" s="8" t="str">
        <f>IF($A847="","",_xll.BDH(config!$H$4,D$1,$A847,$A847))</f>
        <v/>
      </c>
      <c r="E847" s="8" t="str">
        <f>IF($A847="","",IF(ISNUMBER(FIND("IMPVOL",E$1)),_xll.BDH(config!$G$4,E$1,WORKDAY($A847,-1,config_Holiday_Calendar_US),WORKDAY($A847,-1,config_Holiday_Calendar_US)),IF(ISNUMBER(_xll.BDH(config!$G$4,E$1,$A847,$A847)),_xll.BDH(config!$G$4,E$1,$A847,$A847),_xll.BDH(config!$G$5,E$1,$A847,$A847))))</f>
        <v/>
      </c>
      <c r="F847" s="8" t="str">
        <f>IF($A847="","",IF(ISNUMBER(FIND("IMPVOL",F$1)),_xll.BDH(config!$G$4,F$1,WORKDAY($A847,-1,config_Holiday_Calendar_US),WORKDAY($A847,-1,config_Holiday_Calendar_US)),IF(ISNUMBER(_xll.BDH(config!$G$4,F$1,$A847,$A847)),_xll.BDH(config!$G$4,F$1,$A847,$A847),_xll.BDH(config!$G$5,F$1,$A847,$A847))))</f>
        <v/>
      </c>
      <c r="G847" s="8" t="str">
        <f>IF($A847="","",IF(ISNUMBER(FIND("IMPVOL",G$1)),_xll.BDH(config!$G$4,G$1,WORKDAY($A847,-1,config_Holiday_Calendar_US),WORKDAY($A847,-1,config_Holiday_Calendar_US)),IF(ISNUMBER(_xll.BDH(config!$G$4,G$1,$A847,$A847)),_xll.BDH(config!$G$4,G$1,$A847,$A847),_xll.BDH(config!$G$5,G$1,$A847,$A847))))</f>
        <v/>
      </c>
      <c r="H847" s="8" t="str">
        <f>IF($A847="","",IF(ISNUMBER(FIND("IMPVOL",H$1)),_xll.BDH(config!$G$4,H$1,WORKDAY($A847,-1,config_Holiday_Calendar_US),WORKDAY($A847,-1,config_Holiday_Calendar_US)),IF(ISNUMBER(_xll.BDH(config!$G$4,H$1,$A847,$A847)),_xll.BDH(config!$G$4,H$1,$A847,$A847),_xll.BDH(config!$G$5,H$1,$A847,$A847))))</f>
        <v/>
      </c>
      <c r="I847" s="8" t="str">
        <f>IF($A847="","",IF(ISNUMBER(FIND("IMPVOL",I$1)),_xll.BDH(config!$G$4,I$1,WORKDAY($A847,-1,config_Holiday_Calendar_US),WORKDAY($A847,-1,config_Holiday_Calendar_US)),IF(ISNUMBER(_xll.BDH(config!$G$4,I$1,$A847,$A847)),_xll.BDH(config!$G$4,I$1,$A847,$A847),_xll.BDH(config!$G$5,I$1,$A847,$A847))))</f>
        <v/>
      </c>
      <c r="J847" s="8" t="str">
        <f>IF($A847="","",IF(ISNUMBER(FIND("IMPVOL",J$1)),_xll.BDH(config!$G$4,J$1,WORKDAY($A847,-1,config_Holiday_Calendar_US),WORKDAY($A847,-1,config_Holiday_Calendar_US)),IF(ISNUMBER(_xll.BDH(config!$G$4,J$1,$A847,$A847)),_xll.BDH(config!$G$4,J$1,$A847,$A847),_xll.BDH(config!$G$5,J$1,$A847,$A847))))</f>
        <v/>
      </c>
      <c r="K847" s="8" t="str">
        <f>IF($A847="","",IF(ISNUMBER(FIND("IMPVOL",K$1)),_xll.BDH(config!$G$4,K$1,WORKDAY($A847,-1,config_Holiday_Calendar_US),WORKDAY($A847,-1,config_Holiday_Calendar_US)),IF(ISNUMBER(_xll.BDH(config!$G$4,K$1,$A847,$A847)),_xll.BDH(config!$G$4,K$1,$A847,$A847),_xll.BDH(config!$G$5,K$1,$A847,$A847))))</f>
        <v/>
      </c>
      <c r="L847" s="8" t="str">
        <f>IF($A847="","",IF(ISNUMBER(FIND("IMPVOL",L$1)),_xll.BDH(config!$G$4,L$1,WORKDAY($A847,-1,config_Holiday_Calendar_US),WORKDAY($A847,-1,config_Holiday_Calendar_US)),IF(ISNUMBER(_xll.BDH(config!$G$4,L$1,$A847,$A847)),_xll.BDH(config!$G$4,L$1,$A847,$A847),_xll.BDH(config!$G$5,L$1,$A847,$A847))))</f>
        <v/>
      </c>
      <c r="M847" s="8" t="str">
        <f>IF($A847="","",IF(ISNUMBER(FIND("IMPVOL",M$1)),_xll.BDH(config!$G$4,M$1,WORKDAY($A847,-1,config_Holiday_Calendar_US),WORKDAY($A847,-1,config_Holiday_Calendar_US)),IF(ISNUMBER(_xll.BDH(config!$G$4,M$1,$A847,$A847)),_xll.BDH(config!$G$4,M$1,$A847,$A847),_xll.BDH(config!$G$5,M$1,$A847,$A847))))</f>
        <v/>
      </c>
      <c r="N847" s="8" t="str">
        <f>IF($A847="","",IF(ISNUMBER(FIND("IMPVOL",N$1)),_xll.BDH(config!$G$4,N$1,WORKDAY($A847,-1,config_Holiday_Calendar_US),WORKDAY($A847,-1,config_Holiday_Calendar_US)),IF(ISNUMBER(_xll.BDH(config!$G$4,N$1,$A847,$A847)),_xll.BDH(config!$G$4,N$1,$A847,$A847),_xll.BDH(config!$G$5,N$1,$A847,$A847))))</f>
        <v/>
      </c>
      <c r="O847" s="8" t="str">
        <f>IF($A847="","",IF(ISNUMBER(FIND("IMPVOL",O$1)),_xll.BDH(config!$G$4,O$1,WORKDAY($A847,-1,config_Holiday_Calendar_US),WORKDAY($A847,-1,config_Holiday_Calendar_US)),IF(ISNUMBER(_xll.BDH(config!$G$4,O$1,$A847,$A847)),_xll.BDH(config!$G$4,O$1,$A847,$A847),_xll.BDH(config!$G$5,O$1,$A847,$A847))))</f>
        <v/>
      </c>
      <c r="P847" s="8" t="str">
        <f>IF($A847="","",IF(ISNUMBER(FIND("IMPVOL",P$1)),_xll.BDH(config!$G$4,P$1,WORKDAY($A847,-1,config_Holiday_Calendar_US),WORKDAY($A847,-1,config_Holiday_Calendar_US)),IF(ISNUMBER(_xll.BDH(config!$G$4,P$1,$A847,$A847)),_xll.BDH(config!$G$4,P$1,$A847,$A847),_xll.BDH(config!$G$5,P$1,$A847,$A847))))</f>
        <v/>
      </c>
      <c r="Q847" s="8" t="str">
        <f>IF($A847="","",IF(ISNUMBER(FIND("IMPVOL",Q$1)),_xll.BDH(config!$G$4,Q$1,WORKDAY($A847,-1,config_Holiday_Calendar_US),WORKDAY($A847,-1,config_Holiday_Calendar_US)),IF(ISNUMBER(_xll.BDH(config!$G$4,Q$1,$A847,$A847)),_xll.BDH(config!$G$4,Q$1,$A847,$A847),_xll.BDH(config!$G$5,Q$1,$A847,$A847))))</f>
        <v/>
      </c>
      <c r="R847" s="8" t="str">
        <f>IF($A847="","",IF(ISNUMBER(FIND("IMPVOL",R$1)),_xll.BDH(config!$G$4,R$1,WORKDAY($A847,-1,config_Holiday_Calendar_US),WORKDAY($A847,-1,config_Holiday_Calendar_US)),IF(ISNUMBER(_xll.BDH(config!$G$4,R$1,$A847,$A847)),_xll.BDH(config!$G$4,R$1,$A847,$A847),_xll.BDH(config!$G$5,R$1,$A847,$A847))))</f>
        <v/>
      </c>
      <c r="S847" s="8" t="str">
        <f>IF($A847="","",IF(ISNUMBER(FIND("IMPVOL",S$1)),_xll.BDH(config!$G$4,S$1,WORKDAY($A847,-1,config_Holiday_Calendar_US),WORKDAY($A847,-1,config_Holiday_Calendar_US)),IF(ISNUMBER(_xll.BDH(config!$G$4,S$1,$A847,$A847)),_xll.BDH(config!$G$4,S$1,$A847,$A847),_xll.BDH(config!$G$5,S$1,$A847,$A847))))</f>
        <v/>
      </c>
      <c r="T847" s="8" t="str">
        <f>IF($A847="","",IF(ISNUMBER(FIND("IMPVOL",T$1)),_xll.BDH(config!$G$4,T$1,WORKDAY($A847,-1,config_Holiday_Calendar_US),WORKDAY($A847,-1,config_Holiday_Calendar_US)),IF(ISNUMBER(_xll.BDH(config!$G$4,T$1,$A847,$A847)),_xll.BDH(config!$G$4,T$1,$A847,$A847),_xll.BDH(config!$G$5,T$1,$A847,$A847))))</f>
        <v/>
      </c>
      <c r="U847" s="8" t="str">
        <f>IF($A847="","",IF(ISNUMBER(FIND("IMPVOL",U$1)),_xll.BDH(config!$G$4,U$1,WORKDAY($A847,-1,config_Holiday_Calendar_US),WORKDAY($A847,-1,config_Holiday_Calendar_US)),IF(ISNUMBER(_xll.BDH(config!$G$4,U$1,$A847,$A847)),_xll.BDH(config!$G$4,U$1,$A847,$A847),_xll.BDH(config!$G$5,U$1,$A847,$A847))))</f>
        <v/>
      </c>
      <c r="V847" s="8" t="str">
        <f>IF($A847="","",IF(ISNUMBER(FIND("IMPVOL",V$1)),_xll.BDH(config!$G$4,V$1,WORKDAY($A847,-1,config_Holiday_Calendar_US),WORKDAY($A847,-1,config_Holiday_Calendar_US)),IF(ISNUMBER(_xll.BDH(config!$G$4,V$1,$A847,$A847)),_xll.BDH(config!$G$4,V$1,$A847,$A847),_xll.BDH(config!$G$5,V$1,$A847,$A847))))</f>
        <v/>
      </c>
      <c r="W847" s="8" t="str">
        <f>IF($A847="","",IF(ISNUMBER(FIND("IMPVOL",W$1)),_xll.BDH(config!$G$4,W$1,WORKDAY($A847,-1,config_Holiday_Calendar_US),WORKDAY($A847,-1,config_Holiday_Calendar_US)),IF(ISNUMBER(_xll.BDH(config!$G$4,W$1,$A847,$A847)),_xll.BDH(config!$G$4,W$1,$A847,$A847),_xll.BDH(config!$G$5,W$1,$A847,$A847))))</f>
        <v/>
      </c>
    </row>
    <row r="848" spans="1:23" x14ac:dyDescent="0.2">
      <c r="A848" s="9" t="str">
        <f>IF(A847="","",IF(WORKDAY(A847,-1,config_Holiday_Calendar_US)&lt;config!$I$10,"",WORKDAY(A847,-1,config_Holiday_Calendar_US)))</f>
        <v/>
      </c>
      <c r="B848" s="8" t="str">
        <f t="shared" si="13"/>
        <v/>
      </c>
      <c r="C848" s="8" t="str">
        <f>IF(A848="","",_xll.BDH(config!$H$4,C$1,$A848,$A848))</f>
        <v/>
      </c>
      <c r="D848" s="8" t="str">
        <f>IF($A848="","",_xll.BDH(config!$H$4,D$1,$A848,$A848))</f>
        <v/>
      </c>
      <c r="E848" s="8" t="str">
        <f>IF($A848="","",IF(ISNUMBER(FIND("IMPVOL",E$1)),_xll.BDH(config!$G$4,E$1,WORKDAY($A848,-1,config_Holiday_Calendar_US),WORKDAY($A848,-1,config_Holiday_Calendar_US)),IF(ISNUMBER(_xll.BDH(config!$G$4,E$1,$A848,$A848)),_xll.BDH(config!$G$4,E$1,$A848,$A848),_xll.BDH(config!$G$5,E$1,$A848,$A848))))</f>
        <v/>
      </c>
      <c r="F848" s="8" t="str">
        <f>IF($A848="","",IF(ISNUMBER(FIND("IMPVOL",F$1)),_xll.BDH(config!$G$4,F$1,WORKDAY($A848,-1,config_Holiday_Calendar_US),WORKDAY($A848,-1,config_Holiday_Calendar_US)),IF(ISNUMBER(_xll.BDH(config!$G$4,F$1,$A848,$A848)),_xll.BDH(config!$G$4,F$1,$A848,$A848),_xll.BDH(config!$G$5,F$1,$A848,$A848))))</f>
        <v/>
      </c>
      <c r="G848" s="8" t="str">
        <f>IF($A848="","",IF(ISNUMBER(FIND("IMPVOL",G$1)),_xll.BDH(config!$G$4,G$1,WORKDAY($A848,-1,config_Holiday_Calendar_US),WORKDAY($A848,-1,config_Holiday_Calendar_US)),IF(ISNUMBER(_xll.BDH(config!$G$4,G$1,$A848,$A848)),_xll.BDH(config!$G$4,G$1,$A848,$A848),_xll.BDH(config!$G$5,G$1,$A848,$A848))))</f>
        <v/>
      </c>
      <c r="H848" s="8" t="str">
        <f>IF($A848="","",IF(ISNUMBER(FIND("IMPVOL",H$1)),_xll.BDH(config!$G$4,H$1,WORKDAY($A848,-1,config_Holiday_Calendar_US),WORKDAY($A848,-1,config_Holiday_Calendar_US)),IF(ISNUMBER(_xll.BDH(config!$G$4,H$1,$A848,$A848)),_xll.BDH(config!$G$4,H$1,$A848,$A848),_xll.BDH(config!$G$5,H$1,$A848,$A848))))</f>
        <v/>
      </c>
      <c r="I848" s="8" t="str">
        <f>IF($A848="","",IF(ISNUMBER(FIND("IMPVOL",I$1)),_xll.BDH(config!$G$4,I$1,WORKDAY($A848,-1,config_Holiday_Calendar_US),WORKDAY($A848,-1,config_Holiday_Calendar_US)),IF(ISNUMBER(_xll.BDH(config!$G$4,I$1,$A848,$A848)),_xll.BDH(config!$G$4,I$1,$A848,$A848),_xll.BDH(config!$G$5,I$1,$A848,$A848))))</f>
        <v/>
      </c>
      <c r="J848" s="8" t="str">
        <f>IF($A848="","",IF(ISNUMBER(FIND("IMPVOL",J$1)),_xll.BDH(config!$G$4,J$1,WORKDAY($A848,-1,config_Holiday_Calendar_US),WORKDAY($A848,-1,config_Holiday_Calendar_US)),IF(ISNUMBER(_xll.BDH(config!$G$4,J$1,$A848,$A848)),_xll.BDH(config!$G$4,J$1,$A848,$A848),_xll.BDH(config!$G$5,J$1,$A848,$A848))))</f>
        <v/>
      </c>
      <c r="K848" s="8" t="str">
        <f>IF($A848="","",IF(ISNUMBER(FIND("IMPVOL",K$1)),_xll.BDH(config!$G$4,K$1,WORKDAY($A848,-1,config_Holiday_Calendar_US),WORKDAY($A848,-1,config_Holiday_Calendar_US)),IF(ISNUMBER(_xll.BDH(config!$G$4,K$1,$A848,$A848)),_xll.BDH(config!$G$4,K$1,$A848,$A848),_xll.BDH(config!$G$5,K$1,$A848,$A848))))</f>
        <v/>
      </c>
      <c r="L848" s="8" t="str">
        <f>IF($A848="","",IF(ISNUMBER(FIND("IMPVOL",L$1)),_xll.BDH(config!$G$4,L$1,WORKDAY($A848,-1,config_Holiday_Calendar_US),WORKDAY($A848,-1,config_Holiday_Calendar_US)),IF(ISNUMBER(_xll.BDH(config!$G$4,L$1,$A848,$A848)),_xll.BDH(config!$G$4,L$1,$A848,$A848),_xll.BDH(config!$G$5,L$1,$A848,$A848))))</f>
        <v/>
      </c>
      <c r="M848" s="8" t="str">
        <f>IF($A848="","",IF(ISNUMBER(FIND("IMPVOL",M$1)),_xll.BDH(config!$G$4,M$1,WORKDAY($A848,-1,config_Holiday_Calendar_US),WORKDAY($A848,-1,config_Holiday_Calendar_US)),IF(ISNUMBER(_xll.BDH(config!$G$4,M$1,$A848,$A848)),_xll.BDH(config!$G$4,M$1,$A848,$A848),_xll.BDH(config!$G$5,M$1,$A848,$A848))))</f>
        <v/>
      </c>
      <c r="N848" s="8" t="str">
        <f>IF($A848="","",IF(ISNUMBER(FIND("IMPVOL",N$1)),_xll.BDH(config!$G$4,N$1,WORKDAY($A848,-1,config_Holiday_Calendar_US),WORKDAY($A848,-1,config_Holiday_Calendar_US)),IF(ISNUMBER(_xll.BDH(config!$G$4,N$1,$A848,$A848)),_xll.BDH(config!$G$4,N$1,$A848,$A848),_xll.BDH(config!$G$5,N$1,$A848,$A848))))</f>
        <v/>
      </c>
      <c r="O848" s="8" t="str">
        <f>IF($A848="","",IF(ISNUMBER(FIND("IMPVOL",O$1)),_xll.BDH(config!$G$4,O$1,WORKDAY($A848,-1,config_Holiday_Calendar_US),WORKDAY($A848,-1,config_Holiday_Calendar_US)),IF(ISNUMBER(_xll.BDH(config!$G$4,O$1,$A848,$A848)),_xll.BDH(config!$G$4,O$1,$A848,$A848),_xll.BDH(config!$G$5,O$1,$A848,$A848))))</f>
        <v/>
      </c>
      <c r="P848" s="8" t="str">
        <f>IF($A848="","",IF(ISNUMBER(FIND("IMPVOL",P$1)),_xll.BDH(config!$G$4,P$1,WORKDAY($A848,-1,config_Holiday_Calendar_US),WORKDAY($A848,-1,config_Holiday_Calendar_US)),IF(ISNUMBER(_xll.BDH(config!$G$4,P$1,$A848,$A848)),_xll.BDH(config!$G$4,P$1,$A848,$A848),_xll.BDH(config!$G$5,P$1,$A848,$A848))))</f>
        <v/>
      </c>
      <c r="Q848" s="8" t="str">
        <f>IF($A848="","",IF(ISNUMBER(FIND("IMPVOL",Q$1)),_xll.BDH(config!$G$4,Q$1,WORKDAY($A848,-1,config_Holiday_Calendar_US),WORKDAY($A848,-1,config_Holiday_Calendar_US)),IF(ISNUMBER(_xll.BDH(config!$G$4,Q$1,$A848,$A848)),_xll.BDH(config!$G$4,Q$1,$A848,$A848),_xll.BDH(config!$G$5,Q$1,$A848,$A848))))</f>
        <v/>
      </c>
      <c r="R848" s="8" t="str">
        <f>IF($A848="","",IF(ISNUMBER(FIND("IMPVOL",R$1)),_xll.BDH(config!$G$4,R$1,WORKDAY($A848,-1,config_Holiday_Calendar_US),WORKDAY($A848,-1,config_Holiday_Calendar_US)),IF(ISNUMBER(_xll.BDH(config!$G$4,R$1,$A848,$A848)),_xll.BDH(config!$G$4,R$1,$A848,$A848),_xll.BDH(config!$G$5,R$1,$A848,$A848))))</f>
        <v/>
      </c>
      <c r="S848" s="8" t="str">
        <f>IF($A848="","",IF(ISNUMBER(FIND("IMPVOL",S$1)),_xll.BDH(config!$G$4,S$1,WORKDAY($A848,-1,config_Holiday_Calendar_US),WORKDAY($A848,-1,config_Holiday_Calendar_US)),IF(ISNUMBER(_xll.BDH(config!$G$4,S$1,$A848,$A848)),_xll.BDH(config!$G$4,S$1,$A848,$A848),_xll.BDH(config!$G$5,S$1,$A848,$A848))))</f>
        <v/>
      </c>
      <c r="T848" s="8" t="str">
        <f>IF($A848="","",IF(ISNUMBER(FIND("IMPVOL",T$1)),_xll.BDH(config!$G$4,T$1,WORKDAY($A848,-1,config_Holiday_Calendar_US),WORKDAY($A848,-1,config_Holiday_Calendar_US)),IF(ISNUMBER(_xll.BDH(config!$G$4,T$1,$A848,$A848)),_xll.BDH(config!$G$4,T$1,$A848,$A848),_xll.BDH(config!$G$5,T$1,$A848,$A848))))</f>
        <v/>
      </c>
      <c r="U848" s="8" t="str">
        <f>IF($A848="","",IF(ISNUMBER(FIND("IMPVOL",U$1)),_xll.BDH(config!$G$4,U$1,WORKDAY($A848,-1,config_Holiday_Calendar_US),WORKDAY($A848,-1,config_Holiday_Calendar_US)),IF(ISNUMBER(_xll.BDH(config!$G$4,U$1,$A848,$A848)),_xll.BDH(config!$G$4,U$1,$A848,$A848),_xll.BDH(config!$G$5,U$1,$A848,$A848))))</f>
        <v/>
      </c>
      <c r="V848" s="8" t="str">
        <f>IF($A848="","",IF(ISNUMBER(FIND("IMPVOL",V$1)),_xll.BDH(config!$G$4,V$1,WORKDAY($A848,-1,config_Holiday_Calendar_US),WORKDAY($A848,-1,config_Holiday_Calendar_US)),IF(ISNUMBER(_xll.BDH(config!$G$4,V$1,$A848,$A848)),_xll.BDH(config!$G$4,V$1,$A848,$A848),_xll.BDH(config!$G$5,V$1,$A848,$A848))))</f>
        <v/>
      </c>
      <c r="W848" s="8" t="str">
        <f>IF($A848="","",IF(ISNUMBER(FIND("IMPVOL",W$1)),_xll.BDH(config!$G$4,W$1,WORKDAY($A848,-1,config_Holiday_Calendar_US),WORKDAY($A848,-1,config_Holiday_Calendar_US)),IF(ISNUMBER(_xll.BDH(config!$G$4,W$1,$A848,$A848)),_xll.BDH(config!$G$4,W$1,$A848,$A848),_xll.BDH(config!$G$5,W$1,$A848,$A848))))</f>
        <v/>
      </c>
    </row>
    <row r="849" spans="1:23" x14ac:dyDescent="0.2">
      <c r="A849" s="9" t="str">
        <f>IF(A848="","",IF(WORKDAY(A848,-1,config_Holiday_Calendar_US)&lt;config!$I$10,"",WORKDAY(A848,-1,config_Holiday_Calendar_US)))</f>
        <v/>
      </c>
      <c r="B849" s="8" t="str">
        <f t="shared" si="13"/>
        <v/>
      </c>
      <c r="C849" s="8" t="str">
        <f>IF(A849="","",_xll.BDH(config!$H$4,C$1,$A849,$A849))</f>
        <v/>
      </c>
      <c r="D849" s="8" t="str">
        <f>IF($A849="","",_xll.BDH(config!$H$4,D$1,$A849,$A849))</f>
        <v/>
      </c>
      <c r="E849" s="8" t="str">
        <f>IF($A849="","",IF(ISNUMBER(FIND("IMPVOL",E$1)),_xll.BDH(config!$G$4,E$1,WORKDAY($A849,-1,config_Holiday_Calendar_US),WORKDAY($A849,-1,config_Holiday_Calendar_US)),IF(ISNUMBER(_xll.BDH(config!$G$4,E$1,$A849,$A849)),_xll.BDH(config!$G$4,E$1,$A849,$A849),_xll.BDH(config!$G$5,E$1,$A849,$A849))))</f>
        <v/>
      </c>
      <c r="F849" s="8" t="str">
        <f>IF($A849="","",IF(ISNUMBER(FIND("IMPVOL",F$1)),_xll.BDH(config!$G$4,F$1,WORKDAY($A849,-1,config_Holiday_Calendar_US),WORKDAY($A849,-1,config_Holiday_Calendar_US)),IF(ISNUMBER(_xll.BDH(config!$G$4,F$1,$A849,$A849)),_xll.BDH(config!$G$4,F$1,$A849,$A849),_xll.BDH(config!$G$5,F$1,$A849,$A849))))</f>
        <v/>
      </c>
      <c r="G849" s="8" t="str">
        <f>IF($A849="","",IF(ISNUMBER(FIND("IMPVOL",G$1)),_xll.BDH(config!$G$4,G$1,WORKDAY($A849,-1,config_Holiday_Calendar_US),WORKDAY($A849,-1,config_Holiday_Calendar_US)),IF(ISNUMBER(_xll.BDH(config!$G$4,G$1,$A849,$A849)),_xll.BDH(config!$G$4,G$1,$A849,$A849),_xll.BDH(config!$G$5,G$1,$A849,$A849))))</f>
        <v/>
      </c>
      <c r="H849" s="8" t="str">
        <f>IF($A849="","",IF(ISNUMBER(FIND("IMPVOL",H$1)),_xll.BDH(config!$G$4,H$1,WORKDAY($A849,-1,config_Holiday_Calendar_US),WORKDAY($A849,-1,config_Holiday_Calendar_US)),IF(ISNUMBER(_xll.BDH(config!$G$4,H$1,$A849,$A849)),_xll.BDH(config!$G$4,H$1,$A849,$A849),_xll.BDH(config!$G$5,H$1,$A849,$A849))))</f>
        <v/>
      </c>
      <c r="I849" s="8" t="str">
        <f>IF($A849="","",IF(ISNUMBER(FIND("IMPVOL",I$1)),_xll.BDH(config!$G$4,I$1,WORKDAY($A849,-1,config_Holiday_Calendar_US),WORKDAY($A849,-1,config_Holiday_Calendar_US)),IF(ISNUMBER(_xll.BDH(config!$G$4,I$1,$A849,$A849)),_xll.BDH(config!$G$4,I$1,$A849,$A849),_xll.BDH(config!$G$5,I$1,$A849,$A849))))</f>
        <v/>
      </c>
      <c r="J849" s="8" t="str">
        <f>IF($A849="","",IF(ISNUMBER(FIND("IMPVOL",J$1)),_xll.BDH(config!$G$4,J$1,WORKDAY($A849,-1,config_Holiday_Calendar_US),WORKDAY($A849,-1,config_Holiday_Calendar_US)),IF(ISNUMBER(_xll.BDH(config!$G$4,J$1,$A849,$A849)),_xll.BDH(config!$G$4,J$1,$A849,$A849),_xll.BDH(config!$G$5,J$1,$A849,$A849))))</f>
        <v/>
      </c>
      <c r="K849" s="8" t="str">
        <f>IF($A849="","",IF(ISNUMBER(FIND("IMPVOL",K$1)),_xll.BDH(config!$G$4,K$1,WORKDAY($A849,-1,config_Holiday_Calendar_US),WORKDAY($A849,-1,config_Holiday_Calendar_US)),IF(ISNUMBER(_xll.BDH(config!$G$4,K$1,$A849,$A849)),_xll.BDH(config!$G$4,K$1,$A849,$A849),_xll.BDH(config!$G$5,K$1,$A849,$A849))))</f>
        <v/>
      </c>
      <c r="L849" s="8" t="str">
        <f>IF($A849="","",IF(ISNUMBER(FIND("IMPVOL",L$1)),_xll.BDH(config!$G$4,L$1,WORKDAY($A849,-1,config_Holiday_Calendar_US),WORKDAY($A849,-1,config_Holiday_Calendar_US)),IF(ISNUMBER(_xll.BDH(config!$G$4,L$1,$A849,$A849)),_xll.BDH(config!$G$4,L$1,$A849,$A849),_xll.BDH(config!$G$5,L$1,$A849,$A849))))</f>
        <v/>
      </c>
      <c r="M849" s="8" t="str">
        <f>IF($A849="","",IF(ISNUMBER(FIND("IMPVOL",M$1)),_xll.BDH(config!$G$4,M$1,WORKDAY($A849,-1,config_Holiday_Calendar_US),WORKDAY($A849,-1,config_Holiday_Calendar_US)),IF(ISNUMBER(_xll.BDH(config!$G$4,M$1,$A849,$A849)),_xll.BDH(config!$G$4,M$1,$A849,$A849),_xll.BDH(config!$G$5,M$1,$A849,$A849))))</f>
        <v/>
      </c>
      <c r="N849" s="8" t="str">
        <f>IF($A849="","",IF(ISNUMBER(FIND("IMPVOL",N$1)),_xll.BDH(config!$G$4,N$1,WORKDAY($A849,-1,config_Holiday_Calendar_US),WORKDAY($A849,-1,config_Holiday_Calendar_US)),IF(ISNUMBER(_xll.BDH(config!$G$4,N$1,$A849,$A849)),_xll.BDH(config!$G$4,N$1,$A849,$A849),_xll.BDH(config!$G$5,N$1,$A849,$A849))))</f>
        <v/>
      </c>
      <c r="O849" s="8" t="str">
        <f>IF($A849="","",IF(ISNUMBER(FIND("IMPVOL",O$1)),_xll.BDH(config!$G$4,O$1,WORKDAY($A849,-1,config_Holiday_Calendar_US),WORKDAY($A849,-1,config_Holiday_Calendar_US)),IF(ISNUMBER(_xll.BDH(config!$G$4,O$1,$A849,$A849)),_xll.BDH(config!$G$4,O$1,$A849,$A849),_xll.BDH(config!$G$5,O$1,$A849,$A849))))</f>
        <v/>
      </c>
      <c r="P849" s="8" t="str">
        <f>IF($A849="","",IF(ISNUMBER(FIND("IMPVOL",P$1)),_xll.BDH(config!$G$4,P$1,WORKDAY($A849,-1,config_Holiday_Calendar_US),WORKDAY($A849,-1,config_Holiday_Calendar_US)),IF(ISNUMBER(_xll.BDH(config!$G$4,P$1,$A849,$A849)),_xll.BDH(config!$G$4,P$1,$A849,$A849),_xll.BDH(config!$G$5,P$1,$A849,$A849))))</f>
        <v/>
      </c>
      <c r="Q849" s="8" t="str">
        <f>IF($A849="","",IF(ISNUMBER(FIND("IMPVOL",Q$1)),_xll.BDH(config!$G$4,Q$1,WORKDAY($A849,-1,config_Holiday_Calendar_US),WORKDAY($A849,-1,config_Holiday_Calendar_US)),IF(ISNUMBER(_xll.BDH(config!$G$4,Q$1,$A849,$A849)),_xll.BDH(config!$G$4,Q$1,$A849,$A849),_xll.BDH(config!$G$5,Q$1,$A849,$A849))))</f>
        <v/>
      </c>
      <c r="R849" s="8" t="str">
        <f>IF($A849="","",IF(ISNUMBER(FIND("IMPVOL",R$1)),_xll.BDH(config!$G$4,R$1,WORKDAY($A849,-1,config_Holiday_Calendar_US),WORKDAY($A849,-1,config_Holiday_Calendar_US)),IF(ISNUMBER(_xll.BDH(config!$G$4,R$1,$A849,$A849)),_xll.BDH(config!$G$4,R$1,$A849,$A849),_xll.BDH(config!$G$5,R$1,$A849,$A849))))</f>
        <v/>
      </c>
      <c r="S849" s="8" t="str">
        <f>IF($A849="","",IF(ISNUMBER(FIND("IMPVOL",S$1)),_xll.BDH(config!$G$4,S$1,WORKDAY($A849,-1,config_Holiday_Calendar_US),WORKDAY($A849,-1,config_Holiday_Calendar_US)),IF(ISNUMBER(_xll.BDH(config!$G$4,S$1,$A849,$A849)),_xll.BDH(config!$G$4,S$1,$A849,$A849),_xll.BDH(config!$G$5,S$1,$A849,$A849))))</f>
        <v/>
      </c>
      <c r="T849" s="8" t="str">
        <f>IF($A849="","",IF(ISNUMBER(FIND("IMPVOL",T$1)),_xll.BDH(config!$G$4,T$1,WORKDAY($A849,-1,config_Holiday_Calendar_US),WORKDAY($A849,-1,config_Holiday_Calendar_US)),IF(ISNUMBER(_xll.BDH(config!$G$4,T$1,$A849,$A849)),_xll.BDH(config!$G$4,T$1,$A849,$A849),_xll.BDH(config!$G$5,T$1,$A849,$A849))))</f>
        <v/>
      </c>
      <c r="U849" s="8" t="str">
        <f>IF($A849="","",IF(ISNUMBER(FIND("IMPVOL",U$1)),_xll.BDH(config!$G$4,U$1,WORKDAY($A849,-1,config_Holiday_Calendar_US),WORKDAY($A849,-1,config_Holiday_Calendar_US)),IF(ISNUMBER(_xll.BDH(config!$G$4,U$1,$A849,$A849)),_xll.BDH(config!$G$4,U$1,$A849,$A849),_xll.BDH(config!$G$5,U$1,$A849,$A849))))</f>
        <v/>
      </c>
      <c r="V849" s="8" t="str">
        <f>IF($A849="","",IF(ISNUMBER(FIND("IMPVOL",V$1)),_xll.BDH(config!$G$4,V$1,WORKDAY($A849,-1,config_Holiday_Calendar_US),WORKDAY($A849,-1,config_Holiday_Calendar_US)),IF(ISNUMBER(_xll.BDH(config!$G$4,V$1,$A849,$A849)),_xll.BDH(config!$G$4,V$1,$A849,$A849),_xll.BDH(config!$G$5,V$1,$A849,$A849))))</f>
        <v/>
      </c>
      <c r="W849" s="8" t="str">
        <f>IF($A849="","",IF(ISNUMBER(FIND("IMPVOL",W$1)),_xll.BDH(config!$G$4,W$1,WORKDAY($A849,-1,config_Holiday_Calendar_US),WORKDAY($A849,-1,config_Holiday_Calendar_US)),IF(ISNUMBER(_xll.BDH(config!$G$4,W$1,$A849,$A849)),_xll.BDH(config!$G$4,W$1,$A849,$A849),_xll.BDH(config!$G$5,W$1,$A849,$A849))))</f>
        <v/>
      </c>
    </row>
    <row r="850" spans="1:23" x14ac:dyDescent="0.2">
      <c r="A850" s="9" t="str">
        <f>IF(A849="","",IF(WORKDAY(A849,-1,config_Holiday_Calendar_US)&lt;config!$I$10,"",WORKDAY(A849,-1,config_Holiday_Calendar_US)))</f>
        <v/>
      </c>
      <c r="B850" s="8" t="str">
        <f t="shared" si="13"/>
        <v/>
      </c>
      <c r="C850" s="8" t="str">
        <f>IF(A850="","",_xll.BDH(config!$H$4,C$1,$A850,$A850))</f>
        <v/>
      </c>
      <c r="D850" s="8" t="str">
        <f>IF($A850="","",_xll.BDH(config!$H$4,D$1,$A850,$A850))</f>
        <v/>
      </c>
      <c r="E850" s="8" t="str">
        <f>IF($A850="","",IF(ISNUMBER(FIND("IMPVOL",E$1)),_xll.BDH(config!$G$4,E$1,WORKDAY($A850,-1,config_Holiday_Calendar_US),WORKDAY($A850,-1,config_Holiday_Calendar_US)),IF(ISNUMBER(_xll.BDH(config!$G$4,E$1,$A850,$A850)),_xll.BDH(config!$G$4,E$1,$A850,$A850),_xll.BDH(config!$G$5,E$1,$A850,$A850))))</f>
        <v/>
      </c>
      <c r="F850" s="8" t="str">
        <f>IF($A850="","",IF(ISNUMBER(FIND("IMPVOL",F$1)),_xll.BDH(config!$G$4,F$1,WORKDAY($A850,-1,config_Holiday_Calendar_US),WORKDAY($A850,-1,config_Holiday_Calendar_US)),IF(ISNUMBER(_xll.BDH(config!$G$4,F$1,$A850,$A850)),_xll.BDH(config!$G$4,F$1,$A850,$A850),_xll.BDH(config!$G$5,F$1,$A850,$A850))))</f>
        <v/>
      </c>
      <c r="G850" s="8" t="str">
        <f>IF($A850="","",IF(ISNUMBER(FIND("IMPVOL",G$1)),_xll.BDH(config!$G$4,G$1,WORKDAY($A850,-1,config_Holiday_Calendar_US),WORKDAY($A850,-1,config_Holiday_Calendar_US)),IF(ISNUMBER(_xll.BDH(config!$G$4,G$1,$A850,$A850)),_xll.BDH(config!$G$4,G$1,$A850,$A850),_xll.BDH(config!$G$5,G$1,$A850,$A850))))</f>
        <v/>
      </c>
      <c r="H850" s="8" t="str">
        <f>IF($A850="","",IF(ISNUMBER(FIND("IMPVOL",H$1)),_xll.BDH(config!$G$4,H$1,WORKDAY($A850,-1,config_Holiday_Calendar_US),WORKDAY($A850,-1,config_Holiday_Calendar_US)),IF(ISNUMBER(_xll.BDH(config!$G$4,H$1,$A850,$A850)),_xll.BDH(config!$G$4,H$1,$A850,$A850),_xll.BDH(config!$G$5,H$1,$A850,$A850))))</f>
        <v/>
      </c>
      <c r="I850" s="8" t="str">
        <f>IF($A850="","",IF(ISNUMBER(FIND("IMPVOL",I$1)),_xll.BDH(config!$G$4,I$1,WORKDAY($A850,-1,config_Holiday_Calendar_US),WORKDAY($A850,-1,config_Holiday_Calendar_US)),IF(ISNUMBER(_xll.BDH(config!$G$4,I$1,$A850,$A850)),_xll.BDH(config!$G$4,I$1,$A850,$A850),_xll.BDH(config!$G$5,I$1,$A850,$A850))))</f>
        <v/>
      </c>
      <c r="J850" s="8" t="str">
        <f>IF($A850="","",IF(ISNUMBER(FIND("IMPVOL",J$1)),_xll.BDH(config!$G$4,J$1,WORKDAY($A850,-1,config_Holiday_Calendar_US),WORKDAY($A850,-1,config_Holiday_Calendar_US)),IF(ISNUMBER(_xll.BDH(config!$G$4,J$1,$A850,$A850)),_xll.BDH(config!$G$4,J$1,$A850,$A850),_xll.BDH(config!$G$5,J$1,$A850,$A850))))</f>
        <v/>
      </c>
      <c r="K850" s="8" t="str">
        <f>IF($A850="","",IF(ISNUMBER(FIND("IMPVOL",K$1)),_xll.BDH(config!$G$4,K$1,WORKDAY($A850,-1,config_Holiday_Calendar_US),WORKDAY($A850,-1,config_Holiday_Calendar_US)),IF(ISNUMBER(_xll.BDH(config!$G$4,K$1,$A850,$A850)),_xll.BDH(config!$G$4,K$1,$A850,$A850),_xll.BDH(config!$G$5,K$1,$A850,$A850))))</f>
        <v/>
      </c>
      <c r="L850" s="8" t="str">
        <f>IF($A850="","",IF(ISNUMBER(FIND("IMPVOL",L$1)),_xll.BDH(config!$G$4,L$1,WORKDAY($A850,-1,config_Holiday_Calendar_US),WORKDAY($A850,-1,config_Holiday_Calendar_US)),IF(ISNUMBER(_xll.BDH(config!$G$4,L$1,$A850,$A850)),_xll.BDH(config!$G$4,L$1,$A850,$A850),_xll.BDH(config!$G$5,L$1,$A850,$A850))))</f>
        <v/>
      </c>
      <c r="M850" s="8" t="str">
        <f>IF($A850="","",IF(ISNUMBER(FIND("IMPVOL",M$1)),_xll.BDH(config!$G$4,M$1,WORKDAY($A850,-1,config_Holiday_Calendar_US),WORKDAY($A850,-1,config_Holiday_Calendar_US)),IF(ISNUMBER(_xll.BDH(config!$G$4,M$1,$A850,$A850)),_xll.BDH(config!$G$4,M$1,$A850,$A850),_xll.BDH(config!$G$5,M$1,$A850,$A850))))</f>
        <v/>
      </c>
      <c r="N850" s="8" t="str">
        <f>IF($A850="","",IF(ISNUMBER(FIND("IMPVOL",N$1)),_xll.BDH(config!$G$4,N$1,WORKDAY($A850,-1,config_Holiday_Calendar_US),WORKDAY($A850,-1,config_Holiday_Calendar_US)),IF(ISNUMBER(_xll.BDH(config!$G$4,N$1,$A850,$A850)),_xll.BDH(config!$G$4,N$1,$A850,$A850),_xll.BDH(config!$G$5,N$1,$A850,$A850))))</f>
        <v/>
      </c>
      <c r="O850" s="8" t="str">
        <f>IF($A850="","",IF(ISNUMBER(FIND("IMPVOL",O$1)),_xll.BDH(config!$G$4,O$1,WORKDAY($A850,-1,config_Holiday_Calendar_US),WORKDAY($A850,-1,config_Holiday_Calendar_US)),IF(ISNUMBER(_xll.BDH(config!$G$4,O$1,$A850,$A850)),_xll.BDH(config!$G$4,O$1,$A850,$A850),_xll.BDH(config!$G$5,O$1,$A850,$A850))))</f>
        <v/>
      </c>
      <c r="P850" s="8" t="str">
        <f>IF($A850="","",IF(ISNUMBER(FIND("IMPVOL",P$1)),_xll.BDH(config!$G$4,P$1,WORKDAY($A850,-1,config_Holiday_Calendar_US),WORKDAY($A850,-1,config_Holiday_Calendar_US)),IF(ISNUMBER(_xll.BDH(config!$G$4,P$1,$A850,$A850)),_xll.BDH(config!$G$4,P$1,$A850,$A850),_xll.BDH(config!$G$5,P$1,$A850,$A850))))</f>
        <v/>
      </c>
      <c r="Q850" s="8" t="str">
        <f>IF($A850="","",IF(ISNUMBER(FIND("IMPVOL",Q$1)),_xll.BDH(config!$G$4,Q$1,WORKDAY($A850,-1,config_Holiday_Calendar_US),WORKDAY($A850,-1,config_Holiday_Calendar_US)),IF(ISNUMBER(_xll.BDH(config!$G$4,Q$1,$A850,$A850)),_xll.BDH(config!$G$4,Q$1,$A850,$A850),_xll.BDH(config!$G$5,Q$1,$A850,$A850))))</f>
        <v/>
      </c>
      <c r="R850" s="8" t="str">
        <f>IF($A850="","",IF(ISNUMBER(FIND("IMPVOL",R$1)),_xll.BDH(config!$G$4,R$1,WORKDAY($A850,-1,config_Holiday_Calendar_US),WORKDAY($A850,-1,config_Holiday_Calendar_US)),IF(ISNUMBER(_xll.BDH(config!$G$4,R$1,$A850,$A850)),_xll.BDH(config!$G$4,R$1,$A850,$A850),_xll.BDH(config!$G$5,R$1,$A850,$A850))))</f>
        <v/>
      </c>
      <c r="S850" s="8" t="str">
        <f>IF($A850="","",IF(ISNUMBER(FIND("IMPVOL",S$1)),_xll.BDH(config!$G$4,S$1,WORKDAY($A850,-1,config_Holiday_Calendar_US),WORKDAY($A850,-1,config_Holiday_Calendar_US)),IF(ISNUMBER(_xll.BDH(config!$G$4,S$1,$A850,$A850)),_xll.BDH(config!$G$4,S$1,$A850,$A850),_xll.BDH(config!$G$5,S$1,$A850,$A850))))</f>
        <v/>
      </c>
      <c r="T850" s="8" t="str">
        <f>IF($A850="","",IF(ISNUMBER(FIND("IMPVOL",T$1)),_xll.BDH(config!$G$4,T$1,WORKDAY($A850,-1,config_Holiday_Calendar_US),WORKDAY($A850,-1,config_Holiday_Calendar_US)),IF(ISNUMBER(_xll.BDH(config!$G$4,T$1,$A850,$A850)),_xll.BDH(config!$G$4,T$1,$A850,$A850),_xll.BDH(config!$G$5,T$1,$A850,$A850))))</f>
        <v/>
      </c>
      <c r="U850" s="8" t="str">
        <f>IF($A850="","",IF(ISNUMBER(FIND("IMPVOL",U$1)),_xll.BDH(config!$G$4,U$1,WORKDAY($A850,-1,config_Holiday_Calendar_US),WORKDAY($A850,-1,config_Holiday_Calendar_US)),IF(ISNUMBER(_xll.BDH(config!$G$4,U$1,$A850,$A850)),_xll.BDH(config!$G$4,U$1,$A850,$A850),_xll.BDH(config!$G$5,U$1,$A850,$A850))))</f>
        <v/>
      </c>
      <c r="V850" s="8" t="str">
        <f>IF($A850="","",IF(ISNUMBER(FIND("IMPVOL",V$1)),_xll.BDH(config!$G$4,V$1,WORKDAY($A850,-1,config_Holiday_Calendar_US),WORKDAY($A850,-1,config_Holiday_Calendar_US)),IF(ISNUMBER(_xll.BDH(config!$G$4,V$1,$A850,$A850)),_xll.BDH(config!$G$4,V$1,$A850,$A850),_xll.BDH(config!$G$5,V$1,$A850,$A850))))</f>
        <v/>
      </c>
      <c r="W850" s="8" t="str">
        <f>IF($A850="","",IF(ISNUMBER(FIND("IMPVOL",W$1)),_xll.BDH(config!$G$4,W$1,WORKDAY($A850,-1,config_Holiday_Calendar_US),WORKDAY($A850,-1,config_Holiday_Calendar_US)),IF(ISNUMBER(_xll.BDH(config!$G$4,W$1,$A850,$A850)),_xll.BDH(config!$G$4,W$1,$A850,$A850),_xll.BDH(config!$G$5,W$1,$A850,$A850))))</f>
        <v/>
      </c>
    </row>
    <row r="851" spans="1:23" x14ac:dyDescent="0.2">
      <c r="A851" s="9" t="str">
        <f>IF(A850="","",IF(WORKDAY(A850,-1,config_Holiday_Calendar_US)&lt;config!$I$10,"",WORKDAY(A850,-1,config_Holiday_Calendar_US)))</f>
        <v/>
      </c>
      <c r="B851" s="8" t="str">
        <f t="shared" si="13"/>
        <v/>
      </c>
      <c r="C851" s="8" t="str">
        <f>IF(A851="","",_xll.BDH(config!$H$4,C$1,$A851,$A851))</f>
        <v/>
      </c>
      <c r="D851" s="8" t="str">
        <f>IF($A851="","",_xll.BDH(config!$H$4,D$1,$A851,$A851))</f>
        <v/>
      </c>
      <c r="E851" s="8" t="str">
        <f>IF($A851="","",IF(ISNUMBER(FIND("IMPVOL",E$1)),_xll.BDH(config!$G$4,E$1,WORKDAY($A851,-1,config_Holiday_Calendar_US),WORKDAY($A851,-1,config_Holiday_Calendar_US)),IF(ISNUMBER(_xll.BDH(config!$G$4,E$1,$A851,$A851)),_xll.BDH(config!$G$4,E$1,$A851,$A851),_xll.BDH(config!$G$5,E$1,$A851,$A851))))</f>
        <v/>
      </c>
      <c r="F851" s="8" t="str">
        <f>IF($A851="","",IF(ISNUMBER(FIND("IMPVOL",F$1)),_xll.BDH(config!$G$4,F$1,WORKDAY($A851,-1,config_Holiday_Calendar_US),WORKDAY($A851,-1,config_Holiday_Calendar_US)),IF(ISNUMBER(_xll.BDH(config!$G$4,F$1,$A851,$A851)),_xll.BDH(config!$G$4,F$1,$A851,$A851),_xll.BDH(config!$G$5,F$1,$A851,$A851))))</f>
        <v/>
      </c>
      <c r="G851" s="8" t="str">
        <f>IF($A851="","",IF(ISNUMBER(FIND("IMPVOL",G$1)),_xll.BDH(config!$G$4,G$1,WORKDAY($A851,-1,config_Holiday_Calendar_US),WORKDAY($A851,-1,config_Holiday_Calendar_US)),IF(ISNUMBER(_xll.BDH(config!$G$4,G$1,$A851,$A851)),_xll.BDH(config!$G$4,G$1,$A851,$A851),_xll.BDH(config!$G$5,G$1,$A851,$A851))))</f>
        <v/>
      </c>
      <c r="H851" s="8" t="str">
        <f>IF($A851="","",IF(ISNUMBER(FIND("IMPVOL",H$1)),_xll.BDH(config!$G$4,H$1,WORKDAY($A851,-1,config_Holiday_Calendar_US),WORKDAY($A851,-1,config_Holiday_Calendar_US)),IF(ISNUMBER(_xll.BDH(config!$G$4,H$1,$A851,$A851)),_xll.BDH(config!$G$4,H$1,$A851,$A851),_xll.BDH(config!$G$5,H$1,$A851,$A851))))</f>
        <v/>
      </c>
      <c r="I851" s="8" t="str">
        <f>IF($A851="","",IF(ISNUMBER(FIND("IMPVOL",I$1)),_xll.BDH(config!$G$4,I$1,WORKDAY($A851,-1,config_Holiday_Calendar_US),WORKDAY($A851,-1,config_Holiday_Calendar_US)),IF(ISNUMBER(_xll.BDH(config!$G$4,I$1,$A851,$A851)),_xll.BDH(config!$G$4,I$1,$A851,$A851),_xll.BDH(config!$G$5,I$1,$A851,$A851))))</f>
        <v/>
      </c>
      <c r="J851" s="8" t="str">
        <f>IF($A851="","",IF(ISNUMBER(FIND("IMPVOL",J$1)),_xll.BDH(config!$G$4,J$1,WORKDAY($A851,-1,config_Holiday_Calendar_US),WORKDAY($A851,-1,config_Holiday_Calendar_US)),IF(ISNUMBER(_xll.BDH(config!$G$4,J$1,$A851,$A851)),_xll.BDH(config!$G$4,J$1,$A851,$A851),_xll.BDH(config!$G$5,J$1,$A851,$A851))))</f>
        <v/>
      </c>
      <c r="K851" s="8" t="str">
        <f>IF($A851="","",IF(ISNUMBER(FIND("IMPVOL",K$1)),_xll.BDH(config!$G$4,K$1,WORKDAY($A851,-1,config_Holiday_Calendar_US),WORKDAY($A851,-1,config_Holiday_Calendar_US)),IF(ISNUMBER(_xll.BDH(config!$G$4,K$1,$A851,$A851)),_xll.BDH(config!$G$4,K$1,$A851,$A851),_xll.BDH(config!$G$5,K$1,$A851,$A851))))</f>
        <v/>
      </c>
      <c r="L851" s="8" t="str">
        <f>IF($A851="","",IF(ISNUMBER(FIND("IMPVOL",L$1)),_xll.BDH(config!$G$4,L$1,WORKDAY($A851,-1,config_Holiday_Calendar_US),WORKDAY($A851,-1,config_Holiday_Calendar_US)),IF(ISNUMBER(_xll.BDH(config!$G$4,L$1,$A851,$A851)),_xll.BDH(config!$G$4,L$1,$A851,$A851),_xll.BDH(config!$G$5,L$1,$A851,$A851))))</f>
        <v/>
      </c>
      <c r="M851" s="8" t="str">
        <f>IF($A851="","",IF(ISNUMBER(FIND("IMPVOL",M$1)),_xll.BDH(config!$G$4,M$1,WORKDAY($A851,-1,config_Holiday_Calendar_US),WORKDAY($A851,-1,config_Holiday_Calendar_US)),IF(ISNUMBER(_xll.BDH(config!$G$4,M$1,$A851,$A851)),_xll.BDH(config!$G$4,M$1,$A851,$A851),_xll.BDH(config!$G$5,M$1,$A851,$A851))))</f>
        <v/>
      </c>
      <c r="N851" s="8" t="str">
        <f>IF($A851="","",IF(ISNUMBER(FIND("IMPVOL",N$1)),_xll.BDH(config!$G$4,N$1,WORKDAY($A851,-1,config_Holiday_Calendar_US),WORKDAY($A851,-1,config_Holiday_Calendar_US)),IF(ISNUMBER(_xll.BDH(config!$G$4,N$1,$A851,$A851)),_xll.BDH(config!$G$4,N$1,$A851,$A851),_xll.BDH(config!$G$5,N$1,$A851,$A851))))</f>
        <v/>
      </c>
      <c r="O851" s="8" t="str">
        <f>IF($A851="","",IF(ISNUMBER(FIND("IMPVOL",O$1)),_xll.BDH(config!$G$4,O$1,WORKDAY($A851,-1,config_Holiday_Calendar_US),WORKDAY($A851,-1,config_Holiday_Calendar_US)),IF(ISNUMBER(_xll.BDH(config!$G$4,O$1,$A851,$A851)),_xll.BDH(config!$G$4,O$1,$A851,$A851),_xll.BDH(config!$G$5,O$1,$A851,$A851))))</f>
        <v/>
      </c>
      <c r="P851" s="8" t="str">
        <f>IF($A851="","",IF(ISNUMBER(FIND("IMPVOL",P$1)),_xll.BDH(config!$G$4,P$1,WORKDAY($A851,-1,config_Holiday_Calendar_US),WORKDAY($A851,-1,config_Holiday_Calendar_US)),IF(ISNUMBER(_xll.BDH(config!$G$4,P$1,$A851,$A851)),_xll.BDH(config!$G$4,P$1,$A851,$A851),_xll.BDH(config!$G$5,P$1,$A851,$A851))))</f>
        <v/>
      </c>
      <c r="Q851" s="8" t="str">
        <f>IF($A851="","",IF(ISNUMBER(FIND("IMPVOL",Q$1)),_xll.BDH(config!$G$4,Q$1,WORKDAY($A851,-1,config_Holiday_Calendar_US),WORKDAY($A851,-1,config_Holiday_Calendar_US)),IF(ISNUMBER(_xll.BDH(config!$G$4,Q$1,$A851,$A851)),_xll.BDH(config!$G$4,Q$1,$A851,$A851),_xll.BDH(config!$G$5,Q$1,$A851,$A851))))</f>
        <v/>
      </c>
      <c r="R851" s="8" t="str">
        <f>IF($A851="","",IF(ISNUMBER(FIND("IMPVOL",R$1)),_xll.BDH(config!$G$4,R$1,WORKDAY($A851,-1,config_Holiday_Calendar_US),WORKDAY($A851,-1,config_Holiday_Calendar_US)),IF(ISNUMBER(_xll.BDH(config!$G$4,R$1,$A851,$A851)),_xll.BDH(config!$G$4,R$1,$A851,$A851),_xll.BDH(config!$G$5,R$1,$A851,$A851))))</f>
        <v/>
      </c>
      <c r="S851" s="8" t="str">
        <f>IF($A851="","",IF(ISNUMBER(FIND("IMPVOL",S$1)),_xll.BDH(config!$G$4,S$1,WORKDAY($A851,-1,config_Holiday_Calendar_US),WORKDAY($A851,-1,config_Holiday_Calendar_US)),IF(ISNUMBER(_xll.BDH(config!$G$4,S$1,$A851,$A851)),_xll.BDH(config!$G$4,S$1,$A851,$A851),_xll.BDH(config!$G$5,S$1,$A851,$A851))))</f>
        <v/>
      </c>
      <c r="T851" s="8" t="str">
        <f>IF($A851="","",IF(ISNUMBER(FIND("IMPVOL",T$1)),_xll.BDH(config!$G$4,T$1,WORKDAY($A851,-1,config_Holiday_Calendar_US),WORKDAY($A851,-1,config_Holiday_Calendar_US)),IF(ISNUMBER(_xll.BDH(config!$G$4,T$1,$A851,$A851)),_xll.BDH(config!$G$4,T$1,$A851,$A851),_xll.BDH(config!$G$5,T$1,$A851,$A851))))</f>
        <v/>
      </c>
      <c r="U851" s="8" t="str">
        <f>IF($A851="","",IF(ISNUMBER(FIND("IMPVOL",U$1)),_xll.BDH(config!$G$4,U$1,WORKDAY($A851,-1,config_Holiday_Calendar_US),WORKDAY($A851,-1,config_Holiday_Calendar_US)),IF(ISNUMBER(_xll.BDH(config!$G$4,U$1,$A851,$A851)),_xll.BDH(config!$G$4,U$1,$A851,$A851),_xll.BDH(config!$G$5,U$1,$A851,$A851))))</f>
        <v/>
      </c>
      <c r="V851" s="8" t="str">
        <f>IF($A851="","",IF(ISNUMBER(FIND("IMPVOL",V$1)),_xll.BDH(config!$G$4,V$1,WORKDAY($A851,-1,config_Holiday_Calendar_US),WORKDAY($A851,-1,config_Holiday_Calendar_US)),IF(ISNUMBER(_xll.BDH(config!$G$4,V$1,$A851,$A851)),_xll.BDH(config!$G$4,V$1,$A851,$A851),_xll.BDH(config!$G$5,V$1,$A851,$A851))))</f>
        <v/>
      </c>
      <c r="W851" s="8" t="str">
        <f>IF($A851="","",IF(ISNUMBER(FIND("IMPVOL",W$1)),_xll.BDH(config!$G$4,W$1,WORKDAY($A851,-1,config_Holiday_Calendar_US),WORKDAY($A851,-1,config_Holiday_Calendar_US)),IF(ISNUMBER(_xll.BDH(config!$G$4,W$1,$A851,$A851)),_xll.BDH(config!$G$4,W$1,$A851,$A851),_xll.BDH(config!$G$5,W$1,$A851,$A851))))</f>
        <v/>
      </c>
    </row>
    <row r="852" spans="1:23" x14ac:dyDescent="0.2">
      <c r="A852" s="9" t="str">
        <f>IF(A851="","",IF(WORKDAY(A851,-1,config_Holiday_Calendar_US)&lt;config!$I$10,"",WORKDAY(A851,-1,config_Holiday_Calendar_US)))</f>
        <v/>
      </c>
      <c r="B852" s="8" t="str">
        <f t="shared" si="13"/>
        <v/>
      </c>
      <c r="C852" s="8" t="str">
        <f>IF(A852="","",_xll.BDH(config!$H$4,C$1,$A852,$A852))</f>
        <v/>
      </c>
      <c r="D852" s="8" t="str">
        <f>IF($A852="","",_xll.BDH(config!$H$4,D$1,$A852,$A852))</f>
        <v/>
      </c>
      <c r="E852" s="8" t="str">
        <f>IF($A852="","",IF(ISNUMBER(FIND("IMPVOL",E$1)),_xll.BDH(config!$G$4,E$1,WORKDAY($A852,-1,config_Holiday_Calendar_US),WORKDAY($A852,-1,config_Holiday_Calendar_US)),IF(ISNUMBER(_xll.BDH(config!$G$4,E$1,$A852,$A852)),_xll.BDH(config!$G$4,E$1,$A852,$A852),_xll.BDH(config!$G$5,E$1,$A852,$A852))))</f>
        <v/>
      </c>
      <c r="F852" s="8" t="str">
        <f>IF($A852="","",IF(ISNUMBER(FIND("IMPVOL",F$1)),_xll.BDH(config!$G$4,F$1,WORKDAY($A852,-1,config_Holiday_Calendar_US),WORKDAY($A852,-1,config_Holiday_Calendar_US)),IF(ISNUMBER(_xll.BDH(config!$G$4,F$1,$A852,$A852)),_xll.BDH(config!$G$4,F$1,$A852,$A852),_xll.BDH(config!$G$5,F$1,$A852,$A852))))</f>
        <v/>
      </c>
      <c r="G852" s="8" t="str">
        <f>IF($A852="","",IF(ISNUMBER(FIND("IMPVOL",G$1)),_xll.BDH(config!$G$4,G$1,WORKDAY($A852,-1,config_Holiday_Calendar_US),WORKDAY($A852,-1,config_Holiday_Calendar_US)),IF(ISNUMBER(_xll.BDH(config!$G$4,G$1,$A852,$A852)),_xll.BDH(config!$G$4,G$1,$A852,$A852),_xll.BDH(config!$G$5,G$1,$A852,$A852))))</f>
        <v/>
      </c>
      <c r="H852" s="8" t="str">
        <f>IF($A852="","",IF(ISNUMBER(FIND("IMPVOL",H$1)),_xll.BDH(config!$G$4,H$1,WORKDAY($A852,-1,config_Holiday_Calendar_US),WORKDAY($A852,-1,config_Holiday_Calendar_US)),IF(ISNUMBER(_xll.BDH(config!$G$4,H$1,$A852,$A852)),_xll.BDH(config!$G$4,H$1,$A852,$A852),_xll.BDH(config!$G$5,H$1,$A852,$A852))))</f>
        <v/>
      </c>
      <c r="I852" s="8" t="str">
        <f>IF($A852="","",IF(ISNUMBER(FIND("IMPVOL",I$1)),_xll.BDH(config!$G$4,I$1,WORKDAY($A852,-1,config_Holiday_Calendar_US),WORKDAY($A852,-1,config_Holiday_Calendar_US)),IF(ISNUMBER(_xll.BDH(config!$G$4,I$1,$A852,$A852)),_xll.BDH(config!$G$4,I$1,$A852,$A852),_xll.BDH(config!$G$5,I$1,$A852,$A852))))</f>
        <v/>
      </c>
      <c r="J852" s="8" t="str">
        <f>IF($A852="","",IF(ISNUMBER(FIND("IMPVOL",J$1)),_xll.BDH(config!$G$4,J$1,WORKDAY($A852,-1,config_Holiday_Calendar_US),WORKDAY($A852,-1,config_Holiday_Calendar_US)),IF(ISNUMBER(_xll.BDH(config!$G$4,J$1,$A852,$A852)),_xll.BDH(config!$G$4,J$1,$A852,$A852),_xll.BDH(config!$G$5,J$1,$A852,$A852))))</f>
        <v/>
      </c>
      <c r="K852" s="8" t="str">
        <f>IF($A852="","",IF(ISNUMBER(FIND("IMPVOL",K$1)),_xll.BDH(config!$G$4,K$1,WORKDAY($A852,-1,config_Holiday_Calendar_US),WORKDAY($A852,-1,config_Holiday_Calendar_US)),IF(ISNUMBER(_xll.BDH(config!$G$4,K$1,$A852,$A852)),_xll.BDH(config!$G$4,K$1,$A852,$A852),_xll.BDH(config!$G$5,K$1,$A852,$A852))))</f>
        <v/>
      </c>
      <c r="L852" s="8" t="str">
        <f>IF($A852="","",IF(ISNUMBER(FIND("IMPVOL",L$1)),_xll.BDH(config!$G$4,L$1,WORKDAY($A852,-1,config_Holiday_Calendar_US),WORKDAY($A852,-1,config_Holiday_Calendar_US)),IF(ISNUMBER(_xll.BDH(config!$G$4,L$1,$A852,$A852)),_xll.BDH(config!$G$4,L$1,$A852,$A852),_xll.BDH(config!$G$5,L$1,$A852,$A852))))</f>
        <v/>
      </c>
      <c r="M852" s="8" t="str">
        <f>IF($A852="","",IF(ISNUMBER(FIND("IMPVOL",M$1)),_xll.BDH(config!$G$4,M$1,WORKDAY($A852,-1,config_Holiday_Calendar_US),WORKDAY($A852,-1,config_Holiday_Calendar_US)),IF(ISNUMBER(_xll.BDH(config!$G$4,M$1,$A852,$A852)),_xll.BDH(config!$G$4,M$1,$A852,$A852),_xll.BDH(config!$G$5,M$1,$A852,$A852))))</f>
        <v/>
      </c>
      <c r="N852" s="8" t="str">
        <f>IF($A852="","",IF(ISNUMBER(FIND("IMPVOL",N$1)),_xll.BDH(config!$G$4,N$1,WORKDAY($A852,-1,config_Holiday_Calendar_US),WORKDAY($A852,-1,config_Holiday_Calendar_US)),IF(ISNUMBER(_xll.BDH(config!$G$4,N$1,$A852,$A852)),_xll.BDH(config!$G$4,N$1,$A852,$A852),_xll.BDH(config!$G$5,N$1,$A852,$A852))))</f>
        <v/>
      </c>
      <c r="O852" s="8" t="str">
        <f>IF($A852="","",IF(ISNUMBER(FIND("IMPVOL",O$1)),_xll.BDH(config!$G$4,O$1,WORKDAY($A852,-1,config_Holiday_Calendar_US),WORKDAY($A852,-1,config_Holiday_Calendar_US)),IF(ISNUMBER(_xll.BDH(config!$G$4,O$1,$A852,$A852)),_xll.BDH(config!$G$4,O$1,$A852,$A852),_xll.BDH(config!$G$5,O$1,$A852,$A852))))</f>
        <v/>
      </c>
      <c r="P852" s="8" t="str">
        <f>IF($A852="","",IF(ISNUMBER(FIND("IMPVOL",P$1)),_xll.BDH(config!$G$4,P$1,WORKDAY($A852,-1,config_Holiday_Calendar_US),WORKDAY($A852,-1,config_Holiday_Calendar_US)),IF(ISNUMBER(_xll.BDH(config!$G$4,P$1,$A852,$A852)),_xll.BDH(config!$G$4,P$1,$A852,$A852),_xll.BDH(config!$G$5,P$1,$A852,$A852))))</f>
        <v/>
      </c>
      <c r="Q852" s="8" t="str">
        <f>IF($A852="","",IF(ISNUMBER(FIND("IMPVOL",Q$1)),_xll.BDH(config!$G$4,Q$1,WORKDAY($A852,-1,config_Holiday_Calendar_US),WORKDAY($A852,-1,config_Holiday_Calendar_US)),IF(ISNUMBER(_xll.BDH(config!$G$4,Q$1,$A852,$A852)),_xll.BDH(config!$G$4,Q$1,$A852,$A852),_xll.BDH(config!$G$5,Q$1,$A852,$A852))))</f>
        <v/>
      </c>
      <c r="R852" s="8" t="str">
        <f>IF($A852="","",IF(ISNUMBER(FIND("IMPVOL",R$1)),_xll.BDH(config!$G$4,R$1,WORKDAY($A852,-1,config_Holiday_Calendar_US),WORKDAY($A852,-1,config_Holiday_Calendar_US)),IF(ISNUMBER(_xll.BDH(config!$G$4,R$1,$A852,$A852)),_xll.BDH(config!$G$4,R$1,$A852,$A852),_xll.BDH(config!$G$5,R$1,$A852,$A852))))</f>
        <v/>
      </c>
      <c r="S852" s="8" t="str">
        <f>IF($A852="","",IF(ISNUMBER(FIND("IMPVOL",S$1)),_xll.BDH(config!$G$4,S$1,WORKDAY($A852,-1,config_Holiday_Calendar_US),WORKDAY($A852,-1,config_Holiday_Calendar_US)),IF(ISNUMBER(_xll.BDH(config!$G$4,S$1,$A852,$A852)),_xll.BDH(config!$G$4,S$1,$A852,$A852),_xll.BDH(config!$G$5,S$1,$A852,$A852))))</f>
        <v/>
      </c>
      <c r="T852" s="8" t="str">
        <f>IF($A852="","",IF(ISNUMBER(FIND("IMPVOL",T$1)),_xll.BDH(config!$G$4,T$1,WORKDAY($A852,-1,config_Holiday_Calendar_US),WORKDAY($A852,-1,config_Holiday_Calendar_US)),IF(ISNUMBER(_xll.BDH(config!$G$4,T$1,$A852,$A852)),_xll.BDH(config!$G$4,T$1,$A852,$A852),_xll.BDH(config!$G$5,T$1,$A852,$A852))))</f>
        <v/>
      </c>
      <c r="U852" s="8" t="str">
        <f>IF($A852="","",IF(ISNUMBER(FIND("IMPVOL",U$1)),_xll.BDH(config!$G$4,U$1,WORKDAY($A852,-1,config_Holiday_Calendar_US),WORKDAY($A852,-1,config_Holiday_Calendar_US)),IF(ISNUMBER(_xll.BDH(config!$G$4,U$1,$A852,$A852)),_xll.BDH(config!$G$4,U$1,$A852,$A852),_xll.BDH(config!$G$5,U$1,$A852,$A852))))</f>
        <v/>
      </c>
      <c r="V852" s="8" t="str">
        <f>IF($A852="","",IF(ISNUMBER(FIND("IMPVOL",V$1)),_xll.BDH(config!$G$4,V$1,WORKDAY($A852,-1,config_Holiday_Calendar_US),WORKDAY($A852,-1,config_Holiday_Calendar_US)),IF(ISNUMBER(_xll.BDH(config!$G$4,V$1,$A852,$A852)),_xll.BDH(config!$G$4,V$1,$A852,$A852),_xll.BDH(config!$G$5,V$1,$A852,$A852))))</f>
        <v/>
      </c>
      <c r="W852" s="8" t="str">
        <f>IF($A852="","",IF(ISNUMBER(FIND("IMPVOL",W$1)),_xll.BDH(config!$G$4,W$1,WORKDAY($A852,-1,config_Holiday_Calendar_US),WORKDAY($A852,-1,config_Holiday_Calendar_US)),IF(ISNUMBER(_xll.BDH(config!$G$4,W$1,$A852,$A852)),_xll.BDH(config!$G$4,W$1,$A852,$A852),_xll.BDH(config!$G$5,W$1,$A852,$A852))))</f>
        <v/>
      </c>
    </row>
    <row r="853" spans="1:23" x14ac:dyDescent="0.2">
      <c r="A853" s="9" t="str">
        <f>IF(A852="","",IF(WORKDAY(A852,-1,config_Holiday_Calendar_US)&lt;config!$I$10,"",WORKDAY(A852,-1,config_Holiday_Calendar_US)))</f>
        <v/>
      </c>
      <c r="B853" s="8" t="str">
        <f t="shared" si="13"/>
        <v/>
      </c>
      <c r="C853" s="8" t="str">
        <f>IF(A853="","",_xll.BDH(config!$H$4,C$1,$A853,$A853))</f>
        <v/>
      </c>
      <c r="D853" s="8" t="str">
        <f>IF($A853="","",_xll.BDH(config!$H$4,D$1,$A853,$A853))</f>
        <v/>
      </c>
      <c r="E853" s="8" t="str">
        <f>IF($A853="","",IF(ISNUMBER(FIND("IMPVOL",E$1)),_xll.BDH(config!$G$4,E$1,WORKDAY($A853,-1,config_Holiday_Calendar_US),WORKDAY($A853,-1,config_Holiday_Calendar_US)),IF(ISNUMBER(_xll.BDH(config!$G$4,E$1,$A853,$A853)),_xll.BDH(config!$G$4,E$1,$A853,$A853),_xll.BDH(config!$G$5,E$1,$A853,$A853))))</f>
        <v/>
      </c>
      <c r="F853" s="8" t="str">
        <f>IF($A853="","",IF(ISNUMBER(FIND("IMPVOL",F$1)),_xll.BDH(config!$G$4,F$1,WORKDAY($A853,-1,config_Holiday_Calendar_US),WORKDAY($A853,-1,config_Holiday_Calendar_US)),IF(ISNUMBER(_xll.BDH(config!$G$4,F$1,$A853,$A853)),_xll.BDH(config!$G$4,F$1,$A853,$A853),_xll.BDH(config!$G$5,F$1,$A853,$A853))))</f>
        <v/>
      </c>
      <c r="G853" s="8" t="str">
        <f>IF($A853="","",IF(ISNUMBER(FIND("IMPVOL",G$1)),_xll.BDH(config!$G$4,G$1,WORKDAY($A853,-1,config_Holiday_Calendar_US),WORKDAY($A853,-1,config_Holiday_Calendar_US)),IF(ISNUMBER(_xll.BDH(config!$G$4,G$1,$A853,$A853)),_xll.BDH(config!$G$4,G$1,$A853,$A853),_xll.BDH(config!$G$5,G$1,$A853,$A853))))</f>
        <v/>
      </c>
      <c r="H853" s="8" t="str">
        <f>IF($A853="","",IF(ISNUMBER(FIND("IMPVOL",H$1)),_xll.BDH(config!$G$4,H$1,WORKDAY($A853,-1,config_Holiday_Calendar_US),WORKDAY($A853,-1,config_Holiday_Calendar_US)),IF(ISNUMBER(_xll.BDH(config!$G$4,H$1,$A853,$A853)),_xll.BDH(config!$G$4,H$1,$A853,$A853),_xll.BDH(config!$G$5,H$1,$A853,$A853))))</f>
        <v/>
      </c>
      <c r="I853" s="8" t="str">
        <f>IF($A853="","",IF(ISNUMBER(FIND("IMPVOL",I$1)),_xll.BDH(config!$G$4,I$1,WORKDAY($A853,-1,config_Holiday_Calendar_US),WORKDAY($A853,-1,config_Holiday_Calendar_US)),IF(ISNUMBER(_xll.BDH(config!$G$4,I$1,$A853,$A853)),_xll.BDH(config!$G$4,I$1,$A853,$A853),_xll.BDH(config!$G$5,I$1,$A853,$A853))))</f>
        <v/>
      </c>
      <c r="J853" s="8" t="str">
        <f>IF($A853="","",IF(ISNUMBER(FIND("IMPVOL",J$1)),_xll.BDH(config!$G$4,J$1,WORKDAY($A853,-1,config_Holiday_Calendar_US),WORKDAY($A853,-1,config_Holiday_Calendar_US)),IF(ISNUMBER(_xll.BDH(config!$G$4,J$1,$A853,$A853)),_xll.BDH(config!$G$4,J$1,$A853,$A853),_xll.BDH(config!$G$5,J$1,$A853,$A853))))</f>
        <v/>
      </c>
      <c r="K853" s="8" t="str">
        <f>IF($A853="","",IF(ISNUMBER(FIND("IMPVOL",K$1)),_xll.BDH(config!$G$4,K$1,WORKDAY($A853,-1,config_Holiday_Calendar_US),WORKDAY($A853,-1,config_Holiday_Calendar_US)),IF(ISNUMBER(_xll.BDH(config!$G$4,K$1,$A853,$A853)),_xll.BDH(config!$G$4,K$1,$A853,$A853),_xll.BDH(config!$G$5,K$1,$A853,$A853))))</f>
        <v/>
      </c>
      <c r="L853" s="8" t="str">
        <f>IF($A853="","",IF(ISNUMBER(FIND("IMPVOL",L$1)),_xll.BDH(config!$G$4,L$1,WORKDAY($A853,-1,config_Holiday_Calendar_US),WORKDAY($A853,-1,config_Holiday_Calendar_US)),IF(ISNUMBER(_xll.BDH(config!$G$4,L$1,$A853,$A853)),_xll.BDH(config!$G$4,L$1,$A853,$A853),_xll.BDH(config!$G$5,L$1,$A853,$A853))))</f>
        <v/>
      </c>
      <c r="M853" s="8" t="str">
        <f>IF($A853="","",IF(ISNUMBER(FIND("IMPVOL",M$1)),_xll.BDH(config!$G$4,M$1,WORKDAY($A853,-1,config_Holiday_Calendar_US),WORKDAY($A853,-1,config_Holiday_Calendar_US)),IF(ISNUMBER(_xll.BDH(config!$G$4,M$1,$A853,$A853)),_xll.BDH(config!$G$4,M$1,$A853,$A853),_xll.BDH(config!$G$5,M$1,$A853,$A853))))</f>
        <v/>
      </c>
      <c r="N853" s="8" t="str">
        <f>IF($A853="","",IF(ISNUMBER(FIND("IMPVOL",N$1)),_xll.BDH(config!$G$4,N$1,WORKDAY($A853,-1,config_Holiday_Calendar_US),WORKDAY($A853,-1,config_Holiday_Calendar_US)),IF(ISNUMBER(_xll.BDH(config!$G$4,N$1,$A853,$A853)),_xll.BDH(config!$G$4,N$1,$A853,$A853),_xll.BDH(config!$G$5,N$1,$A853,$A853))))</f>
        <v/>
      </c>
      <c r="O853" s="8" t="str">
        <f>IF($A853="","",IF(ISNUMBER(FIND("IMPVOL",O$1)),_xll.BDH(config!$G$4,O$1,WORKDAY($A853,-1,config_Holiday_Calendar_US),WORKDAY($A853,-1,config_Holiday_Calendar_US)),IF(ISNUMBER(_xll.BDH(config!$G$4,O$1,$A853,$A853)),_xll.BDH(config!$G$4,O$1,$A853,$A853),_xll.BDH(config!$G$5,O$1,$A853,$A853))))</f>
        <v/>
      </c>
      <c r="P853" s="8" t="str">
        <f>IF($A853="","",IF(ISNUMBER(FIND("IMPVOL",P$1)),_xll.BDH(config!$G$4,P$1,WORKDAY($A853,-1,config_Holiday_Calendar_US),WORKDAY($A853,-1,config_Holiday_Calendar_US)),IF(ISNUMBER(_xll.BDH(config!$G$4,P$1,$A853,$A853)),_xll.BDH(config!$G$4,P$1,$A853,$A853),_xll.BDH(config!$G$5,P$1,$A853,$A853))))</f>
        <v/>
      </c>
      <c r="Q853" s="8" t="str">
        <f>IF($A853="","",IF(ISNUMBER(FIND("IMPVOL",Q$1)),_xll.BDH(config!$G$4,Q$1,WORKDAY($A853,-1,config_Holiday_Calendar_US),WORKDAY($A853,-1,config_Holiday_Calendar_US)),IF(ISNUMBER(_xll.BDH(config!$G$4,Q$1,$A853,$A853)),_xll.BDH(config!$G$4,Q$1,$A853,$A853),_xll.BDH(config!$G$5,Q$1,$A853,$A853))))</f>
        <v/>
      </c>
      <c r="R853" s="8" t="str">
        <f>IF($A853="","",IF(ISNUMBER(FIND("IMPVOL",R$1)),_xll.BDH(config!$G$4,R$1,WORKDAY($A853,-1,config_Holiday_Calendar_US),WORKDAY($A853,-1,config_Holiday_Calendar_US)),IF(ISNUMBER(_xll.BDH(config!$G$4,R$1,$A853,$A853)),_xll.BDH(config!$G$4,R$1,$A853,$A853),_xll.BDH(config!$G$5,R$1,$A853,$A853))))</f>
        <v/>
      </c>
      <c r="S853" s="8" t="str">
        <f>IF($A853="","",IF(ISNUMBER(FIND("IMPVOL",S$1)),_xll.BDH(config!$G$4,S$1,WORKDAY($A853,-1,config_Holiday_Calendar_US),WORKDAY($A853,-1,config_Holiday_Calendar_US)),IF(ISNUMBER(_xll.BDH(config!$G$4,S$1,$A853,$A853)),_xll.BDH(config!$G$4,S$1,$A853,$A853),_xll.BDH(config!$G$5,S$1,$A853,$A853))))</f>
        <v/>
      </c>
      <c r="T853" s="8" t="str">
        <f>IF($A853="","",IF(ISNUMBER(FIND("IMPVOL",T$1)),_xll.BDH(config!$G$4,T$1,WORKDAY($A853,-1,config_Holiday_Calendar_US),WORKDAY($A853,-1,config_Holiday_Calendar_US)),IF(ISNUMBER(_xll.BDH(config!$G$4,T$1,$A853,$A853)),_xll.BDH(config!$G$4,T$1,$A853,$A853),_xll.BDH(config!$G$5,T$1,$A853,$A853))))</f>
        <v/>
      </c>
      <c r="U853" s="8" t="str">
        <f>IF($A853="","",IF(ISNUMBER(FIND("IMPVOL",U$1)),_xll.BDH(config!$G$4,U$1,WORKDAY($A853,-1,config_Holiday_Calendar_US),WORKDAY($A853,-1,config_Holiday_Calendar_US)),IF(ISNUMBER(_xll.BDH(config!$G$4,U$1,$A853,$A853)),_xll.BDH(config!$G$4,U$1,$A853,$A853),_xll.BDH(config!$G$5,U$1,$A853,$A853))))</f>
        <v/>
      </c>
      <c r="V853" s="8" t="str">
        <f>IF($A853="","",IF(ISNUMBER(FIND("IMPVOL",V$1)),_xll.BDH(config!$G$4,V$1,WORKDAY($A853,-1,config_Holiday_Calendar_US),WORKDAY($A853,-1,config_Holiday_Calendar_US)),IF(ISNUMBER(_xll.BDH(config!$G$4,V$1,$A853,$A853)),_xll.BDH(config!$G$4,V$1,$A853,$A853),_xll.BDH(config!$G$5,V$1,$A853,$A853))))</f>
        <v/>
      </c>
      <c r="W853" s="8" t="str">
        <f>IF($A853="","",IF(ISNUMBER(FIND("IMPVOL",W$1)),_xll.BDH(config!$G$4,W$1,WORKDAY($A853,-1,config_Holiday_Calendar_US),WORKDAY($A853,-1,config_Holiday_Calendar_US)),IF(ISNUMBER(_xll.BDH(config!$G$4,W$1,$A853,$A853)),_xll.BDH(config!$G$4,W$1,$A853,$A853),_xll.BDH(config!$G$5,W$1,$A853,$A853))))</f>
        <v/>
      </c>
    </row>
    <row r="854" spans="1:23" x14ac:dyDescent="0.2">
      <c r="A854" s="9" t="str">
        <f>IF(A853="","",IF(WORKDAY(A853,-1,config_Holiday_Calendar_US)&lt;config!$I$10,"",WORKDAY(A853,-1,config_Holiday_Calendar_US)))</f>
        <v/>
      </c>
      <c r="B854" s="8" t="str">
        <f t="shared" si="13"/>
        <v/>
      </c>
      <c r="C854" s="8" t="str">
        <f>IF(A854="","",_xll.BDH(config!$H$4,C$1,$A854,$A854))</f>
        <v/>
      </c>
      <c r="D854" s="8" t="str">
        <f>IF($A854="","",_xll.BDH(config!$H$4,D$1,$A854,$A854))</f>
        <v/>
      </c>
      <c r="E854" s="8" t="str">
        <f>IF($A854="","",IF(ISNUMBER(FIND("IMPVOL",E$1)),_xll.BDH(config!$G$4,E$1,WORKDAY($A854,-1,config_Holiday_Calendar_US),WORKDAY($A854,-1,config_Holiday_Calendar_US)),IF(ISNUMBER(_xll.BDH(config!$G$4,E$1,$A854,$A854)),_xll.BDH(config!$G$4,E$1,$A854,$A854),_xll.BDH(config!$G$5,E$1,$A854,$A854))))</f>
        <v/>
      </c>
      <c r="F854" s="8" t="str">
        <f>IF($A854="","",IF(ISNUMBER(FIND("IMPVOL",F$1)),_xll.BDH(config!$G$4,F$1,WORKDAY($A854,-1,config_Holiday_Calendar_US),WORKDAY($A854,-1,config_Holiday_Calendar_US)),IF(ISNUMBER(_xll.BDH(config!$G$4,F$1,$A854,$A854)),_xll.BDH(config!$G$4,F$1,$A854,$A854),_xll.BDH(config!$G$5,F$1,$A854,$A854))))</f>
        <v/>
      </c>
      <c r="G854" s="8" t="str">
        <f>IF($A854="","",IF(ISNUMBER(FIND("IMPVOL",G$1)),_xll.BDH(config!$G$4,G$1,WORKDAY($A854,-1,config_Holiday_Calendar_US),WORKDAY($A854,-1,config_Holiday_Calendar_US)),IF(ISNUMBER(_xll.BDH(config!$G$4,G$1,$A854,$A854)),_xll.BDH(config!$G$4,G$1,$A854,$A854),_xll.BDH(config!$G$5,G$1,$A854,$A854))))</f>
        <v/>
      </c>
      <c r="H854" s="8" t="str">
        <f>IF($A854="","",IF(ISNUMBER(FIND("IMPVOL",H$1)),_xll.BDH(config!$G$4,H$1,WORKDAY($A854,-1,config_Holiday_Calendar_US),WORKDAY($A854,-1,config_Holiday_Calendar_US)),IF(ISNUMBER(_xll.BDH(config!$G$4,H$1,$A854,$A854)),_xll.BDH(config!$G$4,H$1,$A854,$A854),_xll.BDH(config!$G$5,H$1,$A854,$A854))))</f>
        <v/>
      </c>
      <c r="I854" s="8" t="str">
        <f>IF($A854="","",IF(ISNUMBER(FIND("IMPVOL",I$1)),_xll.BDH(config!$G$4,I$1,WORKDAY($A854,-1,config_Holiday_Calendar_US),WORKDAY($A854,-1,config_Holiday_Calendar_US)),IF(ISNUMBER(_xll.BDH(config!$G$4,I$1,$A854,$A854)),_xll.BDH(config!$G$4,I$1,$A854,$A854),_xll.BDH(config!$G$5,I$1,$A854,$A854))))</f>
        <v/>
      </c>
      <c r="J854" s="8" t="str">
        <f>IF($A854="","",IF(ISNUMBER(FIND("IMPVOL",J$1)),_xll.BDH(config!$G$4,J$1,WORKDAY($A854,-1,config_Holiday_Calendar_US),WORKDAY($A854,-1,config_Holiday_Calendar_US)),IF(ISNUMBER(_xll.BDH(config!$G$4,J$1,$A854,$A854)),_xll.BDH(config!$G$4,J$1,$A854,$A854),_xll.BDH(config!$G$5,J$1,$A854,$A854))))</f>
        <v/>
      </c>
      <c r="K854" s="8" t="str">
        <f>IF($A854="","",IF(ISNUMBER(FIND("IMPVOL",K$1)),_xll.BDH(config!$G$4,K$1,WORKDAY($A854,-1,config_Holiday_Calendar_US),WORKDAY($A854,-1,config_Holiday_Calendar_US)),IF(ISNUMBER(_xll.BDH(config!$G$4,K$1,$A854,$A854)),_xll.BDH(config!$G$4,K$1,$A854,$A854),_xll.BDH(config!$G$5,K$1,$A854,$A854))))</f>
        <v/>
      </c>
      <c r="L854" s="8" t="str">
        <f>IF($A854="","",IF(ISNUMBER(FIND("IMPVOL",L$1)),_xll.BDH(config!$G$4,L$1,WORKDAY($A854,-1,config_Holiday_Calendar_US),WORKDAY($A854,-1,config_Holiday_Calendar_US)),IF(ISNUMBER(_xll.BDH(config!$G$4,L$1,$A854,$A854)),_xll.BDH(config!$G$4,L$1,$A854,$A854),_xll.BDH(config!$G$5,L$1,$A854,$A854))))</f>
        <v/>
      </c>
      <c r="M854" s="8" t="str">
        <f>IF($A854="","",IF(ISNUMBER(FIND("IMPVOL",M$1)),_xll.BDH(config!$G$4,M$1,WORKDAY($A854,-1,config_Holiday_Calendar_US),WORKDAY($A854,-1,config_Holiday_Calendar_US)),IF(ISNUMBER(_xll.BDH(config!$G$4,M$1,$A854,$A854)),_xll.BDH(config!$G$4,M$1,$A854,$A854),_xll.BDH(config!$G$5,M$1,$A854,$A854))))</f>
        <v/>
      </c>
      <c r="N854" s="8" t="str">
        <f>IF($A854="","",IF(ISNUMBER(FIND("IMPVOL",N$1)),_xll.BDH(config!$G$4,N$1,WORKDAY($A854,-1,config_Holiday_Calendar_US),WORKDAY($A854,-1,config_Holiday_Calendar_US)),IF(ISNUMBER(_xll.BDH(config!$G$4,N$1,$A854,$A854)),_xll.BDH(config!$G$4,N$1,$A854,$A854),_xll.BDH(config!$G$5,N$1,$A854,$A854))))</f>
        <v/>
      </c>
      <c r="O854" s="8" t="str">
        <f>IF($A854="","",IF(ISNUMBER(FIND("IMPVOL",O$1)),_xll.BDH(config!$G$4,O$1,WORKDAY($A854,-1,config_Holiday_Calendar_US),WORKDAY($A854,-1,config_Holiday_Calendar_US)),IF(ISNUMBER(_xll.BDH(config!$G$4,O$1,$A854,$A854)),_xll.BDH(config!$G$4,O$1,$A854,$A854),_xll.BDH(config!$G$5,O$1,$A854,$A854))))</f>
        <v/>
      </c>
      <c r="P854" s="8" t="str">
        <f>IF($A854="","",IF(ISNUMBER(FIND("IMPVOL",P$1)),_xll.BDH(config!$G$4,P$1,WORKDAY($A854,-1,config_Holiday_Calendar_US),WORKDAY($A854,-1,config_Holiday_Calendar_US)),IF(ISNUMBER(_xll.BDH(config!$G$4,P$1,$A854,$A854)),_xll.BDH(config!$G$4,P$1,$A854,$A854),_xll.BDH(config!$G$5,P$1,$A854,$A854))))</f>
        <v/>
      </c>
      <c r="Q854" s="8" t="str">
        <f>IF($A854="","",IF(ISNUMBER(FIND("IMPVOL",Q$1)),_xll.BDH(config!$G$4,Q$1,WORKDAY($A854,-1,config_Holiday_Calendar_US),WORKDAY($A854,-1,config_Holiday_Calendar_US)),IF(ISNUMBER(_xll.BDH(config!$G$4,Q$1,$A854,$A854)),_xll.BDH(config!$G$4,Q$1,$A854,$A854),_xll.BDH(config!$G$5,Q$1,$A854,$A854))))</f>
        <v/>
      </c>
      <c r="R854" s="8" t="str">
        <f>IF($A854="","",IF(ISNUMBER(FIND("IMPVOL",R$1)),_xll.BDH(config!$G$4,R$1,WORKDAY($A854,-1,config_Holiday_Calendar_US),WORKDAY($A854,-1,config_Holiday_Calendar_US)),IF(ISNUMBER(_xll.BDH(config!$G$4,R$1,$A854,$A854)),_xll.BDH(config!$G$4,R$1,$A854,$A854),_xll.BDH(config!$G$5,R$1,$A854,$A854))))</f>
        <v/>
      </c>
      <c r="S854" s="8" t="str">
        <f>IF($A854="","",IF(ISNUMBER(FIND("IMPVOL",S$1)),_xll.BDH(config!$G$4,S$1,WORKDAY($A854,-1,config_Holiday_Calendar_US),WORKDAY($A854,-1,config_Holiday_Calendar_US)),IF(ISNUMBER(_xll.BDH(config!$G$4,S$1,$A854,$A854)),_xll.BDH(config!$G$4,S$1,$A854,$A854),_xll.BDH(config!$G$5,S$1,$A854,$A854))))</f>
        <v/>
      </c>
      <c r="T854" s="8" t="str">
        <f>IF($A854="","",IF(ISNUMBER(FIND("IMPVOL",T$1)),_xll.BDH(config!$G$4,T$1,WORKDAY($A854,-1,config_Holiday_Calendar_US),WORKDAY($A854,-1,config_Holiday_Calendar_US)),IF(ISNUMBER(_xll.BDH(config!$G$4,T$1,$A854,$A854)),_xll.BDH(config!$G$4,T$1,$A854,$A854),_xll.BDH(config!$G$5,T$1,$A854,$A854))))</f>
        <v/>
      </c>
      <c r="U854" s="8" t="str">
        <f>IF($A854="","",IF(ISNUMBER(FIND("IMPVOL",U$1)),_xll.BDH(config!$G$4,U$1,WORKDAY($A854,-1,config_Holiday_Calendar_US),WORKDAY($A854,-1,config_Holiday_Calendar_US)),IF(ISNUMBER(_xll.BDH(config!$G$4,U$1,$A854,$A854)),_xll.BDH(config!$G$4,U$1,$A854,$A854),_xll.BDH(config!$G$5,U$1,$A854,$A854))))</f>
        <v/>
      </c>
      <c r="V854" s="8" t="str">
        <f>IF($A854="","",IF(ISNUMBER(FIND("IMPVOL",V$1)),_xll.BDH(config!$G$4,V$1,WORKDAY($A854,-1,config_Holiday_Calendar_US),WORKDAY($A854,-1,config_Holiday_Calendar_US)),IF(ISNUMBER(_xll.BDH(config!$G$4,V$1,$A854,$A854)),_xll.BDH(config!$G$4,V$1,$A854,$A854),_xll.BDH(config!$G$5,V$1,$A854,$A854))))</f>
        <v/>
      </c>
      <c r="W854" s="8" t="str">
        <f>IF($A854="","",IF(ISNUMBER(FIND("IMPVOL",W$1)),_xll.BDH(config!$G$4,W$1,WORKDAY($A854,-1,config_Holiday_Calendar_US),WORKDAY($A854,-1,config_Holiday_Calendar_US)),IF(ISNUMBER(_xll.BDH(config!$G$4,W$1,$A854,$A854)),_xll.BDH(config!$G$4,W$1,$A854,$A854),_xll.BDH(config!$G$5,W$1,$A854,$A854))))</f>
        <v/>
      </c>
    </row>
    <row r="855" spans="1:23" x14ac:dyDescent="0.2">
      <c r="A855" s="9" t="str">
        <f>IF(A854="","",IF(WORKDAY(A854,-1,config_Holiday_Calendar_US)&lt;config!$I$10,"",WORKDAY(A854,-1,config_Holiday_Calendar_US)))</f>
        <v/>
      </c>
      <c r="B855" s="8" t="str">
        <f t="shared" si="13"/>
        <v/>
      </c>
      <c r="C855" s="8" t="str">
        <f>IF(A855="","",_xll.BDH(config!$H$4,C$1,$A855,$A855))</f>
        <v/>
      </c>
      <c r="D855" s="8" t="str">
        <f>IF($A855="","",_xll.BDH(config!$H$4,D$1,$A855,$A855))</f>
        <v/>
      </c>
      <c r="E855" s="8" t="str">
        <f>IF($A855="","",IF(ISNUMBER(FIND("IMPVOL",E$1)),_xll.BDH(config!$G$4,E$1,WORKDAY($A855,-1,config_Holiday_Calendar_US),WORKDAY($A855,-1,config_Holiday_Calendar_US)),IF(ISNUMBER(_xll.BDH(config!$G$4,E$1,$A855,$A855)),_xll.BDH(config!$G$4,E$1,$A855,$A855),_xll.BDH(config!$G$5,E$1,$A855,$A855))))</f>
        <v/>
      </c>
      <c r="F855" s="8" t="str">
        <f>IF($A855="","",IF(ISNUMBER(FIND("IMPVOL",F$1)),_xll.BDH(config!$G$4,F$1,WORKDAY($A855,-1,config_Holiday_Calendar_US),WORKDAY($A855,-1,config_Holiday_Calendar_US)),IF(ISNUMBER(_xll.BDH(config!$G$4,F$1,$A855,$A855)),_xll.BDH(config!$G$4,F$1,$A855,$A855),_xll.BDH(config!$G$5,F$1,$A855,$A855))))</f>
        <v/>
      </c>
      <c r="G855" s="8" t="str">
        <f>IF($A855="","",IF(ISNUMBER(FIND("IMPVOL",G$1)),_xll.BDH(config!$G$4,G$1,WORKDAY($A855,-1,config_Holiday_Calendar_US),WORKDAY($A855,-1,config_Holiday_Calendar_US)),IF(ISNUMBER(_xll.BDH(config!$G$4,G$1,$A855,$A855)),_xll.BDH(config!$G$4,G$1,$A855,$A855),_xll.BDH(config!$G$5,G$1,$A855,$A855))))</f>
        <v/>
      </c>
      <c r="H855" s="8" t="str">
        <f>IF($A855="","",IF(ISNUMBER(FIND("IMPVOL",H$1)),_xll.BDH(config!$G$4,H$1,WORKDAY($A855,-1,config_Holiday_Calendar_US),WORKDAY($A855,-1,config_Holiday_Calendar_US)),IF(ISNUMBER(_xll.BDH(config!$G$4,H$1,$A855,$A855)),_xll.BDH(config!$G$4,H$1,$A855,$A855),_xll.BDH(config!$G$5,H$1,$A855,$A855))))</f>
        <v/>
      </c>
      <c r="I855" s="8" t="str">
        <f>IF($A855="","",IF(ISNUMBER(FIND("IMPVOL",I$1)),_xll.BDH(config!$G$4,I$1,WORKDAY($A855,-1,config_Holiday_Calendar_US),WORKDAY($A855,-1,config_Holiday_Calendar_US)),IF(ISNUMBER(_xll.BDH(config!$G$4,I$1,$A855,$A855)),_xll.BDH(config!$G$4,I$1,$A855,$A855),_xll.BDH(config!$G$5,I$1,$A855,$A855))))</f>
        <v/>
      </c>
      <c r="J855" s="8" t="str">
        <f>IF($A855="","",IF(ISNUMBER(FIND("IMPVOL",J$1)),_xll.BDH(config!$G$4,J$1,WORKDAY($A855,-1,config_Holiday_Calendar_US),WORKDAY($A855,-1,config_Holiday_Calendar_US)),IF(ISNUMBER(_xll.BDH(config!$G$4,J$1,$A855,$A855)),_xll.BDH(config!$G$4,J$1,$A855,$A855),_xll.BDH(config!$G$5,J$1,$A855,$A855))))</f>
        <v/>
      </c>
      <c r="K855" s="8" t="str">
        <f>IF($A855="","",IF(ISNUMBER(FIND("IMPVOL",K$1)),_xll.BDH(config!$G$4,K$1,WORKDAY($A855,-1,config_Holiday_Calendar_US),WORKDAY($A855,-1,config_Holiday_Calendar_US)),IF(ISNUMBER(_xll.BDH(config!$G$4,K$1,$A855,$A855)),_xll.BDH(config!$G$4,K$1,$A855,$A855),_xll.BDH(config!$G$5,K$1,$A855,$A855))))</f>
        <v/>
      </c>
      <c r="L855" s="8" t="str">
        <f>IF($A855="","",IF(ISNUMBER(FIND("IMPVOL",L$1)),_xll.BDH(config!$G$4,L$1,WORKDAY($A855,-1,config_Holiday_Calendar_US),WORKDAY($A855,-1,config_Holiday_Calendar_US)),IF(ISNUMBER(_xll.BDH(config!$G$4,L$1,$A855,$A855)),_xll.BDH(config!$G$4,L$1,$A855,$A855),_xll.BDH(config!$G$5,L$1,$A855,$A855))))</f>
        <v/>
      </c>
      <c r="M855" s="8" t="str">
        <f>IF($A855="","",IF(ISNUMBER(FIND("IMPVOL",M$1)),_xll.BDH(config!$G$4,M$1,WORKDAY($A855,-1,config_Holiday_Calendar_US),WORKDAY($A855,-1,config_Holiday_Calendar_US)),IF(ISNUMBER(_xll.BDH(config!$G$4,M$1,$A855,$A855)),_xll.BDH(config!$G$4,M$1,$A855,$A855),_xll.BDH(config!$G$5,M$1,$A855,$A855))))</f>
        <v/>
      </c>
      <c r="N855" s="8" t="str">
        <f>IF($A855="","",IF(ISNUMBER(FIND("IMPVOL",N$1)),_xll.BDH(config!$G$4,N$1,WORKDAY($A855,-1,config_Holiday_Calendar_US),WORKDAY($A855,-1,config_Holiday_Calendar_US)),IF(ISNUMBER(_xll.BDH(config!$G$4,N$1,$A855,$A855)),_xll.BDH(config!$G$4,N$1,$A855,$A855),_xll.BDH(config!$G$5,N$1,$A855,$A855))))</f>
        <v/>
      </c>
      <c r="O855" s="8" t="str">
        <f>IF($A855="","",IF(ISNUMBER(FIND("IMPVOL",O$1)),_xll.BDH(config!$G$4,O$1,WORKDAY($A855,-1,config_Holiday_Calendar_US),WORKDAY($A855,-1,config_Holiday_Calendar_US)),IF(ISNUMBER(_xll.BDH(config!$G$4,O$1,$A855,$A855)),_xll.BDH(config!$G$4,O$1,$A855,$A855),_xll.BDH(config!$G$5,O$1,$A855,$A855))))</f>
        <v/>
      </c>
      <c r="P855" s="8" t="str">
        <f>IF($A855="","",IF(ISNUMBER(FIND("IMPVOL",P$1)),_xll.BDH(config!$G$4,P$1,WORKDAY($A855,-1,config_Holiday_Calendar_US),WORKDAY($A855,-1,config_Holiday_Calendar_US)),IF(ISNUMBER(_xll.BDH(config!$G$4,P$1,$A855,$A855)),_xll.BDH(config!$G$4,P$1,$A855,$A855),_xll.BDH(config!$G$5,P$1,$A855,$A855))))</f>
        <v/>
      </c>
      <c r="Q855" s="8" t="str">
        <f>IF($A855="","",IF(ISNUMBER(FIND("IMPVOL",Q$1)),_xll.BDH(config!$G$4,Q$1,WORKDAY($A855,-1,config_Holiday_Calendar_US),WORKDAY($A855,-1,config_Holiday_Calendar_US)),IF(ISNUMBER(_xll.BDH(config!$G$4,Q$1,$A855,$A855)),_xll.BDH(config!$G$4,Q$1,$A855,$A855),_xll.BDH(config!$G$5,Q$1,$A855,$A855))))</f>
        <v/>
      </c>
      <c r="R855" s="8" t="str">
        <f>IF($A855="","",IF(ISNUMBER(FIND("IMPVOL",R$1)),_xll.BDH(config!$G$4,R$1,WORKDAY($A855,-1,config_Holiday_Calendar_US),WORKDAY($A855,-1,config_Holiday_Calendar_US)),IF(ISNUMBER(_xll.BDH(config!$G$4,R$1,$A855,$A855)),_xll.BDH(config!$G$4,R$1,$A855,$A855),_xll.BDH(config!$G$5,R$1,$A855,$A855))))</f>
        <v/>
      </c>
      <c r="S855" s="8" t="str">
        <f>IF($A855="","",IF(ISNUMBER(FIND("IMPVOL",S$1)),_xll.BDH(config!$G$4,S$1,WORKDAY($A855,-1,config_Holiday_Calendar_US),WORKDAY($A855,-1,config_Holiday_Calendar_US)),IF(ISNUMBER(_xll.BDH(config!$G$4,S$1,$A855,$A855)),_xll.BDH(config!$G$4,S$1,$A855,$A855),_xll.BDH(config!$G$5,S$1,$A855,$A855))))</f>
        <v/>
      </c>
      <c r="T855" s="8" t="str">
        <f>IF($A855="","",IF(ISNUMBER(FIND("IMPVOL",T$1)),_xll.BDH(config!$G$4,T$1,WORKDAY($A855,-1,config_Holiday_Calendar_US),WORKDAY($A855,-1,config_Holiday_Calendar_US)),IF(ISNUMBER(_xll.BDH(config!$G$4,T$1,$A855,$A855)),_xll.BDH(config!$G$4,T$1,$A855,$A855),_xll.BDH(config!$G$5,T$1,$A855,$A855))))</f>
        <v/>
      </c>
      <c r="U855" s="8" t="str">
        <f>IF($A855="","",IF(ISNUMBER(FIND("IMPVOL",U$1)),_xll.BDH(config!$G$4,U$1,WORKDAY($A855,-1,config_Holiday_Calendar_US),WORKDAY($A855,-1,config_Holiday_Calendar_US)),IF(ISNUMBER(_xll.BDH(config!$G$4,U$1,$A855,$A855)),_xll.BDH(config!$G$4,U$1,$A855,$A855),_xll.BDH(config!$G$5,U$1,$A855,$A855))))</f>
        <v/>
      </c>
      <c r="V855" s="8" t="str">
        <f>IF($A855="","",IF(ISNUMBER(FIND("IMPVOL",V$1)),_xll.BDH(config!$G$4,V$1,WORKDAY($A855,-1,config_Holiday_Calendar_US),WORKDAY($A855,-1,config_Holiday_Calendar_US)),IF(ISNUMBER(_xll.BDH(config!$G$4,V$1,$A855,$A855)),_xll.BDH(config!$G$4,V$1,$A855,$A855),_xll.BDH(config!$G$5,V$1,$A855,$A855))))</f>
        <v/>
      </c>
      <c r="W855" s="8" t="str">
        <f>IF($A855="","",IF(ISNUMBER(FIND("IMPVOL",W$1)),_xll.BDH(config!$G$4,W$1,WORKDAY($A855,-1,config_Holiday_Calendar_US),WORKDAY($A855,-1,config_Holiday_Calendar_US)),IF(ISNUMBER(_xll.BDH(config!$G$4,W$1,$A855,$A855)),_xll.BDH(config!$G$4,W$1,$A855,$A855),_xll.BDH(config!$G$5,W$1,$A855,$A855))))</f>
        <v/>
      </c>
    </row>
    <row r="856" spans="1:23" x14ac:dyDescent="0.2">
      <c r="A856" s="9" t="str">
        <f>IF(A855="","",IF(WORKDAY(A855,-1,config_Holiday_Calendar_US)&lt;config!$I$10,"",WORKDAY(A855,-1,config_Holiday_Calendar_US)))</f>
        <v/>
      </c>
      <c r="B856" s="8" t="str">
        <f t="shared" si="13"/>
        <v/>
      </c>
      <c r="C856" s="8" t="str">
        <f>IF(A856="","",_xll.BDH(config!$H$4,C$1,$A856,$A856))</f>
        <v/>
      </c>
      <c r="D856" s="8" t="str">
        <f>IF($A856="","",_xll.BDH(config!$H$4,D$1,$A856,$A856))</f>
        <v/>
      </c>
      <c r="E856" s="8" t="str">
        <f>IF($A856="","",IF(ISNUMBER(FIND("IMPVOL",E$1)),_xll.BDH(config!$G$4,E$1,WORKDAY($A856,-1,config_Holiday_Calendar_US),WORKDAY($A856,-1,config_Holiday_Calendar_US)),IF(ISNUMBER(_xll.BDH(config!$G$4,E$1,$A856,$A856)),_xll.BDH(config!$G$4,E$1,$A856,$A856),_xll.BDH(config!$G$5,E$1,$A856,$A856))))</f>
        <v/>
      </c>
      <c r="F856" s="8" t="str">
        <f>IF($A856="","",IF(ISNUMBER(FIND("IMPVOL",F$1)),_xll.BDH(config!$G$4,F$1,WORKDAY($A856,-1,config_Holiday_Calendar_US),WORKDAY($A856,-1,config_Holiday_Calendar_US)),IF(ISNUMBER(_xll.BDH(config!$G$4,F$1,$A856,$A856)),_xll.BDH(config!$G$4,F$1,$A856,$A856),_xll.BDH(config!$G$5,F$1,$A856,$A856))))</f>
        <v/>
      </c>
      <c r="G856" s="8" t="str">
        <f>IF($A856="","",IF(ISNUMBER(FIND("IMPVOL",G$1)),_xll.BDH(config!$G$4,G$1,WORKDAY($A856,-1,config_Holiday_Calendar_US),WORKDAY($A856,-1,config_Holiday_Calendar_US)),IF(ISNUMBER(_xll.BDH(config!$G$4,G$1,$A856,$A856)),_xll.BDH(config!$G$4,G$1,$A856,$A856),_xll.BDH(config!$G$5,G$1,$A856,$A856))))</f>
        <v/>
      </c>
      <c r="H856" s="8" t="str">
        <f>IF($A856="","",IF(ISNUMBER(FIND("IMPVOL",H$1)),_xll.BDH(config!$G$4,H$1,WORKDAY($A856,-1,config_Holiday_Calendar_US),WORKDAY($A856,-1,config_Holiday_Calendar_US)),IF(ISNUMBER(_xll.BDH(config!$G$4,H$1,$A856,$A856)),_xll.BDH(config!$G$4,H$1,$A856,$A856),_xll.BDH(config!$G$5,H$1,$A856,$A856))))</f>
        <v/>
      </c>
      <c r="I856" s="8" t="str">
        <f>IF($A856="","",IF(ISNUMBER(FIND("IMPVOL",I$1)),_xll.BDH(config!$G$4,I$1,WORKDAY($A856,-1,config_Holiday_Calendar_US),WORKDAY($A856,-1,config_Holiday_Calendar_US)),IF(ISNUMBER(_xll.BDH(config!$G$4,I$1,$A856,$A856)),_xll.BDH(config!$G$4,I$1,$A856,$A856),_xll.BDH(config!$G$5,I$1,$A856,$A856))))</f>
        <v/>
      </c>
      <c r="J856" s="8" t="str">
        <f>IF($A856="","",IF(ISNUMBER(FIND("IMPVOL",J$1)),_xll.BDH(config!$G$4,J$1,WORKDAY($A856,-1,config_Holiday_Calendar_US),WORKDAY($A856,-1,config_Holiday_Calendar_US)),IF(ISNUMBER(_xll.BDH(config!$G$4,J$1,$A856,$A856)),_xll.BDH(config!$G$4,J$1,$A856,$A856),_xll.BDH(config!$G$5,J$1,$A856,$A856))))</f>
        <v/>
      </c>
      <c r="K856" s="8" t="str">
        <f>IF($A856="","",IF(ISNUMBER(FIND("IMPVOL",K$1)),_xll.BDH(config!$G$4,K$1,WORKDAY($A856,-1,config_Holiday_Calendar_US),WORKDAY($A856,-1,config_Holiday_Calendar_US)),IF(ISNUMBER(_xll.BDH(config!$G$4,K$1,$A856,$A856)),_xll.BDH(config!$G$4,K$1,$A856,$A856),_xll.BDH(config!$G$5,K$1,$A856,$A856))))</f>
        <v/>
      </c>
      <c r="L856" s="8" t="str">
        <f>IF($A856="","",IF(ISNUMBER(FIND("IMPVOL",L$1)),_xll.BDH(config!$G$4,L$1,WORKDAY($A856,-1,config_Holiday_Calendar_US),WORKDAY($A856,-1,config_Holiday_Calendar_US)),IF(ISNUMBER(_xll.BDH(config!$G$4,L$1,$A856,$A856)),_xll.BDH(config!$G$4,L$1,$A856,$A856),_xll.BDH(config!$G$5,L$1,$A856,$A856))))</f>
        <v/>
      </c>
      <c r="M856" s="8" t="str">
        <f>IF($A856="","",IF(ISNUMBER(FIND("IMPVOL",M$1)),_xll.BDH(config!$G$4,M$1,WORKDAY($A856,-1,config_Holiday_Calendar_US),WORKDAY($A856,-1,config_Holiday_Calendar_US)),IF(ISNUMBER(_xll.BDH(config!$G$4,M$1,$A856,$A856)),_xll.BDH(config!$G$4,M$1,$A856,$A856),_xll.BDH(config!$G$5,M$1,$A856,$A856))))</f>
        <v/>
      </c>
      <c r="N856" s="8" t="str">
        <f>IF($A856="","",IF(ISNUMBER(FIND("IMPVOL",N$1)),_xll.BDH(config!$G$4,N$1,WORKDAY($A856,-1,config_Holiday_Calendar_US),WORKDAY($A856,-1,config_Holiday_Calendar_US)),IF(ISNUMBER(_xll.BDH(config!$G$4,N$1,$A856,$A856)),_xll.BDH(config!$G$4,N$1,$A856,$A856),_xll.BDH(config!$G$5,N$1,$A856,$A856))))</f>
        <v/>
      </c>
      <c r="O856" s="8" t="str">
        <f>IF($A856="","",IF(ISNUMBER(FIND("IMPVOL",O$1)),_xll.BDH(config!$G$4,O$1,WORKDAY($A856,-1,config_Holiday_Calendar_US),WORKDAY($A856,-1,config_Holiday_Calendar_US)),IF(ISNUMBER(_xll.BDH(config!$G$4,O$1,$A856,$A856)),_xll.BDH(config!$G$4,O$1,$A856,$A856),_xll.BDH(config!$G$5,O$1,$A856,$A856))))</f>
        <v/>
      </c>
      <c r="P856" s="8" t="str">
        <f>IF($A856="","",IF(ISNUMBER(FIND("IMPVOL",P$1)),_xll.BDH(config!$G$4,P$1,WORKDAY($A856,-1,config_Holiday_Calendar_US),WORKDAY($A856,-1,config_Holiday_Calendar_US)),IF(ISNUMBER(_xll.BDH(config!$G$4,P$1,$A856,$A856)),_xll.BDH(config!$G$4,P$1,$A856,$A856),_xll.BDH(config!$G$5,P$1,$A856,$A856))))</f>
        <v/>
      </c>
      <c r="Q856" s="8" t="str">
        <f>IF($A856="","",IF(ISNUMBER(FIND("IMPVOL",Q$1)),_xll.BDH(config!$G$4,Q$1,WORKDAY($A856,-1,config_Holiday_Calendar_US),WORKDAY($A856,-1,config_Holiday_Calendar_US)),IF(ISNUMBER(_xll.BDH(config!$G$4,Q$1,$A856,$A856)),_xll.BDH(config!$G$4,Q$1,$A856,$A856),_xll.BDH(config!$G$5,Q$1,$A856,$A856))))</f>
        <v/>
      </c>
      <c r="R856" s="8" t="str">
        <f>IF($A856="","",IF(ISNUMBER(FIND("IMPVOL",R$1)),_xll.BDH(config!$G$4,R$1,WORKDAY($A856,-1,config_Holiday_Calendar_US),WORKDAY($A856,-1,config_Holiday_Calendar_US)),IF(ISNUMBER(_xll.BDH(config!$G$4,R$1,$A856,$A856)),_xll.BDH(config!$G$4,R$1,$A856,$A856),_xll.BDH(config!$G$5,R$1,$A856,$A856))))</f>
        <v/>
      </c>
      <c r="S856" s="8" t="str">
        <f>IF($A856="","",IF(ISNUMBER(FIND("IMPVOL",S$1)),_xll.BDH(config!$G$4,S$1,WORKDAY($A856,-1,config_Holiday_Calendar_US),WORKDAY($A856,-1,config_Holiday_Calendar_US)),IF(ISNUMBER(_xll.BDH(config!$G$4,S$1,$A856,$A856)),_xll.BDH(config!$G$4,S$1,$A856,$A856),_xll.BDH(config!$G$5,S$1,$A856,$A856))))</f>
        <v/>
      </c>
      <c r="T856" s="8" t="str">
        <f>IF($A856="","",IF(ISNUMBER(FIND("IMPVOL",T$1)),_xll.BDH(config!$G$4,T$1,WORKDAY($A856,-1,config_Holiday_Calendar_US),WORKDAY($A856,-1,config_Holiday_Calendar_US)),IF(ISNUMBER(_xll.BDH(config!$G$4,T$1,$A856,$A856)),_xll.BDH(config!$G$4,T$1,$A856,$A856),_xll.BDH(config!$G$5,T$1,$A856,$A856))))</f>
        <v/>
      </c>
      <c r="U856" s="8" t="str">
        <f>IF($A856="","",IF(ISNUMBER(FIND("IMPVOL",U$1)),_xll.BDH(config!$G$4,U$1,WORKDAY($A856,-1,config_Holiday_Calendar_US),WORKDAY($A856,-1,config_Holiday_Calendar_US)),IF(ISNUMBER(_xll.BDH(config!$G$4,U$1,$A856,$A856)),_xll.BDH(config!$G$4,U$1,$A856,$A856),_xll.BDH(config!$G$5,U$1,$A856,$A856))))</f>
        <v/>
      </c>
      <c r="V856" s="8" t="str">
        <f>IF($A856="","",IF(ISNUMBER(FIND("IMPVOL",V$1)),_xll.BDH(config!$G$4,V$1,WORKDAY($A856,-1,config_Holiday_Calendar_US),WORKDAY($A856,-1,config_Holiday_Calendar_US)),IF(ISNUMBER(_xll.BDH(config!$G$4,V$1,$A856,$A856)),_xll.BDH(config!$G$4,V$1,$A856,$A856),_xll.BDH(config!$G$5,V$1,$A856,$A856))))</f>
        <v/>
      </c>
      <c r="W856" s="8" t="str">
        <f>IF($A856="","",IF(ISNUMBER(FIND("IMPVOL",W$1)),_xll.BDH(config!$G$4,W$1,WORKDAY($A856,-1,config_Holiday_Calendar_US),WORKDAY($A856,-1,config_Holiday_Calendar_US)),IF(ISNUMBER(_xll.BDH(config!$G$4,W$1,$A856,$A856)),_xll.BDH(config!$G$4,W$1,$A856,$A856),_xll.BDH(config!$G$5,W$1,$A856,$A856))))</f>
        <v/>
      </c>
    </row>
    <row r="857" spans="1:23" x14ac:dyDescent="0.2">
      <c r="A857" s="9" t="str">
        <f>IF(A856="","",IF(WORKDAY(A856,-1,config_Holiday_Calendar_US)&lt;config!$I$10,"",WORKDAY(A856,-1,config_Holiday_Calendar_US)))</f>
        <v/>
      </c>
      <c r="B857" s="8" t="str">
        <f t="shared" si="13"/>
        <v/>
      </c>
      <c r="C857" s="8" t="str">
        <f>IF(A857="","",_xll.BDH(config!$H$4,C$1,$A857,$A857))</f>
        <v/>
      </c>
      <c r="D857" s="8" t="str">
        <f>IF($A857="","",_xll.BDH(config!$H$4,D$1,$A857,$A857))</f>
        <v/>
      </c>
      <c r="E857" s="8" t="str">
        <f>IF($A857="","",IF(ISNUMBER(FIND("IMPVOL",E$1)),_xll.BDH(config!$G$4,E$1,WORKDAY($A857,-1,config_Holiday_Calendar_US),WORKDAY($A857,-1,config_Holiday_Calendar_US)),IF(ISNUMBER(_xll.BDH(config!$G$4,E$1,$A857,$A857)),_xll.BDH(config!$G$4,E$1,$A857,$A857),_xll.BDH(config!$G$5,E$1,$A857,$A857))))</f>
        <v/>
      </c>
      <c r="F857" s="8" t="str">
        <f>IF($A857="","",IF(ISNUMBER(FIND("IMPVOL",F$1)),_xll.BDH(config!$G$4,F$1,WORKDAY($A857,-1,config_Holiday_Calendar_US),WORKDAY($A857,-1,config_Holiday_Calendar_US)),IF(ISNUMBER(_xll.BDH(config!$G$4,F$1,$A857,$A857)),_xll.BDH(config!$G$4,F$1,$A857,$A857),_xll.BDH(config!$G$5,F$1,$A857,$A857))))</f>
        <v/>
      </c>
      <c r="G857" s="8" t="str">
        <f>IF($A857="","",IF(ISNUMBER(FIND("IMPVOL",G$1)),_xll.BDH(config!$G$4,G$1,WORKDAY($A857,-1,config_Holiday_Calendar_US),WORKDAY($A857,-1,config_Holiday_Calendar_US)),IF(ISNUMBER(_xll.BDH(config!$G$4,G$1,$A857,$A857)),_xll.BDH(config!$G$4,G$1,$A857,$A857),_xll.BDH(config!$G$5,G$1,$A857,$A857))))</f>
        <v/>
      </c>
      <c r="H857" s="8" t="str">
        <f>IF($A857="","",IF(ISNUMBER(FIND("IMPVOL",H$1)),_xll.BDH(config!$G$4,H$1,WORKDAY($A857,-1,config_Holiday_Calendar_US),WORKDAY($A857,-1,config_Holiday_Calendar_US)),IF(ISNUMBER(_xll.BDH(config!$G$4,H$1,$A857,$A857)),_xll.BDH(config!$G$4,H$1,$A857,$A857),_xll.BDH(config!$G$5,H$1,$A857,$A857))))</f>
        <v/>
      </c>
      <c r="I857" s="8" t="str">
        <f>IF($A857="","",IF(ISNUMBER(FIND("IMPVOL",I$1)),_xll.BDH(config!$G$4,I$1,WORKDAY($A857,-1,config_Holiday_Calendar_US),WORKDAY($A857,-1,config_Holiday_Calendar_US)),IF(ISNUMBER(_xll.BDH(config!$G$4,I$1,$A857,$A857)),_xll.BDH(config!$G$4,I$1,$A857,$A857),_xll.BDH(config!$G$5,I$1,$A857,$A857))))</f>
        <v/>
      </c>
      <c r="J857" s="8" t="str">
        <f>IF($A857="","",IF(ISNUMBER(FIND("IMPVOL",J$1)),_xll.BDH(config!$G$4,J$1,WORKDAY($A857,-1,config_Holiday_Calendar_US),WORKDAY($A857,-1,config_Holiday_Calendar_US)),IF(ISNUMBER(_xll.BDH(config!$G$4,J$1,$A857,$A857)),_xll.BDH(config!$G$4,J$1,$A857,$A857),_xll.BDH(config!$G$5,J$1,$A857,$A857))))</f>
        <v/>
      </c>
      <c r="K857" s="8" t="str">
        <f>IF($A857="","",IF(ISNUMBER(FIND("IMPVOL",K$1)),_xll.BDH(config!$G$4,K$1,WORKDAY($A857,-1,config_Holiday_Calendar_US),WORKDAY($A857,-1,config_Holiday_Calendar_US)),IF(ISNUMBER(_xll.BDH(config!$G$4,K$1,$A857,$A857)),_xll.BDH(config!$G$4,K$1,$A857,$A857),_xll.BDH(config!$G$5,K$1,$A857,$A857))))</f>
        <v/>
      </c>
      <c r="L857" s="8" t="str">
        <f>IF($A857="","",IF(ISNUMBER(FIND("IMPVOL",L$1)),_xll.BDH(config!$G$4,L$1,WORKDAY($A857,-1,config_Holiday_Calendar_US),WORKDAY($A857,-1,config_Holiday_Calendar_US)),IF(ISNUMBER(_xll.BDH(config!$G$4,L$1,$A857,$A857)),_xll.BDH(config!$G$4,L$1,$A857,$A857),_xll.BDH(config!$G$5,L$1,$A857,$A857))))</f>
        <v/>
      </c>
      <c r="M857" s="8" t="str">
        <f>IF($A857="","",IF(ISNUMBER(FIND("IMPVOL",M$1)),_xll.BDH(config!$G$4,M$1,WORKDAY($A857,-1,config_Holiday_Calendar_US),WORKDAY($A857,-1,config_Holiday_Calendar_US)),IF(ISNUMBER(_xll.BDH(config!$G$4,M$1,$A857,$A857)),_xll.BDH(config!$G$4,M$1,$A857,$A857),_xll.BDH(config!$G$5,M$1,$A857,$A857))))</f>
        <v/>
      </c>
      <c r="N857" s="8" t="str">
        <f>IF($A857="","",IF(ISNUMBER(FIND("IMPVOL",N$1)),_xll.BDH(config!$G$4,N$1,WORKDAY($A857,-1,config_Holiday_Calendar_US),WORKDAY($A857,-1,config_Holiday_Calendar_US)),IF(ISNUMBER(_xll.BDH(config!$G$4,N$1,$A857,$A857)),_xll.BDH(config!$G$4,N$1,$A857,$A857),_xll.BDH(config!$G$5,N$1,$A857,$A857))))</f>
        <v/>
      </c>
      <c r="O857" s="8" t="str">
        <f>IF($A857="","",IF(ISNUMBER(FIND("IMPVOL",O$1)),_xll.BDH(config!$G$4,O$1,WORKDAY($A857,-1,config_Holiday_Calendar_US),WORKDAY($A857,-1,config_Holiday_Calendar_US)),IF(ISNUMBER(_xll.BDH(config!$G$4,O$1,$A857,$A857)),_xll.BDH(config!$G$4,O$1,$A857,$A857),_xll.BDH(config!$G$5,O$1,$A857,$A857))))</f>
        <v/>
      </c>
      <c r="P857" s="8" t="str">
        <f>IF($A857="","",IF(ISNUMBER(FIND("IMPVOL",P$1)),_xll.BDH(config!$G$4,P$1,WORKDAY($A857,-1,config_Holiday_Calendar_US),WORKDAY($A857,-1,config_Holiday_Calendar_US)),IF(ISNUMBER(_xll.BDH(config!$G$4,P$1,$A857,$A857)),_xll.BDH(config!$G$4,P$1,$A857,$A857),_xll.BDH(config!$G$5,P$1,$A857,$A857))))</f>
        <v/>
      </c>
      <c r="Q857" s="8" t="str">
        <f>IF($A857="","",IF(ISNUMBER(FIND("IMPVOL",Q$1)),_xll.BDH(config!$G$4,Q$1,WORKDAY($A857,-1,config_Holiday_Calendar_US),WORKDAY($A857,-1,config_Holiday_Calendar_US)),IF(ISNUMBER(_xll.BDH(config!$G$4,Q$1,$A857,$A857)),_xll.BDH(config!$G$4,Q$1,$A857,$A857),_xll.BDH(config!$G$5,Q$1,$A857,$A857))))</f>
        <v/>
      </c>
      <c r="R857" s="8" t="str">
        <f>IF($A857="","",IF(ISNUMBER(FIND("IMPVOL",R$1)),_xll.BDH(config!$G$4,R$1,WORKDAY($A857,-1,config_Holiday_Calendar_US),WORKDAY($A857,-1,config_Holiday_Calendar_US)),IF(ISNUMBER(_xll.BDH(config!$G$4,R$1,$A857,$A857)),_xll.BDH(config!$G$4,R$1,$A857,$A857),_xll.BDH(config!$G$5,R$1,$A857,$A857))))</f>
        <v/>
      </c>
      <c r="S857" s="8" t="str">
        <f>IF($A857="","",IF(ISNUMBER(FIND("IMPVOL",S$1)),_xll.BDH(config!$G$4,S$1,WORKDAY($A857,-1,config_Holiday_Calendar_US),WORKDAY($A857,-1,config_Holiday_Calendar_US)),IF(ISNUMBER(_xll.BDH(config!$G$4,S$1,$A857,$A857)),_xll.BDH(config!$G$4,S$1,$A857,$A857),_xll.BDH(config!$G$5,S$1,$A857,$A857))))</f>
        <v/>
      </c>
      <c r="T857" s="8" t="str">
        <f>IF($A857="","",IF(ISNUMBER(FIND("IMPVOL",T$1)),_xll.BDH(config!$G$4,T$1,WORKDAY($A857,-1,config_Holiday_Calendar_US),WORKDAY($A857,-1,config_Holiday_Calendar_US)),IF(ISNUMBER(_xll.BDH(config!$G$4,T$1,$A857,$A857)),_xll.BDH(config!$G$4,T$1,$A857,$A857),_xll.BDH(config!$G$5,T$1,$A857,$A857))))</f>
        <v/>
      </c>
      <c r="U857" s="8" t="str">
        <f>IF($A857="","",IF(ISNUMBER(FIND("IMPVOL",U$1)),_xll.BDH(config!$G$4,U$1,WORKDAY($A857,-1,config_Holiday_Calendar_US),WORKDAY($A857,-1,config_Holiday_Calendar_US)),IF(ISNUMBER(_xll.BDH(config!$G$4,U$1,$A857,$A857)),_xll.BDH(config!$G$4,U$1,$A857,$A857),_xll.BDH(config!$G$5,U$1,$A857,$A857))))</f>
        <v/>
      </c>
      <c r="V857" s="8" t="str">
        <f>IF($A857="","",IF(ISNUMBER(FIND("IMPVOL",V$1)),_xll.BDH(config!$G$4,V$1,WORKDAY($A857,-1,config_Holiday_Calendar_US),WORKDAY($A857,-1,config_Holiday_Calendar_US)),IF(ISNUMBER(_xll.BDH(config!$G$4,V$1,$A857,$A857)),_xll.BDH(config!$G$4,V$1,$A857,$A857),_xll.BDH(config!$G$5,V$1,$A857,$A857))))</f>
        <v/>
      </c>
      <c r="W857" s="8" t="str">
        <f>IF($A857="","",IF(ISNUMBER(FIND("IMPVOL",W$1)),_xll.BDH(config!$G$4,W$1,WORKDAY($A857,-1,config_Holiday_Calendar_US),WORKDAY($A857,-1,config_Holiday_Calendar_US)),IF(ISNUMBER(_xll.BDH(config!$G$4,W$1,$A857,$A857)),_xll.BDH(config!$G$4,W$1,$A857,$A857),_xll.BDH(config!$G$5,W$1,$A857,$A857))))</f>
        <v/>
      </c>
    </row>
    <row r="858" spans="1:23" x14ac:dyDescent="0.2">
      <c r="A858" s="9" t="str">
        <f>IF(A857="","",IF(WORKDAY(A857,-1,config_Holiday_Calendar_US)&lt;config!$I$10,"",WORKDAY(A857,-1,config_Holiday_Calendar_US)))</f>
        <v/>
      </c>
      <c r="B858" s="8" t="str">
        <f t="shared" si="13"/>
        <v/>
      </c>
      <c r="C858" s="8" t="str">
        <f>IF(A858="","",_xll.BDH(config!$H$4,C$1,$A858,$A858))</f>
        <v/>
      </c>
      <c r="D858" s="8" t="str">
        <f>IF($A858="","",_xll.BDH(config!$H$4,D$1,$A858,$A858))</f>
        <v/>
      </c>
      <c r="E858" s="8" t="str">
        <f>IF($A858="","",IF(ISNUMBER(FIND("IMPVOL",E$1)),_xll.BDH(config!$G$4,E$1,WORKDAY($A858,-1,config_Holiday_Calendar_US),WORKDAY($A858,-1,config_Holiday_Calendar_US)),IF(ISNUMBER(_xll.BDH(config!$G$4,E$1,$A858,$A858)),_xll.BDH(config!$G$4,E$1,$A858,$A858),_xll.BDH(config!$G$5,E$1,$A858,$A858))))</f>
        <v/>
      </c>
      <c r="F858" s="8" t="str">
        <f>IF($A858="","",IF(ISNUMBER(FIND("IMPVOL",F$1)),_xll.BDH(config!$G$4,F$1,WORKDAY($A858,-1,config_Holiday_Calendar_US),WORKDAY($A858,-1,config_Holiday_Calendar_US)),IF(ISNUMBER(_xll.BDH(config!$G$4,F$1,$A858,$A858)),_xll.BDH(config!$G$4,F$1,$A858,$A858),_xll.BDH(config!$G$5,F$1,$A858,$A858))))</f>
        <v/>
      </c>
      <c r="G858" s="8" t="str">
        <f>IF($A858="","",IF(ISNUMBER(FIND("IMPVOL",G$1)),_xll.BDH(config!$G$4,G$1,WORKDAY($A858,-1,config_Holiday_Calendar_US),WORKDAY($A858,-1,config_Holiday_Calendar_US)),IF(ISNUMBER(_xll.BDH(config!$G$4,G$1,$A858,$A858)),_xll.BDH(config!$G$4,G$1,$A858,$A858),_xll.BDH(config!$G$5,G$1,$A858,$A858))))</f>
        <v/>
      </c>
      <c r="H858" s="8" t="str">
        <f>IF($A858="","",IF(ISNUMBER(FIND("IMPVOL",H$1)),_xll.BDH(config!$G$4,H$1,WORKDAY($A858,-1,config_Holiday_Calendar_US),WORKDAY($A858,-1,config_Holiday_Calendar_US)),IF(ISNUMBER(_xll.BDH(config!$G$4,H$1,$A858,$A858)),_xll.BDH(config!$G$4,H$1,$A858,$A858),_xll.BDH(config!$G$5,H$1,$A858,$A858))))</f>
        <v/>
      </c>
      <c r="I858" s="8" t="str">
        <f>IF($A858="","",IF(ISNUMBER(FIND("IMPVOL",I$1)),_xll.BDH(config!$G$4,I$1,WORKDAY($A858,-1,config_Holiday_Calendar_US),WORKDAY($A858,-1,config_Holiday_Calendar_US)),IF(ISNUMBER(_xll.BDH(config!$G$4,I$1,$A858,$A858)),_xll.BDH(config!$G$4,I$1,$A858,$A858),_xll.BDH(config!$G$5,I$1,$A858,$A858))))</f>
        <v/>
      </c>
      <c r="J858" s="8" t="str">
        <f>IF($A858="","",IF(ISNUMBER(FIND("IMPVOL",J$1)),_xll.BDH(config!$G$4,J$1,WORKDAY($A858,-1,config_Holiday_Calendar_US),WORKDAY($A858,-1,config_Holiday_Calendar_US)),IF(ISNUMBER(_xll.BDH(config!$G$4,J$1,$A858,$A858)),_xll.BDH(config!$G$4,J$1,$A858,$A858),_xll.BDH(config!$G$5,J$1,$A858,$A858))))</f>
        <v/>
      </c>
      <c r="K858" s="8" t="str">
        <f>IF($A858="","",IF(ISNUMBER(FIND("IMPVOL",K$1)),_xll.BDH(config!$G$4,K$1,WORKDAY($A858,-1,config_Holiday_Calendar_US),WORKDAY($A858,-1,config_Holiday_Calendar_US)),IF(ISNUMBER(_xll.BDH(config!$G$4,K$1,$A858,$A858)),_xll.BDH(config!$G$4,K$1,$A858,$A858),_xll.BDH(config!$G$5,K$1,$A858,$A858))))</f>
        <v/>
      </c>
      <c r="L858" s="8" t="str">
        <f>IF($A858="","",IF(ISNUMBER(FIND("IMPVOL",L$1)),_xll.BDH(config!$G$4,L$1,WORKDAY($A858,-1,config_Holiday_Calendar_US),WORKDAY($A858,-1,config_Holiday_Calendar_US)),IF(ISNUMBER(_xll.BDH(config!$G$4,L$1,$A858,$A858)),_xll.BDH(config!$G$4,L$1,$A858,$A858),_xll.BDH(config!$G$5,L$1,$A858,$A858))))</f>
        <v/>
      </c>
      <c r="M858" s="8" t="str">
        <f>IF($A858="","",IF(ISNUMBER(FIND("IMPVOL",M$1)),_xll.BDH(config!$G$4,M$1,WORKDAY($A858,-1,config_Holiday_Calendar_US),WORKDAY($A858,-1,config_Holiday_Calendar_US)),IF(ISNUMBER(_xll.BDH(config!$G$4,M$1,$A858,$A858)),_xll.BDH(config!$G$4,M$1,$A858,$A858),_xll.BDH(config!$G$5,M$1,$A858,$A858))))</f>
        <v/>
      </c>
      <c r="N858" s="8" t="str">
        <f>IF($A858="","",IF(ISNUMBER(FIND("IMPVOL",N$1)),_xll.BDH(config!$G$4,N$1,WORKDAY($A858,-1,config_Holiday_Calendar_US),WORKDAY($A858,-1,config_Holiday_Calendar_US)),IF(ISNUMBER(_xll.BDH(config!$G$4,N$1,$A858,$A858)),_xll.BDH(config!$G$4,N$1,$A858,$A858),_xll.BDH(config!$G$5,N$1,$A858,$A858))))</f>
        <v/>
      </c>
      <c r="O858" s="8" t="str">
        <f>IF($A858="","",IF(ISNUMBER(FIND("IMPVOL",O$1)),_xll.BDH(config!$G$4,O$1,WORKDAY($A858,-1,config_Holiday_Calendar_US),WORKDAY($A858,-1,config_Holiday_Calendar_US)),IF(ISNUMBER(_xll.BDH(config!$G$4,O$1,$A858,$A858)),_xll.BDH(config!$G$4,O$1,$A858,$A858),_xll.BDH(config!$G$5,O$1,$A858,$A858))))</f>
        <v/>
      </c>
      <c r="P858" s="8" t="str">
        <f>IF($A858="","",IF(ISNUMBER(FIND("IMPVOL",P$1)),_xll.BDH(config!$G$4,P$1,WORKDAY($A858,-1,config_Holiday_Calendar_US),WORKDAY($A858,-1,config_Holiday_Calendar_US)),IF(ISNUMBER(_xll.BDH(config!$G$4,P$1,$A858,$A858)),_xll.BDH(config!$G$4,P$1,$A858,$A858),_xll.BDH(config!$G$5,P$1,$A858,$A858))))</f>
        <v/>
      </c>
      <c r="Q858" s="8" t="str">
        <f>IF($A858="","",IF(ISNUMBER(FIND("IMPVOL",Q$1)),_xll.BDH(config!$G$4,Q$1,WORKDAY($A858,-1,config_Holiday_Calendar_US),WORKDAY($A858,-1,config_Holiday_Calendar_US)),IF(ISNUMBER(_xll.BDH(config!$G$4,Q$1,$A858,$A858)),_xll.BDH(config!$G$4,Q$1,$A858,$A858),_xll.BDH(config!$G$5,Q$1,$A858,$A858))))</f>
        <v/>
      </c>
      <c r="R858" s="8" t="str">
        <f>IF($A858="","",IF(ISNUMBER(FIND("IMPVOL",R$1)),_xll.BDH(config!$G$4,R$1,WORKDAY($A858,-1,config_Holiday_Calendar_US),WORKDAY($A858,-1,config_Holiday_Calendar_US)),IF(ISNUMBER(_xll.BDH(config!$G$4,R$1,$A858,$A858)),_xll.BDH(config!$G$4,R$1,$A858,$A858),_xll.BDH(config!$G$5,R$1,$A858,$A858))))</f>
        <v/>
      </c>
      <c r="S858" s="8" t="str">
        <f>IF($A858="","",IF(ISNUMBER(FIND("IMPVOL",S$1)),_xll.BDH(config!$G$4,S$1,WORKDAY($A858,-1,config_Holiday_Calendar_US),WORKDAY($A858,-1,config_Holiday_Calendar_US)),IF(ISNUMBER(_xll.BDH(config!$G$4,S$1,$A858,$A858)),_xll.BDH(config!$G$4,S$1,$A858,$A858),_xll.BDH(config!$G$5,S$1,$A858,$A858))))</f>
        <v/>
      </c>
      <c r="T858" s="8" t="str">
        <f>IF($A858="","",IF(ISNUMBER(FIND("IMPVOL",T$1)),_xll.BDH(config!$G$4,T$1,WORKDAY($A858,-1,config_Holiday_Calendar_US),WORKDAY($A858,-1,config_Holiday_Calendar_US)),IF(ISNUMBER(_xll.BDH(config!$G$4,T$1,$A858,$A858)),_xll.BDH(config!$G$4,T$1,$A858,$A858),_xll.BDH(config!$G$5,T$1,$A858,$A858))))</f>
        <v/>
      </c>
      <c r="U858" s="8" t="str">
        <f>IF($A858="","",IF(ISNUMBER(FIND("IMPVOL",U$1)),_xll.BDH(config!$G$4,U$1,WORKDAY($A858,-1,config_Holiday_Calendar_US),WORKDAY($A858,-1,config_Holiday_Calendar_US)),IF(ISNUMBER(_xll.BDH(config!$G$4,U$1,$A858,$A858)),_xll.BDH(config!$G$4,U$1,$A858,$A858),_xll.BDH(config!$G$5,U$1,$A858,$A858))))</f>
        <v/>
      </c>
      <c r="V858" s="8" t="str">
        <f>IF($A858="","",IF(ISNUMBER(FIND("IMPVOL",V$1)),_xll.BDH(config!$G$4,V$1,WORKDAY($A858,-1,config_Holiday_Calendar_US),WORKDAY($A858,-1,config_Holiday_Calendar_US)),IF(ISNUMBER(_xll.BDH(config!$G$4,V$1,$A858,$A858)),_xll.BDH(config!$G$4,V$1,$A858,$A858),_xll.BDH(config!$G$5,V$1,$A858,$A858))))</f>
        <v/>
      </c>
      <c r="W858" s="8" t="str">
        <f>IF($A858="","",IF(ISNUMBER(FIND("IMPVOL",W$1)),_xll.BDH(config!$G$4,W$1,WORKDAY($A858,-1,config_Holiday_Calendar_US),WORKDAY($A858,-1,config_Holiday_Calendar_US)),IF(ISNUMBER(_xll.BDH(config!$G$4,W$1,$A858,$A858)),_xll.BDH(config!$G$4,W$1,$A858,$A858),_xll.BDH(config!$G$5,W$1,$A858,$A858))))</f>
        <v/>
      </c>
    </row>
    <row r="859" spans="1:23" x14ac:dyDescent="0.2">
      <c r="A859" s="9" t="str">
        <f>IF(A858="","",IF(WORKDAY(A858,-1,config_Holiday_Calendar_US)&lt;config!$I$10,"",WORKDAY(A858,-1,config_Holiday_Calendar_US)))</f>
        <v/>
      </c>
      <c r="B859" s="8" t="str">
        <f t="shared" si="13"/>
        <v/>
      </c>
      <c r="C859" s="8" t="str">
        <f>IF(A859="","",_xll.BDH(config!$H$4,C$1,$A859,$A859))</f>
        <v/>
      </c>
      <c r="D859" s="8" t="str">
        <f>IF($A859="","",_xll.BDH(config!$H$4,D$1,$A859,$A859))</f>
        <v/>
      </c>
      <c r="E859" s="8" t="str">
        <f>IF($A859="","",IF(ISNUMBER(FIND("IMPVOL",E$1)),_xll.BDH(config!$G$4,E$1,WORKDAY($A859,-1,config_Holiday_Calendar_US),WORKDAY($A859,-1,config_Holiday_Calendar_US)),IF(ISNUMBER(_xll.BDH(config!$G$4,E$1,$A859,$A859)),_xll.BDH(config!$G$4,E$1,$A859,$A859),_xll.BDH(config!$G$5,E$1,$A859,$A859))))</f>
        <v/>
      </c>
      <c r="F859" s="8" t="str">
        <f>IF($A859="","",IF(ISNUMBER(FIND("IMPVOL",F$1)),_xll.BDH(config!$G$4,F$1,WORKDAY($A859,-1,config_Holiday_Calendar_US),WORKDAY($A859,-1,config_Holiday_Calendar_US)),IF(ISNUMBER(_xll.BDH(config!$G$4,F$1,$A859,$A859)),_xll.BDH(config!$G$4,F$1,$A859,$A859),_xll.BDH(config!$G$5,F$1,$A859,$A859))))</f>
        <v/>
      </c>
      <c r="G859" s="8" t="str">
        <f>IF($A859="","",IF(ISNUMBER(FIND("IMPVOL",G$1)),_xll.BDH(config!$G$4,G$1,WORKDAY($A859,-1,config_Holiday_Calendar_US),WORKDAY($A859,-1,config_Holiday_Calendar_US)),IF(ISNUMBER(_xll.BDH(config!$G$4,G$1,$A859,$A859)),_xll.BDH(config!$G$4,G$1,$A859,$A859),_xll.BDH(config!$G$5,G$1,$A859,$A859))))</f>
        <v/>
      </c>
      <c r="H859" s="8" t="str">
        <f>IF($A859="","",IF(ISNUMBER(FIND("IMPVOL",H$1)),_xll.BDH(config!$G$4,H$1,WORKDAY($A859,-1,config_Holiday_Calendar_US),WORKDAY($A859,-1,config_Holiday_Calendar_US)),IF(ISNUMBER(_xll.BDH(config!$G$4,H$1,$A859,$A859)),_xll.BDH(config!$G$4,H$1,$A859,$A859),_xll.BDH(config!$G$5,H$1,$A859,$A859))))</f>
        <v/>
      </c>
      <c r="I859" s="8" t="str">
        <f>IF($A859="","",IF(ISNUMBER(FIND("IMPVOL",I$1)),_xll.BDH(config!$G$4,I$1,WORKDAY($A859,-1,config_Holiday_Calendar_US),WORKDAY($A859,-1,config_Holiday_Calendar_US)),IF(ISNUMBER(_xll.BDH(config!$G$4,I$1,$A859,$A859)),_xll.BDH(config!$G$4,I$1,$A859,$A859),_xll.BDH(config!$G$5,I$1,$A859,$A859))))</f>
        <v/>
      </c>
      <c r="J859" s="8" t="str">
        <f>IF($A859="","",IF(ISNUMBER(FIND("IMPVOL",J$1)),_xll.BDH(config!$G$4,J$1,WORKDAY($A859,-1,config_Holiday_Calendar_US),WORKDAY($A859,-1,config_Holiday_Calendar_US)),IF(ISNUMBER(_xll.BDH(config!$G$4,J$1,$A859,$A859)),_xll.BDH(config!$G$4,J$1,$A859,$A859),_xll.BDH(config!$G$5,J$1,$A859,$A859))))</f>
        <v/>
      </c>
      <c r="K859" s="8" t="str">
        <f>IF($A859="","",IF(ISNUMBER(FIND("IMPVOL",K$1)),_xll.BDH(config!$G$4,K$1,WORKDAY($A859,-1,config_Holiday_Calendar_US),WORKDAY($A859,-1,config_Holiday_Calendar_US)),IF(ISNUMBER(_xll.BDH(config!$G$4,K$1,$A859,$A859)),_xll.BDH(config!$G$4,K$1,$A859,$A859),_xll.BDH(config!$G$5,K$1,$A859,$A859))))</f>
        <v/>
      </c>
      <c r="L859" s="8" t="str">
        <f>IF($A859="","",IF(ISNUMBER(FIND("IMPVOL",L$1)),_xll.BDH(config!$G$4,L$1,WORKDAY($A859,-1,config_Holiday_Calendar_US),WORKDAY($A859,-1,config_Holiday_Calendar_US)),IF(ISNUMBER(_xll.BDH(config!$G$4,L$1,$A859,$A859)),_xll.BDH(config!$G$4,L$1,$A859,$A859),_xll.BDH(config!$G$5,L$1,$A859,$A859))))</f>
        <v/>
      </c>
      <c r="M859" s="8" t="str">
        <f>IF($A859="","",IF(ISNUMBER(FIND("IMPVOL",M$1)),_xll.BDH(config!$G$4,M$1,WORKDAY($A859,-1,config_Holiday_Calendar_US),WORKDAY($A859,-1,config_Holiday_Calendar_US)),IF(ISNUMBER(_xll.BDH(config!$G$4,M$1,$A859,$A859)),_xll.BDH(config!$G$4,M$1,$A859,$A859),_xll.BDH(config!$G$5,M$1,$A859,$A859))))</f>
        <v/>
      </c>
      <c r="N859" s="8" t="str">
        <f>IF($A859="","",IF(ISNUMBER(FIND("IMPVOL",N$1)),_xll.BDH(config!$G$4,N$1,WORKDAY($A859,-1,config_Holiday_Calendar_US),WORKDAY($A859,-1,config_Holiday_Calendar_US)),IF(ISNUMBER(_xll.BDH(config!$G$4,N$1,$A859,$A859)),_xll.BDH(config!$G$4,N$1,$A859,$A859),_xll.BDH(config!$G$5,N$1,$A859,$A859))))</f>
        <v/>
      </c>
      <c r="O859" s="8" t="str">
        <f>IF($A859="","",IF(ISNUMBER(FIND("IMPVOL",O$1)),_xll.BDH(config!$G$4,O$1,WORKDAY($A859,-1,config_Holiday_Calendar_US),WORKDAY($A859,-1,config_Holiday_Calendar_US)),IF(ISNUMBER(_xll.BDH(config!$G$4,O$1,$A859,$A859)),_xll.BDH(config!$G$4,O$1,$A859,$A859),_xll.BDH(config!$G$5,O$1,$A859,$A859))))</f>
        <v/>
      </c>
      <c r="P859" s="8" t="str">
        <f>IF($A859="","",IF(ISNUMBER(FIND("IMPVOL",P$1)),_xll.BDH(config!$G$4,P$1,WORKDAY($A859,-1,config_Holiday_Calendar_US),WORKDAY($A859,-1,config_Holiday_Calendar_US)),IF(ISNUMBER(_xll.BDH(config!$G$4,P$1,$A859,$A859)),_xll.BDH(config!$G$4,P$1,$A859,$A859),_xll.BDH(config!$G$5,P$1,$A859,$A859))))</f>
        <v/>
      </c>
      <c r="Q859" s="8" t="str">
        <f>IF($A859="","",IF(ISNUMBER(FIND("IMPVOL",Q$1)),_xll.BDH(config!$G$4,Q$1,WORKDAY($A859,-1,config_Holiday_Calendar_US),WORKDAY($A859,-1,config_Holiday_Calendar_US)),IF(ISNUMBER(_xll.BDH(config!$G$4,Q$1,$A859,$A859)),_xll.BDH(config!$G$4,Q$1,$A859,$A859),_xll.BDH(config!$G$5,Q$1,$A859,$A859))))</f>
        <v/>
      </c>
      <c r="R859" s="8" t="str">
        <f>IF($A859="","",IF(ISNUMBER(FIND("IMPVOL",R$1)),_xll.BDH(config!$G$4,R$1,WORKDAY($A859,-1,config_Holiday_Calendar_US),WORKDAY($A859,-1,config_Holiday_Calendar_US)),IF(ISNUMBER(_xll.BDH(config!$G$4,R$1,$A859,$A859)),_xll.BDH(config!$G$4,R$1,$A859,$A859),_xll.BDH(config!$G$5,R$1,$A859,$A859))))</f>
        <v/>
      </c>
      <c r="S859" s="8" t="str">
        <f>IF($A859="","",IF(ISNUMBER(FIND("IMPVOL",S$1)),_xll.BDH(config!$G$4,S$1,WORKDAY($A859,-1,config_Holiday_Calendar_US),WORKDAY($A859,-1,config_Holiday_Calendar_US)),IF(ISNUMBER(_xll.BDH(config!$G$4,S$1,$A859,$A859)),_xll.BDH(config!$G$4,S$1,$A859,$A859),_xll.BDH(config!$G$5,S$1,$A859,$A859))))</f>
        <v/>
      </c>
      <c r="T859" s="8" t="str">
        <f>IF($A859="","",IF(ISNUMBER(FIND("IMPVOL",T$1)),_xll.BDH(config!$G$4,T$1,WORKDAY($A859,-1,config_Holiday_Calendar_US),WORKDAY($A859,-1,config_Holiday_Calendar_US)),IF(ISNUMBER(_xll.BDH(config!$G$4,T$1,$A859,$A859)),_xll.BDH(config!$G$4,T$1,$A859,$A859),_xll.BDH(config!$G$5,T$1,$A859,$A859))))</f>
        <v/>
      </c>
      <c r="U859" s="8" t="str">
        <f>IF($A859="","",IF(ISNUMBER(FIND("IMPVOL",U$1)),_xll.BDH(config!$G$4,U$1,WORKDAY($A859,-1,config_Holiday_Calendar_US),WORKDAY($A859,-1,config_Holiday_Calendar_US)),IF(ISNUMBER(_xll.BDH(config!$G$4,U$1,$A859,$A859)),_xll.BDH(config!$G$4,U$1,$A859,$A859),_xll.BDH(config!$G$5,U$1,$A859,$A859))))</f>
        <v/>
      </c>
      <c r="V859" s="8" t="str">
        <f>IF($A859="","",IF(ISNUMBER(FIND("IMPVOL",V$1)),_xll.BDH(config!$G$4,V$1,WORKDAY($A859,-1,config_Holiday_Calendar_US),WORKDAY($A859,-1,config_Holiday_Calendar_US)),IF(ISNUMBER(_xll.BDH(config!$G$4,V$1,$A859,$A859)),_xll.BDH(config!$G$4,V$1,$A859,$A859),_xll.BDH(config!$G$5,V$1,$A859,$A859))))</f>
        <v/>
      </c>
      <c r="W859" s="8" t="str">
        <f>IF($A859="","",IF(ISNUMBER(FIND("IMPVOL",W$1)),_xll.BDH(config!$G$4,W$1,WORKDAY($A859,-1,config_Holiday_Calendar_US),WORKDAY($A859,-1,config_Holiday_Calendar_US)),IF(ISNUMBER(_xll.BDH(config!$G$4,W$1,$A859,$A859)),_xll.BDH(config!$G$4,W$1,$A859,$A859),_xll.BDH(config!$G$5,W$1,$A859,$A859))))</f>
        <v/>
      </c>
    </row>
    <row r="860" spans="1:23" x14ac:dyDescent="0.2">
      <c r="A860" s="9" t="str">
        <f>IF(A859="","",IF(WORKDAY(A859,-1,config_Holiday_Calendar_US)&lt;config!$I$10,"",WORKDAY(A859,-1,config_Holiday_Calendar_US)))</f>
        <v/>
      </c>
      <c r="B860" s="8" t="str">
        <f t="shared" si="13"/>
        <v/>
      </c>
      <c r="C860" s="8" t="str">
        <f>IF(A860="","",_xll.BDH(config!$H$4,C$1,$A860,$A860))</f>
        <v/>
      </c>
      <c r="D860" s="8" t="str">
        <f>IF($A860="","",_xll.BDH(config!$H$4,D$1,$A860,$A860))</f>
        <v/>
      </c>
      <c r="E860" s="8" t="str">
        <f>IF($A860="","",IF(ISNUMBER(FIND("IMPVOL",E$1)),_xll.BDH(config!$G$4,E$1,WORKDAY($A860,-1,config_Holiday_Calendar_US),WORKDAY($A860,-1,config_Holiday_Calendar_US)),IF(ISNUMBER(_xll.BDH(config!$G$4,E$1,$A860,$A860)),_xll.BDH(config!$G$4,E$1,$A860,$A860),_xll.BDH(config!$G$5,E$1,$A860,$A860))))</f>
        <v/>
      </c>
      <c r="F860" s="8" t="str">
        <f>IF($A860="","",IF(ISNUMBER(FIND("IMPVOL",F$1)),_xll.BDH(config!$G$4,F$1,WORKDAY($A860,-1,config_Holiday_Calendar_US),WORKDAY($A860,-1,config_Holiday_Calendar_US)),IF(ISNUMBER(_xll.BDH(config!$G$4,F$1,$A860,$A860)),_xll.BDH(config!$G$4,F$1,$A860,$A860),_xll.BDH(config!$G$5,F$1,$A860,$A860))))</f>
        <v/>
      </c>
      <c r="G860" s="8" t="str">
        <f>IF($A860="","",IF(ISNUMBER(FIND("IMPVOL",G$1)),_xll.BDH(config!$G$4,G$1,WORKDAY($A860,-1,config_Holiday_Calendar_US),WORKDAY($A860,-1,config_Holiday_Calendar_US)),IF(ISNUMBER(_xll.BDH(config!$G$4,G$1,$A860,$A860)),_xll.BDH(config!$G$4,G$1,$A860,$A860),_xll.BDH(config!$G$5,G$1,$A860,$A860))))</f>
        <v/>
      </c>
      <c r="H860" s="8" t="str">
        <f>IF($A860="","",IF(ISNUMBER(FIND("IMPVOL",H$1)),_xll.BDH(config!$G$4,H$1,WORKDAY($A860,-1,config_Holiday_Calendar_US),WORKDAY($A860,-1,config_Holiday_Calendar_US)),IF(ISNUMBER(_xll.BDH(config!$G$4,H$1,$A860,$A860)),_xll.BDH(config!$G$4,H$1,$A860,$A860),_xll.BDH(config!$G$5,H$1,$A860,$A860))))</f>
        <v/>
      </c>
      <c r="I860" s="8" t="str">
        <f>IF($A860="","",IF(ISNUMBER(FIND("IMPVOL",I$1)),_xll.BDH(config!$G$4,I$1,WORKDAY($A860,-1,config_Holiday_Calendar_US),WORKDAY($A860,-1,config_Holiday_Calendar_US)),IF(ISNUMBER(_xll.BDH(config!$G$4,I$1,$A860,$A860)),_xll.BDH(config!$G$4,I$1,$A860,$A860),_xll.BDH(config!$G$5,I$1,$A860,$A860))))</f>
        <v/>
      </c>
      <c r="J860" s="8" t="str">
        <f>IF($A860="","",IF(ISNUMBER(FIND("IMPVOL",J$1)),_xll.BDH(config!$G$4,J$1,WORKDAY($A860,-1,config_Holiday_Calendar_US),WORKDAY($A860,-1,config_Holiday_Calendar_US)),IF(ISNUMBER(_xll.BDH(config!$G$4,J$1,$A860,$A860)),_xll.BDH(config!$G$4,J$1,$A860,$A860),_xll.BDH(config!$G$5,J$1,$A860,$A860))))</f>
        <v/>
      </c>
      <c r="K860" s="8" t="str">
        <f>IF($A860="","",IF(ISNUMBER(FIND("IMPVOL",K$1)),_xll.BDH(config!$G$4,K$1,WORKDAY($A860,-1,config_Holiday_Calendar_US),WORKDAY($A860,-1,config_Holiday_Calendar_US)),IF(ISNUMBER(_xll.BDH(config!$G$4,K$1,$A860,$A860)),_xll.BDH(config!$G$4,K$1,$A860,$A860),_xll.BDH(config!$G$5,K$1,$A860,$A860))))</f>
        <v/>
      </c>
      <c r="L860" s="8" t="str">
        <f>IF($A860="","",IF(ISNUMBER(FIND("IMPVOL",L$1)),_xll.BDH(config!$G$4,L$1,WORKDAY($A860,-1,config_Holiday_Calendar_US),WORKDAY($A860,-1,config_Holiday_Calendar_US)),IF(ISNUMBER(_xll.BDH(config!$G$4,L$1,$A860,$A860)),_xll.BDH(config!$G$4,L$1,$A860,$A860),_xll.BDH(config!$G$5,L$1,$A860,$A860))))</f>
        <v/>
      </c>
      <c r="M860" s="8" t="str">
        <f>IF($A860="","",IF(ISNUMBER(FIND("IMPVOL",M$1)),_xll.BDH(config!$G$4,M$1,WORKDAY($A860,-1,config_Holiday_Calendar_US),WORKDAY($A860,-1,config_Holiday_Calendar_US)),IF(ISNUMBER(_xll.BDH(config!$G$4,M$1,$A860,$A860)),_xll.BDH(config!$G$4,M$1,$A860,$A860),_xll.BDH(config!$G$5,M$1,$A860,$A860))))</f>
        <v/>
      </c>
      <c r="N860" s="8" t="str">
        <f>IF($A860="","",IF(ISNUMBER(FIND("IMPVOL",N$1)),_xll.BDH(config!$G$4,N$1,WORKDAY($A860,-1,config_Holiday_Calendar_US),WORKDAY($A860,-1,config_Holiday_Calendar_US)),IF(ISNUMBER(_xll.BDH(config!$G$4,N$1,$A860,$A860)),_xll.BDH(config!$G$4,N$1,$A860,$A860),_xll.BDH(config!$G$5,N$1,$A860,$A860))))</f>
        <v/>
      </c>
      <c r="O860" s="8" t="str">
        <f>IF($A860="","",IF(ISNUMBER(FIND("IMPVOL",O$1)),_xll.BDH(config!$G$4,O$1,WORKDAY($A860,-1,config_Holiday_Calendar_US),WORKDAY($A860,-1,config_Holiday_Calendar_US)),IF(ISNUMBER(_xll.BDH(config!$G$4,O$1,$A860,$A860)),_xll.BDH(config!$G$4,O$1,$A860,$A860),_xll.BDH(config!$G$5,O$1,$A860,$A860))))</f>
        <v/>
      </c>
      <c r="P860" s="8" t="str">
        <f>IF($A860="","",IF(ISNUMBER(FIND("IMPVOL",P$1)),_xll.BDH(config!$G$4,P$1,WORKDAY($A860,-1,config_Holiday_Calendar_US),WORKDAY($A860,-1,config_Holiday_Calendar_US)),IF(ISNUMBER(_xll.BDH(config!$G$4,P$1,$A860,$A860)),_xll.BDH(config!$G$4,P$1,$A860,$A860),_xll.BDH(config!$G$5,P$1,$A860,$A860))))</f>
        <v/>
      </c>
      <c r="Q860" s="8" t="str">
        <f>IF($A860="","",IF(ISNUMBER(FIND("IMPVOL",Q$1)),_xll.BDH(config!$G$4,Q$1,WORKDAY($A860,-1,config_Holiday_Calendar_US),WORKDAY($A860,-1,config_Holiday_Calendar_US)),IF(ISNUMBER(_xll.BDH(config!$G$4,Q$1,$A860,$A860)),_xll.BDH(config!$G$4,Q$1,$A860,$A860),_xll.BDH(config!$G$5,Q$1,$A860,$A860))))</f>
        <v/>
      </c>
      <c r="R860" s="8" t="str">
        <f>IF($A860="","",IF(ISNUMBER(FIND("IMPVOL",R$1)),_xll.BDH(config!$G$4,R$1,WORKDAY($A860,-1,config_Holiday_Calendar_US),WORKDAY($A860,-1,config_Holiday_Calendar_US)),IF(ISNUMBER(_xll.BDH(config!$G$4,R$1,$A860,$A860)),_xll.BDH(config!$G$4,R$1,$A860,$A860),_xll.BDH(config!$G$5,R$1,$A860,$A860))))</f>
        <v/>
      </c>
      <c r="S860" s="8" t="str">
        <f>IF($A860="","",IF(ISNUMBER(FIND("IMPVOL",S$1)),_xll.BDH(config!$G$4,S$1,WORKDAY($A860,-1,config_Holiday_Calendar_US),WORKDAY($A860,-1,config_Holiday_Calendar_US)),IF(ISNUMBER(_xll.BDH(config!$G$4,S$1,$A860,$A860)),_xll.BDH(config!$G$4,S$1,$A860,$A860),_xll.BDH(config!$G$5,S$1,$A860,$A860))))</f>
        <v/>
      </c>
      <c r="T860" s="8" t="str">
        <f>IF($A860="","",IF(ISNUMBER(FIND("IMPVOL",T$1)),_xll.BDH(config!$G$4,T$1,WORKDAY($A860,-1,config_Holiday_Calendar_US),WORKDAY($A860,-1,config_Holiday_Calendar_US)),IF(ISNUMBER(_xll.BDH(config!$G$4,T$1,$A860,$A860)),_xll.BDH(config!$G$4,T$1,$A860,$A860),_xll.BDH(config!$G$5,T$1,$A860,$A860))))</f>
        <v/>
      </c>
      <c r="U860" s="8" t="str">
        <f>IF($A860="","",IF(ISNUMBER(FIND("IMPVOL",U$1)),_xll.BDH(config!$G$4,U$1,WORKDAY($A860,-1,config_Holiday_Calendar_US),WORKDAY($A860,-1,config_Holiday_Calendar_US)),IF(ISNUMBER(_xll.BDH(config!$G$4,U$1,$A860,$A860)),_xll.BDH(config!$G$4,U$1,$A860,$A860),_xll.BDH(config!$G$5,U$1,$A860,$A860))))</f>
        <v/>
      </c>
      <c r="V860" s="8" t="str">
        <f>IF($A860="","",IF(ISNUMBER(FIND("IMPVOL",V$1)),_xll.BDH(config!$G$4,V$1,WORKDAY($A860,-1,config_Holiday_Calendar_US),WORKDAY($A860,-1,config_Holiday_Calendar_US)),IF(ISNUMBER(_xll.BDH(config!$G$4,V$1,$A860,$A860)),_xll.BDH(config!$G$4,V$1,$A860,$A860),_xll.BDH(config!$G$5,V$1,$A860,$A860))))</f>
        <v/>
      </c>
      <c r="W860" s="8" t="str">
        <f>IF($A860="","",IF(ISNUMBER(FIND("IMPVOL",W$1)),_xll.BDH(config!$G$4,W$1,WORKDAY($A860,-1,config_Holiday_Calendar_US),WORKDAY($A860,-1,config_Holiday_Calendar_US)),IF(ISNUMBER(_xll.BDH(config!$G$4,W$1,$A860,$A860)),_xll.BDH(config!$G$4,W$1,$A860,$A860),_xll.BDH(config!$G$5,W$1,$A860,$A860))))</f>
        <v/>
      </c>
    </row>
    <row r="861" spans="1:23" x14ac:dyDescent="0.2">
      <c r="A861" s="9" t="str">
        <f>IF(A860="","",IF(WORKDAY(A860,-1,config_Holiday_Calendar_US)&lt;config!$I$10,"",WORKDAY(A860,-1,config_Holiday_Calendar_US)))</f>
        <v/>
      </c>
      <c r="B861" s="8" t="str">
        <f t="shared" si="13"/>
        <v/>
      </c>
      <c r="C861" s="8" t="str">
        <f>IF(A861="","",_xll.BDH(config!$H$4,C$1,$A861,$A861))</f>
        <v/>
      </c>
      <c r="D861" s="8" t="str">
        <f>IF($A861="","",_xll.BDH(config!$H$4,D$1,$A861,$A861))</f>
        <v/>
      </c>
      <c r="E861" s="8" t="str">
        <f>IF($A861="","",IF(ISNUMBER(FIND("IMPVOL",E$1)),_xll.BDH(config!$G$4,E$1,WORKDAY($A861,-1,config_Holiday_Calendar_US),WORKDAY($A861,-1,config_Holiday_Calendar_US)),IF(ISNUMBER(_xll.BDH(config!$G$4,E$1,$A861,$A861)),_xll.BDH(config!$G$4,E$1,$A861,$A861),_xll.BDH(config!$G$5,E$1,$A861,$A861))))</f>
        <v/>
      </c>
      <c r="F861" s="8" t="str">
        <f>IF($A861="","",IF(ISNUMBER(FIND("IMPVOL",F$1)),_xll.BDH(config!$G$4,F$1,WORKDAY($A861,-1,config_Holiday_Calendar_US),WORKDAY($A861,-1,config_Holiday_Calendar_US)),IF(ISNUMBER(_xll.BDH(config!$G$4,F$1,$A861,$A861)),_xll.BDH(config!$G$4,F$1,$A861,$A861),_xll.BDH(config!$G$5,F$1,$A861,$A861))))</f>
        <v/>
      </c>
      <c r="G861" s="8" t="str">
        <f>IF($A861="","",IF(ISNUMBER(FIND("IMPVOL",G$1)),_xll.BDH(config!$G$4,G$1,WORKDAY($A861,-1,config_Holiday_Calendar_US),WORKDAY($A861,-1,config_Holiday_Calendar_US)),IF(ISNUMBER(_xll.BDH(config!$G$4,G$1,$A861,$A861)),_xll.BDH(config!$G$4,G$1,$A861,$A861),_xll.BDH(config!$G$5,G$1,$A861,$A861))))</f>
        <v/>
      </c>
      <c r="H861" s="8" t="str">
        <f>IF($A861="","",IF(ISNUMBER(FIND("IMPVOL",H$1)),_xll.BDH(config!$G$4,H$1,WORKDAY($A861,-1,config_Holiday_Calendar_US),WORKDAY($A861,-1,config_Holiday_Calendar_US)),IF(ISNUMBER(_xll.BDH(config!$G$4,H$1,$A861,$A861)),_xll.BDH(config!$G$4,H$1,$A861,$A861),_xll.BDH(config!$G$5,H$1,$A861,$A861))))</f>
        <v/>
      </c>
      <c r="I861" s="8" t="str">
        <f>IF($A861="","",IF(ISNUMBER(FIND("IMPVOL",I$1)),_xll.BDH(config!$G$4,I$1,WORKDAY($A861,-1,config_Holiday_Calendar_US),WORKDAY($A861,-1,config_Holiday_Calendar_US)),IF(ISNUMBER(_xll.BDH(config!$G$4,I$1,$A861,$A861)),_xll.BDH(config!$G$4,I$1,$A861,$A861),_xll.BDH(config!$G$5,I$1,$A861,$A861))))</f>
        <v/>
      </c>
      <c r="J861" s="8" t="str">
        <f>IF($A861="","",IF(ISNUMBER(FIND("IMPVOL",J$1)),_xll.BDH(config!$G$4,J$1,WORKDAY($A861,-1,config_Holiday_Calendar_US),WORKDAY($A861,-1,config_Holiday_Calendar_US)),IF(ISNUMBER(_xll.BDH(config!$G$4,J$1,$A861,$A861)),_xll.BDH(config!$G$4,J$1,$A861,$A861),_xll.BDH(config!$G$5,J$1,$A861,$A861))))</f>
        <v/>
      </c>
      <c r="K861" s="8" t="str">
        <f>IF($A861="","",IF(ISNUMBER(FIND("IMPVOL",K$1)),_xll.BDH(config!$G$4,K$1,WORKDAY($A861,-1,config_Holiday_Calendar_US),WORKDAY($A861,-1,config_Holiday_Calendar_US)),IF(ISNUMBER(_xll.BDH(config!$G$4,K$1,$A861,$A861)),_xll.BDH(config!$G$4,K$1,$A861,$A861),_xll.BDH(config!$G$5,K$1,$A861,$A861))))</f>
        <v/>
      </c>
      <c r="L861" s="8" t="str">
        <f>IF($A861="","",IF(ISNUMBER(FIND("IMPVOL",L$1)),_xll.BDH(config!$G$4,L$1,WORKDAY($A861,-1,config_Holiday_Calendar_US),WORKDAY($A861,-1,config_Holiday_Calendar_US)),IF(ISNUMBER(_xll.BDH(config!$G$4,L$1,$A861,$A861)),_xll.BDH(config!$G$4,L$1,$A861,$A861),_xll.BDH(config!$G$5,L$1,$A861,$A861))))</f>
        <v/>
      </c>
      <c r="M861" s="8" t="str">
        <f>IF($A861="","",IF(ISNUMBER(FIND("IMPVOL",M$1)),_xll.BDH(config!$G$4,M$1,WORKDAY($A861,-1,config_Holiday_Calendar_US),WORKDAY($A861,-1,config_Holiday_Calendar_US)),IF(ISNUMBER(_xll.BDH(config!$G$4,M$1,$A861,$A861)),_xll.BDH(config!$G$4,M$1,$A861,$A861),_xll.BDH(config!$G$5,M$1,$A861,$A861))))</f>
        <v/>
      </c>
      <c r="N861" s="8" t="str">
        <f>IF($A861="","",IF(ISNUMBER(FIND("IMPVOL",N$1)),_xll.BDH(config!$G$4,N$1,WORKDAY($A861,-1,config_Holiday_Calendar_US),WORKDAY($A861,-1,config_Holiday_Calendar_US)),IF(ISNUMBER(_xll.BDH(config!$G$4,N$1,$A861,$A861)),_xll.BDH(config!$G$4,N$1,$A861,$A861),_xll.BDH(config!$G$5,N$1,$A861,$A861))))</f>
        <v/>
      </c>
      <c r="O861" s="8" t="str">
        <f>IF($A861="","",IF(ISNUMBER(FIND("IMPVOL",O$1)),_xll.BDH(config!$G$4,O$1,WORKDAY($A861,-1,config_Holiday_Calendar_US),WORKDAY($A861,-1,config_Holiday_Calendar_US)),IF(ISNUMBER(_xll.BDH(config!$G$4,O$1,$A861,$A861)),_xll.BDH(config!$G$4,O$1,$A861,$A861),_xll.BDH(config!$G$5,O$1,$A861,$A861))))</f>
        <v/>
      </c>
      <c r="P861" s="8" t="str">
        <f>IF($A861="","",IF(ISNUMBER(FIND("IMPVOL",P$1)),_xll.BDH(config!$G$4,P$1,WORKDAY($A861,-1,config_Holiday_Calendar_US),WORKDAY($A861,-1,config_Holiday_Calendar_US)),IF(ISNUMBER(_xll.BDH(config!$G$4,P$1,$A861,$A861)),_xll.BDH(config!$G$4,P$1,$A861,$A861),_xll.BDH(config!$G$5,P$1,$A861,$A861))))</f>
        <v/>
      </c>
      <c r="Q861" s="8" t="str">
        <f>IF($A861="","",IF(ISNUMBER(FIND("IMPVOL",Q$1)),_xll.BDH(config!$G$4,Q$1,WORKDAY($A861,-1,config_Holiday_Calendar_US),WORKDAY($A861,-1,config_Holiday_Calendar_US)),IF(ISNUMBER(_xll.BDH(config!$G$4,Q$1,$A861,$A861)),_xll.BDH(config!$G$4,Q$1,$A861,$A861),_xll.BDH(config!$G$5,Q$1,$A861,$A861))))</f>
        <v/>
      </c>
      <c r="R861" s="8" t="str">
        <f>IF($A861="","",IF(ISNUMBER(FIND("IMPVOL",R$1)),_xll.BDH(config!$G$4,R$1,WORKDAY($A861,-1,config_Holiday_Calendar_US),WORKDAY($A861,-1,config_Holiday_Calendar_US)),IF(ISNUMBER(_xll.BDH(config!$G$4,R$1,$A861,$A861)),_xll.BDH(config!$G$4,R$1,$A861,$A861),_xll.BDH(config!$G$5,R$1,$A861,$A861))))</f>
        <v/>
      </c>
      <c r="S861" s="8" t="str">
        <f>IF($A861="","",IF(ISNUMBER(FIND("IMPVOL",S$1)),_xll.BDH(config!$G$4,S$1,WORKDAY($A861,-1,config_Holiday_Calendar_US),WORKDAY($A861,-1,config_Holiday_Calendar_US)),IF(ISNUMBER(_xll.BDH(config!$G$4,S$1,$A861,$A861)),_xll.BDH(config!$G$4,S$1,$A861,$A861),_xll.BDH(config!$G$5,S$1,$A861,$A861))))</f>
        <v/>
      </c>
      <c r="T861" s="8" t="str">
        <f>IF($A861="","",IF(ISNUMBER(FIND("IMPVOL",T$1)),_xll.BDH(config!$G$4,T$1,WORKDAY($A861,-1,config_Holiday_Calendar_US),WORKDAY($A861,-1,config_Holiday_Calendar_US)),IF(ISNUMBER(_xll.BDH(config!$G$4,T$1,$A861,$A861)),_xll.BDH(config!$G$4,T$1,$A861,$A861),_xll.BDH(config!$G$5,T$1,$A861,$A861))))</f>
        <v/>
      </c>
      <c r="U861" s="8" t="str">
        <f>IF($A861="","",IF(ISNUMBER(FIND("IMPVOL",U$1)),_xll.BDH(config!$G$4,U$1,WORKDAY($A861,-1,config_Holiday_Calendar_US),WORKDAY($A861,-1,config_Holiday_Calendar_US)),IF(ISNUMBER(_xll.BDH(config!$G$4,U$1,$A861,$A861)),_xll.BDH(config!$G$4,U$1,$A861,$A861),_xll.BDH(config!$G$5,U$1,$A861,$A861))))</f>
        <v/>
      </c>
      <c r="V861" s="8" t="str">
        <f>IF($A861="","",IF(ISNUMBER(FIND("IMPVOL",V$1)),_xll.BDH(config!$G$4,V$1,WORKDAY($A861,-1,config_Holiday_Calendar_US),WORKDAY($A861,-1,config_Holiday_Calendar_US)),IF(ISNUMBER(_xll.BDH(config!$G$4,V$1,$A861,$A861)),_xll.BDH(config!$G$4,V$1,$A861,$A861),_xll.BDH(config!$G$5,V$1,$A861,$A861))))</f>
        <v/>
      </c>
      <c r="W861" s="8" t="str">
        <f>IF($A861="","",IF(ISNUMBER(FIND("IMPVOL",W$1)),_xll.BDH(config!$G$4,W$1,WORKDAY($A861,-1,config_Holiday_Calendar_US),WORKDAY($A861,-1,config_Holiday_Calendar_US)),IF(ISNUMBER(_xll.BDH(config!$G$4,W$1,$A861,$A861)),_xll.BDH(config!$G$4,W$1,$A861,$A861),_xll.BDH(config!$G$5,W$1,$A861,$A861))))</f>
        <v/>
      </c>
    </row>
    <row r="862" spans="1:23" x14ac:dyDescent="0.2">
      <c r="A862" s="9" t="str">
        <f>IF(A861="","",IF(WORKDAY(A861,-1,config_Holiday_Calendar_US)&lt;config!$I$10,"",WORKDAY(A861,-1,config_Holiday_Calendar_US)))</f>
        <v/>
      </c>
      <c r="B862" s="8" t="str">
        <f t="shared" si="13"/>
        <v/>
      </c>
      <c r="C862" s="8" t="str">
        <f>IF(A862="","",_xll.BDH(config!$H$4,C$1,$A862,$A862))</f>
        <v/>
      </c>
      <c r="D862" s="8" t="str">
        <f>IF($A862="","",_xll.BDH(config!$H$4,D$1,$A862,$A862))</f>
        <v/>
      </c>
      <c r="E862" s="8" t="str">
        <f>IF($A862="","",IF(ISNUMBER(FIND("IMPVOL",E$1)),_xll.BDH(config!$G$4,E$1,WORKDAY($A862,-1,config_Holiday_Calendar_US),WORKDAY($A862,-1,config_Holiday_Calendar_US)),IF(ISNUMBER(_xll.BDH(config!$G$4,E$1,$A862,$A862)),_xll.BDH(config!$G$4,E$1,$A862,$A862),_xll.BDH(config!$G$5,E$1,$A862,$A862))))</f>
        <v/>
      </c>
      <c r="F862" s="8" t="str">
        <f>IF($A862="","",IF(ISNUMBER(FIND("IMPVOL",F$1)),_xll.BDH(config!$G$4,F$1,WORKDAY($A862,-1,config_Holiday_Calendar_US),WORKDAY($A862,-1,config_Holiday_Calendar_US)),IF(ISNUMBER(_xll.BDH(config!$G$4,F$1,$A862,$A862)),_xll.BDH(config!$G$4,F$1,$A862,$A862),_xll.BDH(config!$G$5,F$1,$A862,$A862))))</f>
        <v/>
      </c>
      <c r="G862" s="8" t="str">
        <f>IF($A862="","",IF(ISNUMBER(FIND("IMPVOL",G$1)),_xll.BDH(config!$G$4,G$1,WORKDAY($A862,-1,config_Holiday_Calendar_US),WORKDAY($A862,-1,config_Holiday_Calendar_US)),IF(ISNUMBER(_xll.BDH(config!$G$4,G$1,$A862,$A862)),_xll.BDH(config!$G$4,G$1,$A862,$A862),_xll.BDH(config!$G$5,G$1,$A862,$A862))))</f>
        <v/>
      </c>
      <c r="H862" s="8" t="str">
        <f>IF($A862="","",IF(ISNUMBER(FIND("IMPVOL",H$1)),_xll.BDH(config!$G$4,H$1,WORKDAY($A862,-1,config_Holiday_Calendar_US),WORKDAY($A862,-1,config_Holiday_Calendar_US)),IF(ISNUMBER(_xll.BDH(config!$G$4,H$1,$A862,$A862)),_xll.BDH(config!$G$4,H$1,$A862,$A862),_xll.BDH(config!$G$5,H$1,$A862,$A862))))</f>
        <v/>
      </c>
      <c r="I862" s="8" t="str">
        <f>IF($A862="","",IF(ISNUMBER(FIND("IMPVOL",I$1)),_xll.BDH(config!$G$4,I$1,WORKDAY($A862,-1,config_Holiday_Calendar_US),WORKDAY($A862,-1,config_Holiday_Calendar_US)),IF(ISNUMBER(_xll.BDH(config!$G$4,I$1,$A862,$A862)),_xll.BDH(config!$G$4,I$1,$A862,$A862),_xll.BDH(config!$G$5,I$1,$A862,$A862))))</f>
        <v/>
      </c>
      <c r="J862" s="8" t="str">
        <f>IF($A862="","",IF(ISNUMBER(FIND("IMPVOL",J$1)),_xll.BDH(config!$G$4,J$1,WORKDAY($A862,-1,config_Holiday_Calendar_US),WORKDAY($A862,-1,config_Holiday_Calendar_US)),IF(ISNUMBER(_xll.BDH(config!$G$4,J$1,$A862,$A862)),_xll.BDH(config!$G$4,J$1,$A862,$A862),_xll.BDH(config!$G$5,J$1,$A862,$A862))))</f>
        <v/>
      </c>
      <c r="K862" s="8" t="str">
        <f>IF($A862="","",IF(ISNUMBER(FIND("IMPVOL",K$1)),_xll.BDH(config!$G$4,K$1,WORKDAY($A862,-1,config_Holiday_Calendar_US),WORKDAY($A862,-1,config_Holiday_Calendar_US)),IF(ISNUMBER(_xll.BDH(config!$G$4,K$1,$A862,$A862)),_xll.BDH(config!$G$4,K$1,$A862,$A862),_xll.BDH(config!$G$5,K$1,$A862,$A862))))</f>
        <v/>
      </c>
      <c r="L862" s="8" t="str">
        <f>IF($A862="","",IF(ISNUMBER(FIND("IMPVOL",L$1)),_xll.BDH(config!$G$4,L$1,WORKDAY($A862,-1,config_Holiday_Calendar_US),WORKDAY($A862,-1,config_Holiday_Calendar_US)),IF(ISNUMBER(_xll.BDH(config!$G$4,L$1,$A862,$A862)),_xll.BDH(config!$G$4,L$1,$A862,$A862),_xll.BDH(config!$G$5,L$1,$A862,$A862))))</f>
        <v/>
      </c>
      <c r="M862" s="8" t="str">
        <f>IF($A862="","",IF(ISNUMBER(FIND("IMPVOL",M$1)),_xll.BDH(config!$G$4,M$1,WORKDAY($A862,-1,config_Holiday_Calendar_US),WORKDAY($A862,-1,config_Holiday_Calendar_US)),IF(ISNUMBER(_xll.BDH(config!$G$4,M$1,$A862,$A862)),_xll.BDH(config!$G$4,M$1,$A862,$A862),_xll.BDH(config!$G$5,M$1,$A862,$A862))))</f>
        <v/>
      </c>
      <c r="N862" s="8" t="str">
        <f>IF($A862="","",IF(ISNUMBER(FIND("IMPVOL",N$1)),_xll.BDH(config!$G$4,N$1,WORKDAY($A862,-1,config_Holiday_Calendar_US),WORKDAY($A862,-1,config_Holiday_Calendar_US)),IF(ISNUMBER(_xll.BDH(config!$G$4,N$1,$A862,$A862)),_xll.BDH(config!$G$4,N$1,$A862,$A862),_xll.BDH(config!$G$5,N$1,$A862,$A862))))</f>
        <v/>
      </c>
      <c r="O862" s="8" t="str">
        <f>IF($A862="","",IF(ISNUMBER(FIND("IMPVOL",O$1)),_xll.BDH(config!$G$4,O$1,WORKDAY($A862,-1,config_Holiday_Calendar_US),WORKDAY($A862,-1,config_Holiday_Calendar_US)),IF(ISNUMBER(_xll.BDH(config!$G$4,O$1,$A862,$A862)),_xll.BDH(config!$G$4,O$1,$A862,$A862),_xll.BDH(config!$G$5,O$1,$A862,$A862))))</f>
        <v/>
      </c>
      <c r="P862" s="8" t="str">
        <f>IF($A862="","",IF(ISNUMBER(FIND("IMPVOL",P$1)),_xll.BDH(config!$G$4,P$1,WORKDAY($A862,-1,config_Holiday_Calendar_US),WORKDAY($A862,-1,config_Holiday_Calendar_US)),IF(ISNUMBER(_xll.BDH(config!$G$4,P$1,$A862,$A862)),_xll.BDH(config!$G$4,P$1,$A862,$A862),_xll.BDH(config!$G$5,P$1,$A862,$A862))))</f>
        <v/>
      </c>
      <c r="Q862" s="8" t="str">
        <f>IF($A862="","",IF(ISNUMBER(FIND("IMPVOL",Q$1)),_xll.BDH(config!$G$4,Q$1,WORKDAY($A862,-1,config_Holiday_Calendar_US),WORKDAY($A862,-1,config_Holiday_Calendar_US)),IF(ISNUMBER(_xll.BDH(config!$G$4,Q$1,$A862,$A862)),_xll.BDH(config!$G$4,Q$1,$A862,$A862),_xll.BDH(config!$G$5,Q$1,$A862,$A862))))</f>
        <v/>
      </c>
      <c r="R862" s="8" t="str">
        <f>IF($A862="","",IF(ISNUMBER(FIND("IMPVOL",R$1)),_xll.BDH(config!$G$4,R$1,WORKDAY($A862,-1,config_Holiday_Calendar_US),WORKDAY($A862,-1,config_Holiday_Calendar_US)),IF(ISNUMBER(_xll.BDH(config!$G$4,R$1,$A862,$A862)),_xll.BDH(config!$G$4,R$1,$A862,$A862),_xll.BDH(config!$G$5,R$1,$A862,$A862))))</f>
        <v/>
      </c>
      <c r="S862" s="8" t="str">
        <f>IF($A862="","",IF(ISNUMBER(FIND("IMPVOL",S$1)),_xll.BDH(config!$G$4,S$1,WORKDAY($A862,-1,config_Holiday_Calendar_US),WORKDAY($A862,-1,config_Holiday_Calendar_US)),IF(ISNUMBER(_xll.BDH(config!$G$4,S$1,$A862,$A862)),_xll.BDH(config!$G$4,S$1,$A862,$A862),_xll.BDH(config!$G$5,S$1,$A862,$A862))))</f>
        <v/>
      </c>
      <c r="T862" s="8" t="str">
        <f>IF($A862="","",IF(ISNUMBER(FIND("IMPVOL",T$1)),_xll.BDH(config!$G$4,T$1,WORKDAY($A862,-1,config_Holiday_Calendar_US),WORKDAY($A862,-1,config_Holiday_Calendar_US)),IF(ISNUMBER(_xll.BDH(config!$G$4,T$1,$A862,$A862)),_xll.BDH(config!$G$4,T$1,$A862,$A862),_xll.BDH(config!$G$5,T$1,$A862,$A862))))</f>
        <v/>
      </c>
      <c r="U862" s="8" t="str">
        <f>IF($A862="","",IF(ISNUMBER(FIND("IMPVOL",U$1)),_xll.BDH(config!$G$4,U$1,WORKDAY($A862,-1,config_Holiday_Calendar_US),WORKDAY($A862,-1,config_Holiday_Calendar_US)),IF(ISNUMBER(_xll.BDH(config!$G$4,U$1,$A862,$A862)),_xll.BDH(config!$G$4,U$1,$A862,$A862),_xll.BDH(config!$G$5,U$1,$A862,$A862))))</f>
        <v/>
      </c>
      <c r="V862" s="8" t="str">
        <f>IF($A862="","",IF(ISNUMBER(FIND("IMPVOL",V$1)),_xll.BDH(config!$G$4,V$1,WORKDAY($A862,-1,config_Holiday_Calendar_US),WORKDAY($A862,-1,config_Holiday_Calendar_US)),IF(ISNUMBER(_xll.BDH(config!$G$4,V$1,$A862,$A862)),_xll.BDH(config!$G$4,V$1,$A862,$A862),_xll.BDH(config!$G$5,V$1,$A862,$A862))))</f>
        <v/>
      </c>
      <c r="W862" s="8" t="str">
        <f>IF($A862="","",IF(ISNUMBER(FIND("IMPVOL",W$1)),_xll.BDH(config!$G$4,W$1,WORKDAY($A862,-1,config_Holiday_Calendar_US),WORKDAY($A862,-1,config_Holiday_Calendar_US)),IF(ISNUMBER(_xll.BDH(config!$G$4,W$1,$A862,$A862)),_xll.BDH(config!$G$4,W$1,$A862,$A862),_xll.BDH(config!$G$5,W$1,$A862,$A862))))</f>
        <v/>
      </c>
    </row>
    <row r="863" spans="1:23" x14ac:dyDescent="0.2">
      <c r="A863" s="9" t="str">
        <f>IF(A862="","",IF(WORKDAY(A862,-1,config_Holiday_Calendar_US)&lt;config!$I$10,"",WORKDAY(A862,-1,config_Holiday_Calendar_US)))</f>
        <v/>
      </c>
      <c r="B863" s="8" t="str">
        <f t="shared" si="13"/>
        <v/>
      </c>
      <c r="C863" s="8" t="str">
        <f>IF(A863="","",_xll.BDH(config!$H$4,C$1,$A863,$A863))</f>
        <v/>
      </c>
      <c r="D863" s="8" t="str">
        <f>IF($A863="","",_xll.BDH(config!$H$4,D$1,$A863,$A863))</f>
        <v/>
      </c>
      <c r="E863" s="8" t="str">
        <f>IF($A863="","",IF(ISNUMBER(FIND("IMPVOL",E$1)),_xll.BDH(config!$G$4,E$1,WORKDAY($A863,-1,config_Holiday_Calendar_US),WORKDAY($A863,-1,config_Holiday_Calendar_US)),IF(ISNUMBER(_xll.BDH(config!$G$4,E$1,$A863,$A863)),_xll.BDH(config!$G$4,E$1,$A863,$A863),_xll.BDH(config!$G$5,E$1,$A863,$A863))))</f>
        <v/>
      </c>
      <c r="F863" s="8" t="str">
        <f>IF($A863="","",IF(ISNUMBER(FIND("IMPVOL",F$1)),_xll.BDH(config!$G$4,F$1,WORKDAY($A863,-1,config_Holiday_Calendar_US),WORKDAY($A863,-1,config_Holiday_Calendar_US)),IF(ISNUMBER(_xll.BDH(config!$G$4,F$1,$A863,$A863)),_xll.BDH(config!$G$4,F$1,$A863,$A863),_xll.BDH(config!$G$5,F$1,$A863,$A863))))</f>
        <v/>
      </c>
      <c r="G863" s="8" t="str">
        <f>IF($A863="","",IF(ISNUMBER(FIND("IMPVOL",G$1)),_xll.BDH(config!$G$4,G$1,WORKDAY($A863,-1,config_Holiday_Calendar_US),WORKDAY($A863,-1,config_Holiday_Calendar_US)),IF(ISNUMBER(_xll.BDH(config!$G$4,G$1,$A863,$A863)),_xll.BDH(config!$G$4,G$1,$A863,$A863),_xll.BDH(config!$G$5,G$1,$A863,$A863))))</f>
        <v/>
      </c>
      <c r="H863" s="8" t="str">
        <f>IF($A863="","",IF(ISNUMBER(FIND("IMPVOL",H$1)),_xll.BDH(config!$G$4,H$1,WORKDAY($A863,-1,config_Holiday_Calendar_US),WORKDAY($A863,-1,config_Holiday_Calendar_US)),IF(ISNUMBER(_xll.BDH(config!$G$4,H$1,$A863,$A863)),_xll.BDH(config!$G$4,H$1,$A863,$A863),_xll.BDH(config!$G$5,H$1,$A863,$A863))))</f>
        <v/>
      </c>
      <c r="I863" s="8" t="str">
        <f>IF($A863="","",IF(ISNUMBER(FIND("IMPVOL",I$1)),_xll.BDH(config!$G$4,I$1,WORKDAY($A863,-1,config_Holiday_Calendar_US),WORKDAY($A863,-1,config_Holiday_Calendar_US)),IF(ISNUMBER(_xll.BDH(config!$G$4,I$1,$A863,$A863)),_xll.BDH(config!$G$4,I$1,$A863,$A863),_xll.BDH(config!$G$5,I$1,$A863,$A863))))</f>
        <v/>
      </c>
      <c r="J863" s="8" t="str">
        <f>IF($A863="","",IF(ISNUMBER(FIND("IMPVOL",J$1)),_xll.BDH(config!$G$4,J$1,WORKDAY($A863,-1,config_Holiday_Calendar_US),WORKDAY($A863,-1,config_Holiday_Calendar_US)),IF(ISNUMBER(_xll.BDH(config!$G$4,J$1,$A863,$A863)),_xll.BDH(config!$G$4,J$1,$A863,$A863),_xll.BDH(config!$G$5,J$1,$A863,$A863))))</f>
        <v/>
      </c>
      <c r="K863" s="8" t="str">
        <f>IF($A863="","",IF(ISNUMBER(FIND("IMPVOL",K$1)),_xll.BDH(config!$G$4,K$1,WORKDAY($A863,-1,config_Holiday_Calendar_US),WORKDAY($A863,-1,config_Holiday_Calendar_US)),IF(ISNUMBER(_xll.BDH(config!$G$4,K$1,$A863,$A863)),_xll.BDH(config!$G$4,K$1,$A863,$A863),_xll.BDH(config!$G$5,K$1,$A863,$A863))))</f>
        <v/>
      </c>
      <c r="L863" s="8" t="str">
        <f>IF($A863="","",IF(ISNUMBER(FIND("IMPVOL",L$1)),_xll.BDH(config!$G$4,L$1,WORKDAY($A863,-1,config_Holiday_Calendar_US),WORKDAY($A863,-1,config_Holiday_Calendar_US)),IF(ISNUMBER(_xll.BDH(config!$G$4,L$1,$A863,$A863)),_xll.BDH(config!$G$4,L$1,$A863,$A863),_xll.BDH(config!$G$5,L$1,$A863,$A863))))</f>
        <v/>
      </c>
      <c r="M863" s="8" t="str">
        <f>IF($A863="","",IF(ISNUMBER(FIND("IMPVOL",M$1)),_xll.BDH(config!$G$4,M$1,WORKDAY($A863,-1,config_Holiday_Calendar_US),WORKDAY($A863,-1,config_Holiday_Calendar_US)),IF(ISNUMBER(_xll.BDH(config!$G$4,M$1,$A863,$A863)),_xll.BDH(config!$G$4,M$1,$A863,$A863),_xll.BDH(config!$G$5,M$1,$A863,$A863))))</f>
        <v/>
      </c>
      <c r="N863" s="8" t="str">
        <f>IF($A863="","",IF(ISNUMBER(FIND("IMPVOL",N$1)),_xll.BDH(config!$G$4,N$1,WORKDAY($A863,-1,config_Holiday_Calendar_US),WORKDAY($A863,-1,config_Holiday_Calendar_US)),IF(ISNUMBER(_xll.BDH(config!$G$4,N$1,$A863,$A863)),_xll.BDH(config!$G$4,N$1,$A863,$A863),_xll.BDH(config!$G$5,N$1,$A863,$A863))))</f>
        <v/>
      </c>
      <c r="O863" s="8" t="str">
        <f>IF($A863="","",IF(ISNUMBER(FIND("IMPVOL",O$1)),_xll.BDH(config!$G$4,O$1,WORKDAY($A863,-1,config_Holiday_Calendar_US),WORKDAY($A863,-1,config_Holiday_Calendar_US)),IF(ISNUMBER(_xll.BDH(config!$G$4,O$1,$A863,$A863)),_xll.BDH(config!$G$4,O$1,$A863,$A863),_xll.BDH(config!$G$5,O$1,$A863,$A863))))</f>
        <v/>
      </c>
      <c r="P863" s="8" t="str">
        <f>IF($A863="","",IF(ISNUMBER(FIND("IMPVOL",P$1)),_xll.BDH(config!$G$4,P$1,WORKDAY($A863,-1,config_Holiday_Calendar_US),WORKDAY($A863,-1,config_Holiday_Calendar_US)),IF(ISNUMBER(_xll.BDH(config!$G$4,P$1,$A863,$A863)),_xll.BDH(config!$G$4,P$1,$A863,$A863),_xll.BDH(config!$G$5,P$1,$A863,$A863))))</f>
        <v/>
      </c>
      <c r="Q863" s="8" t="str">
        <f>IF($A863="","",IF(ISNUMBER(FIND("IMPVOL",Q$1)),_xll.BDH(config!$G$4,Q$1,WORKDAY($A863,-1,config_Holiday_Calendar_US),WORKDAY($A863,-1,config_Holiday_Calendar_US)),IF(ISNUMBER(_xll.BDH(config!$G$4,Q$1,$A863,$A863)),_xll.BDH(config!$G$4,Q$1,$A863,$A863),_xll.BDH(config!$G$5,Q$1,$A863,$A863))))</f>
        <v/>
      </c>
      <c r="R863" s="8" t="str">
        <f>IF($A863="","",IF(ISNUMBER(FIND("IMPVOL",R$1)),_xll.BDH(config!$G$4,R$1,WORKDAY($A863,-1,config_Holiday_Calendar_US),WORKDAY($A863,-1,config_Holiday_Calendar_US)),IF(ISNUMBER(_xll.BDH(config!$G$4,R$1,$A863,$A863)),_xll.BDH(config!$G$4,R$1,$A863,$A863),_xll.BDH(config!$G$5,R$1,$A863,$A863))))</f>
        <v/>
      </c>
      <c r="S863" s="8" t="str">
        <f>IF($A863="","",IF(ISNUMBER(FIND("IMPVOL",S$1)),_xll.BDH(config!$G$4,S$1,WORKDAY($A863,-1,config_Holiday_Calendar_US),WORKDAY($A863,-1,config_Holiday_Calendar_US)),IF(ISNUMBER(_xll.BDH(config!$G$4,S$1,$A863,$A863)),_xll.BDH(config!$G$4,S$1,$A863,$A863),_xll.BDH(config!$G$5,S$1,$A863,$A863))))</f>
        <v/>
      </c>
      <c r="T863" s="8" t="str">
        <f>IF($A863="","",IF(ISNUMBER(FIND("IMPVOL",T$1)),_xll.BDH(config!$G$4,T$1,WORKDAY($A863,-1,config_Holiday_Calendar_US),WORKDAY($A863,-1,config_Holiday_Calendar_US)),IF(ISNUMBER(_xll.BDH(config!$G$4,T$1,$A863,$A863)),_xll.BDH(config!$G$4,T$1,$A863,$A863),_xll.BDH(config!$G$5,T$1,$A863,$A863))))</f>
        <v/>
      </c>
      <c r="U863" s="8" t="str">
        <f>IF($A863="","",IF(ISNUMBER(FIND("IMPVOL",U$1)),_xll.BDH(config!$G$4,U$1,WORKDAY($A863,-1,config_Holiday_Calendar_US),WORKDAY($A863,-1,config_Holiday_Calendar_US)),IF(ISNUMBER(_xll.BDH(config!$G$4,U$1,$A863,$A863)),_xll.BDH(config!$G$4,U$1,$A863,$A863),_xll.BDH(config!$G$5,U$1,$A863,$A863))))</f>
        <v/>
      </c>
      <c r="V863" s="8" t="str">
        <f>IF($A863="","",IF(ISNUMBER(FIND("IMPVOL",V$1)),_xll.BDH(config!$G$4,V$1,WORKDAY($A863,-1,config_Holiday_Calendar_US),WORKDAY($A863,-1,config_Holiday_Calendar_US)),IF(ISNUMBER(_xll.BDH(config!$G$4,V$1,$A863,$A863)),_xll.BDH(config!$G$4,V$1,$A863,$A863),_xll.BDH(config!$G$5,V$1,$A863,$A863))))</f>
        <v/>
      </c>
      <c r="W863" s="8" t="str">
        <f>IF($A863="","",IF(ISNUMBER(FIND("IMPVOL",W$1)),_xll.BDH(config!$G$4,W$1,WORKDAY($A863,-1,config_Holiday_Calendar_US),WORKDAY($A863,-1,config_Holiday_Calendar_US)),IF(ISNUMBER(_xll.BDH(config!$G$4,W$1,$A863,$A863)),_xll.BDH(config!$G$4,W$1,$A863,$A863),_xll.BDH(config!$G$5,W$1,$A863,$A863))))</f>
        <v/>
      </c>
    </row>
    <row r="864" spans="1:23" x14ac:dyDescent="0.2">
      <c r="A864" s="9" t="str">
        <f>IF(A863="","",IF(WORKDAY(A863,-1,config_Holiday_Calendar_US)&lt;config!$I$10,"",WORKDAY(A863,-1,config_Holiday_Calendar_US)))</f>
        <v/>
      </c>
      <c r="B864" s="8" t="str">
        <f t="shared" si="13"/>
        <v/>
      </c>
      <c r="C864" s="8" t="str">
        <f>IF(A864="","",_xll.BDH(config!$H$4,C$1,$A864,$A864))</f>
        <v/>
      </c>
      <c r="D864" s="8" t="str">
        <f>IF($A864="","",_xll.BDH(config!$H$4,D$1,$A864,$A864))</f>
        <v/>
      </c>
      <c r="E864" s="8" t="str">
        <f>IF($A864="","",IF(ISNUMBER(FIND("IMPVOL",E$1)),_xll.BDH(config!$G$4,E$1,WORKDAY($A864,-1,config_Holiday_Calendar_US),WORKDAY($A864,-1,config_Holiday_Calendar_US)),IF(ISNUMBER(_xll.BDH(config!$G$4,E$1,$A864,$A864)),_xll.BDH(config!$G$4,E$1,$A864,$A864),_xll.BDH(config!$G$5,E$1,$A864,$A864))))</f>
        <v/>
      </c>
      <c r="F864" s="8" t="str">
        <f>IF($A864="","",IF(ISNUMBER(FIND("IMPVOL",F$1)),_xll.BDH(config!$G$4,F$1,WORKDAY($A864,-1,config_Holiday_Calendar_US),WORKDAY($A864,-1,config_Holiday_Calendar_US)),IF(ISNUMBER(_xll.BDH(config!$G$4,F$1,$A864,$A864)),_xll.BDH(config!$G$4,F$1,$A864,$A864),_xll.BDH(config!$G$5,F$1,$A864,$A864))))</f>
        <v/>
      </c>
      <c r="G864" s="8" t="str">
        <f>IF($A864="","",IF(ISNUMBER(FIND("IMPVOL",G$1)),_xll.BDH(config!$G$4,G$1,WORKDAY($A864,-1,config_Holiday_Calendar_US),WORKDAY($A864,-1,config_Holiday_Calendar_US)),IF(ISNUMBER(_xll.BDH(config!$G$4,G$1,$A864,$A864)),_xll.BDH(config!$G$4,G$1,$A864,$A864),_xll.BDH(config!$G$5,G$1,$A864,$A864))))</f>
        <v/>
      </c>
      <c r="H864" s="8" t="str">
        <f>IF($A864="","",IF(ISNUMBER(FIND("IMPVOL",H$1)),_xll.BDH(config!$G$4,H$1,WORKDAY($A864,-1,config_Holiday_Calendar_US),WORKDAY($A864,-1,config_Holiday_Calendar_US)),IF(ISNUMBER(_xll.BDH(config!$G$4,H$1,$A864,$A864)),_xll.BDH(config!$G$4,H$1,$A864,$A864),_xll.BDH(config!$G$5,H$1,$A864,$A864))))</f>
        <v/>
      </c>
      <c r="I864" s="8" t="str">
        <f>IF($A864="","",IF(ISNUMBER(FIND("IMPVOL",I$1)),_xll.BDH(config!$G$4,I$1,WORKDAY($A864,-1,config_Holiday_Calendar_US),WORKDAY($A864,-1,config_Holiday_Calendar_US)),IF(ISNUMBER(_xll.BDH(config!$G$4,I$1,$A864,$A864)),_xll.BDH(config!$G$4,I$1,$A864,$A864),_xll.BDH(config!$G$5,I$1,$A864,$A864))))</f>
        <v/>
      </c>
      <c r="J864" s="8" t="str">
        <f>IF($A864="","",IF(ISNUMBER(FIND("IMPVOL",J$1)),_xll.BDH(config!$G$4,J$1,WORKDAY($A864,-1,config_Holiday_Calendar_US),WORKDAY($A864,-1,config_Holiday_Calendar_US)),IF(ISNUMBER(_xll.BDH(config!$G$4,J$1,$A864,$A864)),_xll.BDH(config!$G$4,J$1,$A864,$A864),_xll.BDH(config!$G$5,J$1,$A864,$A864))))</f>
        <v/>
      </c>
      <c r="K864" s="8" t="str">
        <f>IF($A864="","",IF(ISNUMBER(FIND("IMPVOL",K$1)),_xll.BDH(config!$G$4,K$1,WORKDAY($A864,-1,config_Holiday_Calendar_US),WORKDAY($A864,-1,config_Holiday_Calendar_US)),IF(ISNUMBER(_xll.BDH(config!$G$4,K$1,$A864,$A864)),_xll.BDH(config!$G$4,K$1,$A864,$A864),_xll.BDH(config!$G$5,K$1,$A864,$A864))))</f>
        <v/>
      </c>
      <c r="L864" s="8" t="str">
        <f>IF($A864="","",IF(ISNUMBER(FIND("IMPVOL",L$1)),_xll.BDH(config!$G$4,L$1,WORKDAY($A864,-1,config_Holiday_Calendar_US),WORKDAY($A864,-1,config_Holiday_Calendar_US)),IF(ISNUMBER(_xll.BDH(config!$G$4,L$1,$A864,$A864)),_xll.BDH(config!$G$4,L$1,$A864,$A864),_xll.BDH(config!$G$5,L$1,$A864,$A864))))</f>
        <v/>
      </c>
      <c r="M864" s="8" t="str">
        <f>IF($A864="","",IF(ISNUMBER(FIND("IMPVOL",M$1)),_xll.BDH(config!$G$4,M$1,WORKDAY($A864,-1,config_Holiday_Calendar_US),WORKDAY($A864,-1,config_Holiday_Calendar_US)),IF(ISNUMBER(_xll.BDH(config!$G$4,M$1,$A864,$A864)),_xll.BDH(config!$G$4,M$1,$A864,$A864),_xll.BDH(config!$G$5,M$1,$A864,$A864))))</f>
        <v/>
      </c>
      <c r="N864" s="8" t="str">
        <f>IF($A864="","",IF(ISNUMBER(FIND("IMPVOL",N$1)),_xll.BDH(config!$G$4,N$1,WORKDAY($A864,-1,config_Holiday_Calendar_US),WORKDAY($A864,-1,config_Holiday_Calendar_US)),IF(ISNUMBER(_xll.BDH(config!$G$4,N$1,$A864,$A864)),_xll.BDH(config!$G$4,N$1,$A864,$A864),_xll.BDH(config!$G$5,N$1,$A864,$A864))))</f>
        <v/>
      </c>
      <c r="O864" s="8" t="str">
        <f>IF($A864="","",IF(ISNUMBER(FIND("IMPVOL",O$1)),_xll.BDH(config!$G$4,O$1,WORKDAY($A864,-1,config_Holiday_Calendar_US),WORKDAY($A864,-1,config_Holiday_Calendar_US)),IF(ISNUMBER(_xll.BDH(config!$G$4,O$1,$A864,$A864)),_xll.BDH(config!$G$4,O$1,$A864,$A864),_xll.BDH(config!$G$5,O$1,$A864,$A864))))</f>
        <v/>
      </c>
      <c r="P864" s="8" t="str">
        <f>IF($A864="","",IF(ISNUMBER(FIND("IMPVOL",P$1)),_xll.BDH(config!$G$4,P$1,WORKDAY($A864,-1,config_Holiday_Calendar_US),WORKDAY($A864,-1,config_Holiday_Calendar_US)),IF(ISNUMBER(_xll.BDH(config!$G$4,P$1,$A864,$A864)),_xll.BDH(config!$G$4,P$1,$A864,$A864),_xll.BDH(config!$G$5,P$1,$A864,$A864))))</f>
        <v/>
      </c>
      <c r="Q864" s="8" t="str">
        <f>IF($A864="","",IF(ISNUMBER(FIND("IMPVOL",Q$1)),_xll.BDH(config!$G$4,Q$1,WORKDAY($A864,-1,config_Holiday_Calendar_US),WORKDAY($A864,-1,config_Holiday_Calendar_US)),IF(ISNUMBER(_xll.BDH(config!$G$4,Q$1,$A864,$A864)),_xll.BDH(config!$G$4,Q$1,$A864,$A864),_xll.BDH(config!$G$5,Q$1,$A864,$A864))))</f>
        <v/>
      </c>
      <c r="R864" s="8" t="str">
        <f>IF($A864="","",IF(ISNUMBER(FIND("IMPVOL",R$1)),_xll.BDH(config!$G$4,R$1,WORKDAY($A864,-1,config_Holiday_Calendar_US),WORKDAY($A864,-1,config_Holiday_Calendar_US)),IF(ISNUMBER(_xll.BDH(config!$G$4,R$1,$A864,$A864)),_xll.BDH(config!$G$4,R$1,$A864,$A864),_xll.BDH(config!$G$5,R$1,$A864,$A864))))</f>
        <v/>
      </c>
      <c r="S864" s="8" t="str">
        <f>IF($A864="","",IF(ISNUMBER(FIND("IMPVOL",S$1)),_xll.BDH(config!$G$4,S$1,WORKDAY($A864,-1,config_Holiday_Calendar_US),WORKDAY($A864,-1,config_Holiday_Calendar_US)),IF(ISNUMBER(_xll.BDH(config!$G$4,S$1,$A864,$A864)),_xll.BDH(config!$G$4,S$1,$A864,$A864),_xll.BDH(config!$G$5,S$1,$A864,$A864))))</f>
        <v/>
      </c>
      <c r="T864" s="8" t="str">
        <f>IF($A864="","",IF(ISNUMBER(FIND("IMPVOL",T$1)),_xll.BDH(config!$G$4,T$1,WORKDAY($A864,-1,config_Holiday_Calendar_US),WORKDAY($A864,-1,config_Holiday_Calendar_US)),IF(ISNUMBER(_xll.BDH(config!$G$4,T$1,$A864,$A864)),_xll.BDH(config!$G$4,T$1,$A864,$A864),_xll.BDH(config!$G$5,T$1,$A864,$A864))))</f>
        <v/>
      </c>
      <c r="U864" s="8" t="str">
        <f>IF($A864="","",IF(ISNUMBER(FIND("IMPVOL",U$1)),_xll.BDH(config!$G$4,U$1,WORKDAY($A864,-1,config_Holiday_Calendar_US),WORKDAY($A864,-1,config_Holiday_Calendar_US)),IF(ISNUMBER(_xll.BDH(config!$G$4,U$1,$A864,$A864)),_xll.BDH(config!$G$4,U$1,$A864,$A864),_xll.BDH(config!$G$5,U$1,$A864,$A864))))</f>
        <v/>
      </c>
      <c r="V864" s="8" t="str">
        <f>IF($A864="","",IF(ISNUMBER(FIND("IMPVOL",V$1)),_xll.BDH(config!$G$4,V$1,WORKDAY($A864,-1,config_Holiday_Calendar_US),WORKDAY($A864,-1,config_Holiday_Calendar_US)),IF(ISNUMBER(_xll.BDH(config!$G$4,V$1,$A864,$A864)),_xll.BDH(config!$G$4,V$1,$A864,$A864),_xll.BDH(config!$G$5,V$1,$A864,$A864))))</f>
        <v/>
      </c>
      <c r="W864" s="8" t="str">
        <f>IF($A864="","",IF(ISNUMBER(FIND("IMPVOL",W$1)),_xll.BDH(config!$G$4,W$1,WORKDAY($A864,-1,config_Holiday_Calendar_US),WORKDAY($A864,-1,config_Holiday_Calendar_US)),IF(ISNUMBER(_xll.BDH(config!$G$4,W$1,$A864,$A864)),_xll.BDH(config!$G$4,W$1,$A864,$A864),_xll.BDH(config!$G$5,W$1,$A864,$A864))))</f>
        <v/>
      </c>
    </row>
    <row r="865" spans="1:23" x14ac:dyDescent="0.2">
      <c r="A865" s="9" t="str">
        <f>IF(A864="","",IF(WORKDAY(A864,-1,config_Holiday_Calendar_US)&lt;config!$I$10,"",WORKDAY(A864,-1,config_Holiday_Calendar_US)))</f>
        <v/>
      </c>
      <c r="B865" s="8" t="str">
        <f t="shared" si="13"/>
        <v/>
      </c>
      <c r="C865" s="8" t="str">
        <f>IF(A865="","",_xll.BDH(config!$H$4,C$1,$A865,$A865))</f>
        <v/>
      </c>
      <c r="D865" s="8" t="str">
        <f>IF($A865="","",_xll.BDH(config!$H$4,D$1,$A865,$A865))</f>
        <v/>
      </c>
      <c r="E865" s="8" t="str">
        <f>IF($A865="","",IF(ISNUMBER(FIND("IMPVOL",E$1)),_xll.BDH(config!$G$4,E$1,WORKDAY($A865,-1,config_Holiday_Calendar_US),WORKDAY($A865,-1,config_Holiday_Calendar_US)),IF(ISNUMBER(_xll.BDH(config!$G$4,E$1,$A865,$A865)),_xll.BDH(config!$G$4,E$1,$A865,$A865),_xll.BDH(config!$G$5,E$1,$A865,$A865))))</f>
        <v/>
      </c>
      <c r="F865" s="8" t="str">
        <f>IF($A865="","",IF(ISNUMBER(FIND("IMPVOL",F$1)),_xll.BDH(config!$G$4,F$1,WORKDAY($A865,-1,config_Holiday_Calendar_US),WORKDAY($A865,-1,config_Holiday_Calendar_US)),IF(ISNUMBER(_xll.BDH(config!$G$4,F$1,$A865,$A865)),_xll.BDH(config!$G$4,F$1,$A865,$A865),_xll.BDH(config!$G$5,F$1,$A865,$A865))))</f>
        <v/>
      </c>
      <c r="G865" s="8" t="str">
        <f>IF($A865="","",IF(ISNUMBER(FIND("IMPVOL",G$1)),_xll.BDH(config!$G$4,G$1,WORKDAY($A865,-1,config_Holiday_Calendar_US),WORKDAY($A865,-1,config_Holiday_Calendar_US)),IF(ISNUMBER(_xll.BDH(config!$G$4,G$1,$A865,$A865)),_xll.BDH(config!$G$4,G$1,$A865,$A865),_xll.BDH(config!$G$5,G$1,$A865,$A865))))</f>
        <v/>
      </c>
      <c r="H865" s="8" t="str">
        <f>IF($A865="","",IF(ISNUMBER(FIND("IMPVOL",H$1)),_xll.BDH(config!$G$4,H$1,WORKDAY($A865,-1,config_Holiday_Calendar_US),WORKDAY($A865,-1,config_Holiday_Calendar_US)),IF(ISNUMBER(_xll.BDH(config!$G$4,H$1,$A865,$A865)),_xll.BDH(config!$G$4,H$1,$A865,$A865),_xll.BDH(config!$G$5,H$1,$A865,$A865))))</f>
        <v/>
      </c>
      <c r="I865" s="8" t="str">
        <f>IF($A865="","",IF(ISNUMBER(FIND("IMPVOL",I$1)),_xll.BDH(config!$G$4,I$1,WORKDAY($A865,-1,config_Holiday_Calendar_US),WORKDAY($A865,-1,config_Holiday_Calendar_US)),IF(ISNUMBER(_xll.BDH(config!$G$4,I$1,$A865,$A865)),_xll.BDH(config!$G$4,I$1,$A865,$A865),_xll.BDH(config!$G$5,I$1,$A865,$A865))))</f>
        <v/>
      </c>
      <c r="J865" s="8" t="str">
        <f>IF($A865="","",IF(ISNUMBER(FIND("IMPVOL",J$1)),_xll.BDH(config!$G$4,J$1,WORKDAY($A865,-1,config_Holiday_Calendar_US),WORKDAY($A865,-1,config_Holiday_Calendar_US)),IF(ISNUMBER(_xll.BDH(config!$G$4,J$1,$A865,$A865)),_xll.BDH(config!$G$4,J$1,$A865,$A865),_xll.BDH(config!$G$5,J$1,$A865,$A865))))</f>
        <v/>
      </c>
      <c r="K865" s="8" t="str">
        <f>IF($A865="","",IF(ISNUMBER(FIND("IMPVOL",K$1)),_xll.BDH(config!$G$4,K$1,WORKDAY($A865,-1,config_Holiday_Calendar_US),WORKDAY($A865,-1,config_Holiday_Calendar_US)),IF(ISNUMBER(_xll.BDH(config!$G$4,K$1,$A865,$A865)),_xll.BDH(config!$G$4,K$1,$A865,$A865),_xll.BDH(config!$G$5,K$1,$A865,$A865))))</f>
        <v/>
      </c>
      <c r="L865" s="8" t="str">
        <f>IF($A865="","",IF(ISNUMBER(FIND("IMPVOL",L$1)),_xll.BDH(config!$G$4,L$1,WORKDAY($A865,-1,config_Holiday_Calendar_US),WORKDAY($A865,-1,config_Holiday_Calendar_US)),IF(ISNUMBER(_xll.BDH(config!$G$4,L$1,$A865,$A865)),_xll.BDH(config!$G$4,L$1,$A865,$A865),_xll.BDH(config!$G$5,L$1,$A865,$A865))))</f>
        <v/>
      </c>
      <c r="M865" s="8" t="str">
        <f>IF($A865="","",IF(ISNUMBER(FIND("IMPVOL",M$1)),_xll.BDH(config!$G$4,M$1,WORKDAY($A865,-1,config_Holiday_Calendar_US),WORKDAY($A865,-1,config_Holiday_Calendar_US)),IF(ISNUMBER(_xll.BDH(config!$G$4,M$1,$A865,$A865)),_xll.BDH(config!$G$4,M$1,$A865,$A865),_xll.BDH(config!$G$5,M$1,$A865,$A865))))</f>
        <v/>
      </c>
      <c r="N865" s="8" t="str">
        <f>IF($A865="","",IF(ISNUMBER(FIND("IMPVOL",N$1)),_xll.BDH(config!$G$4,N$1,WORKDAY($A865,-1,config_Holiday_Calendar_US),WORKDAY($A865,-1,config_Holiday_Calendar_US)),IF(ISNUMBER(_xll.BDH(config!$G$4,N$1,$A865,$A865)),_xll.BDH(config!$G$4,N$1,$A865,$A865),_xll.BDH(config!$G$5,N$1,$A865,$A865))))</f>
        <v/>
      </c>
      <c r="O865" s="8" t="str">
        <f>IF($A865="","",IF(ISNUMBER(FIND("IMPVOL",O$1)),_xll.BDH(config!$G$4,O$1,WORKDAY($A865,-1,config_Holiday_Calendar_US),WORKDAY($A865,-1,config_Holiday_Calendar_US)),IF(ISNUMBER(_xll.BDH(config!$G$4,O$1,$A865,$A865)),_xll.BDH(config!$G$4,O$1,$A865,$A865),_xll.BDH(config!$G$5,O$1,$A865,$A865))))</f>
        <v/>
      </c>
      <c r="P865" s="8" t="str">
        <f>IF($A865="","",IF(ISNUMBER(FIND("IMPVOL",P$1)),_xll.BDH(config!$G$4,P$1,WORKDAY($A865,-1,config_Holiday_Calendar_US),WORKDAY($A865,-1,config_Holiday_Calendar_US)),IF(ISNUMBER(_xll.BDH(config!$G$4,P$1,$A865,$A865)),_xll.BDH(config!$G$4,P$1,$A865,$A865),_xll.BDH(config!$G$5,P$1,$A865,$A865))))</f>
        <v/>
      </c>
      <c r="Q865" s="8" t="str">
        <f>IF($A865="","",IF(ISNUMBER(FIND("IMPVOL",Q$1)),_xll.BDH(config!$G$4,Q$1,WORKDAY($A865,-1,config_Holiday_Calendar_US),WORKDAY($A865,-1,config_Holiday_Calendar_US)),IF(ISNUMBER(_xll.BDH(config!$G$4,Q$1,$A865,$A865)),_xll.BDH(config!$G$4,Q$1,$A865,$A865),_xll.BDH(config!$G$5,Q$1,$A865,$A865))))</f>
        <v/>
      </c>
      <c r="R865" s="8" t="str">
        <f>IF($A865="","",IF(ISNUMBER(FIND("IMPVOL",R$1)),_xll.BDH(config!$G$4,R$1,WORKDAY($A865,-1,config_Holiday_Calendar_US),WORKDAY($A865,-1,config_Holiday_Calendar_US)),IF(ISNUMBER(_xll.BDH(config!$G$4,R$1,$A865,$A865)),_xll.BDH(config!$G$4,R$1,$A865,$A865),_xll.BDH(config!$G$5,R$1,$A865,$A865))))</f>
        <v/>
      </c>
      <c r="S865" s="8" t="str">
        <f>IF($A865="","",IF(ISNUMBER(FIND("IMPVOL",S$1)),_xll.BDH(config!$G$4,S$1,WORKDAY($A865,-1,config_Holiday_Calendar_US),WORKDAY($A865,-1,config_Holiday_Calendar_US)),IF(ISNUMBER(_xll.BDH(config!$G$4,S$1,$A865,$A865)),_xll.BDH(config!$G$4,S$1,$A865,$A865),_xll.BDH(config!$G$5,S$1,$A865,$A865))))</f>
        <v/>
      </c>
      <c r="T865" s="8" t="str">
        <f>IF($A865="","",IF(ISNUMBER(FIND("IMPVOL",T$1)),_xll.BDH(config!$G$4,T$1,WORKDAY($A865,-1,config_Holiday_Calendar_US),WORKDAY($A865,-1,config_Holiday_Calendar_US)),IF(ISNUMBER(_xll.BDH(config!$G$4,T$1,$A865,$A865)),_xll.BDH(config!$G$4,T$1,$A865,$A865),_xll.BDH(config!$G$5,T$1,$A865,$A865))))</f>
        <v/>
      </c>
      <c r="U865" s="8" t="str">
        <f>IF($A865="","",IF(ISNUMBER(FIND("IMPVOL",U$1)),_xll.BDH(config!$G$4,U$1,WORKDAY($A865,-1,config_Holiday_Calendar_US),WORKDAY($A865,-1,config_Holiday_Calendar_US)),IF(ISNUMBER(_xll.BDH(config!$G$4,U$1,$A865,$A865)),_xll.BDH(config!$G$4,U$1,$A865,$A865),_xll.BDH(config!$G$5,U$1,$A865,$A865))))</f>
        <v/>
      </c>
      <c r="V865" s="8" t="str">
        <f>IF($A865="","",IF(ISNUMBER(FIND("IMPVOL",V$1)),_xll.BDH(config!$G$4,V$1,WORKDAY($A865,-1,config_Holiday_Calendar_US),WORKDAY($A865,-1,config_Holiday_Calendar_US)),IF(ISNUMBER(_xll.BDH(config!$G$4,V$1,$A865,$A865)),_xll.BDH(config!$G$4,V$1,$A865,$A865),_xll.BDH(config!$G$5,V$1,$A865,$A865))))</f>
        <v/>
      </c>
      <c r="W865" s="8" t="str">
        <f>IF($A865="","",IF(ISNUMBER(FIND("IMPVOL",W$1)),_xll.BDH(config!$G$4,W$1,WORKDAY($A865,-1,config_Holiday_Calendar_US),WORKDAY($A865,-1,config_Holiday_Calendar_US)),IF(ISNUMBER(_xll.BDH(config!$G$4,W$1,$A865,$A865)),_xll.BDH(config!$G$4,W$1,$A865,$A865),_xll.BDH(config!$G$5,W$1,$A865,$A865))))</f>
        <v/>
      </c>
    </row>
    <row r="866" spans="1:23" x14ac:dyDescent="0.2">
      <c r="A866" s="9" t="str">
        <f>IF(A865="","",IF(WORKDAY(A865,-1,config_Holiday_Calendar_US)&lt;config!$I$10,"",WORKDAY(A865,-1,config_Holiday_Calendar_US)))</f>
        <v/>
      </c>
      <c r="B866" s="8" t="str">
        <f t="shared" si="13"/>
        <v/>
      </c>
      <c r="C866" s="8" t="str">
        <f>IF(A866="","",_xll.BDH(config!$H$4,C$1,$A866,$A866))</f>
        <v/>
      </c>
      <c r="D866" s="8" t="str">
        <f>IF($A866="","",_xll.BDH(config!$H$4,D$1,$A866,$A866))</f>
        <v/>
      </c>
      <c r="E866" s="8" t="str">
        <f>IF($A866="","",IF(ISNUMBER(FIND("IMPVOL",E$1)),_xll.BDH(config!$G$4,E$1,WORKDAY($A866,-1,config_Holiday_Calendar_US),WORKDAY($A866,-1,config_Holiday_Calendar_US)),IF(ISNUMBER(_xll.BDH(config!$G$4,E$1,$A866,$A866)),_xll.BDH(config!$G$4,E$1,$A866,$A866),_xll.BDH(config!$G$5,E$1,$A866,$A866))))</f>
        <v/>
      </c>
      <c r="F866" s="8" t="str">
        <f>IF($A866="","",IF(ISNUMBER(FIND("IMPVOL",F$1)),_xll.BDH(config!$G$4,F$1,WORKDAY($A866,-1,config_Holiday_Calendar_US),WORKDAY($A866,-1,config_Holiday_Calendar_US)),IF(ISNUMBER(_xll.BDH(config!$G$4,F$1,$A866,$A866)),_xll.BDH(config!$G$4,F$1,$A866,$A866),_xll.BDH(config!$G$5,F$1,$A866,$A866))))</f>
        <v/>
      </c>
      <c r="G866" s="8" t="str">
        <f>IF($A866="","",IF(ISNUMBER(FIND("IMPVOL",G$1)),_xll.BDH(config!$G$4,G$1,WORKDAY($A866,-1,config_Holiday_Calendar_US),WORKDAY($A866,-1,config_Holiday_Calendar_US)),IF(ISNUMBER(_xll.BDH(config!$G$4,G$1,$A866,$A866)),_xll.BDH(config!$G$4,G$1,$A866,$A866),_xll.BDH(config!$G$5,G$1,$A866,$A866))))</f>
        <v/>
      </c>
      <c r="H866" s="8" t="str">
        <f>IF($A866="","",IF(ISNUMBER(FIND("IMPVOL",H$1)),_xll.BDH(config!$G$4,H$1,WORKDAY($A866,-1,config_Holiday_Calendar_US),WORKDAY($A866,-1,config_Holiday_Calendar_US)),IF(ISNUMBER(_xll.BDH(config!$G$4,H$1,$A866,$A866)),_xll.BDH(config!$G$4,H$1,$A866,$A866),_xll.BDH(config!$G$5,H$1,$A866,$A866))))</f>
        <v/>
      </c>
      <c r="I866" s="8" t="str">
        <f>IF($A866="","",IF(ISNUMBER(FIND("IMPVOL",I$1)),_xll.BDH(config!$G$4,I$1,WORKDAY($A866,-1,config_Holiday_Calendar_US),WORKDAY($A866,-1,config_Holiday_Calendar_US)),IF(ISNUMBER(_xll.BDH(config!$G$4,I$1,$A866,$A866)),_xll.BDH(config!$G$4,I$1,$A866,$A866),_xll.BDH(config!$G$5,I$1,$A866,$A866))))</f>
        <v/>
      </c>
      <c r="J866" s="8" t="str">
        <f>IF($A866="","",IF(ISNUMBER(FIND("IMPVOL",J$1)),_xll.BDH(config!$G$4,J$1,WORKDAY($A866,-1,config_Holiday_Calendar_US),WORKDAY($A866,-1,config_Holiday_Calendar_US)),IF(ISNUMBER(_xll.BDH(config!$G$4,J$1,$A866,$A866)),_xll.BDH(config!$G$4,J$1,$A866,$A866),_xll.BDH(config!$G$5,J$1,$A866,$A866))))</f>
        <v/>
      </c>
      <c r="K866" s="8" t="str">
        <f>IF($A866="","",IF(ISNUMBER(FIND("IMPVOL",K$1)),_xll.BDH(config!$G$4,K$1,WORKDAY($A866,-1,config_Holiday_Calendar_US),WORKDAY($A866,-1,config_Holiday_Calendar_US)),IF(ISNUMBER(_xll.BDH(config!$G$4,K$1,$A866,$A866)),_xll.BDH(config!$G$4,K$1,$A866,$A866),_xll.BDH(config!$G$5,K$1,$A866,$A866))))</f>
        <v/>
      </c>
      <c r="L866" s="8" t="str">
        <f>IF($A866="","",IF(ISNUMBER(FIND("IMPVOL",L$1)),_xll.BDH(config!$G$4,L$1,WORKDAY($A866,-1,config_Holiday_Calendar_US),WORKDAY($A866,-1,config_Holiday_Calendar_US)),IF(ISNUMBER(_xll.BDH(config!$G$4,L$1,$A866,$A866)),_xll.BDH(config!$G$4,L$1,$A866,$A866),_xll.BDH(config!$G$5,L$1,$A866,$A866))))</f>
        <v/>
      </c>
      <c r="M866" s="8" t="str">
        <f>IF($A866="","",IF(ISNUMBER(FIND("IMPVOL",M$1)),_xll.BDH(config!$G$4,M$1,WORKDAY($A866,-1,config_Holiday_Calendar_US),WORKDAY($A866,-1,config_Holiday_Calendar_US)),IF(ISNUMBER(_xll.BDH(config!$G$4,M$1,$A866,$A866)),_xll.BDH(config!$G$4,M$1,$A866,$A866),_xll.BDH(config!$G$5,M$1,$A866,$A866))))</f>
        <v/>
      </c>
      <c r="N866" s="8" t="str">
        <f>IF($A866="","",IF(ISNUMBER(FIND("IMPVOL",N$1)),_xll.BDH(config!$G$4,N$1,WORKDAY($A866,-1,config_Holiday_Calendar_US),WORKDAY($A866,-1,config_Holiday_Calendar_US)),IF(ISNUMBER(_xll.BDH(config!$G$4,N$1,$A866,$A866)),_xll.BDH(config!$G$4,N$1,$A866,$A866),_xll.BDH(config!$G$5,N$1,$A866,$A866))))</f>
        <v/>
      </c>
      <c r="O866" s="8" t="str">
        <f>IF($A866="","",IF(ISNUMBER(FIND("IMPVOL",O$1)),_xll.BDH(config!$G$4,O$1,WORKDAY($A866,-1,config_Holiday_Calendar_US),WORKDAY($A866,-1,config_Holiday_Calendar_US)),IF(ISNUMBER(_xll.BDH(config!$G$4,O$1,$A866,$A866)),_xll.BDH(config!$G$4,O$1,$A866,$A866),_xll.BDH(config!$G$5,O$1,$A866,$A866))))</f>
        <v/>
      </c>
      <c r="P866" s="8" t="str">
        <f>IF($A866="","",IF(ISNUMBER(FIND("IMPVOL",P$1)),_xll.BDH(config!$G$4,P$1,WORKDAY($A866,-1,config_Holiday_Calendar_US),WORKDAY($A866,-1,config_Holiday_Calendar_US)),IF(ISNUMBER(_xll.BDH(config!$G$4,P$1,$A866,$A866)),_xll.BDH(config!$G$4,P$1,$A866,$A866),_xll.BDH(config!$G$5,P$1,$A866,$A866))))</f>
        <v/>
      </c>
      <c r="Q866" s="8" t="str">
        <f>IF($A866="","",IF(ISNUMBER(FIND("IMPVOL",Q$1)),_xll.BDH(config!$G$4,Q$1,WORKDAY($A866,-1,config_Holiday_Calendar_US),WORKDAY($A866,-1,config_Holiday_Calendar_US)),IF(ISNUMBER(_xll.BDH(config!$G$4,Q$1,$A866,$A866)),_xll.BDH(config!$G$4,Q$1,$A866,$A866),_xll.BDH(config!$G$5,Q$1,$A866,$A866))))</f>
        <v/>
      </c>
      <c r="R866" s="8" t="str">
        <f>IF($A866="","",IF(ISNUMBER(FIND("IMPVOL",R$1)),_xll.BDH(config!$G$4,R$1,WORKDAY($A866,-1,config_Holiday_Calendar_US),WORKDAY($A866,-1,config_Holiday_Calendar_US)),IF(ISNUMBER(_xll.BDH(config!$G$4,R$1,$A866,$A866)),_xll.BDH(config!$G$4,R$1,$A866,$A866),_xll.BDH(config!$G$5,R$1,$A866,$A866))))</f>
        <v/>
      </c>
      <c r="S866" s="8" t="str">
        <f>IF($A866="","",IF(ISNUMBER(FIND("IMPVOL",S$1)),_xll.BDH(config!$G$4,S$1,WORKDAY($A866,-1,config_Holiday_Calendar_US),WORKDAY($A866,-1,config_Holiday_Calendar_US)),IF(ISNUMBER(_xll.BDH(config!$G$4,S$1,$A866,$A866)),_xll.BDH(config!$G$4,S$1,$A866,$A866),_xll.BDH(config!$G$5,S$1,$A866,$A866))))</f>
        <v/>
      </c>
      <c r="T866" s="8" t="str">
        <f>IF($A866="","",IF(ISNUMBER(FIND("IMPVOL",T$1)),_xll.BDH(config!$G$4,T$1,WORKDAY($A866,-1,config_Holiday_Calendar_US),WORKDAY($A866,-1,config_Holiday_Calendar_US)),IF(ISNUMBER(_xll.BDH(config!$G$4,T$1,$A866,$A866)),_xll.BDH(config!$G$4,T$1,$A866,$A866),_xll.BDH(config!$G$5,T$1,$A866,$A866))))</f>
        <v/>
      </c>
      <c r="U866" s="8" t="str">
        <f>IF($A866="","",IF(ISNUMBER(FIND("IMPVOL",U$1)),_xll.BDH(config!$G$4,U$1,WORKDAY($A866,-1,config_Holiday_Calendar_US),WORKDAY($A866,-1,config_Holiday_Calendar_US)),IF(ISNUMBER(_xll.BDH(config!$G$4,U$1,$A866,$A866)),_xll.BDH(config!$G$4,U$1,$A866,$A866),_xll.BDH(config!$G$5,U$1,$A866,$A866))))</f>
        <v/>
      </c>
      <c r="V866" s="8" t="str">
        <f>IF($A866="","",IF(ISNUMBER(FIND("IMPVOL",V$1)),_xll.BDH(config!$G$4,V$1,WORKDAY($A866,-1,config_Holiday_Calendar_US),WORKDAY($A866,-1,config_Holiday_Calendar_US)),IF(ISNUMBER(_xll.BDH(config!$G$4,V$1,$A866,$A866)),_xll.BDH(config!$G$4,V$1,$A866,$A866),_xll.BDH(config!$G$5,V$1,$A866,$A866))))</f>
        <v/>
      </c>
      <c r="W866" s="8" t="str">
        <f>IF($A866="","",IF(ISNUMBER(FIND("IMPVOL",W$1)),_xll.BDH(config!$G$4,W$1,WORKDAY($A866,-1,config_Holiday_Calendar_US),WORKDAY($A866,-1,config_Holiday_Calendar_US)),IF(ISNUMBER(_xll.BDH(config!$G$4,W$1,$A866,$A866)),_xll.BDH(config!$G$4,W$1,$A866,$A866),_xll.BDH(config!$G$5,W$1,$A866,$A866))))</f>
        <v/>
      </c>
    </row>
    <row r="867" spans="1:23" x14ac:dyDescent="0.2">
      <c r="A867" s="9" t="str">
        <f>IF(A866="","",IF(WORKDAY(A866,-1,config_Holiday_Calendar_US)&lt;config!$I$10,"",WORKDAY(A866,-1,config_Holiday_Calendar_US)))</f>
        <v/>
      </c>
      <c r="B867" s="8" t="str">
        <f t="shared" si="13"/>
        <v/>
      </c>
      <c r="C867" s="8" t="str">
        <f>IF(A867="","",_xll.BDH(config!$H$4,C$1,$A867,$A867))</f>
        <v/>
      </c>
      <c r="D867" s="8" t="str">
        <f>IF($A867="","",_xll.BDH(config!$H$4,D$1,$A867,$A867))</f>
        <v/>
      </c>
      <c r="E867" s="8" t="str">
        <f>IF($A867="","",IF(ISNUMBER(FIND("IMPVOL",E$1)),_xll.BDH(config!$G$4,E$1,WORKDAY($A867,-1,config_Holiday_Calendar_US),WORKDAY($A867,-1,config_Holiday_Calendar_US)),IF(ISNUMBER(_xll.BDH(config!$G$4,E$1,$A867,$A867)),_xll.BDH(config!$G$4,E$1,$A867,$A867),_xll.BDH(config!$G$5,E$1,$A867,$A867))))</f>
        <v/>
      </c>
      <c r="F867" s="8" t="str">
        <f>IF($A867="","",IF(ISNUMBER(FIND("IMPVOL",F$1)),_xll.BDH(config!$G$4,F$1,WORKDAY($A867,-1,config_Holiday_Calendar_US),WORKDAY($A867,-1,config_Holiday_Calendar_US)),IF(ISNUMBER(_xll.BDH(config!$G$4,F$1,$A867,$A867)),_xll.BDH(config!$G$4,F$1,$A867,$A867),_xll.BDH(config!$G$5,F$1,$A867,$A867))))</f>
        <v/>
      </c>
      <c r="G867" s="8" t="str">
        <f>IF($A867="","",IF(ISNUMBER(FIND("IMPVOL",G$1)),_xll.BDH(config!$G$4,G$1,WORKDAY($A867,-1,config_Holiday_Calendar_US),WORKDAY($A867,-1,config_Holiday_Calendar_US)),IF(ISNUMBER(_xll.BDH(config!$G$4,G$1,$A867,$A867)),_xll.BDH(config!$G$4,G$1,$A867,$A867),_xll.BDH(config!$G$5,G$1,$A867,$A867))))</f>
        <v/>
      </c>
      <c r="H867" s="8" t="str">
        <f>IF($A867="","",IF(ISNUMBER(FIND("IMPVOL",H$1)),_xll.BDH(config!$G$4,H$1,WORKDAY($A867,-1,config_Holiday_Calendar_US),WORKDAY($A867,-1,config_Holiday_Calendar_US)),IF(ISNUMBER(_xll.BDH(config!$G$4,H$1,$A867,$A867)),_xll.BDH(config!$G$4,H$1,$A867,$A867),_xll.BDH(config!$G$5,H$1,$A867,$A867))))</f>
        <v/>
      </c>
      <c r="I867" s="8" t="str">
        <f>IF($A867="","",IF(ISNUMBER(FIND("IMPVOL",I$1)),_xll.BDH(config!$G$4,I$1,WORKDAY($A867,-1,config_Holiday_Calendar_US),WORKDAY($A867,-1,config_Holiday_Calendar_US)),IF(ISNUMBER(_xll.BDH(config!$G$4,I$1,$A867,$A867)),_xll.BDH(config!$G$4,I$1,$A867,$A867),_xll.BDH(config!$G$5,I$1,$A867,$A867))))</f>
        <v/>
      </c>
      <c r="J867" s="8" t="str">
        <f>IF($A867="","",IF(ISNUMBER(FIND("IMPVOL",J$1)),_xll.BDH(config!$G$4,J$1,WORKDAY($A867,-1,config_Holiday_Calendar_US),WORKDAY($A867,-1,config_Holiday_Calendar_US)),IF(ISNUMBER(_xll.BDH(config!$G$4,J$1,$A867,$A867)),_xll.BDH(config!$G$4,J$1,$A867,$A867),_xll.BDH(config!$G$5,J$1,$A867,$A867))))</f>
        <v/>
      </c>
      <c r="K867" s="8" t="str">
        <f>IF($A867="","",IF(ISNUMBER(FIND("IMPVOL",K$1)),_xll.BDH(config!$G$4,K$1,WORKDAY($A867,-1,config_Holiday_Calendar_US),WORKDAY($A867,-1,config_Holiday_Calendar_US)),IF(ISNUMBER(_xll.BDH(config!$G$4,K$1,$A867,$A867)),_xll.BDH(config!$G$4,K$1,$A867,$A867),_xll.BDH(config!$G$5,K$1,$A867,$A867))))</f>
        <v/>
      </c>
      <c r="L867" s="8" t="str">
        <f>IF($A867="","",IF(ISNUMBER(FIND("IMPVOL",L$1)),_xll.BDH(config!$G$4,L$1,WORKDAY($A867,-1,config_Holiday_Calendar_US),WORKDAY($A867,-1,config_Holiday_Calendar_US)),IF(ISNUMBER(_xll.BDH(config!$G$4,L$1,$A867,$A867)),_xll.BDH(config!$G$4,L$1,$A867,$A867),_xll.BDH(config!$G$5,L$1,$A867,$A867))))</f>
        <v/>
      </c>
      <c r="M867" s="8" t="str">
        <f>IF($A867="","",IF(ISNUMBER(FIND("IMPVOL",M$1)),_xll.BDH(config!$G$4,M$1,WORKDAY($A867,-1,config_Holiday_Calendar_US),WORKDAY($A867,-1,config_Holiday_Calendar_US)),IF(ISNUMBER(_xll.BDH(config!$G$4,M$1,$A867,$A867)),_xll.BDH(config!$G$4,M$1,$A867,$A867),_xll.BDH(config!$G$5,M$1,$A867,$A867))))</f>
        <v/>
      </c>
      <c r="N867" s="8" t="str">
        <f>IF($A867="","",IF(ISNUMBER(FIND("IMPVOL",N$1)),_xll.BDH(config!$G$4,N$1,WORKDAY($A867,-1,config_Holiday_Calendar_US),WORKDAY($A867,-1,config_Holiday_Calendar_US)),IF(ISNUMBER(_xll.BDH(config!$G$4,N$1,$A867,$A867)),_xll.BDH(config!$G$4,N$1,$A867,$A867),_xll.BDH(config!$G$5,N$1,$A867,$A867))))</f>
        <v/>
      </c>
      <c r="O867" s="8" t="str">
        <f>IF($A867="","",IF(ISNUMBER(FIND("IMPVOL",O$1)),_xll.BDH(config!$G$4,O$1,WORKDAY($A867,-1,config_Holiday_Calendar_US),WORKDAY($A867,-1,config_Holiday_Calendar_US)),IF(ISNUMBER(_xll.BDH(config!$G$4,O$1,$A867,$A867)),_xll.BDH(config!$G$4,O$1,$A867,$A867),_xll.BDH(config!$G$5,O$1,$A867,$A867))))</f>
        <v/>
      </c>
      <c r="P867" s="8" t="str">
        <f>IF($A867="","",IF(ISNUMBER(FIND("IMPVOL",P$1)),_xll.BDH(config!$G$4,P$1,WORKDAY($A867,-1,config_Holiday_Calendar_US),WORKDAY($A867,-1,config_Holiday_Calendar_US)),IF(ISNUMBER(_xll.BDH(config!$G$4,P$1,$A867,$A867)),_xll.BDH(config!$G$4,P$1,$A867,$A867),_xll.BDH(config!$G$5,P$1,$A867,$A867))))</f>
        <v/>
      </c>
      <c r="Q867" s="8" t="str">
        <f>IF($A867="","",IF(ISNUMBER(FIND("IMPVOL",Q$1)),_xll.BDH(config!$G$4,Q$1,WORKDAY($A867,-1,config_Holiday_Calendar_US),WORKDAY($A867,-1,config_Holiday_Calendar_US)),IF(ISNUMBER(_xll.BDH(config!$G$4,Q$1,$A867,$A867)),_xll.BDH(config!$G$4,Q$1,$A867,$A867),_xll.BDH(config!$G$5,Q$1,$A867,$A867))))</f>
        <v/>
      </c>
      <c r="R867" s="8" t="str">
        <f>IF($A867="","",IF(ISNUMBER(FIND("IMPVOL",R$1)),_xll.BDH(config!$G$4,R$1,WORKDAY($A867,-1,config_Holiday_Calendar_US),WORKDAY($A867,-1,config_Holiday_Calendar_US)),IF(ISNUMBER(_xll.BDH(config!$G$4,R$1,$A867,$A867)),_xll.BDH(config!$G$4,R$1,$A867,$A867),_xll.BDH(config!$G$5,R$1,$A867,$A867))))</f>
        <v/>
      </c>
      <c r="S867" s="8" t="str">
        <f>IF($A867="","",IF(ISNUMBER(FIND("IMPVOL",S$1)),_xll.BDH(config!$G$4,S$1,WORKDAY($A867,-1,config_Holiday_Calendar_US),WORKDAY($A867,-1,config_Holiday_Calendar_US)),IF(ISNUMBER(_xll.BDH(config!$G$4,S$1,$A867,$A867)),_xll.BDH(config!$G$4,S$1,$A867,$A867),_xll.BDH(config!$G$5,S$1,$A867,$A867))))</f>
        <v/>
      </c>
      <c r="T867" s="8" t="str">
        <f>IF($A867="","",IF(ISNUMBER(FIND("IMPVOL",T$1)),_xll.BDH(config!$G$4,T$1,WORKDAY($A867,-1,config_Holiday_Calendar_US),WORKDAY($A867,-1,config_Holiday_Calendar_US)),IF(ISNUMBER(_xll.BDH(config!$G$4,T$1,$A867,$A867)),_xll.BDH(config!$G$4,T$1,$A867,$A867),_xll.BDH(config!$G$5,T$1,$A867,$A867))))</f>
        <v/>
      </c>
      <c r="U867" s="8" t="str">
        <f>IF($A867="","",IF(ISNUMBER(FIND("IMPVOL",U$1)),_xll.BDH(config!$G$4,U$1,WORKDAY($A867,-1,config_Holiday_Calendar_US),WORKDAY($A867,-1,config_Holiday_Calendar_US)),IF(ISNUMBER(_xll.BDH(config!$G$4,U$1,$A867,$A867)),_xll.BDH(config!$G$4,U$1,$A867,$A867),_xll.BDH(config!$G$5,U$1,$A867,$A867))))</f>
        <v/>
      </c>
      <c r="V867" s="8" t="str">
        <f>IF($A867="","",IF(ISNUMBER(FIND("IMPVOL",V$1)),_xll.BDH(config!$G$4,V$1,WORKDAY($A867,-1,config_Holiday_Calendar_US),WORKDAY($A867,-1,config_Holiday_Calendar_US)),IF(ISNUMBER(_xll.BDH(config!$G$4,V$1,$A867,$A867)),_xll.BDH(config!$G$4,V$1,$A867,$A867),_xll.BDH(config!$G$5,V$1,$A867,$A867))))</f>
        <v/>
      </c>
      <c r="W867" s="8" t="str">
        <f>IF($A867="","",IF(ISNUMBER(FIND("IMPVOL",W$1)),_xll.BDH(config!$G$4,W$1,WORKDAY($A867,-1,config_Holiday_Calendar_US),WORKDAY($A867,-1,config_Holiday_Calendar_US)),IF(ISNUMBER(_xll.BDH(config!$G$4,W$1,$A867,$A867)),_xll.BDH(config!$G$4,W$1,$A867,$A867),_xll.BDH(config!$G$5,W$1,$A867,$A867))))</f>
        <v/>
      </c>
    </row>
    <row r="868" spans="1:23" x14ac:dyDescent="0.2">
      <c r="A868" s="9" t="str">
        <f>IF(A867="","",IF(WORKDAY(A867,-1,config_Holiday_Calendar_US)&lt;config!$I$10,"",WORKDAY(A867,-1,config_Holiday_Calendar_US)))</f>
        <v/>
      </c>
      <c r="B868" s="8" t="str">
        <f t="shared" si="13"/>
        <v/>
      </c>
      <c r="C868" s="8" t="str">
        <f>IF(A868="","",_xll.BDH(config!$H$4,C$1,$A868,$A868))</f>
        <v/>
      </c>
      <c r="D868" s="8" t="str">
        <f>IF($A868="","",_xll.BDH(config!$H$4,D$1,$A868,$A868))</f>
        <v/>
      </c>
      <c r="E868" s="8" t="str">
        <f>IF($A868="","",IF(ISNUMBER(FIND("IMPVOL",E$1)),_xll.BDH(config!$G$4,E$1,WORKDAY($A868,-1,config_Holiday_Calendar_US),WORKDAY($A868,-1,config_Holiday_Calendar_US)),IF(ISNUMBER(_xll.BDH(config!$G$4,E$1,$A868,$A868)),_xll.BDH(config!$G$4,E$1,$A868,$A868),_xll.BDH(config!$G$5,E$1,$A868,$A868))))</f>
        <v/>
      </c>
      <c r="F868" s="8" t="str">
        <f>IF($A868="","",IF(ISNUMBER(FIND("IMPVOL",F$1)),_xll.BDH(config!$G$4,F$1,WORKDAY($A868,-1,config_Holiday_Calendar_US),WORKDAY($A868,-1,config_Holiday_Calendar_US)),IF(ISNUMBER(_xll.BDH(config!$G$4,F$1,$A868,$A868)),_xll.BDH(config!$G$4,F$1,$A868,$A868),_xll.BDH(config!$G$5,F$1,$A868,$A868))))</f>
        <v/>
      </c>
      <c r="G868" s="8" t="str">
        <f>IF($A868="","",IF(ISNUMBER(FIND("IMPVOL",G$1)),_xll.BDH(config!$G$4,G$1,WORKDAY($A868,-1,config_Holiday_Calendar_US),WORKDAY($A868,-1,config_Holiday_Calendar_US)),IF(ISNUMBER(_xll.BDH(config!$G$4,G$1,$A868,$A868)),_xll.BDH(config!$G$4,G$1,$A868,$A868),_xll.BDH(config!$G$5,G$1,$A868,$A868))))</f>
        <v/>
      </c>
      <c r="H868" s="8" t="str">
        <f>IF($A868="","",IF(ISNUMBER(FIND("IMPVOL",H$1)),_xll.BDH(config!$G$4,H$1,WORKDAY($A868,-1,config_Holiday_Calendar_US),WORKDAY($A868,-1,config_Holiday_Calendar_US)),IF(ISNUMBER(_xll.BDH(config!$G$4,H$1,$A868,$A868)),_xll.BDH(config!$G$4,H$1,$A868,$A868),_xll.BDH(config!$G$5,H$1,$A868,$A868))))</f>
        <v/>
      </c>
      <c r="I868" s="8" t="str">
        <f>IF($A868="","",IF(ISNUMBER(FIND("IMPVOL",I$1)),_xll.BDH(config!$G$4,I$1,WORKDAY($A868,-1,config_Holiday_Calendar_US),WORKDAY($A868,-1,config_Holiday_Calendar_US)),IF(ISNUMBER(_xll.BDH(config!$G$4,I$1,$A868,$A868)),_xll.BDH(config!$G$4,I$1,$A868,$A868),_xll.BDH(config!$G$5,I$1,$A868,$A868))))</f>
        <v/>
      </c>
      <c r="J868" s="8" t="str">
        <f>IF($A868="","",IF(ISNUMBER(FIND("IMPVOL",J$1)),_xll.BDH(config!$G$4,J$1,WORKDAY($A868,-1,config_Holiday_Calendar_US),WORKDAY($A868,-1,config_Holiday_Calendar_US)),IF(ISNUMBER(_xll.BDH(config!$G$4,J$1,$A868,$A868)),_xll.BDH(config!$G$4,J$1,$A868,$A868),_xll.BDH(config!$G$5,J$1,$A868,$A868))))</f>
        <v/>
      </c>
      <c r="K868" s="8" t="str">
        <f>IF($A868="","",IF(ISNUMBER(FIND("IMPVOL",K$1)),_xll.BDH(config!$G$4,K$1,WORKDAY($A868,-1,config_Holiday_Calendar_US),WORKDAY($A868,-1,config_Holiday_Calendar_US)),IF(ISNUMBER(_xll.BDH(config!$G$4,K$1,$A868,$A868)),_xll.BDH(config!$G$4,K$1,$A868,$A868),_xll.BDH(config!$G$5,K$1,$A868,$A868))))</f>
        <v/>
      </c>
      <c r="L868" s="8" t="str">
        <f>IF($A868="","",IF(ISNUMBER(FIND("IMPVOL",L$1)),_xll.BDH(config!$G$4,L$1,WORKDAY($A868,-1,config_Holiday_Calendar_US),WORKDAY($A868,-1,config_Holiday_Calendar_US)),IF(ISNUMBER(_xll.BDH(config!$G$4,L$1,$A868,$A868)),_xll.BDH(config!$G$4,L$1,$A868,$A868),_xll.BDH(config!$G$5,L$1,$A868,$A868))))</f>
        <v/>
      </c>
      <c r="M868" s="8" t="str">
        <f>IF($A868="","",IF(ISNUMBER(FIND("IMPVOL",M$1)),_xll.BDH(config!$G$4,M$1,WORKDAY($A868,-1,config_Holiday_Calendar_US),WORKDAY($A868,-1,config_Holiday_Calendar_US)),IF(ISNUMBER(_xll.BDH(config!$G$4,M$1,$A868,$A868)),_xll.BDH(config!$G$4,M$1,$A868,$A868),_xll.BDH(config!$G$5,M$1,$A868,$A868))))</f>
        <v/>
      </c>
      <c r="N868" s="8" t="str">
        <f>IF($A868="","",IF(ISNUMBER(FIND("IMPVOL",N$1)),_xll.BDH(config!$G$4,N$1,WORKDAY($A868,-1,config_Holiday_Calendar_US),WORKDAY($A868,-1,config_Holiday_Calendar_US)),IF(ISNUMBER(_xll.BDH(config!$G$4,N$1,$A868,$A868)),_xll.BDH(config!$G$4,N$1,$A868,$A868),_xll.BDH(config!$G$5,N$1,$A868,$A868))))</f>
        <v/>
      </c>
      <c r="O868" s="8" t="str">
        <f>IF($A868="","",IF(ISNUMBER(FIND("IMPVOL",O$1)),_xll.BDH(config!$G$4,O$1,WORKDAY($A868,-1,config_Holiday_Calendar_US),WORKDAY($A868,-1,config_Holiday_Calendar_US)),IF(ISNUMBER(_xll.BDH(config!$G$4,O$1,$A868,$A868)),_xll.BDH(config!$G$4,O$1,$A868,$A868),_xll.BDH(config!$G$5,O$1,$A868,$A868))))</f>
        <v/>
      </c>
      <c r="P868" s="8" t="str">
        <f>IF($A868="","",IF(ISNUMBER(FIND("IMPVOL",P$1)),_xll.BDH(config!$G$4,P$1,WORKDAY($A868,-1,config_Holiday_Calendar_US),WORKDAY($A868,-1,config_Holiday_Calendar_US)),IF(ISNUMBER(_xll.BDH(config!$G$4,P$1,$A868,$A868)),_xll.BDH(config!$G$4,P$1,$A868,$A868),_xll.BDH(config!$G$5,P$1,$A868,$A868))))</f>
        <v/>
      </c>
      <c r="Q868" s="8" t="str">
        <f>IF($A868="","",IF(ISNUMBER(FIND("IMPVOL",Q$1)),_xll.BDH(config!$G$4,Q$1,WORKDAY($A868,-1,config_Holiday_Calendar_US),WORKDAY($A868,-1,config_Holiday_Calendar_US)),IF(ISNUMBER(_xll.BDH(config!$G$4,Q$1,$A868,$A868)),_xll.BDH(config!$G$4,Q$1,$A868,$A868),_xll.BDH(config!$G$5,Q$1,$A868,$A868))))</f>
        <v/>
      </c>
      <c r="R868" s="8" t="str">
        <f>IF($A868="","",IF(ISNUMBER(FIND("IMPVOL",R$1)),_xll.BDH(config!$G$4,R$1,WORKDAY($A868,-1,config_Holiday_Calendar_US),WORKDAY($A868,-1,config_Holiday_Calendar_US)),IF(ISNUMBER(_xll.BDH(config!$G$4,R$1,$A868,$A868)),_xll.BDH(config!$G$4,R$1,$A868,$A868),_xll.BDH(config!$G$5,R$1,$A868,$A868))))</f>
        <v/>
      </c>
      <c r="S868" s="8" t="str">
        <f>IF($A868="","",IF(ISNUMBER(FIND("IMPVOL",S$1)),_xll.BDH(config!$G$4,S$1,WORKDAY($A868,-1,config_Holiday_Calendar_US),WORKDAY($A868,-1,config_Holiday_Calendar_US)),IF(ISNUMBER(_xll.BDH(config!$G$4,S$1,$A868,$A868)),_xll.BDH(config!$G$4,S$1,$A868,$A868),_xll.BDH(config!$G$5,S$1,$A868,$A868))))</f>
        <v/>
      </c>
      <c r="T868" s="8" t="str">
        <f>IF($A868="","",IF(ISNUMBER(FIND("IMPVOL",T$1)),_xll.BDH(config!$G$4,T$1,WORKDAY($A868,-1,config_Holiday_Calendar_US),WORKDAY($A868,-1,config_Holiday_Calendar_US)),IF(ISNUMBER(_xll.BDH(config!$G$4,T$1,$A868,$A868)),_xll.BDH(config!$G$4,T$1,$A868,$A868),_xll.BDH(config!$G$5,T$1,$A868,$A868))))</f>
        <v/>
      </c>
      <c r="U868" s="8" t="str">
        <f>IF($A868="","",IF(ISNUMBER(FIND("IMPVOL",U$1)),_xll.BDH(config!$G$4,U$1,WORKDAY($A868,-1,config_Holiday_Calendar_US),WORKDAY($A868,-1,config_Holiday_Calendar_US)),IF(ISNUMBER(_xll.BDH(config!$G$4,U$1,$A868,$A868)),_xll.BDH(config!$G$4,U$1,$A868,$A868),_xll.BDH(config!$G$5,U$1,$A868,$A868))))</f>
        <v/>
      </c>
      <c r="V868" s="8" t="str">
        <f>IF($A868="","",IF(ISNUMBER(FIND("IMPVOL",V$1)),_xll.BDH(config!$G$4,V$1,WORKDAY($A868,-1,config_Holiday_Calendar_US),WORKDAY($A868,-1,config_Holiday_Calendar_US)),IF(ISNUMBER(_xll.BDH(config!$G$4,V$1,$A868,$A868)),_xll.BDH(config!$G$4,V$1,$A868,$A868),_xll.BDH(config!$G$5,V$1,$A868,$A868))))</f>
        <v/>
      </c>
      <c r="W868" s="8" t="str">
        <f>IF($A868="","",IF(ISNUMBER(FIND("IMPVOL",W$1)),_xll.BDH(config!$G$4,W$1,WORKDAY($A868,-1,config_Holiday_Calendar_US),WORKDAY($A868,-1,config_Holiday_Calendar_US)),IF(ISNUMBER(_xll.BDH(config!$G$4,W$1,$A868,$A868)),_xll.BDH(config!$G$4,W$1,$A868,$A868),_xll.BDH(config!$G$5,W$1,$A868,$A868))))</f>
        <v/>
      </c>
    </row>
    <row r="869" spans="1:23" x14ac:dyDescent="0.2">
      <c r="A869" s="9" t="str">
        <f>IF(A868="","",IF(WORKDAY(A868,-1,config_Holiday_Calendar_US)&lt;config!$I$10,"",WORKDAY(A868,-1,config_Holiday_Calendar_US)))</f>
        <v/>
      </c>
      <c r="B869" s="8" t="str">
        <f t="shared" si="13"/>
        <v/>
      </c>
      <c r="C869" s="8" t="str">
        <f>IF(A869="","",_xll.BDH(config!$H$4,C$1,$A869,$A869))</f>
        <v/>
      </c>
      <c r="D869" s="8" t="str">
        <f>IF($A869="","",_xll.BDH(config!$H$4,D$1,$A869,$A869))</f>
        <v/>
      </c>
      <c r="E869" s="8" t="str">
        <f>IF($A869="","",IF(ISNUMBER(FIND("IMPVOL",E$1)),_xll.BDH(config!$G$4,E$1,WORKDAY($A869,-1,config_Holiday_Calendar_US),WORKDAY($A869,-1,config_Holiday_Calendar_US)),IF(ISNUMBER(_xll.BDH(config!$G$4,E$1,$A869,$A869)),_xll.BDH(config!$G$4,E$1,$A869,$A869),_xll.BDH(config!$G$5,E$1,$A869,$A869))))</f>
        <v/>
      </c>
      <c r="F869" s="8" t="str">
        <f>IF($A869="","",IF(ISNUMBER(FIND("IMPVOL",F$1)),_xll.BDH(config!$G$4,F$1,WORKDAY($A869,-1,config_Holiday_Calendar_US),WORKDAY($A869,-1,config_Holiday_Calendar_US)),IF(ISNUMBER(_xll.BDH(config!$G$4,F$1,$A869,$A869)),_xll.BDH(config!$G$4,F$1,$A869,$A869),_xll.BDH(config!$G$5,F$1,$A869,$A869))))</f>
        <v/>
      </c>
      <c r="G869" s="8" t="str">
        <f>IF($A869="","",IF(ISNUMBER(FIND("IMPVOL",G$1)),_xll.BDH(config!$G$4,G$1,WORKDAY($A869,-1,config_Holiday_Calendar_US),WORKDAY($A869,-1,config_Holiday_Calendar_US)),IF(ISNUMBER(_xll.BDH(config!$G$4,G$1,$A869,$A869)),_xll.BDH(config!$G$4,G$1,$A869,$A869),_xll.BDH(config!$G$5,G$1,$A869,$A869))))</f>
        <v/>
      </c>
      <c r="H869" s="8" t="str">
        <f>IF($A869="","",IF(ISNUMBER(FIND("IMPVOL",H$1)),_xll.BDH(config!$G$4,H$1,WORKDAY($A869,-1,config_Holiday_Calendar_US),WORKDAY($A869,-1,config_Holiday_Calendar_US)),IF(ISNUMBER(_xll.BDH(config!$G$4,H$1,$A869,$A869)),_xll.BDH(config!$G$4,H$1,$A869,$A869),_xll.BDH(config!$G$5,H$1,$A869,$A869))))</f>
        <v/>
      </c>
      <c r="I869" s="8" t="str">
        <f>IF($A869="","",IF(ISNUMBER(FIND("IMPVOL",I$1)),_xll.BDH(config!$G$4,I$1,WORKDAY($A869,-1,config_Holiday_Calendar_US),WORKDAY($A869,-1,config_Holiday_Calendar_US)),IF(ISNUMBER(_xll.BDH(config!$G$4,I$1,$A869,$A869)),_xll.BDH(config!$G$4,I$1,$A869,$A869),_xll.BDH(config!$G$5,I$1,$A869,$A869))))</f>
        <v/>
      </c>
      <c r="J869" s="8" t="str">
        <f>IF($A869="","",IF(ISNUMBER(FIND("IMPVOL",J$1)),_xll.BDH(config!$G$4,J$1,WORKDAY($A869,-1,config_Holiday_Calendar_US),WORKDAY($A869,-1,config_Holiday_Calendar_US)),IF(ISNUMBER(_xll.BDH(config!$G$4,J$1,$A869,$A869)),_xll.BDH(config!$G$4,J$1,$A869,$A869),_xll.BDH(config!$G$5,J$1,$A869,$A869))))</f>
        <v/>
      </c>
      <c r="K869" s="8" t="str">
        <f>IF($A869="","",IF(ISNUMBER(FIND("IMPVOL",K$1)),_xll.BDH(config!$G$4,K$1,WORKDAY($A869,-1,config_Holiday_Calendar_US),WORKDAY($A869,-1,config_Holiday_Calendar_US)),IF(ISNUMBER(_xll.BDH(config!$G$4,K$1,$A869,$A869)),_xll.BDH(config!$G$4,K$1,$A869,$A869),_xll.BDH(config!$G$5,K$1,$A869,$A869))))</f>
        <v/>
      </c>
      <c r="L869" s="8" t="str">
        <f>IF($A869="","",IF(ISNUMBER(FIND("IMPVOL",L$1)),_xll.BDH(config!$G$4,L$1,WORKDAY($A869,-1,config_Holiday_Calendar_US),WORKDAY($A869,-1,config_Holiday_Calendar_US)),IF(ISNUMBER(_xll.BDH(config!$G$4,L$1,$A869,$A869)),_xll.BDH(config!$G$4,L$1,$A869,$A869),_xll.BDH(config!$G$5,L$1,$A869,$A869))))</f>
        <v/>
      </c>
      <c r="M869" s="8" t="str">
        <f>IF($A869="","",IF(ISNUMBER(FIND("IMPVOL",M$1)),_xll.BDH(config!$G$4,M$1,WORKDAY($A869,-1,config_Holiday_Calendar_US),WORKDAY($A869,-1,config_Holiday_Calendar_US)),IF(ISNUMBER(_xll.BDH(config!$G$4,M$1,$A869,$A869)),_xll.BDH(config!$G$4,M$1,$A869,$A869),_xll.BDH(config!$G$5,M$1,$A869,$A869))))</f>
        <v/>
      </c>
      <c r="N869" s="8" t="str">
        <f>IF($A869="","",IF(ISNUMBER(FIND("IMPVOL",N$1)),_xll.BDH(config!$G$4,N$1,WORKDAY($A869,-1,config_Holiday_Calendar_US),WORKDAY($A869,-1,config_Holiday_Calendar_US)),IF(ISNUMBER(_xll.BDH(config!$G$4,N$1,$A869,$A869)),_xll.BDH(config!$G$4,N$1,$A869,$A869),_xll.BDH(config!$G$5,N$1,$A869,$A869))))</f>
        <v/>
      </c>
      <c r="O869" s="8" t="str">
        <f>IF($A869="","",IF(ISNUMBER(FIND("IMPVOL",O$1)),_xll.BDH(config!$G$4,O$1,WORKDAY($A869,-1,config_Holiday_Calendar_US),WORKDAY($A869,-1,config_Holiday_Calendar_US)),IF(ISNUMBER(_xll.BDH(config!$G$4,O$1,$A869,$A869)),_xll.BDH(config!$G$4,O$1,$A869,$A869),_xll.BDH(config!$G$5,O$1,$A869,$A869))))</f>
        <v/>
      </c>
      <c r="P869" s="8" t="str">
        <f>IF($A869="","",IF(ISNUMBER(FIND("IMPVOL",P$1)),_xll.BDH(config!$G$4,P$1,WORKDAY($A869,-1,config_Holiday_Calendar_US),WORKDAY($A869,-1,config_Holiday_Calendar_US)),IF(ISNUMBER(_xll.BDH(config!$G$4,P$1,$A869,$A869)),_xll.BDH(config!$G$4,P$1,$A869,$A869),_xll.BDH(config!$G$5,P$1,$A869,$A869))))</f>
        <v/>
      </c>
      <c r="Q869" s="8" t="str">
        <f>IF($A869="","",IF(ISNUMBER(FIND("IMPVOL",Q$1)),_xll.BDH(config!$G$4,Q$1,WORKDAY($A869,-1,config_Holiday_Calendar_US),WORKDAY($A869,-1,config_Holiday_Calendar_US)),IF(ISNUMBER(_xll.BDH(config!$G$4,Q$1,$A869,$A869)),_xll.BDH(config!$G$4,Q$1,$A869,$A869),_xll.BDH(config!$G$5,Q$1,$A869,$A869))))</f>
        <v/>
      </c>
      <c r="R869" s="8" t="str">
        <f>IF($A869="","",IF(ISNUMBER(FIND("IMPVOL",R$1)),_xll.BDH(config!$G$4,R$1,WORKDAY($A869,-1,config_Holiday_Calendar_US),WORKDAY($A869,-1,config_Holiday_Calendar_US)),IF(ISNUMBER(_xll.BDH(config!$G$4,R$1,$A869,$A869)),_xll.BDH(config!$G$4,R$1,$A869,$A869),_xll.BDH(config!$G$5,R$1,$A869,$A869))))</f>
        <v/>
      </c>
      <c r="S869" s="8" t="str">
        <f>IF($A869="","",IF(ISNUMBER(FIND("IMPVOL",S$1)),_xll.BDH(config!$G$4,S$1,WORKDAY($A869,-1,config_Holiday_Calendar_US),WORKDAY($A869,-1,config_Holiday_Calendar_US)),IF(ISNUMBER(_xll.BDH(config!$G$4,S$1,$A869,$A869)),_xll.BDH(config!$G$4,S$1,$A869,$A869),_xll.BDH(config!$G$5,S$1,$A869,$A869))))</f>
        <v/>
      </c>
      <c r="T869" s="8" t="str">
        <f>IF($A869="","",IF(ISNUMBER(FIND("IMPVOL",T$1)),_xll.BDH(config!$G$4,T$1,WORKDAY($A869,-1,config_Holiday_Calendar_US),WORKDAY($A869,-1,config_Holiday_Calendar_US)),IF(ISNUMBER(_xll.BDH(config!$G$4,T$1,$A869,$A869)),_xll.BDH(config!$G$4,T$1,$A869,$A869),_xll.BDH(config!$G$5,T$1,$A869,$A869))))</f>
        <v/>
      </c>
      <c r="U869" s="8" t="str">
        <f>IF($A869="","",IF(ISNUMBER(FIND("IMPVOL",U$1)),_xll.BDH(config!$G$4,U$1,WORKDAY($A869,-1,config_Holiday_Calendar_US),WORKDAY($A869,-1,config_Holiday_Calendar_US)),IF(ISNUMBER(_xll.BDH(config!$G$4,U$1,$A869,$A869)),_xll.BDH(config!$G$4,U$1,$A869,$A869),_xll.BDH(config!$G$5,U$1,$A869,$A869))))</f>
        <v/>
      </c>
      <c r="V869" s="8" t="str">
        <f>IF($A869="","",IF(ISNUMBER(FIND("IMPVOL",V$1)),_xll.BDH(config!$G$4,V$1,WORKDAY($A869,-1,config_Holiday_Calendar_US),WORKDAY($A869,-1,config_Holiday_Calendar_US)),IF(ISNUMBER(_xll.BDH(config!$G$4,V$1,$A869,$A869)),_xll.BDH(config!$G$4,V$1,$A869,$A869),_xll.BDH(config!$G$5,V$1,$A869,$A869))))</f>
        <v/>
      </c>
      <c r="W869" s="8" t="str">
        <f>IF($A869="","",IF(ISNUMBER(FIND("IMPVOL",W$1)),_xll.BDH(config!$G$4,W$1,WORKDAY($A869,-1,config_Holiday_Calendar_US),WORKDAY($A869,-1,config_Holiday_Calendar_US)),IF(ISNUMBER(_xll.BDH(config!$G$4,W$1,$A869,$A869)),_xll.BDH(config!$G$4,W$1,$A869,$A869),_xll.BDH(config!$G$5,W$1,$A869,$A869))))</f>
        <v/>
      </c>
    </row>
    <row r="870" spans="1:23" x14ac:dyDescent="0.2">
      <c r="A870" s="9" t="str">
        <f>IF(A869="","",IF(WORKDAY(A869,-1,config_Holiday_Calendar_US)&lt;config!$I$10,"",WORKDAY(A869,-1,config_Holiday_Calendar_US)))</f>
        <v/>
      </c>
      <c r="B870" s="8" t="str">
        <f t="shared" si="13"/>
        <v/>
      </c>
      <c r="C870" s="8" t="str">
        <f>IF(A870="","",_xll.BDH(config!$H$4,C$1,$A870,$A870))</f>
        <v/>
      </c>
      <c r="D870" s="8" t="str">
        <f>IF($A870="","",_xll.BDH(config!$H$4,D$1,$A870,$A870))</f>
        <v/>
      </c>
      <c r="E870" s="8" t="str">
        <f>IF($A870="","",IF(ISNUMBER(FIND("IMPVOL",E$1)),_xll.BDH(config!$G$4,E$1,WORKDAY($A870,-1,config_Holiday_Calendar_US),WORKDAY($A870,-1,config_Holiday_Calendar_US)),IF(ISNUMBER(_xll.BDH(config!$G$4,E$1,$A870,$A870)),_xll.BDH(config!$G$4,E$1,$A870,$A870),_xll.BDH(config!$G$5,E$1,$A870,$A870))))</f>
        <v/>
      </c>
      <c r="F870" s="8" t="str">
        <f>IF($A870="","",IF(ISNUMBER(FIND("IMPVOL",F$1)),_xll.BDH(config!$G$4,F$1,WORKDAY($A870,-1,config_Holiday_Calendar_US),WORKDAY($A870,-1,config_Holiday_Calendar_US)),IF(ISNUMBER(_xll.BDH(config!$G$4,F$1,$A870,$A870)),_xll.BDH(config!$G$4,F$1,$A870,$A870),_xll.BDH(config!$G$5,F$1,$A870,$A870))))</f>
        <v/>
      </c>
      <c r="G870" s="8" t="str">
        <f>IF($A870="","",IF(ISNUMBER(FIND("IMPVOL",G$1)),_xll.BDH(config!$G$4,G$1,WORKDAY($A870,-1,config_Holiday_Calendar_US),WORKDAY($A870,-1,config_Holiday_Calendar_US)),IF(ISNUMBER(_xll.BDH(config!$G$4,G$1,$A870,$A870)),_xll.BDH(config!$G$4,G$1,$A870,$A870),_xll.BDH(config!$G$5,G$1,$A870,$A870))))</f>
        <v/>
      </c>
      <c r="H870" s="8" t="str">
        <f>IF($A870="","",IF(ISNUMBER(FIND("IMPVOL",H$1)),_xll.BDH(config!$G$4,H$1,WORKDAY($A870,-1,config_Holiday_Calendar_US),WORKDAY($A870,-1,config_Holiday_Calendar_US)),IF(ISNUMBER(_xll.BDH(config!$G$4,H$1,$A870,$A870)),_xll.BDH(config!$G$4,H$1,$A870,$A870),_xll.BDH(config!$G$5,H$1,$A870,$A870))))</f>
        <v/>
      </c>
      <c r="I870" s="8" t="str">
        <f>IF($A870="","",IF(ISNUMBER(FIND("IMPVOL",I$1)),_xll.BDH(config!$G$4,I$1,WORKDAY($A870,-1,config_Holiday_Calendar_US),WORKDAY($A870,-1,config_Holiday_Calendar_US)),IF(ISNUMBER(_xll.BDH(config!$G$4,I$1,$A870,$A870)),_xll.BDH(config!$G$4,I$1,$A870,$A870),_xll.BDH(config!$G$5,I$1,$A870,$A870))))</f>
        <v/>
      </c>
      <c r="J870" s="8" t="str">
        <f>IF($A870="","",IF(ISNUMBER(FIND("IMPVOL",J$1)),_xll.BDH(config!$G$4,J$1,WORKDAY($A870,-1,config_Holiday_Calendar_US),WORKDAY($A870,-1,config_Holiday_Calendar_US)),IF(ISNUMBER(_xll.BDH(config!$G$4,J$1,$A870,$A870)),_xll.BDH(config!$G$4,J$1,$A870,$A870),_xll.BDH(config!$G$5,J$1,$A870,$A870))))</f>
        <v/>
      </c>
      <c r="K870" s="8" t="str">
        <f>IF($A870="","",IF(ISNUMBER(FIND("IMPVOL",K$1)),_xll.BDH(config!$G$4,K$1,WORKDAY($A870,-1,config_Holiday_Calendar_US),WORKDAY($A870,-1,config_Holiday_Calendar_US)),IF(ISNUMBER(_xll.BDH(config!$G$4,K$1,$A870,$A870)),_xll.BDH(config!$G$4,K$1,$A870,$A870),_xll.BDH(config!$G$5,K$1,$A870,$A870))))</f>
        <v/>
      </c>
      <c r="L870" s="8" t="str">
        <f>IF($A870="","",IF(ISNUMBER(FIND("IMPVOL",L$1)),_xll.BDH(config!$G$4,L$1,WORKDAY($A870,-1,config_Holiday_Calendar_US),WORKDAY($A870,-1,config_Holiday_Calendar_US)),IF(ISNUMBER(_xll.BDH(config!$G$4,L$1,$A870,$A870)),_xll.BDH(config!$G$4,L$1,$A870,$A870),_xll.BDH(config!$G$5,L$1,$A870,$A870))))</f>
        <v/>
      </c>
      <c r="M870" s="8" t="str">
        <f>IF($A870="","",IF(ISNUMBER(FIND("IMPVOL",M$1)),_xll.BDH(config!$G$4,M$1,WORKDAY($A870,-1,config_Holiday_Calendar_US),WORKDAY($A870,-1,config_Holiday_Calendar_US)),IF(ISNUMBER(_xll.BDH(config!$G$4,M$1,$A870,$A870)),_xll.BDH(config!$G$4,M$1,$A870,$A870),_xll.BDH(config!$G$5,M$1,$A870,$A870))))</f>
        <v/>
      </c>
      <c r="N870" s="8" t="str">
        <f>IF($A870="","",IF(ISNUMBER(FIND("IMPVOL",N$1)),_xll.BDH(config!$G$4,N$1,WORKDAY($A870,-1,config_Holiday_Calendar_US),WORKDAY($A870,-1,config_Holiday_Calendar_US)),IF(ISNUMBER(_xll.BDH(config!$G$4,N$1,$A870,$A870)),_xll.BDH(config!$G$4,N$1,$A870,$A870),_xll.BDH(config!$G$5,N$1,$A870,$A870))))</f>
        <v/>
      </c>
      <c r="O870" s="8" t="str">
        <f>IF($A870="","",IF(ISNUMBER(FIND("IMPVOL",O$1)),_xll.BDH(config!$G$4,O$1,WORKDAY($A870,-1,config_Holiday_Calendar_US),WORKDAY($A870,-1,config_Holiday_Calendar_US)),IF(ISNUMBER(_xll.BDH(config!$G$4,O$1,$A870,$A870)),_xll.BDH(config!$G$4,O$1,$A870,$A870),_xll.BDH(config!$G$5,O$1,$A870,$A870))))</f>
        <v/>
      </c>
      <c r="P870" s="8" t="str">
        <f>IF($A870="","",IF(ISNUMBER(FIND("IMPVOL",P$1)),_xll.BDH(config!$G$4,P$1,WORKDAY($A870,-1,config_Holiday_Calendar_US),WORKDAY($A870,-1,config_Holiday_Calendar_US)),IF(ISNUMBER(_xll.BDH(config!$G$4,P$1,$A870,$A870)),_xll.BDH(config!$G$4,P$1,$A870,$A870),_xll.BDH(config!$G$5,P$1,$A870,$A870))))</f>
        <v/>
      </c>
      <c r="Q870" s="8" t="str">
        <f>IF($A870="","",IF(ISNUMBER(FIND("IMPVOL",Q$1)),_xll.BDH(config!$G$4,Q$1,WORKDAY($A870,-1,config_Holiday_Calendar_US),WORKDAY($A870,-1,config_Holiday_Calendar_US)),IF(ISNUMBER(_xll.BDH(config!$G$4,Q$1,$A870,$A870)),_xll.BDH(config!$G$4,Q$1,$A870,$A870),_xll.BDH(config!$G$5,Q$1,$A870,$A870))))</f>
        <v/>
      </c>
      <c r="R870" s="8" t="str">
        <f>IF($A870="","",IF(ISNUMBER(FIND("IMPVOL",R$1)),_xll.BDH(config!$G$4,R$1,WORKDAY($A870,-1,config_Holiday_Calendar_US),WORKDAY($A870,-1,config_Holiday_Calendar_US)),IF(ISNUMBER(_xll.BDH(config!$G$4,R$1,$A870,$A870)),_xll.BDH(config!$G$4,R$1,$A870,$A870),_xll.BDH(config!$G$5,R$1,$A870,$A870))))</f>
        <v/>
      </c>
      <c r="S870" s="8" t="str">
        <f>IF($A870="","",IF(ISNUMBER(FIND("IMPVOL",S$1)),_xll.BDH(config!$G$4,S$1,WORKDAY($A870,-1,config_Holiday_Calendar_US),WORKDAY($A870,-1,config_Holiday_Calendar_US)),IF(ISNUMBER(_xll.BDH(config!$G$4,S$1,$A870,$A870)),_xll.BDH(config!$G$4,S$1,$A870,$A870),_xll.BDH(config!$G$5,S$1,$A870,$A870))))</f>
        <v/>
      </c>
      <c r="T870" s="8" t="str">
        <f>IF($A870="","",IF(ISNUMBER(FIND("IMPVOL",T$1)),_xll.BDH(config!$G$4,T$1,WORKDAY($A870,-1,config_Holiday_Calendar_US),WORKDAY($A870,-1,config_Holiday_Calendar_US)),IF(ISNUMBER(_xll.BDH(config!$G$4,T$1,$A870,$A870)),_xll.BDH(config!$G$4,T$1,$A870,$A870),_xll.BDH(config!$G$5,T$1,$A870,$A870))))</f>
        <v/>
      </c>
      <c r="U870" s="8" t="str">
        <f>IF($A870="","",IF(ISNUMBER(FIND("IMPVOL",U$1)),_xll.BDH(config!$G$4,U$1,WORKDAY($A870,-1,config_Holiday_Calendar_US),WORKDAY($A870,-1,config_Holiday_Calendar_US)),IF(ISNUMBER(_xll.BDH(config!$G$4,U$1,$A870,$A870)),_xll.BDH(config!$G$4,U$1,$A870,$A870),_xll.BDH(config!$G$5,U$1,$A870,$A870))))</f>
        <v/>
      </c>
      <c r="V870" s="8" t="str">
        <f>IF($A870="","",IF(ISNUMBER(FIND("IMPVOL",V$1)),_xll.BDH(config!$G$4,V$1,WORKDAY($A870,-1,config_Holiday_Calendar_US),WORKDAY($A870,-1,config_Holiday_Calendar_US)),IF(ISNUMBER(_xll.BDH(config!$G$4,V$1,$A870,$A870)),_xll.BDH(config!$G$4,V$1,$A870,$A870),_xll.BDH(config!$G$5,V$1,$A870,$A870))))</f>
        <v/>
      </c>
      <c r="W870" s="8" t="str">
        <f>IF($A870="","",IF(ISNUMBER(FIND("IMPVOL",W$1)),_xll.BDH(config!$G$4,W$1,WORKDAY($A870,-1,config_Holiday_Calendar_US),WORKDAY($A870,-1,config_Holiday_Calendar_US)),IF(ISNUMBER(_xll.BDH(config!$G$4,W$1,$A870,$A870)),_xll.BDH(config!$G$4,W$1,$A870,$A870),_xll.BDH(config!$G$5,W$1,$A870,$A870))))</f>
        <v/>
      </c>
    </row>
    <row r="871" spans="1:23" x14ac:dyDescent="0.2">
      <c r="A871" s="9" t="str">
        <f>IF(A870="","",IF(WORKDAY(A870,-1,config_Holiday_Calendar_US)&lt;config!$I$10,"",WORKDAY(A870,-1,config_Holiday_Calendar_US)))</f>
        <v/>
      </c>
      <c r="B871" s="8" t="str">
        <f t="shared" si="13"/>
        <v/>
      </c>
      <c r="C871" s="8" t="str">
        <f>IF(A871="","",_xll.BDH(config!$H$4,C$1,$A871,$A871))</f>
        <v/>
      </c>
      <c r="D871" s="8" t="str">
        <f>IF($A871="","",_xll.BDH(config!$H$4,D$1,$A871,$A871))</f>
        <v/>
      </c>
      <c r="E871" s="8" t="str">
        <f>IF($A871="","",IF(ISNUMBER(FIND("IMPVOL",E$1)),_xll.BDH(config!$G$4,E$1,WORKDAY($A871,-1,config_Holiday_Calendar_US),WORKDAY($A871,-1,config_Holiday_Calendar_US)),IF(ISNUMBER(_xll.BDH(config!$G$4,E$1,$A871,$A871)),_xll.BDH(config!$G$4,E$1,$A871,$A871),_xll.BDH(config!$G$5,E$1,$A871,$A871))))</f>
        <v/>
      </c>
      <c r="F871" s="8" t="str">
        <f>IF($A871="","",IF(ISNUMBER(FIND("IMPVOL",F$1)),_xll.BDH(config!$G$4,F$1,WORKDAY($A871,-1,config_Holiday_Calendar_US),WORKDAY($A871,-1,config_Holiday_Calendar_US)),IF(ISNUMBER(_xll.BDH(config!$G$4,F$1,$A871,$A871)),_xll.BDH(config!$G$4,F$1,$A871,$A871),_xll.BDH(config!$G$5,F$1,$A871,$A871))))</f>
        <v/>
      </c>
      <c r="G871" s="8" t="str">
        <f>IF($A871="","",IF(ISNUMBER(FIND("IMPVOL",G$1)),_xll.BDH(config!$G$4,G$1,WORKDAY($A871,-1,config_Holiday_Calendar_US),WORKDAY($A871,-1,config_Holiday_Calendar_US)),IF(ISNUMBER(_xll.BDH(config!$G$4,G$1,$A871,$A871)),_xll.BDH(config!$G$4,G$1,$A871,$A871),_xll.BDH(config!$G$5,G$1,$A871,$A871))))</f>
        <v/>
      </c>
      <c r="H871" s="8" t="str">
        <f>IF($A871="","",IF(ISNUMBER(FIND("IMPVOL",H$1)),_xll.BDH(config!$G$4,H$1,WORKDAY($A871,-1,config_Holiday_Calendar_US),WORKDAY($A871,-1,config_Holiday_Calendar_US)),IF(ISNUMBER(_xll.BDH(config!$G$4,H$1,$A871,$A871)),_xll.BDH(config!$G$4,H$1,$A871,$A871),_xll.BDH(config!$G$5,H$1,$A871,$A871))))</f>
        <v/>
      </c>
      <c r="I871" s="8" t="str">
        <f>IF($A871="","",IF(ISNUMBER(FIND("IMPVOL",I$1)),_xll.BDH(config!$G$4,I$1,WORKDAY($A871,-1,config_Holiday_Calendar_US),WORKDAY($A871,-1,config_Holiday_Calendar_US)),IF(ISNUMBER(_xll.BDH(config!$G$4,I$1,$A871,$A871)),_xll.BDH(config!$G$4,I$1,$A871,$A871),_xll.BDH(config!$G$5,I$1,$A871,$A871))))</f>
        <v/>
      </c>
      <c r="J871" s="8" t="str">
        <f>IF($A871="","",IF(ISNUMBER(FIND("IMPVOL",J$1)),_xll.BDH(config!$G$4,J$1,WORKDAY($A871,-1,config_Holiday_Calendar_US),WORKDAY($A871,-1,config_Holiday_Calendar_US)),IF(ISNUMBER(_xll.BDH(config!$G$4,J$1,$A871,$A871)),_xll.BDH(config!$G$4,J$1,$A871,$A871),_xll.BDH(config!$G$5,J$1,$A871,$A871))))</f>
        <v/>
      </c>
      <c r="K871" s="8" t="str">
        <f>IF($A871="","",IF(ISNUMBER(FIND("IMPVOL",K$1)),_xll.BDH(config!$G$4,K$1,WORKDAY($A871,-1,config_Holiday_Calendar_US),WORKDAY($A871,-1,config_Holiday_Calendar_US)),IF(ISNUMBER(_xll.BDH(config!$G$4,K$1,$A871,$A871)),_xll.BDH(config!$G$4,K$1,$A871,$A871),_xll.BDH(config!$G$5,K$1,$A871,$A871))))</f>
        <v/>
      </c>
      <c r="L871" s="8" t="str">
        <f>IF($A871="","",IF(ISNUMBER(FIND("IMPVOL",L$1)),_xll.BDH(config!$G$4,L$1,WORKDAY($A871,-1,config_Holiday_Calendar_US),WORKDAY($A871,-1,config_Holiday_Calendar_US)),IF(ISNUMBER(_xll.BDH(config!$G$4,L$1,$A871,$A871)),_xll.BDH(config!$G$4,L$1,$A871,$A871),_xll.BDH(config!$G$5,L$1,$A871,$A871))))</f>
        <v/>
      </c>
      <c r="M871" s="8" t="str">
        <f>IF($A871="","",IF(ISNUMBER(FIND("IMPVOL",M$1)),_xll.BDH(config!$G$4,M$1,WORKDAY($A871,-1,config_Holiday_Calendar_US),WORKDAY($A871,-1,config_Holiday_Calendar_US)),IF(ISNUMBER(_xll.BDH(config!$G$4,M$1,$A871,$A871)),_xll.BDH(config!$G$4,M$1,$A871,$A871),_xll.BDH(config!$G$5,M$1,$A871,$A871))))</f>
        <v/>
      </c>
      <c r="N871" s="8" t="str">
        <f>IF($A871="","",IF(ISNUMBER(FIND("IMPVOL",N$1)),_xll.BDH(config!$G$4,N$1,WORKDAY($A871,-1,config_Holiday_Calendar_US),WORKDAY($A871,-1,config_Holiday_Calendar_US)),IF(ISNUMBER(_xll.BDH(config!$G$4,N$1,$A871,$A871)),_xll.BDH(config!$G$4,N$1,$A871,$A871),_xll.BDH(config!$G$5,N$1,$A871,$A871))))</f>
        <v/>
      </c>
      <c r="O871" s="8" t="str">
        <f>IF($A871="","",IF(ISNUMBER(FIND("IMPVOL",O$1)),_xll.BDH(config!$G$4,O$1,WORKDAY($A871,-1,config_Holiday_Calendar_US),WORKDAY($A871,-1,config_Holiday_Calendar_US)),IF(ISNUMBER(_xll.BDH(config!$G$4,O$1,$A871,$A871)),_xll.BDH(config!$G$4,O$1,$A871,$A871),_xll.BDH(config!$G$5,O$1,$A871,$A871))))</f>
        <v/>
      </c>
      <c r="P871" s="8" t="str">
        <f>IF($A871="","",IF(ISNUMBER(FIND("IMPVOL",P$1)),_xll.BDH(config!$G$4,P$1,WORKDAY($A871,-1,config_Holiday_Calendar_US),WORKDAY($A871,-1,config_Holiday_Calendar_US)),IF(ISNUMBER(_xll.BDH(config!$G$4,P$1,$A871,$A871)),_xll.BDH(config!$G$4,P$1,$A871,$A871),_xll.BDH(config!$G$5,P$1,$A871,$A871))))</f>
        <v/>
      </c>
      <c r="Q871" s="8" t="str">
        <f>IF($A871="","",IF(ISNUMBER(FIND("IMPVOL",Q$1)),_xll.BDH(config!$G$4,Q$1,WORKDAY($A871,-1,config_Holiday_Calendar_US),WORKDAY($A871,-1,config_Holiday_Calendar_US)),IF(ISNUMBER(_xll.BDH(config!$G$4,Q$1,$A871,$A871)),_xll.BDH(config!$G$4,Q$1,$A871,$A871),_xll.BDH(config!$G$5,Q$1,$A871,$A871))))</f>
        <v/>
      </c>
      <c r="R871" s="8" t="str">
        <f>IF($A871="","",IF(ISNUMBER(FIND("IMPVOL",R$1)),_xll.BDH(config!$G$4,R$1,WORKDAY($A871,-1,config_Holiday_Calendar_US),WORKDAY($A871,-1,config_Holiday_Calendar_US)),IF(ISNUMBER(_xll.BDH(config!$G$4,R$1,$A871,$A871)),_xll.BDH(config!$G$4,R$1,$A871,$A871),_xll.BDH(config!$G$5,R$1,$A871,$A871))))</f>
        <v/>
      </c>
      <c r="S871" s="8" t="str">
        <f>IF($A871="","",IF(ISNUMBER(FIND("IMPVOL",S$1)),_xll.BDH(config!$G$4,S$1,WORKDAY($A871,-1,config_Holiday_Calendar_US),WORKDAY($A871,-1,config_Holiday_Calendar_US)),IF(ISNUMBER(_xll.BDH(config!$G$4,S$1,$A871,$A871)),_xll.BDH(config!$G$4,S$1,$A871,$A871),_xll.BDH(config!$G$5,S$1,$A871,$A871))))</f>
        <v/>
      </c>
      <c r="T871" s="8" t="str">
        <f>IF($A871="","",IF(ISNUMBER(FIND("IMPVOL",T$1)),_xll.BDH(config!$G$4,T$1,WORKDAY($A871,-1,config_Holiday_Calendar_US),WORKDAY($A871,-1,config_Holiday_Calendar_US)),IF(ISNUMBER(_xll.BDH(config!$G$4,T$1,$A871,$A871)),_xll.BDH(config!$G$4,T$1,$A871,$A871),_xll.BDH(config!$G$5,T$1,$A871,$A871))))</f>
        <v/>
      </c>
      <c r="U871" s="8" t="str">
        <f>IF($A871="","",IF(ISNUMBER(FIND("IMPVOL",U$1)),_xll.BDH(config!$G$4,U$1,WORKDAY($A871,-1,config_Holiday_Calendar_US),WORKDAY($A871,-1,config_Holiday_Calendar_US)),IF(ISNUMBER(_xll.BDH(config!$G$4,U$1,$A871,$A871)),_xll.BDH(config!$G$4,U$1,$A871,$A871),_xll.BDH(config!$G$5,U$1,$A871,$A871))))</f>
        <v/>
      </c>
      <c r="V871" s="8" t="str">
        <f>IF($A871="","",IF(ISNUMBER(FIND("IMPVOL",V$1)),_xll.BDH(config!$G$4,V$1,WORKDAY($A871,-1,config_Holiday_Calendar_US),WORKDAY($A871,-1,config_Holiday_Calendar_US)),IF(ISNUMBER(_xll.BDH(config!$G$4,V$1,$A871,$A871)),_xll.BDH(config!$G$4,V$1,$A871,$A871),_xll.BDH(config!$G$5,V$1,$A871,$A871))))</f>
        <v/>
      </c>
      <c r="W871" s="8" t="str">
        <f>IF($A871="","",IF(ISNUMBER(FIND("IMPVOL",W$1)),_xll.BDH(config!$G$4,W$1,WORKDAY($A871,-1,config_Holiday_Calendar_US),WORKDAY($A871,-1,config_Holiday_Calendar_US)),IF(ISNUMBER(_xll.BDH(config!$G$4,W$1,$A871,$A871)),_xll.BDH(config!$G$4,W$1,$A871,$A871),_xll.BDH(config!$G$5,W$1,$A871,$A871))))</f>
        <v/>
      </c>
    </row>
    <row r="872" spans="1:23" x14ac:dyDescent="0.2">
      <c r="A872" s="9" t="str">
        <f>IF(A871="","",IF(WORKDAY(A871,-1,config_Holiday_Calendar_US)&lt;config!$I$10,"",WORKDAY(A871,-1,config_Holiday_Calendar_US)))</f>
        <v/>
      </c>
      <c r="B872" s="8" t="str">
        <f t="shared" si="13"/>
        <v/>
      </c>
      <c r="C872" s="8" t="str">
        <f>IF(A872="","",_xll.BDH(config!$H$4,C$1,$A872,$A872))</f>
        <v/>
      </c>
      <c r="D872" s="8" t="str">
        <f>IF($A872="","",_xll.BDH(config!$H$4,D$1,$A872,$A872))</f>
        <v/>
      </c>
      <c r="E872" s="8" t="str">
        <f>IF($A872="","",IF(ISNUMBER(FIND("IMPVOL",E$1)),_xll.BDH(config!$G$4,E$1,WORKDAY($A872,-1,config_Holiday_Calendar_US),WORKDAY($A872,-1,config_Holiday_Calendar_US)),IF(ISNUMBER(_xll.BDH(config!$G$4,E$1,$A872,$A872)),_xll.BDH(config!$G$4,E$1,$A872,$A872),_xll.BDH(config!$G$5,E$1,$A872,$A872))))</f>
        <v/>
      </c>
      <c r="F872" s="8" t="str">
        <f>IF($A872="","",IF(ISNUMBER(FIND("IMPVOL",F$1)),_xll.BDH(config!$G$4,F$1,WORKDAY($A872,-1,config_Holiday_Calendar_US),WORKDAY($A872,-1,config_Holiday_Calendar_US)),IF(ISNUMBER(_xll.BDH(config!$G$4,F$1,$A872,$A872)),_xll.BDH(config!$G$4,F$1,$A872,$A872),_xll.BDH(config!$G$5,F$1,$A872,$A872))))</f>
        <v/>
      </c>
      <c r="G872" s="8" t="str">
        <f>IF($A872="","",IF(ISNUMBER(FIND("IMPVOL",G$1)),_xll.BDH(config!$G$4,G$1,WORKDAY($A872,-1,config_Holiday_Calendar_US),WORKDAY($A872,-1,config_Holiday_Calendar_US)),IF(ISNUMBER(_xll.BDH(config!$G$4,G$1,$A872,$A872)),_xll.BDH(config!$G$4,G$1,$A872,$A872),_xll.BDH(config!$G$5,G$1,$A872,$A872))))</f>
        <v/>
      </c>
      <c r="H872" s="8" t="str">
        <f>IF($A872="","",IF(ISNUMBER(FIND("IMPVOL",H$1)),_xll.BDH(config!$G$4,H$1,WORKDAY($A872,-1,config_Holiday_Calendar_US),WORKDAY($A872,-1,config_Holiday_Calendar_US)),IF(ISNUMBER(_xll.BDH(config!$G$4,H$1,$A872,$A872)),_xll.BDH(config!$G$4,H$1,$A872,$A872),_xll.BDH(config!$G$5,H$1,$A872,$A872))))</f>
        <v/>
      </c>
      <c r="I872" s="8" t="str">
        <f>IF($A872="","",IF(ISNUMBER(FIND("IMPVOL",I$1)),_xll.BDH(config!$G$4,I$1,WORKDAY($A872,-1,config_Holiday_Calendar_US),WORKDAY($A872,-1,config_Holiday_Calendar_US)),IF(ISNUMBER(_xll.BDH(config!$G$4,I$1,$A872,$A872)),_xll.BDH(config!$G$4,I$1,$A872,$A872),_xll.BDH(config!$G$5,I$1,$A872,$A872))))</f>
        <v/>
      </c>
      <c r="J872" s="8" t="str">
        <f>IF($A872="","",IF(ISNUMBER(FIND("IMPVOL",J$1)),_xll.BDH(config!$G$4,J$1,WORKDAY($A872,-1,config_Holiday_Calendar_US),WORKDAY($A872,-1,config_Holiday_Calendar_US)),IF(ISNUMBER(_xll.BDH(config!$G$4,J$1,$A872,$A872)),_xll.BDH(config!$G$4,J$1,$A872,$A872),_xll.BDH(config!$G$5,J$1,$A872,$A872))))</f>
        <v/>
      </c>
      <c r="K872" s="8" t="str">
        <f>IF($A872="","",IF(ISNUMBER(FIND("IMPVOL",K$1)),_xll.BDH(config!$G$4,K$1,WORKDAY($A872,-1,config_Holiday_Calendar_US),WORKDAY($A872,-1,config_Holiday_Calendar_US)),IF(ISNUMBER(_xll.BDH(config!$G$4,K$1,$A872,$A872)),_xll.BDH(config!$G$4,K$1,$A872,$A872),_xll.BDH(config!$G$5,K$1,$A872,$A872))))</f>
        <v/>
      </c>
      <c r="L872" s="8" t="str">
        <f>IF($A872="","",IF(ISNUMBER(FIND("IMPVOL",L$1)),_xll.BDH(config!$G$4,L$1,WORKDAY($A872,-1,config_Holiday_Calendar_US),WORKDAY($A872,-1,config_Holiday_Calendar_US)),IF(ISNUMBER(_xll.BDH(config!$G$4,L$1,$A872,$A872)),_xll.BDH(config!$G$4,L$1,$A872,$A872),_xll.BDH(config!$G$5,L$1,$A872,$A872))))</f>
        <v/>
      </c>
      <c r="M872" s="8" t="str">
        <f>IF($A872="","",IF(ISNUMBER(FIND("IMPVOL",M$1)),_xll.BDH(config!$G$4,M$1,WORKDAY($A872,-1,config_Holiday_Calendar_US),WORKDAY($A872,-1,config_Holiday_Calendar_US)),IF(ISNUMBER(_xll.BDH(config!$G$4,M$1,$A872,$A872)),_xll.BDH(config!$G$4,M$1,$A872,$A872),_xll.BDH(config!$G$5,M$1,$A872,$A872))))</f>
        <v/>
      </c>
      <c r="N872" s="8" t="str">
        <f>IF($A872="","",IF(ISNUMBER(FIND("IMPVOL",N$1)),_xll.BDH(config!$G$4,N$1,WORKDAY($A872,-1,config_Holiday_Calendar_US),WORKDAY($A872,-1,config_Holiday_Calendar_US)),IF(ISNUMBER(_xll.BDH(config!$G$4,N$1,$A872,$A872)),_xll.BDH(config!$G$4,N$1,$A872,$A872),_xll.BDH(config!$G$5,N$1,$A872,$A872))))</f>
        <v/>
      </c>
      <c r="O872" s="8" t="str">
        <f>IF($A872="","",IF(ISNUMBER(FIND("IMPVOL",O$1)),_xll.BDH(config!$G$4,O$1,WORKDAY($A872,-1,config_Holiday_Calendar_US),WORKDAY($A872,-1,config_Holiday_Calendar_US)),IF(ISNUMBER(_xll.BDH(config!$G$4,O$1,$A872,$A872)),_xll.BDH(config!$G$4,O$1,$A872,$A872),_xll.BDH(config!$G$5,O$1,$A872,$A872))))</f>
        <v/>
      </c>
      <c r="P872" s="8" t="str">
        <f>IF($A872="","",IF(ISNUMBER(FIND("IMPVOL",P$1)),_xll.BDH(config!$G$4,P$1,WORKDAY($A872,-1,config_Holiday_Calendar_US),WORKDAY($A872,-1,config_Holiday_Calendar_US)),IF(ISNUMBER(_xll.BDH(config!$G$4,P$1,$A872,$A872)),_xll.BDH(config!$G$4,P$1,$A872,$A872),_xll.BDH(config!$G$5,P$1,$A872,$A872))))</f>
        <v/>
      </c>
      <c r="Q872" s="8" t="str">
        <f>IF($A872="","",IF(ISNUMBER(FIND("IMPVOL",Q$1)),_xll.BDH(config!$G$4,Q$1,WORKDAY($A872,-1,config_Holiday_Calendar_US),WORKDAY($A872,-1,config_Holiday_Calendar_US)),IF(ISNUMBER(_xll.BDH(config!$G$4,Q$1,$A872,$A872)),_xll.BDH(config!$G$4,Q$1,$A872,$A872),_xll.BDH(config!$G$5,Q$1,$A872,$A872))))</f>
        <v/>
      </c>
      <c r="R872" s="8" t="str">
        <f>IF($A872="","",IF(ISNUMBER(FIND("IMPVOL",R$1)),_xll.BDH(config!$G$4,R$1,WORKDAY($A872,-1,config_Holiday_Calendar_US),WORKDAY($A872,-1,config_Holiday_Calendar_US)),IF(ISNUMBER(_xll.BDH(config!$G$4,R$1,$A872,$A872)),_xll.BDH(config!$G$4,R$1,$A872,$A872),_xll.BDH(config!$G$5,R$1,$A872,$A872))))</f>
        <v/>
      </c>
      <c r="S872" s="8" t="str">
        <f>IF($A872="","",IF(ISNUMBER(FIND("IMPVOL",S$1)),_xll.BDH(config!$G$4,S$1,WORKDAY($A872,-1,config_Holiday_Calendar_US),WORKDAY($A872,-1,config_Holiday_Calendar_US)),IF(ISNUMBER(_xll.BDH(config!$G$4,S$1,$A872,$A872)),_xll.BDH(config!$G$4,S$1,$A872,$A872),_xll.BDH(config!$G$5,S$1,$A872,$A872))))</f>
        <v/>
      </c>
      <c r="T872" s="8" t="str">
        <f>IF($A872="","",IF(ISNUMBER(FIND("IMPVOL",T$1)),_xll.BDH(config!$G$4,T$1,WORKDAY($A872,-1,config_Holiday_Calendar_US),WORKDAY($A872,-1,config_Holiday_Calendar_US)),IF(ISNUMBER(_xll.BDH(config!$G$4,T$1,$A872,$A872)),_xll.BDH(config!$G$4,T$1,$A872,$A872),_xll.BDH(config!$G$5,T$1,$A872,$A872))))</f>
        <v/>
      </c>
      <c r="U872" s="8" t="str">
        <f>IF($A872="","",IF(ISNUMBER(FIND("IMPVOL",U$1)),_xll.BDH(config!$G$4,U$1,WORKDAY($A872,-1,config_Holiday_Calendar_US),WORKDAY($A872,-1,config_Holiday_Calendar_US)),IF(ISNUMBER(_xll.BDH(config!$G$4,U$1,$A872,$A872)),_xll.BDH(config!$G$4,U$1,$A872,$A872),_xll.BDH(config!$G$5,U$1,$A872,$A872))))</f>
        <v/>
      </c>
      <c r="V872" s="8" t="str">
        <f>IF($A872="","",IF(ISNUMBER(FIND("IMPVOL",V$1)),_xll.BDH(config!$G$4,V$1,WORKDAY($A872,-1,config_Holiday_Calendar_US),WORKDAY($A872,-1,config_Holiday_Calendar_US)),IF(ISNUMBER(_xll.BDH(config!$G$4,V$1,$A872,$A872)),_xll.BDH(config!$G$4,V$1,$A872,$A872),_xll.BDH(config!$G$5,V$1,$A872,$A872))))</f>
        <v/>
      </c>
      <c r="W872" s="8" t="str">
        <f>IF($A872="","",IF(ISNUMBER(FIND("IMPVOL",W$1)),_xll.BDH(config!$G$4,W$1,WORKDAY($A872,-1,config_Holiday_Calendar_US),WORKDAY($A872,-1,config_Holiday_Calendar_US)),IF(ISNUMBER(_xll.BDH(config!$G$4,W$1,$A872,$A872)),_xll.BDH(config!$G$4,W$1,$A872,$A872),_xll.BDH(config!$G$5,W$1,$A872,$A872))))</f>
        <v/>
      </c>
    </row>
    <row r="873" spans="1:23" x14ac:dyDescent="0.2">
      <c r="A873" s="9" t="str">
        <f>IF(A872="","",IF(WORKDAY(A872,-1,config_Holiday_Calendar_US)&lt;config!$I$10,"",WORKDAY(A872,-1,config_Holiday_Calendar_US)))</f>
        <v/>
      </c>
      <c r="B873" s="8" t="str">
        <f t="shared" si="13"/>
        <v/>
      </c>
      <c r="C873" s="8" t="str">
        <f>IF(A873="","",_xll.BDH(config!$H$4,C$1,$A873,$A873))</f>
        <v/>
      </c>
      <c r="D873" s="8" t="str">
        <f>IF($A873="","",_xll.BDH(config!$H$4,D$1,$A873,$A873))</f>
        <v/>
      </c>
      <c r="E873" s="8" t="str">
        <f>IF($A873="","",IF(ISNUMBER(FIND("IMPVOL",E$1)),_xll.BDH(config!$G$4,E$1,WORKDAY($A873,-1,config_Holiday_Calendar_US),WORKDAY($A873,-1,config_Holiday_Calendar_US)),IF(ISNUMBER(_xll.BDH(config!$G$4,E$1,$A873,$A873)),_xll.BDH(config!$G$4,E$1,$A873,$A873),_xll.BDH(config!$G$5,E$1,$A873,$A873))))</f>
        <v/>
      </c>
      <c r="F873" s="8" t="str">
        <f>IF($A873="","",IF(ISNUMBER(FIND("IMPVOL",F$1)),_xll.BDH(config!$G$4,F$1,WORKDAY($A873,-1,config_Holiday_Calendar_US),WORKDAY($A873,-1,config_Holiday_Calendar_US)),IF(ISNUMBER(_xll.BDH(config!$G$4,F$1,$A873,$A873)),_xll.BDH(config!$G$4,F$1,$A873,$A873),_xll.BDH(config!$G$5,F$1,$A873,$A873))))</f>
        <v/>
      </c>
      <c r="G873" s="8" t="str">
        <f>IF($A873="","",IF(ISNUMBER(FIND("IMPVOL",G$1)),_xll.BDH(config!$G$4,G$1,WORKDAY($A873,-1,config_Holiday_Calendar_US),WORKDAY($A873,-1,config_Holiday_Calendar_US)),IF(ISNUMBER(_xll.BDH(config!$G$4,G$1,$A873,$A873)),_xll.BDH(config!$G$4,G$1,$A873,$A873),_xll.BDH(config!$G$5,G$1,$A873,$A873))))</f>
        <v/>
      </c>
      <c r="H873" s="8" t="str">
        <f>IF($A873="","",IF(ISNUMBER(FIND("IMPVOL",H$1)),_xll.BDH(config!$G$4,H$1,WORKDAY($A873,-1,config_Holiday_Calendar_US),WORKDAY($A873,-1,config_Holiday_Calendar_US)),IF(ISNUMBER(_xll.BDH(config!$G$4,H$1,$A873,$A873)),_xll.BDH(config!$G$4,H$1,$A873,$A873),_xll.BDH(config!$G$5,H$1,$A873,$A873))))</f>
        <v/>
      </c>
      <c r="I873" s="8" t="str">
        <f>IF($A873="","",IF(ISNUMBER(FIND("IMPVOL",I$1)),_xll.BDH(config!$G$4,I$1,WORKDAY($A873,-1,config_Holiday_Calendar_US),WORKDAY($A873,-1,config_Holiday_Calendar_US)),IF(ISNUMBER(_xll.BDH(config!$G$4,I$1,$A873,$A873)),_xll.BDH(config!$G$4,I$1,$A873,$A873),_xll.BDH(config!$G$5,I$1,$A873,$A873))))</f>
        <v/>
      </c>
      <c r="J873" s="8" t="str">
        <f>IF($A873="","",IF(ISNUMBER(FIND("IMPVOL",J$1)),_xll.BDH(config!$G$4,J$1,WORKDAY($A873,-1,config_Holiday_Calendar_US),WORKDAY($A873,-1,config_Holiday_Calendar_US)),IF(ISNUMBER(_xll.BDH(config!$G$4,J$1,$A873,$A873)),_xll.BDH(config!$G$4,J$1,$A873,$A873),_xll.BDH(config!$G$5,J$1,$A873,$A873))))</f>
        <v/>
      </c>
      <c r="K873" s="8" t="str">
        <f>IF($A873="","",IF(ISNUMBER(FIND("IMPVOL",K$1)),_xll.BDH(config!$G$4,K$1,WORKDAY($A873,-1,config_Holiday_Calendar_US),WORKDAY($A873,-1,config_Holiday_Calendar_US)),IF(ISNUMBER(_xll.BDH(config!$G$4,K$1,$A873,$A873)),_xll.BDH(config!$G$4,K$1,$A873,$A873),_xll.BDH(config!$G$5,K$1,$A873,$A873))))</f>
        <v/>
      </c>
      <c r="L873" s="8" t="str">
        <f>IF($A873="","",IF(ISNUMBER(FIND("IMPVOL",L$1)),_xll.BDH(config!$G$4,L$1,WORKDAY($A873,-1,config_Holiday_Calendar_US),WORKDAY($A873,-1,config_Holiday_Calendar_US)),IF(ISNUMBER(_xll.BDH(config!$G$4,L$1,$A873,$A873)),_xll.BDH(config!$G$4,L$1,$A873,$A873),_xll.BDH(config!$G$5,L$1,$A873,$A873))))</f>
        <v/>
      </c>
      <c r="M873" s="8" t="str">
        <f>IF($A873="","",IF(ISNUMBER(FIND("IMPVOL",M$1)),_xll.BDH(config!$G$4,M$1,WORKDAY($A873,-1,config_Holiday_Calendar_US),WORKDAY($A873,-1,config_Holiday_Calendar_US)),IF(ISNUMBER(_xll.BDH(config!$G$4,M$1,$A873,$A873)),_xll.BDH(config!$G$4,M$1,$A873,$A873),_xll.BDH(config!$G$5,M$1,$A873,$A873))))</f>
        <v/>
      </c>
      <c r="N873" s="8" t="str">
        <f>IF($A873="","",IF(ISNUMBER(FIND("IMPVOL",N$1)),_xll.BDH(config!$G$4,N$1,WORKDAY($A873,-1,config_Holiday_Calendar_US),WORKDAY($A873,-1,config_Holiday_Calendar_US)),IF(ISNUMBER(_xll.BDH(config!$G$4,N$1,$A873,$A873)),_xll.BDH(config!$G$4,N$1,$A873,$A873),_xll.BDH(config!$G$5,N$1,$A873,$A873))))</f>
        <v/>
      </c>
      <c r="O873" s="8" t="str">
        <f>IF($A873="","",IF(ISNUMBER(FIND("IMPVOL",O$1)),_xll.BDH(config!$G$4,O$1,WORKDAY($A873,-1,config_Holiday_Calendar_US),WORKDAY($A873,-1,config_Holiday_Calendar_US)),IF(ISNUMBER(_xll.BDH(config!$G$4,O$1,$A873,$A873)),_xll.BDH(config!$G$4,O$1,$A873,$A873),_xll.BDH(config!$G$5,O$1,$A873,$A873))))</f>
        <v/>
      </c>
      <c r="P873" s="8" t="str">
        <f>IF($A873="","",IF(ISNUMBER(FIND("IMPVOL",P$1)),_xll.BDH(config!$G$4,P$1,WORKDAY($A873,-1,config_Holiday_Calendar_US),WORKDAY($A873,-1,config_Holiday_Calendar_US)),IF(ISNUMBER(_xll.BDH(config!$G$4,P$1,$A873,$A873)),_xll.BDH(config!$G$4,P$1,$A873,$A873),_xll.BDH(config!$G$5,P$1,$A873,$A873))))</f>
        <v/>
      </c>
      <c r="Q873" s="8" t="str">
        <f>IF($A873="","",IF(ISNUMBER(FIND("IMPVOL",Q$1)),_xll.BDH(config!$G$4,Q$1,WORKDAY($A873,-1,config_Holiday_Calendar_US),WORKDAY($A873,-1,config_Holiday_Calendar_US)),IF(ISNUMBER(_xll.BDH(config!$G$4,Q$1,$A873,$A873)),_xll.BDH(config!$G$4,Q$1,$A873,$A873),_xll.BDH(config!$G$5,Q$1,$A873,$A873))))</f>
        <v/>
      </c>
      <c r="R873" s="8" t="str">
        <f>IF($A873="","",IF(ISNUMBER(FIND("IMPVOL",R$1)),_xll.BDH(config!$G$4,R$1,WORKDAY($A873,-1,config_Holiday_Calendar_US),WORKDAY($A873,-1,config_Holiday_Calendar_US)),IF(ISNUMBER(_xll.BDH(config!$G$4,R$1,$A873,$A873)),_xll.BDH(config!$G$4,R$1,$A873,$A873),_xll.BDH(config!$G$5,R$1,$A873,$A873))))</f>
        <v/>
      </c>
      <c r="S873" s="8" t="str">
        <f>IF($A873="","",IF(ISNUMBER(FIND("IMPVOL",S$1)),_xll.BDH(config!$G$4,S$1,WORKDAY($A873,-1,config_Holiday_Calendar_US),WORKDAY($A873,-1,config_Holiday_Calendar_US)),IF(ISNUMBER(_xll.BDH(config!$G$4,S$1,$A873,$A873)),_xll.BDH(config!$G$4,S$1,$A873,$A873),_xll.BDH(config!$G$5,S$1,$A873,$A873))))</f>
        <v/>
      </c>
      <c r="T873" s="8" t="str">
        <f>IF($A873="","",IF(ISNUMBER(FIND("IMPVOL",T$1)),_xll.BDH(config!$G$4,T$1,WORKDAY($A873,-1,config_Holiday_Calendar_US),WORKDAY($A873,-1,config_Holiday_Calendar_US)),IF(ISNUMBER(_xll.BDH(config!$G$4,T$1,$A873,$A873)),_xll.BDH(config!$G$4,T$1,$A873,$A873),_xll.BDH(config!$G$5,T$1,$A873,$A873))))</f>
        <v/>
      </c>
      <c r="U873" s="8" t="str">
        <f>IF($A873="","",IF(ISNUMBER(FIND("IMPVOL",U$1)),_xll.BDH(config!$G$4,U$1,WORKDAY($A873,-1,config_Holiday_Calendar_US),WORKDAY($A873,-1,config_Holiday_Calendar_US)),IF(ISNUMBER(_xll.BDH(config!$G$4,U$1,$A873,$A873)),_xll.BDH(config!$G$4,U$1,$A873,$A873),_xll.BDH(config!$G$5,U$1,$A873,$A873))))</f>
        <v/>
      </c>
      <c r="V873" s="8" t="str">
        <f>IF($A873="","",IF(ISNUMBER(FIND("IMPVOL",V$1)),_xll.BDH(config!$G$4,V$1,WORKDAY($A873,-1,config_Holiday_Calendar_US),WORKDAY($A873,-1,config_Holiday_Calendar_US)),IF(ISNUMBER(_xll.BDH(config!$G$4,V$1,$A873,$A873)),_xll.BDH(config!$G$4,V$1,$A873,$A873),_xll.BDH(config!$G$5,V$1,$A873,$A873))))</f>
        <v/>
      </c>
      <c r="W873" s="8" t="str">
        <f>IF($A873="","",IF(ISNUMBER(FIND("IMPVOL",W$1)),_xll.BDH(config!$G$4,W$1,WORKDAY($A873,-1,config_Holiday_Calendar_US),WORKDAY($A873,-1,config_Holiday_Calendar_US)),IF(ISNUMBER(_xll.BDH(config!$G$4,W$1,$A873,$A873)),_xll.BDH(config!$G$4,W$1,$A873,$A873),_xll.BDH(config!$G$5,W$1,$A873,$A873))))</f>
        <v/>
      </c>
    </row>
    <row r="874" spans="1:23" x14ac:dyDescent="0.2">
      <c r="A874" s="9" t="str">
        <f>IF(A873="","",IF(WORKDAY(A873,-1,config_Holiday_Calendar_US)&lt;config!$I$10,"",WORKDAY(A873,-1,config_Holiday_Calendar_US)))</f>
        <v/>
      </c>
      <c r="B874" s="8" t="str">
        <f t="shared" si="13"/>
        <v/>
      </c>
      <c r="C874" s="8" t="str">
        <f>IF(A874="","",_xll.BDH(config!$H$4,C$1,$A874,$A874))</f>
        <v/>
      </c>
      <c r="D874" s="8" t="str">
        <f>IF($A874="","",_xll.BDH(config!$H$4,D$1,$A874,$A874))</f>
        <v/>
      </c>
      <c r="E874" s="8" t="str">
        <f>IF($A874="","",IF(ISNUMBER(FIND("IMPVOL",E$1)),_xll.BDH(config!$G$4,E$1,WORKDAY($A874,-1,config_Holiday_Calendar_US),WORKDAY($A874,-1,config_Holiday_Calendar_US)),IF(ISNUMBER(_xll.BDH(config!$G$4,E$1,$A874,$A874)),_xll.BDH(config!$G$4,E$1,$A874,$A874),_xll.BDH(config!$G$5,E$1,$A874,$A874))))</f>
        <v/>
      </c>
      <c r="F874" s="8" t="str">
        <f>IF($A874="","",IF(ISNUMBER(FIND("IMPVOL",F$1)),_xll.BDH(config!$G$4,F$1,WORKDAY($A874,-1,config_Holiday_Calendar_US),WORKDAY($A874,-1,config_Holiday_Calendar_US)),IF(ISNUMBER(_xll.BDH(config!$G$4,F$1,$A874,$A874)),_xll.BDH(config!$G$4,F$1,$A874,$A874),_xll.BDH(config!$G$5,F$1,$A874,$A874))))</f>
        <v/>
      </c>
      <c r="G874" s="8" t="str">
        <f>IF($A874="","",IF(ISNUMBER(FIND("IMPVOL",G$1)),_xll.BDH(config!$G$4,G$1,WORKDAY($A874,-1,config_Holiday_Calendar_US),WORKDAY($A874,-1,config_Holiday_Calendar_US)),IF(ISNUMBER(_xll.BDH(config!$G$4,G$1,$A874,$A874)),_xll.BDH(config!$G$4,G$1,$A874,$A874),_xll.BDH(config!$G$5,G$1,$A874,$A874))))</f>
        <v/>
      </c>
      <c r="H874" s="8" t="str">
        <f>IF($A874="","",IF(ISNUMBER(FIND("IMPVOL",H$1)),_xll.BDH(config!$G$4,H$1,WORKDAY($A874,-1,config_Holiday_Calendar_US),WORKDAY($A874,-1,config_Holiday_Calendar_US)),IF(ISNUMBER(_xll.BDH(config!$G$4,H$1,$A874,$A874)),_xll.BDH(config!$G$4,H$1,$A874,$A874),_xll.BDH(config!$G$5,H$1,$A874,$A874))))</f>
        <v/>
      </c>
      <c r="I874" s="8" t="str">
        <f>IF($A874="","",IF(ISNUMBER(FIND("IMPVOL",I$1)),_xll.BDH(config!$G$4,I$1,WORKDAY($A874,-1,config_Holiday_Calendar_US),WORKDAY($A874,-1,config_Holiday_Calendar_US)),IF(ISNUMBER(_xll.BDH(config!$G$4,I$1,$A874,$A874)),_xll.BDH(config!$G$4,I$1,$A874,$A874),_xll.BDH(config!$G$5,I$1,$A874,$A874))))</f>
        <v/>
      </c>
      <c r="J874" s="8" t="str">
        <f>IF($A874="","",IF(ISNUMBER(FIND("IMPVOL",J$1)),_xll.BDH(config!$G$4,J$1,WORKDAY($A874,-1,config_Holiday_Calendar_US),WORKDAY($A874,-1,config_Holiday_Calendar_US)),IF(ISNUMBER(_xll.BDH(config!$G$4,J$1,$A874,$A874)),_xll.BDH(config!$G$4,J$1,$A874,$A874),_xll.BDH(config!$G$5,J$1,$A874,$A874))))</f>
        <v/>
      </c>
      <c r="K874" s="8" t="str">
        <f>IF($A874="","",IF(ISNUMBER(FIND("IMPVOL",K$1)),_xll.BDH(config!$G$4,K$1,WORKDAY($A874,-1,config_Holiday_Calendar_US),WORKDAY($A874,-1,config_Holiday_Calendar_US)),IF(ISNUMBER(_xll.BDH(config!$G$4,K$1,$A874,$A874)),_xll.BDH(config!$G$4,K$1,$A874,$A874),_xll.BDH(config!$G$5,K$1,$A874,$A874))))</f>
        <v/>
      </c>
      <c r="L874" s="8" t="str">
        <f>IF($A874="","",IF(ISNUMBER(FIND("IMPVOL",L$1)),_xll.BDH(config!$G$4,L$1,WORKDAY($A874,-1,config_Holiday_Calendar_US),WORKDAY($A874,-1,config_Holiday_Calendar_US)),IF(ISNUMBER(_xll.BDH(config!$G$4,L$1,$A874,$A874)),_xll.BDH(config!$G$4,L$1,$A874,$A874),_xll.BDH(config!$G$5,L$1,$A874,$A874))))</f>
        <v/>
      </c>
      <c r="M874" s="8" t="str">
        <f>IF($A874="","",IF(ISNUMBER(FIND("IMPVOL",M$1)),_xll.BDH(config!$G$4,M$1,WORKDAY($A874,-1,config_Holiday_Calendar_US),WORKDAY($A874,-1,config_Holiday_Calendar_US)),IF(ISNUMBER(_xll.BDH(config!$G$4,M$1,$A874,$A874)),_xll.BDH(config!$G$4,M$1,$A874,$A874),_xll.BDH(config!$G$5,M$1,$A874,$A874))))</f>
        <v/>
      </c>
      <c r="N874" s="8" t="str">
        <f>IF($A874="","",IF(ISNUMBER(FIND("IMPVOL",N$1)),_xll.BDH(config!$G$4,N$1,WORKDAY($A874,-1,config_Holiday_Calendar_US),WORKDAY($A874,-1,config_Holiday_Calendar_US)),IF(ISNUMBER(_xll.BDH(config!$G$4,N$1,$A874,$A874)),_xll.BDH(config!$G$4,N$1,$A874,$A874),_xll.BDH(config!$G$5,N$1,$A874,$A874))))</f>
        <v/>
      </c>
      <c r="O874" s="8" t="str">
        <f>IF($A874="","",IF(ISNUMBER(FIND("IMPVOL",O$1)),_xll.BDH(config!$G$4,O$1,WORKDAY($A874,-1,config_Holiday_Calendar_US),WORKDAY($A874,-1,config_Holiday_Calendar_US)),IF(ISNUMBER(_xll.BDH(config!$G$4,O$1,$A874,$A874)),_xll.BDH(config!$G$4,O$1,$A874,$A874),_xll.BDH(config!$G$5,O$1,$A874,$A874))))</f>
        <v/>
      </c>
      <c r="P874" s="8" t="str">
        <f>IF($A874="","",IF(ISNUMBER(FIND("IMPVOL",P$1)),_xll.BDH(config!$G$4,P$1,WORKDAY($A874,-1,config_Holiday_Calendar_US),WORKDAY($A874,-1,config_Holiday_Calendar_US)),IF(ISNUMBER(_xll.BDH(config!$G$4,P$1,$A874,$A874)),_xll.BDH(config!$G$4,P$1,$A874,$A874),_xll.BDH(config!$G$5,P$1,$A874,$A874))))</f>
        <v/>
      </c>
      <c r="Q874" s="8" t="str">
        <f>IF($A874="","",IF(ISNUMBER(FIND("IMPVOL",Q$1)),_xll.BDH(config!$G$4,Q$1,WORKDAY($A874,-1,config_Holiday_Calendar_US),WORKDAY($A874,-1,config_Holiday_Calendar_US)),IF(ISNUMBER(_xll.BDH(config!$G$4,Q$1,$A874,$A874)),_xll.BDH(config!$G$4,Q$1,$A874,$A874),_xll.BDH(config!$G$5,Q$1,$A874,$A874))))</f>
        <v/>
      </c>
      <c r="R874" s="8" t="str">
        <f>IF($A874="","",IF(ISNUMBER(FIND("IMPVOL",R$1)),_xll.BDH(config!$G$4,R$1,WORKDAY($A874,-1,config_Holiday_Calendar_US),WORKDAY($A874,-1,config_Holiday_Calendar_US)),IF(ISNUMBER(_xll.BDH(config!$G$4,R$1,$A874,$A874)),_xll.BDH(config!$G$4,R$1,$A874,$A874),_xll.BDH(config!$G$5,R$1,$A874,$A874))))</f>
        <v/>
      </c>
      <c r="S874" s="8" t="str">
        <f>IF($A874="","",IF(ISNUMBER(FIND("IMPVOL",S$1)),_xll.BDH(config!$G$4,S$1,WORKDAY($A874,-1,config_Holiday_Calendar_US),WORKDAY($A874,-1,config_Holiday_Calendar_US)),IF(ISNUMBER(_xll.BDH(config!$G$4,S$1,$A874,$A874)),_xll.BDH(config!$G$4,S$1,$A874,$A874),_xll.BDH(config!$G$5,S$1,$A874,$A874))))</f>
        <v/>
      </c>
      <c r="T874" s="8" t="str">
        <f>IF($A874="","",IF(ISNUMBER(FIND("IMPVOL",T$1)),_xll.BDH(config!$G$4,T$1,WORKDAY($A874,-1,config_Holiday_Calendar_US),WORKDAY($A874,-1,config_Holiday_Calendar_US)),IF(ISNUMBER(_xll.BDH(config!$G$4,T$1,$A874,$A874)),_xll.BDH(config!$G$4,T$1,$A874,$A874),_xll.BDH(config!$G$5,T$1,$A874,$A874))))</f>
        <v/>
      </c>
      <c r="U874" s="8" t="str">
        <f>IF($A874="","",IF(ISNUMBER(FIND("IMPVOL",U$1)),_xll.BDH(config!$G$4,U$1,WORKDAY($A874,-1,config_Holiday_Calendar_US),WORKDAY($A874,-1,config_Holiday_Calendar_US)),IF(ISNUMBER(_xll.BDH(config!$G$4,U$1,$A874,$A874)),_xll.BDH(config!$G$4,U$1,$A874,$A874),_xll.BDH(config!$G$5,U$1,$A874,$A874))))</f>
        <v/>
      </c>
      <c r="V874" s="8" t="str">
        <f>IF($A874="","",IF(ISNUMBER(FIND("IMPVOL",V$1)),_xll.BDH(config!$G$4,V$1,WORKDAY($A874,-1,config_Holiday_Calendar_US),WORKDAY($A874,-1,config_Holiday_Calendar_US)),IF(ISNUMBER(_xll.BDH(config!$G$4,V$1,$A874,$A874)),_xll.BDH(config!$G$4,V$1,$A874,$A874),_xll.BDH(config!$G$5,V$1,$A874,$A874))))</f>
        <v/>
      </c>
      <c r="W874" s="8" t="str">
        <f>IF($A874="","",IF(ISNUMBER(FIND("IMPVOL",W$1)),_xll.BDH(config!$G$4,W$1,WORKDAY($A874,-1,config_Holiday_Calendar_US),WORKDAY($A874,-1,config_Holiday_Calendar_US)),IF(ISNUMBER(_xll.BDH(config!$G$4,W$1,$A874,$A874)),_xll.BDH(config!$G$4,W$1,$A874,$A874),_xll.BDH(config!$G$5,W$1,$A874,$A874))))</f>
        <v/>
      </c>
    </row>
    <row r="875" spans="1:23" x14ac:dyDescent="0.2">
      <c r="A875" s="9" t="str">
        <f>IF(A874="","",IF(WORKDAY(A874,-1,config_Holiday_Calendar_US)&lt;config!$I$10,"",WORKDAY(A874,-1,config_Holiday_Calendar_US)))</f>
        <v/>
      </c>
      <c r="B875" s="8" t="str">
        <f t="shared" si="13"/>
        <v/>
      </c>
      <c r="C875" s="8" t="str">
        <f>IF(A875="","",_xll.BDH(config!$H$4,C$1,$A875,$A875))</f>
        <v/>
      </c>
      <c r="D875" s="8" t="str">
        <f>IF($A875="","",_xll.BDH(config!$H$4,D$1,$A875,$A875))</f>
        <v/>
      </c>
      <c r="E875" s="8" t="str">
        <f>IF($A875="","",IF(ISNUMBER(FIND("IMPVOL",E$1)),_xll.BDH(config!$G$4,E$1,WORKDAY($A875,-1,config_Holiday_Calendar_US),WORKDAY($A875,-1,config_Holiday_Calendar_US)),IF(ISNUMBER(_xll.BDH(config!$G$4,E$1,$A875,$A875)),_xll.BDH(config!$G$4,E$1,$A875,$A875),_xll.BDH(config!$G$5,E$1,$A875,$A875))))</f>
        <v/>
      </c>
      <c r="F875" s="8" t="str">
        <f>IF($A875="","",IF(ISNUMBER(FIND("IMPVOL",F$1)),_xll.BDH(config!$G$4,F$1,WORKDAY($A875,-1,config_Holiday_Calendar_US),WORKDAY($A875,-1,config_Holiday_Calendar_US)),IF(ISNUMBER(_xll.BDH(config!$G$4,F$1,$A875,$A875)),_xll.BDH(config!$G$4,F$1,$A875,$A875),_xll.BDH(config!$G$5,F$1,$A875,$A875))))</f>
        <v/>
      </c>
      <c r="G875" s="8" t="str">
        <f>IF($A875="","",IF(ISNUMBER(FIND("IMPVOL",G$1)),_xll.BDH(config!$G$4,G$1,WORKDAY($A875,-1,config_Holiday_Calendar_US),WORKDAY($A875,-1,config_Holiday_Calendar_US)),IF(ISNUMBER(_xll.BDH(config!$G$4,G$1,$A875,$A875)),_xll.BDH(config!$G$4,G$1,$A875,$A875),_xll.BDH(config!$G$5,G$1,$A875,$A875))))</f>
        <v/>
      </c>
      <c r="H875" s="8" t="str">
        <f>IF($A875="","",IF(ISNUMBER(FIND("IMPVOL",H$1)),_xll.BDH(config!$G$4,H$1,WORKDAY($A875,-1,config_Holiday_Calendar_US),WORKDAY($A875,-1,config_Holiday_Calendar_US)),IF(ISNUMBER(_xll.BDH(config!$G$4,H$1,$A875,$A875)),_xll.BDH(config!$G$4,H$1,$A875,$A875),_xll.BDH(config!$G$5,H$1,$A875,$A875))))</f>
        <v/>
      </c>
      <c r="I875" s="8" t="str">
        <f>IF($A875="","",IF(ISNUMBER(FIND("IMPVOL",I$1)),_xll.BDH(config!$G$4,I$1,WORKDAY($A875,-1,config_Holiday_Calendar_US),WORKDAY($A875,-1,config_Holiday_Calendar_US)),IF(ISNUMBER(_xll.BDH(config!$G$4,I$1,$A875,$A875)),_xll.BDH(config!$G$4,I$1,$A875,$A875),_xll.BDH(config!$G$5,I$1,$A875,$A875))))</f>
        <v/>
      </c>
      <c r="J875" s="8" t="str">
        <f>IF($A875="","",IF(ISNUMBER(FIND("IMPVOL",J$1)),_xll.BDH(config!$G$4,J$1,WORKDAY($A875,-1,config_Holiday_Calendar_US),WORKDAY($A875,-1,config_Holiday_Calendar_US)),IF(ISNUMBER(_xll.BDH(config!$G$4,J$1,$A875,$A875)),_xll.BDH(config!$G$4,J$1,$A875,$A875),_xll.BDH(config!$G$5,J$1,$A875,$A875))))</f>
        <v/>
      </c>
      <c r="K875" s="8" t="str">
        <f>IF($A875="","",IF(ISNUMBER(FIND("IMPVOL",K$1)),_xll.BDH(config!$G$4,K$1,WORKDAY($A875,-1,config_Holiday_Calendar_US),WORKDAY($A875,-1,config_Holiday_Calendar_US)),IF(ISNUMBER(_xll.BDH(config!$G$4,K$1,$A875,$A875)),_xll.BDH(config!$G$4,K$1,$A875,$A875),_xll.BDH(config!$G$5,K$1,$A875,$A875))))</f>
        <v/>
      </c>
      <c r="L875" s="8" t="str">
        <f>IF($A875="","",IF(ISNUMBER(FIND("IMPVOL",L$1)),_xll.BDH(config!$G$4,L$1,WORKDAY($A875,-1,config_Holiday_Calendar_US),WORKDAY($A875,-1,config_Holiday_Calendar_US)),IF(ISNUMBER(_xll.BDH(config!$G$4,L$1,$A875,$A875)),_xll.BDH(config!$G$4,L$1,$A875,$A875),_xll.BDH(config!$G$5,L$1,$A875,$A875))))</f>
        <v/>
      </c>
      <c r="M875" s="8" t="str">
        <f>IF($A875="","",IF(ISNUMBER(FIND("IMPVOL",M$1)),_xll.BDH(config!$G$4,M$1,WORKDAY($A875,-1,config_Holiday_Calendar_US),WORKDAY($A875,-1,config_Holiday_Calendar_US)),IF(ISNUMBER(_xll.BDH(config!$G$4,M$1,$A875,$A875)),_xll.BDH(config!$G$4,M$1,$A875,$A875),_xll.BDH(config!$G$5,M$1,$A875,$A875))))</f>
        <v/>
      </c>
      <c r="N875" s="8" t="str">
        <f>IF($A875="","",IF(ISNUMBER(FIND("IMPVOL",N$1)),_xll.BDH(config!$G$4,N$1,WORKDAY($A875,-1,config_Holiday_Calendar_US),WORKDAY($A875,-1,config_Holiday_Calendar_US)),IF(ISNUMBER(_xll.BDH(config!$G$4,N$1,$A875,$A875)),_xll.BDH(config!$G$4,N$1,$A875,$A875),_xll.BDH(config!$G$5,N$1,$A875,$A875))))</f>
        <v/>
      </c>
      <c r="O875" s="8" t="str">
        <f>IF($A875="","",IF(ISNUMBER(FIND("IMPVOL",O$1)),_xll.BDH(config!$G$4,O$1,WORKDAY($A875,-1,config_Holiday_Calendar_US),WORKDAY($A875,-1,config_Holiday_Calendar_US)),IF(ISNUMBER(_xll.BDH(config!$G$4,O$1,$A875,$A875)),_xll.BDH(config!$G$4,O$1,$A875,$A875),_xll.BDH(config!$G$5,O$1,$A875,$A875))))</f>
        <v/>
      </c>
      <c r="P875" s="8" t="str">
        <f>IF($A875="","",IF(ISNUMBER(FIND("IMPVOL",P$1)),_xll.BDH(config!$G$4,P$1,WORKDAY($A875,-1,config_Holiday_Calendar_US),WORKDAY($A875,-1,config_Holiday_Calendar_US)),IF(ISNUMBER(_xll.BDH(config!$G$4,P$1,$A875,$A875)),_xll.BDH(config!$G$4,P$1,$A875,$A875),_xll.BDH(config!$G$5,P$1,$A875,$A875))))</f>
        <v/>
      </c>
      <c r="Q875" s="8" t="str">
        <f>IF($A875="","",IF(ISNUMBER(FIND("IMPVOL",Q$1)),_xll.BDH(config!$G$4,Q$1,WORKDAY($A875,-1,config_Holiday_Calendar_US),WORKDAY($A875,-1,config_Holiday_Calendar_US)),IF(ISNUMBER(_xll.BDH(config!$G$4,Q$1,$A875,$A875)),_xll.BDH(config!$G$4,Q$1,$A875,$A875),_xll.BDH(config!$G$5,Q$1,$A875,$A875))))</f>
        <v/>
      </c>
      <c r="R875" s="8" t="str">
        <f>IF($A875="","",IF(ISNUMBER(FIND("IMPVOL",R$1)),_xll.BDH(config!$G$4,R$1,WORKDAY($A875,-1,config_Holiday_Calendar_US),WORKDAY($A875,-1,config_Holiday_Calendar_US)),IF(ISNUMBER(_xll.BDH(config!$G$4,R$1,$A875,$A875)),_xll.BDH(config!$G$4,R$1,$A875,$A875),_xll.BDH(config!$G$5,R$1,$A875,$A875))))</f>
        <v/>
      </c>
      <c r="S875" s="8" t="str">
        <f>IF($A875="","",IF(ISNUMBER(FIND("IMPVOL",S$1)),_xll.BDH(config!$G$4,S$1,WORKDAY($A875,-1,config_Holiday_Calendar_US),WORKDAY($A875,-1,config_Holiday_Calendar_US)),IF(ISNUMBER(_xll.BDH(config!$G$4,S$1,$A875,$A875)),_xll.BDH(config!$G$4,S$1,$A875,$A875),_xll.BDH(config!$G$5,S$1,$A875,$A875))))</f>
        <v/>
      </c>
      <c r="T875" s="8" t="str">
        <f>IF($A875="","",IF(ISNUMBER(FIND("IMPVOL",T$1)),_xll.BDH(config!$G$4,T$1,WORKDAY($A875,-1,config_Holiday_Calendar_US),WORKDAY($A875,-1,config_Holiday_Calendar_US)),IF(ISNUMBER(_xll.BDH(config!$G$4,T$1,$A875,$A875)),_xll.BDH(config!$G$4,T$1,$A875,$A875),_xll.BDH(config!$G$5,T$1,$A875,$A875))))</f>
        <v/>
      </c>
      <c r="U875" s="8" t="str">
        <f>IF($A875="","",IF(ISNUMBER(FIND("IMPVOL",U$1)),_xll.BDH(config!$G$4,U$1,WORKDAY($A875,-1,config_Holiday_Calendar_US),WORKDAY($A875,-1,config_Holiday_Calendar_US)),IF(ISNUMBER(_xll.BDH(config!$G$4,U$1,$A875,$A875)),_xll.BDH(config!$G$4,U$1,$A875,$A875),_xll.BDH(config!$G$5,U$1,$A875,$A875))))</f>
        <v/>
      </c>
      <c r="V875" s="8" t="str">
        <f>IF($A875="","",IF(ISNUMBER(FIND("IMPVOL",V$1)),_xll.BDH(config!$G$4,V$1,WORKDAY($A875,-1,config_Holiday_Calendar_US),WORKDAY($A875,-1,config_Holiday_Calendar_US)),IF(ISNUMBER(_xll.BDH(config!$G$4,V$1,$A875,$A875)),_xll.BDH(config!$G$4,V$1,$A875,$A875),_xll.BDH(config!$G$5,V$1,$A875,$A875))))</f>
        <v/>
      </c>
      <c r="W875" s="8" t="str">
        <f>IF($A875="","",IF(ISNUMBER(FIND("IMPVOL",W$1)),_xll.BDH(config!$G$4,W$1,WORKDAY($A875,-1,config_Holiday_Calendar_US),WORKDAY($A875,-1,config_Holiday_Calendar_US)),IF(ISNUMBER(_xll.BDH(config!$G$4,W$1,$A875,$A875)),_xll.BDH(config!$G$4,W$1,$A875,$A875),_xll.BDH(config!$G$5,W$1,$A875,$A875))))</f>
        <v/>
      </c>
    </row>
    <row r="876" spans="1:23" x14ac:dyDescent="0.2">
      <c r="A876" s="9" t="str">
        <f>IF(A875="","",IF(WORKDAY(A875,-1,config_Holiday_Calendar_US)&lt;config!$I$10,"",WORKDAY(A875,-1,config_Holiday_Calendar_US)))</f>
        <v/>
      </c>
      <c r="B876" s="8" t="str">
        <f t="shared" si="13"/>
        <v/>
      </c>
      <c r="C876" s="8" t="str">
        <f>IF(A876="","",_xll.BDH(config!$H$4,C$1,$A876,$A876))</f>
        <v/>
      </c>
      <c r="D876" s="8" t="str">
        <f>IF($A876="","",_xll.BDH(config!$H$4,D$1,$A876,$A876))</f>
        <v/>
      </c>
      <c r="E876" s="8" t="str">
        <f>IF($A876="","",IF(ISNUMBER(FIND("IMPVOL",E$1)),_xll.BDH(config!$G$4,E$1,WORKDAY($A876,-1,config_Holiday_Calendar_US),WORKDAY($A876,-1,config_Holiday_Calendar_US)),IF(ISNUMBER(_xll.BDH(config!$G$4,E$1,$A876,$A876)),_xll.BDH(config!$G$4,E$1,$A876,$A876),_xll.BDH(config!$G$5,E$1,$A876,$A876))))</f>
        <v/>
      </c>
      <c r="F876" s="8" t="str">
        <f>IF($A876="","",IF(ISNUMBER(FIND("IMPVOL",F$1)),_xll.BDH(config!$G$4,F$1,WORKDAY($A876,-1,config_Holiday_Calendar_US),WORKDAY($A876,-1,config_Holiday_Calendar_US)),IF(ISNUMBER(_xll.BDH(config!$G$4,F$1,$A876,$A876)),_xll.BDH(config!$G$4,F$1,$A876,$A876),_xll.BDH(config!$G$5,F$1,$A876,$A876))))</f>
        <v/>
      </c>
      <c r="G876" s="8" t="str">
        <f>IF($A876="","",IF(ISNUMBER(FIND("IMPVOL",G$1)),_xll.BDH(config!$G$4,G$1,WORKDAY($A876,-1,config_Holiday_Calendar_US),WORKDAY($A876,-1,config_Holiday_Calendar_US)),IF(ISNUMBER(_xll.BDH(config!$G$4,G$1,$A876,$A876)),_xll.BDH(config!$G$4,G$1,$A876,$A876),_xll.BDH(config!$G$5,G$1,$A876,$A876))))</f>
        <v/>
      </c>
      <c r="H876" s="8" t="str">
        <f>IF($A876="","",IF(ISNUMBER(FIND("IMPVOL",H$1)),_xll.BDH(config!$G$4,H$1,WORKDAY($A876,-1,config_Holiday_Calendar_US),WORKDAY($A876,-1,config_Holiday_Calendar_US)),IF(ISNUMBER(_xll.BDH(config!$G$4,H$1,$A876,$A876)),_xll.BDH(config!$G$4,H$1,$A876,$A876),_xll.BDH(config!$G$5,H$1,$A876,$A876))))</f>
        <v/>
      </c>
      <c r="I876" s="8" t="str">
        <f>IF($A876="","",IF(ISNUMBER(FIND("IMPVOL",I$1)),_xll.BDH(config!$G$4,I$1,WORKDAY($A876,-1,config_Holiday_Calendar_US),WORKDAY($A876,-1,config_Holiday_Calendar_US)),IF(ISNUMBER(_xll.BDH(config!$G$4,I$1,$A876,$A876)),_xll.BDH(config!$G$4,I$1,$A876,$A876),_xll.BDH(config!$G$5,I$1,$A876,$A876))))</f>
        <v/>
      </c>
      <c r="J876" s="8" t="str">
        <f>IF($A876="","",IF(ISNUMBER(FIND("IMPVOL",J$1)),_xll.BDH(config!$G$4,J$1,WORKDAY($A876,-1,config_Holiday_Calendar_US),WORKDAY($A876,-1,config_Holiday_Calendar_US)),IF(ISNUMBER(_xll.BDH(config!$G$4,J$1,$A876,$A876)),_xll.BDH(config!$G$4,J$1,$A876,$A876),_xll.BDH(config!$G$5,J$1,$A876,$A876))))</f>
        <v/>
      </c>
      <c r="K876" s="8" t="str">
        <f>IF($A876="","",IF(ISNUMBER(FIND("IMPVOL",K$1)),_xll.BDH(config!$G$4,K$1,WORKDAY($A876,-1,config_Holiday_Calendar_US),WORKDAY($A876,-1,config_Holiday_Calendar_US)),IF(ISNUMBER(_xll.BDH(config!$G$4,K$1,$A876,$A876)),_xll.BDH(config!$G$4,K$1,$A876,$A876),_xll.BDH(config!$G$5,K$1,$A876,$A876))))</f>
        <v/>
      </c>
      <c r="L876" s="8" t="str">
        <f>IF($A876="","",IF(ISNUMBER(FIND("IMPVOL",L$1)),_xll.BDH(config!$G$4,L$1,WORKDAY($A876,-1,config_Holiday_Calendar_US),WORKDAY($A876,-1,config_Holiday_Calendar_US)),IF(ISNUMBER(_xll.BDH(config!$G$4,L$1,$A876,$A876)),_xll.BDH(config!$G$4,L$1,$A876,$A876),_xll.BDH(config!$G$5,L$1,$A876,$A876))))</f>
        <v/>
      </c>
      <c r="M876" s="8" t="str">
        <f>IF($A876="","",IF(ISNUMBER(FIND("IMPVOL",M$1)),_xll.BDH(config!$G$4,M$1,WORKDAY($A876,-1,config_Holiday_Calendar_US),WORKDAY($A876,-1,config_Holiday_Calendar_US)),IF(ISNUMBER(_xll.BDH(config!$G$4,M$1,$A876,$A876)),_xll.BDH(config!$G$4,M$1,$A876,$A876),_xll.BDH(config!$G$5,M$1,$A876,$A876))))</f>
        <v/>
      </c>
      <c r="N876" s="8" t="str">
        <f>IF($A876="","",IF(ISNUMBER(FIND("IMPVOL",N$1)),_xll.BDH(config!$G$4,N$1,WORKDAY($A876,-1,config_Holiday_Calendar_US),WORKDAY($A876,-1,config_Holiday_Calendar_US)),IF(ISNUMBER(_xll.BDH(config!$G$4,N$1,$A876,$A876)),_xll.BDH(config!$G$4,N$1,$A876,$A876),_xll.BDH(config!$G$5,N$1,$A876,$A876))))</f>
        <v/>
      </c>
      <c r="O876" s="8" t="str">
        <f>IF($A876="","",IF(ISNUMBER(FIND("IMPVOL",O$1)),_xll.BDH(config!$G$4,O$1,WORKDAY($A876,-1,config_Holiday_Calendar_US),WORKDAY($A876,-1,config_Holiday_Calendar_US)),IF(ISNUMBER(_xll.BDH(config!$G$4,O$1,$A876,$A876)),_xll.BDH(config!$G$4,O$1,$A876,$A876),_xll.BDH(config!$G$5,O$1,$A876,$A876))))</f>
        <v/>
      </c>
      <c r="P876" s="8" t="str">
        <f>IF($A876="","",IF(ISNUMBER(FIND("IMPVOL",P$1)),_xll.BDH(config!$G$4,P$1,WORKDAY($A876,-1,config_Holiday_Calendar_US),WORKDAY($A876,-1,config_Holiday_Calendar_US)),IF(ISNUMBER(_xll.BDH(config!$G$4,P$1,$A876,$A876)),_xll.BDH(config!$G$4,P$1,$A876,$A876),_xll.BDH(config!$G$5,P$1,$A876,$A876))))</f>
        <v/>
      </c>
      <c r="Q876" s="8" t="str">
        <f>IF($A876="","",IF(ISNUMBER(FIND("IMPVOL",Q$1)),_xll.BDH(config!$G$4,Q$1,WORKDAY($A876,-1,config_Holiday_Calendar_US),WORKDAY($A876,-1,config_Holiday_Calendar_US)),IF(ISNUMBER(_xll.BDH(config!$G$4,Q$1,$A876,$A876)),_xll.BDH(config!$G$4,Q$1,$A876,$A876),_xll.BDH(config!$G$5,Q$1,$A876,$A876))))</f>
        <v/>
      </c>
      <c r="R876" s="8" t="str">
        <f>IF($A876="","",IF(ISNUMBER(FIND("IMPVOL",R$1)),_xll.BDH(config!$G$4,R$1,WORKDAY($A876,-1,config_Holiday_Calendar_US),WORKDAY($A876,-1,config_Holiday_Calendar_US)),IF(ISNUMBER(_xll.BDH(config!$G$4,R$1,$A876,$A876)),_xll.BDH(config!$G$4,R$1,$A876,$A876),_xll.BDH(config!$G$5,R$1,$A876,$A876))))</f>
        <v/>
      </c>
      <c r="S876" s="8" t="str">
        <f>IF($A876="","",IF(ISNUMBER(FIND("IMPVOL",S$1)),_xll.BDH(config!$G$4,S$1,WORKDAY($A876,-1,config_Holiday_Calendar_US),WORKDAY($A876,-1,config_Holiday_Calendar_US)),IF(ISNUMBER(_xll.BDH(config!$G$4,S$1,$A876,$A876)),_xll.BDH(config!$G$4,S$1,$A876,$A876),_xll.BDH(config!$G$5,S$1,$A876,$A876))))</f>
        <v/>
      </c>
      <c r="T876" s="8" t="str">
        <f>IF($A876="","",IF(ISNUMBER(FIND("IMPVOL",T$1)),_xll.BDH(config!$G$4,T$1,WORKDAY($A876,-1,config_Holiday_Calendar_US),WORKDAY($A876,-1,config_Holiday_Calendar_US)),IF(ISNUMBER(_xll.BDH(config!$G$4,T$1,$A876,$A876)),_xll.BDH(config!$G$4,T$1,$A876,$A876),_xll.BDH(config!$G$5,T$1,$A876,$A876))))</f>
        <v/>
      </c>
      <c r="U876" s="8" t="str">
        <f>IF($A876="","",IF(ISNUMBER(FIND("IMPVOL",U$1)),_xll.BDH(config!$G$4,U$1,WORKDAY($A876,-1,config_Holiday_Calendar_US),WORKDAY($A876,-1,config_Holiday_Calendar_US)),IF(ISNUMBER(_xll.BDH(config!$G$4,U$1,$A876,$A876)),_xll.BDH(config!$G$4,U$1,$A876,$A876),_xll.BDH(config!$G$5,U$1,$A876,$A876))))</f>
        <v/>
      </c>
      <c r="V876" s="8" t="str">
        <f>IF($A876="","",IF(ISNUMBER(FIND("IMPVOL",V$1)),_xll.BDH(config!$G$4,V$1,WORKDAY($A876,-1,config_Holiday_Calendar_US),WORKDAY($A876,-1,config_Holiday_Calendar_US)),IF(ISNUMBER(_xll.BDH(config!$G$4,V$1,$A876,$A876)),_xll.BDH(config!$G$4,V$1,$A876,$A876),_xll.BDH(config!$G$5,V$1,$A876,$A876))))</f>
        <v/>
      </c>
      <c r="W876" s="8" t="str">
        <f>IF($A876="","",IF(ISNUMBER(FIND("IMPVOL",W$1)),_xll.BDH(config!$G$4,W$1,WORKDAY($A876,-1,config_Holiday_Calendar_US),WORKDAY($A876,-1,config_Holiday_Calendar_US)),IF(ISNUMBER(_xll.BDH(config!$G$4,W$1,$A876,$A876)),_xll.BDH(config!$G$4,W$1,$A876,$A876),_xll.BDH(config!$G$5,W$1,$A876,$A876))))</f>
        <v/>
      </c>
    </row>
    <row r="877" spans="1:23" x14ac:dyDescent="0.2">
      <c r="A877" s="9" t="str">
        <f>IF(A876="","",IF(WORKDAY(A876,-1,config_Holiday_Calendar_US)&lt;config!$I$10,"",WORKDAY(A876,-1,config_Holiday_Calendar_US)))</f>
        <v/>
      </c>
      <c r="B877" s="8" t="str">
        <f t="shared" si="13"/>
        <v/>
      </c>
      <c r="C877" s="8" t="str">
        <f>IF(A877="","",_xll.BDH(config!$H$4,C$1,$A877,$A877))</f>
        <v/>
      </c>
      <c r="D877" s="8" t="str">
        <f>IF($A877="","",_xll.BDH(config!$H$4,D$1,$A877,$A877))</f>
        <v/>
      </c>
      <c r="E877" s="8" t="str">
        <f>IF($A877="","",IF(ISNUMBER(FIND("IMPVOL",E$1)),_xll.BDH(config!$G$4,E$1,WORKDAY($A877,-1,config_Holiday_Calendar_US),WORKDAY($A877,-1,config_Holiday_Calendar_US)),IF(ISNUMBER(_xll.BDH(config!$G$4,E$1,$A877,$A877)),_xll.BDH(config!$G$4,E$1,$A877,$A877),_xll.BDH(config!$G$5,E$1,$A877,$A877))))</f>
        <v/>
      </c>
      <c r="F877" s="8" t="str">
        <f>IF($A877="","",IF(ISNUMBER(FIND("IMPVOL",F$1)),_xll.BDH(config!$G$4,F$1,WORKDAY($A877,-1,config_Holiday_Calendar_US),WORKDAY($A877,-1,config_Holiday_Calendar_US)),IF(ISNUMBER(_xll.BDH(config!$G$4,F$1,$A877,$A877)),_xll.BDH(config!$G$4,F$1,$A877,$A877),_xll.BDH(config!$G$5,F$1,$A877,$A877))))</f>
        <v/>
      </c>
      <c r="G877" s="8" t="str">
        <f>IF($A877="","",IF(ISNUMBER(FIND("IMPVOL",G$1)),_xll.BDH(config!$G$4,G$1,WORKDAY($A877,-1,config_Holiday_Calendar_US),WORKDAY($A877,-1,config_Holiday_Calendar_US)),IF(ISNUMBER(_xll.BDH(config!$G$4,G$1,$A877,$A877)),_xll.BDH(config!$G$4,G$1,$A877,$A877),_xll.BDH(config!$G$5,G$1,$A877,$A877))))</f>
        <v/>
      </c>
      <c r="H877" s="8" t="str">
        <f>IF($A877="","",IF(ISNUMBER(FIND("IMPVOL",H$1)),_xll.BDH(config!$G$4,H$1,WORKDAY($A877,-1,config_Holiday_Calendar_US),WORKDAY($A877,-1,config_Holiday_Calendar_US)),IF(ISNUMBER(_xll.BDH(config!$G$4,H$1,$A877,$A877)),_xll.BDH(config!$G$4,H$1,$A877,$A877),_xll.BDH(config!$G$5,H$1,$A877,$A877))))</f>
        <v/>
      </c>
      <c r="I877" s="8" t="str">
        <f>IF($A877="","",IF(ISNUMBER(FIND("IMPVOL",I$1)),_xll.BDH(config!$G$4,I$1,WORKDAY($A877,-1,config_Holiday_Calendar_US),WORKDAY($A877,-1,config_Holiday_Calendar_US)),IF(ISNUMBER(_xll.BDH(config!$G$4,I$1,$A877,$A877)),_xll.BDH(config!$G$4,I$1,$A877,$A877),_xll.BDH(config!$G$5,I$1,$A877,$A877))))</f>
        <v/>
      </c>
      <c r="J877" s="8" t="str">
        <f>IF($A877="","",IF(ISNUMBER(FIND("IMPVOL",J$1)),_xll.BDH(config!$G$4,J$1,WORKDAY($A877,-1,config_Holiday_Calendar_US),WORKDAY($A877,-1,config_Holiday_Calendar_US)),IF(ISNUMBER(_xll.BDH(config!$G$4,J$1,$A877,$A877)),_xll.BDH(config!$G$4,J$1,$A877,$A877),_xll.BDH(config!$G$5,J$1,$A877,$A877))))</f>
        <v/>
      </c>
      <c r="K877" s="8" t="str">
        <f>IF($A877="","",IF(ISNUMBER(FIND("IMPVOL",K$1)),_xll.BDH(config!$G$4,K$1,WORKDAY($A877,-1,config_Holiday_Calendar_US),WORKDAY($A877,-1,config_Holiday_Calendar_US)),IF(ISNUMBER(_xll.BDH(config!$G$4,K$1,$A877,$A877)),_xll.BDH(config!$G$4,K$1,$A877,$A877),_xll.BDH(config!$G$5,K$1,$A877,$A877))))</f>
        <v/>
      </c>
      <c r="L877" s="8" t="str">
        <f>IF($A877="","",IF(ISNUMBER(FIND("IMPVOL",L$1)),_xll.BDH(config!$G$4,L$1,WORKDAY($A877,-1,config_Holiday_Calendar_US),WORKDAY($A877,-1,config_Holiday_Calendar_US)),IF(ISNUMBER(_xll.BDH(config!$G$4,L$1,$A877,$A877)),_xll.BDH(config!$G$4,L$1,$A877,$A877),_xll.BDH(config!$G$5,L$1,$A877,$A877))))</f>
        <v/>
      </c>
      <c r="M877" s="8" t="str">
        <f>IF($A877="","",IF(ISNUMBER(FIND("IMPVOL",M$1)),_xll.BDH(config!$G$4,M$1,WORKDAY($A877,-1,config_Holiday_Calendar_US),WORKDAY($A877,-1,config_Holiday_Calendar_US)),IF(ISNUMBER(_xll.BDH(config!$G$4,M$1,$A877,$A877)),_xll.BDH(config!$G$4,M$1,$A877,$A877),_xll.BDH(config!$G$5,M$1,$A877,$A877))))</f>
        <v/>
      </c>
      <c r="N877" s="8" t="str">
        <f>IF($A877="","",IF(ISNUMBER(FIND("IMPVOL",N$1)),_xll.BDH(config!$G$4,N$1,WORKDAY($A877,-1,config_Holiday_Calendar_US),WORKDAY($A877,-1,config_Holiday_Calendar_US)),IF(ISNUMBER(_xll.BDH(config!$G$4,N$1,$A877,$A877)),_xll.BDH(config!$G$4,N$1,$A877,$A877),_xll.BDH(config!$G$5,N$1,$A877,$A877))))</f>
        <v/>
      </c>
      <c r="O877" s="8" t="str">
        <f>IF($A877="","",IF(ISNUMBER(FIND("IMPVOL",O$1)),_xll.BDH(config!$G$4,O$1,WORKDAY($A877,-1,config_Holiday_Calendar_US),WORKDAY($A877,-1,config_Holiday_Calendar_US)),IF(ISNUMBER(_xll.BDH(config!$G$4,O$1,$A877,$A877)),_xll.BDH(config!$G$4,O$1,$A877,$A877),_xll.BDH(config!$G$5,O$1,$A877,$A877))))</f>
        <v/>
      </c>
      <c r="P877" s="8" t="str">
        <f>IF($A877="","",IF(ISNUMBER(FIND("IMPVOL",P$1)),_xll.BDH(config!$G$4,P$1,WORKDAY($A877,-1,config_Holiday_Calendar_US),WORKDAY($A877,-1,config_Holiday_Calendar_US)),IF(ISNUMBER(_xll.BDH(config!$G$4,P$1,$A877,$A877)),_xll.BDH(config!$G$4,P$1,$A877,$A877),_xll.BDH(config!$G$5,P$1,$A877,$A877))))</f>
        <v/>
      </c>
      <c r="Q877" s="8" t="str">
        <f>IF($A877="","",IF(ISNUMBER(FIND("IMPVOL",Q$1)),_xll.BDH(config!$G$4,Q$1,WORKDAY($A877,-1,config_Holiday_Calendar_US),WORKDAY($A877,-1,config_Holiday_Calendar_US)),IF(ISNUMBER(_xll.BDH(config!$G$4,Q$1,$A877,$A877)),_xll.BDH(config!$G$4,Q$1,$A877,$A877),_xll.BDH(config!$G$5,Q$1,$A877,$A877))))</f>
        <v/>
      </c>
      <c r="R877" s="8" t="str">
        <f>IF($A877="","",IF(ISNUMBER(FIND("IMPVOL",R$1)),_xll.BDH(config!$G$4,R$1,WORKDAY($A877,-1,config_Holiday_Calendar_US),WORKDAY($A877,-1,config_Holiday_Calendar_US)),IF(ISNUMBER(_xll.BDH(config!$G$4,R$1,$A877,$A877)),_xll.BDH(config!$G$4,R$1,$A877,$A877),_xll.BDH(config!$G$5,R$1,$A877,$A877))))</f>
        <v/>
      </c>
      <c r="S877" s="8" t="str">
        <f>IF($A877="","",IF(ISNUMBER(FIND("IMPVOL",S$1)),_xll.BDH(config!$G$4,S$1,WORKDAY($A877,-1,config_Holiday_Calendar_US),WORKDAY($A877,-1,config_Holiday_Calendar_US)),IF(ISNUMBER(_xll.BDH(config!$G$4,S$1,$A877,$A877)),_xll.BDH(config!$G$4,S$1,$A877,$A877),_xll.BDH(config!$G$5,S$1,$A877,$A877))))</f>
        <v/>
      </c>
      <c r="T877" s="8" t="str">
        <f>IF($A877="","",IF(ISNUMBER(FIND("IMPVOL",T$1)),_xll.BDH(config!$G$4,T$1,WORKDAY($A877,-1,config_Holiday_Calendar_US),WORKDAY($A877,-1,config_Holiday_Calendar_US)),IF(ISNUMBER(_xll.BDH(config!$G$4,T$1,$A877,$A877)),_xll.BDH(config!$G$4,T$1,$A877,$A877),_xll.BDH(config!$G$5,T$1,$A877,$A877))))</f>
        <v/>
      </c>
      <c r="U877" s="8" t="str">
        <f>IF($A877="","",IF(ISNUMBER(FIND("IMPVOL",U$1)),_xll.BDH(config!$G$4,U$1,WORKDAY($A877,-1,config_Holiday_Calendar_US),WORKDAY($A877,-1,config_Holiday_Calendar_US)),IF(ISNUMBER(_xll.BDH(config!$G$4,U$1,$A877,$A877)),_xll.BDH(config!$G$4,U$1,$A877,$A877),_xll.BDH(config!$G$5,U$1,$A877,$A877))))</f>
        <v/>
      </c>
      <c r="V877" s="8" t="str">
        <f>IF($A877="","",IF(ISNUMBER(FIND("IMPVOL",V$1)),_xll.BDH(config!$G$4,V$1,WORKDAY($A877,-1,config_Holiday_Calendar_US),WORKDAY($A877,-1,config_Holiday_Calendar_US)),IF(ISNUMBER(_xll.BDH(config!$G$4,V$1,$A877,$A877)),_xll.BDH(config!$G$4,V$1,$A877,$A877),_xll.BDH(config!$G$5,V$1,$A877,$A877))))</f>
        <v/>
      </c>
      <c r="W877" s="8" t="str">
        <f>IF($A877="","",IF(ISNUMBER(FIND("IMPVOL",W$1)),_xll.BDH(config!$G$4,W$1,WORKDAY($A877,-1,config_Holiday_Calendar_US),WORKDAY($A877,-1,config_Holiday_Calendar_US)),IF(ISNUMBER(_xll.BDH(config!$G$4,W$1,$A877,$A877)),_xll.BDH(config!$G$4,W$1,$A877,$A877),_xll.BDH(config!$G$5,W$1,$A877,$A877))))</f>
        <v/>
      </c>
    </row>
    <row r="878" spans="1:23" x14ac:dyDescent="0.2">
      <c r="A878" s="9" t="str">
        <f>IF(A877="","",IF(WORKDAY(A877,-1,config_Holiday_Calendar_US)&lt;config!$I$10,"",WORKDAY(A877,-1,config_Holiday_Calendar_US)))</f>
        <v/>
      </c>
      <c r="B878" s="8" t="str">
        <f t="shared" si="13"/>
        <v/>
      </c>
      <c r="C878" s="8" t="str">
        <f>IF(A878="","",_xll.BDH(config!$H$4,C$1,$A878,$A878))</f>
        <v/>
      </c>
      <c r="D878" s="8" t="str">
        <f>IF($A878="","",_xll.BDH(config!$H$4,D$1,$A878,$A878))</f>
        <v/>
      </c>
      <c r="E878" s="8" t="str">
        <f>IF($A878="","",IF(ISNUMBER(FIND("IMPVOL",E$1)),_xll.BDH(config!$G$4,E$1,WORKDAY($A878,-1,config_Holiday_Calendar_US),WORKDAY($A878,-1,config_Holiday_Calendar_US)),IF(ISNUMBER(_xll.BDH(config!$G$4,E$1,$A878,$A878)),_xll.BDH(config!$G$4,E$1,$A878,$A878),_xll.BDH(config!$G$5,E$1,$A878,$A878))))</f>
        <v/>
      </c>
      <c r="F878" s="8" t="str">
        <f>IF($A878="","",IF(ISNUMBER(FIND("IMPVOL",F$1)),_xll.BDH(config!$G$4,F$1,WORKDAY($A878,-1,config_Holiday_Calendar_US),WORKDAY($A878,-1,config_Holiday_Calendar_US)),IF(ISNUMBER(_xll.BDH(config!$G$4,F$1,$A878,$A878)),_xll.BDH(config!$G$4,F$1,$A878,$A878),_xll.BDH(config!$G$5,F$1,$A878,$A878))))</f>
        <v/>
      </c>
      <c r="G878" s="8" t="str">
        <f>IF($A878="","",IF(ISNUMBER(FIND("IMPVOL",G$1)),_xll.BDH(config!$G$4,G$1,WORKDAY($A878,-1,config_Holiday_Calendar_US),WORKDAY($A878,-1,config_Holiday_Calendar_US)),IF(ISNUMBER(_xll.BDH(config!$G$4,G$1,$A878,$A878)),_xll.BDH(config!$G$4,G$1,$A878,$A878),_xll.BDH(config!$G$5,G$1,$A878,$A878))))</f>
        <v/>
      </c>
      <c r="H878" s="8" t="str">
        <f>IF($A878="","",IF(ISNUMBER(FIND("IMPVOL",H$1)),_xll.BDH(config!$G$4,H$1,WORKDAY($A878,-1,config_Holiday_Calendar_US),WORKDAY($A878,-1,config_Holiday_Calendar_US)),IF(ISNUMBER(_xll.BDH(config!$G$4,H$1,$A878,$A878)),_xll.BDH(config!$G$4,H$1,$A878,$A878),_xll.BDH(config!$G$5,H$1,$A878,$A878))))</f>
        <v/>
      </c>
      <c r="I878" s="8" t="str">
        <f>IF($A878="","",IF(ISNUMBER(FIND("IMPVOL",I$1)),_xll.BDH(config!$G$4,I$1,WORKDAY($A878,-1,config_Holiday_Calendar_US),WORKDAY($A878,-1,config_Holiday_Calendar_US)),IF(ISNUMBER(_xll.BDH(config!$G$4,I$1,$A878,$A878)),_xll.BDH(config!$G$4,I$1,$A878,$A878),_xll.BDH(config!$G$5,I$1,$A878,$A878))))</f>
        <v/>
      </c>
      <c r="J878" s="8" t="str">
        <f>IF($A878="","",IF(ISNUMBER(FIND("IMPVOL",J$1)),_xll.BDH(config!$G$4,J$1,WORKDAY($A878,-1,config_Holiday_Calendar_US),WORKDAY($A878,-1,config_Holiday_Calendar_US)),IF(ISNUMBER(_xll.BDH(config!$G$4,J$1,$A878,$A878)),_xll.BDH(config!$G$4,J$1,$A878,$A878),_xll.BDH(config!$G$5,J$1,$A878,$A878))))</f>
        <v/>
      </c>
      <c r="K878" s="8" t="str">
        <f>IF($A878="","",IF(ISNUMBER(FIND("IMPVOL",K$1)),_xll.BDH(config!$G$4,K$1,WORKDAY($A878,-1,config_Holiday_Calendar_US),WORKDAY($A878,-1,config_Holiday_Calendar_US)),IF(ISNUMBER(_xll.BDH(config!$G$4,K$1,$A878,$A878)),_xll.BDH(config!$G$4,K$1,$A878,$A878),_xll.BDH(config!$G$5,K$1,$A878,$A878))))</f>
        <v/>
      </c>
      <c r="L878" s="8" t="str">
        <f>IF($A878="","",IF(ISNUMBER(FIND("IMPVOL",L$1)),_xll.BDH(config!$G$4,L$1,WORKDAY($A878,-1,config_Holiday_Calendar_US),WORKDAY($A878,-1,config_Holiday_Calendar_US)),IF(ISNUMBER(_xll.BDH(config!$G$4,L$1,$A878,$A878)),_xll.BDH(config!$G$4,L$1,$A878,$A878),_xll.BDH(config!$G$5,L$1,$A878,$A878))))</f>
        <v/>
      </c>
      <c r="M878" s="8" t="str">
        <f>IF($A878="","",IF(ISNUMBER(FIND("IMPVOL",M$1)),_xll.BDH(config!$G$4,M$1,WORKDAY($A878,-1,config_Holiday_Calendar_US),WORKDAY($A878,-1,config_Holiday_Calendar_US)),IF(ISNUMBER(_xll.BDH(config!$G$4,M$1,$A878,$A878)),_xll.BDH(config!$G$4,M$1,$A878,$A878),_xll.BDH(config!$G$5,M$1,$A878,$A878))))</f>
        <v/>
      </c>
      <c r="N878" s="8" t="str">
        <f>IF($A878="","",IF(ISNUMBER(FIND("IMPVOL",N$1)),_xll.BDH(config!$G$4,N$1,WORKDAY($A878,-1,config_Holiday_Calendar_US),WORKDAY($A878,-1,config_Holiday_Calendar_US)),IF(ISNUMBER(_xll.BDH(config!$G$4,N$1,$A878,$A878)),_xll.BDH(config!$G$4,N$1,$A878,$A878),_xll.BDH(config!$G$5,N$1,$A878,$A878))))</f>
        <v/>
      </c>
      <c r="O878" s="8" t="str">
        <f>IF($A878="","",IF(ISNUMBER(FIND("IMPVOL",O$1)),_xll.BDH(config!$G$4,O$1,WORKDAY($A878,-1,config_Holiday_Calendar_US),WORKDAY($A878,-1,config_Holiday_Calendar_US)),IF(ISNUMBER(_xll.BDH(config!$G$4,O$1,$A878,$A878)),_xll.BDH(config!$G$4,O$1,$A878,$A878),_xll.BDH(config!$G$5,O$1,$A878,$A878))))</f>
        <v/>
      </c>
      <c r="P878" s="8" t="str">
        <f>IF($A878="","",IF(ISNUMBER(FIND("IMPVOL",P$1)),_xll.BDH(config!$G$4,P$1,WORKDAY($A878,-1,config_Holiday_Calendar_US),WORKDAY($A878,-1,config_Holiday_Calendar_US)),IF(ISNUMBER(_xll.BDH(config!$G$4,P$1,$A878,$A878)),_xll.BDH(config!$G$4,P$1,$A878,$A878),_xll.BDH(config!$G$5,P$1,$A878,$A878))))</f>
        <v/>
      </c>
      <c r="Q878" s="8" t="str">
        <f>IF($A878="","",IF(ISNUMBER(FIND("IMPVOL",Q$1)),_xll.BDH(config!$G$4,Q$1,WORKDAY($A878,-1,config_Holiday_Calendar_US),WORKDAY($A878,-1,config_Holiday_Calendar_US)),IF(ISNUMBER(_xll.BDH(config!$G$4,Q$1,$A878,$A878)),_xll.BDH(config!$G$4,Q$1,$A878,$A878),_xll.BDH(config!$G$5,Q$1,$A878,$A878))))</f>
        <v/>
      </c>
      <c r="R878" s="8" t="str">
        <f>IF($A878="","",IF(ISNUMBER(FIND("IMPVOL",R$1)),_xll.BDH(config!$G$4,R$1,WORKDAY($A878,-1,config_Holiday_Calendar_US),WORKDAY($A878,-1,config_Holiday_Calendar_US)),IF(ISNUMBER(_xll.BDH(config!$G$4,R$1,$A878,$A878)),_xll.BDH(config!$G$4,R$1,$A878,$A878),_xll.BDH(config!$G$5,R$1,$A878,$A878))))</f>
        <v/>
      </c>
      <c r="S878" s="8" t="str">
        <f>IF($A878="","",IF(ISNUMBER(FIND("IMPVOL",S$1)),_xll.BDH(config!$G$4,S$1,WORKDAY($A878,-1,config_Holiday_Calendar_US),WORKDAY($A878,-1,config_Holiday_Calendar_US)),IF(ISNUMBER(_xll.BDH(config!$G$4,S$1,$A878,$A878)),_xll.BDH(config!$G$4,S$1,$A878,$A878),_xll.BDH(config!$G$5,S$1,$A878,$A878))))</f>
        <v/>
      </c>
      <c r="T878" s="8" t="str">
        <f>IF($A878="","",IF(ISNUMBER(FIND("IMPVOL",T$1)),_xll.BDH(config!$G$4,T$1,WORKDAY($A878,-1,config_Holiday_Calendar_US),WORKDAY($A878,-1,config_Holiday_Calendar_US)),IF(ISNUMBER(_xll.BDH(config!$G$4,T$1,$A878,$A878)),_xll.BDH(config!$G$4,T$1,$A878,$A878),_xll.BDH(config!$G$5,T$1,$A878,$A878))))</f>
        <v/>
      </c>
      <c r="U878" s="8" t="str">
        <f>IF($A878="","",IF(ISNUMBER(FIND("IMPVOL",U$1)),_xll.BDH(config!$G$4,U$1,WORKDAY($A878,-1,config_Holiday_Calendar_US),WORKDAY($A878,-1,config_Holiday_Calendar_US)),IF(ISNUMBER(_xll.BDH(config!$G$4,U$1,$A878,$A878)),_xll.BDH(config!$G$4,U$1,$A878,$A878),_xll.BDH(config!$G$5,U$1,$A878,$A878))))</f>
        <v/>
      </c>
      <c r="V878" s="8" t="str">
        <f>IF($A878="","",IF(ISNUMBER(FIND("IMPVOL",V$1)),_xll.BDH(config!$G$4,V$1,WORKDAY($A878,-1,config_Holiday_Calendar_US),WORKDAY($A878,-1,config_Holiday_Calendar_US)),IF(ISNUMBER(_xll.BDH(config!$G$4,V$1,$A878,$A878)),_xll.BDH(config!$G$4,V$1,$A878,$A878),_xll.BDH(config!$G$5,V$1,$A878,$A878))))</f>
        <v/>
      </c>
      <c r="W878" s="8" t="str">
        <f>IF($A878="","",IF(ISNUMBER(FIND("IMPVOL",W$1)),_xll.BDH(config!$G$4,W$1,WORKDAY($A878,-1,config_Holiday_Calendar_US),WORKDAY($A878,-1,config_Holiday_Calendar_US)),IF(ISNUMBER(_xll.BDH(config!$G$4,W$1,$A878,$A878)),_xll.BDH(config!$G$4,W$1,$A878,$A878),_xll.BDH(config!$G$5,W$1,$A878,$A878))))</f>
        <v/>
      </c>
    </row>
    <row r="879" spans="1:23" x14ac:dyDescent="0.2">
      <c r="A879" s="9" t="str">
        <f>IF(A878="","",IF(WORKDAY(A878,-1,config_Holiday_Calendar_US)&lt;config!$I$10,"",WORKDAY(A878,-1,config_Holiday_Calendar_US)))</f>
        <v/>
      </c>
      <c r="B879" s="8" t="str">
        <f t="shared" si="13"/>
        <v/>
      </c>
      <c r="C879" s="8" t="str">
        <f>IF(A879="","",_xll.BDH(config!$H$4,C$1,$A879,$A879))</f>
        <v/>
      </c>
      <c r="D879" s="8" t="str">
        <f>IF($A879="","",_xll.BDH(config!$H$4,D$1,$A879,$A879))</f>
        <v/>
      </c>
      <c r="E879" s="8" t="str">
        <f>IF($A879="","",IF(ISNUMBER(FIND("IMPVOL",E$1)),_xll.BDH(config!$G$4,E$1,WORKDAY($A879,-1,config_Holiday_Calendar_US),WORKDAY($A879,-1,config_Holiday_Calendar_US)),IF(ISNUMBER(_xll.BDH(config!$G$4,E$1,$A879,$A879)),_xll.BDH(config!$G$4,E$1,$A879,$A879),_xll.BDH(config!$G$5,E$1,$A879,$A879))))</f>
        <v/>
      </c>
      <c r="F879" s="8" t="str">
        <f>IF($A879="","",IF(ISNUMBER(FIND("IMPVOL",F$1)),_xll.BDH(config!$G$4,F$1,WORKDAY($A879,-1,config_Holiday_Calendar_US),WORKDAY($A879,-1,config_Holiday_Calendar_US)),IF(ISNUMBER(_xll.BDH(config!$G$4,F$1,$A879,$A879)),_xll.BDH(config!$G$4,F$1,$A879,$A879),_xll.BDH(config!$G$5,F$1,$A879,$A879))))</f>
        <v/>
      </c>
      <c r="G879" s="8" t="str">
        <f>IF($A879="","",IF(ISNUMBER(FIND("IMPVOL",G$1)),_xll.BDH(config!$G$4,G$1,WORKDAY($A879,-1,config_Holiday_Calendar_US),WORKDAY($A879,-1,config_Holiday_Calendar_US)),IF(ISNUMBER(_xll.BDH(config!$G$4,G$1,$A879,$A879)),_xll.BDH(config!$G$4,G$1,$A879,$A879),_xll.BDH(config!$G$5,G$1,$A879,$A879))))</f>
        <v/>
      </c>
      <c r="H879" s="8" t="str">
        <f>IF($A879="","",IF(ISNUMBER(FIND("IMPVOL",H$1)),_xll.BDH(config!$G$4,H$1,WORKDAY($A879,-1,config_Holiday_Calendar_US),WORKDAY($A879,-1,config_Holiday_Calendar_US)),IF(ISNUMBER(_xll.BDH(config!$G$4,H$1,$A879,$A879)),_xll.BDH(config!$G$4,H$1,$A879,$A879),_xll.BDH(config!$G$5,H$1,$A879,$A879))))</f>
        <v/>
      </c>
      <c r="I879" s="8" t="str">
        <f>IF($A879="","",IF(ISNUMBER(FIND("IMPVOL",I$1)),_xll.BDH(config!$G$4,I$1,WORKDAY($A879,-1,config_Holiday_Calendar_US),WORKDAY($A879,-1,config_Holiday_Calendar_US)),IF(ISNUMBER(_xll.BDH(config!$G$4,I$1,$A879,$A879)),_xll.BDH(config!$G$4,I$1,$A879,$A879),_xll.BDH(config!$G$5,I$1,$A879,$A879))))</f>
        <v/>
      </c>
      <c r="J879" s="8" t="str">
        <f>IF($A879="","",IF(ISNUMBER(FIND("IMPVOL",J$1)),_xll.BDH(config!$G$4,J$1,WORKDAY($A879,-1,config_Holiday_Calendar_US),WORKDAY($A879,-1,config_Holiday_Calendar_US)),IF(ISNUMBER(_xll.BDH(config!$G$4,J$1,$A879,$A879)),_xll.BDH(config!$G$4,J$1,$A879,$A879),_xll.BDH(config!$G$5,J$1,$A879,$A879))))</f>
        <v/>
      </c>
      <c r="K879" s="8" t="str">
        <f>IF($A879="","",IF(ISNUMBER(FIND("IMPVOL",K$1)),_xll.BDH(config!$G$4,K$1,WORKDAY($A879,-1,config_Holiday_Calendar_US),WORKDAY($A879,-1,config_Holiday_Calendar_US)),IF(ISNUMBER(_xll.BDH(config!$G$4,K$1,$A879,$A879)),_xll.BDH(config!$G$4,K$1,$A879,$A879),_xll.BDH(config!$G$5,K$1,$A879,$A879))))</f>
        <v/>
      </c>
      <c r="L879" s="8" t="str">
        <f>IF($A879="","",IF(ISNUMBER(FIND("IMPVOL",L$1)),_xll.BDH(config!$G$4,L$1,WORKDAY($A879,-1,config_Holiday_Calendar_US),WORKDAY($A879,-1,config_Holiday_Calendar_US)),IF(ISNUMBER(_xll.BDH(config!$G$4,L$1,$A879,$A879)),_xll.BDH(config!$G$4,L$1,$A879,$A879),_xll.BDH(config!$G$5,L$1,$A879,$A879))))</f>
        <v/>
      </c>
      <c r="M879" s="8" t="str">
        <f>IF($A879="","",IF(ISNUMBER(FIND("IMPVOL",M$1)),_xll.BDH(config!$G$4,M$1,WORKDAY($A879,-1,config_Holiday_Calendar_US),WORKDAY($A879,-1,config_Holiday_Calendar_US)),IF(ISNUMBER(_xll.BDH(config!$G$4,M$1,$A879,$A879)),_xll.BDH(config!$G$4,M$1,$A879,$A879),_xll.BDH(config!$G$5,M$1,$A879,$A879))))</f>
        <v/>
      </c>
      <c r="N879" s="8" t="str">
        <f>IF($A879="","",IF(ISNUMBER(FIND("IMPVOL",N$1)),_xll.BDH(config!$G$4,N$1,WORKDAY($A879,-1,config_Holiday_Calendar_US),WORKDAY($A879,-1,config_Holiday_Calendar_US)),IF(ISNUMBER(_xll.BDH(config!$G$4,N$1,$A879,$A879)),_xll.BDH(config!$G$4,N$1,$A879,$A879),_xll.BDH(config!$G$5,N$1,$A879,$A879))))</f>
        <v/>
      </c>
      <c r="O879" s="8" t="str">
        <f>IF($A879="","",IF(ISNUMBER(FIND("IMPVOL",O$1)),_xll.BDH(config!$G$4,O$1,WORKDAY($A879,-1,config_Holiday_Calendar_US),WORKDAY($A879,-1,config_Holiday_Calendar_US)),IF(ISNUMBER(_xll.BDH(config!$G$4,O$1,$A879,$A879)),_xll.BDH(config!$G$4,O$1,$A879,$A879),_xll.BDH(config!$G$5,O$1,$A879,$A879))))</f>
        <v/>
      </c>
      <c r="P879" s="8" t="str">
        <f>IF($A879="","",IF(ISNUMBER(FIND("IMPVOL",P$1)),_xll.BDH(config!$G$4,P$1,WORKDAY($A879,-1,config_Holiday_Calendar_US),WORKDAY($A879,-1,config_Holiday_Calendar_US)),IF(ISNUMBER(_xll.BDH(config!$G$4,P$1,$A879,$A879)),_xll.BDH(config!$G$4,P$1,$A879,$A879),_xll.BDH(config!$G$5,P$1,$A879,$A879))))</f>
        <v/>
      </c>
      <c r="Q879" s="8" t="str">
        <f>IF($A879="","",IF(ISNUMBER(FIND("IMPVOL",Q$1)),_xll.BDH(config!$G$4,Q$1,WORKDAY($A879,-1,config_Holiday_Calendar_US),WORKDAY($A879,-1,config_Holiday_Calendar_US)),IF(ISNUMBER(_xll.BDH(config!$G$4,Q$1,$A879,$A879)),_xll.BDH(config!$G$4,Q$1,$A879,$A879),_xll.BDH(config!$G$5,Q$1,$A879,$A879))))</f>
        <v/>
      </c>
      <c r="R879" s="8" t="str">
        <f>IF($A879="","",IF(ISNUMBER(FIND("IMPVOL",R$1)),_xll.BDH(config!$G$4,R$1,WORKDAY($A879,-1,config_Holiday_Calendar_US),WORKDAY($A879,-1,config_Holiday_Calendar_US)),IF(ISNUMBER(_xll.BDH(config!$G$4,R$1,$A879,$A879)),_xll.BDH(config!$G$4,R$1,$A879,$A879),_xll.BDH(config!$G$5,R$1,$A879,$A879))))</f>
        <v/>
      </c>
      <c r="S879" s="8" t="str">
        <f>IF($A879="","",IF(ISNUMBER(FIND("IMPVOL",S$1)),_xll.BDH(config!$G$4,S$1,WORKDAY($A879,-1,config_Holiday_Calendar_US),WORKDAY($A879,-1,config_Holiday_Calendar_US)),IF(ISNUMBER(_xll.BDH(config!$G$4,S$1,$A879,$A879)),_xll.BDH(config!$G$4,S$1,$A879,$A879),_xll.BDH(config!$G$5,S$1,$A879,$A879))))</f>
        <v/>
      </c>
      <c r="T879" s="8" t="str">
        <f>IF($A879="","",IF(ISNUMBER(FIND("IMPVOL",T$1)),_xll.BDH(config!$G$4,T$1,WORKDAY($A879,-1,config_Holiday_Calendar_US),WORKDAY($A879,-1,config_Holiday_Calendar_US)),IF(ISNUMBER(_xll.BDH(config!$G$4,T$1,$A879,$A879)),_xll.BDH(config!$G$4,T$1,$A879,$A879),_xll.BDH(config!$G$5,T$1,$A879,$A879))))</f>
        <v/>
      </c>
      <c r="U879" s="8" t="str">
        <f>IF($A879="","",IF(ISNUMBER(FIND("IMPVOL",U$1)),_xll.BDH(config!$G$4,U$1,WORKDAY($A879,-1,config_Holiday_Calendar_US),WORKDAY($A879,-1,config_Holiday_Calendar_US)),IF(ISNUMBER(_xll.BDH(config!$G$4,U$1,$A879,$A879)),_xll.BDH(config!$G$4,U$1,$A879,$A879),_xll.BDH(config!$G$5,U$1,$A879,$A879))))</f>
        <v/>
      </c>
      <c r="V879" s="8" t="str">
        <f>IF($A879="","",IF(ISNUMBER(FIND("IMPVOL",V$1)),_xll.BDH(config!$G$4,V$1,WORKDAY($A879,-1,config_Holiday_Calendar_US),WORKDAY($A879,-1,config_Holiday_Calendar_US)),IF(ISNUMBER(_xll.BDH(config!$G$4,V$1,$A879,$A879)),_xll.BDH(config!$G$4,V$1,$A879,$A879),_xll.BDH(config!$G$5,V$1,$A879,$A879))))</f>
        <v/>
      </c>
      <c r="W879" s="8" t="str">
        <f>IF($A879="","",IF(ISNUMBER(FIND("IMPVOL",W$1)),_xll.BDH(config!$G$4,W$1,WORKDAY($A879,-1,config_Holiday_Calendar_US),WORKDAY($A879,-1,config_Holiday_Calendar_US)),IF(ISNUMBER(_xll.BDH(config!$G$4,W$1,$A879,$A879)),_xll.BDH(config!$G$4,W$1,$A879,$A879),_xll.BDH(config!$G$5,W$1,$A879,$A879))))</f>
        <v/>
      </c>
    </row>
    <row r="880" spans="1:23" x14ac:dyDescent="0.2">
      <c r="A880" s="9" t="str">
        <f>IF(A879="","",IF(WORKDAY(A879,-1,config_Holiday_Calendar_US)&lt;config!$I$10,"",WORKDAY(A879,-1,config_Holiday_Calendar_US)))</f>
        <v/>
      </c>
      <c r="B880" s="8" t="str">
        <f t="shared" si="13"/>
        <v/>
      </c>
      <c r="C880" s="8" t="str">
        <f>IF(A880="","",_xll.BDH(config!$H$4,C$1,$A880,$A880))</f>
        <v/>
      </c>
      <c r="D880" s="8" t="str">
        <f>IF($A880="","",_xll.BDH(config!$H$4,D$1,$A880,$A880))</f>
        <v/>
      </c>
      <c r="E880" s="8" t="str">
        <f>IF($A880="","",IF(ISNUMBER(FIND("IMPVOL",E$1)),_xll.BDH(config!$G$4,E$1,WORKDAY($A880,-1,config_Holiday_Calendar_US),WORKDAY($A880,-1,config_Holiday_Calendar_US)),IF(ISNUMBER(_xll.BDH(config!$G$4,E$1,$A880,$A880)),_xll.BDH(config!$G$4,E$1,$A880,$A880),_xll.BDH(config!$G$5,E$1,$A880,$A880))))</f>
        <v/>
      </c>
      <c r="F880" s="8" t="str">
        <f>IF($A880="","",IF(ISNUMBER(FIND("IMPVOL",F$1)),_xll.BDH(config!$G$4,F$1,WORKDAY($A880,-1,config_Holiday_Calendar_US),WORKDAY($A880,-1,config_Holiday_Calendar_US)),IF(ISNUMBER(_xll.BDH(config!$G$4,F$1,$A880,$A880)),_xll.BDH(config!$G$4,F$1,$A880,$A880),_xll.BDH(config!$G$5,F$1,$A880,$A880))))</f>
        <v/>
      </c>
      <c r="G880" s="8" t="str">
        <f>IF($A880="","",IF(ISNUMBER(FIND("IMPVOL",G$1)),_xll.BDH(config!$G$4,G$1,WORKDAY($A880,-1,config_Holiday_Calendar_US),WORKDAY($A880,-1,config_Holiday_Calendar_US)),IF(ISNUMBER(_xll.BDH(config!$G$4,G$1,$A880,$A880)),_xll.BDH(config!$G$4,G$1,$A880,$A880),_xll.BDH(config!$G$5,G$1,$A880,$A880))))</f>
        <v/>
      </c>
      <c r="H880" s="8" t="str">
        <f>IF($A880="","",IF(ISNUMBER(FIND("IMPVOL",H$1)),_xll.BDH(config!$G$4,H$1,WORKDAY($A880,-1,config_Holiday_Calendar_US),WORKDAY($A880,-1,config_Holiday_Calendar_US)),IF(ISNUMBER(_xll.BDH(config!$G$4,H$1,$A880,$A880)),_xll.BDH(config!$G$4,H$1,$A880,$A880),_xll.BDH(config!$G$5,H$1,$A880,$A880))))</f>
        <v/>
      </c>
      <c r="I880" s="8" t="str">
        <f>IF($A880="","",IF(ISNUMBER(FIND("IMPVOL",I$1)),_xll.BDH(config!$G$4,I$1,WORKDAY($A880,-1,config_Holiday_Calendar_US),WORKDAY($A880,-1,config_Holiday_Calendar_US)),IF(ISNUMBER(_xll.BDH(config!$G$4,I$1,$A880,$A880)),_xll.BDH(config!$G$4,I$1,$A880,$A880),_xll.BDH(config!$G$5,I$1,$A880,$A880))))</f>
        <v/>
      </c>
      <c r="J880" s="8" t="str">
        <f>IF($A880="","",IF(ISNUMBER(FIND("IMPVOL",J$1)),_xll.BDH(config!$G$4,J$1,WORKDAY($A880,-1,config_Holiday_Calendar_US),WORKDAY($A880,-1,config_Holiday_Calendar_US)),IF(ISNUMBER(_xll.BDH(config!$G$4,J$1,$A880,$A880)),_xll.BDH(config!$G$4,J$1,$A880,$A880),_xll.BDH(config!$G$5,J$1,$A880,$A880))))</f>
        <v/>
      </c>
      <c r="K880" s="8" t="str">
        <f>IF($A880="","",IF(ISNUMBER(FIND("IMPVOL",K$1)),_xll.BDH(config!$G$4,K$1,WORKDAY($A880,-1,config_Holiday_Calendar_US),WORKDAY($A880,-1,config_Holiday_Calendar_US)),IF(ISNUMBER(_xll.BDH(config!$G$4,K$1,$A880,$A880)),_xll.BDH(config!$G$4,K$1,$A880,$A880),_xll.BDH(config!$G$5,K$1,$A880,$A880))))</f>
        <v/>
      </c>
      <c r="L880" s="8" t="str">
        <f>IF($A880="","",IF(ISNUMBER(FIND("IMPVOL",L$1)),_xll.BDH(config!$G$4,L$1,WORKDAY($A880,-1,config_Holiday_Calendar_US),WORKDAY($A880,-1,config_Holiday_Calendar_US)),IF(ISNUMBER(_xll.BDH(config!$G$4,L$1,$A880,$A880)),_xll.BDH(config!$G$4,L$1,$A880,$A880),_xll.BDH(config!$G$5,L$1,$A880,$A880))))</f>
        <v/>
      </c>
      <c r="M880" s="8" t="str">
        <f>IF($A880="","",IF(ISNUMBER(FIND("IMPVOL",M$1)),_xll.BDH(config!$G$4,M$1,WORKDAY($A880,-1,config_Holiday_Calendar_US),WORKDAY($A880,-1,config_Holiday_Calendar_US)),IF(ISNUMBER(_xll.BDH(config!$G$4,M$1,$A880,$A880)),_xll.BDH(config!$G$4,M$1,$A880,$A880),_xll.BDH(config!$G$5,M$1,$A880,$A880))))</f>
        <v/>
      </c>
      <c r="N880" s="8" t="str">
        <f>IF($A880="","",IF(ISNUMBER(FIND("IMPVOL",N$1)),_xll.BDH(config!$G$4,N$1,WORKDAY($A880,-1,config_Holiday_Calendar_US),WORKDAY($A880,-1,config_Holiday_Calendar_US)),IF(ISNUMBER(_xll.BDH(config!$G$4,N$1,$A880,$A880)),_xll.BDH(config!$G$4,N$1,$A880,$A880),_xll.BDH(config!$G$5,N$1,$A880,$A880))))</f>
        <v/>
      </c>
      <c r="O880" s="8" t="str">
        <f>IF($A880="","",IF(ISNUMBER(FIND("IMPVOL",O$1)),_xll.BDH(config!$G$4,O$1,WORKDAY($A880,-1,config_Holiday_Calendar_US),WORKDAY($A880,-1,config_Holiday_Calendar_US)),IF(ISNUMBER(_xll.BDH(config!$G$4,O$1,$A880,$A880)),_xll.BDH(config!$G$4,O$1,$A880,$A880),_xll.BDH(config!$G$5,O$1,$A880,$A880))))</f>
        <v/>
      </c>
      <c r="P880" s="8" t="str">
        <f>IF($A880="","",IF(ISNUMBER(FIND("IMPVOL",P$1)),_xll.BDH(config!$G$4,P$1,WORKDAY($A880,-1,config_Holiday_Calendar_US),WORKDAY($A880,-1,config_Holiday_Calendar_US)),IF(ISNUMBER(_xll.BDH(config!$G$4,P$1,$A880,$A880)),_xll.BDH(config!$G$4,P$1,$A880,$A880),_xll.BDH(config!$G$5,P$1,$A880,$A880))))</f>
        <v/>
      </c>
      <c r="Q880" s="8" t="str">
        <f>IF($A880="","",IF(ISNUMBER(FIND("IMPVOL",Q$1)),_xll.BDH(config!$G$4,Q$1,WORKDAY($A880,-1,config_Holiday_Calendar_US),WORKDAY($A880,-1,config_Holiday_Calendar_US)),IF(ISNUMBER(_xll.BDH(config!$G$4,Q$1,$A880,$A880)),_xll.BDH(config!$G$4,Q$1,$A880,$A880),_xll.BDH(config!$G$5,Q$1,$A880,$A880))))</f>
        <v/>
      </c>
      <c r="R880" s="8" t="str">
        <f>IF($A880="","",IF(ISNUMBER(FIND("IMPVOL",R$1)),_xll.BDH(config!$G$4,R$1,WORKDAY($A880,-1,config_Holiday_Calendar_US),WORKDAY($A880,-1,config_Holiday_Calendar_US)),IF(ISNUMBER(_xll.BDH(config!$G$4,R$1,$A880,$A880)),_xll.BDH(config!$G$4,R$1,$A880,$A880),_xll.BDH(config!$G$5,R$1,$A880,$A880))))</f>
        <v/>
      </c>
      <c r="S880" s="8" t="str">
        <f>IF($A880="","",IF(ISNUMBER(FIND("IMPVOL",S$1)),_xll.BDH(config!$G$4,S$1,WORKDAY($A880,-1,config_Holiday_Calendar_US),WORKDAY($A880,-1,config_Holiday_Calendar_US)),IF(ISNUMBER(_xll.BDH(config!$G$4,S$1,$A880,$A880)),_xll.BDH(config!$G$4,S$1,$A880,$A880),_xll.BDH(config!$G$5,S$1,$A880,$A880))))</f>
        <v/>
      </c>
      <c r="T880" s="8" t="str">
        <f>IF($A880="","",IF(ISNUMBER(FIND("IMPVOL",T$1)),_xll.BDH(config!$G$4,T$1,WORKDAY($A880,-1,config_Holiday_Calendar_US),WORKDAY($A880,-1,config_Holiday_Calendar_US)),IF(ISNUMBER(_xll.BDH(config!$G$4,T$1,$A880,$A880)),_xll.BDH(config!$G$4,T$1,$A880,$A880),_xll.BDH(config!$G$5,T$1,$A880,$A880))))</f>
        <v/>
      </c>
      <c r="U880" s="8" t="str">
        <f>IF($A880="","",IF(ISNUMBER(FIND("IMPVOL",U$1)),_xll.BDH(config!$G$4,U$1,WORKDAY($A880,-1,config_Holiday_Calendar_US),WORKDAY($A880,-1,config_Holiday_Calendar_US)),IF(ISNUMBER(_xll.BDH(config!$G$4,U$1,$A880,$A880)),_xll.BDH(config!$G$4,U$1,$A880,$A880),_xll.BDH(config!$G$5,U$1,$A880,$A880))))</f>
        <v/>
      </c>
      <c r="V880" s="8" t="str">
        <f>IF($A880="","",IF(ISNUMBER(FIND("IMPVOL",V$1)),_xll.BDH(config!$G$4,V$1,WORKDAY($A880,-1,config_Holiday_Calendar_US),WORKDAY($A880,-1,config_Holiday_Calendar_US)),IF(ISNUMBER(_xll.BDH(config!$G$4,V$1,$A880,$A880)),_xll.BDH(config!$G$4,V$1,$A880,$A880),_xll.BDH(config!$G$5,V$1,$A880,$A880))))</f>
        <v/>
      </c>
      <c r="W880" s="8" t="str">
        <f>IF($A880="","",IF(ISNUMBER(FIND("IMPVOL",W$1)),_xll.BDH(config!$G$4,W$1,WORKDAY($A880,-1,config_Holiday_Calendar_US),WORKDAY($A880,-1,config_Holiday_Calendar_US)),IF(ISNUMBER(_xll.BDH(config!$G$4,W$1,$A880,$A880)),_xll.BDH(config!$G$4,W$1,$A880,$A880),_xll.BDH(config!$G$5,W$1,$A880,$A880))))</f>
        <v/>
      </c>
    </row>
    <row r="881" spans="1:23" x14ac:dyDescent="0.2">
      <c r="A881" s="9" t="str">
        <f>IF(A880="","",IF(WORKDAY(A880,-1,config_Holiday_Calendar_US)&lt;config!$I$10,"",WORKDAY(A880,-1,config_Holiday_Calendar_US)))</f>
        <v/>
      </c>
      <c r="B881" s="8" t="str">
        <f t="shared" si="13"/>
        <v/>
      </c>
      <c r="C881" s="8" t="str">
        <f>IF(A881="","",_xll.BDH(config!$H$4,C$1,$A881,$A881))</f>
        <v/>
      </c>
      <c r="D881" s="8" t="str">
        <f>IF($A881="","",_xll.BDH(config!$H$4,D$1,$A881,$A881))</f>
        <v/>
      </c>
      <c r="E881" s="8" t="str">
        <f>IF($A881="","",IF(ISNUMBER(FIND("IMPVOL",E$1)),_xll.BDH(config!$G$4,E$1,WORKDAY($A881,-1,config_Holiday_Calendar_US),WORKDAY($A881,-1,config_Holiday_Calendar_US)),IF(ISNUMBER(_xll.BDH(config!$G$4,E$1,$A881,$A881)),_xll.BDH(config!$G$4,E$1,$A881,$A881),_xll.BDH(config!$G$5,E$1,$A881,$A881))))</f>
        <v/>
      </c>
      <c r="F881" s="8" t="str">
        <f>IF($A881="","",IF(ISNUMBER(FIND("IMPVOL",F$1)),_xll.BDH(config!$G$4,F$1,WORKDAY($A881,-1,config_Holiday_Calendar_US),WORKDAY($A881,-1,config_Holiday_Calendar_US)),IF(ISNUMBER(_xll.BDH(config!$G$4,F$1,$A881,$A881)),_xll.BDH(config!$G$4,F$1,$A881,$A881),_xll.BDH(config!$G$5,F$1,$A881,$A881))))</f>
        <v/>
      </c>
      <c r="G881" s="8" t="str">
        <f>IF($A881="","",IF(ISNUMBER(FIND("IMPVOL",G$1)),_xll.BDH(config!$G$4,G$1,WORKDAY($A881,-1,config_Holiday_Calendar_US),WORKDAY($A881,-1,config_Holiday_Calendar_US)),IF(ISNUMBER(_xll.BDH(config!$G$4,G$1,$A881,$A881)),_xll.BDH(config!$G$4,G$1,$A881,$A881),_xll.BDH(config!$G$5,G$1,$A881,$A881))))</f>
        <v/>
      </c>
      <c r="H881" s="8" t="str">
        <f>IF($A881="","",IF(ISNUMBER(FIND("IMPVOL",H$1)),_xll.BDH(config!$G$4,H$1,WORKDAY($A881,-1,config_Holiday_Calendar_US),WORKDAY($A881,-1,config_Holiday_Calendar_US)),IF(ISNUMBER(_xll.BDH(config!$G$4,H$1,$A881,$A881)),_xll.BDH(config!$G$4,H$1,$A881,$A881),_xll.BDH(config!$G$5,H$1,$A881,$A881))))</f>
        <v/>
      </c>
      <c r="I881" s="8" t="str">
        <f>IF($A881="","",IF(ISNUMBER(FIND("IMPVOL",I$1)),_xll.BDH(config!$G$4,I$1,WORKDAY($A881,-1,config_Holiday_Calendar_US),WORKDAY($A881,-1,config_Holiday_Calendar_US)),IF(ISNUMBER(_xll.BDH(config!$G$4,I$1,$A881,$A881)),_xll.BDH(config!$G$4,I$1,$A881,$A881),_xll.BDH(config!$G$5,I$1,$A881,$A881))))</f>
        <v/>
      </c>
      <c r="J881" s="8" t="str">
        <f>IF($A881="","",IF(ISNUMBER(FIND("IMPVOL",J$1)),_xll.BDH(config!$G$4,J$1,WORKDAY($A881,-1,config_Holiday_Calendar_US),WORKDAY($A881,-1,config_Holiday_Calendar_US)),IF(ISNUMBER(_xll.BDH(config!$G$4,J$1,$A881,$A881)),_xll.BDH(config!$G$4,J$1,$A881,$A881),_xll.BDH(config!$G$5,J$1,$A881,$A881))))</f>
        <v/>
      </c>
      <c r="K881" s="8" t="str">
        <f>IF($A881="","",IF(ISNUMBER(FIND("IMPVOL",K$1)),_xll.BDH(config!$G$4,K$1,WORKDAY($A881,-1,config_Holiday_Calendar_US),WORKDAY($A881,-1,config_Holiday_Calendar_US)),IF(ISNUMBER(_xll.BDH(config!$G$4,K$1,$A881,$A881)),_xll.BDH(config!$G$4,K$1,$A881,$A881),_xll.BDH(config!$G$5,K$1,$A881,$A881))))</f>
        <v/>
      </c>
      <c r="L881" s="8" t="str">
        <f>IF($A881="","",IF(ISNUMBER(FIND("IMPVOL",L$1)),_xll.BDH(config!$G$4,L$1,WORKDAY($A881,-1,config_Holiday_Calendar_US),WORKDAY($A881,-1,config_Holiday_Calendar_US)),IF(ISNUMBER(_xll.BDH(config!$G$4,L$1,$A881,$A881)),_xll.BDH(config!$G$4,L$1,$A881,$A881),_xll.BDH(config!$G$5,L$1,$A881,$A881))))</f>
        <v/>
      </c>
      <c r="M881" s="8" t="str">
        <f>IF($A881="","",IF(ISNUMBER(FIND("IMPVOL",M$1)),_xll.BDH(config!$G$4,M$1,WORKDAY($A881,-1,config_Holiday_Calendar_US),WORKDAY($A881,-1,config_Holiday_Calendar_US)),IF(ISNUMBER(_xll.BDH(config!$G$4,M$1,$A881,$A881)),_xll.BDH(config!$G$4,M$1,$A881,$A881),_xll.BDH(config!$G$5,M$1,$A881,$A881))))</f>
        <v/>
      </c>
      <c r="N881" s="8" t="str">
        <f>IF($A881="","",IF(ISNUMBER(FIND("IMPVOL",N$1)),_xll.BDH(config!$G$4,N$1,WORKDAY($A881,-1,config_Holiday_Calendar_US),WORKDAY($A881,-1,config_Holiday_Calendar_US)),IF(ISNUMBER(_xll.BDH(config!$G$4,N$1,$A881,$A881)),_xll.BDH(config!$G$4,N$1,$A881,$A881),_xll.BDH(config!$G$5,N$1,$A881,$A881))))</f>
        <v/>
      </c>
      <c r="O881" s="8" t="str">
        <f>IF($A881="","",IF(ISNUMBER(FIND("IMPVOL",O$1)),_xll.BDH(config!$G$4,O$1,WORKDAY($A881,-1,config_Holiday_Calendar_US),WORKDAY($A881,-1,config_Holiday_Calendar_US)),IF(ISNUMBER(_xll.BDH(config!$G$4,O$1,$A881,$A881)),_xll.BDH(config!$G$4,O$1,$A881,$A881),_xll.BDH(config!$G$5,O$1,$A881,$A881))))</f>
        <v/>
      </c>
      <c r="P881" s="8" t="str">
        <f>IF($A881="","",IF(ISNUMBER(FIND("IMPVOL",P$1)),_xll.BDH(config!$G$4,P$1,WORKDAY($A881,-1,config_Holiday_Calendar_US),WORKDAY($A881,-1,config_Holiday_Calendar_US)),IF(ISNUMBER(_xll.BDH(config!$G$4,P$1,$A881,$A881)),_xll.BDH(config!$G$4,P$1,$A881,$A881),_xll.BDH(config!$G$5,P$1,$A881,$A881))))</f>
        <v/>
      </c>
      <c r="Q881" s="8" t="str">
        <f>IF($A881="","",IF(ISNUMBER(FIND("IMPVOL",Q$1)),_xll.BDH(config!$G$4,Q$1,WORKDAY($A881,-1,config_Holiday_Calendar_US),WORKDAY($A881,-1,config_Holiday_Calendar_US)),IF(ISNUMBER(_xll.BDH(config!$G$4,Q$1,$A881,$A881)),_xll.BDH(config!$G$4,Q$1,$A881,$A881),_xll.BDH(config!$G$5,Q$1,$A881,$A881))))</f>
        <v/>
      </c>
      <c r="R881" s="8" t="str">
        <f>IF($A881="","",IF(ISNUMBER(FIND("IMPVOL",R$1)),_xll.BDH(config!$G$4,R$1,WORKDAY($A881,-1,config_Holiday_Calendar_US),WORKDAY($A881,-1,config_Holiday_Calendar_US)),IF(ISNUMBER(_xll.BDH(config!$G$4,R$1,$A881,$A881)),_xll.BDH(config!$G$4,R$1,$A881,$A881),_xll.BDH(config!$G$5,R$1,$A881,$A881))))</f>
        <v/>
      </c>
      <c r="S881" s="8" t="str">
        <f>IF($A881="","",IF(ISNUMBER(FIND("IMPVOL",S$1)),_xll.BDH(config!$G$4,S$1,WORKDAY($A881,-1,config_Holiday_Calendar_US),WORKDAY($A881,-1,config_Holiday_Calendar_US)),IF(ISNUMBER(_xll.BDH(config!$G$4,S$1,$A881,$A881)),_xll.BDH(config!$G$4,S$1,$A881,$A881),_xll.BDH(config!$G$5,S$1,$A881,$A881))))</f>
        <v/>
      </c>
      <c r="T881" s="8" t="str">
        <f>IF($A881="","",IF(ISNUMBER(FIND("IMPVOL",T$1)),_xll.BDH(config!$G$4,T$1,WORKDAY($A881,-1,config_Holiday_Calendar_US),WORKDAY($A881,-1,config_Holiday_Calendar_US)),IF(ISNUMBER(_xll.BDH(config!$G$4,T$1,$A881,$A881)),_xll.BDH(config!$G$4,T$1,$A881,$A881),_xll.BDH(config!$G$5,T$1,$A881,$A881))))</f>
        <v/>
      </c>
      <c r="U881" s="8" t="str">
        <f>IF($A881="","",IF(ISNUMBER(FIND("IMPVOL",U$1)),_xll.BDH(config!$G$4,U$1,WORKDAY($A881,-1,config_Holiday_Calendar_US),WORKDAY($A881,-1,config_Holiday_Calendar_US)),IF(ISNUMBER(_xll.BDH(config!$G$4,U$1,$A881,$A881)),_xll.BDH(config!$G$4,U$1,$A881,$A881),_xll.BDH(config!$G$5,U$1,$A881,$A881))))</f>
        <v/>
      </c>
      <c r="V881" s="8" t="str">
        <f>IF($A881="","",IF(ISNUMBER(FIND("IMPVOL",V$1)),_xll.BDH(config!$G$4,V$1,WORKDAY($A881,-1,config_Holiday_Calendar_US),WORKDAY($A881,-1,config_Holiday_Calendar_US)),IF(ISNUMBER(_xll.BDH(config!$G$4,V$1,$A881,$A881)),_xll.BDH(config!$G$4,V$1,$A881,$A881),_xll.BDH(config!$G$5,V$1,$A881,$A881))))</f>
        <v/>
      </c>
      <c r="W881" s="8" t="str">
        <f>IF($A881="","",IF(ISNUMBER(FIND("IMPVOL",W$1)),_xll.BDH(config!$G$4,W$1,WORKDAY($A881,-1,config_Holiday_Calendar_US),WORKDAY($A881,-1,config_Holiday_Calendar_US)),IF(ISNUMBER(_xll.BDH(config!$G$4,W$1,$A881,$A881)),_xll.BDH(config!$G$4,W$1,$A881,$A881),_xll.BDH(config!$G$5,W$1,$A881,$A881))))</f>
        <v/>
      </c>
    </row>
    <row r="882" spans="1:23" x14ac:dyDescent="0.2">
      <c r="A882" s="9" t="str">
        <f>IF(A881="","",IF(WORKDAY(A881,-1,config_Holiday_Calendar_US)&lt;config!$I$10,"",WORKDAY(A881,-1,config_Holiday_Calendar_US)))</f>
        <v/>
      </c>
      <c r="B882" s="8" t="str">
        <f t="shared" si="13"/>
        <v/>
      </c>
      <c r="C882" s="8" t="str">
        <f>IF(A882="","",_xll.BDH(config!$H$4,C$1,$A882,$A882))</f>
        <v/>
      </c>
      <c r="D882" s="8" t="str">
        <f>IF($A882="","",_xll.BDH(config!$H$4,D$1,$A882,$A882))</f>
        <v/>
      </c>
      <c r="E882" s="8" t="str">
        <f>IF($A882="","",IF(ISNUMBER(FIND("IMPVOL",E$1)),_xll.BDH(config!$G$4,E$1,WORKDAY($A882,-1,config_Holiday_Calendar_US),WORKDAY($A882,-1,config_Holiday_Calendar_US)),IF(ISNUMBER(_xll.BDH(config!$G$4,E$1,$A882,$A882)),_xll.BDH(config!$G$4,E$1,$A882,$A882),_xll.BDH(config!$G$5,E$1,$A882,$A882))))</f>
        <v/>
      </c>
      <c r="F882" s="8" t="str">
        <f>IF($A882="","",IF(ISNUMBER(FIND("IMPVOL",F$1)),_xll.BDH(config!$G$4,F$1,WORKDAY($A882,-1,config_Holiday_Calendar_US),WORKDAY($A882,-1,config_Holiday_Calendar_US)),IF(ISNUMBER(_xll.BDH(config!$G$4,F$1,$A882,$A882)),_xll.BDH(config!$G$4,F$1,$A882,$A882),_xll.BDH(config!$G$5,F$1,$A882,$A882))))</f>
        <v/>
      </c>
      <c r="G882" s="8" t="str">
        <f>IF($A882="","",IF(ISNUMBER(FIND("IMPVOL",G$1)),_xll.BDH(config!$G$4,G$1,WORKDAY($A882,-1,config_Holiday_Calendar_US),WORKDAY($A882,-1,config_Holiday_Calendar_US)),IF(ISNUMBER(_xll.BDH(config!$G$4,G$1,$A882,$A882)),_xll.BDH(config!$G$4,G$1,$A882,$A882),_xll.BDH(config!$G$5,G$1,$A882,$A882))))</f>
        <v/>
      </c>
      <c r="H882" s="8" t="str">
        <f>IF($A882="","",IF(ISNUMBER(FIND("IMPVOL",H$1)),_xll.BDH(config!$G$4,H$1,WORKDAY($A882,-1,config_Holiday_Calendar_US),WORKDAY($A882,-1,config_Holiday_Calendar_US)),IF(ISNUMBER(_xll.BDH(config!$G$4,H$1,$A882,$A882)),_xll.BDH(config!$G$4,H$1,$A882,$A882),_xll.BDH(config!$G$5,H$1,$A882,$A882))))</f>
        <v/>
      </c>
      <c r="I882" s="8" t="str">
        <f>IF($A882="","",IF(ISNUMBER(FIND("IMPVOL",I$1)),_xll.BDH(config!$G$4,I$1,WORKDAY($A882,-1,config_Holiday_Calendar_US),WORKDAY($A882,-1,config_Holiday_Calendar_US)),IF(ISNUMBER(_xll.BDH(config!$G$4,I$1,$A882,$A882)),_xll.BDH(config!$G$4,I$1,$A882,$A882),_xll.BDH(config!$G$5,I$1,$A882,$A882))))</f>
        <v/>
      </c>
      <c r="J882" s="8" t="str">
        <f>IF($A882="","",IF(ISNUMBER(FIND("IMPVOL",J$1)),_xll.BDH(config!$G$4,J$1,WORKDAY($A882,-1,config_Holiday_Calendar_US),WORKDAY($A882,-1,config_Holiday_Calendar_US)),IF(ISNUMBER(_xll.BDH(config!$G$4,J$1,$A882,$A882)),_xll.BDH(config!$G$4,J$1,$A882,$A882),_xll.BDH(config!$G$5,J$1,$A882,$A882))))</f>
        <v/>
      </c>
      <c r="K882" s="8" t="str">
        <f>IF($A882="","",IF(ISNUMBER(FIND("IMPVOL",K$1)),_xll.BDH(config!$G$4,K$1,WORKDAY($A882,-1,config_Holiday_Calendar_US),WORKDAY($A882,-1,config_Holiday_Calendar_US)),IF(ISNUMBER(_xll.BDH(config!$G$4,K$1,$A882,$A882)),_xll.BDH(config!$G$4,K$1,$A882,$A882),_xll.BDH(config!$G$5,K$1,$A882,$A882))))</f>
        <v/>
      </c>
      <c r="L882" s="8" t="str">
        <f>IF($A882="","",IF(ISNUMBER(FIND("IMPVOL",L$1)),_xll.BDH(config!$G$4,L$1,WORKDAY($A882,-1,config_Holiday_Calendar_US),WORKDAY($A882,-1,config_Holiday_Calendar_US)),IF(ISNUMBER(_xll.BDH(config!$G$4,L$1,$A882,$A882)),_xll.BDH(config!$G$4,L$1,$A882,$A882),_xll.BDH(config!$G$5,L$1,$A882,$A882))))</f>
        <v/>
      </c>
      <c r="M882" s="8" t="str">
        <f>IF($A882="","",IF(ISNUMBER(FIND("IMPVOL",M$1)),_xll.BDH(config!$G$4,M$1,WORKDAY($A882,-1,config_Holiday_Calendar_US),WORKDAY($A882,-1,config_Holiday_Calendar_US)),IF(ISNUMBER(_xll.BDH(config!$G$4,M$1,$A882,$A882)),_xll.BDH(config!$G$4,M$1,$A882,$A882),_xll.BDH(config!$G$5,M$1,$A882,$A882))))</f>
        <v/>
      </c>
      <c r="N882" s="8" t="str">
        <f>IF($A882="","",IF(ISNUMBER(FIND("IMPVOL",N$1)),_xll.BDH(config!$G$4,N$1,WORKDAY($A882,-1,config_Holiday_Calendar_US),WORKDAY($A882,-1,config_Holiday_Calendar_US)),IF(ISNUMBER(_xll.BDH(config!$G$4,N$1,$A882,$A882)),_xll.BDH(config!$G$4,N$1,$A882,$A882),_xll.BDH(config!$G$5,N$1,$A882,$A882))))</f>
        <v/>
      </c>
      <c r="O882" s="8" t="str">
        <f>IF($A882="","",IF(ISNUMBER(FIND("IMPVOL",O$1)),_xll.BDH(config!$G$4,O$1,WORKDAY($A882,-1,config_Holiday_Calendar_US),WORKDAY($A882,-1,config_Holiday_Calendar_US)),IF(ISNUMBER(_xll.BDH(config!$G$4,O$1,$A882,$A882)),_xll.BDH(config!$G$4,O$1,$A882,$A882),_xll.BDH(config!$G$5,O$1,$A882,$A882))))</f>
        <v/>
      </c>
      <c r="P882" s="8" t="str">
        <f>IF($A882="","",IF(ISNUMBER(FIND("IMPVOL",P$1)),_xll.BDH(config!$G$4,P$1,WORKDAY($A882,-1,config_Holiday_Calendar_US),WORKDAY($A882,-1,config_Holiday_Calendar_US)),IF(ISNUMBER(_xll.BDH(config!$G$4,P$1,$A882,$A882)),_xll.BDH(config!$G$4,P$1,$A882,$A882),_xll.BDH(config!$G$5,P$1,$A882,$A882))))</f>
        <v/>
      </c>
      <c r="Q882" s="8" t="str">
        <f>IF($A882="","",IF(ISNUMBER(FIND("IMPVOL",Q$1)),_xll.BDH(config!$G$4,Q$1,WORKDAY($A882,-1,config_Holiday_Calendar_US),WORKDAY($A882,-1,config_Holiday_Calendar_US)),IF(ISNUMBER(_xll.BDH(config!$G$4,Q$1,$A882,$A882)),_xll.BDH(config!$G$4,Q$1,$A882,$A882),_xll.BDH(config!$G$5,Q$1,$A882,$A882))))</f>
        <v/>
      </c>
      <c r="R882" s="8" t="str">
        <f>IF($A882="","",IF(ISNUMBER(FIND("IMPVOL",R$1)),_xll.BDH(config!$G$4,R$1,WORKDAY($A882,-1,config_Holiday_Calendar_US),WORKDAY($A882,-1,config_Holiday_Calendar_US)),IF(ISNUMBER(_xll.BDH(config!$G$4,R$1,$A882,$A882)),_xll.BDH(config!$G$4,R$1,$A882,$A882),_xll.BDH(config!$G$5,R$1,$A882,$A882))))</f>
        <v/>
      </c>
      <c r="S882" s="8" t="str">
        <f>IF($A882="","",IF(ISNUMBER(FIND("IMPVOL",S$1)),_xll.BDH(config!$G$4,S$1,WORKDAY($A882,-1,config_Holiday_Calendar_US),WORKDAY($A882,-1,config_Holiday_Calendar_US)),IF(ISNUMBER(_xll.BDH(config!$G$4,S$1,$A882,$A882)),_xll.BDH(config!$G$4,S$1,$A882,$A882),_xll.BDH(config!$G$5,S$1,$A882,$A882))))</f>
        <v/>
      </c>
      <c r="T882" s="8" t="str">
        <f>IF($A882="","",IF(ISNUMBER(FIND("IMPVOL",T$1)),_xll.BDH(config!$G$4,T$1,WORKDAY($A882,-1,config_Holiday_Calendar_US),WORKDAY($A882,-1,config_Holiday_Calendar_US)),IF(ISNUMBER(_xll.BDH(config!$G$4,T$1,$A882,$A882)),_xll.BDH(config!$G$4,T$1,$A882,$A882),_xll.BDH(config!$G$5,T$1,$A882,$A882))))</f>
        <v/>
      </c>
      <c r="U882" s="8" t="str">
        <f>IF($A882="","",IF(ISNUMBER(FIND("IMPVOL",U$1)),_xll.BDH(config!$G$4,U$1,WORKDAY($A882,-1,config_Holiday_Calendar_US),WORKDAY($A882,-1,config_Holiday_Calendar_US)),IF(ISNUMBER(_xll.BDH(config!$G$4,U$1,$A882,$A882)),_xll.BDH(config!$G$4,U$1,$A882,$A882),_xll.BDH(config!$G$5,U$1,$A882,$A882))))</f>
        <v/>
      </c>
      <c r="V882" s="8" t="str">
        <f>IF($A882="","",IF(ISNUMBER(FIND("IMPVOL",V$1)),_xll.BDH(config!$G$4,V$1,WORKDAY($A882,-1,config_Holiday_Calendar_US),WORKDAY($A882,-1,config_Holiday_Calendar_US)),IF(ISNUMBER(_xll.BDH(config!$G$4,V$1,$A882,$A882)),_xll.BDH(config!$G$4,V$1,$A882,$A882),_xll.BDH(config!$G$5,V$1,$A882,$A882))))</f>
        <v/>
      </c>
      <c r="W882" s="8" t="str">
        <f>IF($A882="","",IF(ISNUMBER(FIND("IMPVOL",W$1)),_xll.BDH(config!$G$4,W$1,WORKDAY($A882,-1,config_Holiday_Calendar_US),WORKDAY($A882,-1,config_Holiday_Calendar_US)),IF(ISNUMBER(_xll.BDH(config!$G$4,W$1,$A882,$A882)),_xll.BDH(config!$G$4,W$1,$A882,$A882),_xll.BDH(config!$G$5,W$1,$A882,$A882))))</f>
        <v/>
      </c>
    </row>
    <row r="883" spans="1:23" x14ac:dyDescent="0.2">
      <c r="A883" s="9" t="str">
        <f>IF(A882="","",IF(WORKDAY(A882,-1,config_Holiday_Calendar_US)&lt;config!$I$10,"",WORKDAY(A882,-1,config_Holiday_Calendar_US)))</f>
        <v/>
      </c>
      <c r="B883" s="8" t="str">
        <f t="shared" si="13"/>
        <v/>
      </c>
      <c r="C883" s="8" t="str">
        <f>IF(A883="","",_xll.BDH(config!$H$4,C$1,$A883,$A883))</f>
        <v/>
      </c>
      <c r="D883" s="8" t="str">
        <f>IF($A883="","",_xll.BDH(config!$H$4,D$1,$A883,$A883))</f>
        <v/>
      </c>
      <c r="E883" s="8" t="str">
        <f>IF($A883="","",IF(ISNUMBER(FIND("IMPVOL",E$1)),_xll.BDH(config!$G$4,E$1,WORKDAY($A883,-1,config_Holiday_Calendar_US),WORKDAY($A883,-1,config_Holiday_Calendar_US)),IF(ISNUMBER(_xll.BDH(config!$G$4,E$1,$A883,$A883)),_xll.BDH(config!$G$4,E$1,$A883,$A883),_xll.BDH(config!$G$5,E$1,$A883,$A883))))</f>
        <v/>
      </c>
      <c r="F883" s="8" t="str">
        <f>IF($A883="","",IF(ISNUMBER(FIND("IMPVOL",F$1)),_xll.BDH(config!$G$4,F$1,WORKDAY($A883,-1,config_Holiday_Calendar_US),WORKDAY($A883,-1,config_Holiday_Calendar_US)),IF(ISNUMBER(_xll.BDH(config!$G$4,F$1,$A883,$A883)),_xll.BDH(config!$G$4,F$1,$A883,$A883),_xll.BDH(config!$G$5,F$1,$A883,$A883))))</f>
        <v/>
      </c>
      <c r="G883" s="8" t="str">
        <f>IF($A883="","",IF(ISNUMBER(FIND("IMPVOL",G$1)),_xll.BDH(config!$G$4,G$1,WORKDAY($A883,-1,config_Holiday_Calendar_US),WORKDAY($A883,-1,config_Holiday_Calendar_US)),IF(ISNUMBER(_xll.BDH(config!$G$4,G$1,$A883,$A883)),_xll.BDH(config!$G$4,G$1,$A883,$A883),_xll.BDH(config!$G$5,G$1,$A883,$A883))))</f>
        <v/>
      </c>
      <c r="H883" s="8" t="str">
        <f>IF($A883="","",IF(ISNUMBER(FIND("IMPVOL",H$1)),_xll.BDH(config!$G$4,H$1,WORKDAY($A883,-1,config_Holiday_Calendar_US),WORKDAY($A883,-1,config_Holiday_Calendar_US)),IF(ISNUMBER(_xll.BDH(config!$G$4,H$1,$A883,$A883)),_xll.BDH(config!$G$4,H$1,$A883,$A883),_xll.BDH(config!$G$5,H$1,$A883,$A883))))</f>
        <v/>
      </c>
      <c r="I883" s="8" t="str">
        <f>IF($A883="","",IF(ISNUMBER(FIND("IMPVOL",I$1)),_xll.BDH(config!$G$4,I$1,WORKDAY($A883,-1,config_Holiday_Calendar_US),WORKDAY($A883,-1,config_Holiday_Calendar_US)),IF(ISNUMBER(_xll.BDH(config!$G$4,I$1,$A883,$A883)),_xll.BDH(config!$G$4,I$1,$A883,$A883),_xll.BDH(config!$G$5,I$1,$A883,$A883))))</f>
        <v/>
      </c>
      <c r="J883" s="8" t="str">
        <f>IF($A883="","",IF(ISNUMBER(FIND("IMPVOL",J$1)),_xll.BDH(config!$G$4,J$1,WORKDAY($A883,-1,config_Holiday_Calendar_US),WORKDAY($A883,-1,config_Holiday_Calendar_US)),IF(ISNUMBER(_xll.BDH(config!$G$4,J$1,$A883,$A883)),_xll.BDH(config!$G$4,J$1,$A883,$A883),_xll.BDH(config!$G$5,J$1,$A883,$A883))))</f>
        <v/>
      </c>
      <c r="K883" s="8" t="str">
        <f>IF($A883="","",IF(ISNUMBER(FIND("IMPVOL",K$1)),_xll.BDH(config!$G$4,K$1,WORKDAY($A883,-1,config_Holiday_Calendar_US),WORKDAY($A883,-1,config_Holiday_Calendar_US)),IF(ISNUMBER(_xll.BDH(config!$G$4,K$1,$A883,$A883)),_xll.BDH(config!$G$4,K$1,$A883,$A883),_xll.BDH(config!$G$5,K$1,$A883,$A883))))</f>
        <v/>
      </c>
      <c r="L883" s="8" t="str">
        <f>IF($A883="","",IF(ISNUMBER(FIND("IMPVOL",L$1)),_xll.BDH(config!$G$4,L$1,WORKDAY($A883,-1,config_Holiday_Calendar_US),WORKDAY($A883,-1,config_Holiday_Calendar_US)),IF(ISNUMBER(_xll.BDH(config!$G$4,L$1,$A883,$A883)),_xll.BDH(config!$G$4,L$1,$A883,$A883),_xll.BDH(config!$G$5,L$1,$A883,$A883))))</f>
        <v/>
      </c>
      <c r="M883" s="8" t="str">
        <f>IF($A883="","",IF(ISNUMBER(FIND("IMPVOL",M$1)),_xll.BDH(config!$G$4,M$1,WORKDAY($A883,-1,config_Holiday_Calendar_US),WORKDAY($A883,-1,config_Holiday_Calendar_US)),IF(ISNUMBER(_xll.BDH(config!$G$4,M$1,$A883,$A883)),_xll.BDH(config!$G$4,M$1,$A883,$A883),_xll.BDH(config!$G$5,M$1,$A883,$A883))))</f>
        <v/>
      </c>
      <c r="N883" s="8" t="str">
        <f>IF($A883="","",IF(ISNUMBER(FIND("IMPVOL",N$1)),_xll.BDH(config!$G$4,N$1,WORKDAY($A883,-1,config_Holiday_Calendar_US),WORKDAY($A883,-1,config_Holiday_Calendar_US)),IF(ISNUMBER(_xll.BDH(config!$G$4,N$1,$A883,$A883)),_xll.BDH(config!$G$4,N$1,$A883,$A883),_xll.BDH(config!$G$5,N$1,$A883,$A883))))</f>
        <v/>
      </c>
      <c r="O883" s="8" t="str">
        <f>IF($A883="","",IF(ISNUMBER(FIND("IMPVOL",O$1)),_xll.BDH(config!$G$4,O$1,WORKDAY($A883,-1,config_Holiday_Calendar_US),WORKDAY($A883,-1,config_Holiday_Calendar_US)),IF(ISNUMBER(_xll.BDH(config!$G$4,O$1,$A883,$A883)),_xll.BDH(config!$G$4,O$1,$A883,$A883),_xll.BDH(config!$G$5,O$1,$A883,$A883))))</f>
        <v/>
      </c>
      <c r="P883" s="8" t="str">
        <f>IF($A883="","",IF(ISNUMBER(FIND("IMPVOL",P$1)),_xll.BDH(config!$G$4,P$1,WORKDAY($A883,-1,config_Holiday_Calendar_US),WORKDAY($A883,-1,config_Holiday_Calendar_US)),IF(ISNUMBER(_xll.BDH(config!$G$4,P$1,$A883,$A883)),_xll.BDH(config!$G$4,P$1,$A883,$A883),_xll.BDH(config!$G$5,P$1,$A883,$A883))))</f>
        <v/>
      </c>
      <c r="Q883" s="8" t="str">
        <f>IF($A883="","",IF(ISNUMBER(FIND("IMPVOL",Q$1)),_xll.BDH(config!$G$4,Q$1,WORKDAY($A883,-1,config_Holiday_Calendar_US),WORKDAY($A883,-1,config_Holiday_Calendar_US)),IF(ISNUMBER(_xll.BDH(config!$G$4,Q$1,$A883,$A883)),_xll.BDH(config!$G$4,Q$1,$A883,$A883),_xll.BDH(config!$G$5,Q$1,$A883,$A883))))</f>
        <v/>
      </c>
      <c r="R883" s="8" t="str">
        <f>IF($A883="","",IF(ISNUMBER(FIND("IMPVOL",R$1)),_xll.BDH(config!$G$4,R$1,WORKDAY($A883,-1,config_Holiday_Calendar_US),WORKDAY($A883,-1,config_Holiday_Calendar_US)),IF(ISNUMBER(_xll.BDH(config!$G$4,R$1,$A883,$A883)),_xll.BDH(config!$G$4,R$1,$A883,$A883),_xll.BDH(config!$G$5,R$1,$A883,$A883))))</f>
        <v/>
      </c>
      <c r="S883" s="8" t="str">
        <f>IF($A883="","",IF(ISNUMBER(FIND("IMPVOL",S$1)),_xll.BDH(config!$G$4,S$1,WORKDAY($A883,-1,config_Holiday_Calendar_US),WORKDAY($A883,-1,config_Holiday_Calendar_US)),IF(ISNUMBER(_xll.BDH(config!$G$4,S$1,$A883,$A883)),_xll.BDH(config!$G$4,S$1,$A883,$A883),_xll.BDH(config!$G$5,S$1,$A883,$A883))))</f>
        <v/>
      </c>
      <c r="T883" s="8" t="str">
        <f>IF($A883="","",IF(ISNUMBER(FIND("IMPVOL",T$1)),_xll.BDH(config!$G$4,T$1,WORKDAY($A883,-1,config_Holiday_Calendar_US),WORKDAY($A883,-1,config_Holiday_Calendar_US)),IF(ISNUMBER(_xll.BDH(config!$G$4,T$1,$A883,$A883)),_xll.BDH(config!$G$4,T$1,$A883,$A883),_xll.BDH(config!$G$5,T$1,$A883,$A883))))</f>
        <v/>
      </c>
      <c r="U883" s="8" t="str">
        <f>IF($A883="","",IF(ISNUMBER(FIND("IMPVOL",U$1)),_xll.BDH(config!$G$4,U$1,WORKDAY($A883,-1,config_Holiday_Calendar_US),WORKDAY($A883,-1,config_Holiday_Calendar_US)),IF(ISNUMBER(_xll.BDH(config!$G$4,U$1,$A883,$A883)),_xll.BDH(config!$G$4,U$1,$A883,$A883),_xll.BDH(config!$G$5,U$1,$A883,$A883))))</f>
        <v/>
      </c>
      <c r="V883" s="8" t="str">
        <f>IF($A883="","",IF(ISNUMBER(FIND("IMPVOL",V$1)),_xll.BDH(config!$G$4,V$1,WORKDAY($A883,-1,config_Holiday_Calendar_US),WORKDAY($A883,-1,config_Holiday_Calendar_US)),IF(ISNUMBER(_xll.BDH(config!$G$4,V$1,$A883,$A883)),_xll.BDH(config!$G$4,V$1,$A883,$A883),_xll.BDH(config!$G$5,V$1,$A883,$A883))))</f>
        <v/>
      </c>
      <c r="W883" s="8" t="str">
        <f>IF($A883="","",IF(ISNUMBER(FIND("IMPVOL",W$1)),_xll.BDH(config!$G$4,W$1,WORKDAY($A883,-1,config_Holiday_Calendar_US),WORKDAY($A883,-1,config_Holiday_Calendar_US)),IF(ISNUMBER(_xll.BDH(config!$G$4,W$1,$A883,$A883)),_xll.BDH(config!$G$4,W$1,$A883,$A883),_xll.BDH(config!$G$5,W$1,$A883,$A883))))</f>
        <v/>
      </c>
    </row>
    <row r="884" spans="1:23" x14ac:dyDescent="0.2">
      <c r="A884" s="9" t="str">
        <f>IF(A883="","",IF(WORKDAY(A883,-1,config_Holiday_Calendar_US)&lt;config!$I$10,"",WORKDAY(A883,-1,config_Holiday_Calendar_US)))</f>
        <v/>
      </c>
      <c r="B884" s="8" t="str">
        <f t="shared" si="13"/>
        <v/>
      </c>
      <c r="C884" s="8" t="str">
        <f>IF(A884="","",_xll.BDH(config!$H$4,C$1,$A884,$A884))</f>
        <v/>
      </c>
      <c r="D884" s="8" t="str">
        <f>IF($A884="","",_xll.BDH(config!$H$4,D$1,$A884,$A884))</f>
        <v/>
      </c>
      <c r="E884" s="8" t="str">
        <f>IF($A884="","",IF(ISNUMBER(FIND("IMPVOL",E$1)),_xll.BDH(config!$G$4,E$1,WORKDAY($A884,-1,config_Holiday_Calendar_US),WORKDAY($A884,-1,config_Holiday_Calendar_US)),IF(ISNUMBER(_xll.BDH(config!$G$4,E$1,$A884,$A884)),_xll.BDH(config!$G$4,E$1,$A884,$A884),_xll.BDH(config!$G$5,E$1,$A884,$A884))))</f>
        <v/>
      </c>
      <c r="F884" s="8" t="str">
        <f>IF($A884="","",IF(ISNUMBER(FIND("IMPVOL",F$1)),_xll.BDH(config!$G$4,F$1,WORKDAY($A884,-1,config_Holiday_Calendar_US),WORKDAY($A884,-1,config_Holiday_Calendar_US)),IF(ISNUMBER(_xll.BDH(config!$G$4,F$1,$A884,$A884)),_xll.BDH(config!$G$4,F$1,$A884,$A884),_xll.BDH(config!$G$5,F$1,$A884,$A884))))</f>
        <v/>
      </c>
      <c r="G884" s="8" t="str">
        <f>IF($A884="","",IF(ISNUMBER(FIND("IMPVOL",G$1)),_xll.BDH(config!$G$4,G$1,WORKDAY($A884,-1,config_Holiday_Calendar_US),WORKDAY($A884,-1,config_Holiday_Calendar_US)),IF(ISNUMBER(_xll.BDH(config!$G$4,G$1,$A884,$A884)),_xll.BDH(config!$G$4,G$1,$A884,$A884),_xll.BDH(config!$G$5,G$1,$A884,$A884))))</f>
        <v/>
      </c>
      <c r="H884" s="8" t="str">
        <f>IF($A884="","",IF(ISNUMBER(FIND("IMPVOL",H$1)),_xll.BDH(config!$G$4,H$1,WORKDAY($A884,-1,config_Holiday_Calendar_US),WORKDAY($A884,-1,config_Holiday_Calendar_US)),IF(ISNUMBER(_xll.BDH(config!$G$4,H$1,$A884,$A884)),_xll.BDH(config!$G$4,H$1,$A884,$A884),_xll.BDH(config!$G$5,H$1,$A884,$A884))))</f>
        <v/>
      </c>
      <c r="I884" s="8" t="str">
        <f>IF($A884="","",IF(ISNUMBER(FIND("IMPVOL",I$1)),_xll.BDH(config!$G$4,I$1,WORKDAY($A884,-1,config_Holiday_Calendar_US),WORKDAY($A884,-1,config_Holiday_Calendar_US)),IF(ISNUMBER(_xll.BDH(config!$G$4,I$1,$A884,$A884)),_xll.BDH(config!$G$4,I$1,$A884,$A884),_xll.BDH(config!$G$5,I$1,$A884,$A884))))</f>
        <v/>
      </c>
      <c r="J884" s="8" t="str">
        <f>IF($A884="","",IF(ISNUMBER(FIND("IMPVOL",J$1)),_xll.BDH(config!$G$4,J$1,WORKDAY($A884,-1,config_Holiday_Calendar_US),WORKDAY($A884,-1,config_Holiday_Calendar_US)),IF(ISNUMBER(_xll.BDH(config!$G$4,J$1,$A884,$A884)),_xll.BDH(config!$G$4,J$1,$A884,$A884),_xll.BDH(config!$G$5,J$1,$A884,$A884))))</f>
        <v/>
      </c>
      <c r="K884" s="8" t="str">
        <f>IF($A884="","",IF(ISNUMBER(FIND("IMPVOL",K$1)),_xll.BDH(config!$G$4,K$1,WORKDAY($A884,-1,config_Holiday_Calendar_US),WORKDAY($A884,-1,config_Holiday_Calendar_US)),IF(ISNUMBER(_xll.BDH(config!$G$4,K$1,$A884,$A884)),_xll.BDH(config!$G$4,K$1,$A884,$A884),_xll.BDH(config!$G$5,K$1,$A884,$A884))))</f>
        <v/>
      </c>
      <c r="L884" s="8" t="str">
        <f>IF($A884="","",IF(ISNUMBER(FIND("IMPVOL",L$1)),_xll.BDH(config!$G$4,L$1,WORKDAY($A884,-1,config_Holiday_Calendar_US),WORKDAY($A884,-1,config_Holiday_Calendar_US)),IF(ISNUMBER(_xll.BDH(config!$G$4,L$1,$A884,$A884)),_xll.BDH(config!$G$4,L$1,$A884,$A884),_xll.BDH(config!$G$5,L$1,$A884,$A884))))</f>
        <v/>
      </c>
      <c r="M884" s="8" t="str">
        <f>IF($A884="","",IF(ISNUMBER(FIND("IMPVOL",M$1)),_xll.BDH(config!$G$4,M$1,WORKDAY($A884,-1,config_Holiday_Calendar_US),WORKDAY($A884,-1,config_Holiday_Calendar_US)),IF(ISNUMBER(_xll.BDH(config!$G$4,M$1,$A884,$A884)),_xll.BDH(config!$G$4,M$1,$A884,$A884),_xll.BDH(config!$G$5,M$1,$A884,$A884))))</f>
        <v/>
      </c>
      <c r="N884" s="8" t="str">
        <f>IF($A884="","",IF(ISNUMBER(FIND("IMPVOL",N$1)),_xll.BDH(config!$G$4,N$1,WORKDAY($A884,-1,config_Holiday_Calendar_US),WORKDAY($A884,-1,config_Holiday_Calendar_US)),IF(ISNUMBER(_xll.BDH(config!$G$4,N$1,$A884,$A884)),_xll.BDH(config!$G$4,N$1,$A884,$A884),_xll.BDH(config!$G$5,N$1,$A884,$A884))))</f>
        <v/>
      </c>
      <c r="O884" s="8" t="str">
        <f>IF($A884="","",IF(ISNUMBER(FIND("IMPVOL",O$1)),_xll.BDH(config!$G$4,O$1,WORKDAY($A884,-1,config_Holiday_Calendar_US),WORKDAY($A884,-1,config_Holiday_Calendar_US)),IF(ISNUMBER(_xll.BDH(config!$G$4,O$1,$A884,$A884)),_xll.BDH(config!$G$4,O$1,$A884,$A884),_xll.BDH(config!$G$5,O$1,$A884,$A884))))</f>
        <v/>
      </c>
      <c r="P884" s="8" t="str">
        <f>IF($A884="","",IF(ISNUMBER(FIND("IMPVOL",P$1)),_xll.BDH(config!$G$4,P$1,WORKDAY($A884,-1,config_Holiday_Calendar_US),WORKDAY($A884,-1,config_Holiday_Calendar_US)),IF(ISNUMBER(_xll.BDH(config!$G$4,P$1,$A884,$A884)),_xll.BDH(config!$G$4,P$1,$A884,$A884),_xll.BDH(config!$G$5,P$1,$A884,$A884))))</f>
        <v/>
      </c>
      <c r="Q884" s="8" t="str">
        <f>IF($A884="","",IF(ISNUMBER(FIND("IMPVOL",Q$1)),_xll.BDH(config!$G$4,Q$1,WORKDAY($A884,-1,config_Holiday_Calendar_US),WORKDAY($A884,-1,config_Holiday_Calendar_US)),IF(ISNUMBER(_xll.BDH(config!$G$4,Q$1,$A884,$A884)),_xll.BDH(config!$G$4,Q$1,$A884,$A884),_xll.BDH(config!$G$5,Q$1,$A884,$A884))))</f>
        <v/>
      </c>
      <c r="R884" s="8" t="str">
        <f>IF($A884="","",IF(ISNUMBER(FIND("IMPVOL",R$1)),_xll.BDH(config!$G$4,R$1,WORKDAY($A884,-1,config_Holiday_Calendar_US),WORKDAY($A884,-1,config_Holiday_Calendar_US)),IF(ISNUMBER(_xll.BDH(config!$G$4,R$1,$A884,$A884)),_xll.BDH(config!$G$4,R$1,$A884,$A884),_xll.BDH(config!$G$5,R$1,$A884,$A884))))</f>
        <v/>
      </c>
      <c r="S884" s="8" t="str">
        <f>IF($A884="","",IF(ISNUMBER(FIND("IMPVOL",S$1)),_xll.BDH(config!$G$4,S$1,WORKDAY($A884,-1,config_Holiday_Calendar_US),WORKDAY($A884,-1,config_Holiday_Calendar_US)),IF(ISNUMBER(_xll.BDH(config!$G$4,S$1,$A884,$A884)),_xll.BDH(config!$G$4,S$1,$A884,$A884),_xll.BDH(config!$G$5,S$1,$A884,$A884))))</f>
        <v/>
      </c>
      <c r="T884" s="8" t="str">
        <f>IF($A884="","",IF(ISNUMBER(FIND("IMPVOL",T$1)),_xll.BDH(config!$G$4,T$1,WORKDAY($A884,-1,config_Holiday_Calendar_US),WORKDAY($A884,-1,config_Holiday_Calendar_US)),IF(ISNUMBER(_xll.BDH(config!$G$4,T$1,$A884,$A884)),_xll.BDH(config!$G$4,T$1,$A884,$A884),_xll.BDH(config!$G$5,T$1,$A884,$A884))))</f>
        <v/>
      </c>
      <c r="U884" s="8" t="str">
        <f>IF($A884="","",IF(ISNUMBER(FIND("IMPVOL",U$1)),_xll.BDH(config!$G$4,U$1,WORKDAY($A884,-1,config_Holiday_Calendar_US),WORKDAY($A884,-1,config_Holiday_Calendar_US)),IF(ISNUMBER(_xll.BDH(config!$G$4,U$1,$A884,$A884)),_xll.BDH(config!$G$4,U$1,$A884,$A884),_xll.BDH(config!$G$5,U$1,$A884,$A884))))</f>
        <v/>
      </c>
      <c r="V884" s="8" t="str">
        <f>IF($A884="","",IF(ISNUMBER(FIND("IMPVOL",V$1)),_xll.BDH(config!$G$4,V$1,WORKDAY($A884,-1,config_Holiday_Calendar_US),WORKDAY($A884,-1,config_Holiday_Calendar_US)),IF(ISNUMBER(_xll.BDH(config!$G$4,V$1,$A884,$A884)),_xll.BDH(config!$G$4,V$1,$A884,$A884),_xll.BDH(config!$G$5,V$1,$A884,$A884))))</f>
        <v/>
      </c>
      <c r="W884" s="8" t="str">
        <f>IF($A884="","",IF(ISNUMBER(FIND("IMPVOL",W$1)),_xll.BDH(config!$G$4,W$1,WORKDAY($A884,-1,config_Holiday_Calendar_US),WORKDAY($A884,-1,config_Holiday_Calendar_US)),IF(ISNUMBER(_xll.BDH(config!$G$4,W$1,$A884,$A884)),_xll.BDH(config!$G$4,W$1,$A884,$A884),_xll.BDH(config!$G$5,W$1,$A884,$A884))))</f>
        <v/>
      </c>
    </row>
    <row r="885" spans="1:23" x14ac:dyDescent="0.2">
      <c r="A885" s="9" t="str">
        <f>IF(A884="","",IF(WORKDAY(A884,-1,config_Holiday_Calendar_US)&lt;config!$I$10,"",WORKDAY(A884,-1,config_Holiday_Calendar_US)))</f>
        <v/>
      </c>
      <c r="B885" s="8" t="str">
        <f t="shared" si="13"/>
        <v/>
      </c>
      <c r="C885" s="8" t="str">
        <f>IF(A885="","",_xll.BDH(config!$H$4,C$1,$A885,$A885))</f>
        <v/>
      </c>
      <c r="D885" s="8" t="str">
        <f>IF($A885="","",_xll.BDH(config!$H$4,D$1,$A885,$A885))</f>
        <v/>
      </c>
      <c r="E885" s="8" t="str">
        <f>IF($A885="","",IF(ISNUMBER(FIND("IMPVOL",E$1)),_xll.BDH(config!$G$4,E$1,WORKDAY($A885,-1,config_Holiday_Calendar_US),WORKDAY($A885,-1,config_Holiday_Calendar_US)),IF(ISNUMBER(_xll.BDH(config!$G$4,E$1,$A885,$A885)),_xll.BDH(config!$G$4,E$1,$A885,$A885),_xll.BDH(config!$G$5,E$1,$A885,$A885))))</f>
        <v/>
      </c>
      <c r="F885" s="8" t="str">
        <f>IF($A885="","",IF(ISNUMBER(FIND("IMPVOL",F$1)),_xll.BDH(config!$G$4,F$1,WORKDAY($A885,-1,config_Holiday_Calendar_US),WORKDAY($A885,-1,config_Holiday_Calendar_US)),IF(ISNUMBER(_xll.BDH(config!$G$4,F$1,$A885,$A885)),_xll.BDH(config!$G$4,F$1,$A885,$A885),_xll.BDH(config!$G$5,F$1,$A885,$A885))))</f>
        <v/>
      </c>
      <c r="G885" s="8" t="str">
        <f>IF($A885="","",IF(ISNUMBER(FIND("IMPVOL",G$1)),_xll.BDH(config!$G$4,G$1,WORKDAY($A885,-1,config_Holiday_Calendar_US),WORKDAY($A885,-1,config_Holiday_Calendar_US)),IF(ISNUMBER(_xll.BDH(config!$G$4,G$1,$A885,$A885)),_xll.BDH(config!$G$4,G$1,$A885,$A885),_xll.BDH(config!$G$5,G$1,$A885,$A885))))</f>
        <v/>
      </c>
      <c r="H885" s="8" t="str">
        <f>IF($A885="","",IF(ISNUMBER(FIND("IMPVOL",H$1)),_xll.BDH(config!$G$4,H$1,WORKDAY($A885,-1,config_Holiday_Calendar_US),WORKDAY($A885,-1,config_Holiday_Calendar_US)),IF(ISNUMBER(_xll.BDH(config!$G$4,H$1,$A885,$A885)),_xll.BDH(config!$G$4,H$1,$A885,$A885),_xll.BDH(config!$G$5,H$1,$A885,$A885))))</f>
        <v/>
      </c>
      <c r="I885" s="8" t="str">
        <f>IF($A885="","",IF(ISNUMBER(FIND("IMPVOL",I$1)),_xll.BDH(config!$G$4,I$1,WORKDAY($A885,-1,config_Holiday_Calendar_US),WORKDAY($A885,-1,config_Holiday_Calendar_US)),IF(ISNUMBER(_xll.BDH(config!$G$4,I$1,$A885,$A885)),_xll.BDH(config!$G$4,I$1,$A885,$A885),_xll.BDH(config!$G$5,I$1,$A885,$A885))))</f>
        <v/>
      </c>
      <c r="J885" s="8" t="str">
        <f>IF($A885="","",IF(ISNUMBER(FIND("IMPVOL",J$1)),_xll.BDH(config!$G$4,J$1,WORKDAY($A885,-1,config_Holiday_Calendar_US),WORKDAY($A885,-1,config_Holiday_Calendar_US)),IF(ISNUMBER(_xll.BDH(config!$G$4,J$1,$A885,$A885)),_xll.BDH(config!$G$4,J$1,$A885,$A885),_xll.BDH(config!$G$5,J$1,$A885,$A885))))</f>
        <v/>
      </c>
      <c r="K885" s="8" t="str">
        <f>IF($A885="","",IF(ISNUMBER(FIND("IMPVOL",K$1)),_xll.BDH(config!$G$4,K$1,WORKDAY($A885,-1,config_Holiday_Calendar_US),WORKDAY($A885,-1,config_Holiday_Calendar_US)),IF(ISNUMBER(_xll.BDH(config!$G$4,K$1,$A885,$A885)),_xll.BDH(config!$G$4,K$1,$A885,$A885),_xll.BDH(config!$G$5,K$1,$A885,$A885))))</f>
        <v/>
      </c>
      <c r="L885" s="8" t="str">
        <f>IF($A885="","",IF(ISNUMBER(FIND("IMPVOL",L$1)),_xll.BDH(config!$G$4,L$1,WORKDAY($A885,-1,config_Holiday_Calendar_US),WORKDAY($A885,-1,config_Holiday_Calendar_US)),IF(ISNUMBER(_xll.BDH(config!$G$4,L$1,$A885,$A885)),_xll.BDH(config!$G$4,L$1,$A885,$A885),_xll.BDH(config!$G$5,L$1,$A885,$A885))))</f>
        <v/>
      </c>
      <c r="M885" s="8" t="str">
        <f>IF($A885="","",IF(ISNUMBER(FIND("IMPVOL",M$1)),_xll.BDH(config!$G$4,M$1,WORKDAY($A885,-1,config_Holiday_Calendar_US),WORKDAY($A885,-1,config_Holiday_Calendar_US)),IF(ISNUMBER(_xll.BDH(config!$G$4,M$1,$A885,$A885)),_xll.BDH(config!$G$4,M$1,$A885,$A885),_xll.BDH(config!$G$5,M$1,$A885,$A885))))</f>
        <v/>
      </c>
      <c r="N885" s="8" t="str">
        <f>IF($A885="","",IF(ISNUMBER(FIND("IMPVOL",N$1)),_xll.BDH(config!$G$4,N$1,WORKDAY($A885,-1,config_Holiday_Calendar_US),WORKDAY($A885,-1,config_Holiday_Calendar_US)),IF(ISNUMBER(_xll.BDH(config!$G$4,N$1,$A885,$A885)),_xll.BDH(config!$G$4,N$1,$A885,$A885),_xll.BDH(config!$G$5,N$1,$A885,$A885))))</f>
        <v/>
      </c>
      <c r="O885" s="8" t="str">
        <f>IF($A885="","",IF(ISNUMBER(FIND("IMPVOL",O$1)),_xll.BDH(config!$G$4,O$1,WORKDAY($A885,-1,config_Holiday_Calendar_US),WORKDAY($A885,-1,config_Holiday_Calendar_US)),IF(ISNUMBER(_xll.BDH(config!$G$4,O$1,$A885,$A885)),_xll.BDH(config!$G$4,O$1,$A885,$A885),_xll.BDH(config!$G$5,O$1,$A885,$A885))))</f>
        <v/>
      </c>
      <c r="P885" s="8" t="str">
        <f>IF($A885="","",IF(ISNUMBER(FIND("IMPVOL",P$1)),_xll.BDH(config!$G$4,P$1,WORKDAY($A885,-1,config_Holiday_Calendar_US),WORKDAY($A885,-1,config_Holiday_Calendar_US)),IF(ISNUMBER(_xll.BDH(config!$G$4,P$1,$A885,$A885)),_xll.BDH(config!$G$4,P$1,$A885,$A885),_xll.BDH(config!$G$5,P$1,$A885,$A885))))</f>
        <v/>
      </c>
      <c r="Q885" s="8" t="str">
        <f>IF($A885="","",IF(ISNUMBER(FIND("IMPVOL",Q$1)),_xll.BDH(config!$G$4,Q$1,WORKDAY($A885,-1,config_Holiday_Calendar_US),WORKDAY($A885,-1,config_Holiday_Calendar_US)),IF(ISNUMBER(_xll.BDH(config!$G$4,Q$1,$A885,$A885)),_xll.BDH(config!$G$4,Q$1,$A885,$A885),_xll.BDH(config!$G$5,Q$1,$A885,$A885))))</f>
        <v/>
      </c>
      <c r="R885" s="8" t="str">
        <f>IF($A885="","",IF(ISNUMBER(FIND("IMPVOL",R$1)),_xll.BDH(config!$G$4,R$1,WORKDAY($A885,-1,config_Holiday_Calendar_US),WORKDAY($A885,-1,config_Holiday_Calendar_US)),IF(ISNUMBER(_xll.BDH(config!$G$4,R$1,$A885,$A885)),_xll.BDH(config!$G$4,R$1,$A885,$A885),_xll.BDH(config!$G$5,R$1,$A885,$A885))))</f>
        <v/>
      </c>
      <c r="S885" s="8" t="str">
        <f>IF($A885="","",IF(ISNUMBER(FIND("IMPVOL",S$1)),_xll.BDH(config!$G$4,S$1,WORKDAY($A885,-1,config_Holiday_Calendar_US),WORKDAY($A885,-1,config_Holiday_Calendar_US)),IF(ISNUMBER(_xll.BDH(config!$G$4,S$1,$A885,$A885)),_xll.BDH(config!$G$4,S$1,$A885,$A885),_xll.BDH(config!$G$5,S$1,$A885,$A885))))</f>
        <v/>
      </c>
      <c r="T885" s="8" t="str">
        <f>IF($A885="","",IF(ISNUMBER(FIND("IMPVOL",T$1)),_xll.BDH(config!$G$4,T$1,WORKDAY($A885,-1,config_Holiday_Calendar_US),WORKDAY($A885,-1,config_Holiday_Calendar_US)),IF(ISNUMBER(_xll.BDH(config!$G$4,T$1,$A885,$A885)),_xll.BDH(config!$G$4,T$1,$A885,$A885),_xll.BDH(config!$G$5,T$1,$A885,$A885))))</f>
        <v/>
      </c>
      <c r="U885" s="8" t="str">
        <f>IF($A885="","",IF(ISNUMBER(FIND("IMPVOL",U$1)),_xll.BDH(config!$G$4,U$1,WORKDAY($A885,-1,config_Holiday_Calendar_US),WORKDAY($A885,-1,config_Holiday_Calendar_US)),IF(ISNUMBER(_xll.BDH(config!$G$4,U$1,$A885,$A885)),_xll.BDH(config!$G$4,U$1,$A885,$A885),_xll.BDH(config!$G$5,U$1,$A885,$A885))))</f>
        <v/>
      </c>
      <c r="V885" s="8" t="str">
        <f>IF($A885="","",IF(ISNUMBER(FIND("IMPVOL",V$1)),_xll.BDH(config!$G$4,V$1,WORKDAY($A885,-1,config_Holiday_Calendar_US),WORKDAY($A885,-1,config_Holiday_Calendar_US)),IF(ISNUMBER(_xll.BDH(config!$G$4,V$1,$A885,$A885)),_xll.BDH(config!$G$4,V$1,$A885,$A885),_xll.BDH(config!$G$5,V$1,$A885,$A885))))</f>
        <v/>
      </c>
      <c r="W885" s="8" t="str">
        <f>IF($A885="","",IF(ISNUMBER(FIND("IMPVOL",W$1)),_xll.BDH(config!$G$4,W$1,WORKDAY($A885,-1,config_Holiday_Calendar_US),WORKDAY($A885,-1,config_Holiday_Calendar_US)),IF(ISNUMBER(_xll.BDH(config!$G$4,W$1,$A885,$A885)),_xll.BDH(config!$G$4,W$1,$A885,$A885),_xll.BDH(config!$G$5,W$1,$A885,$A885))))</f>
        <v/>
      </c>
    </row>
    <row r="886" spans="1:23" x14ac:dyDescent="0.2">
      <c r="A886" s="9" t="str">
        <f>IF(A885="","",IF(WORKDAY(A885,-1,config_Holiday_Calendar_US)&lt;config!$I$10,"",WORKDAY(A885,-1,config_Holiday_Calendar_US)))</f>
        <v/>
      </c>
      <c r="B886" s="8" t="str">
        <f t="shared" si="13"/>
        <v/>
      </c>
      <c r="C886" s="8" t="str">
        <f>IF(A886="","",_xll.BDH(config!$H$4,C$1,$A886,$A886))</f>
        <v/>
      </c>
      <c r="D886" s="8" t="str">
        <f>IF($A886="","",_xll.BDH(config!$H$4,D$1,$A886,$A886))</f>
        <v/>
      </c>
      <c r="E886" s="8" t="str">
        <f>IF($A886="","",IF(ISNUMBER(FIND("IMPVOL",E$1)),_xll.BDH(config!$G$4,E$1,WORKDAY($A886,-1,config_Holiday_Calendar_US),WORKDAY($A886,-1,config_Holiday_Calendar_US)),IF(ISNUMBER(_xll.BDH(config!$G$4,E$1,$A886,$A886)),_xll.BDH(config!$G$4,E$1,$A886,$A886),_xll.BDH(config!$G$5,E$1,$A886,$A886))))</f>
        <v/>
      </c>
      <c r="F886" s="8" t="str">
        <f>IF($A886="","",IF(ISNUMBER(FIND("IMPVOL",F$1)),_xll.BDH(config!$G$4,F$1,WORKDAY($A886,-1,config_Holiday_Calendar_US),WORKDAY($A886,-1,config_Holiday_Calendar_US)),IF(ISNUMBER(_xll.BDH(config!$G$4,F$1,$A886,$A886)),_xll.BDH(config!$G$4,F$1,$A886,$A886),_xll.BDH(config!$G$5,F$1,$A886,$A886))))</f>
        <v/>
      </c>
      <c r="G886" s="8" t="str">
        <f>IF($A886="","",IF(ISNUMBER(FIND("IMPVOL",G$1)),_xll.BDH(config!$G$4,G$1,WORKDAY($A886,-1,config_Holiday_Calendar_US),WORKDAY($A886,-1,config_Holiday_Calendar_US)),IF(ISNUMBER(_xll.BDH(config!$G$4,G$1,$A886,$A886)),_xll.BDH(config!$G$4,G$1,$A886,$A886),_xll.BDH(config!$G$5,G$1,$A886,$A886))))</f>
        <v/>
      </c>
      <c r="H886" s="8" t="str">
        <f>IF($A886="","",IF(ISNUMBER(FIND("IMPVOL",H$1)),_xll.BDH(config!$G$4,H$1,WORKDAY($A886,-1,config_Holiday_Calendar_US),WORKDAY($A886,-1,config_Holiday_Calendar_US)),IF(ISNUMBER(_xll.BDH(config!$G$4,H$1,$A886,$A886)),_xll.BDH(config!$G$4,H$1,$A886,$A886),_xll.BDH(config!$G$5,H$1,$A886,$A886))))</f>
        <v/>
      </c>
      <c r="I886" s="8" t="str">
        <f>IF($A886="","",IF(ISNUMBER(FIND("IMPVOL",I$1)),_xll.BDH(config!$G$4,I$1,WORKDAY($A886,-1,config_Holiday_Calendar_US),WORKDAY($A886,-1,config_Holiday_Calendar_US)),IF(ISNUMBER(_xll.BDH(config!$G$4,I$1,$A886,$A886)),_xll.BDH(config!$G$4,I$1,$A886,$A886),_xll.BDH(config!$G$5,I$1,$A886,$A886))))</f>
        <v/>
      </c>
      <c r="J886" s="8" t="str">
        <f>IF($A886="","",IF(ISNUMBER(FIND("IMPVOL",J$1)),_xll.BDH(config!$G$4,J$1,WORKDAY($A886,-1,config_Holiday_Calendar_US),WORKDAY($A886,-1,config_Holiday_Calendar_US)),IF(ISNUMBER(_xll.BDH(config!$G$4,J$1,$A886,$A886)),_xll.BDH(config!$G$4,J$1,$A886,$A886),_xll.BDH(config!$G$5,J$1,$A886,$A886))))</f>
        <v/>
      </c>
      <c r="K886" s="8" t="str">
        <f>IF($A886="","",IF(ISNUMBER(FIND("IMPVOL",K$1)),_xll.BDH(config!$G$4,K$1,WORKDAY($A886,-1,config_Holiday_Calendar_US),WORKDAY($A886,-1,config_Holiday_Calendar_US)),IF(ISNUMBER(_xll.BDH(config!$G$4,K$1,$A886,$A886)),_xll.BDH(config!$G$4,K$1,$A886,$A886),_xll.BDH(config!$G$5,K$1,$A886,$A886))))</f>
        <v/>
      </c>
      <c r="L886" s="8" t="str">
        <f>IF($A886="","",IF(ISNUMBER(FIND("IMPVOL",L$1)),_xll.BDH(config!$G$4,L$1,WORKDAY($A886,-1,config_Holiday_Calendar_US),WORKDAY($A886,-1,config_Holiday_Calendar_US)),IF(ISNUMBER(_xll.BDH(config!$G$4,L$1,$A886,$A886)),_xll.BDH(config!$G$4,L$1,$A886,$A886),_xll.BDH(config!$G$5,L$1,$A886,$A886))))</f>
        <v/>
      </c>
      <c r="M886" s="8" t="str">
        <f>IF($A886="","",IF(ISNUMBER(FIND("IMPVOL",M$1)),_xll.BDH(config!$G$4,M$1,WORKDAY($A886,-1,config_Holiday_Calendar_US),WORKDAY($A886,-1,config_Holiday_Calendar_US)),IF(ISNUMBER(_xll.BDH(config!$G$4,M$1,$A886,$A886)),_xll.BDH(config!$G$4,M$1,$A886,$A886),_xll.BDH(config!$G$5,M$1,$A886,$A886))))</f>
        <v/>
      </c>
      <c r="N886" s="8" t="str">
        <f>IF($A886="","",IF(ISNUMBER(FIND("IMPVOL",N$1)),_xll.BDH(config!$G$4,N$1,WORKDAY($A886,-1,config_Holiday_Calendar_US),WORKDAY($A886,-1,config_Holiday_Calendar_US)),IF(ISNUMBER(_xll.BDH(config!$G$4,N$1,$A886,$A886)),_xll.BDH(config!$G$4,N$1,$A886,$A886),_xll.BDH(config!$G$5,N$1,$A886,$A886))))</f>
        <v/>
      </c>
      <c r="O886" s="8" t="str">
        <f>IF($A886="","",IF(ISNUMBER(FIND("IMPVOL",O$1)),_xll.BDH(config!$G$4,O$1,WORKDAY($A886,-1,config_Holiday_Calendar_US),WORKDAY($A886,-1,config_Holiday_Calendar_US)),IF(ISNUMBER(_xll.BDH(config!$G$4,O$1,$A886,$A886)),_xll.BDH(config!$G$4,O$1,$A886,$A886),_xll.BDH(config!$G$5,O$1,$A886,$A886))))</f>
        <v/>
      </c>
      <c r="P886" s="8" t="str">
        <f>IF($A886="","",IF(ISNUMBER(FIND("IMPVOL",P$1)),_xll.BDH(config!$G$4,P$1,WORKDAY($A886,-1,config_Holiday_Calendar_US),WORKDAY($A886,-1,config_Holiday_Calendar_US)),IF(ISNUMBER(_xll.BDH(config!$G$4,P$1,$A886,$A886)),_xll.BDH(config!$G$4,P$1,$A886,$A886),_xll.BDH(config!$G$5,P$1,$A886,$A886))))</f>
        <v/>
      </c>
      <c r="Q886" s="8" t="str">
        <f>IF($A886="","",IF(ISNUMBER(FIND("IMPVOL",Q$1)),_xll.BDH(config!$G$4,Q$1,WORKDAY($A886,-1,config_Holiday_Calendar_US),WORKDAY($A886,-1,config_Holiday_Calendar_US)),IF(ISNUMBER(_xll.BDH(config!$G$4,Q$1,$A886,$A886)),_xll.BDH(config!$G$4,Q$1,$A886,$A886),_xll.BDH(config!$G$5,Q$1,$A886,$A886))))</f>
        <v/>
      </c>
      <c r="R886" s="8" t="str">
        <f>IF($A886="","",IF(ISNUMBER(FIND("IMPVOL",R$1)),_xll.BDH(config!$G$4,R$1,WORKDAY($A886,-1,config_Holiday_Calendar_US),WORKDAY($A886,-1,config_Holiday_Calendar_US)),IF(ISNUMBER(_xll.BDH(config!$G$4,R$1,$A886,$A886)),_xll.BDH(config!$G$4,R$1,$A886,$A886),_xll.BDH(config!$G$5,R$1,$A886,$A886))))</f>
        <v/>
      </c>
      <c r="S886" s="8" t="str">
        <f>IF($A886="","",IF(ISNUMBER(FIND("IMPVOL",S$1)),_xll.BDH(config!$G$4,S$1,WORKDAY($A886,-1,config_Holiday_Calendar_US),WORKDAY($A886,-1,config_Holiday_Calendar_US)),IF(ISNUMBER(_xll.BDH(config!$G$4,S$1,$A886,$A886)),_xll.BDH(config!$G$4,S$1,$A886,$A886),_xll.BDH(config!$G$5,S$1,$A886,$A886))))</f>
        <v/>
      </c>
      <c r="T886" s="8" t="str">
        <f>IF($A886="","",IF(ISNUMBER(FIND("IMPVOL",T$1)),_xll.BDH(config!$G$4,T$1,WORKDAY($A886,-1,config_Holiday_Calendar_US),WORKDAY($A886,-1,config_Holiday_Calendar_US)),IF(ISNUMBER(_xll.BDH(config!$G$4,T$1,$A886,$A886)),_xll.BDH(config!$G$4,T$1,$A886,$A886),_xll.BDH(config!$G$5,T$1,$A886,$A886))))</f>
        <v/>
      </c>
      <c r="U886" s="8" t="str">
        <f>IF($A886="","",IF(ISNUMBER(FIND("IMPVOL",U$1)),_xll.BDH(config!$G$4,U$1,WORKDAY($A886,-1,config_Holiday_Calendar_US),WORKDAY($A886,-1,config_Holiday_Calendar_US)),IF(ISNUMBER(_xll.BDH(config!$G$4,U$1,$A886,$A886)),_xll.BDH(config!$G$4,U$1,$A886,$A886),_xll.BDH(config!$G$5,U$1,$A886,$A886))))</f>
        <v/>
      </c>
      <c r="V886" s="8" t="str">
        <f>IF($A886="","",IF(ISNUMBER(FIND("IMPVOL",V$1)),_xll.BDH(config!$G$4,V$1,WORKDAY($A886,-1,config_Holiday_Calendar_US),WORKDAY($A886,-1,config_Holiday_Calendar_US)),IF(ISNUMBER(_xll.BDH(config!$G$4,V$1,$A886,$A886)),_xll.BDH(config!$G$4,V$1,$A886,$A886),_xll.BDH(config!$G$5,V$1,$A886,$A886))))</f>
        <v/>
      </c>
      <c r="W886" s="8" t="str">
        <f>IF($A886="","",IF(ISNUMBER(FIND("IMPVOL",W$1)),_xll.BDH(config!$G$4,W$1,WORKDAY($A886,-1,config_Holiday_Calendar_US),WORKDAY($A886,-1,config_Holiday_Calendar_US)),IF(ISNUMBER(_xll.BDH(config!$G$4,W$1,$A886,$A886)),_xll.BDH(config!$G$4,W$1,$A886,$A886),_xll.BDH(config!$G$5,W$1,$A886,$A886))))</f>
        <v/>
      </c>
    </row>
    <row r="887" spans="1:23" x14ac:dyDescent="0.2">
      <c r="A887" s="9" t="str">
        <f>IF(A886="","",IF(WORKDAY(A886,-1,config_Holiday_Calendar_US)&lt;config!$I$10,"",WORKDAY(A886,-1,config_Holiday_Calendar_US)))</f>
        <v/>
      </c>
      <c r="B887" s="8" t="str">
        <f t="shared" si="13"/>
        <v/>
      </c>
      <c r="C887" s="8" t="str">
        <f>IF(A887="","",_xll.BDH(config!$H$4,C$1,$A887,$A887))</f>
        <v/>
      </c>
      <c r="D887" s="8" t="str">
        <f>IF($A887="","",_xll.BDH(config!$H$4,D$1,$A887,$A887))</f>
        <v/>
      </c>
      <c r="E887" s="8" t="str">
        <f>IF($A887="","",IF(ISNUMBER(FIND("IMPVOL",E$1)),_xll.BDH(config!$G$4,E$1,WORKDAY($A887,-1,config_Holiday_Calendar_US),WORKDAY($A887,-1,config_Holiday_Calendar_US)),IF(ISNUMBER(_xll.BDH(config!$G$4,E$1,$A887,$A887)),_xll.BDH(config!$G$4,E$1,$A887,$A887),_xll.BDH(config!$G$5,E$1,$A887,$A887))))</f>
        <v/>
      </c>
      <c r="F887" s="8" t="str">
        <f>IF($A887="","",IF(ISNUMBER(FIND("IMPVOL",F$1)),_xll.BDH(config!$G$4,F$1,WORKDAY($A887,-1,config_Holiday_Calendar_US),WORKDAY($A887,-1,config_Holiday_Calendar_US)),IF(ISNUMBER(_xll.BDH(config!$G$4,F$1,$A887,$A887)),_xll.BDH(config!$G$4,F$1,$A887,$A887),_xll.BDH(config!$G$5,F$1,$A887,$A887))))</f>
        <v/>
      </c>
      <c r="G887" s="8" t="str">
        <f>IF($A887="","",IF(ISNUMBER(FIND("IMPVOL",G$1)),_xll.BDH(config!$G$4,G$1,WORKDAY($A887,-1,config_Holiday_Calendar_US),WORKDAY($A887,-1,config_Holiday_Calendar_US)),IF(ISNUMBER(_xll.BDH(config!$G$4,G$1,$A887,$A887)),_xll.BDH(config!$G$4,G$1,$A887,$A887),_xll.BDH(config!$G$5,G$1,$A887,$A887))))</f>
        <v/>
      </c>
      <c r="H887" s="8" t="str">
        <f>IF($A887="","",IF(ISNUMBER(FIND("IMPVOL",H$1)),_xll.BDH(config!$G$4,H$1,WORKDAY($A887,-1,config_Holiday_Calendar_US),WORKDAY($A887,-1,config_Holiday_Calendar_US)),IF(ISNUMBER(_xll.BDH(config!$G$4,H$1,$A887,$A887)),_xll.BDH(config!$G$4,H$1,$A887,$A887),_xll.BDH(config!$G$5,H$1,$A887,$A887))))</f>
        <v/>
      </c>
      <c r="I887" s="8" t="str">
        <f>IF($A887="","",IF(ISNUMBER(FIND("IMPVOL",I$1)),_xll.BDH(config!$G$4,I$1,WORKDAY($A887,-1,config_Holiday_Calendar_US),WORKDAY($A887,-1,config_Holiday_Calendar_US)),IF(ISNUMBER(_xll.BDH(config!$G$4,I$1,$A887,$A887)),_xll.BDH(config!$G$4,I$1,$A887,$A887),_xll.BDH(config!$G$5,I$1,$A887,$A887))))</f>
        <v/>
      </c>
      <c r="J887" s="8" t="str">
        <f>IF($A887="","",IF(ISNUMBER(FIND("IMPVOL",J$1)),_xll.BDH(config!$G$4,J$1,WORKDAY($A887,-1,config_Holiday_Calendar_US),WORKDAY($A887,-1,config_Holiday_Calendar_US)),IF(ISNUMBER(_xll.BDH(config!$G$4,J$1,$A887,$A887)),_xll.BDH(config!$G$4,J$1,$A887,$A887),_xll.BDH(config!$G$5,J$1,$A887,$A887))))</f>
        <v/>
      </c>
      <c r="K887" s="8" t="str">
        <f>IF($A887="","",IF(ISNUMBER(FIND("IMPVOL",K$1)),_xll.BDH(config!$G$4,K$1,WORKDAY($A887,-1,config_Holiday_Calendar_US),WORKDAY($A887,-1,config_Holiday_Calendar_US)),IF(ISNUMBER(_xll.BDH(config!$G$4,K$1,$A887,$A887)),_xll.BDH(config!$G$4,K$1,$A887,$A887),_xll.BDH(config!$G$5,K$1,$A887,$A887))))</f>
        <v/>
      </c>
      <c r="L887" s="8" t="str">
        <f>IF($A887="","",IF(ISNUMBER(FIND("IMPVOL",L$1)),_xll.BDH(config!$G$4,L$1,WORKDAY($A887,-1,config_Holiday_Calendar_US),WORKDAY($A887,-1,config_Holiday_Calendar_US)),IF(ISNUMBER(_xll.BDH(config!$G$4,L$1,$A887,$A887)),_xll.BDH(config!$G$4,L$1,$A887,$A887),_xll.BDH(config!$G$5,L$1,$A887,$A887))))</f>
        <v/>
      </c>
      <c r="M887" s="8" t="str">
        <f>IF($A887="","",IF(ISNUMBER(FIND("IMPVOL",M$1)),_xll.BDH(config!$G$4,M$1,WORKDAY($A887,-1,config_Holiday_Calendar_US),WORKDAY($A887,-1,config_Holiday_Calendar_US)),IF(ISNUMBER(_xll.BDH(config!$G$4,M$1,$A887,$A887)),_xll.BDH(config!$G$4,M$1,$A887,$A887),_xll.BDH(config!$G$5,M$1,$A887,$A887))))</f>
        <v/>
      </c>
      <c r="N887" s="8" t="str">
        <f>IF($A887="","",IF(ISNUMBER(FIND("IMPVOL",N$1)),_xll.BDH(config!$G$4,N$1,WORKDAY($A887,-1,config_Holiday_Calendar_US),WORKDAY($A887,-1,config_Holiday_Calendar_US)),IF(ISNUMBER(_xll.BDH(config!$G$4,N$1,$A887,$A887)),_xll.BDH(config!$G$4,N$1,$A887,$A887),_xll.BDH(config!$G$5,N$1,$A887,$A887))))</f>
        <v/>
      </c>
      <c r="O887" s="8" t="str">
        <f>IF($A887="","",IF(ISNUMBER(FIND("IMPVOL",O$1)),_xll.BDH(config!$G$4,O$1,WORKDAY($A887,-1,config_Holiday_Calendar_US),WORKDAY($A887,-1,config_Holiday_Calendar_US)),IF(ISNUMBER(_xll.BDH(config!$G$4,O$1,$A887,$A887)),_xll.BDH(config!$G$4,O$1,$A887,$A887),_xll.BDH(config!$G$5,O$1,$A887,$A887))))</f>
        <v/>
      </c>
      <c r="P887" s="8" t="str">
        <f>IF($A887="","",IF(ISNUMBER(FIND("IMPVOL",P$1)),_xll.BDH(config!$G$4,P$1,WORKDAY($A887,-1,config_Holiday_Calendar_US),WORKDAY($A887,-1,config_Holiday_Calendar_US)),IF(ISNUMBER(_xll.BDH(config!$G$4,P$1,$A887,$A887)),_xll.BDH(config!$G$4,P$1,$A887,$A887),_xll.BDH(config!$G$5,P$1,$A887,$A887))))</f>
        <v/>
      </c>
      <c r="Q887" s="8" t="str">
        <f>IF($A887="","",IF(ISNUMBER(FIND("IMPVOL",Q$1)),_xll.BDH(config!$G$4,Q$1,WORKDAY($A887,-1,config_Holiday_Calendar_US),WORKDAY($A887,-1,config_Holiday_Calendar_US)),IF(ISNUMBER(_xll.BDH(config!$G$4,Q$1,$A887,$A887)),_xll.BDH(config!$G$4,Q$1,$A887,$A887),_xll.BDH(config!$G$5,Q$1,$A887,$A887))))</f>
        <v/>
      </c>
      <c r="R887" s="8" t="str">
        <f>IF($A887="","",IF(ISNUMBER(FIND("IMPVOL",R$1)),_xll.BDH(config!$G$4,R$1,WORKDAY($A887,-1,config_Holiday_Calendar_US),WORKDAY($A887,-1,config_Holiday_Calendar_US)),IF(ISNUMBER(_xll.BDH(config!$G$4,R$1,$A887,$A887)),_xll.BDH(config!$G$4,R$1,$A887,$A887),_xll.BDH(config!$G$5,R$1,$A887,$A887))))</f>
        <v/>
      </c>
      <c r="S887" s="8" t="str">
        <f>IF($A887="","",IF(ISNUMBER(FIND("IMPVOL",S$1)),_xll.BDH(config!$G$4,S$1,WORKDAY($A887,-1,config_Holiday_Calendar_US),WORKDAY($A887,-1,config_Holiday_Calendar_US)),IF(ISNUMBER(_xll.BDH(config!$G$4,S$1,$A887,$A887)),_xll.BDH(config!$G$4,S$1,$A887,$A887),_xll.BDH(config!$G$5,S$1,$A887,$A887))))</f>
        <v/>
      </c>
      <c r="T887" s="8" t="str">
        <f>IF($A887="","",IF(ISNUMBER(FIND("IMPVOL",T$1)),_xll.BDH(config!$G$4,T$1,WORKDAY($A887,-1,config_Holiday_Calendar_US),WORKDAY($A887,-1,config_Holiday_Calendar_US)),IF(ISNUMBER(_xll.BDH(config!$G$4,T$1,$A887,$A887)),_xll.BDH(config!$G$4,T$1,$A887,$A887),_xll.BDH(config!$G$5,T$1,$A887,$A887))))</f>
        <v/>
      </c>
      <c r="U887" s="8" t="str">
        <f>IF($A887="","",IF(ISNUMBER(FIND("IMPVOL",U$1)),_xll.BDH(config!$G$4,U$1,WORKDAY($A887,-1,config_Holiday_Calendar_US),WORKDAY($A887,-1,config_Holiday_Calendar_US)),IF(ISNUMBER(_xll.BDH(config!$G$4,U$1,$A887,$A887)),_xll.BDH(config!$G$4,U$1,$A887,$A887),_xll.BDH(config!$G$5,U$1,$A887,$A887))))</f>
        <v/>
      </c>
      <c r="V887" s="8" t="str">
        <f>IF($A887="","",IF(ISNUMBER(FIND("IMPVOL",V$1)),_xll.BDH(config!$G$4,V$1,WORKDAY($A887,-1,config_Holiday_Calendar_US),WORKDAY($A887,-1,config_Holiday_Calendar_US)),IF(ISNUMBER(_xll.BDH(config!$G$4,V$1,$A887,$A887)),_xll.BDH(config!$G$4,V$1,$A887,$A887),_xll.BDH(config!$G$5,V$1,$A887,$A887))))</f>
        <v/>
      </c>
      <c r="W887" s="8" t="str">
        <f>IF($A887="","",IF(ISNUMBER(FIND("IMPVOL",W$1)),_xll.BDH(config!$G$4,W$1,WORKDAY($A887,-1,config_Holiday_Calendar_US),WORKDAY($A887,-1,config_Holiday_Calendar_US)),IF(ISNUMBER(_xll.BDH(config!$G$4,W$1,$A887,$A887)),_xll.BDH(config!$G$4,W$1,$A887,$A887),_xll.BDH(config!$G$5,W$1,$A887,$A887))))</f>
        <v/>
      </c>
    </row>
    <row r="888" spans="1:23" x14ac:dyDescent="0.2">
      <c r="A888" s="9" t="str">
        <f>IF(A887="","",IF(WORKDAY(A887,-1,config_Holiday_Calendar_US)&lt;config!$I$10,"",WORKDAY(A887,-1,config_Holiday_Calendar_US)))</f>
        <v/>
      </c>
      <c r="B888" s="8" t="str">
        <f t="shared" si="13"/>
        <v/>
      </c>
      <c r="C888" s="8" t="str">
        <f>IF(A888="","",_xll.BDH(config!$H$4,C$1,$A888,$A888))</f>
        <v/>
      </c>
      <c r="D888" s="8" t="str">
        <f>IF($A888="","",_xll.BDH(config!$H$4,D$1,$A888,$A888))</f>
        <v/>
      </c>
      <c r="E888" s="8" t="str">
        <f>IF($A888="","",IF(ISNUMBER(FIND("IMPVOL",E$1)),_xll.BDH(config!$G$4,E$1,WORKDAY($A888,-1,config_Holiday_Calendar_US),WORKDAY($A888,-1,config_Holiday_Calendar_US)),IF(ISNUMBER(_xll.BDH(config!$G$4,E$1,$A888,$A888)),_xll.BDH(config!$G$4,E$1,$A888,$A888),_xll.BDH(config!$G$5,E$1,$A888,$A888))))</f>
        <v/>
      </c>
      <c r="F888" s="8" t="str">
        <f>IF($A888="","",IF(ISNUMBER(FIND("IMPVOL",F$1)),_xll.BDH(config!$G$4,F$1,WORKDAY($A888,-1,config_Holiday_Calendar_US),WORKDAY($A888,-1,config_Holiday_Calendar_US)),IF(ISNUMBER(_xll.BDH(config!$G$4,F$1,$A888,$A888)),_xll.BDH(config!$G$4,F$1,$A888,$A888),_xll.BDH(config!$G$5,F$1,$A888,$A888))))</f>
        <v/>
      </c>
      <c r="G888" s="8" t="str">
        <f>IF($A888="","",IF(ISNUMBER(FIND("IMPVOL",G$1)),_xll.BDH(config!$G$4,G$1,WORKDAY($A888,-1,config_Holiday_Calendar_US),WORKDAY($A888,-1,config_Holiday_Calendar_US)),IF(ISNUMBER(_xll.BDH(config!$G$4,G$1,$A888,$A888)),_xll.BDH(config!$G$4,G$1,$A888,$A888),_xll.BDH(config!$G$5,G$1,$A888,$A888))))</f>
        <v/>
      </c>
      <c r="H888" s="8" t="str">
        <f>IF($A888="","",IF(ISNUMBER(FIND("IMPVOL",H$1)),_xll.BDH(config!$G$4,H$1,WORKDAY($A888,-1,config_Holiday_Calendar_US),WORKDAY($A888,-1,config_Holiday_Calendar_US)),IF(ISNUMBER(_xll.BDH(config!$G$4,H$1,$A888,$A888)),_xll.BDH(config!$G$4,H$1,$A888,$A888),_xll.BDH(config!$G$5,H$1,$A888,$A888))))</f>
        <v/>
      </c>
      <c r="I888" s="8" t="str">
        <f>IF($A888="","",IF(ISNUMBER(FIND("IMPVOL",I$1)),_xll.BDH(config!$G$4,I$1,WORKDAY($A888,-1,config_Holiday_Calendar_US),WORKDAY($A888,-1,config_Holiday_Calendar_US)),IF(ISNUMBER(_xll.BDH(config!$G$4,I$1,$A888,$A888)),_xll.BDH(config!$G$4,I$1,$A888,$A888),_xll.BDH(config!$G$5,I$1,$A888,$A888))))</f>
        <v/>
      </c>
      <c r="J888" s="8" t="str">
        <f>IF($A888="","",IF(ISNUMBER(FIND("IMPVOL",J$1)),_xll.BDH(config!$G$4,J$1,WORKDAY($A888,-1,config_Holiday_Calendar_US),WORKDAY($A888,-1,config_Holiday_Calendar_US)),IF(ISNUMBER(_xll.BDH(config!$G$4,J$1,$A888,$A888)),_xll.BDH(config!$G$4,J$1,$A888,$A888),_xll.BDH(config!$G$5,J$1,$A888,$A888))))</f>
        <v/>
      </c>
      <c r="K888" s="8" t="str">
        <f>IF($A888="","",IF(ISNUMBER(FIND("IMPVOL",K$1)),_xll.BDH(config!$G$4,K$1,WORKDAY($A888,-1,config_Holiday_Calendar_US),WORKDAY($A888,-1,config_Holiday_Calendar_US)),IF(ISNUMBER(_xll.BDH(config!$G$4,K$1,$A888,$A888)),_xll.BDH(config!$G$4,K$1,$A888,$A888),_xll.BDH(config!$G$5,K$1,$A888,$A888))))</f>
        <v/>
      </c>
      <c r="L888" s="8" t="str">
        <f>IF($A888="","",IF(ISNUMBER(FIND("IMPVOL",L$1)),_xll.BDH(config!$G$4,L$1,WORKDAY($A888,-1,config_Holiday_Calendar_US),WORKDAY($A888,-1,config_Holiday_Calendar_US)),IF(ISNUMBER(_xll.BDH(config!$G$4,L$1,$A888,$A888)),_xll.BDH(config!$G$4,L$1,$A888,$A888),_xll.BDH(config!$G$5,L$1,$A888,$A888))))</f>
        <v/>
      </c>
      <c r="M888" s="8" t="str">
        <f>IF($A888="","",IF(ISNUMBER(FIND("IMPVOL",M$1)),_xll.BDH(config!$G$4,M$1,WORKDAY($A888,-1,config_Holiday_Calendar_US),WORKDAY($A888,-1,config_Holiday_Calendar_US)),IF(ISNUMBER(_xll.BDH(config!$G$4,M$1,$A888,$A888)),_xll.BDH(config!$G$4,M$1,$A888,$A888),_xll.BDH(config!$G$5,M$1,$A888,$A888))))</f>
        <v/>
      </c>
      <c r="N888" s="8" t="str">
        <f>IF($A888="","",IF(ISNUMBER(FIND("IMPVOL",N$1)),_xll.BDH(config!$G$4,N$1,WORKDAY($A888,-1,config_Holiday_Calendar_US),WORKDAY($A888,-1,config_Holiday_Calendar_US)),IF(ISNUMBER(_xll.BDH(config!$G$4,N$1,$A888,$A888)),_xll.BDH(config!$G$4,N$1,$A888,$A888),_xll.BDH(config!$G$5,N$1,$A888,$A888))))</f>
        <v/>
      </c>
      <c r="O888" s="8" t="str">
        <f>IF($A888="","",IF(ISNUMBER(FIND("IMPVOL",O$1)),_xll.BDH(config!$G$4,O$1,WORKDAY($A888,-1,config_Holiday_Calendar_US),WORKDAY($A888,-1,config_Holiday_Calendar_US)),IF(ISNUMBER(_xll.BDH(config!$G$4,O$1,$A888,$A888)),_xll.BDH(config!$G$4,O$1,$A888,$A888),_xll.BDH(config!$G$5,O$1,$A888,$A888))))</f>
        <v/>
      </c>
      <c r="P888" s="8" t="str">
        <f>IF($A888="","",IF(ISNUMBER(FIND("IMPVOL",P$1)),_xll.BDH(config!$G$4,P$1,WORKDAY($A888,-1,config_Holiday_Calendar_US),WORKDAY($A888,-1,config_Holiday_Calendar_US)),IF(ISNUMBER(_xll.BDH(config!$G$4,P$1,$A888,$A888)),_xll.BDH(config!$G$4,P$1,$A888,$A888),_xll.BDH(config!$G$5,P$1,$A888,$A888))))</f>
        <v/>
      </c>
      <c r="Q888" s="8" t="str">
        <f>IF($A888="","",IF(ISNUMBER(FIND("IMPVOL",Q$1)),_xll.BDH(config!$G$4,Q$1,WORKDAY($A888,-1,config_Holiday_Calendar_US),WORKDAY($A888,-1,config_Holiday_Calendar_US)),IF(ISNUMBER(_xll.BDH(config!$G$4,Q$1,$A888,$A888)),_xll.BDH(config!$G$4,Q$1,$A888,$A888),_xll.BDH(config!$G$5,Q$1,$A888,$A888))))</f>
        <v/>
      </c>
      <c r="R888" s="8" t="str">
        <f>IF($A888="","",IF(ISNUMBER(FIND("IMPVOL",R$1)),_xll.BDH(config!$G$4,R$1,WORKDAY($A888,-1,config_Holiday_Calendar_US),WORKDAY($A888,-1,config_Holiday_Calendar_US)),IF(ISNUMBER(_xll.BDH(config!$G$4,R$1,$A888,$A888)),_xll.BDH(config!$G$4,R$1,$A888,$A888),_xll.BDH(config!$G$5,R$1,$A888,$A888))))</f>
        <v/>
      </c>
      <c r="S888" s="8" t="str">
        <f>IF($A888="","",IF(ISNUMBER(FIND("IMPVOL",S$1)),_xll.BDH(config!$G$4,S$1,WORKDAY($A888,-1,config_Holiday_Calendar_US),WORKDAY($A888,-1,config_Holiday_Calendar_US)),IF(ISNUMBER(_xll.BDH(config!$G$4,S$1,$A888,$A888)),_xll.BDH(config!$G$4,S$1,$A888,$A888),_xll.BDH(config!$G$5,S$1,$A888,$A888))))</f>
        <v/>
      </c>
      <c r="T888" s="8" t="str">
        <f>IF($A888="","",IF(ISNUMBER(FIND("IMPVOL",T$1)),_xll.BDH(config!$G$4,T$1,WORKDAY($A888,-1,config_Holiday_Calendar_US),WORKDAY($A888,-1,config_Holiday_Calendar_US)),IF(ISNUMBER(_xll.BDH(config!$G$4,T$1,$A888,$A888)),_xll.BDH(config!$G$4,T$1,$A888,$A888),_xll.BDH(config!$G$5,T$1,$A888,$A888))))</f>
        <v/>
      </c>
      <c r="U888" s="8" t="str">
        <f>IF($A888="","",IF(ISNUMBER(FIND("IMPVOL",U$1)),_xll.BDH(config!$G$4,U$1,WORKDAY($A888,-1,config_Holiday_Calendar_US),WORKDAY($A888,-1,config_Holiday_Calendar_US)),IF(ISNUMBER(_xll.BDH(config!$G$4,U$1,$A888,$A888)),_xll.BDH(config!$G$4,U$1,$A888,$A888),_xll.BDH(config!$G$5,U$1,$A888,$A888))))</f>
        <v/>
      </c>
      <c r="V888" s="8" t="str">
        <f>IF($A888="","",IF(ISNUMBER(FIND("IMPVOL",V$1)),_xll.BDH(config!$G$4,V$1,WORKDAY($A888,-1,config_Holiday_Calendar_US),WORKDAY($A888,-1,config_Holiday_Calendar_US)),IF(ISNUMBER(_xll.BDH(config!$G$4,V$1,$A888,$A888)),_xll.BDH(config!$G$4,V$1,$A888,$A888),_xll.BDH(config!$G$5,V$1,$A888,$A888))))</f>
        <v/>
      </c>
      <c r="W888" s="8" t="str">
        <f>IF($A888="","",IF(ISNUMBER(FIND("IMPVOL",W$1)),_xll.BDH(config!$G$4,W$1,WORKDAY($A888,-1,config_Holiday_Calendar_US),WORKDAY($A888,-1,config_Holiday_Calendar_US)),IF(ISNUMBER(_xll.BDH(config!$G$4,W$1,$A888,$A888)),_xll.BDH(config!$G$4,W$1,$A888,$A888),_xll.BDH(config!$G$5,W$1,$A888,$A888))))</f>
        <v/>
      </c>
    </row>
    <row r="889" spans="1:23" x14ac:dyDescent="0.2">
      <c r="A889" s="9" t="str">
        <f>IF(A888="","",IF(WORKDAY(A888,-1,config_Holiday_Calendar_US)&lt;config!$I$10,"",WORKDAY(A888,-1,config_Holiday_Calendar_US)))</f>
        <v/>
      </c>
      <c r="B889" s="8" t="str">
        <f t="shared" si="13"/>
        <v/>
      </c>
      <c r="C889" s="8" t="str">
        <f>IF(A889="","",_xll.BDH(config!$H$4,C$1,$A889,$A889))</f>
        <v/>
      </c>
      <c r="D889" s="8" t="str">
        <f>IF($A889="","",_xll.BDH(config!$H$4,D$1,$A889,$A889))</f>
        <v/>
      </c>
      <c r="E889" s="8" t="str">
        <f>IF($A889="","",IF(ISNUMBER(FIND("IMPVOL",E$1)),_xll.BDH(config!$G$4,E$1,WORKDAY($A889,-1,config_Holiday_Calendar_US),WORKDAY($A889,-1,config_Holiday_Calendar_US)),IF(ISNUMBER(_xll.BDH(config!$G$4,E$1,$A889,$A889)),_xll.BDH(config!$G$4,E$1,$A889,$A889),_xll.BDH(config!$G$5,E$1,$A889,$A889))))</f>
        <v/>
      </c>
      <c r="F889" s="8" t="str">
        <f>IF($A889="","",IF(ISNUMBER(FIND("IMPVOL",F$1)),_xll.BDH(config!$G$4,F$1,WORKDAY($A889,-1,config_Holiday_Calendar_US),WORKDAY($A889,-1,config_Holiday_Calendar_US)),IF(ISNUMBER(_xll.BDH(config!$G$4,F$1,$A889,$A889)),_xll.BDH(config!$G$4,F$1,$A889,$A889),_xll.BDH(config!$G$5,F$1,$A889,$A889))))</f>
        <v/>
      </c>
      <c r="G889" s="8" t="str">
        <f>IF($A889="","",IF(ISNUMBER(FIND("IMPVOL",G$1)),_xll.BDH(config!$G$4,G$1,WORKDAY($A889,-1,config_Holiday_Calendar_US),WORKDAY($A889,-1,config_Holiday_Calendar_US)),IF(ISNUMBER(_xll.BDH(config!$G$4,G$1,$A889,$A889)),_xll.BDH(config!$G$4,G$1,$A889,$A889),_xll.BDH(config!$G$5,G$1,$A889,$A889))))</f>
        <v/>
      </c>
      <c r="H889" s="8" t="str">
        <f>IF($A889="","",IF(ISNUMBER(FIND("IMPVOL",H$1)),_xll.BDH(config!$G$4,H$1,WORKDAY($A889,-1,config_Holiday_Calendar_US),WORKDAY($A889,-1,config_Holiday_Calendar_US)),IF(ISNUMBER(_xll.BDH(config!$G$4,H$1,$A889,$A889)),_xll.BDH(config!$G$4,H$1,$A889,$A889),_xll.BDH(config!$G$5,H$1,$A889,$A889))))</f>
        <v/>
      </c>
      <c r="I889" s="8" t="str">
        <f>IF($A889="","",IF(ISNUMBER(FIND("IMPVOL",I$1)),_xll.BDH(config!$G$4,I$1,WORKDAY($A889,-1,config_Holiday_Calendar_US),WORKDAY($A889,-1,config_Holiday_Calendar_US)),IF(ISNUMBER(_xll.BDH(config!$G$4,I$1,$A889,$A889)),_xll.BDH(config!$G$4,I$1,$A889,$A889),_xll.BDH(config!$G$5,I$1,$A889,$A889))))</f>
        <v/>
      </c>
      <c r="J889" s="8" t="str">
        <f>IF($A889="","",IF(ISNUMBER(FIND("IMPVOL",J$1)),_xll.BDH(config!$G$4,J$1,WORKDAY($A889,-1,config_Holiday_Calendar_US),WORKDAY($A889,-1,config_Holiday_Calendar_US)),IF(ISNUMBER(_xll.BDH(config!$G$4,J$1,$A889,$A889)),_xll.BDH(config!$G$4,J$1,$A889,$A889),_xll.BDH(config!$G$5,J$1,$A889,$A889))))</f>
        <v/>
      </c>
      <c r="K889" s="8" t="str">
        <f>IF($A889="","",IF(ISNUMBER(FIND("IMPVOL",K$1)),_xll.BDH(config!$G$4,K$1,WORKDAY($A889,-1,config_Holiday_Calendar_US),WORKDAY($A889,-1,config_Holiday_Calendar_US)),IF(ISNUMBER(_xll.BDH(config!$G$4,K$1,$A889,$A889)),_xll.BDH(config!$G$4,K$1,$A889,$A889),_xll.BDH(config!$G$5,K$1,$A889,$A889))))</f>
        <v/>
      </c>
      <c r="L889" s="8" t="str">
        <f>IF($A889="","",IF(ISNUMBER(FIND("IMPVOL",L$1)),_xll.BDH(config!$G$4,L$1,WORKDAY($A889,-1,config_Holiday_Calendar_US),WORKDAY($A889,-1,config_Holiday_Calendar_US)),IF(ISNUMBER(_xll.BDH(config!$G$4,L$1,$A889,$A889)),_xll.BDH(config!$G$4,L$1,$A889,$A889),_xll.BDH(config!$G$5,L$1,$A889,$A889))))</f>
        <v/>
      </c>
      <c r="M889" s="8" t="str">
        <f>IF($A889="","",IF(ISNUMBER(FIND("IMPVOL",M$1)),_xll.BDH(config!$G$4,M$1,WORKDAY($A889,-1,config_Holiday_Calendar_US),WORKDAY($A889,-1,config_Holiday_Calendar_US)),IF(ISNUMBER(_xll.BDH(config!$G$4,M$1,$A889,$A889)),_xll.BDH(config!$G$4,M$1,$A889,$A889),_xll.BDH(config!$G$5,M$1,$A889,$A889))))</f>
        <v/>
      </c>
      <c r="N889" s="8" t="str">
        <f>IF($A889="","",IF(ISNUMBER(FIND("IMPVOL",N$1)),_xll.BDH(config!$G$4,N$1,WORKDAY($A889,-1,config_Holiday_Calendar_US),WORKDAY($A889,-1,config_Holiday_Calendar_US)),IF(ISNUMBER(_xll.BDH(config!$G$4,N$1,$A889,$A889)),_xll.BDH(config!$G$4,N$1,$A889,$A889),_xll.BDH(config!$G$5,N$1,$A889,$A889))))</f>
        <v/>
      </c>
      <c r="O889" s="8" t="str">
        <f>IF($A889="","",IF(ISNUMBER(FIND("IMPVOL",O$1)),_xll.BDH(config!$G$4,O$1,WORKDAY($A889,-1,config_Holiday_Calendar_US),WORKDAY($A889,-1,config_Holiday_Calendar_US)),IF(ISNUMBER(_xll.BDH(config!$G$4,O$1,$A889,$A889)),_xll.BDH(config!$G$4,O$1,$A889,$A889),_xll.BDH(config!$G$5,O$1,$A889,$A889))))</f>
        <v/>
      </c>
      <c r="P889" s="8" t="str">
        <f>IF($A889="","",IF(ISNUMBER(FIND("IMPVOL",P$1)),_xll.BDH(config!$G$4,P$1,WORKDAY($A889,-1,config_Holiday_Calendar_US),WORKDAY($A889,-1,config_Holiday_Calendar_US)),IF(ISNUMBER(_xll.BDH(config!$G$4,P$1,$A889,$A889)),_xll.BDH(config!$G$4,P$1,$A889,$A889),_xll.BDH(config!$G$5,P$1,$A889,$A889))))</f>
        <v/>
      </c>
      <c r="Q889" s="8" t="str">
        <f>IF($A889="","",IF(ISNUMBER(FIND("IMPVOL",Q$1)),_xll.BDH(config!$G$4,Q$1,WORKDAY($A889,-1,config_Holiday_Calendar_US),WORKDAY($A889,-1,config_Holiday_Calendar_US)),IF(ISNUMBER(_xll.BDH(config!$G$4,Q$1,$A889,$A889)),_xll.BDH(config!$G$4,Q$1,$A889,$A889),_xll.BDH(config!$G$5,Q$1,$A889,$A889))))</f>
        <v/>
      </c>
      <c r="R889" s="8" t="str">
        <f>IF($A889="","",IF(ISNUMBER(FIND("IMPVOL",R$1)),_xll.BDH(config!$G$4,R$1,WORKDAY($A889,-1,config_Holiday_Calendar_US),WORKDAY($A889,-1,config_Holiday_Calendar_US)),IF(ISNUMBER(_xll.BDH(config!$G$4,R$1,$A889,$A889)),_xll.BDH(config!$G$4,R$1,$A889,$A889),_xll.BDH(config!$G$5,R$1,$A889,$A889))))</f>
        <v/>
      </c>
      <c r="S889" s="8" t="str">
        <f>IF($A889="","",IF(ISNUMBER(FIND("IMPVOL",S$1)),_xll.BDH(config!$G$4,S$1,WORKDAY($A889,-1,config_Holiday_Calendar_US),WORKDAY($A889,-1,config_Holiday_Calendar_US)),IF(ISNUMBER(_xll.BDH(config!$G$4,S$1,$A889,$A889)),_xll.BDH(config!$G$4,S$1,$A889,$A889),_xll.BDH(config!$G$5,S$1,$A889,$A889))))</f>
        <v/>
      </c>
      <c r="T889" s="8" t="str">
        <f>IF($A889="","",IF(ISNUMBER(FIND("IMPVOL",T$1)),_xll.BDH(config!$G$4,T$1,WORKDAY($A889,-1,config_Holiday_Calendar_US),WORKDAY($A889,-1,config_Holiday_Calendar_US)),IF(ISNUMBER(_xll.BDH(config!$G$4,T$1,$A889,$A889)),_xll.BDH(config!$G$4,T$1,$A889,$A889),_xll.BDH(config!$G$5,T$1,$A889,$A889))))</f>
        <v/>
      </c>
      <c r="U889" s="8" t="str">
        <f>IF($A889="","",IF(ISNUMBER(FIND("IMPVOL",U$1)),_xll.BDH(config!$G$4,U$1,WORKDAY($A889,-1,config_Holiday_Calendar_US),WORKDAY($A889,-1,config_Holiday_Calendar_US)),IF(ISNUMBER(_xll.BDH(config!$G$4,U$1,$A889,$A889)),_xll.BDH(config!$G$4,U$1,$A889,$A889),_xll.BDH(config!$G$5,U$1,$A889,$A889))))</f>
        <v/>
      </c>
      <c r="V889" s="8" t="str">
        <f>IF($A889="","",IF(ISNUMBER(FIND("IMPVOL",V$1)),_xll.BDH(config!$G$4,V$1,WORKDAY($A889,-1,config_Holiday_Calendar_US),WORKDAY($A889,-1,config_Holiday_Calendar_US)),IF(ISNUMBER(_xll.BDH(config!$G$4,V$1,$A889,$A889)),_xll.BDH(config!$G$4,V$1,$A889,$A889),_xll.BDH(config!$G$5,V$1,$A889,$A889))))</f>
        <v/>
      </c>
      <c r="W889" s="8" t="str">
        <f>IF($A889="","",IF(ISNUMBER(FIND("IMPVOL",W$1)),_xll.BDH(config!$G$4,W$1,WORKDAY($A889,-1,config_Holiday_Calendar_US),WORKDAY($A889,-1,config_Holiday_Calendar_US)),IF(ISNUMBER(_xll.BDH(config!$G$4,W$1,$A889,$A889)),_xll.BDH(config!$G$4,W$1,$A889,$A889),_xll.BDH(config!$G$5,W$1,$A889,$A889))))</f>
        <v/>
      </c>
    </row>
    <row r="890" spans="1:23" x14ac:dyDescent="0.2">
      <c r="A890" s="9" t="str">
        <f>IF(A889="","",IF(WORKDAY(A889,-1,config_Holiday_Calendar_US)&lt;config!$I$10,"",WORKDAY(A889,-1,config_Holiday_Calendar_US)))</f>
        <v/>
      </c>
      <c r="B890" s="8" t="str">
        <f t="shared" si="13"/>
        <v/>
      </c>
      <c r="C890" s="8" t="str">
        <f>IF(A890="","",_xll.BDH(config!$H$4,C$1,$A890,$A890))</f>
        <v/>
      </c>
      <c r="D890" s="8" t="str">
        <f>IF($A890="","",_xll.BDH(config!$H$4,D$1,$A890,$A890))</f>
        <v/>
      </c>
      <c r="E890" s="8" t="str">
        <f>IF($A890="","",IF(ISNUMBER(FIND("IMPVOL",E$1)),_xll.BDH(config!$G$4,E$1,WORKDAY($A890,-1,config_Holiday_Calendar_US),WORKDAY($A890,-1,config_Holiday_Calendar_US)),IF(ISNUMBER(_xll.BDH(config!$G$4,E$1,$A890,$A890)),_xll.BDH(config!$G$4,E$1,$A890,$A890),_xll.BDH(config!$G$5,E$1,$A890,$A890))))</f>
        <v/>
      </c>
      <c r="F890" s="8" t="str">
        <f>IF($A890="","",IF(ISNUMBER(FIND("IMPVOL",F$1)),_xll.BDH(config!$G$4,F$1,WORKDAY($A890,-1,config_Holiday_Calendar_US),WORKDAY($A890,-1,config_Holiday_Calendar_US)),IF(ISNUMBER(_xll.BDH(config!$G$4,F$1,$A890,$A890)),_xll.BDH(config!$G$4,F$1,$A890,$A890),_xll.BDH(config!$G$5,F$1,$A890,$A890))))</f>
        <v/>
      </c>
      <c r="G890" s="8" t="str">
        <f>IF($A890="","",IF(ISNUMBER(FIND("IMPVOL",G$1)),_xll.BDH(config!$G$4,G$1,WORKDAY($A890,-1,config_Holiday_Calendar_US),WORKDAY($A890,-1,config_Holiday_Calendar_US)),IF(ISNUMBER(_xll.BDH(config!$G$4,G$1,$A890,$A890)),_xll.BDH(config!$G$4,G$1,$A890,$A890),_xll.BDH(config!$G$5,G$1,$A890,$A890))))</f>
        <v/>
      </c>
      <c r="H890" s="8" t="str">
        <f>IF($A890="","",IF(ISNUMBER(FIND("IMPVOL",H$1)),_xll.BDH(config!$G$4,H$1,WORKDAY($A890,-1,config_Holiday_Calendar_US),WORKDAY($A890,-1,config_Holiday_Calendar_US)),IF(ISNUMBER(_xll.BDH(config!$G$4,H$1,$A890,$A890)),_xll.BDH(config!$G$4,H$1,$A890,$A890),_xll.BDH(config!$G$5,H$1,$A890,$A890))))</f>
        <v/>
      </c>
      <c r="I890" s="8" t="str">
        <f>IF($A890="","",IF(ISNUMBER(FIND("IMPVOL",I$1)),_xll.BDH(config!$G$4,I$1,WORKDAY($A890,-1,config_Holiday_Calendar_US),WORKDAY($A890,-1,config_Holiday_Calendar_US)),IF(ISNUMBER(_xll.BDH(config!$G$4,I$1,$A890,$A890)),_xll.BDH(config!$G$4,I$1,$A890,$A890),_xll.BDH(config!$G$5,I$1,$A890,$A890))))</f>
        <v/>
      </c>
      <c r="J890" s="8" t="str">
        <f>IF($A890="","",IF(ISNUMBER(FIND("IMPVOL",J$1)),_xll.BDH(config!$G$4,J$1,WORKDAY($A890,-1,config_Holiday_Calendar_US),WORKDAY($A890,-1,config_Holiday_Calendar_US)),IF(ISNUMBER(_xll.BDH(config!$G$4,J$1,$A890,$A890)),_xll.BDH(config!$G$4,J$1,$A890,$A890),_xll.BDH(config!$G$5,J$1,$A890,$A890))))</f>
        <v/>
      </c>
      <c r="K890" s="8" t="str">
        <f>IF($A890="","",IF(ISNUMBER(FIND("IMPVOL",K$1)),_xll.BDH(config!$G$4,K$1,WORKDAY($A890,-1,config_Holiday_Calendar_US),WORKDAY($A890,-1,config_Holiday_Calendar_US)),IF(ISNUMBER(_xll.BDH(config!$G$4,K$1,$A890,$A890)),_xll.BDH(config!$G$4,K$1,$A890,$A890),_xll.BDH(config!$G$5,K$1,$A890,$A890))))</f>
        <v/>
      </c>
      <c r="L890" s="8" t="str">
        <f>IF($A890="","",IF(ISNUMBER(FIND("IMPVOL",L$1)),_xll.BDH(config!$G$4,L$1,WORKDAY($A890,-1,config_Holiday_Calendar_US),WORKDAY($A890,-1,config_Holiday_Calendar_US)),IF(ISNUMBER(_xll.BDH(config!$G$4,L$1,$A890,$A890)),_xll.BDH(config!$G$4,L$1,$A890,$A890),_xll.BDH(config!$G$5,L$1,$A890,$A890))))</f>
        <v/>
      </c>
      <c r="M890" s="8" t="str">
        <f>IF($A890="","",IF(ISNUMBER(FIND("IMPVOL",M$1)),_xll.BDH(config!$G$4,M$1,WORKDAY($A890,-1,config_Holiday_Calendar_US),WORKDAY($A890,-1,config_Holiday_Calendar_US)),IF(ISNUMBER(_xll.BDH(config!$G$4,M$1,$A890,$A890)),_xll.BDH(config!$G$4,M$1,$A890,$A890),_xll.BDH(config!$G$5,M$1,$A890,$A890))))</f>
        <v/>
      </c>
      <c r="N890" s="8" t="str">
        <f>IF($A890="","",IF(ISNUMBER(FIND("IMPVOL",N$1)),_xll.BDH(config!$G$4,N$1,WORKDAY($A890,-1,config_Holiday_Calendar_US),WORKDAY($A890,-1,config_Holiday_Calendar_US)),IF(ISNUMBER(_xll.BDH(config!$G$4,N$1,$A890,$A890)),_xll.BDH(config!$G$4,N$1,$A890,$A890),_xll.BDH(config!$G$5,N$1,$A890,$A890))))</f>
        <v/>
      </c>
      <c r="O890" s="8" t="str">
        <f>IF($A890="","",IF(ISNUMBER(FIND("IMPVOL",O$1)),_xll.BDH(config!$G$4,O$1,WORKDAY($A890,-1,config_Holiday_Calendar_US),WORKDAY($A890,-1,config_Holiday_Calendar_US)),IF(ISNUMBER(_xll.BDH(config!$G$4,O$1,$A890,$A890)),_xll.BDH(config!$G$4,O$1,$A890,$A890),_xll.BDH(config!$G$5,O$1,$A890,$A890))))</f>
        <v/>
      </c>
      <c r="P890" s="8" t="str">
        <f>IF($A890="","",IF(ISNUMBER(FIND("IMPVOL",P$1)),_xll.BDH(config!$G$4,P$1,WORKDAY($A890,-1,config_Holiday_Calendar_US),WORKDAY($A890,-1,config_Holiday_Calendar_US)),IF(ISNUMBER(_xll.BDH(config!$G$4,P$1,$A890,$A890)),_xll.BDH(config!$G$4,P$1,$A890,$A890),_xll.BDH(config!$G$5,P$1,$A890,$A890))))</f>
        <v/>
      </c>
      <c r="Q890" s="8" t="str">
        <f>IF($A890="","",IF(ISNUMBER(FIND("IMPVOL",Q$1)),_xll.BDH(config!$G$4,Q$1,WORKDAY($A890,-1,config_Holiday_Calendar_US),WORKDAY($A890,-1,config_Holiday_Calendar_US)),IF(ISNUMBER(_xll.BDH(config!$G$4,Q$1,$A890,$A890)),_xll.BDH(config!$G$4,Q$1,$A890,$A890),_xll.BDH(config!$G$5,Q$1,$A890,$A890))))</f>
        <v/>
      </c>
      <c r="R890" s="8" t="str">
        <f>IF($A890="","",IF(ISNUMBER(FIND("IMPVOL",R$1)),_xll.BDH(config!$G$4,R$1,WORKDAY($A890,-1,config_Holiday_Calendar_US),WORKDAY($A890,-1,config_Holiday_Calendar_US)),IF(ISNUMBER(_xll.BDH(config!$G$4,R$1,$A890,$A890)),_xll.BDH(config!$G$4,R$1,$A890,$A890),_xll.BDH(config!$G$5,R$1,$A890,$A890))))</f>
        <v/>
      </c>
      <c r="S890" s="8" t="str">
        <f>IF($A890="","",IF(ISNUMBER(FIND("IMPVOL",S$1)),_xll.BDH(config!$G$4,S$1,WORKDAY($A890,-1,config_Holiday_Calendar_US),WORKDAY($A890,-1,config_Holiday_Calendar_US)),IF(ISNUMBER(_xll.BDH(config!$G$4,S$1,$A890,$A890)),_xll.BDH(config!$G$4,S$1,$A890,$A890),_xll.BDH(config!$G$5,S$1,$A890,$A890))))</f>
        <v/>
      </c>
      <c r="T890" s="8" t="str">
        <f>IF($A890="","",IF(ISNUMBER(FIND("IMPVOL",T$1)),_xll.BDH(config!$G$4,T$1,WORKDAY($A890,-1,config_Holiday_Calendar_US),WORKDAY($A890,-1,config_Holiday_Calendar_US)),IF(ISNUMBER(_xll.BDH(config!$G$4,T$1,$A890,$A890)),_xll.BDH(config!$G$4,T$1,$A890,$A890),_xll.BDH(config!$G$5,T$1,$A890,$A890))))</f>
        <v/>
      </c>
      <c r="U890" s="8" t="str">
        <f>IF($A890="","",IF(ISNUMBER(FIND("IMPVOL",U$1)),_xll.BDH(config!$G$4,U$1,WORKDAY($A890,-1,config_Holiday_Calendar_US),WORKDAY($A890,-1,config_Holiday_Calendar_US)),IF(ISNUMBER(_xll.BDH(config!$G$4,U$1,$A890,$A890)),_xll.BDH(config!$G$4,U$1,$A890,$A890),_xll.BDH(config!$G$5,U$1,$A890,$A890))))</f>
        <v/>
      </c>
      <c r="V890" s="8" t="str">
        <f>IF($A890="","",IF(ISNUMBER(FIND("IMPVOL",V$1)),_xll.BDH(config!$G$4,V$1,WORKDAY($A890,-1,config_Holiday_Calendar_US),WORKDAY($A890,-1,config_Holiday_Calendar_US)),IF(ISNUMBER(_xll.BDH(config!$G$4,V$1,$A890,$A890)),_xll.BDH(config!$G$4,V$1,$A890,$A890),_xll.BDH(config!$G$5,V$1,$A890,$A890))))</f>
        <v/>
      </c>
      <c r="W890" s="8" t="str">
        <f>IF($A890="","",IF(ISNUMBER(FIND("IMPVOL",W$1)),_xll.BDH(config!$G$4,W$1,WORKDAY($A890,-1,config_Holiday_Calendar_US),WORKDAY($A890,-1,config_Holiday_Calendar_US)),IF(ISNUMBER(_xll.BDH(config!$G$4,W$1,$A890,$A890)),_xll.BDH(config!$G$4,W$1,$A890,$A890),_xll.BDH(config!$G$5,W$1,$A890,$A890))))</f>
        <v/>
      </c>
    </row>
    <row r="891" spans="1:23" x14ac:dyDescent="0.2">
      <c r="A891" s="9" t="str">
        <f>IF(A890="","",IF(WORKDAY(A890,-1,config_Holiday_Calendar_US)&lt;config!$I$10,"",WORKDAY(A890,-1,config_Holiday_Calendar_US)))</f>
        <v/>
      </c>
      <c r="B891" s="8" t="str">
        <f t="shared" si="13"/>
        <v/>
      </c>
      <c r="C891" s="8" t="str">
        <f>IF(A891="","",_xll.BDH(config!$H$4,C$1,$A891,$A891))</f>
        <v/>
      </c>
      <c r="D891" s="8" t="str">
        <f>IF($A891="","",_xll.BDH(config!$H$4,D$1,$A891,$A891))</f>
        <v/>
      </c>
      <c r="E891" s="8" t="str">
        <f>IF($A891="","",IF(ISNUMBER(FIND("IMPVOL",E$1)),_xll.BDH(config!$G$4,E$1,WORKDAY($A891,-1,config_Holiday_Calendar_US),WORKDAY($A891,-1,config_Holiday_Calendar_US)),IF(ISNUMBER(_xll.BDH(config!$G$4,E$1,$A891,$A891)),_xll.BDH(config!$G$4,E$1,$A891,$A891),_xll.BDH(config!$G$5,E$1,$A891,$A891))))</f>
        <v/>
      </c>
      <c r="F891" s="8" t="str">
        <f>IF($A891="","",IF(ISNUMBER(FIND("IMPVOL",F$1)),_xll.BDH(config!$G$4,F$1,WORKDAY($A891,-1,config_Holiday_Calendar_US),WORKDAY($A891,-1,config_Holiday_Calendar_US)),IF(ISNUMBER(_xll.BDH(config!$G$4,F$1,$A891,$A891)),_xll.BDH(config!$G$4,F$1,$A891,$A891),_xll.BDH(config!$G$5,F$1,$A891,$A891))))</f>
        <v/>
      </c>
      <c r="G891" s="8" t="str">
        <f>IF($A891="","",IF(ISNUMBER(FIND("IMPVOL",G$1)),_xll.BDH(config!$G$4,G$1,WORKDAY($A891,-1,config_Holiday_Calendar_US),WORKDAY($A891,-1,config_Holiday_Calendar_US)),IF(ISNUMBER(_xll.BDH(config!$G$4,G$1,$A891,$A891)),_xll.BDH(config!$G$4,G$1,$A891,$A891),_xll.BDH(config!$G$5,G$1,$A891,$A891))))</f>
        <v/>
      </c>
      <c r="H891" s="8" t="str">
        <f>IF($A891="","",IF(ISNUMBER(FIND("IMPVOL",H$1)),_xll.BDH(config!$G$4,H$1,WORKDAY($A891,-1,config_Holiday_Calendar_US),WORKDAY($A891,-1,config_Holiday_Calendar_US)),IF(ISNUMBER(_xll.BDH(config!$G$4,H$1,$A891,$A891)),_xll.BDH(config!$G$4,H$1,$A891,$A891),_xll.BDH(config!$G$5,H$1,$A891,$A891))))</f>
        <v/>
      </c>
      <c r="I891" s="8" t="str">
        <f>IF($A891="","",IF(ISNUMBER(FIND("IMPVOL",I$1)),_xll.BDH(config!$G$4,I$1,WORKDAY($A891,-1,config_Holiday_Calendar_US),WORKDAY($A891,-1,config_Holiday_Calendar_US)),IF(ISNUMBER(_xll.BDH(config!$G$4,I$1,$A891,$A891)),_xll.BDH(config!$G$4,I$1,$A891,$A891),_xll.BDH(config!$G$5,I$1,$A891,$A891))))</f>
        <v/>
      </c>
      <c r="J891" s="8" t="str">
        <f>IF($A891="","",IF(ISNUMBER(FIND("IMPVOL",J$1)),_xll.BDH(config!$G$4,J$1,WORKDAY($A891,-1,config_Holiday_Calendar_US),WORKDAY($A891,-1,config_Holiday_Calendar_US)),IF(ISNUMBER(_xll.BDH(config!$G$4,J$1,$A891,$A891)),_xll.BDH(config!$G$4,J$1,$A891,$A891),_xll.BDH(config!$G$5,J$1,$A891,$A891))))</f>
        <v/>
      </c>
      <c r="K891" s="8" t="str">
        <f>IF($A891="","",IF(ISNUMBER(FIND("IMPVOL",K$1)),_xll.BDH(config!$G$4,K$1,WORKDAY($A891,-1,config_Holiday_Calendar_US),WORKDAY($A891,-1,config_Holiday_Calendar_US)),IF(ISNUMBER(_xll.BDH(config!$G$4,K$1,$A891,$A891)),_xll.BDH(config!$G$4,K$1,$A891,$A891),_xll.BDH(config!$G$5,K$1,$A891,$A891))))</f>
        <v/>
      </c>
      <c r="L891" s="8" t="str">
        <f>IF($A891="","",IF(ISNUMBER(FIND("IMPVOL",L$1)),_xll.BDH(config!$G$4,L$1,WORKDAY($A891,-1,config_Holiday_Calendar_US),WORKDAY($A891,-1,config_Holiday_Calendar_US)),IF(ISNUMBER(_xll.BDH(config!$G$4,L$1,$A891,$A891)),_xll.BDH(config!$G$4,L$1,$A891,$A891),_xll.BDH(config!$G$5,L$1,$A891,$A891))))</f>
        <v/>
      </c>
      <c r="M891" s="8" t="str">
        <f>IF($A891="","",IF(ISNUMBER(FIND("IMPVOL",M$1)),_xll.BDH(config!$G$4,M$1,WORKDAY($A891,-1,config_Holiday_Calendar_US),WORKDAY($A891,-1,config_Holiday_Calendar_US)),IF(ISNUMBER(_xll.BDH(config!$G$4,M$1,$A891,$A891)),_xll.BDH(config!$G$4,M$1,$A891,$A891),_xll.BDH(config!$G$5,M$1,$A891,$A891))))</f>
        <v/>
      </c>
      <c r="N891" s="8" t="str">
        <f>IF($A891="","",IF(ISNUMBER(FIND("IMPVOL",N$1)),_xll.BDH(config!$G$4,N$1,WORKDAY($A891,-1,config_Holiday_Calendar_US),WORKDAY($A891,-1,config_Holiday_Calendar_US)),IF(ISNUMBER(_xll.BDH(config!$G$4,N$1,$A891,$A891)),_xll.BDH(config!$G$4,N$1,$A891,$A891),_xll.BDH(config!$G$5,N$1,$A891,$A891))))</f>
        <v/>
      </c>
      <c r="O891" s="8" t="str">
        <f>IF($A891="","",IF(ISNUMBER(FIND("IMPVOL",O$1)),_xll.BDH(config!$G$4,O$1,WORKDAY($A891,-1,config_Holiday_Calendar_US),WORKDAY($A891,-1,config_Holiday_Calendar_US)),IF(ISNUMBER(_xll.BDH(config!$G$4,O$1,$A891,$A891)),_xll.BDH(config!$G$4,O$1,$A891,$A891),_xll.BDH(config!$G$5,O$1,$A891,$A891))))</f>
        <v/>
      </c>
      <c r="P891" s="8" t="str">
        <f>IF($A891="","",IF(ISNUMBER(FIND("IMPVOL",P$1)),_xll.BDH(config!$G$4,P$1,WORKDAY($A891,-1,config_Holiday_Calendar_US),WORKDAY($A891,-1,config_Holiday_Calendar_US)),IF(ISNUMBER(_xll.BDH(config!$G$4,P$1,$A891,$A891)),_xll.BDH(config!$G$4,P$1,$A891,$A891),_xll.BDH(config!$G$5,P$1,$A891,$A891))))</f>
        <v/>
      </c>
      <c r="Q891" s="8" t="str">
        <f>IF($A891="","",IF(ISNUMBER(FIND("IMPVOL",Q$1)),_xll.BDH(config!$G$4,Q$1,WORKDAY($A891,-1,config_Holiday_Calendar_US),WORKDAY($A891,-1,config_Holiday_Calendar_US)),IF(ISNUMBER(_xll.BDH(config!$G$4,Q$1,$A891,$A891)),_xll.BDH(config!$G$4,Q$1,$A891,$A891),_xll.BDH(config!$G$5,Q$1,$A891,$A891))))</f>
        <v/>
      </c>
      <c r="R891" s="8" t="str">
        <f>IF($A891="","",IF(ISNUMBER(FIND("IMPVOL",R$1)),_xll.BDH(config!$G$4,R$1,WORKDAY($A891,-1,config_Holiday_Calendar_US),WORKDAY($A891,-1,config_Holiday_Calendar_US)),IF(ISNUMBER(_xll.BDH(config!$G$4,R$1,$A891,$A891)),_xll.BDH(config!$G$4,R$1,$A891,$A891),_xll.BDH(config!$G$5,R$1,$A891,$A891))))</f>
        <v/>
      </c>
      <c r="S891" s="8" t="str">
        <f>IF($A891="","",IF(ISNUMBER(FIND("IMPVOL",S$1)),_xll.BDH(config!$G$4,S$1,WORKDAY($A891,-1,config_Holiday_Calendar_US),WORKDAY($A891,-1,config_Holiday_Calendar_US)),IF(ISNUMBER(_xll.BDH(config!$G$4,S$1,$A891,$A891)),_xll.BDH(config!$G$4,S$1,$A891,$A891),_xll.BDH(config!$G$5,S$1,$A891,$A891))))</f>
        <v/>
      </c>
      <c r="T891" s="8" t="str">
        <f>IF($A891="","",IF(ISNUMBER(FIND("IMPVOL",T$1)),_xll.BDH(config!$G$4,T$1,WORKDAY($A891,-1,config_Holiday_Calendar_US),WORKDAY($A891,-1,config_Holiday_Calendar_US)),IF(ISNUMBER(_xll.BDH(config!$G$4,T$1,$A891,$A891)),_xll.BDH(config!$G$4,T$1,$A891,$A891),_xll.BDH(config!$G$5,T$1,$A891,$A891))))</f>
        <v/>
      </c>
      <c r="U891" s="8" t="str">
        <f>IF($A891="","",IF(ISNUMBER(FIND("IMPVOL",U$1)),_xll.BDH(config!$G$4,U$1,WORKDAY($A891,-1,config_Holiday_Calendar_US),WORKDAY($A891,-1,config_Holiday_Calendar_US)),IF(ISNUMBER(_xll.BDH(config!$G$4,U$1,$A891,$A891)),_xll.BDH(config!$G$4,U$1,$A891,$A891),_xll.BDH(config!$G$5,U$1,$A891,$A891))))</f>
        <v/>
      </c>
      <c r="V891" s="8" t="str">
        <f>IF($A891="","",IF(ISNUMBER(FIND("IMPVOL",V$1)),_xll.BDH(config!$G$4,V$1,WORKDAY($A891,-1,config_Holiday_Calendar_US),WORKDAY($A891,-1,config_Holiday_Calendar_US)),IF(ISNUMBER(_xll.BDH(config!$G$4,V$1,$A891,$A891)),_xll.BDH(config!$G$4,V$1,$A891,$A891),_xll.BDH(config!$G$5,V$1,$A891,$A891))))</f>
        <v/>
      </c>
      <c r="W891" s="8" t="str">
        <f>IF($A891="","",IF(ISNUMBER(FIND("IMPVOL",W$1)),_xll.BDH(config!$G$4,W$1,WORKDAY($A891,-1,config_Holiday_Calendar_US),WORKDAY($A891,-1,config_Holiday_Calendar_US)),IF(ISNUMBER(_xll.BDH(config!$G$4,W$1,$A891,$A891)),_xll.BDH(config!$G$4,W$1,$A891,$A891),_xll.BDH(config!$G$5,W$1,$A891,$A891))))</f>
        <v/>
      </c>
    </row>
    <row r="892" spans="1:23" x14ac:dyDescent="0.2">
      <c r="A892" s="9" t="str">
        <f>IF(A891="","",IF(WORKDAY(A891,-1,config_Holiday_Calendar_US)&lt;config!$I$10,"",WORKDAY(A891,-1,config_Holiday_Calendar_US)))</f>
        <v/>
      </c>
      <c r="B892" s="8" t="str">
        <f t="shared" si="13"/>
        <v/>
      </c>
      <c r="C892" s="8" t="str">
        <f>IF(A892="","",_xll.BDH(config!$H$4,C$1,$A892,$A892))</f>
        <v/>
      </c>
      <c r="D892" s="8" t="str">
        <f>IF($A892="","",_xll.BDH(config!$H$4,D$1,$A892,$A892))</f>
        <v/>
      </c>
      <c r="E892" s="8" t="str">
        <f>IF($A892="","",IF(ISNUMBER(FIND("IMPVOL",E$1)),_xll.BDH(config!$G$4,E$1,WORKDAY($A892,-1,config_Holiday_Calendar_US),WORKDAY($A892,-1,config_Holiday_Calendar_US)),IF(ISNUMBER(_xll.BDH(config!$G$4,E$1,$A892,$A892)),_xll.BDH(config!$G$4,E$1,$A892,$A892),_xll.BDH(config!$G$5,E$1,$A892,$A892))))</f>
        <v/>
      </c>
      <c r="F892" s="8" t="str">
        <f>IF($A892="","",IF(ISNUMBER(FIND("IMPVOL",F$1)),_xll.BDH(config!$G$4,F$1,WORKDAY($A892,-1,config_Holiday_Calendar_US),WORKDAY($A892,-1,config_Holiday_Calendar_US)),IF(ISNUMBER(_xll.BDH(config!$G$4,F$1,$A892,$A892)),_xll.BDH(config!$G$4,F$1,$A892,$A892),_xll.BDH(config!$G$5,F$1,$A892,$A892))))</f>
        <v/>
      </c>
      <c r="G892" s="8" t="str">
        <f>IF($A892="","",IF(ISNUMBER(FIND("IMPVOL",G$1)),_xll.BDH(config!$G$4,G$1,WORKDAY($A892,-1,config_Holiday_Calendar_US),WORKDAY($A892,-1,config_Holiday_Calendar_US)),IF(ISNUMBER(_xll.BDH(config!$G$4,G$1,$A892,$A892)),_xll.BDH(config!$G$4,G$1,$A892,$A892),_xll.BDH(config!$G$5,G$1,$A892,$A892))))</f>
        <v/>
      </c>
      <c r="H892" s="8" t="str">
        <f>IF($A892="","",IF(ISNUMBER(FIND("IMPVOL",H$1)),_xll.BDH(config!$G$4,H$1,WORKDAY($A892,-1,config_Holiday_Calendar_US),WORKDAY($A892,-1,config_Holiday_Calendar_US)),IF(ISNUMBER(_xll.BDH(config!$G$4,H$1,$A892,$A892)),_xll.BDH(config!$G$4,H$1,$A892,$A892),_xll.BDH(config!$G$5,H$1,$A892,$A892))))</f>
        <v/>
      </c>
      <c r="I892" s="8" t="str">
        <f>IF($A892="","",IF(ISNUMBER(FIND("IMPVOL",I$1)),_xll.BDH(config!$G$4,I$1,WORKDAY($A892,-1,config_Holiday_Calendar_US),WORKDAY($A892,-1,config_Holiday_Calendar_US)),IF(ISNUMBER(_xll.BDH(config!$G$4,I$1,$A892,$A892)),_xll.BDH(config!$G$4,I$1,$A892,$A892),_xll.BDH(config!$G$5,I$1,$A892,$A892))))</f>
        <v/>
      </c>
      <c r="J892" s="8" t="str">
        <f>IF($A892="","",IF(ISNUMBER(FIND("IMPVOL",J$1)),_xll.BDH(config!$G$4,J$1,WORKDAY($A892,-1,config_Holiday_Calendar_US),WORKDAY($A892,-1,config_Holiday_Calendar_US)),IF(ISNUMBER(_xll.BDH(config!$G$4,J$1,$A892,$A892)),_xll.BDH(config!$G$4,J$1,$A892,$A892),_xll.BDH(config!$G$5,J$1,$A892,$A892))))</f>
        <v/>
      </c>
      <c r="K892" s="8" t="str">
        <f>IF($A892="","",IF(ISNUMBER(FIND("IMPVOL",K$1)),_xll.BDH(config!$G$4,K$1,WORKDAY($A892,-1,config_Holiday_Calendar_US),WORKDAY($A892,-1,config_Holiday_Calendar_US)),IF(ISNUMBER(_xll.BDH(config!$G$4,K$1,$A892,$A892)),_xll.BDH(config!$G$4,K$1,$A892,$A892),_xll.BDH(config!$G$5,K$1,$A892,$A892))))</f>
        <v/>
      </c>
      <c r="L892" s="8" t="str">
        <f>IF($A892="","",IF(ISNUMBER(FIND("IMPVOL",L$1)),_xll.BDH(config!$G$4,L$1,WORKDAY($A892,-1,config_Holiday_Calendar_US),WORKDAY($A892,-1,config_Holiday_Calendar_US)),IF(ISNUMBER(_xll.BDH(config!$G$4,L$1,$A892,$A892)),_xll.BDH(config!$G$4,L$1,$A892,$A892),_xll.BDH(config!$G$5,L$1,$A892,$A892))))</f>
        <v/>
      </c>
      <c r="M892" s="8" t="str">
        <f>IF($A892="","",IF(ISNUMBER(FIND("IMPVOL",M$1)),_xll.BDH(config!$G$4,M$1,WORKDAY($A892,-1,config_Holiday_Calendar_US),WORKDAY($A892,-1,config_Holiday_Calendar_US)),IF(ISNUMBER(_xll.BDH(config!$G$4,M$1,$A892,$A892)),_xll.BDH(config!$G$4,M$1,$A892,$A892),_xll.BDH(config!$G$5,M$1,$A892,$A892))))</f>
        <v/>
      </c>
      <c r="N892" s="8" t="str">
        <f>IF($A892="","",IF(ISNUMBER(FIND("IMPVOL",N$1)),_xll.BDH(config!$G$4,N$1,WORKDAY($A892,-1,config_Holiday_Calendar_US),WORKDAY($A892,-1,config_Holiday_Calendar_US)),IF(ISNUMBER(_xll.BDH(config!$G$4,N$1,$A892,$A892)),_xll.BDH(config!$G$4,N$1,$A892,$A892),_xll.BDH(config!$G$5,N$1,$A892,$A892))))</f>
        <v/>
      </c>
      <c r="O892" s="8" t="str">
        <f>IF($A892="","",IF(ISNUMBER(FIND("IMPVOL",O$1)),_xll.BDH(config!$G$4,O$1,WORKDAY($A892,-1,config_Holiday_Calendar_US),WORKDAY($A892,-1,config_Holiday_Calendar_US)),IF(ISNUMBER(_xll.BDH(config!$G$4,O$1,$A892,$A892)),_xll.BDH(config!$G$4,O$1,$A892,$A892),_xll.BDH(config!$G$5,O$1,$A892,$A892))))</f>
        <v/>
      </c>
      <c r="P892" s="8" t="str">
        <f>IF($A892="","",IF(ISNUMBER(FIND("IMPVOL",P$1)),_xll.BDH(config!$G$4,P$1,WORKDAY($A892,-1,config_Holiday_Calendar_US),WORKDAY($A892,-1,config_Holiday_Calendar_US)),IF(ISNUMBER(_xll.BDH(config!$G$4,P$1,$A892,$A892)),_xll.BDH(config!$G$4,P$1,$A892,$A892),_xll.BDH(config!$G$5,P$1,$A892,$A892))))</f>
        <v/>
      </c>
      <c r="Q892" s="8" t="str">
        <f>IF($A892="","",IF(ISNUMBER(FIND("IMPVOL",Q$1)),_xll.BDH(config!$G$4,Q$1,WORKDAY($A892,-1,config_Holiday_Calendar_US),WORKDAY($A892,-1,config_Holiday_Calendar_US)),IF(ISNUMBER(_xll.BDH(config!$G$4,Q$1,$A892,$A892)),_xll.BDH(config!$G$4,Q$1,$A892,$A892),_xll.BDH(config!$G$5,Q$1,$A892,$A892))))</f>
        <v/>
      </c>
      <c r="R892" s="8" t="str">
        <f>IF($A892="","",IF(ISNUMBER(FIND("IMPVOL",R$1)),_xll.BDH(config!$G$4,R$1,WORKDAY($A892,-1,config_Holiday_Calendar_US),WORKDAY($A892,-1,config_Holiday_Calendar_US)),IF(ISNUMBER(_xll.BDH(config!$G$4,R$1,$A892,$A892)),_xll.BDH(config!$G$4,R$1,$A892,$A892),_xll.BDH(config!$G$5,R$1,$A892,$A892))))</f>
        <v/>
      </c>
      <c r="S892" s="8" t="str">
        <f>IF($A892="","",IF(ISNUMBER(FIND("IMPVOL",S$1)),_xll.BDH(config!$G$4,S$1,WORKDAY($A892,-1,config_Holiday_Calendar_US),WORKDAY($A892,-1,config_Holiday_Calendar_US)),IF(ISNUMBER(_xll.BDH(config!$G$4,S$1,$A892,$A892)),_xll.BDH(config!$G$4,S$1,$A892,$A892),_xll.BDH(config!$G$5,S$1,$A892,$A892))))</f>
        <v/>
      </c>
      <c r="T892" s="8" t="str">
        <f>IF($A892="","",IF(ISNUMBER(FIND("IMPVOL",T$1)),_xll.BDH(config!$G$4,T$1,WORKDAY($A892,-1,config_Holiday_Calendar_US),WORKDAY($A892,-1,config_Holiday_Calendar_US)),IF(ISNUMBER(_xll.BDH(config!$G$4,T$1,$A892,$A892)),_xll.BDH(config!$G$4,T$1,$A892,$A892),_xll.BDH(config!$G$5,T$1,$A892,$A892))))</f>
        <v/>
      </c>
      <c r="U892" s="8" t="str">
        <f>IF($A892="","",IF(ISNUMBER(FIND("IMPVOL",U$1)),_xll.BDH(config!$G$4,U$1,WORKDAY($A892,-1,config_Holiday_Calendar_US),WORKDAY($A892,-1,config_Holiday_Calendar_US)),IF(ISNUMBER(_xll.BDH(config!$G$4,U$1,$A892,$A892)),_xll.BDH(config!$G$4,U$1,$A892,$A892),_xll.BDH(config!$G$5,U$1,$A892,$A892))))</f>
        <v/>
      </c>
      <c r="V892" s="8" t="str">
        <f>IF($A892="","",IF(ISNUMBER(FIND("IMPVOL",V$1)),_xll.BDH(config!$G$4,V$1,WORKDAY($A892,-1,config_Holiday_Calendar_US),WORKDAY($A892,-1,config_Holiday_Calendar_US)),IF(ISNUMBER(_xll.BDH(config!$G$4,V$1,$A892,$A892)),_xll.BDH(config!$G$4,V$1,$A892,$A892),_xll.BDH(config!$G$5,V$1,$A892,$A892))))</f>
        <v/>
      </c>
      <c r="W892" s="8" t="str">
        <f>IF($A892="","",IF(ISNUMBER(FIND("IMPVOL",W$1)),_xll.BDH(config!$G$4,W$1,WORKDAY($A892,-1,config_Holiday_Calendar_US),WORKDAY($A892,-1,config_Holiday_Calendar_US)),IF(ISNUMBER(_xll.BDH(config!$G$4,W$1,$A892,$A892)),_xll.BDH(config!$G$4,W$1,$A892,$A892),_xll.BDH(config!$G$5,W$1,$A892,$A892))))</f>
        <v/>
      </c>
    </row>
    <row r="893" spans="1:23" x14ac:dyDescent="0.2">
      <c r="A893" s="9" t="str">
        <f>IF(A892="","",IF(WORKDAY(A892,-1,config_Holiday_Calendar_US)&lt;config!$I$10,"",WORKDAY(A892,-1,config_Holiday_Calendar_US)))</f>
        <v/>
      </c>
      <c r="B893" s="8" t="str">
        <f t="shared" si="13"/>
        <v/>
      </c>
      <c r="C893" s="8" t="str">
        <f>IF(A893="","",_xll.BDH(config!$H$4,C$1,$A893,$A893))</f>
        <v/>
      </c>
      <c r="D893" s="8" t="str">
        <f>IF($A893="","",_xll.BDH(config!$H$4,D$1,$A893,$A893))</f>
        <v/>
      </c>
      <c r="E893" s="8" t="str">
        <f>IF($A893="","",IF(ISNUMBER(FIND("IMPVOL",E$1)),_xll.BDH(config!$G$4,E$1,WORKDAY($A893,-1,config_Holiday_Calendar_US),WORKDAY($A893,-1,config_Holiday_Calendar_US)),IF(ISNUMBER(_xll.BDH(config!$G$4,E$1,$A893,$A893)),_xll.BDH(config!$G$4,E$1,$A893,$A893),_xll.BDH(config!$G$5,E$1,$A893,$A893))))</f>
        <v/>
      </c>
      <c r="F893" s="8" t="str">
        <f>IF($A893="","",IF(ISNUMBER(FIND("IMPVOL",F$1)),_xll.BDH(config!$G$4,F$1,WORKDAY($A893,-1,config_Holiday_Calendar_US),WORKDAY($A893,-1,config_Holiday_Calendar_US)),IF(ISNUMBER(_xll.BDH(config!$G$4,F$1,$A893,$A893)),_xll.BDH(config!$G$4,F$1,$A893,$A893),_xll.BDH(config!$G$5,F$1,$A893,$A893))))</f>
        <v/>
      </c>
      <c r="G893" s="8" t="str">
        <f>IF($A893="","",IF(ISNUMBER(FIND("IMPVOL",G$1)),_xll.BDH(config!$G$4,G$1,WORKDAY($A893,-1,config_Holiday_Calendar_US),WORKDAY($A893,-1,config_Holiday_Calendar_US)),IF(ISNUMBER(_xll.BDH(config!$G$4,G$1,$A893,$A893)),_xll.BDH(config!$G$4,G$1,$A893,$A893),_xll.BDH(config!$G$5,G$1,$A893,$A893))))</f>
        <v/>
      </c>
      <c r="H893" s="8" t="str">
        <f>IF($A893="","",IF(ISNUMBER(FIND("IMPVOL",H$1)),_xll.BDH(config!$G$4,H$1,WORKDAY($A893,-1,config_Holiday_Calendar_US),WORKDAY($A893,-1,config_Holiday_Calendar_US)),IF(ISNUMBER(_xll.BDH(config!$G$4,H$1,$A893,$A893)),_xll.BDH(config!$G$4,H$1,$A893,$A893),_xll.BDH(config!$G$5,H$1,$A893,$A893))))</f>
        <v/>
      </c>
      <c r="I893" s="8" t="str">
        <f>IF($A893="","",IF(ISNUMBER(FIND("IMPVOL",I$1)),_xll.BDH(config!$G$4,I$1,WORKDAY($A893,-1,config_Holiday_Calendar_US),WORKDAY($A893,-1,config_Holiday_Calendar_US)),IF(ISNUMBER(_xll.BDH(config!$G$4,I$1,$A893,$A893)),_xll.BDH(config!$G$4,I$1,$A893,$A893),_xll.BDH(config!$G$5,I$1,$A893,$A893))))</f>
        <v/>
      </c>
      <c r="J893" s="8" t="str">
        <f>IF($A893="","",IF(ISNUMBER(FIND("IMPVOL",J$1)),_xll.BDH(config!$G$4,J$1,WORKDAY($A893,-1,config_Holiday_Calendar_US),WORKDAY($A893,-1,config_Holiday_Calendar_US)),IF(ISNUMBER(_xll.BDH(config!$G$4,J$1,$A893,$A893)),_xll.BDH(config!$G$4,J$1,$A893,$A893),_xll.BDH(config!$G$5,J$1,$A893,$A893))))</f>
        <v/>
      </c>
      <c r="K893" s="8" t="str">
        <f>IF($A893="","",IF(ISNUMBER(FIND("IMPVOL",K$1)),_xll.BDH(config!$G$4,K$1,WORKDAY($A893,-1,config_Holiday_Calendar_US),WORKDAY($A893,-1,config_Holiday_Calendar_US)),IF(ISNUMBER(_xll.BDH(config!$G$4,K$1,$A893,$A893)),_xll.BDH(config!$G$4,K$1,$A893,$A893),_xll.BDH(config!$G$5,K$1,$A893,$A893))))</f>
        <v/>
      </c>
      <c r="L893" s="8" t="str">
        <f>IF($A893="","",IF(ISNUMBER(FIND("IMPVOL",L$1)),_xll.BDH(config!$G$4,L$1,WORKDAY($A893,-1,config_Holiday_Calendar_US),WORKDAY($A893,-1,config_Holiday_Calendar_US)),IF(ISNUMBER(_xll.BDH(config!$G$4,L$1,$A893,$A893)),_xll.BDH(config!$G$4,L$1,$A893,$A893),_xll.BDH(config!$G$5,L$1,$A893,$A893))))</f>
        <v/>
      </c>
      <c r="M893" s="8" t="str">
        <f>IF($A893="","",IF(ISNUMBER(FIND("IMPVOL",M$1)),_xll.BDH(config!$G$4,M$1,WORKDAY($A893,-1,config_Holiday_Calendar_US),WORKDAY($A893,-1,config_Holiday_Calendar_US)),IF(ISNUMBER(_xll.BDH(config!$G$4,M$1,$A893,$A893)),_xll.BDH(config!$G$4,M$1,$A893,$A893),_xll.BDH(config!$G$5,M$1,$A893,$A893))))</f>
        <v/>
      </c>
      <c r="N893" s="8" t="str">
        <f>IF($A893="","",IF(ISNUMBER(FIND("IMPVOL",N$1)),_xll.BDH(config!$G$4,N$1,WORKDAY($A893,-1,config_Holiday_Calendar_US),WORKDAY($A893,-1,config_Holiday_Calendar_US)),IF(ISNUMBER(_xll.BDH(config!$G$4,N$1,$A893,$A893)),_xll.BDH(config!$G$4,N$1,$A893,$A893),_xll.BDH(config!$G$5,N$1,$A893,$A893))))</f>
        <v/>
      </c>
      <c r="O893" s="8" t="str">
        <f>IF($A893="","",IF(ISNUMBER(FIND("IMPVOL",O$1)),_xll.BDH(config!$G$4,O$1,WORKDAY($A893,-1,config_Holiday_Calendar_US),WORKDAY($A893,-1,config_Holiday_Calendar_US)),IF(ISNUMBER(_xll.BDH(config!$G$4,O$1,$A893,$A893)),_xll.BDH(config!$G$4,O$1,$A893,$A893),_xll.BDH(config!$G$5,O$1,$A893,$A893))))</f>
        <v/>
      </c>
      <c r="P893" s="8" t="str">
        <f>IF($A893="","",IF(ISNUMBER(FIND("IMPVOL",P$1)),_xll.BDH(config!$G$4,P$1,WORKDAY($A893,-1,config_Holiday_Calendar_US),WORKDAY($A893,-1,config_Holiday_Calendar_US)),IF(ISNUMBER(_xll.BDH(config!$G$4,P$1,$A893,$A893)),_xll.BDH(config!$G$4,P$1,$A893,$A893),_xll.BDH(config!$G$5,P$1,$A893,$A893))))</f>
        <v/>
      </c>
      <c r="Q893" s="8" t="str">
        <f>IF($A893="","",IF(ISNUMBER(FIND("IMPVOL",Q$1)),_xll.BDH(config!$G$4,Q$1,WORKDAY($A893,-1,config_Holiday_Calendar_US),WORKDAY($A893,-1,config_Holiday_Calendar_US)),IF(ISNUMBER(_xll.BDH(config!$G$4,Q$1,$A893,$A893)),_xll.BDH(config!$G$4,Q$1,$A893,$A893),_xll.BDH(config!$G$5,Q$1,$A893,$A893))))</f>
        <v/>
      </c>
      <c r="R893" s="8" t="str">
        <f>IF($A893="","",IF(ISNUMBER(FIND("IMPVOL",R$1)),_xll.BDH(config!$G$4,R$1,WORKDAY($A893,-1,config_Holiday_Calendar_US),WORKDAY($A893,-1,config_Holiday_Calendar_US)),IF(ISNUMBER(_xll.BDH(config!$G$4,R$1,$A893,$A893)),_xll.BDH(config!$G$4,R$1,$A893,$A893),_xll.BDH(config!$G$5,R$1,$A893,$A893))))</f>
        <v/>
      </c>
      <c r="S893" s="8" t="str">
        <f>IF($A893="","",IF(ISNUMBER(FIND("IMPVOL",S$1)),_xll.BDH(config!$G$4,S$1,WORKDAY($A893,-1,config_Holiday_Calendar_US),WORKDAY($A893,-1,config_Holiday_Calendar_US)),IF(ISNUMBER(_xll.BDH(config!$G$4,S$1,$A893,$A893)),_xll.BDH(config!$G$4,S$1,$A893,$A893),_xll.BDH(config!$G$5,S$1,$A893,$A893))))</f>
        <v/>
      </c>
      <c r="T893" s="8" t="str">
        <f>IF($A893="","",IF(ISNUMBER(FIND("IMPVOL",T$1)),_xll.BDH(config!$G$4,T$1,WORKDAY($A893,-1,config_Holiday_Calendar_US),WORKDAY($A893,-1,config_Holiday_Calendar_US)),IF(ISNUMBER(_xll.BDH(config!$G$4,T$1,$A893,$A893)),_xll.BDH(config!$G$4,T$1,$A893,$A893),_xll.BDH(config!$G$5,T$1,$A893,$A893))))</f>
        <v/>
      </c>
      <c r="U893" s="8" t="str">
        <f>IF($A893="","",IF(ISNUMBER(FIND("IMPVOL",U$1)),_xll.BDH(config!$G$4,U$1,WORKDAY($A893,-1,config_Holiday_Calendar_US),WORKDAY($A893,-1,config_Holiday_Calendar_US)),IF(ISNUMBER(_xll.BDH(config!$G$4,U$1,$A893,$A893)),_xll.BDH(config!$G$4,U$1,$A893,$A893),_xll.BDH(config!$G$5,U$1,$A893,$A893))))</f>
        <v/>
      </c>
      <c r="V893" s="8" t="str">
        <f>IF($A893="","",IF(ISNUMBER(FIND("IMPVOL",V$1)),_xll.BDH(config!$G$4,V$1,WORKDAY($A893,-1,config_Holiday_Calendar_US),WORKDAY($A893,-1,config_Holiday_Calendar_US)),IF(ISNUMBER(_xll.BDH(config!$G$4,V$1,$A893,$A893)),_xll.BDH(config!$G$4,V$1,$A893,$A893),_xll.BDH(config!$G$5,V$1,$A893,$A893))))</f>
        <v/>
      </c>
      <c r="W893" s="8" t="str">
        <f>IF($A893="","",IF(ISNUMBER(FIND("IMPVOL",W$1)),_xll.BDH(config!$G$4,W$1,WORKDAY($A893,-1,config_Holiday_Calendar_US),WORKDAY($A893,-1,config_Holiday_Calendar_US)),IF(ISNUMBER(_xll.BDH(config!$G$4,W$1,$A893,$A893)),_xll.BDH(config!$G$4,W$1,$A893,$A893),_xll.BDH(config!$G$5,W$1,$A893,$A893))))</f>
        <v/>
      </c>
    </row>
    <row r="894" spans="1:23" x14ac:dyDescent="0.2">
      <c r="A894" s="9" t="str">
        <f>IF(A893="","",IF(WORKDAY(A893,-1,config_Holiday_Calendar_US)&lt;config!$I$10,"",WORKDAY(A893,-1,config_Holiday_Calendar_US)))</f>
        <v/>
      </c>
      <c r="B894" s="8" t="str">
        <f t="shared" si="13"/>
        <v/>
      </c>
      <c r="C894" s="8" t="str">
        <f>IF(A894="","",_xll.BDH(config!$H$4,C$1,$A894,$A894))</f>
        <v/>
      </c>
      <c r="D894" s="8" t="str">
        <f>IF($A894="","",_xll.BDH(config!$H$4,D$1,$A894,$A894))</f>
        <v/>
      </c>
      <c r="E894" s="8" t="str">
        <f>IF($A894="","",IF(ISNUMBER(FIND("IMPVOL",E$1)),_xll.BDH(config!$G$4,E$1,WORKDAY($A894,-1,config_Holiday_Calendar_US),WORKDAY($A894,-1,config_Holiday_Calendar_US)),IF(ISNUMBER(_xll.BDH(config!$G$4,E$1,$A894,$A894)),_xll.BDH(config!$G$4,E$1,$A894,$A894),_xll.BDH(config!$G$5,E$1,$A894,$A894))))</f>
        <v/>
      </c>
      <c r="F894" s="8" t="str">
        <f>IF($A894="","",IF(ISNUMBER(FIND("IMPVOL",F$1)),_xll.BDH(config!$G$4,F$1,WORKDAY($A894,-1,config_Holiday_Calendar_US),WORKDAY($A894,-1,config_Holiday_Calendar_US)),IF(ISNUMBER(_xll.BDH(config!$G$4,F$1,$A894,$A894)),_xll.BDH(config!$G$4,F$1,$A894,$A894),_xll.BDH(config!$G$5,F$1,$A894,$A894))))</f>
        <v/>
      </c>
      <c r="G894" s="8" t="str">
        <f>IF($A894="","",IF(ISNUMBER(FIND("IMPVOL",G$1)),_xll.BDH(config!$G$4,G$1,WORKDAY($A894,-1,config_Holiday_Calendar_US),WORKDAY($A894,-1,config_Holiday_Calendar_US)),IF(ISNUMBER(_xll.BDH(config!$G$4,G$1,$A894,$A894)),_xll.BDH(config!$G$4,G$1,$A894,$A894),_xll.BDH(config!$G$5,G$1,$A894,$A894))))</f>
        <v/>
      </c>
      <c r="H894" s="8" t="str">
        <f>IF($A894="","",IF(ISNUMBER(FIND("IMPVOL",H$1)),_xll.BDH(config!$G$4,H$1,WORKDAY($A894,-1,config_Holiday_Calendar_US),WORKDAY($A894,-1,config_Holiday_Calendar_US)),IF(ISNUMBER(_xll.BDH(config!$G$4,H$1,$A894,$A894)),_xll.BDH(config!$G$4,H$1,$A894,$A894),_xll.BDH(config!$G$5,H$1,$A894,$A894))))</f>
        <v/>
      </c>
      <c r="I894" s="8" t="str">
        <f>IF($A894="","",IF(ISNUMBER(FIND("IMPVOL",I$1)),_xll.BDH(config!$G$4,I$1,WORKDAY($A894,-1,config_Holiday_Calendar_US),WORKDAY($A894,-1,config_Holiday_Calendar_US)),IF(ISNUMBER(_xll.BDH(config!$G$4,I$1,$A894,$A894)),_xll.BDH(config!$G$4,I$1,$A894,$A894),_xll.BDH(config!$G$5,I$1,$A894,$A894))))</f>
        <v/>
      </c>
      <c r="J894" s="8" t="str">
        <f>IF($A894="","",IF(ISNUMBER(FIND("IMPVOL",J$1)),_xll.BDH(config!$G$4,J$1,WORKDAY($A894,-1,config_Holiday_Calendar_US),WORKDAY($A894,-1,config_Holiday_Calendar_US)),IF(ISNUMBER(_xll.BDH(config!$G$4,J$1,$A894,$A894)),_xll.BDH(config!$G$4,J$1,$A894,$A894),_xll.BDH(config!$G$5,J$1,$A894,$A894))))</f>
        <v/>
      </c>
      <c r="K894" s="8" t="str">
        <f>IF($A894="","",IF(ISNUMBER(FIND("IMPVOL",K$1)),_xll.BDH(config!$G$4,K$1,WORKDAY($A894,-1,config_Holiday_Calendar_US),WORKDAY($A894,-1,config_Holiday_Calendar_US)),IF(ISNUMBER(_xll.BDH(config!$G$4,K$1,$A894,$A894)),_xll.BDH(config!$G$4,K$1,$A894,$A894),_xll.BDH(config!$G$5,K$1,$A894,$A894))))</f>
        <v/>
      </c>
      <c r="L894" s="8" t="str">
        <f>IF($A894="","",IF(ISNUMBER(FIND("IMPVOL",L$1)),_xll.BDH(config!$G$4,L$1,WORKDAY($A894,-1,config_Holiday_Calendar_US),WORKDAY($A894,-1,config_Holiday_Calendar_US)),IF(ISNUMBER(_xll.BDH(config!$G$4,L$1,$A894,$A894)),_xll.BDH(config!$G$4,L$1,$A894,$A894),_xll.BDH(config!$G$5,L$1,$A894,$A894))))</f>
        <v/>
      </c>
      <c r="M894" s="8" t="str">
        <f>IF($A894="","",IF(ISNUMBER(FIND("IMPVOL",M$1)),_xll.BDH(config!$G$4,M$1,WORKDAY($A894,-1,config_Holiday_Calendar_US),WORKDAY($A894,-1,config_Holiday_Calendar_US)),IF(ISNUMBER(_xll.BDH(config!$G$4,M$1,$A894,$A894)),_xll.BDH(config!$G$4,M$1,$A894,$A894),_xll.BDH(config!$G$5,M$1,$A894,$A894))))</f>
        <v/>
      </c>
      <c r="N894" s="8" t="str">
        <f>IF($A894="","",IF(ISNUMBER(FIND("IMPVOL",N$1)),_xll.BDH(config!$G$4,N$1,WORKDAY($A894,-1,config_Holiday_Calendar_US),WORKDAY($A894,-1,config_Holiday_Calendar_US)),IF(ISNUMBER(_xll.BDH(config!$G$4,N$1,$A894,$A894)),_xll.BDH(config!$G$4,N$1,$A894,$A894),_xll.BDH(config!$G$5,N$1,$A894,$A894))))</f>
        <v/>
      </c>
      <c r="O894" s="8" t="str">
        <f>IF($A894="","",IF(ISNUMBER(FIND("IMPVOL",O$1)),_xll.BDH(config!$G$4,O$1,WORKDAY($A894,-1,config_Holiday_Calendar_US),WORKDAY($A894,-1,config_Holiday_Calendar_US)),IF(ISNUMBER(_xll.BDH(config!$G$4,O$1,$A894,$A894)),_xll.BDH(config!$G$4,O$1,$A894,$A894),_xll.BDH(config!$G$5,O$1,$A894,$A894))))</f>
        <v/>
      </c>
      <c r="P894" s="8" t="str">
        <f>IF($A894="","",IF(ISNUMBER(FIND("IMPVOL",P$1)),_xll.BDH(config!$G$4,P$1,WORKDAY($A894,-1,config_Holiday_Calendar_US),WORKDAY($A894,-1,config_Holiday_Calendar_US)),IF(ISNUMBER(_xll.BDH(config!$G$4,P$1,$A894,$A894)),_xll.BDH(config!$G$4,P$1,$A894,$A894),_xll.BDH(config!$G$5,P$1,$A894,$A894))))</f>
        <v/>
      </c>
      <c r="Q894" s="8" t="str">
        <f>IF($A894="","",IF(ISNUMBER(FIND("IMPVOL",Q$1)),_xll.BDH(config!$G$4,Q$1,WORKDAY($A894,-1,config_Holiday_Calendar_US),WORKDAY($A894,-1,config_Holiday_Calendar_US)),IF(ISNUMBER(_xll.BDH(config!$G$4,Q$1,$A894,$A894)),_xll.BDH(config!$G$4,Q$1,$A894,$A894),_xll.BDH(config!$G$5,Q$1,$A894,$A894))))</f>
        <v/>
      </c>
      <c r="R894" s="8" t="str">
        <f>IF($A894="","",IF(ISNUMBER(FIND("IMPVOL",R$1)),_xll.BDH(config!$G$4,R$1,WORKDAY($A894,-1,config_Holiday_Calendar_US),WORKDAY($A894,-1,config_Holiday_Calendar_US)),IF(ISNUMBER(_xll.BDH(config!$G$4,R$1,$A894,$A894)),_xll.BDH(config!$G$4,R$1,$A894,$A894),_xll.BDH(config!$G$5,R$1,$A894,$A894))))</f>
        <v/>
      </c>
      <c r="S894" s="8" t="str">
        <f>IF($A894="","",IF(ISNUMBER(FIND("IMPVOL",S$1)),_xll.BDH(config!$G$4,S$1,WORKDAY($A894,-1,config_Holiday_Calendar_US),WORKDAY($A894,-1,config_Holiday_Calendar_US)),IF(ISNUMBER(_xll.BDH(config!$G$4,S$1,$A894,$A894)),_xll.BDH(config!$G$4,S$1,$A894,$A894),_xll.BDH(config!$G$5,S$1,$A894,$A894))))</f>
        <v/>
      </c>
      <c r="T894" s="8" t="str">
        <f>IF($A894="","",IF(ISNUMBER(FIND("IMPVOL",T$1)),_xll.BDH(config!$G$4,T$1,WORKDAY($A894,-1,config_Holiday_Calendar_US),WORKDAY($A894,-1,config_Holiday_Calendar_US)),IF(ISNUMBER(_xll.BDH(config!$G$4,T$1,$A894,$A894)),_xll.BDH(config!$G$4,T$1,$A894,$A894),_xll.BDH(config!$G$5,T$1,$A894,$A894))))</f>
        <v/>
      </c>
      <c r="U894" s="8" t="str">
        <f>IF($A894="","",IF(ISNUMBER(FIND("IMPVOL",U$1)),_xll.BDH(config!$G$4,U$1,WORKDAY($A894,-1,config_Holiday_Calendar_US),WORKDAY($A894,-1,config_Holiday_Calendar_US)),IF(ISNUMBER(_xll.BDH(config!$G$4,U$1,$A894,$A894)),_xll.BDH(config!$G$4,U$1,$A894,$A894),_xll.BDH(config!$G$5,U$1,$A894,$A894))))</f>
        <v/>
      </c>
      <c r="V894" s="8" t="str">
        <f>IF($A894="","",IF(ISNUMBER(FIND("IMPVOL",V$1)),_xll.BDH(config!$G$4,V$1,WORKDAY($A894,-1,config_Holiday_Calendar_US),WORKDAY($A894,-1,config_Holiday_Calendar_US)),IF(ISNUMBER(_xll.BDH(config!$G$4,V$1,$A894,$A894)),_xll.BDH(config!$G$4,V$1,$A894,$A894),_xll.BDH(config!$G$5,V$1,$A894,$A894))))</f>
        <v/>
      </c>
      <c r="W894" s="8" t="str">
        <f>IF($A894="","",IF(ISNUMBER(FIND("IMPVOL",W$1)),_xll.BDH(config!$G$4,W$1,WORKDAY($A894,-1,config_Holiday_Calendar_US),WORKDAY($A894,-1,config_Holiday_Calendar_US)),IF(ISNUMBER(_xll.BDH(config!$G$4,W$1,$A894,$A894)),_xll.BDH(config!$G$4,W$1,$A894,$A894),_xll.BDH(config!$G$5,W$1,$A894,$A894))))</f>
        <v/>
      </c>
    </row>
    <row r="895" spans="1:23" x14ac:dyDescent="0.2">
      <c r="A895" s="9" t="str">
        <f>IF(A894="","",IF(WORKDAY(A894,-1,config_Holiday_Calendar_US)&lt;config!$I$10,"",WORKDAY(A894,-1,config_Holiday_Calendar_US)))</f>
        <v/>
      </c>
      <c r="B895" s="8" t="str">
        <f t="shared" si="13"/>
        <v/>
      </c>
      <c r="C895" s="8" t="str">
        <f>IF(A895="","",_xll.BDH(config!$H$4,C$1,$A895,$A895))</f>
        <v/>
      </c>
      <c r="D895" s="8" t="str">
        <f>IF($A895="","",_xll.BDH(config!$H$4,D$1,$A895,$A895))</f>
        <v/>
      </c>
      <c r="E895" s="8" t="str">
        <f>IF($A895="","",IF(ISNUMBER(FIND("IMPVOL",E$1)),_xll.BDH(config!$G$4,E$1,WORKDAY($A895,-1,config_Holiday_Calendar_US),WORKDAY($A895,-1,config_Holiday_Calendar_US)),IF(ISNUMBER(_xll.BDH(config!$G$4,E$1,$A895,$A895)),_xll.BDH(config!$G$4,E$1,$A895,$A895),_xll.BDH(config!$G$5,E$1,$A895,$A895))))</f>
        <v/>
      </c>
      <c r="F895" s="8" t="str">
        <f>IF($A895="","",IF(ISNUMBER(FIND("IMPVOL",F$1)),_xll.BDH(config!$G$4,F$1,WORKDAY($A895,-1,config_Holiday_Calendar_US),WORKDAY($A895,-1,config_Holiday_Calendar_US)),IF(ISNUMBER(_xll.BDH(config!$G$4,F$1,$A895,$A895)),_xll.BDH(config!$G$4,F$1,$A895,$A895),_xll.BDH(config!$G$5,F$1,$A895,$A895))))</f>
        <v/>
      </c>
      <c r="G895" s="8" t="str">
        <f>IF($A895="","",IF(ISNUMBER(FIND("IMPVOL",G$1)),_xll.BDH(config!$G$4,G$1,WORKDAY($A895,-1,config_Holiday_Calendar_US),WORKDAY($A895,-1,config_Holiday_Calendar_US)),IF(ISNUMBER(_xll.BDH(config!$G$4,G$1,$A895,$A895)),_xll.BDH(config!$G$4,G$1,$A895,$A895),_xll.BDH(config!$G$5,G$1,$A895,$A895))))</f>
        <v/>
      </c>
      <c r="H895" s="8" t="str">
        <f>IF($A895="","",IF(ISNUMBER(FIND("IMPVOL",H$1)),_xll.BDH(config!$G$4,H$1,WORKDAY($A895,-1,config_Holiday_Calendar_US),WORKDAY($A895,-1,config_Holiday_Calendar_US)),IF(ISNUMBER(_xll.BDH(config!$G$4,H$1,$A895,$A895)),_xll.BDH(config!$G$4,H$1,$A895,$A895),_xll.BDH(config!$G$5,H$1,$A895,$A895))))</f>
        <v/>
      </c>
      <c r="I895" s="8" t="str">
        <f>IF($A895="","",IF(ISNUMBER(FIND("IMPVOL",I$1)),_xll.BDH(config!$G$4,I$1,WORKDAY($A895,-1,config_Holiday_Calendar_US),WORKDAY($A895,-1,config_Holiday_Calendar_US)),IF(ISNUMBER(_xll.BDH(config!$G$4,I$1,$A895,$A895)),_xll.BDH(config!$G$4,I$1,$A895,$A895),_xll.BDH(config!$G$5,I$1,$A895,$A895))))</f>
        <v/>
      </c>
      <c r="J895" s="8" t="str">
        <f>IF($A895="","",IF(ISNUMBER(FIND("IMPVOL",J$1)),_xll.BDH(config!$G$4,J$1,WORKDAY($A895,-1,config_Holiday_Calendar_US),WORKDAY($A895,-1,config_Holiday_Calendar_US)),IF(ISNUMBER(_xll.BDH(config!$G$4,J$1,$A895,$A895)),_xll.BDH(config!$G$4,J$1,$A895,$A895),_xll.BDH(config!$G$5,J$1,$A895,$A895))))</f>
        <v/>
      </c>
      <c r="K895" s="8" t="str">
        <f>IF($A895="","",IF(ISNUMBER(FIND("IMPVOL",K$1)),_xll.BDH(config!$G$4,K$1,WORKDAY($A895,-1,config_Holiday_Calendar_US),WORKDAY($A895,-1,config_Holiday_Calendar_US)),IF(ISNUMBER(_xll.BDH(config!$G$4,K$1,$A895,$A895)),_xll.BDH(config!$G$4,K$1,$A895,$A895),_xll.BDH(config!$G$5,K$1,$A895,$A895))))</f>
        <v/>
      </c>
      <c r="L895" s="8" t="str">
        <f>IF($A895="","",IF(ISNUMBER(FIND("IMPVOL",L$1)),_xll.BDH(config!$G$4,L$1,WORKDAY($A895,-1,config_Holiday_Calendar_US),WORKDAY($A895,-1,config_Holiday_Calendar_US)),IF(ISNUMBER(_xll.BDH(config!$G$4,L$1,$A895,$A895)),_xll.BDH(config!$G$4,L$1,$A895,$A895),_xll.BDH(config!$G$5,L$1,$A895,$A895))))</f>
        <v/>
      </c>
      <c r="M895" s="8" t="str">
        <f>IF($A895="","",IF(ISNUMBER(FIND("IMPVOL",M$1)),_xll.BDH(config!$G$4,M$1,WORKDAY($A895,-1,config_Holiday_Calendar_US),WORKDAY($A895,-1,config_Holiday_Calendar_US)),IF(ISNUMBER(_xll.BDH(config!$G$4,M$1,$A895,$A895)),_xll.BDH(config!$G$4,M$1,$A895,$A895),_xll.BDH(config!$G$5,M$1,$A895,$A895))))</f>
        <v/>
      </c>
      <c r="N895" s="8" t="str">
        <f>IF($A895="","",IF(ISNUMBER(FIND("IMPVOL",N$1)),_xll.BDH(config!$G$4,N$1,WORKDAY($A895,-1,config_Holiday_Calendar_US),WORKDAY($A895,-1,config_Holiday_Calendar_US)),IF(ISNUMBER(_xll.BDH(config!$G$4,N$1,$A895,$A895)),_xll.BDH(config!$G$4,N$1,$A895,$A895),_xll.BDH(config!$G$5,N$1,$A895,$A895))))</f>
        <v/>
      </c>
      <c r="O895" s="8" t="str">
        <f>IF($A895="","",IF(ISNUMBER(FIND("IMPVOL",O$1)),_xll.BDH(config!$G$4,O$1,WORKDAY($A895,-1,config_Holiday_Calendar_US),WORKDAY($A895,-1,config_Holiday_Calendar_US)),IF(ISNUMBER(_xll.BDH(config!$G$4,O$1,$A895,$A895)),_xll.BDH(config!$G$4,O$1,$A895,$A895),_xll.BDH(config!$G$5,O$1,$A895,$A895))))</f>
        <v/>
      </c>
      <c r="P895" s="8" t="str">
        <f>IF($A895="","",IF(ISNUMBER(FIND("IMPVOL",P$1)),_xll.BDH(config!$G$4,P$1,WORKDAY($A895,-1,config_Holiday_Calendar_US),WORKDAY($A895,-1,config_Holiday_Calendar_US)),IF(ISNUMBER(_xll.BDH(config!$G$4,P$1,$A895,$A895)),_xll.BDH(config!$G$4,P$1,$A895,$A895),_xll.BDH(config!$G$5,P$1,$A895,$A895))))</f>
        <v/>
      </c>
      <c r="Q895" s="8" t="str">
        <f>IF($A895="","",IF(ISNUMBER(FIND("IMPVOL",Q$1)),_xll.BDH(config!$G$4,Q$1,WORKDAY($A895,-1,config_Holiday_Calendar_US),WORKDAY($A895,-1,config_Holiday_Calendar_US)),IF(ISNUMBER(_xll.BDH(config!$G$4,Q$1,$A895,$A895)),_xll.BDH(config!$G$4,Q$1,$A895,$A895),_xll.BDH(config!$G$5,Q$1,$A895,$A895))))</f>
        <v/>
      </c>
      <c r="R895" s="8" t="str">
        <f>IF($A895="","",IF(ISNUMBER(FIND("IMPVOL",R$1)),_xll.BDH(config!$G$4,R$1,WORKDAY($A895,-1,config_Holiday_Calendar_US),WORKDAY($A895,-1,config_Holiday_Calendar_US)),IF(ISNUMBER(_xll.BDH(config!$G$4,R$1,$A895,$A895)),_xll.BDH(config!$G$4,R$1,$A895,$A895),_xll.BDH(config!$G$5,R$1,$A895,$A895))))</f>
        <v/>
      </c>
      <c r="S895" s="8" t="str">
        <f>IF($A895="","",IF(ISNUMBER(FIND("IMPVOL",S$1)),_xll.BDH(config!$G$4,S$1,WORKDAY($A895,-1,config_Holiday_Calendar_US),WORKDAY($A895,-1,config_Holiday_Calendar_US)),IF(ISNUMBER(_xll.BDH(config!$G$4,S$1,$A895,$A895)),_xll.BDH(config!$G$4,S$1,$A895,$A895),_xll.BDH(config!$G$5,S$1,$A895,$A895))))</f>
        <v/>
      </c>
      <c r="T895" s="8" t="str">
        <f>IF($A895="","",IF(ISNUMBER(FIND("IMPVOL",T$1)),_xll.BDH(config!$G$4,T$1,WORKDAY($A895,-1,config_Holiday_Calendar_US),WORKDAY($A895,-1,config_Holiday_Calendar_US)),IF(ISNUMBER(_xll.BDH(config!$G$4,T$1,$A895,$A895)),_xll.BDH(config!$G$4,T$1,$A895,$A895),_xll.BDH(config!$G$5,T$1,$A895,$A895))))</f>
        <v/>
      </c>
      <c r="U895" s="8" t="str">
        <f>IF($A895="","",IF(ISNUMBER(FIND("IMPVOL",U$1)),_xll.BDH(config!$G$4,U$1,WORKDAY($A895,-1,config_Holiday_Calendar_US),WORKDAY($A895,-1,config_Holiday_Calendar_US)),IF(ISNUMBER(_xll.BDH(config!$G$4,U$1,$A895,$A895)),_xll.BDH(config!$G$4,U$1,$A895,$A895),_xll.BDH(config!$G$5,U$1,$A895,$A895))))</f>
        <v/>
      </c>
      <c r="V895" s="8" t="str">
        <f>IF($A895="","",IF(ISNUMBER(FIND("IMPVOL",V$1)),_xll.BDH(config!$G$4,V$1,WORKDAY($A895,-1,config_Holiday_Calendar_US),WORKDAY($A895,-1,config_Holiday_Calendar_US)),IF(ISNUMBER(_xll.BDH(config!$G$4,V$1,$A895,$A895)),_xll.BDH(config!$G$4,V$1,$A895,$A895),_xll.BDH(config!$G$5,V$1,$A895,$A895))))</f>
        <v/>
      </c>
      <c r="W895" s="8" t="str">
        <f>IF($A895="","",IF(ISNUMBER(FIND("IMPVOL",W$1)),_xll.BDH(config!$G$4,W$1,WORKDAY($A895,-1,config_Holiday_Calendar_US),WORKDAY($A895,-1,config_Holiday_Calendar_US)),IF(ISNUMBER(_xll.BDH(config!$G$4,W$1,$A895,$A895)),_xll.BDH(config!$G$4,W$1,$A895,$A895),_xll.BDH(config!$G$5,W$1,$A895,$A895))))</f>
        <v/>
      </c>
    </row>
    <row r="896" spans="1:23" x14ac:dyDescent="0.2">
      <c r="A896" s="9" t="str">
        <f>IF(A895="","",IF(WORKDAY(A895,-1,config_Holiday_Calendar_US)&lt;config!$I$10,"",WORKDAY(A895,-1,config_Holiday_Calendar_US)))</f>
        <v/>
      </c>
      <c r="B896" s="8" t="str">
        <f t="shared" si="13"/>
        <v/>
      </c>
      <c r="C896" s="8" t="str">
        <f>IF(A896="","",_xll.BDH(config!$H$4,C$1,$A896,$A896))</f>
        <v/>
      </c>
      <c r="D896" s="8" t="str">
        <f>IF($A896="","",_xll.BDH(config!$H$4,D$1,$A896,$A896))</f>
        <v/>
      </c>
      <c r="E896" s="8" t="str">
        <f>IF($A896="","",IF(ISNUMBER(FIND("IMPVOL",E$1)),_xll.BDH(config!$G$4,E$1,WORKDAY($A896,-1,config_Holiday_Calendar_US),WORKDAY($A896,-1,config_Holiday_Calendar_US)),IF(ISNUMBER(_xll.BDH(config!$G$4,E$1,$A896,$A896)),_xll.BDH(config!$G$4,E$1,$A896,$A896),_xll.BDH(config!$G$5,E$1,$A896,$A896))))</f>
        <v/>
      </c>
      <c r="F896" s="8" t="str">
        <f>IF($A896="","",IF(ISNUMBER(FIND("IMPVOL",F$1)),_xll.BDH(config!$G$4,F$1,WORKDAY($A896,-1,config_Holiday_Calendar_US),WORKDAY($A896,-1,config_Holiday_Calendar_US)),IF(ISNUMBER(_xll.BDH(config!$G$4,F$1,$A896,$A896)),_xll.BDH(config!$G$4,F$1,$A896,$A896),_xll.BDH(config!$G$5,F$1,$A896,$A896))))</f>
        <v/>
      </c>
      <c r="G896" s="8" t="str">
        <f>IF($A896="","",IF(ISNUMBER(FIND("IMPVOL",G$1)),_xll.BDH(config!$G$4,G$1,WORKDAY($A896,-1,config_Holiday_Calendar_US),WORKDAY($A896,-1,config_Holiday_Calendar_US)),IF(ISNUMBER(_xll.BDH(config!$G$4,G$1,$A896,$A896)),_xll.BDH(config!$G$4,G$1,$A896,$A896),_xll.BDH(config!$G$5,G$1,$A896,$A896))))</f>
        <v/>
      </c>
      <c r="H896" s="8" t="str">
        <f>IF($A896="","",IF(ISNUMBER(FIND("IMPVOL",H$1)),_xll.BDH(config!$G$4,H$1,WORKDAY($A896,-1,config_Holiday_Calendar_US),WORKDAY($A896,-1,config_Holiday_Calendar_US)),IF(ISNUMBER(_xll.BDH(config!$G$4,H$1,$A896,$A896)),_xll.BDH(config!$G$4,H$1,$A896,$A896),_xll.BDH(config!$G$5,H$1,$A896,$A896))))</f>
        <v/>
      </c>
      <c r="I896" s="8" t="str">
        <f>IF($A896="","",IF(ISNUMBER(FIND("IMPVOL",I$1)),_xll.BDH(config!$G$4,I$1,WORKDAY($A896,-1,config_Holiday_Calendar_US),WORKDAY($A896,-1,config_Holiday_Calendar_US)),IF(ISNUMBER(_xll.BDH(config!$G$4,I$1,$A896,$A896)),_xll.BDH(config!$G$4,I$1,$A896,$A896),_xll.BDH(config!$G$5,I$1,$A896,$A896))))</f>
        <v/>
      </c>
      <c r="J896" s="8" t="str">
        <f>IF($A896="","",IF(ISNUMBER(FIND("IMPVOL",J$1)),_xll.BDH(config!$G$4,J$1,WORKDAY($A896,-1,config_Holiday_Calendar_US),WORKDAY($A896,-1,config_Holiday_Calendar_US)),IF(ISNUMBER(_xll.BDH(config!$G$4,J$1,$A896,$A896)),_xll.BDH(config!$G$4,J$1,$A896,$A896),_xll.BDH(config!$G$5,J$1,$A896,$A896))))</f>
        <v/>
      </c>
      <c r="K896" s="8" t="str">
        <f>IF($A896="","",IF(ISNUMBER(FIND("IMPVOL",K$1)),_xll.BDH(config!$G$4,K$1,WORKDAY($A896,-1,config_Holiday_Calendar_US),WORKDAY($A896,-1,config_Holiday_Calendar_US)),IF(ISNUMBER(_xll.BDH(config!$G$4,K$1,$A896,$A896)),_xll.BDH(config!$G$4,K$1,$A896,$A896),_xll.BDH(config!$G$5,K$1,$A896,$A896))))</f>
        <v/>
      </c>
      <c r="L896" s="8" t="str">
        <f>IF($A896="","",IF(ISNUMBER(FIND("IMPVOL",L$1)),_xll.BDH(config!$G$4,L$1,WORKDAY($A896,-1,config_Holiday_Calendar_US),WORKDAY($A896,-1,config_Holiday_Calendar_US)),IF(ISNUMBER(_xll.BDH(config!$G$4,L$1,$A896,$A896)),_xll.BDH(config!$G$4,L$1,$A896,$A896),_xll.BDH(config!$G$5,L$1,$A896,$A896))))</f>
        <v/>
      </c>
      <c r="M896" s="8" t="str">
        <f>IF($A896="","",IF(ISNUMBER(FIND("IMPVOL",M$1)),_xll.BDH(config!$G$4,M$1,WORKDAY($A896,-1,config_Holiday_Calendar_US),WORKDAY($A896,-1,config_Holiday_Calendar_US)),IF(ISNUMBER(_xll.BDH(config!$G$4,M$1,$A896,$A896)),_xll.BDH(config!$G$4,M$1,$A896,$A896),_xll.BDH(config!$G$5,M$1,$A896,$A896))))</f>
        <v/>
      </c>
      <c r="N896" s="8" t="str">
        <f>IF($A896="","",IF(ISNUMBER(FIND("IMPVOL",N$1)),_xll.BDH(config!$G$4,N$1,WORKDAY($A896,-1,config_Holiday_Calendar_US),WORKDAY($A896,-1,config_Holiday_Calendar_US)),IF(ISNUMBER(_xll.BDH(config!$G$4,N$1,$A896,$A896)),_xll.BDH(config!$G$4,N$1,$A896,$A896),_xll.BDH(config!$G$5,N$1,$A896,$A896))))</f>
        <v/>
      </c>
      <c r="O896" s="8" t="str">
        <f>IF($A896="","",IF(ISNUMBER(FIND("IMPVOL",O$1)),_xll.BDH(config!$G$4,O$1,WORKDAY($A896,-1,config_Holiday_Calendar_US),WORKDAY($A896,-1,config_Holiday_Calendar_US)),IF(ISNUMBER(_xll.BDH(config!$G$4,O$1,$A896,$A896)),_xll.BDH(config!$G$4,O$1,$A896,$A896),_xll.BDH(config!$G$5,O$1,$A896,$A896))))</f>
        <v/>
      </c>
      <c r="P896" s="8" t="str">
        <f>IF($A896="","",IF(ISNUMBER(FIND("IMPVOL",P$1)),_xll.BDH(config!$G$4,P$1,WORKDAY($A896,-1,config_Holiday_Calendar_US),WORKDAY($A896,-1,config_Holiday_Calendar_US)),IF(ISNUMBER(_xll.BDH(config!$G$4,P$1,$A896,$A896)),_xll.BDH(config!$G$4,P$1,$A896,$A896),_xll.BDH(config!$G$5,P$1,$A896,$A896))))</f>
        <v/>
      </c>
      <c r="Q896" s="8" t="str">
        <f>IF($A896="","",IF(ISNUMBER(FIND("IMPVOL",Q$1)),_xll.BDH(config!$G$4,Q$1,WORKDAY($A896,-1,config_Holiday_Calendar_US),WORKDAY($A896,-1,config_Holiday_Calendar_US)),IF(ISNUMBER(_xll.BDH(config!$G$4,Q$1,$A896,$A896)),_xll.BDH(config!$G$4,Q$1,$A896,$A896),_xll.BDH(config!$G$5,Q$1,$A896,$A896))))</f>
        <v/>
      </c>
      <c r="R896" s="8" t="str">
        <f>IF($A896="","",IF(ISNUMBER(FIND("IMPVOL",R$1)),_xll.BDH(config!$G$4,R$1,WORKDAY($A896,-1,config_Holiday_Calendar_US),WORKDAY($A896,-1,config_Holiday_Calendar_US)),IF(ISNUMBER(_xll.BDH(config!$G$4,R$1,$A896,$A896)),_xll.BDH(config!$G$4,R$1,$A896,$A896),_xll.BDH(config!$G$5,R$1,$A896,$A896))))</f>
        <v/>
      </c>
      <c r="S896" s="8" t="str">
        <f>IF($A896="","",IF(ISNUMBER(FIND("IMPVOL",S$1)),_xll.BDH(config!$G$4,S$1,WORKDAY($A896,-1,config_Holiday_Calendar_US),WORKDAY($A896,-1,config_Holiday_Calendar_US)),IF(ISNUMBER(_xll.BDH(config!$G$4,S$1,$A896,$A896)),_xll.BDH(config!$G$4,S$1,$A896,$A896),_xll.BDH(config!$G$5,S$1,$A896,$A896))))</f>
        <v/>
      </c>
      <c r="T896" s="8" t="str">
        <f>IF($A896="","",IF(ISNUMBER(FIND("IMPVOL",T$1)),_xll.BDH(config!$G$4,T$1,WORKDAY($A896,-1,config_Holiday_Calendar_US),WORKDAY($A896,-1,config_Holiday_Calendar_US)),IF(ISNUMBER(_xll.BDH(config!$G$4,T$1,$A896,$A896)),_xll.BDH(config!$G$4,T$1,$A896,$A896),_xll.BDH(config!$G$5,T$1,$A896,$A896))))</f>
        <v/>
      </c>
      <c r="U896" s="8" t="str">
        <f>IF($A896="","",IF(ISNUMBER(FIND("IMPVOL",U$1)),_xll.BDH(config!$G$4,U$1,WORKDAY($A896,-1,config_Holiday_Calendar_US),WORKDAY($A896,-1,config_Holiday_Calendar_US)),IF(ISNUMBER(_xll.BDH(config!$G$4,U$1,$A896,$A896)),_xll.BDH(config!$G$4,U$1,$A896,$A896),_xll.BDH(config!$G$5,U$1,$A896,$A896))))</f>
        <v/>
      </c>
      <c r="V896" s="8" t="str">
        <f>IF($A896="","",IF(ISNUMBER(FIND("IMPVOL",V$1)),_xll.BDH(config!$G$4,V$1,WORKDAY($A896,-1,config_Holiday_Calendar_US),WORKDAY($A896,-1,config_Holiday_Calendar_US)),IF(ISNUMBER(_xll.BDH(config!$G$4,V$1,$A896,$A896)),_xll.BDH(config!$G$4,V$1,$A896,$A896),_xll.BDH(config!$G$5,V$1,$A896,$A896))))</f>
        <v/>
      </c>
      <c r="W896" s="8" t="str">
        <f>IF($A896="","",IF(ISNUMBER(FIND("IMPVOL",W$1)),_xll.BDH(config!$G$4,W$1,WORKDAY($A896,-1,config_Holiday_Calendar_US),WORKDAY($A896,-1,config_Holiday_Calendar_US)),IF(ISNUMBER(_xll.BDH(config!$G$4,W$1,$A896,$A896)),_xll.BDH(config!$G$4,W$1,$A896,$A896),_xll.BDH(config!$G$5,W$1,$A896,$A896))))</f>
        <v/>
      </c>
    </row>
    <row r="897" spans="1:23" x14ac:dyDescent="0.2">
      <c r="A897" s="9" t="str">
        <f>IF(A896="","",IF(WORKDAY(A896,-1,config_Holiday_Calendar_US)&lt;config!$I$10,"",WORKDAY(A896,-1,config_Holiday_Calendar_US)))</f>
        <v/>
      </c>
      <c r="B897" s="8" t="str">
        <f t="shared" si="13"/>
        <v/>
      </c>
      <c r="C897" s="8" t="str">
        <f>IF(A897="","",_xll.BDH(config!$H$4,C$1,$A897,$A897))</f>
        <v/>
      </c>
      <c r="D897" s="8" t="str">
        <f>IF($A897="","",_xll.BDH(config!$H$4,D$1,$A897,$A897))</f>
        <v/>
      </c>
      <c r="E897" s="8" t="str">
        <f>IF($A897="","",IF(ISNUMBER(FIND("IMPVOL",E$1)),_xll.BDH(config!$G$4,E$1,WORKDAY($A897,-1,config_Holiday_Calendar_US),WORKDAY($A897,-1,config_Holiday_Calendar_US)),IF(ISNUMBER(_xll.BDH(config!$G$4,E$1,$A897,$A897)),_xll.BDH(config!$G$4,E$1,$A897,$A897),_xll.BDH(config!$G$5,E$1,$A897,$A897))))</f>
        <v/>
      </c>
      <c r="F897" s="8" t="str">
        <f>IF($A897="","",IF(ISNUMBER(FIND("IMPVOL",F$1)),_xll.BDH(config!$G$4,F$1,WORKDAY($A897,-1,config_Holiday_Calendar_US),WORKDAY($A897,-1,config_Holiday_Calendar_US)),IF(ISNUMBER(_xll.BDH(config!$G$4,F$1,$A897,$A897)),_xll.BDH(config!$G$4,F$1,$A897,$A897),_xll.BDH(config!$G$5,F$1,$A897,$A897))))</f>
        <v/>
      </c>
      <c r="G897" s="8" t="str">
        <f>IF($A897="","",IF(ISNUMBER(FIND("IMPVOL",G$1)),_xll.BDH(config!$G$4,G$1,WORKDAY($A897,-1,config_Holiday_Calendar_US),WORKDAY($A897,-1,config_Holiday_Calendar_US)),IF(ISNUMBER(_xll.BDH(config!$G$4,G$1,$A897,$A897)),_xll.BDH(config!$G$4,G$1,$A897,$A897),_xll.BDH(config!$G$5,G$1,$A897,$A897))))</f>
        <v/>
      </c>
      <c r="H897" s="8" t="str">
        <f>IF($A897="","",IF(ISNUMBER(FIND("IMPVOL",H$1)),_xll.BDH(config!$G$4,H$1,WORKDAY($A897,-1,config_Holiday_Calendar_US),WORKDAY($A897,-1,config_Holiday_Calendar_US)),IF(ISNUMBER(_xll.BDH(config!$G$4,H$1,$A897,$A897)),_xll.BDH(config!$G$4,H$1,$A897,$A897),_xll.BDH(config!$G$5,H$1,$A897,$A897))))</f>
        <v/>
      </c>
      <c r="I897" s="8" t="str">
        <f>IF($A897="","",IF(ISNUMBER(FIND("IMPVOL",I$1)),_xll.BDH(config!$G$4,I$1,WORKDAY($A897,-1,config_Holiday_Calendar_US),WORKDAY($A897,-1,config_Holiday_Calendar_US)),IF(ISNUMBER(_xll.BDH(config!$G$4,I$1,$A897,$A897)),_xll.BDH(config!$G$4,I$1,$A897,$A897),_xll.BDH(config!$G$5,I$1,$A897,$A897))))</f>
        <v/>
      </c>
      <c r="J897" s="8" t="str">
        <f>IF($A897="","",IF(ISNUMBER(FIND("IMPVOL",J$1)),_xll.BDH(config!$G$4,J$1,WORKDAY($A897,-1,config_Holiday_Calendar_US),WORKDAY($A897,-1,config_Holiday_Calendar_US)),IF(ISNUMBER(_xll.BDH(config!$G$4,J$1,$A897,$A897)),_xll.BDH(config!$G$4,J$1,$A897,$A897),_xll.BDH(config!$G$5,J$1,$A897,$A897))))</f>
        <v/>
      </c>
      <c r="K897" s="8" t="str">
        <f>IF($A897="","",IF(ISNUMBER(FIND("IMPVOL",K$1)),_xll.BDH(config!$G$4,K$1,WORKDAY($A897,-1,config_Holiday_Calendar_US),WORKDAY($A897,-1,config_Holiday_Calendar_US)),IF(ISNUMBER(_xll.BDH(config!$G$4,K$1,$A897,$A897)),_xll.BDH(config!$G$4,K$1,$A897,$A897),_xll.BDH(config!$G$5,K$1,$A897,$A897))))</f>
        <v/>
      </c>
      <c r="L897" s="8" t="str">
        <f>IF($A897="","",IF(ISNUMBER(FIND("IMPVOL",L$1)),_xll.BDH(config!$G$4,L$1,WORKDAY($A897,-1,config_Holiday_Calendar_US),WORKDAY($A897,-1,config_Holiday_Calendar_US)),IF(ISNUMBER(_xll.BDH(config!$G$4,L$1,$A897,$A897)),_xll.BDH(config!$G$4,L$1,$A897,$A897),_xll.BDH(config!$G$5,L$1,$A897,$A897))))</f>
        <v/>
      </c>
      <c r="M897" s="8" t="str">
        <f>IF($A897="","",IF(ISNUMBER(FIND("IMPVOL",M$1)),_xll.BDH(config!$G$4,M$1,WORKDAY($A897,-1,config_Holiday_Calendar_US),WORKDAY($A897,-1,config_Holiday_Calendar_US)),IF(ISNUMBER(_xll.BDH(config!$G$4,M$1,$A897,$A897)),_xll.BDH(config!$G$4,M$1,$A897,$A897),_xll.BDH(config!$G$5,M$1,$A897,$A897))))</f>
        <v/>
      </c>
      <c r="N897" s="8" t="str">
        <f>IF($A897="","",IF(ISNUMBER(FIND("IMPVOL",N$1)),_xll.BDH(config!$G$4,N$1,WORKDAY($A897,-1,config_Holiday_Calendar_US),WORKDAY($A897,-1,config_Holiday_Calendar_US)),IF(ISNUMBER(_xll.BDH(config!$G$4,N$1,$A897,$A897)),_xll.BDH(config!$G$4,N$1,$A897,$A897),_xll.BDH(config!$G$5,N$1,$A897,$A897))))</f>
        <v/>
      </c>
      <c r="O897" s="8" t="str">
        <f>IF($A897="","",IF(ISNUMBER(FIND("IMPVOL",O$1)),_xll.BDH(config!$G$4,O$1,WORKDAY($A897,-1,config_Holiday_Calendar_US),WORKDAY($A897,-1,config_Holiday_Calendar_US)),IF(ISNUMBER(_xll.BDH(config!$G$4,O$1,$A897,$A897)),_xll.BDH(config!$G$4,O$1,$A897,$A897),_xll.BDH(config!$G$5,O$1,$A897,$A897))))</f>
        <v/>
      </c>
      <c r="P897" s="8" t="str">
        <f>IF($A897="","",IF(ISNUMBER(FIND("IMPVOL",P$1)),_xll.BDH(config!$G$4,P$1,WORKDAY($A897,-1,config_Holiday_Calendar_US),WORKDAY($A897,-1,config_Holiday_Calendar_US)),IF(ISNUMBER(_xll.BDH(config!$G$4,P$1,$A897,$A897)),_xll.BDH(config!$G$4,P$1,$A897,$A897),_xll.BDH(config!$G$5,P$1,$A897,$A897))))</f>
        <v/>
      </c>
      <c r="Q897" s="8" t="str">
        <f>IF($A897="","",IF(ISNUMBER(FIND("IMPVOL",Q$1)),_xll.BDH(config!$G$4,Q$1,WORKDAY($A897,-1,config_Holiday_Calendar_US),WORKDAY($A897,-1,config_Holiday_Calendar_US)),IF(ISNUMBER(_xll.BDH(config!$G$4,Q$1,$A897,$A897)),_xll.BDH(config!$G$4,Q$1,$A897,$A897),_xll.BDH(config!$G$5,Q$1,$A897,$A897))))</f>
        <v/>
      </c>
      <c r="R897" s="8" t="str">
        <f>IF($A897="","",IF(ISNUMBER(FIND("IMPVOL",R$1)),_xll.BDH(config!$G$4,R$1,WORKDAY($A897,-1,config_Holiday_Calendar_US),WORKDAY($A897,-1,config_Holiday_Calendar_US)),IF(ISNUMBER(_xll.BDH(config!$G$4,R$1,$A897,$A897)),_xll.BDH(config!$G$4,R$1,$A897,$A897),_xll.BDH(config!$G$5,R$1,$A897,$A897))))</f>
        <v/>
      </c>
      <c r="S897" s="8" t="str">
        <f>IF($A897="","",IF(ISNUMBER(FIND("IMPVOL",S$1)),_xll.BDH(config!$G$4,S$1,WORKDAY($A897,-1,config_Holiday_Calendar_US),WORKDAY($A897,-1,config_Holiday_Calendar_US)),IF(ISNUMBER(_xll.BDH(config!$G$4,S$1,$A897,$A897)),_xll.BDH(config!$G$4,S$1,$A897,$A897),_xll.BDH(config!$G$5,S$1,$A897,$A897))))</f>
        <v/>
      </c>
      <c r="T897" s="8" t="str">
        <f>IF($A897="","",IF(ISNUMBER(FIND("IMPVOL",T$1)),_xll.BDH(config!$G$4,T$1,WORKDAY($A897,-1,config_Holiday_Calendar_US),WORKDAY($A897,-1,config_Holiday_Calendar_US)),IF(ISNUMBER(_xll.BDH(config!$G$4,T$1,$A897,$A897)),_xll.BDH(config!$G$4,T$1,$A897,$A897),_xll.BDH(config!$G$5,T$1,$A897,$A897))))</f>
        <v/>
      </c>
      <c r="U897" s="8" t="str">
        <f>IF($A897="","",IF(ISNUMBER(FIND("IMPVOL",U$1)),_xll.BDH(config!$G$4,U$1,WORKDAY($A897,-1,config_Holiday_Calendar_US),WORKDAY($A897,-1,config_Holiday_Calendar_US)),IF(ISNUMBER(_xll.BDH(config!$G$4,U$1,$A897,$A897)),_xll.BDH(config!$G$4,U$1,$A897,$A897),_xll.BDH(config!$G$5,U$1,$A897,$A897))))</f>
        <v/>
      </c>
      <c r="V897" s="8" t="str">
        <f>IF($A897="","",IF(ISNUMBER(FIND("IMPVOL",V$1)),_xll.BDH(config!$G$4,V$1,WORKDAY($A897,-1,config_Holiday_Calendar_US),WORKDAY($A897,-1,config_Holiday_Calendar_US)),IF(ISNUMBER(_xll.BDH(config!$G$4,V$1,$A897,$A897)),_xll.BDH(config!$G$4,V$1,$A897,$A897),_xll.BDH(config!$G$5,V$1,$A897,$A897))))</f>
        <v/>
      </c>
      <c r="W897" s="8" t="str">
        <f>IF($A897="","",IF(ISNUMBER(FIND("IMPVOL",W$1)),_xll.BDH(config!$G$4,W$1,WORKDAY($A897,-1,config_Holiday_Calendar_US),WORKDAY($A897,-1,config_Holiday_Calendar_US)),IF(ISNUMBER(_xll.BDH(config!$G$4,W$1,$A897,$A897)),_xll.BDH(config!$G$4,W$1,$A897,$A897),_xll.BDH(config!$G$5,W$1,$A897,$A897))))</f>
        <v/>
      </c>
    </row>
    <row r="898" spans="1:23" x14ac:dyDescent="0.2">
      <c r="A898" s="9" t="str">
        <f>IF(A897="","",IF(WORKDAY(A897,-1,config_Holiday_Calendar_US)&lt;config!$I$10,"",WORKDAY(A897,-1,config_Holiday_Calendar_US)))</f>
        <v/>
      </c>
      <c r="B898" s="8" t="str">
        <f t="shared" si="13"/>
        <v/>
      </c>
      <c r="C898" s="8" t="str">
        <f>IF(A898="","",_xll.BDH(config!$H$4,C$1,$A898,$A898))</f>
        <v/>
      </c>
      <c r="D898" s="8" t="str">
        <f>IF($A898="","",_xll.BDH(config!$H$4,D$1,$A898,$A898))</f>
        <v/>
      </c>
      <c r="E898" s="8" t="str">
        <f>IF($A898="","",IF(ISNUMBER(FIND("IMPVOL",E$1)),_xll.BDH(config!$G$4,E$1,WORKDAY($A898,-1,config_Holiday_Calendar_US),WORKDAY($A898,-1,config_Holiday_Calendar_US)),IF(ISNUMBER(_xll.BDH(config!$G$4,E$1,$A898,$A898)),_xll.BDH(config!$G$4,E$1,$A898,$A898),_xll.BDH(config!$G$5,E$1,$A898,$A898))))</f>
        <v/>
      </c>
      <c r="F898" s="8" t="str">
        <f>IF($A898="","",IF(ISNUMBER(FIND("IMPVOL",F$1)),_xll.BDH(config!$G$4,F$1,WORKDAY($A898,-1,config_Holiday_Calendar_US),WORKDAY($A898,-1,config_Holiday_Calendar_US)),IF(ISNUMBER(_xll.BDH(config!$G$4,F$1,$A898,$A898)),_xll.BDH(config!$G$4,F$1,$A898,$A898),_xll.BDH(config!$G$5,F$1,$A898,$A898))))</f>
        <v/>
      </c>
      <c r="G898" s="8" t="str">
        <f>IF($A898="","",IF(ISNUMBER(FIND("IMPVOL",G$1)),_xll.BDH(config!$G$4,G$1,WORKDAY($A898,-1,config_Holiday_Calendar_US),WORKDAY($A898,-1,config_Holiday_Calendar_US)),IF(ISNUMBER(_xll.BDH(config!$G$4,G$1,$A898,$A898)),_xll.BDH(config!$G$4,G$1,$A898,$A898),_xll.BDH(config!$G$5,G$1,$A898,$A898))))</f>
        <v/>
      </c>
      <c r="H898" s="8" t="str">
        <f>IF($A898="","",IF(ISNUMBER(FIND("IMPVOL",H$1)),_xll.BDH(config!$G$4,H$1,WORKDAY($A898,-1,config_Holiday_Calendar_US),WORKDAY($A898,-1,config_Holiday_Calendar_US)),IF(ISNUMBER(_xll.BDH(config!$G$4,H$1,$A898,$A898)),_xll.BDH(config!$G$4,H$1,$A898,$A898),_xll.BDH(config!$G$5,H$1,$A898,$A898))))</f>
        <v/>
      </c>
      <c r="I898" s="8" t="str">
        <f>IF($A898="","",IF(ISNUMBER(FIND("IMPVOL",I$1)),_xll.BDH(config!$G$4,I$1,WORKDAY($A898,-1,config_Holiday_Calendar_US),WORKDAY($A898,-1,config_Holiday_Calendar_US)),IF(ISNUMBER(_xll.BDH(config!$G$4,I$1,$A898,$A898)),_xll.BDH(config!$G$4,I$1,$A898,$A898),_xll.BDH(config!$G$5,I$1,$A898,$A898))))</f>
        <v/>
      </c>
      <c r="J898" s="8" t="str">
        <f>IF($A898="","",IF(ISNUMBER(FIND("IMPVOL",J$1)),_xll.BDH(config!$G$4,J$1,WORKDAY($A898,-1,config_Holiday_Calendar_US),WORKDAY($A898,-1,config_Holiday_Calendar_US)),IF(ISNUMBER(_xll.BDH(config!$G$4,J$1,$A898,$A898)),_xll.BDH(config!$G$4,J$1,$A898,$A898),_xll.BDH(config!$G$5,J$1,$A898,$A898))))</f>
        <v/>
      </c>
      <c r="K898" s="8" t="str">
        <f>IF($A898="","",IF(ISNUMBER(FIND("IMPVOL",K$1)),_xll.BDH(config!$G$4,K$1,WORKDAY($A898,-1,config_Holiday_Calendar_US),WORKDAY($A898,-1,config_Holiday_Calendar_US)),IF(ISNUMBER(_xll.BDH(config!$G$4,K$1,$A898,$A898)),_xll.BDH(config!$G$4,K$1,$A898,$A898),_xll.BDH(config!$G$5,K$1,$A898,$A898))))</f>
        <v/>
      </c>
      <c r="L898" s="8" t="str">
        <f>IF($A898="","",IF(ISNUMBER(FIND("IMPVOL",L$1)),_xll.BDH(config!$G$4,L$1,WORKDAY($A898,-1,config_Holiday_Calendar_US),WORKDAY($A898,-1,config_Holiday_Calendar_US)),IF(ISNUMBER(_xll.BDH(config!$G$4,L$1,$A898,$A898)),_xll.BDH(config!$G$4,L$1,$A898,$A898),_xll.BDH(config!$G$5,L$1,$A898,$A898))))</f>
        <v/>
      </c>
      <c r="M898" s="8" t="str">
        <f>IF($A898="","",IF(ISNUMBER(FIND("IMPVOL",M$1)),_xll.BDH(config!$G$4,M$1,WORKDAY($A898,-1,config_Holiday_Calendar_US),WORKDAY($A898,-1,config_Holiday_Calendar_US)),IF(ISNUMBER(_xll.BDH(config!$G$4,M$1,$A898,$A898)),_xll.BDH(config!$G$4,M$1,$A898,$A898),_xll.BDH(config!$G$5,M$1,$A898,$A898))))</f>
        <v/>
      </c>
      <c r="N898" s="8" t="str">
        <f>IF($A898="","",IF(ISNUMBER(FIND("IMPVOL",N$1)),_xll.BDH(config!$G$4,N$1,WORKDAY($A898,-1,config_Holiday_Calendar_US),WORKDAY($A898,-1,config_Holiday_Calendar_US)),IF(ISNUMBER(_xll.BDH(config!$G$4,N$1,$A898,$A898)),_xll.BDH(config!$G$4,N$1,$A898,$A898),_xll.BDH(config!$G$5,N$1,$A898,$A898))))</f>
        <v/>
      </c>
      <c r="O898" s="8" t="str">
        <f>IF($A898="","",IF(ISNUMBER(FIND("IMPVOL",O$1)),_xll.BDH(config!$G$4,O$1,WORKDAY($A898,-1,config_Holiday_Calendar_US),WORKDAY($A898,-1,config_Holiday_Calendar_US)),IF(ISNUMBER(_xll.BDH(config!$G$4,O$1,$A898,$A898)),_xll.BDH(config!$G$4,O$1,$A898,$A898),_xll.BDH(config!$G$5,O$1,$A898,$A898))))</f>
        <v/>
      </c>
      <c r="P898" s="8" t="str">
        <f>IF($A898="","",IF(ISNUMBER(FIND("IMPVOL",P$1)),_xll.BDH(config!$G$4,P$1,WORKDAY($A898,-1,config_Holiday_Calendar_US),WORKDAY($A898,-1,config_Holiday_Calendar_US)),IF(ISNUMBER(_xll.BDH(config!$G$4,P$1,$A898,$A898)),_xll.BDH(config!$G$4,P$1,$A898,$A898),_xll.BDH(config!$G$5,P$1,$A898,$A898))))</f>
        <v/>
      </c>
      <c r="Q898" s="8" t="str">
        <f>IF($A898="","",IF(ISNUMBER(FIND("IMPVOL",Q$1)),_xll.BDH(config!$G$4,Q$1,WORKDAY($A898,-1,config_Holiday_Calendar_US),WORKDAY($A898,-1,config_Holiday_Calendar_US)),IF(ISNUMBER(_xll.BDH(config!$G$4,Q$1,$A898,$A898)),_xll.BDH(config!$G$4,Q$1,$A898,$A898),_xll.BDH(config!$G$5,Q$1,$A898,$A898))))</f>
        <v/>
      </c>
      <c r="R898" s="8" t="str">
        <f>IF($A898="","",IF(ISNUMBER(FIND("IMPVOL",R$1)),_xll.BDH(config!$G$4,R$1,WORKDAY($A898,-1,config_Holiday_Calendar_US),WORKDAY($A898,-1,config_Holiday_Calendar_US)),IF(ISNUMBER(_xll.BDH(config!$G$4,R$1,$A898,$A898)),_xll.BDH(config!$G$4,R$1,$A898,$A898),_xll.BDH(config!$G$5,R$1,$A898,$A898))))</f>
        <v/>
      </c>
      <c r="S898" s="8" t="str">
        <f>IF($A898="","",IF(ISNUMBER(FIND("IMPVOL",S$1)),_xll.BDH(config!$G$4,S$1,WORKDAY($A898,-1,config_Holiday_Calendar_US),WORKDAY($A898,-1,config_Holiday_Calendar_US)),IF(ISNUMBER(_xll.BDH(config!$G$4,S$1,$A898,$A898)),_xll.BDH(config!$G$4,S$1,$A898,$A898),_xll.BDH(config!$G$5,S$1,$A898,$A898))))</f>
        <v/>
      </c>
      <c r="T898" s="8" t="str">
        <f>IF($A898="","",IF(ISNUMBER(FIND("IMPVOL",T$1)),_xll.BDH(config!$G$4,T$1,WORKDAY($A898,-1,config_Holiday_Calendar_US),WORKDAY($A898,-1,config_Holiday_Calendar_US)),IF(ISNUMBER(_xll.BDH(config!$G$4,T$1,$A898,$A898)),_xll.BDH(config!$G$4,T$1,$A898,$A898),_xll.BDH(config!$G$5,T$1,$A898,$A898))))</f>
        <v/>
      </c>
      <c r="U898" s="8" t="str">
        <f>IF($A898="","",IF(ISNUMBER(FIND("IMPVOL",U$1)),_xll.BDH(config!$G$4,U$1,WORKDAY($A898,-1,config_Holiday_Calendar_US),WORKDAY($A898,-1,config_Holiday_Calendar_US)),IF(ISNUMBER(_xll.BDH(config!$G$4,U$1,$A898,$A898)),_xll.BDH(config!$G$4,U$1,$A898,$A898),_xll.BDH(config!$G$5,U$1,$A898,$A898))))</f>
        <v/>
      </c>
      <c r="V898" s="8" t="str">
        <f>IF($A898="","",IF(ISNUMBER(FIND("IMPVOL",V$1)),_xll.BDH(config!$G$4,V$1,WORKDAY($A898,-1,config_Holiday_Calendar_US),WORKDAY($A898,-1,config_Holiday_Calendar_US)),IF(ISNUMBER(_xll.BDH(config!$G$4,V$1,$A898,$A898)),_xll.BDH(config!$G$4,V$1,$A898,$A898),_xll.BDH(config!$G$5,V$1,$A898,$A898))))</f>
        <v/>
      </c>
      <c r="W898" s="8" t="str">
        <f>IF($A898="","",IF(ISNUMBER(FIND("IMPVOL",W$1)),_xll.BDH(config!$G$4,W$1,WORKDAY($A898,-1,config_Holiday_Calendar_US),WORKDAY($A898,-1,config_Holiday_Calendar_US)),IF(ISNUMBER(_xll.BDH(config!$G$4,W$1,$A898,$A898)),_xll.BDH(config!$G$4,W$1,$A898,$A898),_xll.BDH(config!$G$5,W$1,$A898,$A898))))</f>
        <v/>
      </c>
    </row>
    <row r="899" spans="1:23" x14ac:dyDescent="0.2">
      <c r="A899" s="9" t="str">
        <f>IF(A898="","",IF(WORKDAY(A898,-1,config_Holiday_Calendar_US)&lt;config!$I$10,"",WORKDAY(A898,-1,config_Holiday_Calendar_US)))</f>
        <v/>
      </c>
      <c r="B899" s="8" t="str">
        <f t="shared" ref="B899:B962" si="14">IF(A899="","",IF(SIGN(C899)=1,1,0))</f>
        <v/>
      </c>
      <c r="C899" s="8" t="str">
        <f>IF(A899="","",_xll.BDH(config!$H$4,C$1,$A899,$A899))</f>
        <v/>
      </c>
      <c r="D899" s="8" t="str">
        <f>IF($A899="","",_xll.BDH(config!$H$4,D$1,$A899,$A899))</f>
        <v/>
      </c>
      <c r="E899" s="8" t="str">
        <f>IF($A899="","",IF(ISNUMBER(FIND("IMPVOL",E$1)),_xll.BDH(config!$G$4,E$1,WORKDAY($A899,-1,config_Holiday_Calendar_US),WORKDAY($A899,-1,config_Holiday_Calendar_US)),IF(ISNUMBER(_xll.BDH(config!$G$4,E$1,$A899,$A899)),_xll.BDH(config!$G$4,E$1,$A899,$A899),_xll.BDH(config!$G$5,E$1,$A899,$A899))))</f>
        <v/>
      </c>
      <c r="F899" s="8" t="str">
        <f>IF($A899="","",IF(ISNUMBER(FIND("IMPVOL",F$1)),_xll.BDH(config!$G$4,F$1,WORKDAY($A899,-1,config_Holiday_Calendar_US),WORKDAY($A899,-1,config_Holiday_Calendar_US)),IF(ISNUMBER(_xll.BDH(config!$G$4,F$1,$A899,$A899)),_xll.BDH(config!$G$4,F$1,$A899,$A899),_xll.BDH(config!$G$5,F$1,$A899,$A899))))</f>
        <v/>
      </c>
      <c r="G899" s="8" t="str">
        <f>IF($A899="","",IF(ISNUMBER(FIND("IMPVOL",G$1)),_xll.BDH(config!$G$4,G$1,WORKDAY($A899,-1,config_Holiday_Calendar_US),WORKDAY($A899,-1,config_Holiday_Calendar_US)),IF(ISNUMBER(_xll.BDH(config!$G$4,G$1,$A899,$A899)),_xll.BDH(config!$G$4,G$1,$A899,$A899),_xll.BDH(config!$G$5,G$1,$A899,$A899))))</f>
        <v/>
      </c>
      <c r="H899" s="8" t="str">
        <f>IF($A899="","",IF(ISNUMBER(FIND("IMPVOL",H$1)),_xll.BDH(config!$G$4,H$1,WORKDAY($A899,-1,config_Holiday_Calendar_US),WORKDAY($A899,-1,config_Holiday_Calendar_US)),IF(ISNUMBER(_xll.BDH(config!$G$4,H$1,$A899,$A899)),_xll.BDH(config!$G$4,H$1,$A899,$A899),_xll.BDH(config!$G$5,H$1,$A899,$A899))))</f>
        <v/>
      </c>
      <c r="I899" s="8" t="str">
        <f>IF($A899="","",IF(ISNUMBER(FIND("IMPVOL",I$1)),_xll.BDH(config!$G$4,I$1,WORKDAY($A899,-1,config_Holiday_Calendar_US),WORKDAY($A899,-1,config_Holiday_Calendar_US)),IF(ISNUMBER(_xll.BDH(config!$G$4,I$1,$A899,$A899)),_xll.BDH(config!$G$4,I$1,$A899,$A899),_xll.BDH(config!$G$5,I$1,$A899,$A899))))</f>
        <v/>
      </c>
      <c r="J899" s="8" t="str">
        <f>IF($A899="","",IF(ISNUMBER(FIND("IMPVOL",J$1)),_xll.BDH(config!$G$4,J$1,WORKDAY($A899,-1,config_Holiday_Calendar_US),WORKDAY($A899,-1,config_Holiday_Calendar_US)),IF(ISNUMBER(_xll.BDH(config!$G$4,J$1,$A899,$A899)),_xll.BDH(config!$G$4,J$1,$A899,$A899),_xll.BDH(config!$G$5,J$1,$A899,$A899))))</f>
        <v/>
      </c>
      <c r="K899" s="8" t="str">
        <f>IF($A899="","",IF(ISNUMBER(FIND("IMPVOL",K$1)),_xll.BDH(config!$G$4,K$1,WORKDAY($A899,-1,config_Holiday_Calendar_US),WORKDAY($A899,-1,config_Holiday_Calendar_US)),IF(ISNUMBER(_xll.BDH(config!$G$4,K$1,$A899,$A899)),_xll.BDH(config!$G$4,K$1,$A899,$A899),_xll.BDH(config!$G$5,K$1,$A899,$A899))))</f>
        <v/>
      </c>
      <c r="L899" s="8" t="str">
        <f>IF($A899="","",IF(ISNUMBER(FIND("IMPVOL",L$1)),_xll.BDH(config!$G$4,L$1,WORKDAY($A899,-1,config_Holiday_Calendar_US),WORKDAY($A899,-1,config_Holiday_Calendar_US)),IF(ISNUMBER(_xll.BDH(config!$G$4,L$1,$A899,$A899)),_xll.BDH(config!$G$4,L$1,$A899,$A899),_xll.BDH(config!$G$5,L$1,$A899,$A899))))</f>
        <v/>
      </c>
      <c r="M899" s="8" t="str">
        <f>IF($A899="","",IF(ISNUMBER(FIND("IMPVOL",M$1)),_xll.BDH(config!$G$4,M$1,WORKDAY($A899,-1,config_Holiday_Calendar_US),WORKDAY($A899,-1,config_Holiday_Calendar_US)),IF(ISNUMBER(_xll.BDH(config!$G$4,M$1,$A899,$A899)),_xll.BDH(config!$G$4,M$1,$A899,$A899),_xll.BDH(config!$G$5,M$1,$A899,$A899))))</f>
        <v/>
      </c>
      <c r="N899" s="8" t="str">
        <f>IF($A899="","",IF(ISNUMBER(FIND("IMPVOL",N$1)),_xll.BDH(config!$G$4,N$1,WORKDAY($A899,-1,config_Holiday_Calendar_US),WORKDAY($A899,-1,config_Holiday_Calendar_US)),IF(ISNUMBER(_xll.BDH(config!$G$4,N$1,$A899,$A899)),_xll.BDH(config!$G$4,N$1,$A899,$A899),_xll.BDH(config!$G$5,N$1,$A899,$A899))))</f>
        <v/>
      </c>
      <c r="O899" s="8" t="str">
        <f>IF($A899="","",IF(ISNUMBER(FIND("IMPVOL",O$1)),_xll.BDH(config!$G$4,O$1,WORKDAY($A899,-1,config_Holiday_Calendar_US),WORKDAY($A899,-1,config_Holiday_Calendar_US)),IF(ISNUMBER(_xll.BDH(config!$G$4,O$1,$A899,$A899)),_xll.BDH(config!$G$4,O$1,$A899,$A899),_xll.BDH(config!$G$5,O$1,$A899,$A899))))</f>
        <v/>
      </c>
      <c r="P899" s="8" t="str">
        <f>IF($A899="","",IF(ISNUMBER(FIND("IMPVOL",P$1)),_xll.BDH(config!$G$4,P$1,WORKDAY($A899,-1,config_Holiday_Calendar_US),WORKDAY($A899,-1,config_Holiday_Calendar_US)),IF(ISNUMBER(_xll.BDH(config!$G$4,P$1,$A899,$A899)),_xll.BDH(config!$G$4,P$1,$A899,$A899),_xll.BDH(config!$G$5,P$1,$A899,$A899))))</f>
        <v/>
      </c>
      <c r="Q899" s="8" t="str">
        <f>IF($A899="","",IF(ISNUMBER(FIND("IMPVOL",Q$1)),_xll.BDH(config!$G$4,Q$1,WORKDAY($A899,-1,config_Holiday_Calendar_US),WORKDAY($A899,-1,config_Holiday_Calendar_US)),IF(ISNUMBER(_xll.BDH(config!$G$4,Q$1,$A899,$A899)),_xll.BDH(config!$G$4,Q$1,$A899,$A899),_xll.BDH(config!$G$5,Q$1,$A899,$A899))))</f>
        <v/>
      </c>
      <c r="R899" s="8" t="str">
        <f>IF($A899="","",IF(ISNUMBER(FIND("IMPVOL",R$1)),_xll.BDH(config!$G$4,R$1,WORKDAY($A899,-1,config_Holiday_Calendar_US),WORKDAY($A899,-1,config_Holiday_Calendar_US)),IF(ISNUMBER(_xll.BDH(config!$G$4,R$1,$A899,$A899)),_xll.BDH(config!$G$4,R$1,$A899,$A899),_xll.BDH(config!$G$5,R$1,$A899,$A899))))</f>
        <v/>
      </c>
      <c r="S899" s="8" t="str">
        <f>IF($A899="","",IF(ISNUMBER(FIND("IMPVOL",S$1)),_xll.BDH(config!$G$4,S$1,WORKDAY($A899,-1,config_Holiday_Calendar_US),WORKDAY($A899,-1,config_Holiday_Calendar_US)),IF(ISNUMBER(_xll.BDH(config!$G$4,S$1,$A899,$A899)),_xll.BDH(config!$G$4,S$1,$A899,$A899),_xll.BDH(config!$G$5,S$1,$A899,$A899))))</f>
        <v/>
      </c>
      <c r="T899" s="8" t="str">
        <f>IF($A899="","",IF(ISNUMBER(FIND("IMPVOL",T$1)),_xll.BDH(config!$G$4,T$1,WORKDAY($A899,-1,config_Holiday_Calendar_US),WORKDAY($A899,-1,config_Holiday_Calendar_US)),IF(ISNUMBER(_xll.BDH(config!$G$4,T$1,$A899,$A899)),_xll.BDH(config!$G$4,T$1,$A899,$A899),_xll.BDH(config!$G$5,T$1,$A899,$A899))))</f>
        <v/>
      </c>
      <c r="U899" s="8" t="str">
        <f>IF($A899="","",IF(ISNUMBER(FIND("IMPVOL",U$1)),_xll.BDH(config!$G$4,U$1,WORKDAY($A899,-1,config_Holiday_Calendar_US),WORKDAY($A899,-1,config_Holiday_Calendar_US)),IF(ISNUMBER(_xll.BDH(config!$G$4,U$1,$A899,$A899)),_xll.BDH(config!$G$4,U$1,$A899,$A899),_xll.BDH(config!$G$5,U$1,$A899,$A899))))</f>
        <v/>
      </c>
      <c r="V899" s="8" t="str">
        <f>IF($A899="","",IF(ISNUMBER(FIND("IMPVOL",V$1)),_xll.BDH(config!$G$4,V$1,WORKDAY($A899,-1,config_Holiday_Calendar_US),WORKDAY($A899,-1,config_Holiday_Calendar_US)),IF(ISNUMBER(_xll.BDH(config!$G$4,V$1,$A899,$A899)),_xll.BDH(config!$G$4,V$1,$A899,$A899),_xll.BDH(config!$G$5,V$1,$A899,$A899))))</f>
        <v/>
      </c>
      <c r="W899" s="8" t="str">
        <f>IF($A899="","",IF(ISNUMBER(FIND("IMPVOL",W$1)),_xll.BDH(config!$G$4,W$1,WORKDAY($A899,-1,config_Holiday_Calendar_US),WORKDAY($A899,-1,config_Holiday_Calendar_US)),IF(ISNUMBER(_xll.BDH(config!$G$4,W$1,$A899,$A899)),_xll.BDH(config!$G$4,W$1,$A899,$A899),_xll.BDH(config!$G$5,W$1,$A899,$A899))))</f>
        <v/>
      </c>
    </row>
    <row r="900" spans="1:23" x14ac:dyDescent="0.2">
      <c r="A900" s="9" t="str">
        <f>IF(A899="","",IF(WORKDAY(A899,-1,config_Holiday_Calendar_US)&lt;config!$I$10,"",WORKDAY(A899,-1,config_Holiday_Calendar_US)))</f>
        <v/>
      </c>
      <c r="B900" s="8" t="str">
        <f t="shared" si="14"/>
        <v/>
      </c>
      <c r="C900" s="8" t="str">
        <f>IF(A900="","",_xll.BDH(config!$H$4,C$1,$A900,$A900))</f>
        <v/>
      </c>
      <c r="D900" s="8" t="str">
        <f>IF($A900="","",_xll.BDH(config!$H$4,D$1,$A900,$A900))</f>
        <v/>
      </c>
      <c r="E900" s="8" t="str">
        <f>IF($A900="","",IF(ISNUMBER(FIND("IMPVOL",E$1)),_xll.BDH(config!$G$4,E$1,WORKDAY($A900,-1,config_Holiday_Calendar_US),WORKDAY($A900,-1,config_Holiday_Calendar_US)),IF(ISNUMBER(_xll.BDH(config!$G$4,E$1,$A900,$A900)),_xll.BDH(config!$G$4,E$1,$A900,$A900),_xll.BDH(config!$G$5,E$1,$A900,$A900))))</f>
        <v/>
      </c>
      <c r="F900" s="8" t="str">
        <f>IF($A900="","",IF(ISNUMBER(FIND("IMPVOL",F$1)),_xll.BDH(config!$G$4,F$1,WORKDAY($A900,-1,config_Holiday_Calendar_US),WORKDAY($A900,-1,config_Holiday_Calendar_US)),IF(ISNUMBER(_xll.BDH(config!$G$4,F$1,$A900,$A900)),_xll.BDH(config!$G$4,F$1,$A900,$A900),_xll.BDH(config!$G$5,F$1,$A900,$A900))))</f>
        <v/>
      </c>
      <c r="G900" s="8" t="str">
        <f>IF($A900="","",IF(ISNUMBER(FIND("IMPVOL",G$1)),_xll.BDH(config!$G$4,G$1,WORKDAY($A900,-1,config_Holiday_Calendar_US),WORKDAY($A900,-1,config_Holiday_Calendar_US)),IF(ISNUMBER(_xll.BDH(config!$G$4,G$1,$A900,$A900)),_xll.BDH(config!$G$4,G$1,$A900,$A900),_xll.BDH(config!$G$5,G$1,$A900,$A900))))</f>
        <v/>
      </c>
      <c r="H900" s="8" t="str">
        <f>IF($A900="","",IF(ISNUMBER(FIND("IMPVOL",H$1)),_xll.BDH(config!$G$4,H$1,WORKDAY($A900,-1,config_Holiday_Calendar_US),WORKDAY($A900,-1,config_Holiday_Calendar_US)),IF(ISNUMBER(_xll.BDH(config!$G$4,H$1,$A900,$A900)),_xll.BDH(config!$G$4,H$1,$A900,$A900),_xll.BDH(config!$G$5,H$1,$A900,$A900))))</f>
        <v/>
      </c>
      <c r="I900" s="8" t="str">
        <f>IF($A900="","",IF(ISNUMBER(FIND("IMPVOL",I$1)),_xll.BDH(config!$G$4,I$1,WORKDAY($A900,-1,config_Holiday_Calendar_US),WORKDAY($A900,-1,config_Holiday_Calendar_US)),IF(ISNUMBER(_xll.BDH(config!$G$4,I$1,$A900,$A900)),_xll.BDH(config!$G$4,I$1,$A900,$A900),_xll.BDH(config!$G$5,I$1,$A900,$A900))))</f>
        <v/>
      </c>
      <c r="J900" s="8" t="str">
        <f>IF($A900="","",IF(ISNUMBER(FIND("IMPVOL",J$1)),_xll.BDH(config!$G$4,J$1,WORKDAY($A900,-1,config_Holiday_Calendar_US),WORKDAY($A900,-1,config_Holiday_Calendar_US)),IF(ISNUMBER(_xll.BDH(config!$G$4,J$1,$A900,$A900)),_xll.BDH(config!$G$4,J$1,$A900,$A900),_xll.BDH(config!$G$5,J$1,$A900,$A900))))</f>
        <v/>
      </c>
      <c r="K900" s="8" t="str">
        <f>IF($A900="","",IF(ISNUMBER(FIND("IMPVOL",K$1)),_xll.BDH(config!$G$4,K$1,WORKDAY($A900,-1,config_Holiday_Calendar_US),WORKDAY($A900,-1,config_Holiday_Calendar_US)),IF(ISNUMBER(_xll.BDH(config!$G$4,K$1,$A900,$A900)),_xll.BDH(config!$G$4,K$1,$A900,$A900),_xll.BDH(config!$G$5,K$1,$A900,$A900))))</f>
        <v/>
      </c>
      <c r="L900" s="8" t="str">
        <f>IF($A900="","",IF(ISNUMBER(FIND("IMPVOL",L$1)),_xll.BDH(config!$G$4,L$1,WORKDAY($A900,-1,config_Holiday_Calendar_US),WORKDAY($A900,-1,config_Holiday_Calendar_US)),IF(ISNUMBER(_xll.BDH(config!$G$4,L$1,$A900,$A900)),_xll.BDH(config!$G$4,L$1,$A900,$A900),_xll.BDH(config!$G$5,L$1,$A900,$A900))))</f>
        <v/>
      </c>
      <c r="M900" s="8" t="str">
        <f>IF($A900="","",IF(ISNUMBER(FIND("IMPVOL",M$1)),_xll.BDH(config!$G$4,M$1,WORKDAY($A900,-1,config_Holiday_Calendar_US),WORKDAY($A900,-1,config_Holiday_Calendar_US)),IF(ISNUMBER(_xll.BDH(config!$G$4,M$1,$A900,$A900)),_xll.BDH(config!$G$4,M$1,$A900,$A900),_xll.BDH(config!$G$5,M$1,$A900,$A900))))</f>
        <v/>
      </c>
      <c r="N900" s="8" t="str">
        <f>IF($A900="","",IF(ISNUMBER(FIND("IMPVOL",N$1)),_xll.BDH(config!$G$4,N$1,WORKDAY($A900,-1,config_Holiday_Calendar_US),WORKDAY($A900,-1,config_Holiday_Calendar_US)),IF(ISNUMBER(_xll.BDH(config!$G$4,N$1,$A900,$A900)),_xll.BDH(config!$G$4,N$1,$A900,$A900),_xll.BDH(config!$G$5,N$1,$A900,$A900))))</f>
        <v/>
      </c>
      <c r="O900" s="8" t="str">
        <f>IF($A900="","",IF(ISNUMBER(FIND("IMPVOL",O$1)),_xll.BDH(config!$G$4,O$1,WORKDAY($A900,-1,config_Holiday_Calendar_US),WORKDAY($A900,-1,config_Holiday_Calendar_US)),IF(ISNUMBER(_xll.BDH(config!$G$4,O$1,$A900,$A900)),_xll.BDH(config!$G$4,O$1,$A900,$A900),_xll.BDH(config!$G$5,O$1,$A900,$A900))))</f>
        <v/>
      </c>
      <c r="P900" s="8" t="str">
        <f>IF($A900="","",IF(ISNUMBER(FIND("IMPVOL",P$1)),_xll.BDH(config!$G$4,P$1,WORKDAY($A900,-1,config_Holiday_Calendar_US),WORKDAY($A900,-1,config_Holiday_Calendar_US)),IF(ISNUMBER(_xll.BDH(config!$G$4,P$1,$A900,$A900)),_xll.BDH(config!$G$4,P$1,$A900,$A900),_xll.BDH(config!$G$5,P$1,$A900,$A900))))</f>
        <v/>
      </c>
      <c r="Q900" s="8" t="str">
        <f>IF($A900="","",IF(ISNUMBER(FIND("IMPVOL",Q$1)),_xll.BDH(config!$G$4,Q$1,WORKDAY($A900,-1,config_Holiday_Calendar_US),WORKDAY($A900,-1,config_Holiday_Calendar_US)),IF(ISNUMBER(_xll.BDH(config!$G$4,Q$1,$A900,$A900)),_xll.BDH(config!$G$4,Q$1,$A900,$A900),_xll.BDH(config!$G$5,Q$1,$A900,$A900))))</f>
        <v/>
      </c>
      <c r="R900" s="8" t="str">
        <f>IF($A900="","",IF(ISNUMBER(FIND("IMPVOL",R$1)),_xll.BDH(config!$G$4,R$1,WORKDAY($A900,-1,config_Holiday_Calendar_US),WORKDAY($A900,-1,config_Holiday_Calendar_US)),IF(ISNUMBER(_xll.BDH(config!$G$4,R$1,$A900,$A900)),_xll.BDH(config!$G$4,R$1,$A900,$A900),_xll.BDH(config!$G$5,R$1,$A900,$A900))))</f>
        <v/>
      </c>
      <c r="S900" s="8" t="str">
        <f>IF($A900="","",IF(ISNUMBER(FIND("IMPVOL",S$1)),_xll.BDH(config!$G$4,S$1,WORKDAY($A900,-1,config_Holiday_Calendar_US),WORKDAY($A900,-1,config_Holiday_Calendar_US)),IF(ISNUMBER(_xll.BDH(config!$G$4,S$1,$A900,$A900)),_xll.BDH(config!$G$4,S$1,$A900,$A900),_xll.BDH(config!$G$5,S$1,$A900,$A900))))</f>
        <v/>
      </c>
      <c r="T900" s="8" t="str">
        <f>IF($A900="","",IF(ISNUMBER(FIND("IMPVOL",T$1)),_xll.BDH(config!$G$4,T$1,WORKDAY($A900,-1,config_Holiday_Calendar_US),WORKDAY($A900,-1,config_Holiday_Calendar_US)),IF(ISNUMBER(_xll.BDH(config!$G$4,T$1,$A900,$A900)),_xll.BDH(config!$G$4,T$1,$A900,$A900),_xll.BDH(config!$G$5,T$1,$A900,$A900))))</f>
        <v/>
      </c>
      <c r="U900" s="8" t="str">
        <f>IF($A900="","",IF(ISNUMBER(FIND("IMPVOL",U$1)),_xll.BDH(config!$G$4,U$1,WORKDAY($A900,-1,config_Holiday_Calendar_US),WORKDAY($A900,-1,config_Holiday_Calendar_US)),IF(ISNUMBER(_xll.BDH(config!$G$4,U$1,$A900,$A900)),_xll.BDH(config!$G$4,U$1,$A900,$A900),_xll.BDH(config!$G$5,U$1,$A900,$A900))))</f>
        <v/>
      </c>
      <c r="V900" s="8" t="str">
        <f>IF($A900="","",IF(ISNUMBER(FIND("IMPVOL",V$1)),_xll.BDH(config!$G$4,V$1,WORKDAY($A900,-1,config_Holiday_Calendar_US),WORKDAY($A900,-1,config_Holiday_Calendar_US)),IF(ISNUMBER(_xll.BDH(config!$G$4,V$1,$A900,$A900)),_xll.BDH(config!$G$4,V$1,$A900,$A900),_xll.BDH(config!$G$5,V$1,$A900,$A900))))</f>
        <v/>
      </c>
      <c r="W900" s="8" t="str">
        <f>IF($A900="","",IF(ISNUMBER(FIND("IMPVOL",W$1)),_xll.BDH(config!$G$4,W$1,WORKDAY($A900,-1,config_Holiday_Calendar_US),WORKDAY($A900,-1,config_Holiday_Calendar_US)),IF(ISNUMBER(_xll.BDH(config!$G$4,W$1,$A900,$A900)),_xll.BDH(config!$G$4,W$1,$A900,$A900),_xll.BDH(config!$G$5,W$1,$A900,$A900))))</f>
        <v/>
      </c>
    </row>
    <row r="901" spans="1:23" x14ac:dyDescent="0.2">
      <c r="A901" s="9" t="str">
        <f>IF(A900="","",IF(WORKDAY(A900,-1,config_Holiday_Calendar_US)&lt;config!$I$10,"",WORKDAY(A900,-1,config_Holiday_Calendar_US)))</f>
        <v/>
      </c>
      <c r="B901" s="8" t="str">
        <f t="shared" si="14"/>
        <v/>
      </c>
      <c r="C901" s="8" t="str">
        <f>IF(A901="","",_xll.BDH(config!$H$4,C$1,$A901,$A901))</f>
        <v/>
      </c>
      <c r="D901" s="8" t="str">
        <f>IF($A901="","",_xll.BDH(config!$H$4,D$1,$A901,$A901))</f>
        <v/>
      </c>
      <c r="E901" s="8" t="str">
        <f>IF($A901="","",IF(ISNUMBER(FIND("IMPVOL",E$1)),_xll.BDH(config!$G$4,E$1,WORKDAY($A901,-1,config_Holiday_Calendar_US),WORKDAY($A901,-1,config_Holiday_Calendar_US)),IF(ISNUMBER(_xll.BDH(config!$G$4,E$1,$A901,$A901)),_xll.BDH(config!$G$4,E$1,$A901,$A901),_xll.BDH(config!$G$5,E$1,$A901,$A901))))</f>
        <v/>
      </c>
      <c r="F901" s="8" t="str">
        <f>IF($A901="","",IF(ISNUMBER(FIND("IMPVOL",F$1)),_xll.BDH(config!$G$4,F$1,WORKDAY($A901,-1,config_Holiday_Calendar_US),WORKDAY($A901,-1,config_Holiday_Calendar_US)),IF(ISNUMBER(_xll.BDH(config!$G$4,F$1,$A901,$A901)),_xll.BDH(config!$G$4,F$1,$A901,$A901),_xll.BDH(config!$G$5,F$1,$A901,$A901))))</f>
        <v/>
      </c>
      <c r="G901" s="8" t="str">
        <f>IF($A901="","",IF(ISNUMBER(FIND("IMPVOL",G$1)),_xll.BDH(config!$G$4,G$1,WORKDAY($A901,-1,config_Holiday_Calendar_US),WORKDAY($A901,-1,config_Holiday_Calendar_US)),IF(ISNUMBER(_xll.BDH(config!$G$4,G$1,$A901,$A901)),_xll.BDH(config!$G$4,G$1,$A901,$A901),_xll.BDH(config!$G$5,G$1,$A901,$A901))))</f>
        <v/>
      </c>
      <c r="H901" s="8" t="str">
        <f>IF($A901="","",IF(ISNUMBER(FIND("IMPVOL",H$1)),_xll.BDH(config!$G$4,H$1,WORKDAY($A901,-1,config_Holiday_Calendar_US),WORKDAY($A901,-1,config_Holiday_Calendar_US)),IF(ISNUMBER(_xll.BDH(config!$G$4,H$1,$A901,$A901)),_xll.BDH(config!$G$4,H$1,$A901,$A901),_xll.BDH(config!$G$5,H$1,$A901,$A901))))</f>
        <v/>
      </c>
      <c r="I901" s="8" t="str">
        <f>IF($A901="","",IF(ISNUMBER(FIND("IMPVOL",I$1)),_xll.BDH(config!$G$4,I$1,WORKDAY($A901,-1,config_Holiday_Calendar_US),WORKDAY($A901,-1,config_Holiday_Calendar_US)),IF(ISNUMBER(_xll.BDH(config!$G$4,I$1,$A901,$A901)),_xll.BDH(config!$G$4,I$1,$A901,$A901),_xll.BDH(config!$G$5,I$1,$A901,$A901))))</f>
        <v/>
      </c>
      <c r="J901" s="8" t="str">
        <f>IF($A901="","",IF(ISNUMBER(FIND("IMPVOL",J$1)),_xll.BDH(config!$G$4,J$1,WORKDAY($A901,-1,config_Holiday_Calendar_US),WORKDAY($A901,-1,config_Holiday_Calendar_US)),IF(ISNUMBER(_xll.BDH(config!$G$4,J$1,$A901,$A901)),_xll.BDH(config!$G$4,J$1,$A901,$A901),_xll.BDH(config!$G$5,J$1,$A901,$A901))))</f>
        <v/>
      </c>
      <c r="K901" s="8" t="str">
        <f>IF($A901="","",IF(ISNUMBER(FIND("IMPVOL",K$1)),_xll.BDH(config!$G$4,K$1,WORKDAY($A901,-1,config_Holiday_Calendar_US),WORKDAY($A901,-1,config_Holiday_Calendar_US)),IF(ISNUMBER(_xll.BDH(config!$G$4,K$1,$A901,$A901)),_xll.BDH(config!$G$4,K$1,$A901,$A901),_xll.BDH(config!$G$5,K$1,$A901,$A901))))</f>
        <v/>
      </c>
      <c r="L901" s="8" t="str">
        <f>IF($A901="","",IF(ISNUMBER(FIND("IMPVOL",L$1)),_xll.BDH(config!$G$4,L$1,WORKDAY($A901,-1,config_Holiday_Calendar_US),WORKDAY($A901,-1,config_Holiday_Calendar_US)),IF(ISNUMBER(_xll.BDH(config!$G$4,L$1,$A901,$A901)),_xll.BDH(config!$G$4,L$1,$A901,$A901),_xll.BDH(config!$G$5,L$1,$A901,$A901))))</f>
        <v/>
      </c>
      <c r="M901" s="8" t="str">
        <f>IF($A901="","",IF(ISNUMBER(FIND("IMPVOL",M$1)),_xll.BDH(config!$G$4,M$1,WORKDAY($A901,-1,config_Holiday_Calendar_US),WORKDAY($A901,-1,config_Holiday_Calendar_US)),IF(ISNUMBER(_xll.BDH(config!$G$4,M$1,$A901,$A901)),_xll.BDH(config!$G$4,M$1,$A901,$A901),_xll.BDH(config!$G$5,M$1,$A901,$A901))))</f>
        <v/>
      </c>
      <c r="N901" s="8" t="str">
        <f>IF($A901="","",IF(ISNUMBER(FIND("IMPVOL",N$1)),_xll.BDH(config!$G$4,N$1,WORKDAY($A901,-1,config_Holiday_Calendar_US),WORKDAY($A901,-1,config_Holiday_Calendar_US)),IF(ISNUMBER(_xll.BDH(config!$G$4,N$1,$A901,$A901)),_xll.BDH(config!$G$4,N$1,$A901,$A901),_xll.BDH(config!$G$5,N$1,$A901,$A901))))</f>
        <v/>
      </c>
      <c r="O901" s="8" t="str">
        <f>IF($A901="","",IF(ISNUMBER(FIND("IMPVOL",O$1)),_xll.BDH(config!$G$4,O$1,WORKDAY($A901,-1,config_Holiday_Calendar_US),WORKDAY($A901,-1,config_Holiday_Calendar_US)),IF(ISNUMBER(_xll.BDH(config!$G$4,O$1,$A901,$A901)),_xll.BDH(config!$G$4,O$1,$A901,$A901),_xll.BDH(config!$G$5,O$1,$A901,$A901))))</f>
        <v/>
      </c>
      <c r="P901" s="8" t="str">
        <f>IF($A901="","",IF(ISNUMBER(FIND("IMPVOL",P$1)),_xll.BDH(config!$G$4,P$1,WORKDAY($A901,-1,config_Holiday_Calendar_US),WORKDAY($A901,-1,config_Holiday_Calendar_US)),IF(ISNUMBER(_xll.BDH(config!$G$4,P$1,$A901,$A901)),_xll.BDH(config!$G$4,P$1,$A901,$A901),_xll.BDH(config!$G$5,P$1,$A901,$A901))))</f>
        <v/>
      </c>
      <c r="Q901" s="8" t="str">
        <f>IF($A901="","",IF(ISNUMBER(FIND("IMPVOL",Q$1)),_xll.BDH(config!$G$4,Q$1,WORKDAY($A901,-1,config_Holiday_Calendar_US),WORKDAY($A901,-1,config_Holiday_Calendar_US)),IF(ISNUMBER(_xll.BDH(config!$G$4,Q$1,$A901,$A901)),_xll.BDH(config!$G$4,Q$1,$A901,$A901),_xll.BDH(config!$G$5,Q$1,$A901,$A901))))</f>
        <v/>
      </c>
      <c r="R901" s="8" t="str">
        <f>IF($A901="","",IF(ISNUMBER(FIND("IMPVOL",R$1)),_xll.BDH(config!$G$4,R$1,WORKDAY($A901,-1,config_Holiday_Calendar_US),WORKDAY($A901,-1,config_Holiday_Calendar_US)),IF(ISNUMBER(_xll.BDH(config!$G$4,R$1,$A901,$A901)),_xll.BDH(config!$G$4,R$1,$A901,$A901),_xll.BDH(config!$G$5,R$1,$A901,$A901))))</f>
        <v/>
      </c>
      <c r="S901" s="8" t="str">
        <f>IF($A901="","",IF(ISNUMBER(FIND("IMPVOL",S$1)),_xll.BDH(config!$G$4,S$1,WORKDAY($A901,-1,config_Holiday_Calendar_US),WORKDAY($A901,-1,config_Holiday_Calendar_US)),IF(ISNUMBER(_xll.BDH(config!$G$4,S$1,$A901,$A901)),_xll.BDH(config!$G$4,S$1,$A901,$A901),_xll.BDH(config!$G$5,S$1,$A901,$A901))))</f>
        <v/>
      </c>
      <c r="T901" s="8" t="str">
        <f>IF($A901="","",IF(ISNUMBER(FIND("IMPVOL",T$1)),_xll.BDH(config!$G$4,T$1,WORKDAY($A901,-1,config_Holiday_Calendar_US),WORKDAY($A901,-1,config_Holiday_Calendar_US)),IF(ISNUMBER(_xll.BDH(config!$G$4,T$1,$A901,$A901)),_xll.BDH(config!$G$4,T$1,$A901,$A901),_xll.BDH(config!$G$5,T$1,$A901,$A901))))</f>
        <v/>
      </c>
      <c r="U901" s="8" t="str">
        <f>IF($A901="","",IF(ISNUMBER(FIND("IMPVOL",U$1)),_xll.BDH(config!$G$4,U$1,WORKDAY($A901,-1,config_Holiday_Calendar_US),WORKDAY($A901,-1,config_Holiday_Calendar_US)),IF(ISNUMBER(_xll.BDH(config!$G$4,U$1,$A901,$A901)),_xll.BDH(config!$G$4,U$1,$A901,$A901),_xll.BDH(config!$G$5,U$1,$A901,$A901))))</f>
        <v/>
      </c>
      <c r="V901" s="8" t="str">
        <f>IF($A901="","",IF(ISNUMBER(FIND("IMPVOL",V$1)),_xll.BDH(config!$G$4,V$1,WORKDAY($A901,-1,config_Holiday_Calendar_US),WORKDAY($A901,-1,config_Holiday_Calendar_US)),IF(ISNUMBER(_xll.BDH(config!$G$4,V$1,$A901,$A901)),_xll.BDH(config!$G$4,V$1,$A901,$A901),_xll.BDH(config!$G$5,V$1,$A901,$A901))))</f>
        <v/>
      </c>
      <c r="W901" s="8" t="str">
        <f>IF($A901="","",IF(ISNUMBER(FIND("IMPVOL",W$1)),_xll.BDH(config!$G$4,W$1,WORKDAY($A901,-1,config_Holiday_Calendar_US),WORKDAY($A901,-1,config_Holiday_Calendar_US)),IF(ISNUMBER(_xll.BDH(config!$G$4,W$1,$A901,$A901)),_xll.BDH(config!$G$4,W$1,$A901,$A901),_xll.BDH(config!$G$5,W$1,$A901,$A901))))</f>
        <v/>
      </c>
    </row>
    <row r="902" spans="1:23" x14ac:dyDescent="0.2">
      <c r="A902" s="9" t="str">
        <f>IF(A901="","",IF(WORKDAY(A901,-1,config_Holiday_Calendar_US)&lt;config!$I$10,"",WORKDAY(A901,-1,config_Holiday_Calendar_US)))</f>
        <v/>
      </c>
      <c r="B902" s="8" t="str">
        <f t="shared" si="14"/>
        <v/>
      </c>
      <c r="C902" s="8" t="str">
        <f>IF(A902="","",_xll.BDH(config!$H$4,C$1,$A902,$A902))</f>
        <v/>
      </c>
      <c r="D902" s="8" t="str">
        <f>IF($A902="","",_xll.BDH(config!$H$4,D$1,$A902,$A902))</f>
        <v/>
      </c>
      <c r="E902" s="8" t="str">
        <f>IF($A902="","",IF(ISNUMBER(FIND("IMPVOL",E$1)),_xll.BDH(config!$G$4,E$1,WORKDAY($A902,-1,config_Holiday_Calendar_US),WORKDAY($A902,-1,config_Holiday_Calendar_US)),IF(ISNUMBER(_xll.BDH(config!$G$4,E$1,$A902,$A902)),_xll.BDH(config!$G$4,E$1,$A902,$A902),_xll.BDH(config!$G$5,E$1,$A902,$A902))))</f>
        <v/>
      </c>
      <c r="F902" s="8" t="str">
        <f>IF($A902="","",IF(ISNUMBER(FIND("IMPVOL",F$1)),_xll.BDH(config!$G$4,F$1,WORKDAY($A902,-1,config_Holiday_Calendar_US),WORKDAY($A902,-1,config_Holiday_Calendar_US)),IF(ISNUMBER(_xll.BDH(config!$G$4,F$1,$A902,$A902)),_xll.BDH(config!$G$4,F$1,$A902,$A902),_xll.BDH(config!$G$5,F$1,$A902,$A902))))</f>
        <v/>
      </c>
      <c r="G902" s="8" t="str">
        <f>IF($A902="","",IF(ISNUMBER(FIND("IMPVOL",G$1)),_xll.BDH(config!$G$4,G$1,WORKDAY($A902,-1,config_Holiday_Calendar_US),WORKDAY($A902,-1,config_Holiday_Calendar_US)),IF(ISNUMBER(_xll.BDH(config!$G$4,G$1,$A902,$A902)),_xll.BDH(config!$G$4,G$1,$A902,$A902),_xll.BDH(config!$G$5,G$1,$A902,$A902))))</f>
        <v/>
      </c>
      <c r="H902" s="8" t="str">
        <f>IF($A902="","",IF(ISNUMBER(FIND("IMPVOL",H$1)),_xll.BDH(config!$G$4,H$1,WORKDAY($A902,-1,config_Holiday_Calendar_US),WORKDAY($A902,-1,config_Holiday_Calendar_US)),IF(ISNUMBER(_xll.BDH(config!$G$4,H$1,$A902,$A902)),_xll.BDH(config!$G$4,H$1,$A902,$A902),_xll.BDH(config!$G$5,H$1,$A902,$A902))))</f>
        <v/>
      </c>
      <c r="I902" s="8" t="str">
        <f>IF($A902="","",IF(ISNUMBER(FIND("IMPVOL",I$1)),_xll.BDH(config!$G$4,I$1,WORKDAY($A902,-1,config_Holiday_Calendar_US),WORKDAY($A902,-1,config_Holiday_Calendar_US)),IF(ISNUMBER(_xll.BDH(config!$G$4,I$1,$A902,$A902)),_xll.BDH(config!$G$4,I$1,$A902,$A902),_xll.BDH(config!$G$5,I$1,$A902,$A902))))</f>
        <v/>
      </c>
      <c r="J902" s="8" t="str">
        <f>IF($A902="","",IF(ISNUMBER(FIND("IMPVOL",J$1)),_xll.BDH(config!$G$4,J$1,WORKDAY($A902,-1,config_Holiday_Calendar_US),WORKDAY($A902,-1,config_Holiday_Calendar_US)),IF(ISNUMBER(_xll.BDH(config!$G$4,J$1,$A902,$A902)),_xll.BDH(config!$G$4,J$1,$A902,$A902),_xll.BDH(config!$G$5,J$1,$A902,$A902))))</f>
        <v/>
      </c>
      <c r="K902" s="8" t="str">
        <f>IF($A902="","",IF(ISNUMBER(FIND("IMPVOL",K$1)),_xll.BDH(config!$G$4,K$1,WORKDAY($A902,-1,config_Holiday_Calendar_US),WORKDAY($A902,-1,config_Holiday_Calendar_US)),IF(ISNUMBER(_xll.BDH(config!$G$4,K$1,$A902,$A902)),_xll.BDH(config!$G$4,K$1,$A902,$A902),_xll.BDH(config!$G$5,K$1,$A902,$A902))))</f>
        <v/>
      </c>
      <c r="L902" s="8" t="str">
        <f>IF($A902="","",IF(ISNUMBER(FIND("IMPVOL",L$1)),_xll.BDH(config!$G$4,L$1,WORKDAY($A902,-1,config_Holiday_Calendar_US),WORKDAY($A902,-1,config_Holiday_Calendar_US)),IF(ISNUMBER(_xll.BDH(config!$G$4,L$1,$A902,$A902)),_xll.BDH(config!$G$4,L$1,$A902,$A902),_xll.BDH(config!$G$5,L$1,$A902,$A902))))</f>
        <v/>
      </c>
      <c r="M902" s="8" t="str">
        <f>IF($A902="","",IF(ISNUMBER(FIND("IMPVOL",M$1)),_xll.BDH(config!$G$4,M$1,WORKDAY($A902,-1,config_Holiday_Calendar_US),WORKDAY($A902,-1,config_Holiday_Calendar_US)),IF(ISNUMBER(_xll.BDH(config!$G$4,M$1,$A902,$A902)),_xll.BDH(config!$G$4,M$1,$A902,$A902),_xll.BDH(config!$G$5,M$1,$A902,$A902))))</f>
        <v/>
      </c>
      <c r="N902" s="8" t="str">
        <f>IF($A902="","",IF(ISNUMBER(FIND("IMPVOL",N$1)),_xll.BDH(config!$G$4,N$1,WORKDAY($A902,-1,config_Holiday_Calendar_US),WORKDAY($A902,-1,config_Holiday_Calendar_US)),IF(ISNUMBER(_xll.BDH(config!$G$4,N$1,$A902,$A902)),_xll.BDH(config!$G$4,N$1,$A902,$A902),_xll.BDH(config!$G$5,N$1,$A902,$A902))))</f>
        <v/>
      </c>
      <c r="O902" s="8" t="str">
        <f>IF($A902="","",IF(ISNUMBER(FIND("IMPVOL",O$1)),_xll.BDH(config!$G$4,O$1,WORKDAY($A902,-1,config_Holiday_Calendar_US),WORKDAY($A902,-1,config_Holiday_Calendar_US)),IF(ISNUMBER(_xll.BDH(config!$G$4,O$1,$A902,$A902)),_xll.BDH(config!$G$4,O$1,$A902,$A902),_xll.BDH(config!$G$5,O$1,$A902,$A902))))</f>
        <v/>
      </c>
      <c r="P902" s="8" t="str">
        <f>IF($A902="","",IF(ISNUMBER(FIND("IMPVOL",P$1)),_xll.BDH(config!$G$4,P$1,WORKDAY($A902,-1,config_Holiday_Calendar_US),WORKDAY($A902,-1,config_Holiday_Calendar_US)),IF(ISNUMBER(_xll.BDH(config!$G$4,P$1,$A902,$A902)),_xll.BDH(config!$G$4,P$1,$A902,$A902),_xll.BDH(config!$G$5,P$1,$A902,$A902))))</f>
        <v/>
      </c>
      <c r="Q902" s="8" t="str">
        <f>IF($A902="","",IF(ISNUMBER(FIND("IMPVOL",Q$1)),_xll.BDH(config!$G$4,Q$1,WORKDAY($A902,-1,config_Holiday_Calendar_US),WORKDAY($A902,-1,config_Holiday_Calendar_US)),IF(ISNUMBER(_xll.BDH(config!$G$4,Q$1,$A902,$A902)),_xll.BDH(config!$G$4,Q$1,$A902,$A902),_xll.BDH(config!$G$5,Q$1,$A902,$A902))))</f>
        <v/>
      </c>
      <c r="R902" s="8" t="str">
        <f>IF($A902="","",IF(ISNUMBER(FIND("IMPVOL",R$1)),_xll.BDH(config!$G$4,R$1,WORKDAY($A902,-1,config_Holiday_Calendar_US),WORKDAY($A902,-1,config_Holiday_Calendar_US)),IF(ISNUMBER(_xll.BDH(config!$G$4,R$1,$A902,$A902)),_xll.BDH(config!$G$4,R$1,$A902,$A902),_xll.BDH(config!$G$5,R$1,$A902,$A902))))</f>
        <v/>
      </c>
      <c r="S902" s="8" t="str">
        <f>IF($A902="","",IF(ISNUMBER(FIND("IMPVOL",S$1)),_xll.BDH(config!$G$4,S$1,WORKDAY($A902,-1,config_Holiday_Calendar_US),WORKDAY($A902,-1,config_Holiday_Calendar_US)),IF(ISNUMBER(_xll.BDH(config!$G$4,S$1,$A902,$A902)),_xll.BDH(config!$G$4,S$1,$A902,$A902),_xll.BDH(config!$G$5,S$1,$A902,$A902))))</f>
        <v/>
      </c>
      <c r="T902" s="8" t="str">
        <f>IF($A902="","",IF(ISNUMBER(FIND("IMPVOL",T$1)),_xll.BDH(config!$G$4,T$1,WORKDAY($A902,-1,config_Holiday_Calendar_US),WORKDAY($A902,-1,config_Holiday_Calendar_US)),IF(ISNUMBER(_xll.BDH(config!$G$4,T$1,$A902,$A902)),_xll.BDH(config!$G$4,T$1,$A902,$A902),_xll.BDH(config!$G$5,T$1,$A902,$A902))))</f>
        <v/>
      </c>
      <c r="U902" s="8" t="str">
        <f>IF($A902="","",IF(ISNUMBER(FIND("IMPVOL",U$1)),_xll.BDH(config!$G$4,U$1,WORKDAY($A902,-1,config_Holiday_Calendar_US),WORKDAY($A902,-1,config_Holiday_Calendar_US)),IF(ISNUMBER(_xll.BDH(config!$G$4,U$1,$A902,$A902)),_xll.BDH(config!$G$4,U$1,$A902,$A902),_xll.BDH(config!$G$5,U$1,$A902,$A902))))</f>
        <v/>
      </c>
      <c r="V902" s="8" t="str">
        <f>IF($A902="","",IF(ISNUMBER(FIND("IMPVOL",V$1)),_xll.BDH(config!$G$4,V$1,WORKDAY($A902,-1,config_Holiday_Calendar_US),WORKDAY($A902,-1,config_Holiday_Calendar_US)),IF(ISNUMBER(_xll.BDH(config!$G$4,V$1,$A902,$A902)),_xll.BDH(config!$G$4,V$1,$A902,$A902),_xll.BDH(config!$G$5,V$1,$A902,$A902))))</f>
        <v/>
      </c>
      <c r="W902" s="8" t="str">
        <f>IF($A902="","",IF(ISNUMBER(FIND("IMPVOL",W$1)),_xll.BDH(config!$G$4,W$1,WORKDAY($A902,-1,config_Holiday_Calendar_US),WORKDAY($A902,-1,config_Holiday_Calendar_US)),IF(ISNUMBER(_xll.BDH(config!$G$4,W$1,$A902,$A902)),_xll.BDH(config!$G$4,W$1,$A902,$A902),_xll.BDH(config!$G$5,W$1,$A902,$A902))))</f>
        <v/>
      </c>
    </row>
    <row r="903" spans="1:23" x14ac:dyDescent="0.2">
      <c r="A903" s="9" t="str">
        <f>IF(A902="","",IF(WORKDAY(A902,-1,config_Holiday_Calendar_US)&lt;config!$I$10,"",WORKDAY(A902,-1,config_Holiday_Calendar_US)))</f>
        <v/>
      </c>
      <c r="B903" s="8" t="str">
        <f t="shared" si="14"/>
        <v/>
      </c>
      <c r="C903" s="8" t="str">
        <f>IF(A903="","",_xll.BDH(config!$H$4,C$1,$A903,$A903))</f>
        <v/>
      </c>
      <c r="D903" s="8" t="str">
        <f>IF($A903="","",_xll.BDH(config!$H$4,D$1,$A903,$A903))</f>
        <v/>
      </c>
      <c r="E903" s="8" t="str">
        <f>IF($A903="","",IF(ISNUMBER(FIND("IMPVOL",E$1)),_xll.BDH(config!$G$4,E$1,WORKDAY($A903,-1,config_Holiday_Calendar_US),WORKDAY($A903,-1,config_Holiday_Calendar_US)),IF(ISNUMBER(_xll.BDH(config!$G$4,E$1,$A903,$A903)),_xll.BDH(config!$G$4,E$1,$A903,$A903),_xll.BDH(config!$G$5,E$1,$A903,$A903))))</f>
        <v/>
      </c>
      <c r="F903" s="8" t="str">
        <f>IF($A903="","",IF(ISNUMBER(FIND("IMPVOL",F$1)),_xll.BDH(config!$G$4,F$1,WORKDAY($A903,-1,config_Holiday_Calendar_US),WORKDAY($A903,-1,config_Holiday_Calendar_US)),IF(ISNUMBER(_xll.BDH(config!$G$4,F$1,$A903,$A903)),_xll.BDH(config!$G$4,F$1,$A903,$A903),_xll.BDH(config!$G$5,F$1,$A903,$A903))))</f>
        <v/>
      </c>
      <c r="G903" s="8" t="str">
        <f>IF($A903="","",IF(ISNUMBER(FIND("IMPVOL",G$1)),_xll.BDH(config!$G$4,G$1,WORKDAY($A903,-1,config_Holiday_Calendar_US),WORKDAY($A903,-1,config_Holiday_Calendar_US)),IF(ISNUMBER(_xll.BDH(config!$G$4,G$1,$A903,$A903)),_xll.BDH(config!$G$4,G$1,$A903,$A903),_xll.BDH(config!$G$5,G$1,$A903,$A903))))</f>
        <v/>
      </c>
      <c r="H903" s="8" t="str">
        <f>IF($A903="","",IF(ISNUMBER(FIND("IMPVOL",H$1)),_xll.BDH(config!$G$4,H$1,WORKDAY($A903,-1,config_Holiday_Calendar_US),WORKDAY($A903,-1,config_Holiday_Calendar_US)),IF(ISNUMBER(_xll.BDH(config!$G$4,H$1,$A903,$A903)),_xll.BDH(config!$G$4,H$1,$A903,$A903),_xll.BDH(config!$G$5,H$1,$A903,$A903))))</f>
        <v/>
      </c>
      <c r="I903" s="8" t="str">
        <f>IF($A903="","",IF(ISNUMBER(FIND("IMPVOL",I$1)),_xll.BDH(config!$G$4,I$1,WORKDAY($A903,-1,config_Holiday_Calendar_US),WORKDAY($A903,-1,config_Holiday_Calendar_US)),IF(ISNUMBER(_xll.BDH(config!$G$4,I$1,$A903,$A903)),_xll.BDH(config!$G$4,I$1,$A903,$A903),_xll.BDH(config!$G$5,I$1,$A903,$A903))))</f>
        <v/>
      </c>
      <c r="J903" s="8" t="str">
        <f>IF($A903="","",IF(ISNUMBER(FIND("IMPVOL",J$1)),_xll.BDH(config!$G$4,J$1,WORKDAY($A903,-1,config_Holiday_Calendar_US),WORKDAY($A903,-1,config_Holiday_Calendar_US)),IF(ISNUMBER(_xll.BDH(config!$G$4,J$1,$A903,$A903)),_xll.BDH(config!$G$4,J$1,$A903,$A903),_xll.BDH(config!$G$5,J$1,$A903,$A903))))</f>
        <v/>
      </c>
      <c r="K903" s="8" t="str">
        <f>IF($A903="","",IF(ISNUMBER(FIND("IMPVOL",K$1)),_xll.BDH(config!$G$4,K$1,WORKDAY($A903,-1,config_Holiday_Calendar_US),WORKDAY($A903,-1,config_Holiday_Calendar_US)),IF(ISNUMBER(_xll.BDH(config!$G$4,K$1,$A903,$A903)),_xll.BDH(config!$G$4,K$1,$A903,$A903),_xll.BDH(config!$G$5,K$1,$A903,$A903))))</f>
        <v/>
      </c>
      <c r="L903" s="8" t="str">
        <f>IF($A903="","",IF(ISNUMBER(FIND("IMPVOL",L$1)),_xll.BDH(config!$G$4,L$1,WORKDAY($A903,-1,config_Holiday_Calendar_US),WORKDAY($A903,-1,config_Holiday_Calendar_US)),IF(ISNUMBER(_xll.BDH(config!$G$4,L$1,$A903,$A903)),_xll.BDH(config!$G$4,L$1,$A903,$A903),_xll.BDH(config!$G$5,L$1,$A903,$A903))))</f>
        <v/>
      </c>
      <c r="M903" s="8" t="str">
        <f>IF($A903="","",IF(ISNUMBER(FIND("IMPVOL",M$1)),_xll.BDH(config!$G$4,M$1,WORKDAY($A903,-1,config_Holiday_Calendar_US),WORKDAY($A903,-1,config_Holiday_Calendar_US)),IF(ISNUMBER(_xll.BDH(config!$G$4,M$1,$A903,$A903)),_xll.BDH(config!$G$4,M$1,$A903,$A903),_xll.BDH(config!$G$5,M$1,$A903,$A903))))</f>
        <v/>
      </c>
      <c r="N903" s="8" t="str">
        <f>IF($A903="","",IF(ISNUMBER(FIND("IMPVOL",N$1)),_xll.BDH(config!$G$4,N$1,WORKDAY($A903,-1,config_Holiday_Calendar_US),WORKDAY($A903,-1,config_Holiday_Calendar_US)),IF(ISNUMBER(_xll.BDH(config!$G$4,N$1,$A903,$A903)),_xll.BDH(config!$G$4,N$1,$A903,$A903),_xll.BDH(config!$G$5,N$1,$A903,$A903))))</f>
        <v/>
      </c>
      <c r="O903" s="8" t="str">
        <f>IF($A903="","",IF(ISNUMBER(FIND("IMPVOL",O$1)),_xll.BDH(config!$G$4,O$1,WORKDAY($A903,-1,config_Holiday_Calendar_US),WORKDAY($A903,-1,config_Holiday_Calendar_US)),IF(ISNUMBER(_xll.BDH(config!$G$4,O$1,$A903,$A903)),_xll.BDH(config!$G$4,O$1,$A903,$A903),_xll.BDH(config!$G$5,O$1,$A903,$A903))))</f>
        <v/>
      </c>
      <c r="P903" s="8" t="str">
        <f>IF($A903="","",IF(ISNUMBER(FIND("IMPVOL",P$1)),_xll.BDH(config!$G$4,P$1,WORKDAY($A903,-1,config_Holiday_Calendar_US),WORKDAY($A903,-1,config_Holiday_Calendar_US)),IF(ISNUMBER(_xll.BDH(config!$G$4,P$1,$A903,$A903)),_xll.BDH(config!$G$4,P$1,$A903,$A903),_xll.BDH(config!$G$5,P$1,$A903,$A903))))</f>
        <v/>
      </c>
      <c r="Q903" s="8" t="str">
        <f>IF($A903="","",IF(ISNUMBER(FIND("IMPVOL",Q$1)),_xll.BDH(config!$G$4,Q$1,WORKDAY($A903,-1,config_Holiday_Calendar_US),WORKDAY($A903,-1,config_Holiday_Calendar_US)),IF(ISNUMBER(_xll.BDH(config!$G$4,Q$1,$A903,$A903)),_xll.BDH(config!$G$4,Q$1,$A903,$A903),_xll.BDH(config!$G$5,Q$1,$A903,$A903))))</f>
        <v/>
      </c>
      <c r="R903" s="8" t="str">
        <f>IF($A903="","",IF(ISNUMBER(FIND("IMPVOL",R$1)),_xll.BDH(config!$G$4,R$1,WORKDAY($A903,-1,config_Holiday_Calendar_US),WORKDAY($A903,-1,config_Holiday_Calendar_US)),IF(ISNUMBER(_xll.BDH(config!$G$4,R$1,$A903,$A903)),_xll.BDH(config!$G$4,R$1,$A903,$A903),_xll.BDH(config!$G$5,R$1,$A903,$A903))))</f>
        <v/>
      </c>
      <c r="S903" s="8" t="str">
        <f>IF($A903="","",IF(ISNUMBER(FIND("IMPVOL",S$1)),_xll.BDH(config!$G$4,S$1,WORKDAY($A903,-1,config_Holiday_Calendar_US),WORKDAY($A903,-1,config_Holiday_Calendar_US)),IF(ISNUMBER(_xll.BDH(config!$G$4,S$1,$A903,$A903)),_xll.BDH(config!$G$4,S$1,$A903,$A903),_xll.BDH(config!$G$5,S$1,$A903,$A903))))</f>
        <v/>
      </c>
      <c r="T903" s="8" t="str">
        <f>IF($A903="","",IF(ISNUMBER(FIND("IMPVOL",T$1)),_xll.BDH(config!$G$4,T$1,WORKDAY($A903,-1,config_Holiday_Calendar_US),WORKDAY($A903,-1,config_Holiday_Calendar_US)),IF(ISNUMBER(_xll.BDH(config!$G$4,T$1,$A903,$A903)),_xll.BDH(config!$G$4,T$1,$A903,$A903),_xll.BDH(config!$G$5,T$1,$A903,$A903))))</f>
        <v/>
      </c>
      <c r="U903" s="8" t="str">
        <f>IF($A903="","",IF(ISNUMBER(FIND("IMPVOL",U$1)),_xll.BDH(config!$G$4,U$1,WORKDAY($A903,-1,config_Holiday_Calendar_US),WORKDAY($A903,-1,config_Holiday_Calendar_US)),IF(ISNUMBER(_xll.BDH(config!$G$4,U$1,$A903,$A903)),_xll.BDH(config!$G$4,U$1,$A903,$A903),_xll.BDH(config!$G$5,U$1,$A903,$A903))))</f>
        <v/>
      </c>
      <c r="V903" s="8" t="str">
        <f>IF($A903="","",IF(ISNUMBER(FIND("IMPVOL",V$1)),_xll.BDH(config!$G$4,V$1,WORKDAY($A903,-1,config_Holiday_Calendar_US),WORKDAY($A903,-1,config_Holiday_Calendar_US)),IF(ISNUMBER(_xll.BDH(config!$G$4,V$1,$A903,$A903)),_xll.BDH(config!$G$4,V$1,$A903,$A903),_xll.BDH(config!$G$5,V$1,$A903,$A903))))</f>
        <v/>
      </c>
      <c r="W903" s="8" t="str">
        <f>IF($A903="","",IF(ISNUMBER(FIND("IMPVOL",W$1)),_xll.BDH(config!$G$4,W$1,WORKDAY($A903,-1,config_Holiday_Calendar_US),WORKDAY($A903,-1,config_Holiday_Calendar_US)),IF(ISNUMBER(_xll.BDH(config!$G$4,W$1,$A903,$A903)),_xll.BDH(config!$G$4,W$1,$A903,$A903),_xll.BDH(config!$G$5,W$1,$A903,$A903))))</f>
        <v/>
      </c>
    </row>
    <row r="904" spans="1:23" x14ac:dyDescent="0.2">
      <c r="A904" s="9" t="str">
        <f>IF(A903="","",IF(WORKDAY(A903,-1,config_Holiday_Calendar_US)&lt;config!$I$10,"",WORKDAY(A903,-1,config_Holiday_Calendar_US)))</f>
        <v/>
      </c>
      <c r="B904" s="8" t="str">
        <f t="shared" si="14"/>
        <v/>
      </c>
      <c r="C904" s="8" t="str">
        <f>IF(A904="","",_xll.BDH(config!$H$4,C$1,$A904,$A904))</f>
        <v/>
      </c>
      <c r="D904" s="8" t="str">
        <f>IF($A904="","",_xll.BDH(config!$H$4,D$1,$A904,$A904))</f>
        <v/>
      </c>
      <c r="E904" s="8" t="str">
        <f>IF($A904="","",IF(ISNUMBER(FIND("IMPVOL",E$1)),_xll.BDH(config!$G$4,E$1,WORKDAY($A904,-1,config_Holiday_Calendar_US),WORKDAY($A904,-1,config_Holiday_Calendar_US)),IF(ISNUMBER(_xll.BDH(config!$G$4,E$1,$A904,$A904)),_xll.BDH(config!$G$4,E$1,$A904,$A904),_xll.BDH(config!$G$5,E$1,$A904,$A904))))</f>
        <v/>
      </c>
      <c r="F904" s="8" t="str">
        <f>IF($A904="","",IF(ISNUMBER(FIND("IMPVOL",F$1)),_xll.BDH(config!$G$4,F$1,WORKDAY($A904,-1,config_Holiday_Calendar_US),WORKDAY($A904,-1,config_Holiday_Calendar_US)),IF(ISNUMBER(_xll.BDH(config!$G$4,F$1,$A904,$A904)),_xll.BDH(config!$G$4,F$1,$A904,$A904),_xll.BDH(config!$G$5,F$1,$A904,$A904))))</f>
        <v/>
      </c>
      <c r="G904" s="8" t="str">
        <f>IF($A904="","",IF(ISNUMBER(FIND("IMPVOL",G$1)),_xll.BDH(config!$G$4,G$1,WORKDAY($A904,-1,config_Holiday_Calendar_US),WORKDAY($A904,-1,config_Holiday_Calendar_US)),IF(ISNUMBER(_xll.BDH(config!$G$4,G$1,$A904,$A904)),_xll.BDH(config!$G$4,G$1,$A904,$A904),_xll.BDH(config!$G$5,G$1,$A904,$A904))))</f>
        <v/>
      </c>
      <c r="H904" s="8" t="str">
        <f>IF($A904="","",IF(ISNUMBER(FIND("IMPVOL",H$1)),_xll.BDH(config!$G$4,H$1,WORKDAY($A904,-1,config_Holiday_Calendar_US),WORKDAY($A904,-1,config_Holiday_Calendar_US)),IF(ISNUMBER(_xll.BDH(config!$G$4,H$1,$A904,$A904)),_xll.BDH(config!$G$4,H$1,$A904,$A904),_xll.BDH(config!$G$5,H$1,$A904,$A904))))</f>
        <v/>
      </c>
      <c r="I904" s="8" t="str">
        <f>IF($A904="","",IF(ISNUMBER(FIND("IMPVOL",I$1)),_xll.BDH(config!$G$4,I$1,WORKDAY($A904,-1,config_Holiday_Calendar_US),WORKDAY($A904,-1,config_Holiday_Calendar_US)),IF(ISNUMBER(_xll.BDH(config!$G$4,I$1,$A904,$A904)),_xll.BDH(config!$G$4,I$1,$A904,$A904),_xll.BDH(config!$G$5,I$1,$A904,$A904))))</f>
        <v/>
      </c>
      <c r="J904" s="8" t="str">
        <f>IF($A904="","",IF(ISNUMBER(FIND("IMPVOL",J$1)),_xll.BDH(config!$G$4,J$1,WORKDAY($A904,-1,config_Holiday_Calendar_US),WORKDAY($A904,-1,config_Holiday_Calendar_US)),IF(ISNUMBER(_xll.BDH(config!$G$4,J$1,$A904,$A904)),_xll.BDH(config!$G$4,J$1,$A904,$A904),_xll.BDH(config!$G$5,J$1,$A904,$A904))))</f>
        <v/>
      </c>
      <c r="K904" s="8" t="str">
        <f>IF($A904="","",IF(ISNUMBER(FIND("IMPVOL",K$1)),_xll.BDH(config!$G$4,K$1,WORKDAY($A904,-1,config_Holiday_Calendar_US),WORKDAY($A904,-1,config_Holiday_Calendar_US)),IF(ISNUMBER(_xll.BDH(config!$G$4,K$1,$A904,$A904)),_xll.BDH(config!$G$4,K$1,$A904,$A904),_xll.BDH(config!$G$5,K$1,$A904,$A904))))</f>
        <v/>
      </c>
      <c r="L904" s="8" t="str">
        <f>IF($A904="","",IF(ISNUMBER(FIND("IMPVOL",L$1)),_xll.BDH(config!$G$4,L$1,WORKDAY($A904,-1,config_Holiday_Calendar_US),WORKDAY($A904,-1,config_Holiday_Calendar_US)),IF(ISNUMBER(_xll.BDH(config!$G$4,L$1,$A904,$A904)),_xll.BDH(config!$G$4,L$1,$A904,$A904),_xll.BDH(config!$G$5,L$1,$A904,$A904))))</f>
        <v/>
      </c>
      <c r="M904" s="8" t="str">
        <f>IF($A904="","",IF(ISNUMBER(FIND("IMPVOL",M$1)),_xll.BDH(config!$G$4,M$1,WORKDAY($A904,-1,config_Holiday_Calendar_US),WORKDAY($A904,-1,config_Holiday_Calendar_US)),IF(ISNUMBER(_xll.BDH(config!$G$4,M$1,$A904,$A904)),_xll.BDH(config!$G$4,M$1,$A904,$A904),_xll.BDH(config!$G$5,M$1,$A904,$A904))))</f>
        <v/>
      </c>
      <c r="N904" s="8" t="str">
        <f>IF($A904="","",IF(ISNUMBER(FIND("IMPVOL",N$1)),_xll.BDH(config!$G$4,N$1,WORKDAY($A904,-1,config_Holiday_Calendar_US),WORKDAY($A904,-1,config_Holiday_Calendar_US)),IF(ISNUMBER(_xll.BDH(config!$G$4,N$1,$A904,$A904)),_xll.BDH(config!$G$4,N$1,$A904,$A904),_xll.BDH(config!$G$5,N$1,$A904,$A904))))</f>
        <v/>
      </c>
      <c r="O904" s="8" t="str">
        <f>IF($A904="","",IF(ISNUMBER(FIND("IMPVOL",O$1)),_xll.BDH(config!$G$4,O$1,WORKDAY($A904,-1,config_Holiday_Calendar_US),WORKDAY($A904,-1,config_Holiday_Calendar_US)),IF(ISNUMBER(_xll.BDH(config!$G$4,O$1,$A904,$A904)),_xll.BDH(config!$G$4,O$1,$A904,$A904),_xll.BDH(config!$G$5,O$1,$A904,$A904))))</f>
        <v/>
      </c>
      <c r="P904" s="8" t="str">
        <f>IF($A904="","",IF(ISNUMBER(FIND("IMPVOL",P$1)),_xll.BDH(config!$G$4,P$1,WORKDAY($A904,-1,config_Holiday_Calendar_US),WORKDAY($A904,-1,config_Holiday_Calendar_US)),IF(ISNUMBER(_xll.BDH(config!$G$4,P$1,$A904,$A904)),_xll.BDH(config!$G$4,P$1,$A904,$A904),_xll.BDH(config!$G$5,P$1,$A904,$A904))))</f>
        <v/>
      </c>
      <c r="Q904" s="8" t="str">
        <f>IF($A904="","",IF(ISNUMBER(FIND("IMPVOL",Q$1)),_xll.BDH(config!$G$4,Q$1,WORKDAY($A904,-1,config_Holiday_Calendar_US),WORKDAY($A904,-1,config_Holiday_Calendar_US)),IF(ISNUMBER(_xll.BDH(config!$G$4,Q$1,$A904,$A904)),_xll.BDH(config!$G$4,Q$1,$A904,$A904),_xll.BDH(config!$G$5,Q$1,$A904,$A904))))</f>
        <v/>
      </c>
      <c r="R904" s="8" t="str">
        <f>IF($A904="","",IF(ISNUMBER(FIND("IMPVOL",R$1)),_xll.BDH(config!$G$4,R$1,WORKDAY($A904,-1,config_Holiday_Calendar_US),WORKDAY($A904,-1,config_Holiday_Calendar_US)),IF(ISNUMBER(_xll.BDH(config!$G$4,R$1,$A904,$A904)),_xll.BDH(config!$G$4,R$1,$A904,$A904),_xll.BDH(config!$G$5,R$1,$A904,$A904))))</f>
        <v/>
      </c>
      <c r="S904" s="8" t="str">
        <f>IF($A904="","",IF(ISNUMBER(FIND("IMPVOL",S$1)),_xll.BDH(config!$G$4,S$1,WORKDAY($A904,-1,config_Holiday_Calendar_US),WORKDAY($A904,-1,config_Holiday_Calendar_US)),IF(ISNUMBER(_xll.BDH(config!$G$4,S$1,$A904,$A904)),_xll.BDH(config!$G$4,S$1,$A904,$A904),_xll.BDH(config!$G$5,S$1,$A904,$A904))))</f>
        <v/>
      </c>
      <c r="T904" s="8" t="str">
        <f>IF($A904="","",IF(ISNUMBER(FIND("IMPVOL",T$1)),_xll.BDH(config!$G$4,T$1,WORKDAY($A904,-1,config_Holiday_Calendar_US),WORKDAY($A904,-1,config_Holiday_Calendar_US)),IF(ISNUMBER(_xll.BDH(config!$G$4,T$1,$A904,$A904)),_xll.BDH(config!$G$4,T$1,$A904,$A904),_xll.BDH(config!$G$5,T$1,$A904,$A904))))</f>
        <v/>
      </c>
      <c r="U904" s="8" t="str">
        <f>IF($A904="","",IF(ISNUMBER(FIND("IMPVOL",U$1)),_xll.BDH(config!$G$4,U$1,WORKDAY($A904,-1,config_Holiday_Calendar_US),WORKDAY($A904,-1,config_Holiday_Calendar_US)),IF(ISNUMBER(_xll.BDH(config!$G$4,U$1,$A904,$A904)),_xll.BDH(config!$G$4,U$1,$A904,$A904),_xll.BDH(config!$G$5,U$1,$A904,$A904))))</f>
        <v/>
      </c>
      <c r="V904" s="8" t="str">
        <f>IF($A904="","",IF(ISNUMBER(FIND("IMPVOL",V$1)),_xll.BDH(config!$G$4,V$1,WORKDAY($A904,-1,config_Holiday_Calendar_US),WORKDAY($A904,-1,config_Holiday_Calendar_US)),IF(ISNUMBER(_xll.BDH(config!$G$4,V$1,$A904,$A904)),_xll.BDH(config!$G$4,V$1,$A904,$A904),_xll.BDH(config!$G$5,V$1,$A904,$A904))))</f>
        <v/>
      </c>
      <c r="W904" s="8" t="str">
        <f>IF($A904="","",IF(ISNUMBER(FIND("IMPVOL",W$1)),_xll.BDH(config!$G$4,W$1,WORKDAY($A904,-1,config_Holiday_Calendar_US),WORKDAY($A904,-1,config_Holiday_Calendar_US)),IF(ISNUMBER(_xll.BDH(config!$G$4,W$1,$A904,$A904)),_xll.BDH(config!$G$4,W$1,$A904,$A904),_xll.BDH(config!$G$5,W$1,$A904,$A904))))</f>
        <v/>
      </c>
    </row>
    <row r="905" spans="1:23" x14ac:dyDescent="0.2">
      <c r="A905" s="9" t="str">
        <f>IF(A904="","",IF(WORKDAY(A904,-1,config_Holiday_Calendar_US)&lt;config!$I$10,"",WORKDAY(A904,-1,config_Holiday_Calendar_US)))</f>
        <v/>
      </c>
      <c r="B905" s="8" t="str">
        <f t="shared" si="14"/>
        <v/>
      </c>
      <c r="C905" s="8" t="str">
        <f>IF(A905="","",_xll.BDH(config!$H$4,C$1,$A905,$A905))</f>
        <v/>
      </c>
      <c r="D905" s="8" t="str">
        <f>IF($A905="","",_xll.BDH(config!$H$4,D$1,$A905,$A905))</f>
        <v/>
      </c>
      <c r="E905" s="8" t="str">
        <f>IF($A905="","",IF(ISNUMBER(FIND("IMPVOL",E$1)),_xll.BDH(config!$G$4,E$1,WORKDAY($A905,-1,config_Holiday_Calendar_US),WORKDAY($A905,-1,config_Holiday_Calendar_US)),IF(ISNUMBER(_xll.BDH(config!$G$4,E$1,$A905,$A905)),_xll.BDH(config!$G$4,E$1,$A905,$A905),_xll.BDH(config!$G$5,E$1,$A905,$A905))))</f>
        <v/>
      </c>
      <c r="F905" s="8" t="str">
        <f>IF($A905="","",IF(ISNUMBER(FIND("IMPVOL",F$1)),_xll.BDH(config!$G$4,F$1,WORKDAY($A905,-1,config_Holiday_Calendar_US),WORKDAY($A905,-1,config_Holiday_Calendar_US)),IF(ISNUMBER(_xll.BDH(config!$G$4,F$1,$A905,$A905)),_xll.BDH(config!$G$4,F$1,$A905,$A905),_xll.BDH(config!$G$5,F$1,$A905,$A905))))</f>
        <v/>
      </c>
      <c r="G905" s="8" t="str">
        <f>IF($A905="","",IF(ISNUMBER(FIND("IMPVOL",G$1)),_xll.BDH(config!$G$4,G$1,WORKDAY($A905,-1,config_Holiday_Calendar_US),WORKDAY($A905,-1,config_Holiday_Calendar_US)),IF(ISNUMBER(_xll.BDH(config!$G$4,G$1,$A905,$A905)),_xll.BDH(config!$G$4,G$1,$A905,$A905),_xll.BDH(config!$G$5,G$1,$A905,$A905))))</f>
        <v/>
      </c>
      <c r="H905" s="8" t="str">
        <f>IF($A905="","",IF(ISNUMBER(FIND("IMPVOL",H$1)),_xll.BDH(config!$G$4,H$1,WORKDAY($A905,-1,config_Holiday_Calendar_US),WORKDAY($A905,-1,config_Holiday_Calendar_US)),IF(ISNUMBER(_xll.BDH(config!$G$4,H$1,$A905,$A905)),_xll.BDH(config!$G$4,H$1,$A905,$A905),_xll.BDH(config!$G$5,H$1,$A905,$A905))))</f>
        <v/>
      </c>
      <c r="I905" s="8" t="str">
        <f>IF($A905="","",IF(ISNUMBER(FIND("IMPVOL",I$1)),_xll.BDH(config!$G$4,I$1,WORKDAY($A905,-1,config_Holiday_Calendar_US),WORKDAY($A905,-1,config_Holiday_Calendar_US)),IF(ISNUMBER(_xll.BDH(config!$G$4,I$1,$A905,$A905)),_xll.BDH(config!$G$4,I$1,$A905,$A905),_xll.BDH(config!$G$5,I$1,$A905,$A905))))</f>
        <v/>
      </c>
      <c r="J905" s="8" t="str">
        <f>IF($A905="","",IF(ISNUMBER(FIND("IMPVOL",J$1)),_xll.BDH(config!$G$4,J$1,WORKDAY($A905,-1,config_Holiday_Calendar_US),WORKDAY($A905,-1,config_Holiday_Calendar_US)),IF(ISNUMBER(_xll.BDH(config!$G$4,J$1,$A905,$A905)),_xll.BDH(config!$G$4,J$1,$A905,$A905),_xll.BDH(config!$G$5,J$1,$A905,$A905))))</f>
        <v/>
      </c>
      <c r="K905" s="8" t="str">
        <f>IF($A905="","",IF(ISNUMBER(FIND("IMPVOL",K$1)),_xll.BDH(config!$G$4,K$1,WORKDAY($A905,-1,config_Holiday_Calendar_US),WORKDAY($A905,-1,config_Holiday_Calendar_US)),IF(ISNUMBER(_xll.BDH(config!$G$4,K$1,$A905,$A905)),_xll.BDH(config!$G$4,K$1,$A905,$A905),_xll.BDH(config!$G$5,K$1,$A905,$A905))))</f>
        <v/>
      </c>
      <c r="L905" s="8" t="str">
        <f>IF($A905="","",IF(ISNUMBER(FIND("IMPVOL",L$1)),_xll.BDH(config!$G$4,L$1,WORKDAY($A905,-1,config_Holiday_Calendar_US),WORKDAY($A905,-1,config_Holiday_Calendar_US)),IF(ISNUMBER(_xll.BDH(config!$G$4,L$1,$A905,$A905)),_xll.BDH(config!$G$4,L$1,$A905,$A905),_xll.BDH(config!$G$5,L$1,$A905,$A905))))</f>
        <v/>
      </c>
      <c r="M905" s="8" t="str">
        <f>IF($A905="","",IF(ISNUMBER(FIND("IMPVOL",M$1)),_xll.BDH(config!$G$4,M$1,WORKDAY($A905,-1,config_Holiday_Calendar_US),WORKDAY($A905,-1,config_Holiday_Calendar_US)),IF(ISNUMBER(_xll.BDH(config!$G$4,M$1,$A905,$A905)),_xll.BDH(config!$G$4,M$1,$A905,$A905),_xll.BDH(config!$G$5,M$1,$A905,$A905))))</f>
        <v/>
      </c>
      <c r="N905" s="8" t="str">
        <f>IF($A905="","",IF(ISNUMBER(FIND("IMPVOL",N$1)),_xll.BDH(config!$G$4,N$1,WORKDAY($A905,-1,config_Holiday_Calendar_US),WORKDAY($A905,-1,config_Holiday_Calendar_US)),IF(ISNUMBER(_xll.BDH(config!$G$4,N$1,$A905,$A905)),_xll.BDH(config!$G$4,N$1,$A905,$A905),_xll.BDH(config!$G$5,N$1,$A905,$A905))))</f>
        <v/>
      </c>
      <c r="O905" s="8" t="str">
        <f>IF($A905="","",IF(ISNUMBER(FIND("IMPVOL",O$1)),_xll.BDH(config!$G$4,O$1,WORKDAY($A905,-1,config_Holiday_Calendar_US),WORKDAY($A905,-1,config_Holiday_Calendar_US)),IF(ISNUMBER(_xll.BDH(config!$G$4,O$1,$A905,$A905)),_xll.BDH(config!$G$4,O$1,$A905,$A905),_xll.BDH(config!$G$5,O$1,$A905,$A905))))</f>
        <v/>
      </c>
      <c r="P905" s="8" t="str">
        <f>IF($A905="","",IF(ISNUMBER(FIND("IMPVOL",P$1)),_xll.BDH(config!$G$4,P$1,WORKDAY($A905,-1,config_Holiday_Calendar_US),WORKDAY($A905,-1,config_Holiday_Calendar_US)),IF(ISNUMBER(_xll.BDH(config!$G$4,P$1,$A905,$A905)),_xll.BDH(config!$G$4,P$1,$A905,$A905),_xll.BDH(config!$G$5,P$1,$A905,$A905))))</f>
        <v/>
      </c>
      <c r="Q905" s="8" t="str">
        <f>IF($A905="","",IF(ISNUMBER(FIND("IMPVOL",Q$1)),_xll.BDH(config!$G$4,Q$1,WORKDAY($A905,-1,config_Holiday_Calendar_US),WORKDAY($A905,-1,config_Holiday_Calendar_US)),IF(ISNUMBER(_xll.BDH(config!$G$4,Q$1,$A905,$A905)),_xll.BDH(config!$G$4,Q$1,$A905,$A905),_xll.BDH(config!$G$5,Q$1,$A905,$A905))))</f>
        <v/>
      </c>
      <c r="R905" s="8" t="str">
        <f>IF($A905="","",IF(ISNUMBER(FIND("IMPVOL",R$1)),_xll.BDH(config!$G$4,R$1,WORKDAY($A905,-1,config_Holiday_Calendar_US),WORKDAY($A905,-1,config_Holiday_Calendar_US)),IF(ISNUMBER(_xll.BDH(config!$G$4,R$1,$A905,$A905)),_xll.BDH(config!$G$4,R$1,$A905,$A905),_xll.BDH(config!$G$5,R$1,$A905,$A905))))</f>
        <v/>
      </c>
      <c r="S905" s="8" t="str">
        <f>IF($A905="","",IF(ISNUMBER(FIND("IMPVOL",S$1)),_xll.BDH(config!$G$4,S$1,WORKDAY($A905,-1,config_Holiday_Calendar_US),WORKDAY($A905,-1,config_Holiday_Calendar_US)),IF(ISNUMBER(_xll.BDH(config!$G$4,S$1,$A905,$A905)),_xll.BDH(config!$G$4,S$1,$A905,$A905),_xll.BDH(config!$G$5,S$1,$A905,$A905))))</f>
        <v/>
      </c>
      <c r="T905" s="8" t="str">
        <f>IF($A905="","",IF(ISNUMBER(FIND("IMPVOL",T$1)),_xll.BDH(config!$G$4,T$1,WORKDAY($A905,-1,config_Holiday_Calendar_US),WORKDAY($A905,-1,config_Holiday_Calendar_US)),IF(ISNUMBER(_xll.BDH(config!$G$4,T$1,$A905,$A905)),_xll.BDH(config!$G$4,T$1,$A905,$A905),_xll.BDH(config!$G$5,T$1,$A905,$A905))))</f>
        <v/>
      </c>
      <c r="U905" s="8" t="str">
        <f>IF($A905="","",IF(ISNUMBER(FIND("IMPVOL",U$1)),_xll.BDH(config!$G$4,U$1,WORKDAY($A905,-1,config_Holiday_Calendar_US),WORKDAY($A905,-1,config_Holiday_Calendar_US)),IF(ISNUMBER(_xll.BDH(config!$G$4,U$1,$A905,$A905)),_xll.BDH(config!$G$4,U$1,$A905,$A905),_xll.BDH(config!$G$5,U$1,$A905,$A905))))</f>
        <v/>
      </c>
      <c r="V905" s="8" t="str">
        <f>IF($A905="","",IF(ISNUMBER(FIND("IMPVOL",V$1)),_xll.BDH(config!$G$4,V$1,WORKDAY($A905,-1,config_Holiday_Calendar_US),WORKDAY($A905,-1,config_Holiday_Calendar_US)),IF(ISNUMBER(_xll.BDH(config!$G$4,V$1,$A905,$A905)),_xll.BDH(config!$G$4,V$1,$A905,$A905),_xll.BDH(config!$G$5,V$1,$A905,$A905))))</f>
        <v/>
      </c>
      <c r="W905" s="8" t="str">
        <f>IF($A905="","",IF(ISNUMBER(FIND("IMPVOL",W$1)),_xll.BDH(config!$G$4,W$1,WORKDAY($A905,-1,config_Holiday_Calendar_US),WORKDAY($A905,-1,config_Holiday_Calendar_US)),IF(ISNUMBER(_xll.BDH(config!$G$4,W$1,$A905,$A905)),_xll.BDH(config!$G$4,W$1,$A905,$A905),_xll.BDH(config!$G$5,W$1,$A905,$A905))))</f>
        <v/>
      </c>
    </row>
    <row r="906" spans="1:23" x14ac:dyDescent="0.2">
      <c r="A906" s="9" t="str">
        <f>IF(A905="","",IF(WORKDAY(A905,-1,config_Holiday_Calendar_US)&lt;config!$I$10,"",WORKDAY(A905,-1,config_Holiday_Calendar_US)))</f>
        <v/>
      </c>
      <c r="B906" s="8" t="str">
        <f t="shared" si="14"/>
        <v/>
      </c>
      <c r="C906" s="8" t="str">
        <f>IF(A906="","",_xll.BDH(config!$H$4,C$1,$A906,$A906))</f>
        <v/>
      </c>
      <c r="D906" s="8" t="str">
        <f>IF($A906="","",_xll.BDH(config!$H$4,D$1,$A906,$A906))</f>
        <v/>
      </c>
      <c r="E906" s="8" t="str">
        <f>IF($A906="","",IF(ISNUMBER(FIND("IMPVOL",E$1)),_xll.BDH(config!$G$4,E$1,WORKDAY($A906,-1,config_Holiday_Calendar_US),WORKDAY($A906,-1,config_Holiday_Calendar_US)),IF(ISNUMBER(_xll.BDH(config!$G$4,E$1,$A906,$A906)),_xll.BDH(config!$G$4,E$1,$A906,$A906),_xll.BDH(config!$G$5,E$1,$A906,$A906))))</f>
        <v/>
      </c>
      <c r="F906" s="8" t="str">
        <f>IF($A906="","",IF(ISNUMBER(FIND("IMPVOL",F$1)),_xll.BDH(config!$G$4,F$1,WORKDAY($A906,-1,config_Holiday_Calendar_US),WORKDAY($A906,-1,config_Holiday_Calendar_US)),IF(ISNUMBER(_xll.BDH(config!$G$4,F$1,$A906,$A906)),_xll.BDH(config!$G$4,F$1,$A906,$A906),_xll.BDH(config!$G$5,F$1,$A906,$A906))))</f>
        <v/>
      </c>
      <c r="G906" s="8" t="str">
        <f>IF($A906="","",IF(ISNUMBER(FIND("IMPVOL",G$1)),_xll.BDH(config!$G$4,G$1,WORKDAY($A906,-1,config_Holiday_Calendar_US),WORKDAY($A906,-1,config_Holiday_Calendar_US)),IF(ISNUMBER(_xll.BDH(config!$G$4,G$1,$A906,$A906)),_xll.BDH(config!$G$4,G$1,$A906,$A906),_xll.BDH(config!$G$5,G$1,$A906,$A906))))</f>
        <v/>
      </c>
      <c r="H906" s="8" t="str">
        <f>IF($A906="","",IF(ISNUMBER(FIND("IMPVOL",H$1)),_xll.BDH(config!$G$4,H$1,WORKDAY($A906,-1,config_Holiday_Calendar_US),WORKDAY($A906,-1,config_Holiday_Calendar_US)),IF(ISNUMBER(_xll.BDH(config!$G$4,H$1,$A906,$A906)),_xll.BDH(config!$G$4,H$1,$A906,$A906),_xll.BDH(config!$G$5,H$1,$A906,$A906))))</f>
        <v/>
      </c>
      <c r="I906" s="8" t="str">
        <f>IF($A906="","",IF(ISNUMBER(FIND("IMPVOL",I$1)),_xll.BDH(config!$G$4,I$1,WORKDAY($A906,-1,config_Holiday_Calendar_US),WORKDAY($A906,-1,config_Holiday_Calendar_US)),IF(ISNUMBER(_xll.BDH(config!$G$4,I$1,$A906,$A906)),_xll.BDH(config!$G$4,I$1,$A906,$A906),_xll.BDH(config!$G$5,I$1,$A906,$A906))))</f>
        <v/>
      </c>
      <c r="J906" s="8" t="str">
        <f>IF($A906="","",IF(ISNUMBER(FIND("IMPVOL",J$1)),_xll.BDH(config!$G$4,J$1,WORKDAY($A906,-1,config_Holiday_Calendar_US),WORKDAY($A906,-1,config_Holiday_Calendar_US)),IF(ISNUMBER(_xll.BDH(config!$G$4,J$1,$A906,$A906)),_xll.BDH(config!$G$4,J$1,$A906,$A906),_xll.BDH(config!$G$5,J$1,$A906,$A906))))</f>
        <v/>
      </c>
      <c r="K906" s="8" t="str">
        <f>IF($A906="","",IF(ISNUMBER(FIND("IMPVOL",K$1)),_xll.BDH(config!$G$4,K$1,WORKDAY($A906,-1,config_Holiday_Calendar_US),WORKDAY($A906,-1,config_Holiday_Calendar_US)),IF(ISNUMBER(_xll.BDH(config!$G$4,K$1,$A906,$A906)),_xll.BDH(config!$G$4,K$1,$A906,$A906),_xll.BDH(config!$G$5,K$1,$A906,$A906))))</f>
        <v/>
      </c>
      <c r="L906" s="8" t="str">
        <f>IF($A906="","",IF(ISNUMBER(FIND("IMPVOL",L$1)),_xll.BDH(config!$G$4,L$1,WORKDAY($A906,-1,config_Holiday_Calendar_US),WORKDAY($A906,-1,config_Holiday_Calendar_US)),IF(ISNUMBER(_xll.BDH(config!$G$4,L$1,$A906,$A906)),_xll.BDH(config!$G$4,L$1,$A906,$A906),_xll.BDH(config!$G$5,L$1,$A906,$A906))))</f>
        <v/>
      </c>
      <c r="M906" s="8" t="str">
        <f>IF($A906="","",IF(ISNUMBER(FIND("IMPVOL",M$1)),_xll.BDH(config!$G$4,M$1,WORKDAY($A906,-1,config_Holiday_Calendar_US),WORKDAY($A906,-1,config_Holiday_Calendar_US)),IF(ISNUMBER(_xll.BDH(config!$G$4,M$1,$A906,$A906)),_xll.BDH(config!$G$4,M$1,$A906,$A906),_xll.BDH(config!$G$5,M$1,$A906,$A906))))</f>
        <v/>
      </c>
      <c r="N906" s="8" t="str">
        <f>IF($A906="","",IF(ISNUMBER(FIND("IMPVOL",N$1)),_xll.BDH(config!$G$4,N$1,WORKDAY($A906,-1,config_Holiday_Calendar_US),WORKDAY($A906,-1,config_Holiday_Calendar_US)),IF(ISNUMBER(_xll.BDH(config!$G$4,N$1,$A906,$A906)),_xll.BDH(config!$G$4,N$1,$A906,$A906),_xll.BDH(config!$G$5,N$1,$A906,$A906))))</f>
        <v/>
      </c>
      <c r="O906" s="8" t="str">
        <f>IF($A906="","",IF(ISNUMBER(FIND("IMPVOL",O$1)),_xll.BDH(config!$G$4,O$1,WORKDAY($A906,-1,config_Holiday_Calendar_US),WORKDAY($A906,-1,config_Holiday_Calendar_US)),IF(ISNUMBER(_xll.BDH(config!$G$4,O$1,$A906,$A906)),_xll.BDH(config!$G$4,O$1,$A906,$A906),_xll.BDH(config!$G$5,O$1,$A906,$A906))))</f>
        <v/>
      </c>
      <c r="P906" s="8" t="str">
        <f>IF($A906="","",IF(ISNUMBER(FIND("IMPVOL",P$1)),_xll.BDH(config!$G$4,P$1,WORKDAY($A906,-1,config_Holiday_Calendar_US),WORKDAY($A906,-1,config_Holiday_Calendar_US)),IF(ISNUMBER(_xll.BDH(config!$G$4,P$1,$A906,$A906)),_xll.BDH(config!$G$4,P$1,$A906,$A906),_xll.BDH(config!$G$5,P$1,$A906,$A906))))</f>
        <v/>
      </c>
      <c r="Q906" s="8" t="str">
        <f>IF($A906="","",IF(ISNUMBER(FIND("IMPVOL",Q$1)),_xll.BDH(config!$G$4,Q$1,WORKDAY($A906,-1,config_Holiday_Calendar_US),WORKDAY($A906,-1,config_Holiday_Calendar_US)),IF(ISNUMBER(_xll.BDH(config!$G$4,Q$1,$A906,$A906)),_xll.BDH(config!$G$4,Q$1,$A906,$A906),_xll.BDH(config!$G$5,Q$1,$A906,$A906))))</f>
        <v/>
      </c>
      <c r="R906" s="8" t="str">
        <f>IF($A906="","",IF(ISNUMBER(FIND("IMPVOL",R$1)),_xll.BDH(config!$G$4,R$1,WORKDAY($A906,-1,config_Holiday_Calendar_US),WORKDAY($A906,-1,config_Holiday_Calendar_US)),IF(ISNUMBER(_xll.BDH(config!$G$4,R$1,$A906,$A906)),_xll.BDH(config!$G$4,R$1,$A906,$A906),_xll.BDH(config!$G$5,R$1,$A906,$A906))))</f>
        <v/>
      </c>
      <c r="S906" s="8" t="str">
        <f>IF($A906="","",IF(ISNUMBER(FIND("IMPVOL",S$1)),_xll.BDH(config!$G$4,S$1,WORKDAY($A906,-1,config_Holiday_Calendar_US),WORKDAY($A906,-1,config_Holiday_Calendar_US)),IF(ISNUMBER(_xll.BDH(config!$G$4,S$1,$A906,$A906)),_xll.BDH(config!$G$4,S$1,$A906,$A906),_xll.BDH(config!$G$5,S$1,$A906,$A906))))</f>
        <v/>
      </c>
      <c r="T906" s="8" t="str">
        <f>IF($A906="","",IF(ISNUMBER(FIND("IMPVOL",T$1)),_xll.BDH(config!$G$4,T$1,WORKDAY($A906,-1,config_Holiday_Calendar_US),WORKDAY($A906,-1,config_Holiday_Calendar_US)),IF(ISNUMBER(_xll.BDH(config!$G$4,T$1,$A906,$A906)),_xll.BDH(config!$G$4,T$1,$A906,$A906),_xll.BDH(config!$G$5,T$1,$A906,$A906))))</f>
        <v/>
      </c>
      <c r="U906" s="8" t="str">
        <f>IF($A906="","",IF(ISNUMBER(FIND("IMPVOL",U$1)),_xll.BDH(config!$G$4,U$1,WORKDAY($A906,-1,config_Holiday_Calendar_US),WORKDAY($A906,-1,config_Holiday_Calendar_US)),IF(ISNUMBER(_xll.BDH(config!$G$4,U$1,$A906,$A906)),_xll.BDH(config!$G$4,U$1,$A906,$A906),_xll.BDH(config!$G$5,U$1,$A906,$A906))))</f>
        <v/>
      </c>
      <c r="V906" s="8" t="str">
        <f>IF($A906="","",IF(ISNUMBER(FIND("IMPVOL",V$1)),_xll.BDH(config!$G$4,V$1,WORKDAY($A906,-1,config_Holiday_Calendar_US),WORKDAY($A906,-1,config_Holiday_Calendar_US)),IF(ISNUMBER(_xll.BDH(config!$G$4,V$1,$A906,$A906)),_xll.BDH(config!$G$4,V$1,$A906,$A906),_xll.BDH(config!$G$5,V$1,$A906,$A906))))</f>
        <v/>
      </c>
      <c r="W906" s="8" t="str">
        <f>IF($A906="","",IF(ISNUMBER(FIND("IMPVOL",W$1)),_xll.BDH(config!$G$4,W$1,WORKDAY($A906,-1,config_Holiday_Calendar_US),WORKDAY($A906,-1,config_Holiday_Calendar_US)),IF(ISNUMBER(_xll.BDH(config!$G$4,W$1,$A906,$A906)),_xll.BDH(config!$G$4,W$1,$A906,$A906),_xll.BDH(config!$G$5,W$1,$A906,$A906))))</f>
        <v/>
      </c>
    </row>
    <row r="907" spans="1:23" x14ac:dyDescent="0.2">
      <c r="A907" s="9" t="str">
        <f>IF(A906="","",IF(WORKDAY(A906,-1,config_Holiday_Calendar_US)&lt;config!$I$10,"",WORKDAY(A906,-1,config_Holiday_Calendar_US)))</f>
        <v/>
      </c>
      <c r="B907" s="8" t="str">
        <f t="shared" si="14"/>
        <v/>
      </c>
      <c r="C907" s="8" t="str">
        <f>IF(A907="","",_xll.BDH(config!$H$4,C$1,$A907,$A907))</f>
        <v/>
      </c>
      <c r="D907" s="8" t="str">
        <f>IF($A907="","",_xll.BDH(config!$H$4,D$1,$A907,$A907))</f>
        <v/>
      </c>
      <c r="E907" s="8" t="str">
        <f>IF($A907="","",IF(ISNUMBER(FIND("IMPVOL",E$1)),_xll.BDH(config!$G$4,E$1,WORKDAY($A907,-1,config_Holiday_Calendar_US),WORKDAY($A907,-1,config_Holiday_Calendar_US)),IF(ISNUMBER(_xll.BDH(config!$G$4,E$1,$A907,$A907)),_xll.BDH(config!$G$4,E$1,$A907,$A907),_xll.BDH(config!$G$5,E$1,$A907,$A907))))</f>
        <v/>
      </c>
      <c r="F907" s="8" t="str">
        <f>IF($A907="","",IF(ISNUMBER(FIND("IMPVOL",F$1)),_xll.BDH(config!$G$4,F$1,WORKDAY($A907,-1,config_Holiday_Calendar_US),WORKDAY($A907,-1,config_Holiday_Calendar_US)),IF(ISNUMBER(_xll.BDH(config!$G$4,F$1,$A907,$A907)),_xll.BDH(config!$G$4,F$1,$A907,$A907),_xll.BDH(config!$G$5,F$1,$A907,$A907))))</f>
        <v/>
      </c>
      <c r="G907" s="8" t="str">
        <f>IF($A907="","",IF(ISNUMBER(FIND("IMPVOL",G$1)),_xll.BDH(config!$G$4,G$1,WORKDAY($A907,-1,config_Holiday_Calendar_US),WORKDAY($A907,-1,config_Holiday_Calendar_US)),IF(ISNUMBER(_xll.BDH(config!$G$4,G$1,$A907,$A907)),_xll.BDH(config!$G$4,G$1,$A907,$A907),_xll.BDH(config!$G$5,G$1,$A907,$A907))))</f>
        <v/>
      </c>
      <c r="H907" s="8" t="str">
        <f>IF($A907="","",IF(ISNUMBER(FIND("IMPVOL",H$1)),_xll.BDH(config!$G$4,H$1,WORKDAY($A907,-1,config_Holiday_Calendar_US),WORKDAY($A907,-1,config_Holiday_Calendar_US)),IF(ISNUMBER(_xll.BDH(config!$G$4,H$1,$A907,$A907)),_xll.BDH(config!$G$4,H$1,$A907,$A907),_xll.BDH(config!$G$5,H$1,$A907,$A907))))</f>
        <v/>
      </c>
      <c r="I907" s="8" t="str">
        <f>IF($A907="","",IF(ISNUMBER(FIND("IMPVOL",I$1)),_xll.BDH(config!$G$4,I$1,WORKDAY($A907,-1,config_Holiday_Calendar_US),WORKDAY($A907,-1,config_Holiday_Calendar_US)),IF(ISNUMBER(_xll.BDH(config!$G$4,I$1,$A907,$A907)),_xll.BDH(config!$G$4,I$1,$A907,$A907),_xll.BDH(config!$G$5,I$1,$A907,$A907))))</f>
        <v/>
      </c>
      <c r="J907" s="8" t="str">
        <f>IF($A907="","",IF(ISNUMBER(FIND("IMPVOL",J$1)),_xll.BDH(config!$G$4,J$1,WORKDAY($A907,-1,config_Holiday_Calendar_US),WORKDAY($A907,-1,config_Holiday_Calendar_US)),IF(ISNUMBER(_xll.BDH(config!$G$4,J$1,$A907,$A907)),_xll.BDH(config!$G$4,J$1,$A907,$A907),_xll.BDH(config!$G$5,J$1,$A907,$A907))))</f>
        <v/>
      </c>
      <c r="K907" s="8" t="str">
        <f>IF($A907="","",IF(ISNUMBER(FIND("IMPVOL",K$1)),_xll.BDH(config!$G$4,K$1,WORKDAY($A907,-1,config_Holiday_Calendar_US),WORKDAY($A907,-1,config_Holiday_Calendar_US)),IF(ISNUMBER(_xll.BDH(config!$G$4,K$1,$A907,$A907)),_xll.BDH(config!$G$4,K$1,$A907,$A907),_xll.BDH(config!$G$5,K$1,$A907,$A907))))</f>
        <v/>
      </c>
      <c r="L907" s="8" t="str">
        <f>IF($A907="","",IF(ISNUMBER(FIND("IMPVOL",L$1)),_xll.BDH(config!$G$4,L$1,WORKDAY($A907,-1,config_Holiday_Calendar_US),WORKDAY($A907,-1,config_Holiday_Calendar_US)),IF(ISNUMBER(_xll.BDH(config!$G$4,L$1,$A907,$A907)),_xll.BDH(config!$G$4,L$1,$A907,$A907),_xll.BDH(config!$G$5,L$1,$A907,$A907))))</f>
        <v/>
      </c>
      <c r="M907" s="8" t="str">
        <f>IF($A907="","",IF(ISNUMBER(FIND("IMPVOL",M$1)),_xll.BDH(config!$G$4,M$1,WORKDAY($A907,-1,config_Holiday_Calendar_US),WORKDAY($A907,-1,config_Holiday_Calendar_US)),IF(ISNUMBER(_xll.BDH(config!$G$4,M$1,$A907,$A907)),_xll.BDH(config!$G$4,M$1,$A907,$A907),_xll.BDH(config!$G$5,M$1,$A907,$A907))))</f>
        <v/>
      </c>
      <c r="N907" s="8" t="str">
        <f>IF($A907="","",IF(ISNUMBER(FIND("IMPVOL",N$1)),_xll.BDH(config!$G$4,N$1,WORKDAY($A907,-1,config_Holiday_Calendar_US),WORKDAY($A907,-1,config_Holiday_Calendar_US)),IF(ISNUMBER(_xll.BDH(config!$G$4,N$1,$A907,$A907)),_xll.BDH(config!$G$4,N$1,$A907,$A907),_xll.BDH(config!$G$5,N$1,$A907,$A907))))</f>
        <v/>
      </c>
      <c r="O907" s="8" t="str">
        <f>IF($A907="","",IF(ISNUMBER(FIND("IMPVOL",O$1)),_xll.BDH(config!$G$4,O$1,WORKDAY($A907,-1,config_Holiday_Calendar_US),WORKDAY($A907,-1,config_Holiday_Calendar_US)),IF(ISNUMBER(_xll.BDH(config!$G$4,O$1,$A907,$A907)),_xll.BDH(config!$G$4,O$1,$A907,$A907),_xll.BDH(config!$G$5,O$1,$A907,$A907))))</f>
        <v/>
      </c>
      <c r="P907" s="8" t="str">
        <f>IF($A907="","",IF(ISNUMBER(FIND("IMPVOL",P$1)),_xll.BDH(config!$G$4,P$1,WORKDAY($A907,-1,config_Holiday_Calendar_US),WORKDAY($A907,-1,config_Holiday_Calendar_US)),IF(ISNUMBER(_xll.BDH(config!$G$4,P$1,$A907,$A907)),_xll.BDH(config!$G$4,P$1,$A907,$A907),_xll.BDH(config!$G$5,P$1,$A907,$A907))))</f>
        <v/>
      </c>
      <c r="Q907" s="8" t="str">
        <f>IF($A907="","",IF(ISNUMBER(FIND("IMPVOL",Q$1)),_xll.BDH(config!$G$4,Q$1,WORKDAY($A907,-1,config_Holiday_Calendar_US),WORKDAY($A907,-1,config_Holiday_Calendar_US)),IF(ISNUMBER(_xll.BDH(config!$G$4,Q$1,$A907,$A907)),_xll.BDH(config!$G$4,Q$1,$A907,$A907),_xll.BDH(config!$G$5,Q$1,$A907,$A907))))</f>
        <v/>
      </c>
      <c r="R907" s="8" t="str">
        <f>IF($A907="","",IF(ISNUMBER(FIND("IMPVOL",R$1)),_xll.BDH(config!$G$4,R$1,WORKDAY($A907,-1,config_Holiday_Calendar_US),WORKDAY($A907,-1,config_Holiday_Calendar_US)),IF(ISNUMBER(_xll.BDH(config!$G$4,R$1,$A907,$A907)),_xll.BDH(config!$G$4,R$1,$A907,$A907),_xll.BDH(config!$G$5,R$1,$A907,$A907))))</f>
        <v/>
      </c>
      <c r="S907" s="8" t="str">
        <f>IF($A907="","",IF(ISNUMBER(FIND("IMPVOL",S$1)),_xll.BDH(config!$G$4,S$1,WORKDAY($A907,-1,config_Holiday_Calendar_US),WORKDAY($A907,-1,config_Holiday_Calendar_US)),IF(ISNUMBER(_xll.BDH(config!$G$4,S$1,$A907,$A907)),_xll.BDH(config!$G$4,S$1,$A907,$A907),_xll.BDH(config!$G$5,S$1,$A907,$A907))))</f>
        <v/>
      </c>
      <c r="T907" s="8" t="str">
        <f>IF($A907="","",IF(ISNUMBER(FIND("IMPVOL",T$1)),_xll.BDH(config!$G$4,T$1,WORKDAY($A907,-1,config_Holiday_Calendar_US),WORKDAY($A907,-1,config_Holiday_Calendar_US)),IF(ISNUMBER(_xll.BDH(config!$G$4,T$1,$A907,$A907)),_xll.BDH(config!$G$4,T$1,$A907,$A907),_xll.BDH(config!$G$5,T$1,$A907,$A907))))</f>
        <v/>
      </c>
      <c r="U907" s="8" t="str">
        <f>IF($A907="","",IF(ISNUMBER(FIND("IMPVOL",U$1)),_xll.BDH(config!$G$4,U$1,WORKDAY($A907,-1,config_Holiday_Calendar_US),WORKDAY($A907,-1,config_Holiday_Calendar_US)),IF(ISNUMBER(_xll.BDH(config!$G$4,U$1,$A907,$A907)),_xll.BDH(config!$G$4,U$1,$A907,$A907),_xll.BDH(config!$G$5,U$1,$A907,$A907))))</f>
        <v/>
      </c>
      <c r="V907" s="8" t="str">
        <f>IF($A907="","",IF(ISNUMBER(FIND("IMPVOL",V$1)),_xll.BDH(config!$G$4,V$1,WORKDAY($A907,-1,config_Holiday_Calendar_US),WORKDAY($A907,-1,config_Holiday_Calendar_US)),IF(ISNUMBER(_xll.BDH(config!$G$4,V$1,$A907,$A907)),_xll.BDH(config!$G$4,V$1,$A907,$A907),_xll.BDH(config!$G$5,V$1,$A907,$A907))))</f>
        <v/>
      </c>
      <c r="W907" s="8" t="str">
        <f>IF($A907="","",IF(ISNUMBER(FIND("IMPVOL",W$1)),_xll.BDH(config!$G$4,W$1,WORKDAY($A907,-1,config_Holiday_Calendar_US),WORKDAY($A907,-1,config_Holiday_Calendar_US)),IF(ISNUMBER(_xll.BDH(config!$G$4,W$1,$A907,$A907)),_xll.BDH(config!$G$4,W$1,$A907,$A907),_xll.BDH(config!$G$5,W$1,$A907,$A907))))</f>
        <v/>
      </c>
    </row>
    <row r="908" spans="1:23" x14ac:dyDescent="0.2">
      <c r="A908" s="9" t="str">
        <f>IF(A907="","",IF(WORKDAY(A907,-1,config_Holiday_Calendar_US)&lt;config!$I$10,"",WORKDAY(A907,-1,config_Holiday_Calendar_US)))</f>
        <v/>
      </c>
      <c r="B908" s="8" t="str">
        <f t="shared" si="14"/>
        <v/>
      </c>
      <c r="C908" s="8" t="str">
        <f>IF(A908="","",_xll.BDH(config!$H$4,C$1,$A908,$A908))</f>
        <v/>
      </c>
      <c r="D908" s="8" t="str">
        <f>IF($A908="","",_xll.BDH(config!$H$4,D$1,$A908,$A908))</f>
        <v/>
      </c>
      <c r="E908" s="8" t="str">
        <f>IF($A908="","",IF(ISNUMBER(FIND("IMPVOL",E$1)),_xll.BDH(config!$G$4,E$1,WORKDAY($A908,-1,config_Holiday_Calendar_US),WORKDAY($A908,-1,config_Holiday_Calendar_US)),IF(ISNUMBER(_xll.BDH(config!$G$4,E$1,$A908,$A908)),_xll.BDH(config!$G$4,E$1,$A908,$A908),_xll.BDH(config!$G$5,E$1,$A908,$A908))))</f>
        <v/>
      </c>
      <c r="F908" s="8" t="str">
        <f>IF($A908="","",IF(ISNUMBER(FIND("IMPVOL",F$1)),_xll.BDH(config!$G$4,F$1,WORKDAY($A908,-1,config_Holiday_Calendar_US),WORKDAY($A908,-1,config_Holiday_Calendar_US)),IF(ISNUMBER(_xll.BDH(config!$G$4,F$1,$A908,$A908)),_xll.BDH(config!$G$4,F$1,$A908,$A908),_xll.BDH(config!$G$5,F$1,$A908,$A908))))</f>
        <v/>
      </c>
      <c r="G908" s="8" t="str">
        <f>IF($A908="","",IF(ISNUMBER(FIND("IMPVOL",G$1)),_xll.BDH(config!$G$4,G$1,WORKDAY($A908,-1,config_Holiday_Calendar_US),WORKDAY($A908,-1,config_Holiday_Calendar_US)),IF(ISNUMBER(_xll.BDH(config!$G$4,G$1,$A908,$A908)),_xll.BDH(config!$G$4,G$1,$A908,$A908),_xll.BDH(config!$G$5,G$1,$A908,$A908))))</f>
        <v/>
      </c>
      <c r="H908" s="8" t="str">
        <f>IF($A908="","",IF(ISNUMBER(FIND("IMPVOL",H$1)),_xll.BDH(config!$G$4,H$1,WORKDAY($A908,-1,config_Holiday_Calendar_US),WORKDAY($A908,-1,config_Holiday_Calendar_US)),IF(ISNUMBER(_xll.BDH(config!$G$4,H$1,$A908,$A908)),_xll.BDH(config!$G$4,H$1,$A908,$A908),_xll.BDH(config!$G$5,H$1,$A908,$A908))))</f>
        <v/>
      </c>
      <c r="I908" s="8" t="str">
        <f>IF($A908="","",IF(ISNUMBER(FIND("IMPVOL",I$1)),_xll.BDH(config!$G$4,I$1,WORKDAY($A908,-1,config_Holiday_Calendar_US),WORKDAY($A908,-1,config_Holiday_Calendar_US)),IF(ISNUMBER(_xll.BDH(config!$G$4,I$1,$A908,$A908)),_xll.BDH(config!$G$4,I$1,$A908,$A908),_xll.BDH(config!$G$5,I$1,$A908,$A908))))</f>
        <v/>
      </c>
      <c r="J908" s="8" t="str">
        <f>IF($A908="","",IF(ISNUMBER(FIND("IMPVOL",J$1)),_xll.BDH(config!$G$4,J$1,WORKDAY($A908,-1,config_Holiday_Calendar_US),WORKDAY($A908,-1,config_Holiday_Calendar_US)),IF(ISNUMBER(_xll.BDH(config!$G$4,J$1,$A908,$A908)),_xll.BDH(config!$G$4,J$1,$A908,$A908),_xll.BDH(config!$G$5,J$1,$A908,$A908))))</f>
        <v/>
      </c>
      <c r="K908" s="8" t="str">
        <f>IF($A908="","",IF(ISNUMBER(FIND("IMPVOL",K$1)),_xll.BDH(config!$G$4,K$1,WORKDAY($A908,-1,config_Holiday_Calendar_US),WORKDAY($A908,-1,config_Holiday_Calendar_US)),IF(ISNUMBER(_xll.BDH(config!$G$4,K$1,$A908,$A908)),_xll.BDH(config!$G$4,K$1,$A908,$A908),_xll.BDH(config!$G$5,K$1,$A908,$A908))))</f>
        <v/>
      </c>
      <c r="L908" s="8" t="str">
        <f>IF($A908="","",IF(ISNUMBER(FIND("IMPVOL",L$1)),_xll.BDH(config!$G$4,L$1,WORKDAY($A908,-1,config_Holiday_Calendar_US),WORKDAY($A908,-1,config_Holiday_Calendar_US)),IF(ISNUMBER(_xll.BDH(config!$G$4,L$1,$A908,$A908)),_xll.BDH(config!$G$4,L$1,$A908,$A908),_xll.BDH(config!$G$5,L$1,$A908,$A908))))</f>
        <v/>
      </c>
      <c r="M908" s="8" t="str">
        <f>IF($A908="","",IF(ISNUMBER(FIND("IMPVOL",M$1)),_xll.BDH(config!$G$4,M$1,WORKDAY($A908,-1,config_Holiday_Calendar_US),WORKDAY($A908,-1,config_Holiday_Calendar_US)),IF(ISNUMBER(_xll.BDH(config!$G$4,M$1,$A908,$A908)),_xll.BDH(config!$G$4,M$1,$A908,$A908),_xll.BDH(config!$G$5,M$1,$A908,$A908))))</f>
        <v/>
      </c>
      <c r="N908" s="8" t="str">
        <f>IF($A908="","",IF(ISNUMBER(FIND("IMPVOL",N$1)),_xll.BDH(config!$G$4,N$1,WORKDAY($A908,-1,config_Holiday_Calendar_US),WORKDAY($A908,-1,config_Holiday_Calendar_US)),IF(ISNUMBER(_xll.BDH(config!$G$4,N$1,$A908,$A908)),_xll.BDH(config!$G$4,N$1,$A908,$A908),_xll.BDH(config!$G$5,N$1,$A908,$A908))))</f>
        <v/>
      </c>
      <c r="O908" s="8" t="str">
        <f>IF($A908="","",IF(ISNUMBER(FIND("IMPVOL",O$1)),_xll.BDH(config!$G$4,O$1,WORKDAY($A908,-1,config_Holiday_Calendar_US),WORKDAY($A908,-1,config_Holiday_Calendar_US)),IF(ISNUMBER(_xll.BDH(config!$G$4,O$1,$A908,$A908)),_xll.BDH(config!$G$4,O$1,$A908,$A908),_xll.BDH(config!$G$5,O$1,$A908,$A908))))</f>
        <v/>
      </c>
      <c r="P908" s="8" t="str">
        <f>IF($A908="","",IF(ISNUMBER(FIND("IMPVOL",P$1)),_xll.BDH(config!$G$4,P$1,WORKDAY($A908,-1,config_Holiday_Calendar_US),WORKDAY($A908,-1,config_Holiday_Calendar_US)),IF(ISNUMBER(_xll.BDH(config!$G$4,P$1,$A908,$A908)),_xll.BDH(config!$G$4,P$1,$A908,$A908),_xll.BDH(config!$G$5,P$1,$A908,$A908))))</f>
        <v/>
      </c>
      <c r="Q908" s="8" t="str">
        <f>IF($A908="","",IF(ISNUMBER(FIND("IMPVOL",Q$1)),_xll.BDH(config!$G$4,Q$1,WORKDAY($A908,-1,config_Holiday_Calendar_US),WORKDAY($A908,-1,config_Holiday_Calendar_US)),IF(ISNUMBER(_xll.BDH(config!$G$4,Q$1,$A908,$A908)),_xll.BDH(config!$G$4,Q$1,$A908,$A908),_xll.BDH(config!$G$5,Q$1,$A908,$A908))))</f>
        <v/>
      </c>
      <c r="R908" s="8" t="str">
        <f>IF($A908="","",IF(ISNUMBER(FIND("IMPVOL",R$1)),_xll.BDH(config!$G$4,R$1,WORKDAY($A908,-1,config_Holiday_Calendar_US),WORKDAY($A908,-1,config_Holiday_Calendar_US)),IF(ISNUMBER(_xll.BDH(config!$G$4,R$1,$A908,$A908)),_xll.BDH(config!$G$4,R$1,$A908,$A908),_xll.BDH(config!$G$5,R$1,$A908,$A908))))</f>
        <v/>
      </c>
      <c r="S908" s="8" t="str">
        <f>IF($A908="","",IF(ISNUMBER(FIND("IMPVOL",S$1)),_xll.BDH(config!$G$4,S$1,WORKDAY($A908,-1,config_Holiday_Calendar_US),WORKDAY($A908,-1,config_Holiday_Calendar_US)),IF(ISNUMBER(_xll.BDH(config!$G$4,S$1,$A908,$A908)),_xll.BDH(config!$G$4,S$1,$A908,$A908),_xll.BDH(config!$G$5,S$1,$A908,$A908))))</f>
        <v/>
      </c>
      <c r="T908" s="8" t="str">
        <f>IF($A908="","",IF(ISNUMBER(FIND("IMPVOL",T$1)),_xll.BDH(config!$G$4,T$1,WORKDAY($A908,-1,config_Holiday_Calendar_US),WORKDAY($A908,-1,config_Holiday_Calendar_US)),IF(ISNUMBER(_xll.BDH(config!$G$4,T$1,$A908,$A908)),_xll.BDH(config!$G$4,T$1,$A908,$A908),_xll.BDH(config!$G$5,T$1,$A908,$A908))))</f>
        <v/>
      </c>
      <c r="U908" s="8" t="str">
        <f>IF($A908="","",IF(ISNUMBER(FIND("IMPVOL",U$1)),_xll.BDH(config!$G$4,U$1,WORKDAY($A908,-1,config_Holiday_Calendar_US),WORKDAY($A908,-1,config_Holiday_Calendar_US)),IF(ISNUMBER(_xll.BDH(config!$G$4,U$1,$A908,$A908)),_xll.BDH(config!$G$4,U$1,$A908,$A908),_xll.BDH(config!$G$5,U$1,$A908,$A908))))</f>
        <v/>
      </c>
      <c r="V908" s="8" t="str">
        <f>IF($A908="","",IF(ISNUMBER(FIND("IMPVOL",V$1)),_xll.BDH(config!$G$4,V$1,WORKDAY($A908,-1,config_Holiday_Calendar_US),WORKDAY($A908,-1,config_Holiday_Calendar_US)),IF(ISNUMBER(_xll.BDH(config!$G$4,V$1,$A908,$A908)),_xll.BDH(config!$G$4,V$1,$A908,$A908),_xll.BDH(config!$G$5,V$1,$A908,$A908))))</f>
        <v/>
      </c>
      <c r="W908" s="8" t="str">
        <f>IF($A908="","",IF(ISNUMBER(FIND("IMPVOL",W$1)),_xll.BDH(config!$G$4,W$1,WORKDAY($A908,-1,config_Holiday_Calendar_US),WORKDAY($A908,-1,config_Holiday_Calendar_US)),IF(ISNUMBER(_xll.BDH(config!$G$4,W$1,$A908,$A908)),_xll.BDH(config!$G$4,W$1,$A908,$A908),_xll.BDH(config!$G$5,W$1,$A908,$A908))))</f>
        <v/>
      </c>
    </row>
    <row r="909" spans="1:23" x14ac:dyDescent="0.2">
      <c r="A909" s="9" t="str">
        <f>IF(A908="","",IF(WORKDAY(A908,-1,config_Holiday_Calendar_US)&lt;config!$I$10,"",WORKDAY(A908,-1,config_Holiday_Calendar_US)))</f>
        <v/>
      </c>
      <c r="B909" s="8" t="str">
        <f t="shared" si="14"/>
        <v/>
      </c>
      <c r="C909" s="8" t="str">
        <f>IF(A909="","",_xll.BDH(config!$H$4,C$1,$A909,$A909))</f>
        <v/>
      </c>
      <c r="D909" s="8" t="str">
        <f>IF($A909="","",_xll.BDH(config!$H$4,D$1,$A909,$A909))</f>
        <v/>
      </c>
      <c r="E909" s="8" t="str">
        <f>IF($A909="","",IF(ISNUMBER(FIND("IMPVOL",E$1)),_xll.BDH(config!$G$4,E$1,WORKDAY($A909,-1,config_Holiday_Calendar_US),WORKDAY($A909,-1,config_Holiday_Calendar_US)),IF(ISNUMBER(_xll.BDH(config!$G$4,E$1,$A909,$A909)),_xll.BDH(config!$G$4,E$1,$A909,$A909),_xll.BDH(config!$G$5,E$1,$A909,$A909))))</f>
        <v/>
      </c>
      <c r="F909" s="8" t="str">
        <f>IF($A909="","",IF(ISNUMBER(FIND("IMPVOL",F$1)),_xll.BDH(config!$G$4,F$1,WORKDAY($A909,-1,config_Holiday_Calendar_US),WORKDAY($A909,-1,config_Holiday_Calendar_US)),IF(ISNUMBER(_xll.BDH(config!$G$4,F$1,$A909,$A909)),_xll.BDH(config!$G$4,F$1,$A909,$A909),_xll.BDH(config!$G$5,F$1,$A909,$A909))))</f>
        <v/>
      </c>
      <c r="G909" s="8" t="str">
        <f>IF($A909="","",IF(ISNUMBER(FIND("IMPVOL",G$1)),_xll.BDH(config!$G$4,G$1,WORKDAY($A909,-1,config_Holiday_Calendar_US),WORKDAY($A909,-1,config_Holiday_Calendar_US)),IF(ISNUMBER(_xll.BDH(config!$G$4,G$1,$A909,$A909)),_xll.BDH(config!$G$4,G$1,$A909,$A909),_xll.BDH(config!$G$5,G$1,$A909,$A909))))</f>
        <v/>
      </c>
      <c r="H909" s="8" t="str">
        <f>IF($A909="","",IF(ISNUMBER(FIND("IMPVOL",H$1)),_xll.BDH(config!$G$4,H$1,WORKDAY($A909,-1,config_Holiday_Calendar_US),WORKDAY($A909,-1,config_Holiday_Calendar_US)),IF(ISNUMBER(_xll.BDH(config!$G$4,H$1,$A909,$A909)),_xll.BDH(config!$G$4,H$1,$A909,$A909),_xll.BDH(config!$G$5,H$1,$A909,$A909))))</f>
        <v/>
      </c>
      <c r="I909" s="8" t="str">
        <f>IF($A909="","",IF(ISNUMBER(FIND("IMPVOL",I$1)),_xll.BDH(config!$G$4,I$1,WORKDAY($A909,-1,config_Holiday_Calendar_US),WORKDAY($A909,-1,config_Holiday_Calendar_US)),IF(ISNUMBER(_xll.BDH(config!$G$4,I$1,$A909,$A909)),_xll.BDH(config!$G$4,I$1,$A909,$A909),_xll.BDH(config!$G$5,I$1,$A909,$A909))))</f>
        <v/>
      </c>
      <c r="J909" s="8" t="str">
        <f>IF($A909="","",IF(ISNUMBER(FIND("IMPVOL",J$1)),_xll.BDH(config!$G$4,J$1,WORKDAY($A909,-1,config_Holiday_Calendar_US),WORKDAY($A909,-1,config_Holiday_Calendar_US)),IF(ISNUMBER(_xll.BDH(config!$G$4,J$1,$A909,$A909)),_xll.BDH(config!$G$4,J$1,$A909,$A909),_xll.BDH(config!$G$5,J$1,$A909,$A909))))</f>
        <v/>
      </c>
      <c r="K909" s="8" t="str">
        <f>IF($A909="","",IF(ISNUMBER(FIND("IMPVOL",K$1)),_xll.BDH(config!$G$4,K$1,WORKDAY($A909,-1,config_Holiday_Calendar_US),WORKDAY($A909,-1,config_Holiday_Calendar_US)),IF(ISNUMBER(_xll.BDH(config!$G$4,K$1,$A909,$A909)),_xll.BDH(config!$G$4,K$1,$A909,$A909),_xll.BDH(config!$G$5,K$1,$A909,$A909))))</f>
        <v/>
      </c>
      <c r="L909" s="8" t="str">
        <f>IF($A909="","",IF(ISNUMBER(FIND("IMPVOL",L$1)),_xll.BDH(config!$G$4,L$1,WORKDAY($A909,-1,config_Holiday_Calendar_US),WORKDAY($A909,-1,config_Holiday_Calendar_US)),IF(ISNUMBER(_xll.BDH(config!$G$4,L$1,$A909,$A909)),_xll.BDH(config!$G$4,L$1,$A909,$A909),_xll.BDH(config!$G$5,L$1,$A909,$A909))))</f>
        <v/>
      </c>
      <c r="M909" s="8" t="str">
        <f>IF($A909="","",IF(ISNUMBER(FIND("IMPVOL",M$1)),_xll.BDH(config!$G$4,M$1,WORKDAY($A909,-1,config_Holiday_Calendar_US),WORKDAY($A909,-1,config_Holiday_Calendar_US)),IF(ISNUMBER(_xll.BDH(config!$G$4,M$1,$A909,$A909)),_xll.BDH(config!$G$4,M$1,$A909,$A909),_xll.BDH(config!$G$5,M$1,$A909,$A909))))</f>
        <v/>
      </c>
      <c r="N909" s="8" t="str">
        <f>IF($A909="","",IF(ISNUMBER(FIND("IMPVOL",N$1)),_xll.BDH(config!$G$4,N$1,WORKDAY($A909,-1,config_Holiday_Calendar_US),WORKDAY($A909,-1,config_Holiday_Calendar_US)),IF(ISNUMBER(_xll.BDH(config!$G$4,N$1,$A909,$A909)),_xll.BDH(config!$G$4,N$1,$A909,$A909),_xll.BDH(config!$G$5,N$1,$A909,$A909))))</f>
        <v/>
      </c>
      <c r="O909" s="8" t="str">
        <f>IF($A909="","",IF(ISNUMBER(FIND("IMPVOL",O$1)),_xll.BDH(config!$G$4,O$1,WORKDAY($A909,-1,config_Holiday_Calendar_US),WORKDAY($A909,-1,config_Holiday_Calendar_US)),IF(ISNUMBER(_xll.BDH(config!$G$4,O$1,$A909,$A909)),_xll.BDH(config!$G$4,O$1,$A909,$A909),_xll.BDH(config!$G$5,O$1,$A909,$A909))))</f>
        <v/>
      </c>
      <c r="P909" s="8" t="str">
        <f>IF($A909="","",IF(ISNUMBER(FIND("IMPVOL",P$1)),_xll.BDH(config!$G$4,P$1,WORKDAY($A909,-1,config_Holiday_Calendar_US),WORKDAY($A909,-1,config_Holiday_Calendar_US)),IF(ISNUMBER(_xll.BDH(config!$G$4,P$1,$A909,$A909)),_xll.BDH(config!$G$4,P$1,$A909,$A909),_xll.BDH(config!$G$5,P$1,$A909,$A909))))</f>
        <v/>
      </c>
      <c r="Q909" s="8" t="str">
        <f>IF($A909="","",IF(ISNUMBER(FIND("IMPVOL",Q$1)),_xll.BDH(config!$G$4,Q$1,WORKDAY($A909,-1,config_Holiday_Calendar_US),WORKDAY($A909,-1,config_Holiday_Calendar_US)),IF(ISNUMBER(_xll.BDH(config!$G$4,Q$1,$A909,$A909)),_xll.BDH(config!$G$4,Q$1,$A909,$A909),_xll.BDH(config!$G$5,Q$1,$A909,$A909))))</f>
        <v/>
      </c>
      <c r="R909" s="8" t="str">
        <f>IF($A909="","",IF(ISNUMBER(FIND("IMPVOL",R$1)),_xll.BDH(config!$G$4,R$1,WORKDAY($A909,-1,config_Holiday_Calendar_US),WORKDAY($A909,-1,config_Holiday_Calendar_US)),IF(ISNUMBER(_xll.BDH(config!$G$4,R$1,$A909,$A909)),_xll.BDH(config!$G$4,R$1,$A909,$A909),_xll.BDH(config!$G$5,R$1,$A909,$A909))))</f>
        <v/>
      </c>
      <c r="S909" s="8" t="str">
        <f>IF($A909="","",IF(ISNUMBER(FIND("IMPVOL",S$1)),_xll.BDH(config!$G$4,S$1,WORKDAY($A909,-1,config_Holiday_Calendar_US),WORKDAY($A909,-1,config_Holiday_Calendar_US)),IF(ISNUMBER(_xll.BDH(config!$G$4,S$1,$A909,$A909)),_xll.BDH(config!$G$4,S$1,$A909,$A909),_xll.BDH(config!$G$5,S$1,$A909,$A909))))</f>
        <v/>
      </c>
      <c r="T909" s="8" t="str">
        <f>IF($A909="","",IF(ISNUMBER(FIND("IMPVOL",T$1)),_xll.BDH(config!$G$4,T$1,WORKDAY($A909,-1,config_Holiday_Calendar_US),WORKDAY($A909,-1,config_Holiday_Calendar_US)),IF(ISNUMBER(_xll.BDH(config!$G$4,T$1,$A909,$A909)),_xll.BDH(config!$G$4,T$1,$A909,$A909),_xll.BDH(config!$G$5,T$1,$A909,$A909))))</f>
        <v/>
      </c>
      <c r="U909" s="8" t="str">
        <f>IF($A909="","",IF(ISNUMBER(FIND("IMPVOL",U$1)),_xll.BDH(config!$G$4,U$1,WORKDAY($A909,-1,config_Holiday_Calendar_US),WORKDAY($A909,-1,config_Holiday_Calendar_US)),IF(ISNUMBER(_xll.BDH(config!$G$4,U$1,$A909,$A909)),_xll.BDH(config!$G$4,U$1,$A909,$A909),_xll.BDH(config!$G$5,U$1,$A909,$A909))))</f>
        <v/>
      </c>
      <c r="V909" s="8" t="str">
        <f>IF($A909="","",IF(ISNUMBER(FIND("IMPVOL",V$1)),_xll.BDH(config!$G$4,V$1,WORKDAY($A909,-1,config_Holiday_Calendar_US),WORKDAY($A909,-1,config_Holiday_Calendar_US)),IF(ISNUMBER(_xll.BDH(config!$G$4,V$1,$A909,$A909)),_xll.BDH(config!$G$4,V$1,$A909,$A909),_xll.BDH(config!$G$5,V$1,$A909,$A909))))</f>
        <v/>
      </c>
      <c r="W909" s="8" t="str">
        <f>IF($A909="","",IF(ISNUMBER(FIND("IMPVOL",W$1)),_xll.BDH(config!$G$4,W$1,WORKDAY($A909,-1,config_Holiday_Calendar_US),WORKDAY($A909,-1,config_Holiday_Calendar_US)),IF(ISNUMBER(_xll.BDH(config!$G$4,W$1,$A909,$A909)),_xll.BDH(config!$G$4,W$1,$A909,$A909),_xll.BDH(config!$G$5,W$1,$A909,$A909))))</f>
        <v/>
      </c>
    </row>
    <row r="910" spans="1:23" x14ac:dyDescent="0.2">
      <c r="A910" s="9" t="str">
        <f>IF(A909="","",IF(WORKDAY(A909,-1,config_Holiday_Calendar_US)&lt;config!$I$10,"",WORKDAY(A909,-1,config_Holiday_Calendar_US)))</f>
        <v/>
      </c>
      <c r="B910" s="8" t="str">
        <f t="shared" si="14"/>
        <v/>
      </c>
      <c r="C910" s="8" t="str">
        <f>IF(A910="","",_xll.BDH(config!$H$4,C$1,$A910,$A910))</f>
        <v/>
      </c>
      <c r="D910" s="8" t="str">
        <f>IF($A910="","",_xll.BDH(config!$H$4,D$1,$A910,$A910))</f>
        <v/>
      </c>
      <c r="E910" s="8" t="str">
        <f>IF($A910="","",IF(ISNUMBER(FIND("IMPVOL",E$1)),_xll.BDH(config!$G$4,E$1,WORKDAY($A910,-1,config_Holiday_Calendar_US),WORKDAY($A910,-1,config_Holiday_Calendar_US)),IF(ISNUMBER(_xll.BDH(config!$G$4,E$1,$A910,$A910)),_xll.BDH(config!$G$4,E$1,$A910,$A910),_xll.BDH(config!$G$5,E$1,$A910,$A910))))</f>
        <v/>
      </c>
      <c r="F910" s="8" t="str">
        <f>IF($A910="","",IF(ISNUMBER(FIND("IMPVOL",F$1)),_xll.BDH(config!$G$4,F$1,WORKDAY($A910,-1,config_Holiday_Calendar_US),WORKDAY($A910,-1,config_Holiday_Calendar_US)),IF(ISNUMBER(_xll.BDH(config!$G$4,F$1,$A910,$A910)),_xll.BDH(config!$G$4,F$1,$A910,$A910),_xll.BDH(config!$G$5,F$1,$A910,$A910))))</f>
        <v/>
      </c>
      <c r="G910" s="8" t="str">
        <f>IF($A910="","",IF(ISNUMBER(FIND("IMPVOL",G$1)),_xll.BDH(config!$G$4,G$1,WORKDAY($A910,-1,config_Holiday_Calendar_US),WORKDAY($A910,-1,config_Holiday_Calendar_US)),IF(ISNUMBER(_xll.BDH(config!$G$4,G$1,$A910,$A910)),_xll.BDH(config!$G$4,G$1,$A910,$A910),_xll.BDH(config!$G$5,G$1,$A910,$A910))))</f>
        <v/>
      </c>
      <c r="H910" s="8" t="str">
        <f>IF($A910="","",IF(ISNUMBER(FIND("IMPVOL",H$1)),_xll.BDH(config!$G$4,H$1,WORKDAY($A910,-1,config_Holiday_Calendar_US),WORKDAY($A910,-1,config_Holiday_Calendar_US)),IF(ISNUMBER(_xll.BDH(config!$G$4,H$1,$A910,$A910)),_xll.BDH(config!$G$4,H$1,$A910,$A910),_xll.BDH(config!$G$5,H$1,$A910,$A910))))</f>
        <v/>
      </c>
      <c r="I910" s="8" t="str">
        <f>IF($A910="","",IF(ISNUMBER(FIND("IMPVOL",I$1)),_xll.BDH(config!$G$4,I$1,WORKDAY($A910,-1,config_Holiday_Calendar_US),WORKDAY($A910,-1,config_Holiday_Calendar_US)),IF(ISNUMBER(_xll.BDH(config!$G$4,I$1,$A910,$A910)),_xll.BDH(config!$G$4,I$1,$A910,$A910),_xll.BDH(config!$G$5,I$1,$A910,$A910))))</f>
        <v/>
      </c>
      <c r="J910" s="8" t="str">
        <f>IF($A910="","",IF(ISNUMBER(FIND("IMPVOL",J$1)),_xll.BDH(config!$G$4,J$1,WORKDAY($A910,-1,config_Holiday_Calendar_US),WORKDAY($A910,-1,config_Holiday_Calendar_US)),IF(ISNUMBER(_xll.BDH(config!$G$4,J$1,$A910,$A910)),_xll.BDH(config!$G$4,J$1,$A910,$A910),_xll.BDH(config!$G$5,J$1,$A910,$A910))))</f>
        <v/>
      </c>
      <c r="K910" s="8" t="str">
        <f>IF($A910="","",IF(ISNUMBER(FIND("IMPVOL",K$1)),_xll.BDH(config!$G$4,K$1,WORKDAY($A910,-1,config_Holiday_Calendar_US),WORKDAY($A910,-1,config_Holiday_Calendar_US)),IF(ISNUMBER(_xll.BDH(config!$G$4,K$1,$A910,$A910)),_xll.BDH(config!$G$4,K$1,$A910,$A910),_xll.BDH(config!$G$5,K$1,$A910,$A910))))</f>
        <v/>
      </c>
      <c r="L910" s="8" t="str">
        <f>IF($A910="","",IF(ISNUMBER(FIND("IMPVOL",L$1)),_xll.BDH(config!$G$4,L$1,WORKDAY($A910,-1,config_Holiday_Calendar_US),WORKDAY($A910,-1,config_Holiday_Calendar_US)),IF(ISNUMBER(_xll.BDH(config!$G$4,L$1,$A910,$A910)),_xll.BDH(config!$G$4,L$1,$A910,$A910),_xll.BDH(config!$G$5,L$1,$A910,$A910))))</f>
        <v/>
      </c>
      <c r="M910" s="8" t="str">
        <f>IF($A910="","",IF(ISNUMBER(FIND("IMPVOL",M$1)),_xll.BDH(config!$G$4,M$1,WORKDAY($A910,-1,config_Holiday_Calendar_US),WORKDAY($A910,-1,config_Holiday_Calendar_US)),IF(ISNUMBER(_xll.BDH(config!$G$4,M$1,$A910,$A910)),_xll.BDH(config!$G$4,M$1,$A910,$A910),_xll.BDH(config!$G$5,M$1,$A910,$A910))))</f>
        <v/>
      </c>
      <c r="N910" s="8" t="str">
        <f>IF($A910="","",IF(ISNUMBER(FIND("IMPVOL",N$1)),_xll.BDH(config!$G$4,N$1,WORKDAY($A910,-1,config_Holiday_Calendar_US),WORKDAY($A910,-1,config_Holiday_Calendar_US)),IF(ISNUMBER(_xll.BDH(config!$G$4,N$1,$A910,$A910)),_xll.BDH(config!$G$4,N$1,$A910,$A910),_xll.BDH(config!$G$5,N$1,$A910,$A910))))</f>
        <v/>
      </c>
      <c r="O910" s="8" t="str">
        <f>IF($A910="","",IF(ISNUMBER(FIND("IMPVOL",O$1)),_xll.BDH(config!$G$4,O$1,WORKDAY($A910,-1,config_Holiday_Calendar_US),WORKDAY($A910,-1,config_Holiday_Calendar_US)),IF(ISNUMBER(_xll.BDH(config!$G$4,O$1,$A910,$A910)),_xll.BDH(config!$G$4,O$1,$A910,$A910),_xll.BDH(config!$G$5,O$1,$A910,$A910))))</f>
        <v/>
      </c>
      <c r="P910" s="8" t="str">
        <f>IF($A910="","",IF(ISNUMBER(FIND("IMPVOL",P$1)),_xll.BDH(config!$G$4,P$1,WORKDAY($A910,-1,config_Holiday_Calendar_US),WORKDAY($A910,-1,config_Holiday_Calendar_US)),IF(ISNUMBER(_xll.BDH(config!$G$4,P$1,$A910,$A910)),_xll.BDH(config!$G$4,P$1,$A910,$A910),_xll.BDH(config!$G$5,P$1,$A910,$A910))))</f>
        <v/>
      </c>
      <c r="Q910" s="8" t="str">
        <f>IF($A910="","",IF(ISNUMBER(FIND("IMPVOL",Q$1)),_xll.BDH(config!$G$4,Q$1,WORKDAY($A910,-1,config_Holiday_Calendar_US),WORKDAY($A910,-1,config_Holiday_Calendar_US)),IF(ISNUMBER(_xll.BDH(config!$G$4,Q$1,$A910,$A910)),_xll.BDH(config!$G$4,Q$1,$A910,$A910),_xll.BDH(config!$G$5,Q$1,$A910,$A910))))</f>
        <v/>
      </c>
      <c r="R910" s="8" t="str">
        <f>IF($A910="","",IF(ISNUMBER(FIND("IMPVOL",R$1)),_xll.BDH(config!$G$4,R$1,WORKDAY($A910,-1,config_Holiday_Calendar_US),WORKDAY($A910,-1,config_Holiday_Calendar_US)),IF(ISNUMBER(_xll.BDH(config!$G$4,R$1,$A910,$A910)),_xll.BDH(config!$G$4,R$1,$A910,$A910),_xll.BDH(config!$G$5,R$1,$A910,$A910))))</f>
        <v/>
      </c>
      <c r="S910" s="8" t="str">
        <f>IF($A910="","",IF(ISNUMBER(FIND("IMPVOL",S$1)),_xll.BDH(config!$G$4,S$1,WORKDAY($A910,-1,config_Holiday_Calendar_US),WORKDAY($A910,-1,config_Holiday_Calendar_US)),IF(ISNUMBER(_xll.BDH(config!$G$4,S$1,$A910,$A910)),_xll.BDH(config!$G$4,S$1,$A910,$A910),_xll.BDH(config!$G$5,S$1,$A910,$A910))))</f>
        <v/>
      </c>
      <c r="T910" s="8" t="str">
        <f>IF($A910="","",IF(ISNUMBER(FIND("IMPVOL",T$1)),_xll.BDH(config!$G$4,T$1,WORKDAY($A910,-1,config_Holiday_Calendar_US),WORKDAY($A910,-1,config_Holiday_Calendar_US)),IF(ISNUMBER(_xll.BDH(config!$G$4,T$1,$A910,$A910)),_xll.BDH(config!$G$4,T$1,$A910,$A910),_xll.BDH(config!$G$5,T$1,$A910,$A910))))</f>
        <v/>
      </c>
      <c r="U910" s="8" t="str">
        <f>IF($A910="","",IF(ISNUMBER(FIND("IMPVOL",U$1)),_xll.BDH(config!$G$4,U$1,WORKDAY($A910,-1,config_Holiday_Calendar_US),WORKDAY($A910,-1,config_Holiday_Calendar_US)),IF(ISNUMBER(_xll.BDH(config!$G$4,U$1,$A910,$A910)),_xll.BDH(config!$G$4,U$1,$A910,$A910),_xll.BDH(config!$G$5,U$1,$A910,$A910))))</f>
        <v/>
      </c>
      <c r="V910" s="8" t="str">
        <f>IF($A910="","",IF(ISNUMBER(FIND("IMPVOL",V$1)),_xll.BDH(config!$G$4,V$1,WORKDAY($A910,-1,config_Holiday_Calendar_US),WORKDAY($A910,-1,config_Holiday_Calendar_US)),IF(ISNUMBER(_xll.BDH(config!$G$4,V$1,$A910,$A910)),_xll.BDH(config!$G$4,V$1,$A910,$A910),_xll.BDH(config!$G$5,V$1,$A910,$A910))))</f>
        <v/>
      </c>
      <c r="W910" s="8" t="str">
        <f>IF($A910="","",IF(ISNUMBER(FIND("IMPVOL",W$1)),_xll.BDH(config!$G$4,W$1,WORKDAY($A910,-1,config_Holiday_Calendar_US),WORKDAY($A910,-1,config_Holiday_Calendar_US)),IF(ISNUMBER(_xll.BDH(config!$G$4,W$1,$A910,$A910)),_xll.BDH(config!$G$4,W$1,$A910,$A910),_xll.BDH(config!$G$5,W$1,$A910,$A910))))</f>
        <v/>
      </c>
    </row>
    <row r="911" spans="1:23" x14ac:dyDescent="0.2">
      <c r="A911" s="9" t="str">
        <f>IF(A910="","",IF(WORKDAY(A910,-1,config_Holiday_Calendar_US)&lt;config!$I$10,"",WORKDAY(A910,-1,config_Holiday_Calendar_US)))</f>
        <v/>
      </c>
      <c r="B911" s="8" t="str">
        <f t="shared" si="14"/>
        <v/>
      </c>
      <c r="C911" s="8" t="str">
        <f>IF(A911="","",_xll.BDH(config!$H$4,C$1,$A911,$A911))</f>
        <v/>
      </c>
      <c r="D911" s="8" t="str">
        <f>IF($A911="","",_xll.BDH(config!$H$4,D$1,$A911,$A911))</f>
        <v/>
      </c>
      <c r="E911" s="8" t="str">
        <f>IF($A911="","",IF(ISNUMBER(FIND("IMPVOL",E$1)),_xll.BDH(config!$G$4,E$1,WORKDAY($A911,-1,config_Holiday_Calendar_US),WORKDAY($A911,-1,config_Holiday_Calendar_US)),IF(ISNUMBER(_xll.BDH(config!$G$4,E$1,$A911,$A911)),_xll.BDH(config!$G$4,E$1,$A911,$A911),_xll.BDH(config!$G$5,E$1,$A911,$A911))))</f>
        <v/>
      </c>
      <c r="F911" s="8" t="str">
        <f>IF($A911="","",IF(ISNUMBER(FIND("IMPVOL",F$1)),_xll.BDH(config!$G$4,F$1,WORKDAY($A911,-1,config_Holiday_Calendar_US),WORKDAY($A911,-1,config_Holiday_Calendar_US)),IF(ISNUMBER(_xll.BDH(config!$G$4,F$1,$A911,$A911)),_xll.BDH(config!$G$4,F$1,$A911,$A911),_xll.BDH(config!$G$5,F$1,$A911,$A911))))</f>
        <v/>
      </c>
      <c r="G911" s="8" t="str">
        <f>IF($A911="","",IF(ISNUMBER(FIND("IMPVOL",G$1)),_xll.BDH(config!$G$4,G$1,WORKDAY($A911,-1,config_Holiday_Calendar_US),WORKDAY($A911,-1,config_Holiday_Calendar_US)),IF(ISNUMBER(_xll.BDH(config!$G$4,G$1,$A911,$A911)),_xll.BDH(config!$G$4,G$1,$A911,$A911),_xll.BDH(config!$G$5,G$1,$A911,$A911))))</f>
        <v/>
      </c>
      <c r="H911" s="8" t="str">
        <f>IF($A911="","",IF(ISNUMBER(FIND("IMPVOL",H$1)),_xll.BDH(config!$G$4,H$1,WORKDAY($A911,-1,config_Holiday_Calendar_US),WORKDAY($A911,-1,config_Holiday_Calendar_US)),IF(ISNUMBER(_xll.BDH(config!$G$4,H$1,$A911,$A911)),_xll.BDH(config!$G$4,H$1,$A911,$A911),_xll.BDH(config!$G$5,H$1,$A911,$A911))))</f>
        <v/>
      </c>
      <c r="I911" s="8" t="str">
        <f>IF($A911="","",IF(ISNUMBER(FIND("IMPVOL",I$1)),_xll.BDH(config!$G$4,I$1,WORKDAY($A911,-1,config_Holiday_Calendar_US),WORKDAY($A911,-1,config_Holiday_Calendar_US)),IF(ISNUMBER(_xll.BDH(config!$G$4,I$1,$A911,$A911)),_xll.BDH(config!$G$4,I$1,$A911,$A911),_xll.BDH(config!$G$5,I$1,$A911,$A911))))</f>
        <v/>
      </c>
      <c r="J911" s="8" t="str">
        <f>IF($A911="","",IF(ISNUMBER(FIND("IMPVOL",J$1)),_xll.BDH(config!$G$4,J$1,WORKDAY($A911,-1,config_Holiday_Calendar_US),WORKDAY($A911,-1,config_Holiday_Calendar_US)),IF(ISNUMBER(_xll.BDH(config!$G$4,J$1,$A911,$A911)),_xll.BDH(config!$G$4,J$1,$A911,$A911),_xll.BDH(config!$G$5,J$1,$A911,$A911))))</f>
        <v/>
      </c>
      <c r="K911" s="8" t="str">
        <f>IF($A911="","",IF(ISNUMBER(FIND("IMPVOL",K$1)),_xll.BDH(config!$G$4,K$1,WORKDAY($A911,-1,config_Holiday_Calendar_US),WORKDAY($A911,-1,config_Holiday_Calendar_US)),IF(ISNUMBER(_xll.BDH(config!$G$4,K$1,$A911,$A911)),_xll.BDH(config!$G$4,K$1,$A911,$A911),_xll.BDH(config!$G$5,K$1,$A911,$A911))))</f>
        <v/>
      </c>
      <c r="L911" s="8" t="str">
        <f>IF($A911="","",IF(ISNUMBER(FIND("IMPVOL",L$1)),_xll.BDH(config!$G$4,L$1,WORKDAY($A911,-1,config_Holiday_Calendar_US),WORKDAY($A911,-1,config_Holiday_Calendar_US)),IF(ISNUMBER(_xll.BDH(config!$G$4,L$1,$A911,$A911)),_xll.BDH(config!$G$4,L$1,$A911,$A911),_xll.BDH(config!$G$5,L$1,$A911,$A911))))</f>
        <v/>
      </c>
      <c r="M911" s="8" t="str">
        <f>IF($A911="","",IF(ISNUMBER(FIND("IMPVOL",M$1)),_xll.BDH(config!$G$4,M$1,WORKDAY($A911,-1,config_Holiday_Calendar_US),WORKDAY($A911,-1,config_Holiday_Calendar_US)),IF(ISNUMBER(_xll.BDH(config!$G$4,M$1,$A911,$A911)),_xll.BDH(config!$G$4,M$1,$A911,$A911),_xll.BDH(config!$G$5,M$1,$A911,$A911))))</f>
        <v/>
      </c>
      <c r="N911" s="8" t="str">
        <f>IF($A911="","",IF(ISNUMBER(FIND("IMPVOL",N$1)),_xll.BDH(config!$G$4,N$1,WORKDAY($A911,-1,config_Holiday_Calendar_US),WORKDAY($A911,-1,config_Holiday_Calendar_US)),IF(ISNUMBER(_xll.BDH(config!$G$4,N$1,$A911,$A911)),_xll.BDH(config!$G$4,N$1,$A911,$A911),_xll.BDH(config!$G$5,N$1,$A911,$A911))))</f>
        <v/>
      </c>
      <c r="O911" s="8" t="str">
        <f>IF($A911="","",IF(ISNUMBER(FIND("IMPVOL",O$1)),_xll.BDH(config!$G$4,O$1,WORKDAY($A911,-1,config_Holiday_Calendar_US),WORKDAY($A911,-1,config_Holiday_Calendar_US)),IF(ISNUMBER(_xll.BDH(config!$G$4,O$1,$A911,$A911)),_xll.BDH(config!$G$4,O$1,$A911,$A911),_xll.BDH(config!$G$5,O$1,$A911,$A911))))</f>
        <v/>
      </c>
      <c r="P911" s="8" t="str">
        <f>IF($A911="","",IF(ISNUMBER(FIND("IMPVOL",P$1)),_xll.BDH(config!$G$4,P$1,WORKDAY($A911,-1,config_Holiday_Calendar_US),WORKDAY($A911,-1,config_Holiday_Calendar_US)),IF(ISNUMBER(_xll.BDH(config!$G$4,P$1,$A911,$A911)),_xll.BDH(config!$G$4,P$1,$A911,$A911),_xll.BDH(config!$G$5,P$1,$A911,$A911))))</f>
        <v/>
      </c>
      <c r="Q911" s="8" t="str">
        <f>IF($A911="","",IF(ISNUMBER(FIND("IMPVOL",Q$1)),_xll.BDH(config!$G$4,Q$1,WORKDAY($A911,-1,config_Holiday_Calendar_US),WORKDAY($A911,-1,config_Holiday_Calendar_US)),IF(ISNUMBER(_xll.BDH(config!$G$4,Q$1,$A911,$A911)),_xll.BDH(config!$G$4,Q$1,$A911,$A911),_xll.BDH(config!$G$5,Q$1,$A911,$A911))))</f>
        <v/>
      </c>
      <c r="R911" s="8" t="str">
        <f>IF($A911="","",IF(ISNUMBER(FIND("IMPVOL",R$1)),_xll.BDH(config!$G$4,R$1,WORKDAY($A911,-1,config_Holiday_Calendar_US),WORKDAY($A911,-1,config_Holiday_Calendar_US)),IF(ISNUMBER(_xll.BDH(config!$G$4,R$1,$A911,$A911)),_xll.BDH(config!$G$4,R$1,$A911,$A911),_xll.BDH(config!$G$5,R$1,$A911,$A911))))</f>
        <v/>
      </c>
      <c r="S911" s="8" t="str">
        <f>IF($A911="","",IF(ISNUMBER(FIND("IMPVOL",S$1)),_xll.BDH(config!$G$4,S$1,WORKDAY($A911,-1,config_Holiday_Calendar_US),WORKDAY($A911,-1,config_Holiday_Calendar_US)),IF(ISNUMBER(_xll.BDH(config!$G$4,S$1,$A911,$A911)),_xll.BDH(config!$G$4,S$1,$A911,$A911),_xll.BDH(config!$G$5,S$1,$A911,$A911))))</f>
        <v/>
      </c>
      <c r="T911" s="8" t="str">
        <f>IF($A911="","",IF(ISNUMBER(FIND("IMPVOL",T$1)),_xll.BDH(config!$G$4,T$1,WORKDAY($A911,-1,config_Holiday_Calendar_US),WORKDAY($A911,-1,config_Holiday_Calendar_US)),IF(ISNUMBER(_xll.BDH(config!$G$4,T$1,$A911,$A911)),_xll.BDH(config!$G$4,T$1,$A911,$A911),_xll.BDH(config!$G$5,T$1,$A911,$A911))))</f>
        <v/>
      </c>
      <c r="U911" s="8" t="str">
        <f>IF($A911="","",IF(ISNUMBER(FIND("IMPVOL",U$1)),_xll.BDH(config!$G$4,U$1,WORKDAY($A911,-1,config_Holiday_Calendar_US),WORKDAY($A911,-1,config_Holiday_Calendar_US)),IF(ISNUMBER(_xll.BDH(config!$G$4,U$1,$A911,$A911)),_xll.BDH(config!$G$4,U$1,$A911,$A911),_xll.BDH(config!$G$5,U$1,$A911,$A911))))</f>
        <v/>
      </c>
      <c r="V911" s="8" t="str">
        <f>IF($A911="","",IF(ISNUMBER(FIND("IMPVOL",V$1)),_xll.BDH(config!$G$4,V$1,WORKDAY($A911,-1,config_Holiday_Calendar_US),WORKDAY($A911,-1,config_Holiday_Calendar_US)),IF(ISNUMBER(_xll.BDH(config!$G$4,V$1,$A911,$A911)),_xll.BDH(config!$G$4,V$1,$A911,$A911),_xll.BDH(config!$G$5,V$1,$A911,$A911))))</f>
        <v/>
      </c>
      <c r="W911" s="8" t="str">
        <f>IF($A911="","",IF(ISNUMBER(FIND("IMPVOL",W$1)),_xll.BDH(config!$G$4,W$1,WORKDAY($A911,-1,config_Holiday_Calendar_US),WORKDAY($A911,-1,config_Holiday_Calendar_US)),IF(ISNUMBER(_xll.BDH(config!$G$4,W$1,$A911,$A911)),_xll.BDH(config!$G$4,W$1,$A911,$A911),_xll.BDH(config!$G$5,W$1,$A911,$A911))))</f>
        <v/>
      </c>
    </row>
    <row r="912" spans="1:23" x14ac:dyDescent="0.2">
      <c r="A912" s="9" t="str">
        <f>IF(A911="","",IF(WORKDAY(A911,-1,config_Holiday_Calendar_US)&lt;config!$I$10,"",WORKDAY(A911,-1,config_Holiday_Calendar_US)))</f>
        <v/>
      </c>
      <c r="B912" s="8" t="str">
        <f t="shared" si="14"/>
        <v/>
      </c>
      <c r="C912" s="8" t="str">
        <f>IF(A912="","",_xll.BDH(config!$H$4,C$1,$A912,$A912))</f>
        <v/>
      </c>
      <c r="D912" s="8" t="str">
        <f>IF($A912="","",_xll.BDH(config!$H$4,D$1,$A912,$A912))</f>
        <v/>
      </c>
      <c r="E912" s="8" t="str">
        <f>IF($A912="","",IF(ISNUMBER(FIND("IMPVOL",E$1)),_xll.BDH(config!$G$4,E$1,WORKDAY($A912,-1,config_Holiday_Calendar_US),WORKDAY($A912,-1,config_Holiday_Calendar_US)),IF(ISNUMBER(_xll.BDH(config!$G$4,E$1,$A912,$A912)),_xll.BDH(config!$G$4,E$1,$A912,$A912),_xll.BDH(config!$G$5,E$1,$A912,$A912))))</f>
        <v/>
      </c>
      <c r="F912" s="8" t="str">
        <f>IF($A912="","",IF(ISNUMBER(FIND("IMPVOL",F$1)),_xll.BDH(config!$G$4,F$1,WORKDAY($A912,-1,config_Holiday_Calendar_US),WORKDAY($A912,-1,config_Holiday_Calendar_US)),IF(ISNUMBER(_xll.BDH(config!$G$4,F$1,$A912,$A912)),_xll.BDH(config!$G$4,F$1,$A912,$A912),_xll.BDH(config!$G$5,F$1,$A912,$A912))))</f>
        <v/>
      </c>
      <c r="G912" s="8" t="str">
        <f>IF($A912="","",IF(ISNUMBER(FIND("IMPVOL",G$1)),_xll.BDH(config!$G$4,G$1,WORKDAY($A912,-1,config_Holiday_Calendar_US),WORKDAY($A912,-1,config_Holiday_Calendar_US)),IF(ISNUMBER(_xll.BDH(config!$G$4,G$1,$A912,$A912)),_xll.BDH(config!$G$4,G$1,$A912,$A912),_xll.BDH(config!$G$5,G$1,$A912,$A912))))</f>
        <v/>
      </c>
      <c r="H912" s="8" t="str">
        <f>IF($A912="","",IF(ISNUMBER(FIND("IMPVOL",H$1)),_xll.BDH(config!$G$4,H$1,WORKDAY($A912,-1,config_Holiday_Calendar_US),WORKDAY($A912,-1,config_Holiday_Calendar_US)),IF(ISNUMBER(_xll.BDH(config!$G$4,H$1,$A912,$A912)),_xll.BDH(config!$G$4,H$1,$A912,$A912),_xll.BDH(config!$G$5,H$1,$A912,$A912))))</f>
        <v/>
      </c>
      <c r="I912" s="8" t="str">
        <f>IF($A912="","",IF(ISNUMBER(FIND("IMPVOL",I$1)),_xll.BDH(config!$G$4,I$1,WORKDAY($A912,-1,config_Holiday_Calendar_US),WORKDAY($A912,-1,config_Holiday_Calendar_US)),IF(ISNUMBER(_xll.BDH(config!$G$4,I$1,$A912,$A912)),_xll.BDH(config!$G$4,I$1,$A912,$A912),_xll.BDH(config!$G$5,I$1,$A912,$A912))))</f>
        <v/>
      </c>
      <c r="J912" s="8" t="str">
        <f>IF($A912="","",IF(ISNUMBER(FIND("IMPVOL",J$1)),_xll.BDH(config!$G$4,J$1,WORKDAY($A912,-1,config_Holiday_Calendar_US),WORKDAY($A912,-1,config_Holiday_Calendar_US)),IF(ISNUMBER(_xll.BDH(config!$G$4,J$1,$A912,$A912)),_xll.BDH(config!$G$4,J$1,$A912,$A912),_xll.BDH(config!$G$5,J$1,$A912,$A912))))</f>
        <v/>
      </c>
      <c r="K912" s="8" t="str">
        <f>IF($A912="","",IF(ISNUMBER(FIND("IMPVOL",K$1)),_xll.BDH(config!$G$4,K$1,WORKDAY($A912,-1,config_Holiday_Calendar_US),WORKDAY($A912,-1,config_Holiday_Calendar_US)),IF(ISNUMBER(_xll.BDH(config!$G$4,K$1,$A912,$A912)),_xll.BDH(config!$G$4,K$1,$A912,$A912),_xll.BDH(config!$G$5,K$1,$A912,$A912))))</f>
        <v/>
      </c>
      <c r="L912" s="8" t="str">
        <f>IF($A912="","",IF(ISNUMBER(FIND("IMPVOL",L$1)),_xll.BDH(config!$G$4,L$1,WORKDAY($A912,-1,config_Holiday_Calendar_US),WORKDAY($A912,-1,config_Holiday_Calendar_US)),IF(ISNUMBER(_xll.BDH(config!$G$4,L$1,$A912,$A912)),_xll.BDH(config!$G$4,L$1,$A912,$A912),_xll.BDH(config!$G$5,L$1,$A912,$A912))))</f>
        <v/>
      </c>
      <c r="M912" s="8" t="str">
        <f>IF($A912="","",IF(ISNUMBER(FIND("IMPVOL",M$1)),_xll.BDH(config!$G$4,M$1,WORKDAY($A912,-1,config_Holiday_Calendar_US),WORKDAY($A912,-1,config_Holiday_Calendar_US)),IF(ISNUMBER(_xll.BDH(config!$G$4,M$1,$A912,$A912)),_xll.BDH(config!$G$4,M$1,$A912,$A912),_xll.BDH(config!$G$5,M$1,$A912,$A912))))</f>
        <v/>
      </c>
      <c r="N912" s="8" t="str">
        <f>IF($A912="","",IF(ISNUMBER(FIND("IMPVOL",N$1)),_xll.BDH(config!$G$4,N$1,WORKDAY($A912,-1,config_Holiday_Calendar_US),WORKDAY($A912,-1,config_Holiday_Calendar_US)),IF(ISNUMBER(_xll.BDH(config!$G$4,N$1,$A912,$A912)),_xll.BDH(config!$G$4,N$1,$A912,$A912),_xll.BDH(config!$G$5,N$1,$A912,$A912))))</f>
        <v/>
      </c>
      <c r="O912" s="8" t="str">
        <f>IF($A912="","",IF(ISNUMBER(FIND("IMPVOL",O$1)),_xll.BDH(config!$G$4,O$1,WORKDAY($A912,-1,config_Holiday_Calendar_US),WORKDAY($A912,-1,config_Holiday_Calendar_US)),IF(ISNUMBER(_xll.BDH(config!$G$4,O$1,$A912,$A912)),_xll.BDH(config!$G$4,O$1,$A912,$A912),_xll.BDH(config!$G$5,O$1,$A912,$A912))))</f>
        <v/>
      </c>
      <c r="P912" s="8" t="str">
        <f>IF($A912="","",IF(ISNUMBER(FIND("IMPVOL",P$1)),_xll.BDH(config!$G$4,P$1,WORKDAY($A912,-1,config_Holiday_Calendar_US),WORKDAY($A912,-1,config_Holiday_Calendar_US)),IF(ISNUMBER(_xll.BDH(config!$G$4,P$1,$A912,$A912)),_xll.BDH(config!$G$4,P$1,$A912,$A912),_xll.BDH(config!$G$5,P$1,$A912,$A912))))</f>
        <v/>
      </c>
      <c r="Q912" s="8" t="str">
        <f>IF($A912="","",IF(ISNUMBER(FIND("IMPVOL",Q$1)),_xll.BDH(config!$G$4,Q$1,WORKDAY($A912,-1,config_Holiday_Calendar_US),WORKDAY($A912,-1,config_Holiday_Calendar_US)),IF(ISNUMBER(_xll.BDH(config!$G$4,Q$1,$A912,$A912)),_xll.BDH(config!$G$4,Q$1,$A912,$A912),_xll.BDH(config!$G$5,Q$1,$A912,$A912))))</f>
        <v/>
      </c>
      <c r="R912" s="8" t="str">
        <f>IF($A912="","",IF(ISNUMBER(FIND("IMPVOL",R$1)),_xll.BDH(config!$G$4,R$1,WORKDAY($A912,-1,config_Holiday_Calendar_US),WORKDAY($A912,-1,config_Holiday_Calendar_US)),IF(ISNUMBER(_xll.BDH(config!$G$4,R$1,$A912,$A912)),_xll.BDH(config!$G$4,R$1,$A912,$A912),_xll.BDH(config!$G$5,R$1,$A912,$A912))))</f>
        <v/>
      </c>
      <c r="S912" s="8" t="str">
        <f>IF($A912="","",IF(ISNUMBER(FIND("IMPVOL",S$1)),_xll.BDH(config!$G$4,S$1,WORKDAY($A912,-1,config_Holiday_Calendar_US),WORKDAY($A912,-1,config_Holiday_Calendar_US)),IF(ISNUMBER(_xll.BDH(config!$G$4,S$1,$A912,$A912)),_xll.BDH(config!$G$4,S$1,$A912,$A912),_xll.BDH(config!$G$5,S$1,$A912,$A912))))</f>
        <v/>
      </c>
      <c r="T912" s="8" t="str">
        <f>IF($A912="","",IF(ISNUMBER(FIND("IMPVOL",T$1)),_xll.BDH(config!$G$4,T$1,WORKDAY($A912,-1,config_Holiday_Calendar_US),WORKDAY($A912,-1,config_Holiday_Calendar_US)),IF(ISNUMBER(_xll.BDH(config!$G$4,T$1,$A912,$A912)),_xll.BDH(config!$G$4,T$1,$A912,$A912),_xll.BDH(config!$G$5,T$1,$A912,$A912))))</f>
        <v/>
      </c>
      <c r="U912" s="8" t="str">
        <f>IF($A912="","",IF(ISNUMBER(FIND("IMPVOL",U$1)),_xll.BDH(config!$G$4,U$1,WORKDAY($A912,-1,config_Holiday_Calendar_US),WORKDAY($A912,-1,config_Holiday_Calendar_US)),IF(ISNUMBER(_xll.BDH(config!$G$4,U$1,$A912,$A912)),_xll.BDH(config!$G$4,U$1,$A912,$A912),_xll.BDH(config!$G$5,U$1,$A912,$A912))))</f>
        <v/>
      </c>
      <c r="V912" s="8" t="str">
        <f>IF($A912="","",IF(ISNUMBER(FIND("IMPVOL",V$1)),_xll.BDH(config!$G$4,V$1,WORKDAY($A912,-1,config_Holiday_Calendar_US),WORKDAY($A912,-1,config_Holiday_Calendar_US)),IF(ISNUMBER(_xll.BDH(config!$G$4,V$1,$A912,$A912)),_xll.BDH(config!$G$4,V$1,$A912,$A912),_xll.BDH(config!$G$5,V$1,$A912,$A912))))</f>
        <v/>
      </c>
      <c r="W912" s="8" t="str">
        <f>IF($A912="","",IF(ISNUMBER(FIND("IMPVOL",W$1)),_xll.BDH(config!$G$4,W$1,WORKDAY($A912,-1,config_Holiday_Calendar_US),WORKDAY($A912,-1,config_Holiday_Calendar_US)),IF(ISNUMBER(_xll.BDH(config!$G$4,W$1,$A912,$A912)),_xll.BDH(config!$G$4,W$1,$A912,$A912),_xll.BDH(config!$G$5,W$1,$A912,$A912))))</f>
        <v/>
      </c>
    </row>
    <row r="913" spans="1:23" x14ac:dyDescent="0.2">
      <c r="A913" s="9" t="str">
        <f>IF(A912="","",IF(WORKDAY(A912,-1,config_Holiday_Calendar_US)&lt;config!$I$10,"",WORKDAY(A912,-1,config_Holiday_Calendar_US)))</f>
        <v/>
      </c>
      <c r="B913" s="8" t="str">
        <f t="shared" si="14"/>
        <v/>
      </c>
      <c r="C913" s="8" t="str">
        <f>IF(A913="","",_xll.BDH(config!$H$4,C$1,$A913,$A913))</f>
        <v/>
      </c>
      <c r="D913" s="8" t="str">
        <f>IF($A913="","",_xll.BDH(config!$H$4,D$1,$A913,$A913))</f>
        <v/>
      </c>
      <c r="E913" s="8" t="str">
        <f>IF($A913="","",IF(ISNUMBER(FIND("IMPVOL",E$1)),_xll.BDH(config!$G$4,E$1,WORKDAY($A913,-1,config_Holiday_Calendar_US),WORKDAY($A913,-1,config_Holiday_Calendar_US)),IF(ISNUMBER(_xll.BDH(config!$G$4,E$1,$A913,$A913)),_xll.BDH(config!$G$4,E$1,$A913,$A913),_xll.BDH(config!$G$5,E$1,$A913,$A913))))</f>
        <v/>
      </c>
      <c r="F913" s="8" t="str">
        <f>IF($A913="","",IF(ISNUMBER(FIND("IMPVOL",F$1)),_xll.BDH(config!$G$4,F$1,WORKDAY($A913,-1,config_Holiday_Calendar_US),WORKDAY($A913,-1,config_Holiday_Calendar_US)),IF(ISNUMBER(_xll.BDH(config!$G$4,F$1,$A913,$A913)),_xll.BDH(config!$G$4,F$1,$A913,$A913),_xll.BDH(config!$G$5,F$1,$A913,$A913))))</f>
        <v/>
      </c>
      <c r="G913" s="8" t="str">
        <f>IF($A913="","",IF(ISNUMBER(FIND("IMPVOL",G$1)),_xll.BDH(config!$G$4,G$1,WORKDAY($A913,-1,config_Holiday_Calendar_US),WORKDAY($A913,-1,config_Holiday_Calendar_US)),IF(ISNUMBER(_xll.BDH(config!$G$4,G$1,$A913,$A913)),_xll.BDH(config!$G$4,G$1,$A913,$A913),_xll.BDH(config!$G$5,G$1,$A913,$A913))))</f>
        <v/>
      </c>
      <c r="H913" s="8" t="str">
        <f>IF($A913="","",IF(ISNUMBER(FIND("IMPVOL",H$1)),_xll.BDH(config!$G$4,H$1,WORKDAY($A913,-1,config_Holiday_Calendar_US),WORKDAY($A913,-1,config_Holiday_Calendar_US)),IF(ISNUMBER(_xll.BDH(config!$G$4,H$1,$A913,$A913)),_xll.BDH(config!$G$4,H$1,$A913,$A913),_xll.BDH(config!$G$5,H$1,$A913,$A913))))</f>
        <v/>
      </c>
      <c r="I913" s="8" t="str">
        <f>IF($A913="","",IF(ISNUMBER(FIND("IMPVOL",I$1)),_xll.BDH(config!$G$4,I$1,WORKDAY($A913,-1,config_Holiday_Calendar_US),WORKDAY($A913,-1,config_Holiday_Calendar_US)),IF(ISNUMBER(_xll.BDH(config!$G$4,I$1,$A913,$A913)),_xll.BDH(config!$G$4,I$1,$A913,$A913),_xll.BDH(config!$G$5,I$1,$A913,$A913))))</f>
        <v/>
      </c>
      <c r="J913" s="8" t="str">
        <f>IF($A913="","",IF(ISNUMBER(FIND("IMPVOL",J$1)),_xll.BDH(config!$G$4,J$1,WORKDAY($A913,-1,config_Holiday_Calendar_US),WORKDAY($A913,-1,config_Holiday_Calendar_US)),IF(ISNUMBER(_xll.BDH(config!$G$4,J$1,$A913,$A913)),_xll.BDH(config!$G$4,J$1,$A913,$A913),_xll.BDH(config!$G$5,J$1,$A913,$A913))))</f>
        <v/>
      </c>
      <c r="K913" s="8" t="str">
        <f>IF($A913="","",IF(ISNUMBER(FIND("IMPVOL",K$1)),_xll.BDH(config!$G$4,K$1,WORKDAY($A913,-1,config_Holiday_Calendar_US),WORKDAY($A913,-1,config_Holiday_Calendar_US)),IF(ISNUMBER(_xll.BDH(config!$G$4,K$1,$A913,$A913)),_xll.BDH(config!$G$4,K$1,$A913,$A913),_xll.BDH(config!$G$5,K$1,$A913,$A913))))</f>
        <v/>
      </c>
      <c r="L913" s="8" t="str">
        <f>IF($A913="","",IF(ISNUMBER(FIND("IMPVOL",L$1)),_xll.BDH(config!$G$4,L$1,WORKDAY($A913,-1,config_Holiday_Calendar_US),WORKDAY($A913,-1,config_Holiday_Calendar_US)),IF(ISNUMBER(_xll.BDH(config!$G$4,L$1,$A913,$A913)),_xll.BDH(config!$G$4,L$1,$A913,$A913),_xll.BDH(config!$G$5,L$1,$A913,$A913))))</f>
        <v/>
      </c>
      <c r="M913" s="8" t="str">
        <f>IF($A913="","",IF(ISNUMBER(FIND("IMPVOL",M$1)),_xll.BDH(config!$G$4,M$1,WORKDAY($A913,-1,config_Holiday_Calendar_US),WORKDAY($A913,-1,config_Holiday_Calendar_US)),IF(ISNUMBER(_xll.BDH(config!$G$4,M$1,$A913,$A913)),_xll.BDH(config!$G$4,M$1,$A913,$A913),_xll.BDH(config!$G$5,M$1,$A913,$A913))))</f>
        <v/>
      </c>
      <c r="N913" s="8" t="str">
        <f>IF($A913="","",IF(ISNUMBER(FIND("IMPVOL",N$1)),_xll.BDH(config!$G$4,N$1,WORKDAY($A913,-1,config_Holiday_Calendar_US),WORKDAY($A913,-1,config_Holiday_Calendar_US)),IF(ISNUMBER(_xll.BDH(config!$G$4,N$1,$A913,$A913)),_xll.BDH(config!$G$4,N$1,$A913,$A913),_xll.BDH(config!$G$5,N$1,$A913,$A913))))</f>
        <v/>
      </c>
      <c r="O913" s="8" t="str">
        <f>IF($A913="","",IF(ISNUMBER(FIND("IMPVOL",O$1)),_xll.BDH(config!$G$4,O$1,WORKDAY($A913,-1,config_Holiday_Calendar_US),WORKDAY($A913,-1,config_Holiday_Calendar_US)),IF(ISNUMBER(_xll.BDH(config!$G$4,O$1,$A913,$A913)),_xll.BDH(config!$G$4,O$1,$A913,$A913),_xll.BDH(config!$G$5,O$1,$A913,$A913))))</f>
        <v/>
      </c>
      <c r="P913" s="8" t="str">
        <f>IF($A913="","",IF(ISNUMBER(FIND("IMPVOL",P$1)),_xll.BDH(config!$G$4,P$1,WORKDAY($A913,-1,config_Holiday_Calendar_US),WORKDAY($A913,-1,config_Holiday_Calendar_US)),IF(ISNUMBER(_xll.BDH(config!$G$4,P$1,$A913,$A913)),_xll.BDH(config!$G$4,P$1,$A913,$A913),_xll.BDH(config!$G$5,P$1,$A913,$A913))))</f>
        <v/>
      </c>
      <c r="Q913" s="8" t="str">
        <f>IF($A913="","",IF(ISNUMBER(FIND("IMPVOL",Q$1)),_xll.BDH(config!$G$4,Q$1,WORKDAY($A913,-1,config_Holiday_Calendar_US),WORKDAY($A913,-1,config_Holiday_Calendar_US)),IF(ISNUMBER(_xll.BDH(config!$G$4,Q$1,$A913,$A913)),_xll.BDH(config!$G$4,Q$1,$A913,$A913),_xll.BDH(config!$G$5,Q$1,$A913,$A913))))</f>
        <v/>
      </c>
      <c r="R913" s="8" t="str">
        <f>IF($A913="","",IF(ISNUMBER(FIND("IMPVOL",R$1)),_xll.BDH(config!$G$4,R$1,WORKDAY($A913,-1,config_Holiday_Calendar_US),WORKDAY($A913,-1,config_Holiday_Calendar_US)),IF(ISNUMBER(_xll.BDH(config!$G$4,R$1,$A913,$A913)),_xll.BDH(config!$G$4,R$1,$A913,$A913),_xll.BDH(config!$G$5,R$1,$A913,$A913))))</f>
        <v/>
      </c>
      <c r="S913" s="8" t="str">
        <f>IF($A913="","",IF(ISNUMBER(FIND("IMPVOL",S$1)),_xll.BDH(config!$G$4,S$1,WORKDAY($A913,-1,config_Holiday_Calendar_US),WORKDAY($A913,-1,config_Holiday_Calendar_US)),IF(ISNUMBER(_xll.BDH(config!$G$4,S$1,$A913,$A913)),_xll.BDH(config!$G$4,S$1,$A913,$A913),_xll.BDH(config!$G$5,S$1,$A913,$A913))))</f>
        <v/>
      </c>
      <c r="T913" s="8" t="str">
        <f>IF($A913="","",IF(ISNUMBER(FIND("IMPVOL",T$1)),_xll.BDH(config!$G$4,T$1,WORKDAY($A913,-1,config_Holiday_Calendar_US),WORKDAY($A913,-1,config_Holiday_Calendar_US)),IF(ISNUMBER(_xll.BDH(config!$G$4,T$1,$A913,$A913)),_xll.BDH(config!$G$4,T$1,$A913,$A913),_xll.BDH(config!$G$5,T$1,$A913,$A913))))</f>
        <v/>
      </c>
      <c r="U913" s="8" t="str">
        <f>IF($A913="","",IF(ISNUMBER(FIND("IMPVOL",U$1)),_xll.BDH(config!$G$4,U$1,WORKDAY($A913,-1,config_Holiday_Calendar_US),WORKDAY($A913,-1,config_Holiday_Calendar_US)),IF(ISNUMBER(_xll.BDH(config!$G$4,U$1,$A913,$A913)),_xll.BDH(config!$G$4,U$1,$A913,$A913),_xll.BDH(config!$G$5,U$1,$A913,$A913))))</f>
        <v/>
      </c>
      <c r="V913" s="8" t="str">
        <f>IF($A913="","",IF(ISNUMBER(FIND("IMPVOL",V$1)),_xll.BDH(config!$G$4,V$1,WORKDAY($A913,-1,config_Holiday_Calendar_US),WORKDAY($A913,-1,config_Holiday_Calendar_US)),IF(ISNUMBER(_xll.BDH(config!$G$4,V$1,$A913,$A913)),_xll.BDH(config!$G$4,V$1,$A913,$A913),_xll.BDH(config!$G$5,V$1,$A913,$A913))))</f>
        <v/>
      </c>
      <c r="W913" s="8" t="str">
        <f>IF($A913="","",IF(ISNUMBER(FIND("IMPVOL",W$1)),_xll.BDH(config!$G$4,W$1,WORKDAY($A913,-1,config_Holiday_Calendar_US),WORKDAY($A913,-1,config_Holiday_Calendar_US)),IF(ISNUMBER(_xll.BDH(config!$G$4,W$1,$A913,$A913)),_xll.BDH(config!$G$4,W$1,$A913,$A913),_xll.BDH(config!$G$5,W$1,$A913,$A913))))</f>
        <v/>
      </c>
    </row>
    <row r="914" spans="1:23" x14ac:dyDescent="0.2">
      <c r="A914" s="9" t="str">
        <f>IF(A913="","",IF(WORKDAY(A913,-1,config_Holiday_Calendar_US)&lt;config!$I$10,"",WORKDAY(A913,-1,config_Holiday_Calendar_US)))</f>
        <v/>
      </c>
      <c r="B914" s="8" t="str">
        <f t="shared" si="14"/>
        <v/>
      </c>
      <c r="C914" s="8" t="str">
        <f>IF(A914="","",_xll.BDH(config!$H$4,C$1,$A914,$A914))</f>
        <v/>
      </c>
      <c r="D914" s="8" t="str">
        <f>IF($A914="","",_xll.BDH(config!$H$4,D$1,$A914,$A914))</f>
        <v/>
      </c>
      <c r="E914" s="8" t="str">
        <f>IF($A914="","",IF(ISNUMBER(FIND("IMPVOL",E$1)),_xll.BDH(config!$G$4,E$1,WORKDAY($A914,-1,config_Holiday_Calendar_US),WORKDAY($A914,-1,config_Holiday_Calendar_US)),IF(ISNUMBER(_xll.BDH(config!$G$4,E$1,$A914,$A914)),_xll.BDH(config!$G$4,E$1,$A914,$A914),_xll.BDH(config!$G$5,E$1,$A914,$A914))))</f>
        <v/>
      </c>
      <c r="F914" s="8" t="str">
        <f>IF($A914="","",IF(ISNUMBER(FIND("IMPVOL",F$1)),_xll.BDH(config!$G$4,F$1,WORKDAY($A914,-1,config_Holiday_Calendar_US),WORKDAY($A914,-1,config_Holiday_Calendar_US)),IF(ISNUMBER(_xll.BDH(config!$G$4,F$1,$A914,$A914)),_xll.BDH(config!$G$4,F$1,$A914,$A914),_xll.BDH(config!$G$5,F$1,$A914,$A914))))</f>
        <v/>
      </c>
      <c r="G914" s="8" t="str">
        <f>IF($A914="","",IF(ISNUMBER(FIND("IMPVOL",G$1)),_xll.BDH(config!$G$4,G$1,WORKDAY($A914,-1,config_Holiday_Calendar_US),WORKDAY($A914,-1,config_Holiday_Calendar_US)),IF(ISNUMBER(_xll.BDH(config!$G$4,G$1,$A914,$A914)),_xll.BDH(config!$G$4,G$1,$A914,$A914),_xll.BDH(config!$G$5,G$1,$A914,$A914))))</f>
        <v/>
      </c>
      <c r="H914" s="8" t="str">
        <f>IF($A914="","",IF(ISNUMBER(FIND("IMPVOL",H$1)),_xll.BDH(config!$G$4,H$1,WORKDAY($A914,-1,config_Holiday_Calendar_US),WORKDAY($A914,-1,config_Holiday_Calendar_US)),IF(ISNUMBER(_xll.BDH(config!$G$4,H$1,$A914,$A914)),_xll.BDH(config!$G$4,H$1,$A914,$A914),_xll.BDH(config!$G$5,H$1,$A914,$A914))))</f>
        <v/>
      </c>
      <c r="I914" s="8" t="str">
        <f>IF($A914="","",IF(ISNUMBER(FIND("IMPVOL",I$1)),_xll.BDH(config!$G$4,I$1,WORKDAY($A914,-1,config_Holiday_Calendar_US),WORKDAY($A914,-1,config_Holiday_Calendar_US)),IF(ISNUMBER(_xll.BDH(config!$G$4,I$1,$A914,$A914)),_xll.BDH(config!$G$4,I$1,$A914,$A914),_xll.BDH(config!$G$5,I$1,$A914,$A914))))</f>
        <v/>
      </c>
      <c r="J914" s="8" t="str">
        <f>IF($A914="","",IF(ISNUMBER(FIND("IMPVOL",J$1)),_xll.BDH(config!$G$4,J$1,WORKDAY($A914,-1,config_Holiday_Calendar_US),WORKDAY($A914,-1,config_Holiday_Calendar_US)),IF(ISNUMBER(_xll.BDH(config!$G$4,J$1,$A914,$A914)),_xll.BDH(config!$G$4,J$1,$A914,$A914),_xll.BDH(config!$G$5,J$1,$A914,$A914))))</f>
        <v/>
      </c>
      <c r="K914" s="8" t="str">
        <f>IF($A914="","",IF(ISNUMBER(FIND("IMPVOL",K$1)),_xll.BDH(config!$G$4,K$1,WORKDAY($A914,-1,config_Holiday_Calendar_US),WORKDAY($A914,-1,config_Holiday_Calendar_US)),IF(ISNUMBER(_xll.BDH(config!$G$4,K$1,$A914,$A914)),_xll.BDH(config!$G$4,K$1,$A914,$A914),_xll.BDH(config!$G$5,K$1,$A914,$A914))))</f>
        <v/>
      </c>
      <c r="L914" s="8" t="str">
        <f>IF($A914="","",IF(ISNUMBER(FIND("IMPVOL",L$1)),_xll.BDH(config!$G$4,L$1,WORKDAY($A914,-1,config_Holiday_Calendar_US),WORKDAY($A914,-1,config_Holiday_Calendar_US)),IF(ISNUMBER(_xll.BDH(config!$G$4,L$1,$A914,$A914)),_xll.BDH(config!$G$4,L$1,$A914,$A914),_xll.BDH(config!$G$5,L$1,$A914,$A914))))</f>
        <v/>
      </c>
      <c r="M914" s="8" t="str">
        <f>IF($A914="","",IF(ISNUMBER(FIND("IMPVOL",M$1)),_xll.BDH(config!$G$4,M$1,WORKDAY($A914,-1,config_Holiday_Calendar_US),WORKDAY($A914,-1,config_Holiday_Calendar_US)),IF(ISNUMBER(_xll.BDH(config!$G$4,M$1,$A914,$A914)),_xll.BDH(config!$G$4,M$1,$A914,$A914),_xll.BDH(config!$G$5,M$1,$A914,$A914))))</f>
        <v/>
      </c>
      <c r="N914" s="8" t="str">
        <f>IF($A914="","",IF(ISNUMBER(FIND("IMPVOL",N$1)),_xll.BDH(config!$G$4,N$1,WORKDAY($A914,-1,config_Holiday_Calendar_US),WORKDAY($A914,-1,config_Holiday_Calendar_US)),IF(ISNUMBER(_xll.BDH(config!$G$4,N$1,$A914,$A914)),_xll.BDH(config!$G$4,N$1,$A914,$A914),_xll.BDH(config!$G$5,N$1,$A914,$A914))))</f>
        <v/>
      </c>
      <c r="O914" s="8" t="str">
        <f>IF($A914="","",IF(ISNUMBER(FIND("IMPVOL",O$1)),_xll.BDH(config!$G$4,O$1,WORKDAY($A914,-1,config_Holiday_Calendar_US),WORKDAY($A914,-1,config_Holiday_Calendar_US)),IF(ISNUMBER(_xll.BDH(config!$G$4,O$1,$A914,$A914)),_xll.BDH(config!$G$4,O$1,$A914,$A914),_xll.BDH(config!$G$5,O$1,$A914,$A914))))</f>
        <v/>
      </c>
      <c r="P914" s="8" t="str">
        <f>IF($A914="","",IF(ISNUMBER(FIND("IMPVOL",P$1)),_xll.BDH(config!$G$4,P$1,WORKDAY($A914,-1,config_Holiday_Calendar_US),WORKDAY($A914,-1,config_Holiday_Calendar_US)),IF(ISNUMBER(_xll.BDH(config!$G$4,P$1,$A914,$A914)),_xll.BDH(config!$G$4,P$1,$A914,$A914),_xll.BDH(config!$G$5,P$1,$A914,$A914))))</f>
        <v/>
      </c>
      <c r="Q914" s="8" t="str">
        <f>IF($A914="","",IF(ISNUMBER(FIND("IMPVOL",Q$1)),_xll.BDH(config!$G$4,Q$1,WORKDAY($A914,-1,config_Holiday_Calendar_US),WORKDAY($A914,-1,config_Holiday_Calendar_US)),IF(ISNUMBER(_xll.BDH(config!$G$4,Q$1,$A914,$A914)),_xll.BDH(config!$G$4,Q$1,$A914,$A914),_xll.BDH(config!$G$5,Q$1,$A914,$A914))))</f>
        <v/>
      </c>
      <c r="R914" s="8" t="str">
        <f>IF($A914="","",IF(ISNUMBER(FIND("IMPVOL",R$1)),_xll.BDH(config!$G$4,R$1,WORKDAY($A914,-1,config_Holiday_Calendar_US),WORKDAY($A914,-1,config_Holiday_Calendar_US)),IF(ISNUMBER(_xll.BDH(config!$G$4,R$1,$A914,$A914)),_xll.BDH(config!$G$4,R$1,$A914,$A914),_xll.BDH(config!$G$5,R$1,$A914,$A914))))</f>
        <v/>
      </c>
      <c r="S914" s="8" t="str">
        <f>IF($A914="","",IF(ISNUMBER(FIND("IMPVOL",S$1)),_xll.BDH(config!$G$4,S$1,WORKDAY($A914,-1,config_Holiday_Calendar_US),WORKDAY($A914,-1,config_Holiday_Calendar_US)),IF(ISNUMBER(_xll.BDH(config!$G$4,S$1,$A914,$A914)),_xll.BDH(config!$G$4,S$1,$A914,$A914),_xll.BDH(config!$G$5,S$1,$A914,$A914))))</f>
        <v/>
      </c>
      <c r="T914" s="8" t="str">
        <f>IF($A914="","",IF(ISNUMBER(FIND("IMPVOL",T$1)),_xll.BDH(config!$G$4,T$1,WORKDAY($A914,-1,config_Holiday_Calendar_US),WORKDAY($A914,-1,config_Holiday_Calendar_US)),IF(ISNUMBER(_xll.BDH(config!$G$4,T$1,$A914,$A914)),_xll.BDH(config!$G$4,T$1,$A914,$A914),_xll.BDH(config!$G$5,T$1,$A914,$A914))))</f>
        <v/>
      </c>
      <c r="U914" s="8" t="str">
        <f>IF($A914="","",IF(ISNUMBER(FIND("IMPVOL",U$1)),_xll.BDH(config!$G$4,U$1,WORKDAY($A914,-1,config_Holiday_Calendar_US),WORKDAY($A914,-1,config_Holiday_Calendar_US)),IF(ISNUMBER(_xll.BDH(config!$G$4,U$1,$A914,$A914)),_xll.BDH(config!$G$4,U$1,$A914,$A914),_xll.BDH(config!$G$5,U$1,$A914,$A914))))</f>
        <v/>
      </c>
      <c r="V914" s="8" t="str">
        <f>IF($A914="","",IF(ISNUMBER(FIND("IMPVOL",V$1)),_xll.BDH(config!$G$4,V$1,WORKDAY($A914,-1,config_Holiday_Calendar_US),WORKDAY($A914,-1,config_Holiday_Calendar_US)),IF(ISNUMBER(_xll.BDH(config!$G$4,V$1,$A914,$A914)),_xll.BDH(config!$G$4,V$1,$A914,$A914),_xll.BDH(config!$G$5,V$1,$A914,$A914))))</f>
        <v/>
      </c>
      <c r="W914" s="8" t="str">
        <f>IF($A914="","",IF(ISNUMBER(FIND("IMPVOL",W$1)),_xll.BDH(config!$G$4,W$1,WORKDAY($A914,-1,config_Holiday_Calendar_US),WORKDAY($A914,-1,config_Holiday_Calendar_US)),IF(ISNUMBER(_xll.BDH(config!$G$4,W$1,$A914,$A914)),_xll.BDH(config!$G$4,W$1,$A914,$A914),_xll.BDH(config!$G$5,W$1,$A914,$A914))))</f>
        <v/>
      </c>
    </row>
    <row r="915" spans="1:23" x14ac:dyDescent="0.2">
      <c r="A915" s="9" t="str">
        <f>IF(A914="","",IF(WORKDAY(A914,-1,config_Holiday_Calendar_US)&lt;config!$I$10,"",WORKDAY(A914,-1,config_Holiday_Calendar_US)))</f>
        <v/>
      </c>
      <c r="B915" s="8" t="str">
        <f t="shared" si="14"/>
        <v/>
      </c>
      <c r="C915" s="8" t="str">
        <f>IF(A915="","",_xll.BDH(config!$H$4,C$1,$A915,$A915))</f>
        <v/>
      </c>
      <c r="D915" s="8" t="str">
        <f>IF($A915="","",_xll.BDH(config!$H$4,D$1,$A915,$A915))</f>
        <v/>
      </c>
      <c r="E915" s="8" t="str">
        <f>IF($A915="","",IF(ISNUMBER(FIND("IMPVOL",E$1)),_xll.BDH(config!$G$4,E$1,WORKDAY($A915,-1,config_Holiday_Calendar_US),WORKDAY($A915,-1,config_Holiday_Calendar_US)),IF(ISNUMBER(_xll.BDH(config!$G$4,E$1,$A915,$A915)),_xll.BDH(config!$G$4,E$1,$A915,$A915),_xll.BDH(config!$G$5,E$1,$A915,$A915))))</f>
        <v/>
      </c>
      <c r="F915" s="8" t="str">
        <f>IF($A915="","",IF(ISNUMBER(FIND("IMPVOL",F$1)),_xll.BDH(config!$G$4,F$1,WORKDAY($A915,-1,config_Holiday_Calendar_US),WORKDAY($A915,-1,config_Holiday_Calendar_US)),IF(ISNUMBER(_xll.BDH(config!$G$4,F$1,$A915,$A915)),_xll.BDH(config!$G$4,F$1,$A915,$A915),_xll.BDH(config!$G$5,F$1,$A915,$A915))))</f>
        <v/>
      </c>
      <c r="G915" s="8" t="str">
        <f>IF($A915="","",IF(ISNUMBER(FIND("IMPVOL",G$1)),_xll.BDH(config!$G$4,G$1,WORKDAY($A915,-1,config_Holiday_Calendar_US),WORKDAY($A915,-1,config_Holiday_Calendar_US)),IF(ISNUMBER(_xll.BDH(config!$G$4,G$1,$A915,$A915)),_xll.BDH(config!$G$4,G$1,$A915,$A915),_xll.BDH(config!$G$5,G$1,$A915,$A915))))</f>
        <v/>
      </c>
      <c r="H915" s="8" t="str">
        <f>IF($A915="","",IF(ISNUMBER(FIND("IMPVOL",H$1)),_xll.BDH(config!$G$4,H$1,WORKDAY($A915,-1,config_Holiday_Calendar_US),WORKDAY($A915,-1,config_Holiday_Calendar_US)),IF(ISNUMBER(_xll.BDH(config!$G$4,H$1,$A915,$A915)),_xll.BDH(config!$G$4,H$1,$A915,$A915),_xll.BDH(config!$G$5,H$1,$A915,$A915))))</f>
        <v/>
      </c>
      <c r="I915" s="8" t="str">
        <f>IF($A915="","",IF(ISNUMBER(FIND("IMPVOL",I$1)),_xll.BDH(config!$G$4,I$1,WORKDAY($A915,-1,config_Holiday_Calendar_US),WORKDAY($A915,-1,config_Holiday_Calendar_US)),IF(ISNUMBER(_xll.BDH(config!$G$4,I$1,$A915,$A915)),_xll.BDH(config!$G$4,I$1,$A915,$A915),_xll.BDH(config!$G$5,I$1,$A915,$A915))))</f>
        <v/>
      </c>
      <c r="J915" s="8" t="str">
        <f>IF($A915="","",IF(ISNUMBER(FIND("IMPVOL",J$1)),_xll.BDH(config!$G$4,J$1,WORKDAY($A915,-1,config_Holiday_Calendar_US),WORKDAY($A915,-1,config_Holiday_Calendar_US)),IF(ISNUMBER(_xll.BDH(config!$G$4,J$1,$A915,$A915)),_xll.BDH(config!$G$4,J$1,$A915,$A915),_xll.BDH(config!$G$5,J$1,$A915,$A915))))</f>
        <v/>
      </c>
      <c r="K915" s="8" t="str">
        <f>IF($A915="","",IF(ISNUMBER(FIND("IMPVOL",K$1)),_xll.BDH(config!$G$4,K$1,WORKDAY($A915,-1,config_Holiday_Calendar_US),WORKDAY($A915,-1,config_Holiday_Calendar_US)),IF(ISNUMBER(_xll.BDH(config!$G$4,K$1,$A915,$A915)),_xll.BDH(config!$G$4,K$1,$A915,$A915),_xll.BDH(config!$G$5,K$1,$A915,$A915))))</f>
        <v/>
      </c>
      <c r="L915" s="8" t="str">
        <f>IF($A915="","",IF(ISNUMBER(FIND("IMPVOL",L$1)),_xll.BDH(config!$G$4,L$1,WORKDAY($A915,-1,config_Holiday_Calendar_US),WORKDAY($A915,-1,config_Holiday_Calendar_US)),IF(ISNUMBER(_xll.BDH(config!$G$4,L$1,$A915,$A915)),_xll.BDH(config!$G$4,L$1,$A915,$A915),_xll.BDH(config!$G$5,L$1,$A915,$A915))))</f>
        <v/>
      </c>
      <c r="M915" s="8" t="str">
        <f>IF($A915="","",IF(ISNUMBER(FIND("IMPVOL",M$1)),_xll.BDH(config!$G$4,M$1,WORKDAY($A915,-1,config_Holiday_Calendar_US),WORKDAY($A915,-1,config_Holiday_Calendar_US)),IF(ISNUMBER(_xll.BDH(config!$G$4,M$1,$A915,$A915)),_xll.BDH(config!$G$4,M$1,$A915,$A915),_xll.BDH(config!$G$5,M$1,$A915,$A915))))</f>
        <v/>
      </c>
      <c r="N915" s="8" t="str">
        <f>IF($A915="","",IF(ISNUMBER(FIND("IMPVOL",N$1)),_xll.BDH(config!$G$4,N$1,WORKDAY($A915,-1,config_Holiday_Calendar_US),WORKDAY($A915,-1,config_Holiday_Calendar_US)),IF(ISNUMBER(_xll.BDH(config!$G$4,N$1,$A915,$A915)),_xll.BDH(config!$G$4,N$1,$A915,$A915),_xll.BDH(config!$G$5,N$1,$A915,$A915))))</f>
        <v/>
      </c>
      <c r="O915" s="8" t="str">
        <f>IF($A915="","",IF(ISNUMBER(FIND("IMPVOL",O$1)),_xll.BDH(config!$G$4,O$1,WORKDAY($A915,-1,config_Holiday_Calendar_US),WORKDAY($A915,-1,config_Holiday_Calendar_US)),IF(ISNUMBER(_xll.BDH(config!$G$4,O$1,$A915,$A915)),_xll.BDH(config!$G$4,O$1,$A915,$A915),_xll.BDH(config!$G$5,O$1,$A915,$A915))))</f>
        <v/>
      </c>
      <c r="P915" s="8" t="str">
        <f>IF($A915="","",IF(ISNUMBER(FIND("IMPVOL",P$1)),_xll.BDH(config!$G$4,P$1,WORKDAY($A915,-1,config_Holiday_Calendar_US),WORKDAY($A915,-1,config_Holiday_Calendar_US)),IF(ISNUMBER(_xll.BDH(config!$G$4,P$1,$A915,$A915)),_xll.BDH(config!$G$4,P$1,$A915,$A915),_xll.BDH(config!$G$5,P$1,$A915,$A915))))</f>
        <v/>
      </c>
      <c r="Q915" s="8" t="str">
        <f>IF($A915="","",IF(ISNUMBER(FIND("IMPVOL",Q$1)),_xll.BDH(config!$G$4,Q$1,WORKDAY($A915,-1,config_Holiday_Calendar_US),WORKDAY($A915,-1,config_Holiday_Calendar_US)),IF(ISNUMBER(_xll.BDH(config!$G$4,Q$1,$A915,$A915)),_xll.BDH(config!$G$4,Q$1,$A915,$A915),_xll.BDH(config!$G$5,Q$1,$A915,$A915))))</f>
        <v/>
      </c>
      <c r="R915" s="8" t="str">
        <f>IF($A915="","",IF(ISNUMBER(FIND("IMPVOL",R$1)),_xll.BDH(config!$G$4,R$1,WORKDAY($A915,-1,config_Holiday_Calendar_US),WORKDAY($A915,-1,config_Holiday_Calendar_US)),IF(ISNUMBER(_xll.BDH(config!$G$4,R$1,$A915,$A915)),_xll.BDH(config!$G$4,R$1,$A915,$A915),_xll.BDH(config!$G$5,R$1,$A915,$A915))))</f>
        <v/>
      </c>
      <c r="S915" s="8" t="str">
        <f>IF($A915="","",IF(ISNUMBER(FIND("IMPVOL",S$1)),_xll.BDH(config!$G$4,S$1,WORKDAY($A915,-1,config_Holiday_Calendar_US),WORKDAY($A915,-1,config_Holiday_Calendar_US)),IF(ISNUMBER(_xll.BDH(config!$G$4,S$1,$A915,$A915)),_xll.BDH(config!$G$4,S$1,$A915,$A915),_xll.BDH(config!$G$5,S$1,$A915,$A915))))</f>
        <v/>
      </c>
      <c r="T915" s="8" t="str">
        <f>IF($A915="","",IF(ISNUMBER(FIND("IMPVOL",T$1)),_xll.BDH(config!$G$4,T$1,WORKDAY($A915,-1,config_Holiday_Calendar_US),WORKDAY($A915,-1,config_Holiday_Calendar_US)),IF(ISNUMBER(_xll.BDH(config!$G$4,T$1,$A915,$A915)),_xll.BDH(config!$G$4,T$1,$A915,$A915),_xll.BDH(config!$G$5,T$1,$A915,$A915))))</f>
        <v/>
      </c>
      <c r="U915" s="8" t="str">
        <f>IF($A915="","",IF(ISNUMBER(FIND("IMPVOL",U$1)),_xll.BDH(config!$G$4,U$1,WORKDAY($A915,-1,config_Holiday_Calendar_US),WORKDAY($A915,-1,config_Holiday_Calendar_US)),IF(ISNUMBER(_xll.BDH(config!$G$4,U$1,$A915,$A915)),_xll.BDH(config!$G$4,U$1,$A915,$A915),_xll.BDH(config!$G$5,U$1,$A915,$A915))))</f>
        <v/>
      </c>
      <c r="V915" s="8" t="str">
        <f>IF($A915="","",IF(ISNUMBER(FIND("IMPVOL",V$1)),_xll.BDH(config!$G$4,V$1,WORKDAY($A915,-1,config_Holiday_Calendar_US),WORKDAY($A915,-1,config_Holiday_Calendar_US)),IF(ISNUMBER(_xll.BDH(config!$G$4,V$1,$A915,$A915)),_xll.BDH(config!$G$4,V$1,$A915,$A915),_xll.BDH(config!$G$5,V$1,$A915,$A915))))</f>
        <v/>
      </c>
      <c r="W915" s="8" t="str">
        <f>IF($A915="","",IF(ISNUMBER(FIND("IMPVOL",W$1)),_xll.BDH(config!$G$4,W$1,WORKDAY($A915,-1,config_Holiday_Calendar_US),WORKDAY($A915,-1,config_Holiday_Calendar_US)),IF(ISNUMBER(_xll.BDH(config!$G$4,W$1,$A915,$A915)),_xll.BDH(config!$G$4,W$1,$A915,$A915),_xll.BDH(config!$G$5,W$1,$A915,$A915))))</f>
        <v/>
      </c>
    </row>
    <row r="916" spans="1:23" x14ac:dyDescent="0.2">
      <c r="A916" s="9" t="str">
        <f>IF(A915="","",IF(WORKDAY(A915,-1,config_Holiday_Calendar_US)&lt;config!$I$10,"",WORKDAY(A915,-1,config_Holiday_Calendar_US)))</f>
        <v/>
      </c>
      <c r="B916" s="8" t="str">
        <f t="shared" si="14"/>
        <v/>
      </c>
      <c r="C916" s="8" t="str">
        <f>IF(A916="","",_xll.BDH(config!$H$4,C$1,$A916,$A916))</f>
        <v/>
      </c>
      <c r="D916" s="8" t="str">
        <f>IF($A916="","",_xll.BDH(config!$H$4,D$1,$A916,$A916))</f>
        <v/>
      </c>
      <c r="E916" s="8" t="str">
        <f>IF($A916="","",IF(ISNUMBER(FIND("IMPVOL",E$1)),_xll.BDH(config!$G$4,E$1,WORKDAY($A916,-1,config_Holiday_Calendar_US),WORKDAY($A916,-1,config_Holiday_Calendar_US)),IF(ISNUMBER(_xll.BDH(config!$G$4,E$1,$A916,$A916)),_xll.BDH(config!$G$4,E$1,$A916,$A916),_xll.BDH(config!$G$5,E$1,$A916,$A916))))</f>
        <v/>
      </c>
      <c r="F916" s="8" t="str">
        <f>IF($A916="","",IF(ISNUMBER(FIND("IMPVOL",F$1)),_xll.BDH(config!$G$4,F$1,WORKDAY($A916,-1,config_Holiday_Calendar_US),WORKDAY($A916,-1,config_Holiday_Calendar_US)),IF(ISNUMBER(_xll.BDH(config!$G$4,F$1,$A916,$A916)),_xll.BDH(config!$G$4,F$1,$A916,$A916),_xll.BDH(config!$G$5,F$1,$A916,$A916))))</f>
        <v/>
      </c>
      <c r="G916" s="8" t="str">
        <f>IF($A916="","",IF(ISNUMBER(FIND("IMPVOL",G$1)),_xll.BDH(config!$G$4,G$1,WORKDAY($A916,-1,config_Holiday_Calendar_US),WORKDAY($A916,-1,config_Holiday_Calendar_US)),IF(ISNUMBER(_xll.BDH(config!$G$4,G$1,$A916,$A916)),_xll.BDH(config!$G$4,G$1,$A916,$A916),_xll.BDH(config!$G$5,G$1,$A916,$A916))))</f>
        <v/>
      </c>
      <c r="H916" s="8" t="str">
        <f>IF($A916="","",IF(ISNUMBER(FIND("IMPVOL",H$1)),_xll.BDH(config!$G$4,H$1,WORKDAY($A916,-1,config_Holiday_Calendar_US),WORKDAY($A916,-1,config_Holiday_Calendar_US)),IF(ISNUMBER(_xll.BDH(config!$G$4,H$1,$A916,$A916)),_xll.BDH(config!$G$4,H$1,$A916,$A916),_xll.BDH(config!$G$5,H$1,$A916,$A916))))</f>
        <v/>
      </c>
      <c r="I916" s="8" t="str">
        <f>IF($A916="","",IF(ISNUMBER(FIND("IMPVOL",I$1)),_xll.BDH(config!$G$4,I$1,WORKDAY($A916,-1,config_Holiday_Calendar_US),WORKDAY($A916,-1,config_Holiday_Calendar_US)),IF(ISNUMBER(_xll.BDH(config!$G$4,I$1,$A916,$A916)),_xll.BDH(config!$G$4,I$1,$A916,$A916),_xll.BDH(config!$G$5,I$1,$A916,$A916))))</f>
        <v/>
      </c>
      <c r="J916" s="8" t="str">
        <f>IF($A916="","",IF(ISNUMBER(FIND("IMPVOL",J$1)),_xll.BDH(config!$G$4,J$1,WORKDAY($A916,-1,config_Holiday_Calendar_US),WORKDAY($A916,-1,config_Holiday_Calendar_US)),IF(ISNUMBER(_xll.BDH(config!$G$4,J$1,$A916,$A916)),_xll.BDH(config!$G$4,J$1,$A916,$A916),_xll.BDH(config!$G$5,J$1,$A916,$A916))))</f>
        <v/>
      </c>
      <c r="K916" s="8" t="str">
        <f>IF($A916="","",IF(ISNUMBER(FIND("IMPVOL",K$1)),_xll.BDH(config!$G$4,K$1,WORKDAY($A916,-1,config_Holiday_Calendar_US),WORKDAY($A916,-1,config_Holiday_Calendar_US)),IF(ISNUMBER(_xll.BDH(config!$G$4,K$1,$A916,$A916)),_xll.BDH(config!$G$4,K$1,$A916,$A916),_xll.BDH(config!$G$5,K$1,$A916,$A916))))</f>
        <v/>
      </c>
      <c r="L916" s="8" t="str">
        <f>IF($A916="","",IF(ISNUMBER(FIND("IMPVOL",L$1)),_xll.BDH(config!$G$4,L$1,WORKDAY($A916,-1,config_Holiday_Calendar_US),WORKDAY($A916,-1,config_Holiday_Calendar_US)),IF(ISNUMBER(_xll.BDH(config!$G$4,L$1,$A916,$A916)),_xll.BDH(config!$G$4,L$1,$A916,$A916),_xll.BDH(config!$G$5,L$1,$A916,$A916))))</f>
        <v/>
      </c>
      <c r="M916" s="8" t="str">
        <f>IF($A916="","",IF(ISNUMBER(FIND("IMPVOL",M$1)),_xll.BDH(config!$G$4,M$1,WORKDAY($A916,-1,config_Holiday_Calendar_US),WORKDAY($A916,-1,config_Holiday_Calendar_US)),IF(ISNUMBER(_xll.BDH(config!$G$4,M$1,$A916,$A916)),_xll.BDH(config!$G$4,M$1,$A916,$A916),_xll.BDH(config!$G$5,M$1,$A916,$A916))))</f>
        <v/>
      </c>
      <c r="N916" s="8" t="str">
        <f>IF($A916="","",IF(ISNUMBER(FIND("IMPVOL",N$1)),_xll.BDH(config!$G$4,N$1,WORKDAY($A916,-1,config_Holiday_Calendar_US),WORKDAY($A916,-1,config_Holiday_Calendar_US)),IF(ISNUMBER(_xll.BDH(config!$G$4,N$1,$A916,$A916)),_xll.BDH(config!$G$4,N$1,$A916,$A916),_xll.BDH(config!$G$5,N$1,$A916,$A916))))</f>
        <v/>
      </c>
      <c r="O916" s="8" t="str">
        <f>IF($A916="","",IF(ISNUMBER(FIND("IMPVOL",O$1)),_xll.BDH(config!$G$4,O$1,WORKDAY($A916,-1,config_Holiday_Calendar_US),WORKDAY($A916,-1,config_Holiday_Calendar_US)),IF(ISNUMBER(_xll.BDH(config!$G$4,O$1,$A916,$A916)),_xll.BDH(config!$G$4,O$1,$A916,$A916),_xll.BDH(config!$G$5,O$1,$A916,$A916))))</f>
        <v/>
      </c>
      <c r="P916" s="8" t="str">
        <f>IF($A916="","",IF(ISNUMBER(FIND("IMPVOL",P$1)),_xll.BDH(config!$G$4,P$1,WORKDAY($A916,-1,config_Holiday_Calendar_US),WORKDAY($A916,-1,config_Holiday_Calendar_US)),IF(ISNUMBER(_xll.BDH(config!$G$4,P$1,$A916,$A916)),_xll.BDH(config!$G$4,P$1,$A916,$A916),_xll.BDH(config!$G$5,P$1,$A916,$A916))))</f>
        <v/>
      </c>
      <c r="Q916" s="8" t="str">
        <f>IF($A916="","",IF(ISNUMBER(FIND("IMPVOL",Q$1)),_xll.BDH(config!$G$4,Q$1,WORKDAY($A916,-1,config_Holiday_Calendar_US),WORKDAY($A916,-1,config_Holiday_Calendar_US)),IF(ISNUMBER(_xll.BDH(config!$G$4,Q$1,$A916,$A916)),_xll.BDH(config!$G$4,Q$1,$A916,$A916),_xll.BDH(config!$G$5,Q$1,$A916,$A916))))</f>
        <v/>
      </c>
      <c r="R916" s="8" t="str">
        <f>IF($A916="","",IF(ISNUMBER(FIND("IMPVOL",R$1)),_xll.BDH(config!$G$4,R$1,WORKDAY($A916,-1,config_Holiday_Calendar_US),WORKDAY($A916,-1,config_Holiday_Calendar_US)),IF(ISNUMBER(_xll.BDH(config!$G$4,R$1,$A916,$A916)),_xll.BDH(config!$G$4,R$1,$A916,$A916),_xll.BDH(config!$G$5,R$1,$A916,$A916))))</f>
        <v/>
      </c>
      <c r="S916" s="8" t="str">
        <f>IF($A916="","",IF(ISNUMBER(FIND("IMPVOL",S$1)),_xll.BDH(config!$G$4,S$1,WORKDAY($A916,-1,config_Holiday_Calendar_US),WORKDAY($A916,-1,config_Holiday_Calendar_US)),IF(ISNUMBER(_xll.BDH(config!$G$4,S$1,$A916,$A916)),_xll.BDH(config!$G$4,S$1,$A916,$A916),_xll.BDH(config!$G$5,S$1,$A916,$A916))))</f>
        <v/>
      </c>
      <c r="T916" s="8" t="str">
        <f>IF($A916="","",IF(ISNUMBER(FIND("IMPVOL",T$1)),_xll.BDH(config!$G$4,T$1,WORKDAY($A916,-1,config_Holiday_Calendar_US),WORKDAY($A916,-1,config_Holiday_Calendar_US)),IF(ISNUMBER(_xll.BDH(config!$G$4,T$1,$A916,$A916)),_xll.BDH(config!$G$4,T$1,$A916,$A916),_xll.BDH(config!$G$5,T$1,$A916,$A916))))</f>
        <v/>
      </c>
      <c r="U916" s="8" t="str">
        <f>IF($A916="","",IF(ISNUMBER(FIND("IMPVOL",U$1)),_xll.BDH(config!$G$4,U$1,WORKDAY($A916,-1,config_Holiday_Calendar_US),WORKDAY($A916,-1,config_Holiday_Calendar_US)),IF(ISNUMBER(_xll.BDH(config!$G$4,U$1,$A916,$A916)),_xll.BDH(config!$G$4,U$1,$A916,$A916),_xll.BDH(config!$G$5,U$1,$A916,$A916))))</f>
        <v/>
      </c>
      <c r="V916" s="8" t="str">
        <f>IF($A916="","",IF(ISNUMBER(FIND("IMPVOL",V$1)),_xll.BDH(config!$G$4,V$1,WORKDAY($A916,-1,config_Holiday_Calendar_US),WORKDAY($A916,-1,config_Holiday_Calendar_US)),IF(ISNUMBER(_xll.BDH(config!$G$4,V$1,$A916,$A916)),_xll.BDH(config!$G$4,V$1,$A916,$A916),_xll.BDH(config!$G$5,V$1,$A916,$A916))))</f>
        <v/>
      </c>
      <c r="W916" s="8" t="str">
        <f>IF($A916="","",IF(ISNUMBER(FIND("IMPVOL",W$1)),_xll.BDH(config!$G$4,W$1,WORKDAY($A916,-1,config_Holiday_Calendar_US),WORKDAY($A916,-1,config_Holiday_Calendar_US)),IF(ISNUMBER(_xll.BDH(config!$G$4,W$1,$A916,$A916)),_xll.BDH(config!$G$4,W$1,$A916,$A916),_xll.BDH(config!$G$5,W$1,$A916,$A916))))</f>
        <v/>
      </c>
    </row>
    <row r="917" spans="1:23" x14ac:dyDescent="0.2">
      <c r="A917" s="9" t="str">
        <f>IF(A916="","",IF(WORKDAY(A916,-1,config_Holiday_Calendar_US)&lt;config!$I$10,"",WORKDAY(A916,-1,config_Holiday_Calendar_US)))</f>
        <v/>
      </c>
      <c r="B917" s="8" t="str">
        <f t="shared" si="14"/>
        <v/>
      </c>
      <c r="C917" s="8" t="str">
        <f>IF(A917="","",_xll.BDH(config!$H$4,C$1,$A917,$A917))</f>
        <v/>
      </c>
      <c r="D917" s="8" t="str">
        <f>IF($A917="","",_xll.BDH(config!$H$4,D$1,$A917,$A917))</f>
        <v/>
      </c>
      <c r="E917" s="8" t="str">
        <f>IF($A917="","",IF(ISNUMBER(FIND("IMPVOL",E$1)),_xll.BDH(config!$G$4,E$1,WORKDAY($A917,-1,config_Holiday_Calendar_US),WORKDAY($A917,-1,config_Holiday_Calendar_US)),IF(ISNUMBER(_xll.BDH(config!$G$4,E$1,$A917,$A917)),_xll.BDH(config!$G$4,E$1,$A917,$A917),_xll.BDH(config!$G$5,E$1,$A917,$A917))))</f>
        <v/>
      </c>
      <c r="F917" s="8" t="str">
        <f>IF($A917="","",IF(ISNUMBER(FIND("IMPVOL",F$1)),_xll.BDH(config!$G$4,F$1,WORKDAY($A917,-1,config_Holiday_Calendar_US),WORKDAY($A917,-1,config_Holiday_Calendar_US)),IF(ISNUMBER(_xll.BDH(config!$G$4,F$1,$A917,$A917)),_xll.BDH(config!$G$4,F$1,$A917,$A917),_xll.BDH(config!$G$5,F$1,$A917,$A917))))</f>
        <v/>
      </c>
      <c r="G917" s="8" t="str">
        <f>IF($A917="","",IF(ISNUMBER(FIND("IMPVOL",G$1)),_xll.BDH(config!$G$4,G$1,WORKDAY($A917,-1,config_Holiday_Calendar_US),WORKDAY($A917,-1,config_Holiday_Calendar_US)),IF(ISNUMBER(_xll.BDH(config!$G$4,G$1,$A917,$A917)),_xll.BDH(config!$G$4,G$1,$A917,$A917),_xll.BDH(config!$G$5,G$1,$A917,$A917))))</f>
        <v/>
      </c>
      <c r="H917" s="8" t="str">
        <f>IF($A917="","",IF(ISNUMBER(FIND("IMPVOL",H$1)),_xll.BDH(config!$G$4,H$1,WORKDAY($A917,-1,config_Holiday_Calendar_US),WORKDAY($A917,-1,config_Holiday_Calendar_US)),IF(ISNUMBER(_xll.BDH(config!$G$4,H$1,$A917,$A917)),_xll.BDH(config!$G$4,H$1,$A917,$A917),_xll.BDH(config!$G$5,H$1,$A917,$A917))))</f>
        <v/>
      </c>
      <c r="I917" s="8" t="str">
        <f>IF($A917="","",IF(ISNUMBER(FIND("IMPVOL",I$1)),_xll.BDH(config!$G$4,I$1,WORKDAY($A917,-1,config_Holiday_Calendar_US),WORKDAY($A917,-1,config_Holiday_Calendar_US)),IF(ISNUMBER(_xll.BDH(config!$G$4,I$1,$A917,$A917)),_xll.BDH(config!$G$4,I$1,$A917,$A917),_xll.BDH(config!$G$5,I$1,$A917,$A917))))</f>
        <v/>
      </c>
      <c r="J917" s="8" t="str">
        <f>IF($A917="","",IF(ISNUMBER(FIND("IMPVOL",J$1)),_xll.BDH(config!$G$4,J$1,WORKDAY($A917,-1,config_Holiday_Calendar_US),WORKDAY($A917,-1,config_Holiday_Calendar_US)),IF(ISNUMBER(_xll.BDH(config!$G$4,J$1,$A917,$A917)),_xll.BDH(config!$G$4,J$1,$A917,$A917),_xll.BDH(config!$G$5,J$1,$A917,$A917))))</f>
        <v/>
      </c>
      <c r="K917" s="8" t="str">
        <f>IF($A917="","",IF(ISNUMBER(FIND("IMPVOL",K$1)),_xll.BDH(config!$G$4,K$1,WORKDAY($A917,-1,config_Holiday_Calendar_US),WORKDAY($A917,-1,config_Holiday_Calendar_US)),IF(ISNUMBER(_xll.BDH(config!$G$4,K$1,$A917,$A917)),_xll.BDH(config!$G$4,K$1,$A917,$A917),_xll.BDH(config!$G$5,K$1,$A917,$A917))))</f>
        <v/>
      </c>
      <c r="L917" s="8" t="str">
        <f>IF($A917="","",IF(ISNUMBER(FIND("IMPVOL",L$1)),_xll.BDH(config!$G$4,L$1,WORKDAY($A917,-1,config_Holiday_Calendar_US),WORKDAY($A917,-1,config_Holiday_Calendar_US)),IF(ISNUMBER(_xll.BDH(config!$G$4,L$1,$A917,$A917)),_xll.BDH(config!$G$4,L$1,$A917,$A917),_xll.BDH(config!$G$5,L$1,$A917,$A917))))</f>
        <v/>
      </c>
      <c r="M917" s="8" t="str">
        <f>IF($A917="","",IF(ISNUMBER(FIND("IMPVOL",M$1)),_xll.BDH(config!$G$4,M$1,WORKDAY($A917,-1,config_Holiday_Calendar_US),WORKDAY($A917,-1,config_Holiday_Calendar_US)),IF(ISNUMBER(_xll.BDH(config!$G$4,M$1,$A917,$A917)),_xll.BDH(config!$G$4,M$1,$A917,$A917),_xll.BDH(config!$G$5,M$1,$A917,$A917))))</f>
        <v/>
      </c>
      <c r="N917" s="8" t="str">
        <f>IF($A917="","",IF(ISNUMBER(FIND("IMPVOL",N$1)),_xll.BDH(config!$G$4,N$1,WORKDAY($A917,-1,config_Holiday_Calendar_US),WORKDAY($A917,-1,config_Holiday_Calendar_US)),IF(ISNUMBER(_xll.BDH(config!$G$4,N$1,$A917,$A917)),_xll.BDH(config!$G$4,N$1,$A917,$A917),_xll.BDH(config!$G$5,N$1,$A917,$A917))))</f>
        <v/>
      </c>
      <c r="O917" s="8" t="str">
        <f>IF($A917="","",IF(ISNUMBER(FIND("IMPVOL",O$1)),_xll.BDH(config!$G$4,O$1,WORKDAY($A917,-1,config_Holiday_Calendar_US),WORKDAY($A917,-1,config_Holiday_Calendar_US)),IF(ISNUMBER(_xll.BDH(config!$G$4,O$1,$A917,$A917)),_xll.BDH(config!$G$4,O$1,$A917,$A917),_xll.BDH(config!$G$5,O$1,$A917,$A917))))</f>
        <v/>
      </c>
      <c r="P917" s="8" t="str">
        <f>IF($A917="","",IF(ISNUMBER(FIND("IMPVOL",P$1)),_xll.BDH(config!$G$4,P$1,WORKDAY($A917,-1,config_Holiday_Calendar_US),WORKDAY($A917,-1,config_Holiday_Calendar_US)),IF(ISNUMBER(_xll.BDH(config!$G$4,P$1,$A917,$A917)),_xll.BDH(config!$G$4,P$1,$A917,$A917),_xll.BDH(config!$G$5,P$1,$A917,$A917))))</f>
        <v/>
      </c>
      <c r="Q917" s="8" t="str">
        <f>IF($A917="","",IF(ISNUMBER(FIND("IMPVOL",Q$1)),_xll.BDH(config!$G$4,Q$1,WORKDAY($A917,-1,config_Holiday_Calendar_US),WORKDAY($A917,-1,config_Holiday_Calendar_US)),IF(ISNUMBER(_xll.BDH(config!$G$4,Q$1,$A917,$A917)),_xll.BDH(config!$G$4,Q$1,$A917,$A917),_xll.BDH(config!$G$5,Q$1,$A917,$A917))))</f>
        <v/>
      </c>
      <c r="R917" s="8" t="str">
        <f>IF($A917="","",IF(ISNUMBER(FIND("IMPVOL",R$1)),_xll.BDH(config!$G$4,R$1,WORKDAY($A917,-1,config_Holiday_Calendar_US),WORKDAY($A917,-1,config_Holiday_Calendar_US)),IF(ISNUMBER(_xll.BDH(config!$G$4,R$1,$A917,$A917)),_xll.BDH(config!$G$4,R$1,$A917,$A917),_xll.BDH(config!$G$5,R$1,$A917,$A917))))</f>
        <v/>
      </c>
      <c r="S917" s="8" t="str">
        <f>IF($A917="","",IF(ISNUMBER(FIND("IMPVOL",S$1)),_xll.BDH(config!$G$4,S$1,WORKDAY($A917,-1,config_Holiday_Calendar_US),WORKDAY($A917,-1,config_Holiday_Calendar_US)),IF(ISNUMBER(_xll.BDH(config!$G$4,S$1,$A917,$A917)),_xll.BDH(config!$G$4,S$1,$A917,$A917),_xll.BDH(config!$G$5,S$1,$A917,$A917))))</f>
        <v/>
      </c>
      <c r="T917" s="8" t="str">
        <f>IF($A917="","",IF(ISNUMBER(FIND("IMPVOL",T$1)),_xll.BDH(config!$G$4,T$1,WORKDAY($A917,-1,config_Holiday_Calendar_US),WORKDAY($A917,-1,config_Holiday_Calendar_US)),IF(ISNUMBER(_xll.BDH(config!$G$4,T$1,$A917,$A917)),_xll.BDH(config!$G$4,T$1,$A917,$A917),_xll.BDH(config!$G$5,T$1,$A917,$A917))))</f>
        <v/>
      </c>
      <c r="U917" s="8" t="str">
        <f>IF($A917="","",IF(ISNUMBER(FIND("IMPVOL",U$1)),_xll.BDH(config!$G$4,U$1,WORKDAY($A917,-1,config_Holiday_Calendar_US),WORKDAY($A917,-1,config_Holiday_Calendar_US)),IF(ISNUMBER(_xll.BDH(config!$G$4,U$1,$A917,$A917)),_xll.BDH(config!$G$4,U$1,$A917,$A917),_xll.BDH(config!$G$5,U$1,$A917,$A917))))</f>
        <v/>
      </c>
      <c r="V917" s="8" t="str">
        <f>IF($A917="","",IF(ISNUMBER(FIND("IMPVOL",V$1)),_xll.BDH(config!$G$4,V$1,WORKDAY($A917,-1,config_Holiday_Calendar_US),WORKDAY($A917,-1,config_Holiday_Calendar_US)),IF(ISNUMBER(_xll.BDH(config!$G$4,V$1,$A917,$A917)),_xll.BDH(config!$G$4,V$1,$A917,$A917),_xll.BDH(config!$G$5,V$1,$A917,$A917))))</f>
        <v/>
      </c>
      <c r="W917" s="8" t="str">
        <f>IF($A917="","",IF(ISNUMBER(FIND("IMPVOL",W$1)),_xll.BDH(config!$G$4,W$1,WORKDAY($A917,-1,config_Holiday_Calendar_US),WORKDAY($A917,-1,config_Holiday_Calendar_US)),IF(ISNUMBER(_xll.BDH(config!$G$4,W$1,$A917,$A917)),_xll.BDH(config!$G$4,W$1,$A917,$A917),_xll.BDH(config!$G$5,W$1,$A917,$A917))))</f>
        <v/>
      </c>
    </row>
    <row r="918" spans="1:23" x14ac:dyDescent="0.2">
      <c r="A918" s="9" t="str">
        <f>IF(A917="","",IF(WORKDAY(A917,-1,config_Holiday_Calendar_US)&lt;config!$I$10,"",WORKDAY(A917,-1,config_Holiday_Calendar_US)))</f>
        <v/>
      </c>
      <c r="B918" s="8" t="str">
        <f t="shared" si="14"/>
        <v/>
      </c>
      <c r="C918" s="8" t="str">
        <f>IF(A918="","",_xll.BDH(config!$H$4,C$1,$A918,$A918))</f>
        <v/>
      </c>
      <c r="D918" s="8" t="str">
        <f>IF($A918="","",_xll.BDH(config!$H$4,D$1,$A918,$A918))</f>
        <v/>
      </c>
      <c r="E918" s="8" t="str">
        <f>IF($A918="","",IF(ISNUMBER(FIND("IMPVOL",E$1)),_xll.BDH(config!$G$4,E$1,WORKDAY($A918,-1,config_Holiday_Calendar_US),WORKDAY($A918,-1,config_Holiday_Calendar_US)),IF(ISNUMBER(_xll.BDH(config!$G$4,E$1,$A918,$A918)),_xll.BDH(config!$G$4,E$1,$A918,$A918),_xll.BDH(config!$G$5,E$1,$A918,$A918))))</f>
        <v/>
      </c>
      <c r="F918" s="8" t="str">
        <f>IF($A918="","",IF(ISNUMBER(FIND("IMPVOL",F$1)),_xll.BDH(config!$G$4,F$1,WORKDAY($A918,-1,config_Holiday_Calendar_US),WORKDAY($A918,-1,config_Holiday_Calendar_US)),IF(ISNUMBER(_xll.BDH(config!$G$4,F$1,$A918,$A918)),_xll.BDH(config!$G$4,F$1,$A918,$A918),_xll.BDH(config!$G$5,F$1,$A918,$A918))))</f>
        <v/>
      </c>
      <c r="G918" s="8" t="str">
        <f>IF($A918="","",IF(ISNUMBER(FIND("IMPVOL",G$1)),_xll.BDH(config!$G$4,G$1,WORKDAY($A918,-1,config_Holiday_Calendar_US),WORKDAY($A918,-1,config_Holiday_Calendar_US)),IF(ISNUMBER(_xll.BDH(config!$G$4,G$1,$A918,$A918)),_xll.BDH(config!$G$4,G$1,$A918,$A918),_xll.BDH(config!$G$5,G$1,$A918,$A918))))</f>
        <v/>
      </c>
      <c r="H918" s="8" t="str">
        <f>IF($A918="","",IF(ISNUMBER(FIND("IMPVOL",H$1)),_xll.BDH(config!$G$4,H$1,WORKDAY($A918,-1,config_Holiday_Calendar_US),WORKDAY($A918,-1,config_Holiday_Calendar_US)),IF(ISNUMBER(_xll.BDH(config!$G$4,H$1,$A918,$A918)),_xll.BDH(config!$G$4,H$1,$A918,$A918),_xll.BDH(config!$G$5,H$1,$A918,$A918))))</f>
        <v/>
      </c>
      <c r="I918" s="8" t="str">
        <f>IF($A918="","",IF(ISNUMBER(FIND("IMPVOL",I$1)),_xll.BDH(config!$G$4,I$1,WORKDAY($A918,-1,config_Holiday_Calendar_US),WORKDAY($A918,-1,config_Holiday_Calendar_US)),IF(ISNUMBER(_xll.BDH(config!$G$4,I$1,$A918,$A918)),_xll.BDH(config!$G$4,I$1,$A918,$A918),_xll.BDH(config!$G$5,I$1,$A918,$A918))))</f>
        <v/>
      </c>
      <c r="J918" s="8" t="str">
        <f>IF($A918="","",IF(ISNUMBER(FIND("IMPVOL",J$1)),_xll.BDH(config!$G$4,J$1,WORKDAY($A918,-1,config_Holiday_Calendar_US),WORKDAY($A918,-1,config_Holiday_Calendar_US)),IF(ISNUMBER(_xll.BDH(config!$G$4,J$1,$A918,$A918)),_xll.BDH(config!$G$4,J$1,$A918,$A918),_xll.BDH(config!$G$5,J$1,$A918,$A918))))</f>
        <v/>
      </c>
      <c r="K918" s="8" t="str">
        <f>IF($A918="","",IF(ISNUMBER(FIND("IMPVOL",K$1)),_xll.BDH(config!$G$4,K$1,WORKDAY($A918,-1,config_Holiday_Calendar_US),WORKDAY($A918,-1,config_Holiday_Calendar_US)),IF(ISNUMBER(_xll.BDH(config!$G$4,K$1,$A918,$A918)),_xll.BDH(config!$G$4,K$1,$A918,$A918),_xll.BDH(config!$G$5,K$1,$A918,$A918))))</f>
        <v/>
      </c>
      <c r="L918" s="8" t="str">
        <f>IF($A918="","",IF(ISNUMBER(FIND("IMPVOL",L$1)),_xll.BDH(config!$G$4,L$1,WORKDAY($A918,-1,config_Holiday_Calendar_US),WORKDAY($A918,-1,config_Holiday_Calendar_US)),IF(ISNUMBER(_xll.BDH(config!$G$4,L$1,$A918,$A918)),_xll.BDH(config!$G$4,L$1,$A918,$A918),_xll.BDH(config!$G$5,L$1,$A918,$A918))))</f>
        <v/>
      </c>
      <c r="M918" s="8" t="str">
        <f>IF($A918="","",IF(ISNUMBER(FIND("IMPVOL",M$1)),_xll.BDH(config!$G$4,M$1,WORKDAY($A918,-1,config_Holiday_Calendar_US),WORKDAY($A918,-1,config_Holiday_Calendar_US)),IF(ISNUMBER(_xll.BDH(config!$G$4,M$1,$A918,$A918)),_xll.BDH(config!$G$4,M$1,$A918,$A918),_xll.BDH(config!$G$5,M$1,$A918,$A918))))</f>
        <v/>
      </c>
      <c r="N918" s="8" t="str">
        <f>IF($A918="","",IF(ISNUMBER(FIND("IMPVOL",N$1)),_xll.BDH(config!$G$4,N$1,WORKDAY($A918,-1,config_Holiday_Calendar_US),WORKDAY($A918,-1,config_Holiday_Calendar_US)),IF(ISNUMBER(_xll.BDH(config!$G$4,N$1,$A918,$A918)),_xll.BDH(config!$G$4,N$1,$A918,$A918),_xll.BDH(config!$G$5,N$1,$A918,$A918))))</f>
        <v/>
      </c>
      <c r="O918" s="8" t="str">
        <f>IF($A918="","",IF(ISNUMBER(FIND("IMPVOL",O$1)),_xll.BDH(config!$G$4,O$1,WORKDAY($A918,-1,config_Holiday_Calendar_US),WORKDAY($A918,-1,config_Holiday_Calendar_US)),IF(ISNUMBER(_xll.BDH(config!$G$4,O$1,$A918,$A918)),_xll.BDH(config!$G$4,O$1,$A918,$A918),_xll.BDH(config!$G$5,O$1,$A918,$A918))))</f>
        <v/>
      </c>
      <c r="P918" s="8" t="str">
        <f>IF($A918="","",IF(ISNUMBER(FIND("IMPVOL",P$1)),_xll.BDH(config!$G$4,P$1,WORKDAY($A918,-1,config_Holiday_Calendar_US),WORKDAY($A918,-1,config_Holiday_Calendar_US)),IF(ISNUMBER(_xll.BDH(config!$G$4,P$1,$A918,$A918)),_xll.BDH(config!$G$4,P$1,$A918,$A918),_xll.BDH(config!$G$5,P$1,$A918,$A918))))</f>
        <v/>
      </c>
      <c r="Q918" s="8" t="str">
        <f>IF($A918="","",IF(ISNUMBER(FIND("IMPVOL",Q$1)),_xll.BDH(config!$G$4,Q$1,WORKDAY($A918,-1,config_Holiday_Calendar_US),WORKDAY($A918,-1,config_Holiday_Calendar_US)),IF(ISNUMBER(_xll.BDH(config!$G$4,Q$1,$A918,$A918)),_xll.BDH(config!$G$4,Q$1,$A918,$A918),_xll.BDH(config!$G$5,Q$1,$A918,$A918))))</f>
        <v/>
      </c>
      <c r="R918" s="8" t="str">
        <f>IF($A918="","",IF(ISNUMBER(FIND("IMPVOL",R$1)),_xll.BDH(config!$G$4,R$1,WORKDAY($A918,-1,config_Holiday_Calendar_US),WORKDAY($A918,-1,config_Holiday_Calendar_US)),IF(ISNUMBER(_xll.BDH(config!$G$4,R$1,$A918,$A918)),_xll.BDH(config!$G$4,R$1,$A918,$A918),_xll.BDH(config!$G$5,R$1,$A918,$A918))))</f>
        <v/>
      </c>
      <c r="S918" s="8" t="str">
        <f>IF($A918="","",IF(ISNUMBER(FIND("IMPVOL",S$1)),_xll.BDH(config!$G$4,S$1,WORKDAY($A918,-1,config_Holiday_Calendar_US),WORKDAY($A918,-1,config_Holiday_Calendar_US)),IF(ISNUMBER(_xll.BDH(config!$G$4,S$1,$A918,$A918)),_xll.BDH(config!$G$4,S$1,$A918,$A918),_xll.BDH(config!$G$5,S$1,$A918,$A918))))</f>
        <v/>
      </c>
      <c r="T918" s="8" t="str">
        <f>IF($A918="","",IF(ISNUMBER(FIND("IMPVOL",T$1)),_xll.BDH(config!$G$4,T$1,WORKDAY($A918,-1,config_Holiday_Calendar_US),WORKDAY($A918,-1,config_Holiday_Calendar_US)),IF(ISNUMBER(_xll.BDH(config!$G$4,T$1,$A918,$A918)),_xll.BDH(config!$G$4,T$1,$A918,$A918),_xll.BDH(config!$G$5,T$1,$A918,$A918))))</f>
        <v/>
      </c>
      <c r="U918" s="8" t="str">
        <f>IF($A918="","",IF(ISNUMBER(FIND("IMPVOL",U$1)),_xll.BDH(config!$G$4,U$1,WORKDAY($A918,-1,config_Holiday_Calendar_US),WORKDAY($A918,-1,config_Holiday_Calendar_US)),IF(ISNUMBER(_xll.BDH(config!$G$4,U$1,$A918,$A918)),_xll.BDH(config!$G$4,U$1,$A918,$A918),_xll.BDH(config!$G$5,U$1,$A918,$A918))))</f>
        <v/>
      </c>
      <c r="V918" s="8" t="str">
        <f>IF($A918="","",IF(ISNUMBER(FIND("IMPVOL",V$1)),_xll.BDH(config!$G$4,V$1,WORKDAY($A918,-1,config_Holiday_Calendar_US),WORKDAY($A918,-1,config_Holiday_Calendar_US)),IF(ISNUMBER(_xll.BDH(config!$G$4,V$1,$A918,$A918)),_xll.BDH(config!$G$4,V$1,$A918,$A918),_xll.BDH(config!$G$5,V$1,$A918,$A918))))</f>
        <v/>
      </c>
      <c r="W918" s="8" t="str">
        <f>IF($A918="","",IF(ISNUMBER(FIND("IMPVOL",W$1)),_xll.BDH(config!$G$4,W$1,WORKDAY($A918,-1,config_Holiday_Calendar_US),WORKDAY($A918,-1,config_Holiday_Calendar_US)),IF(ISNUMBER(_xll.BDH(config!$G$4,W$1,$A918,$A918)),_xll.BDH(config!$G$4,W$1,$A918,$A918),_xll.BDH(config!$G$5,W$1,$A918,$A918))))</f>
        <v/>
      </c>
    </row>
    <row r="919" spans="1:23" x14ac:dyDescent="0.2">
      <c r="A919" s="9" t="str">
        <f>IF(A918="","",IF(WORKDAY(A918,-1,config_Holiday_Calendar_US)&lt;config!$I$10,"",WORKDAY(A918,-1,config_Holiday_Calendar_US)))</f>
        <v/>
      </c>
      <c r="B919" s="8" t="str">
        <f t="shared" si="14"/>
        <v/>
      </c>
      <c r="C919" s="8" t="str">
        <f>IF(A919="","",_xll.BDH(config!$H$4,C$1,$A919,$A919))</f>
        <v/>
      </c>
      <c r="D919" s="8" t="str">
        <f>IF($A919="","",_xll.BDH(config!$H$4,D$1,$A919,$A919))</f>
        <v/>
      </c>
      <c r="E919" s="8" t="str">
        <f>IF($A919="","",IF(ISNUMBER(FIND("IMPVOL",E$1)),_xll.BDH(config!$G$4,E$1,WORKDAY($A919,-1,config_Holiday_Calendar_US),WORKDAY($A919,-1,config_Holiday_Calendar_US)),IF(ISNUMBER(_xll.BDH(config!$G$4,E$1,$A919,$A919)),_xll.BDH(config!$G$4,E$1,$A919,$A919),_xll.BDH(config!$G$5,E$1,$A919,$A919))))</f>
        <v/>
      </c>
      <c r="F919" s="8" t="str">
        <f>IF($A919="","",IF(ISNUMBER(FIND("IMPVOL",F$1)),_xll.BDH(config!$G$4,F$1,WORKDAY($A919,-1,config_Holiday_Calendar_US),WORKDAY($A919,-1,config_Holiday_Calendar_US)),IF(ISNUMBER(_xll.BDH(config!$G$4,F$1,$A919,$A919)),_xll.BDH(config!$G$4,F$1,$A919,$A919),_xll.BDH(config!$G$5,F$1,$A919,$A919))))</f>
        <v/>
      </c>
      <c r="G919" s="8" t="str">
        <f>IF($A919="","",IF(ISNUMBER(FIND("IMPVOL",G$1)),_xll.BDH(config!$G$4,G$1,WORKDAY($A919,-1,config_Holiday_Calendar_US),WORKDAY($A919,-1,config_Holiday_Calendar_US)),IF(ISNUMBER(_xll.BDH(config!$G$4,G$1,$A919,$A919)),_xll.BDH(config!$G$4,G$1,$A919,$A919),_xll.BDH(config!$G$5,G$1,$A919,$A919))))</f>
        <v/>
      </c>
      <c r="H919" s="8" t="str">
        <f>IF($A919="","",IF(ISNUMBER(FIND("IMPVOL",H$1)),_xll.BDH(config!$G$4,H$1,WORKDAY($A919,-1,config_Holiday_Calendar_US),WORKDAY($A919,-1,config_Holiday_Calendar_US)),IF(ISNUMBER(_xll.BDH(config!$G$4,H$1,$A919,$A919)),_xll.BDH(config!$G$4,H$1,$A919,$A919),_xll.BDH(config!$G$5,H$1,$A919,$A919))))</f>
        <v/>
      </c>
      <c r="I919" s="8" t="str">
        <f>IF($A919="","",IF(ISNUMBER(FIND("IMPVOL",I$1)),_xll.BDH(config!$G$4,I$1,WORKDAY($A919,-1,config_Holiday_Calendar_US),WORKDAY($A919,-1,config_Holiday_Calendar_US)),IF(ISNUMBER(_xll.BDH(config!$G$4,I$1,$A919,$A919)),_xll.BDH(config!$G$4,I$1,$A919,$A919),_xll.BDH(config!$G$5,I$1,$A919,$A919))))</f>
        <v/>
      </c>
      <c r="J919" s="8" t="str">
        <f>IF($A919="","",IF(ISNUMBER(FIND("IMPVOL",J$1)),_xll.BDH(config!$G$4,J$1,WORKDAY($A919,-1,config_Holiday_Calendar_US),WORKDAY($A919,-1,config_Holiday_Calendar_US)),IF(ISNUMBER(_xll.BDH(config!$G$4,J$1,$A919,$A919)),_xll.BDH(config!$G$4,J$1,$A919,$A919),_xll.BDH(config!$G$5,J$1,$A919,$A919))))</f>
        <v/>
      </c>
      <c r="K919" s="8" t="str">
        <f>IF($A919="","",IF(ISNUMBER(FIND("IMPVOL",K$1)),_xll.BDH(config!$G$4,K$1,WORKDAY($A919,-1,config_Holiday_Calendar_US),WORKDAY($A919,-1,config_Holiday_Calendar_US)),IF(ISNUMBER(_xll.BDH(config!$G$4,K$1,$A919,$A919)),_xll.BDH(config!$G$4,K$1,$A919,$A919),_xll.BDH(config!$G$5,K$1,$A919,$A919))))</f>
        <v/>
      </c>
      <c r="L919" s="8" t="str">
        <f>IF($A919="","",IF(ISNUMBER(FIND("IMPVOL",L$1)),_xll.BDH(config!$G$4,L$1,WORKDAY($A919,-1,config_Holiday_Calendar_US),WORKDAY($A919,-1,config_Holiday_Calendar_US)),IF(ISNUMBER(_xll.BDH(config!$G$4,L$1,$A919,$A919)),_xll.BDH(config!$G$4,L$1,$A919,$A919),_xll.BDH(config!$G$5,L$1,$A919,$A919))))</f>
        <v/>
      </c>
      <c r="M919" s="8" t="str">
        <f>IF($A919="","",IF(ISNUMBER(FIND("IMPVOL",M$1)),_xll.BDH(config!$G$4,M$1,WORKDAY($A919,-1,config_Holiday_Calendar_US),WORKDAY($A919,-1,config_Holiday_Calendar_US)),IF(ISNUMBER(_xll.BDH(config!$G$4,M$1,$A919,$A919)),_xll.BDH(config!$G$4,M$1,$A919,$A919),_xll.BDH(config!$G$5,M$1,$A919,$A919))))</f>
        <v/>
      </c>
      <c r="N919" s="8" t="str">
        <f>IF($A919="","",IF(ISNUMBER(FIND("IMPVOL",N$1)),_xll.BDH(config!$G$4,N$1,WORKDAY($A919,-1,config_Holiday_Calendar_US),WORKDAY($A919,-1,config_Holiday_Calendar_US)),IF(ISNUMBER(_xll.BDH(config!$G$4,N$1,$A919,$A919)),_xll.BDH(config!$G$4,N$1,$A919,$A919),_xll.BDH(config!$G$5,N$1,$A919,$A919))))</f>
        <v/>
      </c>
      <c r="O919" s="8" t="str">
        <f>IF($A919="","",IF(ISNUMBER(FIND("IMPVOL",O$1)),_xll.BDH(config!$G$4,O$1,WORKDAY($A919,-1,config_Holiday_Calendar_US),WORKDAY($A919,-1,config_Holiday_Calendar_US)),IF(ISNUMBER(_xll.BDH(config!$G$4,O$1,$A919,$A919)),_xll.BDH(config!$G$4,O$1,$A919,$A919),_xll.BDH(config!$G$5,O$1,$A919,$A919))))</f>
        <v/>
      </c>
      <c r="P919" s="8" t="str">
        <f>IF($A919="","",IF(ISNUMBER(FIND("IMPVOL",P$1)),_xll.BDH(config!$G$4,P$1,WORKDAY($A919,-1,config_Holiday_Calendar_US),WORKDAY($A919,-1,config_Holiday_Calendar_US)),IF(ISNUMBER(_xll.BDH(config!$G$4,P$1,$A919,$A919)),_xll.BDH(config!$G$4,P$1,$A919,$A919),_xll.BDH(config!$G$5,P$1,$A919,$A919))))</f>
        <v/>
      </c>
      <c r="Q919" s="8" t="str">
        <f>IF($A919="","",IF(ISNUMBER(FIND("IMPVOL",Q$1)),_xll.BDH(config!$G$4,Q$1,WORKDAY($A919,-1,config_Holiday_Calendar_US),WORKDAY($A919,-1,config_Holiday_Calendar_US)),IF(ISNUMBER(_xll.BDH(config!$G$4,Q$1,$A919,$A919)),_xll.BDH(config!$G$4,Q$1,$A919,$A919),_xll.BDH(config!$G$5,Q$1,$A919,$A919))))</f>
        <v/>
      </c>
      <c r="R919" s="8" t="str">
        <f>IF($A919="","",IF(ISNUMBER(FIND("IMPVOL",R$1)),_xll.BDH(config!$G$4,R$1,WORKDAY($A919,-1,config_Holiday_Calendar_US),WORKDAY($A919,-1,config_Holiday_Calendar_US)),IF(ISNUMBER(_xll.BDH(config!$G$4,R$1,$A919,$A919)),_xll.BDH(config!$G$4,R$1,$A919,$A919),_xll.BDH(config!$G$5,R$1,$A919,$A919))))</f>
        <v/>
      </c>
      <c r="S919" s="8" t="str">
        <f>IF($A919="","",IF(ISNUMBER(FIND("IMPVOL",S$1)),_xll.BDH(config!$G$4,S$1,WORKDAY($A919,-1,config_Holiday_Calendar_US),WORKDAY($A919,-1,config_Holiday_Calendar_US)),IF(ISNUMBER(_xll.BDH(config!$G$4,S$1,$A919,$A919)),_xll.BDH(config!$G$4,S$1,$A919,$A919),_xll.BDH(config!$G$5,S$1,$A919,$A919))))</f>
        <v/>
      </c>
      <c r="T919" s="8" t="str">
        <f>IF($A919="","",IF(ISNUMBER(FIND("IMPVOL",T$1)),_xll.BDH(config!$G$4,T$1,WORKDAY($A919,-1,config_Holiday_Calendar_US),WORKDAY($A919,-1,config_Holiday_Calendar_US)),IF(ISNUMBER(_xll.BDH(config!$G$4,T$1,$A919,$A919)),_xll.BDH(config!$G$4,T$1,$A919,$A919),_xll.BDH(config!$G$5,T$1,$A919,$A919))))</f>
        <v/>
      </c>
      <c r="U919" s="8" t="str">
        <f>IF($A919="","",IF(ISNUMBER(FIND("IMPVOL",U$1)),_xll.BDH(config!$G$4,U$1,WORKDAY($A919,-1,config_Holiday_Calendar_US),WORKDAY($A919,-1,config_Holiday_Calendar_US)),IF(ISNUMBER(_xll.BDH(config!$G$4,U$1,$A919,$A919)),_xll.BDH(config!$G$4,U$1,$A919,$A919),_xll.BDH(config!$G$5,U$1,$A919,$A919))))</f>
        <v/>
      </c>
      <c r="V919" s="8" t="str">
        <f>IF($A919="","",IF(ISNUMBER(FIND("IMPVOL",V$1)),_xll.BDH(config!$G$4,V$1,WORKDAY($A919,-1,config_Holiday_Calendar_US),WORKDAY($A919,-1,config_Holiday_Calendar_US)),IF(ISNUMBER(_xll.BDH(config!$G$4,V$1,$A919,$A919)),_xll.BDH(config!$G$4,V$1,$A919,$A919),_xll.BDH(config!$G$5,V$1,$A919,$A919))))</f>
        <v/>
      </c>
      <c r="W919" s="8" t="str">
        <f>IF($A919="","",IF(ISNUMBER(FIND("IMPVOL",W$1)),_xll.BDH(config!$G$4,W$1,WORKDAY($A919,-1,config_Holiday_Calendar_US),WORKDAY($A919,-1,config_Holiday_Calendar_US)),IF(ISNUMBER(_xll.BDH(config!$G$4,W$1,$A919,$A919)),_xll.BDH(config!$G$4,W$1,$A919,$A919),_xll.BDH(config!$G$5,W$1,$A919,$A919))))</f>
        <v/>
      </c>
    </row>
    <row r="920" spans="1:23" x14ac:dyDescent="0.2">
      <c r="A920" s="9" t="str">
        <f>IF(A919="","",IF(WORKDAY(A919,-1,config_Holiday_Calendar_US)&lt;config!$I$10,"",WORKDAY(A919,-1,config_Holiday_Calendar_US)))</f>
        <v/>
      </c>
      <c r="B920" s="8" t="str">
        <f t="shared" si="14"/>
        <v/>
      </c>
      <c r="C920" s="8" t="str">
        <f>IF(A920="","",_xll.BDH(config!$H$4,C$1,$A920,$A920))</f>
        <v/>
      </c>
      <c r="D920" s="8" t="str">
        <f>IF($A920="","",_xll.BDH(config!$H$4,D$1,$A920,$A920))</f>
        <v/>
      </c>
      <c r="E920" s="8" t="str">
        <f>IF($A920="","",IF(ISNUMBER(FIND("IMPVOL",E$1)),_xll.BDH(config!$G$4,E$1,WORKDAY($A920,-1,config_Holiday_Calendar_US),WORKDAY($A920,-1,config_Holiday_Calendar_US)),IF(ISNUMBER(_xll.BDH(config!$G$4,E$1,$A920,$A920)),_xll.BDH(config!$G$4,E$1,$A920,$A920),_xll.BDH(config!$G$5,E$1,$A920,$A920))))</f>
        <v/>
      </c>
      <c r="F920" s="8" t="str">
        <f>IF($A920="","",IF(ISNUMBER(FIND("IMPVOL",F$1)),_xll.BDH(config!$G$4,F$1,WORKDAY($A920,-1,config_Holiday_Calendar_US),WORKDAY($A920,-1,config_Holiday_Calendar_US)),IF(ISNUMBER(_xll.BDH(config!$G$4,F$1,$A920,$A920)),_xll.BDH(config!$G$4,F$1,$A920,$A920),_xll.BDH(config!$G$5,F$1,$A920,$A920))))</f>
        <v/>
      </c>
      <c r="G920" s="8" t="str">
        <f>IF($A920="","",IF(ISNUMBER(FIND("IMPVOL",G$1)),_xll.BDH(config!$G$4,G$1,WORKDAY($A920,-1,config_Holiday_Calendar_US),WORKDAY($A920,-1,config_Holiday_Calendar_US)),IF(ISNUMBER(_xll.BDH(config!$G$4,G$1,$A920,$A920)),_xll.BDH(config!$G$4,G$1,$A920,$A920),_xll.BDH(config!$G$5,G$1,$A920,$A920))))</f>
        <v/>
      </c>
      <c r="H920" s="8" t="str">
        <f>IF($A920="","",IF(ISNUMBER(FIND("IMPVOL",H$1)),_xll.BDH(config!$G$4,H$1,WORKDAY($A920,-1,config_Holiday_Calendar_US),WORKDAY($A920,-1,config_Holiday_Calendar_US)),IF(ISNUMBER(_xll.BDH(config!$G$4,H$1,$A920,$A920)),_xll.BDH(config!$G$4,H$1,$A920,$A920),_xll.BDH(config!$G$5,H$1,$A920,$A920))))</f>
        <v/>
      </c>
      <c r="I920" s="8" t="str">
        <f>IF($A920="","",IF(ISNUMBER(FIND("IMPVOL",I$1)),_xll.BDH(config!$G$4,I$1,WORKDAY($A920,-1,config_Holiday_Calendar_US),WORKDAY($A920,-1,config_Holiday_Calendar_US)),IF(ISNUMBER(_xll.BDH(config!$G$4,I$1,$A920,$A920)),_xll.BDH(config!$G$4,I$1,$A920,$A920),_xll.BDH(config!$G$5,I$1,$A920,$A920))))</f>
        <v/>
      </c>
      <c r="J920" s="8" t="str">
        <f>IF($A920="","",IF(ISNUMBER(FIND("IMPVOL",J$1)),_xll.BDH(config!$G$4,J$1,WORKDAY($A920,-1,config_Holiday_Calendar_US),WORKDAY($A920,-1,config_Holiday_Calendar_US)),IF(ISNUMBER(_xll.BDH(config!$G$4,J$1,$A920,$A920)),_xll.BDH(config!$G$4,J$1,$A920,$A920),_xll.BDH(config!$G$5,J$1,$A920,$A920))))</f>
        <v/>
      </c>
      <c r="K920" s="8" t="str">
        <f>IF($A920="","",IF(ISNUMBER(FIND("IMPVOL",K$1)),_xll.BDH(config!$G$4,K$1,WORKDAY($A920,-1,config_Holiday_Calendar_US),WORKDAY($A920,-1,config_Holiday_Calendar_US)),IF(ISNUMBER(_xll.BDH(config!$G$4,K$1,$A920,$A920)),_xll.BDH(config!$G$4,K$1,$A920,$A920),_xll.BDH(config!$G$5,K$1,$A920,$A920))))</f>
        <v/>
      </c>
      <c r="L920" s="8" t="str">
        <f>IF($A920="","",IF(ISNUMBER(FIND("IMPVOL",L$1)),_xll.BDH(config!$G$4,L$1,WORKDAY($A920,-1,config_Holiday_Calendar_US),WORKDAY($A920,-1,config_Holiday_Calendar_US)),IF(ISNUMBER(_xll.BDH(config!$G$4,L$1,$A920,$A920)),_xll.BDH(config!$G$4,L$1,$A920,$A920),_xll.BDH(config!$G$5,L$1,$A920,$A920))))</f>
        <v/>
      </c>
      <c r="M920" s="8" t="str">
        <f>IF($A920="","",IF(ISNUMBER(FIND("IMPVOL",M$1)),_xll.BDH(config!$G$4,M$1,WORKDAY($A920,-1,config_Holiday_Calendar_US),WORKDAY($A920,-1,config_Holiday_Calendar_US)),IF(ISNUMBER(_xll.BDH(config!$G$4,M$1,$A920,$A920)),_xll.BDH(config!$G$4,M$1,$A920,$A920),_xll.BDH(config!$G$5,M$1,$A920,$A920))))</f>
        <v/>
      </c>
      <c r="N920" s="8" t="str">
        <f>IF($A920="","",IF(ISNUMBER(FIND("IMPVOL",N$1)),_xll.BDH(config!$G$4,N$1,WORKDAY($A920,-1,config_Holiday_Calendar_US),WORKDAY($A920,-1,config_Holiday_Calendar_US)),IF(ISNUMBER(_xll.BDH(config!$G$4,N$1,$A920,$A920)),_xll.BDH(config!$G$4,N$1,$A920,$A920),_xll.BDH(config!$G$5,N$1,$A920,$A920))))</f>
        <v/>
      </c>
      <c r="O920" s="8" t="str">
        <f>IF($A920="","",IF(ISNUMBER(FIND("IMPVOL",O$1)),_xll.BDH(config!$G$4,O$1,WORKDAY($A920,-1,config_Holiday_Calendar_US),WORKDAY($A920,-1,config_Holiday_Calendar_US)),IF(ISNUMBER(_xll.BDH(config!$G$4,O$1,$A920,$A920)),_xll.BDH(config!$G$4,O$1,$A920,$A920),_xll.BDH(config!$G$5,O$1,$A920,$A920))))</f>
        <v/>
      </c>
      <c r="P920" s="8" t="str">
        <f>IF($A920="","",IF(ISNUMBER(FIND("IMPVOL",P$1)),_xll.BDH(config!$G$4,P$1,WORKDAY($A920,-1,config_Holiday_Calendar_US),WORKDAY($A920,-1,config_Holiday_Calendar_US)),IF(ISNUMBER(_xll.BDH(config!$G$4,P$1,$A920,$A920)),_xll.BDH(config!$G$4,P$1,$A920,$A920),_xll.BDH(config!$G$5,P$1,$A920,$A920))))</f>
        <v/>
      </c>
      <c r="Q920" s="8" t="str">
        <f>IF($A920="","",IF(ISNUMBER(FIND("IMPVOL",Q$1)),_xll.BDH(config!$G$4,Q$1,WORKDAY($A920,-1,config_Holiday_Calendar_US),WORKDAY($A920,-1,config_Holiday_Calendar_US)),IF(ISNUMBER(_xll.BDH(config!$G$4,Q$1,$A920,$A920)),_xll.BDH(config!$G$4,Q$1,$A920,$A920),_xll.BDH(config!$G$5,Q$1,$A920,$A920))))</f>
        <v/>
      </c>
      <c r="R920" s="8" t="str">
        <f>IF($A920="","",IF(ISNUMBER(FIND("IMPVOL",R$1)),_xll.BDH(config!$G$4,R$1,WORKDAY($A920,-1,config_Holiday_Calendar_US),WORKDAY($A920,-1,config_Holiday_Calendar_US)),IF(ISNUMBER(_xll.BDH(config!$G$4,R$1,$A920,$A920)),_xll.BDH(config!$G$4,R$1,$A920,$A920),_xll.BDH(config!$G$5,R$1,$A920,$A920))))</f>
        <v/>
      </c>
      <c r="S920" s="8" t="str">
        <f>IF($A920="","",IF(ISNUMBER(FIND("IMPVOL",S$1)),_xll.BDH(config!$G$4,S$1,WORKDAY($A920,-1,config_Holiday_Calendar_US),WORKDAY($A920,-1,config_Holiday_Calendar_US)),IF(ISNUMBER(_xll.BDH(config!$G$4,S$1,$A920,$A920)),_xll.BDH(config!$G$4,S$1,$A920,$A920),_xll.BDH(config!$G$5,S$1,$A920,$A920))))</f>
        <v/>
      </c>
      <c r="T920" s="8" t="str">
        <f>IF($A920="","",IF(ISNUMBER(FIND("IMPVOL",T$1)),_xll.BDH(config!$G$4,T$1,WORKDAY($A920,-1,config_Holiday_Calendar_US),WORKDAY($A920,-1,config_Holiday_Calendar_US)),IF(ISNUMBER(_xll.BDH(config!$G$4,T$1,$A920,$A920)),_xll.BDH(config!$G$4,T$1,$A920,$A920),_xll.BDH(config!$G$5,T$1,$A920,$A920))))</f>
        <v/>
      </c>
      <c r="U920" s="8" t="str">
        <f>IF($A920="","",IF(ISNUMBER(FIND("IMPVOL",U$1)),_xll.BDH(config!$G$4,U$1,WORKDAY($A920,-1,config_Holiday_Calendar_US),WORKDAY($A920,-1,config_Holiday_Calendar_US)),IF(ISNUMBER(_xll.BDH(config!$G$4,U$1,$A920,$A920)),_xll.BDH(config!$G$4,U$1,$A920,$A920),_xll.BDH(config!$G$5,U$1,$A920,$A920))))</f>
        <v/>
      </c>
      <c r="V920" s="8" t="str">
        <f>IF($A920="","",IF(ISNUMBER(FIND("IMPVOL",V$1)),_xll.BDH(config!$G$4,V$1,WORKDAY($A920,-1,config_Holiday_Calendar_US),WORKDAY($A920,-1,config_Holiday_Calendar_US)),IF(ISNUMBER(_xll.BDH(config!$G$4,V$1,$A920,$A920)),_xll.BDH(config!$G$4,V$1,$A920,$A920),_xll.BDH(config!$G$5,V$1,$A920,$A920))))</f>
        <v/>
      </c>
      <c r="W920" s="8" t="str">
        <f>IF($A920="","",IF(ISNUMBER(FIND("IMPVOL",W$1)),_xll.BDH(config!$G$4,W$1,WORKDAY($A920,-1,config_Holiday_Calendar_US),WORKDAY($A920,-1,config_Holiday_Calendar_US)),IF(ISNUMBER(_xll.BDH(config!$G$4,W$1,$A920,$A920)),_xll.BDH(config!$G$4,W$1,$A920,$A920),_xll.BDH(config!$G$5,W$1,$A920,$A920))))</f>
        <v/>
      </c>
    </row>
    <row r="921" spans="1:23" x14ac:dyDescent="0.2">
      <c r="A921" s="9" t="str">
        <f>IF(A920="","",IF(WORKDAY(A920,-1,config_Holiday_Calendar_US)&lt;config!$I$10,"",WORKDAY(A920,-1,config_Holiday_Calendar_US)))</f>
        <v/>
      </c>
      <c r="B921" s="8" t="str">
        <f t="shared" si="14"/>
        <v/>
      </c>
      <c r="C921" s="8" t="str">
        <f>IF(A921="","",_xll.BDH(config!$H$4,C$1,$A921,$A921))</f>
        <v/>
      </c>
      <c r="D921" s="8" t="str">
        <f>IF($A921="","",_xll.BDH(config!$H$4,D$1,$A921,$A921))</f>
        <v/>
      </c>
      <c r="E921" s="8" t="str">
        <f>IF($A921="","",IF(ISNUMBER(FIND("IMPVOL",E$1)),_xll.BDH(config!$G$4,E$1,WORKDAY($A921,-1,config_Holiday_Calendar_US),WORKDAY($A921,-1,config_Holiday_Calendar_US)),IF(ISNUMBER(_xll.BDH(config!$G$4,E$1,$A921,$A921)),_xll.BDH(config!$G$4,E$1,$A921,$A921),_xll.BDH(config!$G$5,E$1,$A921,$A921))))</f>
        <v/>
      </c>
      <c r="F921" s="8" t="str">
        <f>IF($A921="","",IF(ISNUMBER(FIND("IMPVOL",F$1)),_xll.BDH(config!$G$4,F$1,WORKDAY($A921,-1,config_Holiday_Calendar_US),WORKDAY($A921,-1,config_Holiday_Calendar_US)),IF(ISNUMBER(_xll.BDH(config!$G$4,F$1,$A921,$A921)),_xll.BDH(config!$G$4,F$1,$A921,$A921),_xll.BDH(config!$G$5,F$1,$A921,$A921))))</f>
        <v/>
      </c>
      <c r="G921" s="8" t="str">
        <f>IF($A921="","",IF(ISNUMBER(FIND("IMPVOL",G$1)),_xll.BDH(config!$G$4,G$1,WORKDAY($A921,-1,config_Holiday_Calendar_US),WORKDAY($A921,-1,config_Holiday_Calendar_US)),IF(ISNUMBER(_xll.BDH(config!$G$4,G$1,$A921,$A921)),_xll.BDH(config!$G$4,G$1,$A921,$A921),_xll.BDH(config!$G$5,G$1,$A921,$A921))))</f>
        <v/>
      </c>
      <c r="H921" s="8" t="str">
        <f>IF($A921="","",IF(ISNUMBER(FIND("IMPVOL",H$1)),_xll.BDH(config!$G$4,H$1,WORKDAY($A921,-1,config_Holiday_Calendar_US),WORKDAY($A921,-1,config_Holiday_Calendar_US)),IF(ISNUMBER(_xll.BDH(config!$G$4,H$1,$A921,$A921)),_xll.BDH(config!$G$4,H$1,$A921,$A921),_xll.BDH(config!$G$5,H$1,$A921,$A921))))</f>
        <v/>
      </c>
      <c r="I921" s="8" t="str">
        <f>IF($A921="","",IF(ISNUMBER(FIND("IMPVOL",I$1)),_xll.BDH(config!$G$4,I$1,WORKDAY($A921,-1,config_Holiday_Calendar_US),WORKDAY($A921,-1,config_Holiday_Calendar_US)),IF(ISNUMBER(_xll.BDH(config!$G$4,I$1,$A921,$A921)),_xll.BDH(config!$G$4,I$1,$A921,$A921),_xll.BDH(config!$G$5,I$1,$A921,$A921))))</f>
        <v/>
      </c>
      <c r="J921" s="8" t="str">
        <f>IF($A921="","",IF(ISNUMBER(FIND("IMPVOL",J$1)),_xll.BDH(config!$G$4,J$1,WORKDAY($A921,-1,config_Holiday_Calendar_US),WORKDAY($A921,-1,config_Holiday_Calendar_US)),IF(ISNUMBER(_xll.BDH(config!$G$4,J$1,$A921,$A921)),_xll.BDH(config!$G$4,J$1,$A921,$A921),_xll.BDH(config!$G$5,J$1,$A921,$A921))))</f>
        <v/>
      </c>
      <c r="K921" s="8" t="str">
        <f>IF($A921="","",IF(ISNUMBER(FIND("IMPVOL",K$1)),_xll.BDH(config!$G$4,K$1,WORKDAY($A921,-1,config_Holiday_Calendar_US),WORKDAY($A921,-1,config_Holiday_Calendar_US)),IF(ISNUMBER(_xll.BDH(config!$G$4,K$1,$A921,$A921)),_xll.BDH(config!$G$4,K$1,$A921,$A921),_xll.BDH(config!$G$5,K$1,$A921,$A921))))</f>
        <v/>
      </c>
      <c r="L921" s="8" t="str">
        <f>IF($A921="","",IF(ISNUMBER(FIND("IMPVOL",L$1)),_xll.BDH(config!$G$4,L$1,WORKDAY($A921,-1,config_Holiday_Calendar_US),WORKDAY($A921,-1,config_Holiday_Calendar_US)),IF(ISNUMBER(_xll.BDH(config!$G$4,L$1,$A921,$A921)),_xll.BDH(config!$G$4,L$1,$A921,$A921),_xll.BDH(config!$G$5,L$1,$A921,$A921))))</f>
        <v/>
      </c>
      <c r="M921" s="8" t="str">
        <f>IF($A921="","",IF(ISNUMBER(FIND("IMPVOL",M$1)),_xll.BDH(config!$G$4,M$1,WORKDAY($A921,-1,config_Holiday_Calendar_US),WORKDAY($A921,-1,config_Holiday_Calendar_US)),IF(ISNUMBER(_xll.BDH(config!$G$4,M$1,$A921,$A921)),_xll.BDH(config!$G$4,M$1,$A921,$A921),_xll.BDH(config!$G$5,M$1,$A921,$A921))))</f>
        <v/>
      </c>
      <c r="N921" s="8" t="str">
        <f>IF($A921="","",IF(ISNUMBER(FIND("IMPVOL",N$1)),_xll.BDH(config!$G$4,N$1,WORKDAY($A921,-1,config_Holiday_Calendar_US),WORKDAY($A921,-1,config_Holiday_Calendar_US)),IF(ISNUMBER(_xll.BDH(config!$G$4,N$1,$A921,$A921)),_xll.BDH(config!$G$4,N$1,$A921,$A921),_xll.BDH(config!$G$5,N$1,$A921,$A921))))</f>
        <v/>
      </c>
      <c r="O921" s="8" t="str">
        <f>IF($A921="","",IF(ISNUMBER(FIND("IMPVOL",O$1)),_xll.BDH(config!$G$4,O$1,WORKDAY($A921,-1,config_Holiday_Calendar_US),WORKDAY($A921,-1,config_Holiday_Calendar_US)),IF(ISNUMBER(_xll.BDH(config!$G$4,O$1,$A921,$A921)),_xll.BDH(config!$G$4,O$1,$A921,$A921),_xll.BDH(config!$G$5,O$1,$A921,$A921))))</f>
        <v/>
      </c>
      <c r="P921" s="8" t="str">
        <f>IF($A921="","",IF(ISNUMBER(FIND("IMPVOL",P$1)),_xll.BDH(config!$G$4,P$1,WORKDAY($A921,-1,config_Holiday_Calendar_US),WORKDAY($A921,-1,config_Holiday_Calendar_US)),IF(ISNUMBER(_xll.BDH(config!$G$4,P$1,$A921,$A921)),_xll.BDH(config!$G$4,P$1,$A921,$A921),_xll.BDH(config!$G$5,P$1,$A921,$A921))))</f>
        <v/>
      </c>
      <c r="Q921" s="8" t="str">
        <f>IF($A921="","",IF(ISNUMBER(FIND("IMPVOL",Q$1)),_xll.BDH(config!$G$4,Q$1,WORKDAY($A921,-1,config_Holiday_Calendar_US),WORKDAY($A921,-1,config_Holiday_Calendar_US)),IF(ISNUMBER(_xll.BDH(config!$G$4,Q$1,$A921,$A921)),_xll.BDH(config!$G$4,Q$1,$A921,$A921),_xll.BDH(config!$G$5,Q$1,$A921,$A921))))</f>
        <v/>
      </c>
      <c r="R921" s="8" t="str">
        <f>IF($A921="","",IF(ISNUMBER(FIND("IMPVOL",R$1)),_xll.BDH(config!$G$4,R$1,WORKDAY($A921,-1,config_Holiday_Calendar_US),WORKDAY($A921,-1,config_Holiday_Calendar_US)),IF(ISNUMBER(_xll.BDH(config!$G$4,R$1,$A921,$A921)),_xll.BDH(config!$G$4,R$1,$A921,$A921),_xll.BDH(config!$G$5,R$1,$A921,$A921))))</f>
        <v/>
      </c>
      <c r="S921" s="8" t="str">
        <f>IF($A921="","",IF(ISNUMBER(FIND("IMPVOL",S$1)),_xll.BDH(config!$G$4,S$1,WORKDAY($A921,-1,config_Holiday_Calendar_US),WORKDAY($A921,-1,config_Holiday_Calendar_US)),IF(ISNUMBER(_xll.BDH(config!$G$4,S$1,$A921,$A921)),_xll.BDH(config!$G$4,S$1,$A921,$A921),_xll.BDH(config!$G$5,S$1,$A921,$A921))))</f>
        <v/>
      </c>
      <c r="T921" s="8" t="str">
        <f>IF($A921="","",IF(ISNUMBER(FIND("IMPVOL",T$1)),_xll.BDH(config!$G$4,T$1,WORKDAY($A921,-1,config_Holiday_Calendar_US),WORKDAY($A921,-1,config_Holiday_Calendar_US)),IF(ISNUMBER(_xll.BDH(config!$G$4,T$1,$A921,$A921)),_xll.BDH(config!$G$4,T$1,$A921,$A921),_xll.BDH(config!$G$5,T$1,$A921,$A921))))</f>
        <v/>
      </c>
      <c r="U921" s="8" t="str">
        <f>IF($A921="","",IF(ISNUMBER(FIND("IMPVOL",U$1)),_xll.BDH(config!$G$4,U$1,WORKDAY($A921,-1,config_Holiday_Calendar_US),WORKDAY($A921,-1,config_Holiday_Calendar_US)),IF(ISNUMBER(_xll.BDH(config!$G$4,U$1,$A921,$A921)),_xll.BDH(config!$G$4,U$1,$A921,$A921),_xll.BDH(config!$G$5,U$1,$A921,$A921))))</f>
        <v/>
      </c>
      <c r="V921" s="8" t="str">
        <f>IF($A921="","",IF(ISNUMBER(FIND("IMPVOL",V$1)),_xll.BDH(config!$G$4,V$1,WORKDAY($A921,-1,config_Holiday_Calendar_US),WORKDAY($A921,-1,config_Holiday_Calendar_US)),IF(ISNUMBER(_xll.BDH(config!$G$4,V$1,$A921,$A921)),_xll.BDH(config!$G$4,V$1,$A921,$A921),_xll.BDH(config!$G$5,V$1,$A921,$A921))))</f>
        <v/>
      </c>
      <c r="W921" s="8" t="str">
        <f>IF($A921="","",IF(ISNUMBER(FIND("IMPVOL",W$1)),_xll.BDH(config!$G$4,W$1,WORKDAY($A921,-1,config_Holiday_Calendar_US),WORKDAY($A921,-1,config_Holiday_Calendar_US)),IF(ISNUMBER(_xll.BDH(config!$G$4,W$1,$A921,$A921)),_xll.BDH(config!$G$4,W$1,$A921,$A921),_xll.BDH(config!$G$5,W$1,$A921,$A921))))</f>
        <v/>
      </c>
    </row>
    <row r="922" spans="1:23" x14ac:dyDescent="0.2">
      <c r="A922" s="9" t="str">
        <f>IF(A921="","",IF(WORKDAY(A921,-1,config_Holiday_Calendar_US)&lt;config!$I$10,"",WORKDAY(A921,-1,config_Holiday_Calendar_US)))</f>
        <v/>
      </c>
      <c r="B922" s="8" t="str">
        <f t="shared" si="14"/>
        <v/>
      </c>
      <c r="C922" s="8" t="str">
        <f>IF(A922="","",_xll.BDH(config!$H$4,C$1,$A922,$A922))</f>
        <v/>
      </c>
      <c r="D922" s="8" t="str">
        <f>IF($A922="","",_xll.BDH(config!$H$4,D$1,$A922,$A922))</f>
        <v/>
      </c>
      <c r="E922" s="8" t="str">
        <f>IF($A922="","",IF(ISNUMBER(FIND("IMPVOL",E$1)),_xll.BDH(config!$G$4,E$1,WORKDAY($A922,-1,config_Holiday_Calendar_US),WORKDAY($A922,-1,config_Holiday_Calendar_US)),IF(ISNUMBER(_xll.BDH(config!$G$4,E$1,$A922,$A922)),_xll.BDH(config!$G$4,E$1,$A922,$A922),_xll.BDH(config!$G$5,E$1,$A922,$A922))))</f>
        <v/>
      </c>
      <c r="F922" s="8" t="str">
        <f>IF($A922="","",IF(ISNUMBER(FIND("IMPVOL",F$1)),_xll.BDH(config!$G$4,F$1,WORKDAY($A922,-1,config_Holiday_Calendar_US),WORKDAY($A922,-1,config_Holiday_Calendar_US)),IF(ISNUMBER(_xll.BDH(config!$G$4,F$1,$A922,$A922)),_xll.BDH(config!$G$4,F$1,$A922,$A922),_xll.BDH(config!$G$5,F$1,$A922,$A922))))</f>
        <v/>
      </c>
      <c r="G922" s="8" t="str">
        <f>IF($A922="","",IF(ISNUMBER(FIND("IMPVOL",G$1)),_xll.BDH(config!$G$4,G$1,WORKDAY($A922,-1,config_Holiday_Calendar_US),WORKDAY($A922,-1,config_Holiday_Calendar_US)),IF(ISNUMBER(_xll.BDH(config!$G$4,G$1,$A922,$A922)),_xll.BDH(config!$G$4,G$1,$A922,$A922),_xll.BDH(config!$G$5,G$1,$A922,$A922))))</f>
        <v/>
      </c>
      <c r="H922" s="8" t="str">
        <f>IF($A922="","",IF(ISNUMBER(FIND("IMPVOL",H$1)),_xll.BDH(config!$G$4,H$1,WORKDAY($A922,-1,config_Holiday_Calendar_US),WORKDAY($A922,-1,config_Holiday_Calendar_US)),IF(ISNUMBER(_xll.BDH(config!$G$4,H$1,$A922,$A922)),_xll.BDH(config!$G$4,H$1,$A922,$A922),_xll.BDH(config!$G$5,H$1,$A922,$A922))))</f>
        <v/>
      </c>
      <c r="I922" s="8" t="str">
        <f>IF($A922="","",IF(ISNUMBER(FIND("IMPVOL",I$1)),_xll.BDH(config!$G$4,I$1,WORKDAY($A922,-1,config_Holiday_Calendar_US),WORKDAY($A922,-1,config_Holiday_Calendar_US)),IF(ISNUMBER(_xll.BDH(config!$G$4,I$1,$A922,$A922)),_xll.BDH(config!$G$4,I$1,$A922,$A922),_xll.BDH(config!$G$5,I$1,$A922,$A922))))</f>
        <v/>
      </c>
      <c r="J922" s="8" t="str">
        <f>IF($A922="","",IF(ISNUMBER(FIND("IMPVOL",J$1)),_xll.BDH(config!$G$4,J$1,WORKDAY($A922,-1,config_Holiday_Calendar_US),WORKDAY($A922,-1,config_Holiday_Calendar_US)),IF(ISNUMBER(_xll.BDH(config!$G$4,J$1,$A922,$A922)),_xll.BDH(config!$G$4,J$1,$A922,$A922),_xll.BDH(config!$G$5,J$1,$A922,$A922))))</f>
        <v/>
      </c>
      <c r="K922" s="8" t="str">
        <f>IF($A922="","",IF(ISNUMBER(FIND("IMPVOL",K$1)),_xll.BDH(config!$G$4,K$1,WORKDAY($A922,-1,config_Holiday_Calendar_US),WORKDAY($A922,-1,config_Holiday_Calendar_US)),IF(ISNUMBER(_xll.BDH(config!$G$4,K$1,$A922,$A922)),_xll.BDH(config!$G$4,K$1,$A922,$A922),_xll.BDH(config!$G$5,K$1,$A922,$A922))))</f>
        <v/>
      </c>
      <c r="L922" s="8" t="str">
        <f>IF($A922="","",IF(ISNUMBER(FIND("IMPVOL",L$1)),_xll.BDH(config!$G$4,L$1,WORKDAY($A922,-1,config_Holiday_Calendar_US),WORKDAY($A922,-1,config_Holiday_Calendar_US)),IF(ISNUMBER(_xll.BDH(config!$G$4,L$1,$A922,$A922)),_xll.BDH(config!$G$4,L$1,$A922,$A922),_xll.BDH(config!$G$5,L$1,$A922,$A922))))</f>
        <v/>
      </c>
      <c r="M922" s="8" t="str">
        <f>IF($A922="","",IF(ISNUMBER(FIND("IMPVOL",M$1)),_xll.BDH(config!$G$4,M$1,WORKDAY($A922,-1,config_Holiday_Calendar_US),WORKDAY($A922,-1,config_Holiday_Calendar_US)),IF(ISNUMBER(_xll.BDH(config!$G$4,M$1,$A922,$A922)),_xll.BDH(config!$G$4,M$1,$A922,$A922),_xll.BDH(config!$G$5,M$1,$A922,$A922))))</f>
        <v/>
      </c>
      <c r="N922" s="8" t="str">
        <f>IF($A922="","",IF(ISNUMBER(FIND("IMPVOL",N$1)),_xll.BDH(config!$G$4,N$1,WORKDAY($A922,-1,config_Holiday_Calendar_US),WORKDAY($A922,-1,config_Holiday_Calendar_US)),IF(ISNUMBER(_xll.BDH(config!$G$4,N$1,$A922,$A922)),_xll.BDH(config!$G$4,N$1,$A922,$A922),_xll.BDH(config!$G$5,N$1,$A922,$A922))))</f>
        <v/>
      </c>
      <c r="O922" s="8" t="str">
        <f>IF($A922="","",IF(ISNUMBER(FIND("IMPVOL",O$1)),_xll.BDH(config!$G$4,O$1,WORKDAY($A922,-1,config_Holiday_Calendar_US),WORKDAY($A922,-1,config_Holiday_Calendar_US)),IF(ISNUMBER(_xll.BDH(config!$G$4,O$1,$A922,$A922)),_xll.BDH(config!$G$4,O$1,$A922,$A922),_xll.BDH(config!$G$5,O$1,$A922,$A922))))</f>
        <v/>
      </c>
      <c r="P922" s="8" t="str">
        <f>IF($A922="","",IF(ISNUMBER(FIND("IMPVOL",P$1)),_xll.BDH(config!$G$4,P$1,WORKDAY($A922,-1,config_Holiday_Calendar_US),WORKDAY($A922,-1,config_Holiday_Calendar_US)),IF(ISNUMBER(_xll.BDH(config!$G$4,P$1,$A922,$A922)),_xll.BDH(config!$G$4,P$1,$A922,$A922),_xll.BDH(config!$G$5,P$1,$A922,$A922))))</f>
        <v/>
      </c>
      <c r="Q922" s="8" t="str">
        <f>IF($A922="","",IF(ISNUMBER(FIND("IMPVOL",Q$1)),_xll.BDH(config!$G$4,Q$1,WORKDAY($A922,-1,config_Holiday_Calendar_US),WORKDAY($A922,-1,config_Holiday_Calendar_US)),IF(ISNUMBER(_xll.BDH(config!$G$4,Q$1,$A922,$A922)),_xll.BDH(config!$G$4,Q$1,$A922,$A922),_xll.BDH(config!$G$5,Q$1,$A922,$A922))))</f>
        <v/>
      </c>
      <c r="R922" s="8" t="str">
        <f>IF($A922="","",IF(ISNUMBER(FIND("IMPVOL",R$1)),_xll.BDH(config!$G$4,R$1,WORKDAY($A922,-1,config_Holiday_Calendar_US),WORKDAY($A922,-1,config_Holiday_Calendar_US)),IF(ISNUMBER(_xll.BDH(config!$G$4,R$1,$A922,$A922)),_xll.BDH(config!$G$4,R$1,$A922,$A922),_xll.BDH(config!$G$5,R$1,$A922,$A922))))</f>
        <v/>
      </c>
      <c r="S922" s="8" t="str">
        <f>IF($A922="","",IF(ISNUMBER(FIND("IMPVOL",S$1)),_xll.BDH(config!$G$4,S$1,WORKDAY($A922,-1,config_Holiday_Calendar_US),WORKDAY($A922,-1,config_Holiday_Calendar_US)),IF(ISNUMBER(_xll.BDH(config!$G$4,S$1,$A922,$A922)),_xll.BDH(config!$G$4,S$1,$A922,$A922),_xll.BDH(config!$G$5,S$1,$A922,$A922))))</f>
        <v/>
      </c>
      <c r="T922" s="8" t="str">
        <f>IF($A922="","",IF(ISNUMBER(FIND("IMPVOL",T$1)),_xll.BDH(config!$G$4,T$1,WORKDAY($A922,-1,config_Holiday_Calendar_US),WORKDAY($A922,-1,config_Holiday_Calendar_US)),IF(ISNUMBER(_xll.BDH(config!$G$4,T$1,$A922,$A922)),_xll.BDH(config!$G$4,T$1,$A922,$A922),_xll.BDH(config!$G$5,T$1,$A922,$A922))))</f>
        <v/>
      </c>
      <c r="U922" s="8" t="str">
        <f>IF($A922="","",IF(ISNUMBER(FIND("IMPVOL",U$1)),_xll.BDH(config!$G$4,U$1,WORKDAY($A922,-1,config_Holiday_Calendar_US),WORKDAY($A922,-1,config_Holiday_Calendar_US)),IF(ISNUMBER(_xll.BDH(config!$G$4,U$1,$A922,$A922)),_xll.BDH(config!$G$4,U$1,$A922,$A922),_xll.BDH(config!$G$5,U$1,$A922,$A922))))</f>
        <v/>
      </c>
      <c r="V922" s="8" t="str">
        <f>IF($A922="","",IF(ISNUMBER(FIND("IMPVOL",V$1)),_xll.BDH(config!$G$4,V$1,WORKDAY($A922,-1,config_Holiday_Calendar_US),WORKDAY($A922,-1,config_Holiday_Calendar_US)),IF(ISNUMBER(_xll.BDH(config!$G$4,V$1,$A922,$A922)),_xll.BDH(config!$G$4,V$1,$A922,$A922),_xll.BDH(config!$G$5,V$1,$A922,$A922))))</f>
        <v/>
      </c>
      <c r="W922" s="8" t="str">
        <f>IF($A922="","",IF(ISNUMBER(FIND("IMPVOL",W$1)),_xll.BDH(config!$G$4,W$1,WORKDAY($A922,-1,config_Holiday_Calendar_US),WORKDAY($A922,-1,config_Holiday_Calendar_US)),IF(ISNUMBER(_xll.BDH(config!$G$4,W$1,$A922,$A922)),_xll.BDH(config!$G$4,W$1,$A922,$A922),_xll.BDH(config!$G$5,W$1,$A922,$A922))))</f>
        <v/>
      </c>
    </row>
    <row r="923" spans="1:23" x14ac:dyDescent="0.2">
      <c r="A923" s="9" t="str">
        <f>IF(A922="","",IF(WORKDAY(A922,-1,config_Holiday_Calendar_US)&lt;config!$I$10,"",WORKDAY(A922,-1,config_Holiday_Calendar_US)))</f>
        <v/>
      </c>
      <c r="B923" s="8" t="str">
        <f t="shared" si="14"/>
        <v/>
      </c>
      <c r="C923" s="8" t="str">
        <f>IF(A923="","",_xll.BDH(config!$H$4,C$1,$A923,$A923))</f>
        <v/>
      </c>
      <c r="D923" s="8" t="str">
        <f>IF($A923="","",_xll.BDH(config!$H$4,D$1,$A923,$A923))</f>
        <v/>
      </c>
      <c r="E923" s="8" t="str">
        <f>IF($A923="","",IF(ISNUMBER(FIND("IMPVOL",E$1)),_xll.BDH(config!$G$4,E$1,WORKDAY($A923,-1,config_Holiday_Calendar_US),WORKDAY($A923,-1,config_Holiday_Calendar_US)),IF(ISNUMBER(_xll.BDH(config!$G$4,E$1,$A923,$A923)),_xll.BDH(config!$G$4,E$1,$A923,$A923),_xll.BDH(config!$G$5,E$1,$A923,$A923))))</f>
        <v/>
      </c>
      <c r="F923" s="8" t="str">
        <f>IF($A923="","",IF(ISNUMBER(FIND("IMPVOL",F$1)),_xll.BDH(config!$G$4,F$1,WORKDAY($A923,-1,config_Holiday_Calendar_US),WORKDAY($A923,-1,config_Holiday_Calendar_US)),IF(ISNUMBER(_xll.BDH(config!$G$4,F$1,$A923,$A923)),_xll.BDH(config!$G$4,F$1,$A923,$A923),_xll.BDH(config!$G$5,F$1,$A923,$A923))))</f>
        <v/>
      </c>
      <c r="G923" s="8" t="str">
        <f>IF($A923="","",IF(ISNUMBER(FIND("IMPVOL",G$1)),_xll.BDH(config!$G$4,G$1,WORKDAY($A923,-1,config_Holiday_Calendar_US),WORKDAY($A923,-1,config_Holiday_Calendar_US)),IF(ISNUMBER(_xll.BDH(config!$G$4,G$1,$A923,$A923)),_xll.BDH(config!$G$4,G$1,$A923,$A923),_xll.BDH(config!$G$5,G$1,$A923,$A923))))</f>
        <v/>
      </c>
      <c r="H923" s="8" t="str">
        <f>IF($A923="","",IF(ISNUMBER(FIND("IMPVOL",H$1)),_xll.BDH(config!$G$4,H$1,WORKDAY($A923,-1,config_Holiday_Calendar_US),WORKDAY($A923,-1,config_Holiday_Calendar_US)),IF(ISNUMBER(_xll.BDH(config!$G$4,H$1,$A923,$A923)),_xll.BDH(config!$G$4,H$1,$A923,$A923),_xll.BDH(config!$G$5,H$1,$A923,$A923))))</f>
        <v/>
      </c>
      <c r="I923" s="8" t="str">
        <f>IF($A923="","",IF(ISNUMBER(FIND("IMPVOL",I$1)),_xll.BDH(config!$G$4,I$1,WORKDAY($A923,-1,config_Holiday_Calendar_US),WORKDAY($A923,-1,config_Holiday_Calendar_US)),IF(ISNUMBER(_xll.BDH(config!$G$4,I$1,$A923,$A923)),_xll.BDH(config!$G$4,I$1,$A923,$A923),_xll.BDH(config!$G$5,I$1,$A923,$A923))))</f>
        <v/>
      </c>
      <c r="J923" s="8" t="str">
        <f>IF($A923="","",IF(ISNUMBER(FIND("IMPVOL",J$1)),_xll.BDH(config!$G$4,J$1,WORKDAY($A923,-1,config_Holiday_Calendar_US),WORKDAY($A923,-1,config_Holiday_Calendar_US)),IF(ISNUMBER(_xll.BDH(config!$G$4,J$1,$A923,$A923)),_xll.BDH(config!$G$4,J$1,$A923,$A923),_xll.BDH(config!$G$5,J$1,$A923,$A923))))</f>
        <v/>
      </c>
      <c r="K923" s="8" t="str">
        <f>IF($A923="","",IF(ISNUMBER(FIND("IMPVOL",K$1)),_xll.BDH(config!$G$4,K$1,WORKDAY($A923,-1,config_Holiday_Calendar_US),WORKDAY($A923,-1,config_Holiday_Calendar_US)),IF(ISNUMBER(_xll.BDH(config!$G$4,K$1,$A923,$A923)),_xll.BDH(config!$G$4,K$1,$A923,$A923),_xll.BDH(config!$G$5,K$1,$A923,$A923))))</f>
        <v/>
      </c>
      <c r="L923" s="8" t="str">
        <f>IF($A923="","",IF(ISNUMBER(FIND("IMPVOL",L$1)),_xll.BDH(config!$G$4,L$1,WORKDAY($A923,-1,config_Holiday_Calendar_US),WORKDAY($A923,-1,config_Holiday_Calendar_US)),IF(ISNUMBER(_xll.BDH(config!$G$4,L$1,$A923,$A923)),_xll.BDH(config!$G$4,L$1,$A923,$A923),_xll.BDH(config!$G$5,L$1,$A923,$A923))))</f>
        <v/>
      </c>
      <c r="M923" s="8" t="str">
        <f>IF($A923="","",IF(ISNUMBER(FIND("IMPVOL",M$1)),_xll.BDH(config!$G$4,M$1,WORKDAY($A923,-1,config_Holiday_Calendar_US),WORKDAY($A923,-1,config_Holiday_Calendar_US)),IF(ISNUMBER(_xll.BDH(config!$G$4,M$1,$A923,$A923)),_xll.BDH(config!$G$4,M$1,$A923,$A923),_xll.BDH(config!$G$5,M$1,$A923,$A923))))</f>
        <v/>
      </c>
      <c r="N923" s="8" t="str">
        <f>IF($A923="","",IF(ISNUMBER(FIND("IMPVOL",N$1)),_xll.BDH(config!$G$4,N$1,WORKDAY($A923,-1,config_Holiday_Calendar_US),WORKDAY($A923,-1,config_Holiday_Calendar_US)),IF(ISNUMBER(_xll.BDH(config!$G$4,N$1,$A923,$A923)),_xll.BDH(config!$G$4,N$1,$A923,$A923),_xll.BDH(config!$G$5,N$1,$A923,$A923))))</f>
        <v/>
      </c>
      <c r="O923" s="8" t="str">
        <f>IF($A923="","",IF(ISNUMBER(FIND("IMPVOL",O$1)),_xll.BDH(config!$G$4,O$1,WORKDAY($A923,-1,config_Holiday_Calendar_US),WORKDAY($A923,-1,config_Holiday_Calendar_US)),IF(ISNUMBER(_xll.BDH(config!$G$4,O$1,$A923,$A923)),_xll.BDH(config!$G$4,O$1,$A923,$A923),_xll.BDH(config!$G$5,O$1,$A923,$A923))))</f>
        <v/>
      </c>
      <c r="P923" s="8" t="str">
        <f>IF($A923="","",IF(ISNUMBER(FIND("IMPVOL",P$1)),_xll.BDH(config!$G$4,P$1,WORKDAY($A923,-1,config_Holiday_Calendar_US),WORKDAY($A923,-1,config_Holiday_Calendar_US)),IF(ISNUMBER(_xll.BDH(config!$G$4,P$1,$A923,$A923)),_xll.BDH(config!$G$4,P$1,$A923,$A923),_xll.BDH(config!$G$5,P$1,$A923,$A923))))</f>
        <v/>
      </c>
      <c r="Q923" s="8" t="str">
        <f>IF($A923="","",IF(ISNUMBER(FIND("IMPVOL",Q$1)),_xll.BDH(config!$G$4,Q$1,WORKDAY($A923,-1,config_Holiday_Calendar_US),WORKDAY($A923,-1,config_Holiday_Calendar_US)),IF(ISNUMBER(_xll.BDH(config!$G$4,Q$1,$A923,$A923)),_xll.BDH(config!$G$4,Q$1,$A923,$A923),_xll.BDH(config!$G$5,Q$1,$A923,$A923))))</f>
        <v/>
      </c>
      <c r="R923" s="8" t="str">
        <f>IF($A923="","",IF(ISNUMBER(FIND("IMPVOL",R$1)),_xll.BDH(config!$G$4,R$1,WORKDAY($A923,-1,config_Holiday_Calendar_US),WORKDAY($A923,-1,config_Holiday_Calendar_US)),IF(ISNUMBER(_xll.BDH(config!$G$4,R$1,$A923,$A923)),_xll.BDH(config!$G$4,R$1,$A923,$A923),_xll.BDH(config!$G$5,R$1,$A923,$A923))))</f>
        <v/>
      </c>
      <c r="S923" s="8" t="str">
        <f>IF($A923="","",IF(ISNUMBER(FIND("IMPVOL",S$1)),_xll.BDH(config!$G$4,S$1,WORKDAY($A923,-1,config_Holiday_Calendar_US),WORKDAY($A923,-1,config_Holiday_Calendar_US)),IF(ISNUMBER(_xll.BDH(config!$G$4,S$1,$A923,$A923)),_xll.BDH(config!$G$4,S$1,$A923,$A923),_xll.BDH(config!$G$5,S$1,$A923,$A923))))</f>
        <v/>
      </c>
      <c r="T923" s="8" t="str">
        <f>IF($A923="","",IF(ISNUMBER(FIND("IMPVOL",T$1)),_xll.BDH(config!$G$4,T$1,WORKDAY($A923,-1,config_Holiday_Calendar_US),WORKDAY($A923,-1,config_Holiday_Calendar_US)),IF(ISNUMBER(_xll.BDH(config!$G$4,T$1,$A923,$A923)),_xll.BDH(config!$G$4,T$1,$A923,$A923),_xll.BDH(config!$G$5,T$1,$A923,$A923))))</f>
        <v/>
      </c>
      <c r="U923" s="8" t="str">
        <f>IF($A923="","",IF(ISNUMBER(FIND("IMPVOL",U$1)),_xll.BDH(config!$G$4,U$1,WORKDAY($A923,-1,config_Holiday_Calendar_US),WORKDAY($A923,-1,config_Holiday_Calendar_US)),IF(ISNUMBER(_xll.BDH(config!$G$4,U$1,$A923,$A923)),_xll.BDH(config!$G$4,U$1,$A923,$A923),_xll.BDH(config!$G$5,U$1,$A923,$A923))))</f>
        <v/>
      </c>
      <c r="V923" s="8" t="str">
        <f>IF($A923="","",IF(ISNUMBER(FIND("IMPVOL",V$1)),_xll.BDH(config!$G$4,V$1,WORKDAY($A923,-1,config_Holiday_Calendar_US),WORKDAY($A923,-1,config_Holiday_Calendar_US)),IF(ISNUMBER(_xll.BDH(config!$G$4,V$1,$A923,$A923)),_xll.BDH(config!$G$4,V$1,$A923,$A923),_xll.BDH(config!$G$5,V$1,$A923,$A923))))</f>
        <v/>
      </c>
      <c r="W923" s="8" t="str">
        <f>IF($A923="","",IF(ISNUMBER(FIND("IMPVOL",W$1)),_xll.BDH(config!$G$4,W$1,WORKDAY($A923,-1,config_Holiday_Calendar_US),WORKDAY($A923,-1,config_Holiday_Calendar_US)),IF(ISNUMBER(_xll.BDH(config!$G$4,W$1,$A923,$A923)),_xll.BDH(config!$G$4,W$1,$A923,$A923),_xll.BDH(config!$G$5,W$1,$A923,$A923))))</f>
        <v/>
      </c>
    </row>
    <row r="924" spans="1:23" x14ac:dyDescent="0.2">
      <c r="A924" s="9" t="str">
        <f>IF(A923="","",IF(WORKDAY(A923,-1,config_Holiday_Calendar_US)&lt;config!$I$10,"",WORKDAY(A923,-1,config_Holiday_Calendar_US)))</f>
        <v/>
      </c>
      <c r="B924" s="8" t="str">
        <f t="shared" si="14"/>
        <v/>
      </c>
      <c r="C924" s="8" t="str">
        <f>IF(A924="","",_xll.BDH(config!$H$4,C$1,$A924,$A924))</f>
        <v/>
      </c>
      <c r="D924" s="8" t="str">
        <f>IF($A924="","",_xll.BDH(config!$H$4,D$1,$A924,$A924))</f>
        <v/>
      </c>
      <c r="E924" s="8" t="str">
        <f>IF($A924="","",IF(ISNUMBER(FIND("IMPVOL",E$1)),_xll.BDH(config!$G$4,E$1,WORKDAY($A924,-1,config_Holiday_Calendar_US),WORKDAY($A924,-1,config_Holiday_Calendar_US)),IF(ISNUMBER(_xll.BDH(config!$G$4,E$1,$A924,$A924)),_xll.BDH(config!$G$4,E$1,$A924,$A924),_xll.BDH(config!$G$5,E$1,$A924,$A924))))</f>
        <v/>
      </c>
      <c r="F924" s="8" t="str">
        <f>IF($A924="","",IF(ISNUMBER(FIND("IMPVOL",F$1)),_xll.BDH(config!$G$4,F$1,WORKDAY($A924,-1,config_Holiday_Calendar_US),WORKDAY($A924,-1,config_Holiday_Calendar_US)),IF(ISNUMBER(_xll.BDH(config!$G$4,F$1,$A924,$A924)),_xll.BDH(config!$G$4,F$1,$A924,$A924),_xll.BDH(config!$G$5,F$1,$A924,$A924))))</f>
        <v/>
      </c>
      <c r="G924" s="8" t="str">
        <f>IF($A924="","",IF(ISNUMBER(FIND("IMPVOL",G$1)),_xll.BDH(config!$G$4,G$1,WORKDAY($A924,-1,config_Holiday_Calendar_US),WORKDAY($A924,-1,config_Holiday_Calendar_US)),IF(ISNUMBER(_xll.BDH(config!$G$4,G$1,$A924,$A924)),_xll.BDH(config!$G$4,G$1,$A924,$A924),_xll.BDH(config!$G$5,G$1,$A924,$A924))))</f>
        <v/>
      </c>
      <c r="H924" s="8" t="str">
        <f>IF($A924="","",IF(ISNUMBER(FIND("IMPVOL",H$1)),_xll.BDH(config!$G$4,H$1,WORKDAY($A924,-1,config_Holiday_Calendar_US),WORKDAY($A924,-1,config_Holiday_Calendar_US)),IF(ISNUMBER(_xll.BDH(config!$G$4,H$1,$A924,$A924)),_xll.BDH(config!$G$4,H$1,$A924,$A924),_xll.BDH(config!$G$5,H$1,$A924,$A924))))</f>
        <v/>
      </c>
      <c r="I924" s="8" t="str">
        <f>IF($A924="","",IF(ISNUMBER(FIND("IMPVOL",I$1)),_xll.BDH(config!$G$4,I$1,WORKDAY($A924,-1,config_Holiday_Calendar_US),WORKDAY($A924,-1,config_Holiday_Calendar_US)),IF(ISNUMBER(_xll.BDH(config!$G$4,I$1,$A924,$A924)),_xll.BDH(config!$G$4,I$1,$A924,$A924),_xll.BDH(config!$G$5,I$1,$A924,$A924))))</f>
        <v/>
      </c>
      <c r="J924" s="8" t="str">
        <f>IF($A924="","",IF(ISNUMBER(FIND("IMPVOL",J$1)),_xll.BDH(config!$G$4,J$1,WORKDAY($A924,-1,config_Holiday_Calendar_US),WORKDAY($A924,-1,config_Holiday_Calendar_US)),IF(ISNUMBER(_xll.BDH(config!$G$4,J$1,$A924,$A924)),_xll.BDH(config!$G$4,J$1,$A924,$A924),_xll.BDH(config!$G$5,J$1,$A924,$A924))))</f>
        <v/>
      </c>
      <c r="K924" s="8" t="str">
        <f>IF($A924="","",IF(ISNUMBER(FIND("IMPVOL",K$1)),_xll.BDH(config!$G$4,K$1,WORKDAY($A924,-1,config_Holiday_Calendar_US),WORKDAY($A924,-1,config_Holiday_Calendar_US)),IF(ISNUMBER(_xll.BDH(config!$G$4,K$1,$A924,$A924)),_xll.BDH(config!$G$4,K$1,$A924,$A924),_xll.BDH(config!$G$5,K$1,$A924,$A924))))</f>
        <v/>
      </c>
      <c r="L924" s="8" t="str">
        <f>IF($A924="","",IF(ISNUMBER(FIND("IMPVOL",L$1)),_xll.BDH(config!$G$4,L$1,WORKDAY($A924,-1,config_Holiday_Calendar_US),WORKDAY($A924,-1,config_Holiday_Calendar_US)),IF(ISNUMBER(_xll.BDH(config!$G$4,L$1,$A924,$A924)),_xll.BDH(config!$G$4,L$1,$A924,$A924),_xll.BDH(config!$G$5,L$1,$A924,$A924))))</f>
        <v/>
      </c>
      <c r="M924" s="8" t="str">
        <f>IF($A924="","",IF(ISNUMBER(FIND("IMPVOL",M$1)),_xll.BDH(config!$G$4,M$1,WORKDAY($A924,-1,config_Holiday_Calendar_US),WORKDAY($A924,-1,config_Holiday_Calendar_US)),IF(ISNUMBER(_xll.BDH(config!$G$4,M$1,$A924,$A924)),_xll.BDH(config!$G$4,M$1,$A924,$A924),_xll.BDH(config!$G$5,M$1,$A924,$A924))))</f>
        <v/>
      </c>
      <c r="N924" s="8" t="str">
        <f>IF($A924="","",IF(ISNUMBER(FIND("IMPVOL",N$1)),_xll.BDH(config!$G$4,N$1,WORKDAY($A924,-1,config_Holiday_Calendar_US),WORKDAY($A924,-1,config_Holiday_Calendar_US)),IF(ISNUMBER(_xll.BDH(config!$G$4,N$1,$A924,$A924)),_xll.BDH(config!$G$4,N$1,$A924,$A924),_xll.BDH(config!$G$5,N$1,$A924,$A924))))</f>
        <v/>
      </c>
      <c r="O924" s="8" t="str">
        <f>IF($A924="","",IF(ISNUMBER(FIND("IMPVOL",O$1)),_xll.BDH(config!$G$4,O$1,WORKDAY($A924,-1,config_Holiday_Calendar_US),WORKDAY($A924,-1,config_Holiday_Calendar_US)),IF(ISNUMBER(_xll.BDH(config!$G$4,O$1,$A924,$A924)),_xll.BDH(config!$G$4,O$1,$A924,$A924),_xll.BDH(config!$G$5,O$1,$A924,$A924))))</f>
        <v/>
      </c>
      <c r="P924" s="8" t="str">
        <f>IF($A924="","",IF(ISNUMBER(FIND("IMPVOL",P$1)),_xll.BDH(config!$G$4,P$1,WORKDAY($A924,-1,config_Holiday_Calendar_US),WORKDAY($A924,-1,config_Holiday_Calendar_US)),IF(ISNUMBER(_xll.BDH(config!$G$4,P$1,$A924,$A924)),_xll.BDH(config!$G$4,P$1,$A924,$A924),_xll.BDH(config!$G$5,P$1,$A924,$A924))))</f>
        <v/>
      </c>
      <c r="Q924" s="8" t="str">
        <f>IF($A924="","",IF(ISNUMBER(FIND("IMPVOL",Q$1)),_xll.BDH(config!$G$4,Q$1,WORKDAY($A924,-1,config_Holiday_Calendar_US),WORKDAY($A924,-1,config_Holiday_Calendar_US)),IF(ISNUMBER(_xll.BDH(config!$G$4,Q$1,$A924,$A924)),_xll.BDH(config!$G$4,Q$1,$A924,$A924),_xll.BDH(config!$G$5,Q$1,$A924,$A924))))</f>
        <v/>
      </c>
      <c r="R924" s="8" t="str">
        <f>IF($A924="","",IF(ISNUMBER(FIND("IMPVOL",R$1)),_xll.BDH(config!$G$4,R$1,WORKDAY($A924,-1,config_Holiday_Calendar_US),WORKDAY($A924,-1,config_Holiday_Calendar_US)),IF(ISNUMBER(_xll.BDH(config!$G$4,R$1,$A924,$A924)),_xll.BDH(config!$G$4,R$1,$A924,$A924),_xll.BDH(config!$G$5,R$1,$A924,$A924))))</f>
        <v/>
      </c>
      <c r="S924" s="8" t="str">
        <f>IF($A924="","",IF(ISNUMBER(FIND("IMPVOL",S$1)),_xll.BDH(config!$G$4,S$1,WORKDAY($A924,-1,config_Holiday_Calendar_US),WORKDAY($A924,-1,config_Holiday_Calendar_US)),IF(ISNUMBER(_xll.BDH(config!$G$4,S$1,$A924,$A924)),_xll.BDH(config!$G$4,S$1,$A924,$A924),_xll.BDH(config!$G$5,S$1,$A924,$A924))))</f>
        <v/>
      </c>
      <c r="T924" s="8" t="str">
        <f>IF($A924="","",IF(ISNUMBER(FIND("IMPVOL",T$1)),_xll.BDH(config!$G$4,T$1,WORKDAY($A924,-1,config_Holiday_Calendar_US),WORKDAY($A924,-1,config_Holiday_Calendar_US)),IF(ISNUMBER(_xll.BDH(config!$G$4,T$1,$A924,$A924)),_xll.BDH(config!$G$4,T$1,$A924,$A924),_xll.BDH(config!$G$5,T$1,$A924,$A924))))</f>
        <v/>
      </c>
      <c r="U924" s="8" t="str">
        <f>IF($A924="","",IF(ISNUMBER(FIND("IMPVOL",U$1)),_xll.BDH(config!$G$4,U$1,WORKDAY($A924,-1,config_Holiday_Calendar_US),WORKDAY($A924,-1,config_Holiday_Calendar_US)),IF(ISNUMBER(_xll.BDH(config!$G$4,U$1,$A924,$A924)),_xll.BDH(config!$G$4,U$1,$A924,$A924),_xll.BDH(config!$G$5,U$1,$A924,$A924))))</f>
        <v/>
      </c>
      <c r="V924" s="8" t="str">
        <f>IF($A924="","",IF(ISNUMBER(FIND("IMPVOL",V$1)),_xll.BDH(config!$G$4,V$1,WORKDAY($A924,-1,config_Holiday_Calendar_US),WORKDAY($A924,-1,config_Holiday_Calendar_US)),IF(ISNUMBER(_xll.BDH(config!$G$4,V$1,$A924,$A924)),_xll.BDH(config!$G$4,V$1,$A924,$A924),_xll.BDH(config!$G$5,V$1,$A924,$A924))))</f>
        <v/>
      </c>
      <c r="W924" s="8" t="str">
        <f>IF($A924="","",IF(ISNUMBER(FIND("IMPVOL",W$1)),_xll.BDH(config!$G$4,W$1,WORKDAY($A924,-1,config_Holiday_Calendar_US),WORKDAY($A924,-1,config_Holiday_Calendar_US)),IF(ISNUMBER(_xll.BDH(config!$G$4,W$1,$A924,$A924)),_xll.BDH(config!$G$4,W$1,$A924,$A924),_xll.BDH(config!$G$5,W$1,$A924,$A924))))</f>
        <v/>
      </c>
    </row>
    <row r="925" spans="1:23" x14ac:dyDescent="0.2">
      <c r="A925" s="9" t="str">
        <f>IF(A924="","",IF(WORKDAY(A924,-1,config_Holiday_Calendar_US)&lt;config!$I$10,"",WORKDAY(A924,-1,config_Holiday_Calendar_US)))</f>
        <v/>
      </c>
      <c r="B925" s="8" t="str">
        <f t="shared" si="14"/>
        <v/>
      </c>
      <c r="C925" s="8" t="str">
        <f>IF(A925="","",_xll.BDH(config!$H$4,C$1,$A925,$A925))</f>
        <v/>
      </c>
      <c r="D925" s="8" t="str">
        <f>IF($A925="","",_xll.BDH(config!$H$4,D$1,$A925,$A925))</f>
        <v/>
      </c>
      <c r="E925" s="8" t="str">
        <f>IF($A925="","",IF(ISNUMBER(FIND("IMPVOL",E$1)),_xll.BDH(config!$G$4,E$1,WORKDAY($A925,-1,config_Holiday_Calendar_US),WORKDAY($A925,-1,config_Holiday_Calendar_US)),IF(ISNUMBER(_xll.BDH(config!$G$4,E$1,$A925,$A925)),_xll.BDH(config!$G$4,E$1,$A925,$A925),_xll.BDH(config!$G$5,E$1,$A925,$A925))))</f>
        <v/>
      </c>
      <c r="F925" s="8" t="str">
        <f>IF($A925="","",IF(ISNUMBER(FIND("IMPVOL",F$1)),_xll.BDH(config!$G$4,F$1,WORKDAY($A925,-1,config_Holiday_Calendar_US),WORKDAY($A925,-1,config_Holiday_Calendar_US)),IF(ISNUMBER(_xll.BDH(config!$G$4,F$1,$A925,$A925)),_xll.BDH(config!$G$4,F$1,$A925,$A925),_xll.BDH(config!$G$5,F$1,$A925,$A925))))</f>
        <v/>
      </c>
      <c r="G925" s="8" t="str">
        <f>IF($A925="","",IF(ISNUMBER(FIND("IMPVOL",G$1)),_xll.BDH(config!$G$4,G$1,WORKDAY($A925,-1,config_Holiday_Calendar_US),WORKDAY($A925,-1,config_Holiday_Calendar_US)),IF(ISNUMBER(_xll.BDH(config!$G$4,G$1,$A925,$A925)),_xll.BDH(config!$G$4,G$1,$A925,$A925),_xll.BDH(config!$G$5,G$1,$A925,$A925))))</f>
        <v/>
      </c>
      <c r="H925" s="8" t="str">
        <f>IF($A925="","",IF(ISNUMBER(FIND("IMPVOL",H$1)),_xll.BDH(config!$G$4,H$1,WORKDAY($A925,-1,config_Holiday_Calendar_US),WORKDAY($A925,-1,config_Holiday_Calendar_US)),IF(ISNUMBER(_xll.BDH(config!$G$4,H$1,$A925,$A925)),_xll.BDH(config!$G$4,H$1,$A925,$A925),_xll.BDH(config!$G$5,H$1,$A925,$A925))))</f>
        <v/>
      </c>
      <c r="I925" s="8" t="str">
        <f>IF($A925="","",IF(ISNUMBER(FIND("IMPVOL",I$1)),_xll.BDH(config!$G$4,I$1,WORKDAY($A925,-1,config_Holiday_Calendar_US),WORKDAY($A925,-1,config_Holiday_Calendar_US)),IF(ISNUMBER(_xll.BDH(config!$G$4,I$1,$A925,$A925)),_xll.BDH(config!$G$4,I$1,$A925,$A925),_xll.BDH(config!$G$5,I$1,$A925,$A925))))</f>
        <v/>
      </c>
      <c r="J925" s="8" t="str">
        <f>IF($A925="","",IF(ISNUMBER(FIND("IMPVOL",J$1)),_xll.BDH(config!$G$4,J$1,WORKDAY($A925,-1,config_Holiday_Calendar_US),WORKDAY($A925,-1,config_Holiday_Calendar_US)),IF(ISNUMBER(_xll.BDH(config!$G$4,J$1,$A925,$A925)),_xll.BDH(config!$G$4,J$1,$A925,$A925),_xll.BDH(config!$G$5,J$1,$A925,$A925))))</f>
        <v/>
      </c>
      <c r="K925" s="8" t="str">
        <f>IF($A925="","",IF(ISNUMBER(FIND("IMPVOL",K$1)),_xll.BDH(config!$G$4,K$1,WORKDAY($A925,-1,config_Holiday_Calendar_US),WORKDAY($A925,-1,config_Holiday_Calendar_US)),IF(ISNUMBER(_xll.BDH(config!$G$4,K$1,$A925,$A925)),_xll.BDH(config!$G$4,K$1,$A925,$A925),_xll.BDH(config!$G$5,K$1,$A925,$A925))))</f>
        <v/>
      </c>
      <c r="L925" s="8" t="str">
        <f>IF($A925="","",IF(ISNUMBER(FIND("IMPVOL",L$1)),_xll.BDH(config!$G$4,L$1,WORKDAY($A925,-1,config_Holiday_Calendar_US),WORKDAY($A925,-1,config_Holiday_Calendar_US)),IF(ISNUMBER(_xll.BDH(config!$G$4,L$1,$A925,$A925)),_xll.BDH(config!$G$4,L$1,$A925,$A925),_xll.BDH(config!$G$5,L$1,$A925,$A925))))</f>
        <v/>
      </c>
      <c r="M925" s="8" t="str">
        <f>IF($A925="","",IF(ISNUMBER(FIND("IMPVOL",M$1)),_xll.BDH(config!$G$4,M$1,WORKDAY($A925,-1,config_Holiday_Calendar_US),WORKDAY($A925,-1,config_Holiday_Calendar_US)),IF(ISNUMBER(_xll.BDH(config!$G$4,M$1,$A925,$A925)),_xll.BDH(config!$G$4,M$1,$A925,$A925),_xll.BDH(config!$G$5,M$1,$A925,$A925))))</f>
        <v/>
      </c>
      <c r="N925" s="8" t="str">
        <f>IF($A925="","",IF(ISNUMBER(FIND("IMPVOL",N$1)),_xll.BDH(config!$G$4,N$1,WORKDAY($A925,-1,config_Holiday_Calendar_US),WORKDAY($A925,-1,config_Holiday_Calendar_US)),IF(ISNUMBER(_xll.BDH(config!$G$4,N$1,$A925,$A925)),_xll.BDH(config!$G$4,N$1,$A925,$A925),_xll.BDH(config!$G$5,N$1,$A925,$A925))))</f>
        <v/>
      </c>
      <c r="O925" s="8" t="str">
        <f>IF($A925="","",IF(ISNUMBER(FIND("IMPVOL",O$1)),_xll.BDH(config!$G$4,O$1,WORKDAY($A925,-1,config_Holiday_Calendar_US),WORKDAY($A925,-1,config_Holiday_Calendar_US)),IF(ISNUMBER(_xll.BDH(config!$G$4,O$1,$A925,$A925)),_xll.BDH(config!$G$4,O$1,$A925,$A925),_xll.BDH(config!$G$5,O$1,$A925,$A925))))</f>
        <v/>
      </c>
      <c r="P925" s="8" t="str">
        <f>IF($A925="","",IF(ISNUMBER(FIND("IMPVOL",P$1)),_xll.BDH(config!$G$4,P$1,WORKDAY($A925,-1,config_Holiday_Calendar_US),WORKDAY($A925,-1,config_Holiday_Calendar_US)),IF(ISNUMBER(_xll.BDH(config!$G$4,P$1,$A925,$A925)),_xll.BDH(config!$G$4,P$1,$A925,$A925),_xll.BDH(config!$G$5,P$1,$A925,$A925))))</f>
        <v/>
      </c>
      <c r="Q925" s="8" t="str">
        <f>IF($A925="","",IF(ISNUMBER(FIND("IMPVOL",Q$1)),_xll.BDH(config!$G$4,Q$1,WORKDAY($A925,-1,config_Holiday_Calendar_US),WORKDAY($A925,-1,config_Holiday_Calendar_US)),IF(ISNUMBER(_xll.BDH(config!$G$4,Q$1,$A925,$A925)),_xll.BDH(config!$G$4,Q$1,$A925,$A925),_xll.BDH(config!$G$5,Q$1,$A925,$A925))))</f>
        <v/>
      </c>
      <c r="R925" s="8" t="str">
        <f>IF($A925="","",IF(ISNUMBER(FIND("IMPVOL",R$1)),_xll.BDH(config!$G$4,R$1,WORKDAY($A925,-1,config_Holiday_Calendar_US),WORKDAY($A925,-1,config_Holiday_Calendar_US)),IF(ISNUMBER(_xll.BDH(config!$G$4,R$1,$A925,$A925)),_xll.BDH(config!$G$4,R$1,$A925,$A925),_xll.BDH(config!$G$5,R$1,$A925,$A925))))</f>
        <v/>
      </c>
      <c r="S925" s="8" t="str">
        <f>IF($A925="","",IF(ISNUMBER(FIND("IMPVOL",S$1)),_xll.BDH(config!$G$4,S$1,WORKDAY($A925,-1,config_Holiday_Calendar_US),WORKDAY($A925,-1,config_Holiday_Calendar_US)),IF(ISNUMBER(_xll.BDH(config!$G$4,S$1,$A925,$A925)),_xll.BDH(config!$G$4,S$1,$A925,$A925),_xll.BDH(config!$G$5,S$1,$A925,$A925))))</f>
        <v/>
      </c>
      <c r="T925" s="8" t="str">
        <f>IF($A925="","",IF(ISNUMBER(FIND("IMPVOL",T$1)),_xll.BDH(config!$G$4,T$1,WORKDAY($A925,-1,config_Holiday_Calendar_US),WORKDAY($A925,-1,config_Holiday_Calendar_US)),IF(ISNUMBER(_xll.BDH(config!$G$4,T$1,$A925,$A925)),_xll.BDH(config!$G$4,T$1,$A925,$A925),_xll.BDH(config!$G$5,T$1,$A925,$A925))))</f>
        <v/>
      </c>
      <c r="U925" s="8" t="str">
        <f>IF($A925="","",IF(ISNUMBER(FIND("IMPVOL",U$1)),_xll.BDH(config!$G$4,U$1,WORKDAY($A925,-1,config_Holiday_Calendar_US),WORKDAY($A925,-1,config_Holiday_Calendar_US)),IF(ISNUMBER(_xll.BDH(config!$G$4,U$1,$A925,$A925)),_xll.BDH(config!$G$4,U$1,$A925,$A925),_xll.BDH(config!$G$5,U$1,$A925,$A925))))</f>
        <v/>
      </c>
      <c r="V925" s="8" t="str">
        <f>IF($A925="","",IF(ISNUMBER(FIND("IMPVOL",V$1)),_xll.BDH(config!$G$4,V$1,WORKDAY($A925,-1,config_Holiday_Calendar_US),WORKDAY($A925,-1,config_Holiday_Calendar_US)),IF(ISNUMBER(_xll.BDH(config!$G$4,V$1,$A925,$A925)),_xll.BDH(config!$G$4,V$1,$A925,$A925),_xll.BDH(config!$G$5,V$1,$A925,$A925))))</f>
        <v/>
      </c>
      <c r="W925" s="8" t="str">
        <f>IF($A925="","",IF(ISNUMBER(FIND("IMPVOL",W$1)),_xll.BDH(config!$G$4,W$1,WORKDAY($A925,-1,config_Holiday_Calendar_US),WORKDAY($A925,-1,config_Holiday_Calendar_US)),IF(ISNUMBER(_xll.BDH(config!$G$4,W$1,$A925,$A925)),_xll.BDH(config!$G$4,W$1,$A925,$A925),_xll.BDH(config!$G$5,W$1,$A925,$A925))))</f>
        <v/>
      </c>
    </row>
    <row r="926" spans="1:23" x14ac:dyDescent="0.2">
      <c r="A926" s="9" t="str">
        <f>IF(A925="","",IF(WORKDAY(A925,-1,config_Holiday_Calendar_US)&lt;config!$I$10,"",WORKDAY(A925,-1,config_Holiday_Calendar_US)))</f>
        <v/>
      </c>
      <c r="B926" s="8" t="str">
        <f t="shared" si="14"/>
        <v/>
      </c>
      <c r="C926" s="8" t="str">
        <f>IF(A926="","",_xll.BDH(config!$H$4,C$1,$A926,$A926))</f>
        <v/>
      </c>
      <c r="D926" s="8" t="str">
        <f>IF($A926="","",_xll.BDH(config!$H$4,D$1,$A926,$A926))</f>
        <v/>
      </c>
      <c r="E926" s="8" t="str">
        <f>IF($A926="","",IF(ISNUMBER(FIND("IMPVOL",E$1)),_xll.BDH(config!$G$4,E$1,WORKDAY($A926,-1,config_Holiday_Calendar_US),WORKDAY($A926,-1,config_Holiday_Calendar_US)),IF(ISNUMBER(_xll.BDH(config!$G$4,E$1,$A926,$A926)),_xll.BDH(config!$G$4,E$1,$A926,$A926),_xll.BDH(config!$G$5,E$1,$A926,$A926))))</f>
        <v/>
      </c>
      <c r="F926" s="8" t="str">
        <f>IF($A926="","",IF(ISNUMBER(FIND("IMPVOL",F$1)),_xll.BDH(config!$G$4,F$1,WORKDAY($A926,-1,config_Holiday_Calendar_US),WORKDAY($A926,-1,config_Holiday_Calendar_US)),IF(ISNUMBER(_xll.BDH(config!$G$4,F$1,$A926,$A926)),_xll.BDH(config!$G$4,F$1,$A926,$A926),_xll.BDH(config!$G$5,F$1,$A926,$A926))))</f>
        <v/>
      </c>
      <c r="G926" s="8" t="str">
        <f>IF($A926="","",IF(ISNUMBER(FIND("IMPVOL",G$1)),_xll.BDH(config!$G$4,G$1,WORKDAY($A926,-1,config_Holiday_Calendar_US),WORKDAY($A926,-1,config_Holiday_Calendar_US)),IF(ISNUMBER(_xll.BDH(config!$G$4,G$1,$A926,$A926)),_xll.BDH(config!$G$4,G$1,$A926,$A926),_xll.BDH(config!$G$5,G$1,$A926,$A926))))</f>
        <v/>
      </c>
      <c r="H926" s="8" t="str">
        <f>IF($A926="","",IF(ISNUMBER(FIND("IMPVOL",H$1)),_xll.BDH(config!$G$4,H$1,WORKDAY($A926,-1,config_Holiday_Calendar_US),WORKDAY($A926,-1,config_Holiday_Calendar_US)),IF(ISNUMBER(_xll.BDH(config!$G$4,H$1,$A926,$A926)),_xll.BDH(config!$G$4,H$1,$A926,$A926),_xll.BDH(config!$G$5,H$1,$A926,$A926))))</f>
        <v/>
      </c>
      <c r="I926" s="8" t="str">
        <f>IF($A926="","",IF(ISNUMBER(FIND("IMPVOL",I$1)),_xll.BDH(config!$G$4,I$1,WORKDAY($A926,-1,config_Holiday_Calendar_US),WORKDAY($A926,-1,config_Holiday_Calendar_US)),IF(ISNUMBER(_xll.BDH(config!$G$4,I$1,$A926,$A926)),_xll.BDH(config!$G$4,I$1,$A926,$A926),_xll.BDH(config!$G$5,I$1,$A926,$A926))))</f>
        <v/>
      </c>
      <c r="J926" s="8" t="str">
        <f>IF($A926="","",IF(ISNUMBER(FIND("IMPVOL",J$1)),_xll.BDH(config!$G$4,J$1,WORKDAY($A926,-1,config_Holiday_Calendar_US),WORKDAY($A926,-1,config_Holiday_Calendar_US)),IF(ISNUMBER(_xll.BDH(config!$G$4,J$1,$A926,$A926)),_xll.BDH(config!$G$4,J$1,$A926,$A926),_xll.BDH(config!$G$5,J$1,$A926,$A926))))</f>
        <v/>
      </c>
      <c r="K926" s="8" t="str">
        <f>IF($A926="","",IF(ISNUMBER(FIND("IMPVOL",K$1)),_xll.BDH(config!$G$4,K$1,WORKDAY($A926,-1,config_Holiday_Calendar_US),WORKDAY($A926,-1,config_Holiday_Calendar_US)),IF(ISNUMBER(_xll.BDH(config!$G$4,K$1,$A926,$A926)),_xll.BDH(config!$G$4,K$1,$A926,$A926),_xll.BDH(config!$G$5,K$1,$A926,$A926))))</f>
        <v/>
      </c>
      <c r="L926" s="8" t="str">
        <f>IF($A926="","",IF(ISNUMBER(FIND("IMPVOL",L$1)),_xll.BDH(config!$G$4,L$1,WORKDAY($A926,-1,config_Holiday_Calendar_US),WORKDAY($A926,-1,config_Holiday_Calendar_US)),IF(ISNUMBER(_xll.BDH(config!$G$4,L$1,$A926,$A926)),_xll.BDH(config!$G$4,L$1,$A926,$A926),_xll.BDH(config!$G$5,L$1,$A926,$A926))))</f>
        <v/>
      </c>
      <c r="M926" s="8" t="str">
        <f>IF($A926="","",IF(ISNUMBER(FIND("IMPVOL",M$1)),_xll.BDH(config!$G$4,M$1,WORKDAY($A926,-1,config_Holiday_Calendar_US),WORKDAY($A926,-1,config_Holiday_Calendar_US)),IF(ISNUMBER(_xll.BDH(config!$G$4,M$1,$A926,$A926)),_xll.BDH(config!$G$4,M$1,$A926,$A926),_xll.BDH(config!$G$5,M$1,$A926,$A926))))</f>
        <v/>
      </c>
      <c r="N926" s="8" t="str">
        <f>IF($A926="","",IF(ISNUMBER(FIND("IMPVOL",N$1)),_xll.BDH(config!$G$4,N$1,WORKDAY($A926,-1,config_Holiday_Calendar_US),WORKDAY($A926,-1,config_Holiday_Calendar_US)),IF(ISNUMBER(_xll.BDH(config!$G$4,N$1,$A926,$A926)),_xll.BDH(config!$G$4,N$1,$A926,$A926),_xll.BDH(config!$G$5,N$1,$A926,$A926))))</f>
        <v/>
      </c>
      <c r="O926" s="8" t="str">
        <f>IF($A926="","",IF(ISNUMBER(FIND("IMPVOL",O$1)),_xll.BDH(config!$G$4,O$1,WORKDAY($A926,-1,config_Holiday_Calendar_US),WORKDAY($A926,-1,config_Holiday_Calendar_US)),IF(ISNUMBER(_xll.BDH(config!$G$4,O$1,$A926,$A926)),_xll.BDH(config!$G$4,O$1,$A926,$A926),_xll.BDH(config!$G$5,O$1,$A926,$A926))))</f>
        <v/>
      </c>
      <c r="P926" s="8" t="str">
        <f>IF($A926="","",IF(ISNUMBER(FIND("IMPVOL",P$1)),_xll.BDH(config!$G$4,P$1,WORKDAY($A926,-1,config_Holiday_Calendar_US),WORKDAY($A926,-1,config_Holiday_Calendar_US)),IF(ISNUMBER(_xll.BDH(config!$G$4,P$1,$A926,$A926)),_xll.BDH(config!$G$4,P$1,$A926,$A926),_xll.BDH(config!$G$5,P$1,$A926,$A926))))</f>
        <v/>
      </c>
      <c r="Q926" s="8" t="str">
        <f>IF($A926="","",IF(ISNUMBER(FIND("IMPVOL",Q$1)),_xll.BDH(config!$G$4,Q$1,WORKDAY($A926,-1,config_Holiday_Calendar_US),WORKDAY($A926,-1,config_Holiday_Calendar_US)),IF(ISNUMBER(_xll.BDH(config!$G$4,Q$1,$A926,$A926)),_xll.BDH(config!$G$4,Q$1,$A926,$A926),_xll.BDH(config!$G$5,Q$1,$A926,$A926))))</f>
        <v/>
      </c>
      <c r="R926" s="8" t="str">
        <f>IF($A926="","",IF(ISNUMBER(FIND("IMPVOL",R$1)),_xll.BDH(config!$G$4,R$1,WORKDAY($A926,-1,config_Holiday_Calendar_US),WORKDAY($A926,-1,config_Holiday_Calendar_US)),IF(ISNUMBER(_xll.BDH(config!$G$4,R$1,$A926,$A926)),_xll.BDH(config!$G$4,R$1,$A926,$A926),_xll.BDH(config!$G$5,R$1,$A926,$A926))))</f>
        <v/>
      </c>
      <c r="S926" s="8" t="str">
        <f>IF($A926="","",IF(ISNUMBER(FIND("IMPVOL",S$1)),_xll.BDH(config!$G$4,S$1,WORKDAY($A926,-1,config_Holiday_Calendar_US),WORKDAY($A926,-1,config_Holiday_Calendar_US)),IF(ISNUMBER(_xll.BDH(config!$G$4,S$1,$A926,$A926)),_xll.BDH(config!$G$4,S$1,$A926,$A926),_xll.BDH(config!$G$5,S$1,$A926,$A926))))</f>
        <v/>
      </c>
      <c r="T926" s="8" t="str">
        <f>IF($A926="","",IF(ISNUMBER(FIND("IMPVOL",T$1)),_xll.BDH(config!$G$4,T$1,WORKDAY($A926,-1,config_Holiday_Calendar_US),WORKDAY($A926,-1,config_Holiday_Calendar_US)),IF(ISNUMBER(_xll.BDH(config!$G$4,T$1,$A926,$A926)),_xll.BDH(config!$G$4,T$1,$A926,$A926),_xll.BDH(config!$G$5,T$1,$A926,$A926))))</f>
        <v/>
      </c>
      <c r="U926" s="8" t="str">
        <f>IF($A926="","",IF(ISNUMBER(FIND("IMPVOL",U$1)),_xll.BDH(config!$G$4,U$1,WORKDAY($A926,-1,config_Holiday_Calendar_US),WORKDAY($A926,-1,config_Holiday_Calendar_US)),IF(ISNUMBER(_xll.BDH(config!$G$4,U$1,$A926,$A926)),_xll.BDH(config!$G$4,U$1,$A926,$A926),_xll.BDH(config!$G$5,U$1,$A926,$A926))))</f>
        <v/>
      </c>
      <c r="V926" s="8" t="str">
        <f>IF($A926="","",IF(ISNUMBER(FIND("IMPVOL",V$1)),_xll.BDH(config!$G$4,V$1,WORKDAY($A926,-1,config_Holiday_Calendar_US),WORKDAY($A926,-1,config_Holiday_Calendar_US)),IF(ISNUMBER(_xll.BDH(config!$G$4,V$1,$A926,$A926)),_xll.BDH(config!$G$4,V$1,$A926,$A926),_xll.BDH(config!$G$5,V$1,$A926,$A926))))</f>
        <v/>
      </c>
      <c r="W926" s="8" t="str">
        <f>IF($A926="","",IF(ISNUMBER(FIND("IMPVOL",W$1)),_xll.BDH(config!$G$4,W$1,WORKDAY($A926,-1,config_Holiday_Calendar_US),WORKDAY($A926,-1,config_Holiday_Calendar_US)),IF(ISNUMBER(_xll.BDH(config!$G$4,W$1,$A926,$A926)),_xll.BDH(config!$G$4,W$1,$A926,$A926),_xll.BDH(config!$G$5,W$1,$A926,$A926))))</f>
        <v/>
      </c>
    </row>
    <row r="927" spans="1:23" x14ac:dyDescent="0.2">
      <c r="A927" s="9" t="str">
        <f>IF(A926="","",IF(WORKDAY(A926,-1,config_Holiday_Calendar_US)&lt;config!$I$10,"",WORKDAY(A926,-1,config_Holiday_Calendar_US)))</f>
        <v/>
      </c>
      <c r="B927" s="8" t="str">
        <f t="shared" si="14"/>
        <v/>
      </c>
      <c r="C927" s="8" t="str">
        <f>IF(A927="","",_xll.BDH(config!$H$4,C$1,$A927,$A927))</f>
        <v/>
      </c>
      <c r="D927" s="8" t="str">
        <f>IF($A927="","",_xll.BDH(config!$H$4,D$1,$A927,$A927))</f>
        <v/>
      </c>
      <c r="E927" s="8" t="str">
        <f>IF($A927="","",IF(ISNUMBER(FIND("IMPVOL",E$1)),_xll.BDH(config!$G$4,E$1,WORKDAY($A927,-1,config_Holiday_Calendar_US),WORKDAY($A927,-1,config_Holiday_Calendar_US)),IF(ISNUMBER(_xll.BDH(config!$G$4,E$1,$A927,$A927)),_xll.BDH(config!$G$4,E$1,$A927,$A927),_xll.BDH(config!$G$5,E$1,$A927,$A927))))</f>
        <v/>
      </c>
      <c r="F927" s="8" t="str">
        <f>IF($A927="","",IF(ISNUMBER(FIND("IMPVOL",F$1)),_xll.BDH(config!$G$4,F$1,WORKDAY($A927,-1,config_Holiday_Calendar_US),WORKDAY($A927,-1,config_Holiday_Calendar_US)),IF(ISNUMBER(_xll.BDH(config!$G$4,F$1,$A927,$A927)),_xll.BDH(config!$G$4,F$1,$A927,$A927),_xll.BDH(config!$G$5,F$1,$A927,$A927))))</f>
        <v/>
      </c>
      <c r="G927" s="8" t="str">
        <f>IF($A927="","",IF(ISNUMBER(FIND("IMPVOL",G$1)),_xll.BDH(config!$G$4,G$1,WORKDAY($A927,-1,config_Holiday_Calendar_US),WORKDAY($A927,-1,config_Holiday_Calendar_US)),IF(ISNUMBER(_xll.BDH(config!$G$4,G$1,$A927,$A927)),_xll.BDH(config!$G$4,G$1,$A927,$A927),_xll.BDH(config!$G$5,G$1,$A927,$A927))))</f>
        <v/>
      </c>
      <c r="H927" s="8" t="str">
        <f>IF($A927="","",IF(ISNUMBER(FIND("IMPVOL",H$1)),_xll.BDH(config!$G$4,H$1,WORKDAY($A927,-1,config_Holiday_Calendar_US),WORKDAY($A927,-1,config_Holiday_Calendar_US)),IF(ISNUMBER(_xll.BDH(config!$G$4,H$1,$A927,$A927)),_xll.BDH(config!$G$4,H$1,$A927,$A927),_xll.BDH(config!$G$5,H$1,$A927,$A927))))</f>
        <v/>
      </c>
      <c r="I927" s="8" t="str">
        <f>IF($A927="","",IF(ISNUMBER(FIND("IMPVOL",I$1)),_xll.BDH(config!$G$4,I$1,WORKDAY($A927,-1,config_Holiday_Calendar_US),WORKDAY($A927,-1,config_Holiday_Calendar_US)),IF(ISNUMBER(_xll.BDH(config!$G$4,I$1,$A927,$A927)),_xll.BDH(config!$G$4,I$1,$A927,$A927),_xll.BDH(config!$G$5,I$1,$A927,$A927))))</f>
        <v/>
      </c>
      <c r="J927" s="8" t="str">
        <f>IF($A927="","",IF(ISNUMBER(FIND("IMPVOL",J$1)),_xll.BDH(config!$G$4,J$1,WORKDAY($A927,-1,config_Holiday_Calendar_US),WORKDAY($A927,-1,config_Holiday_Calendar_US)),IF(ISNUMBER(_xll.BDH(config!$G$4,J$1,$A927,$A927)),_xll.BDH(config!$G$4,J$1,$A927,$A927),_xll.BDH(config!$G$5,J$1,$A927,$A927))))</f>
        <v/>
      </c>
      <c r="K927" s="8" t="str">
        <f>IF($A927="","",IF(ISNUMBER(FIND("IMPVOL",K$1)),_xll.BDH(config!$G$4,K$1,WORKDAY($A927,-1,config_Holiday_Calendar_US),WORKDAY($A927,-1,config_Holiday_Calendar_US)),IF(ISNUMBER(_xll.BDH(config!$G$4,K$1,$A927,$A927)),_xll.BDH(config!$G$4,K$1,$A927,$A927),_xll.BDH(config!$G$5,K$1,$A927,$A927))))</f>
        <v/>
      </c>
      <c r="L927" s="8" t="str">
        <f>IF($A927="","",IF(ISNUMBER(FIND("IMPVOL",L$1)),_xll.BDH(config!$G$4,L$1,WORKDAY($A927,-1,config_Holiday_Calendar_US),WORKDAY($A927,-1,config_Holiday_Calendar_US)),IF(ISNUMBER(_xll.BDH(config!$G$4,L$1,$A927,$A927)),_xll.BDH(config!$G$4,L$1,$A927,$A927),_xll.BDH(config!$G$5,L$1,$A927,$A927))))</f>
        <v/>
      </c>
      <c r="M927" s="8" t="str">
        <f>IF($A927="","",IF(ISNUMBER(FIND("IMPVOL",M$1)),_xll.BDH(config!$G$4,M$1,WORKDAY($A927,-1,config_Holiday_Calendar_US),WORKDAY($A927,-1,config_Holiday_Calendar_US)),IF(ISNUMBER(_xll.BDH(config!$G$4,M$1,$A927,$A927)),_xll.BDH(config!$G$4,M$1,$A927,$A927),_xll.BDH(config!$G$5,M$1,$A927,$A927))))</f>
        <v/>
      </c>
      <c r="N927" s="8" t="str">
        <f>IF($A927="","",IF(ISNUMBER(FIND("IMPVOL",N$1)),_xll.BDH(config!$G$4,N$1,WORKDAY($A927,-1,config_Holiday_Calendar_US),WORKDAY($A927,-1,config_Holiday_Calendar_US)),IF(ISNUMBER(_xll.BDH(config!$G$4,N$1,$A927,$A927)),_xll.BDH(config!$G$4,N$1,$A927,$A927),_xll.BDH(config!$G$5,N$1,$A927,$A927))))</f>
        <v/>
      </c>
      <c r="O927" s="8" t="str">
        <f>IF($A927="","",IF(ISNUMBER(FIND("IMPVOL",O$1)),_xll.BDH(config!$G$4,O$1,WORKDAY($A927,-1,config_Holiday_Calendar_US),WORKDAY($A927,-1,config_Holiday_Calendar_US)),IF(ISNUMBER(_xll.BDH(config!$G$4,O$1,$A927,$A927)),_xll.BDH(config!$G$4,O$1,$A927,$A927),_xll.BDH(config!$G$5,O$1,$A927,$A927))))</f>
        <v/>
      </c>
      <c r="P927" s="8" t="str">
        <f>IF($A927="","",IF(ISNUMBER(FIND("IMPVOL",P$1)),_xll.BDH(config!$G$4,P$1,WORKDAY($A927,-1,config_Holiday_Calendar_US),WORKDAY($A927,-1,config_Holiday_Calendar_US)),IF(ISNUMBER(_xll.BDH(config!$G$4,P$1,$A927,$A927)),_xll.BDH(config!$G$4,P$1,$A927,$A927),_xll.BDH(config!$G$5,P$1,$A927,$A927))))</f>
        <v/>
      </c>
      <c r="Q927" s="8" t="str">
        <f>IF($A927="","",IF(ISNUMBER(FIND("IMPVOL",Q$1)),_xll.BDH(config!$G$4,Q$1,WORKDAY($A927,-1,config_Holiday_Calendar_US),WORKDAY($A927,-1,config_Holiday_Calendar_US)),IF(ISNUMBER(_xll.BDH(config!$G$4,Q$1,$A927,$A927)),_xll.BDH(config!$G$4,Q$1,$A927,$A927),_xll.BDH(config!$G$5,Q$1,$A927,$A927))))</f>
        <v/>
      </c>
      <c r="R927" s="8" t="str">
        <f>IF($A927="","",IF(ISNUMBER(FIND("IMPVOL",R$1)),_xll.BDH(config!$G$4,R$1,WORKDAY($A927,-1,config_Holiday_Calendar_US),WORKDAY($A927,-1,config_Holiday_Calendar_US)),IF(ISNUMBER(_xll.BDH(config!$G$4,R$1,$A927,$A927)),_xll.BDH(config!$G$4,R$1,$A927,$A927),_xll.BDH(config!$G$5,R$1,$A927,$A927))))</f>
        <v/>
      </c>
      <c r="S927" s="8" t="str">
        <f>IF($A927="","",IF(ISNUMBER(FIND("IMPVOL",S$1)),_xll.BDH(config!$G$4,S$1,WORKDAY($A927,-1,config_Holiday_Calendar_US),WORKDAY($A927,-1,config_Holiday_Calendar_US)),IF(ISNUMBER(_xll.BDH(config!$G$4,S$1,$A927,$A927)),_xll.BDH(config!$G$4,S$1,$A927,$A927),_xll.BDH(config!$G$5,S$1,$A927,$A927))))</f>
        <v/>
      </c>
      <c r="T927" s="8" t="str">
        <f>IF($A927="","",IF(ISNUMBER(FIND("IMPVOL",T$1)),_xll.BDH(config!$G$4,T$1,WORKDAY($A927,-1,config_Holiday_Calendar_US),WORKDAY($A927,-1,config_Holiday_Calendar_US)),IF(ISNUMBER(_xll.BDH(config!$G$4,T$1,$A927,$A927)),_xll.BDH(config!$G$4,T$1,$A927,$A927),_xll.BDH(config!$G$5,T$1,$A927,$A927))))</f>
        <v/>
      </c>
      <c r="U927" s="8" t="str">
        <f>IF($A927="","",IF(ISNUMBER(FIND("IMPVOL",U$1)),_xll.BDH(config!$G$4,U$1,WORKDAY($A927,-1,config_Holiday_Calendar_US),WORKDAY($A927,-1,config_Holiday_Calendar_US)),IF(ISNUMBER(_xll.BDH(config!$G$4,U$1,$A927,$A927)),_xll.BDH(config!$G$4,U$1,$A927,$A927),_xll.BDH(config!$G$5,U$1,$A927,$A927))))</f>
        <v/>
      </c>
      <c r="V927" s="8" t="str">
        <f>IF($A927="","",IF(ISNUMBER(FIND("IMPVOL",V$1)),_xll.BDH(config!$G$4,V$1,WORKDAY($A927,-1,config_Holiday_Calendar_US),WORKDAY($A927,-1,config_Holiday_Calendar_US)),IF(ISNUMBER(_xll.BDH(config!$G$4,V$1,$A927,$A927)),_xll.BDH(config!$G$4,V$1,$A927,$A927),_xll.BDH(config!$G$5,V$1,$A927,$A927))))</f>
        <v/>
      </c>
      <c r="W927" s="8" t="str">
        <f>IF($A927="","",IF(ISNUMBER(FIND("IMPVOL",W$1)),_xll.BDH(config!$G$4,W$1,WORKDAY($A927,-1,config_Holiday_Calendar_US),WORKDAY($A927,-1,config_Holiday_Calendar_US)),IF(ISNUMBER(_xll.BDH(config!$G$4,W$1,$A927,$A927)),_xll.BDH(config!$G$4,W$1,$A927,$A927),_xll.BDH(config!$G$5,W$1,$A927,$A927))))</f>
        <v/>
      </c>
    </row>
    <row r="928" spans="1:23" x14ac:dyDescent="0.2">
      <c r="A928" s="9" t="str">
        <f>IF(A927="","",IF(WORKDAY(A927,-1,config_Holiday_Calendar_US)&lt;config!$I$10,"",WORKDAY(A927,-1,config_Holiday_Calendar_US)))</f>
        <v/>
      </c>
      <c r="B928" s="8" t="str">
        <f t="shared" si="14"/>
        <v/>
      </c>
      <c r="C928" s="8" t="str">
        <f>IF(A928="","",_xll.BDH(config!$H$4,C$1,$A928,$A928))</f>
        <v/>
      </c>
      <c r="D928" s="8" t="str">
        <f>IF($A928="","",_xll.BDH(config!$H$4,D$1,$A928,$A928))</f>
        <v/>
      </c>
      <c r="E928" s="8" t="str">
        <f>IF($A928="","",IF(ISNUMBER(FIND("IMPVOL",E$1)),_xll.BDH(config!$G$4,E$1,WORKDAY($A928,-1,config_Holiday_Calendar_US),WORKDAY($A928,-1,config_Holiday_Calendar_US)),IF(ISNUMBER(_xll.BDH(config!$G$4,E$1,$A928,$A928)),_xll.BDH(config!$G$4,E$1,$A928,$A928),_xll.BDH(config!$G$5,E$1,$A928,$A928))))</f>
        <v/>
      </c>
      <c r="F928" s="8" t="str">
        <f>IF($A928="","",IF(ISNUMBER(FIND("IMPVOL",F$1)),_xll.BDH(config!$G$4,F$1,WORKDAY($A928,-1,config_Holiday_Calendar_US),WORKDAY($A928,-1,config_Holiday_Calendar_US)),IF(ISNUMBER(_xll.BDH(config!$G$4,F$1,$A928,$A928)),_xll.BDH(config!$G$4,F$1,$A928,$A928),_xll.BDH(config!$G$5,F$1,$A928,$A928))))</f>
        <v/>
      </c>
      <c r="G928" s="8" t="str">
        <f>IF($A928="","",IF(ISNUMBER(FIND("IMPVOL",G$1)),_xll.BDH(config!$G$4,G$1,WORKDAY($A928,-1,config_Holiday_Calendar_US),WORKDAY($A928,-1,config_Holiday_Calendar_US)),IF(ISNUMBER(_xll.BDH(config!$G$4,G$1,$A928,$A928)),_xll.BDH(config!$G$4,G$1,$A928,$A928),_xll.BDH(config!$G$5,G$1,$A928,$A928))))</f>
        <v/>
      </c>
      <c r="H928" s="8" t="str">
        <f>IF($A928="","",IF(ISNUMBER(FIND("IMPVOL",H$1)),_xll.BDH(config!$G$4,H$1,WORKDAY($A928,-1,config_Holiday_Calendar_US),WORKDAY($A928,-1,config_Holiday_Calendar_US)),IF(ISNUMBER(_xll.BDH(config!$G$4,H$1,$A928,$A928)),_xll.BDH(config!$G$4,H$1,$A928,$A928),_xll.BDH(config!$G$5,H$1,$A928,$A928))))</f>
        <v/>
      </c>
      <c r="I928" s="8" t="str">
        <f>IF($A928="","",IF(ISNUMBER(FIND("IMPVOL",I$1)),_xll.BDH(config!$G$4,I$1,WORKDAY($A928,-1,config_Holiday_Calendar_US),WORKDAY($A928,-1,config_Holiday_Calendar_US)),IF(ISNUMBER(_xll.BDH(config!$G$4,I$1,$A928,$A928)),_xll.BDH(config!$G$4,I$1,$A928,$A928),_xll.BDH(config!$G$5,I$1,$A928,$A928))))</f>
        <v/>
      </c>
      <c r="J928" s="8" t="str">
        <f>IF($A928="","",IF(ISNUMBER(FIND("IMPVOL",J$1)),_xll.BDH(config!$G$4,J$1,WORKDAY($A928,-1,config_Holiday_Calendar_US),WORKDAY($A928,-1,config_Holiday_Calendar_US)),IF(ISNUMBER(_xll.BDH(config!$G$4,J$1,$A928,$A928)),_xll.BDH(config!$G$4,J$1,$A928,$A928),_xll.BDH(config!$G$5,J$1,$A928,$A928))))</f>
        <v/>
      </c>
      <c r="K928" s="8" t="str">
        <f>IF($A928="","",IF(ISNUMBER(FIND("IMPVOL",K$1)),_xll.BDH(config!$G$4,K$1,WORKDAY($A928,-1,config_Holiday_Calendar_US),WORKDAY($A928,-1,config_Holiday_Calendar_US)),IF(ISNUMBER(_xll.BDH(config!$G$4,K$1,$A928,$A928)),_xll.BDH(config!$G$4,K$1,$A928,$A928),_xll.BDH(config!$G$5,K$1,$A928,$A928))))</f>
        <v/>
      </c>
      <c r="L928" s="8" t="str">
        <f>IF($A928="","",IF(ISNUMBER(FIND("IMPVOL",L$1)),_xll.BDH(config!$G$4,L$1,WORKDAY($A928,-1,config_Holiday_Calendar_US),WORKDAY($A928,-1,config_Holiday_Calendar_US)),IF(ISNUMBER(_xll.BDH(config!$G$4,L$1,$A928,$A928)),_xll.BDH(config!$G$4,L$1,$A928,$A928),_xll.BDH(config!$G$5,L$1,$A928,$A928))))</f>
        <v/>
      </c>
      <c r="M928" s="8" t="str">
        <f>IF($A928="","",IF(ISNUMBER(FIND("IMPVOL",M$1)),_xll.BDH(config!$G$4,M$1,WORKDAY($A928,-1,config_Holiday_Calendar_US),WORKDAY($A928,-1,config_Holiday_Calendar_US)),IF(ISNUMBER(_xll.BDH(config!$G$4,M$1,$A928,$A928)),_xll.BDH(config!$G$4,M$1,$A928,$A928),_xll.BDH(config!$G$5,M$1,$A928,$A928))))</f>
        <v/>
      </c>
      <c r="N928" s="8" t="str">
        <f>IF($A928="","",IF(ISNUMBER(FIND("IMPVOL",N$1)),_xll.BDH(config!$G$4,N$1,WORKDAY($A928,-1,config_Holiday_Calendar_US),WORKDAY($A928,-1,config_Holiday_Calendar_US)),IF(ISNUMBER(_xll.BDH(config!$G$4,N$1,$A928,$A928)),_xll.BDH(config!$G$4,N$1,$A928,$A928),_xll.BDH(config!$G$5,N$1,$A928,$A928))))</f>
        <v/>
      </c>
      <c r="O928" s="8" t="str">
        <f>IF($A928="","",IF(ISNUMBER(FIND("IMPVOL",O$1)),_xll.BDH(config!$G$4,O$1,WORKDAY($A928,-1,config_Holiday_Calendar_US),WORKDAY($A928,-1,config_Holiday_Calendar_US)),IF(ISNUMBER(_xll.BDH(config!$G$4,O$1,$A928,$A928)),_xll.BDH(config!$G$4,O$1,$A928,$A928),_xll.BDH(config!$G$5,O$1,$A928,$A928))))</f>
        <v/>
      </c>
      <c r="P928" s="8" t="str">
        <f>IF($A928="","",IF(ISNUMBER(FIND("IMPVOL",P$1)),_xll.BDH(config!$G$4,P$1,WORKDAY($A928,-1,config_Holiday_Calendar_US),WORKDAY($A928,-1,config_Holiday_Calendar_US)),IF(ISNUMBER(_xll.BDH(config!$G$4,P$1,$A928,$A928)),_xll.BDH(config!$G$4,P$1,$A928,$A928),_xll.BDH(config!$G$5,P$1,$A928,$A928))))</f>
        <v/>
      </c>
      <c r="Q928" s="8" t="str">
        <f>IF($A928="","",IF(ISNUMBER(FIND("IMPVOL",Q$1)),_xll.BDH(config!$G$4,Q$1,WORKDAY($A928,-1,config_Holiday_Calendar_US),WORKDAY($A928,-1,config_Holiday_Calendar_US)),IF(ISNUMBER(_xll.BDH(config!$G$4,Q$1,$A928,$A928)),_xll.BDH(config!$G$4,Q$1,$A928,$A928),_xll.BDH(config!$G$5,Q$1,$A928,$A928))))</f>
        <v/>
      </c>
      <c r="R928" s="8" t="str">
        <f>IF($A928="","",IF(ISNUMBER(FIND("IMPVOL",R$1)),_xll.BDH(config!$G$4,R$1,WORKDAY($A928,-1,config_Holiday_Calendar_US),WORKDAY($A928,-1,config_Holiday_Calendar_US)),IF(ISNUMBER(_xll.BDH(config!$G$4,R$1,$A928,$A928)),_xll.BDH(config!$G$4,R$1,$A928,$A928),_xll.BDH(config!$G$5,R$1,$A928,$A928))))</f>
        <v/>
      </c>
      <c r="S928" s="8" t="str">
        <f>IF($A928="","",IF(ISNUMBER(FIND("IMPVOL",S$1)),_xll.BDH(config!$G$4,S$1,WORKDAY($A928,-1,config_Holiday_Calendar_US),WORKDAY($A928,-1,config_Holiday_Calendar_US)),IF(ISNUMBER(_xll.BDH(config!$G$4,S$1,$A928,$A928)),_xll.BDH(config!$G$4,S$1,$A928,$A928),_xll.BDH(config!$G$5,S$1,$A928,$A928))))</f>
        <v/>
      </c>
      <c r="T928" s="8" t="str">
        <f>IF($A928="","",IF(ISNUMBER(FIND("IMPVOL",T$1)),_xll.BDH(config!$G$4,T$1,WORKDAY($A928,-1,config_Holiday_Calendar_US),WORKDAY($A928,-1,config_Holiday_Calendar_US)),IF(ISNUMBER(_xll.BDH(config!$G$4,T$1,$A928,$A928)),_xll.BDH(config!$G$4,T$1,$A928,$A928),_xll.BDH(config!$G$5,T$1,$A928,$A928))))</f>
        <v/>
      </c>
      <c r="U928" s="8" t="str">
        <f>IF($A928="","",IF(ISNUMBER(FIND("IMPVOL",U$1)),_xll.BDH(config!$G$4,U$1,WORKDAY($A928,-1,config_Holiday_Calendar_US),WORKDAY($A928,-1,config_Holiday_Calendar_US)),IF(ISNUMBER(_xll.BDH(config!$G$4,U$1,$A928,$A928)),_xll.BDH(config!$G$4,U$1,$A928,$A928),_xll.BDH(config!$G$5,U$1,$A928,$A928))))</f>
        <v/>
      </c>
      <c r="V928" s="8" t="str">
        <f>IF($A928="","",IF(ISNUMBER(FIND("IMPVOL",V$1)),_xll.BDH(config!$G$4,V$1,WORKDAY($A928,-1,config_Holiday_Calendar_US),WORKDAY($A928,-1,config_Holiday_Calendar_US)),IF(ISNUMBER(_xll.BDH(config!$G$4,V$1,$A928,$A928)),_xll.BDH(config!$G$4,V$1,$A928,$A928),_xll.BDH(config!$G$5,V$1,$A928,$A928))))</f>
        <v/>
      </c>
      <c r="W928" s="8" t="str">
        <f>IF($A928="","",IF(ISNUMBER(FIND("IMPVOL",W$1)),_xll.BDH(config!$G$4,W$1,WORKDAY($A928,-1,config_Holiday_Calendar_US),WORKDAY($A928,-1,config_Holiday_Calendar_US)),IF(ISNUMBER(_xll.BDH(config!$G$4,W$1,$A928,$A928)),_xll.BDH(config!$G$4,W$1,$A928,$A928),_xll.BDH(config!$G$5,W$1,$A928,$A928))))</f>
        <v/>
      </c>
    </row>
    <row r="929" spans="1:23" x14ac:dyDescent="0.2">
      <c r="A929" s="9" t="str">
        <f>IF(A928="","",IF(WORKDAY(A928,-1,config_Holiday_Calendar_US)&lt;config!$I$10,"",WORKDAY(A928,-1,config_Holiday_Calendar_US)))</f>
        <v/>
      </c>
      <c r="B929" s="8" t="str">
        <f t="shared" si="14"/>
        <v/>
      </c>
      <c r="C929" s="8" t="str">
        <f>IF(A929="","",_xll.BDH(config!$H$4,C$1,$A929,$A929))</f>
        <v/>
      </c>
      <c r="D929" s="8" t="str">
        <f>IF($A929="","",_xll.BDH(config!$H$4,D$1,$A929,$A929))</f>
        <v/>
      </c>
      <c r="E929" s="8" t="str">
        <f>IF($A929="","",IF(ISNUMBER(FIND("IMPVOL",E$1)),_xll.BDH(config!$G$4,E$1,WORKDAY($A929,-1,config_Holiday_Calendar_US),WORKDAY($A929,-1,config_Holiday_Calendar_US)),IF(ISNUMBER(_xll.BDH(config!$G$4,E$1,$A929,$A929)),_xll.BDH(config!$G$4,E$1,$A929,$A929),_xll.BDH(config!$G$5,E$1,$A929,$A929))))</f>
        <v/>
      </c>
      <c r="F929" s="8" t="str">
        <f>IF($A929="","",IF(ISNUMBER(FIND("IMPVOL",F$1)),_xll.BDH(config!$G$4,F$1,WORKDAY($A929,-1,config_Holiday_Calendar_US),WORKDAY($A929,-1,config_Holiday_Calendar_US)),IF(ISNUMBER(_xll.BDH(config!$G$4,F$1,$A929,$A929)),_xll.BDH(config!$G$4,F$1,$A929,$A929),_xll.BDH(config!$G$5,F$1,$A929,$A929))))</f>
        <v/>
      </c>
      <c r="G929" s="8" t="str">
        <f>IF($A929="","",IF(ISNUMBER(FIND("IMPVOL",G$1)),_xll.BDH(config!$G$4,G$1,WORKDAY($A929,-1,config_Holiday_Calendar_US),WORKDAY($A929,-1,config_Holiday_Calendar_US)),IF(ISNUMBER(_xll.BDH(config!$G$4,G$1,$A929,$A929)),_xll.BDH(config!$G$4,G$1,$A929,$A929),_xll.BDH(config!$G$5,G$1,$A929,$A929))))</f>
        <v/>
      </c>
      <c r="H929" s="8" t="str">
        <f>IF($A929="","",IF(ISNUMBER(FIND("IMPVOL",H$1)),_xll.BDH(config!$G$4,H$1,WORKDAY($A929,-1,config_Holiday_Calendar_US),WORKDAY($A929,-1,config_Holiday_Calendar_US)),IF(ISNUMBER(_xll.BDH(config!$G$4,H$1,$A929,$A929)),_xll.BDH(config!$G$4,H$1,$A929,$A929),_xll.BDH(config!$G$5,H$1,$A929,$A929))))</f>
        <v/>
      </c>
      <c r="I929" s="8" t="str">
        <f>IF($A929="","",IF(ISNUMBER(FIND("IMPVOL",I$1)),_xll.BDH(config!$G$4,I$1,WORKDAY($A929,-1,config_Holiday_Calendar_US),WORKDAY($A929,-1,config_Holiday_Calendar_US)),IF(ISNUMBER(_xll.BDH(config!$G$4,I$1,$A929,$A929)),_xll.BDH(config!$G$4,I$1,$A929,$A929),_xll.BDH(config!$G$5,I$1,$A929,$A929))))</f>
        <v/>
      </c>
      <c r="J929" s="8" t="str">
        <f>IF($A929="","",IF(ISNUMBER(FIND("IMPVOL",J$1)),_xll.BDH(config!$G$4,J$1,WORKDAY($A929,-1,config_Holiday_Calendar_US),WORKDAY($A929,-1,config_Holiday_Calendar_US)),IF(ISNUMBER(_xll.BDH(config!$G$4,J$1,$A929,$A929)),_xll.BDH(config!$G$4,J$1,$A929,$A929),_xll.BDH(config!$G$5,J$1,$A929,$A929))))</f>
        <v/>
      </c>
      <c r="K929" s="8" t="str">
        <f>IF($A929="","",IF(ISNUMBER(FIND("IMPVOL",K$1)),_xll.BDH(config!$G$4,K$1,WORKDAY($A929,-1,config_Holiday_Calendar_US),WORKDAY($A929,-1,config_Holiday_Calendar_US)),IF(ISNUMBER(_xll.BDH(config!$G$4,K$1,$A929,$A929)),_xll.BDH(config!$G$4,K$1,$A929,$A929),_xll.BDH(config!$G$5,K$1,$A929,$A929))))</f>
        <v/>
      </c>
      <c r="L929" s="8" t="str">
        <f>IF($A929="","",IF(ISNUMBER(FIND("IMPVOL",L$1)),_xll.BDH(config!$G$4,L$1,WORKDAY($A929,-1,config_Holiday_Calendar_US),WORKDAY($A929,-1,config_Holiday_Calendar_US)),IF(ISNUMBER(_xll.BDH(config!$G$4,L$1,$A929,$A929)),_xll.BDH(config!$G$4,L$1,$A929,$A929),_xll.BDH(config!$G$5,L$1,$A929,$A929))))</f>
        <v/>
      </c>
      <c r="M929" s="8" t="str">
        <f>IF($A929="","",IF(ISNUMBER(FIND("IMPVOL",M$1)),_xll.BDH(config!$G$4,M$1,WORKDAY($A929,-1,config_Holiday_Calendar_US),WORKDAY($A929,-1,config_Holiday_Calendar_US)),IF(ISNUMBER(_xll.BDH(config!$G$4,M$1,$A929,$A929)),_xll.BDH(config!$G$4,M$1,$A929,$A929),_xll.BDH(config!$G$5,M$1,$A929,$A929))))</f>
        <v/>
      </c>
      <c r="N929" s="8" t="str">
        <f>IF($A929="","",IF(ISNUMBER(FIND("IMPVOL",N$1)),_xll.BDH(config!$G$4,N$1,WORKDAY($A929,-1,config_Holiday_Calendar_US),WORKDAY($A929,-1,config_Holiday_Calendar_US)),IF(ISNUMBER(_xll.BDH(config!$G$4,N$1,$A929,$A929)),_xll.BDH(config!$G$4,N$1,$A929,$A929),_xll.BDH(config!$G$5,N$1,$A929,$A929))))</f>
        <v/>
      </c>
      <c r="O929" s="8" t="str">
        <f>IF($A929="","",IF(ISNUMBER(FIND("IMPVOL",O$1)),_xll.BDH(config!$G$4,O$1,WORKDAY($A929,-1,config_Holiday_Calendar_US),WORKDAY($A929,-1,config_Holiday_Calendar_US)),IF(ISNUMBER(_xll.BDH(config!$G$4,O$1,$A929,$A929)),_xll.BDH(config!$G$4,O$1,$A929,$A929),_xll.BDH(config!$G$5,O$1,$A929,$A929))))</f>
        <v/>
      </c>
      <c r="P929" s="8" t="str">
        <f>IF($A929="","",IF(ISNUMBER(FIND("IMPVOL",P$1)),_xll.BDH(config!$G$4,P$1,WORKDAY($A929,-1,config_Holiday_Calendar_US),WORKDAY($A929,-1,config_Holiday_Calendar_US)),IF(ISNUMBER(_xll.BDH(config!$G$4,P$1,$A929,$A929)),_xll.BDH(config!$G$4,P$1,$A929,$A929),_xll.BDH(config!$G$5,P$1,$A929,$A929))))</f>
        <v/>
      </c>
      <c r="Q929" s="8" t="str">
        <f>IF($A929="","",IF(ISNUMBER(FIND("IMPVOL",Q$1)),_xll.BDH(config!$G$4,Q$1,WORKDAY($A929,-1,config_Holiday_Calendar_US),WORKDAY($A929,-1,config_Holiday_Calendar_US)),IF(ISNUMBER(_xll.BDH(config!$G$4,Q$1,$A929,$A929)),_xll.BDH(config!$G$4,Q$1,$A929,$A929),_xll.BDH(config!$G$5,Q$1,$A929,$A929))))</f>
        <v/>
      </c>
      <c r="R929" s="8" t="str">
        <f>IF($A929="","",IF(ISNUMBER(FIND("IMPVOL",R$1)),_xll.BDH(config!$G$4,R$1,WORKDAY($A929,-1,config_Holiday_Calendar_US),WORKDAY($A929,-1,config_Holiday_Calendar_US)),IF(ISNUMBER(_xll.BDH(config!$G$4,R$1,$A929,$A929)),_xll.BDH(config!$G$4,R$1,$A929,$A929),_xll.BDH(config!$G$5,R$1,$A929,$A929))))</f>
        <v/>
      </c>
      <c r="S929" s="8" t="str">
        <f>IF($A929="","",IF(ISNUMBER(FIND("IMPVOL",S$1)),_xll.BDH(config!$G$4,S$1,WORKDAY($A929,-1,config_Holiday_Calendar_US),WORKDAY($A929,-1,config_Holiday_Calendar_US)),IF(ISNUMBER(_xll.BDH(config!$G$4,S$1,$A929,$A929)),_xll.BDH(config!$G$4,S$1,$A929,$A929),_xll.BDH(config!$G$5,S$1,$A929,$A929))))</f>
        <v/>
      </c>
      <c r="T929" s="8" t="str">
        <f>IF($A929="","",IF(ISNUMBER(FIND("IMPVOL",T$1)),_xll.BDH(config!$G$4,T$1,WORKDAY($A929,-1,config_Holiday_Calendar_US),WORKDAY($A929,-1,config_Holiday_Calendar_US)),IF(ISNUMBER(_xll.BDH(config!$G$4,T$1,$A929,$A929)),_xll.BDH(config!$G$4,T$1,$A929,$A929),_xll.BDH(config!$G$5,T$1,$A929,$A929))))</f>
        <v/>
      </c>
      <c r="U929" s="8" t="str">
        <f>IF($A929="","",IF(ISNUMBER(FIND("IMPVOL",U$1)),_xll.BDH(config!$G$4,U$1,WORKDAY($A929,-1,config_Holiday_Calendar_US),WORKDAY($A929,-1,config_Holiday_Calendar_US)),IF(ISNUMBER(_xll.BDH(config!$G$4,U$1,$A929,$A929)),_xll.BDH(config!$G$4,U$1,$A929,$A929),_xll.BDH(config!$G$5,U$1,$A929,$A929))))</f>
        <v/>
      </c>
      <c r="V929" s="8" t="str">
        <f>IF($A929="","",IF(ISNUMBER(FIND("IMPVOL",V$1)),_xll.BDH(config!$G$4,V$1,WORKDAY($A929,-1,config_Holiday_Calendar_US),WORKDAY($A929,-1,config_Holiday_Calendar_US)),IF(ISNUMBER(_xll.BDH(config!$G$4,V$1,$A929,$A929)),_xll.BDH(config!$G$4,V$1,$A929,$A929),_xll.BDH(config!$G$5,V$1,$A929,$A929))))</f>
        <v/>
      </c>
      <c r="W929" s="8" t="str">
        <f>IF($A929="","",IF(ISNUMBER(FIND("IMPVOL",W$1)),_xll.BDH(config!$G$4,W$1,WORKDAY($A929,-1,config_Holiday_Calendar_US),WORKDAY($A929,-1,config_Holiday_Calendar_US)),IF(ISNUMBER(_xll.BDH(config!$G$4,W$1,$A929,$A929)),_xll.BDH(config!$G$4,W$1,$A929,$A929),_xll.BDH(config!$G$5,W$1,$A929,$A929))))</f>
        <v/>
      </c>
    </row>
    <row r="930" spans="1:23" x14ac:dyDescent="0.2">
      <c r="A930" s="9" t="str">
        <f>IF(A929="","",IF(WORKDAY(A929,-1,config_Holiday_Calendar_US)&lt;config!$I$10,"",WORKDAY(A929,-1,config_Holiday_Calendar_US)))</f>
        <v/>
      </c>
      <c r="B930" s="8" t="str">
        <f t="shared" si="14"/>
        <v/>
      </c>
      <c r="C930" s="8" t="str">
        <f>IF(A930="","",_xll.BDH(config!$H$4,C$1,$A930,$A930))</f>
        <v/>
      </c>
      <c r="D930" s="8" t="str">
        <f>IF($A930="","",_xll.BDH(config!$H$4,D$1,$A930,$A930))</f>
        <v/>
      </c>
      <c r="E930" s="8" t="str">
        <f>IF($A930="","",IF(ISNUMBER(FIND("IMPVOL",E$1)),_xll.BDH(config!$G$4,E$1,WORKDAY($A930,-1,config_Holiday_Calendar_US),WORKDAY($A930,-1,config_Holiday_Calendar_US)),IF(ISNUMBER(_xll.BDH(config!$G$4,E$1,$A930,$A930)),_xll.BDH(config!$G$4,E$1,$A930,$A930),_xll.BDH(config!$G$5,E$1,$A930,$A930))))</f>
        <v/>
      </c>
      <c r="F930" s="8" t="str">
        <f>IF($A930="","",IF(ISNUMBER(FIND("IMPVOL",F$1)),_xll.BDH(config!$G$4,F$1,WORKDAY($A930,-1,config_Holiday_Calendar_US),WORKDAY($A930,-1,config_Holiday_Calendar_US)),IF(ISNUMBER(_xll.BDH(config!$G$4,F$1,$A930,$A930)),_xll.BDH(config!$G$4,F$1,$A930,$A930),_xll.BDH(config!$G$5,F$1,$A930,$A930))))</f>
        <v/>
      </c>
      <c r="G930" s="8" t="str">
        <f>IF($A930="","",IF(ISNUMBER(FIND("IMPVOL",G$1)),_xll.BDH(config!$G$4,G$1,WORKDAY($A930,-1,config_Holiday_Calendar_US),WORKDAY($A930,-1,config_Holiday_Calendar_US)),IF(ISNUMBER(_xll.BDH(config!$G$4,G$1,$A930,$A930)),_xll.BDH(config!$G$4,G$1,$A930,$A930),_xll.BDH(config!$G$5,G$1,$A930,$A930))))</f>
        <v/>
      </c>
      <c r="H930" s="8" t="str">
        <f>IF($A930="","",IF(ISNUMBER(FIND("IMPVOL",H$1)),_xll.BDH(config!$G$4,H$1,WORKDAY($A930,-1,config_Holiday_Calendar_US),WORKDAY($A930,-1,config_Holiday_Calendar_US)),IF(ISNUMBER(_xll.BDH(config!$G$4,H$1,$A930,$A930)),_xll.BDH(config!$G$4,H$1,$A930,$A930),_xll.BDH(config!$G$5,H$1,$A930,$A930))))</f>
        <v/>
      </c>
      <c r="I930" s="8" t="str">
        <f>IF($A930="","",IF(ISNUMBER(FIND("IMPVOL",I$1)),_xll.BDH(config!$G$4,I$1,WORKDAY($A930,-1,config_Holiday_Calendar_US),WORKDAY($A930,-1,config_Holiday_Calendar_US)),IF(ISNUMBER(_xll.BDH(config!$G$4,I$1,$A930,$A930)),_xll.BDH(config!$G$4,I$1,$A930,$A930),_xll.BDH(config!$G$5,I$1,$A930,$A930))))</f>
        <v/>
      </c>
      <c r="J930" s="8" t="str">
        <f>IF($A930="","",IF(ISNUMBER(FIND("IMPVOL",J$1)),_xll.BDH(config!$G$4,J$1,WORKDAY($A930,-1,config_Holiday_Calendar_US),WORKDAY($A930,-1,config_Holiday_Calendar_US)),IF(ISNUMBER(_xll.BDH(config!$G$4,J$1,$A930,$A930)),_xll.BDH(config!$G$4,J$1,$A930,$A930),_xll.BDH(config!$G$5,J$1,$A930,$A930))))</f>
        <v/>
      </c>
      <c r="K930" s="8" t="str">
        <f>IF($A930="","",IF(ISNUMBER(FIND("IMPVOL",K$1)),_xll.BDH(config!$G$4,K$1,WORKDAY($A930,-1,config_Holiday_Calendar_US),WORKDAY($A930,-1,config_Holiday_Calendar_US)),IF(ISNUMBER(_xll.BDH(config!$G$4,K$1,$A930,$A930)),_xll.BDH(config!$G$4,K$1,$A930,$A930),_xll.BDH(config!$G$5,K$1,$A930,$A930))))</f>
        <v/>
      </c>
      <c r="L930" s="8" t="str">
        <f>IF($A930="","",IF(ISNUMBER(FIND("IMPVOL",L$1)),_xll.BDH(config!$G$4,L$1,WORKDAY($A930,-1,config_Holiday_Calendar_US),WORKDAY($A930,-1,config_Holiday_Calendar_US)),IF(ISNUMBER(_xll.BDH(config!$G$4,L$1,$A930,$A930)),_xll.BDH(config!$G$4,L$1,$A930,$A930),_xll.BDH(config!$G$5,L$1,$A930,$A930))))</f>
        <v/>
      </c>
      <c r="M930" s="8" t="str">
        <f>IF($A930="","",IF(ISNUMBER(FIND("IMPVOL",M$1)),_xll.BDH(config!$G$4,M$1,WORKDAY($A930,-1,config_Holiday_Calendar_US),WORKDAY($A930,-1,config_Holiday_Calendar_US)),IF(ISNUMBER(_xll.BDH(config!$G$4,M$1,$A930,$A930)),_xll.BDH(config!$G$4,M$1,$A930,$A930),_xll.BDH(config!$G$5,M$1,$A930,$A930))))</f>
        <v/>
      </c>
      <c r="N930" s="8" t="str">
        <f>IF($A930="","",IF(ISNUMBER(FIND("IMPVOL",N$1)),_xll.BDH(config!$G$4,N$1,WORKDAY($A930,-1,config_Holiday_Calendar_US),WORKDAY($A930,-1,config_Holiday_Calendar_US)),IF(ISNUMBER(_xll.BDH(config!$G$4,N$1,$A930,$A930)),_xll.BDH(config!$G$4,N$1,$A930,$A930),_xll.BDH(config!$G$5,N$1,$A930,$A930))))</f>
        <v/>
      </c>
      <c r="O930" s="8" t="str">
        <f>IF($A930="","",IF(ISNUMBER(FIND("IMPVOL",O$1)),_xll.BDH(config!$G$4,O$1,WORKDAY($A930,-1,config_Holiday_Calendar_US),WORKDAY($A930,-1,config_Holiday_Calendar_US)),IF(ISNUMBER(_xll.BDH(config!$G$4,O$1,$A930,$A930)),_xll.BDH(config!$G$4,O$1,$A930,$A930),_xll.BDH(config!$G$5,O$1,$A930,$A930))))</f>
        <v/>
      </c>
      <c r="P930" s="8" t="str">
        <f>IF($A930="","",IF(ISNUMBER(FIND("IMPVOL",P$1)),_xll.BDH(config!$G$4,P$1,WORKDAY($A930,-1,config_Holiday_Calendar_US),WORKDAY($A930,-1,config_Holiday_Calendar_US)),IF(ISNUMBER(_xll.BDH(config!$G$4,P$1,$A930,$A930)),_xll.BDH(config!$G$4,P$1,$A930,$A930),_xll.BDH(config!$G$5,P$1,$A930,$A930))))</f>
        <v/>
      </c>
      <c r="Q930" s="8" t="str">
        <f>IF($A930="","",IF(ISNUMBER(FIND("IMPVOL",Q$1)),_xll.BDH(config!$G$4,Q$1,WORKDAY($A930,-1,config_Holiday_Calendar_US),WORKDAY($A930,-1,config_Holiday_Calendar_US)),IF(ISNUMBER(_xll.BDH(config!$G$4,Q$1,$A930,$A930)),_xll.BDH(config!$G$4,Q$1,$A930,$A930),_xll.BDH(config!$G$5,Q$1,$A930,$A930))))</f>
        <v/>
      </c>
      <c r="R930" s="8" t="str">
        <f>IF($A930="","",IF(ISNUMBER(FIND("IMPVOL",R$1)),_xll.BDH(config!$G$4,R$1,WORKDAY($A930,-1,config_Holiday_Calendar_US),WORKDAY($A930,-1,config_Holiday_Calendar_US)),IF(ISNUMBER(_xll.BDH(config!$G$4,R$1,$A930,$A930)),_xll.BDH(config!$G$4,R$1,$A930,$A930),_xll.BDH(config!$G$5,R$1,$A930,$A930))))</f>
        <v/>
      </c>
      <c r="S930" s="8" t="str">
        <f>IF($A930="","",IF(ISNUMBER(FIND("IMPVOL",S$1)),_xll.BDH(config!$G$4,S$1,WORKDAY($A930,-1,config_Holiday_Calendar_US),WORKDAY($A930,-1,config_Holiday_Calendar_US)),IF(ISNUMBER(_xll.BDH(config!$G$4,S$1,$A930,$A930)),_xll.BDH(config!$G$4,S$1,$A930,$A930),_xll.BDH(config!$G$5,S$1,$A930,$A930))))</f>
        <v/>
      </c>
      <c r="T930" s="8" t="str">
        <f>IF($A930="","",IF(ISNUMBER(FIND("IMPVOL",T$1)),_xll.BDH(config!$G$4,T$1,WORKDAY($A930,-1,config_Holiday_Calendar_US),WORKDAY($A930,-1,config_Holiday_Calendar_US)),IF(ISNUMBER(_xll.BDH(config!$G$4,T$1,$A930,$A930)),_xll.BDH(config!$G$4,T$1,$A930,$A930),_xll.BDH(config!$G$5,T$1,$A930,$A930))))</f>
        <v/>
      </c>
      <c r="U930" s="8" t="str">
        <f>IF($A930="","",IF(ISNUMBER(FIND("IMPVOL",U$1)),_xll.BDH(config!$G$4,U$1,WORKDAY($A930,-1,config_Holiday_Calendar_US),WORKDAY($A930,-1,config_Holiday_Calendar_US)),IF(ISNUMBER(_xll.BDH(config!$G$4,U$1,$A930,$A930)),_xll.BDH(config!$G$4,U$1,$A930,$A930),_xll.BDH(config!$G$5,U$1,$A930,$A930))))</f>
        <v/>
      </c>
      <c r="V930" s="8" t="str">
        <f>IF($A930="","",IF(ISNUMBER(FIND("IMPVOL",V$1)),_xll.BDH(config!$G$4,V$1,WORKDAY($A930,-1,config_Holiday_Calendar_US),WORKDAY($A930,-1,config_Holiday_Calendar_US)),IF(ISNUMBER(_xll.BDH(config!$G$4,V$1,$A930,$A930)),_xll.BDH(config!$G$4,V$1,$A930,$A930),_xll.BDH(config!$G$5,V$1,$A930,$A930))))</f>
        <v/>
      </c>
      <c r="W930" s="8" t="str">
        <f>IF($A930="","",IF(ISNUMBER(FIND("IMPVOL",W$1)),_xll.BDH(config!$G$4,W$1,WORKDAY($A930,-1,config_Holiday_Calendar_US),WORKDAY($A930,-1,config_Holiday_Calendar_US)),IF(ISNUMBER(_xll.BDH(config!$G$4,W$1,$A930,$A930)),_xll.BDH(config!$G$4,W$1,$A930,$A930),_xll.BDH(config!$G$5,W$1,$A930,$A930))))</f>
        <v/>
      </c>
    </row>
    <row r="931" spans="1:23" x14ac:dyDescent="0.2">
      <c r="A931" s="9" t="str">
        <f>IF(A930="","",IF(WORKDAY(A930,-1,config_Holiday_Calendar_US)&lt;config!$I$10,"",WORKDAY(A930,-1,config_Holiday_Calendar_US)))</f>
        <v/>
      </c>
      <c r="B931" s="8" t="str">
        <f t="shared" si="14"/>
        <v/>
      </c>
      <c r="C931" s="8" t="str">
        <f>IF(A931="","",_xll.BDH(config!$H$4,C$1,$A931,$A931))</f>
        <v/>
      </c>
      <c r="D931" s="8" t="str">
        <f>IF($A931="","",_xll.BDH(config!$H$4,D$1,$A931,$A931))</f>
        <v/>
      </c>
      <c r="E931" s="8" t="str">
        <f>IF($A931="","",IF(ISNUMBER(FIND("IMPVOL",E$1)),_xll.BDH(config!$G$4,E$1,WORKDAY($A931,-1,config_Holiday_Calendar_US),WORKDAY($A931,-1,config_Holiday_Calendar_US)),IF(ISNUMBER(_xll.BDH(config!$G$4,E$1,$A931,$A931)),_xll.BDH(config!$G$4,E$1,$A931,$A931),_xll.BDH(config!$G$5,E$1,$A931,$A931))))</f>
        <v/>
      </c>
      <c r="F931" s="8" t="str">
        <f>IF($A931="","",IF(ISNUMBER(FIND("IMPVOL",F$1)),_xll.BDH(config!$G$4,F$1,WORKDAY($A931,-1,config_Holiday_Calendar_US),WORKDAY($A931,-1,config_Holiday_Calendar_US)),IF(ISNUMBER(_xll.BDH(config!$G$4,F$1,$A931,$A931)),_xll.BDH(config!$G$4,F$1,$A931,$A931),_xll.BDH(config!$G$5,F$1,$A931,$A931))))</f>
        <v/>
      </c>
      <c r="G931" s="8" t="str">
        <f>IF($A931="","",IF(ISNUMBER(FIND("IMPVOL",G$1)),_xll.BDH(config!$G$4,G$1,WORKDAY($A931,-1,config_Holiday_Calendar_US),WORKDAY($A931,-1,config_Holiday_Calendar_US)),IF(ISNUMBER(_xll.BDH(config!$G$4,G$1,$A931,$A931)),_xll.BDH(config!$G$4,G$1,$A931,$A931),_xll.BDH(config!$G$5,G$1,$A931,$A931))))</f>
        <v/>
      </c>
      <c r="H931" s="8" t="str">
        <f>IF($A931="","",IF(ISNUMBER(FIND("IMPVOL",H$1)),_xll.BDH(config!$G$4,H$1,WORKDAY($A931,-1,config_Holiday_Calendar_US),WORKDAY($A931,-1,config_Holiday_Calendar_US)),IF(ISNUMBER(_xll.BDH(config!$G$4,H$1,$A931,$A931)),_xll.BDH(config!$G$4,H$1,$A931,$A931),_xll.BDH(config!$G$5,H$1,$A931,$A931))))</f>
        <v/>
      </c>
      <c r="I931" s="8" t="str">
        <f>IF($A931="","",IF(ISNUMBER(FIND("IMPVOL",I$1)),_xll.BDH(config!$G$4,I$1,WORKDAY($A931,-1,config_Holiday_Calendar_US),WORKDAY($A931,-1,config_Holiday_Calendar_US)),IF(ISNUMBER(_xll.BDH(config!$G$4,I$1,$A931,$A931)),_xll.BDH(config!$G$4,I$1,$A931,$A931),_xll.BDH(config!$G$5,I$1,$A931,$A931))))</f>
        <v/>
      </c>
      <c r="J931" s="8" t="str">
        <f>IF($A931="","",IF(ISNUMBER(FIND("IMPVOL",J$1)),_xll.BDH(config!$G$4,J$1,WORKDAY($A931,-1,config_Holiday_Calendar_US),WORKDAY($A931,-1,config_Holiday_Calendar_US)),IF(ISNUMBER(_xll.BDH(config!$G$4,J$1,$A931,$A931)),_xll.BDH(config!$G$4,J$1,$A931,$A931),_xll.BDH(config!$G$5,J$1,$A931,$A931))))</f>
        <v/>
      </c>
      <c r="K931" s="8" t="str">
        <f>IF($A931="","",IF(ISNUMBER(FIND("IMPVOL",K$1)),_xll.BDH(config!$G$4,K$1,WORKDAY($A931,-1,config_Holiday_Calendar_US),WORKDAY($A931,-1,config_Holiday_Calendar_US)),IF(ISNUMBER(_xll.BDH(config!$G$4,K$1,$A931,$A931)),_xll.BDH(config!$G$4,K$1,$A931,$A931),_xll.BDH(config!$G$5,K$1,$A931,$A931))))</f>
        <v/>
      </c>
      <c r="L931" s="8" t="str">
        <f>IF($A931="","",IF(ISNUMBER(FIND("IMPVOL",L$1)),_xll.BDH(config!$G$4,L$1,WORKDAY($A931,-1,config_Holiday_Calendar_US),WORKDAY($A931,-1,config_Holiday_Calendar_US)),IF(ISNUMBER(_xll.BDH(config!$G$4,L$1,$A931,$A931)),_xll.BDH(config!$G$4,L$1,$A931,$A931),_xll.BDH(config!$G$5,L$1,$A931,$A931))))</f>
        <v/>
      </c>
      <c r="M931" s="8" t="str">
        <f>IF($A931="","",IF(ISNUMBER(FIND("IMPVOL",M$1)),_xll.BDH(config!$G$4,M$1,WORKDAY($A931,-1,config_Holiday_Calendar_US),WORKDAY($A931,-1,config_Holiday_Calendar_US)),IF(ISNUMBER(_xll.BDH(config!$G$4,M$1,$A931,$A931)),_xll.BDH(config!$G$4,M$1,$A931,$A931),_xll.BDH(config!$G$5,M$1,$A931,$A931))))</f>
        <v/>
      </c>
      <c r="N931" s="8" t="str">
        <f>IF($A931="","",IF(ISNUMBER(FIND("IMPVOL",N$1)),_xll.BDH(config!$G$4,N$1,WORKDAY($A931,-1,config_Holiday_Calendar_US),WORKDAY($A931,-1,config_Holiday_Calendar_US)),IF(ISNUMBER(_xll.BDH(config!$G$4,N$1,$A931,$A931)),_xll.BDH(config!$G$4,N$1,$A931,$A931),_xll.BDH(config!$G$5,N$1,$A931,$A931))))</f>
        <v/>
      </c>
      <c r="O931" s="8" t="str">
        <f>IF($A931="","",IF(ISNUMBER(FIND("IMPVOL",O$1)),_xll.BDH(config!$G$4,O$1,WORKDAY($A931,-1,config_Holiday_Calendar_US),WORKDAY($A931,-1,config_Holiday_Calendar_US)),IF(ISNUMBER(_xll.BDH(config!$G$4,O$1,$A931,$A931)),_xll.BDH(config!$G$4,O$1,$A931,$A931),_xll.BDH(config!$G$5,O$1,$A931,$A931))))</f>
        <v/>
      </c>
      <c r="P931" s="8" t="str">
        <f>IF($A931="","",IF(ISNUMBER(FIND("IMPVOL",P$1)),_xll.BDH(config!$G$4,P$1,WORKDAY($A931,-1,config_Holiday_Calendar_US),WORKDAY($A931,-1,config_Holiday_Calendar_US)),IF(ISNUMBER(_xll.BDH(config!$G$4,P$1,$A931,$A931)),_xll.BDH(config!$G$4,P$1,$A931,$A931),_xll.BDH(config!$G$5,P$1,$A931,$A931))))</f>
        <v/>
      </c>
      <c r="Q931" s="8" t="str">
        <f>IF($A931="","",IF(ISNUMBER(FIND("IMPVOL",Q$1)),_xll.BDH(config!$G$4,Q$1,WORKDAY($A931,-1,config_Holiday_Calendar_US),WORKDAY($A931,-1,config_Holiday_Calendar_US)),IF(ISNUMBER(_xll.BDH(config!$G$4,Q$1,$A931,$A931)),_xll.BDH(config!$G$4,Q$1,$A931,$A931),_xll.BDH(config!$G$5,Q$1,$A931,$A931))))</f>
        <v/>
      </c>
      <c r="R931" s="8" t="str">
        <f>IF($A931="","",IF(ISNUMBER(FIND("IMPVOL",R$1)),_xll.BDH(config!$G$4,R$1,WORKDAY($A931,-1,config_Holiday_Calendar_US),WORKDAY($A931,-1,config_Holiday_Calendar_US)),IF(ISNUMBER(_xll.BDH(config!$G$4,R$1,$A931,$A931)),_xll.BDH(config!$G$4,R$1,$A931,$A931),_xll.BDH(config!$G$5,R$1,$A931,$A931))))</f>
        <v/>
      </c>
      <c r="S931" s="8" t="str">
        <f>IF($A931="","",IF(ISNUMBER(FIND("IMPVOL",S$1)),_xll.BDH(config!$G$4,S$1,WORKDAY($A931,-1,config_Holiday_Calendar_US),WORKDAY($A931,-1,config_Holiday_Calendar_US)),IF(ISNUMBER(_xll.BDH(config!$G$4,S$1,$A931,$A931)),_xll.BDH(config!$G$4,S$1,$A931,$A931),_xll.BDH(config!$G$5,S$1,$A931,$A931))))</f>
        <v/>
      </c>
      <c r="T931" s="8" t="str">
        <f>IF($A931="","",IF(ISNUMBER(FIND("IMPVOL",T$1)),_xll.BDH(config!$G$4,T$1,WORKDAY($A931,-1,config_Holiday_Calendar_US),WORKDAY($A931,-1,config_Holiday_Calendar_US)),IF(ISNUMBER(_xll.BDH(config!$G$4,T$1,$A931,$A931)),_xll.BDH(config!$G$4,T$1,$A931,$A931),_xll.BDH(config!$G$5,T$1,$A931,$A931))))</f>
        <v/>
      </c>
      <c r="U931" s="8" t="str">
        <f>IF($A931="","",IF(ISNUMBER(FIND("IMPVOL",U$1)),_xll.BDH(config!$G$4,U$1,WORKDAY($A931,-1,config_Holiday_Calendar_US),WORKDAY($A931,-1,config_Holiday_Calendar_US)),IF(ISNUMBER(_xll.BDH(config!$G$4,U$1,$A931,$A931)),_xll.BDH(config!$G$4,U$1,$A931,$A931),_xll.BDH(config!$G$5,U$1,$A931,$A931))))</f>
        <v/>
      </c>
      <c r="V931" s="8" t="str">
        <f>IF($A931="","",IF(ISNUMBER(FIND("IMPVOL",V$1)),_xll.BDH(config!$G$4,V$1,WORKDAY($A931,-1,config_Holiday_Calendar_US),WORKDAY($A931,-1,config_Holiday_Calendar_US)),IF(ISNUMBER(_xll.BDH(config!$G$4,V$1,$A931,$A931)),_xll.BDH(config!$G$4,V$1,$A931,$A931),_xll.BDH(config!$G$5,V$1,$A931,$A931))))</f>
        <v/>
      </c>
      <c r="W931" s="8" t="str">
        <f>IF($A931="","",IF(ISNUMBER(FIND("IMPVOL",W$1)),_xll.BDH(config!$G$4,W$1,WORKDAY($A931,-1,config_Holiday_Calendar_US),WORKDAY($A931,-1,config_Holiday_Calendar_US)),IF(ISNUMBER(_xll.BDH(config!$G$4,W$1,$A931,$A931)),_xll.BDH(config!$G$4,W$1,$A931,$A931),_xll.BDH(config!$G$5,W$1,$A931,$A931))))</f>
        <v/>
      </c>
    </row>
    <row r="932" spans="1:23" x14ac:dyDescent="0.2">
      <c r="A932" s="9" t="str">
        <f>IF(A931="","",IF(WORKDAY(A931,-1,config_Holiday_Calendar_US)&lt;config!$I$10,"",WORKDAY(A931,-1,config_Holiday_Calendar_US)))</f>
        <v/>
      </c>
      <c r="B932" s="8" t="str">
        <f t="shared" si="14"/>
        <v/>
      </c>
      <c r="C932" s="8" t="str">
        <f>IF(A932="","",_xll.BDH(config!$H$4,C$1,$A932,$A932))</f>
        <v/>
      </c>
      <c r="D932" s="8" t="str">
        <f>IF($A932="","",_xll.BDH(config!$H$4,D$1,$A932,$A932))</f>
        <v/>
      </c>
      <c r="E932" s="8" t="str">
        <f>IF($A932="","",IF(ISNUMBER(FIND("IMPVOL",E$1)),_xll.BDH(config!$G$4,E$1,WORKDAY($A932,-1,config_Holiday_Calendar_US),WORKDAY($A932,-1,config_Holiday_Calendar_US)),IF(ISNUMBER(_xll.BDH(config!$G$4,E$1,$A932,$A932)),_xll.BDH(config!$G$4,E$1,$A932,$A932),_xll.BDH(config!$G$5,E$1,$A932,$A932))))</f>
        <v/>
      </c>
      <c r="F932" s="8" t="str">
        <f>IF($A932="","",IF(ISNUMBER(FIND("IMPVOL",F$1)),_xll.BDH(config!$G$4,F$1,WORKDAY($A932,-1,config_Holiday_Calendar_US),WORKDAY($A932,-1,config_Holiday_Calendar_US)),IF(ISNUMBER(_xll.BDH(config!$G$4,F$1,$A932,$A932)),_xll.BDH(config!$G$4,F$1,$A932,$A932),_xll.BDH(config!$G$5,F$1,$A932,$A932))))</f>
        <v/>
      </c>
      <c r="G932" s="8" t="str">
        <f>IF($A932="","",IF(ISNUMBER(FIND("IMPVOL",G$1)),_xll.BDH(config!$G$4,G$1,WORKDAY($A932,-1,config_Holiday_Calendar_US),WORKDAY($A932,-1,config_Holiday_Calendar_US)),IF(ISNUMBER(_xll.BDH(config!$G$4,G$1,$A932,$A932)),_xll.BDH(config!$G$4,G$1,$A932,$A932),_xll.BDH(config!$G$5,G$1,$A932,$A932))))</f>
        <v/>
      </c>
      <c r="H932" s="8" t="str">
        <f>IF($A932="","",IF(ISNUMBER(FIND("IMPVOL",H$1)),_xll.BDH(config!$G$4,H$1,WORKDAY($A932,-1,config_Holiday_Calendar_US),WORKDAY($A932,-1,config_Holiday_Calendar_US)),IF(ISNUMBER(_xll.BDH(config!$G$4,H$1,$A932,$A932)),_xll.BDH(config!$G$4,H$1,$A932,$A932),_xll.BDH(config!$G$5,H$1,$A932,$A932))))</f>
        <v/>
      </c>
      <c r="I932" s="8" t="str">
        <f>IF($A932="","",IF(ISNUMBER(FIND("IMPVOL",I$1)),_xll.BDH(config!$G$4,I$1,WORKDAY($A932,-1,config_Holiday_Calendar_US),WORKDAY($A932,-1,config_Holiday_Calendar_US)),IF(ISNUMBER(_xll.BDH(config!$G$4,I$1,$A932,$A932)),_xll.BDH(config!$G$4,I$1,$A932,$A932),_xll.BDH(config!$G$5,I$1,$A932,$A932))))</f>
        <v/>
      </c>
      <c r="J932" s="8" t="str">
        <f>IF($A932="","",IF(ISNUMBER(FIND("IMPVOL",J$1)),_xll.BDH(config!$G$4,J$1,WORKDAY($A932,-1,config_Holiday_Calendar_US),WORKDAY($A932,-1,config_Holiday_Calendar_US)),IF(ISNUMBER(_xll.BDH(config!$G$4,J$1,$A932,$A932)),_xll.BDH(config!$G$4,J$1,$A932,$A932),_xll.BDH(config!$G$5,J$1,$A932,$A932))))</f>
        <v/>
      </c>
      <c r="K932" s="8" t="str">
        <f>IF($A932="","",IF(ISNUMBER(FIND("IMPVOL",K$1)),_xll.BDH(config!$G$4,K$1,WORKDAY($A932,-1,config_Holiday_Calendar_US),WORKDAY($A932,-1,config_Holiday_Calendar_US)),IF(ISNUMBER(_xll.BDH(config!$G$4,K$1,$A932,$A932)),_xll.BDH(config!$G$4,K$1,$A932,$A932),_xll.BDH(config!$G$5,K$1,$A932,$A932))))</f>
        <v/>
      </c>
      <c r="L932" s="8" t="str">
        <f>IF($A932="","",IF(ISNUMBER(FIND("IMPVOL",L$1)),_xll.BDH(config!$G$4,L$1,WORKDAY($A932,-1,config_Holiday_Calendar_US),WORKDAY($A932,-1,config_Holiday_Calendar_US)),IF(ISNUMBER(_xll.BDH(config!$G$4,L$1,$A932,$A932)),_xll.BDH(config!$G$4,L$1,$A932,$A932),_xll.BDH(config!$G$5,L$1,$A932,$A932))))</f>
        <v/>
      </c>
      <c r="M932" s="8" t="str">
        <f>IF($A932="","",IF(ISNUMBER(FIND("IMPVOL",M$1)),_xll.BDH(config!$G$4,M$1,WORKDAY($A932,-1,config_Holiday_Calendar_US),WORKDAY($A932,-1,config_Holiday_Calendar_US)),IF(ISNUMBER(_xll.BDH(config!$G$4,M$1,$A932,$A932)),_xll.BDH(config!$G$4,M$1,$A932,$A932),_xll.BDH(config!$G$5,M$1,$A932,$A932))))</f>
        <v/>
      </c>
      <c r="N932" s="8" t="str">
        <f>IF($A932="","",IF(ISNUMBER(FIND("IMPVOL",N$1)),_xll.BDH(config!$G$4,N$1,WORKDAY($A932,-1,config_Holiday_Calendar_US),WORKDAY($A932,-1,config_Holiday_Calendar_US)),IF(ISNUMBER(_xll.BDH(config!$G$4,N$1,$A932,$A932)),_xll.BDH(config!$G$4,N$1,$A932,$A932),_xll.BDH(config!$G$5,N$1,$A932,$A932))))</f>
        <v/>
      </c>
      <c r="O932" s="8" t="str">
        <f>IF($A932="","",IF(ISNUMBER(FIND("IMPVOL",O$1)),_xll.BDH(config!$G$4,O$1,WORKDAY($A932,-1,config_Holiday_Calendar_US),WORKDAY($A932,-1,config_Holiday_Calendar_US)),IF(ISNUMBER(_xll.BDH(config!$G$4,O$1,$A932,$A932)),_xll.BDH(config!$G$4,O$1,$A932,$A932),_xll.BDH(config!$G$5,O$1,$A932,$A932))))</f>
        <v/>
      </c>
      <c r="P932" s="8" t="str">
        <f>IF($A932="","",IF(ISNUMBER(FIND("IMPVOL",P$1)),_xll.BDH(config!$G$4,P$1,WORKDAY($A932,-1,config_Holiday_Calendar_US),WORKDAY($A932,-1,config_Holiday_Calendar_US)),IF(ISNUMBER(_xll.BDH(config!$G$4,P$1,$A932,$A932)),_xll.BDH(config!$G$4,P$1,$A932,$A932),_xll.BDH(config!$G$5,P$1,$A932,$A932))))</f>
        <v/>
      </c>
      <c r="Q932" s="8" t="str">
        <f>IF($A932="","",IF(ISNUMBER(FIND("IMPVOL",Q$1)),_xll.BDH(config!$G$4,Q$1,WORKDAY($A932,-1,config_Holiday_Calendar_US),WORKDAY($A932,-1,config_Holiday_Calendar_US)),IF(ISNUMBER(_xll.BDH(config!$G$4,Q$1,$A932,$A932)),_xll.BDH(config!$G$4,Q$1,$A932,$A932),_xll.BDH(config!$G$5,Q$1,$A932,$A932))))</f>
        <v/>
      </c>
      <c r="R932" s="8" t="str">
        <f>IF($A932="","",IF(ISNUMBER(FIND("IMPVOL",R$1)),_xll.BDH(config!$G$4,R$1,WORKDAY($A932,-1,config_Holiday_Calendar_US),WORKDAY($A932,-1,config_Holiday_Calendar_US)),IF(ISNUMBER(_xll.BDH(config!$G$4,R$1,$A932,$A932)),_xll.BDH(config!$G$4,R$1,$A932,$A932),_xll.BDH(config!$G$5,R$1,$A932,$A932))))</f>
        <v/>
      </c>
      <c r="S932" s="8" t="str">
        <f>IF($A932="","",IF(ISNUMBER(FIND("IMPVOL",S$1)),_xll.BDH(config!$G$4,S$1,WORKDAY($A932,-1,config_Holiday_Calendar_US),WORKDAY($A932,-1,config_Holiday_Calendar_US)),IF(ISNUMBER(_xll.BDH(config!$G$4,S$1,$A932,$A932)),_xll.BDH(config!$G$4,S$1,$A932,$A932),_xll.BDH(config!$G$5,S$1,$A932,$A932))))</f>
        <v/>
      </c>
      <c r="T932" s="8" t="str">
        <f>IF($A932="","",IF(ISNUMBER(FIND("IMPVOL",T$1)),_xll.BDH(config!$G$4,T$1,WORKDAY($A932,-1,config_Holiday_Calendar_US),WORKDAY($A932,-1,config_Holiday_Calendar_US)),IF(ISNUMBER(_xll.BDH(config!$G$4,T$1,$A932,$A932)),_xll.BDH(config!$G$4,T$1,$A932,$A932),_xll.BDH(config!$G$5,T$1,$A932,$A932))))</f>
        <v/>
      </c>
      <c r="U932" s="8" t="str">
        <f>IF($A932="","",IF(ISNUMBER(FIND("IMPVOL",U$1)),_xll.BDH(config!$G$4,U$1,WORKDAY($A932,-1,config_Holiday_Calendar_US),WORKDAY($A932,-1,config_Holiday_Calendar_US)),IF(ISNUMBER(_xll.BDH(config!$G$4,U$1,$A932,$A932)),_xll.BDH(config!$G$4,U$1,$A932,$A932),_xll.BDH(config!$G$5,U$1,$A932,$A932))))</f>
        <v/>
      </c>
      <c r="V932" s="8" t="str">
        <f>IF($A932="","",IF(ISNUMBER(FIND("IMPVOL",V$1)),_xll.BDH(config!$G$4,V$1,WORKDAY($A932,-1,config_Holiday_Calendar_US),WORKDAY($A932,-1,config_Holiday_Calendar_US)),IF(ISNUMBER(_xll.BDH(config!$G$4,V$1,$A932,$A932)),_xll.BDH(config!$G$4,V$1,$A932,$A932),_xll.BDH(config!$G$5,V$1,$A932,$A932))))</f>
        <v/>
      </c>
      <c r="W932" s="8" t="str">
        <f>IF($A932="","",IF(ISNUMBER(FIND("IMPVOL",W$1)),_xll.BDH(config!$G$4,W$1,WORKDAY($A932,-1,config_Holiday_Calendar_US),WORKDAY($A932,-1,config_Holiday_Calendar_US)),IF(ISNUMBER(_xll.BDH(config!$G$4,W$1,$A932,$A932)),_xll.BDH(config!$G$4,W$1,$A932,$A932),_xll.BDH(config!$G$5,W$1,$A932,$A932))))</f>
        <v/>
      </c>
    </row>
    <row r="933" spans="1:23" x14ac:dyDescent="0.2">
      <c r="A933" s="9" t="str">
        <f>IF(A932="","",IF(WORKDAY(A932,-1,config_Holiday_Calendar_US)&lt;config!$I$10,"",WORKDAY(A932,-1,config_Holiday_Calendar_US)))</f>
        <v/>
      </c>
      <c r="B933" s="8" t="str">
        <f t="shared" si="14"/>
        <v/>
      </c>
      <c r="C933" s="8" t="str">
        <f>IF(A933="","",_xll.BDH(config!$H$4,C$1,$A933,$A933))</f>
        <v/>
      </c>
      <c r="D933" s="8" t="str">
        <f>IF($A933="","",_xll.BDH(config!$H$4,D$1,$A933,$A933))</f>
        <v/>
      </c>
      <c r="E933" s="8" t="str">
        <f>IF($A933="","",IF(ISNUMBER(FIND("IMPVOL",E$1)),_xll.BDH(config!$G$4,E$1,WORKDAY($A933,-1,config_Holiday_Calendar_US),WORKDAY($A933,-1,config_Holiday_Calendar_US)),IF(ISNUMBER(_xll.BDH(config!$G$4,E$1,$A933,$A933)),_xll.BDH(config!$G$4,E$1,$A933,$A933),_xll.BDH(config!$G$5,E$1,$A933,$A933))))</f>
        <v/>
      </c>
      <c r="F933" s="8" t="str">
        <f>IF($A933="","",IF(ISNUMBER(FIND("IMPVOL",F$1)),_xll.BDH(config!$G$4,F$1,WORKDAY($A933,-1,config_Holiday_Calendar_US),WORKDAY($A933,-1,config_Holiday_Calendar_US)),IF(ISNUMBER(_xll.BDH(config!$G$4,F$1,$A933,$A933)),_xll.BDH(config!$G$4,F$1,$A933,$A933),_xll.BDH(config!$G$5,F$1,$A933,$A933))))</f>
        <v/>
      </c>
      <c r="G933" s="8" t="str">
        <f>IF($A933="","",IF(ISNUMBER(FIND("IMPVOL",G$1)),_xll.BDH(config!$G$4,G$1,WORKDAY($A933,-1,config_Holiday_Calendar_US),WORKDAY($A933,-1,config_Holiday_Calendar_US)),IF(ISNUMBER(_xll.BDH(config!$G$4,G$1,$A933,$A933)),_xll.BDH(config!$G$4,G$1,$A933,$A933),_xll.BDH(config!$G$5,G$1,$A933,$A933))))</f>
        <v/>
      </c>
      <c r="H933" s="8" t="str">
        <f>IF($A933="","",IF(ISNUMBER(FIND("IMPVOL",H$1)),_xll.BDH(config!$G$4,H$1,WORKDAY($A933,-1,config_Holiday_Calendar_US),WORKDAY($A933,-1,config_Holiday_Calendar_US)),IF(ISNUMBER(_xll.BDH(config!$G$4,H$1,$A933,$A933)),_xll.BDH(config!$G$4,H$1,$A933,$A933),_xll.BDH(config!$G$5,H$1,$A933,$A933))))</f>
        <v/>
      </c>
      <c r="I933" s="8" t="str">
        <f>IF($A933="","",IF(ISNUMBER(FIND("IMPVOL",I$1)),_xll.BDH(config!$G$4,I$1,WORKDAY($A933,-1,config_Holiday_Calendar_US),WORKDAY($A933,-1,config_Holiday_Calendar_US)),IF(ISNUMBER(_xll.BDH(config!$G$4,I$1,$A933,$A933)),_xll.BDH(config!$G$4,I$1,$A933,$A933),_xll.BDH(config!$G$5,I$1,$A933,$A933))))</f>
        <v/>
      </c>
      <c r="J933" s="8" t="str">
        <f>IF($A933="","",IF(ISNUMBER(FIND("IMPVOL",J$1)),_xll.BDH(config!$G$4,J$1,WORKDAY($A933,-1,config_Holiday_Calendar_US),WORKDAY($A933,-1,config_Holiday_Calendar_US)),IF(ISNUMBER(_xll.BDH(config!$G$4,J$1,$A933,$A933)),_xll.BDH(config!$G$4,J$1,$A933,$A933),_xll.BDH(config!$G$5,J$1,$A933,$A933))))</f>
        <v/>
      </c>
      <c r="K933" s="8" t="str">
        <f>IF($A933="","",IF(ISNUMBER(FIND("IMPVOL",K$1)),_xll.BDH(config!$G$4,K$1,WORKDAY($A933,-1,config_Holiday_Calendar_US),WORKDAY($A933,-1,config_Holiday_Calendar_US)),IF(ISNUMBER(_xll.BDH(config!$G$4,K$1,$A933,$A933)),_xll.BDH(config!$G$4,K$1,$A933,$A933),_xll.BDH(config!$G$5,K$1,$A933,$A933))))</f>
        <v/>
      </c>
      <c r="L933" s="8" t="str">
        <f>IF($A933="","",IF(ISNUMBER(FIND("IMPVOL",L$1)),_xll.BDH(config!$G$4,L$1,WORKDAY($A933,-1,config_Holiday_Calendar_US),WORKDAY($A933,-1,config_Holiday_Calendar_US)),IF(ISNUMBER(_xll.BDH(config!$G$4,L$1,$A933,$A933)),_xll.BDH(config!$G$4,L$1,$A933,$A933),_xll.BDH(config!$G$5,L$1,$A933,$A933))))</f>
        <v/>
      </c>
      <c r="M933" s="8" t="str">
        <f>IF($A933="","",IF(ISNUMBER(FIND("IMPVOL",M$1)),_xll.BDH(config!$G$4,M$1,WORKDAY($A933,-1,config_Holiday_Calendar_US),WORKDAY($A933,-1,config_Holiday_Calendar_US)),IF(ISNUMBER(_xll.BDH(config!$G$4,M$1,$A933,$A933)),_xll.BDH(config!$G$4,M$1,$A933,$A933),_xll.BDH(config!$G$5,M$1,$A933,$A933))))</f>
        <v/>
      </c>
      <c r="N933" s="8" t="str">
        <f>IF($A933="","",IF(ISNUMBER(FIND("IMPVOL",N$1)),_xll.BDH(config!$G$4,N$1,WORKDAY($A933,-1,config_Holiday_Calendar_US),WORKDAY($A933,-1,config_Holiday_Calendar_US)),IF(ISNUMBER(_xll.BDH(config!$G$4,N$1,$A933,$A933)),_xll.BDH(config!$G$4,N$1,$A933,$A933),_xll.BDH(config!$G$5,N$1,$A933,$A933))))</f>
        <v/>
      </c>
      <c r="O933" s="8" t="str">
        <f>IF($A933="","",IF(ISNUMBER(FIND("IMPVOL",O$1)),_xll.BDH(config!$G$4,O$1,WORKDAY($A933,-1,config_Holiday_Calendar_US),WORKDAY($A933,-1,config_Holiday_Calendar_US)),IF(ISNUMBER(_xll.BDH(config!$G$4,O$1,$A933,$A933)),_xll.BDH(config!$G$4,O$1,$A933,$A933),_xll.BDH(config!$G$5,O$1,$A933,$A933))))</f>
        <v/>
      </c>
      <c r="P933" s="8" t="str">
        <f>IF($A933="","",IF(ISNUMBER(FIND("IMPVOL",P$1)),_xll.BDH(config!$G$4,P$1,WORKDAY($A933,-1,config_Holiday_Calendar_US),WORKDAY($A933,-1,config_Holiday_Calendar_US)),IF(ISNUMBER(_xll.BDH(config!$G$4,P$1,$A933,$A933)),_xll.BDH(config!$G$4,P$1,$A933,$A933),_xll.BDH(config!$G$5,P$1,$A933,$A933))))</f>
        <v/>
      </c>
      <c r="Q933" s="8" t="str">
        <f>IF($A933="","",IF(ISNUMBER(FIND("IMPVOL",Q$1)),_xll.BDH(config!$G$4,Q$1,WORKDAY($A933,-1,config_Holiday_Calendar_US),WORKDAY($A933,-1,config_Holiday_Calendar_US)),IF(ISNUMBER(_xll.BDH(config!$G$4,Q$1,$A933,$A933)),_xll.BDH(config!$G$4,Q$1,$A933,$A933),_xll.BDH(config!$G$5,Q$1,$A933,$A933))))</f>
        <v/>
      </c>
      <c r="R933" s="8" t="str">
        <f>IF($A933="","",IF(ISNUMBER(FIND("IMPVOL",R$1)),_xll.BDH(config!$G$4,R$1,WORKDAY($A933,-1,config_Holiday_Calendar_US),WORKDAY($A933,-1,config_Holiday_Calendar_US)),IF(ISNUMBER(_xll.BDH(config!$G$4,R$1,$A933,$A933)),_xll.BDH(config!$G$4,R$1,$A933,$A933),_xll.BDH(config!$G$5,R$1,$A933,$A933))))</f>
        <v/>
      </c>
      <c r="S933" s="8" t="str">
        <f>IF($A933="","",IF(ISNUMBER(FIND("IMPVOL",S$1)),_xll.BDH(config!$G$4,S$1,WORKDAY($A933,-1,config_Holiday_Calendar_US),WORKDAY($A933,-1,config_Holiday_Calendar_US)),IF(ISNUMBER(_xll.BDH(config!$G$4,S$1,$A933,$A933)),_xll.BDH(config!$G$4,S$1,$A933,$A933),_xll.BDH(config!$G$5,S$1,$A933,$A933))))</f>
        <v/>
      </c>
      <c r="T933" s="8" t="str">
        <f>IF($A933="","",IF(ISNUMBER(FIND("IMPVOL",T$1)),_xll.BDH(config!$G$4,T$1,WORKDAY($A933,-1,config_Holiday_Calendar_US),WORKDAY($A933,-1,config_Holiday_Calendar_US)),IF(ISNUMBER(_xll.BDH(config!$G$4,T$1,$A933,$A933)),_xll.BDH(config!$G$4,T$1,$A933,$A933),_xll.BDH(config!$G$5,T$1,$A933,$A933))))</f>
        <v/>
      </c>
      <c r="U933" s="8" t="str">
        <f>IF($A933="","",IF(ISNUMBER(FIND("IMPVOL",U$1)),_xll.BDH(config!$G$4,U$1,WORKDAY($A933,-1,config_Holiday_Calendar_US),WORKDAY($A933,-1,config_Holiday_Calendar_US)),IF(ISNUMBER(_xll.BDH(config!$G$4,U$1,$A933,$A933)),_xll.BDH(config!$G$4,U$1,$A933,$A933),_xll.BDH(config!$G$5,U$1,$A933,$A933))))</f>
        <v/>
      </c>
      <c r="V933" s="8" t="str">
        <f>IF($A933="","",IF(ISNUMBER(FIND("IMPVOL",V$1)),_xll.BDH(config!$G$4,V$1,WORKDAY($A933,-1,config_Holiday_Calendar_US),WORKDAY($A933,-1,config_Holiday_Calendar_US)),IF(ISNUMBER(_xll.BDH(config!$G$4,V$1,$A933,$A933)),_xll.BDH(config!$G$4,V$1,$A933,$A933),_xll.BDH(config!$G$5,V$1,$A933,$A933))))</f>
        <v/>
      </c>
      <c r="W933" s="8" t="str">
        <f>IF($A933="","",IF(ISNUMBER(FIND("IMPVOL",W$1)),_xll.BDH(config!$G$4,W$1,WORKDAY($A933,-1,config_Holiday_Calendar_US),WORKDAY($A933,-1,config_Holiday_Calendar_US)),IF(ISNUMBER(_xll.BDH(config!$G$4,W$1,$A933,$A933)),_xll.BDH(config!$G$4,W$1,$A933,$A933),_xll.BDH(config!$G$5,W$1,$A933,$A933))))</f>
        <v/>
      </c>
    </row>
    <row r="934" spans="1:23" x14ac:dyDescent="0.2">
      <c r="A934" s="9" t="str">
        <f>IF(A933="","",IF(WORKDAY(A933,-1,config_Holiday_Calendar_US)&lt;config!$I$10,"",WORKDAY(A933,-1,config_Holiday_Calendar_US)))</f>
        <v/>
      </c>
      <c r="B934" s="8" t="str">
        <f t="shared" si="14"/>
        <v/>
      </c>
      <c r="C934" s="8" t="str">
        <f>IF(A934="","",_xll.BDH(config!$H$4,C$1,$A934,$A934))</f>
        <v/>
      </c>
      <c r="D934" s="8" t="str">
        <f>IF($A934="","",_xll.BDH(config!$H$4,D$1,$A934,$A934))</f>
        <v/>
      </c>
      <c r="E934" s="8" t="str">
        <f>IF($A934="","",IF(ISNUMBER(FIND("IMPVOL",E$1)),_xll.BDH(config!$G$4,E$1,WORKDAY($A934,-1,config_Holiday_Calendar_US),WORKDAY($A934,-1,config_Holiday_Calendar_US)),IF(ISNUMBER(_xll.BDH(config!$G$4,E$1,$A934,$A934)),_xll.BDH(config!$G$4,E$1,$A934,$A934),_xll.BDH(config!$G$5,E$1,$A934,$A934))))</f>
        <v/>
      </c>
      <c r="F934" s="8" t="str">
        <f>IF($A934="","",IF(ISNUMBER(FIND("IMPVOL",F$1)),_xll.BDH(config!$G$4,F$1,WORKDAY($A934,-1,config_Holiday_Calendar_US),WORKDAY($A934,-1,config_Holiday_Calendar_US)),IF(ISNUMBER(_xll.BDH(config!$G$4,F$1,$A934,$A934)),_xll.BDH(config!$G$4,F$1,$A934,$A934),_xll.BDH(config!$G$5,F$1,$A934,$A934))))</f>
        <v/>
      </c>
      <c r="G934" s="8" t="str">
        <f>IF($A934="","",IF(ISNUMBER(FIND("IMPVOL",G$1)),_xll.BDH(config!$G$4,G$1,WORKDAY($A934,-1,config_Holiday_Calendar_US),WORKDAY($A934,-1,config_Holiday_Calendar_US)),IF(ISNUMBER(_xll.BDH(config!$G$4,G$1,$A934,$A934)),_xll.BDH(config!$G$4,G$1,$A934,$A934),_xll.BDH(config!$G$5,G$1,$A934,$A934))))</f>
        <v/>
      </c>
      <c r="H934" s="8" t="str">
        <f>IF($A934="","",IF(ISNUMBER(FIND("IMPVOL",H$1)),_xll.BDH(config!$G$4,H$1,WORKDAY($A934,-1,config_Holiday_Calendar_US),WORKDAY($A934,-1,config_Holiday_Calendar_US)),IF(ISNUMBER(_xll.BDH(config!$G$4,H$1,$A934,$A934)),_xll.BDH(config!$G$4,H$1,$A934,$A934),_xll.BDH(config!$G$5,H$1,$A934,$A934))))</f>
        <v/>
      </c>
      <c r="I934" s="8" t="str">
        <f>IF($A934="","",IF(ISNUMBER(FIND("IMPVOL",I$1)),_xll.BDH(config!$G$4,I$1,WORKDAY($A934,-1,config_Holiday_Calendar_US),WORKDAY($A934,-1,config_Holiday_Calendar_US)),IF(ISNUMBER(_xll.BDH(config!$G$4,I$1,$A934,$A934)),_xll.BDH(config!$G$4,I$1,$A934,$A934),_xll.BDH(config!$G$5,I$1,$A934,$A934))))</f>
        <v/>
      </c>
      <c r="J934" s="8" t="str">
        <f>IF($A934="","",IF(ISNUMBER(FIND("IMPVOL",J$1)),_xll.BDH(config!$G$4,J$1,WORKDAY($A934,-1,config_Holiday_Calendar_US),WORKDAY($A934,-1,config_Holiday_Calendar_US)),IF(ISNUMBER(_xll.BDH(config!$G$4,J$1,$A934,$A934)),_xll.BDH(config!$G$4,J$1,$A934,$A934),_xll.BDH(config!$G$5,J$1,$A934,$A934))))</f>
        <v/>
      </c>
      <c r="K934" s="8" t="str">
        <f>IF($A934="","",IF(ISNUMBER(FIND("IMPVOL",K$1)),_xll.BDH(config!$G$4,K$1,WORKDAY($A934,-1,config_Holiday_Calendar_US),WORKDAY($A934,-1,config_Holiday_Calendar_US)),IF(ISNUMBER(_xll.BDH(config!$G$4,K$1,$A934,$A934)),_xll.BDH(config!$G$4,K$1,$A934,$A934),_xll.BDH(config!$G$5,K$1,$A934,$A934))))</f>
        <v/>
      </c>
      <c r="L934" s="8" t="str">
        <f>IF($A934="","",IF(ISNUMBER(FIND("IMPVOL",L$1)),_xll.BDH(config!$G$4,L$1,WORKDAY($A934,-1,config_Holiday_Calendar_US),WORKDAY($A934,-1,config_Holiday_Calendar_US)),IF(ISNUMBER(_xll.BDH(config!$G$4,L$1,$A934,$A934)),_xll.BDH(config!$G$4,L$1,$A934,$A934),_xll.BDH(config!$G$5,L$1,$A934,$A934))))</f>
        <v/>
      </c>
      <c r="M934" s="8" t="str">
        <f>IF($A934="","",IF(ISNUMBER(FIND("IMPVOL",M$1)),_xll.BDH(config!$G$4,M$1,WORKDAY($A934,-1,config_Holiday_Calendar_US),WORKDAY($A934,-1,config_Holiday_Calendar_US)),IF(ISNUMBER(_xll.BDH(config!$G$4,M$1,$A934,$A934)),_xll.BDH(config!$G$4,M$1,$A934,$A934),_xll.BDH(config!$G$5,M$1,$A934,$A934))))</f>
        <v/>
      </c>
      <c r="N934" s="8" t="str">
        <f>IF($A934="","",IF(ISNUMBER(FIND("IMPVOL",N$1)),_xll.BDH(config!$G$4,N$1,WORKDAY($A934,-1,config_Holiday_Calendar_US),WORKDAY($A934,-1,config_Holiday_Calendar_US)),IF(ISNUMBER(_xll.BDH(config!$G$4,N$1,$A934,$A934)),_xll.BDH(config!$G$4,N$1,$A934,$A934),_xll.BDH(config!$G$5,N$1,$A934,$A934))))</f>
        <v/>
      </c>
      <c r="O934" s="8" t="str">
        <f>IF($A934="","",IF(ISNUMBER(FIND("IMPVOL",O$1)),_xll.BDH(config!$G$4,O$1,WORKDAY($A934,-1,config_Holiday_Calendar_US),WORKDAY($A934,-1,config_Holiday_Calendar_US)),IF(ISNUMBER(_xll.BDH(config!$G$4,O$1,$A934,$A934)),_xll.BDH(config!$G$4,O$1,$A934,$A934),_xll.BDH(config!$G$5,O$1,$A934,$A934))))</f>
        <v/>
      </c>
      <c r="P934" s="8" t="str">
        <f>IF($A934="","",IF(ISNUMBER(FIND("IMPVOL",P$1)),_xll.BDH(config!$G$4,P$1,WORKDAY($A934,-1,config_Holiday_Calendar_US),WORKDAY($A934,-1,config_Holiday_Calendar_US)),IF(ISNUMBER(_xll.BDH(config!$G$4,P$1,$A934,$A934)),_xll.BDH(config!$G$4,P$1,$A934,$A934),_xll.BDH(config!$G$5,P$1,$A934,$A934))))</f>
        <v/>
      </c>
      <c r="Q934" s="8" t="str">
        <f>IF($A934="","",IF(ISNUMBER(FIND("IMPVOL",Q$1)),_xll.BDH(config!$G$4,Q$1,WORKDAY($A934,-1,config_Holiday_Calendar_US),WORKDAY($A934,-1,config_Holiday_Calendar_US)),IF(ISNUMBER(_xll.BDH(config!$G$4,Q$1,$A934,$A934)),_xll.BDH(config!$G$4,Q$1,$A934,$A934),_xll.BDH(config!$G$5,Q$1,$A934,$A934))))</f>
        <v/>
      </c>
      <c r="R934" s="8" t="str">
        <f>IF($A934="","",IF(ISNUMBER(FIND("IMPVOL",R$1)),_xll.BDH(config!$G$4,R$1,WORKDAY($A934,-1,config_Holiday_Calendar_US),WORKDAY($A934,-1,config_Holiday_Calendar_US)),IF(ISNUMBER(_xll.BDH(config!$G$4,R$1,$A934,$A934)),_xll.BDH(config!$G$4,R$1,$A934,$A934),_xll.BDH(config!$G$5,R$1,$A934,$A934))))</f>
        <v/>
      </c>
      <c r="S934" s="8" t="str">
        <f>IF($A934="","",IF(ISNUMBER(FIND("IMPVOL",S$1)),_xll.BDH(config!$G$4,S$1,WORKDAY($A934,-1,config_Holiday_Calendar_US),WORKDAY($A934,-1,config_Holiday_Calendar_US)),IF(ISNUMBER(_xll.BDH(config!$G$4,S$1,$A934,$A934)),_xll.BDH(config!$G$4,S$1,$A934,$A934),_xll.BDH(config!$G$5,S$1,$A934,$A934))))</f>
        <v/>
      </c>
      <c r="T934" s="8" t="str">
        <f>IF($A934="","",IF(ISNUMBER(FIND("IMPVOL",T$1)),_xll.BDH(config!$G$4,T$1,WORKDAY($A934,-1,config_Holiday_Calendar_US),WORKDAY($A934,-1,config_Holiday_Calendar_US)),IF(ISNUMBER(_xll.BDH(config!$G$4,T$1,$A934,$A934)),_xll.BDH(config!$G$4,T$1,$A934,$A934),_xll.BDH(config!$G$5,T$1,$A934,$A934))))</f>
        <v/>
      </c>
      <c r="U934" s="8" t="str">
        <f>IF($A934="","",IF(ISNUMBER(FIND("IMPVOL",U$1)),_xll.BDH(config!$G$4,U$1,WORKDAY($A934,-1,config_Holiday_Calendar_US),WORKDAY($A934,-1,config_Holiday_Calendar_US)),IF(ISNUMBER(_xll.BDH(config!$G$4,U$1,$A934,$A934)),_xll.BDH(config!$G$4,U$1,$A934,$A934),_xll.BDH(config!$G$5,U$1,$A934,$A934))))</f>
        <v/>
      </c>
      <c r="V934" s="8" t="str">
        <f>IF($A934="","",IF(ISNUMBER(FIND("IMPVOL",V$1)),_xll.BDH(config!$G$4,V$1,WORKDAY($A934,-1,config_Holiday_Calendar_US),WORKDAY($A934,-1,config_Holiday_Calendar_US)),IF(ISNUMBER(_xll.BDH(config!$G$4,V$1,$A934,$A934)),_xll.BDH(config!$G$4,V$1,$A934,$A934),_xll.BDH(config!$G$5,V$1,$A934,$A934))))</f>
        <v/>
      </c>
      <c r="W934" s="8" t="str">
        <f>IF($A934="","",IF(ISNUMBER(FIND("IMPVOL",W$1)),_xll.BDH(config!$G$4,W$1,WORKDAY($A934,-1,config_Holiday_Calendar_US),WORKDAY($A934,-1,config_Holiday_Calendar_US)),IF(ISNUMBER(_xll.BDH(config!$G$4,W$1,$A934,$A934)),_xll.BDH(config!$G$4,W$1,$A934,$A934),_xll.BDH(config!$G$5,W$1,$A934,$A934))))</f>
        <v/>
      </c>
    </row>
    <row r="935" spans="1:23" x14ac:dyDescent="0.2">
      <c r="A935" s="9" t="str">
        <f>IF(A934="","",IF(WORKDAY(A934,-1,config_Holiday_Calendar_US)&lt;config!$I$10,"",WORKDAY(A934,-1,config_Holiday_Calendar_US)))</f>
        <v/>
      </c>
      <c r="B935" s="8" t="str">
        <f t="shared" si="14"/>
        <v/>
      </c>
      <c r="C935" s="8" t="str">
        <f>IF(A935="","",_xll.BDH(config!$H$4,C$1,$A935,$A935))</f>
        <v/>
      </c>
      <c r="D935" s="8" t="str">
        <f>IF($A935="","",_xll.BDH(config!$H$4,D$1,$A935,$A935))</f>
        <v/>
      </c>
      <c r="E935" s="8" t="str">
        <f>IF($A935="","",IF(ISNUMBER(FIND("IMPVOL",E$1)),_xll.BDH(config!$G$4,E$1,WORKDAY($A935,-1,config_Holiday_Calendar_US),WORKDAY($A935,-1,config_Holiday_Calendar_US)),IF(ISNUMBER(_xll.BDH(config!$G$4,E$1,$A935,$A935)),_xll.BDH(config!$G$4,E$1,$A935,$A935),_xll.BDH(config!$G$5,E$1,$A935,$A935))))</f>
        <v/>
      </c>
      <c r="F935" s="8" t="str">
        <f>IF($A935="","",IF(ISNUMBER(FIND("IMPVOL",F$1)),_xll.BDH(config!$G$4,F$1,WORKDAY($A935,-1,config_Holiday_Calendar_US),WORKDAY($A935,-1,config_Holiday_Calendar_US)),IF(ISNUMBER(_xll.BDH(config!$G$4,F$1,$A935,$A935)),_xll.BDH(config!$G$4,F$1,$A935,$A935),_xll.BDH(config!$G$5,F$1,$A935,$A935))))</f>
        <v/>
      </c>
      <c r="G935" s="8" t="str">
        <f>IF($A935="","",IF(ISNUMBER(FIND("IMPVOL",G$1)),_xll.BDH(config!$G$4,G$1,WORKDAY($A935,-1,config_Holiday_Calendar_US),WORKDAY($A935,-1,config_Holiday_Calendar_US)),IF(ISNUMBER(_xll.BDH(config!$G$4,G$1,$A935,$A935)),_xll.BDH(config!$G$4,G$1,$A935,$A935),_xll.BDH(config!$G$5,G$1,$A935,$A935))))</f>
        <v/>
      </c>
      <c r="H935" s="8" t="str">
        <f>IF($A935="","",IF(ISNUMBER(FIND("IMPVOL",H$1)),_xll.BDH(config!$G$4,H$1,WORKDAY($A935,-1,config_Holiday_Calendar_US),WORKDAY($A935,-1,config_Holiday_Calendar_US)),IF(ISNUMBER(_xll.BDH(config!$G$4,H$1,$A935,$A935)),_xll.BDH(config!$G$4,H$1,$A935,$A935),_xll.BDH(config!$G$5,H$1,$A935,$A935))))</f>
        <v/>
      </c>
      <c r="I935" s="8" t="str">
        <f>IF($A935="","",IF(ISNUMBER(FIND("IMPVOL",I$1)),_xll.BDH(config!$G$4,I$1,WORKDAY($A935,-1,config_Holiday_Calendar_US),WORKDAY($A935,-1,config_Holiday_Calendar_US)),IF(ISNUMBER(_xll.BDH(config!$G$4,I$1,$A935,$A935)),_xll.BDH(config!$G$4,I$1,$A935,$A935),_xll.BDH(config!$G$5,I$1,$A935,$A935))))</f>
        <v/>
      </c>
      <c r="J935" s="8" t="str">
        <f>IF($A935="","",IF(ISNUMBER(FIND("IMPVOL",J$1)),_xll.BDH(config!$G$4,J$1,WORKDAY($A935,-1,config_Holiday_Calendar_US),WORKDAY($A935,-1,config_Holiday_Calendar_US)),IF(ISNUMBER(_xll.BDH(config!$G$4,J$1,$A935,$A935)),_xll.BDH(config!$G$4,J$1,$A935,$A935),_xll.BDH(config!$G$5,J$1,$A935,$A935))))</f>
        <v/>
      </c>
      <c r="K935" s="8" t="str">
        <f>IF($A935="","",IF(ISNUMBER(FIND("IMPVOL",K$1)),_xll.BDH(config!$G$4,K$1,WORKDAY($A935,-1,config_Holiday_Calendar_US),WORKDAY($A935,-1,config_Holiday_Calendar_US)),IF(ISNUMBER(_xll.BDH(config!$G$4,K$1,$A935,$A935)),_xll.BDH(config!$G$4,K$1,$A935,$A935),_xll.BDH(config!$G$5,K$1,$A935,$A935))))</f>
        <v/>
      </c>
      <c r="L935" s="8" t="str">
        <f>IF($A935="","",IF(ISNUMBER(FIND("IMPVOL",L$1)),_xll.BDH(config!$G$4,L$1,WORKDAY($A935,-1,config_Holiday_Calendar_US),WORKDAY($A935,-1,config_Holiday_Calendar_US)),IF(ISNUMBER(_xll.BDH(config!$G$4,L$1,$A935,$A935)),_xll.BDH(config!$G$4,L$1,$A935,$A935),_xll.BDH(config!$G$5,L$1,$A935,$A935))))</f>
        <v/>
      </c>
      <c r="M935" s="8" t="str">
        <f>IF($A935="","",IF(ISNUMBER(FIND("IMPVOL",M$1)),_xll.BDH(config!$G$4,M$1,WORKDAY($A935,-1,config_Holiday_Calendar_US),WORKDAY($A935,-1,config_Holiday_Calendar_US)),IF(ISNUMBER(_xll.BDH(config!$G$4,M$1,$A935,$A935)),_xll.BDH(config!$G$4,M$1,$A935,$A935),_xll.BDH(config!$G$5,M$1,$A935,$A935))))</f>
        <v/>
      </c>
      <c r="N935" s="8" t="str">
        <f>IF($A935="","",IF(ISNUMBER(FIND("IMPVOL",N$1)),_xll.BDH(config!$G$4,N$1,WORKDAY($A935,-1,config_Holiday_Calendar_US),WORKDAY($A935,-1,config_Holiday_Calendar_US)),IF(ISNUMBER(_xll.BDH(config!$G$4,N$1,$A935,$A935)),_xll.BDH(config!$G$4,N$1,$A935,$A935),_xll.BDH(config!$G$5,N$1,$A935,$A935))))</f>
        <v/>
      </c>
      <c r="O935" s="8" t="str">
        <f>IF($A935="","",IF(ISNUMBER(FIND("IMPVOL",O$1)),_xll.BDH(config!$G$4,O$1,WORKDAY($A935,-1,config_Holiday_Calendar_US),WORKDAY($A935,-1,config_Holiday_Calendar_US)),IF(ISNUMBER(_xll.BDH(config!$G$4,O$1,$A935,$A935)),_xll.BDH(config!$G$4,O$1,$A935,$A935),_xll.BDH(config!$G$5,O$1,$A935,$A935))))</f>
        <v/>
      </c>
      <c r="P935" s="8" t="str">
        <f>IF($A935="","",IF(ISNUMBER(FIND("IMPVOL",P$1)),_xll.BDH(config!$G$4,P$1,WORKDAY($A935,-1,config_Holiday_Calendar_US),WORKDAY($A935,-1,config_Holiday_Calendar_US)),IF(ISNUMBER(_xll.BDH(config!$G$4,P$1,$A935,$A935)),_xll.BDH(config!$G$4,P$1,$A935,$A935),_xll.BDH(config!$G$5,P$1,$A935,$A935))))</f>
        <v/>
      </c>
      <c r="Q935" s="8" t="str">
        <f>IF($A935="","",IF(ISNUMBER(FIND("IMPVOL",Q$1)),_xll.BDH(config!$G$4,Q$1,WORKDAY($A935,-1,config_Holiday_Calendar_US),WORKDAY($A935,-1,config_Holiday_Calendar_US)),IF(ISNUMBER(_xll.BDH(config!$G$4,Q$1,$A935,$A935)),_xll.BDH(config!$G$4,Q$1,$A935,$A935),_xll.BDH(config!$G$5,Q$1,$A935,$A935))))</f>
        <v/>
      </c>
      <c r="R935" s="8" t="str">
        <f>IF($A935="","",IF(ISNUMBER(FIND("IMPVOL",R$1)),_xll.BDH(config!$G$4,R$1,WORKDAY($A935,-1,config_Holiday_Calendar_US),WORKDAY($A935,-1,config_Holiday_Calendar_US)),IF(ISNUMBER(_xll.BDH(config!$G$4,R$1,$A935,$A935)),_xll.BDH(config!$G$4,R$1,$A935,$A935),_xll.BDH(config!$G$5,R$1,$A935,$A935))))</f>
        <v/>
      </c>
      <c r="S935" s="8" t="str">
        <f>IF($A935="","",IF(ISNUMBER(FIND("IMPVOL",S$1)),_xll.BDH(config!$G$4,S$1,WORKDAY($A935,-1,config_Holiday_Calendar_US),WORKDAY($A935,-1,config_Holiday_Calendar_US)),IF(ISNUMBER(_xll.BDH(config!$G$4,S$1,$A935,$A935)),_xll.BDH(config!$G$4,S$1,$A935,$A935),_xll.BDH(config!$G$5,S$1,$A935,$A935))))</f>
        <v/>
      </c>
      <c r="T935" s="8" t="str">
        <f>IF($A935="","",IF(ISNUMBER(FIND("IMPVOL",T$1)),_xll.BDH(config!$G$4,T$1,WORKDAY($A935,-1,config_Holiday_Calendar_US),WORKDAY($A935,-1,config_Holiday_Calendar_US)),IF(ISNUMBER(_xll.BDH(config!$G$4,T$1,$A935,$A935)),_xll.BDH(config!$G$4,T$1,$A935,$A935),_xll.BDH(config!$G$5,T$1,$A935,$A935))))</f>
        <v/>
      </c>
      <c r="U935" s="8" t="str">
        <f>IF($A935="","",IF(ISNUMBER(FIND("IMPVOL",U$1)),_xll.BDH(config!$G$4,U$1,WORKDAY($A935,-1,config_Holiday_Calendar_US),WORKDAY($A935,-1,config_Holiday_Calendar_US)),IF(ISNUMBER(_xll.BDH(config!$G$4,U$1,$A935,$A935)),_xll.BDH(config!$G$4,U$1,$A935,$A935),_xll.BDH(config!$G$5,U$1,$A935,$A935))))</f>
        <v/>
      </c>
      <c r="V935" s="8" t="str">
        <f>IF($A935="","",IF(ISNUMBER(FIND("IMPVOL",V$1)),_xll.BDH(config!$G$4,V$1,WORKDAY($A935,-1,config_Holiday_Calendar_US),WORKDAY($A935,-1,config_Holiday_Calendar_US)),IF(ISNUMBER(_xll.BDH(config!$G$4,V$1,$A935,$A935)),_xll.BDH(config!$G$4,V$1,$A935,$A935),_xll.BDH(config!$G$5,V$1,$A935,$A935))))</f>
        <v/>
      </c>
      <c r="W935" s="8" t="str">
        <f>IF($A935="","",IF(ISNUMBER(FIND("IMPVOL",W$1)),_xll.BDH(config!$G$4,W$1,WORKDAY($A935,-1,config_Holiday_Calendar_US),WORKDAY($A935,-1,config_Holiday_Calendar_US)),IF(ISNUMBER(_xll.BDH(config!$G$4,W$1,$A935,$A935)),_xll.BDH(config!$G$4,W$1,$A935,$A935),_xll.BDH(config!$G$5,W$1,$A935,$A935))))</f>
        <v/>
      </c>
    </row>
    <row r="936" spans="1:23" x14ac:dyDescent="0.2">
      <c r="A936" s="9" t="str">
        <f>IF(A935="","",IF(WORKDAY(A935,-1,config_Holiday_Calendar_US)&lt;config!$I$10,"",WORKDAY(A935,-1,config_Holiday_Calendar_US)))</f>
        <v/>
      </c>
      <c r="B936" s="8" t="str">
        <f t="shared" si="14"/>
        <v/>
      </c>
      <c r="C936" s="8" t="str">
        <f>IF(A936="","",_xll.BDH(config!$H$4,C$1,$A936,$A936))</f>
        <v/>
      </c>
      <c r="D936" s="8" t="str">
        <f>IF($A936="","",_xll.BDH(config!$H$4,D$1,$A936,$A936))</f>
        <v/>
      </c>
      <c r="E936" s="8" t="str">
        <f>IF($A936="","",IF(ISNUMBER(FIND("IMPVOL",E$1)),_xll.BDH(config!$G$4,E$1,WORKDAY($A936,-1,config_Holiday_Calendar_US),WORKDAY($A936,-1,config_Holiday_Calendar_US)),IF(ISNUMBER(_xll.BDH(config!$G$4,E$1,$A936,$A936)),_xll.BDH(config!$G$4,E$1,$A936,$A936),_xll.BDH(config!$G$5,E$1,$A936,$A936))))</f>
        <v/>
      </c>
      <c r="F936" s="8" t="str">
        <f>IF($A936="","",IF(ISNUMBER(FIND("IMPVOL",F$1)),_xll.BDH(config!$G$4,F$1,WORKDAY($A936,-1,config_Holiday_Calendar_US),WORKDAY($A936,-1,config_Holiday_Calendar_US)),IF(ISNUMBER(_xll.BDH(config!$G$4,F$1,$A936,$A936)),_xll.BDH(config!$G$4,F$1,$A936,$A936),_xll.BDH(config!$G$5,F$1,$A936,$A936))))</f>
        <v/>
      </c>
      <c r="G936" s="8" t="str">
        <f>IF($A936="","",IF(ISNUMBER(FIND("IMPVOL",G$1)),_xll.BDH(config!$G$4,G$1,WORKDAY($A936,-1,config_Holiday_Calendar_US),WORKDAY($A936,-1,config_Holiday_Calendar_US)),IF(ISNUMBER(_xll.BDH(config!$G$4,G$1,$A936,$A936)),_xll.BDH(config!$G$4,G$1,$A936,$A936),_xll.BDH(config!$G$5,G$1,$A936,$A936))))</f>
        <v/>
      </c>
      <c r="H936" s="8" t="str">
        <f>IF($A936="","",IF(ISNUMBER(FIND("IMPVOL",H$1)),_xll.BDH(config!$G$4,H$1,WORKDAY($A936,-1,config_Holiday_Calendar_US),WORKDAY($A936,-1,config_Holiday_Calendar_US)),IF(ISNUMBER(_xll.BDH(config!$G$4,H$1,$A936,$A936)),_xll.BDH(config!$G$4,H$1,$A936,$A936),_xll.BDH(config!$G$5,H$1,$A936,$A936))))</f>
        <v/>
      </c>
      <c r="I936" s="8" t="str">
        <f>IF($A936="","",IF(ISNUMBER(FIND("IMPVOL",I$1)),_xll.BDH(config!$G$4,I$1,WORKDAY($A936,-1,config_Holiday_Calendar_US),WORKDAY($A936,-1,config_Holiday_Calendar_US)),IF(ISNUMBER(_xll.BDH(config!$G$4,I$1,$A936,$A936)),_xll.BDH(config!$G$4,I$1,$A936,$A936),_xll.BDH(config!$G$5,I$1,$A936,$A936))))</f>
        <v/>
      </c>
      <c r="J936" s="8" t="str">
        <f>IF($A936="","",IF(ISNUMBER(FIND("IMPVOL",J$1)),_xll.BDH(config!$G$4,J$1,WORKDAY($A936,-1,config_Holiday_Calendar_US),WORKDAY($A936,-1,config_Holiday_Calendar_US)),IF(ISNUMBER(_xll.BDH(config!$G$4,J$1,$A936,$A936)),_xll.BDH(config!$G$4,J$1,$A936,$A936),_xll.BDH(config!$G$5,J$1,$A936,$A936))))</f>
        <v/>
      </c>
      <c r="K936" s="8" t="str">
        <f>IF($A936="","",IF(ISNUMBER(FIND("IMPVOL",K$1)),_xll.BDH(config!$G$4,K$1,WORKDAY($A936,-1,config_Holiday_Calendar_US),WORKDAY($A936,-1,config_Holiday_Calendar_US)),IF(ISNUMBER(_xll.BDH(config!$G$4,K$1,$A936,$A936)),_xll.BDH(config!$G$4,K$1,$A936,$A936),_xll.BDH(config!$G$5,K$1,$A936,$A936))))</f>
        <v/>
      </c>
      <c r="L936" s="8" t="str">
        <f>IF($A936="","",IF(ISNUMBER(FIND("IMPVOL",L$1)),_xll.BDH(config!$G$4,L$1,WORKDAY($A936,-1,config_Holiday_Calendar_US),WORKDAY($A936,-1,config_Holiday_Calendar_US)),IF(ISNUMBER(_xll.BDH(config!$G$4,L$1,$A936,$A936)),_xll.BDH(config!$G$4,L$1,$A936,$A936),_xll.BDH(config!$G$5,L$1,$A936,$A936))))</f>
        <v/>
      </c>
      <c r="M936" s="8" t="str">
        <f>IF($A936="","",IF(ISNUMBER(FIND("IMPVOL",M$1)),_xll.BDH(config!$G$4,M$1,WORKDAY($A936,-1,config_Holiday_Calendar_US),WORKDAY($A936,-1,config_Holiday_Calendar_US)),IF(ISNUMBER(_xll.BDH(config!$G$4,M$1,$A936,$A936)),_xll.BDH(config!$G$4,M$1,$A936,$A936),_xll.BDH(config!$G$5,M$1,$A936,$A936))))</f>
        <v/>
      </c>
      <c r="N936" s="8" t="str">
        <f>IF($A936="","",IF(ISNUMBER(FIND("IMPVOL",N$1)),_xll.BDH(config!$G$4,N$1,WORKDAY($A936,-1,config_Holiday_Calendar_US),WORKDAY($A936,-1,config_Holiday_Calendar_US)),IF(ISNUMBER(_xll.BDH(config!$G$4,N$1,$A936,$A936)),_xll.BDH(config!$G$4,N$1,$A936,$A936),_xll.BDH(config!$G$5,N$1,$A936,$A936))))</f>
        <v/>
      </c>
      <c r="O936" s="8" t="str">
        <f>IF($A936="","",IF(ISNUMBER(FIND("IMPVOL",O$1)),_xll.BDH(config!$G$4,O$1,WORKDAY($A936,-1,config_Holiday_Calendar_US),WORKDAY($A936,-1,config_Holiday_Calendar_US)),IF(ISNUMBER(_xll.BDH(config!$G$4,O$1,$A936,$A936)),_xll.BDH(config!$G$4,O$1,$A936,$A936),_xll.BDH(config!$G$5,O$1,$A936,$A936))))</f>
        <v/>
      </c>
      <c r="P936" s="8" t="str">
        <f>IF($A936="","",IF(ISNUMBER(FIND("IMPVOL",P$1)),_xll.BDH(config!$G$4,P$1,WORKDAY($A936,-1,config_Holiday_Calendar_US),WORKDAY($A936,-1,config_Holiday_Calendar_US)),IF(ISNUMBER(_xll.BDH(config!$G$4,P$1,$A936,$A936)),_xll.BDH(config!$G$4,P$1,$A936,$A936),_xll.BDH(config!$G$5,P$1,$A936,$A936))))</f>
        <v/>
      </c>
      <c r="Q936" s="8" t="str">
        <f>IF($A936="","",IF(ISNUMBER(FIND("IMPVOL",Q$1)),_xll.BDH(config!$G$4,Q$1,WORKDAY($A936,-1,config_Holiday_Calendar_US),WORKDAY($A936,-1,config_Holiday_Calendar_US)),IF(ISNUMBER(_xll.BDH(config!$G$4,Q$1,$A936,$A936)),_xll.BDH(config!$G$4,Q$1,$A936,$A936),_xll.BDH(config!$G$5,Q$1,$A936,$A936))))</f>
        <v/>
      </c>
      <c r="R936" s="8" t="str">
        <f>IF($A936="","",IF(ISNUMBER(FIND("IMPVOL",R$1)),_xll.BDH(config!$G$4,R$1,WORKDAY($A936,-1,config_Holiday_Calendar_US),WORKDAY($A936,-1,config_Holiday_Calendar_US)),IF(ISNUMBER(_xll.BDH(config!$G$4,R$1,$A936,$A936)),_xll.BDH(config!$G$4,R$1,$A936,$A936),_xll.BDH(config!$G$5,R$1,$A936,$A936))))</f>
        <v/>
      </c>
      <c r="S936" s="8" t="str">
        <f>IF($A936="","",IF(ISNUMBER(FIND("IMPVOL",S$1)),_xll.BDH(config!$G$4,S$1,WORKDAY($A936,-1,config_Holiday_Calendar_US),WORKDAY($A936,-1,config_Holiday_Calendar_US)),IF(ISNUMBER(_xll.BDH(config!$G$4,S$1,$A936,$A936)),_xll.BDH(config!$G$4,S$1,$A936,$A936),_xll.BDH(config!$G$5,S$1,$A936,$A936))))</f>
        <v/>
      </c>
      <c r="T936" s="8" t="str">
        <f>IF($A936="","",IF(ISNUMBER(FIND("IMPVOL",T$1)),_xll.BDH(config!$G$4,T$1,WORKDAY($A936,-1,config_Holiday_Calendar_US),WORKDAY($A936,-1,config_Holiday_Calendar_US)),IF(ISNUMBER(_xll.BDH(config!$G$4,T$1,$A936,$A936)),_xll.BDH(config!$G$4,T$1,$A936,$A936),_xll.BDH(config!$G$5,T$1,$A936,$A936))))</f>
        <v/>
      </c>
      <c r="U936" s="8" t="str">
        <f>IF($A936="","",IF(ISNUMBER(FIND("IMPVOL",U$1)),_xll.BDH(config!$G$4,U$1,WORKDAY($A936,-1,config_Holiday_Calendar_US),WORKDAY($A936,-1,config_Holiday_Calendar_US)),IF(ISNUMBER(_xll.BDH(config!$G$4,U$1,$A936,$A936)),_xll.BDH(config!$G$4,U$1,$A936,$A936),_xll.BDH(config!$G$5,U$1,$A936,$A936))))</f>
        <v/>
      </c>
      <c r="V936" s="8" t="str">
        <f>IF($A936="","",IF(ISNUMBER(FIND("IMPVOL",V$1)),_xll.BDH(config!$G$4,V$1,WORKDAY($A936,-1,config_Holiday_Calendar_US),WORKDAY($A936,-1,config_Holiday_Calendar_US)),IF(ISNUMBER(_xll.BDH(config!$G$4,V$1,$A936,$A936)),_xll.BDH(config!$G$4,V$1,$A936,$A936),_xll.BDH(config!$G$5,V$1,$A936,$A936))))</f>
        <v/>
      </c>
      <c r="W936" s="8" t="str">
        <f>IF($A936="","",IF(ISNUMBER(FIND("IMPVOL",W$1)),_xll.BDH(config!$G$4,W$1,WORKDAY($A936,-1,config_Holiday_Calendar_US),WORKDAY($A936,-1,config_Holiday_Calendar_US)),IF(ISNUMBER(_xll.BDH(config!$G$4,W$1,$A936,$A936)),_xll.BDH(config!$G$4,W$1,$A936,$A936),_xll.BDH(config!$G$5,W$1,$A936,$A936))))</f>
        <v/>
      </c>
    </row>
    <row r="937" spans="1:23" x14ac:dyDescent="0.2">
      <c r="A937" s="9" t="str">
        <f>IF(A936="","",IF(WORKDAY(A936,-1,config_Holiday_Calendar_US)&lt;config!$I$10,"",WORKDAY(A936,-1,config_Holiday_Calendar_US)))</f>
        <v/>
      </c>
      <c r="B937" s="8" t="str">
        <f t="shared" si="14"/>
        <v/>
      </c>
      <c r="C937" s="8" t="str">
        <f>IF(A937="","",_xll.BDH(config!$H$4,C$1,$A937,$A937))</f>
        <v/>
      </c>
      <c r="D937" s="8" t="str">
        <f>IF($A937="","",_xll.BDH(config!$H$4,D$1,$A937,$A937))</f>
        <v/>
      </c>
      <c r="E937" s="8" t="str">
        <f>IF($A937="","",IF(ISNUMBER(FIND("IMPVOL",E$1)),_xll.BDH(config!$G$4,E$1,WORKDAY($A937,-1,config_Holiday_Calendar_US),WORKDAY($A937,-1,config_Holiday_Calendar_US)),IF(ISNUMBER(_xll.BDH(config!$G$4,E$1,$A937,$A937)),_xll.BDH(config!$G$4,E$1,$A937,$A937),_xll.BDH(config!$G$5,E$1,$A937,$A937))))</f>
        <v/>
      </c>
      <c r="F937" s="8" t="str">
        <f>IF($A937="","",IF(ISNUMBER(FIND("IMPVOL",F$1)),_xll.BDH(config!$G$4,F$1,WORKDAY($A937,-1,config_Holiday_Calendar_US),WORKDAY($A937,-1,config_Holiday_Calendar_US)),IF(ISNUMBER(_xll.BDH(config!$G$4,F$1,$A937,$A937)),_xll.BDH(config!$G$4,F$1,$A937,$A937),_xll.BDH(config!$G$5,F$1,$A937,$A937))))</f>
        <v/>
      </c>
      <c r="G937" s="8" t="str">
        <f>IF($A937="","",IF(ISNUMBER(FIND("IMPVOL",G$1)),_xll.BDH(config!$G$4,G$1,WORKDAY($A937,-1,config_Holiday_Calendar_US),WORKDAY($A937,-1,config_Holiday_Calendar_US)),IF(ISNUMBER(_xll.BDH(config!$G$4,G$1,$A937,$A937)),_xll.BDH(config!$G$4,G$1,$A937,$A937),_xll.BDH(config!$G$5,G$1,$A937,$A937))))</f>
        <v/>
      </c>
      <c r="H937" s="8" t="str">
        <f>IF($A937="","",IF(ISNUMBER(FIND("IMPVOL",H$1)),_xll.BDH(config!$G$4,H$1,WORKDAY($A937,-1,config_Holiday_Calendar_US),WORKDAY($A937,-1,config_Holiday_Calendar_US)),IF(ISNUMBER(_xll.BDH(config!$G$4,H$1,$A937,$A937)),_xll.BDH(config!$G$4,H$1,$A937,$A937),_xll.BDH(config!$G$5,H$1,$A937,$A937))))</f>
        <v/>
      </c>
      <c r="I937" s="8" t="str">
        <f>IF($A937="","",IF(ISNUMBER(FIND("IMPVOL",I$1)),_xll.BDH(config!$G$4,I$1,WORKDAY($A937,-1,config_Holiday_Calendar_US),WORKDAY($A937,-1,config_Holiday_Calendar_US)),IF(ISNUMBER(_xll.BDH(config!$G$4,I$1,$A937,$A937)),_xll.BDH(config!$G$4,I$1,$A937,$A937),_xll.BDH(config!$G$5,I$1,$A937,$A937))))</f>
        <v/>
      </c>
      <c r="J937" s="8" t="str">
        <f>IF($A937="","",IF(ISNUMBER(FIND("IMPVOL",J$1)),_xll.BDH(config!$G$4,J$1,WORKDAY($A937,-1,config_Holiday_Calendar_US),WORKDAY($A937,-1,config_Holiday_Calendar_US)),IF(ISNUMBER(_xll.BDH(config!$G$4,J$1,$A937,$A937)),_xll.BDH(config!$G$4,J$1,$A937,$A937),_xll.BDH(config!$G$5,J$1,$A937,$A937))))</f>
        <v/>
      </c>
      <c r="K937" s="8" t="str">
        <f>IF($A937="","",IF(ISNUMBER(FIND("IMPVOL",K$1)),_xll.BDH(config!$G$4,K$1,WORKDAY($A937,-1,config_Holiday_Calendar_US),WORKDAY($A937,-1,config_Holiday_Calendar_US)),IF(ISNUMBER(_xll.BDH(config!$G$4,K$1,$A937,$A937)),_xll.BDH(config!$G$4,K$1,$A937,$A937),_xll.BDH(config!$G$5,K$1,$A937,$A937))))</f>
        <v/>
      </c>
      <c r="L937" s="8" t="str">
        <f>IF($A937="","",IF(ISNUMBER(FIND("IMPVOL",L$1)),_xll.BDH(config!$G$4,L$1,WORKDAY($A937,-1,config_Holiday_Calendar_US),WORKDAY($A937,-1,config_Holiday_Calendar_US)),IF(ISNUMBER(_xll.BDH(config!$G$4,L$1,$A937,$A937)),_xll.BDH(config!$G$4,L$1,$A937,$A937),_xll.BDH(config!$G$5,L$1,$A937,$A937))))</f>
        <v/>
      </c>
      <c r="M937" s="8" t="str">
        <f>IF($A937="","",IF(ISNUMBER(FIND("IMPVOL",M$1)),_xll.BDH(config!$G$4,M$1,WORKDAY($A937,-1,config_Holiday_Calendar_US),WORKDAY($A937,-1,config_Holiday_Calendar_US)),IF(ISNUMBER(_xll.BDH(config!$G$4,M$1,$A937,$A937)),_xll.BDH(config!$G$4,M$1,$A937,$A937),_xll.BDH(config!$G$5,M$1,$A937,$A937))))</f>
        <v/>
      </c>
      <c r="N937" s="8" t="str">
        <f>IF($A937="","",IF(ISNUMBER(FIND("IMPVOL",N$1)),_xll.BDH(config!$G$4,N$1,WORKDAY($A937,-1,config_Holiday_Calendar_US),WORKDAY($A937,-1,config_Holiday_Calendar_US)),IF(ISNUMBER(_xll.BDH(config!$G$4,N$1,$A937,$A937)),_xll.BDH(config!$G$4,N$1,$A937,$A937),_xll.BDH(config!$G$5,N$1,$A937,$A937))))</f>
        <v/>
      </c>
      <c r="O937" s="8" t="str">
        <f>IF($A937="","",IF(ISNUMBER(FIND("IMPVOL",O$1)),_xll.BDH(config!$G$4,O$1,WORKDAY($A937,-1,config_Holiday_Calendar_US),WORKDAY($A937,-1,config_Holiday_Calendar_US)),IF(ISNUMBER(_xll.BDH(config!$G$4,O$1,$A937,$A937)),_xll.BDH(config!$G$4,O$1,$A937,$A937),_xll.BDH(config!$G$5,O$1,$A937,$A937))))</f>
        <v/>
      </c>
      <c r="P937" s="8" t="str">
        <f>IF($A937="","",IF(ISNUMBER(FIND("IMPVOL",P$1)),_xll.BDH(config!$G$4,P$1,WORKDAY($A937,-1,config_Holiday_Calendar_US),WORKDAY($A937,-1,config_Holiday_Calendar_US)),IF(ISNUMBER(_xll.BDH(config!$G$4,P$1,$A937,$A937)),_xll.BDH(config!$G$4,P$1,$A937,$A937),_xll.BDH(config!$G$5,P$1,$A937,$A937))))</f>
        <v/>
      </c>
      <c r="Q937" s="8" t="str">
        <f>IF($A937="","",IF(ISNUMBER(FIND("IMPVOL",Q$1)),_xll.BDH(config!$G$4,Q$1,WORKDAY($A937,-1,config_Holiday_Calendar_US),WORKDAY($A937,-1,config_Holiday_Calendar_US)),IF(ISNUMBER(_xll.BDH(config!$G$4,Q$1,$A937,$A937)),_xll.BDH(config!$G$4,Q$1,$A937,$A937),_xll.BDH(config!$G$5,Q$1,$A937,$A937))))</f>
        <v/>
      </c>
      <c r="R937" s="8" t="str">
        <f>IF($A937="","",IF(ISNUMBER(FIND("IMPVOL",R$1)),_xll.BDH(config!$G$4,R$1,WORKDAY($A937,-1,config_Holiday_Calendar_US),WORKDAY($A937,-1,config_Holiday_Calendar_US)),IF(ISNUMBER(_xll.BDH(config!$G$4,R$1,$A937,$A937)),_xll.BDH(config!$G$4,R$1,$A937,$A937),_xll.BDH(config!$G$5,R$1,$A937,$A937))))</f>
        <v/>
      </c>
      <c r="S937" s="8" t="str">
        <f>IF($A937="","",IF(ISNUMBER(FIND("IMPVOL",S$1)),_xll.BDH(config!$G$4,S$1,WORKDAY($A937,-1,config_Holiday_Calendar_US),WORKDAY($A937,-1,config_Holiday_Calendar_US)),IF(ISNUMBER(_xll.BDH(config!$G$4,S$1,$A937,$A937)),_xll.BDH(config!$G$4,S$1,$A937,$A937),_xll.BDH(config!$G$5,S$1,$A937,$A937))))</f>
        <v/>
      </c>
      <c r="T937" s="8" t="str">
        <f>IF($A937="","",IF(ISNUMBER(FIND("IMPVOL",T$1)),_xll.BDH(config!$G$4,T$1,WORKDAY($A937,-1,config_Holiday_Calendar_US),WORKDAY($A937,-1,config_Holiday_Calendar_US)),IF(ISNUMBER(_xll.BDH(config!$G$4,T$1,$A937,$A937)),_xll.BDH(config!$G$4,T$1,$A937,$A937),_xll.BDH(config!$G$5,T$1,$A937,$A937))))</f>
        <v/>
      </c>
      <c r="U937" s="8" t="str">
        <f>IF($A937="","",IF(ISNUMBER(FIND("IMPVOL",U$1)),_xll.BDH(config!$G$4,U$1,WORKDAY($A937,-1,config_Holiday_Calendar_US),WORKDAY($A937,-1,config_Holiday_Calendar_US)),IF(ISNUMBER(_xll.BDH(config!$G$4,U$1,$A937,$A937)),_xll.BDH(config!$G$4,U$1,$A937,$A937),_xll.BDH(config!$G$5,U$1,$A937,$A937))))</f>
        <v/>
      </c>
      <c r="V937" s="8" t="str">
        <f>IF($A937="","",IF(ISNUMBER(FIND("IMPVOL",V$1)),_xll.BDH(config!$G$4,V$1,WORKDAY($A937,-1,config_Holiday_Calendar_US),WORKDAY($A937,-1,config_Holiday_Calendar_US)),IF(ISNUMBER(_xll.BDH(config!$G$4,V$1,$A937,$A937)),_xll.BDH(config!$G$4,V$1,$A937,$A937),_xll.BDH(config!$G$5,V$1,$A937,$A937))))</f>
        <v/>
      </c>
      <c r="W937" s="8" t="str">
        <f>IF($A937="","",IF(ISNUMBER(FIND("IMPVOL",W$1)),_xll.BDH(config!$G$4,W$1,WORKDAY($A937,-1,config_Holiday_Calendar_US),WORKDAY($A937,-1,config_Holiday_Calendar_US)),IF(ISNUMBER(_xll.BDH(config!$G$4,W$1,$A937,$A937)),_xll.BDH(config!$G$4,W$1,$A937,$A937),_xll.BDH(config!$G$5,W$1,$A937,$A937))))</f>
        <v/>
      </c>
    </row>
    <row r="938" spans="1:23" x14ac:dyDescent="0.2">
      <c r="A938" s="9" t="str">
        <f>IF(A937="","",IF(WORKDAY(A937,-1,config_Holiday_Calendar_US)&lt;config!$I$10,"",WORKDAY(A937,-1,config_Holiday_Calendar_US)))</f>
        <v/>
      </c>
      <c r="B938" s="8" t="str">
        <f t="shared" si="14"/>
        <v/>
      </c>
      <c r="C938" s="8" t="str">
        <f>IF(A938="","",_xll.BDH(config!$H$4,C$1,$A938,$A938))</f>
        <v/>
      </c>
      <c r="D938" s="8" t="str">
        <f>IF($A938="","",_xll.BDH(config!$H$4,D$1,$A938,$A938))</f>
        <v/>
      </c>
      <c r="E938" s="8" t="str">
        <f>IF($A938="","",IF(ISNUMBER(FIND("IMPVOL",E$1)),_xll.BDH(config!$G$4,E$1,WORKDAY($A938,-1,config_Holiday_Calendar_US),WORKDAY($A938,-1,config_Holiday_Calendar_US)),IF(ISNUMBER(_xll.BDH(config!$G$4,E$1,$A938,$A938)),_xll.BDH(config!$G$4,E$1,$A938,$A938),_xll.BDH(config!$G$5,E$1,$A938,$A938))))</f>
        <v/>
      </c>
      <c r="F938" s="8" t="str">
        <f>IF($A938="","",IF(ISNUMBER(FIND("IMPVOL",F$1)),_xll.BDH(config!$G$4,F$1,WORKDAY($A938,-1,config_Holiday_Calendar_US),WORKDAY($A938,-1,config_Holiday_Calendar_US)),IF(ISNUMBER(_xll.BDH(config!$G$4,F$1,$A938,$A938)),_xll.BDH(config!$G$4,F$1,$A938,$A938),_xll.BDH(config!$G$5,F$1,$A938,$A938))))</f>
        <v/>
      </c>
      <c r="G938" s="8" t="str">
        <f>IF($A938="","",IF(ISNUMBER(FIND("IMPVOL",G$1)),_xll.BDH(config!$G$4,G$1,WORKDAY($A938,-1,config_Holiday_Calendar_US),WORKDAY($A938,-1,config_Holiday_Calendar_US)),IF(ISNUMBER(_xll.BDH(config!$G$4,G$1,$A938,$A938)),_xll.BDH(config!$G$4,G$1,$A938,$A938),_xll.BDH(config!$G$5,G$1,$A938,$A938))))</f>
        <v/>
      </c>
      <c r="H938" s="8" t="str">
        <f>IF($A938="","",IF(ISNUMBER(FIND("IMPVOL",H$1)),_xll.BDH(config!$G$4,H$1,WORKDAY($A938,-1,config_Holiday_Calendar_US),WORKDAY($A938,-1,config_Holiday_Calendar_US)),IF(ISNUMBER(_xll.BDH(config!$G$4,H$1,$A938,$A938)),_xll.BDH(config!$G$4,H$1,$A938,$A938),_xll.BDH(config!$G$5,H$1,$A938,$A938))))</f>
        <v/>
      </c>
      <c r="I938" s="8" t="str">
        <f>IF($A938="","",IF(ISNUMBER(FIND("IMPVOL",I$1)),_xll.BDH(config!$G$4,I$1,WORKDAY($A938,-1,config_Holiday_Calendar_US),WORKDAY($A938,-1,config_Holiday_Calendar_US)),IF(ISNUMBER(_xll.BDH(config!$G$4,I$1,$A938,$A938)),_xll.BDH(config!$G$4,I$1,$A938,$A938),_xll.BDH(config!$G$5,I$1,$A938,$A938))))</f>
        <v/>
      </c>
      <c r="J938" s="8" t="str">
        <f>IF($A938="","",IF(ISNUMBER(FIND("IMPVOL",J$1)),_xll.BDH(config!$G$4,J$1,WORKDAY($A938,-1,config_Holiday_Calendar_US),WORKDAY($A938,-1,config_Holiday_Calendar_US)),IF(ISNUMBER(_xll.BDH(config!$G$4,J$1,$A938,$A938)),_xll.BDH(config!$G$4,J$1,$A938,$A938),_xll.BDH(config!$G$5,J$1,$A938,$A938))))</f>
        <v/>
      </c>
      <c r="K938" s="8" t="str">
        <f>IF($A938="","",IF(ISNUMBER(FIND("IMPVOL",K$1)),_xll.BDH(config!$G$4,K$1,WORKDAY($A938,-1,config_Holiday_Calendar_US),WORKDAY($A938,-1,config_Holiday_Calendar_US)),IF(ISNUMBER(_xll.BDH(config!$G$4,K$1,$A938,$A938)),_xll.BDH(config!$G$4,K$1,$A938,$A938),_xll.BDH(config!$G$5,K$1,$A938,$A938))))</f>
        <v/>
      </c>
      <c r="L938" s="8" t="str">
        <f>IF($A938="","",IF(ISNUMBER(FIND("IMPVOL",L$1)),_xll.BDH(config!$G$4,L$1,WORKDAY($A938,-1,config_Holiday_Calendar_US),WORKDAY($A938,-1,config_Holiday_Calendar_US)),IF(ISNUMBER(_xll.BDH(config!$G$4,L$1,$A938,$A938)),_xll.BDH(config!$G$4,L$1,$A938,$A938),_xll.BDH(config!$G$5,L$1,$A938,$A938))))</f>
        <v/>
      </c>
      <c r="M938" s="8" t="str">
        <f>IF($A938="","",IF(ISNUMBER(FIND("IMPVOL",M$1)),_xll.BDH(config!$G$4,M$1,WORKDAY($A938,-1,config_Holiday_Calendar_US),WORKDAY($A938,-1,config_Holiday_Calendar_US)),IF(ISNUMBER(_xll.BDH(config!$G$4,M$1,$A938,$A938)),_xll.BDH(config!$G$4,M$1,$A938,$A938),_xll.BDH(config!$G$5,M$1,$A938,$A938))))</f>
        <v/>
      </c>
      <c r="N938" s="8" t="str">
        <f>IF($A938="","",IF(ISNUMBER(FIND("IMPVOL",N$1)),_xll.BDH(config!$G$4,N$1,WORKDAY($A938,-1,config_Holiday_Calendar_US),WORKDAY($A938,-1,config_Holiday_Calendar_US)),IF(ISNUMBER(_xll.BDH(config!$G$4,N$1,$A938,$A938)),_xll.BDH(config!$G$4,N$1,$A938,$A938),_xll.BDH(config!$G$5,N$1,$A938,$A938))))</f>
        <v/>
      </c>
      <c r="O938" s="8" t="str">
        <f>IF($A938="","",IF(ISNUMBER(FIND("IMPVOL",O$1)),_xll.BDH(config!$G$4,O$1,WORKDAY($A938,-1,config_Holiday_Calendar_US),WORKDAY($A938,-1,config_Holiday_Calendar_US)),IF(ISNUMBER(_xll.BDH(config!$G$4,O$1,$A938,$A938)),_xll.BDH(config!$G$4,O$1,$A938,$A938),_xll.BDH(config!$G$5,O$1,$A938,$A938))))</f>
        <v/>
      </c>
      <c r="P938" s="8" t="str">
        <f>IF($A938="","",IF(ISNUMBER(FIND("IMPVOL",P$1)),_xll.BDH(config!$G$4,P$1,WORKDAY($A938,-1,config_Holiday_Calendar_US),WORKDAY($A938,-1,config_Holiday_Calendar_US)),IF(ISNUMBER(_xll.BDH(config!$G$4,P$1,$A938,$A938)),_xll.BDH(config!$G$4,P$1,$A938,$A938),_xll.BDH(config!$G$5,P$1,$A938,$A938))))</f>
        <v/>
      </c>
      <c r="Q938" s="8" t="str">
        <f>IF($A938="","",IF(ISNUMBER(FIND("IMPVOL",Q$1)),_xll.BDH(config!$G$4,Q$1,WORKDAY($A938,-1,config_Holiday_Calendar_US),WORKDAY($A938,-1,config_Holiday_Calendar_US)),IF(ISNUMBER(_xll.BDH(config!$G$4,Q$1,$A938,$A938)),_xll.BDH(config!$G$4,Q$1,$A938,$A938),_xll.BDH(config!$G$5,Q$1,$A938,$A938))))</f>
        <v/>
      </c>
      <c r="R938" s="8" t="str">
        <f>IF($A938="","",IF(ISNUMBER(FIND("IMPVOL",R$1)),_xll.BDH(config!$G$4,R$1,WORKDAY($A938,-1,config_Holiday_Calendar_US),WORKDAY($A938,-1,config_Holiday_Calendar_US)),IF(ISNUMBER(_xll.BDH(config!$G$4,R$1,$A938,$A938)),_xll.BDH(config!$G$4,R$1,$A938,$A938),_xll.BDH(config!$G$5,R$1,$A938,$A938))))</f>
        <v/>
      </c>
      <c r="S938" s="8" t="str">
        <f>IF($A938="","",IF(ISNUMBER(FIND("IMPVOL",S$1)),_xll.BDH(config!$G$4,S$1,WORKDAY($A938,-1,config_Holiday_Calendar_US),WORKDAY($A938,-1,config_Holiday_Calendar_US)),IF(ISNUMBER(_xll.BDH(config!$G$4,S$1,$A938,$A938)),_xll.BDH(config!$G$4,S$1,$A938,$A938),_xll.BDH(config!$G$5,S$1,$A938,$A938))))</f>
        <v/>
      </c>
      <c r="T938" s="8" t="str">
        <f>IF($A938="","",IF(ISNUMBER(FIND("IMPVOL",T$1)),_xll.BDH(config!$G$4,T$1,WORKDAY($A938,-1,config_Holiday_Calendar_US),WORKDAY($A938,-1,config_Holiday_Calendar_US)),IF(ISNUMBER(_xll.BDH(config!$G$4,T$1,$A938,$A938)),_xll.BDH(config!$G$4,T$1,$A938,$A938),_xll.BDH(config!$G$5,T$1,$A938,$A938))))</f>
        <v/>
      </c>
      <c r="U938" s="8" t="str">
        <f>IF($A938="","",IF(ISNUMBER(FIND("IMPVOL",U$1)),_xll.BDH(config!$G$4,U$1,WORKDAY($A938,-1,config_Holiday_Calendar_US),WORKDAY($A938,-1,config_Holiday_Calendar_US)),IF(ISNUMBER(_xll.BDH(config!$G$4,U$1,$A938,$A938)),_xll.BDH(config!$G$4,U$1,$A938,$A938),_xll.BDH(config!$G$5,U$1,$A938,$A938))))</f>
        <v/>
      </c>
      <c r="V938" s="8" t="str">
        <f>IF($A938="","",IF(ISNUMBER(FIND("IMPVOL",V$1)),_xll.BDH(config!$G$4,V$1,WORKDAY($A938,-1,config_Holiday_Calendar_US),WORKDAY($A938,-1,config_Holiday_Calendar_US)),IF(ISNUMBER(_xll.BDH(config!$G$4,V$1,$A938,$A938)),_xll.BDH(config!$G$4,V$1,$A938,$A938),_xll.BDH(config!$G$5,V$1,$A938,$A938))))</f>
        <v/>
      </c>
      <c r="W938" s="8" t="str">
        <f>IF($A938="","",IF(ISNUMBER(FIND("IMPVOL",W$1)),_xll.BDH(config!$G$4,W$1,WORKDAY($A938,-1,config_Holiday_Calendar_US),WORKDAY($A938,-1,config_Holiday_Calendar_US)),IF(ISNUMBER(_xll.BDH(config!$G$4,W$1,$A938,$A938)),_xll.BDH(config!$G$4,W$1,$A938,$A938),_xll.BDH(config!$G$5,W$1,$A938,$A938))))</f>
        <v/>
      </c>
    </row>
    <row r="939" spans="1:23" x14ac:dyDescent="0.2">
      <c r="A939" s="9" t="str">
        <f>IF(A938="","",IF(WORKDAY(A938,-1,config_Holiday_Calendar_US)&lt;config!$I$10,"",WORKDAY(A938,-1,config_Holiday_Calendar_US)))</f>
        <v/>
      </c>
      <c r="B939" s="8" t="str">
        <f t="shared" si="14"/>
        <v/>
      </c>
      <c r="C939" s="8" t="str">
        <f>IF(A939="","",_xll.BDH(config!$H$4,C$1,$A939,$A939))</f>
        <v/>
      </c>
      <c r="D939" s="8" t="str">
        <f>IF($A939="","",_xll.BDH(config!$H$4,D$1,$A939,$A939))</f>
        <v/>
      </c>
      <c r="E939" s="8" t="str">
        <f>IF($A939="","",IF(ISNUMBER(FIND("IMPVOL",E$1)),_xll.BDH(config!$G$4,E$1,WORKDAY($A939,-1,config_Holiday_Calendar_US),WORKDAY($A939,-1,config_Holiday_Calendar_US)),IF(ISNUMBER(_xll.BDH(config!$G$4,E$1,$A939,$A939)),_xll.BDH(config!$G$4,E$1,$A939,$A939),_xll.BDH(config!$G$5,E$1,$A939,$A939))))</f>
        <v/>
      </c>
      <c r="F939" s="8" t="str">
        <f>IF($A939="","",IF(ISNUMBER(FIND("IMPVOL",F$1)),_xll.BDH(config!$G$4,F$1,WORKDAY($A939,-1,config_Holiday_Calendar_US),WORKDAY($A939,-1,config_Holiday_Calendar_US)),IF(ISNUMBER(_xll.BDH(config!$G$4,F$1,$A939,$A939)),_xll.BDH(config!$G$4,F$1,$A939,$A939),_xll.BDH(config!$G$5,F$1,$A939,$A939))))</f>
        <v/>
      </c>
      <c r="G939" s="8" t="str">
        <f>IF($A939="","",IF(ISNUMBER(FIND("IMPVOL",G$1)),_xll.BDH(config!$G$4,G$1,WORKDAY($A939,-1,config_Holiday_Calendar_US),WORKDAY($A939,-1,config_Holiday_Calendar_US)),IF(ISNUMBER(_xll.BDH(config!$G$4,G$1,$A939,$A939)),_xll.BDH(config!$G$4,G$1,$A939,$A939),_xll.BDH(config!$G$5,G$1,$A939,$A939))))</f>
        <v/>
      </c>
      <c r="H939" s="8" t="str">
        <f>IF($A939="","",IF(ISNUMBER(FIND("IMPVOL",H$1)),_xll.BDH(config!$G$4,H$1,WORKDAY($A939,-1,config_Holiday_Calendar_US),WORKDAY($A939,-1,config_Holiday_Calendar_US)),IF(ISNUMBER(_xll.BDH(config!$G$4,H$1,$A939,$A939)),_xll.BDH(config!$G$4,H$1,$A939,$A939),_xll.BDH(config!$G$5,H$1,$A939,$A939))))</f>
        <v/>
      </c>
      <c r="I939" s="8" t="str">
        <f>IF($A939="","",IF(ISNUMBER(FIND("IMPVOL",I$1)),_xll.BDH(config!$G$4,I$1,WORKDAY($A939,-1,config_Holiday_Calendar_US),WORKDAY($A939,-1,config_Holiday_Calendar_US)),IF(ISNUMBER(_xll.BDH(config!$G$4,I$1,$A939,$A939)),_xll.BDH(config!$G$4,I$1,$A939,$A939),_xll.BDH(config!$G$5,I$1,$A939,$A939))))</f>
        <v/>
      </c>
      <c r="J939" s="8" t="str">
        <f>IF($A939="","",IF(ISNUMBER(FIND("IMPVOL",J$1)),_xll.BDH(config!$G$4,J$1,WORKDAY($A939,-1,config_Holiday_Calendar_US),WORKDAY($A939,-1,config_Holiday_Calendar_US)),IF(ISNUMBER(_xll.BDH(config!$G$4,J$1,$A939,$A939)),_xll.BDH(config!$G$4,J$1,$A939,$A939),_xll.BDH(config!$G$5,J$1,$A939,$A939))))</f>
        <v/>
      </c>
      <c r="K939" s="8" t="str">
        <f>IF($A939="","",IF(ISNUMBER(FIND("IMPVOL",K$1)),_xll.BDH(config!$G$4,K$1,WORKDAY($A939,-1,config_Holiday_Calendar_US),WORKDAY($A939,-1,config_Holiday_Calendar_US)),IF(ISNUMBER(_xll.BDH(config!$G$4,K$1,$A939,$A939)),_xll.BDH(config!$G$4,K$1,$A939,$A939),_xll.BDH(config!$G$5,K$1,$A939,$A939))))</f>
        <v/>
      </c>
      <c r="L939" s="8" t="str">
        <f>IF($A939="","",IF(ISNUMBER(FIND("IMPVOL",L$1)),_xll.BDH(config!$G$4,L$1,WORKDAY($A939,-1,config_Holiday_Calendar_US),WORKDAY($A939,-1,config_Holiday_Calendar_US)),IF(ISNUMBER(_xll.BDH(config!$G$4,L$1,$A939,$A939)),_xll.BDH(config!$G$4,L$1,$A939,$A939),_xll.BDH(config!$G$5,L$1,$A939,$A939))))</f>
        <v/>
      </c>
      <c r="M939" s="8" t="str">
        <f>IF($A939="","",IF(ISNUMBER(FIND("IMPVOL",M$1)),_xll.BDH(config!$G$4,M$1,WORKDAY($A939,-1,config_Holiday_Calendar_US),WORKDAY($A939,-1,config_Holiday_Calendar_US)),IF(ISNUMBER(_xll.BDH(config!$G$4,M$1,$A939,$A939)),_xll.BDH(config!$G$4,M$1,$A939,$A939),_xll.BDH(config!$G$5,M$1,$A939,$A939))))</f>
        <v/>
      </c>
      <c r="N939" s="8" t="str">
        <f>IF($A939="","",IF(ISNUMBER(FIND("IMPVOL",N$1)),_xll.BDH(config!$G$4,N$1,WORKDAY($A939,-1,config_Holiday_Calendar_US),WORKDAY($A939,-1,config_Holiday_Calendar_US)),IF(ISNUMBER(_xll.BDH(config!$G$4,N$1,$A939,$A939)),_xll.BDH(config!$G$4,N$1,$A939,$A939),_xll.BDH(config!$G$5,N$1,$A939,$A939))))</f>
        <v/>
      </c>
      <c r="O939" s="8" t="str">
        <f>IF($A939="","",IF(ISNUMBER(FIND("IMPVOL",O$1)),_xll.BDH(config!$G$4,O$1,WORKDAY($A939,-1,config_Holiday_Calendar_US),WORKDAY($A939,-1,config_Holiday_Calendar_US)),IF(ISNUMBER(_xll.BDH(config!$G$4,O$1,$A939,$A939)),_xll.BDH(config!$G$4,O$1,$A939,$A939),_xll.BDH(config!$G$5,O$1,$A939,$A939))))</f>
        <v/>
      </c>
      <c r="P939" s="8" t="str">
        <f>IF($A939="","",IF(ISNUMBER(FIND("IMPVOL",P$1)),_xll.BDH(config!$G$4,P$1,WORKDAY($A939,-1,config_Holiday_Calendar_US),WORKDAY($A939,-1,config_Holiday_Calendar_US)),IF(ISNUMBER(_xll.BDH(config!$G$4,P$1,$A939,$A939)),_xll.BDH(config!$G$4,P$1,$A939,$A939),_xll.BDH(config!$G$5,P$1,$A939,$A939))))</f>
        <v/>
      </c>
      <c r="Q939" s="8" t="str">
        <f>IF($A939="","",IF(ISNUMBER(FIND("IMPVOL",Q$1)),_xll.BDH(config!$G$4,Q$1,WORKDAY($A939,-1,config_Holiday_Calendar_US),WORKDAY($A939,-1,config_Holiday_Calendar_US)),IF(ISNUMBER(_xll.BDH(config!$G$4,Q$1,$A939,$A939)),_xll.BDH(config!$G$4,Q$1,$A939,$A939),_xll.BDH(config!$G$5,Q$1,$A939,$A939))))</f>
        <v/>
      </c>
      <c r="R939" s="8" t="str">
        <f>IF($A939="","",IF(ISNUMBER(FIND("IMPVOL",R$1)),_xll.BDH(config!$G$4,R$1,WORKDAY($A939,-1,config_Holiday_Calendar_US),WORKDAY($A939,-1,config_Holiday_Calendar_US)),IF(ISNUMBER(_xll.BDH(config!$G$4,R$1,$A939,$A939)),_xll.BDH(config!$G$4,R$1,$A939,$A939),_xll.BDH(config!$G$5,R$1,$A939,$A939))))</f>
        <v/>
      </c>
      <c r="S939" s="8" t="str">
        <f>IF($A939="","",IF(ISNUMBER(FIND("IMPVOL",S$1)),_xll.BDH(config!$G$4,S$1,WORKDAY($A939,-1,config_Holiday_Calendar_US),WORKDAY($A939,-1,config_Holiday_Calendar_US)),IF(ISNUMBER(_xll.BDH(config!$G$4,S$1,$A939,$A939)),_xll.BDH(config!$G$4,S$1,$A939,$A939),_xll.BDH(config!$G$5,S$1,$A939,$A939))))</f>
        <v/>
      </c>
      <c r="T939" s="8" t="str">
        <f>IF($A939="","",IF(ISNUMBER(FIND("IMPVOL",T$1)),_xll.BDH(config!$G$4,T$1,WORKDAY($A939,-1,config_Holiday_Calendar_US),WORKDAY($A939,-1,config_Holiday_Calendar_US)),IF(ISNUMBER(_xll.BDH(config!$G$4,T$1,$A939,$A939)),_xll.BDH(config!$G$4,T$1,$A939,$A939),_xll.BDH(config!$G$5,T$1,$A939,$A939))))</f>
        <v/>
      </c>
      <c r="U939" s="8" t="str">
        <f>IF($A939="","",IF(ISNUMBER(FIND("IMPVOL",U$1)),_xll.BDH(config!$G$4,U$1,WORKDAY($A939,-1,config_Holiday_Calendar_US),WORKDAY($A939,-1,config_Holiday_Calendar_US)),IF(ISNUMBER(_xll.BDH(config!$G$4,U$1,$A939,$A939)),_xll.BDH(config!$G$4,U$1,$A939,$A939),_xll.BDH(config!$G$5,U$1,$A939,$A939))))</f>
        <v/>
      </c>
      <c r="V939" s="8" t="str">
        <f>IF($A939="","",IF(ISNUMBER(FIND("IMPVOL",V$1)),_xll.BDH(config!$G$4,V$1,WORKDAY($A939,-1,config_Holiday_Calendar_US),WORKDAY($A939,-1,config_Holiday_Calendar_US)),IF(ISNUMBER(_xll.BDH(config!$G$4,V$1,$A939,$A939)),_xll.BDH(config!$G$4,V$1,$A939,$A939),_xll.BDH(config!$G$5,V$1,$A939,$A939))))</f>
        <v/>
      </c>
      <c r="W939" s="8" t="str">
        <f>IF($A939="","",IF(ISNUMBER(FIND("IMPVOL",W$1)),_xll.BDH(config!$G$4,W$1,WORKDAY($A939,-1,config_Holiday_Calendar_US),WORKDAY($A939,-1,config_Holiday_Calendar_US)),IF(ISNUMBER(_xll.BDH(config!$G$4,W$1,$A939,$A939)),_xll.BDH(config!$G$4,W$1,$A939,$A939),_xll.BDH(config!$G$5,W$1,$A939,$A939))))</f>
        <v/>
      </c>
    </row>
    <row r="940" spans="1:23" x14ac:dyDescent="0.2">
      <c r="A940" s="9" t="str">
        <f>IF(A939="","",IF(WORKDAY(A939,-1,config_Holiday_Calendar_US)&lt;config!$I$10,"",WORKDAY(A939,-1,config_Holiday_Calendar_US)))</f>
        <v/>
      </c>
      <c r="B940" s="8" t="str">
        <f t="shared" si="14"/>
        <v/>
      </c>
      <c r="C940" s="8" t="str">
        <f>IF(A940="","",_xll.BDH(config!$H$4,C$1,$A940,$A940))</f>
        <v/>
      </c>
      <c r="D940" s="8" t="str">
        <f>IF($A940="","",_xll.BDH(config!$H$4,D$1,$A940,$A940))</f>
        <v/>
      </c>
      <c r="E940" s="8" t="str">
        <f>IF($A940="","",IF(ISNUMBER(FIND("IMPVOL",E$1)),_xll.BDH(config!$G$4,E$1,WORKDAY($A940,-1,config_Holiday_Calendar_US),WORKDAY($A940,-1,config_Holiday_Calendar_US)),IF(ISNUMBER(_xll.BDH(config!$G$4,E$1,$A940,$A940)),_xll.BDH(config!$G$4,E$1,$A940,$A940),_xll.BDH(config!$G$5,E$1,$A940,$A940))))</f>
        <v/>
      </c>
      <c r="F940" s="8" t="str">
        <f>IF($A940="","",IF(ISNUMBER(FIND("IMPVOL",F$1)),_xll.BDH(config!$G$4,F$1,WORKDAY($A940,-1,config_Holiday_Calendar_US),WORKDAY($A940,-1,config_Holiday_Calendar_US)),IF(ISNUMBER(_xll.BDH(config!$G$4,F$1,$A940,$A940)),_xll.BDH(config!$G$4,F$1,$A940,$A940),_xll.BDH(config!$G$5,F$1,$A940,$A940))))</f>
        <v/>
      </c>
      <c r="G940" s="8" t="str">
        <f>IF($A940="","",IF(ISNUMBER(FIND("IMPVOL",G$1)),_xll.BDH(config!$G$4,G$1,WORKDAY($A940,-1,config_Holiday_Calendar_US),WORKDAY($A940,-1,config_Holiday_Calendar_US)),IF(ISNUMBER(_xll.BDH(config!$G$4,G$1,$A940,$A940)),_xll.BDH(config!$G$4,G$1,$A940,$A940),_xll.BDH(config!$G$5,G$1,$A940,$A940))))</f>
        <v/>
      </c>
      <c r="H940" s="8" t="str">
        <f>IF($A940="","",IF(ISNUMBER(FIND("IMPVOL",H$1)),_xll.BDH(config!$G$4,H$1,WORKDAY($A940,-1,config_Holiday_Calendar_US),WORKDAY($A940,-1,config_Holiday_Calendar_US)),IF(ISNUMBER(_xll.BDH(config!$G$4,H$1,$A940,$A940)),_xll.BDH(config!$G$4,H$1,$A940,$A940),_xll.BDH(config!$G$5,H$1,$A940,$A940))))</f>
        <v/>
      </c>
      <c r="I940" s="8" t="str">
        <f>IF($A940="","",IF(ISNUMBER(FIND("IMPVOL",I$1)),_xll.BDH(config!$G$4,I$1,WORKDAY($A940,-1,config_Holiday_Calendar_US),WORKDAY($A940,-1,config_Holiday_Calendar_US)),IF(ISNUMBER(_xll.BDH(config!$G$4,I$1,$A940,$A940)),_xll.BDH(config!$G$4,I$1,$A940,$A940),_xll.BDH(config!$G$5,I$1,$A940,$A940))))</f>
        <v/>
      </c>
      <c r="J940" s="8" t="str">
        <f>IF($A940="","",IF(ISNUMBER(FIND("IMPVOL",J$1)),_xll.BDH(config!$G$4,J$1,WORKDAY($A940,-1,config_Holiday_Calendar_US),WORKDAY($A940,-1,config_Holiday_Calendar_US)),IF(ISNUMBER(_xll.BDH(config!$G$4,J$1,$A940,$A940)),_xll.BDH(config!$G$4,J$1,$A940,$A940),_xll.BDH(config!$G$5,J$1,$A940,$A940))))</f>
        <v/>
      </c>
      <c r="K940" s="8" t="str">
        <f>IF($A940="","",IF(ISNUMBER(FIND("IMPVOL",K$1)),_xll.BDH(config!$G$4,K$1,WORKDAY($A940,-1,config_Holiday_Calendar_US),WORKDAY($A940,-1,config_Holiday_Calendar_US)),IF(ISNUMBER(_xll.BDH(config!$G$4,K$1,$A940,$A940)),_xll.BDH(config!$G$4,K$1,$A940,$A940),_xll.BDH(config!$G$5,K$1,$A940,$A940))))</f>
        <v/>
      </c>
      <c r="L940" s="8" t="str">
        <f>IF($A940="","",IF(ISNUMBER(FIND("IMPVOL",L$1)),_xll.BDH(config!$G$4,L$1,WORKDAY($A940,-1,config_Holiday_Calendar_US),WORKDAY($A940,-1,config_Holiday_Calendar_US)),IF(ISNUMBER(_xll.BDH(config!$G$4,L$1,$A940,$A940)),_xll.BDH(config!$G$4,L$1,$A940,$A940),_xll.BDH(config!$G$5,L$1,$A940,$A940))))</f>
        <v/>
      </c>
      <c r="M940" s="8" t="str">
        <f>IF($A940="","",IF(ISNUMBER(FIND("IMPVOL",M$1)),_xll.BDH(config!$G$4,M$1,WORKDAY($A940,-1,config_Holiday_Calendar_US),WORKDAY($A940,-1,config_Holiday_Calendar_US)),IF(ISNUMBER(_xll.BDH(config!$G$4,M$1,$A940,$A940)),_xll.BDH(config!$G$4,M$1,$A940,$A940),_xll.BDH(config!$G$5,M$1,$A940,$A940))))</f>
        <v/>
      </c>
      <c r="N940" s="8" t="str">
        <f>IF($A940="","",IF(ISNUMBER(FIND("IMPVOL",N$1)),_xll.BDH(config!$G$4,N$1,WORKDAY($A940,-1,config_Holiday_Calendar_US),WORKDAY($A940,-1,config_Holiday_Calendar_US)),IF(ISNUMBER(_xll.BDH(config!$G$4,N$1,$A940,$A940)),_xll.BDH(config!$G$4,N$1,$A940,$A940),_xll.BDH(config!$G$5,N$1,$A940,$A940))))</f>
        <v/>
      </c>
      <c r="O940" s="8" t="str">
        <f>IF($A940="","",IF(ISNUMBER(FIND("IMPVOL",O$1)),_xll.BDH(config!$G$4,O$1,WORKDAY($A940,-1,config_Holiday_Calendar_US),WORKDAY($A940,-1,config_Holiday_Calendar_US)),IF(ISNUMBER(_xll.BDH(config!$G$4,O$1,$A940,$A940)),_xll.BDH(config!$G$4,O$1,$A940,$A940),_xll.BDH(config!$G$5,O$1,$A940,$A940))))</f>
        <v/>
      </c>
      <c r="P940" s="8" t="str">
        <f>IF($A940="","",IF(ISNUMBER(FIND("IMPVOL",P$1)),_xll.BDH(config!$G$4,P$1,WORKDAY($A940,-1,config_Holiday_Calendar_US),WORKDAY($A940,-1,config_Holiday_Calendar_US)),IF(ISNUMBER(_xll.BDH(config!$G$4,P$1,$A940,$A940)),_xll.BDH(config!$G$4,P$1,$A940,$A940),_xll.BDH(config!$G$5,P$1,$A940,$A940))))</f>
        <v/>
      </c>
      <c r="Q940" s="8" t="str">
        <f>IF($A940="","",IF(ISNUMBER(FIND("IMPVOL",Q$1)),_xll.BDH(config!$G$4,Q$1,WORKDAY($A940,-1,config_Holiday_Calendar_US),WORKDAY($A940,-1,config_Holiday_Calendar_US)),IF(ISNUMBER(_xll.BDH(config!$G$4,Q$1,$A940,$A940)),_xll.BDH(config!$G$4,Q$1,$A940,$A940),_xll.BDH(config!$G$5,Q$1,$A940,$A940))))</f>
        <v/>
      </c>
      <c r="R940" s="8" t="str">
        <f>IF($A940="","",IF(ISNUMBER(FIND("IMPVOL",R$1)),_xll.BDH(config!$G$4,R$1,WORKDAY($A940,-1,config_Holiday_Calendar_US),WORKDAY($A940,-1,config_Holiday_Calendar_US)),IF(ISNUMBER(_xll.BDH(config!$G$4,R$1,$A940,$A940)),_xll.BDH(config!$G$4,R$1,$A940,$A940),_xll.BDH(config!$G$5,R$1,$A940,$A940))))</f>
        <v/>
      </c>
      <c r="S940" s="8" t="str">
        <f>IF($A940="","",IF(ISNUMBER(FIND("IMPVOL",S$1)),_xll.BDH(config!$G$4,S$1,WORKDAY($A940,-1,config_Holiday_Calendar_US),WORKDAY($A940,-1,config_Holiday_Calendar_US)),IF(ISNUMBER(_xll.BDH(config!$G$4,S$1,$A940,$A940)),_xll.BDH(config!$G$4,S$1,$A940,$A940),_xll.BDH(config!$G$5,S$1,$A940,$A940))))</f>
        <v/>
      </c>
      <c r="T940" s="8" t="str">
        <f>IF($A940="","",IF(ISNUMBER(FIND("IMPVOL",T$1)),_xll.BDH(config!$G$4,T$1,WORKDAY($A940,-1,config_Holiday_Calendar_US),WORKDAY($A940,-1,config_Holiday_Calendar_US)),IF(ISNUMBER(_xll.BDH(config!$G$4,T$1,$A940,$A940)),_xll.BDH(config!$G$4,T$1,$A940,$A940),_xll.BDH(config!$G$5,T$1,$A940,$A940))))</f>
        <v/>
      </c>
      <c r="U940" s="8" t="str">
        <f>IF($A940="","",IF(ISNUMBER(FIND("IMPVOL",U$1)),_xll.BDH(config!$G$4,U$1,WORKDAY($A940,-1,config_Holiday_Calendar_US),WORKDAY($A940,-1,config_Holiday_Calendar_US)),IF(ISNUMBER(_xll.BDH(config!$G$4,U$1,$A940,$A940)),_xll.BDH(config!$G$4,U$1,$A940,$A940),_xll.BDH(config!$G$5,U$1,$A940,$A940))))</f>
        <v/>
      </c>
      <c r="V940" s="8" t="str">
        <f>IF($A940="","",IF(ISNUMBER(FIND("IMPVOL",V$1)),_xll.BDH(config!$G$4,V$1,WORKDAY($A940,-1,config_Holiday_Calendar_US),WORKDAY($A940,-1,config_Holiday_Calendar_US)),IF(ISNUMBER(_xll.BDH(config!$G$4,V$1,$A940,$A940)),_xll.BDH(config!$G$4,V$1,$A940,$A940),_xll.BDH(config!$G$5,V$1,$A940,$A940))))</f>
        <v/>
      </c>
      <c r="W940" s="8" t="str">
        <f>IF($A940="","",IF(ISNUMBER(FIND("IMPVOL",W$1)),_xll.BDH(config!$G$4,W$1,WORKDAY($A940,-1,config_Holiday_Calendar_US),WORKDAY($A940,-1,config_Holiday_Calendar_US)),IF(ISNUMBER(_xll.BDH(config!$G$4,W$1,$A940,$A940)),_xll.BDH(config!$G$4,W$1,$A940,$A940),_xll.BDH(config!$G$5,W$1,$A940,$A940))))</f>
        <v/>
      </c>
    </row>
    <row r="941" spans="1:23" x14ac:dyDescent="0.2">
      <c r="A941" s="9" t="str">
        <f>IF(A940="","",IF(WORKDAY(A940,-1,config_Holiday_Calendar_US)&lt;config!$I$10,"",WORKDAY(A940,-1,config_Holiday_Calendar_US)))</f>
        <v/>
      </c>
      <c r="B941" s="8" t="str">
        <f t="shared" si="14"/>
        <v/>
      </c>
      <c r="C941" s="8" t="str">
        <f>IF(A941="","",_xll.BDH(config!$H$4,C$1,$A941,$A941))</f>
        <v/>
      </c>
      <c r="D941" s="8" t="str">
        <f>IF($A941="","",_xll.BDH(config!$H$4,D$1,$A941,$A941))</f>
        <v/>
      </c>
      <c r="E941" s="8" t="str">
        <f>IF($A941="","",IF(ISNUMBER(FIND("IMPVOL",E$1)),_xll.BDH(config!$G$4,E$1,WORKDAY($A941,-1,config_Holiday_Calendar_US),WORKDAY($A941,-1,config_Holiday_Calendar_US)),IF(ISNUMBER(_xll.BDH(config!$G$4,E$1,$A941,$A941)),_xll.BDH(config!$G$4,E$1,$A941,$A941),_xll.BDH(config!$G$5,E$1,$A941,$A941))))</f>
        <v/>
      </c>
      <c r="F941" s="8" t="str">
        <f>IF($A941="","",IF(ISNUMBER(FIND("IMPVOL",F$1)),_xll.BDH(config!$G$4,F$1,WORKDAY($A941,-1,config_Holiday_Calendar_US),WORKDAY($A941,-1,config_Holiday_Calendar_US)),IF(ISNUMBER(_xll.BDH(config!$G$4,F$1,$A941,$A941)),_xll.BDH(config!$G$4,F$1,$A941,$A941),_xll.BDH(config!$G$5,F$1,$A941,$A941))))</f>
        <v/>
      </c>
      <c r="G941" s="8" t="str">
        <f>IF($A941="","",IF(ISNUMBER(FIND("IMPVOL",G$1)),_xll.BDH(config!$G$4,G$1,WORKDAY($A941,-1,config_Holiday_Calendar_US),WORKDAY($A941,-1,config_Holiday_Calendar_US)),IF(ISNUMBER(_xll.BDH(config!$G$4,G$1,$A941,$A941)),_xll.BDH(config!$G$4,G$1,$A941,$A941),_xll.BDH(config!$G$5,G$1,$A941,$A941))))</f>
        <v/>
      </c>
      <c r="H941" s="8" t="str">
        <f>IF($A941="","",IF(ISNUMBER(FIND("IMPVOL",H$1)),_xll.BDH(config!$G$4,H$1,WORKDAY($A941,-1,config_Holiday_Calendar_US),WORKDAY($A941,-1,config_Holiday_Calendar_US)),IF(ISNUMBER(_xll.BDH(config!$G$4,H$1,$A941,$A941)),_xll.BDH(config!$G$4,H$1,$A941,$A941),_xll.BDH(config!$G$5,H$1,$A941,$A941))))</f>
        <v/>
      </c>
      <c r="I941" s="8" t="str">
        <f>IF($A941="","",IF(ISNUMBER(FIND("IMPVOL",I$1)),_xll.BDH(config!$G$4,I$1,WORKDAY($A941,-1,config_Holiday_Calendar_US),WORKDAY($A941,-1,config_Holiday_Calendar_US)),IF(ISNUMBER(_xll.BDH(config!$G$4,I$1,$A941,$A941)),_xll.BDH(config!$G$4,I$1,$A941,$A941),_xll.BDH(config!$G$5,I$1,$A941,$A941))))</f>
        <v/>
      </c>
      <c r="J941" s="8" t="str">
        <f>IF($A941="","",IF(ISNUMBER(FIND("IMPVOL",J$1)),_xll.BDH(config!$G$4,J$1,WORKDAY($A941,-1,config_Holiday_Calendar_US),WORKDAY($A941,-1,config_Holiday_Calendar_US)),IF(ISNUMBER(_xll.BDH(config!$G$4,J$1,$A941,$A941)),_xll.BDH(config!$G$4,J$1,$A941,$A941),_xll.BDH(config!$G$5,J$1,$A941,$A941))))</f>
        <v/>
      </c>
      <c r="K941" s="8" t="str">
        <f>IF($A941="","",IF(ISNUMBER(FIND("IMPVOL",K$1)),_xll.BDH(config!$G$4,K$1,WORKDAY($A941,-1,config_Holiday_Calendar_US),WORKDAY($A941,-1,config_Holiday_Calendar_US)),IF(ISNUMBER(_xll.BDH(config!$G$4,K$1,$A941,$A941)),_xll.BDH(config!$G$4,K$1,$A941,$A941),_xll.BDH(config!$G$5,K$1,$A941,$A941))))</f>
        <v/>
      </c>
      <c r="L941" s="8" t="str">
        <f>IF($A941="","",IF(ISNUMBER(FIND("IMPVOL",L$1)),_xll.BDH(config!$G$4,L$1,WORKDAY($A941,-1,config_Holiday_Calendar_US),WORKDAY($A941,-1,config_Holiday_Calendar_US)),IF(ISNUMBER(_xll.BDH(config!$G$4,L$1,$A941,$A941)),_xll.BDH(config!$G$4,L$1,$A941,$A941),_xll.BDH(config!$G$5,L$1,$A941,$A941))))</f>
        <v/>
      </c>
      <c r="M941" s="8" t="str">
        <f>IF($A941="","",IF(ISNUMBER(FIND("IMPVOL",M$1)),_xll.BDH(config!$G$4,M$1,WORKDAY($A941,-1,config_Holiday_Calendar_US),WORKDAY($A941,-1,config_Holiday_Calendar_US)),IF(ISNUMBER(_xll.BDH(config!$G$4,M$1,$A941,$A941)),_xll.BDH(config!$G$4,M$1,$A941,$A941),_xll.BDH(config!$G$5,M$1,$A941,$A941))))</f>
        <v/>
      </c>
      <c r="N941" s="8" t="str">
        <f>IF($A941="","",IF(ISNUMBER(FIND("IMPVOL",N$1)),_xll.BDH(config!$G$4,N$1,WORKDAY($A941,-1,config_Holiday_Calendar_US),WORKDAY($A941,-1,config_Holiday_Calendar_US)),IF(ISNUMBER(_xll.BDH(config!$G$4,N$1,$A941,$A941)),_xll.BDH(config!$G$4,N$1,$A941,$A941),_xll.BDH(config!$G$5,N$1,$A941,$A941))))</f>
        <v/>
      </c>
      <c r="O941" s="8" t="str">
        <f>IF($A941="","",IF(ISNUMBER(FIND("IMPVOL",O$1)),_xll.BDH(config!$G$4,O$1,WORKDAY($A941,-1,config_Holiday_Calendar_US),WORKDAY($A941,-1,config_Holiday_Calendar_US)),IF(ISNUMBER(_xll.BDH(config!$G$4,O$1,$A941,$A941)),_xll.BDH(config!$G$4,O$1,$A941,$A941),_xll.BDH(config!$G$5,O$1,$A941,$A941))))</f>
        <v/>
      </c>
      <c r="P941" s="8" t="str">
        <f>IF($A941="","",IF(ISNUMBER(FIND("IMPVOL",P$1)),_xll.BDH(config!$G$4,P$1,WORKDAY($A941,-1,config_Holiday_Calendar_US),WORKDAY($A941,-1,config_Holiday_Calendar_US)),IF(ISNUMBER(_xll.BDH(config!$G$4,P$1,$A941,$A941)),_xll.BDH(config!$G$4,P$1,$A941,$A941),_xll.BDH(config!$G$5,P$1,$A941,$A941))))</f>
        <v/>
      </c>
      <c r="Q941" s="8" t="str">
        <f>IF($A941="","",IF(ISNUMBER(FIND("IMPVOL",Q$1)),_xll.BDH(config!$G$4,Q$1,WORKDAY($A941,-1,config_Holiday_Calendar_US),WORKDAY($A941,-1,config_Holiday_Calendar_US)),IF(ISNUMBER(_xll.BDH(config!$G$4,Q$1,$A941,$A941)),_xll.BDH(config!$G$4,Q$1,$A941,$A941),_xll.BDH(config!$G$5,Q$1,$A941,$A941))))</f>
        <v/>
      </c>
      <c r="R941" s="8" t="str">
        <f>IF($A941="","",IF(ISNUMBER(FIND("IMPVOL",R$1)),_xll.BDH(config!$G$4,R$1,WORKDAY($A941,-1,config_Holiday_Calendar_US),WORKDAY($A941,-1,config_Holiday_Calendar_US)),IF(ISNUMBER(_xll.BDH(config!$G$4,R$1,$A941,$A941)),_xll.BDH(config!$G$4,R$1,$A941,$A941),_xll.BDH(config!$G$5,R$1,$A941,$A941))))</f>
        <v/>
      </c>
      <c r="S941" s="8" t="str">
        <f>IF($A941="","",IF(ISNUMBER(FIND("IMPVOL",S$1)),_xll.BDH(config!$G$4,S$1,WORKDAY($A941,-1,config_Holiday_Calendar_US),WORKDAY($A941,-1,config_Holiday_Calendar_US)),IF(ISNUMBER(_xll.BDH(config!$G$4,S$1,$A941,$A941)),_xll.BDH(config!$G$4,S$1,$A941,$A941),_xll.BDH(config!$G$5,S$1,$A941,$A941))))</f>
        <v/>
      </c>
      <c r="T941" s="8" t="str">
        <f>IF($A941="","",IF(ISNUMBER(FIND("IMPVOL",T$1)),_xll.BDH(config!$G$4,T$1,WORKDAY($A941,-1,config_Holiday_Calendar_US),WORKDAY($A941,-1,config_Holiday_Calendar_US)),IF(ISNUMBER(_xll.BDH(config!$G$4,T$1,$A941,$A941)),_xll.BDH(config!$G$4,T$1,$A941,$A941),_xll.BDH(config!$G$5,T$1,$A941,$A941))))</f>
        <v/>
      </c>
      <c r="U941" s="8" t="str">
        <f>IF($A941="","",IF(ISNUMBER(FIND("IMPVOL",U$1)),_xll.BDH(config!$G$4,U$1,WORKDAY($A941,-1,config_Holiday_Calendar_US),WORKDAY($A941,-1,config_Holiday_Calendar_US)),IF(ISNUMBER(_xll.BDH(config!$G$4,U$1,$A941,$A941)),_xll.BDH(config!$G$4,U$1,$A941,$A941),_xll.BDH(config!$G$5,U$1,$A941,$A941))))</f>
        <v/>
      </c>
      <c r="V941" s="8" t="str">
        <f>IF($A941="","",IF(ISNUMBER(FIND("IMPVOL",V$1)),_xll.BDH(config!$G$4,V$1,WORKDAY($A941,-1,config_Holiday_Calendar_US),WORKDAY($A941,-1,config_Holiday_Calendar_US)),IF(ISNUMBER(_xll.BDH(config!$G$4,V$1,$A941,$A941)),_xll.BDH(config!$G$4,V$1,$A941,$A941),_xll.BDH(config!$G$5,V$1,$A941,$A941))))</f>
        <v/>
      </c>
      <c r="W941" s="8" t="str">
        <f>IF($A941="","",IF(ISNUMBER(FIND("IMPVOL",W$1)),_xll.BDH(config!$G$4,W$1,WORKDAY($A941,-1,config_Holiday_Calendar_US),WORKDAY($A941,-1,config_Holiday_Calendar_US)),IF(ISNUMBER(_xll.BDH(config!$G$4,W$1,$A941,$A941)),_xll.BDH(config!$G$4,W$1,$A941,$A941),_xll.BDH(config!$G$5,W$1,$A941,$A941))))</f>
        <v/>
      </c>
    </row>
    <row r="942" spans="1:23" x14ac:dyDescent="0.2">
      <c r="A942" s="9" t="str">
        <f>IF(A941="","",IF(WORKDAY(A941,-1,config_Holiday_Calendar_US)&lt;config!$I$10,"",WORKDAY(A941,-1,config_Holiday_Calendar_US)))</f>
        <v/>
      </c>
      <c r="B942" s="8" t="str">
        <f t="shared" si="14"/>
        <v/>
      </c>
      <c r="C942" s="8" t="str">
        <f>IF(A942="","",_xll.BDH(config!$H$4,C$1,$A942,$A942))</f>
        <v/>
      </c>
      <c r="D942" s="8" t="str">
        <f>IF($A942="","",_xll.BDH(config!$H$4,D$1,$A942,$A942))</f>
        <v/>
      </c>
      <c r="E942" s="8" t="str">
        <f>IF($A942="","",IF(ISNUMBER(FIND("IMPVOL",E$1)),_xll.BDH(config!$G$4,E$1,WORKDAY($A942,-1,config_Holiday_Calendar_US),WORKDAY($A942,-1,config_Holiday_Calendar_US)),IF(ISNUMBER(_xll.BDH(config!$G$4,E$1,$A942,$A942)),_xll.BDH(config!$G$4,E$1,$A942,$A942),_xll.BDH(config!$G$5,E$1,$A942,$A942))))</f>
        <v/>
      </c>
      <c r="F942" s="8" t="str">
        <f>IF($A942="","",IF(ISNUMBER(FIND("IMPVOL",F$1)),_xll.BDH(config!$G$4,F$1,WORKDAY($A942,-1,config_Holiday_Calendar_US),WORKDAY($A942,-1,config_Holiday_Calendar_US)),IF(ISNUMBER(_xll.BDH(config!$G$4,F$1,$A942,$A942)),_xll.BDH(config!$G$4,F$1,$A942,$A942),_xll.BDH(config!$G$5,F$1,$A942,$A942))))</f>
        <v/>
      </c>
      <c r="G942" s="8" t="str">
        <f>IF($A942="","",IF(ISNUMBER(FIND("IMPVOL",G$1)),_xll.BDH(config!$G$4,G$1,WORKDAY($A942,-1,config_Holiday_Calendar_US),WORKDAY($A942,-1,config_Holiday_Calendar_US)),IF(ISNUMBER(_xll.BDH(config!$G$4,G$1,$A942,$A942)),_xll.BDH(config!$G$4,G$1,$A942,$A942),_xll.BDH(config!$G$5,G$1,$A942,$A942))))</f>
        <v/>
      </c>
      <c r="H942" s="8" t="str">
        <f>IF($A942="","",IF(ISNUMBER(FIND("IMPVOL",H$1)),_xll.BDH(config!$G$4,H$1,WORKDAY($A942,-1,config_Holiday_Calendar_US),WORKDAY($A942,-1,config_Holiday_Calendar_US)),IF(ISNUMBER(_xll.BDH(config!$G$4,H$1,$A942,$A942)),_xll.BDH(config!$G$4,H$1,$A942,$A942),_xll.BDH(config!$G$5,H$1,$A942,$A942))))</f>
        <v/>
      </c>
      <c r="I942" s="8" t="str">
        <f>IF($A942="","",IF(ISNUMBER(FIND("IMPVOL",I$1)),_xll.BDH(config!$G$4,I$1,WORKDAY($A942,-1,config_Holiday_Calendar_US),WORKDAY($A942,-1,config_Holiday_Calendar_US)),IF(ISNUMBER(_xll.BDH(config!$G$4,I$1,$A942,$A942)),_xll.BDH(config!$G$4,I$1,$A942,$A942),_xll.BDH(config!$G$5,I$1,$A942,$A942))))</f>
        <v/>
      </c>
      <c r="J942" s="8" t="str">
        <f>IF($A942="","",IF(ISNUMBER(FIND("IMPVOL",J$1)),_xll.BDH(config!$G$4,J$1,WORKDAY($A942,-1,config_Holiday_Calendar_US),WORKDAY($A942,-1,config_Holiday_Calendar_US)),IF(ISNUMBER(_xll.BDH(config!$G$4,J$1,$A942,$A942)),_xll.BDH(config!$G$4,J$1,$A942,$A942),_xll.BDH(config!$G$5,J$1,$A942,$A942))))</f>
        <v/>
      </c>
      <c r="K942" s="8" t="str">
        <f>IF($A942="","",IF(ISNUMBER(FIND("IMPVOL",K$1)),_xll.BDH(config!$G$4,K$1,WORKDAY($A942,-1,config_Holiday_Calendar_US),WORKDAY($A942,-1,config_Holiday_Calendar_US)),IF(ISNUMBER(_xll.BDH(config!$G$4,K$1,$A942,$A942)),_xll.BDH(config!$G$4,K$1,$A942,$A942),_xll.BDH(config!$G$5,K$1,$A942,$A942))))</f>
        <v/>
      </c>
      <c r="L942" s="8" t="str">
        <f>IF($A942="","",IF(ISNUMBER(FIND("IMPVOL",L$1)),_xll.BDH(config!$G$4,L$1,WORKDAY($A942,-1,config_Holiday_Calendar_US),WORKDAY($A942,-1,config_Holiday_Calendar_US)),IF(ISNUMBER(_xll.BDH(config!$G$4,L$1,$A942,$A942)),_xll.BDH(config!$G$4,L$1,$A942,$A942),_xll.BDH(config!$G$5,L$1,$A942,$A942))))</f>
        <v/>
      </c>
      <c r="M942" s="8" t="str">
        <f>IF($A942="","",IF(ISNUMBER(FIND("IMPVOL",M$1)),_xll.BDH(config!$G$4,M$1,WORKDAY($A942,-1,config_Holiday_Calendar_US),WORKDAY($A942,-1,config_Holiday_Calendar_US)),IF(ISNUMBER(_xll.BDH(config!$G$4,M$1,$A942,$A942)),_xll.BDH(config!$G$4,M$1,$A942,$A942),_xll.BDH(config!$G$5,M$1,$A942,$A942))))</f>
        <v/>
      </c>
      <c r="N942" s="8" t="str">
        <f>IF($A942="","",IF(ISNUMBER(FIND("IMPVOL",N$1)),_xll.BDH(config!$G$4,N$1,WORKDAY($A942,-1,config_Holiday_Calendar_US),WORKDAY($A942,-1,config_Holiday_Calendar_US)),IF(ISNUMBER(_xll.BDH(config!$G$4,N$1,$A942,$A942)),_xll.BDH(config!$G$4,N$1,$A942,$A942),_xll.BDH(config!$G$5,N$1,$A942,$A942))))</f>
        <v/>
      </c>
      <c r="O942" s="8" t="str">
        <f>IF($A942="","",IF(ISNUMBER(FIND("IMPVOL",O$1)),_xll.BDH(config!$G$4,O$1,WORKDAY($A942,-1,config_Holiday_Calendar_US),WORKDAY($A942,-1,config_Holiday_Calendar_US)),IF(ISNUMBER(_xll.BDH(config!$G$4,O$1,$A942,$A942)),_xll.BDH(config!$G$4,O$1,$A942,$A942),_xll.BDH(config!$G$5,O$1,$A942,$A942))))</f>
        <v/>
      </c>
      <c r="P942" s="8" t="str">
        <f>IF($A942="","",IF(ISNUMBER(FIND("IMPVOL",P$1)),_xll.BDH(config!$G$4,P$1,WORKDAY($A942,-1,config_Holiday_Calendar_US),WORKDAY($A942,-1,config_Holiday_Calendar_US)),IF(ISNUMBER(_xll.BDH(config!$G$4,P$1,$A942,$A942)),_xll.BDH(config!$G$4,P$1,$A942,$A942),_xll.BDH(config!$G$5,P$1,$A942,$A942))))</f>
        <v/>
      </c>
      <c r="Q942" s="8" t="str">
        <f>IF($A942="","",IF(ISNUMBER(FIND("IMPVOL",Q$1)),_xll.BDH(config!$G$4,Q$1,WORKDAY($A942,-1,config_Holiday_Calendar_US),WORKDAY($A942,-1,config_Holiday_Calendar_US)),IF(ISNUMBER(_xll.BDH(config!$G$4,Q$1,$A942,$A942)),_xll.BDH(config!$G$4,Q$1,$A942,$A942),_xll.BDH(config!$G$5,Q$1,$A942,$A942))))</f>
        <v/>
      </c>
      <c r="R942" s="8" t="str">
        <f>IF($A942="","",IF(ISNUMBER(FIND("IMPVOL",R$1)),_xll.BDH(config!$G$4,R$1,WORKDAY($A942,-1,config_Holiday_Calendar_US),WORKDAY($A942,-1,config_Holiday_Calendar_US)),IF(ISNUMBER(_xll.BDH(config!$G$4,R$1,$A942,$A942)),_xll.BDH(config!$G$4,R$1,$A942,$A942),_xll.BDH(config!$G$5,R$1,$A942,$A942))))</f>
        <v/>
      </c>
      <c r="S942" s="8" t="str">
        <f>IF($A942="","",IF(ISNUMBER(FIND("IMPVOL",S$1)),_xll.BDH(config!$G$4,S$1,WORKDAY($A942,-1,config_Holiday_Calendar_US),WORKDAY($A942,-1,config_Holiday_Calendar_US)),IF(ISNUMBER(_xll.BDH(config!$G$4,S$1,$A942,$A942)),_xll.BDH(config!$G$4,S$1,$A942,$A942),_xll.BDH(config!$G$5,S$1,$A942,$A942))))</f>
        <v/>
      </c>
      <c r="T942" s="8" t="str">
        <f>IF($A942="","",IF(ISNUMBER(FIND("IMPVOL",T$1)),_xll.BDH(config!$G$4,T$1,WORKDAY($A942,-1,config_Holiday_Calendar_US),WORKDAY($A942,-1,config_Holiday_Calendar_US)),IF(ISNUMBER(_xll.BDH(config!$G$4,T$1,$A942,$A942)),_xll.BDH(config!$G$4,T$1,$A942,$A942),_xll.BDH(config!$G$5,T$1,$A942,$A942))))</f>
        <v/>
      </c>
      <c r="U942" s="8" t="str">
        <f>IF($A942="","",IF(ISNUMBER(FIND("IMPVOL",U$1)),_xll.BDH(config!$G$4,U$1,WORKDAY($A942,-1,config_Holiday_Calendar_US),WORKDAY($A942,-1,config_Holiday_Calendar_US)),IF(ISNUMBER(_xll.BDH(config!$G$4,U$1,$A942,$A942)),_xll.BDH(config!$G$4,U$1,$A942,$A942),_xll.BDH(config!$G$5,U$1,$A942,$A942))))</f>
        <v/>
      </c>
      <c r="V942" s="8" t="str">
        <f>IF($A942="","",IF(ISNUMBER(FIND("IMPVOL",V$1)),_xll.BDH(config!$G$4,V$1,WORKDAY($A942,-1,config_Holiday_Calendar_US),WORKDAY($A942,-1,config_Holiday_Calendar_US)),IF(ISNUMBER(_xll.BDH(config!$G$4,V$1,$A942,$A942)),_xll.BDH(config!$G$4,V$1,$A942,$A942),_xll.BDH(config!$G$5,V$1,$A942,$A942))))</f>
        <v/>
      </c>
      <c r="W942" s="8" t="str">
        <f>IF($A942="","",IF(ISNUMBER(FIND("IMPVOL",W$1)),_xll.BDH(config!$G$4,W$1,WORKDAY($A942,-1,config_Holiday_Calendar_US),WORKDAY($A942,-1,config_Holiday_Calendar_US)),IF(ISNUMBER(_xll.BDH(config!$G$4,W$1,$A942,$A942)),_xll.BDH(config!$G$4,W$1,$A942,$A942),_xll.BDH(config!$G$5,W$1,$A942,$A942))))</f>
        <v/>
      </c>
    </row>
    <row r="943" spans="1:23" x14ac:dyDescent="0.2">
      <c r="A943" s="9" t="str">
        <f>IF(A942="","",IF(WORKDAY(A942,-1,config_Holiday_Calendar_US)&lt;config!$I$10,"",WORKDAY(A942,-1,config_Holiday_Calendar_US)))</f>
        <v/>
      </c>
      <c r="B943" s="8" t="str">
        <f t="shared" si="14"/>
        <v/>
      </c>
      <c r="C943" s="8" t="str">
        <f>IF(A943="","",_xll.BDH(config!$H$4,C$1,$A943,$A943))</f>
        <v/>
      </c>
      <c r="D943" s="8" t="str">
        <f>IF($A943="","",_xll.BDH(config!$H$4,D$1,$A943,$A943))</f>
        <v/>
      </c>
      <c r="E943" s="8" t="str">
        <f>IF($A943="","",IF(ISNUMBER(FIND("IMPVOL",E$1)),_xll.BDH(config!$G$4,E$1,WORKDAY($A943,-1,config_Holiday_Calendar_US),WORKDAY($A943,-1,config_Holiday_Calendar_US)),IF(ISNUMBER(_xll.BDH(config!$G$4,E$1,$A943,$A943)),_xll.BDH(config!$G$4,E$1,$A943,$A943),_xll.BDH(config!$G$5,E$1,$A943,$A943))))</f>
        <v/>
      </c>
      <c r="F943" s="8" t="str">
        <f>IF($A943="","",IF(ISNUMBER(FIND("IMPVOL",F$1)),_xll.BDH(config!$G$4,F$1,WORKDAY($A943,-1,config_Holiday_Calendar_US),WORKDAY($A943,-1,config_Holiday_Calendar_US)),IF(ISNUMBER(_xll.BDH(config!$G$4,F$1,$A943,$A943)),_xll.BDH(config!$G$4,F$1,$A943,$A943),_xll.BDH(config!$G$5,F$1,$A943,$A943))))</f>
        <v/>
      </c>
      <c r="G943" s="8" t="str">
        <f>IF($A943="","",IF(ISNUMBER(FIND("IMPVOL",G$1)),_xll.BDH(config!$G$4,G$1,WORKDAY($A943,-1,config_Holiday_Calendar_US),WORKDAY($A943,-1,config_Holiday_Calendar_US)),IF(ISNUMBER(_xll.BDH(config!$G$4,G$1,$A943,$A943)),_xll.BDH(config!$G$4,G$1,$A943,$A943),_xll.BDH(config!$G$5,G$1,$A943,$A943))))</f>
        <v/>
      </c>
      <c r="H943" s="8" t="str">
        <f>IF($A943="","",IF(ISNUMBER(FIND("IMPVOL",H$1)),_xll.BDH(config!$G$4,H$1,WORKDAY($A943,-1,config_Holiday_Calendar_US),WORKDAY($A943,-1,config_Holiday_Calendar_US)),IF(ISNUMBER(_xll.BDH(config!$G$4,H$1,$A943,$A943)),_xll.BDH(config!$G$4,H$1,$A943,$A943),_xll.BDH(config!$G$5,H$1,$A943,$A943))))</f>
        <v/>
      </c>
      <c r="I943" s="8" t="str">
        <f>IF($A943="","",IF(ISNUMBER(FIND("IMPVOL",I$1)),_xll.BDH(config!$G$4,I$1,WORKDAY($A943,-1,config_Holiday_Calendar_US),WORKDAY($A943,-1,config_Holiday_Calendar_US)),IF(ISNUMBER(_xll.BDH(config!$G$4,I$1,$A943,$A943)),_xll.BDH(config!$G$4,I$1,$A943,$A943),_xll.BDH(config!$G$5,I$1,$A943,$A943))))</f>
        <v/>
      </c>
      <c r="J943" s="8" t="str">
        <f>IF($A943="","",IF(ISNUMBER(FIND("IMPVOL",J$1)),_xll.BDH(config!$G$4,J$1,WORKDAY($A943,-1,config_Holiday_Calendar_US),WORKDAY($A943,-1,config_Holiday_Calendar_US)),IF(ISNUMBER(_xll.BDH(config!$G$4,J$1,$A943,$A943)),_xll.BDH(config!$G$4,J$1,$A943,$A943),_xll.BDH(config!$G$5,J$1,$A943,$A943))))</f>
        <v/>
      </c>
      <c r="K943" s="8" t="str">
        <f>IF($A943="","",IF(ISNUMBER(FIND("IMPVOL",K$1)),_xll.BDH(config!$G$4,K$1,WORKDAY($A943,-1,config_Holiday_Calendar_US),WORKDAY($A943,-1,config_Holiday_Calendar_US)),IF(ISNUMBER(_xll.BDH(config!$G$4,K$1,$A943,$A943)),_xll.BDH(config!$G$4,K$1,$A943,$A943),_xll.BDH(config!$G$5,K$1,$A943,$A943))))</f>
        <v/>
      </c>
      <c r="L943" s="8" t="str">
        <f>IF($A943="","",IF(ISNUMBER(FIND("IMPVOL",L$1)),_xll.BDH(config!$G$4,L$1,WORKDAY($A943,-1,config_Holiday_Calendar_US),WORKDAY($A943,-1,config_Holiday_Calendar_US)),IF(ISNUMBER(_xll.BDH(config!$G$4,L$1,$A943,$A943)),_xll.BDH(config!$G$4,L$1,$A943,$A943),_xll.BDH(config!$G$5,L$1,$A943,$A943))))</f>
        <v/>
      </c>
      <c r="M943" s="8" t="str">
        <f>IF($A943="","",IF(ISNUMBER(FIND("IMPVOL",M$1)),_xll.BDH(config!$G$4,M$1,WORKDAY($A943,-1,config_Holiday_Calendar_US),WORKDAY($A943,-1,config_Holiday_Calendar_US)),IF(ISNUMBER(_xll.BDH(config!$G$4,M$1,$A943,$A943)),_xll.BDH(config!$G$4,M$1,$A943,$A943),_xll.BDH(config!$G$5,M$1,$A943,$A943))))</f>
        <v/>
      </c>
      <c r="N943" s="8" t="str">
        <f>IF($A943="","",IF(ISNUMBER(FIND("IMPVOL",N$1)),_xll.BDH(config!$G$4,N$1,WORKDAY($A943,-1,config_Holiday_Calendar_US),WORKDAY($A943,-1,config_Holiday_Calendar_US)),IF(ISNUMBER(_xll.BDH(config!$G$4,N$1,$A943,$A943)),_xll.BDH(config!$G$4,N$1,$A943,$A943),_xll.BDH(config!$G$5,N$1,$A943,$A943))))</f>
        <v/>
      </c>
      <c r="O943" s="8" t="str">
        <f>IF($A943="","",IF(ISNUMBER(FIND("IMPVOL",O$1)),_xll.BDH(config!$G$4,O$1,WORKDAY($A943,-1,config_Holiday_Calendar_US),WORKDAY($A943,-1,config_Holiday_Calendar_US)),IF(ISNUMBER(_xll.BDH(config!$G$4,O$1,$A943,$A943)),_xll.BDH(config!$G$4,O$1,$A943,$A943),_xll.BDH(config!$G$5,O$1,$A943,$A943))))</f>
        <v/>
      </c>
      <c r="P943" s="8" t="str">
        <f>IF($A943="","",IF(ISNUMBER(FIND("IMPVOL",P$1)),_xll.BDH(config!$G$4,P$1,WORKDAY($A943,-1,config_Holiday_Calendar_US),WORKDAY($A943,-1,config_Holiday_Calendar_US)),IF(ISNUMBER(_xll.BDH(config!$G$4,P$1,$A943,$A943)),_xll.BDH(config!$G$4,P$1,$A943,$A943),_xll.BDH(config!$G$5,P$1,$A943,$A943))))</f>
        <v/>
      </c>
      <c r="Q943" s="8" t="str">
        <f>IF($A943="","",IF(ISNUMBER(FIND("IMPVOL",Q$1)),_xll.BDH(config!$G$4,Q$1,WORKDAY($A943,-1,config_Holiday_Calendar_US),WORKDAY($A943,-1,config_Holiday_Calendar_US)),IF(ISNUMBER(_xll.BDH(config!$G$4,Q$1,$A943,$A943)),_xll.BDH(config!$G$4,Q$1,$A943,$A943),_xll.BDH(config!$G$5,Q$1,$A943,$A943))))</f>
        <v/>
      </c>
      <c r="R943" s="8" t="str">
        <f>IF($A943="","",IF(ISNUMBER(FIND("IMPVOL",R$1)),_xll.BDH(config!$G$4,R$1,WORKDAY($A943,-1,config_Holiday_Calendar_US),WORKDAY($A943,-1,config_Holiday_Calendar_US)),IF(ISNUMBER(_xll.BDH(config!$G$4,R$1,$A943,$A943)),_xll.BDH(config!$G$4,R$1,$A943,$A943),_xll.BDH(config!$G$5,R$1,$A943,$A943))))</f>
        <v/>
      </c>
      <c r="S943" s="8" t="str">
        <f>IF($A943="","",IF(ISNUMBER(FIND("IMPVOL",S$1)),_xll.BDH(config!$G$4,S$1,WORKDAY($A943,-1,config_Holiday_Calendar_US),WORKDAY($A943,-1,config_Holiday_Calendar_US)),IF(ISNUMBER(_xll.BDH(config!$G$4,S$1,$A943,$A943)),_xll.BDH(config!$G$4,S$1,$A943,$A943),_xll.BDH(config!$G$5,S$1,$A943,$A943))))</f>
        <v/>
      </c>
      <c r="T943" s="8" t="str">
        <f>IF($A943="","",IF(ISNUMBER(FIND("IMPVOL",T$1)),_xll.BDH(config!$G$4,T$1,WORKDAY($A943,-1,config_Holiday_Calendar_US),WORKDAY($A943,-1,config_Holiday_Calendar_US)),IF(ISNUMBER(_xll.BDH(config!$G$4,T$1,$A943,$A943)),_xll.BDH(config!$G$4,T$1,$A943,$A943),_xll.BDH(config!$G$5,T$1,$A943,$A943))))</f>
        <v/>
      </c>
      <c r="U943" s="8" t="str">
        <f>IF($A943="","",IF(ISNUMBER(FIND("IMPVOL",U$1)),_xll.BDH(config!$G$4,U$1,WORKDAY($A943,-1,config_Holiday_Calendar_US),WORKDAY($A943,-1,config_Holiday_Calendar_US)),IF(ISNUMBER(_xll.BDH(config!$G$4,U$1,$A943,$A943)),_xll.BDH(config!$G$4,U$1,$A943,$A943),_xll.BDH(config!$G$5,U$1,$A943,$A943))))</f>
        <v/>
      </c>
      <c r="V943" s="8" t="str">
        <f>IF($A943="","",IF(ISNUMBER(FIND("IMPVOL",V$1)),_xll.BDH(config!$G$4,V$1,WORKDAY($A943,-1,config_Holiday_Calendar_US),WORKDAY($A943,-1,config_Holiday_Calendar_US)),IF(ISNUMBER(_xll.BDH(config!$G$4,V$1,$A943,$A943)),_xll.BDH(config!$G$4,V$1,$A943,$A943),_xll.BDH(config!$G$5,V$1,$A943,$A943))))</f>
        <v/>
      </c>
      <c r="W943" s="8" t="str">
        <f>IF($A943="","",IF(ISNUMBER(FIND("IMPVOL",W$1)),_xll.BDH(config!$G$4,W$1,WORKDAY($A943,-1,config_Holiday_Calendar_US),WORKDAY($A943,-1,config_Holiday_Calendar_US)),IF(ISNUMBER(_xll.BDH(config!$G$4,W$1,$A943,$A943)),_xll.BDH(config!$G$4,W$1,$A943,$A943),_xll.BDH(config!$G$5,W$1,$A943,$A943))))</f>
        <v/>
      </c>
    </row>
    <row r="944" spans="1:23" x14ac:dyDescent="0.2">
      <c r="A944" s="9" t="str">
        <f>IF(A943="","",IF(WORKDAY(A943,-1,config_Holiday_Calendar_US)&lt;config!$I$10,"",WORKDAY(A943,-1,config_Holiday_Calendar_US)))</f>
        <v/>
      </c>
      <c r="B944" s="8" t="str">
        <f t="shared" si="14"/>
        <v/>
      </c>
      <c r="C944" s="8" t="str">
        <f>IF(A944="","",_xll.BDH(config!$H$4,C$1,$A944,$A944))</f>
        <v/>
      </c>
      <c r="D944" s="8" t="str">
        <f>IF($A944="","",_xll.BDH(config!$H$4,D$1,$A944,$A944))</f>
        <v/>
      </c>
      <c r="E944" s="8" t="str">
        <f>IF($A944="","",IF(ISNUMBER(FIND("IMPVOL",E$1)),_xll.BDH(config!$G$4,E$1,WORKDAY($A944,-1,config_Holiday_Calendar_US),WORKDAY($A944,-1,config_Holiday_Calendar_US)),IF(ISNUMBER(_xll.BDH(config!$G$4,E$1,$A944,$A944)),_xll.BDH(config!$G$4,E$1,$A944,$A944),_xll.BDH(config!$G$5,E$1,$A944,$A944))))</f>
        <v/>
      </c>
      <c r="F944" s="8" t="str">
        <f>IF($A944="","",IF(ISNUMBER(FIND("IMPVOL",F$1)),_xll.BDH(config!$G$4,F$1,WORKDAY($A944,-1,config_Holiday_Calendar_US),WORKDAY($A944,-1,config_Holiday_Calendar_US)),IF(ISNUMBER(_xll.BDH(config!$G$4,F$1,$A944,$A944)),_xll.BDH(config!$G$4,F$1,$A944,$A944),_xll.BDH(config!$G$5,F$1,$A944,$A944))))</f>
        <v/>
      </c>
      <c r="G944" s="8" t="str">
        <f>IF($A944="","",IF(ISNUMBER(FIND("IMPVOL",G$1)),_xll.BDH(config!$G$4,G$1,WORKDAY($A944,-1,config_Holiday_Calendar_US),WORKDAY($A944,-1,config_Holiday_Calendar_US)),IF(ISNUMBER(_xll.BDH(config!$G$4,G$1,$A944,$A944)),_xll.BDH(config!$G$4,G$1,$A944,$A944),_xll.BDH(config!$G$5,G$1,$A944,$A944))))</f>
        <v/>
      </c>
      <c r="H944" s="8" t="str">
        <f>IF($A944="","",IF(ISNUMBER(FIND("IMPVOL",H$1)),_xll.BDH(config!$G$4,H$1,WORKDAY($A944,-1,config_Holiday_Calendar_US),WORKDAY($A944,-1,config_Holiday_Calendar_US)),IF(ISNUMBER(_xll.BDH(config!$G$4,H$1,$A944,$A944)),_xll.BDH(config!$G$4,H$1,$A944,$A944),_xll.BDH(config!$G$5,H$1,$A944,$A944))))</f>
        <v/>
      </c>
      <c r="I944" s="8" t="str">
        <f>IF($A944="","",IF(ISNUMBER(FIND("IMPVOL",I$1)),_xll.BDH(config!$G$4,I$1,WORKDAY($A944,-1,config_Holiday_Calendar_US),WORKDAY($A944,-1,config_Holiday_Calendar_US)),IF(ISNUMBER(_xll.BDH(config!$G$4,I$1,$A944,$A944)),_xll.BDH(config!$G$4,I$1,$A944,$A944),_xll.BDH(config!$G$5,I$1,$A944,$A944))))</f>
        <v/>
      </c>
      <c r="J944" s="8" t="str">
        <f>IF($A944="","",IF(ISNUMBER(FIND("IMPVOL",J$1)),_xll.BDH(config!$G$4,J$1,WORKDAY($A944,-1,config_Holiday_Calendar_US),WORKDAY($A944,-1,config_Holiday_Calendar_US)),IF(ISNUMBER(_xll.BDH(config!$G$4,J$1,$A944,$A944)),_xll.BDH(config!$G$4,J$1,$A944,$A944),_xll.BDH(config!$G$5,J$1,$A944,$A944))))</f>
        <v/>
      </c>
      <c r="K944" s="8" t="str">
        <f>IF($A944="","",IF(ISNUMBER(FIND("IMPVOL",K$1)),_xll.BDH(config!$G$4,K$1,WORKDAY($A944,-1,config_Holiday_Calendar_US),WORKDAY($A944,-1,config_Holiday_Calendar_US)),IF(ISNUMBER(_xll.BDH(config!$G$4,K$1,$A944,$A944)),_xll.BDH(config!$G$4,K$1,$A944,$A944),_xll.BDH(config!$G$5,K$1,$A944,$A944))))</f>
        <v/>
      </c>
      <c r="L944" s="8" t="str">
        <f>IF($A944="","",IF(ISNUMBER(FIND("IMPVOL",L$1)),_xll.BDH(config!$G$4,L$1,WORKDAY($A944,-1,config_Holiday_Calendar_US),WORKDAY($A944,-1,config_Holiday_Calendar_US)),IF(ISNUMBER(_xll.BDH(config!$G$4,L$1,$A944,$A944)),_xll.BDH(config!$G$4,L$1,$A944,$A944),_xll.BDH(config!$G$5,L$1,$A944,$A944))))</f>
        <v/>
      </c>
      <c r="M944" s="8" t="str">
        <f>IF($A944="","",IF(ISNUMBER(FIND("IMPVOL",M$1)),_xll.BDH(config!$G$4,M$1,WORKDAY($A944,-1,config_Holiday_Calendar_US),WORKDAY($A944,-1,config_Holiday_Calendar_US)),IF(ISNUMBER(_xll.BDH(config!$G$4,M$1,$A944,$A944)),_xll.BDH(config!$G$4,M$1,$A944,$A944),_xll.BDH(config!$G$5,M$1,$A944,$A944))))</f>
        <v/>
      </c>
      <c r="N944" s="8" t="str">
        <f>IF($A944="","",IF(ISNUMBER(FIND("IMPVOL",N$1)),_xll.BDH(config!$G$4,N$1,WORKDAY($A944,-1,config_Holiday_Calendar_US),WORKDAY($A944,-1,config_Holiday_Calendar_US)),IF(ISNUMBER(_xll.BDH(config!$G$4,N$1,$A944,$A944)),_xll.BDH(config!$G$4,N$1,$A944,$A944),_xll.BDH(config!$G$5,N$1,$A944,$A944))))</f>
        <v/>
      </c>
      <c r="O944" s="8" t="str">
        <f>IF($A944="","",IF(ISNUMBER(FIND("IMPVOL",O$1)),_xll.BDH(config!$G$4,O$1,WORKDAY($A944,-1,config_Holiday_Calendar_US),WORKDAY($A944,-1,config_Holiday_Calendar_US)),IF(ISNUMBER(_xll.BDH(config!$G$4,O$1,$A944,$A944)),_xll.BDH(config!$G$4,O$1,$A944,$A944),_xll.BDH(config!$G$5,O$1,$A944,$A944))))</f>
        <v/>
      </c>
      <c r="P944" s="8" t="str">
        <f>IF($A944="","",IF(ISNUMBER(FIND("IMPVOL",P$1)),_xll.BDH(config!$G$4,P$1,WORKDAY($A944,-1,config_Holiday_Calendar_US),WORKDAY($A944,-1,config_Holiday_Calendar_US)),IF(ISNUMBER(_xll.BDH(config!$G$4,P$1,$A944,$A944)),_xll.BDH(config!$G$4,P$1,$A944,$A944),_xll.BDH(config!$G$5,P$1,$A944,$A944))))</f>
        <v/>
      </c>
      <c r="Q944" s="8" t="str">
        <f>IF($A944="","",IF(ISNUMBER(FIND("IMPVOL",Q$1)),_xll.BDH(config!$G$4,Q$1,WORKDAY($A944,-1,config_Holiday_Calendar_US),WORKDAY($A944,-1,config_Holiday_Calendar_US)),IF(ISNUMBER(_xll.BDH(config!$G$4,Q$1,$A944,$A944)),_xll.BDH(config!$G$4,Q$1,$A944,$A944),_xll.BDH(config!$G$5,Q$1,$A944,$A944))))</f>
        <v/>
      </c>
      <c r="R944" s="8" t="str">
        <f>IF($A944="","",IF(ISNUMBER(FIND("IMPVOL",R$1)),_xll.BDH(config!$G$4,R$1,WORKDAY($A944,-1,config_Holiday_Calendar_US),WORKDAY($A944,-1,config_Holiday_Calendar_US)),IF(ISNUMBER(_xll.BDH(config!$G$4,R$1,$A944,$A944)),_xll.BDH(config!$G$4,R$1,$A944,$A944),_xll.BDH(config!$G$5,R$1,$A944,$A944))))</f>
        <v/>
      </c>
      <c r="S944" s="8" t="str">
        <f>IF($A944="","",IF(ISNUMBER(FIND("IMPVOL",S$1)),_xll.BDH(config!$G$4,S$1,WORKDAY($A944,-1,config_Holiday_Calendar_US),WORKDAY($A944,-1,config_Holiday_Calendar_US)),IF(ISNUMBER(_xll.BDH(config!$G$4,S$1,$A944,$A944)),_xll.BDH(config!$G$4,S$1,$A944,$A944),_xll.BDH(config!$G$5,S$1,$A944,$A944))))</f>
        <v/>
      </c>
      <c r="T944" s="8" t="str">
        <f>IF($A944="","",IF(ISNUMBER(FIND("IMPVOL",T$1)),_xll.BDH(config!$G$4,T$1,WORKDAY($A944,-1,config_Holiday_Calendar_US),WORKDAY($A944,-1,config_Holiday_Calendar_US)),IF(ISNUMBER(_xll.BDH(config!$G$4,T$1,$A944,$A944)),_xll.BDH(config!$G$4,T$1,$A944,$A944),_xll.BDH(config!$G$5,T$1,$A944,$A944))))</f>
        <v/>
      </c>
      <c r="U944" s="8" t="str">
        <f>IF($A944="","",IF(ISNUMBER(FIND("IMPVOL",U$1)),_xll.BDH(config!$G$4,U$1,WORKDAY($A944,-1,config_Holiday_Calendar_US),WORKDAY($A944,-1,config_Holiday_Calendar_US)),IF(ISNUMBER(_xll.BDH(config!$G$4,U$1,$A944,$A944)),_xll.BDH(config!$G$4,U$1,$A944,$A944),_xll.BDH(config!$G$5,U$1,$A944,$A944))))</f>
        <v/>
      </c>
      <c r="V944" s="8" t="str">
        <f>IF($A944="","",IF(ISNUMBER(FIND("IMPVOL",V$1)),_xll.BDH(config!$G$4,V$1,WORKDAY($A944,-1,config_Holiday_Calendar_US),WORKDAY($A944,-1,config_Holiday_Calendar_US)),IF(ISNUMBER(_xll.BDH(config!$G$4,V$1,$A944,$A944)),_xll.BDH(config!$G$4,V$1,$A944,$A944),_xll.BDH(config!$G$5,V$1,$A944,$A944))))</f>
        <v/>
      </c>
      <c r="W944" s="8" t="str">
        <f>IF($A944="","",IF(ISNUMBER(FIND("IMPVOL",W$1)),_xll.BDH(config!$G$4,W$1,WORKDAY($A944,-1,config_Holiday_Calendar_US),WORKDAY($A944,-1,config_Holiday_Calendar_US)),IF(ISNUMBER(_xll.BDH(config!$G$4,W$1,$A944,$A944)),_xll.BDH(config!$G$4,W$1,$A944,$A944),_xll.BDH(config!$G$5,W$1,$A944,$A944))))</f>
        <v/>
      </c>
    </row>
    <row r="945" spans="1:23" x14ac:dyDescent="0.2">
      <c r="A945" s="9" t="str">
        <f>IF(A944="","",IF(WORKDAY(A944,-1,config_Holiday_Calendar_US)&lt;config!$I$10,"",WORKDAY(A944,-1,config_Holiday_Calendar_US)))</f>
        <v/>
      </c>
      <c r="B945" s="8" t="str">
        <f t="shared" si="14"/>
        <v/>
      </c>
      <c r="C945" s="8" t="str">
        <f>IF(A945="","",_xll.BDH(config!$H$4,C$1,$A945,$A945))</f>
        <v/>
      </c>
      <c r="D945" s="8" t="str">
        <f>IF($A945="","",_xll.BDH(config!$H$4,D$1,$A945,$A945))</f>
        <v/>
      </c>
      <c r="E945" s="8" t="str">
        <f>IF($A945="","",IF(ISNUMBER(FIND("IMPVOL",E$1)),_xll.BDH(config!$G$4,E$1,WORKDAY($A945,-1,config_Holiday_Calendar_US),WORKDAY($A945,-1,config_Holiday_Calendar_US)),IF(ISNUMBER(_xll.BDH(config!$G$4,E$1,$A945,$A945)),_xll.BDH(config!$G$4,E$1,$A945,$A945),_xll.BDH(config!$G$5,E$1,$A945,$A945))))</f>
        <v/>
      </c>
      <c r="F945" s="8" t="str">
        <f>IF($A945="","",IF(ISNUMBER(FIND("IMPVOL",F$1)),_xll.BDH(config!$G$4,F$1,WORKDAY($A945,-1,config_Holiday_Calendar_US),WORKDAY($A945,-1,config_Holiday_Calendar_US)),IF(ISNUMBER(_xll.BDH(config!$G$4,F$1,$A945,$A945)),_xll.BDH(config!$G$4,F$1,$A945,$A945),_xll.BDH(config!$G$5,F$1,$A945,$A945))))</f>
        <v/>
      </c>
      <c r="G945" s="8" t="str">
        <f>IF($A945="","",IF(ISNUMBER(FIND("IMPVOL",G$1)),_xll.BDH(config!$G$4,G$1,WORKDAY($A945,-1,config_Holiday_Calendar_US),WORKDAY($A945,-1,config_Holiday_Calendar_US)),IF(ISNUMBER(_xll.BDH(config!$G$4,G$1,$A945,$A945)),_xll.BDH(config!$G$4,G$1,$A945,$A945),_xll.BDH(config!$G$5,G$1,$A945,$A945))))</f>
        <v/>
      </c>
      <c r="H945" s="8" t="str">
        <f>IF($A945="","",IF(ISNUMBER(FIND("IMPVOL",H$1)),_xll.BDH(config!$G$4,H$1,WORKDAY($A945,-1,config_Holiday_Calendar_US),WORKDAY($A945,-1,config_Holiday_Calendar_US)),IF(ISNUMBER(_xll.BDH(config!$G$4,H$1,$A945,$A945)),_xll.BDH(config!$G$4,H$1,$A945,$A945),_xll.BDH(config!$G$5,H$1,$A945,$A945))))</f>
        <v/>
      </c>
      <c r="I945" s="8" t="str">
        <f>IF($A945="","",IF(ISNUMBER(FIND("IMPVOL",I$1)),_xll.BDH(config!$G$4,I$1,WORKDAY($A945,-1,config_Holiday_Calendar_US),WORKDAY($A945,-1,config_Holiday_Calendar_US)),IF(ISNUMBER(_xll.BDH(config!$G$4,I$1,$A945,$A945)),_xll.BDH(config!$G$4,I$1,$A945,$A945),_xll.BDH(config!$G$5,I$1,$A945,$A945))))</f>
        <v/>
      </c>
      <c r="J945" s="8" t="str">
        <f>IF($A945="","",IF(ISNUMBER(FIND("IMPVOL",J$1)),_xll.BDH(config!$G$4,J$1,WORKDAY($A945,-1,config_Holiday_Calendar_US),WORKDAY($A945,-1,config_Holiday_Calendar_US)),IF(ISNUMBER(_xll.BDH(config!$G$4,J$1,$A945,$A945)),_xll.BDH(config!$G$4,J$1,$A945,$A945),_xll.BDH(config!$G$5,J$1,$A945,$A945))))</f>
        <v/>
      </c>
      <c r="K945" s="8" t="str">
        <f>IF($A945="","",IF(ISNUMBER(FIND("IMPVOL",K$1)),_xll.BDH(config!$G$4,K$1,WORKDAY($A945,-1,config_Holiday_Calendar_US),WORKDAY($A945,-1,config_Holiday_Calendar_US)),IF(ISNUMBER(_xll.BDH(config!$G$4,K$1,$A945,$A945)),_xll.BDH(config!$G$4,K$1,$A945,$A945),_xll.BDH(config!$G$5,K$1,$A945,$A945))))</f>
        <v/>
      </c>
      <c r="L945" s="8" t="str">
        <f>IF($A945="","",IF(ISNUMBER(FIND("IMPVOL",L$1)),_xll.BDH(config!$G$4,L$1,WORKDAY($A945,-1,config_Holiday_Calendar_US),WORKDAY($A945,-1,config_Holiday_Calendar_US)),IF(ISNUMBER(_xll.BDH(config!$G$4,L$1,$A945,$A945)),_xll.BDH(config!$G$4,L$1,$A945,$A945),_xll.BDH(config!$G$5,L$1,$A945,$A945))))</f>
        <v/>
      </c>
      <c r="M945" s="8" t="str">
        <f>IF($A945="","",IF(ISNUMBER(FIND("IMPVOL",M$1)),_xll.BDH(config!$G$4,M$1,WORKDAY($A945,-1,config_Holiday_Calendar_US),WORKDAY($A945,-1,config_Holiday_Calendar_US)),IF(ISNUMBER(_xll.BDH(config!$G$4,M$1,$A945,$A945)),_xll.BDH(config!$G$4,M$1,$A945,$A945),_xll.BDH(config!$G$5,M$1,$A945,$A945))))</f>
        <v/>
      </c>
      <c r="N945" s="8" t="str">
        <f>IF($A945="","",IF(ISNUMBER(FIND("IMPVOL",N$1)),_xll.BDH(config!$G$4,N$1,WORKDAY($A945,-1,config_Holiday_Calendar_US),WORKDAY($A945,-1,config_Holiday_Calendar_US)),IF(ISNUMBER(_xll.BDH(config!$G$4,N$1,$A945,$A945)),_xll.BDH(config!$G$4,N$1,$A945,$A945),_xll.BDH(config!$G$5,N$1,$A945,$A945))))</f>
        <v/>
      </c>
      <c r="O945" s="8" t="str">
        <f>IF($A945="","",IF(ISNUMBER(FIND("IMPVOL",O$1)),_xll.BDH(config!$G$4,O$1,WORKDAY($A945,-1,config_Holiday_Calendar_US),WORKDAY($A945,-1,config_Holiday_Calendar_US)),IF(ISNUMBER(_xll.BDH(config!$G$4,O$1,$A945,$A945)),_xll.BDH(config!$G$4,O$1,$A945,$A945),_xll.BDH(config!$G$5,O$1,$A945,$A945))))</f>
        <v/>
      </c>
      <c r="P945" s="8" t="str">
        <f>IF($A945="","",IF(ISNUMBER(FIND("IMPVOL",P$1)),_xll.BDH(config!$G$4,P$1,WORKDAY($A945,-1,config_Holiday_Calendar_US),WORKDAY($A945,-1,config_Holiday_Calendar_US)),IF(ISNUMBER(_xll.BDH(config!$G$4,P$1,$A945,$A945)),_xll.BDH(config!$G$4,P$1,$A945,$A945),_xll.BDH(config!$G$5,P$1,$A945,$A945))))</f>
        <v/>
      </c>
      <c r="Q945" s="8" t="str">
        <f>IF($A945="","",IF(ISNUMBER(FIND("IMPVOL",Q$1)),_xll.BDH(config!$G$4,Q$1,WORKDAY($A945,-1,config_Holiday_Calendar_US),WORKDAY($A945,-1,config_Holiday_Calendar_US)),IF(ISNUMBER(_xll.BDH(config!$G$4,Q$1,$A945,$A945)),_xll.BDH(config!$G$4,Q$1,$A945,$A945),_xll.BDH(config!$G$5,Q$1,$A945,$A945))))</f>
        <v/>
      </c>
      <c r="R945" s="8" t="str">
        <f>IF($A945="","",IF(ISNUMBER(FIND("IMPVOL",R$1)),_xll.BDH(config!$G$4,R$1,WORKDAY($A945,-1,config_Holiday_Calendar_US),WORKDAY($A945,-1,config_Holiday_Calendar_US)),IF(ISNUMBER(_xll.BDH(config!$G$4,R$1,$A945,$A945)),_xll.BDH(config!$G$4,R$1,$A945,$A945),_xll.BDH(config!$G$5,R$1,$A945,$A945))))</f>
        <v/>
      </c>
      <c r="S945" s="8" t="str">
        <f>IF($A945="","",IF(ISNUMBER(FIND("IMPVOL",S$1)),_xll.BDH(config!$G$4,S$1,WORKDAY($A945,-1,config_Holiday_Calendar_US),WORKDAY($A945,-1,config_Holiday_Calendar_US)),IF(ISNUMBER(_xll.BDH(config!$G$4,S$1,$A945,$A945)),_xll.BDH(config!$G$4,S$1,$A945,$A945),_xll.BDH(config!$G$5,S$1,$A945,$A945))))</f>
        <v/>
      </c>
      <c r="T945" s="8" t="str">
        <f>IF($A945="","",IF(ISNUMBER(FIND("IMPVOL",T$1)),_xll.BDH(config!$G$4,T$1,WORKDAY($A945,-1,config_Holiday_Calendar_US),WORKDAY($A945,-1,config_Holiday_Calendar_US)),IF(ISNUMBER(_xll.BDH(config!$G$4,T$1,$A945,$A945)),_xll.BDH(config!$G$4,T$1,$A945,$A945),_xll.BDH(config!$G$5,T$1,$A945,$A945))))</f>
        <v/>
      </c>
      <c r="U945" s="8" t="str">
        <f>IF($A945="","",IF(ISNUMBER(FIND("IMPVOL",U$1)),_xll.BDH(config!$G$4,U$1,WORKDAY($A945,-1,config_Holiday_Calendar_US),WORKDAY($A945,-1,config_Holiday_Calendar_US)),IF(ISNUMBER(_xll.BDH(config!$G$4,U$1,$A945,$A945)),_xll.BDH(config!$G$4,U$1,$A945,$A945),_xll.BDH(config!$G$5,U$1,$A945,$A945))))</f>
        <v/>
      </c>
      <c r="V945" s="8" t="str">
        <f>IF($A945="","",IF(ISNUMBER(FIND("IMPVOL",V$1)),_xll.BDH(config!$G$4,V$1,WORKDAY($A945,-1,config_Holiday_Calendar_US),WORKDAY($A945,-1,config_Holiday_Calendar_US)),IF(ISNUMBER(_xll.BDH(config!$G$4,V$1,$A945,$A945)),_xll.BDH(config!$G$4,V$1,$A945,$A945),_xll.BDH(config!$G$5,V$1,$A945,$A945))))</f>
        <v/>
      </c>
      <c r="W945" s="8" t="str">
        <f>IF($A945="","",IF(ISNUMBER(FIND("IMPVOL",W$1)),_xll.BDH(config!$G$4,W$1,WORKDAY($A945,-1,config_Holiday_Calendar_US),WORKDAY($A945,-1,config_Holiday_Calendar_US)),IF(ISNUMBER(_xll.BDH(config!$G$4,W$1,$A945,$A945)),_xll.BDH(config!$G$4,W$1,$A945,$A945),_xll.BDH(config!$G$5,W$1,$A945,$A945))))</f>
        <v/>
      </c>
    </row>
    <row r="946" spans="1:23" x14ac:dyDescent="0.2">
      <c r="A946" s="9" t="str">
        <f>IF(A945="","",IF(WORKDAY(A945,-1,config_Holiday_Calendar_US)&lt;config!$I$10,"",WORKDAY(A945,-1,config_Holiday_Calendar_US)))</f>
        <v/>
      </c>
      <c r="B946" s="8" t="str">
        <f t="shared" si="14"/>
        <v/>
      </c>
      <c r="C946" s="8" t="str">
        <f>IF(A946="","",_xll.BDH(config!$H$4,C$1,$A946,$A946))</f>
        <v/>
      </c>
      <c r="D946" s="8" t="str">
        <f>IF($A946="","",_xll.BDH(config!$H$4,D$1,$A946,$A946))</f>
        <v/>
      </c>
      <c r="E946" s="8" t="str">
        <f>IF($A946="","",IF(ISNUMBER(FIND("IMPVOL",E$1)),_xll.BDH(config!$G$4,E$1,WORKDAY($A946,-1,config_Holiday_Calendar_US),WORKDAY($A946,-1,config_Holiday_Calendar_US)),IF(ISNUMBER(_xll.BDH(config!$G$4,E$1,$A946,$A946)),_xll.BDH(config!$G$4,E$1,$A946,$A946),_xll.BDH(config!$G$5,E$1,$A946,$A946))))</f>
        <v/>
      </c>
      <c r="F946" s="8" t="str">
        <f>IF($A946="","",IF(ISNUMBER(FIND("IMPVOL",F$1)),_xll.BDH(config!$G$4,F$1,WORKDAY($A946,-1,config_Holiday_Calendar_US),WORKDAY($A946,-1,config_Holiday_Calendar_US)),IF(ISNUMBER(_xll.BDH(config!$G$4,F$1,$A946,$A946)),_xll.BDH(config!$G$4,F$1,$A946,$A946),_xll.BDH(config!$G$5,F$1,$A946,$A946))))</f>
        <v/>
      </c>
      <c r="G946" s="8" t="str">
        <f>IF($A946="","",IF(ISNUMBER(FIND("IMPVOL",G$1)),_xll.BDH(config!$G$4,G$1,WORKDAY($A946,-1,config_Holiday_Calendar_US),WORKDAY($A946,-1,config_Holiday_Calendar_US)),IF(ISNUMBER(_xll.BDH(config!$G$4,G$1,$A946,$A946)),_xll.BDH(config!$G$4,G$1,$A946,$A946),_xll.BDH(config!$G$5,G$1,$A946,$A946))))</f>
        <v/>
      </c>
      <c r="H946" s="8" t="str">
        <f>IF($A946="","",IF(ISNUMBER(FIND("IMPVOL",H$1)),_xll.BDH(config!$G$4,H$1,WORKDAY($A946,-1,config_Holiday_Calendar_US),WORKDAY($A946,-1,config_Holiday_Calendar_US)),IF(ISNUMBER(_xll.BDH(config!$G$4,H$1,$A946,$A946)),_xll.BDH(config!$G$4,H$1,$A946,$A946),_xll.BDH(config!$G$5,H$1,$A946,$A946))))</f>
        <v/>
      </c>
      <c r="I946" s="8" t="str">
        <f>IF($A946="","",IF(ISNUMBER(FIND("IMPVOL",I$1)),_xll.BDH(config!$G$4,I$1,WORKDAY($A946,-1,config_Holiday_Calendar_US),WORKDAY($A946,-1,config_Holiday_Calendar_US)),IF(ISNUMBER(_xll.BDH(config!$G$4,I$1,$A946,$A946)),_xll.BDH(config!$G$4,I$1,$A946,$A946),_xll.BDH(config!$G$5,I$1,$A946,$A946))))</f>
        <v/>
      </c>
      <c r="J946" s="8" t="str">
        <f>IF($A946="","",IF(ISNUMBER(FIND("IMPVOL",J$1)),_xll.BDH(config!$G$4,J$1,WORKDAY($A946,-1,config_Holiday_Calendar_US),WORKDAY($A946,-1,config_Holiday_Calendar_US)),IF(ISNUMBER(_xll.BDH(config!$G$4,J$1,$A946,$A946)),_xll.BDH(config!$G$4,J$1,$A946,$A946),_xll.BDH(config!$G$5,J$1,$A946,$A946))))</f>
        <v/>
      </c>
      <c r="K946" s="8" t="str">
        <f>IF($A946="","",IF(ISNUMBER(FIND("IMPVOL",K$1)),_xll.BDH(config!$G$4,K$1,WORKDAY($A946,-1,config_Holiday_Calendar_US),WORKDAY($A946,-1,config_Holiday_Calendar_US)),IF(ISNUMBER(_xll.BDH(config!$G$4,K$1,$A946,$A946)),_xll.BDH(config!$G$4,K$1,$A946,$A946),_xll.BDH(config!$G$5,K$1,$A946,$A946))))</f>
        <v/>
      </c>
      <c r="L946" s="8" t="str">
        <f>IF($A946="","",IF(ISNUMBER(FIND("IMPVOL",L$1)),_xll.BDH(config!$G$4,L$1,WORKDAY($A946,-1,config_Holiday_Calendar_US),WORKDAY($A946,-1,config_Holiday_Calendar_US)),IF(ISNUMBER(_xll.BDH(config!$G$4,L$1,$A946,$A946)),_xll.BDH(config!$G$4,L$1,$A946,$A946),_xll.BDH(config!$G$5,L$1,$A946,$A946))))</f>
        <v/>
      </c>
      <c r="M946" s="8" t="str">
        <f>IF($A946="","",IF(ISNUMBER(FIND("IMPVOL",M$1)),_xll.BDH(config!$G$4,M$1,WORKDAY($A946,-1,config_Holiday_Calendar_US),WORKDAY($A946,-1,config_Holiday_Calendar_US)),IF(ISNUMBER(_xll.BDH(config!$G$4,M$1,$A946,$A946)),_xll.BDH(config!$G$4,M$1,$A946,$A946),_xll.BDH(config!$G$5,M$1,$A946,$A946))))</f>
        <v/>
      </c>
      <c r="N946" s="8" t="str">
        <f>IF($A946="","",IF(ISNUMBER(FIND("IMPVOL",N$1)),_xll.BDH(config!$G$4,N$1,WORKDAY($A946,-1,config_Holiday_Calendar_US),WORKDAY($A946,-1,config_Holiday_Calendar_US)),IF(ISNUMBER(_xll.BDH(config!$G$4,N$1,$A946,$A946)),_xll.BDH(config!$G$4,N$1,$A946,$A946),_xll.BDH(config!$G$5,N$1,$A946,$A946))))</f>
        <v/>
      </c>
      <c r="O946" s="8" t="str">
        <f>IF($A946="","",IF(ISNUMBER(FIND("IMPVOL",O$1)),_xll.BDH(config!$G$4,O$1,WORKDAY($A946,-1,config_Holiday_Calendar_US),WORKDAY($A946,-1,config_Holiday_Calendar_US)),IF(ISNUMBER(_xll.BDH(config!$G$4,O$1,$A946,$A946)),_xll.BDH(config!$G$4,O$1,$A946,$A946),_xll.BDH(config!$G$5,O$1,$A946,$A946))))</f>
        <v/>
      </c>
      <c r="P946" s="8" t="str">
        <f>IF($A946="","",IF(ISNUMBER(FIND("IMPVOL",P$1)),_xll.BDH(config!$G$4,P$1,WORKDAY($A946,-1,config_Holiday_Calendar_US),WORKDAY($A946,-1,config_Holiday_Calendar_US)),IF(ISNUMBER(_xll.BDH(config!$G$4,P$1,$A946,$A946)),_xll.BDH(config!$G$4,P$1,$A946,$A946),_xll.BDH(config!$G$5,P$1,$A946,$A946))))</f>
        <v/>
      </c>
      <c r="Q946" s="8" t="str">
        <f>IF($A946="","",IF(ISNUMBER(FIND("IMPVOL",Q$1)),_xll.BDH(config!$G$4,Q$1,WORKDAY($A946,-1,config_Holiday_Calendar_US),WORKDAY($A946,-1,config_Holiday_Calendar_US)),IF(ISNUMBER(_xll.BDH(config!$G$4,Q$1,$A946,$A946)),_xll.BDH(config!$G$4,Q$1,$A946,$A946),_xll.BDH(config!$G$5,Q$1,$A946,$A946))))</f>
        <v/>
      </c>
      <c r="R946" s="8" t="str">
        <f>IF($A946="","",IF(ISNUMBER(FIND("IMPVOL",R$1)),_xll.BDH(config!$G$4,R$1,WORKDAY($A946,-1,config_Holiday_Calendar_US),WORKDAY($A946,-1,config_Holiday_Calendar_US)),IF(ISNUMBER(_xll.BDH(config!$G$4,R$1,$A946,$A946)),_xll.BDH(config!$G$4,R$1,$A946,$A946),_xll.BDH(config!$G$5,R$1,$A946,$A946))))</f>
        <v/>
      </c>
      <c r="S946" s="8" t="str">
        <f>IF($A946="","",IF(ISNUMBER(FIND("IMPVOL",S$1)),_xll.BDH(config!$G$4,S$1,WORKDAY($A946,-1,config_Holiday_Calendar_US),WORKDAY($A946,-1,config_Holiday_Calendar_US)),IF(ISNUMBER(_xll.BDH(config!$G$4,S$1,$A946,$A946)),_xll.BDH(config!$G$4,S$1,$A946,$A946),_xll.BDH(config!$G$5,S$1,$A946,$A946))))</f>
        <v/>
      </c>
      <c r="T946" s="8" t="str">
        <f>IF($A946="","",IF(ISNUMBER(FIND("IMPVOL",T$1)),_xll.BDH(config!$G$4,T$1,WORKDAY($A946,-1,config_Holiday_Calendar_US),WORKDAY($A946,-1,config_Holiday_Calendar_US)),IF(ISNUMBER(_xll.BDH(config!$G$4,T$1,$A946,$A946)),_xll.BDH(config!$G$4,T$1,$A946,$A946),_xll.BDH(config!$G$5,T$1,$A946,$A946))))</f>
        <v/>
      </c>
      <c r="U946" s="8" t="str">
        <f>IF($A946="","",IF(ISNUMBER(FIND("IMPVOL",U$1)),_xll.BDH(config!$G$4,U$1,WORKDAY($A946,-1,config_Holiday_Calendar_US),WORKDAY($A946,-1,config_Holiday_Calendar_US)),IF(ISNUMBER(_xll.BDH(config!$G$4,U$1,$A946,$A946)),_xll.BDH(config!$G$4,U$1,$A946,$A946),_xll.BDH(config!$G$5,U$1,$A946,$A946))))</f>
        <v/>
      </c>
      <c r="V946" s="8" t="str">
        <f>IF($A946="","",IF(ISNUMBER(FIND("IMPVOL",V$1)),_xll.BDH(config!$G$4,V$1,WORKDAY($A946,-1,config_Holiday_Calendar_US),WORKDAY($A946,-1,config_Holiday_Calendar_US)),IF(ISNUMBER(_xll.BDH(config!$G$4,V$1,$A946,$A946)),_xll.BDH(config!$G$4,V$1,$A946,$A946),_xll.BDH(config!$G$5,V$1,$A946,$A946))))</f>
        <v/>
      </c>
      <c r="W946" s="8" t="str">
        <f>IF($A946="","",IF(ISNUMBER(FIND("IMPVOL",W$1)),_xll.BDH(config!$G$4,W$1,WORKDAY($A946,-1,config_Holiday_Calendar_US),WORKDAY($A946,-1,config_Holiday_Calendar_US)),IF(ISNUMBER(_xll.BDH(config!$G$4,W$1,$A946,$A946)),_xll.BDH(config!$G$4,W$1,$A946,$A946),_xll.BDH(config!$G$5,W$1,$A946,$A946))))</f>
        <v/>
      </c>
    </row>
    <row r="947" spans="1:23" x14ac:dyDescent="0.2">
      <c r="A947" s="9" t="str">
        <f>IF(A946="","",IF(WORKDAY(A946,-1,config_Holiday_Calendar_US)&lt;config!$I$10,"",WORKDAY(A946,-1,config_Holiday_Calendar_US)))</f>
        <v/>
      </c>
      <c r="B947" s="8" t="str">
        <f t="shared" si="14"/>
        <v/>
      </c>
      <c r="C947" s="8" t="str">
        <f>IF(A947="","",_xll.BDH(config!$H$4,C$1,$A947,$A947))</f>
        <v/>
      </c>
      <c r="D947" s="8" t="str">
        <f>IF($A947="","",_xll.BDH(config!$H$4,D$1,$A947,$A947))</f>
        <v/>
      </c>
      <c r="E947" s="8" t="str">
        <f>IF($A947="","",IF(ISNUMBER(FIND("IMPVOL",E$1)),_xll.BDH(config!$G$4,E$1,WORKDAY($A947,-1,config_Holiday_Calendar_US),WORKDAY($A947,-1,config_Holiday_Calendar_US)),IF(ISNUMBER(_xll.BDH(config!$G$4,E$1,$A947,$A947)),_xll.BDH(config!$G$4,E$1,$A947,$A947),_xll.BDH(config!$G$5,E$1,$A947,$A947))))</f>
        <v/>
      </c>
      <c r="F947" s="8" t="str">
        <f>IF($A947="","",IF(ISNUMBER(FIND("IMPVOL",F$1)),_xll.BDH(config!$G$4,F$1,WORKDAY($A947,-1,config_Holiday_Calendar_US),WORKDAY($A947,-1,config_Holiday_Calendar_US)),IF(ISNUMBER(_xll.BDH(config!$G$4,F$1,$A947,$A947)),_xll.BDH(config!$G$4,F$1,$A947,$A947),_xll.BDH(config!$G$5,F$1,$A947,$A947))))</f>
        <v/>
      </c>
      <c r="G947" s="8" t="str">
        <f>IF($A947="","",IF(ISNUMBER(FIND("IMPVOL",G$1)),_xll.BDH(config!$G$4,G$1,WORKDAY($A947,-1,config_Holiday_Calendar_US),WORKDAY($A947,-1,config_Holiday_Calendar_US)),IF(ISNUMBER(_xll.BDH(config!$G$4,G$1,$A947,$A947)),_xll.BDH(config!$G$4,G$1,$A947,$A947),_xll.BDH(config!$G$5,G$1,$A947,$A947))))</f>
        <v/>
      </c>
      <c r="H947" s="8" t="str">
        <f>IF($A947="","",IF(ISNUMBER(FIND("IMPVOL",H$1)),_xll.BDH(config!$G$4,H$1,WORKDAY($A947,-1,config_Holiday_Calendar_US),WORKDAY($A947,-1,config_Holiday_Calendar_US)),IF(ISNUMBER(_xll.BDH(config!$G$4,H$1,$A947,$A947)),_xll.BDH(config!$G$4,H$1,$A947,$A947),_xll.BDH(config!$G$5,H$1,$A947,$A947))))</f>
        <v/>
      </c>
      <c r="I947" s="8" t="str">
        <f>IF($A947="","",IF(ISNUMBER(FIND("IMPVOL",I$1)),_xll.BDH(config!$G$4,I$1,WORKDAY($A947,-1,config_Holiday_Calendar_US),WORKDAY($A947,-1,config_Holiday_Calendar_US)),IF(ISNUMBER(_xll.BDH(config!$G$4,I$1,$A947,$A947)),_xll.BDH(config!$G$4,I$1,$A947,$A947),_xll.BDH(config!$G$5,I$1,$A947,$A947))))</f>
        <v/>
      </c>
      <c r="J947" s="8" t="str">
        <f>IF($A947="","",IF(ISNUMBER(FIND("IMPVOL",J$1)),_xll.BDH(config!$G$4,J$1,WORKDAY($A947,-1,config_Holiday_Calendar_US),WORKDAY($A947,-1,config_Holiday_Calendar_US)),IF(ISNUMBER(_xll.BDH(config!$G$4,J$1,$A947,$A947)),_xll.BDH(config!$G$4,J$1,$A947,$A947),_xll.BDH(config!$G$5,J$1,$A947,$A947))))</f>
        <v/>
      </c>
      <c r="K947" s="8" t="str">
        <f>IF($A947="","",IF(ISNUMBER(FIND("IMPVOL",K$1)),_xll.BDH(config!$G$4,K$1,WORKDAY($A947,-1,config_Holiday_Calendar_US),WORKDAY($A947,-1,config_Holiday_Calendar_US)),IF(ISNUMBER(_xll.BDH(config!$G$4,K$1,$A947,$A947)),_xll.BDH(config!$G$4,K$1,$A947,$A947),_xll.BDH(config!$G$5,K$1,$A947,$A947))))</f>
        <v/>
      </c>
      <c r="L947" s="8" t="str">
        <f>IF($A947="","",IF(ISNUMBER(FIND("IMPVOL",L$1)),_xll.BDH(config!$G$4,L$1,WORKDAY($A947,-1,config_Holiday_Calendar_US),WORKDAY($A947,-1,config_Holiday_Calendar_US)),IF(ISNUMBER(_xll.BDH(config!$G$4,L$1,$A947,$A947)),_xll.BDH(config!$G$4,L$1,$A947,$A947),_xll.BDH(config!$G$5,L$1,$A947,$A947))))</f>
        <v/>
      </c>
      <c r="M947" s="8" t="str">
        <f>IF($A947="","",IF(ISNUMBER(FIND("IMPVOL",M$1)),_xll.BDH(config!$G$4,M$1,WORKDAY($A947,-1,config_Holiday_Calendar_US),WORKDAY($A947,-1,config_Holiday_Calendar_US)),IF(ISNUMBER(_xll.BDH(config!$G$4,M$1,$A947,$A947)),_xll.BDH(config!$G$4,M$1,$A947,$A947),_xll.BDH(config!$G$5,M$1,$A947,$A947))))</f>
        <v/>
      </c>
      <c r="N947" s="8" t="str">
        <f>IF($A947="","",IF(ISNUMBER(FIND("IMPVOL",N$1)),_xll.BDH(config!$G$4,N$1,WORKDAY($A947,-1,config_Holiday_Calendar_US),WORKDAY($A947,-1,config_Holiday_Calendar_US)),IF(ISNUMBER(_xll.BDH(config!$G$4,N$1,$A947,$A947)),_xll.BDH(config!$G$4,N$1,$A947,$A947),_xll.BDH(config!$G$5,N$1,$A947,$A947))))</f>
        <v/>
      </c>
      <c r="O947" s="8" t="str">
        <f>IF($A947="","",IF(ISNUMBER(FIND("IMPVOL",O$1)),_xll.BDH(config!$G$4,O$1,WORKDAY($A947,-1,config_Holiday_Calendar_US),WORKDAY($A947,-1,config_Holiday_Calendar_US)),IF(ISNUMBER(_xll.BDH(config!$G$4,O$1,$A947,$A947)),_xll.BDH(config!$G$4,O$1,$A947,$A947),_xll.BDH(config!$G$5,O$1,$A947,$A947))))</f>
        <v/>
      </c>
      <c r="P947" s="8" t="str">
        <f>IF($A947="","",IF(ISNUMBER(FIND("IMPVOL",P$1)),_xll.BDH(config!$G$4,P$1,WORKDAY($A947,-1,config_Holiday_Calendar_US),WORKDAY($A947,-1,config_Holiday_Calendar_US)),IF(ISNUMBER(_xll.BDH(config!$G$4,P$1,$A947,$A947)),_xll.BDH(config!$G$4,P$1,$A947,$A947),_xll.BDH(config!$G$5,P$1,$A947,$A947))))</f>
        <v/>
      </c>
      <c r="Q947" s="8" t="str">
        <f>IF($A947="","",IF(ISNUMBER(FIND("IMPVOL",Q$1)),_xll.BDH(config!$G$4,Q$1,WORKDAY($A947,-1,config_Holiday_Calendar_US),WORKDAY($A947,-1,config_Holiday_Calendar_US)),IF(ISNUMBER(_xll.BDH(config!$G$4,Q$1,$A947,$A947)),_xll.BDH(config!$G$4,Q$1,$A947,$A947),_xll.BDH(config!$G$5,Q$1,$A947,$A947))))</f>
        <v/>
      </c>
      <c r="R947" s="8" t="str">
        <f>IF($A947="","",IF(ISNUMBER(FIND("IMPVOL",R$1)),_xll.BDH(config!$G$4,R$1,WORKDAY($A947,-1,config_Holiday_Calendar_US),WORKDAY($A947,-1,config_Holiday_Calendar_US)),IF(ISNUMBER(_xll.BDH(config!$G$4,R$1,$A947,$A947)),_xll.BDH(config!$G$4,R$1,$A947,$A947),_xll.BDH(config!$G$5,R$1,$A947,$A947))))</f>
        <v/>
      </c>
      <c r="S947" s="8" t="str">
        <f>IF($A947="","",IF(ISNUMBER(FIND("IMPVOL",S$1)),_xll.BDH(config!$G$4,S$1,WORKDAY($A947,-1,config_Holiday_Calendar_US),WORKDAY($A947,-1,config_Holiday_Calendar_US)),IF(ISNUMBER(_xll.BDH(config!$G$4,S$1,$A947,$A947)),_xll.BDH(config!$G$4,S$1,$A947,$A947),_xll.BDH(config!$G$5,S$1,$A947,$A947))))</f>
        <v/>
      </c>
      <c r="T947" s="8" t="str">
        <f>IF($A947="","",IF(ISNUMBER(FIND("IMPVOL",T$1)),_xll.BDH(config!$G$4,T$1,WORKDAY($A947,-1,config_Holiday_Calendar_US),WORKDAY($A947,-1,config_Holiday_Calendar_US)),IF(ISNUMBER(_xll.BDH(config!$G$4,T$1,$A947,$A947)),_xll.BDH(config!$G$4,T$1,$A947,$A947),_xll.BDH(config!$G$5,T$1,$A947,$A947))))</f>
        <v/>
      </c>
      <c r="U947" s="8" t="str">
        <f>IF($A947="","",IF(ISNUMBER(FIND("IMPVOL",U$1)),_xll.BDH(config!$G$4,U$1,WORKDAY($A947,-1,config_Holiday_Calendar_US),WORKDAY($A947,-1,config_Holiday_Calendar_US)),IF(ISNUMBER(_xll.BDH(config!$G$4,U$1,$A947,$A947)),_xll.BDH(config!$G$4,U$1,$A947,$A947),_xll.BDH(config!$G$5,U$1,$A947,$A947))))</f>
        <v/>
      </c>
      <c r="V947" s="8" t="str">
        <f>IF($A947="","",IF(ISNUMBER(FIND("IMPVOL",V$1)),_xll.BDH(config!$G$4,V$1,WORKDAY($A947,-1,config_Holiday_Calendar_US),WORKDAY($A947,-1,config_Holiday_Calendar_US)),IF(ISNUMBER(_xll.BDH(config!$G$4,V$1,$A947,$A947)),_xll.BDH(config!$G$4,V$1,$A947,$A947),_xll.BDH(config!$G$5,V$1,$A947,$A947))))</f>
        <v/>
      </c>
      <c r="W947" s="8" t="str">
        <f>IF($A947="","",IF(ISNUMBER(FIND("IMPVOL",W$1)),_xll.BDH(config!$G$4,W$1,WORKDAY($A947,-1,config_Holiday_Calendar_US),WORKDAY($A947,-1,config_Holiday_Calendar_US)),IF(ISNUMBER(_xll.BDH(config!$G$4,W$1,$A947,$A947)),_xll.BDH(config!$G$4,W$1,$A947,$A947),_xll.BDH(config!$G$5,W$1,$A947,$A947))))</f>
        <v/>
      </c>
    </row>
    <row r="948" spans="1:23" x14ac:dyDescent="0.2">
      <c r="A948" s="9" t="str">
        <f>IF(A947="","",IF(WORKDAY(A947,-1,config_Holiday_Calendar_US)&lt;config!$I$10,"",WORKDAY(A947,-1,config_Holiday_Calendar_US)))</f>
        <v/>
      </c>
      <c r="B948" s="8" t="str">
        <f t="shared" si="14"/>
        <v/>
      </c>
      <c r="C948" s="8" t="str">
        <f>IF(A948="","",_xll.BDH(config!$H$4,C$1,$A948,$A948))</f>
        <v/>
      </c>
      <c r="D948" s="8" t="str">
        <f>IF($A948="","",_xll.BDH(config!$H$4,D$1,$A948,$A948))</f>
        <v/>
      </c>
      <c r="E948" s="8" t="str">
        <f>IF($A948="","",IF(ISNUMBER(FIND("IMPVOL",E$1)),_xll.BDH(config!$G$4,E$1,WORKDAY($A948,-1,config_Holiday_Calendar_US),WORKDAY($A948,-1,config_Holiday_Calendar_US)),IF(ISNUMBER(_xll.BDH(config!$G$4,E$1,$A948,$A948)),_xll.BDH(config!$G$4,E$1,$A948,$A948),_xll.BDH(config!$G$5,E$1,$A948,$A948))))</f>
        <v/>
      </c>
      <c r="F948" s="8" t="str">
        <f>IF($A948="","",IF(ISNUMBER(FIND("IMPVOL",F$1)),_xll.BDH(config!$G$4,F$1,WORKDAY($A948,-1,config_Holiday_Calendar_US),WORKDAY($A948,-1,config_Holiday_Calendar_US)),IF(ISNUMBER(_xll.BDH(config!$G$4,F$1,$A948,$A948)),_xll.BDH(config!$G$4,F$1,$A948,$A948),_xll.BDH(config!$G$5,F$1,$A948,$A948))))</f>
        <v/>
      </c>
      <c r="G948" s="8" t="str">
        <f>IF($A948="","",IF(ISNUMBER(FIND("IMPVOL",G$1)),_xll.BDH(config!$G$4,G$1,WORKDAY($A948,-1,config_Holiday_Calendar_US),WORKDAY($A948,-1,config_Holiday_Calendar_US)),IF(ISNUMBER(_xll.BDH(config!$G$4,G$1,$A948,$A948)),_xll.BDH(config!$G$4,G$1,$A948,$A948),_xll.BDH(config!$G$5,G$1,$A948,$A948))))</f>
        <v/>
      </c>
      <c r="H948" s="8" t="str">
        <f>IF($A948="","",IF(ISNUMBER(FIND("IMPVOL",H$1)),_xll.BDH(config!$G$4,H$1,WORKDAY($A948,-1,config_Holiday_Calendar_US),WORKDAY($A948,-1,config_Holiday_Calendar_US)),IF(ISNUMBER(_xll.BDH(config!$G$4,H$1,$A948,$A948)),_xll.BDH(config!$G$4,H$1,$A948,$A948),_xll.BDH(config!$G$5,H$1,$A948,$A948))))</f>
        <v/>
      </c>
      <c r="I948" s="8" t="str">
        <f>IF($A948="","",IF(ISNUMBER(FIND("IMPVOL",I$1)),_xll.BDH(config!$G$4,I$1,WORKDAY($A948,-1,config_Holiday_Calendar_US),WORKDAY($A948,-1,config_Holiday_Calendar_US)),IF(ISNUMBER(_xll.BDH(config!$G$4,I$1,$A948,$A948)),_xll.BDH(config!$G$4,I$1,$A948,$A948),_xll.BDH(config!$G$5,I$1,$A948,$A948))))</f>
        <v/>
      </c>
      <c r="J948" s="8" t="str">
        <f>IF($A948="","",IF(ISNUMBER(FIND("IMPVOL",J$1)),_xll.BDH(config!$G$4,J$1,WORKDAY($A948,-1,config_Holiday_Calendar_US),WORKDAY($A948,-1,config_Holiday_Calendar_US)),IF(ISNUMBER(_xll.BDH(config!$G$4,J$1,$A948,$A948)),_xll.BDH(config!$G$4,J$1,$A948,$A948),_xll.BDH(config!$G$5,J$1,$A948,$A948))))</f>
        <v/>
      </c>
      <c r="K948" s="8" t="str">
        <f>IF($A948="","",IF(ISNUMBER(FIND("IMPVOL",K$1)),_xll.BDH(config!$G$4,K$1,WORKDAY($A948,-1,config_Holiday_Calendar_US),WORKDAY($A948,-1,config_Holiday_Calendar_US)),IF(ISNUMBER(_xll.BDH(config!$G$4,K$1,$A948,$A948)),_xll.BDH(config!$G$4,K$1,$A948,$A948),_xll.BDH(config!$G$5,K$1,$A948,$A948))))</f>
        <v/>
      </c>
      <c r="L948" s="8" t="str">
        <f>IF($A948="","",IF(ISNUMBER(FIND("IMPVOL",L$1)),_xll.BDH(config!$G$4,L$1,WORKDAY($A948,-1,config_Holiday_Calendar_US),WORKDAY($A948,-1,config_Holiday_Calendar_US)),IF(ISNUMBER(_xll.BDH(config!$G$4,L$1,$A948,$A948)),_xll.BDH(config!$G$4,L$1,$A948,$A948),_xll.BDH(config!$G$5,L$1,$A948,$A948))))</f>
        <v/>
      </c>
      <c r="M948" s="8" t="str">
        <f>IF($A948="","",IF(ISNUMBER(FIND("IMPVOL",M$1)),_xll.BDH(config!$G$4,M$1,WORKDAY($A948,-1,config_Holiday_Calendar_US),WORKDAY($A948,-1,config_Holiday_Calendar_US)),IF(ISNUMBER(_xll.BDH(config!$G$4,M$1,$A948,$A948)),_xll.BDH(config!$G$4,M$1,$A948,$A948),_xll.BDH(config!$G$5,M$1,$A948,$A948))))</f>
        <v/>
      </c>
      <c r="N948" s="8" t="str">
        <f>IF($A948="","",IF(ISNUMBER(FIND("IMPVOL",N$1)),_xll.BDH(config!$G$4,N$1,WORKDAY($A948,-1,config_Holiday_Calendar_US),WORKDAY($A948,-1,config_Holiday_Calendar_US)),IF(ISNUMBER(_xll.BDH(config!$G$4,N$1,$A948,$A948)),_xll.BDH(config!$G$4,N$1,$A948,$A948),_xll.BDH(config!$G$5,N$1,$A948,$A948))))</f>
        <v/>
      </c>
      <c r="O948" s="8" t="str">
        <f>IF($A948="","",IF(ISNUMBER(FIND("IMPVOL",O$1)),_xll.BDH(config!$G$4,O$1,WORKDAY($A948,-1,config_Holiday_Calendar_US),WORKDAY($A948,-1,config_Holiday_Calendar_US)),IF(ISNUMBER(_xll.BDH(config!$G$4,O$1,$A948,$A948)),_xll.BDH(config!$G$4,O$1,$A948,$A948),_xll.BDH(config!$G$5,O$1,$A948,$A948))))</f>
        <v/>
      </c>
      <c r="P948" s="8" t="str">
        <f>IF($A948="","",IF(ISNUMBER(FIND("IMPVOL",P$1)),_xll.BDH(config!$G$4,P$1,WORKDAY($A948,-1,config_Holiday_Calendar_US),WORKDAY($A948,-1,config_Holiday_Calendar_US)),IF(ISNUMBER(_xll.BDH(config!$G$4,P$1,$A948,$A948)),_xll.BDH(config!$G$4,P$1,$A948,$A948),_xll.BDH(config!$G$5,P$1,$A948,$A948))))</f>
        <v/>
      </c>
      <c r="Q948" s="8" t="str">
        <f>IF($A948="","",IF(ISNUMBER(FIND("IMPVOL",Q$1)),_xll.BDH(config!$G$4,Q$1,WORKDAY($A948,-1,config_Holiday_Calendar_US),WORKDAY($A948,-1,config_Holiday_Calendar_US)),IF(ISNUMBER(_xll.BDH(config!$G$4,Q$1,$A948,$A948)),_xll.BDH(config!$G$4,Q$1,$A948,$A948),_xll.BDH(config!$G$5,Q$1,$A948,$A948))))</f>
        <v/>
      </c>
      <c r="R948" s="8" t="str">
        <f>IF($A948="","",IF(ISNUMBER(FIND("IMPVOL",R$1)),_xll.BDH(config!$G$4,R$1,WORKDAY($A948,-1,config_Holiday_Calendar_US),WORKDAY($A948,-1,config_Holiday_Calendar_US)),IF(ISNUMBER(_xll.BDH(config!$G$4,R$1,$A948,$A948)),_xll.BDH(config!$G$4,R$1,$A948,$A948),_xll.BDH(config!$G$5,R$1,$A948,$A948))))</f>
        <v/>
      </c>
      <c r="S948" s="8" t="str">
        <f>IF($A948="","",IF(ISNUMBER(FIND("IMPVOL",S$1)),_xll.BDH(config!$G$4,S$1,WORKDAY($A948,-1,config_Holiday_Calendar_US),WORKDAY($A948,-1,config_Holiday_Calendar_US)),IF(ISNUMBER(_xll.BDH(config!$G$4,S$1,$A948,$A948)),_xll.BDH(config!$G$4,S$1,$A948,$A948),_xll.BDH(config!$G$5,S$1,$A948,$A948))))</f>
        <v/>
      </c>
      <c r="T948" s="8" t="str">
        <f>IF($A948="","",IF(ISNUMBER(FIND("IMPVOL",T$1)),_xll.BDH(config!$G$4,T$1,WORKDAY($A948,-1,config_Holiday_Calendar_US),WORKDAY($A948,-1,config_Holiday_Calendar_US)),IF(ISNUMBER(_xll.BDH(config!$G$4,T$1,$A948,$A948)),_xll.BDH(config!$G$4,T$1,$A948,$A948),_xll.BDH(config!$G$5,T$1,$A948,$A948))))</f>
        <v/>
      </c>
      <c r="U948" s="8" t="str">
        <f>IF($A948="","",IF(ISNUMBER(FIND("IMPVOL",U$1)),_xll.BDH(config!$G$4,U$1,WORKDAY($A948,-1,config_Holiday_Calendar_US),WORKDAY($A948,-1,config_Holiday_Calendar_US)),IF(ISNUMBER(_xll.BDH(config!$G$4,U$1,$A948,$A948)),_xll.BDH(config!$G$4,U$1,$A948,$A948),_xll.BDH(config!$G$5,U$1,$A948,$A948))))</f>
        <v/>
      </c>
      <c r="V948" s="8" t="str">
        <f>IF($A948="","",IF(ISNUMBER(FIND("IMPVOL",V$1)),_xll.BDH(config!$G$4,V$1,WORKDAY($A948,-1,config_Holiday_Calendar_US),WORKDAY($A948,-1,config_Holiday_Calendar_US)),IF(ISNUMBER(_xll.BDH(config!$G$4,V$1,$A948,$A948)),_xll.BDH(config!$G$4,V$1,$A948,$A948),_xll.BDH(config!$G$5,V$1,$A948,$A948))))</f>
        <v/>
      </c>
      <c r="W948" s="8" t="str">
        <f>IF($A948="","",IF(ISNUMBER(FIND("IMPVOL",W$1)),_xll.BDH(config!$G$4,W$1,WORKDAY($A948,-1,config_Holiday_Calendar_US),WORKDAY($A948,-1,config_Holiday_Calendar_US)),IF(ISNUMBER(_xll.BDH(config!$G$4,W$1,$A948,$A948)),_xll.BDH(config!$G$4,W$1,$A948,$A948),_xll.BDH(config!$G$5,W$1,$A948,$A948))))</f>
        <v/>
      </c>
    </row>
    <row r="949" spans="1:23" x14ac:dyDescent="0.2">
      <c r="A949" s="9" t="str">
        <f>IF(A948="","",IF(WORKDAY(A948,-1,config_Holiday_Calendar_US)&lt;config!$I$10,"",WORKDAY(A948,-1,config_Holiday_Calendar_US)))</f>
        <v/>
      </c>
      <c r="B949" s="8" t="str">
        <f t="shared" si="14"/>
        <v/>
      </c>
      <c r="C949" s="8" t="str">
        <f>IF(A949="","",_xll.BDH(config!$H$4,C$1,$A949,$A949))</f>
        <v/>
      </c>
      <c r="D949" s="8" t="str">
        <f>IF($A949="","",_xll.BDH(config!$H$4,D$1,$A949,$A949))</f>
        <v/>
      </c>
      <c r="E949" s="8" t="str">
        <f>IF($A949="","",IF(ISNUMBER(FIND("IMPVOL",E$1)),_xll.BDH(config!$G$4,E$1,WORKDAY($A949,-1,config_Holiday_Calendar_US),WORKDAY($A949,-1,config_Holiday_Calendar_US)),IF(ISNUMBER(_xll.BDH(config!$G$4,E$1,$A949,$A949)),_xll.BDH(config!$G$4,E$1,$A949,$A949),_xll.BDH(config!$G$5,E$1,$A949,$A949))))</f>
        <v/>
      </c>
      <c r="F949" s="8" t="str">
        <f>IF($A949="","",IF(ISNUMBER(FIND("IMPVOL",F$1)),_xll.BDH(config!$G$4,F$1,WORKDAY($A949,-1,config_Holiday_Calendar_US),WORKDAY($A949,-1,config_Holiday_Calendar_US)),IF(ISNUMBER(_xll.BDH(config!$G$4,F$1,$A949,$A949)),_xll.BDH(config!$G$4,F$1,$A949,$A949),_xll.BDH(config!$G$5,F$1,$A949,$A949))))</f>
        <v/>
      </c>
      <c r="G949" s="8" t="str">
        <f>IF($A949="","",IF(ISNUMBER(FIND("IMPVOL",G$1)),_xll.BDH(config!$G$4,G$1,WORKDAY($A949,-1,config_Holiday_Calendar_US),WORKDAY($A949,-1,config_Holiday_Calendar_US)),IF(ISNUMBER(_xll.BDH(config!$G$4,G$1,$A949,$A949)),_xll.BDH(config!$G$4,G$1,$A949,$A949),_xll.BDH(config!$G$5,G$1,$A949,$A949))))</f>
        <v/>
      </c>
      <c r="H949" s="8" t="str">
        <f>IF($A949="","",IF(ISNUMBER(FIND("IMPVOL",H$1)),_xll.BDH(config!$G$4,H$1,WORKDAY($A949,-1,config_Holiday_Calendar_US),WORKDAY($A949,-1,config_Holiday_Calendar_US)),IF(ISNUMBER(_xll.BDH(config!$G$4,H$1,$A949,$A949)),_xll.BDH(config!$G$4,H$1,$A949,$A949),_xll.BDH(config!$G$5,H$1,$A949,$A949))))</f>
        <v/>
      </c>
      <c r="I949" s="8" t="str">
        <f>IF($A949="","",IF(ISNUMBER(FIND("IMPVOL",I$1)),_xll.BDH(config!$G$4,I$1,WORKDAY($A949,-1,config_Holiday_Calendar_US),WORKDAY($A949,-1,config_Holiday_Calendar_US)),IF(ISNUMBER(_xll.BDH(config!$G$4,I$1,$A949,$A949)),_xll.BDH(config!$G$4,I$1,$A949,$A949),_xll.BDH(config!$G$5,I$1,$A949,$A949))))</f>
        <v/>
      </c>
      <c r="J949" s="8" t="str">
        <f>IF($A949="","",IF(ISNUMBER(FIND("IMPVOL",J$1)),_xll.BDH(config!$G$4,J$1,WORKDAY($A949,-1,config_Holiday_Calendar_US),WORKDAY($A949,-1,config_Holiday_Calendar_US)),IF(ISNUMBER(_xll.BDH(config!$G$4,J$1,$A949,$A949)),_xll.BDH(config!$G$4,J$1,$A949,$A949),_xll.BDH(config!$G$5,J$1,$A949,$A949))))</f>
        <v/>
      </c>
      <c r="K949" s="8" t="str">
        <f>IF($A949="","",IF(ISNUMBER(FIND("IMPVOL",K$1)),_xll.BDH(config!$G$4,K$1,WORKDAY($A949,-1,config_Holiday_Calendar_US),WORKDAY($A949,-1,config_Holiday_Calendar_US)),IF(ISNUMBER(_xll.BDH(config!$G$4,K$1,$A949,$A949)),_xll.BDH(config!$G$4,K$1,$A949,$A949),_xll.BDH(config!$G$5,K$1,$A949,$A949))))</f>
        <v/>
      </c>
      <c r="L949" s="8" t="str">
        <f>IF($A949="","",IF(ISNUMBER(FIND("IMPVOL",L$1)),_xll.BDH(config!$G$4,L$1,WORKDAY($A949,-1,config_Holiday_Calendar_US),WORKDAY($A949,-1,config_Holiday_Calendar_US)),IF(ISNUMBER(_xll.BDH(config!$G$4,L$1,$A949,$A949)),_xll.BDH(config!$G$4,L$1,$A949,$A949),_xll.BDH(config!$G$5,L$1,$A949,$A949))))</f>
        <v/>
      </c>
      <c r="M949" s="8" t="str">
        <f>IF($A949="","",IF(ISNUMBER(FIND("IMPVOL",M$1)),_xll.BDH(config!$G$4,M$1,WORKDAY($A949,-1,config_Holiday_Calendar_US),WORKDAY($A949,-1,config_Holiday_Calendar_US)),IF(ISNUMBER(_xll.BDH(config!$G$4,M$1,$A949,$A949)),_xll.BDH(config!$G$4,M$1,$A949,$A949),_xll.BDH(config!$G$5,M$1,$A949,$A949))))</f>
        <v/>
      </c>
      <c r="N949" s="8" t="str">
        <f>IF($A949="","",IF(ISNUMBER(FIND("IMPVOL",N$1)),_xll.BDH(config!$G$4,N$1,WORKDAY($A949,-1,config_Holiday_Calendar_US),WORKDAY($A949,-1,config_Holiday_Calendar_US)),IF(ISNUMBER(_xll.BDH(config!$G$4,N$1,$A949,$A949)),_xll.BDH(config!$G$4,N$1,$A949,$A949),_xll.BDH(config!$G$5,N$1,$A949,$A949))))</f>
        <v/>
      </c>
      <c r="O949" s="8" t="str">
        <f>IF($A949="","",IF(ISNUMBER(FIND("IMPVOL",O$1)),_xll.BDH(config!$G$4,O$1,WORKDAY($A949,-1,config_Holiday_Calendar_US),WORKDAY($A949,-1,config_Holiday_Calendar_US)),IF(ISNUMBER(_xll.BDH(config!$G$4,O$1,$A949,$A949)),_xll.BDH(config!$G$4,O$1,$A949,$A949),_xll.BDH(config!$G$5,O$1,$A949,$A949))))</f>
        <v/>
      </c>
      <c r="P949" s="8" t="str">
        <f>IF($A949="","",IF(ISNUMBER(FIND("IMPVOL",P$1)),_xll.BDH(config!$G$4,P$1,WORKDAY($A949,-1,config_Holiday_Calendar_US),WORKDAY($A949,-1,config_Holiday_Calendar_US)),IF(ISNUMBER(_xll.BDH(config!$G$4,P$1,$A949,$A949)),_xll.BDH(config!$G$4,P$1,$A949,$A949),_xll.BDH(config!$G$5,P$1,$A949,$A949))))</f>
        <v/>
      </c>
      <c r="Q949" s="8" t="str">
        <f>IF($A949="","",IF(ISNUMBER(FIND("IMPVOL",Q$1)),_xll.BDH(config!$G$4,Q$1,WORKDAY($A949,-1,config_Holiday_Calendar_US),WORKDAY($A949,-1,config_Holiday_Calendar_US)),IF(ISNUMBER(_xll.BDH(config!$G$4,Q$1,$A949,$A949)),_xll.BDH(config!$G$4,Q$1,$A949,$A949),_xll.BDH(config!$G$5,Q$1,$A949,$A949))))</f>
        <v/>
      </c>
      <c r="R949" s="8" t="str">
        <f>IF($A949="","",IF(ISNUMBER(FIND("IMPVOL",R$1)),_xll.BDH(config!$G$4,R$1,WORKDAY($A949,-1,config_Holiday_Calendar_US),WORKDAY($A949,-1,config_Holiday_Calendar_US)),IF(ISNUMBER(_xll.BDH(config!$G$4,R$1,$A949,$A949)),_xll.BDH(config!$G$4,R$1,$A949,$A949),_xll.BDH(config!$G$5,R$1,$A949,$A949))))</f>
        <v/>
      </c>
      <c r="S949" s="8" t="str">
        <f>IF($A949="","",IF(ISNUMBER(FIND("IMPVOL",S$1)),_xll.BDH(config!$G$4,S$1,WORKDAY($A949,-1,config_Holiday_Calendar_US),WORKDAY($A949,-1,config_Holiday_Calendar_US)),IF(ISNUMBER(_xll.BDH(config!$G$4,S$1,$A949,$A949)),_xll.BDH(config!$G$4,S$1,$A949,$A949),_xll.BDH(config!$G$5,S$1,$A949,$A949))))</f>
        <v/>
      </c>
      <c r="T949" s="8" t="str">
        <f>IF($A949="","",IF(ISNUMBER(FIND("IMPVOL",T$1)),_xll.BDH(config!$G$4,T$1,WORKDAY($A949,-1,config_Holiday_Calendar_US),WORKDAY($A949,-1,config_Holiday_Calendar_US)),IF(ISNUMBER(_xll.BDH(config!$G$4,T$1,$A949,$A949)),_xll.BDH(config!$G$4,T$1,$A949,$A949),_xll.BDH(config!$G$5,T$1,$A949,$A949))))</f>
        <v/>
      </c>
      <c r="U949" s="8" t="str">
        <f>IF($A949="","",IF(ISNUMBER(FIND("IMPVOL",U$1)),_xll.BDH(config!$G$4,U$1,WORKDAY($A949,-1,config_Holiday_Calendar_US),WORKDAY($A949,-1,config_Holiday_Calendar_US)),IF(ISNUMBER(_xll.BDH(config!$G$4,U$1,$A949,$A949)),_xll.BDH(config!$G$4,U$1,$A949,$A949),_xll.BDH(config!$G$5,U$1,$A949,$A949))))</f>
        <v/>
      </c>
      <c r="V949" s="8" t="str">
        <f>IF($A949="","",IF(ISNUMBER(FIND("IMPVOL",V$1)),_xll.BDH(config!$G$4,V$1,WORKDAY($A949,-1,config_Holiday_Calendar_US),WORKDAY($A949,-1,config_Holiday_Calendar_US)),IF(ISNUMBER(_xll.BDH(config!$G$4,V$1,$A949,$A949)),_xll.BDH(config!$G$4,V$1,$A949,$A949),_xll.BDH(config!$G$5,V$1,$A949,$A949))))</f>
        <v/>
      </c>
      <c r="W949" s="8" t="str">
        <f>IF($A949="","",IF(ISNUMBER(FIND("IMPVOL",W$1)),_xll.BDH(config!$G$4,W$1,WORKDAY($A949,-1,config_Holiday_Calendar_US),WORKDAY($A949,-1,config_Holiday_Calendar_US)),IF(ISNUMBER(_xll.BDH(config!$G$4,W$1,$A949,$A949)),_xll.BDH(config!$G$4,W$1,$A949,$A949),_xll.BDH(config!$G$5,W$1,$A949,$A949))))</f>
        <v/>
      </c>
    </row>
    <row r="950" spans="1:23" x14ac:dyDescent="0.2">
      <c r="A950" s="9" t="str">
        <f>IF(A949="","",IF(WORKDAY(A949,-1,config_Holiday_Calendar_US)&lt;config!$I$10,"",WORKDAY(A949,-1,config_Holiday_Calendar_US)))</f>
        <v/>
      </c>
      <c r="B950" s="8" t="str">
        <f t="shared" si="14"/>
        <v/>
      </c>
      <c r="C950" s="8" t="str">
        <f>IF(A950="","",_xll.BDH(config!$H$4,C$1,$A950,$A950))</f>
        <v/>
      </c>
      <c r="D950" s="8" t="str">
        <f>IF($A950="","",_xll.BDH(config!$H$4,D$1,$A950,$A950))</f>
        <v/>
      </c>
      <c r="E950" s="8" t="str">
        <f>IF($A950="","",IF(ISNUMBER(FIND("IMPVOL",E$1)),_xll.BDH(config!$G$4,E$1,WORKDAY($A950,-1,config_Holiday_Calendar_US),WORKDAY($A950,-1,config_Holiday_Calendar_US)),IF(ISNUMBER(_xll.BDH(config!$G$4,E$1,$A950,$A950)),_xll.BDH(config!$G$4,E$1,$A950,$A950),_xll.BDH(config!$G$5,E$1,$A950,$A950))))</f>
        <v/>
      </c>
      <c r="F950" s="8" t="str">
        <f>IF($A950="","",IF(ISNUMBER(FIND("IMPVOL",F$1)),_xll.BDH(config!$G$4,F$1,WORKDAY($A950,-1,config_Holiday_Calendar_US),WORKDAY($A950,-1,config_Holiday_Calendar_US)),IF(ISNUMBER(_xll.BDH(config!$G$4,F$1,$A950,$A950)),_xll.BDH(config!$G$4,F$1,$A950,$A950),_xll.BDH(config!$G$5,F$1,$A950,$A950))))</f>
        <v/>
      </c>
      <c r="G950" s="8" t="str">
        <f>IF($A950="","",IF(ISNUMBER(FIND("IMPVOL",G$1)),_xll.BDH(config!$G$4,G$1,WORKDAY($A950,-1,config_Holiday_Calendar_US),WORKDAY($A950,-1,config_Holiday_Calendar_US)),IF(ISNUMBER(_xll.BDH(config!$G$4,G$1,$A950,$A950)),_xll.BDH(config!$G$4,G$1,$A950,$A950),_xll.BDH(config!$G$5,G$1,$A950,$A950))))</f>
        <v/>
      </c>
      <c r="H950" s="8" t="str">
        <f>IF($A950="","",IF(ISNUMBER(FIND("IMPVOL",H$1)),_xll.BDH(config!$G$4,H$1,WORKDAY($A950,-1,config_Holiday_Calendar_US),WORKDAY($A950,-1,config_Holiday_Calendar_US)),IF(ISNUMBER(_xll.BDH(config!$G$4,H$1,$A950,$A950)),_xll.BDH(config!$G$4,H$1,$A950,$A950),_xll.BDH(config!$G$5,H$1,$A950,$A950))))</f>
        <v/>
      </c>
      <c r="I950" s="8" t="str">
        <f>IF($A950="","",IF(ISNUMBER(FIND("IMPVOL",I$1)),_xll.BDH(config!$G$4,I$1,WORKDAY($A950,-1,config_Holiday_Calendar_US),WORKDAY($A950,-1,config_Holiday_Calendar_US)),IF(ISNUMBER(_xll.BDH(config!$G$4,I$1,$A950,$A950)),_xll.BDH(config!$G$4,I$1,$A950,$A950),_xll.BDH(config!$G$5,I$1,$A950,$A950))))</f>
        <v/>
      </c>
      <c r="J950" s="8" t="str">
        <f>IF($A950="","",IF(ISNUMBER(FIND("IMPVOL",J$1)),_xll.BDH(config!$G$4,J$1,WORKDAY($A950,-1,config_Holiday_Calendar_US),WORKDAY($A950,-1,config_Holiday_Calendar_US)),IF(ISNUMBER(_xll.BDH(config!$G$4,J$1,$A950,$A950)),_xll.BDH(config!$G$4,J$1,$A950,$A950),_xll.BDH(config!$G$5,J$1,$A950,$A950))))</f>
        <v/>
      </c>
      <c r="K950" s="8" t="str">
        <f>IF($A950="","",IF(ISNUMBER(FIND("IMPVOL",K$1)),_xll.BDH(config!$G$4,K$1,WORKDAY($A950,-1,config_Holiday_Calendar_US),WORKDAY($A950,-1,config_Holiday_Calendar_US)),IF(ISNUMBER(_xll.BDH(config!$G$4,K$1,$A950,$A950)),_xll.BDH(config!$G$4,K$1,$A950,$A950),_xll.BDH(config!$G$5,K$1,$A950,$A950))))</f>
        <v/>
      </c>
      <c r="L950" s="8" t="str">
        <f>IF($A950="","",IF(ISNUMBER(FIND("IMPVOL",L$1)),_xll.BDH(config!$G$4,L$1,WORKDAY($A950,-1,config_Holiday_Calendar_US),WORKDAY($A950,-1,config_Holiday_Calendar_US)),IF(ISNUMBER(_xll.BDH(config!$G$4,L$1,$A950,$A950)),_xll.BDH(config!$G$4,L$1,$A950,$A950),_xll.BDH(config!$G$5,L$1,$A950,$A950))))</f>
        <v/>
      </c>
      <c r="M950" s="8" t="str">
        <f>IF($A950="","",IF(ISNUMBER(FIND("IMPVOL",M$1)),_xll.BDH(config!$G$4,M$1,WORKDAY($A950,-1,config_Holiday_Calendar_US),WORKDAY($A950,-1,config_Holiday_Calendar_US)),IF(ISNUMBER(_xll.BDH(config!$G$4,M$1,$A950,$A950)),_xll.BDH(config!$G$4,M$1,$A950,$A950),_xll.BDH(config!$G$5,M$1,$A950,$A950))))</f>
        <v/>
      </c>
      <c r="N950" s="8" t="str">
        <f>IF($A950="","",IF(ISNUMBER(FIND("IMPVOL",N$1)),_xll.BDH(config!$G$4,N$1,WORKDAY($A950,-1,config_Holiday_Calendar_US),WORKDAY($A950,-1,config_Holiday_Calendar_US)),IF(ISNUMBER(_xll.BDH(config!$G$4,N$1,$A950,$A950)),_xll.BDH(config!$G$4,N$1,$A950,$A950),_xll.BDH(config!$G$5,N$1,$A950,$A950))))</f>
        <v/>
      </c>
      <c r="O950" s="8" t="str">
        <f>IF($A950="","",IF(ISNUMBER(FIND("IMPVOL",O$1)),_xll.BDH(config!$G$4,O$1,WORKDAY($A950,-1,config_Holiday_Calendar_US),WORKDAY($A950,-1,config_Holiday_Calendar_US)),IF(ISNUMBER(_xll.BDH(config!$G$4,O$1,$A950,$A950)),_xll.BDH(config!$G$4,O$1,$A950,$A950),_xll.BDH(config!$G$5,O$1,$A950,$A950))))</f>
        <v/>
      </c>
      <c r="P950" s="8" t="str">
        <f>IF($A950="","",IF(ISNUMBER(FIND("IMPVOL",P$1)),_xll.BDH(config!$G$4,P$1,WORKDAY($A950,-1,config_Holiday_Calendar_US),WORKDAY($A950,-1,config_Holiday_Calendar_US)),IF(ISNUMBER(_xll.BDH(config!$G$4,P$1,$A950,$A950)),_xll.BDH(config!$G$4,P$1,$A950,$A950),_xll.BDH(config!$G$5,P$1,$A950,$A950))))</f>
        <v/>
      </c>
      <c r="Q950" s="8" t="str">
        <f>IF($A950="","",IF(ISNUMBER(FIND("IMPVOL",Q$1)),_xll.BDH(config!$G$4,Q$1,WORKDAY($A950,-1,config_Holiday_Calendar_US),WORKDAY($A950,-1,config_Holiday_Calendar_US)),IF(ISNUMBER(_xll.BDH(config!$G$4,Q$1,$A950,$A950)),_xll.BDH(config!$G$4,Q$1,$A950,$A950),_xll.BDH(config!$G$5,Q$1,$A950,$A950))))</f>
        <v/>
      </c>
      <c r="R950" s="8" t="str">
        <f>IF($A950="","",IF(ISNUMBER(FIND("IMPVOL",R$1)),_xll.BDH(config!$G$4,R$1,WORKDAY($A950,-1,config_Holiday_Calendar_US),WORKDAY($A950,-1,config_Holiday_Calendar_US)),IF(ISNUMBER(_xll.BDH(config!$G$4,R$1,$A950,$A950)),_xll.BDH(config!$G$4,R$1,$A950,$A950),_xll.BDH(config!$G$5,R$1,$A950,$A950))))</f>
        <v/>
      </c>
      <c r="S950" s="8" t="str">
        <f>IF($A950="","",IF(ISNUMBER(FIND("IMPVOL",S$1)),_xll.BDH(config!$G$4,S$1,WORKDAY($A950,-1,config_Holiday_Calendar_US),WORKDAY($A950,-1,config_Holiday_Calendar_US)),IF(ISNUMBER(_xll.BDH(config!$G$4,S$1,$A950,$A950)),_xll.BDH(config!$G$4,S$1,$A950,$A950),_xll.BDH(config!$G$5,S$1,$A950,$A950))))</f>
        <v/>
      </c>
      <c r="T950" s="8" t="str">
        <f>IF($A950="","",IF(ISNUMBER(FIND("IMPVOL",T$1)),_xll.BDH(config!$G$4,T$1,WORKDAY($A950,-1,config_Holiday_Calendar_US),WORKDAY($A950,-1,config_Holiday_Calendar_US)),IF(ISNUMBER(_xll.BDH(config!$G$4,T$1,$A950,$A950)),_xll.BDH(config!$G$4,T$1,$A950,$A950),_xll.BDH(config!$G$5,T$1,$A950,$A950))))</f>
        <v/>
      </c>
      <c r="U950" s="8" t="str">
        <f>IF($A950="","",IF(ISNUMBER(FIND("IMPVOL",U$1)),_xll.BDH(config!$G$4,U$1,WORKDAY($A950,-1,config_Holiday_Calendar_US),WORKDAY($A950,-1,config_Holiday_Calendar_US)),IF(ISNUMBER(_xll.BDH(config!$G$4,U$1,$A950,$A950)),_xll.BDH(config!$G$4,U$1,$A950,$A950),_xll.BDH(config!$G$5,U$1,$A950,$A950))))</f>
        <v/>
      </c>
      <c r="V950" s="8" t="str">
        <f>IF($A950="","",IF(ISNUMBER(FIND("IMPVOL",V$1)),_xll.BDH(config!$G$4,V$1,WORKDAY($A950,-1,config_Holiday_Calendar_US),WORKDAY($A950,-1,config_Holiday_Calendar_US)),IF(ISNUMBER(_xll.BDH(config!$G$4,V$1,$A950,$A950)),_xll.BDH(config!$G$4,V$1,$A950,$A950),_xll.BDH(config!$G$5,V$1,$A950,$A950))))</f>
        <v/>
      </c>
      <c r="W950" s="8" t="str">
        <f>IF($A950="","",IF(ISNUMBER(FIND("IMPVOL",W$1)),_xll.BDH(config!$G$4,W$1,WORKDAY($A950,-1,config_Holiday_Calendar_US),WORKDAY($A950,-1,config_Holiday_Calendar_US)),IF(ISNUMBER(_xll.BDH(config!$G$4,W$1,$A950,$A950)),_xll.BDH(config!$G$4,W$1,$A950,$A950),_xll.BDH(config!$G$5,W$1,$A950,$A950))))</f>
        <v/>
      </c>
    </row>
    <row r="951" spans="1:23" x14ac:dyDescent="0.2">
      <c r="A951" s="9" t="str">
        <f>IF(A950="","",IF(WORKDAY(A950,-1,config_Holiday_Calendar_US)&lt;config!$I$10,"",WORKDAY(A950,-1,config_Holiday_Calendar_US)))</f>
        <v/>
      </c>
      <c r="B951" s="8" t="str">
        <f t="shared" si="14"/>
        <v/>
      </c>
      <c r="C951" s="8" t="str">
        <f>IF(A951="","",_xll.BDH(config!$H$4,C$1,$A951,$A951))</f>
        <v/>
      </c>
      <c r="D951" s="8" t="str">
        <f>IF($A951="","",_xll.BDH(config!$H$4,D$1,$A951,$A951))</f>
        <v/>
      </c>
      <c r="E951" s="8" t="str">
        <f>IF($A951="","",IF(ISNUMBER(FIND("IMPVOL",E$1)),_xll.BDH(config!$G$4,E$1,WORKDAY($A951,-1,config_Holiday_Calendar_US),WORKDAY($A951,-1,config_Holiday_Calendar_US)),IF(ISNUMBER(_xll.BDH(config!$G$4,E$1,$A951,$A951)),_xll.BDH(config!$G$4,E$1,$A951,$A951),_xll.BDH(config!$G$5,E$1,$A951,$A951))))</f>
        <v/>
      </c>
      <c r="F951" s="8" t="str">
        <f>IF($A951="","",IF(ISNUMBER(FIND("IMPVOL",F$1)),_xll.BDH(config!$G$4,F$1,WORKDAY($A951,-1,config_Holiday_Calendar_US),WORKDAY($A951,-1,config_Holiday_Calendar_US)),IF(ISNUMBER(_xll.BDH(config!$G$4,F$1,$A951,$A951)),_xll.BDH(config!$G$4,F$1,$A951,$A951),_xll.BDH(config!$G$5,F$1,$A951,$A951))))</f>
        <v/>
      </c>
      <c r="G951" s="8" t="str">
        <f>IF($A951="","",IF(ISNUMBER(FIND("IMPVOL",G$1)),_xll.BDH(config!$G$4,G$1,WORKDAY($A951,-1,config_Holiday_Calendar_US),WORKDAY($A951,-1,config_Holiday_Calendar_US)),IF(ISNUMBER(_xll.BDH(config!$G$4,G$1,$A951,$A951)),_xll.BDH(config!$G$4,G$1,$A951,$A951),_xll.BDH(config!$G$5,G$1,$A951,$A951))))</f>
        <v/>
      </c>
      <c r="H951" s="8" t="str">
        <f>IF($A951="","",IF(ISNUMBER(FIND("IMPVOL",H$1)),_xll.BDH(config!$G$4,H$1,WORKDAY($A951,-1,config_Holiday_Calendar_US),WORKDAY($A951,-1,config_Holiday_Calendar_US)),IF(ISNUMBER(_xll.BDH(config!$G$4,H$1,$A951,$A951)),_xll.BDH(config!$G$4,H$1,$A951,$A951),_xll.BDH(config!$G$5,H$1,$A951,$A951))))</f>
        <v/>
      </c>
      <c r="I951" s="8" t="str">
        <f>IF($A951="","",IF(ISNUMBER(FIND("IMPVOL",I$1)),_xll.BDH(config!$G$4,I$1,WORKDAY($A951,-1,config_Holiday_Calendar_US),WORKDAY($A951,-1,config_Holiday_Calendar_US)),IF(ISNUMBER(_xll.BDH(config!$G$4,I$1,$A951,$A951)),_xll.BDH(config!$G$4,I$1,$A951,$A951),_xll.BDH(config!$G$5,I$1,$A951,$A951))))</f>
        <v/>
      </c>
      <c r="J951" s="8" t="str">
        <f>IF($A951="","",IF(ISNUMBER(FIND("IMPVOL",J$1)),_xll.BDH(config!$G$4,J$1,WORKDAY($A951,-1,config_Holiday_Calendar_US),WORKDAY($A951,-1,config_Holiday_Calendar_US)),IF(ISNUMBER(_xll.BDH(config!$G$4,J$1,$A951,$A951)),_xll.BDH(config!$G$4,J$1,$A951,$A951),_xll.BDH(config!$G$5,J$1,$A951,$A951))))</f>
        <v/>
      </c>
      <c r="K951" s="8" t="str">
        <f>IF($A951="","",IF(ISNUMBER(FIND("IMPVOL",K$1)),_xll.BDH(config!$G$4,K$1,WORKDAY($A951,-1,config_Holiday_Calendar_US),WORKDAY($A951,-1,config_Holiday_Calendar_US)),IF(ISNUMBER(_xll.BDH(config!$G$4,K$1,$A951,$A951)),_xll.BDH(config!$G$4,K$1,$A951,$A951),_xll.BDH(config!$G$5,K$1,$A951,$A951))))</f>
        <v/>
      </c>
      <c r="L951" s="8" t="str">
        <f>IF($A951="","",IF(ISNUMBER(FIND("IMPVOL",L$1)),_xll.BDH(config!$G$4,L$1,WORKDAY($A951,-1,config_Holiday_Calendar_US),WORKDAY($A951,-1,config_Holiday_Calendar_US)),IF(ISNUMBER(_xll.BDH(config!$G$4,L$1,$A951,$A951)),_xll.BDH(config!$G$4,L$1,$A951,$A951),_xll.BDH(config!$G$5,L$1,$A951,$A951))))</f>
        <v/>
      </c>
      <c r="M951" s="8" t="str">
        <f>IF($A951="","",IF(ISNUMBER(FIND("IMPVOL",M$1)),_xll.BDH(config!$G$4,M$1,WORKDAY($A951,-1,config_Holiday_Calendar_US),WORKDAY($A951,-1,config_Holiday_Calendar_US)),IF(ISNUMBER(_xll.BDH(config!$G$4,M$1,$A951,$A951)),_xll.BDH(config!$G$4,M$1,$A951,$A951),_xll.BDH(config!$G$5,M$1,$A951,$A951))))</f>
        <v/>
      </c>
      <c r="N951" s="8" t="str">
        <f>IF($A951="","",IF(ISNUMBER(FIND("IMPVOL",N$1)),_xll.BDH(config!$G$4,N$1,WORKDAY($A951,-1,config_Holiday_Calendar_US),WORKDAY($A951,-1,config_Holiday_Calendar_US)),IF(ISNUMBER(_xll.BDH(config!$G$4,N$1,$A951,$A951)),_xll.BDH(config!$G$4,N$1,$A951,$A951),_xll.BDH(config!$G$5,N$1,$A951,$A951))))</f>
        <v/>
      </c>
      <c r="O951" s="8" t="str">
        <f>IF($A951="","",IF(ISNUMBER(FIND("IMPVOL",O$1)),_xll.BDH(config!$G$4,O$1,WORKDAY($A951,-1,config_Holiday_Calendar_US),WORKDAY($A951,-1,config_Holiday_Calendar_US)),IF(ISNUMBER(_xll.BDH(config!$G$4,O$1,$A951,$A951)),_xll.BDH(config!$G$4,O$1,$A951,$A951),_xll.BDH(config!$G$5,O$1,$A951,$A951))))</f>
        <v/>
      </c>
      <c r="P951" s="8" t="str">
        <f>IF($A951="","",IF(ISNUMBER(FIND("IMPVOL",P$1)),_xll.BDH(config!$G$4,P$1,WORKDAY($A951,-1,config_Holiday_Calendar_US),WORKDAY($A951,-1,config_Holiday_Calendar_US)),IF(ISNUMBER(_xll.BDH(config!$G$4,P$1,$A951,$A951)),_xll.BDH(config!$G$4,P$1,$A951,$A951),_xll.BDH(config!$G$5,P$1,$A951,$A951))))</f>
        <v/>
      </c>
      <c r="Q951" s="8" t="str">
        <f>IF($A951="","",IF(ISNUMBER(FIND("IMPVOL",Q$1)),_xll.BDH(config!$G$4,Q$1,WORKDAY($A951,-1,config_Holiday_Calendar_US),WORKDAY($A951,-1,config_Holiday_Calendar_US)),IF(ISNUMBER(_xll.BDH(config!$G$4,Q$1,$A951,$A951)),_xll.BDH(config!$G$4,Q$1,$A951,$A951),_xll.BDH(config!$G$5,Q$1,$A951,$A951))))</f>
        <v/>
      </c>
      <c r="R951" s="8" t="str">
        <f>IF($A951="","",IF(ISNUMBER(FIND("IMPVOL",R$1)),_xll.BDH(config!$G$4,R$1,WORKDAY($A951,-1,config_Holiday_Calendar_US),WORKDAY($A951,-1,config_Holiday_Calendar_US)),IF(ISNUMBER(_xll.BDH(config!$G$4,R$1,$A951,$A951)),_xll.BDH(config!$G$4,R$1,$A951,$A951),_xll.BDH(config!$G$5,R$1,$A951,$A951))))</f>
        <v/>
      </c>
      <c r="S951" s="8" t="str">
        <f>IF($A951="","",IF(ISNUMBER(FIND("IMPVOL",S$1)),_xll.BDH(config!$G$4,S$1,WORKDAY($A951,-1,config_Holiday_Calendar_US),WORKDAY($A951,-1,config_Holiday_Calendar_US)),IF(ISNUMBER(_xll.BDH(config!$G$4,S$1,$A951,$A951)),_xll.BDH(config!$G$4,S$1,$A951,$A951),_xll.BDH(config!$G$5,S$1,$A951,$A951))))</f>
        <v/>
      </c>
      <c r="T951" s="8" t="str">
        <f>IF($A951="","",IF(ISNUMBER(FIND("IMPVOL",T$1)),_xll.BDH(config!$G$4,T$1,WORKDAY($A951,-1,config_Holiday_Calendar_US),WORKDAY($A951,-1,config_Holiday_Calendar_US)),IF(ISNUMBER(_xll.BDH(config!$G$4,T$1,$A951,$A951)),_xll.BDH(config!$G$4,T$1,$A951,$A951),_xll.BDH(config!$G$5,T$1,$A951,$A951))))</f>
        <v/>
      </c>
      <c r="U951" s="8" t="str">
        <f>IF($A951="","",IF(ISNUMBER(FIND("IMPVOL",U$1)),_xll.BDH(config!$G$4,U$1,WORKDAY($A951,-1,config_Holiday_Calendar_US),WORKDAY($A951,-1,config_Holiday_Calendar_US)),IF(ISNUMBER(_xll.BDH(config!$G$4,U$1,$A951,$A951)),_xll.BDH(config!$G$4,U$1,$A951,$A951),_xll.BDH(config!$G$5,U$1,$A951,$A951))))</f>
        <v/>
      </c>
      <c r="V951" s="8" t="str">
        <f>IF($A951="","",IF(ISNUMBER(FIND("IMPVOL",V$1)),_xll.BDH(config!$G$4,V$1,WORKDAY($A951,-1,config_Holiday_Calendar_US),WORKDAY($A951,-1,config_Holiday_Calendar_US)),IF(ISNUMBER(_xll.BDH(config!$G$4,V$1,$A951,$A951)),_xll.BDH(config!$G$4,V$1,$A951,$A951),_xll.BDH(config!$G$5,V$1,$A951,$A951))))</f>
        <v/>
      </c>
      <c r="W951" s="8" t="str">
        <f>IF($A951="","",IF(ISNUMBER(FIND("IMPVOL",W$1)),_xll.BDH(config!$G$4,W$1,WORKDAY($A951,-1,config_Holiday_Calendar_US),WORKDAY($A951,-1,config_Holiday_Calendar_US)),IF(ISNUMBER(_xll.BDH(config!$G$4,W$1,$A951,$A951)),_xll.BDH(config!$G$4,W$1,$A951,$A951),_xll.BDH(config!$G$5,W$1,$A951,$A951))))</f>
        <v/>
      </c>
    </row>
    <row r="952" spans="1:23" x14ac:dyDescent="0.2">
      <c r="A952" s="9" t="str">
        <f>IF(A951="","",IF(WORKDAY(A951,-1,config_Holiday_Calendar_US)&lt;config!$I$10,"",WORKDAY(A951,-1,config_Holiday_Calendar_US)))</f>
        <v/>
      </c>
      <c r="B952" s="8" t="str">
        <f t="shared" si="14"/>
        <v/>
      </c>
      <c r="C952" s="8" t="str">
        <f>IF(A952="","",_xll.BDH(config!$H$4,C$1,$A952,$A952))</f>
        <v/>
      </c>
      <c r="D952" s="8" t="str">
        <f>IF($A952="","",_xll.BDH(config!$H$4,D$1,$A952,$A952))</f>
        <v/>
      </c>
      <c r="E952" s="8" t="str">
        <f>IF($A952="","",IF(ISNUMBER(FIND("IMPVOL",E$1)),_xll.BDH(config!$G$4,E$1,WORKDAY($A952,-1,config_Holiday_Calendar_US),WORKDAY($A952,-1,config_Holiday_Calendar_US)),IF(ISNUMBER(_xll.BDH(config!$G$4,E$1,$A952,$A952)),_xll.BDH(config!$G$4,E$1,$A952,$A952),_xll.BDH(config!$G$5,E$1,$A952,$A952))))</f>
        <v/>
      </c>
      <c r="F952" s="8" t="str">
        <f>IF($A952="","",IF(ISNUMBER(FIND("IMPVOL",F$1)),_xll.BDH(config!$G$4,F$1,WORKDAY($A952,-1,config_Holiday_Calendar_US),WORKDAY($A952,-1,config_Holiday_Calendar_US)),IF(ISNUMBER(_xll.BDH(config!$G$4,F$1,$A952,$A952)),_xll.BDH(config!$G$4,F$1,$A952,$A952),_xll.BDH(config!$G$5,F$1,$A952,$A952))))</f>
        <v/>
      </c>
      <c r="G952" s="8" t="str">
        <f>IF($A952="","",IF(ISNUMBER(FIND("IMPVOL",G$1)),_xll.BDH(config!$G$4,G$1,WORKDAY($A952,-1,config_Holiday_Calendar_US),WORKDAY($A952,-1,config_Holiday_Calendar_US)),IF(ISNUMBER(_xll.BDH(config!$G$4,G$1,$A952,$A952)),_xll.BDH(config!$G$4,G$1,$A952,$A952),_xll.BDH(config!$G$5,G$1,$A952,$A952))))</f>
        <v/>
      </c>
      <c r="H952" s="8" t="str">
        <f>IF($A952="","",IF(ISNUMBER(FIND("IMPVOL",H$1)),_xll.BDH(config!$G$4,H$1,WORKDAY($A952,-1,config_Holiday_Calendar_US),WORKDAY($A952,-1,config_Holiday_Calendar_US)),IF(ISNUMBER(_xll.BDH(config!$G$4,H$1,$A952,$A952)),_xll.BDH(config!$G$4,H$1,$A952,$A952),_xll.BDH(config!$G$5,H$1,$A952,$A952))))</f>
        <v/>
      </c>
      <c r="I952" s="8" t="str">
        <f>IF($A952="","",IF(ISNUMBER(FIND("IMPVOL",I$1)),_xll.BDH(config!$G$4,I$1,WORKDAY($A952,-1,config_Holiday_Calendar_US),WORKDAY($A952,-1,config_Holiday_Calendar_US)),IF(ISNUMBER(_xll.BDH(config!$G$4,I$1,$A952,$A952)),_xll.BDH(config!$G$4,I$1,$A952,$A952),_xll.BDH(config!$G$5,I$1,$A952,$A952))))</f>
        <v/>
      </c>
      <c r="J952" s="8" t="str">
        <f>IF($A952="","",IF(ISNUMBER(FIND("IMPVOL",J$1)),_xll.BDH(config!$G$4,J$1,WORKDAY($A952,-1,config_Holiday_Calendar_US),WORKDAY($A952,-1,config_Holiday_Calendar_US)),IF(ISNUMBER(_xll.BDH(config!$G$4,J$1,$A952,$A952)),_xll.BDH(config!$G$4,J$1,$A952,$A952),_xll.BDH(config!$G$5,J$1,$A952,$A952))))</f>
        <v/>
      </c>
      <c r="K952" s="8" t="str">
        <f>IF($A952="","",IF(ISNUMBER(FIND("IMPVOL",K$1)),_xll.BDH(config!$G$4,K$1,WORKDAY($A952,-1,config_Holiday_Calendar_US),WORKDAY($A952,-1,config_Holiday_Calendar_US)),IF(ISNUMBER(_xll.BDH(config!$G$4,K$1,$A952,$A952)),_xll.BDH(config!$G$4,K$1,$A952,$A952),_xll.BDH(config!$G$5,K$1,$A952,$A952))))</f>
        <v/>
      </c>
      <c r="L952" s="8" t="str">
        <f>IF($A952="","",IF(ISNUMBER(FIND("IMPVOL",L$1)),_xll.BDH(config!$G$4,L$1,WORKDAY($A952,-1,config_Holiday_Calendar_US),WORKDAY($A952,-1,config_Holiday_Calendar_US)),IF(ISNUMBER(_xll.BDH(config!$G$4,L$1,$A952,$A952)),_xll.BDH(config!$G$4,L$1,$A952,$A952),_xll.BDH(config!$G$5,L$1,$A952,$A952))))</f>
        <v/>
      </c>
      <c r="M952" s="8" t="str">
        <f>IF($A952="","",IF(ISNUMBER(FIND("IMPVOL",M$1)),_xll.BDH(config!$G$4,M$1,WORKDAY($A952,-1,config_Holiday_Calendar_US),WORKDAY($A952,-1,config_Holiday_Calendar_US)),IF(ISNUMBER(_xll.BDH(config!$G$4,M$1,$A952,$A952)),_xll.BDH(config!$G$4,M$1,$A952,$A952),_xll.BDH(config!$G$5,M$1,$A952,$A952))))</f>
        <v/>
      </c>
      <c r="N952" s="8" t="str">
        <f>IF($A952="","",IF(ISNUMBER(FIND("IMPVOL",N$1)),_xll.BDH(config!$G$4,N$1,WORKDAY($A952,-1,config_Holiday_Calendar_US),WORKDAY($A952,-1,config_Holiday_Calendar_US)),IF(ISNUMBER(_xll.BDH(config!$G$4,N$1,$A952,$A952)),_xll.BDH(config!$G$4,N$1,$A952,$A952),_xll.BDH(config!$G$5,N$1,$A952,$A952))))</f>
        <v/>
      </c>
      <c r="O952" s="8" t="str">
        <f>IF($A952="","",IF(ISNUMBER(FIND("IMPVOL",O$1)),_xll.BDH(config!$G$4,O$1,WORKDAY($A952,-1,config_Holiday_Calendar_US),WORKDAY($A952,-1,config_Holiday_Calendar_US)),IF(ISNUMBER(_xll.BDH(config!$G$4,O$1,$A952,$A952)),_xll.BDH(config!$G$4,O$1,$A952,$A952),_xll.BDH(config!$G$5,O$1,$A952,$A952))))</f>
        <v/>
      </c>
      <c r="P952" s="8" t="str">
        <f>IF($A952="","",IF(ISNUMBER(FIND("IMPVOL",P$1)),_xll.BDH(config!$G$4,P$1,WORKDAY($A952,-1,config_Holiday_Calendar_US),WORKDAY($A952,-1,config_Holiday_Calendar_US)),IF(ISNUMBER(_xll.BDH(config!$G$4,P$1,$A952,$A952)),_xll.BDH(config!$G$4,P$1,$A952,$A952),_xll.BDH(config!$G$5,P$1,$A952,$A952))))</f>
        <v/>
      </c>
      <c r="Q952" s="8" t="str">
        <f>IF($A952="","",IF(ISNUMBER(FIND("IMPVOL",Q$1)),_xll.BDH(config!$G$4,Q$1,WORKDAY($A952,-1,config_Holiday_Calendar_US),WORKDAY($A952,-1,config_Holiday_Calendar_US)),IF(ISNUMBER(_xll.BDH(config!$G$4,Q$1,$A952,$A952)),_xll.BDH(config!$G$4,Q$1,$A952,$A952),_xll.BDH(config!$G$5,Q$1,$A952,$A952))))</f>
        <v/>
      </c>
      <c r="R952" s="8" t="str">
        <f>IF($A952="","",IF(ISNUMBER(FIND("IMPVOL",R$1)),_xll.BDH(config!$G$4,R$1,WORKDAY($A952,-1,config_Holiday_Calendar_US),WORKDAY($A952,-1,config_Holiday_Calendar_US)),IF(ISNUMBER(_xll.BDH(config!$G$4,R$1,$A952,$A952)),_xll.BDH(config!$G$4,R$1,$A952,$A952),_xll.BDH(config!$G$5,R$1,$A952,$A952))))</f>
        <v/>
      </c>
      <c r="S952" s="8" t="str">
        <f>IF($A952="","",IF(ISNUMBER(FIND("IMPVOL",S$1)),_xll.BDH(config!$G$4,S$1,WORKDAY($A952,-1,config_Holiday_Calendar_US),WORKDAY($A952,-1,config_Holiday_Calendar_US)),IF(ISNUMBER(_xll.BDH(config!$G$4,S$1,$A952,$A952)),_xll.BDH(config!$G$4,S$1,$A952,$A952),_xll.BDH(config!$G$5,S$1,$A952,$A952))))</f>
        <v/>
      </c>
      <c r="T952" s="8" t="str">
        <f>IF($A952="","",IF(ISNUMBER(FIND("IMPVOL",T$1)),_xll.BDH(config!$G$4,T$1,WORKDAY($A952,-1,config_Holiday_Calendar_US),WORKDAY($A952,-1,config_Holiday_Calendar_US)),IF(ISNUMBER(_xll.BDH(config!$G$4,T$1,$A952,$A952)),_xll.BDH(config!$G$4,T$1,$A952,$A952),_xll.BDH(config!$G$5,T$1,$A952,$A952))))</f>
        <v/>
      </c>
      <c r="U952" s="8" t="str">
        <f>IF($A952="","",IF(ISNUMBER(FIND("IMPVOL",U$1)),_xll.BDH(config!$G$4,U$1,WORKDAY($A952,-1,config_Holiday_Calendar_US),WORKDAY($A952,-1,config_Holiday_Calendar_US)),IF(ISNUMBER(_xll.BDH(config!$G$4,U$1,$A952,$A952)),_xll.BDH(config!$G$4,U$1,$A952,$A952),_xll.BDH(config!$G$5,U$1,$A952,$A952))))</f>
        <v/>
      </c>
      <c r="V952" s="8" t="str">
        <f>IF($A952="","",IF(ISNUMBER(FIND("IMPVOL",V$1)),_xll.BDH(config!$G$4,V$1,WORKDAY($A952,-1,config_Holiday_Calendar_US),WORKDAY($A952,-1,config_Holiday_Calendar_US)),IF(ISNUMBER(_xll.BDH(config!$G$4,V$1,$A952,$A952)),_xll.BDH(config!$G$4,V$1,$A952,$A952),_xll.BDH(config!$G$5,V$1,$A952,$A952))))</f>
        <v/>
      </c>
      <c r="W952" s="8" t="str">
        <f>IF($A952="","",IF(ISNUMBER(FIND("IMPVOL",W$1)),_xll.BDH(config!$G$4,W$1,WORKDAY($A952,-1,config_Holiday_Calendar_US),WORKDAY($A952,-1,config_Holiday_Calendar_US)),IF(ISNUMBER(_xll.BDH(config!$G$4,W$1,$A952,$A952)),_xll.BDH(config!$G$4,W$1,$A952,$A952),_xll.BDH(config!$G$5,W$1,$A952,$A952))))</f>
        <v/>
      </c>
    </row>
    <row r="953" spans="1:23" x14ac:dyDescent="0.2">
      <c r="A953" s="9" t="str">
        <f>IF(A952="","",IF(WORKDAY(A952,-1,config_Holiday_Calendar_US)&lt;config!$I$10,"",WORKDAY(A952,-1,config_Holiday_Calendar_US)))</f>
        <v/>
      </c>
      <c r="B953" s="8" t="str">
        <f t="shared" si="14"/>
        <v/>
      </c>
      <c r="C953" s="8" t="str">
        <f>IF(A953="","",_xll.BDH(config!$H$4,C$1,$A953,$A953))</f>
        <v/>
      </c>
      <c r="D953" s="8" t="str">
        <f>IF($A953="","",_xll.BDH(config!$H$4,D$1,$A953,$A953))</f>
        <v/>
      </c>
      <c r="E953" s="8" t="str">
        <f>IF($A953="","",IF(ISNUMBER(FIND("IMPVOL",E$1)),_xll.BDH(config!$G$4,E$1,WORKDAY($A953,-1,config_Holiday_Calendar_US),WORKDAY($A953,-1,config_Holiday_Calendar_US)),IF(ISNUMBER(_xll.BDH(config!$G$4,E$1,$A953,$A953)),_xll.BDH(config!$G$4,E$1,$A953,$A953),_xll.BDH(config!$G$5,E$1,$A953,$A953))))</f>
        <v/>
      </c>
      <c r="F953" s="8" t="str">
        <f>IF($A953="","",IF(ISNUMBER(FIND("IMPVOL",F$1)),_xll.BDH(config!$G$4,F$1,WORKDAY($A953,-1,config_Holiday_Calendar_US),WORKDAY($A953,-1,config_Holiday_Calendar_US)),IF(ISNUMBER(_xll.BDH(config!$G$4,F$1,$A953,$A953)),_xll.BDH(config!$G$4,F$1,$A953,$A953),_xll.BDH(config!$G$5,F$1,$A953,$A953))))</f>
        <v/>
      </c>
      <c r="G953" s="8" t="str">
        <f>IF($A953="","",IF(ISNUMBER(FIND("IMPVOL",G$1)),_xll.BDH(config!$G$4,G$1,WORKDAY($A953,-1,config_Holiday_Calendar_US),WORKDAY($A953,-1,config_Holiday_Calendar_US)),IF(ISNUMBER(_xll.BDH(config!$G$4,G$1,$A953,$A953)),_xll.BDH(config!$G$4,G$1,$A953,$A953),_xll.BDH(config!$G$5,G$1,$A953,$A953))))</f>
        <v/>
      </c>
      <c r="H953" s="8" t="str">
        <f>IF($A953="","",IF(ISNUMBER(FIND("IMPVOL",H$1)),_xll.BDH(config!$G$4,H$1,WORKDAY($A953,-1,config_Holiday_Calendar_US),WORKDAY($A953,-1,config_Holiday_Calendar_US)),IF(ISNUMBER(_xll.BDH(config!$G$4,H$1,$A953,$A953)),_xll.BDH(config!$G$4,H$1,$A953,$A953),_xll.BDH(config!$G$5,H$1,$A953,$A953))))</f>
        <v/>
      </c>
      <c r="I953" s="8" t="str">
        <f>IF($A953="","",IF(ISNUMBER(FIND("IMPVOL",I$1)),_xll.BDH(config!$G$4,I$1,WORKDAY($A953,-1,config_Holiday_Calendar_US),WORKDAY($A953,-1,config_Holiday_Calendar_US)),IF(ISNUMBER(_xll.BDH(config!$G$4,I$1,$A953,$A953)),_xll.BDH(config!$G$4,I$1,$A953,$A953),_xll.BDH(config!$G$5,I$1,$A953,$A953))))</f>
        <v/>
      </c>
      <c r="J953" s="8" t="str">
        <f>IF($A953="","",IF(ISNUMBER(FIND("IMPVOL",J$1)),_xll.BDH(config!$G$4,J$1,WORKDAY($A953,-1,config_Holiday_Calendar_US),WORKDAY($A953,-1,config_Holiday_Calendar_US)),IF(ISNUMBER(_xll.BDH(config!$G$4,J$1,$A953,$A953)),_xll.BDH(config!$G$4,J$1,$A953,$A953),_xll.BDH(config!$G$5,J$1,$A953,$A953))))</f>
        <v/>
      </c>
      <c r="K953" s="8" t="str">
        <f>IF($A953="","",IF(ISNUMBER(FIND("IMPVOL",K$1)),_xll.BDH(config!$G$4,K$1,WORKDAY($A953,-1,config_Holiday_Calendar_US),WORKDAY($A953,-1,config_Holiday_Calendar_US)),IF(ISNUMBER(_xll.BDH(config!$G$4,K$1,$A953,$A953)),_xll.BDH(config!$G$4,K$1,$A953,$A953),_xll.BDH(config!$G$5,K$1,$A953,$A953))))</f>
        <v/>
      </c>
      <c r="L953" s="8" t="str">
        <f>IF($A953="","",IF(ISNUMBER(FIND("IMPVOL",L$1)),_xll.BDH(config!$G$4,L$1,WORKDAY($A953,-1,config_Holiday_Calendar_US),WORKDAY($A953,-1,config_Holiday_Calendar_US)),IF(ISNUMBER(_xll.BDH(config!$G$4,L$1,$A953,$A953)),_xll.BDH(config!$G$4,L$1,$A953,$A953),_xll.BDH(config!$G$5,L$1,$A953,$A953))))</f>
        <v/>
      </c>
      <c r="M953" s="8" t="str">
        <f>IF($A953="","",IF(ISNUMBER(FIND("IMPVOL",M$1)),_xll.BDH(config!$G$4,M$1,WORKDAY($A953,-1,config_Holiday_Calendar_US),WORKDAY($A953,-1,config_Holiday_Calendar_US)),IF(ISNUMBER(_xll.BDH(config!$G$4,M$1,$A953,$A953)),_xll.BDH(config!$G$4,M$1,$A953,$A953),_xll.BDH(config!$G$5,M$1,$A953,$A953))))</f>
        <v/>
      </c>
      <c r="N953" s="8" t="str">
        <f>IF($A953="","",IF(ISNUMBER(FIND("IMPVOL",N$1)),_xll.BDH(config!$G$4,N$1,WORKDAY($A953,-1,config_Holiday_Calendar_US),WORKDAY($A953,-1,config_Holiday_Calendar_US)),IF(ISNUMBER(_xll.BDH(config!$G$4,N$1,$A953,$A953)),_xll.BDH(config!$G$4,N$1,$A953,$A953),_xll.BDH(config!$G$5,N$1,$A953,$A953))))</f>
        <v/>
      </c>
      <c r="O953" s="8" t="str">
        <f>IF($A953="","",IF(ISNUMBER(FIND("IMPVOL",O$1)),_xll.BDH(config!$G$4,O$1,WORKDAY($A953,-1,config_Holiday_Calendar_US),WORKDAY($A953,-1,config_Holiday_Calendar_US)),IF(ISNUMBER(_xll.BDH(config!$G$4,O$1,$A953,$A953)),_xll.BDH(config!$G$4,O$1,$A953,$A953),_xll.BDH(config!$G$5,O$1,$A953,$A953))))</f>
        <v/>
      </c>
      <c r="P953" s="8" t="str">
        <f>IF($A953="","",IF(ISNUMBER(FIND("IMPVOL",P$1)),_xll.BDH(config!$G$4,P$1,WORKDAY($A953,-1,config_Holiday_Calendar_US),WORKDAY($A953,-1,config_Holiday_Calendar_US)),IF(ISNUMBER(_xll.BDH(config!$G$4,P$1,$A953,$A953)),_xll.BDH(config!$G$4,P$1,$A953,$A953),_xll.BDH(config!$G$5,P$1,$A953,$A953))))</f>
        <v/>
      </c>
      <c r="Q953" s="8" t="str">
        <f>IF($A953="","",IF(ISNUMBER(FIND("IMPVOL",Q$1)),_xll.BDH(config!$G$4,Q$1,WORKDAY($A953,-1,config_Holiday_Calendar_US),WORKDAY($A953,-1,config_Holiday_Calendar_US)),IF(ISNUMBER(_xll.BDH(config!$G$4,Q$1,$A953,$A953)),_xll.BDH(config!$G$4,Q$1,$A953,$A953),_xll.BDH(config!$G$5,Q$1,$A953,$A953))))</f>
        <v/>
      </c>
      <c r="R953" s="8" t="str">
        <f>IF($A953="","",IF(ISNUMBER(FIND("IMPVOL",R$1)),_xll.BDH(config!$G$4,R$1,WORKDAY($A953,-1,config_Holiday_Calendar_US),WORKDAY($A953,-1,config_Holiday_Calendar_US)),IF(ISNUMBER(_xll.BDH(config!$G$4,R$1,$A953,$A953)),_xll.BDH(config!$G$4,R$1,$A953,$A953),_xll.BDH(config!$G$5,R$1,$A953,$A953))))</f>
        <v/>
      </c>
      <c r="S953" s="8" t="str">
        <f>IF($A953="","",IF(ISNUMBER(FIND("IMPVOL",S$1)),_xll.BDH(config!$G$4,S$1,WORKDAY($A953,-1,config_Holiday_Calendar_US),WORKDAY($A953,-1,config_Holiday_Calendar_US)),IF(ISNUMBER(_xll.BDH(config!$G$4,S$1,$A953,$A953)),_xll.BDH(config!$G$4,S$1,$A953,$A953),_xll.BDH(config!$G$5,S$1,$A953,$A953))))</f>
        <v/>
      </c>
      <c r="T953" s="8" t="str">
        <f>IF($A953="","",IF(ISNUMBER(FIND("IMPVOL",T$1)),_xll.BDH(config!$G$4,T$1,WORKDAY($A953,-1,config_Holiday_Calendar_US),WORKDAY($A953,-1,config_Holiday_Calendar_US)),IF(ISNUMBER(_xll.BDH(config!$G$4,T$1,$A953,$A953)),_xll.BDH(config!$G$4,T$1,$A953,$A953),_xll.BDH(config!$G$5,T$1,$A953,$A953))))</f>
        <v/>
      </c>
      <c r="U953" s="8" t="str">
        <f>IF($A953="","",IF(ISNUMBER(FIND("IMPVOL",U$1)),_xll.BDH(config!$G$4,U$1,WORKDAY($A953,-1,config_Holiday_Calendar_US),WORKDAY($A953,-1,config_Holiday_Calendar_US)),IF(ISNUMBER(_xll.BDH(config!$G$4,U$1,$A953,$A953)),_xll.BDH(config!$G$4,U$1,$A953,$A953),_xll.BDH(config!$G$5,U$1,$A953,$A953))))</f>
        <v/>
      </c>
      <c r="V953" s="8" t="str">
        <f>IF($A953="","",IF(ISNUMBER(FIND("IMPVOL",V$1)),_xll.BDH(config!$G$4,V$1,WORKDAY($A953,-1,config_Holiday_Calendar_US),WORKDAY($A953,-1,config_Holiday_Calendar_US)),IF(ISNUMBER(_xll.BDH(config!$G$4,V$1,$A953,$A953)),_xll.BDH(config!$G$4,V$1,$A953,$A953),_xll.BDH(config!$G$5,V$1,$A953,$A953))))</f>
        <v/>
      </c>
      <c r="W953" s="8" t="str">
        <f>IF($A953="","",IF(ISNUMBER(FIND("IMPVOL",W$1)),_xll.BDH(config!$G$4,W$1,WORKDAY($A953,-1,config_Holiday_Calendar_US),WORKDAY($A953,-1,config_Holiday_Calendar_US)),IF(ISNUMBER(_xll.BDH(config!$G$4,W$1,$A953,$A953)),_xll.BDH(config!$G$4,W$1,$A953,$A953),_xll.BDH(config!$G$5,W$1,$A953,$A953))))</f>
        <v/>
      </c>
    </row>
    <row r="954" spans="1:23" x14ac:dyDescent="0.2">
      <c r="A954" s="9" t="str">
        <f>IF(A953="","",IF(WORKDAY(A953,-1,config_Holiday_Calendar_US)&lt;config!$I$10,"",WORKDAY(A953,-1,config_Holiday_Calendar_US)))</f>
        <v/>
      </c>
      <c r="B954" s="8" t="str">
        <f t="shared" si="14"/>
        <v/>
      </c>
      <c r="C954" s="8" t="str">
        <f>IF(A954="","",_xll.BDH(config!$H$4,C$1,$A954,$A954))</f>
        <v/>
      </c>
      <c r="D954" s="8" t="str">
        <f>IF($A954="","",_xll.BDH(config!$H$4,D$1,$A954,$A954))</f>
        <v/>
      </c>
      <c r="E954" s="8" t="str">
        <f>IF($A954="","",IF(ISNUMBER(FIND("IMPVOL",E$1)),_xll.BDH(config!$G$4,E$1,WORKDAY($A954,-1,config_Holiday_Calendar_US),WORKDAY($A954,-1,config_Holiday_Calendar_US)),IF(ISNUMBER(_xll.BDH(config!$G$4,E$1,$A954,$A954)),_xll.BDH(config!$G$4,E$1,$A954,$A954),_xll.BDH(config!$G$5,E$1,$A954,$A954))))</f>
        <v/>
      </c>
      <c r="F954" s="8" t="str">
        <f>IF($A954="","",IF(ISNUMBER(FIND("IMPVOL",F$1)),_xll.BDH(config!$G$4,F$1,WORKDAY($A954,-1,config_Holiday_Calendar_US),WORKDAY($A954,-1,config_Holiday_Calendar_US)),IF(ISNUMBER(_xll.BDH(config!$G$4,F$1,$A954,$A954)),_xll.BDH(config!$G$4,F$1,$A954,$A954),_xll.BDH(config!$G$5,F$1,$A954,$A954))))</f>
        <v/>
      </c>
      <c r="G954" s="8" t="str">
        <f>IF($A954="","",IF(ISNUMBER(FIND("IMPVOL",G$1)),_xll.BDH(config!$G$4,G$1,WORKDAY($A954,-1,config_Holiday_Calendar_US),WORKDAY($A954,-1,config_Holiday_Calendar_US)),IF(ISNUMBER(_xll.BDH(config!$G$4,G$1,$A954,$A954)),_xll.BDH(config!$G$4,G$1,$A954,$A954),_xll.BDH(config!$G$5,G$1,$A954,$A954))))</f>
        <v/>
      </c>
      <c r="H954" s="8" t="str">
        <f>IF($A954="","",IF(ISNUMBER(FIND("IMPVOL",H$1)),_xll.BDH(config!$G$4,H$1,WORKDAY($A954,-1,config_Holiday_Calendar_US),WORKDAY($A954,-1,config_Holiday_Calendar_US)),IF(ISNUMBER(_xll.BDH(config!$G$4,H$1,$A954,$A954)),_xll.BDH(config!$G$4,H$1,$A954,$A954),_xll.BDH(config!$G$5,H$1,$A954,$A954))))</f>
        <v/>
      </c>
      <c r="I954" s="8" t="str">
        <f>IF($A954="","",IF(ISNUMBER(FIND("IMPVOL",I$1)),_xll.BDH(config!$G$4,I$1,WORKDAY($A954,-1,config_Holiday_Calendar_US),WORKDAY($A954,-1,config_Holiday_Calendar_US)),IF(ISNUMBER(_xll.BDH(config!$G$4,I$1,$A954,$A954)),_xll.BDH(config!$G$4,I$1,$A954,$A954),_xll.BDH(config!$G$5,I$1,$A954,$A954))))</f>
        <v/>
      </c>
      <c r="J954" s="8" t="str">
        <f>IF($A954="","",IF(ISNUMBER(FIND("IMPVOL",J$1)),_xll.BDH(config!$G$4,J$1,WORKDAY($A954,-1,config_Holiday_Calendar_US),WORKDAY($A954,-1,config_Holiday_Calendar_US)),IF(ISNUMBER(_xll.BDH(config!$G$4,J$1,$A954,$A954)),_xll.BDH(config!$G$4,J$1,$A954,$A954),_xll.BDH(config!$G$5,J$1,$A954,$A954))))</f>
        <v/>
      </c>
      <c r="K954" s="8" t="str">
        <f>IF($A954="","",IF(ISNUMBER(FIND("IMPVOL",K$1)),_xll.BDH(config!$G$4,K$1,WORKDAY($A954,-1,config_Holiday_Calendar_US),WORKDAY($A954,-1,config_Holiday_Calendar_US)),IF(ISNUMBER(_xll.BDH(config!$G$4,K$1,$A954,$A954)),_xll.BDH(config!$G$4,K$1,$A954,$A954),_xll.BDH(config!$G$5,K$1,$A954,$A954))))</f>
        <v/>
      </c>
      <c r="L954" s="8" t="str">
        <f>IF($A954="","",IF(ISNUMBER(FIND("IMPVOL",L$1)),_xll.BDH(config!$G$4,L$1,WORKDAY($A954,-1,config_Holiday_Calendar_US),WORKDAY($A954,-1,config_Holiday_Calendar_US)),IF(ISNUMBER(_xll.BDH(config!$G$4,L$1,$A954,$A954)),_xll.BDH(config!$G$4,L$1,$A954,$A954),_xll.BDH(config!$G$5,L$1,$A954,$A954))))</f>
        <v/>
      </c>
      <c r="M954" s="8" t="str">
        <f>IF($A954="","",IF(ISNUMBER(FIND("IMPVOL",M$1)),_xll.BDH(config!$G$4,M$1,WORKDAY($A954,-1,config_Holiday_Calendar_US),WORKDAY($A954,-1,config_Holiday_Calendar_US)),IF(ISNUMBER(_xll.BDH(config!$G$4,M$1,$A954,$A954)),_xll.BDH(config!$G$4,M$1,$A954,$A954),_xll.BDH(config!$G$5,M$1,$A954,$A954))))</f>
        <v/>
      </c>
      <c r="N954" s="8" t="str">
        <f>IF($A954="","",IF(ISNUMBER(FIND("IMPVOL",N$1)),_xll.BDH(config!$G$4,N$1,WORKDAY($A954,-1,config_Holiday_Calendar_US),WORKDAY($A954,-1,config_Holiday_Calendar_US)),IF(ISNUMBER(_xll.BDH(config!$G$4,N$1,$A954,$A954)),_xll.BDH(config!$G$4,N$1,$A954,$A954),_xll.BDH(config!$G$5,N$1,$A954,$A954))))</f>
        <v/>
      </c>
      <c r="O954" s="8" t="str">
        <f>IF($A954="","",IF(ISNUMBER(FIND("IMPVOL",O$1)),_xll.BDH(config!$G$4,O$1,WORKDAY($A954,-1,config_Holiday_Calendar_US),WORKDAY($A954,-1,config_Holiday_Calendar_US)),IF(ISNUMBER(_xll.BDH(config!$G$4,O$1,$A954,$A954)),_xll.BDH(config!$G$4,O$1,$A954,$A954),_xll.BDH(config!$G$5,O$1,$A954,$A954))))</f>
        <v/>
      </c>
      <c r="P954" s="8" t="str">
        <f>IF($A954="","",IF(ISNUMBER(FIND("IMPVOL",P$1)),_xll.BDH(config!$G$4,P$1,WORKDAY($A954,-1,config_Holiday_Calendar_US),WORKDAY($A954,-1,config_Holiday_Calendar_US)),IF(ISNUMBER(_xll.BDH(config!$G$4,P$1,$A954,$A954)),_xll.BDH(config!$G$4,P$1,$A954,$A954),_xll.BDH(config!$G$5,P$1,$A954,$A954))))</f>
        <v/>
      </c>
      <c r="Q954" s="8" t="str">
        <f>IF($A954="","",IF(ISNUMBER(FIND("IMPVOL",Q$1)),_xll.BDH(config!$G$4,Q$1,WORKDAY($A954,-1,config_Holiday_Calendar_US),WORKDAY($A954,-1,config_Holiday_Calendar_US)),IF(ISNUMBER(_xll.BDH(config!$G$4,Q$1,$A954,$A954)),_xll.BDH(config!$G$4,Q$1,$A954,$A954),_xll.BDH(config!$G$5,Q$1,$A954,$A954))))</f>
        <v/>
      </c>
      <c r="R954" s="8" t="str">
        <f>IF($A954="","",IF(ISNUMBER(FIND("IMPVOL",R$1)),_xll.BDH(config!$G$4,R$1,WORKDAY($A954,-1,config_Holiday_Calendar_US),WORKDAY($A954,-1,config_Holiday_Calendar_US)),IF(ISNUMBER(_xll.BDH(config!$G$4,R$1,$A954,$A954)),_xll.BDH(config!$G$4,R$1,$A954,$A954),_xll.BDH(config!$G$5,R$1,$A954,$A954))))</f>
        <v/>
      </c>
      <c r="S954" s="8" t="str">
        <f>IF($A954="","",IF(ISNUMBER(FIND("IMPVOL",S$1)),_xll.BDH(config!$G$4,S$1,WORKDAY($A954,-1,config_Holiday_Calendar_US),WORKDAY($A954,-1,config_Holiday_Calendar_US)),IF(ISNUMBER(_xll.BDH(config!$G$4,S$1,$A954,$A954)),_xll.BDH(config!$G$4,S$1,$A954,$A954),_xll.BDH(config!$G$5,S$1,$A954,$A954))))</f>
        <v/>
      </c>
      <c r="T954" s="8" t="str">
        <f>IF($A954="","",IF(ISNUMBER(FIND("IMPVOL",T$1)),_xll.BDH(config!$G$4,T$1,WORKDAY($A954,-1,config_Holiday_Calendar_US),WORKDAY($A954,-1,config_Holiday_Calendar_US)),IF(ISNUMBER(_xll.BDH(config!$G$4,T$1,$A954,$A954)),_xll.BDH(config!$G$4,T$1,$A954,$A954),_xll.BDH(config!$G$5,T$1,$A954,$A954))))</f>
        <v/>
      </c>
      <c r="U954" s="8" t="str">
        <f>IF($A954="","",IF(ISNUMBER(FIND("IMPVOL",U$1)),_xll.BDH(config!$G$4,U$1,WORKDAY($A954,-1,config_Holiday_Calendar_US),WORKDAY($A954,-1,config_Holiday_Calendar_US)),IF(ISNUMBER(_xll.BDH(config!$G$4,U$1,$A954,$A954)),_xll.BDH(config!$G$4,U$1,$A954,$A954),_xll.BDH(config!$G$5,U$1,$A954,$A954))))</f>
        <v/>
      </c>
      <c r="V954" s="8" t="str">
        <f>IF($A954="","",IF(ISNUMBER(FIND("IMPVOL",V$1)),_xll.BDH(config!$G$4,V$1,WORKDAY($A954,-1,config_Holiday_Calendar_US),WORKDAY($A954,-1,config_Holiday_Calendar_US)),IF(ISNUMBER(_xll.BDH(config!$G$4,V$1,$A954,$A954)),_xll.BDH(config!$G$4,V$1,$A954,$A954),_xll.BDH(config!$G$5,V$1,$A954,$A954))))</f>
        <v/>
      </c>
      <c r="W954" s="8" t="str">
        <f>IF($A954="","",IF(ISNUMBER(FIND("IMPVOL",W$1)),_xll.BDH(config!$G$4,W$1,WORKDAY($A954,-1,config_Holiday_Calendar_US),WORKDAY($A954,-1,config_Holiday_Calendar_US)),IF(ISNUMBER(_xll.BDH(config!$G$4,W$1,$A954,$A954)),_xll.BDH(config!$G$4,W$1,$A954,$A954),_xll.BDH(config!$G$5,W$1,$A954,$A954))))</f>
        <v/>
      </c>
    </row>
    <row r="955" spans="1:23" x14ac:dyDescent="0.2">
      <c r="A955" s="9" t="str">
        <f>IF(A954="","",IF(WORKDAY(A954,-1,config_Holiday_Calendar_US)&lt;config!$I$10,"",WORKDAY(A954,-1,config_Holiday_Calendar_US)))</f>
        <v/>
      </c>
      <c r="B955" s="8" t="str">
        <f t="shared" si="14"/>
        <v/>
      </c>
      <c r="C955" s="8" t="str">
        <f>IF(A955="","",_xll.BDH(config!$H$4,C$1,$A955,$A955))</f>
        <v/>
      </c>
      <c r="D955" s="8" t="str">
        <f>IF($A955="","",_xll.BDH(config!$H$4,D$1,$A955,$A955))</f>
        <v/>
      </c>
      <c r="E955" s="8" t="str">
        <f>IF($A955="","",IF(ISNUMBER(FIND("IMPVOL",E$1)),_xll.BDH(config!$G$4,E$1,WORKDAY($A955,-1,config_Holiday_Calendar_US),WORKDAY($A955,-1,config_Holiday_Calendar_US)),IF(ISNUMBER(_xll.BDH(config!$G$4,E$1,$A955,$A955)),_xll.BDH(config!$G$4,E$1,$A955,$A955),_xll.BDH(config!$G$5,E$1,$A955,$A955))))</f>
        <v/>
      </c>
      <c r="F955" s="8" t="str">
        <f>IF($A955="","",IF(ISNUMBER(FIND("IMPVOL",F$1)),_xll.BDH(config!$G$4,F$1,WORKDAY($A955,-1,config_Holiday_Calendar_US),WORKDAY($A955,-1,config_Holiday_Calendar_US)),IF(ISNUMBER(_xll.BDH(config!$G$4,F$1,$A955,$A955)),_xll.BDH(config!$G$4,F$1,$A955,$A955),_xll.BDH(config!$G$5,F$1,$A955,$A955))))</f>
        <v/>
      </c>
      <c r="G955" s="8" t="str">
        <f>IF($A955="","",IF(ISNUMBER(FIND("IMPVOL",G$1)),_xll.BDH(config!$G$4,G$1,WORKDAY($A955,-1,config_Holiday_Calendar_US),WORKDAY($A955,-1,config_Holiday_Calendar_US)),IF(ISNUMBER(_xll.BDH(config!$G$4,G$1,$A955,$A955)),_xll.BDH(config!$G$4,G$1,$A955,$A955),_xll.BDH(config!$G$5,G$1,$A955,$A955))))</f>
        <v/>
      </c>
      <c r="H955" s="8" t="str">
        <f>IF($A955="","",IF(ISNUMBER(FIND("IMPVOL",H$1)),_xll.BDH(config!$G$4,H$1,WORKDAY($A955,-1,config_Holiday_Calendar_US),WORKDAY($A955,-1,config_Holiday_Calendar_US)),IF(ISNUMBER(_xll.BDH(config!$G$4,H$1,$A955,$A955)),_xll.BDH(config!$G$4,H$1,$A955,$A955),_xll.BDH(config!$G$5,H$1,$A955,$A955))))</f>
        <v/>
      </c>
      <c r="I955" s="8" t="str">
        <f>IF($A955="","",IF(ISNUMBER(FIND("IMPVOL",I$1)),_xll.BDH(config!$G$4,I$1,WORKDAY($A955,-1,config_Holiday_Calendar_US),WORKDAY($A955,-1,config_Holiday_Calendar_US)),IF(ISNUMBER(_xll.BDH(config!$G$4,I$1,$A955,$A955)),_xll.BDH(config!$G$4,I$1,$A955,$A955),_xll.BDH(config!$G$5,I$1,$A955,$A955))))</f>
        <v/>
      </c>
      <c r="J955" s="8" t="str">
        <f>IF($A955="","",IF(ISNUMBER(FIND("IMPVOL",J$1)),_xll.BDH(config!$G$4,J$1,WORKDAY($A955,-1,config_Holiday_Calendar_US),WORKDAY($A955,-1,config_Holiday_Calendar_US)),IF(ISNUMBER(_xll.BDH(config!$G$4,J$1,$A955,$A955)),_xll.BDH(config!$G$4,J$1,$A955,$A955),_xll.BDH(config!$G$5,J$1,$A955,$A955))))</f>
        <v/>
      </c>
      <c r="K955" s="8" t="str">
        <f>IF($A955="","",IF(ISNUMBER(FIND("IMPVOL",K$1)),_xll.BDH(config!$G$4,K$1,WORKDAY($A955,-1,config_Holiday_Calendar_US),WORKDAY($A955,-1,config_Holiday_Calendar_US)),IF(ISNUMBER(_xll.BDH(config!$G$4,K$1,$A955,$A955)),_xll.BDH(config!$G$4,K$1,$A955,$A955),_xll.BDH(config!$G$5,K$1,$A955,$A955))))</f>
        <v/>
      </c>
      <c r="L955" s="8" t="str">
        <f>IF($A955="","",IF(ISNUMBER(FIND("IMPVOL",L$1)),_xll.BDH(config!$G$4,L$1,WORKDAY($A955,-1,config_Holiday_Calendar_US),WORKDAY($A955,-1,config_Holiday_Calendar_US)),IF(ISNUMBER(_xll.BDH(config!$G$4,L$1,$A955,$A955)),_xll.BDH(config!$G$4,L$1,$A955,$A955),_xll.BDH(config!$G$5,L$1,$A955,$A955))))</f>
        <v/>
      </c>
      <c r="M955" s="8" t="str">
        <f>IF($A955="","",IF(ISNUMBER(FIND("IMPVOL",M$1)),_xll.BDH(config!$G$4,M$1,WORKDAY($A955,-1,config_Holiday_Calendar_US),WORKDAY($A955,-1,config_Holiday_Calendar_US)),IF(ISNUMBER(_xll.BDH(config!$G$4,M$1,$A955,$A955)),_xll.BDH(config!$G$4,M$1,$A955,$A955),_xll.BDH(config!$G$5,M$1,$A955,$A955))))</f>
        <v/>
      </c>
      <c r="N955" s="8" t="str">
        <f>IF($A955="","",IF(ISNUMBER(FIND("IMPVOL",N$1)),_xll.BDH(config!$G$4,N$1,WORKDAY($A955,-1,config_Holiday_Calendar_US),WORKDAY($A955,-1,config_Holiday_Calendar_US)),IF(ISNUMBER(_xll.BDH(config!$G$4,N$1,$A955,$A955)),_xll.BDH(config!$G$4,N$1,$A955,$A955),_xll.BDH(config!$G$5,N$1,$A955,$A955))))</f>
        <v/>
      </c>
      <c r="O955" s="8" t="str">
        <f>IF($A955="","",IF(ISNUMBER(FIND("IMPVOL",O$1)),_xll.BDH(config!$G$4,O$1,WORKDAY($A955,-1,config_Holiday_Calendar_US),WORKDAY($A955,-1,config_Holiday_Calendar_US)),IF(ISNUMBER(_xll.BDH(config!$G$4,O$1,$A955,$A955)),_xll.BDH(config!$G$4,O$1,$A955,$A955),_xll.BDH(config!$G$5,O$1,$A955,$A955))))</f>
        <v/>
      </c>
      <c r="P955" s="8" t="str">
        <f>IF($A955="","",IF(ISNUMBER(FIND("IMPVOL",P$1)),_xll.BDH(config!$G$4,P$1,WORKDAY($A955,-1,config_Holiday_Calendar_US),WORKDAY($A955,-1,config_Holiday_Calendar_US)),IF(ISNUMBER(_xll.BDH(config!$G$4,P$1,$A955,$A955)),_xll.BDH(config!$G$4,P$1,$A955,$A955),_xll.BDH(config!$G$5,P$1,$A955,$A955))))</f>
        <v/>
      </c>
      <c r="Q955" s="8" t="str">
        <f>IF($A955="","",IF(ISNUMBER(FIND("IMPVOL",Q$1)),_xll.BDH(config!$G$4,Q$1,WORKDAY($A955,-1,config_Holiday_Calendar_US),WORKDAY($A955,-1,config_Holiday_Calendar_US)),IF(ISNUMBER(_xll.BDH(config!$G$4,Q$1,$A955,$A955)),_xll.BDH(config!$G$4,Q$1,$A955,$A955),_xll.BDH(config!$G$5,Q$1,$A955,$A955))))</f>
        <v/>
      </c>
      <c r="R955" s="8" t="str">
        <f>IF($A955="","",IF(ISNUMBER(FIND("IMPVOL",R$1)),_xll.BDH(config!$G$4,R$1,WORKDAY($A955,-1,config_Holiday_Calendar_US),WORKDAY($A955,-1,config_Holiday_Calendar_US)),IF(ISNUMBER(_xll.BDH(config!$G$4,R$1,$A955,$A955)),_xll.BDH(config!$G$4,R$1,$A955,$A955),_xll.BDH(config!$G$5,R$1,$A955,$A955))))</f>
        <v/>
      </c>
      <c r="S955" s="8" t="str">
        <f>IF($A955="","",IF(ISNUMBER(FIND("IMPVOL",S$1)),_xll.BDH(config!$G$4,S$1,WORKDAY($A955,-1,config_Holiday_Calendar_US),WORKDAY($A955,-1,config_Holiday_Calendar_US)),IF(ISNUMBER(_xll.BDH(config!$G$4,S$1,$A955,$A955)),_xll.BDH(config!$G$4,S$1,$A955,$A955),_xll.BDH(config!$G$5,S$1,$A955,$A955))))</f>
        <v/>
      </c>
      <c r="T955" s="8" t="str">
        <f>IF($A955="","",IF(ISNUMBER(FIND("IMPVOL",T$1)),_xll.BDH(config!$G$4,T$1,WORKDAY($A955,-1,config_Holiday_Calendar_US),WORKDAY($A955,-1,config_Holiday_Calendar_US)),IF(ISNUMBER(_xll.BDH(config!$G$4,T$1,$A955,$A955)),_xll.BDH(config!$G$4,T$1,$A955,$A955),_xll.BDH(config!$G$5,T$1,$A955,$A955))))</f>
        <v/>
      </c>
      <c r="U955" s="8" t="str">
        <f>IF($A955="","",IF(ISNUMBER(FIND("IMPVOL",U$1)),_xll.BDH(config!$G$4,U$1,WORKDAY($A955,-1,config_Holiday_Calendar_US),WORKDAY($A955,-1,config_Holiday_Calendar_US)),IF(ISNUMBER(_xll.BDH(config!$G$4,U$1,$A955,$A955)),_xll.BDH(config!$G$4,U$1,$A955,$A955),_xll.BDH(config!$G$5,U$1,$A955,$A955))))</f>
        <v/>
      </c>
      <c r="V955" s="8" t="str">
        <f>IF($A955="","",IF(ISNUMBER(FIND("IMPVOL",V$1)),_xll.BDH(config!$G$4,V$1,WORKDAY($A955,-1,config_Holiday_Calendar_US),WORKDAY($A955,-1,config_Holiday_Calendar_US)),IF(ISNUMBER(_xll.BDH(config!$G$4,V$1,$A955,$A955)),_xll.BDH(config!$G$4,V$1,$A955,$A955),_xll.BDH(config!$G$5,V$1,$A955,$A955))))</f>
        <v/>
      </c>
      <c r="W955" s="8" t="str">
        <f>IF($A955="","",IF(ISNUMBER(FIND("IMPVOL",W$1)),_xll.BDH(config!$G$4,W$1,WORKDAY($A955,-1,config_Holiday_Calendar_US),WORKDAY($A955,-1,config_Holiday_Calendar_US)),IF(ISNUMBER(_xll.BDH(config!$G$4,W$1,$A955,$A955)),_xll.BDH(config!$G$4,W$1,$A955,$A955),_xll.BDH(config!$G$5,W$1,$A955,$A955))))</f>
        <v/>
      </c>
    </row>
    <row r="956" spans="1:23" x14ac:dyDescent="0.2">
      <c r="A956" s="9" t="str">
        <f>IF(A955="","",IF(WORKDAY(A955,-1,config_Holiday_Calendar_US)&lt;config!$I$10,"",WORKDAY(A955,-1,config_Holiday_Calendar_US)))</f>
        <v/>
      </c>
      <c r="B956" s="8" t="str">
        <f t="shared" si="14"/>
        <v/>
      </c>
      <c r="C956" s="8" t="str">
        <f>IF(A956="","",_xll.BDH(config!$H$4,C$1,$A956,$A956))</f>
        <v/>
      </c>
      <c r="D956" s="8" t="str">
        <f>IF($A956="","",_xll.BDH(config!$H$4,D$1,$A956,$A956))</f>
        <v/>
      </c>
      <c r="E956" s="8" t="str">
        <f>IF($A956="","",IF(ISNUMBER(FIND("IMPVOL",E$1)),_xll.BDH(config!$G$4,E$1,WORKDAY($A956,-1,config_Holiday_Calendar_US),WORKDAY($A956,-1,config_Holiday_Calendar_US)),IF(ISNUMBER(_xll.BDH(config!$G$4,E$1,$A956,$A956)),_xll.BDH(config!$G$4,E$1,$A956,$A956),_xll.BDH(config!$G$5,E$1,$A956,$A956))))</f>
        <v/>
      </c>
      <c r="F956" s="8" t="str">
        <f>IF($A956="","",IF(ISNUMBER(FIND("IMPVOL",F$1)),_xll.BDH(config!$G$4,F$1,WORKDAY($A956,-1,config_Holiday_Calendar_US),WORKDAY($A956,-1,config_Holiday_Calendar_US)),IF(ISNUMBER(_xll.BDH(config!$G$4,F$1,$A956,$A956)),_xll.BDH(config!$G$4,F$1,$A956,$A956),_xll.BDH(config!$G$5,F$1,$A956,$A956))))</f>
        <v/>
      </c>
      <c r="G956" s="8" t="str">
        <f>IF($A956="","",IF(ISNUMBER(FIND("IMPVOL",G$1)),_xll.BDH(config!$G$4,G$1,WORKDAY($A956,-1,config_Holiday_Calendar_US),WORKDAY($A956,-1,config_Holiday_Calendar_US)),IF(ISNUMBER(_xll.BDH(config!$G$4,G$1,$A956,$A956)),_xll.BDH(config!$G$4,G$1,$A956,$A956),_xll.BDH(config!$G$5,G$1,$A956,$A956))))</f>
        <v/>
      </c>
      <c r="H956" s="8" t="str">
        <f>IF($A956="","",IF(ISNUMBER(FIND("IMPVOL",H$1)),_xll.BDH(config!$G$4,H$1,WORKDAY($A956,-1,config_Holiday_Calendar_US),WORKDAY($A956,-1,config_Holiday_Calendar_US)),IF(ISNUMBER(_xll.BDH(config!$G$4,H$1,$A956,$A956)),_xll.BDH(config!$G$4,H$1,$A956,$A956),_xll.BDH(config!$G$5,H$1,$A956,$A956))))</f>
        <v/>
      </c>
      <c r="I956" s="8" t="str">
        <f>IF($A956="","",IF(ISNUMBER(FIND("IMPVOL",I$1)),_xll.BDH(config!$G$4,I$1,WORKDAY($A956,-1,config_Holiday_Calendar_US),WORKDAY($A956,-1,config_Holiday_Calendar_US)),IF(ISNUMBER(_xll.BDH(config!$G$4,I$1,$A956,$A956)),_xll.BDH(config!$G$4,I$1,$A956,$A956),_xll.BDH(config!$G$5,I$1,$A956,$A956))))</f>
        <v/>
      </c>
      <c r="J956" s="8" t="str">
        <f>IF($A956="","",IF(ISNUMBER(FIND("IMPVOL",J$1)),_xll.BDH(config!$G$4,J$1,WORKDAY($A956,-1,config_Holiday_Calendar_US),WORKDAY($A956,-1,config_Holiday_Calendar_US)),IF(ISNUMBER(_xll.BDH(config!$G$4,J$1,$A956,$A956)),_xll.BDH(config!$G$4,J$1,$A956,$A956),_xll.BDH(config!$G$5,J$1,$A956,$A956))))</f>
        <v/>
      </c>
      <c r="K956" s="8" t="str">
        <f>IF($A956="","",IF(ISNUMBER(FIND("IMPVOL",K$1)),_xll.BDH(config!$G$4,K$1,WORKDAY($A956,-1,config_Holiday_Calendar_US),WORKDAY($A956,-1,config_Holiday_Calendar_US)),IF(ISNUMBER(_xll.BDH(config!$G$4,K$1,$A956,$A956)),_xll.BDH(config!$G$4,K$1,$A956,$A956),_xll.BDH(config!$G$5,K$1,$A956,$A956))))</f>
        <v/>
      </c>
      <c r="L956" s="8" t="str">
        <f>IF($A956="","",IF(ISNUMBER(FIND("IMPVOL",L$1)),_xll.BDH(config!$G$4,L$1,WORKDAY($A956,-1,config_Holiday_Calendar_US),WORKDAY($A956,-1,config_Holiday_Calendar_US)),IF(ISNUMBER(_xll.BDH(config!$G$4,L$1,$A956,$A956)),_xll.BDH(config!$G$4,L$1,$A956,$A956),_xll.BDH(config!$G$5,L$1,$A956,$A956))))</f>
        <v/>
      </c>
      <c r="M956" s="8" t="str">
        <f>IF($A956="","",IF(ISNUMBER(FIND("IMPVOL",M$1)),_xll.BDH(config!$G$4,M$1,WORKDAY($A956,-1,config_Holiday_Calendar_US),WORKDAY($A956,-1,config_Holiday_Calendar_US)),IF(ISNUMBER(_xll.BDH(config!$G$4,M$1,$A956,$A956)),_xll.BDH(config!$G$4,M$1,$A956,$A956),_xll.BDH(config!$G$5,M$1,$A956,$A956))))</f>
        <v/>
      </c>
      <c r="N956" s="8" t="str">
        <f>IF($A956="","",IF(ISNUMBER(FIND("IMPVOL",N$1)),_xll.BDH(config!$G$4,N$1,WORKDAY($A956,-1,config_Holiday_Calendar_US),WORKDAY($A956,-1,config_Holiday_Calendar_US)),IF(ISNUMBER(_xll.BDH(config!$G$4,N$1,$A956,$A956)),_xll.BDH(config!$G$4,N$1,$A956,$A956),_xll.BDH(config!$G$5,N$1,$A956,$A956))))</f>
        <v/>
      </c>
      <c r="O956" s="8" t="str">
        <f>IF($A956="","",IF(ISNUMBER(FIND("IMPVOL",O$1)),_xll.BDH(config!$G$4,O$1,WORKDAY($A956,-1,config_Holiday_Calendar_US),WORKDAY($A956,-1,config_Holiday_Calendar_US)),IF(ISNUMBER(_xll.BDH(config!$G$4,O$1,$A956,$A956)),_xll.BDH(config!$G$4,O$1,$A956,$A956),_xll.BDH(config!$G$5,O$1,$A956,$A956))))</f>
        <v/>
      </c>
      <c r="P956" s="8" t="str">
        <f>IF($A956="","",IF(ISNUMBER(FIND("IMPVOL",P$1)),_xll.BDH(config!$G$4,P$1,WORKDAY($A956,-1,config_Holiday_Calendar_US),WORKDAY($A956,-1,config_Holiday_Calendar_US)),IF(ISNUMBER(_xll.BDH(config!$G$4,P$1,$A956,$A956)),_xll.BDH(config!$G$4,P$1,$A956,$A956),_xll.BDH(config!$G$5,P$1,$A956,$A956))))</f>
        <v/>
      </c>
      <c r="Q956" s="8" t="str">
        <f>IF($A956="","",IF(ISNUMBER(FIND("IMPVOL",Q$1)),_xll.BDH(config!$G$4,Q$1,WORKDAY($A956,-1,config_Holiday_Calendar_US),WORKDAY($A956,-1,config_Holiday_Calendar_US)),IF(ISNUMBER(_xll.BDH(config!$G$4,Q$1,$A956,$A956)),_xll.BDH(config!$G$4,Q$1,$A956,$A956),_xll.BDH(config!$G$5,Q$1,$A956,$A956))))</f>
        <v/>
      </c>
      <c r="R956" s="8" t="str">
        <f>IF($A956="","",IF(ISNUMBER(FIND("IMPVOL",R$1)),_xll.BDH(config!$G$4,R$1,WORKDAY($A956,-1,config_Holiday_Calendar_US),WORKDAY($A956,-1,config_Holiday_Calendar_US)),IF(ISNUMBER(_xll.BDH(config!$G$4,R$1,$A956,$A956)),_xll.BDH(config!$G$4,R$1,$A956,$A956),_xll.BDH(config!$G$5,R$1,$A956,$A956))))</f>
        <v/>
      </c>
      <c r="S956" s="8" t="str">
        <f>IF($A956="","",IF(ISNUMBER(FIND("IMPVOL",S$1)),_xll.BDH(config!$G$4,S$1,WORKDAY($A956,-1,config_Holiday_Calendar_US),WORKDAY($A956,-1,config_Holiday_Calendar_US)),IF(ISNUMBER(_xll.BDH(config!$G$4,S$1,$A956,$A956)),_xll.BDH(config!$G$4,S$1,$A956,$A956),_xll.BDH(config!$G$5,S$1,$A956,$A956))))</f>
        <v/>
      </c>
      <c r="T956" s="8" t="str">
        <f>IF($A956="","",IF(ISNUMBER(FIND("IMPVOL",T$1)),_xll.BDH(config!$G$4,T$1,WORKDAY($A956,-1,config_Holiday_Calendar_US),WORKDAY($A956,-1,config_Holiday_Calendar_US)),IF(ISNUMBER(_xll.BDH(config!$G$4,T$1,$A956,$A956)),_xll.BDH(config!$G$4,T$1,$A956,$A956),_xll.BDH(config!$G$5,T$1,$A956,$A956))))</f>
        <v/>
      </c>
      <c r="U956" s="8" t="str">
        <f>IF($A956="","",IF(ISNUMBER(FIND("IMPVOL",U$1)),_xll.BDH(config!$G$4,U$1,WORKDAY($A956,-1,config_Holiday_Calendar_US),WORKDAY($A956,-1,config_Holiday_Calendar_US)),IF(ISNUMBER(_xll.BDH(config!$G$4,U$1,$A956,$A956)),_xll.BDH(config!$G$4,U$1,$A956,$A956),_xll.BDH(config!$G$5,U$1,$A956,$A956))))</f>
        <v/>
      </c>
      <c r="V956" s="8" t="str">
        <f>IF($A956="","",IF(ISNUMBER(FIND("IMPVOL",V$1)),_xll.BDH(config!$G$4,V$1,WORKDAY($A956,-1,config_Holiday_Calendar_US),WORKDAY($A956,-1,config_Holiday_Calendar_US)),IF(ISNUMBER(_xll.BDH(config!$G$4,V$1,$A956,$A956)),_xll.BDH(config!$G$4,V$1,$A956,$A956),_xll.BDH(config!$G$5,V$1,$A956,$A956))))</f>
        <v/>
      </c>
      <c r="W956" s="8" t="str">
        <f>IF($A956="","",IF(ISNUMBER(FIND("IMPVOL",W$1)),_xll.BDH(config!$G$4,W$1,WORKDAY($A956,-1,config_Holiday_Calendar_US),WORKDAY($A956,-1,config_Holiday_Calendar_US)),IF(ISNUMBER(_xll.BDH(config!$G$4,W$1,$A956,$A956)),_xll.BDH(config!$G$4,W$1,$A956,$A956),_xll.BDH(config!$G$5,W$1,$A956,$A956))))</f>
        <v/>
      </c>
    </row>
    <row r="957" spans="1:23" x14ac:dyDescent="0.2">
      <c r="A957" s="9" t="str">
        <f>IF(A956="","",IF(WORKDAY(A956,-1,config_Holiday_Calendar_US)&lt;config!$I$10,"",WORKDAY(A956,-1,config_Holiday_Calendar_US)))</f>
        <v/>
      </c>
      <c r="B957" s="8" t="str">
        <f t="shared" si="14"/>
        <v/>
      </c>
      <c r="C957" s="8" t="str">
        <f>IF(A957="","",_xll.BDH(config!$H$4,C$1,$A957,$A957))</f>
        <v/>
      </c>
      <c r="D957" s="8" t="str">
        <f>IF($A957="","",_xll.BDH(config!$H$4,D$1,$A957,$A957))</f>
        <v/>
      </c>
      <c r="E957" s="8" t="str">
        <f>IF($A957="","",IF(ISNUMBER(FIND("IMPVOL",E$1)),_xll.BDH(config!$G$4,E$1,WORKDAY($A957,-1,config_Holiday_Calendar_US),WORKDAY($A957,-1,config_Holiday_Calendar_US)),IF(ISNUMBER(_xll.BDH(config!$G$4,E$1,$A957,$A957)),_xll.BDH(config!$G$4,E$1,$A957,$A957),_xll.BDH(config!$G$5,E$1,$A957,$A957))))</f>
        <v/>
      </c>
      <c r="F957" s="8" t="str">
        <f>IF($A957="","",IF(ISNUMBER(FIND("IMPVOL",F$1)),_xll.BDH(config!$G$4,F$1,WORKDAY($A957,-1,config_Holiday_Calendar_US),WORKDAY($A957,-1,config_Holiday_Calendar_US)),IF(ISNUMBER(_xll.BDH(config!$G$4,F$1,$A957,$A957)),_xll.BDH(config!$G$4,F$1,$A957,$A957),_xll.BDH(config!$G$5,F$1,$A957,$A957))))</f>
        <v/>
      </c>
      <c r="G957" s="8" t="str">
        <f>IF($A957="","",IF(ISNUMBER(FIND("IMPVOL",G$1)),_xll.BDH(config!$G$4,G$1,WORKDAY($A957,-1,config_Holiday_Calendar_US),WORKDAY($A957,-1,config_Holiday_Calendar_US)),IF(ISNUMBER(_xll.BDH(config!$G$4,G$1,$A957,$A957)),_xll.BDH(config!$G$4,G$1,$A957,$A957),_xll.BDH(config!$G$5,G$1,$A957,$A957))))</f>
        <v/>
      </c>
      <c r="H957" s="8" t="str">
        <f>IF($A957="","",IF(ISNUMBER(FIND("IMPVOL",H$1)),_xll.BDH(config!$G$4,H$1,WORKDAY($A957,-1,config_Holiday_Calendar_US),WORKDAY($A957,-1,config_Holiday_Calendar_US)),IF(ISNUMBER(_xll.BDH(config!$G$4,H$1,$A957,$A957)),_xll.BDH(config!$G$4,H$1,$A957,$A957),_xll.BDH(config!$G$5,H$1,$A957,$A957))))</f>
        <v/>
      </c>
      <c r="I957" s="8" t="str">
        <f>IF($A957="","",IF(ISNUMBER(FIND("IMPVOL",I$1)),_xll.BDH(config!$G$4,I$1,WORKDAY($A957,-1,config_Holiday_Calendar_US),WORKDAY($A957,-1,config_Holiday_Calendar_US)),IF(ISNUMBER(_xll.BDH(config!$G$4,I$1,$A957,$A957)),_xll.BDH(config!$G$4,I$1,$A957,$A957),_xll.BDH(config!$G$5,I$1,$A957,$A957))))</f>
        <v/>
      </c>
      <c r="J957" s="8" t="str">
        <f>IF($A957="","",IF(ISNUMBER(FIND("IMPVOL",J$1)),_xll.BDH(config!$G$4,J$1,WORKDAY($A957,-1,config_Holiday_Calendar_US),WORKDAY($A957,-1,config_Holiday_Calendar_US)),IF(ISNUMBER(_xll.BDH(config!$G$4,J$1,$A957,$A957)),_xll.BDH(config!$G$4,J$1,$A957,$A957),_xll.BDH(config!$G$5,J$1,$A957,$A957))))</f>
        <v/>
      </c>
      <c r="K957" s="8" t="str">
        <f>IF($A957="","",IF(ISNUMBER(FIND("IMPVOL",K$1)),_xll.BDH(config!$G$4,K$1,WORKDAY($A957,-1,config_Holiday_Calendar_US),WORKDAY($A957,-1,config_Holiday_Calendar_US)),IF(ISNUMBER(_xll.BDH(config!$G$4,K$1,$A957,$A957)),_xll.BDH(config!$G$4,K$1,$A957,$A957),_xll.BDH(config!$G$5,K$1,$A957,$A957))))</f>
        <v/>
      </c>
      <c r="L957" s="8" t="str">
        <f>IF($A957="","",IF(ISNUMBER(FIND("IMPVOL",L$1)),_xll.BDH(config!$G$4,L$1,WORKDAY($A957,-1,config_Holiday_Calendar_US),WORKDAY($A957,-1,config_Holiday_Calendar_US)),IF(ISNUMBER(_xll.BDH(config!$G$4,L$1,$A957,$A957)),_xll.BDH(config!$G$4,L$1,$A957,$A957),_xll.BDH(config!$G$5,L$1,$A957,$A957))))</f>
        <v/>
      </c>
      <c r="M957" s="8" t="str">
        <f>IF($A957="","",IF(ISNUMBER(FIND("IMPVOL",M$1)),_xll.BDH(config!$G$4,M$1,WORKDAY($A957,-1,config_Holiday_Calendar_US),WORKDAY($A957,-1,config_Holiday_Calendar_US)),IF(ISNUMBER(_xll.BDH(config!$G$4,M$1,$A957,$A957)),_xll.BDH(config!$G$4,M$1,$A957,$A957),_xll.BDH(config!$G$5,M$1,$A957,$A957))))</f>
        <v/>
      </c>
      <c r="N957" s="8" t="str">
        <f>IF($A957="","",IF(ISNUMBER(FIND("IMPVOL",N$1)),_xll.BDH(config!$G$4,N$1,WORKDAY($A957,-1,config_Holiday_Calendar_US),WORKDAY($A957,-1,config_Holiday_Calendar_US)),IF(ISNUMBER(_xll.BDH(config!$G$4,N$1,$A957,$A957)),_xll.BDH(config!$G$4,N$1,$A957,$A957),_xll.BDH(config!$G$5,N$1,$A957,$A957))))</f>
        <v/>
      </c>
      <c r="O957" s="8" t="str">
        <f>IF($A957="","",IF(ISNUMBER(FIND("IMPVOL",O$1)),_xll.BDH(config!$G$4,O$1,WORKDAY($A957,-1,config_Holiday_Calendar_US),WORKDAY($A957,-1,config_Holiday_Calendar_US)),IF(ISNUMBER(_xll.BDH(config!$G$4,O$1,$A957,$A957)),_xll.BDH(config!$G$4,O$1,$A957,$A957),_xll.BDH(config!$G$5,O$1,$A957,$A957))))</f>
        <v/>
      </c>
      <c r="P957" s="8" t="str">
        <f>IF($A957="","",IF(ISNUMBER(FIND("IMPVOL",P$1)),_xll.BDH(config!$G$4,P$1,WORKDAY($A957,-1,config_Holiday_Calendar_US),WORKDAY($A957,-1,config_Holiday_Calendar_US)),IF(ISNUMBER(_xll.BDH(config!$G$4,P$1,$A957,$A957)),_xll.BDH(config!$G$4,P$1,$A957,$A957),_xll.BDH(config!$G$5,P$1,$A957,$A957))))</f>
        <v/>
      </c>
      <c r="Q957" s="8" t="str">
        <f>IF($A957="","",IF(ISNUMBER(FIND("IMPVOL",Q$1)),_xll.BDH(config!$G$4,Q$1,WORKDAY($A957,-1,config_Holiday_Calendar_US),WORKDAY($A957,-1,config_Holiday_Calendar_US)),IF(ISNUMBER(_xll.BDH(config!$G$4,Q$1,$A957,$A957)),_xll.BDH(config!$G$4,Q$1,$A957,$A957),_xll.BDH(config!$G$5,Q$1,$A957,$A957))))</f>
        <v/>
      </c>
      <c r="R957" s="8" t="str">
        <f>IF($A957="","",IF(ISNUMBER(FIND("IMPVOL",R$1)),_xll.BDH(config!$G$4,R$1,WORKDAY($A957,-1,config_Holiday_Calendar_US),WORKDAY($A957,-1,config_Holiday_Calendar_US)),IF(ISNUMBER(_xll.BDH(config!$G$4,R$1,$A957,$A957)),_xll.BDH(config!$G$4,R$1,$A957,$A957),_xll.BDH(config!$G$5,R$1,$A957,$A957))))</f>
        <v/>
      </c>
      <c r="S957" s="8" t="str">
        <f>IF($A957="","",IF(ISNUMBER(FIND("IMPVOL",S$1)),_xll.BDH(config!$G$4,S$1,WORKDAY($A957,-1,config_Holiday_Calendar_US),WORKDAY($A957,-1,config_Holiday_Calendar_US)),IF(ISNUMBER(_xll.BDH(config!$G$4,S$1,$A957,$A957)),_xll.BDH(config!$G$4,S$1,$A957,$A957),_xll.BDH(config!$G$5,S$1,$A957,$A957))))</f>
        <v/>
      </c>
      <c r="T957" s="8" t="str">
        <f>IF($A957="","",IF(ISNUMBER(FIND("IMPVOL",T$1)),_xll.BDH(config!$G$4,T$1,WORKDAY($A957,-1,config_Holiday_Calendar_US),WORKDAY($A957,-1,config_Holiday_Calendar_US)),IF(ISNUMBER(_xll.BDH(config!$G$4,T$1,$A957,$A957)),_xll.BDH(config!$G$4,T$1,$A957,$A957),_xll.BDH(config!$G$5,T$1,$A957,$A957))))</f>
        <v/>
      </c>
      <c r="U957" s="8" t="str">
        <f>IF($A957="","",IF(ISNUMBER(FIND("IMPVOL",U$1)),_xll.BDH(config!$G$4,U$1,WORKDAY($A957,-1,config_Holiday_Calendar_US),WORKDAY($A957,-1,config_Holiday_Calendar_US)),IF(ISNUMBER(_xll.BDH(config!$G$4,U$1,$A957,$A957)),_xll.BDH(config!$G$4,U$1,$A957,$A957),_xll.BDH(config!$G$5,U$1,$A957,$A957))))</f>
        <v/>
      </c>
      <c r="V957" s="8" t="str">
        <f>IF($A957="","",IF(ISNUMBER(FIND("IMPVOL",V$1)),_xll.BDH(config!$G$4,V$1,WORKDAY($A957,-1,config_Holiday_Calendar_US),WORKDAY($A957,-1,config_Holiday_Calendar_US)),IF(ISNUMBER(_xll.BDH(config!$G$4,V$1,$A957,$A957)),_xll.BDH(config!$G$4,V$1,$A957,$A957),_xll.BDH(config!$G$5,V$1,$A957,$A957))))</f>
        <v/>
      </c>
      <c r="W957" s="8" t="str">
        <f>IF($A957="","",IF(ISNUMBER(FIND("IMPVOL",W$1)),_xll.BDH(config!$G$4,W$1,WORKDAY($A957,-1,config_Holiday_Calendar_US),WORKDAY($A957,-1,config_Holiday_Calendar_US)),IF(ISNUMBER(_xll.BDH(config!$G$4,W$1,$A957,$A957)),_xll.BDH(config!$G$4,W$1,$A957,$A957),_xll.BDH(config!$G$5,W$1,$A957,$A957))))</f>
        <v/>
      </c>
    </row>
    <row r="958" spans="1:23" x14ac:dyDescent="0.2">
      <c r="A958" s="9" t="str">
        <f>IF(A957="","",IF(WORKDAY(A957,-1,config_Holiday_Calendar_US)&lt;config!$I$10,"",WORKDAY(A957,-1,config_Holiday_Calendar_US)))</f>
        <v/>
      </c>
      <c r="B958" s="8" t="str">
        <f t="shared" si="14"/>
        <v/>
      </c>
      <c r="C958" s="8" t="str">
        <f>IF(A958="","",_xll.BDH(config!$H$4,C$1,$A958,$A958))</f>
        <v/>
      </c>
      <c r="D958" s="8" t="str">
        <f>IF($A958="","",_xll.BDH(config!$H$4,D$1,$A958,$A958))</f>
        <v/>
      </c>
      <c r="E958" s="8" t="str">
        <f>IF($A958="","",IF(ISNUMBER(FIND("IMPVOL",E$1)),_xll.BDH(config!$G$4,E$1,WORKDAY($A958,-1,config_Holiday_Calendar_US),WORKDAY($A958,-1,config_Holiday_Calendar_US)),IF(ISNUMBER(_xll.BDH(config!$G$4,E$1,$A958,$A958)),_xll.BDH(config!$G$4,E$1,$A958,$A958),_xll.BDH(config!$G$5,E$1,$A958,$A958))))</f>
        <v/>
      </c>
      <c r="F958" s="8" t="str">
        <f>IF($A958="","",IF(ISNUMBER(FIND("IMPVOL",F$1)),_xll.BDH(config!$G$4,F$1,WORKDAY($A958,-1,config_Holiday_Calendar_US),WORKDAY($A958,-1,config_Holiday_Calendar_US)),IF(ISNUMBER(_xll.BDH(config!$G$4,F$1,$A958,$A958)),_xll.BDH(config!$G$4,F$1,$A958,$A958),_xll.BDH(config!$G$5,F$1,$A958,$A958))))</f>
        <v/>
      </c>
      <c r="G958" s="8" t="str">
        <f>IF($A958="","",IF(ISNUMBER(FIND("IMPVOL",G$1)),_xll.BDH(config!$G$4,G$1,WORKDAY($A958,-1,config_Holiday_Calendar_US),WORKDAY($A958,-1,config_Holiday_Calendar_US)),IF(ISNUMBER(_xll.BDH(config!$G$4,G$1,$A958,$A958)),_xll.BDH(config!$G$4,G$1,$A958,$A958),_xll.BDH(config!$G$5,G$1,$A958,$A958))))</f>
        <v/>
      </c>
      <c r="H958" s="8" t="str">
        <f>IF($A958="","",IF(ISNUMBER(FIND("IMPVOL",H$1)),_xll.BDH(config!$G$4,H$1,WORKDAY($A958,-1,config_Holiday_Calendar_US),WORKDAY($A958,-1,config_Holiday_Calendar_US)),IF(ISNUMBER(_xll.BDH(config!$G$4,H$1,$A958,$A958)),_xll.BDH(config!$G$4,H$1,$A958,$A958),_xll.BDH(config!$G$5,H$1,$A958,$A958))))</f>
        <v/>
      </c>
      <c r="I958" s="8" t="str">
        <f>IF($A958="","",IF(ISNUMBER(FIND("IMPVOL",I$1)),_xll.BDH(config!$G$4,I$1,WORKDAY($A958,-1,config_Holiday_Calendar_US),WORKDAY($A958,-1,config_Holiday_Calendar_US)),IF(ISNUMBER(_xll.BDH(config!$G$4,I$1,$A958,$A958)),_xll.BDH(config!$G$4,I$1,$A958,$A958),_xll.BDH(config!$G$5,I$1,$A958,$A958))))</f>
        <v/>
      </c>
      <c r="J958" s="8" t="str">
        <f>IF($A958="","",IF(ISNUMBER(FIND("IMPVOL",J$1)),_xll.BDH(config!$G$4,J$1,WORKDAY($A958,-1,config_Holiday_Calendar_US),WORKDAY($A958,-1,config_Holiday_Calendar_US)),IF(ISNUMBER(_xll.BDH(config!$G$4,J$1,$A958,$A958)),_xll.BDH(config!$G$4,J$1,$A958,$A958),_xll.BDH(config!$G$5,J$1,$A958,$A958))))</f>
        <v/>
      </c>
      <c r="K958" s="8" t="str">
        <f>IF($A958="","",IF(ISNUMBER(FIND("IMPVOL",K$1)),_xll.BDH(config!$G$4,K$1,WORKDAY($A958,-1,config_Holiday_Calendar_US),WORKDAY($A958,-1,config_Holiday_Calendar_US)),IF(ISNUMBER(_xll.BDH(config!$G$4,K$1,$A958,$A958)),_xll.BDH(config!$G$4,K$1,$A958,$A958),_xll.BDH(config!$G$5,K$1,$A958,$A958))))</f>
        <v/>
      </c>
      <c r="L958" s="8" t="str">
        <f>IF($A958="","",IF(ISNUMBER(FIND("IMPVOL",L$1)),_xll.BDH(config!$G$4,L$1,WORKDAY($A958,-1,config_Holiday_Calendar_US),WORKDAY($A958,-1,config_Holiday_Calendar_US)),IF(ISNUMBER(_xll.BDH(config!$G$4,L$1,$A958,$A958)),_xll.BDH(config!$G$4,L$1,$A958,$A958),_xll.BDH(config!$G$5,L$1,$A958,$A958))))</f>
        <v/>
      </c>
      <c r="M958" s="8" t="str">
        <f>IF($A958="","",IF(ISNUMBER(FIND("IMPVOL",M$1)),_xll.BDH(config!$G$4,M$1,WORKDAY($A958,-1,config_Holiday_Calendar_US),WORKDAY($A958,-1,config_Holiday_Calendar_US)),IF(ISNUMBER(_xll.BDH(config!$G$4,M$1,$A958,$A958)),_xll.BDH(config!$G$4,M$1,$A958,$A958),_xll.BDH(config!$G$5,M$1,$A958,$A958))))</f>
        <v/>
      </c>
      <c r="N958" s="8" t="str">
        <f>IF($A958="","",IF(ISNUMBER(FIND("IMPVOL",N$1)),_xll.BDH(config!$G$4,N$1,WORKDAY($A958,-1,config_Holiday_Calendar_US),WORKDAY($A958,-1,config_Holiday_Calendar_US)),IF(ISNUMBER(_xll.BDH(config!$G$4,N$1,$A958,$A958)),_xll.BDH(config!$G$4,N$1,$A958,$A958),_xll.BDH(config!$G$5,N$1,$A958,$A958))))</f>
        <v/>
      </c>
      <c r="O958" s="8" t="str">
        <f>IF($A958="","",IF(ISNUMBER(FIND("IMPVOL",O$1)),_xll.BDH(config!$G$4,O$1,WORKDAY($A958,-1,config_Holiday_Calendar_US),WORKDAY($A958,-1,config_Holiday_Calendar_US)),IF(ISNUMBER(_xll.BDH(config!$G$4,O$1,$A958,$A958)),_xll.BDH(config!$G$4,O$1,$A958,$A958),_xll.BDH(config!$G$5,O$1,$A958,$A958))))</f>
        <v/>
      </c>
      <c r="P958" s="8" t="str">
        <f>IF($A958="","",IF(ISNUMBER(FIND("IMPVOL",P$1)),_xll.BDH(config!$G$4,P$1,WORKDAY($A958,-1,config_Holiday_Calendar_US),WORKDAY($A958,-1,config_Holiday_Calendar_US)),IF(ISNUMBER(_xll.BDH(config!$G$4,P$1,$A958,$A958)),_xll.BDH(config!$G$4,P$1,$A958,$A958),_xll.BDH(config!$G$5,P$1,$A958,$A958))))</f>
        <v/>
      </c>
      <c r="Q958" s="8" t="str">
        <f>IF($A958="","",IF(ISNUMBER(FIND("IMPVOL",Q$1)),_xll.BDH(config!$G$4,Q$1,WORKDAY($A958,-1,config_Holiday_Calendar_US),WORKDAY($A958,-1,config_Holiday_Calendar_US)),IF(ISNUMBER(_xll.BDH(config!$G$4,Q$1,$A958,$A958)),_xll.BDH(config!$G$4,Q$1,$A958,$A958),_xll.BDH(config!$G$5,Q$1,$A958,$A958))))</f>
        <v/>
      </c>
      <c r="R958" s="8" t="str">
        <f>IF($A958="","",IF(ISNUMBER(FIND("IMPVOL",R$1)),_xll.BDH(config!$G$4,R$1,WORKDAY($A958,-1,config_Holiday_Calendar_US),WORKDAY($A958,-1,config_Holiday_Calendar_US)),IF(ISNUMBER(_xll.BDH(config!$G$4,R$1,$A958,$A958)),_xll.BDH(config!$G$4,R$1,$A958,$A958),_xll.BDH(config!$G$5,R$1,$A958,$A958))))</f>
        <v/>
      </c>
      <c r="S958" s="8" t="str">
        <f>IF($A958="","",IF(ISNUMBER(FIND("IMPVOL",S$1)),_xll.BDH(config!$G$4,S$1,WORKDAY($A958,-1,config_Holiday_Calendar_US),WORKDAY($A958,-1,config_Holiday_Calendar_US)),IF(ISNUMBER(_xll.BDH(config!$G$4,S$1,$A958,$A958)),_xll.BDH(config!$G$4,S$1,$A958,$A958),_xll.BDH(config!$G$5,S$1,$A958,$A958))))</f>
        <v/>
      </c>
      <c r="T958" s="8" t="str">
        <f>IF($A958="","",IF(ISNUMBER(FIND("IMPVOL",T$1)),_xll.BDH(config!$G$4,T$1,WORKDAY($A958,-1,config_Holiday_Calendar_US),WORKDAY($A958,-1,config_Holiday_Calendar_US)),IF(ISNUMBER(_xll.BDH(config!$G$4,T$1,$A958,$A958)),_xll.BDH(config!$G$4,T$1,$A958,$A958),_xll.BDH(config!$G$5,T$1,$A958,$A958))))</f>
        <v/>
      </c>
      <c r="U958" s="8" t="str">
        <f>IF($A958="","",IF(ISNUMBER(FIND("IMPVOL",U$1)),_xll.BDH(config!$G$4,U$1,WORKDAY($A958,-1,config_Holiday_Calendar_US),WORKDAY($A958,-1,config_Holiday_Calendar_US)),IF(ISNUMBER(_xll.BDH(config!$G$4,U$1,$A958,$A958)),_xll.BDH(config!$G$4,U$1,$A958,$A958),_xll.BDH(config!$G$5,U$1,$A958,$A958))))</f>
        <v/>
      </c>
      <c r="V958" s="8" t="str">
        <f>IF($A958="","",IF(ISNUMBER(FIND("IMPVOL",V$1)),_xll.BDH(config!$G$4,V$1,WORKDAY($A958,-1,config_Holiday_Calendar_US),WORKDAY($A958,-1,config_Holiday_Calendar_US)),IF(ISNUMBER(_xll.BDH(config!$G$4,V$1,$A958,$A958)),_xll.BDH(config!$G$4,V$1,$A958,$A958),_xll.BDH(config!$G$5,V$1,$A958,$A958))))</f>
        <v/>
      </c>
      <c r="W958" s="8" t="str">
        <f>IF($A958="","",IF(ISNUMBER(FIND("IMPVOL",W$1)),_xll.BDH(config!$G$4,W$1,WORKDAY($A958,-1,config_Holiday_Calendar_US),WORKDAY($A958,-1,config_Holiday_Calendar_US)),IF(ISNUMBER(_xll.BDH(config!$G$4,W$1,$A958,$A958)),_xll.BDH(config!$G$4,W$1,$A958,$A958),_xll.BDH(config!$G$5,W$1,$A958,$A958))))</f>
        <v/>
      </c>
    </row>
    <row r="959" spans="1:23" x14ac:dyDescent="0.2">
      <c r="A959" s="9" t="str">
        <f>IF(A958="","",IF(WORKDAY(A958,-1,config_Holiday_Calendar_US)&lt;config!$I$10,"",WORKDAY(A958,-1,config_Holiday_Calendar_US)))</f>
        <v/>
      </c>
      <c r="B959" s="8" t="str">
        <f t="shared" si="14"/>
        <v/>
      </c>
      <c r="C959" s="8" t="str">
        <f>IF(A959="","",_xll.BDH(config!$H$4,C$1,$A959,$A959))</f>
        <v/>
      </c>
      <c r="D959" s="8" t="str">
        <f>IF($A959="","",_xll.BDH(config!$H$4,D$1,$A959,$A959))</f>
        <v/>
      </c>
      <c r="E959" s="8" t="str">
        <f>IF($A959="","",IF(ISNUMBER(FIND("IMPVOL",E$1)),_xll.BDH(config!$G$4,E$1,WORKDAY($A959,-1,config_Holiday_Calendar_US),WORKDAY($A959,-1,config_Holiday_Calendar_US)),IF(ISNUMBER(_xll.BDH(config!$G$4,E$1,$A959,$A959)),_xll.BDH(config!$G$4,E$1,$A959,$A959),_xll.BDH(config!$G$5,E$1,$A959,$A959))))</f>
        <v/>
      </c>
      <c r="F959" s="8" t="str">
        <f>IF($A959="","",IF(ISNUMBER(FIND("IMPVOL",F$1)),_xll.BDH(config!$G$4,F$1,WORKDAY($A959,-1,config_Holiday_Calendar_US),WORKDAY($A959,-1,config_Holiday_Calendar_US)),IF(ISNUMBER(_xll.BDH(config!$G$4,F$1,$A959,$A959)),_xll.BDH(config!$G$4,F$1,$A959,$A959),_xll.BDH(config!$G$5,F$1,$A959,$A959))))</f>
        <v/>
      </c>
      <c r="G959" s="8" t="str">
        <f>IF($A959="","",IF(ISNUMBER(FIND("IMPVOL",G$1)),_xll.BDH(config!$G$4,G$1,WORKDAY($A959,-1,config_Holiday_Calendar_US),WORKDAY($A959,-1,config_Holiday_Calendar_US)),IF(ISNUMBER(_xll.BDH(config!$G$4,G$1,$A959,$A959)),_xll.BDH(config!$G$4,G$1,$A959,$A959),_xll.BDH(config!$G$5,G$1,$A959,$A959))))</f>
        <v/>
      </c>
      <c r="H959" s="8" t="str">
        <f>IF($A959="","",IF(ISNUMBER(FIND("IMPVOL",H$1)),_xll.BDH(config!$G$4,H$1,WORKDAY($A959,-1,config_Holiday_Calendar_US),WORKDAY($A959,-1,config_Holiday_Calendar_US)),IF(ISNUMBER(_xll.BDH(config!$G$4,H$1,$A959,$A959)),_xll.BDH(config!$G$4,H$1,$A959,$A959),_xll.BDH(config!$G$5,H$1,$A959,$A959))))</f>
        <v/>
      </c>
      <c r="I959" s="8" t="str">
        <f>IF($A959="","",IF(ISNUMBER(FIND("IMPVOL",I$1)),_xll.BDH(config!$G$4,I$1,WORKDAY($A959,-1,config_Holiday_Calendar_US),WORKDAY($A959,-1,config_Holiday_Calendar_US)),IF(ISNUMBER(_xll.BDH(config!$G$4,I$1,$A959,$A959)),_xll.BDH(config!$G$4,I$1,$A959,$A959),_xll.BDH(config!$G$5,I$1,$A959,$A959))))</f>
        <v/>
      </c>
      <c r="J959" s="8" t="str">
        <f>IF($A959="","",IF(ISNUMBER(FIND("IMPVOL",J$1)),_xll.BDH(config!$G$4,J$1,WORKDAY($A959,-1,config_Holiday_Calendar_US),WORKDAY($A959,-1,config_Holiday_Calendar_US)),IF(ISNUMBER(_xll.BDH(config!$G$4,J$1,$A959,$A959)),_xll.BDH(config!$G$4,J$1,$A959,$A959),_xll.BDH(config!$G$5,J$1,$A959,$A959))))</f>
        <v/>
      </c>
      <c r="K959" s="8" t="str">
        <f>IF($A959="","",IF(ISNUMBER(FIND("IMPVOL",K$1)),_xll.BDH(config!$G$4,K$1,WORKDAY($A959,-1,config_Holiday_Calendar_US),WORKDAY($A959,-1,config_Holiday_Calendar_US)),IF(ISNUMBER(_xll.BDH(config!$G$4,K$1,$A959,$A959)),_xll.BDH(config!$G$4,K$1,$A959,$A959),_xll.BDH(config!$G$5,K$1,$A959,$A959))))</f>
        <v/>
      </c>
      <c r="L959" s="8" t="str">
        <f>IF($A959="","",IF(ISNUMBER(FIND("IMPVOL",L$1)),_xll.BDH(config!$G$4,L$1,WORKDAY($A959,-1,config_Holiday_Calendar_US),WORKDAY($A959,-1,config_Holiday_Calendar_US)),IF(ISNUMBER(_xll.BDH(config!$G$4,L$1,$A959,$A959)),_xll.BDH(config!$G$4,L$1,$A959,$A959),_xll.BDH(config!$G$5,L$1,$A959,$A959))))</f>
        <v/>
      </c>
      <c r="M959" s="8" t="str">
        <f>IF($A959="","",IF(ISNUMBER(FIND("IMPVOL",M$1)),_xll.BDH(config!$G$4,M$1,WORKDAY($A959,-1,config_Holiday_Calendar_US),WORKDAY($A959,-1,config_Holiday_Calendar_US)),IF(ISNUMBER(_xll.BDH(config!$G$4,M$1,$A959,$A959)),_xll.BDH(config!$G$4,M$1,$A959,$A959),_xll.BDH(config!$G$5,M$1,$A959,$A959))))</f>
        <v/>
      </c>
      <c r="N959" s="8" t="str">
        <f>IF($A959="","",IF(ISNUMBER(FIND("IMPVOL",N$1)),_xll.BDH(config!$G$4,N$1,WORKDAY($A959,-1,config_Holiday_Calendar_US),WORKDAY($A959,-1,config_Holiday_Calendar_US)),IF(ISNUMBER(_xll.BDH(config!$G$4,N$1,$A959,$A959)),_xll.BDH(config!$G$4,N$1,$A959,$A959),_xll.BDH(config!$G$5,N$1,$A959,$A959))))</f>
        <v/>
      </c>
      <c r="O959" s="8" t="str">
        <f>IF($A959="","",IF(ISNUMBER(FIND("IMPVOL",O$1)),_xll.BDH(config!$G$4,O$1,WORKDAY($A959,-1,config_Holiday_Calendar_US),WORKDAY($A959,-1,config_Holiday_Calendar_US)),IF(ISNUMBER(_xll.BDH(config!$G$4,O$1,$A959,$A959)),_xll.BDH(config!$G$4,O$1,$A959,$A959),_xll.BDH(config!$G$5,O$1,$A959,$A959))))</f>
        <v/>
      </c>
      <c r="P959" s="8" t="str">
        <f>IF($A959="","",IF(ISNUMBER(FIND("IMPVOL",P$1)),_xll.BDH(config!$G$4,P$1,WORKDAY($A959,-1,config_Holiday_Calendar_US),WORKDAY($A959,-1,config_Holiday_Calendar_US)),IF(ISNUMBER(_xll.BDH(config!$G$4,P$1,$A959,$A959)),_xll.BDH(config!$G$4,P$1,$A959,$A959),_xll.BDH(config!$G$5,P$1,$A959,$A959))))</f>
        <v/>
      </c>
      <c r="Q959" s="8" t="str">
        <f>IF($A959="","",IF(ISNUMBER(FIND("IMPVOL",Q$1)),_xll.BDH(config!$G$4,Q$1,WORKDAY($A959,-1,config_Holiday_Calendar_US),WORKDAY($A959,-1,config_Holiday_Calendar_US)),IF(ISNUMBER(_xll.BDH(config!$G$4,Q$1,$A959,$A959)),_xll.BDH(config!$G$4,Q$1,$A959,$A959),_xll.BDH(config!$G$5,Q$1,$A959,$A959))))</f>
        <v/>
      </c>
      <c r="R959" s="8" t="str">
        <f>IF($A959="","",IF(ISNUMBER(FIND("IMPVOL",R$1)),_xll.BDH(config!$G$4,R$1,WORKDAY($A959,-1,config_Holiday_Calendar_US),WORKDAY($A959,-1,config_Holiday_Calendar_US)),IF(ISNUMBER(_xll.BDH(config!$G$4,R$1,$A959,$A959)),_xll.BDH(config!$G$4,R$1,$A959,$A959),_xll.BDH(config!$G$5,R$1,$A959,$A959))))</f>
        <v/>
      </c>
      <c r="S959" s="8" t="str">
        <f>IF($A959="","",IF(ISNUMBER(FIND("IMPVOL",S$1)),_xll.BDH(config!$G$4,S$1,WORKDAY($A959,-1,config_Holiday_Calendar_US),WORKDAY($A959,-1,config_Holiday_Calendar_US)),IF(ISNUMBER(_xll.BDH(config!$G$4,S$1,$A959,$A959)),_xll.BDH(config!$G$4,S$1,$A959,$A959),_xll.BDH(config!$G$5,S$1,$A959,$A959))))</f>
        <v/>
      </c>
      <c r="T959" s="8" t="str">
        <f>IF($A959="","",IF(ISNUMBER(FIND("IMPVOL",T$1)),_xll.BDH(config!$G$4,T$1,WORKDAY($A959,-1,config_Holiday_Calendar_US),WORKDAY($A959,-1,config_Holiday_Calendar_US)),IF(ISNUMBER(_xll.BDH(config!$G$4,T$1,$A959,$A959)),_xll.BDH(config!$G$4,T$1,$A959,$A959),_xll.BDH(config!$G$5,T$1,$A959,$A959))))</f>
        <v/>
      </c>
      <c r="U959" s="8" t="str">
        <f>IF($A959="","",IF(ISNUMBER(FIND("IMPVOL",U$1)),_xll.BDH(config!$G$4,U$1,WORKDAY($A959,-1,config_Holiday_Calendar_US),WORKDAY($A959,-1,config_Holiday_Calendar_US)),IF(ISNUMBER(_xll.BDH(config!$G$4,U$1,$A959,$A959)),_xll.BDH(config!$G$4,U$1,$A959,$A959),_xll.BDH(config!$G$5,U$1,$A959,$A959))))</f>
        <v/>
      </c>
      <c r="V959" s="8" t="str">
        <f>IF($A959="","",IF(ISNUMBER(FIND("IMPVOL",V$1)),_xll.BDH(config!$G$4,V$1,WORKDAY($A959,-1,config_Holiday_Calendar_US),WORKDAY($A959,-1,config_Holiday_Calendar_US)),IF(ISNUMBER(_xll.BDH(config!$G$4,V$1,$A959,$A959)),_xll.BDH(config!$G$4,V$1,$A959,$A959),_xll.BDH(config!$G$5,V$1,$A959,$A959))))</f>
        <v/>
      </c>
      <c r="W959" s="8" t="str">
        <f>IF($A959="","",IF(ISNUMBER(FIND("IMPVOL",W$1)),_xll.BDH(config!$G$4,W$1,WORKDAY($A959,-1,config_Holiday_Calendar_US),WORKDAY($A959,-1,config_Holiday_Calendar_US)),IF(ISNUMBER(_xll.BDH(config!$G$4,W$1,$A959,$A959)),_xll.BDH(config!$G$4,W$1,$A959,$A959),_xll.BDH(config!$G$5,W$1,$A959,$A959))))</f>
        <v/>
      </c>
    </row>
    <row r="960" spans="1:23" x14ac:dyDescent="0.2">
      <c r="A960" s="9" t="str">
        <f>IF(A959="","",IF(WORKDAY(A959,-1,config_Holiday_Calendar_US)&lt;config!$I$10,"",WORKDAY(A959,-1,config_Holiday_Calendar_US)))</f>
        <v/>
      </c>
      <c r="B960" s="8" t="str">
        <f t="shared" si="14"/>
        <v/>
      </c>
      <c r="C960" s="8" t="str">
        <f>IF(A960="","",_xll.BDH(config!$H$4,C$1,$A960,$A960))</f>
        <v/>
      </c>
      <c r="D960" s="8" t="str">
        <f>IF($A960="","",_xll.BDH(config!$H$4,D$1,$A960,$A960))</f>
        <v/>
      </c>
      <c r="E960" s="8" t="str">
        <f>IF($A960="","",IF(ISNUMBER(FIND("IMPVOL",E$1)),_xll.BDH(config!$G$4,E$1,WORKDAY($A960,-1,config_Holiday_Calendar_US),WORKDAY($A960,-1,config_Holiday_Calendar_US)),IF(ISNUMBER(_xll.BDH(config!$G$4,E$1,$A960,$A960)),_xll.BDH(config!$G$4,E$1,$A960,$A960),_xll.BDH(config!$G$5,E$1,$A960,$A960))))</f>
        <v/>
      </c>
      <c r="F960" s="8" t="str">
        <f>IF($A960="","",IF(ISNUMBER(FIND("IMPVOL",F$1)),_xll.BDH(config!$G$4,F$1,WORKDAY($A960,-1,config_Holiday_Calendar_US),WORKDAY($A960,-1,config_Holiday_Calendar_US)),IF(ISNUMBER(_xll.BDH(config!$G$4,F$1,$A960,$A960)),_xll.BDH(config!$G$4,F$1,$A960,$A960),_xll.BDH(config!$G$5,F$1,$A960,$A960))))</f>
        <v/>
      </c>
      <c r="G960" s="8" t="str">
        <f>IF($A960="","",IF(ISNUMBER(FIND("IMPVOL",G$1)),_xll.BDH(config!$G$4,G$1,WORKDAY($A960,-1,config_Holiday_Calendar_US),WORKDAY($A960,-1,config_Holiday_Calendar_US)),IF(ISNUMBER(_xll.BDH(config!$G$4,G$1,$A960,$A960)),_xll.BDH(config!$G$4,G$1,$A960,$A960),_xll.BDH(config!$G$5,G$1,$A960,$A960))))</f>
        <v/>
      </c>
      <c r="H960" s="8" t="str">
        <f>IF($A960="","",IF(ISNUMBER(FIND("IMPVOL",H$1)),_xll.BDH(config!$G$4,H$1,WORKDAY($A960,-1,config_Holiday_Calendar_US),WORKDAY($A960,-1,config_Holiday_Calendar_US)),IF(ISNUMBER(_xll.BDH(config!$G$4,H$1,$A960,$A960)),_xll.BDH(config!$G$4,H$1,$A960,$A960),_xll.BDH(config!$G$5,H$1,$A960,$A960))))</f>
        <v/>
      </c>
      <c r="I960" s="8" t="str">
        <f>IF($A960="","",IF(ISNUMBER(FIND("IMPVOL",I$1)),_xll.BDH(config!$G$4,I$1,WORKDAY($A960,-1,config_Holiday_Calendar_US),WORKDAY($A960,-1,config_Holiday_Calendar_US)),IF(ISNUMBER(_xll.BDH(config!$G$4,I$1,$A960,$A960)),_xll.BDH(config!$G$4,I$1,$A960,$A960),_xll.BDH(config!$G$5,I$1,$A960,$A960))))</f>
        <v/>
      </c>
      <c r="J960" s="8" t="str">
        <f>IF($A960="","",IF(ISNUMBER(FIND("IMPVOL",J$1)),_xll.BDH(config!$G$4,J$1,WORKDAY($A960,-1,config_Holiday_Calendar_US),WORKDAY($A960,-1,config_Holiday_Calendar_US)),IF(ISNUMBER(_xll.BDH(config!$G$4,J$1,$A960,$A960)),_xll.BDH(config!$G$4,J$1,$A960,$A960),_xll.BDH(config!$G$5,J$1,$A960,$A960))))</f>
        <v/>
      </c>
      <c r="K960" s="8" t="str">
        <f>IF($A960="","",IF(ISNUMBER(FIND("IMPVOL",K$1)),_xll.BDH(config!$G$4,K$1,WORKDAY($A960,-1,config_Holiday_Calendar_US),WORKDAY($A960,-1,config_Holiday_Calendar_US)),IF(ISNUMBER(_xll.BDH(config!$G$4,K$1,$A960,$A960)),_xll.BDH(config!$G$4,K$1,$A960,$A960),_xll.BDH(config!$G$5,K$1,$A960,$A960))))</f>
        <v/>
      </c>
      <c r="L960" s="8" t="str">
        <f>IF($A960="","",IF(ISNUMBER(FIND("IMPVOL",L$1)),_xll.BDH(config!$G$4,L$1,WORKDAY($A960,-1,config_Holiday_Calendar_US),WORKDAY($A960,-1,config_Holiday_Calendar_US)),IF(ISNUMBER(_xll.BDH(config!$G$4,L$1,$A960,$A960)),_xll.BDH(config!$G$4,L$1,$A960,$A960),_xll.BDH(config!$G$5,L$1,$A960,$A960))))</f>
        <v/>
      </c>
      <c r="M960" s="8" t="str">
        <f>IF($A960="","",IF(ISNUMBER(FIND("IMPVOL",M$1)),_xll.BDH(config!$G$4,M$1,WORKDAY($A960,-1,config_Holiday_Calendar_US),WORKDAY($A960,-1,config_Holiday_Calendar_US)),IF(ISNUMBER(_xll.BDH(config!$G$4,M$1,$A960,$A960)),_xll.BDH(config!$G$4,M$1,$A960,$A960),_xll.BDH(config!$G$5,M$1,$A960,$A960))))</f>
        <v/>
      </c>
      <c r="N960" s="8" t="str">
        <f>IF($A960="","",IF(ISNUMBER(FIND("IMPVOL",N$1)),_xll.BDH(config!$G$4,N$1,WORKDAY($A960,-1,config_Holiday_Calendar_US),WORKDAY($A960,-1,config_Holiday_Calendar_US)),IF(ISNUMBER(_xll.BDH(config!$G$4,N$1,$A960,$A960)),_xll.BDH(config!$G$4,N$1,$A960,$A960),_xll.BDH(config!$G$5,N$1,$A960,$A960))))</f>
        <v/>
      </c>
      <c r="O960" s="8" t="str">
        <f>IF($A960="","",IF(ISNUMBER(FIND("IMPVOL",O$1)),_xll.BDH(config!$G$4,O$1,WORKDAY($A960,-1,config_Holiday_Calendar_US),WORKDAY($A960,-1,config_Holiday_Calendar_US)),IF(ISNUMBER(_xll.BDH(config!$G$4,O$1,$A960,$A960)),_xll.BDH(config!$G$4,O$1,$A960,$A960),_xll.BDH(config!$G$5,O$1,$A960,$A960))))</f>
        <v/>
      </c>
      <c r="P960" s="8" t="str">
        <f>IF($A960="","",IF(ISNUMBER(FIND("IMPVOL",P$1)),_xll.BDH(config!$G$4,P$1,WORKDAY($A960,-1,config_Holiday_Calendar_US),WORKDAY($A960,-1,config_Holiday_Calendar_US)),IF(ISNUMBER(_xll.BDH(config!$G$4,P$1,$A960,$A960)),_xll.BDH(config!$G$4,P$1,$A960,$A960),_xll.BDH(config!$G$5,P$1,$A960,$A960))))</f>
        <v/>
      </c>
      <c r="Q960" s="8" t="str">
        <f>IF($A960="","",IF(ISNUMBER(FIND("IMPVOL",Q$1)),_xll.BDH(config!$G$4,Q$1,WORKDAY($A960,-1,config_Holiday_Calendar_US),WORKDAY($A960,-1,config_Holiday_Calendar_US)),IF(ISNUMBER(_xll.BDH(config!$G$4,Q$1,$A960,$A960)),_xll.BDH(config!$G$4,Q$1,$A960,$A960),_xll.BDH(config!$G$5,Q$1,$A960,$A960))))</f>
        <v/>
      </c>
      <c r="R960" s="8" t="str">
        <f>IF($A960="","",IF(ISNUMBER(FIND("IMPVOL",R$1)),_xll.BDH(config!$G$4,R$1,WORKDAY($A960,-1,config_Holiday_Calendar_US),WORKDAY($A960,-1,config_Holiday_Calendar_US)),IF(ISNUMBER(_xll.BDH(config!$G$4,R$1,$A960,$A960)),_xll.BDH(config!$G$4,R$1,$A960,$A960),_xll.BDH(config!$G$5,R$1,$A960,$A960))))</f>
        <v/>
      </c>
      <c r="S960" s="8" t="str">
        <f>IF($A960="","",IF(ISNUMBER(FIND("IMPVOL",S$1)),_xll.BDH(config!$G$4,S$1,WORKDAY($A960,-1,config_Holiday_Calendar_US),WORKDAY($A960,-1,config_Holiday_Calendar_US)),IF(ISNUMBER(_xll.BDH(config!$G$4,S$1,$A960,$A960)),_xll.BDH(config!$G$4,S$1,$A960,$A960),_xll.BDH(config!$G$5,S$1,$A960,$A960))))</f>
        <v/>
      </c>
      <c r="T960" s="8" t="str">
        <f>IF($A960="","",IF(ISNUMBER(FIND("IMPVOL",T$1)),_xll.BDH(config!$G$4,T$1,WORKDAY($A960,-1,config_Holiday_Calendar_US),WORKDAY($A960,-1,config_Holiday_Calendar_US)),IF(ISNUMBER(_xll.BDH(config!$G$4,T$1,$A960,$A960)),_xll.BDH(config!$G$4,T$1,$A960,$A960),_xll.BDH(config!$G$5,T$1,$A960,$A960))))</f>
        <v/>
      </c>
      <c r="U960" s="8" t="str">
        <f>IF($A960="","",IF(ISNUMBER(FIND("IMPVOL",U$1)),_xll.BDH(config!$G$4,U$1,WORKDAY($A960,-1,config_Holiday_Calendar_US),WORKDAY($A960,-1,config_Holiday_Calendar_US)),IF(ISNUMBER(_xll.BDH(config!$G$4,U$1,$A960,$A960)),_xll.BDH(config!$G$4,U$1,$A960,$A960),_xll.BDH(config!$G$5,U$1,$A960,$A960))))</f>
        <v/>
      </c>
      <c r="V960" s="8" t="str">
        <f>IF($A960="","",IF(ISNUMBER(FIND("IMPVOL",V$1)),_xll.BDH(config!$G$4,V$1,WORKDAY($A960,-1,config_Holiday_Calendar_US),WORKDAY($A960,-1,config_Holiday_Calendar_US)),IF(ISNUMBER(_xll.BDH(config!$G$4,V$1,$A960,$A960)),_xll.BDH(config!$G$4,V$1,$A960,$A960),_xll.BDH(config!$G$5,V$1,$A960,$A960))))</f>
        <v/>
      </c>
      <c r="W960" s="8" t="str">
        <f>IF($A960="","",IF(ISNUMBER(FIND("IMPVOL",W$1)),_xll.BDH(config!$G$4,W$1,WORKDAY($A960,-1,config_Holiday_Calendar_US),WORKDAY($A960,-1,config_Holiday_Calendar_US)),IF(ISNUMBER(_xll.BDH(config!$G$4,W$1,$A960,$A960)),_xll.BDH(config!$G$4,W$1,$A960,$A960),_xll.BDH(config!$G$5,W$1,$A960,$A960))))</f>
        <v/>
      </c>
    </row>
    <row r="961" spans="1:23" x14ac:dyDescent="0.2">
      <c r="A961" s="9" t="str">
        <f>IF(A960="","",IF(WORKDAY(A960,-1,config_Holiday_Calendar_US)&lt;config!$I$10,"",WORKDAY(A960,-1,config_Holiday_Calendar_US)))</f>
        <v/>
      </c>
      <c r="B961" s="8" t="str">
        <f t="shared" si="14"/>
        <v/>
      </c>
      <c r="C961" s="8" t="str">
        <f>IF(A961="","",_xll.BDH(config!$H$4,C$1,$A961,$A961))</f>
        <v/>
      </c>
      <c r="D961" s="8" t="str">
        <f>IF($A961="","",_xll.BDH(config!$H$4,D$1,$A961,$A961))</f>
        <v/>
      </c>
      <c r="E961" s="8" t="str">
        <f>IF($A961="","",IF(ISNUMBER(FIND("IMPVOL",E$1)),_xll.BDH(config!$G$4,E$1,WORKDAY($A961,-1,config_Holiday_Calendar_US),WORKDAY($A961,-1,config_Holiday_Calendar_US)),IF(ISNUMBER(_xll.BDH(config!$G$4,E$1,$A961,$A961)),_xll.BDH(config!$G$4,E$1,$A961,$A961),_xll.BDH(config!$G$5,E$1,$A961,$A961))))</f>
        <v/>
      </c>
      <c r="F961" s="8" t="str">
        <f>IF($A961="","",IF(ISNUMBER(FIND("IMPVOL",F$1)),_xll.BDH(config!$G$4,F$1,WORKDAY($A961,-1,config_Holiday_Calendar_US),WORKDAY($A961,-1,config_Holiday_Calendar_US)),IF(ISNUMBER(_xll.BDH(config!$G$4,F$1,$A961,$A961)),_xll.BDH(config!$G$4,F$1,$A961,$A961),_xll.BDH(config!$G$5,F$1,$A961,$A961))))</f>
        <v/>
      </c>
      <c r="G961" s="8" t="str">
        <f>IF($A961="","",IF(ISNUMBER(FIND("IMPVOL",G$1)),_xll.BDH(config!$G$4,G$1,WORKDAY($A961,-1,config_Holiday_Calendar_US),WORKDAY($A961,-1,config_Holiday_Calendar_US)),IF(ISNUMBER(_xll.BDH(config!$G$4,G$1,$A961,$A961)),_xll.BDH(config!$G$4,G$1,$A961,$A961),_xll.BDH(config!$G$5,G$1,$A961,$A961))))</f>
        <v/>
      </c>
      <c r="H961" s="8" t="str">
        <f>IF($A961="","",IF(ISNUMBER(FIND("IMPVOL",H$1)),_xll.BDH(config!$G$4,H$1,WORKDAY($A961,-1,config_Holiday_Calendar_US),WORKDAY($A961,-1,config_Holiday_Calendar_US)),IF(ISNUMBER(_xll.BDH(config!$G$4,H$1,$A961,$A961)),_xll.BDH(config!$G$4,H$1,$A961,$A961),_xll.BDH(config!$G$5,H$1,$A961,$A961))))</f>
        <v/>
      </c>
      <c r="I961" s="8" t="str">
        <f>IF($A961="","",IF(ISNUMBER(FIND("IMPVOL",I$1)),_xll.BDH(config!$G$4,I$1,WORKDAY($A961,-1,config_Holiday_Calendar_US),WORKDAY($A961,-1,config_Holiday_Calendar_US)),IF(ISNUMBER(_xll.BDH(config!$G$4,I$1,$A961,$A961)),_xll.BDH(config!$G$4,I$1,$A961,$A961),_xll.BDH(config!$G$5,I$1,$A961,$A961))))</f>
        <v/>
      </c>
      <c r="J961" s="8" t="str">
        <f>IF($A961="","",IF(ISNUMBER(FIND("IMPVOL",J$1)),_xll.BDH(config!$G$4,J$1,WORKDAY($A961,-1,config_Holiday_Calendar_US),WORKDAY($A961,-1,config_Holiday_Calendar_US)),IF(ISNUMBER(_xll.BDH(config!$G$4,J$1,$A961,$A961)),_xll.BDH(config!$G$4,J$1,$A961,$A961),_xll.BDH(config!$G$5,J$1,$A961,$A961))))</f>
        <v/>
      </c>
      <c r="K961" s="8" t="str">
        <f>IF($A961="","",IF(ISNUMBER(FIND("IMPVOL",K$1)),_xll.BDH(config!$G$4,K$1,WORKDAY($A961,-1,config_Holiday_Calendar_US),WORKDAY($A961,-1,config_Holiday_Calendar_US)),IF(ISNUMBER(_xll.BDH(config!$G$4,K$1,$A961,$A961)),_xll.BDH(config!$G$4,K$1,$A961,$A961),_xll.BDH(config!$G$5,K$1,$A961,$A961))))</f>
        <v/>
      </c>
      <c r="L961" s="8" t="str">
        <f>IF($A961="","",IF(ISNUMBER(FIND("IMPVOL",L$1)),_xll.BDH(config!$G$4,L$1,WORKDAY($A961,-1,config_Holiday_Calendar_US),WORKDAY($A961,-1,config_Holiday_Calendar_US)),IF(ISNUMBER(_xll.BDH(config!$G$4,L$1,$A961,$A961)),_xll.BDH(config!$G$4,L$1,$A961,$A961),_xll.BDH(config!$G$5,L$1,$A961,$A961))))</f>
        <v/>
      </c>
      <c r="M961" s="8" t="str">
        <f>IF($A961="","",IF(ISNUMBER(FIND("IMPVOL",M$1)),_xll.BDH(config!$G$4,M$1,WORKDAY($A961,-1,config_Holiday_Calendar_US),WORKDAY($A961,-1,config_Holiday_Calendar_US)),IF(ISNUMBER(_xll.BDH(config!$G$4,M$1,$A961,$A961)),_xll.BDH(config!$G$4,M$1,$A961,$A961),_xll.BDH(config!$G$5,M$1,$A961,$A961))))</f>
        <v/>
      </c>
      <c r="N961" s="8" t="str">
        <f>IF($A961="","",IF(ISNUMBER(FIND("IMPVOL",N$1)),_xll.BDH(config!$G$4,N$1,WORKDAY($A961,-1,config_Holiday_Calendar_US),WORKDAY($A961,-1,config_Holiday_Calendar_US)),IF(ISNUMBER(_xll.BDH(config!$G$4,N$1,$A961,$A961)),_xll.BDH(config!$G$4,N$1,$A961,$A961),_xll.BDH(config!$G$5,N$1,$A961,$A961))))</f>
        <v/>
      </c>
      <c r="O961" s="8" t="str">
        <f>IF($A961="","",IF(ISNUMBER(FIND("IMPVOL",O$1)),_xll.BDH(config!$G$4,O$1,WORKDAY($A961,-1,config_Holiday_Calendar_US),WORKDAY($A961,-1,config_Holiday_Calendar_US)),IF(ISNUMBER(_xll.BDH(config!$G$4,O$1,$A961,$A961)),_xll.BDH(config!$G$4,O$1,$A961,$A961),_xll.BDH(config!$G$5,O$1,$A961,$A961))))</f>
        <v/>
      </c>
      <c r="P961" s="8" t="str">
        <f>IF($A961="","",IF(ISNUMBER(FIND("IMPVOL",P$1)),_xll.BDH(config!$G$4,P$1,WORKDAY($A961,-1,config_Holiday_Calendar_US),WORKDAY($A961,-1,config_Holiday_Calendar_US)),IF(ISNUMBER(_xll.BDH(config!$G$4,P$1,$A961,$A961)),_xll.BDH(config!$G$4,P$1,$A961,$A961),_xll.BDH(config!$G$5,P$1,$A961,$A961))))</f>
        <v/>
      </c>
      <c r="Q961" s="8" t="str">
        <f>IF($A961="","",IF(ISNUMBER(FIND("IMPVOL",Q$1)),_xll.BDH(config!$G$4,Q$1,WORKDAY($A961,-1,config_Holiday_Calendar_US),WORKDAY($A961,-1,config_Holiday_Calendar_US)),IF(ISNUMBER(_xll.BDH(config!$G$4,Q$1,$A961,$A961)),_xll.BDH(config!$G$4,Q$1,$A961,$A961),_xll.BDH(config!$G$5,Q$1,$A961,$A961))))</f>
        <v/>
      </c>
      <c r="R961" s="8" t="str">
        <f>IF($A961="","",IF(ISNUMBER(FIND("IMPVOL",R$1)),_xll.BDH(config!$G$4,R$1,WORKDAY($A961,-1,config_Holiday_Calendar_US),WORKDAY($A961,-1,config_Holiday_Calendar_US)),IF(ISNUMBER(_xll.BDH(config!$G$4,R$1,$A961,$A961)),_xll.BDH(config!$G$4,R$1,$A961,$A961),_xll.BDH(config!$G$5,R$1,$A961,$A961))))</f>
        <v/>
      </c>
      <c r="S961" s="8" t="str">
        <f>IF($A961="","",IF(ISNUMBER(FIND("IMPVOL",S$1)),_xll.BDH(config!$G$4,S$1,WORKDAY($A961,-1,config_Holiday_Calendar_US),WORKDAY($A961,-1,config_Holiday_Calendar_US)),IF(ISNUMBER(_xll.BDH(config!$G$4,S$1,$A961,$A961)),_xll.BDH(config!$G$4,S$1,$A961,$A961),_xll.BDH(config!$G$5,S$1,$A961,$A961))))</f>
        <v/>
      </c>
      <c r="T961" s="8" t="str">
        <f>IF($A961="","",IF(ISNUMBER(FIND("IMPVOL",T$1)),_xll.BDH(config!$G$4,T$1,WORKDAY($A961,-1,config_Holiday_Calendar_US),WORKDAY($A961,-1,config_Holiday_Calendar_US)),IF(ISNUMBER(_xll.BDH(config!$G$4,T$1,$A961,$A961)),_xll.BDH(config!$G$4,T$1,$A961,$A961),_xll.BDH(config!$G$5,T$1,$A961,$A961))))</f>
        <v/>
      </c>
      <c r="U961" s="8" t="str">
        <f>IF($A961="","",IF(ISNUMBER(FIND("IMPVOL",U$1)),_xll.BDH(config!$G$4,U$1,WORKDAY($A961,-1,config_Holiday_Calendar_US),WORKDAY($A961,-1,config_Holiday_Calendar_US)),IF(ISNUMBER(_xll.BDH(config!$G$4,U$1,$A961,$A961)),_xll.BDH(config!$G$4,U$1,$A961,$A961),_xll.BDH(config!$G$5,U$1,$A961,$A961))))</f>
        <v/>
      </c>
      <c r="V961" s="8" t="str">
        <f>IF($A961="","",IF(ISNUMBER(FIND("IMPVOL",V$1)),_xll.BDH(config!$G$4,V$1,WORKDAY($A961,-1,config_Holiday_Calendar_US),WORKDAY($A961,-1,config_Holiday_Calendar_US)),IF(ISNUMBER(_xll.BDH(config!$G$4,V$1,$A961,$A961)),_xll.BDH(config!$G$4,V$1,$A961,$A961),_xll.BDH(config!$G$5,V$1,$A961,$A961))))</f>
        <v/>
      </c>
      <c r="W961" s="8" t="str">
        <f>IF($A961="","",IF(ISNUMBER(FIND("IMPVOL",W$1)),_xll.BDH(config!$G$4,W$1,WORKDAY($A961,-1,config_Holiday_Calendar_US),WORKDAY($A961,-1,config_Holiday_Calendar_US)),IF(ISNUMBER(_xll.BDH(config!$G$4,W$1,$A961,$A961)),_xll.BDH(config!$G$4,W$1,$A961,$A961),_xll.BDH(config!$G$5,W$1,$A961,$A961))))</f>
        <v/>
      </c>
    </row>
    <row r="962" spans="1:23" x14ac:dyDescent="0.2">
      <c r="A962" s="9" t="str">
        <f>IF(A961="","",IF(WORKDAY(A961,-1,config_Holiday_Calendar_US)&lt;config!$I$10,"",WORKDAY(A961,-1,config_Holiday_Calendar_US)))</f>
        <v/>
      </c>
      <c r="B962" s="8" t="str">
        <f t="shared" si="14"/>
        <v/>
      </c>
      <c r="C962" s="8" t="str">
        <f>IF(A962="","",_xll.BDH(config!$H$4,C$1,$A962,$A962))</f>
        <v/>
      </c>
      <c r="D962" s="8" t="str">
        <f>IF($A962="","",_xll.BDH(config!$H$4,D$1,$A962,$A962))</f>
        <v/>
      </c>
      <c r="E962" s="8" t="str">
        <f>IF($A962="","",IF(ISNUMBER(FIND("IMPVOL",E$1)),_xll.BDH(config!$G$4,E$1,WORKDAY($A962,-1,config_Holiday_Calendar_US),WORKDAY($A962,-1,config_Holiday_Calendar_US)),IF(ISNUMBER(_xll.BDH(config!$G$4,E$1,$A962,$A962)),_xll.BDH(config!$G$4,E$1,$A962,$A962),_xll.BDH(config!$G$5,E$1,$A962,$A962))))</f>
        <v/>
      </c>
      <c r="F962" s="8" t="str">
        <f>IF($A962="","",IF(ISNUMBER(FIND("IMPVOL",F$1)),_xll.BDH(config!$G$4,F$1,WORKDAY($A962,-1,config_Holiday_Calendar_US),WORKDAY($A962,-1,config_Holiday_Calendar_US)),IF(ISNUMBER(_xll.BDH(config!$G$4,F$1,$A962,$A962)),_xll.BDH(config!$G$4,F$1,$A962,$A962),_xll.BDH(config!$G$5,F$1,$A962,$A962))))</f>
        <v/>
      </c>
      <c r="G962" s="8" t="str">
        <f>IF($A962="","",IF(ISNUMBER(FIND("IMPVOL",G$1)),_xll.BDH(config!$G$4,G$1,WORKDAY($A962,-1,config_Holiday_Calendar_US),WORKDAY($A962,-1,config_Holiday_Calendar_US)),IF(ISNUMBER(_xll.BDH(config!$G$4,G$1,$A962,$A962)),_xll.BDH(config!$G$4,G$1,$A962,$A962),_xll.BDH(config!$G$5,G$1,$A962,$A962))))</f>
        <v/>
      </c>
      <c r="H962" s="8" t="str">
        <f>IF($A962="","",IF(ISNUMBER(FIND("IMPVOL",H$1)),_xll.BDH(config!$G$4,H$1,WORKDAY($A962,-1,config_Holiday_Calendar_US),WORKDAY($A962,-1,config_Holiday_Calendar_US)),IF(ISNUMBER(_xll.BDH(config!$G$4,H$1,$A962,$A962)),_xll.BDH(config!$G$4,H$1,$A962,$A962),_xll.BDH(config!$G$5,H$1,$A962,$A962))))</f>
        <v/>
      </c>
      <c r="I962" s="8" t="str">
        <f>IF($A962="","",IF(ISNUMBER(FIND("IMPVOL",I$1)),_xll.BDH(config!$G$4,I$1,WORKDAY($A962,-1,config_Holiday_Calendar_US),WORKDAY($A962,-1,config_Holiday_Calendar_US)),IF(ISNUMBER(_xll.BDH(config!$G$4,I$1,$A962,$A962)),_xll.BDH(config!$G$4,I$1,$A962,$A962),_xll.BDH(config!$G$5,I$1,$A962,$A962))))</f>
        <v/>
      </c>
      <c r="J962" s="8" t="str">
        <f>IF($A962="","",IF(ISNUMBER(FIND("IMPVOL",J$1)),_xll.BDH(config!$G$4,J$1,WORKDAY($A962,-1,config_Holiday_Calendar_US),WORKDAY($A962,-1,config_Holiday_Calendar_US)),IF(ISNUMBER(_xll.BDH(config!$G$4,J$1,$A962,$A962)),_xll.BDH(config!$G$4,J$1,$A962,$A962),_xll.BDH(config!$G$5,J$1,$A962,$A962))))</f>
        <v/>
      </c>
      <c r="K962" s="8" t="str">
        <f>IF($A962="","",IF(ISNUMBER(FIND("IMPVOL",K$1)),_xll.BDH(config!$G$4,K$1,WORKDAY($A962,-1,config_Holiday_Calendar_US),WORKDAY($A962,-1,config_Holiday_Calendar_US)),IF(ISNUMBER(_xll.BDH(config!$G$4,K$1,$A962,$A962)),_xll.BDH(config!$G$4,K$1,$A962,$A962),_xll.BDH(config!$G$5,K$1,$A962,$A962))))</f>
        <v/>
      </c>
      <c r="L962" s="8" t="str">
        <f>IF($A962="","",IF(ISNUMBER(FIND("IMPVOL",L$1)),_xll.BDH(config!$G$4,L$1,WORKDAY($A962,-1,config_Holiday_Calendar_US),WORKDAY($A962,-1,config_Holiday_Calendar_US)),IF(ISNUMBER(_xll.BDH(config!$G$4,L$1,$A962,$A962)),_xll.BDH(config!$G$4,L$1,$A962,$A962),_xll.BDH(config!$G$5,L$1,$A962,$A962))))</f>
        <v/>
      </c>
      <c r="M962" s="8" t="str">
        <f>IF($A962="","",IF(ISNUMBER(FIND("IMPVOL",M$1)),_xll.BDH(config!$G$4,M$1,WORKDAY($A962,-1,config_Holiday_Calendar_US),WORKDAY($A962,-1,config_Holiday_Calendar_US)),IF(ISNUMBER(_xll.BDH(config!$G$4,M$1,$A962,$A962)),_xll.BDH(config!$G$4,M$1,$A962,$A962),_xll.BDH(config!$G$5,M$1,$A962,$A962))))</f>
        <v/>
      </c>
      <c r="N962" s="8" t="str">
        <f>IF($A962="","",IF(ISNUMBER(FIND("IMPVOL",N$1)),_xll.BDH(config!$G$4,N$1,WORKDAY($A962,-1,config_Holiday_Calendar_US),WORKDAY($A962,-1,config_Holiday_Calendar_US)),IF(ISNUMBER(_xll.BDH(config!$G$4,N$1,$A962,$A962)),_xll.BDH(config!$G$4,N$1,$A962,$A962),_xll.BDH(config!$G$5,N$1,$A962,$A962))))</f>
        <v/>
      </c>
      <c r="O962" s="8" t="str">
        <f>IF($A962="","",IF(ISNUMBER(FIND("IMPVOL",O$1)),_xll.BDH(config!$G$4,O$1,WORKDAY($A962,-1,config_Holiday_Calendar_US),WORKDAY($A962,-1,config_Holiday_Calendar_US)),IF(ISNUMBER(_xll.BDH(config!$G$4,O$1,$A962,$A962)),_xll.BDH(config!$G$4,O$1,$A962,$A962),_xll.BDH(config!$G$5,O$1,$A962,$A962))))</f>
        <v/>
      </c>
      <c r="P962" s="8" t="str">
        <f>IF($A962="","",IF(ISNUMBER(FIND("IMPVOL",P$1)),_xll.BDH(config!$G$4,P$1,WORKDAY($A962,-1,config_Holiday_Calendar_US),WORKDAY($A962,-1,config_Holiday_Calendar_US)),IF(ISNUMBER(_xll.BDH(config!$G$4,P$1,$A962,$A962)),_xll.BDH(config!$G$4,P$1,$A962,$A962),_xll.BDH(config!$G$5,P$1,$A962,$A962))))</f>
        <v/>
      </c>
      <c r="Q962" s="8" t="str">
        <f>IF($A962="","",IF(ISNUMBER(FIND("IMPVOL",Q$1)),_xll.BDH(config!$G$4,Q$1,WORKDAY($A962,-1,config_Holiday_Calendar_US),WORKDAY($A962,-1,config_Holiday_Calendar_US)),IF(ISNUMBER(_xll.BDH(config!$G$4,Q$1,$A962,$A962)),_xll.BDH(config!$G$4,Q$1,$A962,$A962),_xll.BDH(config!$G$5,Q$1,$A962,$A962))))</f>
        <v/>
      </c>
      <c r="R962" s="8" t="str">
        <f>IF($A962="","",IF(ISNUMBER(FIND("IMPVOL",R$1)),_xll.BDH(config!$G$4,R$1,WORKDAY($A962,-1,config_Holiday_Calendar_US),WORKDAY($A962,-1,config_Holiday_Calendar_US)),IF(ISNUMBER(_xll.BDH(config!$G$4,R$1,$A962,$A962)),_xll.BDH(config!$G$4,R$1,$A962,$A962),_xll.BDH(config!$G$5,R$1,$A962,$A962))))</f>
        <v/>
      </c>
      <c r="S962" s="8" t="str">
        <f>IF($A962="","",IF(ISNUMBER(FIND("IMPVOL",S$1)),_xll.BDH(config!$G$4,S$1,WORKDAY($A962,-1,config_Holiday_Calendar_US),WORKDAY($A962,-1,config_Holiday_Calendar_US)),IF(ISNUMBER(_xll.BDH(config!$G$4,S$1,$A962,$A962)),_xll.BDH(config!$G$4,S$1,$A962,$A962),_xll.BDH(config!$G$5,S$1,$A962,$A962))))</f>
        <v/>
      </c>
      <c r="T962" s="8" t="str">
        <f>IF($A962="","",IF(ISNUMBER(FIND("IMPVOL",T$1)),_xll.BDH(config!$G$4,T$1,WORKDAY($A962,-1,config_Holiday_Calendar_US),WORKDAY($A962,-1,config_Holiday_Calendar_US)),IF(ISNUMBER(_xll.BDH(config!$G$4,T$1,$A962,$A962)),_xll.BDH(config!$G$4,T$1,$A962,$A962),_xll.BDH(config!$G$5,T$1,$A962,$A962))))</f>
        <v/>
      </c>
      <c r="U962" s="8" t="str">
        <f>IF($A962="","",IF(ISNUMBER(FIND("IMPVOL",U$1)),_xll.BDH(config!$G$4,U$1,WORKDAY($A962,-1,config_Holiday_Calendar_US),WORKDAY($A962,-1,config_Holiday_Calendar_US)),IF(ISNUMBER(_xll.BDH(config!$G$4,U$1,$A962,$A962)),_xll.BDH(config!$G$4,U$1,$A962,$A962),_xll.BDH(config!$G$5,U$1,$A962,$A962))))</f>
        <v/>
      </c>
      <c r="V962" s="8" t="str">
        <f>IF($A962="","",IF(ISNUMBER(FIND("IMPVOL",V$1)),_xll.BDH(config!$G$4,V$1,WORKDAY($A962,-1,config_Holiday_Calendar_US),WORKDAY($A962,-1,config_Holiday_Calendar_US)),IF(ISNUMBER(_xll.BDH(config!$G$4,V$1,$A962,$A962)),_xll.BDH(config!$G$4,V$1,$A962,$A962),_xll.BDH(config!$G$5,V$1,$A962,$A962))))</f>
        <v/>
      </c>
      <c r="W962" s="8" t="str">
        <f>IF($A962="","",IF(ISNUMBER(FIND("IMPVOL",W$1)),_xll.BDH(config!$G$4,W$1,WORKDAY($A962,-1,config_Holiday_Calendar_US),WORKDAY($A962,-1,config_Holiday_Calendar_US)),IF(ISNUMBER(_xll.BDH(config!$G$4,W$1,$A962,$A962)),_xll.BDH(config!$G$4,W$1,$A962,$A962),_xll.BDH(config!$G$5,W$1,$A962,$A962))))</f>
        <v/>
      </c>
    </row>
    <row r="963" spans="1:23" x14ac:dyDescent="0.2">
      <c r="A963" s="9" t="str">
        <f>IF(A962="","",IF(WORKDAY(A962,-1,config_Holiday_Calendar_US)&lt;config!$I$10,"",WORKDAY(A962,-1,config_Holiday_Calendar_US)))</f>
        <v/>
      </c>
      <c r="B963" s="8" t="str">
        <f t="shared" ref="B963:B1000" si="15">IF(A963="","",IF(SIGN(C963)=1,1,0))</f>
        <v/>
      </c>
      <c r="C963" s="8" t="str">
        <f>IF(A963="","",_xll.BDH(config!$H$4,C$1,$A963,$A963))</f>
        <v/>
      </c>
      <c r="D963" s="8" t="str">
        <f>IF($A963="","",_xll.BDH(config!$H$4,D$1,$A963,$A963))</f>
        <v/>
      </c>
      <c r="E963" s="8" t="str">
        <f>IF($A963="","",IF(ISNUMBER(FIND("IMPVOL",E$1)),_xll.BDH(config!$G$4,E$1,WORKDAY($A963,-1,config_Holiday_Calendar_US),WORKDAY($A963,-1,config_Holiday_Calendar_US)),IF(ISNUMBER(_xll.BDH(config!$G$4,E$1,$A963,$A963)),_xll.BDH(config!$G$4,E$1,$A963,$A963),_xll.BDH(config!$G$5,E$1,$A963,$A963))))</f>
        <v/>
      </c>
      <c r="F963" s="8" t="str">
        <f>IF($A963="","",IF(ISNUMBER(FIND("IMPVOL",F$1)),_xll.BDH(config!$G$4,F$1,WORKDAY($A963,-1,config_Holiday_Calendar_US),WORKDAY($A963,-1,config_Holiday_Calendar_US)),IF(ISNUMBER(_xll.BDH(config!$G$4,F$1,$A963,$A963)),_xll.BDH(config!$G$4,F$1,$A963,$A963),_xll.BDH(config!$G$5,F$1,$A963,$A963))))</f>
        <v/>
      </c>
      <c r="G963" s="8" t="str">
        <f>IF($A963="","",IF(ISNUMBER(FIND("IMPVOL",G$1)),_xll.BDH(config!$G$4,G$1,WORKDAY($A963,-1,config_Holiday_Calendar_US),WORKDAY($A963,-1,config_Holiday_Calendar_US)),IF(ISNUMBER(_xll.BDH(config!$G$4,G$1,$A963,$A963)),_xll.BDH(config!$G$4,G$1,$A963,$A963),_xll.BDH(config!$G$5,G$1,$A963,$A963))))</f>
        <v/>
      </c>
      <c r="H963" s="8" t="str">
        <f>IF($A963="","",IF(ISNUMBER(FIND("IMPVOL",H$1)),_xll.BDH(config!$G$4,H$1,WORKDAY($A963,-1,config_Holiday_Calendar_US),WORKDAY($A963,-1,config_Holiday_Calendar_US)),IF(ISNUMBER(_xll.BDH(config!$G$4,H$1,$A963,$A963)),_xll.BDH(config!$G$4,H$1,$A963,$A963),_xll.BDH(config!$G$5,H$1,$A963,$A963))))</f>
        <v/>
      </c>
      <c r="I963" s="8" t="str">
        <f>IF($A963="","",IF(ISNUMBER(FIND("IMPVOL",I$1)),_xll.BDH(config!$G$4,I$1,WORKDAY($A963,-1,config_Holiday_Calendar_US),WORKDAY($A963,-1,config_Holiday_Calendar_US)),IF(ISNUMBER(_xll.BDH(config!$G$4,I$1,$A963,$A963)),_xll.BDH(config!$G$4,I$1,$A963,$A963),_xll.BDH(config!$G$5,I$1,$A963,$A963))))</f>
        <v/>
      </c>
      <c r="J963" s="8" t="str">
        <f>IF($A963="","",IF(ISNUMBER(FIND("IMPVOL",J$1)),_xll.BDH(config!$G$4,J$1,WORKDAY($A963,-1,config_Holiday_Calendar_US),WORKDAY($A963,-1,config_Holiday_Calendar_US)),IF(ISNUMBER(_xll.BDH(config!$G$4,J$1,$A963,$A963)),_xll.BDH(config!$G$4,J$1,$A963,$A963),_xll.BDH(config!$G$5,J$1,$A963,$A963))))</f>
        <v/>
      </c>
      <c r="K963" s="8" t="str">
        <f>IF($A963="","",IF(ISNUMBER(FIND("IMPVOL",K$1)),_xll.BDH(config!$G$4,K$1,WORKDAY($A963,-1,config_Holiday_Calendar_US),WORKDAY($A963,-1,config_Holiday_Calendar_US)),IF(ISNUMBER(_xll.BDH(config!$G$4,K$1,$A963,$A963)),_xll.BDH(config!$G$4,K$1,$A963,$A963),_xll.BDH(config!$G$5,K$1,$A963,$A963))))</f>
        <v/>
      </c>
      <c r="L963" s="8" t="str">
        <f>IF($A963="","",IF(ISNUMBER(FIND("IMPVOL",L$1)),_xll.BDH(config!$G$4,L$1,WORKDAY($A963,-1,config_Holiday_Calendar_US),WORKDAY($A963,-1,config_Holiday_Calendar_US)),IF(ISNUMBER(_xll.BDH(config!$G$4,L$1,$A963,$A963)),_xll.BDH(config!$G$4,L$1,$A963,$A963),_xll.BDH(config!$G$5,L$1,$A963,$A963))))</f>
        <v/>
      </c>
      <c r="M963" s="8" t="str">
        <f>IF($A963="","",IF(ISNUMBER(FIND("IMPVOL",M$1)),_xll.BDH(config!$G$4,M$1,WORKDAY($A963,-1,config_Holiday_Calendar_US),WORKDAY($A963,-1,config_Holiday_Calendar_US)),IF(ISNUMBER(_xll.BDH(config!$G$4,M$1,$A963,$A963)),_xll.BDH(config!$G$4,M$1,$A963,$A963),_xll.BDH(config!$G$5,M$1,$A963,$A963))))</f>
        <v/>
      </c>
      <c r="N963" s="8" t="str">
        <f>IF($A963="","",IF(ISNUMBER(FIND("IMPVOL",N$1)),_xll.BDH(config!$G$4,N$1,WORKDAY($A963,-1,config_Holiday_Calendar_US),WORKDAY($A963,-1,config_Holiday_Calendar_US)),IF(ISNUMBER(_xll.BDH(config!$G$4,N$1,$A963,$A963)),_xll.BDH(config!$G$4,N$1,$A963,$A963),_xll.BDH(config!$G$5,N$1,$A963,$A963))))</f>
        <v/>
      </c>
      <c r="O963" s="8" t="str">
        <f>IF($A963="","",IF(ISNUMBER(FIND("IMPVOL",O$1)),_xll.BDH(config!$G$4,O$1,WORKDAY($A963,-1,config_Holiday_Calendar_US),WORKDAY($A963,-1,config_Holiday_Calendar_US)),IF(ISNUMBER(_xll.BDH(config!$G$4,O$1,$A963,$A963)),_xll.BDH(config!$G$4,O$1,$A963,$A963),_xll.BDH(config!$G$5,O$1,$A963,$A963))))</f>
        <v/>
      </c>
      <c r="P963" s="8" t="str">
        <f>IF($A963="","",IF(ISNUMBER(FIND("IMPVOL",P$1)),_xll.BDH(config!$G$4,P$1,WORKDAY($A963,-1,config_Holiday_Calendar_US),WORKDAY($A963,-1,config_Holiday_Calendar_US)),IF(ISNUMBER(_xll.BDH(config!$G$4,P$1,$A963,$A963)),_xll.BDH(config!$G$4,P$1,$A963,$A963),_xll.BDH(config!$G$5,P$1,$A963,$A963))))</f>
        <v/>
      </c>
      <c r="Q963" s="8" t="str">
        <f>IF($A963="","",IF(ISNUMBER(FIND("IMPVOL",Q$1)),_xll.BDH(config!$G$4,Q$1,WORKDAY($A963,-1,config_Holiday_Calendar_US),WORKDAY($A963,-1,config_Holiday_Calendar_US)),IF(ISNUMBER(_xll.BDH(config!$G$4,Q$1,$A963,$A963)),_xll.BDH(config!$G$4,Q$1,$A963,$A963),_xll.BDH(config!$G$5,Q$1,$A963,$A963))))</f>
        <v/>
      </c>
      <c r="R963" s="8" t="str">
        <f>IF($A963="","",IF(ISNUMBER(FIND("IMPVOL",R$1)),_xll.BDH(config!$G$4,R$1,WORKDAY($A963,-1,config_Holiday_Calendar_US),WORKDAY($A963,-1,config_Holiday_Calendar_US)),IF(ISNUMBER(_xll.BDH(config!$G$4,R$1,$A963,$A963)),_xll.BDH(config!$G$4,R$1,$A963,$A963),_xll.BDH(config!$G$5,R$1,$A963,$A963))))</f>
        <v/>
      </c>
      <c r="S963" s="8" t="str">
        <f>IF($A963="","",IF(ISNUMBER(FIND("IMPVOL",S$1)),_xll.BDH(config!$G$4,S$1,WORKDAY($A963,-1,config_Holiday_Calendar_US),WORKDAY($A963,-1,config_Holiday_Calendar_US)),IF(ISNUMBER(_xll.BDH(config!$G$4,S$1,$A963,$A963)),_xll.BDH(config!$G$4,S$1,$A963,$A963),_xll.BDH(config!$G$5,S$1,$A963,$A963))))</f>
        <v/>
      </c>
      <c r="T963" s="8" t="str">
        <f>IF($A963="","",IF(ISNUMBER(FIND("IMPVOL",T$1)),_xll.BDH(config!$G$4,T$1,WORKDAY($A963,-1,config_Holiday_Calendar_US),WORKDAY($A963,-1,config_Holiday_Calendar_US)),IF(ISNUMBER(_xll.BDH(config!$G$4,T$1,$A963,$A963)),_xll.BDH(config!$G$4,T$1,$A963,$A963),_xll.BDH(config!$G$5,T$1,$A963,$A963))))</f>
        <v/>
      </c>
      <c r="U963" s="8" t="str">
        <f>IF($A963="","",IF(ISNUMBER(FIND("IMPVOL",U$1)),_xll.BDH(config!$G$4,U$1,WORKDAY($A963,-1,config_Holiday_Calendar_US),WORKDAY($A963,-1,config_Holiday_Calendar_US)),IF(ISNUMBER(_xll.BDH(config!$G$4,U$1,$A963,$A963)),_xll.BDH(config!$G$4,U$1,$A963,$A963),_xll.BDH(config!$G$5,U$1,$A963,$A963))))</f>
        <v/>
      </c>
      <c r="V963" s="8" t="str">
        <f>IF($A963="","",IF(ISNUMBER(FIND("IMPVOL",V$1)),_xll.BDH(config!$G$4,V$1,WORKDAY($A963,-1,config_Holiday_Calendar_US),WORKDAY($A963,-1,config_Holiday_Calendar_US)),IF(ISNUMBER(_xll.BDH(config!$G$4,V$1,$A963,$A963)),_xll.BDH(config!$G$4,V$1,$A963,$A963),_xll.BDH(config!$G$5,V$1,$A963,$A963))))</f>
        <v/>
      </c>
      <c r="W963" s="8" t="str">
        <f>IF($A963="","",IF(ISNUMBER(FIND("IMPVOL",W$1)),_xll.BDH(config!$G$4,W$1,WORKDAY($A963,-1,config_Holiday_Calendar_US),WORKDAY($A963,-1,config_Holiday_Calendar_US)),IF(ISNUMBER(_xll.BDH(config!$G$4,W$1,$A963,$A963)),_xll.BDH(config!$G$4,W$1,$A963,$A963),_xll.BDH(config!$G$5,W$1,$A963,$A963))))</f>
        <v/>
      </c>
    </row>
    <row r="964" spans="1:23" x14ac:dyDescent="0.2">
      <c r="A964" s="9" t="str">
        <f>IF(A963="","",IF(WORKDAY(A963,-1,config_Holiday_Calendar_US)&lt;config!$I$10,"",WORKDAY(A963,-1,config_Holiday_Calendar_US)))</f>
        <v/>
      </c>
      <c r="B964" s="8" t="str">
        <f t="shared" si="15"/>
        <v/>
      </c>
      <c r="C964" s="8" t="str">
        <f>IF(A964="","",_xll.BDH(config!$H$4,C$1,$A964,$A964))</f>
        <v/>
      </c>
      <c r="D964" s="8" t="str">
        <f>IF($A964="","",_xll.BDH(config!$H$4,D$1,$A964,$A964))</f>
        <v/>
      </c>
      <c r="E964" s="8" t="str">
        <f>IF($A964="","",IF(ISNUMBER(FIND("IMPVOL",E$1)),_xll.BDH(config!$G$4,E$1,WORKDAY($A964,-1,config_Holiday_Calendar_US),WORKDAY($A964,-1,config_Holiday_Calendar_US)),IF(ISNUMBER(_xll.BDH(config!$G$4,E$1,$A964,$A964)),_xll.BDH(config!$G$4,E$1,$A964,$A964),_xll.BDH(config!$G$5,E$1,$A964,$A964))))</f>
        <v/>
      </c>
      <c r="F964" s="8" t="str">
        <f>IF($A964="","",IF(ISNUMBER(FIND("IMPVOL",F$1)),_xll.BDH(config!$G$4,F$1,WORKDAY($A964,-1,config_Holiday_Calendar_US),WORKDAY($A964,-1,config_Holiday_Calendar_US)),IF(ISNUMBER(_xll.BDH(config!$G$4,F$1,$A964,$A964)),_xll.BDH(config!$G$4,F$1,$A964,$A964),_xll.BDH(config!$G$5,F$1,$A964,$A964))))</f>
        <v/>
      </c>
      <c r="G964" s="8" t="str">
        <f>IF($A964="","",IF(ISNUMBER(FIND("IMPVOL",G$1)),_xll.BDH(config!$G$4,G$1,WORKDAY($A964,-1,config_Holiday_Calendar_US),WORKDAY($A964,-1,config_Holiday_Calendar_US)),IF(ISNUMBER(_xll.BDH(config!$G$4,G$1,$A964,$A964)),_xll.BDH(config!$G$4,G$1,$A964,$A964),_xll.BDH(config!$G$5,G$1,$A964,$A964))))</f>
        <v/>
      </c>
      <c r="H964" s="8" t="str">
        <f>IF($A964="","",IF(ISNUMBER(FIND("IMPVOL",H$1)),_xll.BDH(config!$G$4,H$1,WORKDAY($A964,-1,config_Holiday_Calendar_US),WORKDAY($A964,-1,config_Holiday_Calendar_US)),IF(ISNUMBER(_xll.BDH(config!$G$4,H$1,$A964,$A964)),_xll.BDH(config!$G$4,H$1,$A964,$A964),_xll.BDH(config!$G$5,H$1,$A964,$A964))))</f>
        <v/>
      </c>
      <c r="I964" s="8" t="str">
        <f>IF($A964="","",IF(ISNUMBER(FIND("IMPVOL",I$1)),_xll.BDH(config!$G$4,I$1,WORKDAY($A964,-1,config_Holiday_Calendar_US),WORKDAY($A964,-1,config_Holiday_Calendar_US)),IF(ISNUMBER(_xll.BDH(config!$G$4,I$1,$A964,$A964)),_xll.BDH(config!$G$4,I$1,$A964,$A964),_xll.BDH(config!$G$5,I$1,$A964,$A964))))</f>
        <v/>
      </c>
      <c r="J964" s="8" t="str">
        <f>IF($A964="","",IF(ISNUMBER(FIND("IMPVOL",J$1)),_xll.BDH(config!$G$4,J$1,WORKDAY($A964,-1,config_Holiday_Calendar_US),WORKDAY($A964,-1,config_Holiday_Calendar_US)),IF(ISNUMBER(_xll.BDH(config!$G$4,J$1,$A964,$A964)),_xll.BDH(config!$G$4,J$1,$A964,$A964),_xll.BDH(config!$G$5,J$1,$A964,$A964))))</f>
        <v/>
      </c>
      <c r="K964" s="8" t="str">
        <f>IF($A964="","",IF(ISNUMBER(FIND("IMPVOL",K$1)),_xll.BDH(config!$G$4,K$1,WORKDAY($A964,-1,config_Holiday_Calendar_US),WORKDAY($A964,-1,config_Holiday_Calendar_US)),IF(ISNUMBER(_xll.BDH(config!$G$4,K$1,$A964,$A964)),_xll.BDH(config!$G$4,K$1,$A964,$A964),_xll.BDH(config!$G$5,K$1,$A964,$A964))))</f>
        <v/>
      </c>
      <c r="L964" s="8" t="str">
        <f>IF($A964="","",IF(ISNUMBER(FIND("IMPVOL",L$1)),_xll.BDH(config!$G$4,L$1,WORKDAY($A964,-1,config_Holiday_Calendar_US),WORKDAY($A964,-1,config_Holiday_Calendar_US)),IF(ISNUMBER(_xll.BDH(config!$G$4,L$1,$A964,$A964)),_xll.BDH(config!$G$4,L$1,$A964,$A964),_xll.BDH(config!$G$5,L$1,$A964,$A964))))</f>
        <v/>
      </c>
      <c r="M964" s="8" t="str">
        <f>IF($A964="","",IF(ISNUMBER(FIND("IMPVOL",M$1)),_xll.BDH(config!$G$4,M$1,WORKDAY($A964,-1,config_Holiday_Calendar_US),WORKDAY($A964,-1,config_Holiday_Calendar_US)),IF(ISNUMBER(_xll.BDH(config!$G$4,M$1,$A964,$A964)),_xll.BDH(config!$G$4,M$1,$A964,$A964),_xll.BDH(config!$G$5,M$1,$A964,$A964))))</f>
        <v/>
      </c>
      <c r="N964" s="8" t="str">
        <f>IF($A964="","",IF(ISNUMBER(FIND("IMPVOL",N$1)),_xll.BDH(config!$G$4,N$1,WORKDAY($A964,-1,config_Holiday_Calendar_US),WORKDAY($A964,-1,config_Holiday_Calendar_US)),IF(ISNUMBER(_xll.BDH(config!$G$4,N$1,$A964,$A964)),_xll.BDH(config!$G$4,N$1,$A964,$A964),_xll.BDH(config!$G$5,N$1,$A964,$A964))))</f>
        <v/>
      </c>
      <c r="O964" s="8" t="str">
        <f>IF($A964="","",IF(ISNUMBER(FIND("IMPVOL",O$1)),_xll.BDH(config!$G$4,O$1,WORKDAY($A964,-1,config_Holiday_Calendar_US),WORKDAY($A964,-1,config_Holiday_Calendar_US)),IF(ISNUMBER(_xll.BDH(config!$G$4,O$1,$A964,$A964)),_xll.BDH(config!$G$4,O$1,$A964,$A964),_xll.BDH(config!$G$5,O$1,$A964,$A964))))</f>
        <v/>
      </c>
      <c r="P964" s="8" t="str">
        <f>IF($A964="","",IF(ISNUMBER(FIND("IMPVOL",P$1)),_xll.BDH(config!$G$4,P$1,WORKDAY($A964,-1,config_Holiday_Calendar_US),WORKDAY($A964,-1,config_Holiday_Calendar_US)),IF(ISNUMBER(_xll.BDH(config!$G$4,P$1,$A964,$A964)),_xll.BDH(config!$G$4,P$1,$A964,$A964),_xll.BDH(config!$G$5,P$1,$A964,$A964))))</f>
        <v/>
      </c>
      <c r="Q964" s="8" t="str">
        <f>IF($A964="","",IF(ISNUMBER(FIND("IMPVOL",Q$1)),_xll.BDH(config!$G$4,Q$1,WORKDAY($A964,-1,config_Holiday_Calendar_US),WORKDAY($A964,-1,config_Holiday_Calendar_US)),IF(ISNUMBER(_xll.BDH(config!$G$4,Q$1,$A964,$A964)),_xll.BDH(config!$G$4,Q$1,$A964,$A964),_xll.BDH(config!$G$5,Q$1,$A964,$A964))))</f>
        <v/>
      </c>
      <c r="R964" s="8" t="str">
        <f>IF($A964="","",IF(ISNUMBER(FIND("IMPVOL",R$1)),_xll.BDH(config!$G$4,R$1,WORKDAY($A964,-1,config_Holiday_Calendar_US),WORKDAY($A964,-1,config_Holiday_Calendar_US)),IF(ISNUMBER(_xll.BDH(config!$G$4,R$1,$A964,$A964)),_xll.BDH(config!$G$4,R$1,$A964,$A964),_xll.BDH(config!$G$5,R$1,$A964,$A964))))</f>
        <v/>
      </c>
      <c r="S964" s="8" t="str">
        <f>IF($A964="","",IF(ISNUMBER(FIND("IMPVOL",S$1)),_xll.BDH(config!$G$4,S$1,WORKDAY($A964,-1,config_Holiday_Calendar_US),WORKDAY($A964,-1,config_Holiday_Calendar_US)),IF(ISNUMBER(_xll.BDH(config!$G$4,S$1,$A964,$A964)),_xll.BDH(config!$G$4,S$1,$A964,$A964),_xll.BDH(config!$G$5,S$1,$A964,$A964))))</f>
        <v/>
      </c>
      <c r="T964" s="8" t="str">
        <f>IF($A964="","",IF(ISNUMBER(FIND("IMPVOL",T$1)),_xll.BDH(config!$G$4,T$1,WORKDAY($A964,-1,config_Holiday_Calendar_US),WORKDAY($A964,-1,config_Holiday_Calendar_US)),IF(ISNUMBER(_xll.BDH(config!$G$4,T$1,$A964,$A964)),_xll.BDH(config!$G$4,T$1,$A964,$A964),_xll.BDH(config!$G$5,T$1,$A964,$A964))))</f>
        <v/>
      </c>
      <c r="U964" s="8" t="str">
        <f>IF($A964="","",IF(ISNUMBER(FIND("IMPVOL",U$1)),_xll.BDH(config!$G$4,U$1,WORKDAY($A964,-1,config_Holiday_Calendar_US),WORKDAY($A964,-1,config_Holiday_Calendar_US)),IF(ISNUMBER(_xll.BDH(config!$G$4,U$1,$A964,$A964)),_xll.BDH(config!$G$4,U$1,$A964,$A964),_xll.BDH(config!$G$5,U$1,$A964,$A964))))</f>
        <v/>
      </c>
      <c r="V964" s="8" t="str">
        <f>IF($A964="","",IF(ISNUMBER(FIND("IMPVOL",V$1)),_xll.BDH(config!$G$4,V$1,WORKDAY($A964,-1,config_Holiday_Calendar_US),WORKDAY($A964,-1,config_Holiday_Calendar_US)),IF(ISNUMBER(_xll.BDH(config!$G$4,V$1,$A964,$A964)),_xll.BDH(config!$G$4,V$1,$A964,$A964),_xll.BDH(config!$G$5,V$1,$A964,$A964))))</f>
        <v/>
      </c>
      <c r="W964" s="8" t="str">
        <f>IF($A964="","",IF(ISNUMBER(FIND("IMPVOL",W$1)),_xll.BDH(config!$G$4,W$1,WORKDAY($A964,-1,config_Holiday_Calendar_US),WORKDAY($A964,-1,config_Holiday_Calendar_US)),IF(ISNUMBER(_xll.BDH(config!$G$4,W$1,$A964,$A964)),_xll.BDH(config!$G$4,W$1,$A964,$A964),_xll.BDH(config!$G$5,W$1,$A964,$A964))))</f>
        <v/>
      </c>
    </row>
    <row r="965" spans="1:23" x14ac:dyDescent="0.2">
      <c r="A965" s="9" t="str">
        <f>IF(A964="","",IF(WORKDAY(A964,-1,config_Holiday_Calendar_US)&lt;config!$I$10,"",WORKDAY(A964,-1,config_Holiday_Calendar_US)))</f>
        <v/>
      </c>
      <c r="B965" s="8" t="str">
        <f t="shared" si="15"/>
        <v/>
      </c>
      <c r="C965" s="8" t="str">
        <f>IF(A965="","",_xll.BDH(config!$H$4,C$1,$A965,$A965))</f>
        <v/>
      </c>
      <c r="D965" s="8" t="str">
        <f>IF($A965="","",_xll.BDH(config!$H$4,D$1,$A965,$A965))</f>
        <v/>
      </c>
      <c r="E965" s="8" t="str">
        <f>IF($A965="","",IF(ISNUMBER(FIND("IMPVOL",E$1)),_xll.BDH(config!$G$4,E$1,WORKDAY($A965,-1,config_Holiday_Calendar_US),WORKDAY($A965,-1,config_Holiday_Calendar_US)),IF(ISNUMBER(_xll.BDH(config!$G$4,E$1,$A965,$A965)),_xll.BDH(config!$G$4,E$1,$A965,$A965),_xll.BDH(config!$G$5,E$1,$A965,$A965))))</f>
        <v/>
      </c>
      <c r="F965" s="8" t="str">
        <f>IF($A965="","",IF(ISNUMBER(FIND("IMPVOL",F$1)),_xll.BDH(config!$G$4,F$1,WORKDAY($A965,-1,config_Holiday_Calendar_US),WORKDAY($A965,-1,config_Holiday_Calendar_US)),IF(ISNUMBER(_xll.BDH(config!$G$4,F$1,$A965,$A965)),_xll.BDH(config!$G$4,F$1,$A965,$A965),_xll.BDH(config!$G$5,F$1,$A965,$A965))))</f>
        <v/>
      </c>
      <c r="G965" s="8" t="str">
        <f>IF($A965="","",IF(ISNUMBER(FIND("IMPVOL",G$1)),_xll.BDH(config!$G$4,G$1,WORKDAY($A965,-1,config_Holiday_Calendar_US),WORKDAY($A965,-1,config_Holiday_Calendar_US)),IF(ISNUMBER(_xll.BDH(config!$G$4,G$1,$A965,$A965)),_xll.BDH(config!$G$4,G$1,$A965,$A965),_xll.BDH(config!$G$5,G$1,$A965,$A965))))</f>
        <v/>
      </c>
      <c r="H965" s="8" t="str">
        <f>IF($A965="","",IF(ISNUMBER(FIND("IMPVOL",H$1)),_xll.BDH(config!$G$4,H$1,WORKDAY($A965,-1,config_Holiday_Calendar_US),WORKDAY($A965,-1,config_Holiday_Calendar_US)),IF(ISNUMBER(_xll.BDH(config!$G$4,H$1,$A965,$A965)),_xll.BDH(config!$G$4,H$1,$A965,$A965),_xll.BDH(config!$G$5,H$1,$A965,$A965))))</f>
        <v/>
      </c>
      <c r="I965" s="8" t="str">
        <f>IF($A965="","",IF(ISNUMBER(FIND("IMPVOL",I$1)),_xll.BDH(config!$G$4,I$1,WORKDAY($A965,-1,config_Holiday_Calendar_US),WORKDAY($A965,-1,config_Holiday_Calendar_US)),IF(ISNUMBER(_xll.BDH(config!$G$4,I$1,$A965,$A965)),_xll.BDH(config!$G$4,I$1,$A965,$A965),_xll.BDH(config!$G$5,I$1,$A965,$A965))))</f>
        <v/>
      </c>
      <c r="J965" s="8" t="str">
        <f>IF($A965="","",IF(ISNUMBER(FIND("IMPVOL",J$1)),_xll.BDH(config!$G$4,J$1,WORKDAY($A965,-1,config_Holiday_Calendar_US),WORKDAY($A965,-1,config_Holiday_Calendar_US)),IF(ISNUMBER(_xll.BDH(config!$G$4,J$1,$A965,$A965)),_xll.BDH(config!$G$4,J$1,$A965,$A965),_xll.BDH(config!$G$5,J$1,$A965,$A965))))</f>
        <v/>
      </c>
      <c r="K965" s="8" t="str">
        <f>IF($A965="","",IF(ISNUMBER(FIND("IMPVOL",K$1)),_xll.BDH(config!$G$4,K$1,WORKDAY($A965,-1,config_Holiday_Calendar_US),WORKDAY($A965,-1,config_Holiday_Calendar_US)),IF(ISNUMBER(_xll.BDH(config!$G$4,K$1,$A965,$A965)),_xll.BDH(config!$G$4,K$1,$A965,$A965),_xll.BDH(config!$G$5,K$1,$A965,$A965))))</f>
        <v/>
      </c>
      <c r="L965" s="8" t="str">
        <f>IF($A965="","",IF(ISNUMBER(FIND("IMPVOL",L$1)),_xll.BDH(config!$G$4,L$1,WORKDAY($A965,-1,config_Holiday_Calendar_US),WORKDAY($A965,-1,config_Holiday_Calendar_US)),IF(ISNUMBER(_xll.BDH(config!$G$4,L$1,$A965,$A965)),_xll.BDH(config!$G$4,L$1,$A965,$A965),_xll.BDH(config!$G$5,L$1,$A965,$A965))))</f>
        <v/>
      </c>
      <c r="M965" s="8" t="str">
        <f>IF($A965="","",IF(ISNUMBER(FIND("IMPVOL",M$1)),_xll.BDH(config!$G$4,M$1,WORKDAY($A965,-1,config_Holiday_Calendar_US),WORKDAY($A965,-1,config_Holiday_Calendar_US)),IF(ISNUMBER(_xll.BDH(config!$G$4,M$1,$A965,$A965)),_xll.BDH(config!$G$4,M$1,$A965,$A965),_xll.BDH(config!$G$5,M$1,$A965,$A965))))</f>
        <v/>
      </c>
      <c r="N965" s="8" t="str">
        <f>IF($A965="","",IF(ISNUMBER(FIND("IMPVOL",N$1)),_xll.BDH(config!$G$4,N$1,WORKDAY($A965,-1,config_Holiday_Calendar_US),WORKDAY($A965,-1,config_Holiday_Calendar_US)),IF(ISNUMBER(_xll.BDH(config!$G$4,N$1,$A965,$A965)),_xll.BDH(config!$G$4,N$1,$A965,$A965),_xll.BDH(config!$G$5,N$1,$A965,$A965))))</f>
        <v/>
      </c>
      <c r="O965" s="8" t="str">
        <f>IF($A965="","",IF(ISNUMBER(FIND("IMPVOL",O$1)),_xll.BDH(config!$G$4,O$1,WORKDAY($A965,-1,config_Holiday_Calendar_US),WORKDAY($A965,-1,config_Holiday_Calendar_US)),IF(ISNUMBER(_xll.BDH(config!$G$4,O$1,$A965,$A965)),_xll.BDH(config!$G$4,O$1,$A965,$A965),_xll.BDH(config!$G$5,O$1,$A965,$A965))))</f>
        <v/>
      </c>
      <c r="P965" s="8" t="str">
        <f>IF($A965="","",IF(ISNUMBER(FIND("IMPVOL",P$1)),_xll.BDH(config!$G$4,P$1,WORKDAY($A965,-1,config_Holiday_Calendar_US),WORKDAY($A965,-1,config_Holiday_Calendar_US)),IF(ISNUMBER(_xll.BDH(config!$G$4,P$1,$A965,$A965)),_xll.BDH(config!$G$4,P$1,$A965,$A965),_xll.BDH(config!$G$5,P$1,$A965,$A965))))</f>
        <v/>
      </c>
      <c r="Q965" s="8" t="str">
        <f>IF($A965="","",IF(ISNUMBER(FIND("IMPVOL",Q$1)),_xll.BDH(config!$G$4,Q$1,WORKDAY($A965,-1,config_Holiday_Calendar_US),WORKDAY($A965,-1,config_Holiday_Calendar_US)),IF(ISNUMBER(_xll.BDH(config!$G$4,Q$1,$A965,$A965)),_xll.BDH(config!$G$4,Q$1,$A965,$A965),_xll.BDH(config!$G$5,Q$1,$A965,$A965))))</f>
        <v/>
      </c>
      <c r="R965" s="8" t="str">
        <f>IF($A965="","",IF(ISNUMBER(FIND("IMPVOL",R$1)),_xll.BDH(config!$G$4,R$1,WORKDAY($A965,-1,config_Holiday_Calendar_US),WORKDAY($A965,-1,config_Holiday_Calendar_US)),IF(ISNUMBER(_xll.BDH(config!$G$4,R$1,$A965,$A965)),_xll.BDH(config!$G$4,R$1,$A965,$A965),_xll.BDH(config!$G$5,R$1,$A965,$A965))))</f>
        <v/>
      </c>
      <c r="S965" s="8" t="str">
        <f>IF($A965="","",IF(ISNUMBER(FIND("IMPVOL",S$1)),_xll.BDH(config!$G$4,S$1,WORKDAY($A965,-1,config_Holiday_Calendar_US),WORKDAY($A965,-1,config_Holiday_Calendar_US)),IF(ISNUMBER(_xll.BDH(config!$G$4,S$1,$A965,$A965)),_xll.BDH(config!$G$4,S$1,$A965,$A965),_xll.BDH(config!$G$5,S$1,$A965,$A965))))</f>
        <v/>
      </c>
      <c r="T965" s="8" t="str">
        <f>IF($A965="","",IF(ISNUMBER(FIND("IMPVOL",T$1)),_xll.BDH(config!$G$4,T$1,WORKDAY($A965,-1,config_Holiday_Calendar_US),WORKDAY($A965,-1,config_Holiday_Calendar_US)),IF(ISNUMBER(_xll.BDH(config!$G$4,T$1,$A965,$A965)),_xll.BDH(config!$G$4,T$1,$A965,$A965),_xll.BDH(config!$G$5,T$1,$A965,$A965))))</f>
        <v/>
      </c>
      <c r="U965" s="8" t="str">
        <f>IF($A965="","",IF(ISNUMBER(FIND("IMPVOL",U$1)),_xll.BDH(config!$G$4,U$1,WORKDAY($A965,-1,config_Holiday_Calendar_US),WORKDAY($A965,-1,config_Holiday_Calendar_US)),IF(ISNUMBER(_xll.BDH(config!$G$4,U$1,$A965,$A965)),_xll.BDH(config!$G$4,U$1,$A965,$A965),_xll.BDH(config!$G$5,U$1,$A965,$A965))))</f>
        <v/>
      </c>
      <c r="V965" s="8" t="str">
        <f>IF($A965="","",IF(ISNUMBER(FIND("IMPVOL",V$1)),_xll.BDH(config!$G$4,V$1,WORKDAY($A965,-1,config_Holiday_Calendar_US),WORKDAY($A965,-1,config_Holiday_Calendar_US)),IF(ISNUMBER(_xll.BDH(config!$G$4,V$1,$A965,$A965)),_xll.BDH(config!$G$4,V$1,$A965,$A965),_xll.BDH(config!$G$5,V$1,$A965,$A965))))</f>
        <v/>
      </c>
      <c r="W965" s="8" t="str">
        <f>IF($A965="","",IF(ISNUMBER(FIND("IMPVOL",W$1)),_xll.BDH(config!$G$4,W$1,WORKDAY($A965,-1,config_Holiday_Calendar_US),WORKDAY($A965,-1,config_Holiday_Calendar_US)),IF(ISNUMBER(_xll.BDH(config!$G$4,W$1,$A965,$A965)),_xll.BDH(config!$G$4,W$1,$A965,$A965),_xll.BDH(config!$G$5,W$1,$A965,$A965))))</f>
        <v/>
      </c>
    </row>
    <row r="966" spans="1:23" x14ac:dyDescent="0.2">
      <c r="A966" s="9" t="str">
        <f>IF(A965="","",IF(WORKDAY(A965,-1,config_Holiday_Calendar_US)&lt;config!$I$10,"",WORKDAY(A965,-1,config_Holiday_Calendar_US)))</f>
        <v/>
      </c>
      <c r="B966" s="8" t="str">
        <f t="shared" si="15"/>
        <v/>
      </c>
      <c r="C966" s="8" t="str">
        <f>IF(A966="","",_xll.BDH(config!$H$4,C$1,$A966,$A966))</f>
        <v/>
      </c>
      <c r="D966" s="8" t="str">
        <f>IF($A966="","",_xll.BDH(config!$H$4,D$1,$A966,$A966))</f>
        <v/>
      </c>
      <c r="E966" s="8" t="str">
        <f>IF($A966="","",IF(ISNUMBER(FIND("IMPVOL",E$1)),_xll.BDH(config!$G$4,E$1,WORKDAY($A966,-1,config_Holiday_Calendar_US),WORKDAY($A966,-1,config_Holiday_Calendar_US)),IF(ISNUMBER(_xll.BDH(config!$G$4,E$1,$A966,$A966)),_xll.BDH(config!$G$4,E$1,$A966,$A966),_xll.BDH(config!$G$5,E$1,$A966,$A966))))</f>
        <v/>
      </c>
      <c r="F966" s="8" t="str">
        <f>IF($A966="","",IF(ISNUMBER(FIND("IMPVOL",F$1)),_xll.BDH(config!$G$4,F$1,WORKDAY($A966,-1,config_Holiday_Calendar_US),WORKDAY($A966,-1,config_Holiday_Calendar_US)),IF(ISNUMBER(_xll.BDH(config!$G$4,F$1,$A966,$A966)),_xll.BDH(config!$G$4,F$1,$A966,$A966),_xll.BDH(config!$G$5,F$1,$A966,$A966))))</f>
        <v/>
      </c>
      <c r="G966" s="8" t="str">
        <f>IF($A966="","",IF(ISNUMBER(FIND("IMPVOL",G$1)),_xll.BDH(config!$G$4,G$1,WORKDAY($A966,-1,config_Holiday_Calendar_US),WORKDAY($A966,-1,config_Holiday_Calendar_US)),IF(ISNUMBER(_xll.BDH(config!$G$4,G$1,$A966,$A966)),_xll.BDH(config!$G$4,G$1,$A966,$A966),_xll.BDH(config!$G$5,G$1,$A966,$A966))))</f>
        <v/>
      </c>
      <c r="H966" s="8" t="str">
        <f>IF($A966="","",IF(ISNUMBER(FIND("IMPVOL",H$1)),_xll.BDH(config!$G$4,H$1,WORKDAY($A966,-1,config_Holiday_Calendar_US),WORKDAY($A966,-1,config_Holiday_Calendar_US)),IF(ISNUMBER(_xll.BDH(config!$G$4,H$1,$A966,$A966)),_xll.BDH(config!$G$4,H$1,$A966,$A966),_xll.BDH(config!$G$5,H$1,$A966,$A966))))</f>
        <v/>
      </c>
      <c r="I966" s="8" t="str">
        <f>IF($A966="","",IF(ISNUMBER(FIND("IMPVOL",I$1)),_xll.BDH(config!$G$4,I$1,WORKDAY($A966,-1,config_Holiday_Calendar_US),WORKDAY($A966,-1,config_Holiday_Calendar_US)),IF(ISNUMBER(_xll.BDH(config!$G$4,I$1,$A966,$A966)),_xll.BDH(config!$G$4,I$1,$A966,$A966),_xll.BDH(config!$G$5,I$1,$A966,$A966))))</f>
        <v/>
      </c>
      <c r="J966" s="8" t="str">
        <f>IF($A966="","",IF(ISNUMBER(FIND("IMPVOL",J$1)),_xll.BDH(config!$G$4,J$1,WORKDAY($A966,-1,config_Holiday_Calendar_US),WORKDAY($A966,-1,config_Holiday_Calendar_US)),IF(ISNUMBER(_xll.BDH(config!$G$4,J$1,$A966,$A966)),_xll.BDH(config!$G$4,J$1,$A966,$A966),_xll.BDH(config!$G$5,J$1,$A966,$A966))))</f>
        <v/>
      </c>
      <c r="K966" s="8" t="str">
        <f>IF($A966="","",IF(ISNUMBER(FIND("IMPVOL",K$1)),_xll.BDH(config!$G$4,K$1,WORKDAY($A966,-1,config_Holiday_Calendar_US),WORKDAY($A966,-1,config_Holiday_Calendar_US)),IF(ISNUMBER(_xll.BDH(config!$G$4,K$1,$A966,$A966)),_xll.BDH(config!$G$4,K$1,$A966,$A966),_xll.BDH(config!$G$5,K$1,$A966,$A966))))</f>
        <v/>
      </c>
      <c r="L966" s="8" t="str">
        <f>IF($A966="","",IF(ISNUMBER(FIND("IMPVOL",L$1)),_xll.BDH(config!$G$4,L$1,WORKDAY($A966,-1,config_Holiday_Calendar_US),WORKDAY($A966,-1,config_Holiday_Calendar_US)),IF(ISNUMBER(_xll.BDH(config!$G$4,L$1,$A966,$A966)),_xll.BDH(config!$G$4,L$1,$A966,$A966),_xll.BDH(config!$G$5,L$1,$A966,$A966))))</f>
        <v/>
      </c>
      <c r="M966" s="8" t="str">
        <f>IF($A966="","",IF(ISNUMBER(FIND("IMPVOL",M$1)),_xll.BDH(config!$G$4,M$1,WORKDAY($A966,-1,config_Holiday_Calendar_US),WORKDAY($A966,-1,config_Holiday_Calendar_US)),IF(ISNUMBER(_xll.BDH(config!$G$4,M$1,$A966,$A966)),_xll.BDH(config!$G$4,M$1,$A966,$A966),_xll.BDH(config!$G$5,M$1,$A966,$A966))))</f>
        <v/>
      </c>
      <c r="N966" s="8" t="str">
        <f>IF($A966="","",IF(ISNUMBER(FIND("IMPVOL",N$1)),_xll.BDH(config!$G$4,N$1,WORKDAY($A966,-1,config_Holiday_Calendar_US),WORKDAY($A966,-1,config_Holiday_Calendar_US)),IF(ISNUMBER(_xll.BDH(config!$G$4,N$1,$A966,$A966)),_xll.BDH(config!$G$4,N$1,$A966,$A966),_xll.BDH(config!$G$5,N$1,$A966,$A966))))</f>
        <v/>
      </c>
      <c r="O966" s="8" t="str">
        <f>IF($A966="","",IF(ISNUMBER(FIND("IMPVOL",O$1)),_xll.BDH(config!$G$4,O$1,WORKDAY($A966,-1,config_Holiday_Calendar_US),WORKDAY($A966,-1,config_Holiday_Calendar_US)),IF(ISNUMBER(_xll.BDH(config!$G$4,O$1,$A966,$A966)),_xll.BDH(config!$G$4,O$1,$A966,$A966),_xll.BDH(config!$G$5,O$1,$A966,$A966))))</f>
        <v/>
      </c>
      <c r="P966" s="8" t="str">
        <f>IF($A966="","",IF(ISNUMBER(FIND("IMPVOL",P$1)),_xll.BDH(config!$G$4,P$1,WORKDAY($A966,-1,config_Holiday_Calendar_US),WORKDAY($A966,-1,config_Holiday_Calendar_US)),IF(ISNUMBER(_xll.BDH(config!$G$4,P$1,$A966,$A966)),_xll.BDH(config!$G$4,P$1,$A966,$A966),_xll.BDH(config!$G$5,P$1,$A966,$A966))))</f>
        <v/>
      </c>
      <c r="Q966" s="8" t="str">
        <f>IF($A966="","",IF(ISNUMBER(FIND("IMPVOL",Q$1)),_xll.BDH(config!$G$4,Q$1,WORKDAY($A966,-1,config_Holiday_Calendar_US),WORKDAY($A966,-1,config_Holiday_Calendar_US)),IF(ISNUMBER(_xll.BDH(config!$G$4,Q$1,$A966,$A966)),_xll.BDH(config!$G$4,Q$1,$A966,$A966),_xll.BDH(config!$G$5,Q$1,$A966,$A966))))</f>
        <v/>
      </c>
      <c r="R966" s="8" t="str">
        <f>IF($A966="","",IF(ISNUMBER(FIND("IMPVOL",R$1)),_xll.BDH(config!$G$4,R$1,WORKDAY($A966,-1,config_Holiday_Calendar_US),WORKDAY($A966,-1,config_Holiday_Calendar_US)),IF(ISNUMBER(_xll.BDH(config!$G$4,R$1,$A966,$A966)),_xll.BDH(config!$G$4,R$1,$A966,$A966),_xll.BDH(config!$G$5,R$1,$A966,$A966))))</f>
        <v/>
      </c>
      <c r="S966" s="8" t="str">
        <f>IF($A966="","",IF(ISNUMBER(FIND("IMPVOL",S$1)),_xll.BDH(config!$G$4,S$1,WORKDAY($A966,-1,config_Holiday_Calendar_US),WORKDAY($A966,-1,config_Holiday_Calendar_US)),IF(ISNUMBER(_xll.BDH(config!$G$4,S$1,$A966,$A966)),_xll.BDH(config!$G$4,S$1,$A966,$A966),_xll.BDH(config!$G$5,S$1,$A966,$A966))))</f>
        <v/>
      </c>
      <c r="T966" s="8" t="str">
        <f>IF($A966="","",IF(ISNUMBER(FIND("IMPVOL",T$1)),_xll.BDH(config!$G$4,T$1,WORKDAY($A966,-1,config_Holiday_Calendar_US),WORKDAY($A966,-1,config_Holiday_Calendar_US)),IF(ISNUMBER(_xll.BDH(config!$G$4,T$1,$A966,$A966)),_xll.BDH(config!$G$4,T$1,$A966,$A966),_xll.BDH(config!$G$5,T$1,$A966,$A966))))</f>
        <v/>
      </c>
      <c r="U966" s="8" t="str">
        <f>IF($A966="","",IF(ISNUMBER(FIND("IMPVOL",U$1)),_xll.BDH(config!$G$4,U$1,WORKDAY($A966,-1,config_Holiday_Calendar_US),WORKDAY($A966,-1,config_Holiday_Calendar_US)),IF(ISNUMBER(_xll.BDH(config!$G$4,U$1,$A966,$A966)),_xll.BDH(config!$G$4,U$1,$A966,$A966),_xll.BDH(config!$G$5,U$1,$A966,$A966))))</f>
        <v/>
      </c>
      <c r="V966" s="8" t="str">
        <f>IF($A966="","",IF(ISNUMBER(FIND("IMPVOL",V$1)),_xll.BDH(config!$G$4,V$1,WORKDAY($A966,-1,config_Holiday_Calendar_US),WORKDAY($A966,-1,config_Holiday_Calendar_US)),IF(ISNUMBER(_xll.BDH(config!$G$4,V$1,$A966,$A966)),_xll.BDH(config!$G$4,V$1,$A966,$A966),_xll.BDH(config!$G$5,V$1,$A966,$A966))))</f>
        <v/>
      </c>
      <c r="W966" s="8" t="str">
        <f>IF($A966="","",IF(ISNUMBER(FIND("IMPVOL",W$1)),_xll.BDH(config!$G$4,W$1,WORKDAY($A966,-1,config_Holiday_Calendar_US),WORKDAY($A966,-1,config_Holiday_Calendar_US)),IF(ISNUMBER(_xll.BDH(config!$G$4,W$1,$A966,$A966)),_xll.BDH(config!$G$4,W$1,$A966,$A966),_xll.BDH(config!$G$5,W$1,$A966,$A966))))</f>
        <v/>
      </c>
    </row>
    <row r="967" spans="1:23" x14ac:dyDescent="0.2">
      <c r="A967" s="9" t="str">
        <f>IF(A966="","",IF(WORKDAY(A966,-1,config_Holiday_Calendar_US)&lt;config!$I$10,"",WORKDAY(A966,-1,config_Holiday_Calendar_US)))</f>
        <v/>
      </c>
      <c r="B967" s="8" t="str">
        <f t="shared" si="15"/>
        <v/>
      </c>
      <c r="C967" s="8" t="str">
        <f>IF(A967="","",_xll.BDH(config!$H$4,C$1,$A967,$A967))</f>
        <v/>
      </c>
      <c r="D967" s="8" t="str">
        <f>IF($A967="","",_xll.BDH(config!$H$4,D$1,$A967,$A967))</f>
        <v/>
      </c>
      <c r="E967" s="8" t="str">
        <f>IF($A967="","",IF(ISNUMBER(FIND("IMPVOL",E$1)),_xll.BDH(config!$G$4,E$1,WORKDAY($A967,-1,config_Holiday_Calendar_US),WORKDAY($A967,-1,config_Holiday_Calendar_US)),IF(ISNUMBER(_xll.BDH(config!$G$4,E$1,$A967,$A967)),_xll.BDH(config!$G$4,E$1,$A967,$A967),_xll.BDH(config!$G$5,E$1,$A967,$A967))))</f>
        <v/>
      </c>
      <c r="F967" s="8" t="str">
        <f>IF($A967="","",IF(ISNUMBER(FIND("IMPVOL",F$1)),_xll.BDH(config!$G$4,F$1,WORKDAY($A967,-1,config_Holiday_Calendar_US),WORKDAY($A967,-1,config_Holiday_Calendar_US)),IF(ISNUMBER(_xll.BDH(config!$G$4,F$1,$A967,$A967)),_xll.BDH(config!$G$4,F$1,$A967,$A967),_xll.BDH(config!$G$5,F$1,$A967,$A967))))</f>
        <v/>
      </c>
      <c r="G967" s="8" t="str">
        <f>IF($A967="","",IF(ISNUMBER(FIND("IMPVOL",G$1)),_xll.BDH(config!$G$4,G$1,WORKDAY($A967,-1,config_Holiday_Calendar_US),WORKDAY($A967,-1,config_Holiday_Calendar_US)),IF(ISNUMBER(_xll.BDH(config!$G$4,G$1,$A967,$A967)),_xll.BDH(config!$G$4,G$1,$A967,$A967),_xll.BDH(config!$G$5,G$1,$A967,$A967))))</f>
        <v/>
      </c>
      <c r="H967" s="8" t="str">
        <f>IF($A967="","",IF(ISNUMBER(FIND("IMPVOL",H$1)),_xll.BDH(config!$G$4,H$1,WORKDAY($A967,-1,config_Holiday_Calendar_US),WORKDAY($A967,-1,config_Holiday_Calendar_US)),IF(ISNUMBER(_xll.BDH(config!$G$4,H$1,$A967,$A967)),_xll.BDH(config!$G$4,H$1,$A967,$A967),_xll.BDH(config!$G$5,H$1,$A967,$A967))))</f>
        <v/>
      </c>
      <c r="I967" s="8" t="str">
        <f>IF($A967="","",IF(ISNUMBER(FIND("IMPVOL",I$1)),_xll.BDH(config!$G$4,I$1,WORKDAY($A967,-1,config_Holiday_Calendar_US),WORKDAY($A967,-1,config_Holiday_Calendar_US)),IF(ISNUMBER(_xll.BDH(config!$G$4,I$1,$A967,$A967)),_xll.BDH(config!$G$4,I$1,$A967,$A967),_xll.BDH(config!$G$5,I$1,$A967,$A967))))</f>
        <v/>
      </c>
      <c r="J967" s="8" t="str">
        <f>IF($A967="","",IF(ISNUMBER(FIND("IMPVOL",J$1)),_xll.BDH(config!$G$4,J$1,WORKDAY($A967,-1,config_Holiday_Calendar_US),WORKDAY($A967,-1,config_Holiday_Calendar_US)),IF(ISNUMBER(_xll.BDH(config!$G$4,J$1,$A967,$A967)),_xll.BDH(config!$G$4,J$1,$A967,$A967),_xll.BDH(config!$G$5,J$1,$A967,$A967))))</f>
        <v/>
      </c>
      <c r="K967" s="8" t="str">
        <f>IF($A967="","",IF(ISNUMBER(FIND("IMPVOL",K$1)),_xll.BDH(config!$G$4,K$1,WORKDAY($A967,-1,config_Holiday_Calendar_US),WORKDAY($A967,-1,config_Holiday_Calendar_US)),IF(ISNUMBER(_xll.BDH(config!$G$4,K$1,$A967,$A967)),_xll.BDH(config!$G$4,K$1,$A967,$A967),_xll.BDH(config!$G$5,K$1,$A967,$A967))))</f>
        <v/>
      </c>
      <c r="L967" s="8" t="str">
        <f>IF($A967="","",IF(ISNUMBER(FIND("IMPVOL",L$1)),_xll.BDH(config!$G$4,L$1,WORKDAY($A967,-1,config_Holiday_Calendar_US),WORKDAY($A967,-1,config_Holiday_Calendar_US)),IF(ISNUMBER(_xll.BDH(config!$G$4,L$1,$A967,$A967)),_xll.BDH(config!$G$4,L$1,$A967,$A967),_xll.BDH(config!$G$5,L$1,$A967,$A967))))</f>
        <v/>
      </c>
      <c r="M967" s="8" t="str">
        <f>IF($A967="","",IF(ISNUMBER(FIND("IMPVOL",M$1)),_xll.BDH(config!$G$4,M$1,WORKDAY($A967,-1,config_Holiday_Calendar_US),WORKDAY($A967,-1,config_Holiday_Calendar_US)),IF(ISNUMBER(_xll.BDH(config!$G$4,M$1,$A967,$A967)),_xll.BDH(config!$G$4,M$1,$A967,$A967),_xll.BDH(config!$G$5,M$1,$A967,$A967))))</f>
        <v/>
      </c>
      <c r="N967" s="8" t="str">
        <f>IF($A967="","",IF(ISNUMBER(FIND("IMPVOL",N$1)),_xll.BDH(config!$G$4,N$1,WORKDAY($A967,-1,config_Holiday_Calendar_US),WORKDAY($A967,-1,config_Holiday_Calendar_US)),IF(ISNUMBER(_xll.BDH(config!$G$4,N$1,$A967,$A967)),_xll.BDH(config!$G$4,N$1,$A967,$A967),_xll.BDH(config!$G$5,N$1,$A967,$A967))))</f>
        <v/>
      </c>
      <c r="O967" s="8" t="str">
        <f>IF($A967="","",IF(ISNUMBER(FIND("IMPVOL",O$1)),_xll.BDH(config!$G$4,O$1,WORKDAY($A967,-1,config_Holiday_Calendar_US),WORKDAY($A967,-1,config_Holiday_Calendar_US)),IF(ISNUMBER(_xll.BDH(config!$G$4,O$1,$A967,$A967)),_xll.BDH(config!$G$4,O$1,$A967,$A967),_xll.BDH(config!$G$5,O$1,$A967,$A967))))</f>
        <v/>
      </c>
      <c r="P967" s="8" t="str">
        <f>IF($A967="","",IF(ISNUMBER(FIND("IMPVOL",P$1)),_xll.BDH(config!$G$4,P$1,WORKDAY($A967,-1,config_Holiday_Calendar_US),WORKDAY($A967,-1,config_Holiday_Calendar_US)),IF(ISNUMBER(_xll.BDH(config!$G$4,P$1,$A967,$A967)),_xll.BDH(config!$G$4,P$1,$A967,$A967),_xll.BDH(config!$G$5,P$1,$A967,$A967))))</f>
        <v/>
      </c>
      <c r="Q967" s="8" t="str">
        <f>IF($A967="","",IF(ISNUMBER(FIND("IMPVOL",Q$1)),_xll.BDH(config!$G$4,Q$1,WORKDAY($A967,-1,config_Holiday_Calendar_US),WORKDAY($A967,-1,config_Holiday_Calendar_US)),IF(ISNUMBER(_xll.BDH(config!$G$4,Q$1,$A967,$A967)),_xll.BDH(config!$G$4,Q$1,$A967,$A967),_xll.BDH(config!$G$5,Q$1,$A967,$A967))))</f>
        <v/>
      </c>
      <c r="R967" s="8" t="str">
        <f>IF($A967="","",IF(ISNUMBER(FIND("IMPVOL",R$1)),_xll.BDH(config!$G$4,R$1,WORKDAY($A967,-1,config_Holiday_Calendar_US),WORKDAY($A967,-1,config_Holiday_Calendar_US)),IF(ISNUMBER(_xll.BDH(config!$G$4,R$1,$A967,$A967)),_xll.BDH(config!$G$4,R$1,$A967,$A967),_xll.BDH(config!$G$5,R$1,$A967,$A967))))</f>
        <v/>
      </c>
      <c r="S967" s="8" t="str">
        <f>IF($A967="","",IF(ISNUMBER(FIND("IMPVOL",S$1)),_xll.BDH(config!$G$4,S$1,WORKDAY($A967,-1,config_Holiday_Calendar_US),WORKDAY($A967,-1,config_Holiday_Calendar_US)),IF(ISNUMBER(_xll.BDH(config!$G$4,S$1,$A967,$A967)),_xll.BDH(config!$G$4,S$1,$A967,$A967),_xll.BDH(config!$G$5,S$1,$A967,$A967))))</f>
        <v/>
      </c>
      <c r="T967" s="8" t="str">
        <f>IF($A967="","",IF(ISNUMBER(FIND("IMPVOL",T$1)),_xll.BDH(config!$G$4,T$1,WORKDAY($A967,-1,config_Holiday_Calendar_US),WORKDAY($A967,-1,config_Holiday_Calendar_US)),IF(ISNUMBER(_xll.BDH(config!$G$4,T$1,$A967,$A967)),_xll.BDH(config!$G$4,T$1,$A967,$A967),_xll.BDH(config!$G$5,T$1,$A967,$A967))))</f>
        <v/>
      </c>
      <c r="U967" s="8" t="str">
        <f>IF($A967="","",IF(ISNUMBER(FIND("IMPVOL",U$1)),_xll.BDH(config!$G$4,U$1,WORKDAY($A967,-1,config_Holiday_Calendar_US),WORKDAY($A967,-1,config_Holiday_Calendar_US)),IF(ISNUMBER(_xll.BDH(config!$G$4,U$1,$A967,$A967)),_xll.BDH(config!$G$4,U$1,$A967,$A967),_xll.BDH(config!$G$5,U$1,$A967,$A967))))</f>
        <v/>
      </c>
      <c r="V967" s="8" t="str">
        <f>IF($A967="","",IF(ISNUMBER(FIND("IMPVOL",V$1)),_xll.BDH(config!$G$4,V$1,WORKDAY($A967,-1,config_Holiday_Calendar_US),WORKDAY($A967,-1,config_Holiday_Calendar_US)),IF(ISNUMBER(_xll.BDH(config!$G$4,V$1,$A967,$A967)),_xll.BDH(config!$G$4,V$1,$A967,$A967),_xll.BDH(config!$G$5,V$1,$A967,$A967))))</f>
        <v/>
      </c>
      <c r="W967" s="8" t="str">
        <f>IF($A967="","",IF(ISNUMBER(FIND("IMPVOL",W$1)),_xll.BDH(config!$G$4,W$1,WORKDAY($A967,-1,config_Holiday_Calendar_US),WORKDAY($A967,-1,config_Holiday_Calendar_US)),IF(ISNUMBER(_xll.BDH(config!$G$4,W$1,$A967,$A967)),_xll.BDH(config!$G$4,W$1,$A967,$A967),_xll.BDH(config!$G$5,W$1,$A967,$A967))))</f>
        <v/>
      </c>
    </row>
    <row r="968" spans="1:23" x14ac:dyDescent="0.2">
      <c r="A968" s="9" t="str">
        <f>IF(A967="","",IF(WORKDAY(A967,-1,config_Holiday_Calendar_US)&lt;config!$I$10,"",WORKDAY(A967,-1,config_Holiday_Calendar_US)))</f>
        <v/>
      </c>
      <c r="B968" s="8" t="str">
        <f t="shared" si="15"/>
        <v/>
      </c>
      <c r="C968" s="8" t="str">
        <f>IF(A968="","",_xll.BDH(config!$H$4,C$1,$A968,$A968))</f>
        <v/>
      </c>
      <c r="D968" s="8" t="str">
        <f>IF($A968="","",_xll.BDH(config!$H$4,D$1,$A968,$A968))</f>
        <v/>
      </c>
      <c r="E968" s="8" t="str">
        <f>IF($A968="","",IF(ISNUMBER(FIND("IMPVOL",E$1)),_xll.BDH(config!$G$4,E$1,WORKDAY($A968,-1,config_Holiday_Calendar_US),WORKDAY($A968,-1,config_Holiday_Calendar_US)),IF(ISNUMBER(_xll.BDH(config!$G$4,E$1,$A968,$A968)),_xll.BDH(config!$G$4,E$1,$A968,$A968),_xll.BDH(config!$G$5,E$1,$A968,$A968))))</f>
        <v/>
      </c>
      <c r="F968" s="8" t="str">
        <f>IF($A968="","",IF(ISNUMBER(FIND("IMPVOL",F$1)),_xll.BDH(config!$G$4,F$1,WORKDAY($A968,-1,config_Holiday_Calendar_US),WORKDAY($A968,-1,config_Holiday_Calendar_US)),IF(ISNUMBER(_xll.BDH(config!$G$4,F$1,$A968,$A968)),_xll.BDH(config!$G$4,F$1,$A968,$A968),_xll.BDH(config!$G$5,F$1,$A968,$A968))))</f>
        <v/>
      </c>
      <c r="G968" s="8" t="str">
        <f>IF($A968="","",IF(ISNUMBER(FIND("IMPVOL",G$1)),_xll.BDH(config!$G$4,G$1,WORKDAY($A968,-1,config_Holiday_Calendar_US),WORKDAY($A968,-1,config_Holiday_Calendar_US)),IF(ISNUMBER(_xll.BDH(config!$G$4,G$1,$A968,$A968)),_xll.BDH(config!$G$4,G$1,$A968,$A968),_xll.BDH(config!$G$5,G$1,$A968,$A968))))</f>
        <v/>
      </c>
      <c r="H968" s="8" t="str">
        <f>IF($A968="","",IF(ISNUMBER(FIND("IMPVOL",H$1)),_xll.BDH(config!$G$4,H$1,WORKDAY($A968,-1,config_Holiday_Calendar_US),WORKDAY($A968,-1,config_Holiday_Calendar_US)),IF(ISNUMBER(_xll.BDH(config!$G$4,H$1,$A968,$A968)),_xll.BDH(config!$G$4,H$1,$A968,$A968),_xll.BDH(config!$G$5,H$1,$A968,$A968))))</f>
        <v/>
      </c>
      <c r="I968" s="8" t="str">
        <f>IF($A968="","",IF(ISNUMBER(FIND("IMPVOL",I$1)),_xll.BDH(config!$G$4,I$1,WORKDAY($A968,-1,config_Holiday_Calendar_US),WORKDAY($A968,-1,config_Holiday_Calendar_US)),IF(ISNUMBER(_xll.BDH(config!$G$4,I$1,$A968,$A968)),_xll.BDH(config!$G$4,I$1,$A968,$A968),_xll.BDH(config!$G$5,I$1,$A968,$A968))))</f>
        <v/>
      </c>
      <c r="J968" s="8" t="str">
        <f>IF($A968="","",IF(ISNUMBER(FIND("IMPVOL",J$1)),_xll.BDH(config!$G$4,J$1,WORKDAY($A968,-1,config_Holiday_Calendar_US),WORKDAY($A968,-1,config_Holiday_Calendar_US)),IF(ISNUMBER(_xll.BDH(config!$G$4,J$1,$A968,$A968)),_xll.BDH(config!$G$4,J$1,$A968,$A968),_xll.BDH(config!$G$5,J$1,$A968,$A968))))</f>
        <v/>
      </c>
      <c r="K968" s="8" t="str">
        <f>IF($A968="","",IF(ISNUMBER(FIND("IMPVOL",K$1)),_xll.BDH(config!$G$4,K$1,WORKDAY($A968,-1,config_Holiday_Calendar_US),WORKDAY($A968,-1,config_Holiday_Calendar_US)),IF(ISNUMBER(_xll.BDH(config!$G$4,K$1,$A968,$A968)),_xll.BDH(config!$G$4,K$1,$A968,$A968),_xll.BDH(config!$G$5,K$1,$A968,$A968))))</f>
        <v/>
      </c>
      <c r="L968" s="8" t="str">
        <f>IF($A968="","",IF(ISNUMBER(FIND("IMPVOL",L$1)),_xll.BDH(config!$G$4,L$1,WORKDAY($A968,-1,config_Holiday_Calendar_US),WORKDAY($A968,-1,config_Holiday_Calendar_US)),IF(ISNUMBER(_xll.BDH(config!$G$4,L$1,$A968,$A968)),_xll.BDH(config!$G$4,L$1,$A968,$A968),_xll.BDH(config!$G$5,L$1,$A968,$A968))))</f>
        <v/>
      </c>
      <c r="M968" s="8" t="str">
        <f>IF($A968="","",IF(ISNUMBER(FIND("IMPVOL",M$1)),_xll.BDH(config!$G$4,M$1,WORKDAY($A968,-1,config_Holiday_Calendar_US),WORKDAY($A968,-1,config_Holiday_Calendar_US)),IF(ISNUMBER(_xll.BDH(config!$G$4,M$1,$A968,$A968)),_xll.BDH(config!$G$4,M$1,$A968,$A968),_xll.BDH(config!$G$5,M$1,$A968,$A968))))</f>
        <v/>
      </c>
      <c r="N968" s="8" t="str">
        <f>IF($A968="","",IF(ISNUMBER(FIND("IMPVOL",N$1)),_xll.BDH(config!$G$4,N$1,WORKDAY($A968,-1,config_Holiday_Calendar_US),WORKDAY($A968,-1,config_Holiday_Calendar_US)),IF(ISNUMBER(_xll.BDH(config!$G$4,N$1,$A968,$A968)),_xll.BDH(config!$G$4,N$1,$A968,$A968),_xll.BDH(config!$G$5,N$1,$A968,$A968))))</f>
        <v/>
      </c>
      <c r="O968" s="8" t="str">
        <f>IF($A968="","",IF(ISNUMBER(FIND("IMPVOL",O$1)),_xll.BDH(config!$G$4,O$1,WORKDAY($A968,-1,config_Holiday_Calendar_US),WORKDAY($A968,-1,config_Holiday_Calendar_US)),IF(ISNUMBER(_xll.BDH(config!$G$4,O$1,$A968,$A968)),_xll.BDH(config!$G$4,O$1,$A968,$A968),_xll.BDH(config!$G$5,O$1,$A968,$A968))))</f>
        <v/>
      </c>
      <c r="P968" s="8" t="str">
        <f>IF($A968="","",IF(ISNUMBER(FIND("IMPVOL",P$1)),_xll.BDH(config!$G$4,P$1,WORKDAY($A968,-1,config_Holiday_Calendar_US),WORKDAY($A968,-1,config_Holiday_Calendar_US)),IF(ISNUMBER(_xll.BDH(config!$G$4,P$1,$A968,$A968)),_xll.BDH(config!$G$4,P$1,$A968,$A968),_xll.BDH(config!$G$5,P$1,$A968,$A968))))</f>
        <v/>
      </c>
      <c r="Q968" s="8" t="str">
        <f>IF($A968="","",IF(ISNUMBER(FIND("IMPVOL",Q$1)),_xll.BDH(config!$G$4,Q$1,WORKDAY($A968,-1,config_Holiday_Calendar_US),WORKDAY($A968,-1,config_Holiday_Calendar_US)),IF(ISNUMBER(_xll.BDH(config!$G$4,Q$1,$A968,$A968)),_xll.BDH(config!$G$4,Q$1,$A968,$A968),_xll.BDH(config!$G$5,Q$1,$A968,$A968))))</f>
        <v/>
      </c>
      <c r="R968" s="8" t="str">
        <f>IF($A968="","",IF(ISNUMBER(FIND("IMPVOL",R$1)),_xll.BDH(config!$G$4,R$1,WORKDAY($A968,-1,config_Holiday_Calendar_US),WORKDAY($A968,-1,config_Holiday_Calendar_US)),IF(ISNUMBER(_xll.BDH(config!$G$4,R$1,$A968,$A968)),_xll.BDH(config!$G$4,R$1,$A968,$A968),_xll.BDH(config!$G$5,R$1,$A968,$A968))))</f>
        <v/>
      </c>
      <c r="S968" s="8" t="str">
        <f>IF($A968="","",IF(ISNUMBER(FIND("IMPVOL",S$1)),_xll.BDH(config!$G$4,S$1,WORKDAY($A968,-1,config_Holiday_Calendar_US),WORKDAY($A968,-1,config_Holiday_Calendar_US)),IF(ISNUMBER(_xll.BDH(config!$G$4,S$1,$A968,$A968)),_xll.BDH(config!$G$4,S$1,$A968,$A968),_xll.BDH(config!$G$5,S$1,$A968,$A968))))</f>
        <v/>
      </c>
      <c r="T968" s="8" t="str">
        <f>IF($A968="","",IF(ISNUMBER(FIND("IMPVOL",T$1)),_xll.BDH(config!$G$4,T$1,WORKDAY($A968,-1,config_Holiday_Calendar_US),WORKDAY($A968,-1,config_Holiday_Calendar_US)),IF(ISNUMBER(_xll.BDH(config!$G$4,T$1,$A968,$A968)),_xll.BDH(config!$G$4,T$1,$A968,$A968),_xll.BDH(config!$G$5,T$1,$A968,$A968))))</f>
        <v/>
      </c>
      <c r="U968" s="8" t="str">
        <f>IF($A968="","",IF(ISNUMBER(FIND("IMPVOL",U$1)),_xll.BDH(config!$G$4,U$1,WORKDAY($A968,-1,config_Holiday_Calendar_US),WORKDAY($A968,-1,config_Holiday_Calendar_US)),IF(ISNUMBER(_xll.BDH(config!$G$4,U$1,$A968,$A968)),_xll.BDH(config!$G$4,U$1,$A968,$A968),_xll.BDH(config!$G$5,U$1,$A968,$A968))))</f>
        <v/>
      </c>
      <c r="V968" s="8" t="str">
        <f>IF($A968="","",IF(ISNUMBER(FIND("IMPVOL",V$1)),_xll.BDH(config!$G$4,V$1,WORKDAY($A968,-1,config_Holiday_Calendar_US),WORKDAY($A968,-1,config_Holiday_Calendar_US)),IF(ISNUMBER(_xll.BDH(config!$G$4,V$1,$A968,$A968)),_xll.BDH(config!$G$4,V$1,$A968,$A968),_xll.BDH(config!$G$5,V$1,$A968,$A968))))</f>
        <v/>
      </c>
      <c r="W968" s="8" t="str">
        <f>IF($A968="","",IF(ISNUMBER(FIND("IMPVOL",W$1)),_xll.BDH(config!$G$4,W$1,WORKDAY($A968,-1,config_Holiday_Calendar_US),WORKDAY($A968,-1,config_Holiday_Calendar_US)),IF(ISNUMBER(_xll.BDH(config!$G$4,W$1,$A968,$A968)),_xll.BDH(config!$G$4,W$1,$A968,$A968),_xll.BDH(config!$G$5,W$1,$A968,$A968))))</f>
        <v/>
      </c>
    </row>
    <row r="969" spans="1:23" x14ac:dyDescent="0.2">
      <c r="A969" s="9" t="str">
        <f>IF(A968="","",IF(WORKDAY(A968,-1,config_Holiday_Calendar_US)&lt;config!$I$10,"",WORKDAY(A968,-1,config_Holiday_Calendar_US)))</f>
        <v/>
      </c>
      <c r="B969" s="8" t="str">
        <f t="shared" si="15"/>
        <v/>
      </c>
      <c r="C969" s="8" t="str">
        <f>IF(A969="","",_xll.BDH(config!$H$4,C$1,$A969,$A969))</f>
        <v/>
      </c>
      <c r="D969" s="8" t="str">
        <f>IF($A969="","",_xll.BDH(config!$H$4,D$1,$A969,$A969))</f>
        <v/>
      </c>
      <c r="E969" s="8" t="str">
        <f>IF($A969="","",IF(ISNUMBER(FIND("IMPVOL",E$1)),_xll.BDH(config!$G$4,E$1,WORKDAY($A969,-1,config_Holiday_Calendar_US),WORKDAY($A969,-1,config_Holiday_Calendar_US)),IF(ISNUMBER(_xll.BDH(config!$G$4,E$1,$A969,$A969)),_xll.BDH(config!$G$4,E$1,$A969,$A969),_xll.BDH(config!$G$5,E$1,$A969,$A969))))</f>
        <v/>
      </c>
      <c r="F969" s="8" t="str">
        <f>IF($A969="","",IF(ISNUMBER(FIND("IMPVOL",F$1)),_xll.BDH(config!$G$4,F$1,WORKDAY($A969,-1,config_Holiday_Calendar_US),WORKDAY($A969,-1,config_Holiday_Calendar_US)),IF(ISNUMBER(_xll.BDH(config!$G$4,F$1,$A969,$A969)),_xll.BDH(config!$G$4,F$1,$A969,$A969),_xll.BDH(config!$G$5,F$1,$A969,$A969))))</f>
        <v/>
      </c>
      <c r="G969" s="8" t="str">
        <f>IF($A969="","",IF(ISNUMBER(FIND("IMPVOL",G$1)),_xll.BDH(config!$G$4,G$1,WORKDAY($A969,-1,config_Holiday_Calendar_US),WORKDAY($A969,-1,config_Holiday_Calendar_US)),IF(ISNUMBER(_xll.BDH(config!$G$4,G$1,$A969,$A969)),_xll.BDH(config!$G$4,G$1,$A969,$A969),_xll.BDH(config!$G$5,G$1,$A969,$A969))))</f>
        <v/>
      </c>
      <c r="H969" s="8" t="str">
        <f>IF($A969="","",IF(ISNUMBER(FIND("IMPVOL",H$1)),_xll.BDH(config!$G$4,H$1,WORKDAY($A969,-1,config_Holiday_Calendar_US),WORKDAY($A969,-1,config_Holiday_Calendar_US)),IF(ISNUMBER(_xll.BDH(config!$G$4,H$1,$A969,$A969)),_xll.BDH(config!$G$4,H$1,$A969,$A969),_xll.BDH(config!$G$5,H$1,$A969,$A969))))</f>
        <v/>
      </c>
      <c r="I969" s="8" t="str">
        <f>IF($A969="","",IF(ISNUMBER(FIND("IMPVOL",I$1)),_xll.BDH(config!$G$4,I$1,WORKDAY($A969,-1,config_Holiday_Calendar_US),WORKDAY($A969,-1,config_Holiday_Calendar_US)),IF(ISNUMBER(_xll.BDH(config!$G$4,I$1,$A969,$A969)),_xll.BDH(config!$G$4,I$1,$A969,$A969),_xll.BDH(config!$G$5,I$1,$A969,$A969))))</f>
        <v/>
      </c>
      <c r="J969" s="8" t="str">
        <f>IF($A969="","",IF(ISNUMBER(FIND("IMPVOL",J$1)),_xll.BDH(config!$G$4,J$1,WORKDAY($A969,-1,config_Holiday_Calendar_US),WORKDAY($A969,-1,config_Holiday_Calendar_US)),IF(ISNUMBER(_xll.BDH(config!$G$4,J$1,$A969,$A969)),_xll.BDH(config!$G$4,J$1,$A969,$A969),_xll.BDH(config!$G$5,J$1,$A969,$A969))))</f>
        <v/>
      </c>
      <c r="K969" s="8" t="str">
        <f>IF($A969="","",IF(ISNUMBER(FIND("IMPVOL",K$1)),_xll.BDH(config!$G$4,K$1,WORKDAY($A969,-1,config_Holiday_Calendar_US),WORKDAY($A969,-1,config_Holiday_Calendar_US)),IF(ISNUMBER(_xll.BDH(config!$G$4,K$1,$A969,$A969)),_xll.BDH(config!$G$4,K$1,$A969,$A969),_xll.BDH(config!$G$5,K$1,$A969,$A969))))</f>
        <v/>
      </c>
      <c r="L969" s="8" t="str">
        <f>IF($A969="","",IF(ISNUMBER(FIND("IMPVOL",L$1)),_xll.BDH(config!$G$4,L$1,WORKDAY($A969,-1,config_Holiday_Calendar_US),WORKDAY($A969,-1,config_Holiday_Calendar_US)),IF(ISNUMBER(_xll.BDH(config!$G$4,L$1,$A969,$A969)),_xll.BDH(config!$G$4,L$1,$A969,$A969),_xll.BDH(config!$G$5,L$1,$A969,$A969))))</f>
        <v/>
      </c>
      <c r="M969" s="8" t="str">
        <f>IF($A969="","",IF(ISNUMBER(FIND("IMPVOL",M$1)),_xll.BDH(config!$G$4,M$1,WORKDAY($A969,-1,config_Holiday_Calendar_US),WORKDAY($A969,-1,config_Holiday_Calendar_US)),IF(ISNUMBER(_xll.BDH(config!$G$4,M$1,$A969,$A969)),_xll.BDH(config!$G$4,M$1,$A969,$A969),_xll.BDH(config!$G$5,M$1,$A969,$A969))))</f>
        <v/>
      </c>
      <c r="N969" s="8" t="str">
        <f>IF($A969="","",IF(ISNUMBER(FIND("IMPVOL",N$1)),_xll.BDH(config!$G$4,N$1,WORKDAY($A969,-1,config_Holiday_Calendar_US),WORKDAY($A969,-1,config_Holiday_Calendar_US)),IF(ISNUMBER(_xll.BDH(config!$G$4,N$1,$A969,$A969)),_xll.BDH(config!$G$4,N$1,$A969,$A969),_xll.BDH(config!$G$5,N$1,$A969,$A969))))</f>
        <v/>
      </c>
      <c r="O969" s="8" t="str">
        <f>IF($A969="","",IF(ISNUMBER(FIND("IMPVOL",O$1)),_xll.BDH(config!$G$4,O$1,WORKDAY($A969,-1,config_Holiday_Calendar_US),WORKDAY($A969,-1,config_Holiday_Calendar_US)),IF(ISNUMBER(_xll.BDH(config!$G$4,O$1,$A969,$A969)),_xll.BDH(config!$G$4,O$1,$A969,$A969),_xll.BDH(config!$G$5,O$1,$A969,$A969))))</f>
        <v/>
      </c>
      <c r="P969" s="8" t="str">
        <f>IF($A969="","",IF(ISNUMBER(FIND("IMPVOL",P$1)),_xll.BDH(config!$G$4,P$1,WORKDAY($A969,-1,config_Holiday_Calendar_US),WORKDAY($A969,-1,config_Holiday_Calendar_US)),IF(ISNUMBER(_xll.BDH(config!$G$4,P$1,$A969,$A969)),_xll.BDH(config!$G$4,P$1,$A969,$A969),_xll.BDH(config!$G$5,P$1,$A969,$A969))))</f>
        <v/>
      </c>
      <c r="Q969" s="8" t="str">
        <f>IF($A969="","",IF(ISNUMBER(FIND("IMPVOL",Q$1)),_xll.BDH(config!$G$4,Q$1,WORKDAY($A969,-1,config_Holiday_Calendar_US),WORKDAY($A969,-1,config_Holiday_Calendar_US)),IF(ISNUMBER(_xll.BDH(config!$G$4,Q$1,$A969,$A969)),_xll.BDH(config!$G$4,Q$1,$A969,$A969),_xll.BDH(config!$G$5,Q$1,$A969,$A969))))</f>
        <v/>
      </c>
      <c r="R969" s="8" t="str">
        <f>IF($A969="","",IF(ISNUMBER(FIND("IMPVOL",R$1)),_xll.BDH(config!$G$4,R$1,WORKDAY($A969,-1,config_Holiday_Calendar_US),WORKDAY($A969,-1,config_Holiday_Calendar_US)),IF(ISNUMBER(_xll.BDH(config!$G$4,R$1,$A969,$A969)),_xll.BDH(config!$G$4,R$1,$A969,$A969),_xll.BDH(config!$G$5,R$1,$A969,$A969))))</f>
        <v/>
      </c>
      <c r="S969" s="8" t="str">
        <f>IF($A969="","",IF(ISNUMBER(FIND("IMPVOL",S$1)),_xll.BDH(config!$G$4,S$1,WORKDAY($A969,-1,config_Holiday_Calendar_US),WORKDAY($A969,-1,config_Holiday_Calendar_US)),IF(ISNUMBER(_xll.BDH(config!$G$4,S$1,$A969,$A969)),_xll.BDH(config!$G$4,S$1,$A969,$A969),_xll.BDH(config!$G$5,S$1,$A969,$A969))))</f>
        <v/>
      </c>
      <c r="T969" s="8" t="str">
        <f>IF($A969="","",IF(ISNUMBER(FIND("IMPVOL",T$1)),_xll.BDH(config!$G$4,T$1,WORKDAY($A969,-1,config_Holiday_Calendar_US),WORKDAY($A969,-1,config_Holiday_Calendar_US)),IF(ISNUMBER(_xll.BDH(config!$G$4,T$1,$A969,$A969)),_xll.BDH(config!$G$4,T$1,$A969,$A969),_xll.BDH(config!$G$5,T$1,$A969,$A969))))</f>
        <v/>
      </c>
      <c r="U969" s="8" t="str">
        <f>IF($A969="","",IF(ISNUMBER(FIND("IMPVOL",U$1)),_xll.BDH(config!$G$4,U$1,WORKDAY($A969,-1,config_Holiday_Calendar_US),WORKDAY($A969,-1,config_Holiday_Calendar_US)),IF(ISNUMBER(_xll.BDH(config!$G$4,U$1,$A969,$A969)),_xll.BDH(config!$G$4,U$1,$A969,$A969),_xll.BDH(config!$G$5,U$1,$A969,$A969))))</f>
        <v/>
      </c>
      <c r="V969" s="8" t="str">
        <f>IF($A969="","",IF(ISNUMBER(FIND("IMPVOL",V$1)),_xll.BDH(config!$G$4,V$1,WORKDAY($A969,-1,config_Holiday_Calendar_US),WORKDAY($A969,-1,config_Holiday_Calendar_US)),IF(ISNUMBER(_xll.BDH(config!$G$4,V$1,$A969,$A969)),_xll.BDH(config!$G$4,V$1,$A969,$A969),_xll.BDH(config!$G$5,V$1,$A969,$A969))))</f>
        <v/>
      </c>
      <c r="W969" s="8" t="str">
        <f>IF($A969="","",IF(ISNUMBER(FIND("IMPVOL",W$1)),_xll.BDH(config!$G$4,W$1,WORKDAY($A969,-1,config_Holiday_Calendar_US),WORKDAY($A969,-1,config_Holiday_Calendar_US)),IF(ISNUMBER(_xll.BDH(config!$G$4,W$1,$A969,$A969)),_xll.BDH(config!$G$4,W$1,$A969,$A969),_xll.BDH(config!$G$5,W$1,$A969,$A969))))</f>
        <v/>
      </c>
    </row>
    <row r="970" spans="1:23" x14ac:dyDescent="0.2">
      <c r="A970" s="9" t="str">
        <f>IF(A969="","",IF(WORKDAY(A969,-1,config_Holiday_Calendar_US)&lt;config!$I$10,"",WORKDAY(A969,-1,config_Holiday_Calendar_US)))</f>
        <v/>
      </c>
      <c r="B970" s="8" t="str">
        <f t="shared" si="15"/>
        <v/>
      </c>
      <c r="C970" s="8" t="str">
        <f>IF(A970="","",_xll.BDH(config!$H$4,C$1,$A970,$A970))</f>
        <v/>
      </c>
      <c r="D970" s="8" t="str">
        <f>IF($A970="","",_xll.BDH(config!$H$4,D$1,$A970,$A970))</f>
        <v/>
      </c>
      <c r="E970" s="8" t="str">
        <f>IF($A970="","",IF(ISNUMBER(FIND("IMPVOL",E$1)),_xll.BDH(config!$G$4,E$1,WORKDAY($A970,-1,config_Holiday_Calendar_US),WORKDAY($A970,-1,config_Holiday_Calendar_US)),IF(ISNUMBER(_xll.BDH(config!$G$4,E$1,$A970,$A970)),_xll.BDH(config!$G$4,E$1,$A970,$A970),_xll.BDH(config!$G$5,E$1,$A970,$A970))))</f>
        <v/>
      </c>
      <c r="F970" s="8" t="str">
        <f>IF($A970="","",IF(ISNUMBER(FIND("IMPVOL",F$1)),_xll.BDH(config!$G$4,F$1,WORKDAY($A970,-1,config_Holiday_Calendar_US),WORKDAY($A970,-1,config_Holiday_Calendar_US)),IF(ISNUMBER(_xll.BDH(config!$G$4,F$1,$A970,$A970)),_xll.BDH(config!$G$4,F$1,$A970,$A970),_xll.BDH(config!$G$5,F$1,$A970,$A970))))</f>
        <v/>
      </c>
      <c r="G970" s="8" t="str">
        <f>IF($A970="","",IF(ISNUMBER(FIND("IMPVOL",G$1)),_xll.BDH(config!$G$4,G$1,WORKDAY($A970,-1,config_Holiday_Calendar_US),WORKDAY($A970,-1,config_Holiday_Calendar_US)),IF(ISNUMBER(_xll.BDH(config!$G$4,G$1,$A970,$A970)),_xll.BDH(config!$G$4,G$1,$A970,$A970),_xll.BDH(config!$G$5,G$1,$A970,$A970))))</f>
        <v/>
      </c>
      <c r="H970" s="8" t="str">
        <f>IF($A970="","",IF(ISNUMBER(FIND("IMPVOL",H$1)),_xll.BDH(config!$G$4,H$1,WORKDAY($A970,-1,config_Holiday_Calendar_US),WORKDAY($A970,-1,config_Holiday_Calendar_US)),IF(ISNUMBER(_xll.BDH(config!$G$4,H$1,$A970,$A970)),_xll.BDH(config!$G$4,H$1,$A970,$A970),_xll.BDH(config!$G$5,H$1,$A970,$A970))))</f>
        <v/>
      </c>
      <c r="I970" s="8" t="str">
        <f>IF($A970="","",IF(ISNUMBER(FIND("IMPVOL",I$1)),_xll.BDH(config!$G$4,I$1,WORKDAY($A970,-1,config_Holiday_Calendar_US),WORKDAY($A970,-1,config_Holiday_Calendar_US)),IF(ISNUMBER(_xll.BDH(config!$G$4,I$1,$A970,$A970)),_xll.BDH(config!$G$4,I$1,$A970,$A970),_xll.BDH(config!$G$5,I$1,$A970,$A970))))</f>
        <v/>
      </c>
      <c r="J970" s="8" t="str">
        <f>IF($A970="","",IF(ISNUMBER(FIND("IMPVOL",J$1)),_xll.BDH(config!$G$4,J$1,WORKDAY($A970,-1,config_Holiday_Calendar_US),WORKDAY($A970,-1,config_Holiday_Calendar_US)),IF(ISNUMBER(_xll.BDH(config!$G$4,J$1,$A970,$A970)),_xll.BDH(config!$G$4,J$1,$A970,$A970),_xll.BDH(config!$G$5,J$1,$A970,$A970))))</f>
        <v/>
      </c>
      <c r="K970" s="8" t="str">
        <f>IF($A970="","",IF(ISNUMBER(FIND("IMPVOL",K$1)),_xll.BDH(config!$G$4,K$1,WORKDAY($A970,-1,config_Holiday_Calendar_US),WORKDAY($A970,-1,config_Holiday_Calendar_US)),IF(ISNUMBER(_xll.BDH(config!$G$4,K$1,$A970,$A970)),_xll.BDH(config!$G$4,K$1,$A970,$A970),_xll.BDH(config!$G$5,K$1,$A970,$A970))))</f>
        <v/>
      </c>
      <c r="L970" s="8" t="str">
        <f>IF($A970="","",IF(ISNUMBER(FIND("IMPVOL",L$1)),_xll.BDH(config!$G$4,L$1,WORKDAY($A970,-1,config_Holiday_Calendar_US),WORKDAY($A970,-1,config_Holiday_Calendar_US)),IF(ISNUMBER(_xll.BDH(config!$G$4,L$1,$A970,$A970)),_xll.BDH(config!$G$4,L$1,$A970,$A970),_xll.BDH(config!$G$5,L$1,$A970,$A970))))</f>
        <v/>
      </c>
      <c r="M970" s="8" t="str">
        <f>IF($A970="","",IF(ISNUMBER(FIND("IMPVOL",M$1)),_xll.BDH(config!$G$4,M$1,WORKDAY($A970,-1,config_Holiday_Calendar_US),WORKDAY($A970,-1,config_Holiday_Calendar_US)),IF(ISNUMBER(_xll.BDH(config!$G$4,M$1,$A970,$A970)),_xll.BDH(config!$G$4,M$1,$A970,$A970),_xll.BDH(config!$G$5,M$1,$A970,$A970))))</f>
        <v/>
      </c>
      <c r="N970" s="8" t="str">
        <f>IF($A970="","",IF(ISNUMBER(FIND("IMPVOL",N$1)),_xll.BDH(config!$G$4,N$1,WORKDAY($A970,-1,config_Holiday_Calendar_US),WORKDAY($A970,-1,config_Holiday_Calendar_US)),IF(ISNUMBER(_xll.BDH(config!$G$4,N$1,$A970,$A970)),_xll.BDH(config!$G$4,N$1,$A970,$A970),_xll.BDH(config!$G$5,N$1,$A970,$A970))))</f>
        <v/>
      </c>
      <c r="O970" s="8" t="str">
        <f>IF($A970="","",IF(ISNUMBER(FIND("IMPVOL",O$1)),_xll.BDH(config!$G$4,O$1,WORKDAY($A970,-1,config_Holiday_Calendar_US),WORKDAY($A970,-1,config_Holiday_Calendar_US)),IF(ISNUMBER(_xll.BDH(config!$G$4,O$1,$A970,$A970)),_xll.BDH(config!$G$4,O$1,$A970,$A970),_xll.BDH(config!$G$5,O$1,$A970,$A970))))</f>
        <v/>
      </c>
      <c r="P970" s="8" t="str">
        <f>IF($A970="","",IF(ISNUMBER(FIND("IMPVOL",P$1)),_xll.BDH(config!$G$4,P$1,WORKDAY($A970,-1,config_Holiday_Calendar_US),WORKDAY($A970,-1,config_Holiday_Calendar_US)),IF(ISNUMBER(_xll.BDH(config!$G$4,P$1,$A970,$A970)),_xll.BDH(config!$G$4,P$1,$A970,$A970),_xll.BDH(config!$G$5,P$1,$A970,$A970))))</f>
        <v/>
      </c>
      <c r="Q970" s="8" t="str">
        <f>IF($A970="","",IF(ISNUMBER(FIND("IMPVOL",Q$1)),_xll.BDH(config!$G$4,Q$1,WORKDAY($A970,-1,config_Holiday_Calendar_US),WORKDAY($A970,-1,config_Holiday_Calendar_US)),IF(ISNUMBER(_xll.BDH(config!$G$4,Q$1,$A970,$A970)),_xll.BDH(config!$G$4,Q$1,$A970,$A970),_xll.BDH(config!$G$5,Q$1,$A970,$A970))))</f>
        <v/>
      </c>
      <c r="R970" s="8" t="str">
        <f>IF($A970="","",IF(ISNUMBER(FIND("IMPVOL",R$1)),_xll.BDH(config!$G$4,R$1,WORKDAY($A970,-1,config_Holiday_Calendar_US),WORKDAY($A970,-1,config_Holiday_Calendar_US)),IF(ISNUMBER(_xll.BDH(config!$G$4,R$1,$A970,$A970)),_xll.BDH(config!$G$4,R$1,$A970,$A970),_xll.BDH(config!$G$5,R$1,$A970,$A970))))</f>
        <v/>
      </c>
      <c r="S970" s="8" t="str">
        <f>IF($A970="","",IF(ISNUMBER(FIND("IMPVOL",S$1)),_xll.BDH(config!$G$4,S$1,WORKDAY($A970,-1,config_Holiday_Calendar_US),WORKDAY($A970,-1,config_Holiday_Calendar_US)),IF(ISNUMBER(_xll.BDH(config!$G$4,S$1,$A970,$A970)),_xll.BDH(config!$G$4,S$1,$A970,$A970),_xll.BDH(config!$G$5,S$1,$A970,$A970))))</f>
        <v/>
      </c>
      <c r="T970" s="8" t="str">
        <f>IF($A970="","",IF(ISNUMBER(FIND("IMPVOL",T$1)),_xll.BDH(config!$G$4,T$1,WORKDAY($A970,-1,config_Holiday_Calendar_US),WORKDAY($A970,-1,config_Holiday_Calendar_US)),IF(ISNUMBER(_xll.BDH(config!$G$4,T$1,$A970,$A970)),_xll.BDH(config!$G$4,T$1,$A970,$A970),_xll.BDH(config!$G$5,T$1,$A970,$A970))))</f>
        <v/>
      </c>
      <c r="U970" s="8" t="str">
        <f>IF($A970="","",IF(ISNUMBER(FIND("IMPVOL",U$1)),_xll.BDH(config!$G$4,U$1,WORKDAY($A970,-1,config_Holiday_Calendar_US),WORKDAY($A970,-1,config_Holiday_Calendar_US)),IF(ISNUMBER(_xll.BDH(config!$G$4,U$1,$A970,$A970)),_xll.BDH(config!$G$4,U$1,$A970,$A970),_xll.BDH(config!$G$5,U$1,$A970,$A970))))</f>
        <v/>
      </c>
      <c r="V970" s="8" t="str">
        <f>IF($A970="","",IF(ISNUMBER(FIND("IMPVOL",V$1)),_xll.BDH(config!$G$4,V$1,WORKDAY($A970,-1,config_Holiday_Calendar_US),WORKDAY($A970,-1,config_Holiday_Calendar_US)),IF(ISNUMBER(_xll.BDH(config!$G$4,V$1,$A970,$A970)),_xll.BDH(config!$G$4,V$1,$A970,$A970),_xll.BDH(config!$G$5,V$1,$A970,$A970))))</f>
        <v/>
      </c>
      <c r="W970" s="8" t="str">
        <f>IF($A970="","",IF(ISNUMBER(FIND("IMPVOL",W$1)),_xll.BDH(config!$G$4,W$1,WORKDAY($A970,-1,config_Holiday_Calendar_US),WORKDAY($A970,-1,config_Holiday_Calendar_US)),IF(ISNUMBER(_xll.BDH(config!$G$4,W$1,$A970,$A970)),_xll.BDH(config!$G$4,W$1,$A970,$A970),_xll.BDH(config!$G$5,W$1,$A970,$A970))))</f>
        <v/>
      </c>
    </row>
    <row r="971" spans="1:23" x14ac:dyDescent="0.2">
      <c r="A971" s="9" t="str">
        <f>IF(A970="","",IF(WORKDAY(A970,-1,config_Holiday_Calendar_US)&lt;config!$I$10,"",WORKDAY(A970,-1,config_Holiday_Calendar_US)))</f>
        <v/>
      </c>
      <c r="B971" s="8" t="str">
        <f t="shared" si="15"/>
        <v/>
      </c>
      <c r="C971" s="8" t="str">
        <f>IF(A971="","",_xll.BDH(config!$H$4,C$1,$A971,$A971))</f>
        <v/>
      </c>
      <c r="D971" s="8" t="str">
        <f>IF($A971="","",_xll.BDH(config!$H$4,D$1,$A971,$A971))</f>
        <v/>
      </c>
      <c r="E971" s="8" t="str">
        <f>IF($A971="","",IF(ISNUMBER(FIND("IMPVOL",E$1)),_xll.BDH(config!$G$4,E$1,WORKDAY($A971,-1,config_Holiday_Calendar_US),WORKDAY($A971,-1,config_Holiday_Calendar_US)),IF(ISNUMBER(_xll.BDH(config!$G$4,E$1,$A971,$A971)),_xll.BDH(config!$G$4,E$1,$A971,$A971),_xll.BDH(config!$G$5,E$1,$A971,$A971))))</f>
        <v/>
      </c>
      <c r="F971" s="8" t="str">
        <f>IF($A971="","",IF(ISNUMBER(FIND("IMPVOL",F$1)),_xll.BDH(config!$G$4,F$1,WORKDAY($A971,-1,config_Holiday_Calendar_US),WORKDAY($A971,-1,config_Holiday_Calendar_US)),IF(ISNUMBER(_xll.BDH(config!$G$4,F$1,$A971,$A971)),_xll.BDH(config!$G$4,F$1,$A971,$A971),_xll.BDH(config!$G$5,F$1,$A971,$A971))))</f>
        <v/>
      </c>
      <c r="G971" s="8" t="str">
        <f>IF($A971="","",IF(ISNUMBER(FIND("IMPVOL",G$1)),_xll.BDH(config!$G$4,G$1,WORKDAY($A971,-1,config_Holiday_Calendar_US),WORKDAY($A971,-1,config_Holiday_Calendar_US)),IF(ISNUMBER(_xll.BDH(config!$G$4,G$1,$A971,$A971)),_xll.BDH(config!$G$4,G$1,$A971,$A971),_xll.BDH(config!$G$5,G$1,$A971,$A971))))</f>
        <v/>
      </c>
      <c r="H971" s="8" t="str">
        <f>IF($A971="","",IF(ISNUMBER(FIND("IMPVOL",H$1)),_xll.BDH(config!$G$4,H$1,WORKDAY($A971,-1,config_Holiday_Calendar_US),WORKDAY($A971,-1,config_Holiday_Calendar_US)),IF(ISNUMBER(_xll.BDH(config!$G$4,H$1,$A971,$A971)),_xll.BDH(config!$G$4,H$1,$A971,$A971),_xll.BDH(config!$G$5,H$1,$A971,$A971))))</f>
        <v/>
      </c>
      <c r="I971" s="8" t="str">
        <f>IF($A971="","",IF(ISNUMBER(FIND("IMPVOL",I$1)),_xll.BDH(config!$G$4,I$1,WORKDAY($A971,-1,config_Holiday_Calendar_US),WORKDAY($A971,-1,config_Holiday_Calendar_US)),IF(ISNUMBER(_xll.BDH(config!$G$4,I$1,$A971,$A971)),_xll.BDH(config!$G$4,I$1,$A971,$A971),_xll.BDH(config!$G$5,I$1,$A971,$A971))))</f>
        <v/>
      </c>
      <c r="J971" s="8" t="str">
        <f>IF($A971="","",IF(ISNUMBER(FIND("IMPVOL",J$1)),_xll.BDH(config!$G$4,J$1,WORKDAY($A971,-1,config_Holiday_Calendar_US),WORKDAY($A971,-1,config_Holiday_Calendar_US)),IF(ISNUMBER(_xll.BDH(config!$G$4,J$1,$A971,$A971)),_xll.BDH(config!$G$4,J$1,$A971,$A971),_xll.BDH(config!$G$5,J$1,$A971,$A971))))</f>
        <v/>
      </c>
      <c r="K971" s="8" t="str">
        <f>IF($A971="","",IF(ISNUMBER(FIND("IMPVOL",K$1)),_xll.BDH(config!$G$4,K$1,WORKDAY($A971,-1,config_Holiday_Calendar_US),WORKDAY($A971,-1,config_Holiday_Calendar_US)),IF(ISNUMBER(_xll.BDH(config!$G$4,K$1,$A971,$A971)),_xll.BDH(config!$G$4,K$1,$A971,$A971),_xll.BDH(config!$G$5,K$1,$A971,$A971))))</f>
        <v/>
      </c>
      <c r="L971" s="8" t="str">
        <f>IF($A971="","",IF(ISNUMBER(FIND("IMPVOL",L$1)),_xll.BDH(config!$G$4,L$1,WORKDAY($A971,-1,config_Holiday_Calendar_US),WORKDAY($A971,-1,config_Holiday_Calendar_US)),IF(ISNUMBER(_xll.BDH(config!$G$4,L$1,$A971,$A971)),_xll.BDH(config!$G$4,L$1,$A971,$A971),_xll.BDH(config!$G$5,L$1,$A971,$A971))))</f>
        <v/>
      </c>
      <c r="M971" s="8" t="str">
        <f>IF($A971="","",IF(ISNUMBER(FIND("IMPVOL",M$1)),_xll.BDH(config!$G$4,M$1,WORKDAY($A971,-1,config_Holiday_Calendar_US),WORKDAY($A971,-1,config_Holiday_Calendar_US)),IF(ISNUMBER(_xll.BDH(config!$G$4,M$1,$A971,$A971)),_xll.BDH(config!$G$4,M$1,$A971,$A971),_xll.BDH(config!$G$5,M$1,$A971,$A971))))</f>
        <v/>
      </c>
      <c r="N971" s="8" t="str">
        <f>IF($A971="","",IF(ISNUMBER(FIND("IMPVOL",N$1)),_xll.BDH(config!$G$4,N$1,WORKDAY($A971,-1,config_Holiday_Calendar_US),WORKDAY($A971,-1,config_Holiday_Calendar_US)),IF(ISNUMBER(_xll.BDH(config!$G$4,N$1,$A971,$A971)),_xll.BDH(config!$G$4,N$1,$A971,$A971),_xll.BDH(config!$G$5,N$1,$A971,$A971))))</f>
        <v/>
      </c>
      <c r="O971" s="8" t="str">
        <f>IF($A971="","",IF(ISNUMBER(FIND("IMPVOL",O$1)),_xll.BDH(config!$G$4,O$1,WORKDAY($A971,-1,config_Holiday_Calendar_US),WORKDAY($A971,-1,config_Holiday_Calendar_US)),IF(ISNUMBER(_xll.BDH(config!$G$4,O$1,$A971,$A971)),_xll.BDH(config!$G$4,O$1,$A971,$A971),_xll.BDH(config!$G$5,O$1,$A971,$A971))))</f>
        <v/>
      </c>
      <c r="P971" s="8" t="str">
        <f>IF($A971="","",IF(ISNUMBER(FIND("IMPVOL",P$1)),_xll.BDH(config!$G$4,P$1,WORKDAY($A971,-1,config_Holiday_Calendar_US),WORKDAY($A971,-1,config_Holiday_Calendar_US)),IF(ISNUMBER(_xll.BDH(config!$G$4,P$1,$A971,$A971)),_xll.BDH(config!$G$4,P$1,$A971,$A971),_xll.BDH(config!$G$5,P$1,$A971,$A971))))</f>
        <v/>
      </c>
      <c r="Q971" s="8" t="str">
        <f>IF($A971="","",IF(ISNUMBER(FIND("IMPVOL",Q$1)),_xll.BDH(config!$G$4,Q$1,WORKDAY($A971,-1,config_Holiday_Calendar_US),WORKDAY($A971,-1,config_Holiday_Calendar_US)),IF(ISNUMBER(_xll.BDH(config!$G$4,Q$1,$A971,$A971)),_xll.BDH(config!$G$4,Q$1,$A971,$A971),_xll.BDH(config!$G$5,Q$1,$A971,$A971))))</f>
        <v/>
      </c>
      <c r="R971" s="8" t="str">
        <f>IF($A971="","",IF(ISNUMBER(FIND("IMPVOL",R$1)),_xll.BDH(config!$G$4,R$1,WORKDAY($A971,-1,config_Holiday_Calendar_US),WORKDAY($A971,-1,config_Holiday_Calendar_US)),IF(ISNUMBER(_xll.BDH(config!$G$4,R$1,$A971,$A971)),_xll.BDH(config!$G$4,R$1,$A971,$A971),_xll.BDH(config!$G$5,R$1,$A971,$A971))))</f>
        <v/>
      </c>
      <c r="S971" s="8" t="str">
        <f>IF($A971="","",IF(ISNUMBER(FIND("IMPVOL",S$1)),_xll.BDH(config!$G$4,S$1,WORKDAY($A971,-1,config_Holiday_Calendar_US),WORKDAY($A971,-1,config_Holiday_Calendar_US)),IF(ISNUMBER(_xll.BDH(config!$G$4,S$1,$A971,$A971)),_xll.BDH(config!$G$4,S$1,$A971,$A971),_xll.BDH(config!$G$5,S$1,$A971,$A971))))</f>
        <v/>
      </c>
      <c r="T971" s="8" t="str">
        <f>IF($A971="","",IF(ISNUMBER(FIND("IMPVOL",T$1)),_xll.BDH(config!$G$4,T$1,WORKDAY($A971,-1,config_Holiday_Calendar_US),WORKDAY($A971,-1,config_Holiday_Calendar_US)),IF(ISNUMBER(_xll.BDH(config!$G$4,T$1,$A971,$A971)),_xll.BDH(config!$G$4,T$1,$A971,$A971),_xll.BDH(config!$G$5,T$1,$A971,$A971))))</f>
        <v/>
      </c>
      <c r="U971" s="8" t="str">
        <f>IF($A971="","",IF(ISNUMBER(FIND("IMPVOL",U$1)),_xll.BDH(config!$G$4,U$1,WORKDAY($A971,-1,config_Holiday_Calendar_US),WORKDAY($A971,-1,config_Holiday_Calendar_US)),IF(ISNUMBER(_xll.BDH(config!$G$4,U$1,$A971,$A971)),_xll.BDH(config!$G$4,U$1,$A971,$A971),_xll.BDH(config!$G$5,U$1,$A971,$A971))))</f>
        <v/>
      </c>
      <c r="V971" s="8" t="str">
        <f>IF($A971="","",IF(ISNUMBER(FIND("IMPVOL",V$1)),_xll.BDH(config!$G$4,V$1,WORKDAY($A971,-1,config_Holiday_Calendar_US),WORKDAY($A971,-1,config_Holiday_Calendar_US)),IF(ISNUMBER(_xll.BDH(config!$G$4,V$1,$A971,$A971)),_xll.BDH(config!$G$4,V$1,$A971,$A971),_xll.BDH(config!$G$5,V$1,$A971,$A971))))</f>
        <v/>
      </c>
      <c r="W971" s="8" t="str">
        <f>IF($A971="","",IF(ISNUMBER(FIND("IMPVOL",W$1)),_xll.BDH(config!$G$4,W$1,WORKDAY($A971,-1,config_Holiday_Calendar_US),WORKDAY($A971,-1,config_Holiday_Calendar_US)),IF(ISNUMBER(_xll.BDH(config!$G$4,W$1,$A971,$A971)),_xll.BDH(config!$G$4,W$1,$A971,$A971),_xll.BDH(config!$G$5,W$1,$A971,$A971))))</f>
        <v/>
      </c>
    </row>
    <row r="972" spans="1:23" x14ac:dyDescent="0.2">
      <c r="A972" s="9" t="str">
        <f>IF(A971="","",IF(WORKDAY(A971,-1,config_Holiday_Calendar_US)&lt;config!$I$10,"",WORKDAY(A971,-1,config_Holiday_Calendar_US)))</f>
        <v/>
      </c>
      <c r="B972" s="8" t="str">
        <f t="shared" si="15"/>
        <v/>
      </c>
      <c r="C972" s="8" t="str">
        <f>IF(A972="","",_xll.BDH(config!$H$4,C$1,$A972,$A972))</f>
        <v/>
      </c>
      <c r="D972" s="8" t="str">
        <f>IF($A972="","",_xll.BDH(config!$H$4,D$1,$A972,$A972))</f>
        <v/>
      </c>
      <c r="E972" s="8" t="str">
        <f>IF($A972="","",IF(ISNUMBER(FIND("IMPVOL",E$1)),_xll.BDH(config!$G$4,E$1,WORKDAY($A972,-1,config_Holiday_Calendar_US),WORKDAY($A972,-1,config_Holiday_Calendar_US)),IF(ISNUMBER(_xll.BDH(config!$G$4,E$1,$A972,$A972)),_xll.BDH(config!$G$4,E$1,$A972,$A972),_xll.BDH(config!$G$5,E$1,$A972,$A972))))</f>
        <v/>
      </c>
      <c r="F972" s="8" t="str">
        <f>IF($A972="","",IF(ISNUMBER(FIND("IMPVOL",F$1)),_xll.BDH(config!$G$4,F$1,WORKDAY($A972,-1,config_Holiday_Calendar_US),WORKDAY($A972,-1,config_Holiday_Calendar_US)),IF(ISNUMBER(_xll.BDH(config!$G$4,F$1,$A972,$A972)),_xll.BDH(config!$G$4,F$1,$A972,$A972),_xll.BDH(config!$G$5,F$1,$A972,$A972))))</f>
        <v/>
      </c>
      <c r="G972" s="8" t="str">
        <f>IF($A972="","",IF(ISNUMBER(FIND("IMPVOL",G$1)),_xll.BDH(config!$G$4,G$1,WORKDAY($A972,-1,config_Holiday_Calendar_US),WORKDAY($A972,-1,config_Holiday_Calendar_US)),IF(ISNUMBER(_xll.BDH(config!$G$4,G$1,$A972,$A972)),_xll.BDH(config!$G$4,G$1,$A972,$A972),_xll.BDH(config!$G$5,G$1,$A972,$A972))))</f>
        <v/>
      </c>
      <c r="H972" s="8" t="str">
        <f>IF($A972="","",IF(ISNUMBER(FIND("IMPVOL",H$1)),_xll.BDH(config!$G$4,H$1,WORKDAY($A972,-1,config_Holiday_Calendar_US),WORKDAY($A972,-1,config_Holiday_Calendar_US)),IF(ISNUMBER(_xll.BDH(config!$G$4,H$1,$A972,$A972)),_xll.BDH(config!$G$4,H$1,$A972,$A972),_xll.BDH(config!$G$5,H$1,$A972,$A972))))</f>
        <v/>
      </c>
      <c r="I972" s="8" t="str">
        <f>IF($A972="","",IF(ISNUMBER(FIND("IMPVOL",I$1)),_xll.BDH(config!$G$4,I$1,WORKDAY($A972,-1,config_Holiday_Calendar_US),WORKDAY($A972,-1,config_Holiday_Calendar_US)),IF(ISNUMBER(_xll.BDH(config!$G$4,I$1,$A972,$A972)),_xll.BDH(config!$G$4,I$1,$A972,$A972),_xll.BDH(config!$G$5,I$1,$A972,$A972))))</f>
        <v/>
      </c>
      <c r="J972" s="8" t="str">
        <f>IF($A972="","",IF(ISNUMBER(FIND("IMPVOL",J$1)),_xll.BDH(config!$G$4,J$1,WORKDAY($A972,-1,config_Holiday_Calendar_US),WORKDAY($A972,-1,config_Holiday_Calendar_US)),IF(ISNUMBER(_xll.BDH(config!$G$4,J$1,$A972,$A972)),_xll.BDH(config!$G$4,J$1,$A972,$A972),_xll.BDH(config!$G$5,J$1,$A972,$A972))))</f>
        <v/>
      </c>
      <c r="K972" s="8" t="str">
        <f>IF($A972="","",IF(ISNUMBER(FIND("IMPVOL",K$1)),_xll.BDH(config!$G$4,K$1,WORKDAY($A972,-1,config_Holiday_Calendar_US),WORKDAY($A972,-1,config_Holiday_Calendar_US)),IF(ISNUMBER(_xll.BDH(config!$G$4,K$1,$A972,$A972)),_xll.BDH(config!$G$4,K$1,$A972,$A972),_xll.BDH(config!$G$5,K$1,$A972,$A972))))</f>
        <v/>
      </c>
      <c r="L972" s="8" t="str">
        <f>IF($A972="","",IF(ISNUMBER(FIND("IMPVOL",L$1)),_xll.BDH(config!$G$4,L$1,WORKDAY($A972,-1,config_Holiday_Calendar_US),WORKDAY($A972,-1,config_Holiday_Calendar_US)),IF(ISNUMBER(_xll.BDH(config!$G$4,L$1,$A972,$A972)),_xll.BDH(config!$G$4,L$1,$A972,$A972),_xll.BDH(config!$G$5,L$1,$A972,$A972))))</f>
        <v/>
      </c>
      <c r="M972" s="8" t="str">
        <f>IF($A972="","",IF(ISNUMBER(FIND("IMPVOL",M$1)),_xll.BDH(config!$G$4,M$1,WORKDAY($A972,-1,config_Holiday_Calendar_US),WORKDAY($A972,-1,config_Holiday_Calendar_US)),IF(ISNUMBER(_xll.BDH(config!$G$4,M$1,$A972,$A972)),_xll.BDH(config!$G$4,M$1,$A972,$A972),_xll.BDH(config!$G$5,M$1,$A972,$A972))))</f>
        <v/>
      </c>
      <c r="N972" s="8" t="str">
        <f>IF($A972="","",IF(ISNUMBER(FIND("IMPVOL",N$1)),_xll.BDH(config!$G$4,N$1,WORKDAY($A972,-1,config_Holiday_Calendar_US),WORKDAY($A972,-1,config_Holiday_Calendar_US)),IF(ISNUMBER(_xll.BDH(config!$G$4,N$1,$A972,$A972)),_xll.BDH(config!$G$4,N$1,$A972,$A972),_xll.BDH(config!$G$5,N$1,$A972,$A972))))</f>
        <v/>
      </c>
      <c r="O972" s="8" t="str">
        <f>IF($A972="","",IF(ISNUMBER(FIND("IMPVOL",O$1)),_xll.BDH(config!$G$4,O$1,WORKDAY($A972,-1,config_Holiday_Calendar_US),WORKDAY($A972,-1,config_Holiday_Calendar_US)),IF(ISNUMBER(_xll.BDH(config!$G$4,O$1,$A972,$A972)),_xll.BDH(config!$G$4,O$1,$A972,$A972),_xll.BDH(config!$G$5,O$1,$A972,$A972))))</f>
        <v/>
      </c>
      <c r="P972" s="8" t="str">
        <f>IF($A972="","",IF(ISNUMBER(FIND("IMPVOL",P$1)),_xll.BDH(config!$G$4,P$1,WORKDAY($A972,-1,config_Holiday_Calendar_US),WORKDAY($A972,-1,config_Holiday_Calendar_US)),IF(ISNUMBER(_xll.BDH(config!$G$4,P$1,$A972,$A972)),_xll.BDH(config!$G$4,P$1,$A972,$A972),_xll.BDH(config!$G$5,P$1,$A972,$A972))))</f>
        <v/>
      </c>
      <c r="Q972" s="8" t="str">
        <f>IF($A972="","",IF(ISNUMBER(FIND("IMPVOL",Q$1)),_xll.BDH(config!$G$4,Q$1,WORKDAY($A972,-1,config_Holiday_Calendar_US),WORKDAY($A972,-1,config_Holiday_Calendar_US)),IF(ISNUMBER(_xll.BDH(config!$G$4,Q$1,$A972,$A972)),_xll.BDH(config!$G$4,Q$1,$A972,$A972),_xll.BDH(config!$G$5,Q$1,$A972,$A972))))</f>
        <v/>
      </c>
      <c r="R972" s="8" t="str">
        <f>IF($A972="","",IF(ISNUMBER(FIND("IMPVOL",R$1)),_xll.BDH(config!$G$4,R$1,WORKDAY($A972,-1,config_Holiday_Calendar_US),WORKDAY($A972,-1,config_Holiday_Calendar_US)),IF(ISNUMBER(_xll.BDH(config!$G$4,R$1,$A972,$A972)),_xll.BDH(config!$G$4,R$1,$A972,$A972),_xll.BDH(config!$G$5,R$1,$A972,$A972))))</f>
        <v/>
      </c>
      <c r="S972" s="8" t="str">
        <f>IF($A972="","",IF(ISNUMBER(FIND("IMPVOL",S$1)),_xll.BDH(config!$G$4,S$1,WORKDAY($A972,-1,config_Holiday_Calendar_US),WORKDAY($A972,-1,config_Holiday_Calendar_US)),IF(ISNUMBER(_xll.BDH(config!$G$4,S$1,$A972,$A972)),_xll.BDH(config!$G$4,S$1,$A972,$A972),_xll.BDH(config!$G$5,S$1,$A972,$A972))))</f>
        <v/>
      </c>
      <c r="T972" s="8" t="str">
        <f>IF($A972="","",IF(ISNUMBER(FIND("IMPVOL",T$1)),_xll.BDH(config!$G$4,T$1,WORKDAY($A972,-1,config_Holiday_Calendar_US),WORKDAY($A972,-1,config_Holiday_Calendar_US)),IF(ISNUMBER(_xll.BDH(config!$G$4,T$1,$A972,$A972)),_xll.BDH(config!$G$4,T$1,$A972,$A972),_xll.BDH(config!$G$5,T$1,$A972,$A972))))</f>
        <v/>
      </c>
      <c r="U972" s="8" t="str">
        <f>IF($A972="","",IF(ISNUMBER(FIND("IMPVOL",U$1)),_xll.BDH(config!$G$4,U$1,WORKDAY($A972,-1,config_Holiday_Calendar_US),WORKDAY($A972,-1,config_Holiday_Calendar_US)),IF(ISNUMBER(_xll.BDH(config!$G$4,U$1,$A972,$A972)),_xll.BDH(config!$G$4,U$1,$A972,$A972),_xll.BDH(config!$G$5,U$1,$A972,$A972))))</f>
        <v/>
      </c>
      <c r="V972" s="8" t="str">
        <f>IF($A972="","",IF(ISNUMBER(FIND("IMPVOL",V$1)),_xll.BDH(config!$G$4,V$1,WORKDAY($A972,-1,config_Holiday_Calendar_US),WORKDAY($A972,-1,config_Holiday_Calendar_US)),IF(ISNUMBER(_xll.BDH(config!$G$4,V$1,$A972,$A972)),_xll.BDH(config!$G$4,V$1,$A972,$A972),_xll.BDH(config!$G$5,V$1,$A972,$A972))))</f>
        <v/>
      </c>
      <c r="W972" s="8" t="str">
        <f>IF($A972="","",IF(ISNUMBER(FIND("IMPVOL",W$1)),_xll.BDH(config!$G$4,W$1,WORKDAY($A972,-1,config_Holiday_Calendar_US),WORKDAY($A972,-1,config_Holiday_Calendar_US)),IF(ISNUMBER(_xll.BDH(config!$G$4,W$1,$A972,$A972)),_xll.BDH(config!$G$4,W$1,$A972,$A972),_xll.BDH(config!$G$5,W$1,$A972,$A972))))</f>
        <v/>
      </c>
    </row>
    <row r="973" spans="1:23" x14ac:dyDescent="0.2">
      <c r="A973" s="9" t="str">
        <f>IF(A972="","",IF(WORKDAY(A972,-1,config_Holiday_Calendar_US)&lt;config!$I$10,"",WORKDAY(A972,-1,config_Holiday_Calendar_US)))</f>
        <v/>
      </c>
      <c r="B973" s="8" t="str">
        <f t="shared" si="15"/>
        <v/>
      </c>
      <c r="C973" s="8" t="str">
        <f>IF(A973="","",_xll.BDH(config!$H$4,C$1,$A973,$A973))</f>
        <v/>
      </c>
      <c r="D973" s="8" t="str">
        <f>IF($A973="","",_xll.BDH(config!$H$4,D$1,$A973,$A973))</f>
        <v/>
      </c>
      <c r="E973" s="8" t="str">
        <f>IF($A973="","",IF(ISNUMBER(FIND("IMPVOL",E$1)),_xll.BDH(config!$G$4,E$1,WORKDAY($A973,-1,config_Holiday_Calendar_US),WORKDAY($A973,-1,config_Holiday_Calendar_US)),IF(ISNUMBER(_xll.BDH(config!$G$4,E$1,$A973,$A973)),_xll.BDH(config!$G$4,E$1,$A973,$A973),_xll.BDH(config!$G$5,E$1,$A973,$A973))))</f>
        <v/>
      </c>
      <c r="F973" s="8" t="str">
        <f>IF($A973="","",IF(ISNUMBER(FIND("IMPVOL",F$1)),_xll.BDH(config!$G$4,F$1,WORKDAY($A973,-1,config_Holiday_Calendar_US),WORKDAY($A973,-1,config_Holiday_Calendar_US)),IF(ISNUMBER(_xll.BDH(config!$G$4,F$1,$A973,$A973)),_xll.BDH(config!$G$4,F$1,$A973,$A973),_xll.BDH(config!$G$5,F$1,$A973,$A973))))</f>
        <v/>
      </c>
      <c r="G973" s="8" t="str">
        <f>IF($A973="","",IF(ISNUMBER(FIND("IMPVOL",G$1)),_xll.BDH(config!$G$4,G$1,WORKDAY($A973,-1,config_Holiday_Calendar_US),WORKDAY($A973,-1,config_Holiday_Calendar_US)),IF(ISNUMBER(_xll.BDH(config!$G$4,G$1,$A973,$A973)),_xll.BDH(config!$G$4,G$1,$A973,$A973),_xll.BDH(config!$G$5,G$1,$A973,$A973))))</f>
        <v/>
      </c>
      <c r="H973" s="8" t="str">
        <f>IF($A973="","",IF(ISNUMBER(FIND("IMPVOL",H$1)),_xll.BDH(config!$G$4,H$1,WORKDAY($A973,-1,config_Holiday_Calendar_US),WORKDAY($A973,-1,config_Holiday_Calendar_US)),IF(ISNUMBER(_xll.BDH(config!$G$4,H$1,$A973,$A973)),_xll.BDH(config!$G$4,H$1,$A973,$A973),_xll.BDH(config!$G$5,H$1,$A973,$A973))))</f>
        <v/>
      </c>
      <c r="I973" s="8" t="str">
        <f>IF($A973="","",IF(ISNUMBER(FIND("IMPVOL",I$1)),_xll.BDH(config!$G$4,I$1,WORKDAY($A973,-1,config_Holiday_Calendar_US),WORKDAY($A973,-1,config_Holiday_Calendar_US)),IF(ISNUMBER(_xll.BDH(config!$G$4,I$1,$A973,$A973)),_xll.BDH(config!$G$4,I$1,$A973,$A973),_xll.BDH(config!$G$5,I$1,$A973,$A973))))</f>
        <v/>
      </c>
      <c r="J973" s="8" t="str">
        <f>IF($A973="","",IF(ISNUMBER(FIND("IMPVOL",J$1)),_xll.BDH(config!$G$4,J$1,WORKDAY($A973,-1,config_Holiday_Calendar_US),WORKDAY($A973,-1,config_Holiday_Calendar_US)),IF(ISNUMBER(_xll.BDH(config!$G$4,J$1,$A973,$A973)),_xll.BDH(config!$G$4,J$1,$A973,$A973),_xll.BDH(config!$G$5,J$1,$A973,$A973))))</f>
        <v/>
      </c>
      <c r="K973" s="8" t="str">
        <f>IF($A973="","",IF(ISNUMBER(FIND("IMPVOL",K$1)),_xll.BDH(config!$G$4,K$1,WORKDAY($A973,-1,config_Holiday_Calendar_US),WORKDAY($A973,-1,config_Holiday_Calendar_US)),IF(ISNUMBER(_xll.BDH(config!$G$4,K$1,$A973,$A973)),_xll.BDH(config!$G$4,K$1,$A973,$A973),_xll.BDH(config!$G$5,K$1,$A973,$A973))))</f>
        <v/>
      </c>
      <c r="L973" s="8" t="str">
        <f>IF($A973="","",IF(ISNUMBER(FIND("IMPVOL",L$1)),_xll.BDH(config!$G$4,L$1,WORKDAY($A973,-1,config_Holiday_Calendar_US),WORKDAY($A973,-1,config_Holiday_Calendar_US)),IF(ISNUMBER(_xll.BDH(config!$G$4,L$1,$A973,$A973)),_xll.BDH(config!$G$4,L$1,$A973,$A973),_xll.BDH(config!$G$5,L$1,$A973,$A973))))</f>
        <v/>
      </c>
      <c r="M973" s="8" t="str">
        <f>IF($A973="","",IF(ISNUMBER(FIND("IMPVOL",M$1)),_xll.BDH(config!$G$4,M$1,WORKDAY($A973,-1,config_Holiday_Calendar_US),WORKDAY($A973,-1,config_Holiday_Calendar_US)),IF(ISNUMBER(_xll.BDH(config!$G$4,M$1,$A973,$A973)),_xll.BDH(config!$G$4,M$1,$A973,$A973),_xll.BDH(config!$G$5,M$1,$A973,$A973))))</f>
        <v/>
      </c>
      <c r="N973" s="8" t="str">
        <f>IF($A973="","",IF(ISNUMBER(FIND("IMPVOL",N$1)),_xll.BDH(config!$G$4,N$1,WORKDAY($A973,-1,config_Holiday_Calendar_US),WORKDAY($A973,-1,config_Holiday_Calendar_US)),IF(ISNUMBER(_xll.BDH(config!$G$4,N$1,$A973,$A973)),_xll.BDH(config!$G$4,N$1,$A973,$A973),_xll.BDH(config!$G$5,N$1,$A973,$A973))))</f>
        <v/>
      </c>
      <c r="O973" s="8" t="str">
        <f>IF($A973="","",IF(ISNUMBER(FIND("IMPVOL",O$1)),_xll.BDH(config!$G$4,O$1,WORKDAY($A973,-1,config_Holiday_Calendar_US),WORKDAY($A973,-1,config_Holiday_Calendar_US)),IF(ISNUMBER(_xll.BDH(config!$G$4,O$1,$A973,$A973)),_xll.BDH(config!$G$4,O$1,$A973,$A973),_xll.BDH(config!$G$5,O$1,$A973,$A973))))</f>
        <v/>
      </c>
      <c r="P973" s="8" t="str">
        <f>IF($A973="","",IF(ISNUMBER(FIND("IMPVOL",P$1)),_xll.BDH(config!$G$4,P$1,WORKDAY($A973,-1,config_Holiday_Calendar_US),WORKDAY($A973,-1,config_Holiday_Calendar_US)),IF(ISNUMBER(_xll.BDH(config!$G$4,P$1,$A973,$A973)),_xll.BDH(config!$G$4,P$1,$A973,$A973),_xll.BDH(config!$G$5,P$1,$A973,$A973))))</f>
        <v/>
      </c>
      <c r="Q973" s="8" t="str">
        <f>IF($A973="","",IF(ISNUMBER(FIND("IMPVOL",Q$1)),_xll.BDH(config!$G$4,Q$1,WORKDAY($A973,-1,config_Holiday_Calendar_US),WORKDAY($A973,-1,config_Holiday_Calendar_US)),IF(ISNUMBER(_xll.BDH(config!$G$4,Q$1,$A973,$A973)),_xll.BDH(config!$G$4,Q$1,$A973,$A973),_xll.BDH(config!$G$5,Q$1,$A973,$A973))))</f>
        <v/>
      </c>
      <c r="R973" s="8" t="str">
        <f>IF($A973="","",IF(ISNUMBER(FIND("IMPVOL",R$1)),_xll.BDH(config!$G$4,R$1,WORKDAY($A973,-1,config_Holiday_Calendar_US),WORKDAY($A973,-1,config_Holiday_Calendar_US)),IF(ISNUMBER(_xll.BDH(config!$G$4,R$1,$A973,$A973)),_xll.BDH(config!$G$4,R$1,$A973,$A973),_xll.BDH(config!$G$5,R$1,$A973,$A973))))</f>
        <v/>
      </c>
      <c r="S973" s="8" t="str">
        <f>IF($A973="","",IF(ISNUMBER(FIND("IMPVOL",S$1)),_xll.BDH(config!$G$4,S$1,WORKDAY($A973,-1,config_Holiday_Calendar_US),WORKDAY($A973,-1,config_Holiday_Calendar_US)),IF(ISNUMBER(_xll.BDH(config!$G$4,S$1,$A973,$A973)),_xll.BDH(config!$G$4,S$1,$A973,$A973),_xll.BDH(config!$G$5,S$1,$A973,$A973))))</f>
        <v/>
      </c>
      <c r="T973" s="8" t="str">
        <f>IF($A973="","",IF(ISNUMBER(FIND("IMPVOL",T$1)),_xll.BDH(config!$G$4,T$1,WORKDAY($A973,-1,config_Holiday_Calendar_US),WORKDAY($A973,-1,config_Holiday_Calendar_US)),IF(ISNUMBER(_xll.BDH(config!$G$4,T$1,$A973,$A973)),_xll.BDH(config!$G$4,T$1,$A973,$A973),_xll.BDH(config!$G$5,T$1,$A973,$A973))))</f>
        <v/>
      </c>
      <c r="U973" s="8" t="str">
        <f>IF($A973="","",IF(ISNUMBER(FIND("IMPVOL",U$1)),_xll.BDH(config!$G$4,U$1,WORKDAY($A973,-1,config_Holiday_Calendar_US),WORKDAY($A973,-1,config_Holiday_Calendar_US)),IF(ISNUMBER(_xll.BDH(config!$G$4,U$1,$A973,$A973)),_xll.BDH(config!$G$4,U$1,$A973,$A973),_xll.BDH(config!$G$5,U$1,$A973,$A973))))</f>
        <v/>
      </c>
      <c r="V973" s="8" t="str">
        <f>IF($A973="","",IF(ISNUMBER(FIND("IMPVOL",V$1)),_xll.BDH(config!$G$4,V$1,WORKDAY($A973,-1,config_Holiday_Calendar_US),WORKDAY($A973,-1,config_Holiday_Calendar_US)),IF(ISNUMBER(_xll.BDH(config!$G$4,V$1,$A973,$A973)),_xll.BDH(config!$G$4,V$1,$A973,$A973),_xll.BDH(config!$G$5,V$1,$A973,$A973))))</f>
        <v/>
      </c>
      <c r="W973" s="8" t="str">
        <f>IF($A973="","",IF(ISNUMBER(FIND("IMPVOL",W$1)),_xll.BDH(config!$G$4,W$1,WORKDAY($A973,-1,config_Holiday_Calendar_US),WORKDAY($A973,-1,config_Holiday_Calendar_US)),IF(ISNUMBER(_xll.BDH(config!$G$4,W$1,$A973,$A973)),_xll.BDH(config!$G$4,W$1,$A973,$A973),_xll.BDH(config!$G$5,W$1,$A973,$A973))))</f>
        <v/>
      </c>
    </row>
    <row r="974" spans="1:23" x14ac:dyDescent="0.2">
      <c r="A974" s="9" t="str">
        <f>IF(A973="","",IF(WORKDAY(A973,-1,config_Holiday_Calendar_US)&lt;config!$I$10,"",WORKDAY(A973,-1,config_Holiday_Calendar_US)))</f>
        <v/>
      </c>
      <c r="B974" s="8" t="str">
        <f t="shared" si="15"/>
        <v/>
      </c>
      <c r="C974" s="8" t="str">
        <f>IF(A974="","",_xll.BDH(config!$H$4,C$1,$A974,$A974))</f>
        <v/>
      </c>
      <c r="D974" s="8" t="str">
        <f>IF($A974="","",_xll.BDH(config!$H$4,D$1,$A974,$A974))</f>
        <v/>
      </c>
      <c r="E974" s="8" t="str">
        <f>IF($A974="","",IF(ISNUMBER(FIND("IMPVOL",E$1)),_xll.BDH(config!$G$4,E$1,WORKDAY($A974,-1,config_Holiday_Calendar_US),WORKDAY($A974,-1,config_Holiday_Calendar_US)),IF(ISNUMBER(_xll.BDH(config!$G$4,E$1,$A974,$A974)),_xll.BDH(config!$G$4,E$1,$A974,$A974),_xll.BDH(config!$G$5,E$1,$A974,$A974))))</f>
        <v/>
      </c>
      <c r="F974" s="8" t="str">
        <f>IF($A974="","",IF(ISNUMBER(FIND("IMPVOL",F$1)),_xll.BDH(config!$G$4,F$1,WORKDAY($A974,-1,config_Holiday_Calendar_US),WORKDAY($A974,-1,config_Holiday_Calendar_US)),IF(ISNUMBER(_xll.BDH(config!$G$4,F$1,$A974,$A974)),_xll.BDH(config!$G$4,F$1,$A974,$A974),_xll.BDH(config!$G$5,F$1,$A974,$A974))))</f>
        <v/>
      </c>
      <c r="G974" s="8" t="str">
        <f>IF($A974="","",IF(ISNUMBER(FIND("IMPVOL",G$1)),_xll.BDH(config!$G$4,G$1,WORKDAY($A974,-1,config_Holiday_Calendar_US),WORKDAY($A974,-1,config_Holiday_Calendar_US)),IF(ISNUMBER(_xll.BDH(config!$G$4,G$1,$A974,$A974)),_xll.BDH(config!$G$4,G$1,$A974,$A974),_xll.BDH(config!$G$5,G$1,$A974,$A974))))</f>
        <v/>
      </c>
      <c r="H974" s="8" t="str">
        <f>IF($A974="","",IF(ISNUMBER(FIND("IMPVOL",H$1)),_xll.BDH(config!$G$4,H$1,WORKDAY($A974,-1,config_Holiday_Calendar_US),WORKDAY($A974,-1,config_Holiday_Calendar_US)),IF(ISNUMBER(_xll.BDH(config!$G$4,H$1,$A974,$A974)),_xll.BDH(config!$G$4,H$1,$A974,$A974),_xll.BDH(config!$G$5,H$1,$A974,$A974))))</f>
        <v/>
      </c>
      <c r="I974" s="8" t="str">
        <f>IF($A974="","",IF(ISNUMBER(FIND("IMPVOL",I$1)),_xll.BDH(config!$G$4,I$1,WORKDAY($A974,-1,config_Holiday_Calendar_US),WORKDAY($A974,-1,config_Holiday_Calendar_US)),IF(ISNUMBER(_xll.BDH(config!$G$4,I$1,$A974,$A974)),_xll.BDH(config!$G$4,I$1,$A974,$A974),_xll.BDH(config!$G$5,I$1,$A974,$A974))))</f>
        <v/>
      </c>
      <c r="J974" s="8" t="str">
        <f>IF($A974="","",IF(ISNUMBER(FIND("IMPVOL",J$1)),_xll.BDH(config!$G$4,J$1,WORKDAY($A974,-1,config_Holiday_Calendar_US),WORKDAY($A974,-1,config_Holiday_Calendar_US)),IF(ISNUMBER(_xll.BDH(config!$G$4,J$1,$A974,$A974)),_xll.BDH(config!$G$4,J$1,$A974,$A974),_xll.BDH(config!$G$5,J$1,$A974,$A974))))</f>
        <v/>
      </c>
      <c r="K974" s="8" t="str">
        <f>IF($A974="","",IF(ISNUMBER(FIND("IMPVOL",K$1)),_xll.BDH(config!$G$4,K$1,WORKDAY($A974,-1,config_Holiday_Calendar_US),WORKDAY($A974,-1,config_Holiday_Calendar_US)),IF(ISNUMBER(_xll.BDH(config!$G$4,K$1,$A974,$A974)),_xll.BDH(config!$G$4,K$1,$A974,$A974),_xll.BDH(config!$G$5,K$1,$A974,$A974))))</f>
        <v/>
      </c>
      <c r="L974" s="8" t="str">
        <f>IF($A974="","",IF(ISNUMBER(FIND("IMPVOL",L$1)),_xll.BDH(config!$G$4,L$1,WORKDAY($A974,-1,config_Holiday_Calendar_US),WORKDAY($A974,-1,config_Holiday_Calendar_US)),IF(ISNUMBER(_xll.BDH(config!$G$4,L$1,$A974,$A974)),_xll.BDH(config!$G$4,L$1,$A974,$A974),_xll.BDH(config!$G$5,L$1,$A974,$A974))))</f>
        <v/>
      </c>
      <c r="M974" s="8" t="str">
        <f>IF($A974="","",IF(ISNUMBER(FIND("IMPVOL",M$1)),_xll.BDH(config!$G$4,M$1,WORKDAY($A974,-1,config_Holiday_Calendar_US),WORKDAY($A974,-1,config_Holiday_Calendar_US)),IF(ISNUMBER(_xll.BDH(config!$G$4,M$1,$A974,$A974)),_xll.BDH(config!$G$4,M$1,$A974,$A974),_xll.BDH(config!$G$5,M$1,$A974,$A974))))</f>
        <v/>
      </c>
      <c r="N974" s="8" t="str">
        <f>IF($A974="","",IF(ISNUMBER(FIND("IMPVOL",N$1)),_xll.BDH(config!$G$4,N$1,WORKDAY($A974,-1,config_Holiday_Calendar_US),WORKDAY($A974,-1,config_Holiday_Calendar_US)),IF(ISNUMBER(_xll.BDH(config!$G$4,N$1,$A974,$A974)),_xll.BDH(config!$G$4,N$1,$A974,$A974),_xll.BDH(config!$G$5,N$1,$A974,$A974))))</f>
        <v/>
      </c>
      <c r="O974" s="8" t="str">
        <f>IF($A974="","",IF(ISNUMBER(FIND("IMPVOL",O$1)),_xll.BDH(config!$G$4,O$1,WORKDAY($A974,-1,config_Holiday_Calendar_US),WORKDAY($A974,-1,config_Holiday_Calendar_US)),IF(ISNUMBER(_xll.BDH(config!$G$4,O$1,$A974,$A974)),_xll.BDH(config!$G$4,O$1,$A974,$A974),_xll.BDH(config!$G$5,O$1,$A974,$A974))))</f>
        <v/>
      </c>
      <c r="P974" s="8" t="str">
        <f>IF($A974="","",IF(ISNUMBER(FIND("IMPVOL",P$1)),_xll.BDH(config!$G$4,P$1,WORKDAY($A974,-1,config_Holiday_Calendar_US),WORKDAY($A974,-1,config_Holiday_Calendar_US)),IF(ISNUMBER(_xll.BDH(config!$G$4,P$1,$A974,$A974)),_xll.BDH(config!$G$4,P$1,$A974,$A974),_xll.BDH(config!$G$5,P$1,$A974,$A974))))</f>
        <v/>
      </c>
      <c r="Q974" s="8" t="str">
        <f>IF($A974="","",IF(ISNUMBER(FIND("IMPVOL",Q$1)),_xll.BDH(config!$G$4,Q$1,WORKDAY($A974,-1,config_Holiday_Calendar_US),WORKDAY($A974,-1,config_Holiday_Calendar_US)),IF(ISNUMBER(_xll.BDH(config!$G$4,Q$1,$A974,$A974)),_xll.BDH(config!$G$4,Q$1,$A974,$A974),_xll.BDH(config!$G$5,Q$1,$A974,$A974))))</f>
        <v/>
      </c>
      <c r="R974" s="8" t="str">
        <f>IF($A974="","",IF(ISNUMBER(FIND("IMPVOL",R$1)),_xll.BDH(config!$G$4,R$1,WORKDAY($A974,-1,config_Holiday_Calendar_US),WORKDAY($A974,-1,config_Holiday_Calendar_US)),IF(ISNUMBER(_xll.BDH(config!$G$4,R$1,$A974,$A974)),_xll.BDH(config!$G$4,R$1,$A974,$A974),_xll.BDH(config!$G$5,R$1,$A974,$A974))))</f>
        <v/>
      </c>
      <c r="S974" s="8" t="str">
        <f>IF($A974="","",IF(ISNUMBER(FIND("IMPVOL",S$1)),_xll.BDH(config!$G$4,S$1,WORKDAY($A974,-1,config_Holiday_Calendar_US),WORKDAY($A974,-1,config_Holiday_Calendar_US)),IF(ISNUMBER(_xll.BDH(config!$G$4,S$1,$A974,$A974)),_xll.BDH(config!$G$4,S$1,$A974,$A974),_xll.BDH(config!$G$5,S$1,$A974,$A974))))</f>
        <v/>
      </c>
      <c r="T974" s="8" t="str">
        <f>IF($A974="","",IF(ISNUMBER(FIND("IMPVOL",T$1)),_xll.BDH(config!$G$4,T$1,WORKDAY($A974,-1,config_Holiday_Calendar_US),WORKDAY($A974,-1,config_Holiday_Calendar_US)),IF(ISNUMBER(_xll.BDH(config!$G$4,T$1,$A974,$A974)),_xll.BDH(config!$G$4,T$1,$A974,$A974),_xll.BDH(config!$G$5,T$1,$A974,$A974))))</f>
        <v/>
      </c>
      <c r="U974" s="8" t="str">
        <f>IF($A974="","",IF(ISNUMBER(FIND("IMPVOL",U$1)),_xll.BDH(config!$G$4,U$1,WORKDAY($A974,-1,config_Holiday_Calendar_US),WORKDAY($A974,-1,config_Holiday_Calendar_US)),IF(ISNUMBER(_xll.BDH(config!$G$4,U$1,$A974,$A974)),_xll.BDH(config!$G$4,U$1,$A974,$A974),_xll.BDH(config!$G$5,U$1,$A974,$A974))))</f>
        <v/>
      </c>
      <c r="V974" s="8" t="str">
        <f>IF($A974="","",IF(ISNUMBER(FIND("IMPVOL",V$1)),_xll.BDH(config!$G$4,V$1,WORKDAY($A974,-1,config_Holiday_Calendar_US),WORKDAY($A974,-1,config_Holiday_Calendar_US)),IF(ISNUMBER(_xll.BDH(config!$G$4,V$1,$A974,$A974)),_xll.BDH(config!$G$4,V$1,$A974,$A974),_xll.BDH(config!$G$5,V$1,$A974,$A974))))</f>
        <v/>
      </c>
      <c r="W974" s="8" t="str">
        <f>IF($A974="","",IF(ISNUMBER(FIND("IMPVOL",W$1)),_xll.BDH(config!$G$4,W$1,WORKDAY($A974,-1,config_Holiday_Calendar_US),WORKDAY($A974,-1,config_Holiday_Calendar_US)),IF(ISNUMBER(_xll.BDH(config!$G$4,W$1,$A974,$A974)),_xll.BDH(config!$G$4,W$1,$A974,$A974),_xll.BDH(config!$G$5,W$1,$A974,$A974))))</f>
        <v/>
      </c>
    </row>
    <row r="975" spans="1:23" x14ac:dyDescent="0.2">
      <c r="A975" s="9" t="str">
        <f>IF(A974="","",IF(WORKDAY(A974,-1,config_Holiday_Calendar_US)&lt;config!$I$10,"",WORKDAY(A974,-1,config_Holiday_Calendar_US)))</f>
        <v/>
      </c>
      <c r="B975" s="8" t="str">
        <f t="shared" si="15"/>
        <v/>
      </c>
      <c r="C975" s="8" t="str">
        <f>IF(A975="","",_xll.BDH(config!$H$4,C$1,$A975,$A975))</f>
        <v/>
      </c>
      <c r="D975" s="8" t="str">
        <f>IF($A975="","",_xll.BDH(config!$H$4,D$1,$A975,$A975))</f>
        <v/>
      </c>
      <c r="E975" s="8" t="str">
        <f>IF($A975="","",IF(ISNUMBER(FIND("IMPVOL",E$1)),_xll.BDH(config!$G$4,E$1,WORKDAY($A975,-1,config_Holiday_Calendar_US),WORKDAY($A975,-1,config_Holiday_Calendar_US)),IF(ISNUMBER(_xll.BDH(config!$G$4,E$1,$A975,$A975)),_xll.BDH(config!$G$4,E$1,$A975,$A975),_xll.BDH(config!$G$5,E$1,$A975,$A975))))</f>
        <v/>
      </c>
      <c r="F975" s="8" t="str">
        <f>IF($A975="","",IF(ISNUMBER(FIND("IMPVOL",F$1)),_xll.BDH(config!$G$4,F$1,WORKDAY($A975,-1,config_Holiday_Calendar_US),WORKDAY($A975,-1,config_Holiday_Calendar_US)),IF(ISNUMBER(_xll.BDH(config!$G$4,F$1,$A975,$A975)),_xll.BDH(config!$G$4,F$1,$A975,$A975),_xll.BDH(config!$G$5,F$1,$A975,$A975))))</f>
        <v/>
      </c>
      <c r="G975" s="8" t="str">
        <f>IF($A975="","",IF(ISNUMBER(FIND("IMPVOL",G$1)),_xll.BDH(config!$G$4,G$1,WORKDAY($A975,-1,config_Holiday_Calendar_US),WORKDAY($A975,-1,config_Holiday_Calendar_US)),IF(ISNUMBER(_xll.BDH(config!$G$4,G$1,$A975,$A975)),_xll.BDH(config!$G$4,G$1,$A975,$A975),_xll.BDH(config!$G$5,G$1,$A975,$A975))))</f>
        <v/>
      </c>
      <c r="H975" s="8" t="str">
        <f>IF($A975="","",IF(ISNUMBER(FIND("IMPVOL",H$1)),_xll.BDH(config!$G$4,H$1,WORKDAY($A975,-1,config_Holiday_Calendar_US),WORKDAY($A975,-1,config_Holiday_Calendar_US)),IF(ISNUMBER(_xll.BDH(config!$G$4,H$1,$A975,$A975)),_xll.BDH(config!$G$4,H$1,$A975,$A975),_xll.BDH(config!$G$5,H$1,$A975,$A975))))</f>
        <v/>
      </c>
      <c r="I975" s="8" t="str">
        <f>IF($A975="","",IF(ISNUMBER(FIND("IMPVOL",I$1)),_xll.BDH(config!$G$4,I$1,WORKDAY($A975,-1,config_Holiday_Calendar_US),WORKDAY($A975,-1,config_Holiday_Calendar_US)),IF(ISNUMBER(_xll.BDH(config!$G$4,I$1,$A975,$A975)),_xll.BDH(config!$G$4,I$1,$A975,$A975),_xll.BDH(config!$G$5,I$1,$A975,$A975))))</f>
        <v/>
      </c>
      <c r="J975" s="8" t="str">
        <f>IF($A975="","",IF(ISNUMBER(FIND("IMPVOL",J$1)),_xll.BDH(config!$G$4,J$1,WORKDAY($A975,-1,config_Holiday_Calendar_US),WORKDAY($A975,-1,config_Holiday_Calendar_US)),IF(ISNUMBER(_xll.BDH(config!$G$4,J$1,$A975,$A975)),_xll.BDH(config!$G$4,J$1,$A975,$A975),_xll.BDH(config!$G$5,J$1,$A975,$A975))))</f>
        <v/>
      </c>
      <c r="K975" s="8" t="str">
        <f>IF($A975="","",IF(ISNUMBER(FIND("IMPVOL",K$1)),_xll.BDH(config!$G$4,K$1,WORKDAY($A975,-1,config_Holiday_Calendar_US),WORKDAY($A975,-1,config_Holiday_Calendar_US)),IF(ISNUMBER(_xll.BDH(config!$G$4,K$1,$A975,$A975)),_xll.BDH(config!$G$4,K$1,$A975,$A975),_xll.BDH(config!$G$5,K$1,$A975,$A975))))</f>
        <v/>
      </c>
      <c r="L975" s="8" t="str">
        <f>IF($A975="","",IF(ISNUMBER(FIND("IMPVOL",L$1)),_xll.BDH(config!$G$4,L$1,WORKDAY($A975,-1,config_Holiday_Calendar_US),WORKDAY($A975,-1,config_Holiday_Calendar_US)),IF(ISNUMBER(_xll.BDH(config!$G$4,L$1,$A975,$A975)),_xll.BDH(config!$G$4,L$1,$A975,$A975),_xll.BDH(config!$G$5,L$1,$A975,$A975))))</f>
        <v/>
      </c>
      <c r="M975" s="8" t="str">
        <f>IF($A975="","",IF(ISNUMBER(FIND("IMPVOL",M$1)),_xll.BDH(config!$G$4,M$1,WORKDAY($A975,-1,config_Holiday_Calendar_US),WORKDAY($A975,-1,config_Holiday_Calendar_US)),IF(ISNUMBER(_xll.BDH(config!$G$4,M$1,$A975,$A975)),_xll.BDH(config!$G$4,M$1,$A975,$A975),_xll.BDH(config!$G$5,M$1,$A975,$A975))))</f>
        <v/>
      </c>
      <c r="N975" s="8" t="str">
        <f>IF($A975="","",IF(ISNUMBER(FIND("IMPVOL",N$1)),_xll.BDH(config!$G$4,N$1,WORKDAY($A975,-1,config_Holiday_Calendar_US),WORKDAY($A975,-1,config_Holiday_Calendar_US)),IF(ISNUMBER(_xll.BDH(config!$G$4,N$1,$A975,$A975)),_xll.BDH(config!$G$4,N$1,$A975,$A975),_xll.BDH(config!$G$5,N$1,$A975,$A975))))</f>
        <v/>
      </c>
      <c r="O975" s="8" t="str">
        <f>IF($A975="","",IF(ISNUMBER(FIND("IMPVOL",O$1)),_xll.BDH(config!$G$4,O$1,WORKDAY($A975,-1,config_Holiday_Calendar_US),WORKDAY($A975,-1,config_Holiday_Calendar_US)),IF(ISNUMBER(_xll.BDH(config!$G$4,O$1,$A975,$A975)),_xll.BDH(config!$G$4,O$1,$A975,$A975),_xll.BDH(config!$G$5,O$1,$A975,$A975))))</f>
        <v/>
      </c>
      <c r="P975" s="8" t="str">
        <f>IF($A975="","",IF(ISNUMBER(FIND("IMPVOL",P$1)),_xll.BDH(config!$G$4,P$1,WORKDAY($A975,-1,config_Holiday_Calendar_US),WORKDAY($A975,-1,config_Holiday_Calendar_US)),IF(ISNUMBER(_xll.BDH(config!$G$4,P$1,$A975,$A975)),_xll.BDH(config!$G$4,P$1,$A975,$A975),_xll.BDH(config!$G$5,P$1,$A975,$A975))))</f>
        <v/>
      </c>
      <c r="Q975" s="8" t="str">
        <f>IF($A975="","",IF(ISNUMBER(FIND("IMPVOL",Q$1)),_xll.BDH(config!$G$4,Q$1,WORKDAY($A975,-1,config_Holiday_Calendar_US),WORKDAY($A975,-1,config_Holiday_Calendar_US)),IF(ISNUMBER(_xll.BDH(config!$G$4,Q$1,$A975,$A975)),_xll.BDH(config!$G$4,Q$1,$A975,$A975),_xll.BDH(config!$G$5,Q$1,$A975,$A975))))</f>
        <v/>
      </c>
      <c r="R975" s="8" t="str">
        <f>IF($A975="","",IF(ISNUMBER(FIND("IMPVOL",R$1)),_xll.BDH(config!$G$4,R$1,WORKDAY($A975,-1,config_Holiday_Calendar_US),WORKDAY($A975,-1,config_Holiday_Calendar_US)),IF(ISNUMBER(_xll.BDH(config!$G$4,R$1,$A975,$A975)),_xll.BDH(config!$G$4,R$1,$A975,$A975),_xll.BDH(config!$G$5,R$1,$A975,$A975))))</f>
        <v/>
      </c>
      <c r="S975" s="8" t="str">
        <f>IF($A975="","",IF(ISNUMBER(FIND("IMPVOL",S$1)),_xll.BDH(config!$G$4,S$1,WORKDAY($A975,-1,config_Holiday_Calendar_US),WORKDAY($A975,-1,config_Holiday_Calendar_US)),IF(ISNUMBER(_xll.BDH(config!$G$4,S$1,$A975,$A975)),_xll.BDH(config!$G$4,S$1,$A975,$A975),_xll.BDH(config!$G$5,S$1,$A975,$A975))))</f>
        <v/>
      </c>
      <c r="T975" s="8" t="str">
        <f>IF($A975="","",IF(ISNUMBER(FIND("IMPVOL",T$1)),_xll.BDH(config!$G$4,T$1,WORKDAY($A975,-1,config_Holiday_Calendar_US),WORKDAY($A975,-1,config_Holiday_Calendar_US)),IF(ISNUMBER(_xll.BDH(config!$G$4,T$1,$A975,$A975)),_xll.BDH(config!$G$4,T$1,$A975,$A975),_xll.BDH(config!$G$5,T$1,$A975,$A975))))</f>
        <v/>
      </c>
      <c r="U975" s="8" t="str">
        <f>IF($A975="","",IF(ISNUMBER(FIND("IMPVOL",U$1)),_xll.BDH(config!$G$4,U$1,WORKDAY($A975,-1,config_Holiday_Calendar_US),WORKDAY($A975,-1,config_Holiday_Calendar_US)),IF(ISNUMBER(_xll.BDH(config!$G$4,U$1,$A975,$A975)),_xll.BDH(config!$G$4,U$1,$A975,$A975),_xll.BDH(config!$G$5,U$1,$A975,$A975))))</f>
        <v/>
      </c>
      <c r="V975" s="8" t="str">
        <f>IF($A975="","",IF(ISNUMBER(FIND("IMPVOL",V$1)),_xll.BDH(config!$G$4,V$1,WORKDAY($A975,-1,config_Holiday_Calendar_US),WORKDAY($A975,-1,config_Holiday_Calendar_US)),IF(ISNUMBER(_xll.BDH(config!$G$4,V$1,$A975,$A975)),_xll.BDH(config!$G$4,V$1,$A975,$A975),_xll.BDH(config!$G$5,V$1,$A975,$A975))))</f>
        <v/>
      </c>
      <c r="W975" s="8" t="str">
        <f>IF($A975="","",IF(ISNUMBER(FIND("IMPVOL",W$1)),_xll.BDH(config!$G$4,W$1,WORKDAY($A975,-1,config_Holiday_Calendar_US),WORKDAY($A975,-1,config_Holiday_Calendar_US)),IF(ISNUMBER(_xll.BDH(config!$G$4,W$1,$A975,$A975)),_xll.BDH(config!$G$4,W$1,$A975,$A975),_xll.BDH(config!$G$5,W$1,$A975,$A975))))</f>
        <v/>
      </c>
    </row>
    <row r="976" spans="1:23" x14ac:dyDescent="0.2">
      <c r="A976" s="9" t="str">
        <f>IF(A975="","",IF(WORKDAY(A975,-1,config_Holiday_Calendar_US)&lt;config!$I$10,"",WORKDAY(A975,-1,config_Holiday_Calendar_US)))</f>
        <v/>
      </c>
      <c r="B976" s="8" t="str">
        <f t="shared" si="15"/>
        <v/>
      </c>
      <c r="C976" s="8" t="str">
        <f>IF(A976="","",_xll.BDH(config!$H$4,C$1,$A976,$A976))</f>
        <v/>
      </c>
      <c r="D976" s="8" t="str">
        <f>IF($A976="","",_xll.BDH(config!$H$4,D$1,$A976,$A976))</f>
        <v/>
      </c>
      <c r="E976" s="8" t="str">
        <f>IF($A976="","",IF(ISNUMBER(FIND("IMPVOL",E$1)),_xll.BDH(config!$G$4,E$1,WORKDAY($A976,-1,config_Holiday_Calendar_US),WORKDAY($A976,-1,config_Holiday_Calendar_US)),IF(ISNUMBER(_xll.BDH(config!$G$4,E$1,$A976,$A976)),_xll.BDH(config!$G$4,E$1,$A976,$A976),_xll.BDH(config!$G$5,E$1,$A976,$A976))))</f>
        <v/>
      </c>
      <c r="F976" s="8" t="str">
        <f>IF($A976="","",IF(ISNUMBER(FIND("IMPVOL",F$1)),_xll.BDH(config!$G$4,F$1,WORKDAY($A976,-1,config_Holiday_Calendar_US),WORKDAY($A976,-1,config_Holiday_Calendar_US)),IF(ISNUMBER(_xll.BDH(config!$G$4,F$1,$A976,$A976)),_xll.BDH(config!$G$4,F$1,$A976,$A976),_xll.BDH(config!$G$5,F$1,$A976,$A976))))</f>
        <v/>
      </c>
      <c r="G976" s="8" t="str">
        <f>IF($A976="","",IF(ISNUMBER(FIND("IMPVOL",G$1)),_xll.BDH(config!$G$4,G$1,WORKDAY($A976,-1,config_Holiday_Calendar_US),WORKDAY($A976,-1,config_Holiday_Calendar_US)),IF(ISNUMBER(_xll.BDH(config!$G$4,G$1,$A976,$A976)),_xll.BDH(config!$G$4,G$1,$A976,$A976),_xll.BDH(config!$G$5,G$1,$A976,$A976))))</f>
        <v/>
      </c>
      <c r="H976" s="8" t="str">
        <f>IF($A976="","",IF(ISNUMBER(FIND("IMPVOL",H$1)),_xll.BDH(config!$G$4,H$1,WORKDAY($A976,-1,config_Holiday_Calendar_US),WORKDAY($A976,-1,config_Holiday_Calendar_US)),IF(ISNUMBER(_xll.BDH(config!$G$4,H$1,$A976,$A976)),_xll.BDH(config!$G$4,H$1,$A976,$A976),_xll.BDH(config!$G$5,H$1,$A976,$A976))))</f>
        <v/>
      </c>
      <c r="I976" s="8" t="str">
        <f>IF($A976="","",IF(ISNUMBER(FIND("IMPVOL",I$1)),_xll.BDH(config!$G$4,I$1,WORKDAY($A976,-1,config_Holiday_Calendar_US),WORKDAY($A976,-1,config_Holiday_Calendar_US)),IF(ISNUMBER(_xll.BDH(config!$G$4,I$1,$A976,$A976)),_xll.BDH(config!$G$4,I$1,$A976,$A976),_xll.BDH(config!$G$5,I$1,$A976,$A976))))</f>
        <v/>
      </c>
      <c r="J976" s="8" t="str">
        <f>IF($A976="","",IF(ISNUMBER(FIND("IMPVOL",J$1)),_xll.BDH(config!$G$4,J$1,WORKDAY($A976,-1,config_Holiday_Calendar_US),WORKDAY($A976,-1,config_Holiday_Calendar_US)),IF(ISNUMBER(_xll.BDH(config!$G$4,J$1,$A976,$A976)),_xll.BDH(config!$G$4,J$1,$A976,$A976),_xll.BDH(config!$G$5,J$1,$A976,$A976))))</f>
        <v/>
      </c>
      <c r="K976" s="8" t="str">
        <f>IF($A976="","",IF(ISNUMBER(FIND("IMPVOL",K$1)),_xll.BDH(config!$G$4,K$1,WORKDAY($A976,-1,config_Holiday_Calendar_US),WORKDAY($A976,-1,config_Holiday_Calendar_US)),IF(ISNUMBER(_xll.BDH(config!$G$4,K$1,$A976,$A976)),_xll.BDH(config!$G$4,K$1,$A976,$A976),_xll.BDH(config!$G$5,K$1,$A976,$A976))))</f>
        <v/>
      </c>
      <c r="L976" s="8" t="str">
        <f>IF($A976="","",IF(ISNUMBER(FIND("IMPVOL",L$1)),_xll.BDH(config!$G$4,L$1,WORKDAY($A976,-1,config_Holiday_Calendar_US),WORKDAY($A976,-1,config_Holiday_Calendar_US)),IF(ISNUMBER(_xll.BDH(config!$G$4,L$1,$A976,$A976)),_xll.BDH(config!$G$4,L$1,$A976,$A976),_xll.BDH(config!$G$5,L$1,$A976,$A976))))</f>
        <v/>
      </c>
      <c r="M976" s="8" t="str">
        <f>IF($A976="","",IF(ISNUMBER(FIND("IMPVOL",M$1)),_xll.BDH(config!$G$4,M$1,WORKDAY($A976,-1,config_Holiday_Calendar_US),WORKDAY($A976,-1,config_Holiday_Calendar_US)),IF(ISNUMBER(_xll.BDH(config!$G$4,M$1,$A976,$A976)),_xll.BDH(config!$G$4,M$1,$A976,$A976),_xll.BDH(config!$G$5,M$1,$A976,$A976))))</f>
        <v/>
      </c>
      <c r="N976" s="8" t="str">
        <f>IF($A976="","",IF(ISNUMBER(FIND("IMPVOL",N$1)),_xll.BDH(config!$G$4,N$1,WORKDAY($A976,-1,config_Holiday_Calendar_US),WORKDAY($A976,-1,config_Holiday_Calendar_US)),IF(ISNUMBER(_xll.BDH(config!$G$4,N$1,$A976,$A976)),_xll.BDH(config!$G$4,N$1,$A976,$A976),_xll.BDH(config!$G$5,N$1,$A976,$A976))))</f>
        <v/>
      </c>
      <c r="O976" s="8" t="str">
        <f>IF($A976="","",IF(ISNUMBER(FIND("IMPVOL",O$1)),_xll.BDH(config!$G$4,O$1,WORKDAY($A976,-1,config_Holiday_Calendar_US),WORKDAY($A976,-1,config_Holiday_Calendar_US)),IF(ISNUMBER(_xll.BDH(config!$G$4,O$1,$A976,$A976)),_xll.BDH(config!$G$4,O$1,$A976,$A976),_xll.BDH(config!$G$5,O$1,$A976,$A976))))</f>
        <v/>
      </c>
      <c r="P976" s="8" t="str">
        <f>IF($A976="","",IF(ISNUMBER(FIND("IMPVOL",P$1)),_xll.BDH(config!$G$4,P$1,WORKDAY($A976,-1,config_Holiday_Calendar_US),WORKDAY($A976,-1,config_Holiday_Calendar_US)),IF(ISNUMBER(_xll.BDH(config!$G$4,P$1,$A976,$A976)),_xll.BDH(config!$G$4,P$1,$A976,$A976),_xll.BDH(config!$G$5,P$1,$A976,$A976))))</f>
        <v/>
      </c>
      <c r="Q976" s="8" t="str">
        <f>IF($A976="","",IF(ISNUMBER(FIND("IMPVOL",Q$1)),_xll.BDH(config!$G$4,Q$1,WORKDAY($A976,-1,config_Holiday_Calendar_US),WORKDAY($A976,-1,config_Holiday_Calendar_US)),IF(ISNUMBER(_xll.BDH(config!$G$4,Q$1,$A976,$A976)),_xll.BDH(config!$G$4,Q$1,$A976,$A976),_xll.BDH(config!$G$5,Q$1,$A976,$A976))))</f>
        <v/>
      </c>
      <c r="R976" s="8" t="str">
        <f>IF($A976="","",IF(ISNUMBER(FIND("IMPVOL",R$1)),_xll.BDH(config!$G$4,R$1,WORKDAY($A976,-1,config_Holiday_Calendar_US),WORKDAY($A976,-1,config_Holiday_Calendar_US)),IF(ISNUMBER(_xll.BDH(config!$G$4,R$1,$A976,$A976)),_xll.BDH(config!$G$4,R$1,$A976,$A976),_xll.BDH(config!$G$5,R$1,$A976,$A976))))</f>
        <v/>
      </c>
      <c r="S976" s="8" t="str">
        <f>IF($A976="","",IF(ISNUMBER(FIND("IMPVOL",S$1)),_xll.BDH(config!$G$4,S$1,WORKDAY($A976,-1,config_Holiday_Calendar_US),WORKDAY($A976,-1,config_Holiday_Calendar_US)),IF(ISNUMBER(_xll.BDH(config!$G$4,S$1,$A976,$A976)),_xll.BDH(config!$G$4,S$1,$A976,$A976),_xll.BDH(config!$G$5,S$1,$A976,$A976))))</f>
        <v/>
      </c>
      <c r="T976" s="8" t="str">
        <f>IF($A976="","",IF(ISNUMBER(FIND("IMPVOL",T$1)),_xll.BDH(config!$G$4,T$1,WORKDAY($A976,-1,config_Holiday_Calendar_US),WORKDAY($A976,-1,config_Holiday_Calendar_US)),IF(ISNUMBER(_xll.BDH(config!$G$4,T$1,$A976,$A976)),_xll.BDH(config!$G$4,T$1,$A976,$A976),_xll.BDH(config!$G$5,T$1,$A976,$A976))))</f>
        <v/>
      </c>
      <c r="U976" s="8" t="str">
        <f>IF($A976="","",IF(ISNUMBER(FIND("IMPVOL",U$1)),_xll.BDH(config!$G$4,U$1,WORKDAY($A976,-1,config_Holiday_Calendar_US),WORKDAY($A976,-1,config_Holiday_Calendar_US)),IF(ISNUMBER(_xll.BDH(config!$G$4,U$1,$A976,$A976)),_xll.BDH(config!$G$4,U$1,$A976,$A976),_xll.BDH(config!$G$5,U$1,$A976,$A976))))</f>
        <v/>
      </c>
      <c r="V976" s="8" t="str">
        <f>IF($A976="","",IF(ISNUMBER(FIND("IMPVOL",V$1)),_xll.BDH(config!$G$4,V$1,WORKDAY($A976,-1,config_Holiday_Calendar_US),WORKDAY($A976,-1,config_Holiday_Calendar_US)),IF(ISNUMBER(_xll.BDH(config!$G$4,V$1,$A976,$A976)),_xll.BDH(config!$G$4,V$1,$A976,$A976),_xll.BDH(config!$G$5,V$1,$A976,$A976))))</f>
        <v/>
      </c>
      <c r="W976" s="8" t="str">
        <f>IF($A976="","",IF(ISNUMBER(FIND("IMPVOL",W$1)),_xll.BDH(config!$G$4,W$1,WORKDAY($A976,-1,config_Holiday_Calendar_US),WORKDAY($A976,-1,config_Holiday_Calendar_US)),IF(ISNUMBER(_xll.BDH(config!$G$4,W$1,$A976,$A976)),_xll.BDH(config!$G$4,W$1,$A976,$A976),_xll.BDH(config!$G$5,W$1,$A976,$A976))))</f>
        <v/>
      </c>
    </row>
    <row r="977" spans="1:23" x14ac:dyDescent="0.2">
      <c r="A977" s="9" t="str">
        <f>IF(A976="","",IF(WORKDAY(A976,-1,config_Holiday_Calendar_US)&lt;config!$I$10,"",WORKDAY(A976,-1,config_Holiday_Calendar_US)))</f>
        <v/>
      </c>
      <c r="B977" s="8" t="str">
        <f t="shared" si="15"/>
        <v/>
      </c>
      <c r="C977" s="8" t="str">
        <f>IF(A977="","",_xll.BDH(config!$H$4,C$1,$A977,$A977))</f>
        <v/>
      </c>
      <c r="D977" s="8" t="str">
        <f>IF($A977="","",_xll.BDH(config!$H$4,D$1,$A977,$A977))</f>
        <v/>
      </c>
      <c r="E977" s="8" t="str">
        <f>IF($A977="","",IF(ISNUMBER(FIND("IMPVOL",E$1)),_xll.BDH(config!$G$4,E$1,WORKDAY($A977,-1,config_Holiday_Calendar_US),WORKDAY($A977,-1,config_Holiday_Calendar_US)),IF(ISNUMBER(_xll.BDH(config!$G$4,E$1,$A977,$A977)),_xll.BDH(config!$G$4,E$1,$A977,$A977),_xll.BDH(config!$G$5,E$1,$A977,$A977))))</f>
        <v/>
      </c>
      <c r="F977" s="8" t="str">
        <f>IF($A977="","",IF(ISNUMBER(FIND("IMPVOL",F$1)),_xll.BDH(config!$G$4,F$1,WORKDAY($A977,-1,config_Holiday_Calendar_US),WORKDAY($A977,-1,config_Holiday_Calendar_US)),IF(ISNUMBER(_xll.BDH(config!$G$4,F$1,$A977,$A977)),_xll.BDH(config!$G$4,F$1,$A977,$A977),_xll.BDH(config!$G$5,F$1,$A977,$A977))))</f>
        <v/>
      </c>
      <c r="G977" s="8" t="str">
        <f>IF($A977="","",IF(ISNUMBER(FIND("IMPVOL",G$1)),_xll.BDH(config!$G$4,G$1,WORKDAY($A977,-1,config_Holiday_Calendar_US),WORKDAY($A977,-1,config_Holiday_Calendar_US)),IF(ISNUMBER(_xll.BDH(config!$G$4,G$1,$A977,$A977)),_xll.BDH(config!$G$4,G$1,$A977,$A977),_xll.BDH(config!$G$5,G$1,$A977,$A977))))</f>
        <v/>
      </c>
      <c r="H977" s="8" t="str">
        <f>IF($A977="","",IF(ISNUMBER(FIND("IMPVOL",H$1)),_xll.BDH(config!$G$4,H$1,WORKDAY($A977,-1,config_Holiday_Calendar_US),WORKDAY($A977,-1,config_Holiday_Calendar_US)),IF(ISNUMBER(_xll.BDH(config!$G$4,H$1,$A977,$A977)),_xll.BDH(config!$G$4,H$1,$A977,$A977),_xll.BDH(config!$G$5,H$1,$A977,$A977))))</f>
        <v/>
      </c>
      <c r="I977" s="8" t="str">
        <f>IF($A977="","",IF(ISNUMBER(FIND("IMPVOL",I$1)),_xll.BDH(config!$G$4,I$1,WORKDAY($A977,-1,config_Holiday_Calendar_US),WORKDAY($A977,-1,config_Holiday_Calendar_US)),IF(ISNUMBER(_xll.BDH(config!$G$4,I$1,$A977,$A977)),_xll.BDH(config!$G$4,I$1,$A977,$A977),_xll.BDH(config!$G$5,I$1,$A977,$A977))))</f>
        <v/>
      </c>
      <c r="J977" s="8" t="str">
        <f>IF($A977="","",IF(ISNUMBER(FIND("IMPVOL",J$1)),_xll.BDH(config!$G$4,J$1,WORKDAY($A977,-1,config_Holiday_Calendar_US),WORKDAY($A977,-1,config_Holiday_Calendar_US)),IF(ISNUMBER(_xll.BDH(config!$G$4,J$1,$A977,$A977)),_xll.BDH(config!$G$4,J$1,$A977,$A977),_xll.BDH(config!$G$5,J$1,$A977,$A977))))</f>
        <v/>
      </c>
      <c r="K977" s="8" t="str">
        <f>IF($A977="","",IF(ISNUMBER(FIND("IMPVOL",K$1)),_xll.BDH(config!$G$4,K$1,WORKDAY($A977,-1,config_Holiday_Calendar_US),WORKDAY($A977,-1,config_Holiday_Calendar_US)),IF(ISNUMBER(_xll.BDH(config!$G$4,K$1,$A977,$A977)),_xll.BDH(config!$G$4,K$1,$A977,$A977),_xll.BDH(config!$G$5,K$1,$A977,$A977))))</f>
        <v/>
      </c>
      <c r="L977" s="8" t="str">
        <f>IF($A977="","",IF(ISNUMBER(FIND("IMPVOL",L$1)),_xll.BDH(config!$G$4,L$1,WORKDAY($A977,-1,config_Holiday_Calendar_US),WORKDAY($A977,-1,config_Holiday_Calendar_US)),IF(ISNUMBER(_xll.BDH(config!$G$4,L$1,$A977,$A977)),_xll.BDH(config!$G$4,L$1,$A977,$A977),_xll.BDH(config!$G$5,L$1,$A977,$A977))))</f>
        <v/>
      </c>
      <c r="M977" s="8" t="str">
        <f>IF($A977="","",IF(ISNUMBER(FIND("IMPVOL",M$1)),_xll.BDH(config!$G$4,M$1,WORKDAY($A977,-1,config_Holiday_Calendar_US),WORKDAY($A977,-1,config_Holiday_Calendar_US)),IF(ISNUMBER(_xll.BDH(config!$G$4,M$1,$A977,$A977)),_xll.BDH(config!$G$4,M$1,$A977,$A977),_xll.BDH(config!$G$5,M$1,$A977,$A977))))</f>
        <v/>
      </c>
      <c r="N977" s="8" t="str">
        <f>IF($A977="","",IF(ISNUMBER(FIND("IMPVOL",N$1)),_xll.BDH(config!$G$4,N$1,WORKDAY($A977,-1,config_Holiday_Calendar_US),WORKDAY($A977,-1,config_Holiday_Calendar_US)),IF(ISNUMBER(_xll.BDH(config!$G$4,N$1,$A977,$A977)),_xll.BDH(config!$G$4,N$1,$A977,$A977),_xll.BDH(config!$G$5,N$1,$A977,$A977))))</f>
        <v/>
      </c>
      <c r="O977" s="8" t="str">
        <f>IF($A977="","",IF(ISNUMBER(FIND("IMPVOL",O$1)),_xll.BDH(config!$G$4,O$1,WORKDAY($A977,-1,config_Holiday_Calendar_US),WORKDAY($A977,-1,config_Holiday_Calendar_US)),IF(ISNUMBER(_xll.BDH(config!$G$4,O$1,$A977,$A977)),_xll.BDH(config!$G$4,O$1,$A977,$A977),_xll.BDH(config!$G$5,O$1,$A977,$A977))))</f>
        <v/>
      </c>
      <c r="P977" s="8" t="str">
        <f>IF($A977="","",IF(ISNUMBER(FIND("IMPVOL",P$1)),_xll.BDH(config!$G$4,P$1,WORKDAY($A977,-1,config_Holiday_Calendar_US),WORKDAY($A977,-1,config_Holiday_Calendar_US)),IF(ISNUMBER(_xll.BDH(config!$G$4,P$1,$A977,$A977)),_xll.BDH(config!$G$4,P$1,$A977,$A977),_xll.BDH(config!$G$5,P$1,$A977,$A977))))</f>
        <v/>
      </c>
      <c r="Q977" s="8" t="str">
        <f>IF($A977="","",IF(ISNUMBER(FIND("IMPVOL",Q$1)),_xll.BDH(config!$G$4,Q$1,WORKDAY($A977,-1,config_Holiday_Calendar_US),WORKDAY($A977,-1,config_Holiday_Calendar_US)),IF(ISNUMBER(_xll.BDH(config!$G$4,Q$1,$A977,$A977)),_xll.BDH(config!$G$4,Q$1,$A977,$A977),_xll.BDH(config!$G$5,Q$1,$A977,$A977))))</f>
        <v/>
      </c>
      <c r="R977" s="8" t="str">
        <f>IF($A977="","",IF(ISNUMBER(FIND("IMPVOL",R$1)),_xll.BDH(config!$G$4,R$1,WORKDAY($A977,-1,config_Holiday_Calendar_US),WORKDAY($A977,-1,config_Holiday_Calendar_US)),IF(ISNUMBER(_xll.BDH(config!$G$4,R$1,$A977,$A977)),_xll.BDH(config!$G$4,R$1,$A977,$A977),_xll.BDH(config!$G$5,R$1,$A977,$A977))))</f>
        <v/>
      </c>
      <c r="S977" s="8" t="str">
        <f>IF($A977="","",IF(ISNUMBER(FIND("IMPVOL",S$1)),_xll.BDH(config!$G$4,S$1,WORKDAY($A977,-1,config_Holiday_Calendar_US),WORKDAY($A977,-1,config_Holiday_Calendar_US)),IF(ISNUMBER(_xll.BDH(config!$G$4,S$1,$A977,$A977)),_xll.BDH(config!$G$4,S$1,$A977,$A977),_xll.BDH(config!$G$5,S$1,$A977,$A977))))</f>
        <v/>
      </c>
      <c r="T977" s="8" t="str">
        <f>IF($A977="","",IF(ISNUMBER(FIND("IMPVOL",T$1)),_xll.BDH(config!$G$4,T$1,WORKDAY($A977,-1,config_Holiday_Calendar_US),WORKDAY($A977,-1,config_Holiday_Calendar_US)),IF(ISNUMBER(_xll.BDH(config!$G$4,T$1,$A977,$A977)),_xll.BDH(config!$G$4,T$1,$A977,$A977),_xll.BDH(config!$G$5,T$1,$A977,$A977))))</f>
        <v/>
      </c>
      <c r="U977" s="8" t="str">
        <f>IF($A977="","",IF(ISNUMBER(FIND("IMPVOL",U$1)),_xll.BDH(config!$G$4,U$1,WORKDAY($A977,-1,config_Holiday_Calendar_US),WORKDAY($A977,-1,config_Holiday_Calendar_US)),IF(ISNUMBER(_xll.BDH(config!$G$4,U$1,$A977,$A977)),_xll.BDH(config!$G$4,U$1,$A977,$A977),_xll.BDH(config!$G$5,U$1,$A977,$A977))))</f>
        <v/>
      </c>
      <c r="V977" s="8" t="str">
        <f>IF($A977="","",IF(ISNUMBER(FIND("IMPVOL",V$1)),_xll.BDH(config!$G$4,V$1,WORKDAY($A977,-1,config_Holiday_Calendar_US),WORKDAY($A977,-1,config_Holiday_Calendar_US)),IF(ISNUMBER(_xll.BDH(config!$G$4,V$1,$A977,$A977)),_xll.BDH(config!$G$4,V$1,$A977,$A977),_xll.BDH(config!$G$5,V$1,$A977,$A977))))</f>
        <v/>
      </c>
      <c r="W977" s="8" t="str">
        <f>IF($A977="","",IF(ISNUMBER(FIND("IMPVOL",W$1)),_xll.BDH(config!$G$4,W$1,WORKDAY($A977,-1,config_Holiday_Calendar_US),WORKDAY($A977,-1,config_Holiday_Calendar_US)),IF(ISNUMBER(_xll.BDH(config!$G$4,W$1,$A977,$A977)),_xll.BDH(config!$G$4,W$1,$A977,$A977),_xll.BDH(config!$G$5,W$1,$A977,$A977))))</f>
        <v/>
      </c>
    </row>
    <row r="978" spans="1:23" x14ac:dyDescent="0.2">
      <c r="A978" s="9" t="str">
        <f>IF(A977="","",IF(WORKDAY(A977,-1,config_Holiday_Calendar_US)&lt;config!$I$10,"",WORKDAY(A977,-1,config_Holiday_Calendar_US)))</f>
        <v/>
      </c>
      <c r="B978" s="8" t="str">
        <f t="shared" si="15"/>
        <v/>
      </c>
      <c r="C978" s="8" t="str">
        <f>IF(A978="","",_xll.BDH(config!$H$4,C$1,$A978,$A978))</f>
        <v/>
      </c>
      <c r="D978" s="8" t="str">
        <f>IF($A978="","",_xll.BDH(config!$H$4,D$1,$A978,$A978))</f>
        <v/>
      </c>
      <c r="E978" s="8" t="str">
        <f>IF($A978="","",IF(ISNUMBER(FIND("IMPVOL",E$1)),_xll.BDH(config!$G$4,E$1,WORKDAY($A978,-1,config_Holiday_Calendar_US),WORKDAY($A978,-1,config_Holiday_Calendar_US)),IF(ISNUMBER(_xll.BDH(config!$G$4,E$1,$A978,$A978)),_xll.BDH(config!$G$4,E$1,$A978,$A978),_xll.BDH(config!$G$5,E$1,$A978,$A978))))</f>
        <v/>
      </c>
      <c r="F978" s="8" t="str">
        <f>IF($A978="","",IF(ISNUMBER(FIND("IMPVOL",F$1)),_xll.BDH(config!$G$4,F$1,WORKDAY($A978,-1,config_Holiday_Calendar_US),WORKDAY($A978,-1,config_Holiday_Calendar_US)),IF(ISNUMBER(_xll.BDH(config!$G$4,F$1,$A978,$A978)),_xll.BDH(config!$G$4,F$1,$A978,$A978),_xll.BDH(config!$G$5,F$1,$A978,$A978))))</f>
        <v/>
      </c>
      <c r="G978" s="8" t="str">
        <f>IF($A978="","",IF(ISNUMBER(FIND("IMPVOL",G$1)),_xll.BDH(config!$G$4,G$1,WORKDAY($A978,-1,config_Holiday_Calendar_US),WORKDAY($A978,-1,config_Holiday_Calendar_US)),IF(ISNUMBER(_xll.BDH(config!$G$4,G$1,$A978,$A978)),_xll.BDH(config!$G$4,G$1,$A978,$A978),_xll.BDH(config!$G$5,G$1,$A978,$A978))))</f>
        <v/>
      </c>
      <c r="H978" s="8" t="str">
        <f>IF($A978="","",IF(ISNUMBER(FIND("IMPVOL",H$1)),_xll.BDH(config!$G$4,H$1,WORKDAY($A978,-1,config_Holiday_Calendar_US),WORKDAY($A978,-1,config_Holiday_Calendar_US)),IF(ISNUMBER(_xll.BDH(config!$G$4,H$1,$A978,$A978)),_xll.BDH(config!$G$4,H$1,$A978,$A978),_xll.BDH(config!$G$5,H$1,$A978,$A978))))</f>
        <v/>
      </c>
      <c r="I978" s="8" t="str">
        <f>IF($A978="","",IF(ISNUMBER(FIND("IMPVOL",I$1)),_xll.BDH(config!$G$4,I$1,WORKDAY($A978,-1,config_Holiday_Calendar_US),WORKDAY($A978,-1,config_Holiday_Calendar_US)),IF(ISNUMBER(_xll.BDH(config!$G$4,I$1,$A978,$A978)),_xll.BDH(config!$G$4,I$1,$A978,$A978),_xll.BDH(config!$G$5,I$1,$A978,$A978))))</f>
        <v/>
      </c>
      <c r="J978" s="8" t="str">
        <f>IF($A978="","",IF(ISNUMBER(FIND("IMPVOL",J$1)),_xll.BDH(config!$G$4,J$1,WORKDAY($A978,-1,config_Holiday_Calendar_US),WORKDAY($A978,-1,config_Holiday_Calendar_US)),IF(ISNUMBER(_xll.BDH(config!$G$4,J$1,$A978,$A978)),_xll.BDH(config!$G$4,J$1,$A978,$A978),_xll.BDH(config!$G$5,J$1,$A978,$A978))))</f>
        <v/>
      </c>
      <c r="K978" s="8" t="str">
        <f>IF($A978="","",IF(ISNUMBER(FIND("IMPVOL",K$1)),_xll.BDH(config!$G$4,K$1,WORKDAY($A978,-1,config_Holiday_Calendar_US),WORKDAY($A978,-1,config_Holiday_Calendar_US)),IF(ISNUMBER(_xll.BDH(config!$G$4,K$1,$A978,$A978)),_xll.BDH(config!$G$4,K$1,$A978,$A978),_xll.BDH(config!$G$5,K$1,$A978,$A978))))</f>
        <v/>
      </c>
      <c r="L978" s="8" t="str">
        <f>IF($A978="","",IF(ISNUMBER(FIND("IMPVOL",L$1)),_xll.BDH(config!$G$4,L$1,WORKDAY($A978,-1,config_Holiday_Calendar_US),WORKDAY($A978,-1,config_Holiday_Calendar_US)),IF(ISNUMBER(_xll.BDH(config!$G$4,L$1,$A978,$A978)),_xll.BDH(config!$G$4,L$1,$A978,$A978),_xll.BDH(config!$G$5,L$1,$A978,$A978))))</f>
        <v/>
      </c>
      <c r="M978" s="8" t="str">
        <f>IF($A978="","",IF(ISNUMBER(FIND("IMPVOL",M$1)),_xll.BDH(config!$G$4,M$1,WORKDAY($A978,-1,config_Holiday_Calendar_US),WORKDAY($A978,-1,config_Holiday_Calendar_US)),IF(ISNUMBER(_xll.BDH(config!$G$4,M$1,$A978,$A978)),_xll.BDH(config!$G$4,M$1,$A978,$A978),_xll.BDH(config!$G$5,M$1,$A978,$A978))))</f>
        <v/>
      </c>
      <c r="N978" s="8" t="str">
        <f>IF($A978="","",IF(ISNUMBER(FIND("IMPVOL",N$1)),_xll.BDH(config!$G$4,N$1,WORKDAY($A978,-1,config_Holiday_Calendar_US),WORKDAY($A978,-1,config_Holiday_Calendar_US)),IF(ISNUMBER(_xll.BDH(config!$G$4,N$1,$A978,$A978)),_xll.BDH(config!$G$4,N$1,$A978,$A978),_xll.BDH(config!$G$5,N$1,$A978,$A978))))</f>
        <v/>
      </c>
      <c r="O978" s="8" t="str">
        <f>IF($A978="","",IF(ISNUMBER(FIND("IMPVOL",O$1)),_xll.BDH(config!$G$4,O$1,WORKDAY($A978,-1,config_Holiday_Calendar_US),WORKDAY($A978,-1,config_Holiday_Calendar_US)),IF(ISNUMBER(_xll.BDH(config!$G$4,O$1,$A978,$A978)),_xll.BDH(config!$G$4,O$1,$A978,$A978),_xll.BDH(config!$G$5,O$1,$A978,$A978))))</f>
        <v/>
      </c>
      <c r="P978" s="8" t="str">
        <f>IF($A978="","",IF(ISNUMBER(FIND("IMPVOL",P$1)),_xll.BDH(config!$G$4,P$1,WORKDAY($A978,-1,config_Holiday_Calendar_US),WORKDAY($A978,-1,config_Holiday_Calendar_US)),IF(ISNUMBER(_xll.BDH(config!$G$4,P$1,$A978,$A978)),_xll.BDH(config!$G$4,P$1,$A978,$A978),_xll.BDH(config!$G$5,P$1,$A978,$A978))))</f>
        <v/>
      </c>
      <c r="Q978" s="8" t="str">
        <f>IF($A978="","",IF(ISNUMBER(FIND("IMPVOL",Q$1)),_xll.BDH(config!$G$4,Q$1,WORKDAY($A978,-1,config_Holiday_Calendar_US),WORKDAY($A978,-1,config_Holiday_Calendar_US)),IF(ISNUMBER(_xll.BDH(config!$G$4,Q$1,$A978,$A978)),_xll.BDH(config!$G$4,Q$1,$A978,$A978),_xll.BDH(config!$G$5,Q$1,$A978,$A978))))</f>
        <v/>
      </c>
      <c r="R978" s="8" t="str">
        <f>IF($A978="","",IF(ISNUMBER(FIND("IMPVOL",R$1)),_xll.BDH(config!$G$4,R$1,WORKDAY($A978,-1,config_Holiday_Calendar_US),WORKDAY($A978,-1,config_Holiday_Calendar_US)),IF(ISNUMBER(_xll.BDH(config!$G$4,R$1,$A978,$A978)),_xll.BDH(config!$G$4,R$1,$A978,$A978),_xll.BDH(config!$G$5,R$1,$A978,$A978))))</f>
        <v/>
      </c>
      <c r="S978" s="8" t="str">
        <f>IF($A978="","",IF(ISNUMBER(FIND("IMPVOL",S$1)),_xll.BDH(config!$G$4,S$1,WORKDAY($A978,-1,config_Holiday_Calendar_US),WORKDAY($A978,-1,config_Holiday_Calendar_US)),IF(ISNUMBER(_xll.BDH(config!$G$4,S$1,$A978,$A978)),_xll.BDH(config!$G$4,S$1,$A978,$A978),_xll.BDH(config!$G$5,S$1,$A978,$A978))))</f>
        <v/>
      </c>
      <c r="T978" s="8" t="str">
        <f>IF($A978="","",IF(ISNUMBER(FIND("IMPVOL",T$1)),_xll.BDH(config!$G$4,T$1,WORKDAY($A978,-1,config_Holiday_Calendar_US),WORKDAY($A978,-1,config_Holiday_Calendar_US)),IF(ISNUMBER(_xll.BDH(config!$G$4,T$1,$A978,$A978)),_xll.BDH(config!$G$4,T$1,$A978,$A978),_xll.BDH(config!$G$5,T$1,$A978,$A978))))</f>
        <v/>
      </c>
      <c r="U978" s="8" t="str">
        <f>IF($A978="","",IF(ISNUMBER(FIND("IMPVOL",U$1)),_xll.BDH(config!$G$4,U$1,WORKDAY($A978,-1,config_Holiday_Calendar_US),WORKDAY($A978,-1,config_Holiday_Calendar_US)),IF(ISNUMBER(_xll.BDH(config!$G$4,U$1,$A978,$A978)),_xll.BDH(config!$G$4,U$1,$A978,$A978),_xll.BDH(config!$G$5,U$1,$A978,$A978))))</f>
        <v/>
      </c>
      <c r="V978" s="8" t="str">
        <f>IF($A978="","",IF(ISNUMBER(FIND("IMPVOL",V$1)),_xll.BDH(config!$G$4,V$1,WORKDAY($A978,-1,config_Holiday_Calendar_US),WORKDAY($A978,-1,config_Holiday_Calendar_US)),IF(ISNUMBER(_xll.BDH(config!$G$4,V$1,$A978,$A978)),_xll.BDH(config!$G$4,V$1,$A978,$A978),_xll.BDH(config!$G$5,V$1,$A978,$A978))))</f>
        <v/>
      </c>
      <c r="W978" s="8" t="str">
        <f>IF($A978="","",IF(ISNUMBER(FIND("IMPVOL",W$1)),_xll.BDH(config!$G$4,W$1,WORKDAY($A978,-1,config_Holiday_Calendar_US),WORKDAY($A978,-1,config_Holiday_Calendar_US)),IF(ISNUMBER(_xll.BDH(config!$G$4,W$1,$A978,$A978)),_xll.BDH(config!$G$4,W$1,$A978,$A978),_xll.BDH(config!$G$5,W$1,$A978,$A978))))</f>
        <v/>
      </c>
    </row>
    <row r="979" spans="1:23" x14ac:dyDescent="0.2">
      <c r="A979" s="9" t="str">
        <f>IF(A978="","",IF(WORKDAY(A978,-1,config_Holiday_Calendar_US)&lt;config!$I$10,"",WORKDAY(A978,-1,config_Holiday_Calendar_US)))</f>
        <v/>
      </c>
      <c r="B979" s="8" t="str">
        <f t="shared" si="15"/>
        <v/>
      </c>
      <c r="C979" s="8" t="str">
        <f>IF(A979="","",_xll.BDH(config!$H$4,C$1,$A979,$A979))</f>
        <v/>
      </c>
      <c r="D979" s="8" t="str">
        <f>IF($A979="","",_xll.BDH(config!$H$4,D$1,$A979,$A979))</f>
        <v/>
      </c>
      <c r="E979" s="8" t="str">
        <f>IF($A979="","",IF(ISNUMBER(FIND("IMPVOL",E$1)),_xll.BDH(config!$G$4,E$1,WORKDAY($A979,-1,config_Holiday_Calendar_US),WORKDAY($A979,-1,config_Holiday_Calendar_US)),IF(ISNUMBER(_xll.BDH(config!$G$4,E$1,$A979,$A979)),_xll.BDH(config!$G$4,E$1,$A979,$A979),_xll.BDH(config!$G$5,E$1,$A979,$A979))))</f>
        <v/>
      </c>
      <c r="F979" s="8" t="str">
        <f>IF($A979="","",IF(ISNUMBER(FIND("IMPVOL",F$1)),_xll.BDH(config!$G$4,F$1,WORKDAY($A979,-1,config_Holiday_Calendar_US),WORKDAY($A979,-1,config_Holiday_Calendar_US)),IF(ISNUMBER(_xll.BDH(config!$G$4,F$1,$A979,$A979)),_xll.BDH(config!$G$4,F$1,$A979,$A979),_xll.BDH(config!$G$5,F$1,$A979,$A979))))</f>
        <v/>
      </c>
      <c r="G979" s="8" t="str">
        <f>IF($A979="","",IF(ISNUMBER(FIND("IMPVOL",G$1)),_xll.BDH(config!$G$4,G$1,WORKDAY($A979,-1,config_Holiday_Calendar_US),WORKDAY($A979,-1,config_Holiday_Calendar_US)),IF(ISNUMBER(_xll.BDH(config!$G$4,G$1,$A979,$A979)),_xll.BDH(config!$G$4,G$1,$A979,$A979),_xll.BDH(config!$G$5,G$1,$A979,$A979))))</f>
        <v/>
      </c>
      <c r="H979" s="8" t="str">
        <f>IF($A979="","",IF(ISNUMBER(FIND("IMPVOL",H$1)),_xll.BDH(config!$G$4,H$1,WORKDAY($A979,-1,config_Holiday_Calendar_US),WORKDAY($A979,-1,config_Holiday_Calendar_US)),IF(ISNUMBER(_xll.BDH(config!$G$4,H$1,$A979,$A979)),_xll.BDH(config!$G$4,H$1,$A979,$A979),_xll.BDH(config!$G$5,H$1,$A979,$A979))))</f>
        <v/>
      </c>
      <c r="I979" s="8" t="str">
        <f>IF($A979="","",IF(ISNUMBER(FIND("IMPVOL",I$1)),_xll.BDH(config!$G$4,I$1,WORKDAY($A979,-1,config_Holiday_Calendar_US),WORKDAY($A979,-1,config_Holiday_Calendar_US)),IF(ISNUMBER(_xll.BDH(config!$G$4,I$1,$A979,$A979)),_xll.BDH(config!$G$4,I$1,$A979,$A979),_xll.BDH(config!$G$5,I$1,$A979,$A979))))</f>
        <v/>
      </c>
      <c r="J979" s="8" t="str">
        <f>IF($A979="","",IF(ISNUMBER(FIND("IMPVOL",J$1)),_xll.BDH(config!$G$4,J$1,WORKDAY($A979,-1,config_Holiday_Calendar_US),WORKDAY($A979,-1,config_Holiday_Calendar_US)),IF(ISNUMBER(_xll.BDH(config!$G$4,J$1,$A979,$A979)),_xll.BDH(config!$G$4,J$1,$A979,$A979),_xll.BDH(config!$G$5,J$1,$A979,$A979))))</f>
        <v/>
      </c>
      <c r="K979" s="8" t="str">
        <f>IF($A979="","",IF(ISNUMBER(FIND("IMPVOL",K$1)),_xll.BDH(config!$G$4,K$1,WORKDAY($A979,-1,config_Holiday_Calendar_US),WORKDAY($A979,-1,config_Holiday_Calendar_US)),IF(ISNUMBER(_xll.BDH(config!$G$4,K$1,$A979,$A979)),_xll.BDH(config!$G$4,K$1,$A979,$A979),_xll.BDH(config!$G$5,K$1,$A979,$A979))))</f>
        <v/>
      </c>
      <c r="L979" s="8" t="str">
        <f>IF($A979="","",IF(ISNUMBER(FIND("IMPVOL",L$1)),_xll.BDH(config!$G$4,L$1,WORKDAY($A979,-1,config_Holiday_Calendar_US),WORKDAY($A979,-1,config_Holiday_Calendar_US)),IF(ISNUMBER(_xll.BDH(config!$G$4,L$1,$A979,$A979)),_xll.BDH(config!$G$4,L$1,$A979,$A979),_xll.BDH(config!$G$5,L$1,$A979,$A979))))</f>
        <v/>
      </c>
      <c r="M979" s="8" t="str">
        <f>IF($A979="","",IF(ISNUMBER(FIND("IMPVOL",M$1)),_xll.BDH(config!$G$4,M$1,WORKDAY($A979,-1,config_Holiday_Calendar_US),WORKDAY($A979,-1,config_Holiday_Calendar_US)),IF(ISNUMBER(_xll.BDH(config!$G$4,M$1,$A979,$A979)),_xll.BDH(config!$G$4,M$1,$A979,$A979),_xll.BDH(config!$G$5,M$1,$A979,$A979))))</f>
        <v/>
      </c>
      <c r="N979" s="8" t="str">
        <f>IF($A979="","",IF(ISNUMBER(FIND("IMPVOL",N$1)),_xll.BDH(config!$G$4,N$1,WORKDAY($A979,-1,config_Holiday_Calendar_US),WORKDAY($A979,-1,config_Holiday_Calendar_US)),IF(ISNUMBER(_xll.BDH(config!$G$4,N$1,$A979,$A979)),_xll.BDH(config!$G$4,N$1,$A979,$A979),_xll.BDH(config!$G$5,N$1,$A979,$A979))))</f>
        <v/>
      </c>
      <c r="O979" s="8" t="str">
        <f>IF($A979="","",IF(ISNUMBER(FIND("IMPVOL",O$1)),_xll.BDH(config!$G$4,O$1,WORKDAY($A979,-1,config_Holiday_Calendar_US),WORKDAY($A979,-1,config_Holiday_Calendar_US)),IF(ISNUMBER(_xll.BDH(config!$G$4,O$1,$A979,$A979)),_xll.BDH(config!$G$4,O$1,$A979,$A979),_xll.BDH(config!$G$5,O$1,$A979,$A979))))</f>
        <v/>
      </c>
      <c r="P979" s="8" t="str">
        <f>IF($A979="","",IF(ISNUMBER(FIND("IMPVOL",P$1)),_xll.BDH(config!$G$4,P$1,WORKDAY($A979,-1,config_Holiday_Calendar_US),WORKDAY($A979,-1,config_Holiday_Calendar_US)),IF(ISNUMBER(_xll.BDH(config!$G$4,P$1,$A979,$A979)),_xll.BDH(config!$G$4,P$1,$A979,$A979),_xll.BDH(config!$G$5,P$1,$A979,$A979))))</f>
        <v/>
      </c>
      <c r="Q979" s="8" t="str">
        <f>IF($A979="","",IF(ISNUMBER(FIND("IMPVOL",Q$1)),_xll.BDH(config!$G$4,Q$1,WORKDAY($A979,-1,config_Holiday_Calendar_US),WORKDAY($A979,-1,config_Holiday_Calendar_US)),IF(ISNUMBER(_xll.BDH(config!$G$4,Q$1,$A979,$A979)),_xll.BDH(config!$G$4,Q$1,$A979,$A979),_xll.BDH(config!$G$5,Q$1,$A979,$A979))))</f>
        <v/>
      </c>
      <c r="R979" s="8" t="str">
        <f>IF($A979="","",IF(ISNUMBER(FIND("IMPVOL",R$1)),_xll.BDH(config!$G$4,R$1,WORKDAY($A979,-1,config_Holiday_Calendar_US),WORKDAY($A979,-1,config_Holiday_Calendar_US)),IF(ISNUMBER(_xll.BDH(config!$G$4,R$1,$A979,$A979)),_xll.BDH(config!$G$4,R$1,$A979,$A979),_xll.BDH(config!$G$5,R$1,$A979,$A979))))</f>
        <v/>
      </c>
      <c r="S979" s="8" t="str">
        <f>IF($A979="","",IF(ISNUMBER(FIND("IMPVOL",S$1)),_xll.BDH(config!$G$4,S$1,WORKDAY($A979,-1,config_Holiday_Calendar_US),WORKDAY($A979,-1,config_Holiday_Calendar_US)),IF(ISNUMBER(_xll.BDH(config!$G$4,S$1,$A979,$A979)),_xll.BDH(config!$G$4,S$1,$A979,$A979),_xll.BDH(config!$G$5,S$1,$A979,$A979))))</f>
        <v/>
      </c>
      <c r="T979" s="8" t="str">
        <f>IF($A979="","",IF(ISNUMBER(FIND("IMPVOL",T$1)),_xll.BDH(config!$G$4,T$1,WORKDAY($A979,-1,config_Holiday_Calendar_US),WORKDAY($A979,-1,config_Holiday_Calendar_US)),IF(ISNUMBER(_xll.BDH(config!$G$4,T$1,$A979,$A979)),_xll.BDH(config!$G$4,T$1,$A979,$A979),_xll.BDH(config!$G$5,T$1,$A979,$A979))))</f>
        <v/>
      </c>
      <c r="U979" s="8" t="str">
        <f>IF($A979="","",IF(ISNUMBER(FIND("IMPVOL",U$1)),_xll.BDH(config!$G$4,U$1,WORKDAY($A979,-1,config_Holiday_Calendar_US),WORKDAY($A979,-1,config_Holiday_Calendar_US)),IF(ISNUMBER(_xll.BDH(config!$G$4,U$1,$A979,$A979)),_xll.BDH(config!$G$4,U$1,$A979,$A979),_xll.BDH(config!$G$5,U$1,$A979,$A979))))</f>
        <v/>
      </c>
      <c r="V979" s="8" t="str">
        <f>IF($A979="","",IF(ISNUMBER(FIND("IMPVOL",V$1)),_xll.BDH(config!$G$4,V$1,WORKDAY($A979,-1,config_Holiday_Calendar_US),WORKDAY($A979,-1,config_Holiday_Calendar_US)),IF(ISNUMBER(_xll.BDH(config!$G$4,V$1,$A979,$A979)),_xll.BDH(config!$G$4,V$1,$A979,$A979),_xll.BDH(config!$G$5,V$1,$A979,$A979))))</f>
        <v/>
      </c>
      <c r="W979" s="8" t="str">
        <f>IF($A979="","",IF(ISNUMBER(FIND("IMPVOL",W$1)),_xll.BDH(config!$G$4,W$1,WORKDAY($A979,-1,config_Holiday_Calendar_US),WORKDAY($A979,-1,config_Holiday_Calendar_US)),IF(ISNUMBER(_xll.BDH(config!$G$4,W$1,$A979,$A979)),_xll.BDH(config!$G$4,W$1,$A979,$A979),_xll.BDH(config!$G$5,W$1,$A979,$A979))))</f>
        <v/>
      </c>
    </row>
    <row r="980" spans="1:23" x14ac:dyDescent="0.2">
      <c r="A980" s="9" t="str">
        <f>IF(A979="","",IF(WORKDAY(A979,-1,config_Holiday_Calendar_US)&lt;config!$I$10,"",WORKDAY(A979,-1,config_Holiday_Calendar_US)))</f>
        <v/>
      </c>
      <c r="B980" s="8" t="str">
        <f t="shared" si="15"/>
        <v/>
      </c>
      <c r="C980" s="8" t="str">
        <f>IF(A980="","",_xll.BDH(config!$H$4,C$1,$A980,$A980))</f>
        <v/>
      </c>
      <c r="D980" s="8" t="str">
        <f>IF($A980="","",_xll.BDH(config!$H$4,D$1,$A980,$A980))</f>
        <v/>
      </c>
      <c r="E980" s="8" t="str">
        <f>IF($A980="","",IF(ISNUMBER(FIND("IMPVOL",E$1)),_xll.BDH(config!$G$4,E$1,WORKDAY($A980,-1,config_Holiday_Calendar_US),WORKDAY($A980,-1,config_Holiday_Calendar_US)),IF(ISNUMBER(_xll.BDH(config!$G$4,E$1,$A980,$A980)),_xll.BDH(config!$G$4,E$1,$A980,$A980),_xll.BDH(config!$G$5,E$1,$A980,$A980))))</f>
        <v/>
      </c>
      <c r="F980" s="8" t="str">
        <f>IF($A980="","",IF(ISNUMBER(FIND("IMPVOL",F$1)),_xll.BDH(config!$G$4,F$1,WORKDAY($A980,-1,config_Holiday_Calendar_US),WORKDAY($A980,-1,config_Holiday_Calendar_US)),IF(ISNUMBER(_xll.BDH(config!$G$4,F$1,$A980,$A980)),_xll.BDH(config!$G$4,F$1,$A980,$A980),_xll.BDH(config!$G$5,F$1,$A980,$A980))))</f>
        <v/>
      </c>
      <c r="G980" s="8" t="str">
        <f>IF($A980="","",IF(ISNUMBER(FIND("IMPVOL",G$1)),_xll.BDH(config!$G$4,G$1,WORKDAY($A980,-1,config_Holiday_Calendar_US),WORKDAY($A980,-1,config_Holiday_Calendar_US)),IF(ISNUMBER(_xll.BDH(config!$G$4,G$1,$A980,$A980)),_xll.BDH(config!$G$4,G$1,$A980,$A980),_xll.BDH(config!$G$5,G$1,$A980,$A980))))</f>
        <v/>
      </c>
      <c r="H980" s="8" t="str">
        <f>IF($A980="","",IF(ISNUMBER(FIND("IMPVOL",H$1)),_xll.BDH(config!$G$4,H$1,WORKDAY($A980,-1,config_Holiday_Calendar_US),WORKDAY($A980,-1,config_Holiday_Calendar_US)),IF(ISNUMBER(_xll.BDH(config!$G$4,H$1,$A980,$A980)),_xll.BDH(config!$G$4,H$1,$A980,$A980),_xll.BDH(config!$G$5,H$1,$A980,$A980))))</f>
        <v/>
      </c>
      <c r="I980" s="8" t="str">
        <f>IF($A980="","",IF(ISNUMBER(FIND("IMPVOL",I$1)),_xll.BDH(config!$G$4,I$1,WORKDAY($A980,-1,config_Holiday_Calendar_US),WORKDAY($A980,-1,config_Holiday_Calendar_US)),IF(ISNUMBER(_xll.BDH(config!$G$4,I$1,$A980,$A980)),_xll.BDH(config!$G$4,I$1,$A980,$A980),_xll.BDH(config!$G$5,I$1,$A980,$A980))))</f>
        <v/>
      </c>
      <c r="J980" s="8" t="str">
        <f>IF($A980="","",IF(ISNUMBER(FIND("IMPVOL",J$1)),_xll.BDH(config!$G$4,J$1,WORKDAY($A980,-1,config_Holiday_Calendar_US),WORKDAY($A980,-1,config_Holiday_Calendar_US)),IF(ISNUMBER(_xll.BDH(config!$G$4,J$1,$A980,$A980)),_xll.BDH(config!$G$4,J$1,$A980,$A980),_xll.BDH(config!$G$5,J$1,$A980,$A980))))</f>
        <v/>
      </c>
      <c r="K980" s="8" t="str">
        <f>IF($A980="","",IF(ISNUMBER(FIND("IMPVOL",K$1)),_xll.BDH(config!$G$4,K$1,WORKDAY($A980,-1,config_Holiday_Calendar_US),WORKDAY($A980,-1,config_Holiday_Calendar_US)),IF(ISNUMBER(_xll.BDH(config!$G$4,K$1,$A980,$A980)),_xll.BDH(config!$G$4,K$1,$A980,$A980),_xll.BDH(config!$G$5,K$1,$A980,$A980))))</f>
        <v/>
      </c>
      <c r="L980" s="8" t="str">
        <f>IF($A980="","",IF(ISNUMBER(FIND("IMPVOL",L$1)),_xll.BDH(config!$G$4,L$1,WORKDAY($A980,-1,config_Holiday_Calendar_US),WORKDAY($A980,-1,config_Holiday_Calendar_US)),IF(ISNUMBER(_xll.BDH(config!$G$4,L$1,$A980,$A980)),_xll.BDH(config!$G$4,L$1,$A980,$A980),_xll.BDH(config!$G$5,L$1,$A980,$A980))))</f>
        <v/>
      </c>
      <c r="M980" s="8" t="str">
        <f>IF($A980="","",IF(ISNUMBER(FIND("IMPVOL",M$1)),_xll.BDH(config!$G$4,M$1,WORKDAY($A980,-1,config_Holiday_Calendar_US),WORKDAY($A980,-1,config_Holiday_Calendar_US)),IF(ISNUMBER(_xll.BDH(config!$G$4,M$1,$A980,$A980)),_xll.BDH(config!$G$4,M$1,$A980,$A980),_xll.BDH(config!$G$5,M$1,$A980,$A980))))</f>
        <v/>
      </c>
      <c r="N980" s="8" t="str">
        <f>IF($A980="","",IF(ISNUMBER(FIND("IMPVOL",N$1)),_xll.BDH(config!$G$4,N$1,WORKDAY($A980,-1,config_Holiday_Calendar_US),WORKDAY($A980,-1,config_Holiday_Calendar_US)),IF(ISNUMBER(_xll.BDH(config!$G$4,N$1,$A980,$A980)),_xll.BDH(config!$G$4,N$1,$A980,$A980),_xll.BDH(config!$G$5,N$1,$A980,$A980))))</f>
        <v/>
      </c>
      <c r="O980" s="8" t="str">
        <f>IF($A980="","",IF(ISNUMBER(FIND("IMPVOL",O$1)),_xll.BDH(config!$G$4,O$1,WORKDAY($A980,-1,config_Holiday_Calendar_US),WORKDAY($A980,-1,config_Holiday_Calendar_US)),IF(ISNUMBER(_xll.BDH(config!$G$4,O$1,$A980,$A980)),_xll.BDH(config!$G$4,O$1,$A980,$A980),_xll.BDH(config!$G$5,O$1,$A980,$A980))))</f>
        <v/>
      </c>
      <c r="P980" s="8" t="str">
        <f>IF($A980="","",IF(ISNUMBER(FIND("IMPVOL",P$1)),_xll.BDH(config!$G$4,P$1,WORKDAY($A980,-1,config_Holiday_Calendar_US),WORKDAY($A980,-1,config_Holiday_Calendar_US)),IF(ISNUMBER(_xll.BDH(config!$G$4,P$1,$A980,$A980)),_xll.BDH(config!$G$4,P$1,$A980,$A980),_xll.BDH(config!$G$5,P$1,$A980,$A980))))</f>
        <v/>
      </c>
      <c r="Q980" s="8" t="str">
        <f>IF($A980="","",IF(ISNUMBER(FIND("IMPVOL",Q$1)),_xll.BDH(config!$G$4,Q$1,WORKDAY($A980,-1,config_Holiday_Calendar_US),WORKDAY($A980,-1,config_Holiday_Calendar_US)),IF(ISNUMBER(_xll.BDH(config!$G$4,Q$1,$A980,$A980)),_xll.BDH(config!$G$4,Q$1,$A980,$A980),_xll.BDH(config!$G$5,Q$1,$A980,$A980))))</f>
        <v/>
      </c>
      <c r="R980" s="8" t="str">
        <f>IF($A980="","",IF(ISNUMBER(FIND("IMPVOL",R$1)),_xll.BDH(config!$G$4,R$1,WORKDAY($A980,-1,config_Holiday_Calendar_US),WORKDAY($A980,-1,config_Holiday_Calendar_US)),IF(ISNUMBER(_xll.BDH(config!$G$4,R$1,$A980,$A980)),_xll.BDH(config!$G$4,R$1,$A980,$A980),_xll.BDH(config!$G$5,R$1,$A980,$A980))))</f>
        <v/>
      </c>
      <c r="S980" s="8" t="str">
        <f>IF($A980="","",IF(ISNUMBER(FIND("IMPVOL",S$1)),_xll.BDH(config!$G$4,S$1,WORKDAY($A980,-1,config_Holiday_Calendar_US),WORKDAY($A980,-1,config_Holiday_Calendar_US)),IF(ISNUMBER(_xll.BDH(config!$G$4,S$1,$A980,$A980)),_xll.BDH(config!$G$4,S$1,$A980,$A980),_xll.BDH(config!$G$5,S$1,$A980,$A980))))</f>
        <v/>
      </c>
      <c r="T980" s="8" t="str">
        <f>IF($A980="","",IF(ISNUMBER(FIND("IMPVOL",T$1)),_xll.BDH(config!$G$4,T$1,WORKDAY($A980,-1,config_Holiday_Calendar_US),WORKDAY($A980,-1,config_Holiday_Calendar_US)),IF(ISNUMBER(_xll.BDH(config!$G$4,T$1,$A980,$A980)),_xll.BDH(config!$G$4,T$1,$A980,$A980),_xll.BDH(config!$G$5,T$1,$A980,$A980))))</f>
        <v/>
      </c>
      <c r="U980" s="8" t="str">
        <f>IF($A980="","",IF(ISNUMBER(FIND("IMPVOL",U$1)),_xll.BDH(config!$G$4,U$1,WORKDAY($A980,-1,config_Holiday_Calendar_US),WORKDAY($A980,-1,config_Holiday_Calendar_US)),IF(ISNUMBER(_xll.BDH(config!$G$4,U$1,$A980,$A980)),_xll.BDH(config!$G$4,U$1,$A980,$A980),_xll.BDH(config!$G$5,U$1,$A980,$A980))))</f>
        <v/>
      </c>
      <c r="V980" s="8" t="str">
        <f>IF($A980="","",IF(ISNUMBER(FIND("IMPVOL",V$1)),_xll.BDH(config!$G$4,V$1,WORKDAY($A980,-1,config_Holiday_Calendar_US),WORKDAY($A980,-1,config_Holiday_Calendar_US)),IF(ISNUMBER(_xll.BDH(config!$G$4,V$1,$A980,$A980)),_xll.BDH(config!$G$4,V$1,$A980,$A980),_xll.BDH(config!$G$5,V$1,$A980,$A980))))</f>
        <v/>
      </c>
      <c r="W980" s="8" t="str">
        <f>IF($A980="","",IF(ISNUMBER(FIND("IMPVOL",W$1)),_xll.BDH(config!$G$4,W$1,WORKDAY($A980,-1,config_Holiday_Calendar_US),WORKDAY($A980,-1,config_Holiday_Calendar_US)),IF(ISNUMBER(_xll.BDH(config!$G$4,W$1,$A980,$A980)),_xll.BDH(config!$G$4,W$1,$A980,$A980),_xll.BDH(config!$G$5,W$1,$A980,$A980))))</f>
        <v/>
      </c>
    </row>
    <row r="981" spans="1:23" x14ac:dyDescent="0.2">
      <c r="A981" s="9" t="str">
        <f>IF(A980="","",IF(WORKDAY(A980,-1,config_Holiday_Calendar_US)&lt;config!$I$10,"",WORKDAY(A980,-1,config_Holiday_Calendar_US)))</f>
        <v/>
      </c>
      <c r="B981" s="8" t="str">
        <f t="shared" si="15"/>
        <v/>
      </c>
      <c r="C981" s="8" t="str">
        <f>IF(A981="","",_xll.BDH(config!$H$4,C$1,$A981,$A981))</f>
        <v/>
      </c>
      <c r="D981" s="8" t="str">
        <f>IF($A981="","",_xll.BDH(config!$H$4,D$1,$A981,$A981))</f>
        <v/>
      </c>
      <c r="E981" s="8" t="str">
        <f>IF($A981="","",IF(ISNUMBER(FIND("IMPVOL",E$1)),_xll.BDH(config!$G$4,E$1,WORKDAY($A981,-1,config_Holiday_Calendar_US),WORKDAY($A981,-1,config_Holiday_Calendar_US)),IF(ISNUMBER(_xll.BDH(config!$G$4,E$1,$A981,$A981)),_xll.BDH(config!$G$4,E$1,$A981,$A981),_xll.BDH(config!$G$5,E$1,$A981,$A981))))</f>
        <v/>
      </c>
      <c r="F981" s="8" t="str">
        <f>IF($A981="","",IF(ISNUMBER(FIND("IMPVOL",F$1)),_xll.BDH(config!$G$4,F$1,WORKDAY($A981,-1,config_Holiday_Calendar_US),WORKDAY($A981,-1,config_Holiday_Calendar_US)),IF(ISNUMBER(_xll.BDH(config!$G$4,F$1,$A981,$A981)),_xll.BDH(config!$G$4,F$1,$A981,$A981),_xll.BDH(config!$G$5,F$1,$A981,$A981))))</f>
        <v/>
      </c>
      <c r="G981" s="8" t="str">
        <f>IF($A981="","",IF(ISNUMBER(FIND("IMPVOL",G$1)),_xll.BDH(config!$G$4,G$1,WORKDAY($A981,-1,config_Holiday_Calendar_US),WORKDAY($A981,-1,config_Holiday_Calendar_US)),IF(ISNUMBER(_xll.BDH(config!$G$4,G$1,$A981,$A981)),_xll.BDH(config!$G$4,G$1,$A981,$A981),_xll.BDH(config!$G$5,G$1,$A981,$A981))))</f>
        <v/>
      </c>
      <c r="H981" s="8" t="str">
        <f>IF($A981="","",IF(ISNUMBER(FIND("IMPVOL",H$1)),_xll.BDH(config!$G$4,H$1,WORKDAY($A981,-1,config_Holiday_Calendar_US),WORKDAY($A981,-1,config_Holiday_Calendar_US)),IF(ISNUMBER(_xll.BDH(config!$G$4,H$1,$A981,$A981)),_xll.BDH(config!$G$4,H$1,$A981,$A981),_xll.BDH(config!$G$5,H$1,$A981,$A981))))</f>
        <v/>
      </c>
      <c r="I981" s="8" t="str">
        <f>IF($A981="","",IF(ISNUMBER(FIND("IMPVOL",I$1)),_xll.BDH(config!$G$4,I$1,WORKDAY($A981,-1,config_Holiday_Calendar_US),WORKDAY($A981,-1,config_Holiday_Calendar_US)),IF(ISNUMBER(_xll.BDH(config!$G$4,I$1,$A981,$A981)),_xll.BDH(config!$G$4,I$1,$A981,$A981),_xll.BDH(config!$G$5,I$1,$A981,$A981))))</f>
        <v/>
      </c>
      <c r="J981" s="8" t="str">
        <f>IF($A981="","",IF(ISNUMBER(FIND("IMPVOL",J$1)),_xll.BDH(config!$G$4,J$1,WORKDAY($A981,-1,config_Holiday_Calendar_US),WORKDAY($A981,-1,config_Holiday_Calendar_US)),IF(ISNUMBER(_xll.BDH(config!$G$4,J$1,$A981,$A981)),_xll.BDH(config!$G$4,J$1,$A981,$A981),_xll.BDH(config!$G$5,J$1,$A981,$A981))))</f>
        <v/>
      </c>
      <c r="K981" s="8" t="str">
        <f>IF($A981="","",IF(ISNUMBER(FIND("IMPVOL",K$1)),_xll.BDH(config!$G$4,K$1,WORKDAY($A981,-1,config_Holiday_Calendar_US),WORKDAY($A981,-1,config_Holiday_Calendar_US)),IF(ISNUMBER(_xll.BDH(config!$G$4,K$1,$A981,$A981)),_xll.BDH(config!$G$4,K$1,$A981,$A981),_xll.BDH(config!$G$5,K$1,$A981,$A981))))</f>
        <v/>
      </c>
      <c r="L981" s="8" t="str">
        <f>IF($A981="","",IF(ISNUMBER(FIND("IMPVOL",L$1)),_xll.BDH(config!$G$4,L$1,WORKDAY($A981,-1,config_Holiday_Calendar_US),WORKDAY($A981,-1,config_Holiday_Calendar_US)),IF(ISNUMBER(_xll.BDH(config!$G$4,L$1,$A981,$A981)),_xll.BDH(config!$G$4,L$1,$A981,$A981),_xll.BDH(config!$G$5,L$1,$A981,$A981))))</f>
        <v/>
      </c>
      <c r="M981" s="8" t="str">
        <f>IF($A981="","",IF(ISNUMBER(FIND("IMPVOL",M$1)),_xll.BDH(config!$G$4,M$1,WORKDAY($A981,-1,config_Holiday_Calendar_US),WORKDAY($A981,-1,config_Holiday_Calendar_US)),IF(ISNUMBER(_xll.BDH(config!$G$4,M$1,$A981,$A981)),_xll.BDH(config!$G$4,M$1,$A981,$A981),_xll.BDH(config!$G$5,M$1,$A981,$A981))))</f>
        <v/>
      </c>
      <c r="N981" s="8" t="str">
        <f>IF($A981="","",IF(ISNUMBER(FIND("IMPVOL",N$1)),_xll.BDH(config!$G$4,N$1,WORKDAY($A981,-1,config_Holiday_Calendar_US),WORKDAY($A981,-1,config_Holiday_Calendar_US)),IF(ISNUMBER(_xll.BDH(config!$G$4,N$1,$A981,$A981)),_xll.BDH(config!$G$4,N$1,$A981,$A981),_xll.BDH(config!$G$5,N$1,$A981,$A981))))</f>
        <v/>
      </c>
      <c r="O981" s="8" t="str">
        <f>IF($A981="","",IF(ISNUMBER(FIND("IMPVOL",O$1)),_xll.BDH(config!$G$4,O$1,WORKDAY($A981,-1,config_Holiday_Calendar_US),WORKDAY($A981,-1,config_Holiday_Calendar_US)),IF(ISNUMBER(_xll.BDH(config!$G$4,O$1,$A981,$A981)),_xll.BDH(config!$G$4,O$1,$A981,$A981),_xll.BDH(config!$G$5,O$1,$A981,$A981))))</f>
        <v/>
      </c>
      <c r="P981" s="8" t="str">
        <f>IF($A981="","",IF(ISNUMBER(FIND("IMPVOL",P$1)),_xll.BDH(config!$G$4,P$1,WORKDAY($A981,-1,config_Holiday_Calendar_US),WORKDAY($A981,-1,config_Holiday_Calendar_US)),IF(ISNUMBER(_xll.BDH(config!$G$4,P$1,$A981,$A981)),_xll.BDH(config!$G$4,P$1,$A981,$A981),_xll.BDH(config!$G$5,P$1,$A981,$A981))))</f>
        <v/>
      </c>
      <c r="Q981" s="8" t="str">
        <f>IF($A981="","",IF(ISNUMBER(FIND("IMPVOL",Q$1)),_xll.BDH(config!$G$4,Q$1,WORKDAY($A981,-1,config_Holiday_Calendar_US),WORKDAY($A981,-1,config_Holiday_Calendar_US)),IF(ISNUMBER(_xll.BDH(config!$G$4,Q$1,$A981,$A981)),_xll.BDH(config!$G$4,Q$1,$A981,$A981),_xll.BDH(config!$G$5,Q$1,$A981,$A981))))</f>
        <v/>
      </c>
      <c r="R981" s="8" t="str">
        <f>IF($A981="","",IF(ISNUMBER(FIND("IMPVOL",R$1)),_xll.BDH(config!$G$4,R$1,WORKDAY($A981,-1,config_Holiday_Calendar_US),WORKDAY($A981,-1,config_Holiday_Calendar_US)),IF(ISNUMBER(_xll.BDH(config!$G$4,R$1,$A981,$A981)),_xll.BDH(config!$G$4,R$1,$A981,$A981),_xll.BDH(config!$G$5,R$1,$A981,$A981))))</f>
        <v/>
      </c>
      <c r="S981" s="8" t="str">
        <f>IF($A981="","",IF(ISNUMBER(FIND("IMPVOL",S$1)),_xll.BDH(config!$G$4,S$1,WORKDAY($A981,-1,config_Holiday_Calendar_US),WORKDAY($A981,-1,config_Holiday_Calendar_US)),IF(ISNUMBER(_xll.BDH(config!$G$4,S$1,$A981,$A981)),_xll.BDH(config!$G$4,S$1,$A981,$A981),_xll.BDH(config!$G$5,S$1,$A981,$A981))))</f>
        <v/>
      </c>
      <c r="T981" s="8" t="str">
        <f>IF($A981="","",IF(ISNUMBER(FIND("IMPVOL",T$1)),_xll.BDH(config!$G$4,T$1,WORKDAY($A981,-1,config_Holiday_Calendar_US),WORKDAY($A981,-1,config_Holiday_Calendar_US)),IF(ISNUMBER(_xll.BDH(config!$G$4,T$1,$A981,$A981)),_xll.BDH(config!$G$4,T$1,$A981,$A981),_xll.BDH(config!$G$5,T$1,$A981,$A981))))</f>
        <v/>
      </c>
      <c r="U981" s="8" t="str">
        <f>IF($A981="","",IF(ISNUMBER(FIND("IMPVOL",U$1)),_xll.BDH(config!$G$4,U$1,WORKDAY($A981,-1,config_Holiday_Calendar_US),WORKDAY($A981,-1,config_Holiday_Calendar_US)),IF(ISNUMBER(_xll.BDH(config!$G$4,U$1,$A981,$A981)),_xll.BDH(config!$G$4,U$1,$A981,$A981),_xll.BDH(config!$G$5,U$1,$A981,$A981))))</f>
        <v/>
      </c>
      <c r="V981" s="8" t="str">
        <f>IF($A981="","",IF(ISNUMBER(FIND("IMPVOL",V$1)),_xll.BDH(config!$G$4,V$1,WORKDAY($A981,-1,config_Holiday_Calendar_US),WORKDAY($A981,-1,config_Holiday_Calendar_US)),IF(ISNUMBER(_xll.BDH(config!$G$4,V$1,$A981,$A981)),_xll.BDH(config!$G$4,V$1,$A981,$A981),_xll.BDH(config!$G$5,V$1,$A981,$A981))))</f>
        <v/>
      </c>
      <c r="W981" s="8" t="str">
        <f>IF($A981="","",IF(ISNUMBER(FIND("IMPVOL",W$1)),_xll.BDH(config!$G$4,W$1,WORKDAY($A981,-1,config_Holiday_Calendar_US),WORKDAY($A981,-1,config_Holiday_Calendar_US)),IF(ISNUMBER(_xll.BDH(config!$G$4,W$1,$A981,$A981)),_xll.BDH(config!$G$4,W$1,$A981,$A981),_xll.BDH(config!$G$5,W$1,$A981,$A981))))</f>
        <v/>
      </c>
    </row>
    <row r="982" spans="1:23" x14ac:dyDescent="0.2">
      <c r="A982" s="9" t="str">
        <f>IF(A981="","",IF(WORKDAY(A981,-1,config_Holiday_Calendar_US)&lt;config!$I$10,"",WORKDAY(A981,-1,config_Holiday_Calendar_US)))</f>
        <v/>
      </c>
      <c r="B982" s="8" t="str">
        <f t="shared" si="15"/>
        <v/>
      </c>
      <c r="C982" s="8" t="str">
        <f>IF(A982="","",_xll.BDH(config!$H$4,C$1,$A982,$A982))</f>
        <v/>
      </c>
      <c r="D982" s="8" t="str">
        <f>IF($A982="","",_xll.BDH(config!$H$4,D$1,$A982,$A982))</f>
        <v/>
      </c>
      <c r="E982" s="8" t="str">
        <f>IF($A982="","",IF(ISNUMBER(FIND("IMPVOL",E$1)),_xll.BDH(config!$G$4,E$1,WORKDAY($A982,-1,config_Holiday_Calendar_US),WORKDAY($A982,-1,config_Holiday_Calendar_US)),IF(ISNUMBER(_xll.BDH(config!$G$4,E$1,$A982,$A982)),_xll.BDH(config!$G$4,E$1,$A982,$A982),_xll.BDH(config!$G$5,E$1,$A982,$A982))))</f>
        <v/>
      </c>
      <c r="F982" s="8" t="str">
        <f>IF($A982="","",IF(ISNUMBER(FIND("IMPVOL",F$1)),_xll.BDH(config!$G$4,F$1,WORKDAY($A982,-1,config_Holiday_Calendar_US),WORKDAY($A982,-1,config_Holiday_Calendar_US)),IF(ISNUMBER(_xll.BDH(config!$G$4,F$1,$A982,$A982)),_xll.BDH(config!$G$4,F$1,$A982,$A982),_xll.BDH(config!$G$5,F$1,$A982,$A982))))</f>
        <v/>
      </c>
      <c r="G982" s="8" t="str">
        <f>IF($A982="","",IF(ISNUMBER(FIND("IMPVOL",G$1)),_xll.BDH(config!$G$4,G$1,WORKDAY($A982,-1,config_Holiday_Calendar_US),WORKDAY($A982,-1,config_Holiday_Calendar_US)),IF(ISNUMBER(_xll.BDH(config!$G$4,G$1,$A982,$A982)),_xll.BDH(config!$G$4,G$1,$A982,$A982),_xll.BDH(config!$G$5,G$1,$A982,$A982))))</f>
        <v/>
      </c>
      <c r="H982" s="8" t="str">
        <f>IF($A982="","",IF(ISNUMBER(FIND("IMPVOL",H$1)),_xll.BDH(config!$G$4,H$1,WORKDAY($A982,-1,config_Holiday_Calendar_US),WORKDAY($A982,-1,config_Holiday_Calendar_US)),IF(ISNUMBER(_xll.BDH(config!$G$4,H$1,$A982,$A982)),_xll.BDH(config!$G$4,H$1,$A982,$A982),_xll.BDH(config!$G$5,H$1,$A982,$A982))))</f>
        <v/>
      </c>
      <c r="I982" s="8" t="str">
        <f>IF($A982="","",IF(ISNUMBER(FIND("IMPVOL",I$1)),_xll.BDH(config!$G$4,I$1,WORKDAY($A982,-1,config_Holiday_Calendar_US),WORKDAY($A982,-1,config_Holiday_Calendar_US)),IF(ISNUMBER(_xll.BDH(config!$G$4,I$1,$A982,$A982)),_xll.BDH(config!$G$4,I$1,$A982,$A982),_xll.BDH(config!$G$5,I$1,$A982,$A982))))</f>
        <v/>
      </c>
      <c r="J982" s="8" t="str">
        <f>IF($A982="","",IF(ISNUMBER(FIND("IMPVOL",J$1)),_xll.BDH(config!$G$4,J$1,WORKDAY($A982,-1,config_Holiday_Calendar_US),WORKDAY($A982,-1,config_Holiday_Calendar_US)),IF(ISNUMBER(_xll.BDH(config!$G$4,J$1,$A982,$A982)),_xll.BDH(config!$G$4,J$1,$A982,$A982),_xll.BDH(config!$G$5,J$1,$A982,$A982))))</f>
        <v/>
      </c>
      <c r="K982" s="8" t="str">
        <f>IF($A982="","",IF(ISNUMBER(FIND("IMPVOL",K$1)),_xll.BDH(config!$G$4,K$1,WORKDAY($A982,-1,config_Holiday_Calendar_US),WORKDAY($A982,-1,config_Holiday_Calendar_US)),IF(ISNUMBER(_xll.BDH(config!$G$4,K$1,$A982,$A982)),_xll.BDH(config!$G$4,K$1,$A982,$A982),_xll.BDH(config!$G$5,K$1,$A982,$A982))))</f>
        <v/>
      </c>
      <c r="L982" s="8" t="str">
        <f>IF($A982="","",IF(ISNUMBER(FIND("IMPVOL",L$1)),_xll.BDH(config!$G$4,L$1,WORKDAY($A982,-1,config_Holiday_Calendar_US),WORKDAY($A982,-1,config_Holiday_Calendar_US)),IF(ISNUMBER(_xll.BDH(config!$G$4,L$1,$A982,$A982)),_xll.BDH(config!$G$4,L$1,$A982,$A982),_xll.BDH(config!$G$5,L$1,$A982,$A982))))</f>
        <v/>
      </c>
      <c r="M982" s="8" t="str">
        <f>IF($A982="","",IF(ISNUMBER(FIND("IMPVOL",M$1)),_xll.BDH(config!$G$4,M$1,WORKDAY($A982,-1,config_Holiday_Calendar_US),WORKDAY($A982,-1,config_Holiday_Calendar_US)),IF(ISNUMBER(_xll.BDH(config!$G$4,M$1,$A982,$A982)),_xll.BDH(config!$G$4,M$1,$A982,$A982),_xll.BDH(config!$G$5,M$1,$A982,$A982))))</f>
        <v/>
      </c>
      <c r="N982" s="8" t="str">
        <f>IF($A982="","",IF(ISNUMBER(FIND("IMPVOL",N$1)),_xll.BDH(config!$G$4,N$1,WORKDAY($A982,-1,config_Holiday_Calendar_US),WORKDAY($A982,-1,config_Holiday_Calendar_US)),IF(ISNUMBER(_xll.BDH(config!$G$4,N$1,$A982,$A982)),_xll.BDH(config!$G$4,N$1,$A982,$A982),_xll.BDH(config!$G$5,N$1,$A982,$A982))))</f>
        <v/>
      </c>
      <c r="O982" s="8" t="str">
        <f>IF($A982="","",IF(ISNUMBER(FIND("IMPVOL",O$1)),_xll.BDH(config!$G$4,O$1,WORKDAY($A982,-1,config_Holiday_Calendar_US),WORKDAY($A982,-1,config_Holiday_Calendar_US)),IF(ISNUMBER(_xll.BDH(config!$G$4,O$1,$A982,$A982)),_xll.BDH(config!$G$4,O$1,$A982,$A982),_xll.BDH(config!$G$5,O$1,$A982,$A982))))</f>
        <v/>
      </c>
      <c r="P982" s="8" t="str">
        <f>IF($A982="","",IF(ISNUMBER(FIND("IMPVOL",P$1)),_xll.BDH(config!$G$4,P$1,WORKDAY($A982,-1,config_Holiday_Calendar_US),WORKDAY($A982,-1,config_Holiday_Calendar_US)),IF(ISNUMBER(_xll.BDH(config!$G$4,P$1,$A982,$A982)),_xll.BDH(config!$G$4,P$1,$A982,$A982),_xll.BDH(config!$G$5,P$1,$A982,$A982))))</f>
        <v/>
      </c>
      <c r="Q982" s="8" t="str">
        <f>IF($A982="","",IF(ISNUMBER(FIND("IMPVOL",Q$1)),_xll.BDH(config!$G$4,Q$1,WORKDAY($A982,-1,config_Holiday_Calendar_US),WORKDAY($A982,-1,config_Holiday_Calendar_US)),IF(ISNUMBER(_xll.BDH(config!$G$4,Q$1,$A982,$A982)),_xll.BDH(config!$G$4,Q$1,$A982,$A982),_xll.BDH(config!$G$5,Q$1,$A982,$A982))))</f>
        <v/>
      </c>
      <c r="R982" s="8" t="str">
        <f>IF($A982="","",IF(ISNUMBER(FIND("IMPVOL",R$1)),_xll.BDH(config!$G$4,R$1,WORKDAY($A982,-1,config_Holiday_Calendar_US),WORKDAY($A982,-1,config_Holiday_Calendar_US)),IF(ISNUMBER(_xll.BDH(config!$G$4,R$1,$A982,$A982)),_xll.BDH(config!$G$4,R$1,$A982,$A982),_xll.BDH(config!$G$5,R$1,$A982,$A982))))</f>
        <v/>
      </c>
      <c r="S982" s="8" t="str">
        <f>IF($A982="","",IF(ISNUMBER(FIND("IMPVOL",S$1)),_xll.BDH(config!$G$4,S$1,WORKDAY($A982,-1,config_Holiday_Calendar_US),WORKDAY($A982,-1,config_Holiday_Calendar_US)),IF(ISNUMBER(_xll.BDH(config!$G$4,S$1,$A982,$A982)),_xll.BDH(config!$G$4,S$1,$A982,$A982),_xll.BDH(config!$G$5,S$1,$A982,$A982))))</f>
        <v/>
      </c>
      <c r="T982" s="8" t="str">
        <f>IF($A982="","",IF(ISNUMBER(FIND("IMPVOL",T$1)),_xll.BDH(config!$G$4,T$1,WORKDAY($A982,-1,config_Holiday_Calendar_US),WORKDAY($A982,-1,config_Holiday_Calendar_US)),IF(ISNUMBER(_xll.BDH(config!$G$4,T$1,$A982,$A982)),_xll.BDH(config!$G$4,T$1,$A982,$A982),_xll.BDH(config!$G$5,T$1,$A982,$A982))))</f>
        <v/>
      </c>
      <c r="U982" s="8" t="str">
        <f>IF($A982="","",IF(ISNUMBER(FIND("IMPVOL",U$1)),_xll.BDH(config!$G$4,U$1,WORKDAY($A982,-1,config_Holiday_Calendar_US),WORKDAY($A982,-1,config_Holiday_Calendar_US)),IF(ISNUMBER(_xll.BDH(config!$G$4,U$1,$A982,$A982)),_xll.BDH(config!$G$4,U$1,$A982,$A982),_xll.BDH(config!$G$5,U$1,$A982,$A982))))</f>
        <v/>
      </c>
      <c r="V982" s="8" t="str">
        <f>IF($A982="","",IF(ISNUMBER(FIND("IMPVOL",V$1)),_xll.BDH(config!$G$4,V$1,WORKDAY($A982,-1,config_Holiday_Calendar_US),WORKDAY($A982,-1,config_Holiday_Calendar_US)),IF(ISNUMBER(_xll.BDH(config!$G$4,V$1,$A982,$A982)),_xll.BDH(config!$G$4,V$1,$A982,$A982),_xll.BDH(config!$G$5,V$1,$A982,$A982))))</f>
        <v/>
      </c>
      <c r="W982" s="8" t="str">
        <f>IF($A982="","",IF(ISNUMBER(FIND("IMPVOL",W$1)),_xll.BDH(config!$G$4,W$1,WORKDAY($A982,-1,config_Holiday_Calendar_US),WORKDAY($A982,-1,config_Holiday_Calendar_US)),IF(ISNUMBER(_xll.BDH(config!$G$4,W$1,$A982,$A982)),_xll.BDH(config!$G$4,W$1,$A982,$A982),_xll.BDH(config!$G$5,W$1,$A982,$A982))))</f>
        <v/>
      </c>
    </row>
    <row r="983" spans="1:23" x14ac:dyDescent="0.2">
      <c r="A983" s="9" t="str">
        <f>IF(A982="","",IF(WORKDAY(A982,-1,config_Holiday_Calendar_US)&lt;config!$I$10,"",WORKDAY(A982,-1,config_Holiday_Calendar_US)))</f>
        <v/>
      </c>
      <c r="B983" s="8" t="str">
        <f t="shared" si="15"/>
        <v/>
      </c>
      <c r="C983" s="8" t="str">
        <f>IF(A983="","",_xll.BDH(config!$H$4,C$1,$A983,$A983))</f>
        <v/>
      </c>
      <c r="D983" s="8" t="str">
        <f>IF($A983="","",_xll.BDH(config!$H$4,D$1,$A983,$A983))</f>
        <v/>
      </c>
      <c r="E983" s="8" t="str">
        <f>IF($A983="","",IF(ISNUMBER(FIND("IMPVOL",E$1)),_xll.BDH(config!$G$4,E$1,WORKDAY($A983,-1,config_Holiday_Calendar_US),WORKDAY($A983,-1,config_Holiday_Calendar_US)),IF(ISNUMBER(_xll.BDH(config!$G$4,E$1,$A983,$A983)),_xll.BDH(config!$G$4,E$1,$A983,$A983),_xll.BDH(config!$G$5,E$1,$A983,$A983))))</f>
        <v/>
      </c>
      <c r="F983" s="8" t="str">
        <f>IF($A983="","",IF(ISNUMBER(FIND("IMPVOL",F$1)),_xll.BDH(config!$G$4,F$1,WORKDAY($A983,-1,config_Holiday_Calendar_US),WORKDAY($A983,-1,config_Holiday_Calendar_US)),IF(ISNUMBER(_xll.BDH(config!$G$4,F$1,$A983,$A983)),_xll.BDH(config!$G$4,F$1,$A983,$A983),_xll.BDH(config!$G$5,F$1,$A983,$A983))))</f>
        <v/>
      </c>
      <c r="G983" s="8" t="str">
        <f>IF($A983="","",IF(ISNUMBER(FIND("IMPVOL",G$1)),_xll.BDH(config!$G$4,G$1,WORKDAY($A983,-1,config_Holiday_Calendar_US),WORKDAY($A983,-1,config_Holiday_Calendar_US)),IF(ISNUMBER(_xll.BDH(config!$G$4,G$1,$A983,$A983)),_xll.BDH(config!$G$4,G$1,$A983,$A983),_xll.BDH(config!$G$5,G$1,$A983,$A983))))</f>
        <v/>
      </c>
      <c r="H983" s="8" t="str">
        <f>IF($A983="","",IF(ISNUMBER(FIND("IMPVOL",H$1)),_xll.BDH(config!$G$4,H$1,WORKDAY($A983,-1,config_Holiday_Calendar_US),WORKDAY($A983,-1,config_Holiday_Calendar_US)),IF(ISNUMBER(_xll.BDH(config!$G$4,H$1,$A983,$A983)),_xll.BDH(config!$G$4,H$1,$A983,$A983),_xll.BDH(config!$G$5,H$1,$A983,$A983))))</f>
        <v/>
      </c>
      <c r="I983" s="8" t="str">
        <f>IF($A983="","",IF(ISNUMBER(FIND("IMPVOL",I$1)),_xll.BDH(config!$G$4,I$1,WORKDAY($A983,-1,config_Holiday_Calendar_US),WORKDAY($A983,-1,config_Holiday_Calendar_US)),IF(ISNUMBER(_xll.BDH(config!$G$4,I$1,$A983,$A983)),_xll.BDH(config!$G$4,I$1,$A983,$A983),_xll.BDH(config!$G$5,I$1,$A983,$A983))))</f>
        <v/>
      </c>
      <c r="J983" s="8" t="str">
        <f>IF($A983="","",IF(ISNUMBER(FIND("IMPVOL",J$1)),_xll.BDH(config!$G$4,J$1,WORKDAY($A983,-1,config_Holiday_Calendar_US),WORKDAY($A983,-1,config_Holiday_Calendar_US)),IF(ISNUMBER(_xll.BDH(config!$G$4,J$1,$A983,$A983)),_xll.BDH(config!$G$4,J$1,$A983,$A983),_xll.BDH(config!$G$5,J$1,$A983,$A983))))</f>
        <v/>
      </c>
      <c r="K983" s="8" t="str">
        <f>IF($A983="","",IF(ISNUMBER(FIND("IMPVOL",K$1)),_xll.BDH(config!$G$4,K$1,WORKDAY($A983,-1,config_Holiday_Calendar_US),WORKDAY($A983,-1,config_Holiday_Calendar_US)),IF(ISNUMBER(_xll.BDH(config!$G$4,K$1,$A983,$A983)),_xll.BDH(config!$G$4,K$1,$A983,$A983),_xll.BDH(config!$G$5,K$1,$A983,$A983))))</f>
        <v/>
      </c>
      <c r="L983" s="8" t="str">
        <f>IF($A983="","",IF(ISNUMBER(FIND("IMPVOL",L$1)),_xll.BDH(config!$G$4,L$1,WORKDAY($A983,-1,config_Holiday_Calendar_US),WORKDAY($A983,-1,config_Holiday_Calendar_US)),IF(ISNUMBER(_xll.BDH(config!$G$4,L$1,$A983,$A983)),_xll.BDH(config!$G$4,L$1,$A983,$A983),_xll.BDH(config!$G$5,L$1,$A983,$A983))))</f>
        <v/>
      </c>
      <c r="M983" s="8" t="str">
        <f>IF($A983="","",IF(ISNUMBER(FIND("IMPVOL",M$1)),_xll.BDH(config!$G$4,M$1,WORKDAY($A983,-1,config_Holiday_Calendar_US),WORKDAY($A983,-1,config_Holiday_Calendar_US)),IF(ISNUMBER(_xll.BDH(config!$G$4,M$1,$A983,$A983)),_xll.BDH(config!$G$4,M$1,$A983,$A983),_xll.BDH(config!$G$5,M$1,$A983,$A983))))</f>
        <v/>
      </c>
      <c r="N983" s="8" t="str">
        <f>IF($A983="","",IF(ISNUMBER(FIND("IMPVOL",N$1)),_xll.BDH(config!$G$4,N$1,WORKDAY($A983,-1,config_Holiday_Calendar_US),WORKDAY($A983,-1,config_Holiday_Calendar_US)),IF(ISNUMBER(_xll.BDH(config!$G$4,N$1,$A983,$A983)),_xll.BDH(config!$G$4,N$1,$A983,$A983),_xll.BDH(config!$G$5,N$1,$A983,$A983))))</f>
        <v/>
      </c>
      <c r="O983" s="8" t="str">
        <f>IF($A983="","",IF(ISNUMBER(FIND("IMPVOL",O$1)),_xll.BDH(config!$G$4,O$1,WORKDAY($A983,-1,config_Holiday_Calendar_US),WORKDAY($A983,-1,config_Holiday_Calendar_US)),IF(ISNUMBER(_xll.BDH(config!$G$4,O$1,$A983,$A983)),_xll.BDH(config!$G$4,O$1,$A983,$A983),_xll.BDH(config!$G$5,O$1,$A983,$A983))))</f>
        <v/>
      </c>
      <c r="P983" s="8" t="str">
        <f>IF($A983="","",IF(ISNUMBER(FIND("IMPVOL",P$1)),_xll.BDH(config!$G$4,P$1,WORKDAY($A983,-1,config_Holiday_Calendar_US),WORKDAY($A983,-1,config_Holiday_Calendar_US)),IF(ISNUMBER(_xll.BDH(config!$G$4,P$1,$A983,$A983)),_xll.BDH(config!$G$4,P$1,$A983,$A983),_xll.BDH(config!$G$5,P$1,$A983,$A983))))</f>
        <v/>
      </c>
      <c r="Q983" s="8" t="str">
        <f>IF($A983="","",IF(ISNUMBER(FIND("IMPVOL",Q$1)),_xll.BDH(config!$G$4,Q$1,WORKDAY($A983,-1,config_Holiday_Calendar_US),WORKDAY($A983,-1,config_Holiday_Calendar_US)),IF(ISNUMBER(_xll.BDH(config!$G$4,Q$1,$A983,$A983)),_xll.BDH(config!$G$4,Q$1,$A983,$A983),_xll.BDH(config!$G$5,Q$1,$A983,$A983))))</f>
        <v/>
      </c>
      <c r="R983" s="8" t="str">
        <f>IF($A983="","",IF(ISNUMBER(FIND("IMPVOL",R$1)),_xll.BDH(config!$G$4,R$1,WORKDAY($A983,-1,config_Holiday_Calendar_US),WORKDAY($A983,-1,config_Holiday_Calendar_US)),IF(ISNUMBER(_xll.BDH(config!$G$4,R$1,$A983,$A983)),_xll.BDH(config!$G$4,R$1,$A983,$A983),_xll.BDH(config!$G$5,R$1,$A983,$A983))))</f>
        <v/>
      </c>
      <c r="S983" s="8" t="str">
        <f>IF($A983="","",IF(ISNUMBER(FIND("IMPVOL",S$1)),_xll.BDH(config!$G$4,S$1,WORKDAY($A983,-1,config_Holiday_Calendar_US),WORKDAY($A983,-1,config_Holiday_Calendar_US)),IF(ISNUMBER(_xll.BDH(config!$G$4,S$1,$A983,$A983)),_xll.BDH(config!$G$4,S$1,$A983,$A983),_xll.BDH(config!$G$5,S$1,$A983,$A983))))</f>
        <v/>
      </c>
      <c r="T983" s="8" t="str">
        <f>IF($A983="","",IF(ISNUMBER(FIND("IMPVOL",T$1)),_xll.BDH(config!$G$4,T$1,WORKDAY($A983,-1,config_Holiday_Calendar_US),WORKDAY($A983,-1,config_Holiday_Calendar_US)),IF(ISNUMBER(_xll.BDH(config!$G$4,T$1,$A983,$A983)),_xll.BDH(config!$G$4,T$1,$A983,$A983),_xll.BDH(config!$G$5,T$1,$A983,$A983))))</f>
        <v/>
      </c>
      <c r="U983" s="8" t="str">
        <f>IF($A983="","",IF(ISNUMBER(FIND("IMPVOL",U$1)),_xll.BDH(config!$G$4,U$1,WORKDAY($A983,-1,config_Holiday_Calendar_US),WORKDAY($A983,-1,config_Holiday_Calendar_US)),IF(ISNUMBER(_xll.BDH(config!$G$4,U$1,$A983,$A983)),_xll.BDH(config!$G$4,U$1,$A983,$A983),_xll.BDH(config!$G$5,U$1,$A983,$A983))))</f>
        <v/>
      </c>
      <c r="V983" s="8" t="str">
        <f>IF($A983="","",IF(ISNUMBER(FIND("IMPVOL",V$1)),_xll.BDH(config!$G$4,V$1,WORKDAY($A983,-1,config_Holiday_Calendar_US),WORKDAY($A983,-1,config_Holiday_Calendar_US)),IF(ISNUMBER(_xll.BDH(config!$G$4,V$1,$A983,$A983)),_xll.BDH(config!$G$4,V$1,$A983,$A983),_xll.BDH(config!$G$5,V$1,$A983,$A983))))</f>
        <v/>
      </c>
      <c r="W983" s="8" t="str">
        <f>IF($A983="","",IF(ISNUMBER(FIND("IMPVOL",W$1)),_xll.BDH(config!$G$4,W$1,WORKDAY($A983,-1,config_Holiday_Calendar_US),WORKDAY($A983,-1,config_Holiday_Calendar_US)),IF(ISNUMBER(_xll.BDH(config!$G$4,W$1,$A983,$A983)),_xll.BDH(config!$G$4,W$1,$A983,$A983),_xll.BDH(config!$G$5,W$1,$A983,$A983))))</f>
        <v/>
      </c>
    </row>
    <row r="984" spans="1:23" x14ac:dyDescent="0.2">
      <c r="A984" s="9" t="str">
        <f>IF(A983="","",IF(WORKDAY(A983,-1,config_Holiday_Calendar_US)&lt;config!$I$10,"",WORKDAY(A983,-1,config_Holiday_Calendar_US)))</f>
        <v/>
      </c>
      <c r="B984" s="8" t="str">
        <f t="shared" si="15"/>
        <v/>
      </c>
      <c r="C984" s="8" t="str">
        <f>IF(A984="","",_xll.BDH(config!$H$4,C$1,$A984,$A984))</f>
        <v/>
      </c>
      <c r="D984" s="8" t="str">
        <f>IF($A984="","",_xll.BDH(config!$H$4,D$1,$A984,$A984))</f>
        <v/>
      </c>
      <c r="E984" s="8" t="str">
        <f>IF($A984="","",IF(ISNUMBER(FIND("IMPVOL",E$1)),_xll.BDH(config!$G$4,E$1,WORKDAY($A984,-1,config_Holiday_Calendar_US),WORKDAY($A984,-1,config_Holiday_Calendar_US)),IF(ISNUMBER(_xll.BDH(config!$G$4,E$1,$A984,$A984)),_xll.BDH(config!$G$4,E$1,$A984,$A984),_xll.BDH(config!$G$5,E$1,$A984,$A984))))</f>
        <v/>
      </c>
      <c r="F984" s="8" t="str">
        <f>IF($A984="","",IF(ISNUMBER(FIND("IMPVOL",F$1)),_xll.BDH(config!$G$4,F$1,WORKDAY($A984,-1,config_Holiday_Calendar_US),WORKDAY($A984,-1,config_Holiday_Calendar_US)),IF(ISNUMBER(_xll.BDH(config!$G$4,F$1,$A984,$A984)),_xll.BDH(config!$G$4,F$1,$A984,$A984),_xll.BDH(config!$G$5,F$1,$A984,$A984))))</f>
        <v/>
      </c>
      <c r="G984" s="8" t="str">
        <f>IF($A984="","",IF(ISNUMBER(FIND("IMPVOL",G$1)),_xll.BDH(config!$G$4,G$1,WORKDAY($A984,-1,config_Holiday_Calendar_US),WORKDAY($A984,-1,config_Holiday_Calendar_US)),IF(ISNUMBER(_xll.BDH(config!$G$4,G$1,$A984,$A984)),_xll.BDH(config!$G$4,G$1,$A984,$A984),_xll.BDH(config!$G$5,G$1,$A984,$A984))))</f>
        <v/>
      </c>
      <c r="H984" s="8" t="str">
        <f>IF($A984="","",IF(ISNUMBER(FIND("IMPVOL",H$1)),_xll.BDH(config!$G$4,H$1,WORKDAY($A984,-1,config_Holiday_Calendar_US),WORKDAY($A984,-1,config_Holiday_Calendar_US)),IF(ISNUMBER(_xll.BDH(config!$G$4,H$1,$A984,$A984)),_xll.BDH(config!$G$4,H$1,$A984,$A984),_xll.BDH(config!$G$5,H$1,$A984,$A984))))</f>
        <v/>
      </c>
      <c r="I984" s="8" t="str">
        <f>IF($A984="","",IF(ISNUMBER(FIND("IMPVOL",I$1)),_xll.BDH(config!$G$4,I$1,WORKDAY($A984,-1,config_Holiday_Calendar_US),WORKDAY($A984,-1,config_Holiday_Calendar_US)),IF(ISNUMBER(_xll.BDH(config!$G$4,I$1,$A984,$A984)),_xll.BDH(config!$G$4,I$1,$A984,$A984),_xll.BDH(config!$G$5,I$1,$A984,$A984))))</f>
        <v/>
      </c>
      <c r="J984" s="8" t="str">
        <f>IF($A984="","",IF(ISNUMBER(FIND("IMPVOL",J$1)),_xll.BDH(config!$G$4,J$1,WORKDAY($A984,-1,config_Holiday_Calendar_US),WORKDAY($A984,-1,config_Holiday_Calendar_US)),IF(ISNUMBER(_xll.BDH(config!$G$4,J$1,$A984,$A984)),_xll.BDH(config!$G$4,J$1,$A984,$A984),_xll.BDH(config!$G$5,J$1,$A984,$A984))))</f>
        <v/>
      </c>
      <c r="K984" s="8" t="str">
        <f>IF($A984="","",IF(ISNUMBER(FIND("IMPVOL",K$1)),_xll.BDH(config!$G$4,K$1,WORKDAY($A984,-1,config_Holiday_Calendar_US),WORKDAY($A984,-1,config_Holiday_Calendar_US)),IF(ISNUMBER(_xll.BDH(config!$G$4,K$1,$A984,$A984)),_xll.BDH(config!$G$4,K$1,$A984,$A984),_xll.BDH(config!$G$5,K$1,$A984,$A984))))</f>
        <v/>
      </c>
      <c r="L984" s="8" t="str">
        <f>IF($A984="","",IF(ISNUMBER(FIND("IMPVOL",L$1)),_xll.BDH(config!$G$4,L$1,WORKDAY($A984,-1,config_Holiday_Calendar_US),WORKDAY($A984,-1,config_Holiday_Calendar_US)),IF(ISNUMBER(_xll.BDH(config!$G$4,L$1,$A984,$A984)),_xll.BDH(config!$G$4,L$1,$A984,$A984),_xll.BDH(config!$G$5,L$1,$A984,$A984))))</f>
        <v/>
      </c>
      <c r="M984" s="8" t="str">
        <f>IF($A984="","",IF(ISNUMBER(FIND("IMPVOL",M$1)),_xll.BDH(config!$G$4,M$1,WORKDAY($A984,-1,config_Holiday_Calendar_US),WORKDAY($A984,-1,config_Holiday_Calendar_US)),IF(ISNUMBER(_xll.BDH(config!$G$4,M$1,$A984,$A984)),_xll.BDH(config!$G$4,M$1,$A984,$A984),_xll.BDH(config!$G$5,M$1,$A984,$A984))))</f>
        <v/>
      </c>
      <c r="N984" s="8" t="str">
        <f>IF($A984="","",IF(ISNUMBER(FIND("IMPVOL",N$1)),_xll.BDH(config!$G$4,N$1,WORKDAY($A984,-1,config_Holiday_Calendar_US),WORKDAY($A984,-1,config_Holiday_Calendar_US)),IF(ISNUMBER(_xll.BDH(config!$G$4,N$1,$A984,$A984)),_xll.BDH(config!$G$4,N$1,$A984,$A984),_xll.BDH(config!$G$5,N$1,$A984,$A984))))</f>
        <v/>
      </c>
      <c r="O984" s="8" t="str">
        <f>IF($A984="","",IF(ISNUMBER(FIND("IMPVOL",O$1)),_xll.BDH(config!$G$4,O$1,WORKDAY($A984,-1,config_Holiday_Calendar_US),WORKDAY($A984,-1,config_Holiday_Calendar_US)),IF(ISNUMBER(_xll.BDH(config!$G$4,O$1,$A984,$A984)),_xll.BDH(config!$G$4,O$1,$A984,$A984),_xll.BDH(config!$G$5,O$1,$A984,$A984))))</f>
        <v/>
      </c>
      <c r="P984" s="8" t="str">
        <f>IF($A984="","",IF(ISNUMBER(FIND("IMPVOL",P$1)),_xll.BDH(config!$G$4,P$1,WORKDAY($A984,-1,config_Holiday_Calendar_US),WORKDAY($A984,-1,config_Holiday_Calendar_US)),IF(ISNUMBER(_xll.BDH(config!$G$4,P$1,$A984,$A984)),_xll.BDH(config!$G$4,P$1,$A984,$A984),_xll.BDH(config!$G$5,P$1,$A984,$A984))))</f>
        <v/>
      </c>
      <c r="Q984" s="8" t="str">
        <f>IF($A984="","",IF(ISNUMBER(FIND("IMPVOL",Q$1)),_xll.BDH(config!$G$4,Q$1,WORKDAY($A984,-1,config_Holiday_Calendar_US),WORKDAY($A984,-1,config_Holiday_Calendar_US)),IF(ISNUMBER(_xll.BDH(config!$G$4,Q$1,$A984,$A984)),_xll.BDH(config!$G$4,Q$1,$A984,$A984),_xll.BDH(config!$G$5,Q$1,$A984,$A984))))</f>
        <v/>
      </c>
      <c r="R984" s="8" t="str">
        <f>IF($A984="","",IF(ISNUMBER(FIND("IMPVOL",R$1)),_xll.BDH(config!$G$4,R$1,WORKDAY($A984,-1,config_Holiday_Calendar_US),WORKDAY($A984,-1,config_Holiday_Calendar_US)),IF(ISNUMBER(_xll.BDH(config!$G$4,R$1,$A984,$A984)),_xll.BDH(config!$G$4,R$1,$A984,$A984),_xll.BDH(config!$G$5,R$1,$A984,$A984))))</f>
        <v/>
      </c>
      <c r="S984" s="8" t="str">
        <f>IF($A984="","",IF(ISNUMBER(FIND("IMPVOL",S$1)),_xll.BDH(config!$G$4,S$1,WORKDAY($A984,-1,config_Holiday_Calendar_US),WORKDAY($A984,-1,config_Holiday_Calendar_US)),IF(ISNUMBER(_xll.BDH(config!$G$4,S$1,$A984,$A984)),_xll.BDH(config!$G$4,S$1,$A984,$A984),_xll.BDH(config!$G$5,S$1,$A984,$A984))))</f>
        <v/>
      </c>
      <c r="T984" s="8" t="str">
        <f>IF($A984="","",IF(ISNUMBER(FIND("IMPVOL",T$1)),_xll.BDH(config!$G$4,T$1,WORKDAY($A984,-1,config_Holiday_Calendar_US),WORKDAY($A984,-1,config_Holiday_Calendar_US)),IF(ISNUMBER(_xll.BDH(config!$G$4,T$1,$A984,$A984)),_xll.BDH(config!$G$4,T$1,$A984,$A984),_xll.BDH(config!$G$5,T$1,$A984,$A984))))</f>
        <v/>
      </c>
      <c r="U984" s="8" t="str">
        <f>IF($A984="","",IF(ISNUMBER(FIND("IMPVOL",U$1)),_xll.BDH(config!$G$4,U$1,WORKDAY($A984,-1,config_Holiday_Calendar_US),WORKDAY($A984,-1,config_Holiday_Calendar_US)),IF(ISNUMBER(_xll.BDH(config!$G$4,U$1,$A984,$A984)),_xll.BDH(config!$G$4,U$1,$A984,$A984),_xll.BDH(config!$G$5,U$1,$A984,$A984))))</f>
        <v/>
      </c>
      <c r="V984" s="8" t="str">
        <f>IF($A984="","",IF(ISNUMBER(FIND("IMPVOL",V$1)),_xll.BDH(config!$G$4,V$1,WORKDAY($A984,-1,config_Holiday_Calendar_US),WORKDAY($A984,-1,config_Holiday_Calendar_US)),IF(ISNUMBER(_xll.BDH(config!$G$4,V$1,$A984,$A984)),_xll.BDH(config!$G$4,V$1,$A984,$A984),_xll.BDH(config!$G$5,V$1,$A984,$A984))))</f>
        <v/>
      </c>
      <c r="W984" s="8" t="str">
        <f>IF($A984="","",IF(ISNUMBER(FIND("IMPVOL",W$1)),_xll.BDH(config!$G$4,W$1,WORKDAY($A984,-1,config_Holiday_Calendar_US),WORKDAY($A984,-1,config_Holiday_Calendar_US)),IF(ISNUMBER(_xll.BDH(config!$G$4,W$1,$A984,$A984)),_xll.BDH(config!$G$4,W$1,$A984,$A984),_xll.BDH(config!$G$5,W$1,$A984,$A984))))</f>
        <v/>
      </c>
    </row>
    <row r="985" spans="1:23" x14ac:dyDescent="0.2">
      <c r="A985" s="9" t="str">
        <f>IF(A984="","",IF(WORKDAY(A984,-1,config_Holiday_Calendar_US)&lt;config!$I$10,"",WORKDAY(A984,-1,config_Holiday_Calendar_US)))</f>
        <v/>
      </c>
      <c r="B985" s="8" t="str">
        <f t="shared" si="15"/>
        <v/>
      </c>
      <c r="C985" s="8" t="str">
        <f>IF(A985="","",_xll.BDH(config!$H$4,C$1,$A985,$A985))</f>
        <v/>
      </c>
      <c r="D985" s="8" t="str">
        <f>IF($A985="","",_xll.BDH(config!$H$4,D$1,$A985,$A985))</f>
        <v/>
      </c>
      <c r="E985" s="8" t="str">
        <f>IF($A985="","",IF(ISNUMBER(FIND("IMPVOL",E$1)),_xll.BDH(config!$G$4,E$1,WORKDAY($A985,-1,config_Holiday_Calendar_US),WORKDAY($A985,-1,config_Holiday_Calendar_US)),IF(ISNUMBER(_xll.BDH(config!$G$4,E$1,$A985,$A985)),_xll.BDH(config!$G$4,E$1,$A985,$A985),_xll.BDH(config!$G$5,E$1,$A985,$A985))))</f>
        <v/>
      </c>
      <c r="F985" s="8" t="str">
        <f>IF($A985="","",IF(ISNUMBER(FIND("IMPVOL",F$1)),_xll.BDH(config!$G$4,F$1,WORKDAY($A985,-1,config_Holiday_Calendar_US),WORKDAY($A985,-1,config_Holiday_Calendar_US)),IF(ISNUMBER(_xll.BDH(config!$G$4,F$1,$A985,$A985)),_xll.BDH(config!$G$4,F$1,$A985,$A985),_xll.BDH(config!$G$5,F$1,$A985,$A985))))</f>
        <v/>
      </c>
      <c r="G985" s="8" t="str">
        <f>IF($A985="","",IF(ISNUMBER(FIND("IMPVOL",G$1)),_xll.BDH(config!$G$4,G$1,WORKDAY($A985,-1,config_Holiday_Calendar_US),WORKDAY($A985,-1,config_Holiday_Calendar_US)),IF(ISNUMBER(_xll.BDH(config!$G$4,G$1,$A985,$A985)),_xll.BDH(config!$G$4,G$1,$A985,$A985),_xll.BDH(config!$G$5,G$1,$A985,$A985))))</f>
        <v/>
      </c>
      <c r="H985" s="8" t="str">
        <f>IF($A985="","",IF(ISNUMBER(FIND("IMPVOL",H$1)),_xll.BDH(config!$G$4,H$1,WORKDAY($A985,-1,config_Holiday_Calendar_US),WORKDAY($A985,-1,config_Holiday_Calendar_US)),IF(ISNUMBER(_xll.BDH(config!$G$4,H$1,$A985,$A985)),_xll.BDH(config!$G$4,H$1,$A985,$A985),_xll.BDH(config!$G$5,H$1,$A985,$A985))))</f>
        <v/>
      </c>
      <c r="I985" s="8" t="str">
        <f>IF($A985="","",IF(ISNUMBER(FIND("IMPVOL",I$1)),_xll.BDH(config!$G$4,I$1,WORKDAY($A985,-1,config_Holiday_Calendar_US),WORKDAY($A985,-1,config_Holiday_Calendar_US)),IF(ISNUMBER(_xll.BDH(config!$G$4,I$1,$A985,$A985)),_xll.BDH(config!$G$4,I$1,$A985,$A985),_xll.BDH(config!$G$5,I$1,$A985,$A985))))</f>
        <v/>
      </c>
      <c r="J985" s="8" t="str">
        <f>IF($A985="","",IF(ISNUMBER(FIND("IMPVOL",J$1)),_xll.BDH(config!$G$4,J$1,WORKDAY($A985,-1,config_Holiday_Calendar_US),WORKDAY($A985,-1,config_Holiday_Calendar_US)),IF(ISNUMBER(_xll.BDH(config!$G$4,J$1,$A985,$A985)),_xll.BDH(config!$G$4,J$1,$A985,$A985),_xll.BDH(config!$G$5,J$1,$A985,$A985))))</f>
        <v/>
      </c>
      <c r="K985" s="8" t="str">
        <f>IF($A985="","",IF(ISNUMBER(FIND("IMPVOL",K$1)),_xll.BDH(config!$G$4,K$1,WORKDAY($A985,-1,config_Holiday_Calendar_US),WORKDAY($A985,-1,config_Holiday_Calendar_US)),IF(ISNUMBER(_xll.BDH(config!$G$4,K$1,$A985,$A985)),_xll.BDH(config!$G$4,K$1,$A985,$A985),_xll.BDH(config!$G$5,K$1,$A985,$A985))))</f>
        <v/>
      </c>
      <c r="L985" s="8" t="str">
        <f>IF($A985="","",IF(ISNUMBER(FIND("IMPVOL",L$1)),_xll.BDH(config!$G$4,L$1,WORKDAY($A985,-1,config_Holiday_Calendar_US),WORKDAY($A985,-1,config_Holiday_Calendar_US)),IF(ISNUMBER(_xll.BDH(config!$G$4,L$1,$A985,$A985)),_xll.BDH(config!$G$4,L$1,$A985,$A985),_xll.BDH(config!$G$5,L$1,$A985,$A985))))</f>
        <v/>
      </c>
      <c r="M985" s="8" t="str">
        <f>IF($A985="","",IF(ISNUMBER(FIND("IMPVOL",M$1)),_xll.BDH(config!$G$4,M$1,WORKDAY($A985,-1,config_Holiday_Calendar_US),WORKDAY($A985,-1,config_Holiday_Calendar_US)),IF(ISNUMBER(_xll.BDH(config!$G$4,M$1,$A985,$A985)),_xll.BDH(config!$G$4,M$1,$A985,$A985),_xll.BDH(config!$G$5,M$1,$A985,$A985))))</f>
        <v/>
      </c>
      <c r="N985" s="8" t="str">
        <f>IF($A985="","",IF(ISNUMBER(FIND("IMPVOL",N$1)),_xll.BDH(config!$G$4,N$1,WORKDAY($A985,-1,config_Holiday_Calendar_US),WORKDAY($A985,-1,config_Holiday_Calendar_US)),IF(ISNUMBER(_xll.BDH(config!$G$4,N$1,$A985,$A985)),_xll.BDH(config!$G$4,N$1,$A985,$A985),_xll.BDH(config!$G$5,N$1,$A985,$A985))))</f>
        <v/>
      </c>
      <c r="O985" s="8" t="str">
        <f>IF($A985="","",IF(ISNUMBER(FIND("IMPVOL",O$1)),_xll.BDH(config!$G$4,O$1,WORKDAY($A985,-1,config_Holiday_Calendar_US),WORKDAY($A985,-1,config_Holiday_Calendar_US)),IF(ISNUMBER(_xll.BDH(config!$G$4,O$1,$A985,$A985)),_xll.BDH(config!$G$4,O$1,$A985,$A985),_xll.BDH(config!$G$5,O$1,$A985,$A985))))</f>
        <v/>
      </c>
      <c r="P985" s="8" t="str">
        <f>IF($A985="","",IF(ISNUMBER(FIND("IMPVOL",P$1)),_xll.BDH(config!$G$4,P$1,WORKDAY($A985,-1,config_Holiday_Calendar_US),WORKDAY($A985,-1,config_Holiday_Calendar_US)),IF(ISNUMBER(_xll.BDH(config!$G$4,P$1,$A985,$A985)),_xll.BDH(config!$G$4,P$1,$A985,$A985),_xll.BDH(config!$G$5,P$1,$A985,$A985))))</f>
        <v/>
      </c>
      <c r="Q985" s="8" t="str">
        <f>IF($A985="","",IF(ISNUMBER(FIND("IMPVOL",Q$1)),_xll.BDH(config!$G$4,Q$1,WORKDAY($A985,-1,config_Holiday_Calendar_US),WORKDAY($A985,-1,config_Holiday_Calendar_US)),IF(ISNUMBER(_xll.BDH(config!$G$4,Q$1,$A985,$A985)),_xll.BDH(config!$G$4,Q$1,$A985,$A985),_xll.BDH(config!$G$5,Q$1,$A985,$A985))))</f>
        <v/>
      </c>
      <c r="R985" s="8" t="str">
        <f>IF($A985="","",IF(ISNUMBER(FIND("IMPVOL",R$1)),_xll.BDH(config!$G$4,R$1,WORKDAY($A985,-1,config_Holiday_Calendar_US),WORKDAY($A985,-1,config_Holiday_Calendar_US)),IF(ISNUMBER(_xll.BDH(config!$G$4,R$1,$A985,$A985)),_xll.BDH(config!$G$4,R$1,$A985,$A985),_xll.BDH(config!$G$5,R$1,$A985,$A985))))</f>
        <v/>
      </c>
      <c r="S985" s="8" t="str">
        <f>IF($A985="","",IF(ISNUMBER(FIND("IMPVOL",S$1)),_xll.BDH(config!$G$4,S$1,WORKDAY($A985,-1,config_Holiday_Calendar_US),WORKDAY($A985,-1,config_Holiday_Calendar_US)),IF(ISNUMBER(_xll.BDH(config!$G$4,S$1,$A985,$A985)),_xll.BDH(config!$G$4,S$1,$A985,$A985),_xll.BDH(config!$G$5,S$1,$A985,$A985))))</f>
        <v/>
      </c>
      <c r="T985" s="8" t="str">
        <f>IF($A985="","",IF(ISNUMBER(FIND("IMPVOL",T$1)),_xll.BDH(config!$G$4,T$1,WORKDAY($A985,-1,config_Holiday_Calendar_US),WORKDAY($A985,-1,config_Holiday_Calendar_US)),IF(ISNUMBER(_xll.BDH(config!$G$4,T$1,$A985,$A985)),_xll.BDH(config!$G$4,T$1,$A985,$A985),_xll.BDH(config!$G$5,T$1,$A985,$A985))))</f>
        <v/>
      </c>
      <c r="U985" s="8" t="str">
        <f>IF($A985="","",IF(ISNUMBER(FIND("IMPVOL",U$1)),_xll.BDH(config!$G$4,U$1,WORKDAY($A985,-1,config_Holiday_Calendar_US),WORKDAY($A985,-1,config_Holiday_Calendar_US)),IF(ISNUMBER(_xll.BDH(config!$G$4,U$1,$A985,$A985)),_xll.BDH(config!$G$4,U$1,$A985,$A985),_xll.BDH(config!$G$5,U$1,$A985,$A985))))</f>
        <v/>
      </c>
      <c r="V985" s="8" t="str">
        <f>IF($A985="","",IF(ISNUMBER(FIND("IMPVOL",V$1)),_xll.BDH(config!$G$4,V$1,WORKDAY($A985,-1,config_Holiday_Calendar_US),WORKDAY($A985,-1,config_Holiday_Calendar_US)),IF(ISNUMBER(_xll.BDH(config!$G$4,V$1,$A985,$A985)),_xll.BDH(config!$G$4,V$1,$A985,$A985),_xll.BDH(config!$G$5,V$1,$A985,$A985))))</f>
        <v/>
      </c>
      <c r="W985" s="8" t="str">
        <f>IF($A985="","",IF(ISNUMBER(FIND("IMPVOL",W$1)),_xll.BDH(config!$G$4,W$1,WORKDAY($A985,-1,config_Holiday_Calendar_US),WORKDAY($A985,-1,config_Holiday_Calendar_US)),IF(ISNUMBER(_xll.BDH(config!$G$4,W$1,$A985,$A985)),_xll.BDH(config!$G$4,W$1,$A985,$A985),_xll.BDH(config!$G$5,W$1,$A985,$A985))))</f>
        <v/>
      </c>
    </row>
    <row r="986" spans="1:23" x14ac:dyDescent="0.2">
      <c r="A986" s="9" t="str">
        <f>IF(A985="","",IF(WORKDAY(A985,-1,config_Holiday_Calendar_US)&lt;config!$I$10,"",WORKDAY(A985,-1,config_Holiday_Calendar_US)))</f>
        <v/>
      </c>
      <c r="B986" s="8" t="str">
        <f t="shared" si="15"/>
        <v/>
      </c>
      <c r="C986" s="8" t="str">
        <f>IF(A986="","",_xll.BDH(config!$H$4,C$1,$A986,$A986))</f>
        <v/>
      </c>
      <c r="D986" s="8" t="str">
        <f>IF($A986="","",_xll.BDH(config!$H$4,D$1,$A986,$A986))</f>
        <v/>
      </c>
      <c r="E986" s="8" t="str">
        <f>IF($A986="","",IF(ISNUMBER(FIND("IMPVOL",E$1)),_xll.BDH(config!$G$4,E$1,WORKDAY($A986,-1,config_Holiday_Calendar_US),WORKDAY($A986,-1,config_Holiday_Calendar_US)),IF(ISNUMBER(_xll.BDH(config!$G$4,E$1,$A986,$A986)),_xll.BDH(config!$G$4,E$1,$A986,$A986),_xll.BDH(config!$G$5,E$1,$A986,$A986))))</f>
        <v/>
      </c>
      <c r="F986" s="8" t="str">
        <f>IF($A986="","",IF(ISNUMBER(FIND("IMPVOL",F$1)),_xll.BDH(config!$G$4,F$1,WORKDAY($A986,-1,config_Holiday_Calendar_US),WORKDAY($A986,-1,config_Holiday_Calendar_US)),IF(ISNUMBER(_xll.BDH(config!$G$4,F$1,$A986,$A986)),_xll.BDH(config!$G$4,F$1,$A986,$A986),_xll.BDH(config!$G$5,F$1,$A986,$A986))))</f>
        <v/>
      </c>
      <c r="G986" s="8" t="str">
        <f>IF($A986="","",IF(ISNUMBER(FIND("IMPVOL",G$1)),_xll.BDH(config!$G$4,G$1,WORKDAY($A986,-1,config_Holiday_Calendar_US),WORKDAY($A986,-1,config_Holiday_Calendar_US)),IF(ISNUMBER(_xll.BDH(config!$G$4,G$1,$A986,$A986)),_xll.BDH(config!$G$4,G$1,$A986,$A986),_xll.BDH(config!$G$5,G$1,$A986,$A986))))</f>
        <v/>
      </c>
      <c r="H986" s="8" t="str">
        <f>IF($A986="","",IF(ISNUMBER(FIND("IMPVOL",H$1)),_xll.BDH(config!$G$4,H$1,WORKDAY($A986,-1,config_Holiday_Calendar_US),WORKDAY($A986,-1,config_Holiday_Calendar_US)),IF(ISNUMBER(_xll.BDH(config!$G$4,H$1,$A986,$A986)),_xll.BDH(config!$G$4,H$1,$A986,$A986),_xll.BDH(config!$G$5,H$1,$A986,$A986))))</f>
        <v/>
      </c>
      <c r="I986" s="8" t="str">
        <f>IF($A986="","",IF(ISNUMBER(FIND("IMPVOL",I$1)),_xll.BDH(config!$G$4,I$1,WORKDAY($A986,-1,config_Holiday_Calendar_US),WORKDAY($A986,-1,config_Holiday_Calendar_US)),IF(ISNUMBER(_xll.BDH(config!$G$4,I$1,$A986,$A986)),_xll.BDH(config!$G$4,I$1,$A986,$A986),_xll.BDH(config!$G$5,I$1,$A986,$A986))))</f>
        <v/>
      </c>
      <c r="J986" s="8" t="str">
        <f>IF($A986="","",IF(ISNUMBER(FIND("IMPVOL",J$1)),_xll.BDH(config!$G$4,J$1,WORKDAY($A986,-1,config_Holiday_Calendar_US),WORKDAY($A986,-1,config_Holiday_Calendar_US)),IF(ISNUMBER(_xll.BDH(config!$G$4,J$1,$A986,$A986)),_xll.BDH(config!$G$4,J$1,$A986,$A986),_xll.BDH(config!$G$5,J$1,$A986,$A986))))</f>
        <v/>
      </c>
      <c r="K986" s="8" t="str">
        <f>IF($A986="","",IF(ISNUMBER(FIND("IMPVOL",K$1)),_xll.BDH(config!$G$4,K$1,WORKDAY($A986,-1,config_Holiday_Calendar_US),WORKDAY($A986,-1,config_Holiday_Calendar_US)),IF(ISNUMBER(_xll.BDH(config!$G$4,K$1,$A986,$A986)),_xll.BDH(config!$G$4,K$1,$A986,$A986),_xll.BDH(config!$G$5,K$1,$A986,$A986))))</f>
        <v/>
      </c>
      <c r="L986" s="8" t="str">
        <f>IF($A986="","",IF(ISNUMBER(FIND("IMPVOL",L$1)),_xll.BDH(config!$G$4,L$1,WORKDAY($A986,-1,config_Holiday_Calendar_US),WORKDAY($A986,-1,config_Holiday_Calendar_US)),IF(ISNUMBER(_xll.BDH(config!$G$4,L$1,$A986,$A986)),_xll.BDH(config!$G$4,L$1,$A986,$A986),_xll.BDH(config!$G$5,L$1,$A986,$A986))))</f>
        <v/>
      </c>
      <c r="M986" s="8" t="str">
        <f>IF($A986="","",IF(ISNUMBER(FIND("IMPVOL",M$1)),_xll.BDH(config!$G$4,M$1,WORKDAY($A986,-1,config_Holiday_Calendar_US),WORKDAY($A986,-1,config_Holiday_Calendar_US)),IF(ISNUMBER(_xll.BDH(config!$G$4,M$1,$A986,$A986)),_xll.BDH(config!$G$4,M$1,$A986,$A986),_xll.BDH(config!$G$5,M$1,$A986,$A986))))</f>
        <v/>
      </c>
      <c r="N986" s="8" t="str">
        <f>IF($A986="","",IF(ISNUMBER(FIND("IMPVOL",N$1)),_xll.BDH(config!$G$4,N$1,WORKDAY($A986,-1,config_Holiday_Calendar_US),WORKDAY($A986,-1,config_Holiday_Calendar_US)),IF(ISNUMBER(_xll.BDH(config!$G$4,N$1,$A986,$A986)),_xll.BDH(config!$G$4,N$1,$A986,$A986),_xll.BDH(config!$G$5,N$1,$A986,$A986))))</f>
        <v/>
      </c>
      <c r="O986" s="8" t="str">
        <f>IF($A986="","",IF(ISNUMBER(FIND("IMPVOL",O$1)),_xll.BDH(config!$G$4,O$1,WORKDAY($A986,-1,config_Holiday_Calendar_US),WORKDAY($A986,-1,config_Holiday_Calendar_US)),IF(ISNUMBER(_xll.BDH(config!$G$4,O$1,$A986,$A986)),_xll.BDH(config!$G$4,O$1,$A986,$A986),_xll.BDH(config!$G$5,O$1,$A986,$A986))))</f>
        <v/>
      </c>
      <c r="P986" s="8" t="str">
        <f>IF($A986="","",IF(ISNUMBER(FIND("IMPVOL",P$1)),_xll.BDH(config!$G$4,P$1,WORKDAY($A986,-1,config_Holiday_Calendar_US),WORKDAY($A986,-1,config_Holiday_Calendar_US)),IF(ISNUMBER(_xll.BDH(config!$G$4,P$1,$A986,$A986)),_xll.BDH(config!$G$4,P$1,$A986,$A986),_xll.BDH(config!$G$5,P$1,$A986,$A986))))</f>
        <v/>
      </c>
      <c r="Q986" s="8" t="str">
        <f>IF($A986="","",IF(ISNUMBER(FIND("IMPVOL",Q$1)),_xll.BDH(config!$G$4,Q$1,WORKDAY($A986,-1,config_Holiday_Calendar_US),WORKDAY($A986,-1,config_Holiday_Calendar_US)),IF(ISNUMBER(_xll.BDH(config!$G$4,Q$1,$A986,$A986)),_xll.BDH(config!$G$4,Q$1,$A986,$A986),_xll.BDH(config!$G$5,Q$1,$A986,$A986))))</f>
        <v/>
      </c>
      <c r="R986" s="8" t="str">
        <f>IF($A986="","",IF(ISNUMBER(FIND("IMPVOL",R$1)),_xll.BDH(config!$G$4,R$1,WORKDAY($A986,-1,config_Holiday_Calendar_US),WORKDAY($A986,-1,config_Holiday_Calendar_US)),IF(ISNUMBER(_xll.BDH(config!$G$4,R$1,$A986,$A986)),_xll.BDH(config!$G$4,R$1,$A986,$A986),_xll.BDH(config!$G$5,R$1,$A986,$A986))))</f>
        <v/>
      </c>
      <c r="S986" s="8" t="str">
        <f>IF($A986="","",IF(ISNUMBER(FIND("IMPVOL",S$1)),_xll.BDH(config!$G$4,S$1,WORKDAY($A986,-1,config_Holiday_Calendar_US),WORKDAY($A986,-1,config_Holiday_Calendar_US)),IF(ISNUMBER(_xll.BDH(config!$G$4,S$1,$A986,$A986)),_xll.BDH(config!$G$4,S$1,$A986,$A986),_xll.BDH(config!$G$5,S$1,$A986,$A986))))</f>
        <v/>
      </c>
      <c r="T986" s="8" t="str">
        <f>IF($A986="","",IF(ISNUMBER(FIND("IMPVOL",T$1)),_xll.BDH(config!$G$4,T$1,WORKDAY($A986,-1,config_Holiday_Calendar_US),WORKDAY($A986,-1,config_Holiday_Calendar_US)),IF(ISNUMBER(_xll.BDH(config!$G$4,T$1,$A986,$A986)),_xll.BDH(config!$G$4,T$1,$A986,$A986),_xll.BDH(config!$G$5,T$1,$A986,$A986))))</f>
        <v/>
      </c>
      <c r="U986" s="8" t="str">
        <f>IF($A986="","",IF(ISNUMBER(FIND("IMPVOL",U$1)),_xll.BDH(config!$G$4,U$1,WORKDAY($A986,-1,config_Holiday_Calendar_US),WORKDAY($A986,-1,config_Holiday_Calendar_US)),IF(ISNUMBER(_xll.BDH(config!$G$4,U$1,$A986,$A986)),_xll.BDH(config!$G$4,U$1,$A986,$A986),_xll.BDH(config!$G$5,U$1,$A986,$A986))))</f>
        <v/>
      </c>
      <c r="V986" s="8" t="str">
        <f>IF($A986="","",IF(ISNUMBER(FIND("IMPVOL",V$1)),_xll.BDH(config!$G$4,V$1,WORKDAY($A986,-1,config_Holiday_Calendar_US),WORKDAY($A986,-1,config_Holiday_Calendar_US)),IF(ISNUMBER(_xll.BDH(config!$G$4,V$1,$A986,$A986)),_xll.BDH(config!$G$4,V$1,$A986,$A986),_xll.BDH(config!$G$5,V$1,$A986,$A986))))</f>
        <v/>
      </c>
      <c r="W986" s="8" t="str">
        <f>IF($A986="","",IF(ISNUMBER(FIND("IMPVOL",W$1)),_xll.BDH(config!$G$4,W$1,WORKDAY($A986,-1,config_Holiday_Calendar_US),WORKDAY($A986,-1,config_Holiday_Calendar_US)),IF(ISNUMBER(_xll.BDH(config!$G$4,W$1,$A986,$A986)),_xll.BDH(config!$G$4,W$1,$A986,$A986),_xll.BDH(config!$G$5,W$1,$A986,$A986))))</f>
        <v/>
      </c>
    </row>
    <row r="987" spans="1:23" x14ac:dyDescent="0.2">
      <c r="A987" s="9" t="str">
        <f>IF(A986="","",IF(WORKDAY(A986,-1,config_Holiday_Calendar_US)&lt;config!$I$10,"",WORKDAY(A986,-1,config_Holiday_Calendar_US)))</f>
        <v/>
      </c>
      <c r="B987" s="8" t="str">
        <f t="shared" si="15"/>
        <v/>
      </c>
      <c r="C987" s="8" t="str">
        <f>IF(A987="","",_xll.BDH(config!$H$4,C$1,$A987,$A987))</f>
        <v/>
      </c>
      <c r="D987" s="8" t="str">
        <f>IF($A987="","",_xll.BDH(config!$H$4,D$1,$A987,$A987))</f>
        <v/>
      </c>
      <c r="E987" s="8" t="str">
        <f>IF($A987="","",IF(ISNUMBER(FIND("IMPVOL",E$1)),_xll.BDH(config!$G$4,E$1,WORKDAY($A987,-1,config_Holiday_Calendar_US),WORKDAY($A987,-1,config_Holiday_Calendar_US)),IF(ISNUMBER(_xll.BDH(config!$G$4,E$1,$A987,$A987)),_xll.BDH(config!$G$4,E$1,$A987,$A987),_xll.BDH(config!$G$5,E$1,$A987,$A987))))</f>
        <v/>
      </c>
      <c r="F987" s="8" t="str">
        <f>IF($A987="","",IF(ISNUMBER(FIND("IMPVOL",F$1)),_xll.BDH(config!$G$4,F$1,WORKDAY($A987,-1,config_Holiday_Calendar_US),WORKDAY($A987,-1,config_Holiday_Calendar_US)),IF(ISNUMBER(_xll.BDH(config!$G$4,F$1,$A987,$A987)),_xll.BDH(config!$G$4,F$1,$A987,$A987),_xll.BDH(config!$G$5,F$1,$A987,$A987))))</f>
        <v/>
      </c>
      <c r="G987" s="8" t="str">
        <f>IF($A987="","",IF(ISNUMBER(FIND("IMPVOL",G$1)),_xll.BDH(config!$G$4,G$1,WORKDAY($A987,-1,config_Holiday_Calendar_US),WORKDAY($A987,-1,config_Holiday_Calendar_US)),IF(ISNUMBER(_xll.BDH(config!$G$4,G$1,$A987,$A987)),_xll.BDH(config!$G$4,G$1,$A987,$A987),_xll.BDH(config!$G$5,G$1,$A987,$A987))))</f>
        <v/>
      </c>
      <c r="H987" s="8" t="str">
        <f>IF($A987="","",IF(ISNUMBER(FIND("IMPVOL",H$1)),_xll.BDH(config!$G$4,H$1,WORKDAY($A987,-1,config_Holiday_Calendar_US),WORKDAY($A987,-1,config_Holiday_Calendar_US)),IF(ISNUMBER(_xll.BDH(config!$G$4,H$1,$A987,$A987)),_xll.BDH(config!$G$4,H$1,$A987,$A987),_xll.BDH(config!$G$5,H$1,$A987,$A987))))</f>
        <v/>
      </c>
      <c r="I987" s="8" t="str">
        <f>IF($A987="","",IF(ISNUMBER(FIND("IMPVOL",I$1)),_xll.BDH(config!$G$4,I$1,WORKDAY($A987,-1,config_Holiday_Calendar_US),WORKDAY($A987,-1,config_Holiday_Calendar_US)),IF(ISNUMBER(_xll.BDH(config!$G$4,I$1,$A987,$A987)),_xll.BDH(config!$G$4,I$1,$A987,$A987),_xll.BDH(config!$G$5,I$1,$A987,$A987))))</f>
        <v/>
      </c>
      <c r="J987" s="8" t="str">
        <f>IF($A987="","",IF(ISNUMBER(FIND("IMPVOL",J$1)),_xll.BDH(config!$G$4,J$1,WORKDAY($A987,-1,config_Holiday_Calendar_US),WORKDAY($A987,-1,config_Holiday_Calendar_US)),IF(ISNUMBER(_xll.BDH(config!$G$4,J$1,$A987,$A987)),_xll.BDH(config!$G$4,J$1,$A987,$A987),_xll.BDH(config!$G$5,J$1,$A987,$A987))))</f>
        <v/>
      </c>
      <c r="K987" s="8" t="str">
        <f>IF($A987="","",IF(ISNUMBER(FIND("IMPVOL",K$1)),_xll.BDH(config!$G$4,K$1,WORKDAY($A987,-1,config_Holiday_Calendar_US),WORKDAY($A987,-1,config_Holiday_Calendar_US)),IF(ISNUMBER(_xll.BDH(config!$G$4,K$1,$A987,$A987)),_xll.BDH(config!$G$4,K$1,$A987,$A987),_xll.BDH(config!$G$5,K$1,$A987,$A987))))</f>
        <v/>
      </c>
      <c r="L987" s="8" t="str">
        <f>IF($A987="","",IF(ISNUMBER(FIND("IMPVOL",L$1)),_xll.BDH(config!$G$4,L$1,WORKDAY($A987,-1,config_Holiday_Calendar_US),WORKDAY($A987,-1,config_Holiday_Calendar_US)),IF(ISNUMBER(_xll.BDH(config!$G$4,L$1,$A987,$A987)),_xll.BDH(config!$G$4,L$1,$A987,$A987),_xll.BDH(config!$G$5,L$1,$A987,$A987))))</f>
        <v/>
      </c>
      <c r="M987" s="8" t="str">
        <f>IF($A987="","",IF(ISNUMBER(FIND("IMPVOL",M$1)),_xll.BDH(config!$G$4,M$1,WORKDAY($A987,-1,config_Holiday_Calendar_US),WORKDAY($A987,-1,config_Holiday_Calendar_US)),IF(ISNUMBER(_xll.BDH(config!$G$4,M$1,$A987,$A987)),_xll.BDH(config!$G$4,M$1,$A987,$A987),_xll.BDH(config!$G$5,M$1,$A987,$A987))))</f>
        <v/>
      </c>
      <c r="N987" s="8" t="str">
        <f>IF($A987="","",IF(ISNUMBER(FIND("IMPVOL",N$1)),_xll.BDH(config!$G$4,N$1,WORKDAY($A987,-1,config_Holiday_Calendar_US),WORKDAY($A987,-1,config_Holiday_Calendar_US)),IF(ISNUMBER(_xll.BDH(config!$G$4,N$1,$A987,$A987)),_xll.BDH(config!$G$4,N$1,$A987,$A987),_xll.BDH(config!$G$5,N$1,$A987,$A987))))</f>
        <v/>
      </c>
      <c r="O987" s="8" t="str">
        <f>IF($A987="","",IF(ISNUMBER(FIND("IMPVOL",O$1)),_xll.BDH(config!$G$4,O$1,WORKDAY($A987,-1,config_Holiday_Calendar_US),WORKDAY($A987,-1,config_Holiday_Calendar_US)),IF(ISNUMBER(_xll.BDH(config!$G$4,O$1,$A987,$A987)),_xll.BDH(config!$G$4,O$1,$A987,$A987),_xll.BDH(config!$G$5,O$1,$A987,$A987))))</f>
        <v/>
      </c>
      <c r="P987" s="8" t="str">
        <f>IF($A987="","",IF(ISNUMBER(FIND("IMPVOL",P$1)),_xll.BDH(config!$G$4,P$1,WORKDAY($A987,-1,config_Holiday_Calendar_US),WORKDAY($A987,-1,config_Holiday_Calendar_US)),IF(ISNUMBER(_xll.BDH(config!$G$4,P$1,$A987,$A987)),_xll.BDH(config!$G$4,P$1,$A987,$A987),_xll.BDH(config!$G$5,P$1,$A987,$A987))))</f>
        <v/>
      </c>
      <c r="Q987" s="8" t="str">
        <f>IF($A987="","",IF(ISNUMBER(FIND("IMPVOL",Q$1)),_xll.BDH(config!$G$4,Q$1,WORKDAY($A987,-1,config_Holiday_Calendar_US),WORKDAY($A987,-1,config_Holiday_Calendar_US)),IF(ISNUMBER(_xll.BDH(config!$G$4,Q$1,$A987,$A987)),_xll.BDH(config!$G$4,Q$1,$A987,$A987),_xll.BDH(config!$G$5,Q$1,$A987,$A987))))</f>
        <v/>
      </c>
      <c r="R987" s="8" t="str">
        <f>IF($A987="","",IF(ISNUMBER(FIND("IMPVOL",R$1)),_xll.BDH(config!$G$4,R$1,WORKDAY($A987,-1,config_Holiday_Calendar_US),WORKDAY($A987,-1,config_Holiday_Calendar_US)),IF(ISNUMBER(_xll.BDH(config!$G$4,R$1,$A987,$A987)),_xll.BDH(config!$G$4,R$1,$A987,$A987),_xll.BDH(config!$G$5,R$1,$A987,$A987))))</f>
        <v/>
      </c>
      <c r="S987" s="8" t="str">
        <f>IF($A987="","",IF(ISNUMBER(FIND("IMPVOL",S$1)),_xll.BDH(config!$G$4,S$1,WORKDAY($A987,-1,config_Holiday_Calendar_US),WORKDAY($A987,-1,config_Holiday_Calendar_US)),IF(ISNUMBER(_xll.BDH(config!$G$4,S$1,$A987,$A987)),_xll.BDH(config!$G$4,S$1,$A987,$A987),_xll.BDH(config!$G$5,S$1,$A987,$A987))))</f>
        <v/>
      </c>
      <c r="T987" s="8" t="str">
        <f>IF($A987="","",IF(ISNUMBER(FIND("IMPVOL",T$1)),_xll.BDH(config!$G$4,T$1,WORKDAY($A987,-1,config_Holiday_Calendar_US),WORKDAY($A987,-1,config_Holiday_Calendar_US)),IF(ISNUMBER(_xll.BDH(config!$G$4,T$1,$A987,$A987)),_xll.BDH(config!$G$4,T$1,$A987,$A987),_xll.BDH(config!$G$5,T$1,$A987,$A987))))</f>
        <v/>
      </c>
      <c r="U987" s="8" t="str">
        <f>IF($A987="","",IF(ISNUMBER(FIND("IMPVOL",U$1)),_xll.BDH(config!$G$4,U$1,WORKDAY($A987,-1,config_Holiday_Calendar_US),WORKDAY($A987,-1,config_Holiday_Calendar_US)),IF(ISNUMBER(_xll.BDH(config!$G$4,U$1,$A987,$A987)),_xll.BDH(config!$G$4,U$1,$A987,$A987),_xll.BDH(config!$G$5,U$1,$A987,$A987))))</f>
        <v/>
      </c>
      <c r="V987" s="8" t="str">
        <f>IF($A987="","",IF(ISNUMBER(FIND("IMPVOL",V$1)),_xll.BDH(config!$G$4,V$1,WORKDAY($A987,-1,config_Holiday_Calendar_US),WORKDAY($A987,-1,config_Holiday_Calendar_US)),IF(ISNUMBER(_xll.BDH(config!$G$4,V$1,$A987,$A987)),_xll.BDH(config!$G$4,V$1,$A987,$A987),_xll.BDH(config!$G$5,V$1,$A987,$A987))))</f>
        <v/>
      </c>
      <c r="W987" s="8" t="str">
        <f>IF($A987="","",IF(ISNUMBER(FIND("IMPVOL",W$1)),_xll.BDH(config!$G$4,W$1,WORKDAY($A987,-1,config_Holiday_Calendar_US),WORKDAY($A987,-1,config_Holiday_Calendar_US)),IF(ISNUMBER(_xll.BDH(config!$G$4,W$1,$A987,$A987)),_xll.BDH(config!$G$4,W$1,$A987,$A987),_xll.BDH(config!$G$5,W$1,$A987,$A987))))</f>
        <v/>
      </c>
    </row>
    <row r="988" spans="1:23" x14ac:dyDescent="0.2">
      <c r="A988" s="9" t="str">
        <f>IF(A987="","",IF(WORKDAY(A987,-1,config_Holiday_Calendar_US)&lt;config!$I$10,"",WORKDAY(A987,-1,config_Holiday_Calendar_US)))</f>
        <v/>
      </c>
      <c r="B988" s="8" t="str">
        <f t="shared" si="15"/>
        <v/>
      </c>
      <c r="C988" s="8" t="str">
        <f>IF(A988="","",_xll.BDH(config!$H$4,C$1,$A988,$A988))</f>
        <v/>
      </c>
      <c r="D988" s="8" t="str">
        <f>IF($A988="","",_xll.BDH(config!$H$4,D$1,$A988,$A988))</f>
        <v/>
      </c>
      <c r="E988" s="8" t="str">
        <f>IF($A988="","",IF(ISNUMBER(FIND("IMPVOL",E$1)),_xll.BDH(config!$G$4,E$1,WORKDAY($A988,-1,config_Holiday_Calendar_US),WORKDAY($A988,-1,config_Holiday_Calendar_US)),IF(ISNUMBER(_xll.BDH(config!$G$4,E$1,$A988,$A988)),_xll.BDH(config!$G$4,E$1,$A988,$A988),_xll.BDH(config!$G$5,E$1,$A988,$A988))))</f>
        <v/>
      </c>
      <c r="F988" s="8" t="str">
        <f>IF($A988="","",IF(ISNUMBER(FIND("IMPVOL",F$1)),_xll.BDH(config!$G$4,F$1,WORKDAY($A988,-1,config_Holiday_Calendar_US),WORKDAY($A988,-1,config_Holiday_Calendar_US)),IF(ISNUMBER(_xll.BDH(config!$G$4,F$1,$A988,$A988)),_xll.BDH(config!$G$4,F$1,$A988,$A988),_xll.BDH(config!$G$5,F$1,$A988,$A988))))</f>
        <v/>
      </c>
      <c r="G988" s="8" t="str">
        <f>IF($A988="","",IF(ISNUMBER(FIND("IMPVOL",G$1)),_xll.BDH(config!$G$4,G$1,WORKDAY($A988,-1,config_Holiday_Calendar_US),WORKDAY($A988,-1,config_Holiday_Calendar_US)),IF(ISNUMBER(_xll.BDH(config!$G$4,G$1,$A988,$A988)),_xll.BDH(config!$G$4,G$1,$A988,$A988),_xll.BDH(config!$G$5,G$1,$A988,$A988))))</f>
        <v/>
      </c>
      <c r="H988" s="8" t="str">
        <f>IF($A988="","",IF(ISNUMBER(FIND("IMPVOL",H$1)),_xll.BDH(config!$G$4,H$1,WORKDAY($A988,-1,config_Holiday_Calendar_US),WORKDAY($A988,-1,config_Holiday_Calendar_US)),IF(ISNUMBER(_xll.BDH(config!$G$4,H$1,$A988,$A988)),_xll.BDH(config!$G$4,H$1,$A988,$A988),_xll.BDH(config!$G$5,H$1,$A988,$A988))))</f>
        <v/>
      </c>
      <c r="I988" s="8" t="str">
        <f>IF($A988="","",IF(ISNUMBER(FIND("IMPVOL",I$1)),_xll.BDH(config!$G$4,I$1,WORKDAY($A988,-1,config_Holiday_Calendar_US),WORKDAY($A988,-1,config_Holiday_Calendar_US)),IF(ISNUMBER(_xll.BDH(config!$G$4,I$1,$A988,$A988)),_xll.BDH(config!$G$4,I$1,$A988,$A988),_xll.BDH(config!$G$5,I$1,$A988,$A988))))</f>
        <v/>
      </c>
      <c r="J988" s="8" t="str">
        <f>IF($A988="","",IF(ISNUMBER(FIND("IMPVOL",J$1)),_xll.BDH(config!$G$4,J$1,WORKDAY($A988,-1,config_Holiday_Calendar_US),WORKDAY($A988,-1,config_Holiday_Calendar_US)),IF(ISNUMBER(_xll.BDH(config!$G$4,J$1,$A988,$A988)),_xll.BDH(config!$G$4,J$1,$A988,$A988),_xll.BDH(config!$G$5,J$1,$A988,$A988))))</f>
        <v/>
      </c>
      <c r="K988" s="8" t="str">
        <f>IF($A988="","",IF(ISNUMBER(FIND("IMPVOL",K$1)),_xll.BDH(config!$G$4,K$1,WORKDAY($A988,-1,config_Holiday_Calendar_US),WORKDAY($A988,-1,config_Holiday_Calendar_US)),IF(ISNUMBER(_xll.BDH(config!$G$4,K$1,$A988,$A988)),_xll.BDH(config!$G$4,K$1,$A988,$A988),_xll.BDH(config!$G$5,K$1,$A988,$A988))))</f>
        <v/>
      </c>
      <c r="L988" s="8" t="str">
        <f>IF($A988="","",IF(ISNUMBER(FIND("IMPVOL",L$1)),_xll.BDH(config!$G$4,L$1,WORKDAY($A988,-1,config_Holiday_Calendar_US),WORKDAY($A988,-1,config_Holiday_Calendar_US)),IF(ISNUMBER(_xll.BDH(config!$G$4,L$1,$A988,$A988)),_xll.BDH(config!$G$4,L$1,$A988,$A988),_xll.BDH(config!$G$5,L$1,$A988,$A988))))</f>
        <v/>
      </c>
      <c r="M988" s="8" t="str">
        <f>IF($A988="","",IF(ISNUMBER(FIND("IMPVOL",M$1)),_xll.BDH(config!$G$4,M$1,WORKDAY($A988,-1,config_Holiday_Calendar_US),WORKDAY($A988,-1,config_Holiday_Calendar_US)),IF(ISNUMBER(_xll.BDH(config!$G$4,M$1,$A988,$A988)),_xll.BDH(config!$G$4,M$1,$A988,$A988),_xll.BDH(config!$G$5,M$1,$A988,$A988))))</f>
        <v/>
      </c>
      <c r="N988" s="8" t="str">
        <f>IF($A988="","",IF(ISNUMBER(FIND("IMPVOL",N$1)),_xll.BDH(config!$G$4,N$1,WORKDAY($A988,-1,config_Holiday_Calendar_US),WORKDAY($A988,-1,config_Holiday_Calendar_US)),IF(ISNUMBER(_xll.BDH(config!$G$4,N$1,$A988,$A988)),_xll.BDH(config!$G$4,N$1,$A988,$A988),_xll.BDH(config!$G$5,N$1,$A988,$A988))))</f>
        <v/>
      </c>
      <c r="O988" s="8" t="str">
        <f>IF($A988="","",IF(ISNUMBER(FIND("IMPVOL",O$1)),_xll.BDH(config!$G$4,O$1,WORKDAY($A988,-1,config_Holiday_Calendar_US),WORKDAY($A988,-1,config_Holiday_Calendar_US)),IF(ISNUMBER(_xll.BDH(config!$G$4,O$1,$A988,$A988)),_xll.BDH(config!$G$4,O$1,$A988,$A988),_xll.BDH(config!$G$5,O$1,$A988,$A988))))</f>
        <v/>
      </c>
      <c r="P988" s="8" t="str">
        <f>IF($A988="","",IF(ISNUMBER(FIND("IMPVOL",P$1)),_xll.BDH(config!$G$4,P$1,WORKDAY($A988,-1,config_Holiday_Calendar_US),WORKDAY($A988,-1,config_Holiday_Calendar_US)),IF(ISNUMBER(_xll.BDH(config!$G$4,P$1,$A988,$A988)),_xll.BDH(config!$G$4,P$1,$A988,$A988),_xll.BDH(config!$G$5,P$1,$A988,$A988))))</f>
        <v/>
      </c>
      <c r="Q988" s="8" t="str">
        <f>IF($A988="","",IF(ISNUMBER(FIND("IMPVOL",Q$1)),_xll.BDH(config!$G$4,Q$1,WORKDAY($A988,-1,config_Holiday_Calendar_US),WORKDAY($A988,-1,config_Holiday_Calendar_US)),IF(ISNUMBER(_xll.BDH(config!$G$4,Q$1,$A988,$A988)),_xll.BDH(config!$G$4,Q$1,$A988,$A988),_xll.BDH(config!$G$5,Q$1,$A988,$A988))))</f>
        <v/>
      </c>
      <c r="R988" s="8" t="str">
        <f>IF($A988="","",IF(ISNUMBER(FIND("IMPVOL",R$1)),_xll.BDH(config!$G$4,R$1,WORKDAY($A988,-1,config_Holiday_Calendar_US),WORKDAY($A988,-1,config_Holiday_Calendar_US)),IF(ISNUMBER(_xll.BDH(config!$G$4,R$1,$A988,$A988)),_xll.BDH(config!$G$4,R$1,$A988,$A988),_xll.BDH(config!$G$5,R$1,$A988,$A988))))</f>
        <v/>
      </c>
      <c r="S988" s="8" t="str">
        <f>IF($A988="","",IF(ISNUMBER(FIND("IMPVOL",S$1)),_xll.BDH(config!$G$4,S$1,WORKDAY($A988,-1,config_Holiday_Calendar_US),WORKDAY($A988,-1,config_Holiday_Calendar_US)),IF(ISNUMBER(_xll.BDH(config!$G$4,S$1,$A988,$A988)),_xll.BDH(config!$G$4,S$1,$A988,$A988),_xll.BDH(config!$G$5,S$1,$A988,$A988))))</f>
        <v/>
      </c>
      <c r="T988" s="8" t="str">
        <f>IF($A988="","",IF(ISNUMBER(FIND("IMPVOL",T$1)),_xll.BDH(config!$G$4,T$1,WORKDAY($A988,-1,config_Holiday_Calendar_US),WORKDAY($A988,-1,config_Holiday_Calendar_US)),IF(ISNUMBER(_xll.BDH(config!$G$4,T$1,$A988,$A988)),_xll.BDH(config!$G$4,T$1,$A988,$A988),_xll.BDH(config!$G$5,T$1,$A988,$A988))))</f>
        <v/>
      </c>
      <c r="U988" s="8" t="str">
        <f>IF($A988="","",IF(ISNUMBER(FIND("IMPVOL",U$1)),_xll.BDH(config!$G$4,U$1,WORKDAY($A988,-1,config_Holiday_Calendar_US),WORKDAY($A988,-1,config_Holiday_Calendar_US)),IF(ISNUMBER(_xll.BDH(config!$G$4,U$1,$A988,$A988)),_xll.BDH(config!$G$4,U$1,$A988,$A988),_xll.BDH(config!$G$5,U$1,$A988,$A988))))</f>
        <v/>
      </c>
      <c r="V988" s="8" t="str">
        <f>IF($A988="","",IF(ISNUMBER(FIND("IMPVOL",V$1)),_xll.BDH(config!$G$4,V$1,WORKDAY($A988,-1,config_Holiday_Calendar_US),WORKDAY($A988,-1,config_Holiday_Calendar_US)),IF(ISNUMBER(_xll.BDH(config!$G$4,V$1,$A988,$A988)),_xll.BDH(config!$G$4,V$1,$A988,$A988),_xll.BDH(config!$G$5,V$1,$A988,$A988))))</f>
        <v/>
      </c>
      <c r="W988" s="8" t="str">
        <f>IF($A988="","",IF(ISNUMBER(FIND("IMPVOL",W$1)),_xll.BDH(config!$G$4,W$1,WORKDAY($A988,-1,config_Holiday_Calendar_US),WORKDAY($A988,-1,config_Holiday_Calendar_US)),IF(ISNUMBER(_xll.BDH(config!$G$4,W$1,$A988,$A988)),_xll.BDH(config!$G$4,W$1,$A988,$A988),_xll.BDH(config!$G$5,W$1,$A988,$A988))))</f>
        <v/>
      </c>
    </row>
    <row r="989" spans="1:23" x14ac:dyDescent="0.2">
      <c r="A989" s="9" t="str">
        <f>IF(A988="","",IF(WORKDAY(A988,-1,config_Holiday_Calendar_US)&lt;config!$I$10,"",WORKDAY(A988,-1,config_Holiday_Calendar_US)))</f>
        <v/>
      </c>
      <c r="B989" s="8" t="str">
        <f t="shared" si="15"/>
        <v/>
      </c>
      <c r="C989" s="8" t="str">
        <f>IF(A989="","",_xll.BDH(config!$H$4,C$1,$A989,$A989))</f>
        <v/>
      </c>
      <c r="D989" s="8" t="str">
        <f>IF($A989="","",_xll.BDH(config!$H$4,D$1,$A989,$A989))</f>
        <v/>
      </c>
      <c r="E989" s="8" t="str">
        <f>IF($A989="","",IF(ISNUMBER(FIND("IMPVOL",E$1)),_xll.BDH(config!$G$4,E$1,WORKDAY($A989,-1,config_Holiday_Calendar_US),WORKDAY($A989,-1,config_Holiday_Calendar_US)),IF(ISNUMBER(_xll.BDH(config!$G$4,E$1,$A989,$A989)),_xll.BDH(config!$G$4,E$1,$A989,$A989),_xll.BDH(config!$G$5,E$1,$A989,$A989))))</f>
        <v/>
      </c>
      <c r="F989" s="8" t="str">
        <f>IF($A989="","",IF(ISNUMBER(FIND("IMPVOL",F$1)),_xll.BDH(config!$G$4,F$1,WORKDAY($A989,-1,config_Holiday_Calendar_US),WORKDAY($A989,-1,config_Holiday_Calendar_US)),IF(ISNUMBER(_xll.BDH(config!$G$4,F$1,$A989,$A989)),_xll.BDH(config!$G$4,F$1,$A989,$A989),_xll.BDH(config!$G$5,F$1,$A989,$A989))))</f>
        <v/>
      </c>
      <c r="G989" s="8" t="str">
        <f>IF($A989="","",IF(ISNUMBER(FIND("IMPVOL",G$1)),_xll.BDH(config!$G$4,G$1,WORKDAY($A989,-1,config_Holiday_Calendar_US),WORKDAY($A989,-1,config_Holiday_Calendar_US)),IF(ISNUMBER(_xll.BDH(config!$G$4,G$1,$A989,$A989)),_xll.BDH(config!$G$4,G$1,$A989,$A989),_xll.BDH(config!$G$5,G$1,$A989,$A989))))</f>
        <v/>
      </c>
      <c r="H989" s="8" t="str">
        <f>IF($A989="","",IF(ISNUMBER(FIND("IMPVOL",H$1)),_xll.BDH(config!$G$4,H$1,WORKDAY($A989,-1,config_Holiday_Calendar_US),WORKDAY($A989,-1,config_Holiday_Calendar_US)),IF(ISNUMBER(_xll.BDH(config!$G$4,H$1,$A989,$A989)),_xll.BDH(config!$G$4,H$1,$A989,$A989),_xll.BDH(config!$G$5,H$1,$A989,$A989))))</f>
        <v/>
      </c>
      <c r="I989" s="8" t="str">
        <f>IF($A989="","",IF(ISNUMBER(FIND("IMPVOL",I$1)),_xll.BDH(config!$G$4,I$1,WORKDAY($A989,-1,config_Holiday_Calendar_US),WORKDAY($A989,-1,config_Holiday_Calendar_US)),IF(ISNUMBER(_xll.BDH(config!$G$4,I$1,$A989,$A989)),_xll.BDH(config!$G$4,I$1,$A989,$A989),_xll.BDH(config!$G$5,I$1,$A989,$A989))))</f>
        <v/>
      </c>
      <c r="J989" s="8" t="str">
        <f>IF($A989="","",IF(ISNUMBER(FIND("IMPVOL",J$1)),_xll.BDH(config!$G$4,J$1,WORKDAY($A989,-1,config_Holiday_Calendar_US),WORKDAY($A989,-1,config_Holiday_Calendar_US)),IF(ISNUMBER(_xll.BDH(config!$G$4,J$1,$A989,$A989)),_xll.BDH(config!$G$4,J$1,$A989,$A989),_xll.BDH(config!$G$5,J$1,$A989,$A989))))</f>
        <v/>
      </c>
      <c r="K989" s="8" t="str">
        <f>IF($A989="","",IF(ISNUMBER(FIND("IMPVOL",K$1)),_xll.BDH(config!$G$4,K$1,WORKDAY($A989,-1,config_Holiday_Calendar_US),WORKDAY($A989,-1,config_Holiday_Calendar_US)),IF(ISNUMBER(_xll.BDH(config!$G$4,K$1,$A989,$A989)),_xll.BDH(config!$G$4,K$1,$A989,$A989),_xll.BDH(config!$G$5,K$1,$A989,$A989))))</f>
        <v/>
      </c>
      <c r="L989" s="8" t="str">
        <f>IF($A989="","",IF(ISNUMBER(FIND("IMPVOL",L$1)),_xll.BDH(config!$G$4,L$1,WORKDAY($A989,-1,config_Holiday_Calendar_US),WORKDAY($A989,-1,config_Holiday_Calendar_US)),IF(ISNUMBER(_xll.BDH(config!$G$4,L$1,$A989,$A989)),_xll.BDH(config!$G$4,L$1,$A989,$A989),_xll.BDH(config!$G$5,L$1,$A989,$A989))))</f>
        <v/>
      </c>
      <c r="M989" s="8" t="str">
        <f>IF($A989="","",IF(ISNUMBER(FIND("IMPVOL",M$1)),_xll.BDH(config!$G$4,M$1,WORKDAY($A989,-1,config_Holiday_Calendar_US),WORKDAY($A989,-1,config_Holiday_Calendar_US)),IF(ISNUMBER(_xll.BDH(config!$G$4,M$1,$A989,$A989)),_xll.BDH(config!$G$4,M$1,$A989,$A989),_xll.BDH(config!$G$5,M$1,$A989,$A989))))</f>
        <v/>
      </c>
      <c r="N989" s="8" t="str">
        <f>IF($A989="","",IF(ISNUMBER(FIND("IMPVOL",N$1)),_xll.BDH(config!$G$4,N$1,WORKDAY($A989,-1,config_Holiday_Calendar_US),WORKDAY($A989,-1,config_Holiday_Calendar_US)),IF(ISNUMBER(_xll.BDH(config!$G$4,N$1,$A989,$A989)),_xll.BDH(config!$G$4,N$1,$A989,$A989),_xll.BDH(config!$G$5,N$1,$A989,$A989))))</f>
        <v/>
      </c>
      <c r="O989" s="8" t="str">
        <f>IF($A989="","",IF(ISNUMBER(FIND("IMPVOL",O$1)),_xll.BDH(config!$G$4,O$1,WORKDAY($A989,-1,config_Holiday_Calendar_US),WORKDAY($A989,-1,config_Holiday_Calendar_US)),IF(ISNUMBER(_xll.BDH(config!$G$4,O$1,$A989,$A989)),_xll.BDH(config!$G$4,O$1,$A989,$A989),_xll.BDH(config!$G$5,O$1,$A989,$A989))))</f>
        <v/>
      </c>
      <c r="P989" s="8" t="str">
        <f>IF($A989="","",IF(ISNUMBER(FIND("IMPVOL",P$1)),_xll.BDH(config!$G$4,P$1,WORKDAY($A989,-1,config_Holiday_Calendar_US),WORKDAY($A989,-1,config_Holiday_Calendar_US)),IF(ISNUMBER(_xll.BDH(config!$G$4,P$1,$A989,$A989)),_xll.BDH(config!$G$4,P$1,$A989,$A989),_xll.BDH(config!$G$5,P$1,$A989,$A989))))</f>
        <v/>
      </c>
      <c r="Q989" s="8" t="str">
        <f>IF($A989="","",IF(ISNUMBER(FIND("IMPVOL",Q$1)),_xll.BDH(config!$G$4,Q$1,WORKDAY($A989,-1,config_Holiday_Calendar_US),WORKDAY($A989,-1,config_Holiday_Calendar_US)),IF(ISNUMBER(_xll.BDH(config!$G$4,Q$1,$A989,$A989)),_xll.BDH(config!$G$4,Q$1,$A989,$A989),_xll.BDH(config!$G$5,Q$1,$A989,$A989))))</f>
        <v/>
      </c>
      <c r="R989" s="8" t="str">
        <f>IF($A989="","",IF(ISNUMBER(FIND("IMPVOL",R$1)),_xll.BDH(config!$G$4,R$1,WORKDAY($A989,-1,config_Holiday_Calendar_US),WORKDAY($A989,-1,config_Holiday_Calendar_US)),IF(ISNUMBER(_xll.BDH(config!$G$4,R$1,$A989,$A989)),_xll.BDH(config!$G$4,R$1,$A989,$A989),_xll.BDH(config!$G$5,R$1,$A989,$A989))))</f>
        <v/>
      </c>
      <c r="S989" s="8" t="str">
        <f>IF($A989="","",IF(ISNUMBER(FIND("IMPVOL",S$1)),_xll.BDH(config!$G$4,S$1,WORKDAY($A989,-1,config_Holiday_Calendar_US),WORKDAY($A989,-1,config_Holiday_Calendar_US)),IF(ISNUMBER(_xll.BDH(config!$G$4,S$1,$A989,$A989)),_xll.BDH(config!$G$4,S$1,$A989,$A989),_xll.BDH(config!$G$5,S$1,$A989,$A989))))</f>
        <v/>
      </c>
      <c r="T989" s="8" t="str">
        <f>IF($A989="","",IF(ISNUMBER(FIND("IMPVOL",T$1)),_xll.BDH(config!$G$4,T$1,WORKDAY($A989,-1,config_Holiday_Calendar_US),WORKDAY($A989,-1,config_Holiday_Calendar_US)),IF(ISNUMBER(_xll.BDH(config!$G$4,T$1,$A989,$A989)),_xll.BDH(config!$G$4,T$1,$A989,$A989),_xll.BDH(config!$G$5,T$1,$A989,$A989))))</f>
        <v/>
      </c>
      <c r="U989" s="8" t="str">
        <f>IF($A989="","",IF(ISNUMBER(FIND("IMPVOL",U$1)),_xll.BDH(config!$G$4,U$1,WORKDAY($A989,-1,config_Holiday_Calendar_US),WORKDAY($A989,-1,config_Holiday_Calendar_US)),IF(ISNUMBER(_xll.BDH(config!$G$4,U$1,$A989,$A989)),_xll.BDH(config!$G$4,U$1,$A989,$A989),_xll.BDH(config!$G$5,U$1,$A989,$A989))))</f>
        <v/>
      </c>
      <c r="V989" s="8" t="str">
        <f>IF($A989="","",IF(ISNUMBER(FIND("IMPVOL",V$1)),_xll.BDH(config!$G$4,V$1,WORKDAY($A989,-1,config_Holiday_Calendar_US),WORKDAY($A989,-1,config_Holiday_Calendar_US)),IF(ISNUMBER(_xll.BDH(config!$G$4,V$1,$A989,$A989)),_xll.BDH(config!$G$4,V$1,$A989,$A989),_xll.BDH(config!$G$5,V$1,$A989,$A989))))</f>
        <v/>
      </c>
      <c r="W989" s="8" t="str">
        <f>IF($A989="","",IF(ISNUMBER(FIND("IMPVOL",W$1)),_xll.BDH(config!$G$4,W$1,WORKDAY($A989,-1,config_Holiday_Calendar_US),WORKDAY($A989,-1,config_Holiday_Calendar_US)),IF(ISNUMBER(_xll.BDH(config!$G$4,W$1,$A989,$A989)),_xll.BDH(config!$G$4,W$1,$A989,$A989),_xll.BDH(config!$G$5,W$1,$A989,$A989))))</f>
        <v/>
      </c>
    </row>
    <row r="990" spans="1:23" x14ac:dyDescent="0.2">
      <c r="A990" s="9" t="str">
        <f>IF(A989="","",IF(WORKDAY(A989,-1,config_Holiday_Calendar_US)&lt;config!$I$10,"",WORKDAY(A989,-1,config_Holiday_Calendar_US)))</f>
        <v/>
      </c>
      <c r="B990" s="8" t="str">
        <f t="shared" si="15"/>
        <v/>
      </c>
      <c r="C990" s="8" t="str">
        <f>IF(A990="","",_xll.BDH(config!$H$4,C$1,$A990,$A990))</f>
        <v/>
      </c>
      <c r="D990" s="8" t="str">
        <f>IF($A990="","",_xll.BDH(config!$H$4,D$1,$A990,$A990))</f>
        <v/>
      </c>
      <c r="E990" s="8" t="str">
        <f>IF($A990="","",IF(ISNUMBER(FIND("IMPVOL",E$1)),_xll.BDH(config!$G$4,E$1,WORKDAY($A990,-1,config_Holiday_Calendar_US),WORKDAY($A990,-1,config_Holiday_Calendar_US)),IF(ISNUMBER(_xll.BDH(config!$G$4,E$1,$A990,$A990)),_xll.BDH(config!$G$4,E$1,$A990,$A990),_xll.BDH(config!$G$5,E$1,$A990,$A990))))</f>
        <v/>
      </c>
      <c r="F990" s="8" t="str">
        <f>IF($A990="","",IF(ISNUMBER(FIND("IMPVOL",F$1)),_xll.BDH(config!$G$4,F$1,WORKDAY($A990,-1,config_Holiday_Calendar_US),WORKDAY($A990,-1,config_Holiday_Calendar_US)),IF(ISNUMBER(_xll.BDH(config!$G$4,F$1,$A990,$A990)),_xll.BDH(config!$G$4,F$1,$A990,$A990),_xll.BDH(config!$G$5,F$1,$A990,$A990))))</f>
        <v/>
      </c>
      <c r="G990" s="8" t="str">
        <f>IF($A990="","",IF(ISNUMBER(FIND("IMPVOL",G$1)),_xll.BDH(config!$G$4,G$1,WORKDAY($A990,-1,config_Holiday_Calendar_US),WORKDAY($A990,-1,config_Holiday_Calendar_US)),IF(ISNUMBER(_xll.BDH(config!$G$4,G$1,$A990,$A990)),_xll.BDH(config!$G$4,G$1,$A990,$A990),_xll.BDH(config!$G$5,G$1,$A990,$A990))))</f>
        <v/>
      </c>
      <c r="H990" s="8" t="str">
        <f>IF($A990="","",IF(ISNUMBER(FIND("IMPVOL",H$1)),_xll.BDH(config!$G$4,H$1,WORKDAY($A990,-1,config_Holiday_Calendar_US),WORKDAY($A990,-1,config_Holiday_Calendar_US)),IF(ISNUMBER(_xll.BDH(config!$G$4,H$1,$A990,$A990)),_xll.BDH(config!$G$4,H$1,$A990,$A990),_xll.BDH(config!$G$5,H$1,$A990,$A990))))</f>
        <v/>
      </c>
      <c r="I990" s="8" t="str">
        <f>IF($A990="","",IF(ISNUMBER(FIND("IMPVOL",I$1)),_xll.BDH(config!$G$4,I$1,WORKDAY($A990,-1,config_Holiday_Calendar_US),WORKDAY($A990,-1,config_Holiday_Calendar_US)),IF(ISNUMBER(_xll.BDH(config!$G$4,I$1,$A990,$A990)),_xll.BDH(config!$G$4,I$1,$A990,$A990),_xll.BDH(config!$G$5,I$1,$A990,$A990))))</f>
        <v/>
      </c>
      <c r="J990" s="8" t="str">
        <f>IF($A990="","",IF(ISNUMBER(FIND("IMPVOL",J$1)),_xll.BDH(config!$G$4,J$1,WORKDAY($A990,-1,config_Holiday_Calendar_US),WORKDAY($A990,-1,config_Holiday_Calendar_US)),IF(ISNUMBER(_xll.BDH(config!$G$4,J$1,$A990,$A990)),_xll.BDH(config!$G$4,J$1,$A990,$A990),_xll.BDH(config!$G$5,J$1,$A990,$A990))))</f>
        <v/>
      </c>
      <c r="K990" s="8" t="str">
        <f>IF($A990="","",IF(ISNUMBER(FIND("IMPVOL",K$1)),_xll.BDH(config!$G$4,K$1,WORKDAY($A990,-1,config_Holiday_Calendar_US),WORKDAY($A990,-1,config_Holiday_Calendar_US)),IF(ISNUMBER(_xll.BDH(config!$G$4,K$1,$A990,$A990)),_xll.BDH(config!$G$4,K$1,$A990,$A990),_xll.BDH(config!$G$5,K$1,$A990,$A990))))</f>
        <v/>
      </c>
      <c r="L990" s="8" t="str">
        <f>IF($A990="","",IF(ISNUMBER(FIND("IMPVOL",L$1)),_xll.BDH(config!$G$4,L$1,WORKDAY($A990,-1,config_Holiday_Calendar_US),WORKDAY($A990,-1,config_Holiday_Calendar_US)),IF(ISNUMBER(_xll.BDH(config!$G$4,L$1,$A990,$A990)),_xll.BDH(config!$G$4,L$1,$A990,$A990),_xll.BDH(config!$G$5,L$1,$A990,$A990))))</f>
        <v/>
      </c>
      <c r="M990" s="8" t="str">
        <f>IF($A990="","",IF(ISNUMBER(FIND("IMPVOL",M$1)),_xll.BDH(config!$G$4,M$1,WORKDAY($A990,-1,config_Holiday_Calendar_US),WORKDAY($A990,-1,config_Holiday_Calendar_US)),IF(ISNUMBER(_xll.BDH(config!$G$4,M$1,$A990,$A990)),_xll.BDH(config!$G$4,M$1,$A990,$A990),_xll.BDH(config!$G$5,M$1,$A990,$A990))))</f>
        <v/>
      </c>
      <c r="N990" s="8" t="str">
        <f>IF($A990="","",IF(ISNUMBER(FIND("IMPVOL",N$1)),_xll.BDH(config!$G$4,N$1,WORKDAY($A990,-1,config_Holiday_Calendar_US),WORKDAY($A990,-1,config_Holiday_Calendar_US)),IF(ISNUMBER(_xll.BDH(config!$G$4,N$1,$A990,$A990)),_xll.BDH(config!$G$4,N$1,$A990,$A990),_xll.BDH(config!$G$5,N$1,$A990,$A990))))</f>
        <v/>
      </c>
      <c r="O990" s="8" t="str">
        <f>IF($A990="","",IF(ISNUMBER(FIND("IMPVOL",O$1)),_xll.BDH(config!$G$4,O$1,WORKDAY($A990,-1,config_Holiday_Calendar_US),WORKDAY($A990,-1,config_Holiday_Calendar_US)),IF(ISNUMBER(_xll.BDH(config!$G$4,O$1,$A990,$A990)),_xll.BDH(config!$G$4,O$1,$A990,$A990),_xll.BDH(config!$G$5,O$1,$A990,$A990))))</f>
        <v/>
      </c>
      <c r="P990" s="8" t="str">
        <f>IF($A990="","",IF(ISNUMBER(FIND("IMPVOL",P$1)),_xll.BDH(config!$G$4,P$1,WORKDAY($A990,-1,config_Holiday_Calendar_US),WORKDAY($A990,-1,config_Holiday_Calendar_US)),IF(ISNUMBER(_xll.BDH(config!$G$4,P$1,$A990,$A990)),_xll.BDH(config!$G$4,P$1,$A990,$A990),_xll.BDH(config!$G$5,P$1,$A990,$A990))))</f>
        <v/>
      </c>
      <c r="Q990" s="8" t="str">
        <f>IF($A990="","",IF(ISNUMBER(FIND("IMPVOL",Q$1)),_xll.BDH(config!$G$4,Q$1,WORKDAY($A990,-1,config_Holiday_Calendar_US),WORKDAY($A990,-1,config_Holiday_Calendar_US)),IF(ISNUMBER(_xll.BDH(config!$G$4,Q$1,$A990,$A990)),_xll.BDH(config!$G$4,Q$1,$A990,$A990),_xll.BDH(config!$G$5,Q$1,$A990,$A990))))</f>
        <v/>
      </c>
      <c r="R990" s="8" t="str">
        <f>IF($A990="","",IF(ISNUMBER(FIND("IMPVOL",R$1)),_xll.BDH(config!$G$4,R$1,WORKDAY($A990,-1,config_Holiday_Calendar_US),WORKDAY($A990,-1,config_Holiday_Calendar_US)),IF(ISNUMBER(_xll.BDH(config!$G$4,R$1,$A990,$A990)),_xll.BDH(config!$G$4,R$1,$A990,$A990),_xll.BDH(config!$G$5,R$1,$A990,$A990))))</f>
        <v/>
      </c>
      <c r="S990" s="8" t="str">
        <f>IF($A990="","",IF(ISNUMBER(FIND("IMPVOL",S$1)),_xll.BDH(config!$G$4,S$1,WORKDAY($A990,-1,config_Holiday_Calendar_US),WORKDAY($A990,-1,config_Holiday_Calendar_US)),IF(ISNUMBER(_xll.BDH(config!$G$4,S$1,$A990,$A990)),_xll.BDH(config!$G$4,S$1,$A990,$A990),_xll.BDH(config!$G$5,S$1,$A990,$A990))))</f>
        <v/>
      </c>
      <c r="T990" s="8" t="str">
        <f>IF($A990="","",IF(ISNUMBER(FIND("IMPVOL",T$1)),_xll.BDH(config!$G$4,T$1,WORKDAY($A990,-1,config_Holiday_Calendar_US),WORKDAY($A990,-1,config_Holiday_Calendar_US)),IF(ISNUMBER(_xll.BDH(config!$G$4,T$1,$A990,$A990)),_xll.BDH(config!$G$4,T$1,$A990,$A990),_xll.BDH(config!$G$5,T$1,$A990,$A990))))</f>
        <v/>
      </c>
      <c r="U990" s="8" t="str">
        <f>IF($A990="","",IF(ISNUMBER(FIND("IMPVOL",U$1)),_xll.BDH(config!$G$4,U$1,WORKDAY($A990,-1,config_Holiday_Calendar_US),WORKDAY($A990,-1,config_Holiday_Calendar_US)),IF(ISNUMBER(_xll.BDH(config!$G$4,U$1,$A990,$A990)),_xll.BDH(config!$G$4,U$1,$A990,$A990),_xll.BDH(config!$G$5,U$1,$A990,$A990))))</f>
        <v/>
      </c>
      <c r="V990" s="8" t="str">
        <f>IF($A990="","",IF(ISNUMBER(FIND("IMPVOL",V$1)),_xll.BDH(config!$G$4,V$1,WORKDAY($A990,-1,config_Holiday_Calendar_US),WORKDAY($A990,-1,config_Holiday_Calendar_US)),IF(ISNUMBER(_xll.BDH(config!$G$4,V$1,$A990,$A990)),_xll.BDH(config!$G$4,V$1,$A990,$A990),_xll.BDH(config!$G$5,V$1,$A990,$A990))))</f>
        <v/>
      </c>
      <c r="W990" s="8" t="str">
        <f>IF($A990="","",IF(ISNUMBER(FIND("IMPVOL",W$1)),_xll.BDH(config!$G$4,W$1,WORKDAY($A990,-1,config_Holiday_Calendar_US),WORKDAY($A990,-1,config_Holiday_Calendar_US)),IF(ISNUMBER(_xll.BDH(config!$G$4,W$1,$A990,$A990)),_xll.BDH(config!$G$4,W$1,$A990,$A990),_xll.BDH(config!$G$5,W$1,$A990,$A990))))</f>
        <v/>
      </c>
    </row>
    <row r="991" spans="1:23" x14ac:dyDescent="0.2">
      <c r="A991" s="9" t="str">
        <f>IF(A990="","",IF(WORKDAY(A990,-1,config_Holiday_Calendar_US)&lt;config!$I$10,"",WORKDAY(A990,-1,config_Holiday_Calendar_US)))</f>
        <v/>
      </c>
      <c r="B991" s="8" t="str">
        <f t="shared" si="15"/>
        <v/>
      </c>
      <c r="C991" s="8" t="str">
        <f>IF(A991="","",_xll.BDH(config!$H$4,C$1,$A991,$A991))</f>
        <v/>
      </c>
      <c r="D991" s="8" t="str">
        <f>IF($A991="","",_xll.BDH(config!$H$4,D$1,$A991,$A991))</f>
        <v/>
      </c>
      <c r="E991" s="8" t="str">
        <f>IF($A991="","",IF(ISNUMBER(FIND("IMPVOL",E$1)),_xll.BDH(config!$G$4,E$1,WORKDAY($A991,-1,config_Holiday_Calendar_US),WORKDAY($A991,-1,config_Holiday_Calendar_US)),IF(ISNUMBER(_xll.BDH(config!$G$4,E$1,$A991,$A991)),_xll.BDH(config!$G$4,E$1,$A991,$A991),_xll.BDH(config!$G$5,E$1,$A991,$A991))))</f>
        <v/>
      </c>
      <c r="F991" s="8" t="str">
        <f>IF($A991="","",IF(ISNUMBER(FIND("IMPVOL",F$1)),_xll.BDH(config!$G$4,F$1,WORKDAY($A991,-1,config_Holiday_Calendar_US),WORKDAY($A991,-1,config_Holiday_Calendar_US)),IF(ISNUMBER(_xll.BDH(config!$G$4,F$1,$A991,$A991)),_xll.BDH(config!$G$4,F$1,$A991,$A991),_xll.BDH(config!$G$5,F$1,$A991,$A991))))</f>
        <v/>
      </c>
      <c r="G991" s="8" t="str">
        <f>IF($A991="","",IF(ISNUMBER(FIND("IMPVOL",G$1)),_xll.BDH(config!$G$4,G$1,WORKDAY($A991,-1,config_Holiday_Calendar_US),WORKDAY($A991,-1,config_Holiday_Calendar_US)),IF(ISNUMBER(_xll.BDH(config!$G$4,G$1,$A991,$A991)),_xll.BDH(config!$G$4,G$1,$A991,$A991),_xll.BDH(config!$G$5,G$1,$A991,$A991))))</f>
        <v/>
      </c>
      <c r="H991" s="8" t="str">
        <f>IF($A991="","",IF(ISNUMBER(FIND("IMPVOL",H$1)),_xll.BDH(config!$G$4,H$1,WORKDAY($A991,-1,config_Holiday_Calendar_US),WORKDAY($A991,-1,config_Holiday_Calendar_US)),IF(ISNUMBER(_xll.BDH(config!$G$4,H$1,$A991,$A991)),_xll.BDH(config!$G$4,H$1,$A991,$A991),_xll.BDH(config!$G$5,H$1,$A991,$A991))))</f>
        <v/>
      </c>
      <c r="I991" s="8" t="str">
        <f>IF($A991="","",IF(ISNUMBER(FIND("IMPVOL",I$1)),_xll.BDH(config!$G$4,I$1,WORKDAY($A991,-1,config_Holiday_Calendar_US),WORKDAY($A991,-1,config_Holiday_Calendar_US)),IF(ISNUMBER(_xll.BDH(config!$G$4,I$1,$A991,$A991)),_xll.BDH(config!$G$4,I$1,$A991,$A991),_xll.BDH(config!$G$5,I$1,$A991,$A991))))</f>
        <v/>
      </c>
      <c r="J991" s="8" t="str">
        <f>IF($A991="","",IF(ISNUMBER(FIND("IMPVOL",J$1)),_xll.BDH(config!$G$4,J$1,WORKDAY($A991,-1,config_Holiday_Calendar_US),WORKDAY($A991,-1,config_Holiday_Calendar_US)),IF(ISNUMBER(_xll.BDH(config!$G$4,J$1,$A991,$A991)),_xll.BDH(config!$G$4,J$1,$A991,$A991),_xll.BDH(config!$G$5,J$1,$A991,$A991))))</f>
        <v/>
      </c>
      <c r="K991" s="8" t="str">
        <f>IF($A991="","",IF(ISNUMBER(FIND("IMPVOL",K$1)),_xll.BDH(config!$G$4,K$1,WORKDAY($A991,-1,config_Holiday_Calendar_US),WORKDAY($A991,-1,config_Holiday_Calendar_US)),IF(ISNUMBER(_xll.BDH(config!$G$4,K$1,$A991,$A991)),_xll.BDH(config!$G$4,K$1,$A991,$A991),_xll.BDH(config!$G$5,K$1,$A991,$A991))))</f>
        <v/>
      </c>
      <c r="L991" s="8" t="str">
        <f>IF($A991="","",IF(ISNUMBER(FIND("IMPVOL",L$1)),_xll.BDH(config!$G$4,L$1,WORKDAY($A991,-1,config_Holiday_Calendar_US),WORKDAY($A991,-1,config_Holiday_Calendar_US)),IF(ISNUMBER(_xll.BDH(config!$G$4,L$1,$A991,$A991)),_xll.BDH(config!$G$4,L$1,$A991,$A991),_xll.BDH(config!$G$5,L$1,$A991,$A991))))</f>
        <v/>
      </c>
      <c r="M991" s="8" t="str">
        <f>IF($A991="","",IF(ISNUMBER(FIND("IMPVOL",M$1)),_xll.BDH(config!$G$4,M$1,WORKDAY($A991,-1,config_Holiday_Calendar_US),WORKDAY($A991,-1,config_Holiday_Calendar_US)),IF(ISNUMBER(_xll.BDH(config!$G$4,M$1,$A991,$A991)),_xll.BDH(config!$G$4,M$1,$A991,$A991),_xll.BDH(config!$G$5,M$1,$A991,$A991))))</f>
        <v/>
      </c>
      <c r="N991" s="8" t="str">
        <f>IF($A991="","",IF(ISNUMBER(FIND("IMPVOL",N$1)),_xll.BDH(config!$G$4,N$1,WORKDAY($A991,-1,config_Holiday_Calendar_US),WORKDAY($A991,-1,config_Holiday_Calendar_US)),IF(ISNUMBER(_xll.BDH(config!$G$4,N$1,$A991,$A991)),_xll.BDH(config!$G$4,N$1,$A991,$A991),_xll.BDH(config!$G$5,N$1,$A991,$A991))))</f>
        <v/>
      </c>
      <c r="O991" s="8" t="str">
        <f>IF($A991="","",IF(ISNUMBER(FIND("IMPVOL",O$1)),_xll.BDH(config!$G$4,O$1,WORKDAY($A991,-1,config_Holiday_Calendar_US),WORKDAY($A991,-1,config_Holiday_Calendar_US)),IF(ISNUMBER(_xll.BDH(config!$G$4,O$1,$A991,$A991)),_xll.BDH(config!$G$4,O$1,$A991,$A991),_xll.BDH(config!$G$5,O$1,$A991,$A991))))</f>
        <v/>
      </c>
      <c r="P991" s="8" t="str">
        <f>IF($A991="","",IF(ISNUMBER(FIND("IMPVOL",P$1)),_xll.BDH(config!$G$4,P$1,WORKDAY($A991,-1,config_Holiday_Calendar_US),WORKDAY($A991,-1,config_Holiday_Calendar_US)),IF(ISNUMBER(_xll.BDH(config!$G$4,P$1,$A991,$A991)),_xll.BDH(config!$G$4,P$1,$A991,$A991),_xll.BDH(config!$G$5,P$1,$A991,$A991))))</f>
        <v/>
      </c>
      <c r="Q991" s="8" t="str">
        <f>IF($A991="","",IF(ISNUMBER(FIND("IMPVOL",Q$1)),_xll.BDH(config!$G$4,Q$1,WORKDAY($A991,-1,config_Holiday_Calendar_US),WORKDAY($A991,-1,config_Holiday_Calendar_US)),IF(ISNUMBER(_xll.BDH(config!$G$4,Q$1,$A991,$A991)),_xll.BDH(config!$G$4,Q$1,$A991,$A991),_xll.BDH(config!$G$5,Q$1,$A991,$A991))))</f>
        <v/>
      </c>
      <c r="R991" s="8" t="str">
        <f>IF($A991="","",IF(ISNUMBER(FIND("IMPVOL",R$1)),_xll.BDH(config!$G$4,R$1,WORKDAY($A991,-1,config_Holiday_Calendar_US),WORKDAY($A991,-1,config_Holiday_Calendar_US)),IF(ISNUMBER(_xll.BDH(config!$G$4,R$1,$A991,$A991)),_xll.BDH(config!$G$4,R$1,$A991,$A991),_xll.BDH(config!$G$5,R$1,$A991,$A991))))</f>
        <v/>
      </c>
      <c r="S991" s="8" t="str">
        <f>IF($A991="","",IF(ISNUMBER(FIND("IMPVOL",S$1)),_xll.BDH(config!$G$4,S$1,WORKDAY($A991,-1,config_Holiday_Calendar_US),WORKDAY($A991,-1,config_Holiday_Calendar_US)),IF(ISNUMBER(_xll.BDH(config!$G$4,S$1,$A991,$A991)),_xll.BDH(config!$G$4,S$1,$A991,$A991),_xll.BDH(config!$G$5,S$1,$A991,$A991))))</f>
        <v/>
      </c>
      <c r="T991" s="8" t="str">
        <f>IF($A991="","",IF(ISNUMBER(FIND("IMPVOL",T$1)),_xll.BDH(config!$G$4,T$1,WORKDAY($A991,-1,config_Holiday_Calendar_US),WORKDAY($A991,-1,config_Holiday_Calendar_US)),IF(ISNUMBER(_xll.BDH(config!$G$4,T$1,$A991,$A991)),_xll.BDH(config!$G$4,T$1,$A991,$A991),_xll.BDH(config!$G$5,T$1,$A991,$A991))))</f>
        <v/>
      </c>
      <c r="U991" s="8" t="str">
        <f>IF($A991="","",IF(ISNUMBER(FIND("IMPVOL",U$1)),_xll.BDH(config!$G$4,U$1,WORKDAY($A991,-1,config_Holiday_Calendar_US),WORKDAY($A991,-1,config_Holiday_Calendar_US)),IF(ISNUMBER(_xll.BDH(config!$G$4,U$1,$A991,$A991)),_xll.BDH(config!$G$4,U$1,$A991,$A991),_xll.BDH(config!$G$5,U$1,$A991,$A991))))</f>
        <v/>
      </c>
      <c r="V991" s="8" t="str">
        <f>IF($A991="","",IF(ISNUMBER(FIND("IMPVOL",V$1)),_xll.BDH(config!$G$4,V$1,WORKDAY($A991,-1,config_Holiday_Calendar_US),WORKDAY($A991,-1,config_Holiday_Calendar_US)),IF(ISNUMBER(_xll.BDH(config!$G$4,V$1,$A991,$A991)),_xll.BDH(config!$G$4,V$1,$A991,$A991),_xll.BDH(config!$G$5,V$1,$A991,$A991))))</f>
        <v/>
      </c>
      <c r="W991" s="8" t="str">
        <f>IF($A991="","",IF(ISNUMBER(FIND("IMPVOL",W$1)),_xll.BDH(config!$G$4,W$1,WORKDAY($A991,-1,config_Holiday_Calendar_US),WORKDAY($A991,-1,config_Holiday_Calendar_US)),IF(ISNUMBER(_xll.BDH(config!$G$4,W$1,$A991,$A991)),_xll.BDH(config!$G$4,W$1,$A991,$A991),_xll.BDH(config!$G$5,W$1,$A991,$A991))))</f>
        <v/>
      </c>
    </row>
    <row r="992" spans="1:23" x14ac:dyDescent="0.2">
      <c r="A992" s="9" t="str">
        <f>IF(A991="","",IF(WORKDAY(A991,-1,config_Holiday_Calendar_US)&lt;config!$I$10,"",WORKDAY(A991,-1,config_Holiday_Calendar_US)))</f>
        <v/>
      </c>
      <c r="B992" s="8" t="str">
        <f t="shared" si="15"/>
        <v/>
      </c>
      <c r="C992" s="8" t="str">
        <f>IF(A992="","",_xll.BDH(config!$H$4,C$1,$A992,$A992))</f>
        <v/>
      </c>
      <c r="D992" s="8" t="str">
        <f>IF($A992="","",_xll.BDH(config!$H$4,D$1,$A992,$A992))</f>
        <v/>
      </c>
      <c r="E992" s="8" t="str">
        <f>IF($A992="","",IF(ISNUMBER(FIND("IMPVOL",E$1)),_xll.BDH(config!$G$4,E$1,WORKDAY($A992,-1,config_Holiday_Calendar_US),WORKDAY($A992,-1,config_Holiday_Calendar_US)),IF(ISNUMBER(_xll.BDH(config!$G$4,E$1,$A992,$A992)),_xll.BDH(config!$G$4,E$1,$A992,$A992),_xll.BDH(config!$G$5,E$1,$A992,$A992))))</f>
        <v/>
      </c>
      <c r="F992" s="8" t="str">
        <f>IF($A992="","",IF(ISNUMBER(FIND("IMPVOL",F$1)),_xll.BDH(config!$G$4,F$1,WORKDAY($A992,-1,config_Holiday_Calendar_US),WORKDAY($A992,-1,config_Holiday_Calendar_US)),IF(ISNUMBER(_xll.BDH(config!$G$4,F$1,$A992,$A992)),_xll.BDH(config!$G$4,F$1,$A992,$A992),_xll.BDH(config!$G$5,F$1,$A992,$A992))))</f>
        <v/>
      </c>
      <c r="G992" s="8" t="str">
        <f>IF($A992="","",IF(ISNUMBER(FIND("IMPVOL",G$1)),_xll.BDH(config!$G$4,G$1,WORKDAY($A992,-1,config_Holiday_Calendar_US),WORKDAY($A992,-1,config_Holiday_Calendar_US)),IF(ISNUMBER(_xll.BDH(config!$G$4,G$1,$A992,$A992)),_xll.BDH(config!$G$4,G$1,$A992,$A992),_xll.BDH(config!$G$5,G$1,$A992,$A992))))</f>
        <v/>
      </c>
      <c r="H992" s="8" t="str">
        <f>IF($A992="","",IF(ISNUMBER(FIND("IMPVOL",H$1)),_xll.BDH(config!$G$4,H$1,WORKDAY($A992,-1,config_Holiday_Calendar_US),WORKDAY($A992,-1,config_Holiday_Calendar_US)),IF(ISNUMBER(_xll.BDH(config!$G$4,H$1,$A992,$A992)),_xll.BDH(config!$G$4,H$1,$A992,$A992),_xll.BDH(config!$G$5,H$1,$A992,$A992))))</f>
        <v/>
      </c>
      <c r="I992" s="8" t="str">
        <f>IF($A992="","",IF(ISNUMBER(FIND("IMPVOL",I$1)),_xll.BDH(config!$G$4,I$1,WORKDAY($A992,-1,config_Holiday_Calendar_US),WORKDAY($A992,-1,config_Holiday_Calendar_US)),IF(ISNUMBER(_xll.BDH(config!$G$4,I$1,$A992,$A992)),_xll.BDH(config!$G$4,I$1,$A992,$A992),_xll.BDH(config!$G$5,I$1,$A992,$A992))))</f>
        <v/>
      </c>
      <c r="J992" s="8" t="str">
        <f>IF($A992="","",IF(ISNUMBER(FIND("IMPVOL",J$1)),_xll.BDH(config!$G$4,J$1,WORKDAY($A992,-1,config_Holiday_Calendar_US),WORKDAY($A992,-1,config_Holiday_Calendar_US)),IF(ISNUMBER(_xll.BDH(config!$G$4,J$1,$A992,$A992)),_xll.BDH(config!$G$4,J$1,$A992,$A992),_xll.BDH(config!$G$5,J$1,$A992,$A992))))</f>
        <v/>
      </c>
      <c r="K992" s="8" t="str">
        <f>IF($A992="","",IF(ISNUMBER(FIND("IMPVOL",K$1)),_xll.BDH(config!$G$4,K$1,WORKDAY($A992,-1,config_Holiday_Calendar_US),WORKDAY($A992,-1,config_Holiday_Calendar_US)),IF(ISNUMBER(_xll.BDH(config!$G$4,K$1,$A992,$A992)),_xll.BDH(config!$G$4,K$1,$A992,$A992),_xll.BDH(config!$G$5,K$1,$A992,$A992))))</f>
        <v/>
      </c>
      <c r="L992" s="8" t="str">
        <f>IF($A992="","",IF(ISNUMBER(FIND("IMPVOL",L$1)),_xll.BDH(config!$G$4,L$1,WORKDAY($A992,-1,config_Holiday_Calendar_US),WORKDAY($A992,-1,config_Holiday_Calendar_US)),IF(ISNUMBER(_xll.BDH(config!$G$4,L$1,$A992,$A992)),_xll.BDH(config!$G$4,L$1,$A992,$A992),_xll.BDH(config!$G$5,L$1,$A992,$A992))))</f>
        <v/>
      </c>
      <c r="M992" s="8" t="str">
        <f>IF($A992="","",IF(ISNUMBER(FIND("IMPVOL",M$1)),_xll.BDH(config!$G$4,M$1,WORKDAY($A992,-1,config_Holiday_Calendar_US),WORKDAY($A992,-1,config_Holiday_Calendar_US)),IF(ISNUMBER(_xll.BDH(config!$G$4,M$1,$A992,$A992)),_xll.BDH(config!$G$4,M$1,$A992,$A992),_xll.BDH(config!$G$5,M$1,$A992,$A992))))</f>
        <v/>
      </c>
      <c r="N992" s="8" t="str">
        <f>IF($A992="","",IF(ISNUMBER(FIND("IMPVOL",N$1)),_xll.BDH(config!$G$4,N$1,WORKDAY($A992,-1,config_Holiday_Calendar_US),WORKDAY($A992,-1,config_Holiday_Calendar_US)),IF(ISNUMBER(_xll.BDH(config!$G$4,N$1,$A992,$A992)),_xll.BDH(config!$G$4,N$1,$A992,$A992),_xll.BDH(config!$G$5,N$1,$A992,$A992))))</f>
        <v/>
      </c>
      <c r="O992" s="8" t="str">
        <f>IF($A992="","",IF(ISNUMBER(FIND("IMPVOL",O$1)),_xll.BDH(config!$G$4,O$1,WORKDAY($A992,-1,config_Holiday_Calendar_US),WORKDAY($A992,-1,config_Holiday_Calendar_US)),IF(ISNUMBER(_xll.BDH(config!$G$4,O$1,$A992,$A992)),_xll.BDH(config!$G$4,O$1,$A992,$A992),_xll.BDH(config!$G$5,O$1,$A992,$A992))))</f>
        <v/>
      </c>
      <c r="P992" s="8" t="str">
        <f>IF($A992="","",IF(ISNUMBER(FIND("IMPVOL",P$1)),_xll.BDH(config!$G$4,P$1,WORKDAY($A992,-1,config_Holiday_Calendar_US),WORKDAY($A992,-1,config_Holiday_Calendar_US)),IF(ISNUMBER(_xll.BDH(config!$G$4,P$1,$A992,$A992)),_xll.BDH(config!$G$4,P$1,$A992,$A992),_xll.BDH(config!$G$5,P$1,$A992,$A992))))</f>
        <v/>
      </c>
      <c r="Q992" s="8" t="str">
        <f>IF($A992="","",IF(ISNUMBER(FIND("IMPVOL",Q$1)),_xll.BDH(config!$G$4,Q$1,WORKDAY($A992,-1,config_Holiday_Calendar_US),WORKDAY($A992,-1,config_Holiday_Calendar_US)),IF(ISNUMBER(_xll.BDH(config!$G$4,Q$1,$A992,$A992)),_xll.BDH(config!$G$4,Q$1,$A992,$A992),_xll.BDH(config!$G$5,Q$1,$A992,$A992))))</f>
        <v/>
      </c>
      <c r="R992" s="8" t="str">
        <f>IF($A992="","",IF(ISNUMBER(FIND("IMPVOL",R$1)),_xll.BDH(config!$G$4,R$1,WORKDAY($A992,-1,config_Holiday_Calendar_US),WORKDAY($A992,-1,config_Holiday_Calendar_US)),IF(ISNUMBER(_xll.BDH(config!$G$4,R$1,$A992,$A992)),_xll.BDH(config!$G$4,R$1,$A992,$A992),_xll.BDH(config!$G$5,R$1,$A992,$A992))))</f>
        <v/>
      </c>
      <c r="S992" s="8" t="str">
        <f>IF($A992="","",IF(ISNUMBER(FIND("IMPVOL",S$1)),_xll.BDH(config!$G$4,S$1,WORKDAY($A992,-1,config_Holiday_Calendar_US),WORKDAY($A992,-1,config_Holiday_Calendar_US)),IF(ISNUMBER(_xll.BDH(config!$G$4,S$1,$A992,$A992)),_xll.BDH(config!$G$4,S$1,$A992,$A992),_xll.BDH(config!$G$5,S$1,$A992,$A992))))</f>
        <v/>
      </c>
      <c r="T992" s="8" t="str">
        <f>IF($A992="","",IF(ISNUMBER(FIND("IMPVOL",T$1)),_xll.BDH(config!$G$4,T$1,WORKDAY($A992,-1,config_Holiday_Calendar_US),WORKDAY($A992,-1,config_Holiday_Calendar_US)),IF(ISNUMBER(_xll.BDH(config!$G$4,T$1,$A992,$A992)),_xll.BDH(config!$G$4,T$1,$A992,$A992),_xll.BDH(config!$G$5,T$1,$A992,$A992))))</f>
        <v/>
      </c>
      <c r="U992" s="8" t="str">
        <f>IF($A992="","",IF(ISNUMBER(FIND("IMPVOL",U$1)),_xll.BDH(config!$G$4,U$1,WORKDAY($A992,-1,config_Holiday_Calendar_US),WORKDAY($A992,-1,config_Holiday_Calendar_US)),IF(ISNUMBER(_xll.BDH(config!$G$4,U$1,$A992,$A992)),_xll.BDH(config!$G$4,U$1,$A992,$A992),_xll.BDH(config!$G$5,U$1,$A992,$A992))))</f>
        <v/>
      </c>
      <c r="V992" s="8" t="str">
        <f>IF($A992="","",IF(ISNUMBER(FIND("IMPVOL",V$1)),_xll.BDH(config!$G$4,V$1,WORKDAY($A992,-1,config_Holiday_Calendar_US),WORKDAY($A992,-1,config_Holiday_Calendar_US)),IF(ISNUMBER(_xll.BDH(config!$G$4,V$1,$A992,$A992)),_xll.BDH(config!$G$4,V$1,$A992,$A992),_xll.BDH(config!$G$5,V$1,$A992,$A992))))</f>
        <v/>
      </c>
      <c r="W992" s="8" t="str">
        <f>IF($A992="","",IF(ISNUMBER(FIND("IMPVOL",W$1)),_xll.BDH(config!$G$4,W$1,WORKDAY($A992,-1,config_Holiday_Calendar_US),WORKDAY($A992,-1,config_Holiday_Calendar_US)),IF(ISNUMBER(_xll.BDH(config!$G$4,W$1,$A992,$A992)),_xll.BDH(config!$G$4,W$1,$A992,$A992),_xll.BDH(config!$G$5,W$1,$A992,$A992))))</f>
        <v/>
      </c>
    </row>
    <row r="993" spans="1:23" x14ac:dyDescent="0.2">
      <c r="A993" s="9" t="str">
        <f>IF(A992="","",IF(WORKDAY(A992,-1,config_Holiday_Calendar_US)&lt;config!$I$10,"",WORKDAY(A992,-1,config_Holiday_Calendar_US)))</f>
        <v/>
      </c>
      <c r="B993" s="8" t="str">
        <f t="shared" si="15"/>
        <v/>
      </c>
      <c r="C993" s="8" t="str">
        <f>IF(A993="","",_xll.BDH(config!$H$4,C$1,$A993,$A993))</f>
        <v/>
      </c>
      <c r="D993" s="8" t="str">
        <f>IF($A993="","",_xll.BDH(config!$H$4,D$1,$A993,$A993))</f>
        <v/>
      </c>
      <c r="E993" s="8" t="str">
        <f>IF($A993="","",IF(ISNUMBER(FIND("IMPVOL",E$1)),_xll.BDH(config!$G$4,E$1,WORKDAY($A993,-1,config_Holiday_Calendar_US),WORKDAY($A993,-1,config_Holiday_Calendar_US)),IF(ISNUMBER(_xll.BDH(config!$G$4,E$1,$A993,$A993)),_xll.BDH(config!$G$4,E$1,$A993,$A993),_xll.BDH(config!$G$5,E$1,$A993,$A993))))</f>
        <v/>
      </c>
      <c r="F993" s="8" t="str">
        <f>IF($A993="","",IF(ISNUMBER(FIND("IMPVOL",F$1)),_xll.BDH(config!$G$4,F$1,WORKDAY($A993,-1,config_Holiday_Calendar_US),WORKDAY($A993,-1,config_Holiday_Calendar_US)),IF(ISNUMBER(_xll.BDH(config!$G$4,F$1,$A993,$A993)),_xll.BDH(config!$G$4,F$1,$A993,$A993),_xll.BDH(config!$G$5,F$1,$A993,$A993))))</f>
        <v/>
      </c>
      <c r="G993" s="8" t="str">
        <f>IF($A993="","",IF(ISNUMBER(FIND("IMPVOL",G$1)),_xll.BDH(config!$G$4,G$1,WORKDAY($A993,-1,config_Holiday_Calendar_US),WORKDAY($A993,-1,config_Holiday_Calendar_US)),IF(ISNUMBER(_xll.BDH(config!$G$4,G$1,$A993,$A993)),_xll.BDH(config!$G$4,G$1,$A993,$A993),_xll.BDH(config!$G$5,G$1,$A993,$A993))))</f>
        <v/>
      </c>
      <c r="H993" s="8" t="str">
        <f>IF($A993="","",IF(ISNUMBER(FIND("IMPVOL",H$1)),_xll.BDH(config!$G$4,H$1,WORKDAY($A993,-1,config_Holiday_Calendar_US),WORKDAY($A993,-1,config_Holiday_Calendar_US)),IF(ISNUMBER(_xll.BDH(config!$G$4,H$1,$A993,$A993)),_xll.BDH(config!$G$4,H$1,$A993,$A993),_xll.BDH(config!$G$5,H$1,$A993,$A993))))</f>
        <v/>
      </c>
      <c r="I993" s="8" t="str">
        <f>IF($A993="","",IF(ISNUMBER(FIND("IMPVOL",I$1)),_xll.BDH(config!$G$4,I$1,WORKDAY($A993,-1,config_Holiday_Calendar_US),WORKDAY($A993,-1,config_Holiday_Calendar_US)),IF(ISNUMBER(_xll.BDH(config!$G$4,I$1,$A993,$A993)),_xll.BDH(config!$G$4,I$1,$A993,$A993),_xll.BDH(config!$G$5,I$1,$A993,$A993))))</f>
        <v/>
      </c>
      <c r="J993" s="8" t="str">
        <f>IF($A993="","",IF(ISNUMBER(FIND("IMPVOL",J$1)),_xll.BDH(config!$G$4,J$1,WORKDAY($A993,-1,config_Holiday_Calendar_US),WORKDAY($A993,-1,config_Holiday_Calendar_US)),IF(ISNUMBER(_xll.BDH(config!$G$4,J$1,$A993,$A993)),_xll.BDH(config!$G$4,J$1,$A993,$A993),_xll.BDH(config!$G$5,J$1,$A993,$A993))))</f>
        <v/>
      </c>
      <c r="K993" s="8" t="str">
        <f>IF($A993="","",IF(ISNUMBER(FIND("IMPVOL",K$1)),_xll.BDH(config!$G$4,K$1,WORKDAY($A993,-1,config_Holiday_Calendar_US),WORKDAY($A993,-1,config_Holiday_Calendar_US)),IF(ISNUMBER(_xll.BDH(config!$G$4,K$1,$A993,$A993)),_xll.BDH(config!$G$4,K$1,$A993,$A993),_xll.BDH(config!$G$5,K$1,$A993,$A993))))</f>
        <v/>
      </c>
      <c r="L993" s="8" t="str">
        <f>IF($A993="","",IF(ISNUMBER(FIND("IMPVOL",L$1)),_xll.BDH(config!$G$4,L$1,WORKDAY($A993,-1,config_Holiday_Calendar_US),WORKDAY($A993,-1,config_Holiday_Calendar_US)),IF(ISNUMBER(_xll.BDH(config!$G$4,L$1,$A993,$A993)),_xll.BDH(config!$G$4,L$1,$A993,$A993),_xll.BDH(config!$G$5,L$1,$A993,$A993))))</f>
        <v/>
      </c>
      <c r="M993" s="8" t="str">
        <f>IF($A993="","",IF(ISNUMBER(FIND("IMPVOL",M$1)),_xll.BDH(config!$G$4,M$1,WORKDAY($A993,-1,config_Holiday_Calendar_US),WORKDAY($A993,-1,config_Holiday_Calendar_US)),IF(ISNUMBER(_xll.BDH(config!$G$4,M$1,$A993,$A993)),_xll.BDH(config!$G$4,M$1,$A993,$A993),_xll.BDH(config!$G$5,M$1,$A993,$A993))))</f>
        <v/>
      </c>
      <c r="N993" s="8" t="str">
        <f>IF($A993="","",IF(ISNUMBER(FIND("IMPVOL",N$1)),_xll.BDH(config!$G$4,N$1,WORKDAY($A993,-1,config_Holiday_Calendar_US),WORKDAY($A993,-1,config_Holiday_Calendar_US)),IF(ISNUMBER(_xll.BDH(config!$G$4,N$1,$A993,$A993)),_xll.BDH(config!$G$4,N$1,$A993,$A993),_xll.BDH(config!$G$5,N$1,$A993,$A993))))</f>
        <v/>
      </c>
      <c r="O993" s="8" t="str">
        <f>IF($A993="","",IF(ISNUMBER(FIND("IMPVOL",O$1)),_xll.BDH(config!$G$4,O$1,WORKDAY($A993,-1,config_Holiday_Calendar_US),WORKDAY($A993,-1,config_Holiday_Calendar_US)),IF(ISNUMBER(_xll.BDH(config!$G$4,O$1,$A993,$A993)),_xll.BDH(config!$G$4,O$1,$A993,$A993),_xll.BDH(config!$G$5,O$1,$A993,$A993))))</f>
        <v/>
      </c>
      <c r="P993" s="8" t="str">
        <f>IF($A993="","",IF(ISNUMBER(FIND("IMPVOL",P$1)),_xll.BDH(config!$G$4,P$1,WORKDAY($A993,-1,config_Holiday_Calendar_US),WORKDAY($A993,-1,config_Holiday_Calendar_US)),IF(ISNUMBER(_xll.BDH(config!$G$4,P$1,$A993,$A993)),_xll.BDH(config!$G$4,P$1,$A993,$A993),_xll.BDH(config!$G$5,P$1,$A993,$A993))))</f>
        <v/>
      </c>
      <c r="Q993" s="8" t="str">
        <f>IF($A993="","",IF(ISNUMBER(FIND("IMPVOL",Q$1)),_xll.BDH(config!$G$4,Q$1,WORKDAY($A993,-1,config_Holiday_Calendar_US),WORKDAY($A993,-1,config_Holiday_Calendar_US)),IF(ISNUMBER(_xll.BDH(config!$G$4,Q$1,$A993,$A993)),_xll.BDH(config!$G$4,Q$1,$A993,$A993),_xll.BDH(config!$G$5,Q$1,$A993,$A993))))</f>
        <v/>
      </c>
      <c r="R993" s="8" t="str">
        <f>IF($A993="","",IF(ISNUMBER(FIND("IMPVOL",R$1)),_xll.BDH(config!$G$4,R$1,WORKDAY($A993,-1,config_Holiday_Calendar_US),WORKDAY($A993,-1,config_Holiday_Calendar_US)),IF(ISNUMBER(_xll.BDH(config!$G$4,R$1,$A993,$A993)),_xll.BDH(config!$G$4,R$1,$A993,$A993),_xll.BDH(config!$G$5,R$1,$A993,$A993))))</f>
        <v/>
      </c>
      <c r="S993" s="8" t="str">
        <f>IF($A993="","",IF(ISNUMBER(FIND("IMPVOL",S$1)),_xll.BDH(config!$G$4,S$1,WORKDAY($A993,-1,config_Holiday_Calendar_US),WORKDAY($A993,-1,config_Holiday_Calendar_US)),IF(ISNUMBER(_xll.BDH(config!$G$4,S$1,$A993,$A993)),_xll.BDH(config!$G$4,S$1,$A993,$A993),_xll.BDH(config!$G$5,S$1,$A993,$A993))))</f>
        <v/>
      </c>
      <c r="T993" s="8" t="str">
        <f>IF($A993="","",IF(ISNUMBER(FIND("IMPVOL",T$1)),_xll.BDH(config!$G$4,T$1,WORKDAY($A993,-1,config_Holiday_Calendar_US),WORKDAY($A993,-1,config_Holiday_Calendar_US)),IF(ISNUMBER(_xll.BDH(config!$G$4,T$1,$A993,$A993)),_xll.BDH(config!$G$4,T$1,$A993,$A993),_xll.BDH(config!$G$5,T$1,$A993,$A993))))</f>
        <v/>
      </c>
      <c r="U993" s="8" t="str">
        <f>IF($A993="","",IF(ISNUMBER(FIND("IMPVOL",U$1)),_xll.BDH(config!$G$4,U$1,WORKDAY($A993,-1,config_Holiday_Calendar_US),WORKDAY($A993,-1,config_Holiday_Calendar_US)),IF(ISNUMBER(_xll.BDH(config!$G$4,U$1,$A993,$A993)),_xll.BDH(config!$G$4,U$1,$A993,$A993),_xll.BDH(config!$G$5,U$1,$A993,$A993))))</f>
        <v/>
      </c>
      <c r="V993" s="8" t="str">
        <f>IF($A993="","",IF(ISNUMBER(FIND("IMPVOL",V$1)),_xll.BDH(config!$G$4,V$1,WORKDAY($A993,-1,config_Holiday_Calendar_US),WORKDAY($A993,-1,config_Holiday_Calendar_US)),IF(ISNUMBER(_xll.BDH(config!$G$4,V$1,$A993,$A993)),_xll.BDH(config!$G$4,V$1,$A993,$A993),_xll.BDH(config!$G$5,V$1,$A993,$A993))))</f>
        <v/>
      </c>
      <c r="W993" s="8" t="str">
        <f>IF($A993="","",IF(ISNUMBER(FIND("IMPVOL",W$1)),_xll.BDH(config!$G$4,W$1,WORKDAY($A993,-1,config_Holiday_Calendar_US),WORKDAY($A993,-1,config_Holiday_Calendar_US)),IF(ISNUMBER(_xll.BDH(config!$G$4,W$1,$A993,$A993)),_xll.BDH(config!$G$4,W$1,$A993,$A993),_xll.BDH(config!$G$5,W$1,$A993,$A993))))</f>
        <v/>
      </c>
    </row>
    <row r="994" spans="1:23" x14ac:dyDescent="0.2">
      <c r="A994" s="9" t="str">
        <f>IF(A993="","",IF(WORKDAY(A993,-1,config_Holiday_Calendar_US)&lt;config!$I$10,"",WORKDAY(A993,-1,config_Holiday_Calendar_US)))</f>
        <v/>
      </c>
      <c r="B994" s="8" t="str">
        <f t="shared" si="15"/>
        <v/>
      </c>
      <c r="C994" s="8" t="str">
        <f>IF(A994="","",_xll.BDH(config!$H$4,C$1,$A994,$A994))</f>
        <v/>
      </c>
      <c r="D994" s="8" t="str">
        <f>IF($A994="","",_xll.BDH(config!$H$4,D$1,$A994,$A994))</f>
        <v/>
      </c>
      <c r="E994" s="8" t="str">
        <f>IF($A994="","",IF(ISNUMBER(FIND("IMPVOL",E$1)),_xll.BDH(config!$G$4,E$1,WORKDAY($A994,-1,config_Holiday_Calendar_US),WORKDAY($A994,-1,config_Holiday_Calendar_US)),IF(ISNUMBER(_xll.BDH(config!$G$4,E$1,$A994,$A994)),_xll.BDH(config!$G$4,E$1,$A994,$A994),_xll.BDH(config!$G$5,E$1,$A994,$A994))))</f>
        <v/>
      </c>
      <c r="F994" s="8" t="str">
        <f>IF($A994="","",IF(ISNUMBER(FIND("IMPVOL",F$1)),_xll.BDH(config!$G$4,F$1,WORKDAY($A994,-1,config_Holiday_Calendar_US),WORKDAY($A994,-1,config_Holiday_Calendar_US)),IF(ISNUMBER(_xll.BDH(config!$G$4,F$1,$A994,$A994)),_xll.BDH(config!$G$4,F$1,$A994,$A994),_xll.BDH(config!$G$5,F$1,$A994,$A994))))</f>
        <v/>
      </c>
      <c r="G994" s="8" t="str">
        <f>IF($A994="","",IF(ISNUMBER(FIND("IMPVOL",G$1)),_xll.BDH(config!$G$4,G$1,WORKDAY($A994,-1,config_Holiday_Calendar_US),WORKDAY($A994,-1,config_Holiday_Calendar_US)),IF(ISNUMBER(_xll.BDH(config!$G$4,G$1,$A994,$A994)),_xll.BDH(config!$G$4,G$1,$A994,$A994),_xll.BDH(config!$G$5,G$1,$A994,$A994))))</f>
        <v/>
      </c>
      <c r="H994" s="8" t="str">
        <f>IF($A994="","",IF(ISNUMBER(FIND("IMPVOL",H$1)),_xll.BDH(config!$G$4,H$1,WORKDAY($A994,-1,config_Holiday_Calendar_US),WORKDAY($A994,-1,config_Holiday_Calendar_US)),IF(ISNUMBER(_xll.BDH(config!$G$4,H$1,$A994,$A994)),_xll.BDH(config!$G$4,H$1,$A994,$A994),_xll.BDH(config!$G$5,H$1,$A994,$A994))))</f>
        <v/>
      </c>
      <c r="I994" s="8" t="str">
        <f>IF($A994="","",IF(ISNUMBER(FIND("IMPVOL",I$1)),_xll.BDH(config!$G$4,I$1,WORKDAY($A994,-1,config_Holiday_Calendar_US),WORKDAY($A994,-1,config_Holiday_Calendar_US)),IF(ISNUMBER(_xll.BDH(config!$G$4,I$1,$A994,$A994)),_xll.BDH(config!$G$4,I$1,$A994,$A994),_xll.BDH(config!$G$5,I$1,$A994,$A994))))</f>
        <v/>
      </c>
      <c r="J994" s="8" t="str">
        <f>IF($A994="","",IF(ISNUMBER(FIND("IMPVOL",J$1)),_xll.BDH(config!$G$4,J$1,WORKDAY($A994,-1,config_Holiday_Calendar_US),WORKDAY($A994,-1,config_Holiday_Calendar_US)),IF(ISNUMBER(_xll.BDH(config!$G$4,J$1,$A994,$A994)),_xll.BDH(config!$G$4,J$1,$A994,$A994),_xll.BDH(config!$G$5,J$1,$A994,$A994))))</f>
        <v/>
      </c>
      <c r="K994" s="8" t="str">
        <f>IF($A994="","",IF(ISNUMBER(FIND("IMPVOL",K$1)),_xll.BDH(config!$G$4,K$1,WORKDAY($A994,-1,config_Holiday_Calendar_US),WORKDAY($A994,-1,config_Holiday_Calendar_US)),IF(ISNUMBER(_xll.BDH(config!$G$4,K$1,$A994,$A994)),_xll.BDH(config!$G$4,K$1,$A994,$A994),_xll.BDH(config!$G$5,K$1,$A994,$A994))))</f>
        <v/>
      </c>
      <c r="L994" s="8" t="str">
        <f>IF($A994="","",IF(ISNUMBER(FIND("IMPVOL",L$1)),_xll.BDH(config!$G$4,L$1,WORKDAY($A994,-1,config_Holiday_Calendar_US),WORKDAY($A994,-1,config_Holiday_Calendar_US)),IF(ISNUMBER(_xll.BDH(config!$G$4,L$1,$A994,$A994)),_xll.BDH(config!$G$4,L$1,$A994,$A994),_xll.BDH(config!$G$5,L$1,$A994,$A994))))</f>
        <v/>
      </c>
      <c r="M994" s="8" t="str">
        <f>IF($A994="","",IF(ISNUMBER(FIND("IMPVOL",M$1)),_xll.BDH(config!$G$4,M$1,WORKDAY($A994,-1,config_Holiday_Calendar_US),WORKDAY($A994,-1,config_Holiday_Calendar_US)),IF(ISNUMBER(_xll.BDH(config!$G$4,M$1,$A994,$A994)),_xll.BDH(config!$G$4,M$1,$A994,$A994),_xll.BDH(config!$G$5,M$1,$A994,$A994))))</f>
        <v/>
      </c>
      <c r="N994" s="8" t="str">
        <f>IF($A994="","",IF(ISNUMBER(FIND("IMPVOL",N$1)),_xll.BDH(config!$G$4,N$1,WORKDAY($A994,-1,config_Holiday_Calendar_US),WORKDAY($A994,-1,config_Holiday_Calendar_US)),IF(ISNUMBER(_xll.BDH(config!$G$4,N$1,$A994,$A994)),_xll.BDH(config!$G$4,N$1,$A994,$A994),_xll.BDH(config!$G$5,N$1,$A994,$A994))))</f>
        <v/>
      </c>
      <c r="O994" s="8" t="str">
        <f>IF($A994="","",IF(ISNUMBER(FIND("IMPVOL",O$1)),_xll.BDH(config!$G$4,O$1,WORKDAY($A994,-1,config_Holiday_Calendar_US),WORKDAY($A994,-1,config_Holiday_Calendar_US)),IF(ISNUMBER(_xll.BDH(config!$G$4,O$1,$A994,$A994)),_xll.BDH(config!$G$4,O$1,$A994,$A994),_xll.BDH(config!$G$5,O$1,$A994,$A994))))</f>
        <v/>
      </c>
      <c r="P994" s="8" t="str">
        <f>IF($A994="","",IF(ISNUMBER(FIND("IMPVOL",P$1)),_xll.BDH(config!$G$4,P$1,WORKDAY($A994,-1,config_Holiday_Calendar_US),WORKDAY($A994,-1,config_Holiday_Calendar_US)),IF(ISNUMBER(_xll.BDH(config!$G$4,P$1,$A994,$A994)),_xll.BDH(config!$G$4,P$1,$A994,$A994),_xll.BDH(config!$G$5,P$1,$A994,$A994))))</f>
        <v/>
      </c>
      <c r="Q994" s="8" t="str">
        <f>IF($A994="","",IF(ISNUMBER(FIND("IMPVOL",Q$1)),_xll.BDH(config!$G$4,Q$1,WORKDAY($A994,-1,config_Holiday_Calendar_US),WORKDAY($A994,-1,config_Holiday_Calendar_US)),IF(ISNUMBER(_xll.BDH(config!$G$4,Q$1,$A994,$A994)),_xll.BDH(config!$G$4,Q$1,$A994,$A994),_xll.BDH(config!$G$5,Q$1,$A994,$A994))))</f>
        <v/>
      </c>
      <c r="R994" s="8" t="str">
        <f>IF($A994="","",IF(ISNUMBER(FIND("IMPVOL",R$1)),_xll.BDH(config!$G$4,R$1,WORKDAY($A994,-1,config_Holiday_Calendar_US),WORKDAY($A994,-1,config_Holiday_Calendar_US)),IF(ISNUMBER(_xll.BDH(config!$G$4,R$1,$A994,$A994)),_xll.BDH(config!$G$4,R$1,$A994,$A994),_xll.BDH(config!$G$5,R$1,$A994,$A994))))</f>
        <v/>
      </c>
      <c r="S994" s="8" t="str">
        <f>IF($A994="","",IF(ISNUMBER(FIND("IMPVOL",S$1)),_xll.BDH(config!$G$4,S$1,WORKDAY($A994,-1,config_Holiday_Calendar_US),WORKDAY($A994,-1,config_Holiday_Calendar_US)),IF(ISNUMBER(_xll.BDH(config!$G$4,S$1,$A994,$A994)),_xll.BDH(config!$G$4,S$1,$A994,$A994),_xll.BDH(config!$G$5,S$1,$A994,$A994))))</f>
        <v/>
      </c>
      <c r="T994" s="8" t="str">
        <f>IF($A994="","",IF(ISNUMBER(FIND("IMPVOL",T$1)),_xll.BDH(config!$G$4,T$1,WORKDAY($A994,-1,config_Holiday_Calendar_US),WORKDAY($A994,-1,config_Holiday_Calendar_US)),IF(ISNUMBER(_xll.BDH(config!$G$4,T$1,$A994,$A994)),_xll.BDH(config!$G$4,T$1,$A994,$A994),_xll.BDH(config!$G$5,T$1,$A994,$A994))))</f>
        <v/>
      </c>
      <c r="U994" s="8" t="str">
        <f>IF($A994="","",IF(ISNUMBER(FIND("IMPVOL",U$1)),_xll.BDH(config!$G$4,U$1,WORKDAY($A994,-1,config_Holiday_Calendar_US),WORKDAY($A994,-1,config_Holiday_Calendar_US)),IF(ISNUMBER(_xll.BDH(config!$G$4,U$1,$A994,$A994)),_xll.BDH(config!$G$4,U$1,$A994,$A994),_xll.BDH(config!$G$5,U$1,$A994,$A994))))</f>
        <v/>
      </c>
      <c r="V994" s="8" t="str">
        <f>IF($A994="","",IF(ISNUMBER(FIND("IMPVOL",V$1)),_xll.BDH(config!$G$4,V$1,WORKDAY($A994,-1,config_Holiday_Calendar_US),WORKDAY($A994,-1,config_Holiday_Calendar_US)),IF(ISNUMBER(_xll.BDH(config!$G$4,V$1,$A994,$A994)),_xll.BDH(config!$G$4,V$1,$A994,$A994),_xll.BDH(config!$G$5,V$1,$A994,$A994))))</f>
        <v/>
      </c>
      <c r="W994" s="8" t="str">
        <f>IF($A994="","",IF(ISNUMBER(FIND("IMPVOL",W$1)),_xll.BDH(config!$G$4,W$1,WORKDAY($A994,-1,config_Holiday_Calendar_US),WORKDAY($A994,-1,config_Holiday_Calendar_US)),IF(ISNUMBER(_xll.BDH(config!$G$4,W$1,$A994,$A994)),_xll.BDH(config!$G$4,W$1,$A994,$A994),_xll.BDH(config!$G$5,W$1,$A994,$A994))))</f>
        <v/>
      </c>
    </row>
    <row r="995" spans="1:23" x14ac:dyDescent="0.2">
      <c r="A995" s="9" t="str">
        <f>IF(A994="","",IF(WORKDAY(A994,-1,config_Holiday_Calendar_US)&lt;config!$I$10,"",WORKDAY(A994,-1,config_Holiday_Calendar_US)))</f>
        <v/>
      </c>
      <c r="B995" s="8" t="str">
        <f t="shared" si="15"/>
        <v/>
      </c>
      <c r="C995" s="8" t="str">
        <f>IF(A995="","",_xll.BDH(config!$H$4,C$1,$A995,$A995))</f>
        <v/>
      </c>
      <c r="D995" s="8" t="str">
        <f>IF($A995="","",_xll.BDH(config!$H$4,D$1,$A995,$A995))</f>
        <v/>
      </c>
      <c r="E995" s="8" t="str">
        <f>IF($A995="","",IF(ISNUMBER(FIND("IMPVOL",E$1)),_xll.BDH(config!$G$4,E$1,WORKDAY($A995,-1,config_Holiday_Calendar_US),WORKDAY($A995,-1,config_Holiday_Calendar_US)),IF(ISNUMBER(_xll.BDH(config!$G$4,E$1,$A995,$A995)),_xll.BDH(config!$G$4,E$1,$A995,$A995),_xll.BDH(config!$G$5,E$1,$A995,$A995))))</f>
        <v/>
      </c>
      <c r="F995" s="8" t="str">
        <f>IF($A995="","",IF(ISNUMBER(FIND("IMPVOL",F$1)),_xll.BDH(config!$G$4,F$1,WORKDAY($A995,-1,config_Holiday_Calendar_US),WORKDAY($A995,-1,config_Holiday_Calendar_US)),IF(ISNUMBER(_xll.BDH(config!$G$4,F$1,$A995,$A995)),_xll.BDH(config!$G$4,F$1,$A995,$A995),_xll.BDH(config!$G$5,F$1,$A995,$A995))))</f>
        <v/>
      </c>
      <c r="G995" s="8" t="str">
        <f>IF($A995="","",IF(ISNUMBER(FIND("IMPVOL",G$1)),_xll.BDH(config!$G$4,G$1,WORKDAY($A995,-1,config_Holiday_Calendar_US),WORKDAY($A995,-1,config_Holiday_Calendar_US)),IF(ISNUMBER(_xll.BDH(config!$G$4,G$1,$A995,$A995)),_xll.BDH(config!$G$4,G$1,$A995,$A995),_xll.BDH(config!$G$5,G$1,$A995,$A995))))</f>
        <v/>
      </c>
      <c r="H995" s="8" t="str">
        <f>IF($A995="","",IF(ISNUMBER(FIND("IMPVOL",H$1)),_xll.BDH(config!$G$4,H$1,WORKDAY($A995,-1,config_Holiday_Calendar_US),WORKDAY($A995,-1,config_Holiday_Calendar_US)),IF(ISNUMBER(_xll.BDH(config!$G$4,H$1,$A995,$A995)),_xll.BDH(config!$G$4,H$1,$A995,$A995),_xll.BDH(config!$G$5,H$1,$A995,$A995))))</f>
        <v/>
      </c>
      <c r="I995" s="8" t="str">
        <f>IF($A995="","",IF(ISNUMBER(FIND("IMPVOL",I$1)),_xll.BDH(config!$G$4,I$1,WORKDAY($A995,-1,config_Holiday_Calendar_US),WORKDAY($A995,-1,config_Holiday_Calendar_US)),IF(ISNUMBER(_xll.BDH(config!$G$4,I$1,$A995,$A995)),_xll.BDH(config!$G$4,I$1,$A995,$A995),_xll.BDH(config!$G$5,I$1,$A995,$A995))))</f>
        <v/>
      </c>
      <c r="J995" s="8" t="str">
        <f>IF($A995="","",IF(ISNUMBER(FIND("IMPVOL",J$1)),_xll.BDH(config!$G$4,J$1,WORKDAY($A995,-1,config_Holiday_Calendar_US),WORKDAY($A995,-1,config_Holiday_Calendar_US)),IF(ISNUMBER(_xll.BDH(config!$G$4,J$1,$A995,$A995)),_xll.BDH(config!$G$4,J$1,$A995,$A995),_xll.BDH(config!$G$5,J$1,$A995,$A995))))</f>
        <v/>
      </c>
      <c r="K995" s="8" t="str">
        <f>IF($A995="","",IF(ISNUMBER(FIND("IMPVOL",K$1)),_xll.BDH(config!$G$4,K$1,WORKDAY($A995,-1,config_Holiday_Calendar_US),WORKDAY($A995,-1,config_Holiday_Calendar_US)),IF(ISNUMBER(_xll.BDH(config!$G$4,K$1,$A995,$A995)),_xll.BDH(config!$G$4,K$1,$A995,$A995),_xll.BDH(config!$G$5,K$1,$A995,$A995))))</f>
        <v/>
      </c>
      <c r="L995" s="8" t="str">
        <f>IF($A995="","",IF(ISNUMBER(FIND("IMPVOL",L$1)),_xll.BDH(config!$G$4,L$1,WORKDAY($A995,-1,config_Holiday_Calendar_US),WORKDAY($A995,-1,config_Holiday_Calendar_US)),IF(ISNUMBER(_xll.BDH(config!$G$4,L$1,$A995,$A995)),_xll.BDH(config!$G$4,L$1,$A995,$A995),_xll.BDH(config!$G$5,L$1,$A995,$A995))))</f>
        <v/>
      </c>
      <c r="M995" s="8" t="str">
        <f>IF($A995="","",IF(ISNUMBER(FIND("IMPVOL",M$1)),_xll.BDH(config!$G$4,M$1,WORKDAY($A995,-1,config_Holiday_Calendar_US),WORKDAY($A995,-1,config_Holiday_Calendar_US)),IF(ISNUMBER(_xll.BDH(config!$G$4,M$1,$A995,$A995)),_xll.BDH(config!$G$4,M$1,$A995,$A995),_xll.BDH(config!$G$5,M$1,$A995,$A995))))</f>
        <v/>
      </c>
      <c r="N995" s="8" t="str">
        <f>IF($A995="","",IF(ISNUMBER(FIND("IMPVOL",N$1)),_xll.BDH(config!$G$4,N$1,WORKDAY($A995,-1,config_Holiday_Calendar_US),WORKDAY($A995,-1,config_Holiday_Calendar_US)),IF(ISNUMBER(_xll.BDH(config!$G$4,N$1,$A995,$A995)),_xll.BDH(config!$G$4,N$1,$A995,$A995),_xll.BDH(config!$G$5,N$1,$A995,$A995))))</f>
        <v/>
      </c>
      <c r="O995" s="8" t="str">
        <f>IF($A995="","",IF(ISNUMBER(FIND("IMPVOL",O$1)),_xll.BDH(config!$G$4,O$1,WORKDAY($A995,-1,config_Holiday_Calendar_US),WORKDAY($A995,-1,config_Holiday_Calendar_US)),IF(ISNUMBER(_xll.BDH(config!$G$4,O$1,$A995,$A995)),_xll.BDH(config!$G$4,O$1,$A995,$A995),_xll.BDH(config!$G$5,O$1,$A995,$A995))))</f>
        <v/>
      </c>
      <c r="P995" s="8" t="str">
        <f>IF($A995="","",IF(ISNUMBER(FIND("IMPVOL",P$1)),_xll.BDH(config!$G$4,P$1,WORKDAY($A995,-1,config_Holiday_Calendar_US),WORKDAY($A995,-1,config_Holiday_Calendar_US)),IF(ISNUMBER(_xll.BDH(config!$G$4,P$1,$A995,$A995)),_xll.BDH(config!$G$4,P$1,$A995,$A995),_xll.BDH(config!$G$5,P$1,$A995,$A995))))</f>
        <v/>
      </c>
      <c r="Q995" s="8" t="str">
        <f>IF($A995="","",IF(ISNUMBER(FIND("IMPVOL",Q$1)),_xll.BDH(config!$G$4,Q$1,WORKDAY($A995,-1,config_Holiday_Calendar_US),WORKDAY($A995,-1,config_Holiday_Calendar_US)),IF(ISNUMBER(_xll.BDH(config!$G$4,Q$1,$A995,$A995)),_xll.BDH(config!$G$4,Q$1,$A995,$A995),_xll.BDH(config!$G$5,Q$1,$A995,$A995))))</f>
        <v/>
      </c>
      <c r="R995" s="8" t="str">
        <f>IF($A995="","",IF(ISNUMBER(FIND("IMPVOL",R$1)),_xll.BDH(config!$G$4,R$1,WORKDAY($A995,-1,config_Holiday_Calendar_US),WORKDAY($A995,-1,config_Holiday_Calendar_US)),IF(ISNUMBER(_xll.BDH(config!$G$4,R$1,$A995,$A995)),_xll.BDH(config!$G$4,R$1,$A995,$A995),_xll.BDH(config!$G$5,R$1,$A995,$A995))))</f>
        <v/>
      </c>
      <c r="S995" s="8" t="str">
        <f>IF($A995="","",IF(ISNUMBER(FIND("IMPVOL",S$1)),_xll.BDH(config!$G$4,S$1,WORKDAY($A995,-1,config_Holiday_Calendar_US),WORKDAY($A995,-1,config_Holiday_Calendar_US)),IF(ISNUMBER(_xll.BDH(config!$G$4,S$1,$A995,$A995)),_xll.BDH(config!$G$4,S$1,$A995,$A995),_xll.BDH(config!$G$5,S$1,$A995,$A995))))</f>
        <v/>
      </c>
      <c r="T995" s="8" t="str">
        <f>IF($A995="","",IF(ISNUMBER(FIND("IMPVOL",T$1)),_xll.BDH(config!$G$4,T$1,WORKDAY($A995,-1,config_Holiday_Calendar_US),WORKDAY($A995,-1,config_Holiday_Calendar_US)),IF(ISNUMBER(_xll.BDH(config!$G$4,T$1,$A995,$A995)),_xll.BDH(config!$G$4,T$1,$A995,$A995),_xll.BDH(config!$G$5,T$1,$A995,$A995))))</f>
        <v/>
      </c>
      <c r="U995" s="8" t="str">
        <f>IF($A995="","",IF(ISNUMBER(FIND("IMPVOL",U$1)),_xll.BDH(config!$G$4,U$1,WORKDAY($A995,-1,config_Holiday_Calendar_US),WORKDAY($A995,-1,config_Holiday_Calendar_US)),IF(ISNUMBER(_xll.BDH(config!$G$4,U$1,$A995,$A995)),_xll.BDH(config!$G$4,U$1,$A995,$A995),_xll.BDH(config!$G$5,U$1,$A995,$A995))))</f>
        <v/>
      </c>
      <c r="V995" s="8" t="str">
        <f>IF($A995="","",IF(ISNUMBER(FIND("IMPVOL",V$1)),_xll.BDH(config!$G$4,V$1,WORKDAY($A995,-1,config_Holiday_Calendar_US),WORKDAY($A995,-1,config_Holiday_Calendar_US)),IF(ISNUMBER(_xll.BDH(config!$G$4,V$1,$A995,$A995)),_xll.BDH(config!$G$4,V$1,$A995,$A995),_xll.BDH(config!$G$5,V$1,$A995,$A995))))</f>
        <v/>
      </c>
      <c r="W995" s="8" t="str">
        <f>IF($A995="","",IF(ISNUMBER(FIND("IMPVOL",W$1)),_xll.BDH(config!$G$4,W$1,WORKDAY($A995,-1,config_Holiday_Calendar_US),WORKDAY($A995,-1,config_Holiday_Calendar_US)),IF(ISNUMBER(_xll.BDH(config!$G$4,W$1,$A995,$A995)),_xll.BDH(config!$G$4,W$1,$A995,$A995),_xll.BDH(config!$G$5,W$1,$A995,$A995))))</f>
        <v/>
      </c>
    </row>
    <row r="996" spans="1:23" x14ac:dyDescent="0.2">
      <c r="A996" s="9" t="str">
        <f>IF(A995="","",IF(WORKDAY(A995,-1,config_Holiday_Calendar_US)&lt;config!$I$10,"",WORKDAY(A995,-1,config_Holiday_Calendar_US)))</f>
        <v/>
      </c>
      <c r="B996" s="8" t="str">
        <f t="shared" si="15"/>
        <v/>
      </c>
      <c r="C996" s="8" t="str">
        <f>IF(A996="","",_xll.BDH(config!$H$4,C$1,$A996,$A996))</f>
        <v/>
      </c>
      <c r="D996" s="8" t="str">
        <f>IF($A996="","",_xll.BDH(config!$H$4,D$1,$A996,$A996))</f>
        <v/>
      </c>
      <c r="E996" s="8" t="str">
        <f>IF($A996="","",IF(ISNUMBER(FIND("IMPVOL",E$1)),_xll.BDH(config!$G$4,E$1,WORKDAY($A996,-1,config_Holiday_Calendar_US),WORKDAY($A996,-1,config_Holiday_Calendar_US)),IF(ISNUMBER(_xll.BDH(config!$G$4,E$1,$A996,$A996)),_xll.BDH(config!$G$4,E$1,$A996,$A996),_xll.BDH(config!$G$5,E$1,$A996,$A996))))</f>
        <v/>
      </c>
      <c r="F996" s="8" t="str">
        <f>IF($A996="","",IF(ISNUMBER(FIND("IMPVOL",F$1)),_xll.BDH(config!$G$4,F$1,WORKDAY($A996,-1,config_Holiday_Calendar_US),WORKDAY($A996,-1,config_Holiday_Calendar_US)),IF(ISNUMBER(_xll.BDH(config!$G$4,F$1,$A996,$A996)),_xll.BDH(config!$G$4,F$1,$A996,$A996),_xll.BDH(config!$G$5,F$1,$A996,$A996))))</f>
        <v/>
      </c>
      <c r="G996" s="8" t="str">
        <f>IF($A996="","",IF(ISNUMBER(FIND("IMPVOL",G$1)),_xll.BDH(config!$G$4,G$1,WORKDAY($A996,-1,config_Holiday_Calendar_US),WORKDAY($A996,-1,config_Holiday_Calendar_US)),IF(ISNUMBER(_xll.BDH(config!$G$4,G$1,$A996,$A996)),_xll.BDH(config!$G$4,G$1,$A996,$A996),_xll.BDH(config!$G$5,G$1,$A996,$A996))))</f>
        <v/>
      </c>
      <c r="H996" s="8" t="str">
        <f>IF($A996="","",IF(ISNUMBER(FIND("IMPVOL",H$1)),_xll.BDH(config!$G$4,H$1,WORKDAY($A996,-1,config_Holiday_Calendar_US),WORKDAY($A996,-1,config_Holiday_Calendar_US)),IF(ISNUMBER(_xll.BDH(config!$G$4,H$1,$A996,$A996)),_xll.BDH(config!$G$4,H$1,$A996,$A996),_xll.BDH(config!$G$5,H$1,$A996,$A996))))</f>
        <v/>
      </c>
      <c r="I996" s="8" t="str">
        <f>IF($A996="","",IF(ISNUMBER(FIND("IMPVOL",I$1)),_xll.BDH(config!$G$4,I$1,WORKDAY($A996,-1,config_Holiday_Calendar_US),WORKDAY($A996,-1,config_Holiday_Calendar_US)),IF(ISNUMBER(_xll.BDH(config!$G$4,I$1,$A996,$A996)),_xll.BDH(config!$G$4,I$1,$A996,$A996),_xll.BDH(config!$G$5,I$1,$A996,$A996))))</f>
        <v/>
      </c>
      <c r="J996" s="8" t="str">
        <f>IF($A996="","",IF(ISNUMBER(FIND("IMPVOL",J$1)),_xll.BDH(config!$G$4,J$1,WORKDAY($A996,-1,config_Holiday_Calendar_US),WORKDAY($A996,-1,config_Holiday_Calendar_US)),IF(ISNUMBER(_xll.BDH(config!$G$4,J$1,$A996,$A996)),_xll.BDH(config!$G$4,J$1,$A996,$A996),_xll.BDH(config!$G$5,J$1,$A996,$A996))))</f>
        <v/>
      </c>
      <c r="K996" s="8" t="str">
        <f>IF($A996="","",IF(ISNUMBER(FIND("IMPVOL",K$1)),_xll.BDH(config!$G$4,K$1,WORKDAY($A996,-1,config_Holiday_Calendar_US),WORKDAY($A996,-1,config_Holiday_Calendar_US)),IF(ISNUMBER(_xll.BDH(config!$G$4,K$1,$A996,$A996)),_xll.BDH(config!$G$4,K$1,$A996,$A996),_xll.BDH(config!$G$5,K$1,$A996,$A996))))</f>
        <v/>
      </c>
      <c r="L996" s="8" t="str">
        <f>IF($A996="","",IF(ISNUMBER(FIND("IMPVOL",L$1)),_xll.BDH(config!$G$4,L$1,WORKDAY($A996,-1,config_Holiday_Calendar_US),WORKDAY($A996,-1,config_Holiday_Calendar_US)),IF(ISNUMBER(_xll.BDH(config!$G$4,L$1,$A996,$A996)),_xll.BDH(config!$G$4,L$1,$A996,$A996),_xll.BDH(config!$G$5,L$1,$A996,$A996))))</f>
        <v/>
      </c>
      <c r="M996" s="8" t="str">
        <f>IF($A996="","",IF(ISNUMBER(FIND("IMPVOL",M$1)),_xll.BDH(config!$G$4,M$1,WORKDAY($A996,-1,config_Holiday_Calendar_US),WORKDAY($A996,-1,config_Holiday_Calendar_US)),IF(ISNUMBER(_xll.BDH(config!$G$4,M$1,$A996,$A996)),_xll.BDH(config!$G$4,M$1,$A996,$A996),_xll.BDH(config!$G$5,M$1,$A996,$A996))))</f>
        <v/>
      </c>
      <c r="N996" s="8" t="str">
        <f>IF($A996="","",IF(ISNUMBER(FIND("IMPVOL",N$1)),_xll.BDH(config!$G$4,N$1,WORKDAY($A996,-1,config_Holiday_Calendar_US),WORKDAY($A996,-1,config_Holiday_Calendar_US)),IF(ISNUMBER(_xll.BDH(config!$G$4,N$1,$A996,$A996)),_xll.BDH(config!$G$4,N$1,$A996,$A996),_xll.BDH(config!$G$5,N$1,$A996,$A996))))</f>
        <v/>
      </c>
      <c r="O996" s="8" t="str">
        <f>IF($A996="","",IF(ISNUMBER(FIND("IMPVOL",O$1)),_xll.BDH(config!$G$4,O$1,WORKDAY($A996,-1,config_Holiday_Calendar_US),WORKDAY($A996,-1,config_Holiday_Calendar_US)),IF(ISNUMBER(_xll.BDH(config!$G$4,O$1,$A996,$A996)),_xll.BDH(config!$G$4,O$1,$A996,$A996),_xll.BDH(config!$G$5,O$1,$A996,$A996))))</f>
        <v/>
      </c>
      <c r="P996" s="8" t="str">
        <f>IF($A996="","",IF(ISNUMBER(FIND("IMPVOL",P$1)),_xll.BDH(config!$G$4,P$1,WORKDAY($A996,-1,config_Holiday_Calendar_US),WORKDAY($A996,-1,config_Holiday_Calendar_US)),IF(ISNUMBER(_xll.BDH(config!$G$4,P$1,$A996,$A996)),_xll.BDH(config!$G$4,P$1,$A996,$A996),_xll.BDH(config!$G$5,P$1,$A996,$A996))))</f>
        <v/>
      </c>
      <c r="Q996" s="8" t="str">
        <f>IF($A996="","",IF(ISNUMBER(FIND("IMPVOL",Q$1)),_xll.BDH(config!$G$4,Q$1,WORKDAY($A996,-1,config_Holiday_Calendar_US),WORKDAY($A996,-1,config_Holiday_Calendar_US)),IF(ISNUMBER(_xll.BDH(config!$G$4,Q$1,$A996,$A996)),_xll.BDH(config!$G$4,Q$1,$A996,$A996),_xll.BDH(config!$G$5,Q$1,$A996,$A996))))</f>
        <v/>
      </c>
      <c r="R996" s="8" t="str">
        <f>IF($A996="","",IF(ISNUMBER(FIND("IMPVOL",R$1)),_xll.BDH(config!$G$4,R$1,WORKDAY($A996,-1,config_Holiday_Calendar_US),WORKDAY($A996,-1,config_Holiday_Calendar_US)),IF(ISNUMBER(_xll.BDH(config!$G$4,R$1,$A996,$A996)),_xll.BDH(config!$G$4,R$1,$A996,$A996),_xll.BDH(config!$G$5,R$1,$A996,$A996))))</f>
        <v/>
      </c>
      <c r="S996" s="8" t="str">
        <f>IF($A996="","",IF(ISNUMBER(FIND("IMPVOL",S$1)),_xll.BDH(config!$G$4,S$1,WORKDAY($A996,-1,config_Holiday_Calendar_US),WORKDAY($A996,-1,config_Holiday_Calendar_US)),IF(ISNUMBER(_xll.BDH(config!$G$4,S$1,$A996,$A996)),_xll.BDH(config!$G$4,S$1,$A996,$A996),_xll.BDH(config!$G$5,S$1,$A996,$A996))))</f>
        <v/>
      </c>
      <c r="T996" s="8" t="str">
        <f>IF($A996="","",IF(ISNUMBER(FIND("IMPVOL",T$1)),_xll.BDH(config!$G$4,T$1,WORKDAY($A996,-1,config_Holiday_Calendar_US),WORKDAY($A996,-1,config_Holiday_Calendar_US)),IF(ISNUMBER(_xll.BDH(config!$G$4,T$1,$A996,$A996)),_xll.BDH(config!$G$4,T$1,$A996,$A996),_xll.BDH(config!$G$5,T$1,$A996,$A996))))</f>
        <v/>
      </c>
      <c r="U996" s="8" t="str">
        <f>IF($A996="","",IF(ISNUMBER(FIND("IMPVOL",U$1)),_xll.BDH(config!$G$4,U$1,WORKDAY($A996,-1,config_Holiday_Calendar_US),WORKDAY($A996,-1,config_Holiday_Calendar_US)),IF(ISNUMBER(_xll.BDH(config!$G$4,U$1,$A996,$A996)),_xll.BDH(config!$G$4,U$1,$A996,$A996),_xll.BDH(config!$G$5,U$1,$A996,$A996))))</f>
        <v/>
      </c>
      <c r="V996" s="8" t="str">
        <f>IF($A996="","",IF(ISNUMBER(FIND("IMPVOL",V$1)),_xll.BDH(config!$G$4,V$1,WORKDAY($A996,-1,config_Holiday_Calendar_US),WORKDAY($A996,-1,config_Holiday_Calendar_US)),IF(ISNUMBER(_xll.BDH(config!$G$4,V$1,$A996,$A996)),_xll.BDH(config!$G$4,V$1,$A996,$A996),_xll.BDH(config!$G$5,V$1,$A996,$A996))))</f>
        <v/>
      </c>
      <c r="W996" s="8" t="str">
        <f>IF($A996="","",IF(ISNUMBER(FIND("IMPVOL",W$1)),_xll.BDH(config!$G$4,W$1,WORKDAY($A996,-1,config_Holiday_Calendar_US),WORKDAY($A996,-1,config_Holiday_Calendar_US)),IF(ISNUMBER(_xll.BDH(config!$G$4,W$1,$A996,$A996)),_xll.BDH(config!$G$4,W$1,$A996,$A996),_xll.BDH(config!$G$5,W$1,$A996,$A996))))</f>
        <v/>
      </c>
    </row>
    <row r="997" spans="1:23" x14ac:dyDescent="0.2">
      <c r="A997" s="9" t="str">
        <f>IF(A996="","",IF(WORKDAY(A996,-1,config_Holiday_Calendar_US)&lt;config!$I$10,"",WORKDAY(A996,-1,config_Holiday_Calendar_US)))</f>
        <v/>
      </c>
      <c r="B997" s="8" t="str">
        <f t="shared" si="15"/>
        <v/>
      </c>
      <c r="C997" s="8" t="str">
        <f>IF(A997="","",_xll.BDH(config!$H$4,C$1,$A997,$A997))</f>
        <v/>
      </c>
      <c r="D997" s="8" t="str">
        <f>IF($A997="","",_xll.BDH(config!$H$4,D$1,$A997,$A997))</f>
        <v/>
      </c>
      <c r="E997" s="8" t="str">
        <f>IF($A997="","",IF(ISNUMBER(FIND("IMPVOL",E$1)),_xll.BDH(config!$G$4,E$1,WORKDAY($A997,-1,config_Holiday_Calendar_US),WORKDAY($A997,-1,config_Holiday_Calendar_US)),IF(ISNUMBER(_xll.BDH(config!$G$4,E$1,$A997,$A997)),_xll.BDH(config!$G$4,E$1,$A997,$A997),_xll.BDH(config!$G$5,E$1,$A997,$A997))))</f>
        <v/>
      </c>
      <c r="F997" s="8" t="str">
        <f>IF($A997="","",IF(ISNUMBER(FIND("IMPVOL",F$1)),_xll.BDH(config!$G$4,F$1,WORKDAY($A997,-1,config_Holiday_Calendar_US),WORKDAY($A997,-1,config_Holiday_Calendar_US)),IF(ISNUMBER(_xll.BDH(config!$G$4,F$1,$A997,$A997)),_xll.BDH(config!$G$4,F$1,$A997,$A997),_xll.BDH(config!$G$5,F$1,$A997,$A997))))</f>
        <v/>
      </c>
      <c r="G997" s="8" t="str">
        <f>IF($A997="","",IF(ISNUMBER(FIND("IMPVOL",G$1)),_xll.BDH(config!$G$4,G$1,WORKDAY($A997,-1,config_Holiday_Calendar_US),WORKDAY($A997,-1,config_Holiday_Calendar_US)),IF(ISNUMBER(_xll.BDH(config!$G$4,G$1,$A997,$A997)),_xll.BDH(config!$G$4,G$1,$A997,$A997),_xll.BDH(config!$G$5,G$1,$A997,$A997))))</f>
        <v/>
      </c>
      <c r="H997" s="8" t="str">
        <f>IF($A997="","",IF(ISNUMBER(FIND("IMPVOL",H$1)),_xll.BDH(config!$G$4,H$1,WORKDAY($A997,-1,config_Holiday_Calendar_US),WORKDAY($A997,-1,config_Holiday_Calendar_US)),IF(ISNUMBER(_xll.BDH(config!$G$4,H$1,$A997,$A997)),_xll.BDH(config!$G$4,H$1,$A997,$A997),_xll.BDH(config!$G$5,H$1,$A997,$A997))))</f>
        <v/>
      </c>
      <c r="I997" s="8" t="str">
        <f>IF($A997="","",IF(ISNUMBER(FIND("IMPVOL",I$1)),_xll.BDH(config!$G$4,I$1,WORKDAY($A997,-1,config_Holiday_Calendar_US),WORKDAY($A997,-1,config_Holiday_Calendar_US)),IF(ISNUMBER(_xll.BDH(config!$G$4,I$1,$A997,$A997)),_xll.BDH(config!$G$4,I$1,$A997,$A997),_xll.BDH(config!$G$5,I$1,$A997,$A997))))</f>
        <v/>
      </c>
      <c r="J997" s="8" t="str">
        <f>IF($A997="","",IF(ISNUMBER(FIND("IMPVOL",J$1)),_xll.BDH(config!$G$4,J$1,WORKDAY($A997,-1,config_Holiday_Calendar_US),WORKDAY($A997,-1,config_Holiday_Calendar_US)),IF(ISNUMBER(_xll.BDH(config!$G$4,J$1,$A997,$A997)),_xll.BDH(config!$G$4,J$1,$A997,$A997),_xll.BDH(config!$G$5,J$1,$A997,$A997))))</f>
        <v/>
      </c>
      <c r="K997" s="8" t="str">
        <f>IF($A997="","",IF(ISNUMBER(FIND("IMPVOL",K$1)),_xll.BDH(config!$G$4,K$1,WORKDAY($A997,-1,config_Holiday_Calendar_US),WORKDAY($A997,-1,config_Holiday_Calendar_US)),IF(ISNUMBER(_xll.BDH(config!$G$4,K$1,$A997,$A997)),_xll.BDH(config!$G$4,K$1,$A997,$A997),_xll.BDH(config!$G$5,K$1,$A997,$A997))))</f>
        <v/>
      </c>
      <c r="L997" s="8" t="str">
        <f>IF($A997="","",IF(ISNUMBER(FIND("IMPVOL",L$1)),_xll.BDH(config!$G$4,L$1,WORKDAY($A997,-1,config_Holiday_Calendar_US),WORKDAY($A997,-1,config_Holiday_Calendar_US)),IF(ISNUMBER(_xll.BDH(config!$G$4,L$1,$A997,$A997)),_xll.BDH(config!$G$4,L$1,$A997,$A997),_xll.BDH(config!$G$5,L$1,$A997,$A997))))</f>
        <v/>
      </c>
      <c r="M997" s="8" t="str">
        <f>IF($A997="","",IF(ISNUMBER(FIND("IMPVOL",M$1)),_xll.BDH(config!$G$4,M$1,WORKDAY($A997,-1,config_Holiday_Calendar_US),WORKDAY($A997,-1,config_Holiday_Calendar_US)),IF(ISNUMBER(_xll.BDH(config!$G$4,M$1,$A997,$A997)),_xll.BDH(config!$G$4,M$1,$A997,$A997),_xll.BDH(config!$G$5,M$1,$A997,$A997))))</f>
        <v/>
      </c>
      <c r="N997" s="8" t="str">
        <f>IF($A997="","",IF(ISNUMBER(FIND("IMPVOL",N$1)),_xll.BDH(config!$G$4,N$1,WORKDAY($A997,-1,config_Holiday_Calendar_US),WORKDAY($A997,-1,config_Holiday_Calendar_US)),IF(ISNUMBER(_xll.BDH(config!$G$4,N$1,$A997,$A997)),_xll.BDH(config!$G$4,N$1,$A997,$A997),_xll.BDH(config!$G$5,N$1,$A997,$A997))))</f>
        <v/>
      </c>
      <c r="O997" s="8" t="str">
        <f>IF($A997="","",IF(ISNUMBER(FIND("IMPVOL",O$1)),_xll.BDH(config!$G$4,O$1,WORKDAY($A997,-1,config_Holiday_Calendar_US),WORKDAY($A997,-1,config_Holiday_Calendar_US)),IF(ISNUMBER(_xll.BDH(config!$G$4,O$1,$A997,$A997)),_xll.BDH(config!$G$4,O$1,$A997,$A997),_xll.BDH(config!$G$5,O$1,$A997,$A997))))</f>
        <v/>
      </c>
      <c r="P997" s="8" t="str">
        <f>IF($A997="","",IF(ISNUMBER(FIND("IMPVOL",P$1)),_xll.BDH(config!$G$4,P$1,WORKDAY($A997,-1,config_Holiday_Calendar_US),WORKDAY($A997,-1,config_Holiday_Calendar_US)),IF(ISNUMBER(_xll.BDH(config!$G$4,P$1,$A997,$A997)),_xll.BDH(config!$G$4,P$1,$A997,$A997),_xll.BDH(config!$G$5,P$1,$A997,$A997))))</f>
        <v/>
      </c>
      <c r="Q997" s="8" t="str">
        <f>IF($A997="","",IF(ISNUMBER(FIND("IMPVOL",Q$1)),_xll.BDH(config!$G$4,Q$1,WORKDAY($A997,-1,config_Holiday_Calendar_US),WORKDAY($A997,-1,config_Holiday_Calendar_US)),IF(ISNUMBER(_xll.BDH(config!$G$4,Q$1,$A997,$A997)),_xll.BDH(config!$G$4,Q$1,$A997,$A997),_xll.BDH(config!$G$5,Q$1,$A997,$A997))))</f>
        <v/>
      </c>
      <c r="R997" s="8" t="str">
        <f>IF($A997="","",IF(ISNUMBER(FIND("IMPVOL",R$1)),_xll.BDH(config!$G$4,R$1,WORKDAY($A997,-1,config_Holiday_Calendar_US),WORKDAY($A997,-1,config_Holiday_Calendar_US)),IF(ISNUMBER(_xll.BDH(config!$G$4,R$1,$A997,$A997)),_xll.BDH(config!$G$4,R$1,$A997,$A997),_xll.BDH(config!$G$5,R$1,$A997,$A997))))</f>
        <v/>
      </c>
      <c r="S997" s="8" t="str">
        <f>IF($A997="","",IF(ISNUMBER(FIND("IMPVOL",S$1)),_xll.BDH(config!$G$4,S$1,WORKDAY($A997,-1,config_Holiday_Calendar_US),WORKDAY($A997,-1,config_Holiday_Calendar_US)),IF(ISNUMBER(_xll.BDH(config!$G$4,S$1,$A997,$A997)),_xll.BDH(config!$G$4,S$1,$A997,$A997),_xll.BDH(config!$G$5,S$1,$A997,$A997))))</f>
        <v/>
      </c>
      <c r="T997" s="8" t="str">
        <f>IF($A997="","",IF(ISNUMBER(FIND("IMPVOL",T$1)),_xll.BDH(config!$G$4,T$1,WORKDAY($A997,-1,config_Holiday_Calendar_US),WORKDAY($A997,-1,config_Holiday_Calendar_US)),IF(ISNUMBER(_xll.BDH(config!$G$4,T$1,$A997,$A997)),_xll.BDH(config!$G$4,T$1,$A997,$A997),_xll.BDH(config!$G$5,T$1,$A997,$A997))))</f>
        <v/>
      </c>
      <c r="U997" s="8" t="str">
        <f>IF($A997="","",IF(ISNUMBER(FIND("IMPVOL",U$1)),_xll.BDH(config!$G$4,U$1,WORKDAY($A997,-1,config_Holiday_Calendar_US),WORKDAY($A997,-1,config_Holiday_Calendar_US)),IF(ISNUMBER(_xll.BDH(config!$G$4,U$1,$A997,$A997)),_xll.BDH(config!$G$4,U$1,$A997,$A997),_xll.BDH(config!$G$5,U$1,$A997,$A997))))</f>
        <v/>
      </c>
      <c r="V997" s="8" t="str">
        <f>IF($A997="","",IF(ISNUMBER(FIND("IMPVOL",V$1)),_xll.BDH(config!$G$4,V$1,WORKDAY($A997,-1,config_Holiday_Calendar_US),WORKDAY($A997,-1,config_Holiday_Calendar_US)),IF(ISNUMBER(_xll.BDH(config!$G$4,V$1,$A997,$A997)),_xll.BDH(config!$G$4,V$1,$A997,$A997),_xll.BDH(config!$G$5,V$1,$A997,$A997))))</f>
        <v/>
      </c>
      <c r="W997" s="8" t="str">
        <f>IF($A997="","",IF(ISNUMBER(FIND("IMPVOL",W$1)),_xll.BDH(config!$G$4,W$1,WORKDAY($A997,-1,config_Holiday_Calendar_US),WORKDAY($A997,-1,config_Holiday_Calendar_US)),IF(ISNUMBER(_xll.BDH(config!$G$4,W$1,$A997,$A997)),_xll.BDH(config!$G$4,W$1,$A997,$A997),_xll.BDH(config!$G$5,W$1,$A997,$A997))))</f>
        <v/>
      </c>
    </row>
    <row r="998" spans="1:23" x14ac:dyDescent="0.2">
      <c r="A998" s="9" t="str">
        <f>IF(A997="","",IF(WORKDAY(A997,-1,config_Holiday_Calendar_US)&lt;config!$I$10,"",WORKDAY(A997,-1,config_Holiday_Calendar_US)))</f>
        <v/>
      </c>
      <c r="B998" s="8" t="str">
        <f t="shared" si="15"/>
        <v/>
      </c>
      <c r="C998" s="8" t="str">
        <f>IF(A998="","",_xll.BDH(config!$H$4,C$1,$A998,$A998))</f>
        <v/>
      </c>
      <c r="D998" s="8" t="str">
        <f>IF($A998="","",_xll.BDH(config!$H$4,D$1,$A998,$A998))</f>
        <v/>
      </c>
      <c r="E998" s="8" t="str">
        <f>IF($A998="","",IF(ISNUMBER(FIND("IMPVOL",E$1)),_xll.BDH(config!$G$4,E$1,WORKDAY($A998,-1,config_Holiday_Calendar_US),WORKDAY($A998,-1,config_Holiday_Calendar_US)),IF(ISNUMBER(_xll.BDH(config!$G$4,E$1,$A998,$A998)),_xll.BDH(config!$G$4,E$1,$A998,$A998),_xll.BDH(config!$G$5,E$1,$A998,$A998))))</f>
        <v/>
      </c>
      <c r="F998" s="8" t="str">
        <f>IF($A998="","",IF(ISNUMBER(FIND("IMPVOL",F$1)),_xll.BDH(config!$G$4,F$1,WORKDAY($A998,-1,config_Holiday_Calendar_US),WORKDAY($A998,-1,config_Holiday_Calendar_US)),IF(ISNUMBER(_xll.BDH(config!$G$4,F$1,$A998,$A998)),_xll.BDH(config!$G$4,F$1,$A998,$A998),_xll.BDH(config!$G$5,F$1,$A998,$A998))))</f>
        <v/>
      </c>
      <c r="G998" s="8" t="str">
        <f>IF($A998="","",IF(ISNUMBER(FIND("IMPVOL",G$1)),_xll.BDH(config!$G$4,G$1,WORKDAY($A998,-1,config_Holiday_Calendar_US),WORKDAY($A998,-1,config_Holiday_Calendar_US)),IF(ISNUMBER(_xll.BDH(config!$G$4,G$1,$A998,$A998)),_xll.BDH(config!$G$4,G$1,$A998,$A998),_xll.BDH(config!$G$5,G$1,$A998,$A998))))</f>
        <v/>
      </c>
      <c r="H998" s="8" t="str">
        <f>IF($A998="","",IF(ISNUMBER(FIND("IMPVOL",H$1)),_xll.BDH(config!$G$4,H$1,WORKDAY($A998,-1,config_Holiday_Calendar_US),WORKDAY($A998,-1,config_Holiday_Calendar_US)),IF(ISNUMBER(_xll.BDH(config!$G$4,H$1,$A998,$A998)),_xll.BDH(config!$G$4,H$1,$A998,$A998),_xll.BDH(config!$G$5,H$1,$A998,$A998))))</f>
        <v/>
      </c>
      <c r="I998" s="8" t="str">
        <f>IF($A998="","",IF(ISNUMBER(FIND("IMPVOL",I$1)),_xll.BDH(config!$G$4,I$1,WORKDAY($A998,-1,config_Holiday_Calendar_US),WORKDAY($A998,-1,config_Holiday_Calendar_US)),IF(ISNUMBER(_xll.BDH(config!$G$4,I$1,$A998,$A998)),_xll.BDH(config!$G$4,I$1,$A998,$A998),_xll.BDH(config!$G$5,I$1,$A998,$A998))))</f>
        <v/>
      </c>
      <c r="J998" s="8" t="str">
        <f>IF($A998="","",IF(ISNUMBER(FIND("IMPVOL",J$1)),_xll.BDH(config!$G$4,J$1,WORKDAY($A998,-1,config_Holiday_Calendar_US),WORKDAY($A998,-1,config_Holiday_Calendar_US)),IF(ISNUMBER(_xll.BDH(config!$G$4,J$1,$A998,$A998)),_xll.BDH(config!$G$4,J$1,$A998,$A998),_xll.BDH(config!$G$5,J$1,$A998,$A998))))</f>
        <v/>
      </c>
      <c r="K998" s="8" t="str">
        <f>IF($A998="","",IF(ISNUMBER(FIND("IMPVOL",K$1)),_xll.BDH(config!$G$4,K$1,WORKDAY($A998,-1,config_Holiday_Calendar_US),WORKDAY($A998,-1,config_Holiday_Calendar_US)),IF(ISNUMBER(_xll.BDH(config!$G$4,K$1,$A998,$A998)),_xll.BDH(config!$G$4,K$1,$A998,$A998),_xll.BDH(config!$G$5,K$1,$A998,$A998))))</f>
        <v/>
      </c>
      <c r="L998" s="8" t="str">
        <f>IF($A998="","",IF(ISNUMBER(FIND("IMPVOL",L$1)),_xll.BDH(config!$G$4,L$1,WORKDAY($A998,-1,config_Holiday_Calendar_US),WORKDAY($A998,-1,config_Holiday_Calendar_US)),IF(ISNUMBER(_xll.BDH(config!$G$4,L$1,$A998,$A998)),_xll.BDH(config!$G$4,L$1,$A998,$A998),_xll.BDH(config!$G$5,L$1,$A998,$A998))))</f>
        <v/>
      </c>
      <c r="M998" s="8" t="str">
        <f>IF($A998="","",IF(ISNUMBER(FIND("IMPVOL",M$1)),_xll.BDH(config!$G$4,M$1,WORKDAY($A998,-1,config_Holiday_Calendar_US),WORKDAY($A998,-1,config_Holiday_Calendar_US)),IF(ISNUMBER(_xll.BDH(config!$G$4,M$1,$A998,$A998)),_xll.BDH(config!$G$4,M$1,$A998,$A998),_xll.BDH(config!$G$5,M$1,$A998,$A998))))</f>
        <v/>
      </c>
      <c r="N998" s="8" t="str">
        <f>IF($A998="","",IF(ISNUMBER(FIND("IMPVOL",N$1)),_xll.BDH(config!$G$4,N$1,WORKDAY($A998,-1,config_Holiday_Calendar_US),WORKDAY($A998,-1,config_Holiday_Calendar_US)),IF(ISNUMBER(_xll.BDH(config!$G$4,N$1,$A998,$A998)),_xll.BDH(config!$G$4,N$1,$A998,$A998),_xll.BDH(config!$G$5,N$1,$A998,$A998))))</f>
        <v/>
      </c>
      <c r="O998" s="8" t="str">
        <f>IF($A998="","",IF(ISNUMBER(FIND("IMPVOL",O$1)),_xll.BDH(config!$G$4,O$1,WORKDAY($A998,-1,config_Holiday_Calendar_US),WORKDAY($A998,-1,config_Holiday_Calendar_US)),IF(ISNUMBER(_xll.BDH(config!$G$4,O$1,$A998,$A998)),_xll.BDH(config!$G$4,O$1,$A998,$A998),_xll.BDH(config!$G$5,O$1,$A998,$A998))))</f>
        <v/>
      </c>
      <c r="P998" s="8" t="str">
        <f>IF($A998="","",IF(ISNUMBER(FIND("IMPVOL",P$1)),_xll.BDH(config!$G$4,P$1,WORKDAY($A998,-1,config_Holiday_Calendar_US),WORKDAY($A998,-1,config_Holiday_Calendar_US)),IF(ISNUMBER(_xll.BDH(config!$G$4,P$1,$A998,$A998)),_xll.BDH(config!$G$4,P$1,$A998,$A998),_xll.BDH(config!$G$5,P$1,$A998,$A998))))</f>
        <v/>
      </c>
      <c r="Q998" s="8" t="str">
        <f>IF($A998="","",IF(ISNUMBER(FIND("IMPVOL",Q$1)),_xll.BDH(config!$G$4,Q$1,WORKDAY($A998,-1,config_Holiday_Calendar_US),WORKDAY($A998,-1,config_Holiday_Calendar_US)),IF(ISNUMBER(_xll.BDH(config!$G$4,Q$1,$A998,$A998)),_xll.BDH(config!$G$4,Q$1,$A998,$A998),_xll.BDH(config!$G$5,Q$1,$A998,$A998))))</f>
        <v/>
      </c>
      <c r="R998" s="8" t="str">
        <f>IF($A998="","",IF(ISNUMBER(FIND("IMPVOL",R$1)),_xll.BDH(config!$G$4,R$1,WORKDAY($A998,-1,config_Holiday_Calendar_US),WORKDAY($A998,-1,config_Holiday_Calendar_US)),IF(ISNUMBER(_xll.BDH(config!$G$4,R$1,$A998,$A998)),_xll.BDH(config!$G$4,R$1,$A998,$A998),_xll.BDH(config!$G$5,R$1,$A998,$A998))))</f>
        <v/>
      </c>
      <c r="S998" s="8" t="str">
        <f>IF($A998="","",IF(ISNUMBER(FIND("IMPVOL",S$1)),_xll.BDH(config!$G$4,S$1,WORKDAY($A998,-1,config_Holiday_Calendar_US),WORKDAY($A998,-1,config_Holiday_Calendar_US)),IF(ISNUMBER(_xll.BDH(config!$G$4,S$1,$A998,$A998)),_xll.BDH(config!$G$4,S$1,$A998,$A998),_xll.BDH(config!$G$5,S$1,$A998,$A998))))</f>
        <v/>
      </c>
      <c r="T998" s="8" t="str">
        <f>IF($A998="","",IF(ISNUMBER(FIND("IMPVOL",T$1)),_xll.BDH(config!$G$4,T$1,WORKDAY($A998,-1,config_Holiday_Calendar_US),WORKDAY($A998,-1,config_Holiday_Calendar_US)),IF(ISNUMBER(_xll.BDH(config!$G$4,T$1,$A998,$A998)),_xll.BDH(config!$G$4,T$1,$A998,$A998),_xll.BDH(config!$G$5,T$1,$A998,$A998))))</f>
        <v/>
      </c>
      <c r="U998" s="8" t="str">
        <f>IF($A998="","",IF(ISNUMBER(FIND("IMPVOL",U$1)),_xll.BDH(config!$G$4,U$1,WORKDAY($A998,-1,config_Holiday_Calendar_US),WORKDAY($A998,-1,config_Holiday_Calendar_US)),IF(ISNUMBER(_xll.BDH(config!$G$4,U$1,$A998,$A998)),_xll.BDH(config!$G$4,U$1,$A998,$A998),_xll.BDH(config!$G$5,U$1,$A998,$A998))))</f>
        <v/>
      </c>
      <c r="V998" s="8" t="str">
        <f>IF($A998="","",IF(ISNUMBER(FIND("IMPVOL",V$1)),_xll.BDH(config!$G$4,V$1,WORKDAY($A998,-1,config_Holiday_Calendar_US),WORKDAY($A998,-1,config_Holiday_Calendar_US)),IF(ISNUMBER(_xll.BDH(config!$G$4,V$1,$A998,$A998)),_xll.BDH(config!$G$4,V$1,$A998,$A998),_xll.BDH(config!$G$5,V$1,$A998,$A998))))</f>
        <v/>
      </c>
      <c r="W998" s="8" t="str">
        <f>IF($A998="","",IF(ISNUMBER(FIND("IMPVOL",W$1)),_xll.BDH(config!$G$4,W$1,WORKDAY($A998,-1,config_Holiday_Calendar_US),WORKDAY($A998,-1,config_Holiday_Calendar_US)),IF(ISNUMBER(_xll.BDH(config!$G$4,W$1,$A998,$A998)),_xll.BDH(config!$G$4,W$1,$A998,$A998),_xll.BDH(config!$G$5,W$1,$A998,$A998))))</f>
        <v/>
      </c>
    </row>
    <row r="999" spans="1:23" x14ac:dyDescent="0.2">
      <c r="A999" s="9" t="str">
        <f>IF(A998="","",IF(WORKDAY(A998,-1,config_Holiday_Calendar_US)&lt;config!$I$10,"",WORKDAY(A998,-1,config_Holiday_Calendar_US)))</f>
        <v/>
      </c>
      <c r="B999" s="8" t="str">
        <f t="shared" si="15"/>
        <v/>
      </c>
      <c r="C999" s="8" t="str">
        <f>IF(A999="","",_xll.BDH(config!$H$4,C$1,$A999,$A999))</f>
        <v/>
      </c>
      <c r="D999" s="8" t="str">
        <f>IF($A999="","",_xll.BDH(config!$H$4,D$1,$A999,$A999))</f>
        <v/>
      </c>
      <c r="E999" s="8" t="str">
        <f>IF($A999="","",IF(ISNUMBER(FIND("IMPVOL",E$1)),_xll.BDH(config!$G$4,E$1,WORKDAY($A999,-1,config_Holiday_Calendar_US),WORKDAY($A999,-1,config_Holiday_Calendar_US)),IF(ISNUMBER(_xll.BDH(config!$G$4,E$1,$A999,$A999)),_xll.BDH(config!$G$4,E$1,$A999,$A999),_xll.BDH(config!$G$5,E$1,$A999,$A999))))</f>
        <v/>
      </c>
      <c r="F999" s="8" t="str">
        <f>IF($A999="","",IF(ISNUMBER(FIND("IMPVOL",F$1)),_xll.BDH(config!$G$4,F$1,WORKDAY($A999,-1,config_Holiday_Calendar_US),WORKDAY($A999,-1,config_Holiday_Calendar_US)),IF(ISNUMBER(_xll.BDH(config!$G$4,F$1,$A999,$A999)),_xll.BDH(config!$G$4,F$1,$A999,$A999),_xll.BDH(config!$G$5,F$1,$A999,$A999))))</f>
        <v/>
      </c>
      <c r="G999" s="8" t="str">
        <f>IF($A999="","",IF(ISNUMBER(FIND("IMPVOL",G$1)),_xll.BDH(config!$G$4,G$1,WORKDAY($A999,-1,config_Holiday_Calendar_US),WORKDAY($A999,-1,config_Holiday_Calendar_US)),IF(ISNUMBER(_xll.BDH(config!$G$4,G$1,$A999,$A999)),_xll.BDH(config!$G$4,G$1,$A999,$A999),_xll.BDH(config!$G$5,G$1,$A999,$A999))))</f>
        <v/>
      </c>
      <c r="H999" s="8" t="str">
        <f>IF($A999="","",IF(ISNUMBER(FIND("IMPVOL",H$1)),_xll.BDH(config!$G$4,H$1,WORKDAY($A999,-1,config_Holiday_Calendar_US),WORKDAY($A999,-1,config_Holiday_Calendar_US)),IF(ISNUMBER(_xll.BDH(config!$G$4,H$1,$A999,$A999)),_xll.BDH(config!$G$4,H$1,$A999,$A999),_xll.BDH(config!$G$5,H$1,$A999,$A999))))</f>
        <v/>
      </c>
      <c r="I999" s="8" t="str">
        <f>IF($A999="","",IF(ISNUMBER(FIND("IMPVOL",I$1)),_xll.BDH(config!$G$4,I$1,WORKDAY($A999,-1,config_Holiday_Calendar_US),WORKDAY($A999,-1,config_Holiday_Calendar_US)),IF(ISNUMBER(_xll.BDH(config!$G$4,I$1,$A999,$A999)),_xll.BDH(config!$G$4,I$1,$A999,$A999),_xll.BDH(config!$G$5,I$1,$A999,$A999))))</f>
        <v/>
      </c>
      <c r="J999" s="8" t="str">
        <f>IF($A999="","",IF(ISNUMBER(FIND("IMPVOL",J$1)),_xll.BDH(config!$G$4,J$1,WORKDAY($A999,-1,config_Holiday_Calendar_US),WORKDAY($A999,-1,config_Holiday_Calendar_US)),IF(ISNUMBER(_xll.BDH(config!$G$4,J$1,$A999,$A999)),_xll.BDH(config!$G$4,J$1,$A999,$A999),_xll.BDH(config!$G$5,J$1,$A999,$A999))))</f>
        <v/>
      </c>
      <c r="K999" s="8" t="str">
        <f>IF($A999="","",IF(ISNUMBER(FIND("IMPVOL",K$1)),_xll.BDH(config!$G$4,K$1,WORKDAY($A999,-1,config_Holiday_Calendar_US),WORKDAY($A999,-1,config_Holiday_Calendar_US)),IF(ISNUMBER(_xll.BDH(config!$G$4,K$1,$A999,$A999)),_xll.BDH(config!$G$4,K$1,$A999,$A999),_xll.BDH(config!$G$5,K$1,$A999,$A999))))</f>
        <v/>
      </c>
      <c r="L999" s="8" t="str">
        <f>IF($A999="","",IF(ISNUMBER(FIND("IMPVOL",L$1)),_xll.BDH(config!$G$4,L$1,WORKDAY($A999,-1,config_Holiday_Calendar_US),WORKDAY($A999,-1,config_Holiday_Calendar_US)),IF(ISNUMBER(_xll.BDH(config!$G$4,L$1,$A999,$A999)),_xll.BDH(config!$G$4,L$1,$A999,$A999),_xll.BDH(config!$G$5,L$1,$A999,$A999))))</f>
        <v/>
      </c>
      <c r="M999" s="8" t="str">
        <f>IF($A999="","",IF(ISNUMBER(FIND("IMPVOL",M$1)),_xll.BDH(config!$G$4,M$1,WORKDAY($A999,-1,config_Holiday_Calendar_US),WORKDAY($A999,-1,config_Holiday_Calendar_US)),IF(ISNUMBER(_xll.BDH(config!$G$4,M$1,$A999,$A999)),_xll.BDH(config!$G$4,M$1,$A999,$A999),_xll.BDH(config!$G$5,M$1,$A999,$A999))))</f>
        <v/>
      </c>
      <c r="N999" s="8" t="str">
        <f>IF($A999="","",IF(ISNUMBER(FIND("IMPVOL",N$1)),_xll.BDH(config!$G$4,N$1,WORKDAY($A999,-1,config_Holiday_Calendar_US),WORKDAY($A999,-1,config_Holiday_Calendar_US)),IF(ISNUMBER(_xll.BDH(config!$G$4,N$1,$A999,$A999)),_xll.BDH(config!$G$4,N$1,$A999,$A999),_xll.BDH(config!$G$5,N$1,$A999,$A999))))</f>
        <v/>
      </c>
      <c r="O999" s="8" t="str">
        <f>IF($A999="","",IF(ISNUMBER(FIND("IMPVOL",O$1)),_xll.BDH(config!$G$4,O$1,WORKDAY($A999,-1,config_Holiday_Calendar_US),WORKDAY($A999,-1,config_Holiday_Calendar_US)),IF(ISNUMBER(_xll.BDH(config!$G$4,O$1,$A999,$A999)),_xll.BDH(config!$G$4,O$1,$A999,$A999),_xll.BDH(config!$G$5,O$1,$A999,$A999))))</f>
        <v/>
      </c>
      <c r="P999" s="8" t="str">
        <f>IF($A999="","",IF(ISNUMBER(FIND("IMPVOL",P$1)),_xll.BDH(config!$G$4,P$1,WORKDAY($A999,-1,config_Holiday_Calendar_US),WORKDAY($A999,-1,config_Holiday_Calendar_US)),IF(ISNUMBER(_xll.BDH(config!$G$4,P$1,$A999,$A999)),_xll.BDH(config!$G$4,P$1,$A999,$A999),_xll.BDH(config!$G$5,P$1,$A999,$A999))))</f>
        <v/>
      </c>
      <c r="Q999" s="8" t="str">
        <f>IF($A999="","",IF(ISNUMBER(FIND("IMPVOL",Q$1)),_xll.BDH(config!$G$4,Q$1,WORKDAY($A999,-1,config_Holiday_Calendar_US),WORKDAY($A999,-1,config_Holiday_Calendar_US)),IF(ISNUMBER(_xll.BDH(config!$G$4,Q$1,$A999,$A999)),_xll.BDH(config!$G$4,Q$1,$A999,$A999),_xll.BDH(config!$G$5,Q$1,$A999,$A999))))</f>
        <v/>
      </c>
      <c r="R999" s="8" t="str">
        <f>IF($A999="","",IF(ISNUMBER(FIND("IMPVOL",R$1)),_xll.BDH(config!$G$4,R$1,WORKDAY($A999,-1,config_Holiday_Calendar_US),WORKDAY($A999,-1,config_Holiday_Calendar_US)),IF(ISNUMBER(_xll.BDH(config!$G$4,R$1,$A999,$A999)),_xll.BDH(config!$G$4,R$1,$A999,$A999),_xll.BDH(config!$G$5,R$1,$A999,$A999))))</f>
        <v/>
      </c>
      <c r="S999" s="8" t="str">
        <f>IF($A999="","",IF(ISNUMBER(FIND("IMPVOL",S$1)),_xll.BDH(config!$G$4,S$1,WORKDAY($A999,-1,config_Holiday_Calendar_US),WORKDAY($A999,-1,config_Holiday_Calendar_US)),IF(ISNUMBER(_xll.BDH(config!$G$4,S$1,$A999,$A999)),_xll.BDH(config!$G$4,S$1,$A999,$A999),_xll.BDH(config!$G$5,S$1,$A999,$A999))))</f>
        <v/>
      </c>
      <c r="T999" s="8" t="str">
        <f>IF($A999="","",IF(ISNUMBER(FIND("IMPVOL",T$1)),_xll.BDH(config!$G$4,T$1,WORKDAY($A999,-1,config_Holiday_Calendar_US),WORKDAY($A999,-1,config_Holiday_Calendar_US)),IF(ISNUMBER(_xll.BDH(config!$G$4,T$1,$A999,$A999)),_xll.BDH(config!$G$4,T$1,$A999,$A999),_xll.BDH(config!$G$5,T$1,$A999,$A999))))</f>
        <v/>
      </c>
      <c r="U999" s="8" t="str">
        <f>IF($A999="","",IF(ISNUMBER(FIND("IMPVOL",U$1)),_xll.BDH(config!$G$4,U$1,WORKDAY($A999,-1,config_Holiday_Calendar_US),WORKDAY($A999,-1,config_Holiday_Calendar_US)),IF(ISNUMBER(_xll.BDH(config!$G$4,U$1,$A999,$A999)),_xll.BDH(config!$G$4,U$1,$A999,$A999),_xll.BDH(config!$G$5,U$1,$A999,$A999))))</f>
        <v/>
      </c>
      <c r="V999" s="8" t="str">
        <f>IF($A999="","",IF(ISNUMBER(FIND("IMPVOL",V$1)),_xll.BDH(config!$G$4,V$1,WORKDAY($A999,-1,config_Holiday_Calendar_US),WORKDAY($A999,-1,config_Holiday_Calendar_US)),IF(ISNUMBER(_xll.BDH(config!$G$4,V$1,$A999,$A999)),_xll.BDH(config!$G$4,V$1,$A999,$A999),_xll.BDH(config!$G$5,V$1,$A999,$A999))))</f>
        <v/>
      </c>
      <c r="W999" s="8" t="str">
        <f>IF($A999="","",IF(ISNUMBER(FIND("IMPVOL",W$1)),_xll.BDH(config!$G$4,W$1,WORKDAY($A999,-1,config_Holiday_Calendar_US),WORKDAY($A999,-1,config_Holiday_Calendar_US)),IF(ISNUMBER(_xll.BDH(config!$G$4,W$1,$A999,$A999)),_xll.BDH(config!$G$4,W$1,$A999,$A999),_xll.BDH(config!$G$5,W$1,$A999,$A999))))</f>
        <v/>
      </c>
    </row>
    <row r="1000" spans="1:23" x14ac:dyDescent="0.2">
      <c r="A1000" s="9" t="str">
        <f>IF(A999="","",IF(WORKDAY(A999,-1,config_Holiday_Calendar_US)&lt;config!$I$10,"",WORKDAY(A999,-1,config_Holiday_Calendar_US)))</f>
        <v/>
      </c>
      <c r="B1000" s="8" t="str">
        <f t="shared" si="15"/>
        <v/>
      </c>
      <c r="C1000" s="8" t="str">
        <f>IF(A1000="","",_xll.BDH(config!$H$4,C$1,$A1000,$A1000))</f>
        <v/>
      </c>
      <c r="D1000" s="8" t="str">
        <f>IF($A1000="","",_xll.BDH(config!$H$4,D$1,$A1000,$A1000))</f>
        <v/>
      </c>
      <c r="E1000" s="8" t="str">
        <f>IF($A1000="","",IF(ISNUMBER(FIND("IMPVOL",E$1)),_xll.BDH(config!$G$4,E$1,WORKDAY($A1000,-1,config_Holiday_Calendar_US),WORKDAY($A1000,-1,config_Holiday_Calendar_US)),IF(ISNUMBER(_xll.BDH(config!$G$4,E$1,$A1000,$A1000)),_xll.BDH(config!$G$4,E$1,$A1000,$A1000),_xll.BDH(config!$G$5,E$1,$A1000,$A1000))))</f>
        <v/>
      </c>
      <c r="F1000" s="8" t="str">
        <f>IF($A1000="","",IF(ISNUMBER(FIND("IMPVOL",F$1)),_xll.BDH(config!$G$4,F$1,WORKDAY($A1000,-1,config_Holiday_Calendar_US),WORKDAY($A1000,-1,config_Holiday_Calendar_US)),IF(ISNUMBER(_xll.BDH(config!$G$4,F$1,$A1000,$A1000)),_xll.BDH(config!$G$4,F$1,$A1000,$A1000),_xll.BDH(config!$G$5,F$1,$A1000,$A1000))))</f>
        <v/>
      </c>
      <c r="G1000" s="8" t="str">
        <f>IF($A1000="","",IF(ISNUMBER(FIND("IMPVOL",G$1)),_xll.BDH(config!$G$4,G$1,WORKDAY($A1000,-1,config_Holiday_Calendar_US),WORKDAY($A1000,-1,config_Holiday_Calendar_US)),IF(ISNUMBER(_xll.BDH(config!$G$4,G$1,$A1000,$A1000)),_xll.BDH(config!$G$4,G$1,$A1000,$A1000),_xll.BDH(config!$G$5,G$1,$A1000,$A1000))))</f>
        <v/>
      </c>
      <c r="H1000" s="8" t="str">
        <f>IF($A1000="","",IF(ISNUMBER(FIND("IMPVOL",H$1)),_xll.BDH(config!$G$4,H$1,WORKDAY($A1000,-1,config_Holiday_Calendar_US),WORKDAY($A1000,-1,config_Holiday_Calendar_US)),IF(ISNUMBER(_xll.BDH(config!$G$4,H$1,$A1000,$A1000)),_xll.BDH(config!$G$4,H$1,$A1000,$A1000),_xll.BDH(config!$G$5,H$1,$A1000,$A1000))))</f>
        <v/>
      </c>
      <c r="I1000" s="8" t="str">
        <f>IF($A1000="","",IF(ISNUMBER(FIND("IMPVOL",I$1)),_xll.BDH(config!$G$4,I$1,WORKDAY($A1000,-1,config_Holiday_Calendar_US),WORKDAY($A1000,-1,config_Holiday_Calendar_US)),IF(ISNUMBER(_xll.BDH(config!$G$4,I$1,$A1000,$A1000)),_xll.BDH(config!$G$4,I$1,$A1000,$A1000),_xll.BDH(config!$G$5,I$1,$A1000,$A1000))))</f>
        <v/>
      </c>
      <c r="J1000" s="8" t="str">
        <f>IF($A1000="","",IF(ISNUMBER(FIND("IMPVOL",J$1)),_xll.BDH(config!$G$4,J$1,WORKDAY($A1000,-1,config_Holiday_Calendar_US),WORKDAY($A1000,-1,config_Holiday_Calendar_US)),IF(ISNUMBER(_xll.BDH(config!$G$4,J$1,$A1000,$A1000)),_xll.BDH(config!$G$4,J$1,$A1000,$A1000),_xll.BDH(config!$G$5,J$1,$A1000,$A1000))))</f>
        <v/>
      </c>
      <c r="K1000" s="8" t="str">
        <f>IF($A1000="","",IF(ISNUMBER(FIND("IMPVOL",K$1)),_xll.BDH(config!$G$4,K$1,WORKDAY($A1000,-1,config_Holiday_Calendar_US),WORKDAY($A1000,-1,config_Holiday_Calendar_US)),IF(ISNUMBER(_xll.BDH(config!$G$4,K$1,$A1000,$A1000)),_xll.BDH(config!$G$4,K$1,$A1000,$A1000),_xll.BDH(config!$G$5,K$1,$A1000,$A1000))))</f>
        <v/>
      </c>
      <c r="L1000" s="8" t="str">
        <f>IF($A1000="","",IF(ISNUMBER(FIND("IMPVOL",L$1)),_xll.BDH(config!$G$4,L$1,WORKDAY($A1000,-1,config_Holiday_Calendar_US),WORKDAY($A1000,-1,config_Holiday_Calendar_US)),IF(ISNUMBER(_xll.BDH(config!$G$4,L$1,$A1000,$A1000)),_xll.BDH(config!$G$4,L$1,$A1000,$A1000),_xll.BDH(config!$G$5,L$1,$A1000,$A1000))))</f>
        <v/>
      </c>
      <c r="M1000" s="8" t="str">
        <f>IF($A1000="","",IF(ISNUMBER(FIND("IMPVOL",M$1)),_xll.BDH(config!$G$4,M$1,WORKDAY($A1000,-1,config_Holiday_Calendar_US),WORKDAY($A1000,-1,config_Holiday_Calendar_US)),IF(ISNUMBER(_xll.BDH(config!$G$4,M$1,$A1000,$A1000)),_xll.BDH(config!$G$4,M$1,$A1000,$A1000),_xll.BDH(config!$G$5,M$1,$A1000,$A1000))))</f>
        <v/>
      </c>
      <c r="N1000" s="8" t="str">
        <f>IF($A1000="","",IF(ISNUMBER(FIND("IMPVOL",N$1)),_xll.BDH(config!$G$4,N$1,WORKDAY($A1000,-1,config_Holiday_Calendar_US),WORKDAY($A1000,-1,config_Holiday_Calendar_US)),IF(ISNUMBER(_xll.BDH(config!$G$4,N$1,$A1000,$A1000)),_xll.BDH(config!$G$4,N$1,$A1000,$A1000),_xll.BDH(config!$G$5,N$1,$A1000,$A1000))))</f>
        <v/>
      </c>
      <c r="O1000" s="8" t="str">
        <f>IF($A1000="","",IF(ISNUMBER(FIND("IMPVOL",O$1)),_xll.BDH(config!$G$4,O$1,WORKDAY($A1000,-1,config_Holiday_Calendar_US),WORKDAY($A1000,-1,config_Holiday_Calendar_US)),IF(ISNUMBER(_xll.BDH(config!$G$4,O$1,$A1000,$A1000)),_xll.BDH(config!$G$4,O$1,$A1000,$A1000),_xll.BDH(config!$G$5,O$1,$A1000,$A1000))))</f>
        <v/>
      </c>
      <c r="P1000" s="8" t="str">
        <f>IF($A1000="","",IF(ISNUMBER(FIND("IMPVOL",P$1)),_xll.BDH(config!$G$4,P$1,WORKDAY($A1000,-1,config_Holiday_Calendar_US),WORKDAY($A1000,-1,config_Holiday_Calendar_US)),IF(ISNUMBER(_xll.BDH(config!$G$4,P$1,$A1000,$A1000)),_xll.BDH(config!$G$4,P$1,$A1000,$A1000),_xll.BDH(config!$G$5,P$1,$A1000,$A1000))))</f>
        <v/>
      </c>
      <c r="Q1000" s="8" t="str">
        <f>IF($A1000="","",IF(ISNUMBER(FIND("IMPVOL",Q$1)),_xll.BDH(config!$G$4,Q$1,WORKDAY($A1000,-1,config_Holiday_Calendar_US),WORKDAY($A1000,-1,config_Holiday_Calendar_US)),IF(ISNUMBER(_xll.BDH(config!$G$4,Q$1,$A1000,$A1000)),_xll.BDH(config!$G$4,Q$1,$A1000,$A1000),_xll.BDH(config!$G$5,Q$1,$A1000,$A1000))))</f>
        <v/>
      </c>
      <c r="R1000" s="8" t="str">
        <f>IF($A1000="","",IF(ISNUMBER(FIND("IMPVOL",R$1)),_xll.BDH(config!$G$4,R$1,WORKDAY($A1000,-1,config_Holiday_Calendar_US),WORKDAY($A1000,-1,config_Holiday_Calendar_US)),IF(ISNUMBER(_xll.BDH(config!$G$4,R$1,$A1000,$A1000)),_xll.BDH(config!$G$4,R$1,$A1000,$A1000),_xll.BDH(config!$G$5,R$1,$A1000,$A1000))))</f>
        <v/>
      </c>
      <c r="S1000" s="8" t="str">
        <f>IF($A1000="","",IF(ISNUMBER(FIND("IMPVOL",S$1)),_xll.BDH(config!$G$4,S$1,WORKDAY($A1000,-1,config_Holiday_Calendar_US),WORKDAY($A1000,-1,config_Holiday_Calendar_US)),IF(ISNUMBER(_xll.BDH(config!$G$4,S$1,$A1000,$A1000)),_xll.BDH(config!$G$4,S$1,$A1000,$A1000),_xll.BDH(config!$G$5,S$1,$A1000,$A1000))))</f>
        <v/>
      </c>
      <c r="T1000" s="8" t="str">
        <f>IF($A1000="","",IF(ISNUMBER(FIND("IMPVOL",T$1)),_xll.BDH(config!$G$4,T$1,WORKDAY($A1000,-1,config_Holiday_Calendar_US),WORKDAY($A1000,-1,config_Holiday_Calendar_US)),IF(ISNUMBER(_xll.BDH(config!$G$4,T$1,$A1000,$A1000)),_xll.BDH(config!$G$4,T$1,$A1000,$A1000),_xll.BDH(config!$G$5,T$1,$A1000,$A1000))))</f>
        <v/>
      </c>
      <c r="U1000" s="8" t="str">
        <f>IF($A1000="","",IF(ISNUMBER(FIND("IMPVOL",U$1)),_xll.BDH(config!$G$4,U$1,WORKDAY($A1000,-1,config_Holiday_Calendar_US),WORKDAY($A1000,-1,config_Holiday_Calendar_US)),IF(ISNUMBER(_xll.BDH(config!$G$4,U$1,$A1000,$A1000)),_xll.BDH(config!$G$4,U$1,$A1000,$A1000),_xll.BDH(config!$G$5,U$1,$A1000,$A1000))))</f>
        <v/>
      </c>
      <c r="V1000" s="8" t="str">
        <f>IF($A1000="","",IF(ISNUMBER(FIND("IMPVOL",V$1)),_xll.BDH(config!$G$4,V$1,WORKDAY($A1000,-1,config_Holiday_Calendar_US),WORKDAY($A1000,-1,config_Holiday_Calendar_US)),IF(ISNUMBER(_xll.BDH(config!$G$4,V$1,$A1000,$A1000)),_xll.BDH(config!$G$4,V$1,$A1000,$A1000),_xll.BDH(config!$G$5,V$1,$A1000,$A1000))))</f>
        <v/>
      </c>
      <c r="W1000" s="8" t="str">
        <f>IF($A1000="","",IF(ISNUMBER(FIND("IMPVOL",W$1)),_xll.BDH(config!$G$4,W$1,WORKDAY($A1000,-1,config_Holiday_Calendar_US),WORKDAY($A1000,-1,config_Holiday_Calendar_US)),IF(ISNUMBER(_xll.BDH(config!$G$4,W$1,$A1000,$A1000)),_xll.BDH(config!$G$4,W$1,$A1000,$A1000),_xll.BDH(config!$G$5,W$1,$A1000,$A1000)))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3:N52"/>
  <sheetViews>
    <sheetView workbookViewId="0">
      <selection activeCell="H6" sqref="H6"/>
    </sheetView>
  </sheetViews>
  <sheetFormatPr defaultRowHeight="11.25" x14ac:dyDescent="0.2"/>
  <cols>
    <col min="1" max="3" width="9.140625" style="4"/>
    <col min="4" max="4" width="11.5703125" style="4" bestFit="1" customWidth="1"/>
    <col min="5" max="5" width="5.5703125" style="4" customWidth="1"/>
    <col min="6" max="6" width="8.5703125" style="4" bestFit="1" customWidth="1"/>
    <col min="7" max="16384" width="9.140625" style="4"/>
  </cols>
  <sheetData>
    <row r="3" spans="2:14" x14ac:dyDescent="0.2">
      <c r="B3" s="4" t="s">
        <v>22</v>
      </c>
      <c r="C3" s="5">
        <f ca="1">TODAY()</f>
        <v>42857</v>
      </c>
      <c r="E3" s="11" t="s">
        <v>57</v>
      </c>
      <c r="F3" s="11" t="s">
        <v>53</v>
      </c>
      <c r="G3" s="12" t="s">
        <v>56</v>
      </c>
      <c r="H3" s="11" t="s">
        <v>59</v>
      </c>
    </row>
    <row r="4" spans="2:14" x14ac:dyDescent="0.2">
      <c r="B4" s="4" t="s">
        <v>23</v>
      </c>
      <c r="C4" s="9">
        <f ca="1">WORKDAY(C3,-1,config_Holiday_Calendar_US)</f>
        <v>42856</v>
      </c>
      <c r="E4" s="4">
        <v>1</v>
      </c>
      <c r="F4" s="4" t="s">
        <v>54</v>
      </c>
      <c r="G4" s="4" t="str">
        <f>G$3&amp;E4&amp; " Comdty"</f>
        <v>CL1 Comdty</v>
      </c>
      <c r="H4" s="12" t="s">
        <v>60</v>
      </c>
    </row>
    <row r="5" spans="2:14" x14ac:dyDescent="0.2">
      <c r="B5" s="4" t="s">
        <v>24</v>
      </c>
      <c r="C5" s="9">
        <f ca="1">WORKDAY(C4,-1,config_Holiday_Calendar_US)</f>
        <v>42853</v>
      </c>
      <c r="E5" s="4">
        <v>2</v>
      </c>
      <c r="F5" s="4" t="s">
        <v>55</v>
      </c>
      <c r="G5" s="8" t="str">
        <f>G$3&amp;E5&amp; " Comdty"</f>
        <v>CL2 Comdty</v>
      </c>
    </row>
    <row r="8" spans="2:14" x14ac:dyDescent="0.2">
      <c r="B8" s="7" t="s">
        <v>25</v>
      </c>
      <c r="C8" s="6"/>
      <c r="D8" s="6"/>
      <c r="E8" s="6"/>
      <c r="F8" s="6"/>
      <c r="H8" s="11" t="s">
        <v>50</v>
      </c>
      <c r="I8" s="10"/>
      <c r="K8" s="11" t="s">
        <v>62</v>
      </c>
      <c r="L8" s="11"/>
      <c r="N8" s="8"/>
    </row>
    <row r="9" spans="2:14" x14ac:dyDescent="0.2">
      <c r="B9" s="4" t="s">
        <v>26</v>
      </c>
      <c r="C9" s="4" t="s">
        <v>27</v>
      </c>
      <c r="D9" s="4" t="s">
        <v>28</v>
      </c>
      <c r="E9" s="4" t="s">
        <v>29</v>
      </c>
      <c r="F9" s="4" t="s">
        <v>30</v>
      </c>
      <c r="H9" s="8" t="s">
        <v>51</v>
      </c>
      <c r="I9" s="14">
        <v>42835</v>
      </c>
      <c r="K9" s="4" t="s">
        <v>63</v>
      </c>
    </row>
    <row r="10" spans="2:14" ht="15" x14ac:dyDescent="0.25">
      <c r="B10" s="5">
        <v>42005</v>
      </c>
      <c r="C10" s="4" t="s">
        <v>31</v>
      </c>
      <c r="D10" s="4" t="s">
        <v>32</v>
      </c>
      <c r="E10" s="1"/>
      <c r="F10" s="1"/>
      <c r="H10" s="8" t="s">
        <v>52</v>
      </c>
      <c r="I10" s="14">
        <v>42104</v>
      </c>
      <c r="N10" s="8"/>
    </row>
    <row r="11" spans="2:14" ht="15" x14ac:dyDescent="0.25">
      <c r="B11" s="5">
        <v>42023</v>
      </c>
      <c r="C11" s="4" t="s">
        <v>33</v>
      </c>
      <c r="D11" s="4" t="s">
        <v>32</v>
      </c>
      <c r="E11" s="1"/>
      <c r="F11" s="1"/>
      <c r="N11" s="8"/>
    </row>
    <row r="12" spans="2:14" ht="15" x14ac:dyDescent="0.25">
      <c r="B12" s="5">
        <v>42071</v>
      </c>
      <c r="C12" s="4" t="s">
        <v>34</v>
      </c>
      <c r="D12" s="4" t="s">
        <v>32</v>
      </c>
      <c r="E12" s="1"/>
      <c r="F12" s="4" t="s">
        <v>35</v>
      </c>
      <c r="N12" s="8"/>
    </row>
    <row r="13" spans="2:14" ht="15" x14ac:dyDescent="0.25">
      <c r="B13" s="5">
        <v>42097</v>
      </c>
      <c r="C13" s="4" t="s">
        <v>36</v>
      </c>
      <c r="D13" s="4" t="s">
        <v>32</v>
      </c>
      <c r="E13" s="1"/>
      <c r="F13" s="1"/>
    </row>
    <row r="14" spans="2:14" ht="15" x14ac:dyDescent="0.25">
      <c r="B14" s="5">
        <v>42149</v>
      </c>
      <c r="C14" s="4" t="s">
        <v>37</v>
      </c>
      <c r="D14" s="4" t="s">
        <v>32</v>
      </c>
      <c r="E14" s="1"/>
      <c r="F14" s="1"/>
    </row>
    <row r="15" spans="2:14" ht="15" x14ac:dyDescent="0.25">
      <c r="B15" s="5">
        <v>42188</v>
      </c>
      <c r="C15" s="4" t="s">
        <v>38</v>
      </c>
      <c r="D15" s="4" t="s">
        <v>32</v>
      </c>
      <c r="E15" s="1"/>
      <c r="F15" s="1"/>
    </row>
    <row r="16" spans="2:14" ht="15" x14ac:dyDescent="0.25">
      <c r="B16" s="5">
        <v>42189</v>
      </c>
      <c r="C16" s="4" t="s">
        <v>39</v>
      </c>
      <c r="D16" s="4" t="s">
        <v>32</v>
      </c>
      <c r="E16" s="1"/>
      <c r="F16" s="4" t="s">
        <v>35</v>
      </c>
    </row>
    <row r="17" spans="2:6" ht="15" x14ac:dyDescent="0.25">
      <c r="B17" s="5">
        <v>42254</v>
      </c>
      <c r="C17" s="4" t="s">
        <v>40</v>
      </c>
      <c r="D17" s="4" t="s">
        <v>32</v>
      </c>
      <c r="E17" s="1"/>
      <c r="F17" s="1"/>
    </row>
    <row r="18" spans="2:6" ht="15" x14ac:dyDescent="0.25">
      <c r="B18" s="5">
        <v>42289</v>
      </c>
      <c r="C18" s="4" t="s">
        <v>41</v>
      </c>
      <c r="D18" s="4" t="s">
        <v>32</v>
      </c>
      <c r="E18" s="1"/>
      <c r="F18" s="1"/>
    </row>
    <row r="19" spans="2:6" ht="15" x14ac:dyDescent="0.25">
      <c r="B19" s="5">
        <v>42309</v>
      </c>
      <c r="C19" s="4" t="s">
        <v>42</v>
      </c>
      <c r="D19" s="4" t="s">
        <v>32</v>
      </c>
      <c r="E19" s="1"/>
      <c r="F19" s="4" t="s">
        <v>35</v>
      </c>
    </row>
    <row r="20" spans="2:6" ht="15" x14ac:dyDescent="0.25">
      <c r="B20" s="5">
        <v>42319</v>
      </c>
      <c r="C20" s="4" t="s">
        <v>43</v>
      </c>
      <c r="D20" s="4" t="s">
        <v>32</v>
      </c>
      <c r="E20" s="1"/>
      <c r="F20" s="1"/>
    </row>
    <row r="21" spans="2:6" ht="15" x14ac:dyDescent="0.25">
      <c r="B21" s="5">
        <v>42334</v>
      </c>
      <c r="C21" s="4" t="s">
        <v>44</v>
      </c>
      <c r="D21" s="4" t="s">
        <v>32</v>
      </c>
      <c r="E21" s="1"/>
      <c r="F21" s="1"/>
    </row>
    <row r="22" spans="2:6" ht="15" x14ac:dyDescent="0.25">
      <c r="B22" s="5">
        <v>42363</v>
      </c>
      <c r="C22" s="4" t="s">
        <v>45</v>
      </c>
      <c r="D22" s="4" t="s">
        <v>32</v>
      </c>
      <c r="E22" s="1"/>
      <c r="F22" s="1"/>
    </row>
    <row r="23" spans="2:6" ht="15" x14ac:dyDescent="0.25">
      <c r="B23" s="5">
        <v>42370</v>
      </c>
      <c r="C23" s="4" t="s">
        <v>31</v>
      </c>
      <c r="D23" s="4" t="s">
        <v>32</v>
      </c>
      <c r="E23" s="1"/>
      <c r="F23" s="1"/>
    </row>
    <row r="24" spans="2:6" ht="15" x14ac:dyDescent="0.25">
      <c r="B24" s="5">
        <v>42387</v>
      </c>
      <c r="C24" s="4" t="s">
        <v>33</v>
      </c>
      <c r="D24" s="4" t="s">
        <v>32</v>
      </c>
      <c r="E24" s="1"/>
      <c r="F24" s="1"/>
    </row>
    <row r="25" spans="2:6" ht="15" x14ac:dyDescent="0.25">
      <c r="B25" s="5">
        <v>42415</v>
      </c>
      <c r="C25" s="4" t="s">
        <v>46</v>
      </c>
      <c r="D25" s="4" t="s">
        <v>32</v>
      </c>
      <c r="E25" s="1"/>
      <c r="F25" s="1"/>
    </row>
    <row r="26" spans="2:6" ht="15" x14ac:dyDescent="0.25">
      <c r="B26" s="5">
        <v>42416</v>
      </c>
      <c r="C26" s="4" t="s">
        <v>46</v>
      </c>
      <c r="D26" s="4" t="s">
        <v>32</v>
      </c>
      <c r="E26" s="1"/>
      <c r="F26" s="1"/>
    </row>
    <row r="27" spans="2:6" ht="15" x14ac:dyDescent="0.25">
      <c r="B27" s="5">
        <v>42442</v>
      </c>
      <c r="C27" s="4" t="s">
        <v>34</v>
      </c>
      <c r="D27" s="4" t="s">
        <v>32</v>
      </c>
      <c r="E27" s="1"/>
      <c r="F27" s="4" t="s">
        <v>35</v>
      </c>
    </row>
    <row r="28" spans="2:6" ht="15" x14ac:dyDescent="0.25">
      <c r="B28" s="5">
        <v>42454</v>
      </c>
      <c r="C28" s="4" t="s">
        <v>36</v>
      </c>
      <c r="D28" s="4" t="s">
        <v>32</v>
      </c>
      <c r="E28" s="1"/>
      <c r="F28" s="1"/>
    </row>
    <row r="29" spans="2:6" ht="15" x14ac:dyDescent="0.25">
      <c r="B29" s="5">
        <v>42520</v>
      </c>
      <c r="C29" s="4" t="s">
        <v>37</v>
      </c>
      <c r="D29" s="4" t="s">
        <v>32</v>
      </c>
      <c r="E29" s="1"/>
      <c r="F29" s="1"/>
    </row>
    <row r="30" spans="2:6" ht="15" x14ac:dyDescent="0.25">
      <c r="B30" s="5">
        <v>42555</v>
      </c>
      <c r="C30" s="4" t="s">
        <v>39</v>
      </c>
      <c r="D30" s="4" t="s">
        <v>32</v>
      </c>
      <c r="E30" s="1"/>
      <c r="F30" s="1"/>
    </row>
    <row r="31" spans="2:6" ht="15" x14ac:dyDescent="0.25">
      <c r="B31" s="5">
        <v>42618</v>
      </c>
      <c r="C31" s="4" t="s">
        <v>40</v>
      </c>
      <c r="D31" s="4" t="s">
        <v>32</v>
      </c>
      <c r="E31" s="1"/>
      <c r="F31" s="1"/>
    </row>
    <row r="32" spans="2:6" ht="15" x14ac:dyDescent="0.25">
      <c r="B32" s="9">
        <v>42590</v>
      </c>
      <c r="C32" s="8" t="s">
        <v>61</v>
      </c>
      <c r="D32" s="8"/>
      <c r="E32" s="1"/>
      <c r="F32" s="1"/>
    </row>
    <row r="33" spans="2:6" ht="15" x14ac:dyDescent="0.25">
      <c r="B33" s="5">
        <v>42653</v>
      </c>
      <c r="C33" s="4" t="s">
        <v>41</v>
      </c>
      <c r="D33" s="4" t="s">
        <v>32</v>
      </c>
      <c r="E33" s="1"/>
      <c r="F33" s="1"/>
    </row>
    <row r="34" spans="2:6" ht="15" x14ac:dyDescent="0.25">
      <c r="B34" s="5">
        <v>42680</v>
      </c>
      <c r="C34" s="4" t="s">
        <v>42</v>
      </c>
      <c r="D34" s="4" t="s">
        <v>32</v>
      </c>
      <c r="E34" s="1"/>
      <c r="F34" s="4" t="s">
        <v>35</v>
      </c>
    </row>
    <row r="35" spans="2:6" ht="15" x14ac:dyDescent="0.25">
      <c r="B35" s="5">
        <v>42685</v>
      </c>
      <c r="C35" s="4" t="s">
        <v>43</v>
      </c>
      <c r="D35" s="4" t="s">
        <v>32</v>
      </c>
      <c r="E35" s="1"/>
      <c r="F35" s="1"/>
    </row>
    <row r="36" spans="2:6" ht="15" x14ac:dyDescent="0.25">
      <c r="B36" s="5">
        <v>42698</v>
      </c>
      <c r="C36" s="4" t="s">
        <v>44</v>
      </c>
      <c r="D36" s="4" t="s">
        <v>32</v>
      </c>
      <c r="E36" s="1"/>
      <c r="F36" s="1"/>
    </row>
    <row r="37" spans="2:6" ht="15" x14ac:dyDescent="0.25">
      <c r="B37" s="5">
        <v>42729</v>
      </c>
      <c r="C37" s="4" t="s">
        <v>45</v>
      </c>
      <c r="D37" s="4" t="s">
        <v>32</v>
      </c>
      <c r="E37" s="1"/>
      <c r="F37" s="4" t="s">
        <v>35</v>
      </c>
    </row>
    <row r="38" spans="2:6" ht="15" x14ac:dyDescent="0.25">
      <c r="B38" s="5">
        <v>42730</v>
      </c>
      <c r="C38" s="4" t="s">
        <v>47</v>
      </c>
      <c r="D38" s="4" t="s">
        <v>32</v>
      </c>
      <c r="E38" s="1"/>
      <c r="F38" s="1"/>
    </row>
    <row r="39" spans="2:6" ht="15" x14ac:dyDescent="0.25">
      <c r="B39" s="5">
        <v>42736</v>
      </c>
      <c r="C39" s="4" t="s">
        <v>31</v>
      </c>
      <c r="D39" s="4" t="s">
        <v>32</v>
      </c>
      <c r="E39" s="1"/>
      <c r="F39" s="4" t="s">
        <v>35</v>
      </c>
    </row>
    <row r="40" spans="2:6" ht="15" x14ac:dyDescent="0.25">
      <c r="B40" s="5">
        <v>42737</v>
      </c>
      <c r="C40" s="4" t="s">
        <v>48</v>
      </c>
      <c r="D40" s="4" t="s">
        <v>32</v>
      </c>
      <c r="E40" s="1"/>
      <c r="F40" s="1"/>
    </row>
    <row r="41" spans="2:6" ht="15" x14ac:dyDescent="0.25">
      <c r="B41" s="5">
        <v>42751</v>
      </c>
      <c r="C41" s="4" t="s">
        <v>33</v>
      </c>
      <c r="D41" s="4" t="s">
        <v>32</v>
      </c>
      <c r="E41" s="1"/>
      <c r="F41" s="1"/>
    </row>
    <row r="42" spans="2:6" ht="15" x14ac:dyDescent="0.25">
      <c r="B42" s="5">
        <v>42786</v>
      </c>
      <c r="C42" s="4" t="s">
        <v>46</v>
      </c>
      <c r="D42" s="4" t="s">
        <v>32</v>
      </c>
      <c r="E42" s="1"/>
      <c r="F42" s="1"/>
    </row>
    <row r="43" spans="2:6" ht="15" x14ac:dyDescent="0.25">
      <c r="B43" s="5">
        <v>42806</v>
      </c>
      <c r="C43" s="4" t="s">
        <v>34</v>
      </c>
      <c r="D43" s="4" t="s">
        <v>32</v>
      </c>
      <c r="E43" s="1"/>
      <c r="F43" s="4" t="s">
        <v>35</v>
      </c>
    </row>
    <row r="44" spans="2:6" ht="15" x14ac:dyDescent="0.25">
      <c r="B44" s="5">
        <v>42839</v>
      </c>
      <c r="C44" s="4" t="s">
        <v>36</v>
      </c>
      <c r="D44" s="4" t="s">
        <v>32</v>
      </c>
      <c r="E44" s="1"/>
      <c r="F44" s="1"/>
    </row>
    <row r="45" spans="2:6" ht="15" x14ac:dyDescent="0.25">
      <c r="B45" s="5">
        <v>42884</v>
      </c>
      <c r="C45" s="4" t="s">
        <v>37</v>
      </c>
      <c r="D45" s="4" t="s">
        <v>32</v>
      </c>
      <c r="E45" s="1"/>
      <c r="F45" s="1"/>
    </row>
    <row r="46" spans="2:6" ht="15" x14ac:dyDescent="0.25">
      <c r="B46" s="5">
        <v>42920</v>
      </c>
      <c r="C46" s="4" t="s">
        <v>39</v>
      </c>
      <c r="D46" s="4" t="s">
        <v>32</v>
      </c>
      <c r="E46" s="1"/>
      <c r="F46" s="1"/>
    </row>
    <row r="47" spans="2:6" ht="15" x14ac:dyDescent="0.25">
      <c r="B47" s="5">
        <v>42982</v>
      </c>
      <c r="C47" s="4" t="s">
        <v>40</v>
      </c>
      <c r="D47" s="4" t="s">
        <v>32</v>
      </c>
      <c r="E47" s="1"/>
      <c r="F47" s="1"/>
    </row>
    <row r="48" spans="2:6" ht="15" x14ac:dyDescent="0.25">
      <c r="B48" s="5">
        <v>43017</v>
      </c>
      <c r="C48" s="4" t="s">
        <v>41</v>
      </c>
      <c r="D48" s="4" t="s">
        <v>32</v>
      </c>
      <c r="E48" s="1"/>
      <c r="F48" s="1"/>
    </row>
    <row r="49" spans="2:6" ht="15" x14ac:dyDescent="0.25">
      <c r="B49" s="5">
        <v>43044</v>
      </c>
      <c r="C49" s="4" t="s">
        <v>42</v>
      </c>
      <c r="D49" s="4" t="s">
        <v>32</v>
      </c>
      <c r="E49" s="1"/>
      <c r="F49" s="4" t="s">
        <v>35</v>
      </c>
    </row>
    <row r="50" spans="2:6" ht="15" x14ac:dyDescent="0.25">
      <c r="B50" s="5">
        <v>43050</v>
      </c>
      <c r="C50" s="4" t="s">
        <v>49</v>
      </c>
      <c r="D50" s="4" t="s">
        <v>32</v>
      </c>
      <c r="E50" s="1"/>
      <c r="F50" s="4" t="s">
        <v>35</v>
      </c>
    </row>
    <row r="51" spans="2:6" ht="15" x14ac:dyDescent="0.25">
      <c r="B51" s="5">
        <v>43062</v>
      </c>
      <c r="C51" s="4" t="s">
        <v>44</v>
      </c>
      <c r="D51" s="4" t="s">
        <v>32</v>
      </c>
      <c r="E51" s="1"/>
      <c r="F51" s="1"/>
    </row>
    <row r="52" spans="2:6" ht="15" x14ac:dyDescent="0.25">
      <c r="B52" s="5">
        <v>43094</v>
      </c>
      <c r="C52" s="4" t="s">
        <v>45</v>
      </c>
      <c r="D52" s="4" t="s">
        <v>32</v>
      </c>
      <c r="E52" s="1"/>
      <c r="F5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WorksheetsAsCsv">
                <anchor moveWithCells="1" sizeWithCells="1">
                  <from>
                    <xdr:col>9</xdr:col>
                    <xdr:colOff>419100</xdr:colOff>
                    <xdr:row>1</xdr:row>
                    <xdr:rowOff>133350</xdr:rowOff>
                  </from>
                  <to>
                    <xdr:col>12</xdr:col>
                    <xdr:colOff>190500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</vt:lpstr>
      <vt:lpstr>config</vt:lpstr>
      <vt:lpstr>config_CSV_export</vt:lpstr>
      <vt:lpstr>config_Holiday_Calendar_US</vt:lpstr>
      <vt:lpstr>config_UL</vt:lpstr>
      <vt:lpstr>today</vt:lpstr>
      <vt:lpstr>yesterday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RIZZARI RICCARDO</dc:creator>
  <cp:lastModifiedBy>RIZZARI RICCARDO</cp:lastModifiedBy>
  <dcterms:created xsi:type="dcterms:W3CDTF">2017-04-11T08:51:42Z</dcterms:created>
  <dcterms:modified xsi:type="dcterms:W3CDTF">2017-05-02T15:34:26Z</dcterms:modified>
</cp:coreProperties>
</file>